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Office_Log" sheetId="3" state="visible" r:id="rId3"/>
    <sheet xmlns:r="http://schemas.openxmlformats.org/officeDocument/2006/relationships" name="Brand_Log" sheetId="4" state="visible" r:id="rId4"/>
    <sheet xmlns:r="http://schemas.openxmlformats.org/officeDocument/2006/relationships" name="signed_offices" sheetId="5" state="visible" r:id="rId5"/>
    <sheet xmlns:r="http://schemas.openxmlformats.org/officeDocument/2006/relationships" name="paid_brands" sheetId="6" state="visible" r:id="rId6"/>
    <sheet xmlns:r="http://schemas.openxmlformats.org/officeDocument/2006/relationships" name="later_events" sheetId="7" state="visible" r:id="rId7"/>
    <sheet xmlns:r="http://schemas.openxmlformats.org/officeDocument/2006/relationships" name="Clay_Offices" sheetId="8" state="visible" r:id="rId8"/>
    <sheet xmlns:r="http://schemas.openxmlformats.org/officeDocument/2006/relationships" name="Clay_Brands" sheetId="9" state="visible" r:id="rId9"/>
    <sheet xmlns:r="http://schemas.openxmlformats.org/officeDocument/2006/relationships" name="Sync" sheetId="10" state="visible" r:id="rId10"/>
    <sheet xmlns:r="http://schemas.openxmlformats.org/officeDocument/2006/relationships" name="pipeline_log" sheetId="11" state="visible" r:id="rId11"/>
    <sheet xmlns:r="http://schemas.openxmlformats.org/officeDocument/2006/relationships" name="Pipeline_Sort" sheetId="12" state="visible" r:id="rId12"/>
    <sheet xmlns:r="http://schemas.openxmlformats.org/officeDocument/2006/relationships" name="Pipeline_Calc" sheetId="13" state="visible" r:id="rId13"/>
    <sheet xmlns:r="http://schemas.openxmlformats.org/officeDocument/2006/relationships" name="Config" sheetId="14" state="visible" r:id="rId14"/>
    <sheet xmlns:r="http://schemas.openxmlformats.org/officeDocument/2006/relationships" name="Lists" sheetId="15" state="visible" r:id="rId15"/>
    <sheet xmlns:r="http://schemas.openxmlformats.org/officeDocument/2006/relationships" name="Dictionary" sheetId="16" state="visible" r:id="rId16"/>
    <sheet xmlns:r="http://schemas.openxmlformats.org/officeDocument/2006/relationships" name="Clay_Colum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&quot;n=&quot;0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95959"/>
    </font>
    <font>
      <b val="1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164" fontId="3" fillId="0" borderId="0" pivotButton="0" quotePrefix="0" xfId="0"/>
    <xf numFmtId="0" fontId="2" fillId="5" borderId="0" pivotButton="0" quotePrefix="0" xfId="0"/>
    <xf numFmtId="1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0" fillId="4" borderId="0" pivotButton="0" quotePrefix="0" xfId="0"/>
    <xf numFmtId="9" fontId="2" fillId="0" borderId="0" pivotButton="0" quotePrefix="0" xfId="0"/>
    <xf numFmtId="167" fontId="2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tracker</author>
  </authors>
  <commentList>
    <comment ref="A1" authorId="0" shapeId="0">
      <text>
        <t>Clay row_id of this contact. Required. One row per conversation; a second call with the same office is a second row with the same row_id.
Maps to: CONTRACTS 6.2 row_id (join key)</t>
      </text>
    </comment>
    <comment ref="B1" authorId="0" shapeId="0">
      <text>
        <t>Company name as in Clay.
Maps to: plan: Contact, title, company, source</t>
      </text>
    </comment>
    <comment ref="C1" authorId="0" shapeId="0">
      <text>
        <t>First and last name of the person you spoke to (business contact only).
Maps to: plan: Contact</t>
      </text>
    </comment>
    <comment ref="D1" authorId="0" shapeId="0">
      <text>
        <t>Their title.
Maps to: plan: title</t>
      </text>
    </comment>
    <comment ref="E1" authorId="0" shapeId="0">
      <text>
        <t>Where the contact came from: the Clay table, warm network, walk-in, or 'referral from &lt;row_id&gt;'.
Maps to: plan: source</t>
      </text>
    </comment>
    <comment ref="F1" authorId="0" shapeId="0">
      <text>
        <t>How the conversation came about: email, linkedin, warm-intro, walk-in.
Maps to: CONTRACTS 6.2 channel</t>
      </text>
    </comment>
    <comment ref="G1" authorId="0" shapeId="0">
      <text>
        <t>Date of the conversation (YYYY-MM-DD). Required; the Friday scorecard counts by this date.
Maps to: CONTRACTS 6.2 call_date</t>
      </text>
    </comment>
    <comment ref="H1" authorId="0" shapeId="0">
      <text>
        <t>phone, video, in-person or walk-in.</t>
      </text>
    </comment>
    <comment ref="I1" authorId="0" shapeId="0">
      <text>
        <t>Q1. How the pantry works today: who chooses, who delivers, how often. Their words.
Maps to: office guide Q1</t>
      </text>
    </comment>
    <comment ref="J1" authorId="0" shapeId="0">
      <text>
        <t>Q1. Who supplies the pantry now, if they said.
Maps to: office guide Q1</t>
      </text>
    </comment>
    <comment ref="K1" authorId="0" shapeId="0">
      <text>
        <t>Q1. Monthly pantry spend in USD if they named one. Number only; a range: its low end. Blank if not said.
Maps to: plan: Monthly pantry spend</t>
      </text>
    </comment>
    <comment ref="L1" authorId="0" shapeId="0">
      <text>
        <t>Q1. Their words about cost.
Maps to: plan: Monthly pantry spend</t>
      </text>
    </comment>
    <comment ref="M1" authorId="0" shapeId="0">
      <text>
        <t>Q2. People actually in on a Tuesday. A range: its low end, with the range in headcount_verbatim.
Maps to: plan: Peak-day headcount</t>
      </text>
    </comment>
    <comment ref="N1" authorId="0" shapeId="0">
      <text>
        <t>Q2. Their words.
Maps to: plan: Peak-day headcount</t>
      </text>
    </comment>
    <comment ref="O1" authorId="0" shapeId="0">
      <text>
        <t>Q3. Do brands offer free product, and what happens when they do.
Maps to: office guide Q3</t>
      </text>
    </comment>
    <comment ref="P1" authorId="0" shapeId="0">
      <text>
        <t>Q4. What they would need to say yes.
Maps to: office guide Q4</t>
      </text>
    </comment>
    <comment ref="Q1" authorId="0" shapeId="0">
      <text>
        <t>Q4. What would make them say no.
Maps to: office guide Q4</t>
      </text>
    </comment>
    <comment ref="R1" authorId="0" shapeId="0">
      <text>
        <t>Q5. Would they photograph it on the shelf and post a three-question survey link? Y, N or maybe.
Maps to: office guide Q5</t>
      </text>
    </comment>
    <comment ref="S1" authorId="0" shapeId="0">
      <text>
        <t>Q5. Their words.
Maps to: office guide Q5</t>
      </text>
    </comment>
    <comment ref="T1" authorId="0" shapeId="0">
      <text>
        <t>Q6. Did you ask the budget probe word for word? Y or N.
Maps to: plan: The budget probe</t>
      </text>
    </comment>
    <comment ref="U1" authorId="0" shapeId="0">
      <text>
        <t>Q6. The answer, word for word.
Maps to: plan: Budget probe answer, verbatim</t>
      </text>
    </comment>
    <comment ref="V1" authorId="0" shapeId="0">
      <text>
        <t>Q6 as a number, USD per month. A range: its low end. 'No budget' or 'zero': 0. No number or 'don't know': blank.
Maps to: pipeline_log value_number (budget_probe)</t>
      </text>
    </comment>
    <comment ref="W1" authorId="0" shapeId="0">
      <text>
        <t>Q6 high end, USD per month. Same as low for a single number. Blank if none.</t>
      </text>
    </comment>
    <comment ref="X1" authorId="0" shapeId="0">
      <text>
        <t>Q7. How many nearby pantry owners they named or introduced.
Maps to: plan: Referrals given</t>
      </text>
    </comment>
    <comment ref="Y1" authorId="0" shapeId="0">
      <text>
        <t>Q7. Who: company and title, semicolons. Each becomes a new Clay row with referral_from = this row_id.
Maps to: plan: Referrals given; Clay referral_from</t>
      </text>
    </comment>
    <comment ref="Z1" authorId="0" shapeId="0">
      <text>
        <t>Did they name the pantry owner (the person who receives a drop and can say yes)? Y or N.
Maps to: plan: Pantry owner named; Gate 0</t>
      </text>
    </comment>
    <comment ref="AA1" authorId="0" shapeId="0">
      <text>
        <t>The pantry owner's name (business contact).
Maps to: office_intake pantry_owner_name</t>
      </text>
    </comment>
    <comment ref="AB1" authorId="0" shapeId="0">
      <text>
        <t>The pantry owner's title.
Maps to: office_intake pantry_owner_title</t>
      </text>
    </comment>
    <comment ref="AC1" authorId="0" shapeId="0">
      <text>
        <t>Can the owner say yes alone? 'I need to ask facilities or HR' is N.
Maps to: plan Phase 1 targeting</t>
      </text>
    </comment>
    <comment ref="AD1" authorId="0" shapeId="0">
      <text>
        <t>When a delivery can be received, in their words (e.g. Tue-Wed 9-11am). Blank if not named.
Maps to: plan: receiving window; Gate 0</t>
      </text>
    </comment>
    <comment ref="AE1" authorId="0" shapeId="0">
      <text>
        <t>walk-up, front desk, security desk, loading dock, other, unknown.
Maps to: plan: security; office_intake receiving_type</t>
      </text>
    </comment>
    <comment ref="AF1" authorId="0" shapeId="0">
      <text>
        <t>Does the building require a certificate of insurance for deliveries? yes, no, unsure.
Maps to: office_intake coi_required</t>
      </text>
    </comment>
    <comment ref="AG1" authorId="0" shapeId="0">
      <text>
        <t>Lobby, security or freight rules.
Maps to: plan: security</t>
      </text>
    </comment>
    <comment ref="AH1" authorId="0" shapeId="0">
      <text>
        <t>Categories they would refuse, as category keys separated by semicolons (Lists tab).
Maps to: plan: Veto categories</t>
      </text>
    </comment>
    <comment ref="AI1" authorId="0" shapeId="0">
      <text>
        <t>Their words about what they never want.
Maps to: plan: Veto categories</t>
      </text>
    </comment>
    <comment ref="AJ1" authorId="0" shapeId="0">
      <text>
        <t>Main objection, as a code (Lists tab). Blank if none.
Maps to: plan: Objections</t>
      </text>
    </comment>
    <comment ref="AK1" authorId="0" shapeId="0">
      <text>
        <t>Second objection code.
Maps to: plan: Objections</t>
      </text>
    </comment>
    <comment ref="AL1" authorId="0" shapeId="0">
      <text>
        <t>Third objection code.
Maps to: plan: Objections</t>
      </text>
    </comment>
    <comment ref="AM1" authorId="0" shapeId="0">
      <text>
        <t>Every objection in their words.
Maps to: plan: Objections, verbatim</t>
      </text>
    </comment>
    <comment ref="AN1" authorId="0" shapeId="0">
      <text>
        <t>Y: would take a first drop in principle. maybe: interested but someone else must agree. N: no.
Maps to: plan: Yes in principle; Gate 0</t>
      </text>
    </comment>
    <comment ref="AO1" authorId="0" shapeId="0">
      <text>
        <t>Plan's yes signals seen: named_window_unprompted; asked_when; introduced_colleague.
Maps to: plan: A yes looks like</t>
      </text>
    </comment>
    <comment ref="AP1" authorId="0" shapeId="0">
      <text>
        <t>Minutes from hanging up to finishing this row and the Clay write-back. Target 10 or less.
Maps to: ten-minute rule</t>
      </text>
    </comment>
    <comment ref="AQ1" authorId="0" shapeId="0">
      <text>
        <t>Y once call_date, status, yes_in_principle, call_notes, next_action and next_action_date are written to the Clay row.
Maps to: sync</t>
      </text>
    </comment>
    <comment ref="AR1" authorId="0" shapeId="0">
      <text>
        <t>Anything else.</t>
      </text>
    </comment>
    <comment ref="AS1" authorId="0" shapeId="0">
      <text>
        <t>Calculated. What disagrees with the latest Clay paste. Fix it in Clay (or fix this row), then re-paste on Friday. Blank = in sync.</t>
      </text>
    </comment>
    <comment ref="AT1" authorId="0" shapeId="0">
      <text>
        <t>Calculated. Do not type here.</t>
      </text>
    </comment>
    <comment ref="AU1" authorId="0" shapeId="0">
      <text>
        <t>Calculated. Do not type here.</t>
      </text>
    </comment>
    <comment ref="AV1" authorId="0" shapeId="0">
      <text>
        <t>Calculated. Do not type here.</t>
      </text>
    </comment>
    <comment ref="AW1" authorId="0" shapeId="0">
      <text>
        <t>Calculated. Do not type here.</t>
      </text>
    </comment>
    <comment ref="AX1" authorId="0" shapeId="0">
      <text>
        <t>Calculated. Do not type here.</t>
      </text>
    </comment>
    <comment ref="AY1" authorId="0" shapeId="0">
      <text>
        <t>Calculated. Do not type here.</t>
      </text>
    </comment>
    <comment ref="AZ1" authorId="0" shapeId="0">
      <text>
        <t>Calculated. Do not type here.</t>
      </text>
    </comment>
    <comment ref="BA1" authorId="0" shapeId="0">
      <text>
        <t>Calculated. Do not type here.</t>
      </text>
    </comment>
    <comment ref="BB1" authorId="0" shapeId="0">
      <text>
        <t>Calculated. Do not type here.</t>
      </text>
    </comment>
    <comment ref="BC1" authorId="0" shapeId="0">
      <text>
        <t>Calculated. Do not type here.</t>
      </text>
    </comment>
    <comment ref="BD1" authorId="0" shapeId="0">
      <text>
        <t>Calculated. Do not type here.</t>
      </text>
    </comment>
    <comment ref="BE1" authorId="0" shapeId="0">
      <text>
        <t>Calculated. Do not type here.</t>
      </text>
    </comment>
    <comment ref="BF1" authorId="0" shapeId="0">
      <text>
        <t>Calculated. Do not type here.</t>
      </text>
    </comment>
    <comment ref="BG1" authorId="0" shapeId="0">
      <text>
        <t>Calculated. Do not type here.</t>
      </text>
    </comment>
    <comment ref="BH1" authorId="0" shapeId="0">
      <text>
        <t>Calculated. Do not type here.</t>
      </text>
    </comment>
    <comment ref="BI1" authorId="0" shapeId="0">
      <text>
        <t>Calculated. Do not type here.</t>
      </text>
    </comment>
    <comment ref="BJ1" authorId="0" shapeId="0">
      <text>
        <t>Calculated. Do not type here.</t>
      </text>
    </comment>
    <comment ref="BK1" authorId="0" shapeId="0">
      <text>
        <t>Calculated. Do not type here.</t>
      </text>
    </comment>
    <comment ref="BL1" authorId="0" shapeId="0">
      <text>
        <t>Calculated. Do not type here.</t>
      </text>
    </comment>
    <comment ref="BM1" authorId="0" shapeId="0">
      <text>
        <t>Calculated. Do not type here.</t>
      </text>
    </comment>
    <comment ref="BN1" authorId="0" shapeId="0">
      <text>
        <t>Calculated. Do not type here.</t>
      </text>
    </comment>
    <comment ref="BO1" authorId="0" shapeId="0">
      <text>
        <t>Calculated. Do not type here.</t>
      </text>
    </comment>
    <comment ref="BP1" authorId="0" shapeId="0">
      <text>
        <t>Calculated. Do not type here.</t>
      </text>
    </comment>
    <comment ref="BQ1" authorId="0" shapeId="0">
      <text>
        <t>Calculated. Do not type here.</t>
      </text>
    </comment>
    <comment ref="BR1" authorId="0" shapeId="0">
      <text>
        <t>Calculated. Do not type here.</t>
      </text>
    </comment>
    <comment ref="BS1" authorId="0" shapeId="0">
      <text>
        <t>Calculated. Do not type here.</t>
      </text>
    </comment>
    <comment ref="BT1" authorId="0" shapeId="0">
      <text>
        <t>Calculated. Do not type here.</t>
      </text>
    </comment>
    <comment ref="BU1" authorId="0" shapeId="0">
      <text>
        <t>Calculated. Do not type here.</t>
      </text>
    </comment>
    <comment ref="BV1" authorId="0" shapeId="0">
      <text>
        <t>Calculated. Do not type here.</t>
      </text>
    </comment>
    <comment ref="BW1" authorId="0" shapeId="0">
      <text>
        <t>Calculated. Do not type here.</t>
      </text>
    </comment>
    <comment ref="BX1" authorId="0" shapeId="0">
      <text>
        <t>Calculated. Do not type here.</t>
      </text>
    </comment>
    <comment ref="BY1" authorId="0" shapeId="0">
      <text>
        <t>Calculated. Do not type here.</t>
      </text>
    </comment>
    <comment ref="BZ1" authorId="0" shapeId="0">
      <text>
        <t>Calculated. Do not type here.</t>
      </text>
    </comment>
    <comment ref="CA1" authorId="0" shapeId="0">
      <text>
        <t>Calculated. Do not type here.</t>
      </text>
    </comment>
    <comment ref="CB1" authorId="0" shapeId="0">
      <text>
        <t>Calculated. Do not type here.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A1" authorId="0" shapeId="0">
      <text>
        <t>Clay row_id of this contact. Required. One row per conversation; a second call is a second row with the same row_id.
Maps to: CONTRACTS 6.2 row_id (join key)</t>
      </text>
    </comment>
    <comment ref="B1" authorId="0" shapeId="0">
      <text>
        <t>Brand name as in Clay.
Maps to: plan: Contact, title, company, source</t>
      </text>
    </comment>
    <comment ref="C1" authorId="0" shapeId="0">
      <text>
        <t>First and last name of the person you spoke to.
Maps to: plan: Contact</t>
      </text>
    </comment>
    <comment ref="D1" authorId="0" shapeId="0">
      <text>
        <t>Their title.
Maps to: plan: title</t>
      </text>
    </comment>
    <comment ref="E1" authorId="0" shapeId="0">
      <text>
        <t>Where the contact came from: Clay table, Startup CPG event, shelf photo, warm network, referral.
Maps to: plan: source</t>
      </text>
    </comment>
    <comment ref="F1" authorId="0" shapeId="0">
      <text>
        <t>How the conversation came about.
Maps to: CONTRACTS 6.2 channel</t>
      </text>
    </comment>
    <comment ref="G1" authorId="0" shapeId="0">
      <text>
        <t>Date of the conversation (YYYY-MM-DD). Required.
Maps to: CONTRACTS 6.2 call_date</t>
      </text>
    </comment>
    <comment ref="H1" authorId="0" shapeId="0">
      <text>
        <t>phone, video, in-person or walk-in.</t>
      </text>
    </comment>
    <comment ref="I1" authorId="0" shapeId="0">
      <text>
        <t>Q1. How they get people to try the product now; what works and what doesn't.
Maps to: brand guide Q1</t>
      </text>
    </comment>
    <comment ref="J1" authorId="0" shapeId="0">
      <text>
        <t>Q2. Sampling or field-marketing spend per quarter, USD. A range: low end. Blank if not said.
Maps to: plan: Quarterly sampling budget</t>
      </text>
    </comment>
    <comment ref="K1" authorId="0" shapeId="0">
      <text>
        <t>Q2. High end of the range. Same as low for one number.
Maps to: plan: Quarterly sampling budget</t>
      </text>
    </comment>
    <comment ref="L1" authorId="0" shapeId="0">
      <text>
        <t>Q2. Their words about budget.
Maps to: plan: Quarterly sampling budget</t>
      </text>
    </comment>
    <comment ref="M1" authorId="0" shapeId="0">
      <text>
        <t>Q2. Who signs off, in their words (business title).
Maps to: plan: who approves</t>
      </text>
    </comment>
    <comment ref="N1" authorId="0" shapeId="0">
      <text>
        <t>Does the person on this call control the budget? Y or N. Gate 0 counts a brand only if Y.
Maps to: plan Gate 0; pipeline controls_budget</t>
      </text>
    </comment>
    <comment ref="O1" authorId="0" shapeId="0">
      <text>
        <t>Could they approve $600 without a committee? Y, N or maybe. (Qualification check 6.)
Maps to: plan Phase 2 checklist</t>
      </text>
    </comment>
    <comment ref="P1" authorId="0" shapeId="0">
      <text>
        <t>Q3. Have they ever seeded offices? Y or N.
Maps to: brand guide Q3</t>
      </text>
    </comment>
    <comment ref="Q1" authorId="0" shapeId="0">
      <text>
        <t>Q3. What happened.
Maps to: brand guide Q3</t>
      </text>
    </comment>
    <comment ref="R1" authorId="0" shapeId="0">
      <text>
        <t>Q4. The number they named BEFORE you said $1,500, as USD for the 10-office, 500-unit campaign. 'Nothing': 0. No number: blank.
Maps to: plan: Willingness to pay before $1,500; pipeline budget_probe</t>
      </text>
    </comment>
    <comment ref="S1" authorId="0" shapeId="0">
      <text>
        <t>Q4. Their words, before you said $1,500.
Maps to: plan: Willingness to pay, verbatim</t>
      </text>
    </comment>
    <comment ref="T1" authorId="0" shapeId="0">
      <text>
        <t>If they gave a per-unit or per-store figure, how you turned it into a campaign number (e.g. $2 a unit x 500 = 1000).</t>
      </text>
    </comment>
    <comment ref="U1" authorId="0" shapeId="0">
      <text>
        <t>Did you then say the $1,500 standard price on this call? Y or N.
Maps to: plan: before and after hearing $1,500</t>
      </text>
    </comment>
    <comment ref="V1" authorId="0" shapeId="0">
      <text>
        <t>Q4. Their number AFTER hearing $1,500, USD per campaign. Blank if none.
Maps to: plan: Willingness to pay after $1,500; pipeline budget_probe (after_1500)</t>
      </text>
    </comment>
    <comment ref="W1" authorId="0" shapeId="0">
      <text>
        <t>Q4. Their words after hearing $1,500.
Maps to: plan: Willingness to pay, verbatim</t>
      </text>
    </comment>
    <comment ref="X1" authorId="0" shapeId="0">
      <text>
        <t>Q5. What the report would need to show for them to do it again.
Maps to: brand guide Q5</t>
      </text>
    </comment>
    <comment ref="Y1" authorId="0" shapeId="0">
      <text>
        <t>Q6. Buy path near the cluster.
Maps to: plan: Buy path inside the cluster</t>
      </text>
    </comment>
    <comment ref="Z1" authorId="0" shapeId="0">
      <text>
        <t>Q6. Store name and street, or the site, in their words.
Maps to: plan: Buy path inside the cluster</t>
      </text>
    </comment>
    <comment ref="AA1" authorId="0" shapeId="0">
      <text>
        <t>Q7. What would stop them: budget timing, inventory, shelf life, something else.
Maps to: brand guide Q7</t>
      </text>
    </comment>
    <comment ref="AB1" authorId="0" shapeId="0">
      <text>
        <t>Main objection, as a code (Lists tab).
Maps to: plan: Objections</t>
      </text>
    </comment>
    <comment ref="AC1" authorId="0" shapeId="0">
      <text>
        <t>Second objection code.
Maps to: plan: Objections</t>
      </text>
    </comment>
    <comment ref="AD1" authorId="0" shapeId="0">
      <text>
        <t>Third objection code.
Maps to: plan: Objections</t>
      </text>
    </comment>
    <comment ref="AE1" authorId="0" shapeId="0">
      <text>
        <t>Every objection in their words.
Maps to: plan: Objections, verbatim</t>
      </text>
    </comment>
    <comment ref="AF1" authorId="0" shapeId="0">
      <text>
        <t>Y: would buy a campaign in principle at a price they named. maybe. N.
Maps to: plan: Yes in principle</t>
      </text>
    </comment>
    <comment ref="AG1" authorId="0" shapeId="0">
      <text>
        <t>How many other founders they named or introduced.
Maps to: plan: Referrals given</t>
      </text>
    </comment>
    <comment ref="AH1" authorId="0" shapeId="0">
      <text>
        <t>Who: brand and title, semicolons. Each becomes a new Clay row with referral_from = this row_id.
Maps to: plan: Referrals given</t>
      </text>
    </comment>
    <comment ref="AI1" authorId="0" shapeId="0">
      <text>
        <t>Minutes from hanging up to finishing this row and the Clay write-back. Target 10 or less.
Maps to: ten-minute rule</t>
      </text>
    </comment>
    <comment ref="AJ1" authorId="0" shapeId="0">
      <text>
        <t>Y once call_date, status, yes_in_principle, call_notes, next_action and next_action_date are written to Clay.
Maps to: sync</t>
      </text>
    </comment>
    <comment ref="AK1" authorId="0" shapeId="0">
      <text>
        <t>Anything else.</t>
      </text>
    </comment>
    <comment ref="AL1" authorId="0" shapeId="0">
      <text>
        <t>Calculated. What disagrees with the latest Clay paste. Fix it in Clay (or fix this row), then re-paste on Friday. Blank = in sync.</t>
      </text>
    </comment>
    <comment ref="AM1" authorId="0" shapeId="0">
      <text>
        <t>Calculated. Do not type here.</t>
      </text>
    </comment>
    <comment ref="AN1" authorId="0" shapeId="0">
      <text>
        <t>Calculated. Do not type here.</t>
      </text>
    </comment>
    <comment ref="AO1" authorId="0" shapeId="0">
      <text>
        <t>Calculated. Do not type here.</t>
      </text>
    </comment>
    <comment ref="AP1" authorId="0" shapeId="0">
      <text>
        <t>Calculated. Do not type here.</t>
      </text>
    </comment>
    <comment ref="AQ1" authorId="0" shapeId="0">
      <text>
        <t>Calculated. Do not type here.</t>
      </text>
    </comment>
    <comment ref="AR1" authorId="0" shapeId="0">
      <text>
        <t>Calculated. Do not type here.</t>
      </text>
    </comment>
    <comment ref="AS1" authorId="0" shapeId="0">
      <text>
        <t>Calculated. Do not type here.</t>
      </text>
    </comment>
    <comment ref="AT1" authorId="0" shapeId="0">
      <text>
        <t>Calculated. Do not type here.</t>
      </text>
    </comment>
    <comment ref="AU1" authorId="0" shapeId="0">
      <text>
        <t>Calculated. Do not type here.</t>
      </text>
    </comment>
    <comment ref="AV1" authorId="0" shapeId="0">
      <text>
        <t>Calculated. Do not type here.</t>
      </text>
    </comment>
    <comment ref="AW1" authorId="0" shapeId="0">
      <text>
        <t>Calculated. Do not type here.</t>
      </text>
    </comment>
    <comment ref="AX1" authorId="0" shapeId="0">
      <text>
        <t>Calculated. Do not type here.</t>
      </text>
    </comment>
    <comment ref="AY1" authorId="0" shapeId="0">
      <text>
        <t>Calculated. Do not type here.</t>
      </text>
    </comment>
    <comment ref="AZ1" authorId="0" shapeId="0">
      <text>
        <t>Calculated. Do not type here.</t>
      </text>
    </comment>
    <comment ref="BA1" authorId="0" shapeId="0">
      <text>
        <t>Calculated. Do not type here.</t>
      </text>
    </comment>
    <comment ref="BB1" authorId="0" shapeId="0">
      <text>
        <t>Calculated. Do not type here.</t>
      </text>
    </comment>
    <comment ref="BC1" authorId="0" shapeId="0">
      <text>
        <t>Calculated. Do not type here.</t>
      </text>
    </comment>
    <comment ref="BD1" authorId="0" shapeId="0">
      <text>
        <t>Calculated. Do not type here.</t>
      </text>
    </comment>
    <comment ref="BE1" authorId="0" shapeId="0">
      <text>
        <t>Calculated. Do not type here.</t>
      </text>
    </comment>
    <comment ref="BF1" authorId="0" shapeId="0">
      <text>
        <t>Calculated. Do not type here.</t>
      </text>
    </comment>
    <comment ref="BG1" authorId="0" shapeId="0">
      <text>
        <t>Calculated. Do not type here.</t>
      </text>
    </comment>
    <comment ref="BH1" authorId="0" shapeId="0">
      <text>
        <t>Calculated. Do not type here.</t>
      </text>
    </comment>
    <comment ref="BI1" authorId="0" shapeId="0">
      <text>
        <t>Calculated. Do not type here.</t>
      </text>
    </comment>
    <comment ref="BJ1" authorId="0" shapeId="0">
      <text>
        <t>Calculated. Do not type here.</t>
      </text>
    </comment>
    <comment ref="BK1" authorId="0" shapeId="0">
      <text>
        <t>Calculated. Do not type here.</t>
      </text>
    </comment>
    <comment ref="BL1" authorId="0" shapeId="0">
      <text>
        <t>Calculated. Do not type here.</t>
      </text>
    </comment>
    <comment ref="BM1" authorId="0" shapeId="0">
      <text>
        <t>Calculated. Do not type here.</t>
      </text>
    </comment>
    <comment ref="BN1" authorId="0" shapeId="0">
      <text>
        <t>Calculated. Do not type here.</t>
      </text>
    </comment>
    <comment ref="BO1" authorId="0" shapeId="0">
      <text>
        <t>Calculated. Do not type here.</t>
      </text>
    </comment>
    <comment ref="BP1" authorId="0" shapeId="0">
      <text>
        <t>Calculated. Do not type here.</t>
      </text>
    </comment>
    <comment ref="BQ1" authorId="0" shapeId="0">
      <text>
        <t>Calculated. Do not type here.</t>
      </text>
    </comment>
    <comment ref="BR1" authorId="0" shapeId="0">
      <text>
        <t>Calculated. Do not type here.</t>
      </text>
    </comment>
    <comment ref="BS1" authorId="0" shapeId="0">
      <text>
        <t>Calculated. Do not type here.</t>
      </text>
    </comment>
    <comment ref="BT1" authorId="0" shapeId="0">
      <text>
        <t>Calculated. Do not type here.</t>
      </text>
    </comment>
    <comment ref="BU1" authorId="0" shapeId="0">
      <text>
        <t>Calculated. Do not type here.</t>
      </text>
    </comment>
    <comment ref="BV1" authorId="0" shapeId="0">
      <text>
        <t>Calculated. Do not type here.</t>
      </text>
    </comment>
    <comment ref="BW1" authorId="0" shapeId="0">
      <text>
        <t>Calculated. Do not type here.</t>
      </text>
    </comment>
  </commentList>
</comments>
</file>

<file path=xl/comments/comment3.xml><?xml version="1.0" encoding="utf-8"?>
<comments xmlns="http://schemas.openxmlformats.org/spreadsheetml/2006/main">
  <authors>
    <author>tracker</author>
  </authors>
  <commentList>
    <comment ref="A1" authorId="0" shapeId="0">
      <text>
        <t>Copied from the office_intake row (CONTRACTS 6.3), same column order, so the row pastes in one go.
Maps to: CONTRACTS 6.3 office_intake</t>
      </text>
    </comment>
    <comment ref="B1" authorId="0" shapeId="0">
      <text>
        <t>Copied from the office_intake row (CONTRACTS 6.3), same column order, so the row pastes in one go.
Maps to: CONTRACTS 6.3 office_intake</t>
      </text>
    </comment>
    <comment ref="C1" authorId="0" shapeId="0">
      <text>
        <t>Copied from the office_intake row (CONTRACTS 6.3), same column order, so the row pastes in one go.
Maps to: CONTRACTS 6.3 office_intake</t>
      </text>
    </comment>
    <comment ref="D1" authorId="0" shapeId="0">
      <text>
        <t>Copied from the office_intake row (CONTRACTS 6.3), same column order, so the row pastes in one go.
Maps to: CONTRACTS 6.3 office_intake</t>
      </text>
    </comment>
    <comment ref="E1" authorId="0" shapeId="0">
      <text>
        <t>Copied from the office_intake row (CONTRACTS 6.3), same column order, so the row pastes in one go.
Maps to: CONTRACTS 6.3 office_intake</t>
      </text>
    </comment>
    <comment ref="F1" authorId="0" shapeId="0">
      <text>
        <t>Copied from the office_intake row (CONTRACTS 6.3), same column order, so the row pastes in one go.
Maps to: CONTRACTS 6.3 office_intake</t>
      </text>
    </comment>
    <comment ref="G1" authorId="0" shapeId="0">
      <text>
        <t>Copied from the office_intake row (CONTRACTS 6.3), same column order, so the row pastes in one go.
Maps to: CONTRACTS 6.3 office_intake</t>
      </text>
    </comment>
    <comment ref="H1" authorId="0" shapeId="0">
      <text>
        <t>Copied from the office_intake row (CONTRACTS 6.3), same column order, so the row pastes in one go.
Maps to: CONTRACTS 6.3 office_intake</t>
      </text>
    </comment>
    <comment ref="I1" authorId="0" shapeId="0">
      <text>
        <t>Copied from the office_intake row (CONTRACTS 6.3), same column order, so the row pastes in one go.
Maps to: CONTRACTS 6.3 office_intake</t>
      </text>
    </comment>
    <comment ref="J1" authorId="0" shapeId="0">
      <text>
        <t>Copied from the office_intake row (CONTRACTS 6.3), same column order, so the row pastes in one go.
Maps to: CONTRACTS 6.3 office_intake</t>
      </text>
    </comment>
    <comment ref="K1" authorId="0" shapeId="0">
      <text>
        <t>Copied from the office_intake row (CONTRACTS 6.3), same column order, so the row pastes in one go.
Maps to: CONTRACTS 6.3 office_intake</t>
      </text>
    </comment>
    <comment ref="L1" authorId="0" shapeId="0">
      <text>
        <t>Copied from the office_intake row (CONTRACTS 6.3), same column order, so the row pastes in one go.
Maps to: CONTRACTS 6.3 office_intake</t>
      </text>
    </comment>
    <comment ref="M1" authorId="0" shapeId="0">
      <text>
        <t>Copied from the office_intake row (CONTRACTS 6.3), same column order, so the row pastes in one go.
Maps to: CONTRACTS 6.3 office_intake</t>
      </text>
    </comment>
    <comment ref="N1" authorId="0" shapeId="0">
      <text>
        <t>Copied from the office_intake row (CONTRACTS 6.3), same column order, so the row pastes in one go.
Maps to: CONTRACTS 6.3 office_intake</t>
      </text>
    </comment>
    <comment ref="O1" authorId="0" shapeId="0">
      <text>
        <t>Copied from the office_intake row (CONTRACTS 6.3), same column order, so the row pastes in one go.
Maps to: CONTRACTS 6.3 office_intake</t>
      </text>
    </comment>
    <comment ref="P1" authorId="0" shapeId="0">
      <text>
        <t>Copied from the office_intake row (CONTRACTS 6.3), same column order, so the row pastes in one go.
Maps to: CONTRACTS 6.3 office_intake</t>
      </text>
    </comment>
    <comment ref="Q1" authorId="0" shapeId="0">
      <text>
        <t>Copied from the office_intake row (CONTRACTS 6.3), same column order, so the row pastes in one go.
Maps to: CONTRACTS 6.3 office_intake</t>
      </text>
    </comment>
    <comment ref="R1" authorId="0" shapeId="0">
      <text>
        <t>Copied from the office_intake row (CONTRACTS 6.3), same column order, so the row pastes in one go.
Maps to: CONTRACTS 6.3 office_intake</t>
      </text>
    </comment>
    <comment ref="S1" authorId="0" shapeId="0">
      <text>
        <t>Copied from the office_intake row (CONTRACTS 6.3), same column order, so the row pastes in one go.
Maps to: CONTRACTS 6.3 office_intake</t>
      </text>
    </comment>
    <comment ref="T1" authorId="0" shapeId="0">
      <text>
        <t>Copied from the office_intake row (CONTRACTS 6.3), same column order, so the row pastes in one go.
Maps to: CONTRACTS 6.3 office_intake</t>
      </text>
    </comment>
    <comment ref="U1" authorId="0" shapeId="0">
      <text>
        <t>Copied from the office_intake row (CONTRACTS 6.3), same column order, so the row pastes in one go.
Maps to: CONTRACTS 6.3 office_intake</t>
      </text>
    </comment>
    <comment ref="V1" authorId="0" shapeId="0">
      <text>
        <t>O-### assigned at signing (CONTRACTS 6.4).
Maps to: CONTRACTS 6.4</t>
      </text>
    </comment>
    <comment ref="W1" authorId="0" shapeId="0">
      <text>
        <t>The Clay row_id of the office contact. Must match the row_id used in Office_Log.
Maps to: CONTRACTS 6.4; pipeline org_id</t>
      </text>
    </comment>
    <comment ref="X1" authorId="0" shapeId="0">
      <text>
        <t>Date the participation agreement was signed by both sides.
Maps to: CONTRACTS 6.4</t>
      </text>
    </comment>
    <comment ref="Y1" authorId="0" shapeId="0">
      <text>
        <t>File name of the signed PDF.
Maps to: CONTRACTS 6.4</t>
      </text>
    </comment>
    <comment ref="Z1" authorId="0" shapeId="0">
      <text>
        <t>Y if the office ticked the box agreeing to be named on the founding roster (agreement section 6).
Maps to: CONTRACTS 6.4</t>
      </text>
    </comment>
    <comment ref="AA1" authorId="0" shapeId="0">
      <text>
        <t>Filled from Office_Log (first budget-probe answer for this clay_row_id). Overwrite only if there is no log row.
Maps to: CONTRACTS 6.4</t>
      </text>
    </comment>
    <comment ref="AB1" authorId="0" shapeId="0">
      <text>
        <t>Filled from Office_Log: the date of that answer.
Maps to: CONTRACTS 6.4</t>
      </text>
    </comment>
    <comment ref="AC1" authorId="0" shapeId="0">
      <text>
        <t>Filled from Office_Log: USD per month if they named a number (0 for 'no budget'), else blank.
Maps to: CONTRACTS 6.4</t>
      </text>
    </comment>
    <comment ref="AD1" authorId="0" shapeId="0">
      <text>
        <t>Version of the participation agreement signed (e.g. 0.8). Added at the legal pack's suggestion.
Maps to: addition (G)</t>
      </text>
    </comment>
    <comment ref="AE1" authorId="0" shapeId="0">
      <text>
        <t>Y if the pantry owner can approve a brand alone.
Maps to: addition (plan Phase 1)</t>
      </text>
    </comment>
  </commentList>
</comments>
</file>

<file path=xl/comments/comment4.xml><?xml version="1.0" encoding="utf-8"?>
<comments xmlns="http://schemas.openxmlformats.org/spreadsheetml/2006/main">
  <authors>
    <author>tracker</author>
  </authors>
  <commentList>
    <comment ref="A1" authorId="0" shapeId="0">
      <text>
        <t>Copied from the brand_intake row (CONTRACTS 6.3), same column order.
Maps to: CONTRACTS 6.3 brand_intake</t>
      </text>
    </comment>
    <comment ref="B1" authorId="0" shapeId="0">
      <text>
        <t>Copied from the brand_intake row (CONTRACTS 6.3), same column order.
Maps to: CONTRACTS 6.3 brand_intake</t>
      </text>
    </comment>
    <comment ref="C1" authorId="0" shapeId="0">
      <text>
        <t>Copied from the brand_intake row (CONTRACTS 6.3), same column order.
Maps to: CONTRACTS 6.3 brand_intake</t>
      </text>
    </comment>
    <comment ref="D1" authorId="0" shapeId="0">
      <text>
        <t>Copied from the brand_intake row (CONTRACTS 6.3), same column order.
Maps to: CONTRACTS 6.3 brand_intake</t>
      </text>
    </comment>
    <comment ref="E1" authorId="0" shapeId="0">
      <text>
        <t>Copied from the brand_intake row (CONTRACTS 6.3), same column order.
Maps to: CONTRACTS 6.3 brand_intake</t>
      </text>
    </comment>
    <comment ref="F1" authorId="0" shapeId="0">
      <text>
        <t>Copied from the brand_intake row (CONTRACTS 6.3), same column order.
Maps to: CONTRACTS 6.3 brand_intake</t>
      </text>
    </comment>
    <comment ref="G1" authorId="0" shapeId="0">
      <text>
        <t>Copied from the brand_intake row (CONTRACTS 6.3), same column order.
Maps to: CONTRACTS 6.3 brand_intake</t>
      </text>
    </comment>
    <comment ref="H1" authorId="0" shapeId="0">
      <text>
        <t>Copied from the brand_intake row (CONTRACTS 6.3), same column order.
Maps to: CONTRACTS 6.3 brand_intake</t>
      </text>
    </comment>
    <comment ref="I1" authorId="0" shapeId="0">
      <text>
        <t>Copied from the brand_intake row (CONTRACTS 6.3), same column order.
Maps to: CONTRACTS 6.3 brand_intake</t>
      </text>
    </comment>
    <comment ref="J1" authorId="0" shapeId="0">
      <text>
        <t>Copied from the brand_intake row (CONTRACTS 6.3), same column order.
Maps to: CONTRACTS 6.3 brand_intake</t>
      </text>
    </comment>
    <comment ref="K1" authorId="0" shapeId="0">
      <text>
        <t>Copied from the brand_intake row (CONTRACTS 6.3), same column order.
Maps to: CONTRACTS 6.3 brand_intake</t>
      </text>
    </comment>
    <comment ref="L1" authorId="0" shapeId="0">
      <text>
        <t>Copied from the brand_intake row (CONTRACTS 6.3), same column order.
Maps to: CONTRACTS 6.3 brand_intake</t>
      </text>
    </comment>
    <comment ref="M1" authorId="0" shapeId="0">
      <text>
        <t>Copied from the brand_intake row (CONTRACTS 6.3), same column order.
Maps to: CONTRACTS 6.3 brand_intake</t>
      </text>
    </comment>
    <comment ref="N1" authorId="0" shapeId="0">
      <text>
        <t>Copied from the brand_intake row (CONTRACTS 6.3), same column order.
Maps to: CONTRACTS 6.3 brand_intake</t>
      </text>
    </comment>
    <comment ref="O1" authorId="0" shapeId="0">
      <text>
        <t>Copied from the brand_intake row (CONTRACTS 6.3), same column order.
Maps to: CONTRACTS 6.3 brand_intake</t>
      </text>
    </comment>
    <comment ref="P1" authorId="0" shapeId="0">
      <text>
        <t>Copied from the brand_intake row (CONTRACTS 6.3), same column order.
Maps to: CONTRACTS 6.3 brand_intake</t>
      </text>
    </comment>
    <comment ref="Q1" authorId="0" shapeId="0">
      <text>
        <t>Copied from the brand_intake row (CONTRACTS 6.3), same column order.
Maps to: CONTRACTS 6.3 brand_intake</t>
      </text>
    </comment>
    <comment ref="R1" authorId="0" shapeId="0">
      <text>
        <t>Copied from the brand_intake row (CONTRACTS 6.3), same column order.
Maps to: CONTRACTS 6.3 brand_intake</t>
      </text>
    </comment>
    <comment ref="S1" authorId="0" shapeId="0">
      <text>
        <t>Copied from the brand_intake row (CONTRACTS 6.3), same column order.
Maps to: CONTRACTS 6.3 brand_intake</t>
      </text>
    </comment>
    <comment ref="T1" authorId="0" shapeId="0">
      <text>
        <t>Copied from the brand_intake row (CONTRACTS 6.3), same column order.
Maps to: CONTRACTS 6.3 brand_intake</t>
      </text>
    </comment>
    <comment ref="U1" authorId="0" shapeId="0">
      <text>
        <t>Copied from the brand_intake row (CONTRACTS 6.3), same column order.
Maps to: CONTRACTS 6.3 brand_intake</t>
      </text>
    </comment>
    <comment ref="V1" authorId="0" shapeId="0">
      <text>
        <t>Copied from the brand_intake row (CONTRACTS 6.3), same column order.
Maps to: CONTRACTS 6.3 brand_intake</t>
      </text>
    </comment>
    <comment ref="W1" authorId="0" shapeId="0">
      <text>
        <t>Copied from the brand_intake row (CONTRACTS 6.3), same column order.
Maps to: CONTRACTS 6.3 brand_intake</t>
      </text>
    </comment>
    <comment ref="X1" authorId="0" shapeId="0">
      <text>
        <t>Copied from the brand_intake row (CONTRACTS 6.3), same column order.
Maps to: CONTRACTS 6.3 brand_intake</t>
      </text>
    </comment>
    <comment ref="Y1" authorId="0" shapeId="0">
      <text>
        <t>Copied from the brand_intake row (CONTRACTS 6.3), same column order.
Maps to: CONTRACTS 6.3 brand_intake</t>
      </text>
    </comment>
    <comment ref="Z1" authorId="0" shapeId="0">
      <text>
        <t>Copied from the brand_intake row (CONTRACTS 6.3), same column order.
Maps to: CONTRACTS 6.3 brand_intake</t>
      </text>
    </comment>
    <comment ref="AA1" authorId="0" shapeId="0">
      <text>
        <t>Copied from the brand_intake row (CONTRACTS 6.3), same column order.
Maps to: CONTRACTS 6.3 brand_intake</t>
      </text>
    </comment>
    <comment ref="AB1" authorId="0" shapeId="0">
      <text>
        <t>BR-### assigned at payment (CONTRACTS 6.4).
Maps to: CONTRACTS 6.4</t>
      </text>
    </comment>
    <comment ref="AC1" authorId="0" shapeId="0">
      <text>
        <t>The Clay row_id of the brand contact. Must match the row_id used in Brand_Log.
Maps to: CONTRACTS 6.4; pipeline org_id</t>
      </text>
    </comment>
    <comment ref="AD1" authorId="0" shapeId="0">
      <text>
        <t>founding or standard.
Maps to: CONTRACTS 6.4</t>
      </text>
    </comment>
    <comment ref="AE1" authorId="0" shapeId="0">
      <text>
        <t>Campaign price in USD (600 founding, 1500 standard, plus 150 per extra office).
Maps to: CONTRACTS 6.4</t>
      </text>
    </comment>
    <comment ref="AF1" authorId="0" shapeId="0">
      <text>
        <t>Offices in the campaign (5 founding, 10 standard, more if extra offices).
Maps to: CONTRACTS 6.4</t>
      </text>
    </comment>
    <comment ref="AG1" authorId="0" shapeId="0">
      <text>
        <t>As in the signed agreement.
Maps to: CONTRACTS 6.4</t>
      </text>
    </comment>
    <comment ref="AH1" authorId="0" shapeId="0">
      <text>
        <t>Date the campaign agreement was signed by both sides.
Maps to: CONTRACTS 6.4</t>
      </text>
    </comment>
    <comment ref="AI1" authorId="0" shapeId="0">
      <text>
        <t>Invoice number.
Maps to: CONTRACTS 6.4</t>
      </text>
    </comment>
    <comment ref="AJ1" authorId="0" shapeId="0">
      <text>
        <t>Invoice date.
Maps to: CONTRACTS 6.4</t>
      </text>
    </comment>
    <comment ref="AK1" authorId="0" shapeId="0">
      <text>
        <t>Date the payment that releases the ship date landed: founding = the full price; standard = the 50% deposit. Filled from payment_1_date.
Maps to: CONTRACTS 6.4</t>
      </text>
    </comment>
    <comment ref="AL1" authorId="0" shapeId="0">
      <text>
        <t>Date the product liability certificate arrived (checked per legal pack file 11).
Maps to: CONTRACTS 6.4</t>
      </text>
    </comment>
    <comment ref="AM1" authorId="0" shapeId="0">
      <text>
        <t>Date the ingredient and allergen sheet arrived.
Maps to: CONTRACTS 6.4</t>
      </text>
    </comment>
    <comment ref="AN1" authorId="0" shapeId="0">
      <text>
        <t>Date the logo files arrived.
Maps to: CONTRACTS 6.4</t>
      </text>
    </comment>
    <comment ref="AO1" authorId="0" shapeId="0">
      <text>
        <t>The brand's two sentences for the tent card, as sent (no health claims).
Maps to: CONTRACTS 6.4</t>
      </text>
    </comment>
    <comment ref="AP1" authorId="0" shapeId="0">
      <text>
        <t>The allergen statement copied word for word from the label.
Maps to: CONTRACTS 6.4</t>
      </text>
    </comment>
    <comment ref="AQ1" authorId="0" shapeId="0">
      <text>
        <t>'Find it at &lt;store, street&gt;' line for the card.
Maps to: CONTRACTS 6.4</t>
      </text>
    </comment>
    <comment ref="AR1" authorId="0" shapeId="0">
      <text>
        <t>The campaign discount code.
Maps to: CONTRACTS 6.4</t>
      </text>
    </comment>
    <comment ref="AS1" authorId="0" shapeId="0">
      <text>
        <t>Landing page for the QR, if the brand gave one.
Maps to: CONTRACTS 6.4</t>
      </text>
    </comment>
    <comment ref="AT1" authorId="0" shapeId="0">
      <text>
        <t>return or release, as elected in the agreement.
Maps to: CONTRACTS 6.4</t>
      </text>
    </comment>
    <comment ref="AU1" authorId="0" shapeId="0">
      <text>
        <t>office_ids that said yes to this brand, semicolons.
Maps to: CONTRACTS 6.4</t>
      </text>
    </comment>
    <comment ref="AV1" authorId="0" shapeId="0">
      <text>
        <t>First payment received, USD (founding: 600; standard: the 50% deposit).
Maps to: addition: pipeline 'paid' rows</t>
      </text>
    </comment>
    <comment ref="AW1" authorId="0" shapeId="0">
      <text>
        <t>Date the first payment landed in the bank.
Maps to: addition: pipeline 'paid' rows</t>
      </text>
    </comment>
    <comment ref="AX1" authorId="0" shapeId="0">
      <text>
        <t>Second payment, USD (standard balance at placement confirmation). Blank for founding.
Maps to: addition: pipeline 'paid' rows</t>
      </text>
    </comment>
    <comment ref="AY1" authorId="0" shapeId="0">
      <text>
        <t>Date the second payment landed.
Maps to: addition: pipeline 'paid' rows</t>
      </text>
    </comment>
    <comment ref="AZ1" authorId="0" shapeId="0">
      <text>
        <t>Version of the campaign agreement signed.
Maps to: addition (G)</t>
      </text>
    </comment>
    <comment ref="BA1" authorId="0" shapeId="0">
      <text>
        <t>End date of the brand's product liability policy, from the certificate.
Maps to: addition (G)</t>
      </text>
    </comment>
    <comment ref="BB1" authorId="0" shapeId="0">
      <text>
        <t>Y if the brand chose the optional survey email box (agreement Part 1).
Maps to: addition (G)</t>
      </text>
    </comment>
    <comment ref="BC1" authorId="0" shapeId="0">
      <text>
        <t>The brand's privacy policy URL (needed only if newsletter_option = Y).
Maps to: addition (G)</t>
      </text>
    </comment>
    <comment ref="BD1" authorId="0" shapeId="0">
      <text>
        <t>Where the allergen line comes from on the package.
Maps to: addition (D tent card)</t>
      </text>
    </comment>
    <comment ref="BE1" authorId="0" shapeId="0">
      <text>
        <t>Any 'may contain' line, word for word.
Maps to: addition (D tent card)</t>
      </text>
    </comment>
    <comment ref="BF1" authorId="0" shapeId="0">
      <text>
        <t>Two-flavor campaigns only: flavor 1 name.
Maps to: addition (D tent card)</t>
      </text>
    </comment>
    <comment ref="BG1" authorId="0" shapeId="0">
      <text>
        <t>Two-flavor campaigns only: flavor 2 name.
Maps to: addition (D tent card)</t>
      </text>
    </comment>
    <comment ref="BH1" authorId="0" shapeId="0">
      <text>
        <t>Two-flavor only: flavor 2 allergen source.
Maps to: addition (D tent card)</t>
      </text>
    </comment>
    <comment ref="BI1" authorId="0" shapeId="0">
      <text>
        <t>Two-flavor only: flavor 2 allergen line.
Maps to: addition (D tent card)</t>
      </text>
    </comment>
    <comment ref="BJ1" authorId="0" shapeId="0">
      <text>
        <t>Two-flavor only: flavor 2 'may contain' line.
Maps to: addition (D tent card)</t>
      </text>
    </comment>
    <comment ref="BK1" authorId="0" shapeId="0">
      <text>
        <t>Founder checked: sealed, individually packaged, shelf-stable, 60+ days of shelf life at the drop date.
Maps to: addition: qualification check 1</t>
      </text>
    </comment>
    <comment ref="BL1" authorId="0" shapeId="0">
      <text>
        <t>Founder checked the label: ingredients and the nine major allergens.
Maps to: addition: qualification check 2</t>
      </text>
    </comment>
    <comment ref="BM1" authorId="0" shapeId="0">
      <text>
        <t>Founder checked the buy path: a store within ten blocks (evidence grade store_selector, brand_claim or seen_on_shelf) or an online store with a code.
Maps to: addition: qualification check 3</t>
      </text>
    </comment>
    <comment ref="BN1" authorId="0" shapeId="0">
      <text>
        <t>Brand confirmed in writing it can ship the units plus reserve to one Manhattan address within ten business days.
Maps to: addition: qualification check 4</t>
      </text>
    </comment>
    <comment ref="BO1" authorId="0" shapeId="0">
      <text>
        <t>Certificate received and checked (legal pack file 11).
Maps to: addition: qualification check 5</t>
      </text>
    </comment>
    <comment ref="BP1" authorId="0" shapeId="0">
      <text>
        <t>The signer approved the price alone.
Maps to: addition: qualification check 6</t>
      </text>
    </comment>
    <comment ref="BQ1" authorId="0" shapeId="0">
      <text>
        <t>A real reason for New York trial now (new store, launch, local push), noted in verified_notes.
Maps to: addition: qualification check 7</t>
      </text>
    </comment>
    <comment ref="BR1" authorId="0" shapeId="0">
      <text>
        <t>Not alcohol, cannabis, CBD or THC, supplement, refrigerated, needing preparation, or carrying a health claim (CONTRACTS 4).
Maps to: addition: excluded list</t>
      </text>
    </comment>
    <comment ref="BS1" authorId="0" shapeId="0">
      <text>
        <t>Date the founder finished the checks.
Maps to: addition</t>
      </text>
    </comment>
    <comment ref="BT1" authorId="0" shapeId="0">
      <text>
        <t>Evidence for the checks (best-by date seen, certificate details, store and street).
Maps to: addition</t>
      </text>
    </comment>
  </commentList>
</comments>
</file>

<file path=xl/comments/comment5.xml><?xml version="1.0" encoding="utf-8"?>
<comments xmlns="http://schemas.openxmlformats.org/spreadsheetml/2006/main">
  <authors>
    <author>tracker</author>
  </authors>
  <commentList>
    <comment ref="A1" authorId="0" shapeId="0">
      <text>
        <t>Date of the event.
Maps to: pipeline_log date</t>
      </text>
    </comment>
    <comment ref="B1" authorId="0" shapeId="0">
      <text>
        <t>office or brand.
Maps to: pipeline_log side</t>
      </text>
    </comment>
    <comment ref="C1" authorId="0" shapeId="0">
      <text>
        <t>Clay row_id of the organization (same as in the logs and handoff tabs).
Maps to: pipeline_log org_id</t>
      </text>
    </comment>
    <comment ref="D1" authorId="0" shapeId="0">
      <text>
        <t>Company or brand name.
Maps to: pipeline_log org_name</t>
      </text>
    </comment>
    <comment ref="E1" authorId="0" shapeId="0">
      <text>
        <t>renewal_answer (a brand's answer at or after the debrief) or opt_out (a signed office or paid brand leaving the roster). Outreach unsubscribes are NOT logged here; they live in Clay only.
Maps to: pipeline_log event</t>
      </text>
    </comment>
    <comment ref="F1" authorId="0" shapeId="0">
      <text>
        <t>renewal_answer: USD committed if the answer is yes, else blank. opt_out: blank.
Maps to: pipeline_log value_number</t>
      </text>
    </comment>
    <comment ref="G1" authorId="0" shapeId="0">
      <text>
        <t>renewal_answer: yes, maybe or no. opt_out: the reason in their words.
Maps to: pipeline_log value_text</t>
      </text>
    </comment>
    <comment ref="H1" authorId="0" shapeId="0">
      <text>
        <t>Anything else.
Maps to: pipeline_log notes</t>
      </text>
    </comment>
  </commentList>
</comments>
</file>

<file path=xl/comments/comment6.xml><?xml version="1.0" encoding="utf-8"?>
<comments xmlns="http://schemas.openxmlformats.org/spreadsheetml/2006/main">
  <authors>
    <author>tracker</author>
  </authors>
  <commentList>
    <comment ref="A1" authorId="0" shapeId="0">
      <text>
        <t>Paste the whole Clay offices table export here every Friday: select A1, paste, header row included. Columns are found by their header names, so their order does not matter. Area A1:FZ601. Then type the export date on Config.</t>
      </text>
    </comment>
  </commentList>
</comments>
</file>

<file path=xl/comments/comment7.xml><?xml version="1.0" encoding="utf-8"?>
<comments xmlns="http://schemas.openxmlformats.org/spreadsheetml/2006/main">
  <authors>
    <author>tracker</author>
  </authors>
  <commentList>
    <comment ref="A1" authorId="0" shapeId="0">
      <text>
        <t>Paste the whole Clay brands table export here every Friday: select A1, paste, header row included. Columns are found by their header names, so their order does not matter. Area A1:FZ601. Then type the export date on Config.</t>
      </text>
    </comment>
  </commentList>
</comments>
</file>

<file path=xl/comments/comment8.xml><?xml version="1.0" encoding="utf-8"?>
<comments xmlns="http://schemas.openxmlformats.org/spreadsheetml/2006/main">
  <authors>
    <author>tracker</author>
  </authors>
  <commentList>
    <comment ref="A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B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C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D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E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F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G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H1" authorId="0" shapeId="0">
      <text>
        <t>Generated. Do not type here. File &gt; Download &gt; CSV (this tab only) and save as desk-drop-outreach/exports/pipeline_log.csv. Columns are exactly financial-model/HANDOFF.md section 3.</t>
      </text>
    </comment>
    <comment ref="I1" authorId="0" shapeId="0">
      <text>
        <t>Generated. Do not type here. File &gt; Download &gt; CSV (this tab only) and save as desk-drop-outreach/exports/pipeline_log.csv. Columns are exactly financial-model/HANDOFF.md section 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>
        <f>Config!$B$3&amp;" · conversation tracker"</f>
        <v/>
      </c>
    </row>
    <row r="2">
      <c r="A2" s="2" t="inlineStr">
        <is>
          <t>What this is: the conversation and notes log for discovery and selling, one row per conversation, keyed by the Clay row_id.</t>
        </is>
      </c>
    </row>
    <row r="3">
      <c r="A3" s="3" t="inlineStr">
        <is>
          <t>It is not a status store. Status, touches, replies, next actions and do-not-contact live in the Clay tables only (CONTRACTS 6.2).</t>
        </is>
      </c>
    </row>
    <row r="4">
      <c r="A4" s="2" t="inlineStr"/>
    </row>
    <row r="5">
      <c r="A5" s="3" t="inlineStr">
        <is>
          <t>After every call (ten minutes, calls/post-call-note-template.md)</t>
        </is>
      </c>
    </row>
    <row r="6">
      <c r="A6" s="2" t="inlineStr">
        <is>
          <t>1. Type one row on Office_Log or Brand_Log: verbatims first, then numbers and codes.</t>
        </is>
      </c>
    </row>
    <row r="7">
      <c r="A7" s="2" t="inlineStr">
        <is>
          <t>2. Write back to the Clay row: call_date, status (call_done or yes_in_principle), yes_in_principle, call_notes ('see tracker &lt;date&gt;'), next_action, next_action_date.</t>
        </is>
      </c>
    </row>
    <row r="8">
      <c r="A8" s="2" t="inlineStr">
        <is>
          <t>3. Set clay_updated = Y and note_minutes.</t>
        </is>
      </c>
    </row>
    <row r="9">
      <c r="A9" s="2" t="inlineStr"/>
    </row>
    <row r="10">
      <c r="A10" s="3" t="inlineStr">
        <is>
          <t>Every Friday (15 minutes)</t>
        </is>
      </c>
    </row>
    <row r="11">
      <c r="A11" s="2" t="inlineStr">
        <is>
          <t>1. Export the Clay offices table (all columns) and paste it on Clay_Offices at A1. Same for brands on Clay_Brands. Type both export dates on Config.</t>
        </is>
      </c>
    </row>
    <row r="12">
      <c r="A12" s="2" t="inlineStr">
        <is>
          <t>2. Open Scorecard. Fix every FIX under Data checks (the Sync tab and the red calc_sync_issue cells show where).</t>
        </is>
      </c>
    </row>
    <row r="13">
      <c r="A13" s="2" t="inlineStr">
        <is>
          <t>3. Read the Gate 0 block, the medians, the top objections and the reply rates. If a reply rate says UNDER 20%, run sending guide section 6.</t>
        </is>
      </c>
    </row>
    <row r="14">
      <c r="A14" s="2" t="inlineStr">
        <is>
          <t>4. Download pipeline_log as CSV (File &gt; Download &gt; CSV, this tab only) to desk-drop-outreach/exports/pipeline_log.csv and paste it into the financial model's Pipeline tab.</t>
        </is>
      </c>
    </row>
    <row r="15">
      <c r="A15" s="2" t="inlineStr">
        <is>
          <t>5. When an office signs or a brand pays: add the row on signed_offices or paid_brands, download that tab as CSV to desk-drop-outreach/handoff/.</t>
        </is>
      </c>
    </row>
    <row r="16">
      <c r="A16" s="2" t="inlineStr"/>
    </row>
    <row r="17">
      <c r="A17" s="3" t="inlineStr">
        <is>
          <t>Tabs</t>
        </is>
      </c>
    </row>
    <row r="18">
      <c r="A18" s="2" t="inlineStr">
        <is>
          <t>Scorecard: the Friday readout against Gate 0.  Office_Log, Brand_Log: one row per conversation.  signed_offices, paid_brands: handoff rows for operations (CONTRACTS 6.4).</t>
        </is>
      </c>
    </row>
    <row r="19">
      <c r="A19" s="2" t="inlineStr">
        <is>
          <t>later_events: renewal answers and roster exits.  Clay_Offices, Clay_Brands: the weekly Clay paste.  Sync: disagreements between Clay and this file.</t>
        </is>
      </c>
    </row>
    <row r="20">
      <c r="A20" s="2" t="inlineStr">
        <is>
          <t>pipeline_log: generated export for the financial model (exactly its nine columns).  Pipeline_Sort, Pipeline_Calc: helpers, do not edit.</t>
        </is>
      </c>
    </row>
    <row r="21">
      <c r="A21" s="2" t="inlineStr">
        <is>
          <t>Config: dates, targets, the company name.  Lists: dropdown values and objection codes.  Dictionary: every column.  Clay_Columns: the 13 columns to add in Clay.</t>
        </is>
      </c>
    </row>
    <row r="22">
      <c r="A22" s="2" t="inlineStr"/>
    </row>
    <row r="23">
      <c r="A23" s="3" t="inlineStr">
        <is>
          <t>Rules</t>
        </is>
      </c>
    </row>
    <row r="24">
      <c r="A24" s="2" t="inlineStr">
        <is>
          <t>Business contacts only. No employee names or details, ever. Verbatims are the speaker's own words; write 'paraphrase:' if you could not catch them exactly.</t>
        </is>
      </c>
    </row>
    <row r="25">
      <c r="A25" s="2" t="inlineStr">
        <is>
          <t>Grey columns are formulas. Hidden calc columns sit to the right of each log; unhide them only to debug.</t>
        </is>
      </c>
    </row>
    <row r="26">
      <c r="A26" s="2" t="inlineStr">
        <is>
          <t>Dates as YYYY-MM-DD. Money as plain numbers. Rows whose row_id starts with SAMPLE are ignored while include_sample = 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5"/>
  <sheetViews>
    <sheetView zoomScale="9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60" customWidth="1" min="7" max="7"/>
    <col width="4" customWidth="1" min="8" max="8"/>
    <col width="18" customWidth="1" min="10" max="10"/>
    <col width="36" customWidth="1" min="11" max="11"/>
    <col width="9" customWidth="1" min="12" max="12"/>
    <col width="10" customWidth="1" min="13" max="13"/>
    <col width="18" customWidth="1" min="15" max="15"/>
    <col width="36" customWidth="1" min="16" max="16"/>
    <col width="9" customWidth="1" min="17" max="17"/>
    <col width="10" customWidth="1" min="18" max="18"/>
  </cols>
  <sheetData>
    <row r="1">
      <c r="A1" s="4">
        <f>IF((COUNTIF(Office_Log!$A$2:$A$201,"SAMPLE*")+COUNTIF(Brand_Log!$A$2:$A$201,"SAMPLE*")+COUNTIF(signed_offices!$W$2:$W$51,"SAMPLE*")+COUNTIF(paid_brands!$AC$2:$AC$51,"SAMPLE*")+COUNTIF(later_events!$C$2:$C$101,"SAMPLE*")+IFERROR(COUNTIF(INDEX(Clay_Offices!$A$2:$FZ$601,0,Sync!$C$5),"SAMPLE*"),0)+IFERROR(COUNTIF(INDEX(Clay_Brands!$A$2:$FZ$601,0,Sync!$D$5),"SAMPLE*"),0))&gt;0,"SAMPLE: this file holds "&amp;(COUNTIF(Office_Log!$A$2:$A$201,"SAMPLE*")+COUNTIF(Brand_Log!$A$2:$A$201,"SAMPLE*")+COUNTIF(signed_offices!$W$2:$W$51,"SAMPLE*")+COUNTIF(paid_brands!$AC$2:$AC$51,"SAMPLE*")+COUNTIF(later_events!$C$2:$C$101,"SAMPLE*")+IFERROR(COUNTIF(INDEX(Clay_Offices!$A$2:$FZ$601,0,Sync!$C$5),"SAMPLE*"),0)+IFERROR(COUNTIF(INDEX(Clay_Brands!$A$2:$FZ$601,0,Sync!$D$5),"SAMPLE*"),0))&amp;" SAMPLE rows. Illustrative placeholders, not results. include_sample = "&amp;Config!$B$19&amp;IF(Config!$B$19="Y"," (SAMPLE rows are counted)"," (SAMPLE rows are ignored)"),"")</f>
        <v/>
      </c>
    </row>
    <row r="2">
      <c r="A2" s="5">
        <f>Config!$B$3&amp;" · Friday scorecard"</f>
        <v/>
      </c>
    </row>
    <row r="3">
      <c r="A3" s="6">
        <f>"As of "&amp;TEXT(Config!$B$5,"ddd yyyy-mm-dd")&amp;". Gate 0 is "&amp;TEXT(Config!$B$8,"ddd yyyy-mm-dd")&amp;" (derived, founder to confirm). Counts are distinct offices or brands, by call_date."</f>
        <v/>
      </c>
    </row>
    <row r="5">
      <c r="A5" s="7" t="inlineStr">
        <is>
          <t>Measure</t>
        </is>
      </c>
      <c r="B5" s="7" t="inlineStr">
        <is>
          <t>Fri wk 1</t>
        </is>
      </c>
      <c r="C5" s="7" t="inlineStr">
        <is>
          <t>Fri wk 2</t>
        </is>
      </c>
      <c r="D5" s="7" t="inlineStr">
        <is>
          <t>Gate 0</t>
        </is>
      </c>
      <c r="E5" s="7" t="inlineStr">
        <is>
          <t>As of</t>
        </is>
      </c>
      <c r="F5" s="7" t="inlineStr">
        <is>
          <t>Target</t>
        </is>
      </c>
      <c r="G5" s="7" t="inlineStr">
        <is>
          <t>How it is counted</t>
        </is>
      </c>
    </row>
    <row r="6">
      <c r="A6" s="6" t="inlineStr">
        <is>
          <t>Cut-off date</t>
        </is>
      </c>
      <c r="B6" s="8">
        <f>Config!$B$6</f>
        <v/>
      </c>
      <c r="C6" s="8">
        <f>Config!$B$7</f>
        <v/>
      </c>
      <c r="D6" s="8">
        <f>Config!$B$8</f>
        <v/>
      </c>
      <c r="E6" s="8">
        <f>Config!$B$5</f>
        <v/>
      </c>
    </row>
    <row r="7">
      <c r="A7" s="9" t="inlineStr">
        <is>
          <t>Offices (Gate 0: at least 5 of 15 say yes in principle AND name a pantry owner AND a receiving window)</t>
        </is>
      </c>
    </row>
    <row r="8">
      <c r="A8" t="inlineStr">
        <is>
          <t>Office conversations held</t>
        </is>
      </c>
      <c r="B8" s="10">
        <f>COUNTIFS(Office_Log!$AV$2:$AV$201,1,Office_Log!$G$2:$G$201,"&lt;="&amp;B$6)</f>
        <v/>
      </c>
      <c r="C8" s="10">
        <f>COUNTIFS(Office_Log!$AV$2:$AV$201,1,Office_Log!$G$2:$G$201,"&lt;="&amp;C$6)</f>
        <v/>
      </c>
      <c r="D8" s="10">
        <f>COUNTIFS(Office_Log!$AV$2:$AV$201,1,Office_Log!$G$2:$G$201,"&lt;="&amp;D$6)</f>
        <v/>
      </c>
      <c r="E8" s="10">
        <f>COUNTIFS(Office_Log!$AV$2:$AV$201,1,Office_Log!$G$2:$G$201,"&lt;="&amp;E$6)</f>
        <v/>
      </c>
      <c r="F8">
        <f>Config!$B$10</f>
        <v/>
      </c>
      <c r="G8" s="11" t="inlineStr">
        <is>
          <t>Distinct row_ids in Office_Log with a call_date on or before the cut-off.</t>
        </is>
      </c>
    </row>
    <row r="9">
      <c r="A9" t="inlineStr">
        <is>
          <t>Yes in principle, pantry owner named, receiving window named</t>
        </is>
      </c>
      <c r="B9" s="10">
        <f>COUNTIFS(Office_Log!$AY$2:$AY$201,1,Office_Log!$G$2:$G$201,"&lt;="&amp;B$6)</f>
        <v/>
      </c>
      <c r="C9" s="10">
        <f>COUNTIFS(Office_Log!$AY$2:$AY$201,1,Office_Log!$G$2:$G$201,"&lt;="&amp;C$6)</f>
        <v/>
      </c>
      <c r="D9" s="10">
        <f>COUNTIFS(Office_Log!$AY$2:$AY$201,1,Office_Log!$G$2:$G$201,"&lt;="&amp;D$6)</f>
        <v/>
      </c>
      <c r="E9" s="10">
        <f>COUNTIFS(Office_Log!$AY$2:$AY$201,1,Office_Log!$G$2:$G$201,"&lt;="&amp;E$6)</f>
        <v/>
      </c>
      <c r="F9">
        <f>Config!$B$11</f>
        <v/>
      </c>
      <c r="G9" s="11" t="inlineStr">
        <is>
          <t>The Gate 0 count. One per office, from its first qualifying conversation.</t>
        </is>
      </c>
    </row>
    <row r="10">
      <c r="A10" s="12" t="inlineStr">
        <is>
          <t>Gate 0, office side</t>
        </is>
      </c>
      <c r="B10" s="12">
        <f>IF(B9&gt;=Config!$B$11,"PASS",IF(B$6&lt;Config!$B$8,"not yet","FAIL"))</f>
        <v/>
      </c>
      <c r="C10" s="12">
        <f>IF(C9&gt;=Config!$B$11,"PASS",IF(C$6&lt;Config!$B$8,"not yet","FAIL"))</f>
        <v/>
      </c>
      <c r="D10" s="12">
        <f>IF(D9&gt;=Config!$B$11,"PASS",IF(D$6&lt;Config!$B$8,"not yet","FAIL"))</f>
        <v/>
      </c>
      <c r="E10" s="12">
        <f>IF(E9&gt;=Config!$B$11,"PASS",IF(E$6&lt;Config!$B$8,"not yet","FAIL"))</f>
        <v/>
      </c>
      <c r="G10" s="11" t="inlineStr">
        <is>
          <t>PASS once the count reaches the target. Before Gate 0 a shortfall reads 'not yet'; on or after Gate 0 it reads FAIL.</t>
        </is>
      </c>
    </row>
    <row r="11">
      <c r="A11" t="inlineStr">
        <is>
          <t>Yes in principle, any (owner or window may be missing)</t>
        </is>
      </c>
      <c r="B11" s="10">
        <f>COUNTIFS(Office_Log!$BV$2:$BV$201,1,Office_Log!$G$2:$G$201,"&lt;="&amp;B$6)</f>
        <v/>
      </c>
      <c r="C11" s="10">
        <f>COUNTIFS(Office_Log!$BV$2:$BV$201,1,Office_Log!$G$2:$G$201,"&lt;="&amp;C$6)</f>
        <v/>
      </c>
      <c r="D11" s="10">
        <f>COUNTIFS(Office_Log!$BV$2:$BV$201,1,Office_Log!$G$2:$G$201,"&lt;="&amp;D$6)</f>
        <v/>
      </c>
      <c r="E11" s="10">
        <f>COUNTIFS(Office_Log!$BV$2:$BV$201,1,Office_Log!$G$2:$G$201,"&lt;="&amp;E$6)</f>
        <v/>
      </c>
      <c r="G11" s="11" t="inlineStr">
        <is>
          <t>Offices that said Y at least once. The gap to the row above is follow-up work: get the owner and the window.</t>
        </is>
      </c>
    </row>
    <row r="12">
      <c r="A12" t="inlineStr">
        <is>
          <t>Said maybe at least once (someone else must agree)</t>
        </is>
      </c>
      <c r="B12" s="10">
        <f>COUNTIFS(Office_Log!$BU$2:$BU$201,1,Office_Log!$G$2:$G$201,"&lt;="&amp;B$6)</f>
        <v/>
      </c>
      <c r="C12" s="10">
        <f>COUNTIFS(Office_Log!$BU$2:$BU$201,1,Office_Log!$G$2:$G$201,"&lt;="&amp;C$6)</f>
        <v/>
      </c>
      <c r="D12" s="10">
        <f>COUNTIFS(Office_Log!$BU$2:$BU$201,1,Office_Log!$G$2:$G$201,"&lt;="&amp;D$6)</f>
        <v/>
      </c>
      <c r="E12" s="10">
        <f>COUNTIFS(Office_Log!$BU$2:$BU$201,1,Office_Log!$G$2:$G$201,"&lt;="&amp;E$6)</f>
        <v/>
      </c>
      <c r="G12" s="11" t="inlineStr">
        <is>
          <t>Plan Phase 1: 'I need to ask facilities and HR' is a maybe, not a yes.</t>
        </is>
      </c>
    </row>
    <row r="13">
      <c r="A13" t="inlineStr">
        <is>
          <t>Median budget-probe answer, USD a month</t>
        </is>
      </c>
      <c r="B13" s="13">
        <f>IF(COUNT(Office_Log!$BC$2:$BC$201)=0,"none yet",MEDIAN(Office_Log!$BC$2:$BC$201))</f>
        <v/>
      </c>
      <c r="C13" s="13">
        <f>IF(COUNT(Office_Log!$BD$2:$BD$201)=0,"none yet",MEDIAN(Office_Log!$BD$2:$BD$201))</f>
        <v/>
      </c>
      <c r="D13" s="13">
        <f>IF(COUNT(Office_Log!$BE$2:$BE$201)=0,"none yet",MEDIAN(Office_Log!$BE$2:$BE$201))</f>
        <v/>
      </c>
      <c r="E13" s="13">
        <f>IF(COUNT(Office_Log!$BF$2:$BF$201)=0,"none yet",MEDIAN(Office_Log!$BF$2:$BF$201))</f>
        <v/>
      </c>
      <c r="G13" s="11" t="inlineStr">
        <is>
          <t>First numeric answer per office; a range counts at its low end; 'no budget' counts as 0; no number is left out.</t>
        </is>
      </c>
    </row>
    <row r="14">
      <c r="A14" t="inlineStr">
        <is>
          <t>Offices that gave a number (0 included)</t>
        </is>
      </c>
      <c r="B14" s="10">
        <f>COUNT(Office_Log!$BC$2:$BC$201)</f>
        <v/>
      </c>
      <c r="C14" s="10">
        <f>COUNT(Office_Log!$BD$2:$BD$201)</f>
        <v/>
      </c>
      <c r="D14" s="10">
        <f>COUNT(Office_Log!$BE$2:$BE$201)</f>
        <v/>
      </c>
      <c r="E14" s="10">
        <f>COUNT(Office_Log!$BF$2:$BF$201)</f>
        <v/>
      </c>
      <c r="G14" s="11" t="inlineStr">
        <is>
          <t>The n behind the median.</t>
        </is>
      </c>
    </row>
    <row r="15">
      <c r="A15" t="inlineStr">
        <is>
          <t>Of those, said no budget (0)</t>
        </is>
      </c>
      <c r="B15" s="10">
        <f>COUNTIF(Office_Log!$BC$2:$BC$201,0)</f>
        <v/>
      </c>
      <c r="C15" s="10">
        <f>COUNTIF(Office_Log!$BD$2:$BD$201,0)</f>
        <v/>
      </c>
      <c r="D15" s="10">
        <f>COUNTIF(Office_Log!$BE$2:$BE$201,0)</f>
        <v/>
      </c>
      <c r="E15" s="10">
        <f>COUNTIF(Office_Log!$BF$2:$BF$201,0)</f>
        <v/>
      </c>
      <c r="G15" s="11" t="inlineStr">
        <is>
          <t>Counted inside the median.</t>
        </is>
      </c>
    </row>
    <row r="16">
      <c r="A16" t="inlineStr">
        <is>
          <t>Offices naming $100 a month or more (decision-rule input), as of</t>
        </is>
      </c>
      <c r="E16" s="10">
        <f>COUNTIFS(Office_Log!$BG$2:$BG$201,1,Office_Log!$G$2:$G$201,"&lt;="&amp;E$6)</f>
        <v/>
      </c>
      <c r="G16" s="11" t="inlineStr">
        <is>
          <t>Plan decision rule: office-paid tier is tested if at least five offices named $100 a month or more.</t>
        </is>
      </c>
    </row>
    <row r="17">
      <c r="A17" t="inlineStr">
        <is>
          <t>Median monthly pantry spend today, USD, as of</t>
        </is>
      </c>
      <c r="E17" s="13">
        <f>IF(COUNT(Office_Log!$BJ$2:$BJ$201)=0,"none yet",MEDIAN(Office_Log!$BJ$2:$BJ$201))</f>
        <v/>
      </c>
      <c r="F17" s="14">
        <f>COUNT(Office_Log!$BJ$2:$BJ$201)</f>
        <v/>
      </c>
      <c r="G17" s="11" t="inlineStr">
        <is>
          <t>First number per office, from Q1. Context for the budget probe.</t>
        </is>
      </c>
    </row>
    <row r="19">
      <c r="A19" s="9" t="inlineStr">
        <is>
          <t>Brands (Gate 0: at least 3 of 15 say they would pay $500 or more AND the speaker controls the budget)</t>
        </is>
      </c>
    </row>
    <row r="20">
      <c r="A20" t="inlineStr">
        <is>
          <t>Brand conversations held</t>
        </is>
      </c>
      <c r="B20" s="10">
        <f>COUNTIFS(Brand_Log!$AO$2:$AO$201,1,Brand_Log!$G$2:$G$201,"&lt;="&amp;B$6)</f>
        <v/>
      </c>
      <c r="C20" s="10">
        <f>COUNTIFS(Brand_Log!$AO$2:$AO$201,1,Brand_Log!$G$2:$G$201,"&lt;="&amp;C$6)</f>
        <v/>
      </c>
      <c r="D20" s="10">
        <f>COUNTIFS(Brand_Log!$AO$2:$AO$201,1,Brand_Log!$G$2:$G$201,"&lt;="&amp;D$6)</f>
        <v/>
      </c>
      <c r="E20" s="10">
        <f>COUNTIFS(Brand_Log!$AO$2:$AO$201,1,Brand_Log!$G$2:$G$201,"&lt;="&amp;E$6)</f>
        <v/>
      </c>
      <c r="F20">
        <f>Config!$B$12</f>
        <v/>
      </c>
      <c r="G20" s="11" t="inlineStr">
        <is>
          <t>Distinct row_ids in Brand_Log with a call_date on or before the cut-off.</t>
        </is>
      </c>
    </row>
    <row r="21">
      <c r="A21" t="inlineStr">
        <is>
          <t>Would pay $500 or more and controls the budget</t>
        </is>
      </c>
      <c r="B21" s="10">
        <f>COUNTIFS(Brand_Log!$AR$2:$AR$201,1,Brand_Log!$G$2:$G$201,"&lt;="&amp;B$6)</f>
        <v/>
      </c>
      <c r="C21" s="10">
        <f>COUNTIFS(Brand_Log!$AR$2:$AR$201,1,Brand_Log!$G$2:$G$201,"&lt;="&amp;C$6)</f>
        <v/>
      </c>
      <c r="D21" s="10">
        <f>COUNTIFS(Brand_Log!$AR$2:$AR$201,1,Brand_Log!$G$2:$G$201,"&lt;="&amp;D$6)</f>
        <v/>
      </c>
      <c r="E21" s="10">
        <f>COUNTIFS(Brand_Log!$AR$2:$AR$201,1,Brand_Log!$G$2:$G$201,"&lt;="&amp;E$6)</f>
        <v/>
      </c>
      <c r="F21">
        <f>Config!$B$13</f>
        <v/>
      </c>
      <c r="G21" s="11" t="inlineStr">
        <is>
          <t>The Gate 0 count: the higher of the before and after numbers is $500 or more, and controls_budget = Y. Same rule as the financial model.</t>
        </is>
      </c>
    </row>
    <row r="22">
      <c r="A22" s="12" t="inlineStr">
        <is>
          <t>Gate 0, brand side</t>
        </is>
      </c>
      <c r="B22" s="12">
        <f>IF(B21&gt;=Config!$B$13,"PASS",IF(B$6&lt;Config!$B$8,"not yet","FAIL"))</f>
        <v/>
      </c>
      <c r="C22" s="12">
        <f>IF(C21&gt;=Config!$B$13,"PASS",IF(C$6&lt;Config!$B$8,"not yet","FAIL"))</f>
        <v/>
      </c>
      <c r="D22" s="12">
        <f>IF(D21&gt;=Config!$B$13,"PASS",IF(D$6&lt;Config!$B$8,"not yet","FAIL"))</f>
        <v/>
      </c>
      <c r="E22" s="12">
        <f>IF(E21&gt;=Config!$B$13,"PASS",IF(E$6&lt;Config!$B$8,"not yet","FAIL"))</f>
        <v/>
      </c>
      <c r="G22" s="11" t="inlineStr">
        <is>
          <t>PASS once the count reaches the target. Before Gate 0 a shortfall reads 'not yet'; on or after Gate 0 it reads FAIL.</t>
        </is>
      </c>
    </row>
    <row r="23">
      <c r="A23" t="inlineStr">
        <is>
          <t>Strict read: named $500 or more BEFORE hearing $1,500, and controls the budget</t>
        </is>
      </c>
      <c r="B23" s="10">
        <f>COUNTIFS(Brand_Log!$AT$2:$AT$201,1,Brand_Log!$G$2:$G$201,"&lt;="&amp;B$6)</f>
        <v/>
      </c>
      <c r="C23" s="10">
        <f>COUNTIFS(Brand_Log!$AT$2:$AT$201,1,Brand_Log!$G$2:$G$201,"&lt;="&amp;C$6)</f>
        <v/>
      </c>
      <c r="D23" s="10">
        <f>COUNTIFS(Brand_Log!$AT$2:$AT$201,1,Brand_Log!$G$2:$G$201,"&lt;="&amp;D$6)</f>
        <v/>
      </c>
      <c r="E23" s="10">
        <f>COUNTIFS(Brand_Log!$AT$2:$AT$201,1,Brand_Log!$G$2:$G$201,"&lt;="&amp;E$6)</f>
        <v/>
      </c>
      <c r="G23" s="11" t="inlineStr">
        <is>
          <t>Shown so an anchored answer is not mistaken for an unprompted one.</t>
        </is>
      </c>
    </row>
    <row r="24">
      <c r="A24" t="inlineStr">
        <is>
          <t>Said $500 or more but the speaker does not control the budget</t>
        </is>
      </c>
      <c r="B24" s="10">
        <f>COUNTIFS(Brand_Log!$AV$2:$AV$201,1,Brand_Log!$G$2:$G$201,"&lt;="&amp;B$6)</f>
        <v/>
      </c>
      <c r="C24" s="10">
        <f>COUNTIFS(Brand_Log!$AV$2:$AV$201,1,Brand_Log!$G$2:$G$201,"&lt;="&amp;C$6)</f>
        <v/>
      </c>
      <c r="D24" s="10">
        <f>COUNTIFS(Brand_Log!$AV$2:$AV$201,1,Brand_Log!$G$2:$G$201,"&lt;="&amp;D$6)</f>
        <v/>
      </c>
      <c r="E24" s="10">
        <f>COUNTIFS(Brand_Log!$AV$2:$AV$201,1,Brand_Log!$G$2:$G$201,"&lt;="&amp;E$6)</f>
        <v/>
      </c>
      <c r="G24" s="11" t="inlineStr">
        <is>
          <t>Not counted for Gate 0 from that conversation. Ask for a call with the budget owner.</t>
        </is>
      </c>
    </row>
    <row r="25">
      <c r="A25" t="inlineStr">
        <is>
          <t>Median brand number before $1,500 was mentioned, USD per campaign</t>
        </is>
      </c>
      <c r="B25" s="13">
        <f>IF(COUNT(Brand_Log!$AY$2:$AY$201)=0,"none yet",MEDIAN(Brand_Log!$AY$2:$AY$201))</f>
        <v/>
      </c>
      <c r="C25" s="13">
        <f>IF(COUNT(Brand_Log!$AZ$2:$AZ$201)=0,"none yet",MEDIAN(Brand_Log!$AZ$2:$AZ$201))</f>
        <v/>
      </c>
      <c r="D25" s="13">
        <f>IF(COUNT(Brand_Log!$BA$2:$BA$201)=0,"none yet",MEDIAN(Brand_Log!$BA$2:$BA$201))</f>
        <v/>
      </c>
      <c r="E25" s="13">
        <f>IF(COUNT(Brand_Log!$BB$2:$BB$201)=0,"none yet",MEDIAN(Brand_Log!$BB$2:$BB$201))</f>
        <v/>
      </c>
      <c r="G25" s="11" t="inlineStr">
        <is>
          <t>First numeric before-answer per brand; 'nothing' counts as 0; no number is left out.</t>
        </is>
      </c>
    </row>
    <row r="26">
      <c r="A26" t="inlineStr">
        <is>
          <t>Brands that named a number before $1,500</t>
        </is>
      </c>
      <c r="B26" s="10">
        <f>COUNT(Brand_Log!$AY$2:$AY$201)</f>
        <v/>
      </c>
      <c r="C26" s="10">
        <f>COUNT(Brand_Log!$AZ$2:$AZ$201)</f>
        <v/>
      </c>
      <c r="D26" s="10">
        <f>COUNT(Brand_Log!$BA$2:$BA$201)</f>
        <v/>
      </c>
      <c r="E26" s="10">
        <f>COUNT(Brand_Log!$BB$2:$BB$201)</f>
        <v/>
      </c>
      <c r="G26" s="11" t="inlineStr">
        <is>
          <t>The n behind the median.</t>
        </is>
      </c>
    </row>
    <row r="27">
      <c r="A27" t="inlineStr">
        <is>
          <t>Median brand number after hearing $1,500, USD per campaign</t>
        </is>
      </c>
      <c r="B27" s="13">
        <f>IF(COUNT(Brand_Log!$BE$2:$BE$201)=0,"none yet",MEDIAN(Brand_Log!$BE$2:$BE$201))</f>
        <v/>
      </c>
      <c r="C27" s="13">
        <f>IF(COUNT(Brand_Log!$BF$2:$BF$201)=0,"none yet",MEDIAN(Brand_Log!$BF$2:$BF$201))</f>
        <v/>
      </c>
      <c r="D27" s="13">
        <f>IF(COUNT(Brand_Log!$BG$2:$BG$201)=0,"none yet",MEDIAN(Brand_Log!$BG$2:$BG$201))</f>
        <v/>
      </c>
      <c r="E27" s="13">
        <f>IF(COUNT(Brand_Log!$BH$2:$BH$201)=0,"none yet",MEDIAN(Brand_Log!$BH$2:$BH$201))</f>
        <v/>
      </c>
      <c r="G27" s="11" t="inlineStr">
        <is>
          <t>First numeric after-answer per brand.</t>
        </is>
      </c>
    </row>
    <row r="28">
      <c r="A28" t="inlineStr">
        <is>
          <t>Brands that answered after hearing $1,500</t>
        </is>
      </c>
      <c r="B28" s="10">
        <f>COUNT(Brand_Log!$BE$2:$BE$201)</f>
        <v/>
      </c>
      <c r="C28" s="10">
        <f>COUNT(Brand_Log!$BF$2:$BF$201)</f>
        <v/>
      </c>
      <c r="D28" s="10">
        <f>COUNT(Brand_Log!$BG$2:$BG$201)</f>
        <v/>
      </c>
      <c r="E28" s="10">
        <f>COUNT(Brand_Log!$BH$2:$BH$201)</f>
        <v/>
      </c>
      <c r="G28" s="11" t="inlineStr">
        <is>
          <t>The n behind the median.</t>
        </is>
      </c>
    </row>
    <row r="29">
      <c r="A29" t="inlineStr">
        <is>
          <t>Median quarterly sampling budget, USD (low end), as of</t>
        </is>
      </c>
      <c r="E29" s="13">
        <f>IF(COUNT(Brand_Log!$BK$2:$BK$201)=0,"none yet",MEDIAN(Brand_Log!$BK$2:$BK$201))</f>
        <v/>
      </c>
      <c r="F29" s="14">
        <f>COUNT(Brand_Log!$BK$2:$BK$201)</f>
        <v/>
      </c>
      <c r="G29" s="11" t="inlineStr">
        <is>
          <t>From Q2. Context: a $600 or $1,500 campaign against what they spend now.</t>
        </is>
      </c>
    </row>
    <row r="31">
      <c r="A31" s="9" t="inlineStr">
        <is>
          <t>Gate 0 overall</t>
        </is>
      </c>
    </row>
    <row r="32">
      <c r="A32" s="12" t="inlineStr">
        <is>
          <t>Gate 0 result</t>
        </is>
      </c>
      <c r="B32" s="12">
        <f>IF(AND(B10="PASS",B22="PASS"),"PASS",IF(OR(B10="FAIL",B22="FAIL"),"FAIL","not yet"))</f>
        <v/>
      </c>
      <c r="C32" s="12">
        <f>IF(AND(C10="PASS",C22="PASS"),"PASS",IF(OR(C10="FAIL",C22="FAIL"),"FAIL","not yet"))</f>
        <v/>
      </c>
      <c r="D32" s="12">
        <f>IF(AND(D10="PASS",D22="PASS"),"PASS",IF(OR(D10="FAIL",D22="FAIL"),"FAIL","not yet"))</f>
        <v/>
      </c>
      <c r="E32" s="12">
        <f>IF(AND(E10="PASS",E22="PASS"),"PASS",IF(OR(E10="FAIL",E22="FAIL"),"FAIL","not yet"))</f>
        <v/>
      </c>
    </row>
    <row r="33" ht="32" customHeight="1">
      <c r="A33" s="12" t="inlineStr">
        <is>
          <t>Sentence for the Gate 0 decision (as of)</t>
        </is>
      </c>
      <c r="B33" s="15">
        <f>"As of "&amp;TEXT(E$6,"yyyy-mm-dd")&amp;": "&amp;E9&amp;" of "&amp;E8&amp;" offices said yes with a pantry owner and a receiving window (target "&amp;F9&amp;"); "&amp;E21&amp;" of "&amp;E20&amp;" brands would pay $"&amp;Config!$B$14&amp;" or more and control the budget (target "&amp;F21&amp;"). Gate 0: "&amp;E32&amp;"."</f>
        <v/>
      </c>
    </row>
    <row r="34" ht="30" customHeight="1">
      <c r="A34" s="6" t="inlineStr">
        <is>
          <t>If it fails (plan)</t>
        </is>
      </c>
      <c r="B34" s="11" t="inlineStr">
        <is>
          <t>Fewer than 3 brands: test the office-paid version for three more weeks. Fewer than 5 offices: change the cluster or the office size band, not the model.</t>
        </is>
      </c>
    </row>
    <row r="36">
      <c r="A36" s="9" t="inlineStr">
        <is>
          <t>Top three objections per side, as of (mentions across objection_1 to objection_3)</t>
        </is>
      </c>
    </row>
    <row r="37">
      <c r="A37" s="12" t="inlineStr">
        <is>
          <t>Office</t>
        </is>
      </c>
      <c r="B37" s="12" t="inlineStr">
        <is>
          <t>Mentions</t>
        </is>
      </c>
      <c r="C37" s="12" t="inlineStr">
        <is>
          <t>First quote logged for that code</t>
        </is>
      </c>
    </row>
    <row r="38">
      <c r="A38" s="12" t="inlineStr">
        <is>
          <t>Office side</t>
        </is>
      </c>
    </row>
    <row r="39">
      <c r="A39">
        <f>IF(INDEX($L$41:$L$53,MATCH(LARGE($M$41:$M$53,1),$M$41:$M$53,0))&lt;1,"1. none logged yet","1. "&amp;INDEX($K$41:$K$53,MATCH(LARGE($M$41:$M$53,1),$M$41:$M$53,0))&amp;" ("&amp;INDEX($J$41:$J$53,MATCH(LARGE($M$41:$M$53,1),$M$41:$M$53,0))&amp;")")</f>
        <v/>
      </c>
      <c r="B39" s="12">
        <f>INDEX($L$41:$L$53,MATCH(LARGE($M$41:$M$53,1),$M$41:$M$53,0))</f>
        <v/>
      </c>
      <c r="C39" s="15">
        <f>IF(B39&lt;1,"",IFERROR(INDEX(Office_Log!$AM$2:$AM$201,MATCH(INDEX($J$41:$J$53,MATCH(LARGE($M$41:$M$53,1),$M$41:$M$53,0)),Office_Log!$BO$2:$BO$201,0)),IFERROR(INDEX(Office_Log!$AM$2:$AM$201,MATCH(INDEX($J$41:$J$53,MATCH(LARGE($M$41:$M$53,1),$M$41:$M$53,0)),Office_Log!$BP$2:$BP$201,0)),IFERROR(INDEX(Office_Log!$AM$2:$AM$201,MATCH(INDEX($J$41:$J$53,MATCH(LARGE($M$41:$M$53,1),$M$41:$M$53,0)),Office_Log!$BQ$2:$BQ$201,0)),""))))</f>
        <v/>
      </c>
      <c r="J39" s="6" t="inlineStr">
        <is>
          <t>Objection counts used for the top three (as of). Ties go to the code listed first.</t>
        </is>
      </c>
    </row>
    <row r="40">
      <c r="A40">
        <f>IF(INDEX($L$41:$L$53,MATCH(LARGE($M$41:$M$53,2),$M$41:$M$53,0))&lt;1,"2. none logged yet","2. "&amp;INDEX($K$41:$K$53,MATCH(LARGE($M$41:$M$53,2),$M$41:$M$53,0))&amp;" ("&amp;INDEX($J$41:$J$53,MATCH(LARGE($M$41:$M$53,2),$M$41:$M$53,0))&amp;")")</f>
        <v/>
      </c>
      <c r="B40" s="12">
        <f>INDEX($L$41:$L$53,MATCH(LARGE($M$41:$M$53,2),$M$41:$M$53,0))</f>
        <v/>
      </c>
      <c r="C40" s="15">
        <f>IF(B40&lt;1,"",IFERROR(INDEX(Office_Log!$AM$2:$AM$201,MATCH(INDEX($J$41:$J$53,MATCH(LARGE($M$41:$M$53,2),$M$41:$M$53,0)),Office_Log!$BO$2:$BO$201,0)),IFERROR(INDEX(Office_Log!$AM$2:$AM$201,MATCH(INDEX($J$41:$J$53,MATCH(LARGE($M$41:$M$53,2),$M$41:$M$53,0)),Office_Log!$BP$2:$BP$201,0)),IFERROR(INDEX(Office_Log!$AM$2:$AM$201,MATCH(INDEX($J$41:$J$53,MATCH(LARGE($M$41:$M$53,2),$M$41:$M$53,0)),Office_Log!$BQ$2:$BQ$201,0)),""))))</f>
        <v/>
      </c>
      <c r="J40" s="16" t="inlineStr">
        <is>
          <t>office code</t>
        </is>
      </c>
      <c r="K40" s="16" t="inlineStr">
        <is>
          <t>office label</t>
        </is>
      </c>
      <c r="L40" s="16" t="inlineStr">
        <is>
          <t>office mentions</t>
        </is>
      </c>
      <c r="M40" s="16" t="inlineStr">
        <is>
          <t>office score</t>
        </is>
      </c>
      <c r="O40" s="16" t="inlineStr">
        <is>
          <t>brand code</t>
        </is>
      </c>
      <c r="P40" s="16" t="inlineStr">
        <is>
          <t>brand label</t>
        </is>
      </c>
      <c r="Q40" s="16" t="inlineStr">
        <is>
          <t>brand mentions</t>
        </is>
      </c>
      <c r="R40" s="16" t="inlineStr">
        <is>
          <t>brand score</t>
        </is>
      </c>
    </row>
    <row r="41">
      <c r="A41">
        <f>IF(INDEX($L$41:$L$53,MATCH(LARGE($M$41:$M$53,3),$M$41:$M$53,0))&lt;1,"3. none logged yet","3. "&amp;INDEX($K$41:$K$53,MATCH(LARGE($M$41:$M$53,3),$M$41:$M$53,0))&amp;" ("&amp;INDEX($J$41:$J$53,MATCH(LARGE($M$41:$M$53,3),$M$41:$M$53,0))&amp;")")</f>
        <v/>
      </c>
      <c r="B41" s="12">
        <f>INDEX($L$41:$L$53,MATCH(LARGE($M$41:$M$53,3),$M$41:$M$53,0))</f>
        <v/>
      </c>
      <c r="C41" s="15">
        <f>IF(B41&lt;1,"",IFERROR(INDEX(Office_Log!$AM$2:$AM$201,MATCH(INDEX($J$41:$J$53,MATCH(LARGE($M$41:$M$53,3),$M$41:$M$53,0)),Office_Log!$BO$2:$BO$201,0)),IFERROR(INDEX(Office_Log!$AM$2:$AM$201,MATCH(INDEX($J$41:$J$53,MATCH(LARGE($M$41:$M$53,3),$M$41:$M$53,0)),Office_Log!$BP$2:$BP$201,0)),IFERROR(INDEX(Office_Log!$AM$2:$AM$201,MATCH(INDEX($J$41:$J$53,MATCH(LARGE($M$41:$M$53,3),$M$41:$M$53,0)),Office_Log!$BQ$2:$BQ$201,0)),""))))</f>
        <v/>
      </c>
      <c r="J41" s="17" t="inlineStr">
        <is>
          <t>needs_approval</t>
        </is>
      </c>
      <c r="K41" s="17" t="inlineStr">
        <is>
          <t>I need to ask facilities, HR or someone else</t>
        </is>
      </c>
      <c r="L41" s="17">
        <f>COUNTIFS(Office_Log!$BO$2:$BO$201,J41,Office_Log!$G$2:$G$201,"&lt;="&amp;$E$6)+COUNTIFS(Office_Log!$BP$2:$BP$201,J41,Office_Log!$G$2:$G$201,"&lt;="&amp;$E$6)+COUNTIFS(Office_Log!$BQ$2:$BQ$201,J41,Office_Log!$G$2:$G$201,"&lt;="&amp;$E$6)</f>
        <v/>
      </c>
      <c r="M41" s="17">
        <f>L41-1/1000</f>
        <v/>
      </c>
      <c r="O41" s="17" t="inlineStr">
        <is>
          <t>seed_ourselves</t>
        </is>
      </c>
      <c r="P41" s="17" t="inlineStr">
        <is>
          <t>We can seed offices ourselves for free</t>
        </is>
      </c>
      <c r="Q41" s="17">
        <f>COUNTIFS(Brand_Log!$BM$2:$BM$201,O41,Brand_Log!$G$2:$G$201,"&lt;="&amp;$E$6)+COUNTIFS(Brand_Log!$BN$2:$BN$201,O41,Brand_Log!$G$2:$G$201,"&lt;="&amp;$E$6)+COUNTIFS(Brand_Log!$BO$2:$BO$201,O41,Brand_Log!$G$2:$G$201,"&lt;="&amp;$E$6)</f>
        <v/>
      </c>
      <c r="R41" s="17">
        <f>Q41-1/1000</f>
        <v/>
      </c>
    </row>
    <row r="42">
      <c r="A42" s="12" t="inlineStr">
        <is>
          <t>Brand side</t>
        </is>
      </c>
      <c r="J42" s="17" t="inlineStr">
        <is>
          <t>existing_vendor</t>
        </is>
      </c>
      <c r="K42" s="17" t="inlineStr">
        <is>
          <t>We already have a pantry vendor or contract</t>
        </is>
      </c>
      <c r="L42" s="17">
        <f>COUNTIFS(Office_Log!$BO$2:$BO$201,J42,Office_Log!$G$2:$G$201,"&lt;="&amp;$E$6)+COUNTIFS(Office_Log!$BP$2:$BP$201,J42,Office_Log!$G$2:$G$201,"&lt;="&amp;$E$6)+COUNTIFS(Office_Log!$BQ$2:$BQ$201,J42,Office_Log!$G$2:$G$201,"&lt;="&amp;$E$6)</f>
        <v/>
      </c>
      <c r="M42" s="17">
        <f>L42-2/1000</f>
        <v/>
      </c>
      <c r="O42" s="17" t="inlineStr">
        <is>
          <t>price_per_sample</t>
        </is>
      </c>
      <c r="P42" s="17" t="inlineStr">
        <is>
          <t>$600 / the price is more than we pay per sample elsewhere</t>
        </is>
      </c>
      <c r="Q42" s="17">
        <f>COUNTIFS(Brand_Log!$BM$2:$BM$201,O42,Brand_Log!$G$2:$G$201,"&lt;="&amp;$E$6)+COUNTIFS(Brand_Log!$BN$2:$BN$201,O42,Brand_Log!$G$2:$G$201,"&lt;="&amp;$E$6)+COUNTIFS(Brand_Log!$BO$2:$BO$201,O42,Brand_Log!$G$2:$G$201,"&lt;="&amp;$E$6)</f>
        <v/>
      </c>
      <c r="R42" s="17">
        <f>Q42-2/1000</f>
        <v/>
      </c>
    </row>
    <row r="43">
      <c r="A43">
        <f>IF(INDEX($Q$41:$Q$53,MATCH(LARGE($R$41:$R$53,1),$R$41:$R$53,0))&lt;1,"1. none logged yet","1. "&amp;INDEX($P$41:$P$53,MATCH(LARGE($R$41:$R$53,1),$R$41:$R$53,0))&amp;" ("&amp;INDEX($O$41:$O$53,MATCH(LARGE($R$41:$R$53,1),$R$41:$R$53,0))&amp;")")</f>
        <v/>
      </c>
      <c r="B43" s="12">
        <f>INDEX($Q$41:$Q$53,MATCH(LARGE($R$41:$R$53,1),$R$41:$R$53,0))</f>
        <v/>
      </c>
      <c r="C43" s="15">
        <f>IF(B43&lt;1,"",IFERROR(INDEX(Brand_Log!$AE$2:$AE$201,MATCH(INDEX($O$41:$O$53,MATCH(LARGE($R$41:$R$53,1),$R$41:$R$53,0)),Brand_Log!$BM$2:$BM$201,0)),IFERROR(INDEX(Brand_Log!$AE$2:$AE$201,MATCH(INDEX($O$41:$O$53,MATCH(LARGE($R$41:$R$53,1),$R$41:$R$53,0)),Brand_Log!$BN$2:$BN$201,0)),IFERROR(INDEX(Brand_Log!$AE$2:$AE$201,MATCH(INDEX($O$41:$O$53,MATCH(LARGE($R$41:$R$53,1),$R$41:$R$53,0)),Brand_Log!$BO$2:$BO$201,0)),""))))</f>
        <v/>
      </c>
      <c r="J43" s="17" t="inlineStr">
        <is>
          <t>allergy_policy</t>
        </is>
      </c>
      <c r="K43" s="17" t="inlineStr">
        <is>
          <t>Allergy or food-safety worry</t>
        </is>
      </c>
      <c r="L43" s="17">
        <f>COUNTIFS(Office_Log!$BO$2:$BO$201,J43,Office_Log!$G$2:$G$201,"&lt;="&amp;$E$6)+COUNTIFS(Office_Log!$BP$2:$BP$201,J43,Office_Log!$G$2:$G$201,"&lt;="&amp;$E$6)+COUNTIFS(Office_Log!$BQ$2:$BQ$201,J43,Office_Log!$G$2:$G$201,"&lt;="&amp;$E$6)</f>
        <v/>
      </c>
      <c r="M43" s="17">
        <f>L43-3/1000</f>
        <v/>
      </c>
      <c r="O43" s="17" t="inlineStr">
        <is>
          <t>free_trial</t>
        </is>
      </c>
      <c r="P43" s="17" t="inlineStr">
        <is>
          <t>Can we do a free trial first?</t>
        </is>
      </c>
      <c r="Q43" s="17">
        <f>COUNTIFS(Brand_Log!$BM$2:$BM$201,O43,Brand_Log!$G$2:$G$201,"&lt;="&amp;$E$6)+COUNTIFS(Brand_Log!$BN$2:$BN$201,O43,Brand_Log!$G$2:$G$201,"&lt;="&amp;$E$6)+COUNTIFS(Brand_Log!$BO$2:$BO$201,O43,Brand_Log!$G$2:$G$201,"&lt;="&amp;$E$6)</f>
        <v/>
      </c>
      <c r="R43" s="17">
        <f>Q43-3/1000</f>
        <v/>
      </c>
    </row>
    <row r="44">
      <c r="A44">
        <f>IF(INDEX($Q$41:$Q$53,MATCH(LARGE($R$41:$R$53,2),$R$41:$R$53,0))&lt;1,"2. none logged yet","2. "&amp;INDEX($P$41:$P$53,MATCH(LARGE($R$41:$R$53,2),$R$41:$R$53,0))&amp;" ("&amp;INDEX($O$41:$O$53,MATCH(LARGE($R$41:$R$53,2),$R$41:$R$53,0))&amp;")")</f>
        <v/>
      </c>
      <c r="B44" s="12">
        <f>INDEX($Q$41:$Q$53,MATCH(LARGE($R$41:$R$53,2),$R$41:$R$53,0))</f>
        <v/>
      </c>
      <c r="C44" s="15">
        <f>IF(B44&lt;1,"",IFERROR(INDEX(Brand_Log!$AE$2:$AE$201,MATCH(INDEX($O$41:$O$53,MATCH(LARGE($R$41:$R$53,2),$R$41:$R$53,0)),Brand_Log!$BM$2:$BM$201,0)),IFERROR(INDEX(Brand_Log!$AE$2:$AE$201,MATCH(INDEX($O$41:$O$53,MATCH(LARGE($R$41:$R$53,2),$R$41:$R$53,0)),Brand_Log!$BN$2:$BN$201,0)),IFERROR(INDEX(Brand_Log!$AE$2:$AE$201,MATCH(INDEX($O$41:$O$53,MATCH(LARGE($R$41:$R$53,2),$R$41:$R$53,0)),Brand_Log!$BO$2:$BO$201,0)),""))))</f>
        <v/>
      </c>
      <c r="J44" s="17" t="inlineStr">
        <is>
          <t>healthy_policy</t>
        </is>
      </c>
      <c r="K44" s="17" t="inlineStr">
        <is>
          <t>We only stock healthy items (wellness policy)</t>
        </is>
      </c>
      <c r="L44" s="17">
        <f>COUNTIFS(Office_Log!$BO$2:$BO$201,J44,Office_Log!$G$2:$G$201,"&lt;="&amp;$E$6)+COUNTIFS(Office_Log!$BP$2:$BP$201,J44,Office_Log!$G$2:$G$201,"&lt;="&amp;$E$6)+COUNTIFS(Office_Log!$BQ$2:$BQ$201,J44,Office_Log!$G$2:$G$201,"&lt;="&amp;$E$6)</f>
        <v/>
      </c>
      <c r="M44" s="17">
        <f>L44-4/1000</f>
        <v/>
      </c>
      <c r="O44" s="17" t="inlineStr">
        <is>
          <t>what_we_get</t>
        </is>
      </c>
      <c r="P44" s="17" t="inlineStr">
        <is>
          <t>What do we actually get out of it?</t>
        </is>
      </c>
      <c r="Q44" s="17">
        <f>COUNTIFS(Brand_Log!$BM$2:$BM$201,O44,Brand_Log!$G$2:$G$201,"&lt;="&amp;$E$6)+COUNTIFS(Brand_Log!$BN$2:$BN$201,O44,Brand_Log!$G$2:$G$201,"&lt;="&amp;$E$6)+COUNTIFS(Brand_Log!$BO$2:$BO$201,O44,Brand_Log!$G$2:$G$201,"&lt;="&amp;$E$6)</f>
        <v/>
      </c>
      <c r="R44" s="17">
        <f>Q44-4/1000</f>
        <v/>
      </c>
    </row>
    <row r="45">
      <c r="A45">
        <f>IF(INDEX($Q$41:$Q$53,MATCH(LARGE($R$41:$R$53,3),$R$41:$R$53,0))&lt;1,"3. none logged yet","3. "&amp;INDEX($P$41:$P$53,MATCH(LARGE($R$41:$R$53,3),$R$41:$R$53,0))&amp;" ("&amp;INDEX($O$41:$O$53,MATCH(LARGE($R$41:$R$53,3),$R$41:$R$53,0))&amp;")")</f>
        <v/>
      </c>
      <c r="B45" s="12">
        <f>INDEX($Q$41:$Q$53,MATCH(LARGE($R$41:$R$53,3),$R$41:$R$53,0))</f>
        <v/>
      </c>
      <c r="C45" s="15">
        <f>IF(B45&lt;1,"",IFERROR(INDEX(Brand_Log!$AE$2:$AE$201,MATCH(INDEX($O$41:$O$53,MATCH(LARGE($R$41:$R$53,3),$R$41:$R$53,0)),Brand_Log!$BM$2:$BM$201,0)),IFERROR(INDEX(Brand_Log!$AE$2:$AE$201,MATCH(INDEX($O$41:$O$53,MATCH(LARGE($R$41:$R$53,3),$R$41:$R$53,0)),Brand_Log!$BN$2:$BN$201,0)),IFERROR(INDEX(Brand_Log!$AE$2:$AE$201,MATCH(INDEX($O$41:$O$53,MATCH(LARGE($R$41:$R$53,3),$R$41:$R$53,0)),Brand_Log!$BO$2:$BO$201,0)),""))))</f>
        <v/>
      </c>
      <c r="J45" s="17" t="inlineStr">
        <is>
          <t>building_receiving</t>
        </is>
      </c>
      <c r="K45" s="17" t="inlineStr">
        <is>
          <t>Building security, receiving or certificate rules</t>
        </is>
      </c>
      <c r="L45" s="17">
        <f>COUNTIFS(Office_Log!$BO$2:$BO$201,J45,Office_Log!$G$2:$G$201,"&lt;="&amp;$E$6)+COUNTIFS(Office_Log!$BP$2:$BP$201,J45,Office_Log!$G$2:$G$201,"&lt;="&amp;$E$6)+COUNTIFS(Office_Log!$BQ$2:$BQ$201,J45,Office_Log!$G$2:$G$201,"&lt;="&amp;$E$6)</f>
        <v/>
      </c>
      <c r="M45" s="17">
        <f>L45-5/1000</f>
        <v/>
      </c>
      <c r="O45" s="17" t="inlineStr">
        <is>
          <t>budget_timing</t>
        </is>
      </c>
      <c r="P45" s="17" t="inlineStr">
        <is>
          <t>No budget now / budget timing</t>
        </is>
      </c>
      <c r="Q45" s="17">
        <f>COUNTIFS(Brand_Log!$BM$2:$BM$201,O45,Brand_Log!$G$2:$G$201,"&lt;="&amp;$E$6)+COUNTIFS(Brand_Log!$BN$2:$BN$201,O45,Brand_Log!$G$2:$G$201,"&lt;="&amp;$E$6)+COUNTIFS(Brand_Log!$BO$2:$BO$201,O45,Brand_Log!$G$2:$G$201,"&lt;="&amp;$E$6)</f>
        <v/>
      </c>
      <c r="R45" s="17">
        <f>Q45-5/1000</f>
        <v/>
      </c>
    </row>
    <row r="46">
      <c r="J46" s="17" t="inlineStr">
        <is>
          <t>low_attendance</t>
        </is>
      </c>
      <c r="K46" s="17" t="inlineStr">
        <is>
          <t>Not enough people in on a given day</t>
        </is>
      </c>
      <c r="L46" s="17">
        <f>COUNTIFS(Office_Log!$BO$2:$BO$201,J46,Office_Log!$G$2:$G$201,"&lt;="&amp;$E$6)+COUNTIFS(Office_Log!$BP$2:$BP$201,J46,Office_Log!$G$2:$G$201,"&lt;="&amp;$E$6)+COUNTIFS(Office_Log!$BQ$2:$BQ$201,J46,Office_Log!$G$2:$G$201,"&lt;="&amp;$E$6)</f>
        <v/>
      </c>
      <c r="M46" s="17">
        <f>L46-6/1000</f>
        <v/>
      </c>
      <c r="O46" s="17" t="inlineStr">
        <is>
          <t>inventory</t>
        </is>
      </c>
      <c r="P46" s="17" t="inlineStr">
        <is>
          <t>Inventory or shipping the units</t>
        </is>
      </c>
      <c r="Q46" s="17">
        <f>COUNTIFS(Brand_Log!$BM$2:$BM$201,O46,Brand_Log!$G$2:$G$201,"&lt;="&amp;$E$6)+COUNTIFS(Brand_Log!$BN$2:$BN$201,O46,Brand_Log!$G$2:$G$201,"&lt;="&amp;$E$6)+COUNTIFS(Brand_Log!$BO$2:$BO$201,O46,Brand_Log!$G$2:$G$201,"&lt;="&amp;$E$6)</f>
        <v/>
      </c>
      <c r="R46" s="17">
        <f>Q46-6/1000</f>
        <v/>
      </c>
    </row>
    <row r="47">
      <c r="A47" s="9" t="inlineStr">
        <is>
          <t>Pace and reply rate (from the Friday Clay paste)</t>
        </is>
      </c>
      <c r="J47" s="17" t="inlineStr">
        <is>
          <t>commitments_too_much</t>
        </is>
      </c>
      <c r="K47" s="17" t="inlineStr">
        <is>
          <t>Photos, survey or debrief are too much work</t>
        </is>
      </c>
      <c r="L47" s="17">
        <f>COUNTIFS(Office_Log!$BO$2:$BO$201,J47,Office_Log!$G$2:$G$201,"&lt;="&amp;$E$6)+COUNTIFS(Office_Log!$BP$2:$BP$201,J47,Office_Log!$G$2:$G$201,"&lt;="&amp;$E$6)+COUNTIFS(Office_Log!$BQ$2:$BQ$201,J47,Office_Log!$G$2:$G$201,"&lt;="&amp;$E$6)</f>
        <v/>
      </c>
      <c r="M47" s="17">
        <f>L47-7/1000</f>
        <v/>
      </c>
      <c r="O47" s="17" t="inlineStr">
        <is>
          <t>shelf_life</t>
        </is>
      </c>
      <c r="P47" s="17" t="inlineStr">
        <is>
          <t>Shelf life</t>
        </is>
      </c>
      <c r="Q47" s="17">
        <f>COUNTIFS(Brand_Log!$BM$2:$BM$201,O47,Brand_Log!$G$2:$G$201,"&lt;="&amp;$E$6)+COUNTIFS(Brand_Log!$BN$2:$BN$201,O47,Brand_Log!$G$2:$G$201,"&lt;="&amp;$E$6)+COUNTIFS(Brand_Log!$BO$2:$BO$201,O47,Brand_Log!$G$2:$G$201,"&lt;="&amp;$E$6)</f>
        <v/>
      </c>
      <c r="R47" s="17">
        <f>Q47-7/1000</f>
        <v/>
      </c>
    </row>
    <row r="48">
      <c r="A48" s="7" t="inlineStr">
        <is>
          <t>Measure</t>
        </is>
      </c>
      <c r="B48" s="7" t="inlineStr">
        <is>
          <t>Fri wk 1</t>
        </is>
      </c>
      <c r="C48" s="7" t="inlineStr">
        <is>
          <t>Fri wk 2</t>
        </is>
      </c>
      <c r="D48" s="7" t="inlineStr">
        <is>
          <t>Gate 0</t>
        </is>
      </c>
      <c r="E48" s="7" t="inlineStr">
        <is>
          <t>As of</t>
        </is>
      </c>
      <c r="G48" s="7" t="inlineStr">
        <is>
          <t>How it is counted</t>
        </is>
      </c>
      <c r="J48" s="17" t="inlineStr">
        <is>
          <t>survey_concern</t>
        </is>
      </c>
      <c r="K48" s="17" t="inlineStr">
        <is>
          <t>Survey or employee-data worry</t>
        </is>
      </c>
      <c r="L48" s="17">
        <f>COUNTIFS(Office_Log!$BO$2:$BO$201,J48,Office_Log!$G$2:$G$201,"&lt;="&amp;$E$6)+COUNTIFS(Office_Log!$BP$2:$BP$201,J48,Office_Log!$G$2:$G$201,"&lt;="&amp;$E$6)+COUNTIFS(Office_Log!$BQ$2:$BQ$201,J48,Office_Log!$G$2:$G$201,"&lt;="&amp;$E$6)</f>
        <v/>
      </c>
      <c r="M48" s="17">
        <f>L48-8/1000</f>
        <v/>
      </c>
      <c r="O48" s="17" t="inlineStr">
        <is>
          <t>not_our_audience</t>
        </is>
      </c>
      <c r="P48" s="17" t="inlineStr">
        <is>
          <t>Office workers aren't our customer</t>
        </is>
      </c>
      <c r="Q48" s="17">
        <f>COUNTIFS(Brand_Log!$BM$2:$BM$201,O48,Brand_Log!$G$2:$G$201,"&lt;="&amp;$E$6)+COUNTIFS(Brand_Log!$BN$2:$BN$201,O48,Brand_Log!$G$2:$G$201,"&lt;="&amp;$E$6)+COUNTIFS(Brand_Log!$BO$2:$BO$201,O48,Brand_Log!$G$2:$G$201,"&lt;="&amp;$E$6)</f>
        <v/>
      </c>
      <c r="R48" s="17">
        <f>Q48-8/1000</f>
        <v/>
      </c>
    </row>
    <row r="49">
      <c r="A49" t="inlineStr">
        <is>
          <t>Office first touches sent</t>
        </is>
      </c>
      <c r="B49" s="10">
        <f>IFERROR(COUNTIFS(INDEX(Clay_Offices!$A$2:$FZ$601,0,Sync!$C$11),"&lt;="&amp;B$6,INDEX(Clay_Offices!$A$2:$FZ$601,0,Sync!$C$5),Config!$B$20),0)</f>
        <v/>
      </c>
      <c r="C49" s="10">
        <f>IFERROR(COUNTIFS(INDEX(Clay_Offices!$A$2:$FZ$601,0,Sync!$C$11),"&lt;="&amp;C$6,INDEX(Clay_Offices!$A$2:$FZ$601,0,Sync!$C$5),Config!$B$20),0)</f>
        <v/>
      </c>
      <c r="D49" s="10">
        <f>IFERROR(COUNTIFS(INDEX(Clay_Offices!$A$2:$FZ$601,0,Sync!$C$11),"&lt;="&amp;D$6,INDEX(Clay_Offices!$A$2:$FZ$601,0,Sync!$C$5),Config!$B$20),0)</f>
        <v/>
      </c>
      <c r="E49" s="10">
        <f>IFERROR(COUNTIFS(INDEX(Clay_Offices!$A$2:$FZ$601,0,Sync!$C$11),"&lt;="&amp;E$6,INDEX(Clay_Offices!$A$2:$FZ$601,0,Sync!$C$5),Config!$B$20),0)</f>
        <v/>
      </c>
      <c r="G49" s="11" t="inlineStr">
        <is>
          <t>Clay rows with touch_1_date on or before the cut-off.</t>
        </is>
      </c>
      <c r="J49" s="17" t="inlineStr">
        <is>
          <t>vendor_fatigue</t>
        </is>
      </c>
      <c r="K49" s="17" t="inlineStr">
        <is>
          <t>We don't want vendors or marketing in the office</t>
        </is>
      </c>
      <c r="L49" s="17">
        <f>COUNTIFS(Office_Log!$BO$2:$BO$201,J49,Office_Log!$G$2:$G$201,"&lt;="&amp;$E$6)+COUNTIFS(Office_Log!$BP$2:$BP$201,J49,Office_Log!$G$2:$G$201,"&lt;="&amp;$E$6)+COUNTIFS(Office_Log!$BQ$2:$BQ$201,J49,Office_Log!$G$2:$G$201,"&lt;="&amp;$E$6)</f>
        <v/>
      </c>
      <c r="M49" s="17">
        <f>L49-9/1000</f>
        <v/>
      </c>
      <c r="O49" s="17" t="inlineStr">
        <is>
          <t>want_proof</t>
        </is>
      </c>
      <c r="P49" s="17" t="inlineStr">
        <is>
          <t>Show me results from other brands first</t>
        </is>
      </c>
      <c r="Q49" s="17">
        <f>COUNTIFS(Brand_Log!$BM$2:$BM$201,O49,Brand_Log!$G$2:$G$201,"&lt;="&amp;$E$6)+COUNTIFS(Brand_Log!$BN$2:$BN$201,O49,Brand_Log!$G$2:$G$201,"&lt;="&amp;$E$6)+COUNTIFS(Brand_Log!$BO$2:$BO$201,O49,Brand_Log!$G$2:$G$201,"&lt;="&amp;$E$6)</f>
        <v/>
      </c>
      <c r="R49" s="17">
        <f>Q49-9/1000</f>
        <v/>
      </c>
    </row>
    <row r="50">
      <c r="A50" t="inlineStr">
        <is>
          <t>Office replies (any human reply, opt-outs included)</t>
        </is>
      </c>
      <c r="B50" s="10">
        <f>IFERROR(COUNTIFS(INDEX(Clay_Offices!$A$2:$FZ$601,0,Sync!$C$14),"&lt;="&amp;B$6,INDEX(Clay_Offices!$A$2:$FZ$601,0,Sync!$C$5),Config!$B$20,INDEX(Clay_Offices!$A$2:$FZ$601,0,Sync!$C$15),"&lt;&gt;bounce",INDEX(Clay_Offices!$A$2:$FZ$601,0,Sync!$C$15),"&lt;&gt;out_of_office"),0)</f>
        <v/>
      </c>
      <c r="C50" s="10">
        <f>IFERROR(COUNTIFS(INDEX(Clay_Offices!$A$2:$FZ$601,0,Sync!$C$14),"&lt;="&amp;C$6,INDEX(Clay_Offices!$A$2:$FZ$601,0,Sync!$C$5),Config!$B$20,INDEX(Clay_Offices!$A$2:$FZ$601,0,Sync!$C$15),"&lt;&gt;bounce",INDEX(Clay_Offices!$A$2:$FZ$601,0,Sync!$C$15),"&lt;&gt;out_of_office"),0)</f>
        <v/>
      </c>
      <c r="D50" s="10">
        <f>IFERROR(COUNTIFS(INDEX(Clay_Offices!$A$2:$FZ$601,0,Sync!$C$14),"&lt;="&amp;D$6,INDEX(Clay_Offices!$A$2:$FZ$601,0,Sync!$C$5),Config!$B$20,INDEX(Clay_Offices!$A$2:$FZ$601,0,Sync!$C$15),"&lt;&gt;bounce",INDEX(Clay_Offices!$A$2:$FZ$601,0,Sync!$C$15),"&lt;&gt;out_of_office"),0)</f>
        <v/>
      </c>
      <c r="E50" s="10">
        <f>IFERROR(COUNTIFS(INDEX(Clay_Offices!$A$2:$FZ$601,0,Sync!$C$14),"&lt;="&amp;E$6,INDEX(Clay_Offices!$A$2:$FZ$601,0,Sync!$C$5),Config!$B$20,INDEX(Clay_Offices!$A$2:$FZ$601,0,Sync!$C$15),"&lt;&gt;bounce",INDEX(Clay_Offices!$A$2:$FZ$601,0,Sync!$C$15),"&lt;&gt;out_of_office"),0)</f>
        <v/>
      </c>
      <c r="G50" s="11" t="inlineStr">
        <is>
          <t>Rows with last_reply_date on or before the cut-off; bounces and auto-replies excluded.</t>
        </is>
      </c>
      <c r="J50" s="17" t="inlineStr">
        <is>
          <t>space</t>
        </is>
      </c>
      <c r="K50" s="17" t="inlineStr">
        <is>
          <t>No shelf or counter space</t>
        </is>
      </c>
      <c r="L50" s="17">
        <f>COUNTIFS(Office_Log!$BO$2:$BO$201,J50,Office_Log!$G$2:$G$201,"&lt;="&amp;$E$6)+COUNTIFS(Office_Log!$BP$2:$BP$201,J50,Office_Log!$G$2:$G$201,"&lt;="&amp;$E$6)+COUNTIFS(Office_Log!$BQ$2:$BQ$201,J50,Office_Log!$G$2:$G$201,"&lt;="&amp;$E$6)</f>
        <v/>
      </c>
      <c r="M50" s="17">
        <f>L50-10/1000</f>
        <v/>
      </c>
      <c r="O50" s="17" t="inlineStr">
        <is>
          <t>want_sales_data</t>
        </is>
      </c>
      <c r="P50" s="17" t="inlineStr">
        <is>
          <t>We need sales or lift data, not feedback</t>
        </is>
      </c>
      <c r="Q50" s="17">
        <f>COUNTIFS(Brand_Log!$BM$2:$BM$201,O50,Brand_Log!$G$2:$G$201,"&lt;="&amp;$E$6)+COUNTIFS(Brand_Log!$BN$2:$BN$201,O50,Brand_Log!$G$2:$G$201,"&lt;="&amp;$E$6)+COUNTIFS(Brand_Log!$BO$2:$BO$201,O50,Brand_Log!$G$2:$G$201,"&lt;="&amp;$E$6)</f>
        <v/>
      </c>
      <c r="R50" s="17">
        <f>Q50-10/1000</f>
        <v/>
      </c>
    </row>
    <row r="51">
      <c r="A51" t="inlineStr">
        <is>
          <t>Office reply rate</t>
        </is>
      </c>
      <c r="B51" s="18">
        <f>IF(B49=0,"",B50/B49)</f>
        <v/>
      </c>
      <c r="C51" s="18">
        <f>IF(C49=0,"",C50/C49)</f>
        <v/>
      </c>
      <c r="D51" s="18">
        <f>IF(D49=0,"",D50/D49)</f>
        <v/>
      </c>
      <c r="E51" s="18">
        <f>IF(E49=0,"",E50/E49)</f>
        <v/>
      </c>
      <c r="G51" s="11" t="inlineStr">
        <is>
          <t>Replies / first touches. The plan needs 20%.</t>
        </is>
      </c>
      <c r="J51" s="17" t="inlineStr">
        <is>
          <t>supply_irregular</t>
        </is>
      </c>
      <c r="K51" s="17" t="inlineStr">
        <is>
          <t>Irregular, roughly monthly supply isn't useful</t>
        </is>
      </c>
      <c r="L51" s="17">
        <f>COUNTIFS(Office_Log!$BO$2:$BO$201,J51,Office_Log!$G$2:$G$201,"&lt;="&amp;$E$6)+COUNTIFS(Office_Log!$BP$2:$BP$201,J51,Office_Log!$G$2:$G$201,"&lt;="&amp;$E$6)+COUNTIFS(Office_Log!$BQ$2:$BQ$201,J51,Office_Log!$G$2:$G$201,"&lt;="&amp;$E$6)</f>
        <v/>
      </c>
      <c r="M51" s="17">
        <f>L51-11/1000</f>
        <v/>
      </c>
      <c r="O51" s="17" t="inlineStr">
        <is>
          <t>no_buy_path</t>
        </is>
      </c>
      <c r="P51" s="17" t="inlineStr">
        <is>
          <t>No store near the cluster and no online code</t>
        </is>
      </c>
      <c r="Q51" s="17">
        <f>COUNTIFS(Brand_Log!$BM$2:$BM$201,O51,Brand_Log!$G$2:$G$201,"&lt;="&amp;$E$6)+COUNTIFS(Brand_Log!$BN$2:$BN$201,O51,Brand_Log!$G$2:$G$201,"&lt;="&amp;$E$6)+COUNTIFS(Brand_Log!$BO$2:$BO$201,O51,Brand_Log!$G$2:$G$201,"&lt;="&amp;$E$6)</f>
        <v/>
      </c>
      <c r="R51" s="17">
        <f>Q51-11/1000</f>
        <v/>
      </c>
    </row>
    <row r="52">
      <c r="A52" t="inlineStr">
        <is>
          <t>Office positive replies</t>
        </is>
      </c>
      <c r="B52" s="10">
        <f>IFERROR(COUNTIFS(INDEX(Clay_Offices!$A$2:$FZ$601,0,Sync!$C$14),"&lt;="&amp;B$6,INDEX(Clay_Offices!$A$2:$FZ$601,0,Sync!$C$5),Config!$B$20,INDEX(Clay_Offices!$A$2:$FZ$601,0,Sync!$C$15),"yes"),0)+IFERROR(COUNTIFS(INDEX(Clay_Offices!$A$2:$FZ$601,0,Sync!$C$14),"&lt;="&amp;B$6,INDEX(Clay_Offices!$A$2:$FZ$601,0,Sync!$C$5),Config!$B$20,INDEX(Clay_Offices!$A$2:$FZ$601,0,Sync!$C$15),"maybe"),0)+IFERROR(COUNTIFS(INDEX(Clay_Offices!$A$2:$FZ$601,0,Sync!$C$14),"&lt;="&amp;B$6,INDEX(Clay_Offices!$A$2:$FZ$601,0,Sync!$C$5),Config!$B$20,INDEX(Clay_Offices!$A$2:$FZ$601,0,Sync!$C$15),"needs_approval"),0)+IFERROR(COUNTIFS(INDEX(Clay_Offices!$A$2:$FZ$601,0,Sync!$C$14),"&lt;="&amp;B$6,INDEX(Clay_Offices!$A$2:$FZ$601,0,Sync!$C$5),Config!$B$20,INDEX(Clay_Offices!$A$2:$FZ$601,0,Sync!$C$15),"send_info"),0)+IFERROR(COUNTIFS(INDEX(Clay_Offices!$A$2:$FZ$601,0,Sync!$C$14),"&lt;="&amp;B$6,INDEX(Clay_Offices!$A$2:$FZ$601,0,Sync!$C$5),Config!$B$20,INDEX(Clay_Offices!$A$2:$FZ$601,0,Sync!$C$15),"referral"),0)</f>
        <v/>
      </c>
      <c r="C52" s="10">
        <f>IFERROR(COUNTIFS(INDEX(Clay_Offices!$A$2:$FZ$601,0,Sync!$C$14),"&lt;="&amp;C$6,INDEX(Clay_Offices!$A$2:$FZ$601,0,Sync!$C$5),Config!$B$20,INDEX(Clay_Offices!$A$2:$FZ$601,0,Sync!$C$15),"yes"),0)+IFERROR(COUNTIFS(INDEX(Clay_Offices!$A$2:$FZ$601,0,Sync!$C$14),"&lt;="&amp;C$6,INDEX(Clay_Offices!$A$2:$FZ$601,0,Sync!$C$5),Config!$B$20,INDEX(Clay_Offices!$A$2:$FZ$601,0,Sync!$C$15),"maybe"),0)+IFERROR(COUNTIFS(INDEX(Clay_Offices!$A$2:$FZ$601,0,Sync!$C$14),"&lt;="&amp;C$6,INDEX(Clay_Offices!$A$2:$FZ$601,0,Sync!$C$5),Config!$B$20,INDEX(Clay_Offices!$A$2:$FZ$601,0,Sync!$C$15),"needs_approval"),0)+IFERROR(COUNTIFS(INDEX(Clay_Offices!$A$2:$FZ$601,0,Sync!$C$14),"&lt;="&amp;C$6,INDEX(Clay_Offices!$A$2:$FZ$601,0,Sync!$C$5),Config!$B$20,INDEX(Clay_Offices!$A$2:$FZ$601,0,Sync!$C$15),"send_info"),0)+IFERROR(COUNTIFS(INDEX(Clay_Offices!$A$2:$FZ$601,0,Sync!$C$14),"&lt;="&amp;C$6,INDEX(Clay_Offices!$A$2:$FZ$601,0,Sync!$C$5),Config!$B$20,INDEX(Clay_Offices!$A$2:$FZ$601,0,Sync!$C$15),"referral"),0)</f>
        <v/>
      </c>
      <c r="D52" s="10">
        <f>IFERROR(COUNTIFS(INDEX(Clay_Offices!$A$2:$FZ$601,0,Sync!$C$14),"&lt;="&amp;D$6,INDEX(Clay_Offices!$A$2:$FZ$601,0,Sync!$C$5),Config!$B$20,INDEX(Clay_Offices!$A$2:$FZ$601,0,Sync!$C$15),"yes"),0)+IFERROR(COUNTIFS(INDEX(Clay_Offices!$A$2:$FZ$601,0,Sync!$C$14),"&lt;="&amp;D$6,INDEX(Clay_Offices!$A$2:$FZ$601,0,Sync!$C$5),Config!$B$20,INDEX(Clay_Offices!$A$2:$FZ$601,0,Sync!$C$15),"maybe"),0)+IFERROR(COUNTIFS(INDEX(Clay_Offices!$A$2:$FZ$601,0,Sync!$C$14),"&lt;="&amp;D$6,INDEX(Clay_Offices!$A$2:$FZ$601,0,Sync!$C$5),Config!$B$20,INDEX(Clay_Offices!$A$2:$FZ$601,0,Sync!$C$15),"needs_approval"),0)+IFERROR(COUNTIFS(INDEX(Clay_Offices!$A$2:$FZ$601,0,Sync!$C$14),"&lt;="&amp;D$6,INDEX(Clay_Offices!$A$2:$FZ$601,0,Sync!$C$5),Config!$B$20,INDEX(Clay_Offices!$A$2:$FZ$601,0,Sync!$C$15),"send_info"),0)+IFERROR(COUNTIFS(INDEX(Clay_Offices!$A$2:$FZ$601,0,Sync!$C$14),"&lt;="&amp;D$6,INDEX(Clay_Offices!$A$2:$FZ$601,0,Sync!$C$5),Config!$B$20,INDEX(Clay_Offices!$A$2:$FZ$601,0,Sync!$C$15),"referral"),0)</f>
        <v/>
      </c>
      <c r="E52" s="10">
        <f>IFERROR(COUNTIFS(INDEX(Clay_Offices!$A$2:$FZ$601,0,Sync!$C$14),"&lt;="&amp;E$6,INDEX(Clay_Offices!$A$2:$FZ$601,0,Sync!$C$5),Config!$B$20,INDEX(Clay_Offices!$A$2:$FZ$601,0,Sync!$C$15),"yes"),0)+IFERROR(COUNTIFS(INDEX(Clay_Offices!$A$2:$FZ$601,0,Sync!$C$14),"&lt;="&amp;E$6,INDEX(Clay_Offices!$A$2:$FZ$601,0,Sync!$C$5),Config!$B$20,INDEX(Clay_Offices!$A$2:$FZ$601,0,Sync!$C$15),"maybe"),0)+IFERROR(COUNTIFS(INDEX(Clay_Offices!$A$2:$FZ$601,0,Sync!$C$14),"&lt;="&amp;E$6,INDEX(Clay_Offices!$A$2:$FZ$601,0,Sync!$C$5),Config!$B$20,INDEX(Clay_Offices!$A$2:$FZ$601,0,Sync!$C$15),"needs_approval"),0)+IFERROR(COUNTIFS(INDEX(Clay_Offices!$A$2:$FZ$601,0,Sync!$C$14),"&lt;="&amp;E$6,INDEX(Clay_Offices!$A$2:$FZ$601,0,Sync!$C$5),Config!$B$20,INDEX(Clay_Offices!$A$2:$FZ$601,0,Sync!$C$15),"send_info"),0)+IFERROR(COUNTIFS(INDEX(Clay_Offices!$A$2:$FZ$601,0,Sync!$C$14),"&lt;="&amp;E$6,INDEX(Clay_Offices!$A$2:$FZ$601,0,Sync!$C$5),Config!$B$20,INDEX(Clay_Offices!$A$2:$FZ$601,0,Sync!$C$15),"referral"),0)</f>
        <v/>
      </c>
      <c r="G52" s="11" t="inlineStr">
        <is>
          <t>reply_type yes, maybe, needs_approval, send_info or referral.</t>
        </is>
      </c>
      <c r="J52" s="17" t="inlineStr">
        <is>
          <t>quality_unknown</t>
        </is>
      </c>
      <c r="K52" s="17" t="inlineStr">
        <is>
          <t>Don't know these brands; quality worry</t>
        </is>
      </c>
      <c r="L52" s="17">
        <f>COUNTIFS(Office_Log!$BO$2:$BO$201,J52,Office_Log!$G$2:$G$201,"&lt;="&amp;$E$6)+COUNTIFS(Office_Log!$BP$2:$BP$201,J52,Office_Log!$G$2:$G$201,"&lt;="&amp;$E$6)+COUNTIFS(Office_Log!$BQ$2:$BQ$201,J52,Office_Log!$G$2:$G$201,"&lt;="&amp;$E$6)</f>
        <v/>
      </c>
      <c r="M52" s="17">
        <f>L52-12/1000</f>
        <v/>
      </c>
      <c r="O52" s="17" t="inlineStr">
        <is>
          <t>insurance</t>
        </is>
      </c>
      <c r="P52" s="17" t="inlineStr">
        <is>
          <t>No product liability certificate</t>
        </is>
      </c>
      <c r="Q52" s="17">
        <f>COUNTIFS(Brand_Log!$BM$2:$BM$201,O52,Brand_Log!$G$2:$G$201,"&lt;="&amp;$E$6)+COUNTIFS(Brand_Log!$BN$2:$BN$201,O52,Brand_Log!$G$2:$G$201,"&lt;="&amp;$E$6)+COUNTIFS(Brand_Log!$BO$2:$BO$201,O52,Brand_Log!$G$2:$G$201,"&lt;="&amp;$E$6)</f>
        <v/>
      </c>
      <c r="R52" s="17">
        <f>Q52-12/1000</f>
        <v/>
      </c>
    </row>
    <row r="53">
      <c r="A53" t="inlineStr">
        <is>
          <t>Office conversations per first touch</t>
        </is>
      </c>
      <c r="B53" s="18">
        <f>IF(B49=0,"",B8/B49)</f>
        <v/>
      </c>
      <c r="C53" s="18">
        <f>IF(C49=0,"",C8/C49)</f>
        <v/>
      </c>
      <c r="D53" s="18">
        <f>IF(D49=0,"",D8/D49)</f>
        <v/>
      </c>
      <c r="E53" s="18">
        <f>IF(E49=0,"",E8/E49)</f>
        <v/>
      </c>
      <c r="G53" s="11" t="inlineStr">
        <is>
          <t>Conversations (above) / first touches. 15 from about 75 first touches is 20%.</t>
        </is>
      </c>
      <c r="J53" s="17" t="inlineStr">
        <is>
          <t>other</t>
        </is>
      </c>
      <c r="K53" s="17" t="inlineStr">
        <is>
          <t>Other (read the quotes)</t>
        </is>
      </c>
      <c r="L53" s="17">
        <f>COUNTIFS(Office_Log!$BO$2:$BO$201,J53,Office_Log!$G$2:$G$201,"&lt;="&amp;$E$6)+COUNTIFS(Office_Log!$BP$2:$BP$201,J53,Office_Log!$G$2:$G$201,"&lt;="&amp;$E$6)+COUNTIFS(Office_Log!$BQ$2:$BQ$201,J53,Office_Log!$G$2:$G$201,"&lt;="&amp;$E$6)</f>
        <v/>
      </c>
      <c r="M53" s="17">
        <f>L53-13/1000</f>
        <v/>
      </c>
      <c r="O53" s="17" t="inlineStr">
        <is>
          <t>other</t>
        </is>
      </c>
      <c r="P53" s="17" t="inlineStr">
        <is>
          <t>Other (read the quotes)</t>
        </is>
      </c>
      <c r="Q53" s="17">
        <f>COUNTIFS(Brand_Log!$BM$2:$BM$201,O53,Brand_Log!$G$2:$G$201,"&lt;="&amp;$E$6)+COUNTIFS(Brand_Log!$BN$2:$BN$201,O53,Brand_Log!$G$2:$G$201,"&lt;="&amp;$E$6)+COUNTIFS(Brand_Log!$BO$2:$BO$201,O53,Brand_Log!$G$2:$G$201,"&lt;="&amp;$E$6)</f>
        <v/>
      </c>
      <c r="R53" s="17">
        <f>Q53-13/1000</f>
        <v/>
      </c>
    </row>
    <row r="54">
      <c r="A54" t="inlineStr">
        <is>
          <t>Office opt-outs</t>
        </is>
      </c>
      <c r="B54" s="10">
        <f>IFERROR(COUNTIFS(INDEX(Clay_Offices!$A$2:$FZ$601,0,Sync!$C$18),"&lt;="&amp;B$6,INDEX(Clay_Offices!$A$2:$FZ$601,0,Sync!$C$5),Config!$B$20),0)</f>
        <v/>
      </c>
      <c r="C54" s="10">
        <f>IFERROR(COUNTIFS(INDEX(Clay_Offices!$A$2:$FZ$601,0,Sync!$C$18),"&lt;="&amp;C$6,INDEX(Clay_Offices!$A$2:$FZ$601,0,Sync!$C$5),Config!$B$20),0)</f>
        <v/>
      </c>
      <c r="D54" s="10">
        <f>IFERROR(COUNTIFS(INDEX(Clay_Offices!$A$2:$FZ$601,0,Sync!$C$18),"&lt;="&amp;D$6,INDEX(Clay_Offices!$A$2:$FZ$601,0,Sync!$C$5),Config!$B$20),0)</f>
        <v/>
      </c>
      <c r="E54" s="10">
        <f>IFERROR(COUNTIFS(INDEX(Clay_Offices!$A$2:$FZ$601,0,Sync!$C$18),"&lt;="&amp;E$6,INDEX(Clay_Offices!$A$2:$FZ$601,0,Sync!$C$5),Config!$B$20),0)</f>
        <v/>
      </c>
      <c r="G54" s="11" t="inlineStr">
        <is>
          <t>Rows with opt_out_date on or before the cut-off. Every one must have do_not_contact = Y.</t>
        </is>
      </c>
    </row>
    <row r="55">
      <c r="A55" s="12" t="inlineStr">
        <is>
          <t>Office reply-rate check (as of)</t>
        </is>
      </c>
      <c r="B55" s="12">
        <f>IF(E49&lt;Config!$B$17,"Too few first touches to judge ("&amp;E49&amp;" of "&amp;Config!$B$17&amp;").",IF(E51&lt;Config!$B$16,"UNDER 20%: run sending/sending-setup.md section 6 before sending more.","OK: at or above 20%."))</f>
        <v/>
      </c>
    </row>
    <row r="56">
      <c r="A56" t="inlineStr">
        <is>
          <t>Brand first touches sent</t>
        </is>
      </c>
      <c r="B56" s="10">
        <f>IFERROR(COUNTIFS(INDEX(Clay_Brands!$A$2:$FZ$601,0,Sync!$D$11),"&lt;="&amp;B$6,INDEX(Clay_Brands!$A$2:$FZ$601,0,Sync!$D$5),Config!$B$20),0)</f>
        <v/>
      </c>
      <c r="C56" s="10">
        <f>IFERROR(COUNTIFS(INDEX(Clay_Brands!$A$2:$FZ$601,0,Sync!$D$11),"&lt;="&amp;C$6,INDEX(Clay_Brands!$A$2:$FZ$601,0,Sync!$D$5),Config!$B$20),0)</f>
        <v/>
      </c>
      <c r="D56" s="10">
        <f>IFERROR(COUNTIFS(INDEX(Clay_Brands!$A$2:$FZ$601,0,Sync!$D$11),"&lt;="&amp;D$6,INDEX(Clay_Brands!$A$2:$FZ$601,0,Sync!$D$5),Config!$B$20),0)</f>
        <v/>
      </c>
      <c r="E56" s="10">
        <f>IFERROR(COUNTIFS(INDEX(Clay_Brands!$A$2:$FZ$601,0,Sync!$D$11),"&lt;="&amp;E$6,INDEX(Clay_Brands!$A$2:$FZ$601,0,Sync!$D$5),Config!$B$20),0)</f>
        <v/>
      </c>
      <c r="G56" s="11" t="inlineStr">
        <is>
          <t>Clay rows with touch_1_date on or before the cut-off.</t>
        </is>
      </c>
    </row>
    <row r="57">
      <c r="A57" t="inlineStr">
        <is>
          <t>Brand replies (any human reply, opt-outs included)</t>
        </is>
      </c>
      <c r="B57" s="10">
        <f>IFERROR(COUNTIFS(INDEX(Clay_Brands!$A$2:$FZ$601,0,Sync!$D$14),"&lt;="&amp;B$6,INDEX(Clay_Brands!$A$2:$FZ$601,0,Sync!$D$5),Config!$B$20,INDEX(Clay_Brands!$A$2:$FZ$601,0,Sync!$D$15),"&lt;&gt;bounce",INDEX(Clay_Brands!$A$2:$FZ$601,0,Sync!$D$15),"&lt;&gt;out_of_office"),0)</f>
        <v/>
      </c>
      <c r="C57" s="10">
        <f>IFERROR(COUNTIFS(INDEX(Clay_Brands!$A$2:$FZ$601,0,Sync!$D$14),"&lt;="&amp;C$6,INDEX(Clay_Brands!$A$2:$FZ$601,0,Sync!$D$5),Config!$B$20,INDEX(Clay_Brands!$A$2:$FZ$601,0,Sync!$D$15),"&lt;&gt;bounce",INDEX(Clay_Brands!$A$2:$FZ$601,0,Sync!$D$15),"&lt;&gt;out_of_office"),0)</f>
        <v/>
      </c>
      <c r="D57" s="10">
        <f>IFERROR(COUNTIFS(INDEX(Clay_Brands!$A$2:$FZ$601,0,Sync!$D$14),"&lt;="&amp;D$6,INDEX(Clay_Brands!$A$2:$FZ$601,0,Sync!$D$5),Config!$B$20,INDEX(Clay_Brands!$A$2:$FZ$601,0,Sync!$D$15),"&lt;&gt;bounce",INDEX(Clay_Brands!$A$2:$FZ$601,0,Sync!$D$15),"&lt;&gt;out_of_office"),0)</f>
        <v/>
      </c>
      <c r="E57" s="10">
        <f>IFERROR(COUNTIFS(INDEX(Clay_Brands!$A$2:$FZ$601,0,Sync!$D$14),"&lt;="&amp;E$6,INDEX(Clay_Brands!$A$2:$FZ$601,0,Sync!$D$5),Config!$B$20,INDEX(Clay_Brands!$A$2:$FZ$601,0,Sync!$D$15),"&lt;&gt;bounce",INDEX(Clay_Brands!$A$2:$FZ$601,0,Sync!$D$15),"&lt;&gt;out_of_office"),0)</f>
        <v/>
      </c>
      <c r="G57" s="11" t="inlineStr">
        <is>
          <t>Rows with last_reply_date on or before the cut-off; bounces and auto-replies excluded.</t>
        </is>
      </c>
    </row>
    <row r="58">
      <c r="A58" t="inlineStr">
        <is>
          <t>Brand reply rate</t>
        </is>
      </c>
      <c r="B58" s="18">
        <f>IF(B56=0,"",B57/B56)</f>
        <v/>
      </c>
      <c r="C58" s="18">
        <f>IF(C56=0,"",C57/C56)</f>
        <v/>
      </c>
      <c r="D58" s="18">
        <f>IF(D56=0,"",D57/D56)</f>
        <v/>
      </c>
      <c r="E58" s="18">
        <f>IF(E56=0,"",E57/E56)</f>
        <v/>
      </c>
      <c r="G58" s="11" t="inlineStr">
        <is>
          <t>Replies / first touches. The plan needs 20%.</t>
        </is>
      </c>
    </row>
    <row r="59">
      <c r="A59" t="inlineStr">
        <is>
          <t>Brand positive replies</t>
        </is>
      </c>
      <c r="B59" s="10">
        <f>IFERROR(COUNTIFS(INDEX(Clay_Brands!$A$2:$FZ$601,0,Sync!$D$14),"&lt;="&amp;B$6,INDEX(Clay_Brands!$A$2:$FZ$601,0,Sync!$D$5),Config!$B$20,INDEX(Clay_Brands!$A$2:$FZ$601,0,Sync!$D$15),"yes"),0)+IFERROR(COUNTIFS(INDEX(Clay_Brands!$A$2:$FZ$601,0,Sync!$D$14),"&lt;="&amp;B$6,INDEX(Clay_Brands!$A$2:$FZ$601,0,Sync!$D$5),Config!$B$20,INDEX(Clay_Brands!$A$2:$FZ$601,0,Sync!$D$15),"maybe"),0)+IFERROR(COUNTIFS(INDEX(Clay_Brands!$A$2:$FZ$601,0,Sync!$D$14),"&lt;="&amp;B$6,INDEX(Clay_Brands!$A$2:$FZ$601,0,Sync!$D$5),Config!$B$20,INDEX(Clay_Brands!$A$2:$FZ$601,0,Sync!$D$15),"needs_approval"),0)+IFERROR(COUNTIFS(INDEX(Clay_Brands!$A$2:$FZ$601,0,Sync!$D$14),"&lt;="&amp;B$6,INDEX(Clay_Brands!$A$2:$FZ$601,0,Sync!$D$5),Config!$B$20,INDEX(Clay_Brands!$A$2:$FZ$601,0,Sync!$D$15),"send_info"),0)+IFERROR(COUNTIFS(INDEX(Clay_Brands!$A$2:$FZ$601,0,Sync!$D$14),"&lt;="&amp;B$6,INDEX(Clay_Brands!$A$2:$FZ$601,0,Sync!$D$5),Config!$B$20,INDEX(Clay_Brands!$A$2:$FZ$601,0,Sync!$D$15),"referral"),0)</f>
        <v/>
      </c>
      <c r="C59" s="10">
        <f>IFERROR(COUNTIFS(INDEX(Clay_Brands!$A$2:$FZ$601,0,Sync!$D$14),"&lt;="&amp;C$6,INDEX(Clay_Brands!$A$2:$FZ$601,0,Sync!$D$5),Config!$B$20,INDEX(Clay_Brands!$A$2:$FZ$601,0,Sync!$D$15),"yes"),0)+IFERROR(COUNTIFS(INDEX(Clay_Brands!$A$2:$FZ$601,0,Sync!$D$14),"&lt;="&amp;C$6,INDEX(Clay_Brands!$A$2:$FZ$601,0,Sync!$D$5),Config!$B$20,INDEX(Clay_Brands!$A$2:$FZ$601,0,Sync!$D$15),"maybe"),0)+IFERROR(COUNTIFS(INDEX(Clay_Brands!$A$2:$FZ$601,0,Sync!$D$14),"&lt;="&amp;C$6,INDEX(Clay_Brands!$A$2:$FZ$601,0,Sync!$D$5),Config!$B$20,INDEX(Clay_Brands!$A$2:$FZ$601,0,Sync!$D$15),"needs_approval"),0)+IFERROR(COUNTIFS(INDEX(Clay_Brands!$A$2:$FZ$601,0,Sync!$D$14),"&lt;="&amp;C$6,INDEX(Clay_Brands!$A$2:$FZ$601,0,Sync!$D$5),Config!$B$20,INDEX(Clay_Brands!$A$2:$FZ$601,0,Sync!$D$15),"send_info"),0)+IFERROR(COUNTIFS(INDEX(Clay_Brands!$A$2:$FZ$601,0,Sync!$D$14),"&lt;="&amp;C$6,INDEX(Clay_Brands!$A$2:$FZ$601,0,Sync!$D$5),Config!$B$20,INDEX(Clay_Brands!$A$2:$FZ$601,0,Sync!$D$15),"referral"),0)</f>
        <v/>
      </c>
      <c r="D59" s="10">
        <f>IFERROR(COUNTIFS(INDEX(Clay_Brands!$A$2:$FZ$601,0,Sync!$D$14),"&lt;="&amp;D$6,INDEX(Clay_Brands!$A$2:$FZ$601,0,Sync!$D$5),Config!$B$20,INDEX(Clay_Brands!$A$2:$FZ$601,0,Sync!$D$15),"yes"),0)+IFERROR(COUNTIFS(INDEX(Clay_Brands!$A$2:$FZ$601,0,Sync!$D$14),"&lt;="&amp;D$6,INDEX(Clay_Brands!$A$2:$FZ$601,0,Sync!$D$5),Config!$B$20,INDEX(Clay_Brands!$A$2:$FZ$601,0,Sync!$D$15),"maybe"),0)+IFERROR(COUNTIFS(INDEX(Clay_Brands!$A$2:$FZ$601,0,Sync!$D$14),"&lt;="&amp;D$6,INDEX(Clay_Brands!$A$2:$FZ$601,0,Sync!$D$5),Config!$B$20,INDEX(Clay_Brands!$A$2:$FZ$601,0,Sync!$D$15),"needs_approval"),0)+IFERROR(COUNTIFS(INDEX(Clay_Brands!$A$2:$FZ$601,0,Sync!$D$14),"&lt;="&amp;D$6,INDEX(Clay_Brands!$A$2:$FZ$601,0,Sync!$D$5),Config!$B$20,INDEX(Clay_Brands!$A$2:$FZ$601,0,Sync!$D$15),"send_info"),0)+IFERROR(COUNTIFS(INDEX(Clay_Brands!$A$2:$FZ$601,0,Sync!$D$14),"&lt;="&amp;D$6,INDEX(Clay_Brands!$A$2:$FZ$601,0,Sync!$D$5),Config!$B$20,INDEX(Clay_Brands!$A$2:$FZ$601,0,Sync!$D$15),"referral"),0)</f>
        <v/>
      </c>
      <c r="E59" s="10">
        <f>IFERROR(COUNTIFS(INDEX(Clay_Brands!$A$2:$FZ$601,0,Sync!$D$14),"&lt;="&amp;E$6,INDEX(Clay_Brands!$A$2:$FZ$601,0,Sync!$D$5),Config!$B$20,INDEX(Clay_Brands!$A$2:$FZ$601,0,Sync!$D$15),"yes"),0)+IFERROR(COUNTIFS(INDEX(Clay_Brands!$A$2:$FZ$601,0,Sync!$D$14),"&lt;="&amp;E$6,INDEX(Clay_Brands!$A$2:$FZ$601,0,Sync!$D$5),Config!$B$20,INDEX(Clay_Brands!$A$2:$FZ$601,0,Sync!$D$15),"maybe"),0)+IFERROR(COUNTIFS(INDEX(Clay_Brands!$A$2:$FZ$601,0,Sync!$D$14),"&lt;="&amp;E$6,INDEX(Clay_Brands!$A$2:$FZ$601,0,Sync!$D$5),Config!$B$20,INDEX(Clay_Brands!$A$2:$FZ$601,0,Sync!$D$15),"needs_approval"),0)+IFERROR(COUNTIFS(INDEX(Clay_Brands!$A$2:$FZ$601,0,Sync!$D$14),"&lt;="&amp;E$6,INDEX(Clay_Brands!$A$2:$FZ$601,0,Sync!$D$5),Config!$B$20,INDEX(Clay_Brands!$A$2:$FZ$601,0,Sync!$D$15),"send_info"),0)+IFERROR(COUNTIFS(INDEX(Clay_Brands!$A$2:$FZ$601,0,Sync!$D$14),"&lt;="&amp;E$6,INDEX(Clay_Brands!$A$2:$FZ$601,0,Sync!$D$5),Config!$B$20,INDEX(Clay_Brands!$A$2:$FZ$601,0,Sync!$D$15),"referral"),0)</f>
        <v/>
      </c>
      <c r="G59" s="11" t="inlineStr">
        <is>
          <t>reply_type yes, maybe, needs_approval, send_info or referral.</t>
        </is>
      </c>
    </row>
    <row r="60">
      <c r="A60" t="inlineStr">
        <is>
          <t>Brand conversations per first touch</t>
        </is>
      </c>
      <c r="B60" s="18">
        <f>IF(B56=0,"",B20/B56)</f>
        <v/>
      </c>
      <c r="C60" s="18">
        <f>IF(C56=0,"",C20/C56)</f>
        <v/>
      </c>
      <c r="D60" s="18">
        <f>IF(D56=0,"",D20/D56)</f>
        <v/>
      </c>
      <c r="E60" s="18">
        <f>IF(E56=0,"",E20/E56)</f>
        <v/>
      </c>
      <c r="G60" s="11" t="inlineStr">
        <is>
          <t>Conversations (above) / first touches. 15 from about 75 first touches is 20%.</t>
        </is>
      </c>
    </row>
    <row r="61">
      <c r="A61" t="inlineStr">
        <is>
          <t>Brand opt-outs</t>
        </is>
      </c>
      <c r="B61" s="10">
        <f>IFERROR(COUNTIFS(INDEX(Clay_Brands!$A$2:$FZ$601,0,Sync!$D$18),"&lt;="&amp;B$6,INDEX(Clay_Brands!$A$2:$FZ$601,0,Sync!$D$5),Config!$B$20),0)</f>
        <v/>
      </c>
      <c r="C61" s="10">
        <f>IFERROR(COUNTIFS(INDEX(Clay_Brands!$A$2:$FZ$601,0,Sync!$D$18),"&lt;="&amp;C$6,INDEX(Clay_Brands!$A$2:$FZ$601,0,Sync!$D$5),Config!$B$20),0)</f>
        <v/>
      </c>
      <c r="D61" s="10">
        <f>IFERROR(COUNTIFS(INDEX(Clay_Brands!$A$2:$FZ$601,0,Sync!$D$18),"&lt;="&amp;D$6,INDEX(Clay_Brands!$A$2:$FZ$601,0,Sync!$D$5),Config!$B$20),0)</f>
        <v/>
      </c>
      <c r="E61" s="10">
        <f>IFERROR(COUNTIFS(INDEX(Clay_Brands!$A$2:$FZ$601,0,Sync!$D$18),"&lt;="&amp;E$6,INDEX(Clay_Brands!$A$2:$FZ$601,0,Sync!$D$5),Config!$B$20),0)</f>
        <v/>
      </c>
      <c r="G61" s="11" t="inlineStr">
        <is>
          <t>Rows with opt_out_date on or before the cut-off. Every one must have do_not_contact = Y.</t>
        </is>
      </c>
    </row>
    <row r="62">
      <c r="A62" s="12" t="inlineStr">
        <is>
          <t>Brand reply-rate check (as of)</t>
        </is>
      </c>
      <c r="B62" s="12">
        <f>IF(E56&lt;Config!$B$17,"Too few first touches to judge ("&amp;E56&amp;" of "&amp;Config!$B$17&amp;").",IF(E58&lt;Config!$B$16,"UNDER 20%: run sending/sending-setup.md section 6 before sending more.","OK: at or above 20%."))</f>
        <v/>
      </c>
    </row>
    <row r="63">
      <c r="A63" t="inlineStr">
        <is>
          <t>Email bounces to date (offices + brands) / first touches to date</t>
        </is>
      </c>
      <c r="E63" s="19">
        <f>IF((E49+E56)=0,"",(IFERROR(COUNTIFS(INDEX(Clay_Offices!$A$2:$FZ$601,0,Sync!$C$15),"bounce",INDEX(Clay_Offices!$A$2:$FZ$601,0,Sync!$C$5),Config!$B$20),0)+IFERROR(COUNTIFS(INDEX(Clay_Brands!$A$2:$FZ$601,0,Sync!$D$15),"bounce",INDEX(Clay_Brands!$A$2:$FZ$601,0,Sync!$D$5),Config!$B$20),0))/(E49+E56))</f>
        <v/>
      </c>
      <c r="G63" s="11" t="inlineStr">
        <is>
          <t>Stop cold email from the domain and check the list if this passes 2% (sending guide section 6).</t>
        </is>
      </c>
    </row>
    <row r="65">
      <c r="A65" s="9" t="inlineStr">
        <is>
          <t>By sequence variant and by channel, as of (pick winners only on large gaps; see sending guide 6.4)</t>
        </is>
      </c>
    </row>
    <row r="66">
      <c r="A66" s="7" t="inlineStr">
        <is>
          <t>Sequence or channel</t>
        </is>
      </c>
      <c r="B66" s="7" t="inlineStr">
        <is>
          <t>Side</t>
        </is>
      </c>
      <c r="C66" s="7" t="inlineStr">
        <is>
          <t>First touches</t>
        </is>
      </c>
      <c r="D66" s="7" t="inlineStr">
        <is>
          <t>Replies</t>
        </is>
      </c>
      <c r="E66" s="7" t="inlineStr">
        <is>
          <t>Reply rate</t>
        </is>
      </c>
      <c r="G66" s="7" t="inlineStr">
        <is>
          <t>Positive replies</t>
        </is>
      </c>
    </row>
    <row r="67">
      <c r="A67" t="inlineStr">
        <is>
          <t>office-discovery-A</t>
        </is>
      </c>
      <c r="B67" t="inlineStr">
        <is>
          <t>office</t>
        </is>
      </c>
      <c r="C67" s="20">
        <f>IFERROR(COUNTIFS(INDEX(Clay_Offices!$A$2:$FZ$601,0,Sync!$C$10),A67,INDEX(Clay_Offices!$A$2:$FZ$601,0,Sync!$C$11),"&lt;="&amp;$E$6,INDEX(Clay_Offices!$A$2:$FZ$601,0,Sync!$C$5),Config!$B$20),0)</f>
        <v/>
      </c>
      <c r="D67" s="20">
        <f>IFERROR(COUNTIFS(INDEX(Clay_Offices!$A$2:$FZ$601,0,Sync!$C$10),A67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67" s="21">
        <f>IF(C67=0,"",D67/C67)</f>
        <v/>
      </c>
      <c r="G67" s="20">
        <f>IFERROR(COUNTIFS(INDEX(Clay_Offices!$A$2:$FZ$601,0,Sync!$C$10),A67,INDEX(Clay_Offices!$A$2:$FZ$601,0,Sync!$C$14),"&lt;="&amp;$E$6,INDEX(Clay_Offices!$A$2:$FZ$601,0,Sync!$C$5),Config!$B$20,INDEX(Clay_Offices!$A$2:$FZ$601,0,Sync!$C$15),"yes"),0)+IFERROR(COUNTIFS(INDEX(Clay_Offices!$A$2:$FZ$601,0,Sync!$C$10),A67,INDEX(Clay_Offices!$A$2:$FZ$601,0,Sync!$C$14),"&lt;="&amp;$E$6,INDEX(Clay_Offices!$A$2:$FZ$601,0,Sync!$C$5),Config!$B$20,INDEX(Clay_Offices!$A$2:$FZ$601,0,Sync!$C$15),"maybe"),0)+IFERROR(COUNTIFS(INDEX(Clay_Offices!$A$2:$FZ$601,0,Sync!$C$10),A67,INDEX(Clay_Offices!$A$2:$FZ$601,0,Sync!$C$14),"&lt;="&amp;$E$6,INDEX(Clay_Offices!$A$2:$FZ$601,0,Sync!$C$5),Config!$B$20,INDEX(Clay_Offices!$A$2:$FZ$601,0,Sync!$C$15),"needs_approval"),0)+IFERROR(COUNTIFS(INDEX(Clay_Offices!$A$2:$FZ$601,0,Sync!$C$10),A67,INDEX(Clay_Offices!$A$2:$FZ$601,0,Sync!$C$14),"&lt;="&amp;$E$6,INDEX(Clay_Offices!$A$2:$FZ$601,0,Sync!$C$5),Config!$B$20,INDEX(Clay_Offices!$A$2:$FZ$601,0,Sync!$C$15),"send_info"),0)+IFERROR(COUNTIFS(INDEX(Clay_Offices!$A$2:$FZ$601,0,Sync!$C$10),A67,INDEX(Clay_Offices!$A$2:$FZ$601,0,Sync!$C$14),"&lt;="&amp;$E$6,INDEX(Clay_Offices!$A$2:$FZ$601,0,Sync!$C$5),Config!$B$20,INDEX(Clay_Offices!$A$2:$FZ$601,0,Sync!$C$15),"referral"),0)</f>
        <v/>
      </c>
    </row>
    <row r="68">
      <c r="A68" t="inlineStr">
        <is>
          <t>office-discovery-B</t>
        </is>
      </c>
      <c r="B68" t="inlineStr">
        <is>
          <t>office</t>
        </is>
      </c>
      <c r="C68" s="20">
        <f>IFERROR(COUNTIFS(INDEX(Clay_Offices!$A$2:$FZ$601,0,Sync!$C$10),A68,INDEX(Clay_Offices!$A$2:$FZ$601,0,Sync!$C$11),"&lt;="&amp;$E$6,INDEX(Clay_Offices!$A$2:$FZ$601,0,Sync!$C$5),Config!$B$20),0)</f>
        <v/>
      </c>
      <c r="D68" s="20">
        <f>IFERROR(COUNTIFS(INDEX(Clay_Offices!$A$2:$FZ$601,0,Sync!$C$10),A68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68" s="21">
        <f>IF(C68=0,"",D68/C68)</f>
        <v/>
      </c>
      <c r="G68" s="20">
        <f>IFERROR(COUNTIFS(INDEX(Clay_Offices!$A$2:$FZ$601,0,Sync!$C$10),A68,INDEX(Clay_Offices!$A$2:$FZ$601,0,Sync!$C$14),"&lt;="&amp;$E$6,INDEX(Clay_Offices!$A$2:$FZ$601,0,Sync!$C$5),Config!$B$20,INDEX(Clay_Offices!$A$2:$FZ$601,0,Sync!$C$15),"yes"),0)+IFERROR(COUNTIFS(INDEX(Clay_Offices!$A$2:$FZ$601,0,Sync!$C$10),A68,INDEX(Clay_Offices!$A$2:$FZ$601,0,Sync!$C$14),"&lt;="&amp;$E$6,INDEX(Clay_Offices!$A$2:$FZ$601,0,Sync!$C$5),Config!$B$20,INDEX(Clay_Offices!$A$2:$FZ$601,0,Sync!$C$15),"maybe"),0)+IFERROR(COUNTIFS(INDEX(Clay_Offices!$A$2:$FZ$601,0,Sync!$C$10),A68,INDEX(Clay_Offices!$A$2:$FZ$601,0,Sync!$C$14),"&lt;="&amp;$E$6,INDEX(Clay_Offices!$A$2:$FZ$601,0,Sync!$C$5),Config!$B$20,INDEX(Clay_Offices!$A$2:$FZ$601,0,Sync!$C$15),"needs_approval"),0)+IFERROR(COUNTIFS(INDEX(Clay_Offices!$A$2:$FZ$601,0,Sync!$C$10),A68,INDEX(Clay_Offices!$A$2:$FZ$601,0,Sync!$C$14),"&lt;="&amp;$E$6,INDEX(Clay_Offices!$A$2:$FZ$601,0,Sync!$C$5),Config!$B$20,INDEX(Clay_Offices!$A$2:$FZ$601,0,Sync!$C$15),"send_info"),0)+IFERROR(COUNTIFS(INDEX(Clay_Offices!$A$2:$FZ$601,0,Sync!$C$10),A68,INDEX(Clay_Offices!$A$2:$FZ$601,0,Sync!$C$14),"&lt;="&amp;$E$6,INDEX(Clay_Offices!$A$2:$FZ$601,0,Sync!$C$5),Config!$B$20,INDEX(Clay_Offices!$A$2:$FZ$601,0,Sync!$C$15),"referral"),0)</f>
        <v/>
      </c>
    </row>
    <row r="69">
      <c r="A69" t="inlineStr">
        <is>
          <t>office-selling-A</t>
        </is>
      </c>
      <c r="B69" t="inlineStr">
        <is>
          <t>office</t>
        </is>
      </c>
      <c r="C69" s="20">
        <f>IFERROR(COUNTIFS(INDEX(Clay_Offices!$A$2:$FZ$601,0,Sync!$C$10),A69,INDEX(Clay_Offices!$A$2:$FZ$601,0,Sync!$C$11),"&lt;="&amp;$E$6,INDEX(Clay_Offices!$A$2:$FZ$601,0,Sync!$C$5),Config!$B$20),0)</f>
        <v/>
      </c>
      <c r="D69" s="20">
        <f>IFERROR(COUNTIFS(INDEX(Clay_Offices!$A$2:$FZ$601,0,Sync!$C$10),A69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69" s="21">
        <f>IF(C69=0,"",D69/C69)</f>
        <v/>
      </c>
      <c r="G69" s="20">
        <f>IFERROR(COUNTIFS(INDEX(Clay_Offices!$A$2:$FZ$601,0,Sync!$C$10),A69,INDEX(Clay_Offices!$A$2:$FZ$601,0,Sync!$C$14),"&lt;="&amp;$E$6,INDEX(Clay_Offices!$A$2:$FZ$601,0,Sync!$C$5),Config!$B$20,INDEX(Clay_Offices!$A$2:$FZ$601,0,Sync!$C$15),"yes"),0)+IFERROR(COUNTIFS(INDEX(Clay_Offices!$A$2:$FZ$601,0,Sync!$C$10),A69,INDEX(Clay_Offices!$A$2:$FZ$601,0,Sync!$C$14),"&lt;="&amp;$E$6,INDEX(Clay_Offices!$A$2:$FZ$601,0,Sync!$C$5),Config!$B$20,INDEX(Clay_Offices!$A$2:$FZ$601,0,Sync!$C$15),"maybe"),0)+IFERROR(COUNTIFS(INDEX(Clay_Offices!$A$2:$FZ$601,0,Sync!$C$10),A69,INDEX(Clay_Offices!$A$2:$FZ$601,0,Sync!$C$14),"&lt;="&amp;$E$6,INDEX(Clay_Offices!$A$2:$FZ$601,0,Sync!$C$5),Config!$B$20,INDEX(Clay_Offices!$A$2:$FZ$601,0,Sync!$C$15),"needs_approval"),0)+IFERROR(COUNTIFS(INDEX(Clay_Offices!$A$2:$FZ$601,0,Sync!$C$10),A69,INDEX(Clay_Offices!$A$2:$FZ$601,0,Sync!$C$14),"&lt;="&amp;$E$6,INDEX(Clay_Offices!$A$2:$FZ$601,0,Sync!$C$5),Config!$B$20,INDEX(Clay_Offices!$A$2:$FZ$601,0,Sync!$C$15),"send_info"),0)+IFERROR(COUNTIFS(INDEX(Clay_Offices!$A$2:$FZ$601,0,Sync!$C$10),A69,INDEX(Clay_Offices!$A$2:$FZ$601,0,Sync!$C$14),"&lt;="&amp;$E$6,INDEX(Clay_Offices!$A$2:$FZ$601,0,Sync!$C$5),Config!$B$20,INDEX(Clay_Offices!$A$2:$FZ$601,0,Sync!$C$15),"referral"),0)</f>
        <v/>
      </c>
    </row>
    <row r="70">
      <c r="A70" t="inlineStr">
        <is>
          <t>office-selling-B</t>
        </is>
      </c>
      <c r="B70" t="inlineStr">
        <is>
          <t>office</t>
        </is>
      </c>
      <c r="C70" s="20">
        <f>IFERROR(COUNTIFS(INDEX(Clay_Offices!$A$2:$FZ$601,0,Sync!$C$10),A70,INDEX(Clay_Offices!$A$2:$FZ$601,0,Sync!$C$11),"&lt;="&amp;$E$6,INDEX(Clay_Offices!$A$2:$FZ$601,0,Sync!$C$5),Config!$B$20),0)</f>
        <v/>
      </c>
      <c r="D70" s="20">
        <f>IFERROR(COUNTIFS(INDEX(Clay_Offices!$A$2:$FZ$601,0,Sync!$C$10),A70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70" s="21">
        <f>IF(C70=0,"",D70/C70)</f>
        <v/>
      </c>
      <c r="G70" s="20">
        <f>IFERROR(COUNTIFS(INDEX(Clay_Offices!$A$2:$FZ$601,0,Sync!$C$10),A70,INDEX(Clay_Offices!$A$2:$FZ$601,0,Sync!$C$14),"&lt;="&amp;$E$6,INDEX(Clay_Offices!$A$2:$FZ$601,0,Sync!$C$5),Config!$B$20,INDEX(Clay_Offices!$A$2:$FZ$601,0,Sync!$C$15),"yes"),0)+IFERROR(COUNTIFS(INDEX(Clay_Offices!$A$2:$FZ$601,0,Sync!$C$10),A70,INDEX(Clay_Offices!$A$2:$FZ$601,0,Sync!$C$14),"&lt;="&amp;$E$6,INDEX(Clay_Offices!$A$2:$FZ$601,0,Sync!$C$5),Config!$B$20,INDEX(Clay_Offices!$A$2:$FZ$601,0,Sync!$C$15),"maybe"),0)+IFERROR(COUNTIFS(INDEX(Clay_Offices!$A$2:$FZ$601,0,Sync!$C$10),A70,INDEX(Clay_Offices!$A$2:$FZ$601,0,Sync!$C$14),"&lt;="&amp;$E$6,INDEX(Clay_Offices!$A$2:$FZ$601,0,Sync!$C$5),Config!$B$20,INDEX(Clay_Offices!$A$2:$FZ$601,0,Sync!$C$15),"needs_approval"),0)+IFERROR(COUNTIFS(INDEX(Clay_Offices!$A$2:$FZ$601,0,Sync!$C$10),A70,INDEX(Clay_Offices!$A$2:$FZ$601,0,Sync!$C$14),"&lt;="&amp;$E$6,INDEX(Clay_Offices!$A$2:$FZ$601,0,Sync!$C$5),Config!$B$20,INDEX(Clay_Offices!$A$2:$FZ$601,0,Sync!$C$15),"send_info"),0)+IFERROR(COUNTIFS(INDEX(Clay_Offices!$A$2:$FZ$601,0,Sync!$C$10),A70,INDEX(Clay_Offices!$A$2:$FZ$601,0,Sync!$C$14),"&lt;="&amp;$E$6,INDEX(Clay_Offices!$A$2:$FZ$601,0,Sync!$C$5),Config!$B$20,INDEX(Clay_Offices!$A$2:$FZ$601,0,Sync!$C$15),"referral"),0)</f>
        <v/>
      </c>
    </row>
    <row r="71">
      <c r="A71" t="inlineStr">
        <is>
          <t>brand-discovery-A</t>
        </is>
      </c>
      <c r="B71" t="inlineStr">
        <is>
          <t>brand</t>
        </is>
      </c>
      <c r="C71" s="20">
        <f>IFERROR(COUNTIFS(INDEX(Clay_Brands!$A$2:$FZ$601,0,Sync!$D$10),A71,INDEX(Clay_Brands!$A$2:$FZ$601,0,Sync!$D$11),"&lt;="&amp;$E$6,INDEX(Clay_Brands!$A$2:$FZ$601,0,Sync!$D$5),Config!$B$20),0)</f>
        <v/>
      </c>
      <c r="D71" s="20">
        <f>IFERROR(COUNTIFS(INDEX(Clay_Brands!$A$2:$FZ$601,0,Sync!$D$10),A71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71" s="21">
        <f>IF(C71=0,"",D71/C71)</f>
        <v/>
      </c>
      <c r="G71" s="20">
        <f>IFERROR(COUNTIFS(INDEX(Clay_Brands!$A$2:$FZ$601,0,Sync!$D$10),A71,INDEX(Clay_Brands!$A$2:$FZ$601,0,Sync!$D$14),"&lt;="&amp;$E$6,INDEX(Clay_Brands!$A$2:$FZ$601,0,Sync!$D$5),Config!$B$20,INDEX(Clay_Brands!$A$2:$FZ$601,0,Sync!$D$15),"yes"),0)+IFERROR(COUNTIFS(INDEX(Clay_Brands!$A$2:$FZ$601,0,Sync!$D$10),A71,INDEX(Clay_Brands!$A$2:$FZ$601,0,Sync!$D$14),"&lt;="&amp;$E$6,INDEX(Clay_Brands!$A$2:$FZ$601,0,Sync!$D$5),Config!$B$20,INDEX(Clay_Brands!$A$2:$FZ$601,0,Sync!$D$15),"maybe"),0)+IFERROR(COUNTIFS(INDEX(Clay_Brands!$A$2:$FZ$601,0,Sync!$D$10),A71,INDEX(Clay_Brands!$A$2:$FZ$601,0,Sync!$D$14),"&lt;="&amp;$E$6,INDEX(Clay_Brands!$A$2:$FZ$601,0,Sync!$D$5),Config!$B$20,INDEX(Clay_Brands!$A$2:$FZ$601,0,Sync!$D$15),"needs_approval"),0)+IFERROR(COUNTIFS(INDEX(Clay_Brands!$A$2:$FZ$601,0,Sync!$D$10),A71,INDEX(Clay_Brands!$A$2:$FZ$601,0,Sync!$D$14),"&lt;="&amp;$E$6,INDEX(Clay_Brands!$A$2:$FZ$601,0,Sync!$D$5),Config!$B$20,INDEX(Clay_Brands!$A$2:$FZ$601,0,Sync!$D$15),"send_info"),0)+IFERROR(COUNTIFS(INDEX(Clay_Brands!$A$2:$FZ$601,0,Sync!$D$10),A71,INDEX(Clay_Brands!$A$2:$FZ$601,0,Sync!$D$14),"&lt;="&amp;$E$6,INDEX(Clay_Brands!$A$2:$FZ$601,0,Sync!$D$5),Config!$B$20,INDEX(Clay_Brands!$A$2:$FZ$601,0,Sync!$D$15),"referral"),0)</f>
        <v/>
      </c>
    </row>
    <row r="72">
      <c r="A72" t="inlineStr">
        <is>
          <t>brand-discovery-B</t>
        </is>
      </c>
      <c r="B72" t="inlineStr">
        <is>
          <t>brand</t>
        </is>
      </c>
      <c r="C72" s="20">
        <f>IFERROR(COUNTIFS(INDEX(Clay_Brands!$A$2:$FZ$601,0,Sync!$D$10),A72,INDEX(Clay_Brands!$A$2:$FZ$601,0,Sync!$D$11),"&lt;="&amp;$E$6,INDEX(Clay_Brands!$A$2:$FZ$601,0,Sync!$D$5),Config!$B$20),0)</f>
        <v/>
      </c>
      <c r="D72" s="20">
        <f>IFERROR(COUNTIFS(INDEX(Clay_Brands!$A$2:$FZ$601,0,Sync!$D$10),A72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72" s="21">
        <f>IF(C72=0,"",D72/C72)</f>
        <v/>
      </c>
      <c r="G72" s="20">
        <f>IFERROR(COUNTIFS(INDEX(Clay_Brands!$A$2:$FZ$601,0,Sync!$D$10),A72,INDEX(Clay_Brands!$A$2:$FZ$601,0,Sync!$D$14),"&lt;="&amp;$E$6,INDEX(Clay_Brands!$A$2:$FZ$601,0,Sync!$D$5),Config!$B$20,INDEX(Clay_Brands!$A$2:$FZ$601,0,Sync!$D$15),"yes"),0)+IFERROR(COUNTIFS(INDEX(Clay_Brands!$A$2:$FZ$601,0,Sync!$D$10),A72,INDEX(Clay_Brands!$A$2:$FZ$601,0,Sync!$D$14),"&lt;="&amp;$E$6,INDEX(Clay_Brands!$A$2:$FZ$601,0,Sync!$D$5),Config!$B$20,INDEX(Clay_Brands!$A$2:$FZ$601,0,Sync!$D$15),"maybe"),0)+IFERROR(COUNTIFS(INDEX(Clay_Brands!$A$2:$FZ$601,0,Sync!$D$10),A72,INDEX(Clay_Brands!$A$2:$FZ$601,0,Sync!$D$14),"&lt;="&amp;$E$6,INDEX(Clay_Brands!$A$2:$FZ$601,0,Sync!$D$5),Config!$B$20,INDEX(Clay_Brands!$A$2:$FZ$601,0,Sync!$D$15),"needs_approval"),0)+IFERROR(COUNTIFS(INDEX(Clay_Brands!$A$2:$FZ$601,0,Sync!$D$10),A72,INDEX(Clay_Brands!$A$2:$FZ$601,0,Sync!$D$14),"&lt;="&amp;$E$6,INDEX(Clay_Brands!$A$2:$FZ$601,0,Sync!$D$5),Config!$B$20,INDEX(Clay_Brands!$A$2:$FZ$601,0,Sync!$D$15),"send_info"),0)+IFERROR(COUNTIFS(INDEX(Clay_Brands!$A$2:$FZ$601,0,Sync!$D$10),A72,INDEX(Clay_Brands!$A$2:$FZ$601,0,Sync!$D$14),"&lt;="&amp;$E$6,INDEX(Clay_Brands!$A$2:$FZ$601,0,Sync!$D$5),Config!$B$20,INDEX(Clay_Brands!$A$2:$FZ$601,0,Sync!$D$15),"referral"),0)</f>
        <v/>
      </c>
    </row>
    <row r="73">
      <c r="A73" t="inlineStr">
        <is>
          <t>brand-selling-A</t>
        </is>
      </c>
      <c r="B73" t="inlineStr">
        <is>
          <t>brand</t>
        </is>
      </c>
      <c r="C73" s="20">
        <f>IFERROR(COUNTIFS(INDEX(Clay_Brands!$A$2:$FZ$601,0,Sync!$D$10),A73,INDEX(Clay_Brands!$A$2:$FZ$601,0,Sync!$D$11),"&lt;="&amp;$E$6,INDEX(Clay_Brands!$A$2:$FZ$601,0,Sync!$D$5),Config!$B$20),0)</f>
        <v/>
      </c>
      <c r="D73" s="20">
        <f>IFERROR(COUNTIFS(INDEX(Clay_Brands!$A$2:$FZ$601,0,Sync!$D$10),A73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73" s="21">
        <f>IF(C73=0,"",D73/C73)</f>
        <v/>
      </c>
      <c r="G73" s="20">
        <f>IFERROR(COUNTIFS(INDEX(Clay_Brands!$A$2:$FZ$601,0,Sync!$D$10),A73,INDEX(Clay_Brands!$A$2:$FZ$601,0,Sync!$D$14),"&lt;="&amp;$E$6,INDEX(Clay_Brands!$A$2:$FZ$601,0,Sync!$D$5),Config!$B$20,INDEX(Clay_Brands!$A$2:$FZ$601,0,Sync!$D$15),"yes"),0)+IFERROR(COUNTIFS(INDEX(Clay_Brands!$A$2:$FZ$601,0,Sync!$D$10),A73,INDEX(Clay_Brands!$A$2:$FZ$601,0,Sync!$D$14),"&lt;="&amp;$E$6,INDEX(Clay_Brands!$A$2:$FZ$601,0,Sync!$D$5),Config!$B$20,INDEX(Clay_Brands!$A$2:$FZ$601,0,Sync!$D$15),"maybe"),0)+IFERROR(COUNTIFS(INDEX(Clay_Brands!$A$2:$FZ$601,0,Sync!$D$10),A73,INDEX(Clay_Brands!$A$2:$FZ$601,0,Sync!$D$14),"&lt;="&amp;$E$6,INDEX(Clay_Brands!$A$2:$FZ$601,0,Sync!$D$5),Config!$B$20,INDEX(Clay_Brands!$A$2:$FZ$601,0,Sync!$D$15),"needs_approval"),0)+IFERROR(COUNTIFS(INDEX(Clay_Brands!$A$2:$FZ$601,0,Sync!$D$10),A73,INDEX(Clay_Brands!$A$2:$FZ$601,0,Sync!$D$14),"&lt;="&amp;$E$6,INDEX(Clay_Brands!$A$2:$FZ$601,0,Sync!$D$5),Config!$B$20,INDEX(Clay_Brands!$A$2:$FZ$601,0,Sync!$D$15),"send_info"),0)+IFERROR(COUNTIFS(INDEX(Clay_Brands!$A$2:$FZ$601,0,Sync!$D$10),A73,INDEX(Clay_Brands!$A$2:$FZ$601,0,Sync!$D$14),"&lt;="&amp;$E$6,INDEX(Clay_Brands!$A$2:$FZ$601,0,Sync!$D$5),Config!$B$20,INDEX(Clay_Brands!$A$2:$FZ$601,0,Sync!$D$15),"referral"),0)</f>
        <v/>
      </c>
    </row>
    <row r="74">
      <c r="A74" t="inlineStr">
        <is>
          <t>brand-selling-B</t>
        </is>
      </c>
      <c r="B74" t="inlineStr">
        <is>
          <t>brand</t>
        </is>
      </c>
      <c r="C74" s="20">
        <f>IFERROR(COUNTIFS(INDEX(Clay_Brands!$A$2:$FZ$601,0,Sync!$D$10),A74,INDEX(Clay_Brands!$A$2:$FZ$601,0,Sync!$D$11),"&lt;="&amp;$E$6,INDEX(Clay_Brands!$A$2:$FZ$601,0,Sync!$D$5),Config!$B$20),0)</f>
        <v/>
      </c>
      <c r="D74" s="20">
        <f>IFERROR(COUNTIFS(INDEX(Clay_Brands!$A$2:$FZ$601,0,Sync!$D$10),A74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74" s="21">
        <f>IF(C74=0,"",D74/C74)</f>
        <v/>
      </c>
      <c r="G74" s="20">
        <f>IFERROR(COUNTIFS(INDEX(Clay_Brands!$A$2:$FZ$601,0,Sync!$D$10),A74,INDEX(Clay_Brands!$A$2:$FZ$601,0,Sync!$D$14),"&lt;="&amp;$E$6,INDEX(Clay_Brands!$A$2:$FZ$601,0,Sync!$D$5),Config!$B$20,INDEX(Clay_Brands!$A$2:$FZ$601,0,Sync!$D$15),"yes"),0)+IFERROR(COUNTIFS(INDEX(Clay_Brands!$A$2:$FZ$601,0,Sync!$D$10),A74,INDEX(Clay_Brands!$A$2:$FZ$601,0,Sync!$D$14),"&lt;="&amp;$E$6,INDEX(Clay_Brands!$A$2:$FZ$601,0,Sync!$D$5),Config!$B$20,INDEX(Clay_Brands!$A$2:$FZ$601,0,Sync!$D$15),"maybe"),0)+IFERROR(COUNTIFS(INDEX(Clay_Brands!$A$2:$FZ$601,0,Sync!$D$10),A74,INDEX(Clay_Brands!$A$2:$FZ$601,0,Sync!$D$14),"&lt;="&amp;$E$6,INDEX(Clay_Brands!$A$2:$FZ$601,0,Sync!$D$5),Config!$B$20,INDEX(Clay_Brands!$A$2:$FZ$601,0,Sync!$D$15),"needs_approval"),0)+IFERROR(COUNTIFS(INDEX(Clay_Brands!$A$2:$FZ$601,0,Sync!$D$10),A74,INDEX(Clay_Brands!$A$2:$FZ$601,0,Sync!$D$14),"&lt;="&amp;$E$6,INDEX(Clay_Brands!$A$2:$FZ$601,0,Sync!$D$5),Config!$B$20,INDEX(Clay_Brands!$A$2:$FZ$601,0,Sync!$D$15),"send_info"),0)+IFERROR(COUNTIFS(INDEX(Clay_Brands!$A$2:$FZ$601,0,Sync!$D$10),A74,INDEX(Clay_Brands!$A$2:$FZ$601,0,Sync!$D$14),"&lt;="&amp;$E$6,INDEX(Clay_Brands!$A$2:$FZ$601,0,Sync!$D$5),Config!$B$20,INDEX(Clay_Brands!$A$2:$FZ$601,0,Sync!$D$15),"referral"),0)</f>
        <v/>
      </c>
    </row>
    <row r="75">
      <c r="A75" t="inlineStr">
        <is>
          <t>office-conversion-A</t>
        </is>
      </c>
      <c r="B75" t="inlineStr">
        <is>
          <t>office</t>
        </is>
      </c>
      <c r="C75" s="20">
        <f>IFERROR(COUNTIFS(INDEX(Clay_Offices!$A$2:$FZ$601,0,Sync!$C$10),A75,INDEX(Clay_Offices!$A$2:$FZ$601,0,Sync!$C$11),"&lt;="&amp;$E$6,INDEX(Clay_Offices!$A$2:$FZ$601,0,Sync!$C$5),Config!$B$20),0)</f>
        <v/>
      </c>
      <c r="D75" s="20">
        <f>IFERROR(COUNTIFS(INDEX(Clay_Offices!$A$2:$FZ$601,0,Sync!$C$10),A75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75" s="21">
        <f>IF(C75=0,"",D75/C75)</f>
        <v/>
      </c>
      <c r="G75" s="20">
        <f>IFERROR(COUNTIFS(INDEX(Clay_Offices!$A$2:$FZ$601,0,Sync!$C$10),A75,INDEX(Clay_Offices!$A$2:$FZ$601,0,Sync!$C$14),"&lt;="&amp;$E$6,INDEX(Clay_Offices!$A$2:$FZ$601,0,Sync!$C$5),Config!$B$20,INDEX(Clay_Offices!$A$2:$FZ$601,0,Sync!$C$15),"yes"),0)+IFERROR(COUNTIFS(INDEX(Clay_Offices!$A$2:$FZ$601,0,Sync!$C$10),A75,INDEX(Clay_Offices!$A$2:$FZ$601,0,Sync!$C$14),"&lt;="&amp;$E$6,INDEX(Clay_Offices!$A$2:$FZ$601,0,Sync!$C$5),Config!$B$20,INDEX(Clay_Offices!$A$2:$FZ$601,0,Sync!$C$15),"maybe"),0)+IFERROR(COUNTIFS(INDEX(Clay_Offices!$A$2:$FZ$601,0,Sync!$C$10),A75,INDEX(Clay_Offices!$A$2:$FZ$601,0,Sync!$C$14),"&lt;="&amp;$E$6,INDEX(Clay_Offices!$A$2:$FZ$601,0,Sync!$C$5),Config!$B$20,INDEX(Clay_Offices!$A$2:$FZ$601,0,Sync!$C$15),"needs_approval"),0)+IFERROR(COUNTIFS(INDEX(Clay_Offices!$A$2:$FZ$601,0,Sync!$C$10),A75,INDEX(Clay_Offices!$A$2:$FZ$601,0,Sync!$C$14),"&lt;="&amp;$E$6,INDEX(Clay_Offices!$A$2:$FZ$601,0,Sync!$C$5),Config!$B$20,INDEX(Clay_Offices!$A$2:$FZ$601,0,Sync!$C$15),"send_info"),0)+IFERROR(COUNTIFS(INDEX(Clay_Offices!$A$2:$FZ$601,0,Sync!$C$10),A75,INDEX(Clay_Offices!$A$2:$FZ$601,0,Sync!$C$14),"&lt;="&amp;$E$6,INDEX(Clay_Offices!$A$2:$FZ$601,0,Sync!$C$5),Config!$B$20,INDEX(Clay_Offices!$A$2:$FZ$601,0,Sync!$C$15),"referral"),0)</f>
        <v/>
      </c>
    </row>
    <row r="76">
      <c r="A76" t="inlineStr">
        <is>
          <t>brand-conversion-A</t>
        </is>
      </c>
      <c r="B76" t="inlineStr">
        <is>
          <t>brand</t>
        </is>
      </c>
      <c r="C76" s="20">
        <f>IFERROR(COUNTIFS(INDEX(Clay_Brands!$A$2:$FZ$601,0,Sync!$D$10),A76,INDEX(Clay_Brands!$A$2:$FZ$601,0,Sync!$D$11),"&lt;="&amp;$E$6,INDEX(Clay_Brands!$A$2:$FZ$601,0,Sync!$D$5),Config!$B$20),0)</f>
        <v/>
      </c>
      <c r="D76" s="20">
        <f>IFERROR(COUNTIFS(INDEX(Clay_Brands!$A$2:$FZ$601,0,Sync!$D$10),A76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76" s="21">
        <f>IF(C76=0,"",D76/C76)</f>
        <v/>
      </c>
      <c r="G76" s="20">
        <f>IFERROR(COUNTIFS(INDEX(Clay_Brands!$A$2:$FZ$601,0,Sync!$D$10),A76,INDEX(Clay_Brands!$A$2:$FZ$601,0,Sync!$D$14),"&lt;="&amp;$E$6,INDEX(Clay_Brands!$A$2:$FZ$601,0,Sync!$D$5),Config!$B$20,INDEX(Clay_Brands!$A$2:$FZ$601,0,Sync!$D$15),"yes"),0)+IFERROR(COUNTIFS(INDEX(Clay_Brands!$A$2:$FZ$601,0,Sync!$D$10),A76,INDEX(Clay_Brands!$A$2:$FZ$601,0,Sync!$D$14),"&lt;="&amp;$E$6,INDEX(Clay_Brands!$A$2:$FZ$601,0,Sync!$D$5),Config!$B$20,INDEX(Clay_Brands!$A$2:$FZ$601,0,Sync!$D$15),"maybe"),0)+IFERROR(COUNTIFS(INDEX(Clay_Brands!$A$2:$FZ$601,0,Sync!$D$10),A76,INDEX(Clay_Brands!$A$2:$FZ$601,0,Sync!$D$14),"&lt;="&amp;$E$6,INDEX(Clay_Brands!$A$2:$FZ$601,0,Sync!$D$5),Config!$B$20,INDEX(Clay_Brands!$A$2:$FZ$601,0,Sync!$D$15),"needs_approval"),0)+IFERROR(COUNTIFS(INDEX(Clay_Brands!$A$2:$FZ$601,0,Sync!$D$10),A76,INDEX(Clay_Brands!$A$2:$FZ$601,0,Sync!$D$14),"&lt;="&amp;$E$6,INDEX(Clay_Brands!$A$2:$FZ$601,0,Sync!$D$5),Config!$B$20,INDEX(Clay_Brands!$A$2:$FZ$601,0,Sync!$D$15),"send_info"),0)+IFERROR(COUNTIFS(INDEX(Clay_Brands!$A$2:$FZ$601,0,Sync!$D$10),A76,INDEX(Clay_Brands!$A$2:$FZ$601,0,Sync!$D$14),"&lt;="&amp;$E$6,INDEX(Clay_Brands!$A$2:$FZ$601,0,Sync!$D$5),Config!$B$20,INDEX(Clay_Brands!$A$2:$FZ$601,0,Sync!$D$15),"referral"),0)</f>
        <v/>
      </c>
    </row>
    <row r="77">
      <c r="A77" t="inlineStr">
        <is>
          <t>channel: email</t>
        </is>
      </c>
      <c r="B77" t="inlineStr">
        <is>
          <t>office</t>
        </is>
      </c>
      <c r="C77" s="20">
        <f>IFERROR(COUNTIFS(INDEX(Clay_Offices!$A$2:$FZ$601,0,Sync!$C$9),"email",INDEX(Clay_Offices!$A$2:$FZ$601,0,Sync!$C$11),"&lt;="&amp;$E$6,INDEX(Clay_Offices!$A$2:$FZ$601,0,Sync!$C$5),Config!$B$20),0)</f>
        <v/>
      </c>
      <c r="D77" s="20">
        <f>IFERROR(COUNTIFS(INDEX(Clay_Offices!$A$2:$FZ$601,0,Sync!$C$9),"email"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77" s="21">
        <f>IF(C77=0,"",D77/C77)</f>
        <v/>
      </c>
      <c r="G77" s="20">
        <f>IFERROR(COUNTIFS(INDEX(Clay_Offices!$A$2:$FZ$601,0,Sync!$C$9),"email",INDEX(Clay_Offices!$A$2:$FZ$601,0,Sync!$C$14),"&lt;="&amp;$E$6,INDEX(Clay_Offices!$A$2:$FZ$601,0,Sync!$C$5),Config!$B$20,INDEX(Clay_Offices!$A$2:$FZ$601,0,Sync!$C$15),"yes"),0)+IFERROR(COUNTIFS(INDEX(Clay_Offices!$A$2:$FZ$601,0,Sync!$C$9),"email",INDEX(Clay_Offices!$A$2:$FZ$601,0,Sync!$C$14),"&lt;="&amp;$E$6,INDEX(Clay_Offices!$A$2:$FZ$601,0,Sync!$C$5),Config!$B$20,INDEX(Clay_Offices!$A$2:$FZ$601,0,Sync!$C$15),"maybe"),0)+IFERROR(COUNTIFS(INDEX(Clay_Offices!$A$2:$FZ$601,0,Sync!$C$9),"email",INDEX(Clay_Offices!$A$2:$FZ$601,0,Sync!$C$14),"&lt;="&amp;$E$6,INDEX(Clay_Offices!$A$2:$FZ$601,0,Sync!$C$5),Config!$B$20,INDEX(Clay_Offices!$A$2:$FZ$601,0,Sync!$C$15),"needs_approval"),0)+IFERROR(COUNTIFS(INDEX(Clay_Offices!$A$2:$FZ$601,0,Sync!$C$9),"email",INDEX(Clay_Offices!$A$2:$FZ$601,0,Sync!$C$14),"&lt;="&amp;$E$6,INDEX(Clay_Offices!$A$2:$FZ$601,0,Sync!$C$5),Config!$B$20,INDEX(Clay_Offices!$A$2:$FZ$601,0,Sync!$C$15),"send_info"),0)+IFERROR(COUNTIFS(INDEX(Clay_Offices!$A$2:$FZ$601,0,Sync!$C$9),"email",INDEX(Clay_Offices!$A$2:$FZ$601,0,Sync!$C$14),"&lt;="&amp;$E$6,INDEX(Clay_Offices!$A$2:$FZ$601,0,Sync!$C$5),Config!$B$20,INDEX(Clay_Offices!$A$2:$FZ$601,0,Sync!$C$15),"referral"),0)</f>
        <v/>
      </c>
    </row>
    <row r="78">
      <c r="A78" t="inlineStr">
        <is>
          <t>channel: email</t>
        </is>
      </c>
      <c r="B78" t="inlineStr">
        <is>
          <t>brand</t>
        </is>
      </c>
      <c r="C78" s="20">
        <f>IFERROR(COUNTIFS(INDEX(Clay_Brands!$A$2:$FZ$601,0,Sync!$D$9),"email",INDEX(Clay_Brands!$A$2:$FZ$601,0,Sync!$D$11),"&lt;="&amp;$E$6,INDEX(Clay_Brands!$A$2:$FZ$601,0,Sync!$D$5),Config!$B$20),0)</f>
        <v/>
      </c>
      <c r="D78" s="20">
        <f>IFERROR(COUNTIFS(INDEX(Clay_Brands!$A$2:$FZ$601,0,Sync!$D$9),"email"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78" s="21">
        <f>IF(C78=0,"",D78/C78)</f>
        <v/>
      </c>
      <c r="G78" s="20">
        <f>IFERROR(COUNTIFS(INDEX(Clay_Brands!$A$2:$FZ$601,0,Sync!$D$9),"email",INDEX(Clay_Brands!$A$2:$FZ$601,0,Sync!$D$14),"&lt;="&amp;$E$6,INDEX(Clay_Brands!$A$2:$FZ$601,0,Sync!$D$5),Config!$B$20,INDEX(Clay_Brands!$A$2:$FZ$601,0,Sync!$D$15),"yes"),0)+IFERROR(COUNTIFS(INDEX(Clay_Brands!$A$2:$FZ$601,0,Sync!$D$9),"email",INDEX(Clay_Brands!$A$2:$FZ$601,0,Sync!$D$14),"&lt;="&amp;$E$6,INDEX(Clay_Brands!$A$2:$FZ$601,0,Sync!$D$5),Config!$B$20,INDEX(Clay_Brands!$A$2:$FZ$601,0,Sync!$D$15),"maybe"),0)+IFERROR(COUNTIFS(INDEX(Clay_Brands!$A$2:$FZ$601,0,Sync!$D$9),"email",INDEX(Clay_Brands!$A$2:$FZ$601,0,Sync!$D$14),"&lt;="&amp;$E$6,INDEX(Clay_Brands!$A$2:$FZ$601,0,Sync!$D$5),Config!$B$20,INDEX(Clay_Brands!$A$2:$FZ$601,0,Sync!$D$15),"needs_approval"),0)+IFERROR(COUNTIFS(INDEX(Clay_Brands!$A$2:$FZ$601,0,Sync!$D$9),"email",INDEX(Clay_Brands!$A$2:$FZ$601,0,Sync!$D$14),"&lt;="&amp;$E$6,INDEX(Clay_Brands!$A$2:$FZ$601,0,Sync!$D$5),Config!$B$20,INDEX(Clay_Brands!$A$2:$FZ$601,0,Sync!$D$15),"send_info"),0)+IFERROR(COUNTIFS(INDEX(Clay_Brands!$A$2:$FZ$601,0,Sync!$D$9),"email",INDEX(Clay_Brands!$A$2:$FZ$601,0,Sync!$D$14),"&lt;="&amp;$E$6,INDEX(Clay_Brands!$A$2:$FZ$601,0,Sync!$D$5),Config!$B$20,INDEX(Clay_Brands!$A$2:$FZ$601,0,Sync!$D$15),"referral"),0)</f>
        <v/>
      </c>
    </row>
    <row r="79">
      <c r="A79" t="inlineStr">
        <is>
          <t>channel: linkedin</t>
        </is>
      </c>
      <c r="B79" t="inlineStr">
        <is>
          <t>office</t>
        </is>
      </c>
      <c r="C79" s="20">
        <f>IFERROR(COUNTIFS(INDEX(Clay_Offices!$A$2:$FZ$601,0,Sync!$C$9),"linkedin",INDEX(Clay_Offices!$A$2:$FZ$601,0,Sync!$C$11),"&lt;="&amp;$E$6,INDEX(Clay_Offices!$A$2:$FZ$601,0,Sync!$C$5),Config!$B$20),0)</f>
        <v/>
      </c>
      <c r="D79" s="20">
        <f>IFERROR(COUNTIFS(INDEX(Clay_Offices!$A$2:$FZ$601,0,Sync!$C$9),"linkedin"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79" s="21">
        <f>IF(C79=0,"",D79/C79)</f>
        <v/>
      </c>
      <c r="G79" s="20">
        <f>IFERROR(COUNTIFS(INDEX(Clay_Offices!$A$2:$FZ$601,0,Sync!$C$9),"linkedin",INDEX(Clay_Offices!$A$2:$FZ$601,0,Sync!$C$14),"&lt;="&amp;$E$6,INDEX(Clay_Offices!$A$2:$FZ$601,0,Sync!$C$5),Config!$B$20,INDEX(Clay_Offices!$A$2:$FZ$601,0,Sync!$C$15),"yes"),0)+IFERROR(COUNTIFS(INDEX(Clay_Offices!$A$2:$FZ$601,0,Sync!$C$9),"linkedin",INDEX(Clay_Offices!$A$2:$FZ$601,0,Sync!$C$14),"&lt;="&amp;$E$6,INDEX(Clay_Offices!$A$2:$FZ$601,0,Sync!$C$5),Config!$B$20,INDEX(Clay_Offices!$A$2:$FZ$601,0,Sync!$C$15),"maybe"),0)+IFERROR(COUNTIFS(INDEX(Clay_Offices!$A$2:$FZ$601,0,Sync!$C$9),"linkedin",INDEX(Clay_Offices!$A$2:$FZ$601,0,Sync!$C$14),"&lt;="&amp;$E$6,INDEX(Clay_Offices!$A$2:$FZ$601,0,Sync!$C$5),Config!$B$20,INDEX(Clay_Offices!$A$2:$FZ$601,0,Sync!$C$15),"needs_approval"),0)+IFERROR(COUNTIFS(INDEX(Clay_Offices!$A$2:$FZ$601,0,Sync!$C$9),"linkedin",INDEX(Clay_Offices!$A$2:$FZ$601,0,Sync!$C$14),"&lt;="&amp;$E$6,INDEX(Clay_Offices!$A$2:$FZ$601,0,Sync!$C$5),Config!$B$20,INDEX(Clay_Offices!$A$2:$FZ$601,0,Sync!$C$15),"send_info"),0)+IFERROR(COUNTIFS(INDEX(Clay_Offices!$A$2:$FZ$601,0,Sync!$C$9),"linkedin",INDEX(Clay_Offices!$A$2:$FZ$601,0,Sync!$C$14),"&lt;="&amp;$E$6,INDEX(Clay_Offices!$A$2:$FZ$601,0,Sync!$C$5),Config!$B$20,INDEX(Clay_Offices!$A$2:$FZ$601,0,Sync!$C$15),"referral"),0)</f>
        <v/>
      </c>
    </row>
    <row r="80">
      <c r="A80" t="inlineStr">
        <is>
          <t>channel: linkedin</t>
        </is>
      </c>
      <c r="B80" t="inlineStr">
        <is>
          <t>brand</t>
        </is>
      </c>
      <c r="C80" s="20">
        <f>IFERROR(COUNTIFS(INDEX(Clay_Brands!$A$2:$FZ$601,0,Sync!$D$9),"linkedin",INDEX(Clay_Brands!$A$2:$FZ$601,0,Sync!$D$11),"&lt;="&amp;$E$6,INDEX(Clay_Brands!$A$2:$FZ$601,0,Sync!$D$5),Config!$B$20),0)</f>
        <v/>
      </c>
      <c r="D80" s="20">
        <f>IFERROR(COUNTIFS(INDEX(Clay_Brands!$A$2:$FZ$601,0,Sync!$D$9),"linkedin"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80" s="21">
        <f>IF(C80=0,"",D80/C80)</f>
        <v/>
      </c>
      <c r="G80" s="20">
        <f>IFERROR(COUNTIFS(INDEX(Clay_Brands!$A$2:$FZ$601,0,Sync!$D$9),"linkedin",INDEX(Clay_Brands!$A$2:$FZ$601,0,Sync!$D$14),"&lt;="&amp;$E$6,INDEX(Clay_Brands!$A$2:$FZ$601,0,Sync!$D$5),Config!$B$20,INDEX(Clay_Brands!$A$2:$FZ$601,0,Sync!$D$15),"yes"),0)+IFERROR(COUNTIFS(INDEX(Clay_Brands!$A$2:$FZ$601,0,Sync!$D$9),"linkedin",INDEX(Clay_Brands!$A$2:$FZ$601,0,Sync!$D$14),"&lt;="&amp;$E$6,INDEX(Clay_Brands!$A$2:$FZ$601,0,Sync!$D$5),Config!$B$20,INDEX(Clay_Brands!$A$2:$FZ$601,0,Sync!$D$15),"maybe"),0)+IFERROR(COUNTIFS(INDEX(Clay_Brands!$A$2:$FZ$601,0,Sync!$D$9),"linkedin",INDEX(Clay_Brands!$A$2:$FZ$601,0,Sync!$D$14),"&lt;="&amp;$E$6,INDEX(Clay_Brands!$A$2:$FZ$601,0,Sync!$D$5),Config!$B$20,INDEX(Clay_Brands!$A$2:$FZ$601,0,Sync!$D$15),"needs_approval"),0)+IFERROR(COUNTIFS(INDEX(Clay_Brands!$A$2:$FZ$601,0,Sync!$D$9),"linkedin",INDEX(Clay_Brands!$A$2:$FZ$601,0,Sync!$D$14),"&lt;="&amp;$E$6,INDEX(Clay_Brands!$A$2:$FZ$601,0,Sync!$D$5),Config!$B$20,INDEX(Clay_Brands!$A$2:$FZ$601,0,Sync!$D$15),"send_info"),0)+IFERROR(COUNTIFS(INDEX(Clay_Brands!$A$2:$FZ$601,0,Sync!$D$9),"linkedin",INDEX(Clay_Brands!$A$2:$FZ$601,0,Sync!$D$14),"&lt;="&amp;$E$6,INDEX(Clay_Brands!$A$2:$FZ$601,0,Sync!$D$5),Config!$B$20,INDEX(Clay_Brands!$A$2:$FZ$601,0,Sync!$D$15),"referral"),0)</f>
        <v/>
      </c>
    </row>
    <row r="81">
      <c r="A81" t="inlineStr">
        <is>
          <t>channel: warm-intro</t>
        </is>
      </c>
      <c r="B81" t="inlineStr">
        <is>
          <t>office</t>
        </is>
      </c>
      <c r="C81" s="20">
        <f>IFERROR(COUNTIFS(INDEX(Clay_Offices!$A$2:$FZ$601,0,Sync!$C$9),"warm-intro",INDEX(Clay_Offices!$A$2:$FZ$601,0,Sync!$C$11),"&lt;="&amp;$E$6,INDEX(Clay_Offices!$A$2:$FZ$601,0,Sync!$C$5),Config!$B$20),0)</f>
        <v/>
      </c>
      <c r="D81" s="20">
        <f>IFERROR(COUNTIFS(INDEX(Clay_Offices!$A$2:$FZ$601,0,Sync!$C$9),"warm-intro"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81" s="21">
        <f>IF(C81=0,"",D81/C81)</f>
        <v/>
      </c>
      <c r="G81" s="20">
        <f>IFERROR(COUNTIFS(INDEX(Clay_Offices!$A$2:$FZ$601,0,Sync!$C$9),"warm-intro",INDEX(Clay_Offices!$A$2:$FZ$601,0,Sync!$C$14),"&lt;="&amp;$E$6,INDEX(Clay_Offices!$A$2:$FZ$601,0,Sync!$C$5),Config!$B$20,INDEX(Clay_Offices!$A$2:$FZ$601,0,Sync!$C$15),"yes"),0)+IFERROR(COUNTIFS(INDEX(Clay_Offices!$A$2:$FZ$601,0,Sync!$C$9),"warm-intro",INDEX(Clay_Offices!$A$2:$FZ$601,0,Sync!$C$14),"&lt;="&amp;$E$6,INDEX(Clay_Offices!$A$2:$FZ$601,0,Sync!$C$5),Config!$B$20,INDEX(Clay_Offices!$A$2:$FZ$601,0,Sync!$C$15),"maybe"),0)+IFERROR(COUNTIFS(INDEX(Clay_Offices!$A$2:$FZ$601,0,Sync!$C$9),"warm-intro",INDEX(Clay_Offices!$A$2:$FZ$601,0,Sync!$C$14),"&lt;="&amp;$E$6,INDEX(Clay_Offices!$A$2:$FZ$601,0,Sync!$C$5),Config!$B$20,INDEX(Clay_Offices!$A$2:$FZ$601,0,Sync!$C$15),"needs_approval"),0)+IFERROR(COUNTIFS(INDEX(Clay_Offices!$A$2:$FZ$601,0,Sync!$C$9),"warm-intro",INDEX(Clay_Offices!$A$2:$FZ$601,0,Sync!$C$14),"&lt;="&amp;$E$6,INDEX(Clay_Offices!$A$2:$FZ$601,0,Sync!$C$5),Config!$B$20,INDEX(Clay_Offices!$A$2:$FZ$601,0,Sync!$C$15),"send_info"),0)+IFERROR(COUNTIFS(INDEX(Clay_Offices!$A$2:$FZ$601,0,Sync!$C$9),"warm-intro",INDEX(Clay_Offices!$A$2:$FZ$601,0,Sync!$C$14),"&lt;="&amp;$E$6,INDEX(Clay_Offices!$A$2:$FZ$601,0,Sync!$C$5),Config!$B$20,INDEX(Clay_Offices!$A$2:$FZ$601,0,Sync!$C$15),"referral"),0)</f>
        <v/>
      </c>
    </row>
    <row r="82">
      <c r="A82" t="inlineStr">
        <is>
          <t>channel: warm-intro</t>
        </is>
      </c>
      <c r="B82" t="inlineStr">
        <is>
          <t>brand</t>
        </is>
      </c>
      <c r="C82" s="20">
        <f>IFERROR(COUNTIFS(INDEX(Clay_Brands!$A$2:$FZ$601,0,Sync!$D$9),"warm-intro",INDEX(Clay_Brands!$A$2:$FZ$601,0,Sync!$D$11),"&lt;="&amp;$E$6,INDEX(Clay_Brands!$A$2:$FZ$601,0,Sync!$D$5),Config!$B$20),0)</f>
        <v/>
      </c>
      <c r="D82" s="20">
        <f>IFERROR(COUNTIFS(INDEX(Clay_Brands!$A$2:$FZ$601,0,Sync!$D$9),"warm-intro"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82" s="21">
        <f>IF(C82=0,"",D82/C82)</f>
        <v/>
      </c>
      <c r="G82" s="20">
        <f>IFERROR(COUNTIFS(INDEX(Clay_Brands!$A$2:$FZ$601,0,Sync!$D$9),"warm-intro",INDEX(Clay_Brands!$A$2:$FZ$601,0,Sync!$D$14),"&lt;="&amp;$E$6,INDEX(Clay_Brands!$A$2:$FZ$601,0,Sync!$D$5),Config!$B$20,INDEX(Clay_Brands!$A$2:$FZ$601,0,Sync!$D$15),"yes"),0)+IFERROR(COUNTIFS(INDEX(Clay_Brands!$A$2:$FZ$601,0,Sync!$D$9),"warm-intro",INDEX(Clay_Brands!$A$2:$FZ$601,0,Sync!$D$14),"&lt;="&amp;$E$6,INDEX(Clay_Brands!$A$2:$FZ$601,0,Sync!$D$5),Config!$B$20,INDEX(Clay_Brands!$A$2:$FZ$601,0,Sync!$D$15),"maybe"),0)+IFERROR(COUNTIFS(INDEX(Clay_Brands!$A$2:$FZ$601,0,Sync!$D$9),"warm-intro",INDEX(Clay_Brands!$A$2:$FZ$601,0,Sync!$D$14),"&lt;="&amp;$E$6,INDEX(Clay_Brands!$A$2:$FZ$601,0,Sync!$D$5),Config!$B$20,INDEX(Clay_Brands!$A$2:$FZ$601,0,Sync!$D$15),"needs_approval"),0)+IFERROR(COUNTIFS(INDEX(Clay_Brands!$A$2:$FZ$601,0,Sync!$D$9),"warm-intro",INDEX(Clay_Brands!$A$2:$FZ$601,0,Sync!$D$14),"&lt;="&amp;$E$6,INDEX(Clay_Brands!$A$2:$FZ$601,0,Sync!$D$5),Config!$B$20,INDEX(Clay_Brands!$A$2:$FZ$601,0,Sync!$D$15),"send_info"),0)+IFERROR(COUNTIFS(INDEX(Clay_Brands!$A$2:$FZ$601,0,Sync!$D$9),"warm-intro",INDEX(Clay_Brands!$A$2:$FZ$601,0,Sync!$D$14),"&lt;="&amp;$E$6,INDEX(Clay_Brands!$A$2:$FZ$601,0,Sync!$D$5),Config!$B$20,INDEX(Clay_Brands!$A$2:$FZ$601,0,Sync!$D$15),"referral"),0)</f>
        <v/>
      </c>
    </row>
    <row r="83">
      <c r="A83" t="inlineStr">
        <is>
          <t>channel: walk-in</t>
        </is>
      </c>
      <c r="B83" t="inlineStr">
        <is>
          <t>office</t>
        </is>
      </c>
      <c r="C83" s="20">
        <f>IFERROR(COUNTIFS(INDEX(Clay_Offices!$A$2:$FZ$601,0,Sync!$C$9),"walk-in",INDEX(Clay_Offices!$A$2:$FZ$601,0,Sync!$C$11),"&lt;="&amp;$E$6,INDEX(Clay_Offices!$A$2:$FZ$601,0,Sync!$C$5),Config!$B$20),0)</f>
        <v/>
      </c>
      <c r="D83" s="20">
        <f>IFERROR(COUNTIFS(INDEX(Clay_Offices!$A$2:$FZ$601,0,Sync!$C$9),"walk-in",INDEX(Clay_Offices!$A$2:$FZ$601,0,Sync!$C$14),"&lt;="&amp;$E$6,INDEX(Clay_Offices!$A$2:$FZ$601,0,Sync!$C$5),Config!$B$20,INDEX(Clay_Offices!$A$2:$FZ$601,0,Sync!$C$15),"&lt;&gt;bounce",INDEX(Clay_Offices!$A$2:$FZ$601,0,Sync!$C$15),"&lt;&gt;out_of_office"),0)</f>
        <v/>
      </c>
      <c r="E83" s="21">
        <f>IF(C83=0,"",D83/C83)</f>
        <v/>
      </c>
      <c r="G83" s="20">
        <f>IFERROR(COUNTIFS(INDEX(Clay_Offices!$A$2:$FZ$601,0,Sync!$C$9),"walk-in",INDEX(Clay_Offices!$A$2:$FZ$601,0,Sync!$C$14),"&lt;="&amp;$E$6,INDEX(Clay_Offices!$A$2:$FZ$601,0,Sync!$C$5),Config!$B$20,INDEX(Clay_Offices!$A$2:$FZ$601,0,Sync!$C$15),"yes"),0)+IFERROR(COUNTIFS(INDEX(Clay_Offices!$A$2:$FZ$601,0,Sync!$C$9),"walk-in",INDEX(Clay_Offices!$A$2:$FZ$601,0,Sync!$C$14),"&lt;="&amp;$E$6,INDEX(Clay_Offices!$A$2:$FZ$601,0,Sync!$C$5),Config!$B$20,INDEX(Clay_Offices!$A$2:$FZ$601,0,Sync!$C$15),"maybe"),0)+IFERROR(COUNTIFS(INDEX(Clay_Offices!$A$2:$FZ$601,0,Sync!$C$9),"walk-in",INDEX(Clay_Offices!$A$2:$FZ$601,0,Sync!$C$14),"&lt;="&amp;$E$6,INDEX(Clay_Offices!$A$2:$FZ$601,0,Sync!$C$5),Config!$B$20,INDEX(Clay_Offices!$A$2:$FZ$601,0,Sync!$C$15),"needs_approval"),0)+IFERROR(COUNTIFS(INDEX(Clay_Offices!$A$2:$FZ$601,0,Sync!$C$9),"walk-in",INDEX(Clay_Offices!$A$2:$FZ$601,0,Sync!$C$14),"&lt;="&amp;$E$6,INDEX(Clay_Offices!$A$2:$FZ$601,0,Sync!$C$5),Config!$B$20,INDEX(Clay_Offices!$A$2:$FZ$601,0,Sync!$C$15),"send_info"),0)+IFERROR(COUNTIFS(INDEX(Clay_Offices!$A$2:$FZ$601,0,Sync!$C$9),"walk-in",INDEX(Clay_Offices!$A$2:$FZ$601,0,Sync!$C$14),"&lt;="&amp;$E$6,INDEX(Clay_Offices!$A$2:$FZ$601,0,Sync!$C$5),Config!$B$20,INDEX(Clay_Offices!$A$2:$FZ$601,0,Sync!$C$15),"referral"),0)</f>
        <v/>
      </c>
    </row>
    <row r="84">
      <c r="A84" t="inlineStr">
        <is>
          <t>channel: walk-in</t>
        </is>
      </c>
      <c r="B84" t="inlineStr">
        <is>
          <t>brand</t>
        </is>
      </c>
      <c r="C84" s="20">
        <f>IFERROR(COUNTIFS(INDEX(Clay_Brands!$A$2:$FZ$601,0,Sync!$D$9),"walk-in",INDEX(Clay_Brands!$A$2:$FZ$601,0,Sync!$D$11),"&lt;="&amp;$E$6,INDEX(Clay_Brands!$A$2:$FZ$601,0,Sync!$D$5),Config!$B$20),0)</f>
        <v/>
      </c>
      <c r="D84" s="20">
        <f>IFERROR(COUNTIFS(INDEX(Clay_Brands!$A$2:$FZ$601,0,Sync!$D$9),"walk-in",INDEX(Clay_Brands!$A$2:$FZ$601,0,Sync!$D$14),"&lt;="&amp;$E$6,INDEX(Clay_Brands!$A$2:$FZ$601,0,Sync!$D$5),Config!$B$20,INDEX(Clay_Brands!$A$2:$FZ$601,0,Sync!$D$15),"&lt;&gt;bounce",INDEX(Clay_Brands!$A$2:$FZ$601,0,Sync!$D$15),"&lt;&gt;out_of_office"),0)</f>
        <v/>
      </c>
      <c r="E84" s="21">
        <f>IF(C84=0,"",D84/C84)</f>
        <v/>
      </c>
      <c r="G84" s="20">
        <f>IFERROR(COUNTIFS(INDEX(Clay_Brands!$A$2:$FZ$601,0,Sync!$D$9),"walk-in",INDEX(Clay_Brands!$A$2:$FZ$601,0,Sync!$D$14),"&lt;="&amp;$E$6,INDEX(Clay_Brands!$A$2:$FZ$601,0,Sync!$D$5),Config!$B$20,INDEX(Clay_Brands!$A$2:$FZ$601,0,Sync!$D$15),"yes"),0)+IFERROR(COUNTIFS(INDEX(Clay_Brands!$A$2:$FZ$601,0,Sync!$D$9),"walk-in",INDEX(Clay_Brands!$A$2:$FZ$601,0,Sync!$D$14),"&lt;="&amp;$E$6,INDEX(Clay_Brands!$A$2:$FZ$601,0,Sync!$D$5),Config!$B$20,INDEX(Clay_Brands!$A$2:$FZ$601,0,Sync!$D$15),"maybe"),0)+IFERROR(COUNTIFS(INDEX(Clay_Brands!$A$2:$FZ$601,0,Sync!$D$9),"walk-in",INDEX(Clay_Brands!$A$2:$FZ$601,0,Sync!$D$14),"&lt;="&amp;$E$6,INDEX(Clay_Brands!$A$2:$FZ$601,0,Sync!$D$5),Config!$B$20,INDEX(Clay_Brands!$A$2:$FZ$601,0,Sync!$D$15),"needs_approval"),0)+IFERROR(COUNTIFS(INDEX(Clay_Brands!$A$2:$FZ$601,0,Sync!$D$9),"walk-in",INDEX(Clay_Brands!$A$2:$FZ$601,0,Sync!$D$14),"&lt;="&amp;$E$6,INDEX(Clay_Brands!$A$2:$FZ$601,0,Sync!$D$5),Config!$B$20,INDEX(Clay_Brands!$A$2:$FZ$601,0,Sync!$D$15),"send_info"),0)+IFERROR(COUNTIFS(INDEX(Clay_Brands!$A$2:$FZ$601,0,Sync!$D$9),"walk-in",INDEX(Clay_Brands!$A$2:$FZ$601,0,Sync!$D$14),"&lt;="&amp;$E$6,INDEX(Clay_Brands!$A$2:$FZ$601,0,Sync!$D$5),Config!$B$20,INDEX(Clay_Brands!$A$2:$FZ$601,0,Sync!$D$15),"referral"),0)</f>
        <v/>
      </c>
    </row>
    <row r="85">
      <c r="A85" s="6" t="inlineStr">
        <is>
          <t>Sequence names come from Clay's sequence column. Edit the names in column A to match the variants Part A's copy uses.</t>
        </is>
      </c>
    </row>
    <row r="87">
      <c r="A87" s="9" t="inlineStr">
        <is>
          <t>Data checks (fix every FIX before reading the numbers above)</t>
        </is>
      </c>
    </row>
    <row r="88">
      <c r="A88" s="7" t="inlineStr">
        <is>
          <t>Check</t>
        </is>
      </c>
      <c r="E88" s="7" t="inlineStr">
        <is>
          <t>Count</t>
        </is>
      </c>
      <c r="F88" s="7" t="inlineStr">
        <is>
          <t>Result</t>
        </is>
      </c>
      <c r="G88" s="7" t="inlineStr">
        <is>
          <t>What to do</t>
        </is>
      </c>
    </row>
    <row r="89">
      <c r="A89" t="inlineStr">
        <is>
          <t>Office_Log rows with a sync issue</t>
        </is>
      </c>
      <c r="E89" s="12">
        <f>COUNTIF(Office_Log!$AS$2:$AS$201,"?*")</f>
        <v/>
      </c>
      <c r="F89" s="12">
        <f>IF(N(E89)=0,"OK","FIX")</f>
        <v/>
      </c>
      <c r="G89" s="11" t="inlineStr">
        <is>
          <t>Read calc_sync_issue on Office_Log; fix in Clay, then re-paste.</t>
        </is>
      </c>
    </row>
    <row r="90">
      <c r="A90" t="inlineStr">
        <is>
          <t>Brand_Log rows with a sync issue</t>
        </is>
      </c>
      <c r="E90" s="12">
        <f>COUNTIF(Brand_Log!$AL$2:$AL$201,"?*")</f>
        <v/>
      </c>
      <c r="F90" s="12">
        <f>IF(N(E90)=0,"OK","FIX")</f>
        <v/>
      </c>
      <c r="G90" s="11" t="inlineStr">
        <is>
          <t>Read calc_sync_issue on Brand_Log.</t>
        </is>
      </c>
    </row>
    <row r="91">
      <c r="A91" t="inlineStr">
        <is>
          <t>Clay office rows with an issue</t>
        </is>
      </c>
      <c r="E91" s="12">
        <f>COUNTIF(Sync!$G$22:$G$621,"?*")</f>
        <v/>
      </c>
      <c r="F91" s="12">
        <f>IF(N(E91)=0,"OK","FIX")</f>
        <v/>
      </c>
      <c r="G91" s="11" t="inlineStr">
        <is>
          <t>Sync tab, office list.</t>
        </is>
      </c>
    </row>
    <row r="92">
      <c r="A92" t="inlineStr">
        <is>
          <t>Clay brand rows with an issue</t>
        </is>
      </c>
      <c r="E92" s="12">
        <f>COUNTIF(Sync!$N$22:$N$621,"?*")</f>
        <v/>
      </c>
      <c r="F92" s="12">
        <f>IF(N(E92)=0,"OK","FIX")</f>
        <v/>
      </c>
      <c r="G92" s="11" t="inlineStr">
        <is>
          <t>Sync tab, brand list.</t>
        </is>
      </c>
    </row>
    <row r="93">
      <c r="A93" t="inlineStr">
        <is>
          <t>Handoff rows whose Clay status is not signed / paid</t>
        </is>
      </c>
      <c r="E93" s="12">
        <f>COUNTIF(Sync!$R$22:$R$71,"?*")+COUNTIF(Sync!$V$22:$V$71,"?*")</f>
        <v/>
      </c>
      <c r="F93" s="12">
        <f>IF(N(E93)=0,"OK","FIX")</f>
        <v/>
      </c>
      <c r="G93" s="11" t="inlineStr">
        <is>
          <t>Set the Clay status to signed or paid.</t>
        </is>
      </c>
    </row>
    <row r="94">
      <c r="A94" t="inlineStr">
        <is>
          <t>Clay columns missing from a paste</t>
        </is>
      </c>
      <c r="E94" s="12">
        <f>COUNTIF(Sync!$E$5:$E$18,"?*")</f>
        <v/>
      </c>
      <c r="F94" s="12">
        <f>IF(N(E94)=0,"OK","FIX")</f>
        <v/>
      </c>
      <c r="G94" s="11" t="inlineStr">
        <is>
          <t>Export all columns from Clay (CONTRACTS 6.2 names).</t>
        </is>
      </c>
    </row>
    <row r="95">
      <c r="A95" t="inlineStr">
        <is>
          <t>Days since the Clay offices paste (as of)</t>
        </is>
      </c>
      <c r="E95" s="12">
        <f>IF(Config!$B$21="",999,Config!$B$5-Config!$B$21)</f>
        <v/>
      </c>
      <c r="F95" s="12">
        <f>IF(N(E95)&lt;=1,"OK","FIX")</f>
        <v/>
      </c>
      <c r="G95" s="11" t="inlineStr">
        <is>
          <t>Paste a fresh export each Friday and type its date on Config.</t>
        </is>
      </c>
    </row>
    <row r="96">
      <c r="A96" t="inlineStr">
        <is>
          <t>Days since the Clay brands paste (as of)</t>
        </is>
      </c>
      <c r="E96" s="12">
        <f>IF(Config!$B$22="",999,Config!$B$5-Config!$B$22)</f>
        <v/>
      </c>
      <c r="F96" s="12">
        <f>IF(N(E96)&lt;=1,"OK","FIX")</f>
        <v/>
      </c>
      <c r="G96" s="11" t="inlineStr">
        <is>
          <t>Same.</t>
        </is>
      </c>
    </row>
    <row r="97">
      <c r="A97" t="inlineStr">
        <is>
          <t>Offices that said Y but owner or window is missing</t>
        </is>
      </c>
      <c r="E97" s="12">
        <f>SUM(Office_Log!$AZ$2:$AZ$201)</f>
        <v/>
      </c>
      <c r="F97" s="12">
        <f>"info"</f>
        <v/>
      </c>
      <c r="G97" s="11" t="inlineStr">
        <is>
          <t>They do not count for Gate 0 until both are named.</t>
        </is>
      </c>
    </row>
    <row r="98">
      <c r="A98" t="inlineStr">
        <is>
          <t>Budget probe asked but no verbatim</t>
        </is>
      </c>
      <c r="E98" s="12">
        <f>SUM(Office_Log!$BN$2:$BN$201)</f>
        <v/>
      </c>
      <c r="F98" s="12">
        <f>IF(N(E98)=0,"OK","FIX")</f>
        <v/>
      </c>
      <c r="G98" s="11" t="inlineStr">
        <is>
          <t>Type the answer word for word.</t>
        </is>
      </c>
    </row>
    <row r="99">
      <c r="A99" t="inlineStr">
        <is>
          <t>Brand number given but no verbatim</t>
        </is>
      </c>
      <c r="E99" s="12">
        <f>SUM(Brand_Log!$BL$2:$BL$201)</f>
        <v/>
      </c>
      <c r="F99" s="12">
        <f>IF(N(E99)=0,"OK","FIX")</f>
        <v/>
      </c>
      <c r="G99" s="11" t="inlineStr">
        <is>
          <t>Type the answer word for word.</t>
        </is>
      </c>
    </row>
    <row r="100">
      <c r="A100" t="inlineStr">
        <is>
          <t>Log rows with a row_id but no real call_date</t>
        </is>
      </c>
      <c r="E100" s="12">
        <f>COUNTIF(Office_Log!$AS$2:$AS$201,"call_date*")+COUNTIF(Brand_Log!$AL$2:$AL$201,"call_date*")</f>
        <v/>
      </c>
      <c r="F100" s="12">
        <f>IF(N(E100)=0,"OK","FIX")</f>
        <v/>
      </c>
      <c r="G100" s="11" t="inlineStr">
        <is>
          <t>Type the date as YYYY-MM-DD.</t>
        </is>
      </c>
    </row>
    <row r="101">
      <c r="A101" t="inlineStr">
        <is>
          <t>Clay touch_1_date cells stored as text</t>
        </is>
      </c>
      <c r="E101" s="12">
        <f>IFERROR(SUMPRODUCT(--ISTEXT(INDEX(Clay_Offices!$A$2:$FZ$601,0,Sync!$C$11))),0)+IFERROR(SUMPRODUCT(--ISTEXT(INDEX(Clay_Brands!$A$2:$FZ$601,0,Sync!$D$11))),0)</f>
        <v/>
      </c>
      <c r="F101" s="12">
        <f>IF(N(E101)=0,"OK","FIX")</f>
        <v/>
      </c>
      <c r="G101" s="11" t="inlineStr">
        <is>
          <t>Reformat the column as a date in Clay or here, or they drop out of every count.</t>
        </is>
      </c>
    </row>
    <row r="102">
      <c r="A102" t="inlineStr">
        <is>
          <t>Pipeline events beyond the export rows</t>
        </is>
      </c>
      <c r="E102" s="12">
        <f>MAX(0,COUNT(Pipeline_Calc!$A$2:$A$5251)-1000)</f>
        <v/>
      </c>
      <c r="F102" s="12">
        <f>IF(N(E102)=0,"OK","FIX")</f>
        <v/>
      </c>
      <c r="G102" s="11" t="inlineStr">
        <is>
          <t>Raise EXPORT_N in tools/build_tracker.py and rebuild, or split the file.</t>
        </is>
      </c>
    </row>
    <row r="103">
      <c r="A103" t="inlineStr">
        <is>
          <t>Notes over the ten-minute target (as of)</t>
        </is>
      </c>
      <c r="E103" s="12">
        <f>COUNTIF(Office_Log!$BR$2:$BR$201,"&gt;"&amp;Config!$B$18)+COUNTIF(Brand_Log!$BP$2:$BP$201,"&gt;"&amp;Config!$B$18)</f>
        <v/>
      </c>
      <c r="F103" s="12">
        <f>"info"</f>
        <v/>
      </c>
      <c r="G103" s="11" t="inlineStr">
        <is>
          <t>If this grows, trim the note template, not the verbatims.</t>
        </is>
      </c>
    </row>
    <row r="104">
      <c r="A104" t="inlineStr">
        <is>
          <t>Median minutes per note (as of)</t>
        </is>
      </c>
      <c r="E104" s="12">
        <f>IFERROR(MEDIAN(Office_Log!$BR$2:$BR$201,Brand_Log!$BP$2:$BP$201),"none yet")</f>
        <v/>
      </c>
      <c r="F104" s="12">
        <f>"info"</f>
        <v/>
      </c>
      <c r="G104" s="11" t="inlineStr">
        <is>
          <t>Target 10 or less.</t>
        </is>
      </c>
    </row>
    <row r="105">
      <c r="A105" t="inlineStr">
        <is>
          <t>SAMPLE rows in this file</t>
        </is>
      </c>
      <c r="E105" s="12">
        <f>COUNTIF(Office_Log!$A$2:$A$201,"SAMPLE*")+COUNTIF(Brand_Log!$A$2:$A$201,"SAMPLE*")+COUNTIF(signed_offices!$W$2:$W$51,"SAMPLE*")+COUNTIF(paid_brands!$AC$2:$AC$51,"SAMPLE*")+COUNTIF(later_events!$C$2:$C$101,"SAMPLE*")+IFERROR(COUNTIF(INDEX(Clay_Offices!$A$2:$FZ$601,0,Sync!$C$5),"SAMPLE*"),0)+IFERROR(COUNTIF(INDEX(Clay_Brands!$A$2:$FZ$601,0,Sync!$D$5),"SAMPLE*"),0)</f>
        <v/>
      </c>
      <c r="F105" s="12">
        <f>IF(N(E105)=0,"OK",IF(Config!$B$19="Y","SAMPLE","ignored"))</f>
        <v/>
      </c>
      <c r="G105" s="11" t="inlineStr">
        <is>
          <t>Delete them before real use, or keep include_sample = N so they are ignored.</t>
        </is>
      </c>
    </row>
  </sheetData>
  <mergeCells count="18">
    <mergeCell ref="A36:G36"/>
    <mergeCell ref="B34:G34"/>
    <mergeCell ref="B62:G62"/>
    <mergeCell ref="A1:G1"/>
    <mergeCell ref="C43:G43"/>
    <mergeCell ref="A31:G31"/>
    <mergeCell ref="A65:G65"/>
    <mergeCell ref="A47:G47"/>
    <mergeCell ref="A87:G87"/>
    <mergeCell ref="C44:G44"/>
    <mergeCell ref="C41:G41"/>
    <mergeCell ref="C40:G40"/>
    <mergeCell ref="A7:G7"/>
    <mergeCell ref="C45:G45"/>
    <mergeCell ref="C39:G39"/>
    <mergeCell ref="A19:G19"/>
    <mergeCell ref="B33:G33"/>
    <mergeCell ref="B55:G55"/>
  </mergeCells>
  <conditionalFormatting sqref="A1:G1">
    <cfRule type="expression" priority="1" dxfId="0">
      <formula>LEN($A$1)&gt;0</formula>
    </cfRule>
  </conditionalFormatting>
  <conditionalFormatting sqref="B7:F106">
    <cfRule type="expression" priority="2" dxfId="1">
      <formula>B7="PASS"</formula>
    </cfRule>
    <cfRule type="expression" priority="3" dxfId="1">
      <formula>B7="OK"</formula>
    </cfRule>
    <cfRule type="expression" priority="4" dxfId="2">
      <formula>B7="FAIL"</formula>
    </cfRule>
    <cfRule type="expression" priority="5" dxfId="2">
      <formula>B7="FIX"</formula>
    </cfRule>
    <cfRule type="expression" priority="6" dxfId="3">
      <formula>B7="not yet"</formula>
    </cfRule>
  </conditionalFormatting>
  <conditionalFormatting sqref="B1:G106">
    <cfRule type="expression" priority="7" dxfId="4">
      <formula>LEFT(B1,8)="UNDER 20"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16" customWidth="1" min="5" max="5"/>
    <col width="10" customWidth="1" min="6" max="6"/>
    <col width="11" customWidth="1" min="7" max="7"/>
    <col width="9" customWidth="1" min="8" max="8"/>
    <col width="34" customWidth="1" min="9" max="9"/>
    <col width="14" customWidth="1" min="10" max="10"/>
    <col width="9" customWidth="1" min="11" max="11"/>
    <col width="20" customWidth="1" min="12" max="12"/>
    <col width="9" customWidth="1" min="13" max="13"/>
    <col width="16" customWidth="1" min="14" max="14"/>
    <col width="26" customWidth="1" min="15" max="15"/>
    <col width="26" customWidth="1" min="16" max="16"/>
    <col width="26" customWidth="1" min="17" max="17"/>
    <col width="8" customWidth="1" min="18" max="18"/>
    <col width="18" customWidth="1" min="19" max="19"/>
    <col width="7" customWidth="1" min="20" max="20"/>
    <col width="32" customWidth="1" min="21" max="21"/>
    <col width="9" customWidth="1" min="22" max="22"/>
    <col width="9" customWidth="1" min="23" max="23"/>
    <col width="7" customWidth="1" min="24" max="24"/>
    <col width="22" customWidth="1" min="25" max="25"/>
    <col width="7" customWidth="1" min="26" max="26"/>
    <col width="15" customWidth="1" min="27" max="27"/>
    <col width="15" customWidth="1" min="28" max="28"/>
    <col width="7" customWidth="1" min="29" max="29"/>
    <col width="15" customWidth="1" min="30" max="30"/>
    <col width="11" customWidth="1" min="31" max="31"/>
    <col width="8" customWidth="1" min="32" max="32"/>
    <col width="18" customWidth="1" min="33" max="33"/>
    <col width="18" customWidth="1" min="34" max="34"/>
    <col width="18" customWidth="1" min="35" max="35"/>
    <col width="14" customWidth="1" min="36" max="36"/>
    <col width="14" customWidth="1" min="37" max="37"/>
    <col width="14" customWidth="1" min="38" max="38"/>
    <col width="30" customWidth="1" min="39" max="39"/>
    <col width="7" customWidth="1" min="40" max="40"/>
    <col width="16" customWidth="1" min="41" max="41"/>
    <col width="7" customWidth="1" min="42" max="42"/>
    <col width="7" customWidth="1" min="43" max="43"/>
    <col width="24" customWidth="1" min="44" max="44"/>
    <col width="34" customWidth="1" min="45" max="45"/>
    <col hidden="1" outlineLevel="1" width="11" customWidth="1" min="46" max="80"/>
  </cols>
  <sheetData>
    <row r="1" ht="42" customHeight="1">
      <c r="A1" s="7" t="inlineStr">
        <is>
          <t>row_id</t>
        </is>
      </c>
      <c r="B1" s="7" t="inlineStr">
        <is>
          <t>company</t>
        </is>
      </c>
      <c r="C1" s="7" t="inlineStr">
        <is>
          <t>contact_name</t>
        </is>
      </c>
      <c r="D1" s="7" t="inlineStr">
        <is>
          <t>contact_title</t>
        </is>
      </c>
      <c r="E1" s="7" t="inlineStr">
        <is>
          <t>source</t>
        </is>
      </c>
      <c r="F1" s="7" t="inlineStr">
        <is>
          <t>channel</t>
        </is>
      </c>
      <c r="G1" s="7" t="inlineStr">
        <is>
          <t>call_date</t>
        </is>
      </c>
      <c r="H1" s="7" t="inlineStr">
        <is>
          <t>call_type</t>
        </is>
      </c>
      <c r="I1" s="7" t="inlineStr">
        <is>
          <t>q1_pantry_today_verbatim</t>
        </is>
      </c>
      <c r="J1" s="7" t="inlineStr">
        <is>
          <t>pantry_vendor</t>
        </is>
      </c>
      <c r="K1" s="7" t="inlineStr">
        <is>
          <t>monthly_pantry_spend_usd</t>
        </is>
      </c>
      <c r="L1" s="7" t="inlineStr">
        <is>
          <t>monthly_pantry_spend_verbatim</t>
        </is>
      </c>
      <c r="M1" s="7" t="inlineStr">
        <is>
          <t>tuesday_headcount</t>
        </is>
      </c>
      <c r="N1" s="7" t="inlineStr">
        <is>
          <t>headcount_verbatim</t>
        </is>
      </c>
      <c r="O1" s="7" t="inlineStr">
        <is>
          <t>q3_free_product_verbatim</t>
        </is>
      </c>
      <c r="P1" s="7" t="inlineStr">
        <is>
          <t>q4_yes_needs_verbatim</t>
        </is>
      </c>
      <c r="Q1" s="7" t="inlineStr">
        <is>
          <t>q4_no_triggers_verbatim</t>
        </is>
      </c>
      <c r="R1" s="7" t="inlineStr">
        <is>
          <t>q5_photo_and_survey</t>
        </is>
      </c>
      <c r="S1" s="7" t="inlineStr">
        <is>
          <t>q5_verbatim</t>
        </is>
      </c>
      <c r="T1" s="7" t="inlineStr">
        <is>
          <t>budget_probe_asked</t>
        </is>
      </c>
      <c r="U1" s="7" t="inlineStr">
        <is>
          <t>budget_probe_verbatim</t>
        </is>
      </c>
      <c r="V1" s="7" t="inlineStr">
        <is>
          <t>budget_probe_low_usd</t>
        </is>
      </c>
      <c r="W1" s="7" t="inlineStr">
        <is>
          <t>budget_probe_high_usd</t>
        </is>
      </c>
      <c r="X1" s="7" t="inlineStr">
        <is>
          <t>referrals_given_count</t>
        </is>
      </c>
      <c r="Y1" s="7" t="inlineStr">
        <is>
          <t>referrals_given</t>
        </is>
      </c>
      <c r="Z1" s="7" t="inlineStr">
        <is>
          <t>pantry_owner_named</t>
        </is>
      </c>
      <c r="AA1" s="7" t="inlineStr">
        <is>
          <t>pantry_owner_name</t>
        </is>
      </c>
      <c r="AB1" s="7" t="inlineStr">
        <is>
          <t>pantry_owner_title</t>
        </is>
      </c>
      <c r="AC1" s="7" t="inlineStr">
        <is>
          <t>owner_can_say_yes_alone</t>
        </is>
      </c>
      <c r="AD1" s="7" t="inlineStr">
        <is>
          <t>receiving_window</t>
        </is>
      </c>
      <c r="AE1" s="7" t="inlineStr">
        <is>
          <t>receiving_type</t>
        </is>
      </c>
      <c r="AF1" s="7" t="inlineStr">
        <is>
          <t>coi_required</t>
        </is>
      </c>
      <c r="AG1" s="7" t="inlineStr">
        <is>
          <t>security_notes</t>
        </is>
      </c>
      <c r="AH1" s="7" t="inlineStr">
        <is>
          <t>veto_categories</t>
        </is>
      </c>
      <c r="AI1" s="7" t="inlineStr">
        <is>
          <t>veto_verbatim</t>
        </is>
      </c>
      <c r="AJ1" s="7" t="inlineStr">
        <is>
          <t>objection_1</t>
        </is>
      </c>
      <c r="AK1" s="7" t="inlineStr">
        <is>
          <t>objection_2</t>
        </is>
      </c>
      <c r="AL1" s="7" t="inlineStr">
        <is>
          <t>objection_3</t>
        </is>
      </c>
      <c r="AM1" s="7" t="inlineStr">
        <is>
          <t>objections_verbatim</t>
        </is>
      </c>
      <c r="AN1" s="7" t="inlineStr">
        <is>
          <t>yes_in_principle</t>
        </is>
      </c>
      <c r="AO1" s="7" t="inlineStr">
        <is>
          <t>yes_signals</t>
        </is>
      </c>
      <c r="AP1" s="7" t="inlineStr">
        <is>
          <t>note_minutes</t>
        </is>
      </c>
      <c r="AQ1" s="7" t="inlineStr">
        <is>
          <t>clay_updated</t>
        </is>
      </c>
      <c r="AR1" s="7" t="inlineStr">
        <is>
          <t>notes</t>
        </is>
      </c>
      <c r="AS1" s="16" t="inlineStr">
        <is>
          <t>calc_sync_issue</t>
        </is>
      </c>
      <c r="AT1" s="16" t="inlineStr">
        <is>
          <t>calc_row</t>
        </is>
      </c>
      <c r="AU1" s="16" t="inlineStr">
        <is>
          <t>calc_valid</t>
        </is>
      </c>
      <c r="AV1" s="16" t="inlineStr">
        <is>
          <t>calc_conv_first</t>
        </is>
      </c>
      <c r="AW1" s="16" t="inlineStr">
        <is>
          <t>calc_latest</t>
        </is>
      </c>
      <c r="AX1" s="16" t="inlineStr">
        <is>
          <t>calc_q_yes</t>
        </is>
      </c>
      <c r="AY1" s="16" t="inlineStr">
        <is>
          <t>calc_q_yes_first</t>
        </is>
      </c>
      <c r="AZ1" s="16" t="inlineStr">
        <is>
          <t>calc_yes_incomplete</t>
        </is>
      </c>
      <c r="BA1" s="16" t="inlineStr">
        <is>
          <t>calc_bp_has</t>
        </is>
      </c>
      <c r="BB1" s="16" t="inlineStr">
        <is>
          <t>calc_bp_first</t>
        </is>
      </c>
      <c r="BC1" s="16" t="inlineStr">
        <is>
          <t>calc_bp_w1</t>
        </is>
      </c>
      <c r="BD1" s="16" t="inlineStr">
        <is>
          <t>calc_bp_w2</t>
        </is>
      </c>
      <c r="BE1" s="16" t="inlineStr">
        <is>
          <t>calc_bp_g0</t>
        </is>
      </c>
      <c r="BF1" s="16" t="inlineStr">
        <is>
          <t>calc_bp_asof</t>
        </is>
      </c>
      <c r="BG1" s="16" t="inlineStr">
        <is>
          <t>calc_bp100_first</t>
        </is>
      </c>
      <c r="BH1" s="16" t="inlineStr">
        <is>
          <t>calc_spend_has</t>
        </is>
      </c>
      <c r="BI1" s="16" t="inlineStr">
        <is>
          <t>calc_spend_first</t>
        </is>
      </c>
      <c r="BJ1" s="16" t="inlineStr">
        <is>
          <t>calc_spend_asof</t>
        </is>
      </c>
      <c r="BK1" s="16" t="inlineStr">
        <is>
          <t>calc_probe_row</t>
        </is>
      </c>
      <c r="BL1" s="16" t="inlineStr">
        <is>
          <t>calc_probe_first</t>
        </is>
      </c>
      <c r="BM1" s="16" t="inlineStr">
        <is>
          <t>calc_probe_key</t>
        </is>
      </c>
      <c r="BN1" s="16" t="inlineStr">
        <is>
          <t>calc_probe_missing_text</t>
        </is>
      </c>
      <c r="BO1" s="16" t="inlineStr">
        <is>
          <t>calc_obj1</t>
        </is>
      </c>
      <c r="BP1" s="16" t="inlineStr">
        <is>
          <t>calc_obj2</t>
        </is>
      </c>
      <c r="BQ1" s="16" t="inlineStr">
        <is>
          <t>calc_obj3</t>
        </is>
      </c>
      <c r="BR1" s="16" t="inlineStr">
        <is>
          <t>calc_note_min</t>
        </is>
      </c>
      <c r="BS1" s="16" t="inlineStr">
        <is>
          <t>calc_yes_any</t>
        </is>
      </c>
      <c r="BT1" s="16" t="inlineStr">
        <is>
          <t>calc_maybe</t>
        </is>
      </c>
      <c r="BU1" s="16" t="inlineStr">
        <is>
          <t>calc_maybe_first</t>
        </is>
      </c>
      <c r="BV1" s="16" t="inlineStr">
        <is>
          <t>calc_yes_any_first</t>
        </is>
      </c>
      <c r="BW1" s="16" t="inlineStr">
        <is>
          <t>calc_bp100</t>
        </is>
      </c>
      <c r="BX1" s="16" t="inlineStr">
        <is>
          <t>calc_clay_idx</t>
        </is>
      </c>
      <c r="BY1" s="16" t="inlineStr">
        <is>
          <t>calc_clay_status</t>
        </is>
      </c>
      <c r="BZ1" s="16" t="inlineStr">
        <is>
          <t>calc_clay_rank</t>
        </is>
      </c>
      <c r="CA1" s="16" t="inlineStr">
        <is>
          <t>calc_clay_yes</t>
        </is>
      </c>
      <c r="CB1" s="16" t="inlineStr">
        <is>
          <t>calc_clay_call_date</t>
        </is>
      </c>
    </row>
    <row r="2">
      <c r="G2" s="22" t="n"/>
      <c r="AS2" s="17">
        <f>IF(TRIM($A2)="","",IF(AND(LEFT($A2,6)="SAMPLE",Config!$B$19&lt;&gt;"Y"),"",IF(NOT(ISNUMBER(G2)),"call_date is blank or not a date",IF(Sync!$C$5="","Clay paste is empty or has no row_id column: paste the Clay export on Clay_Offices",IF(BX2="","row_id not found in the Clay paste: add the Clay row or fix the row_id",IF(AND(ISNUMBER(BZ2),BZ2&gt;=1,BZ2&lt;=5),"Clay status is "&amp;BY2&amp;": set call_done or later",IF(AND(AW2=1,CA2&lt;&gt;BS2),"Clay yes_in_principle should be "&amp;BS2,IF(AND(AW2=1,CB2&lt;&gt;G2),"Clay call_date should be "&amp;TEXT(G2,"yyyy-mm-dd"),""))))))))</f>
        <v/>
      </c>
      <c r="AT2" s="17">
        <f>ROW()</f>
        <v/>
      </c>
      <c r="AU2" s="17">
        <f>IF(AND(TRIM($A2)&lt;&gt;"",ISNUMBER(G2)),IF(AND(LEFT($A2,6)="SAMPLE",Config!$B$19&lt;&gt;"Y"),0,1),0)</f>
        <v/>
      </c>
      <c r="AV2" s="17">
        <f>IF(AU2=1,IF(COUNTIFS($A$2:$A$201,$A2,$AU$2:$AU$201,1,$G$2:$G$201,"&lt;"&amp;G2)+COUNTIFS($A$2:$A$201,$A2,$AU$2:$AU$201,1,$G$2:$G$201,G2,$AT$2:$AT$201,"&lt;"&amp;AT2)=0,1,0),0)</f>
        <v/>
      </c>
      <c r="AW2" s="17">
        <f>IF(AU2=1,IF(COUNTIFS($A$2:$A$201,$A2,$AU$2:$AU$201,1,$G$2:$G$201,"&gt;"&amp;G2)+COUNTIFS($A$2:$A$201,$A2,$AU$2:$AU$201,1,$G$2:$G$201,G2,$AT$2:$AT$201,"&gt;"&amp;AT2)=0,1,0),0)</f>
        <v/>
      </c>
      <c r="AX2" s="17">
        <f>IF(AND(AU2=1,AN2="Y",Z2="Y",TRIM(AD2)&lt;&gt;""),1,0)</f>
        <v/>
      </c>
      <c r="AY2" s="17">
        <f>IF(AX2=1,IF(COUNTIFS($A$2:$A$201,$A2,$AX$2:$AX$201,1,$G$2:$G$201,"&lt;"&amp;G2)+COUNTIFS($A$2:$A$201,$A2,$AX$2:$AX$201,1,$G$2:$G$201,G2,$AT$2:$AT$201,"&lt;"&amp;AT2)=0,1,0),0)</f>
        <v/>
      </c>
      <c r="AZ2" s="17">
        <f>IF(AND(AU2=1,AN2="Y",AX2=0),1,0)</f>
        <v/>
      </c>
      <c r="BA2" s="17">
        <f>IF(AND(AU2=1,ISNUMBER(V2)),1,0)</f>
        <v/>
      </c>
      <c r="BB2" s="17">
        <f>IF(BA2=1,IF(COUNTIFS($A$2:$A$201,$A2,$BA$2:$BA$201,1,$G$2:$G$201,"&lt;"&amp;G2)+COUNTIFS($A$2:$A$201,$A2,$BA$2:$BA$201,1,$G$2:$G$201,G2,$AT$2:$AT$201,"&lt;"&amp;AT2)=0,1,0),0)</f>
        <v/>
      </c>
      <c r="BC2" s="17">
        <f>IF(AND(BB2=1,G2&lt;=Config!$B$6),V2,"")</f>
        <v/>
      </c>
      <c r="BD2" s="17">
        <f>IF(AND(BB2=1,G2&lt;=Config!$B$7),V2,"")</f>
        <v/>
      </c>
      <c r="BE2" s="17">
        <f>IF(AND(BB2=1,G2&lt;=Config!$B$8),V2,"")</f>
        <v/>
      </c>
      <c r="BF2" s="17">
        <f>IF(AND(BB2=1,G2&lt;=Config!$B$5),V2,"")</f>
        <v/>
      </c>
      <c r="BG2" s="17">
        <f>IF(BW2=1,IF(COUNTIFS($A$2:$A$201,$A2,$BW$2:$BW$201,1,$G$2:$G$201,"&lt;"&amp;G2)+COUNTIFS($A$2:$A$201,$A2,$BW$2:$BW$201,1,$G$2:$G$201,G2,$AT$2:$AT$201,"&lt;"&amp;AT2)=0,1,0),0)</f>
        <v/>
      </c>
      <c r="BH2" s="17">
        <f>IF(AND(AU2=1,ISNUMBER(K2)),1,0)</f>
        <v/>
      </c>
      <c r="BI2" s="17">
        <f>IF(BH2=1,IF(COUNTIFS($A$2:$A$201,$A2,$BH$2:$BH$201,1,$G$2:$G$201,"&lt;"&amp;G2)+COUNTIFS($A$2:$A$201,$A2,$BH$2:$BH$201,1,$G$2:$G$201,G2,$AT$2:$AT$201,"&lt;"&amp;AT2)=0,1,0),0)</f>
        <v/>
      </c>
      <c r="BJ2" s="17">
        <f>IF(AND(BI2=1,G2&lt;=Config!$B$5),K2,"")</f>
        <v/>
      </c>
      <c r="BK2" s="17">
        <f>IF(AND(AU2=1,OR(TRIM(U2)&lt;&gt;"",ISNUMBER(V2))),1,0)</f>
        <v/>
      </c>
      <c r="BL2" s="17">
        <f>IF(BK2=1,IF(COUNTIFS($A$2:$A$201,$A2,$BK$2:$BK$201,1,$G$2:$G$201,"&lt;"&amp;G2)+COUNTIFS($A$2:$A$201,$A2,$BK$2:$BK$201,1,$G$2:$G$201,G2,$AT$2:$AT$201,"&lt;"&amp;AT2)=0,1,0),0)</f>
        <v/>
      </c>
      <c r="BM2" s="17">
        <f>IF(BL2=1,$A2,"")</f>
        <v/>
      </c>
      <c r="BN2" s="17">
        <f>IF(AND(AU2=1,T2="Y",TRIM(U2)=""),1,0)</f>
        <v/>
      </c>
      <c r="BO2" s="17">
        <f>IF(AU2=1,AJ2&amp;"","")</f>
        <v/>
      </c>
      <c r="BP2" s="17">
        <f>IF(AU2=1,AK2&amp;"","")</f>
        <v/>
      </c>
      <c r="BQ2" s="17">
        <f>IF(AU2=1,AL2&amp;"","")</f>
        <v/>
      </c>
      <c r="BR2" s="17">
        <f>IF(AND(AU2=1,ISNUMBER(AP2),G2&lt;=Config!$B$5),AP2,"")</f>
        <v/>
      </c>
      <c r="BS2" s="17">
        <f>IF(AU2=1,IF(COUNTIFS($A$2:$A$201,$A2,$AN$2:$AN$201,"Y",$AU$2:$AU$201,1)&gt;0,"Y","N"),"")</f>
        <v/>
      </c>
      <c r="BT2" s="17">
        <f>IF(AND(AU2=1,AN2="maybe"),1,0)</f>
        <v/>
      </c>
      <c r="BU2" s="17">
        <f>IF(BT2=1,IF(COUNTIFS($A$2:$A$201,$A2,$BT$2:$BT$201,1,$G$2:$G$201,"&lt;"&amp;G2)+COUNTIFS($A$2:$A$201,$A2,$BT$2:$BT$201,1,$G$2:$G$201,G2,$AT$2:$AT$201,"&lt;"&amp;AT2)=0,1,0),0)</f>
        <v/>
      </c>
      <c r="BV2" s="17">
        <f>IF(AND(AU2=1,AN2="Y"),IF(COUNTIFS($A$2:$A$201,$A2,$AN$2:$AN$201,"Y",$AU$2:$AU$201,1,$G$2:$G$201,"&lt;"&amp;G2)+COUNTIFS($A$2:$A$201,$A2,$AN$2:$AN$201,"Y",$AU$2:$AU$201,1,$G$2:$G$201,G2,$AT$2:$AT$201,"&lt;"&amp;AT2)=0,1,0),0)</f>
        <v/>
      </c>
      <c r="BW2" s="17">
        <f>IF(AND(BA2=1,N(V2)&gt;=Config!$B$15),1,0)</f>
        <v/>
      </c>
      <c r="BX2" s="17">
        <f>IF(AU2=1,IFERROR(MATCH($A2,INDEX(Clay_Offices!$A$2:$FZ$601,0,Sync!$C$5),0),""),"")</f>
        <v/>
      </c>
      <c r="BY2" s="17">
        <f>IF(BX2="","",IFERROR(INDEX(Clay_Offices!$A$2:$FZ$601,BX2,Sync!$C$7)&amp;"",""))</f>
        <v/>
      </c>
      <c r="BZ2" s="17">
        <f>IF(BY2="","",IFERROR(INDEX(Lists!$J$2:$J$15,MATCH(BY2,Lists!$I$2:$I$15,0)),""))</f>
        <v/>
      </c>
      <c r="CA2" s="17">
        <f>IF(BX2="","",IFERROR(INDEX(Clay_Offices!$A$2:$FZ$601,BX2,Sync!$C$17)&amp;"",""))</f>
        <v/>
      </c>
      <c r="CB2" s="23">
        <f>IF(BX2="","",IFERROR(N(INDEX(Clay_Offices!$A$2:$FZ$601,BX2,Sync!$C$16)),0))</f>
        <v/>
      </c>
    </row>
    <row r="3">
      <c r="G3" s="22" t="n"/>
      <c r="AS3" s="17">
        <f>IF(TRIM($A3)="","",IF(AND(LEFT($A3,6)="SAMPLE",Config!$B$19&lt;&gt;"Y"),"",IF(NOT(ISNUMBER(G3)),"call_date is blank or not a date",IF(Sync!$C$5="","Clay paste is empty or has no row_id column: paste the Clay export on Clay_Offices",IF(BX3="","row_id not found in the Clay paste: add the Clay row or fix the row_id",IF(AND(ISNUMBER(BZ3),BZ3&gt;=1,BZ3&lt;=5),"Clay status is "&amp;BY3&amp;": set call_done or later",IF(AND(AW3=1,CA3&lt;&gt;BS3),"Clay yes_in_principle should be "&amp;BS3,IF(AND(AW3=1,CB3&lt;&gt;G3),"Clay call_date should be "&amp;TEXT(G3,"yyyy-mm-dd"),""))))))))</f>
        <v/>
      </c>
      <c r="AT3" s="17">
        <f>ROW()</f>
        <v/>
      </c>
      <c r="AU3" s="17">
        <f>IF(AND(TRIM($A3)&lt;&gt;"",ISNUMBER(G3)),IF(AND(LEFT($A3,6)="SAMPLE",Config!$B$19&lt;&gt;"Y"),0,1),0)</f>
        <v/>
      </c>
      <c r="AV3" s="17">
        <f>IF(AU3=1,IF(COUNTIFS($A$2:$A$201,$A3,$AU$2:$AU$201,1,$G$2:$G$201,"&lt;"&amp;G3)+COUNTIFS($A$2:$A$201,$A3,$AU$2:$AU$201,1,$G$2:$G$201,G3,$AT$2:$AT$201,"&lt;"&amp;AT3)=0,1,0),0)</f>
        <v/>
      </c>
      <c r="AW3" s="17">
        <f>IF(AU3=1,IF(COUNTIFS($A$2:$A$201,$A3,$AU$2:$AU$201,1,$G$2:$G$201,"&gt;"&amp;G3)+COUNTIFS($A$2:$A$201,$A3,$AU$2:$AU$201,1,$G$2:$G$201,G3,$AT$2:$AT$201,"&gt;"&amp;AT3)=0,1,0),0)</f>
        <v/>
      </c>
      <c r="AX3" s="17">
        <f>IF(AND(AU3=1,AN3="Y",Z3="Y",TRIM(AD3)&lt;&gt;""),1,0)</f>
        <v/>
      </c>
      <c r="AY3" s="17">
        <f>IF(AX3=1,IF(COUNTIFS($A$2:$A$201,$A3,$AX$2:$AX$201,1,$G$2:$G$201,"&lt;"&amp;G3)+COUNTIFS($A$2:$A$201,$A3,$AX$2:$AX$201,1,$G$2:$G$201,G3,$AT$2:$AT$201,"&lt;"&amp;AT3)=0,1,0),0)</f>
        <v/>
      </c>
      <c r="AZ3" s="17">
        <f>IF(AND(AU3=1,AN3="Y",AX3=0),1,0)</f>
        <v/>
      </c>
      <c r="BA3" s="17">
        <f>IF(AND(AU3=1,ISNUMBER(V3)),1,0)</f>
        <v/>
      </c>
      <c r="BB3" s="17">
        <f>IF(BA3=1,IF(COUNTIFS($A$2:$A$201,$A3,$BA$2:$BA$201,1,$G$2:$G$201,"&lt;"&amp;G3)+COUNTIFS($A$2:$A$201,$A3,$BA$2:$BA$201,1,$G$2:$G$201,G3,$AT$2:$AT$201,"&lt;"&amp;AT3)=0,1,0),0)</f>
        <v/>
      </c>
      <c r="BC3" s="17">
        <f>IF(AND(BB3=1,G3&lt;=Config!$B$6),V3,"")</f>
        <v/>
      </c>
      <c r="BD3" s="17">
        <f>IF(AND(BB3=1,G3&lt;=Config!$B$7),V3,"")</f>
        <v/>
      </c>
      <c r="BE3" s="17">
        <f>IF(AND(BB3=1,G3&lt;=Config!$B$8),V3,"")</f>
        <v/>
      </c>
      <c r="BF3" s="17">
        <f>IF(AND(BB3=1,G3&lt;=Config!$B$5),V3,"")</f>
        <v/>
      </c>
      <c r="BG3" s="17">
        <f>IF(BW3=1,IF(COUNTIFS($A$2:$A$201,$A3,$BW$2:$BW$201,1,$G$2:$G$201,"&lt;"&amp;G3)+COUNTIFS($A$2:$A$201,$A3,$BW$2:$BW$201,1,$G$2:$G$201,G3,$AT$2:$AT$201,"&lt;"&amp;AT3)=0,1,0),0)</f>
        <v/>
      </c>
      <c r="BH3" s="17">
        <f>IF(AND(AU3=1,ISNUMBER(K3)),1,0)</f>
        <v/>
      </c>
      <c r="BI3" s="17">
        <f>IF(BH3=1,IF(COUNTIFS($A$2:$A$201,$A3,$BH$2:$BH$201,1,$G$2:$G$201,"&lt;"&amp;G3)+COUNTIFS($A$2:$A$201,$A3,$BH$2:$BH$201,1,$G$2:$G$201,G3,$AT$2:$AT$201,"&lt;"&amp;AT3)=0,1,0),0)</f>
        <v/>
      </c>
      <c r="BJ3" s="17">
        <f>IF(AND(BI3=1,G3&lt;=Config!$B$5),K3,"")</f>
        <v/>
      </c>
      <c r="BK3" s="17">
        <f>IF(AND(AU3=1,OR(TRIM(U3)&lt;&gt;"",ISNUMBER(V3))),1,0)</f>
        <v/>
      </c>
      <c r="BL3" s="17">
        <f>IF(BK3=1,IF(COUNTIFS($A$2:$A$201,$A3,$BK$2:$BK$201,1,$G$2:$G$201,"&lt;"&amp;G3)+COUNTIFS($A$2:$A$201,$A3,$BK$2:$BK$201,1,$G$2:$G$201,G3,$AT$2:$AT$201,"&lt;"&amp;AT3)=0,1,0),0)</f>
        <v/>
      </c>
      <c r="BM3" s="17">
        <f>IF(BL3=1,$A3,"")</f>
        <v/>
      </c>
      <c r="BN3" s="17">
        <f>IF(AND(AU3=1,T3="Y",TRIM(U3)=""),1,0)</f>
        <v/>
      </c>
      <c r="BO3" s="17">
        <f>IF(AU3=1,AJ3&amp;"","")</f>
        <v/>
      </c>
      <c r="BP3" s="17">
        <f>IF(AU3=1,AK3&amp;"","")</f>
        <v/>
      </c>
      <c r="BQ3" s="17">
        <f>IF(AU3=1,AL3&amp;"","")</f>
        <v/>
      </c>
      <c r="BR3" s="17">
        <f>IF(AND(AU3=1,ISNUMBER(AP3),G3&lt;=Config!$B$5),AP3,"")</f>
        <v/>
      </c>
      <c r="BS3" s="17">
        <f>IF(AU3=1,IF(COUNTIFS($A$2:$A$201,$A3,$AN$2:$AN$201,"Y",$AU$2:$AU$201,1)&gt;0,"Y","N"),"")</f>
        <v/>
      </c>
      <c r="BT3" s="17">
        <f>IF(AND(AU3=1,AN3="maybe"),1,0)</f>
        <v/>
      </c>
      <c r="BU3" s="17">
        <f>IF(BT3=1,IF(COUNTIFS($A$2:$A$201,$A3,$BT$2:$BT$201,1,$G$2:$G$201,"&lt;"&amp;G3)+COUNTIFS($A$2:$A$201,$A3,$BT$2:$BT$201,1,$G$2:$G$201,G3,$AT$2:$AT$201,"&lt;"&amp;AT3)=0,1,0),0)</f>
        <v/>
      </c>
      <c r="BV3" s="17">
        <f>IF(AND(AU3=1,AN3="Y"),IF(COUNTIFS($A$2:$A$201,$A3,$AN$2:$AN$201,"Y",$AU$2:$AU$201,1,$G$2:$G$201,"&lt;"&amp;G3)+COUNTIFS($A$2:$A$201,$A3,$AN$2:$AN$201,"Y",$AU$2:$AU$201,1,$G$2:$G$201,G3,$AT$2:$AT$201,"&lt;"&amp;AT3)=0,1,0),0)</f>
        <v/>
      </c>
      <c r="BW3" s="17">
        <f>IF(AND(BA3=1,N(V3)&gt;=Config!$B$15),1,0)</f>
        <v/>
      </c>
      <c r="BX3" s="17">
        <f>IF(AU3=1,IFERROR(MATCH($A3,INDEX(Clay_Offices!$A$2:$FZ$601,0,Sync!$C$5),0),""),"")</f>
        <v/>
      </c>
      <c r="BY3" s="17">
        <f>IF(BX3="","",IFERROR(INDEX(Clay_Offices!$A$2:$FZ$601,BX3,Sync!$C$7)&amp;"",""))</f>
        <v/>
      </c>
      <c r="BZ3" s="17">
        <f>IF(BY3="","",IFERROR(INDEX(Lists!$J$2:$J$15,MATCH(BY3,Lists!$I$2:$I$15,0)),""))</f>
        <v/>
      </c>
      <c r="CA3" s="17">
        <f>IF(BX3="","",IFERROR(INDEX(Clay_Offices!$A$2:$FZ$601,BX3,Sync!$C$17)&amp;"",""))</f>
        <v/>
      </c>
      <c r="CB3" s="23">
        <f>IF(BX3="","",IFERROR(N(INDEX(Clay_Offices!$A$2:$FZ$601,BX3,Sync!$C$16)),0))</f>
        <v/>
      </c>
    </row>
    <row r="4">
      <c r="G4" s="22" t="n"/>
      <c r="AS4" s="17">
        <f>IF(TRIM($A4)="","",IF(AND(LEFT($A4,6)="SAMPLE",Config!$B$19&lt;&gt;"Y"),"",IF(NOT(ISNUMBER(G4)),"call_date is blank or not a date",IF(Sync!$C$5="","Clay paste is empty or has no row_id column: paste the Clay export on Clay_Offices",IF(BX4="","row_id not found in the Clay paste: add the Clay row or fix the row_id",IF(AND(ISNUMBER(BZ4),BZ4&gt;=1,BZ4&lt;=5),"Clay status is "&amp;BY4&amp;": set call_done or later",IF(AND(AW4=1,CA4&lt;&gt;BS4),"Clay yes_in_principle should be "&amp;BS4,IF(AND(AW4=1,CB4&lt;&gt;G4),"Clay call_date should be "&amp;TEXT(G4,"yyyy-mm-dd"),""))))))))</f>
        <v/>
      </c>
      <c r="AT4" s="17">
        <f>ROW()</f>
        <v/>
      </c>
      <c r="AU4" s="17">
        <f>IF(AND(TRIM($A4)&lt;&gt;"",ISNUMBER(G4)),IF(AND(LEFT($A4,6)="SAMPLE",Config!$B$19&lt;&gt;"Y"),0,1),0)</f>
        <v/>
      </c>
      <c r="AV4" s="17">
        <f>IF(AU4=1,IF(COUNTIFS($A$2:$A$201,$A4,$AU$2:$AU$201,1,$G$2:$G$201,"&lt;"&amp;G4)+COUNTIFS($A$2:$A$201,$A4,$AU$2:$AU$201,1,$G$2:$G$201,G4,$AT$2:$AT$201,"&lt;"&amp;AT4)=0,1,0),0)</f>
        <v/>
      </c>
      <c r="AW4" s="17">
        <f>IF(AU4=1,IF(COUNTIFS($A$2:$A$201,$A4,$AU$2:$AU$201,1,$G$2:$G$201,"&gt;"&amp;G4)+COUNTIFS($A$2:$A$201,$A4,$AU$2:$AU$201,1,$G$2:$G$201,G4,$AT$2:$AT$201,"&gt;"&amp;AT4)=0,1,0),0)</f>
        <v/>
      </c>
      <c r="AX4" s="17">
        <f>IF(AND(AU4=1,AN4="Y",Z4="Y",TRIM(AD4)&lt;&gt;""),1,0)</f>
        <v/>
      </c>
      <c r="AY4" s="17">
        <f>IF(AX4=1,IF(COUNTIFS($A$2:$A$201,$A4,$AX$2:$AX$201,1,$G$2:$G$201,"&lt;"&amp;G4)+COUNTIFS($A$2:$A$201,$A4,$AX$2:$AX$201,1,$G$2:$G$201,G4,$AT$2:$AT$201,"&lt;"&amp;AT4)=0,1,0),0)</f>
        <v/>
      </c>
      <c r="AZ4" s="17">
        <f>IF(AND(AU4=1,AN4="Y",AX4=0),1,0)</f>
        <v/>
      </c>
      <c r="BA4" s="17">
        <f>IF(AND(AU4=1,ISNUMBER(V4)),1,0)</f>
        <v/>
      </c>
      <c r="BB4" s="17">
        <f>IF(BA4=1,IF(COUNTIFS($A$2:$A$201,$A4,$BA$2:$BA$201,1,$G$2:$G$201,"&lt;"&amp;G4)+COUNTIFS($A$2:$A$201,$A4,$BA$2:$BA$201,1,$G$2:$G$201,G4,$AT$2:$AT$201,"&lt;"&amp;AT4)=0,1,0),0)</f>
        <v/>
      </c>
      <c r="BC4" s="17">
        <f>IF(AND(BB4=1,G4&lt;=Config!$B$6),V4,"")</f>
        <v/>
      </c>
      <c r="BD4" s="17">
        <f>IF(AND(BB4=1,G4&lt;=Config!$B$7),V4,"")</f>
        <v/>
      </c>
      <c r="BE4" s="17">
        <f>IF(AND(BB4=1,G4&lt;=Config!$B$8),V4,"")</f>
        <v/>
      </c>
      <c r="BF4" s="17">
        <f>IF(AND(BB4=1,G4&lt;=Config!$B$5),V4,"")</f>
        <v/>
      </c>
      <c r="BG4" s="17">
        <f>IF(BW4=1,IF(COUNTIFS($A$2:$A$201,$A4,$BW$2:$BW$201,1,$G$2:$G$201,"&lt;"&amp;G4)+COUNTIFS($A$2:$A$201,$A4,$BW$2:$BW$201,1,$G$2:$G$201,G4,$AT$2:$AT$201,"&lt;"&amp;AT4)=0,1,0),0)</f>
        <v/>
      </c>
      <c r="BH4" s="17">
        <f>IF(AND(AU4=1,ISNUMBER(K4)),1,0)</f>
        <v/>
      </c>
      <c r="BI4" s="17">
        <f>IF(BH4=1,IF(COUNTIFS($A$2:$A$201,$A4,$BH$2:$BH$201,1,$G$2:$G$201,"&lt;"&amp;G4)+COUNTIFS($A$2:$A$201,$A4,$BH$2:$BH$201,1,$G$2:$G$201,G4,$AT$2:$AT$201,"&lt;"&amp;AT4)=0,1,0),0)</f>
        <v/>
      </c>
      <c r="BJ4" s="17">
        <f>IF(AND(BI4=1,G4&lt;=Config!$B$5),K4,"")</f>
        <v/>
      </c>
      <c r="BK4" s="17">
        <f>IF(AND(AU4=1,OR(TRIM(U4)&lt;&gt;"",ISNUMBER(V4))),1,0)</f>
        <v/>
      </c>
      <c r="BL4" s="17">
        <f>IF(BK4=1,IF(COUNTIFS($A$2:$A$201,$A4,$BK$2:$BK$201,1,$G$2:$G$201,"&lt;"&amp;G4)+COUNTIFS($A$2:$A$201,$A4,$BK$2:$BK$201,1,$G$2:$G$201,G4,$AT$2:$AT$201,"&lt;"&amp;AT4)=0,1,0),0)</f>
        <v/>
      </c>
      <c r="BM4" s="17">
        <f>IF(BL4=1,$A4,"")</f>
        <v/>
      </c>
      <c r="BN4" s="17">
        <f>IF(AND(AU4=1,T4="Y",TRIM(U4)=""),1,0)</f>
        <v/>
      </c>
      <c r="BO4" s="17">
        <f>IF(AU4=1,AJ4&amp;"","")</f>
        <v/>
      </c>
      <c r="BP4" s="17">
        <f>IF(AU4=1,AK4&amp;"","")</f>
        <v/>
      </c>
      <c r="BQ4" s="17">
        <f>IF(AU4=1,AL4&amp;"","")</f>
        <v/>
      </c>
      <c r="BR4" s="17">
        <f>IF(AND(AU4=1,ISNUMBER(AP4),G4&lt;=Config!$B$5),AP4,"")</f>
        <v/>
      </c>
      <c r="BS4" s="17">
        <f>IF(AU4=1,IF(COUNTIFS($A$2:$A$201,$A4,$AN$2:$AN$201,"Y",$AU$2:$AU$201,1)&gt;0,"Y","N"),"")</f>
        <v/>
      </c>
      <c r="BT4" s="17">
        <f>IF(AND(AU4=1,AN4="maybe"),1,0)</f>
        <v/>
      </c>
      <c r="BU4" s="17">
        <f>IF(BT4=1,IF(COUNTIFS($A$2:$A$201,$A4,$BT$2:$BT$201,1,$G$2:$G$201,"&lt;"&amp;G4)+COUNTIFS($A$2:$A$201,$A4,$BT$2:$BT$201,1,$G$2:$G$201,G4,$AT$2:$AT$201,"&lt;"&amp;AT4)=0,1,0),0)</f>
        <v/>
      </c>
      <c r="BV4" s="17">
        <f>IF(AND(AU4=1,AN4="Y"),IF(COUNTIFS($A$2:$A$201,$A4,$AN$2:$AN$201,"Y",$AU$2:$AU$201,1,$G$2:$G$201,"&lt;"&amp;G4)+COUNTIFS($A$2:$A$201,$A4,$AN$2:$AN$201,"Y",$AU$2:$AU$201,1,$G$2:$G$201,G4,$AT$2:$AT$201,"&lt;"&amp;AT4)=0,1,0),0)</f>
        <v/>
      </c>
      <c r="BW4" s="17">
        <f>IF(AND(BA4=1,N(V4)&gt;=Config!$B$15),1,0)</f>
        <v/>
      </c>
      <c r="BX4" s="17">
        <f>IF(AU4=1,IFERROR(MATCH($A4,INDEX(Clay_Offices!$A$2:$FZ$601,0,Sync!$C$5),0),""),"")</f>
        <v/>
      </c>
      <c r="BY4" s="17">
        <f>IF(BX4="","",IFERROR(INDEX(Clay_Offices!$A$2:$FZ$601,BX4,Sync!$C$7)&amp;"",""))</f>
        <v/>
      </c>
      <c r="BZ4" s="17">
        <f>IF(BY4="","",IFERROR(INDEX(Lists!$J$2:$J$15,MATCH(BY4,Lists!$I$2:$I$15,0)),""))</f>
        <v/>
      </c>
      <c r="CA4" s="17">
        <f>IF(BX4="","",IFERROR(INDEX(Clay_Offices!$A$2:$FZ$601,BX4,Sync!$C$17)&amp;"",""))</f>
        <v/>
      </c>
      <c r="CB4" s="23">
        <f>IF(BX4="","",IFERROR(N(INDEX(Clay_Offices!$A$2:$FZ$601,BX4,Sync!$C$16)),0))</f>
        <v/>
      </c>
    </row>
    <row r="5">
      <c r="G5" s="22" t="n"/>
      <c r="AS5" s="17">
        <f>IF(TRIM($A5)="","",IF(AND(LEFT($A5,6)="SAMPLE",Config!$B$19&lt;&gt;"Y"),"",IF(NOT(ISNUMBER(G5)),"call_date is blank or not a date",IF(Sync!$C$5="","Clay paste is empty or has no row_id column: paste the Clay export on Clay_Offices",IF(BX5="","row_id not found in the Clay paste: add the Clay row or fix the row_id",IF(AND(ISNUMBER(BZ5),BZ5&gt;=1,BZ5&lt;=5),"Clay status is "&amp;BY5&amp;": set call_done or later",IF(AND(AW5=1,CA5&lt;&gt;BS5),"Clay yes_in_principle should be "&amp;BS5,IF(AND(AW5=1,CB5&lt;&gt;G5),"Clay call_date should be "&amp;TEXT(G5,"yyyy-mm-dd"),""))))))))</f>
        <v/>
      </c>
      <c r="AT5" s="17">
        <f>ROW()</f>
        <v/>
      </c>
      <c r="AU5" s="17">
        <f>IF(AND(TRIM($A5)&lt;&gt;"",ISNUMBER(G5)),IF(AND(LEFT($A5,6)="SAMPLE",Config!$B$19&lt;&gt;"Y"),0,1),0)</f>
        <v/>
      </c>
      <c r="AV5" s="17">
        <f>IF(AU5=1,IF(COUNTIFS($A$2:$A$201,$A5,$AU$2:$AU$201,1,$G$2:$G$201,"&lt;"&amp;G5)+COUNTIFS($A$2:$A$201,$A5,$AU$2:$AU$201,1,$G$2:$G$201,G5,$AT$2:$AT$201,"&lt;"&amp;AT5)=0,1,0),0)</f>
        <v/>
      </c>
      <c r="AW5" s="17">
        <f>IF(AU5=1,IF(COUNTIFS($A$2:$A$201,$A5,$AU$2:$AU$201,1,$G$2:$G$201,"&gt;"&amp;G5)+COUNTIFS($A$2:$A$201,$A5,$AU$2:$AU$201,1,$G$2:$G$201,G5,$AT$2:$AT$201,"&gt;"&amp;AT5)=0,1,0),0)</f>
        <v/>
      </c>
      <c r="AX5" s="17">
        <f>IF(AND(AU5=1,AN5="Y",Z5="Y",TRIM(AD5)&lt;&gt;""),1,0)</f>
        <v/>
      </c>
      <c r="AY5" s="17">
        <f>IF(AX5=1,IF(COUNTIFS($A$2:$A$201,$A5,$AX$2:$AX$201,1,$G$2:$G$201,"&lt;"&amp;G5)+COUNTIFS($A$2:$A$201,$A5,$AX$2:$AX$201,1,$G$2:$G$201,G5,$AT$2:$AT$201,"&lt;"&amp;AT5)=0,1,0),0)</f>
        <v/>
      </c>
      <c r="AZ5" s="17">
        <f>IF(AND(AU5=1,AN5="Y",AX5=0),1,0)</f>
        <v/>
      </c>
      <c r="BA5" s="17">
        <f>IF(AND(AU5=1,ISNUMBER(V5)),1,0)</f>
        <v/>
      </c>
      <c r="BB5" s="17">
        <f>IF(BA5=1,IF(COUNTIFS($A$2:$A$201,$A5,$BA$2:$BA$201,1,$G$2:$G$201,"&lt;"&amp;G5)+COUNTIFS($A$2:$A$201,$A5,$BA$2:$BA$201,1,$G$2:$G$201,G5,$AT$2:$AT$201,"&lt;"&amp;AT5)=0,1,0),0)</f>
        <v/>
      </c>
      <c r="BC5" s="17">
        <f>IF(AND(BB5=1,G5&lt;=Config!$B$6),V5,"")</f>
        <v/>
      </c>
      <c r="BD5" s="17">
        <f>IF(AND(BB5=1,G5&lt;=Config!$B$7),V5,"")</f>
        <v/>
      </c>
      <c r="BE5" s="17">
        <f>IF(AND(BB5=1,G5&lt;=Config!$B$8),V5,"")</f>
        <v/>
      </c>
      <c r="BF5" s="17">
        <f>IF(AND(BB5=1,G5&lt;=Config!$B$5),V5,"")</f>
        <v/>
      </c>
      <c r="BG5" s="17">
        <f>IF(BW5=1,IF(COUNTIFS($A$2:$A$201,$A5,$BW$2:$BW$201,1,$G$2:$G$201,"&lt;"&amp;G5)+COUNTIFS($A$2:$A$201,$A5,$BW$2:$BW$201,1,$G$2:$G$201,G5,$AT$2:$AT$201,"&lt;"&amp;AT5)=0,1,0),0)</f>
        <v/>
      </c>
      <c r="BH5" s="17">
        <f>IF(AND(AU5=1,ISNUMBER(K5)),1,0)</f>
        <v/>
      </c>
      <c r="BI5" s="17">
        <f>IF(BH5=1,IF(COUNTIFS($A$2:$A$201,$A5,$BH$2:$BH$201,1,$G$2:$G$201,"&lt;"&amp;G5)+COUNTIFS($A$2:$A$201,$A5,$BH$2:$BH$201,1,$G$2:$G$201,G5,$AT$2:$AT$201,"&lt;"&amp;AT5)=0,1,0),0)</f>
        <v/>
      </c>
      <c r="BJ5" s="17">
        <f>IF(AND(BI5=1,G5&lt;=Config!$B$5),K5,"")</f>
        <v/>
      </c>
      <c r="BK5" s="17">
        <f>IF(AND(AU5=1,OR(TRIM(U5)&lt;&gt;"",ISNUMBER(V5))),1,0)</f>
        <v/>
      </c>
      <c r="BL5" s="17">
        <f>IF(BK5=1,IF(COUNTIFS($A$2:$A$201,$A5,$BK$2:$BK$201,1,$G$2:$G$201,"&lt;"&amp;G5)+COUNTIFS($A$2:$A$201,$A5,$BK$2:$BK$201,1,$G$2:$G$201,G5,$AT$2:$AT$201,"&lt;"&amp;AT5)=0,1,0),0)</f>
        <v/>
      </c>
      <c r="BM5" s="17">
        <f>IF(BL5=1,$A5,"")</f>
        <v/>
      </c>
      <c r="BN5" s="17">
        <f>IF(AND(AU5=1,T5="Y",TRIM(U5)=""),1,0)</f>
        <v/>
      </c>
      <c r="BO5" s="17">
        <f>IF(AU5=1,AJ5&amp;"","")</f>
        <v/>
      </c>
      <c r="BP5" s="17">
        <f>IF(AU5=1,AK5&amp;"","")</f>
        <v/>
      </c>
      <c r="BQ5" s="17">
        <f>IF(AU5=1,AL5&amp;"","")</f>
        <v/>
      </c>
      <c r="BR5" s="17">
        <f>IF(AND(AU5=1,ISNUMBER(AP5),G5&lt;=Config!$B$5),AP5,"")</f>
        <v/>
      </c>
      <c r="BS5" s="17">
        <f>IF(AU5=1,IF(COUNTIFS($A$2:$A$201,$A5,$AN$2:$AN$201,"Y",$AU$2:$AU$201,1)&gt;0,"Y","N"),"")</f>
        <v/>
      </c>
      <c r="BT5" s="17">
        <f>IF(AND(AU5=1,AN5="maybe"),1,0)</f>
        <v/>
      </c>
      <c r="BU5" s="17">
        <f>IF(BT5=1,IF(COUNTIFS($A$2:$A$201,$A5,$BT$2:$BT$201,1,$G$2:$G$201,"&lt;"&amp;G5)+COUNTIFS($A$2:$A$201,$A5,$BT$2:$BT$201,1,$G$2:$G$201,G5,$AT$2:$AT$201,"&lt;"&amp;AT5)=0,1,0),0)</f>
        <v/>
      </c>
      <c r="BV5" s="17">
        <f>IF(AND(AU5=1,AN5="Y"),IF(COUNTIFS($A$2:$A$201,$A5,$AN$2:$AN$201,"Y",$AU$2:$AU$201,1,$G$2:$G$201,"&lt;"&amp;G5)+COUNTIFS($A$2:$A$201,$A5,$AN$2:$AN$201,"Y",$AU$2:$AU$201,1,$G$2:$G$201,G5,$AT$2:$AT$201,"&lt;"&amp;AT5)=0,1,0),0)</f>
        <v/>
      </c>
      <c r="BW5" s="17">
        <f>IF(AND(BA5=1,N(V5)&gt;=Config!$B$15),1,0)</f>
        <v/>
      </c>
      <c r="BX5" s="17">
        <f>IF(AU5=1,IFERROR(MATCH($A5,INDEX(Clay_Offices!$A$2:$FZ$601,0,Sync!$C$5),0),""),"")</f>
        <v/>
      </c>
      <c r="BY5" s="17">
        <f>IF(BX5="","",IFERROR(INDEX(Clay_Offices!$A$2:$FZ$601,BX5,Sync!$C$7)&amp;"",""))</f>
        <v/>
      </c>
      <c r="BZ5" s="17">
        <f>IF(BY5="","",IFERROR(INDEX(Lists!$J$2:$J$15,MATCH(BY5,Lists!$I$2:$I$15,0)),""))</f>
        <v/>
      </c>
      <c r="CA5" s="17">
        <f>IF(BX5="","",IFERROR(INDEX(Clay_Offices!$A$2:$FZ$601,BX5,Sync!$C$17)&amp;"",""))</f>
        <v/>
      </c>
      <c r="CB5" s="23">
        <f>IF(BX5="","",IFERROR(N(INDEX(Clay_Offices!$A$2:$FZ$601,BX5,Sync!$C$16)),0))</f>
        <v/>
      </c>
    </row>
    <row r="6">
      <c r="G6" s="22" t="n"/>
      <c r="AS6" s="17">
        <f>IF(TRIM($A6)="","",IF(AND(LEFT($A6,6)="SAMPLE",Config!$B$19&lt;&gt;"Y"),"",IF(NOT(ISNUMBER(G6)),"call_date is blank or not a date",IF(Sync!$C$5="","Clay paste is empty or has no row_id column: paste the Clay export on Clay_Offices",IF(BX6="","row_id not found in the Clay paste: add the Clay row or fix the row_id",IF(AND(ISNUMBER(BZ6),BZ6&gt;=1,BZ6&lt;=5),"Clay status is "&amp;BY6&amp;": set call_done or later",IF(AND(AW6=1,CA6&lt;&gt;BS6),"Clay yes_in_principle should be "&amp;BS6,IF(AND(AW6=1,CB6&lt;&gt;G6),"Clay call_date should be "&amp;TEXT(G6,"yyyy-mm-dd"),""))))))))</f>
        <v/>
      </c>
      <c r="AT6" s="17">
        <f>ROW()</f>
        <v/>
      </c>
      <c r="AU6" s="17">
        <f>IF(AND(TRIM($A6)&lt;&gt;"",ISNUMBER(G6)),IF(AND(LEFT($A6,6)="SAMPLE",Config!$B$19&lt;&gt;"Y"),0,1),0)</f>
        <v/>
      </c>
      <c r="AV6" s="17">
        <f>IF(AU6=1,IF(COUNTIFS($A$2:$A$201,$A6,$AU$2:$AU$201,1,$G$2:$G$201,"&lt;"&amp;G6)+COUNTIFS($A$2:$A$201,$A6,$AU$2:$AU$201,1,$G$2:$G$201,G6,$AT$2:$AT$201,"&lt;"&amp;AT6)=0,1,0),0)</f>
        <v/>
      </c>
      <c r="AW6" s="17">
        <f>IF(AU6=1,IF(COUNTIFS($A$2:$A$201,$A6,$AU$2:$AU$201,1,$G$2:$G$201,"&gt;"&amp;G6)+COUNTIFS($A$2:$A$201,$A6,$AU$2:$AU$201,1,$G$2:$G$201,G6,$AT$2:$AT$201,"&gt;"&amp;AT6)=0,1,0),0)</f>
        <v/>
      </c>
      <c r="AX6" s="17">
        <f>IF(AND(AU6=1,AN6="Y",Z6="Y",TRIM(AD6)&lt;&gt;""),1,0)</f>
        <v/>
      </c>
      <c r="AY6" s="17">
        <f>IF(AX6=1,IF(COUNTIFS($A$2:$A$201,$A6,$AX$2:$AX$201,1,$G$2:$G$201,"&lt;"&amp;G6)+COUNTIFS($A$2:$A$201,$A6,$AX$2:$AX$201,1,$G$2:$G$201,G6,$AT$2:$AT$201,"&lt;"&amp;AT6)=0,1,0),0)</f>
        <v/>
      </c>
      <c r="AZ6" s="17">
        <f>IF(AND(AU6=1,AN6="Y",AX6=0),1,0)</f>
        <v/>
      </c>
      <c r="BA6" s="17">
        <f>IF(AND(AU6=1,ISNUMBER(V6)),1,0)</f>
        <v/>
      </c>
      <c r="BB6" s="17">
        <f>IF(BA6=1,IF(COUNTIFS($A$2:$A$201,$A6,$BA$2:$BA$201,1,$G$2:$G$201,"&lt;"&amp;G6)+COUNTIFS($A$2:$A$201,$A6,$BA$2:$BA$201,1,$G$2:$G$201,G6,$AT$2:$AT$201,"&lt;"&amp;AT6)=0,1,0),0)</f>
        <v/>
      </c>
      <c r="BC6" s="17">
        <f>IF(AND(BB6=1,G6&lt;=Config!$B$6),V6,"")</f>
        <v/>
      </c>
      <c r="BD6" s="17">
        <f>IF(AND(BB6=1,G6&lt;=Config!$B$7),V6,"")</f>
        <v/>
      </c>
      <c r="BE6" s="17">
        <f>IF(AND(BB6=1,G6&lt;=Config!$B$8),V6,"")</f>
        <v/>
      </c>
      <c r="BF6" s="17">
        <f>IF(AND(BB6=1,G6&lt;=Config!$B$5),V6,"")</f>
        <v/>
      </c>
      <c r="BG6" s="17">
        <f>IF(BW6=1,IF(COUNTIFS($A$2:$A$201,$A6,$BW$2:$BW$201,1,$G$2:$G$201,"&lt;"&amp;G6)+COUNTIFS($A$2:$A$201,$A6,$BW$2:$BW$201,1,$G$2:$G$201,G6,$AT$2:$AT$201,"&lt;"&amp;AT6)=0,1,0),0)</f>
        <v/>
      </c>
      <c r="BH6" s="17">
        <f>IF(AND(AU6=1,ISNUMBER(K6)),1,0)</f>
        <v/>
      </c>
      <c r="BI6" s="17">
        <f>IF(BH6=1,IF(COUNTIFS($A$2:$A$201,$A6,$BH$2:$BH$201,1,$G$2:$G$201,"&lt;"&amp;G6)+COUNTIFS($A$2:$A$201,$A6,$BH$2:$BH$201,1,$G$2:$G$201,G6,$AT$2:$AT$201,"&lt;"&amp;AT6)=0,1,0),0)</f>
        <v/>
      </c>
      <c r="BJ6" s="17">
        <f>IF(AND(BI6=1,G6&lt;=Config!$B$5),K6,"")</f>
        <v/>
      </c>
      <c r="BK6" s="17">
        <f>IF(AND(AU6=1,OR(TRIM(U6)&lt;&gt;"",ISNUMBER(V6))),1,0)</f>
        <v/>
      </c>
      <c r="BL6" s="17">
        <f>IF(BK6=1,IF(COUNTIFS($A$2:$A$201,$A6,$BK$2:$BK$201,1,$G$2:$G$201,"&lt;"&amp;G6)+COUNTIFS($A$2:$A$201,$A6,$BK$2:$BK$201,1,$G$2:$G$201,G6,$AT$2:$AT$201,"&lt;"&amp;AT6)=0,1,0),0)</f>
        <v/>
      </c>
      <c r="BM6" s="17">
        <f>IF(BL6=1,$A6,"")</f>
        <v/>
      </c>
      <c r="BN6" s="17">
        <f>IF(AND(AU6=1,T6="Y",TRIM(U6)=""),1,0)</f>
        <v/>
      </c>
      <c r="BO6" s="17">
        <f>IF(AU6=1,AJ6&amp;"","")</f>
        <v/>
      </c>
      <c r="BP6" s="17">
        <f>IF(AU6=1,AK6&amp;"","")</f>
        <v/>
      </c>
      <c r="BQ6" s="17">
        <f>IF(AU6=1,AL6&amp;"","")</f>
        <v/>
      </c>
      <c r="BR6" s="17">
        <f>IF(AND(AU6=1,ISNUMBER(AP6),G6&lt;=Config!$B$5),AP6,"")</f>
        <v/>
      </c>
      <c r="BS6" s="17">
        <f>IF(AU6=1,IF(COUNTIFS($A$2:$A$201,$A6,$AN$2:$AN$201,"Y",$AU$2:$AU$201,1)&gt;0,"Y","N"),"")</f>
        <v/>
      </c>
      <c r="BT6" s="17">
        <f>IF(AND(AU6=1,AN6="maybe"),1,0)</f>
        <v/>
      </c>
      <c r="BU6" s="17">
        <f>IF(BT6=1,IF(COUNTIFS($A$2:$A$201,$A6,$BT$2:$BT$201,1,$G$2:$G$201,"&lt;"&amp;G6)+COUNTIFS($A$2:$A$201,$A6,$BT$2:$BT$201,1,$G$2:$G$201,G6,$AT$2:$AT$201,"&lt;"&amp;AT6)=0,1,0),0)</f>
        <v/>
      </c>
      <c r="BV6" s="17">
        <f>IF(AND(AU6=1,AN6="Y"),IF(COUNTIFS($A$2:$A$201,$A6,$AN$2:$AN$201,"Y",$AU$2:$AU$201,1,$G$2:$G$201,"&lt;"&amp;G6)+COUNTIFS($A$2:$A$201,$A6,$AN$2:$AN$201,"Y",$AU$2:$AU$201,1,$G$2:$G$201,G6,$AT$2:$AT$201,"&lt;"&amp;AT6)=0,1,0),0)</f>
        <v/>
      </c>
      <c r="BW6" s="17">
        <f>IF(AND(BA6=1,N(V6)&gt;=Config!$B$15),1,0)</f>
        <v/>
      </c>
      <c r="BX6" s="17">
        <f>IF(AU6=1,IFERROR(MATCH($A6,INDEX(Clay_Offices!$A$2:$FZ$601,0,Sync!$C$5),0),""),"")</f>
        <v/>
      </c>
      <c r="BY6" s="17">
        <f>IF(BX6="","",IFERROR(INDEX(Clay_Offices!$A$2:$FZ$601,BX6,Sync!$C$7)&amp;"",""))</f>
        <v/>
      </c>
      <c r="BZ6" s="17">
        <f>IF(BY6="","",IFERROR(INDEX(Lists!$J$2:$J$15,MATCH(BY6,Lists!$I$2:$I$15,0)),""))</f>
        <v/>
      </c>
      <c r="CA6" s="17">
        <f>IF(BX6="","",IFERROR(INDEX(Clay_Offices!$A$2:$FZ$601,BX6,Sync!$C$17)&amp;"",""))</f>
        <v/>
      </c>
      <c r="CB6" s="23">
        <f>IF(BX6="","",IFERROR(N(INDEX(Clay_Offices!$A$2:$FZ$601,BX6,Sync!$C$16)),0))</f>
        <v/>
      </c>
    </row>
    <row r="7">
      <c r="G7" s="22" t="n"/>
      <c r="AS7" s="17">
        <f>IF(TRIM($A7)="","",IF(AND(LEFT($A7,6)="SAMPLE",Config!$B$19&lt;&gt;"Y"),"",IF(NOT(ISNUMBER(G7)),"call_date is blank or not a date",IF(Sync!$C$5="","Clay paste is empty or has no row_id column: paste the Clay export on Clay_Offices",IF(BX7="","row_id not found in the Clay paste: add the Clay row or fix the row_id",IF(AND(ISNUMBER(BZ7),BZ7&gt;=1,BZ7&lt;=5),"Clay status is "&amp;BY7&amp;": set call_done or later",IF(AND(AW7=1,CA7&lt;&gt;BS7),"Clay yes_in_principle should be "&amp;BS7,IF(AND(AW7=1,CB7&lt;&gt;G7),"Clay call_date should be "&amp;TEXT(G7,"yyyy-mm-dd"),""))))))))</f>
        <v/>
      </c>
      <c r="AT7" s="17">
        <f>ROW()</f>
        <v/>
      </c>
      <c r="AU7" s="17">
        <f>IF(AND(TRIM($A7)&lt;&gt;"",ISNUMBER(G7)),IF(AND(LEFT($A7,6)="SAMPLE",Config!$B$19&lt;&gt;"Y"),0,1),0)</f>
        <v/>
      </c>
      <c r="AV7" s="17">
        <f>IF(AU7=1,IF(COUNTIFS($A$2:$A$201,$A7,$AU$2:$AU$201,1,$G$2:$G$201,"&lt;"&amp;G7)+COUNTIFS($A$2:$A$201,$A7,$AU$2:$AU$201,1,$G$2:$G$201,G7,$AT$2:$AT$201,"&lt;"&amp;AT7)=0,1,0),0)</f>
        <v/>
      </c>
      <c r="AW7" s="17">
        <f>IF(AU7=1,IF(COUNTIFS($A$2:$A$201,$A7,$AU$2:$AU$201,1,$G$2:$G$201,"&gt;"&amp;G7)+COUNTIFS($A$2:$A$201,$A7,$AU$2:$AU$201,1,$G$2:$G$201,G7,$AT$2:$AT$201,"&gt;"&amp;AT7)=0,1,0),0)</f>
        <v/>
      </c>
      <c r="AX7" s="17">
        <f>IF(AND(AU7=1,AN7="Y",Z7="Y",TRIM(AD7)&lt;&gt;""),1,0)</f>
        <v/>
      </c>
      <c r="AY7" s="17">
        <f>IF(AX7=1,IF(COUNTIFS($A$2:$A$201,$A7,$AX$2:$AX$201,1,$G$2:$G$201,"&lt;"&amp;G7)+COUNTIFS($A$2:$A$201,$A7,$AX$2:$AX$201,1,$G$2:$G$201,G7,$AT$2:$AT$201,"&lt;"&amp;AT7)=0,1,0),0)</f>
        <v/>
      </c>
      <c r="AZ7" s="17">
        <f>IF(AND(AU7=1,AN7="Y",AX7=0),1,0)</f>
        <v/>
      </c>
      <c r="BA7" s="17">
        <f>IF(AND(AU7=1,ISNUMBER(V7)),1,0)</f>
        <v/>
      </c>
      <c r="BB7" s="17">
        <f>IF(BA7=1,IF(COUNTIFS($A$2:$A$201,$A7,$BA$2:$BA$201,1,$G$2:$G$201,"&lt;"&amp;G7)+COUNTIFS($A$2:$A$201,$A7,$BA$2:$BA$201,1,$G$2:$G$201,G7,$AT$2:$AT$201,"&lt;"&amp;AT7)=0,1,0),0)</f>
        <v/>
      </c>
      <c r="BC7" s="17">
        <f>IF(AND(BB7=1,G7&lt;=Config!$B$6),V7,"")</f>
        <v/>
      </c>
      <c r="BD7" s="17">
        <f>IF(AND(BB7=1,G7&lt;=Config!$B$7),V7,"")</f>
        <v/>
      </c>
      <c r="BE7" s="17">
        <f>IF(AND(BB7=1,G7&lt;=Config!$B$8),V7,"")</f>
        <v/>
      </c>
      <c r="BF7" s="17">
        <f>IF(AND(BB7=1,G7&lt;=Config!$B$5),V7,"")</f>
        <v/>
      </c>
      <c r="BG7" s="17">
        <f>IF(BW7=1,IF(COUNTIFS($A$2:$A$201,$A7,$BW$2:$BW$201,1,$G$2:$G$201,"&lt;"&amp;G7)+COUNTIFS($A$2:$A$201,$A7,$BW$2:$BW$201,1,$G$2:$G$201,G7,$AT$2:$AT$201,"&lt;"&amp;AT7)=0,1,0),0)</f>
        <v/>
      </c>
      <c r="BH7" s="17">
        <f>IF(AND(AU7=1,ISNUMBER(K7)),1,0)</f>
        <v/>
      </c>
      <c r="BI7" s="17">
        <f>IF(BH7=1,IF(COUNTIFS($A$2:$A$201,$A7,$BH$2:$BH$201,1,$G$2:$G$201,"&lt;"&amp;G7)+COUNTIFS($A$2:$A$201,$A7,$BH$2:$BH$201,1,$G$2:$G$201,G7,$AT$2:$AT$201,"&lt;"&amp;AT7)=0,1,0),0)</f>
        <v/>
      </c>
      <c r="BJ7" s="17">
        <f>IF(AND(BI7=1,G7&lt;=Config!$B$5),K7,"")</f>
        <v/>
      </c>
      <c r="BK7" s="17">
        <f>IF(AND(AU7=1,OR(TRIM(U7)&lt;&gt;"",ISNUMBER(V7))),1,0)</f>
        <v/>
      </c>
      <c r="BL7" s="17">
        <f>IF(BK7=1,IF(COUNTIFS($A$2:$A$201,$A7,$BK$2:$BK$201,1,$G$2:$G$201,"&lt;"&amp;G7)+COUNTIFS($A$2:$A$201,$A7,$BK$2:$BK$201,1,$G$2:$G$201,G7,$AT$2:$AT$201,"&lt;"&amp;AT7)=0,1,0),0)</f>
        <v/>
      </c>
      <c r="BM7" s="17">
        <f>IF(BL7=1,$A7,"")</f>
        <v/>
      </c>
      <c r="BN7" s="17">
        <f>IF(AND(AU7=1,T7="Y",TRIM(U7)=""),1,0)</f>
        <v/>
      </c>
      <c r="BO7" s="17">
        <f>IF(AU7=1,AJ7&amp;"","")</f>
        <v/>
      </c>
      <c r="BP7" s="17">
        <f>IF(AU7=1,AK7&amp;"","")</f>
        <v/>
      </c>
      <c r="BQ7" s="17">
        <f>IF(AU7=1,AL7&amp;"","")</f>
        <v/>
      </c>
      <c r="BR7" s="17">
        <f>IF(AND(AU7=1,ISNUMBER(AP7),G7&lt;=Config!$B$5),AP7,"")</f>
        <v/>
      </c>
      <c r="BS7" s="17">
        <f>IF(AU7=1,IF(COUNTIFS($A$2:$A$201,$A7,$AN$2:$AN$201,"Y",$AU$2:$AU$201,1)&gt;0,"Y","N"),"")</f>
        <v/>
      </c>
      <c r="BT7" s="17">
        <f>IF(AND(AU7=1,AN7="maybe"),1,0)</f>
        <v/>
      </c>
      <c r="BU7" s="17">
        <f>IF(BT7=1,IF(COUNTIFS($A$2:$A$201,$A7,$BT$2:$BT$201,1,$G$2:$G$201,"&lt;"&amp;G7)+COUNTIFS($A$2:$A$201,$A7,$BT$2:$BT$201,1,$G$2:$G$201,G7,$AT$2:$AT$201,"&lt;"&amp;AT7)=0,1,0),0)</f>
        <v/>
      </c>
      <c r="BV7" s="17">
        <f>IF(AND(AU7=1,AN7="Y"),IF(COUNTIFS($A$2:$A$201,$A7,$AN$2:$AN$201,"Y",$AU$2:$AU$201,1,$G$2:$G$201,"&lt;"&amp;G7)+COUNTIFS($A$2:$A$201,$A7,$AN$2:$AN$201,"Y",$AU$2:$AU$201,1,$G$2:$G$201,G7,$AT$2:$AT$201,"&lt;"&amp;AT7)=0,1,0),0)</f>
        <v/>
      </c>
      <c r="BW7" s="17">
        <f>IF(AND(BA7=1,N(V7)&gt;=Config!$B$15),1,0)</f>
        <v/>
      </c>
      <c r="BX7" s="17">
        <f>IF(AU7=1,IFERROR(MATCH($A7,INDEX(Clay_Offices!$A$2:$FZ$601,0,Sync!$C$5),0),""),"")</f>
        <v/>
      </c>
      <c r="BY7" s="17">
        <f>IF(BX7="","",IFERROR(INDEX(Clay_Offices!$A$2:$FZ$601,BX7,Sync!$C$7)&amp;"",""))</f>
        <v/>
      </c>
      <c r="BZ7" s="17">
        <f>IF(BY7="","",IFERROR(INDEX(Lists!$J$2:$J$15,MATCH(BY7,Lists!$I$2:$I$15,0)),""))</f>
        <v/>
      </c>
      <c r="CA7" s="17">
        <f>IF(BX7="","",IFERROR(INDEX(Clay_Offices!$A$2:$FZ$601,BX7,Sync!$C$17)&amp;"",""))</f>
        <v/>
      </c>
      <c r="CB7" s="23">
        <f>IF(BX7="","",IFERROR(N(INDEX(Clay_Offices!$A$2:$FZ$601,BX7,Sync!$C$16)),0))</f>
        <v/>
      </c>
    </row>
    <row r="8">
      <c r="G8" s="22" t="n"/>
      <c r="AS8" s="17">
        <f>IF(TRIM($A8)="","",IF(AND(LEFT($A8,6)="SAMPLE",Config!$B$19&lt;&gt;"Y"),"",IF(NOT(ISNUMBER(G8)),"call_date is blank or not a date",IF(Sync!$C$5="","Clay paste is empty or has no row_id column: paste the Clay export on Clay_Offices",IF(BX8="","row_id not found in the Clay paste: add the Clay row or fix the row_id",IF(AND(ISNUMBER(BZ8),BZ8&gt;=1,BZ8&lt;=5),"Clay status is "&amp;BY8&amp;": set call_done or later",IF(AND(AW8=1,CA8&lt;&gt;BS8),"Clay yes_in_principle should be "&amp;BS8,IF(AND(AW8=1,CB8&lt;&gt;G8),"Clay call_date should be "&amp;TEXT(G8,"yyyy-mm-dd"),""))))))))</f>
        <v/>
      </c>
      <c r="AT8" s="17">
        <f>ROW()</f>
        <v/>
      </c>
      <c r="AU8" s="17">
        <f>IF(AND(TRIM($A8)&lt;&gt;"",ISNUMBER(G8)),IF(AND(LEFT($A8,6)="SAMPLE",Config!$B$19&lt;&gt;"Y"),0,1),0)</f>
        <v/>
      </c>
      <c r="AV8" s="17">
        <f>IF(AU8=1,IF(COUNTIFS($A$2:$A$201,$A8,$AU$2:$AU$201,1,$G$2:$G$201,"&lt;"&amp;G8)+COUNTIFS($A$2:$A$201,$A8,$AU$2:$AU$201,1,$G$2:$G$201,G8,$AT$2:$AT$201,"&lt;"&amp;AT8)=0,1,0),0)</f>
        <v/>
      </c>
      <c r="AW8" s="17">
        <f>IF(AU8=1,IF(COUNTIFS($A$2:$A$201,$A8,$AU$2:$AU$201,1,$G$2:$G$201,"&gt;"&amp;G8)+COUNTIFS($A$2:$A$201,$A8,$AU$2:$AU$201,1,$G$2:$G$201,G8,$AT$2:$AT$201,"&gt;"&amp;AT8)=0,1,0),0)</f>
        <v/>
      </c>
      <c r="AX8" s="17">
        <f>IF(AND(AU8=1,AN8="Y",Z8="Y",TRIM(AD8)&lt;&gt;""),1,0)</f>
        <v/>
      </c>
      <c r="AY8" s="17">
        <f>IF(AX8=1,IF(COUNTIFS($A$2:$A$201,$A8,$AX$2:$AX$201,1,$G$2:$G$201,"&lt;"&amp;G8)+COUNTIFS($A$2:$A$201,$A8,$AX$2:$AX$201,1,$G$2:$G$201,G8,$AT$2:$AT$201,"&lt;"&amp;AT8)=0,1,0),0)</f>
        <v/>
      </c>
      <c r="AZ8" s="17">
        <f>IF(AND(AU8=1,AN8="Y",AX8=0),1,0)</f>
        <v/>
      </c>
      <c r="BA8" s="17">
        <f>IF(AND(AU8=1,ISNUMBER(V8)),1,0)</f>
        <v/>
      </c>
      <c r="BB8" s="17">
        <f>IF(BA8=1,IF(COUNTIFS($A$2:$A$201,$A8,$BA$2:$BA$201,1,$G$2:$G$201,"&lt;"&amp;G8)+COUNTIFS($A$2:$A$201,$A8,$BA$2:$BA$201,1,$G$2:$G$201,G8,$AT$2:$AT$201,"&lt;"&amp;AT8)=0,1,0),0)</f>
        <v/>
      </c>
      <c r="BC8" s="17">
        <f>IF(AND(BB8=1,G8&lt;=Config!$B$6),V8,"")</f>
        <v/>
      </c>
      <c r="BD8" s="17">
        <f>IF(AND(BB8=1,G8&lt;=Config!$B$7),V8,"")</f>
        <v/>
      </c>
      <c r="BE8" s="17">
        <f>IF(AND(BB8=1,G8&lt;=Config!$B$8),V8,"")</f>
        <v/>
      </c>
      <c r="BF8" s="17">
        <f>IF(AND(BB8=1,G8&lt;=Config!$B$5),V8,"")</f>
        <v/>
      </c>
      <c r="BG8" s="17">
        <f>IF(BW8=1,IF(COUNTIFS($A$2:$A$201,$A8,$BW$2:$BW$201,1,$G$2:$G$201,"&lt;"&amp;G8)+COUNTIFS($A$2:$A$201,$A8,$BW$2:$BW$201,1,$G$2:$G$201,G8,$AT$2:$AT$201,"&lt;"&amp;AT8)=0,1,0),0)</f>
        <v/>
      </c>
      <c r="BH8" s="17">
        <f>IF(AND(AU8=1,ISNUMBER(K8)),1,0)</f>
        <v/>
      </c>
      <c r="BI8" s="17">
        <f>IF(BH8=1,IF(COUNTIFS($A$2:$A$201,$A8,$BH$2:$BH$201,1,$G$2:$G$201,"&lt;"&amp;G8)+COUNTIFS($A$2:$A$201,$A8,$BH$2:$BH$201,1,$G$2:$G$201,G8,$AT$2:$AT$201,"&lt;"&amp;AT8)=0,1,0),0)</f>
        <v/>
      </c>
      <c r="BJ8" s="17">
        <f>IF(AND(BI8=1,G8&lt;=Config!$B$5),K8,"")</f>
        <v/>
      </c>
      <c r="BK8" s="17">
        <f>IF(AND(AU8=1,OR(TRIM(U8)&lt;&gt;"",ISNUMBER(V8))),1,0)</f>
        <v/>
      </c>
      <c r="BL8" s="17">
        <f>IF(BK8=1,IF(COUNTIFS($A$2:$A$201,$A8,$BK$2:$BK$201,1,$G$2:$G$201,"&lt;"&amp;G8)+COUNTIFS($A$2:$A$201,$A8,$BK$2:$BK$201,1,$G$2:$G$201,G8,$AT$2:$AT$201,"&lt;"&amp;AT8)=0,1,0),0)</f>
        <v/>
      </c>
      <c r="BM8" s="17">
        <f>IF(BL8=1,$A8,"")</f>
        <v/>
      </c>
      <c r="BN8" s="17">
        <f>IF(AND(AU8=1,T8="Y",TRIM(U8)=""),1,0)</f>
        <v/>
      </c>
      <c r="BO8" s="17">
        <f>IF(AU8=1,AJ8&amp;"","")</f>
        <v/>
      </c>
      <c r="BP8" s="17">
        <f>IF(AU8=1,AK8&amp;"","")</f>
        <v/>
      </c>
      <c r="BQ8" s="17">
        <f>IF(AU8=1,AL8&amp;"","")</f>
        <v/>
      </c>
      <c r="BR8" s="17">
        <f>IF(AND(AU8=1,ISNUMBER(AP8),G8&lt;=Config!$B$5),AP8,"")</f>
        <v/>
      </c>
      <c r="BS8" s="17">
        <f>IF(AU8=1,IF(COUNTIFS($A$2:$A$201,$A8,$AN$2:$AN$201,"Y",$AU$2:$AU$201,1)&gt;0,"Y","N"),"")</f>
        <v/>
      </c>
      <c r="BT8" s="17">
        <f>IF(AND(AU8=1,AN8="maybe"),1,0)</f>
        <v/>
      </c>
      <c r="BU8" s="17">
        <f>IF(BT8=1,IF(COUNTIFS($A$2:$A$201,$A8,$BT$2:$BT$201,1,$G$2:$G$201,"&lt;"&amp;G8)+COUNTIFS($A$2:$A$201,$A8,$BT$2:$BT$201,1,$G$2:$G$201,G8,$AT$2:$AT$201,"&lt;"&amp;AT8)=0,1,0),0)</f>
        <v/>
      </c>
      <c r="BV8" s="17">
        <f>IF(AND(AU8=1,AN8="Y"),IF(COUNTIFS($A$2:$A$201,$A8,$AN$2:$AN$201,"Y",$AU$2:$AU$201,1,$G$2:$G$201,"&lt;"&amp;G8)+COUNTIFS($A$2:$A$201,$A8,$AN$2:$AN$201,"Y",$AU$2:$AU$201,1,$G$2:$G$201,G8,$AT$2:$AT$201,"&lt;"&amp;AT8)=0,1,0),0)</f>
        <v/>
      </c>
      <c r="BW8" s="17">
        <f>IF(AND(BA8=1,N(V8)&gt;=Config!$B$15),1,0)</f>
        <v/>
      </c>
      <c r="BX8" s="17">
        <f>IF(AU8=1,IFERROR(MATCH($A8,INDEX(Clay_Offices!$A$2:$FZ$601,0,Sync!$C$5),0),""),"")</f>
        <v/>
      </c>
      <c r="BY8" s="17">
        <f>IF(BX8="","",IFERROR(INDEX(Clay_Offices!$A$2:$FZ$601,BX8,Sync!$C$7)&amp;"",""))</f>
        <v/>
      </c>
      <c r="BZ8" s="17">
        <f>IF(BY8="","",IFERROR(INDEX(Lists!$J$2:$J$15,MATCH(BY8,Lists!$I$2:$I$15,0)),""))</f>
        <v/>
      </c>
      <c r="CA8" s="17">
        <f>IF(BX8="","",IFERROR(INDEX(Clay_Offices!$A$2:$FZ$601,BX8,Sync!$C$17)&amp;"",""))</f>
        <v/>
      </c>
      <c r="CB8" s="23">
        <f>IF(BX8="","",IFERROR(N(INDEX(Clay_Offices!$A$2:$FZ$601,BX8,Sync!$C$16)),0))</f>
        <v/>
      </c>
    </row>
    <row r="9">
      <c r="G9" s="22" t="n"/>
      <c r="AS9" s="17">
        <f>IF(TRIM($A9)="","",IF(AND(LEFT($A9,6)="SAMPLE",Config!$B$19&lt;&gt;"Y"),"",IF(NOT(ISNUMBER(G9)),"call_date is blank or not a date",IF(Sync!$C$5="","Clay paste is empty or has no row_id column: paste the Clay export on Clay_Offices",IF(BX9="","row_id not found in the Clay paste: add the Clay row or fix the row_id",IF(AND(ISNUMBER(BZ9),BZ9&gt;=1,BZ9&lt;=5),"Clay status is "&amp;BY9&amp;": set call_done or later",IF(AND(AW9=1,CA9&lt;&gt;BS9),"Clay yes_in_principle should be "&amp;BS9,IF(AND(AW9=1,CB9&lt;&gt;G9),"Clay call_date should be "&amp;TEXT(G9,"yyyy-mm-dd"),""))))))))</f>
        <v/>
      </c>
      <c r="AT9" s="17">
        <f>ROW()</f>
        <v/>
      </c>
      <c r="AU9" s="17">
        <f>IF(AND(TRIM($A9)&lt;&gt;"",ISNUMBER(G9)),IF(AND(LEFT($A9,6)="SAMPLE",Config!$B$19&lt;&gt;"Y"),0,1),0)</f>
        <v/>
      </c>
      <c r="AV9" s="17">
        <f>IF(AU9=1,IF(COUNTIFS($A$2:$A$201,$A9,$AU$2:$AU$201,1,$G$2:$G$201,"&lt;"&amp;G9)+COUNTIFS($A$2:$A$201,$A9,$AU$2:$AU$201,1,$G$2:$G$201,G9,$AT$2:$AT$201,"&lt;"&amp;AT9)=0,1,0),0)</f>
        <v/>
      </c>
      <c r="AW9" s="17">
        <f>IF(AU9=1,IF(COUNTIFS($A$2:$A$201,$A9,$AU$2:$AU$201,1,$G$2:$G$201,"&gt;"&amp;G9)+COUNTIFS($A$2:$A$201,$A9,$AU$2:$AU$201,1,$G$2:$G$201,G9,$AT$2:$AT$201,"&gt;"&amp;AT9)=0,1,0),0)</f>
        <v/>
      </c>
      <c r="AX9" s="17">
        <f>IF(AND(AU9=1,AN9="Y",Z9="Y",TRIM(AD9)&lt;&gt;""),1,0)</f>
        <v/>
      </c>
      <c r="AY9" s="17">
        <f>IF(AX9=1,IF(COUNTIFS($A$2:$A$201,$A9,$AX$2:$AX$201,1,$G$2:$G$201,"&lt;"&amp;G9)+COUNTIFS($A$2:$A$201,$A9,$AX$2:$AX$201,1,$G$2:$G$201,G9,$AT$2:$AT$201,"&lt;"&amp;AT9)=0,1,0),0)</f>
        <v/>
      </c>
      <c r="AZ9" s="17">
        <f>IF(AND(AU9=1,AN9="Y",AX9=0),1,0)</f>
        <v/>
      </c>
      <c r="BA9" s="17">
        <f>IF(AND(AU9=1,ISNUMBER(V9)),1,0)</f>
        <v/>
      </c>
      <c r="BB9" s="17">
        <f>IF(BA9=1,IF(COUNTIFS($A$2:$A$201,$A9,$BA$2:$BA$201,1,$G$2:$G$201,"&lt;"&amp;G9)+COUNTIFS($A$2:$A$201,$A9,$BA$2:$BA$201,1,$G$2:$G$201,G9,$AT$2:$AT$201,"&lt;"&amp;AT9)=0,1,0),0)</f>
        <v/>
      </c>
      <c r="BC9" s="17">
        <f>IF(AND(BB9=1,G9&lt;=Config!$B$6),V9,"")</f>
        <v/>
      </c>
      <c r="BD9" s="17">
        <f>IF(AND(BB9=1,G9&lt;=Config!$B$7),V9,"")</f>
        <v/>
      </c>
      <c r="BE9" s="17">
        <f>IF(AND(BB9=1,G9&lt;=Config!$B$8),V9,"")</f>
        <v/>
      </c>
      <c r="BF9" s="17">
        <f>IF(AND(BB9=1,G9&lt;=Config!$B$5),V9,"")</f>
        <v/>
      </c>
      <c r="BG9" s="17">
        <f>IF(BW9=1,IF(COUNTIFS($A$2:$A$201,$A9,$BW$2:$BW$201,1,$G$2:$G$201,"&lt;"&amp;G9)+COUNTIFS($A$2:$A$201,$A9,$BW$2:$BW$201,1,$G$2:$G$201,G9,$AT$2:$AT$201,"&lt;"&amp;AT9)=0,1,0),0)</f>
        <v/>
      </c>
      <c r="BH9" s="17">
        <f>IF(AND(AU9=1,ISNUMBER(K9)),1,0)</f>
        <v/>
      </c>
      <c r="BI9" s="17">
        <f>IF(BH9=1,IF(COUNTIFS($A$2:$A$201,$A9,$BH$2:$BH$201,1,$G$2:$G$201,"&lt;"&amp;G9)+COUNTIFS($A$2:$A$201,$A9,$BH$2:$BH$201,1,$G$2:$G$201,G9,$AT$2:$AT$201,"&lt;"&amp;AT9)=0,1,0),0)</f>
        <v/>
      </c>
      <c r="BJ9" s="17">
        <f>IF(AND(BI9=1,G9&lt;=Config!$B$5),K9,"")</f>
        <v/>
      </c>
      <c r="BK9" s="17">
        <f>IF(AND(AU9=1,OR(TRIM(U9)&lt;&gt;"",ISNUMBER(V9))),1,0)</f>
        <v/>
      </c>
      <c r="BL9" s="17">
        <f>IF(BK9=1,IF(COUNTIFS($A$2:$A$201,$A9,$BK$2:$BK$201,1,$G$2:$G$201,"&lt;"&amp;G9)+COUNTIFS($A$2:$A$201,$A9,$BK$2:$BK$201,1,$G$2:$G$201,G9,$AT$2:$AT$201,"&lt;"&amp;AT9)=0,1,0),0)</f>
        <v/>
      </c>
      <c r="BM9" s="17">
        <f>IF(BL9=1,$A9,"")</f>
        <v/>
      </c>
      <c r="BN9" s="17">
        <f>IF(AND(AU9=1,T9="Y",TRIM(U9)=""),1,0)</f>
        <v/>
      </c>
      <c r="BO9" s="17">
        <f>IF(AU9=1,AJ9&amp;"","")</f>
        <v/>
      </c>
      <c r="BP9" s="17">
        <f>IF(AU9=1,AK9&amp;"","")</f>
        <v/>
      </c>
      <c r="BQ9" s="17">
        <f>IF(AU9=1,AL9&amp;"","")</f>
        <v/>
      </c>
      <c r="BR9" s="17">
        <f>IF(AND(AU9=1,ISNUMBER(AP9),G9&lt;=Config!$B$5),AP9,"")</f>
        <v/>
      </c>
      <c r="BS9" s="17">
        <f>IF(AU9=1,IF(COUNTIFS($A$2:$A$201,$A9,$AN$2:$AN$201,"Y",$AU$2:$AU$201,1)&gt;0,"Y","N"),"")</f>
        <v/>
      </c>
      <c r="BT9" s="17">
        <f>IF(AND(AU9=1,AN9="maybe"),1,0)</f>
        <v/>
      </c>
      <c r="BU9" s="17">
        <f>IF(BT9=1,IF(COUNTIFS($A$2:$A$201,$A9,$BT$2:$BT$201,1,$G$2:$G$201,"&lt;"&amp;G9)+COUNTIFS($A$2:$A$201,$A9,$BT$2:$BT$201,1,$G$2:$G$201,G9,$AT$2:$AT$201,"&lt;"&amp;AT9)=0,1,0),0)</f>
        <v/>
      </c>
      <c r="BV9" s="17">
        <f>IF(AND(AU9=1,AN9="Y"),IF(COUNTIFS($A$2:$A$201,$A9,$AN$2:$AN$201,"Y",$AU$2:$AU$201,1,$G$2:$G$201,"&lt;"&amp;G9)+COUNTIFS($A$2:$A$201,$A9,$AN$2:$AN$201,"Y",$AU$2:$AU$201,1,$G$2:$G$201,G9,$AT$2:$AT$201,"&lt;"&amp;AT9)=0,1,0),0)</f>
        <v/>
      </c>
      <c r="BW9" s="17">
        <f>IF(AND(BA9=1,N(V9)&gt;=Config!$B$15),1,0)</f>
        <v/>
      </c>
      <c r="BX9" s="17">
        <f>IF(AU9=1,IFERROR(MATCH($A9,INDEX(Clay_Offices!$A$2:$FZ$601,0,Sync!$C$5),0),""),"")</f>
        <v/>
      </c>
      <c r="BY9" s="17">
        <f>IF(BX9="","",IFERROR(INDEX(Clay_Offices!$A$2:$FZ$601,BX9,Sync!$C$7)&amp;"",""))</f>
        <v/>
      </c>
      <c r="BZ9" s="17">
        <f>IF(BY9="","",IFERROR(INDEX(Lists!$J$2:$J$15,MATCH(BY9,Lists!$I$2:$I$15,0)),""))</f>
        <v/>
      </c>
      <c r="CA9" s="17">
        <f>IF(BX9="","",IFERROR(INDEX(Clay_Offices!$A$2:$FZ$601,BX9,Sync!$C$17)&amp;"",""))</f>
        <v/>
      </c>
      <c r="CB9" s="23">
        <f>IF(BX9="","",IFERROR(N(INDEX(Clay_Offices!$A$2:$FZ$601,BX9,Sync!$C$16)),0))</f>
        <v/>
      </c>
    </row>
    <row r="10">
      <c r="G10" s="22" t="n"/>
      <c r="AS10" s="17">
        <f>IF(TRIM($A10)="","",IF(AND(LEFT($A10,6)="SAMPLE",Config!$B$19&lt;&gt;"Y"),"",IF(NOT(ISNUMBER(G10)),"call_date is blank or not a date",IF(Sync!$C$5="","Clay paste is empty or has no row_id column: paste the Clay export on Clay_Offices",IF(BX10="","row_id not found in the Clay paste: add the Clay row or fix the row_id",IF(AND(ISNUMBER(BZ10),BZ10&gt;=1,BZ10&lt;=5),"Clay status is "&amp;BY10&amp;": set call_done or later",IF(AND(AW10=1,CA10&lt;&gt;BS10),"Clay yes_in_principle should be "&amp;BS10,IF(AND(AW10=1,CB10&lt;&gt;G10),"Clay call_date should be "&amp;TEXT(G10,"yyyy-mm-dd"),""))))))))</f>
        <v/>
      </c>
      <c r="AT10" s="17">
        <f>ROW()</f>
        <v/>
      </c>
      <c r="AU10" s="17">
        <f>IF(AND(TRIM($A10)&lt;&gt;"",ISNUMBER(G10)),IF(AND(LEFT($A10,6)="SAMPLE",Config!$B$19&lt;&gt;"Y"),0,1),0)</f>
        <v/>
      </c>
      <c r="AV10" s="17">
        <f>IF(AU10=1,IF(COUNTIFS($A$2:$A$201,$A10,$AU$2:$AU$201,1,$G$2:$G$201,"&lt;"&amp;G10)+COUNTIFS($A$2:$A$201,$A10,$AU$2:$AU$201,1,$G$2:$G$201,G10,$AT$2:$AT$201,"&lt;"&amp;AT10)=0,1,0),0)</f>
        <v/>
      </c>
      <c r="AW10" s="17">
        <f>IF(AU10=1,IF(COUNTIFS($A$2:$A$201,$A10,$AU$2:$AU$201,1,$G$2:$G$201,"&gt;"&amp;G10)+COUNTIFS($A$2:$A$201,$A10,$AU$2:$AU$201,1,$G$2:$G$201,G10,$AT$2:$AT$201,"&gt;"&amp;AT10)=0,1,0),0)</f>
        <v/>
      </c>
      <c r="AX10" s="17">
        <f>IF(AND(AU10=1,AN10="Y",Z10="Y",TRIM(AD10)&lt;&gt;""),1,0)</f>
        <v/>
      </c>
      <c r="AY10" s="17">
        <f>IF(AX10=1,IF(COUNTIFS($A$2:$A$201,$A10,$AX$2:$AX$201,1,$G$2:$G$201,"&lt;"&amp;G10)+COUNTIFS($A$2:$A$201,$A10,$AX$2:$AX$201,1,$G$2:$G$201,G10,$AT$2:$AT$201,"&lt;"&amp;AT10)=0,1,0),0)</f>
        <v/>
      </c>
      <c r="AZ10" s="17">
        <f>IF(AND(AU10=1,AN10="Y",AX10=0),1,0)</f>
        <v/>
      </c>
      <c r="BA10" s="17">
        <f>IF(AND(AU10=1,ISNUMBER(V10)),1,0)</f>
        <v/>
      </c>
      <c r="BB10" s="17">
        <f>IF(BA10=1,IF(COUNTIFS($A$2:$A$201,$A10,$BA$2:$BA$201,1,$G$2:$G$201,"&lt;"&amp;G10)+COUNTIFS($A$2:$A$201,$A10,$BA$2:$BA$201,1,$G$2:$G$201,G10,$AT$2:$AT$201,"&lt;"&amp;AT10)=0,1,0),0)</f>
        <v/>
      </c>
      <c r="BC10" s="17">
        <f>IF(AND(BB10=1,G10&lt;=Config!$B$6),V10,"")</f>
        <v/>
      </c>
      <c r="BD10" s="17">
        <f>IF(AND(BB10=1,G10&lt;=Config!$B$7),V10,"")</f>
        <v/>
      </c>
      <c r="BE10" s="17">
        <f>IF(AND(BB10=1,G10&lt;=Config!$B$8),V10,"")</f>
        <v/>
      </c>
      <c r="BF10" s="17">
        <f>IF(AND(BB10=1,G10&lt;=Config!$B$5),V10,"")</f>
        <v/>
      </c>
      <c r="BG10" s="17">
        <f>IF(BW10=1,IF(COUNTIFS($A$2:$A$201,$A10,$BW$2:$BW$201,1,$G$2:$G$201,"&lt;"&amp;G10)+COUNTIFS($A$2:$A$201,$A10,$BW$2:$BW$201,1,$G$2:$G$201,G10,$AT$2:$AT$201,"&lt;"&amp;AT10)=0,1,0),0)</f>
        <v/>
      </c>
      <c r="BH10" s="17">
        <f>IF(AND(AU10=1,ISNUMBER(K10)),1,0)</f>
        <v/>
      </c>
      <c r="BI10" s="17">
        <f>IF(BH10=1,IF(COUNTIFS($A$2:$A$201,$A10,$BH$2:$BH$201,1,$G$2:$G$201,"&lt;"&amp;G10)+COUNTIFS($A$2:$A$201,$A10,$BH$2:$BH$201,1,$G$2:$G$201,G10,$AT$2:$AT$201,"&lt;"&amp;AT10)=0,1,0),0)</f>
        <v/>
      </c>
      <c r="BJ10" s="17">
        <f>IF(AND(BI10=1,G10&lt;=Config!$B$5),K10,"")</f>
        <v/>
      </c>
      <c r="BK10" s="17">
        <f>IF(AND(AU10=1,OR(TRIM(U10)&lt;&gt;"",ISNUMBER(V10))),1,0)</f>
        <v/>
      </c>
      <c r="BL10" s="17">
        <f>IF(BK10=1,IF(COUNTIFS($A$2:$A$201,$A10,$BK$2:$BK$201,1,$G$2:$G$201,"&lt;"&amp;G10)+COUNTIFS($A$2:$A$201,$A10,$BK$2:$BK$201,1,$G$2:$G$201,G10,$AT$2:$AT$201,"&lt;"&amp;AT10)=0,1,0),0)</f>
        <v/>
      </c>
      <c r="BM10" s="17">
        <f>IF(BL10=1,$A10,"")</f>
        <v/>
      </c>
      <c r="BN10" s="17">
        <f>IF(AND(AU10=1,T10="Y",TRIM(U10)=""),1,0)</f>
        <v/>
      </c>
      <c r="BO10" s="17">
        <f>IF(AU10=1,AJ10&amp;"","")</f>
        <v/>
      </c>
      <c r="BP10" s="17">
        <f>IF(AU10=1,AK10&amp;"","")</f>
        <v/>
      </c>
      <c r="BQ10" s="17">
        <f>IF(AU10=1,AL10&amp;"","")</f>
        <v/>
      </c>
      <c r="BR10" s="17">
        <f>IF(AND(AU10=1,ISNUMBER(AP10),G10&lt;=Config!$B$5),AP10,"")</f>
        <v/>
      </c>
      <c r="BS10" s="17">
        <f>IF(AU10=1,IF(COUNTIFS($A$2:$A$201,$A10,$AN$2:$AN$201,"Y",$AU$2:$AU$201,1)&gt;0,"Y","N"),"")</f>
        <v/>
      </c>
      <c r="BT10" s="17">
        <f>IF(AND(AU10=1,AN10="maybe"),1,0)</f>
        <v/>
      </c>
      <c r="BU10" s="17">
        <f>IF(BT10=1,IF(COUNTIFS($A$2:$A$201,$A10,$BT$2:$BT$201,1,$G$2:$G$201,"&lt;"&amp;G10)+COUNTIFS($A$2:$A$201,$A10,$BT$2:$BT$201,1,$G$2:$G$201,G10,$AT$2:$AT$201,"&lt;"&amp;AT10)=0,1,0),0)</f>
        <v/>
      </c>
      <c r="BV10" s="17">
        <f>IF(AND(AU10=1,AN10="Y"),IF(COUNTIFS($A$2:$A$201,$A10,$AN$2:$AN$201,"Y",$AU$2:$AU$201,1,$G$2:$G$201,"&lt;"&amp;G10)+COUNTIFS($A$2:$A$201,$A10,$AN$2:$AN$201,"Y",$AU$2:$AU$201,1,$G$2:$G$201,G10,$AT$2:$AT$201,"&lt;"&amp;AT10)=0,1,0),0)</f>
        <v/>
      </c>
      <c r="BW10" s="17">
        <f>IF(AND(BA10=1,N(V10)&gt;=Config!$B$15),1,0)</f>
        <v/>
      </c>
      <c r="BX10" s="17">
        <f>IF(AU10=1,IFERROR(MATCH($A10,INDEX(Clay_Offices!$A$2:$FZ$601,0,Sync!$C$5),0),""),"")</f>
        <v/>
      </c>
      <c r="BY10" s="17">
        <f>IF(BX10="","",IFERROR(INDEX(Clay_Offices!$A$2:$FZ$601,BX10,Sync!$C$7)&amp;"",""))</f>
        <v/>
      </c>
      <c r="BZ10" s="17">
        <f>IF(BY10="","",IFERROR(INDEX(Lists!$J$2:$J$15,MATCH(BY10,Lists!$I$2:$I$15,0)),""))</f>
        <v/>
      </c>
      <c r="CA10" s="17">
        <f>IF(BX10="","",IFERROR(INDEX(Clay_Offices!$A$2:$FZ$601,BX10,Sync!$C$17)&amp;"",""))</f>
        <v/>
      </c>
      <c r="CB10" s="23">
        <f>IF(BX10="","",IFERROR(N(INDEX(Clay_Offices!$A$2:$FZ$601,BX10,Sync!$C$16)),0))</f>
        <v/>
      </c>
    </row>
    <row r="11">
      <c r="G11" s="22" t="n"/>
      <c r="AS11" s="17">
        <f>IF(TRIM($A11)="","",IF(AND(LEFT($A11,6)="SAMPLE",Config!$B$19&lt;&gt;"Y"),"",IF(NOT(ISNUMBER(G11)),"call_date is blank or not a date",IF(Sync!$C$5="","Clay paste is empty or has no row_id column: paste the Clay export on Clay_Offices",IF(BX11="","row_id not found in the Clay paste: add the Clay row or fix the row_id",IF(AND(ISNUMBER(BZ11),BZ11&gt;=1,BZ11&lt;=5),"Clay status is "&amp;BY11&amp;": set call_done or later",IF(AND(AW11=1,CA11&lt;&gt;BS11),"Clay yes_in_principle should be "&amp;BS11,IF(AND(AW11=1,CB11&lt;&gt;G11),"Clay call_date should be "&amp;TEXT(G11,"yyyy-mm-dd"),""))))))))</f>
        <v/>
      </c>
      <c r="AT11" s="17">
        <f>ROW()</f>
        <v/>
      </c>
      <c r="AU11" s="17">
        <f>IF(AND(TRIM($A11)&lt;&gt;"",ISNUMBER(G11)),IF(AND(LEFT($A11,6)="SAMPLE",Config!$B$19&lt;&gt;"Y"),0,1),0)</f>
        <v/>
      </c>
      <c r="AV11" s="17">
        <f>IF(AU11=1,IF(COUNTIFS($A$2:$A$201,$A11,$AU$2:$AU$201,1,$G$2:$G$201,"&lt;"&amp;G11)+COUNTIFS($A$2:$A$201,$A11,$AU$2:$AU$201,1,$G$2:$G$201,G11,$AT$2:$AT$201,"&lt;"&amp;AT11)=0,1,0),0)</f>
        <v/>
      </c>
      <c r="AW11" s="17">
        <f>IF(AU11=1,IF(COUNTIFS($A$2:$A$201,$A11,$AU$2:$AU$201,1,$G$2:$G$201,"&gt;"&amp;G11)+COUNTIFS($A$2:$A$201,$A11,$AU$2:$AU$201,1,$G$2:$G$201,G11,$AT$2:$AT$201,"&gt;"&amp;AT11)=0,1,0),0)</f>
        <v/>
      </c>
      <c r="AX11" s="17">
        <f>IF(AND(AU11=1,AN11="Y",Z11="Y",TRIM(AD11)&lt;&gt;""),1,0)</f>
        <v/>
      </c>
      <c r="AY11" s="17">
        <f>IF(AX11=1,IF(COUNTIFS($A$2:$A$201,$A11,$AX$2:$AX$201,1,$G$2:$G$201,"&lt;"&amp;G11)+COUNTIFS($A$2:$A$201,$A11,$AX$2:$AX$201,1,$G$2:$G$201,G11,$AT$2:$AT$201,"&lt;"&amp;AT11)=0,1,0),0)</f>
        <v/>
      </c>
      <c r="AZ11" s="17">
        <f>IF(AND(AU11=1,AN11="Y",AX11=0),1,0)</f>
        <v/>
      </c>
      <c r="BA11" s="17">
        <f>IF(AND(AU11=1,ISNUMBER(V11)),1,0)</f>
        <v/>
      </c>
      <c r="BB11" s="17">
        <f>IF(BA11=1,IF(COUNTIFS($A$2:$A$201,$A11,$BA$2:$BA$201,1,$G$2:$G$201,"&lt;"&amp;G11)+COUNTIFS($A$2:$A$201,$A11,$BA$2:$BA$201,1,$G$2:$G$201,G11,$AT$2:$AT$201,"&lt;"&amp;AT11)=0,1,0),0)</f>
        <v/>
      </c>
      <c r="BC11" s="17">
        <f>IF(AND(BB11=1,G11&lt;=Config!$B$6),V11,"")</f>
        <v/>
      </c>
      <c r="BD11" s="17">
        <f>IF(AND(BB11=1,G11&lt;=Config!$B$7),V11,"")</f>
        <v/>
      </c>
      <c r="BE11" s="17">
        <f>IF(AND(BB11=1,G11&lt;=Config!$B$8),V11,"")</f>
        <v/>
      </c>
      <c r="BF11" s="17">
        <f>IF(AND(BB11=1,G11&lt;=Config!$B$5),V11,"")</f>
        <v/>
      </c>
      <c r="BG11" s="17">
        <f>IF(BW11=1,IF(COUNTIFS($A$2:$A$201,$A11,$BW$2:$BW$201,1,$G$2:$G$201,"&lt;"&amp;G11)+COUNTIFS($A$2:$A$201,$A11,$BW$2:$BW$201,1,$G$2:$G$201,G11,$AT$2:$AT$201,"&lt;"&amp;AT11)=0,1,0),0)</f>
        <v/>
      </c>
      <c r="BH11" s="17">
        <f>IF(AND(AU11=1,ISNUMBER(K11)),1,0)</f>
        <v/>
      </c>
      <c r="BI11" s="17">
        <f>IF(BH11=1,IF(COUNTIFS($A$2:$A$201,$A11,$BH$2:$BH$201,1,$G$2:$G$201,"&lt;"&amp;G11)+COUNTIFS($A$2:$A$201,$A11,$BH$2:$BH$201,1,$G$2:$G$201,G11,$AT$2:$AT$201,"&lt;"&amp;AT11)=0,1,0),0)</f>
        <v/>
      </c>
      <c r="BJ11" s="17">
        <f>IF(AND(BI11=1,G11&lt;=Config!$B$5),K11,"")</f>
        <v/>
      </c>
      <c r="BK11" s="17">
        <f>IF(AND(AU11=1,OR(TRIM(U11)&lt;&gt;"",ISNUMBER(V11))),1,0)</f>
        <v/>
      </c>
      <c r="BL11" s="17">
        <f>IF(BK11=1,IF(COUNTIFS($A$2:$A$201,$A11,$BK$2:$BK$201,1,$G$2:$G$201,"&lt;"&amp;G11)+COUNTIFS($A$2:$A$201,$A11,$BK$2:$BK$201,1,$G$2:$G$201,G11,$AT$2:$AT$201,"&lt;"&amp;AT11)=0,1,0),0)</f>
        <v/>
      </c>
      <c r="BM11" s="17">
        <f>IF(BL11=1,$A11,"")</f>
        <v/>
      </c>
      <c r="BN11" s="17">
        <f>IF(AND(AU11=1,T11="Y",TRIM(U11)=""),1,0)</f>
        <v/>
      </c>
      <c r="BO11" s="17">
        <f>IF(AU11=1,AJ11&amp;"","")</f>
        <v/>
      </c>
      <c r="BP11" s="17">
        <f>IF(AU11=1,AK11&amp;"","")</f>
        <v/>
      </c>
      <c r="BQ11" s="17">
        <f>IF(AU11=1,AL11&amp;"","")</f>
        <v/>
      </c>
      <c r="BR11" s="17">
        <f>IF(AND(AU11=1,ISNUMBER(AP11),G11&lt;=Config!$B$5),AP11,"")</f>
        <v/>
      </c>
      <c r="BS11" s="17">
        <f>IF(AU11=1,IF(COUNTIFS($A$2:$A$201,$A11,$AN$2:$AN$201,"Y",$AU$2:$AU$201,1)&gt;0,"Y","N"),"")</f>
        <v/>
      </c>
      <c r="BT11" s="17">
        <f>IF(AND(AU11=1,AN11="maybe"),1,0)</f>
        <v/>
      </c>
      <c r="BU11" s="17">
        <f>IF(BT11=1,IF(COUNTIFS($A$2:$A$201,$A11,$BT$2:$BT$201,1,$G$2:$G$201,"&lt;"&amp;G11)+COUNTIFS($A$2:$A$201,$A11,$BT$2:$BT$201,1,$G$2:$G$201,G11,$AT$2:$AT$201,"&lt;"&amp;AT11)=0,1,0),0)</f>
        <v/>
      </c>
      <c r="BV11" s="17">
        <f>IF(AND(AU11=1,AN11="Y"),IF(COUNTIFS($A$2:$A$201,$A11,$AN$2:$AN$201,"Y",$AU$2:$AU$201,1,$G$2:$G$201,"&lt;"&amp;G11)+COUNTIFS($A$2:$A$201,$A11,$AN$2:$AN$201,"Y",$AU$2:$AU$201,1,$G$2:$G$201,G11,$AT$2:$AT$201,"&lt;"&amp;AT11)=0,1,0),0)</f>
        <v/>
      </c>
      <c r="BW11" s="17">
        <f>IF(AND(BA11=1,N(V11)&gt;=Config!$B$15),1,0)</f>
        <v/>
      </c>
      <c r="BX11" s="17">
        <f>IF(AU11=1,IFERROR(MATCH($A11,INDEX(Clay_Offices!$A$2:$FZ$601,0,Sync!$C$5),0),""),"")</f>
        <v/>
      </c>
      <c r="BY11" s="17">
        <f>IF(BX11="","",IFERROR(INDEX(Clay_Offices!$A$2:$FZ$601,BX11,Sync!$C$7)&amp;"",""))</f>
        <v/>
      </c>
      <c r="BZ11" s="17">
        <f>IF(BY11="","",IFERROR(INDEX(Lists!$J$2:$J$15,MATCH(BY11,Lists!$I$2:$I$15,0)),""))</f>
        <v/>
      </c>
      <c r="CA11" s="17">
        <f>IF(BX11="","",IFERROR(INDEX(Clay_Offices!$A$2:$FZ$601,BX11,Sync!$C$17)&amp;"",""))</f>
        <v/>
      </c>
      <c r="CB11" s="23">
        <f>IF(BX11="","",IFERROR(N(INDEX(Clay_Offices!$A$2:$FZ$601,BX11,Sync!$C$16)),0))</f>
        <v/>
      </c>
    </row>
    <row r="12">
      <c r="G12" s="22" t="n"/>
      <c r="AS12" s="17">
        <f>IF(TRIM($A12)="","",IF(AND(LEFT($A12,6)="SAMPLE",Config!$B$19&lt;&gt;"Y"),"",IF(NOT(ISNUMBER(G12)),"call_date is blank or not a date",IF(Sync!$C$5="","Clay paste is empty or has no row_id column: paste the Clay export on Clay_Offices",IF(BX12="","row_id not found in the Clay paste: add the Clay row or fix the row_id",IF(AND(ISNUMBER(BZ12),BZ12&gt;=1,BZ12&lt;=5),"Clay status is "&amp;BY12&amp;": set call_done or later",IF(AND(AW12=1,CA12&lt;&gt;BS12),"Clay yes_in_principle should be "&amp;BS12,IF(AND(AW12=1,CB12&lt;&gt;G12),"Clay call_date should be "&amp;TEXT(G12,"yyyy-mm-dd"),""))))))))</f>
        <v/>
      </c>
      <c r="AT12" s="17">
        <f>ROW()</f>
        <v/>
      </c>
      <c r="AU12" s="17">
        <f>IF(AND(TRIM($A12)&lt;&gt;"",ISNUMBER(G12)),IF(AND(LEFT($A12,6)="SAMPLE",Config!$B$19&lt;&gt;"Y"),0,1),0)</f>
        <v/>
      </c>
      <c r="AV12" s="17">
        <f>IF(AU12=1,IF(COUNTIFS($A$2:$A$201,$A12,$AU$2:$AU$201,1,$G$2:$G$201,"&lt;"&amp;G12)+COUNTIFS($A$2:$A$201,$A12,$AU$2:$AU$201,1,$G$2:$G$201,G12,$AT$2:$AT$201,"&lt;"&amp;AT12)=0,1,0),0)</f>
        <v/>
      </c>
      <c r="AW12" s="17">
        <f>IF(AU12=1,IF(COUNTIFS($A$2:$A$201,$A12,$AU$2:$AU$201,1,$G$2:$G$201,"&gt;"&amp;G12)+COUNTIFS($A$2:$A$201,$A12,$AU$2:$AU$201,1,$G$2:$G$201,G12,$AT$2:$AT$201,"&gt;"&amp;AT12)=0,1,0),0)</f>
        <v/>
      </c>
      <c r="AX12" s="17">
        <f>IF(AND(AU12=1,AN12="Y",Z12="Y",TRIM(AD12)&lt;&gt;""),1,0)</f>
        <v/>
      </c>
      <c r="AY12" s="17">
        <f>IF(AX12=1,IF(COUNTIFS($A$2:$A$201,$A12,$AX$2:$AX$201,1,$G$2:$G$201,"&lt;"&amp;G12)+COUNTIFS($A$2:$A$201,$A12,$AX$2:$AX$201,1,$G$2:$G$201,G12,$AT$2:$AT$201,"&lt;"&amp;AT12)=0,1,0),0)</f>
        <v/>
      </c>
      <c r="AZ12" s="17">
        <f>IF(AND(AU12=1,AN12="Y",AX12=0),1,0)</f>
        <v/>
      </c>
      <c r="BA12" s="17">
        <f>IF(AND(AU12=1,ISNUMBER(V12)),1,0)</f>
        <v/>
      </c>
      <c r="BB12" s="17">
        <f>IF(BA12=1,IF(COUNTIFS($A$2:$A$201,$A12,$BA$2:$BA$201,1,$G$2:$G$201,"&lt;"&amp;G12)+COUNTIFS($A$2:$A$201,$A12,$BA$2:$BA$201,1,$G$2:$G$201,G12,$AT$2:$AT$201,"&lt;"&amp;AT12)=0,1,0),0)</f>
        <v/>
      </c>
      <c r="BC12" s="17">
        <f>IF(AND(BB12=1,G12&lt;=Config!$B$6),V12,"")</f>
        <v/>
      </c>
      <c r="BD12" s="17">
        <f>IF(AND(BB12=1,G12&lt;=Config!$B$7),V12,"")</f>
        <v/>
      </c>
      <c r="BE12" s="17">
        <f>IF(AND(BB12=1,G12&lt;=Config!$B$8),V12,"")</f>
        <v/>
      </c>
      <c r="BF12" s="17">
        <f>IF(AND(BB12=1,G12&lt;=Config!$B$5),V12,"")</f>
        <v/>
      </c>
      <c r="BG12" s="17">
        <f>IF(BW12=1,IF(COUNTIFS($A$2:$A$201,$A12,$BW$2:$BW$201,1,$G$2:$G$201,"&lt;"&amp;G12)+COUNTIFS($A$2:$A$201,$A12,$BW$2:$BW$201,1,$G$2:$G$201,G12,$AT$2:$AT$201,"&lt;"&amp;AT12)=0,1,0),0)</f>
        <v/>
      </c>
      <c r="BH12" s="17">
        <f>IF(AND(AU12=1,ISNUMBER(K12)),1,0)</f>
        <v/>
      </c>
      <c r="BI12" s="17">
        <f>IF(BH12=1,IF(COUNTIFS($A$2:$A$201,$A12,$BH$2:$BH$201,1,$G$2:$G$201,"&lt;"&amp;G12)+COUNTIFS($A$2:$A$201,$A12,$BH$2:$BH$201,1,$G$2:$G$201,G12,$AT$2:$AT$201,"&lt;"&amp;AT12)=0,1,0),0)</f>
        <v/>
      </c>
      <c r="BJ12" s="17">
        <f>IF(AND(BI12=1,G12&lt;=Config!$B$5),K12,"")</f>
        <v/>
      </c>
      <c r="BK12" s="17">
        <f>IF(AND(AU12=1,OR(TRIM(U12)&lt;&gt;"",ISNUMBER(V12))),1,0)</f>
        <v/>
      </c>
      <c r="BL12" s="17">
        <f>IF(BK12=1,IF(COUNTIFS($A$2:$A$201,$A12,$BK$2:$BK$201,1,$G$2:$G$201,"&lt;"&amp;G12)+COUNTIFS($A$2:$A$201,$A12,$BK$2:$BK$201,1,$G$2:$G$201,G12,$AT$2:$AT$201,"&lt;"&amp;AT12)=0,1,0),0)</f>
        <v/>
      </c>
      <c r="BM12" s="17">
        <f>IF(BL12=1,$A12,"")</f>
        <v/>
      </c>
      <c r="BN12" s="17">
        <f>IF(AND(AU12=1,T12="Y",TRIM(U12)=""),1,0)</f>
        <v/>
      </c>
      <c r="BO12" s="17">
        <f>IF(AU12=1,AJ12&amp;"","")</f>
        <v/>
      </c>
      <c r="BP12" s="17">
        <f>IF(AU12=1,AK12&amp;"","")</f>
        <v/>
      </c>
      <c r="BQ12" s="17">
        <f>IF(AU12=1,AL12&amp;"","")</f>
        <v/>
      </c>
      <c r="BR12" s="17">
        <f>IF(AND(AU12=1,ISNUMBER(AP12),G12&lt;=Config!$B$5),AP12,"")</f>
        <v/>
      </c>
      <c r="BS12" s="17">
        <f>IF(AU12=1,IF(COUNTIFS($A$2:$A$201,$A12,$AN$2:$AN$201,"Y",$AU$2:$AU$201,1)&gt;0,"Y","N"),"")</f>
        <v/>
      </c>
      <c r="BT12" s="17">
        <f>IF(AND(AU12=1,AN12="maybe"),1,0)</f>
        <v/>
      </c>
      <c r="BU12" s="17">
        <f>IF(BT12=1,IF(COUNTIFS($A$2:$A$201,$A12,$BT$2:$BT$201,1,$G$2:$G$201,"&lt;"&amp;G12)+COUNTIFS($A$2:$A$201,$A12,$BT$2:$BT$201,1,$G$2:$G$201,G12,$AT$2:$AT$201,"&lt;"&amp;AT12)=0,1,0),0)</f>
        <v/>
      </c>
      <c r="BV12" s="17">
        <f>IF(AND(AU12=1,AN12="Y"),IF(COUNTIFS($A$2:$A$201,$A12,$AN$2:$AN$201,"Y",$AU$2:$AU$201,1,$G$2:$G$201,"&lt;"&amp;G12)+COUNTIFS($A$2:$A$201,$A12,$AN$2:$AN$201,"Y",$AU$2:$AU$201,1,$G$2:$G$201,G12,$AT$2:$AT$201,"&lt;"&amp;AT12)=0,1,0),0)</f>
        <v/>
      </c>
      <c r="BW12" s="17">
        <f>IF(AND(BA12=1,N(V12)&gt;=Config!$B$15),1,0)</f>
        <v/>
      </c>
      <c r="BX12" s="17">
        <f>IF(AU12=1,IFERROR(MATCH($A12,INDEX(Clay_Offices!$A$2:$FZ$601,0,Sync!$C$5),0),""),"")</f>
        <v/>
      </c>
      <c r="BY12" s="17">
        <f>IF(BX12="","",IFERROR(INDEX(Clay_Offices!$A$2:$FZ$601,BX12,Sync!$C$7)&amp;"",""))</f>
        <v/>
      </c>
      <c r="BZ12" s="17">
        <f>IF(BY12="","",IFERROR(INDEX(Lists!$J$2:$J$15,MATCH(BY12,Lists!$I$2:$I$15,0)),""))</f>
        <v/>
      </c>
      <c r="CA12" s="17">
        <f>IF(BX12="","",IFERROR(INDEX(Clay_Offices!$A$2:$FZ$601,BX12,Sync!$C$17)&amp;"",""))</f>
        <v/>
      </c>
      <c r="CB12" s="23">
        <f>IF(BX12="","",IFERROR(N(INDEX(Clay_Offices!$A$2:$FZ$601,BX12,Sync!$C$16)),0))</f>
        <v/>
      </c>
    </row>
    <row r="13">
      <c r="G13" s="22" t="n"/>
      <c r="AS13" s="17">
        <f>IF(TRIM($A13)="","",IF(AND(LEFT($A13,6)="SAMPLE",Config!$B$19&lt;&gt;"Y"),"",IF(NOT(ISNUMBER(G13)),"call_date is blank or not a date",IF(Sync!$C$5="","Clay paste is empty or has no row_id column: paste the Clay export on Clay_Offices",IF(BX13="","row_id not found in the Clay paste: add the Clay row or fix the row_id",IF(AND(ISNUMBER(BZ13),BZ13&gt;=1,BZ13&lt;=5),"Clay status is "&amp;BY13&amp;": set call_done or later",IF(AND(AW13=1,CA13&lt;&gt;BS13),"Clay yes_in_principle should be "&amp;BS13,IF(AND(AW13=1,CB13&lt;&gt;G13),"Clay call_date should be "&amp;TEXT(G13,"yyyy-mm-dd"),""))))))))</f>
        <v/>
      </c>
      <c r="AT13" s="17">
        <f>ROW()</f>
        <v/>
      </c>
      <c r="AU13" s="17">
        <f>IF(AND(TRIM($A13)&lt;&gt;"",ISNUMBER(G13)),IF(AND(LEFT($A13,6)="SAMPLE",Config!$B$19&lt;&gt;"Y"),0,1),0)</f>
        <v/>
      </c>
      <c r="AV13" s="17">
        <f>IF(AU13=1,IF(COUNTIFS($A$2:$A$201,$A13,$AU$2:$AU$201,1,$G$2:$G$201,"&lt;"&amp;G13)+COUNTIFS($A$2:$A$201,$A13,$AU$2:$AU$201,1,$G$2:$G$201,G13,$AT$2:$AT$201,"&lt;"&amp;AT13)=0,1,0),0)</f>
        <v/>
      </c>
      <c r="AW13" s="17">
        <f>IF(AU13=1,IF(COUNTIFS($A$2:$A$201,$A13,$AU$2:$AU$201,1,$G$2:$G$201,"&gt;"&amp;G13)+COUNTIFS($A$2:$A$201,$A13,$AU$2:$AU$201,1,$G$2:$G$201,G13,$AT$2:$AT$201,"&gt;"&amp;AT13)=0,1,0),0)</f>
        <v/>
      </c>
      <c r="AX13" s="17">
        <f>IF(AND(AU13=1,AN13="Y",Z13="Y",TRIM(AD13)&lt;&gt;""),1,0)</f>
        <v/>
      </c>
      <c r="AY13" s="17">
        <f>IF(AX13=1,IF(COUNTIFS($A$2:$A$201,$A13,$AX$2:$AX$201,1,$G$2:$G$201,"&lt;"&amp;G13)+COUNTIFS($A$2:$A$201,$A13,$AX$2:$AX$201,1,$G$2:$G$201,G13,$AT$2:$AT$201,"&lt;"&amp;AT13)=0,1,0),0)</f>
        <v/>
      </c>
      <c r="AZ13" s="17">
        <f>IF(AND(AU13=1,AN13="Y",AX13=0),1,0)</f>
        <v/>
      </c>
      <c r="BA13" s="17">
        <f>IF(AND(AU13=1,ISNUMBER(V13)),1,0)</f>
        <v/>
      </c>
      <c r="BB13" s="17">
        <f>IF(BA13=1,IF(COUNTIFS($A$2:$A$201,$A13,$BA$2:$BA$201,1,$G$2:$G$201,"&lt;"&amp;G13)+COUNTIFS($A$2:$A$201,$A13,$BA$2:$BA$201,1,$G$2:$G$201,G13,$AT$2:$AT$201,"&lt;"&amp;AT13)=0,1,0),0)</f>
        <v/>
      </c>
      <c r="BC13" s="17">
        <f>IF(AND(BB13=1,G13&lt;=Config!$B$6),V13,"")</f>
        <v/>
      </c>
      <c r="BD13" s="17">
        <f>IF(AND(BB13=1,G13&lt;=Config!$B$7),V13,"")</f>
        <v/>
      </c>
      <c r="BE13" s="17">
        <f>IF(AND(BB13=1,G13&lt;=Config!$B$8),V13,"")</f>
        <v/>
      </c>
      <c r="BF13" s="17">
        <f>IF(AND(BB13=1,G13&lt;=Config!$B$5),V13,"")</f>
        <v/>
      </c>
      <c r="BG13" s="17">
        <f>IF(BW13=1,IF(COUNTIFS($A$2:$A$201,$A13,$BW$2:$BW$201,1,$G$2:$G$201,"&lt;"&amp;G13)+COUNTIFS($A$2:$A$201,$A13,$BW$2:$BW$201,1,$G$2:$G$201,G13,$AT$2:$AT$201,"&lt;"&amp;AT13)=0,1,0),0)</f>
        <v/>
      </c>
      <c r="BH13" s="17">
        <f>IF(AND(AU13=1,ISNUMBER(K13)),1,0)</f>
        <v/>
      </c>
      <c r="BI13" s="17">
        <f>IF(BH13=1,IF(COUNTIFS($A$2:$A$201,$A13,$BH$2:$BH$201,1,$G$2:$G$201,"&lt;"&amp;G13)+COUNTIFS($A$2:$A$201,$A13,$BH$2:$BH$201,1,$G$2:$G$201,G13,$AT$2:$AT$201,"&lt;"&amp;AT13)=0,1,0),0)</f>
        <v/>
      </c>
      <c r="BJ13" s="17">
        <f>IF(AND(BI13=1,G13&lt;=Config!$B$5),K13,"")</f>
        <v/>
      </c>
      <c r="BK13" s="17">
        <f>IF(AND(AU13=1,OR(TRIM(U13)&lt;&gt;"",ISNUMBER(V13))),1,0)</f>
        <v/>
      </c>
      <c r="BL13" s="17">
        <f>IF(BK13=1,IF(COUNTIFS($A$2:$A$201,$A13,$BK$2:$BK$201,1,$G$2:$G$201,"&lt;"&amp;G13)+COUNTIFS($A$2:$A$201,$A13,$BK$2:$BK$201,1,$G$2:$G$201,G13,$AT$2:$AT$201,"&lt;"&amp;AT13)=0,1,0),0)</f>
        <v/>
      </c>
      <c r="BM13" s="17">
        <f>IF(BL13=1,$A13,"")</f>
        <v/>
      </c>
      <c r="BN13" s="17">
        <f>IF(AND(AU13=1,T13="Y",TRIM(U13)=""),1,0)</f>
        <v/>
      </c>
      <c r="BO13" s="17">
        <f>IF(AU13=1,AJ13&amp;"","")</f>
        <v/>
      </c>
      <c r="BP13" s="17">
        <f>IF(AU13=1,AK13&amp;"","")</f>
        <v/>
      </c>
      <c r="BQ13" s="17">
        <f>IF(AU13=1,AL13&amp;"","")</f>
        <v/>
      </c>
      <c r="BR13" s="17">
        <f>IF(AND(AU13=1,ISNUMBER(AP13),G13&lt;=Config!$B$5),AP13,"")</f>
        <v/>
      </c>
      <c r="BS13" s="17">
        <f>IF(AU13=1,IF(COUNTIFS($A$2:$A$201,$A13,$AN$2:$AN$201,"Y",$AU$2:$AU$201,1)&gt;0,"Y","N"),"")</f>
        <v/>
      </c>
      <c r="BT13" s="17">
        <f>IF(AND(AU13=1,AN13="maybe"),1,0)</f>
        <v/>
      </c>
      <c r="BU13" s="17">
        <f>IF(BT13=1,IF(COUNTIFS($A$2:$A$201,$A13,$BT$2:$BT$201,1,$G$2:$G$201,"&lt;"&amp;G13)+COUNTIFS($A$2:$A$201,$A13,$BT$2:$BT$201,1,$G$2:$G$201,G13,$AT$2:$AT$201,"&lt;"&amp;AT13)=0,1,0),0)</f>
        <v/>
      </c>
      <c r="BV13" s="17">
        <f>IF(AND(AU13=1,AN13="Y"),IF(COUNTIFS($A$2:$A$201,$A13,$AN$2:$AN$201,"Y",$AU$2:$AU$201,1,$G$2:$G$201,"&lt;"&amp;G13)+COUNTIFS($A$2:$A$201,$A13,$AN$2:$AN$201,"Y",$AU$2:$AU$201,1,$G$2:$G$201,G13,$AT$2:$AT$201,"&lt;"&amp;AT13)=0,1,0),0)</f>
        <v/>
      </c>
      <c r="BW13" s="17">
        <f>IF(AND(BA13=1,N(V13)&gt;=Config!$B$15),1,0)</f>
        <v/>
      </c>
      <c r="BX13" s="17">
        <f>IF(AU13=1,IFERROR(MATCH($A13,INDEX(Clay_Offices!$A$2:$FZ$601,0,Sync!$C$5),0),""),"")</f>
        <v/>
      </c>
      <c r="BY13" s="17">
        <f>IF(BX13="","",IFERROR(INDEX(Clay_Offices!$A$2:$FZ$601,BX13,Sync!$C$7)&amp;"",""))</f>
        <v/>
      </c>
      <c r="BZ13" s="17">
        <f>IF(BY13="","",IFERROR(INDEX(Lists!$J$2:$J$15,MATCH(BY13,Lists!$I$2:$I$15,0)),""))</f>
        <v/>
      </c>
      <c r="CA13" s="17">
        <f>IF(BX13="","",IFERROR(INDEX(Clay_Offices!$A$2:$FZ$601,BX13,Sync!$C$17)&amp;"",""))</f>
        <v/>
      </c>
      <c r="CB13" s="23">
        <f>IF(BX13="","",IFERROR(N(INDEX(Clay_Offices!$A$2:$FZ$601,BX13,Sync!$C$16)),0))</f>
        <v/>
      </c>
    </row>
    <row r="14">
      <c r="G14" s="22" t="n"/>
      <c r="AS14" s="17">
        <f>IF(TRIM($A14)="","",IF(AND(LEFT($A14,6)="SAMPLE",Config!$B$19&lt;&gt;"Y"),"",IF(NOT(ISNUMBER(G14)),"call_date is blank or not a date",IF(Sync!$C$5="","Clay paste is empty or has no row_id column: paste the Clay export on Clay_Offices",IF(BX14="","row_id not found in the Clay paste: add the Clay row or fix the row_id",IF(AND(ISNUMBER(BZ14),BZ14&gt;=1,BZ14&lt;=5),"Clay status is "&amp;BY14&amp;": set call_done or later",IF(AND(AW14=1,CA14&lt;&gt;BS14),"Clay yes_in_principle should be "&amp;BS14,IF(AND(AW14=1,CB14&lt;&gt;G14),"Clay call_date should be "&amp;TEXT(G14,"yyyy-mm-dd"),""))))))))</f>
        <v/>
      </c>
      <c r="AT14" s="17">
        <f>ROW()</f>
        <v/>
      </c>
      <c r="AU14" s="17">
        <f>IF(AND(TRIM($A14)&lt;&gt;"",ISNUMBER(G14)),IF(AND(LEFT($A14,6)="SAMPLE",Config!$B$19&lt;&gt;"Y"),0,1),0)</f>
        <v/>
      </c>
      <c r="AV14" s="17">
        <f>IF(AU14=1,IF(COUNTIFS($A$2:$A$201,$A14,$AU$2:$AU$201,1,$G$2:$G$201,"&lt;"&amp;G14)+COUNTIFS($A$2:$A$201,$A14,$AU$2:$AU$201,1,$G$2:$G$201,G14,$AT$2:$AT$201,"&lt;"&amp;AT14)=0,1,0),0)</f>
        <v/>
      </c>
      <c r="AW14" s="17">
        <f>IF(AU14=1,IF(COUNTIFS($A$2:$A$201,$A14,$AU$2:$AU$201,1,$G$2:$G$201,"&gt;"&amp;G14)+COUNTIFS($A$2:$A$201,$A14,$AU$2:$AU$201,1,$G$2:$G$201,G14,$AT$2:$AT$201,"&gt;"&amp;AT14)=0,1,0),0)</f>
        <v/>
      </c>
      <c r="AX14" s="17">
        <f>IF(AND(AU14=1,AN14="Y",Z14="Y",TRIM(AD14)&lt;&gt;""),1,0)</f>
        <v/>
      </c>
      <c r="AY14" s="17">
        <f>IF(AX14=1,IF(COUNTIFS($A$2:$A$201,$A14,$AX$2:$AX$201,1,$G$2:$G$201,"&lt;"&amp;G14)+COUNTIFS($A$2:$A$201,$A14,$AX$2:$AX$201,1,$G$2:$G$201,G14,$AT$2:$AT$201,"&lt;"&amp;AT14)=0,1,0),0)</f>
        <v/>
      </c>
      <c r="AZ14" s="17">
        <f>IF(AND(AU14=1,AN14="Y",AX14=0),1,0)</f>
        <v/>
      </c>
      <c r="BA14" s="17">
        <f>IF(AND(AU14=1,ISNUMBER(V14)),1,0)</f>
        <v/>
      </c>
      <c r="BB14" s="17">
        <f>IF(BA14=1,IF(COUNTIFS($A$2:$A$201,$A14,$BA$2:$BA$201,1,$G$2:$G$201,"&lt;"&amp;G14)+COUNTIFS($A$2:$A$201,$A14,$BA$2:$BA$201,1,$G$2:$G$201,G14,$AT$2:$AT$201,"&lt;"&amp;AT14)=0,1,0),0)</f>
        <v/>
      </c>
      <c r="BC14" s="17">
        <f>IF(AND(BB14=1,G14&lt;=Config!$B$6),V14,"")</f>
        <v/>
      </c>
      <c r="BD14" s="17">
        <f>IF(AND(BB14=1,G14&lt;=Config!$B$7),V14,"")</f>
        <v/>
      </c>
      <c r="BE14" s="17">
        <f>IF(AND(BB14=1,G14&lt;=Config!$B$8),V14,"")</f>
        <v/>
      </c>
      <c r="BF14" s="17">
        <f>IF(AND(BB14=1,G14&lt;=Config!$B$5),V14,"")</f>
        <v/>
      </c>
      <c r="BG14" s="17">
        <f>IF(BW14=1,IF(COUNTIFS($A$2:$A$201,$A14,$BW$2:$BW$201,1,$G$2:$G$201,"&lt;"&amp;G14)+COUNTIFS($A$2:$A$201,$A14,$BW$2:$BW$201,1,$G$2:$G$201,G14,$AT$2:$AT$201,"&lt;"&amp;AT14)=0,1,0),0)</f>
        <v/>
      </c>
      <c r="BH14" s="17">
        <f>IF(AND(AU14=1,ISNUMBER(K14)),1,0)</f>
        <v/>
      </c>
      <c r="BI14" s="17">
        <f>IF(BH14=1,IF(COUNTIFS($A$2:$A$201,$A14,$BH$2:$BH$201,1,$G$2:$G$201,"&lt;"&amp;G14)+COUNTIFS($A$2:$A$201,$A14,$BH$2:$BH$201,1,$G$2:$G$201,G14,$AT$2:$AT$201,"&lt;"&amp;AT14)=0,1,0),0)</f>
        <v/>
      </c>
      <c r="BJ14" s="17">
        <f>IF(AND(BI14=1,G14&lt;=Config!$B$5),K14,"")</f>
        <v/>
      </c>
      <c r="BK14" s="17">
        <f>IF(AND(AU14=1,OR(TRIM(U14)&lt;&gt;"",ISNUMBER(V14))),1,0)</f>
        <v/>
      </c>
      <c r="BL14" s="17">
        <f>IF(BK14=1,IF(COUNTIFS($A$2:$A$201,$A14,$BK$2:$BK$201,1,$G$2:$G$201,"&lt;"&amp;G14)+COUNTIFS($A$2:$A$201,$A14,$BK$2:$BK$201,1,$G$2:$G$201,G14,$AT$2:$AT$201,"&lt;"&amp;AT14)=0,1,0),0)</f>
        <v/>
      </c>
      <c r="BM14" s="17">
        <f>IF(BL14=1,$A14,"")</f>
        <v/>
      </c>
      <c r="BN14" s="17">
        <f>IF(AND(AU14=1,T14="Y",TRIM(U14)=""),1,0)</f>
        <v/>
      </c>
      <c r="BO14" s="17">
        <f>IF(AU14=1,AJ14&amp;"","")</f>
        <v/>
      </c>
      <c r="BP14" s="17">
        <f>IF(AU14=1,AK14&amp;"","")</f>
        <v/>
      </c>
      <c r="BQ14" s="17">
        <f>IF(AU14=1,AL14&amp;"","")</f>
        <v/>
      </c>
      <c r="BR14" s="17">
        <f>IF(AND(AU14=1,ISNUMBER(AP14),G14&lt;=Config!$B$5),AP14,"")</f>
        <v/>
      </c>
      <c r="BS14" s="17">
        <f>IF(AU14=1,IF(COUNTIFS($A$2:$A$201,$A14,$AN$2:$AN$201,"Y",$AU$2:$AU$201,1)&gt;0,"Y","N"),"")</f>
        <v/>
      </c>
      <c r="BT14" s="17">
        <f>IF(AND(AU14=1,AN14="maybe"),1,0)</f>
        <v/>
      </c>
      <c r="BU14" s="17">
        <f>IF(BT14=1,IF(COUNTIFS($A$2:$A$201,$A14,$BT$2:$BT$201,1,$G$2:$G$201,"&lt;"&amp;G14)+COUNTIFS($A$2:$A$201,$A14,$BT$2:$BT$201,1,$G$2:$G$201,G14,$AT$2:$AT$201,"&lt;"&amp;AT14)=0,1,0),0)</f>
        <v/>
      </c>
      <c r="BV14" s="17">
        <f>IF(AND(AU14=1,AN14="Y"),IF(COUNTIFS($A$2:$A$201,$A14,$AN$2:$AN$201,"Y",$AU$2:$AU$201,1,$G$2:$G$201,"&lt;"&amp;G14)+COUNTIFS($A$2:$A$201,$A14,$AN$2:$AN$201,"Y",$AU$2:$AU$201,1,$G$2:$G$201,G14,$AT$2:$AT$201,"&lt;"&amp;AT14)=0,1,0),0)</f>
        <v/>
      </c>
      <c r="BW14" s="17">
        <f>IF(AND(BA14=1,N(V14)&gt;=Config!$B$15),1,0)</f>
        <v/>
      </c>
      <c r="BX14" s="17">
        <f>IF(AU14=1,IFERROR(MATCH($A14,INDEX(Clay_Offices!$A$2:$FZ$601,0,Sync!$C$5),0),""),"")</f>
        <v/>
      </c>
      <c r="BY14" s="17">
        <f>IF(BX14="","",IFERROR(INDEX(Clay_Offices!$A$2:$FZ$601,BX14,Sync!$C$7)&amp;"",""))</f>
        <v/>
      </c>
      <c r="BZ14" s="17">
        <f>IF(BY14="","",IFERROR(INDEX(Lists!$J$2:$J$15,MATCH(BY14,Lists!$I$2:$I$15,0)),""))</f>
        <v/>
      </c>
      <c r="CA14" s="17">
        <f>IF(BX14="","",IFERROR(INDEX(Clay_Offices!$A$2:$FZ$601,BX14,Sync!$C$17)&amp;"",""))</f>
        <v/>
      </c>
      <c r="CB14" s="23">
        <f>IF(BX14="","",IFERROR(N(INDEX(Clay_Offices!$A$2:$FZ$601,BX14,Sync!$C$16)),0))</f>
        <v/>
      </c>
    </row>
    <row r="15">
      <c r="G15" s="22" t="n"/>
      <c r="AS15" s="17">
        <f>IF(TRIM($A15)="","",IF(AND(LEFT($A15,6)="SAMPLE",Config!$B$19&lt;&gt;"Y"),"",IF(NOT(ISNUMBER(G15)),"call_date is blank or not a date",IF(Sync!$C$5="","Clay paste is empty or has no row_id column: paste the Clay export on Clay_Offices",IF(BX15="","row_id not found in the Clay paste: add the Clay row or fix the row_id",IF(AND(ISNUMBER(BZ15),BZ15&gt;=1,BZ15&lt;=5),"Clay status is "&amp;BY15&amp;": set call_done or later",IF(AND(AW15=1,CA15&lt;&gt;BS15),"Clay yes_in_principle should be "&amp;BS15,IF(AND(AW15=1,CB15&lt;&gt;G15),"Clay call_date should be "&amp;TEXT(G15,"yyyy-mm-dd"),""))))))))</f>
        <v/>
      </c>
      <c r="AT15" s="17">
        <f>ROW()</f>
        <v/>
      </c>
      <c r="AU15" s="17">
        <f>IF(AND(TRIM($A15)&lt;&gt;"",ISNUMBER(G15)),IF(AND(LEFT($A15,6)="SAMPLE",Config!$B$19&lt;&gt;"Y"),0,1),0)</f>
        <v/>
      </c>
      <c r="AV15" s="17">
        <f>IF(AU15=1,IF(COUNTIFS($A$2:$A$201,$A15,$AU$2:$AU$201,1,$G$2:$G$201,"&lt;"&amp;G15)+COUNTIFS($A$2:$A$201,$A15,$AU$2:$AU$201,1,$G$2:$G$201,G15,$AT$2:$AT$201,"&lt;"&amp;AT15)=0,1,0),0)</f>
        <v/>
      </c>
      <c r="AW15" s="17">
        <f>IF(AU15=1,IF(COUNTIFS($A$2:$A$201,$A15,$AU$2:$AU$201,1,$G$2:$G$201,"&gt;"&amp;G15)+COUNTIFS($A$2:$A$201,$A15,$AU$2:$AU$201,1,$G$2:$G$201,G15,$AT$2:$AT$201,"&gt;"&amp;AT15)=0,1,0),0)</f>
        <v/>
      </c>
      <c r="AX15" s="17">
        <f>IF(AND(AU15=1,AN15="Y",Z15="Y",TRIM(AD15)&lt;&gt;""),1,0)</f>
        <v/>
      </c>
      <c r="AY15" s="17">
        <f>IF(AX15=1,IF(COUNTIFS($A$2:$A$201,$A15,$AX$2:$AX$201,1,$G$2:$G$201,"&lt;"&amp;G15)+COUNTIFS($A$2:$A$201,$A15,$AX$2:$AX$201,1,$G$2:$G$201,G15,$AT$2:$AT$201,"&lt;"&amp;AT15)=0,1,0),0)</f>
        <v/>
      </c>
      <c r="AZ15" s="17">
        <f>IF(AND(AU15=1,AN15="Y",AX15=0),1,0)</f>
        <v/>
      </c>
      <c r="BA15" s="17">
        <f>IF(AND(AU15=1,ISNUMBER(V15)),1,0)</f>
        <v/>
      </c>
      <c r="BB15" s="17">
        <f>IF(BA15=1,IF(COUNTIFS($A$2:$A$201,$A15,$BA$2:$BA$201,1,$G$2:$G$201,"&lt;"&amp;G15)+COUNTIFS($A$2:$A$201,$A15,$BA$2:$BA$201,1,$G$2:$G$201,G15,$AT$2:$AT$201,"&lt;"&amp;AT15)=0,1,0),0)</f>
        <v/>
      </c>
      <c r="BC15" s="17">
        <f>IF(AND(BB15=1,G15&lt;=Config!$B$6),V15,"")</f>
        <v/>
      </c>
      <c r="BD15" s="17">
        <f>IF(AND(BB15=1,G15&lt;=Config!$B$7),V15,"")</f>
        <v/>
      </c>
      <c r="BE15" s="17">
        <f>IF(AND(BB15=1,G15&lt;=Config!$B$8),V15,"")</f>
        <v/>
      </c>
      <c r="BF15" s="17">
        <f>IF(AND(BB15=1,G15&lt;=Config!$B$5),V15,"")</f>
        <v/>
      </c>
      <c r="BG15" s="17">
        <f>IF(BW15=1,IF(COUNTIFS($A$2:$A$201,$A15,$BW$2:$BW$201,1,$G$2:$G$201,"&lt;"&amp;G15)+COUNTIFS($A$2:$A$201,$A15,$BW$2:$BW$201,1,$G$2:$G$201,G15,$AT$2:$AT$201,"&lt;"&amp;AT15)=0,1,0),0)</f>
        <v/>
      </c>
      <c r="BH15" s="17">
        <f>IF(AND(AU15=1,ISNUMBER(K15)),1,0)</f>
        <v/>
      </c>
      <c r="BI15" s="17">
        <f>IF(BH15=1,IF(COUNTIFS($A$2:$A$201,$A15,$BH$2:$BH$201,1,$G$2:$G$201,"&lt;"&amp;G15)+COUNTIFS($A$2:$A$201,$A15,$BH$2:$BH$201,1,$G$2:$G$201,G15,$AT$2:$AT$201,"&lt;"&amp;AT15)=0,1,0),0)</f>
        <v/>
      </c>
      <c r="BJ15" s="17">
        <f>IF(AND(BI15=1,G15&lt;=Config!$B$5),K15,"")</f>
        <v/>
      </c>
      <c r="BK15" s="17">
        <f>IF(AND(AU15=1,OR(TRIM(U15)&lt;&gt;"",ISNUMBER(V15))),1,0)</f>
        <v/>
      </c>
      <c r="BL15" s="17">
        <f>IF(BK15=1,IF(COUNTIFS($A$2:$A$201,$A15,$BK$2:$BK$201,1,$G$2:$G$201,"&lt;"&amp;G15)+COUNTIFS($A$2:$A$201,$A15,$BK$2:$BK$201,1,$G$2:$G$201,G15,$AT$2:$AT$201,"&lt;"&amp;AT15)=0,1,0),0)</f>
        <v/>
      </c>
      <c r="BM15" s="17">
        <f>IF(BL15=1,$A15,"")</f>
        <v/>
      </c>
      <c r="BN15" s="17">
        <f>IF(AND(AU15=1,T15="Y",TRIM(U15)=""),1,0)</f>
        <v/>
      </c>
      <c r="BO15" s="17">
        <f>IF(AU15=1,AJ15&amp;"","")</f>
        <v/>
      </c>
      <c r="BP15" s="17">
        <f>IF(AU15=1,AK15&amp;"","")</f>
        <v/>
      </c>
      <c r="BQ15" s="17">
        <f>IF(AU15=1,AL15&amp;"","")</f>
        <v/>
      </c>
      <c r="BR15" s="17">
        <f>IF(AND(AU15=1,ISNUMBER(AP15),G15&lt;=Config!$B$5),AP15,"")</f>
        <v/>
      </c>
      <c r="BS15" s="17">
        <f>IF(AU15=1,IF(COUNTIFS($A$2:$A$201,$A15,$AN$2:$AN$201,"Y",$AU$2:$AU$201,1)&gt;0,"Y","N"),"")</f>
        <v/>
      </c>
      <c r="BT15" s="17">
        <f>IF(AND(AU15=1,AN15="maybe"),1,0)</f>
        <v/>
      </c>
      <c r="BU15" s="17">
        <f>IF(BT15=1,IF(COUNTIFS($A$2:$A$201,$A15,$BT$2:$BT$201,1,$G$2:$G$201,"&lt;"&amp;G15)+COUNTIFS($A$2:$A$201,$A15,$BT$2:$BT$201,1,$G$2:$G$201,G15,$AT$2:$AT$201,"&lt;"&amp;AT15)=0,1,0),0)</f>
        <v/>
      </c>
      <c r="BV15" s="17">
        <f>IF(AND(AU15=1,AN15="Y"),IF(COUNTIFS($A$2:$A$201,$A15,$AN$2:$AN$201,"Y",$AU$2:$AU$201,1,$G$2:$G$201,"&lt;"&amp;G15)+COUNTIFS($A$2:$A$201,$A15,$AN$2:$AN$201,"Y",$AU$2:$AU$201,1,$G$2:$G$201,G15,$AT$2:$AT$201,"&lt;"&amp;AT15)=0,1,0),0)</f>
        <v/>
      </c>
      <c r="BW15" s="17">
        <f>IF(AND(BA15=1,N(V15)&gt;=Config!$B$15),1,0)</f>
        <v/>
      </c>
      <c r="BX15" s="17">
        <f>IF(AU15=1,IFERROR(MATCH($A15,INDEX(Clay_Offices!$A$2:$FZ$601,0,Sync!$C$5),0),""),"")</f>
        <v/>
      </c>
      <c r="BY15" s="17">
        <f>IF(BX15="","",IFERROR(INDEX(Clay_Offices!$A$2:$FZ$601,BX15,Sync!$C$7)&amp;"",""))</f>
        <v/>
      </c>
      <c r="BZ15" s="17">
        <f>IF(BY15="","",IFERROR(INDEX(Lists!$J$2:$J$15,MATCH(BY15,Lists!$I$2:$I$15,0)),""))</f>
        <v/>
      </c>
      <c r="CA15" s="17">
        <f>IF(BX15="","",IFERROR(INDEX(Clay_Offices!$A$2:$FZ$601,BX15,Sync!$C$17)&amp;"",""))</f>
        <v/>
      </c>
      <c r="CB15" s="23">
        <f>IF(BX15="","",IFERROR(N(INDEX(Clay_Offices!$A$2:$FZ$601,BX15,Sync!$C$16)),0))</f>
        <v/>
      </c>
    </row>
    <row r="16">
      <c r="G16" s="22" t="n"/>
      <c r="AS16" s="17">
        <f>IF(TRIM($A16)="","",IF(AND(LEFT($A16,6)="SAMPLE",Config!$B$19&lt;&gt;"Y"),"",IF(NOT(ISNUMBER(G16)),"call_date is blank or not a date",IF(Sync!$C$5="","Clay paste is empty or has no row_id column: paste the Clay export on Clay_Offices",IF(BX16="","row_id not found in the Clay paste: add the Clay row or fix the row_id",IF(AND(ISNUMBER(BZ16),BZ16&gt;=1,BZ16&lt;=5),"Clay status is "&amp;BY16&amp;": set call_done or later",IF(AND(AW16=1,CA16&lt;&gt;BS16),"Clay yes_in_principle should be "&amp;BS16,IF(AND(AW16=1,CB16&lt;&gt;G16),"Clay call_date should be "&amp;TEXT(G16,"yyyy-mm-dd"),""))))))))</f>
        <v/>
      </c>
      <c r="AT16" s="17">
        <f>ROW()</f>
        <v/>
      </c>
      <c r="AU16" s="17">
        <f>IF(AND(TRIM($A16)&lt;&gt;"",ISNUMBER(G16)),IF(AND(LEFT($A16,6)="SAMPLE",Config!$B$19&lt;&gt;"Y"),0,1),0)</f>
        <v/>
      </c>
      <c r="AV16" s="17">
        <f>IF(AU16=1,IF(COUNTIFS($A$2:$A$201,$A16,$AU$2:$AU$201,1,$G$2:$G$201,"&lt;"&amp;G16)+COUNTIFS($A$2:$A$201,$A16,$AU$2:$AU$201,1,$G$2:$G$201,G16,$AT$2:$AT$201,"&lt;"&amp;AT16)=0,1,0),0)</f>
        <v/>
      </c>
      <c r="AW16" s="17">
        <f>IF(AU16=1,IF(COUNTIFS($A$2:$A$201,$A16,$AU$2:$AU$201,1,$G$2:$G$201,"&gt;"&amp;G16)+COUNTIFS($A$2:$A$201,$A16,$AU$2:$AU$201,1,$G$2:$G$201,G16,$AT$2:$AT$201,"&gt;"&amp;AT16)=0,1,0),0)</f>
        <v/>
      </c>
      <c r="AX16" s="17">
        <f>IF(AND(AU16=1,AN16="Y",Z16="Y",TRIM(AD16)&lt;&gt;""),1,0)</f>
        <v/>
      </c>
      <c r="AY16" s="17">
        <f>IF(AX16=1,IF(COUNTIFS($A$2:$A$201,$A16,$AX$2:$AX$201,1,$G$2:$G$201,"&lt;"&amp;G16)+COUNTIFS($A$2:$A$201,$A16,$AX$2:$AX$201,1,$G$2:$G$201,G16,$AT$2:$AT$201,"&lt;"&amp;AT16)=0,1,0),0)</f>
        <v/>
      </c>
      <c r="AZ16" s="17">
        <f>IF(AND(AU16=1,AN16="Y",AX16=0),1,0)</f>
        <v/>
      </c>
      <c r="BA16" s="17">
        <f>IF(AND(AU16=1,ISNUMBER(V16)),1,0)</f>
        <v/>
      </c>
      <c r="BB16" s="17">
        <f>IF(BA16=1,IF(COUNTIFS($A$2:$A$201,$A16,$BA$2:$BA$201,1,$G$2:$G$201,"&lt;"&amp;G16)+COUNTIFS($A$2:$A$201,$A16,$BA$2:$BA$201,1,$G$2:$G$201,G16,$AT$2:$AT$201,"&lt;"&amp;AT16)=0,1,0),0)</f>
        <v/>
      </c>
      <c r="BC16" s="17">
        <f>IF(AND(BB16=1,G16&lt;=Config!$B$6),V16,"")</f>
        <v/>
      </c>
      <c r="BD16" s="17">
        <f>IF(AND(BB16=1,G16&lt;=Config!$B$7),V16,"")</f>
        <v/>
      </c>
      <c r="BE16" s="17">
        <f>IF(AND(BB16=1,G16&lt;=Config!$B$8),V16,"")</f>
        <v/>
      </c>
      <c r="BF16" s="17">
        <f>IF(AND(BB16=1,G16&lt;=Config!$B$5),V16,"")</f>
        <v/>
      </c>
      <c r="BG16" s="17">
        <f>IF(BW16=1,IF(COUNTIFS($A$2:$A$201,$A16,$BW$2:$BW$201,1,$G$2:$G$201,"&lt;"&amp;G16)+COUNTIFS($A$2:$A$201,$A16,$BW$2:$BW$201,1,$G$2:$G$201,G16,$AT$2:$AT$201,"&lt;"&amp;AT16)=0,1,0),0)</f>
        <v/>
      </c>
      <c r="BH16" s="17">
        <f>IF(AND(AU16=1,ISNUMBER(K16)),1,0)</f>
        <v/>
      </c>
      <c r="BI16" s="17">
        <f>IF(BH16=1,IF(COUNTIFS($A$2:$A$201,$A16,$BH$2:$BH$201,1,$G$2:$G$201,"&lt;"&amp;G16)+COUNTIFS($A$2:$A$201,$A16,$BH$2:$BH$201,1,$G$2:$G$201,G16,$AT$2:$AT$201,"&lt;"&amp;AT16)=0,1,0),0)</f>
        <v/>
      </c>
      <c r="BJ16" s="17">
        <f>IF(AND(BI16=1,G16&lt;=Config!$B$5),K16,"")</f>
        <v/>
      </c>
      <c r="BK16" s="17">
        <f>IF(AND(AU16=1,OR(TRIM(U16)&lt;&gt;"",ISNUMBER(V16))),1,0)</f>
        <v/>
      </c>
      <c r="BL16" s="17">
        <f>IF(BK16=1,IF(COUNTIFS($A$2:$A$201,$A16,$BK$2:$BK$201,1,$G$2:$G$201,"&lt;"&amp;G16)+COUNTIFS($A$2:$A$201,$A16,$BK$2:$BK$201,1,$G$2:$G$201,G16,$AT$2:$AT$201,"&lt;"&amp;AT16)=0,1,0),0)</f>
        <v/>
      </c>
      <c r="BM16" s="17">
        <f>IF(BL16=1,$A16,"")</f>
        <v/>
      </c>
      <c r="BN16" s="17">
        <f>IF(AND(AU16=1,T16="Y",TRIM(U16)=""),1,0)</f>
        <v/>
      </c>
      <c r="BO16" s="17">
        <f>IF(AU16=1,AJ16&amp;"","")</f>
        <v/>
      </c>
      <c r="BP16" s="17">
        <f>IF(AU16=1,AK16&amp;"","")</f>
        <v/>
      </c>
      <c r="BQ16" s="17">
        <f>IF(AU16=1,AL16&amp;"","")</f>
        <v/>
      </c>
      <c r="BR16" s="17">
        <f>IF(AND(AU16=1,ISNUMBER(AP16),G16&lt;=Config!$B$5),AP16,"")</f>
        <v/>
      </c>
      <c r="BS16" s="17">
        <f>IF(AU16=1,IF(COUNTIFS($A$2:$A$201,$A16,$AN$2:$AN$201,"Y",$AU$2:$AU$201,1)&gt;0,"Y","N"),"")</f>
        <v/>
      </c>
      <c r="BT16" s="17">
        <f>IF(AND(AU16=1,AN16="maybe"),1,0)</f>
        <v/>
      </c>
      <c r="BU16" s="17">
        <f>IF(BT16=1,IF(COUNTIFS($A$2:$A$201,$A16,$BT$2:$BT$201,1,$G$2:$G$201,"&lt;"&amp;G16)+COUNTIFS($A$2:$A$201,$A16,$BT$2:$BT$201,1,$G$2:$G$201,G16,$AT$2:$AT$201,"&lt;"&amp;AT16)=0,1,0),0)</f>
        <v/>
      </c>
      <c r="BV16" s="17">
        <f>IF(AND(AU16=1,AN16="Y"),IF(COUNTIFS($A$2:$A$201,$A16,$AN$2:$AN$201,"Y",$AU$2:$AU$201,1,$G$2:$G$201,"&lt;"&amp;G16)+COUNTIFS($A$2:$A$201,$A16,$AN$2:$AN$201,"Y",$AU$2:$AU$201,1,$G$2:$G$201,G16,$AT$2:$AT$201,"&lt;"&amp;AT16)=0,1,0),0)</f>
        <v/>
      </c>
      <c r="BW16" s="17">
        <f>IF(AND(BA16=1,N(V16)&gt;=Config!$B$15),1,0)</f>
        <v/>
      </c>
      <c r="BX16" s="17">
        <f>IF(AU16=1,IFERROR(MATCH($A16,INDEX(Clay_Offices!$A$2:$FZ$601,0,Sync!$C$5),0),""),"")</f>
        <v/>
      </c>
      <c r="BY16" s="17">
        <f>IF(BX16="","",IFERROR(INDEX(Clay_Offices!$A$2:$FZ$601,BX16,Sync!$C$7)&amp;"",""))</f>
        <v/>
      </c>
      <c r="BZ16" s="17">
        <f>IF(BY16="","",IFERROR(INDEX(Lists!$J$2:$J$15,MATCH(BY16,Lists!$I$2:$I$15,0)),""))</f>
        <v/>
      </c>
      <c r="CA16" s="17">
        <f>IF(BX16="","",IFERROR(INDEX(Clay_Offices!$A$2:$FZ$601,BX16,Sync!$C$17)&amp;"",""))</f>
        <v/>
      </c>
      <c r="CB16" s="23">
        <f>IF(BX16="","",IFERROR(N(INDEX(Clay_Offices!$A$2:$FZ$601,BX16,Sync!$C$16)),0))</f>
        <v/>
      </c>
    </row>
    <row r="17">
      <c r="G17" s="22" t="n"/>
      <c r="AS17" s="17">
        <f>IF(TRIM($A17)="","",IF(AND(LEFT($A17,6)="SAMPLE",Config!$B$19&lt;&gt;"Y"),"",IF(NOT(ISNUMBER(G17)),"call_date is blank or not a date",IF(Sync!$C$5="","Clay paste is empty or has no row_id column: paste the Clay export on Clay_Offices",IF(BX17="","row_id not found in the Clay paste: add the Clay row or fix the row_id",IF(AND(ISNUMBER(BZ17),BZ17&gt;=1,BZ17&lt;=5),"Clay status is "&amp;BY17&amp;": set call_done or later",IF(AND(AW17=1,CA17&lt;&gt;BS17),"Clay yes_in_principle should be "&amp;BS17,IF(AND(AW17=1,CB17&lt;&gt;G17),"Clay call_date should be "&amp;TEXT(G17,"yyyy-mm-dd"),""))))))))</f>
        <v/>
      </c>
      <c r="AT17" s="17">
        <f>ROW()</f>
        <v/>
      </c>
      <c r="AU17" s="17">
        <f>IF(AND(TRIM($A17)&lt;&gt;"",ISNUMBER(G17)),IF(AND(LEFT($A17,6)="SAMPLE",Config!$B$19&lt;&gt;"Y"),0,1),0)</f>
        <v/>
      </c>
      <c r="AV17" s="17">
        <f>IF(AU17=1,IF(COUNTIFS($A$2:$A$201,$A17,$AU$2:$AU$201,1,$G$2:$G$201,"&lt;"&amp;G17)+COUNTIFS($A$2:$A$201,$A17,$AU$2:$AU$201,1,$G$2:$G$201,G17,$AT$2:$AT$201,"&lt;"&amp;AT17)=0,1,0),0)</f>
        <v/>
      </c>
      <c r="AW17" s="17">
        <f>IF(AU17=1,IF(COUNTIFS($A$2:$A$201,$A17,$AU$2:$AU$201,1,$G$2:$G$201,"&gt;"&amp;G17)+COUNTIFS($A$2:$A$201,$A17,$AU$2:$AU$201,1,$G$2:$G$201,G17,$AT$2:$AT$201,"&gt;"&amp;AT17)=0,1,0),0)</f>
        <v/>
      </c>
      <c r="AX17" s="17">
        <f>IF(AND(AU17=1,AN17="Y",Z17="Y",TRIM(AD17)&lt;&gt;""),1,0)</f>
        <v/>
      </c>
      <c r="AY17" s="17">
        <f>IF(AX17=1,IF(COUNTIFS($A$2:$A$201,$A17,$AX$2:$AX$201,1,$G$2:$G$201,"&lt;"&amp;G17)+COUNTIFS($A$2:$A$201,$A17,$AX$2:$AX$201,1,$G$2:$G$201,G17,$AT$2:$AT$201,"&lt;"&amp;AT17)=0,1,0),0)</f>
        <v/>
      </c>
      <c r="AZ17" s="17">
        <f>IF(AND(AU17=1,AN17="Y",AX17=0),1,0)</f>
        <v/>
      </c>
      <c r="BA17" s="17">
        <f>IF(AND(AU17=1,ISNUMBER(V17)),1,0)</f>
        <v/>
      </c>
      <c r="BB17" s="17">
        <f>IF(BA17=1,IF(COUNTIFS($A$2:$A$201,$A17,$BA$2:$BA$201,1,$G$2:$G$201,"&lt;"&amp;G17)+COUNTIFS($A$2:$A$201,$A17,$BA$2:$BA$201,1,$G$2:$G$201,G17,$AT$2:$AT$201,"&lt;"&amp;AT17)=0,1,0),0)</f>
        <v/>
      </c>
      <c r="BC17" s="17">
        <f>IF(AND(BB17=1,G17&lt;=Config!$B$6),V17,"")</f>
        <v/>
      </c>
      <c r="BD17" s="17">
        <f>IF(AND(BB17=1,G17&lt;=Config!$B$7),V17,"")</f>
        <v/>
      </c>
      <c r="BE17" s="17">
        <f>IF(AND(BB17=1,G17&lt;=Config!$B$8),V17,"")</f>
        <v/>
      </c>
      <c r="BF17" s="17">
        <f>IF(AND(BB17=1,G17&lt;=Config!$B$5),V17,"")</f>
        <v/>
      </c>
      <c r="BG17" s="17">
        <f>IF(BW17=1,IF(COUNTIFS($A$2:$A$201,$A17,$BW$2:$BW$201,1,$G$2:$G$201,"&lt;"&amp;G17)+COUNTIFS($A$2:$A$201,$A17,$BW$2:$BW$201,1,$G$2:$G$201,G17,$AT$2:$AT$201,"&lt;"&amp;AT17)=0,1,0),0)</f>
        <v/>
      </c>
      <c r="BH17" s="17">
        <f>IF(AND(AU17=1,ISNUMBER(K17)),1,0)</f>
        <v/>
      </c>
      <c r="BI17" s="17">
        <f>IF(BH17=1,IF(COUNTIFS($A$2:$A$201,$A17,$BH$2:$BH$201,1,$G$2:$G$201,"&lt;"&amp;G17)+COUNTIFS($A$2:$A$201,$A17,$BH$2:$BH$201,1,$G$2:$G$201,G17,$AT$2:$AT$201,"&lt;"&amp;AT17)=0,1,0),0)</f>
        <v/>
      </c>
      <c r="BJ17" s="17">
        <f>IF(AND(BI17=1,G17&lt;=Config!$B$5),K17,"")</f>
        <v/>
      </c>
      <c r="BK17" s="17">
        <f>IF(AND(AU17=1,OR(TRIM(U17)&lt;&gt;"",ISNUMBER(V17))),1,0)</f>
        <v/>
      </c>
      <c r="BL17" s="17">
        <f>IF(BK17=1,IF(COUNTIFS($A$2:$A$201,$A17,$BK$2:$BK$201,1,$G$2:$G$201,"&lt;"&amp;G17)+COUNTIFS($A$2:$A$201,$A17,$BK$2:$BK$201,1,$G$2:$G$201,G17,$AT$2:$AT$201,"&lt;"&amp;AT17)=0,1,0),0)</f>
        <v/>
      </c>
      <c r="BM17" s="17">
        <f>IF(BL17=1,$A17,"")</f>
        <v/>
      </c>
      <c r="BN17" s="17">
        <f>IF(AND(AU17=1,T17="Y",TRIM(U17)=""),1,0)</f>
        <v/>
      </c>
      <c r="BO17" s="17">
        <f>IF(AU17=1,AJ17&amp;"","")</f>
        <v/>
      </c>
      <c r="BP17" s="17">
        <f>IF(AU17=1,AK17&amp;"","")</f>
        <v/>
      </c>
      <c r="BQ17" s="17">
        <f>IF(AU17=1,AL17&amp;"","")</f>
        <v/>
      </c>
      <c r="BR17" s="17">
        <f>IF(AND(AU17=1,ISNUMBER(AP17),G17&lt;=Config!$B$5),AP17,"")</f>
        <v/>
      </c>
      <c r="BS17" s="17">
        <f>IF(AU17=1,IF(COUNTIFS($A$2:$A$201,$A17,$AN$2:$AN$201,"Y",$AU$2:$AU$201,1)&gt;0,"Y","N"),"")</f>
        <v/>
      </c>
      <c r="BT17" s="17">
        <f>IF(AND(AU17=1,AN17="maybe"),1,0)</f>
        <v/>
      </c>
      <c r="BU17" s="17">
        <f>IF(BT17=1,IF(COUNTIFS($A$2:$A$201,$A17,$BT$2:$BT$201,1,$G$2:$G$201,"&lt;"&amp;G17)+COUNTIFS($A$2:$A$201,$A17,$BT$2:$BT$201,1,$G$2:$G$201,G17,$AT$2:$AT$201,"&lt;"&amp;AT17)=0,1,0),0)</f>
        <v/>
      </c>
      <c r="BV17" s="17">
        <f>IF(AND(AU17=1,AN17="Y"),IF(COUNTIFS($A$2:$A$201,$A17,$AN$2:$AN$201,"Y",$AU$2:$AU$201,1,$G$2:$G$201,"&lt;"&amp;G17)+COUNTIFS($A$2:$A$201,$A17,$AN$2:$AN$201,"Y",$AU$2:$AU$201,1,$G$2:$G$201,G17,$AT$2:$AT$201,"&lt;"&amp;AT17)=0,1,0),0)</f>
        <v/>
      </c>
      <c r="BW17" s="17">
        <f>IF(AND(BA17=1,N(V17)&gt;=Config!$B$15),1,0)</f>
        <v/>
      </c>
      <c r="BX17" s="17">
        <f>IF(AU17=1,IFERROR(MATCH($A17,INDEX(Clay_Offices!$A$2:$FZ$601,0,Sync!$C$5),0),""),"")</f>
        <v/>
      </c>
      <c r="BY17" s="17">
        <f>IF(BX17="","",IFERROR(INDEX(Clay_Offices!$A$2:$FZ$601,BX17,Sync!$C$7)&amp;"",""))</f>
        <v/>
      </c>
      <c r="BZ17" s="17">
        <f>IF(BY17="","",IFERROR(INDEX(Lists!$J$2:$J$15,MATCH(BY17,Lists!$I$2:$I$15,0)),""))</f>
        <v/>
      </c>
      <c r="CA17" s="17">
        <f>IF(BX17="","",IFERROR(INDEX(Clay_Offices!$A$2:$FZ$601,BX17,Sync!$C$17)&amp;"",""))</f>
        <v/>
      </c>
      <c r="CB17" s="23">
        <f>IF(BX17="","",IFERROR(N(INDEX(Clay_Offices!$A$2:$FZ$601,BX17,Sync!$C$16)),0))</f>
        <v/>
      </c>
    </row>
    <row r="18">
      <c r="G18" s="22" t="n"/>
      <c r="AS18" s="17">
        <f>IF(TRIM($A18)="","",IF(AND(LEFT($A18,6)="SAMPLE",Config!$B$19&lt;&gt;"Y"),"",IF(NOT(ISNUMBER(G18)),"call_date is blank or not a date",IF(Sync!$C$5="","Clay paste is empty or has no row_id column: paste the Clay export on Clay_Offices",IF(BX18="","row_id not found in the Clay paste: add the Clay row or fix the row_id",IF(AND(ISNUMBER(BZ18),BZ18&gt;=1,BZ18&lt;=5),"Clay status is "&amp;BY18&amp;": set call_done or later",IF(AND(AW18=1,CA18&lt;&gt;BS18),"Clay yes_in_principle should be "&amp;BS18,IF(AND(AW18=1,CB18&lt;&gt;G18),"Clay call_date should be "&amp;TEXT(G18,"yyyy-mm-dd"),""))))))))</f>
        <v/>
      </c>
      <c r="AT18" s="17">
        <f>ROW()</f>
        <v/>
      </c>
      <c r="AU18" s="17">
        <f>IF(AND(TRIM($A18)&lt;&gt;"",ISNUMBER(G18)),IF(AND(LEFT($A18,6)="SAMPLE",Config!$B$19&lt;&gt;"Y"),0,1),0)</f>
        <v/>
      </c>
      <c r="AV18" s="17">
        <f>IF(AU18=1,IF(COUNTIFS($A$2:$A$201,$A18,$AU$2:$AU$201,1,$G$2:$G$201,"&lt;"&amp;G18)+COUNTIFS($A$2:$A$201,$A18,$AU$2:$AU$201,1,$G$2:$G$201,G18,$AT$2:$AT$201,"&lt;"&amp;AT18)=0,1,0),0)</f>
        <v/>
      </c>
      <c r="AW18" s="17">
        <f>IF(AU18=1,IF(COUNTIFS($A$2:$A$201,$A18,$AU$2:$AU$201,1,$G$2:$G$201,"&gt;"&amp;G18)+COUNTIFS($A$2:$A$201,$A18,$AU$2:$AU$201,1,$G$2:$G$201,G18,$AT$2:$AT$201,"&gt;"&amp;AT18)=0,1,0),0)</f>
        <v/>
      </c>
      <c r="AX18" s="17">
        <f>IF(AND(AU18=1,AN18="Y",Z18="Y",TRIM(AD18)&lt;&gt;""),1,0)</f>
        <v/>
      </c>
      <c r="AY18" s="17">
        <f>IF(AX18=1,IF(COUNTIFS($A$2:$A$201,$A18,$AX$2:$AX$201,1,$G$2:$G$201,"&lt;"&amp;G18)+COUNTIFS($A$2:$A$201,$A18,$AX$2:$AX$201,1,$G$2:$G$201,G18,$AT$2:$AT$201,"&lt;"&amp;AT18)=0,1,0),0)</f>
        <v/>
      </c>
      <c r="AZ18" s="17">
        <f>IF(AND(AU18=1,AN18="Y",AX18=0),1,0)</f>
        <v/>
      </c>
      <c r="BA18" s="17">
        <f>IF(AND(AU18=1,ISNUMBER(V18)),1,0)</f>
        <v/>
      </c>
      <c r="BB18" s="17">
        <f>IF(BA18=1,IF(COUNTIFS($A$2:$A$201,$A18,$BA$2:$BA$201,1,$G$2:$G$201,"&lt;"&amp;G18)+COUNTIFS($A$2:$A$201,$A18,$BA$2:$BA$201,1,$G$2:$G$201,G18,$AT$2:$AT$201,"&lt;"&amp;AT18)=0,1,0),0)</f>
        <v/>
      </c>
      <c r="BC18" s="17">
        <f>IF(AND(BB18=1,G18&lt;=Config!$B$6),V18,"")</f>
        <v/>
      </c>
      <c r="BD18" s="17">
        <f>IF(AND(BB18=1,G18&lt;=Config!$B$7),V18,"")</f>
        <v/>
      </c>
      <c r="BE18" s="17">
        <f>IF(AND(BB18=1,G18&lt;=Config!$B$8),V18,"")</f>
        <v/>
      </c>
      <c r="BF18" s="17">
        <f>IF(AND(BB18=1,G18&lt;=Config!$B$5),V18,"")</f>
        <v/>
      </c>
      <c r="BG18" s="17">
        <f>IF(BW18=1,IF(COUNTIFS($A$2:$A$201,$A18,$BW$2:$BW$201,1,$G$2:$G$201,"&lt;"&amp;G18)+COUNTIFS($A$2:$A$201,$A18,$BW$2:$BW$201,1,$G$2:$G$201,G18,$AT$2:$AT$201,"&lt;"&amp;AT18)=0,1,0),0)</f>
        <v/>
      </c>
      <c r="BH18" s="17">
        <f>IF(AND(AU18=1,ISNUMBER(K18)),1,0)</f>
        <v/>
      </c>
      <c r="BI18" s="17">
        <f>IF(BH18=1,IF(COUNTIFS($A$2:$A$201,$A18,$BH$2:$BH$201,1,$G$2:$G$201,"&lt;"&amp;G18)+COUNTIFS($A$2:$A$201,$A18,$BH$2:$BH$201,1,$G$2:$G$201,G18,$AT$2:$AT$201,"&lt;"&amp;AT18)=0,1,0),0)</f>
        <v/>
      </c>
      <c r="BJ18" s="17">
        <f>IF(AND(BI18=1,G18&lt;=Config!$B$5),K18,"")</f>
        <v/>
      </c>
      <c r="BK18" s="17">
        <f>IF(AND(AU18=1,OR(TRIM(U18)&lt;&gt;"",ISNUMBER(V18))),1,0)</f>
        <v/>
      </c>
      <c r="BL18" s="17">
        <f>IF(BK18=1,IF(COUNTIFS($A$2:$A$201,$A18,$BK$2:$BK$201,1,$G$2:$G$201,"&lt;"&amp;G18)+COUNTIFS($A$2:$A$201,$A18,$BK$2:$BK$201,1,$G$2:$G$201,G18,$AT$2:$AT$201,"&lt;"&amp;AT18)=0,1,0),0)</f>
        <v/>
      </c>
      <c r="BM18" s="17">
        <f>IF(BL18=1,$A18,"")</f>
        <v/>
      </c>
      <c r="BN18" s="17">
        <f>IF(AND(AU18=1,T18="Y",TRIM(U18)=""),1,0)</f>
        <v/>
      </c>
      <c r="BO18" s="17">
        <f>IF(AU18=1,AJ18&amp;"","")</f>
        <v/>
      </c>
      <c r="BP18" s="17">
        <f>IF(AU18=1,AK18&amp;"","")</f>
        <v/>
      </c>
      <c r="BQ18" s="17">
        <f>IF(AU18=1,AL18&amp;"","")</f>
        <v/>
      </c>
      <c r="BR18" s="17">
        <f>IF(AND(AU18=1,ISNUMBER(AP18),G18&lt;=Config!$B$5),AP18,"")</f>
        <v/>
      </c>
      <c r="BS18" s="17">
        <f>IF(AU18=1,IF(COUNTIFS($A$2:$A$201,$A18,$AN$2:$AN$201,"Y",$AU$2:$AU$201,1)&gt;0,"Y","N"),"")</f>
        <v/>
      </c>
      <c r="BT18" s="17">
        <f>IF(AND(AU18=1,AN18="maybe"),1,0)</f>
        <v/>
      </c>
      <c r="BU18" s="17">
        <f>IF(BT18=1,IF(COUNTIFS($A$2:$A$201,$A18,$BT$2:$BT$201,1,$G$2:$G$201,"&lt;"&amp;G18)+COUNTIFS($A$2:$A$201,$A18,$BT$2:$BT$201,1,$G$2:$G$201,G18,$AT$2:$AT$201,"&lt;"&amp;AT18)=0,1,0),0)</f>
        <v/>
      </c>
      <c r="BV18" s="17">
        <f>IF(AND(AU18=1,AN18="Y"),IF(COUNTIFS($A$2:$A$201,$A18,$AN$2:$AN$201,"Y",$AU$2:$AU$201,1,$G$2:$G$201,"&lt;"&amp;G18)+COUNTIFS($A$2:$A$201,$A18,$AN$2:$AN$201,"Y",$AU$2:$AU$201,1,$G$2:$G$201,G18,$AT$2:$AT$201,"&lt;"&amp;AT18)=0,1,0),0)</f>
        <v/>
      </c>
      <c r="BW18" s="17">
        <f>IF(AND(BA18=1,N(V18)&gt;=Config!$B$15),1,0)</f>
        <v/>
      </c>
      <c r="BX18" s="17">
        <f>IF(AU18=1,IFERROR(MATCH($A18,INDEX(Clay_Offices!$A$2:$FZ$601,0,Sync!$C$5),0),""),"")</f>
        <v/>
      </c>
      <c r="BY18" s="17">
        <f>IF(BX18="","",IFERROR(INDEX(Clay_Offices!$A$2:$FZ$601,BX18,Sync!$C$7)&amp;"",""))</f>
        <v/>
      </c>
      <c r="BZ18" s="17">
        <f>IF(BY18="","",IFERROR(INDEX(Lists!$J$2:$J$15,MATCH(BY18,Lists!$I$2:$I$15,0)),""))</f>
        <v/>
      </c>
      <c r="CA18" s="17">
        <f>IF(BX18="","",IFERROR(INDEX(Clay_Offices!$A$2:$FZ$601,BX18,Sync!$C$17)&amp;"",""))</f>
        <v/>
      </c>
      <c r="CB18" s="23">
        <f>IF(BX18="","",IFERROR(N(INDEX(Clay_Offices!$A$2:$FZ$601,BX18,Sync!$C$16)),0))</f>
        <v/>
      </c>
    </row>
    <row r="19">
      <c r="G19" s="22" t="n"/>
      <c r="AS19" s="17">
        <f>IF(TRIM($A19)="","",IF(AND(LEFT($A19,6)="SAMPLE",Config!$B$19&lt;&gt;"Y"),"",IF(NOT(ISNUMBER(G19)),"call_date is blank or not a date",IF(Sync!$C$5="","Clay paste is empty or has no row_id column: paste the Clay export on Clay_Offices",IF(BX19="","row_id not found in the Clay paste: add the Clay row or fix the row_id",IF(AND(ISNUMBER(BZ19),BZ19&gt;=1,BZ19&lt;=5),"Clay status is "&amp;BY19&amp;": set call_done or later",IF(AND(AW19=1,CA19&lt;&gt;BS19),"Clay yes_in_principle should be "&amp;BS19,IF(AND(AW19=1,CB19&lt;&gt;G19),"Clay call_date should be "&amp;TEXT(G19,"yyyy-mm-dd"),""))))))))</f>
        <v/>
      </c>
      <c r="AT19" s="17">
        <f>ROW()</f>
        <v/>
      </c>
      <c r="AU19" s="17">
        <f>IF(AND(TRIM($A19)&lt;&gt;"",ISNUMBER(G19)),IF(AND(LEFT($A19,6)="SAMPLE",Config!$B$19&lt;&gt;"Y"),0,1),0)</f>
        <v/>
      </c>
      <c r="AV19" s="17">
        <f>IF(AU19=1,IF(COUNTIFS($A$2:$A$201,$A19,$AU$2:$AU$201,1,$G$2:$G$201,"&lt;"&amp;G19)+COUNTIFS($A$2:$A$201,$A19,$AU$2:$AU$201,1,$G$2:$G$201,G19,$AT$2:$AT$201,"&lt;"&amp;AT19)=0,1,0),0)</f>
        <v/>
      </c>
      <c r="AW19" s="17">
        <f>IF(AU19=1,IF(COUNTIFS($A$2:$A$201,$A19,$AU$2:$AU$201,1,$G$2:$G$201,"&gt;"&amp;G19)+COUNTIFS($A$2:$A$201,$A19,$AU$2:$AU$201,1,$G$2:$G$201,G19,$AT$2:$AT$201,"&gt;"&amp;AT19)=0,1,0),0)</f>
        <v/>
      </c>
      <c r="AX19" s="17">
        <f>IF(AND(AU19=1,AN19="Y",Z19="Y",TRIM(AD19)&lt;&gt;""),1,0)</f>
        <v/>
      </c>
      <c r="AY19" s="17">
        <f>IF(AX19=1,IF(COUNTIFS($A$2:$A$201,$A19,$AX$2:$AX$201,1,$G$2:$G$201,"&lt;"&amp;G19)+COUNTIFS($A$2:$A$201,$A19,$AX$2:$AX$201,1,$G$2:$G$201,G19,$AT$2:$AT$201,"&lt;"&amp;AT19)=0,1,0),0)</f>
        <v/>
      </c>
      <c r="AZ19" s="17">
        <f>IF(AND(AU19=1,AN19="Y",AX19=0),1,0)</f>
        <v/>
      </c>
      <c r="BA19" s="17">
        <f>IF(AND(AU19=1,ISNUMBER(V19)),1,0)</f>
        <v/>
      </c>
      <c r="BB19" s="17">
        <f>IF(BA19=1,IF(COUNTIFS($A$2:$A$201,$A19,$BA$2:$BA$201,1,$G$2:$G$201,"&lt;"&amp;G19)+COUNTIFS($A$2:$A$201,$A19,$BA$2:$BA$201,1,$G$2:$G$201,G19,$AT$2:$AT$201,"&lt;"&amp;AT19)=0,1,0),0)</f>
        <v/>
      </c>
      <c r="BC19" s="17">
        <f>IF(AND(BB19=1,G19&lt;=Config!$B$6),V19,"")</f>
        <v/>
      </c>
      <c r="BD19" s="17">
        <f>IF(AND(BB19=1,G19&lt;=Config!$B$7),V19,"")</f>
        <v/>
      </c>
      <c r="BE19" s="17">
        <f>IF(AND(BB19=1,G19&lt;=Config!$B$8),V19,"")</f>
        <v/>
      </c>
      <c r="BF19" s="17">
        <f>IF(AND(BB19=1,G19&lt;=Config!$B$5),V19,"")</f>
        <v/>
      </c>
      <c r="BG19" s="17">
        <f>IF(BW19=1,IF(COUNTIFS($A$2:$A$201,$A19,$BW$2:$BW$201,1,$G$2:$G$201,"&lt;"&amp;G19)+COUNTIFS($A$2:$A$201,$A19,$BW$2:$BW$201,1,$G$2:$G$201,G19,$AT$2:$AT$201,"&lt;"&amp;AT19)=0,1,0),0)</f>
        <v/>
      </c>
      <c r="BH19" s="17">
        <f>IF(AND(AU19=1,ISNUMBER(K19)),1,0)</f>
        <v/>
      </c>
      <c r="BI19" s="17">
        <f>IF(BH19=1,IF(COUNTIFS($A$2:$A$201,$A19,$BH$2:$BH$201,1,$G$2:$G$201,"&lt;"&amp;G19)+COUNTIFS($A$2:$A$201,$A19,$BH$2:$BH$201,1,$G$2:$G$201,G19,$AT$2:$AT$201,"&lt;"&amp;AT19)=0,1,0),0)</f>
        <v/>
      </c>
      <c r="BJ19" s="17">
        <f>IF(AND(BI19=1,G19&lt;=Config!$B$5),K19,"")</f>
        <v/>
      </c>
      <c r="BK19" s="17">
        <f>IF(AND(AU19=1,OR(TRIM(U19)&lt;&gt;"",ISNUMBER(V19))),1,0)</f>
        <v/>
      </c>
      <c r="BL19" s="17">
        <f>IF(BK19=1,IF(COUNTIFS($A$2:$A$201,$A19,$BK$2:$BK$201,1,$G$2:$G$201,"&lt;"&amp;G19)+COUNTIFS($A$2:$A$201,$A19,$BK$2:$BK$201,1,$G$2:$G$201,G19,$AT$2:$AT$201,"&lt;"&amp;AT19)=0,1,0),0)</f>
        <v/>
      </c>
      <c r="BM19" s="17">
        <f>IF(BL19=1,$A19,"")</f>
        <v/>
      </c>
      <c r="BN19" s="17">
        <f>IF(AND(AU19=1,T19="Y",TRIM(U19)=""),1,0)</f>
        <v/>
      </c>
      <c r="BO19" s="17">
        <f>IF(AU19=1,AJ19&amp;"","")</f>
        <v/>
      </c>
      <c r="BP19" s="17">
        <f>IF(AU19=1,AK19&amp;"","")</f>
        <v/>
      </c>
      <c r="BQ19" s="17">
        <f>IF(AU19=1,AL19&amp;"","")</f>
        <v/>
      </c>
      <c r="BR19" s="17">
        <f>IF(AND(AU19=1,ISNUMBER(AP19),G19&lt;=Config!$B$5),AP19,"")</f>
        <v/>
      </c>
      <c r="BS19" s="17">
        <f>IF(AU19=1,IF(COUNTIFS($A$2:$A$201,$A19,$AN$2:$AN$201,"Y",$AU$2:$AU$201,1)&gt;0,"Y","N"),"")</f>
        <v/>
      </c>
      <c r="BT19" s="17">
        <f>IF(AND(AU19=1,AN19="maybe"),1,0)</f>
        <v/>
      </c>
      <c r="BU19" s="17">
        <f>IF(BT19=1,IF(COUNTIFS($A$2:$A$201,$A19,$BT$2:$BT$201,1,$G$2:$G$201,"&lt;"&amp;G19)+COUNTIFS($A$2:$A$201,$A19,$BT$2:$BT$201,1,$G$2:$G$201,G19,$AT$2:$AT$201,"&lt;"&amp;AT19)=0,1,0),0)</f>
        <v/>
      </c>
      <c r="BV19" s="17">
        <f>IF(AND(AU19=1,AN19="Y"),IF(COUNTIFS($A$2:$A$201,$A19,$AN$2:$AN$201,"Y",$AU$2:$AU$201,1,$G$2:$G$201,"&lt;"&amp;G19)+COUNTIFS($A$2:$A$201,$A19,$AN$2:$AN$201,"Y",$AU$2:$AU$201,1,$G$2:$G$201,G19,$AT$2:$AT$201,"&lt;"&amp;AT19)=0,1,0),0)</f>
        <v/>
      </c>
      <c r="BW19" s="17">
        <f>IF(AND(BA19=1,N(V19)&gt;=Config!$B$15),1,0)</f>
        <v/>
      </c>
      <c r="BX19" s="17">
        <f>IF(AU19=1,IFERROR(MATCH($A19,INDEX(Clay_Offices!$A$2:$FZ$601,0,Sync!$C$5),0),""),"")</f>
        <v/>
      </c>
      <c r="BY19" s="17">
        <f>IF(BX19="","",IFERROR(INDEX(Clay_Offices!$A$2:$FZ$601,BX19,Sync!$C$7)&amp;"",""))</f>
        <v/>
      </c>
      <c r="BZ19" s="17">
        <f>IF(BY19="","",IFERROR(INDEX(Lists!$J$2:$J$15,MATCH(BY19,Lists!$I$2:$I$15,0)),""))</f>
        <v/>
      </c>
      <c r="CA19" s="17">
        <f>IF(BX19="","",IFERROR(INDEX(Clay_Offices!$A$2:$FZ$601,BX19,Sync!$C$17)&amp;"",""))</f>
        <v/>
      </c>
      <c r="CB19" s="23">
        <f>IF(BX19="","",IFERROR(N(INDEX(Clay_Offices!$A$2:$FZ$601,BX19,Sync!$C$16)),0))</f>
        <v/>
      </c>
    </row>
    <row r="20">
      <c r="G20" s="22" t="n"/>
      <c r="AS20" s="17">
        <f>IF(TRIM($A20)="","",IF(AND(LEFT($A20,6)="SAMPLE",Config!$B$19&lt;&gt;"Y"),"",IF(NOT(ISNUMBER(G20)),"call_date is blank or not a date",IF(Sync!$C$5="","Clay paste is empty or has no row_id column: paste the Clay export on Clay_Offices",IF(BX20="","row_id not found in the Clay paste: add the Clay row or fix the row_id",IF(AND(ISNUMBER(BZ20),BZ20&gt;=1,BZ20&lt;=5),"Clay status is "&amp;BY20&amp;": set call_done or later",IF(AND(AW20=1,CA20&lt;&gt;BS20),"Clay yes_in_principle should be "&amp;BS20,IF(AND(AW20=1,CB20&lt;&gt;G20),"Clay call_date should be "&amp;TEXT(G20,"yyyy-mm-dd"),""))))))))</f>
        <v/>
      </c>
      <c r="AT20" s="17">
        <f>ROW()</f>
        <v/>
      </c>
      <c r="AU20" s="17">
        <f>IF(AND(TRIM($A20)&lt;&gt;"",ISNUMBER(G20)),IF(AND(LEFT($A20,6)="SAMPLE",Config!$B$19&lt;&gt;"Y"),0,1),0)</f>
        <v/>
      </c>
      <c r="AV20" s="17">
        <f>IF(AU20=1,IF(COUNTIFS($A$2:$A$201,$A20,$AU$2:$AU$201,1,$G$2:$G$201,"&lt;"&amp;G20)+COUNTIFS($A$2:$A$201,$A20,$AU$2:$AU$201,1,$G$2:$G$201,G20,$AT$2:$AT$201,"&lt;"&amp;AT20)=0,1,0),0)</f>
        <v/>
      </c>
      <c r="AW20" s="17">
        <f>IF(AU20=1,IF(COUNTIFS($A$2:$A$201,$A20,$AU$2:$AU$201,1,$G$2:$G$201,"&gt;"&amp;G20)+COUNTIFS($A$2:$A$201,$A20,$AU$2:$AU$201,1,$G$2:$G$201,G20,$AT$2:$AT$201,"&gt;"&amp;AT20)=0,1,0),0)</f>
        <v/>
      </c>
      <c r="AX20" s="17">
        <f>IF(AND(AU20=1,AN20="Y",Z20="Y",TRIM(AD20)&lt;&gt;""),1,0)</f>
        <v/>
      </c>
      <c r="AY20" s="17">
        <f>IF(AX20=1,IF(COUNTIFS($A$2:$A$201,$A20,$AX$2:$AX$201,1,$G$2:$G$201,"&lt;"&amp;G20)+COUNTIFS($A$2:$A$201,$A20,$AX$2:$AX$201,1,$G$2:$G$201,G20,$AT$2:$AT$201,"&lt;"&amp;AT20)=0,1,0),0)</f>
        <v/>
      </c>
      <c r="AZ20" s="17">
        <f>IF(AND(AU20=1,AN20="Y",AX20=0),1,0)</f>
        <v/>
      </c>
      <c r="BA20" s="17">
        <f>IF(AND(AU20=1,ISNUMBER(V20)),1,0)</f>
        <v/>
      </c>
      <c r="BB20" s="17">
        <f>IF(BA20=1,IF(COUNTIFS($A$2:$A$201,$A20,$BA$2:$BA$201,1,$G$2:$G$201,"&lt;"&amp;G20)+COUNTIFS($A$2:$A$201,$A20,$BA$2:$BA$201,1,$G$2:$G$201,G20,$AT$2:$AT$201,"&lt;"&amp;AT20)=0,1,0),0)</f>
        <v/>
      </c>
      <c r="BC20" s="17">
        <f>IF(AND(BB20=1,G20&lt;=Config!$B$6),V20,"")</f>
        <v/>
      </c>
      <c r="BD20" s="17">
        <f>IF(AND(BB20=1,G20&lt;=Config!$B$7),V20,"")</f>
        <v/>
      </c>
      <c r="BE20" s="17">
        <f>IF(AND(BB20=1,G20&lt;=Config!$B$8),V20,"")</f>
        <v/>
      </c>
      <c r="BF20" s="17">
        <f>IF(AND(BB20=1,G20&lt;=Config!$B$5),V20,"")</f>
        <v/>
      </c>
      <c r="BG20" s="17">
        <f>IF(BW20=1,IF(COUNTIFS($A$2:$A$201,$A20,$BW$2:$BW$201,1,$G$2:$G$201,"&lt;"&amp;G20)+COUNTIFS($A$2:$A$201,$A20,$BW$2:$BW$201,1,$G$2:$G$201,G20,$AT$2:$AT$201,"&lt;"&amp;AT20)=0,1,0),0)</f>
        <v/>
      </c>
      <c r="BH20" s="17">
        <f>IF(AND(AU20=1,ISNUMBER(K20)),1,0)</f>
        <v/>
      </c>
      <c r="BI20" s="17">
        <f>IF(BH20=1,IF(COUNTIFS($A$2:$A$201,$A20,$BH$2:$BH$201,1,$G$2:$G$201,"&lt;"&amp;G20)+COUNTIFS($A$2:$A$201,$A20,$BH$2:$BH$201,1,$G$2:$G$201,G20,$AT$2:$AT$201,"&lt;"&amp;AT20)=0,1,0),0)</f>
        <v/>
      </c>
      <c r="BJ20" s="17">
        <f>IF(AND(BI20=1,G20&lt;=Config!$B$5),K20,"")</f>
        <v/>
      </c>
      <c r="BK20" s="17">
        <f>IF(AND(AU20=1,OR(TRIM(U20)&lt;&gt;"",ISNUMBER(V20))),1,0)</f>
        <v/>
      </c>
      <c r="BL20" s="17">
        <f>IF(BK20=1,IF(COUNTIFS($A$2:$A$201,$A20,$BK$2:$BK$201,1,$G$2:$G$201,"&lt;"&amp;G20)+COUNTIFS($A$2:$A$201,$A20,$BK$2:$BK$201,1,$G$2:$G$201,G20,$AT$2:$AT$201,"&lt;"&amp;AT20)=0,1,0),0)</f>
        <v/>
      </c>
      <c r="BM20" s="17">
        <f>IF(BL20=1,$A20,"")</f>
        <v/>
      </c>
      <c r="BN20" s="17">
        <f>IF(AND(AU20=1,T20="Y",TRIM(U20)=""),1,0)</f>
        <v/>
      </c>
      <c r="BO20" s="17">
        <f>IF(AU20=1,AJ20&amp;"","")</f>
        <v/>
      </c>
      <c r="BP20" s="17">
        <f>IF(AU20=1,AK20&amp;"","")</f>
        <v/>
      </c>
      <c r="BQ20" s="17">
        <f>IF(AU20=1,AL20&amp;"","")</f>
        <v/>
      </c>
      <c r="BR20" s="17">
        <f>IF(AND(AU20=1,ISNUMBER(AP20),G20&lt;=Config!$B$5),AP20,"")</f>
        <v/>
      </c>
      <c r="BS20" s="17">
        <f>IF(AU20=1,IF(COUNTIFS($A$2:$A$201,$A20,$AN$2:$AN$201,"Y",$AU$2:$AU$201,1)&gt;0,"Y","N"),"")</f>
        <v/>
      </c>
      <c r="BT20" s="17">
        <f>IF(AND(AU20=1,AN20="maybe"),1,0)</f>
        <v/>
      </c>
      <c r="BU20" s="17">
        <f>IF(BT20=1,IF(COUNTIFS($A$2:$A$201,$A20,$BT$2:$BT$201,1,$G$2:$G$201,"&lt;"&amp;G20)+COUNTIFS($A$2:$A$201,$A20,$BT$2:$BT$201,1,$G$2:$G$201,G20,$AT$2:$AT$201,"&lt;"&amp;AT20)=0,1,0),0)</f>
        <v/>
      </c>
      <c r="BV20" s="17">
        <f>IF(AND(AU20=1,AN20="Y"),IF(COUNTIFS($A$2:$A$201,$A20,$AN$2:$AN$201,"Y",$AU$2:$AU$201,1,$G$2:$G$201,"&lt;"&amp;G20)+COUNTIFS($A$2:$A$201,$A20,$AN$2:$AN$201,"Y",$AU$2:$AU$201,1,$G$2:$G$201,G20,$AT$2:$AT$201,"&lt;"&amp;AT20)=0,1,0),0)</f>
        <v/>
      </c>
      <c r="BW20" s="17">
        <f>IF(AND(BA20=1,N(V20)&gt;=Config!$B$15),1,0)</f>
        <v/>
      </c>
      <c r="BX20" s="17">
        <f>IF(AU20=1,IFERROR(MATCH($A20,INDEX(Clay_Offices!$A$2:$FZ$601,0,Sync!$C$5),0),""),"")</f>
        <v/>
      </c>
      <c r="BY20" s="17">
        <f>IF(BX20="","",IFERROR(INDEX(Clay_Offices!$A$2:$FZ$601,BX20,Sync!$C$7)&amp;"",""))</f>
        <v/>
      </c>
      <c r="BZ20" s="17">
        <f>IF(BY20="","",IFERROR(INDEX(Lists!$J$2:$J$15,MATCH(BY20,Lists!$I$2:$I$15,0)),""))</f>
        <v/>
      </c>
      <c r="CA20" s="17">
        <f>IF(BX20="","",IFERROR(INDEX(Clay_Offices!$A$2:$FZ$601,BX20,Sync!$C$17)&amp;"",""))</f>
        <v/>
      </c>
      <c r="CB20" s="23">
        <f>IF(BX20="","",IFERROR(N(INDEX(Clay_Offices!$A$2:$FZ$601,BX20,Sync!$C$16)),0))</f>
        <v/>
      </c>
    </row>
    <row r="21">
      <c r="G21" s="22" t="n"/>
      <c r="AS21" s="17">
        <f>IF(TRIM($A21)="","",IF(AND(LEFT($A21,6)="SAMPLE",Config!$B$19&lt;&gt;"Y"),"",IF(NOT(ISNUMBER(G21)),"call_date is blank or not a date",IF(Sync!$C$5="","Clay paste is empty or has no row_id column: paste the Clay export on Clay_Offices",IF(BX21="","row_id not found in the Clay paste: add the Clay row or fix the row_id",IF(AND(ISNUMBER(BZ21),BZ21&gt;=1,BZ21&lt;=5),"Clay status is "&amp;BY21&amp;": set call_done or later",IF(AND(AW21=1,CA21&lt;&gt;BS21),"Clay yes_in_principle should be "&amp;BS21,IF(AND(AW21=1,CB21&lt;&gt;G21),"Clay call_date should be "&amp;TEXT(G21,"yyyy-mm-dd"),""))))))))</f>
        <v/>
      </c>
      <c r="AT21" s="17">
        <f>ROW()</f>
        <v/>
      </c>
      <c r="AU21" s="17">
        <f>IF(AND(TRIM($A21)&lt;&gt;"",ISNUMBER(G21)),IF(AND(LEFT($A21,6)="SAMPLE",Config!$B$19&lt;&gt;"Y"),0,1),0)</f>
        <v/>
      </c>
      <c r="AV21" s="17">
        <f>IF(AU21=1,IF(COUNTIFS($A$2:$A$201,$A21,$AU$2:$AU$201,1,$G$2:$G$201,"&lt;"&amp;G21)+COUNTIFS($A$2:$A$201,$A21,$AU$2:$AU$201,1,$G$2:$G$201,G21,$AT$2:$AT$201,"&lt;"&amp;AT21)=0,1,0),0)</f>
        <v/>
      </c>
      <c r="AW21" s="17">
        <f>IF(AU21=1,IF(COUNTIFS($A$2:$A$201,$A21,$AU$2:$AU$201,1,$G$2:$G$201,"&gt;"&amp;G21)+COUNTIFS($A$2:$A$201,$A21,$AU$2:$AU$201,1,$G$2:$G$201,G21,$AT$2:$AT$201,"&gt;"&amp;AT21)=0,1,0),0)</f>
        <v/>
      </c>
      <c r="AX21" s="17">
        <f>IF(AND(AU21=1,AN21="Y",Z21="Y",TRIM(AD21)&lt;&gt;""),1,0)</f>
        <v/>
      </c>
      <c r="AY21" s="17">
        <f>IF(AX21=1,IF(COUNTIFS($A$2:$A$201,$A21,$AX$2:$AX$201,1,$G$2:$G$201,"&lt;"&amp;G21)+COUNTIFS($A$2:$A$201,$A21,$AX$2:$AX$201,1,$G$2:$G$201,G21,$AT$2:$AT$201,"&lt;"&amp;AT21)=0,1,0),0)</f>
        <v/>
      </c>
      <c r="AZ21" s="17">
        <f>IF(AND(AU21=1,AN21="Y",AX21=0),1,0)</f>
        <v/>
      </c>
      <c r="BA21" s="17">
        <f>IF(AND(AU21=1,ISNUMBER(V21)),1,0)</f>
        <v/>
      </c>
      <c r="BB21" s="17">
        <f>IF(BA21=1,IF(COUNTIFS($A$2:$A$201,$A21,$BA$2:$BA$201,1,$G$2:$G$201,"&lt;"&amp;G21)+COUNTIFS($A$2:$A$201,$A21,$BA$2:$BA$201,1,$G$2:$G$201,G21,$AT$2:$AT$201,"&lt;"&amp;AT21)=0,1,0),0)</f>
        <v/>
      </c>
      <c r="BC21" s="17">
        <f>IF(AND(BB21=1,G21&lt;=Config!$B$6),V21,"")</f>
        <v/>
      </c>
      <c r="BD21" s="17">
        <f>IF(AND(BB21=1,G21&lt;=Config!$B$7),V21,"")</f>
        <v/>
      </c>
      <c r="BE21" s="17">
        <f>IF(AND(BB21=1,G21&lt;=Config!$B$8),V21,"")</f>
        <v/>
      </c>
      <c r="BF21" s="17">
        <f>IF(AND(BB21=1,G21&lt;=Config!$B$5),V21,"")</f>
        <v/>
      </c>
      <c r="BG21" s="17">
        <f>IF(BW21=1,IF(COUNTIFS($A$2:$A$201,$A21,$BW$2:$BW$201,1,$G$2:$G$201,"&lt;"&amp;G21)+COUNTIFS($A$2:$A$201,$A21,$BW$2:$BW$201,1,$G$2:$G$201,G21,$AT$2:$AT$201,"&lt;"&amp;AT21)=0,1,0),0)</f>
        <v/>
      </c>
      <c r="BH21" s="17">
        <f>IF(AND(AU21=1,ISNUMBER(K21)),1,0)</f>
        <v/>
      </c>
      <c r="BI21" s="17">
        <f>IF(BH21=1,IF(COUNTIFS($A$2:$A$201,$A21,$BH$2:$BH$201,1,$G$2:$G$201,"&lt;"&amp;G21)+COUNTIFS($A$2:$A$201,$A21,$BH$2:$BH$201,1,$G$2:$G$201,G21,$AT$2:$AT$201,"&lt;"&amp;AT21)=0,1,0),0)</f>
        <v/>
      </c>
      <c r="BJ21" s="17">
        <f>IF(AND(BI21=1,G21&lt;=Config!$B$5),K21,"")</f>
        <v/>
      </c>
      <c r="BK21" s="17">
        <f>IF(AND(AU21=1,OR(TRIM(U21)&lt;&gt;"",ISNUMBER(V21))),1,0)</f>
        <v/>
      </c>
      <c r="BL21" s="17">
        <f>IF(BK21=1,IF(COUNTIFS($A$2:$A$201,$A21,$BK$2:$BK$201,1,$G$2:$G$201,"&lt;"&amp;G21)+COUNTIFS($A$2:$A$201,$A21,$BK$2:$BK$201,1,$G$2:$G$201,G21,$AT$2:$AT$201,"&lt;"&amp;AT21)=0,1,0),0)</f>
        <v/>
      </c>
      <c r="BM21" s="17">
        <f>IF(BL21=1,$A21,"")</f>
        <v/>
      </c>
      <c r="BN21" s="17">
        <f>IF(AND(AU21=1,T21="Y",TRIM(U21)=""),1,0)</f>
        <v/>
      </c>
      <c r="BO21" s="17">
        <f>IF(AU21=1,AJ21&amp;"","")</f>
        <v/>
      </c>
      <c r="BP21" s="17">
        <f>IF(AU21=1,AK21&amp;"","")</f>
        <v/>
      </c>
      <c r="BQ21" s="17">
        <f>IF(AU21=1,AL21&amp;"","")</f>
        <v/>
      </c>
      <c r="BR21" s="17">
        <f>IF(AND(AU21=1,ISNUMBER(AP21),G21&lt;=Config!$B$5),AP21,"")</f>
        <v/>
      </c>
      <c r="BS21" s="17">
        <f>IF(AU21=1,IF(COUNTIFS($A$2:$A$201,$A21,$AN$2:$AN$201,"Y",$AU$2:$AU$201,1)&gt;0,"Y","N"),"")</f>
        <v/>
      </c>
      <c r="BT21" s="17">
        <f>IF(AND(AU21=1,AN21="maybe"),1,0)</f>
        <v/>
      </c>
      <c r="BU21" s="17">
        <f>IF(BT21=1,IF(COUNTIFS($A$2:$A$201,$A21,$BT$2:$BT$201,1,$G$2:$G$201,"&lt;"&amp;G21)+COUNTIFS($A$2:$A$201,$A21,$BT$2:$BT$201,1,$G$2:$G$201,G21,$AT$2:$AT$201,"&lt;"&amp;AT21)=0,1,0),0)</f>
        <v/>
      </c>
      <c r="BV21" s="17">
        <f>IF(AND(AU21=1,AN21="Y"),IF(COUNTIFS($A$2:$A$201,$A21,$AN$2:$AN$201,"Y",$AU$2:$AU$201,1,$G$2:$G$201,"&lt;"&amp;G21)+COUNTIFS($A$2:$A$201,$A21,$AN$2:$AN$201,"Y",$AU$2:$AU$201,1,$G$2:$G$201,G21,$AT$2:$AT$201,"&lt;"&amp;AT21)=0,1,0),0)</f>
        <v/>
      </c>
      <c r="BW21" s="17">
        <f>IF(AND(BA21=1,N(V21)&gt;=Config!$B$15),1,0)</f>
        <v/>
      </c>
      <c r="BX21" s="17">
        <f>IF(AU21=1,IFERROR(MATCH($A21,INDEX(Clay_Offices!$A$2:$FZ$601,0,Sync!$C$5),0),""),"")</f>
        <v/>
      </c>
      <c r="BY21" s="17">
        <f>IF(BX21="","",IFERROR(INDEX(Clay_Offices!$A$2:$FZ$601,BX21,Sync!$C$7)&amp;"",""))</f>
        <v/>
      </c>
      <c r="BZ21" s="17">
        <f>IF(BY21="","",IFERROR(INDEX(Lists!$J$2:$J$15,MATCH(BY21,Lists!$I$2:$I$15,0)),""))</f>
        <v/>
      </c>
      <c r="CA21" s="17">
        <f>IF(BX21="","",IFERROR(INDEX(Clay_Offices!$A$2:$FZ$601,BX21,Sync!$C$17)&amp;"",""))</f>
        <v/>
      </c>
      <c r="CB21" s="23">
        <f>IF(BX21="","",IFERROR(N(INDEX(Clay_Offices!$A$2:$FZ$601,BX21,Sync!$C$16)),0))</f>
        <v/>
      </c>
    </row>
    <row r="22">
      <c r="G22" s="22" t="n"/>
      <c r="AS22" s="17">
        <f>IF(TRIM($A22)="","",IF(AND(LEFT($A22,6)="SAMPLE",Config!$B$19&lt;&gt;"Y"),"",IF(NOT(ISNUMBER(G22)),"call_date is blank or not a date",IF(Sync!$C$5="","Clay paste is empty or has no row_id column: paste the Clay export on Clay_Offices",IF(BX22="","row_id not found in the Clay paste: add the Clay row or fix the row_id",IF(AND(ISNUMBER(BZ22),BZ22&gt;=1,BZ22&lt;=5),"Clay status is "&amp;BY22&amp;": set call_done or later",IF(AND(AW22=1,CA22&lt;&gt;BS22),"Clay yes_in_principle should be "&amp;BS22,IF(AND(AW22=1,CB22&lt;&gt;G22),"Clay call_date should be "&amp;TEXT(G22,"yyyy-mm-dd"),""))))))))</f>
        <v/>
      </c>
      <c r="AT22" s="17">
        <f>ROW()</f>
        <v/>
      </c>
      <c r="AU22" s="17">
        <f>IF(AND(TRIM($A22)&lt;&gt;"",ISNUMBER(G22)),IF(AND(LEFT($A22,6)="SAMPLE",Config!$B$19&lt;&gt;"Y"),0,1),0)</f>
        <v/>
      </c>
      <c r="AV22" s="17">
        <f>IF(AU22=1,IF(COUNTIFS($A$2:$A$201,$A22,$AU$2:$AU$201,1,$G$2:$G$201,"&lt;"&amp;G22)+COUNTIFS($A$2:$A$201,$A22,$AU$2:$AU$201,1,$G$2:$G$201,G22,$AT$2:$AT$201,"&lt;"&amp;AT22)=0,1,0),0)</f>
        <v/>
      </c>
      <c r="AW22" s="17">
        <f>IF(AU22=1,IF(COUNTIFS($A$2:$A$201,$A22,$AU$2:$AU$201,1,$G$2:$G$201,"&gt;"&amp;G22)+COUNTIFS($A$2:$A$201,$A22,$AU$2:$AU$201,1,$G$2:$G$201,G22,$AT$2:$AT$201,"&gt;"&amp;AT22)=0,1,0),0)</f>
        <v/>
      </c>
      <c r="AX22" s="17">
        <f>IF(AND(AU22=1,AN22="Y",Z22="Y",TRIM(AD22)&lt;&gt;""),1,0)</f>
        <v/>
      </c>
      <c r="AY22" s="17">
        <f>IF(AX22=1,IF(COUNTIFS($A$2:$A$201,$A22,$AX$2:$AX$201,1,$G$2:$G$201,"&lt;"&amp;G22)+COUNTIFS($A$2:$A$201,$A22,$AX$2:$AX$201,1,$G$2:$G$201,G22,$AT$2:$AT$201,"&lt;"&amp;AT22)=0,1,0),0)</f>
        <v/>
      </c>
      <c r="AZ22" s="17">
        <f>IF(AND(AU22=1,AN22="Y",AX22=0),1,0)</f>
        <v/>
      </c>
      <c r="BA22" s="17">
        <f>IF(AND(AU22=1,ISNUMBER(V22)),1,0)</f>
        <v/>
      </c>
      <c r="BB22" s="17">
        <f>IF(BA22=1,IF(COUNTIFS($A$2:$A$201,$A22,$BA$2:$BA$201,1,$G$2:$G$201,"&lt;"&amp;G22)+COUNTIFS($A$2:$A$201,$A22,$BA$2:$BA$201,1,$G$2:$G$201,G22,$AT$2:$AT$201,"&lt;"&amp;AT22)=0,1,0),0)</f>
        <v/>
      </c>
      <c r="BC22" s="17">
        <f>IF(AND(BB22=1,G22&lt;=Config!$B$6),V22,"")</f>
        <v/>
      </c>
      <c r="BD22" s="17">
        <f>IF(AND(BB22=1,G22&lt;=Config!$B$7),V22,"")</f>
        <v/>
      </c>
      <c r="BE22" s="17">
        <f>IF(AND(BB22=1,G22&lt;=Config!$B$8),V22,"")</f>
        <v/>
      </c>
      <c r="BF22" s="17">
        <f>IF(AND(BB22=1,G22&lt;=Config!$B$5),V22,"")</f>
        <v/>
      </c>
      <c r="BG22" s="17">
        <f>IF(BW22=1,IF(COUNTIFS($A$2:$A$201,$A22,$BW$2:$BW$201,1,$G$2:$G$201,"&lt;"&amp;G22)+COUNTIFS($A$2:$A$201,$A22,$BW$2:$BW$201,1,$G$2:$G$201,G22,$AT$2:$AT$201,"&lt;"&amp;AT22)=0,1,0),0)</f>
        <v/>
      </c>
      <c r="BH22" s="17">
        <f>IF(AND(AU22=1,ISNUMBER(K22)),1,0)</f>
        <v/>
      </c>
      <c r="BI22" s="17">
        <f>IF(BH22=1,IF(COUNTIFS($A$2:$A$201,$A22,$BH$2:$BH$201,1,$G$2:$G$201,"&lt;"&amp;G22)+COUNTIFS($A$2:$A$201,$A22,$BH$2:$BH$201,1,$G$2:$G$201,G22,$AT$2:$AT$201,"&lt;"&amp;AT22)=0,1,0),0)</f>
        <v/>
      </c>
      <c r="BJ22" s="17">
        <f>IF(AND(BI22=1,G22&lt;=Config!$B$5),K22,"")</f>
        <v/>
      </c>
      <c r="BK22" s="17">
        <f>IF(AND(AU22=1,OR(TRIM(U22)&lt;&gt;"",ISNUMBER(V22))),1,0)</f>
        <v/>
      </c>
      <c r="BL22" s="17">
        <f>IF(BK22=1,IF(COUNTIFS($A$2:$A$201,$A22,$BK$2:$BK$201,1,$G$2:$G$201,"&lt;"&amp;G22)+COUNTIFS($A$2:$A$201,$A22,$BK$2:$BK$201,1,$G$2:$G$201,G22,$AT$2:$AT$201,"&lt;"&amp;AT22)=0,1,0),0)</f>
        <v/>
      </c>
      <c r="BM22" s="17">
        <f>IF(BL22=1,$A22,"")</f>
        <v/>
      </c>
      <c r="BN22" s="17">
        <f>IF(AND(AU22=1,T22="Y",TRIM(U22)=""),1,0)</f>
        <v/>
      </c>
      <c r="BO22" s="17">
        <f>IF(AU22=1,AJ22&amp;"","")</f>
        <v/>
      </c>
      <c r="BP22" s="17">
        <f>IF(AU22=1,AK22&amp;"","")</f>
        <v/>
      </c>
      <c r="BQ22" s="17">
        <f>IF(AU22=1,AL22&amp;"","")</f>
        <v/>
      </c>
      <c r="BR22" s="17">
        <f>IF(AND(AU22=1,ISNUMBER(AP22),G22&lt;=Config!$B$5),AP22,"")</f>
        <v/>
      </c>
      <c r="BS22" s="17">
        <f>IF(AU22=1,IF(COUNTIFS($A$2:$A$201,$A22,$AN$2:$AN$201,"Y",$AU$2:$AU$201,1)&gt;0,"Y","N"),"")</f>
        <v/>
      </c>
      <c r="BT22" s="17">
        <f>IF(AND(AU22=1,AN22="maybe"),1,0)</f>
        <v/>
      </c>
      <c r="BU22" s="17">
        <f>IF(BT22=1,IF(COUNTIFS($A$2:$A$201,$A22,$BT$2:$BT$201,1,$G$2:$G$201,"&lt;"&amp;G22)+COUNTIFS($A$2:$A$201,$A22,$BT$2:$BT$201,1,$G$2:$G$201,G22,$AT$2:$AT$201,"&lt;"&amp;AT22)=0,1,0),0)</f>
        <v/>
      </c>
      <c r="BV22" s="17">
        <f>IF(AND(AU22=1,AN22="Y"),IF(COUNTIFS($A$2:$A$201,$A22,$AN$2:$AN$201,"Y",$AU$2:$AU$201,1,$G$2:$G$201,"&lt;"&amp;G22)+COUNTIFS($A$2:$A$201,$A22,$AN$2:$AN$201,"Y",$AU$2:$AU$201,1,$G$2:$G$201,G22,$AT$2:$AT$201,"&lt;"&amp;AT22)=0,1,0),0)</f>
        <v/>
      </c>
      <c r="BW22" s="17">
        <f>IF(AND(BA22=1,N(V22)&gt;=Config!$B$15),1,0)</f>
        <v/>
      </c>
      <c r="BX22" s="17">
        <f>IF(AU22=1,IFERROR(MATCH($A22,INDEX(Clay_Offices!$A$2:$FZ$601,0,Sync!$C$5),0),""),"")</f>
        <v/>
      </c>
      <c r="BY22" s="17">
        <f>IF(BX22="","",IFERROR(INDEX(Clay_Offices!$A$2:$FZ$601,BX22,Sync!$C$7)&amp;"",""))</f>
        <v/>
      </c>
      <c r="BZ22" s="17">
        <f>IF(BY22="","",IFERROR(INDEX(Lists!$J$2:$J$15,MATCH(BY22,Lists!$I$2:$I$15,0)),""))</f>
        <v/>
      </c>
      <c r="CA22" s="17">
        <f>IF(BX22="","",IFERROR(INDEX(Clay_Offices!$A$2:$FZ$601,BX22,Sync!$C$17)&amp;"",""))</f>
        <v/>
      </c>
      <c r="CB22" s="23">
        <f>IF(BX22="","",IFERROR(N(INDEX(Clay_Offices!$A$2:$FZ$601,BX22,Sync!$C$16)),0))</f>
        <v/>
      </c>
    </row>
    <row r="23">
      <c r="G23" s="22" t="n"/>
      <c r="AS23" s="17">
        <f>IF(TRIM($A23)="","",IF(AND(LEFT($A23,6)="SAMPLE",Config!$B$19&lt;&gt;"Y"),"",IF(NOT(ISNUMBER(G23)),"call_date is blank or not a date",IF(Sync!$C$5="","Clay paste is empty or has no row_id column: paste the Clay export on Clay_Offices",IF(BX23="","row_id not found in the Clay paste: add the Clay row or fix the row_id",IF(AND(ISNUMBER(BZ23),BZ23&gt;=1,BZ23&lt;=5),"Clay status is "&amp;BY23&amp;": set call_done or later",IF(AND(AW23=1,CA23&lt;&gt;BS23),"Clay yes_in_principle should be "&amp;BS23,IF(AND(AW23=1,CB23&lt;&gt;G23),"Clay call_date should be "&amp;TEXT(G23,"yyyy-mm-dd"),""))))))))</f>
        <v/>
      </c>
      <c r="AT23" s="17">
        <f>ROW()</f>
        <v/>
      </c>
      <c r="AU23" s="17">
        <f>IF(AND(TRIM($A23)&lt;&gt;"",ISNUMBER(G23)),IF(AND(LEFT($A23,6)="SAMPLE",Config!$B$19&lt;&gt;"Y"),0,1),0)</f>
        <v/>
      </c>
      <c r="AV23" s="17">
        <f>IF(AU23=1,IF(COUNTIFS($A$2:$A$201,$A23,$AU$2:$AU$201,1,$G$2:$G$201,"&lt;"&amp;G23)+COUNTIFS($A$2:$A$201,$A23,$AU$2:$AU$201,1,$G$2:$G$201,G23,$AT$2:$AT$201,"&lt;"&amp;AT23)=0,1,0),0)</f>
        <v/>
      </c>
      <c r="AW23" s="17">
        <f>IF(AU23=1,IF(COUNTIFS($A$2:$A$201,$A23,$AU$2:$AU$201,1,$G$2:$G$201,"&gt;"&amp;G23)+COUNTIFS($A$2:$A$201,$A23,$AU$2:$AU$201,1,$G$2:$G$201,G23,$AT$2:$AT$201,"&gt;"&amp;AT23)=0,1,0),0)</f>
        <v/>
      </c>
      <c r="AX23" s="17">
        <f>IF(AND(AU23=1,AN23="Y",Z23="Y",TRIM(AD23)&lt;&gt;""),1,0)</f>
        <v/>
      </c>
      <c r="AY23" s="17">
        <f>IF(AX23=1,IF(COUNTIFS($A$2:$A$201,$A23,$AX$2:$AX$201,1,$G$2:$G$201,"&lt;"&amp;G23)+COUNTIFS($A$2:$A$201,$A23,$AX$2:$AX$201,1,$G$2:$G$201,G23,$AT$2:$AT$201,"&lt;"&amp;AT23)=0,1,0),0)</f>
        <v/>
      </c>
      <c r="AZ23" s="17">
        <f>IF(AND(AU23=1,AN23="Y",AX23=0),1,0)</f>
        <v/>
      </c>
      <c r="BA23" s="17">
        <f>IF(AND(AU23=1,ISNUMBER(V23)),1,0)</f>
        <v/>
      </c>
      <c r="BB23" s="17">
        <f>IF(BA23=1,IF(COUNTIFS($A$2:$A$201,$A23,$BA$2:$BA$201,1,$G$2:$G$201,"&lt;"&amp;G23)+COUNTIFS($A$2:$A$201,$A23,$BA$2:$BA$201,1,$G$2:$G$201,G23,$AT$2:$AT$201,"&lt;"&amp;AT23)=0,1,0),0)</f>
        <v/>
      </c>
      <c r="BC23" s="17">
        <f>IF(AND(BB23=1,G23&lt;=Config!$B$6),V23,"")</f>
        <v/>
      </c>
      <c r="BD23" s="17">
        <f>IF(AND(BB23=1,G23&lt;=Config!$B$7),V23,"")</f>
        <v/>
      </c>
      <c r="BE23" s="17">
        <f>IF(AND(BB23=1,G23&lt;=Config!$B$8),V23,"")</f>
        <v/>
      </c>
      <c r="BF23" s="17">
        <f>IF(AND(BB23=1,G23&lt;=Config!$B$5),V23,"")</f>
        <v/>
      </c>
      <c r="BG23" s="17">
        <f>IF(BW23=1,IF(COUNTIFS($A$2:$A$201,$A23,$BW$2:$BW$201,1,$G$2:$G$201,"&lt;"&amp;G23)+COUNTIFS($A$2:$A$201,$A23,$BW$2:$BW$201,1,$G$2:$G$201,G23,$AT$2:$AT$201,"&lt;"&amp;AT23)=0,1,0),0)</f>
        <v/>
      </c>
      <c r="BH23" s="17">
        <f>IF(AND(AU23=1,ISNUMBER(K23)),1,0)</f>
        <v/>
      </c>
      <c r="BI23" s="17">
        <f>IF(BH23=1,IF(COUNTIFS($A$2:$A$201,$A23,$BH$2:$BH$201,1,$G$2:$G$201,"&lt;"&amp;G23)+COUNTIFS($A$2:$A$201,$A23,$BH$2:$BH$201,1,$G$2:$G$201,G23,$AT$2:$AT$201,"&lt;"&amp;AT23)=0,1,0),0)</f>
        <v/>
      </c>
      <c r="BJ23" s="17">
        <f>IF(AND(BI23=1,G23&lt;=Config!$B$5),K23,"")</f>
        <v/>
      </c>
      <c r="BK23" s="17">
        <f>IF(AND(AU23=1,OR(TRIM(U23)&lt;&gt;"",ISNUMBER(V23))),1,0)</f>
        <v/>
      </c>
      <c r="BL23" s="17">
        <f>IF(BK23=1,IF(COUNTIFS($A$2:$A$201,$A23,$BK$2:$BK$201,1,$G$2:$G$201,"&lt;"&amp;G23)+COUNTIFS($A$2:$A$201,$A23,$BK$2:$BK$201,1,$G$2:$G$201,G23,$AT$2:$AT$201,"&lt;"&amp;AT23)=0,1,0),0)</f>
        <v/>
      </c>
      <c r="BM23" s="17">
        <f>IF(BL23=1,$A23,"")</f>
        <v/>
      </c>
      <c r="BN23" s="17">
        <f>IF(AND(AU23=1,T23="Y",TRIM(U23)=""),1,0)</f>
        <v/>
      </c>
      <c r="BO23" s="17">
        <f>IF(AU23=1,AJ23&amp;"","")</f>
        <v/>
      </c>
      <c r="BP23" s="17">
        <f>IF(AU23=1,AK23&amp;"","")</f>
        <v/>
      </c>
      <c r="BQ23" s="17">
        <f>IF(AU23=1,AL23&amp;"","")</f>
        <v/>
      </c>
      <c r="BR23" s="17">
        <f>IF(AND(AU23=1,ISNUMBER(AP23),G23&lt;=Config!$B$5),AP23,"")</f>
        <v/>
      </c>
      <c r="BS23" s="17">
        <f>IF(AU23=1,IF(COUNTIFS($A$2:$A$201,$A23,$AN$2:$AN$201,"Y",$AU$2:$AU$201,1)&gt;0,"Y","N"),"")</f>
        <v/>
      </c>
      <c r="BT23" s="17">
        <f>IF(AND(AU23=1,AN23="maybe"),1,0)</f>
        <v/>
      </c>
      <c r="BU23" s="17">
        <f>IF(BT23=1,IF(COUNTIFS($A$2:$A$201,$A23,$BT$2:$BT$201,1,$G$2:$G$201,"&lt;"&amp;G23)+COUNTIFS($A$2:$A$201,$A23,$BT$2:$BT$201,1,$G$2:$G$201,G23,$AT$2:$AT$201,"&lt;"&amp;AT23)=0,1,0),0)</f>
        <v/>
      </c>
      <c r="BV23" s="17">
        <f>IF(AND(AU23=1,AN23="Y"),IF(COUNTIFS($A$2:$A$201,$A23,$AN$2:$AN$201,"Y",$AU$2:$AU$201,1,$G$2:$G$201,"&lt;"&amp;G23)+COUNTIFS($A$2:$A$201,$A23,$AN$2:$AN$201,"Y",$AU$2:$AU$201,1,$G$2:$G$201,G23,$AT$2:$AT$201,"&lt;"&amp;AT23)=0,1,0),0)</f>
        <v/>
      </c>
      <c r="BW23" s="17">
        <f>IF(AND(BA23=1,N(V23)&gt;=Config!$B$15),1,0)</f>
        <v/>
      </c>
      <c r="BX23" s="17">
        <f>IF(AU23=1,IFERROR(MATCH($A23,INDEX(Clay_Offices!$A$2:$FZ$601,0,Sync!$C$5),0),""),"")</f>
        <v/>
      </c>
      <c r="BY23" s="17">
        <f>IF(BX23="","",IFERROR(INDEX(Clay_Offices!$A$2:$FZ$601,BX23,Sync!$C$7)&amp;"",""))</f>
        <v/>
      </c>
      <c r="BZ23" s="17">
        <f>IF(BY23="","",IFERROR(INDEX(Lists!$J$2:$J$15,MATCH(BY23,Lists!$I$2:$I$15,0)),""))</f>
        <v/>
      </c>
      <c r="CA23" s="17">
        <f>IF(BX23="","",IFERROR(INDEX(Clay_Offices!$A$2:$FZ$601,BX23,Sync!$C$17)&amp;"",""))</f>
        <v/>
      </c>
      <c r="CB23" s="23">
        <f>IF(BX23="","",IFERROR(N(INDEX(Clay_Offices!$A$2:$FZ$601,BX23,Sync!$C$16)),0))</f>
        <v/>
      </c>
    </row>
    <row r="24">
      <c r="G24" s="22" t="n"/>
      <c r="AS24" s="17">
        <f>IF(TRIM($A24)="","",IF(AND(LEFT($A24,6)="SAMPLE",Config!$B$19&lt;&gt;"Y"),"",IF(NOT(ISNUMBER(G24)),"call_date is blank or not a date",IF(Sync!$C$5="","Clay paste is empty or has no row_id column: paste the Clay export on Clay_Offices",IF(BX24="","row_id not found in the Clay paste: add the Clay row or fix the row_id",IF(AND(ISNUMBER(BZ24),BZ24&gt;=1,BZ24&lt;=5),"Clay status is "&amp;BY24&amp;": set call_done or later",IF(AND(AW24=1,CA24&lt;&gt;BS24),"Clay yes_in_principle should be "&amp;BS24,IF(AND(AW24=1,CB24&lt;&gt;G24),"Clay call_date should be "&amp;TEXT(G24,"yyyy-mm-dd"),""))))))))</f>
        <v/>
      </c>
      <c r="AT24" s="17">
        <f>ROW()</f>
        <v/>
      </c>
      <c r="AU24" s="17">
        <f>IF(AND(TRIM($A24)&lt;&gt;"",ISNUMBER(G24)),IF(AND(LEFT($A24,6)="SAMPLE",Config!$B$19&lt;&gt;"Y"),0,1),0)</f>
        <v/>
      </c>
      <c r="AV24" s="17">
        <f>IF(AU24=1,IF(COUNTIFS($A$2:$A$201,$A24,$AU$2:$AU$201,1,$G$2:$G$201,"&lt;"&amp;G24)+COUNTIFS($A$2:$A$201,$A24,$AU$2:$AU$201,1,$G$2:$G$201,G24,$AT$2:$AT$201,"&lt;"&amp;AT24)=0,1,0),0)</f>
        <v/>
      </c>
      <c r="AW24" s="17">
        <f>IF(AU24=1,IF(COUNTIFS($A$2:$A$201,$A24,$AU$2:$AU$201,1,$G$2:$G$201,"&gt;"&amp;G24)+COUNTIFS($A$2:$A$201,$A24,$AU$2:$AU$201,1,$G$2:$G$201,G24,$AT$2:$AT$201,"&gt;"&amp;AT24)=0,1,0),0)</f>
        <v/>
      </c>
      <c r="AX24" s="17">
        <f>IF(AND(AU24=1,AN24="Y",Z24="Y",TRIM(AD24)&lt;&gt;""),1,0)</f>
        <v/>
      </c>
      <c r="AY24" s="17">
        <f>IF(AX24=1,IF(COUNTIFS($A$2:$A$201,$A24,$AX$2:$AX$201,1,$G$2:$G$201,"&lt;"&amp;G24)+COUNTIFS($A$2:$A$201,$A24,$AX$2:$AX$201,1,$G$2:$G$201,G24,$AT$2:$AT$201,"&lt;"&amp;AT24)=0,1,0),0)</f>
        <v/>
      </c>
      <c r="AZ24" s="17">
        <f>IF(AND(AU24=1,AN24="Y",AX24=0),1,0)</f>
        <v/>
      </c>
      <c r="BA24" s="17">
        <f>IF(AND(AU24=1,ISNUMBER(V24)),1,0)</f>
        <v/>
      </c>
      <c r="BB24" s="17">
        <f>IF(BA24=1,IF(COUNTIFS($A$2:$A$201,$A24,$BA$2:$BA$201,1,$G$2:$G$201,"&lt;"&amp;G24)+COUNTIFS($A$2:$A$201,$A24,$BA$2:$BA$201,1,$G$2:$G$201,G24,$AT$2:$AT$201,"&lt;"&amp;AT24)=0,1,0),0)</f>
        <v/>
      </c>
      <c r="BC24" s="17">
        <f>IF(AND(BB24=1,G24&lt;=Config!$B$6),V24,"")</f>
        <v/>
      </c>
      <c r="BD24" s="17">
        <f>IF(AND(BB24=1,G24&lt;=Config!$B$7),V24,"")</f>
        <v/>
      </c>
      <c r="BE24" s="17">
        <f>IF(AND(BB24=1,G24&lt;=Config!$B$8),V24,"")</f>
        <v/>
      </c>
      <c r="BF24" s="17">
        <f>IF(AND(BB24=1,G24&lt;=Config!$B$5),V24,"")</f>
        <v/>
      </c>
      <c r="BG24" s="17">
        <f>IF(BW24=1,IF(COUNTIFS($A$2:$A$201,$A24,$BW$2:$BW$201,1,$G$2:$G$201,"&lt;"&amp;G24)+COUNTIFS($A$2:$A$201,$A24,$BW$2:$BW$201,1,$G$2:$G$201,G24,$AT$2:$AT$201,"&lt;"&amp;AT24)=0,1,0),0)</f>
        <v/>
      </c>
      <c r="BH24" s="17">
        <f>IF(AND(AU24=1,ISNUMBER(K24)),1,0)</f>
        <v/>
      </c>
      <c r="BI24" s="17">
        <f>IF(BH24=1,IF(COUNTIFS($A$2:$A$201,$A24,$BH$2:$BH$201,1,$G$2:$G$201,"&lt;"&amp;G24)+COUNTIFS($A$2:$A$201,$A24,$BH$2:$BH$201,1,$G$2:$G$201,G24,$AT$2:$AT$201,"&lt;"&amp;AT24)=0,1,0),0)</f>
        <v/>
      </c>
      <c r="BJ24" s="17">
        <f>IF(AND(BI24=1,G24&lt;=Config!$B$5),K24,"")</f>
        <v/>
      </c>
      <c r="BK24" s="17">
        <f>IF(AND(AU24=1,OR(TRIM(U24)&lt;&gt;"",ISNUMBER(V24))),1,0)</f>
        <v/>
      </c>
      <c r="BL24" s="17">
        <f>IF(BK24=1,IF(COUNTIFS($A$2:$A$201,$A24,$BK$2:$BK$201,1,$G$2:$G$201,"&lt;"&amp;G24)+COUNTIFS($A$2:$A$201,$A24,$BK$2:$BK$201,1,$G$2:$G$201,G24,$AT$2:$AT$201,"&lt;"&amp;AT24)=0,1,0),0)</f>
        <v/>
      </c>
      <c r="BM24" s="17">
        <f>IF(BL24=1,$A24,"")</f>
        <v/>
      </c>
      <c r="BN24" s="17">
        <f>IF(AND(AU24=1,T24="Y",TRIM(U24)=""),1,0)</f>
        <v/>
      </c>
      <c r="BO24" s="17">
        <f>IF(AU24=1,AJ24&amp;"","")</f>
        <v/>
      </c>
      <c r="BP24" s="17">
        <f>IF(AU24=1,AK24&amp;"","")</f>
        <v/>
      </c>
      <c r="BQ24" s="17">
        <f>IF(AU24=1,AL24&amp;"","")</f>
        <v/>
      </c>
      <c r="BR24" s="17">
        <f>IF(AND(AU24=1,ISNUMBER(AP24),G24&lt;=Config!$B$5),AP24,"")</f>
        <v/>
      </c>
      <c r="BS24" s="17">
        <f>IF(AU24=1,IF(COUNTIFS($A$2:$A$201,$A24,$AN$2:$AN$201,"Y",$AU$2:$AU$201,1)&gt;0,"Y","N"),"")</f>
        <v/>
      </c>
      <c r="BT24" s="17">
        <f>IF(AND(AU24=1,AN24="maybe"),1,0)</f>
        <v/>
      </c>
      <c r="BU24" s="17">
        <f>IF(BT24=1,IF(COUNTIFS($A$2:$A$201,$A24,$BT$2:$BT$201,1,$G$2:$G$201,"&lt;"&amp;G24)+COUNTIFS($A$2:$A$201,$A24,$BT$2:$BT$201,1,$G$2:$G$201,G24,$AT$2:$AT$201,"&lt;"&amp;AT24)=0,1,0),0)</f>
        <v/>
      </c>
      <c r="BV24" s="17">
        <f>IF(AND(AU24=1,AN24="Y"),IF(COUNTIFS($A$2:$A$201,$A24,$AN$2:$AN$201,"Y",$AU$2:$AU$201,1,$G$2:$G$201,"&lt;"&amp;G24)+COUNTIFS($A$2:$A$201,$A24,$AN$2:$AN$201,"Y",$AU$2:$AU$201,1,$G$2:$G$201,G24,$AT$2:$AT$201,"&lt;"&amp;AT24)=0,1,0),0)</f>
        <v/>
      </c>
      <c r="BW24" s="17">
        <f>IF(AND(BA24=1,N(V24)&gt;=Config!$B$15),1,0)</f>
        <v/>
      </c>
      <c r="BX24" s="17">
        <f>IF(AU24=1,IFERROR(MATCH($A24,INDEX(Clay_Offices!$A$2:$FZ$601,0,Sync!$C$5),0),""),"")</f>
        <v/>
      </c>
      <c r="BY24" s="17">
        <f>IF(BX24="","",IFERROR(INDEX(Clay_Offices!$A$2:$FZ$601,BX24,Sync!$C$7)&amp;"",""))</f>
        <v/>
      </c>
      <c r="BZ24" s="17">
        <f>IF(BY24="","",IFERROR(INDEX(Lists!$J$2:$J$15,MATCH(BY24,Lists!$I$2:$I$15,0)),""))</f>
        <v/>
      </c>
      <c r="CA24" s="17">
        <f>IF(BX24="","",IFERROR(INDEX(Clay_Offices!$A$2:$FZ$601,BX24,Sync!$C$17)&amp;"",""))</f>
        <v/>
      </c>
      <c r="CB24" s="23">
        <f>IF(BX24="","",IFERROR(N(INDEX(Clay_Offices!$A$2:$FZ$601,BX24,Sync!$C$16)),0))</f>
        <v/>
      </c>
    </row>
    <row r="25">
      <c r="G25" s="22" t="n"/>
      <c r="AS25" s="17">
        <f>IF(TRIM($A25)="","",IF(AND(LEFT($A25,6)="SAMPLE",Config!$B$19&lt;&gt;"Y"),"",IF(NOT(ISNUMBER(G25)),"call_date is blank or not a date",IF(Sync!$C$5="","Clay paste is empty or has no row_id column: paste the Clay export on Clay_Offices",IF(BX25="","row_id not found in the Clay paste: add the Clay row or fix the row_id",IF(AND(ISNUMBER(BZ25),BZ25&gt;=1,BZ25&lt;=5),"Clay status is "&amp;BY25&amp;": set call_done or later",IF(AND(AW25=1,CA25&lt;&gt;BS25),"Clay yes_in_principle should be "&amp;BS25,IF(AND(AW25=1,CB25&lt;&gt;G25),"Clay call_date should be "&amp;TEXT(G25,"yyyy-mm-dd"),""))))))))</f>
        <v/>
      </c>
      <c r="AT25" s="17">
        <f>ROW()</f>
        <v/>
      </c>
      <c r="AU25" s="17">
        <f>IF(AND(TRIM($A25)&lt;&gt;"",ISNUMBER(G25)),IF(AND(LEFT($A25,6)="SAMPLE",Config!$B$19&lt;&gt;"Y"),0,1),0)</f>
        <v/>
      </c>
      <c r="AV25" s="17">
        <f>IF(AU25=1,IF(COUNTIFS($A$2:$A$201,$A25,$AU$2:$AU$201,1,$G$2:$G$201,"&lt;"&amp;G25)+COUNTIFS($A$2:$A$201,$A25,$AU$2:$AU$201,1,$G$2:$G$201,G25,$AT$2:$AT$201,"&lt;"&amp;AT25)=0,1,0),0)</f>
        <v/>
      </c>
      <c r="AW25" s="17">
        <f>IF(AU25=1,IF(COUNTIFS($A$2:$A$201,$A25,$AU$2:$AU$201,1,$G$2:$G$201,"&gt;"&amp;G25)+COUNTIFS($A$2:$A$201,$A25,$AU$2:$AU$201,1,$G$2:$G$201,G25,$AT$2:$AT$201,"&gt;"&amp;AT25)=0,1,0),0)</f>
        <v/>
      </c>
      <c r="AX25" s="17">
        <f>IF(AND(AU25=1,AN25="Y",Z25="Y",TRIM(AD25)&lt;&gt;""),1,0)</f>
        <v/>
      </c>
      <c r="AY25" s="17">
        <f>IF(AX25=1,IF(COUNTIFS($A$2:$A$201,$A25,$AX$2:$AX$201,1,$G$2:$G$201,"&lt;"&amp;G25)+COUNTIFS($A$2:$A$201,$A25,$AX$2:$AX$201,1,$G$2:$G$201,G25,$AT$2:$AT$201,"&lt;"&amp;AT25)=0,1,0),0)</f>
        <v/>
      </c>
      <c r="AZ25" s="17">
        <f>IF(AND(AU25=1,AN25="Y",AX25=0),1,0)</f>
        <v/>
      </c>
      <c r="BA25" s="17">
        <f>IF(AND(AU25=1,ISNUMBER(V25)),1,0)</f>
        <v/>
      </c>
      <c r="BB25" s="17">
        <f>IF(BA25=1,IF(COUNTIFS($A$2:$A$201,$A25,$BA$2:$BA$201,1,$G$2:$G$201,"&lt;"&amp;G25)+COUNTIFS($A$2:$A$201,$A25,$BA$2:$BA$201,1,$G$2:$G$201,G25,$AT$2:$AT$201,"&lt;"&amp;AT25)=0,1,0),0)</f>
        <v/>
      </c>
      <c r="BC25" s="17">
        <f>IF(AND(BB25=1,G25&lt;=Config!$B$6),V25,"")</f>
        <v/>
      </c>
      <c r="BD25" s="17">
        <f>IF(AND(BB25=1,G25&lt;=Config!$B$7),V25,"")</f>
        <v/>
      </c>
      <c r="BE25" s="17">
        <f>IF(AND(BB25=1,G25&lt;=Config!$B$8),V25,"")</f>
        <v/>
      </c>
      <c r="BF25" s="17">
        <f>IF(AND(BB25=1,G25&lt;=Config!$B$5),V25,"")</f>
        <v/>
      </c>
      <c r="BG25" s="17">
        <f>IF(BW25=1,IF(COUNTIFS($A$2:$A$201,$A25,$BW$2:$BW$201,1,$G$2:$G$201,"&lt;"&amp;G25)+COUNTIFS($A$2:$A$201,$A25,$BW$2:$BW$201,1,$G$2:$G$201,G25,$AT$2:$AT$201,"&lt;"&amp;AT25)=0,1,0),0)</f>
        <v/>
      </c>
      <c r="BH25" s="17">
        <f>IF(AND(AU25=1,ISNUMBER(K25)),1,0)</f>
        <v/>
      </c>
      <c r="BI25" s="17">
        <f>IF(BH25=1,IF(COUNTIFS($A$2:$A$201,$A25,$BH$2:$BH$201,1,$G$2:$G$201,"&lt;"&amp;G25)+COUNTIFS($A$2:$A$201,$A25,$BH$2:$BH$201,1,$G$2:$G$201,G25,$AT$2:$AT$201,"&lt;"&amp;AT25)=0,1,0),0)</f>
        <v/>
      </c>
      <c r="BJ25" s="17">
        <f>IF(AND(BI25=1,G25&lt;=Config!$B$5),K25,"")</f>
        <v/>
      </c>
      <c r="BK25" s="17">
        <f>IF(AND(AU25=1,OR(TRIM(U25)&lt;&gt;"",ISNUMBER(V25))),1,0)</f>
        <v/>
      </c>
      <c r="BL25" s="17">
        <f>IF(BK25=1,IF(COUNTIFS($A$2:$A$201,$A25,$BK$2:$BK$201,1,$G$2:$G$201,"&lt;"&amp;G25)+COUNTIFS($A$2:$A$201,$A25,$BK$2:$BK$201,1,$G$2:$G$201,G25,$AT$2:$AT$201,"&lt;"&amp;AT25)=0,1,0),0)</f>
        <v/>
      </c>
      <c r="BM25" s="17">
        <f>IF(BL25=1,$A25,"")</f>
        <v/>
      </c>
      <c r="BN25" s="17">
        <f>IF(AND(AU25=1,T25="Y",TRIM(U25)=""),1,0)</f>
        <v/>
      </c>
      <c r="BO25" s="17">
        <f>IF(AU25=1,AJ25&amp;"","")</f>
        <v/>
      </c>
      <c r="BP25" s="17">
        <f>IF(AU25=1,AK25&amp;"","")</f>
        <v/>
      </c>
      <c r="BQ25" s="17">
        <f>IF(AU25=1,AL25&amp;"","")</f>
        <v/>
      </c>
      <c r="BR25" s="17">
        <f>IF(AND(AU25=1,ISNUMBER(AP25),G25&lt;=Config!$B$5),AP25,"")</f>
        <v/>
      </c>
      <c r="BS25" s="17">
        <f>IF(AU25=1,IF(COUNTIFS($A$2:$A$201,$A25,$AN$2:$AN$201,"Y",$AU$2:$AU$201,1)&gt;0,"Y","N"),"")</f>
        <v/>
      </c>
      <c r="BT25" s="17">
        <f>IF(AND(AU25=1,AN25="maybe"),1,0)</f>
        <v/>
      </c>
      <c r="BU25" s="17">
        <f>IF(BT25=1,IF(COUNTIFS($A$2:$A$201,$A25,$BT$2:$BT$201,1,$G$2:$G$201,"&lt;"&amp;G25)+COUNTIFS($A$2:$A$201,$A25,$BT$2:$BT$201,1,$G$2:$G$201,G25,$AT$2:$AT$201,"&lt;"&amp;AT25)=0,1,0),0)</f>
        <v/>
      </c>
      <c r="BV25" s="17">
        <f>IF(AND(AU25=1,AN25="Y"),IF(COUNTIFS($A$2:$A$201,$A25,$AN$2:$AN$201,"Y",$AU$2:$AU$201,1,$G$2:$G$201,"&lt;"&amp;G25)+COUNTIFS($A$2:$A$201,$A25,$AN$2:$AN$201,"Y",$AU$2:$AU$201,1,$G$2:$G$201,G25,$AT$2:$AT$201,"&lt;"&amp;AT25)=0,1,0),0)</f>
        <v/>
      </c>
      <c r="BW25" s="17">
        <f>IF(AND(BA25=1,N(V25)&gt;=Config!$B$15),1,0)</f>
        <v/>
      </c>
      <c r="BX25" s="17">
        <f>IF(AU25=1,IFERROR(MATCH($A25,INDEX(Clay_Offices!$A$2:$FZ$601,0,Sync!$C$5),0),""),"")</f>
        <v/>
      </c>
      <c r="BY25" s="17">
        <f>IF(BX25="","",IFERROR(INDEX(Clay_Offices!$A$2:$FZ$601,BX25,Sync!$C$7)&amp;"",""))</f>
        <v/>
      </c>
      <c r="BZ25" s="17">
        <f>IF(BY25="","",IFERROR(INDEX(Lists!$J$2:$J$15,MATCH(BY25,Lists!$I$2:$I$15,0)),""))</f>
        <v/>
      </c>
      <c r="CA25" s="17">
        <f>IF(BX25="","",IFERROR(INDEX(Clay_Offices!$A$2:$FZ$601,BX25,Sync!$C$17)&amp;"",""))</f>
        <v/>
      </c>
      <c r="CB25" s="23">
        <f>IF(BX25="","",IFERROR(N(INDEX(Clay_Offices!$A$2:$FZ$601,BX25,Sync!$C$16)),0))</f>
        <v/>
      </c>
    </row>
    <row r="26">
      <c r="G26" s="22" t="n"/>
      <c r="AS26" s="17">
        <f>IF(TRIM($A26)="","",IF(AND(LEFT($A26,6)="SAMPLE",Config!$B$19&lt;&gt;"Y"),"",IF(NOT(ISNUMBER(G26)),"call_date is blank or not a date",IF(Sync!$C$5="","Clay paste is empty or has no row_id column: paste the Clay export on Clay_Offices",IF(BX26="","row_id not found in the Clay paste: add the Clay row or fix the row_id",IF(AND(ISNUMBER(BZ26),BZ26&gt;=1,BZ26&lt;=5),"Clay status is "&amp;BY26&amp;": set call_done or later",IF(AND(AW26=1,CA26&lt;&gt;BS26),"Clay yes_in_principle should be "&amp;BS26,IF(AND(AW26=1,CB26&lt;&gt;G26),"Clay call_date should be "&amp;TEXT(G26,"yyyy-mm-dd"),""))))))))</f>
        <v/>
      </c>
      <c r="AT26" s="17">
        <f>ROW()</f>
        <v/>
      </c>
      <c r="AU26" s="17">
        <f>IF(AND(TRIM($A26)&lt;&gt;"",ISNUMBER(G26)),IF(AND(LEFT($A26,6)="SAMPLE",Config!$B$19&lt;&gt;"Y"),0,1),0)</f>
        <v/>
      </c>
      <c r="AV26" s="17">
        <f>IF(AU26=1,IF(COUNTIFS($A$2:$A$201,$A26,$AU$2:$AU$201,1,$G$2:$G$201,"&lt;"&amp;G26)+COUNTIFS($A$2:$A$201,$A26,$AU$2:$AU$201,1,$G$2:$G$201,G26,$AT$2:$AT$201,"&lt;"&amp;AT26)=0,1,0),0)</f>
        <v/>
      </c>
      <c r="AW26" s="17">
        <f>IF(AU26=1,IF(COUNTIFS($A$2:$A$201,$A26,$AU$2:$AU$201,1,$G$2:$G$201,"&gt;"&amp;G26)+COUNTIFS($A$2:$A$201,$A26,$AU$2:$AU$201,1,$G$2:$G$201,G26,$AT$2:$AT$201,"&gt;"&amp;AT26)=0,1,0),0)</f>
        <v/>
      </c>
      <c r="AX26" s="17">
        <f>IF(AND(AU26=1,AN26="Y",Z26="Y",TRIM(AD26)&lt;&gt;""),1,0)</f>
        <v/>
      </c>
      <c r="AY26" s="17">
        <f>IF(AX26=1,IF(COUNTIFS($A$2:$A$201,$A26,$AX$2:$AX$201,1,$G$2:$G$201,"&lt;"&amp;G26)+COUNTIFS($A$2:$A$201,$A26,$AX$2:$AX$201,1,$G$2:$G$201,G26,$AT$2:$AT$201,"&lt;"&amp;AT26)=0,1,0),0)</f>
        <v/>
      </c>
      <c r="AZ26" s="17">
        <f>IF(AND(AU26=1,AN26="Y",AX26=0),1,0)</f>
        <v/>
      </c>
      <c r="BA26" s="17">
        <f>IF(AND(AU26=1,ISNUMBER(V26)),1,0)</f>
        <v/>
      </c>
      <c r="BB26" s="17">
        <f>IF(BA26=1,IF(COUNTIFS($A$2:$A$201,$A26,$BA$2:$BA$201,1,$G$2:$G$201,"&lt;"&amp;G26)+COUNTIFS($A$2:$A$201,$A26,$BA$2:$BA$201,1,$G$2:$G$201,G26,$AT$2:$AT$201,"&lt;"&amp;AT26)=0,1,0),0)</f>
        <v/>
      </c>
      <c r="BC26" s="17">
        <f>IF(AND(BB26=1,G26&lt;=Config!$B$6),V26,"")</f>
        <v/>
      </c>
      <c r="BD26" s="17">
        <f>IF(AND(BB26=1,G26&lt;=Config!$B$7),V26,"")</f>
        <v/>
      </c>
      <c r="BE26" s="17">
        <f>IF(AND(BB26=1,G26&lt;=Config!$B$8),V26,"")</f>
        <v/>
      </c>
      <c r="BF26" s="17">
        <f>IF(AND(BB26=1,G26&lt;=Config!$B$5),V26,"")</f>
        <v/>
      </c>
      <c r="BG26" s="17">
        <f>IF(BW26=1,IF(COUNTIFS($A$2:$A$201,$A26,$BW$2:$BW$201,1,$G$2:$G$201,"&lt;"&amp;G26)+COUNTIFS($A$2:$A$201,$A26,$BW$2:$BW$201,1,$G$2:$G$201,G26,$AT$2:$AT$201,"&lt;"&amp;AT26)=0,1,0),0)</f>
        <v/>
      </c>
      <c r="BH26" s="17">
        <f>IF(AND(AU26=1,ISNUMBER(K26)),1,0)</f>
        <v/>
      </c>
      <c r="BI26" s="17">
        <f>IF(BH26=1,IF(COUNTIFS($A$2:$A$201,$A26,$BH$2:$BH$201,1,$G$2:$G$201,"&lt;"&amp;G26)+COUNTIFS($A$2:$A$201,$A26,$BH$2:$BH$201,1,$G$2:$G$201,G26,$AT$2:$AT$201,"&lt;"&amp;AT26)=0,1,0),0)</f>
        <v/>
      </c>
      <c r="BJ26" s="17">
        <f>IF(AND(BI26=1,G26&lt;=Config!$B$5),K26,"")</f>
        <v/>
      </c>
      <c r="BK26" s="17">
        <f>IF(AND(AU26=1,OR(TRIM(U26)&lt;&gt;"",ISNUMBER(V26))),1,0)</f>
        <v/>
      </c>
      <c r="BL26" s="17">
        <f>IF(BK26=1,IF(COUNTIFS($A$2:$A$201,$A26,$BK$2:$BK$201,1,$G$2:$G$201,"&lt;"&amp;G26)+COUNTIFS($A$2:$A$201,$A26,$BK$2:$BK$201,1,$G$2:$G$201,G26,$AT$2:$AT$201,"&lt;"&amp;AT26)=0,1,0),0)</f>
        <v/>
      </c>
      <c r="BM26" s="17">
        <f>IF(BL26=1,$A26,"")</f>
        <v/>
      </c>
      <c r="BN26" s="17">
        <f>IF(AND(AU26=1,T26="Y",TRIM(U26)=""),1,0)</f>
        <v/>
      </c>
      <c r="BO26" s="17">
        <f>IF(AU26=1,AJ26&amp;"","")</f>
        <v/>
      </c>
      <c r="BP26" s="17">
        <f>IF(AU26=1,AK26&amp;"","")</f>
        <v/>
      </c>
      <c r="BQ26" s="17">
        <f>IF(AU26=1,AL26&amp;"","")</f>
        <v/>
      </c>
      <c r="BR26" s="17">
        <f>IF(AND(AU26=1,ISNUMBER(AP26),G26&lt;=Config!$B$5),AP26,"")</f>
        <v/>
      </c>
      <c r="BS26" s="17">
        <f>IF(AU26=1,IF(COUNTIFS($A$2:$A$201,$A26,$AN$2:$AN$201,"Y",$AU$2:$AU$201,1)&gt;0,"Y","N"),"")</f>
        <v/>
      </c>
      <c r="BT26" s="17">
        <f>IF(AND(AU26=1,AN26="maybe"),1,0)</f>
        <v/>
      </c>
      <c r="BU26" s="17">
        <f>IF(BT26=1,IF(COUNTIFS($A$2:$A$201,$A26,$BT$2:$BT$201,1,$G$2:$G$201,"&lt;"&amp;G26)+COUNTIFS($A$2:$A$201,$A26,$BT$2:$BT$201,1,$G$2:$G$201,G26,$AT$2:$AT$201,"&lt;"&amp;AT26)=0,1,0),0)</f>
        <v/>
      </c>
      <c r="BV26" s="17">
        <f>IF(AND(AU26=1,AN26="Y"),IF(COUNTIFS($A$2:$A$201,$A26,$AN$2:$AN$201,"Y",$AU$2:$AU$201,1,$G$2:$G$201,"&lt;"&amp;G26)+COUNTIFS($A$2:$A$201,$A26,$AN$2:$AN$201,"Y",$AU$2:$AU$201,1,$G$2:$G$201,G26,$AT$2:$AT$201,"&lt;"&amp;AT26)=0,1,0),0)</f>
        <v/>
      </c>
      <c r="BW26" s="17">
        <f>IF(AND(BA26=1,N(V26)&gt;=Config!$B$15),1,0)</f>
        <v/>
      </c>
      <c r="BX26" s="17">
        <f>IF(AU26=1,IFERROR(MATCH($A26,INDEX(Clay_Offices!$A$2:$FZ$601,0,Sync!$C$5),0),""),"")</f>
        <v/>
      </c>
      <c r="BY26" s="17">
        <f>IF(BX26="","",IFERROR(INDEX(Clay_Offices!$A$2:$FZ$601,BX26,Sync!$C$7)&amp;"",""))</f>
        <v/>
      </c>
      <c r="BZ26" s="17">
        <f>IF(BY26="","",IFERROR(INDEX(Lists!$J$2:$J$15,MATCH(BY26,Lists!$I$2:$I$15,0)),""))</f>
        <v/>
      </c>
      <c r="CA26" s="17">
        <f>IF(BX26="","",IFERROR(INDEX(Clay_Offices!$A$2:$FZ$601,BX26,Sync!$C$17)&amp;"",""))</f>
        <v/>
      </c>
      <c r="CB26" s="23">
        <f>IF(BX26="","",IFERROR(N(INDEX(Clay_Offices!$A$2:$FZ$601,BX26,Sync!$C$16)),0))</f>
        <v/>
      </c>
    </row>
    <row r="27">
      <c r="G27" s="22" t="n"/>
      <c r="AS27" s="17">
        <f>IF(TRIM($A27)="","",IF(AND(LEFT($A27,6)="SAMPLE",Config!$B$19&lt;&gt;"Y"),"",IF(NOT(ISNUMBER(G27)),"call_date is blank or not a date",IF(Sync!$C$5="","Clay paste is empty or has no row_id column: paste the Clay export on Clay_Offices",IF(BX27="","row_id not found in the Clay paste: add the Clay row or fix the row_id",IF(AND(ISNUMBER(BZ27),BZ27&gt;=1,BZ27&lt;=5),"Clay status is "&amp;BY27&amp;": set call_done or later",IF(AND(AW27=1,CA27&lt;&gt;BS27),"Clay yes_in_principle should be "&amp;BS27,IF(AND(AW27=1,CB27&lt;&gt;G27),"Clay call_date should be "&amp;TEXT(G27,"yyyy-mm-dd"),""))))))))</f>
        <v/>
      </c>
      <c r="AT27" s="17">
        <f>ROW()</f>
        <v/>
      </c>
      <c r="AU27" s="17">
        <f>IF(AND(TRIM($A27)&lt;&gt;"",ISNUMBER(G27)),IF(AND(LEFT($A27,6)="SAMPLE",Config!$B$19&lt;&gt;"Y"),0,1),0)</f>
        <v/>
      </c>
      <c r="AV27" s="17">
        <f>IF(AU27=1,IF(COUNTIFS($A$2:$A$201,$A27,$AU$2:$AU$201,1,$G$2:$G$201,"&lt;"&amp;G27)+COUNTIFS($A$2:$A$201,$A27,$AU$2:$AU$201,1,$G$2:$G$201,G27,$AT$2:$AT$201,"&lt;"&amp;AT27)=0,1,0),0)</f>
        <v/>
      </c>
      <c r="AW27" s="17">
        <f>IF(AU27=1,IF(COUNTIFS($A$2:$A$201,$A27,$AU$2:$AU$201,1,$G$2:$G$201,"&gt;"&amp;G27)+COUNTIFS($A$2:$A$201,$A27,$AU$2:$AU$201,1,$G$2:$G$201,G27,$AT$2:$AT$201,"&gt;"&amp;AT27)=0,1,0),0)</f>
        <v/>
      </c>
      <c r="AX27" s="17">
        <f>IF(AND(AU27=1,AN27="Y",Z27="Y",TRIM(AD27)&lt;&gt;""),1,0)</f>
        <v/>
      </c>
      <c r="AY27" s="17">
        <f>IF(AX27=1,IF(COUNTIFS($A$2:$A$201,$A27,$AX$2:$AX$201,1,$G$2:$G$201,"&lt;"&amp;G27)+COUNTIFS($A$2:$A$201,$A27,$AX$2:$AX$201,1,$G$2:$G$201,G27,$AT$2:$AT$201,"&lt;"&amp;AT27)=0,1,0),0)</f>
        <v/>
      </c>
      <c r="AZ27" s="17">
        <f>IF(AND(AU27=1,AN27="Y",AX27=0),1,0)</f>
        <v/>
      </c>
      <c r="BA27" s="17">
        <f>IF(AND(AU27=1,ISNUMBER(V27)),1,0)</f>
        <v/>
      </c>
      <c r="BB27" s="17">
        <f>IF(BA27=1,IF(COUNTIFS($A$2:$A$201,$A27,$BA$2:$BA$201,1,$G$2:$G$201,"&lt;"&amp;G27)+COUNTIFS($A$2:$A$201,$A27,$BA$2:$BA$201,1,$G$2:$G$201,G27,$AT$2:$AT$201,"&lt;"&amp;AT27)=0,1,0),0)</f>
        <v/>
      </c>
      <c r="BC27" s="17">
        <f>IF(AND(BB27=1,G27&lt;=Config!$B$6),V27,"")</f>
        <v/>
      </c>
      <c r="BD27" s="17">
        <f>IF(AND(BB27=1,G27&lt;=Config!$B$7),V27,"")</f>
        <v/>
      </c>
      <c r="BE27" s="17">
        <f>IF(AND(BB27=1,G27&lt;=Config!$B$8),V27,"")</f>
        <v/>
      </c>
      <c r="BF27" s="17">
        <f>IF(AND(BB27=1,G27&lt;=Config!$B$5),V27,"")</f>
        <v/>
      </c>
      <c r="BG27" s="17">
        <f>IF(BW27=1,IF(COUNTIFS($A$2:$A$201,$A27,$BW$2:$BW$201,1,$G$2:$G$201,"&lt;"&amp;G27)+COUNTIFS($A$2:$A$201,$A27,$BW$2:$BW$201,1,$G$2:$G$201,G27,$AT$2:$AT$201,"&lt;"&amp;AT27)=0,1,0),0)</f>
        <v/>
      </c>
      <c r="BH27" s="17">
        <f>IF(AND(AU27=1,ISNUMBER(K27)),1,0)</f>
        <v/>
      </c>
      <c r="BI27" s="17">
        <f>IF(BH27=1,IF(COUNTIFS($A$2:$A$201,$A27,$BH$2:$BH$201,1,$G$2:$G$201,"&lt;"&amp;G27)+COUNTIFS($A$2:$A$201,$A27,$BH$2:$BH$201,1,$G$2:$G$201,G27,$AT$2:$AT$201,"&lt;"&amp;AT27)=0,1,0),0)</f>
        <v/>
      </c>
      <c r="BJ27" s="17">
        <f>IF(AND(BI27=1,G27&lt;=Config!$B$5),K27,"")</f>
        <v/>
      </c>
      <c r="BK27" s="17">
        <f>IF(AND(AU27=1,OR(TRIM(U27)&lt;&gt;"",ISNUMBER(V27))),1,0)</f>
        <v/>
      </c>
      <c r="BL27" s="17">
        <f>IF(BK27=1,IF(COUNTIFS($A$2:$A$201,$A27,$BK$2:$BK$201,1,$G$2:$G$201,"&lt;"&amp;G27)+COUNTIFS($A$2:$A$201,$A27,$BK$2:$BK$201,1,$G$2:$G$201,G27,$AT$2:$AT$201,"&lt;"&amp;AT27)=0,1,0),0)</f>
        <v/>
      </c>
      <c r="BM27" s="17">
        <f>IF(BL27=1,$A27,"")</f>
        <v/>
      </c>
      <c r="BN27" s="17">
        <f>IF(AND(AU27=1,T27="Y",TRIM(U27)=""),1,0)</f>
        <v/>
      </c>
      <c r="BO27" s="17">
        <f>IF(AU27=1,AJ27&amp;"","")</f>
        <v/>
      </c>
      <c r="BP27" s="17">
        <f>IF(AU27=1,AK27&amp;"","")</f>
        <v/>
      </c>
      <c r="BQ27" s="17">
        <f>IF(AU27=1,AL27&amp;"","")</f>
        <v/>
      </c>
      <c r="BR27" s="17">
        <f>IF(AND(AU27=1,ISNUMBER(AP27),G27&lt;=Config!$B$5),AP27,"")</f>
        <v/>
      </c>
      <c r="BS27" s="17">
        <f>IF(AU27=1,IF(COUNTIFS($A$2:$A$201,$A27,$AN$2:$AN$201,"Y",$AU$2:$AU$201,1)&gt;0,"Y","N"),"")</f>
        <v/>
      </c>
      <c r="BT27" s="17">
        <f>IF(AND(AU27=1,AN27="maybe"),1,0)</f>
        <v/>
      </c>
      <c r="BU27" s="17">
        <f>IF(BT27=1,IF(COUNTIFS($A$2:$A$201,$A27,$BT$2:$BT$201,1,$G$2:$G$201,"&lt;"&amp;G27)+COUNTIFS($A$2:$A$201,$A27,$BT$2:$BT$201,1,$G$2:$G$201,G27,$AT$2:$AT$201,"&lt;"&amp;AT27)=0,1,0),0)</f>
        <v/>
      </c>
      <c r="BV27" s="17">
        <f>IF(AND(AU27=1,AN27="Y"),IF(COUNTIFS($A$2:$A$201,$A27,$AN$2:$AN$201,"Y",$AU$2:$AU$201,1,$G$2:$G$201,"&lt;"&amp;G27)+COUNTIFS($A$2:$A$201,$A27,$AN$2:$AN$201,"Y",$AU$2:$AU$201,1,$G$2:$G$201,G27,$AT$2:$AT$201,"&lt;"&amp;AT27)=0,1,0),0)</f>
        <v/>
      </c>
      <c r="BW27" s="17">
        <f>IF(AND(BA27=1,N(V27)&gt;=Config!$B$15),1,0)</f>
        <v/>
      </c>
      <c r="BX27" s="17">
        <f>IF(AU27=1,IFERROR(MATCH($A27,INDEX(Clay_Offices!$A$2:$FZ$601,0,Sync!$C$5),0),""),"")</f>
        <v/>
      </c>
      <c r="BY27" s="17">
        <f>IF(BX27="","",IFERROR(INDEX(Clay_Offices!$A$2:$FZ$601,BX27,Sync!$C$7)&amp;"",""))</f>
        <v/>
      </c>
      <c r="BZ27" s="17">
        <f>IF(BY27="","",IFERROR(INDEX(Lists!$J$2:$J$15,MATCH(BY27,Lists!$I$2:$I$15,0)),""))</f>
        <v/>
      </c>
      <c r="CA27" s="17">
        <f>IF(BX27="","",IFERROR(INDEX(Clay_Offices!$A$2:$FZ$601,BX27,Sync!$C$17)&amp;"",""))</f>
        <v/>
      </c>
      <c r="CB27" s="23">
        <f>IF(BX27="","",IFERROR(N(INDEX(Clay_Offices!$A$2:$FZ$601,BX27,Sync!$C$16)),0))</f>
        <v/>
      </c>
    </row>
    <row r="28">
      <c r="G28" s="22" t="n"/>
      <c r="AS28" s="17">
        <f>IF(TRIM($A28)="","",IF(AND(LEFT($A28,6)="SAMPLE",Config!$B$19&lt;&gt;"Y"),"",IF(NOT(ISNUMBER(G28)),"call_date is blank or not a date",IF(Sync!$C$5="","Clay paste is empty or has no row_id column: paste the Clay export on Clay_Offices",IF(BX28="","row_id not found in the Clay paste: add the Clay row or fix the row_id",IF(AND(ISNUMBER(BZ28),BZ28&gt;=1,BZ28&lt;=5),"Clay status is "&amp;BY28&amp;": set call_done or later",IF(AND(AW28=1,CA28&lt;&gt;BS28),"Clay yes_in_principle should be "&amp;BS28,IF(AND(AW28=1,CB28&lt;&gt;G28),"Clay call_date should be "&amp;TEXT(G28,"yyyy-mm-dd"),""))))))))</f>
        <v/>
      </c>
      <c r="AT28" s="17">
        <f>ROW()</f>
        <v/>
      </c>
      <c r="AU28" s="17">
        <f>IF(AND(TRIM($A28)&lt;&gt;"",ISNUMBER(G28)),IF(AND(LEFT($A28,6)="SAMPLE",Config!$B$19&lt;&gt;"Y"),0,1),0)</f>
        <v/>
      </c>
      <c r="AV28" s="17">
        <f>IF(AU28=1,IF(COUNTIFS($A$2:$A$201,$A28,$AU$2:$AU$201,1,$G$2:$G$201,"&lt;"&amp;G28)+COUNTIFS($A$2:$A$201,$A28,$AU$2:$AU$201,1,$G$2:$G$201,G28,$AT$2:$AT$201,"&lt;"&amp;AT28)=0,1,0),0)</f>
        <v/>
      </c>
      <c r="AW28" s="17">
        <f>IF(AU28=1,IF(COUNTIFS($A$2:$A$201,$A28,$AU$2:$AU$201,1,$G$2:$G$201,"&gt;"&amp;G28)+COUNTIFS($A$2:$A$201,$A28,$AU$2:$AU$201,1,$G$2:$G$201,G28,$AT$2:$AT$201,"&gt;"&amp;AT28)=0,1,0),0)</f>
        <v/>
      </c>
      <c r="AX28" s="17">
        <f>IF(AND(AU28=1,AN28="Y",Z28="Y",TRIM(AD28)&lt;&gt;""),1,0)</f>
        <v/>
      </c>
      <c r="AY28" s="17">
        <f>IF(AX28=1,IF(COUNTIFS($A$2:$A$201,$A28,$AX$2:$AX$201,1,$G$2:$G$201,"&lt;"&amp;G28)+COUNTIFS($A$2:$A$201,$A28,$AX$2:$AX$201,1,$G$2:$G$201,G28,$AT$2:$AT$201,"&lt;"&amp;AT28)=0,1,0),0)</f>
        <v/>
      </c>
      <c r="AZ28" s="17">
        <f>IF(AND(AU28=1,AN28="Y",AX28=0),1,0)</f>
        <v/>
      </c>
      <c r="BA28" s="17">
        <f>IF(AND(AU28=1,ISNUMBER(V28)),1,0)</f>
        <v/>
      </c>
      <c r="BB28" s="17">
        <f>IF(BA28=1,IF(COUNTIFS($A$2:$A$201,$A28,$BA$2:$BA$201,1,$G$2:$G$201,"&lt;"&amp;G28)+COUNTIFS($A$2:$A$201,$A28,$BA$2:$BA$201,1,$G$2:$G$201,G28,$AT$2:$AT$201,"&lt;"&amp;AT28)=0,1,0),0)</f>
        <v/>
      </c>
      <c r="BC28" s="17">
        <f>IF(AND(BB28=1,G28&lt;=Config!$B$6),V28,"")</f>
        <v/>
      </c>
      <c r="BD28" s="17">
        <f>IF(AND(BB28=1,G28&lt;=Config!$B$7),V28,"")</f>
        <v/>
      </c>
      <c r="BE28" s="17">
        <f>IF(AND(BB28=1,G28&lt;=Config!$B$8),V28,"")</f>
        <v/>
      </c>
      <c r="BF28" s="17">
        <f>IF(AND(BB28=1,G28&lt;=Config!$B$5),V28,"")</f>
        <v/>
      </c>
      <c r="BG28" s="17">
        <f>IF(BW28=1,IF(COUNTIFS($A$2:$A$201,$A28,$BW$2:$BW$201,1,$G$2:$G$201,"&lt;"&amp;G28)+COUNTIFS($A$2:$A$201,$A28,$BW$2:$BW$201,1,$G$2:$G$201,G28,$AT$2:$AT$201,"&lt;"&amp;AT28)=0,1,0),0)</f>
        <v/>
      </c>
      <c r="BH28" s="17">
        <f>IF(AND(AU28=1,ISNUMBER(K28)),1,0)</f>
        <v/>
      </c>
      <c r="BI28" s="17">
        <f>IF(BH28=1,IF(COUNTIFS($A$2:$A$201,$A28,$BH$2:$BH$201,1,$G$2:$G$201,"&lt;"&amp;G28)+COUNTIFS($A$2:$A$201,$A28,$BH$2:$BH$201,1,$G$2:$G$201,G28,$AT$2:$AT$201,"&lt;"&amp;AT28)=0,1,0),0)</f>
        <v/>
      </c>
      <c r="BJ28" s="17">
        <f>IF(AND(BI28=1,G28&lt;=Config!$B$5),K28,"")</f>
        <v/>
      </c>
      <c r="BK28" s="17">
        <f>IF(AND(AU28=1,OR(TRIM(U28)&lt;&gt;"",ISNUMBER(V28))),1,0)</f>
        <v/>
      </c>
      <c r="BL28" s="17">
        <f>IF(BK28=1,IF(COUNTIFS($A$2:$A$201,$A28,$BK$2:$BK$201,1,$G$2:$G$201,"&lt;"&amp;G28)+COUNTIFS($A$2:$A$201,$A28,$BK$2:$BK$201,1,$G$2:$G$201,G28,$AT$2:$AT$201,"&lt;"&amp;AT28)=0,1,0),0)</f>
        <v/>
      </c>
      <c r="BM28" s="17">
        <f>IF(BL28=1,$A28,"")</f>
        <v/>
      </c>
      <c r="BN28" s="17">
        <f>IF(AND(AU28=1,T28="Y",TRIM(U28)=""),1,0)</f>
        <v/>
      </c>
      <c r="BO28" s="17">
        <f>IF(AU28=1,AJ28&amp;"","")</f>
        <v/>
      </c>
      <c r="BP28" s="17">
        <f>IF(AU28=1,AK28&amp;"","")</f>
        <v/>
      </c>
      <c r="BQ28" s="17">
        <f>IF(AU28=1,AL28&amp;"","")</f>
        <v/>
      </c>
      <c r="BR28" s="17">
        <f>IF(AND(AU28=1,ISNUMBER(AP28),G28&lt;=Config!$B$5),AP28,"")</f>
        <v/>
      </c>
      <c r="BS28" s="17">
        <f>IF(AU28=1,IF(COUNTIFS($A$2:$A$201,$A28,$AN$2:$AN$201,"Y",$AU$2:$AU$201,1)&gt;0,"Y","N"),"")</f>
        <v/>
      </c>
      <c r="BT28" s="17">
        <f>IF(AND(AU28=1,AN28="maybe"),1,0)</f>
        <v/>
      </c>
      <c r="BU28" s="17">
        <f>IF(BT28=1,IF(COUNTIFS($A$2:$A$201,$A28,$BT$2:$BT$201,1,$G$2:$G$201,"&lt;"&amp;G28)+COUNTIFS($A$2:$A$201,$A28,$BT$2:$BT$201,1,$G$2:$G$201,G28,$AT$2:$AT$201,"&lt;"&amp;AT28)=0,1,0),0)</f>
        <v/>
      </c>
      <c r="BV28" s="17">
        <f>IF(AND(AU28=1,AN28="Y"),IF(COUNTIFS($A$2:$A$201,$A28,$AN$2:$AN$201,"Y",$AU$2:$AU$201,1,$G$2:$G$201,"&lt;"&amp;G28)+COUNTIFS($A$2:$A$201,$A28,$AN$2:$AN$201,"Y",$AU$2:$AU$201,1,$G$2:$G$201,G28,$AT$2:$AT$201,"&lt;"&amp;AT28)=0,1,0),0)</f>
        <v/>
      </c>
      <c r="BW28" s="17">
        <f>IF(AND(BA28=1,N(V28)&gt;=Config!$B$15),1,0)</f>
        <v/>
      </c>
      <c r="BX28" s="17">
        <f>IF(AU28=1,IFERROR(MATCH($A28,INDEX(Clay_Offices!$A$2:$FZ$601,0,Sync!$C$5),0),""),"")</f>
        <v/>
      </c>
      <c r="BY28" s="17">
        <f>IF(BX28="","",IFERROR(INDEX(Clay_Offices!$A$2:$FZ$601,BX28,Sync!$C$7)&amp;"",""))</f>
        <v/>
      </c>
      <c r="BZ28" s="17">
        <f>IF(BY28="","",IFERROR(INDEX(Lists!$J$2:$J$15,MATCH(BY28,Lists!$I$2:$I$15,0)),""))</f>
        <v/>
      </c>
      <c r="CA28" s="17">
        <f>IF(BX28="","",IFERROR(INDEX(Clay_Offices!$A$2:$FZ$601,BX28,Sync!$C$17)&amp;"",""))</f>
        <v/>
      </c>
      <c r="CB28" s="23">
        <f>IF(BX28="","",IFERROR(N(INDEX(Clay_Offices!$A$2:$FZ$601,BX28,Sync!$C$16)),0))</f>
        <v/>
      </c>
    </row>
    <row r="29">
      <c r="G29" s="22" t="n"/>
      <c r="AS29" s="17">
        <f>IF(TRIM($A29)="","",IF(AND(LEFT($A29,6)="SAMPLE",Config!$B$19&lt;&gt;"Y"),"",IF(NOT(ISNUMBER(G29)),"call_date is blank or not a date",IF(Sync!$C$5="","Clay paste is empty or has no row_id column: paste the Clay export on Clay_Offices",IF(BX29="","row_id not found in the Clay paste: add the Clay row or fix the row_id",IF(AND(ISNUMBER(BZ29),BZ29&gt;=1,BZ29&lt;=5),"Clay status is "&amp;BY29&amp;": set call_done or later",IF(AND(AW29=1,CA29&lt;&gt;BS29),"Clay yes_in_principle should be "&amp;BS29,IF(AND(AW29=1,CB29&lt;&gt;G29),"Clay call_date should be "&amp;TEXT(G29,"yyyy-mm-dd"),""))))))))</f>
        <v/>
      </c>
      <c r="AT29" s="17">
        <f>ROW()</f>
        <v/>
      </c>
      <c r="AU29" s="17">
        <f>IF(AND(TRIM($A29)&lt;&gt;"",ISNUMBER(G29)),IF(AND(LEFT($A29,6)="SAMPLE",Config!$B$19&lt;&gt;"Y"),0,1),0)</f>
        <v/>
      </c>
      <c r="AV29" s="17">
        <f>IF(AU29=1,IF(COUNTIFS($A$2:$A$201,$A29,$AU$2:$AU$201,1,$G$2:$G$201,"&lt;"&amp;G29)+COUNTIFS($A$2:$A$201,$A29,$AU$2:$AU$201,1,$G$2:$G$201,G29,$AT$2:$AT$201,"&lt;"&amp;AT29)=0,1,0),0)</f>
        <v/>
      </c>
      <c r="AW29" s="17">
        <f>IF(AU29=1,IF(COUNTIFS($A$2:$A$201,$A29,$AU$2:$AU$201,1,$G$2:$G$201,"&gt;"&amp;G29)+COUNTIFS($A$2:$A$201,$A29,$AU$2:$AU$201,1,$G$2:$G$201,G29,$AT$2:$AT$201,"&gt;"&amp;AT29)=0,1,0),0)</f>
        <v/>
      </c>
      <c r="AX29" s="17">
        <f>IF(AND(AU29=1,AN29="Y",Z29="Y",TRIM(AD29)&lt;&gt;""),1,0)</f>
        <v/>
      </c>
      <c r="AY29" s="17">
        <f>IF(AX29=1,IF(COUNTIFS($A$2:$A$201,$A29,$AX$2:$AX$201,1,$G$2:$G$201,"&lt;"&amp;G29)+COUNTIFS($A$2:$A$201,$A29,$AX$2:$AX$201,1,$G$2:$G$201,G29,$AT$2:$AT$201,"&lt;"&amp;AT29)=0,1,0),0)</f>
        <v/>
      </c>
      <c r="AZ29" s="17">
        <f>IF(AND(AU29=1,AN29="Y",AX29=0),1,0)</f>
        <v/>
      </c>
      <c r="BA29" s="17">
        <f>IF(AND(AU29=1,ISNUMBER(V29)),1,0)</f>
        <v/>
      </c>
      <c r="BB29" s="17">
        <f>IF(BA29=1,IF(COUNTIFS($A$2:$A$201,$A29,$BA$2:$BA$201,1,$G$2:$G$201,"&lt;"&amp;G29)+COUNTIFS($A$2:$A$201,$A29,$BA$2:$BA$201,1,$G$2:$G$201,G29,$AT$2:$AT$201,"&lt;"&amp;AT29)=0,1,0),0)</f>
        <v/>
      </c>
      <c r="BC29" s="17">
        <f>IF(AND(BB29=1,G29&lt;=Config!$B$6),V29,"")</f>
        <v/>
      </c>
      <c r="BD29" s="17">
        <f>IF(AND(BB29=1,G29&lt;=Config!$B$7),V29,"")</f>
        <v/>
      </c>
      <c r="BE29" s="17">
        <f>IF(AND(BB29=1,G29&lt;=Config!$B$8),V29,"")</f>
        <v/>
      </c>
      <c r="BF29" s="17">
        <f>IF(AND(BB29=1,G29&lt;=Config!$B$5),V29,"")</f>
        <v/>
      </c>
      <c r="BG29" s="17">
        <f>IF(BW29=1,IF(COUNTIFS($A$2:$A$201,$A29,$BW$2:$BW$201,1,$G$2:$G$201,"&lt;"&amp;G29)+COUNTIFS($A$2:$A$201,$A29,$BW$2:$BW$201,1,$G$2:$G$201,G29,$AT$2:$AT$201,"&lt;"&amp;AT29)=0,1,0),0)</f>
        <v/>
      </c>
      <c r="BH29" s="17">
        <f>IF(AND(AU29=1,ISNUMBER(K29)),1,0)</f>
        <v/>
      </c>
      <c r="BI29" s="17">
        <f>IF(BH29=1,IF(COUNTIFS($A$2:$A$201,$A29,$BH$2:$BH$201,1,$G$2:$G$201,"&lt;"&amp;G29)+COUNTIFS($A$2:$A$201,$A29,$BH$2:$BH$201,1,$G$2:$G$201,G29,$AT$2:$AT$201,"&lt;"&amp;AT29)=0,1,0),0)</f>
        <v/>
      </c>
      <c r="BJ29" s="17">
        <f>IF(AND(BI29=1,G29&lt;=Config!$B$5),K29,"")</f>
        <v/>
      </c>
      <c r="BK29" s="17">
        <f>IF(AND(AU29=1,OR(TRIM(U29)&lt;&gt;"",ISNUMBER(V29))),1,0)</f>
        <v/>
      </c>
      <c r="BL29" s="17">
        <f>IF(BK29=1,IF(COUNTIFS($A$2:$A$201,$A29,$BK$2:$BK$201,1,$G$2:$G$201,"&lt;"&amp;G29)+COUNTIFS($A$2:$A$201,$A29,$BK$2:$BK$201,1,$G$2:$G$201,G29,$AT$2:$AT$201,"&lt;"&amp;AT29)=0,1,0),0)</f>
        <v/>
      </c>
      <c r="BM29" s="17">
        <f>IF(BL29=1,$A29,"")</f>
        <v/>
      </c>
      <c r="BN29" s="17">
        <f>IF(AND(AU29=1,T29="Y",TRIM(U29)=""),1,0)</f>
        <v/>
      </c>
      <c r="BO29" s="17">
        <f>IF(AU29=1,AJ29&amp;"","")</f>
        <v/>
      </c>
      <c r="BP29" s="17">
        <f>IF(AU29=1,AK29&amp;"","")</f>
        <v/>
      </c>
      <c r="BQ29" s="17">
        <f>IF(AU29=1,AL29&amp;"","")</f>
        <v/>
      </c>
      <c r="BR29" s="17">
        <f>IF(AND(AU29=1,ISNUMBER(AP29),G29&lt;=Config!$B$5),AP29,"")</f>
        <v/>
      </c>
      <c r="BS29" s="17">
        <f>IF(AU29=1,IF(COUNTIFS($A$2:$A$201,$A29,$AN$2:$AN$201,"Y",$AU$2:$AU$201,1)&gt;0,"Y","N"),"")</f>
        <v/>
      </c>
      <c r="BT29" s="17">
        <f>IF(AND(AU29=1,AN29="maybe"),1,0)</f>
        <v/>
      </c>
      <c r="BU29" s="17">
        <f>IF(BT29=1,IF(COUNTIFS($A$2:$A$201,$A29,$BT$2:$BT$201,1,$G$2:$G$201,"&lt;"&amp;G29)+COUNTIFS($A$2:$A$201,$A29,$BT$2:$BT$201,1,$G$2:$G$201,G29,$AT$2:$AT$201,"&lt;"&amp;AT29)=0,1,0),0)</f>
        <v/>
      </c>
      <c r="BV29" s="17">
        <f>IF(AND(AU29=1,AN29="Y"),IF(COUNTIFS($A$2:$A$201,$A29,$AN$2:$AN$201,"Y",$AU$2:$AU$201,1,$G$2:$G$201,"&lt;"&amp;G29)+COUNTIFS($A$2:$A$201,$A29,$AN$2:$AN$201,"Y",$AU$2:$AU$201,1,$G$2:$G$201,G29,$AT$2:$AT$201,"&lt;"&amp;AT29)=0,1,0),0)</f>
        <v/>
      </c>
      <c r="BW29" s="17">
        <f>IF(AND(BA29=1,N(V29)&gt;=Config!$B$15),1,0)</f>
        <v/>
      </c>
      <c r="BX29" s="17">
        <f>IF(AU29=1,IFERROR(MATCH($A29,INDEX(Clay_Offices!$A$2:$FZ$601,0,Sync!$C$5),0),""),"")</f>
        <v/>
      </c>
      <c r="BY29" s="17">
        <f>IF(BX29="","",IFERROR(INDEX(Clay_Offices!$A$2:$FZ$601,BX29,Sync!$C$7)&amp;"",""))</f>
        <v/>
      </c>
      <c r="BZ29" s="17">
        <f>IF(BY29="","",IFERROR(INDEX(Lists!$J$2:$J$15,MATCH(BY29,Lists!$I$2:$I$15,0)),""))</f>
        <v/>
      </c>
      <c r="CA29" s="17">
        <f>IF(BX29="","",IFERROR(INDEX(Clay_Offices!$A$2:$FZ$601,BX29,Sync!$C$17)&amp;"",""))</f>
        <v/>
      </c>
      <c r="CB29" s="23">
        <f>IF(BX29="","",IFERROR(N(INDEX(Clay_Offices!$A$2:$FZ$601,BX29,Sync!$C$16)),0))</f>
        <v/>
      </c>
    </row>
    <row r="30">
      <c r="G30" s="22" t="n"/>
      <c r="AS30" s="17">
        <f>IF(TRIM($A30)="","",IF(AND(LEFT($A30,6)="SAMPLE",Config!$B$19&lt;&gt;"Y"),"",IF(NOT(ISNUMBER(G30)),"call_date is blank or not a date",IF(Sync!$C$5="","Clay paste is empty or has no row_id column: paste the Clay export on Clay_Offices",IF(BX30="","row_id not found in the Clay paste: add the Clay row or fix the row_id",IF(AND(ISNUMBER(BZ30),BZ30&gt;=1,BZ30&lt;=5),"Clay status is "&amp;BY30&amp;": set call_done or later",IF(AND(AW30=1,CA30&lt;&gt;BS30),"Clay yes_in_principle should be "&amp;BS30,IF(AND(AW30=1,CB30&lt;&gt;G30),"Clay call_date should be "&amp;TEXT(G30,"yyyy-mm-dd"),""))))))))</f>
        <v/>
      </c>
      <c r="AT30" s="17">
        <f>ROW()</f>
        <v/>
      </c>
      <c r="AU30" s="17">
        <f>IF(AND(TRIM($A30)&lt;&gt;"",ISNUMBER(G30)),IF(AND(LEFT($A30,6)="SAMPLE",Config!$B$19&lt;&gt;"Y"),0,1),0)</f>
        <v/>
      </c>
      <c r="AV30" s="17">
        <f>IF(AU30=1,IF(COUNTIFS($A$2:$A$201,$A30,$AU$2:$AU$201,1,$G$2:$G$201,"&lt;"&amp;G30)+COUNTIFS($A$2:$A$201,$A30,$AU$2:$AU$201,1,$G$2:$G$201,G30,$AT$2:$AT$201,"&lt;"&amp;AT30)=0,1,0),0)</f>
        <v/>
      </c>
      <c r="AW30" s="17">
        <f>IF(AU30=1,IF(COUNTIFS($A$2:$A$201,$A30,$AU$2:$AU$201,1,$G$2:$G$201,"&gt;"&amp;G30)+COUNTIFS($A$2:$A$201,$A30,$AU$2:$AU$201,1,$G$2:$G$201,G30,$AT$2:$AT$201,"&gt;"&amp;AT30)=0,1,0),0)</f>
        <v/>
      </c>
      <c r="AX30" s="17">
        <f>IF(AND(AU30=1,AN30="Y",Z30="Y",TRIM(AD30)&lt;&gt;""),1,0)</f>
        <v/>
      </c>
      <c r="AY30" s="17">
        <f>IF(AX30=1,IF(COUNTIFS($A$2:$A$201,$A30,$AX$2:$AX$201,1,$G$2:$G$201,"&lt;"&amp;G30)+COUNTIFS($A$2:$A$201,$A30,$AX$2:$AX$201,1,$G$2:$G$201,G30,$AT$2:$AT$201,"&lt;"&amp;AT30)=0,1,0),0)</f>
        <v/>
      </c>
      <c r="AZ30" s="17">
        <f>IF(AND(AU30=1,AN30="Y",AX30=0),1,0)</f>
        <v/>
      </c>
      <c r="BA30" s="17">
        <f>IF(AND(AU30=1,ISNUMBER(V30)),1,0)</f>
        <v/>
      </c>
      <c r="BB30" s="17">
        <f>IF(BA30=1,IF(COUNTIFS($A$2:$A$201,$A30,$BA$2:$BA$201,1,$G$2:$G$201,"&lt;"&amp;G30)+COUNTIFS($A$2:$A$201,$A30,$BA$2:$BA$201,1,$G$2:$G$201,G30,$AT$2:$AT$201,"&lt;"&amp;AT30)=0,1,0),0)</f>
        <v/>
      </c>
      <c r="BC30" s="17">
        <f>IF(AND(BB30=1,G30&lt;=Config!$B$6),V30,"")</f>
        <v/>
      </c>
      <c r="BD30" s="17">
        <f>IF(AND(BB30=1,G30&lt;=Config!$B$7),V30,"")</f>
        <v/>
      </c>
      <c r="BE30" s="17">
        <f>IF(AND(BB30=1,G30&lt;=Config!$B$8),V30,"")</f>
        <v/>
      </c>
      <c r="BF30" s="17">
        <f>IF(AND(BB30=1,G30&lt;=Config!$B$5),V30,"")</f>
        <v/>
      </c>
      <c r="BG30" s="17">
        <f>IF(BW30=1,IF(COUNTIFS($A$2:$A$201,$A30,$BW$2:$BW$201,1,$G$2:$G$201,"&lt;"&amp;G30)+COUNTIFS($A$2:$A$201,$A30,$BW$2:$BW$201,1,$G$2:$G$201,G30,$AT$2:$AT$201,"&lt;"&amp;AT30)=0,1,0),0)</f>
        <v/>
      </c>
      <c r="BH30" s="17">
        <f>IF(AND(AU30=1,ISNUMBER(K30)),1,0)</f>
        <v/>
      </c>
      <c r="BI30" s="17">
        <f>IF(BH30=1,IF(COUNTIFS($A$2:$A$201,$A30,$BH$2:$BH$201,1,$G$2:$G$201,"&lt;"&amp;G30)+COUNTIFS($A$2:$A$201,$A30,$BH$2:$BH$201,1,$G$2:$G$201,G30,$AT$2:$AT$201,"&lt;"&amp;AT30)=0,1,0),0)</f>
        <v/>
      </c>
      <c r="BJ30" s="17">
        <f>IF(AND(BI30=1,G30&lt;=Config!$B$5),K30,"")</f>
        <v/>
      </c>
      <c r="BK30" s="17">
        <f>IF(AND(AU30=1,OR(TRIM(U30)&lt;&gt;"",ISNUMBER(V30))),1,0)</f>
        <v/>
      </c>
      <c r="BL30" s="17">
        <f>IF(BK30=1,IF(COUNTIFS($A$2:$A$201,$A30,$BK$2:$BK$201,1,$G$2:$G$201,"&lt;"&amp;G30)+COUNTIFS($A$2:$A$201,$A30,$BK$2:$BK$201,1,$G$2:$G$201,G30,$AT$2:$AT$201,"&lt;"&amp;AT30)=0,1,0),0)</f>
        <v/>
      </c>
      <c r="BM30" s="17">
        <f>IF(BL30=1,$A30,"")</f>
        <v/>
      </c>
      <c r="BN30" s="17">
        <f>IF(AND(AU30=1,T30="Y",TRIM(U30)=""),1,0)</f>
        <v/>
      </c>
      <c r="BO30" s="17">
        <f>IF(AU30=1,AJ30&amp;"","")</f>
        <v/>
      </c>
      <c r="BP30" s="17">
        <f>IF(AU30=1,AK30&amp;"","")</f>
        <v/>
      </c>
      <c r="BQ30" s="17">
        <f>IF(AU30=1,AL30&amp;"","")</f>
        <v/>
      </c>
      <c r="BR30" s="17">
        <f>IF(AND(AU30=1,ISNUMBER(AP30),G30&lt;=Config!$B$5),AP30,"")</f>
        <v/>
      </c>
      <c r="BS30" s="17">
        <f>IF(AU30=1,IF(COUNTIFS($A$2:$A$201,$A30,$AN$2:$AN$201,"Y",$AU$2:$AU$201,1)&gt;0,"Y","N"),"")</f>
        <v/>
      </c>
      <c r="BT30" s="17">
        <f>IF(AND(AU30=1,AN30="maybe"),1,0)</f>
        <v/>
      </c>
      <c r="BU30" s="17">
        <f>IF(BT30=1,IF(COUNTIFS($A$2:$A$201,$A30,$BT$2:$BT$201,1,$G$2:$G$201,"&lt;"&amp;G30)+COUNTIFS($A$2:$A$201,$A30,$BT$2:$BT$201,1,$G$2:$G$201,G30,$AT$2:$AT$201,"&lt;"&amp;AT30)=0,1,0),0)</f>
        <v/>
      </c>
      <c r="BV30" s="17">
        <f>IF(AND(AU30=1,AN30="Y"),IF(COUNTIFS($A$2:$A$201,$A30,$AN$2:$AN$201,"Y",$AU$2:$AU$201,1,$G$2:$G$201,"&lt;"&amp;G30)+COUNTIFS($A$2:$A$201,$A30,$AN$2:$AN$201,"Y",$AU$2:$AU$201,1,$G$2:$G$201,G30,$AT$2:$AT$201,"&lt;"&amp;AT30)=0,1,0),0)</f>
        <v/>
      </c>
      <c r="BW30" s="17">
        <f>IF(AND(BA30=1,N(V30)&gt;=Config!$B$15),1,0)</f>
        <v/>
      </c>
      <c r="BX30" s="17">
        <f>IF(AU30=1,IFERROR(MATCH($A30,INDEX(Clay_Offices!$A$2:$FZ$601,0,Sync!$C$5),0),""),"")</f>
        <v/>
      </c>
      <c r="BY30" s="17">
        <f>IF(BX30="","",IFERROR(INDEX(Clay_Offices!$A$2:$FZ$601,BX30,Sync!$C$7)&amp;"",""))</f>
        <v/>
      </c>
      <c r="BZ30" s="17">
        <f>IF(BY30="","",IFERROR(INDEX(Lists!$J$2:$J$15,MATCH(BY30,Lists!$I$2:$I$15,0)),""))</f>
        <v/>
      </c>
      <c r="CA30" s="17">
        <f>IF(BX30="","",IFERROR(INDEX(Clay_Offices!$A$2:$FZ$601,BX30,Sync!$C$17)&amp;"",""))</f>
        <v/>
      </c>
      <c r="CB30" s="23">
        <f>IF(BX30="","",IFERROR(N(INDEX(Clay_Offices!$A$2:$FZ$601,BX30,Sync!$C$16)),0))</f>
        <v/>
      </c>
    </row>
    <row r="31">
      <c r="G31" s="22" t="n"/>
      <c r="AS31" s="17">
        <f>IF(TRIM($A31)="","",IF(AND(LEFT($A31,6)="SAMPLE",Config!$B$19&lt;&gt;"Y"),"",IF(NOT(ISNUMBER(G31)),"call_date is blank or not a date",IF(Sync!$C$5="","Clay paste is empty or has no row_id column: paste the Clay export on Clay_Offices",IF(BX31="","row_id not found in the Clay paste: add the Clay row or fix the row_id",IF(AND(ISNUMBER(BZ31),BZ31&gt;=1,BZ31&lt;=5),"Clay status is "&amp;BY31&amp;": set call_done or later",IF(AND(AW31=1,CA31&lt;&gt;BS31),"Clay yes_in_principle should be "&amp;BS31,IF(AND(AW31=1,CB31&lt;&gt;G31),"Clay call_date should be "&amp;TEXT(G31,"yyyy-mm-dd"),""))))))))</f>
        <v/>
      </c>
      <c r="AT31" s="17">
        <f>ROW()</f>
        <v/>
      </c>
      <c r="AU31" s="17">
        <f>IF(AND(TRIM($A31)&lt;&gt;"",ISNUMBER(G31)),IF(AND(LEFT($A31,6)="SAMPLE",Config!$B$19&lt;&gt;"Y"),0,1),0)</f>
        <v/>
      </c>
      <c r="AV31" s="17">
        <f>IF(AU31=1,IF(COUNTIFS($A$2:$A$201,$A31,$AU$2:$AU$201,1,$G$2:$G$201,"&lt;"&amp;G31)+COUNTIFS($A$2:$A$201,$A31,$AU$2:$AU$201,1,$G$2:$G$201,G31,$AT$2:$AT$201,"&lt;"&amp;AT31)=0,1,0),0)</f>
        <v/>
      </c>
      <c r="AW31" s="17">
        <f>IF(AU31=1,IF(COUNTIFS($A$2:$A$201,$A31,$AU$2:$AU$201,1,$G$2:$G$201,"&gt;"&amp;G31)+COUNTIFS($A$2:$A$201,$A31,$AU$2:$AU$201,1,$G$2:$G$201,G31,$AT$2:$AT$201,"&gt;"&amp;AT31)=0,1,0),0)</f>
        <v/>
      </c>
      <c r="AX31" s="17">
        <f>IF(AND(AU31=1,AN31="Y",Z31="Y",TRIM(AD31)&lt;&gt;""),1,0)</f>
        <v/>
      </c>
      <c r="AY31" s="17">
        <f>IF(AX31=1,IF(COUNTIFS($A$2:$A$201,$A31,$AX$2:$AX$201,1,$G$2:$G$201,"&lt;"&amp;G31)+COUNTIFS($A$2:$A$201,$A31,$AX$2:$AX$201,1,$G$2:$G$201,G31,$AT$2:$AT$201,"&lt;"&amp;AT31)=0,1,0),0)</f>
        <v/>
      </c>
      <c r="AZ31" s="17">
        <f>IF(AND(AU31=1,AN31="Y",AX31=0),1,0)</f>
        <v/>
      </c>
      <c r="BA31" s="17">
        <f>IF(AND(AU31=1,ISNUMBER(V31)),1,0)</f>
        <v/>
      </c>
      <c r="BB31" s="17">
        <f>IF(BA31=1,IF(COUNTIFS($A$2:$A$201,$A31,$BA$2:$BA$201,1,$G$2:$G$201,"&lt;"&amp;G31)+COUNTIFS($A$2:$A$201,$A31,$BA$2:$BA$201,1,$G$2:$G$201,G31,$AT$2:$AT$201,"&lt;"&amp;AT31)=0,1,0),0)</f>
        <v/>
      </c>
      <c r="BC31" s="17">
        <f>IF(AND(BB31=1,G31&lt;=Config!$B$6),V31,"")</f>
        <v/>
      </c>
      <c r="BD31" s="17">
        <f>IF(AND(BB31=1,G31&lt;=Config!$B$7),V31,"")</f>
        <v/>
      </c>
      <c r="BE31" s="17">
        <f>IF(AND(BB31=1,G31&lt;=Config!$B$8),V31,"")</f>
        <v/>
      </c>
      <c r="BF31" s="17">
        <f>IF(AND(BB31=1,G31&lt;=Config!$B$5),V31,"")</f>
        <v/>
      </c>
      <c r="BG31" s="17">
        <f>IF(BW31=1,IF(COUNTIFS($A$2:$A$201,$A31,$BW$2:$BW$201,1,$G$2:$G$201,"&lt;"&amp;G31)+COUNTIFS($A$2:$A$201,$A31,$BW$2:$BW$201,1,$G$2:$G$201,G31,$AT$2:$AT$201,"&lt;"&amp;AT31)=0,1,0),0)</f>
        <v/>
      </c>
      <c r="BH31" s="17">
        <f>IF(AND(AU31=1,ISNUMBER(K31)),1,0)</f>
        <v/>
      </c>
      <c r="BI31" s="17">
        <f>IF(BH31=1,IF(COUNTIFS($A$2:$A$201,$A31,$BH$2:$BH$201,1,$G$2:$G$201,"&lt;"&amp;G31)+COUNTIFS($A$2:$A$201,$A31,$BH$2:$BH$201,1,$G$2:$G$201,G31,$AT$2:$AT$201,"&lt;"&amp;AT31)=0,1,0),0)</f>
        <v/>
      </c>
      <c r="BJ31" s="17">
        <f>IF(AND(BI31=1,G31&lt;=Config!$B$5),K31,"")</f>
        <v/>
      </c>
      <c r="BK31" s="17">
        <f>IF(AND(AU31=1,OR(TRIM(U31)&lt;&gt;"",ISNUMBER(V31))),1,0)</f>
        <v/>
      </c>
      <c r="BL31" s="17">
        <f>IF(BK31=1,IF(COUNTIFS($A$2:$A$201,$A31,$BK$2:$BK$201,1,$G$2:$G$201,"&lt;"&amp;G31)+COUNTIFS($A$2:$A$201,$A31,$BK$2:$BK$201,1,$G$2:$G$201,G31,$AT$2:$AT$201,"&lt;"&amp;AT31)=0,1,0),0)</f>
        <v/>
      </c>
      <c r="BM31" s="17">
        <f>IF(BL31=1,$A31,"")</f>
        <v/>
      </c>
      <c r="BN31" s="17">
        <f>IF(AND(AU31=1,T31="Y",TRIM(U31)=""),1,0)</f>
        <v/>
      </c>
      <c r="BO31" s="17">
        <f>IF(AU31=1,AJ31&amp;"","")</f>
        <v/>
      </c>
      <c r="BP31" s="17">
        <f>IF(AU31=1,AK31&amp;"","")</f>
        <v/>
      </c>
      <c r="BQ31" s="17">
        <f>IF(AU31=1,AL31&amp;"","")</f>
        <v/>
      </c>
      <c r="BR31" s="17">
        <f>IF(AND(AU31=1,ISNUMBER(AP31),G31&lt;=Config!$B$5),AP31,"")</f>
        <v/>
      </c>
      <c r="BS31" s="17">
        <f>IF(AU31=1,IF(COUNTIFS($A$2:$A$201,$A31,$AN$2:$AN$201,"Y",$AU$2:$AU$201,1)&gt;0,"Y","N"),"")</f>
        <v/>
      </c>
      <c r="BT31" s="17">
        <f>IF(AND(AU31=1,AN31="maybe"),1,0)</f>
        <v/>
      </c>
      <c r="BU31" s="17">
        <f>IF(BT31=1,IF(COUNTIFS($A$2:$A$201,$A31,$BT$2:$BT$201,1,$G$2:$G$201,"&lt;"&amp;G31)+COUNTIFS($A$2:$A$201,$A31,$BT$2:$BT$201,1,$G$2:$G$201,G31,$AT$2:$AT$201,"&lt;"&amp;AT31)=0,1,0),0)</f>
        <v/>
      </c>
      <c r="BV31" s="17">
        <f>IF(AND(AU31=1,AN31="Y"),IF(COUNTIFS($A$2:$A$201,$A31,$AN$2:$AN$201,"Y",$AU$2:$AU$201,1,$G$2:$G$201,"&lt;"&amp;G31)+COUNTIFS($A$2:$A$201,$A31,$AN$2:$AN$201,"Y",$AU$2:$AU$201,1,$G$2:$G$201,G31,$AT$2:$AT$201,"&lt;"&amp;AT31)=0,1,0),0)</f>
        <v/>
      </c>
      <c r="BW31" s="17">
        <f>IF(AND(BA31=1,N(V31)&gt;=Config!$B$15),1,0)</f>
        <v/>
      </c>
      <c r="BX31" s="17">
        <f>IF(AU31=1,IFERROR(MATCH($A31,INDEX(Clay_Offices!$A$2:$FZ$601,0,Sync!$C$5),0),""),"")</f>
        <v/>
      </c>
      <c r="BY31" s="17">
        <f>IF(BX31="","",IFERROR(INDEX(Clay_Offices!$A$2:$FZ$601,BX31,Sync!$C$7)&amp;"",""))</f>
        <v/>
      </c>
      <c r="BZ31" s="17">
        <f>IF(BY31="","",IFERROR(INDEX(Lists!$J$2:$J$15,MATCH(BY31,Lists!$I$2:$I$15,0)),""))</f>
        <v/>
      </c>
      <c r="CA31" s="17">
        <f>IF(BX31="","",IFERROR(INDEX(Clay_Offices!$A$2:$FZ$601,BX31,Sync!$C$17)&amp;"",""))</f>
        <v/>
      </c>
      <c r="CB31" s="23">
        <f>IF(BX31="","",IFERROR(N(INDEX(Clay_Offices!$A$2:$FZ$601,BX31,Sync!$C$16)),0))</f>
        <v/>
      </c>
    </row>
    <row r="32">
      <c r="G32" s="22" t="n"/>
      <c r="AS32" s="17">
        <f>IF(TRIM($A32)="","",IF(AND(LEFT($A32,6)="SAMPLE",Config!$B$19&lt;&gt;"Y"),"",IF(NOT(ISNUMBER(G32)),"call_date is blank or not a date",IF(Sync!$C$5="","Clay paste is empty or has no row_id column: paste the Clay export on Clay_Offices",IF(BX32="","row_id not found in the Clay paste: add the Clay row or fix the row_id",IF(AND(ISNUMBER(BZ32),BZ32&gt;=1,BZ32&lt;=5),"Clay status is "&amp;BY32&amp;": set call_done or later",IF(AND(AW32=1,CA32&lt;&gt;BS32),"Clay yes_in_principle should be "&amp;BS32,IF(AND(AW32=1,CB32&lt;&gt;G32),"Clay call_date should be "&amp;TEXT(G32,"yyyy-mm-dd"),""))))))))</f>
        <v/>
      </c>
      <c r="AT32" s="17">
        <f>ROW()</f>
        <v/>
      </c>
      <c r="AU32" s="17">
        <f>IF(AND(TRIM($A32)&lt;&gt;"",ISNUMBER(G32)),IF(AND(LEFT($A32,6)="SAMPLE",Config!$B$19&lt;&gt;"Y"),0,1),0)</f>
        <v/>
      </c>
      <c r="AV32" s="17">
        <f>IF(AU32=1,IF(COUNTIFS($A$2:$A$201,$A32,$AU$2:$AU$201,1,$G$2:$G$201,"&lt;"&amp;G32)+COUNTIFS($A$2:$A$201,$A32,$AU$2:$AU$201,1,$G$2:$G$201,G32,$AT$2:$AT$201,"&lt;"&amp;AT32)=0,1,0),0)</f>
        <v/>
      </c>
      <c r="AW32" s="17">
        <f>IF(AU32=1,IF(COUNTIFS($A$2:$A$201,$A32,$AU$2:$AU$201,1,$G$2:$G$201,"&gt;"&amp;G32)+COUNTIFS($A$2:$A$201,$A32,$AU$2:$AU$201,1,$G$2:$G$201,G32,$AT$2:$AT$201,"&gt;"&amp;AT32)=0,1,0),0)</f>
        <v/>
      </c>
      <c r="AX32" s="17">
        <f>IF(AND(AU32=1,AN32="Y",Z32="Y",TRIM(AD32)&lt;&gt;""),1,0)</f>
        <v/>
      </c>
      <c r="AY32" s="17">
        <f>IF(AX32=1,IF(COUNTIFS($A$2:$A$201,$A32,$AX$2:$AX$201,1,$G$2:$G$201,"&lt;"&amp;G32)+COUNTIFS($A$2:$A$201,$A32,$AX$2:$AX$201,1,$G$2:$G$201,G32,$AT$2:$AT$201,"&lt;"&amp;AT32)=0,1,0),0)</f>
        <v/>
      </c>
      <c r="AZ32" s="17">
        <f>IF(AND(AU32=1,AN32="Y",AX32=0),1,0)</f>
        <v/>
      </c>
      <c r="BA32" s="17">
        <f>IF(AND(AU32=1,ISNUMBER(V32)),1,0)</f>
        <v/>
      </c>
      <c r="BB32" s="17">
        <f>IF(BA32=1,IF(COUNTIFS($A$2:$A$201,$A32,$BA$2:$BA$201,1,$G$2:$G$201,"&lt;"&amp;G32)+COUNTIFS($A$2:$A$201,$A32,$BA$2:$BA$201,1,$G$2:$G$201,G32,$AT$2:$AT$201,"&lt;"&amp;AT32)=0,1,0),0)</f>
        <v/>
      </c>
      <c r="BC32" s="17">
        <f>IF(AND(BB32=1,G32&lt;=Config!$B$6),V32,"")</f>
        <v/>
      </c>
      <c r="BD32" s="17">
        <f>IF(AND(BB32=1,G32&lt;=Config!$B$7),V32,"")</f>
        <v/>
      </c>
      <c r="BE32" s="17">
        <f>IF(AND(BB32=1,G32&lt;=Config!$B$8),V32,"")</f>
        <v/>
      </c>
      <c r="BF32" s="17">
        <f>IF(AND(BB32=1,G32&lt;=Config!$B$5),V32,"")</f>
        <v/>
      </c>
      <c r="BG32" s="17">
        <f>IF(BW32=1,IF(COUNTIFS($A$2:$A$201,$A32,$BW$2:$BW$201,1,$G$2:$G$201,"&lt;"&amp;G32)+COUNTIFS($A$2:$A$201,$A32,$BW$2:$BW$201,1,$G$2:$G$201,G32,$AT$2:$AT$201,"&lt;"&amp;AT32)=0,1,0),0)</f>
        <v/>
      </c>
      <c r="BH32" s="17">
        <f>IF(AND(AU32=1,ISNUMBER(K32)),1,0)</f>
        <v/>
      </c>
      <c r="BI32" s="17">
        <f>IF(BH32=1,IF(COUNTIFS($A$2:$A$201,$A32,$BH$2:$BH$201,1,$G$2:$G$201,"&lt;"&amp;G32)+COUNTIFS($A$2:$A$201,$A32,$BH$2:$BH$201,1,$G$2:$G$201,G32,$AT$2:$AT$201,"&lt;"&amp;AT32)=0,1,0),0)</f>
        <v/>
      </c>
      <c r="BJ32" s="17">
        <f>IF(AND(BI32=1,G32&lt;=Config!$B$5),K32,"")</f>
        <v/>
      </c>
      <c r="BK32" s="17">
        <f>IF(AND(AU32=1,OR(TRIM(U32)&lt;&gt;"",ISNUMBER(V32))),1,0)</f>
        <v/>
      </c>
      <c r="BL32" s="17">
        <f>IF(BK32=1,IF(COUNTIFS($A$2:$A$201,$A32,$BK$2:$BK$201,1,$G$2:$G$201,"&lt;"&amp;G32)+COUNTIFS($A$2:$A$201,$A32,$BK$2:$BK$201,1,$G$2:$G$201,G32,$AT$2:$AT$201,"&lt;"&amp;AT32)=0,1,0),0)</f>
        <v/>
      </c>
      <c r="BM32" s="17">
        <f>IF(BL32=1,$A32,"")</f>
        <v/>
      </c>
      <c r="BN32" s="17">
        <f>IF(AND(AU32=1,T32="Y",TRIM(U32)=""),1,0)</f>
        <v/>
      </c>
      <c r="BO32" s="17">
        <f>IF(AU32=1,AJ32&amp;"","")</f>
        <v/>
      </c>
      <c r="BP32" s="17">
        <f>IF(AU32=1,AK32&amp;"","")</f>
        <v/>
      </c>
      <c r="BQ32" s="17">
        <f>IF(AU32=1,AL32&amp;"","")</f>
        <v/>
      </c>
      <c r="BR32" s="17">
        <f>IF(AND(AU32=1,ISNUMBER(AP32),G32&lt;=Config!$B$5),AP32,"")</f>
        <v/>
      </c>
      <c r="BS32" s="17">
        <f>IF(AU32=1,IF(COUNTIFS($A$2:$A$201,$A32,$AN$2:$AN$201,"Y",$AU$2:$AU$201,1)&gt;0,"Y","N"),"")</f>
        <v/>
      </c>
      <c r="BT32" s="17">
        <f>IF(AND(AU32=1,AN32="maybe"),1,0)</f>
        <v/>
      </c>
      <c r="BU32" s="17">
        <f>IF(BT32=1,IF(COUNTIFS($A$2:$A$201,$A32,$BT$2:$BT$201,1,$G$2:$G$201,"&lt;"&amp;G32)+COUNTIFS($A$2:$A$201,$A32,$BT$2:$BT$201,1,$G$2:$G$201,G32,$AT$2:$AT$201,"&lt;"&amp;AT32)=0,1,0),0)</f>
        <v/>
      </c>
      <c r="BV32" s="17">
        <f>IF(AND(AU32=1,AN32="Y"),IF(COUNTIFS($A$2:$A$201,$A32,$AN$2:$AN$201,"Y",$AU$2:$AU$201,1,$G$2:$G$201,"&lt;"&amp;G32)+COUNTIFS($A$2:$A$201,$A32,$AN$2:$AN$201,"Y",$AU$2:$AU$201,1,$G$2:$G$201,G32,$AT$2:$AT$201,"&lt;"&amp;AT32)=0,1,0),0)</f>
        <v/>
      </c>
      <c r="BW32" s="17">
        <f>IF(AND(BA32=1,N(V32)&gt;=Config!$B$15),1,0)</f>
        <v/>
      </c>
      <c r="BX32" s="17">
        <f>IF(AU32=1,IFERROR(MATCH($A32,INDEX(Clay_Offices!$A$2:$FZ$601,0,Sync!$C$5),0),""),"")</f>
        <v/>
      </c>
      <c r="BY32" s="17">
        <f>IF(BX32="","",IFERROR(INDEX(Clay_Offices!$A$2:$FZ$601,BX32,Sync!$C$7)&amp;"",""))</f>
        <v/>
      </c>
      <c r="BZ32" s="17">
        <f>IF(BY32="","",IFERROR(INDEX(Lists!$J$2:$J$15,MATCH(BY32,Lists!$I$2:$I$15,0)),""))</f>
        <v/>
      </c>
      <c r="CA32" s="17">
        <f>IF(BX32="","",IFERROR(INDEX(Clay_Offices!$A$2:$FZ$601,BX32,Sync!$C$17)&amp;"",""))</f>
        <v/>
      </c>
      <c r="CB32" s="23">
        <f>IF(BX32="","",IFERROR(N(INDEX(Clay_Offices!$A$2:$FZ$601,BX32,Sync!$C$16)),0))</f>
        <v/>
      </c>
    </row>
    <row r="33">
      <c r="G33" s="22" t="n"/>
      <c r="AS33" s="17">
        <f>IF(TRIM($A33)="","",IF(AND(LEFT($A33,6)="SAMPLE",Config!$B$19&lt;&gt;"Y"),"",IF(NOT(ISNUMBER(G33)),"call_date is blank or not a date",IF(Sync!$C$5="","Clay paste is empty or has no row_id column: paste the Clay export on Clay_Offices",IF(BX33="","row_id not found in the Clay paste: add the Clay row or fix the row_id",IF(AND(ISNUMBER(BZ33),BZ33&gt;=1,BZ33&lt;=5),"Clay status is "&amp;BY33&amp;": set call_done or later",IF(AND(AW33=1,CA33&lt;&gt;BS33),"Clay yes_in_principle should be "&amp;BS33,IF(AND(AW33=1,CB33&lt;&gt;G33),"Clay call_date should be "&amp;TEXT(G33,"yyyy-mm-dd"),""))))))))</f>
        <v/>
      </c>
      <c r="AT33" s="17">
        <f>ROW()</f>
        <v/>
      </c>
      <c r="AU33" s="17">
        <f>IF(AND(TRIM($A33)&lt;&gt;"",ISNUMBER(G33)),IF(AND(LEFT($A33,6)="SAMPLE",Config!$B$19&lt;&gt;"Y"),0,1),0)</f>
        <v/>
      </c>
      <c r="AV33" s="17">
        <f>IF(AU33=1,IF(COUNTIFS($A$2:$A$201,$A33,$AU$2:$AU$201,1,$G$2:$G$201,"&lt;"&amp;G33)+COUNTIFS($A$2:$A$201,$A33,$AU$2:$AU$201,1,$G$2:$G$201,G33,$AT$2:$AT$201,"&lt;"&amp;AT33)=0,1,0),0)</f>
        <v/>
      </c>
      <c r="AW33" s="17">
        <f>IF(AU33=1,IF(COUNTIFS($A$2:$A$201,$A33,$AU$2:$AU$201,1,$G$2:$G$201,"&gt;"&amp;G33)+COUNTIFS($A$2:$A$201,$A33,$AU$2:$AU$201,1,$G$2:$G$201,G33,$AT$2:$AT$201,"&gt;"&amp;AT33)=0,1,0),0)</f>
        <v/>
      </c>
      <c r="AX33" s="17">
        <f>IF(AND(AU33=1,AN33="Y",Z33="Y",TRIM(AD33)&lt;&gt;""),1,0)</f>
        <v/>
      </c>
      <c r="AY33" s="17">
        <f>IF(AX33=1,IF(COUNTIFS($A$2:$A$201,$A33,$AX$2:$AX$201,1,$G$2:$G$201,"&lt;"&amp;G33)+COUNTIFS($A$2:$A$201,$A33,$AX$2:$AX$201,1,$G$2:$G$201,G33,$AT$2:$AT$201,"&lt;"&amp;AT33)=0,1,0),0)</f>
        <v/>
      </c>
      <c r="AZ33" s="17">
        <f>IF(AND(AU33=1,AN33="Y",AX33=0),1,0)</f>
        <v/>
      </c>
      <c r="BA33" s="17">
        <f>IF(AND(AU33=1,ISNUMBER(V33)),1,0)</f>
        <v/>
      </c>
      <c r="BB33" s="17">
        <f>IF(BA33=1,IF(COUNTIFS($A$2:$A$201,$A33,$BA$2:$BA$201,1,$G$2:$G$201,"&lt;"&amp;G33)+COUNTIFS($A$2:$A$201,$A33,$BA$2:$BA$201,1,$G$2:$G$201,G33,$AT$2:$AT$201,"&lt;"&amp;AT33)=0,1,0),0)</f>
        <v/>
      </c>
      <c r="BC33" s="17">
        <f>IF(AND(BB33=1,G33&lt;=Config!$B$6),V33,"")</f>
        <v/>
      </c>
      <c r="BD33" s="17">
        <f>IF(AND(BB33=1,G33&lt;=Config!$B$7),V33,"")</f>
        <v/>
      </c>
      <c r="BE33" s="17">
        <f>IF(AND(BB33=1,G33&lt;=Config!$B$8),V33,"")</f>
        <v/>
      </c>
      <c r="BF33" s="17">
        <f>IF(AND(BB33=1,G33&lt;=Config!$B$5),V33,"")</f>
        <v/>
      </c>
      <c r="BG33" s="17">
        <f>IF(BW33=1,IF(COUNTIFS($A$2:$A$201,$A33,$BW$2:$BW$201,1,$G$2:$G$201,"&lt;"&amp;G33)+COUNTIFS($A$2:$A$201,$A33,$BW$2:$BW$201,1,$G$2:$G$201,G33,$AT$2:$AT$201,"&lt;"&amp;AT33)=0,1,0),0)</f>
        <v/>
      </c>
      <c r="BH33" s="17">
        <f>IF(AND(AU33=1,ISNUMBER(K33)),1,0)</f>
        <v/>
      </c>
      <c r="BI33" s="17">
        <f>IF(BH33=1,IF(COUNTIFS($A$2:$A$201,$A33,$BH$2:$BH$201,1,$G$2:$G$201,"&lt;"&amp;G33)+COUNTIFS($A$2:$A$201,$A33,$BH$2:$BH$201,1,$G$2:$G$201,G33,$AT$2:$AT$201,"&lt;"&amp;AT33)=0,1,0),0)</f>
        <v/>
      </c>
      <c r="BJ33" s="17">
        <f>IF(AND(BI33=1,G33&lt;=Config!$B$5),K33,"")</f>
        <v/>
      </c>
      <c r="BK33" s="17">
        <f>IF(AND(AU33=1,OR(TRIM(U33)&lt;&gt;"",ISNUMBER(V33))),1,0)</f>
        <v/>
      </c>
      <c r="BL33" s="17">
        <f>IF(BK33=1,IF(COUNTIFS($A$2:$A$201,$A33,$BK$2:$BK$201,1,$G$2:$G$201,"&lt;"&amp;G33)+COUNTIFS($A$2:$A$201,$A33,$BK$2:$BK$201,1,$G$2:$G$201,G33,$AT$2:$AT$201,"&lt;"&amp;AT33)=0,1,0),0)</f>
        <v/>
      </c>
      <c r="BM33" s="17">
        <f>IF(BL33=1,$A33,"")</f>
        <v/>
      </c>
      <c r="BN33" s="17">
        <f>IF(AND(AU33=1,T33="Y",TRIM(U33)=""),1,0)</f>
        <v/>
      </c>
      <c r="BO33" s="17">
        <f>IF(AU33=1,AJ33&amp;"","")</f>
        <v/>
      </c>
      <c r="BP33" s="17">
        <f>IF(AU33=1,AK33&amp;"","")</f>
        <v/>
      </c>
      <c r="BQ33" s="17">
        <f>IF(AU33=1,AL33&amp;"","")</f>
        <v/>
      </c>
      <c r="BR33" s="17">
        <f>IF(AND(AU33=1,ISNUMBER(AP33),G33&lt;=Config!$B$5),AP33,"")</f>
        <v/>
      </c>
      <c r="BS33" s="17">
        <f>IF(AU33=1,IF(COUNTIFS($A$2:$A$201,$A33,$AN$2:$AN$201,"Y",$AU$2:$AU$201,1)&gt;0,"Y","N"),"")</f>
        <v/>
      </c>
      <c r="BT33" s="17">
        <f>IF(AND(AU33=1,AN33="maybe"),1,0)</f>
        <v/>
      </c>
      <c r="BU33" s="17">
        <f>IF(BT33=1,IF(COUNTIFS($A$2:$A$201,$A33,$BT$2:$BT$201,1,$G$2:$G$201,"&lt;"&amp;G33)+COUNTIFS($A$2:$A$201,$A33,$BT$2:$BT$201,1,$G$2:$G$201,G33,$AT$2:$AT$201,"&lt;"&amp;AT33)=0,1,0),0)</f>
        <v/>
      </c>
      <c r="BV33" s="17">
        <f>IF(AND(AU33=1,AN33="Y"),IF(COUNTIFS($A$2:$A$201,$A33,$AN$2:$AN$201,"Y",$AU$2:$AU$201,1,$G$2:$G$201,"&lt;"&amp;G33)+COUNTIFS($A$2:$A$201,$A33,$AN$2:$AN$201,"Y",$AU$2:$AU$201,1,$G$2:$G$201,G33,$AT$2:$AT$201,"&lt;"&amp;AT33)=0,1,0),0)</f>
        <v/>
      </c>
      <c r="BW33" s="17">
        <f>IF(AND(BA33=1,N(V33)&gt;=Config!$B$15),1,0)</f>
        <v/>
      </c>
      <c r="BX33" s="17">
        <f>IF(AU33=1,IFERROR(MATCH($A33,INDEX(Clay_Offices!$A$2:$FZ$601,0,Sync!$C$5),0),""),"")</f>
        <v/>
      </c>
      <c r="BY33" s="17">
        <f>IF(BX33="","",IFERROR(INDEX(Clay_Offices!$A$2:$FZ$601,BX33,Sync!$C$7)&amp;"",""))</f>
        <v/>
      </c>
      <c r="BZ33" s="17">
        <f>IF(BY33="","",IFERROR(INDEX(Lists!$J$2:$J$15,MATCH(BY33,Lists!$I$2:$I$15,0)),""))</f>
        <v/>
      </c>
      <c r="CA33" s="17">
        <f>IF(BX33="","",IFERROR(INDEX(Clay_Offices!$A$2:$FZ$601,BX33,Sync!$C$17)&amp;"",""))</f>
        <v/>
      </c>
      <c r="CB33" s="23">
        <f>IF(BX33="","",IFERROR(N(INDEX(Clay_Offices!$A$2:$FZ$601,BX33,Sync!$C$16)),0))</f>
        <v/>
      </c>
    </row>
    <row r="34">
      <c r="G34" s="22" t="n"/>
      <c r="AS34" s="17">
        <f>IF(TRIM($A34)="","",IF(AND(LEFT($A34,6)="SAMPLE",Config!$B$19&lt;&gt;"Y"),"",IF(NOT(ISNUMBER(G34)),"call_date is blank or not a date",IF(Sync!$C$5="","Clay paste is empty or has no row_id column: paste the Clay export on Clay_Offices",IF(BX34="","row_id not found in the Clay paste: add the Clay row or fix the row_id",IF(AND(ISNUMBER(BZ34),BZ34&gt;=1,BZ34&lt;=5),"Clay status is "&amp;BY34&amp;": set call_done or later",IF(AND(AW34=1,CA34&lt;&gt;BS34),"Clay yes_in_principle should be "&amp;BS34,IF(AND(AW34=1,CB34&lt;&gt;G34),"Clay call_date should be "&amp;TEXT(G34,"yyyy-mm-dd"),""))))))))</f>
        <v/>
      </c>
      <c r="AT34" s="17">
        <f>ROW()</f>
        <v/>
      </c>
      <c r="AU34" s="17">
        <f>IF(AND(TRIM($A34)&lt;&gt;"",ISNUMBER(G34)),IF(AND(LEFT($A34,6)="SAMPLE",Config!$B$19&lt;&gt;"Y"),0,1),0)</f>
        <v/>
      </c>
      <c r="AV34" s="17">
        <f>IF(AU34=1,IF(COUNTIFS($A$2:$A$201,$A34,$AU$2:$AU$201,1,$G$2:$G$201,"&lt;"&amp;G34)+COUNTIFS($A$2:$A$201,$A34,$AU$2:$AU$201,1,$G$2:$G$201,G34,$AT$2:$AT$201,"&lt;"&amp;AT34)=0,1,0),0)</f>
        <v/>
      </c>
      <c r="AW34" s="17">
        <f>IF(AU34=1,IF(COUNTIFS($A$2:$A$201,$A34,$AU$2:$AU$201,1,$G$2:$G$201,"&gt;"&amp;G34)+COUNTIFS($A$2:$A$201,$A34,$AU$2:$AU$201,1,$G$2:$G$201,G34,$AT$2:$AT$201,"&gt;"&amp;AT34)=0,1,0),0)</f>
        <v/>
      </c>
      <c r="AX34" s="17">
        <f>IF(AND(AU34=1,AN34="Y",Z34="Y",TRIM(AD34)&lt;&gt;""),1,0)</f>
        <v/>
      </c>
      <c r="AY34" s="17">
        <f>IF(AX34=1,IF(COUNTIFS($A$2:$A$201,$A34,$AX$2:$AX$201,1,$G$2:$G$201,"&lt;"&amp;G34)+COUNTIFS($A$2:$A$201,$A34,$AX$2:$AX$201,1,$G$2:$G$201,G34,$AT$2:$AT$201,"&lt;"&amp;AT34)=0,1,0),0)</f>
        <v/>
      </c>
      <c r="AZ34" s="17">
        <f>IF(AND(AU34=1,AN34="Y",AX34=0),1,0)</f>
        <v/>
      </c>
      <c r="BA34" s="17">
        <f>IF(AND(AU34=1,ISNUMBER(V34)),1,0)</f>
        <v/>
      </c>
      <c r="BB34" s="17">
        <f>IF(BA34=1,IF(COUNTIFS($A$2:$A$201,$A34,$BA$2:$BA$201,1,$G$2:$G$201,"&lt;"&amp;G34)+COUNTIFS($A$2:$A$201,$A34,$BA$2:$BA$201,1,$G$2:$G$201,G34,$AT$2:$AT$201,"&lt;"&amp;AT34)=0,1,0),0)</f>
        <v/>
      </c>
      <c r="BC34" s="17">
        <f>IF(AND(BB34=1,G34&lt;=Config!$B$6),V34,"")</f>
        <v/>
      </c>
      <c r="BD34" s="17">
        <f>IF(AND(BB34=1,G34&lt;=Config!$B$7),V34,"")</f>
        <v/>
      </c>
      <c r="BE34" s="17">
        <f>IF(AND(BB34=1,G34&lt;=Config!$B$8),V34,"")</f>
        <v/>
      </c>
      <c r="BF34" s="17">
        <f>IF(AND(BB34=1,G34&lt;=Config!$B$5),V34,"")</f>
        <v/>
      </c>
      <c r="BG34" s="17">
        <f>IF(BW34=1,IF(COUNTIFS($A$2:$A$201,$A34,$BW$2:$BW$201,1,$G$2:$G$201,"&lt;"&amp;G34)+COUNTIFS($A$2:$A$201,$A34,$BW$2:$BW$201,1,$G$2:$G$201,G34,$AT$2:$AT$201,"&lt;"&amp;AT34)=0,1,0),0)</f>
        <v/>
      </c>
      <c r="BH34" s="17">
        <f>IF(AND(AU34=1,ISNUMBER(K34)),1,0)</f>
        <v/>
      </c>
      <c r="BI34" s="17">
        <f>IF(BH34=1,IF(COUNTIFS($A$2:$A$201,$A34,$BH$2:$BH$201,1,$G$2:$G$201,"&lt;"&amp;G34)+COUNTIFS($A$2:$A$201,$A34,$BH$2:$BH$201,1,$G$2:$G$201,G34,$AT$2:$AT$201,"&lt;"&amp;AT34)=0,1,0),0)</f>
        <v/>
      </c>
      <c r="BJ34" s="17">
        <f>IF(AND(BI34=1,G34&lt;=Config!$B$5),K34,"")</f>
        <v/>
      </c>
      <c r="BK34" s="17">
        <f>IF(AND(AU34=1,OR(TRIM(U34)&lt;&gt;"",ISNUMBER(V34))),1,0)</f>
        <v/>
      </c>
      <c r="BL34" s="17">
        <f>IF(BK34=1,IF(COUNTIFS($A$2:$A$201,$A34,$BK$2:$BK$201,1,$G$2:$G$201,"&lt;"&amp;G34)+COUNTIFS($A$2:$A$201,$A34,$BK$2:$BK$201,1,$G$2:$G$201,G34,$AT$2:$AT$201,"&lt;"&amp;AT34)=0,1,0),0)</f>
        <v/>
      </c>
      <c r="BM34" s="17">
        <f>IF(BL34=1,$A34,"")</f>
        <v/>
      </c>
      <c r="BN34" s="17">
        <f>IF(AND(AU34=1,T34="Y",TRIM(U34)=""),1,0)</f>
        <v/>
      </c>
      <c r="BO34" s="17">
        <f>IF(AU34=1,AJ34&amp;"","")</f>
        <v/>
      </c>
      <c r="BP34" s="17">
        <f>IF(AU34=1,AK34&amp;"","")</f>
        <v/>
      </c>
      <c r="BQ34" s="17">
        <f>IF(AU34=1,AL34&amp;"","")</f>
        <v/>
      </c>
      <c r="BR34" s="17">
        <f>IF(AND(AU34=1,ISNUMBER(AP34),G34&lt;=Config!$B$5),AP34,"")</f>
        <v/>
      </c>
      <c r="BS34" s="17">
        <f>IF(AU34=1,IF(COUNTIFS($A$2:$A$201,$A34,$AN$2:$AN$201,"Y",$AU$2:$AU$201,1)&gt;0,"Y","N"),"")</f>
        <v/>
      </c>
      <c r="BT34" s="17">
        <f>IF(AND(AU34=1,AN34="maybe"),1,0)</f>
        <v/>
      </c>
      <c r="BU34" s="17">
        <f>IF(BT34=1,IF(COUNTIFS($A$2:$A$201,$A34,$BT$2:$BT$201,1,$G$2:$G$201,"&lt;"&amp;G34)+COUNTIFS($A$2:$A$201,$A34,$BT$2:$BT$201,1,$G$2:$G$201,G34,$AT$2:$AT$201,"&lt;"&amp;AT34)=0,1,0),0)</f>
        <v/>
      </c>
      <c r="BV34" s="17">
        <f>IF(AND(AU34=1,AN34="Y"),IF(COUNTIFS($A$2:$A$201,$A34,$AN$2:$AN$201,"Y",$AU$2:$AU$201,1,$G$2:$G$201,"&lt;"&amp;G34)+COUNTIFS($A$2:$A$201,$A34,$AN$2:$AN$201,"Y",$AU$2:$AU$201,1,$G$2:$G$201,G34,$AT$2:$AT$201,"&lt;"&amp;AT34)=0,1,0),0)</f>
        <v/>
      </c>
      <c r="BW34" s="17">
        <f>IF(AND(BA34=1,N(V34)&gt;=Config!$B$15),1,0)</f>
        <v/>
      </c>
      <c r="BX34" s="17">
        <f>IF(AU34=1,IFERROR(MATCH($A34,INDEX(Clay_Offices!$A$2:$FZ$601,0,Sync!$C$5),0),""),"")</f>
        <v/>
      </c>
      <c r="BY34" s="17">
        <f>IF(BX34="","",IFERROR(INDEX(Clay_Offices!$A$2:$FZ$601,BX34,Sync!$C$7)&amp;"",""))</f>
        <v/>
      </c>
      <c r="BZ34" s="17">
        <f>IF(BY34="","",IFERROR(INDEX(Lists!$J$2:$J$15,MATCH(BY34,Lists!$I$2:$I$15,0)),""))</f>
        <v/>
      </c>
      <c r="CA34" s="17">
        <f>IF(BX34="","",IFERROR(INDEX(Clay_Offices!$A$2:$FZ$601,BX34,Sync!$C$17)&amp;"",""))</f>
        <v/>
      </c>
      <c r="CB34" s="23">
        <f>IF(BX34="","",IFERROR(N(INDEX(Clay_Offices!$A$2:$FZ$601,BX34,Sync!$C$16)),0))</f>
        <v/>
      </c>
    </row>
    <row r="35">
      <c r="G35" s="22" t="n"/>
      <c r="AS35" s="17">
        <f>IF(TRIM($A35)="","",IF(AND(LEFT($A35,6)="SAMPLE",Config!$B$19&lt;&gt;"Y"),"",IF(NOT(ISNUMBER(G35)),"call_date is blank or not a date",IF(Sync!$C$5="","Clay paste is empty or has no row_id column: paste the Clay export on Clay_Offices",IF(BX35="","row_id not found in the Clay paste: add the Clay row or fix the row_id",IF(AND(ISNUMBER(BZ35),BZ35&gt;=1,BZ35&lt;=5),"Clay status is "&amp;BY35&amp;": set call_done or later",IF(AND(AW35=1,CA35&lt;&gt;BS35),"Clay yes_in_principle should be "&amp;BS35,IF(AND(AW35=1,CB35&lt;&gt;G35),"Clay call_date should be "&amp;TEXT(G35,"yyyy-mm-dd"),""))))))))</f>
        <v/>
      </c>
      <c r="AT35" s="17">
        <f>ROW()</f>
        <v/>
      </c>
      <c r="AU35" s="17">
        <f>IF(AND(TRIM($A35)&lt;&gt;"",ISNUMBER(G35)),IF(AND(LEFT($A35,6)="SAMPLE",Config!$B$19&lt;&gt;"Y"),0,1),0)</f>
        <v/>
      </c>
      <c r="AV35" s="17">
        <f>IF(AU35=1,IF(COUNTIFS($A$2:$A$201,$A35,$AU$2:$AU$201,1,$G$2:$G$201,"&lt;"&amp;G35)+COUNTIFS($A$2:$A$201,$A35,$AU$2:$AU$201,1,$G$2:$G$201,G35,$AT$2:$AT$201,"&lt;"&amp;AT35)=0,1,0),0)</f>
        <v/>
      </c>
      <c r="AW35" s="17">
        <f>IF(AU35=1,IF(COUNTIFS($A$2:$A$201,$A35,$AU$2:$AU$201,1,$G$2:$G$201,"&gt;"&amp;G35)+COUNTIFS($A$2:$A$201,$A35,$AU$2:$AU$201,1,$G$2:$G$201,G35,$AT$2:$AT$201,"&gt;"&amp;AT35)=0,1,0),0)</f>
        <v/>
      </c>
      <c r="AX35" s="17">
        <f>IF(AND(AU35=1,AN35="Y",Z35="Y",TRIM(AD35)&lt;&gt;""),1,0)</f>
        <v/>
      </c>
      <c r="AY35" s="17">
        <f>IF(AX35=1,IF(COUNTIFS($A$2:$A$201,$A35,$AX$2:$AX$201,1,$G$2:$G$201,"&lt;"&amp;G35)+COUNTIFS($A$2:$A$201,$A35,$AX$2:$AX$201,1,$G$2:$G$201,G35,$AT$2:$AT$201,"&lt;"&amp;AT35)=0,1,0),0)</f>
        <v/>
      </c>
      <c r="AZ35" s="17">
        <f>IF(AND(AU35=1,AN35="Y",AX35=0),1,0)</f>
        <v/>
      </c>
      <c r="BA35" s="17">
        <f>IF(AND(AU35=1,ISNUMBER(V35)),1,0)</f>
        <v/>
      </c>
      <c r="BB35" s="17">
        <f>IF(BA35=1,IF(COUNTIFS($A$2:$A$201,$A35,$BA$2:$BA$201,1,$G$2:$G$201,"&lt;"&amp;G35)+COUNTIFS($A$2:$A$201,$A35,$BA$2:$BA$201,1,$G$2:$G$201,G35,$AT$2:$AT$201,"&lt;"&amp;AT35)=0,1,0),0)</f>
        <v/>
      </c>
      <c r="BC35" s="17">
        <f>IF(AND(BB35=1,G35&lt;=Config!$B$6),V35,"")</f>
        <v/>
      </c>
      <c r="BD35" s="17">
        <f>IF(AND(BB35=1,G35&lt;=Config!$B$7),V35,"")</f>
        <v/>
      </c>
      <c r="BE35" s="17">
        <f>IF(AND(BB35=1,G35&lt;=Config!$B$8),V35,"")</f>
        <v/>
      </c>
      <c r="BF35" s="17">
        <f>IF(AND(BB35=1,G35&lt;=Config!$B$5),V35,"")</f>
        <v/>
      </c>
      <c r="BG35" s="17">
        <f>IF(BW35=1,IF(COUNTIFS($A$2:$A$201,$A35,$BW$2:$BW$201,1,$G$2:$G$201,"&lt;"&amp;G35)+COUNTIFS($A$2:$A$201,$A35,$BW$2:$BW$201,1,$G$2:$G$201,G35,$AT$2:$AT$201,"&lt;"&amp;AT35)=0,1,0),0)</f>
        <v/>
      </c>
      <c r="BH35" s="17">
        <f>IF(AND(AU35=1,ISNUMBER(K35)),1,0)</f>
        <v/>
      </c>
      <c r="BI35" s="17">
        <f>IF(BH35=1,IF(COUNTIFS($A$2:$A$201,$A35,$BH$2:$BH$201,1,$G$2:$G$201,"&lt;"&amp;G35)+COUNTIFS($A$2:$A$201,$A35,$BH$2:$BH$201,1,$G$2:$G$201,G35,$AT$2:$AT$201,"&lt;"&amp;AT35)=0,1,0),0)</f>
        <v/>
      </c>
      <c r="BJ35" s="17">
        <f>IF(AND(BI35=1,G35&lt;=Config!$B$5),K35,"")</f>
        <v/>
      </c>
      <c r="BK35" s="17">
        <f>IF(AND(AU35=1,OR(TRIM(U35)&lt;&gt;"",ISNUMBER(V35))),1,0)</f>
        <v/>
      </c>
      <c r="BL35" s="17">
        <f>IF(BK35=1,IF(COUNTIFS($A$2:$A$201,$A35,$BK$2:$BK$201,1,$G$2:$G$201,"&lt;"&amp;G35)+COUNTIFS($A$2:$A$201,$A35,$BK$2:$BK$201,1,$G$2:$G$201,G35,$AT$2:$AT$201,"&lt;"&amp;AT35)=0,1,0),0)</f>
        <v/>
      </c>
      <c r="BM35" s="17">
        <f>IF(BL35=1,$A35,"")</f>
        <v/>
      </c>
      <c r="BN35" s="17">
        <f>IF(AND(AU35=1,T35="Y",TRIM(U35)=""),1,0)</f>
        <v/>
      </c>
      <c r="BO35" s="17">
        <f>IF(AU35=1,AJ35&amp;"","")</f>
        <v/>
      </c>
      <c r="BP35" s="17">
        <f>IF(AU35=1,AK35&amp;"","")</f>
        <v/>
      </c>
      <c r="BQ35" s="17">
        <f>IF(AU35=1,AL35&amp;"","")</f>
        <v/>
      </c>
      <c r="BR35" s="17">
        <f>IF(AND(AU35=1,ISNUMBER(AP35),G35&lt;=Config!$B$5),AP35,"")</f>
        <v/>
      </c>
      <c r="BS35" s="17">
        <f>IF(AU35=1,IF(COUNTIFS($A$2:$A$201,$A35,$AN$2:$AN$201,"Y",$AU$2:$AU$201,1)&gt;0,"Y","N"),"")</f>
        <v/>
      </c>
      <c r="BT35" s="17">
        <f>IF(AND(AU35=1,AN35="maybe"),1,0)</f>
        <v/>
      </c>
      <c r="BU35" s="17">
        <f>IF(BT35=1,IF(COUNTIFS($A$2:$A$201,$A35,$BT$2:$BT$201,1,$G$2:$G$201,"&lt;"&amp;G35)+COUNTIFS($A$2:$A$201,$A35,$BT$2:$BT$201,1,$G$2:$G$201,G35,$AT$2:$AT$201,"&lt;"&amp;AT35)=0,1,0),0)</f>
        <v/>
      </c>
      <c r="BV35" s="17">
        <f>IF(AND(AU35=1,AN35="Y"),IF(COUNTIFS($A$2:$A$201,$A35,$AN$2:$AN$201,"Y",$AU$2:$AU$201,1,$G$2:$G$201,"&lt;"&amp;G35)+COUNTIFS($A$2:$A$201,$A35,$AN$2:$AN$201,"Y",$AU$2:$AU$201,1,$G$2:$G$201,G35,$AT$2:$AT$201,"&lt;"&amp;AT35)=0,1,0),0)</f>
        <v/>
      </c>
      <c r="BW35" s="17">
        <f>IF(AND(BA35=1,N(V35)&gt;=Config!$B$15),1,0)</f>
        <v/>
      </c>
      <c r="BX35" s="17">
        <f>IF(AU35=1,IFERROR(MATCH($A35,INDEX(Clay_Offices!$A$2:$FZ$601,0,Sync!$C$5),0),""),"")</f>
        <v/>
      </c>
      <c r="BY35" s="17">
        <f>IF(BX35="","",IFERROR(INDEX(Clay_Offices!$A$2:$FZ$601,BX35,Sync!$C$7)&amp;"",""))</f>
        <v/>
      </c>
      <c r="BZ35" s="17">
        <f>IF(BY35="","",IFERROR(INDEX(Lists!$J$2:$J$15,MATCH(BY35,Lists!$I$2:$I$15,0)),""))</f>
        <v/>
      </c>
      <c r="CA35" s="17">
        <f>IF(BX35="","",IFERROR(INDEX(Clay_Offices!$A$2:$FZ$601,BX35,Sync!$C$17)&amp;"",""))</f>
        <v/>
      </c>
      <c r="CB35" s="23">
        <f>IF(BX35="","",IFERROR(N(INDEX(Clay_Offices!$A$2:$FZ$601,BX35,Sync!$C$16)),0))</f>
        <v/>
      </c>
    </row>
    <row r="36">
      <c r="G36" s="22" t="n"/>
      <c r="AS36" s="17">
        <f>IF(TRIM($A36)="","",IF(AND(LEFT($A36,6)="SAMPLE",Config!$B$19&lt;&gt;"Y"),"",IF(NOT(ISNUMBER(G36)),"call_date is blank or not a date",IF(Sync!$C$5="","Clay paste is empty or has no row_id column: paste the Clay export on Clay_Offices",IF(BX36="","row_id not found in the Clay paste: add the Clay row or fix the row_id",IF(AND(ISNUMBER(BZ36),BZ36&gt;=1,BZ36&lt;=5),"Clay status is "&amp;BY36&amp;": set call_done or later",IF(AND(AW36=1,CA36&lt;&gt;BS36),"Clay yes_in_principle should be "&amp;BS36,IF(AND(AW36=1,CB36&lt;&gt;G36),"Clay call_date should be "&amp;TEXT(G36,"yyyy-mm-dd"),""))))))))</f>
        <v/>
      </c>
      <c r="AT36" s="17">
        <f>ROW()</f>
        <v/>
      </c>
      <c r="AU36" s="17">
        <f>IF(AND(TRIM($A36)&lt;&gt;"",ISNUMBER(G36)),IF(AND(LEFT($A36,6)="SAMPLE",Config!$B$19&lt;&gt;"Y"),0,1),0)</f>
        <v/>
      </c>
      <c r="AV36" s="17">
        <f>IF(AU36=1,IF(COUNTIFS($A$2:$A$201,$A36,$AU$2:$AU$201,1,$G$2:$G$201,"&lt;"&amp;G36)+COUNTIFS($A$2:$A$201,$A36,$AU$2:$AU$201,1,$G$2:$G$201,G36,$AT$2:$AT$201,"&lt;"&amp;AT36)=0,1,0),0)</f>
        <v/>
      </c>
      <c r="AW36" s="17">
        <f>IF(AU36=1,IF(COUNTIFS($A$2:$A$201,$A36,$AU$2:$AU$201,1,$G$2:$G$201,"&gt;"&amp;G36)+COUNTIFS($A$2:$A$201,$A36,$AU$2:$AU$201,1,$G$2:$G$201,G36,$AT$2:$AT$201,"&gt;"&amp;AT36)=0,1,0),0)</f>
        <v/>
      </c>
      <c r="AX36" s="17">
        <f>IF(AND(AU36=1,AN36="Y",Z36="Y",TRIM(AD36)&lt;&gt;""),1,0)</f>
        <v/>
      </c>
      <c r="AY36" s="17">
        <f>IF(AX36=1,IF(COUNTIFS($A$2:$A$201,$A36,$AX$2:$AX$201,1,$G$2:$G$201,"&lt;"&amp;G36)+COUNTIFS($A$2:$A$201,$A36,$AX$2:$AX$201,1,$G$2:$G$201,G36,$AT$2:$AT$201,"&lt;"&amp;AT36)=0,1,0),0)</f>
        <v/>
      </c>
      <c r="AZ36" s="17">
        <f>IF(AND(AU36=1,AN36="Y",AX36=0),1,0)</f>
        <v/>
      </c>
      <c r="BA36" s="17">
        <f>IF(AND(AU36=1,ISNUMBER(V36)),1,0)</f>
        <v/>
      </c>
      <c r="BB36" s="17">
        <f>IF(BA36=1,IF(COUNTIFS($A$2:$A$201,$A36,$BA$2:$BA$201,1,$G$2:$G$201,"&lt;"&amp;G36)+COUNTIFS($A$2:$A$201,$A36,$BA$2:$BA$201,1,$G$2:$G$201,G36,$AT$2:$AT$201,"&lt;"&amp;AT36)=0,1,0),0)</f>
        <v/>
      </c>
      <c r="BC36" s="17">
        <f>IF(AND(BB36=1,G36&lt;=Config!$B$6),V36,"")</f>
        <v/>
      </c>
      <c r="BD36" s="17">
        <f>IF(AND(BB36=1,G36&lt;=Config!$B$7),V36,"")</f>
        <v/>
      </c>
      <c r="BE36" s="17">
        <f>IF(AND(BB36=1,G36&lt;=Config!$B$8),V36,"")</f>
        <v/>
      </c>
      <c r="BF36" s="17">
        <f>IF(AND(BB36=1,G36&lt;=Config!$B$5),V36,"")</f>
        <v/>
      </c>
      <c r="BG36" s="17">
        <f>IF(BW36=1,IF(COUNTIFS($A$2:$A$201,$A36,$BW$2:$BW$201,1,$G$2:$G$201,"&lt;"&amp;G36)+COUNTIFS($A$2:$A$201,$A36,$BW$2:$BW$201,1,$G$2:$G$201,G36,$AT$2:$AT$201,"&lt;"&amp;AT36)=0,1,0),0)</f>
        <v/>
      </c>
      <c r="BH36" s="17">
        <f>IF(AND(AU36=1,ISNUMBER(K36)),1,0)</f>
        <v/>
      </c>
      <c r="BI36" s="17">
        <f>IF(BH36=1,IF(COUNTIFS($A$2:$A$201,$A36,$BH$2:$BH$201,1,$G$2:$G$201,"&lt;"&amp;G36)+COUNTIFS($A$2:$A$201,$A36,$BH$2:$BH$201,1,$G$2:$G$201,G36,$AT$2:$AT$201,"&lt;"&amp;AT36)=0,1,0),0)</f>
        <v/>
      </c>
      <c r="BJ36" s="17">
        <f>IF(AND(BI36=1,G36&lt;=Config!$B$5),K36,"")</f>
        <v/>
      </c>
      <c r="BK36" s="17">
        <f>IF(AND(AU36=1,OR(TRIM(U36)&lt;&gt;"",ISNUMBER(V36))),1,0)</f>
        <v/>
      </c>
      <c r="BL36" s="17">
        <f>IF(BK36=1,IF(COUNTIFS($A$2:$A$201,$A36,$BK$2:$BK$201,1,$G$2:$G$201,"&lt;"&amp;G36)+COUNTIFS($A$2:$A$201,$A36,$BK$2:$BK$201,1,$G$2:$G$201,G36,$AT$2:$AT$201,"&lt;"&amp;AT36)=0,1,0),0)</f>
        <v/>
      </c>
      <c r="BM36" s="17">
        <f>IF(BL36=1,$A36,"")</f>
        <v/>
      </c>
      <c r="BN36" s="17">
        <f>IF(AND(AU36=1,T36="Y",TRIM(U36)=""),1,0)</f>
        <v/>
      </c>
      <c r="BO36" s="17">
        <f>IF(AU36=1,AJ36&amp;"","")</f>
        <v/>
      </c>
      <c r="BP36" s="17">
        <f>IF(AU36=1,AK36&amp;"","")</f>
        <v/>
      </c>
      <c r="BQ36" s="17">
        <f>IF(AU36=1,AL36&amp;"","")</f>
        <v/>
      </c>
      <c r="BR36" s="17">
        <f>IF(AND(AU36=1,ISNUMBER(AP36),G36&lt;=Config!$B$5),AP36,"")</f>
        <v/>
      </c>
      <c r="BS36" s="17">
        <f>IF(AU36=1,IF(COUNTIFS($A$2:$A$201,$A36,$AN$2:$AN$201,"Y",$AU$2:$AU$201,1)&gt;0,"Y","N"),"")</f>
        <v/>
      </c>
      <c r="BT36" s="17">
        <f>IF(AND(AU36=1,AN36="maybe"),1,0)</f>
        <v/>
      </c>
      <c r="BU36" s="17">
        <f>IF(BT36=1,IF(COUNTIFS($A$2:$A$201,$A36,$BT$2:$BT$201,1,$G$2:$G$201,"&lt;"&amp;G36)+COUNTIFS($A$2:$A$201,$A36,$BT$2:$BT$201,1,$G$2:$G$201,G36,$AT$2:$AT$201,"&lt;"&amp;AT36)=0,1,0),0)</f>
        <v/>
      </c>
      <c r="BV36" s="17">
        <f>IF(AND(AU36=1,AN36="Y"),IF(COUNTIFS($A$2:$A$201,$A36,$AN$2:$AN$201,"Y",$AU$2:$AU$201,1,$G$2:$G$201,"&lt;"&amp;G36)+COUNTIFS($A$2:$A$201,$A36,$AN$2:$AN$201,"Y",$AU$2:$AU$201,1,$G$2:$G$201,G36,$AT$2:$AT$201,"&lt;"&amp;AT36)=0,1,0),0)</f>
        <v/>
      </c>
      <c r="BW36" s="17">
        <f>IF(AND(BA36=1,N(V36)&gt;=Config!$B$15),1,0)</f>
        <v/>
      </c>
      <c r="BX36" s="17">
        <f>IF(AU36=1,IFERROR(MATCH($A36,INDEX(Clay_Offices!$A$2:$FZ$601,0,Sync!$C$5),0),""),"")</f>
        <v/>
      </c>
      <c r="BY36" s="17">
        <f>IF(BX36="","",IFERROR(INDEX(Clay_Offices!$A$2:$FZ$601,BX36,Sync!$C$7)&amp;"",""))</f>
        <v/>
      </c>
      <c r="BZ36" s="17">
        <f>IF(BY36="","",IFERROR(INDEX(Lists!$J$2:$J$15,MATCH(BY36,Lists!$I$2:$I$15,0)),""))</f>
        <v/>
      </c>
      <c r="CA36" s="17">
        <f>IF(BX36="","",IFERROR(INDEX(Clay_Offices!$A$2:$FZ$601,BX36,Sync!$C$17)&amp;"",""))</f>
        <v/>
      </c>
      <c r="CB36" s="23">
        <f>IF(BX36="","",IFERROR(N(INDEX(Clay_Offices!$A$2:$FZ$601,BX36,Sync!$C$16)),0))</f>
        <v/>
      </c>
    </row>
    <row r="37">
      <c r="G37" s="22" t="n"/>
      <c r="AS37" s="17">
        <f>IF(TRIM($A37)="","",IF(AND(LEFT($A37,6)="SAMPLE",Config!$B$19&lt;&gt;"Y"),"",IF(NOT(ISNUMBER(G37)),"call_date is blank or not a date",IF(Sync!$C$5="","Clay paste is empty or has no row_id column: paste the Clay export on Clay_Offices",IF(BX37="","row_id not found in the Clay paste: add the Clay row or fix the row_id",IF(AND(ISNUMBER(BZ37),BZ37&gt;=1,BZ37&lt;=5),"Clay status is "&amp;BY37&amp;": set call_done or later",IF(AND(AW37=1,CA37&lt;&gt;BS37),"Clay yes_in_principle should be "&amp;BS37,IF(AND(AW37=1,CB37&lt;&gt;G37),"Clay call_date should be "&amp;TEXT(G37,"yyyy-mm-dd"),""))))))))</f>
        <v/>
      </c>
      <c r="AT37" s="17">
        <f>ROW()</f>
        <v/>
      </c>
      <c r="AU37" s="17">
        <f>IF(AND(TRIM($A37)&lt;&gt;"",ISNUMBER(G37)),IF(AND(LEFT($A37,6)="SAMPLE",Config!$B$19&lt;&gt;"Y"),0,1),0)</f>
        <v/>
      </c>
      <c r="AV37" s="17">
        <f>IF(AU37=1,IF(COUNTIFS($A$2:$A$201,$A37,$AU$2:$AU$201,1,$G$2:$G$201,"&lt;"&amp;G37)+COUNTIFS($A$2:$A$201,$A37,$AU$2:$AU$201,1,$G$2:$G$201,G37,$AT$2:$AT$201,"&lt;"&amp;AT37)=0,1,0),0)</f>
        <v/>
      </c>
      <c r="AW37" s="17">
        <f>IF(AU37=1,IF(COUNTIFS($A$2:$A$201,$A37,$AU$2:$AU$201,1,$G$2:$G$201,"&gt;"&amp;G37)+COUNTIFS($A$2:$A$201,$A37,$AU$2:$AU$201,1,$G$2:$G$201,G37,$AT$2:$AT$201,"&gt;"&amp;AT37)=0,1,0),0)</f>
        <v/>
      </c>
      <c r="AX37" s="17">
        <f>IF(AND(AU37=1,AN37="Y",Z37="Y",TRIM(AD37)&lt;&gt;""),1,0)</f>
        <v/>
      </c>
      <c r="AY37" s="17">
        <f>IF(AX37=1,IF(COUNTIFS($A$2:$A$201,$A37,$AX$2:$AX$201,1,$G$2:$G$201,"&lt;"&amp;G37)+COUNTIFS($A$2:$A$201,$A37,$AX$2:$AX$201,1,$G$2:$G$201,G37,$AT$2:$AT$201,"&lt;"&amp;AT37)=0,1,0),0)</f>
        <v/>
      </c>
      <c r="AZ37" s="17">
        <f>IF(AND(AU37=1,AN37="Y",AX37=0),1,0)</f>
        <v/>
      </c>
      <c r="BA37" s="17">
        <f>IF(AND(AU37=1,ISNUMBER(V37)),1,0)</f>
        <v/>
      </c>
      <c r="BB37" s="17">
        <f>IF(BA37=1,IF(COUNTIFS($A$2:$A$201,$A37,$BA$2:$BA$201,1,$G$2:$G$201,"&lt;"&amp;G37)+COUNTIFS($A$2:$A$201,$A37,$BA$2:$BA$201,1,$G$2:$G$201,G37,$AT$2:$AT$201,"&lt;"&amp;AT37)=0,1,0),0)</f>
        <v/>
      </c>
      <c r="BC37" s="17">
        <f>IF(AND(BB37=1,G37&lt;=Config!$B$6),V37,"")</f>
        <v/>
      </c>
      <c r="BD37" s="17">
        <f>IF(AND(BB37=1,G37&lt;=Config!$B$7),V37,"")</f>
        <v/>
      </c>
      <c r="BE37" s="17">
        <f>IF(AND(BB37=1,G37&lt;=Config!$B$8),V37,"")</f>
        <v/>
      </c>
      <c r="BF37" s="17">
        <f>IF(AND(BB37=1,G37&lt;=Config!$B$5),V37,"")</f>
        <v/>
      </c>
      <c r="BG37" s="17">
        <f>IF(BW37=1,IF(COUNTIFS($A$2:$A$201,$A37,$BW$2:$BW$201,1,$G$2:$G$201,"&lt;"&amp;G37)+COUNTIFS($A$2:$A$201,$A37,$BW$2:$BW$201,1,$G$2:$G$201,G37,$AT$2:$AT$201,"&lt;"&amp;AT37)=0,1,0),0)</f>
        <v/>
      </c>
      <c r="BH37" s="17">
        <f>IF(AND(AU37=1,ISNUMBER(K37)),1,0)</f>
        <v/>
      </c>
      <c r="BI37" s="17">
        <f>IF(BH37=1,IF(COUNTIFS($A$2:$A$201,$A37,$BH$2:$BH$201,1,$G$2:$G$201,"&lt;"&amp;G37)+COUNTIFS($A$2:$A$201,$A37,$BH$2:$BH$201,1,$G$2:$G$201,G37,$AT$2:$AT$201,"&lt;"&amp;AT37)=0,1,0),0)</f>
        <v/>
      </c>
      <c r="BJ37" s="17">
        <f>IF(AND(BI37=1,G37&lt;=Config!$B$5),K37,"")</f>
        <v/>
      </c>
      <c r="BK37" s="17">
        <f>IF(AND(AU37=1,OR(TRIM(U37)&lt;&gt;"",ISNUMBER(V37))),1,0)</f>
        <v/>
      </c>
      <c r="BL37" s="17">
        <f>IF(BK37=1,IF(COUNTIFS($A$2:$A$201,$A37,$BK$2:$BK$201,1,$G$2:$G$201,"&lt;"&amp;G37)+COUNTIFS($A$2:$A$201,$A37,$BK$2:$BK$201,1,$G$2:$G$201,G37,$AT$2:$AT$201,"&lt;"&amp;AT37)=0,1,0),0)</f>
        <v/>
      </c>
      <c r="BM37" s="17">
        <f>IF(BL37=1,$A37,"")</f>
        <v/>
      </c>
      <c r="BN37" s="17">
        <f>IF(AND(AU37=1,T37="Y",TRIM(U37)=""),1,0)</f>
        <v/>
      </c>
      <c r="BO37" s="17">
        <f>IF(AU37=1,AJ37&amp;"","")</f>
        <v/>
      </c>
      <c r="BP37" s="17">
        <f>IF(AU37=1,AK37&amp;"","")</f>
        <v/>
      </c>
      <c r="BQ37" s="17">
        <f>IF(AU37=1,AL37&amp;"","")</f>
        <v/>
      </c>
      <c r="BR37" s="17">
        <f>IF(AND(AU37=1,ISNUMBER(AP37),G37&lt;=Config!$B$5),AP37,"")</f>
        <v/>
      </c>
      <c r="BS37" s="17">
        <f>IF(AU37=1,IF(COUNTIFS($A$2:$A$201,$A37,$AN$2:$AN$201,"Y",$AU$2:$AU$201,1)&gt;0,"Y","N"),"")</f>
        <v/>
      </c>
      <c r="BT37" s="17">
        <f>IF(AND(AU37=1,AN37="maybe"),1,0)</f>
        <v/>
      </c>
      <c r="BU37" s="17">
        <f>IF(BT37=1,IF(COUNTIFS($A$2:$A$201,$A37,$BT$2:$BT$201,1,$G$2:$G$201,"&lt;"&amp;G37)+COUNTIFS($A$2:$A$201,$A37,$BT$2:$BT$201,1,$G$2:$G$201,G37,$AT$2:$AT$201,"&lt;"&amp;AT37)=0,1,0),0)</f>
        <v/>
      </c>
      <c r="BV37" s="17">
        <f>IF(AND(AU37=1,AN37="Y"),IF(COUNTIFS($A$2:$A$201,$A37,$AN$2:$AN$201,"Y",$AU$2:$AU$201,1,$G$2:$G$201,"&lt;"&amp;G37)+COUNTIFS($A$2:$A$201,$A37,$AN$2:$AN$201,"Y",$AU$2:$AU$201,1,$G$2:$G$201,G37,$AT$2:$AT$201,"&lt;"&amp;AT37)=0,1,0),0)</f>
        <v/>
      </c>
      <c r="BW37" s="17">
        <f>IF(AND(BA37=1,N(V37)&gt;=Config!$B$15),1,0)</f>
        <v/>
      </c>
      <c r="BX37" s="17">
        <f>IF(AU37=1,IFERROR(MATCH($A37,INDEX(Clay_Offices!$A$2:$FZ$601,0,Sync!$C$5),0),""),"")</f>
        <v/>
      </c>
      <c r="BY37" s="17">
        <f>IF(BX37="","",IFERROR(INDEX(Clay_Offices!$A$2:$FZ$601,BX37,Sync!$C$7)&amp;"",""))</f>
        <v/>
      </c>
      <c r="BZ37" s="17">
        <f>IF(BY37="","",IFERROR(INDEX(Lists!$J$2:$J$15,MATCH(BY37,Lists!$I$2:$I$15,0)),""))</f>
        <v/>
      </c>
      <c r="CA37" s="17">
        <f>IF(BX37="","",IFERROR(INDEX(Clay_Offices!$A$2:$FZ$601,BX37,Sync!$C$17)&amp;"",""))</f>
        <v/>
      </c>
      <c r="CB37" s="23">
        <f>IF(BX37="","",IFERROR(N(INDEX(Clay_Offices!$A$2:$FZ$601,BX37,Sync!$C$16)),0))</f>
        <v/>
      </c>
    </row>
    <row r="38">
      <c r="G38" s="22" t="n"/>
      <c r="AS38" s="17">
        <f>IF(TRIM($A38)="","",IF(AND(LEFT($A38,6)="SAMPLE",Config!$B$19&lt;&gt;"Y"),"",IF(NOT(ISNUMBER(G38)),"call_date is blank or not a date",IF(Sync!$C$5="","Clay paste is empty or has no row_id column: paste the Clay export on Clay_Offices",IF(BX38="","row_id not found in the Clay paste: add the Clay row or fix the row_id",IF(AND(ISNUMBER(BZ38),BZ38&gt;=1,BZ38&lt;=5),"Clay status is "&amp;BY38&amp;": set call_done or later",IF(AND(AW38=1,CA38&lt;&gt;BS38),"Clay yes_in_principle should be "&amp;BS38,IF(AND(AW38=1,CB38&lt;&gt;G38),"Clay call_date should be "&amp;TEXT(G38,"yyyy-mm-dd"),""))))))))</f>
        <v/>
      </c>
      <c r="AT38" s="17">
        <f>ROW()</f>
        <v/>
      </c>
      <c r="AU38" s="17">
        <f>IF(AND(TRIM($A38)&lt;&gt;"",ISNUMBER(G38)),IF(AND(LEFT($A38,6)="SAMPLE",Config!$B$19&lt;&gt;"Y"),0,1),0)</f>
        <v/>
      </c>
      <c r="AV38" s="17">
        <f>IF(AU38=1,IF(COUNTIFS($A$2:$A$201,$A38,$AU$2:$AU$201,1,$G$2:$G$201,"&lt;"&amp;G38)+COUNTIFS($A$2:$A$201,$A38,$AU$2:$AU$201,1,$G$2:$G$201,G38,$AT$2:$AT$201,"&lt;"&amp;AT38)=0,1,0),0)</f>
        <v/>
      </c>
      <c r="AW38" s="17">
        <f>IF(AU38=1,IF(COUNTIFS($A$2:$A$201,$A38,$AU$2:$AU$201,1,$G$2:$G$201,"&gt;"&amp;G38)+COUNTIFS($A$2:$A$201,$A38,$AU$2:$AU$201,1,$G$2:$G$201,G38,$AT$2:$AT$201,"&gt;"&amp;AT38)=0,1,0),0)</f>
        <v/>
      </c>
      <c r="AX38" s="17">
        <f>IF(AND(AU38=1,AN38="Y",Z38="Y",TRIM(AD38)&lt;&gt;""),1,0)</f>
        <v/>
      </c>
      <c r="AY38" s="17">
        <f>IF(AX38=1,IF(COUNTIFS($A$2:$A$201,$A38,$AX$2:$AX$201,1,$G$2:$G$201,"&lt;"&amp;G38)+COUNTIFS($A$2:$A$201,$A38,$AX$2:$AX$201,1,$G$2:$G$201,G38,$AT$2:$AT$201,"&lt;"&amp;AT38)=0,1,0),0)</f>
        <v/>
      </c>
      <c r="AZ38" s="17">
        <f>IF(AND(AU38=1,AN38="Y",AX38=0),1,0)</f>
        <v/>
      </c>
      <c r="BA38" s="17">
        <f>IF(AND(AU38=1,ISNUMBER(V38)),1,0)</f>
        <v/>
      </c>
      <c r="BB38" s="17">
        <f>IF(BA38=1,IF(COUNTIFS($A$2:$A$201,$A38,$BA$2:$BA$201,1,$G$2:$G$201,"&lt;"&amp;G38)+COUNTIFS($A$2:$A$201,$A38,$BA$2:$BA$201,1,$G$2:$G$201,G38,$AT$2:$AT$201,"&lt;"&amp;AT38)=0,1,0),0)</f>
        <v/>
      </c>
      <c r="BC38" s="17">
        <f>IF(AND(BB38=1,G38&lt;=Config!$B$6),V38,"")</f>
        <v/>
      </c>
      <c r="BD38" s="17">
        <f>IF(AND(BB38=1,G38&lt;=Config!$B$7),V38,"")</f>
        <v/>
      </c>
      <c r="BE38" s="17">
        <f>IF(AND(BB38=1,G38&lt;=Config!$B$8),V38,"")</f>
        <v/>
      </c>
      <c r="BF38" s="17">
        <f>IF(AND(BB38=1,G38&lt;=Config!$B$5),V38,"")</f>
        <v/>
      </c>
      <c r="BG38" s="17">
        <f>IF(BW38=1,IF(COUNTIFS($A$2:$A$201,$A38,$BW$2:$BW$201,1,$G$2:$G$201,"&lt;"&amp;G38)+COUNTIFS($A$2:$A$201,$A38,$BW$2:$BW$201,1,$G$2:$G$201,G38,$AT$2:$AT$201,"&lt;"&amp;AT38)=0,1,0),0)</f>
        <v/>
      </c>
      <c r="BH38" s="17">
        <f>IF(AND(AU38=1,ISNUMBER(K38)),1,0)</f>
        <v/>
      </c>
      <c r="BI38" s="17">
        <f>IF(BH38=1,IF(COUNTIFS($A$2:$A$201,$A38,$BH$2:$BH$201,1,$G$2:$G$201,"&lt;"&amp;G38)+COUNTIFS($A$2:$A$201,$A38,$BH$2:$BH$201,1,$G$2:$G$201,G38,$AT$2:$AT$201,"&lt;"&amp;AT38)=0,1,0),0)</f>
        <v/>
      </c>
      <c r="BJ38" s="17">
        <f>IF(AND(BI38=1,G38&lt;=Config!$B$5),K38,"")</f>
        <v/>
      </c>
      <c r="BK38" s="17">
        <f>IF(AND(AU38=1,OR(TRIM(U38)&lt;&gt;"",ISNUMBER(V38))),1,0)</f>
        <v/>
      </c>
      <c r="BL38" s="17">
        <f>IF(BK38=1,IF(COUNTIFS($A$2:$A$201,$A38,$BK$2:$BK$201,1,$G$2:$G$201,"&lt;"&amp;G38)+COUNTIFS($A$2:$A$201,$A38,$BK$2:$BK$201,1,$G$2:$G$201,G38,$AT$2:$AT$201,"&lt;"&amp;AT38)=0,1,0),0)</f>
        <v/>
      </c>
      <c r="BM38" s="17">
        <f>IF(BL38=1,$A38,"")</f>
        <v/>
      </c>
      <c r="BN38" s="17">
        <f>IF(AND(AU38=1,T38="Y",TRIM(U38)=""),1,0)</f>
        <v/>
      </c>
      <c r="BO38" s="17">
        <f>IF(AU38=1,AJ38&amp;"","")</f>
        <v/>
      </c>
      <c r="BP38" s="17">
        <f>IF(AU38=1,AK38&amp;"","")</f>
        <v/>
      </c>
      <c r="BQ38" s="17">
        <f>IF(AU38=1,AL38&amp;"","")</f>
        <v/>
      </c>
      <c r="BR38" s="17">
        <f>IF(AND(AU38=1,ISNUMBER(AP38),G38&lt;=Config!$B$5),AP38,"")</f>
        <v/>
      </c>
      <c r="BS38" s="17">
        <f>IF(AU38=1,IF(COUNTIFS($A$2:$A$201,$A38,$AN$2:$AN$201,"Y",$AU$2:$AU$201,1)&gt;0,"Y","N"),"")</f>
        <v/>
      </c>
      <c r="BT38" s="17">
        <f>IF(AND(AU38=1,AN38="maybe"),1,0)</f>
        <v/>
      </c>
      <c r="BU38" s="17">
        <f>IF(BT38=1,IF(COUNTIFS($A$2:$A$201,$A38,$BT$2:$BT$201,1,$G$2:$G$201,"&lt;"&amp;G38)+COUNTIFS($A$2:$A$201,$A38,$BT$2:$BT$201,1,$G$2:$G$201,G38,$AT$2:$AT$201,"&lt;"&amp;AT38)=0,1,0),0)</f>
        <v/>
      </c>
      <c r="BV38" s="17">
        <f>IF(AND(AU38=1,AN38="Y"),IF(COUNTIFS($A$2:$A$201,$A38,$AN$2:$AN$201,"Y",$AU$2:$AU$201,1,$G$2:$G$201,"&lt;"&amp;G38)+COUNTIFS($A$2:$A$201,$A38,$AN$2:$AN$201,"Y",$AU$2:$AU$201,1,$G$2:$G$201,G38,$AT$2:$AT$201,"&lt;"&amp;AT38)=0,1,0),0)</f>
        <v/>
      </c>
      <c r="BW38" s="17">
        <f>IF(AND(BA38=1,N(V38)&gt;=Config!$B$15),1,0)</f>
        <v/>
      </c>
      <c r="BX38" s="17">
        <f>IF(AU38=1,IFERROR(MATCH($A38,INDEX(Clay_Offices!$A$2:$FZ$601,0,Sync!$C$5),0),""),"")</f>
        <v/>
      </c>
      <c r="BY38" s="17">
        <f>IF(BX38="","",IFERROR(INDEX(Clay_Offices!$A$2:$FZ$601,BX38,Sync!$C$7)&amp;"",""))</f>
        <v/>
      </c>
      <c r="BZ38" s="17">
        <f>IF(BY38="","",IFERROR(INDEX(Lists!$J$2:$J$15,MATCH(BY38,Lists!$I$2:$I$15,0)),""))</f>
        <v/>
      </c>
      <c r="CA38" s="17">
        <f>IF(BX38="","",IFERROR(INDEX(Clay_Offices!$A$2:$FZ$601,BX38,Sync!$C$17)&amp;"",""))</f>
        <v/>
      </c>
      <c r="CB38" s="23">
        <f>IF(BX38="","",IFERROR(N(INDEX(Clay_Offices!$A$2:$FZ$601,BX38,Sync!$C$16)),0))</f>
        <v/>
      </c>
    </row>
    <row r="39">
      <c r="G39" s="22" t="n"/>
      <c r="AS39" s="17">
        <f>IF(TRIM($A39)="","",IF(AND(LEFT($A39,6)="SAMPLE",Config!$B$19&lt;&gt;"Y"),"",IF(NOT(ISNUMBER(G39)),"call_date is blank or not a date",IF(Sync!$C$5="","Clay paste is empty or has no row_id column: paste the Clay export on Clay_Offices",IF(BX39="","row_id not found in the Clay paste: add the Clay row or fix the row_id",IF(AND(ISNUMBER(BZ39),BZ39&gt;=1,BZ39&lt;=5),"Clay status is "&amp;BY39&amp;": set call_done or later",IF(AND(AW39=1,CA39&lt;&gt;BS39),"Clay yes_in_principle should be "&amp;BS39,IF(AND(AW39=1,CB39&lt;&gt;G39),"Clay call_date should be "&amp;TEXT(G39,"yyyy-mm-dd"),""))))))))</f>
        <v/>
      </c>
      <c r="AT39" s="17">
        <f>ROW()</f>
        <v/>
      </c>
      <c r="AU39" s="17">
        <f>IF(AND(TRIM($A39)&lt;&gt;"",ISNUMBER(G39)),IF(AND(LEFT($A39,6)="SAMPLE",Config!$B$19&lt;&gt;"Y"),0,1),0)</f>
        <v/>
      </c>
      <c r="AV39" s="17">
        <f>IF(AU39=1,IF(COUNTIFS($A$2:$A$201,$A39,$AU$2:$AU$201,1,$G$2:$G$201,"&lt;"&amp;G39)+COUNTIFS($A$2:$A$201,$A39,$AU$2:$AU$201,1,$G$2:$G$201,G39,$AT$2:$AT$201,"&lt;"&amp;AT39)=0,1,0),0)</f>
        <v/>
      </c>
      <c r="AW39" s="17">
        <f>IF(AU39=1,IF(COUNTIFS($A$2:$A$201,$A39,$AU$2:$AU$201,1,$G$2:$G$201,"&gt;"&amp;G39)+COUNTIFS($A$2:$A$201,$A39,$AU$2:$AU$201,1,$G$2:$G$201,G39,$AT$2:$AT$201,"&gt;"&amp;AT39)=0,1,0),0)</f>
        <v/>
      </c>
      <c r="AX39" s="17">
        <f>IF(AND(AU39=1,AN39="Y",Z39="Y",TRIM(AD39)&lt;&gt;""),1,0)</f>
        <v/>
      </c>
      <c r="AY39" s="17">
        <f>IF(AX39=1,IF(COUNTIFS($A$2:$A$201,$A39,$AX$2:$AX$201,1,$G$2:$G$201,"&lt;"&amp;G39)+COUNTIFS($A$2:$A$201,$A39,$AX$2:$AX$201,1,$G$2:$G$201,G39,$AT$2:$AT$201,"&lt;"&amp;AT39)=0,1,0),0)</f>
        <v/>
      </c>
      <c r="AZ39" s="17">
        <f>IF(AND(AU39=1,AN39="Y",AX39=0),1,0)</f>
        <v/>
      </c>
      <c r="BA39" s="17">
        <f>IF(AND(AU39=1,ISNUMBER(V39)),1,0)</f>
        <v/>
      </c>
      <c r="BB39" s="17">
        <f>IF(BA39=1,IF(COUNTIFS($A$2:$A$201,$A39,$BA$2:$BA$201,1,$G$2:$G$201,"&lt;"&amp;G39)+COUNTIFS($A$2:$A$201,$A39,$BA$2:$BA$201,1,$G$2:$G$201,G39,$AT$2:$AT$201,"&lt;"&amp;AT39)=0,1,0),0)</f>
        <v/>
      </c>
      <c r="BC39" s="17">
        <f>IF(AND(BB39=1,G39&lt;=Config!$B$6),V39,"")</f>
        <v/>
      </c>
      <c r="BD39" s="17">
        <f>IF(AND(BB39=1,G39&lt;=Config!$B$7),V39,"")</f>
        <v/>
      </c>
      <c r="BE39" s="17">
        <f>IF(AND(BB39=1,G39&lt;=Config!$B$8),V39,"")</f>
        <v/>
      </c>
      <c r="BF39" s="17">
        <f>IF(AND(BB39=1,G39&lt;=Config!$B$5),V39,"")</f>
        <v/>
      </c>
      <c r="BG39" s="17">
        <f>IF(BW39=1,IF(COUNTIFS($A$2:$A$201,$A39,$BW$2:$BW$201,1,$G$2:$G$201,"&lt;"&amp;G39)+COUNTIFS($A$2:$A$201,$A39,$BW$2:$BW$201,1,$G$2:$G$201,G39,$AT$2:$AT$201,"&lt;"&amp;AT39)=0,1,0),0)</f>
        <v/>
      </c>
      <c r="BH39" s="17">
        <f>IF(AND(AU39=1,ISNUMBER(K39)),1,0)</f>
        <v/>
      </c>
      <c r="BI39" s="17">
        <f>IF(BH39=1,IF(COUNTIFS($A$2:$A$201,$A39,$BH$2:$BH$201,1,$G$2:$G$201,"&lt;"&amp;G39)+COUNTIFS($A$2:$A$201,$A39,$BH$2:$BH$201,1,$G$2:$G$201,G39,$AT$2:$AT$201,"&lt;"&amp;AT39)=0,1,0),0)</f>
        <v/>
      </c>
      <c r="BJ39" s="17">
        <f>IF(AND(BI39=1,G39&lt;=Config!$B$5),K39,"")</f>
        <v/>
      </c>
      <c r="BK39" s="17">
        <f>IF(AND(AU39=1,OR(TRIM(U39)&lt;&gt;"",ISNUMBER(V39))),1,0)</f>
        <v/>
      </c>
      <c r="BL39" s="17">
        <f>IF(BK39=1,IF(COUNTIFS($A$2:$A$201,$A39,$BK$2:$BK$201,1,$G$2:$G$201,"&lt;"&amp;G39)+COUNTIFS($A$2:$A$201,$A39,$BK$2:$BK$201,1,$G$2:$G$201,G39,$AT$2:$AT$201,"&lt;"&amp;AT39)=0,1,0),0)</f>
        <v/>
      </c>
      <c r="BM39" s="17">
        <f>IF(BL39=1,$A39,"")</f>
        <v/>
      </c>
      <c r="BN39" s="17">
        <f>IF(AND(AU39=1,T39="Y",TRIM(U39)=""),1,0)</f>
        <v/>
      </c>
      <c r="BO39" s="17">
        <f>IF(AU39=1,AJ39&amp;"","")</f>
        <v/>
      </c>
      <c r="BP39" s="17">
        <f>IF(AU39=1,AK39&amp;"","")</f>
        <v/>
      </c>
      <c r="BQ39" s="17">
        <f>IF(AU39=1,AL39&amp;"","")</f>
        <v/>
      </c>
      <c r="BR39" s="17">
        <f>IF(AND(AU39=1,ISNUMBER(AP39),G39&lt;=Config!$B$5),AP39,"")</f>
        <v/>
      </c>
      <c r="BS39" s="17">
        <f>IF(AU39=1,IF(COUNTIFS($A$2:$A$201,$A39,$AN$2:$AN$201,"Y",$AU$2:$AU$201,1)&gt;0,"Y","N"),"")</f>
        <v/>
      </c>
      <c r="BT39" s="17">
        <f>IF(AND(AU39=1,AN39="maybe"),1,0)</f>
        <v/>
      </c>
      <c r="BU39" s="17">
        <f>IF(BT39=1,IF(COUNTIFS($A$2:$A$201,$A39,$BT$2:$BT$201,1,$G$2:$G$201,"&lt;"&amp;G39)+COUNTIFS($A$2:$A$201,$A39,$BT$2:$BT$201,1,$G$2:$G$201,G39,$AT$2:$AT$201,"&lt;"&amp;AT39)=0,1,0),0)</f>
        <v/>
      </c>
      <c r="BV39" s="17">
        <f>IF(AND(AU39=1,AN39="Y"),IF(COUNTIFS($A$2:$A$201,$A39,$AN$2:$AN$201,"Y",$AU$2:$AU$201,1,$G$2:$G$201,"&lt;"&amp;G39)+COUNTIFS($A$2:$A$201,$A39,$AN$2:$AN$201,"Y",$AU$2:$AU$201,1,$G$2:$G$201,G39,$AT$2:$AT$201,"&lt;"&amp;AT39)=0,1,0),0)</f>
        <v/>
      </c>
      <c r="BW39" s="17">
        <f>IF(AND(BA39=1,N(V39)&gt;=Config!$B$15),1,0)</f>
        <v/>
      </c>
      <c r="BX39" s="17">
        <f>IF(AU39=1,IFERROR(MATCH($A39,INDEX(Clay_Offices!$A$2:$FZ$601,0,Sync!$C$5),0),""),"")</f>
        <v/>
      </c>
      <c r="BY39" s="17">
        <f>IF(BX39="","",IFERROR(INDEX(Clay_Offices!$A$2:$FZ$601,BX39,Sync!$C$7)&amp;"",""))</f>
        <v/>
      </c>
      <c r="BZ39" s="17">
        <f>IF(BY39="","",IFERROR(INDEX(Lists!$J$2:$J$15,MATCH(BY39,Lists!$I$2:$I$15,0)),""))</f>
        <v/>
      </c>
      <c r="CA39" s="17">
        <f>IF(BX39="","",IFERROR(INDEX(Clay_Offices!$A$2:$FZ$601,BX39,Sync!$C$17)&amp;"",""))</f>
        <v/>
      </c>
      <c r="CB39" s="23">
        <f>IF(BX39="","",IFERROR(N(INDEX(Clay_Offices!$A$2:$FZ$601,BX39,Sync!$C$16)),0))</f>
        <v/>
      </c>
    </row>
    <row r="40">
      <c r="G40" s="22" t="n"/>
      <c r="AS40" s="17">
        <f>IF(TRIM($A40)="","",IF(AND(LEFT($A40,6)="SAMPLE",Config!$B$19&lt;&gt;"Y"),"",IF(NOT(ISNUMBER(G40)),"call_date is blank or not a date",IF(Sync!$C$5="","Clay paste is empty or has no row_id column: paste the Clay export on Clay_Offices",IF(BX40="","row_id not found in the Clay paste: add the Clay row or fix the row_id",IF(AND(ISNUMBER(BZ40),BZ40&gt;=1,BZ40&lt;=5),"Clay status is "&amp;BY40&amp;": set call_done or later",IF(AND(AW40=1,CA40&lt;&gt;BS40),"Clay yes_in_principle should be "&amp;BS40,IF(AND(AW40=1,CB40&lt;&gt;G40),"Clay call_date should be "&amp;TEXT(G40,"yyyy-mm-dd"),""))))))))</f>
        <v/>
      </c>
      <c r="AT40" s="17">
        <f>ROW()</f>
        <v/>
      </c>
      <c r="AU40" s="17">
        <f>IF(AND(TRIM($A40)&lt;&gt;"",ISNUMBER(G40)),IF(AND(LEFT($A40,6)="SAMPLE",Config!$B$19&lt;&gt;"Y"),0,1),0)</f>
        <v/>
      </c>
      <c r="AV40" s="17">
        <f>IF(AU40=1,IF(COUNTIFS($A$2:$A$201,$A40,$AU$2:$AU$201,1,$G$2:$G$201,"&lt;"&amp;G40)+COUNTIFS($A$2:$A$201,$A40,$AU$2:$AU$201,1,$G$2:$G$201,G40,$AT$2:$AT$201,"&lt;"&amp;AT40)=0,1,0),0)</f>
        <v/>
      </c>
      <c r="AW40" s="17">
        <f>IF(AU40=1,IF(COUNTIFS($A$2:$A$201,$A40,$AU$2:$AU$201,1,$G$2:$G$201,"&gt;"&amp;G40)+COUNTIFS($A$2:$A$201,$A40,$AU$2:$AU$201,1,$G$2:$G$201,G40,$AT$2:$AT$201,"&gt;"&amp;AT40)=0,1,0),0)</f>
        <v/>
      </c>
      <c r="AX40" s="17">
        <f>IF(AND(AU40=1,AN40="Y",Z40="Y",TRIM(AD40)&lt;&gt;""),1,0)</f>
        <v/>
      </c>
      <c r="AY40" s="17">
        <f>IF(AX40=1,IF(COUNTIFS($A$2:$A$201,$A40,$AX$2:$AX$201,1,$G$2:$G$201,"&lt;"&amp;G40)+COUNTIFS($A$2:$A$201,$A40,$AX$2:$AX$201,1,$G$2:$G$201,G40,$AT$2:$AT$201,"&lt;"&amp;AT40)=0,1,0),0)</f>
        <v/>
      </c>
      <c r="AZ40" s="17">
        <f>IF(AND(AU40=1,AN40="Y",AX40=0),1,0)</f>
        <v/>
      </c>
      <c r="BA40" s="17">
        <f>IF(AND(AU40=1,ISNUMBER(V40)),1,0)</f>
        <v/>
      </c>
      <c r="BB40" s="17">
        <f>IF(BA40=1,IF(COUNTIFS($A$2:$A$201,$A40,$BA$2:$BA$201,1,$G$2:$G$201,"&lt;"&amp;G40)+COUNTIFS($A$2:$A$201,$A40,$BA$2:$BA$201,1,$G$2:$G$201,G40,$AT$2:$AT$201,"&lt;"&amp;AT40)=0,1,0),0)</f>
        <v/>
      </c>
      <c r="BC40" s="17">
        <f>IF(AND(BB40=1,G40&lt;=Config!$B$6),V40,"")</f>
        <v/>
      </c>
      <c r="BD40" s="17">
        <f>IF(AND(BB40=1,G40&lt;=Config!$B$7),V40,"")</f>
        <v/>
      </c>
      <c r="BE40" s="17">
        <f>IF(AND(BB40=1,G40&lt;=Config!$B$8),V40,"")</f>
        <v/>
      </c>
      <c r="BF40" s="17">
        <f>IF(AND(BB40=1,G40&lt;=Config!$B$5),V40,"")</f>
        <v/>
      </c>
      <c r="BG40" s="17">
        <f>IF(BW40=1,IF(COUNTIFS($A$2:$A$201,$A40,$BW$2:$BW$201,1,$G$2:$G$201,"&lt;"&amp;G40)+COUNTIFS($A$2:$A$201,$A40,$BW$2:$BW$201,1,$G$2:$G$201,G40,$AT$2:$AT$201,"&lt;"&amp;AT40)=0,1,0),0)</f>
        <v/>
      </c>
      <c r="BH40" s="17">
        <f>IF(AND(AU40=1,ISNUMBER(K40)),1,0)</f>
        <v/>
      </c>
      <c r="BI40" s="17">
        <f>IF(BH40=1,IF(COUNTIFS($A$2:$A$201,$A40,$BH$2:$BH$201,1,$G$2:$G$201,"&lt;"&amp;G40)+COUNTIFS($A$2:$A$201,$A40,$BH$2:$BH$201,1,$G$2:$G$201,G40,$AT$2:$AT$201,"&lt;"&amp;AT40)=0,1,0),0)</f>
        <v/>
      </c>
      <c r="BJ40" s="17">
        <f>IF(AND(BI40=1,G40&lt;=Config!$B$5),K40,"")</f>
        <v/>
      </c>
      <c r="BK40" s="17">
        <f>IF(AND(AU40=1,OR(TRIM(U40)&lt;&gt;"",ISNUMBER(V40))),1,0)</f>
        <v/>
      </c>
      <c r="BL40" s="17">
        <f>IF(BK40=1,IF(COUNTIFS($A$2:$A$201,$A40,$BK$2:$BK$201,1,$G$2:$G$201,"&lt;"&amp;G40)+COUNTIFS($A$2:$A$201,$A40,$BK$2:$BK$201,1,$G$2:$G$201,G40,$AT$2:$AT$201,"&lt;"&amp;AT40)=0,1,0),0)</f>
        <v/>
      </c>
      <c r="BM40" s="17">
        <f>IF(BL40=1,$A40,"")</f>
        <v/>
      </c>
      <c r="BN40" s="17">
        <f>IF(AND(AU40=1,T40="Y",TRIM(U40)=""),1,0)</f>
        <v/>
      </c>
      <c r="BO40" s="17">
        <f>IF(AU40=1,AJ40&amp;"","")</f>
        <v/>
      </c>
      <c r="BP40" s="17">
        <f>IF(AU40=1,AK40&amp;"","")</f>
        <v/>
      </c>
      <c r="BQ40" s="17">
        <f>IF(AU40=1,AL40&amp;"","")</f>
        <v/>
      </c>
      <c r="BR40" s="17">
        <f>IF(AND(AU40=1,ISNUMBER(AP40),G40&lt;=Config!$B$5),AP40,"")</f>
        <v/>
      </c>
      <c r="BS40" s="17">
        <f>IF(AU40=1,IF(COUNTIFS($A$2:$A$201,$A40,$AN$2:$AN$201,"Y",$AU$2:$AU$201,1)&gt;0,"Y","N"),"")</f>
        <v/>
      </c>
      <c r="BT40" s="17">
        <f>IF(AND(AU40=1,AN40="maybe"),1,0)</f>
        <v/>
      </c>
      <c r="BU40" s="17">
        <f>IF(BT40=1,IF(COUNTIFS($A$2:$A$201,$A40,$BT$2:$BT$201,1,$G$2:$G$201,"&lt;"&amp;G40)+COUNTIFS($A$2:$A$201,$A40,$BT$2:$BT$201,1,$G$2:$G$201,G40,$AT$2:$AT$201,"&lt;"&amp;AT40)=0,1,0),0)</f>
        <v/>
      </c>
      <c r="BV40" s="17">
        <f>IF(AND(AU40=1,AN40="Y"),IF(COUNTIFS($A$2:$A$201,$A40,$AN$2:$AN$201,"Y",$AU$2:$AU$201,1,$G$2:$G$201,"&lt;"&amp;G40)+COUNTIFS($A$2:$A$201,$A40,$AN$2:$AN$201,"Y",$AU$2:$AU$201,1,$G$2:$G$201,G40,$AT$2:$AT$201,"&lt;"&amp;AT40)=0,1,0),0)</f>
        <v/>
      </c>
      <c r="BW40" s="17">
        <f>IF(AND(BA40=1,N(V40)&gt;=Config!$B$15),1,0)</f>
        <v/>
      </c>
      <c r="BX40" s="17">
        <f>IF(AU40=1,IFERROR(MATCH($A40,INDEX(Clay_Offices!$A$2:$FZ$601,0,Sync!$C$5),0),""),"")</f>
        <v/>
      </c>
      <c r="BY40" s="17">
        <f>IF(BX40="","",IFERROR(INDEX(Clay_Offices!$A$2:$FZ$601,BX40,Sync!$C$7)&amp;"",""))</f>
        <v/>
      </c>
      <c r="BZ40" s="17">
        <f>IF(BY40="","",IFERROR(INDEX(Lists!$J$2:$J$15,MATCH(BY40,Lists!$I$2:$I$15,0)),""))</f>
        <v/>
      </c>
      <c r="CA40" s="17">
        <f>IF(BX40="","",IFERROR(INDEX(Clay_Offices!$A$2:$FZ$601,BX40,Sync!$C$17)&amp;"",""))</f>
        <v/>
      </c>
      <c r="CB40" s="23">
        <f>IF(BX40="","",IFERROR(N(INDEX(Clay_Offices!$A$2:$FZ$601,BX40,Sync!$C$16)),0))</f>
        <v/>
      </c>
    </row>
    <row r="41">
      <c r="G41" s="22" t="n"/>
      <c r="AS41" s="17">
        <f>IF(TRIM($A41)="","",IF(AND(LEFT($A41,6)="SAMPLE",Config!$B$19&lt;&gt;"Y"),"",IF(NOT(ISNUMBER(G41)),"call_date is blank or not a date",IF(Sync!$C$5="","Clay paste is empty or has no row_id column: paste the Clay export on Clay_Offices",IF(BX41="","row_id not found in the Clay paste: add the Clay row or fix the row_id",IF(AND(ISNUMBER(BZ41),BZ41&gt;=1,BZ41&lt;=5),"Clay status is "&amp;BY41&amp;": set call_done or later",IF(AND(AW41=1,CA41&lt;&gt;BS41),"Clay yes_in_principle should be "&amp;BS41,IF(AND(AW41=1,CB41&lt;&gt;G41),"Clay call_date should be "&amp;TEXT(G41,"yyyy-mm-dd"),""))))))))</f>
        <v/>
      </c>
      <c r="AT41" s="17">
        <f>ROW()</f>
        <v/>
      </c>
      <c r="AU41" s="17">
        <f>IF(AND(TRIM($A41)&lt;&gt;"",ISNUMBER(G41)),IF(AND(LEFT($A41,6)="SAMPLE",Config!$B$19&lt;&gt;"Y"),0,1),0)</f>
        <v/>
      </c>
      <c r="AV41" s="17">
        <f>IF(AU41=1,IF(COUNTIFS($A$2:$A$201,$A41,$AU$2:$AU$201,1,$G$2:$G$201,"&lt;"&amp;G41)+COUNTIFS($A$2:$A$201,$A41,$AU$2:$AU$201,1,$G$2:$G$201,G41,$AT$2:$AT$201,"&lt;"&amp;AT41)=0,1,0),0)</f>
        <v/>
      </c>
      <c r="AW41" s="17">
        <f>IF(AU41=1,IF(COUNTIFS($A$2:$A$201,$A41,$AU$2:$AU$201,1,$G$2:$G$201,"&gt;"&amp;G41)+COUNTIFS($A$2:$A$201,$A41,$AU$2:$AU$201,1,$G$2:$G$201,G41,$AT$2:$AT$201,"&gt;"&amp;AT41)=0,1,0),0)</f>
        <v/>
      </c>
      <c r="AX41" s="17">
        <f>IF(AND(AU41=1,AN41="Y",Z41="Y",TRIM(AD41)&lt;&gt;""),1,0)</f>
        <v/>
      </c>
      <c r="AY41" s="17">
        <f>IF(AX41=1,IF(COUNTIFS($A$2:$A$201,$A41,$AX$2:$AX$201,1,$G$2:$G$201,"&lt;"&amp;G41)+COUNTIFS($A$2:$A$201,$A41,$AX$2:$AX$201,1,$G$2:$G$201,G41,$AT$2:$AT$201,"&lt;"&amp;AT41)=0,1,0),0)</f>
        <v/>
      </c>
      <c r="AZ41" s="17">
        <f>IF(AND(AU41=1,AN41="Y",AX41=0),1,0)</f>
        <v/>
      </c>
      <c r="BA41" s="17">
        <f>IF(AND(AU41=1,ISNUMBER(V41)),1,0)</f>
        <v/>
      </c>
      <c r="BB41" s="17">
        <f>IF(BA41=1,IF(COUNTIFS($A$2:$A$201,$A41,$BA$2:$BA$201,1,$G$2:$G$201,"&lt;"&amp;G41)+COUNTIFS($A$2:$A$201,$A41,$BA$2:$BA$201,1,$G$2:$G$201,G41,$AT$2:$AT$201,"&lt;"&amp;AT41)=0,1,0),0)</f>
        <v/>
      </c>
      <c r="BC41" s="17">
        <f>IF(AND(BB41=1,G41&lt;=Config!$B$6),V41,"")</f>
        <v/>
      </c>
      <c r="BD41" s="17">
        <f>IF(AND(BB41=1,G41&lt;=Config!$B$7),V41,"")</f>
        <v/>
      </c>
      <c r="BE41" s="17">
        <f>IF(AND(BB41=1,G41&lt;=Config!$B$8),V41,"")</f>
        <v/>
      </c>
      <c r="BF41" s="17">
        <f>IF(AND(BB41=1,G41&lt;=Config!$B$5),V41,"")</f>
        <v/>
      </c>
      <c r="BG41" s="17">
        <f>IF(BW41=1,IF(COUNTIFS($A$2:$A$201,$A41,$BW$2:$BW$201,1,$G$2:$G$201,"&lt;"&amp;G41)+COUNTIFS($A$2:$A$201,$A41,$BW$2:$BW$201,1,$G$2:$G$201,G41,$AT$2:$AT$201,"&lt;"&amp;AT41)=0,1,0),0)</f>
        <v/>
      </c>
      <c r="BH41" s="17">
        <f>IF(AND(AU41=1,ISNUMBER(K41)),1,0)</f>
        <v/>
      </c>
      <c r="BI41" s="17">
        <f>IF(BH41=1,IF(COUNTIFS($A$2:$A$201,$A41,$BH$2:$BH$201,1,$G$2:$G$201,"&lt;"&amp;G41)+COUNTIFS($A$2:$A$201,$A41,$BH$2:$BH$201,1,$G$2:$G$201,G41,$AT$2:$AT$201,"&lt;"&amp;AT41)=0,1,0),0)</f>
        <v/>
      </c>
      <c r="BJ41" s="17">
        <f>IF(AND(BI41=1,G41&lt;=Config!$B$5),K41,"")</f>
        <v/>
      </c>
      <c r="BK41" s="17">
        <f>IF(AND(AU41=1,OR(TRIM(U41)&lt;&gt;"",ISNUMBER(V41))),1,0)</f>
        <v/>
      </c>
      <c r="BL41" s="17">
        <f>IF(BK41=1,IF(COUNTIFS($A$2:$A$201,$A41,$BK$2:$BK$201,1,$G$2:$G$201,"&lt;"&amp;G41)+COUNTIFS($A$2:$A$201,$A41,$BK$2:$BK$201,1,$G$2:$G$201,G41,$AT$2:$AT$201,"&lt;"&amp;AT41)=0,1,0),0)</f>
        <v/>
      </c>
      <c r="BM41" s="17">
        <f>IF(BL41=1,$A41,"")</f>
        <v/>
      </c>
      <c r="BN41" s="17">
        <f>IF(AND(AU41=1,T41="Y",TRIM(U41)=""),1,0)</f>
        <v/>
      </c>
      <c r="BO41" s="17">
        <f>IF(AU41=1,AJ41&amp;"","")</f>
        <v/>
      </c>
      <c r="BP41" s="17">
        <f>IF(AU41=1,AK41&amp;"","")</f>
        <v/>
      </c>
      <c r="BQ41" s="17">
        <f>IF(AU41=1,AL41&amp;"","")</f>
        <v/>
      </c>
      <c r="BR41" s="17">
        <f>IF(AND(AU41=1,ISNUMBER(AP41),G41&lt;=Config!$B$5),AP41,"")</f>
        <v/>
      </c>
      <c r="BS41" s="17">
        <f>IF(AU41=1,IF(COUNTIFS($A$2:$A$201,$A41,$AN$2:$AN$201,"Y",$AU$2:$AU$201,1)&gt;0,"Y","N"),"")</f>
        <v/>
      </c>
      <c r="BT41" s="17">
        <f>IF(AND(AU41=1,AN41="maybe"),1,0)</f>
        <v/>
      </c>
      <c r="BU41" s="17">
        <f>IF(BT41=1,IF(COUNTIFS($A$2:$A$201,$A41,$BT$2:$BT$201,1,$G$2:$G$201,"&lt;"&amp;G41)+COUNTIFS($A$2:$A$201,$A41,$BT$2:$BT$201,1,$G$2:$G$201,G41,$AT$2:$AT$201,"&lt;"&amp;AT41)=0,1,0),0)</f>
        <v/>
      </c>
      <c r="BV41" s="17">
        <f>IF(AND(AU41=1,AN41="Y"),IF(COUNTIFS($A$2:$A$201,$A41,$AN$2:$AN$201,"Y",$AU$2:$AU$201,1,$G$2:$G$201,"&lt;"&amp;G41)+COUNTIFS($A$2:$A$201,$A41,$AN$2:$AN$201,"Y",$AU$2:$AU$201,1,$G$2:$G$201,G41,$AT$2:$AT$201,"&lt;"&amp;AT41)=0,1,0),0)</f>
        <v/>
      </c>
      <c r="BW41" s="17">
        <f>IF(AND(BA41=1,N(V41)&gt;=Config!$B$15),1,0)</f>
        <v/>
      </c>
      <c r="BX41" s="17">
        <f>IF(AU41=1,IFERROR(MATCH($A41,INDEX(Clay_Offices!$A$2:$FZ$601,0,Sync!$C$5),0),""),"")</f>
        <v/>
      </c>
      <c r="BY41" s="17">
        <f>IF(BX41="","",IFERROR(INDEX(Clay_Offices!$A$2:$FZ$601,BX41,Sync!$C$7)&amp;"",""))</f>
        <v/>
      </c>
      <c r="BZ41" s="17">
        <f>IF(BY41="","",IFERROR(INDEX(Lists!$J$2:$J$15,MATCH(BY41,Lists!$I$2:$I$15,0)),""))</f>
        <v/>
      </c>
      <c r="CA41" s="17">
        <f>IF(BX41="","",IFERROR(INDEX(Clay_Offices!$A$2:$FZ$601,BX41,Sync!$C$17)&amp;"",""))</f>
        <v/>
      </c>
      <c r="CB41" s="23">
        <f>IF(BX41="","",IFERROR(N(INDEX(Clay_Offices!$A$2:$FZ$601,BX41,Sync!$C$16)),0))</f>
        <v/>
      </c>
    </row>
    <row r="42">
      <c r="G42" s="22" t="n"/>
      <c r="AS42" s="17">
        <f>IF(TRIM($A42)="","",IF(AND(LEFT($A42,6)="SAMPLE",Config!$B$19&lt;&gt;"Y"),"",IF(NOT(ISNUMBER(G42)),"call_date is blank or not a date",IF(Sync!$C$5="","Clay paste is empty or has no row_id column: paste the Clay export on Clay_Offices",IF(BX42="","row_id not found in the Clay paste: add the Clay row or fix the row_id",IF(AND(ISNUMBER(BZ42),BZ42&gt;=1,BZ42&lt;=5),"Clay status is "&amp;BY42&amp;": set call_done or later",IF(AND(AW42=1,CA42&lt;&gt;BS42),"Clay yes_in_principle should be "&amp;BS42,IF(AND(AW42=1,CB42&lt;&gt;G42),"Clay call_date should be "&amp;TEXT(G42,"yyyy-mm-dd"),""))))))))</f>
        <v/>
      </c>
      <c r="AT42" s="17">
        <f>ROW()</f>
        <v/>
      </c>
      <c r="AU42" s="17">
        <f>IF(AND(TRIM($A42)&lt;&gt;"",ISNUMBER(G42)),IF(AND(LEFT($A42,6)="SAMPLE",Config!$B$19&lt;&gt;"Y"),0,1),0)</f>
        <v/>
      </c>
      <c r="AV42" s="17">
        <f>IF(AU42=1,IF(COUNTIFS($A$2:$A$201,$A42,$AU$2:$AU$201,1,$G$2:$G$201,"&lt;"&amp;G42)+COUNTIFS($A$2:$A$201,$A42,$AU$2:$AU$201,1,$G$2:$G$201,G42,$AT$2:$AT$201,"&lt;"&amp;AT42)=0,1,0),0)</f>
        <v/>
      </c>
      <c r="AW42" s="17">
        <f>IF(AU42=1,IF(COUNTIFS($A$2:$A$201,$A42,$AU$2:$AU$201,1,$G$2:$G$201,"&gt;"&amp;G42)+COUNTIFS($A$2:$A$201,$A42,$AU$2:$AU$201,1,$G$2:$G$201,G42,$AT$2:$AT$201,"&gt;"&amp;AT42)=0,1,0),0)</f>
        <v/>
      </c>
      <c r="AX42" s="17">
        <f>IF(AND(AU42=1,AN42="Y",Z42="Y",TRIM(AD42)&lt;&gt;""),1,0)</f>
        <v/>
      </c>
      <c r="AY42" s="17">
        <f>IF(AX42=1,IF(COUNTIFS($A$2:$A$201,$A42,$AX$2:$AX$201,1,$G$2:$G$201,"&lt;"&amp;G42)+COUNTIFS($A$2:$A$201,$A42,$AX$2:$AX$201,1,$G$2:$G$201,G42,$AT$2:$AT$201,"&lt;"&amp;AT42)=0,1,0),0)</f>
        <v/>
      </c>
      <c r="AZ42" s="17">
        <f>IF(AND(AU42=1,AN42="Y",AX42=0),1,0)</f>
        <v/>
      </c>
      <c r="BA42" s="17">
        <f>IF(AND(AU42=1,ISNUMBER(V42)),1,0)</f>
        <v/>
      </c>
      <c r="BB42" s="17">
        <f>IF(BA42=1,IF(COUNTIFS($A$2:$A$201,$A42,$BA$2:$BA$201,1,$G$2:$G$201,"&lt;"&amp;G42)+COUNTIFS($A$2:$A$201,$A42,$BA$2:$BA$201,1,$G$2:$G$201,G42,$AT$2:$AT$201,"&lt;"&amp;AT42)=0,1,0),0)</f>
        <v/>
      </c>
      <c r="BC42" s="17">
        <f>IF(AND(BB42=1,G42&lt;=Config!$B$6),V42,"")</f>
        <v/>
      </c>
      <c r="BD42" s="17">
        <f>IF(AND(BB42=1,G42&lt;=Config!$B$7),V42,"")</f>
        <v/>
      </c>
      <c r="BE42" s="17">
        <f>IF(AND(BB42=1,G42&lt;=Config!$B$8),V42,"")</f>
        <v/>
      </c>
      <c r="BF42" s="17">
        <f>IF(AND(BB42=1,G42&lt;=Config!$B$5),V42,"")</f>
        <v/>
      </c>
      <c r="BG42" s="17">
        <f>IF(BW42=1,IF(COUNTIFS($A$2:$A$201,$A42,$BW$2:$BW$201,1,$G$2:$G$201,"&lt;"&amp;G42)+COUNTIFS($A$2:$A$201,$A42,$BW$2:$BW$201,1,$G$2:$G$201,G42,$AT$2:$AT$201,"&lt;"&amp;AT42)=0,1,0),0)</f>
        <v/>
      </c>
      <c r="BH42" s="17">
        <f>IF(AND(AU42=1,ISNUMBER(K42)),1,0)</f>
        <v/>
      </c>
      <c r="BI42" s="17">
        <f>IF(BH42=1,IF(COUNTIFS($A$2:$A$201,$A42,$BH$2:$BH$201,1,$G$2:$G$201,"&lt;"&amp;G42)+COUNTIFS($A$2:$A$201,$A42,$BH$2:$BH$201,1,$G$2:$G$201,G42,$AT$2:$AT$201,"&lt;"&amp;AT42)=0,1,0),0)</f>
        <v/>
      </c>
      <c r="BJ42" s="17">
        <f>IF(AND(BI42=1,G42&lt;=Config!$B$5),K42,"")</f>
        <v/>
      </c>
      <c r="BK42" s="17">
        <f>IF(AND(AU42=1,OR(TRIM(U42)&lt;&gt;"",ISNUMBER(V42))),1,0)</f>
        <v/>
      </c>
      <c r="BL42" s="17">
        <f>IF(BK42=1,IF(COUNTIFS($A$2:$A$201,$A42,$BK$2:$BK$201,1,$G$2:$G$201,"&lt;"&amp;G42)+COUNTIFS($A$2:$A$201,$A42,$BK$2:$BK$201,1,$G$2:$G$201,G42,$AT$2:$AT$201,"&lt;"&amp;AT42)=0,1,0),0)</f>
        <v/>
      </c>
      <c r="BM42" s="17">
        <f>IF(BL42=1,$A42,"")</f>
        <v/>
      </c>
      <c r="BN42" s="17">
        <f>IF(AND(AU42=1,T42="Y",TRIM(U42)=""),1,0)</f>
        <v/>
      </c>
      <c r="BO42" s="17">
        <f>IF(AU42=1,AJ42&amp;"","")</f>
        <v/>
      </c>
      <c r="BP42" s="17">
        <f>IF(AU42=1,AK42&amp;"","")</f>
        <v/>
      </c>
      <c r="BQ42" s="17">
        <f>IF(AU42=1,AL42&amp;"","")</f>
        <v/>
      </c>
      <c r="BR42" s="17">
        <f>IF(AND(AU42=1,ISNUMBER(AP42),G42&lt;=Config!$B$5),AP42,"")</f>
        <v/>
      </c>
      <c r="BS42" s="17">
        <f>IF(AU42=1,IF(COUNTIFS($A$2:$A$201,$A42,$AN$2:$AN$201,"Y",$AU$2:$AU$201,1)&gt;0,"Y","N"),"")</f>
        <v/>
      </c>
      <c r="BT42" s="17">
        <f>IF(AND(AU42=1,AN42="maybe"),1,0)</f>
        <v/>
      </c>
      <c r="BU42" s="17">
        <f>IF(BT42=1,IF(COUNTIFS($A$2:$A$201,$A42,$BT$2:$BT$201,1,$G$2:$G$201,"&lt;"&amp;G42)+COUNTIFS($A$2:$A$201,$A42,$BT$2:$BT$201,1,$G$2:$G$201,G42,$AT$2:$AT$201,"&lt;"&amp;AT42)=0,1,0),0)</f>
        <v/>
      </c>
      <c r="BV42" s="17">
        <f>IF(AND(AU42=1,AN42="Y"),IF(COUNTIFS($A$2:$A$201,$A42,$AN$2:$AN$201,"Y",$AU$2:$AU$201,1,$G$2:$G$201,"&lt;"&amp;G42)+COUNTIFS($A$2:$A$201,$A42,$AN$2:$AN$201,"Y",$AU$2:$AU$201,1,$G$2:$G$201,G42,$AT$2:$AT$201,"&lt;"&amp;AT42)=0,1,0),0)</f>
        <v/>
      </c>
      <c r="BW42" s="17">
        <f>IF(AND(BA42=1,N(V42)&gt;=Config!$B$15),1,0)</f>
        <v/>
      </c>
      <c r="BX42" s="17">
        <f>IF(AU42=1,IFERROR(MATCH($A42,INDEX(Clay_Offices!$A$2:$FZ$601,0,Sync!$C$5),0),""),"")</f>
        <v/>
      </c>
      <c r="BY42" s="17">
        <f>IF(BX42="","",IFERROR(INDEX(Clay_Offices!$A$2:$FZ$601,BX42,Sync!$C$7)&amp;"",""))</f>
        <v/>
      </c>
      <c r="BZ42" s="17">
        <f>IF(BY42="","",IFERROR(INDEX(Lists!$J$2:$J$15,MATCH(BY42,Lists!$I$2:$I$15,0)),""))</f>
        <v/>
      </c>
      <c r="CA42" s="17">
        <f>IF(BX42="","",IFERROR(INDEX(Clay_Offices!$A$2:$FZ$601,BX42,Sync!$C$17)&amp;"",""))</f>
        <v/>
      </c>
      <c r="CB42" s="23">
        <f>IF(BX42="","",IFERROR(N(INDEX(Clay_Offices!$A$2:$FZ$601,BX42,Sync!$C$16)),0))</f>
        <v/>
      </c>
    </row>
    <row r="43">
      <c r="G43" s="22" t="n"/>
      <c r="AS43" s="17">
        <f>IF(TRIM($A43)="","",IF(AND(LEFT($A43,6)="SAMPLE",Config!$B$19&lt;&gt;"Y"),"",IF(NOT(ISNUMBER(G43)),"call_date is blank or not a date",IF(Sync!$C$5="","Clay paste is empty or has no row_id column: paste the Clay export on Clay_Offices",IF(BX43="","row_id not found in the Clay paste: add the Clay row or fix the row_id",IF(AND(ISNUMBER(BZ43),BZ43&gt;=1,BZ43&lt;=5),"Clay status is "&amp;BY43&amp;": set call_done or later",IF(AND(AW43=1,CA43&lt;&gt;BS43),"Clay yes_in_principle should be "&amp;BS43,IF(AND(AW43=1,CB43&lt;&gt;G43),"Clay call_date should be "&amp;TEXT(G43,"yyyy-mm-dd"),""))))))))</f>
        <v/>
      </c>
      <c r="AT43" s="17">
        <f>ROW()</f>
        <v/>
      </c>
      <c r="AU43" s="17">
        <f>IF(AND(TRIM($A43)&lt;&gt;"",ISNUMBER(G43)),IF(AND(LEFT($A43,6)="SAMPLE",Config!$B$19&lt;&gt;"Y"),0,1),0)</f>
        <v/>
      </c>
      <c r="AV43" s="17">
        <f>IF(AU43=1,IF(COUNTIFS($A$2:$A$201,$A43,$AU$2:$AU$201,1,$G$2:$G$201,"&lt;"&amp;G43)+COUNTIFS($A$2:$A$201,$A43,$AU$2:$AU$201,1,$G$2:$G$201,G43,$AT$2:$AT$201,"&lt;"&amp;AT43)=0,1,0),0)</f>
        <v/>
      </c>
      <c r="AW43" s="17">
        <f>IF(AU43=1,IF(COUNTIFS($A$2:$A$201,$A43,$AU$2:$AU$201,1,$G$2:$G$201,"&gt;"&amp;G43)+COUNTIFS($A$2:$A$201,$A43,$AU$2:$AU$201,1,$G$2:$G$201,G43,$AT$2:$AT$201,"&gt;"&amp;AT43)=0,1,0),0)</f>
        <v/>
      </c>
      <c r="AX43" s="17">
        <f>IF(AND(AU43=1,AN43="Y",Z43="Y",TRIM(AD43)&lt;&gt;""),1,0)</f>
        <v/>
      </c>
      <c r="AY43" s="17">
        <f>IF(AX43=1,IF(COUNTIFS($A$2:$A$201,$A43,$AX$2:$AX$201,1,$G$2:$G$201,"&lt;"&amp;G43)+COUNTIFS($A$2:$A$201,$A43,$AX$2:$AX$201,1,$G$2:$G$201,G43,$AT$2:$AT$201,"&lt;"&amp;AT43)=0,1,0),0)</f>
        <v/>
      </c>
      <c r="AZ43" s="17">
        <f>IF(AND(AU43=1,AN43="Y",AX43=0),1,0)</f>
        <v/>
      </c>
      <c r="BA43" s="17">
        <f>IF(AND(AU43=1,ISNUMBER(V43)),1,0)</f>
        <v/>
      </c>
      <c r="BB43" s="17">
        <f>IF(BA43=1,IF(COUNTIFS($A$2:$A$201,$A43,$BA$2:$BA$201,1,$G$2:$G$201,"&lt;"&amp;G43)+COUNTIFS($A$2:$A$201,$A43,$BA$2:$BA$201,1,$G$2:$G$201,G43,$AT$2:$AT$201,"&lt;"&amp;AT43)=0,1,0),0)</f>
        <v/>
      </c>
      <c r="BC43" s="17">
        <f>IF(AND(BB43=1,G43&lt;=Config!$B$6),V43,"")</f>
        <v/>
      </c>
      <c r="BD43" s="17">
        <f>IF(AND(BB43=1,G43&lt;=Config!$B$7),V43,"")</f>
        <v/>
      </c>
      <c r="BE43" s="17">
        <f>IF(AND(BB43=1,G43&lt;=Config!$B$8),V43,"")</f>
        <v/>
      </c>
      <c r="BF43" s="17">
        <f>IF(AND(BB43=1,G43&lt;=Config!$B$5),V43,"")</f>
        <v/>
      </c>
      <c r="BG43" s="17">
        <f>IF(BW43=1,IF(COUNTIFS($A$2:$A$201,$A43,$BW$2:$BW$201,1,$G$2:$G$201,"&lt;"&amp;G43)+COUNTIFS($A$2:$A$201,$A43,$BW$2:$BW$201,1,$G$2:$G$201,G43,$AT$2:$AT$201,"&lt;"&amp;AT43)=0,1,0),0)</f>
        <v/>
      </c>
      <c r="BH43" s="17">
        <f>IF(AND(AU43=1,ISNUMBER(K43)),1,0)</f>
        <v/>
      </c>
      <c r="BI43" s="17">
        <f>IF(BH43=1,IF(COUNTIFS($A$2:$A$201,$A43,$BH$2:$BH$201,1,$G$2:$G$201,"&lt;"&amp;G43)+COUNTIFS($A$2:$A$201,$A43,$BH$2:$BH$201,1,$G$2:$G$201,G43,$AT$2:$AT$201,"&lt;"&amp;AT43)=0,1,0),0)</f>
        <v/>
      </c>
      <c r="BJ43" s="17">
        <f>IF(AND(BI43=1,G43&lt;=Config!$B$5),K43,"")</f>
        <v/>
      </c>
      <c r="BK43" s="17">
        <f>IF(AND(AU43=1,OR(TRIM(U43)&lt;&gt;"",ISNUMBER(V43))),1,0)</f>
        <v/>
      </c>
      <c r="BL43" s="17">
        <f>IF(BK43=1,IF(COUNTIFS($A$2:$A$201,$A43,$BK$2:$BK$201,1,$G$2:$G$201,"&lt;"&amp;G43)+COUNTIFS($A$2:$A$201,$A43,$BK$2:$BK$201,1,$G$2:$G$201,G43,$AT$2:$AT$201,"&lt;"&amp;AT43)=0,1,0),0)</f>
        <v/>
      </c>
      <c r="BM43" s="17">
        <f>IF(BL43=1,$A43,"")</f>
        <v/>
      </c>
      <c r="BN43" s="17">
        <f>IF(AND(AU43=1,T43="Y",TRIM(U43)=""),1,0)</f>
        <v/>
      </c>
      <c r="BO43" s="17">
        <f>IF(AU43=1,AJ43&amp;"","")</f>
        <v/>
      </c>
      <c r="BP43" s="17">
        <f>IF(AU43=1,AK43&amp;"","")</f>
        <v/>
      </c>
      <c r="BQ43" s="17">
        <f>IF(AU43=1,AL43&amp;"","")</f>
        <v/>
      </c>
      <c r="BR43" s="17">
        <f>IF(AND(AU43=1,ISNUMBER(AP43),G43&lt;=Config!$B$5),AP43,"")</f>
        <v/>
      </c>
      <c r="BS43" s="17">
        <f>IF(AU43=1,IF(COUNTIFS($A$2:$A$201,$A43,$AN$2:$AN$201,"Y",$AU$2:$AU$201,1)&gt;0,"Y","N"),"")</f>
        <v/>
      </c>
      <c r="BT43" s="17">
        <f>IF(AND(AU43=1,AN43="maybe"),1,0)</f>
        <v/>
      </c>
      <c r="BU43" s="17">
        <f>IF(BT43=1,IF(COUNTIFS($A$2:$A$201,$A43,$BT$2:$BT$201,1,$G$2:$G$201,"&lt;"&amp;G43)+COUNTIFS($A$2:$A$201,$A43,$BT$2:$BT$201,1,$G$2:$G$201,G43,$AT$2:$AT$201,"&lt;"&amp;AT43)=0,1,0),0)</f>
        <v/>
      </c>
      <c r="BV43" s="17">
        <f>IF(AND(AU43=1,AN43="Y"),IF(COUNTIFS($A$2:$A$201,$A43,$AN$2:$AN$201,"Y",$AU$2:$AU$201,1,$G$2:$G$201,"&lt;"&amp;G43)+COUNTIFS($A$2:$A$201,$A43,$AN$2:$AN$201,"Y",$AU$2:$AU$201,1,$G$2:$G$201,G43,$AT$2:$AT$201,"&lt;"&amp;AT43)=0,1,0),0)</f>
        <v/>
      </c>
      <c r="BW43" s="17">
        <f>IF(AND(BA43=1,N(V43)&gt;=Config!$B$15),1,0)</f>
        <v/>
      </c>
      <c r="BX43" s="17">
        <f>IF(AU43=1,IFERROR(MATCH($A43,INDEX(Clay_Offices!$A$2:$FZ$601,0,Sync!$C$5),0),""),"")</f>
        <v/>
      </c>
      <c r="BY43" s="17">
        <f>IF(BX43="","",IFERROR(INDEX(Clay_Offices!$A$2:$FZ$601,BX43,Sync!$C$7)&amp;"",""))</f>
        <v/>
      </c>
      <c r="BZ43" s="17">
        <f>IF(BY43="","",IFERROR(INDEX(Lists!$J$2:$J$15,MATCH(BY43,Lists!$I$2:$I$15,0)),""))</f>
        <v/>
      </c>
      <c r="CA43" s="17">
        <f>IF(BX43="","",IFERROR(INDEX(Clay_Offices!$A$2:$FZ$601,BX43,Sync!$C$17)&amp;"",""))</f>
        <v/>
      </c>
      <c r="CB43" s="23">
        <f>IF(BX43="","",IFERROR(N(INDEX(Clay_Offices!$A$2:$FZ$601,BX43,Sync!$C$16)),0))</f>
        <v/>
      </c>
    </row>
    <row r="44">
      <c r="G44" s="22" t="n"/>
      <c r="AS44" s="17">
        <f>IF(TRIM($A44)="","",IF(AND(LEFT($A44,6)="SAMPLE",Config!$B$19&lt;&gt;"Y"),"",IF(NOT(ISNUMBER(G44)),"call_date is blank or not a date",IF(Sync!$C$5="","Clay paste is empty or has no row_id column: paste the Clay export on Clay_Offices",IF(BX44="","row_id not found in the Clay paste: add the Clay row or fix the row_id",IF(AND(ISNUMBER(BZ44),BZ44&gt;=1,BZ44&lt;=5),"Clay status is "&amp;BY44&amp;": set call_done or later",IF(AND(AW44=1,CA44&lt;&gt;BS44),"Clay yes_in_principle should be "&amp;BS44,IF(AND(AW44=1,CB44&lt;&gt;G44),"Clay call_date should be "&amp;TEXT(G44,"yyyy-mm-dd"),""))))))))</f>
        <v/>
      </c>
      <c r="AT44" s="17">
        <f>ROW()</f>
        <v/>
      </c>
      <c r="AU44" s="17">
        <f>IF(AND(TRIM($A44)&lt;&gt;"",ISNUMBER(G44)),IF(AND(LEFT($A44,6)="SAMPLE",Config!$B$19&lt;&gt;"Y"),0,1),0)</f>
        <v/>
      </c>
      <c r="AV44" s="17">
        <f>IF(AU44=1,IF(COUNTIFS($A$2:$A$201,$A44,$AU$2:$AU$201,1,$G$2:$G$201,"&lt;"&amp;G44)+COUNTIFS($A$2:$A$201,$A44,$AU$2:$AU$201,1,$G$2:$G$201,G44,$AT$2:$AT$201,"&lt;"&amp;AT44)=0,1,0),0)</f>
        <v/>
      </c>
      <c r="AW44" s="17">
        <f>IF(AU44=1,IF(COUNTIFS($A$2:$A$201,$A44,$AU$2:$AU$201,1,$G$2:$G$201,"&gt;"&amp;G44)+COUNTIFS($A$2:$A$201,$A44,$AU$2:$AU$201,1,$G$2:$G$201,G44,$AT$2:$AT$201,"&gt;"&amp;AT44)=0,1,0),0)</f>
        <v/>
      </c>
      <c r="AX44" s="17">
        <f>IF(AND(AU44=1,AN44="Y",Z44="Y",TRIM(AD44)&lt;&gt;""),1,0)</f>
        <v/>
      </c>
      <c r="AY44" s="17">
        <f>IF(AX44=1,IF(COUNTIFS($A$2:$A$201,$A44,$AX$2:$AX$201,1,$G$2:$G$201,"&lt;"&amp;G44)+COUNTIFS($A$2:$A$201,$A44,$AX$2:$AX$201,1,$G$2:$G$201,G44,$AT$2:$AT$201,"&lt;"&amp;AT44)=0,1,0),0)</f>
        <v/>
      </c>
      <c r="AZ44" s="17">
        <f>IF(AND(AU44=1,AN44="Y",AX44=0),1,0)</f>
        <v/>
      </c>
      <c r="BA44" s="17">
        <f>IF(AND(AU44=1,ISNUMBER(V44)),1,0)</f>
        <v/>
      </c>
      <c r="BB44" s="17">
        <f>IF(BA44=1,IF(COUNTIFS($A$2:$A$201,$A44,$BA$2:$BA$201,1,$G$2:$G$201,"&lt;"&amp;G44)+COUNTIFS($A$2:$A$201,$A44,$BA$2:$BA$201,1,$G$2:$G$201,G44,$AT$2:$AT$201,"&lt;"&amp;AT44)=0,1,0),0)</f>
        <v/>
      </c>
      <c r="BC44" s="17">
        <f>IF(AND(BB44=1,G44&lt;=Config!$B$6),V44,"")</f>
        <v/>
      </c>
      <c r="BD44" s="17">
        <f>IF(AND(BB44=1,G44&lt;=Config!$B$7),V44,"")</f>
        <v/>
      </c>
      <c r="BE44" s="17">
        <f>IF(AND(BB44=1,G44&lt;=Config!$B$8),V44,"")</f>
        <v/>
      </c>
      <c r="BF44" s="17">
        <f>IF(AND(BB44=1,G44&lt;=Config!$B$5),V44,"")</f>
        <v/>
      </c>
      <c r="BG44" s="17">
        <f>IF(BW44=1,IF(COUNTIFS($A$2:$A$201,$A44,$BW$2:$BW$201,1,$G$2:$G$201,"&lt;"&amp;G44)+COUNTIFS($A$2:$A$201,$A44,$BW$2:$BW$201,1,$G$2:$G$201,G44,$AT$2:$AT$201,"&lt;"&amp;AT44)=0,1,0),0)</f>
        <v/>
      </c>
      <c r="BH44" s="17">
        <f>IF(AND(AU44=1,ISNUMBER(K44)),1,0)</f>
        <v/>
      </c>
      <c r="BI44" s="17">
        <f>IF(BH44=1,IF(COUNTIFS($A$2:$A$201,$A44,$BH$2:$BH$201,1,$G$2:$G$201,"&lt;"&amp;G44)+COUNTIFS($A$2:$A$201,$A44,$BH$2:$BH$201,1,$G$2:$G$201,G44,$AT$2:$AT$201,"&lt;"&amp;AT44)=0,1,0),0)</f>
        <v/>
      </c>
      <c r="BJ44" s="17">
        <f>IF(AND(BI44=1,G44&lt;=Config!$B$5),K44,"")</f>
        <v/>
      </c>
      <c r="BK44" s="17">
        <f>IF(AND(AU44=1,OR(TRIM(U44)&lt;&gt;"",ISNUMBER(V44))),1,0)</f>
        <v/>
      </c>
      <c r="BL44" s="17">
        <f>IF(BK44=1,IF(COUNTIFS($A$2:$A$201,$A44,$BK$2:$BK$201,1,$G$2:$G$201,"&lt;"&amp;G44)+COUNTIFS($A$2:$A$201,$A44,$BK$2:$BK$201,1,$G$2:$G$201,G44,$AT$2:$AT$201,"&lt;"&amp;AT44)=0,1,0),0)</f>
        <v/>
      </c>
      <c r="BM44" s="17">
        <f>IF(BL44=1,$A44,"")</f>
        <v/>
      </c>
      <c r="BN44" s="17">
        <f>IF(AND(AU44=1,T44="Y",TRIM(U44)=""),1,0)</f>
        <v/>
      </c>
      <c r="BO44" s="17">
        <f>IF(AU44=1,AJ44&amp;"","")</f>
        <v/>
      </c>
      <c r="BP44" s="17">
        <f>IF(AU44=1,AK44&amp;"","")</f>
        <v/>
      </c>
      <c r="BQ44" s="17">
        <f>IF(AU44=1,AL44&amp;"","")</f>
        <v/>
      </c>
      <c r="BR44" s="17">
        <f>IF(AND(AU44=1,ISNUMBER(AP44),G44&lt;=Config!$B$5),AP44,"")</f>
        <v/>
      </c>
      <c r="BS44" s="17">
        <f>IF(AU44=1,IF(COUNTIFS($A$2:$A$201,$A44,$AN$2:$AN$201,"Y",$AU$2:$AU$201,1)&gt;0,"Y","N"),"")</f>
        <v/>
      </c>
      <c r="BT44" s="17">
        <f>IF(AND(AU44=1,AN44="maybe"),1,0)</f>
        <v/>
      </c>
      <c r="BU44" s="17">
        <f>IF(BT44=1,IF(COUNTIFS($A$2:$A$201,$A44,$BT$2:$BT$201,1,$G$2:$G$201,"&lt;"&amp;G44)+COUNTIFS($A$2:$A$201,$A44,$BT$2:$BT$201,1,$G$2:$G$201,G44,$AT$2:$AT$201,"&lt;"&amp;AT44)=0,1,0),0)</f>
        <v/>
      </c>
      <c r="BV44" s="17">
        <f>IF(AND(AU44=1,AN44="Y"),IF(COUNTIFS($A$2:$A$201,$A44,$AN$2:$AN$201,"Y",$AU$2:$AU$201,1,$G$2:$G$201,"&lt;"&amp;G44)+COUNTIFS($A$2:$A$201,$A44,$AN$2:$AN$201,"Y",$AU$2:$AU$201,1,$G$2:$G$201,G44,$AT$2:$AT$201,"&lt;"&amp;AT44)=0,1,0),0)</f>
        <v/>
      </c>
      <c r="BW44" s="17">
        <f>IF(AND(BA44=1,N(V44)&gt;=Config!$B$15),1,0)</f>
        <v/>
      </c>
      <c r="BX44" s="17">
        <f>IF(AU44=1,IFERROR(MATCH($A44,INDEX(Clay_Offices!$A$2:$FZ$601,0,Sync!$C$5),0),""),"")</f>
        <v/>
      </c>
      <c r="BY44" s="17">
        <f>IF(BX44="","",IFERROR(INDEX(Clay_Offices!$A$2:$FZ$601,BX44,Sync!$C$7)&amp;"",""))</f>
        <v/>
      </c>
      <c r="BZ44" s="17">
        <f>IF(BY44="","",IFERROR(INDEX(Lists!$J$2:$J$15,MATCH(BY44,Lists!$I$2:$I$15,0)),""))</f>
        <v/>
      </c>
      <c r="CA44" s="17">
        <f>IF(BX44="","",IFERROR(INDEX(Clay_Offices!$A$2:$FZ$601,BX44,Sync!$C$17)&amp;"",""))</f>
        <v/>
      </c>
      <c r="CB44" s="23">
        <f>IF(BX44="","",IFERROR(N(INDEX(Clay_Offices!$A$2:$FZ$601,BX44,Sync!$C$16)),0))</f>
        <v/>
      </c>
    </row>
    <row r="45">
      <c r="G45" s="22" t="n"/>
      <c r="AS45" s="17">
        <f>IF(TRIM($A45)="","",IF(AND(LEFT($A45,6)="SAMPLE",Config!$B$19&lt;&gt;"Y"),"",IF(NOT(ISNUMBER(G45)),"call_date is blank or not a date",IF(Sync!$C$5="","Clay paste is empty or has no row_id column: paste the Clay export on Clay_Offices",IF(BX45="","row_id not found in the Clay paste: add the Clay row or fix the row_id",IF(AND(ISNUMBER(BZ45),BZ45&gt;=1,BZ45&lt;=5),"Clay status is "&amp;BY45&amp;": set call_done or later",IF(AND(AW45=1,CA45&lt;&gt;BS45),"Clay yes_in_principle should be "&amp;BS45,IF(AND(AW45=1,CB45&lt;&gt;G45),"Clay call_date should be "&amp;TEXT(G45,"yyyy-mm-dd"),""))))))))</f>
        <v/>
      </c>
      <c r="AT45" s="17">
        <f>ROW()</f>
        <v/>
      </c>
      <c r="AU45" s="17">
        <f>IF(AND(TRIM($A45)&lt;&gt;"",ISNUMBER(G45)),IF(AND(LEFT($A45,6)="SAMPLE",Config!$B$19&lt;&gt;"Y"),0,1),0)</f>
        <v/>
      </c>
      <c r="AV45" s="17">
        <f>IF(AU45=1,IF(COUNTIFS($A$2:$A$201,$A45,$AU$2:$AU$201,1,$G$2:$G$201,"&lt;"&amp;G45)+COUNTIFS($A$2:$A$201,$A45,$AU$2:$AU$201,1,$G$2:$G$201,G45,$AT$2:$AT$201,"&lt;"&amp;AT45)=0,1,0),0)</f>
        <v/>
      </c>
      <c r="AW45" s="17">
        <f>IF(AU45=1,IF(COUNTIFS($A$2:$A$201,$A45,$AU$2:$AU$201,1,$G$2:$G$201,"&gt;"&amp;G45)+COUNTIFS($A$2:$A$201,$A45,$AU$2:$AU$201,1,$G$2:$G$201,G45,$AT$2:$AT$201,"&gt;"&amp;AT45)=0,1,0),0)</f>
        <v/>
      </c>
      <c r="AX45" s="17">
        <f>IF(AND(AU45=1,AN45="Y",Z45="Y",TRIM(AD45)&lt;&gt;""),1,0)</f>
        <v/>
      </c>
      <c r="AY45" s="17">
        <f>IF(AX45=1,IF(COUNTIFS($A$2:$A$201,$A45,$AX$2:$AX$201,1,$G$2:$G$201,"&lt;"&amp;G45)+COUNTIFS($A$2:$A$201,$A45,$AX$2:$AX$201,1,$G$2:$G$201,G45,$AT$2:$AT$201,"&lt;"&amp;AT45)=0,1,0),0)</f>
        <v/>
      </c>
      <c r="AZ45" s="17">
        <f>IF(AND(AU45=1,AN45="Y",AX45=0),1,0)</f>
        <v/>
      </c>
      <c r="BA45" s="17">
        <f>IF(AND(AU45=1,ISNUMBER(V45)),1,0)</f>
        <v/>
      </c>
      <c r="BB45" s="17">
        <f>IF(BA45=1,IF(COUNTIFS($A$2:$A$201,$A45,$BA$2:$BA$201,1,$G$2:$G$201,"&lt;"&amp;G45)+COUNTIFS($A$2:$A$201,$A45,$BA$2:$BA$201,1,$G$2:$G$201,G45,$AT$2:$AT$201,"&lt;"&amp;AT45)=0,1,0),0)</f>
        <v/>
      </c>
      <c r="BC45" s="17">
        <f>IF(AND(BB45=1,G45&lt;=Config!$B$6),V45,"")</f>
        <v/>
      </c>
      <c r="BD45" s="17">
        <f>IF(AND(BB45=1,G45&lt;=Config!$B$7),V45,"")</f>
        <v/>
      </c>
      <c r="BE45" s="17">
        <f>IF(AND(BB45=1,G45&lt;=Config!$B$8),V45,"")</f>
        <v/>
      </c>
      <c r="BF45" s="17">
        <f>IF(AND(BB45=1,G45&lt;=Config!$B$5),V45,"")</f>
        <v/>
      </c>
      <c r="BG45" s="17">
        <f>IF(BW45=1,IF(COUNTIFS($A$2:$A$201,$A45,$BW$2:$BW$201,1,$G$2:$G$201,"&lt;"&amp;G45)+COUNTIFS($A$2:$A$201,$A45,$BW$2:$BW$201,1,$G$2:$G$201,G45,$AT$2:$AT$201,"&lt;"&amp;AT45)=0,1,0),0)</f>
        <v/>
      </c>
      <c r="BH45" s="17">
        <f>IF(AND(AU45=1,ISNUMBER(K45)),1,0)</f>
        <v/>
      </c>
      <c r="BI45" s="17">
        <f>IF(BH45=1,IF(COUNTIFS($A$2:$A$201,$A45,$BH$2:$BH$201,1,$G$2:$G$201,"&lt;"&amp;G45)+COUNTIFS($A$2:$A$201,$A45,$BH$2:$BH$201,1,$G$2:$G$201,G45,$AT$2:$AT$201,"&lt;"&amp;AT45)=0,1,0),0)</f>
        <v/>
      </c>
      <c r="BJ45" s="17">
        <f>IF(AND(BI45=1,G45&lt;=Config!$B$5),K45,"")</f>
        <v/>
      </c>
      <c r="BK45" s="17">
        <f>IF(AND(AU45=1,OR(TRIM(U45)&lt;&gt;"",ISNUMBER(V45))),1,0)</f>
        <v/>
      </c>
      <c r="BL45" s="17">
        <f>IF(BK45=1,IF(COUNTIFS($A$2:$A$201,$A45,$BK$2:$BK$201,1,$G$2:$G$201,"&lt;"&amp;G45)+COUNTIFS($A$2:$A$201,$A45,$BK$2:$BK$201,1,$G$2:$G$201,G45,$AT$2:$AT$201,"&lt;"&amp;AT45)=0,1,0),0)</f>
        <v/>
      </c>
      <c r="BM45" s="17">
        <f>IF(BL45=1,$A45,"")</f>
        <v/>
      </c>
      <c r="BN45" s="17">
        <f>IF(AND(AU45=1,T45="Y",TRIM(U45)=""),1,0)</f>
        <v/>
      </c>
      <c r="BO45" s="17">
        <f>IF(AU45=1,AJ45&amp;"","")</f>
        <v/>
      </c>
      <c r="BP45" s="17">
        <f>IF(AU45=1,AK45&amp;"","")</f>
        <v/>
      </c>
      <c r="BQ45" s="17">
        <f>IF(AU45=1,AL45&amp;"","")</f>
        <v/>
      </c>
      <c r="BR45" s="17">
        <f>IF(AND(AU45=1,ISNUMBER(AP45),G45&lt;=Config!$B$5),AP45,"")</f>
        <v/>
      </c>
      <c r="BS45" s="17">
        <f>IF(AU45=1,IF(COUNTIFS($A$2:$A$201,$A45,$AN$2:$AN$201,"Y",$AU$2:$AU$201,1)&gt;0,"Y","N"),"")</f>
        <v/>
      </c>
      <c r="BT45" s="17">
        <f>IF(AND(AU45=1,AN45="maybe"),1,0)</f>
        <v/>
      </c>
      <c r="BU45" s="17">
        <f>IF(BT45=1,IF(COUNTIFS($A$2:$A$201,$A45,$BT$2:$BT$201,1,$G$2:$G$201,"&lt;"&amp;G45)+COUNTIFS($A$2:$A$201,$A45,$BT$2:$BT$201,1,$G$2:$G$201,G45,$AT$2:$AT$201,"&lt;"&amp;AT45)=0,1,0),0)</f>
        <v/>
      </c>
      <c r="BV45" s="17">
        <f>IF(AND(AU45=1,AN45="Y"),IF(COUNTIFS($A$2:$A$201,$A45,$AN$2:$AN$201,"Y",$AU$2:$AU$201,1,$G$2:$G$201,"&lt;"&amp;G45)+COUNTIFS($A$2:$A$201,$A45,$AN$2:$AN$201,"Y",$AU$2:$AU$201,1,$G$2:$G$201,G45,$AT$2:$AT$201,"&lt;"&amp;AT45)=0,1,0),0)</f>
        <v/>
      </c>
      <c r="BW45" s="17">
        <f>IF(AND(BA45=1,N(V45)&gt;=Config!$B$15),1,0)</f>
        <v/>
      </c>
      <c r="BX45" s="17">
        <f>IF(AU45=1,IFERROR(MATCH($A45,INDEX(Clay_Offices!$A$2:$FZ$601,0,Sync!$C$5),0),""),"")</f>
        <v/>
      </c>
      <c r="BY45" s="17">
        <f>IF(BX45="","",IFERROR(INDEX(Clay_Offices!$A$2:$FZ$601,BX45,Sync!$C$7)&amp;"",""))</f>
        <v/>
      </c>
      <c r="BZ45" s="17">
        <f>IF(BY45="","",IFERROR(INDEX(Lists!$J$2:$J$15,MATCH(BY45,Lists!$I$2:$I$15,0)),""))</f>
        <v/>
      </c>
      <c r="CA45" s="17">
        <f>IF(BX45="","",IFERROR(INDEX(Clay_Offices!$A$2:$FZ$601,BX45,Sync!$C$17)&amp;"",""))</f>
        <v/>
      </c>
      <c r="CB45" s="23">
        <f>IF(BX45="","",IFERROR(N(INDEX(Clay_Offices!$A$2:$FZ$601,BX45,Sync!$C$16)),0))</f>
        <v/>
      </c>
    </row>
    <row r="46">
      <c r="G46" s="22" t="n"/>
      <c r="AS46" s="17">
        <f>IF(TRIM($A46)="","",IF(AND(LEFT($A46,6)="SAMPLE",Config!$B$19&lt;&gt;"Y"),"",IF(NOT(ISNUMBER(G46)),"call_date is blank or not a date",IF(Sync!$C$5="","Clay paste is empty or has no row_id column: paste the Clay export on Clay_Offices",IF(BX46="","row_id not found in the Clay paste: add the Clay row or fix the row_id",IF(AND(ISNUMBER(BZ46),BZ46&gt;=1,BZ46&lt;=5),"Clay status is "&amp;BY46&amp;": set call_done or later",IF(AND(AW46=1,CA46&lt;&gt;BS46),"Clay yes_in_principle should be "&amp;BS46,IF(AND(AW46=1,CB46&lt;&gt;G46),"Clay call_date should be "&amp;TEXT(G46,"yyyy-mm-dd"),""))))))))</f>
        <v/>
      </c>
      <c r="AT46" s="17">
        <f>ROW()</f>
        <v/>
      </c>
      <c r="AU46" s="17">
        <f>IF(AND(TRIM($A46)&lt;&gt;"",ISNUMBER(G46)),IF(AND(LEFT($A46,6)="SAMPLE",Config!$B$19&lt;&gt;"Y"),0,1),0)</f>
        <v/>
      </c>
      <c r="AV46" s="17">
        <f>IF(AU46=1,IF(COUNTIFS($A$2:$A$201,$A46,$AU$2:$AU$201,1,$G$2:$G$201,"&lt;"&amp;G46)+COUNTIFS($A$2:$A$201,$A46,$AU$2:$AU$201,1,$G$2:$G$201,G46,$AT$2:$AT$201,"&lt;"&amp;AT46)=0,1,0),0)</f>
        <v/>
      </c>
      <c r="AW46" s="17">
        <f>IF(AU46=1,IF(COUNTIFS($A$2:$A$201,$A46,$AU$2:$AU$201,1,$G$2:$G$201,"&gt;"&amp;G46)+COUNTIFS($A$2:$A$201,$A46,$AU$2:$AU$201,1,$G$2:$G$201,G46,$AT$2:$AT$201,"&gt;"&amp;AT46)=0,1,0),0)</f>
        <v/>
      </c>
      <c r="AX46" s="17">
        <f>IF(AND(AU46=1,AN46="Y",Z46="Y",TRIM(AD46)&lt;&gt;""),1,0)</f>
        <v/>
      </c>
      <c r="AY46" s="17">
        <f>IF(AX46=1,IF(COUNTIFS($A$2:$A$201,$A46,$AX$2:$AX$201,1,$G$2:$G$201,"&lt;"&amp;G46)+COUNTIFS($A$2:$A$201,$A46,$AX$2:$AX$201,1,$G$2:$G$201,G46,$AT$2:$AT$201,"&lt;"&amp;AT46)=0,1,0),0)</f>
        <v/>
      </c>
      <c r="AZ46" s="17">
        <f>IF(AND(AU46=1,AN46="Y",AX46=0),1,0)</f>
        <v/>
      </c>
      <c r="BA46" s="17">
        <f>IF(AND(AU46=1,ISNUMBER(V46)),1,0)</f>
        <v/>
      </c>
      <c r="BB46" s="17">
        <f>IF(BA46=1,IF(COUNTIFS($A$2:$A$201,$A46,$BA$2:$BA$201,1,$G$2:$G$201,"&lt;"&amp;G46)+COUNTIFS($A$2:$A$201,$A46,$BA$2:$BA$201,1,$G$2:$G$201,G46,$AT$2:$AT$201,"&lt;"&amp;AT46)=0,1,0),0)</f>
        <v/>
      </c>
      <c r="BC46" s="17">
        <f>IF(AND(BB46=1,G46&lt;=Config!$B$6),V46,"")</f>
        <v/>
      </c>
      <c r="BD46" s="17">
        <f>IF(AND(BB46=1,G46&lt;=Config!$B$7),V46,"")</f>
        <v/>
      </c>
      <c r="BE46" s="17">
        <f>IF(AND(BB46=1,G46&lt;=Config!$B$8),V46,"")</f>
        <v/>
      </c>
      <c r="BF46" s="17">
        <f>IF(AND(BB46=1,G46&lt;=Config!$B$5),V46,"")</f>
        <v/>
      </c>
      <c r="BG46" s="17">
        <f>IF(BW46=1,IF(COUNTIFS($A$2:$A$201,$A46,$BW$2:$BW$201,1,$G$2:$G$201,"&lt;"&amp;G46)+COUNTIFS($A$2:$A$201,$A46,$BW$2:$BW$201,1,$G$2:$G$201,G46,$AT$2:$AT$201,"&lt;"&amp;AT46)=0,1,0),0)</f>
        <v/>
      </c>
      <c r="BH46" s="17">
        <f>IF(AND(AU46=1,ISNUMBER(K46)),1,0)</f>
        <v/>
      </c>
      <c r="BI46" s="17">
        <f>IF(BH46=1,IF(COUNTIFS($A$2:$A$201,$A46,$BH$2:$BH$201,1,$G$2:$G$201,"&lt;"&amp;G46)+COUNTIFS($A$2:$A$201,$A46,$BH$2:$BH$201,1,$G$2:$G$201,G46,$AT$2:$AT$201,"&lt;"&amp;AT46)=0,1,0),0)</f>
        <v/>
      </c>
      <c r="BJ46" s="17">
        <f>IF(AND(BI46=1,G46&lt;=Config!$B$5),K46,"")</f>
        <v/>
      </c>
      <c r="BK46" s="17">
        <f>IF(AND(AU46=1,OR(TRIM(U46)&lt;&gt;"",ISNUMBER(V46))),1,0)</f>
        <v/>
      </c>
      <c r="BL46" s="17">
        <f>IF(BK46=1,IF(COUNTIFS($A$2:$A$201,$A46,$BK$2:$BK$201,1,$G$2:$G$201,"&lt;"&amp;G46)+COUNTIFS($A$2:$A$201,$A46,$BK$2:$BK$201,1,$G$2:$G$201,G46,$AT$2:$AT$201,"&lt;"&amp;AT46)=0,1,0),0)</f>
        <v/>
      </c>
      <c r="BM46" s="17">
        <f>IF(BL46=1,$A46,"")</f>
        <v/>
      </c>
      <c r="BN46" s="17">
        <f>IF(AND(AU46=1,T46="Y",TRIM(U46)=""),1,0)</f>
        <v/>
      </c>
      <c r="BO46" s="17">
        <f>IF(AU46=1,AJ46&amp;"","")</f>
        <v/>
      </c>
      <c r="BP46" s="17">
        <f>IF(AU46=1,AK46&amp;"","")</f>
        <v/>
      </c>
      <c r="BQ46" s="17">
        <f>IF(AU46=1,AL46&amp;"","")</f>
        <v/>
      </c>
      <c r="BR46" s="17">
        <f>IF(AND(AU46=1,ISNUMBER(AP46),G46&lt;=Config!$B$5),AP46,"")</f>
        <v/>
      </c>
      <c r="BS46" s="17">
        <f>IF(AU46=1,IF(COUNTIFS($A$2:$A$201,$A46,$AN$2:$AN$201,"Y",$AU$2:$AU$201,1)&gt;0,"Y","N"),"")</f>
        <v/>
      </c>
      <c r="BT46" s="17">
        <f>IF(AND(AU46=1,AN46="maybe"),1,0)</f>
        <v/>
      </c>
      <c r="BU46" s="17">
        <f>IF(BT46=1,IF(COUNTIFS($A$2:$A$201,$A46,$BT$2:$BT$201,1,$G$2:$G$201,"&lt;"&amp;G46)+COUNTIFS($A$2:$A$201,$A46,$BT$2:$BT$201,1,$G$2:$G$201,G46,$AT$2:$AT$201,"&lt;"&amp;AT46)=0,1,0),0)</f>
        <v/>
      </c>
      <c r="BV46" s="17">
        <f>IF(AND(AU46=1,AN46="Y"),IF(COUNTIFS($A$2:$A$201,$A46,$AN$2:$AN$201,"Y",$AU$2:$AU$201,1,$G$2:$G$201,"&lt;"&amp;G46)+COUNTIFS($A$2:$A$201,$A46,$AN$2:$AN$201,"Y",$AU$2:$AU$201,1,$G$2:$G$201,G46,$AT$2:$AT$201,"&lt;"&amp;AT46)=0,1,0),0)</f>
        <v/>
      </c>
      <c r="BW46" s="17">
        <f>IF(AND(BA46=1,N(V46)&gt;=Config!$B$15),1,0)</f>
        <v/>
      </c>
      <c r="BX46" s="17">
        <f>IF(AU46=1,IFERROR(MATCH($A46,INDEX(Clay_Offices!$A$2:$FZ$601,0,Sync!$C$5),0),""),"")</f>
        <v/>
      </c>
      <c r="BY46" s="17">
        <f>IF(BX46="","",IFERROR(INDEX(Clay_Offices!$A$2:$FZ$601,BX46,Sync!$C$7)&amp;"",""))</f>
        <v/>
      </c>
      <c r="BZ46" s="17">
        <f>IF(BY46="","",IFERROR(INDEX(Lists!$J$2:$J$15,MATCH(BY46,Lists!$I$2:$I$15,0)),""))</f>
        <v/>
      </c>
      <c r="CA46" s="17">
        <f>IF(BX46="","",IFERROR(INDEX(Clay_Offices!$A$2:$FZ$601,BX46,Sync!$C$17)&amp;"",""))</f>
        <v/>
      </c>
      <c r="CB46" s="23">
        <f>IF(BX46="","",IFERROR(N(INDEX(Clay_Offices!$A$2:$FZ$601,BX46,Sync!$C$16)),0))</f>
        <v/>
      </c>
    </row>
    <row r="47">
      <c r="G47" s="22" t="n"/>
      <c r="AS47" s="17">
        <f>IF(TRIM($A47)="","",IF(AND(LEFT($A47,6)="SAMPLE",Config!$B$19&lt;&gt;"Y"),"",IF(NOT(ISNUMBER(G47)),"call_date is blank or not a date",IF(Sync!$C$5="","Clay paste is empty or has no row_id column: paste the Clay export on Clay_Offices",IF(BX47="","row_id not found in the Clay paste: add the Clay row or fix the row_id",IF(AND(ISNUMBER(BZ47),BZ47&gt;=1,BZ47&lt;=5),"Clay status is "&amp;BY47&amp;": set call_done or later",IF(AND(AW47=1,CA47&lt;&gt;BS47),"Clay yes_in_principle should be "&amp;BS47,IF(AND(AW47=1,CB47&lt;&gt;G47),"Clay call_date should be "&amp;TEXT(G47,"yyyy-mm-dd"),""))))))))</f>
        <v/>
      </c>
      <c r="AT47" s="17">
        <f>ROW()</f>
        <v/>
      </c>
      <c r="AU47" s="17">
        <f>IF(AND(TRIM($A47)&lt;&gt;"",ISNUMBER(G47)),IF(AND(LEFT($A47,6)="SAMPLE",Config!$B$19&lt;&gt;"Y"),0,1),0)</f>
        <v/>
      </c>
      <c r="AV47" s="17">
        <f>IF(AU47=1,IF(COUNTIFS($A$2:$A$201,$A47,$AU$2:$AU$201,1,$G$2:$G$201,"&lt;"&amp;G47)+COUNTIFS($A$2:$A$201,$A47,$AU$2:$AU$201,1,$G$2:$G$201,G47,$AT$2:$AT$201,"&lt;"&amp;AT47)=0,1,0),0)</f>
        <v/>
      </c>
      <c r="AW47" s="17">
        <f>IF(AU47=1,IF(COUNTIFS($A$2:$A$201,$A47,$AU$2:$AU$201,1,$G$2:$G$201,"&gt;"&amp;G47)+COUNTIFS($A$2:$A$201,$A47,$AU$2:$AU$201,1,$G$2:$G$201,G47,$AT$2:$AT$201,"&gt;"&amp;AT47)=0,1,0),0)</f>
        <v/>
      </c>
      <c r="AX47" s="17">
        <f>IF(AND(AU47=1,AN47="Y",Z47="Y",TRIM(AD47)&lt;&gt;""),1,0)</f>
        <v/>
      </c>
      <c r="AY47" s="17">
        <f>IF(AX47=1,IF(COUNTIFS($A$2:$A$201,$A47,$AX$2:$AX$201,1,$G$2:$G$201,"&lt;"&amp;G47)+COUNTIFS($A$2:$A$201,$A47,$AX$2:$AX$201,1,$G$2:$G$201,G47,$AT$2:$AT$201,"&lt;"&amp;AT47)=0,1,0),0)</f>
        <v/>
      </c>
      <c r="AZ47" s="17">
        <f>IF(AND(AU47=1,AN47="Y",AX47=0),1,0)</f>
        <v/>
      </c>
      <c r="BA47" s="17">
        <f>IF(AND(AU47=1,ISNUMBER(V47)),1,0)</f>
        <v/>
      </c>
      <c r="BB47" s="17">
        <f>IF(BA47=1,IF(COUNTIFS($A$2:$A$201,$A47,$BA$2:$BA$201,1,$G$2:$G$201,"&lt;"&amp;G47)+COUNTIFS($A$2:$A$201,$A47,$BA$2:$BA$201,1,$G$2:$G$201,G47,$AT$2:$AT$201,"&lt;"&amp;AT47)=0,1,0),0)</f>
        <v/>
      </c>
      <c r="BC47" s="17">
        <f>IF(AND(BB47=1,G47&lt;=Config!$B$6),V47,"")</f>
        <v/>
      </c>
      <c r="BD47" s="17">
        <f>IF(AND(BB47=1,G47&lt;=Config!$B$7),V47,"")</f>
        <v/>
      </c>
      <c r="BE47" s="17">
        <f>IF(AND(BB47=1,G47&lt;=Config!$B$8),V47,"")</f>
        <v/>
      </c>
      <c r="BF47" s="17">
        <f>IF(AND(BB47=1,G47&lt;=Config!$B$5),V47,"")</f>
        <v/>
      </c>
      <c r="BG47" s="17">
        <f>IF(BW47=1,IF(COUNTIFS($A$2:$A$201,$A47,$BW$2:$BW$201,1,$G$2:$G$201,"&lt;"&amp;G47)+COUNTIFS($A$2:$A$201,$A47,$BW$2:$BW$201,1,$G$2:$G$201,G47,$AT$2:$AT$201,"&lt;"&amp;AT47)=0,1,0),0)</f>
        <v/>
      </c>
      <c r="BH47" s="17">
        <f>IF(AND(AU47=1,ISNUMBER(K47)),1,0)</f>
        <v/>
      </c>
      <c r="BI47" s="17">
        <f>IF(BH47=1,IF(COUNTIFS($A$2:$A$201,$A47,$BH$2:$BH$201,1,$G$2:$G$201,"&lt;"&amp;G47)+COUNTIFS($A$2:$A$201,$A47,$BH$2:$BH$201,1,$G$2:$G$201,G47,$AT$2:$AT$201,"&lt;"&amp;AT47)=0,1,0),0)</f>
        <v/>
      </c>
      <c r="BJ47" s="17">
        <f>IF(AND(BI47=1,G47&lt;=Config!$B$5),K47,"")</f>
        <v/>
      </c>
      <c r="BK47" s="17">
        <f>IF(AND(AU47=1,OR(TRIM(U47)&lt;&gt;"",ISNUMBER(V47))),1,0)</f>
        <v/>
      </c>
      <c r="BL47" s="17">
        <f>IF(BK47=1,IF(COUNTIFS($A$2:$A$201,$A47,$BK$2:$BK$201,1,$G$2:$G$201,"&lt;"&amp;G47)+COUNTIFS($A$2:$A$201,$A47,$BK$2:$BK$201,1,$G$2:$G$201,G47,$AT$2:$AT$201,"&lt;"&amp;AT47)=0,1,0),0)</f>
        <v/>
      </c>
      <c r="BM47" s="17">
        <f>IF(BL47=1,$A47,"")</f>
        <v/>
      </c>
      <c r="BN47" s="17">
        <f>IF(AND(AU47=1,T47="Y",TRIM(U47)=""),1,0)</f>
        <v/>
      </c>
      <c r="BO47" s="17">
        <f>IF(AU47=1,AJ47&amp;"","")</f>
        <v/>
      </c>
      <c r="BP47" s="17">
        <f>IF(AU47=1,AK47&amp;"","")</f>
        <v/>
      </c>
      <c r="BQ47" s="17">
        <f>IF(AU47=1,AL47&amp;"","")</f>
        <v/>
      </c>
      <c r="BR47" s="17">
        <f>IF(AND(AU47=1,ISNUMBER(AP47),G47&lt;=Config!$B$5),AP47,"")</f>
        <v/>
      </c>
      <c r="BS47" s="17">
        <f>IF(AU47=1,IF(COUNTIFS($A$2:$A$201,$A47,$AN$2:$AN$201,"Y",$AU$2:$AU$201,1)&gt;0,"Y","N"),"")</f>
        <v/>
      </c>
      <c r="BT47" s="17">
        <f>IF(AND(AU47=1,AN47="maybe"),1,0)</f>
        <v/>
      </c>
      <c r="BU47" s="17">
        <f>IF(BT47=1,IF(COUNTIFS($A$2:$A$201,$A47,$BT$2:$BT$201,1,$G$2:$G$201,"&lt;"&amp;G47)+COUNTIFS($A$2:$A$201,$A47,$BT$2:$BT$201,1,$G$2:$G$201,G47,$AT$2:$AT$201,"&lt;"&amp;AT47)=0,1,0),0)</f>
        <v/>
      </c>
      <c r="BV47" s="17">
        <f>IF(AND(AU47=1,AN47="Y"),IF(COUNTIFS($A$2:$A$201,$A47,$AN$2:$AN$201,"Y",$AU$2:$AU$201,1,$G$2:$G$201,"&lt;"&amp;G47)+COUNTIFS($A$2:$A$201,$A47,$AN$2:$AN$201,"Y",$AU$2:$AU$201,1,$G$2:$G$201,G47,$AT$2:$AT$201,"&lt;"&amp;AT47)=0,1,0),0)</f>
        <v/>
      </c>
      <c r="BW47" s="17">
        <f>IF(AND(BA47=1,N(V47)&gt;=Config!$B$15),1,0)</f>
        <v/>
      </c>
      <c r="BX47" s="17">
        <f>IF(AU47=1,IFERROR(MATCH($A47,INDEX(Clay_Offices!$A$2:$FZ$601,0,Sync!$C$5),0),""),"")</f>
        <v/>
      </c>
      <c r="BY47" s="17">
        <f>IF(BX47="","",IFERROR(INDEX(Clay_Offices!$A$2:$FZ$601,BX47,Sync!$C$7)&amp;"",""))</f>
        <v/>
      </c>
      <c r="BZ47" s="17">
        <f>IF(BY47="","",IFERROR(INDEX(Lists!$J$2:$J$15,MATCH(BY47,Lists!$I$2:$I$15,0)),""))</f>
        <v/>
      </c>
      <c r="CA47" s="17">
        <f>IF(BX47="","",IFERROR(INDEX(Clay_Offices!$A$2:$FZ$601,BX47,Sync!$C$17)&amp;"",""))</f>
        <v/>
      </c>
      <c r="CB47" s="23">
        <f>IF(BX47="","",IFERROR(N(INDEX(Clay_Offices!$A$2:$FZ$601,BX47,Sync!$C$16)),0))</f>
        <v/>
      </c>
    </row>
    <row r="48">
      <c r="G48" s="22" t="n"/>
      <c r="AS48" s="17">
        <f>IF(TRIM($A48)="","",IF(AND(LEFT($A48,6)="SAMPLE",Config!$B$19&lt;&gt;"Y"),"",IF(NOT(ISNUMBER(G48)),"call_date is blank or not a date",IF(Sync!$C$5="","Clay paste is empty or has no row_id column: paste the Clay export on Clay_Offices",IF(BX48="","row_id not found in the Clay paste: add the Clay row or fix the row_id",IF(AND(ISNUMBER(BZ48),BZ48&gt;=1,BZ48&lt;=5),"Clay status is "&amp;BY48&amp;": set call_done or later",IF(AND(AW48=1,CA48&lt;&gt;BS48),"Clay yes_in_principle should be "&amp;BS48,IF(AND(AW48=1,CB48&lt;&gt;G48),"Clay call_date should be "&amp;TEXT(G48,"yyyy-mm-dd"),""))))))))</f>
        <v/>
      </c>
      <c r="AT48" s="17">
        <f>ROW()</f>
        <v/>
      </c>
      <c r="AU48" s="17">
        <f>IF(AND(TRIM($A48)&lt;&gt;"",ISNUMBER(G48)),IF(AND(LEFT($A48,6)="SAMPLE",Config!$B$19&lt;&gt;"Y"),0,1),0)</f>
        <v/>
      </c>
      <c r="AV48" s="17">
        <f>IF(AU48=1,IF(COUNTIFS($A$2:$A$201,$A48,$AU$2:$AU$201,1,$G$2:$G$201,"&lt;"&amp;G48)+COUNTIFS($A$2:$A$201,$A48,$AU$2:$AU$201,1,$G$2:$G$201,G48,$AT$2:$AT$201,"&lt;"&amp;AT48)=0,1,0),0)</f>
        <v/>
      </c>
      <c r="AW48" s="17">
        <f>IF(AU48=1,IF(COUNTIFS($A$2:$A$201,$A48,$AU$2:$AU$201,1,$G$2:$G$201,"&gt;"&amp;G48)+COUNTIFS($A$2:$A$201,$A48,$AU$2:$AU$201,1,$G$2:$G$201,G48,$AT$2:$AT$201,"&gt;"&amp;AT48)=0,1,0),0)</f>
        <v/>
      </c>
      <c r="AX48" s="17">
        <f>IF(AND(AU48=1,AN48="Y",Z48="Y",TRIM(AD48)&lt;&gt;""),1,0)</f>
        <v/>
      </c>
      <c r="AY48" s="17">
        <f>IF(AX48=1,IF(COUNTIFS($A$2:$A$201,$A48,$AX$2:$AX$201,1,$G$2:$G$201,"&lt;"&amp;G48)+COUNTIFS($A$2:$A$201,$A48,$AX$2:$AX$201,1,$G$2:$G$201,G48,$AT$2:$AT$201,"&lt;"&amp;AT48)=0,1,0),0)</f>
        <v/>
      </c>
      <c r="AZ48" s="17">
        <f>IF(AND(AU48=1,AN48="Y",AX48=0),1,0)</f>
        <v/>
      </c>
      <c r="BA48" s="17">
        <f>IF(AND(AU48=1,ISNUMBER(V48)),1,0)</f>
        <v/>
      </c>
      <c r="BB48" s="17">
        <f>IF(BA48=1,IF(COUNTIFS($A$2:$A$201,$A48,$BA$2:$BA$201,1,$G$2:$G$201,"&lt;"&amp;G48)+COUNTIFS($A$2:$A$201,$A48,$BA$2:$BA$201,1,$G$2:$G$201,G48,$AT$2:$AT$201,"&lt;"&amp;AT48)=0,1,0),0)</f>
        <v/>
      </c>
      <c r="BC48" s="17">
        <f>IF(AND(BB48=1,G48&lt;=Config!$B$6),V48,"")</f>
        <v/>
      </c>
      <c r="BD48" s="17">
        <f>IF(AND(BB48=1,G48&lt;=Config!$B$7),V48,"")</f>
        <v/>
      </c>
      <c r="BE48" s="17">
        <f>IF(AND(BB48=1,G48&lt;=Config!$B$8),V48,"")</f>
        <v/>
      </c>
      <c r="BF48" s="17">
        <f>IF(AND(BB48=1,G48&lt;=Config!$B$5),V48,"")</f>
        <v/>
      </c>
      <c r="BG48" s="17">
        <f>IF(BW48=1,IF(COUNTIFS($A$2:$A$201,$A48,$BW$2:$BW$201,1,$G$2:$G$201,"&lt;"&amp;G48)+COUNTIFS($A$2:$A$201,$A48,$BW$2:$BW$201,1,$G$2:$G$201,G48,$AT$2:$AT$201,"&lt;"&amp;AT48)=0,1,0),0)</f>
        <v/>
      </c>
      <c r="BH48" s="17">
        <f>IF(AND(AU48=1,ISNUMBER(K48)),1,0)</f>
        <v/>
      </c>
      <c r="BI48" s="17">
        <f>IF(BH48=1,IF(COUNTIFS($A$2:$A$201,$A48,$BH$2:$BH$201,1,$G$2:$G$201,"&lt;"&amp;G48)+COUNTIFS($A$2:$A$201,$A48,$BH$2:$BH$201,1,$G$2:$G$201,G48,$AT$2:$AT$201,"&lt;"&amp;AT48)=0,1,0),0)</f>
        <v/>
      </c>
      <c r="BJ48" s="17">
        <f>IF(AND(BI48=1,G48&lt;=Config!$B$5),K48,"")</f>
        <v/>
      </c>
      <c r="BK48" s="17">
        <f>IF(AND(AU48=1,OR(TRIM(U48)&lt;&gt;"",ISNUMBER(V48))),1,0)</f>
        <v/>
      </c>
      <c r="BL48" s="17">
        <f>IF(BK48=1,IF(COUNTIFS($A$2:$A$201,$A48,$BK$2:$BK$201,1,$G$2:$G$201,"&lt;"&amp;G48)+COUNTIFS($A$2:$A$201,$A48,$BK$2:$BK$201,1,$G$2:$G$201,G48,$AT$2:$AT$201,"&lt;"&amp;AT48)=0,1,0),0)</f>
        <v/>
      </c>
      <c r="BM48" s="17">
        <f>IF(BL48=1,$A48,"")</f>
        <v/>
      </c>
      <c r="BN48" s="17">
        <f>IF(AND(AU48=1,T48="Y",TRIM(U48)=""),1,0)</f>
        <v/>
      </c>
      <c r="BO48" s="17">
        <f>IF(AU48=1,AJ48&amp;"","")</f>
        <v/>
      </c>
      <c r="BP48" s="17">
        <f>IF(AU48=1,AK48&amp;"","")</f>
        <v/>
      </c>
      <c r="BQ48" s="17">
        <f>IF(AU48=1,AL48&amp;"","")</f>
        <v/>
      </c>
      <c r="BR48" s="17">
        <f>IF(AND(AU48=1,ISNUMBER(AP48),G48&lt;=Config!$B$5),AP48,"")</f>
        <v/>
      </c>
      <c r="BS48" s="17">
        <f>IF(AU48=1,IF(COUNTIFS($A$2:$A$201,$A48,$AN$2:$AN$201,"Y",$AU$2:$AU$201,1)&gt;0,"Y","N"),"")</f>
        <v/>
      </c>
      <c r="BT48" s="17">
        <f>IF(AND(AU48=1,AN48="maybe"),1,0)</f>
        <v/>
      </c>
      <c r="BU48" s="17">
        <f>IF(BT48=1,IF(COUNTIFS($A$2:$A$201,$A48,$BT$2:$BT$201,1,$G$2:$G$201,"&lt;"&amp;G48)+COUNTIFS($A$2:$A$201,$A48,$BT$2:$BT$201,1,$G$2:$G$201,G48,$AT$2:$AT$201,"&lt;"&amp;AT48)=0,1,0),0)</f>
        <v/>
      </c>
      <c r="BV48" s="17">
        <f>IF(AND(AU48=1,AN48="Y"),IF(COUNTIFS($A$2:$A$201,$A48,$AN$2:$AN$201,"Y",$AU$2:$AU$201,1,$G$2:$G$201,"&lt;"&amp;G48)+COUNTIFS($A$2:$A$201,$A48,$AN$2:$AN$201,"Y",$AU$2:$AU$201,1,$G$2:$G$201,G48,$AT$2:$AT$201,"&lt;"&amp;AT48)=0,1,0),0)</f>
        <v/>
      </c>
      <c r="BW48" s="17">
        <f>IF(AND(BA48=1,N(V48)&gt;=Config!$B$15),1,0)</f>
        <v/>
      </c>
      <c r="BX48" s="17">
        <f>IF(AU48=1,IFERROR(MATCH($A48,INDEX(Clay_Offices!$A$2:$FZ$601,0,Sync!$C$5),0),""),"")</f>
        <v/>
      </c>
      <c r="BY48" s="17">
        <f>IF(BX48="","",IFERROR(INDEX(Clay_Offices!$A$2:$FZ$601,BX48,Sync!$C$7)&amp;"",""))</f>
        <v/>
      </c>
      <c r="BZ48" s="17">
        <f>IF(BY48="","",IFERROR(INDEX(Lists!$J$2:$J$15,MATCH(BY48,Lists!$I$2:$I$15,0)),""))</f>
        <v/>
      </c>
      <c r="CA48" s="17">
        <f>IF(BX48="","",IFERROR(INDEX(Clay_Offices!$A$2:$FZ$601,BX48,Sync!$C$17)&amp;"",""))</f>
        <v/>
      </c>
      <c r="CB48" s="23">
        <f>IF(BX48="","",IFERROR(N(INDEX(Clay_Offices!$A$2:$FZ$601,BX48,Sync!$C$16)),0))</f>
        <v/>
      </c>
    </row>
    <row r="49">
      <c r="G49" s="22" t="n"/>
      <c r="AS49" s="17">
        <f>IF(TRIM($A49)="","",IF(AND(LEFT($A49,6)="SAMPLE",Config!$B$19&lt;&gt;"Y"),"",IF(NOT(ISNUMBER(G49)),"call_date is blank or not a date",IF(Sync!$C$5="","Clay paste is empty or has no row_id column: paste the Clay export on Clay_Offices",IF(BX49="","row_id not found in the Clay paste: add the Clay row or fix the row_id",IF(AND(ISNUMBER(BZ49),BZ49&gt;=1,BZ49&lt;=5),"Clay status is "&amp;BY49&amp;": set call_done or later",IF(AND(AW49=1,CA49&lt;&gt;BS49),"Clay yes_in_principle should be "&amp;BS49,IF(AND(AW49=1,CB49&lt;&gt;G49),"Clay call_date should be "&amp;TEXT(G49,"yyyy-mm-dd"),""))))))))</f>
        <v/>
      </c>
      <c r="AT49" s="17">
        <f>ROW()</f>
        <v/>
      </c>
      <c r="AU49" s="17">
        <f>IF(AND(TRIM($A49)&lt;&gt;"",ISNUMBER(G49)),IF(AND(LEFT($A49,6)="SAMPLE",Config!$B$19&lt;&gt;"Y"),0,1),0)</f>
        <v/>
      </c>
      <c r="AV49" s="17">
        <f>IF(AU49=1,IF(COUNTIFS($A$2:$A$201,$A49,$AU$2:$AU$201,1,$G$2:$G$201,"&lt;"&amp;G49)+COUNTIFS($A$2:$A$201,$A49,$AU$2:$AU$201,1,$G$2:$G$201,G49,$AT$2:$AT$201,"&lt;"&amp;AT49)=0,1,0),0)</f>
        <v/>
      </c>
      <c r="AW49" s="17">
        <f>IF(AU49=1,IF(COUNTIFS($A$2:$A$201,$A49,$AU$2:$AU$201,1,$G$2:$G$201,"&gt;"&amp;G49)+COUNTIFS($A$2:$A$201,$A49,$AU$2:$AU$201,1,$G$2:$G$201,G49,$AT$2:$AT$201,"&gt;"&amp;AT49)=0,1,0),0)</f>
        <v/>
      </c>
      <c r="AX49" s="17">
        <f>IF(AND(AU49=1,AN49="Y",Z49="Y",TRIM(AD49)&lt;&gt;""),1,0)</f>
        <v/>
      </c>
      <c r="AY49" s="17">
        <f>IF(AX49=1,IF(COUNTIFS($A$2:$A$201,$A49,$AX$2:$AX$201,1,$G$2:$G$201,"&lt;"&amp;G49)+COUNTIFS($A$2:$A$201,$A49,$AX$2:$AX$201,1,$G$2:$G$201,G49,$AT$2:$AT$201,"&lt;"&amp;AT49)=0,1,0),0)</f>
        <v/>
      </c>
      <c r="AZ49" s="17">
        <f>IF(AND(AU49=1,AN49="Y",AX49=0),1,0)</f>
        <v/>
      </c>
      <c r="BA49" s="17">
        <f>IF(AND(AU49=1,ISNUMBER(V49)),1,0)</f>
        <v/>
      </c>
      <c r="BB49" s="17">
        <f>IF(BA49=1,IF(COUNTIFS($A$2:$A$201,$A49,$BA$2:$BA$201,1,$G$2:$G$201,"&lt;"&amp;G49)+COUNTIFS($A$2:$A$201,$A49,$BA$2:$BA$201,1,$G$2:$G$201,G49,$AT$2:$AT$201,"&lt;"&amp;AT49)=0,1,0),0)</f>
        <v/>
      </c>
      <c r="BC49" s="17">
        <f>IF(AND(BB49=1,G49&lt;=Config!$B$6),V49,"")</f>
        <v/>
      </c>
      <c r="BD49" s="17">
        <f>IF(AND(BB49=1,G49&lt;=Config!$B$7),V49,"")</f>
        <v/>
      </c>
      <c r="BE49" s="17">
        <f>IF(AND(BB49=1,G49&lt;=Config!$B$8),V49,"")</f>
        <v/>
      </c>
      <c r="BF49" s="17">
        <f>IF(AND(BB49=1,G49&lt;=Config!$B$5),V49,"")</f>
        <v/>
      </c>
      <c r="BG49" s="17">
        <f>IF(BW49=1,IF(COUNTIFS($A$2:$A$201,$A49,$BW$2:$BW$201,1,$G$2:$G$201,"&lt;"&amp;G49)+COUNTIFS($A$2:$A$201,$A49,$BW$2:$BW$201,1,$G$2:$G$201,G49,$AT$2:$AT$201,"&lt;"&amp;AT49)=0,1,0),0)</f>
        <v/>
      </c>
      <c r="BH49" s="17">
        <f>IF(AND(AU49=1,ISNUMBER(K49)),1,0)</f>
        <v/>
      </c>
      <c r="BI49" s="17">
        <f>IF(BH49=1,IF(COUNTIFS($A$2:$A$201,$A49,$BH$2:$BH$201,1,$G$2:$G$201,"&lt;"&amp;G49)+COUNTIFS($A$2:$A$201,$A49,$BH$2:$BH$201,1,$G$2:$G$201,G49,$AT$2:$AT$201,"&lt;"&amp;AT49)=0,1,0),0)</f>
        <v/>
      </c>
      <c r="BJ49" s="17">
        <f>IF(AND(BI49=1,G49&lt;=Config!$B$5),K49,"")</f>
        <v/>
      </c>
      <c r="BK49" s="17">
        <f>IF(AND(AU49=1,OR(TRIM(U49)&lt;&gt;"",ISNUMBER(V49))),1,0)</f>
        <v/>
      </c>
      <c r="BL49" s="17">
        <f>IF(BK49=1,IF(COUNTIFS($A$2:$A$201,$A49,$BK$2:$BK$201,1,$G$2:$G$201,"&lt;"&amp;G49)+COUNTIFS($A$2:$A$201,$A49,$BK$2:$BK$201,1,$G$2:$G$201,G49,$AT$2:$AT$201,"&lt;"&amp;AT49)=0,1,0),0)</f>
        <v/>
      </c>
      <c r="BM49" s="17">
        <f>IF(BL49=1,$A49,"")</f>
        <v/>
      </c>
      <c r="BN49" s="17">
        <f>IF(AND(AU49=1,T49="Y",TRIM(U49)=""),1,0)</f>
        <v/>
      </c>
      <c r="BO49" s="17">
        <f>IF(AU49=1,AJ49&amp;"","")</f>
        <v/>
      </c>
      <c r="BP49" s="17">
        <f>IF(AU49=1,AK49&amp;"","")</f>
        <v/>
      </c>
      <c r="BQ49" s="17">
        <f>IF(AU49=1,AL49&amp;"","")</f>
        <v/>
      </c>
      <c r="BR49" s="17">
        <f>IF(AND(AU49=1,ISNUMBER(AP49),G49&lt;=Config!$B$5),AP49,"")</f>
        <v/>
      </c>
      <c r="BS49" s="17">
        <f>IF(AU49=1,IF(COUNTIFS($A$2:$A$201,$A49,$AN$2:$AN$201,"Y",$AU$2:$AU$201,1)&gt;0,"Y","N"),"")</f>
        <v/>
      </c>
      <c r="BT49" s="17">
        <f>IF(AND(AU49=1,AN49="maybe"),1,0)</f>
        <v/>
      </c>
      <c r="BU49" s="17">
        <f>IF(BT49=1,IF(COUNTIFS($A$2:$A$201,$A49,$BT$2:$BT$201,1,$G$2:$G$201,"&lt;"&amp;G49)+COUNTIFS($A$2:$A$201,$A49,$BT$2:$BT$201,1,$G$2:$G$201,G49,$AT$2:$AT$201,"&lt;"&amp;AT49)=0,1,0),0)</f>
        <v/>
      </c>
      <c r="BV49" s="17">
        <f>IF(AND(AU49=1,AN49="Y"),IF(COUNTIFS($A$2:$A$201,$A49,$AN$2:$AN$201,"Y",$AU$2:$AU$201,1,$G$2:$G$201,"&lt;"&amp;G49)+COUNTIFS($A$2:$A$201,$A49,$AN$2:$AN$201,"Y",$AU$2:$AU$201,1,$G$2:$G$201,G49,$AT$2:$AT$201,"&lt;"&amp;AT49)=0,1,0),0)</f>
        <v/>
      </c>
      <c r="BW49" s="17">
        <f>IF(AND(BA49=1,N(V49)&gt;=Config!$B$15),1,0)</f>
        <v/>
      </c>
      <c r="BX49" s="17">
        <f>IF(AU49=1,IFERROR(MATCH($A49,INDEX(Clay_Offices!$A$2:$FZ$601,0,Sync!$C$5),0),""),"")</f>
        <v/>
      </c>
      <c r="BY49" s="17">
        <f>IF(BX49="","",IFERROR(INDEX(Clay_Offices!$A$2:$FZ$601,BX49,Sync!$C$7)&amp;"",""))</f>
        <v/>
      </c>
      <c r="BZ49" s="17">
        <f>IF(BY49="","",IFERROR(INDEX(Lists!$J$2:$J$15,MATCH(BY49,Lists!$I$2:$I$15,0)),""))</f>
        <v/>
      </c>
      <c r="CA49" s="17">
        <f>IF(BX49="","",IFERROR(INDEX(Clay_Offices!$A$2:$FZ$601,BX49,Sync!$C$17)&amp;"",""))</f>
        <v/>
      </c>
      <c r="CB49" s="23">
        <f>IF(BX49="","",IFERROR(N(INDEX(Clay_Offices!$A$2:$FZ$601,BX49,Sync!$C$16)),0))</f>
        <v/>
      </c>
    </row>
    <row r="50">
      <c r="G50" s="22" t="n"/>
      <c r="AS50" s="17">
        <f>IF(TRIM($A50)="","",IF(AND(LEFT($A50,6)="SAMPLE",Config!$B$19&lt;&gt;"Y"),"",IF(NOT(ISNUMBER(G50)),"call_date is blank or not a date",IF(Sync!$C$5="","Clay paste is empty or has no row_id column: paste the Clay export on Clay_Offices",IF(BX50="","row_id not found in the Clay paste: add the Clay row or fix the row_id",IF(AND(ISNUMBER(BZ50),BZ50&gt;=1,BZ50&lt;=5),"Clay status is "&amp;BY50&amp;": set call_done or later",IF(AND(AW50=1,CA50&lt;&gt;BS50),"Clay yes_in_principle should be "&amp;BS50,IF(AND(AW50=1,CB50&lt;&gt;G50),"Clay call_date should be "&amp;TEXT(G50,"yyyy-mm-dd"),""))))))))</f>
        <v/>
      </c>
      <c r="AT50" s="17">
        <f>ROW()</f>
        <v/>
      </c>
      <c r="AU50" s="17">
        <f>IF(AND(TRIM($A50)&lt;&gt;"",ISNUMBER(G50)),IF(AND(LEFT($A50,6)="SAMPLE",Config!$B$19&lt;&gt;"Y"),0,1),0)</f>
        <v/>
      </c>
      <c r="AV50" s="17">
        <f>IF(AU50=1,IF(COUNTIFS($A$2:$A$201,$A50,$AU$2:$AU$201,1,$G$2:$G$201,"&lt;"&amp;G50)+COUNTIFS($A$2:$A$201,$A50,$AU$2:$AU$201,1,$G$2:$G$201,G50,$AT$2:$AT$201,"&lt;"&amp;AT50)=0,1,0),0)</f>
        <v/>
      </c>
      <c r="AW50" s="17">
        <f>IF(AU50=1,IF(COUNTIFS($A$2:$A$201,$A50,$AU$2:$AU$201,1,$G$2:$G$201,"&gt;"&amp;G50)+COUNTIFS($A$2:$A$201,$A50,$AU$2:$AU$201,1,$G$2:$G$201,G50,$AT$2:$AT$201,"&gt;"&amp;AT50)=0,1,0),0)</f>
        <v/>
      </c>
      <c r="AX50" s="17">
        <f>IF(AND(AU50=1,AN50="Y",Z50="Y",TRIM(AD50)&lt;&gt;""),1,0)</f>
        <v/>
      </c>
      <c r="AY50" s="17">
        <f>IF(AX50=1,IF(COUNTIFS($A$2:$A$201,$A50,$AX$2:$AX$201,1,$G$2:$G$201,"&lt;"&amp;G50)+COUNTIFS($A$2:$A$201,$A50,$AX$2:$AX$201,1,$G$2:$G$201,G50,$AT$2:$AT$201,"&lt;"&amp;AT50)=0,1,0),0)</f>
        <v/>
      </c>
      <c r="AZ50" s="17">
        <f>IF(AND(AU50=1,AN50="Y",AX50=0),1,0)</f>
        <v/>
      </c>
      <c r="BA50" s="17">
        <f>IF(AND(AU50=1,ISNUMBER(V50)),1,0)</f>
        <v/>
      </c>
      <c r="BB50" s="17">
        <f>IF(BA50=1,IF(COUNTIFS($A$2:$A$201,$A50,$BA$2:$BA$201,1,$G$2:$G$201,"&lt;"&amp;G50)+COUNTIFS($A$2:$A$201,$A50,$BA$2:$BA$201,1,$G$2:$G$201,G50,$AT$2:$AT$201,"&lt;"&amp;AT50)=0,1,0),0)</f>
        <v/>
      </c>
      <c r="BC50" s="17">
        <f>IF(AND(BB50=1,G50&lt;=Config!$B$6),V50,"")</f>
        <v/>
      </c>
      <c r="BD50" s="17">
        <f>IF(AND(BB50=1,G50&lt;=Config!$B$7),V50,"")</f>
        <v/>
      </c>
      <c r="BE50" s="17">
        <f>IF(AND(BB50=1,G50&lt;=Config!$B$8),V50,"")</f>
        <v/>
      </c>
      <c r="BF50" s="17">
        <f>IF(AND(BB50=1,G50&lt;=Config!$B$5),V50,"")</f>
        <v/>
      </c>
      <c r="BG50" s="17">
        <f>IF(BW50=1,IF(COUNTIFS($A$2:$A$201,$A50,$BW$2:$BW$201,1,$G$2:$G$201,"&lt;"&amp;G50)+COUNTIFS($A$2:$A$201,$A50,$BW$2:$BW$201,1,$G$2:$G$201,G50,$AT$2:$AT$201,"&lt;"&amp;AT50)=0,1,0),0)</f>
        <v/>
      </c>
      <c r="BH50" s="17">
        <f>IF(AND(AU50=1,ISNUMBER(K50)),1,0)</f>
        <v/>
      </c>
      <c r="BI50" s="17">
        <f>IF(BH50=1,IF(COUNTIFS($A$2:$A$201,$A50,$BH$2:$BH$201,1,$G$2:$G$201,"&lt;"&amp;G50)+COUNTIFS($A$2:$A$201,$A50,$BH$2:$BH$201,1,$G$2:$G$201,G50,$AT$2:$AT$201,"&lt;"&amp;AT50)=0,1,0),0)</f>
        <v/>
      </c>
      <c r="BJ50" s="17">
        <f>IF(AND(BI50=1,G50&lt;=Config!$B$5),K50,"")</f>
        <v/>
      </c>
      <c r="BK50" s="17">
        <f>IF(AND(AU50=1,OR(TRIM(U50)&lt;&gt;"",ISNUMBER(V50))),1,0)</f>
        <v/>
      </c>
      <c r="BL50" s="17">
        <f>IF(BK50=1,IF(COUNTIFS($A$2:$A$201,$A50,$BK$2:$BK$201,1,$G$2:$G$201,"&lt;"&amp;G50)+COUNTIFS($A$2:$A$201,$A50,$BK$2:$BK$201,1,$G$2:$G$201,G50,$AT$2:$AT$201,"&lt;"&amp;AT50)=0,1,0),0)</f>
        <v/>
      </c>
      <c r="BM50" s="17">
        <f>IF(BL50=1,$A50,"")</f>
        <v/>
      </c>
      <c r="BN50" s="17">
        <f>IF(AND(AU50=1,T50="Y",TRIM(U50)=""),1,0)</f>
        <v/>
      </c>
      <c r="BO50" s="17">
        <f>IF(AU50=1,AJ50&amp;"","")</f>
        <v/>
      </c>
      <c r="BP50" s="17">
        <f>IF(AU50=1,AK50&amp;"","")</f>
        <v/>
      </c>
      <c r="BQ50" s="17">
        <f>IF(AU50=1,AL50&amp;"","")</f>
        <v/>
      </c>
      <c r="BR50" s="17">
        <f>IF(AND(AU50=1,ISNUMBER(AP50),G50&lt;=Config!$B$5),AP50,"")</f>
        <v/>
      </c>
      <c r="BS50" s="17">
        <f>IF(AU50=1,IF(COUNTIFS($A$2:$A$201,$A50,$AN$2:$AN$201,"Y",$AU$2:$AU$201,1)&gt;0,"Y","N"),"")</f>
        <v/>
      </c>
      <c r="BT50" s="17">
        <f>IF(AND(AU50=1,AN50="maybe"),1,0)</f>
        <v/>
      </c>
      <c r="BU50" s="17">
        <f>IF(BT50=1,IF(COUNTIFS($A$2:$A$201,$A50,$BT$2:$BT$201,1,$G$2:$G$201,"&lt;"&amp;G50)+COUNTIFS($A$2:$A$201,$A50,$BT$2:$BT$201,1,$G$2:$G$201,G50,$AT$2:$AT$201,"&lt;"&amp;AT50)=0,1,0),0)</f>
        <v/>
      </c>
      <c r="BV50" s="17">
        <f>IF(AND(AU50=1,AN50="Y"),IF(COUNTIFS($A$2:$A$201,$A50,$AN$2:$AN$201,"Y",$AU$2:$AU$201,1,$G$2:$G$201,"&lt;"&amp;G50)+COUNTIFS($A$2:$A$201,$A50,$AN$2:$AN$201,"Y",$AU$2:$AU$201,1,$G$2:$G$201,G50,$AT$2:$AT$201,"&lt;"&amp;AT50)=0,1,0),0)</f>
        <v/>
      </c>
      <c r="BW50" s="17">
        <f>IF(AND(BA50=1,N(V50)&gt;=Config!$B$15),1,0)</f>
        <v/>
      </c>
      <c r="BX50" s="17">
        <f>IF(AU50=1,IFERROR(MATCH($A50,INDEX(Clay_Offices!$A$2:$FZ$601,0,Sync!$C$5),0),""),"")</f>
        <v/>
      </c>
      <c r="BY50" s="17">
        <f>IF(BX50="","",IFERROR(INDEX(Clay_Offices!$A$2:$FZ$601,BX50,Sync!$C$7)&amp;"",""))</f>
        <v/>
      </c>
      <c r="BZ50" s="17">
        <f>IF(BY50="","",IFERROR(INDEX(Lists!$J$2:$J$15,MATCH(BY50,Lists!$I$2:$I$15,0)),""))</f>
        <v/>
      </c>
      <c r="CA50" s="17">
        <f>IF(BX50="","",IFERROR(INDEX(Clay_Offices!$A$2:$FZ$601,BX50,Sync!$C$17)&amp;"",""))</f>
        <v/>
      </c>
      <c r="CB50" s="23">
        <f>IF(BX50="","",IFERROR(N(INDEX(Clay_Offices!$A$2:$FZ$601,BX50,Sync!$C$16)),0))</f>
        <v/>
      </c>
    </row>
    <row r="51">
      <c r="G51" s="22" t="n"/>
      <c r="AS51" s="17">
        <f>IF(TRIM($A51)="","",IF(AND(LEFT($A51,6)="SAMPLE",Config!$B$19&lt;&gt;"Y"),"",IF(NOT(ISNUMBER(G51)),"call_date is blank or not a date",IF(Sync!$C$5="","Clay paste is empty or has no row_id column: paste the Clay export on Clay_Offices",IF(BX51="","row_id not found in the Clay paste: add the Clay row or fix the row_id",IF(AND(ISNUMBER(BZ51),BZ51&gt;=1,BZ51&lt;=5),"Clay status is "&amp;BY51&amp;": set call_done or later",IF(AND(AW51=1,CA51&lt;&gt;BS51),"Clay yes_in_principle should be "&amp;BS51,IF(AND(AW51=1,CB51&lt;&gt;G51),"Clay call_date should be "&amp;TEXT(G51,"yyyy-mm-dd"),""))))))))</f>
        <v/>
      </c>
      <c r="AT51" s="17">
        <f>ROW()</f>
        <v/>
      </c>
      <c r="AU51" s="17">
        <f>IF(AND(TRIM($A51)&lt;&gt;"",ISNUMBER(G51)),IF(AND(LEFT($A51,6)="SAMPLE",Config!$B$19&lt;&gt;"Y"),0,1),0)</f>
        <v/>
      </c>
      <c r="AV51" s="17">
        <f>IF(AU51=1,IF(COUNTIFS($A$2:$A$201,$A51,$AU$2:$AU$201,1,$G$2:$G$201,"&lt;"&amp;G51)+COUNTIFS($A$2:$A$201,$A51,$AU$2:$AU$201,1,$G$2:$G$201,G51,$AT$2:$AT$201,"&lt;"&amp;AT51)=0,1,0),0)</f>
        <v/>
      </c>
      <c r="AW51" s="17">
        <f>IF(AU51=1,IF(COUNTIFS($A$2:$A$201,$A51,$AU$2:$AU$201,1,$G$2:$G$201,"&gt;"&amp;G51)+COUNTIFS($A$2:$A$201,$A51,$AU$2:$AU$201,1,$G$2:$G$201,G51,$AT$2:$AT$201,"&gt;"&amp;AT51)=0,1,0),0)</f>
        <v/>
      </c>
      <c r="AX51" s="17">
        <f>IF(AND(AU51=1,AN51="Y",Z51="Y",TRIM(AD51)&lt;&gt;""),1,0)</f>
        <v/>
      </c>
      <c r="AY51" s="17">
        <f>IF(AX51=1,IF(COUNTIFS($A$2:$A$201,$A51,$AX$2:$AX$201,1,$G$2:$G$201,"&lt;"&amp;G51)+COUNTIFS($A$2:$A$201,$A51,$AX$2:$AX$201,1,$G$2:$G$201,G51,$AT$2:$AT$201,"&lt;"&amp;AT51)=0,1,0),0)</f>
        <v/>
      </c>
      <c r="AZ51" s="17">
        <f>IF(AND(AU51=1,AN51="Y",AX51=0),1,0)</f>
        <v/>
      </c>
      <c r="BA51" s="17">
        <f>IF(AND(AU51=1,ISNUMBER(V51)),1,0)</f>
        <v/>
      </c>
      <c r="BB51" s="17">
        <f>IF(BA51=1,IF(COUNTIFS($A$2:$A$201,$A51,$BA$2:$BA$201,1,$G$2:$G$201,"&lt;"&amp;G51)+COUNTIFS($A$2:$A$201,$A51,$BA$2:$BA$201,1,$G$2:$G$201,G51,$AT$2:$AT$201,"&lt;"&amp;AT51)=0,1,0),0)</f>
        <v/>
      </c>
      <c r="BC51" s="17">
        <f>IF(AND(BB51=1,G51&lt;=Config!$B$6),V51,"")</f>
        <v/>
      </c>
      <c r="BD51" s="17">
        <f>IF(AND(BB51=1,G51&lt;=Config!$B$7),V51,"")</f>
        <v/>
      </c>
      <c r="BE51" s="17">
        <f>IF(AND(BB51=1,G51&lt;=Config!$B$8),V51,"")</f>
        <v/>
      </c>
      <c r="BF51" s="17">
        <f>IF(AND(BB51=1,G51&lt;=Config!$B$5),V51,"")</f>
        <v/>
      </c>
      <c r="BG51" s="17">
        <f>IF(BW51=1,IF(COUNTIFS($A$2:$A$201,$A51,$BW$2:$BW$201,1,$G$2:$G$201,"&lt;"&amp;G51)+COUNTIFS($A$2:$A$201,$A51,$BW$2:$BW$201,1,$G$2:$G$201,G51,$AT$2:$AT$201,"&lt;"&amp;AT51)=0,1,0),0)</f>
        <v/>
      </c>
      <c r="BH51" s="17">
        <f>IF(AND(AU51=1,ISNUMBER(K51)),1,0)</f>
        <v/>
      </c>
      <c r="BI51" s="17">
        <f>IF(BH51=1,IF(COUNTIFS($A$2:$A$201,$A51,$BH$2:$BH$201,1,$G$2:$G$201,"&lt;"&amp;G51)+COUNTIFS($A$2:$A$201,$A51,$BH$2:$BH$201,1,$G$2:$G$201,G51,$AT$2:$AT$201,"&lt;"&amp;AT51)=0,1,0),0)</f>
        <v/>
      </c>
      <c r="BJ51" s="17">
        <f>IF(AND(BI51=1,G51&lt;=Config!$B$5),K51,"")</f>
        <v/>
      </c>
      <c r="BK51" s="17">
        <f>IF(AND(AU51=1,OR(TRIM(U51)&lt;&gt;"",ISNUMBER(V51))),1,0)</f>
        <v/>
      </c>
      <c r="BL51" s="17">
        <f>IF(BK51=1,IF(COUNTIFS($A$2:$A$201,$A51,$BK$2:$BK$201,1,$G$2:$G$201,"&lt;"&amp;G51)+COUNTIFS($A$2:$A$201,$A51,$BK$2:$BK$201,1,$G$2:$G$201,G51,$AT$2:$AT$201,"&lt;"&amp;AT51)=0,1,0),0)</f>
        <v/>
      </c>
      <c r="BM51" s="17">
        <f>IF(BL51=1,$A51,"")</f>
        <v/>
      </c>
      <c r="BN51" s="17">
        <f>IF(AND(AU51=1,T51="Y",TRIM(U51)=""),1,0)</f>
        <v/>
      </c>
      <c r="BO51" s="17">
        <f>IF(AU51=1,AJ51&amp;"","")</f>
        <v/>
      </c>
      <c r="BP51" s="17">
        <f>IF(AU51=1,AK51&amp;"","")</f>
        <v/>
      </c>
      <c r="BQ51" s="17">
        <f>IF(AU51=1,AL51&amp;"","")</f>
        <v/>
      </c>
      <c r="BR51" s="17">
        <f>IF(AND(AU51=1,ISNUMBER(AP51),G51&lt;=Config!$B$5),AP51,"")</f>
        <v/>
      </c>
      <c r="BS51" s="17">
        <f>IF(AU51=1,IF(COUNTIFS($A$2:$A$201,$A51,$AN$2:$AN$201,"Y",$AU$2:$AU$201,1)&gt;0,"Y","N"),"")</f>
        <v/>
      </c>
      <c r="BT51" s="17">
        <f>IF(AND(AU51=1,AN51="maybe"),1,0)</f>
        <v/>
      </c>
      <c r="BU51" s="17">
        <f>IF(BT51=1,IF(COUNTIFS($A$2:$A$201,$A51,$BT$2:$BT$201,1,$G$2:$G$201,"&lt;"&amp;G51)+COUNTIFS($A$2:$A$201,$A51,$BT$2:$BT$201,1,$G$2:$G$201,G51,$AT$2:$AT$201,"&lt;"&amp;AT51)=0,1,0),0)</f>
        <v/>
      </c>
      <c r="BV51" s="17">
        <f>IF(AND(AU51=1,AN51="Y"),IF(COUNTIFS($A$2:$A$201,$A51,$AN$2:$AN$201,"Y",$AU$2:$AU$201,1,$G$2:$G$201,"&lt;"&amp;G51)+COUNTIFS($A$2:$A$201,$A51,$AN$2:$AN$201,"Y",$AU$2:$AU$201,1,$G$2:$G$201,G51,$AT$2:$AT$201,"&lt;"&amp;AT51)=0,1,0),0)</f>
        <v/>
      </c>
      <c r="BW51" s="17">
        <f>IF(AND(BA51=1,N(V51)&gt;=Config!$B$15),1,0)</f>
        <v/>
      </c>
      <c r="BX51" s="17">
        <f>IF(AU51=1,IFERROR(MATCH($A51,INDEX(Clay_Offices!$A$2:$FZ$601,0,Sync!$C$5),0),""),"")</f>
        <v/>
      </c>
      <c r="BY51" s="17">
        <f>IF(BX51="","",IFERROR(INDEX(Clay_Offices!$A$2:$FZ$601,BX51,Sync!$C$7)&amp;"",""))</f>
        <v/>
      </c>
      <c r="BZ51" s="17">
        <f>IF(BY51="","",IFERROR(INDEX(Lists!$J$2:$J$15,MATCH(BY51,Lists!$I$2:$I$15,0)),""))</f>
        <v/>
      </c>
      <c r="CA51" s="17">
        <f>IF(BX51="","",IFERROR(INDEX(Clay_Offices!$A$2:$FZ$601,BX51,Sync!$C$17)&amp;"",""))</f>
        <v/>
      </c>
      <c r="CB51" s="23">
        <f>IF(BX51="","",IFERROR(N(INDEX(Clay_Offices!$A$2:$FZ$601,BX51,Sync!$C$16)),0))</f>
        <v/>
      </c>
    </row>
    <row r="52">
      <c r="G52" s="22" t="n"/>
      <c r="AS52" s="17">
        <f>IF(TRIM($A52)="","",IF(AND(LEFT($A52,6)="SAMPLE",Config!$B$19&lt;&gt;"Y"),"",IF(NOT(ISNUMBER(G52)),"call_date is blank or not a date",IF(Sync!$C$5="","Clay paste is empty or has no row_id column: paste the Clay export on Clay_Offices",IF(BX52="","row_id not found in the Clay paste: add the Clay row or fix the row_id",IF(AND(ISNUMBER(BZ52),BZ52&gt;=1,BZ52&lt;=5),"Clay status is "&amp;BY52&amp;": set call_done or later",IF(AND(AW52=1,CA52&lt;&gt;BS52),"Clay yes_in_principle should be "&amp;BS52,IF(AND(AW52=1,CB52&lt;&gt;G52),"Clay call_date should be "&amp;TEXT(G52,"yyyy-mm-dd"),""))))))))</f>
        <v/>
      </c>
      <c r="AT52" s="17">
        <f>ROW()</f>
        <v/>
      </c>
      <c r="AU52" s="17">
        <f>IF(AND(TRIM($A52)&lt;&gt;"",ISNUMBER(G52)),IF(AND(LEFT($A52,6)="SAMPLE",Config!$B$19&lt;&gt;"Y"),0,1),0)</f>
        <v/>
      </c>
      <c r="AV52" s="17">
        <f>IF(AU52=1,IF(COUNTIFS($A$2:$A$201,$A52,$AU$2:$AU$201,1,$G$2:$G$201,"&lt;"&amp;G52)+COUNTIFS($A$2:$A$201,$A52,$AU$2:$AU$201,1,$G$2:$G$201,G52,$AT$2:$AT$201,"&lt;"&amp;AT52)=0,1,0),0)</f>
        <v/>
      </c>
      <c r="AW52" s="17">
        <f>IF(AU52=1,IF(COUNTIFS($A$2:$A$201,$A52,$AU$2:$AU$201,1,$G$2:$G$201,"&gt;"&amp;G52)+COUNTIFS($A$2:$A$201,$A52,$AU$2:$AU$201,1,$G$2:$G$201,G52,$AT$2:$AT$201,"&gt;"&amp;AT52)=0,1,0),0)</f>
        <v/>
      </c>
      <c r="AX52" s="17">
        <f>IF(AND(AU52=1,AN52="Y",Z52="Y",TRIM(AD52)&lt;&gt;""),1,0)</f>
        <v/>
      </c>
      <c r="AY52" s="17">
        <f>IF(AX52=1,IF(COUNTIFS($A$2:$A$201,$A52,$AX$2:$AX$201,1,$G$2:$G$201,"&lt;"&amp;G52)+COUNTIFS($A$2:$A$201,$A52,$AX$2:$AX$201,1,$G$2:$G$201,G52,$AT$2:$AT$201,"&lt;"&amp;AT52)=0,1,0),0)</f>
        <v/>
      </c>
      <c r="AZ52" s="17">
        <f>IF(AND(AU52=1,AN52="Y",AX52=0),1,0)</f>
        <v/>
      </c>
      <c r="BA52" s="17">
        <f>IF(AND(AU52=1,ISNUMBER(V52)),1,0)</f>
        <v/>
      </c>
      <c r="BB52" s="17">
        <f>IF(BA52=1,IF(COUNTIFS($A$2:$A$201,$A52,$BA$2:$BA$201,1,$G$2:$G$201,"&lt;"&amp;G52)+COUNTIFS($A$2:$A$201,$A52,$BA$2:$BA$201,1,$G$2:$G$201,G52,$AT$2:$AT$201,"&lt;"&amp;AT52)=0,1,0),0)</f>
        <v/>
      </c>
      <c r="BC52" s="17">
        <f>IF(AND(BB52=1,G52&lt;=Config!$B$6),V52,"")</f>
        <v/>
      </c>
      <c r="BD52" s="17">
        <f>IF(AND(BB52=1,G52&lt;=Config!$B$7),V52,"")</f>
        <v/>
      </c>
      <c r="BE52" s="17">
        <f>IF(AND(BB52=1,G52&lt;=Config!$B$8),V52,"")</f>
        <v/>
      </c>
      <c r="BF52" s="17">
        <f>IF(AND(BB52=1,G52&lt;=Config!$B$5),V52,"")</f>
        <v/>
      </c>
      <c r="BG52" s="17">
        <f>IF(BW52=1,IF(COUNTIFS($A$2:$A$201,$A52,$BW$2:$BW$201,1,$G$2:$G$201,"&lt;"&amp;G52)+COUNTIFS($A$2:$A$201,$A52,$BW$2:$BW$201,1,$G$2:$G$201,G52,$AT$2:$AT$201,"&lt;"&amp;AT52)=0,1,0),0)</f>
        <v/>
      </c>
      <c r="BH52" s="17">
        <f>IF(AND(AU52=1,ISNUMBER(K52)),1,0)</f>
        <v/>
      </c>
      <c r="BI52" s="17">
        <f>IF(BH52=1,IF(COUNTIFS($A$2:$A$201,$A52,$BH$2:$BH$201,1,$G$2:$G$201,"&lt;"&amp;G52)+COUNTIFS($A$2:$A$201,$A52,$BH$2:$BH$201,1,$G$2:$G$201,G52,$AT$2:$AT$201,"&lt;"&amp;AT52)=0,1,0),0)</f>
        <v/>
      </c>
      <c r="BJ52" s="17">
        <f>IF(AND(BI52=1,G52&lt;=Config!$B$5),K52,"")</f>
        <v/>
      </c>
      <c r="BK52" s="17">
        <f>IF(AND(AU52=1,OR(TRIM(U52)&lt;&gt;"",ISNUMBER(V52))),1,0)</f>
        <v/>
      </c>
      <c r="BL52" s="17">
        <f>IF(BK52=1,IF(COUNTIFS($A$2:$A$201,$A52,$BK$2:$BK$201,1,$G$2:$G$201,"&lt;"&amp;G52)+COUNTIFS($A$2:$A$201,$A52,$BK$2:$BK$201,1,$G$2:$G$201,G52,$AT$2:$AT$201,"&lt;"&amp;AT52)=0,1,0),0)</f>
        <v/>
      </c>
      <c r="BM52" s="17">
        <f>IF(BL52=1,$A52,"")</f>
        <v/>
      </c>
      <c r="BN52" s="17">
        <f>IF(AND(AU52=1,T52="Y",TRIM(U52)=""),1,0)</f>
        <v/>
      </c>
      <c r="BO52" s="17">
        <f>IF(AU52=1,AJ52&amp;"","")</f>
        <v/>
      </c>
      <c r="BP52" s="17">
        <f>IF(AU52=1,AK52&amp;"","")</f>
        <v/>
      </c>
      <c r="BQ52" s="17">
        <f>IF(AU52=1,AL52&amp;"","")</f>
        <v/>
      </c>
      <c r="BR52" s="17">
        <f>IF(AND(AU52=1,ISNUMBER(AP52),G52&lt;=Config!$B$5),AP52,"")</f>
        <v/>
      </c>
      <c r="BS52" s="17">
        <f>IF(AU52=1,IF(COUNTIFS($A$2:$A$201,$A52,$AN$2:$AN$201,"Y",$AU$2:$AU$201,1)&gt;0,"Y","N"),"")</f>
        <v/>
      </c>
      <c r="BT52" s="17">
        <f>IF(AND(AU52=1,AN52="maybe"),1,0)</f>
        <v/>
      </c>
      <c r="BU52" s="17">
        <f>IF(BT52=1,IF(COUNTIFS($A$2:$A$201,$A52,$BT$2:$BT$201,1,$G$2:$G$201,"&lt;"&amp;G52)+COUNTIFS($A$2:$A$201,$A52,$BT$2:$BT$201,1,$G$2:$G$201,G52,$AT$2:$AT$201,"&lt;"&amp;AT52)=0,1,0),0)</f>
        <v/>
      </c>
      <c r="BV52" s="17">
        <f>IF(AND(AU52=1,AN52="Y"),IF(COUNTIFS($A$2:$A$201,$A52,$AN$2:$AN$201,"Y",$AU$2:$AU$201,1,$G$2:$G$201,"&lt;"&amp;G52)+COUNTIFS($A$2:$A$201,$A52,$AN$2:$AN$201,"Y",$AU$2:$AU$201,1,$G$2:$G$201,G52,$AT$2:$AT$201,"&lt;"&amp;AT52)=0,1,0),0)</f>
        <v/>
      </c>
      <c r="BW52" s="17">
        <f>IF(AND(BA52=1,N(V52)&gt;=Config!$B$15),1,0)</f>
        <v/>
      </c>
      <c r="BX52" s="17">
        <f>IF(AU52=1,IFERROR(MATCH($A52,INDEX(Clay_Offices!$A$2:$FZ$601,0,Sync!$C$5),0),""),"")</f>
        <v/>
      </c>
      <c r="BY52" s="17">
        <f>IF(BX52="","",IFERROR(INDEX(Clay_Offices!$A$2:$FZ$601,BX52,Sync!$C$7)&amp;"",""))</f>
        <v/>
      </c>
      <c r="BZ52" s="17">
        <f>IF(BY52="","",IFERROR(INDEX(Lists!$J$2:$J$15,MATCH(BY52,Lists!$I$2:$I$15,0)),""))</f>
        <v/>
      </c>
      <c r="CA52" s="17">
        <f>IF(BX52="","",IFERROR(INDEX(Clay_Offices!$A$2:$FZ$601,BX52,Sync!$C$17)&amp;"",""))</f>
        <v/>
      </c>
      <c r="CB52" s="23">
        <f>IF(BX52="","",IFERROR(N(INDEX(Clay_Offices!$A$2:$FZ$601,BX52,Sync!$C$16)),0))</f>
        <v/>
      </c>
    </row>
    <row r="53">
      <c r="G53" s="22" t="n"/>
      <c r="AS53" s="17">
        <f>IF(TRIM($A53)="","",IF(AND(LEFT($A53,6)="SAMPLE",Config!$B$19&lt;&gt;"Y"),"",IF(NOT(ISNUMBER(G53)),"call_date is blank or not a date",IF(Sync!$C$5="","Clay paste is empty or has no row_id column: paste the Clay export on Clay_Offices",IF(BX53="","row_id not found in the Clay paste: add the Clay row or fix the row_id",IF(AND(ISNUMBER(BZ53),BZ53&gt;=1,BZ53&lt;=5),"Clay status is "&amp;BY53&amp;": set call_done or later",IF(AND(AW53=1,CA53&lt;&gt;BS53),"Clay yes_in_principle should be "&amp;BS53,IF(AND(AW53=1,CB53&lt;&gt;G53),"Clay call_date should be "&amp;TEXT(G53,"yyyy-mm-dd"),""))))))))</f>
        <v/>
      </c>
      <c r="AT53" s="17">
        <f>ROW()</f>
        <v/>
      </c>
      <c r="AU53" s="17">
        <f>IF(AND(TRIM($A53)&lt;&gt;"",ISNUMBER(G53)),IF(AND(LEFT($A53,6)="SAMPLE",Config!$B$19&lt;&gt;"Y"),0,1),0)</f>
        <v/>
      </c>
      <c r="AV53" s="17">
        <f>IF(AU53=1,IF(COUNTIFS($A$2:$A$201,$A53,$AU$2:$AU$201,1,$G$2:$G$201,"&lt;"&amp;G53)+COUNTIFS($A$2:$A$201,$A53,$AU$2:$AU$201,1,$G$2:$G$201,G53,$AT$2:$AT$201,"&lt;"&amp;AT53)=0,1,0),0)</f>
        <v/>
      </c>
      <c r="AW53" s="17">
        <f>IF(AU53=1,IF(COUNTIFS($A$2:$A$201,$A53,$AU$2:$AU$201,1,$G$2:$G$201,"&gt;"&amp;G53)+COUNTIFS($A$2:$A$201,$A53,$AU$2:$AU$201,1,$G$2:$G$201,G53,$AT$2:$AT$201,"&gt;"&amp;AT53)=0,1,0),0)</f>
        <v/>
      </c>
      <c r="AX53" s="17">
        <f>IF(AND(AU53=1,AN53="Y",Z53="Y",TRIM(AD53)&lt;&gt;""),1,0)</f>
        <v/>
      </c>
      <c r="AY53" s="17">
        <f>IF(AX53=1,IF(COUNTIFS($A$2:$A$201,$A53,$AX$2:$AX$201,1,$G$2:$G$201,"&lt;"&amp;G53)+COUNTIFS($A$2:$A$201,$A53,$AX$2:$AX$201,1,$G$2:$G$201,G53,$AT$2:$AT$201,"&lt;"&amp;AT53)=0,1,0),0)</f>
        <v/>
      </c>
      <c r="AZ53" s="17">
        <f>IF(AND(AU53=1,AN53="Y",AX53=0),1,0)</f>
        <v/>
      </c>
      <c r="BA53" s="17">
        <f>IF(AND(AU53=1,ISNUMBER(V53)),1,0)</f>
        <v/>
      </c>
      <c r="BB53" s="17">
        <f>IF(BA53=1,IF(COUNTIFS($A$2:$A$201,$A53,$BA$2:$BA$201,1,$G$2:$G$201,"&lt;"&amp;G53)+COUNTIFS($A$2:$A$201,$A53,$BA$2:$BA$201,1,$G$2:$G$201,G53,$AT$2:$AT$201,"&lt;"&amp;AT53)=0,1,0),0)</f>
        <v/>
      </c>
      <c r="BC53" s="17">
        <f>IF(AND(BB53=1,G53&lt;=Config!$B$6),V53,"")</f>
        <v/>
      </c>
      <c r="BD53" s="17">
        <f>IF(AND(BB53=1,G53&lt;=Config!$B$7),V53,"")</f>
        <v/>
      </c>
      <c r="BE53" s="17">
        <f>IF(AND(BB53=1,G53&lt;=Config!$B$8),V53,"")</f>
        <v/>
      </c>
      <c r="BF53" s="17">
        <f>IF(AND(BB53=1,G53&lt;=Config!$B$5),V53,"")</f>
        <v/>
      </c>
      <c r="BG53" s="17">
        <f>IF(BW53=1,IF(COUNTIFS($A$2:$A$201,$A53,$BW$2:$BW$201,1,$G$2:$G$201,"&lt;"&amp;G53)+COUNTIFS($A$2:$A$201,$A53,$BW$2:$BW$201,1,$G$2:$G$201,G53,$AT$2:$AT$201,"&lt;"&amp;AT53)=0,1,0),0)</f>
        <v/>
      </c>
      <c r="BH53" s="17">
        <f>IF(AND(AU53=1,ISNUMBER(K53)),1,0)</f>
        <v/>
      </c>
      <c r="BI53" s="17">
        <f>IF(BH53=1,IF(COUNTIFS($A$2:$A$201,$A53,$BH$2:$BH$201,1,$G$2:$G$201,"&lt;"&amp;G53)+COUNTIFS($A$2:$A$201,$A53,$BH$2:$BH$201,1,$G$2:$G$201,G53,$AT$2:$AT$201,"&lt;"&amp;AT53)=0,1,0),0)</f>
        <v/>
      </c>
      <c r="BJ53" s="17">
        <f>IF(AND(BI53=1,G53&lt;=Config!$B$5),K53,"")</f>
        <v/>
      </c>
      <c r="BK53" s="17">
        <f>IF(AND(AU53=1,OR(TRIM(U53)&lt;&gt;"",ISNUMBER(V53))),1,0)</f>
        <v/>
      </c>
      <c r="BL53" s="17">
        <f>IF(BK53=1,IF(COUNTIFS($A$2:$A$201,$A53,$BK$2:$BK$201,1,$G$2:$G$201,"&lt;"&amp;G53)+COUNTIFS($A$2:$A$201,$A53,$BK$2:$BK$201,1,$G$2:$G$201,G53,$AT$2:$AT$201,"&lt;"&amp;AT53)=0,1,0),0)</f>
        <v/>
      </c>
      <c r="BM53" s="17">
        <f>IF(BL53=1,$A53,"")</f>
        <v/>
      </c>
      <c r="BN53" s="17">
        <f>IF(AND(AU53=1,T53="Y",TRIM(U53)=""),1,0)</f>
        <v/>
      </c>
      <c r="BO53" s="17">
        <f>IF(AU53=1,AJ53&amp;"","")</f>
        <v/>
      </c>
      <c r="BP53" s="17">
        <f>IF(AU53=1,AK53&amp;"","")</f>
        <v/>
      </c>
      <c r="BQ53" s="17">
        <f>IF(AU53=1,AL53&amp;"","")</f>
        <v/>
      </c>
      <c r="BR53" s="17">
        <f>IF(AND(AU53=1,ISNUMBER(AP53),G53&lt;=Config!$B$5),AP53,"")</f>
        <v/>
      </c>
      <c r="BS53" s="17">
        <f>IF(AU53=1,IF(COUNTIFS($A$2:$A$201,$A53,$AN$2:$AN$201,"Y",$AU$2:$AU$201,1)&gt;0,"Y","N"),"")</f>
        <v/>
      </c>
      <c r="BT53" s="17">
        <f>IF(AND(AU53=1,AN53="maybe"),1,0)</f>
        <v/>
      </c>
      <c r="BU53" s="17">
        <f>IF(BT53=1,IF(COUNTIFS($A$2:$A$201,$A53,$BT$2:$BT$201,1,$G$2:$G$201,"&lt;"&amp;G53)+COUNTIFS($A$2:$A$201,$A53,$BT$2:$BT$201,1,$G$2:$G$201,G53,$AT$2:$AT$201,"&lt;"&amp;AT53)=0,1,0),0)</f>
        <v/>
      </c>
      <c r="BV53" s="17">
        <f>IF(AND(AU53=1,AN53="Y"),IF(COUNTIFS($A$2:$A$201,$A53,$AN$2:$AN$201,"Y",$AU$2:$AU$201,1,$G$2:$G$201,"&lt;"&amp;G53)+COUNTIFS($A$2:$A$201,$A53,$AN$2:$AN$201,"Y",$AU$2:$AU$201,1,$G$2:$G$201,G53,$AT$2:$AT$201,"&lt;"&amp;AT53)=0,1,0),0)</f>
        <v/>
      </c>
      <c r="BW53" s="17">
        <f>IF(AND(BA53=1,N(V53)&gt;=Config!$B$15),1,0)</f>
        <v/>
      </c>
      <c r="BX53" s="17">
        <f>IF(AU53=1,IFERROR(MATCH($A53,INDEX(Clay_Offices!$A$2:$FZ$601,0,Sync!$C$5),0),""),"")</f>
        <v/>
      </c>
      <c r="BY53" s="17">
        <f>IF(BX53="","",IFERROR(INDEX(Clay_Offices!$A$2:$FZ$601,BX53,Sync!$C$7)&amp;"",""))</f>
        <v/>
      </c>
      <c r="BZ53" s="17">
        <f>IF(BY53="","",IFERROR(INDEX(Lists!$J$2:$J$15,MATCH(BY53,Lists!$I$2:$I$15,0)),""))</f>
        <v/>
      </c>
      <c r="CA53" s="17">
        <f>IF(BX53="","",IFERROR(INDEX(Clay_Offices!$A$2:$FZ$601,BX53,Sync!$C$17)&amp;"",""))</f>
        <v/>
      </c>
      <c r="CB53" s="23">
        <f>IF(BX53="","",IFERROR(N(INDEX(Clay_Offices!$A$2:$FZ$601,BX53,Sync!$C$16)),0))</f>
        <v/>
      </c>
    </row>
    <row r="54">
      <c r="G54" s="22" t="n"/>
      <c r="AS54" s="17">
        <f>IF(TRIM($A54)="","",IF(AND(LEFT($A54,6)="SAMPLE",Config!$B$19&lt;&gt;"Y"),"",IF(NOT(ISNUMBER(G54)),"call_date is blank or not a date",IF(Sync!$C$5="","Clay paste is empty or has no row_id column: paste the Clay export on Clay_Offices",IF(BX54="","row_id not found in the Clay paste: add the Clay row or fix the row_id",IF(AND(ISNUMBER(BZ54),BZ54&gt;=1,BZ54&lt;=5),"Clay status is "&amp;BY54&amp;": set call_done or later",IF(AND(AW54=1,CA54&lt;&gt;BS54),"Clay yes_in_principle should be "&amp;BS54,IF(AND(AW54=1,CB54&lt;&gt;G54),"Clay call_date should be "&amp;TEXT(G54,"yyyy-mm-dd"),""))))))))</f>
        <v/>
      </c>
      <c r="AT54" s="17">
        <f>ROW()</f>
        <v/>
      </c>
      <c r="AU54" s="17">
        <f>IF(AND(TRIM($A54)&lt;&gt;"",ISNUMBER(G54)),IF(AND(LEFT($A54,6)="SAMPLE",Config!$B$19&lt;&gt;"Y"),0,1),0)</f>
        <v/>
      </c>
      <c r="AV54" s="17">
        <f>IF(AU54=1,IF(COUNTIFS($A$2:$A$201,$A54,$AU$2:$AU$201,1,$G$2:$G$201,"&lt;"&amp;G54)+COUNTIFS($A$2:$A$201,$A54,$AU$2:$AU$201,1,$G$2:$G$201,G54,$AT$2:$AT$201,"&lt;"&amp;AT54)=0,1,0),0)</f>
        <v/>
      </c>
      <c r="AW54" s="17">
        <f>IF(AU54=1,IF(COUNTIFS($A$2:$A$201,$A54,$AU$2:$AU$201,1,$G$2:$G$201,"&gt;"&amp;G54)+COUNTIFS($A$2:$A$201,$A54,$AU$2:$AU$201,1,$G$2:$G$201,G54,$AT$2:$AT$201,"&gt;"&amp;AT54)=0,1,0),0)</f>
        <v/>
      </c>
      <c r="AX54" s="17">
        <f>IF(AND(AU54=1,AN54="Y",Z54="Y",TRIM(AD54)&lt;&gt;""),1,0)</f>
        <v/>
      </c>
      <c r="AY54" s="17">
        <f>IF(AX54=1,IF(COUNTIFS($A$2:$A$201,$A54,$AX$2:$AX$201,1,$G$2:$G$201,"&lt;"&amp;G54)+COUNTIFS($A$2:$A$201,$A54,$AX$2:$AX$201,1,$G$2:$G$201,G54,$AT$2:$AT$201,"&lt;"&amp;AT54)=0,1,0),0)</f>
        <v/>
      </c>
      <c r="AZ54" s="17">
        <f>IF(AND(AU54=1,AN54="Y",AX54=0),1,0)</f>
        <v/>
      </c>
      <c r="BA54" s="17">
        <f>IF(AND(AU54=1,ISNUMBER(V54)),1,0)</f>
        <v/>
      </c>
      <c r="BB54" s="17">
        <f>IF(BA54=1,IF(COUNTIFS($A$2:$A$201,$A54,$BA$2:$BA$201,1,$G$2:$G$201,"&lt;"&amp;G54)+COUNTIFS($A$2:$A$201,$A54,$BA$2:$BA$201,1,$G$2:$G$201,G54,$AT$2:$AT$201,"&lt;"&amp;AT54)=0,1,0),0)</f>
        <v/>
      </c>
      <c r="BC54" s="17">
        <f>IF(AND(BB54=1,G54&lt;=Config!$B$6),V54,"")</f>
        <v/>
      </c>
      <c r="BD54" s="17">
        <f>IF(AND(BB54=1,G54&lt;=Config!$B$7),V54,"")</f>
        <v/>
      </c>
      <c r="BE54" s="17">
        <f>IF(AND(BB54=1,G54&lt;=Config!$B$8),V54,"")</f>
        <v/>
      </c>
      <c r="BF54" s="17">
        <f>IF(AND(BB54=1,G54&lt;=Config!$B$5),V54,"")</f>
        <v/>
      </c>
      <c r="BG54" s="17">
        <f>IF(BW54=1,IF(COUNTIFS($A$2:$A$201,$A54,$BW$2:$BW$201,1,$G$2:$G$201,"&lt;"&amp;G54)+COUNTIFS($A$2:$A$201,$A54,$BW$2:$BW$201,1,$G$2:$G$201,G54,$AT$2:$AT$201,"&lt;"&amp;AT54)=0,1,0),0)</f>
        <v/>
      </c>
      <c r="BH54" s="17">
        <f>IF(AND(AU54=1,ISNUMBER(K54)),1,0)</f>
        <v/>
      </c>
      <c r="BI54" s="17">
        <f>IF(BH54=1,IF(COUNTIFS($A$2:$A$201,$A54,$BH$2:$BH$201,1,$G$2:$G$201,"&lt;"&amp;G54)+COUNTIFS($A$2:$A$201,$A54,$BH$2:$BH$201,1,$G$2:$G$201,G54,$AT$2:$AT$201,"&lt;"&amp;AT54)=0,1,0),0)</f>
        <v/>
      </c>
      <c r="BJ54" s="17">
        <f>IF(AND(BI54=1,G54&lt;=Config!$B$5),K54,"")</f>
        <v/>
      </c>
      <c r="BK54" s="17">
        <f>IF(AND(AU54=1,OR(TRIM(U54)&lt;&gt;"",ISNUMBER(V54))),1,0)</f>
        <v/>
      </c>
      <c r="BL54" s="17">
        <f>IF(BK54=1,IF(COUNTIFS($A$2:$A$201,$A54,$BK$2:$BK$201,1,$G$2:$G$201,"&lt;"&amp;G54)+COUNTIFS($A$2:$A$201,$A54,$BK$2:$BK$201,1,$G$2:$G$201,G54,$AT$2:$AT$201,"&lt;"&amp;AT54)=0,1,0),0)</f>
        <v/>
      </c>
      <c r="BM54" s="17">
        <f>IF(BL54=1,$A54,"")</f>
        <v/>
      </c>
      <c r="BN54" s="17">
        <f>IF(AND(AU54=1,T54="Y",TRIM(U54)=""),1,0)</f>
        <v/>
      </c>
      <c r="BO54" s="17">
        <f>IF(AU54=1,AJ54&amp;"","")</f>
        <v/>
      </c>
      <c r="BP54" s="17">
        <f>IF(AU54=1,AK54&amp;"","")</f>
        <v/>
      </c>
      <c r="BQ54" s="17">
        <f>IF(AU54=1,AL54&amp;"","")</f>
        <v/>
      </c>
      <c r="BR54" s="17">
        <f>IF(AND(AU54=1,ISNUMBER(AP54),G54&lt;=Config!$B$5),AP54,"")</f>
        <v/>
      </c>
      <c r="BS54" s="17">
        <f>IF(AU54=1,IF(COUNTIFS($A$2:$A$201,$A54,$AN$2:$AN$201,"Y",$AU$2:$AU$201,1)&gt;0,"Y","N"),"")</f>
        <v/>
      </c>
      <c r="BT54" s="17">
        <f>IF(AND(AU54=1,AN54="maybe"),1,0)</f>
        <v/>
      </c>
      <c r="BU54" s="17">
        <f>IF(BT54=1,IF(COUNTIFS($A$2:$A$201,$A54,$BT$2:$BT$201,1,$G$2:$G$201,"&lt;"&amp;G54)+COUNTIFS($A$2:$A$201,$A54,$BT$2:$BT$201,1,$G$2:$G$201,G54,$AT$2:$AT$201,"&lt;"&amp;AT54)=0,1,0),0)</f>
        <v/>
      </c>
      <c r="BV54" s="17">
        <f>IF(AND(AU54=1,AN54="Y"),IF(COUNTIFS($A$2:$A$201,$A54,$AN$2:$AN$201,"Y",$AU$2:$AU$201,1,$G$2:$G$201,"&lt;"&amp;G54)+COUNTIFS($A$2:$A$201,$A54,$AN$2:$AN$201,"Y",$AU$2:$AU$201,1,$G$2:$G$201,G54,$AT$2:$AT$201,"&lt;"&amp;AT54)=0,1,0),0)</f>
        <v/>
      </c>
      <c r="BW54" s="17">
        <f>IF(AND(BA54=1,N(V54)&gt;=Config!$B$15),1,0)</f>
        <v/>
      </c>
      <c r="BX54" s="17">
        <f>IF(AU54=1,IFERROR(MATCH($A54,INDEX(Clay_Offices!$A$2:$FZ$601,0,Sync!$C$5),0),""),"")</f>
        <v/>
      </c>
      <c r="BY54" s="17">
        <f>IF(BX54="","",IFERROR(INDEX(Clay_Offices!$A$2:$FZ$601,BX54,Sync!$C$7)&amp;"",""))</f>
        <v/>
      </c>
      <c r="BZ54" s="17">
        <f>IF(BY54="","",IFERROR(INDEX(Lists!$J$2:$J$15,MATCH(BY54,Lists!$I$2:$I$15,0)),""))</f>
        <v/>
      </c>
      <c r="CA54" s="17">
        <f>IF(BX54="","",IFERROR(INDEX(Clay_Offices!$A$2:$FZ$601,BX54,Sync!$C$17)&amp;"",""))</f>
        <v/>
      </c>
      <c r="CB54" s="23">
        <f>IF(BX54="","",IFERROR(N(INDEX(Clay_Offices!$A$2:$FZ$601,BX54,Sync!$C$16)),0))</f>
        <v/>
      </c>
    </row>
    <row r="55">
      <c r="G55" s="22" t="n"/>
      <c r="AS55" s="17">
        <f>IF(TRIM($A55)="","",IF(AND(LEFT($A55,6)="SAMPLE",Config!$B$19&lt;&gt;"Y"),"",IF(NOT(ISNUMBER(G55)),"call_date is blank or not a date",IF(Sync!$C$5="","Clay paste is empty or has no row_id column: paste the Clay export on Clay_Offices",IF(BX55="","row_id not found in the Clay paste: add the Clay row or fix the row_id",IF(AND(ISNUMBER(BZ55),BZ55&gt;=1,BZ55&lt;=5),"Clay status is "&amp;BY55&amp;": set call_done or later",IF(AND(AW55=1,CA55&lt;&gt;BS55),"Clay yes_in_principle should be "&amp;BS55,IF(AND(AW55=1,CB55&lt;&gt;G55),"Clay call_date should be "&amp;TEXT(G55,"yyyy-mm-dd"),""))))))))</f>
        <v/>
      </c>
      <c r="AT55" s="17">
        <f>ROW()</f>
        <v/>
      </c>
      <c r="AU55" s="17">
        <f>IF(AND(TRIM($A55)&lt;&gt;"",ISNUMBER(G55)),IF(AND(LEFT($A55,6)="SAMPLE",Config!$B$19&lt;&gt;"Y"),0,1),0)</f>
        <v/>
      </c>
      <c r="AV55" s="17">
        <f>IF(AU55=1,IF(COUNTIFS($A$2:$A$201,$A55,$AU$2:$AU$201,1,$G$2:$G$201,"&lt;"&amp;G55)+COUNTIFS($A$2:$A$201,$A55,$AU$2:$AU$201,1,$G$2:$G$201,G55,$AT$2:$AT$201,"&lt;"&amp;AT55)=0,1,0),0)</f>
        <v/>
      </c>
      <c r="AW55" s="17">
        <f>IF(AU55=1,IF(COUNTIFS($A$2:$A$201,$A55,$AU$2:$AU$201,1,$G$2:$G$201,"&gt;"&amp;G55)+COUNTIFS($A$2:$A$201,$A55,$AU$2:$AU$201,1,$G$2:$G$201,G55,$AT$2:$AT$201,"&gt;"&amp;AT55)=0,1,0),0)</f>
        <v/>
      </c>
      <c r="AX55" s="17">
        <f>IF(AND(AU55=1,AN55="Y",Z55="Y",TRIM(AD55)&lt;&gt;""),1,0)</f>
        <v/>
      </c>
      <c r="AY55" s="17">
        <f>IF(AX55=1,IF(COUNTIFS($A$2:$A$201,$A55,$AX$2:$AX$201,1,$G$2:$G$201,"&lt;"&amp;G55)+COUNTIFS($A$2:$A$201,$A55,$AX$2:$AX$201,1,$G$2:$G$201,G55,$AT$2:$AT$201,"&lt;"&amp;AT55)=0,1,0),0)</f>
        <v/>
      </c>
      <c r="AZ55" s="17">
        <f>IF(AND(AU55=1,AN55="Y",AX55=0),1,0)</f>
        <v/>
      </c>
      <c r="BA55" s="17">
        <f>IF(AND(AU55=1,ISNUMBER(V55)),1,0)</f>
        <v/>
      </c>
      <c r="BB55" s="17">
        <f>IF(BA55=1,IF(COUNTIFS($A$2:$A$201,$A55,$BA$2:$BA$201,1,$G$2:$G$201,"&lt;"&amp;G55)+COUNTIFS($A$2:$A$201,$A55,$BA$2:$BA$201,1,$G$2:$G$201,G55,$AT$2:$AT$201,"&lt;"&amp;AT55)=0,1,0),0)</f>
        <v/>
      </c>
      <c r="BC55" s="17">
        <f>IF(AND(BB55=1,G55&lt;=Config!$B$6),V55,"")</f>
        <v/>
      </c>
      <c r="BD55" s="17">
        <f>IF(AND(BB55=1,G55&lt;=Config!$B$7),V55,"")</f>
        <v/>
      </c>
      <c r="BE55" s="17">
        <f>IF(AND(BB55=1,G55&lt;=Config!$B$8),V55,"")</f>
        <v/>
      </c>
      <c r="BF55" s="17">
        <f>IF(AND(BB55=1,G55&lt;=Config!$B$5),V55,"")</f>
        <v/>
      </c>
      <c r="BG55" s="17">
        <f>IF(BW55=1,IF(COUNTIFS($A$2:$A$201,$A55,$BW$2:$BW$201,1,$G$2:$G$201,"&lt;"&amp;G55)+COUNTIFS($A$2:$A$201,$A55,$BW$2:$BW$201,1,$G$2:$G$201,G55,$AT$2:$AT$201,"&lt;"&amp;AT55)=0,1,0),0)</f>
        <v/>
      </c>
      <c r="BH55" s="17">
        <f>IF(AND(AU55=1,ISNUMBER(K55)),1,0)</f>
        <v/>
      </c>
      <c r="BI55" s="17">
        <f>IF(BH55=1,IF(COUNTIFS($A$2:$A$201,$A55,$BH$2:$BH$201,1,$G$2:$G$201,"&lt;"&amp;G55)+COUNTIFS($A$2:$A$201,$A55,$BH$2:$BH$201,1,$G$2:$G$201,G55,$AT$2:$AT$201,"&lt;"&amp;AT55)=0,1,0),0)</f>
        <v/>
      </c>
      <c r="BJ55" s="17">
        <f>IF(AND(BI55=1,G55&lt;=Config!$B$5),K55,"")</f>
        <v/>
      </c>
      <c r="BK55" s="17">
        <f>IF(AND(AU55=1,OR(TRIM(U55)&lt;&gt;"",ISNUMBER(V55))),1,0)</f>
        <v/>
      </c>
      <c r="BL55" s="17">
        <f>IF(BK55=1,IF(COUNTIFS($A$2:$A$201,$A55,$BK$2:$BK$201,1,$G$2:$G$201,"&lt;"&amp;G55)+COUNTIFS($A$2:$A$201,$A55,$BK$2:$BK$201,1,$G$2:$G$201,G55,$AT$2:$AT$201,"&lt;"&amp;AT55)=0,1,0),0)</f>
        <v/>
      </c>
      <c r="BM55" s="17">
        <f>IF(BL55=1,$A55,"")</f>
        <v/>
      </c>
      <c r="BN55" s="17">
        <f>IF(AND(AU55=1,T55="Y",TRIM(U55)=""),1,0)</f>
        <v/>
      </c>
      <c r="BO55" s="17">
        <f>IF(AU55=1,AJ55&amp;"","")</f>
        <v/>
      </c>
      <c r="BP55" s="17">
        <f>IF(AU55=1,AK55&amp;"","")</f>
        <v/>
      </c>
      <c r="BQ55" s="17">
        <f>IF(AU55=1,AL55&amp;"","")</f>
        <v/>
      </c>
      <c r="BR55" s="17">
        <f>IF(AND(AU55=1,ISNUMBER(AP55),G55&lt;=Config!$B$5),AP55,"")</f>
        <v/>
      </c>
      <c r="BS55" s="17">
        <f>IF(AU55=1,IF(COUNTIFS($A$2:$A$201,$A55,$AN$2:$AN$201,"Y",$AU$2:$AU$201,1)&gt;0,"Y","N"),"")</f>
        <v/>
      </c>
      <c r="BT55" s="17">
        <f>IF(AND(AU55=1,AN55="maybe"),1,0)</f>
        <v/>
      </c>
      <c r="BU55" s="17">
        <f>IF(BT55=1,IF(COUNTIFS($A$2:$A$201,$A55,$BT$2:$BT$201,1,$G$2:$G$201,"&lt;"&amp;G55)+COUNTIFS($A$2:$A$201,$A55,$BT$2:$BT$201,1,$G$2:$G$201,G55,$AT$2:$AT$201,"&lt;"&amp;AT55)=0,1,0),0)</f>
        <v/>
      </c>
      <c r="BV55" s="17">
        <f>IF(AND(AU55=1,AN55="Y"),IF(COUNTIFS($A$2:$A$201,$A55,$AN$2:$AN$201,"Y",$AU$2:$AU$201,1,$G$2:$G$201,"&lt;"&amp;G55)+COUNTIFS($A$2:$A$201,$A55,$AN$2:$AN$201,"Y",$AU$2:$AU$201,1,$G$2:$G$201,G55,$AT$2:$AT$201,"&lt;"&amp;AT55)=0,1,0),0)</f>
        <v/>
      </c>
      <c r="BW55" s="17">
        <f>IF(AND(BA55=1,N(V55)&gt;=Config!$B$15),1,0)</f>
        <v/>
      </c>
      <c r="BX55" s="17">
        <f>IF(AU55=1,IFERROR(MATCH($A55,INDEX(Clay_Offices!$A$2:$FZ$601,0,Sync!$C$5),0),""),"")</f>
        <v/>
      </c>
      <c r="BY55" s="17">
        <f>IF(BX55="","",IFERROR(INDEX(Clay_Offices!$A$2:$FZ$601,BX55,Sync!$C$7)&amp;"",""))</f>
        <v/>
      </c>
      <c r="BZ55" s="17">
        <f>IF(BY55="","",IFERROR(INDEX(Lists!$J$2:$J$15,MATCH(BY55,Lists!$I$2:$I$15,0)),""))</f>
        <v/>
      </c>
      <c r="CA55" s="17">
        <f>IF(BX55="","",IFERROR(INDEX(Clay_Offices!$A$2:$FZ$601,BX55,Sync!$C$17)&amp;"",""))</f>
        <v/>
      </c>
      <c r="CB55" s="23">
        <f>IF(BX55="","",IFERROR(N(INDEX(Clay_Offices!$A$2:$FZ$601,BX55,Sync!$C$16)),0))</f>
        <v/>
      </c>
    </row>
    <row r="56">
      <c r="G56" s="22" t="n"/>
      <c r="AS56" s="17">
        <f>IF(TRIM($A56)="","",IF(AND(LEFT($A56,6)="SAMPLE",Config!$B$19&lt;&gt;"Y"),"",IF(NOT(ISNUMBER(G56)),"call_date is blank or not a date",IF(Sync!$C$5="","Clay paste is empty or has no row_id column: paste the Clay export on Clay_Offices",IF(BX56="","row_id not found in the Clay paste: add the Clay row or fix the row_id",IF(AND(ISNUMBER(BZ56),BZ56&gt;=1,BZ56&lt;=5),"Clay status is "&amp;BY56&amp;": set call_done or later",IF(AND(AW56=1,CA56&lt;&gt;BS56),"Clay yes_in_principle should be "&amp;BS56,IF(AND(AW56=1,CB56&lt;&gt;G56),"Clay call_date should be "&amp;TEXT(G56,"yyyy-mm-dd"),""))))))))</f>
        <v/>
      </c>
      <c r="AT56" s="17">
        <f>ROW()</f>
        <v/>
      </c>
      <c r="AU56" s="17">
        <f>IF(AND(TRIM($A56)&lt;&gt;"",ISNUMBER(G56)),IF(AND(LEFT($A56,6)="SAMPLE",Config!$B$19&lt;&gt;"Y"),0,1),0)</f>
        <v/>
      </c>
      <c r="AV56" s="17">
        <f>IF(AU56=1,IF(COUNTIFS($A$2:$A$201,$A56,$AU$2:$AU$201,1,$G$2:$G$201,"&lt;"&amp;G56)+COUNTIFS($A$2:$A$201,$A56,$AU$2:$AU$201,1,$G$2:$G$201,G56,$AT$2:$AT$201,"&lt;"&amp;AT56)=0,1,0),0)</f>
        <v/>
      </c>
      <c r="AW56" s="17">
        <f>IF(AU56=1,IF(COUNTIFS($A$2:$A$201,$A56,$AU$2:$AU$201,1,$G$2:$G$201,"&gt;"&amp;G56)+COUNTIFS($A$2:$A$201,$A56,$AU$2:$AU$201,1,$G$2:$G$201,G56,$AT$2:$AT$201,"&gt;"&amp;AT56)=0,1,0),0)</f>
        <v/>
      </c>
      <c r="AX56" s="17">
        <f>IF(AND(AU56=1,AN56="Y",Z56="Y",TRIM(AD56)&lt;&gt;""),1,0)</f>
        <v/>
      </c>
      <c r="AY56" s="17">
        <f>IF(AX56=1,IF(COUNTIFS($A$2:$A$201,$A56,$AX$2:$AX$201,1,$G$2:$G$201,"&lt;"&amp;G56)+COUNTIFS($A$2:$A$201,$A56,$AX$2:$AX$201,1,$G$2:$G$201,G56,$AT$2:$AT$201,"&lt;"&amp;AT56)=0,1,0),0)</f>
        <v/>
      </c>
      <c r="AZ56" s="17">
        <f>IF(AND(AU56=1,AN56="Y",AX56=0),1,0)</f>
        <v/>
      </c>
      <c r="BA56" s="17">
        <f>IF(AND(AU56=1,ISNUMBER(V56)),1,0)</f>
        <v/>
      </c>
      <c r="BB56" s="17">
        <f>IF(BA56=1,IF(COUNTIFS($A$2:$A$201,$A56,$BA$2:$BA$201,1,$G$2:$G$201,"&lt;"&amp;G56)+COUNTIFS($A$2:$A$201,$A56,$BA$2:$BA$201,1,$G$2:$G$201,G56,$AT$2:$AT$201,"&lt;"&amp;AT56)=0,1,0),0)</f>
        <v/>
      </c>
      <c r="BC56" s="17">
        <f>IF(AND(BB56=1,G56&lt;=Config!$B$6),V56,"")</f>
        <v/>
      </c>
      <c r="BD56" s="17">
        <f>IF(AND(BB56=1,G56&lt;=Config!$B$7),V56,"")</f>
        <v/>
      </c>
      <c r="BE56" s="17">
        <f>IF(AND(BB56=1,G56&lt;=Config!$B$8),V56,"")</f>
        <v/>
      </c>
      <c r="BF56" s="17">
        <f>IF(AND(BB56=1,G56&lt;=Config!$B$5),V56,"")</f>
        <v/>
      </c>
      <c r="BG56" s="17">
        <f>IF(BW56=1,IF(COUNTIFS($A$2:$A$201,$A56,$BW$2:$BW$201,1,$G$2:$G$201,"&lt;"&amp;G56)+COUNTIFS($A$2:$A$201,$A56,$BW$2:$BW$201,1,$G$2:$G$201,G56,$AT$2:$AT$201,"&lt;"&amp;AT56)=0,1,0),0)</f>
        <v/>
      </c>
      <c r="BH56" s="17">
        <f>IF(AND(AU56=1,ISNUMBER(K56)),1,0)</f>
        <v/>
      </c>
      <c r="BI56" s="17">
        <f>IF(BH56=1,IF(COUNTIFS($A$2:$A$201,$A56,$BH$2:$BH$201,1,$G$2:$G$201,"&lt;"&amp;G56)+COUNTIFS($A$2:$A$201,$A56,$BH$2:$BH$201,1,$G$2:$G$201,G56,$AT$2:$AT$201,"&lt;"&amp;AT56)=0,1,0),0)</f>
        <v/>
      </c>
      <c r="BJ56" s="17">
        <f>IF(AND(BI56=1,G56&lt;=Config!$B$5),K56,"")</f>
        <v/>
      </c>
      <c r="BK56" s="17">
        <f>IF(AND(AU56=1,OR(TRIM(U56)&lt;&gt;"",ISNUMBER(V56))),1,0)</f>
        <v/>
      </c>
      <c r="BL56" s="17">
        <f>IF(BK56=1,IF(COUNTIFS($A$2:$A$201,$A56,$BK$2:$BK$201,1,$G$2:$G$201,"&lt;"&amp;G56)+COUNTIFS($A$2:$A$201,$A56,$BK$2:$BK$201,1,$G$2:$G$201,G56,$AT$2:$AT$201,"&lt;"&amp;AT56)=0,1,0),0)</f>
        <v/>
      </c>
      <c r="BM56" s="17">
        <f>IF(BL56=1,$A56,"")</f>
        <v/>
      </c>
      <c r="BN56" s="17">
        <f>IF(AND(AU56=1,T56="Y",TRIM(U56)=""),1,0)</f>
        <v/>
      </c>
      <c r="BO56" s="17">
        <f>IF(AU56=1,AJ56&amp;"","")</f>
        <v/>
      </c>
      <c r="BP56" s="17">
        <f>IF(AU56=1,AK56&amp;"","")</f>
        <v/>
      </c>
      <c r="BQ56" s="17">
        <f>IF(AU56=1,AL56&amp;"","")</f>
        <v/>
      </c>
      <c r="BR56" s="17">
        <f>IF(AND(AU56=1,ISNUMBER(AP56),G56&lt;=Config!$B$5),AP56,"")</f>
        <v/>
      </c>
      <c r="BS56" s="17">
        <f>IF(AU56=1,IF(COUNTIFS($A$2:$A$201,$A56,$AN$2:$AN$201,"Y",$AU$2:$AU$201,1)&gt;0,"Y","N"),"")</f>
        <v/>
      </c>
      <c r="BT56" s="17">
        <f>IF(AND(AU56=1,AN56="maybe"),1,0)</f>
        <v/>
      </c>
      <c r="BU56" s="17">
        <f>IF(BT56=1,IF(COUNTIFS($A$2:$A$201,$A56,$BT$2:$BT$201,1,$G$2:$G$201,"&lt;"&amp;G56)+COUNTIFS($A$2:$A$201,$A56,$BT$2:$BT$201,1,$G$2:$G$201,G56,$AT$2:$AT$201,"&lt;"&amp;AT56)=0,1,0),0)</f>
        <v/>
      </c>
      <c r="BV56" s="17">
        <f>IF(AND(AU56=1,AN56="Y"),IF(COUNTIFS($A$2:$A$201,$A56,$AN$2:$AN$201,"Y",$AU$2:$AU$201,1,$G$2:$G$201,"&lt;"&amp;G56)+COUNTIFS($A$2:$A$201,$A56,$AN$2:$AN$201,"Y",$AU$2:$AU$201,1,$G$2:$G$201,G56,$AT$2:$AT$201,"&lt;"&amp;AT56)=0,1,0),0)</f>
        <v/>
      </c>
      <c r="BW56" s="17">
        <f>IF(AND(BA56=1,N(V56)&gt;=Config!$B$15),1,0)</f>
        <v/>
      </c>
      <c r="BX56" s="17">
        <f>IF(AU56=1,IFERROR(MATCH($A56,INDEX(Clay_Offices!$A$2:$FZ$601,0,Sync!$C$5),0),""),"")</f>
        <v/>
      </c>
      <c r="BY56" s="17">
        <f>IF(BX56="","",IFERROR(INDEX(Clay_Offices!$A$2:$FZ$601,BX56,Sync!$C$7)&amp;"",""))</f>
        <v/>
      </c>
      <c r="BZ56" s="17">
        <f>IF(BY56="","",IFERROR(INDEX(Lists!$J$2:$J$15,MATCH(BY56,Lists!$I$2:$I$15,0)),""))</f>
        <v/>
      </c>
      <c r="CA56" s="17">
        <f>IF(BX56="","",IFERROR(INDEX(Clay_Offices!$A$2:$FZ$601,BX56,Sync!$C$17)&amp;"",""))</f>
        <v/>
      </c>
      <c r="CB56" s="23">
        <f>IF(BX56="","",IFERROR(N(INDEX(Clay_Offices!$A$2:$FZ$601,BX56,Sync!$C$16)),0))</f>
        <v/>
      </c>
    </row>
    <row r="57">
      <c r="G57" s="22" t="n"/>
      <c r="AS57" s="17">
        <f>IF(TRIM($A57)="","",IF(AND(LEFT($A57,6)="SAMPLE",Config!$B$19&lt;&gt;"Y"),"",IF(NOT(ISNUMBER(G57)),"call_date is blank or not a date",IF(Sync!$C$5="","Clay paste is empty or has no row_id column: paste the Clay export on Clay_Offices",IF(BX57="","row_id not found in the Clay paste: add the Clay row or fix the row_id",IF(AND(ISNUMBER(BZ57),BZ57&gt;=1,BZ57&lt;=5),"Clay status is "&amp;BY57&amp;": set call_done or later",IF(AND(AW57=1,CA57&lt;&gt;BS57),"Clay yes_in_principle should be "&amp;BS57,IF(AND(AW57=1,CB57&lt;&gt;G57),"Clay call_date should be "&amp;TEXT(G57,"yyyy-mm-dd"),""))))))))</f>
        <v/>
      </c>
      <c r="AT57" s="17">
        <f>ROW()</f>
        <v/>
      </c>
      <c r="AU57" s="17">
        <f>IF(AND(TRIM($A57)&lt;&gt;"",ISNUMBER(G57)),IF(AND(LEFT($A57,6)="SAMPLE",Config!$B$19&lt;&gt;"Y"),0,1),0)</f>
        <v/>
      </c>
      <c r="AV57" s="17">
        <f>IF(AU57=1,IF(COUNTIFS($A$2:$A$201,$A57,$AU$2:$AU$201,1,$G$2:$G$201,"&lt;"&amp;G57)+COUNTIFS($A$2:$A$201,$A57,$AU$2:$AU$201,1,$G$2:$G$201,G57,$AT$2:$AT$201,"&lt;"&amp;AT57)=0,1,0),0)</f>
        <v/>
      </c>
      <c r="AW57" s="17">
        <f>IF(AU57=1,IF(COUNTIFS($A$2:$A$201,$A57,$AU$2:$AU$201,1,$G$2:$G$201,"&gt;"&amp;G57)+COUNTIFS($A$2:$A$201,$A57,$AU$2:$AU$201,1,$G$2:$G$201,G57,$AT$2:$AT$201,"&gt;"&amp;AT57)=0,1,0),0)</f>
        <v/>
      </c>
      <c r="AX57" s="17">
        <f>IF(AND(AU57=1,AN57="Y",Z57="Y",TRIM(AD57)&lt;&gt;""),1,0)</f>
        <v/>
      </c>
      <c r="AY57" s="17">
        <f>IF(AX57=1,IF(COUNTIFS($A$2:$A$201,$A57,$AX$2:$AX$201,1,$G$2:$G$201,"&lt;"&amp;G57)+COUNTIFS($A$2:$A$201,$A57,$AX$2:$AX$201,1,$G$2:$G$201,G57,$AT$2:$AT$201,"&lt;"&amp;AT57)=0,1,0),0)</f>
        <v/>
      </c>
      <c r="AZ57" s="17">
        <f>IF(AND(AU57=1,AN57="Y",AX57=0),1,0)</f>
        <v/>
      </c>
      <c r="BA57" s="17">
        <f>IF(AND(AU57=1,ISNUMBER(V57)),1,0)</f>
        <v/>
      </c>
      <c r="BB57" s="17">
        <f>IF(BA57=1,IF(COUNTIFS($A$2:$A$201,$A57,$BA$2:$BA$201,1,$G$2:$G$201,"&lt;"&amp;G57)+COUNTIFS($A$2:$A$201,$A57,$BA$2:$BA$201,1,$G$2:$G$201,G57,$AT$2:$AT$201,"&lt;"&amp;AT57)=0,1,0),0)</f>
        <v/>
      </c>
      <c r="BC57" s="17">
        <f>IF(AND(BB57=1,G57&lt;=Config!$B$6),V57,"")</f>
        <v/>
      </c>
      <c r="BD57" s="17">
        <f>IF(AND(BB57=1,G57&lt;=Config!$B$7),V57,"")</f>
        <v/>
      </c>
      <c r="BE57" s="17">
        <f>IF(AND(BB57=1,G57&lt;=Config!$B$8),V57,"")</f>
        <v/>
      </c>
      <c r="BF57" s="17">
        <f>IF(AND(BB57=1,G57&lt;=Config!$B$5),V57,"")</f>
        <v/>
      </c>
      <c r="BG57" s="17">
        <f>IF(BW57=1,IF(COUNTIFS($A$2:$A$201,$A57,$BW$2:$BW$201,1,$G$2:$G$201,"&lt;"&amp;G57)+COUNTIFS($A$2:$A$201,$A57,$BW$2:$BW$201,1,$G$2:$G$201,G57,$AT$2:$AT$201,"&lt;"&amp;AT57)=0,1,0),0)</f>
        <v/>
      </c>
      <c r="BH57" s="17">
        <f>IF(AND(AU57=1,ISNUMBER(K57)),1,0)</f>
        <v/>
      </c>
      <c r="BI57" s="17">
        <f>IF(BH57=1,IF(COUNTIFS($A$2:$A$201,$A57,$BH$2:$BH$201,1,$G$2:$G$201,"&lt;"&amp;G57)+COUNTIFS($A$2:$A$201,$A57,$BH$2:$BH$201,1,$G$2:$G$201,G57,$AT$2:$AT$201,"&lt;"&amp;AT57)=0,1,0),0)</f>
        <v/>
      </c>
      <c r="BJ57" s="17">
        <f>IF(AND(BI57=1,G57&lt;=Config!$B$5),K57,"")</f>
        <v/>
      </c>
      <c r="BK57" s="17">
        <f>IF(AND(AU57=1,OR(TRIM(U57)&lt;&gt;"",ISNUMBER(V57))),1,0)</f>
        <v/>
      </c>
      <c r="BL57" s="17">
        <f>IF(BK57=1,IF(COUNTIFS($A$2:$A$201,$A57,$BK$2:$BK$201,1,$G$2:$G$201,"&lt;"&amp;G57)+COUNTIFS($A$2:$A$201,$A57,$BK$2:$BK$201,1,$G$2:$G$201,G57,$AT$2:$AT$201,"&lt;"&amp;AT57)=0,1,0),0)</f>
        <v/>
      </c>
      <c r="BM57" s="17">
        <f>IF(BL57=1,$A57,"")</f>
        <v/>
      </c>
      <c r="BN57" s="17">
        <f>IF(AND(AU57=1,T57="Y",TRIM(U57)=""),1,0)</f>
        <v/>
      </c>
      <c r="BO57" s="17">
        <f>IF(AU57=1,AJ57&amp;"","")</f>
        <v/>
      </c>
      <c r="BP57" s="17">
        <f>IF(AU57=1,AK57&amp;"","")</f>
        <v/>
      </c>
      <c r="BQ57" s="17">
        <f>IF(AU57=1,AL57&amp;"","")</f>
        <v/>
      </c>
      <c r="BR57" s="17">
        <f>IF(AND(AU57=1,ISNUMBER(AP57),G57&lt;=Config!$B$5),AP57,"")</f>
        <v/>
      </c>
      <c r="BS57" s="17">
        <f>IF(AU57=1,IF(COUNTIFS($A$2:$A$201,$A57,$AN$2:$AN$201,"Y",$AU$2:$AU$201,1)&gt;0,"Y","N"),"")</f>
        <v/>
      </c>
      <c r="BT57" s="17">
        <f>IF(AND(AU57=1,AN57="maybe"),1,0)</f>
        <v/>
      </c>
      <c r="BU57" s="17">
        <f>IF(BT57=1,IF(COUNTIFS($A$2:$A$201,$A57,$BT$2:$BT$201,1,$G$2:$G$201,"&lt;"&amp;G57)+COUNTIFS($A$2:$A$201,$A57,$BT$2:$BT$201,1,$G$2:$G$201,G57,$AT$2:$AT$201,"&lt;"&amp;AT57)=0,1,0),0)</f>
        <v/>
      </c>
      <c r="BV57" s="17">
        <f>IF(AND(AU57=1,AN57="Y"),IF(COUNTIFS($A$2:$A$201,$A57,$AN$2:$AN$201,"Y",$AU$2:$AU$201,1,$G$2:$G$201,"&lt;"&amp;G57)+COUNTIFS($A$2:$A$201,$A57,$AN$2:$AN$201,"Y",$AU$2:$AU$201,1,$G$2:$G$201,G57,$AT$2:$AT$201,"&lt;"&amp;AT57)=0,1,0),0)</f>
        <v/>
      </c>
      <c r="BW57" s="17">
        <f>IF(AND(BA57=1,N(V57)&gt;=Config!$B$15),1,0)</f>
        <v/>
      </c>
      <c r="BX57" s="17">
        <f>IF(AU57=1,IFERROR(MATCH($A57,INDEX(Clay_Offices!$A$2:$FZ$601,0,Sync!$C$5),0),""),"")</f>
        <v/>
      </c>
      <c r="BY57" s="17">
        <f>IF(BX57="","",IFERROR(INDEX(Clay_Offices!$A$2:$FZ$601,BX57,Sync!$C$7)&amp;"",""))</f>
        <v/>
      </c>
      <c r="BZ57" s="17">
        <f>IF(BY57="","",IFERROR(INDEX(Lists!$J$2:$J$15,MATCH(BY57,Lists!$I$2:$I$15,0)),""))</f>
        <v/>
      </c>
      <c r="CA57" s="17">
        <f>IF(BX57="","",IFERROR(INDEX(Clay_Offices!$A$2:$FZ$601,BX57,Sync!$C$17)&amp;"",""))</f>
        <v/>
      </c>
      <c r="CB57" s="23">
        <f>IF(BX57="","",IFERROR(N(INDEX(Clay_Offices!$A$2:$FZ$601,BX57,Sync!$C$16)),0))</f>
        <v/>
      </c>
    </row>
    <row r="58">
      <c r="G58" s="22" t="n"/>
      <c r="AS58" s="17">
        <f>IF(TRIM($A58)="","",IF(AND(LEFT($A58,6)="SAMPLE",Config!$B$19&lt;&gt;"Y"),"",IF(NOT(ISNUMBER(G58)),"call_date is blank or not a date",IF(Sync!$C$5="","Clay paste is empty or has no row_id column: paste the Clay export on Clay_Offices",IF(BX58="","row_id not found in the Clay paste: add the Clay row or fix the row_id",IF(AND(ISNUMBER(BZ58),BZ58&gt;=1,BZ58&lt;=5),"Clay status is "&amp;BY58&amp;": set call_done or later",IF(AND(AW58=1,CA58&lt;&gt;BS58),"Clay yes_in_principle should be "&amp;BS58,IF(AND(AW58=1,CB58&lt;&gt;G58),"Clay call_date should be "&amp;TEXT(G58,"yyyy-mm-dd"),""))))))))</f>
        <v/>
      </c>
      <c r="AT58" s="17">
        <f>ROW()</f>
        <v/>
      </c>
      <c r="AU58" s="17">
        <f>IF(AND(TRIM($A58)&lt;&gt;"",ISNUMBER(G58)),IF(AND(LEFT($A58,6)="SAMPLE",Config!$B$19&lt;&gt;"Y"),0,1),0)</f>
        <v/>
      </c>
      <c r="AV58" s="17">
        <f>IF(AU58=1,IF(COUNTIFS($A$2:$A$201,$A58,$AU$2:$AU$201,1,$G$2:$G$201,"&lt;"&amp;G58)+COUNTIFS($A$2:$A$201,$A58,$AU$2:$AU$201,1,$G$2:$G$201,G58,$AT$2:$AT$201,"&lt;"&amp;AT58)=0,1,0),0)</f>
        <v/>
      </c>
      <c r="AW58" s="17">
        <f>IF(AU58=1,IF(COUNTIFS($A$2:$A$201,$A58,$AU$2:$AU$201,1,$G$2:$G$201,"&gt;"&amp;G58)+COUNTIFS($A$2:$A$201,$A58,$AU$2:$AU$201,1,$G$2:$G$201,G58,$AT$2:$AT$201,"&gt;"&amp;AT58)=0,1,0),0)</f>
        <v/>
      </c>
      <c r="AX58" s="17">
        <f>IF(AND(AU58=1,AN58="Y",Z58="Y",TRIM(AD58)&lt;&gt;""),1,0)</f>
        <v/>
      </c>
      <c r="AY58" s="17">
        <f>IF(AX58=1,IF(COUNTIFS($A$2:$A$201,$A58,$AX$2:$AX$201,1,$G$2:$G$201,"&lt;"&amp;G58)+COUNTIFS($A$2:$A$201,$A58,$AX$2:$AX$201,1,$G$2:$G$201,G58,$AT$2:$AT$201,"&lt;"&amp;AT58)=0,1,0),0)</f>
        <v/>
      </c>
      <c r="AZ58" s="17">
        <f>IF(AND(AU58=1,AN58="Y",AX58=0),1,0)</f>
        <v/>
      </c>
      <c r="BA58" s="17">
        <f>IF(AND(AU58=1,ISNUMBER(V58)),1,0)</f>
        <v/>
      </c>
      <c r="BB58" s="17">
        <f>IF(BA58=1,IF(COUNTIFS($A$2:$A$201,$A58,$BA$2:$BA$201,1,$G$2:$G$201,"&lt;"&amp;G58)+COUNTIFS($A$2:$A$201,$A58,$BA$2:$BA$201,1,$G$2:$G$201,G58,$AT$2:$AT$201,"&lt;"&amp;AT58)=0,1,0),0)</f>
        <v/>
      </c>
      <c r="BC58" s="17">
        <f>IF(AND(BB58=1,G58&lt;=Config!$B$6),V58,"")</f>
        <v/>
      </c>
      <c r="BD58" s="17">
        <f>IF(AND(BB58=1,G58&lt;=Config!$B$7),V58,"")</f>
        <v/>
      </c>
      <c r="BE58" s="17">
        <f>IF(AND(BB58=1,G58&lt;=Config!$B$8),V58,"")</f>
        <v/>
      </c>
      <c r="BF58" s="17">
        <f>IF(AND(BB58=1,G58&lt;=Config!$B$5),V58,"")</f>
        <v/>
      </c>
      <c r="BG58" s="17">
        <f>IF(BW58=1,IF(COUNTIFS($A$2:$A$201,$A58,$BW$2:$BW$201,1,$G$2:$G$201,"&lt;"&amp;G58)+COUNTIFS($A$2:$A$201,$A58,$BW$2:$BW$201,1,$G$2:$G$201,G58,$AT$2:$AT$201,"&lt;"&amp;AT58)=0,1,0),0)</f>
        <v/>
      </c>
      <c r="BH58" s="17">
        <f>IF(AND(AU58=1,ISNUMBER(K58)),1,0)</f>
        <v/>
      </c>
      <c r="BI58" s="17">
        <f>IF(BH58=1,IF(COUNTIFS($A$2:$A$201,$A58,$BH$2:$BH$201,1,$G$2:$G$201,"&lt;"&amp;G58)+COUNTIFS($A$2:$A$201,$A58,$BH$2:$BH$201,1,$G$2:$G$201,G58,$AT$2:$AT$201,"&lt;"&amp;AT58)=0,1,0),0)</f>
        <v/>
      </c>
      <c r="BJ58" s="17">
        <f>IF(AND(BI58=1,G58&lt;=Config!$B$5),K58,"")</f>
        <v/>
      </c>
      <c r="BK58" s="17">
        <f>IF(AND(AU58=1,OR(TRIM(U58)&lt;&gt;"",ISNUMBER(V58))),1,0)</f>
        <v/>
      </c>
      <c r="BL58" s="17">
        <f>IF(BK58=1,IF(COUNTIFS($A$2:$A$201,$A58,$BK$2:$BK$201,1,$G$2:$G$201,"&lt;"&amp;G58)+COUNTIFS($A$2:$A$201,$A58,$BK$2:$BK$201,1,$G$2:$G$201,G58,$AT$2:$AT$201,"&lt;"&amp;AT58)=0,1,0),0)</f>
        <v/>
      </c>
      <c r="BM58" s="17">
        <f>IF(BL58=1,$A58,"")</f>
        <v/>
      </c>
      <c r="BN58" s="17">
        <f>IF(AND(AU58=1,T58="Y",TRIM(U58)=""),1,0)</f>
        <v/>
      </c>
      <c r="BO58" s="17">
        <f>IF(AU58=1,AJ58&amp;"","")</f>
        <v/>
      </c>
      <c r="BP58" s="17">
        <f>IF(AU58=1,AK58&amp;"","")</f>
        <v/>
      </c>
      <c r="BQ58" s="17">
        <f>IF(AU58=1,AL58&amp;"","")</f>
        <v/>
      </c>
      <c r="BR58" s="17">
        <f>IF(AND(AU58=1,ISNUMBER(AP58),G58&lt;=Config!$B$5),AP58,"")</f>
        <v/>
      </c>
      <c r="BS58" s="17">
        <f>IF(AU58=1,IF(COUNTIFS($A$2:$A$201,$A58,$AN$2:$AN$201,"Y",$AU$2:$AU$201,1)&gt;0,"Y","N"),"")</f>
        <v/>
      </c>
      <c r="BT58" s="17">
        <f>IF(AND(AU58=1,AN58="maybe"),1,0)</f>
        <v/>
      </c>
      <c r="BU58" s="17">
        <f>IF(BT58=1,IF(COUNTIFS($A$2:$A$201,$A58,$BT$2:$BT$201,1,$G$2:$G$201,"&lt;"&amp;G58)+COUNTIFS($A$2:$A$201,$A58,$BT$2:$BT$201,1,$G$2:$G$201,G58,$AT$2:$AT$201,"&lt;"&amp;AT58)=0,1,0),0)</f>
        <v/>
      </c>
      <c r="BV58" s="17">
        <f>IF(AND(AU58=1,AN58="Y"),IF(COUNTIFS($A$2:$A$201,$A58,$AN$2:$AN$201,"Y",$AU$2:$AU$201,1,$G$2:$G$201,"&lt;"&amp;G58)+COUNTIFS($A$2:$A$201,$A58,$AN$2:$AN$201,"Y",$AU$2:$AU$201,1,$G$2:$G$201,G58,$AT$2:$AT$201,"&lt;"&amp;AT58)=0,1,0),0)</f>
        <v/>
      </c>
      <c r="BW58" s="17">
        <f>IF(AND(BA58=1,N(V58)&gt;=Config!$B$15),1,0)</f>
        <v/>
      </c>
      <c r="BX58" s="17">
        <f>IF(AU58=1,IFERROR(MATCH($A58,INDEX(Clay_Offices!$A$2:$FZ$601,0,Sync!$C$5),0),""),"")</f>
        <v/>
      </c>
      <c r="BY58" s="17">
        <f>IF(BX58="","",IFERROR(INDEX(Clay_Offices!$A$2:$FZ$601,BX58,Sync!$C$7)&amp;"",""))</f>
        <v/>
      </c>
      <c r="BZ58" s="17">
        <f>IF(BY58="","",IFERROR(INDEX(Lists!$J$2:$J$15,MATCH(BY58,Lists!$I$2:$I$15,0)),""))</f>
        <v/>
      </c>
      <c r="CA58" s="17">
        <f>IF(BX58="","",IFERROR(INDEX(Clay_Offices!$A$2:$FZ$601,BX58,Sync!$C$17)&amp;"",""))</f>
        <v/>
      </c>
      <c r="CB58" s="23">
        <f>IF(BX58="","",IFERROR(N(INDEX(Clay_Offices!$A$2:$FZ$601,BX58,Sync!$C$16)),0))</f>
        <v/>
      </c>
    </row>
    <row r="59">
      <c r="G59" s="22" t="n"/>
      <c r="AS59" s="17">
        <f>IF(TRIM($A59)="","",IF(AND(LEFT($A59,6)="SAMPLE",Config!$B$19&lt;&gt;"Y"),"",IF(NOT(ISNUMBER(G59)),"call_date is blank or not a date",IF(Sync!$C$5="","Clay paste is empty or has no row_id column: paste the Clay export on Clay_Offices",IF(BX59="","row_id not found in the Clay paste: add the Clay row or fix the row_id",IF(AND(ISNUMBER(BZ59),BZ59&gt;=1,BZ59&lt;=5),"Clay status is "&amp;BY59&amp;": set call_done or later",IF(AND(AW59=1,CA59&lt;&gt;BS59),"Clay yes_in_principle should be "&amp;BS59,IF(AND(AW59=1,CB59&lt;&gt;G59),"Clay call_date should be "&amp;TEXT(G59,"yyyy-mm-dd"),""))))))))</f>
        <v/>
      </c>
      <c r="AT59" s="17">
        <f>ROW()</f>
        <v/>
      </c>
      <c r="AU59" s="17">
        <f>IF(AND(TRIM($A59)&lt;&gt;"",ISNUMBER(G59)),IF(AND(LEFT($A59,6)="SAMPLE",Config!$B$19&lt;&gt;"Y"),0,1),0)</f>
        <v/>
      </c>
      <c r="AV59" s="17">
        <f>IF(AU59=1,IF(COUNTIFS($A$2:$A$201,$A59,$AU$2:$AU$201,1,$G$2:$G$201,"&lt;"&amp;G59)+COUNTIFS($A$2:$A$201,$A59,$AU$2:$AU$201,1,$G$2:$G$201,G59,$AT$2:$AT$201,"&lt;"&amp;AT59)=0,1,0),0)</f>
        <v/>
      </c>
      <c r="AW59" s="17">
        <f>IF(AU59=1,IF(COUNTIFS($A$2:$A$201,$A59,$AU$2:$AU$201,1,$G$2:$G$201,"&gt;"&amp;G59)+COUNTIFS($A$2:$A$201,$A59,$AU$2:$AU$201,1,$G$2:$G$201,G59,$AT$2:$AT$201,"&gt;"&amp;AT59)=0,1,0),0)</f>
        <v/>
      </c>
      <c r="AX59" s="17">
        <f>IF(AND(AU59=1,AN59="Y",Z59="Y",TRIM(AD59)&lt;&gt;""),1,0)</f>
        <v/>
      </c>
      <c r="AY59" s="17">
        <f>IF(AX59=1,IF(COUNTIFS($A$2:$A$201,$A59,$AX$2:$AX$201,1,$G$2:$G$201,"&lt;"&amp;G59)+COUNTIFS($A$2:$A$201,$A59,$AX$2:$AX$201,1,$G$2:$G$201,G59,$AT$2:$AT$201,"&lt;"&amp;AT59)=0,1,0),0)</f>
        <v/>
      </c>
      <c r="AZ59" s="17">
        <f>IF(AND(AU59=1,AN59="Y",AX59=0),1,0)</f>
        <v/>
      </c>
      <c r="BA59" s="17">
        <f>IF(AND(AU59=1,ISNUMBER(V59)),1,0)</f>
        <v/>
      </c>
      <c r="BB59" s="17">
        <f>IF(BA59=1,IF(COUNTIFS($A$2:$A$201,$A59,$BA$2:$BA$201,1,$G$2:$G$201,"&lt;"&amp;G59)+COUNTIFS($A$2:$A$201,$A59,$BA$2:$BA$201,1,$G$2:$G$201,G59,$AT$2:$AT$201,"&lt;"&amp;AT59)=0,1,0),0)</f>
        <v/>
      </c>
      <c r="BC59" s="17">
        <f>IF(AND(BB59=1,G59&lt;=Config!$B$6),V59,"")</f>
        <v/>
      </c>
      <c r="BD59" s="17">
        <f>IF(AND(BB59=1,G59&lt;=Config!$B$7),V59,"")</f>
        <v/>
      </c>
      <c r="BE59" s="17">
        <f>IF(AND(BB59=1,G59&lt;=Config!$B$8),V59,"")</f>
        <v/>
      </c>
      <c r="BF59" s="17">
        <f>IF(AND(BB59=1,G59&lt;=Config!$B$5),V59,"")</f>
        <v/>
      </c>
      <c r="BG59" s="17">
        <f>IF(BW59=1,IF(COUNTIFS($A$2:$A$201,$A59,$BW$2:$BW$201,1,$G$2:$G$201,"&lt;"&amp;G59)+COUNTIFS($A$2:$A$201,$A59,$BW$2:$BW$201,1,$G$2:$G$201,G59,$AT$2:$AT$201,"&lt;"&amp;AT59)=0,1,0),0)</f>
        <v/>
      </c>
      <c r="BH59" s="17">
        <f>IF(AND(AU59=1,ISNUMBER(K59)),1,0)</f>
        <v/>
      </c>
      <c r="BI59" s="17">
        <f>IF(BH59=1,IF(COUNTIFS($A$2:$A$201,$A59,$BH$2:$BH$201,1,$G$2:$G$201,"&lt;"&amp;G59)+COUNTIFS($A$2:$A$201,$A59,$BH$2:$BH$201,1,$G$2:$G$201,G59,$AT$2:$AT$201,"&lt;"&amp;AT59)=0,1,0),0)</f>
        <v/>
      </c>
      <c r="BJ59" s="17">
        <f>IF(AND(BI59=1,G59&lt;=Config!$B$5),K59,"")</f>
        <v/>
      </c>
      <c r="BK59" s="17">
        <f>IF(AND(AU59=1,OR(TRIM(U59)&lt;&gt;"",ISNUMBER(V59))),1,0)</f>
        <v/>
      </c>
      <c r="BL59" s="17">
        <f>IF(BK59=1,IF(COUNTIFS($A$2:$A$201,$A59,$BK$2:$BK$201,1,$G$2:$G$201,"&lt;"&amp;G59)+COUNTIFS($A$2:$A$201,$A59,$BK$2:$BK$201,1,$G$2:$G$201,G59,$AT$2:$AT$201,"&lt;"&amp;AT59)=0,1,0),0)</f>
        <v/>
      </c>
      <c r="BM59" s="17">
        <f>IF(BL59=1,$A59,"")</f>
        <v/>
      </c>
      <c r="BN59" s="17">
        <f>IF(AND(AU59=1,T59="Y",TRIM(U59)=""),1,0)</f>
        <v/>
      </c>
      <c r="BO59" s="17">
        <f>IF(AU59=1,AJ59&amp;"","")</f>
        <v/>
      </c>
      <c r="BP59" s="17">
        <f>IF(AU59=1,AK59&amp;"","")</f>
        <v/>
      </c>
      <c r="BQ59" s="17">
        <f>IF(AU59=1,AL59&amp;"","")</f>
        <v/>
      </c>
      <c r="BR59" s="17">
        <f>IF(AND(AU59=1,ISNUMBER(AP59),G59&lt;=Config!$B$5),AP59,"")</f>
        <v/>
      </c>
      <c r="BS59" s="17">
        <f>IF(AU59=1,IF(COUNTIFS($A$2:$A$201,$A59,$AN$2:$AN$201,"Y",$AU$2:$AU$201,1)&gt;0,"Y","N"),"")</f>
        <v/>
      </c>
      <c r="BT59" s="17">
        <f>IF(AND(AU59=1,AN59="maybe"),1,0)</f>
        <v/>
      </c>
      <c r="BU59" s="17">
        <f>IF(BT59=1,IF(COUNTIFS($A$2:$A$201,$A59,$BT$2:$BT$201,1,$G$2:$G$201,"&lt;"&amp;G59)+COUNTIFS($A$2:$A$201,$A59,$BT$2:$BT$201,1,$G$2:$G$201,G59,$AT$2:$AT$201,"&lt;"&amp;AT59)=0,1,0),0)</f>
        <v/>
      </c>
      <c r="BV59" s="17">
        <f>IF(AND(AU59=1,AN59="Y"),IF(COUNTIFS($A$2:$A$201,$A59,$AN$2:$AN$201,"Y",$AU$2:$AU$201,1,$G$2:$G$201,"&lt;"&amp;G59)+COUNTIFS($A$2:$A$201,$A59,$AN$2:$AN$201,"Y",$AU$2:$AU$201,1,$G$2:$G$201,G59,$AT$2:$AT$201,"&lt;"&amp;AT59)=0,1,0),0)</f>
        <v/>
      </c>
      <c r="BW59" s="17">
        <f>IF(AND(BA59=1,N(V59)&gt;=Config!$B$15),1,0)</f>
        <v/>
      </c>
      <c r="BX59" s="17">
        <f>IF(AU59=1,IFERROR(MATCH($A59,INDEX(Clay_Offices!$A$2:$FZ$601,0,Sync!$C$5),0),""),"")</f>
        <v/>
      </c>
      <c r="BY59" s="17">
        <f>IF(BX59="","",IFERROR(INDEX(Clay_Offices!$A$2:$FZ$601,BX59,Sync!$C$7)&amp;"",""))</f>
        <v/>
      </c>
      <c r="BZ59" s="17">
        <f>IF(BY59="","",IFERROR(INDEX(Lists!$J$2:$J$15,MATCH(BY59,Lists!$I$2:$I$15,0)),""))</f>
        <v/>
      </c>
      <c r="CA59" s="17">
        <f>IF(BX59="","",IFERROR(INDEX(Clay_Offices!$A$2:$FZ$601,BX59,Sync!$C$17)&amp;"",""))</f>
        <v/>
      </c>
      <c r="CB59" s="23">
        <f>IF(BX59="","",IFERROR(N(INDEX(Clay_Offices!$A$2:$FZ$601,BX59,Sync!$C$16)),0))</f>
        <v/>
      </c>
    </row>
    <row r="60">
      <c r="G60" s="22" t="n"/>
      <c r="AS60" s="17">
        <f>IF(TRIM($A60)="","",IF(AND(LEFT($A60,6)="SAMPLE",Config!$B$19&lt;&gt;"Y"),"",IF(NOT(ISNUMBER(G60)),"call_date is blank or not a date",IF(Sync!$C$5="","Clay paste is empty or has no row_id column: paste the Clay export on Clay_Offices",IF(BX60="","row_id not found in the Clay paste: add the Clay row or fix the row_id",IF(AND(ISNUMBER(BZ60),BZ60&gt;=1,BZ60&lt;=5),"Clay status is "&amp;BY60&amp;": set call_done or later",IF(AND(AW60=1,CA60&lt;&gt;BS60),"Clay yes_in_principle should be "&amp;BS60,IF(AND(AW60=1,CB60&lt;&gt;G60),"Clay call_date should be "&amp;TEXT(G60,"yyyy-mm-dd"),""))))))))</f>
        <v/>
      </c>
      <c r="AT60" s="17">
        <f>ROW()</f>
        <v/>
      </c>
      <c r="AU60" s="17">
        <f>IF(AND(TRIM($A60)&lt;&gt;"",ISNUMBER(G60)),IF(AND(LEFT($A60,6)="SAMPLE",Config!$B$19&lt;&gt;"Y"),0,1),0)</f>
        <v/>
      </c>
      <c r="AV60" s="17">
        <f>IF(AU60=1,IF(COUNTIFS($A$2:$A$201,$A60,$AU$2:$AU$201,1,$G$2:$G$201,"&lt;"&amp;G60)+COUNTIFS($A$2:$A$201,$A60,$AU$2:$AU$201,1,$G$2:$G$201,G60,$AT$2:$AT$201,"&lt;"&amp;AT60)=0,1,0),0)</f>
        <v/>
      </c>
      <c r="AW60" s="17">
        <f>IF(AU60=1,IF(COUNTIFS($A$2:$A$201,$A60,$AU$2:$AU$201,1,$G$2:$G$201,"&gt;"&amp;G60)+COUNTIFS($A$2:$A$201,$A60,$AU$2:$AU$201,1,$G$2:$G$201,G60,$AT$2:$AT$201,"&gt;"&amp;AT60)=0,1,0),0)</f>
        <v/>
      </c>
      <c r="AX60" s="17">
        <f>IF(AND(AU60=1,AN60="Y",Z60="Y",TRIM(AD60)&lt;&gt;""),1,0)</f>
        <v/>
      </c>
      <c r="AY60" s="17">
        <f>IF(AX60=1,IF(COUNTIFS($A$2:$A$201,$A60,$AX$2:$AX$201,1,$G$2:$G$201,"&lt;"&amp;G60)+COUNTIFS($A$2:$A$201,$A60,$AX$2:$AX$201,1,$G$2:$G$201,G60,$AT$2:$AT$201,"&lt;"&amp;AT60)=0,1,0),0)</f>
        <v/>
      </c>
      <c r="AZ60" s="17">
        <f>IF(AND(AU60=1,AN60="Y",AX60=0),1,0)</f>
        <v/>
      </c>
      <c r="BA60" s="17">
        <f>IF(AND(AU60=1,ISNUMBER(V60)),1,0)</f>
        <v/>
      </c>
      <c r="BB60" s="17">
        <f>IF(BA60=1,IF(COUNTIFS($A$2:$A$201,$A60,$BA$2:$BA$201,1,$G$2:$G$201,"&lt;"&amp;G60)+COUNTIFS($A$2:$A$201,$A60,$BA$2:$BA$201,1,$G$2:$G$201,G60,$AT$2:$AT$201,"&lt;"&amp;AT60)=0,1,0),0)</f>
        <v/>
      </c>
      <c r="BC60" s="17">
        <f>IF(AND(BB60=1,G60&lt;=Config!$B$6),V60,"")</f>
        <v/>
      </c>
      <c r="BD60" s="17">
        <f>IF(AND(BB60=1,G60&lt;=Config!$B$7),V60,"")</f>
        <v/>
      </c>
      <c r="BE60" s="17">
        <f>IF(AND(BB60=1,G60&lt;=Config!$B$8),V60,"")</f>
        <v/>
      </c>
      <c r="BF60" s="17">
        <f>IF(AND(BB60=1,G60&lt;=Config!$B$5),V60,"")</f>
        <v/>
      </c>
      <c r="BG60" s="17">
        <f>IF(BW60=1,IF(COUNTIFS($A$2:$A$201,$A60,$BW$2:$BW$201,1,$G$2:$G$201,"&lt;"&amp;G60)+COUNTIFS($A$2:$A$201,$A60,$BW$2:$BW$201,1,$G$2:$G$201,G60,$AT$2:$AT$201,"&lt;"&amp;AT60)=0,1,0),0)</f>
        <v/>
      </c>
      <c r="BH60" s="17">
        <f>IF(AND(AU60=1,ISNUMBER(K60)),1,0)</f>
        <v/>
      </c>
      <c r="BI60" s="17">
        <f>IF(BH60=1,IF(COUNTIFS($A$2:$A$201,$A60,$BH$2:$BH$201,1,$G$2:$G$201,"&lt;"&amp;G60)+COUNTIFS($A$2:$A$201,$A60,$BH$2:$BH$201,1,$G$2:$G$201,G60,$AT$2:$AT$201,"&lt;"&amp;AT60)=0,1,0),0)</f>
        <v/>
      </c>
      <c r="BJ60" s="17">
        <f>IF(AND(BI60=1,G60&lt;=Config!$B$5),K60,"")</f>
        <v/>
      </c>
      <c r="BK60" s="17">
        <f>IF(AND(AU60=1,OR(TRIM(U60)&lt;&gt;"",ISNUMBER(V60))),1,0)</f>
        <v/>
      </c>
      <c r="BL60" s="17">
        <f>IF(BK60=1,IF(COUNTIFS($A$2:$A$201,$A60,$BK$2:$BK$201,1,$G$2:$G$201,"&lt;"&amp;G60)+COUNTIFS($A$2:$A$201,$A60,$BK$2:$BK$201,1,$G$2:$G$201,G60,$AT$2:$AT$201,"&lt;"&amp;AT60)=0,1,0),0)</f>
        <v/>
      </c>
      <c r="BM60" s="17">
        <f>IF(BL60=1,$A60,"")</f>
        <v/>
      </c>
      <c r="BN60" s="17">
        <f>IF(AND(AU60=1,T60="Y",TRIM(U60)=""),1,0)</f>
        <v/>
      </c>
      <c r="BO60" s="17">
        <f>IF(AU60=1,AJ60&amp;"","")</f>
        <v/>
      </c>
      <c r="BP60" s="17">
        <f>IF(AU60=1,AK60&amp;"","")</f>
        <v/>
      </c>
      <c r="BQ60" s="17">
        <f>IF(AU60=1,AL60&amp;"","")</f>
        <v/>
      </c>
      <c r="BR60" s="17">
        <f>IF(AND(AU60=1,ISNUMBER(AP60),G60&lt;=Config!$B$5),AP60,"")</f>
        <v/>
      </c>
      <c r="BS60" s="17">
        <f>IF(AU60=1,IF(COUNTIFS($A$2:$A$201,$A60,$AN$2:$AN$201,"Y",$AU$2:$AU$201,1)&gt;0,"Y","N"),"")</f>
        <v/>
      </c>
      <c r="BT60" s="17">
        <f>IF(AND(AU60=1,AN60="maybe"),1,0)</f>
        <v/>
      </c>
      <c r="BU60" s="17">
        <f>IF(BT60=1,IF(COUNTIFS($A$2:$A$201,$A60,$BT$2:$BT$201,1,$G$2:$G$201,"&lt;"&amp;G60)+COUNTIFS($A$2:$A$201,$A60,$BT$2:$BT$201,1,$G$2:$G$201,G60,$AT$2:$AT$201,"&lt;"&amp;AT60)=0,1,0),0)</f>
        <v/>
      </c>
      <c r="BV60" s="17">
        <f>IF(AND(AU60=1,AN60="Y"),IF(COUNTIFS($A$2:$A$201,$A60,$AN$2:$AN$201,"Y",$AU$2:$AU$201,1,$G$2:$G$201,"&lt;"&amp;G60)+COUNTIFS($A$2:$A$201,$A60,$AN$2:$AN$201,"Y",$AU$2:$AU$201,1,$G$2:$G$201,G60,$AT$2:$AT$201,"&lt;"&amp;AT60)=0,1,0),0)</f>
        <v/>
      </c>
      <c r="BW60" s="17">
        <f>IF(AND(BA60=1,N(V60)&gt;=Config!$B$15),1,0)</f>
        <v/>
      </c>
      <c r="BX60" s="17">
        <f>IF(AU60=1,IFERROR(MATCH($A60,INDEX(Clay_Offices!$A$2:$FZ$601,0,Sync!$C$5),0),""),"")</f>
        <v/>
      </c>
      <c r="BY60" s="17">
        <f>IF(BX60="","",IFERROR(INDEX(Clay_Offices!$A$2:$FZ$601,BX60,Sync!$C$7)&amp;"",""))</f>
        <v/>
      </c>
      <c r="BZ60" s="17">
        <f>IF(BY60="","",IFERROR(INDEX(Lists!$J$2:$J$15,MATCH(BY60,Lists!$I$2:$I$15,0)),""))</f>
        <v/>
      </c>
      <c r="CA60" s="17">
        <f>IF(BX60="","",IFERROR(INDEX(Clay_Offices!$A$2:$FZ$601,BX60,Sync!$C$17)&amp;"",""))</f>
        <v/>
      </c>
      <c r="CB60" s="23">
        <f>IF(BX60="","",IFERROR(N(INDEX(Clay_Offices!$A$2:$FZ$601,BX60,Sync!$C$16)),0))</f>
        <v/>
      </c>
    </row>
    <row r="61">
      <c r="G61" s="22" t="n"/>
      <c r="AS61" s="17">
        <f>IF(TRIM($A61)="","",IF(AND(LEFT($A61,6)="SAMPLE",Config!$B$19&lt;&gt;"Y"),"",IF(NOT(ISNUMBER(G61)),"call_date is blank or not a date",IF(Sync!$C$5="","Clay paste is empty or has no row_id column: paste the Clay export on Clay_Offices",IF(BX61="","row_id not found in the Clay paste: add the Clay row or fix the row_id",IF(AND(ISNUMBER(BZ61),BZ61&gt;=1,BZ61&lt;=5),"Clay status is "&amp;BY61&amp;": set call_done or later",IF(AND(AW61=1,CA61&lt;&gt;BS61),"Clay yes_in_principle should be "&amp;BS61,IF(AND(AW61=1,CB61&lt;&gt;G61),"Clay call_date should be "&amp;TEXT(G61,"yyyy-mm-dd"),""))))))))</f>
        <v/>
      </c>
      <c r="AT61" s="17">
        <f>ROW()</f>
        <v/>
      </c>
      <c r="AU61" s="17">
        <f>IF(AND(TRIM($A61)&lt;&gt;"",ISNUMBER(G61)),IF(AND(LEFT($A61,6)="SAMPLE",Config!$B$19&lt;&gt;"Y"),0,1),0)</f>
        <v/>
      </c>
      <c r="AV61" s="17">
        <f>IF(AU61=1,IF(COUNTIFS($A$2:$A$201,$A61,$AU$2:$AU$201,1,$G$2:$G$201,"&lt;"&amp;G61)+COUNTIFS($A$2:$A$201,$A61,$AU$2:$AU$201,1,$G$2:$G$201,G61,$AT$2:$AT$201,"&lt;"&amp;AT61)=0,1,0),0)</f>
        <v/>
      </c>
      <c r="AW61" s="17">
        <f>IF(AU61=1,IF(COUNTIFS($A$2:$A$201,$A61,$AU$2:$AU$201,1,$G$2:$G$201,"&gt;"&amp;G61)+COUNTIFS($A$2:$A$201,$A61,$AU$2:$AU$201,1,$G$2:$G$201,G61,$AT$2:$AT$201,"&gt;"&amp;AT61)=0,1,0),0)</f>
        <v/>
      </c>
      <c r="AX61" s="17">
        <f>IF(AND(AU61=1,AN61="Y",Z61="Y",TRIM(AD61)&lt;&gt;""),1,0)</f>
        <v/>
      </c>
      <c r="AY61" s="17">
        <f>IF(AX61=1,IF(COUNTIFS($A$2:$A$201,$A61,$AX$2:$AX$201,1,$G$2:$G$201,"&lt;"&amp;G61)+COUNTIFS($A$2:$A$201,$A61,$AX$2:$AX$201,1,$G$2:$G$201,G61,$AT$2:$AT$201,"&lt;"&amp;AT61)=0,1,0),0)</f>
        <v/>
      </c>
      <c r="AZ61" s="17">
        <f>IF(AND(AU61=1,AN61="Y",AX61=0),1,0)</f>
        <v/>
      </c>
      <c r="BA61" s="17">
        <f>IF(AND(AU61=1,ISNUMBER(V61)),1,0)</f>
        <v/>
      </c>
      <c r="BB61" s="17">
        <f>IF(BA61=1,IF(COUNTIFS($A$2:$A$201,$A61,$BA$2:$BA$201,1,$G$2:$G$201,"&lt;"&amp;G61)+COUNTIFS($A$2:$A$201,$A61,$BA$2:$BA$201,1,$G$2:$G$201,G61,$AT$2:$AT$201,"&lt;"&amp;AT61)=0,1,0),0)</f>
        <v/>
      </c>
      <c r="BC61" s="17">
        <f>IF(AND(BB61=1,G61&lt;=Config!$B$6),V61,"")</f>
        <v/>
      </c>
      <c r="BD61" s="17">
        <f>IF(AND(BB61=1,G61&lt;=Config!$B$7),V61,"")</f>
        <v/>
      </c>
      <c r="BE61" s="17">
        <f>IF(AND(BB61=1,G61&lt;=Config!$B$8),V61,"")</f>
        <v/>
      </c>
      <c r="BF61" s="17">
        <f>IF(AND(BB61=1,G61&lt;=Config!$B$5),V61,"")</f>
        <v/>
      </c>
      <c r="BG61" s="17">
        <f>IF(BW61=1,IF(COUNTIFS($A$2:$A$201,$A61,$BW$2:$BW$201,1,$G$2:$G$201,"&lt;"&amp;G61)+COUNTIFS($A$2:$A$201,$A61,$BW$2:$BW$201,1,$G$2:$G$201,G61,$AT$2:$AT$201,"&lt;"&amp;AT61)=0,1,0),0)</f>
        <v/>
      </c>
      <c r="BH61" s="17">
        <f>IF(AND(AU61=1,ISNUMBER(K61)),1,0)</f>
        <v/>
      </c>
      <c r="BI61" s="17">
        <f>IF(BH61=1,IF(COUNTIFS($A$2:$A$201,$A61,$BH$2:$BH$201,1,$G$2:$G$201,"&lt;"&amp;G61)+COUNTIFS($A$2:$A$201,$A61,$BH$2:$BH$201,1,$G$2:$G$201,G61,$AT$2:$AT$201,"&lt;"&amp;AT61)=0,1,0),0)</f>
        <v/>
      </c>
      <c r="BJ61" s="17">
        <f>IF(AND(BI61=1,G61&lt;=Config!$B$5),K61,"")</f>
        <v/>
      </c>
      <c r="BK61" s="17">
        <f>IF(AND(AU61=1,OR(TRIM(U61)&lt;&gt;"",ISNUMBER(V61))),1,0)</f>
        <v/>
      </c>
      <c r="BL61" s="17">
        <f>IF(BK61=1,IF(COUNTIFS($A$2:$A$201,$A61,$BK$2:$BK$201,1,$G$2:$G$201,"&lt;"&amp;G61)+COUNTIFS($A$2:$A$201,$A61,$BK$2:$BK$201,1,$G$2:$G$201,G61,$AT$2:$AT$201,"&lt;"&amp;AT61)=0,1,0),0)</f>
        <v/>
      </c>
      <c r="BM61" s="17">
        <f>IF(BL61=1,$A61,"")</f>
        <v/>
      </c>
      <c r="BN61" s="17">
        <f>IF(AND(AU61=1,T61="Y",TRIM(U61)=""),1,0)</f>
        <v/>
      </c>
      <c r="BO61" s="17">
        <f>IF(AU61=1,AJ61&amp;"","")</f>
        <v/>
      </c>
      <c r="BP61" s="17">
        <f>IF(AU61=1,AK61&amp;"","")</f>
        <v/>
      </c>
      <c r="BQ61" s="17">
        <f>IF(AU61=1,AL61&amp;"","")</f>
        <v/>
      </c>
      <c r="BR61" s="17">
        <f>IF(AND(AU61=1,ISNUMBER(AP61),G61&lt;=Config!$B$5),AP61,"")</f>
        <v/>
      </c>
      <c r="BS61" s="17">
        <f>IF(AU61=1,IF(COUNTIFS($A$2:$A$201,$A61,$AN$2:$AN$201,"Y",$AU$2:$AU$201,1)&gt;0,"Y","N"),"")</f>
        <v/>
      </c>
      <c r="BT61" s="17">
        <f>IF(AND(AU61=1,AN61="maybe"),1,0)</f>
        <v/>
      </c>
      <c r="BU61" s="17">
        <f>IF(BT61=1,IF(COUNTIFS($A$2:$A$201,$A61,$BT$2:$BT$201,1,$G$2:$G$201,"&lt;"&amp;G61)+COUNTIFS($A$2:$A$201,$A61,$BT$2:$BT$201,1,$G$2:$G$201,G61,$AT$2:$AT$201,"&lt;"&amp;AT61)=0,1,0),0)</f>
        <v/>
      </c>
      <c r="BV61" s="17">
        <f>IF(AND(AU61=1,AN61="Y"),IF(COUNTIFS($A$2:$A$201,$A61,$AN$2:$AN$201,"Y",$AU$2:$AU$201,1,$G$2:$G$201,"&lt;"&amp;G61)+COUNTIFS($A$2:$A$201,$A61,$AN$2:$AN$201,"Y",$AU$2:$AU$201,1,$G$2:$G$201,G61,$AT$2:$AT$201,"&lt;"&amp;AT61)=0,1,0),0)</f>
        <v/>
      </c>
      <c r="BW61" s="17">
        <f>IF(AND(BA61=1,N(V61)&gt;=Config!$B$15),1,0)</f>
        <v/>
      </c>
      <c r="BX61" s="17">
        <f>IF(AU61=1,IFERROR(MATCH($A61,INDEX(Clay_Offices!$A$2:$FZ$601,0,Sync!$C$5),0),""),"")</f>
        <v/>
      </c>
      <c r="BY61" s="17">
        <f>IF(BX61="","",IFERROR(INDEX(Clay_Offices!$A$2:$FZ$601,BX61,Sync!$C$7)&amp;"",""))</f>
        <v/>
      </c>
      <c r="BZ61" s="17">
        <f>IF(BY61="","",IFERROR(INDEX(Lists!$J$2:$J$15,MATCH(BY61,Lists!$I$2:$I$15,0)),""))</f>
        <v/>
      </c>
      <c r="CA61" s="17">
        <f>IF(BX61="","",IFERROR(INDEX(Clay_Offices!$A$2:$FZ$601,BX61,Sync!$C$17)&amp;"",""))</f>
        <v/>
      </c>
      <c r="CB61" s="23">
        <f>IF(BX61="","",IFERROR(N(INDEX(Clay_Offices!$A$2:$FZ$601,BX61,Sync!$C$16)),0))</f>
        <v/>
      </c>
    </row>
    <row r="62">
      <c r="G62" s="22" t="n"/>
      <c r="AS62" s="17">
        <f>IF(TRIM($A62)="","",IF(AND(LEFT($A62,6)="SAMPLE",Config!$B$19&lt;&gt;"Y"),"",IF(NOT(ISNUMBER(G62)),"call_date is blank or not a date",IF(Sync!$C$5="","Clay paste is empty or has no row_id column: paste the Clay export on Clay_Offices",IF(BX62="","row_id not found in the Clay paste: add the Clay row or fix the row_id",IF(AND(ISNUMBER(BZ62),BZ62&gt;=1,BZ62&lt;=5),"Clay status is "&amp;BY62&amp;": set call_done or later",IF(AND(AW62=1,CA62&lt;&gt;BS62),"Clay yes_in_principle should be "&amp;BS62,IF(AND(AW62=1,CB62&lt;&gt;G62),"Clay call_date should be "&amp;TEXT(G62,"yyyy-mm-dd"),""))))))))</f>
        <v/>
      </c>
      <c r="AT62" s="17">
        <f>ROW()</f>
        <v/>
      </c>
      <c r="AU62" s="17">
        <f>IF(AND(TRIM($A62)&lt;&gt;"",ISNUMBER(G62)),IF(AND(LEFT($A62,6)="SAMPLE",Config!$B$19&lt;&gt;"Y"),0,1),0)</f>
        <v/>
      </c>
      <c r="AV62" s="17">
        <f>IF(AU62=1,IF(COUNTIFS($A$2:$A$201,$A62,$AU$2:$AU$201,1,$G$2:$G$201,"&lt;"&amp;G62)+COUNTIFS($A$2:$A$201,$A62,$AU$2:$AU$201,1,$G$2:$G$201,G62,$AT$2:$AT$201,"&lt;"&amp;AT62)=0,1,0),0)</f>
        <v/>
      </c>
      <c r="AW62" s="17">
        <f>IF(AU62=1,IF(COUNTIFS($A$2:$A$201,$A62,$AU$2:$AU$201,1,$G$2:$G$201,"&gt;"&amp;G62)+COUNTIFS($A$2:$A$201,$A62,$AU$2:$AU$201,1,$G$2:$G$201,G62,$AT$2:$AT$201,"&gt;"&amp;AT62)=0,1,0),0)</f>
        <v/>
      </c>
      <c r="AX62" s="17">
        <f>IF(AND(AU62=1,AN62="Y",Z62="Y",TRIM(AD62)&lt;&gt;""),1,0)</f>
        <v/>
      </c>
      <c r="AY62" s="17">
        <f>IF(AX62=1,IF(COUNTIFS($A$2:$A$201,$A62,$AX$2:$AX$201,1,$G$2:$G$201,"&lt;"&amp;G62)+COUNTIFS($A$2:$A$201,$A62,$AX$2:$AX$201,1,$G$2:$G$201,G62,$AT$2:$AT$201,"&lt;"&amp;AT62)=0,1,0),0)</f>
        <v/>
      </c>
      <c r="AZ62" s="17">
        <f>IF(AND(AU62=1,AN62="Y",AX62=0),1,0)</f>
        <v/>
      </c>
      <c r="BA62" s="17">
        <f>IF(AND(AU62=1,ISNUMBER(V62)),1,0)</f>
        <v/>
      </c>
      <c r="BB62" s="17">
        <f>IF(BA62=1,IF(COUNTIFS($A$2:$A$201,$A62,$BA$2:$BA$201,1,$G$2:$G$201,"&lt;"&amp;G62)+COUNTIFS($A$2:$A$201,$A62,$BA$2:$BA$201,1,$G$2:$G$201,G62,$AT$2:$AT$201,"&lt;"&amp;AT62)=0,1,0),0)</f>
        <v/>
      </c>
      <c r="BC62" s="17">
        <f>IF(AND(BB62=1,G62&lt;=Config!$B$6),V62,"")</f>
        <v/>
      </c>
      <c r="BD62" s="17">
        <f>IF(AND(BB62=1,G62&lt;=Config!$B$7),V62,"")</f>
        <v/>
      </c>
      <c r="BE62" s="17">
        <f>IF(AND(BB62=1,G62&lt;=Config!$B$8),V62,"")</f>
        <v/>
      </c>
      <c r="BF62" s="17">
        <f>IF(AND(BB62=1,G62&lt;=Config!$B$5),V62,"")</f>
        <v/>
      </c>
      <c r="BG62" s="17">
        <f>IF(BW62=1,IF(COUNTIFS($A$2:$A$201,$A62,$BW$2:$BW$201,1,$G$2:$G$201,"&lt;"&amp;G62)+COUNTIFS($A$2:$A$201,$A62,$BW$2:$BW$201,1,$G$2:$G$201,G62,$AT$2:$AT$201,"&lt;"&amp;AT62)=0,1,0),0)</f>
        <v/>
      </c>
      <c r="BH62" s="17">
        <f>IF(AND(AU62=1,ISNUMBER(K62)),1,0)</f>
        <v/>
      </c>
      <c r="BI62" s="17">
        <f>IF(BH62=1,IF(COUNTIFS($A$2:$A$201,$A62,$BH$2:$BH$201,1,$G$2:$G$201,"&lt;"&amp;G62)+COUNTIFS($A$2:$A$201,$A62,$BH$2:$BH$201,1,$G$2:$G$201,G62,$AT$2:$AT$201,"&lt;"&amp;AT62)=0,1,0),0)</f>
        <v/>
      </c>
      <c r="BJ62" s="17">
        <f>IF(AND(BI62=1,G62&lt;=Config!$B$5),K62,"")</f>
        <v/>
      </c>
      <c r="BK62" s="17">
        <f>IF(AND(AU62=1,OR(TRIM(U62)&lt;&gt;"",ISNUMBER(V62))),1,0)</f>
        <v/>
      </c>
      <c r="BL62" s="17">
        <f>IF(BK62=1,IF(COUNTIFS($A$2:$A$201,$A62,$BK$2:$BK$201,1,$G$2:$G$201,"&lt;"&amp;G62)+COUNTIFS($A$2:$A$201,$A62,$BK$2:$BK$201,1,$G$2:$G$201,G62,$AT$2:$AT$201,"&lt;"&amp;AT62)=0,1,0),0)</f>
        <v/>
      </c>
      <c r="BM62" s="17">
        <f>IF(BL62=1,$A62,"")</f>
        <v/>
      </c>
      <c r="BN62" s="17">
        <f>IF(AND(AU62=1,T62="Y",TRIM(U62)=""),1,0)</f>
        <v/>
      </c>
      <c r="BO62" s="17">
        <f>IF(AU62=1,AJ62&amp;"","")</f>
        <v/>
      </c>
      <c r="BP62" s="17">
        <f>IF(AU62=1,AK62&amp;"","")</f>
        <v/>
      </c>
      <c r="BQ62" s="17">
        <f>IF(AU62=1,AL62&amp;"","")</f>
        <v/>
      </c>
      <c r="BR62" s="17">
        <f>IF(AND(AU62=1,ISNUMBER(AP62),G62&lt;=Config!$B$5),AP62,"")</f>
        <v/>
      </c>
      <c r="BS62" s="17">
        <f>IF(AU62=1,IF(COUNTIFS($A$2:$A$201,$A62,$AN$2:$AN$201,"Y",$AU$2:$AU$201,1)&gt;0,"Y","N"),"")</f>
        <v/>
      </c>
      <c r="BT62" s="17">
        <f>IF(AND(AU62=1,AN62="maybe"),1,0)</f>
        <v/>
      </c>
      <c r="BU62" s="17">
        <f>IF(BT62=1,IF(COUNTIFS($A$2:$A$201,$A62,$BT$2:$BT$201,1,$G$2:$G$201,"&lt;"&amp;G62)+COUNTIFS($A$2:$A$201,$A62,$BT$2:$BT$201,1,$G$2:$G$201,G62,$AT$2:$AT$201,"&lt;"&amp;AT62)=0,1,0),0)</f>
        <v/>
      </c>
      <c r="BV62" s="17">
        <f>IF(AND(AU62=1,AN62="Y"),IF(COUNTIFS($A$2:$A$201,$A62,$AN$2:$AN$201,"Y",$AU$2:$AU$201,1,$G$2:$G$201,"&lt;"&amp;G62)+COUNTIFS($A$2:$A$201,$A62,$AN$2:$AN$201,"Y",$AU$2:$AU$201,1,$G$2:$G$201,G62,$AT$2:$AT$201,"&lt;"&amp;AT62)=0,1,0),0)</f>
        <v/>
      </c>
      <c r="BW62" s="17">
        <f>IF(AND(BA62=1,N(V62)&gt;=Config!$B$15),1,0)</f>
        <v/>
      </c>
      <c r="BX62" s="17">
        <f>IF(AU62=1,IFERROR(MATCH($A62,INDEX(Clay_Offices!$A$2:$FZ$601,0,Sync!$C$5),0),""),"")</f>
        <v/>
      </c>
      <c r="BY62" s="17">
        <f>IF(BX62="","",IFERROR(INDEX(Clay_Offices!$A$2:$FZ$601,BX62,Sync!$C$7)&amp;"",""))</f>
        <v/>
      </c>
      <c r="BZ62" s="17">
        <f>IF(BY62="","",IFERROR(INDEX(Lists!$J$2:$J$15,MATCH(BY62,Lists!$I$2:$I$15,0)),""))</f>
        <v/>
      </c>
      <c r="CA62" s="17">
        <f>IF(BX62="","",IFERROR(INDEX(Clay_Offices!$A$2:$FZ$601,BX62,Sync!$C$17)&amp;"",""))</f>
        <v/>
      </c>
      <c r="CB62" s="23">
        <f>IF(BX62="","",IFERROR(N(INDEX(Clay_Offices!$A$2:$FZ$601,BX62,Sync!$C$16)),0))</f>
        <v/>
      </c>
    </row>
    <row r="63">
      <c r="G63" s="22" t="n"/>
      <c r="AS63" s="17">
        <f>IF(TRIM($A63)="","",IF(AND(LEFT($A63,6)="SAMPLE",Config!$B$19&lt;&gt;"Y"),"",IF(NOT(ISNUMBER(G63)),"call_date is blank or not a date",IF(Sync!$C$5="","Clay paste is empty or has no row_id column: paste the Clay export on Clay_Offices",IF(BX63="","row_id not found in the Clay paste: add the Clay row or fix the row_id",IF(AND(ISNUMBER(BZ63),BZ63&gt;=1,BZ63&lt;=5),"Clay status is "&amp;BY63&amp;": set call_done or later",IF(AND(AW63=1,CA63&lt;&gt;BS63),"Clay yes_in_principle should be "&amp;BS63,IF(AND(AW63=1,CB63&lt;&gt;G63),"Clay call_date should be "&amp;TEXT(G63,"yyyy-mm-dd"),""))))))))</f>
        <v/>
      </c>
      <c r="AT63" s="17">
        <f>ROW()</f>
        <v/>
      </c>
      <c r="AU63" s="17">
        <f>IF(AND(TRIM($A63)&lt;&gt;"",ISNUMBER(G63)),IF(AND(LEFT($A63,6)="SAMPLE",Config!$B$19&lt;&gt;"Y"),0,1),0)</f>
        <v/>
      </c>
      <c r="AV63" s="17">
        <f>IF(AU63=1,IF(COUNTIFS($A$2:$A$201,$A63,$AU$2:$AU$201,1,$G$2:$G$201,"&lt;"&amp;G63)+COUNTIFS($A$2:$A$201,$A63,$AU$2:$AU$201,1,$G$2:$G$201,G63,$AT$2:$AT$201,"&lt;"&amp;AT63)=0,1,0),0)</f>
        <v/>
      </c>
      <c r="AW63" s="17">
        <f>IF(AU63=1,IF(COUNTIFS($A$2:$A$201,$A63,$AU$2:$AU$201,1,$G$2:$G$201,"&gt;"&amp;G63)+COUNTIFS($A$2:$A$201,$A63,$AU$2:$AU$201,1,$G$2:$G$201,G63,$AT$2:$AT$201,"&gt;"&amp;AT63)=0,1,0),0)</f>
        <v/>
      </c>
      <c r="AX63" s="17">
        <f>IF(AND(AU63=1,AN63="Y",Z63="Y",TRIM(AD63)&lt;&gt;""),1,0)</f>
        <v/>
      </c>
      <c r="AY63" s="17">
        <f>IF(AX63=1,IF(COUNTIFS($A$2:$A$201,$A63,$AX$2:$AX$201,1,$G$2:$G$201,"&lt;"&amp;G63)+COUNTIFS($A$2:$A$201,$A63,$AX$2:$AX$201,1,$G$2:$G$201,G63,$AT$2:$AT$201,"&lt;"&amp;AT63)=0,1,0),0)</f>
        <v/>
      </c>
      <c r="AZ63" s="17">
        <f>IF(AND(AU63=1,AN63="Y",AX63=0),1,0)</f>
        <v/>
      </c>
      <c r="BA63" s="17">
        <f>IF(AND(AU63=1,ISNUMBER(V63)),1,0)</f>
        <v/>
      </c>
      <c r="BB63" s="17">
        <f>IF(BA63=1,IF(COUNTIFS($A$2:$A$201,$A63,$BA$2:$BA$201,1,$G$2:$G$201,"&lt;"&amp;G63)+COUNTIFS($A$2:$A$201,$A63,$BA$2:$BA$201,1,$G$2:$G$201,G63,$AT$2:$AT$201,"&lt;"&amp;AT63)=0,1,0),0)</f>
        <v/>
      </c>
      <c r="BC63" s="17">
        <f>IF(AND(BB63=1,G63&lt;=Config!$B$6),V63,"")</f>
        <v/>
      </c>
      <c r="BD63" s="17">
        <f>IF(AND(BB63=1,G63&lt;=Config!$B$7),V63,"")</f>
        <v/>
      </c>
      <c r="BE63" s="17">
        <f>IF(AND(BB63=1,G63&lt;=Config!$B$8),V63,"")</f>
        <v/>
      </c>
      <c r="BF63" s="17">
        <f>IF(AND(BB63=1,G63&lt;=Config!$B$5),V63,"")</f>
        <v/>
      </c>
      <c r="BG63" s="17">
        <f>IF(BW63=1,IF(COUNTIFS($A$2:$A$201,$A63,$BW$2:$BW$201,1,$G$2:$G$201,"&lt;"&amp;G63)+COUNTIFS($A$2:$A$201,$A63,$BW$2:$BW$201,1,$G$2:$G$201,G63,$AT$2:$AT$201,"&lt;"&amp;AT63)=0,1,0),0)</f>
        <v/>
      </c>
      <c r="BH63" s="17">
        <f>IF(AND(AU63=1,ISNUMBER(K63)),1,0)</f>
        <v/>
      </c>
      <c r="BI63" s="17">
        <f>IF(BH63=1,IF(COUNTIFS($A$2:$A$201,$A63,$BH$2:$BH$201,1,$G$2:$G$201,"&lt;"&amp;G63)+COUNTIFS($A$2:$A$201,$A63,$BH$2:$BH$201,1,$G$2:$G$201,G63,$AT$2:$AT$201,"&lt;"&amp;AT63)=0,1,0),0)</f>
        <v/>
      </c>
      <c r="BJ63" s="17">
        <f>IF(AND(BI63=1,G63&lt;=Config!$B$5),K63,"")</f>
        <v/>
      </c>
      <c r="BK63" s="17">
        <f>IF(AND(AU63=1,OR(TRIM(U63)&lt;&gt;"",ISNUMBER(V63))),1,0)</f>
        <v/>
      </c>
      <c r="BL63" s="17">
        <f>IF(BK63=1,IF(COUNTIFS($A$2:$A$201,$A63,$BK$2:$BK$201,1,$G$2:$G$201,"&lt;"&amp;G63)+COUNTIFS($A$2:$A$201,$A63,$BK$2:$BK$201,1,$G$2:$G$201,G63,$AT$2:$AT$201,"&lt;"&amp;AT63)=0,1,0),0)</f>
        <v/>
      </c>
      <c r="BM63" s="17">
        <f>IF(BL63=1,$A63,"")</f>
        <v/>
      </c>
      <c r="BN63" s="17">
        <f>IF(AND(AU63=1,T63="Y",TRIM(U63)=""),1,0)</f>
        <v/>
      </c>
      <c r="BO63" s="17">
        <f>IF(AU63=1,AJ63&amp;"","")</f>
        <v/>
      </c>
      <c r="BP63" s="17">
        <f>IF(AU63=1,AK63&amp;"","")</f>
        <v/>
      </c>
      <c r="BQ63" s="17">
        <f>IF(AU63=1,AL63&amp;"","")</f>
        <v/>
      </c>
      <c r="BR63" s="17">
        <f>IF(AND(AU63=1,ISNUMBER(AP63),G63&lt;=Config!$B$5),AP63,"")</f>
        <v/>
      </c>
      <c r="BS63" s="17">
        <f>IF(AU63=1,IF(COUNTIFS($A$2:$A$201,$A63,$AN$2:$AN$201,"Y",$AU$2:$AU$201,1)&gt;0,"Y","N"),"")</f>
        <v/>
      </c>
      <c r="BT63" s="17">
        <f>IF(AND(AU63=1,AN63="maybe"),1,0)</f>
        <v/>
      </c>
      <c r="BU63" s="17">
        <f>IF(BT63=1,IF(COUNTIFS($A$2:$A$201,$A63,$BT$2:$BT$201,1,$G$2:$G$201,"&lt;"&amp;G63)+COUNTIFS($A$2:$A$201,$A63,$BT$2:$BT$201,1,$G$2:$G$201,G63,$AT$2:$AT$201,"&lt;"&amp;AT63)=0,1,0),0)</f>
        <v/>
      </c>
      <c r="BV63" s="17">
        <f>IF(AND(AU63=1,AN63="Y"),IF(COUNTIFS($A$2:$A$201,$A63,$AN$2:$AN$201,"Y",$AU$2:$AU$201,1,$G$2:$G$201,"&lt;"&amp;G63)+COUNTIFS($A$2:$A$201,$A63,$AN$2:$AN$201,"Y",$AU$2:$AU$201,1,$G$2:$G$201,G63,$AT$2:$AT$201,"&lt;"&amp;AT63)=0,1,0),0)</f>
        <v/>
      </c>
      <c r="BW63" s="17">
        <f>IF(AND(BA63=1,N(V63)&gt;=Config!$B$15),1,0)</f>
        <v/>
      </c>
      <c r="BX63" s="17">
        <f>IF(AU63=1,IFERROR(MATCH($A63,INDEX(Clay_Offices!$A$2:$FZ$601,0,Sync!$C$5),0),""),"")</f>
        <v/>
      </c>
      <c r="BY63" s="17">
        <f>IF(BX63="","",IFERROR(INDEX(Clay_Offices!$A$2:$FZ$601,BX63,Sync!$C$7)&amp;"",""))</f>
        <v/>
      </c>
      <c r="BZ63" s="17">
        <f>IF(BY63="","",IFERROR(INDEX(Lists!$J$2:$J$15,MATCH(BY63,Lists!$I$2:$I$15,0)),""))</f>
        <v/>
      </c>
      <c r="CA63" s="17">
        <f>IF(BX63="","",IFERROR(INDEX(Clay_Offices!$A$2:$FZ$601,BX63,Sync!$C$17)&amp;"",""))</f>
        <v/>
      </c>
      <c r="CB63" s="23">
        <f>IF(BX63="","",IFERROR(N(INDEX(Clay_Offices!$A$2:$FZ$601,BX63,Sync!$C$16)),0))</f>
        <v/>
      </c>
    </row>
    <row r="64">
      <c r="G64" s="22" t="n"/>
      <c r="AS64" s="17">
        <f>IF(TRIM($A64)="","",IF(AND(LEFT($A64,6)="SAMPLE",Config!$B$19&lt;&gt;"Y"),"",IF(NOT(ISNUMBER(G64)),"call_date is blank or not a date",IF(Sync!$C$5="","Clay paste is empty or has no row_id column: paste the Clay export on Clay_Offices",IF(BX64="","row_id not found in the Clay paste: add the Clay row or fix the row_id",IF(AND(ISNUMBER(BZ64),BZ64&gt;=1,BZ64&lt;=5),"Clay status is "&amp;BY64&amp;": set call_done or later",IF(AND(AW64=1,CA64&lt;&gt;BS64),"Clay yes_in_principle should be "&amp;BS64,IF(AND(AW64=1,CB64&lt;&gt;G64),"Clay call_date should be "&amp;TEXT(G64,"yyyy-mm-dd"),""))))))))</f>
        <v/>
      </c>
      <c r="AT64" s="17">
        <f>ROW()</f>
        <v/>
      </c>
      <c r="AU64" s="17">
        <f>IF(AND(TRIM($A64)&lt;&gt;"",ISNUMBER(G64)),IF(AND(LEFT($A64,6)="SAMPLE",Config!$B$19&lt;&gt;"Y"),0,1),0)</f>
        <v/>
      </c>
      <c r="AV64" s="17">
        <f>IF(AU64=1,IF(COUNTIFS($A$2:$A$201,$A64,$AU$2:$AU$201,1,$G$2:$G$201,"&lt;"&amp;G64)+COUNTIFS($A$2:$A$201,$A64,$AU$2:$AU$201,1,$G$2:$G$201,G64,$AT$2:$AT$201,"&lt;"&amp;AT64)=0,1,0),0)</f>
        <v/>
      </c>
      <c r="AW64" s="17">
        <f>IF(AU64=1,IF(COUNTIFS($A$2:$A$201,$A64,$AU$2:$AU$201,1,$G$2:$G$201,"&gt;"&amp;G64)+COUNTIFS($A$2:$A$201,$A64,$AU$2:$AU$201,1,$G$2:$G$201,G64,$AT$2:$AT$201,"&gt;"&amp;AT64)=0,1,0),0)</f>
        <v/>
      </c>
      <c r="AX64" s="17">
        <f>IF(AND(AU64=1,AN64="Y",Z64="Y",TRIM(AD64)&lt;&gt;""),1,0)</f>
        <v/>
      </c>
      <c r="AY64" s="17">
        <f>IF(AX64=1,IF(COUNTIFS($A$2:$A$201,$A64,$AX$2:$AX$201,1,$G$2:$G$201,"&lt;"&amp;G64)+COUNTIFS($A$2:$A$201,$A64,$AX$2:$AX$201,1,$G$2:$G$201,G64,$AT$2:$AT$201,"&lt;"&amp;AT64)=0,1,0),0)</f>
        <v/>
      </c>
      <c r="AZ64" s="17">
        <f>IF(AND(AU64=1,AN64="Y",AX64=0),1,0)</f>
        <v/>
      </c>
      <c r="BA64" s="17">
        <f>IF(AND(AU64=1,ISNUMBER(V64)),1,0)</f>
        <v/>
      </c>
      <c r="BB64" s="17">
        <f>IF(BA64=1,IF(COUNTIFS($A$2:$A$201,$A64,$BA$2:$BA$201,1,$G$2:$G$201,"&lt;"&amp;G64)+COUNTIFS($A$2:$A$201,$A64,$BA$2:$BA$201,1,$G$2:$G$201,G64,$AT$2:$AT$201,"&lt;"&amp;AT64)=0,1,0),0)</f>
        <v/>
      </c>
      <c r="BC64" s="17">
        <f>IF(AND(BB64=1,G64&lt;=Config!$B$6),V64,"")</f>
        <v/>
      </c>
      <c r="BD64" s="17">
        <f>IF(AND(BB64=1,G64&lt;=Config!$B$7),V64,"")</f>
        <v/>
      </c>
      <c r="BE64" s="17">
        <f>IF(AND(BB64=1,G64&lt;=Config!$B$8),V64,"")</f>
        <v/>
      </c>
      <c r="BF64" s="17">
        <f>IF(AND(BB64=1,G64&lt;=Config!$B$5),V64,"")</f>
        <v/>
      </c>
      <c r="BG64" s="17">
        <f>IF(BW64=1,IF(COUNTIFS($A$2:$A$201,$A64,$BW$2:$BW$201,1,$G$2:$G$201,"&lt;"&amp;G64)+COUNTIFS($A$2:$A$201,$A64,$BW$2:$BW$201,1,$G$2:$G$201,G64,$AT$2:$AT$201,"&lt;"&amp;AT64)=0,1,0),0)</f>
        <v/>
      </c>
      <c r="BH64" s="17">
        <f>IF(AND(AU64=1,ISNUMBER(K64)),1,0)</f>
        <v/>
      </c>
      <c r="BI64" s="17">
        <f>IF(BH64=1,IF(COUNTIFS($A$2:$A$201,$A64,$BH$2:$BH$201,1,$G$2:$G$201,"&lt;"&amp;G64)+COUNTIFS($A$2:$A$201,$A64,$BH$2:$BH$201,1,$G$2:$G$201,G64,$AT$2:$AT$201,"&lt;"&amp;AT64)=0,1,0),0)</f>
        <v/>
      </c>
      <c r="BJ64" s="17">
        <f>IF(AND(BI64=1,G64&lt;=Config!$B$5),K64,"")</f>
        <v/>
      </c>
      <c r="BK64" s="17">
        <f>IF(AND(AU64=1,OR(TRIM(U64)&lt;&gt;"",ISNUMBER(V64))),1,0)</f>
        <v/>
      </c>
      <c r="BL64" s="17">
        <f>IF(BK64=1,IF(COUNTIFS($A$2:$A$201,$A64,$BK$2:$BK$201,1,$G$2:$G$201,"&lt;"&amp;G64)+COUNTIFS($A$2:$A$201,$A64,$BK$2:$BK$201,1,$G$2:$G$201,G64,$AT$2:$AT$201,"&lt;"&amp;AT64)=0,1,0),0)</f>
        <v/>
      </c>
      <c r="BM64" s="17">
        <f>IF(BL64=1,$A64,"")</f>
        <v/>
      </c>
      <c r="BN64" s="17">
        <f>IF(AND(AU64=1,T64="Y",TRIM(U64)=""),1,0)</f>
        <v/>
      </c>
      <c r="BO64" s="17">
        <f>IF(AU64=1,AJ64&amp;"","")</f>
        <v/>
      </c>
      <c r="BP64" s="17">
        <f>IF(AU64=1,AK64&amp;"","")</f>
        <v/>
      </c>
      <c r="BQ64" s="17">
        <f>IF(AU64=1,AL64&amp;"","")</f>
        <v/>
      </c>
      <c r="BR64" s="17">
        <f>IF(AND(AU64=1,ISNUMBER(AP64),G64&lt;=Config!$B$5),AP64,"")</f>
        <v/>
      </c>
      <c r="BS64" s="17">
        <f>IF(AU64=1,IF(COUNTIFS($A$2:$A$201,$A64,$AN$2:$AN$201,"Y",$AU$2:$AU$201,1)&gt;0,"Y","N"),"")</f>
        <v/>
      </c>
      <c r="BT64" s="17">
        <f>IF(AND(AU64=1,AN64="maybe"),1,0)</f>
        <v/>
      </c>
      <c r="BU64" s="17">
        <f>IF(BT64=1,IF(COUNTIFS($A$2:$A$201,$A64,$BT$2:$BT$201,1,$G$2:$G$201,"&lt;"&amp;G64)+COUNTIFS($A$2:$A$201,$A64,$BT$2:$BT$201,1,$G$2:$G$201,G64,$AT$2:$AT$201,"&lt;"&amp;AT64)=0,1,0),0)</f>
        <v/>
      </c>
      <c r="BV64" s="17">
        <f>IF(AND(AU64=1,AN64="Y"),IF(COUNTIFS($A$2:$A$201,$A64,$AN$2:$AN$201,"Y",$AU$2:$AU$201,1,$G$2:$G$201,"&lt;"&amp;G64)+COUNTIFS($A$2:$A$201,$A64,$AN$2:$AN$201,"Y",$AU$2:$AU$201,1,$G$2:$G$201,G64,$AT$2:$AT$201,"&lt;"&amp;AT64)=0,1,0),0)</f>
        <v/>
      </c>
      <c r="BW64" s="17">
        <f>IF(AND(BA64=1,N(V64)&gt;=Config!$B$15),1,0)</f>
        <v/>
      </c>
      <c r="BX64" s="17">
        <f>IF(AU64=1,IFERROR(MATCH($A64,INDEX(Clay_Offices!$A$2:$FZ$601,0,Sync!$C$5),0),""),"")</f>
        <v/>
      </c>
      <c r="BY64" s="17">
        <f>IF(BX64="","",IFERROR(INDEX(Clay_Offices!$A$2:$FZ$601,BX64,Sync!$C$7)&amp;"",""))</f>
        <v/>
      </c>
      <c r="BZ64" s="17">
        <f>IF(BY64="","",IFERROR(INDEX(Lists!$J$2:$J$15,MATCH(BY64,Lists!$I$2:$I$15,0)),""))</f>
        <v/>
      </c>
      <c r="CA64" s="17">
        <f>IF(BX64="","",IFERROR(INDEX(Clay_Offices!$A$2:$FZ$601,BX64,Sync!$C$17)&amp;"",""))</f>
        <v/>
      </c>
      <c r="CB64" s="23">
        <f>IF(BX64="","",IFERROR(N(INDEX(Clay_Offices!$A$2:$FZ$601,BX64,Sync!$C$16)),0))</f>
        <v/>
      </c>
    </row>
    <row r="65">
      <c r="G65" s="22" t="n"/>
      <c r="AS65" s="17">
        <f>IF(TRIM($A65)="","",IF(AND(LEFT($A65,6)="SAMPLE",Config!$B$19&lt;&gt;"Y"),"",IF(NOT(ISNUMBER(G65)),"call_date is blank or not a date",IF(Sync!$C$5="","Clay paste is empty or has no row_id column: paste the Clay export on Clay_Offices",IF(BX65="","row_id not found in the Clay paste: add the Clay row or fix the row_id",IF(AND(ISNUMBER(BZ65),BZ65&gt;=1,BZ65&lt;=5),"Clay status is "&amp;BY65&amp;": set call_done or later",IF(AND(AW65=1,CA65&lt;&gt;BS65),"Clay yes_in_principle should be "&amp;BS65,IF(AND(AW65=1,CB65&lt;&gt;G65),"Clay call_date should be "&amp;TEXT(G65,"yyyy-mm-dd"),""))))))))</f>
        <v/>
      </c>
      <c r="AT65" s="17">
        <f>ROW()</f>
        <v/>
      </c>
      <c r="AU65" s="17">
        <f>IF(AND(TRIM($A65)&lt;&gt;"",ISNUMBER(G65)),IF(AND(LEFT($A65,6)="SAMPLE",Config!$B$19&lt;&gt;"Y"),0,1),0)</f>
        <v/>
      </c>
      <c r="AV65" s="17">
        <f>IF(AU65=1,IF(COUNTIFS($A$2:$A$201,$A65,$AU$2:$AU$201,1,$G$2:$G$201,"&lt;"&amp;G65)+COUNTIFS($A$2:$A$201,$A65,$AU$2:$AU$201,1,$G$2:$G$201,G65,$AT$2:$AT$201,"&lt;"&amp;AT65)=0,1,0),0)</f>
        <v/>
      </c>
      <c r="AW65" s="17">
        <f>IF(AU65=1,IF(COUNTIFS($A$2:$A$201,$A65,$AU$2:$AU$201,1,$G$2:$G$201,"&gt;"&amp;G65)+COUNTIFS($A$2:$A$201,$A65,$AU$2:$AU$201,1,$G$2:$G$201,G65,$AT$2:$AT$201,"&gt;"&amp;AT65)=0,1,0),0)</f>
        <v/>
      </c>
      <c r="AX65" s="17">
        <f>IF(AND(AU65=1,AN65="Y",Z65="Y",TRIM(AD65)&lt;&gt;""),1,0)</f>
        <v/>
      </c>
      <c r="AY65" s="17">
        <f>IF(AX65=1,IF(COUNTIFS($A$2:$A$201,$A65,$AX$2:$AX$201,1,$G$2:$G$201,"&lt;"&amp;G65)+COUNTIFS($A$2:$A$201,$A65,$AX$2:$AX$201,1,$G$2:$G$201,G65,$AT$2:$AT$201,"&lt;"&amp;AT65)=0,1,0),0)</f>
        <v/>
      </c>
      <c r="AZ65" s="17">
        <f>IF(AND(AU65=1,AN65="Y",AX65=0),1,0)</f>
        <v/>
      </c>
      <c r="BA65" s="17">
        <f>IF(AND(AU65=1,ISNUMBER(V65)),1,0)</f>
        <v/>
      </c>
      <c r="BB65" s="17">
        <f>IF(BA65=1,IF(COUNTIFS($A$2:$A$201,$A65,$BA$2:$BA$201,1,$G$2:$G$201,"&lt;"&amp;G65)+COUNTIFS($A$2:$A$201,$A65,$BA$2:$BA$201,1,$G$2:$G$201,G65,$AT$2:$AT$201,"&lt;"&amp;AT65)=0,1,0),0)</f>
        <v/>
      </c>
      <c r="BC65" s="17">
        <f>IF(AND(BB65=1,G65&lt;=Config!$B$6),V65,"")</f>
        <v/>
      </c>
      <c r="BD65" s="17">
        <f>IF(AND(BB65=1,G65&lt;=Config!$B$7),V65,"")</f>
        <v/>
      </c>
      <c r="BE65" s="17">
        <f>IF(AND(BB65=1,G65&lt;=Config!$B$8),V65,"")</f>
        <v/>
      </c>
      <c r="BF65" s="17">
        <f>IF(AND(BB65=1,G65&lt;=Config!$B$5),V65,"")</f>
        <v/>
      </c>
      <c r="BG65" s="17">
        <f>IF(BW65=1,IF(COUNTIFS($A$2:$A$201,$A65,$BW$2:$BW$201,1,$G$2:$G$201,"&lt;"&amp;G65)+COUNTIFS($A$2:$A$201,$A65,$BW$2:$BW$201,1,$G$2:$G$201,G65,$AT$2:$AT$201,"&lt;"&amp;AT65)=0,1,0),0)</f>
        <v/>
      </c>
      <c r="BH65" s="17">
        <f>IF(AND(AU65=1,ISNUMBER(K65)),1,0)</f>
        <v/>
      </c>
      <c r="BI65" s="17">
        <f>IF(BH65=1,IF(COUNTIFS($A$2:$A$201,$A65,$BH$2:$BH$201,1,$G$2:$G$201,"&lt;"&amp;G65)+COUNTIFS($A$2:$A$201,$A65,$BH$2:$BH$201,1,$G$2:$G$201,G65,$AT$2:$AT$201,"&lt;"&amp;AT65)=0,1,0),0)</f>
        <v/>
      </c>
      <c r="BJ65" s="17">
        <f>IF(AND(BI65=1,G65&lt;=Config!$B$5),K65,"")</f>
        <v/>
      </c>
      <c r="BK65" s="17">
        <f>IF(AND(AU65=1,OR(TRIM(U65)&lt;&gt;"",ISNUMBER(V65))),1,0)</f>
        <v/>
      </c>
      <c r="BL65" s="17">
        <f>IF(BK65=1,IF(COUNTIFS($A$2:$A$201,$A65,$BK$2:$BK$201,1,$G$2:$G$201,"&lt;"&amp;G65)+COUNTIFS($A$2:$A$201,$A65,$BK$2:$BK$201,1,$G$2:$G$201,G65,$AT$2:$AT$201,"&lt;"&amp;AT65)=0,1,0),0)</f>
        <v/>
      </c>
      <c r="BM65" s="17">
        <f>IF(BL65=1,$A65,"")</f>
        <v/>
      </c>
      <c r="BN65" s="17">
        <f>IF(AND(AU65=1,T65="Y",TRIM(U65)=""),1,0)</f>
        <v/>
      </c>
      <c r="BO65" s="17">
        <f>IF(AU65=1,AJ65&amp;"","")</f>
        <v/>
      </c>
      <c r="BP65" s="17">
        <f>IF(AU65=1,AK65&amp;"","")</f>
        <v/>
      </c>
      <c r="BQ65" s="17">
        <f>IF(AU65=1,AL65&amp;"","")</f>
        <v/>
      </c>
      <c r="BR65" s="17">
        <f>IF(AND(AU65=1,ISNUMBER(AP65),G65&lt;=Config!$B$5),AP65,"")</f>
        <v/>
      </c>
      <c r="BS65" s="17">
        <f>IF(AU65=1,IF(COUNTIFS($A$2:$A$201,$A65,$AN$2:$AN$201,"Y",$AU$2:$AU$201,1)&gt;0,"Y","N"),"")</f>
        <v/>
      </c>
      <c r="BT65" s="17">
        <f>IF(AND(AU65=1,AN65="maybe"),1,0)</f>
        <v/>
      </c>
      <c r="BU65" s="17">
        <f>IF(BT65=1,IF(COUNTIFS($A$2:$A$201,$A65,$BT$2:$BT$201,1,$G$2:$G$201,"&lt;"&amp;G65)+COUNTIFS($A$2:$A$201,$A65,$BT$2:$BT$201,1,$G$2:$G$201,G65,$AT$2:$AT$201,"&lt;"&amp;AT65)=0,1,0),0)</f>
        <v/>
      </c>
      <c r="BV65" s="17">
        <f>IF(AND(AU65=1,AN65="Y"),IF(COUNTIFS($A$2:$A$201,$A65,$AN$2:$AN$201,"Y",$AU$2:$AU$201,1,$G$2:$G$201,"&lt;"&amp;G65)+COUNTIFS($A$2:$A$201,$A65,$AN$2:$AN$201,"Y",$AU$2:$AU$201,1,$G$2:$G$201,G65,$AT$2:$AT$201,"&lt;"&amp;AT65)=0,1,0),0)</f>
        <v/>
      </c>
      <c r="BW65" s="17">
        <f>IF(AND(BA65=1,N(V65)&gt;=Config!$B$15),1,0)</f>
        <v/>
      </c>
      <c r="BX65" s="17">
        <f>IF(AU65=1,IFERROR(MATCH($A65,INDEX(Clay_Offices!$A$2:$FZ$601,0,Sync!$C$5),0),""),"")</f>
        <v/>
      </c>
      <c r="BY65" s="17">
        <f>IF(BX65="","",IFERROR(INDEX(Clay_Offices!$A$2:$FZ$601,BX65,Sync!$C$7)&amp;"",""))</f>
        <v/>
      </c>
      <c r="BZ65" s="17">
        <f>IF(BY65="","",IFERROR(INDEX(Lists!$J$2:$J$15,MATCH(BY65,Lists!$I$2:$I$15,0)),""))</f>
        <v/>
      </c>
      <c r="CA65" s="17">
        <f>IF(BX65="","",IFERROR(INDEX(Clay_Offices!$A$2:$FZ$601,BX65,Sync!$C$17)&amp;"",""))</f>
        <v/>
      </c>
      <c r="CB65" s="23">
        <f>IF(BX65="","",IFERROR(N(INDEX(Clay_Offices!$A$2:$FZ$601,BX65,Sync!$C$16)),0))</f>
        <v/>
      </c>
    </row>
    <row r="66">
      <c r="G66" s="22" t="n"/>
      <c r="AS66" s="17">
        <f>IF(TRIM($A66)="","",IF(AND(LEFT($A66,6)="SAMPLE",Config!$B$19&lt;&gt;"Y"),"",IF(NOT(ISNUMBER(G66)),"call_date is blank or not a date",IF(Sync!$C$5="","Clay paste is empty or has no row_id column: paste the Clay export on Clay_Offices",IF(BX66="","row_id not found in the Clay paste: add the Clay row or fix the row_id",IF(AND(ISNUMBER(BZ66),BZ66&gt;=1,BZ66&lt;=5),"Clay status is "&amp;BY66&amp;": set call_done or later",IF(AND(AW66=1,CA66&lt;&gt;BS66),"Clay yes_in_principle should be "&amp;BS66,IF(AND(AW66=1,CB66&lt;&gt;G66),"Clay call_date should be "&amp;TEXT(G66,"yyyy-mm-dd"),""))))))))</f>
        <v/>
      </c>
      <c r="AT66" s="17">
        <f>ROW()</f>
        <v/>
      </c>
      <c r="AU66" s="17">
        <f>IF(AND(TRIM($A66)&lt;&gt;"",ISNUMBER(G66)),IF(AND(LEFT($A66,6)="SAMPLE",Config!$B$19&lt;&gt;"Y"),0,1),0)</f>
        <v/>
      </c>
      <c r="AV66" s="17">
        <f>IF(AU66=1,IF(COUNTIFS($A$2:$A$201,$A66,$AU$2:$AU$201,1,$G$2:$G$201,"&lt;"&amp;G66)+COUNTIFS($A$2:$A$201,$A66,$AU$2:$AU$201,1,$G$2:$G$201,G66,$AT$2:$AT$201,"&lt;"&amp;AT66)=0,1,0),0)</f>
        <v/>
      </c>
      <c r="AW66" s="17">
        <f>IF(AU66=1,IF(COUNTIFS($A$2:$A$201,$A66,$AU$2:$AU$201,1,$G$2:$G$201,"&gt;"&amp;G66)+COUNTIFS($A$2:$A$201,$A66,$AU$2:$AU$201,1,$G$2:$G$201,G66,$AT$2:$AT$201,"&gt;"&amp;AT66)=0,1,0),0)</f>
        <v/>
      </c>
      <c r="AX66" s="17">
        <f>IF(AND(AU66=1,AN66="Y",Z66="Y",TRIM(AD66)&lt;&gt;""),1,0)</f>
        <v/>
      </c>
      <c r="AY66" s="17">
        <f>IF(AX66=1,IF(COUNTIFS($A$2:$A$201,$A66,$AX$2:$AX$201,1,$G$2:$G$201,"&lt;"&amp;G66)+COUNTIFS($A$2:$A$201,$A66,$AX$2:$AX$201,1,$G$2:$G$201,G66,$AT$2:$AT$201,"&lt;"&amp;AT66)=0,1,0),0)</f>
        <v/>
      </c>
      <c r="AZ66" s="17">
        <f>IF(AND(AU66=1,AN66="Y",AX66=0),1,0)</f>
        <v/>
      </c>
      <c r="BA66" s="17">
        <f>IF(AND(AU66=1,ISNUMBER(V66)),1,0)</f>
        <v/>
      </c>
      <c r="BB66" s="17">
        <f>IF(BA66=1,IF(COUNTIFS($A$2:$A$201,$A66,$BA$2:$BA$201,1,$G$2:$G$201,"&lt;"&amp;G66)+COUNTIFS($A$2:$A$201,$A66,$BA$2:$BA$201,1,$G$2:$G$201,G66,$AT$2:$AT$201,"&lt;"&amp;AT66)=0,1,0),0)</f>
        <v/>
      </c>
      <c r="BC66" s="17">
        <f>IF(AND(BB66=1,G66&lt;=Config!$B$6),V66,"")</f>
        <v/>
      </c>
      <c r="BD66" s="17">
        <f>IF(AND(BB66=1,G66&lt;=Config!$B$7),V66,"")</f>
        <v/>
      </c>
      <c r="BE66" s="17">
        <f>IF(AND(BB66=1,G66&lt;=Config!$B$8),V66,"")</f>
        <v/>
      </c>
      <c r="BF66" s="17">
        <f>IF(AND(BB66=1,G66&lt;=Config!$B$5),V66,"")</f>
        <v/>
      </c>
      <c r="BG66" s="17">
        <f>IF(BW66=1,IF(COUNTIFS($A$2:$A$201,$A66,$BW$2:$BW$201,1,$G$2:$G$201,"&lt;"&amp;G66)+COUNTIFS($A$2:$A$201,$A66,$BW$2:$BW$201,1,$G$2:$G$201,G66,$AT$2:$AT$201,"&lt;"&amp;AT66)=0,1,0),0)</f>
        <v/>
      </c>
      <c r="BH66" s="17">
        <f>IF(AND(AU66=1,ISNUMBER(K66)),1,0)</f>
        <v/>
      </c>
      <c r="BI66" s="17">
        <f>IF(BH66=1,IF(COUNTIFS($A$2:$A$201,$A66,$BH$2:$BH$201,1,$G$2:$G$201,"&lt;"&amp;G66)+COUNTIFS($A$2:$A$201,$A66,$BH$2:$BH$201,1,$G$2:$G$201,G66,$AT$2:$AT$201,"&lt;"&amp;AT66)=0,1,0),0)</f>
        <v/>
      </c>
      <c r="BJ66" s="17">
        <f>IF(AND(BI66=1,G66&lt;=Config!$B$5),K66,"")</f>
        <v/>
      </c>
      <c r="BK66" s="17">
        <f>IF(AND(AU66=1,OR(TRIM(U66)&lt;&gt;"",ISNUMBER(V66))),1,0)</f>
        <v/>
      </c>
      <c r="BL66" s="17">
        <f>IF(BK66=1,IF(COUNTIFS($A$2:$A$201,$A66,$BK$2:$BK$201,1,$G$2:$G$201,"&lt;"&amp;G66)+COUNTIFS($A$2:$A$201,$A66,$BK$2:$BK$201,1,$G$2:$G$201,G66,$AT$2:$AT$201,"&lt;"&amp;AT66)=0,1,0),0)</f>
        <v/>
      </c>
      <c r="BM66" s="17">
        <f>IF(BL66=1,$A66,"")</f>
        <v/>
      </c>
      <c r="BN66" s="17">
        <f>IF(AND(AU66=1,T66="Y",TRIM(U66)=""),1,0)</f>
        <v/>
      </c>
      <c r="BO66" s="17">
        <f>IF(AU66=1,AJ66&amp;"","")</f>
        <v/>
      </c>
      <c r="BP66" s="17">
        <f>IF(AU66=1,AK66&amp;"","")</f>
        <v/>
      </c>
      <c r="BQ66" s="17">
        <f>IF(AU66=1,AL66&amp;"","")</f>
        <v/>
      </c>
      <c r="BR66" s="17">
        <f>IF(AND(AU66=1,ISNUMBER(AP66),G66&lt;=Config!$B$5),AP66,"")</f>
        <v/>
      </c>
      <c r="BS66" s="17">
        <f>IF(AU66=1,IF(COUNTIFS($A$2:$A$201,$A66,$AN$2:$AN$201,"Y",$AU$2:$AU$201,1)&gt;0,"Y","N"),"")</f>
        <v/>
      </c>
      <c r="BT66" s="17">
        <f>IF(AND(AU66=1,AN66="maybe"),1,0)</f>
        <v/>
      </c>
      <c r="BU66" s="17">
        <f>IF(BT66=1,IF(COUNTIFS($A$2:$A$201,$A66,$BT$2:$BT$201,1,$G$2:$G$201,"&lt;"&amp;G66)+COUNTIFS($A$2:$A$201,$A66,$BT$2:$BT$201,1,$G$2:$G$201,G66,$AT$2:$AT$201,"&lt;"&amp;AT66)=0,1,0),0)</f>
        <v/>
      </c>
      <c r="BV66" s="17">
        <f>IF(AND(AU66=1,AN66="Y"),IF(COUNTIFS($A$2:$A$201,$A66,$AN$2:$AN$201,"Y",$AU$2:$AU$201,1,$G$2:$G$201,"&lt;"&amp;G66)+COUNTIFS($A$2:$A$201,$A66,$AN$2:$AN$201,"Y",$AU$2:$AU$201,1,$G$2:$G$201,G66,$AT$2:$AT$201,"&lt;"&amp;AT66)=0,1,0),0)</f>
        <v/>
      </c>
      <c r="BW66" s="17">
        <f>IF(AND(BA66=1,N(V66)&gt;=Config!$B$15),1,0)</f>
        <v/>
      </c>
      <c r="BX66" s="17">
        <f>IF(AU66=1,IFERROR(MATCH($A66,INDEX(Clay_Offices!$A$2:$FZ$601,0,Sync!$C$5),0),""),"")</f>
        <v/>
      </c>
      <c r="BY66" s="17">
        <f>IF(BX66="","",IFERROR(INDEX(Clay_Offices!$A$2:$FZ$601,BX66,Sync!$C$7)&amp;"",""))</f>
        <v/>
      </c>
      <c r="BZ66" s="17">
        <f>IF(BY66="","",IFERROR(INDEX(Lists!$J$2:$J$15,MATCH(BY66,Lists!$I$2:$I$15,0)),""))</f>
        <v/>
      </c>
      <c r="CA66" s="17">
        <f>IF(BX66="","",IFERROR(INDEX(Clay_Offices!$A$2:$FZ$601,BX66,Sync!$C$17)&amp;"",""))</f>
        <v/>
      </c>
      <c r="CB66" s="23">
        <f>IF(BX66="","",IFERROR(N(INDEX(Clay_Offices!$A$2:$FZ$601,BX66,Sync!$C$16)),0))</f>
        <v/>
      </c>
    </row>
    <row r="67">
      <c r="G67" s="22" t="n"/>
      <c r="AS67" s="17">
        <f>IF(TRIM($A67)="","",IF(AND(LEFT($A67,6)="SAMPLE",Config!$B$19&lt;&gt;"Y"),"",IF(NOT(ISNUMBER(G67)),"call_date is blank or not a date",IF(Sync!$C$5="","Clay paste is empty or has no row_id column: paste the Clay export on Clay_Offices",IF(BX67="","row_id not found in the Clay paste: add the Clay row or fix the row_id",IF(AND(ISNUMBER(BZ67),BZ67&gt;=1,BZ67&lt;=5),"Clay status is "&amp;BY67&amp;": set call_done or later",IF(AND(AW67=1,CA67&lt;&gt;BS67),"Clay yes_in_principle should be "&amp;BS67,IF(AND(AW67=1,CB67&lt;&gt;G67),"Clay call_date should be "&amp;TEXT(G67,"yyyy-mm-dd"),""))))))))</f>
        <v/>
      </c>
      <c r="AT67" s="17">
        <f>ROW()</f>
        <v/>
      </c>
      <c r="AU67" s="17">
        <f>IF(AND(TRIM($A67)&lt;&gt;"",ISNUMBER(G67)),IF(AND(LEFT($A67,6)="SAMPLE",Config!$B$19&lt;&gt;"Y"),0,1),0)</f>
        <v/>
      </c>
      <c r="AV67" s="17">
        <f>IF(AU67=1,IF(COUNTIFS($A$2:$A$201,$A67,$AU$2:$AU$201,1,$G$2:$G$201,"&lt;"&amp;G67)+COUNTIFS($A$2:$A$201,$A67,$AU$2:$AU$201,1,$G$2:$G$201,G67,$AT$2:$AT$201,"&lt;"&amp;AT67)=0,1,0),0)</f>
        <v/>
      </c>
      <c r="AW67" s="17">
        <f>IF(AU67=1,IF(COUNTIFS($A$2:$A$201,$A67,$AU$2:$AU$201,1,$G$2:$G$201,"&gt;"&amp;G67)+COUNTIFS($A$2:$A$201,$A67,$AU$2:$AU$201,1,$G$2:$G$201,G67,$AT$2:$AT$201,"&gt;"&amp;AT67)=0,1,0),0)</f>
        <v/>
      </c>
      <c r="AX67" s="17">
        <f>IF(AND(AU67=1,AN67="Y",Z67="Y",TRIM(AD67)&lt;&gt;""),1,0)</f>
        <v/>
      </c>
      <c r="AY67" s="17">
        <f>IF(AX67=1,IF(COUNTIFS($A$2:$A$201,$A67,$AX$2:$AX$201,1,$G$2:$G$201,"&lt;"&amp;G67)+COUNTIFS($A$2:$A$201,$A67,$AX$2:$AX$201,1,$G$2:$G$201,G67,$AT$2:$AT$201,"&lt;"&amp;AT67)=0,1,0),0)</f>
        <v/>
      </c>
      <c r="AZ67" s="17">
        <f>IF(AND(AU67=1,AN67="Y",AX67=0),1,0)</f>
        <v/>
      </c>
      <c r="BA67" s="17">
        <f>IF(AND(AU67=1,ISNUMBER(V67)),1,0)</f>
        <v/>
      </c>
      <c r="BB67" s="17">
        <f>IF(BA67=1,IF(COUNTIFS($A$2:$A$201,$A67,$BA$2:$BA$201,1,$G$2:$G$201,"&lt;"&amp;G67)+COUNTIFS($A$2:$A$201,$A67,$BA$2:$BA$201,1,$G$2:$G$201,G67,$AT$2:$AT$201,"&lt;"&amp;AT67)=0,1,0),0)</f>
        <v/>
      </c>
      <c r="BC67" s="17">
        <f>IF(AND(BB67=1,G67&lt;=Config!$B$6),V67,"")</f>
        <v/>
      </c>
      <c r="BD67" s="17">
        <f>IF(AND(BB67=1,G67&lt;=Config!$B$7),V67,"")</f>
        <v/>
      </c>
      <c r="BE67" s="17">
        <f>IF(AND(BB67=1,G67&lt;=Config!$B$8),V67,"")</f>
        <v/>
      </c>
      <c r="BF67" s="17">
        <f>IF(AND(BB67=1,G67&lt;=Config!$B$5),V67,"")</f>
        <v/>
      </c>
      <c r="BG67" s="17">
        <f>IF(BW67=1,IF(COUNTIFS($A$2:$A$201,$A67,$BW$2:$BW$201,1,$G$2:$G$201,"&lt;"&amp;G67)+COUNTIFS($A$2:$A$201,$A67,$BW$2:$BW$201,1,$G$2:$G$201,G67,$AT$2:$AT$201,"&lt;"&amp;AT67)=0,1,0),0)</f>
        <v/>
      </c>
      <c r="BH67" s="17">
        <f>IF(AND(AU67=1,ISNUMBER(K67)),1,0)</f>
        <v/>
      </c>
      <c r="BI67" s="17">
        <f>IF(BH67=1,IF(COUNTIFS($A$2:$A$201,$A67,$BH$2:$BH$201,1,$G$2:$G$201,"&lt;"&amp;G67)+COUNTIFS($A$2:$A$201,$A67,$BH$2:$BH$201,1,$G$2:$G$201,G67,$AT$2:$AT$201,"&lt;"&amp;AT67)=0,1,0),0)</f>
        <v/>
      </c>
      <c r="BJ67" s="17">
        <f>IF(AND(BI67=1,G67&lt;=Config!$B$5),K67,"")</f>
        <v/>
      </c>
      <c r="BK67" s="17">
        <f>IF(AND(AU67=1,OR(TRIM(U67)&lt;&gt;"",ISNUMBER(V67))),1,0)</f>
        <v/>
      </c>
      <c r="BL67" s="17">
        <f>IF(BK67=1,IF(COUNTIFS($A$2:$A$201,$A67,$BK$2:$BK$201,1,$G$2:$G$201,"&lt;"&amp;G67)+COUNTIFS($A$2:$A$201,$A67,$BK$2:$BK$201,1,$G$2:$G$201,G67,$AT$2:$AT$201,"&lt;"&amp;AT67)=0,1,0),0)</f>
        <v/>
      </c>
      <c r="BM67" s="17">
        <f>IF(BL67=1,$A67,"")</f>
        <v/>
      </c>
      <c r="BN67" s="17">
        <f>IF(AND(AU67=1,T67="Y",TRIM(U67)=""),1,0)</f>
        <v/>
      </c>
      <c r="BO67" s="17">
        <f>IF(AU67=1,AJ67&amp;"","")</f>
        <v/>
      </c>
      <c r="BP67" s="17">
        <f>IF(AU67=1,AK67&amp;"","")</f>
        <v/>
      </c>
      <c r="BQ67" s="17">
        <f>IF(AU67=1,AL67&amp;"","")</f>
        <v/>
      </c>
      <c r="BR67" s="17">
        <f>IF(AND(AU67=1,ISNUMBER(AP67),G67&lt;=Config!$B$5),AP67,"")</f>
        <v/>
      </c>
      <c r="BS67" s="17">
        <f>IF(AU67=1,IF(COUNTIFS($A$2:$A$201,$A67,$AN$2:$AN$201,"Y",$AU$2:$AU$201,1)&gt;0,"Y","N"),"")</f>
        <v/>
      </c>
      <c r="BT67" s="17">
        <f>IF(AND(AU67=1,AN67="maybe"),1,0)</f>
        <v/>
      </c>
      <c r="BU67" s="17">
        <f>IF(BT67=1,IF(COUNTIFS($A$2:$A$201,$A67,$BT$2:$BT$201,1,$G$2:$G$201,"&lt;"&amp;G67)+COUNTIFS($A$2:$A$201,$A67,$BT$2:$BT$201,1,$G$2:$G$201,G67,$AT$2:$AT$201,"&lt;"&amp;AT67)=0,1,0),0)</f>
        <v/>
      </c>
      <c r="BV67" s="17">
        <f>IF(AND(AU67=1,AN67="Y"),IF(COUNTIFS($A$2:$A$201,$A67,$AN$2:$AN$201,"Y",$AU$2:$AU$201,1,$G$2:$G$201,"&lt;"&amp;G67)+COUNTIFS($A$2:$A$201,$A67,$AN$2:$AN$201,"Y",$AU$2:$AU$201,1,$G$2:$G$201,G67,$AT$2:$AT$201,"&lt;"&amp;AT67)=0,1,0),0)</f>
        <v/>
      </c>
      <c r="BW67" s="17">
        <f>IF(AND(BA67=1,N(V67)&gt;=Config!$B$15),1,0)</f>
        <v/>
      </c>
      <c r="BX67" s="17">
        <f>IF(AU67=1,IFERROR(MATCH($A67,INDEX(Clay_Offices!$A$2:$FZ$601,0,Sync!$C$5),0),""),"")</f>
        <v/>
      </c>
      <c r="BY67" s="17">
        <f>IF(BX67="","",IFERROR(INDEX(Clay_Offices!$A$2:$FZ$601,BX67,Sync!$C$7)&amp;"",""))</f>
        <v/>
      </c>
      <c r="BZ67" s="17">
        <f>IF(BY67="","",IFERROR(INDEX(Lists!$J$2:$J$15,MATCH(BY67,Lists!$I$2:$I$15,0)),""))</f>
        <v/>
      </c>
      <c r="CA67" s="17">
        <f>IF(BX67="","",IFERROR(INDEX(Clay_Offices!$A$2:$FZ$601,BX67,Sync!$C$17)&amp;"",""))</f>
        <v/>
      </c>
      <c r="CB67" s="23">
        <f>IF(BX67="","",IFERROR(N(INDEX(Clay_Offices!$A$2:$FZ$601,BX67,Sync!$C$16)),0))</f>
        <v/>
      </c>
    </row>
    <row r="68">
      <c r="G68" s="22" t="n"/>
      <c r="AS68" s="17">
        <f>IF(TRIM($A68)="","",IF(AND(LEFT($A68,6)="SAMPLE",Config!$B$19&lt;&gt;"Y"),"",IF(NOT(ISNUMBER(G68)),"call_date is blank or not a date",IF(Sync!$C$5="","Clay paste is empty or has no row_id column: paste the Clay export on Clay_Offices",IF(BX68="","row_id not found in the Clay paste: add the Clay row or fix the row_id",IF(AND(ISNUMBER(BZ68),BZ68&gt;=1,BZ68&lt;=5),"Clay status is "&amp;BY68&amp;": set call_done or later",IF(AND(AW68=1,CA68&lt;&gt;BS68),"Clay yes_in_principle should be "&amp;BS68,IF(AND(AW68=1,CB68&lt;&gt;G68),"Clay call_date should be "&amp;TEXT(G68,"yyyy-mm-dd"),""))))))))</f>
        <v/>
      </c>
      <c r="AT68" s="17">
        <f>ROW()</f>
        <v/>
      </c>
      <c r="AU68" s="17">
        <f>IF(AND(TRIM($A68)&lt;&gt;"",ISNUMBER(G68)),IF(AND(LEFT($A68,6)="SAMPLE",Config!$B$19&lt;&gt;"Y"),0,1),0)</f>
        <v/>
      </c>
      <c r="AV68" s="17">
        <f>IF(AU68=1,IF(COUNTIFS($A$2:$A$201,$A68,$AU$2:$AU$201,1,$G$2:$G$201,"&lt;"&amp;G68)+COUNTIFS($A$2:$A$201,$A68,$AU$2:$AU$201,1,$G$2:$G$201,G68,$AT$2:$AT$201,"&lt;"&amp;AT68)=0,1,0),0)</f>
        <v/>
      </c>
      <c r="AW68" s="17">
        <f>IF(AU68=1,IF(COUNTIFS($A$2:$A$201,$A68,$AU$2:$AU$201,1,$G$2:$G$201,"&gt;"&amp;G68)+COUNTIFS($A$2:$A$201,$A68,$AU$2:$AU$201,1,$G$2:$G$201,G68,$AT$2:$AT$201,"&gt;"&amp;AT68)=0,1,0),0)</f>
        <v/>
      </c>
      <c r="AX68" s="17">
        <f>IF(AND(AU68=1,AN68="Y",Z68="Y",TRIM(AD68)&lt;&gt;""),1,0)</f>
        <v/>
      </c>
      <c r="AY68" s="17">
        <f>IF(AX68=1,IF(COUNTIFS($A$2:$A$201,$A68,$AX$2:$AX$201,1,$G$2:$G$201,"&lt;"&amp;G68)+COUNTIFS($A$2:$A$201,$A68,$AX$2:$AX$201,1,$G$2:$G$201,G68,$AT$2:$AT$201,"&lt;"&amp;AT68)=0,1,0),0)</f>
        <v/>
      </c>
      <c r="AZ68" s="17">
        <f>IF(AND(AU68=1,AN68="Y",AX68=0),1,0)</f>
        <v/>
      </c>
      <c r="BA68" s="17">
        <f>IF(AND(AU68=1,ISNUMBER(V68)),1,0)</f>
        <v/>
      </c>
      <c r="BB68" s="17">
        <f>IF(BA68=1,IF(COUNTIFS($A$2:$A$201,$A68,$BA$2:$BA$201,1,$G$2:$G$201,"&lt;"&amp;G68)+COUNTIFS($A$2:$A$201,$A68,$BA$2:$BA$201,1,$G$2:$G$201,G68,$AT$2:$AT$201,"&lt;"&amp;AT68)=0,1,0),0)</f>
        <v/>
      </c>
      <c r="BC68" s="17">
        <f>IF(AND(BB68=1,G68&lt;=Config!$B$6),V68,"")</f>
        <v/>
      </c>
      <c r="BD68" s="17">
        <f>IF(AND(BB68=1,G68&lt;=Config!$B$7),V68,"")</f>
        <v/>
      </c>
      <c r="BE68" s="17">
        <f>IF(AND(BB68=1,G68&lt;=Config!$B$8),V68,"")</f>
        <v/>
      </c>
      <c r="BF68" s="17">
        <f>IF(AND(BB68=1,G68&lt;=Config!$B$5),V68,"")</f>
        <v/>
      </c>
      <c r="BG68" s="17">
        <f>IF(BW68=1,IF(COUNTIFS($A$2:$A$201,$A68,$BW$2:$BW$201,1,$G$2:$G$201,"&lt;"&amp;G68)+COUNTIFS($A$2:$A$201,$A68,$BW$2:$BW$201,1,$G$2:$G$201,G68,$AT$2:$AT$201,"&lt;"&amp;AT68)=0,1,0),0)</f>
        <v/>
      </c>
      <c r="BH68" s="17">
        <f>IF(AND(AU68=1,ISNUMBER(K68)),1,0)</f>
        <v/>
      </c>
      <c r="BI68" s="17">
        <f>IF(BH68=1,IF(COUNTIFS($A$2:$A$201,$A68,$BH$2:$BH$201,1,$G$2:$G$201,"&lt;"&amp;G68)+COUNTIFS($A$2:$A$201,$A68,$BH$2:$BH$201,1,$G$2:$G$201,G68,$AT$2:$AT$201,"&lt;"&amp;AT68)=0,1,0),0)</f>
        <v/>
      </c>
      <c r="BJ68" s="17">
        <f>IF(AND(BI68=1,G68&lt;=Config!$B$5),K68,"")</f>
        <v/>
      </c>
      <c r="BK68" s="17">
        <f>IF(AND(AU68=1,OR(TRIM(U68)&lt;&gt;"",ISNUMBER(V68))),1,0)</f>
        <v/>
      </c>
      <c r="BL68" s="17">
        <f>IF(BK68=1,IF(COUNTIFS($A$2:$A$201,$A68,$BK$2:$BK$201,1,$G$2:$G$201,"&lt;"&amp;G68)+COUNTIFS($A$2:$A$201,$A68,$BK$2:$BK$201,1,$G$2:$G$201,G68,$AT$2:$AT$201,"&lt;"&amp;AT68)=0,1,0),0)</f>
        <v/>
      </c>
      <c r="BM68" s="17">
        <f>IF(BL68=1,$A68,"")</f>
        <v/>
      </c>
      <c r="BN68" s="17">
        <f>IF(AND(AU68=1,T68="Y",TRIM(U68)=""),1,0)</f>
        <v/>
      </c>
      <c r="BO68" s="17">
        <f>IF(AU68=1,AJ68&amp;"","")</f>
        <v/>
      </c>
      <c r="BP68" s="17">
        <f>IF(AU68=1,AK68&amp;"","")</f>
        <v/>
      </c>
      <c r="BQ68" s="17">
        <f>IF(AU68=1,AL68&amp;"","")</f>
        <v/>
      </c>
      <c r="BR68" s="17">
        <f>IF(AND(AU68=1,ISNUMBER(AP68),G68&lt;=Config!$B$5),AP68,"")</f>
        <v/>
      </c>
      <c r="BS68" s="17">
        <f>IF(AU68=1,IF(COUNTIFS($A$2:$A$201,$A68,$AN$2:$AN$201,"Y",$AU$2:$AU$201,1)&gt;0,"Y","N"),"")</f>
        <v/>
      </c>
      <c r="BT68" s="17">
        <f>IF(AND(AU68=1,AN68="maybe"),1,0)</f>
        <v/>
      </c>
      <c r="BU68" s="17">
        <f>IF(BT68=1,IF(COUNTIFS($A$2:$A$201,$A68,$BT$2:$BT$201,1,$G$2:$G$201,"&lt;"&amp;G68)+COUNTIFS($A$2:$A$201,$A68,$BT$2:$BT$201,1,$G$2:$G$201,G68,$AT$2:$AT$201,"&lt;"&amp;AT68)=0,1,0),0)</f>
        <v/>
      </c>
      <c r="BV68" s="17">
        <f>IF(AND(AU68=1,AN68="Y"),IF(COUNTIFS($A$2:$A$201,$A68,$AN$2:$AN$201,"Y",$AU$2:$AU$201,1,$G$2:$G$201,"&lt;"&amp;G68)+COUNTIFS($A$2:$A$201,$A68,$AN$2:$AN$201,"Y",$AU$2:$AU$201,1,$G$2:$G$201,G68,$AT$2:$AT$201,"&lt;"&amp;AT68)=0,1,0),0)</f>
        <v/>
      </c>
      <c r="BW68" s="17">
        <f>IF(AND(BA68=1,N(V68)&gt;=Config!$B$15),1,0)</f>
        <v/>
      </c>
      <c r="BX68" s="17">
        <f>IF(AU68=1,IFERROR(MATCH($A68,INDEX(Clay_Offices!$A$2:$FZ$601,0,Sync!$C$5),0),""),"")</f>
        <v/>
      </c>
      <c r="BY68" s="17">
        <f>IF(BX68="","",IFERROR(INDEX(Clay_Offices!$A$2:$FZ$601,BX68,Sync!$C$7)&amp;"",""))</f>
        <v/>
      </c>
      <c r="BZ68" s="17">
        <f>IF(BY68="","",IFERROR(INDEX(Lists!$J$2:$J$15,MATCH(BY68,Lists!$I$2:$I$15,0)),""))</f>
        <v/>
      </c>
      <c r="CA68" s="17">
        <f>IF(BX68="","",IFERROR(INDEX(Clay_Offices!$A$2:$FZ$601,BX68,Sync!$C$17)&amp;"",""))</f>
        <v/>
      </c>
      <c r="CB68" s="23">
        <f>IF(BX68="","",IFERROR(N(INDEX(Clay_Offices!$A$2:$FZ$601,BX68,Sync!$C$16)),0))</f>
        <v/>
      </c>
    </row>
    <row r="69">
      <c r="G69" s="22" t="n"/>
      <c r="AS69" s="17">
        <f>IF(TRIM($A69)="","",IF(AND(LEFT($A69,6)="SAMPLE",Config!$B$19&lt;&gt;"Y"),"",IF(NOT(ISNUMBER(G69)),"call_date is blank or not a date",IF(Sync!$C$5="","Clay paste is empty or has no row_id column: paste the Clay export on Clay_Offices",IF(BX69="","row_id not found in the Clay paste: add the Clay row or fix the row_id",IF(AND(ISNUMBER(BZ69),BZ69&gt;=1,BZ69&lt;=5),"Clay status is "&amp;BY69&amp;": set call_done or later",IF(AND(AW69=1,CA69&lt;&gt;BS69),"Clay yes_in_principle should be "&amp;BS69,IF(AND(AW69=1,CB69&lt;&gt;G69),"Clay call_date should be "&amp;TEXT(G69,"yyyy-mm-dd"),""))))))))</f>
        <v/>
      </c>
      <c r="AT69" s="17">
        <f>ROW()</f>
        <v/>
      </c>
      <c r="AU69" s="17">
        <f>IF(AND(TRIM($A69)&lt;&gt;"",ISNUMBER(G69)),IF(AND(LEFT($A69,6)="SAMPLE",Config!$B$19&lt;&gt;"Y"),0,1),0)</f>
        <v/>
      </c>
      <c r="AV69" s="17">
        <f>IF(AU69=1,IF(COUNTIFS($A$2:$A$201,$A69,$AU$2:$AU$201,1,$G$2:$G$201,"&lt;"&amp;G69)+COUNTIFS($A$2:$A$201,$A69,$AU$2:$AU$201,1,$G$2:$G$201,G69,$AT$2:$AT$201,"&lt;"&amp;AT69)=0,1,0),0)</f>
        <v/>
      </c>
      <c r="AW69" s="17">
        <f>IF(AU69=1,IF(COUNTIFS($A$2:$A$201,$A69,$AU$2:$AU$201,1,$G$2:$G$201,"&gt;"&amp;G69)+COUNTIFS($A$2:$A$201,$A69,$AU$2:$AU$201,1,$G$2:$G$201,G69,$AT$2:$AT$201,"&gt;"&amp;AT69)=0,1,0),0)</f>
        <v/>
      </c>
      <c r="AX69" s="17">
        <f>IF(AND(AU69=1,AN69="Y",Z69="Y",TRIM(AD69)&lt;&gt;""),1,0)</f>
        <v/>
      </c>
      <c r="AY69" s="17">
        <f>IF(AX69=1,IF(COUNTIFS($A$2:$A$201,$A69,$AX$2:$AX$201,1,$G$2:$G$201,"&lt;"&amp;G69)+COUNTIFS($A$2:$A$201,$A69,$AX$2:$AX$201,1,$G$2:$G$201,G69,$AT$2:$AT$201,"&lt;"&amp;AT69)=0,1,0),0)</f>
        <v/>
      </c>
      <c r="AZ69" s="17">
        <f>IF(AND(AU69=1,AN69="Y",AX69=0),1,0)</f>
        <v/>
      </c>
      <c r="BA69" s="17">
        <f>IF(AND(AU69=1,ISNUMBER(V69)),1,0)</f>
        <v/>
      </c>
      <c r="BB69" s="17">
        <f>IF(BA69=1,IF(COUNTIFS($A$2:$A$201,$A69,$BA$2:$BA$201,1,$G$2:$G$201,"&lt;"&amp;G69)+COUNTIFS($A$2:$A$201,$A69,$BA$2:$BA$201,1,$G$2:$G$201,G69,$AT$2:$AT$201,"&lt;"&amp;AT69)=0,1,0),0)</f>
        <v/>
      </c>
      <c r="BC69" s="17">
        <f>IF(AND(BB69=1,G69&lt;=Config!$B$6),V69,"")</f>
        <v/>
      </c>
      <c r="BD69" s="17">
        <f>IF(AND(BB69=1,G69&lt;=Config!$B$7),V69,"")</f>
        <v/>
      </c>
      <c r="BE69" s="17">
        <f>IF(AND(BB69=1,G69&lt;=Config!$B$8),V69,"")</f>
        <v/>
      </c>
      <c r="BF69" s="17">
        <f>IF(AND(BB69=1,G69&lt;=Config!$B$5),V69,"")</f>
        <v/>
      </c>
      <c r="BG69" s="17">
        <f>IF(BW69=1,IF(COUNTIFS($A$2:$A$201,$A69,$BW$2:$BW$201,1,$G$2:$G$201,"&lt;"&amp;G69)+COUNTIFS($A$2:$A$201,$A69,$BW$2:$BW$201,1,$G$2:$G$201,G69,$AT$2:$AT$201,"&lt;"&amp;AT69)=0,1,0),0)</f>
        <v/>
      </c>
      <c r="BH69" s="17">
        <f>IF(AND(AU69=1,ISNUMBER(K69)),1,0)</f>
        <v/>
      </c>
      <c r="BI69" s="17">
        <f>IF(BH69=1,IF(COUNTIFS($A$2:$A$201,$A69,$BH$2:$BH$201,1,$G$2:$G$201,"&lt;"&amp;G69)+COUNTIFS($A$2:$A$201,$A69,$BH$2:$BH$201,1,$G$2:$G$201,G69,$AT$2:$AT$201,"&lt;"&amp;AT69)=0,1,0),0)</f>
        <v/>
      </c>
      <c r="BJ69" s="17">
        <f>IF(AND(BI69=1,G69&lt;=Config!$B$5),K69,"")</f>
        <v/>
      </c>
      <c r="BK69" s="17">
        <f>IF(AND(AU69=1,OR(TRIM(U69)&lt;&gt;"",ISNUMBER(V69))),1,0)</f>
        <v/>
      </c>
      <c r="BL69" s="17">
        <f>IF(BK69=1,IF(COUNTIFS($A$2:$A$201,$A69,$BK$2:$BK$201,1,$G$2:$G$201,"&lt;"&amp;G69)+COUNTIFS($A$2:$A$201,$A69,$BK$2:$BK$201,1,$G$2:$G$201,G69,$AT$2:$AT$201,"&lt;"&amp;AT69)=0,1,0),0)</f>
        <v/>
      </c>
      <c r="BM69" s="17">
        <f>IF(BL69=1,$A69,"")</f>
        <v/>
      </c>
      <c r="BN69" s="17">
        <f>IF(AND(AU69=1,T69="Y",TRIM(U69)=""),1,0)</f>
        <v/>
      </c>
      <c r="BO69" s="17">
        <f>IF(AU69=1,AJ69&amp;"","")</f>
        <v/>
      </c>
      <c r="BP69" s="17">
        <f>IF(AU69=1,AK69&amp;"","")</f>
        <v/>
      </c>
      <c r="BQ69" s="17">
        <f>IF(AU69=1,AL69&amp;"","")</f>
        <v/>
      </c>
      <c r="BR69" s="17">
        <f>IF(AND(AU69=1,ISNUMBER(AP69),G69&lt;=Config!$B$5),AP69,"")</f>
        <v/>
      </c>
      <c r="BS69" s="17">
        <f>IF(AU69=1,IF(COUNTIFS($A$2:$A$201,$A69,$AN$2:$AN$201,"Y",$AU$2:$AU$201,1)&gt;0,"Y","N"),"")</f>
        <v/>
      </c>
      <c r="BT69" s="17">
        <f>IF(AND(AU69=1,AN69="maybe"),1,0)</f>
        <v/>
      </c>
      <c r="BU69" s="17">
        <f>IF(BT69=1,IF(COUNTIFS($A$2:$A$201,$A69,$BT$2:$BT$201,1,$G$2:$G$201,"&lt;"&amp;G69)+COUNTIFS($A$2:$A$201,$A69,$BT$2:$BT$201,1,$G$2:$G$201,G69,$AT$2:$AT$201,"&lt;"&amp;AT69)=0,1,0),0)</f>
        <v/>
      </c>
      <c r="BV69" s="17">
        <f>IF(AND(AU69=1,AN69="Y"),IF(COUNTIFS($A$2:$A$201,$A69,$AN$2:$AN$201,"Y",$AU$2:$AU$201,1,$G$2:$G$201,"&lt;"&amp;G69)+COUNTIFS($A$2:$A$201,$A69,$AN$2:$AN$201,"Y",$AU$2:$AU$201,1,$G$2:$G$201,G69,$AT$2:$AT$201,"&lt;"&amp;AT69)=0,1,0),0)</f>
        <v/>
      </c>
      <c r="BW69" s="17">
        <f>IF(AND(BA69=1,N(V69)&gt;=Config!$B$15),1,0)</f>
        <v/>
      </c>
      <c r="BX69" s="17">
        <f>IF(AU69=1,IFERROR(MATCH($A69,INDEX(Clay_Offices!$A$2:$FZ$601,0,Sync!$C$5),0),""),"")</f>
        <v/>
      </c>
      <c r="BY69" s="17">
        <f>IF(BX69="","",IFERROR(INDEX(Clay_Offices!$A$2:$FZ$601,BX69,Sync!$C$7)&amp;"",""))</f>
        <v/>
      </c>
      <c r="BZ69" s="17">
        <f>IF(BY69="","",IFERROR(INDEX(Lists!$J$2:$J$15,MATCH(BY69,Lists!$I$2:$I$15,0)),""))</f>
        <v/>
      </c>
      <c r="CA69" s="17">
        <f>IF(BX69="","",IFERROR(INDEX(Clay_Offices!$A$2:$FZ$601,BX69,Sync!$C$17)&amp;"",""))</f>
        <v/>
      </c>
      <c r="CB69" s="23">
        <f>IF(BX69="","",IFERROR(N(INDEX(Clay_Offices!$A$2:$FZ$601,BX69,Sync!$C$16)),0))</f>
        <v/>
      </c>
    </row>
    <row r="70">
      <c r="G70" s="22" t="n"/>
      <c r="AS70" s="17">
        <f>IF(TRIM($A70)="","",IF(AND(LEFT($A70,6)="SAMPLE",Config!$B$19&lt;&gt;"Y"),"",IF(NOT(ISNUMBER(G70)),"call_date is blank or not a date",IF(Sync!$C$5="","Clay paste is empty or has no row_id column: paste the Clay export on Clay_Offices",IF(BX70="","row_id not found in the Clay paste: add the Clay row or fix the row_id",IF(AND(ISNUMBER(BZ70),BZ70&gt;=1,BZ70&lt;=5),"Clay status is "&amp;BY70&amp;": set call_done or later",IF(AND(AW70=1,CA70&lt;&gt;BS70),"Clay yes_in_principle should be "&amp;BS70,IF(AND(AW70=1,CB70&lt;&gt;G70),"Clay call_date should be "&amp;TEXT(G70,"yyyy-mm-dd"),""))))))))</f>
        <v/>
      </c>
      <c r="AT70" s="17">
        <f>ROW()</f>
        <v/>
      </c>
      <c r="AU70" s="17">
        <f>IF(AND(TRIM($A70)&lt;&gt;"",ISNUMBER(G70)),IF(AND(LEFT($A70,6)="SAMPLE",Config!$B$19&lt;&gt;"Y"),0,1),0)</f>
        <v/>
      </c>
      <c r="AV70" s="17">
        <f>IF(AU70=1,IF(COUNTIFS($A$2:$A$201,$A70,$AU$2:$AU$201,1,$G$2:$G$201,"&lt;"&amp;G70)+COUNTIFS($A$2:$A$201,$A70,$AU$2:$AU$201,1,$G$2:$G$201,G70,$AT$2:$AT$201,"&lt;"&amp;AT70)=0,1,0),0)</f>
        <v/>
      </c>
      <c r="AW70" s="17">
        <f>IF(AU70=1,IF(COUNTIFS($A$2:$A$201,$A70,$AU$2:$AU$201,1,$G$2:$G$201,"&gt;"&amp;G70)+COUNTIFS($A$2:$A$201,$A70,$AU$2:$AU$201,1,$G$2:$G$201,G70,$AT$2:$AT$201,"&gt;"&amp;AT70)=0,1,0),0)</f>
        <v/>
      </c>
      <c r="AX70" s="17">
        <f>IF(AND(AU70=1,AN70="Y",Z70="Y",TRIM(AD70)&lt;&gt;""),1,0)</f>
        <v/>
      </c>
      <c r="AY70" s="17">
        <f>IF(AX70=1,IF(COUNTIFS($A$2:$A$201,$A70,$AX$2:$AX$201,1,$G$2:$G$201,"&lt;"&amp;G70)+COUNTIFS($A$2:$A$201,$A70,$AX$2:$AX$201,1,$G$2:$G$201,G70,$AT$2:$AT$201,"&lt;"&amp;AT70)=0,1,0),0)</f>
        <v/>
      </c>
      <c r="AZ70" s="17">
        <f>IF(AND(AU70=1,AN70="Y",AX70=0),1,0)</f>
        <v/>
      </c>
      <c r="BA70" s="17">
        <f>IF(AND(AU70=1,ISNUMBER(V70)),1,0)</f>
        <v/>
      </c>
      <c r="BB70" s="17">
        <f>IF(BA70=1,IF(COUNTIFS($A$2:$A$201,$A70,$BA$2:$BA$201,1,$G$2:$G$201,"&lt;"&amp;G70)+COUNTIFS($A$2:$A$201,$A70,$BA$2:$BA$201,1,$G$2:$G$201,G70,$AT$2:$AT$201,"&lt;"&amp;AT70)=0,1,0),0)</f>
        <v/>
      </c>
      <c r="BC70" s="17">
        <f>IF(AND(BB70=1,G70&lt;=Config!$B$6),V70,"")</f>
        <v/>
      </c>
      <c r="BD70" s="17">
        <f>IF(AND(BB70=1,G70&lt;=Config!$B$7),V70,"")</f>
        <v/>
      </c>
      <c r="BE70" s="17">
        <f>IF(AND(BB70=1,G70&lt;=Config!$B$8),V70,"")</f>
        <v/>
      </c>
      <c r="BF70" s="17">
        <f>IF(AND(BB70=1,G70&lt;=Config!$B$5),V70,"")</f>
        <v/>
      </c>
      <c r="BG70" s="17">
        <f>IF(BW70=1,IF(COUNTIFS($A$2:$A$201,$A70,$BW$2:$BW$201,1,$G$2:$G$201,"&lt;"&amp;G70)+COUNTIFS($A$2:$A$201,$A70,$BW$2:$BW$201,1,$G$2:$G$201,G70,$AT$2:$AT$201,"&lt;"&amp;AT70)=0,1,0),0)</f>
        <v/>
      </c>
      <c r="BH70" s="17">
        <f>IF(AND(AU70=1,ISNUMBER(K70)),1,0)</f>
        <v/>
      </c>
      <c r="BI70" s="17">
        <f>IF(BH70=1,IF(COUNTIFS($A$2:$A$201,$A70,$BH$2:$BH$201,1,$G$2:$G$201,"&lt;"&amp;G70)+COUNTIFS($A$2:$A$201,$A70,$BH$2:$BH$201,1,$G$2:$G$201,G70,$AT$2:$AT$201,"&lt;"&amp;AT70)=0,1,0),0)</f>
        <v/>
      </c>
      <c r="BJ70" s="17">
        <f>IF(AND(BI70=1,G70&lt;=Config!$B$5),K70,"")</f>
        <v/>
      </c>
      <c r="BK70" s="17">
        <f>IF(AND(AU70=1,OR(TRIM(U70)&lt;&gt;"",ISNUMBER(V70))),1,0)</f>
        <v/>
      </c>
      <c r="BL70" s="17">
        <f>IF(BK70=1,IF(COUNTIFS($A$2:$A$201,$A70,$BK$2:$BK$201,1,$G$2:$G$201,"&lt;"&amp;G70)+COUNTIFS($A$2:$A$201,$A70,$BK$2:$BK$201,1,$G$2:$G$201,G70,$AT$2:$AT$201,"&lt;"&amp;AT70)=0,1,0),0)</f>
        <v/>
      </c>
      <c r="BM70" s="17">
        <f>IF(BL70=1,$A70,"")</f>
        <v/>
      </c>
      <c r="BN70" s="17">
        <f>IF(AND(AU70=1,T70="Y",TRIM(U70)=""),1,0)</f>
        <v/>
      </c>
      <c r="BO70" s="17">
        <f>IF(AU70=1,AJ70&amp;"","")</f>
        <v/>
      </c>
      <c r="BP70" s="17">
        <f>IF(AU70=1,AK70&amp;"","")</f>
        <v/>
      </c>
      <c r="BQ70" s="17">
        <f>IF(AU70=1,AL70&amp;"","")</f>
        <v/>
      </c>
      <c r="BR70" s="17">
        <f>IF(AND(AU70=1,ISNUMBER(AP70),G70&lt;=Config!$B$5),AP70,"")</f>
        <v/>
      </c>
      <c r="BS70" s="17">
        <f>IF(AU70=1,IF(COUNTIFS($A$2:$A$201,$A70,$AN$2:$AN$201,"Y",$AU$2:$AU$201,1)&gt;0,"Y","N"),"")</f>
        <v/>
      </c>
      <c r="BT70" s="17">
        <f>IF(AND(AU70=1,AN70="maybe"),1,0)</f>
        <v/>
      </c>
      <c r="BU70" s="17">
        <f>IF(BT70=1,IF(COUNTIFS($A$2:$A$201,$A70,$BT$2:$BT$201,1,$G$2:$G$201,"&lt;"&amp;G70)+COUNTIFS($A$2:$A$201,$A70,$BT$2:$BT$201,1,$G$2:$G$201,G70,$AT$2:$AT$201,"&lt;"&amp;AT70)=0,1,0),0)</f>
        <v/>
      </c>
      <c r="BV70" s="17">
        <f>IF(AND(AU70=1,AN70="Y"),IF(COUNTIFS($A$2:$A$201,$A70,$AN$2:$AN$201,"Y",$AU$2:$AU$201,1,$G$2:$G$201,"&lt;"&amp;G70)+COUNTIFS($A$2:$A$201,$A70,$AN$2:$AN$201,"Y",$AU$2:$AU$201,1,$G$2:$G$201,G70,$AT$2:$AT$201,"&lt;"&amp;AT70)=0,1,0),0)</f>
        <v/>
      </c>
      <c r="BW70" s="17">
        <f>IF(AND(BA70=1,N(V70)&gt;=Config!$B$15),1,0)</f>
        <v/>
      </c>
      <c r="BX70" s="17">
        <f>IF(AU70=1,IFERROR(MATCH($A70,INDEX(Clay_Offices!$A$2:$FZ$601,0,Sync!$C$5),0),""),"")</f>
        <v/>
      </c>
      <c r="BY70" s="17">
        <f>IF(BX70="","",IFERROR(INDEX(Clay_Offices!$A$2:$FZ$601,BX70,Sync!$C$7)&amp;"",""))</f>
        <v/>
      </c>
      <c r="BZ70" s="17">
        <f>IF(BY70="","",IFERROR(INDEX(Lists!$J$2:$J$15,MATCH(BY70,Lists!$I$2:$I$15,0)),""))</f>
        <v/>
      </c>
      <c r="CA70" s="17">
        <f>IF(BX70="","",IFERROR(INDEX(Clay_Offices!$A$2:$FZ$601,BX70,Sync!$C$17)&amp;"",""))</f>
        <v/>
      </c>
      <c r="CB70" s="23">
        <f>IF(BX70="","",IFERROR(N(INDEX(Clay_Offices!$A$2:$FZ$601,BX70,Sync!$C$16)),0))</f>
        <v/>
      </c>
    </row>
    <row r="71">
      <c r="G71" s="22" t="n"/>
      <c r="AS71" s="17">
        <f>IF(TRIM($A71)="","",IF(AND(LEFT($A71,6)="SAMPLE",Config!$B$19&lt;&gt;"Y"),"",IF(NOT(ISNUMBER(G71)),"call_date is blank or not a date",IF(Sync!$C$5="","Clay paste is empty or has no row_id column: paste the Clay export on Clay_Offices",IF(BX71="","row_id not found in the Clay paste: add the Clay row or fix the row_id",IF(AND(ISNUMBER(BZ71),BZ71&gt;=1,BZ71&lt;=5),"Clay status is "&amp;BY71&amp;": set call_done or later",IF(AND(AW71=1,CA71&lt;&gt;BS71),"Clay yes_in_principle should be "&amp;BS71,IF(AND(AW71=1,CB71&lt;&gt;G71),"Clay call_date should be "&amp;TEXT(G71,"yyyy-mm-dd"),""))))))))</f>
        <v/>
      </c>
      <c r="AT71" s="17">
        <f>ROW()</f>
        <v/>
      </c>
      <c r="AU71" s="17">
        <f>IF(AND(TRIM($A71)&lt;&gt;"",ISNUMBER(G71)),IF(AND(LEFT($A71,6)="SAMPLE",Config!$B$19&lt;&gt;"Y"),0,1),0)</f>
        <v/>
      </c>
      <c r="AV71" s="17">
        <f>IF(AU71=1,IF(COUNTIFS($A$2:$A$201,$A71,$AU$2:$AU$201,1,$G$2:$G$201,"&lt;"&amp;G71)+COUNTIFS($A$2:$A$201,$A71,$AU$2:$AU$201,1,$G$2:$G$201,G71,$AT$2:$AT$201,"&lt;"&amp;AT71)=0,1,0),0)</f>
        <v/>
      </c>
      <c r="AW71" s="17">
        <f>IF(AU71=1,IF(COUNTIFS($A$2:$A$201,$A71,$AU$2:$AU$201,1,$G$2:$G$201,"&gt;"&amp;G71)+COUNTIFS($A$2:$A$201,$A71,$AU$2:$AU$201,1,$G$2:$G$201,G71,$AT$2:$AT$201,"&gt;"&amp;AT71)=0,1,0),0)</f>
        <v/>
      </c>
      <c r="AX71" s="17">
        <f>IF(AND(AU71=1,AN71="Y",Z71="Y",TRIM(AD71)&lt;&gt;""),1,0)</f>
        <v/>
      </c>
      <c r="AY71" s="17">
        <f>IF(AX71=1,IF(COUNTIFS($A$2:$A$201,$A71,$AX$2:$AX$201,1,$G$2:$G$201,"&lt;"&amp;G71)+COUNTIFS($A$2:$A$201,$A71,$AX$2:$AX$201,1,$G$2:$G$201,G71,$AT$2:$AT$201,"&lt;"&amp;AT71)=0,1,0),0)</f>
        <v/>
      </c>
      <c r="AZ71" s="17">
        <f>IF(AND(AU71=1,AN71="Y",AX71=0),1,0)</f>
        <v/>
      </c>
      <c r="BA71" s="17">
        <f>IF(AND(AU71=1,ISNUMBER(V71)),1,0)</f>
        <v/>
      </c>
      <c r="BB71" s="17">
        <f>IF(BA71=1,IF(COUNTIFS($A$2:$A$201,$A71,$BA$2:$BA$201,1,$G$2:$G$201,"&lt;"&amp;G71)+COUNTIFS($A$2:$A$201,$A71,$BA$2:$BA$201,1,$G$2:$G$201,G71,$AT$2:$AT$201,"&lt;"&amp;AT71)=0,1,0),0)</f>
        <v/>
      </c>
      <c r="BC71" s="17">
        <f>IF(AND(BB71=1,G71&lt;=Config!$B$6),V71,"")</f>
        <v/>
      </c>
      <c r="BD71" s="17">
        <f>IF(AND(BB71=1,G71&lt;=Config!$B$7),V71,"")</f>
        <v/>
      </c>
      <c r="BE71" s="17">
        <f>IF(AND(BB71=1,G71&lt;=Config!$B$8),V71,"")</f>
        <v/>
      </c>
      <c r="BF71" s="17">
        <f>IF(AND(BB71=1,G71&lt;=Config!$B$5),V71,"")</f>
        <v/>
      </c>
      <c r="BG71" s="17">
        <f>IF(BW71=1,IF(COUNTIFS($A$2:$A$201,$A71,$BW$2:$BW$201,1,$G$2:$G$201,"&lt;"&amp;G71)+COUNTIFS($A$2:$A$201,$A71,$BW$2:$BW$201,1,$G$2:$G$201,G71,$AT$2:$AT$201,"&lt;"&amp;AT71)=0,1,0),0)</f>
        <v/>
      </c>
      <c r="BH71" s="17">
        <f>IF(AND(AU71=1,ISNUMBER(K71)),1,0)</f>
        <v/>
      </c>
      <c r="BI71" s="17">
        <f>IF(BH71=1,IF(COUNTIFS($A$2:$A$201,$A71,$BH$2:$BH$201,1,$G$2:$G$201,"&lt;"&amp;G71)+COUNTIFS($A$2:$A$201,$A71,$BH$2:$BH$201,1,$G$2:$G$201,G71,$AT$2:$AT$201,"&lt;"&amp;AT71)=0,1,0),0)</f>
        <v/>
      </c>
      <c r="BJ71" s="17">
        <f>IF(AND(BI71=1,G71&lt;=Config!$B$5),K71,"")</f>
        <v/>
      </c>
      <c r="BK71" s="17">
        <f>IF(AND(AU71=1,OR(TRIM(U71)&lt;&gt;"",ISNUMBER(V71))),1,0)</f>
        <v/>
      </c>
      <c r="BL71" s="17">
        <f>IF(BK71=1,IF(COUNTIFS($A$2:$A$201,$A71,$BK$2:$BK$201,1,$G$2:$G$201,"&lt;"&amp;G71)+COUNTIFS($A$2:$A$201,$A71,$BK$2:$BK$201,1,$G$2:$G$201,G71,$AT$2:$AT$201,"&lt;"&amp;AT71)=0,1,0),0)</f>
        <v/>
      </c>
      <c r="BM71" s="17">
        <f>IF(BL71=1,$A71,"")</f>
        <v/>
      </c>
      <c r="BN71" s="17">
        <f>IF(AND(AU71=1,T71="Y",TRIM(U71)=""),1,0)</f>
        <v/>
      </c>
      <c r="BO71" s="17">
        <f>IF(AU71=1,AJ71&amp;"","")</f>
        <v/>
      </c>
      <c r="BP71" s="17">
        <f>IF(AU71=1,AK71&amp;"","")</f>
        <v/>
      </c>
      <c r="BQ71" s="17">
        <f>IF(AU71=1,AL71&amp;"","")</f>
        <v/>
      </c>
      <c r="BR71" s="17">
        <f>IF(AND(AU71=1,ISNUMBER(AP71),G71&lt;=Config!$B$5),AP71,"")</f>
        <v/>
      </c>
      <c r="BS71" s="17">
        <f>IF(AU71=1,IF(COUNTIFS($A$2:$A$201,$A71,$AN$2:$AN$201,"Y",$AU$2:$AU$201,1)&gt;0,"Y","N"),"")</f>
        <v/>
      </c>
      <c r="BT71" s="17">
        <f>IF(AND(AU71=1,AN71="maybe"),1,0)</f>
        <v/>
      </c>
      <c r="BU71" s="17">
        <f>IF(BT71=1,IF(COUNTIFS($A$2:$A$201,$A71,$BT$2:$BT$201,1,$G$2:$G$201,"&lt;"&amp;G71)+COUNTIFS($A$2:$A$201,$A71,$BT$2:$BT$201,1,$G$2:$G$201,G71,$AT$2:$AT$201,"&lt;"&amp;AT71)=0,1,0),0)</f>
        <v/>
      </c>
      <c r="BV71" s="17">
        <f>IF(AND(AU71=1,AN71="Y"),IF(COUNTIFS($A$2:$A$201,$A71,$AN$2:$AN$201,"Y",$AU$2:$AU$201,1,$G$2:$G$201,"&lt;"&amp;G71)+COUNTIFS($A$2:$A$201,$A71,$AN$2:$AN$201,"Y",$AU$2:$AU$201,1,$G$2:$G$201,G71,$AT$2:$AT$201,"&lt;"&amp;AT71)=0,1,0),0)</f>
        <v/>
      </c>
      <c r="BW71" s="17">
        <f>IF(AND(BA71=1,N(V71)&gt;=Config!$B$15),1,0)</f>
        <v/>
      </c>
      <c r="BX71" s="17">
        <f>IF(AU71=1,IFERROR(MATCH($A71,INDEX(Clay_Offices!$A$2:$FZ$601,0,Sync!$C$5),0),""),"")</f>
        <v/>
      </c>
      <c r="BY71" s="17">
        <f>IF(BX71="","",IFERROR(INDEX(Clay_Offices!$A$2:$FZ$601,BX71,Sync!$C$7)&amp;"",""))</f>
        <v/>
      </c>
      <c r="BZ71" s="17">
        <f>IF(BY71="","",IFERROR(INDEX(Lists!$J$2:$J$15,MATCH(BY71,Lists!$I$2:$I$15,0)),""))</f>
        <v/>
      </c>
      <c r="CA71" s="17">
        <f>IF(BX71="","",IFERROR(INDEX(Clay_Offices!$A$2:$FZ$601,BX71,Sync!$C$17)&amp;"",""))</f>
        <v/>
      </c>
      <c r="CB71" s="23">
        <f>IF(BX71="","",IFERROR(N(INDEX(Clay_Offices!$A$2:$FZ$601,BX71,Sync!$C$16)),0))</f>
        <v/>
      </c>
    </row>
    <row r="72">
      <c r="G72" s="22" t="n"/>
      <c r="AS72" s="17">
        <f>IF(TRIM($A72)="","",IF(AND(LEFT($A72,6)="SAMPLE",Config!$B$19&lt;&gt;"Y"),"",IF(NOT(ISNUMBER(G72)),"call_date is blank or not a date",IF(Sync!$C$5="","Clay paste is empty or has no row_id column: paste the Clay export on Clay_Offices",IF(BX72="","row_id not found in the Clay paste: add the Clay row or fix the row_id",IF(AND(ISNUMBER(BZ72),BZ72&gt;=1,BZ72&lt;=5),"Clay status is "&amp;BY72&amp;": set call_done or later",IF(AND(AW72=1,CA72&lt;&gt;BS72),"Clay yes_in_principle should be "&amp;BS72,IF(AND(AW72=1,CB72&lt;&gt;G72),"Clay call_date should be "&amp;TEXT(G72,"yyyy-mm-dd"),""))))))))</f>
        <v/>
      </c>
      <c r="AT72" s="17">
        <f>ROW()</f>
        <v/>
      </c>
      <c r="AU72" s="17">
        <f>IF(AND(TRIM($A72)&lt;&gt;"",ISNUMBER(G72)),IF(AND(LEFT($A72,6)="SAMPLE",Config!$B$19&lt;&gt;"Y"),0,1),0)</f>
        <v/>
      </c>
      <c r="AV72" s="17">
        <f>IF(AU72=1,IF(COUNTIFS($A$2:$A$201,$A72,$AU$2:$AU$201,1,$G$2:$G$201,"&lt;"&amp;G72)+COUNTIFS($A$2:$A$201,$A72,$AU$2:$AU$201,1,$G$2:$G$201,G72,$AT$2:$AT$201,"&lt;"&amp;AT72)=0,1,0),0)</f>
        <v/>
      </c>
      <c r="AW72" s="17">
        <f>IF(AU72=1,IF(COUNTIFS($A$2:$A$201,$A72,$AU$2:$AU$201,1,$G$2:$G$201,"&gt;"&amp;G72)+COUNTIFS($A$2:$A$201,$A72,$AU$2:$AU$201,1,$G$2:$G$201,G72,$AT$2:$AT$201,"&gt;"&amp;AT72)=0,1,0),0)</f>
        <v/>
      </c>
      <c r="AX72" s="17">
        <f>IF(AND(AU72=1,AN72="Y",Z72="Y",TRIM(AD72)&lt;&gt;""),1,0)</f>
        <v/>
      </c>
      <c r="AY72" s="17">
        <f>IF(AX72=1,IF(COUNTIFS($A$2:$A$201,$A72,$AX$2:$AX$201,1,$G$2:$G$201,"&lt;"&amp;G72)+COUNTIFS($A$2:$A$201,$A72,$AX$2:$AX$201,1,$G$2:$G$201,G72,$AT$2:$AT$201,"&lt;"&amp;AT72)=0,1,0),0)</f>
        <v/>
      </c>
      <c r="AZ72" s="17">
        <f>IF(AND(AU72=1,AN72="Y",AX72=0),1,0)</f>
        <v/>
      </c>
      <c r="BA72" s="17">
        <f>IF(AND(AU72=1,ISNUMBER(V72)),1,0)</f>
        <v/>
      </c>
      <c r="BB72" s="17">
        <f>IF(BA72=1,IF(COUNTIFS($A$2:$A$201,$A72,$BA$2:$BA$201,1,$G$2:$G$201,"&lt;"&amp;G72)+COUNTIFS($A$2:$A$201,$A72,$BA$2:$BA$201,1,$G$2:$G$201,G72,$AT$2:$AT$201,"&lt;"&amp;AT72)=0,1,0),0)</f>
        <v/>
      </c>
      <c r="BC72" s="17">
        <f>IF(AND(BB72=1,G72&lt;=Config!$B$6),V72,"")</f>
        <v/>
      </c>
      <c r="BD72" s="17">
        <f>IF(AND(BB72=1,G72&lt;=Config!$B$7),V72,"")</f>
        <v/>
      </c>
      <c r="BE72" s="17">
        <f>IF(AND(BB72=1,G72&lt;=Config!$B$8),V72,"")</f>
        <v/>
      </c>
      <c r="BF72" s="17">
        <f>IF(AND(BB72=1,G72&lt;=Config!$B$5),V72,"")</f>
        <v/>
      </c>
      <c r="BG72" s="17">
        <f>IF(BW72=1,IF(COUNTIFS($A$2:$A$201,$A72,$BW$2:$BW$201,1,$G$2:$G$201,"&lt;"&amp;G72)+COUNTIFS($A$2:$A$201,$A72,$BW$2:$BW$201,1,$G$2:$G$201,G72,$AT$2:$AT$201,"&lt;"&amp;AT72)=0,1,0),0)</f>
        <v/>
      </c>
      <c r="BH72" s="17">
        <f>IF(AND(AU72=1,ISNUMBER(K72)),1,0)</f>
        <v/>
      </c>
      <c r="BI72" s="17">
        <f>IF(BH72=1,IF(COUNTIFS($A$2:$A$201,$A72,$BH$2:$BH$201,1,$G$2:$G$201,"&lt;"&amp;G72)+COUNTIFS($A$2:$A$201,$A72,$BH$2:$BH$201,1,$G$2:$G$201,G72,$AT$2:$AT$201,"&lt;"&amp;AT72)=0,1,0),0)</f>
        <v/>
      </c>
      <c r="BJ72" s="17">
        <f>IF(AND(BI72=1,G72&lt;=Config!$B$5),K72,"")</f>
        <v/>
      </c>
      <c r="BK72" s="17">
        <f>IF(AND(AU72=1,OR(TRIM(U72)&lt;&gt;"",ISNUMBER(V72))),1,0)</f>
        <v/>
      </c>
      <c r="BL72" s="17">
        <f>IF(BK72=1,IF(COUNTIFS($A$2:$A$201,$A72,$BK$2:$BK$201,1,$G$2:$G$201,"&lt;"&amp;G72)+COUNTIFS($A$2:$A$201,$A72,$BK$2:$BK$201,1,$G$2:$G$201,G72,$AT$2:$AT$201,"&lt;"&amp;AT72)=0,1,0),0)</f>
        <v/>
      </c>
      <c r="BM72" s="17">
        <f>IF(BL72=1,$A72,"")</f>
        <v/>
      </c>
      <c r="BN72" s="17">
        <f>IF(AND(AU72=1,T72="Y",TRIM(U72)=""),1,0)</f>
        <v/>
      </c>
      <c r="BO72" s="17">
        <f>IF(AU72=1,AJ72&amp;"","")</f>
        <v/>
      </c>
      <c r="BP72" s="17">
        <f>IF(AU72=1,AK72&amp;"","")</f>
        <v/>
      </c>
      <c r="BQ72" s="17">
        <f>IF(AU72=1,AL72&amp;"","")</f>
        <v/>
      </c>
      <c r="BR72" s="17">
        <f>IF(AND(AU72=1,ISNUMBER(AP72),G72&lt;=Config!$B$5),AP72,"")</f>
        <v/>
      </c>
      <c r="BS72" s="17">
        <f>IF(AU72=1,IF(COUNTIFS($A$2:$A$201,$A72,$AN$2:$AN$201,"Y",$AU$2:$AU$201,1)&gt;0,"Y","N"),"")</f>
        <v/>
      </c>
      <c r="BT72" s="17">
        <f>IF(AND(AU72=1,AN72="maybe"),1,0)</f>
        <v/>
      </c>
      <c r="BU72" s="17">
        <f>IF(BT72=1,IF(COUNTIFS($A$2:$A$201,$A72,$BT$2:$BT$201,1,$G$2:$G$201,"&lt;"&amp;G72)+COUNTIFS($A$2:$A$201,$A72,$BT$2:$BT$201,1,$G$2:$G$201,G72,$AT$2:$AT$201,"&lt;"&amp;AT72)=0,1,0),0)</f>
        <v/>
      </c>
      <c r="BV72" s="17">
        <f>IF(AND(AU72=1,AN72="Y"),IF(COUNTIFS($A$2:$A$201,$A72,$AN$2:$AN$201,"Y",$AU$2:$AU$201,1,$G$2:$G$201,"&lt;"&amp;G72)+COUNTIFS($A$2:$A$201,$A72,$AN$2:$AN$201,"Y",$AU$2:$AU$201,1,$G$2:$G$201,G72,$AT$2:$AT$201,"&lt;"&amp;AT72)=0,1,0),0)</f>
        <v/>
      </c>
      <c r="BW72" s="17">
        <f>IF(AND(BA72=1,N(V72)&gt;=Config!$B$15),1,0)</f>
        <v/>
      </c>
      <c r="BX72" s="17">
        <f>IF(AU72=1,IFERROR(MATCH($A72,INDEX(Clay_Offices!$A$2:$FZ$601,0,Sync!$C$5),0),""),"")</f>
        <v/>
      </c>
      <c r="BY72" s="17">
        <f>IF(BX72="","",IFERROR(INDEX(Clay_Offices!$A$2:$FZ$601,BX72,Sync!$C$7)&amp;"",""))</f>
        <v/>
      </c>
      <c r="BZ72" s="17">
        <f>IF(BY72="","",IFERROR(INDEX(Lists!$J$2:$J$15,MATCH(BY72,Lists!$I$2:$I$15,0)),""))</f>
        <v/>
      </c>
      <c r="CA72" s="17">
        <f>IF(BX72="","",IFERROR(INDEX(Clay_Offices!$A$2:$FZ$601,BX72,Sync!$C$17)&amp;"",""))</f>
        <v/>
      </c>
      <c r="CB72" s="23">
        <f>IF(BX72="","",IFERROR(N(INDEX(Clay_Offices!$A$2:$FZ$601,BX72,Sync!$C$16)),0))</f>
        <v/>
      </c>
    </row>
    <row r="73">
      <c r="G73" s="22" t="n"/>
      <c r="AS73" s="17">
        <f>IF(TRIM($A73)="","",IF(AND(LEFT($A73,6)="SAMPLE",Config!$B$19&lt;&gt;"Y"),"",IF(NOT(ISNUMBER(G73)),"call_date is blank or not a date",IF(Sync!$C$5="","Clay paste is empty or has no row_id column: paste the Clay export on Clay_Offices",IF(BX73="","row_id not found in the Clay paste: add the Clay row or fix the row_id",IF(AND(ISNUMBER(BZ73),BZ73&gt;=1,BZ73&lt;=5),"Clay status is "&amp;BY73&amp;": set call_done or later",IF(AND(AW73=1,CA73&lt;&gt;BS73),"Clay yes_in_principle should be "&amp;BS73,IF(AND(AW73=1,CB73&lt;&gt;G73),"Clay call_date should be "&amp;TEXT(G73,"yyyy-mm-dd"),""))))))))</f>
        <v/>
      </c>
      <c r="AT73" s="17">
        <f>ROW()</f>
        <v/>
      </c>
      <c r="AU73" s="17">
        <f>IF(AND(TRIM($A73)&lt;&gt;"",ISNUMBER(G73)),IF(AND(LEFT($A73,6)="SAMPLE",Config!$B$19&lt;&gt;"Y"),0,1),0)</f>
        <v/>
      </c>
      <c r="AV73" s="17">
        <f>IF(AU73=1,IF(COUNTIFS($A$2:$A$201,$A73,$AU$2:$AU$201,1,$G$2:$G$201,"&lt;"&amp;G73)+COUNTIFS($A$2:$A$201,$A73,$AU$2:$AU$201,1,$G$2:$G$201,G73,$AT$2:$AT$201,"&lt;"&amp;AT73)=0,1,0),0)</f>
        <v/>
      </c>
      <c r="AW73" s="17">
        <f>IF(AU73=1,IF(COUNTIFS($A$2:$A$201,$A73,$AU$2:$AU$201,1,$G$2:$G$201,"&gt;"&amp;G73)+COUNTIFS($A$2:$A$201,$A73,$AU$2:$AU$201,1,$G$2:$G$201,G73,$AT$2:$AT$201,"&gt;"&amp;AT73)=0,1,0),0)</f>
        <v/>
      </c>
      <c r="AX73" s="17">
        <f>IF(AND(AU73=1,AN73="Y",Z73="Y",TRIM(AD73)&lt;&gt;""),1,0)</f>
        <v/>
      </c>
      <c r="AY73" s="17">
        <f>IF(AX73=1,IF(COUNTIFS($A$2:$A$201,$A73,$AX$2:$AX$201,1,$G$2:$G$201,"&lt;"&amp;G73)+COUNTIFS($A$2:$A$201,$A73,$AX$2:$AX$201,1,$G$2:$G$201,G73,$AT$2:$AT$201,"&lt;"&amp;AT73)=0,1,0),0)</f>
        <v/>
      </c>
      <c r="AZ73" s="17">
        <f>IF(AND(AU73=1,AN73="Y",AX73=0),1,0)</f>
        <v/>
      </c>
      <c r="BA73" s="17">
        <f>IF(AND(AU73=1,ISNUMBER(V73)),1,0)</f>
        <v/>
      </c>
      <c r="BB73" s="17">
        <f>IF(BA73=1,IF(COUNTIFS($A$2:$A$201,$A73,$BA$2:$BA$201,1,$G$2:$G$201,"&lt;"&amp;G73)+COUNTIFS($A$2:$A$201,$A73,$BA$2:$BA$201,1,$G$2:$G$201,G73,$AT$2:$AT$201,"&lt;"&amp;AT73)=0,1,0),0)</f>
        <v/>
      </c>
      <c r="BC73" s="17">
        <f>IF(AND(BB73=1,G73&lt;=Config!$B$6),V73,"")</f>
        <v/>
      </c>
      <c r="BD73" s="17">
        <f>IF(AND(BB73=1,G73&lt;=Config!$B$7),V73,"")</f>
        <v/>
      </c>
      <c r="BE73" s="17">
        <f>IF(AND(BB73=1,G73&lt;=Config!$B$8),V73,"")</f>
        <v/>
      </c>
      <c r="BF73" s="17">
        <f>IF(AND(BB73=1,G73&lt;=Config!$B$5),V73,"")</f>
        <v/>
      </c>
      <c r="BG73" s="17">
        <f>IF(BW73=1,IF(COUNTIFS($A$2:$A$201,$A73,$BW$2:$BW$201,1,$G$2:$G$201,"&lt;"&amp;G73)+COUNTIFS($A$2:$A$201,$A73,$BW$2:$BW$201,1,$G$2:$G$201,G73,$AT$2:$AT$201,"&lt;"&amp;AT73)=0,1,0),0)</f>
        <v/>
      </c>
      <c r="BH73" s="17">
        <f>IF(AND(AU73=1,ISNUMBER(K73)),1,0)</f>
        <v/>
      </c>
      <c r="BI73" s="17">
        <f>IF(BH73=1,IF(COUNTIFS($A$2:$A$201,$A73,$BH$2:$BH$201,1,$G$2:$G$201,"&lt;"&amp;G73)+COUNTIFS($A$2:$A$201,$A73,$BH$2:$BH$201,1,$G$2:$G$201,G73,$AT$2:$AT$201,"&lt;"&amp;AT73)=0,1,0),0)</f>
        <v/>
      </c>
      <c r="BJ73" s="17">
        <f>IF(AND(BI73=1,G73&lt;=Config!$B$5),K73,"")</f>
        <v/>
      </c>
      <c r="BK73" s="17">
        <f>IF(AND(AU73=1,OR(TRIM(U73)&lt;&gt;"",ISNUMBER(V73))),1,0)</f>
        <v/>
      </c>
      <c r="BL73" s="17">
        <f>IF(BK73=1,IF(COUNTIFS($A$2:$A$201,$A73,$BK$2:$BK$201,1,$G$2:$G$201,"&lt;"&amp;G73)+COUNTIFS($A$2:$A$201,$A73,$BK$2:$BK$201,1,$G$2:$G$201,G73,$AT$2:$AT$201,"&lt;"&amp;AT73)=0,1,0),0)</f>
        <v/>
      </c>
      <c r="BM73" s="17">
        <f>IF(BL73=1,$A73,"")</f>
        <v/>
      </c>
      <c r="BN73" s="17">
        <f>IF(AND(AU73=1,T73="Y",TRIM(U73)=""),1,0)</f>
        <v/>
      </c>
      <c r="BO73" s="17">
        <f>IF(AU73=1,AJ73&amp;"","")</f>
        <v/>
      </c>
      <c r="BP73" s="17">
        <f>IF(AU73=1,AK73&amp;"","")</f>
        <v/>
      </c>
      <c r="BQ73" s="17">
        <f>IF(AU73=1,AL73&amp;"","")</f>
        <v/>
      </c>
      <c r="BR73" s="17">
        <f>IF(AND(AU73=1,ISNUMBER(AP73),G73&lt;=Config!$B$5),AP73,"")</f>
        <v/>
      </c>
      <c r="BS73" s="17">
        <f>IF(AU73=1,IF(COUNTIFS($A$2:$A$201,$A73,$AN$2:$AN$201,"Y",$AU$2:$AU$201,1)&gt;0,"Y","N"),"")</f>
        <v/>
      </c>
      <c r="BT73" s="17">
        <f>IF(AND(AU73=1,AN73="maybe"),1,0)</f>
        <v/>
      </c>
      <c r="BU73" s="17">
        <f>IF(BT73=1,IF(COUNTIFS($A$2:$A$201,$A73,$BT$2:$BT$201,1,$G$2:$G$201,"&lt;"&amp;G73)+COUNTIFS($A$2:$A$201,$A73,$BT$2:$BT$201,1,$G$2:$G$201,G73,$AT$2:$AT$201,"&lt;"&amp;AT73)=0,1,0),0)</f>
        <v/>
      </c>
      <c r="BV73" s="17">
        <f>IF(AND(AU73=1,AN73="Y"),IF(COUNTIFS($A$2:$A$201,$A73,$AN$2:$AN$201,"Y",$AU$2:$AU$201,1,$G$2:$G$201,"&lt;"&amp;G73)+COUNTIFS($A$2:$A$201,$A73,$AN$2:$AN$201,"Y",$AU$2:$AU$201,1,$G$2:$G$201,G73,$AT$2:$AT$201,"&lt;"&amp;AT73)=0,1,0),0)</f>
        <v/>
      </c>
      <c r="BW73" s="17">
        <f>IF(AND(BA73=1,N(V73)&gt;=Config!$B$15),1,0)</f>
        <v/>
      </c>
      <c r="BX73" s="17">
        <f>IF(AU73=1,IFERROR(MATCH($A73,INDEX(Clay_Offices!$A$2:$FZ$601,0,Sync!$C$5),0),""),"")</f>
        <v/>
      </c>
      <c r="BY73" s="17">
        <f>IF(BX73="","",IFERROR(INDEX(Clay_Offices!$A$2:$FZ$601,BX73,Sync!$C$7)&amp;"",""))</f>
        <v/>
      </c>
      <c r="BZ73" s="17">
        <f>IF(BY73="","",IFERROR(INDEX(Lists!$J$2:$J$15,MATCH(BY73,Lists!$I$2:$I$15,0)),""))</f>
        <v/>
      </c>
      <c r="CA73" s="17">
        <f>IF(BX73="","",IFERROR(INDEX(Clay_Offices!$A$2:$FZ$601,BX73,Sync!$C$17)&amp;"",""))</f>
        <v/>
      </c>
      <c r="CB73" s="23">
        <f>IF(BX73="","",IFERROR(N(INDEX(Clay_Offices!$A$2:$FZ$601,BX73,Sync!$C$16)),0))</f>
        <v/>
      </c>
    </row>
    <row r="74">
      <c r="G74" s="22" t="n"/>
      <c r="AS74" s="17">
        <f>IF(TRIM($A74)="","",IF(AND(LEFT($A74,6)="SAMPLE",Config!$B$19&lt;&gt;"Y"),"",IF(NOT(ISNUMBER(G74)),"call_date is blank or not a date",IF(Sync!$C$5="","Clay paste is empty or has no row_id column: paste the Clay export on Clay_Offices",IF(BX74="","row_id not found in the Clay paste: add the Clay row or fix the row_id",IF(AND(ISNUMBER(BZ74),BZ74&gt;=1,BZ74&lt;=5),"Clay status is "&amp;BY74&amp;": set call_done or later",IF(AND(AW74=1,CA74&lt;&gt;BS74),"Clay yes_in_principle should be "&amp;BS74,IF(AND(AW74=1,CB74&lt;&gt;G74),"Clay call_date should be "&amp;TEXT(G74,"yyyy-mm-dd"),""))))))))</f>
        <v/>
      </c>
      <c r="AT74" s="17">
        <f>ROW()</f>
        <v/>
      </c>
      <c r="AU74" s="17">
        <f>IF(AND(TRIM($A74)&lt;&gt;"",ISNUMBER(G74)),IF(AND(LEFT($A74,6)="SAMPLE",Config!$B$19&lt;&gt;"Y"),0,1),0)</f>
        <v/>
      </c>
      <c r="AV74" s="17">
        <f>IF(AU74=1,IF(COUNTIFS($A$2:$A$201,$A74,$AU$2:$AU$201,1,$G$2:$G$201,"&lt;"&amp;G74)+COUNTIFS($A$2:$A$201,$A74,$AU$2:$AU$201,1,$G$2:$G$201,G74,$AT$2:$AT$201,"&lt;"&amp;AT74)=0,1,0),0)</f>
        <v/>
      </c>
      <c r="AW74" s="17">
        <f>IF(AU74=1,IF(COUNTIFS($A$2:$A$201,$A74,$AU$2:$AU$201,1,$G$2:$G$201,"&gt;"&amp;G74)+COUNTIFS($A$2:$A$201,$A74,$AU$2:$AU$201,1,$G$2:$G$201,G74,$AT$2:$AT$201,"&gt;"&amp;AT74)=0,1,0),0)</f>
        <v/>
      </c>
      <c r="AX74" s="17">
        <f>IF(AND(AU74=1,AN74="Y",Z74="Y",TRIM(AD74)&lt;&gt;""),1,0)</f>
        <v/>
      </c>
      <c r="AY74" s="17">
        <f>IF(AX74=1,IF(COUNTIFS($A$2:$A$201,$A74,$AX$2:$AX$201,1,$G$2:$G$201,"&lt;"&amp;G74)+COUNTIFS($A$2:$A$201,$A74,$AX$2:$AX$201,1,$G$2:$G$201,G74,$AT$2:$AT$201,"&lt;"&amp;AT74)=0,1,0),0)</f>
        <v/>
      </c>
      <c r="AZ74" s="17">
        <f>IF(AND(AU74=1,AN74="Y",AX74=0),1,0)</f>
        <v/>
      </c>
      <c r="BA74" s="17">
        <f>IF(AND(AU74=1,ISNUMBER(V74)),1,0)</f>
        <v/>
      </c>
      <c r="BB74" s="17">
        <f>IF(BA74=1,IF(COUNTIFS($A$2:$A$201,$A74,$BA$2:$BA$201,1,$G$2:$G$201,"&lt;"&amp;G74)+COUNTIFS($A$2:$A$201,$A74,$BA$2:$BA$201,1,$G$2:$G$201,G74,$AT$2:$AT$201,"&lt;"&amp;AT74)=0,1,0),0)</f>
        <v/>
      </c>
      <c r="BC74" s="17">
        <f>IF(AND(BB74=1,G74&lt;=Config!$B$6),V74,"")</f>
        <v/>
      </c>
      <c r="BD74" s="17">
        <f>IF(AND(BB74=1,G74&lt;=Config!$B$7),V74,"")</f>
        <v/>
      </c>
      <c r="BE74" s="17">
        <f>IF(AND(BB74=1,G74&lt;=Config!$B$8),V74,"")</f>
        <v/>
      </c>
      <c r="BF74" s="17">
        <f>IF(AND(BB74=1,G74&lt;=Config!$B$5),V74,"")</f>
        <v/>
      </c>
      <c r="BG74" s="17">
        <f>IF(BW74=1,IF(COUNTIFS($A$2:$A$201,$A74,$BW$2:$BW$201,1,$G$2:$G$201,"&lt;"&amp;G74)+COUNTIFS($A$2:$A$201,$A74,$BW$2:$BW$201,1,$G$2:$G$201,G74,$AT$2:$AT$201,"&lt;"&amp;AT74)=0,1,0),0)</f>
        <v/>
      </c>
      <c r="BH74" s="17">
        <f>IF(AND(AU74=1,ISNUMBER(K74)),1,0)</f>
        <v/>
      </c>
      <c r="BI74" s="17">
        <f>IF(BH74=1,IF(COUNTIFS($A$2:$A$201,$A74,$BH$2:$BH$201,1,$G$2:$G$201,"&lt;"&amp;G74)+COUNTIFS($A$2:$A$201,$A74,$BH$2:$BH$201,1,$G$2:$G$201,G74,$AT$2:$AT$201,"&lt;"&amp;AT74)=0,1,0),0)</f>
        <v/>
      </c>
      <c r="BJ74" s="17">
        <f>IF(AND(BI74=1,G74&lt;=Config!$B$5),K74,"")</f>
        <v/>
      </c>
      <c r="BK74" s="17">
        <f>IF(AND(AU74=1,OR(TRIM(U74)&lt;&gt;"",ISNUMBER(V74))),1,0)</f>
        <v/>
      </c>
      <c r="BL74" s="17">
        <f>IF(BK74=1,IF(COUNTIFS($A$2:$A$201,$A74,$BK$2:$BK$201,1,$G$2:$G$201,"&lt;"&amp;G74)+COUNTIFS($A$2:$A$201,$A74,$BK$2:$BK$201,1,$G$2:$G$201,G74,$AT$2:$AT$201,"&lt;"&amp;AT74)=0,1,0),0)</f>
        <v/>
      </c>
      <c r="BM74" s="17">
        <f>IF(BL74=1,$A74,"")</f>
        <v/>
      </c>
      <c r="BN74" s="17">
        <f>IF(AND(AU74=1,T74="Y",TRIM(U74)=""),1,0)</f>
        <v/>
      </c>
      <c r="BO74" s="17">
        <f>IF(AU74=1,AJ74&amp;"","")</f>
        <v/>
      </c>
      <c r="BP74" s="17">
        <f>IF(AU74=1,AK74&amp;"","")</f>
        <v/>
      </c>
      <c r="BQ74" s="17">
        <f>IF(AU74=1,AL74&amp;"","")</f>
        <v/>
      </c>
      <c r="BR74" s="17">
        <f>IF(AND(AU74=1,ISNUMBER(AP74),G74&lt;=Config!$B$5),AP74,"")</f>
        <v/>
      </c>
      <c r="BS74" s="17">
        <f>IF(AU74=1,IF(COUNTIFS($A$2:$A$201,$A74,$AN$2:$AN$201,"Y",$AU$2:$AU$201,1)&gt;0,"Y","N"),"")</f>
        <v/>
      </c>
      <c r="BT74" s="17">
        <f>IF(AND(AU74=1,AN74="maybe"),1,0)</f>
        <v/>
      </c>
      <c r="BU74" s="17">
        <f>IF(BT74=1,IF(COUNTIFS($A$2:$A$201,$A74,$BT$2:$BT$201,1,$G$2:$G$201,"&lt;"&amp;G74)+COUNTIFS($A$2:$A$201,$A74,$BT$2:$BT$201,1,$G$2:$G$201,G74,$AT$2:$AT$201,"&lt;"&amp;AT74)=0,1,0),0)</f>
        <v/>
      </c>
      <c r="BV74" s="17">
        <f>IF(AND(AU74=1,AN74="Y"),IF(COUNTIFS($A$2:$A$201,$A74,$AN$2:$AN$201,"Y",$AU$2:$AU$201,1,$G$2:$G$201,"&lt;"&amp;G74)+COUNTIFS($A$2:$A$201,$A74,$AN$2:$AN$201,"Y",$AU$2:$AU$201,1,$G$2:$G$201,G74,$AT$2:$AT$201,"&lt;"&amp;AT74)=0,1,0),0)</f>
        <v/>
      </c>
      <c r="BW74" s="17">
        <f>IF(AND(BA74=1,N(V74)&gt;=Config!$B$15),1,0)</f>
        <v/>
      </c>
      <c r="BX74" s="17">
        <f>IF(AU74=1,IFERROR(MATCH($A74,INDEX(Clay_Offices!$A$2:$FZ$601,0,Sync!$C$5),0),""),"")</f>
        <v/>
      </c>
      <c r="BY74" s="17">
        <f>IF(BX74="","",IFERROR(INDEX(Clay_Offices!$A$2:$FZ$601,BX74,Sync!$C$7)&amp;"",""))</f>
        <v/>
      </c>
      <c r="BZ74" s="17">
        <f>IF(BY74="","",IFERROR(INDEX(Lists!$J$2:$J$15,MATCH(BY74,Lists!$I$2:$I$15,0)),""))</f>
        <v/>
      </c>
      <c r="CA74" s="17">
        <f>IF(BX74="","",IFERROR(INDEX(Clay_Offices!$A$2:$FZ$601,BX74,Sync!$C$17)&amp;"",""))</f>
        <v/>
      </c>
      <c r="CB74" s="23">
        <f>IF(BX74="","",IFERROR(N(INDEX(Clay_Offices!$A$2:$FZ$601,BX74,Sync!$C$16)),0))</f>
        <v/>
      </c>
    </row>
    <row r="75">
      <c r="G75" s="22" t="n"/>
      <c r="AS75" s="17">
        <f>IF(TRIM($A75)="","",IF(AND(LEFT($A75,6)="SAMPLE",Config!$B$19&lt;&gt;"Y"),"",IF(NOT(ISNUMBER(G75)),"call_date is blank or not a date",IF(Sync!$C$5="","Clay paste is empty or has no row_id column: paste the Clay export on Clay_Offices",IF(BX75="","row_id not found in the Clay paste: add the Clay row or fix the row_id",IF(AND(ISNUMBER(BZ75),BZ75&gt;=1,BZ75&lt;=5),"Clay status is "&amp;BY75&amp;": set call_done or later",IF(AND(AW75=1,CA75&lt;&gt;BS75),"Clay yes_in_principle should be "&amp;BS75,IF(AND(AW75=1,CB75&lt;&gt;G75),"Clay call_date should be "&amp;TEXT(G75,"yyyy-mm-dd"),""))))))))</f>
        <v/>
      </c>
      <c r="AT75" s="17">
        <f>ROW()</f>
        <v/>
      </c>
      <c r="AU75" s="17">
        <f>IF(AND(TRIM($A75)&lt;&gt;"",ISNUMBER(G75)),IF(AND(LEFT($A75,6)="SAMPLE",Config!$B$19&lt;&gt;"Y"),0,1),0)</f>
        <v/>
      </c>
      <c r="AV75" s="17">
        <f>IF(AU75=1,IF(COUNTIFS($A$2:$A$201,$A75,$AU$2:$AU$201,1,$G$2:$G$201,"&lt;"&amp;G75)+COUNTIFS($A$2:$A$201,$A75,$AU$2:$AU$201,1,$G$2:$G$201,G75,$AT$2:$AT$201,"&lt;"&amp;AT75)=0,1,0),0)</f>
        <v/>
      </c>
      <c r="AW75" s="17">
        <f>IF(AU75=1,IF(COUNTIFS($A$2:$A$201,$A75,$AU$2:$AU$201,1,$G$2:$G$201,"&gt;"&amp;G75)+COUNTIFS($A$2:$A$201,$A75,$AU$2:$AU$201,1,$G$2:$G$201,G75,$AT$2:$AT$201,"&gt;"&amp;AT75)=0,1,0),0)</f>
        <v/>
      </c>
      <c r="AX75" s="17">
        <f>IF(AND(AU75=1,AN75="Y",Z75="Y",TRIM(AD75)&lt;&gt;""),1,0)</f>
        <v/>
      </c>
      <c r="AY75" s="17">
        <f>IF(AX75=1,IF(COUNTIFS($A$2:$A$201,$A75,$AX$2:$AX$201,1,$G$2:$G$201,"&lt;"&amp;G75)+COUNTIFS($A$2:$A$201,$A75,$AX$2:$AX$201,1,$G$2:$G$201,G75,$AT$2:$AT$201,"&lt;"&amp;AT75)=0,1,0),0)</f>
        <v/>
      </c>
      <c r="AZ75" s="17">
        <f>IF(AND(AU75=1,AN75="Y",AX75=0),1,0)</f>
        <v/>
      </c>
      <c r="BA75" s="17">
        <f>IF(AND(AU75=1,ISNUMBER(V75)),1,0)</f>
        <v/>
      </c>
      <c r="BB75" s="17">
        <f>IF(BA75=1,IF(COUNTIFS($A$2:$A$201,$A75,$BA$2:$BA$201,1,$G$2:$G$201,"&lt;"&amp;G75)+COUNTIFS($A$2:$A$201,$A75,$BA$2:$BA$201,1,$G$2:$G$201,G75,$AT$2:$AT$201,"&lt;"&amp;AT75)=0,1,0),0)</f>
        <v/>
      </c>
      <c r="BC75" s="17">
        <f>IF(AND(BB75=1,G75&lt;=Config!$B$6),V75,"")</f>
        <v/>
      </c>
      <c r="BD75" s="17">
        <f>IF(AND(BB75=1,G75&lt;=Config!$B$7),V75,"")</f>
        <v/>
      </c>
      <c r="BE75" s="17">
        <f>IF(AND(BB75=1,G75&lt;=Config!$B$8),V75,"")</f>
        <v/>
      </c>
      <c r="BF75" s="17">
        <f>IF(AND(BB75=1,G75&lt;=Config!$B$5),V75,"")</f>
        <v/>
      </c>
      <c r="BG75" s="17">
        <f>IF(BW75=1,IF(COUNTIFS($A$2:$A$201,$A75,$BW$2:$BW$201,1,$G$2:$G$201,"&lt;"&amp;G75)+COUNTIFS($A$2:$A$201,$A75,$BW$2:$BW$201,1,$G$2:$G$201,G75,$AT$2:$AT$201,"&lt;"&amp;AT75)=0,1,0),0)</f>
        <v/>
      </c>
      <c r="BH75" s="17">
        <f>IF(AND(AU75=1,ISNUMBER(K75)),1,0)</f>
        <v/>
      </c>
      <c r="BI75" s="17">
        <f>IF(BH75=1,IF(COUNTIFS($A$2:$A$201,$A75,$BH$2:$BH$201,1,$G$2:$G$201,"&lt;"&amp;G75)+COUNTIFS($A$2:$A$201,$A75,$BH$2:$BH$201,1,$G$2:$G$201,G75,$AT$2:$AT$201,"&lt;"&amp;AT75)=0,1,0),0)</f>
        <v/>
      </c>
      <c r="BJ75" s="17">
        <f>IF(AND(BI75=1,G75&lt;=Config!$B$5),K75,"")</f>
        <v/>
      </c>
      <c r="BK75" s="17">
        <f>IF(AND(AU75=1,OR(TRIM(U75)&lt;&gt;"",ISNUMBER(V75))),1,0)</f>
        <v/>
      </c>
      <c r="BL75" s="17">
        <f>IF(BK75=1,IF(COUNTIFS($A$2:$A$201,$A75,$BK$2:$BK$201,1,$G$2:$G$201,"&lt;"&amp;G75)+COUNTIFS($A$2:$A$201,$A75,$BK$2:$BK$201,1,$G$2:$G$201,G75,$AT$2:$AT$201,"&lt;"&amp;AT75)=0,1,0),0)</f>
        <v/>
      </c>
      <c r="BM75" s="17">
        <f>IF(BL75=1,$A75,"")</f>
        <v/>
      </c>
      <c r="BN75" s="17">
        <f>IF(AND(AU75=1,T75="Y",TRIM(U75)=""),1,0)</f>
        <v/>
      </c>
      <c r="BO75" s="17">
        <f>IF(AU75=1,AJ75&amp;"","")</f>
        <v/>
      </c>
      <c r="BP75" s="17">
        <f>IF(AU75=1,AK75&amp;"","")</f>
        <v/>
      </c>
      <c r="BQ75" s="17">
        <f>IF(AU75=1,AL75&amp;"","")</f>
        <v/>
      </c>
      <c r="BR75" s="17">
        <f>IF(AND(AU75=1,ISNUMBER(AP75),G75&lt;=Config!$B$5),AP75,"")</f>
        <v/>
      </c>
      <c r="BS75" s="17">
        <f>IF(AU75=1,IF(COUNTIFS($A$2:$A$201,$A75,$AN$2:$AN$201,"Y",$AU$2:$AU$201,1)&gt;0,"Y","N"),"")</f>
        <v/>
      </c>
      <c r="BT75" s="17">
        <f>IF(AND(AU75=1,AN75="maybe"),1,0)</f>
        <v/>
      </c>
      <c r="BU75" s="17">
        <f>IF(BT75=1,IF(COUNTIFS($A$2:$A$201,$A75,$BT$2:$BT$201,1,$G$2:$G$201,"&lt;"&amp;G75)+COUNTIFS($A$2:$A$201,$A75,$BT$2:$BT$201,1,$G$2:$G$201,G75,$AT$2:$AT$201,"&lt;"&amp;AT75)=0,1,0),0)</f>
        <v/>
      </c>
      <c r="BV75" s="17">
        <f>IF(AND(AU75=1,AN75="Y"),IF(COUNTIFS($A$2:$A$201,$A75,$AN$2:$AN$201,"Y",$AU$2:$AU$201,1,$G$2:$G$201,"&lt;"&amp;G75)+COUNTIFS($A$2:$A$201,$A75,$AN$2:$AN$201,"Y",$AU$2:$AU$201,1,$G$2:$G$201,G75,$AT$2:$AT$201,"&lt;"&amp;AT75)=0,1,0),0)</f>
        <v/>
      </c>
      <c r="BW75" s="17">
        <f>IF(AND(BA75=1,N(V75)&gt;=Config!$B$15),1,0)</f>
        <v/>
      </c>
      <c r="BX75" s="17">
        <f>IF(AU75=1,IFERROR(MATCH($A75,INDEX(Clay_Offices!$A$2:$FZ$601,0,Sync!$C$5),0),""),"")</f>
        <v/>
      </c>
      <c r="BY75" s="17">
        <f>IF(BX75="","",IFERROR(INDEX(Clay_Offices!$A$2:$FZ$601,BX75,Sync!$C$7)&amp;"",""))</f>
        <v/>
      </c>
      <c r="BZ75" s="17">
        <f>IF(BY75="","",IFERROR(INDEX(Lists!$J$2:$J$15,MATCH(BY75,Lists!$I$2:$I$15,0)),""))</f>
        <v/>
      </c>
      <c r="CA75" s="17">
        <f>IF(BX75="","",IFERROR(INDEX(Clay_Offices!$A$2:$FZ$601,BX75,Sync!$C$17)&amp;"",""))</f>
        <v/>
      </c>
      <c r="CB75" s="23">
        <f>IF(BX75="","",IFERROR(N(INDEX(Clay_Offices!$A$2:$FZ$601,BX75,Sync!$C$16)),0))</f>
        <v/>
      </c>
    </row>
    <row r="76">
      <c r="G76" s="22" t="n"/>
      <c r="AS76" s="17">
        <f>IF(TRIM($A76)="","",IF(AND(LEFT($A76,6)="SAMPLE",Config!$B$19&lt;&gt;"Y"),"",IF(NOT(ISNUMBER(G76)),"call_date is blank or not a date",IF(Sync!$C$5="","Clay paste is empty or has no row_id column: paste the Clay export on Clay_Offices",IF(BX76="","row_id not found in the Clay paste: add the Clay row or fix the row_id",IF(AND(ISNUMBER(BZ76),BZ76&gt;=1,BZ76&lt;=5),"Clay status is "&amp;BY76&amp;": set call_done or later",IF(AND(AW76=1,CA76&lt;&gt;BS76),"Clay yes_in_principle should be "&amp;BS76,IF(AND(AW76=1,CB76&lt;&gt;G76),"Clay call_date should be "&amp;TEXT(G76,"yyyy-mm-dd"),""))))))))</f>
        <v/>
      </c>
      <c r="AT76" s="17">
        <f>ROW()</f>
        <v/>
      </c>
      <c r="AU76" s="17">
        <f>IF(AND(TRIM($A76)&lt;&gt;"",ISNUMBER(G76)),IF(AND(LEFT($A76,6)="SAMPLE",Config!$B$19&lt;&gt;"Y"),0,1),0)</f>
        <v/>
      </c>
      <c r="AV76" s="17">
        <f>IF(AU76=1,IF(COUNTIFS($A$2:$A$201,$A76,$AU$2:$AU$201,1,$G$2:$G$201,"&lt;"&amp;G76)+COUNTIFS($A$2:$A$201,$A76,$AU$2:$AU$201,1,$G$2:$G$201,G76,$AT$2:$AT$201,"&lt;"&amp;AT76)=0,1,0),0)</f>
        <v/>
      </c>
      <c r="AW76" s="17">
        <f>IF(AU76=1,IF(COUNTIFS($A$2:$A$201,$A76,$AU$2:$AU$201,1,$G$2:$G$201,"&gt;"&amp;G76)+COUNTIFS($A$2:$A$201,$A76,$AU$2:$AU$201,1,$G$2:$G$201,G76,$AT$2:$AT$201,"&gt;"&amp;AT76)=0,1,0),0)</f>
        <v/>
      </c>
      <c r="AX76" s="17">
        <f>IF(AND(AU76=1,AN76="Y",Z76="Y",TRIM(AD76)&lt;&gt;""),1,0)</f>
        <v/>
      </c>
      <c r="AY76" s="17">
        <f>IF(AX76=1,IF(COUNTIFS($A$2:$A$201,$A76,$AX$2:$AX$201,1,$G$2:$G$201,"&lt;"&amp;G76)+COUNTIFS($A$2:$A$201,$A76,$AX$2:$AX$201,1,$G$2:$G$201,G76,$AT$2:$AT$201,"&lt;"&amp;AT76)=0,1,0),0)</f>
        <v/>
      </c>
      <c r="AZ76" s="17">
        <f>IF(AND(AU76=1,AN76="Y",AX76=0),1,0)</f>
        <v/>
      </c>
      <c r="BA76" s="17">
        <f>IF(AND(AU76=1,ISNUMBER(V76)),1,0)</f>
        <v/>
      </c>
      <c r="BB76" s="17">
        <f>IF(BA76=1,IF(COUNTIFS($A$2:$A$201,$A76,$BA$2:$BA$201,1,$G$2:$G$201,"&lt;"&amp;G76)+COUNTIFS($A$2:$A$201,$A76,$BA$2:$BA$201,1,$G$2:$G$201,G76,$AT$2:$AT$201,"&lt;"&amp;AT76)=0,1,0),0)</f>
        <v/>
      </c>
      <c r="BC76" s="17">
        <f>IF(AND(BB76=1,G76&lt;=Config!$B$6),V76,"")</f>
        <v/>
      </c>
      <c r="BD76" s="17">
        <f>IF(AND(BB76=1,G76&lt;=Config!$B$7),V76,"")</f>
        <v/>
      </c>
      <c r="BE76" s="17">
        <f>IF(AND(BB76=1,G76&lt;=Config!$B$8),V76,"")</f>
        <v/>
      </c>
      <c r="BF76" s="17">
        <f>IF(AND(BB76=1,G76&lt;=Config!$B$5),V76,"")</f>
        <v/>
      </c>
      <c r="BG76" s="17">
        <f>IF(BW76=1,IF(COUNTIFS($A$2:$A$201,$A76,$BW$2:$BW$201,1,$G$2:$G$201,"&lt;"&amp;G76)+COUNTIFS($A$2:$A$201,$A76,$BW$2:$BW$201,1,$G$2:$G$201,G76,$AT$2:$AT$201,"&lt;"&amp;AT76)=0,1,0),0)</f>
        <v/>
      </c>
      <c r="BH76" s="17">
        <f>IF(AND(AU76=1,ISNUMBER(K76)),1,0)</f>
        <v/>
      </c>
      <c r="BI76" s="17">
        <f>IF(BH76=1,IF(COUNTIFS($A$2:$A$201,$A76,$BH$2:$BH$201,1,$G$2:$G$201,"&lt;"&amp;G76)+COUNTIFS($A$2:$A$201,$A76,$BH$2:$BH$201,1,$G$2:$G$201,G76,$AT$2:$AT$201,"&lt;"&amp;AT76)=0,1,0),0)</f>
        <v/>
      </c>
      <c r="BJ76" s="17">
        <f>IF(AND(BI76=1,G76&lt;=Config!$B$5),K76,"")</f>
        <v/>
      </c>
      <c r="BK76" s="17">
        <f>IF(AND(AU76=1,OR(TRIM(U76)&lt;&gt;"",ISNUMBER(V76))),1,0)</f>
        <v/>
      </c>
      <c r="BL76" s="17">
        <f>IF(BK76=1,IF(COUNTIFS($A$2:$A$201,$A76,$BK$2:$BK$201,1,$G$2:$G$201,"&lt;"&amp;G76)+COUNTIFS($A$2:$A$201,$A76,$BK$2:$BK$201,1,$G$2:$G$201,G76,$AT$2:$AT$201,"&lt;"&amp;AT76)=0,1,0),0)</f>
        <v/>
      </c>
      <c r="BM76" s="17">
        <f>IF(BL76=1,$A76,"")</f>
        <v/>
      </c>
      <c r="BN76" s="17">
        <f>IF(AND(AU76=1,T76="Y",TRIM(U76)=""),1,0)</f>
        <v/>
      </c>
      <c r="BO76" s="17">
        <f>IF(AU76=1,AJ76&amp;"","")</f>
        <v/>
      </c>
      <c r="BP76" s="17">
        <f>IF(AU76=1,AK76&amp;"","")</f>
        <v/>
      </c>
      <c r="BQ76" s="17">
        <f>IF(AU76=1,AL76&amp;"","")</f>
        <v/>
      </c>
      <c r="BR76" s="17">
        <f>IF(AND(AU76=1,ISNUMBER(AP76),G76&lt;=Config!$B$5),AP76,"")</f>
        <v/>
      </c>
      <c r="BS76" s="17">
        <f>IF(AU76=1,IF(COUNTIFS($A$2:$A$201,$A76,$AN$2:$AN$201,"Y",$AU$2:$AU$201,1)&gt;0,"Y","N"),"")</f>
        <v/>
      </c>
      <c r="BT76" s="17">
        <f>IF(AND(AU76=1,AN76="maybe"),1,0)</f>
        <v/>
      </c>
      <c r="BU76" s="17">
        <f>IF(BT76=1,IF(COUNTIFS($A$2:$A$201,$A76,$BT$2:$BT$201,1,$G$2:$G$201,"&lt;"&amp;G76)+COUNTIFS($A$2:$A$201,$A76,$BT$2:$BT$201,1,$G$2:$G$201,G76,$AT$2:$AT$201,"&lt;"&amp;AT76)=0,1,0),0)</f>
        <v/>
      </c>
      <c r="BV76" s="17">
        <f>IF(AND(AU76=1,AN76="Y"),IF(COUNTIFS($A$2:$A$201,$A76,$AN$2:$AN$201,"Y",$AU$2:$AU$201,1,$G$2:$G$201,"&lt;"&amp;G76)+COUNTIFS($A$2:$A$201,$A76,$AN$2:$AN$201,"Y",$AU$2:$AU$201,1,$G$2:$G$201,G76,$AT$2:$AT$201,"&lt;"&amp;AT76)=0,1,0),0)</f>
        <v/>
      </c>
      <c r="BW76" s="17">
        <f>IF(AND(BA76=1,N(V76)&gt;=Config!$B$15),1,0)</f>
        <v/>
      </c>
      <c r="BX76" s="17">
        <f>IF(AU76=1,IFERROR(MATCH($A76,INDEX(Clay_Offices!$A$2:$FZ$601,0,Sync!$C$5),0),""),"")</f>
        <v/>
      </c>
      <c r="BY76" s="17">
        <f>IF(BX76="","",IFERROR(INDEX(Clay_Offices!$A$2:$FZ$601,BX76,Sync!$C$7)&amp;"",""))</f>
        <v/>
      </c>
      <c r="BZ76" s="17">
        <f>IF(BY76="","",IFERROR(INDEX(Lists!$J$2:$J$15,MATCH(BY76,Lists!$I$2:$I$15,0)),""))</f>
        <v/>
      </c>
      <c r="CA76" s="17">
        <f>IF(BX76="","",IFERROR(INDEX(Clay_Offices!$A$2:$FZ$601,BX76,Sync!$C$17)&amp;"",""))</f>
        <v/>
      </c>
      <c r="CB76" s="23">
        <f>IF(BX76="","",IFERROR(N(INDEX(Clay_Offices!$A$2:$FZ$601,BX76,Sync!$C$16)),0))</f>
        <v/>
      </c>
    </row>
    <row r="77">
      <c r="G77" s="22" t="n"/>
      <c r="AS77" s="17">
        <f>IF(TRIM($A77)="","",IF(AND(LEFT($A77,6)="SAMPLE",Config!$B$19&lt;&gt;"Y"),"",IF(NOT(ISNUMBER(G77)),"call_date is blank or not a date",IF(Sync!$C$5="","Clay paste is empty or has no row_id column: paste the Clay export on Clay_Offices",IF(BX77="","row_id not found in the Clay paste: add the Clay row or fix the row_id",IF(AND(ISNUMBER(BZ77),BZ77&gt;=1,BZ77&lt;=5),"Clay status is "&amp;BY77&amp;": set call_done or later",IF(AND(AW77=1,CA77&lt;&gt;BS77),"Clay yes_in_principle should be "&amp;BS77,IF(AND(AW77=1,CB77&lt;&gt;G77),"Clay call_date should be "&amp;TEXT(G77,"yyyy-mm-dd"),""))))))))</f>
        <v/>
      </c>
      <c r="AT77" s="17">
        <f>ROW()</f>
        <v/>
      </c>
      <c r="AU77" s="17">
        <f>IF(AND(TRIM($A77)&lt;&gt;"",ISNUMBER(G77)),IF(AND(LEFT($A77,6)="SAMPLE",Config!$B$19&lt;&gt;"Y"),0,1),0)</f>
        <v/>
      </c>
      <c r="AV77" s="17">
        <f>IF(AU77=1,IF(COUNTIFS($A$2:$A$201,$A77,$AU$2:$AU$201,1,$G$2:$G$201,"&lt;"&amp;G77)+COUNTIFS($A$2:$A$201,$A77,$AU$2:$AU$201,1,$G$2:$G$201,G77,$AT$2:$AT$201,"&lt;"&amp;AT77)=0,1,0),0)</f>
        <v/>
      </c>
      <c r="AW77" s="17">
        <f>IF(AU77=1,IF(COUNTIFS($A$2:$A$201,$A77,$AU$2:$AU$201,1,$G$2:$G$201,"&gt;"&amp;G77)+COUNTIFS($A$2:$A$201,$A77,$AU$2:$AU$201,1,$G$2:$G$201,G77,$AT$2:$AT$201,"&gt;"&amp;AT77)=0,1,0),0)</f>
        <v/>
      </c>
      <c r="AX77" s="17">
        <f>IF(AND(AU77=1,AN77="Y",Z77="Y",TRIM(AD77)&lt;&gt;""),1,0)</f>
        <v/>
      </c>
      <c r="AY77" s="17">
        <f>IF(AX77=1,IF(COUNTIFS($A$2:$A$201,$A77,$AX$2:$AX$201,1,$G$2:$G$201,"&lt;"&amp;G77)+COUNTIFS($A$2:$A$201,$A77,$AX$2:$AX$201,1,$G$2:$G$201,G77,$AT$2:$AT$201,"&lt;"&amp;AT77)=0,1,0),0)</f>
        <v/>
      </c>
      <c r="AZ77" s="17">
        <f>IF(AND(AU77=1,AN77="Y",AX77=0),1,0)</f>
        <v/>
      </c>
      <c r="BA77" s="17">
        <f>IF(AND(AU77=1,ISNUMBER(V77)),1,0)</f>
        <v/>
      </c>
      <c r="BB77" s="17">
        <f>IF(BA77=1,IF(COUNTIFS($A$2:$A$201,$A77,$BA$2:$BA$201,1,$G$2:$G$201,"&lt;"&amp;G77)+COUNTIFS($A$2:$A$201,$A77,$BA$2:$BA$201,1,$G$2:$G$201,G77,$AT$2:$AT$201,"&lt;"&amp;AT77)=0,1,0),0)</f>
        <v/>
      </c>
      <c r="BC77" s="17">
        <f>IF(AND(BB77=1,G77&lt;=Config!$B$6),V77,"")</f>
        <v/>
      </c>
      <c r="BD77" s="17">
        <f>IF(AND(BB77=1,G77&lt;=Config!$B$7),V77,"")</f>
        <v/>
      </c>
      <c r="BE77" s="17">
        <f>IF(AND(BB77=1,G77&lt;=Config!$B$8),V77,"")</f>
        <v/>
      </c>
      <c r="BF77" s="17">
        <f>IF(AND(BB77=1,G77&lt;=Config!$B$5),V77,"")</f>
        <v/>
      </c>
      <c r="BG77" s="17">
        <f>IF(BW77=1,IF(COUNTIFS($A$2:$A$201,$A77,$BW$2:$BW$201,1,$G$2:$G$201,"&lt;"&amp;G77)+COUNTIFS($A$2:$A$201,$A77,$BW$2:$BW$201,1,$G$2:$G$201,G77,$AT$2:$AT$201,"&lt;"&amp;AT77)=0,1,0),0)</f>
        <v/>
      </c>
      <c r="BH77" s="17">
        <f>IF(AND(AU77=1,ISNUMBER(K77)),1,0)</f>
        <v/>
      </c>
      <c r="BI77" s="17">
        <f>IF(BH77=1,IF(COUNTIFS($A$2:$A$201,$A77,$BH$2:$BH$201,1,$G$2:$G$201,"&lt;"&amp;G77)+COUNTIFS($A$2:$A$201,$A77,$BH$2:$BH$201,1,$G$2:$G$201,G77,$AT$2:$AT$201,"&lt;"&amp;AT77)=0,1,0),0)</f>
        <v/>
      </c>
      <c r="BJ77" s="17">
        <f>IF(AND(BI77=1,G77&lt;=Config!$B$5),K77,"")</f>
        <v/>
      </c>
      <c r="BK77" s="17">
        <f>IF(AND(AU77=1,OR(TRIM(U77)&lt;&gt;"",ISNUMBER(V77))),1,0)</f>
        <v/>
      </c>
      <c r="BL77" s="17">
        <f>IF(BK77=1,IF(COUNTIFS($A$2:$A$201,$A77,$BK$2:$BK$201,1,$G$2:$G$201,"&lt;"&amp;G77)+COUNTIFS($A$2:$A$201,$A77,$BK$2:$BK$201,1,$G$2:$G$201,G77,$AT$2:$AT$201,"&lt;"&amp;AT77)=0,1,0),0)</f>
        <v/>
      </c>
      <c r="BM77" s="17">
        <f>IF(BL77=1,$A77,"")</f>
        <v/>
      </c>
      <c r="BN77" s="17">
        <f>IF(AND(AU77=1,T77="Y",TRIM(U77)=""),1,0)</f>
        <v/>
      </c>
      <c r="BO77" s="17">
        <f>IF(AU77=1,AJ77&amp;"","")</f>
        <v/>
      </c>
      <c r="BP77" s="17">
        <f>IF(AU77=1,AK77&amp;"","")</f>
        <v/>
      </c>
      <c r="BQ77" s="17">
        <f>IF(AU77=1,AL77&amp;"","")</f>
        <v/>
      </c>
      <c r="BR77" s="17">
        <f>IF(AND(AU77=1,ISNUMBER(AP77),G77&lt;=Config!$B$5),AP77,"")</f>
        <v/>
      </c>
      <c r="BS77" s="17">
        <f>IF(AU77=1,IF(COUNTIFS($A$2:$A$201,$A77,$AN$2:$AN$201,"Y",$AU$2:$AU$201,1)&gt;0,"Y","N"),"")</f>
        <v/>
      </c>
      <c r="BT77" s="17">
        <f>IF(AND(AU77=1,AN77="maybe"),1,0)</f>
        <v/>
      </c>
      <c r="BU77" s="17">
        <f>IF(BT77=1,IF(COUNTIFS($A$2:$A$201,$A77,$BT$2:$BT$201,1,$G$2:$G$201,"&lt;"&amp;G77)+COUNTIFS($A$2:$A$201,$A77,$BT$2:$BT$201,1,$G$2:$G$201,G77,$AT$2:$AT$201,"&lt;"&amp;AT77)=0,1,0),0)</f>
        <v/>
      </c>
      <c r="BV77" s="17">
        <f>IF(AND(AU77=1,AN77="Y"),IF(COUNTIFS($A$2:$A$201,$A77,$AN$2:$AN$201,"Y",$AU$2:$AU$201,1,$G$2:$G$201,"&lt;"&amp;G77)+COUNTIFS($A$2:$A$201,$A77,$AN$2:$AN$201,"Y",$AU$2:$AU$201,1,$G$2:$G$201,G77,$AT$2:$AT$201,"&lt;"&amp;AT77)=0,1,0),0)</f>
        <v/>
      </c>
      <c r="BW77" s="17">
        <f>IF(AND(BA77=1,N(V77)&gt;=Config!$B$15),1,0)</f>
        <v/>
      </c>
      <c r="BX77" s="17">
        <f>IF(AU77=1,IFERROR(MATCH($A77,INDEX(Clay_Offices!$A$2:$FZ$601,0,Sync!$C$5),0),""),"")</f>
        <v/>
      </c>
      <c r="BY77" s="17">
        <f>IF(BX77="","",IFERROR(INDEX(Clay_Offices!$A$2:$FZ$601,BX77,Sync!$C$7)&amp;"",""))</f>
        <v/>
      </c>
      <c r="BZ77" s="17">
        <f>IF(BY77="","",IFERROR(INDEX(Lists!$J$2:$J$15,MATCH(BY77,Lists!$I$2:$I$15,0)),""))</f>
        <v/>
      </c>
      <c r="CA77" s="17">
        <f>IF(BX77="","",IFERROR(INDEX(Clay_Offices!$A$2:$FZ$601,BX77,Sync!$C$17)&amp;"",""))</f>
        <v/>
      </c>
      <c r="CB77" s="23">
        <f>IF(BX77="","",IFERROR(N(INDEX(Clay_Offices!$A$2:$FZ$601,BX77,Sync!$C$16)),0))</f>
        <v/>
      </c>
    </row>
    <row r="78">
      <c r="G78" s="22" t="n"/>
      <c r="AS78" s="17">
        <f>IF(TRIM($A78)="","",IF(AND(LEFT($A78,6)="SAMPLE",Config!$B$19&lt;&gt;"Y"),"",IF(NOT(ISNUMBER(G78)),"call_date is blank or not a date",IF(Sync!$C$5="","Clay paste is empty or has no row_id column: paste the Clay export on Clay_Offices",IF(BX78="","row_id not found in the Clay paste: add the Clay row or fix the row_id",IF(AND(ISNUMBER(BZ78),BZ78&gt;=1,BZ78&lt;=5),"Clay status is "&amp;BY78&amp;": set call_done or later",IF(AND(AW78=1,CA78&lt;&gt;BS78),"Clay yes_in_principle should be "&amp;BS78,IF(AND(AW78=1,CB78&lt;&gt;G78),"Clay call_date should be "&amp;TEXT(G78,"yyyy-mm-dd"),""))))))))</f>
        <v/>
      </c>
      <c r="AT78" s="17">
        <f>ROW()</f>
        <v/>
      </c>
      <c r="AU78" s="17">
        <f>IF(AND(TRIM($A78)&lt;&gt;"",ISNUMBER(G78)),IF(AND(LEFT($A78,6)="SAMPLE",Config!$B$19&lt;&gt;"Y"),0,1),0)</f>
        <v/>
      </c>
      <c r="AV78" s="17">
        <f>IF(AU78=1,IF(COUNTIFS($A$2:$A$201,$A78,$AU$2:$AU$201,1,$G$2:$G$201,"&lt;"&amp;G78)+COUNTIFS($A$2:$A$201,$A78,$AU$2:$AU$201,1,$G$2:$G$201,G78,$AT$2:$AT$201,"&lt;"&amp;AT78)=0,1,0),0)</f>
        <v/>
      </c>
      <c r="AW78" s="17">
        <f>IF(AU78=1,IF(COUNTIFS($A$2:$A$201,$A78,$AU$2:$AU$201,1,$G$2:$G$201,"&gt;"&amp;G78)+COUNTIFS($A$2:$A$201,$A78,$AU$2:$AU$201,1,$G$2:$G$201,G78,$AT$2:$AT$201,"&gt;"&amp;AT78)=0,1,0),0)</f>
        <v/>
      </c>
      <c r="AX78" s="17">
        <f>IF(AND(AU78=1,AN78="Y",Z78="Y",TRIM(AD78)&lt;&gt;""),1,0)</f>
        <v/>
      </c>
      <c r="AY78" s="17">
        <f>IF(AX78=1,IF(COUNTIFS($A$2:$A$201,$A78,$AX$2:$AX$201,1,$G$2:$G$201,"&lt;"&amp;G78)+COUNTIFS($A$2:$A$201,$A78,$AX$2:$AX$201,1,$G$2:$G$201,G78,$AT$2:$AT$201,"&lt;"&amp;AT78)=0,1,0),0)</f>
        <v/>
      </c>
      <c r="AZ78" s="17">
        <f>IF(AND(AU78=1,AN78="Y",AX78=0),1,0)</f>
        <v/>
      </c>
      <c r="BA78" s="17">
        <f>IF(AND(AU78=1,ISNUMBER(V78)),1,0)</f>
        <v/>
      </c>
      <c r="BB78" s="17">
        <f>IF(BA78=1,IF(COUNTIFS($A$2:$A$201,$A78,$BA$2:$BA$201,1,$G$2:$G$201,"&lt;"&amp;G78)+COUNTIFS($A$2:$A$201,$A78,$BA$2:$BA$201,1,$G$2:$G$201,G78,$AT$2:$AT$201,"&lt;"&amp;AT78)=0,1,0),0)</f>
        <v/>
      </c>
      <c r="BC78" s="17">
        <f>IF(AND(BB78=1,G78&lt;=Config!$B$6),V78,"")</f>
        <v/>
      </c>
      <c r="BD78" s="17">
        <f>IF(AND(BB78=1,G78&lt;=Config!$B$7),V78,"")</f>
        <v/>
      </c>
      <c r="BE78" s="17">
        <f>IF(AND(BB78=1,G78&lt;=Config!$B$8),V78,"")</f>
        <v/>
      </c>
      <c r="BF78" s="17">
        <f>IF(AND(BB78=1,G78&lt;=Config!$B$5),V78,"")</f>
        <v/>
      </c>
      <c r="BG78" s="17">
        <f>IF(BW78=1,IF(COUNTIFS($A$2:$A$201,$A78,$BW$2:$BW$201,1,$G$2:$G$201,"&lt;"&amp;G78)+COUNTIFS($A$2:$A$201,$A78,$BW$2:$BW$201,1,$G$2:$G$201,G78,$AT$2:$AT$201,"&lt;"&amp;AT78)=0,1,0),0)</f>
        <v/>
      </c>
      <c r="BH78" s="17">
        <f>IF(AND(AU78=1,ISNUMBER(K78)),1,0)</f>
        <v/>
      </c>
      <c r="BI78" s="17">
        <f>IF(BH78=1,IF(COUNTIFS($A$2:$A$201,$A78,$BH$2:$BH$201,1,$G$2:$G$201,"&lt;"&amp;G78)+COUNTIFS($A$2:$A$201,$A78,$BH$2:$BH$201,1,$G$2:$G$201,G78,$AT$2:$AT$201,"&lt;"&amp;AT78)=0,1,0),0)</f>
        <v/>
      </c>
      <c r="BJ78" s="17">
        <f>IF(AND(BI78=1,G78&lt;=Config!$B$5),K78,"")</f>
        <v/>
      </c>
      <c r="BK78" s="17">
        <f>IF(AND(AU78=1,OR(TRIM(U78)&lt;&gt;"",ISNUMBER(V78))),1,0)</f>
        <v/>
      </c>
      <c r="BL78" s="17">
        <f>IF(BK78=1,IF(COUNTIFS($A$2:$A$201,$A78,$BK$2:$BK$201,1,$G$2:$G$201,"&lt;"&amp;G78)+COUNTIFS($A$2:$A$201,$A78,$BK$2:$BK$201,1,$G$2:$G$201,G78,$AT$2:$AT$201,"&lt;"&amp;AT78)=0,1,0),0)</f>
        <v/>
      </c>
      <c r="BM78" s="17">
        <f>IF(BL78=1,$A78,"")</f>
        <v/>
      </c>
      <c r="BN78" s="17">
        <f>IF(AND(AU78=1,T78="Y",TRIM(U78)=""),1,0)</f>
        <v/>
      </c>
      <c r="BO78" s="17">
        <f>IF(AU78=1,AJ78&amp;"","")</f>
        <v/>
      </c>
      <c r="BP78" s="17">
        <f>IF(AU78=1,AK78&amp;"","")</f>
        <v/>
      </c>
      <c r="BQ78" s="17">
        <f>IF(AU78=1,AL78&amp;"","")</f>
        <v/>
      </c>
      <c r="BR78" s="17">
        <f>IF(AND(AU78=1,ISNUMBER(AP78),G78&lt;=Config!$B$5),AP78,"")</f>
        <v/>
      </c>
      <c r="BS78" s="17">
        <f>IF(AU78=1,IF(COUNTIFS($A$2:$A$201,$A78,$AN$2:$AN$201,"Y",$AU$2:$AU$201,1)&gt;0,"Y","N"),"")</f>
        <v/>
      </c>
      <c r="BT78" s="17">
        <f>IF(AND(AU78=1,AN78="maybe"),1,0)</f>
        <v/>
      </c>
      <c r="BU78" s="17">
        <f>IF(BT78=1,IF(COUNTIFS($A$2:$A$201,$A78,$BT$2:$BT$201,1,$G$2:$G$201,"&lt;"&amp;G78)+COUNTIFS($A$2:$A$201,$A78,$BT$2:$BT$201,1,$G$2:$G$201,G78,$AT$2:$AT$201,"&lt;"&amp;AT78)=0,1,0),0)</f>
        <v/>
      </c>
      <c r="BV78" s="17">
        <f>IF(AND(AU78=1,AN78="Y"),IF(COUNTIFS($A$2:$A$201,$A78,$AN$2:$AN$201,"Y",$AU$2:$AU$201,1,$G$2:$G$201,"&lt;"&amp;G78)+COUNTIFS($A$2:$A$201,$A78,$AN$2:$AN$201,"Y",$AU$2:$AU$201,1,$G$2:$G$201,G78,$AT$2:$AT$201,"&lt;"&amp;AT78)=0,1,0),0)</f>
        <v/>
      </c>
      <c r="BW78" s="17">
        <f>IF(AND(BA78=1,N(V78)&gt;=Config!$B$15),1,0)</f>
        <v/>
      </c>
      <c r="BX78" s="17">
        <f>IF(AU78=1,IFERROR(MATCH($A78,INDEX(Clay_Offices!$A$2:$FZ$601,0,Sync!$C$5),0),""),"")</f>
        <v/>
      </c>
      <c r="BY78" s="17">
        <f>IF(BX78="","",IFERROR(INDEX(Clay_Offices!$A$2:$FZ$601,BX78,Sync!$C$7)&amp;"",""))</f>
        <v/>
      </c>
      <c r="BZ78" s="17">
        <f>IF(BY78="","",IFERROR(INDEX(Lists!$J$2:$J$15,MATCH(BY78,Lists!$I$2:$I$15,0)),""))</f>
        <v/>
      </c>
      <c r="CA78" s="17">
        <f>IF(BX78="","",IFERROR(INDEX(Clay_Offices!$A$2:$FZ$601,BX78,Sync!$C$17)&amp;"",""))</f>
        <v/>
      </c>
      <c r="CB78" s="23">
        <f>IF(BX78="","",IFERROR(N(INDEX(Clay_Offices!$A$2:$FZ$601,BX78,Sync!$C$16)),0))</f>
        <v/>
      </c>
    </row>
    <row r="79">
      <c r="G79" s="22" t="n"/>
      <c r="AS79" s="17">
        <f>IF(TRIM($A79)="","",IF(AND(LEFT($A79,6)="SAMPLE",Config!$B$19&lt;&gt;"Y"),"",IF(NOT(ISNUMBER(G79)),"call_date is blank or not a date",IF(Sync!$C$5="","Clay paste is empty or has no row_id column: paste the Clay export on Clay_Offices",IF(BX79="","row_id not found in the Clay paste: add the Clay row or fix the row_id",IF(AND(ISNUMBER(BZ79),BZ79&gt;=1,BZ79&lt;=5),"Clay status is "&amp;BY79&amp;": set call_done or later",IF(AND(AW79=1,CA79&lt;&gt;BS79),"Clay yes_in_principle should be "&amp;BS79,IF(AND(AW79=1,CB79&lt;&gt;G79),"Clay call_date should be "&amp;TEXT(G79,"yyyy-mm-dd"),""))))))))</f>
        <v/>
      </c>
      <c r="AT79" s="17">
        <f>ROW()</f>
        <v/>
      </c>
      <c r="AU79" s="17">
        <f>IF(AND(TRIM($A79)&lt;&gt;"",ISNUMBER(G79)),IF(AND(LEFT($A79,6)="SAMPLE",Config!$B$19&lt;&gt;"Y"),0,1),0)</f>
        <v/>
      </c>
      <c r="AV79" s="17">
        <f>IF(AU79=1,IF(COUNTIFS($A$2:$A$201,$A79,$AU$2:$AU$201,1,$G$2:$G$201,"&lt;"&amp;G79)+COUNTIFS($A$2:$A$201,$A79,$AU$2:$AU$201,1,$G$2:$G$201,G79,$AT$2:$AT$201,"&lt;"&amp;AT79)=0,1,0),0)</f>
        <v/>
      </c>
      <c r="AW79" s="17">
        <f>IF(AU79=1,IF(COUNTIFS($A$2:$A$201,$A79,$AU$2:$AU$201,1,$G$2:$G$201,"&gt;"&amp;G79)+COUNTIFS($A$2:$A$201,$A79,$AU$2:$AU$201,1,$G$2:$G$201,G79,$AT$2:$AT$201,"&gt;"&amp;AT79)=0,1,0),0)</f>
        <v/>
      </c>
      <c r="AX79" s="17">
        <f>IF(AND(AU79=1,AN79="Y",Z79="Y",TRIM(AD79)&lt;&gt;""),1,0)</f>
        <v/>
      </c>
      <c r="AY79" s="17">
        <f>IF(AX79=1,IF(COUNTIFS($A$2:$A$201,$A79,$AX$2:$AX$201,1,$G$2:$G$201,"&lt;"&amp;G79)+COUNTIFS($A$2:$A$201,$A79,$AX$2:$AX$201,1,$G$2:$G$201,G79,$AT$2:$AT$201,"&lt;"&amp;AT79)=0,1,0),0)</f>
        <v/>
      </c>
      <c r="AZ79" s="17">
        <f>IF(AND(AU79=1,AN79="Y",AX79=0),1,0)</f>
        <v/>
      </c>
      <c r="BA79" s="17">
        <f>IF(AND(AU79=1,ISNUMBER(V79)),1,0)</f>
        <v/>
      </c>
      <c r="BB79" s="17">
        <f>IF(BA79=1,IF(COUNTIFS($A$2:$A$201,$A79,$BA$2:$BA$201,1,$G$2:$G$201,"&lt;"&amp;G79)+COUNTIFS($A$2:$A$201,$A79,$BA$2:$BA$201,1,$G$2:$G$201,G79,$AT$2:$AT$201,"&lt;"&amp;AT79)=0,1,0),0)</f>
        <v/>
      </c>
      <c r="BC79" s="17">
        <f>IF(AND(BB79=1,G79&lt;=Config!$B$6),V79,"")</f>
        <v/>
      </c>
      <c r="BD79" s="17">
        <f>IF(AND(BB79=1,G79&lt;=Config!$B$7),V79,"")</f>
        <v/>
      </c>
      <c r="BE79" s="17">
        <f>IF(AND(BB79=1,G79&lt;=Config!$B$8),V79,"")</f>
        <v/>
      </c>
      <c r="BF79" s="17">
        <f>IF(AND(BB79=1,G79&lt;=Config!$B$5),V79,"")</f>
        <v/>
      </c>
      <c r="BG79" s="17">
        <f>IF(BW79=1,IF(COUNTIFS($A$2:$A$201,$A79,$BW$2:$BW$201,1,$G$2:$G$201,"&lt;"&amp;G79)+COUNTIFS($A$2:$A$201,$A79,$BW$2:$BW$201,1,$G$2:$G$201,G79,$AT$2:$AT$201,"&lt;"&amp;AT79)=0,1,0),0)</f>
        <v/>
      </c>
      <c r="BH79" s="17">
        <f>IF(AND(AU79=1,ISNUMBER(K79)),1,0)</f>
        <v/>
      </c>
      <c r="BI79" s="17">
        <f>IF(BH79=1,IF(COUNTIFS($A$2:$A$201,$A79,$BH$2:$BH$201,1,$G$2:$G$201,"&lt;"&amp;G79)+COUNTIFS($A$2:$A$201,$A79,$BH$2:$BH$201,1,$G$2:$G$201,G79,$AT$2:$AT$201,"&lt;"&amp;AT79)=0,1,0),0)</f>
        <v/>
      </c>
      <c r="BJ79" s="17">
        <f>IF(AND(BI79=1,G79&lt;=Config!$B$5),K79,"")</f>
        <v/>
      </c>
      <c r="BK79" s="17">
        <f>IF(AND(AU79=1,OR(TRIM(U79)&lt;&gt;"",ISNUMBER(V79))),1,0)</f>
        <v/>
      </c>
      <c r="BL79" s="17">
        <f>IF(BK79=1,IF(COUNTIFS($A$2:$A$201,$A79,$BK$2:$BK$201,1,$G$2:$G$201,"&lt;"&amp;G79)+COUNTIFS($A$2:$A$201,$A79,$BK$2:$BK$201,1,$G$2:$G$201,G79,$AT$2:$AT$201,"&lt;"&amp;AT79)=0,1,0),0)</f>
        <v/>
      </c>
      <c r="BM79" s="17">
        <f>IF(BL79=1,$A79,"")</f>
        <v/>
      </c>
      <c r="BN79" s="17">
        <f>IF(AND(AU79=1,T79="Y",TRIM(U79)=""),1,0)</f>
        <v/>
      </c>
      <c r="BO79" s="17">
        <f>IF(AU79=1,AJ79&amp;"","")</f>
        <v/>
      </c>
      <c r="BP79" s="17">
        <f>IF(AU79=1,AK79&amp;"","")</f>
        <v/>
      </c>
      <c r="BQ79" s="17">
        <f>IF(AU79=1,AL79&amp;"","")</f>
        <v/>
      </c>
      <c r="BR79" s="17">
        <f>IF(AND(AU79=1,ISNUMBER(AP79),G79&lt;=Config!$B$5),AP79,"")</f>
        <v/>
      </c>
      <c r="BS79" s="17">
        <f>IF(AU79=1,IF(COUNTIFS($A$2:$A$201,$A79,$AN$2:$AN$201,"Y",$AU$2:$AU$201,1)&gt;0,"Y","N"),"")</f>
        <v/>
      </c>
      <c r="BT79" s="17">
        <f>IF(AND(AU79=1,AN79="maybe"),1,0)</f>
        <v/>
      </c>
      <c r="BU79" s="17">
        <f>IF(BT79=1,IF(COUNTIFS($A$2:$A$201,$A79,$BT$2:$BT$201,1,$G$2:$G$201,"&lt;"&amp;G79)+COUNTIFS($A$2:$A$201,$A79,$BT$2:$BT$201,1,$G$2:$G$201,G79,$AT$2:$AT$201,"&lt;"&amp;AT79)=0,1,0),0)</f>
        <v/>
      </c>
      <c r="BV79" s="17">
        <f>IF(AND(AU79=1,AN79="Y"),IF(COUNTIFS($A$2:$A$201,$A79,$AN$2:$AN$201,"Y",$AU$2:$AU$201,1,$G$2:$G$201,"&lt;"&amp;G79)+COUNTIFS($A$2:$A$201,$A79,$AN$2:$AN$201,"Y",$AU$2:$AU$201,1,$G$2:$G$201,G79,$AT$2:$AT$201,"&lt;"&amp;AT79)=0,1,0),0)</f>
        <v/>
      </c>
      <c r="BW79" s="17">
        <f>IF(AND(BA79=1,N(V79)&gt;=Config!$B$15),1,0)</f>
        <v/>
      </c>
      <c r="BX79" s="17">
        <f>IF(AU79=1,IFERROR(MATCH($A79,INDEX(Clay_Offices!$A$2:$FZ$601,0,Sync!$C$5),0),""),"")</f>
        <v/>
      </c>
      <c r="BY79" s="17">
        <f>IF(BX79="","",IFERROR(INDEX(Clay_Offices!$A$2:$FZ$601,BX79,Sync!$C$7)&amp;"",""))</f>
        <v/>
      </c>
      <c r="BZ79" s="17">
        <f>IF(BY79="","",IFERROR(INDEX(Lists!$J$2:$J$15,MATCH(BY79,Lists!$I$2:$I$15,0)),""))</f>
        <v/>
      </c>
      <c r="CA79" s="17">
        <f>IF(BX79="","",IFERROR(INDEX(Clay_Offices!$A$2:$FZ$601,BX79,Sync!$C$17)&amp;"",""))</f>
        <v/>
      </c>
      <c r="CB79" s="23">
        <f>IF(BX79="","",IFERROR(N(INDEX(Clay_Offices!$A$2:$FZ$601,BX79,Sync!$C$16)),0))</f>
        <v/>
      </c>
    </row>
    <row r="80">
      <c r="G80" s="22" t="n"/>
      <c r="AS80" s="17">
        <f>IF(TRIM($A80)="","",IF(AND(LEFT($A80,6)="SAMPLE",Config!$B$19&lt;&gt;"Y"),"",IF(NOT(ISNUMBER(G80)),"call_date is blank or not a date",IF(Sync!$C$5="","Clay paste is empty or has no row_id column: paste the Clay export on Clay_Offices",IF(BX80="","row_id not found in the Clay paste: add the Clay row or fix the row_id",IF(AND(ISNUMBER(BZ80),BZ80&gt;=1,BZ80&lt;=5),"Clay status is "&amp;BY80&amp;": set call_done or later",IF(AND(AW80=1,CA80&lt;&gt;BS80),"Clay yes_in_principle should be "&amp;BS80,IF(AND(AW80=1,CB80&lt;&gt;G80),"Clay call_date should be "&amp;TEXT(G80,"yyyy-mm-dd"),""))))))))</f>
        <v/>
      </c>
      <c r="AT80" s="17">
        <f>ROW()</f>
        <v/>
      </c>
      <c r="AU80" s="17">
        <f>IF(AND(TRIM($A80)&lt;&gt;"",ISNUMBER(G80)),IF(AND(LEFT($A80,6)="SAMPLE",Config!$B$19&lt;&gt;"Y"),0,1),0)</f>
        <v/>
      </c>
      <c r="AV80" s="17">
        <f>IF(AU80=1,IF(COUNTIFS($A$2:$A$201,$A80,$AU$2:$AU$201,1,$G$2:$G$201,"&lt;"&amp;G80)+COUNTIFS($A$2:$A$201,$A80,$AU$2:$AU$201,1,$G$2:$G$201,G80,$AT$2:$AT$201,"&lt;"&amp;AT80)=0,1,0),0)</f>
        <v/>
      </c>
      <c r="AW80" s="17">
        <f>IF(AU80=1,IF(COUNTIFS($A$2:$A$201,$A80,$AU$2:$AU$201,1,$G$2:$G$201,"&gt;"&amp;G80)+COUNTIFS($A$2:$A$201,$A80,$AU$2:$AU$201,1,$G$2:$G$201,G80,$AT$2:$AT$201,"&gt;"&amp;AT80)=0,1,0),0)</f>
        <v/>
      </c>
      <c r="AX80" s="17">
        <f>IF(AND(AU80=1,AN80="Y",Z80="Y",TRIM(AD80)&lt;&gt;""),1,0)</f>
        <v/>
      </c>
      <c r="AY80" s="17">
        <f>IF(AX80=1,IF(COUNTIFS($A$2:$A$201,$A80,$AX$2:$AX$201,1,$G$2:$G$201,"&lt;"&amp;G80)+COUNTIFS($A$2:$A$201,$A80,$AX$2:$AX$201,1,$G$2:$G$201,G80,$AT$2:$AT$201,"&lt;"&amp;AT80)=0,1,0),0)</f>
        <v/>
      </c>
      <c r="AZ80" s="17">
        <f>IF(AND(AU80=1,AN80="Y",AX80=0),1,0)</f>
        <v/>
      </c>
      <c r="BA80" s="17">
        <f>IF(AND(AU80=1,ISNUMBER(V80)),1,0)</f>
        <v/>
      </c>
      <c r="BB80" s="17">
        <f>IF(BA80=1,IF(COUNTIFS($A$2:$A$201,$A80,$BA$2:$BA$201,1,$G$2:$G$201,"&lt;"&amp;G80)+COUNTIFS($A$2:$A$201,$A80,$BA$2:$BA$201,1,$G$2:$G$201,G80,$AT$2:$AT$201,"&lt;"&amp;AT80)=0,1,0),0)</f>
        <v/>
      </c>
      <c r="BC80" s="17">
        <f>IF(AND(BB80=1,G80&lt;=Config!$B$6),V80,"")</f>
        <v/>
      </c>
      <c r="BD80" s="17">
        <f>IF(AND(BB80=1,G80&lt;=Config!$B$7),V80,"")</f>
        <v/>
      </c>
      <c r="BE80" s="17">
        <f>IF(AND(BB80=1,G80&lt;=Config!$B$8),V80,"")</f>
        <v/>
      </c>
      <c r="BF80" s="17">
        <f>IF(AND(BB80=1,G80&lt;=Config!$B$5),V80,"")</f>
        <v/>
      </c>
      <c r="BG80" s="17">
        <f>IF(BW80=1,IF(COUNTIFS($A$2:$A$201,$A80,$BW$2:$BW$201,1,$G$2:$G$201,"&lt;"&amp;G80)+COUNTIFS($A$2:$A$201,$A80,$BW$2:$BW$201,1,$G$2:$G$201,G80,$AT$2:$AT$201,"&lt;"&amp;AT80)=0,1,0),0)</f>
        <v/>
      </c>
      <c r="BH80" s="17">
        <f>IF(AND(AU80=1,ISNUMBER(K80)),1,0)</f>
        <v/>
      </c>
      <c r="BI80" s="17">
        <f>IF(BH80=1,IF(COUNTIFS($A$2:$A$201,$A80,$BH$2:$BH$201,1,$G$2:$G$201,"&lt;"&amp;G80)+COUNTIFS($A$2:$A$201,$A80,$BH$2:$BH$201,1,$G$2:$G$201,G80,$AT$2:$AT$201,"&lt;"&amp;AT80)=0,1,0),0)</f>
        <v/>
      </c>
      <c r="BJ80" s="17">
        <f>IF(AND(BI80=1,G80&lt;=Config!$B$5),K80,"")</f>
        <v/>
      </c>
      <c r="BK80" s="17">
        <f>IF(AND(AU80=1,OR(TRIM(U80)&lt;&gt;"",ISNUMBER(V80))),1,0)</f>
        <v/>
      </c>
      <c r="BL80" s="17">
        <f>IF(BK80=1,IF(COUNTIFS($A$2:$A$201,$A80,$BK$2:$BK$201,1,$G$2:$G$201,"&lt;"&amp;G80)+COUNTIFS($A$2:$A$201,$A80,$BK$2:$BK$201,1,$G$2:$G$201,G80,$AT$2:$AT$201,"&lt;"&amp;AT80)=0,1,0),0)</f>
        <v/>
      </c>
      <c r="BM80" s="17">
        <f>IF(BL80=1,$A80,"")</f>
        <v/>
      </c>
      <c r="BN80" s="17">
        <f>IF(AND(AU80=1,T80="Y",TRIM(U80)=""),1,0)</f>
        <v/>
      </c>
      <c r="BO80" s="17">
        <f>IF(AU80=1,AJ80&amp;"","")</f>
        <v/>
      </c>
      <c r="BP80" s="17">
        <f>IF(AU80=1,AK80&amp;"","")</f>
        <v/>
      </c>
      <c r="BQ80" s="17">
        <f>IF(AU80=1,AL80&amp;"","")</f>
        <v/>
      </c>
      <c r="BR80" s="17">
        <f>IF(AND(AU80=1,ISNUMBER(AP80),G80&lt;=Config!$B$5),AP80,"")</f>
        <v/>
      </c>
      <c r="BS80" s="17">
        <f>IF(AU80=1,IF(COUNTIFS($A$2:$A$201,$A80,$AN$2:$AN$201,"Y",$AU$2:$AU$201,1)&gt;0,"Y","N"),"")</f>
        <v/>
      </c>
      <c r="BT80" s="17">
        <f>IF(AND(AU80=1,AN80="maybe"),1,0)</f>
        <v/>
      </c>
      <c r="BU80" s="17">
        <f>IF(BT80=1,IF(COUNTIFS($A$2:$A$201,$A80,$BT$2:$BT$201,1,$G$2:$G$201,"&lt;"&amp;G80)+COUNTIFS($A$2:$A$201,$A80,$BT$2:$BT$201,1,$G$2:$G$201,G80,$AT$2:$AT$201,"&lt;"&amp;AT80)=0,1,0),0)</f>
        <v/>
      </c>
      <c r="BV80" s="17">
        <f>IF(AND(AU80=1,AN80="Y"),IF(COUNTIFS($A$2:$A$201,$A80,$AN$2:$AN$201,"Y",$AU$2:$AU$201,1,$G$2:$G$201,"&lt;"&amp;G80)+COUNTIFS($A$2:$A$201,$A80,$AN$2:$AN$201,"Y",$AU$2:$AU$201,1,$G$2:$G$201,G80,$AT$2:$AT$201,"&lt;"&amp;AT80)=0,1,0),0)</f>
        <v/>
      </c>
      <c r="BW80" s="17">
        <f>IF(AND(BA80=1,N(V80)&gt;=Config!$B$15),1,0)</f>
        <v/>
      </c>
      <c r="BX80" s="17">
        <f>IF(AU80=1,IFERROR(MATCH($A80,INDEX(Clay_Offices!$A$2:$FZ$601,0,Sync!$C$5),0),""),"")</f>
        <v/>
      </c>
      <c r="BY80" s="17">
        <f>IF(BX80="","",IFERROR(INDEX(Clay_Offices!$A$2:$FZ$601,BX80,Sync!$C$7)&amp;"",""))</f>
        <v/>
      </c>
      <c r="BZ80" s="17">
        <f>IF(BY80="","",IFERROR(INDEX(Lists!$J$2:$J$15,MATCH(BY80,Lists!$I$2:$I$15,0)),""))</f>
        <v/>
      </c>
      <c r="CA80" s="17">
        <f>IF(BX80="","",IFERROR(INDEX(Clay_Offices!$A$2:$FZ$601,BX80,Sync!$C$17)&amp;"",""))</f>
        <v/>
      </c>
      <c r="CB80" s="23">
        <f>IF(BX80="","",IFERROR(N(INDEX(Clay_Offices!$A$2:$FZ$601,BX80,Sync!$C$16)),0))</f>
        <v/>
      </c>
    </row>
    <row r="81">
      <c r="G81" s="22" t="n"/>
      <c r="AS81" s="17">
        <f>IF(TRIM($A81)="","",IF(AND(LEFT($A81,6)="SAMPLE",Config!$B$19&lt;&gt;"Y"),"",IF(NOT(ISNUMBER(G81)),"call_date is blank or not a date",IF(Sync!$C$5="","Clay paste is empty or has no row_id column: paste the Clay export on Clay_Offices",IF(BX81="","row_id not found in the Clay paste: add the Clay row or fix the row_id",IF(AND(ISNUMBER(BZ81),BZ81&gt;=1,BZ81&lt;=5),"Clay status is "&amp;BY81&amp;": set call_done or later",IF(AND(AW81=1,CA81&lt;&gt;BS81),"Clay yes_in_principle should be "&amp;BS81,IF(AND(AW81=1,CB81&lt;&gt;G81),"Clay call_date should be "&amp;TEXT(G81,"yyyy-mm-dd"),""))))))))</f>
        <v/>
      </c>
      <c r="AT81" s="17">
        <f>ROW()</f>
        <v/>
      </c>
      <c r="AU81" s="17">
        <f>IF(AND(TRIM($A81)&lt;&gt;"",ISNUMBER(G81)),IF(AND(LEFT($A81,6)="SAMPLE",Config!$B$19&lt;&gt;"Y"),0,1),0)</f>
        <v/>
      </c>
      <c r="AV81" s="17">
        <f>IF(AU81=1,IF(COUNTIFS($A$2:$A$201,$A81,$AU$2:$AU$201,1,$G$2:$G$201,"&lt;"&amp;G81)+COUNTIFS($A$2:$A$201,$A81,$AU$2:$AU$201,1,$G$2:$G$201,G81,$AT$2:$AT$201,"&lt;"&amp;AT81)=0,1,0),0)</f>
        <v/>
      </c>
      <c r="AW81" s="17">
        <f>IF(AU81=1,IF(COUNTIFS($A$2:$A$201,$A81,$AU$2:$AU$201,1,$G$2:$G$201,"&gt;"&amp;G81)+COUNTIFS($A$2:$A$201,$A81,$AU$2:$AU$201,1,$G$2:$G$201,G81,$AT$2:$AT$201,"&gt;"&amp;AT81)=0,1,0),0)</f>
        <v/>
      </c>
      <c r="AX81" s="17">
        <f>IF(AND(AU81=1,AN81="Y",Z81="Y",TRIM(AD81)&lt;&gt;""),1,0)</f>
        <v/>
      </c>
      <c r="AY81" s="17">
        <f>IF(AX81=1,IF(COUNTIFS($A$2:$A$201,$A81,$AX$2:$AX$201,1,$G$2:$G$201,"&lt;"&amp;G81)+COUNTIFS($A$2:$A$201,$A81,$AX$2:$AX$201,1,$G$2:$G$201,G81,$AT$2:$AT$201,"&lt;"&amp;AT81)=0,1,0),0)</f>
        <v/>
      </c>
      <c r="AZ81" s="17">
        <f>IF(AND(AU81=1,AN81="Y",AX81=0),1,0)</f>
        <v/>
      </c>
      <c r="BA81" s="17">
        <f>IF(AND(AU81=1,ISNUMBER(V81)),1,0)</f>
        <v/>
      </c>
      <c r="BB81" s="17">
        <f>IF(BA81=1,IF(COUNTIFS($A$2:$A$201,$A81,$BA$2:$BA$201,1,$G$2:$G$201,"&lt;"&amp;G81)+COUNTIFS($A$2:$A$201,$A81,$BA$2:$BA$201,1,$G$2:$G$201,G81,$AT$2:$AT$201,"&lt;"&amp;AT81)=0,1,0),0)</f>
        <v/>
      </c>
      <c r="BC81" s="17">
        <f>IF(AND(BB81=1,G81&lt;=Config!$B$6),V81,"")</f>
        <v/>
      </c>
      <c r="BD81" s="17">
        <f>IF(AND(BB81=1,G81&lt;=Config!$B$7),V81,"")</f>
        <v/>
      </c>
      <c r="BE81" s="17">
        <f>IF(AND(BB81=1,G81&lt;=Config!$B$8),V81,"")</f>
        <v/>
      </c>
      <c r="BF81" s="17">
        <f>IF(AND(BB81=1,G81&lt;=Config!$B$5),V81,"")</f>
        <v/>
      </c>
      <c r="BG81" s="17">
        <f>IF(BW81=1,IF(COUNTIFS($A$2:$A$201,$A81,$BW$2:$BW$201,1,$G$2:$G$201,"&lt;"&amp;G81)+COUNTIFS($A$2:$A$201,$A81,$BW$2:$BW$201,1,$G$2:$G$201,G81,$AT$2:$AT$201,"&lt;"&amp;AT81)=0,1,0),0)</f>
        <v/>
      </c>
      <c r="BH81" s="17">
        <f>IF(AND(AU81=1,ISNUMBER(K81)),1,0)</f>
        <v/>
      </c>
      <c r="BI81" s="17">
        <f>IF(BH81=1,IF(COUNTIFS($A$2:$A$201,$A81,$BH$2:$BH$201,1,$G$2:$G$201,"&lt;"&amp;G81)+COUNTIFS($A$2:$A$201,$A81,$BH$2:$BH$201,1,$G$2:$G$201,G81,$AT$2:$AT$201,"&lt;"&amp;AT81)=0,1,0),0)</f>
        <v/>
      </c>
      <c r="BJ81" s="17">
        <f>IF(AND(BI81=1,G81&lt;=Config!$B$5),K81,"")</f>
        <v/>
      </c>
      <c r="BK81" s="17">
        <f>IF(AND(AU81=1,OR(TRIM(U81)&lt;&gt;"",ISNUMBER(V81))),1,0)</f>
        <v/>
      </c>
      <c r="BL81" s="17">
        <f>IF(BK81=1,IF(COUNTIFS($A$2:$A$201,$A81,$BK$2:$BK$201,1,$G$2:$G$201,"&lt;"&amp;G81)+COUNTIFS($A$2:$A$201,$A81,$BK$2:$BK$201,1,$G$2:$G$201,G81,$AT$2:$AT$201,"&lt;"&amp;AT81)=0,1,0),0)</f>
        <v/>
      </c>
      <c r="BM81" s="17">
        <f>IF(BL81=1,$A81,"")</f>
        <v/>
      </c>
      <c r="BN81" s="17">
        <f>IF(AND(AU81=1,T81="Y",TRIM(U81)=""),1,0)</f>
        <v/>
      </c>
      <c r="BO81" s="17">
        <f>IF(AU81=1,AJ81&amp;"","")</f>
        <v/>
      </c>
      <c r="BP81" s="17">
        <f>IF(AU81=1,AK81&amp;"","")</f>
        <v/>
      </c>
      <c r="BQ81" s="17">
        <f>IF(AU81=1,AL81&amp;"","")</f>
        <v/>
      </c>
      <c r="BR81" s="17">
        <f>IF(AND(AU81=1,ISNUMBER(AP81),G81&lt;=Config!$B$5),AP81,"")</f>
        <v/>
      </c>
      <c r="BS81" s="17">
        <f>IF(AU81=1,IF(COUNTIFS($A$2:$A$201,$A81,$AN$2:$AN$201,"Y",$AU$2:$AU$201,1)&gt;0,"Y","N"),"")</f>
        <v/>
      </c>
      <c r="BT81" s="17">
        <f>IF(AND(AU81=1,AN81="maybe"),1,0)</f>
        <v/>
      </c>
      <c r="BU81" s="17">
        <f>IF(BT81=1,IF(COUNTIFS($A$2:$A$201,$A81,$BT$2:$BT$201,1,$G$2:$G$201,"&lt;"&amp;G81)+COUNTIFS($A$2:$A$201,$A81,$BT$2:$BT$201,1,$G$2:$G$201,G81,$AT$2:$AT$201,"&lt;"&amp;AT81)=0,1,0),0)</f>
        <v/>
      </c>
      <c r="BV81" s="17">
        <f>IF(AND(AU81=1,AN81="Y"),IF(COUNTIFS($A$2:$A$201,$A81,$AN$2:$AN$201,"Y",$AU$2:$AU$201,1,$G$2:$G$201,"&lt;"&amp;G81)+COUNTIFS($A$2:$A$201,$A81,$AN$2:$AN$201,"Y",$AU$2:$AU$201,1,$G$2:$G$201,G81,$AT$2:$AT$201,"&lt;"&amp;AT81)=0,1,0),0)</f>
        <v/>
      </c>
      <c r="BW81" s="17">
        <f>IF(AND(BA81=1,N(V81)&gt;=Config!$B$15),1,0)</f>
        <v/>
      </c>
      <c r="BX81" s="17">
        <f>IF(AU81=1,IFERROR(MATCH($A81,INDEX(Clay_Offices!$A$2:$FZ$601,0,Sync!$C$5),0),""),"")</f>
        <v/>
      </c>
      <c r="BY81" s="17">
        <f>IF(BX81="","",IFERROR(INDEX(Clay_Offices!$A$2:$FZ$601,BX81,Sync!$C$7)&amp;"",""))</f>
        <v/>
      </c>
      <c r="BZ81" s="17">
        <f>IF(BY81="","",IFERROR(INDEX(Lists!$J$2:$J$15,MATCH(BY81,Lists!$I$2:$I$15,0)),""))</f>
        <v/>
      </c>
      <c r="CA81" s="17">
        <f>IF(BX81="","",IFERROR(INDEX(Clay_Offices!$A$2:$FZ$601,BX81,Sync!$C$17)&amp;"",""))</f>
        <v/>
      </c>
      <c r="CB81" s="23">
        <f>IF(BX81="","",IFERROR(N(INDEX(Clay_Offices!$A$2:$FZ$601,BX81,Sync!$C$16)),0))</f>
        <v/>
      </c>
    </row>
    <row r="82">
      <c r="G82" s="22" t="n"/>
      <c r="AS82" s="17">
        <f>IF(TRIM($A82)="","",IF(AND(LEFT($A82,6)="SAMPLE",Config!$B$19&lt;&gt;"Y"),"",IF(NOT(ISNUMBER(G82)),"call_date is blank or not a date",IF(Sync!$C$5="","Clay paste is empty or has no row_id column: paste the Clay export on Clay_Offices",IF(BX82="","row_id not found in the Clay paste: add the Clay row or fix the row_id",IF(AND(ISNUMBER(BZ82),BZ82&gt;=1,BZ82&lt;=5),"Clay status is "&amp;BY82&amp;": set call_done or later",IF(AND(AW82=1,CA82&lt;&gt;BS82),"Clay yes_in_principle should be "&amp;BS82,IF(AND(AW82=1,CB82&lt;&gt;G82),"Clay call_date should be "&amp;TEXT(G82,"yyyy-mm-dd"),""))))))))</f>
        <v/>
      </c>
      <c r="AT82" s="17">
        <f>ROW()</f>
        <v/>
      </c>
      <c r="AU82" s="17">
        <f>IF(AND(TRIM($A82)&lt;&gt;"",ISNUMBER(G82)),IF(AND(LEFT($A82,6)="SAMPLE",Config!$B$19&lt;&gt;"Y"),0,1),0)</f>
        <v/>
      </c>
      <c r="AV82" s="17">
        <f>IF(AU82=1,IF(COUNTIFS($A$2:$A$201,$A82,$AU$2:$AU$201,1,$G$2:$G$201,"&lt;"&amp;G82)+COUNTIFS($A$2:$A$201,$A82,$AU$2:$AU$201,1,$G$2:$G$201,G82,$AT$2:$AT$201,"&lt;"&amp;AT82)=0,1,0),0)</f>
        <v/>
      </c>
      <c r="AW82" s="17">
        <f>IF(AU82=1,IF(COUNTIFS($A$2:$A$201,$A82,$AU$2:$AU$201,1,$G$2:$G$201,"&gt;"&amp;G82)+COUNTIFS($A$2:$A$201,$A82,$AU$2:$AU$201,1,$G$2:$G$201,G82,$AT$2:$AT$201,"&gt;"&amp;AT82)=0,1,0),0)</f>
        <v/>
      </c>
      <c r="AX82" s="17">
        <f>IF(AND(AU82=1,AN82="Y",Z82="Y",TRIM(AD82)&lt;&gt;""),1,0)</f>
        <v/>
      </c>
      <c r="AY82" s="17">
        <f>IF(AX82=1,IF(COUNTIFS($A$2:$A$201,$A82,$AX$2:$AX$201,1,$G$2:$G$201,"&lt;"&amp;G82)+COUNTIFS($A$2:$A$201,$A82,$AX$2:$AX$201,1,$G$2:$G$201,G82,$AT$2:$AT$201,"&lt;"&amp;AT82)=0,1,0),0)</f>
        <v/>
      </c>
      <c r="AZ82" s="17">
        <f>IF(AND(AU82=1,AN82="Y",AX82=0),1,0)</f>
        <v/>
      </c>
      <c r="BA82" s="17">
        <f>IF(AND(AU82=1,ISNUMBER(V82)),1,0)</f>
        <v/>
      </c>
      <c r="BB82" s="17">
        <f>IF(BA82=1,IF(COUNTIFS($A$2:$A$201,$A82,$BA$2:$BA$201,1,$G$2:$G$201,"&lt;"&amp;G82)+COUNTIFS($A$2:$A$201,$A82,$BA$2:$BA$201,1,$G$2:$G$201,G82,$AT$2:$AT$201,"&lt;"&amp;AT82)=0,1,0),0)</f>
        <v/>
      </c>
      <c r="BC82" s="17">
        <f>IF(AND(BB82=1,G82&lt;=Config!$B$6),V82,"")</f>
        <v/>
      </c>
      <c r="BD82" s="17">
        <f>IF(AND(BB82=1,G82&lt;=Config!$B$7),V82,"")</f>
        <v/>
      </c>
      <c r="BE82" s="17">
        <f>IF(AND(BB82=1,G82&lt;=Config!$B$8),V82,"")</f>
        <v/>
      </c>
      <c r="BF82" s="17">
        <f>IF(AND(BB82=1,G82&lt;=Config!$B$5),V82,"")</f>
        <v/>
      </c>
      <c r="BG82" s="17">
        <f>IF(BW82=1,IF(COUNTIFS($A$2:$A$201,$A82,$BW$2:$BW$201,1,$G$2:$G$201,"&lt;"&amp;G82)+COUNTIFS($A$2:$A$201,$A82,$BW$2:$BW$201,1,$G$2:$G$201,G82,$AT$2:$AT$201,"&lt;"&amp;AT82)=0,1,0),0)</f>
        <v/>
      </c>
      <c r="BH82" s="17">
        <f>IF(AND(AU82=1,ISNUMBER(K82)),1,0)</f>
        <v/>
      </c>
      <c r="BI82" s="17">
        <f>IF(BH82=1,IF(COUNTIFS($A$2:$A$201,$A82,$BH$2:$BH$201,1,$G$2:$G$201,"&lt;"&amp;G82)+COUNTIFS($A$2:$A$201,$A82,$BH$2:$BH$201,1,$G$2:$G$201,G82,$AT$2:$AT$201,"&lt;"&amp;AT82)=0,1,0),0)</f>
        <v/>
      </c>
      <c r="BJ82" s="17">
        <f>IF(AND(BI82=1,G82&lt;=Config!$B$5),K82,"")</f>
        <v/>
      </c>
      <c r="BK82" s="17">
        <f>IF(AND(AU82=1,OR(TRIM(U82)&lt;&gt;"",ISNUMBER(V82))),1,0)</f>
        <v/>
      </c>
      <c r="BL82" s="17">
        <f>IF(BK82=1,IF(COUNTIFS($A$2:$A$201,$A82,$BK$2:$BK$201,1,$G$2:$G$201,"&lt;"&amp;G82)+COUNTIFS($A$2:$A$201,$A82,$BK$2:$BK$201,1,$G$2:$G$201,G82,$AT$2:$AT$201,"&lt;"&amp;AT82)=0,1,0),0)</f>
        <v/>
      </c>
      <c r="BM82" s="17">
        <f>IF(BL82=1,$A82,"")</f>
        <v/>
      </c>
      <c r="BN82" s="17">
        <f>IF(AND(AU82=1,T82="Y",TRIM(U82)=""),1,0)</f>
        <v/>
      </c>
      <c r="BO82" s="17">
        <f>IF(AU82=1,AJ82&amp;"","")</f>
        <v/>
      </c>
      <c r="BP82" s="17">
        <f>IF(AU82=1,AK82&amp;"","")</f>
        <v/>
      </c>
      <c r="BQ82" s="17">
        <f>IF(AU82=1,AL82&amp;"","")</f>
        <v/>
      </c>
      <c r="BR82" s="17">
        <f>IF(AND(AU82=1,ISNUMBER(AP82),G82&lt;=Config!$B$5),AP82,"")</f>
        <v/>
      </c>
      <c r="BS82" s="17">
        <f>IF(AU82=1,IF(COUNTIFS($A$2:$A$201,$A82,$AN$2:$AN$201,"Y",$AU$2:$AU$201,1)&gt;0,"Y","N"),"")</f>
        <v/>
      </c>
      <c r="BT82" s="17">
        <f>IF(AND(AU82=1,AN82="maybe"),1,0)</f>
        <v/>
      </c>
      <c r="BU82" s="17">
        <f>IF(BT82=1,IF(COUNTIFS($A$2:$A$201,$A82,$BT$2:$BT$201,1,$G$2:$G$201,"&lt;"&amp;G82)+COUNTIFS($A$2:$A$201,$A82,$BT$2:$BT$201,1,$G$2:$G$201,G82,$AT$2:$AT$201,"&lt;"&amp;AT82)=0,1,0),0)</f>
        <v/>
      </c>
      <c r="BV82" s="17">
        <f>IF(AND(AU82=1,AN82="Y"),IF(COUNTIFS($A$2:$A$201,$A82,$AN$2:$AN$201,"Y",$AU$2:$AU$201,1,$G$2:$G$201,"&lt;"&amp;G82)+COUNTIFS($A$2:$A$201,$A82,$AN$2:$AN$201,"Y",$AU$2:$AU$201,1,$G$2:$G$201,G82,$AT$2:$AT$201,"&lt;"&amp;AT82)=0,1,0),0)</f>
        <v/>
      </c>
      <c r="BW82" s="17">
        <f>IF(AND(BA82=1,N(V82)&gt;=Config!$B$15),1,0)</f>
        <v/>
      </c>
      <c r="BX82" s="17">
        <f>IF(AU82=1,IFERROR(MATCH($A82,INDEX(Clay_Offices!$A$2:$FZ$601,0,Sync!$C$5),0),""),"")</f>
        <v/>
      </c>
      <c r="BY82" s="17">
        <f>IF(BX82="","",IFERROR(INDEX(Clay_Offices!$A$2:$FZ$601,BX82,Sync!$C$7)&amp;"",""))</f>
        <v/>
      </c>
      <c r="BZ82" s="17">
        <f>IF(BY82="","",IFERROR(INDEX(Lists!$J$2:$J$15,MATCH(BY82,Lists!$I$2:$I$15,0)),""))</f>
        <v/>
      </c>
      <c r="CA82" s="17">
        <f>IF(BX82="","",IFERROR(INDEX(Clay_Offices!$A$2:$FZ$601,BX82,Sync!$C$17)&amp;"",""))</f>
        <v/>
      </c>
      <c r="CB82" s="23">
        <f>IF(BX82="","",IFERROR(N(INDEX(Clay_Offices!$A$2:$FZ$601,BX82,Sync!$C$16)),0))</f>
        <v/>
      </c>
    </row>
    <row r="83">
      <c r="G83" s="22" t="n"/>
      <c r="AS83" s="17">
        <f>IF(TRIM($A83)="","",IF(AND(LEFT($A83,6)="SAMPLE",Config!$B$19&lt;&gt;"Y"),"",IF(NOT(ISNUMBER(G83)),"call_date is blank or not a date",IF(Sync!$C$5="","Clay paste is empty or has no row_id column: paste the Clay export on Clay_Offices",IF(BX83="","row_id not found in the Clay paste: add the Clay row or fix the row_id",IF(AND(ISNUMBER(BZ83),BZ83&gt;=1,BZ83&lt;=5),"Clay status is "&amp;BY83&amp;": set call_done or later",IF(AND(AW83=1,CA83&lt;&gt;BS83),"Clay yes_in_principle should be "&amp;BS83,IF(AND(AW83=1,CB83&lt;&gt;G83),"Clay call_date should be "&amp;TEXT(G83,"yyyy-mm-dd"),""))))))))</f>
        <v/>
      </c>
      <c r="AT83" s="17">
        <f>ROW()</f>
        <v/>
      </c>
      <c r="AU83" s="17">
        <f>IF(AND(TRIM($A83)&lt;&gt;"",ISNUMBER(G83)),IF(AND(LEFT($A83,6)="SAMPLE",Config!$B$19&lt;&gt;"Y"),0,1),0)</f>
        <v/>
      </c>
      <c r="AV83" s="17">
        <f>IF(AU83=1,IF(COUNTIFS($A$2:$A$201,$A83,$AU$2:$AU$201,1,$G$2:$G$201,"&lt;"&amp;G83)+COUNTIFS($A$2:$A$201,$A83,$AU$2:$AU$201,1,$G$2:$G$201,G83,$AT$2:$AT$201,"&lt;"&amp;AT83)=0,1,0),0)</f>
        <v/>
      </c>
      <c r="AW83" s="17">
        <f>IF(AU83=1,IF(COUNTIFS($A$2:$A$201,$A83,$AU$2:$AU$201,1,$G$2:$G$201,"&gt;"&amp;G83)+COUNTIFS($A$2:$A$201,$A83,$AU$2:$AU$201,1,$G$2:$G$201,G83,$AT$2:$AT$201,"&gt;"&amp;AT83)=0,1,0),0)</f>
        <v/>
      </c>
      <c r="AX83" s="17">
        <f>IF(AND(AU83=1,AN83="Y",Z83="Y",TRIM(AD83)&lt;&gt;""),1,0)</f>
        <v/>
      </c>
      <c r="AY83" s="17">
        <f>IF(AX83=1,IF(COUNTIFS($A$2:$A$201,$A83,$AX$2:$AX$201,1,$G$2:$G$201,"&lt;"&amp;G83)+COUNTIFS($A$2:$A$201,$A83,$AX$2:$AX$201,1,$G$2:$G$201,G83,$AT$2:$AT$201,"&lt;"&amp;AT83)=0,1,0),0)</f>
        <v/>
      </c>
      <c r="AZ83" s="17">
        <f>IF(AND(AU83=1,AN83="Y",AX83=0),1,0)</f>
        <v/>
      </c>
      <c r="BA83" s="17">
        <f>IF(AND(AU83=1,ISNUMBER(V83)),1,0)</f>
        <v/>
      </c>
      <c r="BB83" s="17">
        <f>IF(BA83=1,IF(COUNTIFS($A$2:$A$201,$A83,$BA$2:$BA$201,1,$G$2:$G$201,"&lt;"&amp;G83)+COUNTIFS($A$2:$A$201,$A83,$BA$2:$BA$201,1,$G$2:$G$201,G83,$AT$2:$AT$201,"&lt;"&amp;AT83)=0,1,0),0)</f>
        <v/>
      </c>
      <c r="BC83" s="17">
        <f>IF(AND(BB83=1,G83&lt;=Config!$B$6),V83,"")</f>
        <v/>
      </c>
      <c r="BD83" s="17">
        <f>IF(AND(BB83=1,G83&lt;=Config!$B$7),V83,"")</f>
        <v/>
      </c>
      <c r="BE83" s="17">
        <f>IF(AND(BB83=1,G83&lt;=Config!$B$8),V83,"")</f>
        <v/>
      </c>
      <c r="BF83" s="17">
        <f>IF(AND(BB83=1,G83&lt;=Config!$B$5),V83,"")</f>
        <v/>
      </c>
      <c r="BG83" s="17">
        <f>IF(BW83=1,IF(COUNTIFS($A$2:$A$201,$A83,$BW$2:$BW$201,1,$G$2:$G$201,"&lt;"&amp;G83)+COUNTIFS($A$2:$A$201,$A83,$BW$2:$BW$201,1,$G$2:$G$201,G83,$AT$2:$AT$201,"&lt;"&amp;AT83)=0,1,0),0)</f>
        <v/>
      </c>
      <c r="BH83" s="17">
        <f>IF(AND(AU83=1,ISNUMBER(K83)),1,0)</f>
        <v/>
      </c>
      <c r="BI83" s="17">
        <f>IF(BH83=1,IF(COUNTIFS($A$2:$A$201,$A83,$BH$2:$BH$201,1,$G$2:$G$201,"&lt;"&amp;G83)+COUNTIFS($A$2:$A$201,$A83,$BH$2:$BH$201,1,$G$2:$G$201,G83,$AT$2:$AT$201,"&lt;"&amp;AT83)=0,1,0),0)</f>
        <v/>
      </c>
      <c r="BJ83" s="17">
        <f>IF(AND(BI83=1,G83&lt;=Config!$B$5),K83,"")</f>
        <v/>
      </c>
      <c r="BK83" s="17">
        <f>IF(AND(AU83=1,OR(TRIM(U83)&lt;&gt;"",ISNUMBER(V83))),1,0)</f>
        <v/>
      </c>
      <c r="BL83" s="17">
        <f>IF(BK83=1,IF(COUNTIFS($A$2:$A$201,$A83,$BK$2:$BK$201,1,$G$2:$G$201,"&lt;"&amp;G83)+COUNTIFS($A$2:$A$201,$A83,$BK$2:$BK$201,1,$G$2:$G$201,G83,$AT$2:$AT$201,"&lt;"&amp;AT83)=0,1,0),0)</f>
        <v/>
      </c>
      <c r="BM83" s="17">
        <f>IF(BL83=1,$A83,"")</f>
        <v/>
      </c>
      <c r="BN83" s="17">
        <f>IF(AND(AU83=1,T83="Y",TRIM(U83)=""),1,0)</f>
        <v/>
      </c>
      <c r="BO83" s="17">
        <f>IF(AU83=1,AJ83&amp;"","")</f>
        <v/>
      </c>
      <c r="BP83" s="17">
        <f>IF(AU83=1,AK83&amp;"","")</f>
        <v/>
      </c>
      <c r="BQ83" s="17">
        <f>IF(AU83=1,AL83&amp;"","")</f>
        <v/>
      </c>
      <c r="BR83" s="17">
        <f>IF(AND(AU83=1,ISNUMBER(AP83),G83&lt;=Config!$B$5),AP83,"")</f>
        <v/>
      </c>
      <c r="BS83" s="17">
        <f>IF(AU83=1,IF(COUNTIFS($A$2:$A$201,$A83,$AN$2:$AN$201,"Y",$AU$2:$AU$201,1)&gt;0,"Y","N"),"")</f>
        <v/>
      </c>
      <c r="BT83" s="17">
        <f>IF(AND(AU83=1,AN83="maybe"),1,0)</f>
        <v/>
      </c>
      <c r="BU83" s="17">
        <f>IF(BT83=1,IF(COUNTIFS($A$2:$A$201,$A83,$BT$2:$BT$201,1,$G$2:$G$201,"&lt;"&amp;G83)+COUNTIFS($A$2:$A$201,$A83,$BT$2:$BT$201,1,$G$2:$G$201,G83,$AT$2:$AT$201,"&lt;"&amp;AT83)=0,1,0),0)</f>
        <v/>
      </c>
      <c r="BV83" s="17">
        <f>IF(AND(AU83=1,AN83="Y"),IF(COUNTIFS($A$2:$A$201,$A83,$AN$2:$AN$201,"Y",$AU$2:$AU$201,1,$G$2:$G$201,"&lt;"&amp;G83)+COUNTIFS($A$2:$A$201,$A83,$AN$2:$AN$201,"Y",$AU$2:$AU$201,1,$G$2:$G$201,G83,$AT$2:$AT$201,"&lt;"&amp;AT83)=0,1,0),0)</f>
        <v/>
      </c>
      <c r="BW83" s="17">
        <f>IF(AND(BA83=1,N(V83)&gt;=Config!$B$15),1,0)</f>
        <v/>
      </c>
      <c r="BX83" s="17">
        <f>IF(AU83=1,IFERROR(MATCH($A83,INDEX(Clay_Offices!$A$2:$FZ$601,0,Sync!$C$5),0),""),"")</f>
        <v/>
      </c>
      <c r="BY83" s="17">
        <f>IF(BX83="","",IFERROR(INDEX(Clay_Offices!$A$2:$FZ$601,BX83,Sync!$C$7)&amp;"",""))</f>
        <v/>
      </c>
      <c r="BZ83" s="17">
        <f>IF(BY83="","",IFERROR(INDEX(Lists!$J$2:$J$15,MATCH(BY83,Lists!$I$2:$I$15,0)),""))</f>
        <v/>
      </c>
      <c r="CA83" s="17">
        <f>IF(BX83="","",IFERROR(INDEX(Clay_Offices!$A$2:$FZ$601,BX83,Sync!$C$17)&amp;"",""))</f>
        <v/>
      </c>
      <c r="CB83" s="23">
        <f>IF(BX83="","",IFERROR(N(INDEX(Clay_Offices!$A$2:$FZ$601,BX83,Sync!$C$16)),0))</f>
        <v/>
      </c>
    </row>
    <row r="84">
      <c r="G84" s="22" t="n"/>
      <c r="AS84" s="17">
        <f>IF(TRIM($A84)="","",IF(AND(LEFT($A84,6)="SAMPLE",Config!$B$19&lt;&gt;"Y"),"",IF(NOT(ISNUMBER(G84)),"call_date is blank or not a date",IF(Sync!$C$5="","Clay paste is empty or has no row_id column: paste the Clay export on Clay_Offices",IF(BX84="","row_id not found in the Clay paste: add the Clay row or fix the row_id",IF(AND(ISNUMBER(BZ84),BZ84&gt;=1,BZ84&lt;=5),"Clay status is "&amp;BY84&amp;": set call_done or later",IF(AND(AW84=1,CA84&lt;&gt;BS84),"Clay yes_in_principle should be "&amp;BS84,IF(AND(AW84=1,CB84&lt;&gt;G84),"Clay call_date should be "&amp;TEXT(G84,"yyyy-mm-dd"),""))))))))</f>
        <v/>
      </c>
      <c r="AT84" s="17">
        <f>ROW()</f>
        <v/>
      </c>
      <c r="AU84" s="17">
        <f>IF(AND(TRIM($A84)&lt;&gt;"",ISNUMBER(G84)),IF(AND(LEFT($A84,6)="SAMPLE",Config!$B$19&lt;&gt;"Y"),0,1),0)</f>
        <v/>
      </c>
      <c r="AV84" s="17">
        <f>IF(AU84=1,IF(COUNTIFS($A$2:$A$201,$A84,$AU$2:$AU$201,1,$G$2:$G$201,"&lt;"&amp;G84)+COUNTIFS($A$2:$A$201,$A84,$AU$2:$AU$201,1,$G$2:$G$201,G84,$AT$2:$AT$201,"&lt;"&amp;AT84)=0,1,0),0)</f>
        <v/>
      </c>
      <c r="AW84" s="17">
        <f>IF(AU84=1,IF(COUNTIFS($A$2:$A$201,$A84,$AU$2:$AU$201,1,$G$2:$G$201,"&gt;"&amp;G84)+COUNTIFS($A$2:$A$201,$A84,$AU$2:$AU$201,1,$G$2:$G$201,G84,$AT$2:$AT$201,"&gt;"&amp;AT84)=0,1,0),0)</f>
        <v/>
      </c>
      <c r="AX84" s="17">
        <f>IF(AND(AU84=1,AN84="Y",Z84="Y",TRIM(AD84)&lt;&gt;""),1,0)</f>
        <v/>
      </c>
      <c r="AY84" s="17">
        <f>IF(AX84=1,IF(COUNTIFS($A$2:$A$201,$A84,$AX$2:$AX$201,1,$G$2:$G$201,"&lt;"&amp;G84)+COUNTIFS($A$2:$A$201,$A84,$AX$2:$AX$201,1,$G$2:$G$201,G84,$AT$2:$AT$201,"&lt;"&amp;AT84)=0,1,0),0)</f>
        <v/>
      </c>
      <c r="AZ84" s="17">
        <f>IF(AND(AU84=1,AN84="Y",AX84=0),1,0)</f>
        <v/>
      </c>
      <c r="BA84" s="17">
        <f>IF(AND(AU84=1,ISNUMBER(V84)),1,0)</f>
        <v/>
      </c>
      <c r="BB84" s="17">
        <f>IF(BA84=1,IF(COUNTIFS($A$2:$A$201,$A84,$BA$2:$BA$201,1,$G$2:$G$201,"&lt;"&amp;G84)+COUNTIFS($A$2:$A$201,$A84,$BA$2:$BA$201,1,$G$2:$G$201,G84,$AT$2:$AT$201,"&lt;"&amp;AT84)=0,1,0),0)</f>
        <v/>
      </c>
      <c r="BC84" s="17">
        <f>IF(AND(BB84=1,G84&lt;=Config!$B$6),V84,"")</f>
        <v/>
      </c>
      <c r="BD84" s="17">
        <f>IF(AND(BB84=1,G84&lt;=Config!$B$7),V84,"")</f>
        <v/>
      </c>
      <c r="BE84" s="17">
        <f>IF(AND(BB84=1,G84&lt;=Config!$B$8),V84,"")</f>
        <v/>
      </c>
      <c r="BF84" s="17">
        <f>IF(AND(BB84=1,G84&lt;=Config!$B$5),V84,"")</f>
        <v/>
      </c>
      <c r="BG84" s="17">
        <f>IF(BW84=1,IF(COUNTIFS($A$2:$A$201,$A84,$BW$2:$BW$201,1,$G$2:$G$201,"&lt;"&amp;G84)+COUNTIFS($A$2:$A$201,$A84,$BW$2:$BW$201,1,$G$2:$G$201,G84,$AT$2:$AT$201,"&lt;"&amp;AT84)=0,1,0),0)</f>
        <v/>
      </c>
      <c r="BH84" s="17">
        <f>IF(AND(AU84=1,ISNUMBER(K84)),1,0)</f>
        <v/>
      </c>
      <c r="BI84" s="17">
        <f>IF(BH84=1,IF(COUNTIFS($A$2:$A$201,$A84,$BH$2:$BH$201,1,$G$2:$G$201,"&lt;"&amp;G84)+COUNTIFS($A$2:$A$201,$A84,$BH$2:$BH$201,1,$G$2:$G$201,G84,$AT$2:$AT$201,"&lt;"&amp;AT84)=0,1,0),0)</f>
        <v/>
      </c>
      <c r="BJ84" s="17">
        <f>IF(AND(BI84=1,G84&lt;=Config!$B$5),K84,"")</f>
        <v/>
      </c>
      <c r="BK84" s="17">
        <f>IF(AND(AU84=1,OR(TRIM(U84)&lt;&gt;"",ISNUMBER(V84))),1,0)</f>
        <v/>
      </c>
      <c r="BL84" s="17">
        <f>IF(BK84=1,IF(COUNTIFS($A$2:$A$201,$A84,$BK$2:$BK$201,1,$G$2:$G$201,"&lt;"&amp;G84)+COUNTIFS($A$2:$A$201,$A84,$BK$2:$BK$201,1,$G$2:$G$201,G84,$AT$2:$AT$201,"&lt;"&amp;AT84)=0,1,0),0)</f>
        <v/>
      </c>
      <c r="BM84" s="17">
        <f>IF(BL84=1,$A84,"")</f>
        <v/>
      </c>
      <c r="BN84" s="17">
        <f>IF(AND(AU84=1,T84="Y",TRIM(U84)=""),1,0)</f>
        <v/>
      </c>
      <c r="BO84" s="17">
        <f>IF(AU84=1,AJ84&amp;"","")</f>
        <v/>
      </c>
      <c r="BP84" s="17">
        <f>IF(AU84=1,AK84&amp;"","")</f>
        <v/>
      </c>
      <c r="BQ84" s="17">
        <f>IF(AU84=1,AL84&amp;"","")</f>
        <v/>
      </c>
      <c r="BR84" s="17">
        <f>IF(AND(AU84=1,ISNUMBER(AP84),G84&lt;=Config!$B$5),AP84,"")</f>
        <v/>
      </c>
      <c r="BS84" s="17">
        <f>IF(AU84=1,IF(COUNTIFS($A$2:$A$201,$A84,$AN$2:$AN$201,"Y",$AU$2:$AU$201,1)&gt;0,"Y","N"),"")</f>
        <v/>
      </c>
      <c r="BT84" s="17">
        <f>IF(AND(AU84=1,AN84="maybe"),1,0)</f>
        <v/>
      </c>
      <c r="BU84" s="17">
        <f>IF(BT84=1,IF(COUNTIFS($A$2:$A$201,$A84,$BT$2:$BT$201,1,$G$2:$G$201,"&lt;"&amp;G84)+COUNTIFS($A$2:$A$201,$A84,$BT$2:$BT$201,1,$G$2:$G$201,G84,$AT$2:$AT$201,"&lt;"&amp;AT84)=0,1,0),0)</f>
        <v/>
      </c>
      <c r="BV84" s="17">
        <f>IF(AND(AU84=1,AN84="Y"),IF(COUNTIFS($A$2:$A$201,$A84,$AN$2:$AN$201,"Y",$AU$2:$AU$201,1,$G$2:$G$201,"&lt;"&amp;G84)+COUNTIFS($A$2:$A$201,$A84,$AN$2:$AN$201,"Y",$AU$2:$AU$201,1,$G$2:$G$201,G84,$AT$2:$AT$201,"&lt;"&amp;AT84)=0,1,0),0)</f>
        <v/>
      </c>
      <c r="BW84" s="17">
        <f>IF(AND(BA84=1,N(V84)&gt;=Config!$B$15),1,0)</f>
        <v/>
      </c>
      <c r="BX84" s="17">
        <f>IF(AU84=1,IFERROR(MATCH($A84,INDEX(Clay_Offices!$A$2:$FZ$601,0,Sync!$C$5),0),""),"")</f>
        <v/>
      </c>
      <c r="BY84" s="17">
        <f>IF(BX84="","",IFERROR(INDEX(Clay_Offices!$A$2:$FZ$601,BX84,Sync!$C$7)&amp;"",""))</f>
        <v/>
      </c>
      <c r="BZ84" s="17">
        <f>IF(BY84="","",IFERROR(INDEX(Lists!$J$2:$J$15,MATCH(BY84,Lists!$I$2:$I$15,0)),""))</f>
        <v/>
      </c>
      <c r="CA84" s="17">
        <f>IF(BX84="","",IFERROR(INDEX(Clay_Offices!$A$2:$FZ$601,BX84,Sync!$C$17)&amp;"",""))</f>
        <v/>
      </c>
      <c r="CB84" s="23">
        <f>IF(BX84="","",IFERROR(N(INDEX(Clay_Offices!$A$2:$FZ$601,BX84,Sync!$C$16)),0))</f>
        <v/>
      </c>
    </row>
    <row r="85">
      <c r="G85" s="22" t="n"/>
      <c r="AS85" s="17">
        <f>IF(TRIM($A85)="","",IF(AND(LEFT($A85,6)="SAMPLE",Config!$B$19&lt;&gt;"Y"),"",IF(NOT(ISNUMBER(G85)),"call_date is blank or not a date",IF(Sync!$C$5="","Clay paste is empty or has no row_id column: paste the Clay export on Clay_Offices",IF(BX85="","row_id not found in the Clay paste: add the Clay row or fix the row_id",IF(AND(ISNUMBER(BZ85),BZ85&gt;=1,BZ85&lt;=5),"Clay status is "&amp;BY85&amp;": set call_done or later",IF(AND(AW85=1,CA85&lt;&gt;BS85),"Clay yes_in_principle should be "&amp;BS85,IF(AND(AW85=1,CB85&lt;&gt;G85),"Clay call_date should be "&amp;TEXT(G85,"yyyy-mm-dd"),""))))))))</f>
        <v/>
      </c>
      <c r="AT85" s="17">
        <f>ROW()</f>
        <v/>
      </c>
      <c r="AU85" s="17">
        <f>IF(AND(TRIM($A85)&lt;&gt;"",ISNUMBER(G85)),IF(AND(LEFT($A85,6)="SAMPLE",Config!$B$19&lt;&gt;"Y"),0,1),0)</f>
        <v/>
      </c>
      <c r="AV85" s="17">
        <f>IF(AU85=1,IF(COUNTIFS($A$2:$A$201,$A85,$AU$2:$AU$201,1,$G$2:$G$201,"&lt;"&amp;G85)+COUNTIFS($A$2:$A$201,$A85,$AU$2:$AU$201,1,$G$2:$G$201,G85,$AT$2:$AT$201,"&lt;"&amp;AT85)=0,1,0),0)</f>
        <v/>
      </c>
      <c r="AW85" s="17">
        <f>IF(AU85=1,IF(COUNTIFS($A$2:$A$201,$A85,$AU$2:$AU$201,1,$G$2:$G$201,"&gt;"&amp;G85)+COUNTIFS($A$2:$A$201,$A85,$AU$2:$AU$201,1,$G$2:$G$201,G85,$AT$2:$AT$201,"&gt;"&amp;AT85)=0,1,0),0)</f>
        <v/>
      </c>
      <c r="AX85" s="17">
        <f>IF(AND(AU85=1,AN85="Y",Z85="Y",TRIM(AD85)&lt;&gt;""),1,0)</f>
        <v/>
      </c>
      <c r="AY85" s="17">
        <f>IF(AX85=1,IF(COUNTIFS($A$2:$A$201,$A85,$AX$2:$AX$201,1,$G$2:$G$201,"&lt;"&amp;G85)+COUNTIFS($A$2:$A$201,$A85,$AX$2:$AX$201,1,$G$2:$G$201,G85,$AT$2:$AT$201,"&lt;"&amp;AT85)=0,1,0),0)</f>
        <v/>
      </c>
      <c r="AZ85" s="17">
        <f>IF(AND(AU85=1,AN85="Y",AX85=0),1,0)</f>
        <v/>
      </c>
      <c r="BA85" s="17">
        <f>IF(AND(AU85=1,ISNUMBER(V85)),1,0)</f>
        <v/>
      </c>
      <c r="BB85" s="17">
        <f>IF(BA85=1,IF(COUNTIFS($A$2:$A$201,$A85,$BA$2:$BA$201,1,$G$2:$G$201,"&lt;"&amp;G85)+COUNTIFS($A$2:$A$201,$A85,$BA$2:$BA$201,1,$G$2:$G$201,G85,$AT$2:$AT$201,"&lt;"&amp;AT85)=0,1,0),0)</f>
        <v/>
      </c>
      <c r="BC85" s="17">
        <f>IF(AND(BB85=1,G85&lt;=Config!$B$6),V85,"")</f>
        <v/>
      </c>
      <c r="BD85" s="17">
        <f>IF(AND(BB85=1,G85&lt;=Config!$B$7),V85,"")</f>
        <v/>
      </c>
      <c r="BE85" s="17">
        <f>IF(AND(BB85=1,G85&lt;=Config!$B$8),V85,"")</f>
        <v/>
      </c>
      <c r="BF85" s="17">
        <f>IF(AND(BB85=1,G85&lt;=Config!$B$5),V85,"")</f>
        <v/>
      </c>
      <c r="BG85" s="17">
        <f>IF(BW85=1,IF(COUNTIFS($A$2:$A$201,$A85,$BW$2:$BW$201,1,$G$2:$G$201,"&lt;"&amp;G85)+COUNTIFS($A$2:$A$201,$A85,$BW$2:$BW$201,1,$G$2:$G$201,G85,$AT$2:$AT$201,"&lt;"&amp;AT85)=0,1,0),0)</f>
        <v/>
      </c>
      <c r="BH85" s="17">
        <f>IF(AND(AU85=1,ISNUMBER(K85)),1,0)</f>
        <v/>
      </c>
      <c r="BI85" s="17">
        <f>IF(BH85=1,IF(COUNTIFS($A$2:$A$201,$A85,$BH$2:$BH$201,1,$G$2:$G$201,"&lt;"&amp;G85)+COUNTIFS($A$2:$A$201,$A85,$BH$2:$BH$201,1,$G$2:$G$201,G85,$AT$2:$AT$201,"&lt;"&amp;AT85)=0,1,0),0)</f>
        <v/>
      </c>
      <c r="BJ85" s="17">
        <f>IF(AND(BI85=1,G85&lt;=Config!$B$5),K85,"")</f>
        <v/>
      </c>
      <c r="BK85" s="17">
        <f>IF(AND(AU85=1,OR(TRIM(U85)&lt;&gt;"",ISNUMBER(V85))),1,0)</f>
        <v/>
      </c>
      <c r="BL85" s="17">
        <f>IF(BK85=1,IF(COUNTIFS($A$2:$A$201,$A85,$BK$2:$BK$201,1,$G$2:$G$201,"&lt;"&amp;G85)+COUNTIFS($A$2:$A$201,$A85,$BK$2:$BK$201,1,$G$2:$G$201,G85,$AT$2:$AT$201,"&lt;"&amp;AT85)=0,1,0),0)</f>
        <v/>
      </c>
      <c r="BM85" s="17">
        <f>IF(BL85=1,$A85,"")</f>
        <v/>
      </c>
      <c r="BN85" s="17">
        <f>IF(AND(AU85=1,T85="Y",TRIM(U85)=""),1,0)</f>
        <v/>
      </c>
      <c r="BO85" s="17">
        <f>IF(AU85=1,AJ85&amp;"","")</f>
        <v/>
      </c>
      <c r="BP85" s="17">
        <f>IF(AU85=1,AK85&amp;"","")</f>
        <v/>
      </c>
      <c r="BQ85" s="17">
        <f>IF(AU85=1,AL85&amp;"","")</f>
        <v/>
      </c>
      <c r="BR85" s="17">
        <f>IF(AND(AU85=1,ISNUMBER(AP85),G85&lt;=Config!$B$5),AP85,"")</f>
        <v/>
      </c>
      <c r="BS85" s="17">
        <f>IF(AU85=1,IF(COUNTIFS($A$2:$A$201,$A85,$AN$2:$AN$201,"Y",$AU$2:$AU$201,1)&gt;0,"Y","N"),"")</f>
        <v/>
      </c>
      <c r="BT85" s="17">
        <f>IF(AND(AU85=1,AN85="maybe"),1,0)</f>
        <v/>
      </c>
      <c r="BU85" s="17">
        <f>IF(BT85=1,IF(COUNTIFS($A$2:$A$201,$A85,$BT$2:$BT$201,1,$G$2:$G$201,"&lt;"&amp;G85)+COUNTIFS($A$2:$A$201,$A85,$BT$2:$BT$201,1,$G$2:$G$201,G85,$AT$2:$AT$201,"&lt;"&amp;AT85)=0,1,0),0)</f>
        <v/>
      </c>
      <c r="BV85" s="17">
        <f>IF(AND(AU85=1,AN85="Y"),IF(COUNTIFS($A$2:$A$201,$A85,$AN$2:$AN$201,"Y",$AU$2:$AU$201,1,$G$2:$G$201,"&lt;"&amp;G85)+COUNTIFS($A$2:$A$201,$A85,$AN$2:$AN$201,"Y",$AU$2:$AU$201,1,$G$2:$G$201,G85,$AT$2:$AT$201,"&lt;"&amp;AT85)=0,1,0),0)</f>
        <v/>
      </c>
      <c r="BW85" s="17">
        <f>IF(AND(BA85=1,N(V85)&gt;=Config!$B$15),1,0)</f>
        <v/>
      </c>
      <c r="BX85" s="17">
        <f>IF(AU85=1,IFERROR(MATCH($A85,INDEX(Clay_Offices!$A$2:$FZ$601,0,Sync!$C$5),0),""),"")</f>
        <v/>
      </c>
      <c r="BY85" s="17">
        <f>IF(BX85="","",IFERROR(INDEX(Clay_Offices!$A$2:$FZ$601,BX85,Sync!$C$7)&amp;"",""))</f>
        <v/>
      </c>
      <c r="BZ85" s="17">
        <f>IF(BY85="","",IFERROR(INDEX(Lists!$J$2:$J$15,MATCH(BY85,Lists!$I$2:$I$15,0)),""))</f>
        <v/>
      </c>
      <c r="CA85" s="17">
        <f>IF(BX85="","",IFERROR(INDEX(Clay_Offices!$A$2:$FZ$601,BX85,Sync!$C$17)&amp;"",""))</f>
        <v/>
      </c>
      <c r="CB85" s="23">
        <f>IF(BX85="","",IFERROR(N(INDEX(Clay_Offices!$A$2:$FZ$601,BX85,Sync!$C$16)),0))</f>
        <v/>
      </c>
    </row>
    <row r="86">
      <c r="G86" s="22" t="n"/>
      <c r="AS86" s="17">
        <f>IF(TRIM($A86)="","",IF(AND(LEFT($A86,6)="SAMPLE",Config!$B$19&lt;&gt;"Y"),"",IF(NOT(ISNUMBER(G86)),"call_date is blank or not a date",IF(Sync!$C$5="","Clay paste is empty or has no row_id column: paste the Clay export on Clay_Offices",IF(BX86="","row_id not found in the Clay paste: add the Clay row or fix the row_id",IF(AND(ISNUMBER(BZ86),BZ86&gt;=1,BZ86&lt;=5),"Clay status is "&amp;BY86&amp;": set call_done or later",IF(AND(AW86=1,CA86&lt;&gt;BS86),"Clay yes_in_principle should be "&amp;BS86,IF(AND(AW86=1,CB86&lt;&gt;G86),"Clay call_date should be "&amp;TEXT(G86,"yyyy-mm-dd"),""))))))))</f>
        <v/>
      </c>
      <c r="AT86" s="17">
        <f>ROW()</f>
        <v/>
      </c>
      <c r="AU86" s="17">
        <f>IF(AND(TRIM($A86)&lt;&gt;"",ISNUMBER(G86)),IF(AND(LEFT($A86,6)="SAMPLE",Config!$B$19&lt;&gt;"Y"),0,1),0)</f>
        <v/>
      </c>
      <c r="AV86" s="17">
        <f>IF(AU86=1,IF(COUNTIFS($A$2:$A$201,$A86,$AU$2:$AU$201,1,$G$2:$G$201,"&lt;"&amp;G86)+COUNTIFS($A$2:$A$201,$A86,$AU$2:$AU$201,1,$G$2:$G$201,G86,$AT$2:$AT$201,"&lt;"&amp;AT86)=0,1,0),0)</f>
        <v/>
      </c>
      <c r="AW86" s="17">
        <f>IF(AU86=1,IF(COUNTIFS($A$2:$A$201,$A86,$AU$2:$AU$201,1,$G$2:$G$201,"&gt;"&amp;G86)+COUNTIFS($A$2:$A$201,$A86,$AU$2:$AU$201,1,$G$2:$G$201,G86,$AT$2:$AT$201,"&gt;"&amp;AT86)=0,1,0),0)</f>
        <v/>
      </c>
      <c r="AX86" s="17">
        <f>IF(AND(AU86=1,AN86="Y",Z86="Y",TRIM(AD86)&lt;&gt;""),1,0)</f>
        <v/>
      </c>
      <c r="AY86" s="17">
        <f>IF(AX86=1,IF(COUNTIFS($A$2:$A$201,$A86,$AX$2:$AX$201,1,$G$2:$G$201,"&lt;"&amp;G86)+COUNTIFS($A$2:$A$201,$A86,$AX$2:$AX$201,1,$G$2:$G$201,G86,$AT$2:$AT$201,"&lt;"&amp;AT86)=0,1,0),0)</f>
        <v/>
      </c>
      <c r="AZ86" s="17">
        <f>IF(AND(AU86=1,AN86="Y",AX86=0),1,0)</f>
        <v/>
      </c>
      <c r="BA86" s="17">
        <f>IF(AND(AU86=1,ISNUMBER(V86)),1,0)</f>
        <v/>
      </c>
      <c r="BB86" s="17">
        <f>IF(BA86=1,IF(COUNTIFS($A$2:$A$201,$A86,$BA$2:$BA$201,1,$G$2:$G$201,"&lt;"&amp;G86)+COUNTIFS($A$2:$A$201,$A86,$BA$2:$BA$201,1,$G$2:$G$201,G86,$AT$2:$AT$201,"&lt;"&amp;AT86)=0,1,0),0)</f>
        <v/>
      </c>
      <c r="BC86" s="17">
        <f>IF(AND(BB86=1,G86&lt;=Config!$B$6),V86,"")</f>
        <v/>
      </c>
      <c r="BD86" s="17">
        <f>IF(AND(BB86=1,G86&lt;=Config!$B$7),V86,"")</f>
        <v/>
      </c>
      <c r="BE86" s="17">
        <f>IF(AND(BB86=1,G86&lt;=Config!$B$8),V86,"")</f>
        <v/>
      </c>
      <c r="BF86" s="17">
        <f>IF(AND(BB86=1,G86&lt;=Config!$B$5),V86,"")</f>
        <v/>
      </c>
      <c r="BG86" s="17">
        <f>IF(BW86=1,IF(COUNTIFS($A$2:$A$201,$A86,$BW$2:$BW$201,1,$G$2:$G$201,"&lt;"&amp;G86)+COUNTIFS($A$2:$A$201,$A86,$BW$2:$BW$201,1,$G$2:$G$201,G86,$AT$2:$AT$201,"&lt;"&amp;AT86)=0,1,0),0)</f>
        <v/>
      </c>
      <c r="BH86" s="17">
        <f>IF(AND(AU86=1,ISNUMBER(K86)),1,0)</f>
        <v/>
      </c>
      <c r="BI86" s="17">
        <f>IF(BH86=1,IF(COUNTIFS($A$2:$A$201,$A86,$BH$2:$BH$201,1,$G$2:$G$201,"&lt;"&amp;G86)+COUNTIFS($A$2:$A$201,$A86,$BH$2:$BH$201,1,$G$2:$G$201,G86,$AT$2:$AT$201,"&lt;"&amp;AT86)=0,1,0),0)</f>
        <v/>
      </c>
      <c r="BJ86" s="17">
        <f>IF(AND(BI86=1,G86&lt;=Config!$B$5),K86,"")</f>
        <v/>
      </c>
      <c r="BK86" s="17">
        <f>IF(AND(AU86=1,OR(TRIM(U86)&lt;&gt;"",ISNUMBER(V86))),1,0)</f>
        <v/>
      </c>
      <c r="BL86" s="17">
        <f>IF(BK86=1,IF(COUNTIFS($A$2:$A$201,$A86,$BK$2:$BK$201,1,$G$2:$G$201,"&lt;"&amp;G86)+COUNTIFS($A$2:$A$201,$A86,$BK$2:$BK$201,1,$G$2:$G$201,G86,$AT$2:$AT$201,"&lt;"&amp;AT86)=0,1,0),0)</f>
        <v/>
      </c>
      <c r="BM86" s="17">
        <f>IF(BL86=1,$A86,"")</f>
        <v/>
      </c>
      <c r="BN86" s="17">
        <f>IF(AND(AU86=1,T86="Y",TRIM(U86)=""),1,0)</f>
        <v/>
      </c>
      <c r="BO86" s="17">
        <f>IF(AU86=1,AJ86&amp;"","")</f>
        <v/>
      </c>
      <c r="BP86" s="17">
        <f>IF(AU86=1,AK86&amp;"","")</f>
        <v/>
      </c>
      <c r="BQ86" s="17">
        <f>IF(AU86=1,AL86&amp;"","")</f>
        <v/>
      </c>
      <c r="BR86" s="17">
        <f>IF(AND(AU86=1,ISNUMBER(AP86),G86&lt;=Config!$B$5),AP86,"")</f>
        <v/>
      </c>
      <c r="BS86" s="17">
        <f>IF(AU86=1,IF(COUNTIFS($A$2:$A$201,$A86,$AN$2:$AN$201,"Y",$AU$2:$AU$201,1)&gt;0,"Y","N"),"")</f>
        <v/>
      </c>
      <c r="BT86" s="17">
        <f>IF(AND(AU86=1,AN86="maybe"),1,0)</f>
        <v/>
      </c>
      <c r="BU86" s="17">
        <f>IF(BT86=1,IF(COUNTIFS($A$2:$A$201,$A86,$BT$2:$BT$201,1,$G$2:$G$201,"&lt;"&amp;G86)+COUNTIFS($A$2:$A$201,$A86,$BT$2:$BT$201,1,$G$2:$G$201,G86,$AT$2:$AT$201,"&lt;"&amp;AT86)=0,1,0),0)</f>
        <v/>
      </c>
      <c r="BV86" s="17">
        <f>IF(AND(AU86=1,AN86="Y"),IF(COUNTIFS($A$2:$A$201,$A86,$AN$2:$AN$201,"Y",$AU$2:$AU$201,1,$G$2:$G$201,"&lt;"&amp;G86)+COUNTIFS($A$2:$A$201,$A86,$AN$2:$AN$201,"Y",$AU$2:$AU$201,1,$G$2:$G$201,G86,$AT$2:$AT$201,"&lt;"&amp;AT86)=0,1,0),0)</f>
        <v/>
      </c>
      <c r="BW86" s="17">
        <f>IF(AND(BA86=1,N(V86)&gt;=Config!$B$15),1,0)</f>
        <v/>
      </c>
      <c r="BX86" s="17">
        <f>IF(AU86=1,IFERROR(MATCH($A86,INDEX(Clay_Offices!$A$2:$FZ$601,0,Sync!$C$5),0),""),"")</f>
        <v/>
      </c>
      <c r="BY86" s="17">
        <f>IF(BX86="","",IFERROR(INDEX(Clay_Offices!$A$2:$FZ$601,BX86,Sync!$C$7)&amp;"",""))</f>
        <v/>
      </c>
      <c r="BZ86" s="17">
        <f>IF(BY86="","",IFERROR(INDEX(Lists!$J$2:$J$15,MATCH(BY86,Lists!$I$2:$I$15,0)),""))</f>
        <v/>
      </c>
      <c r="CA86" s="17">
        <f>IF(BX86="","",IFERROR(INDEX(Clay_Offices!$A$2:$FZ$601,BX86,Sync!$C$17)&amp;"",""))</f>
        <v/>
      </c>
      <c r="CB86" s="23">
        <f>IF(BX86="","",IFERROR(N(INDEX(Clay_Offices!$A$2:$FZ$601,BX86,Sync!$C$16)),0))</f>
        <v/>
      </c>
    </row>
    <row r="87">
      <c r="G87" s="22" t="n"/>
      <c r="AS87" s="17">
        <f>IF(TRIM($A87)="","",IF(AND(LEFT($A87,6)="SAMPLE",Config!$B$19&lt;&gt;"Y"),"",IF(NOT(ISNUMBER(G87)),"call_date is blank or not a date",IF(Sync!$C$5="","Clay paste is empty or has no row_id column: paste the Clay export on Clay_Offices",IF(BX87="","row_id not found in the Clay paste: add the Clay row or fix the row_id",IF(AND(ISNUMBER(BZ87),BZ87&gt;=1,BZ87&lt;=5),"Clay status is "&amp;BY87&amp;": set call_done or later",IF(AND(AW87=1,CA87&lt;&gt;BS87),"Clay yes_in_principle should be "&amp;BS87,IF(AND(AW87=1,CB87&lt;&gt;G87),"Clay call_date should be "&amp;TEXT(G87,"yyyy-mm-dd"),""))))))))</f>
        <v/>
      </c>
      <c r="AT87" s="17">
        <f>ROW()</f>
        <v/>
      </c>
      <c r="AU87" s="17">
        <f>IF(AND(TRIM($A87)&lt;&gt;"",ISNUMBER(G87)),IF(AND(LEFT($A87,6)="SAMPLE",Config!$B$19&lt;&gt;"Y"),0,1),0)</f>
        <v/>
      </c>
      <c r="AV87" s="17">
        <f>IF(AU87=1,IF(COUNTIFS($A$2:$A$201,$A87,$AU$2:$AU$201,1,$G$2:$G$201,"&lt;"&amp;G87)+COUNTIFS($A$2:$A$201,$A87,$AU$2:$AU$201,1,$G$2:$G$201,G87,$AT$2:$AT$201,"&lt;"&amp;AT87)=0,1,0),0)</f>
        <v/>
      </c>
      <c r="AW87" s="17">
        <f>IF(AU87=1,IF(COUNTIFS($A$2:$A$201,$A87,$AU$2:$AU$201,1,$G$2:$G$201,"&gt;"&amp;G87)+COUNTIFS($A$2:$A$201,$A87,$AU$2:$AU$201,1,$G$2:$G$201,G87,$AT$2:$AT$201,"&gt;"&amp;AT87)=0,1,0),0)</f>
        <v/>
      </c>
      <c r="AX87" s="17">
        <f>IF(AND(AU87=1,AN87="Y",Z87="Y",TRIM(AD87)&lt;&gt;""),1,0)</f>
        <v/>
      </c>
      <c r="AY87" s="17">
        <f>IF(AX87=1,IF(COUNTIFS($A$2:$A$201,$A87,$AX$2:$AX$201,1,$G$2:$G$201,"&lt;"&amp;G87)+COUNTIFS($A$2:$A$201,$A87,$AX$2:$AX$201,1,$G$2:$G$201,G87,$AT$2:$AT$201,"&lt;"&amp;AT87)=0,1,0),0)</f>
        <v/>
      </c>
      <c r="AZ87" s="17">
        <f>IF(AND(AU87=1,AN87="Y",AX87=0),1,0)</f>
        <v/>
      </c>
      <c r="BA87" s="17">
        <f>IF(AND(AU87=1,ISNUMBER(V87)),1,0)</f>
        <v/>
      </c>
      <c r="BB87" s="17">
        <f>IF(BA87=1,IF(COUNTIFS($A$2:$A$201,$A87,$BA$2:$BA$201,1,$G$2:$G$201,"&lt;"&amp;G87)+COUNTIFS($A$2:$A$201,$A87,$BA$2:$BA$201,1,$G$2:$G$201,G87,$AT$2:$AT$201,"&lt;"&amp;AT87)=0,1,0),0)</f>
        <v/>
      </c>
      <c r="BC87" s="17">
        <f>IF(AND(BB87=1,G87&lt;=Config!$B$6),V87,"")</f>
        <v/>
      </c>
      <c r="BD87" s="17">
        <f>IF(AND(BB87=1,G87&lt;=Config!$B$7),V87,"")</f>
        <v/>
      </c>
      <c r="BE87" s="17">
        <f>IF(AND(BB87=1,G87&lt;=Config!$B$8),V87,"")</f>
        <v/>
      </c>
      <c r="BF87" s="17">
        <f>IF(AND(BB87=1,G87&lt;=Config!$B$5),V87,"")</f>
        <v/>
      </c>
      <c r="BG87" s="17">
        <f>IF(BW87=1,IF(COUNTIFS($A$2:$A$201,$A87,$BW$2:$BW$201,1,$G$2:$G$201,"&lt;"&amp;G87)+COUNTIFS($A$2:$A$201,$A87,$BW$2:$BW$201,1,$G$2:$G$201,G87,$AT$2:$AT$201,"&lt;"&amp;AT87)=0,1,0),0)</f>
        <v/>
      </c>
      <c r="BH87" s="17">
        <f>IF(AND(AU87=1,ISNUMBER(K87)),1,0)</f>
        <v/>
      </c>
      <c r="BI87" s="17">
        <f>IF(BH87=1,IF(COUNTIFS($A$2:$A$201,$A87,$BH$2:$BH$201,1,$G$2:$G$201,"&lt;"&amp;G87)+COUNTIFS($A$2:$A$201,$A87,$BH$2:$BH$201,1,$G$2:$G$201,G87,$AT$2:$AT$201,"&lt;"&amp;AT87)=0,1,0),0)</f>
        <v/>
      </c>
      <c r="BJ87" s="17">
        <f>IF(AND(BI87=1,G87&lt;=Config!$B$5),K87,"")</f>
        <v/>
      </c>
      <c r="BK87" s="17">
        <f>IF(AND(AU87=1,OR(TRIM(U87)&lt;&gt;"",ISNUMBER(V87))),1,0)</f>
        <v/>
      </c>
      <c r="BL87" s="17">
        <f>IF(BK87=1,IF(COUNTIFS($A$2:$A$201,$A87,$BK$2:$BK$201,1,$G$2:$G$201,"&lt;"&amp;G87)+COUNTIFS($A$2:$A$201,$A87,$BK$2:$BK$201,1,$G$2:$G$201,G87,$AT$2:$AT$201,"&lt;"&amp;AT87)=0,1,0),0)</f>
        <v/>
      </c>
      <c r="BM87" s="17">
        <f>IF(BL87=1,$A87,"")</f>
        <v/>
      </c>
      <c r="BN87" s="17">
        <f>IF(AND(AU87=1,T87="Y",TRIM(U87)=""),1,0)</f>
        <v/>
      </c>
      <c r="BO87" s="17">
        <f>IF(AU87=1,AJ87&amp;"","")</f>
        <v/>
      </c>
      <c r="BP87" s="17">
        <f>IF(AU87=1,AK87&amp;"","")</f>
        <v/>
      </c>
      <c r="BQ87" s="17">
        <f>IF(AU87=1,AL87&amp;"","")</f>
        <v/>
      </c>
      <c r="BR87" s="17">
        <f>IF(AND(AU87=1,ISNUMBER(AP87),G87&lt;=Config!$B$5),AP87,"")</f>
        <v/>
      </c>
      <c r="BS87" s="17">
        <f>IF(AU87=1,IF(COUNTIFS($A$2:$A$201,$A87,$AN$2:$AN$201,"Y",$AU$2:$AU$201,1)&gt;0,"Y","N"),"")</f>
        <v/>
      </c>
      <c r="BT87" s="17">
        <f>IF(AND(AU87=1,AN87="maybe"),1,0)</f>
        <v/>
      </c>
      <c r="BU87" s="17">
        <f>IF(BT87=1,IF(COUNTIFS($A$2:$A$201,$A87,$BT$2:$BT$201,1,$G$2:$G$201,"&lt;"&amp;G87)+COUNTIFS($A$2:$A$201,$A87,$BT$2:$BT$201,1,$G$2:$G$201,G87,$AT$2:$AT$201,"&lt;"&amp;AT87)=0,1,0),0)</f>
        <v/>
      </c>
      <c r="BV87" s="17">
        <f>IF(AND(AU87=1,AN87="Y"),IF(COUNTIFS($A$2:$A$201,$A87,$AN$2:$AN$201,"Y",$AU$2:$AU$201,1,$G$2:$G$201,"&lt;"&amp;G87)+COUNTIFS($A$2:$A$201,$A87,$AN$2:$AN$201,"Y",$AU$2:$AU$201,1,$G$2:$G$201,G87,$AT$2:$AT$201,"&lt;"&amp;AT87)=0,1,0),0)</f>
        <v/>
      </c>
      <c r="BW87" s="17">
        <f>IF(AND(BA87=1,N(V87)&gt;=Config!$B$15),1,0)</f>
        <v/>
      </c>
      <c r="BX87" s="17">
        <f>IF(AU87=1,IFERROR(MATCH($A87,INDEX(Clay_Offices!$A$2:$FZ$601,0,Sync!$C$5),0),""),"")</f>
        <v/>
      </c>
      <c r="BY87" s="17">
        <f>IF(BX87="","",IFERROR(INDEX(Clay_Offices!$A$2:$FZ$601,BX87,Sync!$C$7)&amp;"",""))</f>
        <v/>
      </c>
      <c r="BZ87" s="17">
        <f>IF(BY87="","",IFERROR(INDEX(Lists!$J$2:$J$15,MATCH(BY87,Lists!$I$2:$I$15,0)),""))</f>
        <v/>
      </c>
      <c r="CA87" s="17">
        <f>IF(BX87="","",IFERROR(INDEX(Clay_Offices!$A$2:$FZ$601,BX87,Sync!$C$17)&amp;"",""))</f>
        <v/>
      </c>
      <c r="CB87" s="23">
        <f>IF(BX87="","",IFERROR(N(INDEX(Clay_Offices!$A$2:$FZ$601,BX87,Sync!$C$16)),0))</f>
        <v/>
      </c>
    </row>
    <row r="88">
      <c r="G88" s="22" t="n"/>
      <c r="AS88" s="17">
        <f>IF(TRIM($A88)="","",IF(AND(LEFT($A88,6)="SAMPLE",Config!$B$19&lt;&gt;"Y"),"",IF(NOT(ISNUMBER(G88)),"call_date is blank or not a date",IF(Sync!$C$5="","Clay paste is empty or has no row_id column: paste the Clay export on Clay_Offices",IF(BX88="","row_id not found in the Clay paste: add the Clay row or fix the row_id",IF(AND(ISNUMBER(BZ88),BZ88&gt;=1,BZ88&lt;=5),"Clay status is "&amp;BY88&amp;": set call_done or later",IF(AND(AW88=1,CA88&lt;&gt;BS88),"Clay yes_in_principle should be "&amp;BS88,IF(AND(AW88=1,CB88&lt;&gt;G88),"Clay call_date should be "&amp;TEXT(G88,"yyyy-mm-dd"),""))))))))</f>
        <v/>
      </c>
      <c r="AT88" s="17">
        <f>ROW()</f>
        <v/>
      </c>
      <c r="AU88" s="17">
        <f>IF(AND(TRIM($A88)&lt;&gt;"",ISNUMBER(G88)),IF(AND(LEFT($A88,6)="SAMPLE",Config!$B$19&lt;&gt;"Y"),0,1),0)</f>
        <v/>
      </c>
      <c r="AV88" s="17">
        <f>IF(AU88=1,IF(COUNTIFS($A$2:$A$201,$A88,$AU$2:$AU$201,1,$G$2:$G$201,"&lt;"&amp;G88)+COUNTIFS($A$2:$A$201,$A88,$AU$2:$AU$201,1,$G$2:$G$201,G88,$AT$2:$AT$201,"&lt;"&amp;AT88)=0,1,0),0)</f>
        <v/>
      </c>
      <c r="AW88" s="17">
        <f>IF(AU88=1,IF(COUNTIFS($A$2:$A$201,$A88,$AU$2:$AU$201,1,$G$2:$G$201,"&gt;"&amp;G88)+COUNTIFS($A$2:$A$201,$A88,$AU$2:$AU$201,1,$G$2:$G$201,G88,$AT$2:$AT$201,"&gt;"&amp;AT88)=0,1,0),0)</f>
        <v/>
      </c>
      <c r="AX88" s="17">
        <f>IF(AND(AU88=1,AN88="Y",Z88="Y",TRIM(AD88)&lt;&gt;""),1,0)</f>
        <v/>
      </c>
      <c r="AY88" s="17">
        <f>IF(AX88=1,IF(COUNTIFS($A$2:$A$201,$A88,$AX$2:$AX$201,1,$G$2:$G$201,"&lt;"&amp;G88)+COUNTIFS($A$2:$A$201,$A88,$AX$2:$AX$201,1,$G$2:$G$201,G88,$AT$2:$AT$201,"&lt;"&amp;AT88)=0,1,0),0)</f>
        <v/>
      </c>
      <c r="AZ88" s="17">
        <f>IF(AND(AU88=1,AN88="Y",AX88=0),1,0)</f>
        <v/>
      </c>
      <c r="BA88" s="17">
        <f>IF(AND(AU88=1,ISNUMBER(V88)),1,0)</f>
        <v/>
      </c>
      <c r="BB88" s="17">
        <f>IF(BA88=1,IF(COUNTIFS($A$2:$A$201,$A88,$BA$2:$BA$201,1,$G$2:$G$201,"&lt;"&amp;G88)+COUNTIFS($A$2:$A$201,$A88,$BA$2:$BA$201,1,$G$2:$G$201,G88,$AT$2:$AT$201,"&lt;"&amp;AT88)=0,1,0),0)</f>
        <v/>
      </c>
      <c r="BC88" s="17">
        <f>IF(AND(BB88=1,G88&lt;=Config!$B$6),V88,"")</f>
        <v/>
      </c>
      <c r="BD88" s="17">
        <f>IF(AND(BB88=1,G88&lt;=Config!$B$7),V88,"")</f>
        <v/>
      </c>
      <c r="BE88" s="17">
        <f>IF(AND(BB88=1,G88&lt;=Config!$B$8),V88,"")</f>
        <v/>
      </c>
      <c r="BF88" s="17">
        <f>IF(AND(BB88=1,G88&lt;=Config!$B$5),V88,"")</f>
        <v/>
      </c>
      <c r="BG88" s="17">
        <f>IF(BW88=1,IF(COUNTIFS($A$2:$A$201,$A88,$BW$2:$BW$201,1,$G$2:$G$201,"&lt;"&amp;G88)+COUNTIFS($A$2:$A$201,$A88,$BW$2:$BW$201,1,$G$2:$G$201,G88,$AT$2:$AT$201,"&lt;"&amp;AT88)=0,1,0),0)</f>
        <v/>
      </c>
      <c r="BH88" s="17">
        <f>IF(AND(AU88=1,ISNUMBER(K88)),1,0)</f>
        <v/>
      </c>
      <c r="BI88" s="17">
        <f>IF(BH88=1,IF(COUNTIFS($A$2:$A$201,$A88,$BH$2:$BH$201,1,$G$2:$G$201,"&lt;"&amp;G88)+COUNTIFS($A$2:$A$201,$A88,$BH$2:$BH$201,1,$G$2:$G$201,G88,$AT$2:$AT$201,"&lt;"&amp;AT88)=0,1,0),0)</f>
        <v/>
      </c>
      <c r="BJ88" s="17">
        <f>IF(AND(BI88=1,G88&lt;=Config!$B$5),K88,"")</f>
        <v/>
      </c>
      <c r="BK88" s="17">
        <f>IF(AND(AU88=1,OR(TRIM(U88)&lt;&gt;"",ISNUMBER(V88))),1,0)</f>
        <v/>
      </c>
      <c r="BL88" s="17">
        <f>IF(BK88=1,IF(COUNTIFS($A$2:$A$201,$A88,$BK$2:$BK$201,1,$G$2:$G$201,"&lt;"&amp;G88)+COUNTIFS($A$2:$A$201,$A88,$BK$2:$BK$201,1,$G$2:$G$201,G88,$AT$2:$AT$201,"&lt;"&amp;AT88)=0,1,0),0)</f>
        <v/>
      </c>
      <c r="BM88" s="17">
        <f>IF(BL88=1,$A88,"")</f>
        <v/>
      </c>
      <c r="BN88" s="17">
        <f>IF(AND(AU88=1,T88="Y",TRIM(U88)=""),1,0)</f>
        <v/>
      </c>
      <c r="BO88" s="17">
        <f>IF(AU88=1,AJ88&amp;"","")</f>
        <v/>
      </c>
      <c r="BP88" s="17">
        <f>IF(AU88=1,AK88&amp;"","")</f>
        <v/>
      </c>
      <c r="BQ88" s="17">
        <f>IF(AU88=1,AL88&amp;"","")</f>
        <v/>
      </c>
      <c r="BR88" s="17">
        <f>IF(AND(AU88=1,ISNUMBER(AP88),G88&lt;=Config!$B$5),AP88,"")</f>
        <v/>
      </c>
      <c r="BS88" s="17">
        <f>IF(AU88=1,IF(COUNTIFS($A$2:$A$201,$A88,$AN$2:$AN$201,"Y",$AU$2:$AU$201,1)&gt;0,"Y","N"),"")</f>
        <v/>
      </c>
      <c r="BT88" s="17">
        <f>IF(AND(AU88=1,AN88="maybe"),1,0)</f>
        <v/>
      </c>
      <c r="BU88" s="17">
        <f>IF(BT88=1,IF(COUNTIFS($A$2:$A$201,$A88,$BT$2:$BT$201,1,$G$2:$G$201,"&lt;"&amp;G88)+COUNTIFS($A$2:$A$201,$A88,$BT$2:$BT$201,1,$G$2:$G$201,G88,$AT$2:$AT$201,"&lt;"&amp;AT88)=0,1,0),0)</f>
        <v/>
      </c>
      <c r="BV88" s="17">
        <f>IF(AND(AU88=1,AN88="Y"),IF(COUNTIFS($A$2:$A$201,$A88,$AN$2:$AN$201,"Y",$AU$2:$AU$201,1,$G$2:$G$201,"&lt;"&amp;G88)+COUNTIFS($A$2:$A$201,$A88,$AN$2:$AN$201,"Y",$AU$2:$AU$201,1,$G$2:$G$201,G88,$AT$2:$AT$201,"&lt;"&amp;AT88)=0,1,0),0)</f>
        <v/>
      </c>
      <c r="BW88" s="17">
        <f>IF(AND(BA88=1,N(V88)&gt;=Config!$B$15),1,0)</f>
        <v/>
      </c>
      <c r="BX88" s="17">
        <f>IF(AU88=1,IFERROR(MATCH($A88,INDEX(Clay_Offices!$A$2:$FZ$601,0,Sync!$C$5),0),""),"")</f>
        <v/>
      </c>
      <c r="BY88" s="17">
        <f>IF(BX88="","",IFERROR(INDEX(Clay_Offices!$A$2:$FZ$601,BX88,Sync!$C$7)&amp;"",""))</f>
        <v/>
      </c>
      <c r="BZ88" s="17">
        <f>IF(BY88="","",IFERROR(INDEX(Lists!$J$2:$J$15,MATCH(BY88,Lists!$I$2:$I$15,0)),""))</f>
        <v/>
      </c>
      <c r="CA88" s="17">
        <f>IF(BX88="","",IFERROR(INDEX(Clay_Offices!$A$2:$FZ$601,BX88,Sync!$C$17)&amp;"",""))</f>
        <v/>
      </c>
      <c r="CB88" s="23">
        <f>IF(BX88="","",IFERROR(N(INDEX(Clay_Offices!$A$2:$FZ$601,BX88,Sync!$C$16)),0))</f>
        <v/>
      </c>
    </row>
    <row r="89">
      <c r="G89" s="22" t="n"/>
      <c r="AS89" s="17">
        <f>IF(TRIM($A89)="","",IF(AND(LEFT($A89,6)="SAMPLE",Config!$B$19&lt;&gt;"Y"),"",IF(NOT(ISNUMBER(G89)),"call_date is blank or not a date",IF(Sync!$C$5="","Clay paste is empty or has no row_id column: paste the Clay export on Clay_Offices",IF(BX89="","row_id not found in the Clay paste: add the Clay row or fix the row_id",IF(AND(ISNUMBER(BZ89),BZ89&gt;=1,BZ89&lt;=5),"Clay status is "&amp;BY89&amp;": set call_done or later",IF(AND(AW89=1,CA89&lt;&gt;BS89),"Clay yes_in_principle should be "&amp;BS89,IF(AND(AW89=1,CB89&lt;&gt;G89),"Clay call_date should be "&amp;TEXT(G89,"yyyy-mm-dd"),""))))))))</f>
        <v/>
      </c>
      <c r="AT89" s="17">
        <f>ROW()</f>
        <v/>
      </c>
      <c r="AU89" s="17">
        <f>IF(AND(TRIM($A89)&lt;&gt;"",ISNUMBER(G89)),IF(AND(LEFT($A89,6)="SAMPLE",Config!$B$19&lt;&gt;"Y"),0,1),0)</f>
        <v/>
      </c>
      <c r="AV89" s="17">
        <f>IF(AU89=1,IF(COUNTIFS($A$2:$A$201,$A89,$AU$2:$AU$201,1,$G$2:$G$201,"&lt;"&amp;G89)+COUNTIFS($A$2:$A$201,$A89,$AU$2:$AU$201,1,$G$2:$G$201,G89,$AT$2:$AT$201,"&lt;"&amp;AT89)=0,1,0),0)</f>
        <v/>
      </c>
      <c r="AW89" s="17">
        <f>IF(AU89=1,IF(COUNTIFS($A$2:$A$201,$A89,$AU$2:$AU$201,1,$G$2:$G$201,"&gt;"&amp;G89)+COUNTIFS($A$2:$A$201,$A89,$AU$2:$AU$201,1,$G$2:$G$201,G89,$AT$2:$AT$201,"&gt;"&amp;AT89)=0,1,0),0)</f>
        <v/>
      </c>
      <c r="AX89" s="17">
        <f>IF(AND(AU89=1,AN89="Y",Z89="Y",TRIM(AD89)&lt;&gt;""),1,0)</f>
        <v/>
      </c>
      <c r="AY89" s="17">
        <f>IF(AX89=1,IF(COUNTIFS($A$2:$A$201,$A89,$AX$2:$AX$201,1,$G$2:$G$201,"&lt;"&amp;G89)+COUNTIFS($A$2:$A$201,$A89,$AX$2:$AX$201,1,$G$2:$G$201,G89,$AT$2:$AT$201,"&lt;"&amp;AT89)=0,1,0),0)</f>
        <v/>
      </c>
      <c r="AZ89" s="17">
        <f>IF(AND(AU89=1,AN89="Y",AX89=0),1,0)</f>
        <v/>
      </c>
      <c r="BA89" s="17">
        <f>IF(AND(AU89=1,ISNUMBER(V89)),1,0)</f>
        <v/>
      </c>
      <c r="BB89" s="17">
        <f>IF(BA89=1,IF(COUNTIFS($A$2:$A$201,$A89,$BA$2:$BA$201,1,$G$2:$G$201,"&lt;"&amp;G89)+COUNTIFS($A$2:$A$201,$A89,$BA$2:$BA$201,1,$G$2:$G$201,G89,$AT$2:$AT$201,"&lt;"&amp;AT89)=0,1,0),0)</f>
        <v/>
      </c>
      <c r="BC89" s="17">
        <f>IF(AND(BB89=1,G89&lt;=Config!$B$6),V89,"")</f>
        <v/>
      </c>
      <c r="BD89" s="17">
        <f>IF(AND(BB89=1,G89&lt;=Config!$B$7),V89,"")</f>
        <v/>
      </c>
      <c r="BE89" s="17">
        <f>IF(AND(BB89=1,G89&lt;=Config!$B$8),V89,"")</f>
        <v/>
      </c>
      <c r="BF89" s="17">
        <f>IF(AND(BB89=1,G89&lt;=Config!$B$5),V89,"")</f>
        <v/>
      </c>
      <c r="BG89" s="17">
        <f>IF(BW89=1,IF(COUNTIFS($A$2:$A$201,$A89,$BW$2:$BW$201,1,$G$2:$G$201,"&lt;"&amp;G89)+COUNTIFS($A$2:$A$201,$A89,$BW$2:$BW$201,1,$G$2:$G$201,G89,$AT$2:$AT$201,"&lt;"&amp;AT89)=0,1,0),0)</f>
        <v/>
      </c>
      <c r="BH89" s="17">
        <f>IF(AND(AU89=1,ISNUMBER(K89)),1,0)</f>
        <v/>
      </c>
      <c r="BI89" s="17">
        <f>IF(BH89=1,IF(COUNTIFS($A$2:$A$201,$A89,$BH$2:$BH$201,1,$G$2:$G$201,"&lt;"&amp;G89)+COUNTIFS($A$2:$A$201,$A89,$BH$2:$BH$201,1,$G$2:$G$201,G89,$AT$2:$AT$201,"&lt;"&amp;AT89)=0,1,0),0)</f>
        <v/>
      </c>
      <c r="BJ89" s="17">
        <f>IF(AND(BI89=1,G89&lt;=Config!$B$5),K89,"")</f>
        <v/>
      </c>
      <c r="BK89" s="17">
        <f>IF(AND(AU89=1,OR(TRIM(U89)&lt;&gt;"",ISNUMBER(V89))),1,0)</f>
        <v/>
      </c>
      <c r="BL89" s="17">
        <f>IF(BK89=1,IF(COUNTIFS($A$2:$A$201,$A89,$BK$2:$BK$201,1,$G$2:$G$201,"&lt;"&amp;G89)+COUNTIFS($A$2:$A$201,$A89,$BK$2:$BK$201,1,$G$2:$G$201,G89,$AT$2:$AT$201,"&lt;"&amp;AT89)=0,1,0),0)</f>
        <v/>
      </c>
      <c r="BM89" s="17">
        <f>IF(BL89=1,$A89,"")</f>
        <v/>
      </c>
      <c r="BN89" s="17">
        <f>IF(AND(AU89=1,T89="Y",TRIM(U89)=""),1,0)</f>
        <v/>
      </c>
      <c r="BO89" s="17">
        <f>IF(AU89=1,AJ89&amp;"","")</f>
        <v/>
      </c>
      <c r="BP89" s="17">
        <f>IF(AU89=1,AK89&amp;"","")</f>
        <v/>
      </c>
      <c r="BQ89" s="17">
        <f>IF(AU89=1,AL89&amp;"","")</f>
        <v/>
      </c>
      <c r="BR89" s="17">
        <f>IF(AND(AU89=1,ISNUMBER(AP89),G89&lt;=Config!$B$5),AP89,"")</f>
        <v/>
      </c>
      <c r="BS89" s="17">
        <f>IF(AU89=1,IF(COUNTIFS($A$2:$A$201,$A89,$AN$2:$AN$201,"Y",$AU$2:$AU$201,1)&gt;0,"Y","N"),"")</f>
        <v/>
      </c>
      <c r="BT89" s="17">
        <f>IF(AND(AU89=1,AN89="maybe"),1,0)</f>
        <v/>
      </c>
      <c r="BU89" s="17">
        <f>IF(BT89=1,IF(COUNTIFS($A$2:$A$201,$A89,$BT$2:$BT$201,1,$G$2:$G$201,"&lt;"&amp;G89)+COUNTIFS($A$2:$A$201,$A89,$BT$2:$BT$201,1,$G$2:$G$201,G89,$AT$2:$AT$201,"&lt;"&amp;AT89)=0,1,0),0)</f>
        <v/>
      </c>
      <c r="BV89" s="17">
        <f>IF(AND(AU89=1,AN89="Y"),IF(COUNTIFS($A$2:$A$201,$A89,$AN$2:$AN$201,"Y",$AU$2:$AU$201,1,$G$2:$G$201,"&lt;"&amp;G89)+COUNTIFS($A$2:$A$201,$A89,$AN$2:$AN$201,"Y",$AU$2:$AU$201,1,$G$2:$G$201,G89,$AT$2:$AT$201,"&lt;"&amp;AT89)=0,1,0),0)</f>
        <v/>
      </c>
      <c r="BW89" s="17">
        <f>IF(AND(BA89=1,N(V89)&gt;=Config!$B$15),1,0)</f>
        <v/>
      </c>
      <c r="BX89" s="17">
        <f>IF(AU89=1,IFERROR(MATCH($A89,INDEX(Clay_Offices!$A$2:$FZ$601,0,Sync!$C$5),0),""),"")</f>
        <v/>
      </c>
      <c r="BY89" s="17">
        <f>IF(BX89="","",IFERROR(INDEX(Clay_Offices!$A$2:$FZ$601,BX89,Sync!$C$7)&amp;"",""))</f>
        <v/>
      </c>
      <c r="BZ89" s="17">
        <f>IF(BY89="","",IFERROR(INDEX(Lists!$J$2:$J$15,MATCH(BY89,Lists!$I$2:$I$15,0)),""))</f>
        <v/>
      </c>
      <c r="CA89" s="17">
        <f>IF(BX89="","",IFERROR(INDEX(Clay_Offices!$A$2:$FZ$601,BX89,Sync!$C$17)&amp;"",""))</f>
        <v/>
      </c>
      <c r="CB89" s="23">
        <f>IF(BX89="","",IFERROR(N(INDEX(Clay_Offices!$A$2:$FZ$601,BX89,Sync!$C$16)),0))</f>
        <v/>
      </c>
    </row>
    <row r="90">
      <c r="G90" s="22" t="n"/>
      <c r="AS90" s="17">
        <f>IF(TRIM($A90)="","",IF(AND(LEFT($A90,6)="SAMPLE",Config!$B$19&lt;&gt;"Y"),"",IF(NOT(ISNUMBER(G90)),"call_date is blank or not a date",IF(Sync!$C$5="","Clay paste is empty or has no row_id column: paste the Clay export on Clay_Offices",IF(BX90="","row_id not found in the Clay paste: add the Clay row or fix the row_id",IF(AND(ISNUMBER(BZ90),BZ90&gt;=1,BZ90&lt;=5),"Clay status is "&amp;BY90&amp;": set call_done or later",IF(AND(AW90=1,CA90&lt;&gt;BS90),"Clay yes_in_principle should be "&amp;BS90,IF(AND(AW90=1,CB90&lt;&gt;G90),"Clay call_date should be "&amp;TEXT(G90,"yyyy-mm-dd"),""))))))))</f>
        <v/>
      </c>
      <c r="AT90" s="17">
        <f>ROW()</f>
        <v/>
      </c>
      <c r="AU90" s="17">
        <f>IF(AND(TRIM($A90)&lt;&gt;"",ISNUMBER(G90)),IF(AND(LEFT($A90,6)="SAMPLE",Config!$B$19&lt;&gt;"Y"),0,1),0)</f>
        <v/>
      </c>
      <c r="AV90" s="17">
        <f>IF(AU90=1,IF(COUNTIFS($A$2:$A$201,$A90,$AU$2:$AU$201,1,$G$2:$G$201,"&lt;"&amp;G90)+COUNTIFS($A$2:$A$201,$A90,$AU$2:$AU$201,1,$G$2:$G$201,G90,$AT$2:$AT$201,"&lt;"&amp;AT90)=0,1,0),0)</f>
        <v/>
      </c>
      <c r="AW90" s="17">
        <f>IF(AU90=1,IF(COUNTIFS($A$2:$A$201,$A90,$AU$2:$AU$201,1,$G$2:$G$201,"&gt;"&amp;G90)+COUNTIFS($A$2:$A$201,$A90,$AU$2:$AU$201,1,$G$2:$G$201,G90,$AT$2:$AT$201,"&gt;"&amp;AT90)=0,1,0),0)</f>
        <v/>
      </c>
      <c r="AX90" s="17">
        <f>IF(AND(AU90=1,AN90="Y",Z90="Y",TRIM(AD90)&lt;&gt;""),1,0)</f>
        <v/>
      </c>
      <c r="AY90" s="17">
        <f>IF(AX90=1,IF(COUNTIFS($A$2:$A$201,$A90,$AX$2:$AX$201,1,$G$2:$G$201,"&lt;"&amp;G90)+COUNTIFS($A$2:$A$201,$A90,$AX$2:$AX$201,1,$G$2:$G$201,G90,$AT$2:$AT$201,"&lt;"&amp;AT90)=0,1,0),0)</f>
        <v/>
      </c>
      <c r="AZ90" s="17">
        <f>IF(AND(AU90=1,AN90="Y",AX90=0),1,0)</f>
        <v/>
      </c>
      <c r="BA90" s="17">
        <f>IF(AND(AU90=1,ISNUMBER(V90)),1,0)</f>
        <v/>
      </c>
      <c r="BB90" s="17">
        <f>IF(BA90=1,IF(COUNTIFS($A$2:$A$201,$A90,$BA$2:$BA$201,1,$G$2:$G$201,"&lt;"&amp;G90)+COUNTIFS($A$2:$A$201,$A90,$BA$2:$BA$201,1,$G$2:$G$201,G90,$AT$2:$AT$201,"&lt;"&amp;AT90)=0,1,0),0)</f>
        <v/>
      </c>
      <c r="BC90" s="17">
        <f>IF(AND(BB90=1,G90&lt;=Config!$B$6),V90,"")</f>
        <v/>
      </c>
      <c r="BD90" s="17">
        <f>IF(AND(BB90=1,G90&lt;=Config!$B$7),V90,"")</f>
        <v/>
      </c>
      <c r="BE90" s="17">
        <f>IF(AND(BB90=1,G90&lt;=Config!$B$8),V90,"")</f>
        <v/>
      </c>
      <c r="BF90" s="17">
        <f>IF(AND(BB90=1,G90&lt;=Config!$B$5),V90,"")</f>
        <v/>
      </c>
      <c r="BG90" s="17">
        <f>IF(BW90=1,IF(COUNTIFS($A$2:$A$201,$A90,$BW$2:$BW$201,1,$G$2:$G$201,"&lt;"&amp;G90)+COUNTIFS($A$2:$A$201,$A90,$BW$2:$BW$201,1,$G$2:$G$201,G90,$AT$2:$AT$201,"&lt;"&amp;AT90)=0,1,0),0)</f>
        <v/>
      </c>
      <c r="BH90" s="17">
        <f>IF(AND(AU90=1,ISNUMBER(K90)),1,0)</f>
        <v/>
      </c>
      <c r="BI90" s="17">
        <f>IF(BH90=1,IF(COUNTIFS($A$2:$A$201,$A90,$BH$2:$BH$201,1,$G$2:$G$201,"&lt;"&amp;G90)+COUNTIFS($A$2:$A$201,$A90,$BH$2:$BH$201,1,$G$2:$G$201,G90,$AT$2:$AT$201,"&lt;"&amp;AT90)=0,1,0),0)</f>
        <v/>
      </c>
      <c r="BJ90" s="17">
        <f>IF(AND(BI90=1,G90&lt;=Config!$B$5),K90,"")</f>
        <v/>
      </c>
      <c r="BK90" s="17">
        <f>IF(AND(AU90=1,OR(TRIM(U90)&lt;&gt;"",ISNUMBER(V90))),1,0)</f>
        <v/>
      </c>
      <c r="BL90" s="17">
        <f>IF(BK90=1,IF(COUNTIFS($A$2:$A$201,$A90,$BK$2:$BK$201,1,$G$2:$G$201,"&lt;"&amp;G90)+COUNTIFS($A$2:$A$201,$A90,$BK$2:$BK$201,1,$G$2:$G$201,G90,$AT$2:$AT$201,"&lt;"&amp;AT90)=0,1,0),0)</f>
        <v/>
      </c>
      <c r="BM90" s="17">
        <f>IF(BL90=1,$A90,"")</f>
        <v/>
      </c>
      <c r="BN90" s="17">
        <f>IF(AND(AU90=1,T90="Y",TRIM(U90)=""),1,0)</f>
        <v/>
      </c>
      <c r="BO90" s="17">
        <f>IF(AU90=1,AJ90&amp;"","")</f>
        <v/>
      </c>
      <c r="BP90" s="17">
        <f>IF(AU90=1,AK90&amp;"","")</f>
        <v/>
      </c>
      <c r="BQ90" s="17">
        <f>IF(AU90=1,AL90&amp;"","")</f>
        <v/>
      </c>
      <c r="BR90" s="17">
        <f>IF(AND(AU90=1,ISNUMBER(AP90),G90&lt;=Config!$B$5),AP90,"")</f>
        <v/>
      </c>
      <c r="BS90" s="17">
        <f>IF(AU90=1,IF(COUNTIFS($A$2:$A$201,$A90,$AN$2:$AN$201,"Y",$AU$2:$AU$201,1)&gt;0,"Y","N"),"")</f>
        <v/>
      </c>
      <c r="BT90" s="17">
        <f>IF(AND(AU90=1,AN90="maybe"),1,0)</f>
        <v/>
      </c>
      <c r="BU90" s="17">
        <f>IF(BT90=1,IF(COUNTIFS($A$2:$A$201,$A90,$BT$2:$BT$201,1,$G$2:$G$201,"&lt;"&amp;G90)+COUNTIFS($A$2:$A$201,$A90,$BT$2:$BT$201,1,$G$2:$G$201,G90,$AT$2:$AT$201,"&lt;"&amp;AT90)=0,1,0),0)</f>
        <v/>
      </c>
      <c r="BV90" s="17">
        <f>IF(AND(AU90=1,AN90="Y"),IF(COUNTIFS($A$2:$A$201,$A90,$AN$2:$AN$201,"Y",$AU$2:$AU$201,1,$G$2:$G$201,"&lt;"&amp;G90)+COUNTIFS($A$2:$A$201,$A90,$AN$2:$AN$201,"Y",$AU$2:$AU$201,1,$G$2:$G$201,G90,$AT$2:$AT$201,"&lt;"&amp;AT90)=0,1,0),0)</f>
        <v/>
      </c>
      <c r="BW90" s="17">
        <f>IF(AND(BA90=1,N(V90)&gt;=Config!$B$15),1,0)</f>
        <v/>
      </c>
      <c r="BX90" s="17">
        <f>IF(AU90=1,IFERROR(MATCH($A90,INDEX(Clay_Offices!$A$2:$FZ$601,0,Sync!$C$5),0),""),"")</f>
        <v/>
      </c>
      <c r="BY90" s="17">
        <f>IF(BX90="","",IFERROR(INDEX(Clay_Offices!$A$2:$FZ$601,BX90,Sync!$C$7)&amp;"",""))</f>
        <v/>
      </c>
      <c r="BZ90" s="17">
        <f>IF(BY90="","",IFERROR(INDEX(Lists!$J$2:$J$15,MATCH(BY90,Lists!$I$2:$I$15,0)),""))</f>
        <v/>
      </c>
      <c r="CA90" s="17">
        <f>IF(BX90="","",IFERROR(INDEX(Clay_Offices!$A$2:$FZ$601,BX90,Sync!$C$17)&amp;"",""))</f>
        <v/>
      </c>
      <c r="CB90" s="23">
        <f>IF(BX90="","",IFERROR(N(INDEX(Clay_Offices!$A$2:$FZ$601,BX90,Sync!$C$16)),0))</f>
        <v/>
      </c>
    </row>
    <row r="91">
      <c r="G91" s="22" t="n"/>
      <c r="AS91" s="17">
        <f>IF(TRIM($A91)="","",IF(AND(LEFT($A91,6)="SAMPLE",Config!$B$19&lt;&gt;"Y"),"",IF(NOT(ISNUMBER(G91)),"call_date is blank or not a date",IF(Sync!$C$5="","Clay paste is empty or has no row_id column: paste the Clay export on Clay_Offices",IF(BX91="","row_id not found in the Clay paste: add the Clay row or fix the row_id",IF(AND(ISNUMBER(BZ91),BZ91&gt;=1,BZ91&lt;=5),"Clay status is "&amp;BY91&amp;": set call_done or later",IF(AND(AW91=1,CA91&lt;&gt;BS91),"Clay yes_in_principle should be "&amp;BS91,IF(AND(AW91=1,CB91&lt;&gt;G91),"Clay call_date should be "&amp;TEXT(G91,"yyyy-mm-dd"),""))))))))</f>
        <v/>
      </c>
      <c r="AT91" s="17">
        <f>ROW()</f>
        <v/>
      </c>
      <c r="AU91" s="17">
        <f>IF(AND(TRIM($A91)&lt;&gt;"",ISNUMBER(G91)),IF(AND(LEFT($A91,6)="SAMPLE",Config!$B$19&lt;&gt;"Y"),0,1),0)</f>
        <v/>
      </c>
      <c r="AV91" s="17">
        <f>IF(AU91=1,IF(COUNTIFS($A$2:$A$201,$A91,$AU$2:$AU$201,1,$G$2:$G$201,"&lt;"&amp;G91)+COUNTIFS($A$2:$A$201,$A91,$AU$2:$AU$201,1,$G$2:$G$201,G91,$AT$2:$AT$201,"&lt;"&amp;AT91)=0,1,0),0)</f>
        <v/>
      </c>
      <c r="AW91" s="17">
        <f>IF(AU91=1,IF(COUNTIFS($A$2:$A$201,$A91,$AU$2:$AU$201,1,$G$2:$G$201,"&gt;"&amp;G91)+COUNTIFS($A$2:$A$201,$A91,$AU$2:$AU$201,1,$G$2:$G$201,G91,$AT$2:$AT$201,"&gt;"&amp;AT91)=0,1,0),0)</f>
        <v/>
      </c>
      <c r="AX91" s="17">
        <f>IF(AND(AU91=1,AN91="Y",Z91="Y",TRIM(AD91)&lt;&gt;""),1,0)</f>
        <v/>
      </c>
      <c r="AY91" s="17">
        <f>IF(AX91=1,IF(COUNTIFS($A$2:$A$201,$A91,$AX$2:$AX$201,1,$G$2:$G$201,"&lt;"&amp;G91)+COUNTIFS($A$2:$A$201,$A91,$AX$2:$AX$201,1,$G$2:$G$201,G91,$AT$2:$AT$201,"&lt;"&amp;AT91)=0,1,0),0)</f>
        <v/>
      </c>
      <c r="AZ91" s="17">
        <f>IF(AND(AU91=1,AN91="Y",AX91=0),1,0)</f>
        <v/>
      </c>
      <c r="BA91" s="17">
        <f>IF(AND(AU91=1,ISNUMBER(V91)),1,0)</f>
        <v/>
      </c>
      <c r="BB91" s="17">
        <f>IF(BA91=1,IF(COUNTIFS($A$2:$A$201,$A91,$BA$2:$BA$201,1,$G$2:$G$201,"&lt;"&amp;G91)+COUNTIFS($A$2:$A$201,$A91,$BA$2:$BA$201,1,$G$2:$G$201,G91,$AT$2:$AT$201,"&lt;"&amp;AT91)=0,1,0),0)</f>
        <v/>
      </c>
      <c r="BC91" s="17">
        <f>IF(AND(BB91=1,G91&lt;=Config!$B$6),V91,"")</f>
        <v/>
      </c>
      <c r="BD91" s="17">
        <f>IF(AND(BB91=1,G91&lt;=Config!$B$7),V91,"")</f>
        <v/>
      </c>
      <c r="BE91" s="17">
        <f>IF(AND(BB91=1,G91&lt;=Config!$B$8),V91,"")</f>
        <v/>
      </c>
      <c r="BF91" s="17">
        <f>IF(AND(BB91=1,G91&lt;=Config!$B$5),V91,"")</f>
        <v/>
      </c>
      <c r="BG91" s="17">
        <f>IF(BW91=1,IF(COUNTIFS($A$2:$A$201,$A91,$BW$2:$BW$201,1,$G$2:$G$201,"&lt;"&amp;G91)+COUNTIFS($A$2:$A$201,$A91,$BW$2:$BW$201,1,$G$2:$G$201,G91,$AT$2:$AT$201,"&lt;"&amp;AT91)=0,1,0),0)</f>
        <v/>
      </c>
      <c r="BH91" s="17">
        <f>IF(AND(AU91=1,ISNUMBER(K91)),1,0)</f>
        <v/>
      </c>
      <c r="BI91" s="17">
        <f>IF(BH91=1,IF(COUNTIFS($A$2:$A$201,$A91,$BH$2:$BH$201,1,$G$2:$G$201,"&lt;"&amp;G91)+COUNTIFS($A$2:$A$201,$A91,$BH$2:$BH$201,1,$G$2:$G$201,G91,$AT$2:$AT$201,"&lt;"&amp;AT91)=0,1,0),0)</f>
        <v/>
      </c>
      <c r="BJ91" s="17">
        <f>IF(AND(BI91=1,G91&lt;=Config!$B$5),K91,"")</f>
        <v/>
      </c>
      <c r="BK91" s="17">
        <f>IF(AND(AU91=1,OR(TRIM(U91)&lt;&gt;"",ISNUMBER(V91))),1,0)</f>
        <v/>
      </c>
      <c r="BL91" s="17">
        <f>IF(BK91=1,IF(COUNTIFS($A$2:$A$201,$A91,$BK$2:$BK$201,1,$G$2:$G$201,"&lt;"&amp;G91)+COUNTIFS($A$2:$A$201,$A91,$BK$2:$BK$201,1,$G$2:$G$201,G91,$AT$2:$AT$201,"&lt;"&amp;AT91)=0,1,0),0)</f>
        <v/>
      </c>
      <c r="BM91" s="17">
        <f>IF(BL91=1,$A91,"")</f>
        <v/>
      </c>
      <c r="BN91" s="17">
        <f>IF(AND(AU91=1,T91="Y",TRIM(U91)=""),1,0)</f>
        <v/>
      </c>
      <c r="BO91" s="17">
        <f>IF(AU91=1,AJ91&amp;"","")</f>
        <v/>
      </c>
      <c r="BP91" s="17">
        <f>IF(AU91=1,AK91&amp;"","")</f>
        <v/>
      </c>
      <c r="BQ91" s="17">
        <f>IF(AU91=1,AL91&amp;"","")</f>
        <v/>
      </c>
      <c r="BR91" s="17">
        <f>IF(AND(AU91=1,ISNUMBER(AP91),G91&lt;=Config!$B$5),AP91,"")</f>
        <v/>
      </c>
      <c r="BS91" s="17">
        <f>IF(AU91=1,IF(COUNTIFS($A$2:$A$201,$A91,$AN$2:$AN$201,"Y",$AU$2:$AU$201,1)&gt;0,"Y","N"),"")</f>
        <v/>
      </c>
      <c r="BT91" s="17">
        <f>IF(AND(AU91=1,AN91="maybe"),1,0)</f>
        <v/>
      </c>
      <c r="BU91" s="17">
        <f>IF(BT91=1,IF(COUNTIFS($A$2:$A$201,$A91,$BT$2:$BT$201,1,$G$2:$G$201,"&lt;"&amp;G91)+COUNTIFS($A$2:$A$201,$A91,$BT$2:$BT$201,1,$G$2:$G$201,G91,$AT$2:$AT$201,"&lt;"&amp;AT91)=0,1,0),0)</f>
        <v/>
      </c>
      <c r="BV91" s="17">
        <f>IF(AND(AU91=1,AN91="Y"),IF(COUNTIFS($A$2:$A$201,$A91,$AN$2:$AN$201,"Y",$AU$2:$AU$201,1,$G$2:$G$201,"&lt;"&amp;G91)+COUNTIFS($A$2:$A$201,$A91,$AN$2:$AN$201,"Y",$AU$2:$AU$201,1,$G$2:$G$201,G91,$AT$2:$AT$201,"&lt;"&amp;AT91)=0,1,0),0)</f>
        <v/>
      </c>
      <c r="BW91" s="17">
        <f>IF(AND(BA91=1,N(V91)&gt;=Config!$B$15),1,0)</f>
        <v/>
      </c>
      <c r="BX91" s="17">
        <f>IF(AU91=1,IFERROR(MATCH($A91,INDEX(Clay_Offices!$A$2:$FZ$601,0,Sync!$C$5),0),""),"")</f>
        <v/>
      </c>
      <c r="BY91" s="17">
        <f>IF(BX91="","",IFERROR(INDEX(Clay_Offices!$A$2:$FZ$601,BX91,Sync!$C$7)&amp;"",""))</f>
        <v/>
      </c>
      <c r="BZ91" s="17">
        <f>IF(BY91="","",IFERROR(INDEX(Lists!$J$2:$J$15,MATCH(BY91,Lists!$I$2:$I$15,0)),""))</f>
        <v/>
      </c>
      <c r="CA91" s="17">
        <f>IF(BX91="","",IFERROR(INDEX(Clay_Offices!$A$2:$FZ$601,BX91,Sync!$C$17)&amp;"",""))</f>
        <v/>
      </c>
      <c r="CB91" s="23">
        <f>IF(BX91="","",IFERROR(N(INDEX(Clay_Offices!$A$2:$FZ$601,BX91,Sync!$C$16)),0))</f>
        <v/>
      </c>
    </row>
    <row r="92">
      <c r="G92" s="22" t="n"/>
      <c r="AS92" s="17">
        <f>IF(TRIM($A92)="","",IF(AND(LEFT($A92,6)="SAMPLE",Config!$B$19&lt;&gt;"Y"),"",IF(NOT(ISNUMBER(G92)),"call_date is blank or not a date",IF(Sync!$C$5="","Clay paste is empty or has no row_id column: paste the Clay export on Clay_Offices",IF(BX92="","row_id not found in the Clay paste: add the Clay row or fix the row_id",IF(AND(ISNUMBER(BZ92),BZ92&gt;=1,BZ92&lt;=5),"Clay status is "&amp;BY92&amp;": set call_done or later",IF(AND(AW92=1,CA92&lt;&gt;BS92),"Clay yes_in_principle should be "&amp;BS92,IF(AND(AW92=1,CB92&lt;&gt;G92),"Clay call_date should be "&amp;TEXT(G92,"yyyy-mm-dd"),""))))))))</f>
        <v/>
      </c>
      <c r="AT92" s="17">
        <f>ROW()</f>
        <v/>
      </c>
      <c r="AU92" s="17">
        <f>IF(AND(TRIM($A92)&lt;&gt;"",ISNUMBER(G92)),IF(AND(LEFT($A92,6)="SAMPLE",Config!$B$19&lt;&gt;"Y"),0,1),0)</f>
        <v/>
      </c>
      <c r="AV92" s="17">
        <f>IF(AU92=1,IF(COUNTIFS($A$2:$A$201,$A92,$AU$2:$AU$201,1,$G$2:$G$201,"&lt;"&amp;G92)+COUNTIFS($A$2:$A$201,$A92,$AU$2:$AU$201,1,$G$2:$G$201,G92,$AT$2:$AT$201,"&lt;"&amp;AT92)=0,1,0),0)</f>
        <v/>
      </c>
      <c r="AW92" s="17">
        <f>IF(AU92=1,IF(COUNTIFS($A$2:$A$201,$A92,$AU$2:$AU$201,1,$G$2:$G$201,"&gt;"&amp;G92)+COUNTIFS($A$2:$A$201,$A92,$AU$2:$AU$201,1,$G$2:$G$201,G92,$AT$2:$AT$201,"&gt;"&amp;AT92)=0,1,0),0)</f>
        <v/>
      </c>
      <c r="AX92" s="17">
        <f>IF(AND(AU92=1,AN92="Y",Z92="Y",TRIM(AD92)&lt;&gt;""),1,0)</f>
        <v/>
      </c>
      <c r="AY92" s="17">
        <f>IF(AX92=1,IF(COUNTIFS($A$2:$A$201,$A92,$AX$2:$AX$201,1,$G$2:$G$201,"&lt;"&amp;G92)+COUNTIFS($A$2:$A$201,$A92,$AX$2:$AX$201,1,$G$2:$G$201,G92,$AT$2:$AT$201,"&lt;"&amp;AT92)=0,1,0),0)</f>
        <v/>
      </c>
      <c r="AZ92" s="17">
        <f>IF(AND(AU92=1,AN92="Y",AX92=0),1,0)</f>
        <v/>
      </c>
      <c r="BA92" s="17">
        <f>IF(AND(AU92=1,ISNUMBER(V92)),1,0)</f>
        <v/>
      </c>
      <c r="BB92" s="17">
        <f>IF(BA92=1,IF(COUNTIFS($A$2:$A$201,$A92,$BA$2:$BA$201,1,$G$2:$G$201,"&lt;"&amp;G92)+COUNTIFS($A$2:$A$201,$A92,$BA$2:$BA$201,1,$G$2:$G$201,G92,$AT$2:$AT$201,"&lt;"&amp;AT92)=0,1,0),0)</f>
        <v/>
      </c>
      <c r="BC92" s="17">
        <f>IF(AND(BB92=1,G92&lt;=Config!$B$6),V92,"")</f>
        <v/>
      </c>
      <c r="BD92" s="17">
        <f>IF(AND(BB92=1,G92&lt;=Config!$B$7),V92,"")</f>
        <v/>
      </c>
      <c r="BE92" s="17">
        <f>IF(AND(BB92=1,G92&lt;=Config!$B$8),V92,"")</f>
        <v/>
      </c>
      <c r="BF92" s="17">
        <f>IF(AND(BB92=1,G92&lt;=Config!$B$5),V92,"")</f>
        <v/>
      </c>
      <c r="BG92" s="17">
        <f>IF(BW92=1,IF(COUNTIFS($A$2:$A$201,$A92,$BW$2:$BW$201,1,$G$2:$G$201,"&lt;"&amp;G92)+COUNTIFS($A$2:$A$201,$A92,$BW$2:$BW$201,1,$G$2:$G$201,G92,$AT$2:$AT$201,"&lt;"&amp;AT92)=0,1,0),0)</f>
        <v/>
      </c>
      <c r="BH92" s="17">
        <f>IF(AND(AU92=1,ISNUMBER(K92)),1,0)</f>
        <v/>
      </c>
      <c r="BI92" s="17">
        <f>IF(BH92=1,IF(COUNTIFS($A$2:$A$201,$A92,$BH$2:$BH$201,1,$G$2:$G$201,"&lt;"&amp;G92)+COUNTIFS($A$2:$A$201,$A92,$BH$2:$BH$201,1,$G$2:$G$201,G92,$AT$2:$AT$201,"&lt;"&amp;AT92)=0,1,0),0)</f>
        <v/>
      </c>
      <c r="BJ92" s="17">
        <f>IF(AND(BI92=1,G92&lt;=Config!$B$5),K92,"")</f>
        <v/>
      </c>
      <c r="BK92" s="17">
        <f>IF(AND(AU92=1,OR(TRIM(U92)&lt;&gt;"",ISNUMBER(V92))),1,0)</f>
        <v/>
      </c>
      <c r="BL92" s="17">
        <f>IF(BK92=1,IF(COUNTIFS($A$2:$A$201,$A92,$BK$2:$BK$201,1,$G$2:$G$201,"&lt;"&amp;G92)+COUNTIFS($A$2:$A$201,$A92,$BK$2:$BK$201,1,$G$2:$G$201,G92,$AT$2:$AT$201,"&lt;"&amp;AT92)=0,1,0),0)</f>
        <v/>
      </c>
      <c r="BM92" s="17">
        <f>IF(BL92=1,$A92,"")</f>
        <v/>
      </c>
      <c r="BN92" s="17">
        <f>IF(AND(AU92=1,T92="Y",TRIM(U92)=""),1,0)</f>
        <v/>
      </c>
      <c r="BO92" s="17">
        <f>IF(AU92=1,AJ92&amp;"","")</f>
        <v/>
      </c>
      <c r="BP92" s="17">
        <f>IF(AU92=1,AK92&amp;"","")</f>
        <v/>
      </c>
      <c r="BQ92" s="17">
        <f>IF(AU92=1,AL92&amp;"","")</f>
        <v/>
      </c>
      <c r="BR92" s="17">
        <f>IF(AND(AU92=1,ISNUMBER(AP92),G92&lt;=Config!$B$5),AP92,"")</f>
        <v/>
      </c>
      <c r="BS92" s="17">
        <f>IF(AU92=1,IF(COUNTIFS($A$2:$A$201,$A92,$AN$2:$AN$201,"Y",$AU$2:$AU$201,1)&gt;0,"Y","N"),"")</f>
        <v/>
      </c>
      <c r="BT92" s="17">
        <f>IF(AND(AU92=1,AN92="maybe"),1,0)</f>
        <v/>
      </c>
      <c r="BU92" s="17">
        <f>IF(BT92=1,IF(COUNTIFS($A$2:$A$201,$A92,$BT$2:$BT$201,1,$G$2:$G$201,"&lt;"&amp;G92)+COUNTIFS($A$2:$A$201,$A92,$BT$2:$BT$201,1,$G$2:$G$201,G92,$AT$2:$AT$201,"&lt;"&amp;AT92)=0,1,0),0)</f>
        <v/>
      </c>
      <c r="BV92" s="17">
        <f>IF(AND(AU92=1,AN92="Y"),IF(COUNTIFS($A$2:$A$201,$A92,$AN$2:$AN$201,"Y",$AU$2:$AU$201,1,$G$2:$G$201,"&lt;"&amp;G92)+COUNTIFS($A$2:$A$201,$A92,$AN$2:$AN$201,"Y",$AU$2:$AU$201,1,$G$2:$G$201,G92,$AT$2:$AT$201,"&lt;"&amp;AT92)=0,1,0),0)</f>
        <v/>
      </c>
      <c r="BW92" s="17">
        <f>IF(AND(BA92=1,N(V92)&gt;=Config!$B$15),1,0)</f>
        <v/>
      </c>
      <c r="BX92" s="17">
        <f>IF(AU92=1,IFERROR(MATCH($A92,INDEX(Clay_Offices!$A$2:$FZ$601,0,Sync!$C$5),0),""),"")</f>
        <v/>
      </c>
      <c r="BY92" s="17">
        <f>IF(BX92="","",IFERROR(INDEX(Clay_Offices!$A$2:$FZ$601,BX92,Sync!$C$7)&amp;"",""))</f>
        <v/>
      </c>
      <c r="BZ92" s="17">
        <f>IF(BY92="","",IFERROR(INDEX(Lists!$J$2:$J$15,MATCH(BY92,Lists!$I$2:$I$15,0)),""))</f>
        <v/>
      </c>
      <c r="CA92" s="17">
        <f>IF(BX92="","",IFERROR(INDEX(Clay_Offices!$A$2:$FZ$601,BX92,Sync!$C$17)&amp;"",""))</f>
        <v/>
      </c>
      <c r="CB92" s="23">
        <f>IF(BX92="","",IFERROR(N(INDEX(Clay_Offices!$A$2:$FZ$601,BX92,Sync!$C$16)),0))</f>
        <v/>
      </c>
    </row>
    <row r="93">
      <c r="G93" s="22" t="n"/>
      <c r="AS93" s="17">
        <f>IF(TRIM($A93)="","",IF(AND(LEFT($A93,6)="SAMPLE",Config!$B$19&lt;&gt;"Y"),"",IF(NOT(ISNUMBER(G93)),"call_date is blank or not a date",IF(Sync!$C$5="","Clay paste is empty or has no row_id column: paste the Clay export on Clay_Offices",IF(BX93="","row_id not found in the Clay paste: add the Clay row or fix the row_id",IF(AND(ISNUMBER(BZ93),BZ93&gt;=1,BZ93&lt;=5),"Clay status is "&amp;BY93&amp;": set call_done or later",IF(AND(AW93=1,CA93&lt;&gt;BS93),"Clay yes_in_principle should be "&amp;BS93,IF(AND(AW93=1,CB93&lt;&gt;G93),"Clay call_date should be "&amp;TEXT(G93,"yyyy-mm-dd"),""))))))))</f>
        <v/>
      </c>
      <c r="AT93" s="17">
        <f>ROW()</f>
        <v/>
      </c>
      <c r="AU93" s="17">
        <f>IF(AND(TRIM($A93)&lt;&gt;"",ISNUMBER(G93)),IF(AND(LEFT($A93,6)="SAMPLE",Config!$B$19&lt;&gt;"Y"),0,1),0)</f>
        <v/>
      </c>
      <c r="AV93" s="17">
        <f>IF(AU93=1,IF(COUNTIFS($A$2:$A$201,$A93,$AU$2:$AU$201,1,$G$2:$G$201,"&lt;"&amp;G93)+COUNTIFS($A$2:$A$201,$A93,$AU$2:$AU$201,1,$G$2:$G$201,G93,$AT$2:$AT$201,"&lt;"&amp;AT93)=0,1,0),0)</f>
        <v/>
      </c>
      <c r="AW93" s="17">
        <f>IF(AU93=1,IF(COUNTIFS($A$2:$A$201,$A93,$AU$2:$AU$201,1,$G$2:$G$201,"&gt;"&amp;G93)+COUNTIFS($A$2:$A$201,$A93,$AU$2:$AU$201,1,$G$2:$G$201,G93,$AT$2:$AT$201,"&gt;"&amp;AT93)=0,1,0),0)</f>
        <v/>
      </c>
      <c r="AX93" s="17">
        <f>IF(AND(AU93=1,AN93="Y",Z93="Y",TRIM(AD93)&lt;&gt;""),1,0)</f>
        <v/>
      </c>
      <c r="AY93" s="17">
        <f>IF(AX93=1,IF(COUNTIFS($A$2:$A$201,$A93,$AX$2:$AX$201,1,$G$2:$G$201,"&lt;"&amp;G93)+COUNTIFS($A$2:$A$201,$A93,$AX$2:$AX$201,1,$G$2:$G$201,G93,$AT$2:$AT$201,"&lt;"&amp;AT93)=0,1,0),0)</f>
        <v/>
      </c>
      <c r="AZ93" s="17">
        <f>IF(AND(AU93=1,AN93="Y",AX93=0),1,0)</f>
        <v/>
      </c>
      <c r="BA93" s="17">
        <f>IF(AND(AU93=1,ISNUMBER(V93)),1,0)</f>
        <v/>
      </c>
      <c r="BB93" s="17">
        <f>IF(BA93=1,IF(COUNTIFS($A$2:$A$201,$A93,$BA$2:$BA$201,1,$G$2:$G$201,"&lt;"&amp;G93)+COUNTIFS($A$2:$A$201,$A93,$BA$2:$BA$201,1,$G$2:$G$201,G93,$AT$2:$AT$201,"&lt;"&amp;AT93)=0,1,0),0)</f>
        <v/>
      </c>
      <c r="BC93" s="17">
        <f>IF(AND(BB93=1,G93&lt;=Config!$B$6),V93,"")</f>
        <v/>
      </c>
      <c r="BD93" s="17">
        <f>IF(AND(BB93=1,G93&lt;=Config!$B$7),V93,"")</f>
        <v/>
      </c>
      <c r="BE93" s="17">
        <f>IF(AND(BB93=1,G93&lt;=Config!$B$8),V93,"")</f>
        <v/>
      </c>
      <c r="BF93" s="17">
        <f>IF(AND(BB93=1,G93&lt;=Config!$B$5),V93,"")</f>
        <v/>
      </c>
      <c r="BG93" s="17">
        <f>IF(BW93=1,IF(COUNTIFS($A$2:$A$201,$A93,$BW$2:$BW$201,1,$G$2:$G$201,"&lt;"&amp;G93)+COUNTIFS($A$2:$A$201,$A93,$BW$2:$BW$201,1,$G$2:$G$201,G93,$AT$2:$AT$201,"&lt;"&amp;AT93)=0,1,0),0)</f>
        <v/>
      </c>
      <c r="BH93" s="17">
        <f>IF(AND(AU93=1,ISNUMBER(K93)),1,0)</f>
        <v/>
      </c>
      <c r="BI93" s="17">
        <f>IF(BH93=1,IF(COUNTIFS($A$2:$A$201,$A93,$BH$2:$BH$201,1,$G$2:$G$201,"&lt;"&amp;G93)+COUNTIFS($A$2:$A$201,$A93,$BH$2:$BH$201,1,$G$2:$G$201,G93,$AT$2:$AT$201,"&lt;"&amp;AT93)=0,1,0),0)</f>
        <v/>
      </c>
      <c r="BJ93" s="17">
        <f>IF(AND(BI93=1,G93&lt;=Config!$B$5),K93,"")</f>
        <v/>
      </c>
      <c r="BK93" s="17">
        <f>IF(AND(AU93=1,OR(TRIM(U93)&lt;&gt;"",ISNUMBER(V93))),1,0)</f>
        <v/>
      </c>
      <c r="BL93" s="17">
        <f>IF(BK93=1,IF(COUNTIFS($A$2:$A$201,$A93,$BK$2:$BK$201,1,$G$2:$G$201,"&lt;"&amp;G93)+COUNTIFS($A$2:$A$201,$A93,$BK$2:$BK$201,1,$G$2:$G$201,G93,$AT$2:$AT$201,"&lt;"&amp;AT93)=0,1,0),0)</f>
        <v/>
      </c>
      <c r="BM93" s="17">
        <f>IF(BL93=1,$A93,"")</f>
        <v/>
      </c>
      <c r="BN93" s="17">
        <f>IF(AND(AU93=1,T93="Y",TRIM(U93)=""),1,0)</f>
        <v/>
      </c>
      <c r="BO93" s="17">
        <f>IF(AU93=1,AJ93&amp;"","")</f>
        <v/>
      </c>
      <c r="BP93" s="17">
        <f>IF(AU93=1,AK93&amp;"","")</f>
        <v/>
      </c>
      <c r="BQ93" s="17">
        <f>IF(AU93=1,AL93&amp;"","")</f>
        <v/>
      </c>
      <c r="BR93" s="17">
        <f>IF(AND(AU93=1,ISNUMBER(AP93),G93&lt;=Config!$B$5),AP93,"")</f>
        <v/>
      </c>
      <c r="BS93" s="17">
        <f>IF(AU93=1,IF(COUNTIFS($A$2:$A$201,$A93,$AN$2:$AN$201,"Y",$AU$2:$AU$201,1)&gt;0,"Y","N"),"")</f>
        <v/>
      </c>
      <c r="BT93" s="17">
        <f>IF(AND(AU93=1,AN93="maybe"),1,0)</f>
        <v/>
      </c>
      <c r="BU93" s="17">
        <f>IF(BT93=1,IF(COUNTIFS($A$2:$A$201,$A93,$BT$2:$BT$201,1,$G$2:$G$201,"&lt;"&amp;G93)+COUNTIFS($A$2:$A$201,$A93,$BT$2:$BT$201,1,$G$2:$G$201,G93,$AT$2:$AT$201,"&lt;"&amp;AT93)=0,1,0),0)</f>
        <v/>
      </c>
      <c r="BV93" s="17">
        <f>IF(AND(AU93=1,AN93="Y"),IF(COUNTIFS($A$2:$A$201,$A93,$AN$2:$AN$201,"Y",$AU$2:$AU$201,1,$G$2:$G$201,"&lt;"&amp;G93)+COUNTIFS($A$2:$A$201,$A93,$AN$2:$AN$201,"Y",$AU$2:$AU$201,1,$G$2:$G$201,G93,$AT$2:$AT$201,"&lt;"&amp;AT93)=0,1,0),0)</f>
        <v/>
      </c>
      <c r="BW93" s="17">
        <f>IF(AND(BA93=1,N(V93)&gt;=Config!$B$15),1,0)</f>
        <v/>
      </c>
      <c r="BX93" s="17">
        <f>IF(AU93=1,IFERROR(MATCH($A93,INDEX(Clay_Offices!$A$2:$FZ$601,0,Sync!$C$5),0),""),"")</f>
        <v/>
      </c>
      <c r="BY93" s="17">
        <f>IF(BX93="","",IFERROR(INDEX(Clay_Offices!$A$2:$FZ$601,BX93,Sync!$C$7)&amp;"",""))</f>
        <v/>
      </c>
      <c r="BZ93" s="17">
        <f>IF(BY93="","",IFERROR(INDEX(Lists!$J$2:$J$15,MATCH(BY93,Lists!$I$2:$I$15,0)),""))</f>
        <v/>
      </c>
      <c r="CA93" s="17">
        <f>IF(BX93="","",IFERROR(INDEX(Clay_Offices!$A$2:$FZ$601,BX93,Sync!$C$17)&amp;"",""))</f>
        <v/>
      </c>
      <c r="CB93" s="23">
        <f>IF(BX93="","",IFERROR(N(INDEX(Clay_Offices!$A$2:$FZ$601,BX93,Sync!$C$16)),0))</f>
        <v/>
      </c>
    </row>
    <row r="94">
      <c r="G94" s="22" t="n"/>
      <c r="AS94" s="17">
        <f>IF(TRIM($A94)="","",IF(AND(LEFT($A94,6)="SAMPLE",Config!$B$19&lt;&gt;"Y"),"",IF(NOT(ISNUMBER(G94)),"call_date is blank or not a date",IF(Sync!$C$5="","Clay paste is empty or has no row_id column: paste the Clay export on Clay_Offices",IF(BX94="","row_id not found in the Clay paste: add the Clay row or fix the row_id",IF(AND(ISNUMBER(BZ94),BZ94&gt;=1,BZ94&lt;=5),"Clay status is "&amp;BY94&amp;": set call_done or later",IF(AND(AW94=1,CA94&lt;&gt;BS94),"Clay yes_in_principle should be "&amp;BS94,IF(AND(AW94=1,CB94&lt;&gt;G94),"Clay call_date should be "&amp;TEXT(G94,"yyyy-mm-dd"),""))))))))</f>
        <v/>
      </c>
      <c r="AT94" s="17">
        <f>ROW()</f>
        <v/>
      </c>
      <c r="AU94" s="17">
        <f>IF(AND(TRIM($A94)&lt;&gt;"",ISNUMBER(G94)),IF(AND(LEFT($A94,6)="SAMPLE",Config!$B$19&lt;&gt;"Y"),0,1),0)</f>
        <v/>
      </c>
      <c r="AV94" s="17">
        <f>IF(AU94=1,IF(COUNTIFS($A$2:$A$201,$A94,$AU$2:$AU$201,1,$G$2:$G$201,"&lt;"&amp;G94)+COUNTIFS($A$2:$A$201,$A94,$AU$2:$AU$201,1,$G$2:$G$201,G94,$AT$2:$AT$201,"&lt;"&amp;AT94)=0,1,0),0)</f>
        <v/>
      </c>
      <c r="AW94" s="17">
        <f>IF(AU94=1,IF(COUNTIFS($A$2:$A$201,$A94,$AU$2:$AU$201,1,$G$2:$G$201,"&gt;"&amp;G94)+COUNTIFS($A$2:$A$201,$A94,$AU$2:$AU$201,1,$G$2:$G$201,G94,$AT$2:$AT$201,"&gt;"&amp;AT94)=0,1,0),0)</f>
        <v/>
      </c>
      <c r="AX94" s="17">
        <f>IF(AND(AU94=1,AN94="Y",Z94="Y",TRIM(AD94)&lt;&gt;""),1,0)</f>
        <v/>
      </c>
      <c r="AY94" s="17">
        <f>IF(AX94=1,IF(COUNTIFS($A$2:$A$201,$A94,$AX$2:$AX$201,1,$G$2:$G$201,"&lt;"&amp;G94)+COUNTIFS($A$2:$A$201,$A94,$AX$2:$AX$201,1,$G$2:$G$201,G94,$AT$2:$AT$201,"&lt;"&amp;AT94)=0,1,0),0)</f>
        <v/>
      </c>
      <c r="AZ94" s="17">
        <f>IF(AND(AU94=1,AN94="Y",AX94=0),1,0)</f>
        <v/>
      </c>
      <c r="BA94" s="17">
        <f>IF(AND(AU94=1,ISNUMBER(V94)),1,0)</f>
        <v/>
      </c>
      <c r="BB94" s="17">
        <f>IF(BA94=1,IF(COUNTIFS($A$2:$A$201,$A94,$BA$2:$BA$201,1,$G$2:$G$201,"&lt;"&amp;G94)+COUNTIFS($A$2:$A$201,$A94,$BA$2:$BA$201,1,$G$2:$G$201,G94,$AT$2:$AT$201,"&lt;"&amp;AT94)=0,1,0),0)</f>
        <v/>
      </c>
      <c r="BC94" s="17">
        <f>IF(AND(BB94=1,G94&lt;=Config!$B$6),V94,"")</f>
        <v/>
      </c>
      <c r="BD94" s="17">
        <f>IF(AND(BB94=1,G94&lt;=Config!$B$7),V94,"")</f>
        <v/>
      </c>
      <c r="BE94" s="17">
        <f>IF(AND(BB94=1,G94&lt;=Config!$B$8),V94,"")</f>
        <v/>
      </c>
      <c r="BF94" s="17">
        <f>IF(AND(BB94=1,G94&lt;=Config!$B$5),V94,"")</f>
        <v/>
      </c>
      <c r="BG94" s="17">
        <f>IF(BW94=1,IF(COUNTIFS($A$2:$A$201,$A94,$BW$2:$BW$201,1,$G$2:$G$201,"&lt;"&amp;G94)+COUNTIFS($A$2:$A$201,$A94,$BW$2:$BW$201,1,$G$2:$G$201,G94,$AT$2:$AT$201,"&lt;"&amp;AT94)=0,1,0),0)</f>
        <v/>
      </c>
      <c r="BH94" s="17">
        <f>IF(AND(AU94=1,ISNUMBER(K94)),1,0)</f>
        <v/>
      </c>
      <c r="BI94" s="17">
        <f>IF(BH94=1,IF(COUNTIFS($A$2:$A$201,$A94,$BH$2:$BH$201,1,$G$2:$G$201,"&lt;"&amp;G94)+COUNTIFS($A$2:$A$201,$A94,$BH$2:$BH$201,1,$G$2:$G$201,G94,$AT$2:$AT$201,"&lt;"&amp;AT94)=0,1,0),0)</f>
        <v/>
      </c>
      <c r="BJ94" s="17">
        <f>IF(AND(BI94=1,G94&lt;=Config!$B$5),K94,"")</f>
        <v/>
      </c>
      <c r="BK94" s="17">
        <f>IF(AND(AU94=1,OR(TRIM(U94)&lt;&gt;"",ISNUMBER(V94))),1,0)</f>
        <v/>
      </c>
      <c r="BL94" s="17">
        <f>IF(BK94=1,IF(COUNTIFS($A$2:$A$201,$A94,$BK$2:$BK$201,1,$G$2:$G$201,"&lt;"&amp;G94)+COUNTIFS($A$2:$A$201,$A94,$BK$2:$BK$201,1,$G$2:$G$201,G94,$AT$2:$AT$201,"&lt;"&amp;AT94)=0,1,0),0)</f>
        <v/>
      </c>
      <c r="BM94" s="17">
        <f>IF(BL94=1,$A94,"")</f>
        <v/>
      </c>
      <c r="BN94" s="17">
        <f>IF(AND(AU94=1,T94="Y",TRIM(U94)=""),1,0)</f>
        <v/>
      </c>
      <c r="BO94" s="17">
        <f>IF(AU94=1,AJ94&amp;"","")</f>
        <v/>
      </c>
      <c r="BP94" s="17">
        <f>IF(AU94=1,AK94&amp;"","")</f>
        <v/>
      </c>
      <c r="BQ94" s="17">
        <f>IF(AU94=1,AL94&amp;"","")</f>
        <v/>
      </c>
      <c r="BR94" s="17">
        <f>IF(AND(AU94=1,ISNUMBER(AP94),G94&lt;=Config!$B$5),AP94,"")</f>
        <v/>
      </c>
      <c r="BS94" s="17">
        <f>IF(AU94=1,IF(COUNTIFS($A$2:$A$201,$A94,$AN$2:$AN$201,"Y",$AU$2:$AU$201,1)&gt;0,"Y","N"),"")</f>
        <v/>
      </c>
      <c r="BT94" s="17">
        <f>IF(AND(AU94=1,AN94="maybe"),1,0)</f>
        <v/>
      </c>
      <c r="BU94" s="17">
        <f>IF(BT94=1,IF(COUNTIFS($A$2:$A$201,$A94,$BT$2:$BT$201,1,$G$2:$G$201,"&lt;"&amp;G94)+COUNTIFS($A$2:$A$201,$A94,$BT$2:$BT$201,1,$G$2:$G$201,G94,$AT$2:$AT$201,"&lt;"&amp;AT94)=0,1,0),0)</f>
        <v/>
      </c>
      <c r="BV94" s="17">
        <f>IF(AND(AU94=1,AN94="Y"),IF(COUNTIFS($A$2:$A$201,$A94,$AN$2:$AN$201,"Y",$AU$2:$AU$201,1,$G$2:$G$201,"&lt;"&amp;G94)+COUNTIFS($A$2:$A$201,$A94,$AN$2:$AN$201,"Y",$AU$2:$AU$201,1,$G$2:$G$201,G94,$AT$2:$AT$201,"&lt;"&amp;AT94)=0,1,0),0)</f>
        <v/>
      </c>
      <c r="BW94" s="17">
        <f>IF(AND(BA94=1,N(V94)&gt;=Config!$B$15),1,0)</f>
        <v/>
      </c>
      <c r="BX94" s="17">
        <f>IF(AU94=1,IFERROR(MATCH($A94,INDEX(Clay_Offices!$A$2:$FZ$601,0,Sync!$C$5),0),""),"")</f>
        <v/>
      </c>
      <c r="BY94" s="17">
        <f>IF(BX94="","",IFERROR(INDEX(Clay_Offices!$A$2:$FZ$601,BX94,Sync!$C$7)&amp;"",""))</f>
        <v/>
      </c>
      <c r="BZ94" s="17">
        <f>IF(BY94="","",IFERROR(INDEX(Lists!$J$2:$J$15,MATCH(BY94,Lists!$I$2:$I$15,0)),""))</f>
        <v/>
      </c>
      <c r="CA94" s="17">
        <f>IF(BX94="","",IFERROR(INDEX(Clay_Offices!$A$2:$FZ$601,BX94,Sync!$C$17)&amp;"",""))</f>
        <v/>
      </c>
      <c r="CB94" s="23">
        <f>IF(BX94="","",IFERROR(N(INDEX(Clay_Offices!$A$2:$FZ$601,BX94,Sync!$C$16)),0))</f>
        <v/>
      </c>
    </row>
    <row r="95">
      <c r="G95" s="22" t="n"/>
      <c r="AS95" s="17">
        <f>IF(TRIM($A95)="","",IF(AND(LEFT($A95,6)="SAMPLE",Config!$B$19&lt;&gt;"Y"),"",IF(NOT(ISNUMBER(G95)),"call_date is blank or not a date",IF(Sync!$C$5="","Clay paste is empty or has no row_id column: paste the Clay export on Clay_Offices",IF(BX95="","row_id not found in the Clay paste: add the Clay row or fix the row_id",IF(AND(ISNUMBER(BZ95),BZ95&gt;=1,BZ95&lt;=5),"Clay status is "&amp;BY95&amp;": set call_done or later",IF(AND(AW95=1,CA95&lt;&gt;BS95),"Clay yes_in_principle should be "&amp;BS95,IF(AND(AW95=1,CB95&lt;&gt;G95),"Clay call_date should be "&amp;TEXT(G95,"yyyy-mm-dd"),""))))))))</f>
        <v/>
      </c>
      <c r="AT95" s="17">
        <f>ROW()</f>
        <v/>
      </c>
      <c r="AU95" s="17">
        <f>IF(AND(TRIM($A95)&lt;&gt;"",ISNUMBER(G95)),IF(AND(LEFT($A95,6)="SAMPLE",Config!$B$19&lt;&gt;"Y"),0,1),0)</f>
        <v/>
      </c>
      <c r="AV95" s="17">
        <f>IF(AU95=1,IF(COUNTIFS($A$2:$A$201,$A95,$AU$2:$AU$201,1,$G$2:$G$201,"&lt;"&amp;G95)+COUNTIFS($A$2:$A$201,$A95,$AU$2:$AU$201,1,$G$2:$G$201,G95,$AT$2:$AT$201,"&lt;"&amp;AT95)=0,1,0),0)</f>
        <v/>
      </c>
      <c r="AW95" s="17">
        <f>IF(AU95=1,IF(COUNTIFS($A$2:$A$201,$A95,$AU$2:$AU$201,1,$G$2:$G$201,"&gt;"&amp;G95)+COUNTIFS($A$2:$A$201,$A95,$AU$2:$AU$201,1,$G$2:$G$201,G95,$AT$2:$AT$201,"&gt;"&amp;AT95)=0,1,0),0)</f>
        <v/>
      </c>
      <c r="AX95" s="17">
        <f>IF(AND(AU95=1,AN95="Y",Z95="Y",TRIM(AD95)&lt;&gt;""),1,0)</f>
        <v/>
      </c>
      <c r="AY95" s="17">
        <f>IF(AX95=1,IF(COUNTIFS($A$2:$A$201,$A95,$AX$2:$AX$201,1,$G$2:$G$201,"&lt;"&amp;G95)+COUNTIFS($A$2:$A$201,$A95,$AX$2:$AX$201,1,$G$2:$G$201,G95,$AT$2:$AT$201,"&lt;"&amp;AT95)=0,1,0),0)</f>
        <v/>
      </c>
      <c r="AZ95" s="17">
        <f>IF(AND(AU95=1,AN95="Y",AX95=0),1,0)</f>
        <v/>
      </c>
      <c r="BA95" s="17">
        <f>IF(AND(AU95=1,ISNUMBER(V95)),1,0)</f>
        <v/>
      </c>
      <c r="BB95" s="17">
        <f>IF(BA95=1,IF(COUNTIFS($A$2:$A$201,$A95,$BA$2:$BA$201,1,$G$2:$G$201,"&lt;"&amp;G95)+COUNTIFS($A$2:$A$201,$A95,$BA$2:$BA$201,1,$G$2:$G$201,G95,$AT$2:$AT$201,"&lt;"&amp;AT95)=0,1,0),0)</f>
        <v/>
      </c>
      <c r="BC95" s="17">
        <f>IF(AND(BB95=1,G95&lt;=Config!$B$6),V95,"")</f>
        <v/>
      </c>
      <c r="BD95" s="17">
        <f>IF(AND(BB95=1,G95&lt;=Config!$B$7),V95,"")</f>
        <v/>
      </c>
      <c r="BE95" s="17">
        <f>IF(AND(BB95=1,G95&lt;=Config!$B$8),V95,"")</f>
        <v/>
      </c>
      <c r="BF95" s="17">
        <f>IF(AND(BB95=1,G95&lt;=Config!$B$5),V95,"")</f>
        <v/>
      </c>
      <c r="BG95" s="17">
        <f>IF(BW95=1,IF(COUNTIFS($A$2:$A$201,$A95,$BW$2:$BW$201,1,$G$2:$G$201,"&lt;"&amp;G95)+COUNTIFS($A$2:$A$201,$A95,$BW$2:$BW$201,1,$G$2:$G$201,G95,$AT$2:$AT$201,"&lt;"&amp;AT95)=0,1,0),0)</f>
        <v/>
      </c>
      <c r="BH95" s="17">
        <f>IF(AND(AU95=1,ISNUMBER(K95)),1,0)</f>
        <v/>
      </c>
      <c r="BI95" s="17">
        <f>IF(BH95=1,IF(COUNTIFS($A$2:$A$201,$A95,$BH$2:$BH$201,1,$G$2:$G$201,"&lt;"&amp;G95)+COUNTIFS($A$2:$A$201,$A95,$BH$2:$BH$201,1,$G$2:$G$201,G95,$AT$2:$AT$201,"&lt;"&amp;AT95)=0,1,0),0)</f>
        <v/>
      </c>
      <c r="BJ95" s="17">
        <f>IF(AND(BI95=1,G95&lt;=Config!$B$5),K95,"")</f>
        <v/>
      </c>
      <c r="BK95" s="17">
        <f>IF(AND(AU95=1,OR(TRIM(U95)&lt;&gt;"",ISNUMBER(V95))),1,0)</f>
        <v/>
      </c>
      <c r="BL95" s="17">
        <f>IF(BK95=1,IF(COUNTIFS($A$2:$A$201,$A95,$BK$2:$BK$201,1,$G$2:$G$201,"&lt;"&amp;G95)+COUNTIFS($A$2:$A$201,$A95,$BK$2:$BK$201,1,$G$2:$G$201,G95,$AT$2:$AT$201,"&lt;"&amp;AT95)=0,1,0),0)</f>
        <v/>
      </c>
      <c r="BM95" s="17">
        <f>IF(BL95=1,$A95,"")</f>
        <v/>
      </c>
      <c r="BN95" s="17">
        <f>IF(AND(AU95=1,T95="Y",TRIM(U95)=""),1,0)</f>
        <v/>
      </c>
      <c r="BO95" s="17">
        <f>IF(AU95=1,AJ95&amp;"","")</f>
        <v/>
      </c>
      <c r="BP95" s="17">
        <f>IF(AU95=1,AK95&amp;"","")</f>
        <v/>
      </c>
      <c r="BQ95" s="17">
        <f>IF(AU95=1,AL95&amp;"","")</f>
        <v/>
      </c>
      <c r="BR95" s="17">
        <f>IF(AND(AU95=1,ISNUMBER(AP95),G95&lt;=Config!$B$5),AP95,"")</f>
        <v/>
      </c>
      <c r="BS95" s="17">
        <f>IF(AU95=1,IF(COUNTIFS($A$2:$A$201,$A95,$AN$2:$AN$201,"Y",$AU$2:$AU$201,1)&gt;0,"Y","N"),"")</f>
        <v/>
      </c>
      <c r="BT95" s="17">
        <f>IF(AND(AU95=1,AN95="maybe"),1,0)</f>
        <v/>
      </c>
      <c r="BU95" s="17">
        <f>IF(BT95=1,IF(COUNTIFS($A$2:$A$201,$A95,$BT$2:$BT$201,1,$G$2:$G$201,"&lt;"&amp;G95)+COUNTIFS($A$2:$A$201,$A95,$BT$2:$BT$201,1,$G$2:$G$201,G95,$AT$2:$AT$201,"&lt;"&amp;AT95)=0,1,0),0)</f>
        <v/>
      </c>
      <c r="BV95" s="17">
        <f>IF(AND(AU95=1,AN95="Y"),IF(COUNTIFS($A$2:$A$201,$A95,$AN$2:$AN$201,"Y",$AU$2:$AU$201,1,$G$2:$G$201,"&lt;"&amp;G95)+COUNTIFS($A$2:$A$201,$A95,$AN$2:$AN$201,"Y",$AU$2:$AU$201,1,$G$2:$G$201,G95,$AT$2:$AT$201,"&lt;"&amp;AT95)=0,1,0),0)</f>
        <v/>
      </c>
      <c r="BW95" s="17">
        <f>IF(AND(BA95=1,N(V95)&gt;=Config!$B$15),1,0)</f>
        <v/>
      </c>
      <c r="BX95" s="17">
        <f>IF(AU95=1,IFERROR(MATCH($A95,INDEX(Clay_Offices!$A$2:$FZ$601,0,Sync!$C$5),0),""),"")</f>
        <v/>
      </c>
      <c r="BY95" s="17">
        <f>IF(BX95="","",IFERROR(INDEX(Clay_Offices!$A$2:$FZ$601,BX95,Sync!$C$7)&amp;"",""))</f>
        <v/>
      </c>
      <c r="BZ95" s="17">
        <f>IF(BY95="","",IFERROR(INDEX(Lists!$J$2:$J$15,MATCH(BY95,Lists!$I$2:$I$15,0)),""))</f>
        <v/>
      </c>
      <c r="CA95" s="17">
        <f>IF(BX95="","",IFERROR(INDEX(Clay_Offices!$A$2:$FZ$601,BX95,Sync!$C$17)&amp;"",""))</f>
        <v/>
      </c>
      <c r="CB95" s="23">
        <f>IF(BX95="","",IFERROR(N(INDEX(Clay_Offices!$A$2:$FZ$601,BX95,Sync!$C$16)),0))</f>
        <v/>
      </c>
    </row>
    <row r="96">
      <c r="G96" s="22" t="n"/>
      <c r="AS96" s="17">
        <f>IF(TRIM($A96)="","",IF(AND(LEFT($A96,6)="SAMPLE",Config!$B$19&lt;&gt;"Y"),"",IF(NOT(ISNUMBER(G96)),"call_date is blank or not a date",IF(Sync!$C$5="","Clay paste is empty or has no row_id column: paste the Clay export on Clay_Offices",IF(BX96="","row_id not found in the Clay paste: add the Clay row or fix the row_id",IF(AND(ISNUMBER(BZ96),BZ96&gt;=1,BZ96&lt;=5),"Clay status is "&amp;BY96&amp;": set call_done or later",IF(AND(AW96=1,CA96&lt;&gt;BS96),"Clay yes_in_principle should be "&amp;BS96,IF(AND(AW96=1,CB96&lt;&gt;G96),"Clay call_date should be "&amp;TEXT(G96,"yyyy-mm-dd"),""))))))))</f>
        <v/>
      </c>
      <c r="AT96" s="17">
        <f>ROW()</f>
        <v/>
      </c>
      <c r="AU96" s="17">
        <f>IF(AND(TRIM($A96)&lt;&gt;"",ISNUMBER(G96)),IF(AND(LEFT($A96,6)="SAMPLE",Config!$B$19&lt;&gt;"Y"),0,1),0)</f>
        <v/>
      </c>
      <c r="AV96" s="17">
        <f>IF(AU96=1,IF(COUNTIFS($A$2:$A$201,$A96,$AU$2:$AU$201,1,$G$2:$G$201,"&lt;"&amp;G96)+COUNTIFS($A$2:$A$201,$A96,$AU$2:$AU$201,1,$G$2:$G$201,G96,$AT$2:$AT$201,"&lt;"&amp;AT96)=0,1,0),0)</f>
        <v/>
      </c>
      <c r="AW96" s="17">
        <f>IF(AU96=1,IF(COUNTIFS($A$2:$A$201,$A96,$AU$2:$AU$201,1,$G$2:$G$201,"&gt;"&amp;G96)+COUNTIFS($A$2:$A$201,$A96,$AU$2:$AU$201,1,$G$2:$G$201,G96,$AT$2:$AT$201,"&gt;"&amp;AT96)=0,1,0),0)</f>
        <v/>
      </c>
      <c r="AX96" s="17">
        <f>IF(AND(AU96=1,AN96="Y",Z96="Y",TRIM(AD96)&lt;&gt;""),1,0)</f>
        <v/>
      </c>
      <c r="AY96" s="17">
        <f>IF(AX96=1,IF(COUNTIFS($A$2:$A$201,$A96,$AX$2:$AX$201,1,$G$2:$G$201,"&lt;"&amp;G96)+COUNTIFS($A$2:$A$201,$A96,$AX$2:$AX$201,1,$G$2:$G$201,G96,$AT$2:$AT$201,"&lt;"&amp;AT96)=0,1,0),0)</f>
        <v/>
      </c>
      <c r="AZ96" s="17">
        <f>IF(AND(AU96=1,AN96="Y",AX96=0),1,0)</f>
        <v/>
      </c>
      <c r="BA96" s="17">
        <f>IF(AND(AU96=1,ISNUMBER(V96)),1,0)</f>
        <v/>
      </c>
      <c r="BB96" s="17">
        <f>IF(BA96=1,IF(COUNTIFS($A$2:$A$201,$A96,$BA$2:$BA$201,1,$G$2:$G$201,"&lt;"&amp;G96)+COUNTIFS($A$2:$A$201,$A96,$BA$2:$BA$201,1,$G$2:$G$201,G96,$AT$2:$AT$201,"&lt;"&amp;AT96)=0,1,0),0)</f>
        <v/>
      </c>
      <c r="BC96" s="17">
        <f>IF(AND(BB96=1,G96&lt;=Config!$B$6),V96,"")</f>
        <v/>
      </c>
      <c r="BD96" s="17">
        <f>IF(AND(BB96=1,G96&lt;=Config!$B$7),V96,"")</f>
        <v/>
      </c>
      <c r="BE96" s="17">
        <f>IF(AND(BB96=1,G96&lt;=Config!$B$8),V96,"")</f>
        <v/>
      </c>
      <c r="BF96" s="17">
        <f>IF(AND(BB96=1,G96&lt;=Config!$B$5),V96,"")</f>
        <v/>
      </c>
      <c r="BG96" s="17">
        <f>IF(BW96=1,IF(COUNTIFS($A$2:$A$201,$A96,$BW$2:$BW$201,1,$G$2:$G$201,"&lt;"&amp;G96)+COUNTIFS($A$2:$A$201,$A96,$BW$2:$BW$201,1,$G$2:$G$201,G96,$AT$2:$AT$201,"&lt;"&amp;AT96)=0,1,0),0)</f>
        <v/>
      </c>
      <c r="BH96" s="17">
        <f>IF(AND(AU96=1,ISNUMBER(K96)),1,0)</f>
        <v/>
      </c>
      <c r="BI96" s="17">
        <f>IF(BH96=1,IF(COUNTIFS($A$2:$A$201,$A96,$BH$2:$BH$201,1,$G$2:$G$201,"&lt;"&amp;G96)+COUNTIFS($A$2:$A$201,$A96,$BH$2:$BH$201,1,$G$2:$G$201,G96,$AT$2:$AT$201,"&lt;"&amp;AT96)=0,1,0),0)</f>
        <v/>
      </c>
      <c r="BJ96" s="17">
        <f>IF(AND(BI96=1,G96&lt;=Config!$B$5),K96,"")</f>
        <v/>
      </c>
      <c r="BK96" s="17">
        <f>IF(AND(AU96=1,OR(TRIM(U96)&lt;&gt;"",ISNUMBER(V96))),1,0)</f>
        <v/>
      </c>
      <c r="BL96" s="17">
        <f>IF(BK96=1,IF(COUNTIFS($A$2:$A$201,$A96,$BK$2:$BK$201,1,$G$2:$G$201,"&lt;"&amp;G96)+COUNTIFS($A$2:$A$201,$A96,$BK$2:$BK$201,1,$G$2:$G$201,G96,$AT$2:$AT$201,"&lt;"&amp;AT96)=0,1,0),0)</f>
        <v/>
      </c>
      <c r="BM96" s="17">
        <f>IF(BL96=1,$A96,"")</f>
        <v/>
      </c>
      <c r="BN96" s="17">
        <f>IF(AND(AU96=1,T96="Y",TRIM(U96)=""),1,0)</f>
        <v/>
      </c>
      <c r="BO96" s="17">
        <f>IF(AU96=1,AJ96&amp;"","")</f>
        <v/>
      </c>
      <c r="BP96" s="17">
        <f>IF(AU96=1,AK96&amp;"","")</f>
        <v/>
      </c>
      <c r="BQ96" s="17">
        <f>IF(AU96=1,AL96&amp;"","")</f>
        <v/>
      </c>
      <c r="BR96" s="17">
        <f>IF(AND(AU96=1,ISNUMBER(AP96),G96&lt;=Config!$B$5),AP96,"")</f>
        <v/>
      </c>
      <c r="BS96" s="17">
        <f>IF(AU96=1,IF(COUNTIFS($A$2:$A$201,$A96,$AN$2:$AN$201,"Y",$AU$2:$AU$201,1)&gt;0,"Y","N"),"")</f>
        <v/>
      </c>
      <c r="BT96" s="17">
        <f>IF(AND(AU96=1,AN96="maybe"),1,0)</f>
        <v/>
      </c>
      <c r="BU96" s="17">
        <f>IF(BT96=1,IF(COUNTIFS($A$2:$A$201,$A96,$BT$2:$BT$201,1,$G$2:$G$201,"&lt;"&amp;G96)+COUNTIFS($A$2:$A$201,$A96,$BT$2:$BT$201,1,$G$2:$G$201,G96,$AT$2:$AT$201,"&lt;"&amp;AT96)=0,1,0),0)</f>
        <v/>
      </c>
      <c r="BV96" s="17">
        <f>IF(AND(AU96=1,AN96="Y"),IF(COUNTIFS($A$2:$A$201,$A96,$AN$2:$AN$201,"Y",$AU$2:$AU$201,1,$G$2:$G$201,"&lt;"&amp;G96)+COUNTIFS($A$2:$A$201,$A96,$AN$2:$AN$201,"Y",$AU$2:$AU$201,1,$G$2:$G$201,G96,$AT$2:$AT$201,"&lt;"&amp;AT96)=0,1,0),0)</f>
        <v/>
      </c>
      <c r="BW96" s="17">
        <f>IF(AND(BA96=1,N(V96)&gt;=Config!$B$15),1,0)</f>
        <v/>
      </c>
      <c r="BX96" s="17">
        <f>IF(AU96=1,IFERROR(MATCH($A96,INDEX(Clay_Offices!$A$2:$FZ$601,0,Sync!$C$5),0),""),"")</f>
        <v/>
      </c>
      <c r="BY96" s="17">
        <f>IF(BX96="","",IFERROR(INDEX(Clay_Offices!$A$2:$FZ$601,BX96,Sync!$C$7)&amp;"",""))</f>
        <v/>
      </c>
      <c r="BZ96" s="17">
        <f>IF(BY96="","",IFERROR(INDEX(Lists!$J$2:$J$15,MATCH(BY96,Lists!$I$2:$I$15,0)),""))</f>
        <v/>
      </c>
      <c r="CA96" s="17">
        <f>IF(BX96="","",IFERROR(INDEX(Clay_Offices!$A$2:$FZ$601,BX96,Sync!$C$17)&amp;"",""))</f>
        <v/>
      </c>
      <c r="CB96" s="23">
        <f>IF(BX96="","",IFERROR(N(INDEX(Clay_Offices!$A$2:$FZ$601,BX96,Sync!$C$16)),0))</f>
        <v/>
      </c>
    </row>
    <row r="97">
      <c r="G97" s="22" t="n"/>
      <c r="AS97" s="17">
        <f>IF(TRIM($A97)="","",IF(AND(LEFT($A97,6)="SAMPLE",Config!$B$19&lt;&gt;"Y"),"",IF(NOT(ISNUMBER(G97)),"call_date is blank or not a date",IF(Sync!$C$5="","Clay paste is empty or has no row_id column: paste the Clay export on Clay_Offices",IF(BX97="","row_id not found in the Clay paste: add the Clay row or fix the row_id",IF(AND(ISNUMBER(BZ97),BZ97&gt;=1,BZ97&lt;=5),"Clay status is "&amp;BY97&amp;": set call_done or later",IF(AND(AW97=1,CA97&lt;&gt;BS97),"Clay yes_in_principle should be "&amp;BS97,IF(AND(AW97=1,CB97&lt;&gt;G97),"Clay call_date should be "&amp;TEXT(G97,"yyyy-mm-dd"),""))))))))</f>
        <v/>
      </c>
      <c r="AT97" s="17">
        <f>ROW()</f>
        <v/>
      </c>
      <c r="AU97" s="17">
        <f>IF(AND(TRIM($A97)&lt;&gt;"",ISNUMBER(G97)),IF(AND(LEFT($A97,6)="SAMPLE",Config!$B$19&lt;&gt;"Y"),0,1),0)</f>
        <v/>
      </c>
      <c r="AV97" s="17">
        <f>IF(AU97=1,IF(COUNTIFS($A$2:$A$201,$A97,$AU$2:$AU$201,1,$G$2:$G$201,"&lt;"&amp;G97)+COUNTIFS($A$2:$A$201,$A97,$AU$2:$AU$201,1,$G$2:$G$201,G97,$AT$2:$AT$201,"&lt;"&amp;AT97)=0,1,0),0)</f>
        <v/>
      </c>
      <c r="AW97" s="17">
        <f>IF(AU97=1,IF(COUNTIFS($A$2:$A$201,$A97,$AU$2:$AU$201,1,$G$2:$G$201,"&gt;"&amp;G97)+COUNTIFS($A$2:$A$201,$A97,$AU$2:$AU$201,1,$G$2:$G$201,G97,$AT$2:$AT$201,"&gt;"&amp;AT97)=0,1,0),0)</f>
        <v/>
      </c>
      <c r="AX97" s="17">
        <f>IF(AND(AU97=1,AN97="Y",Z97="Y",TRIM(AD97)&lt;&gt;""),1,0)</f>
        <v/>
      </c>
      <c r="AY97" s="17">
        <f>IF(AX97=1,IF(COUNTIFS($A$2:$A$201,$A97,$AX$2:$AX$201,1,$G$2:$G$201,"&lt;"&amp;G97)+COUNTIFS($A$2:$A$201,$A97,$AX$2:$AX$201,1,$G$2:$G$201,G97,$AT$2:$AT$201,"&lt;"&amp;AT97)=0,1,0),0)</f>
        <v/>
      </c>
      <c r="AZ97" s="17">
        <f>IF(AND(AU97=1,AN97="Y",AX97=0),1,0)</f>
        <v/>
      </c>
      <c r="BA97" s="17">
        <f>IF(AND(AU97=1,ISNUMBER(V97)),1,0)</f>
        <v/>
      </c>
      <c r="BB97" s="17">
        <f>IF(BA97=1,IF(COUNTIFS($A$2:$A$201,$A97,$BA$2:$BA$201,1,$G$2:$G$201,"&lt;"&amp;G97)+COUNTIFS($A$2:$A$201,$A97,$BA$2:$BA$201,1,$G$2:$G$201,G97,$AT$2:$AT$201,"&lt;"&amp;AT97)=0,1,0),0)</f>
        <v/>
      </c>
      <c r="BC97" s="17">
        <f>IF(AND(BB97=1,G97&lt;=Config!$B$6),V97,"")</f>
        <v/>
      </c>
      <c r="BD97" s="17">
        <f>IF(AND(BB97=1,G97&lt;=Config!$B$7),V97,"")</f>
        <v/>
      </c>
      <c r="BE97" s="17">
        <f>IF(AND(BB97=1,G97&lt;=Config!$B$8),V97,"")</f>
        <v/>
      </c>
      <c r="BF97" s="17">
        <f>IF(AND(BB97=1,G97&lt;=Config!$B$5),V97,"")</f>
        <v/>
      </c>
      <c r="BG97" s="17">
        <f>IF(BW97=1,IF(COUNTIFS($A$2:$A$201,$A97,$BW$2:$BW$201,1,$G$2:$G$201,"&lt;"&amp;G97)+COUNTIFS($A$2:$A$201,$A97,$BW$2:$BW$201,1,$G$2:$G$201,G97,$AT$2:$AT$201,"&lt;"&amp;AT97)=0,1,0),0)</f>
        <v/>
      </c>
      <c r="BH97" s="17">
        <f>IF(AND(AU97=1,ISNUMBER(K97)),1,0)</f>
        <v/>
      </c>
      <c r="BI97" s="17">
        <f>IF(BH97=1,IF(COUNTIFS($A$2:$A$201,$A97,$BH$2:$BH$201,1,$G$2:$G$201,"&lt;"&amp;G97)+COUNTIFS($A$2:$A$201,$A97,$BH$2:$BH$201,1,$G$2:$G$201,G97,$AT$2:$AT$201,"&lt;"&amp;AT97)=0,1,0),0)</f>
        <v/>
      </c>
      <c r="BJ97" s="17">
        <f>IF(AND(BI97=1,G97&lt;=Config!$B$5),K97,"")</f>
        <v/>
      </c>
      <c r="BK97" s="17">
        <f>IF(AND(AU97=1,OR(TRIM(U97)&lt;&gt;"",ISNUMBER(V97))),1,0)</f>
        <v/>
      </c>
      <c r="BL97" s="17">
        <f>IF(BK97=1,IF(COUNTIFS($A$2:$A$201,$A97,$BK$2:$BK$201,1,$G$2:$G$201,"&lt;"&amp;G97)+COUNTIFS($A$2:$A$201,$A97,$BK$2:$BK$201,1,$G$2:$G$201,G97,$AT$2:$AT$201,"&lt;"&amp;AT97)=0,1,0),0)</f>
        <v/>
      </c>
      <c r="BM97" s="17">
        <f>IF(BL97=1,$A97,"")</f>
        <v/>
      </c>
      <c r="BN97" s="17">
        <f>IF(AND(AU97=1,T97="Y",TRIM(U97)=""),1,0)</f>
        <v/>
      </c>
      <c r="BO97" s="17">
        <f>IF(AU97=1,AJ97&amp;"","")</f>
        <v/>
      </c>
      <c r="BP97" s="17">
        <f>IF(AU97=1,AK97&amp;"","")</f>
        <v/>
      </c>
      <c r="BQ97" s="17">
        <f>IF(AU97=1,AL97&amp;"","")</f>
        <v/>
      </c>
      <c r="BR97" s="17">
        <f>IF(AND(AU97=1,ISNUMBER(AP97),G97&lt;=Config!$B$5),AP97,"")</f>
        <v/>
      </c>
      <c r="BS97" s="17">
        <f>IF(AU97=1,IF(COUNTIFS($A$2:$A$201,$A97,$AN$2:$AN$201,"Y",$AU$2:$AU$201,1)&gt;0,"Y","N"),"")</f>
        <v/>
      </c>
      <c r="BT97" s="17">
        <f>IF(AND(AU97=1,AN97="maybe"),1,0)</f>
        <v/>
      </c>
      <c r="BU97" s="17">
        <f>IF(BT97=1,IF(COUNTIFS($A$2:$A$201,$A97,$BT$2:$BT$201,1,$G$2:$G$201,"&lt;"&amp;G97)+COUNTIFS($A$2:$A$201,$A97,$BT$2:$BT$201,1,$G$2:$G$201,G97,$AT$2:$AT$201,"&lt;"&amp;AT97)=0,1,0),0)</f>
        <v/>
      </c>
      <c r="BV97" s="17">
        <f>IF(AND(AU97=1,AN97="Y"),IF(COUNTIFS($A$2:$A$201,$A97,$AN$2:$AN$201,"Y",$AU$2:$AU$201,1,$G$2:$G$201,"&lt;"&amp;G97)+COUNTIFS($A$2:$A$201,$A97,$AN$2:$AN$201,"Y",$AU$2:$AU$201,1,$G$2:$G$201,G97,$AT$2:$AT$201,"&lt;"&amp;AT97)=0,1,0),0)</f>
        <v/>
      </c>
      <c r="BW97" s="17">
        <f>IF(AND(BA97=1,N(V97)&gt;=Config!$B$15),1,0)</f>
        <v/>
      </c>
      <c r="BX97" s="17">
        <f>IF(AU97=1,IFERROR(MATCH($A97,INDEX(Clay_Offices!$A$2:$FZ$601,0,Sync!$C$5),0),""),"")</f>
        <v/>
      </c>
      <c r="BY97" s="17">
        <f>IF(BX97="","",IFERROR(INDEX(Clay_Offices!$A$2:$FZ$601,BX97,Sync!$C$7)&amp;"",""))</f>
        <v/>
      </c>
      <c r="BZ97" s="17">
        <f>IF(BY97="","",IFERROR(INDEX(Lists!$J$2:$J$15,MATCH(BY97,Lists!$I$2:$I$15,0)),""))</f>
        <v/>
      </c>
      <c r="CA97" s="17">
        <f>IF(BX97="","",IFERROR(INDEX(Clay_Offices!$A$2:$FZ$601,BX97,Sync!$C$17)&amp;"",""))</f>
        <v/>
      </c>
      <c r="CB97" s="23">
        <f>IF(BX97="","",IFERROR(N(INDEX(Clay_Offices!$A$2:$FZ$601,BX97,Sync!$C$16)),0))</f>
        <v/>
      </c>
    </row>
    <row r="98">
      <c r="G98" s="22" t="n"/>
      <c r="AS98" s="17">
        <f>IF(TRIM($A98)="","",IF(AND(LEFT($A98,6)="SAMPLE",Config!$B$19&lt;&gt;"Y"),"",IF(NOT(ISNUMBER(G98)),"call_date is blank or not a date",IF(Sync!$C$5="","Clay paste is empty or has no row_id column: paste the Clay export on Clay_Offices",IF(BX98="","row_id not found in the Clay paste: add the Clay row or fix the row_id",IF(AND(ISNUMBER(BZ98),BZ98&gt;=1,BZ98&lt;=5),"Clay status is "&amp;BY98&amp;": set call_done or later",IF(AND(AW98=1,CA98&lt;&gt;BS98),"Clay yes_in_principle should be "&amp;BS98,IF(AND(AW98=1,CB98&lt;&gt;G98),"Clay call_date should be "&amp;TEXT(G98,"yyyy-mm-dd"),""))))))))</f>
        <v/>
      </c>
      <c r="AT98" s="17">
        <f>ROW()</f>
        <v/>
      </c>
      <c r="AU98" s="17">
        <f>IF(AND(TRIM($A98)&lt;&gt;"",ISNUMBER(G98)),IF(AND(LEFT($A98,6)="SAMPLE",Config!$B$19&lt;&gt;"Y"),0,1),0)</f>
        <v/>
      </c>
      <c r="AV98" s="17">
        <f>IF(AU98=1,IF(COUNTIFS($A$2:$A$201,$A98,$AU$2:$AU$201,1,$G$2:$G$201,"&lt;"&amp;G98)+COUNTIFS($A$2:$A$201,$A98,$AU$2:$AU$201,1,$G$2:$G$201,G98,$AT$2:$AT$201,"&lt;"&amp;AT98)=0,1,0),0)</f>
        <v/>
      </c>
      <c r="AW98" s="17">
        <f>IF(AU98=1,IF(COUNTIFS($A$2:$A$201,$A98,$AU$2:$AU$201,1,$G$2:$G$201,"&gt;"&amp;G98)+COUNTIFS($A$2:$A$201,$A98,$AU$2:$AU$201,1,$G$2:$G$201,G98,$AT$2:$AT$201,"&gt;"&amp;AT98)=0,1,0),0)</f>
        <v/>
      </c>
      <c r="AX98" s="17">
        <f>IF(AND(AU98=1,AN98="Y",Z98="Y",TRIM(AD98)&lt;&gt;""),1,0)</f>
        <v/>
      </c>
      <c r="AY98" s="17">
        <f>IF(AX98=1,IF(COUNTIFS($A$2:$A$201,$A98,$AX$2:$AX$201,1,$G$2:$G$201,"&lt;"&amp;G98)+COUNTIFS($A$2:$A$201,$A98,$AX$2:$AX$201,1,$G$2:$G$201,G98,$AT$2:$AT$201,"&lt;"&amp;AT98)=0,1,0),0)</f>
        <v/>
      </c>
      <c r="AZ98" s="17">
        <f>IF(AND(AU98=1,AN98="Y",AX98=0),1,0)</f>
        <v/>
      </c>
      <c r="BA98" s="17">
        <f>IF(AND(AU98=1,ISNUMBER(V98)),1,0)</f>
        <v/>
      </c>
      <c r="BB98" s="17">
        <f>IF(BA98=1,IF(COUNTIFS($A$2:$A$201,$A98,$BA$2:$BA$201,1,$G$2:$G$201,"&lt;"&amp;G98)+COUNTIFS($A$2:$A$201,$A98,$BA$2:$BA$201,1,$G$2:$G$201,G98,$AT$2:$AT$201,"&lt;"&amp;AT98)=0,1,0),0)</f>
        <v/>
      </c>
      <c r="BC98" s="17">
        <f>IF(AND(BB98=1,G98&lt;=Config!$B$6),V98,"")</f>
        <v/>
      </c>
      <c r="BD98" s="17">
        <f>IF(AND(BB98=1,G98&lt;=Config!$B$7),V98,"")</f>
        <v/>
      </c>
      <c r="BE98" s="17">
        <f>IF(AND(BB98=1,G98&lt;=Config!$B$8),V98,"")</f>
        <v/>
      </c>
      <c r="BF98" s="17">
        <f>IF(AND(BB98=1,G98&lt;=Config!$B$5),V98,"")</f>
        <v/>
      </c>
      <c r="BG98" s="17">
        <f>IF(BW98=1,IF(COUNTIFS($A$2:$A$201,$A98,$BW$2:$BW$201,1,$G$2:$G$201,"&lt;"&amp;G98)+COUNTIFS($A$2:$A$201,$A98,$BW$2:$BW$201,1,$G$2:$G$201,G98,$AT$2:$AT$201,"&lt;"&amp;AT98)=0,1,0),0)</f>
        <v/>
      </c>
      <c r="BH98" s="17">
        <f>IF(AND(AU98=1,ISNUMBER(K98)),1,0)</f>
        <v/>
      </c>
      <c r="BI98" s="17">
        <f>IF(BH98=1,IF(COUNTIFS($A$2:$A$201,$A98,$BH$2:$BH$201,1,$G$2:$G$201,"&lt;"&amp;G98)+COUNTIFS($A$2:$A$201,$A98,$BH$2:$BH$201,1,$G$2:$G$201,G98,$AT$2:$AT$201,"&lt;"&amp;AT98)=0,1,0),0)</f>
        <v/>
      </c>
      <c r="BJ98" s="17">
        <f>IF(AND(BI98=1,G98&lt;=Config!$B$5),K98,"")</f>
        <v/>
      </c>
      <c r="BK98" s="17">
        <f>IF(AND(AU98=1,OR(TRIM(U98)&lt;&gt;"",ISNUMBER(V98))),1,0)</f>
        <v/>
      </c>
      <c r="BL98" s="17">
        <f>IF(BK98=1,IF(COUNTIFS($A$2:$A$201,$A98,$BK$2:$BK$201,1,$G$2:$G$201,"&lt;"&amp;G98)+COUNTIFS($A$2:$A$201,$A98,$BK$2:$BK$201,1,$G$2:$G$201,G98,$AT$2:$AT$201,"&lt;"&amp;AT98)=0,1,0),0)</f>
        <v/>
      </c>
      <c r="BM98" s="17">
        <f>IF(BL98=1,$A98,"")</f>
        <v/>
      </c>
      <c r="BN98" s="17">
        <f>IF(AND(AU98=1,T98="Y",TRIM(U98)=""),1,0)</f>
        <v/>
      </c>
      <c r="BO98" s="17">
        <f>IF(AU98=1,AJ98&amp;"","")</f>
        <v/>
      </c>
      <c r="BP98" s="17">
        <f>IF(AU98=1,AK98&amp;"","")</f>
        <v/>
      </c>
      <c r="BQ98" s="17">
        <f>IF(AU98=1,AL98&amp;"","")</f>
        <v/>
      </c>
      <c r="BR98" s="17">
        <f>IF(AND(AU98=1,ISNUMBER(AP98),G98&lt;=Config!$B$5),AP98,"")</f>
        <v/>
      </c>
      <c r="BS98" s="17">
        <f>IF(AU98=1,IF(COUNTIFS($A$2:$A$201,$A98,$AN$2:$AN$201,"Y",$AU$2:$AU$201,1)&gt;0,"Y","N"),"")</f>
        <v/>
      </c>
      <c r="BT98" s="17">
        <f>IF(AND(AU98=1,AN98="maybe"),1,0)</f>
        <v/>
      </c>
      <c r="BU98" s="17">
        <f>IF(BT98=1,IF(COUNTIFS($A$2:$A$201,$A98,$BT$2:$BT$201,1,$G$2:$G$201,"&lt;"&amp;G98)+COUNTIFS($A$2:$A$201,$A98,$BT$2:$BT$201,1,$G$2:$G$201,G98,$AT$2:$AT$201,"&lt;"&amp;AT98)=0,1,0),0)</f>
        <v/>
      </c>
      <c r="BV98" s="17">
        <f>IF(AND(AU98=1,AN98="Y"),IF(COUNTIFS($A$2:$A$201,$A98,$AN$2:$AN$201,"Y",$AU$2:$AU$201,1,$G$2:$G$201,"&lt;"&amp;G98)+COUNTIFS($A$2:$A$201,$A98,$AN$2:$AN$201,"Y",$AU$2:$AU$201,1,$G$2:$G$201,G98,$AT$2:$AT$201,"&lt;"&amp;AT98)=0,1,0),0)</f>
        <v/>
      </c>
      <c r="BW98" s="17">
        <f>IF(AND(BA98=1,N(V98)&gt;=Config!$B$15),1,0)</f>
        <v/>
      </c>
      <c r="BX98" s="17">
        <f>IF(AU98=1,IFERROR(MATCH($A98,INDEX(Clay_Offices!$A$2:$FZ$601,0,Sync!$C$5),0),""),"")</f>
        <v/>
      </c>
      <c r="BY98" s="17">
        <f>IF(BX98="","",IFERROR(INDEX(Clay_Offices!$A$2:$FZ$601,BX98,Sync!$C$7)&amp;"",""))</f>
        <v/>
      </c>
      <c r="BZ98" s="17">
        <f>IF(BY98="","",IFERROR(INDEX(Lists!$J$2:$J$15,MATCH(BY98,Lists!$I$2:$I$15,0)),""))</f>
        <v/>
      </c>
      <c r="CA98" s="17">
        <f>IF(BX98="","",IFERROR(INDEX(Clay_Offices!$A$2:$FZ$601,BX98,Sync!$C$17)&amp;"",""))</f>
        <v/>
      </c>
      <c r="CB98" s="23">
        <f>IF(BX98="","",IFERROR(N(INDEX(Clay_Offices!$A$2:$FZ$601,BX98,Sync!$C$16)),0))</f>
        <v/>
      </c>
    </row>
    <row r="99">
      <c r="G99" s="22" t="n"/>
      <c r="AS99" s="17">
        <f>IF(TRIM($A99)="","",IF(AND(LEFT($A99,6)="SAMPLE",Config!$B$19&lt;&gt;"Y"),"",IF(NOT(ISNUMBER(G99)),"call_date is blank or not a date",IF(Sync!$C$5="","Clay paste is empty or has no row_id column: paste the Clay export on Clay_Offices",IF(BX99="","row_id not found in the Clay paste: add the Clay row or fix the row_id",IF(AND(ISNUMBER(BZ99),BZ99&gt;=1,BZ99&lt;=5),"Clay status is "&amp;BY99&amp;": set call_done or later",IF(AND(AW99=1,CA99&lt;&gt;BS99),"Clay yes_in_principle should be "&amp;BS99,IF(AND(AW99=1,CB99&lt;&gt;G99),"Clay call_date should be "&amp;TEXT(G99,"yyyy-mm-dd"),""))))))))</f>
        <v/>
      </c>
      <c r="AT99" s="17">
        <f>ROW()</f>
        <v/>
      </c>
      <c r="AU99" s="17">
        <f>IF(AND(TRIM($A99)&lt;&gt;"",ISNUMBER(G99)),IF(AND(LEFT($A99,6)="SAMPLE",Config!$B$19&lt;&gt;"Y"),0,1),0)</f>
        <v/>
      </c>
      <c r="AV99" s="17">
        <f>IF(AU99=1,IF(COUNTIFS($A$2:$A$201,$A99,$AU$2:$AU$201,1,$G$2:$G$201,"&lt;"&amp;G99)+COUNTIFS($A$2:$A$201,$A99,$AU$2:$AU$201,1,$G$2:$G$201,G99,$AT$2:$AT$201,"&lt;"&amp;AT99)=0,1,0),0)</f>
        <v/>
      </c>
      <c r="AW99" s="17">
        <f>IF(AU99=1,IF(COUNTIFS($A$2:$A$201,$A99,$AU$2:$AU$201,1,$G$2:$G$201,"&gt;"&amp;G99)+COUNTIFS($A$2:$A$201,$A99,$AU$2:$AU$201,1,$G$2:$G$201,G99,$AT$2:$AT$201,"&gt;"&amp;AT99)=0,1,0),0)</f>
        <v/>
      </c>
      <c r="AX99" s="17">
        <f>IF(AND(AU99=1,AN99="Y",Z99="Y",TRIM(AD99)&lt;&gt;""),1,0)</f>
        <v/>
      </c>
      <c r="AY99" s="17">
        <f>IF(AX99=1,IF(COUNTIFS($A$2:$A$201,$A99,$AX$2:$AX$201,1,$G$2:$G$201,"&lt;"&amp;G99)+COUNTIFS($A$2:$A$201,$A99,$AX$2:$AX$201,1,$G$2:$G$201,G99,$AT$2:$AT$201,"&lt;"&amp;AT99)=0,1,0),0)</f>
        <v/>
      </c>
      <c r="AZ99" s="17">
        <f>IF(AND(AU99=1,AN99="Y",AX99=0),1,0)</f>
        <v/>
      </c>
      <c r="BA99" s="17">
        <f>IF(AND(AU99=1,ISNUMBER(V99)),1,0)</f>
        <v/>
      </c>
      <c r="BB99" s="17">
        <f>IF(BA99=1,IF(COUNTIFS($A$2:$A$201,$A99,$BA$2:$BA$201,1,$G$2:$G$201,"&lt;"&amp;G99)+COUNTIFS($A$2:$A$201,$A99,$BA$2:$BA$201,1,$G$2:$G$201,G99,$AT$2:$AT$201,"&lt;"&amp;AT99)=0,1,0),0)</f>
        <v/>
      </c>
      <c r="BC99" s="17">
        <f>IF(AND(BB99=1,G99&lt;=Config!$B$6),V99,"")</f>
        <v/>
      </c>
      <c r="BD99" s="17">
        <f>IF(AND(BB99=1,G99&lt;=Config!$B$7),V99,"")</f>
        <v/>
      </c>
      <c r="BE99" s="17">
        <f>IF(AND(BB99=1,G99&lt;=Config!$B$8),V99,"")</f>
        <v/>
      </c>
      <c r="BF99" s="17">
        <f>IF(AND(BB99=1,G99&lt;=Config!$B$5),V99,"")</f>
        <v/>
      </c>
      <c r="BG99" s="17">
        <f>IF(BW99=1,IF(COUNTIFS($A$2:$A$201,$A99,$BW$2:$BW$201,1,$G$2:$G$201,"&lt;"&amp;G99)+COUNTIFS($A$2:$A$201,$A99,$BW$2:$BW$201,1,$G$2:$G$201,G99,$AT$2:$AT$201,"&lt;"&amp;AT99)=0,1,0),0)</f>
        <v/>
      </c>
      <c r="BH99" s="17">
        <f>IF(AND(AU99=1,ISNUMBER(K99)),1,0)</f>
        <v/>
      </c>
      <c r="BI99" s="17">
        <f>IF(BH99=1,IF(COUNTIFS($A$2:$A$201,$A99,$BH$2:$BH$201,1,$G$2:$G$201,"&lt;"&amp;G99)+COUNTIFS($A$2:$A$201,$A99,$BH$2:$BH$201,1,$G$2:$G$201,G99,$AT$2:$AT$201,"&lt;"&amp;AT99)=0,1,0),0)</f>
        <v/>
      </c>
      <c r="BJ99" s="17">
        <f>IF(AND(BI99=1,G99&lt;=Config!$B$5),K99,"")</f>
        <v/>
      </c>
      <c r="BK99" s="17">
        <f>IF(AND(AU99=1,OR(TRIM(U99)&lt;&gt;"",ISNUMBER(V99))),1,0)</f>
        <v/>
      </c>
      <c r="BL99" s="17">
        <f>IF(BK99=1,IF(COUNTIFS($A$2:$A$201,$A99,$BK$2:$BK$201,1,$G$2:$G$201,"&lt;"&amp;G99)+COUNTIFS($A$2:$A$201,$A99,$BK$2:$BK$201,1,$G$2:$G$201,G99,$AT$2:$AT$201,"&lt;"&amp;AT99)=0,1,0),0)</f>
        <v/>
      </c>
      <c r="BM99" s="17">
        <f>IF(BL99=1,$A99,"")</f>
        <v/>
      </c>
      <c r="BN99" s="17">
        <f>IF(AND(AU99=1,T99="Y",TRIM(U99)=""),1,0)</f>
        <v/>
      </c>
      <c r="BO99" s="17">
        <f>IF(AU99=1,AJ99&amp;"","")</f>
        <v/>
      </c>
      <c r="BP99" s="17">
        <f>IF(AU99=1,AK99&amp;"","")</f>
        <v/>
      </c>
      <c r="BQ99" s="17">
        <f>IF(AU99=1,AL99&amp;"","")</f>
        <v/>
      </c>
      <c r="BR99" s="17">
        <f>IF(AND(AU99=1,ISNUMBER(AP99),G99&lt;=Config!$B$5),AP99,"")</f>
        <v/>
      </c>
      <c r="BS99" s="17">
        <f>IF(AU99=1,IF(COUNTIFS($A$2:$A$201,$A99,$AN$2:$AN$201,"Y",$AU$2:$AU$201,1)&gt;0,"Y","N"),"")</f>
        <v/>
      </c>
      <c r="BT99" s="17">
        <f>IF(AND(AU99=1,AN99="maybe"),1,0)</f>
        <v/>
      </c>
      <c r="BU99" s="17">
        <f>IF(BT99=1,IF(COUNTIFS($A$2:$A$201,$A99,$BT$2:$BT$201,1,$G$2:$G$201,"&lt;"&amp;G99)+COUNTIFS($A$2:$A$201,$A99,$BT$2:$BT$201,1,$G$2:$G$201,G99,$AT$2:$AT$201,"&lt;"&amp;AT99)=0,1,0),0)</f>
        <v/>
      </c>
      <c r="BV99" s="17">
        <f>IF(AND(AU99=1,AN99="Y"),IF(COUNTIFS($A$2:$A$201,$A99,$AN$2:$AN$201,"Y",$AU$2:$AU$201,1,$G$2:$G$201,"&lt;"&amp;G99)+COUNTIFS($A$2:$A$201,$A99,$AN$2:$AN$201,"Y",$AU$2:$AU$201,1,$G$2:$G$201,G99,$AT$2:$AT$201,"&lt;"&amp;AT99)=0,1,0),0)</f>
        <v/>
      </c>
      <c r="BW99" s="17">
        <f>IF(AND(BA99=1,N(V99)&gt;=Config!$B$15),1,0)</f>
        <v/>
      </c>
      <c r="BX99" s="17">
        <f>IF(AU99=1,IFERROR(MATCH($A99,INDEX(Clay_Offices!$A$2:$FZ$601,0,Sync!$C$5),0),""),"")</f>
        <v/>
      </c>
      <c r="BY99" s="17">
        <f>IF(BX99="","",IFERROR(INDEX(Clay_Offices!$A$2:$FZ$601,BX99,Sync!$C$7)&amp;"",""))</f>
        <v/>
      </c>
      <c r="BZ99" s="17">
        <f>IF(BY99="","",IFERROR(INDEX(Lists!$J$2:$J$15,MATCH(BY99,Lists!$I$2:$I$15,0)),""))</f>
        <v/>
      </c>
      <c r="CA99" s="17">
        <f>IF(BX99="","",IFERROR(INDEX(Clay_Offices!$A$2:$FZ$601,BX99,Sync!$C$17)&amp;"",""))</f>
        <v/>
      </c>
      <c r="CB99" s="23">
        <f>IF(BX99="","",IFERROR(N(INDEX(Clay_Offices!$A$2:$FZ$601,BX99,Sync!$C$16)),0))</f>
        <v/>
      </c>
    </row>
    <row r="100">
      <c r="G100" s="22" t="n"/>
      <c r="AS100" s="17">
        <f>IF(TRIM($A100)="","",IF(AND(LEFT($A100,6)="SAMPLE",Config!$B$19&lt;&gt;"Y"),"",IF(NOT(ISNUMBER(G100)),"call_date is blank or not a date",IF(Sync!$C$5="","Clay paste is empty or has no row_id column: paste the Clay export on Clay_Offices",IF(BX100="","row_id not found in the Clay paste: add the Clay row or fix the row_id",IF(AND(ISNUMBER(BZ100),BZ100&gt;=1,BZ100&lt;=5),"Clay status is "&amp;BY100&amp;": set call_done or later",IF(AND(AW100=1,CA100&lt;&gt;BS100),"Clay yes_in_principle should be "&amp;BS100,IF(AND(AW100=1,CB100&lt;&gt;G100),"Clay call_date should be "&amp;TEXT(G100,"yyyy-mm-dd"),""))))))))</f>
        <v/>
      </c>
      <c r="AT100" s="17">
        <f>ROW()</f>
        <v/>
      </c>
      <c r="AU100" s="17">
        <f>IF(AND(TRIM($A100)&lt;&gt;"",ISNUMBER(G100)),IF(AND(LEFT($A100,6)="SAMPLE",Config!$B$19&lt;&gt;"Y"),0,1),0)</f>
        <v/>
      </c>
      <c r="AV100" s="17">
        <f>IF(AU100=1,IF(COUNTIFS($A$2:$A$201,$A100,$AU$2:$AU$201,1,$G$2:$G$201,"&lt;"&amp;G100)+COUNTIFS($A$2:$A$201,$A100,$AU$2:$AU$201,1,$G$2:$G$201,G100,$AT$2:$AT$201,"&lt;"&amp;AT100)=0,1,0),0)</f>
        <v/>
      </c>
      <c r="AW100" s="17">
        <f>IF(AU100=1,IF(COUNTIFS($A$2:$A$201,$A100,$AU$2:$AU$201,1,$G$2:$G$201,"&gt;"&amp;G100)+COUNTIFS($A$2:$A$201,$A100,$AU$2:$AU$201,1,$G$2:$G$201,G100,$AT$2:$AT$201,"&gt;"&amp;AT100)=0,1,0),0)</f>
        <v/>
      </c>
      <c r="AX100" s="17">
        <f>IF(AND(AU100=1,AN100="Y",Z100="Y",TRIM(AD100)&lt;&gt;""),1,0)</f>
        <v/>
      </c>
      <c r="AY100" s="17">
        <f>IF(AX100=1,IF(COUNTIFS($A$2:$A$201,$A100,$AX$2:$AX$201,1,$G$2:$G$201,"&lt;"&amp;G100)+COUNTIFS($A$2:$A$201,$A100,$AX$2:$AX$201,1,$G$2:$G$201,G100,$AT$2:$AT$201,"&lt;"&amp;AT100)=0,1,0),0)</f>
        <v/>
      </c>
      <c r="AZ100" s="17">
        <f>IF(AND(AU100=1,AN100="Y",AX100=0),1,0)</f>
        <v/>
      </c>
      <c r="BA100" s="17">
        <f>IF(AND(AU100=1,ISNUMBER(V100)),1,0)</f>
        <v/>
      </c>
      <c r="BB100" s="17">
        <f>IF(BA100=1,IF(COUNTIFS($A$2:$A$201,$A100,$BA$2:$BA$201,1,$G$2:$G$201,"&lt;"&amp;G100)+COUNTIFS($A$2:$A$201,$A100,$BA$2:$BA$201,1,$G$2:$G$201,G100,$AT$2:$AT$201,"&lt;"&amp;AT100)=0,1,0),0)</f>
        <v/>
      </c>
      <c r="BC100" s="17">
        <f>IF(AND(BB100=1,G100&lt;=Config!$B$6),V100,"")</f>
        <v/>
      </c>
      <c r="BD100" s="17">
        <f>IF(AND(BB100=1,G100&lt;=Config!$B$7),V100,"")</f>
        <v/>
      </c>
      <c r="BE100" s="17">
        <f>IF(AND(BB100=1,G100&lt;=Config!$B$8),V100,"")</f>
        <v/>
      </c>
      <c r="BF100" s="17">
        <f>IF(AND(BB100=1,G100&lt;=Config!$B$5),V100,"")</f>
        <v/>
      </c>
      <c r="BG100" s="17">
        <f>IF(BW100=1,IF(COUNTIFS($A$2:$A$201,$A100,$BW$2:$BW$201,1,$G$2:$G$201,"&lt;"&amp;G100)+COUNTIFS($A$2:$A$201,$A100,$BW$2:$BW$201,1,$G$2:$G$201,G100,$AT$2:$AT$201,"&lt;"&amp;AT100)=0,1,0),0)</f>
        <v/>
      </c>
      <c r="BH100" s="17">
        <f>IF(AND(AU100=1,ISNUMBER(K100)),1,0)</f>
        <v/>
      </c>
      <c r="BI100" s="17">
        <f>IF(BH100=1,IF(COUNTIFS($A$2:$A$201,$A100,$BH$2:$BH$201,1,$G$2:$G$201,"&lt;"&amp;G100)+COUNTIFS($A$2:$A$201,$A100,$BH$2:$BH$201,1,$G$2:$G$201,G100,$AT$2:$AT$201,"&lt;"&amp;AT100)=0,1,0),0)</f>
        <v/>
      </c>
      <c r="BJ100" s="17">
        <f>IF(AND(BI100=1,G100&lt;=Config!$B$5),K100,"")</f>
        <v/>
      </c>
      <c r="BK100" s="17">
        <f>IF(AND(AU100=1,OR(TRIM(U100)&lt;&gt;"",ISNUMBER(V100))),1,0)</f>
        <v/>
      </c>
      <c r="BL100" s="17">
        <f>IF(BK100=1,IF(COUNTIFS($A$2:$A$201,$A100,$BK$2:$BK$201,1,$G$2:$G$201,"&lt;"&amp;G100)+COUNTIFS($A$2:$A$201,$A100,$BK$2:$BK$201,1,$G$2:$G$201,G100,$AT$2:$AT$201,"&lt;"&amp;AT100)=0,1,0),0)</f>
        <v/>
      </c>
      <c r="BM100" s="17">
        <f>IF(BL100=1,$A100,"")</f>
        <v/>
      </c>
      <c r="BN100" s="17">
        <f>IF(AND(AU100=1,T100="Y",TRIM(U100)=""),1,0)</f>
        <v/>
      </c>
      <c r="BO100" s="17">
        <f>IF(AU100=1,AJ100&amp;"","")</f>
        <v/>
      </c>
      <c r="BP100" s="17">
        <f>IF(AU100=1,AK100&amp;"","")</f>
        <v/>
      </c>
      <c r="BQ100" s="17">
        <f>IF(AU100=1,AL100&amp;"","")</f>
        <v/>
      </c>
      <c r="BR100" s="17">
        <f>IF(AND(AU100=1,ISNUMBER(AP100),G100&lt;=Config!$B$5),AP100,"")</f>
        <v/>
      </c>
      <c r="BS100" s="17">
        <f>IF(AU100=1,IF(COUNTIFS($A$2:$A$201,$A100,$AN$2:$AN$201,"Y",$AU$2:$AU$201,1)&gt;0,"Y","N"),"")</f>
        <v/>
      </c>
      <c r="BT100" s="17">
        <f>IF(AND(AU100=1,AN100="maybe"),1,0)</f>
        <v/>
      </c>
      <c r="BU100" s="17">
        <f>IF(BT100=1,IF(COUNTIFS($A$2:$A$201,$A100,$BT$2:$BT$201,1,$G$2:$G$201,"&lt;"&amp;G100)+COUNTIFS($A$2:$A$201,$A100,$BT$2:$BT$201,1,$G$2:$G$201,G100,$AT$2:$AT$201,"&lt;"&amp;AT100)=0,1,0),0)</f>
        <v/>
      </c>
      <c r="BV100" s="17">
        <f>IF(AND(AU100=1,AN100="Y"),IF(COUNTIFS($A$2:$A$201,$A100,$AN$2:$AN$201,"Y",$AU$2:$AU$201,1,$G$2:$G$201,"&lt;"&amp;G100)+COUNTIFS($A$2:$A$201,$A100,$AN$2:$AN$201,"Y",$AU$2:$AU$201,1,$G$2:$G$201,G100,$AT$2:$AT$201,"&lt;"&amp;AT100)=0,1,0),0)</f>
        <v/>
      </c>
      <c r="BW100" s="17">
        <f>IF(AND(BA100=1,N(V100)&gt;=Config!$B$15),1,0)</f>
        <v/>
      </c>
      <c r="BX100" s="17">
        <f>IF(AU100=1,IFERROR(MATCH($A100,INDEX(Clay_Offices!$A$2:$FZ$601,0,Sync!$C$5),0),""),"")</f>
        <v/>
      </c>
      <c r="BY100" s="17">
        <f>IF(BX100="","",IFERROR(INDEX(Clay_Offices!$A$2:$FZ$601,BX100,Sync!$C$7)&amp;"",""))</f>
        <v/>
      </c>
      <c r="BZ100" s="17">
        <f>IF(BY100="","",IFERROR(INDEX(Lists!$J$2:$J$15,MATCH(BY100,Lists!$I$2:$I$15,0)),""))</f>
        <v/>
      </c>
      <c r="CA100" s="17">
        <f>IF(BX100="","",IFERROR(INDEX(Clay_Offices!$A$2:$FZ$601,BX100,Sync!$C$17)&amp;"",""))</f>
        <v/>
      </c>
      <c r="CB100" s="23">
        <f>IF(BX100="","",IFERROR(N(INDEX(Clay_Offices!$A$2:$FZ$601,BX100,Sync!$C$16)),0))</f>
        <v/>
      </c>
    </row>
    <row r="101">
      <c r="G101" s="22" t="n"/>
      <c r="AS101" s="17">
        <f>IF(TRIM($A101)="","",IF(AND(LEFT($A101,6)="SAMPLE",Config!$B$19&lt;&gt;"Y"),"",IF(NOT(ISNUMBER(G101)),"call_date is blank or not a date",IF(Sync!$C$5="","Clay paste is empty or has no row_id column: paste the Clay export on Clay_Offices",IF(BX101="","row_id not found in the Clay paste: add the Clay row or fix the row_id",IF(AND(ISNUMBER(BZ101),BZ101&gt;=1,BZ101&lt;=5),"Clay status is "&amp;BY101&amp;": set call_done or later",IF(AND(AW101=1,CA101&lt;&gt;BS101),"Clay yes_in_principle should be "&amp;BS101,IF(AND(AW101=1,CB101&lt;&gt;G101),"Clay call_date should be "&amp;TEXT(G101,"yyyy-mm-dd"),""))))))))</f>
        <v/>
      </c>
      <c r="AT101" s="17">
        <f>ROW()</f>
        <v/>
      </c>
      <c r="AU101" s="17">
        <f>IF(AND(TRIM($A101)&lt;&gt;"",ISNUMBER(G101)),IF(AND(LEFT($A101,6)="SAMPLE",Config!$B$19&lt;&gt;"Y"),0,1),0)</f>
        <v/>
      </c>
      <c r="AV101" s="17">
        <f>IF(AU101=1,IF(COUNTIFS($A$2:$A$201,$A101,$AU$2:$AU$201,1,$G$2:$G$201,"&lt;"&amp;G101)+COUNTIFS($A$2:$A$201,$A101,$AU$2:$AU$201,1,$G$2:$G$201,G101,$AT$2:$AT$201,"&lt;"&amp;AT101)=0,1,0),0)</f>
        <v/>
      </c>
      <c r="AW101" s="17">
        <f>IF(AU101=1,IF(COUNTIFS($A$2:$A$201,$A101,$AU$2:$AU$201,1,$G$2:$G$201,"&gt;"&amp;G101)+COUNTIFS($A$2:$A$201,$A101,$AU$2:$AU$201,1,$G$2:$G$201,G101,$AT$2:$AT$201,"&gt;"&amp;AT101)=0,1,0),0)</f>
        <v/>
      </c>
      <c r="AX101" s="17">
        <f>IF(AND(AU101=1,AN101="Y",Z101="Y",TRIM(AD101)&lt;&gt;""),1,0)</f>
        <v/>
      </c>
      <c r="AY101" s="17">
        <f>IF(AX101=1,IF(COUNTIFS($A$2:$A$201,$A101,$AX$2:$AX$201,1,$G$2:$G$201,"&lt;"&amp;G101)+COUNTIFS($A$2:$A$201,$A101,$AX$2:$AX$201,1,$G$2:$G$201,G101,$AT$2:$AT$201,"&lt;"&amp;AT101)=0,1,0),0)</f>
        <v/>
      </c>
      <c r="AZ101" s="17">
        <f>IF(AND(AU101=1,AN101="Y",AX101=0),1,0)</f>
        <v/>
      </c>
      <c r="BA101" s="17">
        <f>IF(AND(AU101=1,ISNUMBER(V101)),1,0)</f>
        <v/>
      </c>
      <c r="BB101" s="17">
        <f>IF(BA101=1,IF(COUNTIFS($A$2:$A$201,$A101,$BA$2:$BA$201,1,$G$2:$G$201,"&lt;"&amp;G101)+COUNTIFS($A$2:$A$201,$A101,$BA$2:$BA$201,1,$G$2:$G$201,G101,$AT$2:$AT$201,"&lt;"&amp;AT101)=0,1,0),0)</f>
        <v/>
      </c>
      <c r="BC101" s="17">
        <f>IF(AND(BB101=1,G101&lt;=Config!$B$6),V101,"")</f>
        <v/>
      </c>
      <c r="BD101" s="17">
        <f>IF(AND(BB101=1,G101&lt;=Config!$B$7),V101,"")</f>
        <v/>
      </c>
      <c r="BE101" s="17">
        <f>IF(AND(BB101=1,G101&lt;=Config!$B$8),V101,"")</f>
        <v/>
      </c>
      <c r="BF101" s="17">
        <f>IF(AND(BB101=1,G101&lt;=Config!$B$5),V101,"")</f>
        <v/>
      </c>
      <c r="BG101" s="17">
        <f>IF(BW101=1,IF(COUNTIFS($A$2:$A$201,$A101,$BW$2:$BW$201,1,$G$2:$G$201,"&lt;"&amp;G101)+COUNTIFS($A$2:$A$201,$A101,$BW$2:$BW$201,1,$G$2:$G$201,G101,$AT$2:$AT$201,"&lt;"&amp;AT101)=0,1,0),0)</f>
        <v/>
      </c>
      <c r="BH101" s="17">
        <f>IF(AND(AU101=1,ISNUMBER(K101)),1,0)</f>
        <v/>
      </c>
      <c r="BI101" s="17">
        <f>IF(BH101=1,IF(COUNTIFS($A$2:$A$201,$A101,$BH$2:$BH$201,1,$G$2:$G$201,"&lt;"&amp;G101)+COUNTIFS($A$2:$A$201,$A101,$BH$2:$BH$201,1,$G$2:$G$201,G101,$AT$2:$AT$201,"&lt;"&amp;AT101)=0,1,0),0)</f>
        <v/>
      </c>
      <c r="BJ101" s="17">
        <f>IF(AND(BI101=1,G101&lt;=Config!$B$5),K101,"")</f>
        <v/>
      </c>
      <c r="BK101" s="17">
        <f>IF(AND(AU101=1,OR(TRIM(U101)&lt;&gt;"",ISNUMBER(V101))),1,0)</f>
        <v/>
      </c>
      <c r="BL101" s="17">
        <f>IF(BK101=1,IF(COUNTIFS($A$2:$A$201,$A101,$BK$2:$BK$201,1,$G$2:$G$201,"&lt;"&amp;G101)+COUNTIFS($A$2:$A$201,$A101,$BK$2:$BK$201,1,$G$2:$G$201,G101,$AT$2:$AT$201,"&lt;"&amp;AT101)=0,1,0),0)</f>
        <v/>
      </c>
      <c r="BM101" s="17">
        <f>IF(BL101=1,$A101,"")</f>
        <v/>
      </c>
      <c r="BN101" s="17">
        <f>IF(AND(AU101=1,T101="Y",TRIM(U101)=""),1,0)</f>
        <v/>
      </c>
      <c r="BO101" s="17">
        <f>IF(AU101=1,AJ101&amp;"","")</f>
        <v/>
      </c>
      <c r="BP101" s="17">
        <f>IF(AU101=1,AK101&amp;"","")</f>
        <v/>
      </c>
      <c r="BQ101" s="17">
        <f>IF(AU101=1,AL101&amp;"","")</f>
        <v/>
      </c>
      <c r="BR101" s="17">
        <f>IF(AND(AU101=1,ISNUMBER(AP101),G101&lt;=Config!$B$5),AP101,"")</f>
        <v/>
      </c>
      <c r="BS101" s="17">
        <f>IF(AU101=1,IF(COUNTIFS($A$2:$A$201,$A101,$AN$2:$AN$201,"Y",$AU$2:$AU$201,1)&gt;0,"Y","N"),"")</f>
        <v/>
      </c>
      <c r="BT101" s="17">
        <f>IF(AND(AU101=1,AN101="maybe"),1,0)</f>
        <v/>
      </c>
      <c r="BU101" s="17">
        <f>IF(BT101=1,IF(COUNTIFS($A$2:$A$201,$A101,$BT$2:$BT$201,1,$G$2:$G$201,"&lt;"&amp;G101)+COUNTIFS($A$2:$A$201,$A101,$BT$2:$BT$201,1,$G$2:$G$201,G101,$AT$2:$AT$201,"&lt;"&amp;AT101)=0,1,0),0)</f>
        <v/>
      </c>
      <c r="BV101" s="17">
        <f>IF(AND(AU101=1,AN101="Y"),IF(COUNTIFS($A$2:$A$201,$A101,$AN$2:$AN$201,"Y",$AU$2:$AU$201,1,$G$2:$G$201,"&lt;"&amp;G101)+COUNTIFS($A$2:$A$201,$A101,$AN$2:$AN$201,"Y",$AU$2:$AU$201,1,$G$2:$G$201,G101,$AT$2:$AT$201,"&lt;"&amp;AT101)=0,1,0),0)</f>
        <v/>
      </c>
      <c r="BW101" s="17">
        <f>IF(AND(BA101=1,N(V101)&gt;=Config!$B$15),1,0)</f>
        <v/>
      </c>
      <c r="BX101" s="17">
        <f>IF(AU101=1,IFERROR(MATCH($A101,INDEX(Clay_Offices!$A$2:$FZ$601,0,Sync!$C$5),0),""),"")</f>
        <v/>
      </c>
      <c r="BY101" s="17">
        <f>IF(BX101="","",IFERROR(INDEX(Clay_Offices!$A$2:$FZ$601,BX101,Sync!$C$7)&amp;"",""))</f>
        <v/>
      </c>
      <c r="BZ101" s="17">
        <f>IF(BY101="","",IFERROR(INDEX(Lists!$J$2:$J$15,MATCH(BY101,Lists!$I$2:$I$15,0)),""))</f>
        <v/>
      </c>
      <c r="CA101" s="17">
        <f>IF(BX101="","",IFERROR(INDEX(Clay_Offices!$A$2:$FZ$601,BX101,Sync!$C$17)&amp;"",""))</f>
        <v/>
      </c>
      <c r="CB101" s="23">
        <f>IF(BX101="","",IFERROR(N(INDEX(Clay_Offices!$A$2:$FZ$601,BX101,Sync!$C$16)),0))</f>
        <v/>
      </c>
    </row>
    <row r="102">
      <c r="G102" s="22" t="n"/>
      <c r="AS102" s="17">
        <f>IF(TRIM($A102)="","",IF(AND(LEFT($A102,6)="SAMPLE",Config!$B$19&lt;&gt;"Y"),"",IF(NOT(ISNUMBER(G102)),"call_date is blank or not a date",IF(Sync!$C$5="","Clay paste is empty or has no row_id column: paste the Clay export on Clay_Offices",IF(BX102="","row_id not found in the Clay paste: add the Clay row or fix the row_id",IF(AND(ISNUMBER(BZ102),BZ102&gt;=1,BZ102&lt;=5),"Clay status is "&amp;BY102&amp;": set call_done or later",IF(AND(AW102=1,CA102&lt;&gt;BS102),"Clay yes_in_principle should be "&amp;BS102,IF(AND(AW102=1,CB102&lt;&gt;G102),"Clay call_date should be "&amp;TEXT(G102,"yyyy-mm-dd"),""))))))))</f>
        <v/>
      </c>
      <c r="AT102" s="17">
        <f>ROW()</f>
        <v/>
      </c>
      <c r="AU102" s="17">
        <f>IF(AND(TRIM($A102)&lt;&gt;"",ISNUMBER(G102)),IF(AND(LEFT($A102,6)="SAMPLE",Config!$B$19&lt;&gt;"Y"),0,1),0)</f>
        <v/>
      </c>
      <c r="AV102" s="17">
        <f>IF(AU102=1,IF(COUNTIFS($A$2:$A$201,$A102,$AU$2:$AU$201,1,$G$2:$G$201,"&lt;"&amp;G102)+COUNTIFS($A$2:$A$201,$A102,$AU$2:$AU$201,1,$G$2:$G$201,G102,$AT$2:$AT$201,"&lt;"&amp;AT102)=0,1,0),0)</f>
        <v/>
      </c>
      <c r="AW102" s="17">
        <f>IF(AU102=1,IF(COUNTIFS($A$2:$A$201,$A102,$AU$2:$AU$201,1,$G$2:$G$201,"&gt;"&amp;G102)+COUNTIFS($A$2:$A$201,$A102,$AU$2:$AU$201,1,$G$2:$G$201,G102,$AT$2:$AT$201,"&gt;"&amp;AT102)=0,1,0),0)</f>
        <v/>
      </c>
      <c r="AX102" s="17">
        <f>IF(AND(AU102=1,AN102="Y",Z102="Y",TRIM(AD102)&lt;&gt;""),1,0)</f>
        <v/>
      </c>
      <c r="AY102" s="17">
        <f>IF(AX102=1,IF(COUNTIFS($A$2:$A$201,$A102,$AX$2:$AX$201,1,$G$2:$G$201,"&lt;"&amp;G102)+COUNTIFS($A$2:$A$201,$A102,$AX$2:$AX$201,1,$G$2:$G$201,G102,$AT$2:$AT$201,"&lt;"&amp;AT102)=0,1,0),0)</f>
        <v/>
      </c>
      <c r="AZ102" s="17">
        <f>IF(AND(AU102=1,AN102="Y",AX102=0),1,0)</f>
        <v/>
      </c>
      <c r="BA102" s="17">
        <f>IF(AND(AU102=1,ISNUMBER(V102)),1,0)</f>
        <v/>
      </c>
      <c r="BB102" s="17">
        <f>IF(BA102=1,IF(COUNTIFS($A$2:$A$201,$A102,$BA$2:$BA$201,1,$G$2:$G$201,"&lt;"&amp;G102)+COUNTIFS($A$2:$A$201,$A102,$BA$2:$BA$201,1,$G$2:$G$201,G102,$AT$2:$AT$201,"&lt;"&amp;AT102)=0,1,0),0)</f>
        <v/>
      </c>
      <c r="BC102" s="17">
        <f>IF(AND(BB102=1,G102&lt;=Config!$B$6),V102,"")</f>
        <v/>
      </c>
      <c r="BD102" s="17">
        <f>IF(AND(BB102=1,G102&lt;=Config!$B$7),V102,"")</f>
        <v/>
      </c>
      <c r="BE102" s="17">
        <f>IF(AND(BB102=1,G102&lt;=Config!$B$8),V102,"")</f>
        <v/>
      </c>
      <c r="BF102" s="17">
        <f>IF(AND(BB102=1,G102&lt;=Config!$B$5),V102,"")</f>
        <v/>
      </c>
      <c r="BG102" s="17">
        <f>IF(BW102=1,IF(COUNTIFS($A$2:$A$201,$A102,$BW$2:$BW$201,1,$G$2:$G$201,"&lt;"&amp;G102)+COUNTIFS($A$2:$A$201,$A102,$BW$2:$BW$201,1,$G$2:$G$201,G102,$AT$2:$AT$201,"&lt;"&amp;AT102)=0,1,0),0)</f>
        <v/>
      </c>
      <c r="BH102" s="17">
        <f>IF(AND(AU102=1,ISNUMBER(K102)),1,0)</f>
        <v/>
      </c>
      <c r="BI102" s="17">
        <f>IF(BH102=1,IF(COUNTIFS($A$2:$A$201,$A102,$BH$2:$BH$201,1,$G$2:$G$201,"&lt;"&amp;G102)+COUNTIFS($A$2:$A$201,$A102,$BH$2:$BH$201,1,$G$2:$G$201,G102,$AT$2:$AT$201,"&lt;"&amp;AT102)=0,1,0),0)</f>
        <v/>
      </c>
      <c r="BJ102" s="17">
        <f>IF(AND(BI102=1,G102&lt;=Config!$B$5),K102,"")</f>
        <v/>
      </c>
      <c r="BK102" s="17">
        <f>IF(AND(AU102=1,OR(TRIM(U102)&lt;&gt;"",ISNUMBER(V102))),1,0)</f>
        <v/>
      </c>
      <c r="BL102" s="17">
        <f>IF(BK102=1,IF(COUNTIFS($A$2:$A$201,$A102,$BK$2:$BK$201,1,$G$2:$G$201,"&lt;"&amp;G102)+COUNTIFS($A$2:$A$201,$A102,$BK$2:$BK$201,1,$G$2:$G$201,G102,$AT$2:$AT$201,"&lt;"&amp;AT102)=0,1,0),0)</f>
        <v/>
      </c>
      <c r="BM102" s="17">
        <f>IF(BL102=1,$A102,"")</f>
        <v/>
      </c>
      <c r="BN102" s="17">
        <f>IF(AND(AU102=1,T102="Y",TRIM(U102)=""),1,0)</f>
        <v/>
      </c>
      <c r="BO102" s="17">
        <f>IF(AU102=1,AJ102&amp;"","")</f>
        <v/>
      </c>
      <c r="BP102" s="17">
        <f>IF(AU102=1,AK102&amp;"","")</f>
        <v/>
      </c>
      <c r="BQ102" s="17">
        <f>IF(AU102=1,AL102&amp;"","")</f>
        <v/>
      </c>
      <c r="BR102" s="17">
        <f>IF(AND(AU102=1,ISNUMBER(AP102),G102&lt;=Config!$B$5),AP102,"")</f>
        <v/>
      </c>
      <c r="BS102" s="17">
        <f>IF(AU102=1,IF(COUNTIFS($A$2:$A$201,$A102,$AN$2:$AN$201,"Y",$AU$2:$AU$201,1)&gt;0,"Y","N"),"")</f>
        <v/>
      </c>
      <c r="BT102" s="17">
        <f>IF(AND(AU102=1,AN102="maybe"),1,0)</f>
        <v/>
      </c>
      <c r="BU102" s="17">
        <f>IF(BT102=1,IF(COUNTIFS($A$2:$A$201,$A102,$BT$2:$BT$201,1,$G$2:$G$201,"&lt;"&amp;G102)+COUNTIFS($A$2:$A$201,$A102,$BT$2:$BT$201,1,$G$2:$G$201,G102,$AT$2:$AT$201,"&lt;"&amp;AT102)=0,1,0),0)</f>
        <v/>
      </c>
      <c r="BV102" s="17">
        <f>IF(AND(AU102=1,AN102="Y"),IF(COUNTIFS($A$2:$A$201,$A102,$AN$2:$AN$201,"Y",$AU$2:$AU$201,1,$G$2:$G$201,"&lt;"&amp;G102)+COUNTIFS($A$2:$A$201,$A102,$AN$2:$AN$201,"Y",$AU$2:$AU$201,1,$G$2:$G$201,G102,$AT$2:$AT$201,"&lt;"&amp;AT102)=0,1,0),0)</f>
        <v/>
      </c>
      <c r="BW102" s="17">
        <f>IF(AND(BA102=1,N(V102)&gt;=Config!$B$15),1,0)</f>
        <v/>
      </c>
      <c r="BX102" s="17">
        <f>IF(AU102=1,IFERROR(MATCH($A102,INDEX(Clay_Offices!$A$2:$FZ$601,0,Sync!$C$5),0),""),"")</f>
        <v/>
      </c>
      <c r="BY102" s="17">
        <f>IF(BX102="","",IFERROR(INDEX(Clay_Offices!$A$2:$FZ$601,BX102,Sync!$C$7)&amp;"",""))</f>
        <v/>
      </c>
      <c r="BZ102" s="17">
        <f>IF(BY102="","",IFERROR(INDEX(Lists!$J$2:$J$15,MATCH(BY102,Lists!$I$2:$I$15,0)),""))</f>
        <v/>
      </c>
      <c r="CA102" s="17">
        <f>IF(BX102="","",IFERROR(INDEX(Clay_Offices!$A$2:$FZ$601,BX102,Sync!$C$17)&amp;"",""))</f>
        <v/>
      </c>
      <c r="CB102" s="23">
        <f>IF(BX102="","",IFERROR(N(INDEX(Clay_Offices!$A$2:$FZ$601,BX102,Sync!$C$16)),0))</f>
        <v/>
      </c>
    </row>
    <row r="103">
      <c r="G103" s="22" t="n"/>
      <c r="AS103" s="17">
        <f>IF(TRIM($A103)="","",IF(AND(LEFT($A103,6)="SAMPLE",Config!$B$19&lt;&gt;"Y"),"",IF(NOT(ISNUMBER(G103)),"call_date is blank or not a date",IF(Sync!$C$5="","Clay paste is empty or has no row_id column: paste the Clay export on Clay_Offices",IF(BX103="","row_id not found in the Clay paste: add the Clay row or fix the row_id",IF(AND(ISNUMBER(BZ103),BZ103&gt;=1,BZ103&lt;=5),"Clay status is "&amp;BY103&amp;": set call_done or later",IF(AND(AW103=1,CA103&lt;&gt;BS103),"Clay yes_in_principle should be "&amp;BS103,IF(AND(AW103=1,CB103&lt;&gt;G103),"Clay call_date should be "&amp;TEXT(G103,"yyyy-mm-dd"),""))))))))</f>
        <v/>
      </c>
      <c r="AT103" s="17">
        <f>ROW()</f>
        <v/>
      </c>
      <c r="AU103" s="17">
        <f>IF(AND(TRIM($A103)&lt;&gt;"",ISNUMBER(G103)),IF(AND(LEFT($A103,6)="SAMPLE",Config!$B$19&lt;&gt;"Y"),0,1),0)</f>
        <v/>
      </c>
      <c r="AV103" s="17">
        <f>IF(AU103=1,IF(COUNTIFS($A$2:$A$201,$A103,$AU$2:$AU$201,1,$G$2:$G$201,"&lt;"&amp;G103)+COUNTIFS($A$2:$A$201,$A103,$AU$2:$AU$201,1,$G$2:$G$201,G103,$AT$2:$AT$201,"&lt;"&amp;AT103)=0,1,0),0)</f>
        <v/>
      </c>
      <c r="AW103" s="17">
        <f>IF(AU103=1,IF(COUNTIFS($A$2:$A$201,$A103,$AU$2:$AU$201,1,$G$2:$G$201,"&gt;"&amp;G103)+COUNTIFS($A$2:$A$201,$A103,$AU$2:$AU$201,1,$G$2:$G$201,G103,$AT$2:$AT$201,"&gt;"&amp;AT103)=0,1,0),0)</f>
        <v/>
      </c>
      <c r="AX103" s="17">
        <f>IF(AND(AU103=1,AN103="Y",Z103="Y",TRIM(AD103)&lt;&gt;""),1,0)</f>
        <v/>
      </c>
      <c r="AY103" s="17">
        <f>IF(AX103=1,IF(COUNTIFS($A$2:$A$201,$A103,$AX$2:$AX$201,1,$G$2:$G$201,"&lt;"&amp;G103)+COUNTIFS($A$2:$A$201,$A103,$AX$2:$AX$201,1,$G$2:$G$201,G103,$AT$2:$AT$201,"&lt;"&amp;AT103)=0,1,0),0)</f>
        <v/>
      </c>
      <c r="AZ103" s="17">
        <f>IF(AND(AU103=1,AN103="Y",AX103=0),1,0)</f>
        <v/>
      </c>
      <c r="BA103" s="17">
        <f>IF(AND(AU103=1,ISNUMBER(V103)),1,0)</f>
        <v/>
      </c>
      <c r="BB103" s="17">
        <f>IF(BA103=1,IF(COUNTIFS($A$2:$A$201,$A103,$BA$2:$BA$201,1,$G$2:$G$201,"&lt;"&amp;G103)+COUNTIFS($A$2:$A$201,$A103,$BA$2:$BA$201,1,$G$2:$G$201,G103,$AT$2:$AT$201,"&lt;"&amp;AT103)=0,1,0),0)</f>
        <v/>
      </c>
      <c r="BC103" s="17">
        <f>IF(AND(BB103=1,G103&lt;=Config!$B$6),V103,"")</f>
        <v/>
      </c>
      <c r="BD103" s="17">
        <f>IF(AND(BB103=1,G103&lt;=Config!$B$7),V103,"")</f>
        <v/>
      </c>
      <c r="BE103" s="17">
        <f>IF(AND(BB103=1,G103&lt;=Config!$B$8),V103,"")</f>
        <v/>
      </c>
      <c r="BF103" s="17">
        <f>IF(AND(BB103=1,G103&lt;=Config!$B$5),V103,"")</f>
        <v/>
      </c>
      <c r="BG103" s="17">
        <f>IF(BW103=1,IF(COUNTIFS($A$2:$A$201,$A103,$BW$2:$BW$201,1,$G$2:$G$201,"&lt;"&amp;G103)+COUNTIFS($A$2:$A$201,$A103,$BW$2:$BW$201,1,$G$2:$G$201,G103,$AT$2:$AT$201,"&lt;"&amp;AT103)=0,1,0),0)</f>
        <v/>
      </c>
      <c r="BH103" s="17">
        <f>IF(AND(AU103=1,ISNUMBER(K103)),1,0)</f>
        <v/>
      </c>
      <c r="BI103" s="17">
        <f>IF(BH103=1,IF(COUNTIFS($A$2:$A$201,$A103,$BH$2:$BH$201,1,$G$2:$G$201,"&lt;"&amp;G103)+COUNTIFS($A$2:$A$201,$A103,$BH$2:$BH$201,1,$G$2:$G$201,G103,$AT$2:$AT$201,"&lt;"&amp;AT103)=0,1,0),0)</f>
        <v/>
      </c>
      <c r="BJ103" s="17">
        <f>IF(AND(BI103=1,G103&lt;=Config!$B$5),K103,"")</f>
        <v/>
      </c>
      <c r="BK103" s="17">
        <f>IF(AND(AU103=1,OR(TRIM(U103)&lt;&gt;"",ISNUMBER(V103))),1,0)</f>
        <v/>
      </c>
      <c r="BL103" s="17">
        <f>IF(BK103=1,IF(COUNTIFS($A$2:$A$201,$A103,$BK$2:$BK$201,1,$G$2:$G$201,"&lt;"&amp;G103)+COUNTIFS($A$2:$A$201,$A103,$BK$2:$BK$201,1,$G$2:$G$201,G103,$AT$2:$AT$201,"&lt;"&amp;AT103)=0,1,0),0)</f>
        <v/>
      </c>
      <c r="BM103" s="17">
        <f>IF(BL103=1,$A103,"")</f>
        <v/>
      </c>
      <c r="BN103" s="17">
        <f>IF(AND(AU103=1,T103="Y",TRIM(U103)=""),1,0)</f>
        <v/>
      </c>
      <c r="BO103" s="17">
        <f>IF(AU103=1,AJ103&amp;"","")</f>
        <v/>
      </c>
      <c r="BP103" s="17">
        <f>IF(AU103=1,AK103&amp;"","")</f>
        <v/>
      </c>
      <c r="BQ103" s="17">
        <f>IF(AU103=1,AL103&amp;"","")</f>
        <v/>
      </c>
      <c r="BR103" s="17">
        <f>IF(AND(AU103=1,ISNUMBER(AP103),G103&lt;=Config!$B$5),AP103,"")</f>
        <v/>
      </c>
      <c r="BS103" s="17">
        <f>IF(AU103=1,IF(COUNTIFS($A$2:$A$201,$A103,$AN$2:$AN$201,"Y",$AU$2:$AU$201,1)&gt;0,"Y","N"),"")</f>
        <v/>
      </c>
      <c r="BT103" s="17">
        <f>IF(AND(AU103=1,AN103="maybe"),1,0)</f>
        <v/>
      </c>
      <c r="BU103" s="17">
        <f>IF(BT103=1,IF(COUNTIFS($A$2:$A$201,$A103,$BT$2:$BT$201,1,$G$2:$G$201,"&lt;"&amp;G103)+COUNTIFS($A$2:$A$201,$A103,$BT$2:$BT$201,1,$G$2:$G$201,G103,$AT$2:$AT$201,"&lt;"&amp;AT103)=0,1,0),0)</f>
        <v/>
      </c>
      <c r="BV103" s="17">
        <f>IF(AND(AU103=1,AN103="Y"),IF(COUNTIFS($A$2:$A$201,$A103,$AN$2:$AN$201,"Y",$AU$2:$AU$201,1,$G$2:$G$201,"&lt;"&amp;G103)+COUNTIFS($A$2:$A$201,$A103,$AN$2:$AN$201,"Y",$AU$2:$AU$201,1,$G$2:$G$201,G103,$AT$2:$AT$201,"&lt;"&amp;AT103)=0,1,0),0)</f>
        <v/>
      </c>
      <c r="BW103" s="17">
        <f>IF(AND(BA103=1,N(V103)&gt;=Config!$B$15),1,0)</f>
        <v/>
      </c>
      <c r="BX103" s="17">
        <f>IF(AU103=1,IFERROR(MATCH($A103,INDEX(Clay_Offices!$A$2:$FZ$601,0,Sync!$C$5),0),""),"")</f>
        <v/>
      </c>
      <c r="BY103" s="17">
        <f>IF(BX103="","",IFERROR(INDEX(Clay_Offices!$A$2:$FZ$601,BX103,Sync!$C$7)&amp;"",""))</f>
        <v/>
      </c>
      <c r="BZ103" s="17">
        <f>IF(BY103="","",IFERROR(INDEX(Lists!$J$2:$J$15,MATCH(BY103,Lists!$I$2:$I$15,0)),""))</f>
        <v/>
      </c>
      <c r="CA103" s="17">
        <f>IF(BX103="","",IFERROR(INDEX(Clay_Offices!$A$2:$FZ$601,BX103,Sync!$C$17)&amp;"",""))</f>
        <v/>
      </c>
      <c r="CB103" s="23">
        <f>IF(BX103="","",IFERROR(N(INDEX(Clay_Offices!$A$2:$FZ$601,BX103,Sync!$C$16)),0))</f>
        <v/>
      </c>
    </row>
    <row r="104">
      <c r="G104" s="22" t="n"/>
      <c r="AS104" s="17">
        <f>IF(TRIM($A104)="","",IF(AND(LEFT($A104,6)="SAMPLE",Config!$B$19&lt;&gt;"Y"),"",IF(NOT(ISNUMBER(G104)),"call_date is blank or not a date",IF(Sync!$C$5="","Clay paste is empty or has no row_id column: paste the Clay export on Clay_Offices",IF(BX104="","row_id not found in the Clay paste: add the Clay row or fix the row_id",IF(AND(ISNUMBER(BZ104),BZ104&gt;=1,BZ104&lt;=5),"Clay status is "&amp;BY104&amp;": set call_done or later",IF(AND(AW104=1,CA104&lt;&gt;BS104),"Clay yes_in_principle should be "&amp;BS104,IF(AND(AW104=1,CB104&lt;&gt;G104),"Clay call_date should be "&amp;TEXT(G104,"yyyy-mm-dd"),""))))))))</f>
        <v/>
      </c>
      <c r="AT104" s="17">
        <f>ROW()</f>
        <v/>
      </c>
      <c r="AU104" s="17">
        <f>IF(AND(TRIM($A104)&lt;&gt;"",ISNUMBER(G104)),IF(AND(LEFT($A104,6)="SAMPLE",Config!$B$19&lt;&gt;"Y"),0,1),0)</f>
        <v/>
      </c>
      <c r="AV104" s="17">
        <f>IF(AU104=1,IF(COUNTIFS($A$2:$A$201,$A104,$AU$2:$AU$201,1,$G$2:$G$201,"&lt;"&amp;G104)+COUNTIFS($A$2:$A$201,$A104,$AU$2:$AU$201,1,$G$2:$G$201,G104,$AT$2:$AT$201,"&lt;"&amp;AT104)=0,1,0),0)</f>
        <v/>
      </c>
      <c r="AW104" s="17">
        <f>IF(AU104=1,IF(COUNTIFS($A$2:$A$201,$A104,$AU$2:$AU$201,1,$G$2:$G$201,"&gt;"&amp;G104)+COUNTIFS($A$2:$A$201,$A104,$AU$2:$AU$201,1,$G$2:$G$201,G104,$AT$2:$AT$201,"&gt;"&amp;AT104)=0,1,0),0)</f>
        <v/>
      </c>
      <c r="AX104" s="17">
        <f>IF(AND(AU104=1,AN104="Y",Z104="Y",TRIM(AD104)&lt;&gt;""),1,0)</f>
        <v/>
      </c>
      <c r="AY104" s="17">
        <f>IF(AX104=1,IF(COUNTIFS($A$2:$A$201,$A104,$AX$2:$AX$201,1,$G$2:$G$201,"&lt;"&amp;G104)+COUNTIFS($A$2:$A$201,$A104,$AX$2:$AX$201,1,$G$2:$G$201,G104,$AT$2:$AT$201,"&lt;"&amp;AT104)=0,1,0),0)</f>
        <v/>
      </c>
      <c r="AZ104" s="17">
        <f>IF(AND(AU104=1,AN104="Y",AX104=0),1,0)</f>
        <v/>
      </c>
      <c r="BA104" s="17">
        <f>IF(AND(AU104=1,ISNUMBER(V104)),1,0)</f>
        <v/>
      </c>
      <c r="BB104" s="17">
        <f>IF(BA104=1,IF(COUNTIFS($A$2:$A$201,$A104,$BA$2:$BA$201,1,$G$2:$G$201,"&lt;"&amp;G104)+COUNTIFS($A$2:$A$201,$A104,$BA$2:$BA$201,1,$G$2:$G$201,G104,$AT$2:$AT$201,"&lt;"&amp;AT104)=0,1,0),0)</f>
        <v/>
      </c>
      <c r="BC104" s="17">
        <f>IF(AND(BB104=1,G104&lt;=Config!$B$6),V104,"")</f>
        <v/>
      </c>
      <c r="BD104" s="17">
        <f>IF(AND(BB104=1,G104&lt;=Config!$B$7),V104,"")</f>
        <v/>
      </c>
      <c r="BE104" s="17">
        <f>IF(AND(BB104=1,G104&lt;=Config!$B$8),V104,"")</f>
        <v/>
      </c>
      <c r="BF104" s="17">
        <f>IF(AND(BB104=1,G104&lt;=Config!$B$5),V104,"")</f>
        <v/>
      </c>
      <c r="BG104" s="17">
        <f>IF(BW104=1,IF(COUNTIFS($A$2:$A$201,$A104,$BW$2:$BW$201,1,$G$2:$G$201,"&lt;"&amp;G104)+COUNTIFS($A$2:$A$201,$A104,$BW$2:$BW$201,1,$G$2:$G$201,G104,$AT$2:$AT$201,"&lt;"&amp;AT104)=0,1,0),0)</f>
        <v/>
      </c>
      <c r="BH104" s="17">
        <f>IF(AND(AU104=1,ISNUMBER(K104)),1,0)</f>
        <v/>
      </c>
      <c r="BI104" s="17">
        <f>IF(BH104=1,IF(COUNTIFS($A$2:$A$201,$A104,$BH$2:$BH$201,1,$G$2:$G$201,"&lt;"&amp;G104)+COUNTIFS($A$2:$A$201,$A104,$BH$2:$BH$201,1,$G$2:$G$201,G104,$AT$2:$AT$201,"&lt;"&amp;AT104)=0,1,0),0)</f>
        <v/>
      </c>
      <c r="BJ104" s="17">
        <f>IF(AND(BI104=1,G104&lt;=Config!$B$5),K104,"")</f>
        <v/>
      </c>
      <c r="BK104" s="17">
        <f>IF(AND(AU104=1,OR(TRIM(U104)&lt;&gt;"",ISNUMBER(V104))),1,0)</f>
        <v/>
      </c>
      <c r="BL104" s="17">
        <f>IF(BK104=1,IF(COUNTIFS($A$2:$A$201,$A104,$BK$2:$BK$201,1,$G$2:$G$201,"&lt;"&amp;G104)+COUNTIFS($A$2:$A$201,$A104,$BK$2:$BK$201,1,$G$2:$G$201,G104,$AT$2:$AT$201,"&lt;"&amp;AT104)=0,1,0),0)</f>
        <v/>
      </c>
      <c r="BM104" s="17">
        <f>IF(BL104=1,$A104,"")</f>
        <v/>
      </c>
      <c r="BN104" s="17">
        <f>IF(AND(AU104=1,T104="Y",TRIM(U104)=""),1,0)</f>
        <v/>
      </c>
      <c r="BO104" s="17">
        <f>IF(AU104=1,AJ104&amp;"","")</f>
        <v/>
      </c>
      <c r="BP104" s="17">
        <f>IF(AU104=1,AK104&amp;"","")</f>
        <v/>
      </c>
      <c r="BQ104" s="17">
        <f>IF(AU104=1,AL104&amp;"","")</f>
        <v/>
      </c>
      <c r="BR104" s="17">
        <f>IF(AND(AU104=1,ISNUMBER(AP104),G104&lt;=Config!$B$5),AP104,"")</f>
        <v/>
      </c>
      <c r="BS104" s="17">
        <f>IF(AU104=1,IF(COUNTIFS($A$2:$A$201,$A104,$AN$2:$AN$201,"Y",$AU$2:$AU$201,1)&gt;0,"Y","N"),"")</f>
        <v/>
      </c>
      <c r="BT104" s="17">
        <f>IF(AND(AU104=1,AN104="maybe"),1,0)</f>
        <v/>
      </c>
      <c r="BU104" s="17">
        <f>IF(BT104=1,IF(COUNTIFS($A$2:$A$201,$A104,$BT$2:$BT$201,1,$G$2:$G$201,"&lt;"&amp;G104)+COUNTIFS($A$2:$A$201,$A104,$BT$2:$BT$201,1,$G$2:$G$201,G104,$AT$2:$AT$201,"&lt;"&amp;AT104)=0,1,0),0)</f>
        <v/>
      </c>
      <c r="BV104" s="17">
        <f>IF(AND(AU104=1,AN104="Y"),IF(COUNTIFS($A$2:$A$201,$A104,$AN$2:$AN$201,"Y",$AU$2:$AU$201,1,$G$2:$G$201,"&lt;"&amp;G104)+COUNTIFS($A$2:$A$201,$A104,$AN$2:$AN$201,"Y",$AU$2:$AU$201,1,$G$2:$G$201,G104,$AT$2:$AT$201,"&lt;"&amp;AT104)=0,1,0),0)</f>
        <v/>
      </c>
      <c r="BW104" s="17">
        <f>IF(AND(BA104=1,N(V104)&gt;=Config!$B$15),1,0)</f>
        <v/>
      </c>
      <c r="BX104" s="17">
        <f>IF(AU104=1,IFERROR(MATCH($A104,INDEX(Clay_Offices!$A$2:$FZ$601,0,Sync!$C$5),0),""),"")</f>
        <v/>
      </c>
      <c r="BY104" s="17">
        <f>IF(BX104="","",IFERROR(INDEX(Clay_Offices!$A$2:$FZ$601,BX104,Sync!$C$7)&amp;"",""))</f>
        <v/>
      </c>
      <c r="BZ104" s="17">
        <f>IF(BY104="","",IFERROR(INDEX(Lists!$J$2:$J$15,MATCH(BY104,Lists!$I$2:$I$15,0)),""))</f>
        <v/>
      </c>
      <c r="CA104" s="17">
        <f>IF(BX104="","",IFERROR(INDEX(Clay_Offices!$A$2:$FZ$601,BX104,Sync!$C$17)&amp;"",""))</f>
        <v/>
      </c>
      <c r="CB104" s="23">
        <f>IF(BX104="","",IFERROR(N(INDEX(Clay_Offices!$A$2:$FZ$601,BX104,Sync!$C$16)),0))</f>
        <v/>
      </c>
    </row>
    <row r="105">
      <c r="G105" s="22" t="n"/>
      <c r="AS105" s="17">
        <f>IF(TRIM($A105)="","",IF(AND(LEFT($A105,6)="SAMPLE",Config!$B$19&lt;&gt;"Y"),"",IF(NOT(ISNUMBER(G105)),"call_date is blank or not a date",IF(Sync!$C$5="","Clay paste is empty or has no row_id column: paste the Clay export on Clay_Offices",IF(BX105="","row_id not found in the Clay paste: add the Clay row or fix the row_id",IF(AND(ISNUMBER(BZ105),BZ105&gt;=1,BZ105&lt;=5),"Clay status is "&amp;BY105&amp;": set call_done or later",IF(AND(AW105=1,CA105&lt;&gt;BS105),"Clay yes_in_principle should be "&amp;BS105,IF(AND(AW105=1,CB105&lt;&gt;G105),"Clay call_date should be "&amp;TEXT(G105,"yyyy-mm-dd"),""))))))))</f>
        <v/>
      </c>
      <c r="AT105" s="17">
        <f>ROW()</f>
        <v/>
      </c>
      <c r="AU105" s="17">
        <f>IF(AND(TRIM($A105)&lt;&gt;"",ISNUMBER(G105)),IF(AND(LEFT($A105,6)="SAMPLE",Config!$B$19&lt;&gt;"Y"),0,1),0)</f>
        <v/>
      </c>
      <c r="AV105" s="17">
        <f>IF(AU105=1,IF(COUNTIFS($A$2:$A$201,$A105,$AU$2:$AU$201,1,$G$2:$G$201,"&lt;"&amp;G105)+COUNTIFS($A$2:$A$201,$A105,$AU$2:$AU$201,1,$G$2:$G$201,G105,$AT$2:$AT$201,"&lt;"&amp;AT105)=0,1,0),0)</f>
        <v/>
      </c>
      <c r="AW105" s="17">
        <f>IF(AU105=1,IF(COUNTIFS($A$2:$A$201,$A105,$AU$2:$AU$201,1,$G$2:$G$201,"&gt;"&amp;G105)+COUNTIFS($A$2:$A$201,$A105,$AU$2:$AU$201,1,$G$2:$G$201,G105,$AT$2:$AT$201,"&gt;"&amp;AT105)=0,1,0),0)</f>
        <v/>
      </c>
      <c r="AX105" s="17">
        <f>IF(AND(AU105=1,AN105="Y",Z105="Y",TRIM(AD105)&lt;&gt;""),1,0)</f>
        <v/>
      </c>
      <c r="AY105" s="17">
        <f>IF(AX105=1,IF(COUNTIFS($A$2:$A$201,$A105,$AX$2:$AX$201,1,$G$2:$G$201,"&lt;"&amp;G105)+COUNTIFS($A$2:$A$201,$A105,$AX$2:$AX$201,1,$G$2:$G$201,G105,$AT$2:$AT$201,"&lt;"&amp;AT105)=0,1,0),0)</f>
        <v/>
      </c>
      <c r="AZ105" s="17">
        <f>IF(AND(AU105=1,AN105="Y",AX105=0),1,0)</f>
        <v/>
      </c>
      <c r="BA105" s="17">
        <f>IF(AND(AU105=1,ISNUMBER(V105)),1,0)</f>
        <v/>
      </c>
      <c r="BB105" s="17">
        <f>IF(BA105=1,IF(COUNTIFS($A$2:$A$201,$A105,$BA$2:$BA$201,1,$G$2:$G$201,"&lt;"&amp;G105)+COUNTIFS($A$2:$A$201,$A105,$BA$2:$BA$201,1,$G$2:$G$201,G105,$AT$2:$AT$201,"&lt;"&amp;AT105)=0,1,0),0)</f>
        <v/>
      </c>
      <c r="BC105" s="17">
        <f>IF(AND(BB105=1,G105&lt;=Config!$B$6),V105,"")</f>
        <v/>
      </c>
      <c r="BD105" s="17">
        <f>IF(AND(BB105=1,G105&lt;=Config!$B$7),V105,"")</f>
        <v/>
      </c>
      <c r="BE105" s="17">
        <f>IF(AND(BB105=1,G105&lt;=Config!$B$8),V105,"")</f>
        <v/>
      </c>
      <c r="BF105" s="17">
        <f>IF(AND(BB105=1,G105&lt;=Config!$B$5),V105,"")</f>
        <v/>
      </c>
      <c r="BG105" s="17">
        <f>IF(BW105=1,IF(COUNTIFS($A$2:$A$201,$A105,$BW$2:$BW$201,1,$G$2:$G$201,"&lt;"&amp;G105)+COUNTIFS($A$2:$A$201,$A105,$BW$2:$BW$201,1,$G$2:$G$201,G105,$AT$2:$AT$201,"&lt;"&amp;AT105)=0,1,0),0)</f>
        <v/>
      </c>
      <c r="BH105" s="17">
        <f>IF(AND(AU105=1,ISNUMBER(K105)),1,0)</f>
        <v/>
      </c>
      <c r="BI105" s="17">
        <f>IF(BH105=1,IF(COUNTIFS($A$2:$A$201,$A105,$BH$2:$BH$201,1,$G$2:$G$201,"&lt;"&amp;G105)+COUNTIFS($A$2:$A$201,$A105,$BH$2:$BH$201,1,$G$2:$G$201,G105,$AT$2:$AT$201,"&lt;"&amp;AT105)=0,1,0),0)</f>
        <v/>
      </c>
      <c r="BJ105" s="17">
        <f>IF(AND(BI105=1,G105&lt;=Config!$B$5),K105,"")</f>
        <v/>
      </c>
      <c r="BK105" s="17">
        <f>IF(AND(AU105=1,OR(TRIM(U105)&lt;&gt;"",ISNUMBER(V105))),1,0)</f>
        <v/>
      </c>
      <c r="BL105" s="17">
        <f>IF(BK105=1,IF(COUNTIFS($A$2:$A$201,$A105,$BK$2:$BK$201,1,$G$2:$G$201,"&lt;"&amp;G105)+COUNTIFS($A$2:$A$201,$A105,$BK$2:$BK$201,1,$G$2:$G$201,G105,$AT$2:$AT$201,"&lt;"&amp;AT105)=0,1,0),0)</f>
        <v/>
      </c>
      <c r="BM105" s="17">
        <f>IF(BL105=1,$A105,"")</f>
        <v/>
      </c>
      <c r="BN105" s="17">
        <f>IF(AND(AU105=1,T105="Y",TRIM(U105)=""),1,0)</f>
        <v/>
      </c>
      <c r="BO105" s="17">
        <f>IF(AU105=1,AJ105&amp;"","")</f>
        <v/>
      </c>
      <c r="BP105" s="17">
        <f>IF(AU105=1,AK105&amp;"","")</f>
        <v/>
      </c>
      <c r="BQ105" s="17">
        <f>IF(AU105=1,AL105&amp;"","")</f>
        <v/>
      </c>
      <c r="BR105" s="17">
        <f>IF(AND(AU105=1,ISNUMBER(AP105),G105&lt;=Config!$B$5),AP105,"")</f>
        <v/>
      </c>
      <c r="BS105" s="17">
        <f>IF(AU105=1,IF(COUNTIFS($A$2:$A$201,$A105,$AN$2:$AN$201,"Y",$AU$2:$AU$201,1)&gt;0,"Y","N"),"")</f>
        <v/>
      </c>
      <c r="BT105" s="17">
        <f>IF(AND(AU105=1,AN105="maybe"),1,0)</f>
        <v/>
      </c>
      <c r="BU105" s="17">
        <f>IF(BT105=1,IF(COUNTIFS($A$2:$A$201,$A105,$BT$2:$BT$201,1,$G$2:$G$201,"&lt;"&amp;G105)+COUNTIFS($A$2:$A$201,$A105,$BT$2:$BT$201,1,$G$2:$G$201,G105,$AT$2:$AT$201,"&lt;"&amp;AT105)=0,1,0),0)</f>
        <v/>
      </c>
      <c r="BV105" s="17">
        <f>IF(AND(AU105=1,AN105="Y"),IF(COUNTIFS($A$2:$A$201,$A105,$AN$2:$AN$201,"Y",$AU$2:$AU$201,1,$G$2:$G$201,"&lt;"&amp;G105)+COUNTIFS($A$2:$A$201,$A105,$AN$2:$AN$201,"Y",$AU$2:$AU$201,1,$G$2:$G$201,G105,$AT$2:$AT$201,"&lt;"&amp;AT105)=0,1,0),0)</f>
        <v/>
      </c>
      <c r="BW105" s="17">
        <f>IF(AND(BA105=1,N(V105)&gt;=Config!$B$15),1,0)</f>
        <v/>
      </c>
      <c r="BX105" s="17">
        <f>IF(AU105=1,IFERROR(MATCH($A105,INDEX(Clay_Offices!$A$2:$FZ$601,0,Sync!$C$5),0),""),"")</f>
        <v/>
      </c>
      <c r="BY105" s="17">
        <f>IF(BX105="","",IFERROR(INDEX(Clay_Offices!$A$2:$FZ$601,BX105,Sync!$C$7)&amp;"",""))</f>
        <v/>
      </c>
      <c r="BZ105" s="17">
        <f>IF(BY105="","",IFERROR(INDEX(Lists!$J$2:$J$15,MATCH(BY105,Lists!$I$2:$I$15,0)),""))</f>
        <v/>
      </c>
      <c r="CA105" s="17">
        <f>IF(BX105="","",IFERROR(INDEX(Clay_Offices!$A$2:$FZ$601,BX105,Sync!$C$17)&amp;"",""))</f>
        <v/>
      </c>
      <c r="CB105" s="23">
        <f>IF(BX105="","",IFERROR(N(INDEX(Clay_Offices!$A$2:$FZ$601,BX105,Sync!$C$16)),0))</f>
        <v/>
      </c>
    </row>
    <row r="106">
      <c r="G106" s="22" t="n"/>
      <c r="AS106" s="17">
        <f>IF(TRIM($A106)="","",IF(AND(LEFT($A106,6)="SAMPLE",Config!$B$19&lt;&gt;"Y"),"",IF(NOT(ISNUMBER(G106)),"call_date is blank or not a date",IF(Sync!$C$5="","Clay paste is empty or has no row_id column: paste the Clay export on Clay_Offices",IF(BX106="","row_id not found in the Clay paste: add the Clay row or fix the row_id",IF(AND(ISNUMBER(BZ106),BZ106&gt;=1,BZ106&lt;=5),"Clay status is "&amp;BY106&amp;": set call_done or later",IF(AND(AW106=1,CA106&lt;&gt;BS106),"Clay yes_in_principle should be "&amp;BS106,IF(AND(AW106=1,CB106&lt;&gt;G106),"Clay call_date should be "&amp;TEXT(G106,"yyyy-mm-dd"),""))))))))</f>
        <v/>
      </c>
      <c r="AT106" s="17">
        <f>ROW()</f>
        <v/>
      </c>
      <c r="AU106" s="17">
        <f>IF(AND(TRIM($A106)&lt;&gt;"",ISNUMBER(G106)),IF(AND(LEFT($A106,6)="SAMPLE",Config!$B$19&lt;&gt;"Y"),0,1),0)</f>
        <v/>
      </c>
      <c r="AV106" s="17">
        <f>IF(AU106=1,IF(COUNTIFS($A$2:$A$201,$A106,$AU$2:$AU$201,1,$G$2:$G$201,"&lt;"&amp;G106)+COUNTIFS($A$2:$A$201,$A106,$AU$2:$AU$201,1,$G$2:$G$201,G106,$AT$2:$AT$201,"&lt;"&amp;AT106)=0,1,0),0)</f>
        <v/>
      </c>
      <c r="AW106" s="17">
        <f>IF(AU106=1,IF(COUNTIFS($A$2:$A$201,$A106,$AU$2:$AU$201,1,$G$2:$G$201,"&gt;"&amp;G106)+COUNTIFS($A$2:$A$201,$A106,$AU$2:$AU$201,1,$G$2:$G$201,G106,$AT$2:$AT$201,"&gt;"&amp;AT106)=0,1,0),0)</f>
        <v/>
      </c>
      <c r="AX106" s="17">
        <f>IF(AND(AU106=1,AN106="Y",Z106="Y",TRIM(AD106)&lt;&gt;""),1,0)</f>
        <v/>
      </c>
      <c r="AY106" s="17">
        <f>IF(AX106=1,IF(COUNTIFS($A$2:$A$201,$A106,$AX$2:$AX$201,1,$G$2:$G$201,"&lt;"&amp;G106)+COUNTIFS($A$2:$A$201,$A106,$AX$2:$AX$201,1,$G$2:$G$201,G106,$AT$2:$AT$201,"&lt;"&amp;AT106)=0,1,0),0)</f>
        <v/>
      </c>
      <c r="AZ106" s="17">
        <f>IF(AND(AU106=1,AN106="Y",AX106=0),1,0)</f>
        <v/>
      </c>
      <c r="BA106" s="17">
        <f>IF(AND(AU106=1,ISNUMBER(V106)),1,0)</f>
        <v/>
      </c>
      <c r="BB106" s="17">
        <f>IF(BA106=1,IF(COUNTIFS($A$2:$A$201,$A106,$BA$2:$BA$201,1,$G$2:$G$201,"&lt;"&amp;G106)+COUNTIFS($A$2:$A$201,$A106,$BA$2:$BA$201,1,$G$2:$G$201,G106,$AT$2:$AT$201,"&lt;"&amp;AT106)=0,1,0),0)</f>
        <v/>
      </c>
      <c r="BC106" s="17">
        <f>IF(AND(BB106=1,G106&lt;=Config!$B$6),V106,"")</f>
        <v/>
      </c>
      <c r="BD106" s="17">
        <f>IF(AND(BB106=1,G106&lt;=Config!$B$7),V106,"")</f>
        <v/>
      </c>
      <c r="BE106" s="17">
        <f>IF(AND(BB106=1,G106&lt;=Config!$B$8),V106,"")</f>
        <v/>
      </c>
      <c r="BF106" s="17">
        <f>IF(AND(BB106=1,G106&lt;=Config!$B$5),V106,"")</f>
        <v/>
      </c>
      <c r="BG106" s="17">
        <f>IF(BW106=1,IF(COUNTIFS($A$2:$A$201,$A106,$BW$2:$BW$201,1,$G$2:$G$201,"&lt;"&amp;G106)+COUNTIFS($A$2:$A$201,$A106,$BW$2:$BW$201,1,$G$2:$G$201,G106,$AT$2:$AT$201,"&lt;"&amp;AT106)=0,1,0),0)</f>
        <v/>
      </c>
      <c r="BH106" s="17">
        <f>IF(AND(AU106=1,ISNUMBER(K106)),1,0)</f>
        <v/>
      </c>
      <c r="BI106" s="17">
        <f>IF(BH106=1,IF(COUNTIFS($A$2:$A$201,$A106,$BH$2:$BH$201,1,$G$2:$G$201,"&lt;"&amp;G106)+COUNTIFS($A$2:$A$201,$A106,$BH$2:$BH$201,1,$G$2:$G$201,G106,$AT$2:$AT$201,"&lt;"&amp;AT106)=0,1,0),0)</f>
        <v/>
      </c>
      <c r="BJ106" s="17">
        <f>IF(AND(BI106=1,G106&lt;=Config!$B$5),K106,"")</f>
        <v/>
      </c>
      <c r="BK106" s="17">
        <f>IF(AND(AU106=1,OR(TRIM(U106)&lt;&gt;"",ISNUMBER(V106))),1,0)</f>
        <v/>
      </c>
      <c r="BL106" s="17">
        <f>IF(BK106=1,IF(COUNTIFS($A$2:$A$201,$A106,$BK$2:$BK$201,1,$G$2:$G$201,"&lt;"&amp;G106)+COUNTIFS($A$2:$A$201,$A106,$BK$2:$BK$201,1,$G$2:$G$201,G106,$AT$2:$AT$201,"&lt;"&amp;AT106)=0,1,0),0)</f>
        <v/>
      </c>
      <c r="BM106" s="17">
        <f>IF(BL106=1,$A106,"")</f>
        <v/>
      </c>
      <c r="BN106" s="17">
        <f>IF(AND(AU106=1,T106="Y",TRIM(U106)=""),1,0)</f>
        <v/>
      </c>
      <c r="BO106" s="17">
        <f>IF(AU106=1,AJ106&amp;"","")</f>
        <v/>
      </c>
      <c r="BP106" s="17">
        <f>IF(AU106=1,AK106&amp;"","")</f>
        <v/>
      </c>
      <c r="BQ106" s="17">
        <f>IF(AU106=1,AL106&amp;"","")</f>
        <v/>
      </c>
      <c r="BR106" s="17">
        <f>IF(AND(AU106=1,ISNUMBER(AP106),G106&lt;=Config!$B$5),AP106,"")</f>
        <v/>
      </c>
      <c r="BS106" s="17">
        <f>IF(AU106=1,IF(COUNTIFS($A$2:$A$201,$A106,$AN$2:$AN$201,"Y",$AU$2:$AU$201,1)&gt;0,"Y","N"),"")</f>
        <v/>
      </c>
      <c r="BT106" s="17">
        <f>IF(AND(AU106=1,AN106="maybe"),1,0)</f>
        <v/>
      </c>
      <c r="BU106" s="17">
        <f>IF(BT106=1,IF(COUNTIFS($A$2:$A$201,$A106,$BT$2:$BT$201,1,$G$2:$G$201,"&lt;"&amp;G106)+COUNTIFS($A$2:$A$201,$A106,$BT$2:$BT$201,1,$G$2:$G$201,G106,$AT$2:$AT$201,"&lt;"&amp;AT106)=0,1,0),0)</f>
        <v/>
      </c>
      <c r="BV106" s="17">
        <f>IF(AND(AU106=1,AN106="Y"),IF(COUNTIFS($A$2:$A$201,$A106,$AN$2:$AN$201,"Y",$AU$2:$AU$201,1,$G$2:$G$201,"&lt;"&amp;G106)+COUNTIFS($A$2:$A$201,$A106,$AN$2:$AN$201,"Y",$AU$2:$AU$201,1,$G$2:$G$201,G106,$AT$2:$AT$201,"&lt;"&amp;AT106)=0,1,0),0)</f>
        <v/>
      </c>
      <c r="BW106" s="17">
        <f>IF(AND(BA106=1,N(V106)&gt;=Config!$B$15),1,0)</f>
        <v/>
      </c>
      <c r="BX106" s="17">
        <f>IF(AU106=1,IFERROR(MATCH($A106,INDEX(Clay_Offices!$A$2:$FZ$601,0,Sync!$C$5),0),""),"")</f>
        <v/>
      </c>
      <c r="BY106" s="17">
        <f>IF(BX106="","",IFERROR(INDEX(Clay_Offices!$A$2:$FZ$601,BX106,Sync!$C$7)&amp;"",""))</f>
        <v/>
      </c>
      <c r="BZ106" s="17">
        <f>IF(BY106="","",IFERROR(INDEX(Lists!$J$2:$J$15,MATCH(BY106,Lists!$I$2:$I$15,0)),""))</f>
        <v/>
      </c>
      <c r="CA106" s="17">
        <f>IF(BX106="","",IFERROR(INDEX(Clay_Offices!$A$2:$FZ$601,BX106,Sync!$C$17)&amp;"",""))</f>
        <v/>
      </c>
      <c r="CB106" s="23">
        <f>IF(BX106="","",IFERROR(N(INDEX(Clay_Offices!$A$2:$FZ$601,BX106,Sync!$C$16)),0))</f>
        <v/>
      </c>
    </row>
    <row r="107">
      <c r="G107" s="22" t="n"/>
      <c r="AS107" s="17">
        <f>IF(TRIM($A107)="","",IF(AND(LEFT($A107,6)="SAMPLE",Config!$B$19&lt;&gt;"Y"),"",IF(NOT(ISNUMBER(G107)),"call_date is blank or not a date",IF(Sync!$C$5="","Clay paste is empty or has no row_id column: paste the Clay export on Clay_Offices",IF(BX107="","row_id not found in the Clay paste: add the Clay row or fix the row_id",IF(AND(ISNUMBER(BZ107),BZ107&gt;=1,BZ107&lt;=5),"Clay status is "&amp;BY107&amp;": set call_done or later",IF(AND(AW107=1,CA107&lt;&gt;BS107),"Clay yes_in_principle should be "&amp;BS107,IF(AND(AW107=1,CB107&lt;&gt;G107),"Clay call_date should be "&amp;TEXT(G107,"yyyy-mm-dd"),""))))))))</f>
        <v/>
      </c>
      <c r="AT107" s="17">
        <f>ROW()</f>
        <v/>
      </c>
      <c r="AU107" s="17">
        <f>IF(AND(TRIM($A107)&lt;&gt;"",ISNUMBER(G107)),IF(AND(LEFT($A107,6)="SAMPLE",Config!$B$19&lt;&gt;"Y"),0,1),0)</f>
        <v/>
      </c>
      <c r="AV107" s="17">
        <f>IF(AU107=1,IF(COUNTIFS($A$2:$A$201,$A107,$AU$2:$AU$201,1,$G$2:$G$201,"&lt;"&amp;G107)+COUNTIFS($A$2:$A$201,$A107,$AU$2:$AU$201,1,$G$2:$G$201,G107,$AT$2:$AT$201,"&lt;"&amp;AT107)=0,1,0),0)</f>
        <v/>
      </c>
      <c r="AW107" s="17">
        <f>IF(AU107=1,IF(COUNTIFS($A$2:$A$201,$A107,$AU$2:$AU$201,1,$G$2:$G$201,"&gt;"&amp;G107)+COUNTIFS($A$2:$A$201,$A107,$AU$2:$AU$201,1,$G$2:$G$201,G107,$AT$2:$AT$201,"&gt;"&amp;AT107)=0,1,0),0)</f>
        <v/>
      </c>
      <c r="AX107" s="17">
        <f>IF(AND(AU107=1,AN107="Y",Z107="Y",TRIM(AD107)&lt;&gt;""),1,0)</f>
        <v/>
      </c>
      <c r="AY107" s="17">
        <f>IF(AX107=1,IF(COUNTIFS($A$2:$A$201,$A107,$AX$2:$AX$201,1,$G$2:$G$201,"&lt;"&amp;G107)+COUNTIFS($A$2:$A$201,$A107,$AX$2:$AX$201,1,$G$2:$G$201,G107,$AT$2:$AT$201,"&lt;"&amp;AT107)=0,1,0),0)</f>
        <v/>
      </c>
      <c r="AZ107" s="17">
        <f>IF(AND(AU107=1,AN107="Y",AX107=0),1,0)</f>
        <v/>
      </c>
      <c r="BA107" s="17">
        <f>IF(AND(AU107=1,ISNUMBER(V107)),1,0)</f>
        <v/>
      </c>
      <c r="BB107" s="17">
        <f>IF(BA107=1,IF(COUNTIFS($A$2:$A$201,$A107,$BA$2:$BA$201,1,$G$2:$G$201,"&lt;"&amp;G107)+COUNTIFS($A$2:$A$201,$A107,$BA$2:$BA$201,1,$G$2:$G$201,G107,$AT$2:$AT$201,"&lt;"&amp;AT107)=0,1,0),0)</f>
        <v/>
      </c>
      <c r="BC107" s="17">
        <f>IF(AND(BB107=1,G107&lt;=Config!$B$6),V107,"")</f>
        <v/>
      </c>
      <c r="BD107" s="17">
        <f>IF(AND(BB107=1,G107&lt;=Config!$B$7),V107,"")</f>
        <v/>
      </c>
      <c r="BE107" s="17">
        <f>IF(AND(BB107=1,G107&lt;=Config!$B$8),V107,"")</f>
        <v/>
      </c>
      <c r="BF107" s="17">
        <f>IF(AND(BB107=1,G107&lt;=Config!$B$5),V107,"")</f>
        <v/>
      </c>
      <c r="BG107" s="17">
        <f>IF(BW107=1,IF(COUNTIFS($A$2:$A$201,$A107,$BW$2:$BW$201,1,$G$2:$G$201,"&lt;"&amp;G107)+COUNTIFS($A$2:$A$201,$A107,$BW$2:$BW$201,1,$G$2:$G$201,G107,$AT$2:$AT$201,"&lt;"&amp;AT107)=0,1,0),0)</f>
        <v/>
      </c>
      <c r="BH107" s="17">
        <f>IF(AND(AU107=1,ISNUMBER(K107)),1,0)</f>
        <v/>
      </c>
      <c r="BI107" s="17">
        <f>IF(BH107=1,IF(COUNTIFS($A$2:$A$201,$A107,$BH$2:$BH$201,1,$G$2:$G$201,"&lt;"&amp;G107)+COUNTIFS($A$2:$A$201,$A107,$BH$2:$BH$201,1,$G$2:$G$201,G107,$AT$2:$AT$201,"&lt;"&amp;AT107)=0,1,0),0)</f>
        <v/>
      </c>
      <c r="BJ107" s="17">
        <f>IF(AND(BI107=1,G107&lt;=Config!$B$5),K107,"")</f>
        <v/>
      </c>
      <c r="BK107" s="17">
        <f>IF(AND(AU107=1,OR(TRIM(U107)&lt;&gt;"",ISNUMBER(V107))),1,0)</f>
        <v/>
      </c>
      <c r="BL107" s="17">
        <f>IF(BK107=1,IF(COUNTIFS($A$2:$A$201,$A107,$BK$2:$BK$201,1,$G$2:$G$201,"&lt;"&amp;G107)+COUNTIFS($A$2:$A$201,$A107,$BK$2:$BK$201,1,$G$2:$G$201,G107,$AT$2:$AT$201,"&lt;"&amp;AT107)=0,1,0),0)</f>
        <v/>
      </c>
      <c r="BM107" s="17">
        <f>IF(BL107=1,$A107,"")</f>
        <v/>
      </c>
      <c r="BN107" s="17">
        <f>IF(AND(AU107=1,T107="Y",TRIM(U107)=""),1,0)</f>
        <v/>
      </c>
      <c r="BO107" s="17">
        <f>IF(AU107=1,AJ107&amp;"","")</f>
        <v/>
      </c>
      <c r="BP107" s="17">
        <f>IF(AU107=1,AK107&amp;"","")</f>
        <v/>
      </c>
      <c r="BQ107" s="17">
        <f>IF(AU107=1,AL107&amp;"","")</f>
        <v/>
      </c>
      <c r="BR107" s="17">
        <f>IF(AND(AU107=1,ISNUMBER(AP107),G107&lt;=Config!$B$5),AP107,"")</f>
        <v/>
      </c>
      <c r="BS107" s="17">
        <f>IF(AU107=1,IF(COUNTIFS($A$2:$A$201,$A107,$AN$2:$AN$201,"Y",$AU$2:$AU$201,1)&gt;0,"Y","N"),"")</f>
        <v/>
      </c>
      <c r="BT107" s="17">
        <f>IF(AND(AU107=1,AN107="maybe"),1,0)</f>
        <v/>
      </c>
      <c r="BU107" s="17">
        <f>IF(BT107=1,IF(COUNTIFS($A$2:$A$201,$A107,$BT$2:$BT$201,1,$G$2:$G$201,"&lt;"&amp;G107)+COUNTIFS($A$2:$A$201,$A107,$BT$2:$BT$201,1,$G$2:$G$201,G107,$AT$2:$AT$201,"&lt;"&amp;AT107)=0,1,0),0)</f>
        <v/>
      </c>
      <c r="BV107" s="17">
        <f>IF(AND(AU107=1,AN107="Y"),IF(COUNTIFS($A$2:$A$201,$A107,$AN$2:$AN$201,"Y",$AU$2:$AU$201,1,$G$2:$G$201,"&lt;"&amp;G107)+COUNTIFS($A$2:$A$201,$A107,$AN$2:$AN$201,"Y",$AU$2:$AU$201,1,$G$2:$G$201,G107,$AT$2:$AT$201,"&lt;"&amp;AT107)=0,1,0),0)</f>
        <v/>
      </c>
      <c r="BW107" s="17">
        <f>IF(AND(BA107=1,N(V107)&gt;=Config!$B$15),1,0)</f>
        <v/>
      </c>
      <c r="BX107" s="17">
        <f>IF(AU107=1,IFERROR(MATCH($A107,INDEX(Clay_Offices!$A$2:$FZ$601,0,Sync!$C$5),0),""),"")</f>
        <v/>
      </c>
      <c r="BY107" s="17">
        <f>IF(BX107="","",IFERROR(INDEX(Clay_Offices!$A$2:$FZ$601,BX107,Sync!$C$7)&amp;"",""))</f>
        <v/>
      </c>
      <c r="BZ107" s="17">
        <f>IF(BY107="","",IFERROR(INDEX(Lists!$J$2:$J$15,MATCH(BY107,Lists!$I$2:$I$15,0)),""))</f>
        <v/>
      </c>
      <c r="CA107" s="17">
        <f>IF(BX107="","",IFERROR(INDEX(Clay_Offices!$A$2:$FZ$601,BX107,Sync!$C$17)&amp;"",""))</f>
        <v/>
      </c>
      <c r="CB107" s="23">
        <f>IF(BX107="","",IFERROR(N(INDEX(Clay_Offices!$A$2:$FZ$601,BX107,Sync!$C$16)),0))</f>
        <v/>
      </c>
    </row>
    <row r="108">
      <c r="G108" s="22" t="n"/>
      <c r="AS108" s="17">
        <f>IF(TRIM($A108)="","",IF(AND(LEFT($A108,6)="SAMPLE",Config!$B$19&lt;&gt;"Y"),"",IF(NOT(ISNUMBER(G108)),"call_date is blank or not a date",IF(Sync!$C$5="","Clay paste is empty or has no row_id column: paste the Clay export on Clay_Offices",IF(BX108="","row_id not found in the Clay paste: add the Clay row or fix the row_id",IF(AND(ISNUMBER(BZ108),BZ108&gt;=1,BZ108&lt;=5),"Clay status is "&amp;BY108&amp;": set call_done or later",IF(AND(AW108=1,CA108&lt;&gt;BS108),"Clay yes_in_principle should be "&amp;BS108,IF(AND(AW108=1,CB108&lt;&gt;G108),"Clay call_date should be "&amp;TEXT(G108,"yyyy-mm-dd"),""))))))))</f>
        <v/>
      </c>
      <c r="AT108" s="17">
        <f>ROW()</f>
        <v/>
      </c>
      <c r="AU108" s="17">
        <f>IF(AND(TRIM($A108)&lt;&gt;"",ISNUMBER(G108)),IF(AND(LEFT($A108,6)="SAMPLE",Config!$B$19&lt;&gt;"Y"),0,1),0)</f>
        <v/>
      </c>
      <c r="AV108" s="17">
        <f>IF(AU108=1,IF(COUNTIFS($A$2:$A$201,$A108,$AU$2:$AU$201,1,$G$2:$G$201,"&lt;"&amp;G108)+COUNTIFS($A$2:$A$201,$A108,$AU$2:$AU$201,1,$G$2:$G$201,G108,$AT$2:$AT$201,"&lt;"&amp;AT108)=0,1,0),0)</f>
        <v/>
      </c>
      <c r="AW108" s="17">
        <f>IF(AU108=1,IF(COUNTIFS($A$2:$A$201,$A108,$AU$2:$AU$201,1,$G$2:$G$201,"&gt;"&amp;G108)+COUNTIFS($A$2:$A$201,$A108,$AU$2:$AU$201,1,$G$2:$G$201,G108,$AT$2:$AT$201,"&gt;"&amp;AT108)=0,1,0),0)</f>
        <v/>
      </c>
      <c r="AX108" s="17">
        <f>IF(AND(AU108=1,AN108="Y",Z108="Y",TRIM(AD108)&lt;&gt;""),1,0)</f>
        <v/>
      </c>
      <c r="AY108" s="17">
        <f>IF(AX108=1,IF(COUNTIFS($A$2:$A$201,$A108,$AX$2:$AX$201,1,$G$2:$G$201,"&lt;"&amp;G108)+COUNTIFS($A$2:$A$201,$A108,$AX$2:$AX$201,1,$G$2:$G$201,G108,$AT$2:$AT$201,"&lt;"&amp;AT108)=0,1,0),0)</f>
        <v/>
      </c>
      <c r="AZ108" s="17">
        <f>IF(AND(AU108=1,AN108="Y",AX108=0),1,0)</f>
        <v/>
      </c>
      <c r="BA108" s="17">
        <f>IF(AND(AU108=1,ISNUMBER(V108)),1,0)</f>
        <v/>
      </c>
      <c r="BB108" s="17">
        <f>IF(BA108=1,IF(COUNTIFS($A$2:$A$201,$A108,$BA$2:$BA$201,1,$G$2:$G$201,"&lt;"&amp;G108)+COUNTIFS($A$2:$A$201,$A108,$BA$2:$BA$201,1,$G$2:$G$201,G108,$AT$2:$AT$201,"&lt;"&amp;AT108)=0,1,0),0)</f>
        <v/>
      </c>
      <c r="BC108" s="17">
        <f>IF(AND(BB108=1,G108&lt;=Config!$B$6),V108,"")</f>
        <v/>
      </c>
      <c r="BD108" s="17">
        <f>IF(AND(BB108=1,G108&lt;=Config!$B$7),V108,"")</f>
        <v/>
      </c>
      <c r="BE108" s="17">
        <f>IF(AND(BB108=1,G108&lt;=Config!$B$8),V108,"")</f>
        <v/>
      </c>
      <c r="BF108" s="17">
        <f>IF(AND(BB108=1,G108&lt;=Config!$B$5),V108,"")</f>
        <v/>
      </c>
      <c r="BG108" s="17">
        <f>IF(BW108=1,IF(COUNTIFS($A$2:$A$201,$A108,$BW$2:$BW$201,1,$G$2:$G$201,"&lt;"&amp;G108)+COUNTIFS($A$2:$A$201,$A108,$BW$2:$BW$201,1,$G$2:$G$201,G108,$AT$2:$AT$201,"&lt;"&amp;AT108)=0,1,0),0)</f>
        <v/>
      </c>
      <c r="BH108" s="17">
        <f>IF(AND(AU108=1,ISNUMBER(K108)),1,0)</f>
        <v/>
      </c>
      <c r="BI108" s="17">
        <f>IF(BH108=1,IF(COUNTIFS($A$2:$A$201,$A108,$BH$2:$BH$201,1,$G$2:$G$201,"&lt;"&amp;G108)+COUNTIFS($A$2:$A$201,$A108,$BH$2:$BH$201,1,$G$2:$G$201,G108,$AT$2:$AT$201,"&lt;"&amp;AT108)=0,1,0),0)</f>
        <v/>
      </c>
      <c r="BJ108" s="17">
        <f>IF(AND(BI108=1,G108&lt;=Config!$B$5),K108,"")</f>
        <v/>
      </c>
      <c r="BK108" s="17">
        <f>IF(AND(AU108=1,OR(TRIM(U108)&lt;&gt;"",ISNUMBER(V108))),1,0)</f>
        <v/>
      </c>
      <c r="BL108" s="17">
        <f>IF(BK108=1,IF(COUNTIFS($A$2:$A$201,$A108,$BK$2:$BK$201,1,$G$2:$G$201,"&lt;"&amp;G108)+COUNTIFS($A$2:$A$201,$A108,$BK$2:$BK$201,1,$G$2:$G$201,G108,$AT$2:$AT$201,"&lt;"&amp;AT108)=0,1,0),0)</f>
        <v/>
      </c>
      <c r="BM108" s="17">
        <f>IF(BL108=1,$A108,"")</f>
        <v/>
      </c>
      <c r="BN108" s="17">
        <f>IF(AND(AU108=1,T108="Y",TRIM(U108)=""),1,0)</f>
        <v/>
      </c>
      <c r="BO108" s="17">
        <f>IF(AU108=1,AJ108&amp;"","")</f>
        <v/>
      </c>
      <c r="BP108" s="17">
        <f>IF(AU108=1,AK108&amp;"","")</f>
        <v/>
      </c>
      <c r="BQ108" s="17">
        <f>IF(AU108=1,AL108&amp;"","")</f>
        <v/>
      </c>
      <c r="BR108" s="17">
        <f>IF(AND(AU108=1,ISNUMBER(AP108),G108&lt;=Config!$B$5),AP108,"")</f>
        <v/>
      </c>
      <c r="BS108" s="17">
        <f>IF(AU108=1,IF(COUNTIFS($A$2:$A$201,$A108,$AN$2:$AN$201,"Y",$AU$2:$AU$201,1)&gt;0,"Y","N"),"")</f>
        <v/>
      </c>
      <c r="BT108" s="17">
        <f>IF(AND(AU108=1,AN108="maybe"),1,0)</f>
        <v/>
      </c>
      <c r="BU108" s="17">
        <f>IF(BT108=1,IF(COUNTIFS($A$2:$A$201,$A108,$BT$2:$BT$201,1,$G$2:$G$201,"&lt;"&amp;G108)+COUNTIFS($A$2:$A$201,$A108,$BT$2:$BT$201,1,$G$2:$G$201,G108,$AT$2:$AT$201,"&lt;"&amp;AT108)=0,1,0),0)</f>
        <v/>
      </c>
      <c r="BV108" s="17">
        <f>IF(AND(AU108=1,AN108="Y"),IF(COUNTIFS($A$2:$A$201,$A108,$AN$2:$AN$201,"Y",$AU$2:$AU$201,1,$G$2:$G$201,"&lt;"&amp;G108)+COUNTIFS($A$2:$A$201,$A108,$AN$2:$AN$201,"Y",$AU$2:$AU$201,1,$G$2:$G$201,G108,$AT$2:$AT$201,"&lt;"&amp;AT108)=0,1,0),0)</f>
        <v/>
      </c>
      <c r="BW108" s="17">
        <f>IF(AND(BA108=1,N(V108)&gt;=Config!$B$15),1,0)</f>
        <v/>
      </c>
      <c r="BX108" s="17">
        <f>IF(AU108=1,IFERROR(MATCH($A108,INDEX(Clay_Offices!$A$2:$FZ$601,0,Sync!$C$5),0),""),"")</f>
        <v/>
      </c>
      <c r="BY108" s="17">
        <f>IF(BX108="","",IFERROR(INDEX(Clay_Offices!$A$2:$FZ$601,BX108,Sync!$C$7)&amp;"",""))</f>
        <v/>
      </c>
      <c r="BZ108" s="17">
        <f>IF(BY108="","",IFERROR(INDEX(Lists!$J$2:$J$15,MATCH(BY108,Lists!$I$2:$I$15,0)),""))</f>
        <v/>
      </c>
      <c r="CA108" s="17">
        <f>IF(BX108="","",IFERROR(INDEX(Clay_Offices!$A$2:$FZ$601,BX108,Sync!$C$17)&amp;"",""))</f>
        <v/>
      </c>
      <c r="CB108" s="23">
        <f>IF(BX108="","",IFERROR(N(INDEX(Clay_Offices!$A$2:$FZ$601,BX108,Sync!$C$16)),0))</f>
        <v/>
      </c>
    </row>
    <row r="109">
      <c r="G109" s="22" t="n"/>
      <c r="AS109" s="17">
        <f>IF(TRIM($A109)="","",IF(AND(LEFT($A109,6)="SAMPLE",Config!$B$19&lt;&gt;"Y"),"",IF(NOT(ISNUMBER(G109)),"call_date is blank or not a date",IF(Sync!$C$5="","Clay paste is empty or has no row_id column: paste the Clay export on Clay_Offices",IF(BX109="","row_id not found in the Clay paste: add the Clay row or fix the row_id",IF(AND(ISNUMBER(BZ109),BZ109&gt;=1,BZ109&lt;=5),"Clay status is "&amp;BY109&amp;": set call_done or later",IF(AND(AW109=1,CA109&lt;&gt;BS109),"Clay yes_in_principle should be "&amp;BS109,IF(AND(AW109=1,CB109&lt;&gt;G109),"Clay call_date should be "&amp;TEXT(G109,"yyyy-mm-dd"),""))))))))</f>
        <v/>
      </c>
      <c r="AT109" s="17">
        <f>ROW()</f>
        <v/>
      </c>
      <c r="AU109" s="17">
        <f>IF(AND(TRIM($A109)&lt;&gt;"",ISNUMBER(G109)),IF(AND(LEFT($A109,6)="SAMPLE",Config!$B$19&lt;&gt;"Y"),0,1),0)</f>
        <v/>
      </c>
      <c r="AV109" s="17">
        <f>IF(AU109=1,IF(COUNTIFS($A$2:$A$201,$A109,$AU$2:$AU$201,1,$G$2:$G$201,"&lt;"&amp;G109)+COUNTIFS($A$2:$A$201,$A109,$AU$2:$AU$201,1,$G$2:$G$201,G109,$AT$2:$AT$201,"&lt;"&amp;AT109)=0,1,0),0)</f>
        <v/>
      </c>
      <c r="AW109" s="17">
        <f>IF(AU109=1,IF(COUNTIFS($A$2:$A$201,$A109,$AU$2:$AU$201,1,$G$2:$G$201,"&gt;"&amp;G109)+COUNTIFS($A$2:$A$201,$A109,$AU$2:$AU$201,1,$G$2:$G$201,G109,$AT$2:$AT$201,"&gt;"&amp;AT109)=0,1,0),0)</f>
        <v/>
      </c>
      <c r="AX109" s="17">
        <f>IF(AND(AU109=1,AN109="Y",Z109="Y",TRIM(AD109)&lt;&gt;""),1,0)</f>
        <v/>
      </c>
      <c r="AY109" s="17">
        <f>IF(AX109=1,IF(COUNTIFS($A$2:$A$201,$A109,$AX$2:$AX$201,1,$G$2:$G$201,"&lt;"&amp;G109)+COUNTIFS($A$2:$A$201,$A109,$AX$2:$AX$201,1,$G$2:$G$201,G109,$AT$2:$AT$201,"&lt;"&amp;AT109)=0,1,0),0)</f>
        <v/>
      </c>
      <c r="AZ109" s="17">
        <f>IF(AND(AU109=1,AN109="Y",AX109=0),1,0)</f>
        <v/>
      </c>
      <c r="BA109" s="17">
        <f>IF(AND(AU109=1,ISNUMBER(V109)),1,0)</f>
        <v/>
      </c>
      <c r="BB109" s="17">
        <f>IF(BA109=1,IF(COUNTIFS($A$2:$A$201,$A109,$BA$2:$BA$201,1,$G$2:$G$201,"&lt;"&amp;G109)+COUNTIFS($A$2:$A$201,$A109,$BA$2:$BA$201,1,$G$2:$G$201,G109,$AT$2:$AT$201,"&lt;"&amp;AT109)=0,1,0),0)</f>
        <v/>
      </c>
      <c r="BC109" s="17">
        <f>IF(AND(BB109=1,G109&lt;=Config!$B$6),V109,"")</f>
        <v/>
      </c>
      <c r="BD109" s="17">
        <f>IF(AND(BB109=1,G109&lt;=Config!$B$7),V109,"")</f>
        <v/>
      </c>
      <c r="BE109" s="17">
        <f>IF(AND(BB109=1,G109&lt;=Config!$B$8),V109,"")</f>
        <v/>
      </c>
      <c r="BF109" s="17">
        <f>IF(AND(BB109=1,G109&lt;=Config!$B$5),V109,"")</f>
        <v/>
      </c>
      <c r="BG109" s="17">
        <f>IF(BW109=1,IF(COUNTIFS($A$2:$A$201,$A109,$BW$2:$BW$201,1,$G$2:$G$201,"&lt;"&amp;G109)+COUNTIFS($A$2:$A$201,$A109,$BW$2:$BW$201,1,$G$2:$G$201,G109,$AT$2:$AT$201,"&lt;"&amp;AT109)=0,1,0),0)</f>
        <v/>
      </c>
      <c r="BH109" s="17">
        <f>IF(AND(AU109=1,ISNUMBER(K109)),1,0)</f>
        <v/>
      </c>
      <c r="BI109" s="17">
        <f>IF(BH109=1,IF(COUNTIFS($A$2:$A$201,$A109,$BH$2:$BH$201,1,$G$2:$G$201,"&lt;"&amp;G109)+COUNTIFS($A$2:$A$201,$A109,$BH$2:$BH$201,1,$G$2:$G$201,G109,$AT$2:$AT$201,"&lt;"&amp;AT109)=0,1,0),0)</f>
        <v/>
      </c>
      <c r="BJ109" s="17">
        <f>IF(AND(BI109=1,G109&lt;=Config!$B$5),K109,"")</f>
        <v/>
      </c>
      <c r="BK109" s="17">
        <f>IF(AND(AU109=1,OR(TRIM(U109)&lt;&gt;"",ISNUMBER(V109))),1,0)</f>
        <v/>
      </c>
      <c r="BL109" s="17">
        <f>IF(BK109=1,IF(COUNTIFS($A$2:$A$201,$A109,$BK$2:$BK$201,1,$G$2:$G$201,"&lt;"&amp;G109)+COUNTIFS($A$2:$A$201,$A109,$BK$2:$BK$201,1,$G$2:$G$201,G109,$AT$2:$AT$201,"&lt;"&amp;AT109)=0,1,0),0)</f>
        <v/>
      </c>
      <c r="BM109" s="17">
        <f>IF(BL109=1,$A109,"")</f>
        <v/>
      </c>
      <c r="BN109" s="17">
        <f>IF(AND(AU109=1,T109="Y",TRIM(U109)=""),1,0)</f>
        <v/>
      </c>
      <c r="BO109" s="17">
        <f>IF(AU109=1,AJ109&amp;"","")</f>
        <v/>
      </c>
      <c r="BP109" s="17">
        <f>IF(AU109=1,AK109&amp;"","")</f>
        <v/>
      </c>
      <c r="BQ109" s="17">
        <f>IF(AU109=1,AL109&amp;"","")</f>
        <v/>
      </c>
      <c r="BR109" s="17">
        <f>IF(AND(AU109=1,ISNUMBER(AP109),G109&lt;=Config!$B$5),AP109,"")</f>
        <v/>
      </c>
      <c r="BS109" s="17">
        <f>IF(AU109=1,IF(COUNTIFS($A$2:$A$201,$A109,$AN$2:$AN$201,"Y",$AU$2:$AU$201,1)&gt;0,"Y","N"),"")</f>
        <v/>
      </c>
      <c r="BT109" s="17">
        <f>IF(AND(AU109=1,AN109="maybe"),1,0)</f>
        <v/>
      </c>
      <c r="BU109" s="17">
        <f>IF(BT109=1,IF(COUNTIFS($A$2:$A$201,$A109,$BT$2:$BT$201,1,$G$2:$G$201,"&lt;"&amp;G109)+COUNTIFS($A$2:$A$201,$A109,$BT$2:$BT$201,1,$G$2:$G$201,G109,$AT$2:$AT$201,"&lt;"&amp;AT109)=0,1,0),0)</f>
        <v/>
      </c>
      <c r="BV109" s="17">
        <f>IF(AND(AU109=1,AN109="Y"),IF(COUNTIFS($A$2:$A$201,$A109,$AN$2:$AN$201,"Y",$AU$2:$AU$201,1,$G$2:$G$201,"&lt;"&amp;G109)+COUNTIFS($A$2:$A$201,$A109,$AN$2:$AN$201,"Y",$AU$2:$AU$201,1,$G$2:$G$201,G109,$AT$2:$AT$201,"&lt;"&amp;AT109)=0,1,0),0)</f>
        <v/>
      </c>
      <c r="BW109" s="17">
        <f>IF(AND(BA109=1,N(V109)&gt;=Config!$B$15),1,0)</f>
        <v/>
      </c>
      <c r="BX109" s="17">
        <f>IF(AU109=1,IFERROR(MATCH($A109,INDEX(Clay_Offices!$A$2:$FZ$601,0,Sync!$C$5),0),""),"")</f>
        <v/>
      </c>
      <c r="BY109" s="17">
        <f>IF(BX109="","",IFERROR(INDEX(Clay_Offices!$A$2:$FZ$601,BX109,Sync!$C$7)&amp;"",""))</f>
        <v/>
      </c>
      <c r="BZ109" s="17">
        <f>IF(BY109="","",IFERROR(INDEX(Lists!$J$2:$J$15,MATCH(BY109,Lists!$I$2:$I$15,0)),""))</f>
        <v/>
      </c>
      <c r="CA109" s="17">
        <f>IF(BX109="","",IFERROR(INDEX(Clay_Offices!$A$2:$FZ$601,BX109,Sync!$C$17)&amp;"",""))</f>
        <v/>
      </c>
      <c r="CB109" s="23">
        <f>IF(BX109="","",IFERROR(N(INDEX(Clay_Offices!$A$2:$FZ$601,BX109,Sync!$C$16)),0))</f>
        <v/>
      </c>
    </row>
    <row r="110">
      <c r="G110" s="22" t="n"/>
      <c r="AS110" s="17">
        <f>IF(TRIM($A110)="","",IF(AND(LEFT($A110,6)="SAMPLE",Config!$B$19&lt;&gt;"Y"),"",IF(NOT(ISNUMBER(G110)),"call_date is blank or not a date",IF(Sync!$C$5="","Clay paste is empty or has no row_id column: paste the Clay export on Clay_Offices",IF(BX110="","row_id not found in the Clay paste: add the Clay row or fix the row_id",IF(AND(ISNUMBER(BZ110),BZ110&gt;=1,BZ110&lt;=5),"Clay status is "&amp;BY110&amp;": set call_done or later",IF(AND(AW110=1,CA110&lt;&gt;BS110),"Clay yes_in_principle should be "&amp;BS110,IF(AND(AW110=1,CB110&lt;&gt;G110),"Clay call_date should be "&amp;TEXT(G110,"yyyy-mm-dd"),""))))))))</f>
        <v/>
      </c>
      <c r="AT110" s="17">
        <f>ROW()</f>
        <v/>
      </c>
      <c r="AU110" s="17">
        <f>IF(AND(TRIM($A110)&lt;&gt;"",ISNUMBER(G110)),IF(AND(LEFT($A110,6)="SAMPLE",Config!$B$19&lt;&gt;"Y"),0,1),0)</f>
        <v/>
      </c>
      <c r="AV110" s="17">
        <f>IF(AU110=1,IF(COUNTIFS($A$2:$A$201,$A110,$AU$2:$AU$201,1,$G$2:$G$201,"&lt;"&amp;G110)+COUNTIFS($A$2:$A$201,$A110,$AU$2:$AU$201,1,$G$2:$G$201,G110,$AT$2:$AT$201,"&lt;"&amp;AT110)=0,1,0),0)</f>
        <v/>
      </c>
      <c r="AW110" s="17">
        <f>IF(AU110=1,IF(COUNTIFS($A$2:$A$201,$A110,$AU$2:$AU$201,1,$G$2:$G$201,"&gt;"&amp;G110)+COUNTIFS($A$2:$A$201,$A110,$AU$2:$AU$201,1,$G$2:$G$201,G110,$AT$2:$AT$201,"&gt;"&amp;AT110)=0,1,0),0)</f>
        <v/>
      </c>
      <c r="AX110" s="17">
        <f>IF(AND(AU110=1,AN110="Y",Z110="Y",TRIM(AD110)&lt;&gt;""),1,0)</f>
        <v/>
      </c>
      <c r="AY110" s="17">
        <f>IF(AX110=1,IF(COUNTIFS($A$2:$A$201,$A110,$AX$2:$AX$201,1,$G$2:$G$201,"&lt;"&amp;G110)+COUNTIFS($A$2:$A$201,$A110,$AX$2:$AX$201,1,$G$2:$G$201,G110,$AT$2:$AT$201,"&lt;"&amp;AT110)=0,1,0),0)</f>
        <v/>
      </c>
      <c r="AZ110" s="17">
        <f>IF(AND(AU110=1,AN110="Y",AX110=0),1,0)</f>
        <v/>
      </c>
      <c r="BA110" s="17">
        <f>IF(AND(AU110=1,ISNUMBER(V110)),1,0)</f>
        <v/>
      </c>
      <c r="BB110" s="17">
        <f>IF(BA110=1,IF(COUNTIFS($A$2:$A$201,$A110,$BA$2:$BA$201,1,$G$2:$G$201,"&lt;"&amp;G110)+COUNTIFS($A$2:$A$201,$A110,$BA$2:$BA$201,1,$G$2:$G$201,G110,$AT$2:$AT$201,"&lt;"&amp;AT110)=0,1,0),0)</f>
        <v/>
      </c>
      <c r="BC110" s="17">
        <f>IF(AND(BB110=1,G110&lt;=Config!$B$6),V110,"")</f>
        <v/>
      </c>
      <c r="BD110" s="17">
        <f>IF(AND(BB110=1,G110&lt;=Config!$B$7),V110,"")</f>
        <v/>
      </c>
      <c r="BE110" s="17">
        <f>IF(AND(BB110=1,G110&lt;=Config!$B$8),V110,"")</f>
        <v/>
      </c>
      <c r="BF110" s="17">
        <f>IF(AND(BB110=1,G110&lt;=Config!$B$5),V110,"")</f>
        <v/>
      </c>
      <c r="BG110" s="17">
        <f>IF(BW110=1,IF(COUNTIFS($A$2:$A$201,$A110,$BW$2:$BW$201,1,$G$2:$G$201,"&lt;"&amp;G110)+COUNTIFS($A$2:$A$201,$A110,$BW$2:$BW$201,1,$G$2:$G$201,G110,$AT$2:$AT$201,"&lt;"&amp;AT110)=0,1,0),0)</f>
        <v/>
      </c>
      <c r="BH110" s="17">
        <f>IF(AND(AU110=1,ISNUMBER(K110)),1,0)</f>
        <v/>
      </c>
      <c r="BI110" s="17">
        <f>IF(BH110=1,IF(COUNTIFS($A$2:$A$201,$A110,$BH$2:$BH$201,1,$G$2:$G$201,"&lt;"&amp;G110)+COUNTIFS($A$2:$A$201,$A110,$BH$2:$BH$201,1,$G$2:$G$201,G110,$AT$2:$AT$201,"&lt;"&amp;AT110)=0,1,0),0)</f>
        <v/>
      </c>
      <c r="BJ110" s="17">
        <f>IF(AND(BI110=1,G110&lt;=Config!$B$5),K110,"")</f>
        <v/>
      </c>
      <c r="BK110" s="17">
        <f>IF(AND(AU110=1,OR(TRIM(U110)&lt;&gt;"",ISNUMBER(V110))),1,0)</f>
        <v/>
      </c>
      <c r="BL110" s="17">
        <f>IF(BK110=1,IF(COUNTIFS($A$2:$A$201,$A110,$BK$2:$BK$201,1,$G$2:$G$201,"&lt;"&amp;G110)+COUNTIFS($A$2:$A$201,$A110,$BK$2:$BK$201,1,$G$2:$G$201,G110,$AT$2:$AT$201,"&lt;"&amp;AT110)=0,1,0),0)</f>
        <v/>
      </c>
      <c r="BM110" s="17">
        <f>IF(BL110=1,$A110,"")</f>
        <v/>
      </c>
      <c r="BN110" s="17">
        <f>IF(AND(AU110=1,T110="Y",TRIM(U110)=""),1,0)</f>
        <v/>
      </c>
      <c r="BO110" s="17">
        <f>IF(AU110=1,AJ110&amp;"","")</f>
        <v/>
      </c>
      <c r="BP110" s="17">
        <f>IF(AU110=1,AK110&amp;"","")</f>
        <v/>
      </c>
      <c r="BQ110" s="17">
        <f>IF(AU110=1,AL110&amp;"","")</f>
        <v/>
      </c>
      <c r="BR110" s="17">
        <f>IF(AND(AU110=1,ISNUMBER(AP110),G110&lt;=Config!$B$5),AP110,"")</f>
        <v/>
      </c>
      <c r="BS110" s="17">
        <f>IF(AU110=1,IF(COUNTIFS($A$2:$A$201,$A110,$AN$2:$AN$201,"Y",$AU$2:$AU$201,1)&gt;0,"Y","N"),"")</f>
        <v/>
      </c>
      <c r="BT110" s="17">
        <f>IF(AND(AU110=1,AN110="maybe"),1,0)</f>
        <v/>
      </c>
      <c r="BU110" s="17">
        <f>IF(BT110=1,IF(COUNTIFS($A$2:$A$201,$A110,$BT$2:$BT$201,1,$G$2:$G$201,"&lt;"&amp;G110)+COUNTIFS($A$2:$A$201,$A110,$BT$2:$BT$201,1,$G$2:$G$201,G110,$AT$2:$AT$201,"&lt;"&amp;AT110)=0,1,0),0)</f>
        <v/>
      </c>
      <c r="BV110" s="17">
        <f>IF(AND(AU110=1,AN110="Y"),IF(COUNTIFS($A$2:$A$201,$A110,$AN$2:$AN$201,"Y",$AU$2:$AU$201,1,$G$2:$G$201,"&lt;"&amp;G110)+COUNTIFS($A$2:$A$201,$A110,$AN$2:$AN$201,"Y",$AU$2:$AU$201,1,$G$2:$G$201,G110,$AT$2:$AT$201,"&lt;"&amp;AT110)=0,1,0),0)</f>
        <v/>
      </c>
      <c r="BW110" s="17">
        <f>IF(AND(BA110=1,N(V110)&gt;=Config!$B$15),1,0)</f>
        <v/>
      </c>
      <c r="BX110" s="17">
        <f>IF(AU110=1,IFERROR(MATCH($A110,INDEX(Clay_Offices!$A$2:$FZ$601,0,Sync!$C$5),0),""),"")</f>
        <v/>
      </c>
      <c r="BY110" s="17">
        <f>IF(BX110="","",IFERROR(INDEX(Clay_Offices!$A$2:$FZ$601,BX110,Sync!$C$7)&amp;"",""))</f>
        <v/>
      </c>
      <c r="BZ110" s="17">
        <f>IF(BY110="","",IFERROR(INDEX(Lists!$J$2:$J$15,MATCH(BY110,Lists!$I$2:$I$15,0)),""))</f>
        <v/>
      </c>
      <c r="CA110" s="17">
        <f>IF(BX110="","",IFERROR(INDEX(Clay_Offices!$A$2:$FZ$601,BX110,Sync!$C$17)&amp;"",""))</f>
        <v/>
      </c>
      <c r="CB110" s="23">
        <f>IF(BX110="","",IFERROR(N(INDEX(Clay_Offices!$A$2:$FZ$601,BX110,Sync!$C$16)),0))</f>
        <v/>
      </c>
    </row>
    <row r="111">
      <c r="G111" s="22" t="n"/>
      <c r="AS111" s="17">
        <f>IF(TRIM($A111)="","",IF(AND(LEFT($A111,6)="SAMPLE",Config!$B$19&lt;&gt;"Y"),"",IF(NOT(ISNUMBER(G111)),"call_date is blank or not a date",IF(Sync!$C$5="","Clay paste is empty or has no row_id column: paste the Clay export on Clay_Offices",IF(BX111="","row_id not found in the Clay paste: add the Clay row or fix the row_id",IF(AND(ISNUMBER(BZ111),BZ111&gt;=1,BZ111&lt;=5),"Clay status is "&amp;BY111&amp;": set call_done or later",IF(AND(AW111=1,CA111&lt;&gt;BS111),"Clay yes_in_principle should be "&amp;BS111,IF(AND(AW111=1,CB111&lt;&gt;G111),"Clay call_date should be "&amp;TEXT(G111,"yyyy-mm-dd"),""))))))))</f>
        <v/>
      </c>
      <c r="AT111" s="17">
        <f>ROW()</f>
        <v/>
      </c>
      <c r="AU111" s="17">
        <f>IF(AND(TRIM($A111)&lt;&gt;"",ISNUMBER(G111)),IF(AND(LEFT($A111,6)="SAMPLE",Config!$B$19&lt;&gt;"Y"),0,1),0)</f>
        <v/>
      </c>
      <c r="AV111" s="17">
        <f>IF(AU111=1,IF(COUNTIFS($A$2:$A$201,$A111,$AU$2:$AU$201,1,$G$2:$G$201,"&lt;"&amp;G111)+COUNTIFS($A$2:$A$201,$A111,$AU$2:$AU$201,1,$G$2:$G$201,G111,$AT$2:$AT$201,"&lt;"&amp;AT111)=0,1,0),0)</f>
        <v/>
      </c>
      <c r="AW111" s="17">
        <f>IF(AU111=1,IF(COUNTIFS($A$2:$A$201,$A111,$AU$2:$AU$201,1,$G$2:$G$201,"&gt;"&amp;G111)+COUNTIFS($A$2:$A$201,$A111,$AU$2:$AU$201,1,$G$2:$G$201,G111,$AT$2:$AT$201,"&gt;"&amp;AT111)=0,1,0),0)</f>
        <v/>
      </c>
      <c r="AX111" s="17">
        <f>IF(AND(AU111=1,AN111="Y",Z111="Y",TRIM(AD111)&lt;&gt;""),1,0)</f>
        <v/>
      </c>
      <c r="AY111" s="17">
        <f>IF(AX111=1,IF(COUNTIFS($A$2:$A$201,$A111,$AX$2:$AX$201,1,$G$2:$G$201,"&lt;"&amp;G111)+COUNTIFS($A$2:$A$201,$A111,$AX$2:$AX$201,1,$G$2:$G$201,G111,$AT$2:$AT$201,"&lt;"&amp;AT111)=0,1,0),0)</f>
        <v/>
      </c>
      <c r="AZ111" s="17">
        <f>IF(AND(AU111=1,AN111="Y",AX111=0),1,0)</f>
        <v/>
      </c>
      <c r="BA111" s="17">
        <f>IF(AND(AU111=1,ISNUMBER(V111)),1,0)</f>
        <v/>
      </c>
      <c r="BB111" s="17">
        <f>IF(BA111=1,IF(COUNTIFS($A$2:$A$201,$A111,$BA$2:$BA$201,1,$G$2:$G$201,"&lt;"&amp;G111)+COUNTIFS($A$2:$A$201,$A111,$BA$2:$BA$201,1,$G$2:$G$201,G111,$AT$2:$AT$201,"&lt;"&amp;AT111)=0,1,0),0)</f>
        <v/>
      </c>
      <c r="BC111" s="17">
        <f>IF(AND(BB111=1,G111&lt;=Config!$B$6),V111,"")</f>
        <v/>
      </c>
      <c r="BD111" s="17">
        <f>IF(AND(BB111=1,G111&lt;=Config!$B$7),V111,"")</f>
        <v/>
      </c>
      <c r="BE111" s="17">
        <f>IF(AND(BB111=1,G111&lt;=Config!$B$8),V111,"")</f>
        <v/>
      </c>
      <c r="BF111" s="17">
        <f>IF(AND(BB111=1,G111&lt;=Config!$B$5),V111,"")</f>
        <v/>
      </c>
      <c r="BG111" s="17">
        <f>IF(BW111=1,IF(COUNTIFS($A$2:$A$201,$A111,$BW$2:$BW$201,1,$G$2:$G$201,"&lt;"&amp;G111)+COUNTIFS($A$2:$A$201,$A111,$BW$2:$BW$201,1,$G$2:$G$201,G111,$AT$2:$AT$201,"&lt;"&amp;AT111)=0,1,0),0)</f>
        <v/>
      </c>
      <c r="BH111" s="17">
        <f>IF(AND(AU111=1,ISNUMBER(K111)),1,0)</f>
        <v/>
      </c>
      <c r="BI111" s="17">
        <f>IF(BH111=1,IF(COUNTIFS($A$2:$A$201,$A111,$BH$2:$BH$201,1,$G$2:$G$201,"&lt;"&amp;G111)+COUNTIFS($A$2:$A$201,$A111,$BH$2:$BH$201,1,$G$2:$G$201,G111,$AT$2:$AT$201,"&lt;"&amp;AT111)=0,1,0),0)</f>
        <v/>
      </c>
      <c r="BJ111" s="17">
        <f>IF(AND(BI111=1,G111&lt;=Config!$B$5),K111,"")</f>
        <v/>
      </c>
      <c r="BK111" s="17">
        <f>IF(AND(AU111=1,OR(TRIM(U111)&lt;&gt;"",ISNUMBER(V111))),1,0)</f>
        <v/>
      </c>
      <c r="BL111" s="17">
        <f>IF(BK111=1,IF(COUNTIFS($A$2:$A$201,$A111,$BK$2:$BK$201,1,$G$2:$G$201,"&lt;"&amp;G111)+COUNTIFS($A$2:$A$201,$A111,$BK$2:$BK$201,1,$G$2:$G$201,G111,$AT$2:$AT$201,"&lt;"&amp;AT111)=0,1,0),0)</f>
        <v/>
      </c>
      <c r="BM111" s="17">
        <f>IF(BL111=1,$A111,"")</f>
        <v/>
      </c>
      <c r="BN111" s="17">
        <f>IF(AND(AU111=1,T111="Y",TRIM(U111)=""),1,0)</f>
        <v/>
      </c>
      <c r="BO111" s="17">
        <f>IF(AU111=1,AJ111&amp;"","")</f>
        <v/>
      </c>
      <c r="BP111" s="17">
        <f>IF(AU111=1,AK111&amp;"","")</f>
        <v/>
      </c>
      <c r="BQ111" s="17">
        <f>IF(AU111=1,AL111&amp;"","")</f>
        <v/>
      </c>
      <c r="BR111" s="17">
        <f>IF(AND(AU111=1,ISNUMBER(AP111),G111&lt;=Config!$B$5),AP111,"")</f>
        <v/>
      </c>
      <c r="BS111" s="17">
        <f>IF(AU111=1,IF(COUNTIFS($A$2:$A$201,$A111,$AN$2:$AN$201,"Y",$AU$2:$AU$201,1)&gt;0,"Y","N"),"")</f>
        <v/>
      </c>
      <c r="BT111" s="17">
        <f>IF(AND(AU111=1,AN111="maybe"),1,0)</f>
        <v/>
      </c>
      <c r="BU111" s="17">
        <f>IF(BT111=1,IF(COUNTIFS($A$2:$A$201,$A111,$BT$2:$BT$201,1,$G$2:$G$201,"&lt;"&amp;G111)+COUNTIFS($A$2:$A$201,$A111,$BT$2:$BT$201,1,$G$2:$G$201,G111,$AT$2:$AT$201,"&lt;"&amp;AT111)=0,1,0),0)</f>
        <v/>
      </c>
      <c r="BV111" s="17">
        <f>IF(AND(AU111=1,AN111="Y"),IF(COUNTIFS($A$2:$A$201,$A111,$AN$2:$AN$201,"Y",$AU$2:$AU$201,1,$G$2:$G$201,"&lt;"&amp;G111)+COUNTIFS($A$2:$A$201,$A111,$AN$2:$AN$201,"Y",$AU$2:$AU$201,1,$G$2:$G$201,G111,$AT$2:$AT$201,"&lt;"&amp;AT111)=0,1,0),0)</f>
        <v/>
      </c>
      <c r="BW111" s="17">
        <f>IF(AND(BA111=1,N(V111)&gt;=Config!$B$15),1,0)</f>
        <v/>
      </c>
      <c r="BX111" s="17">
        <f>IF(AU111=1,IFERROR(MATCH($A111,INDEX(Clay_Offices!$A$2:$FZ$601,0,Sync!$C$5),0),""),"")</f>
        <v/>
      </c>
      <c r="BY111" s="17">
        <f>IF(BX111="","",IFERROR(INDEX(Clay_Offices!$A$2:$FZ$601,BX111,Sync!$C$7)&amp;"",""))</f>
        <v/>
      </c>
      <c r="BZ111" s="17">
        <f>IF(BY111="","",IFERROR(INDEX(Lists!$J$2:$J$15,MATCH(BY111,Lists!$I$2:$I$15,0)),""))</f>
        <v/>
      </c>
      <c r="CA111" s="17">
        <f>IF(BX111="","",IFERROR(INDEX(Clay_Offices!$A$2:$FZ$601,BX111,Sync!$C$17)&amp;"",""))</f>
        <v/>
      </c>
      <c r="CB111" s="23">
        <f>IF(BX111="","",IFERROR(N(INDEX(Clay_Offices!$A$2:$FZ$601,BX111,Sync!$C$16)),0))</f>
        <v/>
      </c>
    </row>
    <row r="112">
      <c r="G112" s="22" t="n"/>
      <c r="AS112" s="17">
        <f>IF(TRIM($A112)="","",IF(AND(LEFT($A112,6)="SAMPLE",Config!$B$19&lt;&gt;"Y"),"",IF(NOT(ISNUMBER(G112)),"call_date is blank or not a date",IF(Sync!$C$5="","Clay paste is empty or has no row_id column: paste the Clay export on Clay_Offices",IF(BX112="","row_id not found in the Clay paste: add the Clay row or fix the row_id",IF(AND(ISNUMBER(BZ112),BZ112&gt;=1,BZ112&lt;=5),"Clay status is "&amp;BY112&amp;": set call_done or later",IF(AND(AW112=1,CA112&lt;&gt;BS112),"Clay yes_in_principle should be "&amp;BS112,IF(AND(AW112=1,CB112&lt;&gt;G112),"Clay call_date should be "&amp;TEXT(G112,"yyyy-mm-dd"),""))))))))</f>
        <v/>
      </c>
      <c r="AT112" s="17">
        <f>ROW()</f>
        <v/>
      </c>
      <c r="AU112" s="17">
        <f>IF(AND(TRIM($A112)&lt;&gt;"",ISNUMBER(G112)),IF(AND(LEFT($A112,6)="SAMPLE",Config!$B$19&lt;&gt;"Y"),0,1),0)</f>
        <v/>
      </c>
      <c r="AV112" s="17">
        <f>IF(AU112=1,IF(COUNTIFS($A$2:$A$201,$A112,$AU$2:$AU$201,1,$G$2:$G$201,"&lt;"&amp;G112)+COUNTIFS($A$2:$A$201,$A112,$AU$2:$AU$201,1,$G$2:$G$201,G112,$AT$2:$AT$201,"&lt;"&amp;AT112)=0,1,0),0)</f>
        <v/>
      </c>
      <c r="AW112" s="17">
        <f>IF(AU112=1,IF(COUNTIFS($A$2:$A$201,$A112,$AU$2:$AU$201,1,$G$2:$G$201,"&gt;"&amp;G112)+COUNTIFS($A$2:$A$201,$A112,$AU$2:$AU$201,1,$G$2:$G$201,G112,$AT$2:$AT$201,"&gt;"&amp;AT112)=0,1,0),0)</f>
        <v/>
      </c>
      <c r="AX112" s="17">
        <f>IF(AND(AU112=1,AN112="Y",Z112="Y",TRIM(AD112)&lt;&gt;""),1,0)</f>
        <v/>
      </c>
      <c r="AY112" s="17">
        <f>IF(AX112=1,IF(COUNTIFS($A$2:$A$201,$A112,$AX$2:$AX$201,1,$G$2:$G$201,"&lt;"&amp;G112)+COUNTIFS($A$2:$A$201,$A112,$AX$2:$AX$201,1,$G$2:$G$201,G112,$AT$2:$AT$201,"&lt;"&amp;AT112)=0,1,0),0)</f>
        <v/>
      </c>
      <c r="AZ112" s="17">
        <f>IF(AND(AU112=1,AN112="Y",AX112=0),1,0)</f>
        <v/>
      </c>
      <c r="BA112" s="17">
        <f>IF(AND(AU112=1,ISNUMBER(V112)),1,0)</f>
        <v/>
      </c>
      <c r="BB112" s="17">
        <f>IF(BA112=1,IF(COUNTIFS($A$2:$A$201,$A112,$BA$2:$BA$201,1,$G$2:$G$201,"&lt;"&amp;G112)+COUNTIFS($A$2:$A$201,$A112,$BA$2:$BA$201,1,$G$2:$G$201,G112,$AT$2:$AT$201,"&lt;"&amp;AT112)=0,1,0),0)</f>
        <v/>
      </c>
      <c r="BC112" s="17">
        <f>IF(AND(BB112=1,G112&lt;=Config!$B$6),V112,"")</f>
        <v/>
      </c>
      <c r="BD112" s="17">
        <f>IF(AND(BB112=1,G112&lt;=Config!$B$7),V112,"")</f>
        <v/>
      </c>
      <c r="BE112" s="17">
        <f>IF(AND(BB112=1,G112&lt;=Config!$B$8),V112,"")</f>
        <v/>
      </c>
      <c r="BF112" s="17">
        <f>IF(AND(BB112=1,G112&lt;=Config!$B$5),V112,"")</f>
        <v/>
      </c>
      <c r="BG112" s="17">
        <f>IF(BW112=1,IF(COUNTIFS($A$2:$A$201,$A112,$BW$2:$BW$201,1,$G$2:$G$201,"&lt;"&amp;G112)+COUNTIFS($A$2:$A$201,$A112,$BW$2:$BW$201,1,$G$2:$G$201,G112,$AT$2:$AT$201,"&lt;"&amp;AT112)=0,1,0),0)</f>
        <v/>
      </c>
      <c r="BH112" s="17">
        <f>IF(AND(AU112=1,ISNUMBER(K112)),1,0)</f>
        <v/>
      </c>
      <c r="BI112" s="17">
        <f>IF(BH112=1,IF(COUNTIFS($A$2:$A$201,$A112,$BH$2:$BH$201,1,$G$2:$G$201,"&lt;"&amp;G112)+COUNTIFS($A$2:$A$201,$A112,$BH$2:$BH$201,1,$G$2:$G$201,G112,$AT$2:$AT$201,"&lt;"&amp;AT112)=0,1,0),0)</f>
        <v/>
      </c>
      <c r="BJ112" s="17">
        <f>IF(AND(BI112=1,G112&lt;=Config!$B$5),K112,"")</f>
        <v/>
      </c>
      <c r="BK112" s="17">
        <f>IF(AND(AU112=1,OR(TRIM(U112)&lt;&gt;"",ISNUMBER(V112))),1,0)</f>
        <v/>
      </c>
      <c r="BL112" s="17">
        <f>IF(BK112=1,IF(COUNTIFS($A$2:$A$201,$A112,$BK$2:$BK$201,1,$G$2:$G$201,"&lt;"&amp;G112)+COUNTIFS($A$2:$A$201,$A112,$BK$2:$BK$201,1,$G$2:$G$201,G112,$AT$2:$AT$201,"&lt;"&amp;AT112)=0,1,0),0)</f>
        <v/>
      </c>
      <c r="BM112" s="17">
        <f>IF(BL112=1,$A112,"")</f>
        <v/>
      </c>
      <c r="BN112" s="17">
        <f>IF(AND(AU112=1,T112="Y",TRIM(U112)=""),1,0)</f>
        <v/>
      </c>
      <c r="BO112" s="17">
        <f>IF(AU112=1,AJ112&amp;"","")</f>
        <v/>
      </c>
      <c r="BP112" s="17">
        <f>IF(AU112=1,AK112&amp;"","")</f>
        <v/>
      </c>
      <c r="BQ112" s="17">
        <f>IF(AU112=1,AL112&amp;"","")</f>
        <v/>
      </c>
      <c r="BR112" s="17">
        <f>IF(AND(AU112=1,ISNUMBER(AP112),G112&lt;=Config!$B$5),AP112,"")</f>
        <v/>
      </c>
      <c r="BS112" s="17">
        <f>IF(AU112=1,IF(COUNTIFS($A$2:$A$201,$A112,$AN$2:$AN$201,"Y",$AU$2:$AU$201,1)&gt;0,"Y","N"),"")</f>
        <v/>
      </c>
      <c r="BT112" s="17">
        <f>IF(AND(AU112=1,AN112="maybe"),1,0)</f>
        <v/>
      </c>
      <c r="BU112" s="17">
        <f>IF(BT112=1,IF(COUNTIFS($A$2:$A$201,$A112,$BT$2:$BT$201,1,$G$2:$G$201,"&lt;"&amp;G112)+COUNTIFS($A$2:$A$201,$A112,$BT$2:$BT$201,1,$G$2:$G$201,G112,$AT$2:$AT$201,"&lt;"&amp;AT112)=0,1,0),0)</f>
        <v/>
      </c>
      <c r="BV112" s="17">
        <f>IF(AND(AU112=1,AN112="Y"),IF(COUNTIFS($A$2:$A$201,$A112,$AN$2:$AN$201,"Y",$AU$2:$AU$201,1,$G$2:$G$201,"&lt;"&amp;G112)+COUNTIFS($A$2:$A$201,$A112,$AN$2:$AN$201,"Y",$AU$2:$AU$201,1,$G$2:$G$201,G112,$AT$2:$AT$201,"&lt;"&amp;AT112)=0,1,0),0)</f>
        <v/>
      </c>
      <c r="BW112" s="17">
        <f>IF(AND(BA112=1,N(V112)&gt;=Config!$B$15),1,0)</f>
        <v/>
      </c>
      <c r="BX112" s="17">
        <f>IF(AU112=1,IFERROR(MATCH($A112,INDEX(Clay_Offices!$A$2:$FZ$601,0,Sync!$C$5),0),""),"")</f>
        <v/>
      </c>
      <c r="BY112" s="17">
        <f>IF(BX112="","",IFERROR(INDEX(Clay_Offices!$A$2:$FZ$601,BX112,Sync!$C$7)&amp;"",""))</f>
        <v/>
      </c>
      <c r="BZ112" s="17">
        <f>IF(BY112="","",IFERROR(INDEX(Lists!$J$2:$J$15,MATCH(BY112,Lists!$I$2:$I$15,0)),""))</f>
        <v/>
      </c>
      <c r="CA112" s="17">
        <f>IF(BX112="","",IFERROR(INDEX(Clay_Offices!$A$2:$FZ$601,BX112,Sync!$C$17)&amp;"",""))</f>
        <v/>
      </c>
      <c r="CB112" s="23">
        <f>IF(BX112="","",IFERROR(N(INDEX(Clay_Offices!$A$2:$FZ$601,BX112,Sync!$C$16)),0))</f>
        <v/>
      </c>
    </row>
    <row r="113">
      <c r="G113" s="22" t="n"/>
      <c r="AS113" s="17">
        <f>IF(TRIM($A113)="","",IF(AND(LEFT($A113,6)="SAMPLE",Config!$B$19&lt;&gt;"Y"),"",IF(NOT(ISNUMBER(G113)),"call_date is blank or not a date",IF(Sync!$C$5="","Clay paste is empty or has no row_id column: paste the Clay export on Clay_Offices",IF(BX113="","row_id not found in the Clay paste: add the Clay row or fix the row_id",IF(AND(ISNUMBER(BZ113),BZ113&gt;=1,BZ113&lt;=5),"Clay status is "&amp;BY113&amp;": set call_done or later",IF(AND(AW113=1,CA113&lt;&gt;BS113),"Clay yes_in_principle should be "&amp;BS113,IF(AND(AW113=1,CB113&lt;&gt;G113),"Clay call_date should be "&amp;TEXT(G113,"yyyy-mm-dd"),""))))))))</f>
        <v/>
      </c>
      <c r="AT113" s="17">
        <f>ROW()</f>
        <v/>
      </c>
      <c r="AU113" s="17">
        <f>IF(AND(TRIM($A113)&lt;&gt;"",ISNUMBER(G113)),IF(AND(LEFT($A113,6)="SAMPLE",Config!$B$19&lt;&gt;"Y"),0,1),0)</f>
        <v/>
      </c>
      <c r="AV113" s="17">
        <f>IF(AU113=1,IF(COUNTIFS($A$2:$A$201,$A113,$AU$2:$AU$201,1,$G$2:$G$201,"&lt;"&amp;G113)+COUNTIFS($A$2:$A$201,$A113,$AU$2:$AU$201,1,$G$2:$G$201,G113,$AT$2:$AT$201,"&lt;"&amp;AT113)=0,1,0),0)</f>
        <v/>
      </c>
      <c r="AW113" s="17">
        <f>IF(AU113=1,IF(COUNTIFS($A$2:$A$201,$A113,$AU$2:$AU$201,1,$G$2:$G$201,"&gt;"&amp;G113)+COUNTIFS($A$2:$A$201,$A113,$AU$2:$AU$201,1,$G$2:$G$201,G113,$AT$2:$AT$201,"&gt;"&amp;AT113)=0,1,0),0)</f>
        <v/>
      </c>
      <c r="AX113" s="17">
        <f>IF(AND(AU113=1,AN113="Y",Z113="Y",TRIM(AD113)&lt;&gt;""),1,0)</f>
        <v/>
      </c>
      <c r="AY113" s="17">
        <f>IF(AX113=1,IF(COUNTIFS($A$2:$A$201,$A113,$AX$2:$AX$201,1,$G$2:$G$201,"&lt;"&amp;G113)+COUNTIFS($A$2:$A$201,$A113,$AX$2:$AX$201,1,$G$2:$G$201,G113,$AT$2:$AT$201,"&lt;"&amp;AT113)=0,1,0),0)</f>
        <v/>
      </c>
      <c r="AZ113" s="17">
        <f>IF(AND(AU113=1,AN113="Y",AX113=0),1,0)</f>
        <v/>
      </c>
      <c r="BA113" s="17">
        <f>IF(AND(AU113=1,ISNUMBER(V113)),1,0)</f>
        <v/>
      </c>
      <c r="BB113" s="17">
        <f>IF(BA113=1,IF(COUNTIFS($A$2:$A$201,$A113,$BA$2:$BA$201,1,$G$2:$G$201,"&lt;"&amp;G113)+COUNTIFS($A$2:$A$201,$A113,$BA$2:$BA$201,1,$G$2:$G$201,G113,$AT$2:$AT$201,"&lt;"&amp;AT113)=0,1,0),0)</f>
        <v/>
      </c>
      <c r="BC113" s="17">
        <f>IF(AND(BB113=1,G113&lt;=Config!$B$6),V113,"")</f>
        <v/>
      </c>
      <c r="BD113" s="17">
        <f>IF(AND(BB113=1,G113&lt;=Config!$B$7),V113,"")</f>
        <v/>
      </c>
      <c r="BE113" s="17">
        <f>IF(AND(BB113=1,G113&lt;=Config!$B$8),V113,"")</f>
        <v/>
      </c>
      <c r="BF113" s="17">
        <f>IF(AND(BB113=1,G113&lt;=Config!$B$5),V113,"")</f>
        <v/>
      </c>
      <c r="BG113" s="17">
        <f>IF(BW113=1,IF(COUNTIFS($A$2:$A$201,$A113,$BW$2:$BW$201,1,$G$2:$G$201,"&lt;"&amp;G113)+COUNTIFS($A$2:$A$201,$A113,$BW$2:$BW$201,1,$G$2:$G$201,G113,$AT$2:$AT$201,"&lt;"&amp;AT113)=0,1,0),0)</f>
        <v/>
      </c>
      <c r="BH113" s="17">
        <f>IF(AND(AU113=1,ISNUMBER(K113)),1,0)</f>
        <v/>
      </c>
      <c r="BI113" s="17">
        <f>IF(BH113=1,IF(COUNTIFS($A$2:$A$201,$A113,$BH$2:$BH$201,1,$G$2:$G$201,"&lt;"&amp;G113)+COUNTIFS($A$2:$A$201,$A113,$BH$2:$BH$201,1,$G$2:$G$201,G113,$AT$2:$AT$201,"&lt;"&amp;AT113)=0,1,0),0)</f>
        <v/>
      </c>
      <c r="BJ113" s="17">
        <f>IF(AND(BI113=1,G113&lt;=Config!$B$5),K113,"")</f>
        <v/>
      </c>
      <c r="BK113" s="17">
        <f>IF(AND(AU113=1,OR(TRIM(U113)&lt;&gt;"",ISNUMBER(V113))),1,0)</f>
        <v/>
      </c>
      <c r="BL113" s="17">
        <f>IF(BK113=1,IF(COUNTIFS($A$2:$A$201,$A113,$BK$2:$BK$201,1,$G$2:$G$201,"&lt;"&amp;G113)+COUNTIFS($A$2:$A$201,$A113,$BK$2:$BK$201,1,$G$2:$G$201,G113,$AT$2:$AT$201,"&lt;"&amp;AT113)=0,1,0),0)</f>
        <v/>
      </c>
      <c r="BM113" s="17">
        <f>IF(BL113=1,$A113,"")</f>
        <v/>
      </c>
      <c r="BN113" s="17">
        <f>IF(AND(AU113=1,T113="Y",TRIM(U113)=""),1,0)</f>
        <v/>
      </c>
      <c r="BO113" s="17">
        <f>IF(AU113=1,AJ113&amp;"","")</f>
        <v/>
      </c>
      <c r="BP113" s="17">
        <f>IF(AU113=1,AK113&amp;"","")</f>
        <v/>
      </c>
      <c r="BQ113" s="17">
        <f>IF(AU113=1,AL113&amp;"","")</f>
        <v/>
      </c>
      <c r="BR113" s="17">
        <f>IF(AND(AU113=1,ISNUMBER(AP113),G113&lt;=Config!$B$5),AP113,"")</f>
        <v/>
      </c>
      <c r="BS113" s="17">
        <f>IF(AU113=1,IF(COUNTIFS($A$2:$A$201,$A113,$AN$2:$AN$201,"Y",$AU$2:$AU$201,1)&gt;0,"Y","N"),"")</f>
        <v/>
      </c>
      <c r="BT113" s="17">
        <f>IF(AND(AU113=1,AN113="maybe"),1,0)</f>
        <v/>
      </c>
      <c r="BU113" s="17">
        <f>IF(BT113=1,IF(COUNTIFS($A$2:$A$201,$A113,$BT$2:$BT$201,1,$G$2:$G$201,"&lt;"&amp;G113)+COUNTIFS($A$2:$A$201,$A113,$BT$2:$BT$201,1,$G$2:$G$201,G113,$AT$2:$AT$201,"&lt;"&amp;AT113)=0,1,0),0)</f>
        <v/>
      </c>
      <c r="BV113" s="17">
        <f>IF(AND(AU113=1,AN113="Y"),IF(COUNTIFS($A$2:$A$201,$A113,$AN$2:$AN$201,"Y",$AU$2:$AU$201,1,$G$2:$G$201,"&lt;"&amp;G113)+COUNTIFS($A$2:$A$201,$A113,$AN$2:$AN$201,"Y",$AU$2:$AU$201,1,$G$2:$G$201,G113,$AT$2:$AT$201,"&lt;"&amp;AT113)=0,1,0),0)</f>
        <v/>
      </c>
      <c r="BW113" s="17">
        <f>IF(AND(BA113=1,N(V113)&gt;=Config!$B$15),1,0)</f>
        <v/>
      </c>
      <c r="BX113" s="17">
        <f>IF(AU113=1,IFERROR(MATCH($A113,INDEX(Clay_Offices!$A$2:$FZ$601,0,Sync!$C$5),0),""),"")</f>
        <v/>
      </c>
      <c r="BY113" s="17">
        <f>IF(BX113="","",IFERROR(INDEX(Clay_Offices!$A$2:$FZ$601,BX113,Sync!$C$7)&amp;"",""))</f>
        <v/>
      </c>
      <c r="BZ113" s="17">
        <f>IF(BY113="","",IFERROR(INDEX(Lists!$J$2:$J$15,MATCH(BY113,Lists!$I$2:$I$15,0)),""))</f>
        <v/>
      </c>
      <c r="CA113" s="17">
        <f>IF(BX113="","",IFERROR(INDEX(Clay_Offices!$A$2:$FZ$601,BX113,Sync!$C$17)&amp;"",""))</f>
        <v/>
      </c>
      <c r="CB113" s="23">
        <f>IF(BX113="","",IFERROR(N(INDEX(Clay_Offices!$A$2:$FZ$601,BX113,Sync!$C$16)),0))</f>
        <v/>
      </c>
    </row>
    <row r="114">
      <c r="G114" s="22" t="n"/>
      <c r="AS114" s="17">
        <f>IF(TRIM($A114)="","",IF(AND(LEFT($A114,6)="SAMPLE",Config!$B$19&lt;&gt;"Y"),"",IF(NOT(ISNUMBER(G114)),"call_date is blank or not a date",IF(Sync!$C$5="","Clay paste is empty or has no row_id column: paste the Clay export on Clay_Offices",IF(BX114="","row_id not found in the Clay paste: add the Clay row or fix the row_id",IF(AND(ISNUMBER(BZ114),BZ114&gt;=1,BZ114&lt;=5),"Clay status is "&amp;BY114&amp;": set call_done or later",IF(AND(AW114=1,CA114&lt;&gt;BS114),"Clay yes_in_principle should be "&amp;BS114,IF(AND(AW114=1,CB114&lt;&gt;G114),"Clay call_date should be "&amp;TEXT(G114,"yyyy-mm-dd"),""))))))))</f>
        <v/>
      </c>
      <c r="AT114" s="17">
        <f>ROW()</f>
        <v/>
      </c>
      <c r="AU114" s="17">
        <f>IF(AND(TRIM($A114)&lt;&gt;"",ISNUMBER(G114)),IF(AND(LEFT($A114,6)="SAMPLE",Config!$B$19&lt;&gt;"Y"),0,1),0)</f>
        <v/>
      </c>
      <c r="AV114" s="17">
        <f>IF(AU114=1,IF(COUNTIFS($A$2:$A$201,$A114,$AU$2:$AU$201,1,$G$2:$G$201,"&lt;"&amp;G114)+COUNTIFS($A$2:$A$201,$A114,$AU$2:$AU$201,1,$G$2:$G$201,G114,$AT$2:$AT$201,"&lt;"&amp;AT114)=0,1,0),0)</f>
        <v/>
      </c>
      <c r="AW114" s="17">
        <f>IF(AU114=1,IF(COUNTIFS($A$2:$A$201,$A114,$AU$2:$AU$201,1,$G$2:$G$201,"&gt;"&amp;G114)+COUNTIFS($A$2:$A$201,$A114,$AU$2:$AU$201,1,$G$2:$G$201,G114,$AT$2:$AT$201,"&gt;"&amp;AT114)=0,1,0),0)</f>
        <v/>
      </c>
      <c r="AX114" s="17">
        <f>IF(AND(AU114=1,AN114="Y",Z114="Y",TRIM(AD114)&lt;&gt;""),1,0)</f>
        <v/>
      </c>
      <c r="AY114" s="17">
        <f>IF(AX114=1,IF(COUNTIFS($A$2:$A$201,$A114,$AX$2:$AX$201,1,$G$2:$G$201,"&lt;"&amp;G114)+COUNTIFS($A$2:$A$201,$A114,$AX$2:$AX$201,1,$G$2:$G$201,G114,$AT$2:$AT$201,"&lt;"&amp;AT114)=0,1,0),0)</f>
        <v/>
      </c>
      <c r="AZ114" s="17">
        <f>IF(AND(AU114=1,AN114="Y",AX114=0),1,0)</f>
        <v/>
      </c>
      <c r="BA114" s="17">
        <f>IF(AND(AU114=1,ISNUMBER(V114)),1,0)</f>
        <v/>
      </c>
      <c r="BB114" s="17">
        <f>IF(BA114=1,IF(COUNTIFS($A$2:$A$201,$A114,$BA$2:$BA$201,1,$G$2:$G$201,"&lt;"&amp;G114)+COUNTIFS($A$2:$A$201,$A114,$BA$2:$BA$201,1,$G$2:$G$201,G114,$AT$2:$AT$201,"&lt;"&amp;AT114)=0,1,0),0)</f>
        <v/>
      </c>
      <c r="BC114" s="17">
        <f>IF(AND(BB114=1,G114&lt;=Config!$B$6),V114,"")</f>
        <v/>
      </c>
      <c r="BD114" s="17">
        <f>IF(AND(BB114=1,G114&lt;=Config!$B$7),V114,"")</f>
        <v/>
      </c>
      <c r="BE114" s="17">
        <f>IF(AND(BB114=1,G114&lt;=Config!$B$8),V114,"")</f>
        <v/>
      </c>
      <c r="BF114" s="17">
        <f>IF(AND(BB114=1,G114&lt;=Config!$B$5),V114,"")</f>
        <v/>
      </c>
      <c r="BG114" s="17">
        <f>IF(BW114=1,IF(COUNTIFS($A$2:$A$201,$A114,$BW$2:$BW$201,1,$G$2:$G$201,"&lt;"&amp;G114)+COUNTIFS($A$2:$A$201,$A114,$BW$2:$BW$201,1,$G$2:$G$201,G114,$AT$2:$AT$201,"&lt;"&amp;AT114)=0,1,0),0)</f>
        <v/>
      </c>
      <c r="BH114" s="17">
        <f>IF(AND(AU114=1,ISNUMBER(K114)),1,0)</f>
        <v/>
      </c>
      <c r="BI114" s="17">
        <f>IF(BH114=1,IF(COUNTIFS($A$2:$A$201,$A114,$BH$2:$BH$201,1,$G$2:$G$201,"&lt;"&amp;G114)+COUNTIFS($A$2:$A$201,$A114,$BH$2:$BH$201,1,$G$2:$G$201,G114,$AT$2:$AT$201,"&lt;"&amp;AT114)=0,1,0),0)</f>
        <v/>
      </c>
      <c r="BJ114" s="17">
        <f>IF(AND(BI114=1,G114&lt;=Config!$B$5),K114,"")</f>
        <v/>
      </c>
      <c r="BK114" s="17">
        <f>IF(AND(AU114=1,OR(TRIM(U114)&lt;&gt;"",ISNUMBER(V114))),1,0)</f>
        <v/>
      </c>
      <c r="BL114" s="17">
        <f>IF(BK114=1,IF(COUNTIFS($A$2:$A$201,$A114,$BK$2:$BK$201,1,$G$2:$G$201,"&lt;"&amp;G114)+COUNTIFS($A$2:$A$201,$A114,$BK$2:$BK$201,1,$G$2:$G$201,G114,$AT$2:$AT$201,"&lt;"&amp;AT114)=0,1,0),0)</f>
        <v/>
      </c>
      <c r="BM114" s="17">
        <f>IF(BL114=1,$A114,"")</f>
        <v/>
      </c>
      <c r="BN114" s="17">
        <f>IF(AND(AU114=1,T114="Y",TRIM(U114)=""),1,0)</f>
        <v/>
      </c>
      <c r="BO114" s="17">
        <f>IF(AU114=1,AJ114&amp;"","")</f>
        <v/>
      </c>
      <c r="BP114" s="17">
        <f>IF(AU114=1,AK114&amp;"","")</f>
        <v/>
      </c>
      <c r="BQ114" s="17">
        <f>IF(AU114=1,AL114&amp;"","")</f>
        <v/>
      </c>
      <c r="BR114" s="17">
        <f>IF(AND(AU114=1,ISNUMBER(AP114),G114&lt;=Config!$B$5),AP114,"")</f>
        <v/>
      </c>
      <c r="BS114" s="17">
        <f>IF(AU114=1,IF(COUNTIFS($A$2:$A$201,$A114,$AN$2:$AN$201,"Y",$AU$2:$AU$201,1)&gt;0,"Y","N"),"")</f>
        <v/>
      </c>
      <c r="BT114" s="17">
        <f>IF(AND(AU114=1,AN114="maybe"),1,0)</f>
        <v/>
      </c>
      <c r="BU114" s="17">
        <f>IF(BT114=1,IF(COUNTIFS($A$2:$A$201,$A114,$BT$2:$BT$201,1,$G$2:$G$201,"&lt;"&amp;G114)+COUNTIFS($A$2:$A$201,$A114,$BT$2:$BT$201,1,$G$2:$G$201,G114,$AT$2:$AT$201,"&lt;"&amp;AT114)=0,1,0),0)</f>
        <v/>
      </c>
      <c r="BV114" s="17">
        <f>IF(AND(AU114=1,AN114="Y"),IF(COUNTIFS($A$2:$A$201,$A114,$AN$2:$AN$201,"Y",$AU$2:$AU$201,1,$G$2:$G$201,"&lt;"&amp;G114)+COUNTIFS($A$2:$A$201,$A114,$AN$2:$AN$201,"Y",$AU$2:$AU$201,1,$G$2:$G$201,G114,$AT$2:$AT$201,"&lt;"&amp;AT114)=0,1,0),0)</f>
        <v/>
      </c>
      <c r="BW114" s="17">
        <f>IF(AND(BA114=1,N(V114)&gt;=Config!$B$15),1,0)</f>
        <v/>
      </c>
      <c r="BX114" s="17">
        <f>IF(AU114=1,IFERROR(MATCH($A114,INDEX(Clay_Offices!$A$2:$FZ$601,0,Sync!$C$5),0),""),"")</f>
        <v/>
      </c>
      <c r="BY114" s="17">
        <f>IF(BX114="","",IFERROR(INDEX(Clay_Offices!$A$2:$FZ$601,BX114,Sync!$C$7)&amp;"",""))</f>
        <v/>
      </c>
      <c r="BZ114" s="17">
        <f>IF(BY114="","",IFERROR(INDEX(Lists!$J$2:$J$15,MATCH(BY114,Lists!$I$2:$I$15,0)),""))</f>
        <v/>
      </c>
      <c r="CA114" s="17">
        <f>IF(BX114="","",IFERROR(INDEX(Clay_Offices!$A$2:$FZ$601,BX114,Sync!$C$17)&amp;"",""))</f>
        <v/>
      </c>
      <c r="CB114" s="23">
        <f>IF(BX114="","",IFERROR(N(INDEX(Clay_Offices!$A$2:$FZ$601,BX114,Sync!$C$16)),0))</f>
        <v/>
      </c>
    </row>
    <row r="115">
      <c r="G115" s="22" t="n"/>
      <c r="AS115" s="17">
        <f>IF(TRIM($A115)="","",IF(AND(LEFT($A115,6)="SAMPLE",Config!$B$19&lt;&gt;"Y"),"",IF(NOT(ISNUMBER(G115)),"call_date is blank or not a date",IF(Sync!$C$5="","Clay paste is empty or has no row_id column: paste the Clay export on Clay_Offices",IF(BX115="","row_id not found in the Clay paste: add the Clay row or fix the row_id",IF(AND(ISNUMBER(BZ115),BZ115&gt;=1,BZ115&lt;=5),"Clay status is "&amp;BY115&amp;": set call_done or later",IF(AND(AW115=1,CA115&lt;&gt;BS115),"Clay yes_in_principle should be "&amp;BS115,IF(AND(AW115=1,CB115&lt;&gt;G115),"Clay call_date should be "&amp;TEXT(G115,"yyyy-mm-dd"),""))))))))</f>
        <v/>
      </c>
      <c r="AT115" s="17">
        <f>ROW()</f>
        <v/>
      </c>
      <c r="AU115" s="17">
        <f>IF(AND(TRIM($A115)&lt;&gt;"",ISNUMBER(G115)),IF(AND(LEFT($A115,6)="SAMPLE",Config!$B$19&lt;&gt;"Y"),0,1),0)</f>
        <v/>
      </c>
      <c r="AV115" s="17">
        <f>IF(AU115=1,IF(COUNTIFS($A$2:$A$201,$A115,$AU$2:$AU$201,1,$G$2:$G$201,"&lt;"&amp;G115)+COUNTIFS($A$2:$A$201,$A115,$AU$2:$AU$201,1,$G$2:$G$201,G115,$AT$2:$AT$201,"&lt;"&amp;AT115)=0,1,0),0)</f>
        <v/>
      </c>
      <c r="AW115" s="17">
        <f>IF(AU115=1,IF(COUNTIFS($A$2:$A$201,$A115,$AU$2:$AU$201,1,$G$2:$G$201,"&gt;"&amp;G115)+COUNTIFS($A$2:$A$201,$A115,$AU$2:$AU$201,1,$G$2:$G$201,G115,$AT$2:$AT$201,"&gt;"&amp;AT115)=0,1,0),0)</f>
        <v/>
      </c>
      <c r="AX115" s="17">
        <f>IF(AND(AU115=1,AN115="Y",Z115="Y",TRIM(AD115)&lt;&gt;""),1,0)</f>
        <v/>
      </c>
      <c r="AY115" s="17">
        <f>IF(AX115=1,IF(COUNTIFS($A$2:$A$201,$A115,$AX$2:$AX$201,1,$G$2:$G$201,"&lt;"&amp;G115)+COUNTIFS($A$2:$A$201,$A115,$AX$2:$AX$201,1,$G$2:$G$201,G115,$AT$2:$AT$201,"&lt;"&amp;AT115)=0,1,0),0)</f>
        <v/>
      </c>
      <c r="AZ115" s="17">
        <f>IF(AND(AU115=1,AN115="Y",AX115=0),1,0)</f>
        <v/>
      </c>
      <c r="BA115" s="17">
        <f>IF(AND(AU115=1,ISNUMBER(V115)),1,0)</f>
        <v/>
      </c>
      <c r="BB115" s="17">
        <f>IF(BA115=1,IF(COUNTIFS($A$2:$A$201,$A115,$BA$2:$BA$201,1,$G$2:$G$201,"&lt;"&amp;G115)+COUNTIFS($A$2:$A$201,$A115,$BA$2:$BA$201,1,$G$2:$G$201,G115,$AT$2:$AT$201,"&lt;"&amp;AT115)=0,1,0),0)</f>
        <v/>
      </c>
      <c r="BC115" s="17">
        <f>IF(AND(BB115=1,G115&lt;=Config!$B$6),V115,"")</f>
        <v/>
      </c>
      <c r="BD115" s="17">
        <f>IF(AND(BB115=1,G115&lt;=Config!$B$7),V115,"")</f>
        <v/>
      </c>
      <c r="BE115" s="17">
        <f>IF(AND(BB115=1,G115&lt;=Config!$B$8),V115,"")</f>
        <v/>
      </c>
      <c r="BF115" s="17">
        <f>IF(AND(BB115=1,G115&lt;=Config!$B$5),V115,"")</f>
        <v/>
      </c>
      <c r="BG115" s="17">
        <f>IF(BW115=1,IF(COUNTIFS($A$2:$A$201,$A115,$BW$2:$BW$201,1,$G$2:$G$201,"&lt;"&amp;G115)+COUNTIFS($A$2:$A$201,$A115,$BW$2:$BW$201,1,$G$2:$G$201,G115,$AT$2:$AT$201,"&lt;"&amp;AT115)=0,1,0),0)</f>
        <v/>
      </c>
      <c r="BH115" s="17">
        <f>IF(AND(AU115=1,ISNUMBER(K115)),1,0)</f>
        <v/>
      </c>
      <c r="BI115" s="17">
        <f>IF(BH115=1,IF(COUNTIFS($A$2:$A$201,$A115,$BH$2:$BH$201,1,$G$2:$G$201,"&lt;"&amp;G115)+COUNTIFS($A$2:$A$201,$A115,$BH$2:$BH$201,1,$G$2:$G$201,G115,$AT$2:$AT$201,"&lt;"&amp;AT115)=0,1,0),0)</f>
        <v/>
      </c>
      <c r="BJ115" s="17">
        <f>IF(AND(BI115=1,G115&lt;=Config!$B$5),K115,"")</f>
        <v/>
      </c>
      <c r="BK115" s="17">
        <f>IF(AND(AU115=1,OR(TRIM(U115)&lt;&gt;"",ISNUMBER(V115))),1,0)</f>
        <v/>
      </c>
      <c r="BL115" s="17">
        <f>IF(BK115=1,IF(COUNTIFS($A$2:$A$201,$A115,$BK$2:$BK$201,1,$G$2:$G$201,"&lt;"&amp;G115)+COUNTIFS($A$2:$A$201,$A115,$BK$2:$BK$201,1,$G$2:$G$201,G115,$AT$2:$AT$201,"&lt;"&amp;AT115)=0,1,0),0)</f>
        <v/>
      </c>
      <c r="BM115" s="17">
        <f>IF(BL115=1,$A115,"")</f>
        <v/>
      </c>
      <c r="BN115" s="17">
        <f>IF(AND(AU115=1,T115="Y",TRIM(U115)=""),1,0)</f>
        <v/>
      </c>
      <c r="BO115" s="17">
        <f>IF(AU115=1,AJ115&amp;"","")</f>
        <v/>
      </c>
      <c r="BP115" s="17">
        <f>IF(AU115=1,AK115&amp;"","")</f>
        <v/>
      </c>
      <c r="BQ115" s="17">
        <f>IF(AU115=1,AL115&amp;"","")</f>
        <v/>
      </c>
      <c r="BR115" s="17">
        <f>IF(AND(AU115=1,ISNUMBER(AP115),G115&lt;=Config!$B$5),AP115,"")</f>
        <v/>
      </c>
      <c r="BS115" s="17">
        <f>IF(AU115=1,IF(COUNTIFS($A$2:$A$201,$A115,$AN$2:$AN$201,"Y",$AU$2:$AU$201,1)&gt;0,"Y","N"),"")</f>
        <v/>
      </c>
      <c r="BT115" s="17">
        <f>IF(AND(AU115=1,AN115="maybe"),1,0)</f>
        <v/>
      </c>
      <c r="BU115" s="17">
        <f>IF(BT115=1,IF(COUNTIFS($A$2:$A$201,$A115,$BT$2:$BT$201,1,$G$2:$G$201,"&lt;"&amp;G115)+COUNTIFS($A$2:$A$201,$A115,$BT$2:$BT$201,1,$G$2:$G$201,G115,$AT$2:$AT$201,"&lt;"&amp;AT115)=0,1,0),0)</f>
        <v/>
      </c>
      <c r="BV115" s="17">
        <f>IF(AND(AU115=1,AN115="Y"),IF(COUNTIFS($A$2:$A$201,$A115,$AN$2:$AN$201,"Y",$AU$2:$AU$201,1,$G$2:$G$201,"&lt;"&amp;G115)+COUNTIFS($A$2:$A$201,$A115,$AN$2:$AN$201,"Y",$AU$2:$AU$201,1,$G$2:$G$201,G115,$AT$2:$AT$201,"&lt;"&amp;AT115)=0,1,0),0)</f>
        <v/>
      </c>
      <c r="BW115" s="17">
        <f>IF(AND(BA115=1,N(V115)&gt;=Config!$B$15),1,0)</f>
        <v/>
      </c>
      <c r="BX115" s="17">
        <f>IF(AU115=1,IFERROR(MATCH($A115,INDEX(Clay_Offices!$A$2:$FZ$601,0,Sync!$C$5),0),""),"")</f>
        <v/>
      </c>
      <c r="BY115" s="17">
        <f>IF(BX115="","",IFERROR(INDEX(Clay_Offices!$A$2:$FZ$601,BX115,Sync!$C$7)&amp;"",""))</f>
        <v/>
      </c>
      <c r="BZ115" s="17">
        <f>IF(BY115="","",IFERROR(INDEX(Lists!$J$2:$J$15,MATCH(BY115,Lists!$I$2:$I$15,0)),""))</f>
        <v/>
      </c>
      <c r="CA115" s="17">
        <f>IF(BX115="","",IFERROR(INDEX(Clay_Offices!$A$2:$FZ$601,BX115,Sync!$C$17)&amp;"",""))</f>
        <v/>
      </c>
      <c r="CB115" s="23">
        <f>IF(BX115="","",IFERROR(N(INDEX(Clay_Offices!$A$2:$FZ$601,BX115,Sync!$C$16)),0))</f>
        <v/>
      </c>
    </row>
    <row r="116">
      <c r="G116" s="22" t="n"/>
      <c r="AS116" s="17">
        <f>IF(TRIM($A116)="","",IF(AND(LEFT($A116,6)="SAMPLE",Config!$B$19&lt;&gt;"Y"),"",IF(NOT(ISNUMBER(G116)),"call_date is blank or not a date",IF(Sync!$C$5="","Clay paste is empty or has no row_id column: paste the Clay export on Clay_Offices",IF(BX116="","row_id not found in the Clay paste: add the Clay row or fix the row_id",IF(AND(ISNUMBER(BZ116),BZ116&gt;=1,BZ116&lt;=5),"Clay status is "&amp;BY116&amp;": set call_done or later",IF(AND(AW116=1,CA116&lt;&gt;BS116),"Clay yes_in_principle should be "&amp;BS116,IF(AND(AW116=1,CB116&lt;&gt;G116),"Clay call_date should be "&amp;TEXT(G116,"yyyy-mm-dd"),""))))))))</f>
        <v/>
      </c>
      <c r="AT116" s="17">
        <f>ROW()</f>
        <v/>
      </c>
      <c r="AU116" s="17">
        <f>IF(AND(TRIM($A116)&lt;&gt;"",ISNUMBER(G116)),IF(AND(LEFT($A116,6)="SAMPLE",Config!$B$19&lt;&gt;"Y"),0,1),0)</f>
        <v/>
      </c>
      <c r="AV116" s="17">
        <f>IF(AU116=1,IF(COUNTIFS($A$2:$A$201,$A116,$AU$2:$AU$201,1,$G$2:$G$201,"&lt;"&amp;G116)+COUNTIFS($A$2:$A$201,$A116,$AU$2:$AU$201,1,$G$2:$G$201,G116,$AT$2:$AT$201,"&lt;"&amp;AT116)=0,1,0),0)</f>
        <v/>
      </c>
      <c r="AW116" s="17">
        <f>IF(AU116=1,IF(COUNTIFS($A$2:$A$201,$A116,$AU$2:$AU$201,1,$G$2:$G$201,"&gt;"&amp;G116)+COUNTIFS($A$2:$A$201,$A116,$AU$2:$AU$201,1,$G$2:$G$201,G116,$AT$2:$AT$201,"&gt;"&amp;AT116)=0,1,0),0)</f>
        <v/>
      </c>
      <c r="AX116" s="17">
        <f>IF(AND(AU116=1,AN116="Y",Z116="Y",TRIM(AD116)&lt;&gt;""),1,0)</f>
        <v/>
      </c>
      <c r="AY116" s="17">
        <f>IF(AX116=1,IF(COUNTIFS($A$2:$A$201,$A116,$AX$2:$AX$201,1,$G$2:$G$201,"&lt;"&amp;G116)+COUNTIFS($A$2:$A$201,$A116,$AX$2:$AX$201,1,$G$2:$G$201,G116,$AT$2:$AT$201,"&lt;"&amp;AT116)=0,1,0),0)</f>
        <v/>
      </c>
      <c r="AZ116" s="17">
        <f>IF(AND(AU116=1,AN116="Y",AX116=0),1,0)</f>
        <v/>
      </c>
      <c r="BA116" s="17">
        <f>IF(AND(AU116=1,ISNUMBER(V116)),1,0)</f>
        <v/>
      </c>
      <c r="BB116" s="17">
        <f>IF(BA116=1,IF(COUNTIFS($A$2:$A$201,$A116,$BA$2:$BA$201,1,$G$2:$G$201,"&lt;"&amp;G116)+COUNTIFS($A$2:$A$201,$A116,$BA$2:$BA$201,1,$G$2:$G$201,G116,$AT$2:$AT$201,"&lt;"&amp;AT116)=0,1,0),0)</f>
        <v/>
      </c>
      <c r="BC116" s="17">
        <f>IF(AND(BB116=1,G116&lt;=Config!$B$6),V116,"")</f>
        <v/>
      </c>
      <c r="BD116" s="17">
        <f>IF(AND(BB116=1,G116&lt;=Config!$B$7),V116,"")</f>
        <v/>
      </c>
      <c r="BE116" s="17">
        <f>IF(AND(BB116=1,G116&lt;=Config!$B$8),V116,"")</f>
        <v/>
      </c>
      <c r="BF116" s="17">
        <f>IF(AND(BB116=1,G116&lt;=Config!$B$5),V116,"")</f>
        <v/>
      </c>
      <c r="BG116" s="17">
        <f>IF(BW116=1,IF(COUNTIFS($A$2:$A$201,$A116,$BW$2:$BW$201,1,$G$2:$G$201,"&lt;"&amp;G116)+COUNTIFS($A$2:$A$201,$A116,$BW$2:$BW$201,1,$G$2:$G$201,G116,$AT$2:$AT$201,"&lt;"&amp;AT116)=0,1,0),0)</f>
        <v/>
      </c>
      <c r="BH116" s="17">
        <f>IF(AND(AU116=1,ISNUMBER(K116)),1,0)</f>
        <v/>
      </c>
      <c r="BI116" s="17">
        <f>IF(BH116=1,IF(COUNTIFS($A$2:$A$201,$A116,$BH$2:$BH$201,1,$G$2:$G$201,"&lt;"&amp;G116)+COUNTIFS($A$2:$A$201,$A116,$BH$2:$BH$201,1,$G$2:$G$201,G116,$AT$2:$AT$201,"&lt;"&amp;AT116)=0,1,0),0)</f>
        <v/>
      </c>
      <c r="BJ116" s="17">
        <f>IF(AND(BI116=1,G116&lt;=Config!$B$5),K116,"")</f>
        <v/>
      </c>
      <c r="BK116" s="17">
        <f>IF(AND(AU116=1,OR(TRIM(U116)&lt;&gt;"",ISNUMBER(V116))),1,0)</f>
        <v/>
      </c>
      <c r="BL116" s="17">
        <f>IF(BK116=1,IF(COUNTIFS($A$2:$A$201,$A116,$BK$2:$BK$201,1,$G$2:$G$201,"&lt;"&amp;G116)+COUNTIFS($A$2:$A$201,$A116,$BK$2:$BK$201,1,$G$2:$G$201,G116,$AT$2:$AT$201,"&lt;"&amp;AT116)=0,1,0),0)</f>
        <v/>
      </c>
      <c r="BM116" s="17">
        <f>IF(BL116=1,$A116,"")</f>
        <v/>
      </c>
      <c r="BN116" s="17">
        <f>IF(AND(AU116=1,T116="Y",TRIM(U116)=""),1,0)</f>
        <v/>
      </c>
      <c r="BO116" s="17">
        <f>IF(AU116=1,AJ116&amp;"","")</f>
        <v/>
      </c>
      <c r="BP116" s="17">
        <f>IF(AU116=1,AK116&amp;"","")</f>
        <v/>
      </c>
      <c r="BQ116" s="17">
        <f>IF(AU116=1,AL116&amp;"","")</f>
        <v/>
      </c>
      <c r="BR116" s="17">
        <f>IF(AND(AU116=1,ISNUMBER(AP116),G116&lt;=Config!$B$5),AP116,"")</f>
        <v/>
      </c>
      <c r="BS116" s="17">
        <f>IF(AU116=1,IF(COUNTIFS($A$2:$A$201,$A116,$AN$2:$AN$201,"Y",$AU$2:$AU$201,1)&gt;0,"Y","N"),"")</f>
        <v/>
      </c>
      <c r="BT116" s="17">
        <f>IF(AND(AU116=1,AN116="maybe"),1,0)</f>
        <v/>
      </c>
      <c r="BU116" s="17">
        <f>IF(BT116=1,IF(COUNTIFS($A$2:$A$201,$A116,$BT$2:$BT$201,1,$G$2:$G$201,"&lt;"&amp;G116)+COUNTIFS($A$2:$A$201,$A116,$BT$2:$BT$201,1,$G$2:$G$201,G116,$AT$2:$AT$201,"&lt;"&amp;AT116)=0,1,0),0)</f>
        <v/>
      </c>
      <c r="BV116" s="17">
        <f>IF(AND(AU116=1,AN116="Y"),IF(COUNTIFS($A$2:$A$201,$A116,$AN$2:$AN$201,"Y",$AU$2:$AU$201,1,$G$2:$G$201,"&lt;"&amp;G116)+COUNTIFS($A$2:$A$201,$A116,$AN$2:$AN$201,"Y",$AU$2:$AU$201,1,$G$2:$G$201,G116,$AT$2:$AT$201,"&lt;"&amp;AT116)=0,1,0),0)</f>
        <v/>
      </c>
      <c r="BW116" s="17">
        <f>IF(AND(BA116=1,N(V116)&gt;=Config!$B$15),1,0)</f>
        <v/>
      </c>
      <c r="BX116" s="17">
        <f>IF(AU116=1,IFERROR(MATCH($A116,INDEX(Clay_Offices!$A$2:$FZ$601,0,Sync!$C$5),0),""),"")</f>
        <v/>
      </c>
      <c r="BY116" s="17">
        <f>IF(BX116="","",IFERROR(INDEX(Clay_Offices!$A$2:$FZ$601,BX116,Sync!$C$7)&amp;"",""))</f>
        <v/>
      </c>
      <c r="BZ116" s="17">
        <f>IF(BY116="","",IFERROR(INDEX(Lists!$J$2:$J$15,MATCH(BY116,Lists!$I$2:$I$15,0)),""))</f>
        <v/>
      </c>
      <c r="CA116" s="17">
        <f>IF(BX116="","",IFERROR(INDEX(Clay_Offices!$A$2:$FZ$601,BX116,Sync!$C$17)&amp;"",""))</f>
        <v/>
      </c>
      <c r="CB116" s="23">
        <f>IF(BX116="","",IFERROR(N(INDEX(Clay_Offices!$A$2:$FZ$601,BX116,Sync!$C$16)),0))</f>
        <v/>
      </c>
    </row>
    <row r="117">
      <c r="G117" s="22" t="n"/>
      <c r="AS117" s="17">
        <f>IF(TRIM($A117)="","",IF(AND(LEFT($A117,6)="SAMPLE",Config!$B$19&lt;&gt;"Y"),"",IF(NOT(ISNUMBER(G117)),"call_date is blank or not a date",IF(Sync!$C$5="","Clay paste is empty or has no row_id column: paste the Clay export on Clay_Offices",IF(BX117="","row_id not found in the Clay paste: add the Clay row or fix the row_id",IF(AND(ISNUMBER(BZ117),BZ117&gt;=1,BZ117&lt;=5),"Clay status is "&amp;BY117&amp;": set call_done or later",IF(AND(AW117=1,CA117&lt;&gt;BS117),"Clay yes_in_principle should be "&amp;BS117,IF(AND(AW117=1,CB117&lt;&gt;G117),"Clay call_date should be "&amp;TEXT(G117,"yyyy-mm-dd"),""))))))))</f>
        <v/>
      </c>
      <c r="AT117" s="17">
        <f>ROW()</f>
        <v/>
      </c>
      <c r="AU117" s="17">
        <f>IF(AND(TRIM($A117)&lt;&gt;"",ISNUMBER(G117)),IF(AND(LEFT($A117,6)="SAMPLE",Config!$B$19&lt;&gt;"Y"),0,1),0)</f>
        <v/>
      </c>
      <c r="AV117" s="17">
        <f>IF(AU117=1,IF(COUNTIFS($A$2:$A$201,$A117,$AU$2:$AU$201,1,$G$2:$G$201,"&lt;"&amp;G117)+COUNTIFS($A$2:$A$201,$A117,$AU$2:$AU$201,1,$G$2:$G$201,G117,$AT$2:$AT$201,"&lt;"&amp;AT117)=0,1,0),0)</f>
        <v/>
      </c>
      <c r="AW117" s="17">
        <f>IF(AU117=1,IF(COUNTIFS($A$2:$A$201,$A117,$AU$2:$AU$201,1,$G$2:$G$201,"&gt;"&amp;G117)+COUNTIFS($A$2:$A$201,$A117,$AU$2:$AU$201,1,$G$2:$G$201,G117,$AT$2:$AT$201,"&gt;"&amp;AT117)=0,1,0),0)</f>
        <v/>
      </c>
      <c r="AX117" s="17">
        <f>IF(AND(AU117=1,AN117="Y",Z117="Y",TRIM(AD117)&lt;&gt;""),1,0)</f>
        <v/>
      </c>
      <c r="AY117" s="17">
        <f>IF(AX117=1,IF(COUNTIFS($A$2:$A$201,$A117,$AX$2:$AX$201,1,$G$2:$G$201,"&lt;"&amp;G117)+COUNTIFS($A$2:$A$201,$A117,$AX$2:$AX$201,1,$G$2:$G$201,G117,$AT$2:$AT$201,"&lt;"&amp;AT117)=0,1,0),0)</f>
        <v/>
      </c>
      <c r="AZ117" s="17">
        <f>IF(AND(AU117=1,AN117="Y",AX117=0),1,0)</f>
        <v/>
      </c>
      <c r="BA117" s="17">
        <f>IF(AND(AU117=1,ISNUMBER(V117)),1,0)</f>
        <v/>
      </c>
      <c r="BB117" s="17">
        <f>IF(BA117=1,IF(COUNTIFS($A$2:$A$201,$A117,$BA$2:$BA$201,1,$G$2:$G$201,"&lt;"&amp;G117)+COUNTIFS($A$2:$A$201,$A117,$BA$2:$BA$201,1,$G$2:$G$201,G117,$AT$2:$AT$201,"&lt;"&amp;AT117)=0,1,0),0)</f>
        <v/>
      </c>
      <c r="BC117" s="17">
        <f>IF(AND(BB117=1,G117&lt;=Config!$B$6),V117,"")</f>
        <v/>
      </c>
      <c r="BD117" s="17">
        <f>IF(AND(BB117=1,G117&lt;=Config!$B$7),V117,"")</f>
        <v/>
      </c>
      <c r="BE117" s="17">
        <f>IF(AND(BB117=1,G117&lt;=Config!$B$8),V117,"")</f>
        <v/>
      </c>
      <c r="BF117" s="17">
        <f>IF(AND(BB117=1,G117&lt;=Config!$B$5),V117,"")</f>
        <v/>
      </c>
      <c r="BG117" s="17">
        <f>IF(BW117=1,IF(COUNTIFS($A$2:$A$201,$A117,$BW$2:$BW$201,1,$G$2:$G$201,"&lt;"&amp;G117)+COUNTIFS($A$2:$A$201,$A117,$BW$2:$BW$201,1,$G$2:$G$201,G117,$AT$2:$AT$201,"&lt;"&amp;AT117)=0,1,0),0)</f>
        <v/>
      </c>
      <c r="BH117" s="17">
        <f>IF(AND(AU117=1,ISNUMBER(K117)),1,0)</f>
        <v/>
      </c>
      <c r="BI117" s="17">
        <f>IF(BH117=1,IF(COUNTIFS($A$2:$A$201,$A117,$BH$2:$BH$201,1,$G$2:$G$201,"&lt;"&amp;G117)+COUNTIFS($A$2:$A$201,$A117,$BH$2:$BH$201,1,$G$2:$G$201,G117,$AT$2:$AT$201,"&lt;"&amp;AT117)=0,1,0),0)</f>
        <v/>
      </c>
      <c r="BJ117" s="17">
        <f>IF(AND(BI117=1,G117&lt;=Config!$B$5),K117,"")</f>
        <v/>
      </c>
      <c r="BK117" s="17">
        <f>IF(AND(AU117=1,OR(TRIM(U117)&lt;&gt;"",ISNUMBER(V117))),1,0)</f>
        <v/>
      </c>
      <c r="BL117" s="17">
        <f>IF(BK117=1,IF(COUNTIFS($A$2:$A$201,$A117,$BK$2:$BK$201,1,$G$2:$G$201,"&lt;"&amp;G117)+COUNTIFS($A$2:$A$201,$A117,$BK$2:$BK$201,1,$G$2:$G$201,G117,$AT$2:$AT$201,"&lt;"&amp;AT117)=0,1,0),0)</f>
        <v/>
      </c>
      <c r="BM117" s="17">
        <f>IF(BL117=1,$A117,"")</f>
        <v/>
      </c>
      <c r="BN117" s="17">
        <f>IF(AND(AU117=1,T117="Y",TRIM(U117)=""),1,0)</f>
        <v/>
      </c>
      <c r="BO117" s="17">
        <f>IF(AU117=1,AJ117&amp;"","")</f>
        <v/>
      </c>
      <c r="BP117" s="17">
        <f>IF(AU117=1,AK117&amp;"","")</f>
        <v/>
      </c>
      <c r="BQ117" s="17">
        <f>IF(AU117=1,AL117&amp;"","")</f>
        <v/>
      </c>
      <c r="BR117" s="17">
        <f>IF(AND(AU117=1,ISNUMBER(AP117),G117&lt;=Config!$B$5),AP117,"")</f>
        <v/>
      </c>
      <c r="BS117" s="17">
        <f>IF(AU117=1,IF(COUNTIFS($A$2:$A$201,$A117,$AN$2:$AN$201,"Y",$AU$2:$AU$201,1)&gt;0,"Y","N"),"")</f>
        <v/>
      </c>
      <c r="BT117" s="17">
        <f>IF(AND(AU117=1,AN117="maybe"),1,0)</f>
        <v/>
      </c>
      <c r="BU117" s="17">
        <f>IF(BT117=1,IF(COUNTIFS($A$2:$A$201,$A117,$BT$2:$BT$201,1,$G$2:$G$201,"&lt;"&amp;G117)+COUNTIFS($A$2:$A$201,$A117,$BT$2:$BT$201,1,$G$2:$G$201,G117,$AT$2:$AT$201,"&lt;"&amp;AT117)=0,1,0),0)</f>
        <v/>
      </c>
      <c r="BV117" s="17">
        <f>IF(AND(AU117=1,AN117="Y"),IF(COUNTIFS($A$2:$A$201,$A117,$AN$2:$AN$201,"Y",$AU$2:$AU$201,1,$G$2:$G$201,"&lt;"&amp;G117)+COUNTIFS($A$2:$A$201,$A117,$AN$2:$AN$201,"Y",$AU$2:$AU$201,1,$G$2:$G$201,G117,$AT$2:$AT$201,"&lt;"&amp;AT117)=0,1,0),0)</f>
        <v/>
      </c>
      <c r="BW117" s="17">
        <f>IF(AND(BA117=1,N(V117)&gt;=Config!$B$15),1,0)</f>
        <v/>
      </c>
      <c r="BX117" s="17">
        <f>IF(AU117=1,IFERROR(MATCH($A117,INDEX(Clay_Offices!$A$2:$FZ$601,0,Sync!$C$5),0),""),"")</f>
        <v/>
      </c>
      <c r="BY117" s="17">
        <f>IF(BX117="","",IFERROR(INDEX(Clay_Offices!$A$2:$FZ$601,BX117,Sync!$C$7)&amp;"",""))</f>
        <v/>
      </c>
      <c r="BZ117" s="17">
        <f>IF(BY117="","",IFERROR(INDEX(Lists!$J$2:$J$15,MATCH(BY117,Lists!$I$2:$I$15,0)),""))</f>
        <v/>
      </c>
      <c r="CA117" s="17">
        <f>IF(BX117="","",IFERROR(INDEX(Clay_Offices!$A$2:$FZ$601,BX117,Sync!$C$17)&amp;"",""))</f>
        <v/>
      </c>
      <c r="CB117" s="23">
        <f>IF(BX117="","",IFERROR(N(INDEX(Clay_Offices!$A$2:$FZ$601,BX117,Sync!$C$16)),0))</f>
        <v/>
      </c>
    </row>
    <row r="118">
      <c r="G118" s="22" t="n"/>
      <c r="AS118" s="17">
        <f>IF(TRIM($A118)="","",IF(AND(LEFT($A118,6)="SAMPLE",Config!$B$19&lt;&gt;"Y"),"",IF(NOT(ISNUMBER(G118)),"call_date is blank or not a date",IF(Sync!$C$5="","Clay paste is empty or has no row_id column: paste the Clay export on Clay_Offices",IF(BX118="","row_id not found in the Clay paste: add the Clay row or fix the row_id",IF(AND(ISNUMBER(BZ118),BZ118&gt;=1,BZ118&lt;=5),"Clay status is "&amp;BY118&amp;": set call_done or later",IF(AND(AW118=1,CA118&lt;&gt;BS118),"Clay yes_in_principle should be "&amp;BS118,IF(AND(AW118=1,CB118&lt;&gt;G118),"Clay call_date should be "&amp;TEXT(G118,"yyyy-mm-dd"),""))))))))</f>
        <v/>
      </c>
      <c r="AT118" s="17">
        <f>ROW()</f>
        <v/>
      </c>
      <c r="AU118" s="17">
        <f>IF(AND(TRIM($A118)&lt;&gt;"",ISNUMBER(G118)),IF(AND(LEFT($A118,6)="SAMPLE",Config!$B$19&lt;&gt;"Y"),0,1),0)</f>
        <v/>
      </c>
      <c r="AV118" s="17">
        <f>IF(AU118=1,IF(COUNTIFS($A$2:$A$201,$A118,$AU$2:$AU$201,1,$G$2:$G$201,"&lt;"&amp;G118)+COUNTIFS($A$2:$A$201,$A118,$AU$2:$AU$201,1,$G$2:$G$201,G118,$AT$2:$AT$201,"&lt;"&amp;AT118)=0,1,0),0)</f>
        <v/>
      </c>
      <c r="AW118" s="17">
        <f>IF(AU118=1,IF(COUNTIFS($A$2:$A$201,$A118,$AU$2:$AU$201,1,$G$2:$G$201,"&gt;"&amp;G118)+COUNTIFS($A$2:$A$201,$A118,$AU$2:$AU$201,1,$G$2:$G$201,G118,$AT$2:$AT$201,"&gt;"&amp;AT118)=0,1,0),0)</f>
        <v/>
      </c>
      <c r="AX118" s="17">
        <f>IF(AND(AU118=1,AN118="Y",Z118="Y",TRIM(AD118)&lt;&gt;""),1,0)</f>
        <v/>
      </c>
      <c r="AY118" s="17">
        <f>IF(AX118=1,IF(COUNTIFS($A$2:$A$201,$A118,$AX$2:$AX$201,1,$G$2:$G$201,"&lt;"&amp;G118)+COUNTIFS($A$2:$A$201,$A118,$AX$2:$AX$201,1,$G$2:$G$201,G118,$AT$2:$AT$201,"&lt;"&amp;AT118)=0,1,0),0)</f>
        <v/>
      </c>
      <c r="AZ118" s="17">
        <f>IF(AND(AU118=1,AN118="Y",AX118=0),1,0)</f>
        <v/>
      </c>
      <c r="BA118" s="17">
        <f>IF(AND(AU118=1,ISNUMBER(V118)),1,0)</f>
        <v/>
      </c>
      <c r="BB118" s="17">
        <f>IF(BA118=1,IF(COUNTIFS($A$2:$A$201,$A118,$BA$2:$BA$201,1,$G$2:$G$201,"&lt;"&amp;G118)+COUNTIFS($A$2:$A$201,$A118,$BA$2:$BA$201,1,$G$2:$G$201,G118,$AT$2:$AT$201,"&lt;"&amp;AT118)=0,1,0),0)</f>
        <v/>
      </c>
      <c r="BC118" s="17">
        <f>IF(AND(BB118=1,G118&lt;=Config!$B$6),V118,"")</f>
        <v/>
      </c>
      <c r="BD118" s="17">
        <f>IF(AND(BB118=1,G118&lt;=Config!$B$7),V118,"")</f>
        <v/>
      </c>
      <c r="BE118" s="17">
        <f>IF(AND(BB118=1,G118&lt;=Config!$B$8),V118,"")</f>
        <v/>
      </c>
      <c r="BF118" s="17">
        <f>IF(AND(BB118=1,G118&lt;=Config!$B$5),V118,"")</f>
        <v/>
      </c>
      <c r="BG118" s="17">
        <f>IF(BW118=1,IF(COUNTIFS($A$2:$A$201,$A118,$BW$2:$BW$201,1,$G$2:$G$201,"&lt;"&amp;G118)+COUNTIFS($A$2:$A$201,$A118,$BW$2:$BW$201,1,$G$2:$G$201,G118,$AT$2:$AT$201,"&lt;"&amp;AT118)=0,1,0),0)</f>
        <v/>
      </c>
      <c r="BH118" s="17">
        <f>IF(AND(AU118=1,ISNUMBER(K118)),1,0)</f>
        <v/>
      </c>
      <c r="BI118" s="17">
        <f>IF(BH118=1,IF(COUNTIFS($A$2:$A$201,$A118,$BH$2:$BH$201,1,$G$2:$G$201,"&lt;"&amp;G118)+COUNTIFS($A$2:$A$201,$A118,$BH$2:$BH$201,1,$G$2:$G$201,G118,$AT$2:$AT$201,"&lt;"&amp;AT118)=0,1,0),0)</f>
        <v/>
      </c>
      <c r="BJ118" s="17">
        <f>IF(AND(BI118=1,G118&lt;=Config!$B$5),K118,"")</f>
        <v/>
      </c>
      <c r="BK118" s="17">
        <f>IF(AND(AU118=1,OR(TRIM(U118)&lt;&gt;"",ISNUMBER(V118))),1,0)</f>
        <v/>
      </c>
      <c r="BL118" s="17">
        <f>IF(BK118=1,IF(COUNTIFS($A$2:$A$201,$A118,$BK$2:$BK$201,1,$G$2:$G$201,"&lt;"&amp;G118)+COUNTIFS($A$2:$A$201,$A118,$BK$2:$BK$201,1,$G$2:$G$201,G118,$AT$2:$AT$201,"&lt;"&amp;AT118)=0,1,0),0)</f>
        <v/>
      </c>
      <c r="BM118" s="17">
        <f>IF(BL118=1,$A118,"")</f>
        <v/>
      </c>
      <c r="BN118" s="17">
        <f>IF(AND(AU118=1,T118="Y",TRIM(U118)=""),1,0)</f>
        <v/>
      </c>
      <c r="BO118" s="17">
        <f>IF(AU118=1,AJ118&amp;"","")</f>
        <v/>
      </c>
      <c r="BP118" s="17">
        <f>IF(AU118=1,AK118&amp;"","")</f>
        <v/>
      </c>
      <c r="BQ118" s="17">
        <f>IF(AU118=1,AL118&amp;"","")</f>
        <v/>
      </c>
      <c r="BR118" s="17">
        <f>IF(AND(AU118=1,ISNUMBER(AP118),G118&lt;=Config!$B$5),AP118,"")</f>
        <v/>
      </c>
      <c r="BS118" s="17">
        <f>IF(AU118=1,IF(COUNTIFS($A$2:$A$201,$A118,$AN$2:$AN$201,"Y",$AU$2:$AU$201,1)&gt;0,"Y","N"),"")</f>
        <v/>
      </c>
      <c r="BT118" s="17">
        <f>IF(AND(AU118=1,AN118="maybe"),1,0)</f>
        <v/>
      </c>
      <c r="BU118" s="17">
        <f>IF(BT118=1,IF(COUNTIFS($A$2:$A$201,$A118,$BT$2:$BT$201,1,$G$2:$G$201,"&lt;"&amp;G118)+COUNTIFS($A$2:$A$201,$A118,$BT$2:$BT$201,1,$G$2:$G$201,G118,$AT$2:$AT$201,"&lt;"&amp;AT118)=0,1,0),0)</f>
        <v/>
      </c>
      <c r="BV118" s="17">
        <f>IF(AND(AU118=1,AN118="Y"),IF(COUNTIFS($A$2:$A$201,$A118,$AN$2:$AN$201,"Y",$AU$2:$AU$201,1,$G$2:$G$201,"&lt;"&amp;G118)+COUNTIFS($A$2:$A$201,$A118,$AN$2:$AN$201,"Y",$AU$2:$AU$201,1,$G$2:$G$201,G118,$AT$2:$AT$201,"&lt;"&amp;AT118)=0,1,0),0)</f>
        <v/>
      </c>
      <c r="BW118" s="17">
        <f>IF(AND(BA118=1,N(V118)&gt;=Config!$B$15),1,0)</f>
        <v/>
      </c>
      <c r="BX118" s="17">
        <f>IF(AU118=1,IFERROR(MATCH($A118,INDEX(Clay_Offices!$A$2:$FZ$601,0,Sync!$C$5),0),""),"")</f>
        <v/>
      </c>
      <c r="BY118" s="17">
        <f>IF(BX118="","",IFERROR(INDEX(Clay_Offices!$A$2:$FZ$601,BX118,Sync!$C$7)&amp;"",""))</f>
        <v/>
      </c>
      <c r="BZ118" s="17">
        <f>IF(BY118="","",IFERROR(INDEX(Lists!$J$2:$J$15,MATCH(BY118,Lists!$I$2:$I$15,0)),""))</f>
        <v/>
      </c>
      <c r="CA118" s="17">
        <f>IF(BX118="","",IFERROR(INDEX(Clay_Offices!$A$2:$FZ$601,BX118,Sync!$C$17)&amp;"",""))</f>
        <v/>
      </c>
      <c r="CB118" s="23">
        <f>IF(BX118="","",IFERROR(N(INDEX(Clay_Offices!$A$2:$FZ$601,BX118,Sync!$C$16)),0))</f>
        <v/>
      </c>
    </row>
    <row r="119">
      <c r="G119" s="22" t="n"/>
      <c r="AS119" s="17">
        <f>IF(TRIM($A119)="","",IF(AND(LEFT($A119,6)="SAMPLE",Config!$B$19&lt;&gt;"Y"),"",IF(NOT(ISNUMBER(G119)),"call_date is blank or not a date",IF(Sync!$C$5="","Clay paste is empty or has no row_id column: paste the Clay export on Clay_Offices",IF(BX119="","row_id not found in the Clay paste: add the Clay row or fix the row_id",IF(AND(ISNUMBER(BZ119),BZ119&gt;=1,BZ119&lt;=5),"Clay status is "&amp;BY119&amp;": set call_done or later",IF(AND(AW119=1,CA119&lt;&gt;BS119),"Clay yes_in_principle should be "&amp;BS119,IF(AND(AW119=1,CB119&lt;&gt;G119),"Clay call_date should be "&amp;TEXT(G119,"yyyy-mm-dd"),""))))))))</f>
        <v/>
      </c>
      <c r="AT119" s="17">
        <f>ROW()</f>
        <v/>
      </c>
      <c r="AU119" s="17">
        <f>IF(AND(TRIM($A119)&lt;&gt;"",ISNUMBER(G119)),IF(AND(LEFT($A119,6)="SAMPLE",Config!$B$19&lt;&gt;"Y"),0,1),0)</f>
        <v/>
      </c>
      <c r="AV119" s="17">
        <f>IF(AU119=1,IF(COUNTIFS($A$2:$A$201,$A119,$AU$2:$AU$201,1,$G$2:$G$201,"&lt;"&amp;G119)+COUNTIFS($A$2:$A$201,$A119,$AU$2:$AU$201,1,$G$2:$G$201,G119,$AT$2:$AT$201,"&lt;"&amp;AT119)=0,1,0),0)</f>
        <v/>
      </c>
      <c r="AW119" s="17">
        <f>IF(AU119=1,IF(COUNTIFS($A$2:$A$201,$A119,$AU$2:$AU$201,1,$G$2:$G$201,"&gt;"&amp;G119)+COUNTIFS($A$2:$A$201,$A119,$AU$2:$AU$201,1,$G$2:$G$201,G119,$AT$2:$AT$201,"&gt;"&amp;AT119)=0,1,0),0)</f>
        <v/>
      </c>
      <c r="AX119" s="17">
        <f>IF(AND(AU119=1,AN119="Y",Z119="Y",TRIM(AD119)&lt;&gt;""),1,0)</f>
        <v/>
      </c>
      <c r="AY119" s="17">
        <f>IF(AX119=1,IF(COUNTIFS($A$2:$A$201,$A119,$AX$2:$AX$201,1,$G$2:$G$201,"&lt;"&amp;G119)+COUNTIFS($A$2:$A$201,$A119,$AX$2:$AX$201,1,$G$2:$G$201,G119,$AT$2:$AT$201,"&lt;"&amp;AT119)=0,1,0),0)</f>
        <v/>
      </c>
      <c r="AZ119" s="17">
        <f>IF(AND(AU119=1,AN119="Y",AX119=0),1,0)</f>
        <v/>
      </c>
      <c r="BA119" s="17">
        <f>IF(AND(AU119=1,ISNUMBER(V119)),1,0)</f>
        <v/>
      </c>
      <c r="BB119" s="17">
        <f>IF(BA119=1,IF(COUNTIFS($A$2:$A$201,$A119,$BA$2:$BA$201,1,$G$2:$G$201,"&lt;"&amp;G119)+COUNTIFS($A$2:$A$201,$A119,$BA$2:$BA$201,1,$G$2:$G$201,G119,$AT$2:$AT$201,"&lt;"&amp;AT119)=0,1,0),0)</f>
        <v/>
      </c>
      <c r="BC119" s="17">
        <f>IF(AND(BB119=1,G119&lt;=Config!$B$6),V119,"")</f>
        <v/>
      </c>
      <c r="BD119" s="17">
        <f>IF(AND(BB119=1,G119&lt;=Config!$B$7),V119,"")</f>
        <v/>
      </c>
      <c r="BE119" s="17">
        <f>IF(AND(BB119=1,G119&lt;=Config!$B$8),V119,"")</f>
        <v/>
      </c>
      <c r="BF119" s="17">
        <f>IF(AND(BB119=1,G119&lt;=Config!$B$5),V119,"")</f>
        <v/>
      </c>
      <c r="BG119" s="17">
        <f>IF(BW119=1,IF(COUNTIFS($A$2:$A$201,$A119,$BW$2:$BW$201,1,$G$2:$G$201,"&lt;"&amp;G119)+COUNTIFS($A$2:$A$201,$A119,$BW$2:$BW$201,1,$G$2:$G$201,G119,$AT$2:$AT$201,"&lt;"&amp;AT119)=0,1,0),0)</f>
        <v/>
      </c>
      <c r="BH119" s="17">
        <f>IF(AND(AU119=1,ISNUMBER(K119)),1,0)</f>
        <v/>
      </c>
      <c r="BI119" s="17">
        <f>IF(BH119=1,IF(COUNTIFS($A$2:$A$201,$A119,$BH$2:$BH$201,1,$G$2:$G$201,"&lt;"&amp;G119)+COUNTIFS($A$2:$A$201,$A119,$BH$2:$BH$201,1,$G$2:$G$201,G119,$AT$2:$AT$201,"&lt;"&amp;AT119)=0,1,0),0)</f>
        <v/>
      </c>
      <c r="BJ119" s="17">
        <f>IF(AND(BI119=1,G119&lt;=Config!$B$5),K119,"")</f>
        <v/>
      </c>
      <c r="BK119" s="17">
        <f>IF(AND(AU119=1,OR(TRIM(U119)&lt;&gt;"",ISNUMBER(V119))),1,0)</f>
        <v/>
      </c>
      <c r="BL119" s="17">
        <f>IF(BK119=1,IF(COUNTIFS($A$2:$A$201,$A119,$BK$2:$BK$201,1,$G$2:$G$201,"&lt;"&amp;G119)+COUNTIFS($A$2:$A$201,$A119,$BK$2:$BK$201,1,$G$2:$G$201,G119,$AT$2:$AT$201,"&lt;"&amp;AT119)=0,1,0),0)</f>
        <v/>
      </c>
      <c r="BM119" s="17">
        <f>IF(BL119=1,$A119,"")</f>
        <v/>
      </c>
      <c r="BN119" s="17">
        <f>IF(AND(AU119=1,T119="Y",TRIM(U119)=""),1,0)</f>
        <v/>
      </c>
      <c r="BO119" s="17">
        <f>IF(AU119=1,AJ119&amp;"","")</f>
        <v/>
      </c>
      <c r="BP119" s="17">
        <f>IF(AU119=1,AK119&amp;"","")</f>
        <v/>
      </c>
      <c r="BQ119" s="17">
        <f>IF(AU119=1,AL119&amp;"","")</f>
        <v/>
      </c>
      <c r="BR119" s="17">
        <f>IF(AND(AU119=1,ISNUMBER(AP119),G119&lt;=Config!$B$5),AP119,"")</f>
        <v/>
      </c>
      <c r="BS119" s="17">
        <f>IF(AU119=1,IF(COUNTIFS($A$2:$A$201,$A119,$AN$2:$AN$201,"Y",$AU$2:$AU$201,1)&gt;0,"Y","N"),"")</f>
        <v/>
      </c>
      <c r="BT119" s="17">
        <f>IF(AND(AU119=1,AN119="maybe"),1,0)</f>
        <v/>
      </c>
      <c r="BU119" s="17">
        <f>IF(BT119=1,IF(COUNTIFS($A$2:$A$201,$A119,$BT$2:$BT$201,1,$G$2:$G$201,"&lt;"&amp;G119)+COUNTIFS($A$2:$A$201,$A119,$BT$2:$BT$201,1,$G$2:$G$201,G119,$AT$2:$AT$201,"&lt;"&amp;AT119)=0,1,0),0)</f>
        <v/>
      </c>
      <c r="BV119" s="17">
        <f>IF(AND(AU119=1,AN119="Y"),IF(COUNTIFS($A$2:$A$201,$A119,$AN$2:$AN$201,"Y",$AU$2:$AU$201,1,$G$2:$G$201,"&lt;"&amp;G119)+COUNTIFS($A$2:$A$201,$A119,$AN$2:$AN$201,"Y",$AU$2:$AU$201,1,$G$2:$G$201,G119,$AT$2:$AT$201,"&lt;"&amp;AT119)=0,1,0),0)</f>
        <v/>
      </c>
      <c r="BW119" s="17">
        <f>IF(AND(BA119=1,N(V119)&gt;=Config!$B$15),1,0)</f>
        <v/>
      </c>
      <c r="BX119" s="17">
        <f>IF(AU119=1,IFERROR(MATCH($A119,INDEX(Clay_Offices!$A$2:$FZ$601,0,Sync!$C$5),0),""),"")</f>
        <v/>
      </c>
      <c r="BY119" s="17">
        <f>IF(BX119="","",IFERROR(INDEX(Clay_Offices!$A$2:$FZ$601,BX119,Sync!$C$7)&amp;"",""))</f>
        <v/>
      </c>
      <c r="BZ119" s="17">
        <f>IF(BY119="","",IFERROR(INDEX(Lists!$J$2:$J$15,MATCH(BY119,Lists!$I$2:$I$15,0)),""))</f>
        <v/>
      </c>
      <c r="CA119" s="17">
        <f>IF(BX119="","",IFERROR(INDEX(Clay_Offices!$A$2:$FZ$601,BX119,Sync!$C$17)&amp;"",""))</f>
        <v/>
      </c>
      <c r="CB119" s="23">
        <f>IF(BX119="","",IFERROR(N(INDEX(Clay_Offices!$A$2:$FZ$601,BX119,Sync!$C$16)),0))</f>
        <v/>
      </c>
    </row>
    <row r="120">
      <c r="G120" s="22" t="n"/>
      <c r="AS120" s="17">
        <f>IF(TRIM($A120)="","",IF(AND(LEFT($A120,6)="SAMPLE",Config!$B$19&lt;&gt;"Y"),"",IF(NOT(ISNUMBER(G120)),"call_date is blank or not a date",IF(Sync!$C$5="","Clay paste is empty or has no row_id column: paste the Clay export on Clay_Offices",IF(BX120="","row_id not found in the Clay paste: add the Clay row or fix the row_id",IF(AND(ISNUMBER(BZ120),BZ120&gt;=1,BZ120&lt;=5),"Clay status is "&amp;BY120&amp;": set call_done or later",IF(AND(AW120=1,CA120&lt;&gt;BS120),"Clay yes_in_principle should be "&amp;BS120,IF(AND(AW120=1,CB120&lt;&gt;G120),"Clay call_date should be "&amp;TEXT(G120,"yyyy-mm-dd"),""))))))))</f>
        <v/>
      </c>
      <c r="AT120" s="17">
        <f>ROW()</f>
        <v/>
      </c>
      <c r="AU120" s="17">
        <f>IF(AND(TRIM($A120)&lt;&gt;"",ISNUMBER(G120)),IF(AND(LEFT($A120,6)="SAMPLE",Config!$B$19&lt;&gt;"Y"),0,1),0)</f>
        <v/>
      </c>
      <c r="AV120" s="17">
        <f>IF(AU120=1,IF(COUNTIFS($A$2:$A$201,$A120,$AU$2:$AU$201,1,$G$2:$G$201,"&lt;"&amp;G120)+COUNTIFS($A$2:$A$201,$A120,$AU$2:$AU$201,1,$G$2:$G$201,G120,$AT$2:$AT$201,"&lt;"&amp;AT120)=0,1,0),0)</f>
        <v/>
      </c>
      <c r="AW120" s="17">
        <f>IF(AU120=1,IF(COUNTIFS($A$2:$A$201,$A120,$AU$2:$AU$201,1,$G$2:$G$201,"&gt;"&amp;G120)+COUNTIFS($A$2:$A$201,$A120,$AU$2:$AU$201,1,$G$2:$G$201,G120,$AT$2:$AT$201,"&gt;"&amp;AT120)=0,1,0),0)</f>
        <v/>
      </c>
      <c r="AX120" s="17">
        <f>IF(AND(AU120=1,AN120="Y",Z120="Y",TRIM(AD120)&lt;&gt;""),1,0)</f>
        <v/>
      </c>
      <c r="AY120" s="17">
        <f>IF(AX120=1,IF(COUNTIFS($A$2:$A$201,$A120,$AX$2:$AX$201,1,$G$2:$G$201,"&lt;"&amp;G120)+COUNTIFS($A$2:$A$201,$A120,$AX$2:$AX$201,1,$G$2:$G$201,G120,$AT$2:$AT$201,"&lt;"&amp;AT120)=0,1,0),0)</f>
        <v/>
      </c>
      <c r="AZ120" s="17">
        <f>IF(AND(AU120=1,AN120="Y",AX120=0),1,0)</f>
        <v/>
      </c>
      <c r="BA120" s="17">
        <f>IF(AND(AU120=1,ISNUMBER(V120)),1,0)</f>
        <v/>
      </c>
      <c r="BB120" s="17">
        <f>IF(BA120=1,IF(COUNTIFS($A$2:$A$201,$A120,$BA$2:$BA$201,1,$G$2:$G$201,"&lt;"&amp;G120)+COUNTIFS($A$2:$A$201,$A120,$BA$2:$BA$201,1,$G$2:$G$201,G120,$AT$2:$AT$201,"&lt;"&amp;AT120)=0,1,0),0)</f>
        <v/>
      </c>
      <c r="BC120" s="17">
        <f>IF(AND(BB120=1,G120&lt;=Config!$B$6),V120,"")</f>
        <v/>
      </c>
      <c r="BD120" s="17">
        <f>IF(AND(BB120=1,G120&lt;=Config!$B$7),V120,"")</f>
        <v/>
      </c>
      <c r="BE120" s="17">
        <f>IF(AND(BB120=1,G120&lt;=Config!$B$8),V120,"")</f>
        <v/>
      </c>
      <c r="BF120" s="17">
        <f>IF(AND(BB120=1,G120&lt;=Config!$B$5),V120,"")</f>
        <v/>
      </c>
      <c r="BG120" s="17">
        <f>IF(BW120=1,IF(COUNTIFS($A$2:$A$201,$A120,$BW$2:$BW$201,1,$G$2:$G$201,"&lt;"&amp;G120)+COUNTIFS($A$2:$A$201,$A120,$BW$2:$BW$201,1,$G$2:$G$201,G120,$AT$2:$AT$201,"&lt;"&amp;AT120)=0,1,0),0)</f>
        <v/>
      </c>
      <c r="BH120" s="17">
        <f>IF(AND(AU120=1,ISNUMBER(K120)),1,0)</f>
        <v/>
      </c>
      <c r="BI120" s="17">
        <f>IF(BH120=1,IF(COUNTIFS($A$2:$A$201,$A120,$BH$2:$BH$201,1,$G$2:$G$201,"&lt;"&amp;G120)+COUNTIFS($A$2:$A$201,$A120,$BH$2:$BH$201,1,$G$2:$G$201,G120,$AT$2:$AT$201,"&lt;"&amp;AT120)=0,1,0),0)</f>
        <v/>
      </c>
      <c r="BJ120" s="17">
        <f>IF(AND(BI120=1,G120&lt;=Config!$B$5),K120,"")</f>
        <v/>
      </c>
      <c r="BK120" s="17">
        <f>IF(AND(AU120=1,OR(TRIM(U120)&lt;&gt;"",ISNUMBER(V120))),1,0)</f>
        <v/>
      </c>
      <c r="BL120" s="17">
        <f>IF(BK120=1,IF(COUNTIFS($A$2:$A$201,$A120,$BK$2:$BK$201,1,$G$2:$G$201,"&lt;"&amp;G120)+COUNTIFS($A$2:$A$201,$A120,$BK$2:$BK$201,1,$G$2:$G$201,G120,$AT$2:$AT$201,"&lt;"&amp;AT120)=0,1,0),0)</f>
        <v/>
      </c>
      <c r="BM120" s="17">
        <f>IF(BL120=1,$A120,"")</f>
        <v/>
      </c>
      <c r="BN120" s="17">
        <f>IF(AND(AU120=1,T120="Y",TRIM(U120)=""),1,0)</f>
        <v/>
      </c>
      <c r="BO120" s="17">
        <f>IF(AU120=1,AJ120&amp;"","")</f>
        <v/>
      </c>
      <c r="BP120" s="17">
        <f>IF(AU120=1,AK120&amp;"","")</f>
        <v/>
      </c>
      <c r="BQ120" s="17">
        <f>IF(AU120=1,AL120&amp;"","")</f>
        <v/>
      </c>
      <c r="BR120" s="17">
        <f>IF(AND(AU120=1,ISNUMBER(AP120),G120&lt;=Config!$B$5),AP120,"")</f>
        <v/>
      </c>
      <c r="BS120" s="17">
        <f>IF(AU120=1,IF(COUNTIFS($A$2:$A$201,$A120,$AN$2:$AN$201,"Y",$AU$2:$AU$201,1)&gt;0,"Y","N"),"")</f>
        <v/>
      </c>
      <c r="BT120" s="17">
        <f>IF(AND(AU120=1,AN120="maybe"),1,0)</f>
        <v/>
      </c>
      <c r="BU120" s="17">
        <f>IF(BT120=1,IF(COUNTIFS($A$2:$A$201,$A120,$BT$2:$BT$201,1,$G$2:$G$201,"&lt;"&amp;G120)+COUNTIFS($A$2:$A$201,$A120,$BT$2:$BT$201,1,$G$2:$G$201,G120,$AT$2:$AT$201,"&lt;"&amp;AT120)=0,1,0),0)</f>
        <v/>
      </c>
      <c r="BV120" s="17">
        <f>IF(AND(AU120=1,AN120="Y"),IF(COUNTIFS($A$2:$A$201,$A120,$AN$2:$AN$201,"Y",$AU$2:$AU$201,1,$G$2:$G$201,"&lt;"&amp;G120)+COUNTIFS($A$2:$A$201,$A120,$AN$2:$AN$201,"Y",$AU$2:$AU$201,1,$G$2:$G$201,G120,$AT$2:$AT$201,"&lt;"&amp;AT120)=0,1,0),0)</f>
        <v/>
      </c>
      <c r="BW120" s="17">
        <f>IF(AND(BA120=1,N(V120)&gt;=Config!$B$15),1,0)</f>
        <v/>
      </c>
      <c r="BX120" s="17">
        <f>IF(AU120=1,IFERROR(MATCH($A120,INDEX(Clay_Offices!$A$2:$FZ$601,0,Sync!$C$5),0),""),"")</f>
        <v/>
      </c>
      <c r="BY120" s="17">
        <f>IF(BX120="","",IFERROR(INDEX(Clay_Offices!$A$2:$FZ$601,BX120,Sync!$C$7)&amp;"",""))</f>
        <v/>
      </c>
      <c r="BZ120" s="17">
        <f>IF(BY120="","",IFERROR(INDEX(Lists!$J$2:$J$15,MATCH(BY120,Lists!$I$2:$I$15,0)),""))</f>
        <v/>
      </c>
      <c r="CA120" s="17">
        <f>IF(BX120="","",IFERROR(INDEX(Clay_Offices!$A$2:$FZ$601,BX120,Sync!$C$17)&amp;"",""))</f>
        <v/>
      </c>
      <c r="CB120" s="23">
        <f>IF(BX120="","",IFERROR(N(INDEX(Clay_Offices!$A$2:$FZ$601,BX120,Sync!$C$16)),0))</f>
        <v/>
      </c>
    </row>
    <row r="121">
      <c r="G121" s="22" t="n"/>
      <c r="AS121" s="17">
        <f>IF(TRIM($A121)="","",IF(AND(LEFT($A121,6)="SAMPLE",Config!$B$19&lt;&gt;"Y"),"",IF(NOT(ISNUMBER(G121)),"call_date is blank or not a date",IF(Sync!$C$5="","Clay paste is empty or has no row_id column: paste the Clay export on Clay_Offices",IF(BX121="","row_id not found in the Clay paste: add the Clay row or fix the row_id",IF(AND(ISNUMBER(BZ121),BZ121&gt;=1,BZ121&lt;=5),"Clay status is "&amp;BY121&amp;": set call_done or later",IF(AND(AW121=1,CA121&lt;&gt;BS121),"Clay yes_in_principle should be "&amp;BS121,IF(AND(AW121=1,CB121&lt;&gt;G121),"Clay call_date should be "&amp;TEXT(G121,"yyyy-mm-dd"),""))))))))</f>
        <v/>
      </c>
      <c r="AT121" s="17">
        <f>ROW()</f>
        <v/>
      </c>
      <c r="AU121" s="17">
        <f>IF(AND(TRIM($A121)&lt;&gt;"",ISNUMBER(G121)),IF(AND(LEFT($A121,6)="SAMPLE",Config!$B$19&lt;&gt;"Y"),0,1),0)</f>
        <v/>
      </c>
      <c r="AV121" s="17">
        <f>IF(AU121=1,IF(COUNTIFS($A$2:$A$201,$A121,$AU$2:$AU$201,1,$G$2:$G$201,"&lt;"&amp;G121)+COUNTIFS($A$2:$A$201,$A121,$AU$2:$AU$201,1,$G$2:$G$201,G121,$AT$2:$AT$201,"&lt;"&amp;AT121)=0,1,0),0)</f>
        <v/>
      </c>
      <c r="AW121" s="17">
        <f>IF(AU121=1,IF(COUNTIFS($A$2:$A$201,$A121,$AU$2:$AU$201,1,$G$2:$G$201,"&gt;"&amp;G121)+COUNTIFS($A$2:$A$201,$A121,$AU$2:$AU$201,1,$G$2:$G$201,G121,$AT$2:$AT$201,"&gt;"&amp;AT121)=0,1,0),0)</f>
        <v/>
      </c>
      <c r="AX121" s="17">
        <f>IF(AND(AU121=1,AN121="Y",Z121="Y",TRIM(AD121)&lt;&gt;""),1,0)</f>
        <v/>
      </c>
      <c r="AY121" s="17">
        <f>IF(AX121=1,IF(COUNTIFS($A$2:$A$201,$A121,$AX$2:$AX$201,1,$G$2:$G$201,"&lt;"&amp;G121)+COUNTIFS($A$2:$A$201,$A121,$AX$2:$AX$201,1,$G$2:$G$201,G121,$AT$2:$AT$201,"&lt;"&amp;AT121)=0,1,0),0)</f>
        <v/>
      </c>
      <c r="AZ121" s="17">
        <f>IF(AND(AU121=1,AN121="Y",AX121=0),1,0)</f>
        <v/>
      </c>
      <c r="BA121" s="17">
        <f>IF(AND(AU121=1,ISNUMBER(V121)),1,0)</f>
        <v/>
      </c>
      <c r="BB121" s="17">
        <f>IF(BA121=1,IF(COUNTIFS($A$2:$A$201,$A121,$BA$2:$BA$201,1,$G$2:$G$201,"&lt;"&amp;G121)+COUNTIFS($A$2:$A$201,$A121,$BA$2:$BA$201,1,$G$2:$G$201,G121,$AT$2:$AT$201,"&lt;"&amp;AT121)=0,1,0),0)</f>
        <v/>
      </c>
      <c r="BC121" s="17">
        <f>IF(AND(BB121=1,G121&lt;=Config!$B$6),V121,"")</f>
        <v/>
      </c>
      <c r="BD121" s="17">
        <f>IF(AND(BB121=1,G121&lt;=Config!$B$7),V121,"")</f>
        <v/>
      </c>
      <c r="BE121" s="17">
        <f>IF(AND(BB121=1,G121&lt;=Config!$B$8),V121,"")</f>
        <v/>
      </c>
      <c r="BF121" s="17">
        <f>IF(AND(BB121=1,G121&lt;=Config!$B$5),V121,"")</f>
        <v/>
      </c>
      <c r="BG121" s="17">
        <f>IF(BW121=1,IF(COUNTIFS($A$2:$A$201,$A121,$BW$2:$BW$201,1,$G$2:$G$201,"&lt;"&amp;G121)+COUNTIFS($A$2:$A$201,$A121,$BW$2:$BW$201,1,$G$2:$G$201,G121,$AT$2:$AT$201,"&lt;"&amp;AT121)=0,1,0),0)</f>
        <v/>
      </c>
      <c r="BH121" s="17">
        <f>IF(AND(AU121=1,ISNUMBER(K121)),1,0)</f>
        <v/>
      </c>
      <c r="BI121" s="17">
        <f>IF(BH121=1,IF(COUNTIFS($A$2:$A$201,$A121,$BH$2:$BH$201,1,$G$2:$G$201,"&lt;"&amp;G121)+COUNTIFS($A$2:$A$201,$A121,$BH$2:$BH$201,1,$G$2:$G$201,G121,$AT$2:$AT$201,"&lt;"&amp;AT121)=0,1,0),0)</f>
        <v/>
      </c>
      <c r="BJ121" s="17">
        <f>IF(AND(BI121=1,G121&lt;=Config!$B$5),K121,"")</f>
        <v/>
      </c>
      <c r="BK121" s="17">
        <f>IF(AND(AU121=1,OR(TRIM(U121)&lt;&gt;"",ISNUMBER(V121))),1,0)</f>
        <v/>
      </c>
      <c r="BL121" s="17">
        <f>IF(BK121=1,IF(COUNTIFS($A$2:$A$201,$A121,$BK$2:$BK$201,1,$G$2:$G$201,"&lt;"&amp;G121)+COUNTIFS($A$2:$A$201,$A121,$BK$2:$BK$201,1,$G$2:$G$201,G121,$AT$2:$AT$201,"&lt;"&amp;AT121)=0,1,0),0)</f>
        <v/>
      </c>
      <c r="BM121" s="17">
        <f>IF(BL121=1,$A121,"")</f>
        <v/>
      </c>
      <c r="BN121" s="17">
        <f>IF(AND(AU121=1,T121="Y",TRIM(U121)=""),1,0)</f>
        <v/>
      </c>
      <c r="BO121" s="17">
        <f>IF(AU121=1,AJ121&amp;"","")</f>
        <v/>
      </c>
      <c r="BP121" s="17">
        <f>IF(AU121=1,AK121&amp;"","")</f>
        <v/>
      </c>
      <c r="BQ121" s="17">
        <f>IF(AU121=1,AL121&amp;"","")</f>
        <v/>
      </c>
      <c r="BR121" s="17">
        <f>IF(AND(AU121=1,ISNUMBER(AP121),G121&lt;=Config!$B$5),AP121,"")</f>
        <v/>
      </c>
      <c r="BS121" s="17">
        <f>IF(AU121=1,IF(COUNTIFS($A$2:$A$201,$A121,$AN$2:$AN$201,"Y",$AU$2:$AU$201,1)&gt;0,"Y","N"),"")</f>
        <v/>
      </c>
      <c r="BT121" s="17">
        <f>IF(AND(AU121=1,AN121="maybe"),1,0)</f>
        <v/>
      </c>
      <c r="BU121" s="17">
        <f>IF(BT121=1,IF(COUNTIFS($A$2:$A$201,$A121,$BT$2:$BT$201,1,$G$2:$G$201,"&lt;"&amp;G121)+COUNTIFS($A$2:$A$201,$A121,$BT$2:$BT$201,1,$G$2:$G$201,G121,$AT$2:$AT$201,"&lt;"&amp;AT121)=0,1,0),0)</f>
        <v/>
      </c>
      <c r="BV121" s="17">
        <f>IF(AND(AU121=1,AN121="Y"),IF(COUNTIFS($A$2:$A$201,$A121,$AN$2:$AN$201,"Y",$AU$2:$AU$201,1,$G$2:$G$201,"&lt;"&amp;G121)+COUNTIFS($A$2:$A$201,$A121,$AN$2:$AN$201,"Y",$AU$2:$AU$201,1,$G$2:$G$201,G121,$AT$2:$AT$201,"&lt;"&amp;AT121)=0,1,0),0)</f>
        <v/>
      </c>
      <c r="BW121" s="17">
        <f>IF(AND(BA121=1,N(V121)&gt;=Config!$B$15),1,0)</f>
        <v/>
      </c>
      <c r="BX121" s="17">
        <f>IF(AU121=1,IFERROR(MATCH($A121,INDEX(Clay_Offices!$A$2:$FZ$601,0,Sync!$C$5),0),""),"")</f>
        <v/>
      </c>
      <c r="BY121" s="17">
        <f>IF(BX121="","",IFERROR(INDEX(Clay_Offices!$A$2:$FZ$601,BX121,Sync!$C$7)&amp;"",""))</f>
        <v/>
      </c>
      <c r="BZ121" s="17">
        <f>IF(BY121="","",IFERROR(INDEX(Lists!$J$2:$J$15,MATCH(BY121,Lists!$I$2:$I$15,0)),""))</f>
        <v/>
      </c>
      <c r="CA121" s="17">
        <f>IF(BX121="","",IFERROR(INDEX(Clay_Offices!$A$2:$FZ$601,BX121,Sync!$C$17)&amp;"",""))</f>
        <v/>
      </c>
      <c r="CB121" s="23">
        <f>IF(BX121="","",IFERROR(N(INDEX(Clay_Offices!$A$2:$FZ$601,BX121,Sync!$C$16)),0))</f>
        <v/>
      </c>
    </row>
    <row r="122">
      <c r="G122" s="22" t="n"/>
      <c r="AS122" s="17">
        <f>IF(TRIM($A122)="","",IF(AND(LEFT($A122,6)="SAMPLE",Config!$B$19&lt;&gt;"Y"),"",IF(NOT(ISNUMBER(G122)),"call_date is blank or not a date",IF(Sync!$C$5="","Clay paste is empty or has no row_id column: paste the Clay export on Clay_Offices",IF(BX122="","row_id not found in the Clay paste: add the Clay row or fix the row_id",IF(AND(ISNUMBER(BZ122),BZ122&gt;=1,BZ122&lt;=5),"Clay status is "&amp;BY122&amp;": set call_done or later",IF(AND(AW122=1,CA122&lt;&gt;BS122),"Clay yes_in_principle should be "&amp;BS122,IF(AND(AW122=1,CB122&lt;&gt;G122),"Clay call_date should be "&amp;TEXT(G122,"yyyy-mm-dd"),""))))))))</f>
        <v/>
      </c>
      <c r="AT122" s="17">
        <f>ROW()</f>
        <v/>
      </c>
      <c r="AU122" s="17">
        <f>IF(AND(TRIM($A122)&lt;&gt;"",ISNUMBER(G122)),IF(AND(LEFT($A122,6)="SAMPLE",Config!$B$19&lt;&gt;"Y"),0,1),0)</f>
        <v/>
      </c>
      <c r="AV122" s="17">
        <f>IF(AU122=1,IF(COUNTIFS($A$2:$A$201,$A122,$AU$2:$AU$201,1,$G$2:$G$201,"&lt;"&amp;G122)+COUNTIFS($A$2:$A$201,$A122,$AU$2:$AU$201,1,$G$2:$G$201,G122,$AT$2:$AT$201,"&lt;"&amp;AT122)=0,1,0),0)</f>
        <v/>
      </c>
      <c r="AW122" s="17">
        <f>IF(AU122=1,IF(COUNTIFS($A$2:$A$201,$A122,$AU$2:$AU$201,1,$G$2:$G$201,"&gt;"&amp;G122)+COUNTIFS($A$2:$A$201,$A122,$AU$2:$AU$201,1,$G$2:$G$201,G122,$AT$2:$AT$201,"&gt;"&amp;AT122)=0,1,0),0)</f>
        <v/>
      </c>
      <c r="AX122" s="17">
        <f>IF(AND(AU122=1,AN122="Y",Z122="Y",TRIM(AD122)&lt;&gt;""),1,0)</f>
        <v/>
      </c>
      <c r="AY122" s="17">
        <f>IF(AX122=1,IF(COUNTIFS($A$2:$A$201,$A122,$AX$2:$AX$201,1,$G$2:$G$201,"&lt;"&amp;G122)+COUNTIFS($A$2:$A$201,$A122,$AX$2:$AX$201,1,$G$2:$G$201,G122,$AT$2:$AT$201,"&lt;"&amp;AT122)=0,1,0),0)</f>
        <v/>
      </c>
      <c r="AZ122" s="17">
        <f>IF(AND(AU122=1,AN122="Y",AX122=0),1,0)</f>
        <v/>
      </c>
      <c r="BA122" s="17">
        <f>IF(AND(AU122=1,ISNUMBER(V122)),1,0)</f>
        <v/>
      </c>
      <c r="BB122" s="17">
        <f>IF(BA122=1,IF(COUNTIFS($A$2:$A$201,$A122,$BA$2:$BA$201,1,$G$2:$G$201,"&lt;"&amp;G122)+COUNTIFS($A$2:$A$201,$A122,$BA$2:$BA$201,1,$G$2:$G$201,G122,$AT$2:$AT$201,"&lt;"&amp;AT122)=0,1,0),0)</f>
        <v/>
      </c>
      <c r="BC122" s="17">
        <f>IF(AND(BB122=1,G122&lt;=Config!$B$6),V122,"")</f>
        <v/>
      </c>
      <c r="BD122" s="17">
        <f>IF(AND(BB122=1,G122&lt;=Config!$B$7),V122,"")</f>
        <v/>
      </c>
      <c r="BE122" s="17">
        <f>IF(AND(BB122=1,G122&lt;=Config!$B$8),V122,"")</f>
        <v/>
      </c>
      <c r="BF122" s="17">
        <f>IF(AND(BB122=1,G122&lt;=Config!$B$5),V122,"")</f>
        <v/>
      </c>
      <c r="BG122" s="17">
        <f>IF(BW122=1,IF(COUNTIFS($A$2:$A$201,$A122,$BW$2:$BW$201,1,$G$2:$G$201,"&lt;"&amp;G122)+COUNTIFS($A$2:$A$201,$A122,$BW$2:$BW$201,1,$G$2:$G$201,G122,$AT$2:$AT$201,"&lt;"&amp;AT122)=0,1,0),0)</f>
        <v/>
      </c>
      <c r="BH122" s="17">
        <f>IF(AND(AU122=1,ISNUMBER(K122)),1,0)</f>
        <v/>
      </c>
      <c r="BI122" s="17">
        <f>IF(BH122=1,IF(COUNTIFS($A$2:$A$201,$A122,$BH$2:$BH$201,1,$G$2:$G$201,"&lt;"&amp;G122)+COUNTIFS($A$2:$A$201,$A122,$BH$2:$BH$201,1,$G$2:$G$201,G122,$AT$2:$AT$201,"&lt;"&amp;AT122)=0,1,0),0)</f>
        <v/>
      </c>
      <c r="BJ122" s="17">
        <f>IF(AND(BI122=1,G122&lt;=Config!$B$5),K122,"")</f>
        <v/>
      </c>
      <c r="BK122" s="17">
        <f>IF(AND(AU122=1,OR(TRIM(U122)&lt;&gt;"",ISNUMBER(V122))),1,0)</f>
        <v/>
      </c>
      <c r="BL122" s="17">
        <f>IF(BK122=1,IF(COUNTIFS($A$2:$A$201,$A122,$BK$2:$BK$201,1,$G$2:$G$201,"&lt;"&amp;G122)+COUNTIFS($A$2:$A$201,$A122,$BK$2:$BK$201,1,$G$2:$G$201,G122,$AT$2:$AT$201,"&lt;"&amp;AT122)=0,1,0),0)</f>
        <v/>
      </c>
      <c r="BM122" s="17">
        <f>IF(BL122=1,$A122,"")</f>
        <v/>
      </c>
      <c r="BN122" s="17">
        <f>IF(AND(AU122=1,T122="Y",TRIM(U122)=""),1,0)</f>
        <v/>
      </c>
      <c r="BO122" s="17">
        <f>IF(AU122=1,AJ122&amp;"","")</f>
        <v/>
      </c>
      <c r="BP122" s="17">
        <f>IF(AU122=1,AK122&amp;"","")</f>
        <v/>
      </c>
      <c r="BQ122" s="17">
        <f>IF(AU122=1,AL122&amp;"","")</f>
        <v/>
      </c>
      <c r="BR122" s="17">
        <f>IF(AND(AU122=1,ISNUMBER(AP122),G122&lt;=Config!$B$5),AP122,"")</f>
        <v/>
      </c>
      <c r="BS122" s="17">
        <f>IF(AU122=1,IF(COUNTIFS($A$2:$A$201,$A122,$AN$2:$AN$201,"Y",$AU$2:$AU$201,1)&gt;0,"Y","N"),"")</f>
        <v/>
      </c>
      <c r="BT122" s="17">
        <f>IF(AND(AU122=1,AN122="maybe"),1,0)</f>
        <v/>
      </c>
      <c r="BU122" s="17">
        <f>IF(BT122=1,IF(COUNTIFS($A$2:$A$201,$A122,$BT$2:$BT$201,1,$G$2:$G$201,"&lt;"&amp;G122)+COUNTIFS($A$2:$A$201,$A122,$BT$2:$BT$201,1,$G$2:$G$201,G122,$AT$2:$AT$201,"&lt;"&amp;AT122)=0,1,0),0)</f>
        <v/>
      </c>
      <c r="BV122" s="17">
        <f>IF(AND(AU122=1,AN122="Y"),IF(COUNTIFS($A$2:$A$201,$A122,$AN$2:$AN$201,"Y",$AU$2:$AU$201,1,$G$2:$G$201,"&lt;"&amp;G122)+COUNTIFS($A$2:$A$201,$A122,$AN$2:$AN$201,"Y",$AU$2:$AU$201,1,$G$2:$G$201,G122,$AT$2:$AT$201,"&lt;"&amp;AT122)=0,1,0),0)</f>
        <v/>
      </c>
      <c r="BW122" s="17">
        <f>IF(AND(BA122=1,N(V122)&gt;=Config!$B$15),1,0)</f>
        <v/>
      </c>
      <c r="BX122" s="17">
        <f>IF(AU122=1,IFERROR(MATCH($A122,INDEX(Clay_Offices!$A$2:$FZ$601,0,Sync!$C$5),0),""),"")</f>
        <v/>
      </c>
      <c r="BY122" s="17">
        <f>IF(BX122="","",IFERROR(INDEX(Clay_Offices!$A$2:$FZ$601,BX122,Sync!$C$7)&amp;"",""))</f>
        <v/>
      </c>
      <c r="BZ122" s="17">
        <f>IF(BY122="","",IFERROR(INDEX(Lists!$J$2:$J$15,MATCH(BY122,Lists!$I$2:$I$15,0)),""))</f>
        <v/>
      </c>
      <c r="CA122" s="17">
        <f>IF(BX122="","",IFERROR(INDEX(Clay_Offices!$A$2:$FZ$601,BX122,Sync!$C$17)&amp;"",""))</f>
        <v/>
      </c>
      <c r="CB122" s="23">
        <f>IF(BX122="","",IFERROR(N(INDEX(Clay_Offices!$A$2:$FZ$601,BX122,Sync!$C$16)),0))</f>
        <v/>
      </c>
    </row>
    <row r="123">
      <c r="G123" s="22" t="n"/>
      <c r="AS123" s="17">
        <f>IF(TRIM($A123)="","",IF(AND(LEFT($A123,6)="SAMPLE",Config!$B$19&lt;&gt;"Y"),"",IF(NOT(ISNUMBER(G123)),"call_date is blank or not a date",IF(Sync!$C$5="","Clay paste is empty or has no row_id column: paste the Clay export on Clay_Offices",IF(BX123="","row_id not found in the Clay paste: add the Clay row or fix the row_id",IF(AND(ISNUMBER(BZ123),BZ123&gt;=1,BZ123&lt;=5),"Clay status is "&amp;BY123&amp;": set call_done or later",IF(AND(AW123=1,CA123&lt;&gt;BS123),"Clay yes_in_principle should be "&amp;BS123,IF(AND(AW123=1,CB123&lt;&gt;G123),"Clay call_date should be "&amp;TEXT(G123,"yyyy-mm-dd"),""))))))))</f>
        <v/>
      </c>
      <c r="AT123" s="17">
        <f>ROW()</f>
        <v/>
      </c>
      <c r="AU123" s="17">
        <f>IF(AND(TRIM($A123)&lt;&gt;"",ISNUMBER(G123)),IF(AND(LEFT($A123,6)="SAMPLE",Config!$B$19&lt;&gt;"Y"),0,1),0)</f>
        <v/>
      </c>
      <c r="AV123" s="17">
        <f>IF(AU123=1,IF(COUNTIFS($A$2:$A$201,$A123,$AU$2:$AU$201,1,$G$2:$G$201,"&lt;"&amp;G123)+COUNTIFS($A$2:$A$201,$A123,$AU$2:$AU$201,1,$G$2:$G$201,G123,$AT$2:$AT$201,"&lt;"&amp;AT123)=0,1,0),0)</f>
        <v/>
      </c>
      <c r="AW123" s="17">
        <f>IF(AU123=1,IF(COUNTIFS($A$2:$A$201,$A123,$AU$2:$AU$201,1,$G$2:$G$201,"&gt;"&amp;G123)+COUNTIFS($A$2:$A$201,$A123,$AU$2:$AU$201,1,$G$2:$G$201,G123,$AT$2:$AT$201,"&gt;"&amp;AT123)=0,1,0),0)</f>
        <v/>
      </c>
      <c r="AX123" s="17">
        <f>IF(AND(AU123=1,AN123="Y",Z123="Y",TRIM(AD123)&lt;&gt;""),1,0)</f>
        <v/>
      </c>
      <c r="AY123" s="17">
        <f>IF(AX123=1,IF(COUNTIFS($A$2:$A$201,$A123,$AX$2:$AX$201,1,$G$2:$G$201,"&lt;"&amp;G123)+COUNTIFS($A$2:$A$201,$A123,$AX$2:$AX$201,1,$G$2:$G$201,G123,$AT$2:$AT$201,"&lt;"&amp;AT123)=0,1,0),0)</f>
        <v/>
      </c>
      <c r="AZ123" s="17">
        <f>IF(AND(AU123=1,AN123="Y",AX123=0),1,0)</f>
        <v/>
      </c>
      <c r="BA123" s="17">
        <f>IF(AND(AU123=1,ISNUMBER(V123)),1,0)</f>
        <v/>
      </c>
      <c r="BB123" s="17">
        <f>IF(BA123=1,IF(COUNTIFS($A$2:$A$201,$A123,$BA$2:$BA$201,1,$G$2:$G$201,"&lt;"&amp;G123)+COUNTIFS($A$2:$A$201,$A123,$BA$2:$BA$201,1,$G$2:$G$201,G123,$AT$2:$AT$201,"&lt;"&amp;AT123)=0,1,0),0)</f>
        <v/>
      </c>
      <c r="BC123" s="17">
        <f>IF(AND(BB123=1,G123&lt;=Config!$B$6),V123,"")</f>
        <v/>
      </c>
      <c r="BD123" s="17">
        <f>IF(AND(BB123=1,G123&lt;=Config!$B$7),V123,"")</f>
        <v/>
      </c>
      <c r="BE123" s="17">
        <f>IF(AND(BB123=1,G123&lt;=Config!$B$8),V123,"")</f>
        <v/>
      </c>
      <c r="BF123" s="17">
        <f>IF(AND(BB123=1,G123&lt;=Config!$B$5),V123,"")</f>
        <v/>
      </c>
      <c r="BG123" s="17">
        <f>IF(BW123=1,IF(COUNTIFS($A$2:$A$201,$A123,$BW$2:$BW$201,1,$G$2:$G$201,"&lt;"&amp;G123)+COUNTIFS($A$2:$A$201,$A123,$BW$2:$BW$201,1,$G$2:$G$201,G123,$AT$2:$AT$201,"&lt;"&amp;AT123)=0,1,0),0)</f>
        <v/>
      </c>
      <c r="BH123" s="17">
        <f>IF(AND(AU123=1,ISNUMBER(K123)),1,0)</f>
        <v/>
      </c>
      <c r="BI123" s="17">
        <f>IF(BH123=1,IF(COUNTIFS($A$2:$A$201,$A123,$BH$2:$BH$201,1,$G$2:$G$201,"&lt;"&amp;G123)+COUNTIFS($A$2:$A$201,$A123,$BH$2:$BH$201,1,$G$2:$G$201,G123,$AT$2:$AT$201,"&lt;"&amp;AT123)=0,1,0),0)</f>
        <v/>
      </c>
      <c r="BJ123" s="17">
        <f>IF(AND(BI123=1,G123&lt;=Config!$B$5),K123,"")</f>
        <v/>
      </c>
      <c r="BK123" s="17">
        <f>IF(AND(AU123=1,OR(TRIM(U123)&lt;&gt;"",ISNUMBER(V123))),1,0)</f>
        <v/>
      </c>
      <c r="BL123" s="17">
        <f>IF(BK123=1,IF(COUNTIFS($A$2:$A$201,$A123,$BK$2:$BK$201,1,$G$2:$G$201,"&lt;"&amp;G123)+COUNTIFS($A$2:$A$201,$A123,$BK$2:$BK$201,1,$G$2:$G$201,G123,$AT$2:$AT$201,"&lt;"&amp;AT123)=0,1,0),0)</f>
        <v/>
      </c>
      <c r="BM123" s="17">
        <f>IF(BL123=1,$A123,"")</f>
        <v/>
      </c>
      <c r="BN123" s="17">
        <f>IF(AND(AU123=1,T123="Y",TRIM(U123)=""),1,0)</f>
        <v/>
      </c>
      <c r="BO123" s="17">
        <f>IF(AU123=1,AJ123&amp;"","")</f>
        <v/>
      </c>
      <c r="BP123" s="17">
        <f>IF(AU123=1,AK123&amp;"","")</f>
        <v/>
      </c>
      <c r="BQ123" s="17">
        <f>IF(AU123=1,AL123&amp;"","")</f>
        <v/>
      </c>
      <c r="BR123" s="17">
        <f>IF(AND(AU123=1,ISNUMBER(AP123),G123&lt;=Config!$B$5),AP123,"")</f>
        <v/>
      </c>
      <c r="BS123" s="17">
        <f>IF(AU123=1,IF(COUNTIFS($A$2:$A$201,$A123,$AN$2:$AN$201,"Y",$AU$2:$AU$201,1)&gt;0,"Y","N"),"")</f>
        <v/>
      </c>
      <c r="BT123" s="17">
        <f>IF(AND(AU123=1,AN123="maybe"),1,0)</f>
        <v/>
      </c>
      <c r="BU123" s="17">
        <f>IF(BT123=1,IF(COUNTIFS($A$2:$A$201,$A123,$BT$2:$BT$201,1,$G$2:$G$201,"&lt;"&amp;G123)+COUNTIFS($A$2:$A$201,$A123,$BT$2:$BT$201,1,$G$2:$G$201,G123,$AT$2:$AT$201,"&lt;"&amp;AT123)=0,1,0),0)</f>
        <v/>
      </c>
      <c r="BV123" s="17">
        <f>IF(AND(AU123=1,AN123="Y"),IF(COUNTIFS($A$2:$A$201,$A123,$AN$2:$AN$201,"Y",$AU$2:$AU$201,1,$G$2:$G$201,"&lt;"&amp;G123)+COUNTIFS($A$2:$A$201,$A123,$AN$2:$AN$201,"Y",$AU$2:$AU$201,1,$G$2:$G$201,G123,$AT$2:$AT$201,"&lt;"&amp;AT123)=0,1,0),0)</f>
        <v/>
      </c>
      <c r="BW123" s="17">
        <f>IF(AND(BA123=1,N(V123)&gt;=Config!$B$15),1,0)</f>
        <v/>
      </c>
      <c r="BX123" s="17">
        <f>IF(AU123=1,IFERROR(MATCH($A123,INDEX(Clay_Offices!$A$2:$FZ$601,0,Sync!$C$5),0),""),"")</f>
        <v/>
      </c>
      <c r="BY123" s="17">
        <f>IF(BX123="","",IFERROR(INDEX(Clay_Offices!$A$2:$FZ$601,BX123,Sync!$C$7)&amp;"",""))</f>
        <v/>
      </c>
      <c r="BZ123" s="17">
        <f>IF(BY123="","",IFERROR(INDEX(Lists!$J$2:$J$15,MATCH(BY123,Lists!$I$2:$I$15,0)),""))</f>
        <v/>
      </c>
      <c r="CA123" s="17">
        <f>IF(BX123="","",IFERROR(INDEX(Clay_Offices!$A$2:$FZ$601,BX123,Sync!$C$17)&amp;"",""))</f>
        <v/>
      </c>
      <c r="CB123" s="23">
        <f>IF(BX123="","",IFERROR(N(INDEX(Clay_Offices!$A$2:$FZ$601,BX123,Sync!$C$16)),0))</f>
        <v/>
      </c>
    </row>
    <row r="124">
      <c r="G124" s="22" t="n"/>
      <c r="AS124" s="17">
        <f>IF(TRIM($A124)="","",IF(AND(LEFT($A124,6)="SAMPLE",Config!$B$19&lt;&gt;"Y"),"",IF(NOT(ISNUMBER(G124)),"call_date is blank or not a date",IF(Sync!$C$5="","Clay paste is empty or has no row_id column: paste the Clay export on Clay_Offices",IF(BX124="","row_id not found in the Clay paste: add the Clay row or fix the row_id",IF(AND(ISNUMBER(BZ124),BZ124&gt;=1,BZ124&lt;=5),"Clay status is "&amp;BY124&amp;": set call_done or later",IF(AND(AW124=1,CA124&lt;&gt;BS124),"Clay yes_in_principle should be "&amp;BS124,IF(AND(AW124=1,CB124&lt;&gt;G124),"Clay call_date should be "&amp;TEXT(G124,"yyyy-mm-dd"),""))))))))</f>
        <v/>
      </c>
      <c r="AT124" s="17">
        <f>ROW()</f>
        <v/>
      </c>
      <c r="AU124" s="17">
        <f>IF(AND(TRIM($A124)&lt;&gt;"",ISNUMBER(G124)),IF(AND(LEFT($A124,6)="SAMPLE",Config!$B$19&lt;&gt;"Y"),0,1),0)</f>
        <v/>
      </c>
      <c r="AV124" s="17">
        <f>IF(AU124=1,IF(COUNTIFS($A$2:$A$201,$A124,$AU$2:$AU$201,1,$G$2:$G$201,"&lt;"&amp;G124)+COUNTIFS($A$2:$A$201,$A124,$AU$2:$AU$201,1,$G$2:$G$201,G124,$AT$2:$AT$201,"&lt;"&amp;AT124)=0,1,0),0)</f>
        <v/>
      </c>
      <c r="AW124" s="17">
        <f>IF(AU124=1,IF(COUNTIFS($A$2:$A$201,$A124,$AU$2:$AU$201,1,$G$2:$G$201,"&gt;"&amp;G124)+COUNTIFS($A$2:$A$201,$A124,$AU$2:$AU$201,1,$G$2:$G$201,G124,$AT$2:$AT$201,"&gt;"&amp;AT124)=0,1,0),0)</f>
        <v/>
      </c>
      <c r="AX124" s="17">
        <f>IF(AND(AU124=1,AN124="Y",Z124="Y",TRIM(AD124)&lt;&gt;""),1,0)</f>
        <v/>
      </c>
      <c r="AY124" s="17">
        <f>IF(AX124=1,IF(COUNTIFS($A$2:$A$201,$A124,$AX$2:$AX$201,1,$G$2:$G$201,"&lt;"&amp;G124)+COUNTIFS($A$2:$A$201,$A124,$AX$2:$AX$201,1,$G$2:$G$201,G124,$AT$2:$AT$201,"&lt;"&amp;AT124)=0,1,0),0)</f>
        <v/>
      </c>
      <c r="AZ124" s="17">
        <f>IF(AND(AU124=1,AN124="Y",AX124=0),1,0)</f>
        <v/>
      </c>
      <c r="BA124" s="17">
        <f>IF(AND(AU124=1,ISNUMBER(V124)),1,0)</f>
        <v/>
      </c>
      <c r="BB124" s="17">
        <f>IF(BA124=1,IF(COUNTIFS($A$2:$A$201,$A124,$BA$2:$BA$201,1,$G$2:$G$201,"&lt;"&amp;G124)+COUNTIFS($A$2:$A$201,$A124,$BA$2:$BA$201,1,$G$2:$G$201,G124,$AT$2:$AT$201,"&lt;"&amp;AT124)=0,1,0),0)</f>
        <v/>
      </c>
      <c r="BC124" s="17">
        <f>IF(AND(BB124=1,G124&lt;=Config!$B$6),V124,"")</f>
        <v/>
      </c>
      <c r="BD124" s="17">
        <f>IF(AND(BB124=1,G124&lt;=Config!$B$7),V124,"")</f>
        <v/>
      </c>
      <c r="BE124" s="17">
        <f>IF(AND(BB124=1,G124&lt;=Config!$B$8),V124,"")</f>
        <v/>
      </c>
      <c r="BF124" s="17">
        <f>IF(AND(BB124=1,G124&lt;=Config!$B$5),V124,"")</f>
        <v/>
      </c>
      <c r="BG124" s="17">
        <f>IF(BW124=1,IF(COUNTIFS($A$2:$A$201,$A124,$BW$2:$BW$201,1,$G$2:$G$201,"&lt;"&amp;G124)+COUNTIFS($A$2:$A$201,$A124,$BW$2:$BW$201,1,$G$2:$G$201,G124,$AT$2:$AT$201,"&lt;"&amp;AT124)=0,1,0),0)</f>
        <v/>
      </c>
      <c r="BH124" s="17">
        <f>IF(AND(AU124=1,ISNUMBER(K124)),1,0)</f>
        <v/>
      </c>
      <c r="BI124" s="17">
        <f>IF(BH124=1,IF(COUNTIFS($A$2:$A$201,$A124,$BH$2:$BH$201,1,$G$2:$G$201,"&lt;"&amp;G124)+COUNTIFS($A$2:$A$201,$A124,$BH$2:$BH$201,1,$G$2:$G$201,G124,$AT$2:$AT$201,"&lt;"&amp;AT124)=0,1,0),0)</f>
        <v/>
      </c>
      <c r="BJ124" s="17">
        <f>IF(AND(BI124=1,G124&lt;=Config!$B$5),K124,"")</f>
        <v/>
      </c>
      <c r="BK124" s="17">
        <f>IF(AND(AU124=1,OR(TRIM(U124)&lt;&gt;"",ISNUMBER(V124))),1,0)</f>
        <v/>
      </c>
      <c r="BL124" s="17">
        <f>IF(BK124=1,IF(COUNTIFS($A$2:$A$201,$A124,$BK$2:$BK$201,1,$G$2:$G$201,"&lt;"&amp;G124)+COUNTIFS($A$2:$A$201,$A124,$BK$2:$BK$201,1,$G$2:$G$201,G124,$AT$2:$AT$201,"&lt;"&amp;AT124)=0,1,0),0)</f>
        <v/>
      </c>
      <c r="BM124" s="17">
        <f>IF(BL124=1,$A124,"")</f>
        <v/>
      </c>
      <c r="BN124" s="17">
        <f>IF(AND(AU124=1,T124="Y",TRIM(U124)=""),1,0)</f>
        <v/>
      </c>
      <c r="BO124" s="17">
        <f>IF(AU124=1,AJ124&amp;"","")</f>
        <v/>
      </c>
      <c r="BP124" s="17">
        <f>IF(AU124=1,AK124&amp;"","")</f>
        <v/>
      </c>
      <c r="BQ124" s="17">
        <f>IF(AU124=1,AL124&amp;"","")</f>
        <v/>
      </c>
      <c r="BR124" s="17">
        <f>IF(AND(AU124=1,ISNUMBER(AP124),G124&lt;=Config!$B$5),AP124,"")</f>
        <v/>
      </c>
      <c r="BS124" s="17">
        <f>IF(AU124=1,IF(COUNTIFS($A$2:$A$201,$A124,$AN$2:$AN$201,"Y",$AU$2:$AU$201,1)&gt;0,"Y","N"),"")</f>
        <v/>
      </c>
      <c r="BT124" s="17">
        <f>IF(AND(AU124=1,AN124="maybe"),1,0)</f>
        <v/>
      </c>
      <c r="BU124" s="17">
        <f>IF(BT124=1,IF(COUNTIFS($A$2:$A$201,$A124,$BT$2:$BT$201,1,$G$2:$G$201,"&lt;"&amp;G124)+COUNTIFS($A$2:$A$201,$A124,$BT$2:$BT$201,1,$G$2:$G$201,G124,$AT$2:$AT$201,"&lt;"&amp;AT124)=0,1,0),0)</f>
        <v/>
      </c>
      <c r="BV124" s="17">
        <f>IF(AND(AU124=1,AN124="Y"),IF(COUNTIFS($A$2:$A$201,$A124,$AN$2:$AN$201,"Y",$AU$2:$AU$201,1,$G$2:$G$201,"&lt;"&amp;G124)+COUNTIFS($A$2:$A$201,$A124,$AN$2:$AN$201,"Y",$AU$2:$AU$201,1,$G$2:$G$201,G124,$AT$2:$AT$201,"&lt;"&amp;AT124)=0,1,0),0)</f>
        <v/>
      </c>
      <c r="BW124" s="17">
        <f>IF(AND(BA124=1,N(V124)&gt;=Config!$B$15),1,0)</f>
        <v/>
      </c>
      <c r="BX124" s="17">
        <f>IF(AU124=1,IFERROR(MATCH($A124,INDEX(Clay_Offices!$A$2:$FZ$601,0,Sync!$C$5),0),""),"")</f>
        <v/>
      </c>
      <c r="BY124" s="17">
        <f>IF(BX124="","",IFERROR(INDEX(Clay_Offices!$A$2:$FZ$601,BX124,Sync!$C$7)&amp;"",""))</f>
        <v/>
      </c>
      <c r="BZ124" s="17">
        <f>IF(BY124="","",IFERROR(INDEX(Lists!$J$2:$J$15,MATCH(BY124,Lists!$I$2:$I$15,0)),""))</f>
        <v/>
      </c>
      <c r="CA124" s="17">
        <f>IF(BX124="","",IFERROR(INDEX(Clay_Offices!$A$2:$FZ$601,BX124,Sync!$C$17)&amp;"",""))</f>
        <v/>
      </c>
      <c r="CB124" s="23">
        <f>IF(BX124="","",IFERROR(N(INDEX(Clay_Offices!$A$2:$FZ$601,BX124,Sync!$C$16)),0))</f>
        <v/>
      </c>
    </row>
    <row r="125">
      <c r="G125" s="22" t="n"/>
      <c r="AS125" s="17">
        <f>IF(TRIM($A125)="","",IF(AND(LEFT($A125,6)="SAMPLE",Config!$B$19&lt;&gt;"Y"),"",IF(NOT(ISNUMBER(G125)),"call_date is blank or not a date",IF(Sync!$C$5="","Clay paste is empty or has no row_id column: paste the Clay export on Clay_Offices",IF(BX125="","row_id not found in the Clay paste: add the Clay row or fix the row_id",IF(AND(ISNUMBER(BZ125),BZ125&gt;=1,BZ125&lt;=5),"Clay status is "&amp;BY125&amp;": set call_done or later",IF(AND(AW125=1,CA125&lt;&gt;BS125),"Clay yes_in_principle should be "&amp;BS125,IF(AND(AW125=1,CB125&lt;&gt;G125),"Clay call_date should be "&amp;TEXT(G125,"yyyy-mm-dd"),""))))))))</f>
        <v/>
      </c>
      <c r="AT125" s="17">
        <f>ROW()</f>
        <v/>
      </c>
      <c r="AU125" s="17">
        <f>IF(AND(TRIM($A125)&lt;&gt;"",ISNUMBER(G125)),IF(AND(LEFT($A125,6)="SAMPLE",Config!$B$19&lt;&gt;"Y"),0,1),0)</f>
        <v/>
      </c>
      <c r="AV125" s="17">
        <f>IF(AU125=1,IF(COUNTIFS($A$2:$A$201,$A125,$AU$2:$AU$201,1,$G$2:$G$201,"&lt;"&amp;G125)+COUNTIFS($A$2:$A$201,$A125,$AU$2:$AU$201,1,$G$2:$G$201,G125,$AT$2:$AT$201,"&lt;"&amp;AT125)=0,1,0),0)</f>
        <v/>
      </c>
      <c r="AW125" s="17">
        <f>IF(AU125=1,IF(COUNTIFS($A$2:$A$201,$A125,$AU$2:$AU$201,1,$G$2:$G$201,"&gt;"&amp;G125)+COUNTIFS($A$2:$A$201,$A125,$AU$2:$AU$201,1,$G$2:$G$201,G125,$AT$2:$AT$201,"&gt;"&amp;AT125)=0,1,0),0)</f>
        <v/>
      </c>
      <c r="AX125" s="17">
        <f>IF(AND(AU125=1,AN125="Y",Z125="Y",TRIM(AD125)&lt;&gt;""),1,0)</f>
        <v/>
      </c>
      <c r="AY125" s="17">
        <f>IF(AX125=1,IF(COUNTIFS($A$2:$A$201,$A125,$AX$2:$AX$201,1,$G$2:$G$201,"&lt;"&amp;G125)+COUNTIFS($A$2:$A$201,$A125,$AX$2:$AX$201,1,$G$2:$G$201,G125,$AT$2:$AT$201,"&lt;"&amp;AT125)=0,1,0),0)</f>
        <v/>
      </c>
      <c r="AZ125" s="17">
        <f>IF(AND(AU125=1,AN125="Y",AX125=0),1,0)</f>
        <v/>
      </c>
      <c r="BA125" s="17">
        <f>IF(AND(AU125=1,ISNUMBER(V125)),1,0)</f>
        <v/>
      </c>
      <c r="BB125" s="17">
        <f>IF(BA125=1,IF(COUNTIFS($A$2:$A$201,$A125,$BA$2:$BA$201,1,$G$2:$G$201,"&lt;"&amp;G125)+COUNTIFS($A$2:$A$201,$A125,$BA$2:$BA$201,1,$G$2:$G$201,G125,$AT$2:$AT$201,"&lt;"&amp;AT125)=0,1,0),0)</f>
        <v/>
      </c>
      <c r="BC125" s="17">
        <f>IF(AND(BB125=1,G125&lt;=Config!$B$6),V125,"")</f>
        <v/>
      </c>
      <c r="BD125" s="17">
        <f>IF(AND(BB125=1,G125&lt;=Config!$B$7),V125,"")</f>
        <v/>
      </c>
      <c r="BE125" s="17">
        <f>IF(AND(BB125=1,G125&lt;=Config!$B$8),V125,"")</f>
        <v/>
      </c>
      <c r="BF125" s="17">
        <f>IF(AND(BB125=1,G125&lt;=Config!$B$5),V125,"")</f>
        <v/>
      </c>
      <c r="BG125" s="17">
        <f>IF(BW125=1,IF(COUNTIFS($A$2:$A$201,$A125,$BW$2:$BW$201,1,$G$2:$G$201,"&lt;"&amp;G125)+COUNTIFS($A$2:$A$201,$A125,$BW$2:$BW$201,1,$G$2:$G$201,G125,$AT$2:$AT$201,"&lt;"&amp;AT125)=0,1,0),0)</f>
        <v/>
      </c>
      <c r="BH125" s="17">
        <f>IF(AND(AU125=1,ISNUMBER(K125)),1,0)</f>
        <v/>
      </c>
      <c r="BI125" s="17">
        <f>IF(BH125=1,IF(COUNTIFS($A$2:$A$201,$A125,$BH$2:$BH$201,1,$G$2:$G$201,"&lt;"&amp;G125)+COUNTIFS($A$2:$A$201,$A125,$BH$2:$BH$201,1,$G$2:$G$201,G125,$AT$2:$AT$201,"&lt;"&amp;AT125)=0,1,0),0)</f>
        <v/>
      </c>
      <c r="BJ125" s="17">
        <f>IF(AND(BI125=1,G125&lt;=Config!$B$5),K125,"")</f>
        <v/>
      </c>
      <c r="BK125" s="17">
        <f>IF(AND(AU125=1,OR(TRIM(U125)&lt;&gt;"",ISNUMBER(V125))),1,0)</f>
        <v/>
      </c>
      <c r="BL125" s="17">
        <f>IF(BK125=1,IF(COUNTIFS($A$2:$A$201,$A125,$BK$2:$BK$201,1,$G$2:$G$201,"&lt;"&amp;G125)+COUNTIFS($A$2:$A$201,$A125,$BK$2:$BK$201,1,$G$2:$G$201,G125,$AT$2:$AT$201,"&lt;"&amp;AT125)=0,1,0),0)</f>
        <v/>
      </c>
      <c r="BM125" s="17">
        <f>IF(BL125=1,$A125,"")</f>
        <v/>
      </c>
      <c r="BN125" s="17">
        <f>IF(AND(AU125=1,T125="Y",TRIM(U125)=""),1,0)</f>
        <v/>
      </c>
      <c r="BO125" s="17">
        <f>IF(AU125=1,AJ125&amp;"","")</f>
        <v/>
      </c>
      <c r="BP125" s="17">
        <f>IF(AU125=1,AK125&amp;"","")</f>
        <v/>
      </c>
      <c r="BQ125" s="17">
        <f>IF(AU125=1,AL125&amp;"","")</f>
        <v/>
      </c>
      <c r="BR125" s="17">
        <f>IF(AND(AU125=1,ISNUMBER(AP125),G125&lt;=Config!$B$5),AP125,"")</f>
        <v/>
      </c>
      <c r="BS125" s="17">
        <f>IF(AU125=1,IF(COUNTIFS($A$2:$A$201,$A125,$AN$2:$AN$201,"Y",$AU$2:$AU$201,1)&gt;0,"Y","N"),"")</f>
        <v/>
      </c>
      <c r="BT125" s="17">
        <f>IF(AND(AU125=1,AN125="maybe"),1,0)</f>
        <v/>
      </c>
      <c r="BU125" s="17">
        <f>IF(BT125=1,IF(COUNTIFS($A$2:$A$201,$A125,$BT$2:$BT$201,1,$G$2:$G$201,"&lt;"&amp;G125)+COUNTIFS($A$2:$A$201,$A125,$BT$2:$BT$201,1,$G$2:$G$201,G125,$AT$2:$AT$201,"&lt;"&amp;AT125)=0,1,0),0)</f>
        <v/>
      </c>
      <c r="BV125" s="17">
        <f>IF(AND(AU125=1,AN125="Y"),IF(COUNTIFS($A$2:$A$201,$A125,$AN$2:$AN$201,"Y",$AU$2:$AU$201,1,$G$2:$G$201,"&lt;"&amp;G125)+COUNTIFS($A$2:$A$201,$A125,$AN$2:$AN$201,"Y",$AU$2:$AU$201,1,$G$2:$G$201,G125,$AT$2:$AT$201,"&lt;"&amp;AT125)=0,1,0),0)</f>
        <v/>
      </c>
      <c r="BW125" s="17">
        <f>IF(AND(BA125=1,N(V125)&gt;=Config!$B$15),1,0)</f>
        <v/>
      </c>
      <c r="BX125" s="17">
        <f>IF(AU125=1,IFERROR(MATCH($A125,INDEX(Clay_Offices!$A$2:$FZ$601,0,Sync!$C$5),0),""),"")</f>
        <v/>
      </c>
      <c r="BY125" s="17">
        <f>IF(BX125="","",IFERROR(INDEX(Clay_Offices!$A$2:$FZ$601,BX125,Sync!$C$7)&amp;"",""))</f>
        <v/>
      </c>
      <c r="BZ125" s="17">
        <f>IF(BY125="","",IFERROR(INDEX(Lists!$J$2:$J$15,MATCH(BY125,Lists!$I$2:$I$15,0)),""))</f>
        <v/>
      </c>
      <c r="CA125" s="17">
        <f>IF(BX125="","",IFERROR(INDEX(Clay_Offices!$A$2:$FZ$601,BX125,Sync!$C$17)&amp;"",""))</f>
        <v/>
      </c>
      <c r="CB125" s="23">
        <f>IF(BX125="","",IFERROR(N(INDEX(Clay_Offices!$A$2:$FZ$601,BX125,Sync!$C$16)),0))</f>
        <v/>
      </c>
    </row>
    <row r="126">
      <c r="G126" s="22" t="n"/>
      <c r="AS126" s="17">
        <f>IF(TRIM($A126)="","",IF(AND(LEFT($A126,6)="SAMPLE",Config!$B$19&lt;&gt;"Y"),"",IF(NOT(ISNUMBER(G126)),"call_date is blank or not a date",IF(Sync!$C$5="","Clay paste is empty or has no row_id column: paste the Clay export on Clay_Offices",IF(BX126="","row_id not found in the Clay paste: add the Clay row or fix the row_id",IF(AND(ISNUMBER(BZ126),BZ126&gt;=1,BZ126&lt;=5),"Clay status is "&amp;BY126&amp;": set call_done or later",IF(AND(AW126=1,CA126&lt;&gt;BS126),"Clay yes_in_principle should be "&amp;BS126,IF(AND(AW126=1,CB126&lt;&gt;G126),"Clay call_date should be "&amp;TEXT(G126,"yyyy-mm-dd"),""))))))))</f>
        <v/>
      </c>
      <c r="AT126" s="17">
        <f>ROW()</f>
        <v/>
      </c>
      <c r="AU126" s="17">
        <f>IF(AND(TRIM($A126)&lt;&gt;"",ISNUMBER(G126)),IF(AND(LEFT($A126,6)="SAMPLE",Config!$B$19&lt;&gt;"Y"),0,1),0)</f>
        <v/>
      </c>
      <c r="AV126" s="17">
        <f>IF(AU126=1,IF(COUNTIFS($A$2:$A$201,$A126,$AU$2:$AU$201,1,$G$2:$G$201,"&lt;"&amp;G126)+COUNTIFS($A$2:$A$201,$A126,$AU$2:$AU$201,1,$G$2:$G$201,G126,$AT$2:$AT$201,"&lt;"&amp;AT126)=0,1,0),0)</f>
        <v/>
      </c>
      <c r="AW126" s="17">
        <f>IF(AU126=1,IF(COUNTIFS($A$2:$A$201,$A126,$AU$2:$AU$201,1,$G$2:$G$201,"&gt;"&amp;G126)+COUNTIFS($A$2:$A$201,$A126,$AU$2:$AU$201,1,$G$2:$G$201,G126,$AT$2:$AT$201,"&gt;"&amp;AT126)=0,1,0),0)</f>
        <v/>
      </c>
      <c r="AX126" s="17">
        <f>IF(AND(AU126=1,AN126="Y",Z126="Y",TRIM(AD126)&lt;&gt;""),1,0)</f>
        <v/>
      </c>
      <c r="AY126" s="17">
        <f>IF(AX126=1,IF(COUNTIFS($A$2:$A$201,$A126,$AX$2:$AX$201,1,$G$2:$G$201,"&lt;"&amp;G126)+COUNTIFS($A$2:$A$201,$A126,$AX$2:$AX$201,1,$G$2:$G$201,G126,$AT$2:$AT$201,"&lt;"&amp;AT126)=0,1,0),0)</f>
        <v/>
      </c>
      <c r="AZ126" s="17">
        <f>IF(AND(AU126=1,AN126="Y",AX126=0),1,0)</f>
        <v/>
      </c>
      <c r="BA126" s="17">
        <f>IF(AND(AU126=1,ISNUMBER(V126)),1,0)</f>
        <v/>
      </c>
      <c r="BB126" s="17">
        <f>IF(BA126=1,IF(COUNTIFS($A$2:$A$201,$A126,$BA$2:$BA$201,1,$G$2:$G$201,"&lt;"&amp;G126)+COUNTIFS($A$2:$A$201,$A126,$BA$2:$BA$201,1,$G$2:$G$201,G126,$AT$2:$AT$201,"&lt;"&amp;AT126)=0,1,0),0)</f>
        <v/>
      </c>
      <c r="BC126" s="17">
        <f>IF(AND(BB126=1,G126&lt;=Config!$B$6),V126,"")</f>
        <v/>
      </c>
      <c r="BD126" s="17">
        <f>IF(AND(BB126=1,G126&lt;=Config!$B$7),V126,"")</f>
        <v/>
      </c>
      <c r="BE126" s="17">
        <f>IF(AND(BB126=1,G126&lt;=Config!$B$8),V126,"")</f>
        <v/>
      </c>
      <c r="BF126" s="17">
        <f>IF(AND(BB126=1,G126&lt;=Config!$B$5),V126,"")</f>
        <v/>
      </c>
      <c r="BG126" s="17">
        <f>IF(BW126=1,IF(COUNTIFS($A$2:$A$201,$A126,$BW$2:$BW$201,1,$G$2:$G$201,"&lt;"&amp;G126)+COUNTIFS($A$2:$A$201,$A126,$BW$2:$BW$201,1,$G$2:$G$201,G126,$AT$2:$AT$201,"&lt;"&amp;AT126)=0,1,0),0)</f>
        <v/>
      </c>
      <c r="BH126" s="17">
        <f>IF(AND(AU126=1,ISNUMBER(K126)),1,0)</f>
        <v/>
      </c>
      <c r="BI126" s="17">
        <f>IF(BH126=1,IF(COUNTIFS($A$2:$A$201,$A126,$BH$2:$BH$201,1,$G$2:$G$201,"&lt;"&amp;G126)+COUNTIFS($A$2:$A$201,$A126,$BH$2:$BH$201,1,$G$2:$G$201,G126,$AT$2:$AT$201,"&lt;"&amp;AT126)=0,1,0),0)</f>
        <v/>
      </c>
      <c r="BJ126" s="17">
        <f>IF(AND(BI126=1,G126&lt;=Config!$B$5),K126,"")</f>
        <v/>
      </c>
      <c r="BK126" s="17">
        <f>IF(AND(AU126=1,OR(TRIM(U126)&lt;&gt;"",ISNUMBER(V126))),1,0)</f>
        <v/>
      </c>
      <c r="BL126" s="17">
        <f>IF(BK126=1,IF(COUNTIFS($A$2:$A$201,$A126,$BK$2:$BK$201,1,$G$2:$G$201,"&lt;"&amp;G126)+COUNTIFS($A$2:$A$201,$A126,$BK$2:$BK$201,1,$G$2:$G$201,G126,$AT$2:$AT$201,"&lt;"&amp;AT126)=0,1,0),0)</f>
        <v/>
      </c>
      <c r="BM126" s="17">
        <f>IF(BL126=1,$A126,"")</f>
        <v/>
      </c>
      <c r="BN126" s="17">
        <f>IF(AND(AU126=1,T126="Y",TRIM(U126)=""),1,0)</f>
        <v/>
      </c>
      <c r="BO126" s="17">
        <f>IF(AU126=1,AJ126&amp;"","")</f>
        <v/>
      </c>
      <c r="BP126" s="17">
        <f>IF(AU126=1,AK126&amp;"","")</f>
        <v/>
      </c>
      <c r="BQ126" s="17">
        <f>IF(AU126=1,AL126&amp;"","")</f>
        <v/>
      </c>
      <c r="BR126" s="17">
        <f>IF(AND(AU126=1,ISNUMBER(AP126),G126&lt;=Config!$B$5),AP126,"")</f>
        <v/>
      </c>
      <c r="BS126" s="17">
        <f>IF(AU126=1,IF(COUNTIFS($A$2:$A$201,$A126,$AN$2:$AN$201,"Y",$AU$2:$AU$201,1)&gt;0,"Y","N"),"")</f>
        <v/>
      </c>
      <c r="BT126" s="17">
        <f>IF(AND(AU126=1,AN126="maybe"),1,0)</f>
        <v/>
      </c>
      <c r="BU126" s="17">
        <f>IF(BT126=1,IF(COUNTIFS($A$2:$A$201,$A126,$BT$2:$BT$201,1,$G$2:$G$201,"&lt;"&amp;G126)+COUNTIFS($A$2:$A$201,$A126,$BT$2:$BT$201,1,$G$2:$G$201,G126,$AT$2:$AT$201,"&lt;"&amp;AT126)=0,1,0),0)</f>
        <v/>
      </c>
      <c r="BV126" s="17">
        <f>IF(AND(AU126=1,AN126="Y"),IF(COUNTIFS($A$2:$A$201,$A126,$AN$2:$AN$201,"Y",$AU$2:$AU$201,1,$G$2:$G$201,"&lt;"&amp;G126)+COUNTIFS($A$2:$A$201,$A126,$AN$2:$AN$201,"Y",$AU$2:$AU$201,1,$G$2:$G$201,G126,$AT$2:$AT$201,"&lt;"&amp;AT126)=0,1,0),0)</f>
        <v/>
      </c>
      <c r="BW126" s="17">
        <f>IF(AND(BA126=1,N(V126)&gt;=Config!$B$15),1,0)</f>
        <v/>
      </c>
      <c r="BX126" s="17">
        <f>IF(AU126=1,IFERROR(MATCH($A126,INDEX(Clay_Offices!$A$2:$FZ$601,0,Sync!$C$5),0),""),"")</f>
        <v/>
      </c>
      <c r="BY126" s="17">
        <f>IF(BX126="","",IFERROR(INDEX(Clay_Offices!$A$2:$FZ$601,BX126,Sync!$C$7)&amp;"",""))</f>
        <v/>
      </c>
      <c r="BZ126" s="17">
        <f>IF(BY126="","",IFERROR(INDEX(Lists!$J$2:$J$15,MATCH(BY126,Lists!$I$2:$I$15,0)),""))</f>
        <v/>
      </c>
      <c r="CA126" s="17">
        <f>IF(BX126="","",IFERROR(INDEX(Clay_Offices!$A$2:$FZ$601,BX126,Sync!$C$17)&amp;"",""))</f>
        <v/>
      </c>
      <c r="CB126" s="23">
        <f>IF(BX126="","",IFERROR(N(INDEX(Clay_Offices!$A$2:$FZ$601,BX126,Sync!$C$16)),0))</f>
        <v/>
      </c>
    </row>
    <row r="127">
      <c r="G127" s="22" t="n"/>
      <c r="AS127" s="17">
        <f>IF(TRIM($A127)="","",IF(AND(LEFT($A127,6)="SAMPLE",Config!$B$19&lt;&gt;"Y"),"",IF(NOT(ISNUMBER(G127)),"call_date is blank or not a date",IF(Sync!$C$5="","Clay paste is empty or has no row_id column: paste the Clay export on Clay_Offices",IF(BX127="","row_id not found in the Clay paste: add the Clay row or fix the row_id",IF(AND(ISNUMBER(BZ127),BZ127&gt;=1,BZ127&lt;=5),"Clay status is "&amp;BY127&amp;": set call_done or later",IF(AND(AW127=1,CA127&lt;&gt;BS127),"Clay yes_in_principle should be "&amp;BS127,IF(AND(AW127=1,CB127&lt;&gt;G127),"Clay call_date should be "&amp;TEXT(G127,"yyyy-mm-dd"),""))))))))</f>
        <v/>
      </c>
      <c r="AT127" s="17">
        <f>ROW()</f>
        <v/>
      </c>
      <c r="AU127" s="17">
        <f>IF(AND(TRIM($A127)&lt;&gt;"",ISNUMBER(G127)),IF(AND(LEFT($A127,6)="SAMPLE",Config!$B$19&lt;&gt;"Y"),0,1),0)</f>
        <v/>
      </c>
      <c r="AV127" s="17">
        <f>IF(AU127=1,IF(COUNTIFS($A$2:$A$201,$A127,$AU$2:$AU$201,1,$G$2:$G$201,"&lt;"&amp;G127)+COUNTIFS($A$2:$A$201,$A127,$AU$2:$AU$201,1,$G$2:$G$201,G127,$AT$2:$AT$201,"&lt;"&amp;AT127)=0,1,0),0)</f>
        <v/>
      </c>
      <c r="AW127" s="17">
        <f>IF(AU127=1,IF(COUNTIFS($A$2:$A$201,$A127,$AU$2:$AU$201,1,$G$2:$G$201,"&gt;"&amp;G127)+COUNTIFS($A$2:$A$201,$A127,$AU$2:$AU$201,1,$G$2:$G$201,G127,$AT$2:$AT$201,"&gt;"&amp;AT127)=0,1,0),0)</f>
        <v/>
      </c>
      <c r="AX127" s="17">
        <f>IF(AND(AU127=1,AN127="Y",Z127="Y",TRIM(AD127)&lt;&gt;""),1,0)</f>
        <v/>
      </c>
      <c r="AY127" s="17">
        <f>IF(AX127=1,IF(COUNTIFS($A$2:$A$201,$A127,$AX$2:$AX$201,1,$G$2:$G$201,"&lt;"&amp;G127)+COUNTIFS($A$2:$A$201,$A127,$AX$2:$AX$201,1,$G$2:$G$201,G127,$AT$2:$AT$201,"&lt;"&amp;AT127)=0,1,0),0)</f>
        <v/>
      </c>
      <c r="AZ127" s="17">
        <f>IF(AND(AU127=1,AN127="Y",AX127=0),1,0)</f>
        <v/>
      </c>
      <c r="BA127" s="17">
        <f>IF(AND(AU127=1,ISNUMBER(V127)),1,0)</f>
        <v/>
      </c>
      <c r="BB127" s="17">
        <f>IF(BA127=1,IF(COUNTIFS($A$2:$A$201,$A127,$BA$2:$BA$201,1,$G$2:$G$201,"&lt;"&amp;G127)+COUNTIFS($A$2:$A$201,$A127,$BA$2:$BA$201,1,$G$2:$G$201,G127,$AT$2:$AT$201,"&lt;"&amp;AT127)=0,1,0),0)</f>
        <v/>
      </c>
      <c r="BC127" s="17">
        <f>IF(AND(BB127=1,G127&lt;=Config!$B$6),V127,"")</f>
        <v/>
      </c>
      <c r="BD127" s="17">
        <f>IF(AND(BB127=1,G127&lt;=Config!$B$7),V127,"")</f>
        <v/>
      </c>
      <c r="BE127" s="17">
        <f>IF(AND(BB127=1,G127&lt;=Config!$B$8),V127,"")</f>
        <v/>
      </c>
      <c r="BF127" s="17">
        <f>IF(AND(BB127=1,G127&lt;=Config!$B$5),V127,"")</f>
        <v/>
      </c>
      <c r="BG127" s="17">
        <f>IF(BW127=1,IF(COUNTIFS($A$2:$A$201,$A127,$BW$2:$BW$201,1,$G$2:$G$201,"&lt;"&amp;G127)+COUNTIFS($A$2:$A$201,$A127,$BW$2:$BW$201,1,$G$2:$G$201,G127,$AT$2:$AT$201,"&lt;"&amp;AT127)=0,1,0),0)</f>
        <v/>
      </c>
      <c r="BH127" s="17">
        <f>IF(AND(AU127=1,ISNUMBER(K127)),1,0)</f>
        <v/>
      </c>
      <c r="BI127" s="17">
        <f>IF(BH127=1,IF(COUNTIFS($A$2:$A$201,$A127,$BH$2:$BH$201,1,$G$2:$G$201,"&lt;"&amp;G127)+COUNTIFS($A$2:$A$201,$A127,$BH$2:$BH$201,1,$G$2:$G$201,G127,$AT$2:$AT$201,"&lt;"&amp;AT127)=0,1,0),0)</f>
        <v/>
      </c>
      <c r="BJ127" s="17">
        <f>IF(AND(BI127=1,G127&lt;=Config!$B$5),K127,"")</f>
        <v/>
      </c>
      <c r="BK127" s="17">
        <f>IF(AND(AU127=1,OR(TRIM(U127)&lt;&gt;"",ISNUMBER(V127))),1,0)</f>
        <v/>
      </c>
      <c r="BL127" s="17">
        <f>IF(BK127=1,IF(COUNTIFS($A$2:$A$201,$A127,$BK$2:$BK$201,1,$G$2:$G$201,"&lt;"&amp;G127)+COUNTIFS($A$2:$A$201,$A127,$BK$2:$BK$201,1,$G$2:$G$201,G127,$AT$2:$AT$201,"&lt;"&amp;AT127)=0,1,0),0)</f>
        <v/>
      </c>
      <c r="BM127" s="17">
        <f>IF(BL127=1,$A127,"")</f>
        <v/>
      </c>
      <c r="BN127" s="17">
        <f>IF(AND(AU127=1,T127="Y",TRIM(U127)=""),1,0)</f>
        <v/>
      </c>
      <c r="BO127" s="17">
        <f>IF(AU127=1,AJ127&amp;"","")</f>
        <v/>
      </c>
      <c r="BP127" s="17">
        <f>IF(AU127=1,AK127&amp;"","")</f>
        <v/>
      </c>
      <c r="BQ127" s="17">
        <f>IF(AU127=1,AL127&amp;"","")</f>
        <v/>
      </c>
      <c r="BR127" s="17">
        <f>IF(AND(AU127=1,ISNUMBER(AP127),G127&lt;=Config!$B$5),AP127,"")</f>
        <v/>
      </c>
      <c r="BS127" s="17">
        <f>IF(AU127=1,IF(COUNTIFS($A$2:$A$201,$A127,$AN$2:$AN$201,"Y",$AU$2:$AU$201,1)&gt;0,"Y","N"),"")</f>
        <v/>
      </c>
      <c r="BT127" s="17">
        <f>IF(AND(AU127=1,AN127="maybe"),1,0)</f>
        <v/>
      </c>
      <c r="BU127" s="17">
        <f>IF(BT127=1,IF(COUNTIFS($A$2:$A$201,$A127,$BT$2:$BT$201,1,$G$2:$G$201,"&lt;"&amp;G127)+COUNTIFS($A$2:$A$201,$A127,$BT$2:$BT$201,1,$G$2:$G$201,G127,$AT$2:$AT$201,"&lt;"&amp;AT127)=0,1,0),0)</f>
        <v/>
      </c>
      <c r="BV127" s="17">
        <f>IF(AND(AU127=1,AN127="Y"),IF(COUNTIFS($A$2:$A$201,$A127,$AN$2:$AN$201,"Y",$AU$2:$AU$201,1,$G$2:$G$201,"&lt;"&amp;G127)+COUNTIFS($A$2:$A$201,$A127,$AN$2:$AN$201,"Y",$AU$2:$AU$201,1,$G$2:$G$201,G127,$AT$2:$AT$201,"&lt;"&amp;AT127)=0,1,0),0)</f>
        <v/>
      </c>
      <c r="BW127" s="17">
        <f>IF(AND(BA127=1,N(V127)&gt;=Config!$B$15),1,0)</f>
        <v/>
      </c>
      <c r="BX127" s="17">
        <f>IF(AU127=1,IFERROR(MATCH($A127,INDEX(Clay_Offices!$A$2:$FZ$601,0,Sync!$C$5),0),""),"")</f>
        <v/>
      </c>
      <c r="BY127" s="17">
        <f>IF(BX127="","",IFERROR(INDEX(Clay_Offices!$A$2:$FZ$601,BX127,Sync!$C$7)&amp;"",""))</f>
        <v/>
      </c>
      <c r="BZ127" s="17">
        <f>IF(BY127="","",IFERROR(INDEX(Lists!$J$2:$J$15,MATCH(BY127,Lists!$I$2:$I$15,0)),""))</f>
        <v/>
      </c>
      <c r="CA127" s="17">
        <f>IF(BX127="","",IFERROR(INDEX(Clay_Offices!$A$2:$FZ$601,BX127,Sync!$C$17)&amp;"",""))</f>
        <v/>
      </c>
      <c r="CB127" s="23">
        <f>IF(BX127="","",IFERROR(N(INDEX(Clay_Offices!$A$2:$FZ$601,BX127,Sync!$C$16)),0))</f>
        <v/>
      </c>
    </row>
    <row r="128">
      <c r="G128" s="22" t="n"/>
      <c r="AS128" s="17">
        <f>IF(TRIM($A128)="","",IF(AND(LEFT($A128,6)="SAMPLE",Config!$B$19&lt;&gt;"Y"),"",IF(NOT(ISNUMBER(G128)),"call_date is blank or not a date",IF(Sync!$C$5="","Clay paste is empty or has no row_id column: paste the Clay export on Clay_Offices",IF(BX128="","row_id not found in the Clay paste: add the Clay row or fix the row_id",IF(AND(ISNUMBER(BZ128),BZ128&gt;=1,BZ128&lt;=5),"Clay status is "&amp;BY128&amp;": set call_done or later",IF(AND(AW128=1,CA128&lt;&gt;BS128),"Clay yes_in_principle should be "&amp;BS128,IF(AND(AW128=1,CB128&lt;&gt;G128),"Clay call_date should be "&amp;TEXT(G128,"yyyy-mm-dd"),""))))))))</f>
        <v/>
      </c>
      <c r="AT128" s="17">
        <f>ROW()</f>
        <v/>
      </c>
      <c r="AU128" s="17">
        <f>IF(AND(TRIM($A128)&lt;&gt;"",ISNUMBER(G128)),IF(AND(LEFT($A128,6)="SAMPLE",Config!$B$19&lt;&gt;"Y"),0,1),0)</f>
        <v/>
      </c>
      <c r="AV128" s="17">
        <f>IF(AU128=1,IF(COUNTIFS($A$2:$A$201,$A128,$AU$2:$AU$201,1,$G$2:$G$201,"&lt;"&amp;G128)+COUNTIFS($A$2:$A$201,$A128,$AU$2:$AU$201,1,$G$2:$G$201,G128,$AT$2:$AT$201,"&lt;"&amp;AT128)=0,1,0),0)</f>
        <v/>
      </c>
      <c r="AW128" s="17">
        <f>IF(AU128=1,IF(COUNTIFS($A$2:$A$201,$A128,$AU$2:$AU$201,1,$G$2:$G$201,"&gt;"&amp;G128)+COUNTIFS($A$2:$A$201,$A128,$AU$2:$AU$201,1,$G$2:$G$201,G128,$AT$2:$AT$201,"&gt;"&amp;AT128)=0,1,0),0)</f>
        <v/>
      </c>
      <c r="AX128" s="17">
        <f>IF(AND(AU128=1,AN128="Y",Z128="Y",TRIM(AD128)&lt;&gt;""),1,0)</f>
        <v/>
      </c>
      <c r="AY128" s="17">
        <f>IF(AX128=1,IF(COUNTIFS($A$2:$A$201,$A128,$AX$2:$AX$201,1,$G$2:$G$201,"&lt;"&amp;G128)+COUNTIFS($A$2:$A$201,$A128,$AX$2:$AX$201,1,$G$2:$G$201,G128,$AT$2:$AT$201,"&lt;"&amp;AT128)=0,1,0),0)</f>
        <v/>
      </c>
      <c r="AZ128" s="17">
        <f>IF(AND(AU128=1,AN128="Y",AX128=0),1,0)</f>
        <v/>
      </c>
      <c r="BA128" s="17">
        <f>IF(AND(AU128=1,ISNUMBER(V128)),1,0)</f>
        <v/>
      </c>
      <c r="BB128" s="17">
        <f>IF(BA128=1,IF(COUNTIFS($A$2:$A$201,$A128,$BA$2:$BA$201,1,$G$2:$G$201,"&lt;"&amp;G128)+COUNTIFS($A$2:$A$201,$A128,$BA$2:$BA$201,1,$G$2:$G$201,G128,$AT$2:$AT$201,"&lt;"&amp;AT128)=0,1,0),0)</f>
        <v/>
      </c>
      <c r="BC128" s="17">
        <f>IF(AND(BB128=1,G128&lt;=Config!$B$6),V128,"")</f>
        <v/>
      </c>
      <c r="BD128" s="17">
        <f>IF(AND(BB128=1,G128&lt;=Config!$B$7),V128,"")</f>
        <v/>
      </c>
      <c r="BE128" s="17">
        <f>IF(AND(BB128=1,G128&lt;=Config!$B$8),V128,"")</f>
        <v/>
      </c>
      <c r="BF128" s="17">
        <f>IF(AND(BB128=1,G128&lt;=Config!$B$5),V128,"")</f>
        <v/>
      </c>
      <c r="BG128" s="17">
        <f>IF(BW128=1,IF(COUNTIFS($A$2:$A$201,$A128,$BW$2:$BW$201,1,$G$2:$G$201,"&lt;"&amp;G128)+COUNTIFS($A$2:$A$201,$A128,$BW$2:$BW$201,1,$G$2:$G$201,G128,$AT$2:$AT$201,"&lt;"&amp;AT128)=0,1,0),0)</f>
        <v/>
      </c>
      <c r="BH128" s="17">
        <f>IF(AND(AU128=1,ISNUMBER(K128)),1,0)</f>
        <v/>
      </c>
      <c r="BI128" s="17">
        <f>IF(BH128=1,IF(COUNTIFS($A$2:$A$201,$A128,$BH$2:$BH$201,1,$G$2:$G$201,"&lt;"&amp;G128)+COUNTIFS($A$2:$A$201,$A128,$BH$2:$BH$201,1,$G$2:$G$201,G128,$AT$2:$AT$201,"&lt;"&amp;AT128)=0,1,0),0)</f>
        <v/>
      </c>
      <c r="BJ128" s="17">
        <f>IF(AND(BI128=1,G128&lt;=Config!$B$5),K128,"")</f>
        <v/>
      </c>
      <c r="BK128" s="17">
        <f>IF(AND(AU128=1,OR(TRIM(U128)&lt;&gt;"",ISNUMBER(V128))),1,0)</f>
        <v/>
      </c>
      <c r="BL128" s="17">
        <f>IF(BK128=1,IF(COUNTIFS($A$2:$A$201,$A128,$BK$2:$BK$201,1,$G$2:$G$201,"&lt;"&amp;G128)+COUNTIFS($A$2:$A$201,$A128,$BK$2:$BK$201,1,$G$2:$G$201,G128,$AT$2:$AT$201,"&lt;"&amp;AT128)=0,1,0),0)</f>
        <v/>
      </c>
      <c r="BM128" s="17">
        <f>IF(BL128=1,$A128,"")</f>
        <v/>
      </c>
      <c r="BN128" s="17">
        <f>IF(AND(AU128=1,T128="Y",TRIM(U128)=""),1,0)</f>
        <v/>
      </c>
      <c r="BO128" s="17">
        <f>IF(AU128=1,AJ128&amp;"","")</f>
        <v/>
      </c>
      <c r="BP128" s="17">
        <f>IF(AU128=1,AK128&amp;"","")</f>
        <v/>
      </c>
      <c r="BQ128" s="17">
        <f>IF(AU128=1,AL128&amp;"","")</f>
        <v/>
      </c>
      <c r="BR128" s="17">
        <f>IF(AND(AU128=1,ISNUMBER(AP128),G128&lt;=Config!$B$5),AP128,"")</f>
        <v/>
      </c>
      <c r="BS128" s="17">
        <f>IF(AU128=1,IF(COUNTIFS($A$2:$A$201,$A128,$AN$2:$AN$201,"Y",$AU$2:$AU$201,1)&gt;0,"Y","N"),"")</f>
        <v/>
      </c>
      <c r="BT128" s="17">
        <f>IF(AND(AU128=1,AN128="maybe"),1,0)</f>
        <v/>
      </c>
      <c r="BU128" s="17">
        <f>IF(BT128=1,IF(COUNTIFS($A$2:$A$201,$A128,$BT$2:$BT$201,1,$G$2:$G$201,"&lt;"&amp;G128)+COUNTIFS($A$2:$A$201,$A128,$BT$2:$BT$201,1,$G$2:$G$201,G128,$AT$2:$AT$201,"&lt;"&amp;AT128)=0,1,0),0)</f>
        <v/>
      </c>
      <c r="BV128" s="17">
        <f>IF(AND(AU128=1,AN128="Y"),IF(COUNTIFS($A$2:$A$201,$A128,$AN$2:$AN$201,"Y",$AU$2:$AU$201,1,$G$2:$G$201,"&lt;"&amp;G128)+COUNTIFS($A$2:$A$201,$A128,$AN$2:$AN$201,"Y",$AU$2:$AU$201,1,$G$2:$G$201,G128,$AT$2:$AT$201,"&lt;"&amp;AT128)=0,1,0),0)</f>
        <v/>
      </c>
      <c r="BW128" s="17">
        <f>IF(AND(BA128=1,N(V128)&gt;=Config!$B$15),1,0)</f>
        <v/>
      </c>
      <c r="BX128" s="17">
        <f>IF(AU128=1,IFERROR(MATCH($A128,INDEX(Clay_Offices!$A$2:$FZ$601,0,Sync!$C$5),0),""),"")</f>
        <v/>
      </c>
      <c r="BY128" s="17">
        <f>IF(BX128="","",IFERROR(INDEX(Clay_Offices!$A$2:$FZ$601,BX128,Sync!$C$7)&amp;"",""))</f>
        <v/>
      </c>
      <c r="BZ128" s="17">
        <f>IF(BY128="","",IFERROR(INDEX(Lists!$J$2:$J$15,MATCH(BY128,Lists!$I$2:$I$15,0)),""))</f>
        <v/>
      </c>
      <c r="CA128" s="17">
        <f>IF(BX128="","",IFERROR(INDEX(Clay_Offices!$A$2:$FZ$601,BX128,Sync!$C$17)&amp;"",""))</f>
        <v/>
      </c>
      <c r="CB128" s="23">
        <f>IF(BX128="","",IFERROR(N(INDEX(Clay_Offices!$A$2:$FZ$601,BX128,Sync!$C$16)),0))</f>
        <v/>
      </c>
    </row>
    <row r="129">
      <c r="G129" s="22" t="n"/>
      <c r="AS129" s="17">
        <f>IF(TRIM($A129)="","",IF(AND(LEFT($A129,6)="SAMPLE",Config!$B$19&lt;&gt;"Y"),"",IF(NOT(ISNUMBER(G129)),"call_date is blank or not a date",IF(Sync!$C$5="","Clay paste is empty or has no row_id column: paste the Clay export on Clay_Offices",IF(BX129="","row_id not found in the Clay paste: add the Clay row or fix the row_id",IF(AND(ISNUMBER(BZ129),BZ129&gt;=1,BZ129&lt;=5),"Clay status is "&amp;BY129&amp;": set call_done or later",IF(AND(AW129=1,CA129&lt;&gt;BS129),"Clay yes_in_principle should be "&amp;BS129,IF(AND(AW129=1,CB129&lt;&gt;G129),"Clay call_date should be "&amp;TEXT(G129,"yyyy-mm-dd"),""))))))))</f>
        <v/>
      </c>
      <c r="AT129" s="17">
        <f>ROW()</f>
        <v/>
      </c>
      <c r="AU129" s="17">
        <f>IF(AND(TRIM($A129)&lt;&gt;"",ISNUMBER(G129)),IF(AND(LEFT($A129,6)="SAMPLE",Config!$B$19&lt;&gt;"Y"),0,1),0)</f>
        <v/>
      </c>
      <c r="AV129" s="17">
        <f>IF(AU129=1,IF(COUNTIFS($A$2:$A$201,$A129,$AU$2:$AU$201,1,$G$2:$G$201,"&lt;"&amp;G129)+COUNTIFS($A$2:$A$201,$A129,$AU$2:$AU$201,1,$G$2:$G$201,G129,$AT$2:$AT$201,"&lt;"&amp;AT129)=0,1,0),0)</f>
        <v/>
      </c>
      <c r="AW129" s="17">
        <f>IF(AU129=1,IF(COUNTIFS($A$2:$A$201,$A129,$AU$2:$AU$201,1,$G$2:$G$201,"&gt;"&amp;G129)+COUNTIFS($A$2:$A$201,$A129,$AU$2:$AU$201,1,$G$2:$G$201,G129,$AT$2:$AT$201,"&gt;"&amp;AT129)=0,1,0),0)</f>
        <v/>
      </c>
      <c r="AX129" s="17">
        <f>IF(AND(AU129=1,AN129="Y",Z129="Y",TRIM(AD129)&lt;&gt;""),1,0)</f>
        <v/>
      </c>
      <c r="AY129" s="17">
        <f>IF(AX129=1,IF(COUNTIFS($A$2:$A$201,$A129,$AX$2:$AX$201,1,$G$2:$G$201,"&lt;"&amp;G129)+COUNTIFS($A$2:$A$201,$A129,$AX$2:$AX$201,1,$G$2:$G$201,G129,$AT$2:$AT$201,"&lt;"&amp;AT129)=0,1,0),0)</f>
        <v/>
      </c>
      <c r="AZ129" s="17">
        <f>IF(AND(AU129=1,AN129="Y",AX129=0),1,0)</f>
        <v/>
      </c>
      <c r="BA129" s="17">
        <f>IF(AND(AU129=1,ISNUMBER(V129)),1,0)</f>
        <v/>
      </c>
      <c r="BB129" s="17">
        <f>IF(BA129=1,IF(COUNTIFS($A$2:$A$201,$A129,$BA$2:$BA$201,1,$G$2:$G$201,"&lt;"&amp;G129)+COUNTIFS($A$2:$A$201,$A129,$BA$2:$BA$201,1,$G$2:$G$201,G129,$AT$2:$AT$201,"&lt;"&amp;AT129)=0,1,0),0)</f>
        <v/>
      </c>
      <c r="BC129" s="17">
        <f>IF(AND(BB129=1,G129&lt;=Config!$B$6),V129,"")</f>
        <v/>
      </c>
      <c r="BD129" s="17">
        <f>IF(AND(BB129=1,G129&lt;=Config!$B$7),V129,"")</f>
        <v/>
      </c>
      <c r="BE129" s="17">
        <f>IF(AND(BB129=1,G129&lt;=Config!$B$8),V129,"")</f>
        <v/>
      </c>
      <c r="BF129" s="17">
        <f>IF(AND(BB129=1,G129&lt;=Config!$B$5),V129,"")</f>
        <v/>
      </c>
      <c r="BG129" s="17">
        <f>IF(BW129=1,IF(COUNTIFS($A$2:$A$201,$A129,$BW$2:$BW$201,1,$G$2:$G$201,"&lt;"&amp;G129)+COUNTIFS($A$2:$A$201,$A129,$BW$2:$BW$201,1,$G$2:$G$201,G129,$AT$2:$AT$201,"&lt;"&amp;AT129)=0,1,0),0)</f>
        <v/>
      </c>
      <c r="BH129" s="17">
        <f>IF(AND(AU129=1,ISNUMBER(K129)),1,0)</f>
        <v/>
      </c>
      <c r="BI129" s="17">
        <f>IF(BH129=1,IF(COUNTIFS($A$2:$A$201,$A129,$BH$2:$BH$201,1,$G$2:$G$201,"&lt;"&amp;G129)+COUNTIFS($A$2:$A$201,$A129,$BH$2:$BH$201,1,$G$2:$G$201,G129,$AT$2:$AT$201,"&lt;"&amp;AT129)=0,1,0),0)</f>
        <v/>
      </c>
      <c r="BJ129" s="17">
        <f>IF(AND(BI129=1,G129&lt;=Config!$B$5),K129,"")</f>
        <v/>
      </c>
      <c r="BK129" s="17">
        <f>IF(AND(AU129=1,OR(TRIM(U129)&lt;&gt;"",ISNUMBER(V129))),1,0)</f>
        <v/>
      </c>
      <c r="BL129" s="17">
        <f>IF(BK129=1,IF(COUNTIFS($A$2:$A$201,$A129,$BK$2:$BK$201,1,$G$2:$G$201,"&lt;"&amp;G129)+COUNTIFS($A$2:$A$201,$A129,$BK$2:$BK$201,1,$G$2:$G$201,G129,$AT$2:$AT$201,"&lt;"&amp;AT129)=0,1,0),0)</f>
        <v/>
      </c>
      <c r="BM129" s="17">
        <f>IF(BL129=1,$A129,"")</f>
        <v/>
      </c>
      <c r="BN129" s="17">
        <f>IF(AND(AU129=1,T129="Y",TRIM(U129)=""),1,0)</f>
        <v/>
      </c>
      <c r="BO129" s="17">
        <f>IF(AU129=1,AJ129&amp;"","")</f>
        <v/>
      </c>
      <c r="BP129" s="17">
        <f>IF(AU129=1,AK129&amp;"","")</f>
        <v/>
      </c>
      <c r="BQ129" s="17">
        <f>IF(AU129=1,AL129&amp;"","")</f>
        <v/>
      </c>
      <c r="BR129" s="17">
        <f>IF(AND(AU129=1,ISNUMBER(AP129),G129&lt;=Config!$B$5),AP129,"")</f>
        <v/>
      </c>
      <c r="BS129" s="17">
        <f>IF(AU129=1,IF(COUNTIFS($A$2:$A$201,$A129,$AN$2:$AN$201,"Y",$AU$2:$AU$201,1)&gt;0,"Y","N"),"")</f>
        <v/>
      </c>
      <c r="BT129" s="17">
        <f>IF(AND(AU129=1,AN129="maybe"),1,0)</f>
        <v/>
      </c>
      <c r="BU129" s="17">
        <f>IF(BT129=1,IF(COUNTIFS($A$2:$A$201,$A129,$BT$2:$BT$201,1,$G$2:$G$201,"&lt;"&amp;G129)+COUNTIFS($A$2:$A$201,$A129,$BT$2:$BT$201,1,$G$2:$G$201,G129,$AT$2:$AT$201,"&lt;"&amp;AT129)=0,1,0),0)</f>
        <v/>
      </c>
      <c r="BV129" s="17">
        <f>IF(AND(AU129=1,AN129="Y"),IF(COUNTIFS($A$2:$A$201,$A129,$AN$2:$AN$201,"Y",$AU$2:$AU$201,1,$G$2:$G$201,"&lt;"&amp;G129)+COUNTIFS($A$2:$A$201,$A129,$AN$2:$AN$201,"Y",$AU$2:$AU$201,1,$G$2:$G$201,G129,$AT$2:$AT$201,"&lt;"&amp;AT129)=0,1,0),0)</f>
        <v/>
      </c>
      <c r="BW129" s="17">
        <f>IF(AND(BA129=1,N(V129)&gt;=Config!$B$15),1,0)</f>
        <v/>
      </c>
      <c r="BX129" s="17">
        <f>IF(AU129=1,IFERROR(MATCH($A129,INDEX(Clay_Offices!$A$2:$FZ$601,0,Sync!$C$5),0),""),"")</f>
        <v/>
      </c>
      <c r="BY129" s="17">
        <f>IF(BX129="","",IFERROR(INDEX(Clay_Offices!$A$2:$FZ$601,BX129,Sync!$C$7)&amp;"",""))</f>
        <v/>
      </c>
      <c r="BZ129" s="17">
        <f>IF(BY129="","",IFERROR(INDEX(Lists!$J$2:$J$15,MATCH(BY129,Lists!$I$2:$I$15,0)),""))</f>
        <v/>
      </c>
      <c r="CA129" s="17">
        <f>IF(BX129="","",IFERROR(INDEX(Clay_Offices!$A$2:$FZ$601,BX129,Sync!$C$17)&amp;"",""))</f>
        <v/>
      </c>
      <c r="CB129" s="23">
        <f>IF(BX129="","",IFERROR(N(INDEX(Clay_Offices!$A$2:$FZ$601,BX129,Sync!$C$16)),0))</f>
        <v/>
      </c>
    </row>
    <row r="130">
      <c r="G130" s="22" t="n"/>
      <c r="AS130" s="17">
        <f>IF(TRIM($A130)="","",IF(AND(LEFT($A130,6)="SAMPLE",Config!$B$19&lt;&gt;"Y"),"",IF(NOT(ISNUMBER(G130)),"call_date is blank or not a date",IF(Sync!$C$5="","Clay paste is empty or has no row_id column: paste the Clay export on Clay_Offices",IF(BX130="","row_id not found in the Clay paste: add the Clay row or fix the row_id",IF(AND(ISNUMBER(BZ130),BZ130&gt;=1,BZ130&lt;=5),"Clay status is "&amp;BY130&amp;": set call_done or later",IF(AND(AW130=1,CA130&lt;&gt;BS130),"Clay yes_in_principle should be "&amp;BS130,IF(AND(AW130=1,CB130&lt;&gt;G130),"Clay call_date should be "&amp;TEXT(G130,"yyyy-mm-dd"),""))))))))</f>
        <v/>
      </c>
      <c r="AT130" s="17">
        <f>ROW()</f>
        <v/>
      </c>
      <c r="AU130" s="17">
        <f>IF(AND(TRIM($A130)&lt;&gt;"",ISNUMBER(G130)),IF(AND(LEFT($A130,6)="SAMPLE",Config!$B$19&lt;&gt;"Y"),0,1),0)</f>
        <v/>
      </c>
      <c r="AV130" s="17">
        <f>IF(AU130=1,IF(COUNTIFS($A$2:$A$201,$A130,$AU$2:$AU$201,1,$G$2:$G$201,"&lt;"&amp;G130)+COUNTIFS($A$2:$A$201,$A130,$AU$2:$AU$201,1,$G$2:$G$201,G130,$AT$2:$AT$201,"&lt;"&amp;AT130)=0,1,0),0)</f>
        <v/>
      </c>
      <c r="AW130" s="17">
        <f>IF(AU130=1,IF(COUNTIFS($A$2:$A$201,$A130,$AU$2:$AU$201,1,$G$2:$G$201,"&gt;"&amp;G130)+COUNTIFS($A$2:$A$201,$A130,$AU$2:$AU$201,1,$G$2:$G$201,G130,$AT$2:$AT$201,"&gt;"&amp;AT130)=0,1,0),0)</f>
        <v/>
      </c>
      <c r="AX130" s="17">
        <f>IF(AND(AU130=1,AN130="Y",Z130="Y",TRIM(AD130)&lt;&gt;""),1,0)</f>
        <v/>
      </c>
      <c r="AY130" s="17">
        <f>IF(AX130=1,IF(COUNTIFS($A$2:$A$201,$A130,$AX$2:$AX$201,1,$G$2:$G$201,"&lt;"&amp;G130)+COUNTIFS($A$2:$A$201,$A130,$AX$2:$AX$201,1,$G$2:$G$201,G130,$AT$2:$AT$201,"&lt;"&amp;AT130)=0,1,0),0)</f>
        <v/>
      </c>
      <c r="AZ130" s="17">
        <f>IF(AND(AU130=1,AN130="Y",AX130=0),1,0)</f>
        <v/>
      </c>
      <c r="BA130" s="17">
        <f>IF(AND(AU130=1,ISNUMBER(V130)),1,0)</f>
        <v/>
      </c>
      <c r="BB130" s="17">
        <f>IF(BA130=1,IF(COUNTIFS($A$2:$A$201,$A130,$BA$2:$BA$201,1,$G$2:$G$201,"&lt;"&amp;G130)+COUNTIFS($A$2:$A$201,$A130,$BA$2:$BA$201,1,$G$2:$G$201,G130,$AT$2:$AT$201,"&lt;"&amp;AT130)=0,1,0),0)</f>
        <v/>
      </c>
      <c r="BC130" s="17">
        <f>IF(AND(BB130=1,G130&lt;=Config!$B$6),V130,"")</f>
        <v/>
      </c>
      <c r="BD130" s="17">
        <f>IF(AND(BB130=1,G130&lt;=Config!$B$7),V130,"")</f>
        <v/>
      </c>
      <c r="BE130" s="17">
        <f>IF(AND(BB130=1,G130&lt;=Config!$B$8),V130,"")</f>
        <v/>
      </c>
      <c r="BF130" s="17">
        <f>IF(AND(BB130=1,G130&lt;=Config!$B$5),V130,"")</f>
        <v/>
      </c>
      <c r="BG130" s="17">
        <f>IF(BW130=1,IF(COUNTIFS($A$2:$A$201,$A130,$BW$2:$BW$201,1,$G$2:$G$201,"&lt;"&amp;G130)+COUNTIFS($A$2:$A$201,$A130,$BW$2:$BW$201,1,$G$2:$G$201,G130,$AT$2:$AT$201,"&lt;"&amp;AT130)=0,1,0),0)</f>
        <v/>
      </c>
      <c r="BH130" s="17">
        <f>IF(AND(AU130=1,ISNUMBER(K130)),1,0)</f>
        <v/>
      </c>
      <c r="BI130" s="17">
        <f>IF(BH130=1,IF(COUNTIFS($A$2:$A$201,$A130,$BH$2:$BH$201,1,$G$2:$G$201,"&lt;"&amp;G130)+COUNTIFS($A$2:$A$201,$A130,$BH$2:$BH$201,1,$G$2:$G$201,G130,$AT$2:$AT$201,"&lt;"&amp;AT130)=0,1,0),0)</f>
        <v/>
      </c>
      <c r="BJ130" s="17">
        <f>IF(AND(BI130=1,G130&lt;=Config!$B$5),K130,"")</f>
        <v/>
      </c>
      <c r="BK130" s="17">
        <f>IF(AND(AU130=1,OR(TRIM(U130)&lt;&gt;"",ISNUMBER(V130))),1,0)</f>
        <v/>
      </c>
      <c r="BL130" s="17">
        <f>IF(BK130=1,IF(COUNTIFS($A$2:$A$201,$A130,$BK$2:$BK$201,1,$G$2:$G$201,"&lt;"&amp;G130)+COUNTIFS($A$2:$A$201,$A130,$BK$2:$BK$201,1,$G$2:$G$201,G130,$AT$2:$AT$201,"&lt;"&amp;AT130)=0,1,0),0)</f>
        <v/>
      </c>
      <c r="BM130" s="17">
        <f>IF(BL130=1,$A130,"")</f>
        <v/>
      </c>
      <c r="BN130" s="17">
        <f>IF(AND(AU130=1,T130="Y",TRIM(U130)=""),1,0)</f>
        <v/>
      </c>
      <c r="BO130" s="17">
        <f>IF(AU130=1,AJ130&amp;"","")</f>
        <v/>
      </c>
      <c r="BP130" s="17">
        <f>IF(AU130=1,AK130&amp;"","")</f>
        <v/>
      </c>
      <c r="BQ130" s="17">
        <f>IF(AU130=1,AL130&amp;"","")</f>
        <v/>
      </c>
      <c r="BR130" s="17">
        <f>IF(AND(AU130=1,ISNUMBER(AP130),G130&lt;=Config!$B$5),AP130,"")</f>
        <v/>
      </c>
      <c r="BS130" s="17">
        <f>IF(AU130=1,IF(COUNTIFS($A$2:$A$201,$A130,$AN$2:$AN$201,"Y",$AU$2:$AU$201,1)&gt;0,"Y","N"),"")</f>
        <v/>
      </c>
      <c r="BT130" s="17">
        <f>IF(AND(AU130=1,AN130="maybe"),1,0)</f>
        <v/>
      </c>
      <c r="BU130" s="17">
        <f>IF(BT130=1,IF(COUNTIFS($A$2:$A$201,$A130,$BT$2:$BT$201,1,$G$2:$G$201,"&lt;"&amp;G130)+COUNTIFS($A$2:$A$201,$A130,$BT$2:$BT$201,1,$G$2:$G$201,G130,$AT$2:$AT$201,"&lt;"&amp;AT130)=0,1,0),0)</f>
        <v/>
      </c>
      <c r="BV130" s="17">
        <f>IF(AND(AU130=1,AN130="Y"),IF(COUNTIFS($A$2:$A$201,$A130,$AN$2:$AN$201,"Y",$AU$2:$AU$201,1,$G$2:$G$201,"&lt;"&amp;G130)+COUNTIFS($A$2:$A$201,$A130,$AN$2:$AN$201,"Y",$AU$2:$AU$201,1,$G$2:$G$201,G130,$AT$2:$AT$201,"&lt;"&amp;AT130)=0,1,0),0)</f>
        <v/>
      </c>
      <c r="BW130" s="17">
        <f>IF(AND(BA130=1,N(V130)&gt;=Config!$B$15),1,0)</f>
        <v/>
      </c>
      <c r="BX130" s="17">
        <f>IF(AU130=1,IFERROR(MATCH($A130,INDEX(Clay_Offices!$A$2:$FZ$601,0,Sync!$C$5),0),""),"")</f>
        <v/>
      </c>
      <c r="BY130" s="17">
        <f>IF(BX130="","",IFERROR(INDEX(Clay_Offices!$A$2:$FZ$601,BX130,Sync!$C$7)&amp;"",""))</f>
        <v/>
      </c>
      <c r="BZ130" s="17">
        <f>IF(BY130="","",IFERROR(INDEX(Lists!$J$2:$J$15,MATCH(BY130,Lists!$I$2:$I$15,0)),""))</f>
        <v/>
      </c>
      <c r="CA130" s="17">
        <f>IF(BX130="","",IFERROR(INDEX(Clay_Offices!$A$2:$FZ$601,BX130,Sync!$C$17)&amp;"",""))</f>
        <v/>
      </c>
      <c r="CB130" s="23">
        <f>IF(BX130="","",IFERROR(N(INDEX(Clay_Offices!$A$2:$FZ$601,BX130,Sync!$C$16)),0))</f>
        <v/>
      </c>
    </row>
    <row r="131">
      <c r="G131" s="22" t="n"/>
      <c r="AS131" s="17">
        <f>IF(TRIM($A131)="","",IF(AND(LEFT($A131,6)="SAMPLE",Config!$B$19&lt;&gt;"Y"),"",IF(NOT(ISNUMBER(G131)),"call_date is blank or not a date",IF(Sync!$C$5="","Clay paste is empty or has no row_id column: paste the Clay export on Clay_Offices",IF(BX131="","row_id not found in the Clay paste: add the Clay row or fix the row_id",IF(AND(ISNUMBER(BZ131),BZ131&gt;=1,BZ131&lt;=5),"Clay status is "&amp;BY131&amp;": set call_done or later",IF(AND(AW131=1,CA131&lt;&gt;BS131),"Clay yes_in_principle should be "&amp;BS131,IF(AND(AW131=1,CB131&lt;&gt;G131),"Clay call_date should be "&amp;TEXT(G131,"yyyy-mm-dd"),""))))))))</f>
        <v/>
      </c>
      <c r="AT131" s="17">
        <f>ROW()</f>
        <v/>
      </c>
      <c r="AU131" s="17">
        <f>IF(AND(TRIM($A131)&lt;&gt;"",ISNUMBER(G131)),IF(AND(LEFT($A131,6)="SAMPLE",Config!$B$19&lt;&gt;"Y"),0,1),0)</f>
        <v/>
      </c>
      <c r="AV131" s="17">
        <f>IF(AU131=1,IF(COUNTIFS($A$2:$A$201,$A131,$AU$2:$AU$201,1,$G$2:$G$201,"&lt;"&amp;G131)+COUNTIFS($A$2:$A$201,$A131,$AU$2:$AU$201,1,$G$2:$G$201,G131,$AT$2:$AT$201,"&lt;"&amp;AT131)=0,1,0),0)</f>
        <v/>
      </c>
      <c r="AW131" s="17">
        <f>IF(AU131=1,IF(COUNTIFS($A$2:$A$201,$A131,$AU$2:$AU$201,1,$G$2:$G$201,"&gt;"&amp;G131)+COUNTIFS($A$2:$A$201,$A131,$AU$2:$AU$201,1,$G$2:$G$201,G131,$AT$2:$AT$201,"&gt;"&amp;AT131)=0,1,0),0)</f>
        <v/>
      </c>
      <c r="AX131" s="17">
        <f>IF(AND(AU131=1,AN131="Y",Z131="Y",TRIM(AD131)&lt;&gt;""),1,0)</f>
        <v/>
      </c>
      <c r="AY131" s="17">
        <f>IF(AX131=1,IF(COUNTIFS($A$2:$A$201,$A131,$AX$2:$AX$201,1,$G$2:$G$201,"&lt;"&amp;G131)+COUNTIFS($A$2:$A$201,$A131,$AX$2:$AX$201,1,$G$2:$G$201,G131,$AT$2:$AT$201,"&lt;"&amp;AT131)=0,1,0),0)</f>
        <v/>
      </c>
      <c r="AZ131" s="17">
        <f>IF(AND(AU131=1,AN131="Y",AX131=0),1,0)</f>
        <v/>
      </c>
      <c r="BA131" s="17">
        <f>IF(AND(AU131=1,ISNUMBER(V131)),1,0)</f>
        <v/>
      </c>
      <c r="BB131" s="17">
        <f>IF(BA131=1,IF(COUNTIFS($A$2:$A$201,$A131,$BA$2:$BA$201,1,$G$2:$G$201,"&lt;"&amp;G131)+COUNTIFS($A$2:$A$201,$A131,$BA$2:$BA$201,1,$G$2:$G$201,G131,$AT$2:$AT$201,"&lt;"&amp;AT131)=0,1,0),0)</f>
        <v/>
      </c>
      <c r="BC131" s="17">
        <f>IF(AND(BB131=1,G131&lt;=Config!$B$6),V131,"")</f>
        <v/>
      </c>
      <c r="BD131" s="17">
        <f>IF(AND(BB131=1,G131&lt;=Config!$B$7),V131,"")</f>
        <v/>
      </c>
      <c r="BE131" s="17">
        <f>IF(AND(BB131=1,G131&lt;=Config!$B$8),V131,"")</f>
        <v/>
      </c>
      <c r="BF131" s="17">
        <f>IF(AND(BB131=1,G131&lt;=Config!$B$5),V131,"")</f>
        <v/>
      </c>
      <c r="BG131" s="17">
        <f>IF(BW131=1,IF(COUNTIFS($A$2:$A$201,$A131,$BW$2:$BW$201,1,$G$2:$G$201,"&lt;"&amp;G131)+COUNTIFS($A$2:$A$201,$A131,$BW$2:$BW$201,1,$G$2:$G$201,G131,$AT$2:$AT$201,"&lt;"&amp;AT131)=0,1,0),0)</f>
        <v/>
      </c>
      <c r="BH131" s="17">
        <f>IF(AND(AU131=1,ISNUMBER(K131)),1,0)</f>
        <v/>
      </c>
      <c r="BI131" s="17">
        <f>IF(BH131=1,IF(COUNTIFS($A$2:$A$201,$A131,$BH$2:$BH$201,1,$G$2:$G$201,"&lt;"&amp;G131)+COUNTIFS($A$2:$A$201,$A131,$BH$2:$BH$201,1,$G$2:$G$201,G131,$AT$2:$AT$201,"&lt;"&amp;AT131)=0,1,0),0)</f>
        <v/>
      </c>
      <c r="BJ131" s="17">
        <f>IF(AND(BI131=1,G131&lt;=Config!$B$5),K131,"")</f>
        <v/>
      </c>
      <c r="BK131" s="17">
        <f>IF(AND(AU131=1,OR(TRIM(U131)&lt;&gt;"",ISNUMBER(V131))),1,0)</f>
        <v/>
      </c>
      <c r="BL131" s="17">
        <f>IF(BK131=1,IF(COUNTIFS($A$2:$A$201,$A131,$BK$2:$BK$201,1,$G$2:$G$201,"&lt;"&amp;G131)+COUNTIFS($A$2:$A$201,$A131,$BK$2:$BK$201,1,$G$2:$G$201,G131,$AT$2:$AT$201,"&lt;"&amp;AT131)=0,1,0),0)</f>
        <v/>
      </c>
      <c r="BM131" s="17">
        <f>IF(BL131=1,$A131,"")</f>
        <v/>
      </c>
      <c r="BN131" s="17">
        <f>IF(AND(AU131=1,T131="Y",TRIM(U131)=""),1,0)</f>
        <v/>
      </c>
      <c r="BO131" s="17">
        <f>IF(AU131=1,AJ131&amp;"","")</f>
        <v/>
      </c>
      <c r="BP131" s="17">
        <f>IF(AU131=1,AK131&amp;"","")</f>
        <v/>
      </c>
      <c r="BQ131" s="17">
        <f>IF(AU131=1,AL131&amp;"","")</f>
        <v/>
      </c>
      <c r="BR131" s="17">
        <f>IF(AND(AU131=1,ISNUMBER(AP131),G131&lt;=Config!$B$5),AP131,"")</f>
        <v/>
      </c>
      <c r="BS131" s="17">
        <f>IF(AU131=1,IF(COUNTIFS($A$2:$A$201,$A131,$AN$2:$AN$201,"Y",$AU$2:$AU$201,1)&gt;0,"Y","N"),"")</f>
        <v/>
      </c>
      <c r="BT131" s="17">
        <f>IF(AND(AU131=1,AN131="maybe"),1,0)</f>
        <v/>
      </c>
      <c r="BU131" s="17">
        <f>IF(BT131=1,IF(COUNTIFS($A$2:$A$201,$A131,$BT$2:$BT$201,1,$G$2:$G$201,"&lt;"&amp;G131)+COUNTIFS($A$2:$A$201,$A131,$BT$2:$BT$201,1,$G$2:$G$201,G131,$AT$2:$AT$201,"&lt;"&amp;AT131)=0,1,0),0)</f>
        <v/>
      </c>
      <c r="BV131" s="17">
        <f>IF(AND(AU131=1,AN131="Y"),IF(COUNTIFS($A$2:$A$201,$A131,$AN$2:$AN$201,"Y",$AU$2:$AU$201,1,$G$2:$G$201,"&lt;"&amp;G131)+COUNTIFS($A$2:$A$201,$A131,$AN$2:$AN$201,"Y",$AU$2:$AU$201,1,$G$2:$G$201,G131,$AT$2:$AT$201,"&lt;"&amp;AT131)=0,1,0),0)</f>
        <v/>
      </c>
      <c r="BW131" s="17">
        <f>IF(AND(BA131=1,N(V131)&gt;=Config!$B$15),1,0)</f>
        <v/>
      </c>
      <c r="BX131" s="17">
        <f>IF(AU131=1,IFERROR(MATCH($A131,INDEX(Clay_Offices!$A$2:$FZ$601,0,Sync!$C$5),0),""),"")</f>
        <v/>
      </c>
      <c r="BY131" s="17">
        <f>IF(BX131="","",IFERROR(INDEX(Clay_Offices!$A$2:$FZ$601,BX131,Sync!$C$7)&amp;"",""))</f>
        <v/>
      </c>
      <c r="BZ131" s="17">
        <f>IF(BY131="","",IFERROR(INDEX(Lists!$J$2:$J$15,MATCH(BY131,Lists!$I$2:$I$15,0)),""))</f>
        <v/>
      </c>
      <c r="CA131" s="17">
        <f>IF(BX131="","",IFERROR(INDEX(Clay_Offices!$A$2:$FZ$601,BX131,Sync!$C$17)&amp;"",""))</f>
        <v/>
      </c>
      <c r="CB131" s="23">
        <f>IF(BX131="","",IFERROR(N(INDEX(Clay_Offices!$A$2:$FZ$601,BX131,Sync!$C$16)),0))</f>
        <v/>
      </c>
    </row>
    <row r="132">
      <c r="G132" s="22" t="n"/>
      <c r="AS132" s="17">
        <f>IF(TRIM($A132)="","",IF(AND(LEFT($A132,6)="SAMPLE",Config!$B$19&lt;&gt;"Y"),"",IF(NOT(ISNUMBER(G132)),"call_date is blank or not a date",IF(Sync!$C$5="","Clay paste is empty or has no row_id column: paste the Clay export on Clay_Offices",IF(BX132="","row_id not found in the Clay paste: add the Clay row or fix the row_id",IF(AND(ISNUMBER(BZ132),BZ132&gt;=1,BZ132&lt;=5),"Clay status is "&amp;BY132&amp;": set call_done or later",IF(AND(AW132=1,CA132&lt;&gt;BS132),"Clay yes_in_principle should be "&amp;BS132,IF(AND(AW132=1,CB132&lt;&gt;G132),"Clay call_date should be "&amp;TEXT(G132,"yyyy-mm-dd"),""))))))))</f>
        <v/>
      </c>
      <c r="AT132" s="17">
        <f>ROW()</f>
        <v/>
      </c>
      <c r="AU132" s="17">
        <f>IF(AND(TRIM($A132)&lt;&gt;"",ISNUMBER(G132)),IF(AND(LEFT($A132,6)="SAMPLE",Config!$B$19&lt;&gt;"Y"),0,1),0)</f>
        <v/>
      </c>
      <c r="AV132" s="17">
        <f>IF(AU132=1,IF(COUNTIFS($A$2:$A$201,$A132,$AU$2:$AU$201,1,$G$2:$G$201,"&lt;"&amp;G132)+COUNTIFS($A$2:$A$201,$A132,$AU$2:$AU$201,1,$G$2:$G$201,G132,$AT$2:$AT$201,"&lt;"&amp;AT132)=0,1,0),0)</f>
        <v/>
      </c>
      <c r="AW132" s="17">
        <f>IF(AU132=1,IF(COUNTIFS($A$2:$A$201,$A132,$AU$2:$AU$201,1,$G$2:$G$201,"&gt;"&amp;G132)+COUNTIFS($A$2:$A$201,$A132,$AU$2:$AU$201,1,$G$2:$G$201,G132,$AT$2:$AT$201,"&gt;"&amp;AT132)=0,1,0),0)</f>
        <v/>
      </c>
      <c r="AX132" s="17">
        <f>IF(AND(AU132=1,AN132="Y",Z132="Y",TRIM(AD132)&lt;&gt;""),1,0)</f>
        <v/>
      </c>
      <c r="AY132" s="17">
        <f>IF(AX132=1,IF(COUNTIFS($A$2:$A$201,$A132,$AX$2:$AX$201,1,$G$2:$G$201,"&lt;"&amp;G132)+COUNTIFS($A$2:$A$201,$A132,$AX$2:$AX$201,1,$G$2:$G$201,G132,$AT$2:$AT$201,"&lt;"&amp;AT132)=0,1,0),0)</f>
        <v/>
      </c>
      <c r="AZ132" s="17">
        <f>IF(AND(AU132=1,AN132="Y",AX132=0),1,0)</f>
        <v/>
      </c>
      <c r="BA132" s="17">
        <f>IF(AND(AU132=1,ISNUMBER(V132)),1,0)</f>
        <v/>
      </c>
      <c r="BB132" s="17">
        <f>IF(BA132=1,IF(COUNTIFS($A$2:$A$201,$A132,$BA$2:$BA$201,1,$G$2:$G$201,"&lt;"&amp;G132)+COUNTIFS($A$2:$A$201,$A132,$BA$2:$BA$201,1,$G$2:$G$201,G132,$AT$2:$AT$201,"&lt;"&amp;AT132)=0,1,0),0)</f>
        <v/>
      </c>
      <c r="BC132" s="17">
        <f>IF(AND(BB132=1,G132&lt;=Config!$B$6),V132,"")</f>
        <v/>
      </c>
      <c r="BD132" s="17">
        <f>IF(AND(BB132=1,G132&lt;=Config!$B$7),V132,"")</f>
        <v/>
      </c>
      <c r="BE132" s="17">
        <f>IF(AND(BB132=1,G132&lt;=Config!$B$8),V132,"")</f>
        <v/>
      </c>
      <c r="BF132" s="17">
        <f>IF(AND(BB132=1,G132&lt;=Config!$B$5),V132,"")</f>
        <v/>
      </c>
      <c r="BG132" s="17">
        <f>IF(BW132=1,IF(COUNTIFS($A$2:$A$201,$A132,$BW$2:$BW$201,1,$G$2:$G$201,"&lt;"&amp;G132)+COUNTIFS($A$2:$A$201,$A132,$BW$2:$BW$201,1,$G$2:$G$201,G132,$AT$2:$AT$201,"&lt;"&amp;AT132)=0,1,0),0)</f>
        <v/>
      </c>
      <c r="BH132" s="17">
        <f>IF(AND(AU132=1,ISNUMBER(K132)),1,0)</f>
        <v/>
      </c>
      <c r="BI132" s="17">
        <f>IF(BH132=1,IF(COUNTIFS($A$2:$A$201,$A132,$BH$2:$BH$201,1,$G$2:$G$201,"&lt;"&amp;G132)+COUNTIFS($A$2:$A$201,$A132,$BH$2:$BH$201,1,$G$2:$G$201,G132,$AT$2:$AT$201,"&lt;"&amp;AT132)=0,1,0),0)</f>
        <v/>
      </c>
      <c r="BJ132" s="17">
        <f>IF(AND(BI132=1,G132&lt;=Config!$B$5),K132,"")</f>
        <v/>
      </c>
      <c r="BK132" s="17">
        <f>IF(AND(AU132=1,OR(TRIM(U132)&lt;&gt;"",ISNUMBER(V132))),1,0)</f>
        <v/>
      </c>
      <c r="BL132" s="17">
        <f>IF(BK132=1,IF(COUNTIFS($A$2:$A$201,$A132,$BK$2:$BK$201,1,$G$2:$G$201,"&lt;"&amp;G132)+COUNTIFS($A$2:$A$201,$A132,$BK$2:$BK$201,1,$G$2:$G$201,G132,$AT$2:$AT$201,"&lt;"&amp;AT132)=0,1,0),0)</f>
        <v/>
      </c>
      <c r="BM132" s="17">
        <f>IF(BL132=1,$A132,"")</f>
        <v/>
      </c>
      <c r="BN132" s="17">
        <f>IF(AND(AU132=1,T132="Y",TRIM(U132)=""),1,0)</f>
        <v/>
      </c>
      <c r="BO132" s="17">
        <f>IF(AU132=1,AJ132&amp;"","")</f>
        <v/>
      </c>
      <c r="BP132" s="17">
        <f>IF(AU132=1,AK132&amp;"","")</f>
        <v/>
      </c>
      <c r="BQ132" s="17">
        <f>IF(AU132=1,AL132&amp;"","")</f>
        <v/>
      </c>
      <c r="BR132" s="17">
        <f>IF(AND(AU132=1,ISNUMBER(AP132),G132&lt;=Config!$B$5),AP132,"")</f>
        <v/>
      </c>
      <c r="BS132" s="17">
        <f>IF(AU132=1,IF(COUNTIFS($A$2:$A$201,$A132,$AN$2:$AN$201,"Y",$AU$2:$AU$201,1)&gt;0,"Y","N"),"")</f>
        <v/>
      </c>
      <c r="BT132" s="17">
        <f>IF(AND(AU132=1,AN132="maybe"),1,0)</f>
        <v/>
      </c>
      <c r="BU132" s="17">
        <f>IF(BT132=1,IF(COUNTIFS($A$2:$A$201,$A132,$BT$2:$BT$201,1,$G$2:$G$201,"&lt;"&amp;G132)+COUNTIFS($A$2:$A$201,$A132,$BT$2:$BT$201,1,$G$2:$G$201,G132,$AT$2:$AT$201,"&lt;"&amp;AT132)=0,1,0),0)</f>
        <v/>
      </c>
      <c r="BV132" s="17">
        <f>IF(AND(AU132=1,AN132="Y"),IF(COUNTIFS($A$2:$A$201,$A132,$AN$2:$AN$201,"Y",$AU$2:$AU$201,1,$G$2:$G$201,"&lt;"&amp;G132)+COUNTIFS($A$2:$A$201,$A132,$AN$2:$AN$201,"Y",$AU$2:$AU$201,1,$G$2:$G$201,G132,$AT$2:$AT$201,"&lt;"&amp;AT132)=0,1,0),0)</f>
        <v/>
      </c>
      <c r="BW132" s="17">
        <f>IF(AND(BA132=1,N(V132)&gt;=Config!$B$15),1,0)</f>
        <v/>
      </c>
      <c r="BX132" s="17">
        <f>IF(AU132=1,IFERROR(MATCH($A132,INDEX(Clay_Offices!$A$2:$FZ$601,0,Sync!$C$5),0),""),"")</f>
        <v/>
      </c>
      <c r="BY132" s="17">
        <f>IF(BX132="","",IFERROR(INDEX(Clay_Offices!$A$2:$FZ$601,BX132,Sync!$C$7)&amp;"",""))</f>
        <v/>
      </c>
      <c r="BZ132" s="17">
        <f>IF(BY132="","",IFERROR(INDEX(Lists!$J$2:$J$15,MATCH(BY132,Lists!$I$2:$I$15,0)),""))</f>
        <v/>
      </c>
      <c r="CA132" s="17">
        <f>IF(BX132="","",IFERROR(INDEX(Clay_Offices!$A$2:$FZ$601,BX132,Sync!$C$17)&amp;"",""))</f>
        <v/>
      </c>
      <c r="CB132" s="23">
        <f>IF(BX132="","",IFERROR(N(INDEX(Clay_Offices!$A$2:$FZ$601,BX132,Sync!$C$16)),0))</f>
        <v/>
      </c>
    </row>
    <row r="133">
      <c r="G133" s="22" t="n"/>
      <c r="AS133" s="17">
        <f>IF(TRIM($A133)="","",IF(AND(LEFT($A133,6)="SAMPLE",Config!$B$19&lt;&gt;"Y"),"",IF(NOT(ISNUMBER(G133)),"call_date is blank or not a date",IF(Sync!$C$5="","Clay paste is empty or has no row_id column: paste the Clay export on Clay_Offices",IF(BX133="","row_id not found in the Clay paste: add the Clay row or fix the row_id",IF(AND(ISNUMBER(BZ133),BZ133&gt;=1,BZ133&lt;=5),"Clay status is "&amp;BY133&amp;": set call_done or later",IF(AND(AW133=1,CA133&lt;&gt;BS133),"Clay yes_in_principle should be "&amp;BS133,IF(AND(AW133=1,CB133&lt;&gt;G133),"Clay call_date should be "&amp;TEXT(G133,"yyyy-mm-dd"),""))))))))</f>
        <v/>
      </c>
      <c r="AT133" s="17">
        <f>ROW()</f>
        <v/>
      </c>
      <c r="AU133" s="17">
        <f>IF(AND(TRIM($A133)&lt;&gt;"",ISNUMBER(G133)),IF(AND(LEFT($A133,6)="SAMPLE",Config!$B$19&lt;&gt;"Y"),0,1),0)</f>
        <v/>
      </c>
      <c r="AV133" s="17">
        <f>IF(AU133=1,IF(COUNTIFS($A$2:$A$201,$A133,$AU$2:$AU$201,1,$G$2:$G$201,"&lt;"&amp;G133)+COUNTIFS($A$2:$A$201,$A133,$AU$2:$AU$201,1,$G$2:$G$201,G133,$AT$2:$AT$201,"&lt;"&amp;AT133)=0,1,0),0)</f>
        <v/>
      </c>
      <c r="AW133" s="17">
        <f>IF(AU133=1,IF(COUNTIFS($A$2:$A$201,$A133,$AU$2:$AU$201,1,$G$2:$G$201,"&gt;"&amp;G133)+COUNTIFS($A$2:$A$201,$A133,$AU$2:$AU$201,1,$G$2:$G$201,G133,$AT$2:$AT$201,"&gt;"&amp;AT133)=0,1,0),0)</f>
        <v/>
      </c>
      <c r="AX133" s="17">
        <f>IF(AND(AU133=1,AN133="Y",Z133="Y",TRIM(AD133)&lt;&gt;""),1,0)</f>
        <v/>
      </c>
      <c r="AY133" s="17">
        <f>IF(AX133=1,IF(COUNTIFS($A$2:$A$201,$A133,$AX$2:$AX$201,1,$G$2:$G$201,"&lt;"&amp;G133)+COUNTIFS($A$2:$A$201,$A133,$AX$2:$AX$201,1,$G$2:$G$201,G133,$AT$2:$AT$201,"&lt;"&amp;AT133)=0,1,0),0)</f>
        <v/>
      </c>
      <c r="AZ133" s="17">
        <f>IF(AND(AU133=1,AN133="Y",AX133=0),1,0)</f>
        <v/>
      </c>
      <c r="BA133" s="17">
        <f>IF(AND(AU133=1,ISNUMBER(V133)),1,0)</f>
        <v/>
      </c>
      <c r="BB133" s="17">
        <f>IF(BA133=1,IF(COUNTIFS($A$2:$A$201,$A133,$BA$2:$BA$201,1,$G$2:$G$201,"&lt;"&amp;G133)+COUNTIFS($A$2:$A$201,$A133,$BA$2:$BA$201,1,$G$2:$G$201,G133,$AT$2:$AT$201,"&lt;"&amp;AT133)=0,1,0),0)</f>
        <v/>
      </c>
      <c r="BC133" s="17">
        <f>IF(AND(BB133=1,G133&lt;=Config!$B$6),V133,"")</f>
        <v/>
      </c>
      <c r="BD133" s="17">
        <f>IF(AND(BB133=1,G133&lt;=Config!$B$7),V133,"")</f>
        <v/>
      </c>
      <c r="BE133" s="17">
        <f>IF(AND(BB133=1,G133&lt;=Config!$B$8),V133,"")</f>
        <v/>
      </c>
      <c r="BF133" s="17">
        <f>IF(AND(BB133=1,G133&lt;=Config!$B$5),V133,"")</f>
        <v/>
      </c>
      <c r="BG133" s="17">
        <f>IF(BW133=1,IF(COUNTIFS($A$2:$A$201,$A133,$BW$2:$BW$201,1,$G$2:$G$201,"&lt;"&amp;G133)+COUNTIFS($A$2:$A$201,$A133,$BW$2:$BW$201,1,$G$2:$G$201,G133,$AT$2:$AT$201,"&lt;"&amp;AT133)=0,1,0),0)</f>
        <v/>
      </c>
      <c r="BH133" s="17">
        <f>IF(AND(AU133=1,ISNUMBER(K133)),1,0)</f>
        <v/>
      </c>
      <c r="BI133" s="17">
        <f>IF(BH133=1,IF(COUNTIFS($A$2:$A$201,$A133,$BH$2:$BH$201,1,$G$2:$G$201,"&lt;"&amp;G133)+COUNTIFS($A$2:$A$201,$A133,$BH$2:$BH$201,1,$G$2:$G$201,G133,$AT$2:$AT$201,"&lt;"&amp;AT133)=0,1,0),0)</f>
        <v/>
      </c>
      <c r="BJ133" s="17">
        <f>IF(AND(BI133=1,G133&lt;=Config!$B$5),K133,"")</f>
        <v/>
      </c>
      <c r="BK133" s="17">
        <f>IF(AND(AU133=1,OR(TRIM(U133)&lt;&gt;"",ISNUMBER(V133))),1,0)</f>
        <v/>
      </c>
      <c r="BL133" s="17">
        <f>IF(BK133=1,IF(COUNTIFS($A$2:$A$201,$A133,$BK$2:$BK$201,1,$G$2:$G$201,"&lt;"&amp;G133)+COUNTIFS($A$2:$A$201,$A133,$BK$2:$BK$201,1,$G$2:$G$201,G133,$AT$2:$AT$201,"&lt;"&amp;AT133)=0,1,0),0)</f>
        <v/>
      </c>
      <c r="BM133" s="17">
        <f>IF(BL133=1,$A133,"")</f>
        <v/>
      </c>
      <c r="BN133" s="17">
        <f>IF(AND(AU133=1,T133="Y",TRIM(U133)=""),1,0)</f>
        <v/>
      </c>
      <c r="BO133" s="17">
        <f>IF(AU133=1,AJ133&amp;"","")</f>
        <v/>
      </c>
      <c r="BP133" s="17">
        <f>IF(AU133=1,AK133&amp;"","")</f>
        <v/>
      </c>
      <c r="BQ133" s="17">
        <f>IF(AU133=1,AL133&amp;"","")</f>
        <v/>
      </c>
      <c r="BR133" s="17">
        <f>IF(AND(AU133=1,ISNUMBER(AP133),G133&lt;=Config!$B$5),AP133,"")</f>
        <v/>
      </c>
      <c r="BS133" s="17">
        <f>IF(AU133=1,IF(COUNTIFS($A$2:$A$201,$A133,$AN$2:$AN$201,"Y",$AU$2:$AU$201,1)&gt;0,"Y","N"),"")</f>
        <v/>
      </c>
      <c r="BT133" s="17">
        <f>IF(AND(AU133=1,AN133="maybe"),1,0)</f>
        <v/>
      </c>
      <c r="BU133" s="17">
        <f>IF(BT133=1,IF(COUNTIFS($A$2:$A$201,$A133,$BT$2:$BT$201,1,$G$2:$G$201,"&lt;"&amp;G133)+COUNTIFS($A$2:$A$201,$A133,$BT$2:$BT$201,1,$G$2:$G$201,G133,$AT$2:$AT$201,"&lt;"&amp;AT133)=0,1,0),0)</f>
        <v/>
      </c>
      <c r="BV133" s="17">
        <f>IF(AND(AU133=1,AN133="Y"),IF(COUNTIFS($A$2:$A$201,$A133,$AN$2:$AN$201,"Y",$AU$2:$AU$201,1,$G$2:$G$201,"&lt;"&amp;G133)+COUNTIFS($A$2:$A$201,$A133,$AN$2:$AN$201,"Y",$AU$2:$AU$201,1,$G$2:$G$201,G133,$AT$2:$AT$201,"&lt;"&amp;AT133)=0,1,0),0)</f>
        <v/>
      </c>
      <c r="BW133" s="17">
        <f>IF(AND(BA133=1,N(V133)&gt;=Config!$B$15),1,0)</f>
        <v/>
      </c>
      <c r="BX133" s="17">
        <f>IF(AU133=1,IFERROR(MATCH($A133,INDEX(Clay_Offices!$A$2:$FZ$601,0,Sync!$C$5),0),""),"")</f>
        <v/>
      </c>
      <c r="BY133" s="17">
        <f>IF(BX133="","",IFERROR(INDEX(Clay_Offices!$A$2:$FZ$601,BX133,Sync!$C$7)&amp;"",""))</f>
        <v/>
      </c>
      <c r="BZ133" s="17">
        <f>IF(BY133="","",IFERROR(INDEX(Lists!$J$2:$J$15,MATCH(BY133,Lists!$I$2:$I$15,0)),""))</f>
        <v/>
      </c>
      <c r="CA133" s="17">
        <f>IF(BX133="","",IFERROR(INDEX(Clay_Offices!$A$2:$FZ$601,BX133,Sync!$C$17)&amp;"",""))</f>
        <v/>
      </c>
      <c r="CB133" s="23">
        <f>IF(BX133="","",IFERROR(N(INDEX(Clay_Offices!$A$2:$FZ$601,BX133,Sync!$C$16)),0))</f>
        <v/>
      </c>
    </row>
    <row r="134">
      <c r="G134" s="22" t="n"/>
      <c r="AS134" s="17">
        <f>IF(TRIM($A134)="","",IF(AND(LEFT($A134,6)="SAMPLE",Config!$B$19&lt;&gt;"Y"),"",IF(NOT(ISNUMBER(G134)),"call_date is blank or not a date",IF(Sync!$C$5="","Clay paste is empty or has no row_id column: paste the Clay export on Clay_Offices",IF(BX134="","row_id not found in the Clay paste: add the Clay row or fix the row_id",IF(AND(ISNUMBER(BZ134),BZ134&gt;=1,BZ134&lt;=5),"Clay status is "&amp;BY134&amp;": set call_done or later",IF(AND(AW134=1,CA134&lt;&gt;BS134),"Clay yes_in_principle should be "&amp;BS134,IF(AND(AW134=1,CB134&lt;&gt;G134),"Clay call_date should be "&amp;TEXT(G134,"yyyy-mm-dd"),""))))))))</f>
        <v/>
      </c>
      <c r="AT134" s="17">
        <f>ROW()</f>
        <v/>
      </c>
      <c r="AU134" s="17">
        <f>IF(AND(TRIM($A134)&lt;&gt;"",ISNUMBER(G134)),IF(AND(LEFT($A134,6)="SAMPLE",Config!$B$19&lt;&gt;"Y"),0,1),0)</f>
        <v/>
      </c>
      <c r="AV134" s="17">
        <f>IF(AU134=1,IF(COUNTIFS($A$2:$A$201,$A134,$AU$2:$AU$201,1,$G$2:$G$201,"&lt;"&amp;G134)+COUNTIFS($A$2:$A$201,$A134,$AU$2:$AU$201,1,$G$2:$G$201,G134,$AT$2:$AT$201,"&lt;"&amp;AT134)=0,1,0),0)</f>
        <v/>
      </c>
      <c r="AW134" s="17">
        <f>IF(AU134=1,IF(COUNTIFS($A$2:$A$201,$A134,$AU$2:$AU$201,1,$G$2:$G$201,"&gt;"&amp;G134)+COUNTIFS($A$2:$A$201,$A134,$AU$2:$AU$201,1,$G$2:$G$201,G134,$AT$2:$AT$201,"&gt;"&amp;AT134)=0,1,0),0)</f>
        <v/>
      </c>
      <c r="AX134" s="17">
        <f>IF(AND(AU134=1,AN134="Y",Z134="Y",TRIM(AD134)&lt;&gt;""),1,0)</f>
        <v/>
      </c>
      <c r="AY134" s="17">
        <f>IF(AX134=1,IF(COUNTIFS($A$2:$A$201,$A134,$AX$2:$AX$201,1,$G$2:$G$201,"&lt;"&amp;G134)+COUNTIFS($A$2:$A$201,$A134,$AX$2:$AX$201,1,$G$2:$G$201,G134,$AT$2:$AT$201,"&lt;"&amp;AT134)=0,1,0),0)</f>
        <v/>
      </c>
      <c r="AZ134" s="17">
        <f>IF(AND(AU134=1,AN134="Y",AX134=0),1,0)</f>
        <v/>
      </c>
      <c r="BA134" s="17">
        <f>IF(AND(AU134=1,ISNUMBER(V134)),1,0)</f>
        <v/>
      </c>
      <c r="BB134" s="17">
        <f>IF(BA134=1,IF(COUNTIFS($A$2:$A$201,$A134,$BA$2:$BA$201,1,$G$2:$G$201,"&lt;"&amp;G134)+COUNTIFS($A$2:$A$201,$A134,$BA$2:$BA$201,1,$G$2:$G$201,G134,$AT$2:$AT$201,"&lt;"&amp;AT134)=0,1,0),0)</f>
        <v/>
      </c>
      <c r="BC134" s="17">
        <f>IF(AND(BB134=1,G134&lt;=Config!$B$6),V134,"")</f>
        <v/>
      </c>
      <c r="BD134" s="17">
        <f>IF(AND(BB134=1,G134&lt;=Config!$B$7),V134,"")</f>
        <v/>
      </c>
      <c r="BE134" s="17">
        <f>IF(AND(BB134=1,G134&lt;=Config!$B$8),V134,"")</f>
        <v/>
      </c>
      <c r="BF134" s="17">
        <f>IF(AND(BB134=1,G134&lt;=Config!$B$5),V134,"")</f>
        <v/>
      </c>
      <c r="BG134" s="17">
        <f>IF(BW134=1,IF(COUNTIFS($A$2:$A$201,$A134,$BW$2:$BW$201,1,$G$2:$G$201,"&lt;"&amp;G134)+COUNTIFS($A$2:$A$201,$A134,$BW$2:$BW$201,1,$G$2:$G$201,G134,$AT$2:$AT$201,"&lt;"&amp;AT134)=0,1,0),0)</f>
        <v/>
      </c>
      <c r="BH134" s="17">
        <f>IF(AND(AU134=1,ISNUMBER(K134)),1,0)</f>
        <v/>
      </c>
      <c r="BI134" s="17">
        <f>IF(BH134=1,IF(COUNTIFS($A$2:$A$201,$A134,$BH$2:$BH$201,1,$G$2:$G$201,"&lt;"&amp;G134)+COUNTIFS($A$2:$A$201,$A134,$BH$2:$BH$201,1,$G$2:$G$201,G134,$AT$2:$AT$201,"&lt;"&amp;AT134)=0,1,0),0)</f>
        <v/>
      </c>
      <c r="BJ134" s="17">
        <f>IF(AND(BI134=1,G134&lt;=Config!$B$5),K134,"")</f>
        <v/>
      </c>
      <c r="BK134" s="17">
        <f>IF(AND(AU134=1,OR(TRIM(U134)&lt;&gt;"",ISNUMBER(V134))),1,0)</f>
        <v/>
      </c>
      <c r="BL134" s="17">
        <f>IF(BK134=1,IF(COUNTIFS($A$2:$A$201,$A134,$BK$2:$BK$201,1,$G$2:$G$201,"&lt;"&amp;G134)+COUNTIFS($A$2:$A$201,$A134,$BK$2:$BK$201,1,$G$2:$G$201,G134,$AT$2:$AT$201,"&lt;"&amp;AT134)=0,1,0),0)</f>
        <v/>
      </c>
      <c r="BM134" s="17">
        <f>IF(BL134=1,$A134,"")</f>
        <v/>
      </c>
      <c r="BN134" s="17">
        <f>IF(AND(AU134=1,T134="Y",TRIM(U134)=""),1,0)</f>
        <v/>
      </c>
      <c r="BO134" s="17">
        <f>IF(AU134=1,AJ134&amp;"","")</f>
        <v/>
      </c>
      <c r="BP134" s="17">
        <f>IF(AU134=1,AK134&amp;"","")</f>
        <v/>
      </c>
      <c r="BQ134" s="17">
        <f>IF(AU134=1,AL134&amp;"","")</f>
        <v/>
      </c>
      <c r="BR134" s="17">
        <f>IF(AND(AU134=1,ISNUMBER(AP134),G134&lt;=Config!$B$5),AP134,"")</f>
        <v/>
      </c>
      <c r="BS134" s="17">
        <f>IF(AU134=1,IF(COUNTIFS($A$2:$A$201,$A134,$AN$2:$AN$201,"Y",$AU$2:$AU$201,1)&gt;0,"Y","N"),"")</f>
        <v/>
      </c>
      <c r="BT134" s="17">
        <f>IF(AND(AU134=1,AN134="maybe"),1,0)</f>
        <v/>
      </c>
      <c r="BU134" s="17">
        <f>IF(BT134=1,IF(COUNTIFS($A$2:$A$201,$A134,$BT$2:$BT$201,1,$G$2:$G$201,"&lt;"&amp;G134)+COUNTIFS($A$2:$A$201,$A134,$BT$2:$BT$201,1,$G$2:$G$201,G134,$AT$2:$AT$201,"&lt;"&amp;AT134)=0,1,0),0)</f>
        <v/>
      </c>
      <c r="BV134" s="17">
        <f>IF(AND(AU134=1,AN134="Y"),IF(COUNTIFS($A$2:$A$201,$A134,$AN$2:$AN$201,"Y",$AU$2:$AU$201,1,$G$2:$G$201,"&lt;"&amp;G134)+COUNTIFS($A$2:$A$201,$A134,$AN$2:$AN$201,"Y",$AU$2:$AU$201,1,$G$2:$G$201,G134,$AT$2:$AT$201,"&lt;"&amp;AT134)=0,1,0),0)</f>
        <v/>
      </c>
      <c r="BW134" s="17">
        <f>IF(AND(BA134=1,N(V134)&gt;=Config!$B$15),1,0)</f>
        <v/>
      </c>
      <c r="BX134" s="17">
        <f>IF(AU134=1,IFERROR(MATCH($A134,INDEX(Clay_Offices!$A$2:$FZ$601,0,Sync!$C$5),0),""),"")</f>
        <v/>
      </c>
      <c r="BY134" s="17">
        <f>IF(BX134="","",IFERROR(INDEX(Clay_Offices!$A$2:$FZ$601,BX134,Sync!$C$7)&amp;"",""))</f>
        <v/>
      </c>
      <c r="BZ134" s="17">
        <f>IF(BY134="","",IFERROR(INDEX(Lists!$J$2:$J$15,MATCH(BY134,Lists!$I$2:$I$15,0)),""))</f>
        <v/>
      </c>
      <c r="CA134" s="17">
        <f>IF(BX134="","",IFERROR(INDEX(Clay_Offices!$A$2:$FZ$601,BX134,Sync!$C$17)&amp;"",""))</f>
        <v/>
      </c>
      <c r="CB134" s="23">
        <f>IF(BX134="","",IFERROR(N(INDEX(Clay_Offices!$A$2:$FZ$601,BX134,Sync!$C$16)),0))</f>
        <v/>
      </c>
    </row>
    <row r="135">
      <c r="G135" s="22" t="n"/>
      <c r="AS135" s="17">
        <f>IF(TRIM($A135)="","",IF(AND(LEFT($A135,6)="SAMPLE",Config!$B$19&lt;&gt;"Y"),"",IF(NOT(ISNUMBER(G135)),"call_date is blank or not a date",IF(Sync!$C$5="","Clay paste is empty or has no row_id column: paste the Clay export on Clay_Offices",IF(BX135="","row_id not found in the Clay paste: add the Clay row or fix the row_id",IF(AND(ISNUMBER(BZ135),BZ135&gt;=1,BZ135&lt;=5),"Clay status is "&amp;BY135&amp;": set call_done or later",IF(AND(AW135=1,CA135&lt;&gt;BS135),"Clay yes_in_principle should be "&amp;BS135,IF(AND(AW135=1,CB135&lt;&gt;G135),"Clay call_date should be "&amp;TEXT(G135,"yyyy-mm-dd"),""))))))))</f>
        <v/>
      </c>
      <c r="AT135" s="17">
        <f>ROW()</f>
        <v/>
      </c>
      <c r="AU135" s="17">
        <f>IF(AND(TRIM($A135)&lt;&gt;"",ISNUMBER(G135)),IF(AND(LEFT($A135,6)="SAMPLE",Config!$B$19&lt;&gt;"Y"),0,1),0)</f>
        <v/>
      </c>
      <c r="AV135" s="17">
        <f>IF(AU135=1,IF(COUNTIFS($A$2:$A$201,$A135,$AU$2:$AU$201,1,$G$2:$G$201,"&lt;"&amp;G135)+COUNTIFS($A$2:$A$201,$A135,$AU$2:$AU$201,1,$G$2:$G$201,G135,$AT$2:$AT$201,"&lt;"&amp;AT135)=0,1,0),0)</f>
        <v/>
      </c>
      <c r="AW135" s="17">
        <f>IF(AU135=1,IF(COUNTIFS($A$2:$A$201,$A135,$AU$2:$AU$201,1,$G$2:$G$201,"&gt;"&amp;G135)+COUNTIFS($A$2:$A$201,$A135,$AU$2:$AU$201,1,$G$2:$G$201,G135,$AT$2:$AT$201,"&gt;"&amp;AT135)=0,1,0),0)</f>
        <v/>
      </c>
      <c r="AX135" s="17">
        <f>IF(AND(AU135=1,AN135="Y",Z135="Y",TRIM(AD135)&lt;&gt;""),1,0)</f>
        <v/>
      </c>
      <c r="AY135" s="17">
        <f>IF(AX135=1,IF(COUNTIFS($A$2:$A$201,$A135,$AX$2:$AX$201,1,$G$2:$G$201,"&lt;"&amp;G135)+COUNTIFS($A$2:$A$201,$A135,$AX$2:$AX$201,1,$G$2:$G$201,G135,$AT$2:$AT$201,"&lt;"&amp;AT135)=0,1,0),0)</f>
        <v/>
      </c>
      <c r="AZ135" s="17">
        <f>IF(AND(AU135=1,AN135="Y",AX135=0),1,0)</f>
        <v/>
      </c>
      <c r="BA135" s="17">
        <f>IF(AND(AU135=1,ISNUMBER(V135)),1,0)</f>
        <v/>
      </c>
      <c r="BB135" s="17">
        <f>IF(BA135=1,IF(COUNTIFS($A$2:$A$201,$A135,$BA$2:$BA$201,1,$G$2:$G$201,"&lt;"&amp;G135)+COUNTIFS($A$2:$A$201,$A135,$BA$2:$BA$201,1,$G$2:$G$201,G135,$AT$2:$AT$201,"&lt;"&amp;AT135)=0,1,0),0)</f>
        <v/>
      </c>
      <c r="BC135" s="17">
        <f>IF(AND(BB135=1,G135&lt;=Config!$B$6),V135,"")</f>
        <v/>
      </c>
      <c r="BD135" s="17">
        <f>IF(AND(BB135=1,G135&lt;=Config!$B$7),V135,"")</f>
        <v/>
      </c>
      <c r="BE135" s="17">
        <f>IF(AND(BB135=1,G135&lt;=Config!$B$8),V135,"")</f>
        <v/>
      </c>
      <c r="BF135" s="17">
        <f>IF(AND(BB135=1,G135&lt;=Config!$B$5),V135,"")</f>
        <v/>
      </c>
      <c r="BG135" s="17">
        <f>IF(BW135=1,IF(COUNTIFS($A$2:$A$201,$A135,$BW$2:$BW$201,1,$G$2:$G$201,"&lt;"&amp;G135)+COUNTIFS($A$2:$A$201,$A135,$BW$2:$BW$201,1,$G$2:$G$201,G135,$AT$2:$AT$201,"&lt;"&amp;AT135)=0,1,0),0)</f>
        <v/>
      </c>
      <c r="BH135" s="17">
        <f>IF(AND(AU135=1,ISNUMBER(K135)),1,0)</f>
        <v/>
      </c>
      <c r="BI135" s="17">
        <f>IF(BH135=1,IF(COUNTIFS($A$2:$A$201,$A135,$BH$2:$BH$201,1,$G$2:$G$201,"&lt;"&amp;G135)+COUNTIFS($A$2:$A$201,$A135,$BH$2:$BH$201,1,$G$2:$G$201,G135,$AT$2:$AT$201,"&lt;"&amp;AT135)=0,1,0),0)</f>
        <v/>
      </c>
      <c r="BJ135" s="17">
        <f>IF(AND(BI135=1,G135&lt;=Config!$B$5),K135,"")</f>
        <v/>
      </c>
      <c r="BK135" s="17">
        <f>IF(AND(AU135=1,OR(TRIM(U135)&lt;&gt;"",ISNUMBER(V135))),1,0)</f>
        <v/>
      </c>
      <c r="BL135" s="17">
        <f>IF(BK135=1,IF(COUNTIFS($A$2:$A$201,$A135,$BK$2:$BK$201,1,$G$2:$G$201,"&lt;"&amp;G135)+COUNTIFS($A$2:$A$201,$A135,$BK$2:$BK$201,1,$G$2:$G$201,G135,$AT$2:$AT$201,"&lt;"&amp;AT135)=0,1,0),0)</f>
        <v/>
      </c>
      <c r="BM135" s="17">
        <f>IF(BL135=1,$A135,"")</f>
        <v/>
      </c>
      <c r="BN135" s="17">
        <f>IF(AND(AU135=1,T135="Y",TRIM(U135)=""),1,0)</f>
        <v/>
      </c>
      <c r="BO135" s="17">
        <f>IF(AU135=1,AJ135&amp;"","")</f>
        <v/>
      </c>
      <c r="BP135" s="17">
        <f>IF(AU135=1,AK135&amp;"","")</f>
        <v/>
      </c>
      <c r="BQ135" s="17">
        <f>IF(AU135=1,AL135&amp;"","")</f>
        <v/>
      </c>
      <c r="BR135" s="17">
        <f>IF(AND(AU135=1,ISNUMBER(AP135),G135&lt;=Config!$B$5),AP135,"")</f>
        <v/>
      </c>
      <c r="BS135" s="17">
        <f>IF(AU135=1,IF(COUNTIFS($A$2:$A$201,$A135,$AN$2:$AN$201,"Y",$AU$2:$AU$201,1)&gt;0,"Y","N"),"")</f>
        <v/>
      </c>
      <c r="BT135" s="17">
        <f>IF(AND(AU135=1,AN135="maybe"),1,0)</f>
        <v/>
      </c>
      <c r="BU135" s="17">
        <f>IF(BT135=1,IF(COUNTIFS($A$2:$A$201,$A135,$BT$2:$BT$201,1,$G$2:$G$201,"&lt;"&amp;G135)+COUNTIFS($A$2:$A$201,$A135,$BT$2:$BT$201,1,$G$2:$G$201,G135,$AT$2:$AT$201,"&lt;"&amp;AT135)=0,1,0),0)</f>
        <v/>
      </c>
      <c r="BV135" s="17">
        <f>IF(AND(AU135=1,AN135="Y"),IF(COUNTIFS($A$2:$A$201,$A135,$AN$2:$AN$201,"Y",$AU$2:$AU$201,1,$G$2:$G$201,"&lt;"&amp;G135)+COUNTIFS($A$2:$A$201,$A135,$AN$2:$AN$201,"Y",$AU$2:$AU$201,1,$G$2:$G$201,G135,$AT$2:$AT$201,"&lt;"&amp;AT135)=0,1,0),0)</f>
        <v/>
      </c>
      <c r="BW135" s="17">
        <f>IF(AND(BA135=1,N(V135)&gt;=Config!$B$15),1,0)</f>
        <v/>
      </c>
      <c r="BX135" s="17">
        <f>IF(AU135=1,IFERROR(MATCH($A135,INDEX(Clay_Offices!$A$2:$FZ$601,0,Sync!$C$5),0),""),"")</f>
        <v/>
      </c>
      <c r="BY135" s="17">
        <f>IF(BX135="","",IFERROR(INDEX(Clay_Offices!$A$2:$FZ$601,BX135,Sync!$C$7)&amp;"",""))</f>
        <v/>
      </c>
      <c r="BZ135" s="17">
        <f>IF(BY135="","",IFERROR(INDEX(Lists!$J$2:$J$15,MATCH(BY135,Lists!$I$2:$I$15,0)),""))</f>
        <v/>
      </c>
      <c r="CA135" s="17">
        <f>IF(BX135="","",IFERROR(INDEX(Clay_Offices!$A$2:$FZ$601,BX135,Sync!$C$17)&amp;"",""))</f>
        <v/>
      </c>
      <c r="CB135" s="23">
        <f>IF(BX135="","",IFERROR(N(INDEX(Clay_Offices!$A$2:$FZ$601,BX135,Sync!$C$16)),0))</f>
        <v/>
      </c>
    </row>
    <row r="136">
      <c r="G136" s="22" t="n"/>
      <c r="AS136" s="17">
        <f>IF(TRIM($A136)="","",IF(AND(LEFT($A136,6)="SAMPLE",Config!$B$19&lt;&gt;"Y"),"",IF(NOT(ISNUMBER(G136)),"call_date is blank or not a date",IF(Sync!$C$5="","Clay paste is empty or has no row_id column: paste the Clay export on Clay_Offices",IF(BX136="","row_id not found in the Clay paste: add the Clay row or fix the row_id",IF(AND(ISNUMBER(BZ136),BZ136&gt;=1,BZ136&lt;=5),"Clay status is "&amp;BY136&amp;": set call_done or later",IF(AND(AW136=1,CA136&lt;&gt;BS136),"Clay yes_in_principle should be "&amp;BS136,IF(AND(AW136=1,CB136&lt;&gt;G136),"Clay call_date should be "&amp;TEXT(G136,"yyyy-mm-dd"),""))))))))</f>
        <v/>
      </c>
      <c r="AT136" s="17">
        <f>ROW()</f>
        <v/>
      </c>
      <c r="AU136" s="17">
        <f>IF(AND(TRIM($A136)&lt;&gt;"",ISNUMBER(G136)),IF(AND(LEFT($A136,6)="SAMPLE",Config!$B$19&lt;&gt;"Y"),0,1),0)</f>
        <v/>
      </c>
      <c r="AV136" s="17">
        <f>IF(AU136=1,IF(COUNTIFS($A$2:$A$201,$A136,$AU$2:$AU$201,1,$G$2:$G$201,"&lt;"&amp;G136)+COUNTIFS($A$2:$A$201,$A136,$AU$2:$AU$201,1,$G$2:$G$201,G136,$AT$2:$AT$201,"&lt;"&amp;AT136)=0,1,0),0)</f>
        <v/>
      </c>
      <c r="AW136" s="17">
        <f>IF(AU136=1,IF(COUNTIFS($A$2:$A$201,$A136,$AU$2:$AU$201,1,$G$2:$G$201,"&gt;"&amp;G136)+COUNTIFS($A$2:$A$201,$A136,$AU$2:$AU$201,1,$G$2:$G$201,G136,$AT$2:$AT$201,"&gt;"&amp;AT136)=0,1,0),0)</f>
        <v/>
      </c>
      <c r="AX136" s="17">
        <f>IF(AND(AU136=1,AN136="Y",Z136="Y",TRIM(AD136)&lt;&gt;""),1,0)</f>
        <v/>
      </c>
      <c r="AY136" s="17">
        <f>IF(AX136=1,IF(COUNTIFS($A$2:$A$201,$A136,$AX$2:$AX$201,1,$G$2:$G$201,"&lt;"&amp;G136)+COUNTIFS($A$2:$A$201,$A136,$AX$2:$AX$201,1,$G$2:$G$201,G136,$AT$2:$AT$201,"&lt;"&amp;AT136)=0,1,0),0)</f>
        <v/>
      </c>
      <c r="AZ136" s="17">
        <f>IF(AND(AU136=1,AN136="Y",AX136=0),1,0)</f>
        <v/>
      </c>
      <c r="BA136" s="17">
        <f>IF(AND(AU136=1,ISNUMBER(V136)),1,0)</f>
        <v/>
      </c>
      <c r="BB136" s="17">
        <f>IF(BA136=1,IF(COUNTIFS($A$2:$A$201,$A136,$BA$2:$BA$201,1,$G$2:$G$201,"&lt;"&amp;G136)+COUNTIFS($A$2:$A$201,$A136,$BA$2:$BA$201,1,$G$2:$G$201,G136,$AT$2:$AT$201,"&lt;"&amp;AT136)=0,1,0),0)</f>
        <v/>
      </c>
      <c r="BC136" s="17">
        <f>IF(AND(BB136=1,G136&lt;=Config!$B$6),V136,"")</f>
        <v/>
      </c>
      <c r="BD136" s="17">
        <f>IF(AND(BB136=1,G136&lt;=Config!$B$7),V136,"")</f>
        <v/>
      </c>
      <c r="BE136" s="17">
        <f>IF(AND(BB136=1,G136&lt;=Config!$B$8),V136,"")</f>
        <v/>
      </c>
      <c r="BF136" s="17">
        <f>IF(AND(BB136=1,G136&lt;=Config!$B$5),V136,"")</f>
        <v/>
      </c>
      <c r="BG136" s="17">
        <f>IF(BW136=1,IF(COUNTIFS($A$2:$A$201,$A136,$BW$2:$BW$201,1,$G$2:$G$201,"&lt;"&amp;G136)+COUNTIFS($A$2:$A$201,$A136,$BW$2:$BW$201,1,$G$2:$G$201,G136,$AT$2:$AT$201,"&lt;"&amp;AT136)=0,1,0),0)</f>
        <v/>
      </c>
      <c r="BH136" s="17">
        <f>IF(AND(AU136=1,ISNUMBER(K136)),1,0)</f>
        <v/>
      </c>
      <c r="BI136" s="17">
        <f>IF(BH136=1,IF(COUNTIFS($A$2:$A$201,$A136,$BH$2:$BH$201,1,$G$2:$G$201,"&lt;"&amp;G136)+COUNTIFS($A$2:$A$201,$A136,$BH$2:$BH$201,1,$G$2:$G$201,G136,$AT$2:$AT$201,"&lt;"&amp;AT136)=0,1,0),0)</f>
        <v/>
      </c>
      <c r="BJ136" s="17">
        <f>IF(AND(BI136=1,G136&lt;=Config!$B$5),K136,"")</f>
        <v/>
      </c>
      <c r="BK136" s="17">
        <f>IF(AND(AU136=1,OR(TRIM(U136)&lt;&gt;"",ISNUMBER(V136))),1,0)</f>
        <v/>
      </c>
      <c r="BL136" s="17">
        <f>IF(BK136=1,IF(COUNTIFS($A$2:$A$201,$A136,$BK$2:$BK$201,1,$G$2:$G$201,"&lt;"&amp;G136)+COUNTIFS($A$2:$A$201,$A136,$BK$2:$BK$201,1,$G$2:$G$201,G136,$AT$2:$AT$201,"&lt;"&amp;AT136)=0,1,0),0)</f>
        <v/>
      </c>
      <c r="BM136" s="17">
        <f>IF(BL136=1,$A136,"")</f>
        <v/>
      </c>
      <c r="BN136" s="17">
        <f>IF(AND(AU136=1,T136="Y",TRIM(U136)=""),1,0)</f>
        <v/>
      </c>
      <c r="BO136" s="17">
        <f>IF(AU136=1,AJ136&amp;"","")</f>
        <v/>
      </c>
      <c r="BP136" s="17">
        <f>IF(AU136=1,AK136&amp;"","")</f>
        <v/>
      </c>
      <c r="BQ136" s="17">
        <f>IF(AU136=1,AL136&amp;"","")</f>
        <v/>
      </c>
      <c r="BR136" s="17">
        <f>IF(AND(AU136=1,ISNUMBER(AP136),G136&lt;=Config!$B$5),AP136,"")</f>
        <v/>
      </c>
      <c r="BS136" s="17">
        <f>IF(AU136=1,IF(COUNTIFS($A$2:$A$201,$A136,$AN$2:$AN$201,"Y",$AU$2:$AU$201,1)&gt;0,"Y","N"),"")</f>
        <v/>
      </c>
      <c r="BT136" s="17">
        <f>IF(AND(AU136=1,AN136="maybe"),1,0)</f>
        <v/>
      </c>
      <c r="BU136" s="17">
        <f>IF(BT136=1,IF(COUNTIFS($A$2:$A$201,$A136,$BT$2:$BT$201,1,$G$2:$G$201,"&lt;"&amp;G136)+COUNTIFS($A$2:$A$201,$A136,$BT$2:$BT$201,1,$G$2:$G$201,G136,$AT$2:$AT$201,"&lt;"&amp;AT136)=0,1,0),0)</f>
        <v/>
      </c>
      <c r="BV136" s="17">
        <f>IF(AND(AU136=1,AN136="Y"),IF(COUNTIFS($A$2:$A$201,$A136,$AN$2:$AN$201,"Y",$AU$2:$AU$201,1,$G$2:$G$201,"&lt;"&amp;G136)+COUNTIFS($A$2:$A$201,$A136,$AN$2:$AN$201,"Y",$AU$2:$AU$201,1,$G$2:$G$201,G136,$AT$2:$AT$201,"&lt;"&amp;AT136)=0,1,0),0)</f>
        <v/>
      </c>
      <c r="BW136" s="17">
        <f>IF(AND(BA136=1,N(V136)&gt;=Config!$B$15),1,0)</f>
        <v/>
      </c>
      <c r="BX136" s="17">
        <f>IF(AU136=1,IFERROR(MATCH($A136,INDEX(Clay_Offices!$A$2:$FZ$601,0,Sync!$C$5),0),""),"")</f>
        <v/>
      </c>
      <c r="BY136" s="17">
        <f>IF(BX136="","",IFERROR(INDEX(Clay_Offices!$A$2:$FZ$601,BX136,Sync!$C$7)&amp;"",""))</f>
        <v/>
      </c>
      <c r="BZ136" s="17">
        <f>IF(BY136="","",IFERROR(INDEX(Lists!$J$2:$J$15,MATCH(BY136,Lists!$I$2:$I$15,0)),""))</f>
        <v/>
      </c>
      <c r="CA136" s="17">
        <f>IF(BX136="","",IFERROR(INDEX(Clay_Offices!$A$2:$FZ$601,BX136,Sync!$C$17)&amp;"",""))</f>
        <v/>
      </c>
      <c r="CB136" s="23">
        <f>IF(BX136="","",IFERROR(N(INDEX(Clay_Offices!$A$2:$FZ$601,BX136,Sync!$C$16)),0))</f>
        <v/>
      </c>
    </row>
    <row r="137">
      <c r="G137" s="22" t="n"/>
      <c r="AS137" s="17">
        <f>IF(TRIM($A137)="","",IF(AND(LEFT($A137,6)="SAMPLE",Config!$B$19&lt;&gt;"Y"),"",IF(NOT(ISNUMBER(G137)),"call_date is blank or not a date",IF(Sync!$C$5="","Clay paste is empty or has no row_id column: paste the Clay export on Clay_Offices",IF(BX137="","row_id not found in the Clay paste: add the Clay row or fix the row_id",IF(AND(ISNUMBER(BZ137),BZ137&gt;=1,BZ137&lt;=5),"Clay status is "&amp;BY137&amp;": set call_done or later",IF(AND(AW137=1,CA137&lt;&gt;BS137),"Clay yes_in_principle should be "&amp;BS137,IF(AND(AW137=1,CB137&lt;&gt;G137),"Clay call_date should be "&amp;TEXT(G137,"yyyy-mm-dd"),""))))))))</f>
        <v/>
      </c>
      <c r="AT137" s="17">
        <f>ROW()</f>
        <v/>
      </c>
      <c r="AU137" s="17">
        <f>IF(AND(TRIM($A137)&lt;&gt;"",ISNUMBER(G137)),IF(AND(LEFT($A137,6)="SAMPLE",Config!$B$19&lt;&gt;"Y"),0,1),0)</f>
        <v/>
      </c>
      <c r="AV137" s="17">
        <f>IF(AU137=1,IF(COUNTIFS($A$2:$A$201,$A137,$AU$2:$AU$201,1,$G$2:$G$201,"&lt;"&amp;G137)+COUNTIFS($A$2:$A$201,$A137,$AU$2:$AU$201,1,$G$2:$G$201,G137,$AT$2:$AT$201,"&lt;"&amp;AT137)=0,1,0),0)</f>
        <v/>
      </c>
      <c r="AW137" s="17">
        <f>IF(AU137=1,IF(COUNTIFS($A$2:$A$201,$A137,$AU$2:$AU$201,1,$G$2:$G$201,"&gt;"&amp;G137)+COUNTIFS($A$2:$A$201,$A137,$AU$2:$AU$201,1,$G$2:$G$201,G137,$AT$2:$AT$201,"&gt;"&amp;AT137)=0,1,0),0)</f>
        <v/>
      </c>
      <c r="AX137" s="17">
        <f>IF(AND(AU137=1,AN137="Y",Z137="Y",TRIM(AD137)&lt;&gt;""),1,0)</f>
        <v/>
      </c>
      <c r="AY137" s="17">
        <f>IF(AX137=1,IF(COUNTIFS($A$2:$A$201,$A137,$AX$2:$AX$201,1,$G$2:$G$201,"&lt;"&amp;G137)+COUNTIFS($A$2:$A$201,$A137,$AX$2:$AX$201,1,$G$2:$G$201,G137,$AT$2:$AT$201,"&lt;"&amp;AT137)=0,1,0),0)</f>
        <v/>
      </c>
      <c r="AZ137" s="17">
        <f>IF(AND(AU137=1,AN137="Y",AX137=0),1,0)</f>
        <v/>
      </c>
      <c r="BA137" s="17">
        <f>IF(AND(AU137=1,ISNUMBER(V137)),1,0)</f>
        <v/>
      </c>
      <c r="BB137" s="17">
        <f>IF(BA137=1,IF(COUNTIFS($A$2:$A$201,$A137,$BA$2:$BA$201,1,$G$2:$G$201,"&lt;"&amp;G137)+COUNTIFS($A$2:$A$201,$A137,$BA$2:$BA$201,1,$G$2:$G$201,G137,$AT$2:$AT$201,"&lt;"&amp;AT137)=0,1,0),0)</f>
        <v/>
      </c>
      <c r="BC137" s="17">
        <f>IF(AND(BB137=1,G137&lt;=Config!$B$6),V137,"")</f>
        <v/>
      </c>
      <c r="BD137" s="17">
        <f>IF(AND(BB137=1,G137&lt;=Config!$B$7),V137,"")</f>
        <v/>
      </c>
      <c r="BE137" s="17">
        <f>IF(AND(BB137=1,G137&lt;=Config!$B$8),V137,"")</f>
        <v/>
      </c>
      <c r="BF137" s="17">
        <f>IF(AND(BB137=1,G137&lt;=Config!$B$5),V137,"")</f>
        <v/>
      </c>
      <c r="BG137" s="17">
        <f>IF(BW137=1,IF(COUNTIFS($A$2:$A$201,$A137,$BW$2:$BW$201,1,$G$2:$G$201,"&lt;"&amp;G137)+COUNTIFS($A$2:$A$201,$A137,$BW$2:$BW$201,1,$G$2:$G$201,G137,$AT$2:$AT$201,"&lt;"&amp;AT137)=0,1,0),0)</f>
        <v/>
      </c>
      <c r="BH137" s="17">
        <f>IF(AND(AU137=1,ISNUMBER(K137)),1,0)</f>
        <v/>
      </c>
      <c r="BI137" s="17">
        <f>IF(BH137=1,IF(COUNTIFS($A$2:$A$201,$A137,$BH$2:$BH$201,1,$G$2:$G$201,"&lt;"&amp;G137)+COUNTIFS($A$2:$A$201,$A137,$BH$2:$BH$201,1,$G$2:$G$201,G137,$AT$2:$AT$201,"&lt;"&amp;AT137)=0,1,0),0)</f>
        <v/>
      </c>
      <c r="BJ137" s="17">
        <f>IF(AND(BI137=1,G137&lt;=Config!$B$5),K137,"")</f>
        <v/>
      </c>
      <c r="BK137" s="17">
        <f>IF(AND(AU137=1,OR(TRIM(U137)&lt;&gt;"",ISNUMBER(V137))),1,0)</f>
        <v/>
      </c>
      <c r="BL137" s="17">
        <f>IF(BK137=1,IF(COUNTIFS($A$2:$A$201,$A137,$BK$2:$BK$201,1,$G$2:$G$201,"&lt;"&amp;G137)+COUNTIFS($A$2:$A$201,$A137,$BK$2:$BK$201,1,$G$2:$G$201,G137,$AT$2:$AT$201,"&lt;"&amp;AT137)=0,1,0),0)</f>
        <v/>
      </c>
      <c r="BM137" s="17">
        <f>IF(BL137=1,$A137,"")</f>
        <v/>
      </c>
      <c r="BN137" s="17">
        <f>IF(AND(AU137=1,T137="Y",TRIM(U137)=""),1,0)</f>
        <v/>
      </c>
      <c r="BO137" s="17">
        <f>IF(AU137=1,AJ137&amp;"","")</f>
        <v/>
      </c>
      <c r="BP137" s="17">
        <f>IF(AU137=1,AK137&amp;"","")</f>
        <v/>
      </c>
      <c r="BQ137" s="17">
        <f>IF(AU137=1,AL137&amp;"","")</f>
        <v/>
      </c>
      <c r="BR137" s="17">
        <f>IF(AND(AU137=1,ISNUMBER(AP137),G137&lt;=Config!$B$5),AP137,"")</f>
        <v/>
      </c>
      <c r="BS137" s="17">
        <f>IF(AU137=1,IF(COUNTIFS($A$2:$A$201,$A137,$AN$2:$AN$201,"Y",$AU$2:$AU$201,1)&gt;0,"Y","N"),"")</f>
        <v/>
      </c>
      <c r="BT137" s="17">
        <f>IF(AND(AU137=1,AN137="maybe"),1,0)</f>
        <v/>
      </c>
      <c r="BU137" s="17">
        <f>IF(BT137=1,IF(COUNTIFS($A$2:$A$201,$A137,$BT$2:$BT$201,1,$G$2:$G$201,"&lt;"&amp;G137)+COUNTIFS($A$2:$A$201,$A137,$BT$2:$BT$201,1,$G$2:$G$201,G137,$AT$2:$AT$201,"&lt;"&amp;AT137)=0,1,0),0)</f>
        <v/>
      </c>
      <c r="BV137" s="17">
        <f>IF(AND(AU137=1,AN137="Y"),IF(COUNTIFS($A$2:$A$201,$A137,$AN$2:$AN$201,"Y",$AU$2:$AU$201,1,$G$2:$G$201,"&lt;"&amp;G137)+COUNTIFS($A$2:$A$201,$A137,$AN$2:$AN$201,"Y",$AU$2:$AU$201,1,$G$2:$G$201,G137,$AT$2:$AT$201,"&lt;"&amp;AT137)=0,1,0),0)</f>
        <v/>
      </c>
      <c r="BW137" s="17">
        <f>IF(AND(BA137=1,N(V137)&gt;=Config!$B$15),1,0)</f>
        <v/>
      </c>
      <c r="BX137" s="17">
        <f>IF(AU137=1,IFERROR(MATCH($A137,INDEX(Clay_Offices!$A$2:$FZ$601,0,Sync!$C$5),0),""),"")</f>
        <v/>
      </c>
      <c r="BY137" s="17">
        <f>IF(BX137="","",IFERROR(INDEX(Clay_Offices!$A$2:$FZ$601,BX137,Sync!$C$7)&amp;"",""))</f>
        <v/>
      </c>
      <c r="BZ137" s="17">
        <f>IF(BY137="","",IFERROR(INDEX(Lists!$J$2:$J$15,MATCH(BY137,Lists!$I$2:$I$15,0)),""))</f>
        <v/>
      </c>
      <c r="CA137" s="17">
        <f>IF(BX137="","",IFERROR(INDEX(Clay_Offices!$A$2:$FZ$601,BX137,Sync!$C$17)&amp;"",""))</f>
        <v/>
      </c>
      <c r="CB137" s="23">
        <f>IF(BX137="","",IFERROR(N(INDEX(Clay_Offices!$A$2:$FZ$601,BX137,Sync!$C$16)),0))</f>
        <v/>
      </c>
    </row>
    <row r="138">
      <c r="G138" s="22" t="n"/>
      <c r="AS138" s="17">
        <f>IF(TRIM($A138)="","",IF(AND(LEFT($A138,6)="SAMPLE",Config!$B$19&lt;&gt;"Y"),"",IF(NOT(ISNUMBER(G138)),"call_date is blank or not a date",IF(Sync!$C$5="","Clay paste is empty or has no row_id column: paste the Clay export on Clay_Offices",IF(BX138="","row_id not found in the Clay paste: add the Clay row or fix the row_id",IF(AND(ISNUMBER(BZ138),BZ138&gt;=1,BZ138&lt;=5),"Clay status is "&amp;BY138&amp;": set call_done or later",IF(AND(AW138=1,CA138&lt;&gt;BS138),"Clay yes_in_principle should be "&amp;BS138,IF(AND(AW138=1,CB138&lt;&gt;G138),"Clay call_date should be "&amp;TEXT(G138,"yyyy-mm-dd"),""))))))))</f>
        <v/>
      </c>
      <c r="AT138" s="17">
        <f>ROW()</f>
        <v/>
      </c>
      <c r="AU138" s="17">
        <f>IF(AND(TRIM($A138)&lt;&gt;"",ISNUMBER(G138)),IF(AND(LEFT($A138,6)="SAMPLE",Config!$B$19&lt;&gt;"Y"),0,1),0)</f>
        <v/>
      </c>
      <c r="AV138" s="17">
        <f>IF(AU138=1,IF(COUNTIFS($A$2:$A$201,$A138,$AU$2:$AU$201,1,$G$2:$G$201,"&lt;"&amp;G138)+COUNTIFS($A$2:$A$201,$A138,$AU$2:$AU$201,1,$G$2:$G$201,G138,$AT$2:$AT$201,"&lt;"&amp;AT138)=0,1,0),0)</f>
        <v/>
      </c>
      <c r="AW138" s="17">
        <f>IF(AU138=1,IF(COUNTIFS($A$2:$A$201,$A138,$AU$2:$AU$201,1,$G$2:$G$201,"&gt;"&amp;G138)+COUNTIFS($A$2:$A$201,$A138,$AU$2:$AU$201,1,$G$2:$G$201,G138,$AT$2:$AT$201,"&gt;"&amp;AT138)=0,1,0),0)</f>
        <v/>
      </c>
      <c r="AX138" s="17">
        <f>IF(AND(AU138=1,AN138="Y",Z138="Y",TRIM(AD138)&lt;&gt;""),1,0)</f>
        <v/>
      </c>
      <c r="AY138" s="17">
        <f>IF(AX138=1,IF(COUNTIFS($A$2:$A$201,$A138,$AX$2:$AX$201,1,$G$2:$G$201,"&lt;"&amp;G138)+COUNTIFS($A$2:$A$201,$A138,$AX$2:$AX$201,1,$G$2:$G$201,G138,$AT$2:$AT$201,"&lt;"&amp;AT138)=0,1,0),0)</f>
        <v/>
      </c>
      <c r="AZ138" s="17">
        <f>IF(AND(AU138=1,AN138="Y",AX138=0),1,0)</f>
        <v/>
      </c>
      <c r="BA138" s="17">
        <f>IF(AND(AU138=1,ISNUMBER(V138)),1,0)</f>
        <v/>
      </c>
      <c r="BB138" s="17">
        <f>IF(BA138=1,IF(COUNTIFS($A$2:$A$201,$A138,$BA$2:$BA$201,1,$G$2:$G$201,"&lt;"&amp;G138)+COUNTIFS($A$2:$A$201,$A138,$BA$2:$BA$201,1,$G$2:$G$201,G138,$AT$2:$AT$201,"&lt;"&amp;AT138)=0,1,0),0)</f>
        <v/>
      </c>
      <c r="BC138" s="17">
        <f>IF(AND(BB138=1,G138&lt;=Config!$B$6),V138,"")</f>
        <v/>
      </c>
      <c r="BD138" s="17">
        <f>IF(AND(BB138=1,G138&lt;=Config!$B$7),V138,"")</f>
        <v/>
      </c>
      <c r="BE138" s="17">
        <f>IF(AND(BB138=1,G138&lt;=Config!$B$8),V138,"")</f>
        <v/>
      </c>
      <c r="BF138" s="17">
        <f>IF(AND(BB138=1,G138&lt;=Config!$B$5),V138,"")</f>
        <v/>
      </c>
      <c r="BG138" s="17">
        <f>IF(BW138=1,IF(COUNTIFS($A$2:$A$201,$A138,$BW$2:$BW$201,1,$G$2:$G$201,"&lt;"&amp;G138)+COUNTIFS($A$2:$A$201,$A138,$BW$2:$BW$201,1,$G$2:$G$201,G138,$AT$2:$AT$201,"&lt;"&amp;AT138)=0,1,0),0)</f>
        <v/>
      </c>
      <c r="BH138" s="17">
        <f>IF(AND(AU138=1,ISNUMBER(K138)),1,0)</f>
        <v/>
      </c>
      <c r="BI138" s="17">
        <f>IF(BH138=1,IF(COUNTIFS($A$2:$A$201,$A138,$BH$2:$BH$201,1,$G$2:$G$201,"&lt;"&amp;G138)+COUNTIFS($A$2:$A$201,$A138,$BH$2:$BH$201,1,$G$2:$G$201,G138,$AT$2:$AT$201,"&lt;"&amp;AT138)=0,1,0),0)</f>
        <v/>
      </c>
      <c r="BJ138" s="17">
        <f>IF(AND(BI138=1,G138&lt;=Config!$B$5),K138,"")</f>
        <v/>
      </c>
      <c r="BK138" s="17">
        <f>IF(AND(AU138=1,OR(TRIM(U138)&lt;&gt;"",ISNUMBER(V138))),1,0)</f>
        <v/>
      </c>
      <c r="BL138" s="17">
        <f>IF(BK138=1,IF(COUNTIFS($A$2:$A$201,$A138,$BK$2:$BK$201,1,$G$2:$G$201,"&lt;"&amp;G138)+COUNTIFS($A$2:$A$201,$A138,$BK$2:$BK$201,1,$G$2:$G$201,G138,$AT$2:$AT$201,"&lt;"&amp;AT138)=0,1,0),0)</f>
        <v/>
      </c>
      <c r="BM138" s="17">
        <f>IF(BL138=1,$A138,"")</f>
        <v/>
      </c>
      <c r="BN138" s="17">
        <f>IF(AND(AU138=1,T138="Y",TRIM(U138)=""),1,0)</f>
        <v/>
      </c>
      <c r="BO138" s="17">
        <f>IF(AU138=1,AJ138&amp;"","")</f>
        <v/>
      </c>
      <c r="BP138" s="17">
        <f>IF(AU138=1,AK138&amp;"","")</f>
        <v/>
      </c>
      <c r="BQ138" s="17">
        <f>IF(AU138=1,AL138&amp;"","")</f>
        <v/>
      </c>
      <c r="BR138" s="17">
        <f>IF(AND(AU138=1,ISNUMBER(AP138),G138&lt;=Config!$B$5),AP138,"")</f>
        <v/>
      </c>
      <c r="BS138" s="17">
        <f>IF(AU138=1,IF(COUNTIFS($A$2:$A$201,$A138,$AN$2:$AN$201,"Y",$AU$2:$AU$201,1)&gt;0,"Y","N"),"")</f>
        <v/>
      </c>
      <c r="BT138" s="17">
        <f>IF(AND(AU138=1,AN138="maybe"),1,0)</f>
        <v/>
      </c>
      <c r="BU138" s="17">
        <f>IF(BT138=1,IF(COUNTIFS($A$2:$A$201,$A138,$BT$2:$BT$201,1,$G$2:$G$201,"&lt;"&amp;G138)+COUNTIFS($A$2:$A$201,$A138,$BT$2:$BT$201,1,$G$2:$G$201,G138,$AT$2:$AT$201,"&lt;"&amp;AT138)=0,1,0),0)</f>
        <v/>
      </c>
      <c r="BV138" s="17">
        <f>IF(AND(AU138=1,AN138="Y"),IF(COUNTIFS($A$2:$A$201,$A138,$AN$2:$AN$201,"Y",$AU$2:$AU$201,1,$G$2:$G$201,"&lt;"&amp;G138)+COUNTIFS($A$2:$A$201,$A138,$AN$2:$AN$201,"Y",$AU$2:$AU$201,1,$G$2:$G$201,G138,$AT$2:$AT$201,"&lt;"&amp;AT138)=0,1,0),0)</f>
        <v/>
      </c>
      <c r="BW138" s="17">
        <f>IF(AND(BA138=1,N(V138)&gt;=Config!$B$15),1,0)</f>
        <v/>
      </c>
      <c r="BX138" s="17">
        <f>IF(AU138=1,IFERROR(MATCH($A138,INDEX(Clay_Offices!$A$2:$FZ$601,0,Sync!$C$5),0),""),"")</f>
        <v/>
      </c>
      <c r="BY138" s="17">
        <f>IF(BX138="","",IFERROR(INDEX(Clay_Offices!$A$2:$FZ$601,BX138,Sync!$C$7)&amp;"",""))</f>
        <v/>
      </c>
      <c r="BZ138" s="17">
        <f>IF(BY138="","",IFERROR(INDEX(Lists!$J$2:$J$15,MATCH(BY138,Lists!$I$2:$I$15,0)),""))</f>
        <v/>
      </c>
      <c r="CA138" s="17">
        <f>IF(BX138="","",IFERROR(INDEX(Clay_Offices!$A$2:$FZ$601,BX138,Sync!$C$17)&amp;"",""))</f>
        <v/>
      </c>
      <c r="CB138" s="23">
        <f>IF(BX138="","",IFERROR(N(INDEX(Clay_Offices!$A$2:$FZ$601,BX138,Sync!$C$16)),0))</f>
        <v/>
      </c>
    </row>
    <row r="139">
      <c r="G139" s="22" t="n"/>
      <c r="AS139" s="17">
        <f>IF(TRIM($A139)="","",IF(AND(LEFT($A139,6)="SAMPLE",Config!$B$19&lt;&gt;"Y"),"",IF(NOT(ISNUMBER(G139)),"call_date is blank or not a date",IF(Sync!$C$5="","Clay paste is empty or has no row_id column: paste the Clay export on Clay_Offices",IF(BX139="","row_id not found in the Clay paste: add the Clay row or fix the row_id",IF(AND(ISNUMBER(BZ139),BZ139&gt;=1,BZ139&lt;=5),"Clay status is "&amp;BY139&amp;": set call_done or later",IF(AND(AW139=1,CA139&lt;&gt;BS139),"Clay yes_in_principle should be "&amp;BS139,IF(AND(AW139=1,CB139&lt;&gt;G139),"Clay call_date should be "&amp;TEXT(G139,"yyyy-mm-dd"),""))))))))</f>
        <v/>
      </c>
      <c r="AT139" s="17">
        <f>ROW()</f>
        <v/>
      </c>
      <c r="AU139" s="17">
        <f>IF(AND(TRIM($A139)&lt;&gt;"",ISNUMBER(G139)),IF(AND(LEFT($A139,6)="SAMPLE",Config!$B$19&lt;&gt;"Y"),0,1),0)</f>
        <v/>
      </c>
      <c r="AV139" s="17">
        <f>IF(AU139=1,IF(COUNTIFS($A$2:$A$201,$A139,$AU$2:$AU$201,1,$G$2:$G$201,"&lt;"&amp;G139)+COUNTIFS($A$2:$A$201,$A139,$AU$2:$AU$201,1,$G$2:$G$201,G139,$AT$2:$AT$201,"&lt;"&amp;AT139)=0,1,0),0)</f>
        <v/>
      </c>
      <c r="AW139" s="17">
        <f>IF(AU139=1,IF(COUNTIFS($A$2:$A$201,$A139,$AU$2:$AU$201,1,$G$2:$G$201,"&gt;"&amp;G139)+COUNTIFS($A$2:$A$201,$A139,$AU$2:$AU$201,1,$G$2:$G$201,G139,$AT$2:$AT$201,"&gt;"&amp;AT139)=0,1,0),0)</f>
        <v/>
      </c>
      <c r="AX139" s="17">
        <f>IF(AND(AU139=1,AN139="Y",Z139="Y",TRIM(AD139)&lt;&gt;""),1,0)</f>
        <v/>
      </c>
      <c r="AY139" s="17">
        <f>IF(AX139=1,IF(COUNTIFS($A$2:$A$201,$A139,$AX$2:$AX$201,1,$G$2:$G$201,"&lt;"&amp;G139)+COUNTIFS($A$2:$A$201,$A139,$AX$2:$AX$201,1,$G$2:$G$201,G139,$AT$2:$AT$201,"&lt;"&amp;AT139)=0,1,0),0)</f>
        <v/>
      </c>
      <c r="AZ139" s="17">
        <f>IF(AND(AU139=1,AN139="Y",AX139=0),1,0)</f>
        <v/>
      </c>
      <c r="BA139" s="17">
        <f>IF(AND(AU139=1,ISNUMBER(V139)),1,0)</f>
        <v/>
      </c>
      <c r="BB139" s="17">
        <f>IF(BA139=1,IF(COUNTIFS($A$2:$A$201,$A139,$BA$2:$BA$201,1,$G$2:$G$201,"&lt;"&amp;G139)+COUNTIFS($A$2:$A$201,$A139,$BA$2:$BA$201,1,$G$2:$G$201,G139,$AT$2:$AT$201,"&lt;"&amp;AT139)=0,1,0),0)</f>
        <v/>
      </c>
      <c r="BC139" s="17">
        <f>IF(AND(BB139=1,G139&lt;=Config!$B$6),V139,"")</f>
        <v/>
      </c>
      <c r="BD139" s="17">
        <f>IF(AND(BB139=1,G139&lt;=Config!$B$7),V139,"")</f>
        <v/>
      </c>
      <c r="BE139" s="17">
        <f>IF(AND(BB139=1,G139&lt;=Config!$B$8),V139,"")</f>
        <v/>
      </c>
      <c r="BF139" s="17">
        <f>IF(AND(BB139=1,G139&lt;=Config!$B$5),V139,"")</f>
        <v/>
      </c>
      <c r="BG139" s="17">
        <f>IF(BW139=1,IF(COUNTIFS($A$2:$A$201,$A139,$BW$2:$BW$201,1,$G$2:$G$201,"&lt;"&amp;G139)+COUNTIFS($A$2:$A$201,$A139,$BW$2:$BW$201,1,$G$2:$G$201,G139,$AT$2:$AT$201,"&lt;"&amp;AT139)=0,1,0),0)</f>
        <v/>
      </c>
      <c r="BH139" s="17">
        <f>IF(AND(AU139=1,ISNUMBER(K139)),1,0)</f>
        <v/>
      </c>
      <c r="BI139" s="17">
        <f>IF(BH139=1,IF(COUNTIFS($A$2:$A$201,$A139,$BH$2:$BH$201,1,$G$2:$G$201,"&lt;"&amp;G139)+COUNTIFS($A$2:$A$201,$A139,$BH$2:$BH$201,1,$G$2:$G$201,G139,$AT$2:$AT$201,"&lt;"&amp;AT139)=0,1,0),0)</f>
        <v/>
      </c>
      <c r="BJ139" s="17">
        <f>IF(AND(BI139=1,G139&lt;=Config!$B$5),K139,"")</f>
        <v/>
      </c>
      <c r="BK139" s="17">
        <f>IF(AND(AU139=1,OR(TRIM(U139)&lt;&gt;"",ISNUMBER(V139))),1,0)</f>
        <v/>
      </c>
      <c r="BL139" s="17">
        <f>IF(BK139=1,IF(COUNTIFS($A$2:$A$201,$A139,$BK$2:$BK$201,1,$G$2:$G$201,"&lt;"&amp;G139)+COUNTIFS($A$2:$A$201,$A139,$BK$2:$BK$201,1,$G$2:$G$201,G139,$AT$2:$AT$201,"&lt;"&amp;AT139)=0,1,0),0)</f>
        <v/>
      </c>
      <c r="BM139" s="17">
        <f>IF(BL139=1,$A139,"")</f>
        <v/>
      </c>
      <c r="BN139" s="17">
        <f>IF(AND(AU139=1,T139="Y",TRIM(U139)=""),1,0)</f>
        <v/>
      </c>
      <c r="BO139" s="17">
        <f>IF(AU139=1,AJ139&amp;"","")</f>
        <v/>
      </c>
      <c r="BP139" s="17">
        <f>IF(AU139=1,AK139&amp;"","")</f>
        <v/>
      </c>
      <c r="BQ139" s="17">
        <f>IF(AU139=1,AL139&amp;"","")</f>
        <v/>
      </c>
      <c r="BR139" s="17">
        <f>IF(AND(AU139=1,ISNUMBER(AP139),G139&lt;=Config!$B$5),AP139,"")</f>
        <v/>
      </c>
      <c r="BS139" s="17">
        <f>IF(AU139=1,IF(COUNTIFS($A$2:$A$201,$A139,$AN$2:$AN$201,"Y",$AU$2:$AU$201,1)&gt;0,"Y","N"),"")</f>
        <v/>
      </c>
      <c r="BT139" s="17">
        <f>IF(AND(AU139=1,AN139="maybe"),1,0)</f>
        <v/>
      </c>
      <c r="BU139" s="17">
        <f>IF(BT139=1,IF(COUNTIFS($A$2:$A$201,$A139,$BT$2:$BT$201,1,$G$2:$G$201,"&lt;"&amp;G139)+COUNTIFS($A$2:$A$201,$A139,$BT$2:$BT$201,1,$G$2:$G$201,G139,$AT$2:$AT$201,"&lt;"&amp;AT139)=0,1,0),0)</f>
        <v/>
      </c>
      <c r="BV139" s="17">
        <f>IF(AND(AU139=1,AN139="Y"),IF(COUNTIFS($A$2:$A$201,$A139,$AN$2:$AN$201,"Y",$AU$2:$AU$201,1,$G$2:$G$201,"&lt;"&amp;G139)+COUNTIFS($A$2:$A$201,$A139,$AN$2:$AN$201,"Y",$AU$2:$AU$201,1,$G$2:$G$201,G139,$AT$2:$AT$201,"&lt;"&amp;AT139)=0,1,0),0)</f>
        <v/>
      </c>
      <c r="BW139" s="17">
        <f>IF(AND(BA139=1,N(V139)&gt;=Config!$B$15),1,0)</f>
        <v/>
      </c>
      <c r="BX139" s="17">
        <f>IF(AU139=1,IFERROR(MATCH($A139,INDEX(Clay_Offices!$A$2:$FZ$601,0,Sync!$C$5),0),""),"")</f>
        <v/>
      </c>
      <c r="BY139" s="17">
        <f>IF(BX139="","",IFERROR(INDEX(Clay_Offices!$A$2:$FZ$601,BX139,Sync!$C$7)&amp;"",""))</f>
        <v/>
      </c>
      <c r="BZ139" s="17">
        <f>IF(BY139="","",IFERROR(INDEX(Lists!$J$2:$J$15,MATCH(BY139,Lists!$I$2:$I$15,0)),""))</f>
        <v/>
      </c>
      <c r="CA139" s="17">
        <f>IF(BX139="","",IFERROR(INDEX(Clay_Offices!$A$2:$FZ$601,BX139,Sync!$C$17)&amp;"",""))</f>
        <v/>
      </c>
      <c r="CB139" s="23">
        <f>IF(BX139="","",IFERROR(N(INDEX(Clay_Offices!$A$2:$FZ$601,BX139,Sync!$C$16)),0))</f>
        <v/>
      </c>
    </row>
    <row r="140">
      <c r="G140" s="22" t="n"/>
      <c r="AS140" s="17">
        <f>IF(TRIM($A140)="","",IF(AND(LEFT($A140,6)="SAMPLE",Config!$B$19&lt;&gt;"Y"),"",IF(NOT(ISNUMBER(G140)),"call_date is blank or not a date",IF(Sync!$C$5="","Clay paste is empty or has no row_id column: paste the Clay export on Clay_Offices",IF(BX140="","row_id not found in the Clay paste: add the Clay row or fix the row_id",IF(AND(ISNUMBER(BZ140),BZ140&gt;=1,BZ140&lt;=5),"Clay status is "&amp;BY140&amp;": set call_done or later",IF(AND(AW140=1,CA140&lt;&gt;BS140),"Clay yes_in_principle should be "&amp;BS140,IF(AND(AW140=1,CB140&lt;&gt;G140),"Clay call_date should be "&amp;TEXT(G140,"yyyy-mm-dd"),""))))))))</f>
        <v/>
      </c>
      <c r="AT140" s="17">
        <f>ROW()</f>
        <v/>
      </c>
      <c r="AU140" s="17">
        <f>IF(AND(TRIM($A140)&lt;&gt;"",ISNUMBER(G140)),IF(AND(LEFT($A140,6)="SAMPLE",Config!$B$19&lt;&gt;"Y"),0,1),0)</f>
        <v/>
      </c>
      <c r="AV140" s="17">
        <f>IF(AU140=1,IF(COUNTIFS($A$2:$A$201,$A140,$AU$2:$AU$201,1,$G$2:$G$201,"&lt;"&amp;G140)+COUNTIFS($A$2:$A$201,$A140,$AU$2:$AU$201,1,$G$2:$G$201,G140,$AT$2:$AT$201,"&lt;"&amp;AT140)=0,1,0),0)</f>
        <v/>
      </c>
      <c r="AW140" s="17">
        <f>IF(AU140=1,IF(COUNTIFS($A$2:$A$201,$A140,$AU$2:$AU$201,1,$G$2:$G$201,"&gt;"&amp;G140)+COUNTIFS($A$2:$A$201,$A140,$AU$2:$AU$201,1,$G$2:$G$201,G140,$AT$2:$AT$201,"&gt;"&amp;AT140)=0,1,0),0)</f>
        <v/>
      </c>
      <c r="AX140" s="17">
        <f>IF(AND(AU140=1,AN140="Y",Z140="Y",TRIM(AD140)&lt;&gt;""),1,0)</f>
        <v/>
      </c>
      <c r="AY140" s="17">
        <f>IF(AX140=1,IF(COUNTIFS($A$2:$A$201,$A140,$AX$2:$AX$201,1,$G$2:$G$201,"&lt;"&amp;G140)+COUNTIFS($A$2:$A$201,$A140,$AX$2:$AX$201,1,$G$2:$G$201,G140,$AT$2:$AT$201,"&lt;"&amp;AT140)=0,1,0),0)</f>
        <v/>
      </c>
      <c r="AZ140" s="17">
        <f>IF(AND(AU140=1,AN140="Y",AX140=0),1,0)</f>
        <v/>
      </c>
      <c r="BA140" s="17">
        <f>IF(AND(AU140=1,ISNUMBER(V140)),1,0)</f>
        <v/>
      </c>
      <c r="BB140" s="17">
        <f>IF(BA140=1,IF(COUNTIFS($A$2:$A$201,$A140,$BA$2:$BA$201,1,$G$2:$G$201,"&lt;"&amp;G140)+COUNTIFS($A$2:$A$201,$A140,$BA$2:$BA$201,1,$G$2:$G$201,G140,$AT$2:$AT$201,"&lt;"&amp;AT140)=0,1,0),0)</f>
        <v/>
      </c>
      <c r="BC140" s="17">
        <f>IF(AND(BB140=1,G140&lt;=Config!$B$6),V140,"")</f>
        <v/>
      </c>
      <c r="BD140" s="17">
        <f>IF(AND(BB140=1,G140&lt;=Config!$B$7),V140,"")</f>
        <v/>
      </c>
      <c r="BE140" s="17">
        <f>IF(AND(BB140=1,G140&lt;=Config!$B$8),V140,"")</f>
        <v/>
      </c>
      <c r="BF140" s="17">
        <f>IF(AND(BB140=1,G140&lt;=Config!$B$5),V140,"")</f>
        <v/>
      </c>
      <c r="BG140" s="17">
        <f>IF(BW140=1,IF(COUNTIFS($A$2:$A$201,$A140,$BW$2:$BW$201,1,$G$2:$G$201,"&lt;"&amp;G140)+COUNTIFS($A$2:$A$201,$A140,$BW$2:$BW$201,1,$G$2:$G$201,G140,$AT$2:$AT$201,"&lt;"&amp;AT140)=0,1,0),0)</f>
        <v/>
      </c>
      <c r="BH140" s="17">
        <f>IF(AND(AU140=1,ISNUMBER(K140)),1,0)</f>
        <v/>
      </c>
      <c r="BI140" s="17">
        <f>IF(BH140=1,IF(COUNTIFS($A$2:$A$201,$A140,$BH$2:$BH$201,1,$G$2:$G$201,"&lt;"&amp;G140)+COUNTIFS($A$2:$A$201,$A140,$BH$2:$BH$201,1,$G$2:$G$201,G140,$AT$2:$AT$201,"&lt;"&amp;AT140)=0,1,0),0)</f>
        <v/>
      </c>
      <c r="BJ140" s="17">
        <f>IF(AND(BI140=1,G140&lt;=Config!$B$5),K140,"")</f>
        <v/>
      </c>
      <c r="BK140" s="17">
        <f>IF(AND(AU140=1,OR(TRIM(U140)&lt;&gt;"",ISNUMBER(V140))),1,0)</f>
        <v/>
      </c>
      <c r="BL140" s="17">
        <f>IF(BK140=1,IF(COUNTIFS($A$2:$A$201,$A140,$BK$2:$BK$201,1,$G$2:$G$201,"&lt;"&amp;G140)+COUNTIFS($A$2:$A$201,$A140,$BK$2:$BK$201,1,$G$2:$G$201,G140,$AT$2:$AT$201,"&lt;"&amp;AT140)=0,1,0),0)</f>
        <v/>
      </c>
      <c r="BM140" s="17">
        <f>IF(BL140=1,$A140,"")</f>
        <v/>
      </c>
      <c r="BN140" s="17">
        <f>IF(AND(AU140=1,T140="Y",TRIM(U140)=""),1,0)</f>
        <v/>
      </c>
      <c r="BO140" s="17">
        <f>IF(AU140=1,AJ140&amp;"","")</f>
        <v/>
      </c>
      <c r="BP140" s="17">
        <f>IF(AU140=1,AK140&amp;"","")</f>
        <v/>
      </c>
      <c r="BQ140" s="17">
        <f>IF(AU140=1,AL140&amp;"","")</f>
        <v/>
      </c>
      <c r="BR140" s="17">
        <f>IF(AND(AU140=1,ISNUMBER(AP140),G140&lt;=Config!$B$5),AP140,"")</f>
        <v/>
      </c>
      <c r="BS140" s="17">
        <f>IF(AU140=1,IF(COUNTIFS($A$2:$A$201,$A140,$AN$2:$AN$201,"Y",$AU$2:$AU$201,1)&gt;0,"Y","N"),"")</f>
        <v/>
      </c>
      <c r="BT140" s="17">
        <f>IF(AND(AU140=1,AN140="maybe"),1,0)</f>
        <v/>
      </c>
      <c r="BU140" s="17">
        <f>IF(BT140=1,IF(COUNTIFS($A$2:$A$201,$A140,$BT$2:$BT$201,1,$G$2:$G$201,"&lt;"&amp;G140)+COUNTIFS($A$2:$A$201,$A140,$BT$2:$BT$201,1,$G$2:$G$201,G140,$AT$2:$AT$201,"&lt;"&amp;AT140)=0,1,0),0)</f>
        <v/>
      </c>
      <c r="BV140" s="17">
        <f>IF(AND(AU140=1,AN140="Y"),IF(COUNTIFS($A$2:$A$201,$A140,$AN$2:$AN$201,"Y",$AU$2:$AU$201,1,$G$2:$G$201,"&lt;"&amp;G140)+COUNTIFS($A$2:$A$201,$A140,$AN$2:$AN$201,"Y",$AU$2:$AU$201,1,$G$2:$G$201,G140,$AT$2:$AT$201,"&lt;"&amp;AT140)=0,1,0),0)</f>
        <v/>
      </c>
      <c r="BW140" s="17">
        <f>IF(AND(BA140=1,N(V140)&gt;=Config!$B$15),1,0)</f>
        <v/>
      </c>
      <c r="BX140" s="17">
        <f>IF(AU140=1,IFERROR(MATCH($A140,INDEX(Clay_Offices!$A$2:$FZ$601,0,Sync!$C$5),0),""),"")</f>
        <v/>
      </c>
      <c r="BY140" s="17">
        <f>IF(BX140="","",IFERROR(INDEX(Clay_Offices!$A$2:$FZ$601,BX140,Sync!$C$7)&amp;"",""))</f>
        <v/>
      </c>
      <c r="BZ140" s="17">
        <f>IF(BY140="","",IFERROR(INDEX(Lists!$J$2:$J$15,MATCH(BY140,Lists!$I$2:$I$15,0)),""))</f>
        <v/>
      </c>
      <c r="CA140" s="17">
        <f>IF(BX140="","",IFERROR(INDEX(Clay_Offices!$A$2:$FZ$601,BX140,Sync!$C$17)&amp;"",""))</f>
        <v/>
      </c>
      <c r="CB140" s="23">
        <f>IF(BX140="","",IFERROR(N(INDEX(Clay_Offices!$A$2:$FZ$601,BX140,Sync!$C$16)),0))</f>
        <v/>
      </c>
    </row>
    <row r="141">
      <c r="G141" s="22" t="n"/>
      <c r="AS141" s="17">
        <f>IF(TRIM($A141)="","",IF(AND(LEFT($A141,6)="SAMPLE",Config!$B$19&lt;&gt;"Y"),"",IF(NOT(ISNUMBER(G141)),"call_date is blank or not a date",IF(Sync!$C$5="","Clay paste is empty or has no row_id column: paste the Clay export on Clay_Offices",IF(BX141="","row_id not found in the Clay paste: add the Clay row or fix the row_id",IF(AND(ISNUMBER(BZ141),BZ141&gt;=1,BZ141&lt;=5),"Clay status is "&amp;BY141&amp;": set call_done or later",IF(AND(AW141=1,CA141&lt;&gt;BS141),"Clay yes_in_principle should be "&amp;BS141,IF(AND(AW141=1,CB141&lt;&gt;G141),"Clay call_date should be "&amp;TEXT(G141,"yyyy-mm-dd"),""))))))))</f>
        <v/>
      </c>
      <c r="AT141" s="17">
        <f>ROW()</f>
        <v/>
      </c>
      <c r="AU141" s="17">
        <f>IF(AND(TRIM($A141)&lt;&gt;"",ISNUMBER(G141)),IF(AND(LEFT($A141,6)="SAMPLE",Config!$B$19&lt;&gt;"Y"),0,1),0)</f>
        <v/>
      </c>
      <c r="AV141" s="17">
        <f>IF(AU141=1,IF(COUNTIFS($A$2:$A$201,$A141,$AU$2:$AU$201,1,$G$2:$G$201,"&lt;"&amp;G141)+COUNTIFS($A$2:$A$201,$A141,$AU$2:$AU$201,1,$G$2:$G$201,G141,$AT$2:$AT$201,"&lt;"&amp;AT141)=0,1,0),0)</f>
        <v/>
      </c>
      <c r="AW141" s="17">
        <f>IF(AU141=1,IF(COUNTIFS($A$2:$A$201,$A141,$AU$2:$AU$201,1,$G$2:$G$201,"&gt;"&amp;G141)+COUNTIFS($A$2:$A$201,$A141,$AU$2:$AU$201,1,$G$2:$G$201,G141,$AT$2:$AT$201,"&gt;"&amp;AT141)=0,1,0),0)</f>
        <v/>
      </c>
      <c r="AX141" s="17">
        <f>IF(AND(AU141=1,AN141="Y",Z141="Y",TRIM(AD141)&lt;&gt;""),1,0)</f>
        <v/>
      </c>
      <c r="AY141" s="17">
        <f>IF(AX141=1,IF(COUNTIFS($A$2:$A$201,$A141,$AX$2:$AX$201,1,$G$2:$G$201,"&lt;"&amp;G141)+COUNTIFS($A$2:$A$201,$A141,$AX$2:$AX$201,1,$G$2:$G$201,G141,$AT$2:$AT$201,"&lt;"&amp;AT141)=0,1,0),0)</f>
        <v/>
      </c>
      <c r="AZ141" s="17">
        <f>IF(AND(AU141=1,AN141="Y",AX141=0),1,0)</f>
        <v/>
      </c>
      <c r="BA141" s="17">
        <f>IF(AND(AU141=1,ISNUMBER(V141)),1,0)</f>
        <v/>
      </c>
      <c r="BB141" s="17">
        <f>IF(BA141=1,IF(COUNTIFS($A$2:$A$201,$A141,$BA$2:$BA$201,1,$G$2:$G$201,"&lt;"&amp;G141)+COUNTIFS($A$2:$A$201,$A141,$BA$2:$BA$201,1,$G$2:$G$201,G141,$AT$2:$AT$201,"&lt;"&amp;AT141)=0,1,0),0)</f>
        <v/>
      </c>
      <c r="BC141" s="17">
        <f>IF(AND(BB141=1,G141&lt;=Config!$B$6),V141,"")</f>
        <v/>
      </c>
      <c r="BD141" s="17">
        <f>IF(AND(BB141=1,G141&lt;=Config!$B$7),V141,"")</f>
        <v/>
      </c>
      <c r="BE141" s="17">
        <f>IF(AND(BB141=1,G141&lt;=Config!$B$8),V141,"")</f>
        <v/>
      </c>
      <c r="BF141" s="17">
        <f>IF(AND(BB141=1,G141&lt;=Config!$B$5),V141,"")</f>
        <v/>
      </c>
      <c r="BG141" s="17">
        <f>IF(BW141=1,IF(COUNTIFS($A$2:$A$201,$A141,$BW$2:$BW$201,1,$G$2:$G$201,"&lt;"&amp;G141)+COUNTIFS($A$2:$A$201,$A141,$BW$2:$BW$201,1,$G$2:$G$201,G141,$AT$2:$AT$201,"&lt;"&amp;AT141)=0,1,0),0)</f>
        <v/>
      </c>
      <c r="BH141" s="17">
        <f>IF(AND(AU141=1,ISNUMBER(K141)),1,0)</f>
        <v/>
      </c>
      <c r="BI141" s="17">
        <f>IF(BH141=1,IF(COUNTIFS($A$2:$A$201,$A141,$BH$2:$BH$201,1,$G$2:$G$201,"&lt;"&amp;G141)+COUNTIFS($A$2:$A$201,$A141,$BH$2:$BH$201,1,$G$2:$G$201,G141,$AT$2:$AT$201,"&lt;"&amp;AT141)=0,1,0),0)</f>
        <v/>
      </c>
      <c r="BJ141" s="17">
        <f>IF(AND(BI141=1,G141&lt;=Config!$B$5),K141,"")</f>
        <v/>
      </c>
      <c r="BK141" s="17">
        <f>IF(AND(AU141=1,OR(TRIM(U141)&lt;&gt;"",ISNUMBER(V141))),1,0)</f>
        <v/>
      </c>
      <c r="BL141" s="17">
        <f>IF(BK141=1,IF(COUNTIFS($A$2:$A$201,$A141,$BK$2:$BK$201,1,$G$2:$G$201,"&lt;"&amp;G141)+COUNTIFS($A$2:$A$201,$A141,$BK$2:$BK$201,1,$G$2:$G$201,G141,$AT$2:$AT$201,"&lt;"&amp;AT141)=0,1,0),0)</f>
        <v/>
      </c>
      <c r="BM141" s="17">
        <f>IF(BL141=1,$A141,"")</f>
        <v/>
      </c>
      <c r="BN141" s="17">
        <f>IF(AND(AU141=1,T141="Y",TRIM(U141)=""),1,0)</f>
        <v/>
      </c>
      <c r="BO141" s="17">
        <f>IF(AU141=1,AJ141&amp;"","")</f>
        <v/>
      </c>
      <c r="BP141" s="17">
        <f>IF(AU141=1,AK141&amp;"","")</f>
        <v/>
      </c>
      <c r="BQ141" s="17">
        <f>IF(AU141=1,AL141&amp;"","")</f>
        <v/>
      </c>
      <c r="BR141" s="17">
        <f>IF(AND(AU141=1,ISNUMBER(AP141),G141&lt;=Config!$B$5),AP141,"")</f>
        <v/>
      </c>
      <c r="BS141" s="17">
        <f>IF(AU141=1,IF(COUNTIFS($A$2:$A$201,$A141,$AN$2:$AN$201,"Y",$AU$2:$AU$201,1)&gt;0,"Y","N"),"")</f>
        <v/>
      </c>
      <c r="BT141" s="17">
        <f>IF(AND(AU141=1,AN141="maybe"),1,0)</f>
        <v/>
      </c>
      <c r="BU141" s="17">
        <f>IF(BT141=1,IF(COUNTIFS($A$2:$A$201,$A141,$BT$2:$BT$201,1,$G$2:$G$201,"&lt;"&amp;G141)+COUNTIFS($A$2:$A$201,$A141,$BT$2:$BT$201,1,$G$2:$G$201,G141,$AT$2:$AT$201,"&lt;"&amp;AT141)=0,1,0),0)</f>
        <v/>
      </c>
      <c r="BV141" s="17">
        <f>IF(AND(AU141=1,AN141="Y"),IF(COUNTIFS($A$2:$A$201,$A141,$AN$2:$AN$201,"Y",$AU$2:$AU$201,1,$G$2:$G$201,"&lt;"&amp;G141)+COUNTIFS($A$2:$A$201,$A141,$AN$2:$AN$201,"Y",$AU$2:$AU$201,1,$G$2:$G$201,G141,$AT$2:$AT$201,"&lt;"&amp;AT141)=0,1,0),0)</f>
        <v/>
      </c>
      <c r="BW141" s="17">
        <f>IF(AND(BA141=1,N(V141)&gt;=Config!$B$15),1,0)</f>
        <v/>
      </c>
      <c r="BX141" s="17">
        <f>IF(AU141=1,IFERROR(MATCH($A141,INDEX(Clay_Offices!$A$2:$FZ$601,0,Sync!$C$5),0),""),"")</f>
        <v/>
      </c>
      <c r="BY141" s="17">
        <f>IF(BX141="","",IFERROR(INDEX(Clay_Offices!$A$2:$FZ$601,BX141,Sync!$C$7)&amp;"",""))</f>
        <v/>
      </c>
      <c r="BZ141" s="17">
        <f>IF(BY141="","",IFERROR(INDEX(Lists!$J$2:$J$15,MATCH(BY141,Lists!$I$2:$I$15,0)),""))</f>
        <v/>
      </c>
      <c r="CA141" s="17">
        <f>IF(BX141="","",IFERROR(INDEX(Clay_Offices!$A$2:$FZ$601,BX141,Sync!$C$17)&amp;"",""))</f>
        <v/>
      </c>
      <c r="CB141" s="23">
        <f>IF(BX141="","",IFERROR(N(INDEX(Clay_Offices!$A$2:$FZ$601,BX141,Sync!$C$16)),0))</f>
        <v/>
      </c>
    </row>
    <row r="142">
      <c r="G142" s="22" t="n"/>
      <c r="AS142" s="17">
        <f>IF(TRIM($A142)="","",IF(AND(LEFT($A142,6)="SAMPLE",Config!$B$19&lt;&gt;"Y"),"",IF(NOT(ISNUMBER(G142)),"call_date is blank or not a date",IF(Sync!$C$5="","Clay paste is empty or has no row_id column: paste the Clay export on Clay_Offices",IF(BX142="","row_id not found in the Clay paste: add the Clay row or fix the row_id",IF(AND(ISNUMBER(BZ142),BZ142&gt;=1,BZ142&lt;=5),"Clay status is "&amp;BY142&amp;": set call_done or later",IF(AND(AW142=1,CA142&lt;&gt;BS142),"Clay yes_in_principle should be "&amp;BS142,IF(AND(AW142=1,CB142&lt;&gt;G142),"Clay call_date should be "&amp;TEXT(G142,"yyyy-mm-dd"),""))))))))</f>
        <v/>
      </c>
      <c r="AT142" s="17">
        <f>ROW()</f>
        <v/>
      </c>
      <c r="AU142" s="17">
        <f>IF(AND(TRIM($A142)&lt;&gt;"",ISNUMBER(G142)),IF(AND(LEFT($A142,6)="SAMPLE",Config!$B$19&lt;&gt;"Y"),0,1),0)</f>
        <v/>
      </c>
      <c r="AV142" s="17">
        <f>IF(AU142=1,IF(COUNTIFS($A$2:$A$201,$A142,$AU$2:$AU$201,1,$G$2:$G$201,"&lt;"&amp;G142)+COUNTIFS($A$2:$A$201,$A142,$AU$2:$AU$201,1,$G$2:$G$201,G142,$AT$2:$AT$201,"&lt;"&amp;AT142)=0,1,0),0)</f>
        <v/>
      </c>
      <c r="AW142" s="17">
        <f>IF(AU142=1,IF(COUNTIFS($A$2:$A$201,$A142,$AU$2:$AU$201,1,$G$2:$G$201,"&gt;"&amp;G142)+COUNTIFS($A$2:$A$201,$A142,$AU$2:$AU$201,1,$G$2:$G$201,G142,$AT$2:$AT$201,"&gt;"&amp;AT142)=0,1,0),0)</f>
        <v/>
      </c>
      <c r="AX142" s="17">
        <f>IF(AND(AU142=1,AN142="Y",Z142="Y",TRIM(AD142)&lt;&gt;""),1,0)</f>
        <v/>
      </c>
      <c r="AY142" s="17">
        <f>IF(AX142=1,IF(COUNTIFS($A$2:$A$201,$A142,$AX$2:$AX$201,1,$G$2:$G$201,"&lt;"&amp;G142)+COUNTIFS($A$2:$A$201,$A142,$AX$2:$AX$201,1,$G$2:$G$201,G142,$AT$2:$AT$201,"&lt;"&amp;AT142)=0,1,0),0)</f>
        <v/>
      </c>
      <c r="AZ142" s="17">
        <f>IF(AND(AU142=1,AN142="Y",AX142=0),1,0)</f>
        <v/>
      </c>
      <c r="BA142" s="17">
        <f>IF(AND(AU142=1,ISNUMBER(V142)),1,0)</f>
        <v/>
      </c>
      <c r="BB142" s="17">
        <f>IF(BA142=1,IF(COUNTIFS($A$2:$A$201,$A142,$BA$2:$BA$201,1,$G$2:$G$201,"&lt;"&amp;G142)+COUNTIFS($A$2:$A$201,$A142,$BA$2:$BA$201,1,$G$2:$G$201,G142,$AT$2:$AT$201,"&lt;"&amp;AT142)=0,1,0),0)</f>
        <v/>
      </c>
      <c r="BC142" s="17">
        <f>IF(AND(BB142=1,G142&lt;=Config!$B$6),V142,"")</f>
        <v/>
      </c>
      <c r="BD142" s="17">
        <f>IF(AND(BB142=1,G142&lt;=Config!$B$7),V142,"")</f>
        <v/>
      </c>
      <c r="BE142" s="17">
        <f>IF(AND(BB142=1,G142&lt;=Config!$B$8),V142,"")</f>
        <v/>
      </c>
      <c r="BF142" s="17">
        <f>IF(AND(BB142=1,G142&lt;=Config!$B$5),V142,"")</f>
        <v/>
      </c>
      <c r="BG142" s="17">
        <f>IF(BW142=1,IF(COUNTIFS($A$2:$A$201,$A142,$BW$2:$BW$201,1,$G$2:$G$201,"&lt;"&amp;G142)+COUNTIFS($A$2:$A$201,$A142,$BW$2:$BW$201,1,$G$2:$G$201,G142,$AT$2:$AT$201,"&lt;"&amp;AT142)=0,1,0),0)</f>
        <v/>
      </c>
      <c r="BH142" s="17">
        <f>IF(AND(AU142=1,ISNUMBER(K142)),1,0)</f>
        <v/>
      </c>
      <c r="BI142" s="17">
        <f>IF(BH142=1,IF(COUNTIFS($A$2:$A$201,$A142,$BH$2:$BH$201,1,$G$2:$G$201,"&lt;"&amp;G142)+COUNTIFS($A$2:$A$201,$A142,$BH$2:$BH$201,1,$G$2:$G$201,G142,$AT$2:$AT$201,"&lt;"&amp;AT142)=0,1,0),0)</f>
        <v/>
      </c>
      <c r="BJ142" s="17">
        <f>IF(AND(BI142=1,G142&lt;=Config!$B$5),K142,"")</f>
        <v/>
      </c>
      <c r="BK142" s="17">
        <f>IF(AND(AU142=1,OR(TRIM(U142)&lt;&gt;"",ISNUMBER(V142))),1,0)</f>
        <v/>
      </c>
      <c r="BL142" s="17">
        <f>IF(BK142=1,IF(COUNTIFS($A$2:$A$201,$A142,$BK$2:$BK$201,1,$G$2:$G$201,"&lt;"&amp;G142)+COUNTIFS($A$2:$A$201,$A142,$BK$2:$BK$201,1,$G$2:$G$201,G142,$AT$2:$AT$201,"&lt;"&amp;AT142)=0,1,0),0)</f>
        <v/>
      </c>
      <c r="BM142" s="17">
        <f>IF(BL142=1,$A142,"")</f>
        <v/>
      </c>
      <c r="BN142" s="17">
        <f>IF(AND(AU142=1,T142="Y",TRIM(U142)=""),1,0)</f>
        <v/>
      </c>
      <c r="BO142" s="17">
        <f>IF(AU142=1,AJ142&amp;"","")</f>
        <v/>
      </c>
      <c r="BP142" s="17">
        <f>IF(AU142=1,AK142&amp;"","")</f>
        <v/>
      </c>
      <c r="BQ142" s="17">
        <f>IF(AU142=1,AL142&amp;"","")</f>
        <v/>
      </c>
      <c r="BR142" s="17">
        <f>IF(AND(AU142=1,ISNUMBER(AP142),G142&lt;=Config!$B$5),AP142,"")</f>
        <v/>
      </c>
      <c r="BS142" s="17">
        <f>IF(AU142=1,IF(COUNTIFS($A$2:$A$201,$A142,$AN$2:$AN$201,"Y",$AU$2:$AU$201,1)&gt;0,"Y","N"),"")</f>
        <v/>
      </c>
      <c r="BT142" s="17">
        <f>IF(AND(AU142=1,AN142="maybe"),1,0)</f>
        <v/>
      </c>
      <c r="BU142" s="17">
        <f>IF(BT142=1,IF(COUNTIFS($A$2:$A$201,$A142,$BT$2:$BT$201,1,$G$2:$G$201,"&lt;"&amp;G142)+COUNTIFS($A$2:$A$201,$A142,$BT$2:$BT$201,1,$G$2:$G$201,G142,$AT$2:$AT$201,"&lt;"&amp;AT142)=0,1,0),0)</f>
        <v/>
      </c>
      <c r="BV142" s="17">
        <f>IF(AND(AU142=1,AN142="Y"),IF(COUNTIFS($A$2:$A$201,$A142,$AN$2:$AN$201,"Y",$AU$2:$AU$201,1,$G$2:$G$201,"&lt;"&amp;G142)+COUNTIFS($A$2:$A$201,$A142,$AN$2:$AN$201,"Y",$AU$2:$AU$201,1,$G$2:$G$201,G142,$AT$2:$AT$201,"&lt;"&amp;AT142)=0,1,0),0)</f>
        <v/>
      </c>
      <c r="BW142" s="17">
        <f>IF(AND(BA142=1,N(V142)&gt;=Config!$B$15),1,0)</f>
        <v/>
      </c>
      <c r="BX142" s="17">
        <f>IF(AU142=1,IFERROR(MATCH($A142,INDEX(Clay_Offices!$A$2:$FZ$601,0,Sync!$C$5),0),""),"")</f>
        <v/>
      </c>
      <c r="BY142" s="17">
        <f>IF(BX142="","",IFERROR(INDEX(Clay_Offices!$A$2:$FZ$601,BX142,Sync!$C$7)&amp;"",""))</f>
        <v/>
      </c>
      <c r="BZ142" s="17">
        <f>IF(BY142="","",IFERROR(INDEX(Lists!$J$2:$J$15,MATCH(BY142,Lists!$I$2:$I$15,0)),""))</f>
        <v/>
      </c>
      <c r="CA142" s="17">
        <f>IF(BX142="","",IFERROR(INDEX(Clay_Offices!$A$2:$FZ$601,BX142,Sync!$C$17)&amp;"",""))</f>
        <v/>
      </c>
      <c r="CB142" s="23">
        <f>IF(BX142="","",IFERROR(N(INDEX(Clay_Offices!$A$2:$FZ$601,BX142,Sync!$C$16)),0))</f>
        <v/>
      </c>
    </row>
    <row r="143">
      <c r="G143" s="22" t="n"/>
      <c r="AS143" s="17">
        <f>IF(TRIM($A143)="","",IF(AND(LEFT($A143,6)="SAMPLE",Config!$B$19&lt;&gt;"Y"),"",IF(NOT(ISNUMBER(G143)),"call_date is blank or not a date",IF(Sync!$C$5="","Clay paste is empty or has no row_id column: paste the Clay export on Clay_Offices",IF(BX143="","row_id not found in the Clay paste: add the Clay row or fix the row_id",IF(AND(ISNUMBER(BZ143),BZ143&gt;=1,BZ143&lt;=5),"Clay status is "&amp;BY143&amp;": set call_done or later",IF(AND(AW143=1,CA143&lt;&gt;BS143),"Clay yes_in_principle should be "&amp;BS143,IF(AND(AW143=1,CB143&lt;&gt;G143),"Clay call_date should be "&amp;TEXT(G143,"yyyy-mm-dd"),""))))))))</f>
        <v/>
      </c>
      <c r="AT143" s="17">
        <f>ROW()</f>
        <v/>
      </c>
      <c r="AU143" s="17">
        <f>IF(AND(TRIM($A143)&lt;&gt;"",ISNUMBER(G143)),IF(AND(LEFT($A143,6)="SAMPLE",Config!$B$19&lt;&gt;"Y"),0,1),0)</f>
        <v/>
      </c>
      <c r="AV143" s="17">
        <f>IF(AU143=1,IF(COUNTIFS($A$2:$A$201,$A143,$AU$2:$AU$201,1,$G$2:$G$201,"&lt;"&amp;G143)+COUNTIFS($A$2:$A$201,$A143,$AU$2:$AU$201,1,$G$2:$G$201,G143,$AT$2:$AT$201,"&lt;"&amp;AT143)=0,1,0),0)</f>
        <v/>
      </c>
      <c r="AW143" s="17">
        <f>IF(AU143=1,IF(COUNTIFS($A$2:$A$201,$A143,$AU$2:$AU$201,1,$G$2:$G$201,"&gt;"&amp;G143)+COUNTIFS($A$2:$A$201,$A143,$AU$2:$AU$201,1,$G$2:$G$201,G143,$AT$2:$AT$201,"&gt;"&amp;AT143)=0,1,0),0)</f>
        <v/>
      </c>
      <c r="AX143" s="17">
        <f>IF(AND(AU143=1,AN143="Y",Z143="Y",TRIM(AD143)&lt;&gt;""),1,0)</f>
        <v/>
      </c>
      <c r="AY143" s="17">
        <f>IF(AX143=1,IF(COUNTIFS($A$2:$A$201,$A143,$AX$2:$AX$201,1,$G$2:$G$201,"&lt;"&amp;G143)+COUNTIFS($A$2:$A$201,$A143,$AX$2:$AX$201,1,$G$2:$G$201,G143,$AT$2:$AT$201,"&lt;"&amp;AT143)=0,1,0),0)</f>
        <v/>
      </c>
      <c r="AZ143" s="17">
        <f>IF(AND(AU143=1,AN143="Y",AX143=0),1,0)</f>
        <v/>
      </c>
      <c r="BA143" s="17">
        <f>IF(AND(AU143=1,ISNUMBER(V143)),1,0)</f>
        <v/>
      </c>
      <c r="BB143" s="17">
        <f>IF(BA143=1,IF(COUNTIFS($A$2:$A$201,$A143,$BA$2:$BA$201,1,$G$2:$G$201,"&lt;"&amp;G143)+COUNTIFS($A$2:$A$201,$A143,$BA$2:$BA$201,1,$G$2:$G$201,G143,$AT$2:$AT$201,"&lt;"&amp;AT143)=0,1,0),0)</f>
        <v/>
      </c>
      <c r="BC143" s="17">
        <f>IF(AND(BB143=1,G143&lt;=Config!$B$6),V143,"")</f>
        <v/>
      </c>
      <c r="BD143" s="17">
        <f>IF(AND(BB143=1,G143&lt;=Config!$B$7),V143,"")</f>
        <v/>
      </c>
      <c r="BE143" s="17">
        <f>IF(AND(BB143=1,G143&lt;=Config!$B$8),V143,"")</f>
        <v/>
      </c>
      <c r="BF143" s="17">
        <f>IF(AND(BB143=1,G143&lt;=Config!$B$5),V143,"")</f>
        <v/>
      </c>
      <c r="BG143" s="17">
        <f>IF(BW143=1,IF(COUNTIFS($A$2:$A$201,$A143,$BW$2:$BW$201,1,$G$2:$G$201,"&lt;"&amp;G143)+COUNTIFS($A$2:$A$201,$A143,$BW$2:$BW$201,1,$G$2:$G$201,G143,$AT$2:$AT$201,"&lt;"&amp;AT143)=0,1,0),0)</f>
        <v/>
      </c>
      <c r="BH143" s="17">
        <f>IF(AND(AU143=1,ISNUMBER(K143)),1,0)</f>
        <v/>
      </c>
      <c r="BI143" s="17">
        <f>IF(BH143=1,IF(COUNTIFS($A$2:$A$201,$A143,$BH$2:$BH$201,1,$G$2:$G$201,"&lt;"&amp;G143)+COUNTIFS($A$2:$A$201,$A143,$BH$2:$BH$201,1,$G$2:$G$201,G143,$AT$2:$AT$201,"&lt;"&amp;AT143)=0,1,0),0)</f>
        <v/>
      </c>
      <c r="BJ143" s="17">
        <f>IF(AND(BI143=1,G143&lt;=Config!$B$5),K143,"")</f>
        <v/>
      </c>
      <c r="BK143" s="17">
        <f>IF(AND(AU143=1,OR(TRIM(U143)&lt;&gt;"",ISNUMBER(V143))),1,0)</f>
        <v/>
      </c>
      <c r="BL143" s="17">
        <f>IF(BK143=1,IF(COUNTIFS($A$2:$A$201,$A143,$BK$2:$BK$201,1,$G$2:$G$201,"&lt;"&amp;G143)+COUNTIFS($A$2:$A$201,$A143,$BK$2:$BK$201,1,$G$2:$G$201,G143,$AT$2:$AT$201,"&lt;"&amp;AT143)=0,1,0),0)</f>
        <v/>
      </c>
      <c r="BM143" s="17">
        <f>IF(BL143=1,$A143,"")</f>
        <v/>
      </c>
      <c r="BN143" s="17">
        <f>IF(AND(AU143=1,T143="Y",TRIM(U143)=""),1,0)</f>
        <v/>
      </c>
      <c r="BO143" s="17">
        <f>IF(AU143=1,AJ143&amp;"","")</f>
        <v/>
      </c>
      <c r="BP143" s="17">
        <f>IF(AU143=1,AK143&amp;"","")</f>
        <v/>
      </c>
      <c r="BQ143" s="17">
        <f>IF(AU143=1,AL143&amp;"","")</f>
        <v/>
      </c>
      <c r="BR143" s="17">
        <f>IF(AND(AU143=1,ISNUMBER(AP143),G143&lt;=Config!$B$5),AP143,"")</f>
        <v/>
      </c>
      <c r="BS143" s="17">
        <f>IF(AU143=1,IF(COUNTIFS($A$2:$A$201,$A143,$AN$2:$AN$201,"Y",$AU$2:$AU$201,1)&gt;0,"Y","N"),"")</f>
        <v/>
      </c>
      <c r="BT143" s="17">
        <f>IF(AND(AU143=1,AN143="maybe"),1,0)</f>
        <v/>
      </c>
      <c r="BU143" s="17">
        <f>IF(BT143=1,IF(COUNTIFS($A$2:$A$201,$A143,$BT$2:$BT$201,1,$G$2:$G$201,"&lt;"&amp;G143)+COUNTIFS($A$2:$A$201,$A143,$BT$2:$BT$201,1,$G$2:$G$201,G143,$AT$2:$AT$201,"&lt;"&amp;AT143)=0,1,0),0)</f>
        <v/>
      </c>
      <c r="BV143" s="17">
        <f>IF(AND(AU143=1,AN143="Y"),IF(COUNTIFS($A$2:$A$201,$A143,$AN$2:$AN$201,"Y",$AU$2:$AU$201,1,$G$2:$G$201,"&lt;"&amp;G143)+COUNTIFS($A$2:$A$201,$A143,$AN$2:$AN$201,"Y",$AU$2:$AU$201,1,$G$2:$G$201,G143,$AT$2:$AT$201,"&lt;"&amp;AT143)=0,1,0),0)</f>
        <v/>
      </c>
      <c r="BW143" s="17">
        <f>IF(AND(BA143=1,N(V143)&gt;=Config!$B$15),1,0)</f>
        <v/>
      </c>
      <c r="BX143" s="17">
        <f>IF(AU143=1,IFERROR(MATCH($A143,INDEX(Clay_Offices!$A$2:$FZ$601,0,Sync!$C$5),0),""),"")</f>
        <v/>
      </c>
      <c r="BY143" s="17">
        <f>IF(BX143="","",IFERROR(INDEX(Clay_Offices!$A$2:$FZ$601,BX143,Sync!$C$7)&amp;"",""))</f>
        <v/>
      </c>
      <c r="BZ143" s="17">
        <f>IF(BY143="","",IFERROR(INDEX(Lists!$J$2:$J$15,MATCH(BY143,Lists!$I$2:$I$15,0)),""))</f>
        <v/>
      </c>
      <c r="CA143" s="17">
        <f>IF(BX143="","",IFERROR(INDEX(Clay_Offices!$A$2:$FZ$601,BX143,Sync!$C$17)&amp;"",""))</f>
        <v/>
      </c>
      <c r="CB143" s="23">
        <f>IF(BX143="","",IFERROR(N(INDEX(Clay_Offices!$A$2:$FZ$601,BX143,Sync!$C$16)),0))</f>
        <v/>
      </c>
    </row>
    <row r="144">
      <c r="G144" s="22" t="n"/>
      <c r="AS144" s="17">
        <f>IF(TRIM($A144)="","",IF(AND(LEFT($A144,6)="SAMPLE",Config!$B$19&lt;&gt;"Y"),"",IF(NOT(ISNUMBER(G144)),"call_date is blank or not a date",IF(Sync!$C$5="","Clay paste is empty or has no row_id column: paste the Clay export on Clay_Offices",IF(BX144="","row_id not found in the Clay paste: add the Clay row or fix the row_id",IF(AND(ISNUMBER(BZ144),BZ144&gt;=1,BZ144&lt;=5),"Clay status is "&amp;BY144&amp;": set call_done or later",IF(AND(AW144=1,CA144&lt;&gt;BS144),"Clay yes_in_principle should be "&amp;BS144,IF(AND(AW144=1,CB144&lt;&gt;G144),"Clay call_date should be "&amp;TEXT(G144,"yyyy-mm-dd"),""))))))))</f>
        <v/>
      </c>
      <c r="AT144" s="17">
        <f>ROW()</f>
        <v/>
      </c>
      <c r="AU144" s="17">
        <f>IF(AND(TRIM($A144)&lt;&gt;"",ISNUMBER(G144)),IF(AND(LEFT($A144,6)="SAMPLE",Config!$B$19&lt;&gt;"Y"),0,1),0)</f>
        <v/>
      </c>
      <c r="AV144" s="17">
        <f>IF(AU144=1,IF(COUNTIFS($A$2:$A$201,$A144,$AU$2:$AU$201,1,$G$2:$G$201,"&lt;"&amp;G144)+COUNTIFS($A$2:$A$201,$A144,$AU$2:$AU$201,1,$G$2:$G$201,G144,$AT$2:$AT$201,"&lt;"&amp;AT144)=0,1,0),0)</f>
        <v/>
      </c>
      <c r="AW144" s="17">
        <f>IF(AU144=1,IF(COUNTIFS($A$2:$A$201,$A144,$AU$2:$AU$201,1,$G$2:$G$201,"&gt;"&amp;G144)+COUNTIFS($A$2:$A$201,$A144,$AU$2:$AU$201,1,$G$2:$G$201,G144,$AT$2:$AT$201,"&gt;"&amp;AT144)=0,1,0),0)</f>
        <v/>
      </c>
      <c r="AX144" s="17">
        <f>IF(AND(AU144=1,AN144="Y",Z144="Y",TRIM(AD144)&lt;&gt;""),1,0)</f>
        <v/>
      </c>
      <c r="AY144" s="17">
        <f>IF(AX144=1,IF(COUNTIFS($A$2:$A$201,$A144,$AX$2:$AX$201,1,$G$2:$G$201,"&lt;"&amp;G144)+COUNTIFS($A$2:$A$201,$A144,$AX$2:$AX$201,1,$G$2:$G$201,G144,$AT$2:$AT$201,"&lt;"&amp;AT144)=0,1,0),0)</f>
        <v/>
      </c>
      <c r="AZ144" s="17">
        <f>IF(AND(AU144=1,AN144="Y",AX144=0),1,0)</f>
        <v/>
      </c>
      <c r="BA144" s="17">
        <f>IF(AND(AU144=1,ISNUMBER(V144)),1,0)</f>
        <v/>
      </c>
      <c r="BB144" s="17">
        <f>IF(BA144=1,IF(COUNTIFS($A$2:$A$201,$A144,$BA$2:$BA$201,1,$G$2:$G$201,"&lt;"&amp;G144)+COUNTIFS($A$2:$A$201,$A144,$BA$2:$BA$201,1,$G$2:$G$201,G144,$AT$2:$AT$201,"&lt;"&amp;AT144)=0,1,0),0)</f>
        <v/>
      </c>
      <c r="BC144" s="17">
        <f>IF(AND(BB144=1,G144&lt;=Config!$B$6),V144,"")</f>
        <v/>
      </c>
      <c r="BD144" s="17">
        <f>IF(AND(BB144=1,G144&lt;=Config!$B$7),V144,"")</f>
        <v/>
      </c>
      <c r="BE144" s="17">
        <f>IF(AND(BB144=1,G144&lt;=Config!$B$8),V144,"")</f>
        <v/>
      </c>
      <c r="BF144" s="17">
        <f>IF(AND(BB144=1,G144&lt;=Config!$B$5),V144,"")</f>
        <v/>
      </c>
      <c r="BG144" s="17">
        <f>IF(BW144=1,IF(COUNTIFS($A$2:$A$201,$A144,$BW$2:$BW$201,1,$G$2:$G$201,"&lt;"&amp;G144)+COUNTIFS($A$2:$A$201,$A144,$BW$2:$BW$201,1,$G$2:$G$201,G144,$AT$2:$AT$201,"&lt;"&amp;AT144)=0,1,0),0)</f>
        <v/>
      </c>
      <c r="BH144" s="17">
        <f>IF(AND(AU144=1,ISNUMBER(K144)),1,0)</f>
        <v/>
      </c>
      <c r="BI144" s="17">
        <f>IF(BH144=1,IF(COUNTIFS($A$2:$A$201,$A144,$BH$2:$BH$201,1,$G$2:$G$201,"&lt;"&amp;G144)+COUNTIFS($A$2:$A$201,$A144,$BH$2:$BH$201,1,$G$2:$G$201,G144,$AT$2:$AT$201,"&lt;"&amp;AT144)=0,1,0),0)</f>
        <v/>
      </c>
      <c r="BJ144" s="17">
        <f>IF(AND(BI144=1,G144&lt;=Config!$B$5),K144,"")</f>
        <v/>
      </c>
      <c r="BK144" s="17">
        <f>IF(AND(AU144=1,OR(TRIM(U144)&lt;&gt;"",ISNUMBER(V144))),1,0)</f>
        <v/>
      </c>
      <c r="BL144" s="17">
        <f>IF(BK144=1,IF(COUNTIFS($A$2:$A$201,$A144,$BK$2:$BK$201,1,$G$2:$G$201,"&lt;"&amp;G144)+COUNTIFS($A$2:$A$201,$A144,$BK$2:$BK$201,1,$G$2:$G$201,G144,$AT$2:$AT$201,"&lt;"&amp;AT144)=0,1,0),0)</f>
        <v/>
      </c>
      <c r="BM144" s="17">
        <f>IF(BL144=1,$A144,"")</f>
        <v/>
      </c>
      <c r="BN144" s="17">
        <f>IF(AND(AU144=1,T144="Y",TRIM(U144)=""),1,0)</f>
        <v/>
      </c>
      <c r="BO144" s="17">
        <f>IF(AU144=1,AJ144&amp;"","")</f>
        <v/>
      </c>
      <c r="BP144" s="17">
        <f>IF(AU144=1,AK144&amp;"","")</f>
        <v/>
      </c>
      <c r="BQ144" s="17">
        <f>IF(AU144=1,AL144&amp;"","")</f>
        <v/>
      </c>
      <c r="BR144" s="17">
        <f>IF(AND(AU144=1,ISNUMBER(AP144),G144&lt;=Config!$B$5),AP144,"")</f>
        <v/>
      </c>
      <c r="BS144" s="17">
        <f>IF(AU144=1,IF(COUNTIFS($A$2:$A$201,$A144,$AN$2:$AN$201,"Y",$AU$2:$AU$201,1)&gt;0,"Y","N"),"")</f>
        <v/>
      </c>
      <c r="BT144" s="17">
        <f>IF(AND(AU144=1,AN144="maybe"),1,0)</f>
        <v/>
      </c>
      <c r="BU144" s="17">
        <f>IF(BT144=1,IF(COUNTIFS($A$2:$A$201,$A144,$BT$2:$BT$201,1,$G$2:$G$201,"&lt;"&amp;G144)+COUNTIFS($A$2:$A$201,$A144,$BT$2:$BT$201,1,$G$2:$G$201,G144,$AT$2:$AT$201,"&lt;"&amp;AT144)=0,1,0),0)</f>
        <v/>
      </c>
      <c r="BV144" s="17">
        <f>IF(AND(AU144=1,AN144="Y"),IF(COUNTIFS($A$2:$A$201,$A144,$AN$2:$AN$201,"Y",$AU$2:$AU$201,1,$G$2:$G$201,"&lt;"&amp;G144)+COUNTIFS($A$2:$A$201,$A144,$AN$2:$AN$201,"Y",$AU$2:$AU$201,1,$G$2:$G$201,G144,$AT$2:$AT$201,"&lt;"&amp;AT144)=0,1,0),0)</f>
        <v/>
      </c>
      <c r="BW144" s="17">
        <f>IF(AND(BA144=1,N(V144)&gt;=Config!$B$15),1,0)</f>
        <v/>
      </c>
      <c r="BX144" s="17">
        <f>IF(AU144=1,IFERROR(MATCH($A144,INDEX(Clay_Offices!$A$2:$FZ$601,0,Sync!$C$5),0),""),"")</f>
        <v/>
      </c>
      <c r="BY144" s="17">
        <f>IF(BX144="","",IFERROR(INDEX(Clay_Offices!$A$2:$FZ$601,BX144,Sync!$C$7)&amp;"",""))</f>
        <v/>
      </c>
      <c r="BZ144" s="17">
        <f>IF(BY144="","",IFERROR(INDEX(Lists!$J$2:$J$15,MATCH(BY144,Lists!$I$2:$I$15,0)),""))</f>
        <v/>
      </c>
      <c r="CA144" s="17">
        <f>IF(BX144="","",IFERROR(INDEX(Clay_Offices!$A$2:$FZ$601,BX144,Sync!$C$17)&amp;"",""))</f>
        <v/>
      </c>
      <c r="CB144" s="23">
        <f>IF(BX144="","",IFERROR(N(INDEX(Clay_Offices!$A$2:$FZ$601,BX144,Sync!$C$16)),0))</f>
        <v/>
      </c>
    </row>
    <row r="145">
      <c r="G145" s="22" t="n"/>
      <c r="AS145" s="17">
        <f>IF(TRIM($A145)="","",IF(AND(LEFT($A145,6)="SAMPLE",Config!$B$19&lt;&gt;"Y"),"",IF(NOT(ISNUMBER(G145)),"call_date is blank or not a date",IF(Sync!$C$5="","Clay paste is empty or has no row_id column: paste the Clay export on Clay_Offices",IF(BX145="","row_id not found in the Clay paste: add the Clay row or fix the row_id",IF(AND(ISNUMBER(BZ145),BZ145&gt;=1,BZ145&lt;=5),"Clay status is "&amp;BY145&amp;": set call_done or later",IF(AND(AW145=1,CA145&lt;&gt;BS145),"Clay yes_in_principle should be "&amp;BS145,IF(AND(AW145=1,CB145&lt;&gt;G145),"Clay call_date should be "&amp;TEXT(G145,"yyyy-mm-dd"),""))))))))</f>
        <v/>
      </c>
      <c r="AT145" s="17">
        <f>ROW()</f>
        <v/>
      </c>
      <c r="AU145" s="17">
        <f>IF(AND(TRIM($A145)&lt;&gt;"",ISNUMBER(G145)),IF(AND(LEFT($A145,6)="SAMPLE",Config!$B$19&lt;&gt;"Y"),0,1),0)</f>
        <v/>
      </c>
      <c r="AV145" s="17">
        <f>IF(AU145=1,IF(COUNTIFS($A$2:$A$201,$A145,$AU$2:$AU$201,1,$G$2:$G$201,"&lt;"&amp;G145)+COUNTIFS($A$2:$A$201,$A145,$AU$2:$AU$201,1,$G$2:$G$201,G145,$AT$2:$AT$201,"&lt;"&amp;AT145)=0,1,0),0)</f>
        <v/>
      </c>
      <c r="AW145" s="17">
        <f>IF(AU145=1,IF(COUNTIFS($A$2:$A$201,$A145,$AU$2:$AU$201,1,$G$2:$G$201,"&gt;"&amp;G145)+COUNTIFS($A$2:$A$201,$A145,$AU$2:$AU$201,1,$G$2:$G$201,G145,$AT$2:$AT$201,"&gt;"&amp;AT145)=0,1,0),0)</f>
        <v/>
      </c>
      <c r="AX145" s="17">
        <f>IF(AND(AU145=1,AN145="Y",Z145="Y",TRIM(AD145)&lt;&gt;""),1,0)</f>
        <v/>
      </c>
      <c r="AY145" s="17">
        <f>IF(AX145=1,IF(COUNTIFS($A$2:$A$201,$A145,$AX$2:$AX$201,1,$G$2:$G$201,"&lt;"&amp;G145)+COUNTIFS($A$2:$A$201,$A145,$AX$2:$AX$201,1,$G$2:$G$201,G145,$AT$2:$AT$201,"&lt;"&amp;AT145)=0,1,0),0)</f>
        <v/>
      </c>
      <c r="AZ145" s="17">
        <f>IF(AND(AU145=1,AN145="Y",AX145=0),1,0)</f>
        <v/>
      </c>
      <c r="BA145" s="17">
        <f>IF(AND(AU145=1,ISNUMBER(V145)),1,0)</f>
        <v/>
      </c>
      <c r="BB145" s="17">
        <f>IF(BA145=1,IF(COUNTIFS($A$2:$A$201,$A145,$BA$2:$BA$201,1,$G$2:$G$201,"&lt;"&amp;G145)+COUNTIFS($A$2:$A$201,$A145,$BA$2:$BA$201,1,$G$2:$G$201,G145,$AT$2:$AT$201,"&lt;"&amp;AT145)=0,1,0),0)</f>
        <v/>
      </c>
      <c r="BC145" s="17">
        <f>IF(AND(BB145=1,G145&lt;=Config!$B$6),V145,"")</f>
        <v/>
      </c>
      <c r="BD145" s="17">
        <f>IF(AND(BB145=1,G145&lt;=Config!$B$7),V145,"")</f>
        <v/>
      </c>
      <c r="BE145" s="17">
        <f>IF(AND(BB145=1,G145&lt;=Config!$B$8),V145,"")</f>
        <v/>
      </c>
      <c r="BF145" s="17">
        <f>IF(AND(BB145=1,G145&lt;=Config!$B$5),V145,"")</f>
        <v/>
      </c>
      <c r="BG145" s="17">
        <f>IF(BW145=1,IF(COUNTIFS($A$2:$A$201,$A145,$BW$2:$BW$201,1,$G$2:$G$201,"&lt;"&amp;G145)+COUNTIFS($A$2:$A$201,$A145,$BW$2:$BW$201,1,$G$2:$G$201,G145,$AT$2:$AT$201,"&lt;"&amp;AT145)=0,1,0),0)</f>
        <v/>
      </c>
      <c r="BH145" s="17">
        <f>IF(AND(AU145=1,ISNUMBER(K145)),1,0)</f>
        <v/>
      </c>
      <c r="BI145" s="17">
        <f>IF(BH145=1,IF(COUNTIFS($A$2:$A$201,$A145,$BH$2:$BH$201,1,$G$2:$G$201,"&lt;"&amp;G145)+COUNTIFS($A$2:$A$201,$A145,$BH$2:$BH$201,1,$G$2:$G$201,G145,$AT$2:$AT$201,"&lt;"&amp;AT145)=0,1,0),0)</f>
        <v/>
      </c>
      <c r="BJ145" s="17">
        <f>IF(AND(BI145=1,G145&lt;=Config!$B$5),K145,"")</f>
        <v/>
      </c>
      <c r="BK145" s="17">
        <f>IF(AND(AU145=1,OR(TRIM(U145)&lt;&gt;"",ISNUMBER(V145))),1,0)</f>
        <v/>
      </c>
      <c r="BL145" s="17">
        <f>IF(BK145=1,IF(COUNTIFS($A$2:$A$201,$A145,$BK$2:$BK$201,1,$G$2:$G$201,"&lt;"&amp;G145)+COUNTIFS($A$2:$A$201,$A145,$BK$2:$BK$201,1,$G$2:$G$201,G145,$AT$2:$AT$201,"&lt;"&amp;AT145)=0,1,0),0)</f>
        <v/>
      </c>
      <c r="BM145" s="17">
        <f>IF(BL145=1,$A145,"")</f>
        <v/>
      </c>
      <c r="BN145" s="17">
        <f>IF(AND(AU145=1,T145="Y",TRIM(U145)=""),1,0)</f>
        <v/>
      </c>
      <c r="BO145" s="17">
        <f>IF(AU145=1,AJ145&amp;"","")</f>
        <v/>
      </c>
      <c r="BP145" s="17">
        <f>IF(AU145=1,AK145&amp;"","")</f>
        <v/>
      </c>
      <c r="BQ145" s="17">
        <f>IF(AU145=1,AL145&amp;"","")</f>
        <v/>
      </c>
      <c r="BR145" s="17">
        <f>IF(AND(AU145=1,ISNUMBER(AP145),G145&lt;=Config!$B$5),AP145,"")</f>
        <v/>
      </c>
      <c r="BS145" s="17">
        <f>IF(AU145=1,IF(COUNTIFS($A$2:$A$201,$A145,$AN$2:$AN$201,"Y",$AU$2:$AU$201,1)&gt;0,"Y","N"),"")</f>
        <v/>
      </c>
      <c r="BT145" s="17">
        <f>IF(AND(AU145=1,AN145="maybe"),1,0)</f>
        <v/>
      </c>
      <c r="BU145" s="17">
        <f>IF(BT145=1,IF(COUNTIFS($A$2:$A$201,$A145,$BT$2:$BT$201,1,$G$2:$G$201,"&lt;"&amp;G145)+COUNTIFS($A$2:$A$201,$A145,$BT$2:$BT$201,1,$G$2:$G$201,G145,$AT$2:$AT$201,"&lt;"&amp;AT145)=0,1,0),0)</f>
        <v/>
      </c>
      <c r="BV145" s="17">
        <f>IF(AND(AU145=1,AN145="Y"),IF(COUNTIFS($A$2:$A$201,$A145,$AN$2:$AN$201,"Y",$AU$2:$AU$201,1,$G$2:$G$201,"&lt;"&amp;G145)+COUNTIFS($A$2:$A$201,$A145,$AN$2:$AN$201,"Y",$AU$2:$AU$201,1,$G$2:$G$201,G145,$AT$2:$AT$201,"&lt;"&amp;AT145)=0,1,0),0)</f>
        <v/>
      </c>
      <c r="BW145" s="17">
        <f>IF(AND(BA145=1,N(V145)&gt;=Config!$B$15),1,0)</f>
        <v/>
      </c>
      <c r="BX145" s="17">
        <f>IF(AU145=1,IFERROR(MATCH($A145,INDEX(Clay_Offices!$A$2:$FZ$601,0,Sync!$C$5),0),""),"")</f>
        <v/>
      </c>
      <c r="BY145" s="17">
        <f>IF(BX145="","",IFERROR(INDEX(Clay_Offices!$A$2:$FZ$601,BX145,Sync!$C$7)&amp;"",""))</f>
        <v/>
      </c>
      <c r="BZ145" s="17">
        <f>IF(BY145="","",IFERROR(INDEX(Lists!$J$2:$J$15,MATCH(BY145,Lists!$I$2:$I$15,0)),""))</f>
        <v/>
      </c>
      <c r="CA145" s="17">
        <f>IF(BX145="","",IFERROR(INDEX(Clay_Offices!$A$2:$FZ$601,BX145,Sync!$C$17)&amp;"",""))</f>
        <v/>
      </c>
      <c r="CB145" s="23">
        <f>IF(BX145="","",IFERROR(N(INDEX(Clay_Offices!$A$2:$FZ$601,BX145,Sync!$C$16)),0))</f>
        <v/>
      </c>
    </row>
    <row r="146">
      <c r="G146" s="22" t="n"/>
      <c r="AS146" s="17">
        <f>IF(TRIM($A146)="","",IF(AND(LEFT($A146,6)="SAMPLE",Config!$B$19&lt;&gt;"Y"),"",IF(NOT(ISNUMBER(G146)),"call_date is blank or not a date",IF(Sync!$C$5="","Clay paste is empty or has no row_id column: paste the Clay export on Clay_Offices",IF(BX146="","row_id not found in the Clay paste: add the Clay row or fix the row_id",IF(AND(ISNUMBER(BZ146),BZ146&gt;=1,BZ146&lt;=5),"Clay status is "&amp;BY146&amp;": set call_done or later",IF(AND(AW146=1,CA146&lt;&gt;BS146),"Clay yes_in_principle should be "&amp;BS146,IF(AND(AW146=1,CB146&lt;&gt;G146),"Clay call_date should be "&amp;TEXT(G146,"yyyy-mm-dd"),""))))))))</f>
        <v/>
      </c>
      <c r="AT146" s="17">
        <f>ROW()</f>
        <v/>
      </c>
      <c r="AU146" s="17">
        <f>IF(AND(TRIM($A146)&lt;&gt;"",ISNUMBER(G146)),IF(AND(LEFT($A146,6)="SAMPLE",Config!$B$19&lt;&gt;"Y"),0,1),0)</f>
        <v/>
      </c>
      <c r="AV146" s="17">
        <f>IF(AU146=1,IF(COUNTIFS($A$2:$A$201,$A146,$AU$2:$AU$201,1,$G$2:$G$201,"&lt;"&amp;G146)+COUNTIFS($A$2:$A$201,$A146,$AU$2:$AU$201,1,$G$2:$G$201,G146,$AT$2:$AT$201,"&lt;"&amp;AT146)=0,1,0),0)</f>
        <v/>
      </c>
      <c r="AW146" s="17">
        <f>IF(AU146=1,IF(COUNTIFS($A$2:$A$201,$A146,$AU$2:$AU$201,1,$G$2:$G$201,"&gt;"&amp;G146)+COUNTIFS($A$2:$A$201,$A146,$AU$2:$AU$201,1,$G$2:$G$201,G146,$AT$2:$AT$201,"&gt;"&amp;AT146)=0,1,0),0)</f>
        <v/>
      </c>
      <c r="AX146" s="17">
        <f>IF(AND(AU146=1,AN146="Y",Z146="Y",TRIM(AD146)&lt;&gt;""),1,0)</f>
        <v/>
      </c>
      <c r="AY146" s="17">
        <f>IF(AX146=1,IF(COUNTIFS($A$2:$A$201,$A146,$AX$2:$AX$201,1,$G$2:$G$201,"&lt;"&amp;G146)+COUNTIFS($A$2:$A$201,$A146,$AX$2:$AX$201,1,$G$2:$G$201,G146,$AT$2:$AT$201,"&lt;"&amp;AT146)=0,1,0),0)</f>
        <v/>
      </c>
      <c r="AZ146" s="17">
        <f>IF(AND(AU146=1,AN146="Y",AX146=0),1,0)</f>
        <v/>
      </c>
      <c r="BA146" s="17">
        <f>IF(AND(AU146=1,ISNUMBER(V146)),1,0)</f>
        <v/>
      </c>
      <c r="BB146" s="17">
        <f>IF(BA146=1,IF(COUNTIFS($A$2:$A$201,$A146,$BA$2:$BA$201,1,$G$2:$G$201,"&lt;"&amp;G146)+COUNTIFS($A$2:$A$201,$A146,$BA$2:$BA$201,1,$G$2:$G$201,G146,$AT$2:$AT$201,"&lt;"&amp;AT146)=0,1,0),0)</f>
        <v/>
      </c>
      <c r="BC146" s="17">
        <f>IF(AND(BB146=1,G146&lt;=Config!$B$6),V146,"")</f>
        <v/>
      </c>
      <c r="BD146" s="17">
        <f>IF(AND(BB146=1,G146&lt;=Config!$B$7),V146,"")</f>
        <v/>
      </c>
      <c r="BE146" s="17">
        <f>IF(AND(BB146=1,G146&lt;=Config!$B$8),V146,"")</f>
        <v/>
      </c>
      <c r="BF146" s="17">
        <f>IF(AND(BB146=1,G146&lt;=Config!$B$5),V146,"")</f>
        <v/>
      </c>
      <c r="BG146" s="17">
        <f>IF(BW146=1,IF(COUNTIFS($A$2:$A$201,$A146,$BW$2:$BW$201,1,$G$2:$G$201,"&lt;"&amp;G146)+COUNTIFS($A$2:$A$201,$A146,$BW$2:$BW$201,1,$G$2:$G$201,G146,$AT$2:$AT$201,"&lt;"&amp;AT146)=0,1,0),0)</f>
        <v/>
      </c>
      <c r="BH146" s="17">
        <f>IF(AND(AU146=1,ISNUMBER(K146)),1,0)</f>
        <v/>
      </c>
      <c r="BI146" s="17">
        <f>IF(BH146=1,IF(COUNTIFS($A$2:$A$201,$A146,$BH$2:$BH$201,1,$G$2:$G$201,"&lt;"&amp;G146)+COUNTIFS($A$2:$A$201,$A146,$BH$2:$BH$201,1,$G$2:$G$201,G146,$AT$2:$AT$201,"&lt;"&amp;AT146)=0,1,0),0)</f>
        <v/>
      </c>
      <c r="BJ146" s="17">
        <f>IF(AND(BI146=1,G146&lt;=Config!$B$5),K146,"")</f>
        <v/>
      </c>
      <c r="BK146" s="17">
        <f>IF(AND(AU146=1,OR(TRIM(U146)&lt;&gt;"",ISNUMBER(V146))),1,0)</f>
        <v/>
      </c>
      <c r="BL146" s="17">
        <f>IF(BK146=1,IF(COUNTIFS($A$2:$A$201,$A146,$BK$2:$BK$201,1,$G$2:$G$201,"&lt;"&amp;G146)+COUNTIFS($A$2:$A$201,$A146,$BK$2:$BK$201,1,$G$2:$G$201,G146,$AT$2:$AT$201,"&lt;"&amp;AT146)=0,1,0),0)</f>
        <v/>
      </c>
      <c r="BM146" s="17">
        <f>IF(BL146=1,$A146,"")</f>
        <v/>
      </c>
      <c r="BN146" s="17">
        <f>IF(AND(AU146=1,T146="Y",TRIM(U146)=""),1,0)</f>
        <v/>
      </c>
      <c r="BO146" s="17">
        <f>IF(AU146=1,AJ146&amp;"","")</f>
        <v/>
      </c>
      <c r="BP146" s="17">
        <f>IF(AU146=1,AK146&amp;"","")</f>
        <v/>
      </c>
      <c r="BQ146" s="17">
        <f>IF(AU146=1,AL146&amp;"","")</f>
        <v/>
      </c>
      <c r="BR146" s="17">
        <f>IF(AND(AU146=1,ISNUMBER(AP146),G146&lt;=Config!$B$5),AP146,"")</f>
        <v/>
      </c>
      <c r="BS146" s="17">
        <f>IF(AU146=1,IF(COUNTIFS($A$2:$A$201,$A146,$AN$2:$AN$201,"Y",$AU$2:$AU$201,1)&gt;0,"Y","N"),"")</f>
        <v/>
      </c>
      <c r="BT146" s="17">
        <f>IF(AND(AU146=1,AN146="maybe"),1,0)</f>
        <v/>
      </c>
      <c r="BU146" s="17">
        <f>IF(BT146=1,IF(COUNTIFS($A$2:$A$201,$A146,$BT$2:$BT$201,1,$G$2:$G$201,"&lt;"&amp;G146)+COUNTIFS($A$2:$A$201,$A146,$BT$2:$BT$201,1,$G$2:$G$201,G146,$AT$2:$AT$201,"&lt;"&amp;AT146)=0,1,0),0)</f>
        <v/>
      </c>
      <c r="BV146" s="17">
        <f>IF(AND(AU146=1,AN146="Y"),IF(COUNTIFS($A$2:$A$201,$A146,$AN$2:$AN$201,"Y",$AU$2:$AU$201,1,$G$2:$G$201,"&lt;"&amp;G146)+COUNTIFS($A$2:$A$201,$A146,$AN$2:$AN$201,"Y",$AU$2:$AU$201,1,$G$2:$G$201,G146,$AT$2:$AT$201,"&lt;"&amp;AT146)=0,1,0),0)</f>
        <v/>
      </c>
      <c r="BW146" s="17">
        <f>IF(AND(BA146=1,N(V146)&gt;=Config!$B$15),1,0)</f>
        <v/>
      </c>
      <c r="BX146" s="17">
        <f>IF(AU146=1,IFERROR(MATCH($A146,INDEX(Clay_Offices!$A$2:$FZ$601,0,Sync!$C$5),0),""),"")</f>
        <v/>
      </c>
      <c r="BY146" s="17">
        <f>IF(BX146="","",IFERROR(INDEX(Clay_Offices!$A$2:$FZ$601,BX146,Sync!$C$7)&amp;"",""))</f>
        <v/>
      </c>
      <c r="BZ146" s="17">
        <f>IF(BY146="","",IFERROR(INDEX(Lists!$J$2:$J$15,MATCH(BY146,Lists!$I$2:$I$15,0)),""))</f>
        <v/>
      </c>
      <c r="CA146" s="17">
        <f>IF(BX146="","",IFERROR(INDEX(Clay_Offices!$A$2:$FZ$601,BX146,Sync!$C$17)&amp;"",""))</f>
        <v/>
      </c>
      <c r="CB146" s="23">
        <f>IF(BX146="","",IFERROR(N(INDEX(Clay_Offices!$A$2:$FZ$601,BX146,Sync!$C$16)),0))</f>
        <v/>
      </c>
    </row>
    <row r="147">
      <c r="G147" s="22" t="n"/>
      <c r="AS147" s="17">
        <f>IF(TRIM($A147)="","",IF(AND(LEFT($A147,6)="SAMPLE",Config!$B$19&lt;&gt;"Y"),"",IF(NOT(ISNUMBER(G147)),"call_date is blank or not a date",IF(Sync!$C$5="","Clay paste is empty or has no row_id column: paste the Clay export on Clay_Offices",IF(BX147="","row_id not found in the Clay paste: add the Clay row or fix the row_id",IF(AND(ISNUMBER(BZ147),BZ147&gt;=1,BZ147&lt;=5),"Clay status is "&amp;BY147&amp;": set call_done or later",IF(AND(AW147=1,CA147&lt;&gt;BS147),"Clay yes_in_principle should be "&amp;BS147,IF(AND(AW147=1,CB147&lt;&gt;G147),"Clay call_date should be "&amp;TEXT(G147,"yyyy-mm-dd"),""))))))))</f>
        <v/>
      </c>
      <c r="AT147" s="17">
        <f>ROW()</f>
        <v/>
      </c>
      <c r="AU147" s="17">
        <f>IF(AND(TRIM($A147)&lt;&gt;"",ISNUMBER(G147)),IF(AND(LEFT($A147,6)="SAMPLE",Config!$B$19&lt;&gt;"Y"),0,1),0)</f>
        <v/>
      </c>
      <c r="AV147" s="17">
        <f>IF(AU147=1,IF(COUNTIFS($A$2:$A$201,$A147,$AU$2:$AU$201,1,$G$2:$G$201,"&lt;"&amp;G147)+COUNTIFS($A$2:$A$201,$A147,$AU$2:$AU$201,1,$G$2:$G$201,G147,$AT$2:$AT$201,"&lt;"&amp;AT147)=0,1,0),0)</f>
        <v/>
      </c>
      <c r="AW147" s="17">
        <f>IF(AU147=1,IF(COUNTIFS($A$2:$A$201,$A147,$AU$2:$AU$201,1,$G$2:$G$201,"&gt;"&amp;G147)+COUNTIFS($A$2:$A$201,$A147,$AU$2:$AU$201,1,$G$2:$G$201,G147,$AT$2:$AT$201,"&gt;"&amp;AT147)=0,1,0),0)</f>
        <v/>
      </c>
      <c r="AX147" s="17">
        <f>IF(AND(AU147=1,AN147="Y",Z147="Y",TRIM(AD147)&lt;&gt;""),1,0)</f>
        <v/>
      </c>
      <c r="AY147" s="17">
        <f>IF(AX147=1,IF(COUNTIFS($A$2:$A$201,$A147,$AX$2:$AX$201,1,$G$2:$G$201,"&lt;"&amp;G147)+COUNTIFS($A$2:$A$201,$A147,$AX$2:$AX$201,1,$G$2:$G$201,G147,$AT$2:$AT$201,"&lt;"&amp;AT147)=0,1,0),0)</f>
        <v/>
      </c>
      <c r="AZ147" s="17">
        <f>IF(AND(AU147=1,AN147="Y",AX147=0),1,0)</f>
        <v/>
      </c>
      <c r="BA147" s="17">
        <f>IF(AND(AU147=1,ISNUMBER(V147)),1,0)</f>
        <v/>
      </c>
      <c r="BB147" s="17">
        <f>IF(BA147=1,IF(COUNTIFS($A$2:$A$201,$A147,$BA$2:$BA$201,1,$G$2:$G$201,"&lt;"&amp;G147)+COUNTIFS($A$2:$A$201,$A147,$BA$2:$BA$201,1,$G$2:$G$201,G147,$AT$2:$AT$201,"&lt;"&amp;AT147)=0,1,0),0)</f>
        <v/>
      </c>
      <c r="BC147" s="17">
        <f>IF(AND(BB147=1,G147&lt;=Config!$B$6),V147,"")</f>
        <v/>
      </c>
      <c r="BD147" s="17">
        <f>IF(AND(BB147=1,G147&lt;=Config!$B$7),V147,"")</f>
        <v/>
      </c>
      <c r="BE147" s="17">
        <f>IF(AND(BB147=1,G147&lt;=Config!$B$8),V147,"")</f>
        <v/>
      </c>
      <c r="BF147" s="17">
        <f>IF(AND(BB147=1,G147&lt;=Config!$B$5),V147,"")</f>
        <v/>
      </c>
      <c r="BG147" s="17">
        <f>IF(BW147=1,IF(COUNTIFS($A$2:$A$201,$A147,$BW$2:$BW$201,1,$G$2:$G$201,"&lt;"&amp;G147)+COUNTIFS($A$2:$A$201,$A147,$BW$2:$BW$201,1,$G$2:$G$201,G147,$AT$2:$AT$201,"&lt;"&amp;AT147)=0,1,0),0)</f>
        <v/>
      </c>
      <c r="BH147" s="17">
        <f>IF(AND(AU147=1,ISNUMBER(K147)),1,0)</f>
        <v/>
      </c>
      <c r="BI147" s="17">
        <f>IF(BH147=1,IF(COUNTIFS($A$2:$A$201,$A147,$BH$2:$BH$201,1,$G$2:$G$201,"&lt;"&amp;G147)+COUNTIFS($A$2:$A$201,$A147,$BH$2:$BH$201,1,$G$2:$G$201,G147,$AT$2:$AT$201,"&lt;"&amp;AT147)=0,1,0),0)</f>
        <v/>
      </c>
      <c r="BJ147" s="17">
        <f>IF(AND(BI147=1,G147&lt;=Config!$B$5),K147,"")</f>
        <v/>
      </c>
      <c r="BK147" s="17">
        <f>IF(AND(AU147=1,OR(TRIM(U147)&lt;&gt;"",ISNUMBER(V147))),1,0)</f>
        <v/>
      </c>
      <c r="BL147" s="17">
        <f>IF(BK147=1,IF(COUNTIFS($A$2:$A$201,$A147,$BK$2:$BK$201,1,$G$2:$G$201,"&lt;"&amp;G147)+COUNTIFS($A$2:$A$201,$A147,$BK$2:$BK$201,1,$G$2:$G$201,G147,$AT$2:$AT$201,"&lt;"&amp;AT147)=0,1,0),0)</f>
        <v/>
      </c>
      <c r="BM147" s="17">
        <f>IF(BL147=1,$A147,"")</f>
        <v/>
      </c>
      <c r="BN147" s="17">
        <f>IF(AND(AU147=1,T147="Y",TRIM(U147)=""),1,0)</f>
        <v/>
      </c>
      <c r="BO147" s="17">
        <f>IF(AU147=1,AJ147&amp;"","")</f>
        <v/>
      </c>
      <c r="BP147" s="17">
        <f>IF(AU147=1,AK147&amp;"","")</f>
        <v/>
      </c>
      <c r="BQ147" s="17">
        <f>IF(AU147=1,AL147&amp;"","")</f>
        <v/>
      </c>
      <c r="BR147" s="17">
        <f>IF(AND(AU147=1,ISNUMBER(AP147),G147&lt;=Config!$B$5),AP147,"")</f>
        <v/>
      </c>
      <c r="BS147" s="17">
        <f>IF(AU147=1,IF(COUNTIFS($A$2:$A$201,$A147,$AN$2:$AN$201,"Y",$AU$2:$AU$201,1)&gt;0,"Y","N"),"")</f>
        <v/>
      </c>
      <c r="BT147" s="17">
        <f>IF(AND(AU147=1,AN147="maybe"),1,0)</f>
        <v/>
      </c>
      <c r="BU147" s="17">
        <f>IF(BT147=1,IF(COUNTIFS($A$2:$A$201,$A147,$BT$2:$BT$201,1,$G$2:$G$201,"&lt;"&amp;G147)+COUNTIFS($A$2:$A$201,$A147,$BT$2:$BT$201,1,$G$2:$G$201,G147,$AT$2:$AT$201,"&lt;"&amp;AT147)=0,1,0),0)</f>
        <v/>
      </c>
      <c r="BV147" s="17">
        <f>IF(AND(AU147=1,AN147="Y"),IF(COUNTIFS($A$2:$A$201,$A147,$AN$2:$AN$201,"Y",$AU$2:$AU$201,1,$G$2:$G$201,"&lt;"&amp;G147)+COUNTIFS($A$2:$A$201,$A147,$AN$2:$AN$201,"Y",$AU$2:$AU$201,1,$G$2:$G$201,G147,$AT$2:$AT$201,"&lt;"&amp;AT147)=0,1,0),0)</f>
        <v/>
      </c>
      <c r="BW147" s="17">
        <f>IF(AND(BA147=1,N(V147)&gt;=Config!$B$15),1,0)</f>
        <v/>
      </c>
      <c r="BX147" s="17">
        <f>IF(AU147=1,IFERROR(MATCH($A147,INDEX(Clay_Offices!$A$2:$FZ$601,0,Sync!$C$5),0),""),"")</f>
        <v/>
      </c>
      <c r="BY147" s="17">
        <f>IF(BX147="","",IFERROR(INDEX(Clay_Offices!$A$2:$FZ$601,BX147,Sync!$C$7)&amp;"",""))</f>
        <v/>
      </c>
      <c r="BZ147" s="17">
        <f>IF(BY147="","",IFERROR(INDEX(Lists!$J$2:$J$15,MATCH(BY147,Lists!$I$2:$I$15,0)),""))</f>
        <v/>
      </c>
      <c r="CA147" s="17">
        <f>IF(BX147="","",IFERROR(INDEX(Clay_Offices!$A$2:$FZ$601,BX147,Sync!$C$17)&amp;"",""))</f>
        <v/>
      </c>
      <c r="CB147" s="23">
        <f>IF(BX147="","",IFERROR(N(INDEX(Clay_Offices!$A$2:$FZ$601,BX147,Sync!$C$16)),0))</f>
        <v/>
      </c>
    </row>
    <row r="148">
      <c r="G148" s="22" t="n"/>
      <c r="AS148" s="17">
        <f>IF(TRIM($A148)="","",IF(AND(LEFT($A148,6)="SAMPLE",Config!$B$19&lt;&gt;"Y"),"",IF(NOT(ISNUMBER(G148)),"call_date is blank or not a date",IF(Sync!$C$5="","Clay paste is empty or has no row_id column: paste the Clay export on Clay_Offices",IF(BX148="","row_id not found in the Clay paste: add the Clay row or fix the row_id",IF(AND(ISNUMBER(BZ148),BZ148&gt;=1,BZ148&lt;=5),"Clay status is "&amp;BY148&amp;": set call_done or later",IF(AND(AW148=1,CA148&lt;&gt;BS148),"Clay yes_in_principle should be "&amp;BS148,IF(AND(AW148=1,CB148&lt;&gt;G148),"Clay call_date should be "&amp;TEXT(G148,"yyyy-mm-dd"),""))))))))</f>
        <v/>
      </c>
      <c r="AT148" s="17">
        <f>ROW()</f>
        <v/>
      </c>
      <c r="AU148" s="17">
        <f>IF(AND(TRIM($A148)&lt;&gt;"",ISNUMBER(G148)),IF(AND(LEFT($A148,6)="SAMPLE",Config!$B$19&lt;&gt;"Y"),0,1),0)</f>
        <v/>
      </c>
      <c r="AV148" s="17">
        <f>IF(AU148=1,IF(COUNTIFS($A$2:$A$201,$A148,$AU$2:$AU$201,1,$G$2:$G$201,"&lt;"&amp;G148)+COUNTIFS($A$2:$A$201,$A148,$AU$2:$AU$201,1,$G$2:$G$201,G148,$AT$2:$AT$201,"&lt;"&amp;AT148)=0,1,0),0)</f>
        <v/>
      </c>
      <c r="AW148" s="17">
        <f>IF(AU148=1,IF(COUNTIFS($A$2:$A$201,$A148,$AU$2:$AU$201,1,$G$2:$G$201,"&gt;"&amp;G148)+COUNTIFS($A$2:$A$201,$A148,$AU$2:$AU$201,1,$G$2:$G$201,G148,$AT$2:$AT$201,"&gt;"&amp;AT148)=0,1,0),0)</f>
        <v/>
      </c>
      <c r="AX148" s="17">
        <f>IF(AND(AU148=1,AN148="Y",Z148="Y",TRIM(AD148)&lt;&gt;""),1,0)</f>
        <v/>
      </c>
      <c r="AY148" s="17">
        <f>IF(AX148=1,IF(COUNTIFS($A$2:$A$201,$A148,$AX$2:$AX$201,1,$G$2:$G$201,"&lt;"&amp;G148)+COUNTIFS($A$2:$A$201,$A148,$AX$2:$AX$201,1,$G$2:$G$201,G148,$AT$2:$AT$201,"&lt;"&amp;AT148)=0,1,0),0)</f>
        <v/>
      </c>
      <c r="AZ148" s="17">
        <f>IF(AND(AU148=1,AN148="Y",AX148=0),1,0)</f>
        <v/>
      </c>
      <c r="BA148" s="17">
        <f>IF(AND(AU148=1,ISNUMBER(V148)),1,0)</f>
        <v/>
      </c>
      <c r="BB148" s="17">
        <f>IF(BA148=1,IF(COUNTIFS($A$2:$A$201,$A148,$BA$2:$BA$201,1,$G$2:$G$201,"&lt;"&amp;G148)+COUNTIFS($A$2:$A$201,$A148,$BA$2:$BA$201,1,$G$2:$G$201,G148,$AT$2:$AT$201,"&lt;"&amp;AT148)=0,1,0),0)</f>
        <v/>
      </c>
      <c r="BC148" s="17">
        <f>IF(AND(BB148=1,G148&lt;=Config!$B$6),V148,"")</f>
        <v/>
      </c>
      <c r="BD148" s="17">
        <f>IF(AND(BB148=1,G148&lt;=Config!$B$7),V148,"")</f>
        <v/>
      </c>
      <c r="BE148" s="17">
        <f>IF(AND(BB148=1,G148&lt;=Config!$B$8),V148,"")</f>
        <v/>
      </c>
      <c r="BF148" s="17">
        <f>IF(AND(BB148=1,G148&lt;=Config!$B$5),V148,"")</f>
        <v/>
      </c>
      <c r="BG148" s="17">
        <f>IF(BW148=1,IF(COUNTIFS($A$2:$A$201,$A148,$BW$2:$BW$201,1,$G$2:$G$201,"&lt;"&amp;G148)+COUNTIFS($A$2:$A$201,$A148,$BW$2:$BW$201,1,$G$2:$G$201,G148,$AT$2:$AT$201,"&lt;"&amp;AT148)=0,1,0),0)</f>
        <v/>
      </c>
      <c r="BH148" s="17">
        <f>IF(AND(AU148=1,ISNUMBER(K148)),1,0)</f>
        <v/>
      </c>
      <c r="BI148" s="17">
        <f>IF(BH148=1,IF(COUNTIFS($A$2:$A$201,$A148,$BH$2:$BH$201,1,$G$2:$G$201,"&lt;"&amp;G148)+COUNTIFS($A$2:$A$201,$A148,$BH$2:$BH$201,1,$G$2:$G$201,G148,$AT$2:$AT$201,"&lt;"&amp;AT148)=0,1,0),0)</f>
        <v/>
      </c>
      <c r="BJ148" s="17">
        <f>IF(AND(BI148=1,G148&lt;=Config!$B$5),K148,"")</f>
        <v/>
      </c>
      <c r="BK148" s="17">
        <f>IF(AND(AU148=1,OR(TRIM(U148)&lt;&gt;"",ISNUMBER(V148))),1,0)</f>
        <v/>
      </c>
      <c r="BL148" s="17">
        <f>IF(BK148=1,IF(COUNTIFS($A$2:$A$201,$A148,$BK$2:$BK$201,1,$G$2:$G$201,"&lt;"&amp;G148)+COUNTIFS($A$2:$A$201,$A148,$BK$2:$BK$201,1,$G$2:$G$201,G148,$AT$2:$AT$201,"&lt;"&amp;AT148)=0,1,0),0)</f>
        <v/>
      </c>
      <c r="BM148" s="17">
        <f>IF(BL148=1,$A148,"")</f>
        <v/>
      </c>
      <c r="BN148" s="17">
        <f>IF(AND(AU148=1,T148="Y",TRIM(U148)=""),1,0)</f>
        <v/>
      </c>
      <c r="BO148" s="17">
        <f>IF(AU148=1,AJ148&amp;"","")</f>
        <v/>
      </c>
      <c r="BP148" s="17">
        <f>IF(AU148=1,AK148&amp;"","")</f>
        <v/>
      </c>
      <c r="BQ148" s="17">
        <f>IF(AU148=1,AL148&amp;"","")</f>
        <v/>
      </c>
      <c r="BR148" s="17">
        <f>IF(AND(AU148=1,ISNUMBER(AP148),G148&lt;=Config!$B$5),AP148,"")</f>
        <v/>
      </c>
      <c r="BS148" s="17">
        <f>IF(AU148=1,IF(COUNTIFS($A$2:$A$201,$A148,$AN$2:$AN$201,"Y",$AU$2:$AU$201,1)&gt;0,"Y","N"),"")</f>
        <v/>
      </c>
      <c r="BT148" s="17">
        <f>IF(AND(AU148=1,AN148="maybe"),1,0)</f>
        <v/>
      </c>
      <c r="BU148" s="17">
        <f>IF(BT148=1,IF(COUNTIFS($A$2:$A$201,$A148,$BT$2:$BT$201,1,$G$2:$G$201,"&lt;"&amp;G148)+COUNTIFS($A$2:$A$201,$A148,$BT$2:$BT$201,1,$G$2:$G$201,G148,$AT$2:$AT$201,"&lt;"&amp;AT148)=0,1,0),0)</f>
        <v/>
      </c>
      <c r="BV148" s="17">
        <f>IF(AND(AU148=1,AN148="Y"),IF(COUNTIFS($A$2:$A$201,$A148,$AN$2:$AN$201,"Y",$AU$2:$AU$201,1,$G$2:$G$201,"&lt;"&amp;G148)+COUNTIFS($A$2:$A$201,$A148,$AN$2:$AN$201,"Y",$AU$2:$AU$201,1,$G$2:$G$201,G148,$AT$2:$AT$201,"&lt;"&amp;AT148)=0,1,0),0)</f>
        <v/>
      </c>
      <c r="BW148" s="17">
        <f>IF(AND(BA148=1,N(V148)&gt;=Config!$B$15),1,0)</f>
        <v/>
      </c>
      <c r="BX148" s="17">
        <f>IF(AU148=1,IFERROR(MATCH($A148,INDEX(Clay_Offices!$A$2:$FZ$601,0,Sync!$C$5),0),""),"")</f>
        <v/>
      </c>
      <c r="BY148" s="17">
        <f>IF(BX148="","",IFERROR(INDEX(Clay_Offices!$A$2:$FZ$601,BX148,Sync!$C$7)&amp;"",""))</f>
        <v/>
      </c>
      <c r="BZ148" s="17">
        <f>IF(BY148="","",IFERROR(INDEX(Lists!$J$2:$J$15,MATCH(BY148,Lists!$I$2:$I$15,0)),""))</f>
        <v/>
      </c>
      <c r="CA148" s="17">
        <f>IF(BX148="","",IFERROR(INDEX(Clay_Offices!$A$2:$FZ$601,BX148,Sync!$C$17)&amp;"",""))</f>
        <v/>
      </c>
      <c r="CB148" s="23">
        <f>IF(BX148="","",IFERROR(N(INDEX(Clay_Offices!$A$2:$FZ$601,BX148,Sync!$C$16)),0))</f>
        <v/>
      </c>
    </row>
    <row r="149">
      <c r="G149" s="22" t="n"/>
      <c r="AS149" s="17">
        <f>IF(TRIM($A149)="","",IF(AND(LEFT($A149,6)="SAMPLE",Config!$B$19&lt;&gt;"Y"),"",IF(NOT(ISNUMBER(G149)),"call_date is blank or not a date",IF(Sync!$C$5="","Clay paste is empty or has no row_id column: paste the Clay export on Clay_Offices",IF(BX149="","row_id not found in the Clay paste: add the Clay row or fix the row_id",IF(AND(ISNUMBER(BZ149),BZ149&gt;=1,BZ149&lt;=5),"Clay status is "&amp;BY149&amp;": set call_done or later",IF(AND(AW149=1,CA149&lt;&gt;BS149),"Clay yes_in_principle should be "&amp;BS149,IF(AND(AW149=1,CB149&lt;&gt;G149),"Clay call_date should be "&amp;TEXT(G149,"yyyy-mm-dd"),""))))))))</f>
        <v/>
      </c>
      <c r="AT149" s="17">
        <f>ROW()</f>
        <v/>
      </c>
      <c r="AU149" s="17">
        <f>IF(AND(TRIM($A149)&lt;&gt;"",ISNUMBER(G149)),IF(AND(LEFT($A149,6)="SAMPLE",Config!$B$19&lt;&gt;"Y"),0,1),0)</f>
        <v/>
      </c>
      <c r="AV149" s="17">
        <f>IF(AU149=1,IF(COUNTIFS($A$2:$A$201,$A149,$AU$2:$AU$201,1,$G$2:$G$201,"&lt;"&amp;G149)+COUNTIFS($A$2:$A$201,$A149,$AU$2:$AU$201,1,$G$2:$G$201,G149,$AT$2:$AT$201,"&lt;"&amp;AT149)=0,1,0),0)</f>
        <v/>
      </c>
      <c r="AW149" s="17">
        <f>IF(AU149=1,IF(COUNTIFS($A$2:$A$201,$A149,$AU$2:$AU$201,1,$G$2:$G$201,"&gt;"&amp;G149)+COUNTIFS($A$2:$A$201,$A149,$AU$2:$AU$201,1,$G$2:$G$201,G149,$AT$2:$AT$201,"&gt;"&amp;AT149)=0,1,0),0)</f>
        <v/>
      </c>
      <c r="AX149" s="17">
        <f>IF(AND(AU149=1,AN149="Y",Z149="Y",TRIM(AD149)&lt;&gt;""),1,0)</f>
        <v/>
      </c>
      <c r="AY149" s="17">
        <f>IF(AX149=1,IF(COUNTIFS($A$2:$A$201,$A149,$AX$2:$AX$201,1,$G$2:$G$201,"&lt;"&amp;G149)+COUNTIFS($A$2:$A$201,$A149,$AX$2:$AX$201,1,$G$2:$G$201,G149,$AT$2:$AT$201,"&lt;"&amp;AT149)=0,1,0),0)</f>
        <v/>
      </c>
      <c r="AZ149" s="17">
        <f>IF(AND(AU149=1,AN149="Y",AX149=0),1,0)</f>
        <v/>
      </c>
      <c r="BA149" s="17">
        <f>IF(AND(AU149=1,ISNUMBER(V149)),1,0)</f>
        <v/>
      </c>
      <c r="BB149" s="17">
        <f>IF(BA149=1,IF(COUNTIFS($A$2:$A$201,$A149,$BA$2:$BA$201,1,$G$2:$G$201,"&lt;"&amp;G149)+COUNTIFS($A$2:$A$201,$A149,$BA$2:$BA$201,1,$G$2:$G$201,G149,$AT$2:$AT$201,"&lt;"&amp;AT149)=0,1,0),0)</f>
        <v/>
      </c>
      <c r="BC149" s="17">
        <f>IF(AND(BB149=1,G149&lt;=Config!$B$6),V149,"")</f>
        <v/>
      </c>
      <c r="BD149" s="17">
        <f>IF(AND(BB149=1,G149&lt;=Config!$B$7),V149,"")</f>
        <v/>
      </c>
      <c r="BE149" s="17">
        <f>IF(AND(BB149=1,G149&lt;=Config!$B$8),V149,"")</f>
        <v/>
      </c>
      <c r="BF149" s="17">
        <f>IF(AND(BB149=1,G149&lt;=Config!$B$5),V149,"")</f>
        <v/>
      </c>
      <c r="BG149" s="17">
        <f>IF(BW149=1,IF(COUNTIFS($A$2:$A$201,$A149,$BW$2:$BW$201,1,$G$2:$G$201,"&lt;"&amp;G149)+COUNTIFS($A$2:$A$201,$A149,$BW$2:$BW$201,1,$G$2:$G$201,G149,$AT$2:$AT$201,"&lt;"&amp;AT149)=0,1,0),0)</f>
        <v/>
      </c>
      <c r="BH149" s="17">
        <f>IF(AND(AU149=1,ISNUMBER(K149)),1,0)</f>
        <v/>
      </c>
      <c r="BI149" s="17">
        <f>IF(BH149=1,IF(COUNTIFS($A$2:$A$201,$A149,$BH$2:$BH$201,1,$G$2:$G$201,"&lt;"&amp;G149)+COUNTIFS($A$2:$A$201,$A149,$BH$2:$BH$201,1,$G$2:$G$201,G149,$AT$2:$AT$201,"&lt;"&amp;AT149)=0,1,0),0)</f>
        <v/>
      </c>
      <c r="BJ149" s="17">
        <f>IF(AND(BI149=1,G149&lt;=Config!$B$5),K149,"")</f>
        <v/>
      </c>
      <c r="BK149" s="17">
        <f>IF(AND(AU149=1,OR(TRIM(U149)&lt;&gt;"",ISNUMBER(V149))),1,0)</f>
        <v/>
      </c>
      <c r="BL149" s="17">
        <f>IF(BK149=1,IF(COUNTIFS($A$2:$A$201,$A149,$BK$2:$BK$201,1,$G$2:$G$201,"&lt;"&amp;G149)+COUNTIFS($A$2:$A$201,$A149,$BK$2:$BK$201,1,$G$2:$G$201,G149,$AT$2:$AT$201,"&lt;"&amp;AT149)=0,1,0),0)</f>
        <v/>
      </c>
      <c r="BM149" s="17">
        <f>IF(BL149=1,$A149,"")</f>
        <v/>
      </c>
      <c r="BN149" s="17">
        <f>IF(AND(AU149=1,T149="Y",TRIM(U149)=""),1,0)</f>
        <v/>
      </c>
      <c r="BO149" s="17">
        <f>IF(AU149=1,AJ149&amp;"","")</f>
        <v/>
      </c>
      <c r="BP149" s="17">
        <f>IF(AU149=1,AK149&amp;"","")</f>
        <v/>
      </c>
      <c r="BQ149" s="17">
        <f>IF(AU149=1,AL149&amp;"","")</f>
        <v/>
      </c>
      <c r="BR149" s="17">
        <f>IF(AND(AU149=1,ISNUMBER(AP149),G149&lt;=Config!$B$5),AP149,"")</f>
        <v/>
      </c>
      <c r="BS149" s="17">
        <f>IF(AU149=1,IF(COUNTIFS($A$2:$A$201,$A149,$AN$2:$AN$201,"Y",$AU$2:$AU$201,1)&gt;0,"Y","N"),"")</f>
        <v/>
      </c>
      <c r="BT149" s="17">
        <f>IF(AND(AU149=1,AN149="maybe"),1,0)</f>
        <v/>
      </c>
      <c r="BU149" s="17">
        <f>IF(BT149=1,IF(COUNTIFS($A$2:$A$201,$A149,$BT$2:$BT$201,1,$G$2:$G$201,"&lt;"&amp;G149)+COUNTIFS($A$2:$A$201,$A149,$BT$2:$BT$201,1,$G$2:$G$201,G149,$AT$2:$AT$201,"&lt;"&amp;AT149)=0,1,0),0)</f>
        <v/>
      </c>
      <c r="BV149" s="17">
        <f>IF(AND(AU149=1,AN149="Y"),IF(COUNTIFS($A$2:$A$201,$A149,$AN$2:$AN$201,"Y",$AU$2:$AU$201,1,$G$2:$G$201,"&lt;"&amp;G149)+COUNTIFS($A$2:$A$201,$A149,$AN$2:$AN$201,"Y",$AU$2:$AU$201,1,$G$2:$G$201,G149,$AT$2:$AT$201,"&lt;"&amp;AT149)=0,1,0),0)</f>
        <v/>
      </c>
      <c r="BW149" s="17">
        <f>IF(AND(BA149=1,N(V149)&gt;=Config!$B$15),1,0)</f>
        <v/>
      </c>
      <c r="BX149" s="17">
        <f>IF(AU149=1,IFERROR(MATCH($A149,INDEX(Clay_Offices!$A$2:$FZ$601,0,Sync!$C$5),0),""),"")</f>
        <v/>
      </c>
      <c r="BY149" s="17">
        <f>IF(BX149="","",IFERROR(INDEX(Clay_Offices!$A$2:$FZ$601,BX149,Sync!$C$7)&amp;"",""))</f>
        <v/>
      </c>
      <c r="BZ149" s="17">
        <f>IF(BY149="","",IFERROR(INDEX(Lists!$J$2:$J$15,MATCH(BY149,Lists!$I$2:$I$15,0)),""))</f>
        <v/>
      </c>
      <c r="CA149" s="17">
        <f>IF(BX149="","",IFERROR(INDEX(Clay_Offices!$A$2:$FZ$601,BX149,Sync!$C$17)&amp;"",""))</f>
        <v/>
      </c>
      <c r="CB149" s="23">
        <f>IF(BX149="","",IFERROR(N(INDEX(Clay_Offices!$A$2:$FZ$601,BX149,Sync!$C$16)),0))</f>
        <v/>
      </c>
    </row>
    <row r="150">
      <c r="G150" s="22" t="n"/>
      <c r="AS150" s="17">
        <f>IF(TRIM($A150)="","",IF(AND(LEFT($A150,6)="SAMPLE",Config!$B$19&lt;&gt;"Y"),"",IF(NOT(ISNUMBER(G150)),"call_date is blank or not a date",IF(Sync!$C$5="","Clay paste is empty or has no row_id column: paste the Clay export on Clay_Offices",IF(BX150="","row_id not found in the Clay paste: add the Clay row or fix the row_id",IF(AND(ISNUMBER(BZ150),BZ150&gt;=1,BZ150&lt;=5),"Clay status is "&amp;BY150&amp;": set call_done or later",IF(AND(AW150=1,CA150&lt;&gt;BS150),"Clay yes_in_principle should be "&amp;BS150,IF(AND(AW150=1,CB150&lt;&gt;G150),"Clay call_date should be "&amp;TEXT(G150,"yyyy-mm-dd"),""))))))))</f>
        <v/>
      </c>
      <c r="AT150" s="17">
        <f>ROW()</f>
        <v/>
      </c>
      <c r="AU150" s="17">
        <f>IF(AND(TRIM($A150)&lt;&gt;"",ISNUMBER(G150)),IF(AND(LEFT($A150,6)="SAMPLE",Config!$B$19&lt;&gt;"Y"),0,1),0)</f>
        <v/>
      </c>
      <c r="AV150" s="17">
        <f>IF(AU150=1,IF(COUNTIFS($A$2:$A$201,$A150,$AU$2:$AU$201,1,$G$2:$G$201,"&lt;"&amp;G150)+COUNTIFS($A$2:$A$201,$A150,$AU$2:$AU$201,1,$G$2:$G$201,G150,$AT$2:$AT$201,"&lt;"&amp;AT150)=0,1,0),0)</f>
        <v/>
      </c>
      <c r="AW150" s="17">
        <f>IF(AU150=1,IF(COUNTIFS($A$2:$A$201,$A150,$AU$2:$AU$201,1,$G$2:$G$201,"&gt;"&amp;G150)+COUNTIFS($A$2:$A$201,$A150,$AU$2:$AU$201,1,$G$2:$G$201,G150,$AT$2:$AT$201,"&gt;"&amp;AT150)=0,1,0),0)</f>
        <v/>
      </c>
      <c r="AX150" s="17">
        <f>IF(AND(AU150=1,AN150="Y",Z150="Y",TRIM(AD150)&lt;&gt;""),1,0)</f>
        <v/>
      </c>
      <c r="AY150" s="17">
        <f>IF(AX150=1,IF(COUNTIFS($A$2:$A$201,$A150,$AX$2:$AX$201,1,$G$2:$G$201,"&lt;"&amp;G150)+COUNTIFS($A$2:$A$201,$A150,$AX$2:$AX$201,1,$G$2:$G$201,G150,$AT$2:$AT$201,"&lt;"&amp;AT150)=0,1,0),0)</f>
        <v/>
      </c>
      <c r="AZ150" s="17">
        <f>IF(AND(AU150=1,AN150="Y",AX150=0),1,0)</f>
        <v/>
      </c>
      <c r="BA150" s="17">
        <f>IF(AND(AU150=1,ISNUMBER(V150)),1,0)</f>
        <v/>
      </c>
      <c r="BB150" s="17">
        <f>IF(BA150=1,IF(COUNTIFS($A$2:$A$201,$A150,$BA$2:$BA$201,1,$G$2:$G$201,"&lt;"&amp;G150)+COUNTIFS($A$2:$A$201,$A150,$BA$2:$BA$201,1,$G$2:$G$201,G150,$AT$2:$AT$201,"&lt;"&amp;AT150)=0,1,0),0)</f>
        <v/>
      </c>
      <c r="BC150" s="17">
        <f>IF(AND(BB150=1,G150&lt;=Config!$B$6),V150,"")</f>
        <v/>
      </c>
      <c r="BD150" s="17">
        <f>IF(AND(BB150=1,G150&lt;=Config!$B$7),V150,"")</f>
        <v/>
      </c>
      <c r="BE150" s="17">
        <f>IF(AND(BB150=1,G150&lt;=Config!$B$8),V150,"")</f>
        <v/>
      </c>
      <c r="BF150" s="17">
        <f>IF(AND(BB150=1,G150&lt;=Config!$B$5),V150,"")</f>
        <v/>
      </c>
      <c r="BG150" s="17">
        <f>IF(BW150=1,IF(COUNTIFS($A$2:$A$201,$A150,$BW$2:$BW$201,1,$G$2:$G$201,"&lt;"&amp;G150)+COUNTIFS($A$2:$A$201,$A150,$BW$2:$BW$201,1,$G$2:$G$201,G150,$AT$2:$AT$201,"&lt;"&amp;AT150)=0,1,0),0)</f>
        <v/>
      </c>
      <c r="BH150" s="17">
        <f>IF(AND(AU150=1,ISNUMBER(K150)),1,0)</f>
        <v/>
      </c>
      <c r="BI150" s="17">
        <f>IF(BH150=1,IF(COUNTIFS($A$2:$A$201,$A150,$BH$2:$BH$201,1,$G$2:$G$201,"&lt;"&amp;G150)+COUNTIFS($A$2:$A$201,$A150,$BH$2:$BH$201,1,$G$2:$G$201,G150,$AT$2:$AT$201,"&lt;"&amp;AT150)=0,1,0),0)</f>
        <v/>
      </c>
      <c r="BJ150" s="17">
        <f>IF(AND(BI150=1,G150&lt;=Config!$B$5),K150,"")</f>
        <v/>
      </c>
      <c r="BK150" s="17">
        <f>IF(AND(AU150=1,OR(TRIM(U150)&lt;&gt;"",ISNUMBER(V150))),1,0)</f>
        <v/>
      </c>
      <c r="BL150" s="17">
        <f>IF(BK150=1,IF(COUNTIFS($A$2:$A$201,$A150,$BK$2:$BK$201,1,$G$2:$G$201,"&lt;"&amp;G150)+COUNTIFS($A$2:$A$201,$A150,$BK$2:$BK$201,1,$G$2:$G$201,G150,$AT$2:$AT$201,"&lt;"&amp;AT150)=0,1,0),0)</f>
        <v/>
      </c>
      <c r="BM150" s="17">
        <f>IF(BL150=1,$A150,"")</f>
        <v/>
      </c>
      <c r="BN150" s="17">
        <f>IF(AND(AU150=1,T150="Y",TRIM(U150)=""),1,0)</f>
        <v/>
      </c>
      <c r="BO150" s="17">
        <f>IF(AU150=1,AJ150&amp;"","")</f>
        <v/>
      </c>
      <c r="BP150" s="17">
        <f>IF(AU150=1,AK150&amp;"","")</f>
        <v/>
      </c>
      <c r="BQ150" s="17">
        <f>IF(AU150=1,AL150&amp;"","")</f>
        <v/>
      </c>
      <c r="BR150" s="17">
        <f>IF(AND(AU150=1,ISNUMBER(AP150),G150&lt;=Config!$B$5),AP150,"")</f>
        <v/>
      </c>
      <c r="BS150" s="17">
        <f>IF(AU150=1,IF(COUNTIFS($A$2:$A$201,$A150,$AN$2:$AN$201,"Y",$AU$2:$AU$201,1)&gt;0,"Y","N"),"")</f>
        <v/>
      </c>
      <c r="BT150" s="17">
        <f>IF(AND(AU150=1,AN150="maybe"),1,0)</f>
        <v/>
      </c>
      <c r="BU150" s="17">
        <f>IF(BT150=1,IF(COUNTIFS($A$2:$A$201,$A150,$BT$2:$BT$201,1,$G$2:$G$201,"&lt;"&amp;G150)+COUNTIFS($A$2:$A$201,$A150,$BT$2:$BT$201,1,$G$2:$G$201,G150,$AT$2:$AT$201,"&lt;"&amp;AT150)=0,1,0),0)</f>
        <v/>
      </c>
      <c r="BV150" s="17">
        <f>IF(AND(AU150=1,AN150="Y"),IF(COUNTIFS($A$2:$A$201,$A150,$AN$2:$AN$201,"Y",$AU$2:$AU$201,1,$G$2:$G$201,"&lt;"&amp;G150)+COUNTIFS($A$2:$A$201,$A150,$AN$2:$AN$201,"Y",$AU$2:$AU$201,1,$G$2:$G$201,G150,$AT$2:$AT$201,"&lt;"&amp;AT150)=0,1,0),0)</f>
        <v/>
      </c>
      <c r="BW150" s="17">
        <f>IF(AND(BA150=1,N(V150)&gt;=Config!$B$15),1,0)</f>
        <v/>
      </c>
      <c r="BX150" s="17">
        <f>IF(AU150=1,IFERROR(MATCH($A150,INDEX(Clay_Offices!$A$2:$FZ$601,0,Sync!$C$5),0),""),"")</f>
        <v/>
      </c>
      <c r="BY150" s="17">
        <f>IF(BX150="","",IFERROR(INDEX(Clay_Offices!$A$2:$FZ$601,BX150,Sync!$C$7)&amp;"",""))</f>
        <v/>
      </c>
      <c r="BZ150" s="17">
        <f>IF(BY150="","",IFERROR(INDEX(Lists!$J$2:$J$15,MATCH(BY150,Lists!$I$2:$I$15,0)),""))</f>
        <v/>
      </c>
      <c r="CA150" s="17">
        <f>IF(BX150="","",IFERROR(INDEX(Clay_Offices!$A$2:$FZ$601,BX150,Sync!$C$17)&amp;"",""))</f>
        <v/>
      </c>
      <c r="CB150" s="23">
        <f>IF(BX150="","",IFERROR(N(INDEX(Clay_Offices!$A$2:$FZ$601,BX150,Sync!$C$16)),0))</f>
        <v/>
      </c>
    </row>
    <row r="151">
      <c r="G151" s="22" t="n"/>
      <c r="AS151" s="17">
        <f>IF(TRIM($A151)="","",IF(AND(LEFT($A151,6)="SAMPLE",Config!$B$19&lt;&gt;"Y"),"",IF(NOT(ISNUMBER(G151)),"call_date is blank or not a date",IF(Sync!$C$5="","Clay paste is empty or has no row_id column: paste the Clay export on Clay_Offices",IF(BX151="","row_id not found in the Clay paste: add the Clay row or fix the row_id",IF(AND(ISNUMBER(BZ151),BZ151&gt;=1,BZ151&lt;=5),"Clay status is "&amp;BY151&amp;": set call_done or later",IF(AND(AW151=1,CA151&lt;&gt;BS151),"Clay yes_in_principle should be "&amp;BS151,IF(AND(AW151=1,CB151&lt;&gt;G151),"Clay call_date should be "&amp;TEXT(G151,"yyyy-mm-dd"),""))))))))</f>
        <v/>
      </c>
      <c r="AT151" s="17">
        <f>ROW()</f>
        <v/>
      </c>
      <c r="AU151" s="17">
        <f>IF(AND(TRIM($A151)&lt;&gt;"",ISNUMBER(G151)),IF(AND(LEFT($A151,6)="SAMPLE",Config!$B$19&lt;&gt;"Y"),0,1),0)</f>
        <v/>
      </c>
      <c r="AV151" s="17">
        <f>IF(AU151=1,IF(COUNTIFS($A$2:$A$201,$A151,$AU$2:$AU$201,1,$G$2:$G$201,"&lt;"&amp;G151)+COUNTIFS($A$2:$A$201,$A151,$AU$2:$AU$201,1,$G$2:$G$201,G151,$AT$2:$AT$201,"&lt;"&amp;AT151)=0,1,0),0)</f>
        <v/>
      </c>
      <c r="AW151" s="17">
        <f>IF(AU151=1,IF(COUNTIFS($A$2:$A$201,$A151,$AU$2:$AU$201,1,$G$2:$G$201,"&gt;"&amp;G151)+COUNTIFS($A$2:$A$201,$A151,$AU$2:$AU$201,1,$G$2:$G$201,G151,$AT$2:$AT$201,"&gt;"&amp;AT151)=0,1,0),0)</f>
        <v/>
      </c>
      <c r="AX151" s="17">
        <f>IF(AND(AU151=1,AN151="Y",Z151="Y",TRIM(AD151)&lt;&gt;""),1,0)</f>
        <v/>
      </c>
      <c r="AY151" s="17">
        <f>IF(AX151=1,IF(COUNTIFS($A$2:$A$201,$A151,$AX$2:$AX$201,1,$G$2:$G$201,"&lt;"&amp;G151)+COUNTIFS($A$2:$A$201,$A151,$AX$2:$AX$201,1,$G$2:$G$201,G151,$AT$2:$AT$201,"&lt;"&amp;AT151)=0,1,0),0)</f>
        <v/>
      </c>
      <c r="AZ151" s="17">
        <f>IF(AND(AU151=1,AN151="Y",AX151=0),1,0)</f>
        <v/>
      </c>
      <c r="BA151" s="17">
        <f>IF(AND(AU151=1,ISNUMBER(V151)),1,0)</f>
        <v/>
      </c>
      <c r="BB151" s="17">
        <f>IF(BA151=1,IF(COUNTIFS($A$2:$A$201,$A151,$BA$2:$BA$201,1,$G$2:$G$201,"&lt;"&amp;G151)+COUNTIFS($A$2:$A$201,$A151,$BA$2:$BA$201,1,$G$2:$G$201,G151,$AT$2:$AT$201,"&lt;"&amp;AT151)=0,1,0),0)</f>
        <v/>
      </c>
      <c r="BC151" s="17">
        <f>IF(AND(BB151=1,G151&lt;=Config!$B$6),V151,"")</f>
        <v/>
      </c>
      <c r="BD151" s="17">
        <f>IF(AND(BB151=1,G151&lt;=Config!$B$7),V151,"")</f>
        <v/>
      </c>
      <c r="BE151" s="17">
        <f>IF(AND(BB151=1,G151&lt;=Config!$B$8),V151,"")</f>
        <v/>
      </c>
      <c r="BF151" s="17">
        <f>IF(AND(BB151=1,G151&lt;=Config!$B$5),V151,"")</f>
        <v/>
      </c>
      <c r="BG151" s="17">
        <f>IF(BW151=1,IF(COUNTIFS($A$2:$A$201,$A151,$BW$2:$BW$201,1,$G$2:$G$201,"&lt;"&amp;G151)+COUNTIFS($A$2:$A$201,$A151,$BW$2:$BW$201,1,$G$2:$G$201,G151,$AT$2:$AT$201,"&lt;"&amp;AT151)=0,1,0),0)</f>
        <v/>
      </c>
      <c r="BH151" s="17">
        <f>IF(AND(AU151=1,ISNUMBER(K151)),1,0)</f>
        <v/>
      </c>
      <c r="BI151" s="17">
        <f>IF(BH151=1,IF(COUNTIFS($A$2:$A$201,$A151,$BH$2:$BH$201,1,$G$2:$G$201,"&lt;"&amp;G151)+COUNTIFS($A$2:$A$201,$A151,$BH$2:$BH$201,1,$G$2:$G$201,G151,$AT$2:$AT$201,"&lt;"&amp;AT151)=0,1,0),0)</f>
        <v/>
      </c>
      <c r="BJ151" s="17">
        <f>IF(AND(BI151=1,G151&lt;=Config!$B$5),K151,"")</f>
        <v/>
      </c>
      <c r="BK151" s="17">
        <f>IF(AND(AU151=1,OR(TRIM(U151)&lt;&gt;"",ISNUMBER(V151))),1,0)</f>
        <v/>
      </c>
      <c r="BL151" s="17">
        <f>IF(BK151=1,IF(COUNTIFS($A$2:$A$201,$A151,$BK$2:$BK$201,1,$G$2:$G$201,"&lt;"&amp;G151)+COUNTIFS($A$2:$A$201,$A151,$BK$2:$BK$201,1,$G$2:$G$201,G151,$AT$2:$AT$201,"&lt;"&amp;AT151)=0,1,0),0)</f>
        <v/>
      </c>
      <c r="BM151" s="17">
        <f>IF(BL151=1,$A151,"")</f>
        <v/>
      </c>
      <c r="BN151" s="17">
        <f>IF(AND(AU151=1,T151="Y",TRIM(U151)=""),1,0)</f>
        <v/>
      </c>
      <c r="BO151" s="17">
        <f>IF(AU151=1,AJ151&amp;"","")</f>
        <v/>
      </c>
      <c r="BP151" s="17">
        <f>IF(AU151=1,AK151&amp;"","")</f>
        <v/>
      </c>
      <c r="BQ151" s="17">
        <f>IF(AU151=1,AL151&amp;"","")</f>
        <v/>
      </c>
      <c r="BR151" s="17">
        <f>IF(AND(AU151=1,ISNUMBER(AP151),G151&lt;=Config!$B$5),AP151,"")</f>
        <v/>
      </c>
      <c r="BS151" s="17">
        <f>IF(AU151=1,IF(COUNTIFS($A$2:$A$201,$A151,$AN$2:$AN$201,"Y",$AU$2:$AU$201,1)&gt;0,"Y","N"),"")</f>
        <v/>
      </c>
      <c r="BT151" s="17">
        <f>IF(AND(AU151=1,AN151="maybe"),1,0)</f>
        <v/>
      </c>
      <c r="BU151" s="17">
        <f>IF(BT151=1,IF(COUNTIFS($A$2:$A$201,$A151,$BT$2:$BT$201,1,$G$2:$G$201,"&lt;"&amp;G151)+COUNTIFS($A$2:$A$201,$A151,$BT$2:$BT$201,1,$G$2:$G$201,G151,$AT$2:$AT$201,"&lt;"&amp;AT151)=0,1,0),0)</f>
        <v/>
      </c>
      <c r="BV151" s="17">
        <f>IF(AND(AU151=1,AN151="Y"),IF(COUNTIFS($A$2:$A$201,$A151,$AN$2:$AN$201,"Y",$AU$2:$AU$201,1,$G$2:$G$201,"&lt;"&amp;G151)+COUNTIFS($A$2:$A$201,$A151,$AN$2:$AN$201,"Y",$AU$2:$AU$201,1,$G$2:$G$201,G151,$AT$2:$AT$201,"&lt;"&amp;AT151)=0,1,0),0)</f>
        <v/>
      </c>
      <c r="BW151" s="17">
        <f>IF(AND(BA151=1,N(V151)&gt;=Config!$B$15),1,0)</f>
        <v/>
      </c>
      <c r="BX151" s="17">
        <f>IF(AU151=1,IFERROR(MATCH($A151,INDEX(Clay_Offices!$A$2:$FZ$601,0,Sync!$C$5),0),""),"")</f>
        <v/>
      </c>
      <c r="BY151" s="17">
        <f>IF(BX151="","",IFERROR(INDEX(Clay_Offices!$A$2:$FZ$601,BX151,Sync!$C$7)&amp;"",""))</f>
        <v/>
      </c>
      <c r="BZ151" s="17">
        <f>IF(BY151="","",IFERROR(INDEX(Lists!$J$2:$J$15,MATCH(BY151,Lists!$I$2:$I$15,0)),""))</f>
        <v/>
      </c>
      <c r="CA151" s="17">
        <f>IF(BX151="","",IFERROR(INDEX(Clay_Offices!$A$2:$FZ$601,BX151,Sync!$C$17)&amp;"",""))</f>
        <v/>
      </c>
      <c r="CB151" s="23">
        <f>IF(BX151="","",IFERROR(N(INDEX(Clay_Offices!$A$2:$FZ$601,BX151,Sync!$C$16)),0))</f>
        <v/>
      </c>
    </row>
    <row r="152">
      <c r="G152" s="22" t="n"/>
      <c r="AS152" s="17">
        <f>IF(TRIM($A152)="","",IF(AND(LEFT($A152,6)="SAMPLE",Config!$B$19&lt;&gt;"Y"),"",IF(NOT(ISNUMBER(G152)),"call_date is blank or not a date",IF(Sync!$C$5="","Clay paste is empty or has no row_id column: paste the Clay export on Clay_Offices",IF(BX152="","row_id not found in the Clay paste: add the Clay row or fix the row_id",IF(AND(ISNUMBER(BZ152),BZ152&gt;=1,BZ152&lt;=5),"Clay status is "&amp;BY152&amp;": set call_done or later",IF(AND(AW152=1,CA152&lt;&gt;BS152),"Clay yes_in_principle should be "&amp;BS152,IF(AND(AW152=1,CB152&lt;&gt;G152),"Clay call_date should be "&amp;TEXT(G152,"yyyy-mm-dd"),""))))))))</f>
        <v/>
      </c>
      <c r="AT152" s="17">
        <f>ROW()</f>
        <v/>
      </c>
      <c r="AU152" s="17">
        <f>IF(AND(TRIM($A152)&lt;&gt;"",ISNUMBER(G152)),IF(AND(LEFT($A152,6)="SAMPLE",Config!$B$19&lt;&gt;"Y"),0,1),0)</f>
        <v/>
      </c>
      <c r="AV152" s="17">
        <f>IF(AU152=1,IF(COUNTIFS($A$2:$A$201,$A152,$AU$2:$AU$201,1,$G$2:$G$201,"&lt;"&amp;G152)+COUNTIFS($A$2:$A$201,$A152,$AU$2:$AU$201,1,$G$2:$G$201,G152,$AT$2:$AT$201,"&lt;"&amp;AT152)=0,1,0),0)</f>
        <v/>
      </c>
      <c r="AW152" s="17">
        <f>IF(AU152=1,IF(COUNTIFS($A$2:$A$201,$A152,$AU$2:$AU$201,1,$G$2:$G$201,"&gt;"&amp;G152)+COUNTIFS($A$2:$A$201,$A152,$AU$2:$AU$201,1,$G$2:$G$201,G152,$AT$2:$AT$201,"&gt;"&amp;AT152)=0,1,0),0)</f>
        <v/>
      </c>
      <c r="AX152" s="17">
        <f>IF(AND(AU152=1,AN152="Y",Z152="Y",TRIM(AD152)&lt;&gt;""),1,0)</f>
        <v/>
      </c>
      <c r="AY152" s="17">
        <f>IF(AX152=1,IF(COUNTIFS($A$2:$A$201,$A152,$AX$2:$AX$201,1,$G$2:$G$201,"&lt;"&amp;G152)+COUNTIFS($A$2:$A$201,$A152,$AX$2:$AX$201,1,$G$2:$G$201,G152,$AT$2:$AT$201,"&lt;"&amp;AT152)=0,1,0),0)</f>
        <v/>
      </c>
      <c r="AZ152" s="17">
        <f>IF(AND(AU152=1,AN152="Y",AX152=0),1,0)</f>
        <v/>
      </c>
      <c r="BA152" s="17">
        <f>IF(AND(AU152=1,ISNUMBER(V152)),1,0)</f>
        <v/>
      </c>
      <c r="BB152" s="17">
        <f>IF(BA152=1,IF(COUNTIFS($A$2:$A$201,$A152,$BA$2:$BA$201,1,$G$2:$G$201,"&lt;"&amp;G152)+COUNTIFS($A$2:$A$201,$A152,$BA$2:$BA$201,1,$G$2:$G$201,G152,$AT$2:$AT$201,"&lt;"&amp;AT152)=0,1,0),0)</f>
        <v/>
      </c>
      <c r="BC152" s="17">
        <f>IF(AND(BB152=1,G152&lt;=Config!$B$6),V152,"")</f>
        <v/>
      </c>
      <c r="BD152" s="17">
        <f>IF(AND(BB152=1,G152&lt;=Config!$B$7),V152,"")</f>
        <v/>
      </c>
      <c r="BE152" s="17">
        <f>IF(AND(BB152=1,G152&lt;=Config!$B$8),V152,"")</f>
        <v/>
      </c>
      <c r="BF152" s="17">
        <f>IF(AND(BB152=1,G152&lt;=Config!$B$5),V152,"")</f>
        <v/>
      </c>
      <c r="BG152" s="17">
        <f>IF(BW152=1,IF(COUNTIFS($A$2:$A$201,$A152,$BW$2:$BW$201,1,$G$2:$G$201,"&lt;"&amp;G152)+COUNTIFS($A$2:$A$201,$A152,$BW$2:$BW$201,1,$G$2:$G$201,G152,$AT$2:$AT$201,"&lt;"&amp;AT152)=0,1,0),0)</f>
        <v/>
      </c>
      <c r="BH152" s="17">
        <f>IF(AND(AU152=1,ISNUMBER(K152)),1,0)</f>
        <v/>
      </c>
      <c r="BI152" s="17">
        <f>IF(BH152=1,IF(COUNTIFS($A$2:$A$201,$A152,$BH$2:$BH$201,1,$G$2:$G$201,"&lt;"&amp;G152)+COUNTIFS($A$2:$A$201,$A152,$BH$2:$BH$201,1,$G$2:$G$201,G152,$AT$2:$AT$201,"&lt;"&amp;AT152)=0,1,0),0)</f>
        <v/>
      </c>
      <c r="BJ152" s="17">
        <f>IF(AND(BI152=1,G152&lt;=Config!$B$5),K152,"")</f>
        <v/>
      </c>
      <c r="BK152" s="17">
        <f>IF(AND(AU152=1,OR(TRIM(U152)&lt;&gt;"",ISNUMBER(V152))),1,0)</f>
        <v/>
      </c>
      <c r="BL152" s="17">
        <f>IF(BK152=1,IF(COUNTIFS($A$2:$A$201,$A152,$BK$2:$BK$201,1,$G$2:$G$201,"&lt;"&amp;G152)+COUNTIFS($A$2:$A$201,$A152,$BK$2:$BK$201,1,$G$2:$G$201,G152,$AT$2:$AT$201,"&lt;"&amp;AT152)=0,1,0),0)</f>
        <v/>
      </c>
      <c r="BM152" s="17">
        <f>IF(BL152=1,$A152,"")</f>
        <v/>
      </c>
      <c r="BN152" s="17">
        <f>IF(AND(AU152=1,T152="Y",TRIM(U152)=""),1,0)</f>
        <v/>
      </c>
      <c r="BO152" s="17">
        <f>IF(AU152=1,AJ152&amp;"","")</f>
        <v/>
      </c>
      <c r="BP152" s="17">
        <f>IF(AU152=1,AK152&amp;"","")</f>
        <v/>
      </c>
      <c r="BQ152" s="17">
        <f>IF(AU152=1,AL152&amp;"","")</f>
        <v/>
      </c>
      <c r="BR152" s="17">
        <f>IF(AND(AU152=1,ISNUMBER(AP152),G152&lt;=Config!$B$5),AP152,"")</f>
        <v/>
      </c>
      <c r="BS152" s="17">
        <f>IF(AU152=1,IF(COUNTIFS($A$2:$A$201,$A152,$AN$2:$AN$201,"Y",$AU$2:$AU$201,1)&gt;0,"Y","N"),"")</f>
        <v/>
      </c>
      <c r="BT152" s="17">
        <f>IF(AND(AU152=1,AN152="maybe"),1,0)</f>
        <v/>
      </c>
      <c r="BU152" s="17">
        <f>IF(BT152=1,IF(COUNTIFS($A$2:$A$201,$A152,$BT$2:$BT$201,1,$G$2:$G$201,"&lt;"&amp;G152)+COUNTIFS($A$2:$A$201,$A152,$BT$2:$BT$201,1,$G$2:$G$201,G152,$AT$2:$AT$201,"&lt;"&amp;AT152)=0,1,0),0)</f>
        <v/>
      </c>
      <c r="BV152" s="17">
        <f>IF(AND(AU152=1,AN152="Y"),IF(COUNTIFS($A$2:$A$201,$A152,$AN$2:$AN$201,"Y",$AU$2:$AU$201,1,$G$2:$G$201,"&lt;"&amp;G152)+COUNTIFS($A$2:$A$201,$A152,$AN$2:$AN$201,"Y",$AU$2:$AU$201,1,$G$2:$G$201,G152,$AT$2:$AT$201,"&lt;"&amp;AT152)=0,1,0),0)</f>
        <v/>
      </c>
      <c r="BW152" s="17">
        <f>IF(AND(BA152=1,N(V152)&gt;=Config!$B$15),1,0)</f>
        <v/>
      </c>
      <c r="BX152" s="17">
        <f>IF(AU152=1,IFERROR(MATCH($A152,INDEX(Clay_Offices!$A$2:$FZ$601,0,Sync!$C$5),0),""),"")</f>
        <v/>
      </c>
      <c r="BY152" s="17">
        <f>IF(BX152="","",IFERROR(INDEX(Clay_Offices!$A$2:$FZ$601,BX152,Sync!$C$7)&amp;"",""))</f>
        <v/>
      </c>
      <c r="BZ152" s="17">
        <f>IF(BY152="","",IFERROR(INDEX(Lists!$J$2:$J$15,MATCH(BY152,Lists!$I$2:$I$15,0)),""))</f>
        <v/>
      </c>
      <c r="CA152" s="17">
        <f>IF(BX152="","",IFERROR(INDEX(Clay_Offices!$A$2:$FZ$601,BX152,Sync!$C$17)&amp;"",""))</f>
        <v/>
      </c>
      <c r="CB152" s="23">
        <f>IF(BX152="","",IFERROR(N(INDEX(Clay_Offices!$A$2:$FZ$601,BX152,Sync!$C$16)),0))</f>
        <v/>
      </c>
    </row>
    <row r="153">
      <c r="G153" s="22" t="n"/>
      <c r="AS153" s="17">
        <f>IF(TRIM($A153)="","",IF(AND(LEFT($A153,6)="SAMPLE",Config!$B$19&lt;&gt;"Y"),"",IF(NOT(ISNUMBER(G153)),"call_date is blank or not a date",IF(Sync!$C$5="","Clay paste is empty or has no row_id column: paste the Clay export on Clay_Offices",IF(BX153="","row_id not found in the Clay paste: add the Clay row or fix the row_id",IF(AND(ISNUMBER(BZ153),BZ153&gt;=1,BZ153&lt;=5),"Clay status is "&amp;BY153&amp;": set call_done or later",IF(AND(AW153=1,CA153&lt;&gt;BS153),"Clay yes_in_principle should be "&amp;BS153,IF(AND(AW153=1,CB153&lt;&gt;G153),"Clay call_date should be "&amp;TEXT(G153,"yyyy-mm-dd"),""))))))))</f>
        <v/>
      </c>
      <c r="AT153" s="17">
        <f>ROW()</f>
        <v/>
      </c>
      <c r="AU153" s="17">
        <f>IF(AND(TRIM($A153)&lt;&gt;"",ISNUMBER(G153)),IF(AND(LEFT($A153,6)="SAMPLE",Config!$B$19&lt;&gt;"Y"),0,1),0)</f>
        <v/>
      </c>
      <c r="AV153" s="17">
        <f>IF(AU153=1,IF(COUNTIFS($A$2:$A$201,$A153,$AU$2:$AU$201,1,$G$2:$G$201,"&lt;"&amp;G153)+COUNTIFS($A$2:$A$201,$A153,$AU$2:$AU$201,1,$G$2:$G$201,G153,$AT$2:$AT$201,"&lt;"&amp;AT153)=0,1,0),0)</f>
        <v/>
      </c>
      <c r="AW153" s="17">
        <f>IF(AU153=1,IF(COUNTIFS($A$2:$A$201,$A153,$AU$2:$AU$201,1,$G$2:$G$201,"&gt;"&amp;G153)+COUNTIFS($A$2:$A$201,$A153,$AU$2:$AU$201,1,$G$2:$G$201,G153,$AT$2:$AT$201,"&gt;"&amp;AT153)=0,1,0),0)</f>
        <v/>
      </c>
      <c r="AX153" s="17">
        <f>IF(AND(AU153=1,AN153="Y",Z153="Y",TRIM(AD153)&lt;&gt;""),1,0)</f>
        <v/>
      </c>
      <c r="AY153" s="17">
        <f>IF(AX153=1,IF(COUNTIFS($A$2:$A$201,$A153,$AX$2:$AX$201,1,$G$2:$G$201,"&lt;"&amp;G153)+COUNTIFS($A$2:$A$201,$A153,$AX$2:$AX$201,1,$G$2:$G$201,G153,$AT$2:$AT$201,"&lt;"&amp;AT153)=0,1,0),0)</f>
        <v/>
      </c>
      <c r="AZ153" s="17">
        <f>IF(AND(AU153=1,AN153="Y",AX153=0),1,0)</f>
        <v/>
      </c>
      <c r="BA153" s="17">
        <f>IF(AND(AU153=1,ISNUMBER(V153)),1,0)</f>
        <v/>
      </c>
      <c r="BB153" s="17">
        <f>IF(BA153=1,IF(COUNTIFS($A$2:$A$201,$A153,$BA$2:$BA$201,1,$G$2:$G$201,"&lt;"&amp;G153)+COUNTIFS($A$2:$A$201,$A153,$BA$2:$BA$201,1,$G$2:$G$201,G153,$AT$2:$AT$201,"&lt;"&amp;AT153)=0,1,0),0)</f>
        <v/>
      </c>
      <c r="BC153" s="17">
        <f>IF(AND(BB153=1,G153&lt;=Config!$B$6),V153,"")</f>
        <v/>
      </c>
      <c r="BD153" s="17">
        <f>IF(AND(BB153=1,G153&lt;=Config!$B$7),V153,"")</f>
        <v/>
      </c>
      <c r="BE153" s="17">
        <f>IF(AND(BB153=1,G153&lt;=Config!$B$8),V153,"")</f>
        <v/>
      </c>
      <c r="BF153" s="17">
        <f>IF(AND(BB153=1,G153&lt;=Config!$B$5),V153,"")</f>
        <v/>
      </c>
      <c r="BG153" s="17">
        <f>IF(BW153=1,IF(COUNTIFS($A$2:$A$201,$A153,$BW$2:$BW$201,1,$G$2:$G$201,"&lt;"&amp;G153)+COUNTIFS($A$2:$A$201,$A153,$BW$2:$BW$201,1,$G$2:$G$201,G153,$AT$2:$AT$201,"&lt;"&amp;AT153)=0,1,0),0)</f>
        <v/>
      </c>
      <c r="BH153" s="17">
        <f>IF(AND(AU153=1,ISNUMBER(K153)),1,0)</f>
        <v/>
      </c>
      <c r="BI153" s="17">
        <f>IF(BH153=1,IF(COUNTIFS($A$2:$A$201,$A153,$BH$2:$BH$201,1,$G$2:$G$201,"&lt;"&amp;G153)+COUNTIFS($A$2:$A$201,$A153,$BH$2:$BH$201,1,$G$2:$G$201,G153,$AT$2:$AT$201,"&lt;"&amp;AT153)=0,1,0),0)</f>
        <v/>
      </c>
      <c r="BJ153" s="17">
        <f>IF(AND(BI153=1,G153&lt;=Config!$B$5),K153,"")</f>
        <v/>
      </c>
      <c r="BK153" s="17">
        <f>IF(AND(AU153=1,OR(TRIM(U153)&lt;&gt;"",ISNUMBER(V153))),1,0)</f>
        <v/>
      </c>
      <c r="BL153" s="17">
        <f>IF(BK153=1,IF(COUNTIFS($A$2:$A$201,$A153,$BK$2:$BK$201,1,$G$2:$G$201,"&lt;"&amp;G153)+COUNTIFS($A$2:$A$201,$A153,$BK$2:$BK$201,1,$G$2:$G$201,G153,$AT$2:$AT$201,"&lt;"&amp;AT153)=0,1,0),0)</f>
        <v/>
      </c>
      <c r="BM153" s="17">
        <f>IF(BL153=1,$A153,"")</f>
        <v/>
      </c>
      <c r="BN153" s="17">
        <f>IF(AND(AU153=1,T153="Y",TRIM(U153)=""),1,0)</f>
        <v/>
      </c>
      <c r="BO153" s="17">
        <f>IF(AU153=1,AJ153&amp;"","")</f>
        <v/>
      </c>
      <c r="BP153" s="17">
        <f>IF(AU153=1,AK153&amp;"","")</f>
        <v/>
      </c>
      <c r="BQ153" s="17">
        <f>IF(AU153=1,AL153&amp;"","")</f>
        <v/>
      </c>
      <c r="BR153" s="17">
        <f>IF(AND(AU153=1,ISNUMBER(AP153),G153&lt;=Config!$B$5),AP153,"")</f>
        <v/>
      </c>
      <c r="BS153" s="17">
        <f>IF(AU153=1,IF(COUNTIFS($A$2:$A$201,$A153,$AN$2:$AN$201,"Y",$AU$2:$AU$201,1)&gt;0,"Y","N"),"")</f>
        <v/>
      </c>
      <c r="BT153" s="17">
        <f>IF(AND(AU153=1,AN153="maybe"),1,0)</f>
        <v/>
      </c>
      <c r="BU153" s="17">
        <f>IF(BT153=1,IF(COUNTIFS($A$2:$A$201,$A153,$BT$2:$BT$201,1,$G$2:$G$201,"&lt;"&amp;G153)+COUNTIFS($A$2:$A$201,$A153,$BT$2:$BT$201,1,$G$2:$G$201,G153,$AT$2:$AT$201,"&lt;"&amp;AT153)=0,1,0),0)</f>
        <v/>
      </c>
      <c r="BV153" s="17">
        <f>IF(AND(AU153=1,AN153="Y"),IF(COUNTIFS($A$2:$A$201,$A153,$AN$2:$AN$201,"Y",$AU$2:$AU$201,1,$G$2:$G$201,"&lt;"&amp;G153)+COUNTIFS($A$2:$A$201,$A153,$AN$2:$AN$201,"Y",$AU$2:$AU$201,1,$G$2:$G$201,G153,$AT$2:$AT$201,"&lt;"&amp;AT153)=0,1,0),0)</f>
        <v/>
      </c>
      <c r="BW153" s="17">
        <f>IF(AND(BA153=1,N(V153)&gt;=Config!$B$15),1,0)</f>
        <v/>
      </c>
      <c r="BX153" s="17">
        <f>IF(AU153=1,IFERROR(MATCH($A153,INDEX(Clay_Offices!$A$2:$FZ$601,0,Sync!$C$5),0),""),"")</f>
        <v/>
      </c>
      <c r="BY153" s="17">
        <f>IF(BX153="","",IFERROR(INDEX(Clay_Offices!$A$2:$FZ$601,BX153,Sync!$C$7)&amp;"",""))</f>
        <v/>
      </c>
      <c r="BZ153" s="17">
        <f>IF(BY153="","",IFERROR(INDEX(Lists!$J$2:$J$15,MATCH(BY153,Lists!$I$2:$I$15,0)),""))</f>
        <v/>
      </c>
      <c r="CA153" s="17">
        <f>IF(BX153="","",IFERROR(INDEX(Clay_Offices!$A$2:$FZ$601,BX153,Sync!$C$17)&amp;"",""))</f>
        <v/>
      </c>
      <c r="CB153" s="23">
        <f>IF(BX153="","",IFERROR(N(INDEX(Clay_Offices!$A$2:$FZ$601,BX153,Sync!$C$16)),0))</f>
        <v/>
      </c>
    </row>
    <row r="154">
      <c r="G154" s="22" t="n"/>
      <c r="AS154" s="17">
        <f>IF(TRIM($A154)="","",IF(AND(LEFT($A154,6)="SAMPLE",Config!$B$19&lt;&gt;"Y"),"",IF(NOT(ISNUMBER(G154)),"call_date is blank or not a date",IF(Sync!$C$5="","Clay paste is empty or has no row_id column: paste the Clay export on Clay_Offices",IF(BX154="","row_id not found in the Clay paste: add the Clay row or fix the row_id",IF(AND(ISNUMBER(BZ154),BZ154&gt;=1,BZ154&lt;=5),"Clay status is "&amp;BY154&amp;": set call_done or later",IF(AND(AW154=1,CA154&lt;&gt;BS154),"Clay yes_in_principle should be "&amp;BS154,IF(AND(AW154=1,CB154&lt;&gt;G154),"Clay call_date should be "&amp;TEXT(G154,"yyyy-mm-dd"),""))))))))</f>
        <v/>
      </c>
      <c r="AT154" s="17">
        <f>ROW()</f>
        <v/>
      </c>
      <c r="AU154" s="17">
        <f>IF(AND(TRIM($A154)&lt;&gt;"",ISNUMBER(G154)),IF(AND(LEFT($A154,6)="SAMPLE",Config!$B$19&lt;&gt;"Y"),0,1),0)</f>
        <v/>
      </c>
      <c r="AV154" s="17">
        <f>IF(AU154=1,IF(COUNTIFS($A$2:$A$201,$A154,$AU$2:$AU$201,1,$G$2:$G$201,"&lt;"&amp;G154)+COUNTIFS($A$2:$A$201,$A154,$AU$2:$AU$201,1,$G$2:$G$201,G154,$AT$2:$AT$201,"&lt;"&amp;AT154)=0,1,0),0)</f>
        <v/>
      </c>
      <c r="AW154" s="17">
        <f>IF(AU154=1,IF(COUNTIFS($A$2:$A$201,$A154,$AU$2:$AU$201,1,$G$2:$G$201,"&gt;"&amp;G154)+COUNTIFS($A$2:$A$201,$A154,$AU$2:$AU$201,1,$G$2:$G$201,G154,$AT$2:$AT$201,"&gt;"&amp;AT154)=0,1,0),0)</f>
        <v/>
      </c>
      <c r="AX154" s="17">
        <f>IF(AND(AU154=1,AN154="Y",Z154="Y",TRIM(AD154)&lt;&gt;""),1,0)</f>
        <v/>
      </c>
      <c r="AY154" s="17">
        <f>IF(AX154=1,IF(COUNTIFS($A$2:$A$201,$A154,$AX$2:$AX$201,1,$G$2:$G$201,"&lt;"&amp;G154)+COUNTIFS($A$2:$A$201,$A154,$AX$2:$AX$201,1,$G$2:$G$201,G154,$AT$2:$AT$201,"&lt;"&amp;AT154)=0,1,0),0)</f>
        <v/>
      </c>
      <c r="AZ154" s="17">
        <f>IF(AND(AU154=1,AN154="Y",AX154=0),1,0)</f>
        <v/>
      </c>
      <c r="BA154" s="17">
        <f>IF(AND(AU154=1,ISNUMBER(V154)),1,0)</f>
        <v/>
      </c>
      <c r="BB154" s="17">
        <f>IF(BA154=1,IF(COUNTIFS($A$2:$A$201,$A154,$BA$2:$BA$201,1,$G$2:$G$201,"&lt;"&amp;G154)+COUNTIFS($A$2:$A$201,$A154,$BA$2:$BA$201,1,$G$2:$G$201,G154,$AT$2:$AT$201,"&lt;"&amp;AT154)=0,1,0),0)</f>
        <v/>
      </c>
      <c r="BC154" s="17">
        <f>IF(AND(BB154=1,G154&lt;=Config!$B$6),V154,"")</f>
        <v/>
      </c>
      <c r="BD154" s="17">
        <f>IF(AND(BB154=1,G154&lt;=Config!$B$7),V154,"")</f>
        <v/>
      </c>
      <c r="BE154" s="17">
        <f>IF(AND(BB154=1,G154&lt;=Config!$B$8),V154,"")</f>
        <v/>
      </c>
      <c r="BF154" s="17">
        <f>IF(AND(BB154=1,G154&lt;=Config!$B$5),V154,"")</f>
        <v/>
      </c>
      <c r="BG154" s="17">
        <f>IF(BW154=1,IF(COUNTIFS($A$2:$A$201,$A154,$BW$2:$BW$201,1,$G$2:$G$201,"&lt;"&amp;G154)+COUNTIFS($A$2:$A$201,$A154,$BW$2:$BW$201,1,$G$2:$G$201,G154,$AT$2:$AT$201,"&lt;"&amp;AT154)=0,1,0),0)</f>
        <v/>
      </c>
      <c r="BH154" s="17">
        <f>IF(AND(AU154=1,ISNUMBER(K154)),1,0)</f>
        <v/>
      </c>
      <c r="BI154" s="17">
        <f>IF(BH154=1,IF(COUNTIFS($A$2:$A$201,$A154,$BH$2:$BH$201,1,$G$2:$G$201,"&lt;"&amp;G154)+COUNTIFS($A$2:$A$201,$A154,$BH$2:$BH$201,1,$G$2:$G$201,G154,$AT$2:$AT$201,"&lt;"&amp;AT154)=0,1,0),0)</f>
        <v/>
      </c>
      <c r="BJ154" s="17">
        <f>IF(AND(BI154=1,G154&lt;=Config!$B$5),K154,"")</f>
        <v/>
      </c>
      <c r="BK154" s="17">
        <f>IF(AND(AU154=1,OR(TRIM(U154)&lt;&gt;"",ISNUMBER(V154))),1,0)</f>
        <v/>
      </c>
      <c r="BL154" s="17">
        <f>IF(BK154=1,IF(COUNTIFS($A$2:$A$201,$A154,$BK$2:$BK$201,1,$G$2:$G$201,"&lt;"&amp;G154)+COUNTIFS($A$2:$A$201,$A154,$BK$2:$BK$201,1,$G$2:$G$201,G154,$AT$2:$AT$201,"&lt;"&amp;AT154)=0,1,0),0)</f>
        <v/>
      </c>
      <c r="BM154" s="17">
        <f>IF(BL154=1,$A154,"")</f>
        <v/>
      </c>
      <c r="BN154" s="17">
        <f>IF(AND(AU154=1,T154="Y",TRIM(U154)=""),1,0)</f>
        <v/>
      </c>
      <c r="BO154" s="17">
        <f>IF(AU154=1,AJ154&amp;"","")</f>
        <v/>
      </c>
      <c r="BP154" s="17">
        <f>IF(AU154=1,AK154&amp;"","")</f>
        <v/>
      </c>
      <c r="BQ154" s="17">
        <f>IF(AU154=1,AL154&amp;"","")</f>
        <v/>
      </c>
      <c r="BR154" s="17">
        <f>IF(AND(AU154=1,ISNUMBER(AP154),G154&lt;=Config!$B$5),AP154,"")</f>
        <v/>
      </c>
      <c r="BS154" s="17">
        <f>IF(AU154=1,IF(COUNTIFS($A$2:$A$201,$A154,$AN$2:$AN$201,"Y",$AU$2:$AU$201,1)&gt;0,"Y","N"),"")</f>
        <v/>
      </c>
      <c r="BT154" s="17">
        <f>IF(AND(AU154=1,AN154="maybe"),1,0)</f>
        <v/>
      </c>
      <c r="BU154" s="17">
        <f>IF(BT154=1,IF(COUNTIFS($A$2:$A$201,$A154,$BT$2:$BT$201,1,$G$2:$G$201,"&lt;"&amp;G154)+COUNTIFS($A$2:$A$201,$A154,$BT$2:$BT$201,1,$G$2:$G$201,G154,$AT$2:$AT$201,"&lt;"&amp;AT154)=0,1,0),0)</f>
        <v/>
      </c>
      <c r="BV154" s="17">
        <f>IF(AND(AU154=1,AN154="Y"),IF(COUNTIFS($A$2:$A$201,$A154,$AN$2:$AN$201,"Y",$AU$2:$AU$201,1,$G$2:$G$201,"&lt;"&amp;G154)+COUNTIFS($A$2:$A$201,$A154,$AN$2:$AN$201,"Y",$AU$2:$AU$201,1,$G$2:$G$201,G154,$AT$2:$AT$201,"&lt;"&amp;AT154)=0,1,0),0)</f>
        <v/>
      </c>
      <c r="BW154" s="17">
        <f>IF(AND(BA154=1,N(V154)&gt;=Config!$B$15),1,0)</f>
        <v/>
      </c>
      <c r="BX154" s="17">
        <f>IF(AU154=1,IFERROR(MATCH($A154,INDEX(Clay_Offices!$A$2:$FZ$601,0,Sync!$C$5),0),""),"")</f>
        <v/>
      </c>
      <c r="BY154" s="17">
        <f>IF(BX154="","",IFERROR(INDEX(Clay_Offices!$A$2:$FZ$601,BX154,Sync!$C$7)&amp;"",""))</f>
        <v/>
      </c>
      <c r="BZ154" s="17">
        <f>IF(BY154="","",IFERROR(INDEX(Lists!$J$2:$J$15,MATCH(BY154,Lists!$I$2:$I$15,0)),""))</f>
        <v/>
      </c>
      <c r="CA154" s="17">
        <f>IF(BX154="","",IFERROR(INDEX(Clay_Offices!$A$2:$FZ$601,BX154,Sync!$C$17)&amp;"",""))</f>
        <v/>
      </c>
      <c r="CB154" s="23">
        <f>IF(BX154="","",IFERROR(N(INDEX(Clay_Offices!$A$2:$FZ$601,BX154,Sync!$C$16)),0))</f>
        <v/>
      </c>
    </row>
    <row r="155">
      <c r="G155" s="22" t="n"/>
      <c r="AS155" s="17">
        <f>IF(TRIM($A155)="","",IF(AND(LEFT($A155,6)="SAMPLE",Config!$B$19&lt;&gt;"Y"),"",IF(NOT(ISNUMBER(G155)),"call_date is blank or not a date",IF(Sync!$C$5="","Clay paste is empty or has no row_id column: paste the Clay export on Clay_Offices",IF(BX155="","row_id not found in the Clay paste: add the Clay row or fix the row_id",IF(AND(ISNUMBER(BZ155),BZ155&gt;=1,BZ155&lt;=5),"Clay status is "&amp;BY155&amp;": set call_done or later",IF(AND(AW155=1,CA155&lt;&gt;BS155),"Clay yes_in_principle should be "&amp;BS155,IF(AND(AW155=1,CB155&lt;&gt;G155),"Clay call_date should be "&amp;TEXT(G155,"yyyy-mm-dd"),""))))))))</f>
        <v/>
      </c>
      <c r="AT155" s="17">
        <f>ROW()</f>
        <v/>
      </c>
      <c r="AU155" s="17">
        <f>IF(AND(TRIM($A155)&lt;&gt;"",ISNUMBER(G155)),IF(AND(LEFT($A155,6)="SAMPLE",Config!$B$19&lt;&gt;"Y"),0,1),0)</f>
        <v/>
      </c>
      <c r="AV155" s="17">
        <f>IF(AU155=1,IF(COUNTIFS($A$2:$A$201,$A155,$AU$2:$AU$201,1,$G$2:$G$201,"&lt;"&amp;G155)+COUNTIFS($A$2:$A$201,$A155,$AU$2:$AU$201,1,$G$2:$G$201,G155,$AT$2:$AT$201,"&lt;"&amp;AT155)=0,1,0),0)</f>
        <v/>
      </c>
      <c r="AW155" s="17">
        <f>IF(AU155=1,IF(COUNTIFS($A$2:$A$201,$A155,$AU$2:$AU$201,1,$G$2:$G$201,"&gt;"&amp;G155)+COUNTIFS($A$2:$A$201,$A155,$AU$2:$AU$201,1,$G$2:$G$201,G155,$AT$2:$AT$201,"&gt;"&amp;AT155)=0,1,0),0)</f>
        <v/>
      </c>
      <c r="AX155" s="17">
        <f>IF(AND(AU155=1,AN155="Y",Z155="Y",TRIM(AD155)&lt;&gt;""),1,0)</f>
        <v/>
      </c>
      <c r="AY155" s="17">
        <f>IF(AX155=1,IF(COUNTIFS($A$2:$A$201,$A155,$AX$2:$AX$201,1,$G$2:$G$201,"&lt;"&amp;G155)+COUNTIFS($A$2:$A$201,$A155,$AX$2:$AX$201,1,$G$2:$G$201,G155,$AT$2:$AT$201,"&lt;"&amp;AT155)=0,1,0),0)</f>
        <v/>
      </c>
      <c r="AZ155" s="17">
        <f>IF(AND(AU155=1,AN155="Y",AX155=0),1,0)</f>
        <v/>
      </c>
      <c r="BA155" s="17">
        <f>IF(AND(AU155=1,ISNUMBER(V155)),1,0)</f>
        <v/>
      </c>
      <c r="BB155" s="17">
        <f>IF(BA155=1,IF(COUNTIFS($A$2:$A$201,$A155,$BA$2:$BA$201,1,$G$2:$G$201,"&lt;"&amp;G155)+COUNTIFS($A$2:$A$201,$A155,$BA$2:$BA$201,1,$G$2:$G$201,G155,$AT$2:$AT$201,"&lt;"&amp;AT155)=0,1,0),0)</f>
        <v/>
      </c>
      <c r="BC155" s="17">
        <f>IF(AND(BB155=1,G155&lt;=Config!$B$6),V155,"")</f>
        <v/>
      </c>
      <c r="BD155" s="17">
        <f>IF(AND(BB155=1,G155&lt;=Config!$B$7),V155,"")</f>
        <v/>
      </c>
      <c r="BE155" s="17">
        <f>IF(AND(BB155=1,G155&lt;=Config!$B$8),V155,"")</f>
        <v/>
      </c>
      <c r="BF155" s="17">
        <f>IF(AND(BB155=1,G155&lt;=Config!$B$5),V155,"")</f>
        <v/>
      </c>
      <c r="BG155" s="17">
        <f>IF(BW155=1,IF(COUNTIFS($A$2:$A$201,$A155,$BW$2:$BW$201,1,$G$2:$G$201,"&lt;"&amp;G155)+COUNTIFS($A$2:$A$201,$A155,$BW$2:$BW$201,1,$G$2:$G$201,G155,$AT$2:$AT$201,"&lt;"&amp;AT155)=0,1,0),0)</f>
        <v/>
      </c>
      <c r="BH155" s="17">
        <f>IF(AND(AU155=1,ISNUMBER(K155)),1,0)</f>
        <v/>
      </c>
      <c r="BI155" s="17">
        <f>IF(BH155=1,IF(COUNTIFS($A$2:$A$201,$A155,$BH$2:$BH$201,1,$G$2:$G$201,"&lt;"&amp;G155)+COUNTIFS($A$2:$A$201,$A155,$BH$2:$BH$201,1,$G$2:$G$201,G155,$AT$2:$AT$201,"&lt;"&amp;AT155)=0,1,0),0)</f>
        <v/>
      </c>
      <c r="BJ155" s="17">
        <f>IF(AND(BI155=1,G155&lt;=Config!$B$5),K155,"")</f>
        <v/>
      </c>
      <c r="BK155" s="17">
        <f>IF(AND(AU155=1,OR(TRIM(U155)&lt;&gt;"",ISNUMBER(V155))),1,0)</f>
        <v/>
      </c>
      <c r="BL155" s="17">
        <f>IF(BK155=1,IF(COUNTIFS($A$2:$A$201,$A155,$BK$2:$BK$201,1,$G$2:$G$201,"&lt;"&amp;G155)+COUNTIFS($A$2:$A$201,$A155,$BK$2:$BK$201,1,$G$2:$G$201,G155,$AT$2:$AT$201,"&lt;"&amp;AT155)=0,1,0),0)</f>
        <v/>
      </c>
      <c r="BM155" s="17">
        <f>IF(BL155=1,$A155,"")</f>
        <v/>
      </c>
      <c r="BN155" s="17">
        <f>IF(AND(AU155=1,T155="Y",TRIM(U155)=""),1,0)</f>
        <v/>
      </c>
      <c r="BO155" s="17">
        <f>IF(AU155=1,AJ155&amp;"","")</f>
        <v/>
      </c>
      <c r="BP155" s="17">
        <f>IF(AU155=1,AK155&amp;"","")</f>
        <v/>
      </c>
      <c r="BQ155" s="17">
        <f>IF(AU155=1,AL155&amp;"","")</f>
        <v/>
      </c>
      <c r="BR155" s="17">
        <f>IF(AND(AU155=1,ISNUMBER(AP155),G155&lt;=Config!$B$5),AP155,"")</f>
        <v/>
      </c>
      <c r="BS155" s="17">
        <f>IF(AU155=1,IF(COUNTIFS($A$2:$A$201,$A155,$AN$2:$AN$201,"Y",$AU$2:$AU$201,1)&gt;0,"Y","N"),"")</f>
        <v/>
      </c>
      <c r="BT155" s="17">
        <f>IF(AND(AU155=1,AN155="maybe"),1,0)</f>
        <v/>
      </c>
      <c r="BU155" s="17">
        <f>IF(BT155=1,IF(COUNTIFS($A$2:$A$201,$A155,$BT$2:$BT$201,1,$G$2:$G$201,"&lt;"&amp;G155)+COUNTIFS($A$2:$A$201,$A155,$BT$2:$BT$201,1,$G$2:$G$201,G155,$AT$2:$AT$201,"&lt;"&amp;AT155)=0,1,0),0)</f>
        <v/>
      </c>
      <c r="BV155" s="17">
        <f>IF(AND(AU155=1,AN155="Y"),IF(COUNTIFS($A$2:$A$201,$A155,$AN$2:$AN$201,"Y",$AU$2:$AU$201,1,$G$2:$G$201,"&lt;"&amp;G155)+COUNTIFS($A$2:$A$201,$A155,$AN$2:$AN$201,"Y",$AU$2:$AU$201,1,$G$2:$G$201,G155,$AT$2:$AT$201,"&lt;"&amp;AT155)=0,1,0),0)</f>
        <v/>
      </c>
      <c r="BW155" s="17">
        <f>IF(AND(BA155=1,N(V155)&gt;=Config!$B$15),1,0)</f>
        <v/>
      </c>
      <c r="BX155" s="17">
        <f>IF(AU155=1,IFERROR(MATCH($A155,INDEX(Clay_Offices!$A$2:$FZ$601,0,Sync!$C$5),0),""),"")</f>
        <v/>
      </c>
      <c r="BY155" s="17">
        <f>IF(BX155="","",IFERROR(INDEX(Clay_Offices!$A$2:$FZ$601,BX155,Sync!$C$7)&amp;"",""))</f>
        <v/>
      </c>
      <c r="BZ155" s="17">
        <f>IF(BY155="","",IFERROR(INDEX(Lists!$J$2:$J$15,MATCH(BY155,Lists!$I$2:$I$15,0)),""))</f>
        <v/>
      </c>
      <c r="CA155" s="17">
        <f>IF(BX155="","",IFERROR(INDEX(Clay_Offices!$A$2:$FZ$601,BX155,Sync!$C$17)&amp;"",""))</f>
        <v/>
      </c>
      <c r="CB155" s="23">
        <f>IF(BX155="","",IFERROR(N(INDEX(Clay_Offices!$A$2:$FZ$601,BX155,Sync!$C$16)),0))</f>
        <v/>
      </c>
    </row>
    <row r="156">
      <c r="G156" s="22" t="n"/>
      <c r="AS156" s="17">
        <f>IF(TRIM($A156)="","",IF(AND(LEFT($A156,6)="SAMPLE",Config!$B$19&lt;&gt;"Y"),"",IF(NOT(ISNUMBER(G156)),"call_date is blank or not a date",IF(Sync!$C$5="","Clay paste is empty or has no row_id column: paste the Clay export on Clay_Offices",IF(BX156="","row_id not found in the Clay paste: add the Clay row or fix the row_id",IF(AND(ISNUMBER(BZ156),BZ156&gt;=1,BZ156&lt;=5),"Clay status is "&amp;BY156&amp;": set call_done or later",IF(AND(AW156=1,CA156&lt;&gt;BS156),"Clay yes_in_principle should be "&amp;BS156,IF(AND(AW156=1,CB156&lt;&gt;G156),"Clay call_date should be "&amp;TEXT(G156,"yyyy-mm-dd"),""))))))))</f>
        <v/>
      </c>
      <c r="AT156" s="17">
        <f>ROW()</f>
        <v/>
      </c>
      <c r="AU156" s="17">
        <f>IF(AND(TRIM($A156)&lt;&gt;"",ISNUMBER(G156)),IF(AND(LEFT($A156,6)="SAMPLE",Config!$B$19&lt;&gt;"Y"),0,1),0)</f>
        <v/>
      </c>
      <c r="AV156" s="17">
        <f>IF(AU156=1,IF(COUNTIFS($A$2:$A$201,$A156,$AU$2:$AU$201,1,$G$2:$G$201,"&lt;"&amp;G156)+COUNTIFS($A$2:$A$201,$A156,$AU$2:$AU$201,1,$G$2:$G$201,G156,$AT$2:$AT$201,"&lt;"&amp;AT156)=0,1,0),0)</f>
        <v/>
      </c>
      <c r="AW156" s="17">
        <f>IF(AU156=1,IF(COUNTIFS($A$2:$A$201,$A156,$AU$2:$AU$201,1,$G$2:$G$201,"&gt;"&amp;G156)+COUNTIFS($A$2:$A$201,$A156,$AU$2:$AU$201,1,$G$2:$G$201,G156,$AT$2:$AT$201,"&gt;"&amp;AT156)=0,1,0),0)</f>
        <v/>
      </c>
      <c r="AX156" s="17">
        <f>IF(AND(AU156=1,AN156="Y",Z156="Y",TRIM(AD156)&lt;&gt;""),1,0)</f>
        <v/>
      </c>
      <c r="AY156" s="17">
        <f>IF(AX156=1,IF(COUNTIFS($A$2:$A$201,$A156,$AX$2:$AX$201,1,$G$2:$G$201,"&lt;"&amp;G156)+COUNTIFS($A$2:$A$201,$A156,$AX$2:$AX$201,1,$G$2:$G$201,G156,$AT$2:$AT$201,"&lt;"&amp;AT156)=0,1,0),0)</f>
        <v/>
      </c>
      <c r="AZ156" s="17">
        <f>IF(AND(AU156=1,AN156="Y",AX156=0),1,0)</f>
        <v/>
      </c>
      <c r="BA156" s="17">
        <f>IF(AND(AU156=1,ISNUMBER(V156)),1,0)</f>
        <v/>
      </c>
      <c r="BB156" s="17">
        <f>IF(BA156=1,IF(COUNTIFS($A$2:$A$201,$A156,$BA$2:$BA$201,1,$G$2:$G$201,"&lt;"&amp;G156)+COUNTIFS($A$2:$A$201,$A156,$BA$2:$BA$201,1,$G$2:$G$201,G156,$AT$2:$AT$201,"&lt;"&amp;AT156)=0,1,0),0)</f>
        <v/>
      </c>
      <c r="BC156" s="17">
        <f>IF(AND(BB156=1,G156&lt;=Config!$B$6),V156,"")</f>
        <v/>
      </c>
      <c r="BD156" s="17">
        <f>IF(AND(BB156=1,G156&lt;=Config!$B$7),V156,"")</f>
        <v/>
      </c>
      <c r="BE156" s="17">
        <f>IF(AND(BB156=1,G156&lt;=Config!$B$8),V156,"")</f>
        <v/>
      </c>
      <c r="BF156" s="17">
        <f>IF(AND(BB156=1,G156&lt;=Config!$B$5),V156,"")</f>
        <v/>
      </c>
      <c r="BG156" s="17">
        <f>IF(BW156=1,IF(COUNTIFS($A$2:$A$201,$A156,$BW$2:$BW$201,1,$G$2:$G$201,"&lt;"&amp;G156)+COUNTIFS($A$2:$A$201,$A156,$BW$2:$BW$201,1,$G$2:$G$201,G156,$AT$2:$AT$201,"&lt;"&amp;AT156)=0,1,0),0)</f>
        <v/>
      </c>
      <c r="BH156" s="17">
        <f>IF(AND(AU156=1,ISNUMBER(K156)),1,0)</f>
        <v/>
      </c>
      <c r="BI156" s="17">
        <f>IF(BH156=1,IF(COUNTIFS($A$2:$A$201,$A156,$BH$2:$BH$201,1,$G$2:$G$201,"&lt;"&amp;G156)+COUNTIFS($A$2:$A$201,$A156,$BH$2:$BH$201,1,$G$2:$G$201,G156,$AT$2:$AT$201,"&lt;"&amp;AT156)=0,1,0),0)</f>
        <v/>
      </c>
      <c r="BJ156" s="17">
        <f>IF(AND(BI156=1,G156&lt;=Config!$B$5),K156,"")</f>
        <v/>
      </c>
      <c r="BK156" s="17">
        <f>IF(AND(AU156=1,OR(TRIM(U156)&lt;&gt;"",ISNUMBER(V156))),1,0)</f>
        <v/>
      </c>
      <c r="BL156" s="17">
        <f>IF(BK156=1,IF(COUNTIFS($A$2:$A$201,$A156,$BK$2:$BK$201,1,$G$2:$G$201,"&lt;"&amp;G156)+COUNTIFS($A$2:$A$201,$A156,$BK$2:$BK$201,1,$G$2:$G$201,G156,$AT$2:$AT$201,"&lt;"&amp;AT156)=0,1,0),0)</f>
        <v/>
      </c>
      <c r="BM156" s="17">
        <f>IF(BL156=1,$A156,"")</f>
        <v/>
      </c>
      <c r="BN156" s="17">
        <f>IF(AND(AU156=1,T156="Y",TRIM(U156)=""),1,0)</f>
        <v/>
      </c>
      <c r="BO156" s="17">
        <f>IF(AU156=1,AJ156&amp;"","")</f>
        <v/>
      </c>
      <c r="BP156" s="17">
        <f>IF(AU156=1,AK156&amp;"","")</f>
        <v/>
      </c>
      <c r="BQ156" s="17">
        <f>IF(AU156=1,AL156&amp;"","")</f>
        <v/>
      </c>
      <c r="BR156" s="17">
        <f>IF(AND(AU156=1,ISNUMBER(AP156),G156&lt;=Config!$B$5),AP156,"")</f>
        <v/>
      </c>
      <c r="BS156" s="17">
        <f>IF(AU156=1,IF(COUNTIFS($A$2:$A$201,$A156,$AN$2:$AN$201,"Y",$AU$2:$AU$201,1)&gt;0,"Y","N"),"")</f>
        <v/>
      </c>
      <c r="BT156" s="17">
        <f>IF(AND(AU156=1,AN156="maybe"),1,0)</f>
        <v/>
      </c>
      <c r="BU156" s="17">
        <f>IF(BT156=1,IF(COUNTIFS($A$2:$A$201,$A156,$BT$2:$BT$201,1,$G$2:$G$201,"&lt;"&amp;G156)+COUNTIFS($A$2:$A$201,$A156,$BT$2:$BT$201,1,$G$2:$G$201,G156,$AT$2:$AT$201,"&lt;"&amp;AT156)=0,1,0),0)</f>
        <v/>
      </c>
      <c r="BV156" s="17">
        <f>IF(AND(AU156=1,AN156="Y"),IF(COUNTIFS($A$2:$A$201,$A156,$AN$2:$AN$201,"Y",$AU$2:$AU$201,1,$G$2:$G$201,"&lt;"&amp;G156)+COUNTIFS($A$2:$A$201,$A156,$AN$2:$AN$201,"Y",$AU$2:$AU$201,1,$G$2:$G$201,G156,$AT$2:$AT$201,"&lt;"&amp;AT156)=0,1,0),0)</f>
        <v/>
      </c>
      <c r="BW156" s="17">
        <f>IF(AND(BA156=1,N(V156)&gt;=Config!$B$15),1,0)</f>
        <v/>
      </c>
      <c r="BX156" s="17">
        <f>IF(AU156=1,IFERROR(MATCH($A156,INDEX(Clay_Offices!$A$2:$FZ$601,0,Sync!$C$5),0),""),"")</f>
        <v/>
      </c>
      <c r="BY156" s="17">
        <f>IF(BX156="","",IFERROR(INDEX(Clay_Offices!$A$2:$FZ$601,BX156,Sync!$C$7)&amp;"",""))</f>
        <v/>
      </c>
      <c r="BZ156" s="17">
        <f>IF(BY156="","",IFERROR(INDEX(Lists!$J$2:$J$15,MATCH(BY156,Lists!$I$2:$I$15,0)),""))</f>
        <v/>
      </c>
      <c r="CA156" s="17">
        <f>IF(BX156="","",IFERROR(INDEX(Clay_Offices!$A$2:$FZ$601,BX156,Sync!$C$17)&amp;"",""))</f>
        <v/>
      </c>
      <c r="CB156" s="23">
        <f>IF(BX156="","",IFERROR(N(INDEX(Clay_Offices!$A$2:$FZ$601,BX156,Sync!$C$16)),0))</f>
        <v/>
      </c>
    </row>
    <row r="157">
      <c r="G157" s="22" t="n"/>
      <c r="AS157" s="17">
        <f>IF(TRIM($A157)="","",IF(AND(LEFT($A157,6)="SAMPLE",Config!$B$19&lt;&gt;"Y"),"",IF(NOT(ISNUMBER(G157)),"call_date is blank or not a date",IF(Sync!$C$5="","Clay paste is empty or has no row_id column: paste the Clay export on Clay_Offices",IF(BX157="","row_id not found in the Clay paste: add the Clay row or fix the row_id",IF(AND(ISNUMBER(BZ157),BZ157&gt;=1,BZ157&lt;=5),"Clay status is "&amp;BY157&amp;": set call_done or later",IF(AND(AW157=1,CA157&lt;&gt;BS157),"Clay yes_in_principle should be "&amp;BS157,IF(AND(AW157=1,CB157&lt;&gt;G157),"Clay call_date should be "&amp;TEXT(G157,"yyyy-mm-dd"),""))))))))</f>
        <v/>
      </c>
      <c r="AT157" s="17">
        <f>ROW()</f>
        <v/>
      </c>
      <c r="AU157" s="17">
        <f>IF(AND(TRIM($A157)&lt;&gt;"",ISNUMBER(G157)),IF(AND(LEFT($A157,6)="SAMPLE",Config!$B$19&lt;&gt;"Y"),0,1),0)</f>
        <v/>
      </c>
      <c r="AV157" s="17">
        <f>IF(AU157=1,IF(COUNTIFS($A$2:$A$201,$A157,$AU$2:$AU$201,1,$G$2:$G$201,"&lt;"&amp;G157)+COUNTIFS($A$2:$A$201,$A157,$AU$2:$AU$201,1,$G$2:$G$201,G157,$AT$2:$AT$201,"&lt;"&amp;AT157)=0,1,0),0)</f>
        <v/>
      </c>
      <c r="AW157" s="17">
        <f>IF(AU157=1,IF(COUNTIFS($A$2:$A$201,$A157,$AU$2:$AU$201,1,$G$2:$G$201,"&gt;"&amp;G157)+COUNTIFS($A$2:$A$201,$A157,$AU$2:$AU$201,1,$G$2:$G$201,G157,$AT$2:$AT$201,"&gt;"&amp;AT157)=0,1,0),0)</f>
        <v/>
      </c>
      <c r="AX157" s="17">
        <f>IF(AND(AU157=1,AN157="Y",Z157="Y",TRIM(AD157)&lt;&gt;""),1,0)</f>
        <v/>
      </c>
      <c r="AY157" s="17">
        <f>IF(AX157=1,IF(COUNTIFS($A$2:$A$201,$A157,$AX$2:$AX$201,1,$G$2:$G$201,"&lt;"&amp;G157)+COUNTIFS($A$2:$A$201,$A157,$AX$2:$AX$201,1,$G$2:$G$201,G157,$AT$2:$AT$201,"&lt;"&amp;AT157)=0,1,0),0)</f>
        <v/>
      </c>
      <c r="AZ157" s="17">
        <f>IF(AND(AU157=1,AN157="Y",AX157=0),1,0)</f>
        <v/>
      </c>
      <c r="BA157" s="17">
        <f>IF(AND(AU157=1,ISNUMBER(V157)),1,0)</f>
        <v/>
      </c>
      <c r="BB157" s="17">
        <f>IF(BA157=1,IF(COUNTIFS($A$2:$A$201,$A157,$BA$2:$BA$201,1,$G$2:$G$201,"&lt;"&amp;G157)+COUNTIFS($A$2:$A$201,$A157,$BA$2:$BA$201,1,$G$2:$G$201,G157,$AT$2:$AT$201,"&lt;"&amp;AT157)=0,1,0),0)</f>
        <v/>
      </c>
      <c r="BC157" s="17">
        <f>IF(AND(BB157=1,G157&lt;=Config!$B$6),V157,"")</f>
        <v/>
      </c>
      <c r="BD157" s="17">
        <f>IF(AND(BB157=1,G157&lt;=Config!$B$7),V157,"")</f>
        <v/>
      </c>
      <c r="BE157" s="17">
        <f>IF(AND(BB157=1,G157&lt;=Config!$B$8),V157,"")</f>
        <v/>
      </c>
      <c r="BF157" s="17">
        <f>IF(AND(BB157=1,G157&lt;=Config!$B$5),V157,"")</f>
        <v/>
      </c>
      <c r="BG157" s="17">
        <f>IF(BW157=1,IF(COUNTIFS($A$2:$A$201,$A157,$BW$2:$BW$201,1,$G$2:$G$201,"&lt;"&amp;G157)+COUNTIFS($A$2:$A$201,$A157,$BW$2:$BW$201,1,$G$2:$G$201,G157,$AT$2:$AT$201,"&lt;"&amp;AT157)=0,1,0),0)</f>
        <v/>
      </c>
      <c r="BH157" s="17">
        <f>IF(AND(AU157=1,ISNUMBER(K157)),1,0)</f>
        <v/>
      </c>
      <c r="BI157" s="17">
        <f>IF(BH157=1,IF(COUNTIFS($A$2:$A$201,$A157,$BH$2:$BH$201,1,$G$2:$G$201,"&lt;"&amp;G157)+COUNTIFS($A$2:$A$201,$A157,$BH$2:$BH$201,1,$G$2:$G$201,G157,$AT$2:$AT$201,"&lt;"&amp;AT157)=0,1,0),0)</f>
        <v/>
      </c>
      <c r="BJ157" s="17">
        <f>IF(AND(BI157=1,G157&lt;=Config!$B$5),K157,"")</f>
        <v/>
      </c>
      <c r="BK157" s="17">
        <f>IF(AND(AU157=1,OR(TRIM(U157)&lt;&gt;"",ISNUMBER(V157))),1,0)</f>
        <v/>
      </c>
      <c r="BL157" s="17">
        <f>IF(BK157=1,IF(COUNTIFS($A$2:$A$201,$A157,$BK$2:$BK$201,1,$G$2:$G$201,"&lt;"&amp;G157)+COUNTIFS($A$2:$A$201,$A157,$BK$2:$BK$201,1,$G$2:$G$201,G157,$AT$2:$AT$201,"&lt;"&amp;AT157)=0,1,0),0)</f>
        <v/>
      </c>
      <c r="BM157" s="17">
        <f>IF(BL157=1,$A157,"")</f>
        <v/>
      </c>
      <c r="BN157" s="17">
        <f>IF(AND(AU157=1,T157="Y",TRIM(U157)=""),1,0)</f>
        <v/>
      </c>
      <c r="BO157" s="17">
        <f>IF(AU157=1,AJ157&amp;"","")</f>
        <v/>
      </c>
      <c r="BP157" s="17">
        <f>IF(AU157=1,AK157&amp;"","")</f>
        <v/>
      </c>
      <c r="BQ157" s="17">
        <f>IF(AU157=1,AL157&amp;"","")</f>
        <v/>
      </c>
      <c r="BR157" s="17">
        <f>IF(AND(AU157=1,ISNUMBER(AP157),G157&lt;=Config!$B$5),AP157,"")</f>
        <v/>
      </c>
      <c r="BS157" s="17">
        <f>IF(AU157=1,IF(COUNTIFS($A$2:$A$201,$A157,$AN$2:$AN$201,"Y",$AU$2:$AU$201,1)&gt;0,"Y","N"),"")</f>
        <v/>
      </c>
      <c r="BT157" s="17">
        <f>IF(AND(AU157=1,AN157="maybe"),1,0)</f>
        <v/>
      </c>
      <c r="BU157" s="17">
        <f>IF(BT157=1,IF(COUNTIFS($A$2:$A$201,$A157,$BT$2:$BT$201,1,$G$2:$G$201,"&lt;"&amp;G157)+COUNTIFS($A$2:$A$201,$A157,$BT$2:$BT$201,1,$G$2:$G$201,G157,$AT$2:$AT$201,"&lt;"&amp;AT157)=0,1,0),0)</f>
        <v/>
      </c>
      <c r="BV157" s="17">
        <f>IF(AND(AU157=1,AN157="Y"),IF(COUNTIFS($A$2:$A$201,$A157,$AN$2:$AN$201,"Y",$AU$2:$AU$201,1,$G$2:$G$201,"&lt;"&amp;G157)+COUNTIFS($A$2:$A$201,$A157,$AN$2:$AN$201,"Y",$AU$2:$AU$201,1,$G$2:$G$201,G157,$AT$2:$AT$201,"&lt;"&amp;AT157)=0,1,0),0)</f>
        <v/>
      </c>
      <c r="BW157" s="17">
        <f>IF(AND(BA157=1,N(V157)&gt;=Config!$B$15),1,0)</f>
        <v/>
      </c>
      <c r="BX157" s="17">
        <f>IF(AU157=1,IFERROR(MATCH($A157,INDEX(Clay_Offices!$A$2:$FZ$601,0,Sync!$C$5),0),""),"")</f>
        <v/>
      </c>
      <c r="BY157" s="17">
        <f>IF(BX157="","",IFERROR(INDEX(Clay_Offices!$A$2:$FZ$601,BX157,Sync!$C$7)&amp;"",""))</f>
        <v/>
      </c>
      <c r="BZ157" s="17">
        <f>IF(BY157="","",IFERROR(INDEX(Lists!$J$2:$J$15,MATCH(BY157,Lists!$I$2:$I$15,0)),""))</f>
        <v/>
      </c>
      <c r="CA157" s="17">
        <f>IF(BX157="","",IFERROR(INDEX(Clay_Offices!$A$2:$FZ$601,BX157,Sync!$C$17)&amp;"",""))</f>
        <v/>
      </c>
      <c r="CB157" s="23">
        <f>IF(BX157="","",IFERROR(N(INDEX(Clay_Offices!$A$2:$FZ$601,BX157,Sync!$C$16)),0))</f>
        <v/>
      </c>
    </row>
    <row r="158">
      <c r="G158" s="22" t="n"/>
      <c r="AS158" s="17">
        <f>IF(TRIM($A158)="","",IF(AND(LEFT($A158,6)="SAMPLE",Config!$B$19&lt;&gt;"Y"),"",IF(NOT(ISNUMBER(G158)),"call_date is blank or not a date",IF(Sync!$C$5="","Clay paste is empty or has no row_id column: paste the Clay export on Clay_Offices",IF(BX158="","row_id not found in the Clay paste: add the Clay row or fix the row_id",IF(AND(ISNUMBER(BZ158),BZ158&gt;=1,BZ158&lt;=5),"Clay status is "&amp;BY158&amp;": set call_done or later",IF(AND(AW158=1,CA158&lt;&gt;BS158),"Clay yes_in_principle should be "&amp;BS158,IF(AND(AW158=1,CB158&lt;&gt;G158),"Clay call_date should be "&amp;TEXT(G158,"yyyy-mm-dd"),""))))))))</f>
        <v/>
      </c>
      <c r="AT158" s="17">
        <f>ROW()</f>
        <v/>
      </c>
      <c r="AU158" s="17">
        <f>IF(AND(TRIM($A158)&lt;&gt;"",ISNUMBER(G158)),IF(AND(LEFT($A158,6)="SAMPLE",Config!$B$19&lt;&gt;"Y"),0,1),0)</f>
        <v/>
      </c>
      <c r="AV158" s="17">
        <f>IF(AU158=1,IF(COUNTIFS($A$2:$A$201,$A158,$AU$2:$AU$201,1,$G$2:$G$201,"&lt;"&amp;G158)+COUNTIFS($A$2:$A$201,$A158,$AU$2:$AU$201,1,$G$2:$G$201,G158,$AT$2:$AT$201,"&lt;"&amp;AT158)=0,1,0),0)</f>
        <v/>
      </c>
      <c r="AW158" s="17">
        <f>IF(AU158=1,IF(COUNTIFS($A$2:$A$201,$A158,$AU$2:$AU$201,1,$G$2:$G$201,"&gt;"&amp;G158)+COUNTIFS($A$2:$A$201,$A158,$AU$2:$AU$201,1,$G$2:$G$201,G158,$AT$2:$AT$201,"&gt;"&amp;AT158)=0,1,0),0)</f>
        <v/>
      </c>
      <c r="AX158" s="17">
        <f>IF(AND(AU158=1,AN158="Y",Z158="Y",TRIM(AD158)&lt;&gt;""),1,0)</f>
        <v/>
      </c>
      <c r="AY158" s="17">
        <f>IF(AX158=1,IF(COUNTIFS($A$2:$A$201,$A158,$AX$2:$AX$201,1,$G$2:$G$201,"&lt;"&amp;G158)+COUNTIFS($A$2:$A$201,$A158,$AX$2:$AX$201,1,$G$2:$G$201,G158,$AT$2:$AT$201,"&lt;"&amp;AT158)=0,1,0),0)</f>
        <v/>
      </c>
      <c r="AZ158" s="17">
        <f>IF(AND(AU158=1,AN158="Y",AX158=0),1,0)</f>
        <v/>
      </c>
      <c r="BA158" s="17">
        <f>IF(AND(AU158=1,ISNUMBER(V158)),1,0)</f>
        <v/>
      </c>
      <c r="BB158" s="17">
        <f>IF(BA158=1,IF(COUNTIFS($A$2:$A$201,$A158,$BA$2:$BA$201,1,$G$2:$G$201,"&lt;"&amp;G158)+COUNTIFS($A$2:$A$201,$A158,$BA$2:$BA$201,1,$G$2:$G$201,G158,$AT$2:$AT$201,"&lt;"&amp;AT158)=0,1,0),0)</f>
        <v/>
      </c>
      <c r="BC158" s="17">
        <f>IF(AND(BB158=1,G158&lt;=Config!$B$6),V158,"")</f>
        <v/>
      </c>
      <c r="BD158" s="17">
        <f>IF(AND(BB158=1,G158&lt;=Config!$B$7),V158,"")</f>
        <v/>
      </c>
      <c r="BE158" s="17">
        <f>IF(AND(BB158=1,G158&lt;=Config!$B$8),V158,"")</f>
        <v/>
      </c>
      <c r="BF158" s="17">
        <f>IF(AND(BB158=1,G158&lt;=Config!$B$5),V158,"")</f>
        <v/>
      </c>
      <c r="BG158" s="17">
        <f>IF(BW158=1,IF(COUNTIFS($A$2:$A$201,$A158,$BW$2:$BW$201,1,$G$2:$G$201,"&lt;"&amp;G158)+COUNTIFS($A$2:$A$201,$A158,$BW$2:$BW$201,1,$G$2:$G$201,G158,$AT$2:$AT$201,"&lt;"&amp;AT158)=0,1,0),0)</f>
        <v/>
      </c>
      <c r="BH158" s="17">
        <f>IF(AND(AU158=1,ISNUMBER(K158)),1,0)</f>
        <v/>
      </c>
      <c r="BI158" s="17">
        <f>IF(BH158=1,IF(COUNTIFS($A$2:$A$201,$A158,$BH$2:$BH$201,1,$G$2:$G$201,"&lt;"&amp;G158)+COUNTIFS($A$2:$A$201,$A158,$BH$2:$BH$201,1,$G$2:$G$201,G158,$AT$2:$AT$201,"&lt;"&amp;AT158)=0,1,0),0)</f>
        <v/>
      </c>
      <c r="BJ158" s="17">
        <f>IF(AND(BI158=1,G158&lt;=Config!$B$5),K158,"")</f>
        <v/>
      </c>
      <c r="BK158" s="17">
        <f>IF(AND(AU158=1,OR(TRIM(U158)&lt;&gt;"",ISNUMBER(V158))),1,0)</f>
        <v/>
      </c>
      <c r="BL158" s="17">
        <f>IF(BK158=1,IF(COUNTIFS($A$2:$A$201,$A158,$BK$2:$BK$201,1,$G$2:$G$201,"&lt;"&amp;G158)+COUNTIFS($A$2:$A$201,$A158,$BK$2:$BK$201,1,$G$2:$G$201,G158,$AT$2:$AT$201,"&lt;"&amp;AT158)=0,1,0),0)</f>
        <v/>
      </c>
      <c r="BM158" s="17">
        <f>IF(BL158=1,$A158,"")</f>
        <v/>
      </c>
      <c r="BN158" s="17">
        <f>IF(AND(AU158=1,T158="Y",TRIM(U158)=""),1,0)</f>
        <v/>
      </c>
      <c r="BO158" s="17">
        <f>IF(AU158=1,AJ158&amp;"","")</f>
        <v/>
      </c>
      <c r="BP158" s="17">
        <f>IF(AU158=1,AK158&amp;"","")</f>
        <v/>
      </c>
      <c r="BQ158" s="17">
        <f>IF(AU158=1,AL158&amp;"","")</f>
        <v/>
      </c>
      <c r="BR158" s="17">
        <f>IF(AND(AU158=1,ISNUMBER(AP158),G158&lt;=Config!$B$5),AP158,"")</f>
        <v/>
      </c>
      <c r="BS158" s="17">
        <f>IF(AU158=1,IF(COUNTIFS($A$2:$A$201,$A158,$AN$2:$AN$201,"Y",$AU$2:$AU$201,1)&gt;0,"Y","N"),"")</f>
        <v/>
      </c>
      <c r="BT158" s="17">
        <f>IF(AND(AU158=1,AN158="maybe"),1,0)</f>
        <v/>
      </c>
      <c r="BU158" s="17">
        <f>IF(BT158=1,IF(COUNTIFS($A$2:$A$201,$A158,$BT$2:$BT$201,1,$G$2:$G$201,"&lt;"&amp;G158)+COUNTIFS($A$2:$A$201,$A158,$BT$2:$BT$201,1,$G$2:$G$201,G158,$AT$2:$AT$201,"&lt;"&amp;AT158)=0,1,0),0)</f>
        <v/>
      </c>
      <c r="BV158" s="17">
        <f>IF(AND(AU158=1,AN158="Y"),IF(COUNTIFS($A$2:$A$201,$A158,$AN$2:$AN$201,"Y",$AU$2:$AU$201,1,$G$2:$G$201,"&lt;"&amp;G158)+COUNTIFS($A$2:$A$201,$A158,$AN$2:$AN$201,"Y",$AU$2:$AU$201,1,$G$2:$G$201,G158,$AT$2:$AT$201,"&lt;"&amp;AT158)=0,1,0),0)</f>
        <v/>
      </c>
      <c r="BW158" s="17">
        <f>IF(AND(BA158=1,N(V158)&gt;=Config!$B$15),1,0)</f>
        <v/>
      </c>
      <c r="BX158" s="17">
        <f>IF(AU158=1,IFERROR(MATCH($A158,INDEX(Clay_Offices!$A$2:$FZ$601,0,Sync!$C$5),0),""),"")</f>
        <v/>
      </c>
      <c r="BY158" s="17">
        <f>IF(BX158="","",IFERROR(INDEX(Clay_Offices!$A$2:$FZ$601,BX158,Sync!$C$7)&amp;"",""))</f>
        <v/>
      </c>
      <c r="BZ158" s="17">
        <f>IF(BY158="","",IFERROR(INDEX(Lists!$J$2:$J$15,MATCH(BY158,Lists!$I$2:$I$15,0)),""))</f>
        <v/>
      </c>
      <c r="CA158" s="17">
        <f>IF(BX158="","",IFERROR(INDEX(Clay_Offices!$A$2:$FZ$601,BX158,Sync!$C$17)&amp;"",""))</f>
        <v/>
      </c>
      <c r="CB158" s="23">
        <f>IF(BX158="","",IFERROR(N(INDEX(Clay_Offices!$A$2:$FZ$601,BX158,Sync!$C$16)),0))</f>
        <v/>
      </c>
    </row>
    <row r="159">
      <c r="G159" s="22" t="n"/>
      <c r="AS159" s="17">
        <f>IF(TRIM($A159)="","",IF(AND(LEFT($A159,6)="SAMPLE",Config!$B$19&lt;&gt;"Y"),"",IF(NOT(ISNUMBER(G159)),"call_date is blank or not a date",IF(Sync!$C$5="","Clay paste is empty or has no row_id column: paste the Clay export on Clay_Offices",IF(BX159="","row_id not found in the Clay paste: add the Clay row or fix the row_id",IF(AND(ISNUMBER(BZ159),BZ159&gt;=1,BZ159&lt;=5),"Clay status is "&amp;BY159&amp;": set call_done or later",IF(AND(AW159=1,CA159&lt;&gt;BS159),"Clay yes_in_principle should be "&amp;BS159,IF(AND(AW159=1,CB159&lt;&gt;G159),"Clay call_date should be "&amp;TEXT(G159,"yyyy-mm-dd"),""))))))))</f>
        <v/>
      </c>
      <c r="AT159" s="17">
        <f>ROW()</f>
        <v/>
      </c>
      <c r="AU159" s="17">
        <f>IF(AND(TRIM($A159)&lt;&gt;"",ISNUMBER(G159)),IF(AND(LEFT($A159,6)="SAMPLE",Config!$B$19&lt;&gt;"Y"),0,1),0)</f>
        <v/>
      </c>
      <c r="AV159" s="17">
        <f>IF(AU159=1,IF(COUNTIFS($A$2:$A$201,$A159,$AU$2:$AU$201,1,$G$2:$G$201,"&lt;"&amp;G159)+COUNTIFS($A$2:$A$201,$A159,$AU$2:$AU$201,1,$G$2:$G$201,G159,$AT$2:$AT$201,"&lt;"&amp;AT159)=0,1,0),0)</f>
        <v/>
      </c>
      <c r="AW159" s="17">
        <f>IF(AU159=1,IF(COUNTIFS($A$2:$A$201,$A159,$AU$2:$AU$201,1,$G$2:$G$201,"&gt;"&amp;G159)+COUNTIFS($A$2:$A$201,$A159,$AU$2:$AU$201,1,$G$2:$G$201,G159,$AT$2:$AT$201,"&gt;"&amp;AT159)=0,1,0),0)</f>
        <v/>
      </c>
      <c r="AX159" s="17">
        <f>IF(AND(AU159=1,AN159="Y",Z159="Y",TRIM(AD159)&lt;&gt;""),1,0)</f>
        <v/>
      </c>
      <c r="AY159" s="17">
        <f>IF(AX159=1,IF(COUNTIFS($A$2:$A$201,$A159,$AX$2:$AX$201,1,$G$2:$G$201,"&lt;"&amp;G159)+COUNTIFS($A$2:$A$201,$A159,$AX$2:$AX$201,1,$G$2:$G$201,G159,$AT$2:$AT$201,"&lt;"&amp;AT159)=0,1,0),0)</f>
        <v/>
      </c>
      <c r="AZ159" s="17">
        <f>IF(AND(AU159=1,AN159="Y",AX159=0),1,0)</f>
        <v/>
      </c>
      <c r="BA159" s="17">
        <f>IF(AND(AU159=1,ISNUMBER(V159)),1,0)</f>
        <v/>
      </c>
      <c r="BB159" s="17">
        <f>IF(BA159=1,IF(COUNTIFS($A$2:$A$201,$A159,$BA$2:$BA$201,1,$G$2:$G$201,"&lt;"&amp;G159)+COUNTIFS($A$2:$A$201,$A159,$BA$2:$BA$201,1,$G$2:$G$201,G159,$AT$2:$AT$201,"&lt;"&amp;AT159)=0,1,0),0)</f>
        <v/>
      </c>
      <c r="BC159" s="17">
        <f>IF(AND(BB159=1,G159&lt;=Config!$B$6),V159,"")</f>
        <v/>
      </c>
      <c r="BD159" s="17">
        <f>IF(AND(BB159=1,G159&lt;=Config!$B$7),V159,"")</f>
        <v/>
      </c>
      <c r="BE159" s="17">
        <f>IF(AND(BB159=1,G159&lt;=Config!$B$8),V159,"")</f>
        <v/>
      </c>
      <c r="BF159" s="17">
        <f>IF(AND(BB159=1,G159&lt;=Config!$B$5),V159,"")</f>
        <v/>
      </c>
      <c r="BG159" s="17">
        <f>IF(BW159=1,IF(COUNTIFS($A$2:$A$201,$A159,$BW$2:$BW$201,1,$G$2:$G$201,"&lt;"&amp;G159)+COUNTIFS($A$2:$A$201,$A159,$BW$2:$BW$201,1,$G$2:$G$201,G159,$AT$2:$AT$201,"&lt;"&amp;AT159)=0,1,0),0)</f>
        <v/>
      </c>
      <c r="BH159" s="17">
        <f>IF(AND(AU159=1,ISNUMBER(K159)),1,0)</f>
        <v/>
      </c>
      <c r="BI159" s="17">
        <f>IF(BH159=1,IF(COUNTIFS($A$2:$A$201,$A159,$BH$2:$BH$201,1,$G$2:$G$201,"&lt;"&amp;G159)+COUNTIFS($A$2:$A$201,$A159,$BH$2:$BH$201,1,$G$2:$G$201,G159,$AT$2:$AT$201,"&lt;"&amp;AT159)=0,1,0),0)</f>
        <v/>
      </c>
      <c r="BJ159" s="17">
        <f>IF(AND(BI159=1,G159&lt;=Config!$B$5),K159,"")</f>
        <v/>
      </c>
      <c r="BK159" s="17">
        <f>IF(AND(AU159=1,OR(TRIM(U159)&lt;&gt;"",ISNUMBER(V159))),1,0)</f>
        <v/>
      </c>
      <c r="BL159" s="17">
        <f>IF(BK159=1,IF(COUNTIFS($A$2:$A$201,$A159,$BK$2:$BK$201,1,$G$2:$G$201,"&lt;"&amp;G159)+COUNTIFS($A$2:$A$201,$A159,$BK$2:$BK$201,1,$G$2:$G$201,G159,$AT$2:$AT$201,"&lt;"&amp;AT159)=0,1,0),0)</f>
        <v/>
      </c>
      <c r="BM159" s="17">
        <f>IF(BL159=1,$A159,"")</f>
        <v/>
      </c>
      <c r="BN159" s="17">
        <f>IF(AND(AU159=1,T159="Y",TRIM(U159)=""),1,0)</f>
        <v/>
      </c>
      <c r="BO159" s="17">
        <f>IF(AU159=1,AJ159&amp;"","")</f>
        <v/>
      </c>
      <c r="BP159" s="17">
        <f>IF(AU159=1,AK159&amp;"","")</f>
        <v/>
      </c>
      <c r="BQ159" s="17">
        <f>IF(AU159=1,AL159&amp;"","")</f>
        <v/>
      </c>
      <c r="BR159" s="17">
        <f>IF(AND(AU159=1,ISNUMBER(AP159),G159&lt;=Config!$B$5),AP159,"")</f>
        <v/>
      </c>
      <c r="BS159" s="17">
        <f>IF(AU159=1,IF(COUNTIFS($A$2:$A$201,$A159,$AN$2:$AN$201,"Y",$AU$2:$AU$201,1)&gt;0,"Y","N"),"")</f>
        <v/>
      </c>
      <c r="BT159" s="17">
        <f>IF(AND(AU159=1,AN159="maybe"),1,0)</f>
        <v/>
      </c>
      <c r="BU159" s="17">
        <f>IF(BT159=1,IF(COUNTIFS($A$2:$A$201,$A159,$BT$2:$BT$201,1,$G$2:$G$201,"&lt;"&amp;G159)+COUNTIFS($A$2:$A$201,$A159,$BT$2:$BT$201,1,$G$2:$G$201,G159,$AT$2:$AT$201,"&lt;"&amp;AT159)=0,1,0),0)</f>
        <v/>
      </c>
      <c r="BV159" s="17">
        <f>IF(AND(AU159=1,AN159="Y"),IF(COUNTIFS($A$2:$A$201,$A159,$AN$2:$AN$201,"Y",$AU$2:$AU$201,1,$G$2:$G$201,"&lt;"&amp;G159)+COUNTIFS($A$2:$A$201,$A159,$AN$2:$AN$201,"Y",$AU$2:$AU$201,1,$G$2:$G$201,G159,$AT$2:$AT$201,"&lt;"&amp;AT159)=0,1,0),0)</f>
        <v/>
      </c>
      <c r="BW159" s="17">
        <f>IF(AND(BA159=1,N(V159)&gt;=Config!$B$15),1,0)</f>
        <v/>
      </c>
      <c r="BX159" s="17">
        <f>IF(AU159=1,IFERROR(MATCH($A159,INDEX(Clay_Offices!$A$2:$FZ$601,0,Sync!$C$5),0),""),"")</f>
        <v/>
      </c>
      <c r="BY159" s="17">
        <f>IF(BX159="","",IFERROR(INDEX(Clay_Offices!$A$2:$FZ$601,BX159,Sync!$C$7)&amp;"",""))</f>
        <v/>
      </c>
      <c r="BZ159" s="17">
        <f>IF(BY159="","",IFERROR(INDEX(Lists!$J$2:$J$15,MATCH(BY159,Lists!$I$2:$I$15,0)),""))</f>
        <v/>
      </c>
      <c r="CA159" s="17">
        <f>IF(BX159="","",IFERROR(INDEX(Clay_Offices!$A$2:$FZ$601,BX159,Sync!$C$17)&amp;"",""))</f>
        <v/>
      </c>
      <c r="CB159" s="23">
        <f>IF(BX159="","",IFERROR(N(INDEX(Clay_Offices!$A$2:$FZ$601,BX159,Sync!$C$16)),0))</f>
        <v/>
      </c>
    </row>
    <row r="160">
      <c r="G160" s="22" t="n"/>
      <c r="AS160" s="17">
        <f>IF(TRIM($A160)="","",IF(AND(LEFT($A160,6)="SAMPLE",Config!$B$19&lt;&gt;"Y"),"",IF(NOT(ISNUMBER(G160)),"call_date is blank or not a date",IF(Sync!$C$5="","Clay paste is empty or has no row_id column: paste the Clay export on Clay_Offices",IF(BX160="","row_id not found in the Clay paste: add the Clay row or fix the row_id",IF(AND(ISNUMBER(BZ160),BZ160&gt;=1,BZ160&lt;=5),"Clay status is "&amp;BY160&amp;": set call_done or later",IF(AND(AW160=1,CA160&lt;&gt;BS160),"Clay yes_in_principle should be "&amp;BS160,IF(AND(AW160=1,CB160&lt;&gt;G160),"Clay call_date should be "&amp;TEXT(G160,"yyyy-mm-dd"),""))))))))</f>
        <v/>
      </c>
      <c r="AT160" s="17">
        <f>ROW()</f>
        <v/>
      </c>
      <c r="AU160" s="17">
        <f>IF(AND(TRIM($A160)&lt;&gt;"",ISNUMBER(G160)),IF(AND(LEFT($A160,6)="SAMPLE",Config!$B$19&lt;&gt;"Y"),0,1),0)</f>
        <v/>
      </c>
      <c r="AV160" s="17">
        <f>IF(AU160=1,IF(COUNTIFS($A$2:$A$201,$A160,$AU$2:$AU$201,1,$G$2:$G$201,"&lt;"&amp;G160)+COUNTIFS($A$2:$A$201,$A160,$AU$2:$AU$201,1,$G$2:$G$201,G160,$AT$2:$AT$201,"&lt;"&amp;AT160)=0,1,0),0)</f>
        <v/>
      </c>
      <c r="AW160" s="17">
        <f>IF(AU160=1,IF(COUNTIFS($A$2:$A$201,$A160,$AU$2:$AU$201,1,$G$2:$G$201,"&gt;"&amp;G160)+COUNTIFS($A$2:$A$201,$A160,$AU$2:$AU$201,1,$G$2:$G$201,G160,$AT$2:$AT$201,"&gt;"&amp;AT160)=0,1,0),0)</f>
        <v/>
      </c>
      <c r="AX160" s="17">
        <f>IF(AND(AU160=1,AN160="Y",Z160="Y",TRIM(AD160)&lt;&gt;""),1,0)</f>
        <v/>
      </c>
      <c r="AY160" s="17">
        <f>IF(AX160=1,IF(COUNTIFS($A$2:$A$201,$A160,$AX$2:$AX$201,1,$G$2:$G$201,"&lt;"&amp;G160)+COUNTIFS($A$2:$A$201,$A160,$AX$2:$AX$201,1,$G$2:$G$201,G160,$AT$2:$AT$201,"&lt;"&amp;AT160)=0,1,0),0)</f>
        <v/>
      </c>
      <c r="AZ160" s="17">
        <f>IF(AND(AU160=1,AN160="Y",AX160=0),1,0)</f>
        <v/>
      </c>
      <c r="BA160" s="17">
        <f>IF(AND(AU160=1,ISNUMBER(V160)),1,0)</f>
        <v/>
      </c>
      <c r="BB160" s="17">
        <f>IF(BA160=1,IF(COUNTIFS($A$2:$A$201,$A160,$BA$2:$BA$201,1,$G$2:$G$201,"&lt;"&amp;G160)+COUNTIFS($A$2:$A$201,$A160,$BA$2:$BA$201,1,$G$2:$G$201,G160,$AT$2:$AT$201,"&lt;"&amp;AT160)=0,1,0),0)</f>
        <v/>
      </c>
      <c r="BC160" s="17">
        <f>IF(AND(BB160=1,G160&lt;=Config!$B$6),V160,"")</f>
        <v/>
      </c>
      <c r="BD160" s="17">
        <f>IF(AND(BB160=1,G160&lt;=Config!$B$7),V160,"")</f>
        <v/>
      </c>
      <c r="BE160" s="17">
        <f>IF(AND(BB160=1,G160&lt;=Config!$B$8),V160,"")</f>
        <v/>
      </c>
      <c r="BF160" s="17">
        <f>IF(AND(BB160=1,G160&lt;=Config!$B$5),V160,"")</f>
        <v/>
      </c>
      <c r="BG160" s="17">
        <f>IF(BW160=1,IF(COUNTIFS($A$2:$A$201,$A160,$BW$2:$BW$201,1,$G$2:$G$201,"&lt;"&amp;G160)+COUNTIFS($A$2:$A$201,$A160,$BW$2:$BW$201,1,$G$2:$G$201,G160,$AT$2:$AT$201,"&lt;"&amp;AT160)=0,1,0),0)</f>
        <v/>
      </c>
      <c r="BH160" s="17">
        <f>IF(AND(AU160=1,ISNUMBER(K160)),1,0)</f>
        <v/>
      </c>
      <c r="BI160" s="17">
        <f>IF(BH160=1,IF(COUNTIFS($A$2:$A$201,$A160,$BH$2:$BH$201,1,$G$2:$G$201,"&lt;"&amp;G160)+COUNTIFS($A$2:$A$201,$A160,$BH$2:$BH$201,1,$G$2:$G$201,G160,$AT$2:$AT$201,"&lt;"&amp;AT160)=0,1,0),0)</f>
        <v/>
      </c>
      <c r="BJ160" s="17">
        <f>IF(AND(BI160=1,G160&lt;=Config!$B$5),K160,"")</f>
        <v/>
      </c>
      <c r="BK160" s="17">
        <f>IF(AND(AU160=1,OR(TRIM(U160)&lt;&gt;"",ISNUMBER(V160))),1,0)</f>
        <v/>
      </c>
      <c r="BL160" s="17">
        <f>IF(BK160=1,IF(COUNTIFS($A$2:$A$201,$A160,$BK$2:$BK$201,1,$G$2:$G$201,"&lt;"&amp;G160)+COUNTIFS($A$2:$A$201,$A160,$BK$2:$BK$201,1,$G$2:$G$201,G160,$AT$2:$AT$201,"&lt;"&amp;AT160)=0,1,0),0)</f>
        <v/>
      </c>
      <c r="BM160" s="17">
        <f>IF(BL160=1,$A160,"")</f>
        <v/>
      </c>
      <c r="BN160" s="17">
        <f>IF(AND(AU160=1,T160="Y",TRIM(U160)=""),1,0)</f>
        <v/>
      </c>
      <c r="BO160" s="17">
        <f>IF(AU160=1,AJ160&amp;"","")</f>
        <v/>
      </c>
      <c r="BP160" s="17">
        <f>IF(AU160=1,AK160&amp;"","")</f>
        <v/>
      </c>
      <c r="BQ160" s="17">
        <f>IF(AU160=1,AL160&amp;"","")</f>
        <v/>
      </c>
      <c r="BR160" s="17">
        <f>IF(AND(AU160=1,ISNUMBER(AP160),G160&lt;=Config!$B$5),AP160,"")</f>
        <v/>
      </c>
      <c r="BS160" s="17">
        <f>IF(AU160=1,IF(COUNTIFS($A$2:$A$201,$A160,$AN$2:$AN$201,"Y",$AU$2:$AU$201,1)&gt;0,"Y","N"),"")</f>
        <v/>
      </c>
      <c r="BT160" s="17">
        <f>IF(AND(AU160=1,AN160="maybe"),1,0)</f>
        <v/>
      </c>
      <c r="BU160" s="17">
        <f>IF(BT160=1,IF(COUNTIFS($A$2:$A$201,$A160,$BT$2:$BT$201,1,$G$2:$G$201,"&lt;"&amp;G160)+COUNTIFS($A$2:$A$201,$A160,$BT$2:$BT$201,1,$G$2:$G$201,G160,$AT$2:$AT$201,"&lt;"&amp;AT160)=0,1,0),0)</f>
        <v/>
      </c>
      <c r="BV160" s="17">
        <f>IF(AND(AU160=1,AN160="Y"),IF(COUNTIFS($A$2:$A$201,$A160,$AN$2:$AN$201,"Y",$AU$2:$AU$201,1,$G$2:$G$201,"&lt;"&amp;G160)+COUNTIFS($A$2:$A$201,$A160,$AN$2:$AN$201,"Y",$AU$2:$AU$201,1,$G$2:$G$201,G160,$AT$2:$AT$201,"&lt;"&amp;AT160)=0,1,0),0)</f>
        <v/>
      </c>
      <c r="BW160" s="17">
        <f>IF(AND(BA160=1,N(V160)&gt;=Config!$B$15),1,0)</f>
        <v/>
      </c>
      <c r="BX160" s="17">
        <f>IF(AU160=1,IFERROR(MATCH($A160,INDEX(Clay_Offices!$A$2:$FZ$601,0,Sync!$C$5),0),""),"")</f>
        <v/>
      </c>
      <c r="BY160" s="17">
        <f>IF(BX160="","",IFERROR(INDEX(Clay_Offices!$A$2:$FZ$601,BX160,Sync!$C$7)&amp;"",""))</f>
        <v/>
      </c>
      <c r="BZ160" s="17">
        <f>IF(BY160="","",IFERROR(INDEX(Lists!$J$2:$J$15,MATCH(BY160,Lists!$I$2:$I$15,0)),""))</f>
        <v/>
      </c>
      <c r="CA160" s="17">
        <f>IF(BX160="","",IFERROR(INDEX(Clay_Offices!$A$2:$FZ$601,BX160,Sync!$C$17)&amp;"",""))</f>
        <v/>
      </c>
      <c r="CB160" s="23">
        <f>IF(BX160="","",IFERROR(N(INDEX(Clay_Offices!$A$2:$FZ$601,BX160,Sync!$C$16)),0))</f>
        <v/>
      </c>
    </row>
    <row r="161">
      <c r="G161" s="22" t="n"/>
      <c r="AS161" s="17">
        <f>IF(TRIM($A161)="","",IF(AND(LEFT($A161,6)="SAMPLE",Config!$B$19&lt;&gt;"Y"),"",IF(NOT(ISNUMBER(G161)),"call_date is blank or not a date",IF(Sync!$C$5="","Clay paste is empty or has no row_id column: paste the Clay export on Clay_Offices",IF(BX161="","row_id not found in the Clay paste: add the Clay row or fix the row_id",IF(AND(ISNUMBER(BZ161),BZ161&gt;=1,BZ161&lt;=5),"Clay status is "&amp;BY161&amp;": set call_done or later",IF(AND(AW161=1,CA161&lt;&gt;BS161),"Clay yes_in_principle should be "&amp;BS161,IF(AND(AW161=1,CB161&lt;&gt;G161),"Clay call_date should be "&amp;TEXT(G161,"yyyy-mm-dd"),""))))))))</f>
        <v/>
      </c>
      <c r="AT161" s="17">
        <f>ROW()</f>
        <v/>
      </c>
      <c r="AU161" s="17">
        <f>IF(AND(TRIM($A161)&lt;&gt;"",ISNUMBER(G161)),IF(AND(LEFT($A161,6)="SAMPLE",Config!$B$19&lt;&gt;"Y"),0,1),0)</f>
        <v/>
      </c>
      <c r="AV161" s="17">
        <f>IF(AU161=1,IF(COUNTIFS($A$2:$A$201,$A161,$AU$2:$AU$201,1,$G$2:$G$201,"&lt;"&amp;G161)+COUNTIFS($A$2:$A$201,$A161,$AU$2:$AU$201,1,$G$2:$G$201,G161,$AT$2:$AT$201,"&lt;"&amp;AT161)=0,1,0),0)</f>
        <v/>
      </c>
      <c r="AW161" s="17">
        <f>IF(AU161=1,IF(COUNTIFS($A$2:$A$201,$A161,$AU$2:$AU$201,1,$G$2:$G$201,"&gt;"&amp;G161)+COUNTIFS($A$2:$A$201,$A161,$AU$2:$AU$201,1,$G$2:$G$201,G161,$AT$2:$AT$201,"&gt;"&amp;AT161)=0,1,0),0)</f>
        <v/>
      </c>
      <c r="AX161" s="17">
        <f>IF(AND(AU161=1,AN161="Y",Z161="Y",TRIM(AD161)&lt;&gt;""),1,0)</f>
        <v/>
      </c>
      <c r="AY161" s="17">
        <f>IF(AX161=1,IF(COUNTIFS($A$2:$A$201,$A161,$AX$2:$AX$201,1,$G$2:$G$201,"&lt;"&amp;G161)+COUNTIFS($A$2:$A$201,$A161,$AX$2:$AX$201,1,$G$2:$G$201,G161,$AT$2:$AT$201,"&lt;"&amp;AT161)=0,1,0),0)</f>
        <v/>
      </c>
      <c r="AZ161" s="17">
        <f>IF(AND(AU161=1,AN161="Y",AX161=0),1,0)</f>
        <v/>
      </c>
      <c r="BA161" s="17">
        <f>IF(AND(AU161=1,ISNUMBER(V161)),1,0)</f>
        <v/>
      </c>
      <c r="BB161" s="17">
        <f>IF(BA161=1,IF(COUNTIFS($A$2:$A$201,$A161,$BA$2:$BA$201,1,$G$2:$G$201,"&lt;"&amp;G161)+COUNTIFS($A$2:$A$201,$A161,$BA$2:$BA$201,1,$G$2:$G$201,G161,$AT$2:$AT$201,"&lt;"&amp;AT161)=0,1,0),0)</f>
        <v/>
      </c>
      <c r="BC161" s="17">
        <f>IF(AND(BB161=1,G161&lt;=Config!$B$6),V161,"")</f>
        <v/>
      </c>
      <c r="BD161" s="17">
        <f>IF(AND(BB161=1,G161&lt;=Config!$B$7),V161,"")</f>
        <v/>
      </c>
      <c r="BE161" s="17">
        <f>IF(AND(BB161=1,G161&lt;=Config!$B$8),V161,"")</f>
        <v/>
      </c>
      <c r="BF161" s="17">
        <f>IF(AND(BB161=1,G161&lt;=Config!$B$5),V161,"")</f>
        <v/>
      </c>
      <c r="BG161" s="17">
        <f>IF(BW161=1,IF(COUNTIFS($A$2:$A$201,$A161,$BW$2:$BW$201,1,$G$2:$G$201,"&lt;"&amp;G161)+COUNTIFS($A$2:$A$201,$A161,$BW$2:$BW$201,1,$G$2:$G$201,G161,$AT$2:$AT$201,"&lt;"&amp;AT161)=0,1,0),0)</f>
        <v/>
      </c>
      <c r="BH161" s="17">
        <f>IF(AND(AU161=1,ISNUMBER(K161)),1,0)</f>
        <v/>
      </c>
      <c r="BI161" s="17">
        <f>IF(BH161=1,IF(COUNTIFS($A$2:$A$201,$A161,$BH$2:$BH$201,1,$G$2:$G$201,"&lt;"&amp;G161)+COUNTIFS($A$2:$A$201,$A161,$BH$2:$BH$201,1,$G$2:$G$201,G161,$AT$2:$AT$201,"&lt;"&amp;AT161)=0,1,0),0)</f>
        <v/>
      </c>
      <c r="BJ161" s="17">
        <f>IF(AND(BI161=1,G161&lt;=Config!$B$5),K161,"")</f>
        <v/>
      </c>
      <c r="BK161" s="17">
        <f>IF(AND(AU161=1,OR(TRIM(U161)&lt;&gt;"",ISNUMBER(V161))),1,0)</f>
        <v/>
      </c>
      <c r="BL161" s="17">
        <f>IF(BK161=1,IF(COUNTIFS($A$2:$A$201,$A161,$BK$2:$BK$201,1,$G$2:$G$201,"&lt;"&amp;G161)+COUNTIFS($A$2:$A$201,$A161,$BK$2:$BK$201,1,$G$2:$G$201,G161,$AT$2:$AT$201,"&lt;"&amp;AT161)=0,1,0),0)</f>
        <v/>
      </c>
      <c r="BM161" s="17">
        <f>IF(BL161=1,$A161,"")</f>
        <v/>
      </c>
      <c r="BN161" s="17">
        <f>IF(AND(AU161=1,T161="Y",TRIM(U161)=""),1,0)</f>
        <v/>
      </c>
      <c r="BO161" s="17">
        <f>IF(AU161=1,AJ161&amp;"","")</f>
        <v/>
      </c>
      <c r="BP161" s="17">
        <f>IF(AU161=1,AK161&amp;"","")</f>
        <v/>
      </c>
      <c r="BQ161" s="17">
        <f>IF(AU161=1,AL161&amp;"","")</f>
        <v/>
      </c>
      <c r="BR161" s="17">
        <f>IF(AND(AU161=1,ISNUMBER(AP161),G161&lt;=Config!$B$5),AP161,"")</f>
        <v/>
      </c>
      <c r="BS161" s="17">
        <f>IF(AU161=1,IF(COUNTIFS($A$2:$A$201,$A161,$AN$2:$AN$201,"Y",$AU$2:$AU$201,1)&gt;0,"Y","N"),"")</f>
        <v/>
      </c>
      <c r="BT161" s="17">
        <f>IF(AND(AU161=1,AN161="maybe"),1,0)</f>
        <v/>
      </c>
      <c r="BU161" s="17">
        <f>IF(BT161=1,IF(COUNTIFS($A$2:$A$201,$A161,$BT$2:$BT$201,1,$G$2:$G$201,"&lt;"&amp;G161)+COUNTIFS($A$2:$A$201,$A161,$BT$2:$BT$201,1,$G$2:$G$201,G161,$AT$2:$AT$201,"&lt;"&amp;AT161)=0,1,0),0)</f>
        <v/>
      </c>
      <c r="BV161" s="17">
        <f>IF(AND(AU161=1,AN161="Y"),IF(COUNTIFS($A$2:$A$201,$A161,$AN$2:$AN$201,"Y",$AU$2:$AU$201,1,$G$2:$G$201,"&lt;"&amp;G161)+COUNTIFS($A$2:$A$201,$A161,$AN$2:$AN$201,"Y",$AU$2:$AU$201,1,$G$2:$G$201,G161,$AT$2:$AT$201,"&lt;"&amp;AT161)=0,1,0),0)</f>
        <v/>
      </c>
      <c r="BW161" s="17">
        <f>IF(AND(BA161=1,N(V161)&gt;=Config!$B$15),1,0)</f>
        <v/>
      </c>
      <c r="BX161" s="17">
        <f>IF(AU161=1,IFERROR(MATCH($A161,INDEX(Clay_Offices!$A$2:$FZ$601,0,Sync!$C$5),0),""),"")</f>
        <v/>
      </c>
      <c r="BY161" s="17">
        <f>IF(BX161="","",IFERROR(INDEX(Clay_Offices!$A$2:$FZ$601,BX161,Sync!$C$7)&amp;"",""))</f>
        <v/>
      </c>
      <c r="BZ161" s="17">
        <f>IF(BY161="","",IFERROR(INDEX(Lists!$J$2:$J$15,MATCH(BY161,Lists!$I$2:$I$15,0)),""))</f>
        <v/>
      </c>
      <c r="CA161" s="17">
        <f>IF(BX161="","",IFERROR(INDEX(Clay_Offices!$A$2:$FZ$601,BX161,Sync!$C$17)&amp;"",""))</f>
        <v/>
      </c>
      <c r="CB161" s="23">
        <f>IF(BX161="","",IFERROR(N(INDEX(Clay_Offices!$A$2:$FZ$601,BX161,Sync!$C$16)),0))</f>
        <v/>
      </c>
    </row>
    <row r="162">
      <c r="G162" s="22" t="n"/>
      <c r="AS162" s="17">
        <f>IF(TRIM($A162)="","",IF(AND(LEFT($A162,6)="SAMPLE",Config!$B$19&lt;&gt;"Y"),"",IF(NOT(ISNUMBER(G162)),"call_date is blank or not a date",IF(Sync!$C$5="","Clay paste is empty or has no row_id column: paste the Clay export on Clay_Offices",IF(BX162="","row_id not found in the Clay paste: add the Clay row or fix the row_id",IF(AND(ISNUMBER(BZ162),BZ162&gt;=1,BZ162&lt;=5),"Clay status is "&amp;BY162&amp;": set call_done or later",IF(AND(AW162=1,CA162&lt;&gt;BS162),"Clay yes_in_principle should be "&amp;BS162,IF(AND(AW162=1,CB162&lt;&gt;G162),"Clay call_date should be "&amp;TEXT(G162,"yyyy-mm-dd"),""))))))))</f>
        <v/>
      </c>
      <c r="AT162" s="17">
        <f>ROW()</f>
        <v/>
      </c>
      <c r="AU162" s="17">
        <f>IF(AND(TRIM($A162)&lt;&gt;"",ISNUMBER(G162)),IF(AND(LEFT($A162,6)="SAMPLE",Config!$B$19&lt;&gt;"Y"),0,1),0)</f>
        <v/>
      </c>
      <c r="AV162" s="17">
        <f>IF(AU162=1,IF(COUNTIFS($A$2:$A$201,$A162,$AU$2:$AU$201,1,$G$2:$G$201,"&lt;"&amp;G162)+COUNTIFS($A$2:$A$201,$A162,$AU$2:$AU$201,1,$G$2:$G$201,G162,$AT$2:$AT$201,"&lt;"&amp;AT162)=0,1,0),0)</f>
        <v/>
      </c>
      <c r="AW162" s="17">
        <f>IF(AU162=1,IF(COUNTIFS($A$2:$A$201,$A162,$AU$2:$AU$201,1,$G$2:$G$201,"&gt;"&amp;G162)+COUNTIFS($A$2:$A$201,$A162,$AU$2:$AU$201,1,$G$2:$G$201,G162,$AT$2:$AT$201,"&gt;"&amp;AT162)=0,1,0),0)</f>
        <v/>
      </c>
      <c r="AX162" s="17">
        <f>IF(AND(AU162=1,AN162="Y",Z162="Y",TRIM(AD162)&lt;&gt;""),1,0)</f>
        <v/>
      </c>
      <c r="AY162" s="17">
        <f>IF(AX162=1,IF(COUNTIFS($A$2:$A$201,$A162,$AX$2:$AX$201,1,$G$2:$G$201,"&lt;"&amp;G162)+COUNTIFS($A$2:$A$201,$A162,$AX$2:$AX$201,1,$G$2:$G$201,G162,$AT$2:$AT$201,"&lt;"&amp;AT162)=0,1,0),0)</f>
        <v/>
      </c>
      <c r="AZ162" s="17">
        <f>IF(AND(AU162=1,AN162="Y",AX162=0),1,0)</f>
        <v/>
      </c>
      <c r="BA162" s="17">
        <f>IF(AND(AU162=1,ISNUMBER(V162)),1,0)</f>
        <v/>
      </c>
      <c r="BB162" s="17">
        <f>IF(BA162=1,IF(COUNTIFS($A$2:$A$201,$A162,$BA$2:$BA$201,1,$G$2:$G$201,"&lt;"&amp;G162)+COUNTIFS($A$2:$A$201,$A162,$BA$2:$BA$201,1,$G$2:$G$201,G162,$AT$2:$AT$201,"&lt;"&amp;AT162)=0,1,0),0)</f>
        <v/>
      </c>
      <c r="BC162" s="17">
        <f>IF(AND(BB162=1,G162&lt;=Config!$B$6),V162,"")</f>
        <v/>
      </c>
      <c r="BD162" s="17">
        <f>IF(AND(BB162=1,G162&lt;=Config!$B$7),V162,"")</f>
        <v/>
      </c>
      <c r="BE162" s="17">
        <f>IF(AND(BB162=1,G162&lt;=Config!$B$8),V162,"")</f>
        <v/>
      </c>
      <c r="BF162" s="17">
        <f>IF(AND(BB162=1,G162&lt;=Config!$B$5),V162,"")</f>
        <v/>
      </c>
      <c r="BG162" s="17">
        <f>IF(BW162=1,IF(COUNTIFS($A$2:$A$201,$A162,$BW$2:$BW$201,1,$G$2:$G$201,"&lt;"&amp;G162)+COUNTIFS($A$2:$A$201,$A162,$BW$2:$BW$201,1,$G$2:$G$201,G162,$AT$2:$AT$201,"&lt;"&amp;AT162)=0,1,0),0)</f>
        <v/>
      </c>
      <c r="BH162" s="17">
        <f>IF(AND(AU162=1,ISNUMBER(K162)),1,0)</f>
        <v/>
      </c>
      <c r="BI162" s="17">
        <f>IF(BH162=1,IF(COUNTIFS($A$2:$A$201,$A162,$BH$2:$BH$201,1,$G$2:$G$201,"&lt;"&amp;G162)+COUNTIFS($A$2:$A$201,$A162,$BH$2:$BH$201,1,$G$2:$G$201,G162,$AT$2:$AT$201,"&lt;"&amp;AT162)=0,1,0),0)</f>
        <v/>
      </c>
      <c r="BJ162" s="17">
        <f>IF(AND(BI162=1,G162&lt;=Config!$B$5),K162,"")</f>
        <v/>
      </c>
      <c r="BK162" s="17">
        <f>IF(AND(AU162=1,OR(TRIM(U162)&lt;&gt;"",ISNUMBER(V162))),1,0)</f>
        <v/>
      </c>
      <c r="BL162" s="17">
        <f>IF(BK162=1,IF(COUNTIFS($A$2:$A$201,$A162,$BK$2:$BK$201,1,$G$2:$G$201,"&lt;"&amp;G162)+COUNTIFS($A$2:$A$201,$A162,$BK$2:$BK$201,1,$G$2:$G$201,G162,$AT$2:$AT$201,"&lt;"&amp;AT162)=0,1,0),0)</f>
        <v/>
      </c>
      <c r="BM162" s="17">
        <f>IF(BL162=1,$A162,"")</f>
        <v/>
      </c>
      <c r="BN162" s="17">
        <f>IF(AND(AU162=1,T162="Y",TRIM(U162)=""),1,0)</f>
        <v/>
      </c>
      <c r="BO162" s="17">
        <f>IF(AU162=1,AJ162&amp;"","")</f>
        <v/>
      </c>
      <c r="BP162" s="17">
        <f>IF(AU162=1,AK162&amp;"","")</f>
        <v/>
      </c>
      <c r="BQ162" s="17">
        <f>IF(AU162=1,AL162&amp;"","")</f>
        <v/>
      </c>
      <c r="BR162" s="17">
        <f>IF(AND(AU162=1,ISNUMBER(AP162),G162&lt;=Config!$B$5),AP162,"")</f>
        <v/>
      </c>
      <c r="BS162" s="17">
        <f>IF(AU162=1,IF(COUNTIFS($A$2:$A$201,$A162,$AN$2:$AN$201,"Y",$AU$2:$AU$201,1)&gt;0,"Y","N"),"")</f>
        <v/>
      </c>
      <c r="BT162" s="17">
        <f>IF(AND(AU162=1,AN162="maybe"),1,0)</f>
        <v/>
      </c>
      <c r="BU162" s="17">
        <f>IF(BT162=1,IF(COUNTIFS($A$2:$A$201,$A162,$BT$2:$BT$201,1,$G$2:$G$201,"&lt;"&amp;G162)+COUNTIFS($A$2:$A$201,$A162,$BT$2:$BT$201,1,$G$2:$G$201,G162,$AT$2:$AT$201,"&lt;"&amp;AT162)=0,1,0),0)</f>
        <v/>
      </c>
      <c r="BV162" s="17">
        <f>IF(AND(AU162=1,AN162="Y"),IF(COUNTIFS($A$2:$A$201,$A162,$AN$2:$AN$201,"Y",$AU$2:$AU$201,1,$G$2:$G$201,"&lt;"&amp;G162)+COUNTIFS($A$2:$A$201,$A162,$AN$2:$AN$201,"Y",$AU$2:$AU$201,1,$G$2:$G$201,G162,$AT$2:$AT$201,"&lt;"&amp;AT162)=0,1,0),0)</f>
        <v/>
      </c>
      <c r="BW162" s="17">
        <f>IF(AND(BA162=1,N(V162)&gt;=Config!$B$15),1,0)</f>
        <v/>
      </c>
      <c r="BX162" s="17">
        <f>IF(AU162=1,IFERROR(MATCH($A162,INDEX(Clay_Offices!$A$2:$FZ$601,0,Sync!$C$5),0),""),"")</f>
        <v/>
      </c>
      <c r="BY162" s="17">
        <f>IF(BX162="","",IFERROR(INDEX(Clay_Offices!$A$2:$FZ$601,BX162,Sync!$C$7)&amp;"",""))</f>
        <v/>
      </c>
      <c r="BZ162" s="17">
        <f>IF(BY162="","",IFERROR(INDEX(Lists!$J$2:$J$15,MATCH(BY162,Lists!$I$2:$I$15,0)),""))</f>
        <v/>
      </c>
      <c r="CA162" s="17">
        <f>IF(BX162="","",IFERROR(INDEX(Clay_Offices!$A$2:$FZ$601,BX162,Sync!$C$17)&amp;"",""))</f>
        <v/>
      </c>
      <c r="CB162" s="23">
        <f>IF(BX162="","",IFERROR(N(INDEX(Clay_Offices!$A$2:$FZ$601,BX162,Sync!$C$16)),0))</f>
        <v/>
      </c>
    </row>
    <row r="163">
      <c r="G163" s="22" t="n"/>
      <c r="AS163" s="17">
        <f>IF(TRIM($A163)="","",IF(AND(LEFT($A163,6)="SAMPLE",Config!$B$19&lt;&gt;"Y"),"",IF(NOT(ISNUMBER(G163)),"call_date is blank or not a date",IF(Sync!$C$5="","Clay paste is empty or has no row_id column: paste the Clay export on Clay_Offices",IF(BX163="","row_id not found in the Clay paste: add the Clay row or fix the row_id",IF(AND(ISNUMBER(BZ163),BZ163&gt;=1,BZ163&lt;=5),"Clay status is "&amp;BY163&amp;": set call_done or later",IF(AND(AW163=1,CA163&lt;&gt;BS163),"Clay yes_in_principle should be "&amp;BS163,IF(AND(AW163=1,CB163&lt;&gt;G163),"Clay call_date should be "&amp;TEXT(G163,"yyyy-mm-dd"),""))))))))</f>
        <v/>
      </c>
      <c r="AT163" s="17">
        <f>ROW()</f>
        <v/>
      </c>
      <c r="AU163" s="17">
        <f>IF(AND(TRIM($A163)&lt;&gt;"",ISNUMBER(G163)),IF(AND(LEFT($A163,6)="SAMPLE",Config!$B$19&lt;&gt;"Y"),0,1),0)</f>
        <v/>
      </c>
      <c r="AV163" s="17">
        <f>IF(AU163=1,IF(COUNTIFS($A$2:$A$201,$A163,$AU$2:$AU$201,1,$G$2:$G$201,"&lt;"&amp;G163)+COUNTIFS($A$2:$A$201,$A163,$AU$2:$AU$201,1,$G$2:$G$201,G163,$AT$2:$AT$201,"&lt;"&amp;AT163)=0,1,0),0)</f>
        <v/>
      </c>
      <c r="AW163" s="17">
        <f>IF(AU163=1,IF(COUNTIFS($A$2:$A$201,$A163,$AU$2:$AU$201,1,$G$2:$G$201,"&gt;"&amp;G163)+COUNTIFS($A$2:$A$201,$A163,$AU$2:$AU$201,1,$G$2:$G$201,G163,$AT$2:$AT$201,"&gt;"&amp;AT163)=0,1,0),0)</f>
        <v/>
      </c>
      <c r="AX163" s="17">
        <f>IF(AND(AU163=1,AN163="Y",Z163="Y",TRIM(AD163)&lt;&gt;""),1,0)</f>
        <v/>
      </c>
      <c r="AY163" s="17">
        <f>IF(AX163=1,IF(COUNTIFS($A$2:$A$201,$A163,$AX$2:$AX$201,1,$G$2:$G$201,"&lt;"&amp;G163)+COUNTIFS($A$2:$A$201,$A163,$AX$2:$AX$201,1,$G$2:$G$201,G163,$AT$2:$AT$201,"&lt;"&amp;AT163)=0,1,0),0)</f>
        <v/>
      </c>
      <c r="AZ163" s="17">
        <f>IF(AND(AU163=1,AN163="Y",AX163=0),1,0)</f>
        <v/>
      </c>
      <c r="BA163" s="17">
        <f>IF(AND(AU163=1,ISNUMBER(V163)),1,0)</f>
        <v/>
      </c>
      <c r="BB163" s="17">
        <f>IF(BA163=1,IF(COUNTIFS($A$2:$A$201,$A163,$BA$2:$BA$201,1,$G$2:$G$201,"&lt;"&amp;G163)+COUNTIFS($A$2:$A$201,$A163,$BA$2:$BA$201,1,$G$2:$G$201,G163,$AT$2:$AT$201,"&lt;"&amp;AT163)=0,1,0),0)</f>
        <v/>
      </c>
      <c r="BC163" s="17">
        <f>IF(AND(BB163=1,G163&lt;=Config!$B$6),V163,"")</f>
        <v/>
      </c>
      <c r="BD163" s="17">
        <f>IF(AND(BB163=1,G163&lt;=Config!$B$7),V163,"")</f>
        <v/>
      </c>
      <c r="BE163" s="17">
        <f>IF(AND(BB163=1,G163&lt;=Config!$B$8),V163,"")</f>
        <v/>
      </c>
      <c r="BF163" s="17">
        <f>IF(AND(BB163=1,G163&lt;=Config!$B$5),V163,"")</f>
        <v/>
      </c>
      <c r="BG163" s="17">
        <f>IF(BW163=1,IF(COUNTIFS($A$2:$A$201,$A163,$BW$2:$BW$201,1,$G$2:$G$201,"&lt;"&amp;G163)+COUNTIFS($A$2:$A$201,$A163,$BW$2:$BW$201,1,$G$2:$G$201,G163,$AT$2:$AT$201,"&lt;"&amp;AT163)=0,1,0),0)</f>
        <v/>
      </c>
      <c r="BH163" s="17">
        <f>IF(AND(AU163=1,ISNUMBER(K163)),1,0)</f>
        <v/>
      </c>
      <c r="BI163" s="17">
        <f>IF(BH163=1,IF(COUNTIFS($A$2:$A$201,$A163,$BH$2:$BH$201,1,$G$2:$G$201,"&lt;"&amp;G163)+COUNTIFS($A$2:$A$201,$A163,$BH$2:$BH$201,1,$G$2:$G$201,G163,$AT$2:$AT$201,"&lt;"&amp;AT163)=0,1,0),0)</f>
        <v/>
      </c>
      <c r="BJ163" s="17">
        <f>IF(AND(BI163=1,G163&lt;=Config!$B$5),K163,"")</f>
        <v/>
      </c>
      <c r="BK163" s="17">
        <f>IF(AND(AU163=1,OR(TRIM(U163)&lt;&gt;"",ISNUMBER(V163))),1,0)</f>
        <v/>
      </c>
      <c r="BL163" s="17">
        <f>IF(BK163=1,IF(COUNTIFS($A$2:$A$201,$A163,$BK$2:$BK$201,1,$G$2:$G$201,"&lt;"&amp;G163)+COUNTIFS($A$2:$A$201,$A163,$BK$2:$BK$201,1,$G$2:$G$201,G163,$AT$2:$AT$201,"&lt;"&amp;AT163)=0,1,0),0)</f>
        <v/>
      </c>
      <c r="BM163" s="17">
        <f>IF(BL163=1,$A163,"")</f>
        <v/>
      </c>
      <c r="BN163" s="17">
        <f>IF(AND(AU163=1,T163="Y",TRIM(U163)=""),1,0)</f>
        <v/>
      </c>
      <c r="BO163" s="17">
        <f>IF(AU163=1,AJ163&amp;"","")</f>
        <v/>
      </c>
      <c r="BP163" s="17">
        <f>IF(AU163=1,AK163&amp;"","")</f>
        <v/>
      </c>
      <c r="BQ163" s="17">
        <f>IF(AU163=1,AL163&amp;"","")</f>
        <v/>
      </c>
      <c r="BR163" s="17">
        <f>IF(AND(AU163=1,ISNUMBER(AP163),G163&lt;=Config!$B$5),AP163,"")</f>
        <v/>
      </c>
      <c r="BS163" s="17">
        <f>IF(AU163=1,IF(COUNTIFS($A$2:$A$201,$A163,$AN$2:$AN$201,"Y",$AU$2:$AU$201,1)&gt;0,"Y","N"),"")</f>
        <v/>
      </c>
      <c r="BT163" s="17">
        <f>IF(AND(AU163=1,AN163="maybe"),1,0)</f>
        <v/>
      </c>
      <c r="BU163" s="17">
        <f>IF(BT163=1,IF(COUNTIFS($A$2:$A$201,$A163,$BT$2:$BT$201,1,$G$2:$G$201,"&lt;"&amp;G163)+COUNTIFS($A$2:$A$201,$A163,$BT$2:$BT$201,1,$G$2:$G$201,G163,$AT$2:$AT$201,"&lt;"&amp;AT163)=0,1,0),0)</f>
        <v/>
      </c>
      <c r="BV163" s="17">
        <f>IF(AND(AU163=1,AN163="Y"),IF(COUNTIFS($A$2:$A$201,$A163,$AN$2:$AN$201,"Y",$AU$2:$AU$201,1,$G$2:$G$201,"&lt;"&amp;G163)+COUNTIFS($A$2:$A$201,$A163,$AN$2:$AN$201,"Y",$AU$2:$AU$201,1,$G$2:$G$201,G163,$AT$2:$AT$201,"&lt;"&amp;AT163)=0,1,0),0)</f>
        <v/>
      </c>
      <c r="BW163" s="17">
        <f>IF(AND(BA163=1,N(V163)&gt;=Config!$B$15),1,0)</f>
        <v/>
      </c>
      <c r="BX163" s="17">
        <f>IF(AU163=1,IFERROR(MATCH($A163,INDEX(Clay_Offices!$A$2:$FZ$601,0,Sync!$C$5),0),""),"")</f>
        <v/>
      </c>
      <c r="BY163" s="17">
        <f>IF(BX163="","",IFERROR(INDEX(Clay_Offices!$A$2:$FZ$601,BX163,Sync!$C$7)&amp;"",""))</f>
        <v/>
      </c>
      <c r="BZ163" s="17">
        <f>IF(BY163="","",IFERROR(INDEX(Lists!$J$2:$J$15,MATCH(BY163,Lists!$I$2:$I$15,0)),""))</f>
        <v/>
      </c>
      <c r="CA163" s="17">
        <f>IF(BX163="","",IFERROR(INDEX(Clay_Offices!$A$2:$FZ$601,BX163,Sync!$C$17)&amp;"",""))</f>
        <v/>
      </c>
      <c r="CB163" s="23">
        <f>IF(BX163="","",IFERROR(N(INDEX(Clay_Offices!$A$2:$FZ$601,BX163,Sync!$C$16)),0))</f>
        <v/>
      </c>
    </row>
    <row r="164">
      <c r="G164" s="22" t="n"/>
      <c r="AS164" s="17">
        <f>IF(TRIM($A164)="","",IF(AND(LEFT($A164,6)="SAMPLE",Config!$B$19&lt;&gt;"Y"),"",IF(NOT(ISNUMBER(G164)),"call_date is blank or not a date",IF(Sync!$C$5="","Clay paste is empty or has no row_id column: paste the Clay export on Clay_Offices",IF(BX164="","row_id not found in the Clay paste: add the Clay row or fix the row_id",IF(AND(ISNUMBER(BZ164),BZ164&gt;=1,BZ164&lt;=5),"Clay status is "&amp;BY164&amp;": set call_done or later",IF(AND(AW164=1,CA164&lt;&gt;BS164),"Clay yes_in_principle should be "&amp;BS164,IF(AND(AW164=1,CB164&lt;&gt;G164),"Clay call_date should be "&amp;TEXT(G164,"yyyy-mm-dd"),""))))))))</f>
        <v/>
      </c>
      <c r="AT164" s="17">
        <f>ROW()</f>
        <v/>
      </c>
      <c r="AU164" s="17">
        <f>IF(AND(TRIM($A164)&lt;&gt;"",ISNUMBER(G164)),IF(AND(LEFT($A164,6)="SAMPLE",Config!$B$19&lt;&gt;"Y"),0,1),0)</f>
        <v/>
      </c>
      <c r="AV164" s="17">
        <f>IF(AU164=1,IF(COUNTIFS($A$2:$A$201,$A164,$AU$2:$AU$201,1,$G$2:$G$201,"&lt;"&amp;G164)+COUNTIFS($A$2:$A$201,$A164,$AU$2:$AU$201,1,$G$2:$G$201,G164,$AT$2:$AT$201,"&lt;"&amp;AT164)=0,1,0),0)</f>
        <v/>
      </c>
      <c r="AW164" s="17">
        <f>IF(AU164=1,IF(COUNTIFS($A$2:$A$201,$A164,$AU$2:$AU$201,1,$G$2:$G$201,"&gt;"&amp;G164)+COUNTIFS($A$2:$A$201,$A164,$AU$2:$AU$201,1,$G$2:$G$201,G164,$AT$2:$AT$201,"&gt;"&amp;AT164)=0,1,0),0)</f>
        <v/>
      </c>
      <c r="AX164" s="17">
        <f>IF(AND(AU164=1,AN164="Y",Z164="Y",TRIM(AD164)&lt;&gt;""),1,0)</f>
        <v/>
      </c>
      <c r="AY164" s="17">
        <f>IF(AX164=1,IF(COUNTIFS($A$2:$A$201,$A164,$AX$2:$AX$201,1,$G$2:$G$201,"&lt;"&amp;G164)+COUNTIFS($A$2:$A$201,$A164,$AX$2:$AX$201,1,$G$2:$G$201,G164,$AT$2:$AT$201,"&lt;"&amp;AT164)=0,1,0),0)</f>
        <v/>
      </c>
      <c r="AZ164" s="17">
        <f>IF(AND(AU164=1,AN164="Y",AX164=0),1,0)</f>
        <v/>
      </c>
      <c r="BA164" s="17">
        <f>IF(AND(AU164=1,ISNUMBER(V164)),1,0)</f>
        <v/>
      </c>
      <c r="BB164" s="17">
        <f>IF(BA164=1,IF(COUNTIFS($A$2:$A$201,$A164,$BA$2:$BA$201,1,$G$2:$G$201,"&lt;"&amp;G164)+COUNTIFS($A$2:$A$201,$A164,$BA$2:$BA$201,1,$G$2:$G$201,G164,$AT$2:$AT$201,"&lt;"&amp;AT164)=0,1,0),0)</f>
        <v/>
      </c>
      <c r="BC164" s="17">
        <f>IF(AND(BB164=1,G164&lt;=Config!$B$6),V164,"")</f>
        <v/>
      </c>
      <c r="BD164" s="17">
        <f>IF(AND(BB164=1,G164&lt;=Config!$B$7),V164,"")</f>
        <v/>
      </c>
      <c r="BE164" s="17">
        <f>IF(AND(BB164=1,G164&lt;=Config!$B$8),V164,"")</f>
        <v/>
      </c>
      <c r="BF164" s="17">
        <f>IF(AND(BB164=1,G164&lt;=Config!$B$5),V164,"")</f>
        <v/>
      </c>
      <c r="BG164" s="17">
        <f>IF(BW164=1,IF(COUNTIFS($A$2:$A$201,$A164,$BW$2:$BW$201,1,$G$2:$G$201,"&lt;"&amp;G164)+COUNTIFS($A$2:$A$201,$A164,$BW$2:$BW$201,1,$G$2:$G$201,G164,$AT$2:$AT$201,"&lt;"&amp;AT164)=0,1,0),0)</f>
        <v/>
      </c>
      <c r="BH164" s="17">
        <f>IF(AND(AU164=1,ISNUMBER(K164)),1,0)</f>
        <v/>
      </c>
      <c r="BI164" s="17">
        <f>IF(BH164=1,IF(COUNTIFS($A$2:$A$201,$A164,$BH$2:$BH$201,1,$G$2:$G$201,"&lt;"&amp;G164)+COUNTIFS($A$2:$A$201,$A164,$BH$2:$BH$201,1,$G$2:$G$201,G164,$AT$2:$AT$201,"&lt;"&amp;AT164)=0,1,0),0)</f>
        <v/>
      </c>
      <c r="BJ164" s="17">
        <f>IF(AND(BI164=1,G164&lt;=Config!$B$5),K164,"")</f>
        <v/>
      </c>
      <c r="BK164" s="17">
        <f>IF(AND(AU164=1,OR(TRIM(U164)&lt;&gt;"",ISNUMBER(V164))),1,0)</f>
        <v/>
      </c>
      <c r="BL164" s="17">
        <f>IF(BK164=1,IF(COUNTIFS($A$2:$A$201,$A164,$BK$2:$BK$201,1,$G$2:$G$201,"&lt;"&amp;G164)+COUNTIFS($A$2:$A$201,$A164,$BK$2:$BK$201,1,$G$2:$G$201,G164,$AT$2:$AT$201,"&lt;"&amp;AT164)=0,1,0),0)</f>
        <v/>
      </c>
      <c r="BM164" s="17">
        <f>IF(BL164=1,$A164,"")</f>
        <v/>
      </c>
      <c r="BN164" s="17">
        <f>IF(AND(AU164=1,T164="Y",TRIM(U164)=""),1,0)</f>
        <v/>
      </c>
      <c r="BO164" s="17">
        <f>IF(AU164=1,AJ164&amp;"","")</f>
        <v/>
      </c>
      <c r="BP164" s="17">
        <f>IF(AU164=1,AK164&amp;"","")</f>
        <v/>
      </c>
      <c r="BQ164" s="17">
        <f>IF(AU164=1,AL164&amp;"","")</f>
        <v/>
      </c>
      <c r="BR164" s="17">
        <f>IF(AND(AU164=1,ISNUMBER(AP164),G164&lt;=Config!$B$5),AP164,"")</f>
        <v/>
      </c>
      <c r="BS164" s="17">
        <f>IF(AU164=1,IF(COUNTIFS($A$2:$A$201,$A164,$AN$2:$AN$201,"Y",$AU$2:$AU$201,1)&gt;0,"Y","N"),"")</f>
        <v/>
      </c>
      <c r="BT164" s="17">
        <f>IF(AND(AU164=1,AN164="maybe"),1,0)</f>
        <v/>
      </c>
      <c r="BU164" s="17">
        <f>IF(BT164=1,IF(COUNTIFS($A$2:$A$201,$A164,$BT$2:$BT$201,1,$G$2:$G$201,"&lt;"&amp;G164)+COUNTIFS($A$2:$A$201,$A164,$BT$2:$BT$201,1,$G$2:$G$201,G164,$AT$2:$AT$201,"&lt;"&amp;AT164)=0,1,0),0)</f>
        <v/>
      </c>
      <c r="BV164" s="17">
        <f>IF(AND(AU164=1,AN164="Y"),IF(COUNTIFS($A$2:$A$201,$A164,$AN$2:$AN$201,"Y",$AU$2:$AU$201,1,$G$2:$G$201,"&lt;"&amp;G164)+COUNTIFS($A$2:$A$201,$A164,$AN$2:$AN$201,"Y",$AU$2:$AU$201,1,$G$2:$G$201,G164,$AT$2:$AT$201,"&lt;"&amp;AT164)=0,1,0),0)</f>
        <v/>
      </c>
      <c r="BW164" s="17">
        <f>IF(AND(BA164=1,N(V164)&gt;=Config!$B$15),1,0)</f>
        <v/>
      </c>
      <c r="BX164" s="17">
        <f>IF(AU164=1,IFERROR(MATCH($A164,INDEX(Clay_Offices!$A$2:$FZ$601,0,Sync!$C$5),0),""),"")</f>
        <v/>
      </c>
      <c r="BY164" s="17">
        <f>IF(BX164="","",IFERROR(INDEX(Clay_Offices!$A$2:$FZ$601,BX164,Sync!$C$7)&amp;"",""))</f>
        <v/>
      </c>
      <c r="BZ164" s="17">
        <f>IF(BY164="","",IFERROR(INDEX(Lists!$J$2:$J$15,MATCH(BY164,Lists!$I$2:$I$15,0)),""))</f>
        <v/>
      </c>
      <c r="CA164" s="17">
        <f>IF(BX164="","",IFERROR(INDEX(Clay_Offices!$A$2:$FZ$601,BX164,Sync!$C$17)&amp;"",""))</f>
        <v/>
      </c>
      <c r="CB164" s="23">
        <f>IF(BX164="","",IFERROR(N(INDEX(Clay_Offices!$A$2:$FZ$601,BX164,Sync!$C$16)),0))</f>
        <v/>
      </c>
    </row>
    <row r="165">
      <c r="G165" s="22" t="n"/>
      <c r="AS165" s="17">
        <f>IF(TRIM($A165)="","",IF(AND(LEFT($A165,6)="SAMPLE",Config!$B$19&lt;&gt;"Y"),"",IF(NOT(ISNUMBER(G165)),"call_date is blank or not a date",IF(Sync!$C$5="","Clay paste is empty or has no row_id column: paste the Clay export on Clay_Offices",IF(BX165="","row_id not found in the Clay paste: add the Clay row or fix the row_id",IF(AND(ISNUMBER(BZ165),BZ165&gt;=1,BZ165&lt;=5),"Clay status is "&amp;BY165&amp;": set call_done or later",IF(AND(AW165=1,CA165&lt;&gt;BS165),"Clay yes_in_principle should be "&amp;BS165,IF(AND(AW165=1,CB165&lt;&gt;G165),"Clay call_date should be "&amp;TEXT(G165,"yyyy-mm-dd"),""))))))))</f>
        <v/>
      </c>
      <c r="AT165" s="17">
        <f>ROW()</f>
        <v/>
      </c>
      <c r="AU165" s="17">
        <f>IF(AND(TRIM($A165)&lt;&gt;"",ISNUMBER(G165)),IF(AND(LEFT($A165,6)="SAMPLE",Config!$B$19&lt;&gt;"Y"),0,1),0)</f>
        <v/>
      </c>
      <c r="AV165" s="17">
        <f>IF(AU165=1,IF(COUNTIFS($A$2:$A$201,$A165,$AU$2:$AU$201,1,$G$2:$G$201,"&lt;"&amp;G165)+COUNTIFS($A$2:$A$201,$A165,$AU$2:$AU$201,1,$G$2:$G$201,G165,$AT$2:$AT$201,"&lt;"&amp;AT165)=0,1,0),0)</f>
        <v/>
      </c>
      <c r="AW165" s="17">
        <f>IF(AU165=1,IF(COUNTIFS($A$2:$A$201,$A165,$AU$2:$AU$201,1,$G$2:$G$201,"&gt;"&amp;G165)+COUNTIFS($A$2:$A$201,$A165,$AU$2:$AU$201,1,$G$2:$G$201,G165,$AT$2:$AT$201,"&gt;"&amp;AT165)=0,1,0),0)</f>
        <v/>
      </c>
      <c r="AX165" s="17">
        <f>IF(AND(AU165=1,AN165="Y",Z165="Y",TRIM(AD165)&lt;&gt;""),1,0)</f>
        <v/>
      </c>
      <c r="AY165" s="17">
        <f>IF(AX165=1,IF(COUNTIFS($A$2:$A$201,$A165,$AX$2:$AX$201,1,$G$2:$G$201,"&lt;"&amp;G165)+COUNTIFS($A$2:$A$201,$A165,$AX$2:$AX$201,1,$G$2:$G$201,G165,$AT$2:$AT$201,"&lt;"&amp;AT165)=0,1,0),0)</f>
        <v/>
      </c>
      <c r="AZ165" s="17">
        <f>IF(AND(AU165=1,AN165="Y",AX165=0),1,0)</f>
        <v/>
      </c>
      <c r="BA165" s="17">
        <f>IF(AND(AU165=1,ISNUMBER(V165)),1,0)</f>
        <v/>
      </c>
      <c r="BB165" s="17">
        <f>IF(BA165=1,IF(COUNTIFS($A$2:$A$201,$A165,$BA$2:$BA$201,1,$G$2:$G$201,"&lt;"&amp;G165)+COUNTIFS($A$2:$A$201,$A165,$BA$2:$BA$201,1,$G$2:$G$201,G165,$AT$2:$AT$201,"&lt;"&amp;AT165)=0,1,0),0)</f>
        <v/>
      </c>
      <c r="BC165" s="17">
        <f>IF(AND(BB165=1,G165&lt;=Config!$B$6),V165,"")</f>
        <v/>
      </c>
      <c r="BD165" s="17">
        <f>IF(AND(BB165=1,G165&lt;=Config!$B$7),V165,"")</f>
        <v/>
      </c>
      <c r="BE165" s="17">
        <f>IF(AND(BB165=1,G165&lt;=Config!$B$8),V165,"")</f>
        <v/>
      </c>
      <c r="BF165" s="17">
        <f>IF(AND(BB165=1,G165&lt;=Config!$B$5),V165,"")</f>
        <v/>
      </c>
      <c r="BG165" s="17">
        <f>IF(BW165=1,IF(COUNTIFS($A$2:$A$201,$A165,$BW$2:$BW$201,1,$G$2:$G$201,"&lt;"&amp;G165)+COUNTIFS($A$2:$A$201,$A165,$BW$2:$BW$201,1,$G$2:$G$201,G165,$AT$2:$AT$201,"&lt;"&amp;AT165)=0,1,0),0)</f>
        <v/>
      </c>
      <c r="BH165" s="17">
        <f>IF(AND(AU165=1,ISNUMBER(K165)),1,0)</f>
        <v/>
      </c>
      <c r="BI165" s="17">
        <f>IF(BH165=1,IF(COUNTIFS($A$2:$A$201,$A165,$BH$2:$BH$201,1,$G$2:$G$201,"&lt;"&amp;G165)+COUNTIFS($A$2:$A$201,$A165,$BH$2:$BH$201,1,$G$2:$G$201,G165,$AT$2:$AT$201,"&lt;"&amp;AT165)=0,1,0),0)</f>
        <v/>
      </c>
      <c r="BJ165" s="17">
        <f>IF(AND(BI165=1,G165&lt;=Config!$B$5),K165,"")</f>
        <v/>
      </c>
      <c r="BK165" s="17">
        <f>IF(AND(AU165=1,OR(TRIM(U165)&lt;&gt;"",ISNUMBER(V165))),1,0)</f>
        <v/>
      </c>
      <c r="BL165" s="17">
        <f>IF(BK165=1,IF(COUNTIFS($A$2:$A$201,$A165,$BK$2:$BK$201,1,$G$2:$G$201,"&lt;"&amp;G165)+COUNTIFS($A$2:$A$201,$A165,$BK$2:$BK$201,1,$G$2:$G$201,G165,$AT$2:$AT$201,"&lt;"&amp;AT165)=0,1,0),0)</f>
        <v/>
      </c>
      <c r="BM165" s="17">
        <f>IF(BL165=1,$A165,"")</f>
        <v/>
      </c>
      <c r="BN165" s="17">
        <f>IF(AND(AU165=1,T165="Y",TRIM(U165)=""),1,0)</f>
        <v/>
      </c>
      <c r="BO165" s="17">
        <f>IF(AU165=1,AJ165&amp;"","")</f>
        <v/>
      </c>
      <c r="BP165" s="17">
        <f>IF(AU165=1,AK165&amp;"","")</f>
        <v/>
      </c>
      <c r="BQ165" s="17">
        <f>IF(AU165=1,AL165&amp;"","")</f>
        <v/>
      </c>
      <c r="BR165" s="17">
        <f>IF(AND(AU165=1,ISNUMBER(AP165),G165&lt;=Config!$B$5),AP165,"")</f>
        <v/>
      </c>
      <c r="BS165" s="17">
        <f>IF(AU165=1,IF(COUNTIFS($A$2:$A$201,$A165,$AN$2:$AN$201,"Y",$AU$2:$AU$201,1)&gt;0,"Y","N"),"")</f>
        <v/>
      </c>
      <c r="BT165" s="17">
        <f>IF(AND(AU165=1,AN165="maybe"),1,0)</f>
        <v/>
      </c>
      <c r="BU165" s="17">
        <f>IF(BT165=1,IF(COUNTIFS($A$2:$A$201,$A165,$BT$2:$BT$201,1,$G$2:$G$201,"&lt;"&amp;G165)+COUNTIFS($A$2:$A$201,$A165,$BT$2:$BT$201,1,$G$2:$G$201,G165,$AT$2:$AT$201,"&lt;"&amp;AT165)=0,1,0),0)</f>
        <v/>
      </c>
      <c r="BV165" s="17">
        <f>IF(AND(AU165=1,AN165="Y"),IF(COUNTIFS($A$2:$A$201,$A165,$AN$2:$AN$201,"Y",$AU$2:$AU$201,1,$G$2:$G$201,"&lt;"&amp;G165)+COUNTIFS($A$2:$A$201,$A165,$AN$2:$AN$201,"Y",$AU$2:$AU$201,1,$G$2:$G$201,G165,$AT$2:$AT$201,"&lt;"&amp;AT165)=0,1,0),0)</f>
        <v/>
      </c>
      <c r="BW165" s="17">
        <f>IF(AND(BA165=1,N(V165)&gt;=Config!$B$15),1,0)</f>
        <v/>
      </c>
      <c r="BX165" s="17">
        <f>IF(AU165=1,IFERROR(MATCH($A165,INDEX(Clay_Offices!$A$2:$FZ$601,0,Sync!$C$5),0),""),"")</f>
        <v/>
      </c>
      <c r="BY165" s="17">
        <f>IF(BX165="","",IFERROR(INDEX(Clay_Offices!$A$2:$FZ$601,BX165,Sync!$C$7)&amp;"",""))</f>
        <v/>
      </c>
      <c r="BZ165" s="17">
        <f>IF(BY165="","",IFERROR(INDEX(Lists!$J$2:$J$15,MATCH(BY165,Lists!$I$2:$I$15,0)),""))</f>
        <v/>
      </c>
      <c r="CA165" s="17">
        <f>IF(BX165="","",IFERROR(INDEX(Clay_Offices!$A$2:$FZ$601,BX165,Sync!$C$17)&amp;"",""))</f>
        <v/>
      </c>
      <c r="CB165" s="23">
        <f>IF(BX165="","",IFERROR(N(INDEX(Clay_Offices!$A$2:$FZ$601,BX165,Sync!$C$16)),0))</f>
        <v/>
      </c>
    </row>
    <row r="166">
      <c r="G166" s="22" t="n"/>
      <c r="AS166" s="17">
        <f>IF(TRIM($A166)="","",IF(AND(LEFT($A166,6)="SAMPLE",Config!$B$19&lt;&gt;"Y"),"",IF(NOT(ISNUMBER(G166)),"call_date is blank or not a date",IF(Sync!$C$5="","Clay paste is empty or has no row_id column: paste the Clay export on Clay_Offices",IF(BX166="","row_id not found in the Clay paste: add the Clay row or fix the row_id",IF(AND(ISNUMBER(BZ166),BZ166&gt;=1,BZ166&lt;=5),"Clay status is "&amp;BY166&amp;": set call_done or later",IF(AND(AW166=1,CA166&lt;&gt;BS166),"Clay yes_in_principle should be "&amp;BS166,IF(AND(AW166=1,CB166&lt;&gt;G166),"Clay call_date should be "&amp;TEXT(G166,"yyyy-mm-dd"),""))))))))</f>
        <v/>
      </c>
      <c r="AT166" s="17">
        <f>ROW()</f>
        <v/>
      </c>
      <c r="AU166" s="17">
        <f>IF(AND(TRIM($A166)&lt;&gt;"",ISNUMBER(G166)),IF(AND(LEFT($A166,6)="SAMPLE",Config!$B$19&lt;&gt;"Y"),0,1),0)</f>
        <v/>
      </c>
      <c r="AV166" s="17">
        <f>IF(AU166=1,IF(COUNTIFS($A$2:$A$201,$A166,$AU$2:$AU$201,1,$G$2:$G$201,"&lt;"&amp;G166)+COUNTIFS($A$2:$A$201,$A166,$AU$2:$AU$201,1,$G$2:$G$201,G166,$AT$2:$AT$201,"&lt;"&amp;AT166)=0,1,0),0)</f>
        <v/>
      </c>
      <c r="AW166" s="17">
        <f>IF(AU166=1,IF(COUNTIFS($A$2:$A$201,$A166,$AU$2:$AU$201,1,$G$2:$G$201,"&gt;"&amp;G166)+COUNTIFS($A$2:$A$201,$A166,$AU$2:$AU$201,1,$G$2:$G$201,G166,$AT$2:$AT$201,"&gt;"&amp;AT166)=0,1,0),0)</f>
        <v/>
      </c>
      <c r="AX166" s="17">
        <f>IF(AND(AU166=1,AN166="Y",Z166="Y",TRIM(AD166)&lt;&gt;""),1,0)</f>
        <v/>
      </c>
      <c r="AY166" s="17">
        <f>IF(AX166=1,IF(COUNTIFS($A$2:$A$201,$A166,$AX$2:$AX$201,1,$G$2:$G$201,"&lt;"&amp;G166)+COUNTIFS($A$2:$A$201,$A166,$AX$2:$AX$201,1,$G$2:$G$201,G166,$AT$2:$AT$201,"&lt;"&amp;AT166)=0,1,0),0)</f>
        <v/>
      </c>
      <c r="AZ166" s="17">
        <f>IF(AND(AU166=1,AN166="Y",AX166=0),1,0)</f>
        <v/>
      </c>
      <c r="BA166" s="17">
        <f>IF(AND(AU166=1,ISNUMBER(V166)),1,0)</f>
        <v/>
      </c>
      <c r="BB166" s="17">
        <f>IF(BA166=1,IF(COUNTIFS($A$2:$A$201,$A166,$BA$2:$BA$201,1,$G$2:$G$201,"&lt;"&amp;G166)+COUNTIFS($A$2:$A$201,$A166,$BA$2:$BA$201,1,$G$2:$G$201,G166,$AT$2:$AT$201,"&lt;"&amp;AT166)=0,1,0),0)</f>
        <v/>
      </c>
      <c r="BC166" s="17">
        <f>IF(AND(BB166=1,G166&lt;=Config!$B$6),V166,"")</f>
        <v/>
      </c>
      <c r="BD166" s="17">
        <f>IF(AND(BB166=1,G166&lt;=Config!$B$7),V166,"")</f>
        <v/>
      </c>
      <c r="BE166" s="17">
        <f>IF(AND(BB166=1,G166&lt;=Config!$B$8),V166,"")</f>
        <v/>
      </c>
      <c r="BF166" s="17">
        <f>IF(AND(BB166=1,G166&lt;=Config!$B$5),V166,"")</f>
        <v/>
      </c>
      <c r="BG166" s="17">
        <f>IF(BW166=1,IF(COUNTIFS($A$2:$A$201,$A166,$BW$2:$BW$201,1,$G$2:$G$201,"&lt;"&amp;G166)+COUNTIFS($A$2:$A$201,$A166,$BW$2:$BW$201,1,$G$2:$G$201,G166,$AT$2:$AT$201,"&lt;"&amp;AT166)=0,1,0),0)</f>
        <v/>
      </c>
      <c r="BH166" s="17">
        <f>IF(AND(AU166=1,ISNUMBER(K166)),1,0)</f>
        <v/>
      </c>
      <c r="BI166" s="17">
        <f>IF(BH166=1,IF(COUNTIFS($A$2:$A$201,$A166,$BH$2:$BH$201,1,$G$2:$G$201,"&lt;"&amp;G166)+COUNTIFS($A$2:$A$201,$A166,$BH$2:$BH$201,1,$G$2:$G$201,G166,$AT$2:$AT$201,"&lt;"&amp;AT166)=0,1,0),0)</f>
        <v/>
      </c>
      <c r="BJ166" s="17">
        <f>IF(AND(BI166=1,G166&lt;=Config!$B$5),K166,"")</f>
        <v/>
      </c>
      <c r="BK166" s="17">
        <f>IF(AND(AU166=1,OR(TRIM(U166)&lt;&gt;"",ISNUMBER(V166))),1,0)</f>
        <v/>
      </c>
      <c r="BL166" s="17">
        <f>IF(BK166=1,IF(COUNTIFS($A$2:$A$201,$A166,$BK$2:$BK$201,1,$G$2:$G$201,"&lt;"&amp;G166)+COUNTIFS($A$2:$A$201,$A166,$BK$2:$BK$201,1,$G$2:$G$201,G166,$AT$2:$AT$201,"&lt;"&amp;AT166)=0,1,0),0)</f>
        <v/>
      </c>
      <c r="BM166" s="17">
        <f>IF(BL166=1,$A166,"")</f>
        <v/>
      </c>
      <c r="BN166" s="17">
        <f>IF(AND(AU166=1,T166="Y",TRIM(U166)=""),1,0)</f>
        <v/>
      </c>
      <c r="BO166" s="17">
        <f>IF(AU166=1,AJ166&amp;"","")</f>
        <v/>
      </c>
      <c r="BP166" s="17">
        <f>IF(AU166=1,AK166&amp;"","")</f>
        <v/>
      </c>
      <c r="BQ166" s="17">
        <f>IF(AU166=1,AL166&amp;"","")</f>
        <v/>
      </c>
      <c r="BR166" s="17">
        <f>IF(AND(AU166=1,ISNUMBER(AP166),G166&lt;=Config!$B$5),AP166,"")</f>
        <v/>
      </c>
      <c r="BS166" s="17">
        <f>IF(AU166=1,IF(COUNTIFS($A$2:$A$201,$A166,$AN$2:$AN$201,"Y",$AU$2:$AU$201,1)&gt;0,"Y","N"),"")</f>
        <v/>
      </c>
      <c r="BT166" s="17">
        <f>IF(AND(AU166=1,AN166="maybe"),1,0)</f>
        <v/>
      </c>
      <c r="BU166" s="17">
        <f>IF(BT166=1,IF(COUNTIFS($A$2:$A$201,$A166,$BT$2:$BT$201,1,$G$2:$G$201,"&lt;"&amp;G166)+COUNTIFS($A$2:$A$201,$A166,$BT$2:$BT$201,1,$G$2:$G$201,G166,$AT$2:$AT$201,"&lt;"&amp;AT166)=0,1,0),0)</f>
        <v/>
      </c>
      <c r="BV166" s="17">
        <f>IF(AND(AU166=1,AN166="Y"),IF(COUNTIFS($A$2:$A$201,$A166,$AN$2:$AN$201,"Y",$AU$2:$AU$201,1,$G$2:$G$201,"&lt;"&amp;G166)+COUNTIFS($A$2:$A$201,$A166,$AN$2:$AN$201,"Y",$AU$2:$AU$201,1,$G$2:$G$201,G166,$AT$2:$AT$201,"&lt;"&amp;AT166)=0,1,0),0)</f>
        <v/>
      </c>
      <c r="BW166" s="17">
        <f>IF(AND(BA166=1,N(V166)&gt;=Config!$B$15),1,0)</f>
        <v/>
      </c>
      <c r="BX166" s="17">
        <f>IF(AU166=1,IFERROR(MATCH($A166,INDEX(Clay_Offices!$A$2:$FZ$601,0,Sync!$C$5),0),""),"")</f>
        <v/>
      </c>
      <c r="BY166" s="17">
        <f>IF(BX166="","",IFERROR(INDEX(Clay_Offices!$A$2:$FZ$601,BX166,Sync!$C$7)&amp;"",""))</f>
        <v/>
      </c>
      <c r="BZ166" s="17">
        <f>IF(BY166="","",IFERROR(INDEX(Lists!$J$2:$J$15,MATCH(BY166,Lists!$I$2:$I$15,0)),""))</f>
        <v/>
      </c>
      <c r="CA166" s="17">
        <f>IF(BX166="","",IFERROR(INDEX(Clay_Offices!$A$2:$FZ$601,BX166,Sync!$C$17)&amp;"",""))</f>
        <v/>
      </c>
      <c r="CB166" s="23">
        <f>IF(BX166="","",IFERROR(N(INDEX(Clay_Offices!$A$2:$FZ$601,BX166,Sync!$C$16)),0))</f>
        <v/>
      </c>
    </row>
    <row r="167">
      <c r="G167" s="22" t="n"/>
      <c r="AS167" s="17">
        <f>IF(TRIM($A167)="","",IF(AND(LEFT($A167,6)="SAMPLE",Config!$B$19&lt;&gt;"Y"),"",IF(NOT(ISNUMBER(G167)),"call_date is blank or not a date",IF(Sync!$C$5="","Clay paste is empty or has no row_id column: paste the Clay export on Clay_Offices",IF(BX167="","row_id not found in the Clay paste: add the Clay row or fix the row_id",IF(AND(ISNUMBER(BZ167),BZ167&gt;=1,BZ167&lt;=5),"Clay status is "&amp;BY167&amp;": set call_done or later",IF(AND(AW167=1,CA167&lt;&gt;BS167),"Clay yes_in_principle should be "&amp;BS167,IF(AND(AW167=1,CB167&lt;&gt;G167),"Clay call_date should be "&amp;TEXT(G167,"yyyy-mm-dd"),""))))))))</f>
        <v/>
      </c>
      <c r="AT167" s="17">
        <f>ROW()</f>
        <v/>
      </c>
      <c r="AU167" s="17">
        <f>IF(AND(TRIM($A167)&lt;&gt;"",ISNUMBER(G167)),IF(AND(LEFT($A167,6)="SAMPLE",Config!$B$19&lt;&gt;"Y"),0,1),0)</f>
        <v/>
      </c>
      <c r="AV167" s="17">
        <f>IF(AU167=1,IF(COUNTIFS($A$2:$A$201,$A167,$AU$2:$AU$201,1,$G$2:$G$201,"&lt;"&amp;G167)+COUNTIFS($A$2:$A$201,$A167,$AU$2:$AU$201,1,$G$2:$G$201,G167,$AT$2:$AT$201,"&lt;"&amp;AT167)=0,1,0),0)</f>
        <v/>
      </c>
      <c r="AW167" s="17">
        <f>IF(AU167=1,IF(COUNTIFS($A$2:$A$201,$A167,$AU$2:$AU$201,1,$G$2:$G$201,"&gt;"&amp;G167)+COUNTIFS($A$2:$A$201,$A167,$AU$2:$AU$201,1,$G$2:$G$201,G167,$AT$2:$AT$201,"&gt;"&amp;AT167)=0,1,0),0)</f>
        <v/>
      </c>
      <c r="AX167" s="17">
        <f>IF(AND(AU167=1,AN167="Y",Z167="Y",TRIM(AD167)&lt;&gt;""),1,0)</f>
        <v/>
      </c>
      <c r="AY167" s="17">
        <f>IF(AX167=1,IF(COUNTIFS($A$2:$A$201,$A167,$AX$2:$AX$201,1,$G$2:$G$201,"&lt;"&amp;G167)+COUNTIFS($A$2:$A$201,$A167,$AX$2:$AX$201,1,$G$2:$G$201,G167,$AT$2:$AT$201,"&lt;"&amp;AT167)=0,1,0),0)</f>
        <v/>
      </c>
      <c r="AZ167" s="17">
        <f>IF(AND(AU167=1,AN167="Y",AX167=0),1,0)</f>
        <v/>
      </c>
      <c r="BA167" s="17">
        <f>IF(AND(AU167=1,ISNUMBER(V167)),1,0)</f>
        <v/>
      </c>
      <c r="BB167" s="17">
        <f>IF(BA167=1,IF(COUNTIFS($A$2:$A$201,$A167,$BA$2:$BA$201,1,$G$2:$G$201,"&lt;"&amp;G167)+COUNTIFS($A$2:$A$201,$A167,$BA$2:$BA$201,1,$G$2:$G$201,G167,$AT$2:$AT$201,"&lt;"&amp;AT167)=0,1,0),0)</f>
        <v/>
      </c>
      <c r="BC167" s="17">
        <f>IF(AND(BB167=1,G167&lt;=Config!$B$6),V167,"")</f>
        <v/>
      </c>
      <c r="BD167" s="17">
        <f>IF(AND(BB167=1,G167&lt;=Config!$B$7),V167,"")</f>
        <v/>
      </c>
      <c r="BE167" s="17">
        <f>IF(AND(BB167=1,G167&lt;=Config!$B$8),V167,"")</f>
        <v/>
      </c>
      <c r="BF167" s="17">
        <f>IF(AND(BB167=1,G167&lt;=Config!$B$5),V167,"")</f>
        <v/>
      </c>
      <c r="BG167" s="17">
        <f>IF(BW167=1,IF(COUNTIFS($A$2:$A$201,$A167,$BW$2:$BW$201,1,$G$2:$G$201,"&lt;"&amp;G167)+COUNTIFS($A$2:$A$201,$A167,$BW$2:$BW$201,1,$G$2:$G$201,G167,$AT$2:$AT$201,"&lt;"&amp;AT167)=0,1,0),0)</f>
        <v/>
      </c>
      <c r="BH167" s="17">
        <f>IF(AND(AU167=1,ISNUMBER(K167)),1,0)</f>
        <v/>
      </c>
      <c r="BI167" s="17">
        <f>IF(BH167=1,IF(COUNTIFS($A$2:$A$201,$A167,$BH$2:$BH$201,1,$G$2:$G$201,"&lt;"&amp;G167)+COUNTIFS($A$2:$A$201,$A167,$BH$2:$BH$201,1,$G$2:$G$201,G167,$AT$2:$AT$201,"&lt;"&amp;AT167)=0,1,0),0)</f>
        <v/>
      </c>
      <c r="BJ167" s="17">
        <f>IF(AND(BI167=1,G167&lt;=Config!$B$5),K167,"")</f>
        <v/>
      </c>
      <c r="BK167" s="17">
        <f>IF(AND(AU167=1,OR(TRIM(U167)&lt;&gt;"",ISNUMBER(V167))),1,0)</f>
        <v/>
      </c>
      <c r="BL167" s="17">
        <f>IF(BK167=1,IF(COUNTIFS($A$2:$A$201,$A167,$BK$2:$BK$201,1,$G$2:$G$201,"&lt;"&amp;G167)+COUNTIFS($A$2:$A$201,$A167,$BK$2:$BK$201,1,$G$2:$G$201,G167,$AT$2:$AT$201,"&lt;"&amp;AT167)=0,1,0),0)</f>
        <v/>
      </c>
      <c r="BM167" s="17">
        <f>IF(BL167=1,$A167,"")</f>
        <v/>
      </c>
      <c r="BN167" s="17">
        <f>IF(AND(AU167=1,T167="Y",TRIM(U167)=""),1,0)</f>
        <v/>
      </c>
      <c r="BO167" s="17">
        <f>IF(AU167=1,AJ167&amp;"","")</f>
        <v/>
      </c>
      <c r="BP167" s="17">
        <f>IF(AU167=1,AK167&amp;"","")</f>
        <v/>
      </c>
      <c r="BQ167" s="17">
        <f>IF(AU167=1,AL167&amp;"","")</f>
        <v/>
      </c>
      <c r="BR167" s="17">
        <f>IF(AND(AU167=1,ISNUMBER(AP167),G167&lt;=Config!$B$5),AP167,"")</f>
        <v/>
      </c>
      <c r="BS167" s="17">
        <f>IF(AU167=1,IF(COUNTIFS($A$2:$A$201,$A167,$AN$2:$AN$201,"Y",$AU$2:$AU$201,1)&gt;0,"Y","N"),"")</f>
        <v/>
      </c>
      <c r="BT167" s="17">
        <f>IF(AND(AU167=1,AN167="maybe"),1,0)</f>
        <v/>
      </c>
      <c r="BU167" s="17">
        <f>IF(BT167=1,IF(COUNTIFS($A$2:$A$201,$A167,$BT$2:$BT$201,1,$G$2:$G$201,"&lt;"&amp;G167)+COUNTIFS($A$2:$A$201,$A167,$BT$2:$BT$201,1,$G$2:$G$201,G167,$AT$2:$AT$201,"&lt;"&amp;AT167)=0,1,0),0)</f>
        <v/>
      </c>
      <c r="BV167" s="17">
        <f>IF(AND(AU167=1,AN167="Y"),IF(COUNTIFS($A$2:$A$201,$A167,$AN$2:$AN$201,"Y",$AU$2:$AU$201,1,$G$2:$G$201,"&lt;"&amp;G167)+COUNTIFS($A$2:$A$201,$A167,$AN$2:$AN$201,"Y",$AU$2:$AU$201,1,$G$2:$G$201,G167,$AT$2:$AT$201,"&lt;"&amp;AT167)=0,1,0),0)</f>
        <v/>
      </c>
      <c r="BW167" s="17">
        <f>IF(AND(BA167=1,N(V167)&gt;=Config!$B$15),1,0)</f>
        <v/>
      </c>
      <c r="BX167" s="17">
        <f>IF(AU167=1,IFERROR(MATCH($A167,INDEX(Clay_Offices!$A$2:$FZ$601,0,Sync!$C$5),0),""),"")</f>
        <v/>
      </c>
      <c r="BY167" s="17">
        <f>IF(BX167="","",IFERROR(INDEX(Clay_Offices!$A$2:$FZ$601,BX167,Sync!$C$7)&amp;"",""))</f>
        <v/>
      </c>
      <c r="BZ167" s="17">
        <f>IF(BY167="","",IFERROR(INDEX(Lists!$J$2:$J$15,MATCH(BY167,Lists!$I$2:$I$15,0)),""))</f>
        <v/>
      </c>
      <c r="CA167" s="17">
        <f>IF(BX167="","",IFERROR(INDEX(Clay_Offices!$A$2:$FZ$601,BX167,Sync!$C$17)&amp;"",""))</f>
        <v/>
      </c>
      <c r="CB167" s="23">
        <f>IF(BX167="","",IFERROR(N(INDEX(Clay_Offices!$A$2:$FZ$601,BX167,Sync!$C$16)),0))</f>
        <v/>
      </c>
    </row>
    <row r="168">
      <c r="G168" s="22" t="n"/>
      <c r="AS168" s="17">
        <f>IF(TRIM($A168)="","",IF(AND(LEFT($A168,6)="SAMPLE",Config!$B$19&lt;&gt;"Y"),"",IF(NOT(ISNUMBER(G168)),"call_date is blank or not a date",IF(Sync!$C$5="","Clay paste is empty or has no row_id column: paste the Clay export on Clay_Offices",IF(BX168="","row_id not found in the Clay paste: add the Clay row or fix the row_id",IF(AND(ISNUMBER(BZ168),BZ168&gt;=1,BZ168&lt;=5),"Clay status is "&amp;BY168&amp;": set call_done or later",IF(AND(AW168=1,CA168&lt;&gt;BS168),"Clay yes_in_principle should be "&amp;BS168,IF(AND(AW168=1,CB168&lt;&gt;G168),"Clay call_date should be "&amp;TEXT(G168,"yyyy-mm-dd"),""))))))))</f>
        <v/>
      </c>
      <c r="AT168" s="17">
        <f>ROW()</f>
        <v/>
      </c>
      <c r="AU168" s="17">
        <f>IF(AND(TRIM($A168)&lt;&gt;"",ISNUMBER(G168)),IF(AND(LEFT($A168,6)="SAMPLE",Config!$B$19&lt;&gt;"Y"),0,1),0)</f>
        <v/>
      </c>
      <c r="AV168" s="17">
        <f>IF(AU168=1,IF(COUNTIFS($A$2:$A$201,$A168,$AU$2:$AU$201,1,$G$2:$G$201,"&lt;"&amp;G168)+COUNTIFS($A$2:$A$201,$A168,$AU$2:$AU$201,1,$G$2:$G$201,G168,$AT$2:$AT$201,"&lt;"&amp;AT168)=0,1,0),0)</f>
        <v/>
      </c>
      <c r="AW168" s="17">
        <f>IF(AU168=1,IF(COUNTIFS($A$2:$A$201,$A168,$AU$2:$AU$201,1,$G$2:$G$201,"&gt;"&amp;G168)+COUNTIFS($A$2:$A$201,$A168,$AU$2:$AU$201,1,$G$2:$G$201,G168,$AT$2:$AT$201,"&gt;"&amp;AT168)=0,1,0),0)</f>
        <v/>
      </c>
      <c r="AX168" s="17">
        <f>IF(AND(AU168=1,AN168="Y",Z168="Y",TRIM(AD168)&lt;&gt;""),1,0)</f>
        <v/>
      </c>
      <c r="AY168" s="17">
        <f>IF(AX168=1,IF(COUNTIFS($A$2:$A$201,$A168,$AX$2:$AX$201,1,$G$2:$G$201,"&lt;"&amp;G168)+COUNTIFS($A$2:$A$201,$A168,$AX$2:$AX$201,1,$G$2:$G$201,G168,$AT$2:$AT$201,"&lt;"&amp;AT168)=0,1,0),0)</f>
        <v/>
      </c>
      <c r="AZ168" s="17">
        <f>IF(AND(AU168=1,AN168="Y",AX168=0),1,0)</f>
        <v/>
      </c>
      <c r="BA168" s="17">
        <f>IF(AND(AU168=1,ISNUMBER(V168)),1,0)</f>
        <v/>
      </c>
      <c r="BB168" s="17">
        <f>IF(BA168=1,IF(COUNTIFS($A$2:$A$201,$A168,$BA$2:$BA$201,1,$G$2:$G$201,"&lt;"&amp;G168)+COUNTIFS($A$2:$A$201,$A168,$BA$2:$BA$201,1,$G$2:$G$201,G168,$AT$2:$AT$201,"&lt;"&amp;AT168)=0,1,0),0)</f>
        <v/>
      </c>
      <c r="BC168" s="17">
        <f>IF(AND(BB168=1,G168&lt;=Config!$B$6),V168,"")</f>
        <v/>
      </c>
      <c r="BD168" s="17">
        <f>IF(AND(BB168=1,G168&lt;=Config!$B$7),V168,"")</f>
        <v/>
      </c>
      <c r="BE168" s="17">
        <f>IF(AND(BB168=1,G168&lt;=Config!$B$8),V168,"")</f>
        <v/>
      </c>
      <c r="BF168" s="17">
        <f>IF(AND(BB168=1,G168&lt;=Config!$B$5),V168,"")</f>
        <v/>
      </c>
      <c r="BG168" s="17">
        <f>IF(BW168=1,IF(COUNTIFS($A$2:$A$201,$A168,$BW$2:$BW$201,1,$G$2:$G$201,"&lt;"&amp;G168)+COUNTIFS($A$2:$A$201,$A168,$BW$2:$BW$201,1,$G$2:$G$201,G168,$AT$2:$AT$201,"&lt;"&amp;AT168)=0,1,0),0)</f>
        <v/>
      </c>
      <c r="BH168" s="17">
        <f>IF(AND(AU168=1,ISNUMBER(K168)),1,0)</f>
        <v/>
      </c>
      <c r="BI168" s="17">
        <f>IF(BH168=1,IF(COUNTIFS($A$2:$A$201,$A168,$BH$2:$BH$201,1,$G$2:$G$201,"&lt;"&amp;G168)+COUNTIFS($A$2:$A$201,$A168,$BH$2:$BH$201,1,$G$2:$G$201,G168,$AT$2:$AT$201,"&lt;"&amp;AT168)=0,1,0),0)</f>
        <v/>
      </c>
      <c r="BJ168" s="17">
        <f>IF(AND(BI168=1,G168&lt;=Config!$B$5),K168,"")</f>
        <v/>
      </c>
      <c r="BK168" s="17">
        <f>IF(AND(AU168=1,OR(TRIM(U168)&lt;&gt;"",ISNUMBER(V168))),1,0)</f>
        <v/>
      </c>
      <c r="BL168" s="17">
        <f>IF(BK168=1,IF(COUNTIFS($A$2:$A$201,$A168,$BK$2:$BK$201,1,$G$2:$G$201,"&lt;"&amp;G168)+COUNTIFS($A$2:$A$201,$A168,$BK$2:$BK$201,1,$G$2:$G$201,G168,$AT$2:$AT$201,"&lt;"&amp;AT168)=0,1,0),0)</f>
        <v/>
      </c>
      <c r="BM168" s="17">
        <f>IF(BL168=1,$A168,"")</f>
        <v/>
      </c>
      <c r="BN168" s="17">
        <f>IF(AND(AU168=1,T168="Y",TRIM(U168)=""),1,0)</f>
        <v/>
      </c>
      <c r="BO168" s="17">
        <f>IF(AU168=1,AJ168&amp;"","")</f>
        <v/>
      </c>
      <c r="BP168" s="17">
        <f>IF(AU168=1,AK168&amp;"","")</f>
        <v/>
      </c>
      <c r="BQ168" s="17">
        <f>IF(AU168=1,AL168&amp;"","")</f>
        <v/>
      </c>
      <c r="BR168" s="17">
        <f>IF(AND(AU168=1,ISNUMBER(AP168),G168&lt;=Config!$B$5),AP168,"")</f>
        <v/>
      </c>
      <c r="BS168" s="17">
        <f>IF(AU168=1,IF(COUNTIFS($A$2:$A$201,$A168,$AN$2:$AN$201,"Y",$AU$2:$AU$201,1)&gt;0,"Y","N"),"")</f>
        <v/>
      </c>
      <c r="BT168" s="17">
        <f>IF(AND(AU168=1,AN168="maybe"),1,0)</f>
        <v/>
      </c>
      <c r="BU168" s="17">
        <f>IF(BT168=1,IF(COUNTIFS($A$2:$A$201,$A168,$BT$2:$BT$201,1,$G$2:$G$201,"&lt;"&amp;G168)+COUNTIFS($A$2:$A$201,$A168,$BT$2:$BT$201,1,$G$2:$G$201,G168,$AT$2:$AT$201,"&lt;"&amp;AT168)=0,1,0),0)</f>
        <v/>
      </c>
      <c r="BV168" s="17">
        <f>IF(AND(AU168=1,AN168="Y"),IF(COUNTIFS($A$2:$A$201,$A168,$AN$2:$AN$201,"Y",$AU$2:$AU$201,1,$G$2:$G$201,"&lt;"&amp;G168)+COUNTIFS($A$2:$A$201,$A168,$AN$2:$AN$201,"Y",$AU$2:$AU$201,1,$G$2:$G$201,G168,$AT$2:$AT$201,"&lt;"&amp;AT168)=0,1,0),0)</f>
        <v/>
      </c>
      <c r="BW168" s="17">
        <f>IF(AND(BA168=1,N(V168)&gt;=Config!$B$15),1,0)</f>
        <v/>
      </c>
      <c r="BX168" s="17">
        <f>IF(AU168=1,IFERROR(MATCH($A168,INDEX(Clay_Offices!$A$2:$FZ$601,0,Sync!$C$5),0),""),"")</f>
        <v/>
      </c>
      <c r="BY168" s="17">
        <f>IF(BX168="","",IFERROR(INDEX(Clay_Offices!$A$2:$FZ$601,BX168,Sync!$C$7)&amp;"",""))</f>
        <v/>
      </c>
      <c r="BZ168" s="17">
        <f>IF(BY168="","",IFERROR(INDEX(Lists!$J$2:$J$15,MATCH(BY168,Lists!$I$2:$I$15,0)),""))</f>
        <v/>
      </c>
      <c r="CA168" s="17">
        <f>IF(BX168="","",IFERROR(INDEX(Clay_Offices!$A$2:$FZ$601,BX168,Sync!$C$17)&amp;"",""))</f>
        <v/>
      </c>
      <c r="CB168" s="23">
        <f>IF(BX168="","",IFERROR(N(INDEX(Clay_Offices!$A$2:$FZ$601,BX168,Sync!$C$16)),0))</f>
        <v/>
      </c>
    </row>
    <row r="169">
      <c r="G169" s="22" t="n"/>
      <c r="AS169" s="17">
        <f>IF(TRIM($A169)="","",IF(AND(LEFT($A169,6)="SAMPLE",Config!$B$19&lt;&gt;"Y"),"",IF(NOT(ISNUMBER(G169)),"call_date is blank or not a date",IF(Sync!$C$5="","Clay paste is empty or has no row_id column: paste the Clay export on Clay_Offices",IF(BX169="","row_id not found in the Clay paste: add the Clay row or fix the row_id",IF(AND(ISNUMBER(BZ169),BZ169&gt;=1,BZ169&lt;=5),"Clay status is "&amp;BY169&amp;": set call_done or later",IF(AND(AW169=1,CA169&lt;&gt;BS169),"Clay yes_in_principle should be "&amp;BS169,IF(AND(AW169=1,CB169&lt;&gt;G169),"Clay call_date should be "&amp;TEXT(G169,"yyyy-mm-dd"),""))))))))</f>
        <v/>
      </c>
      <c r="AT169" s="17">
        <f>ROW()</f>
        <v/>
      </c>
      <c r="AU169" s="17">
        <f>IF(AND(TRIM($A169)&lt;&gt;"",ISNUMBER(G169)),IF(AND(LEFT($A169,6)="SAMPLE",Config!$B$19&lt;&gt;"Y"),0,1),0)</f>
        <v/>
      </c>
      <c r="AV169" s="17">
        <f>IF(AU169=1,IF(COUNTIFS($A$2:$A$201,$A169,$AU$2:$AU$201,1,$G$2:$G$201,"&lt;"&amp;G169)+COUNTIFS($A$2:$A$201,$A169,$AU$2:$AU$201,1,$G$2:$G$201,G169,$AT$2:$AT$201,"&lt;"&amp;AT169)=0,1,0),0)</f>
        <v/>
      </c>
      <c r="AW169" s="17">
        <f>IF(AU169=1,IF(COUNTIFS($A$2:$A$201,$A169,$AU$2:$AU$201,1,$G$2:$G$201,"&gt;"&amp;G169)+COUNTIFS($A$2:$A$201,$A169,$AU$2:$AU$201,1,$G$2:$G$201,G169,$AT$2:$AT$201,"&gt;"&amp;AT169)=0,1,0),0)</f>
        <v/>
      </c>
      <c r="AX169" s="17">
        <f>IF(AND(AU169=1,AN169="Y",Z169="Y",TRIM(AD169)&lt;&gt;""),1,0)</f>
        <v/>
      </c>
      <c r="AY169" s="17">
        <f>IF(AX169=1,IF(COUNTIFS($A$2:$A$201,$A169,$AX$2:$AX$201,1,$G$2:$G$201,"&lt;"&amp;G169)+COUNTIFS($A$2:$A$201,$A169,$AX$2:$AX$201,1,$G$2:$G$201,G169,$AT$2:$AT$201,"&lt;"&amp;AT169)=0,1,0),0)</f>
        <v/>
      </c>
      <c r="AZ169" s="17">
        <f>IF(AND(AU169=1,AN169="Y",AX169=0),1,0)</f>
        <v/>
      </c>
      <c r="BA169" s="17">
        <f>IF(AND(AU169=1,ISNUMBER(V169)),1,0)</f>
        <v/>
      </c>
      <c r="BB169" s="17">
        <f>IF(BA169=1,IF(COUNTIFS($A$2:$A$201,$A169,$BA$2:$BA$201,1,$G$2:$G$201,"&lt;"&amp;G169)+COUNTIFS($A$2:$A$201,$A169,$BA$2:$BA$201,1,$G$2:$G$201,G169,$AT$2:$AT$201,"&lt;"&amp;AT169)=0,1,0),0)</f>
        <v/>
      </c>
      <c r="BC169" s="17">
        <f>IF(AND(BB169=1,G169&lt;=Config!$B$6),V169,"")</f>
        <v/>
      </c>
      <c r="BD169" s="17">
        <f>IF(AND(BB169=1,G169&lt;=Config!$B$7),V169,"")</f>
        <v/>
      </c>
      <c r="BE169" s="17">
        <f>IF(AND(BB169=1,G169&lt;=Config!$B$8),V169,"")</f>
        <v/>
      </c>
      <c r="BF169" s="17">
        <f>IF(AND(BB169=1,G169&lt;=Config!$B$5),V169,"")</f>
        <v/>
      </c>
      <c r="BG169" s="17">
        <f>IF(BW169=1,IF(COUNTIFS($A$2:$A$201,$A169,$BW$2:$BW$201,1,$G$2:$G$201,"&lt;"&amp;G169)+COUNTIFS($A$2:$A$201,$A169,$BW$2:$BW$201,1,$G$2:$G$201,G169,$AT$2:$AT$201,"&lt;"&amp;AT169)=0,1,0),0)</f>
        <v/>
      </c>
      <c r="BH169" s="17">
        <f>IF(AND(AU169=1,ISNUMBER(K169)),1,0)</f>
        <v/>
      </c>
      <c r="BI169" s="17">
        <f>IF(BH169=1,IF(COUNTIFS($A$2:$A$201,$A169,$BH$2:$BH$201,1,$G$2:$G$201,"&lt;"&amp;G169)+COUNTIFS($A$2:$A$201,$A169,$BH$2:$BH$201,1,$G$2:$G$201,G169,$AT$2:$AT$201,"&lt;"&amp;AT169)=0,1,0),0)</f>
        <v/>
      </c>
      <c r="BJ169" s="17">
        <f>IF(AND(BI169=1,G169&lt;=Config!$B$5),K169,"")</f>
        <v/>
      </c>
      <c r="BK169" s="17">
        <f>IF(AND(AU169=1,OR(TRIM(U169)&lt;&gt;"",ISNUMBER(V169))),1,0)</f>
        <v/>
      </c>
      <c r="BL169" s="17">
        <f>IF(BK169=1,IF(COUNTIFS($A$2:$A$201,$A169,$BK$2:$BK$201,1,$G$2:$G$201,"&lt;"&amp;G169)+COUNTIFS($A$2:$A$201,$A169,$BK$2:$BK$201,1,$G$2:$G$201,G169,$AT$2:$AT$201,"&lt;"&amp;AT169)=0,1,0),0)</f>
        <v/>
      </c>
      <c r="BM169" s="17">
        <f>IF(BL169=1,$A169,"")</f>
        <v/>
      </c>
      <c r="BN169" s="17">
        <f>IF(AND(AU169=1,T169="Y",TRIM(U169)=""),1,0)</f>
        <v/>
      </c>
      <c r="BO169" s="17">
        <f>IF(AU169=1,AJ169&amp;"","")</f>
        <v/>
      </c>
      <c r="BP169" s="17">
        <f>IF(AU169=1,AK169&amp;"","")</f>
        <v/>
      </c>
      <c r="BQ169" s="17">
        <f>IF(AU169=1,AL169&amp;"","")</f>
        <v/>
      </c>
      <c r="BR169" s="17">
        <f>IF(AND(AU169=1,ISNUMBER(AP169),G169&lt;=Config!$B$5),AP169,"")</f>
        <v/>
      </c>
      <c r="BS169" s="17">
        <f>IF(AU169=1,IF(COUNTIFS($A$2:$A$201,$A169,$AN$2:$AN$201,"Y",$AU$2:$AU$201,1)&gt;0,"Y","N"),"")</f>
        <v/>
      </c>
      <c r="BT169" s="17">
        <f>IF(AND(AU169=1,AN169="maybe"),1,0)</f>
        <v/>
      </c>
      <c r="BU169" s="17">
        <f>IF(BT169=1,IF(COUNTIFS($A$2:$A$201,$A169,$BT$2:$BT$201,1,$G$2:$G$201,"&lt;"&amp;G169)+COUNTIFS($A$2:$A$201,$A169,$BT$2:$BT$201,1,$G$2:$G$201,G169,$AT$2:$AT$201,"&lt;"&amp;AT169)=0,1,0),0)</f>
        <v/>
      </c>
      <c r="BV169" s="17">
        <f>IF(AND(AU169=1,AN169="Y"),IF(COUNTIFS($A$2:$A$201,$A169,$AN$2:$AN$201,"Y",$AU$2:$AU$201,1,$G$2:$G$201,"&lt;"&amp;G169)+COUNTIFS($A$2:$A$201,$A169,$AN$2:$AN$201,"Y",$AU$2:$AU$201,1,$G$2:$G$201,G169,$AT$2:$AT$201,"&lt;"&amp;AT169)=0,1,0),0)</f>
        <v/>
      </c>
      <c r="BW169" s="17">
        <f>IF(AND(BA169=1,N(V169)&gt;=Config!$B$15),1,0)</f>
        <v/>
      </c>
      <c r="BX169" s="17">
        <f>IF(AU169=1,IFERROR(MATCH($A169,INDEX(Clay_Offices!$A$2:$FZ$601,0,Sync!$C$5),0),""),"")</f>
        <v/>
      </c>
      <c r="BY169" s="17">
        <f>IF(BX169="","",IFERROR(INDEX(Clay_Offices!$A$2:$FZ$601,BX169,Sync!$C$7)&amp;"",""))</f>
        <v/>
      </c>
      <c r="BZ169" s="17">
        <f>IF(BY169="","",IFERROR(INDEX(Lists!$J$2:$J$15,MATCH(BY169,Lists!$I$2:$I$15,0)),""))</f>
        <v/>
      </c>
      <c r="CA169" s="17">
        <f>IF(BX169="","",IFERROR(INDEX(Clay_Offices!$A$2:$FZ$601,BX169,Sync!$C$17)&amp;"",""))</f>
        <v/>
      </c>
      <c r="CB169" s="23">
        <f>IF(BX169="","",IFERROR(N(INDEX(Clay_Offices!$A$2:$FZ$601,BX169,Sync!$C$16)),0))</f>
        <v/>
      </c>
    </row>
    <row r="170">
      <c r="G170" s="22" t="n"/>
      <c r="AS170" s="17">
        <f>IF(TRIM($A170)="","",IF(AND(LEFT($A170,6)="SAMPLE",Config!$B$19&lt;&gt;"Y"),"",IF(NOT(ISNUMBER(G170)),"call_date is blank or not a date",IF(Sync!$C$5="","Clay paste is empty or has no row_id column: paste the Clay export on Clay_Offices",IF(BX170="","row_id not found in the Clay paste: add the Clay row or fix the row_id",IF(AND(ISNUMBER(BZ170),BZ170&gt;=1,BZ170&lt;=5),"Clay status is "&amp;BY170&amp;": set call_done or later",IF(AND(AW170=1,CA170&lt;&gt;BS170),"Clay yes_in_principle should be "&amp;BS170,IF(AND(AW170=1,CB170&lt;&gt;G170),"Clay call_date should be "&amp;TEXT(G170,"yyyy-mm-dd"),""))))))))</f>
        <v/>
      </c>
      <c r="AT170" s="17">
        <f>ROW()</f>
        <v/>
      </c>
      <c r="AU170" s="17">
        <f>IF(AND(TRIM($A170)&lt;&gt;"",ISNUMBER(G170)),IF(AND(LEFT($A170,6)="SAMPLE",Config!$B$19&lt;&gt;"Y"),0,1),0)</f>
        <v/>
      </c>
      <c r="AV170" s="17">
        <f>IF(AU170=1,IF(COUNTIFS($A$2:$A$201,$A170,$AU$2:$AU$201,1,$G$2:$G$201,"&lt;"&amp;G170)+COUNTIFS($A$2:$A$201,$A170,$AU$2:$AU$201,1,$G$2:$G$201,G170,$AT$2:$AT$201,"&lt;"&amp;AT170)=0,1,0),0)</f>
        <v/>
      </c>
      <c r="AW170" s="17">
        <f>IF(AU170=1,IF(COUNTIFS($A$2:$A$201,$A170,$AU$2:$AU$201,1,$G$2:$G$201,"&gt;"&amp;G170)+COUNTIFS($A$2:$A$201,$A170,$AU$2:$AU$201,1,$G$2:$G$201,G170,$AT$2:$AT$201,"&gt;"&amp;AT170)=0,1,0),0)</f>
        <v/>
      </c>
      <c r="AX170" s="17">
        <f>IF(AND(AU170=1,AN170="Y",Z170="Y",TRIM(AD170)&lt;&gt;""),1,0)</f>
        <v/>
      </c>
      <c r="AY170" s="17">
        <f>IF(AX170=1,IF(COUNTIFS($A$2:$A$201,$A170,$AX$2:$AX$201,1,$G$2:$G$201,"&lt;"&amp;G170)+COUNTIFS($A$2:$A$201,$A170,$AX$2:$AX$201,1,$G$2:$G$201,G170,$AT$2:$AT$201,"&lt;"&amp;AT170)=0,1,0),0)</f>
        <v/>
      </c>
      <c r="AZ170" s="17">
        <f>IF(AND(AU170=1,AN170="Y",AX170=0),1,0)</f>
        <v/>
      </c>
      <c r="BA170" s="17">
        <f>IF(AND(AU170=1,ISNUMBER(V170)),1,0)</f>
        <v/>
      </c>
      <c r="BB170" s="17">
        <f>IF(BA170=1,IF(COUNTIFS($A$2:$A$201,$A170,$BA$2:$BA$201,1,$G$2:$G$201,"&lt;"&amp;G170)+COUNTIFS($A$2:$A$201,$A170,$BA$2:$BA$201,1,$G$2:$G$201,G170,$AT$2:$AT$201,"&lt;"&amp;AT170)=0,1,0),0)</f>
        <v/>
      </c>
      <c r="BC170" s="17">
        <f>IF(AND(BB170=1,G170&lt;=Config!$B$6),V170,"")</f>
        <v/>
      </c>
      <c r="BD170" s="17">
        <f>IF(AND(BB170=1,G170&lt;=Config!$B$7),V170,"")</f>
        <v/>
      </c>
      <c r="BE170" s="17">
        <f>IF(AND(BB170=1,G170&lt;=Config!$B$8),V170,"")</f>
        <v/>
      </c>
      <c r="BF170" s="17">
        <f>IF(AND(BB170=1,G170&lt;=Config!$B$5),V170,"")</f>
        <v/>
      </c>
      <c r="BG170" s="17">
        <f>IF(BW170=1,IF(COUNTIFS($A$2:$A$201,$A170,$BW$2:$BW$201,1,$G$2:$G$201,"&lt;"&amp;G170)+COUNTIFS($A$2:$A$201,$A170,$BW$2:$BW$201,1,$G$2:$G$201,G170,$AT$2:$AT$201,"&lt;"&amp;AT170)=0,1,0),0)</f>
        <v/>
      </c>
      <c r="BH170" s="17">
        <f>IF(AND(AU170=1,ISNUMBER(K170)),1,0)</f>
        <v/>
      </c>
      <c r="BI170" s="17">
        <f>IF(BH170=1,IF(COUNTIFS($A$2:$A$201,$A170,$BH$2:$BH$201,1,$G$2:$G$201,"&lt;"&amp;G170)+COUNTIFS($A$2:$A$201,$A170,$BH$2:$BH$201,1,$G$2:$G$201,G170,$AT$2:$AT$201,"&lt;"&amp;AT170)=0,1,0),0)</f>
        <v/>
      </c>
      <c r="BJ170" s="17">
        <f>IF(AND(BI170=1,G170&lt;=Config!$B$5),K170,"")</f>
        <v/>
      </c>
      <c r="BK170" s="17">
        <f>IF(AND(AU170=1,OR(TRIM(U170)&lt;&gt;"",ISNUMBER(V170))),1,0)</f>
        <v/>
      </c>
      <c r="BL170" s="17">
        <f>IF(BK170=1,IF(COUNTIFS($A$2:$A$201,$A170,$BK$2:$BK$201,1,$G$2:$G$201,"&lt;"&amp;G170)+COUNTIFS($A$2:$A$201,$A170,$BK$2:$BK$201,1,$G$2:$G$201,G170,$AT$2:$AT$201,"&lt;"&amp;AT170)=0,1,0),0)</f>
        <v/>
      </c>
      <c r="BM170" s="17">
        <f>IF(BL170=1,$A170,"")</f>
        <v/>
      </c>
      <c r="BN170" s="17">
        <f>IF(AND(AU170=1,T170="Y",TRIM(U170)=""),1,0)</f>
        <v/>
      </c>
      <c r="BO170" s="17">
        <f>IF(AU170=1,AJ170&amp;"","")</f>
        <v/>
      </c>
      <c r="BP170" s="17">
        <f>IF(AU170=1,AK170&amp;"","")</f>
        <v/>
      </c>
      <c r="BQ170" s="17">
        <f>IF(AU170=1,AL170&amp;"","")</f>
        <v/>
      </c>
      <c r="BR170" s="17">
        <f>IF(AND(AU170=1,ISNUMBER(AP170),G170&lt;=Config!$B$5),AP170,"")</f>
        <v/>
      </c>
      <c r="BS170" s="17">
        <f>IF(AU170=1,IF(COUNTIFS($A$2:$A$201,$A170,$AN$2:$AN$201,"Y",$AU$2:$AU$201,1)&gt;0,"Y","N"),"")</f>
        <v/>
      </c>
      <c r="BT170" s="17">
        <f>IF(AND(AU170=1,AN170="maybe"),1,0)</f>
        <v/>
      </c>
      <c r="BU170" s="17">
        <f>IF(BT170=1,IF(COUNTIFS($A$2:$A$201,$A170,$BT$2:$BT$201,1,$G$2:$G$201,"&lt;"&amp;G170)+COUNTIFS($A$2:$A$201,$A170,$BT$2:$BT$201,1,$G$2:$G$201,G170,$AT$2:$AT$201,"&lt;"&amp;AT170)=0,1,0),0)</f>
        <v/>
      </c>
      <c r="BV170" s="17">
        <f>IF(AND(AU170=1,AN170="Y"),IF(COUNTIFS($A$2:$A$201,$A170,$AN$2:$AN$201,"Y",$AU$2:$AU$201,1,$G$2:$G$201,"&lt;"&amp;G170)+COUNTIFS($A$2:$A$201,$A170,$AN$2:$AN$201,"Y",$AU$2:$AU$201,1,$G$2:$G$201,G170,$AT$2:$AT$201,"&lt;"&amp;AT170)=0,1,0),0)</f>
        <v/>
      </c>
      <c r="BW170" s="17">
        <f>IF(AND(BA170=1,N(V170)&gt;=Config!$B$15),1,0)</f>
        <v/>
      </c>
      <c r="BX170" s="17">
        <f>IF(AU170=1,IFERROR(MATCH($A170,INDEX(Clay_Offices!$A$2:$FZ$601,0,Sync!$C$5),0),""),"")</f>
        <v/>
      </c>
      <c r="BY170" s="17">
        <f>IF(BX170="","",IFERROR(INDEX(Clay_Offices!$A$2:$FZ$601,BX170,Sync!$C$7)&amp;"",""))</f>
        <v/>
      </c>
      <c r="BZ170" s="17">
        <f>IF(BY170="","",IFERROR(INDEX(Lists!$J$2:$J$15,MATCH(BY170,Lists!$I$2:$I$15,0)),""))</f>
        <v/>
      </c>
      <c r="CA170" s="17">
        <f>IF(BX170="","",IFERROR(INDEX(Clay_Offices!$A$2:$FZ$601,BX170,Sync!$C$17)&amp;"",""))</f>
        <v/>
      </c>
      <c r="CB170" s="23">
        <f>IF(BX170="","",IFERROR(N(INDEX(Clay_Offices!$A$2:$FZ$601,BX170,Sync!$C$16)),0))</f>
        <v/>
      </c>
    </row>
    <row r="171">
      <c r="G171" s="22" t="n"/>
      <c r="AS171" s="17">
        <f>IF(TRIM($A171)="","",IF(AND(LEFT($A171,6)="SAMPLE",Config!$B$19&lt;&gt;"Y"),"",IF(NOT(ISNUMBER(G171)),"call_date is blank or not a date",IF(Sync!$C$5="","Clay paste is empty or has no row_id column: paste the Clay export on Clay_Offices",IF(BX171="","row_id not found in the Clay paste: add the Clay row or fix the row_id",IF(AND(ISNUMBER(BZ171),BZ171&gt;=1,BZ171&lt;=5),"Clay status is "&amp;BY171&amp;": set call_done or later",IF(AND(AW171=1,CA171&lt;&gt;BS171),"Clay yes_in_principle should be "&amp;BS171,IF(AND(AW171=1,CB171&lt;&gt;G171),"Clay call_date should be "&amp;TEXT(G171,"yyyy-mm-dd"),""))))))))</f>
        <v/>
      </c>
      <c r="AT171" s="17">
        <f>ROW()</f>
        <v/>
      </c>
      <c r="AU171" s="17">
        <f>IF(AND(TRIM($A171)&lt;&gt;"",ISNUMBER(G171)),IF(AND(LEFT($A171,6)="SAMPLE",Config!$B$19&lt;&gt;"Y"),0,1),0)</f>
        <v/>
      </c>
      <c r="AV171" s="17">
        <f>IF(AU171=1,IF(COUNTIFS($A$2:$A$201,$A171,$AU$2:$AU$201,1,$G$2:$G$201,"&lt;"&amp;G171)+COUNTIFS($A$2:$A$201,$A171,$AU$2:$AU$201,1,$G$2:$G$201,G171,$AT$2:$AT$201,"&lt;"&amp;AT171)=0,1,0),0)</f>
        <v/>
      </c>
      <c r="AW171" s="17">
        <f>IF(AU171=1,IF(COUNTIFS($A$2:$A$201,$A171,$AU$2:$AU$201,1,$G$2:$G$201,"&gt;"&amp;G171)+COUNTIFS($A$2:$A$201,$A171,$AU$2:$AU$201,1,$G$2:$G$201,G171,$AT$2:$AT$201,"&gt;"&amp;AT171)=0,1,0),0)</f>
        <v/>
      </c>
      <c r="AX171" s="17">
        <f>IF(AND(AU171=1,AN171="Y",Z171="Y",TRIM(AD171)&lt;&gt;""),1,0)</f>
        <v/>
      </c>
      <c r="AY171" s="17">
        <f>IF(AX171=1,IF(COUNTIFS($A$2:$A$201,$A171,$AX$2:$AX$201,1,$G$2:$G$201,"&lt;"&amp;G171)+COUNTIFS($A$2:$A$201,$A171,$AX$2:$AX$201,1,$G$2:$G$201,G171,$AT$2:$AT$201,"&lt;"&amp;AT171)=0,1,0),0)</f>
        <v/>
      </c>
      <c r="AZ171" s="17">
        <f>IF(AND(AU171=1,AN171="Y",AX171=0),1,0)</f>
        <v/>
      </c>
      <c r="BA171" s="17">
        <f>IF(AND(AU171=1,ISNUMBER(V171)),1,0)</f>
        <v/>
      </c>
      <c r="BB171" s="17">
        <f>IF(BA171=1,IF(COUNTIFS($A$2:$A$201,$A171,$BA$2:$BA$201,1,$G$2:$G$201,"&lt;"&amp;G171)+COUNTIFS($A$2:$A$201,$A171,$BA$2:$BA$201,1,$G$2:$G$201,G171,$AT$2:$AT$201,"&lt;"&amp;AT171)=0,1,0),0)</f>
        <v/>
      </c>
      <c r="BC171" s="17">
        <f>IF(AND(BB171=1,G171&lt;=Config!$B$6),V171,"")</f>
        <v/>
      </c>
      <c r="BD171" s="17">
        <f>IF(AND(BB171=1,G171&lt;=Config!$B$7),V171,"")</f>
        <v/>
      </c>
      <c r="BE171" s="17">
        <f>IF(AND(BB171=1,G171&lt;=Config!$B$8),V171,"")</f>
        <v/>
      </c>
      <c r="BF171" s="17">
        <f>IF(AND(BB171=1,G171&lt;=Config!$B$5),V171,"")</f>
        <v/>
      </c>
      <c r="BG171" s="17">
        <f>IF(BW171=1,IF(COUNTIFS($A$2:$A$201,$A171,$BW$2:$BW$201,1,$G$2:$G$201,"&lt;"&amp;G171)+COUNTIFS($A$2:$A$201,$A171,$BW$2:$BW$201,1,$G$2:$G$201,G171,$AT$2:$AT$201,"&lt;"&amp;AT171)=0,1,0),0)</f>
        <v/>
      </c>
      <c r="BH171" s="17">
        <f>IF(AND(AU171=1,ISNUMBER(K171)),1,0)</f>
        <v/>
      </c>
      <c r="BI171" s="17">
        <f>IF(BH171=1,IF(COUNTIFS($A$2:$A$201,$A171,$BH$2:$BH$201,1,$G$2:$G$201,"&lt;"&amp;G171)+COUNTIFS($A$2:$A$201,$A171,$BH$2:$BH$201,1,$G$2:$G$201,G171,$AT$2:$AT$201,"&lt;"&amp;AT171)=0,1,0),0)</f>
        <v/>
      </c>
      <c r="BJ171" s="17">
        <f>IF(AND(BI171=1,G171&lt;=Config!$B$5),K171,"")</f>
        <v/>
      </c>
      <c r="BK171" s="17">
        <f>IF(AND(AU171=1,OR(TRIM(U171)&lt;&gt;"",ISNUMBER(V171))),1,0)</f>
        <v/>
      </c>
      <c r="BL171" s="17">
        <f>IF(BK171=1,IF(COUNTIFS($A$2:$A$201,$A171,$BK$2:$BK$201,1,$G$2:$G$201,"&lt;"&amp;G171)+COUNTIFS($A$2:$A$201,$A171,$BK$2:$BK$201,1,$G$2:$G$201,G171,$AT$2:$AT$201,"&lt;"&amp;AT171)=0,1,0),0)</f>
        <v/>
      </c>
      <c r="BM171" s="17">
        <f>IF(BL171=1,$A171,"")</f>
        <v/>
      </c>
      <c r="BN171" s="17">
        <f>IF(AND(AU171=1,T171="Y",TRIM(U171)=""),1,0)</f>
        <v/>
      </c>
      <c r="BO171" s="17">
        <f>IF(AU171=1,AJ171&amp;"","")</f>
        <v/>
      </c>
      <c r="BP171" s="17">
        <f>IF(AU171=1,AK171&amp;"","")</f>
        <v/>
      </c>
      <c r="BQ171" s="17">
        <f>IF(AU171=1,AL171&amp;"","")</f>
        <v/>
      </c>
      <c r="BR171" s="17">
        <f>IF(AND(AU171=1,ISNUMBER(AP171),G171&lt;=Config!$B$5),AP171,"")</f>
        <v/>
      </c>
      <c r="BS171" s="17">
        <f>IF(AU171=1,IF(COUNTIFS($A$2:$A$201,$A171,$AN$2:$AN$201,"Y",$AU$2:$AU$201,1)&gt;0,"Y","N"),"")</f>
        <v/>
      </c>
      <c r="BT171" s="17">
        <f>IF(AND(AU171=1,AN171="maybe"),1,0)</f>
        <v/>
      </c>
      <c r="BU171" s="17">
        <f>IF(BT171=1,IF(COUNTIFS($A$2:$A$201,$A171,$BT$2:$BT$201,1,$G$2:$G$201,"&lt;"&amp;G171)+COUNTIFS($A$2:$A$201,$A171,$BT$2:$BT$201,1,$G$2:$G$201,G171,$AT$2:$AT$201,"&lt;"&amp;AT171)=0,1,0),0)</f>
        <v/>
      </c>
      <c r="BV171" s="17">
        <f>IF(AND(AU171=1,AN171="Y"),IF(COUNTIFS($A$2:$A$201,$A171,$AN$2:$AN$201,"Y",$AU$2:$AU$201,1,$G$2:$G$201,"&lt;"&amp;G171)+COUNTIFS($A$2:$A$201,$A171,$AN$2:$AN$201,"Y",$AU$2:$AU$201,1,$G$2:$G$201,G171,$AT$2:$AT$201,"&lt;"&amp;AT171)=0,1,0),0)</f>
        <v/>
      </c>
      <c r="BW171" s="17">
        <f>IF(AND(BA171=1,N(V171)&gt;=Config!$B$15),1,0)</f>
        <v/>
      </c>
      <c r="BX171" s="17">
        <f>IF(AU171=1,IFERROR(MATCH($A171,INDEX(Clay_Offices!$A$2:$FZ$601,0,Sync!$C$5),0),""),"")</f>
        <v/>
      </c>
      <c r="BY171" s="17">
        <f>IF(BX171="","",IFERROR(INDEX(Clay_Offices!$A$2:$FZ$601,BX171,Sync!$C$7)&amp;"",""))</f>
        <v/>
      </c>
      <c r="BZ171" s="17">
        <f>IF(BY171="","",IFERROR(INDEX(Lists!$J$2:$J$15,MATCH(BY171,Lists!$I$2:$I$15,0)),""))</f>
        <v/>
      </c>
      <c r="CA171" s="17">
        <f>IF(BX171="","",IFERROR(INDEX(Clay_Offices!$A$2:$FZ$601,BX171,Sync!$C$17)&amp;"",""))</f>
        <v/>
      </c>
      <c r="CB171" s="23">
        <f>IF(BX171="","",IFERROR(N(INDEX(Clay_Offices!$A$2:$FZ$601,BX171,Sync!$C$16)),0))</f>
        <v/>
      </c>
    </row>
    <row r="172">
      <c r="G172" s="22" t="n"/>
      <c r="AS172" s="17">
        <f>IF(TRIM($A172)="","",IF(AND(LEFT($A172,6)="SAMPLE",Config!$B$19&lt;&gt;"Y"),"",IF(NOT(ISNUMBER(G172)),"call_date is blank or not a date",IF(Sync!$C$5="","Clay paste is empty or has no row_id column: paste the Clay export on Clay_Offices",IF(BX172="","row_id not found in the Clay paste: add the Clay row or fix the row_id",IF(AND(ISNUMBER(BZ172),BZ172&gt;=1,BZ172&lt;=5),"Clay status is "&amp;BY172&amp;": set call_done or later",IF(AND(AW172=1,CA172&lt;&gt;BS172),"Clay yes_in_principle should be "&amp;BS172,IF(AND(AW172=1,CB172&lt;&gt;G172),"Clay call_date should be "&amp;TEXT(G172,"yyyy-mm-dd"),""))))))))</f>
        <v/>
      </c>
      <c r="AT172" s="17">
        <f>ROW()</f>
        <v/>
      </c>
      <c r="AU172" s="17">
        <f>IF(AND(TRIM($A172)&lt;&gt;"",ISNUMBER(G172)),IF(AND(LEFT($A172,6)="SAMPLE",Config!$B$19&lt;&gt;"Y"),0,1),0)</f>
        <v/>
      </c>
      <c r="AV172" s="17">
        <f>IF(AU172=1,IF(COUNTIFS($A$2:$A$201,$A172,$AU$2:$AU$201,1,$G$2:$G$201,"&lt;"&amp;G172)+COUNTIFS($A$2:$A$201,$A172,$AU$2:$AU$201,1,$G$2:$G$201,G172,$AT$2:$AT$201,"&lt;"&amp;AT172)=0,1,0),0)</f>
        <v/>
      </c>
      <c r="AW172" s="17">
        <f>IF(AU172=1,IF(COUNTIFS($A$2:$A$201,$A172,$AU$2:$AU$201,1,$G$2:$G$201,"&gt;"&amp;G172)+COUNTIFS($A$2:$A$201,$A172,$AU$2:$AU$201,1,$G$2:$G$201,G172,$AT$2:$AT$201,"&gt;"&amp;AT172)=0,1,0),0)</f>
        <v/>
      </c>
      <c r="AX172" s="17">
        <f>IF(AND(AU172=1,AN172="Y",Z172="Y",TRIM(AD172)&lt;&gt;""),1,0)</f>
        <v/>
      </c>
      <c r="AY172" s="17">
        <f>IF(AX172=1,IF(COUNTIFS($A$2:$A$201,$A172,$AX$2:$AX$201,1,$G$2:$G$201,"&lt;"&amp;G172)+COUNTIFS($A$2:$A$201,$A172,$AX$2:$AX$201,1,$G$2:$G$201,G172,$AT$2:$AT$201,"&lt;"&amp;AT172)=0,1,0),0)</f>
        <v/>
      </c>
      <c r="AZ172" s="17">
        <f>IF(AND(AU172=1,AN172="Y",AX172=0),1,0)</f>
        <v/>
      </c>
      <c r="BA172" s="17">
        <f>IF(AND(AU172=1,ISNUMBER(V172)),1,0)</f>
        <v/>
      </c>
      <c r="BB172" s="17">
        <f>IF(BA172=1,IF(COUNTIFS($A$2:$A$201,$A172,$BA$2:$BA$201,1,$G$2:$G$201,"&lt;"&amp;G172)+COUNTIFS($A$2:$A$201,$A172,$BA$2:$BA$201,1,$G$2:$G$201,G172,$AT$2:$AT$201,"&lt;"&amp;AT172)=0,1,0),0)</f>
        <v/>
      </c>
      <c r="BC172" s="17">
        <f>IF(AND(BB172=1,G172&lt;=Config!$B$6),V172,"")</f>
        <v/>
      </c>
      <c r="BD172" s="17">
        <f>IF(AND(BB172=1,G172&lt;=Config!$B$7),V172,"")</f>
        <v/>
      </c>
      <c r="BE172" s="17">
        <f>IF(AND(BB172=1,G172&lt;=Config!$B$8),V172,"")</f>
        <v/>
      </c>
      <c r="BF172" s="17">
        <f>IF(AND(BB172=1,G172&lt;=Config!$B$5),V172,"")</f>
        <v/>
      </c>
      <c r="BG172" s="17">
        <f>IF(BW172=1,IF(COUNTIFS($A$2:$A$201,$A172,$BW$2:$BW$201,1,$G$2:$G$201,"&lt;"&amp;G172)+COUNTIFS($A$2:$A$201,$A172,$BW$2:$BW$201,1,$G$2:$G$201,G172,$AT$2:$AT$201,"&lt;"&amp;AT172)=0,1,0),0)</f>
        <v/>
      </c>
      <c r="BH172" s="17">
        <f>IF(AND(AU172=1,ISNUMBER(K172)),1,0)</f>
        <v/>
      </c>
      <c r="BI172" s="17">
        <f>IF(BH172=1,IF(COUNTIFS($A$2:$A$201,$A172,$BH$2:$BH$201,1,$G$2:$G$201,"&lt;"&amp;G172)+COUNTIFS($A$2:$A$201,$A172,$BH$2:$BH$201,1,$G$2:$G$201,G172,$AT$2:$AT$201,"&lt;"&amp;AT172)=0,1,0),0)</f>
        <v/>
      </c>
      <c r="BJ172" s="17">
        <f>IF(AND(BI172=1,G172&lt;=Config!$B$5),K172,"")</f>
        <v/>
      </c>
      <c r="BK172" s="17">
        <f>IF(AND(AU172=1,OR(TRIM(U172)&lt;&gt;"",ISNUMBER(V172))),1,0)</f>
        <v/>
      </c>
      <c r="BL172" s="17">
        <f>IF(BK172=1,IF(COUNTIFS($A$2:$A$201,$A172,$BK$2:$BK$201,1,$G$2:$G$201,"&lt;"&amp;G172)+COUNTIFS($A$2:$A$201,$A172,$BK$2:$BK$201,1,$G$2:$G$201,G172,$AT$2:$AT$201,"&lt;"&amp;AT172)=0,1,0),0)</f>
        <v/>
      </c>
      <c r="BM172" s="17">
        <f>IF(BL172=1,$A172,"")</f>
        <v/>
      </c>
      <c r="BN172" s="17">
        <f>IF(AND(AU172=1,T172="Y",TRIM(U172)=""),1,0)</f>
        <v/>
      </c>
      <c r="BO172" s="17">
        <f>IF(AU172=1,AJ172&amp;"","")</f>
        <v/>
      </c>
      <c r="BP172" s="17">
        <f>IF(AU172=1,AK172&amp;"","")</f>
        <v/>
      </c>
      <c r="BQ172" s="17">
        <f>IF(AU172=1,AL172&amp;"","")</f>
        <v/>
      </c>
      <c r="BR172" s="17">
        <f>IF(AND(AU172=1,ISNUMBER(AP172),G172&lt;=Config!$B$5),AP172,"")</f>
        <v/>
      </c>
      <c r="BS172" s="17">
        <f>IF(AU172=1,IF(COUNTIFS($A$2:$A$201,$A172,$AN$2:$AN$201,"Y",$AU$2:$AU$201,1)&gt;0,"Y","N"),"")</f>
        <v/>
      </c>
      <c r="BT172" s="17">
        <f>IF(AND(AU172=1,AN172="maybe"),1,0)</f>
        <v/>
      </c>
      <c r="BU172" s="17">
        <f>IF(BT172=1,IF(COUNTIFS($A$2:$A$201,$A172,$BT$2:$BT$201,1,$G$2:$G$201,"&lt;"&amp;G172)+COUNTIFS($A$2:$A$201,$A172,$BT$2:$BT$201,1,$G$2:$G$201,G172,$AT$2:$AT$201,"&lt;"&amp;AT172)=0,1,0),0)</f>
        <v/>
      </c>
      <c r="BV172" s="17">
        <f>IF(AND(AU172=1,AN172="Y"),IF(COUNTIFS($A$2:$A$201,$A172,$AN$2:$AN$201,"Y",$AU$2:$AU$201,1,$G$2:$G$201,"&lt;"&amp;G172)+COUNTIFS($A$2:$A$201,$A172,$AN$2:$AN$201,"Y",$AU$2:$AU$201,1,$G$2:$G$201,G172,$AT$2:$AT$201,"&lt;"&amp;AT172)=0,1,0),0)</f>
        <v/>
      </c>
      <c r="BW172" s="17">
        <f>IF(AND(BA172=1,N(V172)&gt;=Config!$B$15),1,0)</f>
        <v/>
      </c>
      <c r="BX172" s="17">
        <f>IF(AU172=1,IFERROR(MATCH($A172,INDEX(Clay_Offices!$A$2:$FZ$601,0,Sync!$C$5),0),""),"")</f>
        <v/>
      </c>
      <c r="BY172" s="17">
        <f>IF(BX172="","",IFERROR(INDEX(Clay_Offices!$A$2:$FZ$601,BX172,Sync!$C$7)&amp;"",""))</f>
        <v/>
      </c>
      <c r="BZ172" s="17">
        <f>IF(BY172="","",IFERROR(INDEX(Lists!$J$2:$J$15,MATCH(BY172,Lists!$I$2:$I$15,0)),""))</f>
        <v/>
      </c>
      <c r="CA172" s="17">
        <f>IF(BX172="","",IFERROR(INDEX(Clay_Offices!$A$2:$FZ$601,BX172,Sync!$C$17)&amp;"",""))</f>
        <v/>
      </c>
      <c r="CB172" s="23">
        <f>IF(BX172="","",IFERROR(N(INDEX(Clay_Offices!$A$2:$FZ$601,BX172,Sync!$C$16)),0))</f>
        <v/>
      </c>
    </row>
    <row r="173">
      <c r="G173" s="22" t="n"/>
      <c r="AS173" s="17">
        <f>IF(TRIM($A173)="","",IF(AND(LEFT($A173,6)="SAMPLE",Config!$B$19&lt;&gt;"Y"),"",IF(NOT(ISNUMBER(G173)),"call_date is blank or not a date",IF(Sync!$C$5="","Clay paste is empty or has no row_id column: paste the Clay export on Clay_Offices",IF(BX173="","row_id not found in the Clay paste: add the Clay row or fix the row_id",IF(AND(ISNUMBER(BZ173),BZ173&gt;=1,BZ173&lt;=5),"Clay status is "&amp;BY173&amp;": set call_done or later",IF(AND(AW173=1,CA173&lt;&gt;BS173),"Clay yes_in_principle should be "&amp;BS173,IF(AND(AW173=1,CB173&lt;&gt;G173),"Clay call_date should be "&amp;TEXT(G173,"yyyy-mm-dd"),""))))))))</f>
        <v/>
      </c>
      <c r="AT173" s="17">
        <f>ROW()</f>
        <v/>
      </c>
      <c r="AU173" s="17">
        <f>IF(AND(TRIM($A173)&lt;&gt;"",ISNUMBER(G173)),IF(AND(LEFT($A173,6)="SAMPLE",Config!$B$19&lt;&gt;"Y"),0,1),0)</f>
        <v/>
      </c>
      <c r="AV173" s="17">
        <f>IF(AU173=1,IF(COUNTIFS($A$2:$A$201,$A173,$AU$2:$AU$201,1,$G$2:$G$201,"&lt;"&amp;G173)+COUNTIFS($A$2:$A$201,$A173,$AU$2:$AU$201,1,$G$2:$G$201,G173,$AT$2:$AT$201,"&lt;"&amp;AT173)=0,1,0),0)</f>
        <v/>
      </c>
      <c r="AW173" s="17">
        <f>IF(AU173=1,IF(COUNTIFS($A$2:$A$201,$A173,$AU$2:$AU$201,1,$G$2:$G$201,"&gt;"&amp;G173)+COUNTIFS($A$2:$A$201,$A173,$AU$2:$AU$201,1,$G$2:$G$201,G173,$AT$2:$AT$201,"&gt;"&amp;AT173)=0,1,0),0)</f>
        <v/>
      </c>
      <c r="AX173" s="17">
        <f>IF(AND(AU173=1,AN173="Y",Z173="Y",TRIM(AD173)&lt;&gt;""),1,0)</f>
        <v/>
      </c>
      <c r="AY173" s="17">
        <f>IF(AX173=1,IF(COUNTIFS($A$2:$A$201,$A173,$AX$2:$AX$201,1,$G$2:$G$201,"&lt;"&amp;G173)+COUNTIFS($A$2:$A$201,$A173,$AX$2:$AX$201,1,$G$2:$G$201,G173,$AT$2:$AT$201,"&lt;"&amp;AT173)=0,1,0),0)</f>
        <v/>
      </c>
      <c r="AZ173" s="17">
        <f>IF(AND(AU173=1,AN173="Y",AX173=0),1,0)</f>
        <v/>
      </c>
      <c r="BA173" s="17">
        <f>IF(AND(AU173=1,ISNUMBER(V173)),1,0)</f>
        <v/>
      </c>
      <c r="BB173" s="17">
        <f>IF(BA173=1,IF(COUNTIFS($A$2:$A$201,$A173,$BA$2:$BA$201,1,$G$2:$G$201,"&lt;"&amp;G173)+COUNTIFS($A$2:$A$201,$A173,$BA$2:$BA$201,1,$G$2:$G$201,G173,$AT$2:$AT$201,"&lt;"&amp;AT173)=0,1,0),0)</f>
        <v/>
      </c>
      <c r="BC173" s="17">
        <f>IF(AND(BB173=1,G173&lt;=Config!$B$6),V173,"")</f>
        <v/>
      </c>
      <c r="BD173" s="17">
        <f>IF(AND(BB173=1,G173&lt;=Config!$B$7),V173,"")</f>
        <v/>
      </c>
      <c r="BE173" s="17">
        <f>IF(AND(BB173=1,G173&lt;=Config!$B$8),V173,"")</f>
        <v/>
      </c>
      <c r="BF173" s="17">
        <f>IF(AND(BB173=1,G173&lt;=Config!$B$5),V173,"")</f>
        <v/>
      </c>
      <c r="BG173" s="17">
        <f>IF(BW173=1,IF(COUNTIFS($A$2:$A$201,$A173,$BW$2:$BW$201,1,$G$2:$G$201,"&lt;"&amp;G173)+COUNTIFS($A$2:$A$201,$A173,$BW$2:$BW$201,1,$G$2:$G$201,G173,$AT$2:$AT$201,"&lt;"&amp;AT173)=0,1,0),0)</f>
        <v/>
      </c>
      <c r="BH173" s="17">
        <f>IF(AND(AU173=1,ISNUMBER(K173)),1,0)</f>
        <v/>
      </c>
      <c r="BI173" s="17">
        <f>IF(BH173=1,IF(COUNTIFS($A$2:$A$201,$A173,$BH$2:$BH$201,1,$G$2:$G$201,"&lt;"&amp;G173)+COUNTIFS($A$2:$A$201,$A173,$BH$2:$BH$201,1,$G$2:$G$201,G173,$AT$2:$AT$201,"&lt;"&amp;AT173)=0,1,0),0)</f>
        <v/>
      </c>
      <c r="BJ173" s="17">
        <f>IF(AND(BI173=1,G173&lt;=Config!$B$5),K173,"")</f>
        <v/>
      </c>
      <c r="BK173" s="17">
        <f>IF(AND(AU173=1,OR(TRIM(U173)&lt;&gt;"",ISNUMBER(V173))),1,0)</f>
        <v/>
      </c>
      <c r="BL173" s="17">
        <f>IF(BK173=1,IF(COUNTIFS($A$2:$A$201,$A173,$BK$2:$BK$201,1,$G$2:$G$201,"&lt;"&amp;G173)+COUNTIFS($A$2:$A$201,$A173,$BK$2:$BK$201,1,$G$2:$G$201,G173,$AT$2:$AT$201,"&lt;"&amp;AT173)=0,1,0),0)</f>
        <v/>
      </c>
      <c r="BM173" s="17">
        <f>IF(BL173=1,$A173,"")</f>
        <v/>
      </c>
      <c r="BN173" s="17">
        <f>IF(AND(AU173=1,T173="Y",TRIM(U173)=""),1,0)</f>
        <v/>
      </c>
      <c r="BO173" s="17">
        <f>IF(AU173=1,AJ173&amp;"","")</f>
        <v/>
      </c>
      <c r="BP173" s="17">
        <f>IF(AU173=1,AK173&amp;"","")</f>
        <v/>
      </c>
      <c r="BQ173" s="17">
        <f>IF(AU173=1,AL173&amp;"","")</f>
        <v/>
      </c>
      <c r="BR173" s="17">
        <f>IF(AND(AU173=1,ISNUMBER(AP173),G173&lt;=Config!$B$5),AP173,"")</f>
        <v/>
      </c>
      <c r="BS173" s="17">
        <f>IF(AU173=1,IF(COUNTIFS($A$2:$A$201,$A173,$AN$2:$AN$201,"Y",$AU$2:$AU$201,1)&gt;0,"Y","N"),"")</f>
        <v/>
      </c>
      <c r="BT173" s="17">
        <f>IF(AND(AU173=1,AN173="maybe"),1,0)</f>
        <v/>
      </c>
      <c r="BU173" s="17">
        <f>IF(BT173=1,IF(COUNTIFS($A$2:$A$201,$A173,$BT$2:$BT$201,1,$G$2:$G$201,"&lt;"&amp;G173)+COUNTIFS($A$2:$A$201,$A173,$BT$2:$BT$201,1,$G$2:$G$201,G173,$AT$2:$AT$201,"&lt;"&amp;AT173)=0,1,0),0)</f>
        <v/>
      </c>
      <c r="BV173" s="17">
        <f>IF(AND(AU173=1,AN173="Y"),IF(COUNTIFS($A$2:$A$201,$A173,$AN$2:$AN$201,"Y",$AU$2:$AU$201,1,$G$2:$G$201,"&lt;"&amp;G173)+COUNTIFS($A$2:$A$201,$A173,$AN$2:$AN$201,"Y",$AU$2:$AU$201,1,$G$2:$G$201,G173,$AT$2:$AT$201,"&lt;"&amp;AT173)=0,1,0),0)</f>
        <v/>
      </c>
      <c r="BW173" s="17">
        <f>IF(AND(BA173=1,N(V173)&gt;=Config!$B$15),1,0)</f>
        <v/>
      </c>
      <c r="BX173" s="17">
        <f>IF(AU173=1,IFERROR(MATCH($A173,INDEX(Clay_Offices!$A$2:$FZ$601,0,Sync!$C$5),0),""),"")</f>
        <v/>
      </c>
      <c r="BY173" s="17">
        <f>IF(BX173="","",IFERROR(INDEX(Clay_Offices!$A$2:$FZ$601,BX173,Sync!$C$7)&amp;"",""))</f>
        <v/>
      </c>
      <c r="BZ173" s="17">
        <f>IF(BY173="","",IFERROR(INDEX(Lists!$J$2:$J$15,MATCH(BY173,Lists!$I$2:$I$15,0)),""))</f>
        <v/>
      </c>
      <c r="CA173" s="17">
        <f>IF(BX173="","",IFERROR(INDEX(Clay_Offices!$A$2:$FZ$601,BX173,Sync!$C$17)&amp;"",""))</f>
        <v/>
      </c>
      <c r="CB173" s="23">
        <f>IF(BX173="","",IFERROR(N(INDEX(Clay_Offices!$A$2:$FZ$601,BX173,Sync!$C$16)),0))</f>
        <v/>
      </c>
    </row>
    <row r="174">
      <c r="G174" s="22" t="n"/>
      <c r="AS174" s="17">
        <f>IF(TRIM($A174)="","",IF(AND(LEFT($A174,6)="SAMPLE",Config!$B$19&lt;&gt;"Y"),"",IF(NOT(ISNUMBER(G174)),"call_date is blank or not a date",IF(Sync!$C$5="","Clay paste is empty or has no row_id column: paste the Clay export on Clay_Offices",IF(BX174="","row_id not found in the Clay paste: add the Clay row or fix the row_id",IF(AND(ISNUMBER(BZ174),BZ174&gt;=1,BZ174&lt;=5),"Clay status is "&amp;BY174&amp;": set call_done or later",IF(AND(AW174=1,CA174&lt;&gt;BS174),"Clay yes_in_principle should be "&amp;BS174,IF(AND(AW174=1,CB174&lt;&gt;G174),"Clay call_date should be "&amp;TEXT(G174,"yyyy-mm-dd"),""))))))))</f>
        <v/>
      </c>
      <c r="AT174" s="17">
        <f>ROW()</f>
        <v/>
      </c>
      <c r="AU174" s="17">
        <f>IF(AND(TRIM($A174)&lt;&gt;"",ISNUMBER(G174)),IF(AND(LEFT($A174,6)="SAMPLE",Config!$B$19&lt;&gt;"Y"),0,1),0)</f>
        <v/>
      </c>
      <c r="AV174" s="17">
        <f>IF(AU174=1,IF(COUNTIFS($A$2:$A$201,$A174,$AU$2:$AU$201,1,$G$2:$G$201,"&lt;"&amp;G174)+COUNTIFS($A$2:$A$201,$A174,$AU$2:$AU$201,1,$G$2:$G$201,G174,$AT$2:$AT$201,"&lt;"&amp;AT174)=0,1,0),0)</f>
        <v/>
      </c>
      <c r="AW174" s="17">
        <f>IF(AU174=1,IF(COUNTIFS($A$2:$A$201,$A174,$AU$2:$AU$201,1,$G$2:$G$201,"&gt;"&amp;G174)+COUNTIFS($A$2:$A$201,$A174,$AU$2:$AU$201,1,$G$2:$G$201,G174,$AT$2:$AT$201,"&gt;"&amp;AT174)=0,1,0),0)</f>
        <v/>
      </c>
      <c r="AX174" s="17">
        <f>IF(AND(AU174=1,AN174="Y",Z174="Y",TRIM(AD174)&lt;&gt;""),1,0)</f>
        <v/>
      </c>
      <c r="AY174" s="17">
        <f>IF(AX174=1,IF(COUNTIFS($A$2:$A$201,$A174,$AX$2:$AX$201,1,$G$2:$G$201,"&lt;"&amp;G174)+COUNTIFS($A$2:$A$201,$A174,$AX$2:$AX$201,1,$G$2:$G$201,G174,$AT$2:$AT$201,"&lt;"&amp;AT174)=0,1,0),0)</f>
        <v/>
      </c>
      <c r="AZ174" s="17">
        <f>IF(AND(AU174=1,AN174="Y",AX174=0),1,0)</f>
        <v/>
      </c>
      <c r="BA174" s="17">
        <f>IF(AND(AU174=1,ISNUMBER(V174)),1,0)</f>
        <v/>
      </c>
      <c r="BB174" s="17">
        <f>IF(BA174=1,IF(COUNTIFS($A$2:$A$201,$A174,$BA$2:$BA$201,1,$G$2:$G$201,"&lt;"&amp;G174)+COUNTIFS($A$2:$A$201,$A174,$BA$2:$BA$201,1,$G$2:$G$201,G174,$AT$2:$AT$201,"&lt;"&amp;AT174)=0,1,0),0)</f>
        <v/>
      </c>
      <c r="BC174" s="17">
        <f>IF(AND(BB174=1,G174&lt;=Config!$B$6),V174,"")</f>
        <v/>
      </c>
      <c r="BD174" s="17">
        <f>IF(AND(BB174=1,G174&lt;=Config!$B$7),V174,"")</f>
        <v/>
      </c>
      <c r="BE174" s="17">
        <f>IF(AND(BB174=1,G174&lt;=Config!$B$8),V174,"")</f>
        <v/>
      </c>
      <c r="BF174" s="17">
        <f>IF(AND(BB174=1,G174&lt;=Config!$B$5),V174,"")</f>
        <v/>
      </c>
      <c r="BG174" s="17">
        <f>IF(BW174=1,IF(COUNTIFS($A$2:$A$201,$A174,$BW$2:$BW$201,1,$G$2:$G$201,"&lt;"&amp;G174)+COUNTIFS($A$2:$A$201,$A174,$BW$2:$BW$201,1,$G$2:$G$201,G174,$AT$2:$AT$201,"&lt;"&amp;AT174)=0,1,0),0)</f>
        <v/>
      </c>
      <c r="BH174" s="17">
        <f>IF(AND(AU174=1,ISNUMBER(K174)),1,0)</f>
        <v/>
      </c>
      <c r="BI174" s="17">
        <f>IF(BH174=1,IF(COUNTIFS($A$2:$A$201,$A174,$BH$2:$BH$201,1,$G$2:$G$201,"&lt;"&amp;G174)+COUNTIFS($A$2:$A$201,$A174,$BH$2:$BH$201,1,$G$2:$G$201,G174,$AT$2:$AT$201,"&lt;"&amp;AT174)=0,1,0),0)</f>
        <v/>
      </c>
      <c r="BJ174" s="17">
        <f>IF(AND(BI174=1,G174&lt;=Config!$B$5),K174,"")</f>
        <v/>
      </c>
      <c r="BK174" s="17">
        <f>IF(AND(AU174=1,OR(TRIM(U174)&lt;&gt;"",ISNUMBER(V174))),1,0)</f>
        <v/>
      </c>
      <c r="BL174" s="17">
        <f>IF(BK174=1,IF(COUNTIFS($A$2:$A$201,$A174,$BK$2:$BK$201,1,$G$2:$G$201,"&lt;"&amp;G174)+COUNTIFS($A$2:$A$201,$A174,$BK$2:$BK$201,1,$G$2:$G$201,G174,$AT$2:$AT$201,"&lt;"&amp;AT174)=0,1,0),0)</f>
        <v/>
      </c>
      <c r="BM174" s="17">
        <f>IF(BL174=1,$A174,"")</f>
        <v/>
      </c>
      <c r="BN174" s="17">
        <f>IF(AND(AU174=1,T174="Y",TRIM(U174)=""),1,0)</f>
        <v/>
      </c>
      <c r="BO174" s="17">
        <f>IF(AU174=1,AJ174&amp;"","")</f>
        <v/>
      </c>
      <c r="BP174" s="17">
        <f>IF(AU174=1,AK174&amp;"","")</f>
        <v/>
      </c>
      <c r="BQ174" s="17">
        <f>IF(AU174=1,AL174&amp;"","")</f>
        <v/>
      </c>
      <c r="BR174" s="17">
        <f>IF(AND(AU174=1,ISNUMBER(AP174),G174&lt;=Config!$B$5),AP174,"")</f>
        <v/>
      </c>
      <c r="BS174" s="17">
        <f>IF(AU174=1,IF(COUNTIFS($A$2:$A$201,$A174,$AN$2:$AN$201,"Y",$AU$2:$AU$201,1)&gt;0,"Y","N"),"")</f>
        <v/>
      </c>
      <c r="BT174" s="17">
        <f>IF(AND(AU174=1,AN174="maybe"),1,0)</f>
        <v/>
      </c>
      <c r="BU174" s="17">
        <f>IF(BT174=1,IF(COUNTIFS($A$2:$A$201,$A174,$BT$2:$BT$201,1,$G$2:$G$201,"&lt;"&amp;G174)+COUNTIFS($A$2:$A$201,$A174,$BT$2:$BT$201,1,$G$2:$G$201,G174,$AT$2:$AT$201,"&lt;"&amp;AT174)=0,1,0),0)</f>
        <v/>
      </c>
      <c r="BV174" s="17">
        <f>IF(AND(AU174=1,AN174="Y"),IF(COUNTIFS($A$2:$A$201,$A174,$AN$2:$AN$201,"Y",$AU$2:$AU$201,1,$G$2:$G$201,"&lt;"&amp;G174)+COUNTIFS($A$2:$A$201,$A174,$AN$2:$AN$201,"Y",$AU$2:$AU$201,1,$G$2:$G$201,G174,$AT$2:$AT$201,"&lt;"&amp;AT174)=0,1,0),0)</f>
        <v/>
      </c>
      <c r="BW174" s="17">
        <f>IF(AND(BA174=1,N(V174)&gt;=Config!$B$15),1,0)</f>
        <v/>
      </c>
      <c r="BX174" s="17">
        <f>IF(AU174=1,IFERROR(MATCH($A174,INDEX(Clay_Offices!$A$2:$FZ$601,0,Sync!$C$5),0),""),"")</f>
        <v/>
      </c>
      <c r="BY174" s="17">
        <f>IF(BX174="","",IFERROR(INDEX(Clay_Offices!$A$2:$FZ$601,BX174,Sync!$C$7)&amp;"",""))</f>
        <v/>
      </c>
      <c r="BZ174" s="17">
        <f>IF(BY174="","",IFERROR(INDEX(Lists!$J$2:$J$15,MATCH(BY174,Lists!$I$2:$I$15,0)),""))</f>
        <v/>
      </c>
      <c r="CA174" s="17">
        <f>IF(BX174="","",IFERROR(INDEX(Clay_Offices!$A$2:$FZ$601,BX174,Sync!$C$17)&amp;"",""))</f>
        <v/>
      </c>
      <c r="CB174" s="23">
        <f>IF(BX174="","",IFERROR(N(INDEX(Clay_Offices!$A$2:$FZ$601,BX174,Sync!$C$16)),0))</f>
        <v/>
      </c>
    </row>
    <row r="175">
      <c r="G175" s="22" t="n"/>
      <c r="AS175" s="17">
        <f>IF(TRIM($A175)="","",IF(AND(LEFT($A175,6)="SAMPLE",Config!$B$19&lt;&gt;"Y"),"",IF(NOT(ISNUMBER(G175)),"call_date is blank or not a date",IF(Sync!$C$5="","Clay paste is empty or has no row_id column: paste the Clay export on Clay_Offices",IF(BX175="","row_id not found in the Clay paste: add the Clay row or fix the row_id",IF(AND(ISNUMBER(BZ175),BZ175&gt;=1,BZ175&lt;=5),"Clay status is "&amp;BY175&amp;": set call_done or later",IF(AND(AW175=1,CA175&lt;&gt;BS175),"Clay yes_in_principle should be "&amp;BS175,IF(AND(AW175=1,CB175&lt;&gt;G175),"Clay call_date should be "&amp;TEXT(G175,"yyyy-mm-dd"),""))))))))</f>
        <v/>
      </c>
      <c r="AT175" s="17">
        <f>ROW()</f>
        <v/>
      </c>
      <c r="AU175" s="17">
        <f>IF(AND(TRIM($A175)&lt;&gt;"",ISNUMBER(G175)),IF(AND(LEFT($A175,6)="SAMPLE",Config!$B$19&lt;&gt;"Y"),0,1),0)</f>
        <v/>
      </c>
      <c r="AV175" s="17">
        <f>IF(AU175=1,IF(COUNTIFS($A$2:$A$201,$A175,$AU$2:$AU$201,1,$G$2:$G$201,"&lt;"&amp;G175)+COUNTIFS($A$2:$A$201,$A175,$AU$2:$AU$201,1,$G$2:$G$201,G175,$AT$2:$AT$201,"&lt;"&amp;AT175)=0,1,0),0)</f>
        <v/>
      </c>
      <c r="AW175" s="17">
        <f>IF(AU175=1,IF(COUNTIFS($A$2:$A$201,$A175,$AU$2:$AU$201,1,$G$2:$G$201,"&gt;"&amp;G175)+COUNTIFS($A$2:$A$201,$A175,$AU$2:$AU$201,1,$G$2:$G$201,G175,$AT$2:$AT$201,"&gt;"&amp;AT175)=0,1,0),0)</f>
        <v/>
      </c>
      <c r="AX175" s="17">
        <f>IF(AND(AU175=1,AN175="Y",Z175="Y",TRIM(AD175)&lt;&gt;""),1,0)</f>
        <v/>
      </c>
      <c r="AY175" s="17">
        <f>IF(AX175=1,IF(COUNTIFS($A$2:$A$201,$A175,$AX$2:$AX$201,1,$G$2:$G$201,"&lt;"&amp;G175)+COUNTIFS($A$2:$A$201,$A175,$AX$2:$AX$201,1,$G$2:$G$201,G175,$AT$2:$AT$201,"&lt;"&amp;AT175)=0,1,0),0)</f>
        <v/>
      </c>
      <c r="AZ175" s="17">
        <f>IF(AND(AU175=1,AN175="Y",AX175=0),1,0)</f>
        <v/>
      </c>
      <c r="BA175" s="17">
        <f>IF(AND(AU175=1,ISNUMBER(V175)),1,0)</f>
        <v/>
      </c>
      <c r="BB175" s="17">
        <f>IF(BA175=1,IF(COUNTIFS($A$2:$A$201,$A175,$BA$2:$BA$201,1,$G$2:$G$201,"&lt;"&amp;G175)+COUNTIFS($A$2:$A$201,$A175,$BA$2:$BA$201,1,$G$2:$G$201,G175,$AT$2:$AT$201,"&lt;"&amp;AT175)=0,1,0),0)</f>
        <v/>
      </c>
      <c r="BC175" s="17">
        <f>IF(AND(BB175=1,G175&lt;=Config!$B$6),V175,"")</f>
        <v/>
      </c>
      <c r="BD175" s="17">
        <f>IF(AND(BB175=1,G175&lt;=Config!$B$7),V175,"")</f>
        <v/>
      </c>
      <c r="BE175" s="17">
        <f>IF(AND(BB175=1,G175&lt;=Config!$B$8),V175,"")</f>
        <v/>
      </c>
      <c r="BF175" s="17">
        <f>IF(AND(BB175=1,G175&lt;=Config!$B$5),V175,"")</f>
        <v/>
      </c>
      <c r="BG175" s="17">
        <f>IF(BW175=1,IF(COUNTIFS($A$2:$A$201,$A175,$BW$2:$BW$201,1,$G$2:$G$201,"&lt;"&amp;G175)+COUNTIFS($A$2:$A$201,$A175,$BW$2:$BW$201,1,$G$2:$G$201,G175,$AT$2:$AT$201,"&lt;"&amp;AT175)=0,1,0),0)</f>
        <v/>
      </c>
      <c r="BH175" s="17">
        <f>IF(AND(AU175=1,ISNUMBER(K175)),1,0)</f>
        <v/>
      </c>
      <c r="BI175" s="17">
        <f>IF(BH175=1,IF(COUNTIFS($A$2:$A$201,$A175,$BH$2:$BH$201,1,$G$2:$G$201,"&lt;"&amp;G175)+COUNTIFS($A$2:$A$201,$A175,$BH$2:$BH$201,1,$G$2:$G$201,G175,$AT$2:$AT$201,"&lt;"&amp;AT175)=0,1,0),0)</f>
        <v/>
      </c>
      <c r="BJ175" s="17">
        <f>IF(AND(BI175=1,G175&lt;=Config!$B$5),K175,"")</f>
        <v/>
      </c>
      <c r="BK175" s="17">
        <f>IF(AND(AU175=1,OR(TRIM(U175)&lt;&gt;"",ISNUMBER(V175))),1,0)</f>
        <v/>
      </c>
      <c r="BL175" s="17">
        <f>IF(BK175=1,IF(COUNTIFS($A$2:$A$201,$A175,$BK$2:$BK$201,1,$G$2:$G$201,"&lt;"&amp;G175)+COUNTIFS($A$2:$A$201,$A175,$BK$2:$BK$201,1,$G$2:$G$201,G175,$AT$2:$AT$201,"&lt;"&amp;AT175)=0,1,0),0)</f>
        <v/>
      </c>
      <c r="BM175" s="17">
        <f>IF(BL175=1,$A175,"")</f>
        <v/>
      </c>
      <c r="BN175" s="17">
        <f>IF(AND(AU175=1,T175="Y",TRIM(U175)=""),1,0)</f>
        <v/>
      </c>
      <c r="BO175" s="17">
        <f>IF(AU175=1,AJ175&amp;"","")</f>
        <v/>
      </c>
      <c r="BP175" s="17">
        <f>IF(AU175=1,AK175&amp;"","")</f>
        <v/>
      </c>
      <c r="BQ175" s="17">
        <f>IF(AU175=1,AL175&amp;"","")</f>
        <v/>
      </c>
      <c r="BR175" s="17">
        <f>IF(AND(AU175=1,ISNUMBER(AP175),G175&lt;=Config!$B$5),AP175,"")</f>
        <v/>
      </c>
      <c r="BS175" s="17">
        <f>IF(AU175=1,IF(COUNTIFS($A$2:$A$201,$A175,$AN$2:$AN$201,"Y",$AU$2:$AU$201,1)&gt;0,"Y","N"),"")</f>
        <v/>
      </c>
      <c r="BT175" s="17">
        <f>IF(AND(AU175=1,AN175="maybe"),1,0)</f>
        <v/>
      </c>
      <c r="BU175" s="17">
        <f>IF(BT175=1,IF(COUNTIFS($A$2:$A$201,$A175,$BT$2:$BT$201,1,$G$2:$G$201,"&lt;"&amp;G175)+COUNTIFS($A$2:$A$201,$A175,$BT$2:$BT$201,1,$G$2:$G$201,G175,$AT$2:$AT$201,"&lt;"&amp;AT175)=0,1,0),0)</f>
        <v/>
      </c>
      <c r="BV175" s="17">
        <f>IF(AND(AU175=1,AN175="Y"),IF(COUNTIFS($A$2:$A$201,$A175,$AN$2:$AN$201,"Y",$AU$2:$AU$201,1,$G$2:$G$201,"&lt;"&amp;G175)+COUNTIFS($A$2:$A$201,$A175,$AN$2:$AN$201,"Y",$AU$2:$AU$201,1,$G$2:$G$201,G175,$AT$2:$AT$201,"&lt;"&amp;AT175)=0,1,0),0)</f>
        <v/>
      </c>
      <c r="BW175" s="17">
        <f>IF(AND(BA175=1,N(V175)&gt;=Config!$B$15),1,0)</f>
        <v/>
      </c>
      <c r="BX175" s="17">
        <f>IF(AU175=1,IFERROR(MATCH($A175,INDEX(Clay_Offices!$A$2:$FZ$601,0,Sync!$C$5),0),""),"")</f>
        <v/>
      </c>
      <c r="BY175" s="17">
        <f>IF(BX175="","",IFERROR(INDEX(Clay_Offices!$A$2:$FZ$601,BX175,Sync!$C$7)&amp;"",""))</f>
        <v/>
      </c>
      <c r="BZ175" s="17">
        <f>IF(BY175="","",IFERROR(INDEX(Lists!$J$2:$J$15,MATCH(BY175,Lists!$I$2:$I$15,0)),""))</f>
        <v/>
      </c>
      <c r="CA175" s="17">
        <f>IF(BX175="","",IFERROR(INDEX(Clay_Offices!$A$2:$FZ$601,BX175,Sync!$C$17)&amp;"",""))</f>
        <v/>
      </c>
      <c r="CB175" s="23">
        <f>IF(BX175="","",IFERROR(N(INDEX(Clay_Offices!$A$2:$FZ$601,BX175,Sync!$C$16)),0))</f>
        <v/>
      </c>
    </row>
    <row r="176">
      <c r="G176" s="22" t="n"/>
      <c r="AS176" s="17">
        <f>IF(TRIM($A176)="","",IF(AND(LEFT($A176,6)="SAMPLE",Config!$B$19&lt;&gt;"Y"),"",IF(NOT(ISNUMBER(G176)),"call_date is blank or not a date",IF(Sync!$C$5="","Clay paste is empty or has no row_id column: paste the Clay export on Clay_Offices",IF(BX176="","row_id not found in the Clay paste: add the Clay row or fix the row_id",IF(AND(ISNUMBER(BZ176),BZ176&gt;=1,BZ176&lt;=5),"Clay status is "&amp;BY176&amp;": set call_done or later",IF(AND(AW176=1,CA176&lt;&gt;BS176),"Clay yes_in_principle should be "&amp;BS176,IF(AND(AW176=1,CB176&lt;&gt;G176),"Clay call_date should be "&amp;TEXT(G176,"yyyy-mm-dd"),""))))))))</f>
        <v/>
      </c>
      <c r="AT176" s="17">
        <f>ROW()</f>
        <v/>
      </c>
      <c r="AU176" s="17">
        <f>IF(AND(TRIM($A176)&lt;&gt;"",ISNUMBER(G176)),IF(AND(LEFT($A176,6)="SAMPLE",Config!$B$19&lt;&gt;"Y"),0,1),0)</f>
        <v/>
      </c>
      <c r="AV176" s="17">
        <f>IF(AU176=1,IF(COUNTIFS($A$2:$A$201,$A176,$AU$2:$AU$201,1,$G$2:$G$201,"&lt;"&amp;G176)+COUNTIFS($A$2:$A$201,$A176,$AU$2:$AU$201,1,$G$2:$G$201,G176,$AT$2:$AT$201,"&lt;"&amp;AT176)=0,1,0),0)</f>
        <v/>
      </c>
      <c r="AW176" s="17">
        <f>IF(AU176=1,IF(COUNTIFS($A$2:$A$201,$A176,$AU$2:$AU$201,1,$G$2:$G$201,"&gt;"&amp;G176)+COUNTIFS($A$2:$A$201,$A176,$AU$2:$AU$201,1,$G$2:$G$201,G176,$AT$2:$AT$201,"&gt;"&amp;AT176)=0,1,0),0)</f>
        <v/>
      </c>
      <c r="AX176" s="17">
        <f>IF(AND(AU176=1,AN176="Y",Z176="Y",TRIM(AD176)&lt;&gt;""),1,0)</f>
        <v/>
      </c>
      <c r="AY176" s="17">
        <f>IF(AX176=1,IF(COUNTIFS($A$2:$A$201,$A176,$AX$2:$AX$201,1,$G$2:$G$201,"&lt;"&amp;G176)+COUNTIFS($A$2:$A$201,$A176,$AX$2:$AX$201,1,$G$2:$G$201,G176,$AT$2:$AT$201,"&lt;"&amp;AT176)=0,1,0),0)</f>
        <v/>
      </c>
      <c r="AZ176" s="17">
        <f>IF(AND(AU176=1,AN176="Y",AX176=0),1,0)</f>
        <v/>
      </c>
      <c r="BA176" s="17">
        <f>IF(AND(AU176=1,ISNUMBER(V176)),1,0)</f>
        <v/>
      </c>
      <c r="BB176" s="17">
        <f>IF(BA176=1,IF(COUNTIFS($A$2:$A$201,$A176,$BA$2:$BA$201,1,$G$2:$G$201,"&lt;"&amp;G176)+COUNTIFS($A$2:$A$201,$A176,$BA$2:$BA$201,1,$G$2:$G$201,G176,$AT$2:$AT$201,"&lt;"&amp;AT176)=0,1,0),0)</f>
        <v/>
      </c>
      <c r="BC176" s="17">
        <f>IF(AND(BB176=1,G176&lt;=Config!$B$6),V176,"")</f>
        <v/>
      </c>
      <c r="BD176" s="17">
        <f>IF(AND(BB176=1,G176&lt;=Config!$B$7),V176,"")</f>
        <v/>
      </c>
      <c r="BE176" s="17">
        <f>IF(AND(BB176=1,G176&lt;=Config!$B$8),V176,"")</f>
        <v/>
      </c>
      <c r="BF176" s="17">
        <f>IF(AND(BB176=1,G176&lt;=Config!$B$5),V176,"")</f>
        <v/>
      </c>
      <c r="BG176" s="17">
        <f>IF(BW176=1,IF(COUNTIFS($A$2:$A$201,$A176,$BW$2:$BW$201,1,$G$2:$G$201,"&lt;"&amp;G176)+COUNTIFS($A$2:$A$201,$A176,$BW$2:$BW$201,1,$G$2:$G$201,G176,$AT$2:$AT$201,"&lt;"&amp;AT176)=0,1,0),0)</f>
        <v/>
      </c>
      <c r="BH176" s="17">
        <f>IF(AND(AU176=1,ISNUMBER(K176)),1,0)</f>
        <v/>
      </c>
      <c r="BI176" s="17">
        <f>IF(BH176=1,IF(COUNTIFS($A$2:$A$201,$A176,$BH$2:$BH$201,1,$G$2:$G$201,"&lt;"&amp;G176)+COUNTIFS($A$2:$A$201,$A176,$BH$2:$BH$201,1,$G$2:$G$201,G176,$AT$2:$AT$201,"&lt;"&amp;AT176)=0,1,0),0)</f>
        <v/>
      </c>
      <c r="BJ176" s="17">
        <f>IF(AND(BI176=1,G176&lt;=Config!$B$5),K176,"")</f>
        <v/>
      </c>
      <c r="BK176" s="17">
        <f>IF(AND(AU176=1,OR(TRIM(U176)&lt;&gt;"",ISNUMBER(V176))),1,0)</f>
        <v/>
      </c>
      <c r="BL176" s="17">
        <f>IF(BK176=1,IF(COUNTIFS($A$2:$A$201,$A176,$BK$2:$BK$201,1,$G$2:$G$201,"&lt;"&amp;G176)+COUNTIFS($A$2:$A$201,$A176,$BK$2:$BK$201,1,$G$2:$G$201,G176,$AT$2:$AT$201,"&lt;"&amp;AT176)=0,1,0),0)</f>
        <v/>
      </c>
      <c r="BM176" s="17">
        <f>IF(BL176=1,$A176,"")</f>
        <v/>
      </c>
      <c r="BN176" s="17">
        <f>IF(AND(AU176=1,T176="Y",TRIM(U176)=""),1,0)</f>
        <v/>
      </c>
      <c r="BO176" s="17">
        <f>IF(AU176=1,AJ176&amp;"","")</f>
        <v/>
      </c>
      <c r="BP176" s="17">
        <f>IF(AU176=1,AK176&amp;"","")</f>
        <v/>
      </c>
      <c r="BQ176" s="17">
        <f>IF(AU176=1,AL176&amp;"","")</f>
        <v/>
      </c>
      <c r="BR176" s="17">
        <f>IF(AND(AU176=1,ISNUMBER(AP176),G176&lt;=Config!$B$5),AP176,"")</f>
        <v/>
      </c>
      <c r="BS176" s="17">
        <f>IF(AU176=1,IF(COUNTIFS($A$2:$A$201,$A176,$AN$2:$AN$201,"Y",$AU$2:$AU$201,1)&gt;0,"Y","N"),"")</f>
        <v/>
      </c>
      <c r="BT176" s="17">
        <f>IF(AND(AU176=1,AN176="maybe"),1,0)</f>
        <v/>
      </c>
      <c r="BU176" s="17">
        <f>IF(BT176=1,IF(COUNTIFS($A$2:$A$201,$A176,$BT$2:$BT$201,1,$G$2:$G$201,"&lt;"&amp;G176)+COUNTIFS($A$2:$A$201,$A176,$BT$2:$BT$201,1,$G$2:$G$201,G176,$AT$2:$AT$201,"&lt;"&amp;AT176)=0,1,0),0)</f>
        <v/>
      </c>
      <c r="BV176" s="17">
        <f>IF(AND(AU176=1,AN176="Y"),IF(COUNTIFS($A$2:$A$201,$A176,$AN$2:$AN$201,"Y",$AU$2:$AU$201,1,$G$2:$G$201,"&lt;"&amp;G176)+COUNTIFS($A$2:$A$201,$A176,$AN$2:$AN$201,"Y",$AU$2:$AU$201,1,$G$2:$G$201,G176,$AT$2:$AT$201,"&lt;"&amp;AT176)=0,1,0),0)</f>
        <v/>
      </c>
      <c r="BW176" s="17">
        <f>IF(AND(BA176=1,N(V176)&gt;=Config!$B$15),1,0)</f>
        <v/>
      </c>
      <c r="BX176" s="17">
        <f>IF(AU176=1,IFERROR(MATCH($A176,INDEX(Clay_Offices!$A$2:$FZ$601,0,Sync!$C$5),0),""),"")</f>
        <v/>
      </c>
      <c r="BY176" s="17">
        <f>IF(BX176="","",IFERROR(INDEX(Clay_Offices!$A$2:$FZ$601,BX176,Sync!$C$7)&amp;"",""))</f>
        <v/>
      </c>
      <c r="BZ176" s="17">
        <f>IF(BY176="","",IFERROR(INDEX(Lists!$J$2:$J$15,MATCH(BY176,Lists!$I$2:$I$15,0)),""))</f>
        <v/>
      </c>
      <c r="CA176" s="17">
        <f>IF(BX176="","",IFERROR(INDEX(Clay_Offices!$A$2:$FZ$601,BX176,Sync!$C$17)&amp;"",""))</f>
        <v/>
      </c>
      <c r="CB176" s="23">
        <f>IF(BX176="","",IFERROR(N(INDEX(Clay_Offices!$A$2:$FZ$601,BX176,Sync!$C$16)),0))</f>
        <v/>
      </c>
    </row>
    <row r="177">
      <c r="G177" s="22" t="n"/>
      <c r="AS177" s="17">
        <f>IF(TRIM($A177)="","",IF(AND(LEFT($A177,6)="SAMPLE",Config!$B$19&lt;&gt;"Y"),"",IF(NOT(ISNUMBER(G177)),"call_date is blank or not a date",IF(Sync!$C$5="","Clay paste is empty or has no row_id column: paste the Clay export on Clay_Offices",IF(BX177="","row_id not found in the Clay paste: add the Clay row or fix the row_id",IF(AND(ISNUMBER(BZ177),BZ177&gt;=1,BZ177&lt;=5),"Clay status is "&amp;BY177&amp;": set call_done or later",IF(AND(AW177=1,CA177&lt;&gt;BS177),"Clay yes_in_principle should be "&amp;BS177,IF(AND(AW177=1,CB177&lt;&gt;G177),"Clay call_date should be "&amp;TEXT(G177,"yyyy-mm-dd"),""))))))))</f>
        <v/>
      </c>
      <c r="AT177" s="17">
        <f>ROW()</f>
        <v/>
      </c>
      <c r="AU177" s="17">
        <f>IF(AND(TRIM($A177)&lt;&gt;"",ISNUMBER(G177)),IF(AND(LEFT($A177,6)="SAMPLE",Config!$B$19&lt;&gt;"Y"),0,1),0)</f>
        <v/>
      </c>
      <c r="AV177" s="17">
        <f>IF(AU177=1,IF(COUNTIFS($A$2:$A$201,$A177,$AU$2:$AU$201,1,$G$2:$G$201,"&lt;"&amp;G177)+COUNTIFS($A$2:$A$201,$A177,$AU$2:$AU$201,1,$G$2:$G$201,G177,$AT$2:$AT$201,"&lt;"&amp;AT177)=0,1,0),0)</f>
        <v/>
      </c>
      <c r="AW177" s="17">
        <f>IF(AU177=1,IF(COUNTIFS($A$2:$A$201,$A177,$AU$2:$AU$201,1,$G$2:$G$201,"&gt;"&amp;G177)+COUNTIFS($A$2:$A$201,$A177,$AU$2:$AU$201,1,$G$2:$G$201,G177,$AT$2:$AT$201,"&gt;"&amp;AT177)=0,1,0),0)</f>
        <v/>
      </c>
      <c r="AX177" s="17">
        <f>IF(AND(AU177=1,AN177="Y",Z177="Y",TRIM(AD177)&lt;&gt;""),1,0)</f>
        <v/>
      </c>
      <c r="AY177" s="17">
        <f>IF(AX177=1,IF(COUNTIFS($A$2:$A$201,$A177,$AX$2:$AX$201,1,$G$2:$G$201,"&lt;"&amp;G177)+COUNTIFS($A$2:$A$201,$A177,$AX$2:$AX$201,1,$G$2:$G$201,G177,$AT$2:$AT$201,"&lt;"&amp;AT177)=0,1,0),0)</f>
        <v/>
      </c>
      <c r="AZ177" s="17">
        <f>IF(AND(AU177=1,AN177="Y",AX177=0),1,0)</f>
        <v/>
      </c>
      <c r="BA177" s="17">
        <f>IF(AND(AU177=1,ISNUMBER(V177)),1,0)</f>
        <v/>
      </c>
      <c r="BB177" s="17">
        <f>IF(BA177=1,IF(COUNTIFS($A$2:$A$201,$A177,$BA$2:$BA$201,1,$G$2:$G$201,"&lt;"&amp;G177)+COUNTIFS($A$2:$A$201,$A177,$BA$2:$BA$201,1,$G$2:$G$201,G177,$AT$2:$AT$201,"&lt;"&amp;AT177)=0,1,0),0)</f>
        <v/>
      </c>
      <c r="BC177" s="17">
        <f>IF(AND(BB177=1,G177&lt;=Config!$B$6),V177,"")</f>
        <v/>
      </c>
      <c r="BD177" s="17">
        <f>IF(AND(BB177=1,G177&lt;=Config!$B$7),V177,"")</f>
        <v/>
      </c>
      <c r="BE177" s="17">
        <f>IF(AND(BB177=1,G177&lt;=Config!$B$8),V177,"")</f>
        <v/>
      </c>
      <c r="BF177" s="17">
        <f>IF(AND(BB177=1,G177&lt;=Config!$B$5),V177,"")</f>
        <v/>
      </c>
      <c r="BG177" s="17">
        <f>IF(BW177=1,IF(COUNTIFS($A$2:$A$201,$A177,$BW$2:$BW$201,1,$G$2:$G$201,"&lt;"&amp;G177)+COUNTIFS($A$2:$A$201,$A177,$BW$2:$BW$201,1,$G$2:$G$201,G177,$AT$2:$AT$201,"&lt;"&amp;AT177)=0,1,0),0)</f>
        <v/>
      </c>
      <c r="BH177" s="17">
        <f>IF(AND(AU177=1,ISNUMBER(K177)),1,0)</f>
        <v/>
      </c>
      <c r="BI177" s="17">
        <f>IF(BH177=1,IF(COUNTIFS($A$2:$A$201,$A177,$BH$2:$BH$201,1,$G$2:$G$201,"&lt;"&amp;G177)+COUNTIFS($A$2:$A$201,$A177,$BH$2:$BH$201,1,$G$2:$G$201,G177,$AT$2:$AT$201,"&lt;"&amp;AT177)=0,1,0),0)</f>
        <v/>
      </c>
      <c r="BJ177" s="17">
        <f>IF(AND(BI177=1,G177&lt;=Config!$B$5),K177,"")</f>
        <v/>
      </c>
      <c r="BK177" s="17">
        <f>IF(AND(AU177=1,OR(TRIM(U177)&lt;&gt;"",ISNUMBER(V177))),1,0)</f>
        <v/>
      </c>
      <c r="BL177" s="17">
        <f>IF(BK177=1,IF(COUNTIFS($A$2:$A$201,$A177,$BK$2:$BK$201,1,$G$2:$G$201,"&lt;"&amp;G177)+COUNTIFS($A$2:$A$201,$A177,$BK$2:$BK$201,1,$G$2:$G$201,G177,$AT$2:$AT$201,"&lt;"&amp;AT177)=0,1,0),0)</f>
        <v/>
      </c>
      <c r="BM177" s="17">
        <f>IF(BL177=1,$A177,"")</f>
        <v/>
      </c>
      <c r="BN177" s="17">
        <f>IF(AND(AU177=1,T177="Y",TRIM(U177)=""),1,0)</f>
        <v/>
      </c>
      <c r="BO177" s="17">
        <f>IF(AU177=1,AJ177&amp;"","")</f>
        <v/>
      </c>
      <c r="BP177" s="17">
        <f>IF(AU177=1,AK177&amp;"","")</f>
        <v/>
      </c>
      <c r="BQ177" s="17">
        <f>IF(AU177=1,AL177&amp;"","")</f>
        <v/>
      </c>
      <c r="BR177" s="17">
        <f>IF(AND(AU177=1,ISNUMBER(AP177),G177&lt;=Config!$B$5),AP177,"")</f>
        <v/>
      </c>
      <c r="BS177" s="17">
        <f>IF(AU177=1,IF(COUNTIFS($A$2:$A$201,$A177,$AN$2:$AN$201,"Y",$AU$2:$AU$201,1)&gt;0,"Y","N"),"")</f>
        <v/>
      </c>
      <c r="BT177" s="17">
        <f>IF(AND(AU177=1,AN177="maybe"),1,0)</f>
        <v/>
      </c>
      <c r="BU177" s="17">
        <f>IF(BT177=1,IF(COUNTIFS($A$2:$A$201,$A177,$BT$2:$BT$201,1,$G$2:$G$201,"&lt;"&amp;G177)+COUNTIFS($A$2:$A$201,$A177,$BT$2:$BT$201,1,$G$2:$G$201,G177,$AT$2:$AT$201,"&lt;"&amp;AT177)=0,1,0),0)</f>
        <v/>
      </c>
      <c r="BV177" s="17">
        <f>IF(AND(AU177=1,AN177="Y"),IF(COUNTIFS($A$2:$A$201,$A177,$AN$2:$AN$201,"Y",$AU$2:$AU$201,1,$G$2:$G$201,"&lt;"&amp;G177)+COUNTIFS($A$2:$A$201,$A177,$AN$2:$AN$201,"Y",$AU$2:$AU$201,1,$G$2:$G$201,G177,$AT$2:$AT$201,"&lt;"&amp;AT177)=0,1,0),0)</f>
        <v/>
      </c>
      <c r="BW177" s="17">
        <f>IF(AND(BA177=1,N(V177)&gt;=Config!$B$15),1,0)</f>
        <v/>
      </c>
      <c r="BX177" s="17">
        <f>IF(AU177=1,IFERROR(MATCH($A177,INDEX(Clay_Offices!$A$2:$FZ$601,0,Sync!$C$5),0),""),"")</f>
        <v/>
      </c>
      <c r="BY177" s="17">
        <f>IF(BX177="","",IFERROR(INDEX(Clay_Offices!$A$2:$FZ$601,BX177,Sync!$C$7)&amp;"",""))</f>
        <v/>
      </c>
      <c r="BZ177" s="17">
        <f>IF(BY177="","",IFERROR(INDEX(Lists!$J$2:$J$15,MATCH(BY177,Lists!$I$2:$I$15,0)),""))</f>
        <v/>
      </c>
      <c r="CA177" s="17">
        <f>IF(BX177="","",IFERROR(INDEX(Clay_Offices!$A$2:$FZ$601,BX177,Sync!$C$17)&amp;"",""))</f>
        <v/>
      </c>
      <c r="CB177" s="23">
        <f>IF(BX177="","",IFERROR(N(INDEX(Clay_Offices!$A$2:$FZ$601,BX177,Sync!$C$16)),0))</f>
        <v/>
      </c>
    </row>
    <row r="178">
      <c r="G178" s="22" t="n"/>
      <c r="AS178" s="17">
        <f>IF(TRIM($A178)="","",IF(AND(LEFT($A178,6)="SAMPLE",Config!$B$19&lt;&gt;"Y"),"",IF(NOT(ISNUMBER(G178)),"call_date is blank or not a date",IF(Sync!$C$5="","Clay paste is empty or has no row_id column: paste the Clay export on Clay_Offices",IF(BX178="","row_id not found in the Clay paste: add the Clay row or fix the row_id",IF(AND(ISNUMBER(BZ178),BZ178&gt;=1,BZ178&lt;=5),"Clay status is "&amp;BY178&amp;": set call_done or later",IF(AND(AW178=1,CA178&lt;&gt;BS178),"Clay yes_in_principle should be "&amp;BS178,IF(AND(AW178=1,CB178&lt;&gt;G178),"Clay call_date should be "&amp;TEXT(G178,"yyyy-mm-dd"),""))))))))</f>
        <v/>
      </c>
      <c r="AT178" s="17">
        <f>ROW()</f>
        <v/>
      </c>
      <c r="AU178" s="17">
        <f>IF(AND(TRIM($A178)&lt;&gt;"",ISNUMBER(G178)),IF(AND(LEFT($A178,6)="SAMPLE",Config!$B$19&lt;&gt;"Y"),0,1),0)</f>
        <v/>
      </c>
      <c r="AV178" s="17">
        <f>IF(AU178=1,IF(COUNTIFS($A$2:$A$201,$A178,$AU$2:$AU$201,1,$G$2:$G$201,"&lt;"&amp;G178)+COUNTIFS($A$2:$A$201,$A178,$AU$2:$AU$201,1,$G$2:$G$201,G178,$AT$2:$AT$201,"&lt;"&amp;AT178)=0,1,0),0)</f>
        <v/>
      </c>
      <c r="AW178" s="17">
        <f>IF(AU178=1,IF(COUNTIFS($A$2:$A$201,$A178,$AU$2:$AU$201,1,$G$2:$G$201,"&gt;"&amp;G178)+COUNTIFS($A$2:$A$201,$A178,$AU$2:$AU$201,1,$G$2:$G$201,G178,$AT$2:$AT$201,"&gt;"&amp;AT178)=0,1,0),0)</f>
        <v/>
      </c>
      <c r="AX178" s="17">
        <f>IF(AND(AU178=1,AN178="Y",Z178="Y",TRIM(AD178)&lt;&gt;""),1,0)</f>
        <v/>
      </c>
      <c r="AY178" s="17">
        <f>IF(AX178=1,IF(COUNTIFS($A$2:$A$201,$A178,$AX$2:$AX$201,1,$G$2:$G$201,"&lt;"&amp;G178)+COUNTIFS($A$2:$A$201,$A178,$AX$2:$AX$201,1,$G$2:$G$201,G178,$AT$2:$AT$201,"&lt;"&amp;AT178)=0,1,0),0)</f>
        <v/>
      </c>
      <c r="AZ178" s="17">
        <f>IF(AND(AU178=1,AN178="Y",AX178=0),1,0)</f>
        <v/>
      </c>
      <c r="BA178" s="17">
        <f>IF(AND(AU178=1,ISNUMBER(V178)),1,0)</f>
        <v/>
      </c>
      <c r="BB178" s="17">
        <f>IF(BA178=1,IF(COUNTIFS($A$2:$A$201,$A178,$BA$2:$BA$201,1,$G$2:$G$201,"&lt;"&amp;G178)+COUNTIFS($A$2:$A$201,$A178,$BA$2:$BA$201,1,$G$2:$G$201,G178,$AT$2:$AT$201,"&lt;"&amp;AT178)=0,1,0),0)</f>
        <v/>
      </c>
      <c r="BC178" s="17">
        <f>IF(AND(BB178=1,G178&lt;=Config!$B$6),V178,"")</f>
        <v/>
      </c>
      <c r="BD178" s="17">
        <f>IF(AND(BB178=1,G178&lt;=Config!$B$7),V178,"")</f>
        <v/>
      </c>
      <c r="BE178" s="17">
        <f>IF(AND(BB178=1,G178&lt;=Config!$B$8),V178,"")</f>
        <v/>
      </c>
      <c r="BF178" s="17">
        <f>IF(AND(BB178=1,G178&lt;=Config!$B$5),V178,"")</f>
        <v/>
      </c>
      <c r="BG178" s="17">
        <f>IF(BW178=1,IF(COUNTIFS($A$2:$A$201,$A178,$BW$2:$BW$201,1,$G$2:$G$201,"&lt;"&amp;G178)+COUNTIFS($A$2:$A$201,$A178,$BW$2:$BW$201,1,$G$2:$G$201,G178,$AT$2:$AT$201,"&lt;"&amp;AT178)=0,1,0),0)</f>
        <v/>
      </c>
      <c r="BH178" s="17">
        <f>IF(AND(AU178=1,ISNUMBER(K178)),1,0)</f>
        <v/>
      </c>
      <c r="BI178" s="17">
        <f>IF(BH178=1,IF(COUNTIFS($A$2:$A$201,$A178,$BH$2:$BH$201,1,$G$2:$G$201,"&lt;"&amp;G178)+COUNTIFS($A$2:$A$201,$A178,$BH$2:$BH$201,1,$G$2:$G$201,G178,$AT$2:$AT$201,"&lt;"&amp;AT178)=0,1,0),0)</f>
        <v/>
      </c>
      <c r="BJ178" s="17">
        <f>IF(AND(BI178=1,G178&lt;=Config!$B$5),K178,"")</f>
        <v/>
      </c>
      <c r="BK178" s="17">
        <f>IF(AND(AU178=1,OR(TRIM(U178)&lt;&gt;"",ISNUMBER(V178))),1,0)</f>
        <v/>
      </c>
      <c r="BL178" s="17">
        <f>IF(BK178=1,IF(COUNTIFS($A$2:$A$201,$A178,$BK$2:$BK$201,1,$G$2:$G$201,"&lt;"&amp;G178)+COUNTIFS($A$2:$A$201,$A178,$BK$2:$BK$201,1,$G$2:$G$201,G178,$AT$2:$AT$201,"&lt;"&amp;AT178)=0,1,0),0)</f>
        <v/>
      </c>
      <c r="BM178" s="17">
        <f>IF(BL178=1,$A178,"")</f>
        <v/>
      </c>
      <c r="BN178" s="17">
        <f>IF(AND(AU178=1,T178="Y",TRIM(U178)=""),1,0)</f>
        <v/>
      </c>
      <c r="BO178" s="17">
        <f>IF(AU178=1,AJ178&amp;"","")</f>
        <v/>
      </c>
      <c r="BP178" s="17">
        <f>IF(AU178=1,AK178&amp;"","")</f>
        <v/>
      </c>
      <c r="BQ178" s="17">
        <f>IF(AU178=1,AL178&amp;"","")</f>
        <v/>
      </c>
      <c r="BR178" s="17">
        <f>IF(AND(AU178=1,ISNUMBER(AP178),G178&lt;=Config!$B$5),AP178,"")</f>
        <v/>
      </c>
      <c r="BS178" s="17">
        <f>IF(AU178=1,IF(COUNTIFS($A$2:$A$201,$A178,$AN$2:$AN$201,"Y",$AU$2:$AU$201,1)&gt;0,"Y","N"),"")</f>
        <v/>
      </c>
      <c r="BT178" s="17">
        <f>IF(AND(AU178=1,AN178="maybe"),1,0)</f>
        <v/>
      </c>
      <c r="BU178" s="17">
        <f>IF(BT178=1,IF(COUNTIFS($A$2:$A$201,$A178,$BT$2:$BT$201,1,$G$2:$G$201,"&lt;"&amp;G178)+COUNTIFS($A$2:$A$201,$A178,$BT$2:$BT$201,1,$G$2:$G$201,G178,$AT$2:$AT$201,"&lt;"&amp;AT178)=0,1,0),0)</f>
        <v/>
      </c>
      <c r="BV178" s="17">
        <f>IF(AND(AU178=1,AN178="Y"),IF(COUNTIFS($A$2:$A$201,$A178,$AN$2:$AN$201,"Y",$AU$2:$AU$201,1,$G$2:$G$201,"&lt;"&amp;G178)+COUNTIFS($A$2:$A$201,$A178,$AN$2:$AN$201,"Y",$AU$2:$AU$201,1,$G$2:$G$201,G178,$AT$2:$AT$201,"&lt;"&amp;AT178)=0,1,0),0)</f>
        <v/>
      </c>
      <c r="BW178" s="17">
        <f>IF(AND(BA178=1,N(V178)&gt;=Config!$B$15),1,0)</f>
        <v/>
      </c>
      <c r="BX178" s="17">
        <f>IF(AU178=1,IFERROR(MATCH($A178,INDEX(Clay_Offices!$A$2:$FZ$601,0,Sync!$C$5),0),""),"")</f>
        <v/>
      </c>
      <c r="BY178" s="17">
        <f>IF(BX178="","",IFERROR(INDEX(Clay_Offices!$A$2:$FZ$601,BX178,Sync!$C$7)&amp;"",""))</f>
        <v/>
      </c>
      <c r="BZ178" s="17">
        <f>IF(BY178="","",IFERROR(INDEX(Lists!$J$2:$J$15,MATCH(BY178,Lists!$I$2:$I$15,0)),""))</f>
        <v/>
      </c>
      <c r="CA178" s="17">
        <f>IF(BX178="","",IFERROR(INDEX(Clay_Offices!$A$2:$FZ$601,BX178,Sync!$C$17)&amp;"",""))</f>
        <v/>
      </c>
      <c r="CB178" s="23">
        <f>IF(BX178="","",IFERROR(N(INDEX(Clay_Offices!$A$2:$FZ$601,BX178,Sync!$C$16)),0))</f>
        <v/>
      </c>
    </row>
    <row r="179">
      <c r="G179" s="22" t="n"/>
      <c r="AS179" s="17">
        <f>IF(TRIM($A179)="","",IF(AND(LEFT($A179,6)="SAMPLE",Config!$B$19&lt;&gt;"Y"),"",IF(NOT(ISNUMBER(G179)),"call_date is blank or not a date",IF(Sync!$C$5="","Clay paste is empty or has no row_id column: paste the Clay export on Clay_Offices",IF(BX179="","row_id not found in the Clay paste: add the Clay row or fix the row_id",IF(AND(ISNUMBER(BZ179),BZ179&gt;=1,BZ179&lt;=5),"Clay status is "&amp;BY179&amp;": set call_done or later",IF(AND(AW179=1,CA179&lt;&gt;BS179),"Clay yes_in_principle should be "&amp;BS179,IF(AND(AW179=1,CB179&lt;&gt;G179),"Clay call_date should be "&amp;TEXT(G179,"yyyy-mm-dd"),""))))))))</f>
        <v/>
      </c>
      <c r="AT179" s="17">
        <f>ROW()</f>
        <v/>
      </c>
      <c r="AU179" s="17">
        <f>IF(AND(TRIM($A179)&lt;&gt;"",ISNUMBER(G179)),IF(AND(LEFT($A179,6)="SAMPLE",Config!$B$19&lt;&gt;"Y"),0,1),0)</f>
        <v/>
      </c>
      <c r="AV179" s="17">
        <f>IF(AU179=1,IF(COUNTIFS($A$2:$A$201,$A179,$AU$2:$AU$201,1,$G$2:$G$201,"&lt;"&amp;G179)+COUNTIFS($A$2:$A$201,$A179,$AU$2:$AU$201,1,$G$2:$G$201,G179,$AT$2:$AT$201,"&lt;"&amp;AT179)=0,1,0),0)</f>
        <v/>
      </c>
      <c r="AW179" s="17">
        <f>IF(AU179=1,IF(COUNTIFS($A$2:$A$201,$A179,$AU$2:$AU$201,1,$G$2:$G$201,"&gt;"&amp;G179)+COUNTIFS($A$2:$A$201,$A179,$AU$2:$AU$201,1,$G$2:$G$201,G179,$AT$2:$AT$201,"&gt;"&amp;AT179)=0,1,0),0)</f>
        <v/>
      </c>
      <c r="AX179" s="17">
        <f>IF(AND(AU179=1,AN179="Y",Z179="Y",TRIM(AD179)&lt;&gt;""),1,0)</f>
        <v/>
      </c>
      <c r="AY179" s="17">
        <f>IF(AX179=1,IF(COUNTIFS($A$2:$A$201,$A179,$AX$2:$AX$201,1,$G$2:$G$201,"&lt;"&amp;G179)+COUNTIFS($A$2:$A$201,$A179,$AX$2:$AX$201,1,$G$2:$G$201,G179,$AT$2:$AT$201,"&lt;"&amp;AT179)=0,1,0),0)</f>
        <v/>
      </c>
      <c r="AZ179" s="17">
        <f>IF(AND(AU179=1,AN179="Y",AX179=0),1,0)</f>
        <v/>
      </c>
      <c r="BA179" s="17">
        <f>IF(AND(AU179=1,ISNUMBER(V179)),1,0)</f>
        <v/>
      </c>
      <c r="BB179" s="17">
        <f>IF(BA179=1,IF(COUNTIFS($A$2:$A$201,$A179,$BA$2:$BA$201,1,$G$2:$G$201,"&lt;"&amp;G179)+COUNTIFS($A$2:$A$201,$A179,$BA$2:$BA$201,1,$G$2:$G$201,G179,$AT$2:$AT$201,"&lt;"&amp;AT179)=0,1,0),0)</f>
        <v/>
      </c>
      <c r="BC179" s="17">
        <f>IF(AND(BB179=1,G179&lt;=Config!$B$6),V179,"")</f>
        <v/>
      </c>
      <c r="BD179" s="17">
        <f>IF(AND(BB179=1,G179&lt;=Config!$B$7),V179,"")</f>
        <v/>
      </c>
      <c r="BE179" s="17">
        <f>IF(AND(BB179=1,G179&lt;=Config!$B$8),V179,"")</f>
        <v/>
      </c>
      <c r="BF179" s="17">
        <f>IF(AND(BB179=1,G179&lt;=Config!$B$5),V179,"")</f>
        <v/>
      </c>
      <c r="BG179" s="17">
        <f>IF(BW179=1,IF(COUNTIFS($A$2:$A$201,$A179,$BW$2:$BW$201,1,$G$2:$G$201,"&lt;"&amp;G179)+COUNTIFS($A$2:$A$201,$A179,$BW$2:$BW$201,1,$G$2:$G$201,G179,$AT$2:$AT$201,"&lt;"&amp;AT179)=0,1,0),0)</f>
        <v/>
      </c>
      <c r="BH179" s="17">
        <f>IF(AND(AU179=1,ISNUMBER(K179)),1,0)</f>
        <v/>
      </c>
      <c r="BI179" s="17">
        <f>IF(BH179=1,IF(COUNTIFS($A$2:$A$201,$A179,$BH$2:$BH$201,1,$G$2:$G$201,"&lt;"&amp;G179)+COUNTIFS($A$2:$A$201,$A179,$BH$2:$BH$201,1,$G$2:$G$201,G179,$AT$2:$AT$201,"&lt;"&amp;AT179)=0,1,0),0)</f>
        <v/>
      </c>
      <c r="BJ179" s="17">
        <f>IF(AND(BI179=1,G179&lt;=Config!$B$5),K179,"")</f>
        <v/>
      </c>
      <c r="BK179" s="17">
        <f>IF(AND(AU179=1,OR(TRIM(U179)&lt;&gt;"",ISNUMBER(V179))),1,0)</f>
        <v/>
      </c>
      <c r="BL179" s="17">
        <f>IF(BK179=1,IF(COUNTIFS($A$2:$A$201,$A179,$BK$2:$BK$201,1,$G$2:$G$201,"&lt;"&amp;G179)+COUNTIFS($A$2:$A$201,$A179,$BK$2:$BK$201,1,$G$2:$G$201,G179,$AT$2:$AT$201,"&lt;"&amp;AT179)=0,1,0),0)</f>
        <v/>
      </c>
      <c r="BM179" s="17">
        <f>IF(BL179=1,$A179,"")</f>
        <v/>
      </c>
      <c r="BN179" s="17">
        <f>IF(AND(AU179=1,T179="Y",TRIM(U179)=""),1,0)</f>
        <v/>
      </c>
      <c r="BO179" s="17">
        <f>IF(AU179=1,AJ179&amp;"","")</f>
        <v/>
      </c>
      <c r="BP179" s="17">
        <f>IF(AU179=1,AK179&amp;"","")</f>
        <v/>
      </c>
      <c r="BQ179" s="17">
        <f>IF(AU179=1,AL179&amp;"","")</f>
        <v/>
      </c>
      <c r="BR179" s="17">
        <f>IF(AND(AU179=1,ISNUMBER(AP179),G179&lt;=Config!$B$5),AP179,"")</f>
        <v/>
      </c>
      <c r="BS179" s="17">
        <f>IF(AU179=1,IF(COUNTIFS($A$2:$A$201,$A179,$AN$2:$AN$201,"Y",$AU$2:$AU$201,1)&gt;0,"Y","N"),"")</f>
        <v/>
      </c>
      <c r="BT179" s="17">
        <f>IF(AND(AU179=1,AN179="maybe"),1,0)</f>
        <v/>
      </c>
      <c r="BU179" s="17">
        <f>IF(BT179=1,IF(COUNTIFS($A$2:$A$201,$A179,$BT$2:$BT$201,1,$G$2:$G$201,"&lt;"&amp;G179)+COUNTIFS($A$2:$A$201,$A179,$BT$2:$BT$201,1,$G$2:$G$201,G179,$AT$2:$AT$201,"&lt;"&amp;AT179)=0,1,0),0)</f>
        <v/>
      </c>
      <c r="BV179" s="17">
        <f>IF(AND(AU179=1,AN179="Y"),IF(COUNTIFS($A$2:$A$201,$A179,$AN$2:$AN$201,"Y",$AU$2:$AU$201,1,$G$2:$G$201,"&lt;"&amp;G179)+COUNTIFS($A$2:$A$201,$A179,$AN$2:$AN$201,"Y",$AU$2:$AU$201,1,$G$2:$G$201,G179,$AT$2:$AT$201,"&lt;"&amp;AT179)=0,1,0),0)</f>
        <v/>
      </c>
      <c r="BW179" s="17">
        <f>IF(AND(BA179=1,N(V179)&gt;=Config!$B$15),1,0)</f>
        <v/>
      </c>
      <c r="BX179" s="17">
        <f>IF(AU179=1,IFERROR(MATCH($A179,INDEX(Clay_Offices!$A$2:$FZ$601,0,Sync!$C$5),0),""),"")</f>
        <v/>
      </c>
      <c r="BY179" s="17">
        <f>IF(BX179="","",IFERROR(INDEX(Clay_Offices!$A$2:$FZ$601,BX179,Sync!$C$7)&amp;"",""))</f>
        <v/>
      </c>
      <c r="BZ179" s="17">
        <f>IF(BY179="","",IFERROR(INDEX(Lists!$J$2:$J$15,MATCH(BY179,Lists!$I$2:$I$15,0)),""))</f>
        <v/>
      </c>
      <c r="CA179" s="17">
        <f>IF(BX179="","",IFERROR(INDEX(Clay_Offices!$A$2:$FZ$601,BX179,Sync!$C$17)&amp;"",""))</f>
        <v/>
      </c>
      <c r="CB179" s="23">
        <f>IF(BX179="","",IFERROR(N(INDEX(Clay_Offices!$A$2:$FZ$601,BX179,Sync!$C$16)),0))</f>
        <v/>
      </c>
    </row>
    <row r="180">
      <c r="G180" s="22" t="n"/>
      <c r="AS180" s="17">
        <f>IF(TRIM($A180)="","",IF(AND(LEFT($A180,6)="SAMPLE",Config!$B$19&lt;&gt;"Y"),"",IF(NOT(ISNUMBER(G180)),"call_date is blank or not a date",IF(Sync!$C$5="","Clay paste is empty or has no row_id column: paste the Clay export on Clay_Offices",IF(BX180="","row_id not found in the Clay paste: add the Clay row or fix the row_id",IF(AND(ISNUMBER(BZ180),BZ180&gt;=1,BZ180&lt;=5),"Clay status is "&amp;BY180&amp;": set call_done or later",IF(AND(AW180=1,CA180&lt;&gt;BS180),"Clay yes_in_principle should be "&amp;BS180,IF(AND(AW180=1,CB180&lt;&gt;G180),"Clay call_date should be "&amp;TEXT(G180,"yyyy-mm-dd"),""))))))))</f>
        <v/>
      </c>
      <c r="AT180" s="17">
        <f>ROW()</f>
        <v/>
      </c>
      <c r="AU180" s="17">
        <f>IF(AND(TRIM($A180)&lt;&gt;"",ISNUMBER(G180)),IF(AND(LEFT($A180,6)="SAMPLE",Config!$B$19&lt;&gt;"Y"),0,1),0)</f>
        <v/>
      </c>
      <c r="AV180" s="17">
        <f>IF(AU180=1,IF(COUNTIFS($A$2:$A$201,$A180,$AU$2:$AU$201,1,$G$2:$G$201,"&lt;"&amp;G180)+COUNTIFS($A$2:$A$201,$A180,$AU$2:$AU$201,1,$G$2:$G$201,G180,$AT$2:$AT$201,"&lt;"&amp;AT180)=0,1,0),0)</f>
        <v/>
      </c>
      <c r="AW180" s="17">
        <f>IF(AU180=1,IF(COUNTIFS($A$2:$A$201,$A180,$AU$2:$AU$201,1,$G$2:$G$201,"&gt;"&amp;G180)+COUNTIFS($A$2:$A$201,$A180,$AU$2:$AU$201,1,$G$2:$G$201,G180,$AT$2:$AT$201,"&gt;"&amp;AT180)=0,1,0),0)</f>
        <v/>
      </c>
      <c r="AX180" s="17">
        <f>IF(AND(AU180=1,AN180="Y",Z180="Y",TRIM(AD180)&lt;&gt;""),1,0)</f>
        <v/>
      </c>
      <c r="AY180" s="17">
        <f>IF(AX180=1,IF(COUNTIFS($A$2:$A$201,$A180,$AX$2:$AX$201,1,$G$2:$G$201,"&lt;"&amp;G180)+COUNTIFS($A$2:$A$201,$A180,$AX$2:$AX$201,1,$G$2:$G$201,G180,$AT$2:$AT$201,"&lt;"&amp;AT180)=0,1,0),0)</f>
        <v/>
      </c>
      <c r="AZ180" s="17">
        <f>IF(AND(AU180=1,AN180="Y",AX180=0),1,0)</f>
        <v/>
      </c>
      <c r="BA180" s="17">
        <f>IF(AND(AU180=1,ISNUMBER(V180)),1,0)</f>
        <v/>
      </c>
      <c r="BB180" s="17">
        <f>IF(BA180=1,IF(COUNTIFS($A$2:$A$201,$A180,$BA$2:$BA$201,1,$G$2:$G$201,"&lt;"&amp;G180)+COUNTIFS($A$2:$A$201,$A180,$BA$2:$BA$201,1,$G$2:$G$201,G180,$AT$2:$AT$201,"&lt;"&amp;AT180)=0,1,0),0)</f>
        <v/>
      </c>
      <c r="BC180" s="17">
        <f>IF(AND(BB180=1,G180&lt;=Config!$B$6),V180,"")</f>
        <v/>
      </c>
      <c r="BD180" s="17">
        <f>IF(AND(BB180=1,G180&lt;=Config!$B$7),V180,"")</f>
        <v/>
      </c>
      <c r="BE180" s="17">
        <f>IF(AND(BB180=1,G180&lt;=Config!$B$8),V180,"")</f>
        <v/>
      </c>
      <c r="BF180" s="17">
        <f>IF(AND(BB180=1,G180&lt;=Config!$B$5),V180,"")</f>
        <v/>
      </c>
      <c r="BG180" s="17">
        <f>IF(BW180=1,IF(COUNTIFS($A$2:$A$201,$A180,$BW$2:$BW$201,1,$G$2:$G$201,"&lt;"&amp;G180)+COUNTIFS($A$2:$A$201,$A180,$BW$2:$BW$201,1,$G$2:$G$201,G180,$AT$2:$AT$201,"&lt;"&amp;AT180)=0,1,0),0)</f>
        <v/>
      </c>
      <c r="BH180" s="17">
        <f>IF(AND(AU180=1,ISNUMBER(K180)),1,0)</f>
        <v/>
      </c>
      <c r="BI180" s="17">
        <f>IF(BH180=1,IF(COUNTIFS($A$2:$A$201,$A180,$BH$2:$BH$201,1,$G$2:$G$201,"&lt;"&amp;G180)+COUNTIFS($A$2:$A$201,$A180,$BH$2:$BH$201,1,$G$2:$G$201,G180,$AT$2:$AT$201,"&lt;"&amp;AT180)=0,1,0),0)</f>
        <v/>
      </c>
      <c r="BJ180" s="17">
        <f>IF(AND(BI180=1,G180&lt;=Config!$B$5),K180,"")</f>
        <v/>
      </c>
      <c r="BK180" s="17">
        <f>IF(AND(AU180=1,OR(TRIM(U180)&lt;&gt;"",ISNUMBER(V180))),1,0)</f>
        <v/>
      </c>
      <c r="BL180" s="17">
        <f>IF(BK180=1,IF(COUNTIFS($A$2:$A$201,$A180,$BK$2:$BK$201,1,$G$2:$G$201,"&lt;"&amp;G180)+COUNTIFS($A$2:$A$201,$A180,$BK$2:$BK$201,1,$G$2:$G$201,G180,$AT$2:$AT$201,"&lt;"&amp;AT180)=0,1,0),0)</f>
        <v/>
      </c>
      <c r="BM180" s="17">
        <f>IF(BL180=1,$A180,"")</f>
        <v/>
      </c>
      <c r="BN180" s="17">
        <f>IF(AND(AU180=1,T180="Y",TRIM(U180)=""),1,0)</f>
        <v/>
      </c>
      <c r="BO180" s="17">
        <f>IF(AU180=1,AJ180&amp;"","")</f>
        <v/>
      </c>
      <c r="BP180" s="17">
        <f>IF(AU180=1,AK180&amp;"","")</f>
        <v/>
      </c>
      <c r="BQ180" s="17">
        <f>IF(AU180=1,AL180&amp;"","")</f>
        <v/>
      </c>
      <c r="BR180" s="17">
        <f>IF(AND(AU180=1,ISNUMBER(AP180),G180&lt;=Config!$B$5),AP180,"")</f>
        <v/>
      </c>
      <c r="BS180" s="17">
        <f>IF(AU180=1,IF(COUNTIFS($A$2:$A$201,$A180,$AN$2:$AN$201,"Y",$AU$2:$AU$201,1)&gt;0,"Y","N"),"")</f>
        <v/>
      </c>
      <c r="BT180" s="17">
        <f>IF(AND(AU180=1,AN180="maybe"),1,0)</f>
        <v/>
      </c>
      <c r="BU180" s="17">
        <f>IF(BT180=1,IF(COUNTIFS($A$2:$A$201,$A180,$BT$2:$BT$201,1,$G$2:$G$201,"&lt;"&amp;G180)+COUNTIFS($A$2:$A$201,$A180,$BT$2:$BT$201,1,$G$2:$G$201,G180,$AT$2:$AT$201,"&lt;"&amp;AT180)=0,1,0),0)</f>
        <v/>
      </c>
      <c r="BV180" s="17">
        <f>IF(AND(AU180=1,AN180="Y"),IF(COUNTIFS($A$2:$A$201,$A180,$AN$2:$AN$201,"Y",$AU$2:$AU$201,1,$G$2:$G$201,"&lt;"&amp;G180)+COUNTIFS($A$2:$A$201,$A180,$AN$2:$AN$201,"Y",$AU$2:$AU$201,1,$G$2:$G$201,G180,$AT$2:$AT$201,"&lt;"&amp;AT180)=0,1,0),0)</f>
        <v/>
      </c>
      <c r="BW180" s="17">
        <f>IF(AND(BA180=1,N(V180)&gt;=Config!$B$15),1,0)</f>
        <v/>
      </c>
      <c r="BX180" s="17">
        <f>IF(AU180=1,IFERROR(MATCH($A180,INDEX(Clay_Offices!$A$2:$FZ$601,0,Sync!$C$5),0),""),"")</f>
        <v/>
      </c>
      <c r="BY180" s="17">
        <f>IF(BX180="","",IFERROR(INDEX(Clay_Offices!$A$2:$FZ$601,BX180,Sync!$C$7)&amp;"",""))</f>
        <v/>
      </c>
      <c r="BZ180" s="17">
        <f>IF(BY180="","",IFERROR(INDEX(Lists!$J$2:$J$15,MATCH(BY180,Lists!$I$2:$I$15,0)),""))</f>
        <v/>
      </c>
      <c r="CA180" s="17">
        <f>IF(BX180="","",IFERROR(INDEX(Clay_Offices!$A$2:$FZ$601,BX180,Sync!$C$17)&amp;"",""))</f>
        <v/>
      </c>
      <c r="CB180" s="23">
        <f>IF(BX180="","",IFERROR(N(INDEX(Clay_Offices!$A$2:$FZ$601,BX180,Sync!$C$16)),0))</f>
        <v/>
      </c>
    </row>
    <row r="181">
      <c r="G181" s="22" t="n"/>
      <c r="AS181" s="17">
        <f>IF(TRIM($A181)="","",IF(AND(LEFT($A181,6)="SAMPLE",Config!$B$19&lt;&gt;"Y"),"",IF(NOT(ISNUMBER(G181)),"call_date is blank or not a date",IF(Sync!$C$5="","Clay paste is empty or has no row_id column: paste the Clay export on Clay_Offices",IF(BX181="","row_id not found in the Clay paste: add the Clay row or fix the row_id",IF(AND(ISNUMBER(BZ181),BZ181&gt;=1,BZ181&lt;=5),"Clay status is "&amp;BY181&amp;": set call_done or later",IF(AND(AW181=1,CA181&lt;&gt;BS181),"Clay yes_in_principle should be "&amp;BS181,IF(AND(AW181=1,CB181&lt;&gt;G181),"Clay call_date should be "&amp;TEXT(G181,"yyyy-mm-dd"),""))))))))</f>
        <v/>
      </c>
      <c r="AT181" s="17">
        <f>ROW()</f>
        <v/>
      </c>
      <c r="AU181" s="17">
        <f>IF(AND(TRIM($A181)&lt;&gt;"",ISNUMBER(G181)),IF(AND(LEFT($A181,6)="SAMPLE",Config!$B$19&lt;&gt;"Y"),0,1),0)</f>
        <v/>
      </c>
      <c r="AV181" s="17">
        <f>IF(AU181=1,IF(COUNTIFS($A$2:$A$201,$A181,$AU$2:$AU$201,1,$G$2:$G$201,"&lt;"&amp;G181)+COUNTIFS($A$2:$A$201,$A181,$AU$2:$AU$201,1,$G$2:$G$201,G181,$AT$2:$AT$201,"&lt;"&amp;AT181)=0,1,0),0)</f>
        <v/>
      </c>
      <c r="AW181" s="17">
        <f>IF(AU181=1,IF(COUNTIFS($A$2:$A$201,$A181,$AU$2:$AU$201,1,$G$2:$G$201,"&gt;"&amp;G181)+COUNTIFS($A$2:$A$201,$A181,$AU$2:$AU$201,1,$G$2:$G$201,G181,$AT$2:$AT$201,"&gt;"&amp;AT181)=0,1,0),0)</f>
        <v/>
      </c>
      <c r="AX181" s="17">
        <f>IF(AND(AU181=1,AN181="Y",Z181="Y",TRIM(AD181)&lt;&gt;""),1,0)</f>
        <v/>
      </c>
      <c r="AY181" s="17">
        <f>IF(AX181=1,IF(COUNTIFS($A$2:$A$201,$A181,$AX$2:$AX$201,1,$G$2:$G$201,"&lt;"&amp;G181)+COUNTIFS($A$2:$A$201,$A181,$AX$2:$AX$201,1,$G$2:$G$201,G181,$AT$2:$AT$201,"&lt;"&amp;AT181)=0,1,0),0)</f>
        <v/>
      </c>
      <c r="AZ181" s="17">
        <f>IF(AND(AU181=1,AN181="Y",AX181=0),1,0)</f>
        <v/>
      </c>
      <c r="BA181" s="17">
        <f>IF(AND(AU181=1,ISNUMBER(V181)),1,0)</f>
        <v/>
      </c>
      <c r="BB181" s="17">
        <f>IF(BA181=1,IF(COUNTIFS($A$2:$A$201,$A181,$BA$2:$BA$201,1,$G$2:$G$201,"&lt;"&amp;G181)+COUNTIFS($A$2:$A$201,$A181,$BA$2:$BA$201,1,$G$2:$G$201,G181,$AT$2:$AT$201,"&lt;"&amp;AT181)=0,1,0),0)</f>
        <v/>
      </c>
      <c r="BC181" s="17">
        <f>IF(AND(BB181=1,G181&lt;=Config!$B$6),V181,"")</f>
        <v/>
      </c>
      <c r="BD181" s="17">
        <f>IF(AND(BB181=1,G181&lt;=Config!$B$7),V181,"")</f>
        <v/>
      </c>
      <c r="BE181" s="17">
        <f>IF(AND(BB181=1,G181&lt;=Config!$B$8),V181,"")</f>
        <v/>
      </c>
      <c r="BF181" s="17">
        <f>IF(AND(BB181=1,G181&lt;=Config!$B$5),V181,"")</f>
        <v/>
      </c>
      <c r="BG181" s="17">
        <f>IF(BW181=1,IF(COUNTIFS($A$2:$A$201,$A181,$BW$2:$BW$201,1,$G$2:$G$201,"&lt;"&amp;G181)+COUNTIFS($A$2:$A$201,$A181,$BW$2:$BW$201,1,$G$2:$G$201,G181,$AT$2:$AT$201,"&lt;"&amp;AT181)=0,1,0),0)</f>
        <v/>
      </c>
      <c r="BH181" s="17">
        <f>IF(AND(AU181=1,ISNUMBER(K181)),1,0)</f>
        <v/>
      </c>
      <c r="BI181" s="17">
        <f>IF(BH181=1,IF(COUNTIFS($A$2:$A$201,$A181,$BH$2:$BH$201,1,$G$2:$G$201,"&lt;"&amp;G181)+COUNTIFS($A$2:$A$201,$A181,$BH$2:$BH$201,1,$G$2:$G$201,G181,$AT$2:$AT$201,"&lt;"&amp;AT181)=0,1,0),0)</f>
        <v/>
      </c>
      <c r="BJ181" s="17">
        <f>IF(AND(BI181=1,G181&lt;=Config!$B$5),K181,"")</f>
        <v/>
      </c>
      <c r="BK181" s="17">
        <f>IF(AND(AU181=1,OR(TRIM(U181)&lt;&gt;"",ISNUMBER(V181))),1,0)</f>
        <v/>
      </c>
      <c r="BL181" s="17">
        <f>IF(BK181=1,IF(COUNTIFS($A$2:$A$201,$A181,$BK$2:$BK$201,1,$G$2:$G$201,"&lt;"&amp;G181)+COUNTIFS($A$2:$A$201,$A181,$BK$2:$BK$201,1,$G$2:$G$201,G181,$AT$2:$AT$201,"&lt;"&amp;AT181)=0,1,0),0)</f>
        <v/>
      </c>
      <c r="BM181" s="17">
        <f>IF(BL181=1,$A181,"")</f>
        <v/>
      </c>
      <c r="BN181" s="17">
        <f>IF(AND(AU181=1,T181="Y",TRIM(U181)=""),1,0)</f>
        <v/>
      </c>
      <c r="BO181" s="17">
        <f>IF(AU181=1,AJ181&amp;"","")</f>
        <v/>
      </c>
      <c r="BP181" s="17">
        <f>IF(AU181=1,AK181&amp;"","")</f>
        <v/>
      </c>
      <c r="BQ181" s="17">
        <f>IF(AU181=1,AL181&amp;"","")</f>
        <v/>
      </c>
      <c r="BR181" s="17">
        <f>IF(AND(AU181=1,ISNUMBER(AP181),G181&lt;=Config!$B$5),AP181,"")</f>
        <v/>
      </c>
      <c r="BS181" s="17">
        <f>IF(AU181=1,IF(COUNTIFS($A$2:$A$201,$A181,$AN$2:$AN$201,"Y",$AU$2:$AU$201,1)&gt;0,"Y","N"),"")</f>
        <v/>
      </c>
      <c r="BT181" s="17">
        <f>IF(AND(AU181=1,AN181="maybe"),1,0)</f>
        <v/>
      </c>
      <c r="BU181" s="17">
        <f>IF(BT181=1,IF(COUNTIFS($A$2:$A$201,$A181,$BT$2:$BT$201,1,$G$2:$G$201,"&lt;"&amp;G181)+COUNTIFS($A$2:$A$201,$A181,$BT$2:$BT$201,1,$G$2:$G$201,G181,$AT$2:$AT$201,"&lt;"&amp;AT181)=0,1,0),0)</f>
        <v/>
      </c>
      <c r="BV181" s="17">
        <f>IF(AND(AU181=1,AN181="Y"),IF(COUNTIFS($A$2:$A$201,$A181,$AN$2:$AN$201,"Y",$AU$2:$AU$201,1,$G$2:$G$201,"&lt;"&amp;G181)+COUNTIFS($A$2:$A$201,$A181,$AN$2:$AN$201,"Y",$AU$2:$AU$201,1,$G$2:$G$201,G181,$AT$2:$AT$201,"&lt;"&amp;AT181)=0,1,0),0)</f>
        <v/>
      </c>
      <c r="BW181" s="17">
        <f>IF(AND(BA181=1,N(V181)&gt;=Config!$B$15),1,0)</f>
        <v/>
      </c>
      <c r="BX181" s="17">
        <f>IF(AU181=1,IFERROR(MATCH($A181,INDEX(Clay_Offices!$A$2:$FZ$601,0,Sync!$C$5),0),""),"")</f>
        <v/>
      </c>
      <c r="BY181" s="17">
        <f>IF(BX181="","",IFERROR(INDEX(Clay_Offices!$A$2:$FZ$601,BX181,Sync!$C$7)&amp;"",""))</f>
        <v/>
      </c>
      <c r="BZ181" s="17">
        <f>IF(BY181="","",IFERROR(INDEX(Lists!$J$2:$J$15,MATCH(BY181,Lists!$I$2:$I$15,0)),""))</f>
        <v/>
      </c>
      <c r="CA181" s="17">
        <f>IF(BX181="","",IFERROR(INDEX(Clay_Offices!$A$2:$FZ$601,BX181,Sync!$C$17)&amp;"",""))</f>
        <v/>
      </c>
      <c r="CB181" s="23">
        <f>IF(BX181="","",IFERROR(N(INDEX(Clay_Offices!$A$2:$FZ$601,BX181,Sync!$C$16)),0))</f>
        <v/>
      </c>
    </row>
    <row r="182">
      <c r="G182" s="22" t="n"/>
      <c r="AS182" s="17">
        <f>IF(TRIM($A182)="","",IF(AND(LEFT($A182,6)="SAMPLE",Config!$B$19&lt;&gt;"Y"),"",IF(NOT(ISNUMBER(G182)),"call_date is blank or not a date",IF(Sync!$C$5="","Clay paste is empty or has no row_id column: paste the Clay export on Clay_Offices",IF(BX182="","row_id not found in the Clay paste: add the Clay row or fix the row_id",IF(AND(ISNUMBER(BZ182),BZ182&gt;=1,BZ182&lt;=5),"Clay status is "&amp;BY182&amp;": set call_done or later",IF(AND(AW182=1,CA182&lt;&gt;BS182),"Clay yes_in_principle should be "&amp;BS182,IF(AND(AW182=1,CB182&lt;&gt;G182),"Clay call_date should be "&amp;TEXT(G182,"yyyy-mm-dd"),""))))))))</f>
        <v/>
      </c>
      <c r="AT182" s="17">
        <f>ROW()</f>
        <v/>
      </c>
      <c r="AU182" s="17">
        <f>IF(AND(TRIM($A182)&lt;&gt;"",ISNUMBER(G182)),IF(AND(LEFT($A182,6)="SAMPLE",Config!$B$19&lt;&gt;"Y"),0,1),0)</f>
        <v/>
      </c>
      <c r="AV182" s="17">
        <f>IF(AU182=1,IF(COUNTIFS($A$2:$A$201,$A182,$AU$2:$AU$201,1,$G$2:$G$201,"&lt;"&amp;G182)+COUNTIFS($A$2:$A$201,$A182,$AU$2:$AU$201,1,$G$2:$G$201,G182,$AT$2:$AT$201,"&lt;"&amp;AT182)=0,1,0),0)</f>
        <v/>
      </c>
      <c r="AW182" s="17">
        <f>IF(AU182=1,IF(COUNTIFS($A$2:$A$201,$A182,$AU$2:$AU$201,1,$G$2:$G$201,"&gt;"&amp;G182)+COUNTIFS($A$2:$A$201,$A182,$AU$2:$AU$201,1,$G$2:$G$201,G182,$AT$2:$AT$201,"&gt;"&amp;AT182)=0,1,0),0)</f>
        <v/>
      </c>
      <c r="AX182" s="17">
        <f>IF(AND(AU182=1,AN182="Y",Z182="Y",TRIM(AD182)&lt;&gt;""),1,0)</f>
        <v/>
      </c>
      <c r="AY182" s="17">
        <f>IF(AX182=1,IF(COUNTIFS($A$2:$A$201,$A182,$AX$2:$AX$201,1,$G$2:$G$201,"&lt;"&amp;G182)+COUNTIFS($A$2:$A$201,$A182,$AX$2:$AX$201,1,$G$2:$G$201,G182,$AT$2:$AT$201,"&lt;"&amp;AT182)=0,1,0),0)</f>
        <v/>
      </c>
      <c r="AZ182" s="17">
        <f>IF(AND(AU182=1,AN182="Y",AX182=0),1,0)</f>
        <v/>
      </c>
      <c r="BA182" s="17">
        <f>IF(AND(AU182=1,ISNUMBER(V182)),1,0)</f>
        <v/>
      </c>
      <c r="BB182" s="17">
        <f>IF(BA182=1,IF(COUNTIFS($A$2:$A$201,$A182,$BA$2:$BA$201,1,$G$2:$G$201,"&lt;"&amp;G182)+COUNTIFS($A$2:$A$201,$A182,$BA$2:$BA$201,1,$G$2:$G$201,G182,$AT$2:$AT$201,"&lt;"&amp;AT182)=0,1,0),0)</f>
        <v/>
      </c>
      <c r="BC182" s="17">
        <f>IF(AND(BB182=1,G182&lt;=Config!$B$6),V182,"")</f>
        <v/>
      </c>
      <c r="BD182" s="17">
        <f>IF(AND(BB182=1,G182&lt;=Config!$B$7),V182,"")</f>
        <v/>
      </c>
      <c r="BE182" s="17">
        <f>IF(AND(BB182=1,G182&lt;=Config!$B$8),V182,"")</f>
        <v/>
      </c>
      <c r="BF182" s="17">
        <f>IF(AND(BB182=1,G182&lt;=Config!$B$5),V182,"")</f>
        <v/>
      </c>
      <c r="BG182" s="17">
        <f>IF(BW182=1,IF(COUNTIFS($A$2:$A$201,$A182,$BW$2:$BW$201,1,$G$2:$G$201,"&lt;"&amp;G182)+COUNTIFS($A$2:$A$201,$A182,$BW$2:$BW$201,1,$G$2:$G$201,G182,$AT$2:$AT$201,"&lt;"&amp;AT182)=0,1,0),0)</f>
        <v/>
      </c>
      <c r="BH182" s="17">
        <f>IF(AND(AU182=1,ISNUMBER(K182)),1,0)</f>
        <v/>
      </c>
      <c r="BI182" s="17">
        <f>IF(BH182=1,IF(COUNTIFS($A$2:$A$201,$A182,$BH$2:$BH$201,1,$G$2:$G$201,"&lt;"&amp;G182)+COUNTIFS($A$2:$A$201,$A182,$BH$2:$BH$201,1,$G$2:$G$201,G182,$AT$2:$AT$201,"&lt;"&amp;AT182)=0,1,0),0)</f>
        <v/>
      </c>
      <c r="BJ182" s="17">
        <f>IF(AND(BI182=1,G182&lt;=Config!$B$5),K182,"")</f>
        <v/>
      </c>
      <c r="BK182" s="17">
        <f>IF(AND(AU182=1,OR(TRIM(U182)&lt;&gt;"",ISNUMBER(V182))),1,0)</f>
        <v/>
      </c>
      <c r="BL182" s="17">
        <f>IF(BK182=1,IF(COUNTIFS($A$2:$A$201,$A182,$BK$2:$BK$201,1,$G$2:$G$201,"&lt;"&amp;G182)+COUNTIFS($A$2:$A$201,$A182,$BK$2:$BK$201,1,$G$2:$G$201,G182,$AT$2:$AT$201,"&lt;"&amp;AT182)=0,1,0),0)</f>
        <v/>
      </c>
      <c r="BM182" s="17">
        <f>IF(BL182=1,$A182,"")</f>
        <v/>
      </c>
      <c r="BN182" s="17">
        <f>IF(AND(AU182=1,T182="Y",TRIM(U182)=""),1,0)</f>
        <v/>
      </c>
      <c r="BO182" s="17">
        <f>IF(AU182=1,AJ182&amp;"","")</f>
        <v/>
      </c>
      <c r="BP182" s="17">
        <f>IF(AU182=1,AK182&amp;"","")</f>
        <v/>
      </c>
      <c r="BQ182" s="17">
        <f>IF(AU182=1,AL182&amp;"","")</f>
        <v/>
      </c>
      <c r="BR182" s="17">
        <f>IF(AND(AU182=1,ISNUMBER(AP182),G182&lt;=Config!$B$5),AP182,"")</f>
        <v/>
      </c>
      <c r="BS182" s="17">
        <f>IF(AU182=1,IF(COUNTIFS($A$2:$A$201,$A182,$AN$2:$AN$201,"Y",$AU$2:$AU$201,1)&gt;0,"Y","N"),"")</f>
        <v/>
      </c>
      <c r="BT182" s="17">
        <f>IF(AND(AU182=1,AN182="maybe"),1,0)</f>
        <v/>
      </c>
      <c r="BU182" s="17">
        <f>IF(BT182=1,IF(COUNTIFS($A$2:$A$201,$A182,$BT$2:$BT$201,1,$G$2:$G$201,"&lt;"&amp;G182)+COUNTIFS($A$2:$A$201,$A182,$BT$2:$BT$201,1,$G$2:$G$201,G182,$AT$2:$AT$201,"&lt;"&amp;AT182)=0,1,0),0)</f>
        <v/>
      </c>
      <c r="BV182" s="17">
        <f>IF(AND(AU182=1,AN182="Y"),IF(COUNTIFS($A$2:$A$201,$A182,$AN$2:$AN$201,"Y",$AU$2:$AU$201,1,$G$2:$G$201,"&lt;"&amp;G182)+COUNTIFS($A$2:$A$201,$A182,$AN$2:$AN$201,"Y",$AU$2:$AU$201,1,$G$2:$G$201,G182,$AT$2:$AT$201,"&lt;"&amp;AT182)=0,1,0),0)</f>
        <v/>
      </c>
      <c r="BW182" s="17">
        <f>IF(AND(BA182=1,N(V182)&gt;=Config!$B$15),1,0)</f>
        <v/>
      </c>
      <c r="BX182" s="17">
        <f>IF(AU182=1,IFERROR(MATCH($A182,INDEX(Clay_Offices!$A$2:$FZ$601,0,Sync!$C$5),0),""),"")</f>
        <v/>
      </c>
      <c r="BY182" s="17">
        <f>IF(BX182="","",IFERROR(INDEX(Clay_Offices!$A$2:$FZ$601,BX182,Sync!$C$7)&amp;"",""))</f>
        <v/>
      </c>
      <c r="BZ182" s="17">
        <f>IF(BY182="","",IFERROR(INDEX(Lists!$J$2:$J$15,MATCH(BY182,Lists!$I$2:$I$15,0)),""))</f>
        <v/>
      </c>
      <c r="CA182" s="17">
        <f>IF(BX182="","",IFERROR(INDEX(Clay_Offices!$A$2:$FZ$601,BX182,Sync!$C$17)&amp;"",""))</f>
        <v/>
      </c>
      <c r="CB182" s="23">
        <f>IF(BX182="","",IFERROR(N(INDEX(Clay_Offices!$A$2:$FZ$601,BX182,Sync!$C$16)),0))</f>
        <v/>
      </c>
    </row>
    <row r="183">
      <c r="G183" s="22" t="n"/>
      <c r="AS183" s="17">
        <f>IF(TRIM($A183)="","",IF(AND(LEFT($A183,6)="SAMPLE",Config!$B$19&lt;&gt;"Y"),"",IF(NOT(ISNUMBER(G183)),"call_date is blank or not a date",IF(Sync!$C$5="","Clay paste is empty or has no row_id column: paste the Clay export on Clay_Offices",IF(BX183="","row_id not found in the Clay paste: add the Clay row or fix the row_id",IF(AND(ISNUMBER(BZ183),BZ183&gt;=1,BZ183&lt;=5),"Clay status is "&amp;BY183&amp;": set call_done or later",IF(AND(AW183=1,CA183&lt;&gt;BS183),"Clay yes_in_principle should be "&amp;BS183,IF(AND(AW183=1,CB183&lt;&gt;G183),"Clay call_date should be "&amp;TEXT(G183,"yyyy-mm-dd"),""))))))))</f>
        <v/>
      </c>
      <c r="AT183" s="17">
        <f>ROW()</f>
        <v/>
      </c>
      <c r="AU183" s="17">
        <f>IF(AND(TRIM($A183)&lt;&gt;"",ISNUMBER(G183)),IF(AND(LEFT($A183,6)="SAMPLE",Config!$B$19&lt;&gt;"Y"),0,1),0)</f>
        <v/>
      </c>
      <c r="AV183" s="17">
        <f>IF(AU183=1,IF(COUNTIFS($A$2:$A$201,$A183,$AU$2:$AU$201,1,$G$2:$G$201,"&lt;"&amp;G183)+COUNTIFS($A$2:$A$201,$A183,$AU$2:$AU$201,1,$G$2:$G$201,G183,$AT$2:$AT$201,"&lt;"&amp;AT183)=0,1,0),0)</f>
        <v/>
      </c>
      <c r="AW183" s="17">
        <f>IF(AU183=1,IF(COUNTIFS($A$2:$A$201,$A183,$AU$2:$AU$201,1,$G$2:$G$201,"&gt;"&amp;G183)+COUNTIFS($A$2:$A$201,$A183,$AU$2:$AU$201,1,$G$2:$G$201,G183,$AT$2:$AT$201,"&gt;"&amp;AT183)=0,1,0),0)</f>
        <v/>
      </c>
      <c r="AX183" s="17">
        <f>IF(AND(AU183=1,AN183="Y",Z183="Y",TRIM(AD183)&lt;&gt;""),1,0)</f>
        <v/>
      </c>
      <c r="AY183" s="17">
        <f>IF(AX183=1,IF(COUNTIFS($A$2:$A$201,$A183,$AX$2:$AX$201,1,$G$2:$G$201,"&lt;"&amp;G183)+COUNTIFS($A$2:$A$201,$A183,$AX$2:$AX$201,1,$G$2:$G$201,G183,$AT$2:$AT$201,"&lt;"&amp;AT183)=0,1,0),0)</f>
        <v/>
      </c>
      <c r="AZ183" s="17">
        <f>IF(AND(AU183=1,AN183="Y",AX183=0),1,0)</f>
        <v/>
      </c>
      <c r="BA183" s="17">
        <f>IF(AND(AU183=1,ISNUMBER(V183)),1,0)</f>
        <v/>
      </c>
      <c r="BB183" s="17">
        <f>IF(BA183=1,IF(COUNTIFS($A$2:$A$201,$A183,$BA$2:$BA$201,1,$G$2:$G$201,"&lt;"&amp;G183)+COUNTIFS($A$2:$A$201,$A183,$BA$2:$BA$201,1,$G$2:$G$201,G183,$AT$2:$AT$201,"&lt;"&amp;AT183)=0,1,0),0)</f>
        <v/>
      </c>
      <c r="BC183" s="17">
        <f>IF(AND(BB183=1,G183&lt;=Config!$B$6),V183,"")</f>
        <v/>
      </c>
      <c r="BD183" s="17">
        <f>IF(AND(BB183=1,G183&lt;=Config!$B$7),V183,"")</f>
        <v/>
      </c>
      <c r="BE183" s="17">
        <f>IF(AND(BB183=1,G183&lt;=Config!$B$8),V183,"")</f>
        <v/>
      </c>
      <c r="BF183" s="17">
        <f>IF(AND(BB183=1,G183&lt;=Config!$B$5),V183,"")</f>
        <v/>
      </c>
      <c r="BG183" s="17">
        <f>IF(BW183=1,IF(COUNTIFS($A$2:$A$201,$A183,$BW$2:$BW$201,1,$G$2:$G$201,"&lt;"&amp;G183)+COUNTIFS($A$2:$A$201,$A183,$BW$2:$BW$201,1,$G$2:$G$201,G183,$AT$2:$AT$201,"&lt;"&amp;AT183)=0,1,0),0)</f>
        <v/>
      </c>
      <c r="BH183" s="17">
        <f>IF(AND(AU183=1,ISNUMBER(K183)),1,0)</f>
        <v/>
      </c>
      <c r="BI183" s="17">
        <f>IF(BH183=1,IF(COUNTIFS($A$2:$A$201,$A183,$BH$2:$BH$201,1,$G$2:$G$201,"&lt;"&amp;G183)+COUNTIFS($A$2:$A$201,$A183,$BH$2:$BH$201,1,$G$2:$G$201,G183,$AT$2:$AT$201,"&lt;"&amp;AT183)=0,1,0),0)</f>
        <v/>
      </c>
      <c r="BJ183" s="17">
        <f>IF(AND(BI183=1,G183&lt;=Config!$B$5),K183,"")</f>
        <v/>
      </c>
      <c r="BK183" s="17">
        <f>IF(AND(AU183=1,OR(TRIM(U183)&lt;&gt;"",ISNUMBER(V183))),1,0)</f>
        <v/>
      </c>
      <c r="BL183" s="17">
        <f>IF(BK183=1,IF(COUNTIFS($A$2:$A$201,$A183,$BK$2:$BK$201,1,$G$2:$G$201,"&lt;"&amp;G183)+COUNTIFS($A$2:$A$201,$A183,$BK$2:$BK$201,1,$G$2:$G$201,G183,$AT$2:$AT$201,"&lt;"&amp;AT183)=0,1,0),0)</f>
        <v/>
      </c>
      <c r="BM183" s="17">
        <f>IF(BL183=1,$A183,"")</f>
        <v/>
      </c>
      <c r="BN183" s="17">
        <f>IF(AND(AU183=1,T183="Y",TRIM(U183)=""),1,0)</f>
        <v/>
      </c>
      <c r="BO183" s="17">
        <f>IF(AU183=1,AJ183&amp;"","")</f>
        <v/>
      </c>
      <c r="BP183" s="17">
        <f>IF(AU183=1,AK183&amp;"","")</f>
        <v/>
      </c>
      <c r="BQ183" s="17">
        <f>IF(AU183=1,AL183&amp;"","")</f>
        <v/>
      </c>
      <c r="BR183" s="17">
        <f>IF(AND(AU183=1,ISNUMBER(AP183),G183&lt;=Config!$B$5),AP183,"")</f>
        <v/>
      </c>
      <c r="BS183" s="17">
        <f>IF(AU183=1,IF(COUNTIFS($A$2:$A$201,$A183,$AN$2:$AN$201,"Y",$AU$2:$AU$201,1)&gt;0,"Y","N"),"")</f>
        <v/>
      </c>
      <c r="BT183" s="17">
        <f>IF(AND(AU183=1,AN183="maybe"),1,0)</f>
        <v/>
      </c>
      <c r="BU183" s="17">
        <f>IF(BT183=1,IF(COUNTIFS($A$2:$A$201,$A183,$BT$2:$BT$201,1,$G$2:$G$201,"&lt;"&amp;G183)+COUNTIFS($A$2:$A$201,$A183,$BT$2:$BT$201,1,$G$2:$G$201,G183,$AT$2:$AT$201,"&lt;"&amp;AT183)=0,1,0),0)</f>
        <v/>
      </c>
      <c r="BV183" s="17">
        <f>IF(AND(AU183=1,AN183="Y"),IF(COUNTIFS($A$2:$A$201,$A183,$AN$2:$AN$201,"Y",$AU$2:$AU$201,1,$G$2:$G$201,"&lt;"&amp;G183)+COUNTIFS($A$2:$A$201,$A183,$AN$2:$AN$201,"Y",$AU$2:$AU$201,1,$G$2:$G$201,G183,$AT$2:$AT$201,"&lt;"&amp;AT183)=0,1,0),0)</f>
        <v/>
      </c>
      <c r="BW183" s="17">
        <f>IF(AND(BA183=1,N(V183)&gt;=Config!$B$15),1,0)</f>
        <v/>
      </c>
      <c r="BX183" s="17">
        <f>IF(AU183=1,IFERROR(MATCH($A183,INDEX(Clay_Offices!$A$2:$FZ$601,0,Sync!$C$5),0),""),"")</f>
        <v/>
      </c>
      <c r="BY183" s="17">
        <f>IF(BX183="","",IFERROR(INDEX(Clay_Offices!$A$2:$FZ$601,BX183,Sync!$C$7)&amp;"",""))</f>
        <v/>
      </c>
      <c r="BZ183" s="17">
        <f>IF(BY183="","",IFERROR(INDEX(Lists!$J$2:$J$15,MATCH(BY183,Lists!$I$2:$I$15,0)),""))</f>
        <v/>
      </c>
      <c r="CA183" s="17">
        <f>IF(BX183="","",IFERROR(INDEX(Clay_Offices!$A$2:$FZ$601,BX183,Sync!$C$17)&amp;"",""))</f>
        <v/>
      </c>
      <c r="CB183" s="23">
        <f>IF(BX183="","",IFERROR(N(INDEX(Clay_Offices!$A$2:$FZ$601,BX183,Sync!$C$16)),0))</f>
        <v/>
      </c>
    </row>
    <row r="184">
      <c r="G184" s="22" t="n"/>
      <c r="AS184" s="17">
        <f>IF(TRIM($A184)="","",IF(AND(LEFT($A184,6)="SAMPLE",Config!$B$19&lt;&gt;"Y"),"",IF(NOT(ISNUMBER(G184)),"call_date is blank or not a date",IF(Sync!$C$5="","Clay paste is empty or has no row_id column: paste the Clay export on Clay_Offices",IF(BX184="","row_id not found in the Clay paste: add the Clay row or fix the row_id",IF(AND(ISNUMBER(BZ184),BZ184&gt;=1,BZ184&lt;=5),"Clay status is "&amp;BY184&amp;": set call_done or later",IF(AND(AW184=1,CA184&lt;&gt;BS184),"Clay yes_in_principle should be "&amp;BS184,IF(AND(AW184=1,CB184&lt;&gt;G184),"Clay call_date should be "&amp;TEXT(G184,"yyyy-mm-dd"),""))))))))</f>
        <v/>
      </c>
      <c r="AT184" s="17">
        <f>ROW()</f>
        <v/>
      </c>
      <c r="AU184" s="17">
        <f>IF(AND(TRIM($A184)&lt;&gt;"",ISNUMBER(G184)),IF(AND(LEFT($A184,6)="SAMPLE",Config!$B$19&lt;&gt;"Y"),0,1),0)</f>
        <v/>
      </c>
      <c r="AV184" s="17">
        <f>IF(AU184=1,IF(COUNTIFS($A$2:$A$201,$A184,$AU$2:$AU$201,1,$G$2:$G$201,"&lt;"&amp;G184)+COUNTIFS($A$2:$A$201,$A184,$AU$2:$AU$201,1,$G$2:$G$201,G184,$AT$2:$AT$201,"&lt;"&amp;AT184)=0,1,0),0)</f>
        <v/>
      </c>
      <c r="AW184" s="17">
        <f>IF(AU184=1,IF(COUNTIFS($A$2:$A$201,$A184,$AU$2:$AU$201,1,$G$2:$G$201,"&gt;"&amp;G184)+COUNTIFS($A$2:$A$201,$A184,$AU$2:$AU$201,1,$G$2:$G$201,G184,$AT$2:$AT$201,"&gt;"&amp;AT184)=0,1,0),0)</f>
        <v/>
      </c>
      <c r="AX184" s="17">
        <f>IF(AND(AU184=1,AN184="Y",Z184="Y",TRIM(AD184)&lt;&gt;""),1,0)</f>
        <v/>
      </c>
      <c r="AY184" s="17">
        <f>IF(AX184=1,IF(COUNTIFS($A$2:$A$201,$A184,$AX$2:$AX$201,1,$G$2:$G$201,"&lt;"&amp;G184)+COUNTIFS($A$2:$A$201,$A184,$AX$2:$AX$201,1,$G$2:$G$201,G184,$AT$2:$AT$201,"&lt;"&amp;AT184)=0,1,0),0)</f>
        <v/>
      </c>
      <c r="AZ184" s="17">
        <f>IF(AND(AU184=1,AN184="Y",AX184=0),1,0)</f>
        <v/>
      </c>
      <c r="BA184" s="17">
        <f>IF(AND(AU184=1,ISNUMBER(V184)),1,0)</f>
        <v/>
      </c>
      <c r="BB184" s="17">
        <f>IF(BA184=1,IF(COUNTIFS($A$2:$A$201,$A184,$BA$2:$BA$201,1,$G$2:$G$201,"&lt;"&amp;G184)+COUNTIFS($A$2:$A$201,$A184,$BA$2:$BA$201,1,$G$2:$G$201,G184,$AT$2:$AT$201,"&lt;"&amp;AT184)=0,1,0),0)</f>
        <v/>
      </c>
      <c r="BC184" s="17">
        <f>IF(AND(BB184=1,G184&lt;=Config!$B$6),V184,"")</f>
        <v/>
      </c>
      <c r="BD184" s="17">
        <f>IF(AND(BB184=1,G184&lt;=Config!$B$7),V184,"")</f>
        <v/>
      </c>
      <c r="BE184" s="17">
        <f>IF(AND(BB184=1,G184&lt;=Config!$B$8),V184,"")</f>
        <v/>
      </c>
      <c r="BF184" s="17">
        <f>IF(AND(BB184=1,G184&lt;=Config!$B$5),V184,"")</f>
        <v/>
      </c>
      <c r="BG184" s="17">
        <f>IF(BW184=1,IF(COUNTIFS($A$2:$A$201,$A184,$BW$2:$BW$201,1,$G$2:$G$201,"&lt;"&amp;G184)+COUNTIFS($A$2:$A$201,$A184,$BW$2:$BW$201,1,$G$2:$G$201,G184,$AT$2:$AT$201,"&lt;"&amp;AT184)=0,1,0),0)</f>
        <v/>
      </c>
      <c r="BH184" s="17">
        <f>IF(AND(AU184=1,ISNUMBER(K184)),1,0)</f>
        <v/>
      </c>
      <c r="BI184" s="17">
        <f>IF(BH184=1,IF(COUNTIFS($A$2:$A$201,$A184,$BH$2:$BH$201,1,$G$2:$G$201,"&lt;"&amp;G184)+COUNTIFS($A$2:$A$201,$A184,$BH$2:$BH$201,1,$G$2:$G$201,G184,$AT$2:$AT$201,"&lt;"&amp;AT184)=0,1,0),0)</f>
        <v/>
      </c>
      <c r="BJ184" s="17">
        <f>IF(AND(BI184=1,G184&lt;=Config!$B$5),K184,"")</f>
        <v/>
      </c>
      <c r="BK184" s="17">
        <f>IF(AND(AU184=1,OR(TRIM(U184)&lt;&gt;"",ISNUMBER(V184))),1,0)</f>
        <v/>
      </c>
      <c r="BL184" s="17">
        <f>IF(BK184=1,IF(COUNTIFS($A$2:$A$201,$A184,$BK$2:$BK$201,1,$G$2:$G$201,"&lt;"&amp;G184)+COUNTIFS($A$2:$A$201,$A184,$BK$2:$BK$201,1,$G$2:$G$201,G184,$AT$2:$AT$201,"&lt;"&amp;AT184)=0,1,0),0)</f>
        <v/>
      </c>
      <c r="BM184" s="17">
        <f>IF(BL184=1,$A184,"")</f>
        <v/>
      </c>
      <c r="BN184" s="17">
        <f>IF(AND(AU184=1,T184="Y",TRIM(U184)=""),1,0)</f>
        <v/>
      </c>
      <c r="BO184" s="17">
        <f>IF(AU184=1,AJ184&amp;"","")</f>
        <v/>
      </c>
      <c r="BP184" s="17">
        <f>IF(AU184=1,AK184&amp;"","")</f>
        <v/>
      </c>
      <c r="BQ184" s="17">
        <f>IF(AU184=1,AL184&amp;"","")</f>
        <v/>
      </c>
      <c r="BR184" s="17">
        <f>IF(AND(AU184=1,ISNUMBER(AP184),G184&lt;=Config!$B$5),AP184,"")</f>
        <v/>
      </c>
      <c r="BS184" s="17">
        <f>IF(AU184=1,IF(COUNTIFS($A$2:$A$201,$A184,$AN$2:$AN$201,"Y",$AU$2:$AU$201,1)&gt;0,"Y","N"),"")</f>
        <v/>
      </c>
      <c r="BT184" s="17">
        <f>IF(AND(AU184=1,AN184="maybe"),1,0)</f>
        <v/>
      </c>
      <c r="BU184" s="17">
        <f>IF(BT184=1,IF(COUNTIFS($A$2:$A$201,$A184,$BT$2:$BT$201,1,$G$2:$G$201,"&lt;"&amp;G184)+COUNTIFS($A$2:$A$201,$A184,$BT$2:$BT$201,1,$G$2:$G$201,G184,$AT$2:$AT$201,"&lt;"&amp;AT184)=0,1,0),0)</f>
        <v/>
      </c>
      <c r="BV184" s="17">
        <f>IF(AND(AU184=1,AN184="Y"),IF(COUNTIFS($A$2:$A$201,$A184,$AN$2:$AN$201,"Y",$AU$2:$AU$201,1,$G$2:$G$201,"&lt;"&amp;G184)+COUNTIFS($A$2:$A$201,$A184,$AN$2:$AN$201,"Y",$AU$2:$AU$201,1,$G$2:$G$201,G184,$AT$2:$AT$201,"&lt;"&amp;AT184)=0,1,0),0)</f>
        <v/>
      </c>
      <c r="BW184" s="17">
        <f>IF(AND(BA184=1,N(V184)&gt;=Config!$B$15),1,0)</f>
        <v/>
      </c>
      <c r="BX184" s="17">
        <f>IF(AU184=1,IFERROR(MATCH($A184,INDEX(Clay_Offices!$A$2:$FZ$601,0,Sync!$C$5),0),""),"")</f>
        <v/>
      </c>
      <c r="BY184" s="17">
        <f>IF(BX184="","",IFERROR(INDEX(Clay_Offices!$A$2:$FZ$601,BX184,Sync!$C$7)&amp;"",""))</f>
        <v/>
      </c>
      <c r="BZ184" s="17">
        <f>IF(BY184="","",IFERROR(INDEX(Lists!$J$2:$J$15,MATCH(BY184,Lists!$I$2:$I$15,0)),""))</f>
        <v/>
      </c>
      <c r="CA184" s="17">
        <f>IF(BX184="","",IFERROR(INDEX(Clay_Offices!$A$2:$FZ$601,BX184,Sync!$C$17)&amp;"",""))</f>
        <v/>
      </c>
      <c r="CB184" s="23">
        <f>IF(BX184="","",IFERROR(N(INDEX(Clay_Offices!$A$2:$FZ$601,BX184,Sync!$C$16)),0))</f>
        <v/>
      </c>
    </row>
    <row r="185">
      <c r="G185" s="22" t="n"/>
      <c r="AS185" s="17">
        <f>IF(TRIM($A185)="","",IF(AND(LEFT($A185,6)="SAMPLE",Config!$B$19&lt;&gt;"Y"),"",IF(NOT(ISNUMBER(G185)),"call_date is blank or not a date",IF(Sync!$C$5="","Clay paste is empty or has no row_id column: paste the Clay export on Clay_Offices",IF(BX185="","row_id not found in the Clay paste: add the Clay row or fix the row_id",IF(AND(ISNUMBER(BZ185),BZ185&gt;=1,BZ185&lt;=5),"Clay status is "&amp;BY185&amp;": set call_done or later",IF(AND(AW185=1,CA185&lt;&gt;BS185),"Clay yes_in_principle should be "&amp;BS185,IF(AND(AW185=1,CB185&lt;&gt;G185),"Clay call_date should be "&amp;TEXT(G185,"yyyy-mm-dd"),""))))))))</f>
        <v/>
      </c>
      <c r="AT185" s="17">
        <f>ROW()</f>
        <v/>
      </c>
      <c r="AU185" s="17">
        <f>IF(AND(TRIM($A185)&lt;&gt;"",ISNUMBER(G185)),IF(AND(LEFT($A185,6)="SAMPLE",Config!$B$19&lt;&gt;"Y"),0,1),0)</f>
        <v/>
      </c>
      <c r="AV185" s="17">
        <f>IF(AU185=1,IF(COUNTIFS($A$2:$A$201,$A185,$AU$2:$AU$201,1,$G$2:$G$201,"&lt;"&amp;G185)+COUNTIFS($A$2:$A$201,$A185,$AU$2:$AU$201,1,$G$2:$G$201,G185,$AT$2:$AT$201,"&lt;"&amp;AT185)=0,1,0),0)</f>
        <v/>
      </c>
      <c r="AW185" s="17">
        <f>IF(AU185=1,IF(COUNTIFS($A$2:$A$201,$A185,$AU$2:$AU$201,1,$G$2:$G$201,"&gt;"&amp;G185)+COUNTIFS($A$2:$A$201,$A185,$AU$2:$AU$201,1,$G$2:$G$201,G185,$AT$2:$AT$201,"&gt;"&amp;AT185)=0,1,0),0)</f>
        <v/>
      </c>
      <c r="AX185" s="17">
        <f>IF(AND(AU185=1,AN185="Y",Z185="Y",TRIM(AD185)&lt;&gt;""),1,0)</f>
        <v/>
      </c>
      <c r="AY185" s="17">
        <f>IF(AX185=1,IF(COUNTIFS($A$2:$A$201,$A185,$AX$2:$AX$201,1,$G$2:$G$201,"&lt;"&amp;G185)+COUNTIFS($A$2:$A$201,$A185,$AX$2:$AX$201,1,$G$2:$G$201,G185,$AT$2:$AT$201,"&lt;"&amp;AT185)=0,1,0),0)</f>
        <v/>
      </c>
      <c r="AZ185" s="17">
        <f>IF(AND(AU185=1,AN185="Y",AX185=0),1,0)</f>
        <v/>
      </c>
      <c r="BA185" s="17">
        <f>IF(AND(AU185=1,ISNUMBER(V185)),1,0)</f>
        <v/>
      </c>
      <c r="BB185" s="17">
        <f>IF(BA185=1,IF(COUNTIFS($A$2:$A$201,$A185,$BA$2:$BA$201,1,$G$2:$G$201,"&lt;"&amp;G185)+COUNTIFS($A$2:$A$201,$A185,$BA$2:$BA$201,1,$G$2:$G$201,G185,$AT$2:$AT$201,"&lt;"&amp;AT185)=0,1,0),0)</f>
        <v/>
      </c>
      <c r="BC185" s="17">
        <f>IF(AND(BB185=1,G185&lt;=Config!$B$6),V185,"")</f>
        <v/>
      </c>
      <c r="BD185" s="17">
        <f>IF(AND(BB185=1,G185&lt;=Config!$B$7),V185,"")</f>
        <v/>
      </c>
      <c r="BE185" s="17">
        <f>IF(AND(BB185=1,G185&lt;=Config!$B$8),V185,"")</f>
        <v/>
      </c>
      <c r="BF185" s="17">
        <f>IF(AND(BB185=1,G185&lt;=Config!$B$5),V185,"")</f>
        <v/>
      </c>
      <c r="BG185" s="17">
        <f>IF(BW185=1,IF(COUNTIFS($A$2:$A$201,$A185,$BW$2:$BW$201,1,$G$2:$G$201,"&lt;"&amp;G185)+COUNTIFS($A$2:$A$201,$A185,$BW$2:$BW$201,1,$G$2:$G$201,G185,$AT$2:$AT$201,"&lt;"&amp;AT185)=0,1,0),0)</f>
        <v/>
      </c>
      <c r="BH185" s="17">
        <f>IF(AND(AU185=1,ISNUMBER(K185)),1,0)</f>
        <v/>
      </c>
      <c r="BI185" s="17">
        <f>IF(BH185=1,IF(COUNTIFS($A$2:$A$201,$A185,$BH$2:$BH$201,1,$G$2:$G$201,"&lt;"&amp;G185)+COUNTIFS($A$2:$A$201,$A185,$BH$2:$BH$201,1,$G$2:$G$201,G185,$AT$2:$AT$201,"&lt;"&amp;AT185)=0,1,0),0)</f>
        <v/>
      </c>
      <c r="BJ185" s="17">
        <f>IF(AND(BI185=1,G185&lt;=Config!$B$5),K185,"")</f>
        <v/>
      </c>
      <c r="BK185" s="17">
        <f>IF(AND(AU185=1,OR(TRIM(U185)&lt;&gt;"",ISNUMBER(V185))),1,0)</f>
        <v/>
      </c>
      <c r="BL185" s="17">
        <f>IF(BK185=1,IF(COUNTIFS($A$2:$A$201,$A185,$BK$2:$BK$201,1,$G$2:$G$201,"&lt;"&amp;G185)+COUNTIFS($A$2:$A$201,$A185,$BK$2:$BK$201,1,$G$2:$G$201,G185,$AT$2:$AT$201,"&lt;"&amp;AT185)=0,1,0),0)</f>
        <v/>
      </c>
      <c r="BM185" s="17">
        <f>IF(BL185=1,$A185,"")</f>
        <v/>
      </c>
      <c r="BN185" s="17">
        <f>IF(AND(AU185=1,T185="Y",TRIM(U185)=""),1,0)</f>
        <v/>
      </c>
      <c r="BO185" s="17">
        <f>IF(AU185=1,AJ185&amp;"","")</f>
        <v/>
      </c>
      <c r="BP185" s="17">
        <f>IF(AU185=1,AK185&amp;"","")</f>
        <v/>
      </c>
      <c r="BQ185" s="17">
        <f>IF(AU185=1,AL185&amp;"","")</f>
        <v/>
      </c>
      <c r="BR185" s="17">
        <f>IF(AND(AU185=1,ISNUMBER(AP185),G185&lt;=Config!$B$5),AP185,"")</f>
        <v/>
      </c>
      <c r="BS185" s="17">
        <f>IF(AU185=1,IF(COUNTIFS($A$2:$A$201,$A185,$AN$2:$AN$201,"Y",$AU$2:$AU$201,1)&gt;0,"Y","N"),"")</f>
        <v/>
      </c>
      <c r="BT185" s="17">
        <f>IF(AND(AU185=1,AN185="maybe"),1,0)</f>
        <v/>
      </c>
      <c r="BU185" s="17">
        <f>IF(BT185=1,IF(COUNTIFS($A$2:$A$201,$A185,$BT$2:$BT$201,1,$G$2:$G$201,"&lt;"&amp;G185)+COUNTIFS($A$2:$A$201,$A185,$BT$2:$BT$201,1,$G$2:$G$201,G185,$AT$2:$AT$201,"&lt;"&amp;AT185)=0,1,0),0)</f>
        <v/>
      </c>
      <c r="BV185" s="17">
        <f>IF(AND(AU185=1,AN185="Y"),IF(COUNTIFS($A$2:$A$201,$A185,$AN$2:$AN$201,"Y",$AU$2:$AU$201,1,$G$2:$G$201,"&lt;"&amp;G185)+COUNTIFS($A$2:$A$201,$A185,$AN$2:$AN$201,"Y",$AU$2:$AU$201,1,$G$2:$G$201,G185,$AT$2:$AT$201,"&lt;"&amp;AT185)=0,1,0),0)</f>
        <v/>
      </c>
      <c r="BW185" s="17">
        <f>IF(AND(BA185=1,N(V185)&gt;=Config!$B$15),1,0)</f>
        <v/>
      </c>
      <c r="BX185" s="17">
        <f>IF(AU185=1,IFERROR(MATCH($A185,INDEX(Clay_Offices!$A$2:$FZ$601,0,Sync!$C$5),0),""),"")</f>
        <v/>
      </c>
      <c r="BY185" s="17">
        <f>IF(BX185="","",IFERROR(INDEX(Clay_Offices!$A$2:$FZ$601,BX185,Sync!$C$7)&amp;"",""))</f>
        <v/>
      </c>
      <c r="BZ185" s="17">
        <f>IF(BY185="","",IFERROR(INDEX(Lists!$J$2:$J$15,MATCH(BY185,Lists!$I$2:$I$15,0)),""))</f>
        <v/>
      </c>
      <c r="CA185" s="17">
        <f>IF(BX185="","",IFERROR(INDEX(Clay_Offices!$A$2:$FZ$601,BX185,Sync!$C$17)&amp;"",""))</f>
        <v/>
      </c>
      <c r="CB185" s="23">
        <f>IF(BX185="","",IFERROR(N(INDEX(Clay_Offices!$A$2:$FZ$601,BX185,Sync!$C$16)),0))</f>
        <v/>
      </c>
    </row>
    <row r="186">
      <c r="G186" s="22" t="n"/>
      <c r="AS186" s="17">
        <f>IF(TRIM($A186)="","",IF(AND(LEFT($A186,6)="SAMPLE",Config!$B$19&lt;&gt;"Y"),"",IF(NOT(ISNUMBER(G186)),"call_date is blank or not a date",IF(Sync!$C$5="","Clay paste is empty or has no row_id column: paste the Clay export on Clay_Offices",IF(BX186="","row_id not found in the Clay paste: add the Clay row or fix the row_id",IF(AND(ISNUMBER(BZ186),BZ186&gt;=1,BZ186&lt;=5),"Clay status is "&amp;BY186&amp;": set call_done or later",IF(AND(AW186=1,CA186&lt;&gt;BS186),"Clay yes_in_principle should be "&amp;BS186,IF(AND(AW186=1,CB186&lt;&gt;G186),"Clay call_date should be "&amp;TEXT(G186,"yyyy-mm-dd"),""))))))))</f>
        <v/>
      </c>
      <c r="AT186" s="17">
        <f>ROW()</f>
        <v/>
      </c>
      <c r="AU186" s="17">
        <f>IF(AND(TRIM($A186)&lt;&gt;"",ISNUMBER(G186)),IF(AND(LEFT($A186,6)="SAMPLE",Config!$B$19&lt;&gt;"Y"),0,1),0)</f>
        <v/>
      </c>
      <c r="AV186" s="17">
        <f>IF(AU186=1,IF(COUNTIFS($A$2:$A$201,$A186,$AU$2:$AU$201,1,$G$2:$G$201,"&lt;"&amp;G186)+COUNTIFS($A$2:$A$201,$A186,$AU$2:$AU$201,1,$G$2:$G$201,G186,$AT$2:$AT$201,"&lt;"&amp;AT186)=0,1,0),0)</f>
        <v/>
      </c>
      <c r="AW186" s="17">
        <f>IF(AU186=1,IF(COUNTIFS($A$2:$A$201,$A186,$AU$2:$AU$201,1,$G$2:$G$201,"&gt;"&amp;G186)+COUNTIFS($A$2:$A$201,$A186,$AU$2:$AU$201,1,$G$2:$G$201,G186,$AT$2:$AT$201,"&gt;"&amp;AT186)=0,1,0),0)</f>
        <v/>
      </c>
      <c r="AX186" s="17">
        <f>IF(AND(AU186=1,AN186="Y",Z186="Y",TRIM(AD186)&lt;&gt;""),1,0)</f>
        <v/>
      </c>
      <c r="AY186" s="17">
        <f>IF(AX186=1,IF(COUNTIFS($A$2:$A$201,$A186,$AX$2:$AX$201,1,$G$2:$G$201,"&lt;"&amp;G186)+COUNTIFS($A$2:$A$201,$A186,$AX$2:$AX$201,1,$G$2:$G$201,G186,$AT$2:$AT$201,"&lt;"&amp;AT186)=0,1,0),0)</f>
        <v/>
      </c>
      <c r="AZ186" s="17">
        <f>IF(AND(AU186=1,AN186="Y",AX186=0),1,0)</f>
        <v/>
      </c>
      <c r="BA186" s="17">
        <f>IF(AND(AU186=1,ISNUMBER(V186)),1,0)</f>
        <v/>
      </c>
      <c r="BB186" s="17">
        <f>IF(BA186=1,IF(COUNTIFS($A$2:$A$201,$A186,$BA$2:$BA$201,1,$G$2:$G$201,"&lt;"&amp;G186)+COUNTIFS($A$2:$A$201,$A186,$BA$2:$BA$201,1,$G$2:$G$201,G186,$AT$2:$AT$201,"&lt;"&amp;AT186)=0,1,0),0)</f>
        <v/>
      </c>
      <c r="BC186" s="17">
        <f>IF(AND(BB186=1,G186&lt;=Config!$B$6),V186,"")</f>
        <v/>
      </c>
      <c r="BD186" s="17">
        <f>IF(AND(BB186=1,G186&lt;=Config!$B$7),V186,"")</f>
        <v/>
      </c>
      <c r="BE186" s="17">
        <f>IF(AND(BB186=1,G186&lt;=Config!$B$8),V186,"")</f>
        <v/>
      </c>
      <c r="BF186" s="17">
        <f>IF(AND(BB186=1,G186&lt;=Config!$B$5),V186,"")</f>
        <v/>
      </c>
      <c r="BG186" s="17">
        <f>IF(BW186=1,IF(COUNTIFS($A$2:$A$201,$A186,$BW$2:$BW$201,1,$G$2:$G$201,"&lt;"&amp;G186)+COUNTIFS($A$2:$A$201,$A186,$BW$2:$BW$201,1,$G$2:$G$201,G186,$AT$2:$AT$201,"&lt;"&amp;AT186)=0,1,0),0)</f>
        <v/>
      </c>
      <c r="BH186" s="17">
        <f>IF(AND(AU186=1,ISNUMBER(K186)),1,0)</f>
        <v/>
      </c>
      <c r="BI186" s="17">
        <f>IF(BH186=1,IF(COUNTIFS($A$2:$A$201,$A186,$BH$2:$BH$201,1,$G$2:$G$201,"&lt;"&amp;G186)+COUNTIFS($A$2:$A$201,$A186,$BH$2:$BH$201,1,$G$2:$G$201,G186,$AT$2:$AT$201,"&lt;"&amp;AT186)=0,1,0),0)</f>
        <v/>
      </c>
      <c r="BJ186" s="17">
        <f>IF(AND(BI186=1,G186&lt;=Config!$B$5),K186,"")</f>
        <v/>
      </c>
      <c r="BK186" s="17">
        <f>IF(AND(AU186=1,OR(TRIM(U186)&lt;&gt;"",ISNUMBER(V186))),1,0)</f>
        <v/>
      </c>
      <c r="BL186" s="17">
        <f>IF(BK186=1,IF(COUNTIFS($A$2:$A$201,$A186,$BK$2:$BK$201,1,$G$2:$G$201,"&lt;"&amp;G186)+COUNTIFS($A$2:$A$201,$A186,$BK$2:$BK$201,1,$G$2:$G$201,G186,$AT$2:$AT$201,"&lt;"&amp;AT186)=0,1,0),0)</f>
        <v/>
      </c>
      <c r="BM186" s="17">
        <f>IF(BL186=1,$A186,"")</f>
        <v/>
      </c>
      <c r="BN186" s="17">
        <f>IF(AND(AU186=1,T186="Y",TRIM(U186)=""),1,0)</f>
        <v/>
      </c>
      <c r="BO186" s="17">
        <f>IF(AU186=1,AJ186&amp;"","")</f>
        <v/>
      </c>
      <c r="BP186" s="17">
        <f>IF(AU186=1,AK186&amp;"","")</f>
        <v/>
      </c>
      <c r="BQ186" s="17">
        <f>IF(AU186=1,AL186&amp;"","")</f>
        <v/>
      </c>
      <c r="BR186" s="17">
        <f>IF(AND(AU186=1,ISNUMBER(AP186),G186&lt;=Config!$B$5),AP186,"")</f>
        <v/>
      </c>
      <c r="BS186" s="17">
        <f>IF(AU186=1,IF(COUNTIFS($A$2:$A$201,$A186,$AN$2:$AN$201,"Y",$AU$2:$AU$201,1)&gt;0,"Y","N"),"")</f>
        <v/>
      </c>
      <c r="BT186" s="17">
        <f>IF(AND(AU186=1,AN186="maybe"),1,0)</f>
        <v/>
      </c>
      <c r="BU186" s="17">
        <f>IF(BT186=1,IF(COUNTIFS($A$2:$A$201,$A186,$BT$2:$BT$201,1,$G$2:$G$201,"&lt;"&amp;G186)+COUNTIFS($A$2:$A$201,$A186,$BT$2:$BT$201,1,$G$2:$G$201,G186,$AT$2:$AT$201,"&lt;"&amp;AT186)=0,1,0),0)</f>
        <v/>
      </c>
      <c r="BV186" s="17">
        <f>IF(AND(AU186=1,AN186="Y"),IF(COUNTIFS($A$2:$A$201,$A186,$AN$2:$AN$201,"Y",$AU$2:$AU$201,1,$G$2:$G$201,"&lt;"&amp;G186)+COUNTIFS($A$2:$A$201,$A186,$AN$2:$AN$201,"Y",$AU$2:$AU$201,1,$G$2:$G$201,G186,$AT$2:$AT$201,"&lt;"&amp;AT186)=0,1,0),0)</f>
        <v/>
      </c>
      <c r="BW186" s="17">
        <f>IF(AND(BA186=1,N(V186)&gt;=Config!$B$15),1,0)</f>
        <v/>
      </c>
      <c r="BX186" s="17">
        <f>IF(AU186=1,IFERROR(MATCH($A186,INDEX(Clay_Offices!$A$2:$FZ$601,0,Sync!$C$5),0),""),"")</f>
        <v/>
      </c>
      <c r="BY186" s="17">
        <f>IF(BX186="","",IFERROR(INDEX(Clay_Offices!$A$2:$FZ$601,BX186,Sync!$C$7)&amp;"",""))</f>
        <v/>
      </c>
      <c r="BZ186" s="17">
        <f>IF(BY186="","",IFERROR(INDEX(Lists!$J$2:$J$15,MATCH(BY186,Lists!$I$2:$I$15,0)),""))</f>
        <v/>
      </c>
      <c r="CA186" s="17">
        <f>IF(BX186="","",IFERROR(INDEX(Clay_Offices!$A$2:$FZ$601,BX186,Sync!$C$17)&amp;"",""))</f>
        <v/>
      </c>
      <c r="CB186" s="23">
        <f>IF(BX186="","",IFERROR(N(INDEX(Clay_Offices!$A$2:$FZ$601,BX186,Sync!$C$16)),0))</f>
        <v/>
      </c>
    </row>
    <row r="187">
      <c r="G187" s="22" t="n"/>
      <c r="AS187" s="17">
        <f>IF(TRIM($A187)="","",IF(AND(LEFT($A187,6)="SAMPLE",Config!$B$19&lt;&gt;"Y"),"",IF(NOT(ISNUMBER(G187)),"call_date is blank or not a date",IF(Sync!$C$5="","Clay paste is empty or has no row_id column: paste the Clay export on Clay_Offices",IF(BX187="","row_id not found in the Clay paste: add the Clay row or fix the row_id",IF(AND(ISNUMBER(BZ187),BZ187&gt;=1,BZ187&lt;=5),"Clay status is "&amp;BY187&amp;": set call_done or later",IF(AND(AW187=1,CA187&lt;&gt;BS187),"Clay yes_in_principle should be "&amp;BS187,IF(AND(AW187=1,CB187&lt;&gt;G187),"Clay call_date should be "&amp;TEXT(G187,"yyyy-mm-dd"),""))))))))</f>
        <v/>
      </c>
      <c r="AT187" s="17">
        <f>ROW()</f>
        <v/>
      </c>
      <c r="AU187" s="17">
        <f>IF(AND(TRIM($A187)&lt;&gt;"",ISNUMBER(G187)),IF(AND(LEFT($A187,6)="SAMPLE",Config!$B$19&lt;&gt;"Y"),0,1),0)</f>
        <v/>
      </c>
      <c r="AV187" s="17">
        <f>IF(AU187=1,IF(COUNTIFS($A$2:$A$201,$A187,$AU$2:$AU$201,1,$G$2:$G$201,"&lt;"&amp;G187)+COUNTIFS($A$2:$A$201,$A187,$AU$2:$AU$201,1,$G$2:$G$201,G187,$AT$2:$AT$201,"&lt;"&amp;AT187)=0,1,0),0)</f>
        <v/>
      </c>
      <c r="AW187" s="17">
        <f>IF(AU187=1,IF(COUNTIFS($A$2:$A$201,$A187,$AU$2:$AU$201,1,$G$2:$G$201,"&gt;"&amp;G187)+COUNTIFS($A$2:$A$201,$A187,$AU$2:$AU$201,1,$G$2:$G$201,G187,$AT$2:$AT$201,"&gt;"&amp;AT187)=0,1,0),0)</f>
        <v/>
      </c>
      <c r="AX187" s="17">
        <f>IF(AND(AU187=1,AN187="Y",Z187="Y",TRIM(AD187)&lt;&gt;""),1,0)</f>
        <v/>
      </c>
      <c r="AY187" s="17">
        <f>IF(AX187=1,IF(COUNTIFS($A$2:$A$201,$A187,$AX$2:$AX$201,1,$G$2:$G$201,"&lt;"&amp;G187)+COUNTIFS($A$2:$A$201,$A187,$AX$2:$AX$201,1,$G$2:$G$201,G187,$AT$2:$AT$201,"&lt;"&amp;AT187)=0,1,0),0)</f>
        <v/>
      </c>
      <c r="AZ187" s="17">
        <f>IF(AND(AU187=1,AN187="Y",AX187=0),1,0)</f>
        <v/>
      </c>
      <c r="BA187" s="17">
        <f>IF(AND(AU187=1,ISNUMBER(V187)),1,0)</f>
        <v/>
      </c>
      <c r="BB187" s="17">
        <f>IF(BA187=1,IF(COUNTIFS($A$2:$A$201,$A187,$BA$2:$BA$201,1,$G$2:$G$201,"&lt;"&amp;G187)+COUNTIFS($A$2:$A$201,$A187,$BA$2:$BA$201,1,$G$2:$G$201,G187,$AT$2:$AT$201,"&lt;"&amp;AT187)=0,1,0),0)</f>
        <v/>
      </c>
      <c r="BC187" s="17">
        <f>IF(AND(BB187=1,G187&lt;=Config!$B$6),V187,"")</f>
        <v/>
      </c>
      <c r="BD187" s="17">
        <f>IF(AND(BB187=1,G187&lt;=Config!$B$7),V187,"")</f>
        <v/>
      </c>
      <c r="BE187" s="17">
        <f>IF(AND(BB187=1,G187&lt;=Config!$B$8),V187,"")</f>
        <v/>
      </c>
      <c r="BF187" s="17">
        <f>IF(AND(BB187=1,G187&lt;=Config!$B$5),V187,"")</f>
        <v/>
      </c>
      <c r="BG187" s="17">
        <f>IF(BW187=1,IF(COUNTIFS($A$2:$A$201,$A187,$BW$2:$BW$201,1,$G$2:$G$201,"&lt;"&amp;G187)+COUNTIFS($A$2:$A$201,$A187,$BW$2:$BW$201,1,$G$2:$G$201,G187,$AT$2:$AT$201,"&lt;"&amp;AT187)=0,1,0),0)</f>
        <v/>
      </c>
      <c r="BH187" s="17">
        <f>IF(AND(AU187=1,ISNUMBER(K187)),1,0)</f>
        <v/>
      </c>
      <c r="BI187" s="17">
        <f>IF(BH187=1,IF(COUNTIFS($A$2:$A$201,$A187,$BH$2:$BH$201,1,$G$2:$G$201,"&lt;"&amp;G187)+COUNTIFS($A$2:$A$201,$A187,$BH$2:$BH$201,1,$G$2:$G$201,G187,$AT$2:$AT$201,"&lt;"&amp;AT187)=0,1,0),0)</f>
        <v/>
      </c>
      <c r="BJ187" s="17">
        <f>IF(AND(BI187=1,G187&lt;=Config!$B$5),K187,"")</f>
        <v/>
      </c>
      <c r="BK187" s="17">
        <f>IF(AND(AU187=1,OR(TRIM(U187)&lt;&gt;"",ISNUMBER(V187))),1,0)</f>
        <v/>
      </c>
      <c r="BL187" s="17">
        <f>IF(BK187=1,IF(COUNTIFS($A$2:$A$201,$A187,$BK$2:$BK$201,1,$G$2:$G$201,"&lt;"&amp;G187)+COUNTIFS($A$2:$A$201,$A187,$BK$2:$BK$201,1,$G$2:$G$201,G187,$AT$2:$AT$201,"&lt;"&amp;AT187)=0,1,0),0)</f>
        <v/>
      </c>
      <c r="BM187" s="17">
        <f>IF(BL187=1,$A187,"")</f>
        <v/>
      </c>
      <c r="BN187" s="17">
        <f>IF(AND(AU187=1,T187="Y",TRIM(U187)=""),1,0)</f>
        <v/>
      </c>
      <c r="BO187" s="17">
        <f>IF(AU187=1,AJ187&amp;"","")</f>
        <v/>
      </c>
      <c r="BP187" s="17">
        <f>IF(AU187=1,AK187&amp;"","")</f>
        <v/>
      </c>
      <c r="BQ187" s="17">
        <f>IF(AU187=1,AL187&amp;"","")</f>
        <v/>
      </c>
      <c r="BR187" s="17">
        <f>IF(AND(AU187=1,ISNUMBER(AP187),G187&lt;=Config!$B$5),AP187,"")</f>
        <v/>
      </c>
      <c r="BS187" s="17">
        <f>IF(AU187=1,IF(COUNTIFS($A$2:$A$201,$A187,$AN$2:$AN$201,"Y",$AU$2:$AU$201,1)&gt;0,"Y","N"),"")</f>
        <v/>
      </c>
      <c r="BT187" s="17">
        <f>IF(AND(AU187=1,AN187="maybe"),1,0)</f>
        <v/>
      </c>
      <c r="BU187" s="17">
        <f>IF(BT187=1,IF(COUNTIFS($A$2:$A$201,$A187,$BT$2:$BT$201,1,$G$2:$G$201,"&lt;"&amp;G187)+COUNTIFS($A$2:$A$201,$A187,$BT$2:$BT$201,1,$G$2:$G$201,G187,$AT$2:$AT$201,"&lt;"&amp;AT187)=0,1,0),0)</f>
        <v/>
      </c>
      <c r="BV187" s="17">
        <f>IF(AND(AU187=1,AN187="Y"),IF(COUNTIFS($A$2:$A$201,$A187,$AN$2:$AN$201,"Y",$AU$2:$AU$201,1,$G$2:$G$201,"&lt;"&amp;G187)+COUNTIFS($A$2:$A$201,$A187,$AN$2:$AN$201,"Y",$AU$2:$AU$201,1,$G$2:$G$201,G187,$AT$2:$AT$201,"&lt;"&amp;AT187)=0,1,0),0)</f>
        <v/>
      </c>
      <c r="BW187" s="17">
        <f>IF(AND(BA187=1,N(V187)&gt;=Config!$B$15),1,0)</f>
        <v/>
      </c>
      <c r="BX187" s="17">
        <f>IF(AU187=1,IFERROR(MATCH($A187,INDEX(Clay_Offices!$A$2:$FZ$601,0,Sync!$C$5),0),""),"")</f>
        <v/>
      </c>
      <c r="BY187" s="17">
        <f>IF(BX187="","",IFERROR(INDEX(Clay_Offices!$A$2:$FZ$601,BX187,Sync!$C$7)&amp;"",""))</f>
        <v/>
      </c>
      <c r="BZ187" s="17">
        <f>IF(BY187="","",IFERROR(INDEX(Lists!$J$2:$J$15,MATCH(BY187,Lists!$I$2:$I$15,0)),""))</f>
        <v/>
      </c>
      <c r="CA187" s="17">
        <f>IF(BX187="","",IFERROR(INDEX(Clay_Offices!$A$2:$FZ$601,BX187,Sync!$C$17)&amp;"",""))</f>
        <v/>
      </c>
      <c r="CB187" s="23">
        <f>IF(BX187="","",IFERROR(N(INDEX(Clay_Offices!$A$2:$FZ$601,BX187,Sync!$C$16)),0))</f>
        <v/>
      </c>
    </row>
    <row r="188">
      <c r="G188" s="22" t="n"/>
      <c r="AS188" s="17">
        <f>IF(TRIM($A188)="","",IF(AND(LEFT($A188,6)="SAMPLE",Config!$B$19&lt;&gt;"Y"),"",IF(NOT(ISNUMBER(G188)),"call_date is blank or not a date",IF(Sync!$C$5="","Clay paste is empty or has no row_id column: paste the Clay export on Clay_Offices",IF(BX188="","row_id not found in the Clay paste: add the Clay row or fix the row_id",IF(AND(ISNUMBER(BZ188),BZ188&gt;=1,BZ188&lt;=5),"Clay status is "&amp;BY188&amp;": set call_done or later",IF(AND(AW188=1,CA188&lt;&gt;BS188),"Clay yes_in_principle should be "&amp;BS188,IF(AND(AW188=1,CB188&lt;&gt;G188),"Clay call_date should be "&amp;TEXT(G188,"yyyy-mm-dd"),""))))))))</f>
        <v/>
      </c>
      <c r="AT188" s="17">
        <f>ROW()</f>
        <v/>
      </c>
      <c r="AU188" s="17">
        <f>IF(AND(TRIM($A188)&lt;&gt;"",ISNUMBER(G188)),IF(AND(LEFT($A188,6)="SAMPLE",Config!$B$19&lt;&gt;"Y"),0,1),0)</f>
        <v/>
      </c>
      <c r="AV188" s="17">
        <f>IF(AU188=1,IF(COUNTIFS($A$2:$A$201,$A188,$AU$2:$AU$201,1,$G$2:$G$201,"&lt;"&amp;G188)+COUNTIFS($A$2:$A$201,$A188,$AU$2:$AU$201,1,$G$2:$G$201,G188,$AT$2:$AT$201,"&lt;"&amp;AT188)=0,1,0),0)</f>
        <v/>
      </c>
      <c r="AW188" s="17">
        <f>IF(AU188=1,IF(COUNTIFS($A$2:$A$201,$A188,$AU$2:$AU$201,1,$G$2:$G$201,"&gt;"&amp;G188)+COUNTIFS($A$2:$A$201,$A188,$AU$2:$AU$201,1,$G$2:$G$201,G188,$AT$2:$AT$201,"&gt;"&amp;AT188)=0,1,0),0)</f>
        <v/>
      </c>
      <c r="AX188" s="17">
        <f>IF(AND(AU188=1,AN188="Y",Z188="Y",TRIM(AD188)&lt;&gt;""),1,0)</f>
        <v/>
      </c>
      <c r="AY188" s="17">
        <f>IF(AX188=1,IF(COUNTIFS($A$2:$A$201,$A188,$AX$2:$AX$201,1,$G$2:$G$201,"&lt;"&amp;G188)+COUNTIFS($A$2:$A$201,$A188,$AX$2:$AX$201,1,$G$2:$G$201,G188,$AT$2:$AT$201,"&lt;"&amp;AT188)=0,1,0),0)</f>
        <v/>
      </c>
      <c r="AZ188" s="17">
        <f>IF(AND(AU188=1,AN188="Y",AX188=0),1,0)</f>
        <v/>
      </c>
      <c r="BA188" s="17">
        <f>IF(AND(AU188=1,ISNUMBER(V188)),1,0)</f>
        <v/>
      </c>
      <c r="BB188" s="17">
        <f>IF(BA188=1,IF(COUNTIFS($A$2:$A$201,$A188,$BA$2:$BA$201,1,$G$2:$G$201,"&lt;"&amp;G188)+COUNTIFS($A$2:$A$201,$A188,$BA$2:$BA$201,1,$G$2:$G$201,G188,$AT$2:$AT$201,"&lt;"&amp;AT188)=0,1,0),0)</f>
        <v/>
      </c>
      <c r="BC188" s="17">
        <f>IF(AND(BB188=1,G188&lt;=Config!$B$6),V188,"")</f>
        <v/>
      </c>
      <c r="BD188" s="17">
        <f>IF(AND(BB188=1,G188&lt;=Config!$B$7),V188,"")</f>
        <v/>
      </c>
      <c r="BE188" s="17">
        <f>IF(AND(BB188=1,G188&lt;=Config!$B$8),V188,"")</f>
        <v/>
      </c>
      <c r="BF188" s="17">
        <f>IF(AND(BB188=1,G188&lt;=Config!$B$5),V188,"")</f>
        <v/>
      </c>
      <c r="BG188" s="17">
        <f>IF(BW188=1,IF(COUNTIFS($A$2:$A$201,$A188,$BW$2:$BW$201,1,$G$2:$G$201,"&lt;"&amp;G188)+COUNTIFS($A$2:$A$201,$A188,$BW$2:$BW$201,1,$G$2:$G$201,G188,$AT$2:$AT$201,"&lt;"&amp;AT188)=0,1,0),0)</f>
        <v/>
      </c>
      <c r="BH188" s="17">
        <f>IF(AND(AU188=1,ISNUMBER(K188)),1,0)</f>
        <v/>
      </c>
      <c r="BI188" s="17">
        <f>IF(BH188=1,IF(COUNTIFS($A$2:$A$201,$A188,$BH$2:$BH$201,1,$G$2:$G$201,"&lt;"&amp;G188)+COUNTIFS($A$2:$A$201,$A188,$BH$2:$BH$201,1,$G$2:$G$201,G188,$AT$2:$AT$201,"&lt;"&amp;AT188)=0,1,0),0)</f>
        <v/>
      </c>
      <c r="BJ188" s="17">
        <f>IF(AND(BI188=1,G188&lt;=Config!$B$5),K188,"")</f>
        <v/>
      </c>
      <c r="BK188" s="17">
        <f>IF(AND(AU188=1,OR(TRIM(U188)&lt;&gt;"",ISNUMBER(V188))),1,0)</f>
        <v/>
      </c>
      <c r="BL188" s="17">
        <f>IF(BK188=1,IF(COUNTIFS($A$2:$A$201,$A188,$BK$2:$BK$201,1,$G$2:$G$201,"&lt;"&amp;G188)+COUNTIFS($A$2:$A$201,$A188,$BK$2:$BK$201,1,$G$2:$G$201,G188,$AT$2:$AT$201,"&lt;"&amp;AT188)=0,1,0),0)</f>
        <v/>
      </c>
      <c r="BM188" s="17">
        <f>IF(BL188=1,$A188,"")</f>
        <v/>
      </c>
      <c r="BN188" s="17">
        <f>IF(AND(AU188=1,T188="Y",TRIM(U188)=""),1,0)</f>
        <v/>
      </c>
      <c r="BO188" s="17">
        <f>IF(AU188=1,AJ188&amp;"","")</f>
        <v/>
      </c>
      <c r="BP188" s="17">
        <f>IF(AU188=1,AK188&amp;"","")</f>
        <v/>
      </c>
      <c r="BQ188" s="17">
        <f>IF(AU188=1,AL188&amp;"","")</f>
        <v/>
      </c>
      <c r="BR188" s="17">
        <f>IF(AND(AU188=1,ISNUMBER(AP188),G188&lt;=Config!$B$5),AP188,"")</f>
        <v/>
      </c>
      <c r="BS188" s="17">
        <f>IF(AU188=1,IF(COUNTIFS($A$2:$A$201,$A188,$AN$2:$AN$201,"Y",$AU$2:$AU$201,1)&gt;0,"Y","N"),"")</f>
        <v/>
      </c>
      <c r="BT188" s="17">
        <f>IF(AND(AU188=1,AN188="maybe"),1,0)</f>
        <v/>
      </c>
      <c r="BU188" s="17">
        <f>IF(BT188=1,IF(COUNTIFS($A$2:$A$201,$A188,$BT$2:$BT$201,1,$G$2:$G$201,"&lt;"&amp;G188)+COUNTIFS($A$2:$A$201,$A188,$BT$2:$BT$201,1,$G$2:$G$201,G188,$AT$2:$AT$201,"&lt;"&amp;AT188)=0,1,0),0)</f>
        <v/>
      </c>
      <c r="BV188" s="17">
        <f>IF(AND(AU188=1,AN188="Y"),IF(COUNTIFS($A$2:$A$201,$A188,$AN$2:$AN$201,"Y",$AU$2:$AU$201,1,$G$2:$G$201,"&lt;"&amp;G188)+COUNTIFS($A$2:$A$201,$A188,$AN$2:$AN$201,"Y",$AU$2:$AU$201,1,$G$2:$G$201,G188,$AT$2:$AT$201,"&lt;"&amp;AT188)=0,1,0),0)</f>
        <v/>
      </c>
      <c r="BW188" s="17">
        <f>IF(AND(BA188=1,N(V188)&gt;=Config!$B$15),1,0)</f>
        <v/>
      </c>
      <c r="BX188" s="17">
        <f>IF(AU188=1,IFERROR(MATCH($A188,INDEX(Clay_Offices!$A$2:$FZ$601,0,Sync!$C$5),0),""),"")</f>
        <v/>
      </c>
      <c r="BY188" s="17">
        <f>IF(BX188="","",IFERROR(INDEX(Clay_Offices!$A$2:$FZ$601,BX188,Sync!$C$7)&amp;"",""))</f>
        <v/>
      </c>
      <c r="BZ188" s="17">
        <f>IF(BY188="","",IFERROR(INDEX(Lists!$J$2:$J$15,MATCH(BY188,Lists!$I$2:$I$15,0)),""))</f>
        <v/>
      </c>
      <c r="CA188" s="17">
        <f>IF(BX188="","",IFERROR(INDEX(Clay_Offices!$A$2:$FZ$601,BX188,Sync!$C$17)&amp;"",""))</f>
        <v/>
      </c>
      <c r="CB188" s="23">
        <f>IF(BX188="","",IFERROR(N(INDEX(Clay_Offices!$A$2:$FZ$601,BX188,Sync!$C$16)),0))</f>
        <v/>
      </c>
    </row>
    <row r="189">
      <c r="G189" s="22" t="n"/>
      <c r="AS189" s="17">
        <f>IF(TRIM($A189)="","",IF(AND(LEFT($A189,6)="SAMPLE",Config!$B$19&lt;&gt;"Y"),"",IF(NOT(ISNUMBER(G189)),"call_date is blank or not a date",IF(Sync!$C$5="","Clay paste is empty or has no row_id column: paste the Clay export on Clay_Offices",IF(BX189="","row_id not found in the Clay paste: add the Clay row or fix the row_id",IF(AND(ISNUMBER(BZ189),BZ189&gt;=1,BZ189&lt;=5),"Clay status is "&amp;BY189&amp;": set call_done or later",IF(AND(AW189=1,CA189&lt;&gt;BS189),"Clay yes_in_principle should be "&amp;BS189,IF(AND(AW189=1,CB189&lt;&gt;G189),"Clay call_date should be "&amp;TEXT(G189,"yyyy-mm-dd"),""))))))))</f>
        <v/>
      </c>
      <c r="AT189" s="17">
        <f>ROW()</f>
        <v/>
      </c>
      <c r="AU189" s="17">
        <f>IF(AND(TRIM($A189)&lt;&gt;"",ISNUMBER(G189)),IF(AND(LEFT($A189,6)="SAMPLE",Config!$B$19&lt;&gt;"Y"),0,1),0)</f>
        <v/>
      </c>
      <c r="AV189" s="17">
        <f>IF(AU189=1,IF(COUNTIFS($A$2:$A$201,$A189,$AU$2:$AU$201,1,$G$2:$G$201,"&lt;"&amp;G189)+COUNTIFS($A$2:$A$201,$A189,$AU$2:$AU$201,1,$G$2:$G$201,G189,$AT$2:$AT$201,"&lt;"&amp;AT189)=0,1,0),0)</f>
        <v/>
      </c>
      <c r="AW189" s="17">
        <f>IF(AU189=1,IF(COUNTIFS($A$2:$A$201,$A189,$AU$2:$AU$201,1,$G$2:$G$201,"&gt;"&amp;G189)+COUNTIFS($A$2:$A$201,$A189,$AU$2:$AU$201,1,$G$2:$G$201,G189,$AT$2:$AT$201,"&gt;"&amp;AT189)=0,1,0),0)</f>
        <v/>
      </c>
      <c r="AX189" s="17">
        <f>IF(AND(AU189=1,AN189="Y",Z189="Y",TRIM(AD189)&lt;&gt;""),1,0)</f>
        <v/>
      </c>
      <c r="AY189" s="17">
        <f>IF(AX189=1,IF(COUNTIFS($A$2:$A$201,$A189,$AX$2:$AX$201,1,$G$2:$G$201,"&lt;"&amp;G189)+COUNTIFS($A$2:$A$201,$A189,$AX$2:$AX$201,1,$G$2:$G$201,G189,$AT$2:$AT$201,"&lt;"&amp;AT189)=0,1,0),0)</f>
        <v/>
      </c>
      <c r="AZ189" s="17">
        <f>IF(AND(AU189=1,AN189="Y",AX189=0),1,0)</f>
        <v/>
      </c>
      <c r="BA189" s="17">
        <f>IF(AND(AU189=1,ISNUMBER(V189)),1,0)</f>
        <v/>
      </c>
      <c r="BB189" s="17">
        <f>IF(BA189=1,IF(COUNTIFS($A$2:$A$201,$A189,$BA$2:$BA$201,1,$G$2:$G$201,"&lt;"&amp;G189)+COUNTIFS($A$2:$A$201,$A189,$BA$2:$BA$201,1,$G$2:$G$201,G189,$AT$2:$AT$201,"&lt;"&amp;AT189)=0,1,0),0)</f>
        <v/>
      </c>
      <c r="BC189" s="17">
        <f>IF(AND(BB189=1,G189&lt;=Config!$B$6),V189,"")</f>
        <v/>
      </c>
      <c r="BD189" s="17">
        <f>IF(AND(BB189=1,G189&lt;=Config!$B$7),V189,"")</f>
        <v/>
      </c>
      <c r="BE189" s="17">
        <f>IF(AND(BB189=1,G189&lt;=Config!$B$8),V189,"")</f>
        <v/>
      </c>
      <c r="BF189" s="17">
        <f>IF(AND(BB189=1,G189&lt;=Config!$B$5),V189,"")</f>
        <v/>
      </c>
      <c r="BG189" s="17">
        <f>IF(BW189=1,IF(COUNTIFS($A$2:$A$201,$A189,$BW$2:$BW$201,1,$G$2:$G$201,"&lt;"&amp;G189)+COUNTIFS($A$2:$A$201,$A189,$BW$2:$BW$201,1,$G$2:$G$201,G189,$AT$2:$AT$201,"&lt;"&amp;AT189)=0,1,0),0)</f>
        <v/>
      </c>
      <c r="BH189" s="17">
        <f>IF(AND(AU189=1,ISNUMBER(K189)),1,0)</f>
        <v/>
      </c>
      <c r="BI189" s="17">
        <f>IF(BH189=1,IF(COUNTIFS($A$2:$A$201,$A189,$BH$2:$BH$201,1,$G$2:$G$201,"&lt;"&amp;G189)+COUNTIFS($A$2:$A$201,$A189,$BH$2:$BH$201,1,$G$2:$G$201,G189,$AT$2:$AT$201,"&lt;"&amp;AT189)=0,1,0),0)</f>
        <v/>
      </c>
      <c r="BJ189" s="17">
        <f>IF(AND(BI189=1,G189&lt;=Config!$B$5),K189,"")</f>
        <v/>
      </c>
      <c r="BK189" s="17">
        <f>IF(AND(AU189=1,OR(TRIM(U189)&lt;&gt;"",ISNUMBER(V189))),1,0)</f>
        <v/>
      </c>
      <c r="BL189" s="17">
        <f>IF(BK189=1,IF(COUNTIFS($A$2:$A$201,$A189,$BK$2:$BK$201,1,$G$2:$G$201,"&lt;"&amp;G189)+COUNTIFS($A$2:$A$201,$A189,$BK$2:$BK$201,1,$G$2:$G$201,G189,$AT$2:$AT$201,"&lt;"&amp;AT189)=0,1,0),0)</f>
        <v/>
      </c>
      <c r="BM189" s="17">
        <f>IF(BL189=1,$A189,"")</f>
        <v/>
      </c>
      <c r="BN189" s="17">
        <f>IF(AND(AU189=1,T189="Y",TRIM(U189)=""),1,0)</f>
        <v/>
      </c>
      <c r="BO189" s="17">
        <f>IF(AU189=1,AJ189&amp;"","")</f>
        <v/>
      </c>
      <c r="BP189" s="17">
        <f>IF(AU189=1,AK189&amp;"","")</f>
        <v/>
      </c>
      <c r="BQ189" s="17">
        <f>IF(AU189=1,AL189&amp;"","")</f>
        <v/>
      </c>
      <c r="BR189" s="17">
        <f>IF(AND(AU189=1,ISNUMBER(AP189),G189&lt;=Config!$B$5),AP189,"")</f>
        <v/>
      </c>
      <c r="BS189" s="17">
        <f>IF(AU189=1,IF(COUNTIFS($A$2:$A$201,$A189,$AN$2:$AN$201,"Y",$AU$2:$AU$201,1)&gt;0,"Y","N"),"")</f>
        <v/>
      </c>
      <c r="BT189" s="17">
        <f>IF(AND(AU189=1,AN189="maybe"),1,0)</f>
        <v/>
      </c>
      <c r="BU189" s="17">
        <f>IF(BT189=1,IF(COUNTIFS($A$2:$A$201,$A189,$BT$2:$BT$201,1,$G$2:$G$201,"&lt;"&amp;G189)+COUNTIFS($A$2:$A$201,$A189,$BT$2:$BT$201,1,$G$2:$G$201,G189,$AT$2:$AT$201,"&lt;"&amp;AT189)=0,1,0),0)</f>
        <v/>
      </c>
      <c r="BV189" s="17">
        <f>IF(AND(AU189=1,AN189="Y"),IF(COUNTIFS($A$2:$A$201,$A189,$AN$2:$AN$201,"Y",$AU$2:$AU$201,1,$G$2:$G$201,"&lt;"&amp;G189)+COUNTIFS($A$2:$A$201,$A189,$AN$2:$AN$201,"Y",$AU$2:$AU$201,1,$G$2:$G$201,G189,$AT$2:$AT$201,"&lt;"&amp;AT189)=0,1,0),0)</f>
        <v/>
      </c>
      <c r="BW189" s="17">
        <f>IF(AND(BA189=1,N(V189)&gt;=Config!$B$15),1,0)</f>
        <v/>
      </c>
      <c r="BX189" s="17">
        <f>IF(AU189=1,IFERROR(MATCH($A189,INDEX(Clay_Offices!$A$2:$FZ$601,0,Sync!$C$5),0),""),"")</f>
        <v/>
      </c>
      <c r="BY189" s="17">
        <f>IF(BX189="","",IFERROR(INDEX(Clay_Offices!$A$2:$FZ$601,BX189,Sync!$C$7)&amp;"",""))</f>
        <v/>
      </c>
      <c r="BZ189" s="17">
        <f>IF(BY189="","",IFERROR(INDEX(Lists!$J$2:$J$15,MATCH(BY189,Lists!$I$2:$I$15,0)),""))</f>
        <v/>
      </c>
      <c r="CA189" s="17">
        <f>IF(BX189="","",IFERROR(INDEX(Clay_Offices!$A$2:$FZ$601,BX189,Sync!$C$17)&amp;"",""))</f>
        <v/>
      </c>
      <c r="CB189" s="23">
        <f>IF(BX189="","",IFERROR(N(INDEX(Clay_Offices!$A$2:$FZ$601,BX189,Sync!$C$16)),0))</f>
        <v/>
      </c>
    </row>
    <row r="190">
      <c r="G190" s="22" t="n"/>
      <c r="AS190" s="17">
        <f>IF(TRIM($A190)="","",IF(AND(LEFT($A190,6)="SAMPLE",Config!$B$19&lt;&gt;"Y"),"",IF(NOT(ISNUMBER(G190)),"call_date is blank or not a date",IF(Sync!$C$5="","Clay paste is empty or has no row_id column: paste the Clay export on Clay_Offices",IF(BX190="","row_id not found in the Clay paste: add the Clay row or fix the row_id",IF(AND(ISNUMBER(BZ190),BZ190&gt;=1,BZ190&lt;=5),"Clay status is "&amp;BY190&amp;": set call_done or later",IF(AND(AW190=1,CA190&lt;&gt;BS190),"Clay yes_in_principle should be "&amp;BS190,IF(AND(AW190=1,CB190&lt;&gt;G190),"Clay call_date should be "&amp;TEXT(G190,"yyyy-mm-dd"),""))))))))</f>
        <v/>
      </c>
      <c r="AT190" s="17">
        <f>ROW()</f>
        <v/>
      </c>
      <c r="AU190" s="17">
        <f>IF(AND(TRIM($A190)&lt;&gt;"",ISNUMBER(G190)),IF(AND(LEFT($A190,6)="SAMPLE",Config!$B$19&lt;&gt;"Y"),0,1),0)</f>
        <v/>
      </c>
      <c r="AV190" s="17">
        <f>IF(AU190=1,IF(COUNTIFS($A$2:$A$201,$A190,$AU$2:$AU$201,1,$G$2:$G$201,"&lt;"&amp;G190)+COUNTIFS($A$2:$A$201,$A190,$AU$2:$AU$201,1,$G$2:$G$201,G190,$AT$2:$AT$201,"&lt;"&amp;AT190)=0,1,0),0)</f>
        <v/>
      </c>
      <c r="AW190" s="17">
        <f>IF(AU190=1,IF(COUNTIFS($A$2:$A$201,$A190,$AU$2:$AU$201,1,$G$2:$G$201,"&gt;"&amp;G190)+COUNTIFS($A$2:$A$201,$A190,$AU$2:$AU$201,1,$G$2:$G$201,G190,$AT$2:$AT$201,"&gt;"&amp;AT190)=0,1,0),0)</f>
        <v/>
      </c>
      <c r="AX190" s="17">
        <f>IF(AND(AU190=1,AN190="Y",Z190="Y",TRIM(AD190)&lt;&gt;""),1,0)</f>
        <v/>
      </c>
      <c r="AY190" s="17">
        <f>IF(AX190=1,IF(COUNTIFS($A$2:$A$201,$A190,$AX$2:$AX$201,1,$G$2:$G$201,"&lt;"&amp;G190)+COUNTIFS($A$2:$A$201,$A190,$AX$2:$AX$201,1,$G$2:$G$201,G190,$AT$2:$AT$201,"&lt;"&amp;AT190)=0,1,0),0)</f>
        <v/>
      </c>
      <c r="AZ190" s="17">
        <f>IF(AND(AU190=1,AN190="Y",AX190=0),1,0)</f>
        <v/>
      </c>
      <c r="BA190" s="17">
        <f>IF(AND(AU190=1,ISNUMBER(V190)),1,0)</f>
        <v/>
      </c>
      <c r="BB190" s="17">
        <f>IF(BA190=1,IF(COUNTIFS($A$2:$A$201,$A190,$BA$2:$BA$201,1,$G$2:$G$201,"&lt;"&amp;G190)+COUNTIFS($A$2:$A$201,$A190,$BA$2:$BA$201,1,$G$2:$G$201,G190,$AT$2:$AT$201,"&lt;"&amp;AT190)=0,1,0),0)</f>
        <v/>
      </c>
      <c r="BC190" s="17">
        <f>IF(AND(BB190=1,G190&lt;=Config!$B$6),V190,"")</f>
        <v/>
      </c>
      <c r="BD190" s="17">
        <f>IF(AND(BB190=1,G190&lt;=Config!$B$7),V190,"")</f>
        <v/>
      </c>
      <c r="BE190" s="17">
        <f>IF(AND(BB190=1,G190&lt;=Config!$B$8),V190,"")</f>
        <v/>
      </c>
      <c r="BF190" s="17">
        <f>IF(AND(BB190=1,G190&lt;=Config!$B$5),V190,"")</f>
        <v/>
      </c>
      <c r="BG190" s="17">
        <f>IF(BW190=1,IF(COUNTIFS($A$2:$A$201,$A190,$BW$2:$BW$201,1,$G$2:$G$201,"&lt;"&amp;G190)+COUNTIFS($A$2:$A$201,$A190,$BW$2:$BW$201,1,$G$2:$G$201,G190,$AT$2:$AT$201,"&lt;"&amp;AT190)=0,1,0),0)</f>
        <v/>
      </c>
      <c r="BH190" s="17">
        <f>IF(AND(AU190=1,ISNUMBER(K190)),1,0)</f>
        <v/>
      </c>
      <c r="BI190" s="17">
        <f>IF(BH190=1,IF(COUNTIFS($A$2:$A$201,$A190,$BH$2:$BH$201,1,$G$2:$G$201,"&lt;"&amp;G190)+COUNTIFS($A$2:$A$201,$A190,$BH$2:$BH$201,1,$G$2:$G$201,G190,$AT$2:$AT$201,"&lt;"&amp;AT190)=0,1,0),0)</f>
        <v/>
      </c>
      <c r="BJ190" s="17">
        <f>IF(AND(BI190=1,G190&lt;=Config!$B$5),K190,"")</f>
        <v/>
      </c>
      <c r="BK190" s="17">
        <f>IF(AND(AU190=1,OR(TRIM(U190)&lt;&gt;"",ISNUMBER(V190))),1,0)</f>
        <v/>
      </c>
      <c r="BL190" s="17">
        <f>IF(BK190=1,IF(COUNTIFS($A$2:$A$201,$A190,$BK$2:$BK$201,1,$G$2:$G$201,"&lt;"&amp;G190)+COUNTIFS($A$2:$A$201,$A190,$BK$2:$BK$201,1,$G$2:$G$201,G190,$AT$2:$AT$201,"&lt;"&amp;AT190)=0,1,0),0)</f>
        <v/>
      </c>
      <c r="BM190" s="17">
        <f>IF(BL190=1,$A190,"")</f>
        <v/>
      </c>
      <c r="BN190" s="17">
        <f>IF(AND(AU190=1,T190="Y",TRIM(U190)=""),1,0)</f>
        <v/>
      </c>
      <c r="BO190" s="17">
        <f>IF(AU190=1,AJ190&amp;"","")</f>
        <v/>
      </c>
      <c r="BP190" s="17">
        <f>IF(AU190=1,AK190&amp;"","")</f>
        <v/>
      </c>
      <c r="BQ190" s="17">
        <f>IF(AU190=1,AL190&amp;"","")</f>
        <v/>
      </c>
      <c r="BR190" s="17">
        <f>IF(AND(AU190=1,ISNUMBER(AP190),G190&lt;=Config!$B$5),AP190,"")</f>
        <v/>
      </c>
      <c r="BS190" s="17">
        <f>IF(AU190=1,IF(COUNTIFS($A$2:$A$201,$A190,$AN$2:$AN$201,"Y",$AU$2:$AU$201,1)&gt;0,"Y","N"),"")</f>
        <v/>
      </c>
      <c r="BT190" s="17">
        <f>IF(AND(AU190=1,AN190="maybe"),1,0)</f>
        <v/>
      </c>
      <c r="BU190" s="17">
        <f>IF(BT190=1,IF(COUNTIFS($A$2:$A$201,$A190,$BT$2:$BT$201,1,$G$2:$G$201,"&lt;"&amp;G190)+COUNTIFS($A$2:$A$201,$A190,$BT$2:$BT$201,1,$G$2:$G$201,G190,$AT$2:$AT$201,"&lt;"&amp;AT190)=0,1,0),0)</f>
        <v/>
      </c>
      <c r="BV190" s="17">
        <f>IF(AND(AU190=1,AN190="Y"),IF(COUNTIFS($A$2:$A$201,$A190,$AN$2:$AN$201,"Y",$AU$2:$AU$201,1,$G$2:$G$201,"&lt;"&amp;G190)+COUNTIFS($A$2:$A$201,$A190,$AN$2:$AN$201,"Y",$AU$2:$AU$201,1,$G$2:$G$201,G190,$AT$2:$AT$201,"&lt;"&amp;AT190)=0,1,0),0)</f>
        <v/>
      </c>
      <c r="BW190" s="17">
        <f>IF(AND(BA190=1,N(V190)&gt;=Config!$B$15),1,0)</f>
        <v/>
      </c>
      <c r="BX190" s="17">
        <f>IF(AU190=1,IFERROR(MATCH($A190,INDEX(Clay_Offices!$A$2:$FZ$601,0,Sync!$C$5),0),""),"")</f>
        <v/>
      </c>
      <c r="BY190" s="17">
        <f>IF(BX190="","",IFERROR(INDEX(Clay_Offices!$A$2:$FZ$601,BX190,Sync!$C$7)&amp;"",""))</f>
        <v/>
      </c>
      <c r="BZ190" s="17">
        <f>IF(BY190="","",IFERROR(INDEX(Lists!$J$2:$J$15,MATCH(BY190,Lists!$I$2:$I$15,0)),""))</f>
        <v/>
      </c>
      <c r="CA190" s="17">
        <f>IF(BX190="","",IFERROR(INDEX(Clay_Offices!$A$2:$FZ$601,BX190,Sync!$C$17)&amp;"",""))</f>
        <v/>
      </c>
      <c r="CB190" s="23">
        <f>IF(BX190="","",IFERROR(N(INDEX(Clay_Offices!$A$2:$FZ$601,BX190,Sync!$C$16)),0))</f>
        <v/>
      </c>
    </row>
    <row r="191">
      <c r="G191" s="22" t="n"/>
      <c r="AS191" s="17">
        <f>IF(TRIM($A191)="","",IF(AND(LEFT($A191,6)="SAMPLE",Config!$B$19&lt;&gt;"Y"),"",IF(NOT(ISNUMBER(G191)),"call_date is blank or not a date",IF(Sync!$C$5="","Clay paste is empty or has no row_id column: paste the Clay export on Clay_Offices",IF(BX191="","row_id not found in the Clay paste: add the Clay row or fix the row_id",IF(AND(ISNUMBER(BZ191),BZ191&gt;=1,BZ191&lt;=5),"Clay status is "&amp;BY191&amp;": set call_done or later",IF(AND(AW191=1,CA191&lt;&gt;BS191),"Clay yes_in_principle should be "&amp;BS191,IF(AND(AW191=1,CB191&lt;&gt;G191),"Clay call_date should be "&amp;TEXT(G191,"yyyy-mm-dd"),""))))))))</f>
        <v/>
      </c>
      <c r="AT191" s="17">
        <f>ROW()</f>
        <v/>
      </c>
      <c r="AU191" s="17">
        <f>IF(AND(TRIM($A191)&lt;&gt;"",ISNUMBER(G191)),IF(AND(LEFT($A191,6)="SAMPLE",Config!$B$19&lt;&gt;"Y"),0,1),0)</f>
        <v/>
      </c>
      <c r="AV191" s="17">
        <f>IF(AU191=1,IF(COUNTIFS($A$2:$A$201,$A191,$AU$2:$AU$201,1,$G$2:$G$201,"&lt;"&amp;G191)+COUNTIFS($A$2:$A$201,$A191,$AU$2:$AU$201,1,$G$2:$G$201,G191,$AT$2:$AT$201,"&lt;"&amp;AT191)=0,1,0),0)</f>
        <v/>
      </c>
      <c r="AW191" s="17">
        <f>IF(AU191=1,IF(COUNTIFS($A$2:$A$201,$A191,$AU$2:$AU$201,1,$G$2:$G$201,"&gt;"&amp;G191)+COUNTIFS($A$2:$A$201,$A191,$AU$2:$AU$201,1,$G$2:$G$201,G191,$AT$2:$AT$201,"&gt;"&amp;AT191)=0,1,0),0)</f>
        <v/>
      </c>
      <c r="AX191" s="17">
        <f>IF(AND(AU191=1,AN191="Y",Z191="Y",TRIM(AD191)&lt;&gt;""),1,0)</f>
        <v/>
      </c>
      <c r="AY191" s="17">
        <f>IF(AX191=1,IF(COUNTIFS($A$2:$A$201,$A191,$AX$2:$AX$201,1,$G$2:$G$201,"&lt;"&amp;G191)+COUNTIFS($A$2:$A$201,$A191,$AX$2:$AX$201,1,$G$2:$G$201,G191,$AT$2:$AT$201,"&lt;"&amp;AT191)=0,1,0),0)</f>
        <v/>
      </c>
      <c r="AZ191" s="17">
        <f>IF(AND(AU191=1,AN191="Y",AX191=0),1,0)</f>
        <v/>
      </c>
      <c r="BA191" s="17">
        <f>IF(AND(AU191=1,ISNUMBER(V191)),1,0)</f>
        <v/>
      </c>
      <c r="BB191" s="17">
        <f>IF(BA191=1,IF(COUNTIFS($A$2:$A$201,$A191,$BA$2:$BA$201,1,$G$2:$G$201,"&lt;"&amp;G191)+COUNTIFS($A$2:$A$201,$A191,$BA$2:$BA$201,1,$G$2:$G$201,G191,$AT$2:$AT$201,"&lt;"&amp;AT191)=0,1,0),0)</f>
        <v/>
      </c>
      <c r="BC191" s="17">
        <f>IF(AND(BB191=1,G191&lt;=Config!$B$6),V191,"")</f>
        <v/>
      </c>
      <c r="BD191" s="17">
        <f>IF(AND(BB191=1,G191&lt;=Config!$B$7),V191,"")</f>
        <v/>
      </c>
      <c r="BE191" s="17">
        <f>IF(AND(BB191=1,G191&lt;=Config!$B$8),V191,"")</f>
        <v/>
      </c>
      <c r="BF191" s="17">
        <f>IF(AND(BB191=1,G191&lt;=Config!$B$5),V191,"")</f>
        <v/>
      </c>
      <c r="BG191" s="17">
        <f>IF(BW191=1,IF(COUNTIFS($A$2:$A$201,$A191,$BW$2:$BW$201,1,$G$2:$G$201,"&lt;"&amp;G191)+COUNTIFS($A$2:$A$201,$A191,$BW$2:$BW$201,1,$G$2:$G$201,G191,$AT$2:$AT$201,"&lt;"&amp;AT191)=0,1,0),0)</f>
        <v/>
      </c>
      <c r="BH191" s="17">
        <f>IF(AND(AU191=1,ISNUMBER(K191)),1,0)</f>
        <v/>
      </c>
      <c r="BI191" s="17">
        <f>IF(BH191=1,IF(COUNTIFS($A$2:$A$201,$A191,$BH$2:$BH$201,1,$G$2:$G$201,"&lt;"&amp;G191)+COUNTIFS($A$2:$A$201,$A191,$BH$2:$BH$201,1,$G$2:$G$201,G191,$AT$2:$AT$201,"&lt;"&amp;AT191)=0,1,0),0)</f>
        <v/>
      </c>
      <c r="BJ191" s="17">
        <f>IF(AND(BI191=1,G191&lt;=Config!$B$5),K191,"")</f>
        <v/>
      </c>
      <c r="BK191" s="17">
        <f>IF(AND(AU191=1,OR(TRIM(U191)&lt;&gt;"",ISNUMBER(V191))),1,0)</f>
        <v/>
      </c>
      <c r="BL191" s="17">
        <f>IF(BK191=1,IF(COUNTIFS($A$2:$A$201,$A191,$BK$2:$BK$201,1,$G$2:$G$201,"&lt;"&amp;G191)+COUNTIFS($A$2:$A$201,$A191,$BK$2:$BK$201,1,$G$2:$G$201,G191,$AT$2:$AT$201,"&lt;"&amp;AT191)=0,1,0),0)</f>
        <v/>
      </c>
      <c r="BM191" s="17">
        <f>IF(BL191=1,$A191,"")</f>
        <v/>
      </c>
      <c r="BN191" s="17">
        <f>IF(AND(AU191=1,T191="Y",TRIM(U191)=""),1,0)</f>
        <v/>
      </c>
      <c r="BO191" s="17">
        <f>IF(AU191=1,AJ191&amp;"","")</f>
        <v/>
      </c>
      <c r="BP191" s="17">
        <f>IF(AU191=1,AK191&amp;"","")</f>
        <v/>
      </c>
      <c r="BQ191" s="17">
        <f>IF(AU191=1,AL191&amp;"","")</f>
        <v/>
      </c>
      <c r="BR191" s="17">
        <f>IF(AND(AU191=1,ISNUMBER(AP191),G191&lt;=Config!$B$5),AP191,"")</f>
        <v/>
      </c>
      <c r="BS191" s="17">
        <f>IF(AU191=1,IF(COUNTIFS($A$2:$A$201,$A191,$AN$2:$AN$201,"Y",$AU$2:$AU$201,1)&gt;0,"Y","N"),"")</f>
        <v/>
      </c>
      <c r="BT191" s="17">
        <f>IF(AND(AU191=1,AN191="maybe"),1,0)</f>
        <v/>
      </c>
      <c r="BU191" s="17">
        <f>IF(BT191=1,IF(COUNTIFS($A$2:$A$201,$A191,$BT$2:$BT$201,1,$G$2:$G$201,"&lt;"&amp;G191)+COUNTIFS($A$2:$A$201,$A191,$BT$2:$BT$201,1,$G$2:$G$201,G191,$AT$2:$AT$201,"&lt;"&amp;AT191)=0,1,0),0)</f>
        <v/>
      </c>
      <c r="BV191" s="17">
        <f>IF(AND(AU191=1,AN191="Y"),IF(COUNTIFS($A$2:$A$201,$A191,$AN$2:$AN$201,"Y",$AU$2:$AU$201,1,$G$2:$G$201,"&lt;"&amp;G191)+COUNTIFS($A$2:$A$201,$A191,$AN$2:$AN$201,"Y",$AU$2:$AU$201,1,$G$2:$G$201,G191,$AT$2:$AT$201,"&lt;"&amp;AT191)=0,1,0),0)</f>
        <v/>
      </c>
      <c r="BW191" s="17">
        <f>IF(AND(BA191=1,N(V191)&gt;=Config!$B$15),1,0)</f>
        <v/>
      </c>
      <c r="BX191" s="17">
        <f>IF(AU191=1,IFERROR(MATCH($A191,INDEX(Clay_Offices!$A$2:$FZ$601,0,Sync!$C$5),0),""),"")</f>
        <v/>
      </c>
      <c r="BY191" s="17">
        <f>IF(BX191="","",IFERROR(INDEX(Clay_Offices!$A$2:$FZ$601,BX191,Sync!$C$7)&amp;"",""))</f>
        <v/>
      </c>
      <c r="BZ191" s="17">
        <f>IF(BY191="","",IFERROR(INDEX(Lists!$J$2:$J$15,MATCH(BY191,Lists!$I$2:$I$15,0)),""))</f>
        <v/>
      </c>
      <c r="CA191" s="17">
        <f>IF(BX191="","",IFERROR(INDEX(Clay_Offices!$A$2:$FZ$601,BX191,Sync!$C$17)&amp;"",""))</f>
        <v/>
      </c>
      <c r="CB191" s="23">
        <f>IF(BX191="","",IFERROR(N(INDEX(Clay_Offices!$A$2:$FZ$601,BX191,Sync!$C$16)),0))</f>
        <v/>
      </c>
    </row>
    <row r="192">
      <c r="G192" s="22" t="n"/>
      <c r="AS192" s="17">
        <f>IF(TRIM($A192)="","",IF(AND(LEFT($A192,6)="SAMPLE",Config!$B$19&lt;&gt;"Y"),"",IF(NOT(ISNUMBER(G192)),"call_date is blank or not a date",IF(Sync!$C$5="","Clay paste is empty or has no row_id column: paste the Clay export on Clay_Offices",IF(BX192="","row_id not found in the Clay paste: add the Clay row or fix the row_id",IF(AND(ISNUMBER(BZ192),BZ192&gt;=1,BZ192&lt;=5),"Clay status is "&amp;BY192&amp;": set call_done or later",IF(AND(AW192=1,CA192&lt;&gt;BS192),"Clay yes_in_principle should be "&amp;BS192,IF(AND(AW192=1,CB192&lt;&gt;G192),"Clay call_date should be "&amp;TEXT(G192,"yyyy-mm-dd"),""))))))))</f>
        <v/>
      </c>
      <c r="AT192" s="17">
        <f>ROW()</f>
        <v/>
      </c>
      <c r="AU192" s="17">
        <f>IF(AND(TRIM($A192)&lt;&gt;"",ISNUMBER(G192)),IF(AND(LEFT($A192,6)="SAMPLE",Config!$B$19&lt;&gt;"Y"),0,1),0)</f>
        <v/>
      </c>
      <c r="AV192" s="17">
        <f>IF(AU192=1,IF(COUNTIFS($A$2:$A$201,$A192,$AU$2:$AU$201,1,$G$2:$G$201,"&lt;"&amp;G192)+COUNTIFS($A$2:$A$201,$A192,$AU$2:$AU$201,1,$G$2:$G$201,G192,$AT$2:$AT$201,"&lt;"&amp;AT192)=0,1,0),0)</f>
        <v/>
      </c>
      <c r="AW192" s="17">
        <f>IF(AU192=1,IF(COUNTIFS($A$2:$A$201,$A192,$AU$2:$AU$201,1,$G$2:$G$201,"&gt;"&amp;G192)+COUNTIFS($A$2:$A$201,$A192,$AU$2:$AU$201,1,$G$2:$G$201,G192,$AT$2:$AT$201,"&gt;"&amp;AT192)=0,1,0),0)</f>
        <v/>
      </c>
      <c r="AX192" s="17">
        <f>IF(AND(AU192=1,AN192="Y",Z192="Y",TRIM(AD192)&lt;&gt;""),1,0)</f>
        <v/>
      </c>
      <c r="AY192" s="17">
        <f>IF(AX192=1,IF(COUNTIFS($A$2:$A$201,$A192,$AX$2:$AX$201,1,$G$2:$G$201,"&lt;"&amp;G192)+COUNTIFS($A$2:$A$201,$A192,$AX$2:$AX$201,1,$G$2:$G$201,G192,$AT$2:$AT$201,"&lt;"&amp;AT192)=0,1,0),0)</f>
        <v/>
      </c>
      <c r="AZ192" s="17">
        <f>IF(AND(AU192=1,AN192="Y",AX192=0),1,0)</f>
        <v/>
      </c>
      <c r="BA192" s="17">
        <f>IF(AND(AU192=1,ISNUMBER(V192)),1,0)</f>
        <v/>
      </c>
      <c r="BB192" s="17">
        <f>IF(BA192=1,IF(COUNTIFS($A$2:$A$201,$A192,$BA$2:$BA$201,1,$G$2:$G$201,"&lt;"&amp;G192)+COUNTIFS($A$2:$A$201,$A192,$BA$2:$BA$201,1,$G$2:$G$201,G192,$AT$2:$AT$201,"&lt;"&amp;AT192)=0,1,0),0)</f>
        <v/>
      </c>
      <c r="BC192" s="17">
        <f>IF(AND(BB192=1,G192&lt;=Config!$B$6),V192,"")</f>
        <v/>
      </c>
      <c r="BD192" s="17">
        <f>IF(AND(BB192=1,G192&lt;=Config!$B$7),V192,"")</f>
        <v/>
      </c>
      <c r="BE192" s="17">
        <f>IF(AND(BB192=1,G192&lt;=Config!$B$8),V192,"")</f>
        <v/>
      </c>
      <c r="BF192" s="17">
        <f>IF(AND(BB192=1,G192&lt;=Config!$B$5),V192,"")</f>
        <v/>
      </c>
      <c r="BG192" s="17">
        <f>IF(BW192=1,IF(COUNTIFS($A$2:$A$201,$A192,$BW$2:$BW$201,1,$G$2:$G$201,"&lt;"&amp;G192)+COUNTIFS($A$2:$A$201,$A192,$BW$2:$BW$201,1,$G$2:$G$201,G192,$AT$2:$AT$201,"&lt;"&amp;AT192)=0,1,0),0)</f>
        <v/>
      </c>
      <c r="BH192" s="17">
        <f>IF(AND(AU192=1,ISNUMBER(K192)),1,0)</f>
        <v/>
      </c>
      <c r="BI192" s="17">
        <f>IF(BH192=1,IF(COUNTIFS($A$2:$A$201,$A192,$BH$2:$BH$201,1,$G$2:$G$201,"&lt;"&amp;G192)+COUNTIFS($A$2:$A$201,$A192,$BH$2:$BH$201,1,$G$2:$G$201,G192,$AT$2:$AT$201,"&lt;"&amp;AT192)=0,1,0),0)</f>
        <v/>
      </c>
      <c r="BJ192" s="17">
        <f>IF(AND(BI192=1,G192&lt;=Config!$B$5),K192,"")</f>
        <v/>
      </c>
      <c r="BK192" s="17">
        <f>IF(AND(AU192=1,OR(TRIM(U192)&lt;&gt;"",ISNUMBER(V192))),1,0)</f>
        <v/>
      </c>
      <c r="BL192" s="17">
        <f>IF(BK192=1,IF(COUNTIFS($A$2:$A$201,$A192,$BK$2:$BK$201,1,$G$2:$G$201,"&lt;"&amp;G192)+COUNTIFS($A$2:$A$201,$A192,$BK$2:$BK$201,1,$G$2:$G$201,G192,$AT$2:$AT$201,"&lt;"&amp;AT192)=0,1,0),0)</f>
        <v/>
      </c>
      <c r="BM192" s="17">
        <f>IF(BL192=1,$A192,"")</f>
        <v/>
      </c>
      <c r="BN192" s="17">
        <f>IF(AND(AU192=1,T192="Y",TRIM(U192)=""),1,0)</f>
        <v/>
      </c>
      <c r="BO192" s="17">
        <f>IF(AU192=1,AJ192&amp;"","")</f>
        <v/>
      </c>
      <c r="BP192" s="17">
        <f>IF(AU192=1,AK192&amp;"","")</f>
        <v/>
      </c>
      <c r="BQ192" s="17">
        <f>IF(AU192=1,AL192&amp;"","")</f>
        <v/>
      </c>
      <c r="BR192" s="17">
        <f>IF(AND(AU192=1,ISNUMBER(AP192),G192&lt;=Config!$B$5),AP192,"")</f>
        <v/>
      </c>
      <c r="BS192" s="17">
        <f>IF(AU192=1,IF(COUNTIFS($A$2:$A$201,$A192,$AN$2:$AN$201,"Y",$AU$2:$AU$201,1)&gt;0,"Y","N"),"")</f>
        <v/>
      </c>
      <c r="BT192" s="17">
        <f>IF(AND(AU192=1,AN192="maybe"),1,0)</f>
        <v/>
      </c>
      <c r="BU192" s="17">
        <f>IF(BT192=1,IF(COUNTIFS($A$2:$A$201,$A192,$BT$2:$BT$201,1,$G$2:$G$201,"&lt;"&amp;G192)+COUNTIFS($A$2:$A$201,$A192,$BT$2:$BT$201,1,$G$2:$G$201,G192,$AT$2:$AT$201,"&lt;"&amp;AT192)=0,1,0),0)</f>
        <v/>
      </c>
      <c r="BV192" s="17">
        <f>IF(AND(AU192=1,AN192="Y"),IF(COUNTIFS($A$2:$A$201,$A192,$AN$2:$AN$201,"Y",$AU$2:$AU$201,1,$G$2:$G$201,"&lt;"&amp;G192)+COUNTIFS($A$2:$A$201,$A192,$AN$2:$AN$201,"Y",$AU$2:$AU$201,1,$G$2:$G$201,G192,$AT$2:$AT$201,"&lt;"&amp;AT192)=0,1,0),0)</f>
        <v/>
      </c>
      <c r="BW192" s="17">
        <f>IF(AND(BA192=1,N(V192)&gt;=Config!$B$15),1,0)</f>
        <v/>
      </c>
      <c r="BX192" s="17">
        <f>IF(AU192=1,IFERROR(MATCH($A192,INDEX(Clay_Offices!$A$2:$FZ$601,0,Sync!$C$5),0),""),"")</f>
        <v/>
      </c>
      <c r="BY192" s="17">
        <f>IF(BX192="","",IFERROR(INDEX(Clay_Offices!$A$2:$FZ$601,BX192,Sync!$C$7)&amp;"",""))</f>
        <v/>
      </c>
      <c r="BZ192" s="17">
        <f>IF(BY192="","",IFERROR(INDEX(Lists!$J$2:$J$15,MATCH(BY192,Lists!$I$2:$I$15,0)),""))</f>
        <v/>
      </c>
      <c r="CA192" s="17">
        <f>IF(BX192="","",IFERROR(INDEX(Clay_Offices!$A$2:$FZ$601,BX192,Sync!$C$17)&amp;"",""))</f>
        <v/>
      </c>
      <c r="CB192" s="23">
        <f>IF(BX192="","",IFERROR(N(INDEX(Clay_Offices!$A$2:$FZ$601,BX192,Sync!$C$16)),0))</f>
        <v/>
      </c>
    </row>
    <row r="193">
      <c r="G193" s="22" t="n"/>
      <c r="AS193" s="17">
        <f>IF(TRIM($A193)="","",IF(AND(LEFT($A193,6)="SAMPLE",Config!$B$19&lt;&gt;"Y"),"",IF(NOT(ISNUMBER(G193)),"call_date is blank or not a date",IF(Sync!$C$5="","Clay paste is empty or has no row_id column: paste the Clay export on Clay_Offices",IF(BX193="","row_id not found in the Clay paste: add the Clay row or fix the row_id",IF(AND(ISNUMBER(BZ193),BZ193&gt;=1,BZ193&lt;=5),"Clay status is "&amp;BY193&amp;": set call_done or later",IF(AND(AW193=1,CA193&lt;&gt;BS193),"Clay yes_in_principle should be "&amp;BS193,IF(AND(AW193=1,CB193&lt;&gt;G193),"Clay call_date should be "&amp;TEXT(G193,"yyyy-mm-dd"),""))))))))</f>
        <v/>
      </c>
      <c r="AT193" s="17">
        <f>ROW()</f>
        <v/>
      </c>
      <c r="AU193" s="17">
        <f>IF(AND(TRIM($A193)&lt;&gt;"",ISNUMBER(G193)),IF(AND(LEFT($A193,6)="SAMPLE",Config!$B$19&lt;&gt;"Y"),0,1),0)</f>
        <v/>
      </c>
      <c r="AV193" s="17">
        <f>IF(AU193=1,IF(COUNTIFS($A$2:$A$201,$A193,$AU$2:$AU$201,1,$G$2:$G$201,"&lt;"&amp;G193)+COUNTIFS($A$2:$A$201,$A193,$AU$2:$AU$201,1,$G$2:$G$201,G193,$AT$2:$AT$201,"&lt;"&amp;AT193)=0,1,0),0)</f>
        <v/>
      </c>
      <c r="AW193" s="17">
        <f>IF(AU193=1,IF(COUNTIFS($A$2:$A$201,$A193,$AU$2:$AU$201,1,$G$2:$G$201,"&gt;"&amp;G193)+COUNTIFS($A$2:$A$201,$A193,$AU$2:$AU$201,1,$G$2:$G$201,G193,$AT$2:$AT$201,"&gt;"&amp;AT193)=0,1,0),0)</f>
        <v/>
      </c>
      <c r="AX193" s="17">
        <f>IF(AND(AU193=1,AN193="Y",Z193="Y",TRIM(AD193)&lt;&gt;""),1,0)</f>
        <v/>
      </c>
      <c r="AY193" s="17">
        <f>IF(AX193=1,IF(COUNTIFS($A$2:$A$201,$A193,$AX$2:$AX$201,1,$G$2:$G$201,"&lt;"&amp;G193)+COUNTIFS($A$2:$A$201,$A193,$AX$2:$AX$201,1,$G$2:$G$201,G193,$AT$2:$AT$201,"&lt;"&amp;AT193)=0,1,0),0)</f>
        <v/>
      </c>
      <c r="AZ193" s="17">
        <f>IF(AND(AU193=1,AN193="Y",AX193=0),1,0)</f>
        <v/>
      </c>
      <c r="BA193" s="17">
        <f>IF(AND(AU193=1,ISNUMBER(V193)),1,0)</f>
        <v/>
      </c>
      <c r="BB193" s="17">
        <f>IF(BA193=1,IF(COUNTIFS($A$2:$A$201,$A193,$BA$2:$BA$201,1,$G$2:$G$201,"&lt;"&amp;G193)+COUNTIFS($A$2:$A$201,$A193,$BA$2:$BA$201,1,$G$2:$G$201,G193,$AT$2:$AT$201,"&lt;"&amp;AT193)=0,1,0),0)</f>
        <v/>
      </c>
      <c r="BC193" s="17">
        <f>IF(AND(BB193=1,G193&lt;=Config!$B$6),V193,"")</f>
        <v/>
      </c>
      <c r="BD193" s="17">
        <f>IF(AND(BB193=1,G193&lt;=Config!$B$7),V193,"")</f>
        <v/>
      </c>
      <c r="BE193" s="17">
        <f>IF(AND(BB193=1,G193&lt;=Config!$B$8),V193,"")</f>
        <v/>
      </c>
      <c r="BF193" s="17">
        <f>IF(AND(BB193=1,G193&lt;=Config!$B$5),V193,"")</f>
        <v/>
      </c>
      <c r="BG193" s="17">
        <f>IF(BW193=1,IF(COUNTIFS($A$2:$A$201,$A193,$BW$2:$BW$201,1,$G$2:$G$201,"&lt;"&amp;G193)+COUNTIFS($A$2:$A$201,$A193,$BW$2:$BW$201,1,$G$2:$G$201,G193,$AT$2:$AT$201,"&lt;"&amp;AT193)=0,1,0),0)</f>
        <v/>
      </c>
      <c r="BH193" s="17">
        <f>IF(AND(AU193=1,ISNUMBER(K193)),1,0)</f>
        <v/>
      </c>
      <c r="BI193" s="17">
        <f>IF(BH193=1,IF(COUNTIFS($A$2:$A$201,$A193,$BH$2:$BH$201,1,$G$2:$G$201,"&lt;"&amp;G193)+COUNTIFS($A$2:$A$201,$A193,$BH$2:$BH$201,1,$G$2:$G$201,G193,$AT$2:$AT$201,"&lt;"&amp;AT193)=0,1,0),0)</f>
        <v/>
      </c>
      <c r="BJ193" s="17">
        <f>IF(AND(BI193=1,G193&lt;=Config!$B$5),K193,"")</f>
        <v/>
      </c>
      <c r="BK193" s="17">
        <f>IF(AND(AU193=1,OR(TRIM(U193)&lt;&gt;"",ISNUMBER(V193))),1,0)</f>
        <v/>
      </c>
      <c r="BL193" s="17">
        <f>IF(BK193=1,IF(COUNTIFS($A$2:$A$201,$A193,$BK$2:$BK$201,1,$G$2:$G$201,"&lt;"&amp;G193)+COUNTIFS($A$2:$A$201,$A193,$BK$2:$BK$201,1,$G$2:$G$201,G193,$AT$2:$AT$201,"&lt;"&amp;AT193)=0,1,0),0)</f>
        <v/>
      </c>
      <c r="BM193" s="17">
        <f>IF(BL193=1,$A193,"")</f>
        <v/>
      </c>
      <c r="BN193" s="17">
        <f>IF(AND(AU193=1,T193="Y",TRIM(U193)=""),1,0)</f>
        <v/>
      </c>
      <c r="BO193" s="17">
        <f>IF(AU193=1,AJ193&amp;"","")</f>
        <v/>
      </c>
      <c r="BP193" s="17">
        <f>IF(AU193=1,AK193&amp;"","")</f>
        <v/>
      </c>
      <c r="BQ193" s="17">
        <f>IF(AU193=1,AL193&amp;"","")</f>
        <v/>
      </c>
      <c r="BR193" s="17">
        <f>IF(AND(AU193=1,ISNUMBER(AP193),G193&lt;=Config!$B$5),AP193,"")</f>
        <v/>
      </c>
      <c r="BS193" s="17">
        <f>IF(AU193=1,IF(COUNTIFS($A$2:$A$201,$A193,$AN$2:$AN$201,"Y",$AU$2:$AU$201,1)&gt;0,"Y","N"),"")</f>
        <v/>
      </c>
      <c r="BT193" s="17">
        <f>IF(AND(AU193=1,AN193="maybe"),1,0)</f>
        <v/>
      </c>
      <c r="BU193" s="17">
        <f>IF(BT193=1,IF(COUNTIFS($A$2:$A$201,$A193,$BT$2:$BT$201,1,$G$2:$G$201,"&lt;"&amp;G193)+COUNTIFS($A$2:$A$201,$A193,$BT$2:$BT$201,1,$G$2:$G$201,G193,$AT$2:$AT$201,"&lt;"&amp;AT193)=0,1,0),0)</f>
        <v/>
      </c>
      <c r="BV193" s="17">
        <f>IF(AND(AU193=1,AN193="Y"),IF(COUNTIFS($A$2:$A$201,$A193,$AN$2:$AN$201,"Y",$AU$2:$AU$201,1,$G$2:$G$201,"&lt;"&amp;G193)+COUNTIFS($A$2:$A$201,$A193,$AN$2:$AN$201,"Y",$AU$2:$AU$201,1,$G$2:$G$201,G193,$AT$2:$AT$201,"&lt;"&amp;AT193)=0,1,0),0)</f>
        <v/>
      </c>
      <c r="BW193" s="17">
        <f>IF(AND(BA193=1,N(V193)&gt;=Config!$B$15),1,0)</f>
        <v/>
      </c>
      <c r="BX193" s="17">
        <f>IF(AU193=1,IFERROR(MATCH($A193,INDEX(Clay_Offices!$A$2:$FZ$601,0,Sync!$C$5),0),""),"")</f>
        <v/>
      </c>
      <c r="BY193" s="17">
        <f>IF(BX193="","",IFERROR(INDEX(Clay_Offices!$A$2:$FZ$601,BX193,Sync!$C$7)&amp;"",""))</f>
        <v/>
      </c>
      <c r="BZ193" s="17">
        <f>IF(BY193="","",IFERROR(INDEX(Lists!$J$2:$J$15,MATCH(BY193,Lists!$I$2:$I$15,0)),""))</f>
        <v/>
      </c>
      <c r="CA193" s="17">
        <f>IF(BX193="","",IFERROR(INDEX(Clay_Offices!$A$2:$FZ$601,BX193,Sync!$C$17)&amp;"",""))</f>
        <v/>
      </c>
      <c r="CB193" s="23">
        <f>IF(BX193="","",IFERROR(N(INDEX(Clay_Offices!$A$2:$FZ$601,BX193,Sync!$C$16)),0))</f>
        <v/>
      </c>
    </row>
    <row r="194">
      <c r="G194" s="22" t="n"/>
      <c r="AS194" s="17">
        <f>IF(TRIM($A194)="","",IF(AND(LEFT($A194,6)="SAMPLE",Config!$B$19&lt;&gt;"Y"),"",IF(NOT(ISNUMBER(G194)),"call_date is blank or not a date",IF(Sync!$C$5="","Clay paste is empty or has no row_id column: paste the Clay export on Clay_Offices",IF(BX194="","row_id not found in the Clay paste: add the Clay row or fix the row_id",IF(AND(ISNUMBER(BZ194),BZ194&gt;=1,BZ194&lt;=5),"Clay status is "&amp;BY194&amp;": set call_done or later",IF(AND(AW194=1,CA194&lt;&gt;BS194),"Clay yes_in_principle should be "&amp;BS194,IF(AND(AW194=1,CB194&lt;&gt;G194),"Clay call_date should be "&amp;TEXT(G194,"yyyy-mm-dd"),""))))))))</f>
        <v/>
      </c>
      <c r="AT194" s="17">
        <f>ROW()</f>
        <v/>
      </c>
      <c r="AU194" s="17">
        <f>IF(AND(TRIM($A194)&lt;&gt;"",ISNUMBER(G194)),IF(AND(LEFT($A194,6)="SAMPLE",Config!$B$19&lt;&gt;"Y"),0,1),0)</f>
        <v/>
      </c>
      <c r="AV194" s="17">
        <f>IF(AU194=1,IF(COUNTIFS($A$2:$A$201,$A194,$AU$2:$AU$201,1,$G$2:$G$201,"&lt;"&amp;G194)+COUNTIFS($A$2:$A$201,$A194,$AU$2:$AU$201,1,$G$2:$G$201,G194,$AT$2:$AT$201,"&lt;"&amp;AT194)=0,1,0),0)</f>
        <v/>
      </c>
      <c r="AW194" s="17">
        <f>IF(AU194=1,IF(COUNTIFS($A$2:$A$201,$A194,$AU$2:$AU$201,1,$G$2:$G$201,"&gt;"&amp;G194)+COUNTIFS($A$2:$A$201,$A194,$AU$2:$AU$201,1,$G$2:$G$201,G194,$AT$2:$AT$201,"&gt;"&amp;AT194)=0,1,0),0)</f>
        <v/>
      </c>
      <c r="AX194" s="17">
        <f>IF(AND(AU194=1,AN194="Y",Z194="Y",TRIM(AD194)&lt;&gt;""),1,0)</f>
        <v/>
      </c>
      <c r="AY194" s="17">
        <f>IF(AX194=1,IF(COUNTIFS($A$2:$A$201,$A194,$AX$2:$AX$201,1,$G$2:$G$201,"&lt;"&amp;G194)+COUNTIFS($A$2:$A$201,$A194,$AX$2:$AX$201,1,$G$2:$G$201,G194,$AT$2:$AT$201,"&lt;"&amp;AT194)=0,1,0),0)</f>
        <v/>
      </c>
      <c r="AZ194" s="17">
        <f>IF(AND(AU194=1,AN194="Y",AX194=0),1,0)</f>
        <v/>
      </c>
      <c r="BA194" s="17">
        <f>IF(AND(AU194=1,ISNUMBER(V194)),1,0)</f>
        <v/>
      </c>
      <c r="BB194" s="17">
        <f>IF(BA194=1,IF(COUNTIFS($A$2:$A$201,$A194,$BA$2:$BA$201,1,$G$2:$G$201,"&lt;"&amp;G194)+COUNTIFS($A$2:$A$201,$A194,$BA$2:$BA$201,1,$G$2:$G$201,G194,$AT$2:$AT$201,"&lt;"&amp;AT194)=0,1,0),0)</f>
        <v/>
      </c>
      <c r="BC194" s="17">
        <f>IF(AND(BB194=1,G194&lt;=Config!$B$6),V194,"")</f>
        <v/>
      </c>
      <c r="BD194" s="17">
        <f>IF(AND(BB194=1,G194&lt;=Config!$B$7),V194,"")</f>
        <v/>
      </c>
      <c r="BE194" s="17">
        <f>IF(AND(BB194=1,G194&lt;=Config!$B$8),V194,"")</f>
        <v/>
      </c>
      <c r="BF194" s="17">
        <f>IF(AND(BB194=1,G194&lt;=Config!$B$5),V194,"")</f>
        <v/>
      </c>
      <c r="BG194" s="17">
        <f>IF(BW194=1,IF(COUNTIFS($A$2:$A$201,$A194,$BW$2:$BW$201,1,$G$2:$G$201,"&lt;"&amp;G194)+COUNTIFS($A$2:$A$201,$A194,$BW$2:$BW$201,1,$G$2:$G$201,G194,$AT$2:$AT$201,"&lt;"&amp;AT194)=0,1,0),0)</f>
        <v/>
      </c>
      <c r="BH194" s="17">
        <f>IF(AND(AU194=1,ISNUMBER(K194)),1,0)</f>
        <v/>
      </c>
      <c r="BI194" s="17">
        <f>IF(BH194=1,IF(COUNTIFS($A$2:$A$201,$A194,$BH$2:$BH$201,1,$G$2:$G$201,"&lt;"&amp;G194)+COUNTIFS($A$2:$A$201,$A194,$BH$2:$BH$201,1,$G$2:$G$201,G194,$AT$2:$AT$201,"&lt;"&amp;AT194)=0,1,0),0)</f>
        <v/>
      </c>
      <c r="BJ194" s="17">
        <f>IF(AND(BI194=1,G194&lt;=Config!$B$5),K194,"")</f>
        <v/>
      </c>
      <c r="BK194" s="17">
        <f>IF(AND(AU194=1,OR(TRIM(U194)&lt;&gt;"",ISNUMBER(V194))),1,0)</f>
        <v/>
      </c>
      <c r="BL194" s="17">
        <f>IF(BK194=1,IF(COUNTIFS($A$2:$A$201,$A194,$BK$2:$BK$201,1,$G$2:$G$201,"&lt;"&amp;G194)+COUNTIFS($A$2:$A$201,$A194,$BK$2:$BK$201,1,$G$2:$G$201,G194,$AT$2:$AT$201,"&lt;"&amp;AT194)=0,1,0),0)</f>
        <v/>
      </c>
      <c r="BM194" s="17">
        <f>IF(BL194=1,$A194,"")</f>
        <v/>
      </c>
      <c r="BN194" s="17">
        <f>IF(AND(AU194=1,T194="Y",TRIM(U194)=""),1,0)</f>
        <v/>
      </c>
      <c r="BO194" s="17">
        <f>IF(AU194=1,AJ194&amp;"","")</f>
        <v/>
      </c>
      <c r="BP194" s="17">
        <f>IF(AU194=1,AK194&amp;"","")</f>
        <v/>
      </c>
      <c r="BQ194" s="17">
        <f>IF(AU194=1,AL194&amp;"","")</f>
        <v/>
      </c>
      <c r="BR194" s="17">
        <f>IF(AND(AU194=1,ISNUMBER(AP194),G194&lt;=Config!$B$5),AP194,"")</f>
        <v/>
      </c>
      <c r="BS194" s="17">
        <f>IF(AU194=1,IF(COUNTIFS($A$2:$A$201,$A194,$AN$2:$AN$201,"Y",$AU$2:$AU$201,1)&gt;0,"Y","N"),"")</f>
        <v/>
      </c>
      <c r="BT194" s="17">
        <f>IF(AND(AU194=1,AN194="maybe"),1,0)</f>
        <v/>
      </c>
      <c r="BU194" s="17">
        <f>IF(BT194=1,IF(COUNTIFS($A$2:$A$201,$A194,$BT$2:$BT$201,1,$G$2:$G$201,"&lt;"&amp;G194)+COUNTIFS($A$2:$A$201,$A194,$BT$2:$BT$201,1,$G$2:$G$201,G194,$AT$2:$AT$201,"&lt;"&amp;AT194)=0,1,0),0)</f>
        <v/>
      </c>
      <c r="BV194" s="17">
        <f>IF(AND(AU194=1,AN194="Y"),IF(COUNTIFS($A$2:$A$201,$A194,$AN$2:$AN$201,"Y",$AU$2:$AU$201,1,$G$2:$G$201,"&lt;"&amp;G194)+COUNTIFS($A$2:$A$201,$A194,$AN$2:$AN$201,"Y",$AU$2:$AU$201,1,$G$2:$G$201,G194,$AT$2:$AT$201,"&lt;"&amp;AT194)=0,1,0),0)</f>
        <v/>
      </c>
      <c r="BW194" s="17">
        <f>IF(AND(BA194=1,N(V194)&gt;=Config!$B$15),1,0)</f>
        <v/>
      </c>
      <c r="BX194" s="17">
        <f>IF(AU194=1,IFERROR(MATCH($A194,INDEX(Clay_Offices!$A$2:$FZ$601,0,Sync!$C$5),0),""),"")</f>
        <v/>
      </c>
      <c r="BY194" s="17">
        <f>IF(BX194="","",IFERROR(INDEX(Clay_Offices!$A$2:$FZ$601,BX194,Sync!$C$7)&amp;"",""))</f>
        <v/>
      </c>
      <c r="BZ194" s="17">
        <f>IF(BY194="","",IFERROR(INDEX(Lists!$J$2:$J$15,MATCH(BY194,Lists!$I$2:$I$15,0)),""))</f>
        <v/>
      </c>
      <c r="CA194" s="17">
        <f>IF(BX194="","",IFERROR(INDEX(Clay_Offices!$A$2:$FZ$601,BX194,Sync!$C$17)&amp;"",""))</f>
        <v/>
      </c>
      <c r="CB194" s="23">
        <f>IF(BX194="","",IFERROR(N(INDEX(Clay_Offices!$A$2:$FZ$601,BX194,Sync!$C$16)),0))</f>
        <v/>
      </c>
    </row>
    <row r="195">
      <c r="G195" s="22" t="n"/>
      <c r="AS195" s="17">
        <f>IF(TRIM($A195)="","",IF(AND(LEFT($A195,6)="SAMPLE",Config!$B$19&lt;&gt;"Y"),"",IF(NOT(ISNUMBER(G195)),"call_date is blank or not a date",IF(Sync!$C$5="","Clay paste is empty or has no row_id column: paste the Clay export on Clay_Offices",IF(BX195="","row_id not found in the Clay paste: add the Clay row or fix the row_id",IF(AND(ISNUMBER(BZ195),BZ195&gt;=1,BZ195&lt;=5),"Clay status is "&amp;BY195&amp;": set call_done or later",IF(AND(AW195=1,CA195&lt;&gt;BS195),"Clay yes_in_principle should be "&amp;BS195,IF(AND(AW195=1,CB195&lt;&gt;G195),"Clay call_date should be "&amp;TEXT(G195,"yyyy-mm-dd"),""))))))))</f>
        <v/>
      </c>
      <c r="AT195" s="17">
        <f>ROW()</f>
        <v/>
      </c>
      <c r="AU195" s="17">
        <f>IF(AND(TRIM($A195)&lt;&gt;"",ISNUMBER(G195)),IF(AND(LEFT($A195,6)="SAMPLE",Config!$B$19&lt;&gt;"Y"),0,1),0)</f>
        <v/>
      </c>
      <c r="AV195" s="17">
        <f>IF(AU195=1,IF(COUNTIFS($A$2:$A$201,$A195,$AU$2:$AU$201,1,$G$2:$G$201,"&lt;"&amp;G195)+COUNTIFS($A$2:$A$201,$A195,$AU$2:$AU$201,1,$G$2:$G$201,G195,$AT$2:$AT$201,"&lt;"&amp;AT195)=0,1,0),0)</f>
        <v/>
      </c>
      <c r="AW195" s="17">
        <f>IF(AU195=1,IF(COUNTIFS($A$2:$A$201,$A195,$AU$2:$AU$201,1,$G$2:$G$201,"&gt;"&amp;G195)+COUNTIFS($A$2:$A$201,$A195,$AU$2:$AU$201,1,$G$2:$G$201,G195,$AT$2:$AT$201,"&gt;"&amp;AT195)=0,1,0),0)</f>
        <v/>
      </c>
      <c r="AX195" s="17">
        <f>IF(AND(AU195=1,AN195="Y",Z195="Y",TRIM(AD195)&lt;&gt;""),1,0)</f>
        <v/>
      </c>
      <c r="AY195" s="17">
        <f>IF(AX195=1,IF(COUNTIFS($A$2:$A$201,$A195,$AX$2:$AX$201,1,$G$2:$G$201,"&lt;"&amp;G195)+COUNTIFS($A$2:$A$201,$A195,$AX$2:$AX$201,1,$G$2:$G$201,G195,$AT$2:$AT$201,"&lt;"&amp;AT195)=0,1,0),0)</f>
        <v/>
      </c>
      <c r="AZ195" s="17">
        <f>IF(AND(AU195=1,AN195="Y",AX195=0),1,0)</f>
        <v/>
      </c>
      <c r="BA195" s="17">
        <f>IF(AND(AU195=1,ISNUMBER(V195)),1,0)</f>
        <v/>
      </c>
      <c r="BB195" s="17">
        <f>IF(BA195=1,IF(COUNTIFS($A$2:$A$201,$A195,$BA$2:$BA$201,1,$G$2:$G$201,"&lt;"&amp;G195)+COUNTIFS($A$2:$A$201,$A195,$BA$2:$BA$201,1,$G$2:$G$201,G195,$AT$2:$AT$201,"&lt;"&amp;AT195)=0,1,0),0)</f>
        <v/>
      </c>
      <c r="BC195" s="17">
        <f>IF(AND(BB195=1,G195&lt;=Config!$B$6),V195,"")</f>
        <v/>
      </c>
      <c r="BD195" s="17">
        <f>IF(AND(BB195=1,G195&lt;=Config!$B$7),V195,"")</f>
        <v/>
      </c>
      <c r="BE195" s="17">
        <f>IF(AND(BB195=1,G195&lt;=Config!$B$8),V195,"")</f>
        <v/>
      </c>
      <c r="BF195" s="17">
        <f>IF(AND(BB195=1,G195&lt;=Config!$B$5),V195,"")</f>
        <v/>
      </c>
      <c r="BG195" s="17">
        <f>IF(BW195=1,IF(COUNTIFS($A$2:$A$201,$A195,$BW$2:$BW$201,1,$G$2:$G$201,"&lt;"&amp;G195)+COUNTIFS($A$2:$A$201,$A195,$BW$2:$BW$201,1,$G$2:$G$201,G195,$AT$2:$AT$201,"&lt;"&amp;AT195)=0,1,0),0)</f>
        <v/>
      </c>
      <c r="BH195" s="17">
        <f>IF(AND(AU195=1,ISNUMBER(K195)),1,0)</f>
        <v/>
      </c>
      <c r="BI195" s="17">
        <f>IF(BH195=1,IF(COUNTIFS($A$2:$A$201,$A195,$BH$2:$BH$201,1,$G$2:$G$201,"&lt;"&amp;G195)+COUNTIFS($A$2:$A$201,$A195,$BH$2:$BH$201,1,$G$2:$G$201,G195,$AT$2:$AT$201,"&lt;"&amp;AT195)=0,1,0),0)</f>
        <v/>
      </c>
      <c r="BJ195" s="17">
        <f>IF(AND(BI195=1,G195&lt;=Config!$B$5),K195,"")</f>
        <v/>
      </c>
      <c r="BK195" s="17">
        <f>IF(AND(AU195=1,OR(TRIM(U195)&lt;&gt;"",ISNUMBER(V195))),1,0)</f>
        <v/>
      </c>
      <c r="BL195" s="17">
        <f>IF(BK195=1,IF(COUNTIFS($A$2:$A$201,$A195,$BK$2:$BK$201,1,$G$2:$G$201,"&lt;"&amp;G195)+COUNTIFS($A$2:$A$201,$A195,$BK$2:$BK$201,1,$G$2:$G$201,G195,$AT$2:$AT$201,"&lt;"&amp;AT195)=0,1,0),0)</f>
        <v/>
      </c>
      <c r="BM195" s="17">
        <f>IF(BL195=1,$A195,"")</f>
        <v/>
      </c>
      <c r="BN195" s="17">
        <f>IF(AND(AU195=1,T195="Y",TRIM(U195)=""),1,0)</f>
        <v/>
      </c>
      <c r="BO195" s="17">
        <f>IF(AU195=1,AJ195&amp;"","")</f>
        <v/>
      </c>
      <c r="BP195" s="17">
        <f>IF(AU195=1,AK195&amp;"","")</f>
        <v/>
      </c>
      <c r="BQ195" s="17">
        <f>IF(AU195=1,AL195&amp;"","")</f>
        <v/>
      </c>
      <c r="BR195" s="17">
        <f>IF(AND(AU195=1,ISNUMBER(AP195),G195&lt;=Config!$B$5),AP195,"")</f>
        <v/>
      </c>
      <c r="BS195" s="17">
        <f>IF(AU195=1,IF(COUNTIFS($A$2:$A$201,$A195,$AN$2:$AN$201,"Y",$AU$2:$AU$201,1)&gt;0,"Y","N"),"")</f>
        <v/>
      </c>
      <c r="BT195" s="17">
        <f>IF(AND(AU195=1,AN195="maybe"),1,0)</f>
        <v/>
      </c>
      <c r="BU195" s="17">
        <f>IF(BT195=1,IF(COUNTIFS($A$2:$A$201,$A195,$BT$2:$BT$201,1,$G$2:$G$201,"&lt;"&amp;G195)+COUNTIFS($A$2:$A$201,$A195,$BT$2:$BT$201,1,$G$2:$G$201,G195,$AT$2:$AT$201,"&lt;"&amp;AT195)=0,1,0),0)</f>
        <v/>
      </c>
      <c r="BV195" s="17">
        <f>IF(AND(AU195=1,AN195="Y"),IF(COUNTIFS($A$2:$A$201,$A195,$AN$2:$AN$201,"Y",$AU$2:$AU$201,1,$G$2:$G$201,"&lt;"&amp;G195)+COUNTIFS($A$2:$A$201,$A195,$AN$2:$AN$201,"Y",$AU$2:$AU$201,1,$G$2:$G$201,G195,$AT$2:$AT$201,"&lt;"&amp;AT195)=0,1,0),0)</f>
        <v/>
      </c>
      <c r="BW195" s="17">
        <f>IF(AND(BA195=1,N(V195)&gt;=Config!$B$15),1,0)</f>
        <v/>
      </c>
      <c r="BX195" s="17">
        <f>IF(AU195=1,IFERROR(MATCH($A195,INDEX(Clay_Offices!$A$2:$FZ$601,0,Sync!$C$5),0),""),"")</f>
        <v/>
      </c>
      <c r="BY195" s="17">
        <f>IF(BX195="","",IFERROR(INDEX(Clay_Offices!$A$2:$FZ$601,BX195,Sync!$C$7)&amp;"",""))</f>
        <v/>
      </c>
      <c r="BZ195" s="17">
        <f>IF(BY195="","",IFERROR(INDEX(Lists!$J$2:$J$15,MATCH(BY195,Lists!$I$2:$I$15,0)),""))</f>
        <v/>
      </c>
      <c r="CA195" s="17">
        <f>IF(BX195="","",IFERROR(INDEX(Clay_Offices!$A$2:$FZ$601,BX195,Sync!$C$17)&amp;"",""))</f>
        <v/>
      </c>
      <c r="CB195" s="23">
        <f>IF(BX195="","",IFERROR(N(INDEX(Clay_Offices!$A$2:$FZ$601,BX195,Sync!$C$16)),0))</f>
        <v/>
      </c>
    </row>
    <row r="196">
      <c r="G196" s="22" t="n"/>
      <c r="AS196" s="17">
        <f>IF(TRIM($A196)="","",IF(AND(LEFT($A196,6)="SAMPLE",Config!$B$19&lt;&gt;"Y"),"",IF(NOT(ISNUMBER(G196)),"call_date is blank or not a date",IF(Sync!$C$5="","Clay paste is empty or has no row_id column: paste the Clay export on Clay_Offices",IF(BX196="","row_id not found in the Clay paste: add the Clay row or fix the row_id",IF(AND(ISNUMBER(BZ196),BZ196&gt;=1,BZ196&lt;=5),"Clay status is "&amp;BY196&amp;": set call_done or later",IF(AND(AW196=1,CA196&lt;&gt;BS196),"Clay yes_in_principle should be "&amp;BS196,IF(AND(AW196=1,CB196&lt;&gt;G196),"Clay call_date should be "&amp;TEXT(G196,"yyyy-mm-dd"),""))))))))</f>
        <v/>
      </c>
      <c r="AT196" s="17">
        <f>ROW()</f>
        <v/>
      </c>
      <c r="AU196" s="17">
        <f>IF(AND(TRIM($A196)&lt;&gt;"",ISNUMBER(G196)),IF(AND(LEFT($A196,6)="SAMPLE",Config!$B$19&lt;&gt;"Y"),0,1),0)</f>
        <v/>
      </c>
      <c r="AV196" s="17">
        <f>IF(AU196=1,IF(COUNTIFS($A$2:$A$201,$A196,$AU$2:$AU$201,1,$G$2:$G$201,"&lt;"&amp;G196)+COUNTIFS($A$2:$A$201,$A196,$AU$2:$AU$201,1,$G$2:$G$201,G196,$AT$2:$AT$201,"&lt;"&amp;AT196)=0,1,0),0)</f>
        <v/>
      </c>
      <c r="AW196" s="17">
        <f>IF(AU196=1,IF(COUNTIFS($A$2:$A$201,$A196,$AU$2:$AU$201,1,$G$2:$G$201,"&gt;"&amp;G196)+COUNTIFS($A$2:$A$201,$A196,$AU$2:$AU$201,1,$G$2:$G$201,G196,$AT$2:$AT$201,"&gt;"&amp;AT196)=0,1,0),0)</f>
        <v/>
      </c>
      <c r="AX196" s="17">
        <f>IF(AND(AU196=1,AN196="Y",Z196="Y",TRIM(AD196)&lt;&gt;""),1,0)</f>
        <v/>
      </c>
      <c r="AY196" s="17">
        <f>IF(AX196=1,IF(COUNTIFS($A$2:$A$201,$A196,$AX$2:$AX$201,1,$G$2:$G$201,"&lt;"&amp;G196)+COUNTIFS($A$2:$A$201,$A196,$AX$2:$AX$201,1,$G$2:$G$201,G196,$AT$2:$AT$201,"&lt;"&amp;AT196)=0,1,0),0)</f>
        <v/>
      </c>
      <c r="AZ196" s="17">
        <f>IF(AND(AU196=1,AN196="Y",AX196=0),1,0)</f>
        <v/>
      </c>
      <c r="BA196" s="17">
        <f>IF(AND(AU196=1,ISNUMBER(V196)),1,0)</f>
        <v/>
      </c>
      <c r="BB196" s="17">
        <f>IF(BA196=1,IF(COUNTIFS($A$2:$A$201,$A196,$BA$2:$BA$201,1,$G$2:$G$201,"&lt;"&amp;G196)+COUNTIFS($A$2:$A$201,$A196,$BA$2:$BA$201,1,$G$2:$G$201,G196,$AT$2:$AT$201,"&lt;"&amp;AT196)=0,1,0),0)</f>
        <v/>
      </c>
      <c r="BC196" s="17">
        <f>IF(AND(BB196=1,G196&lt;=Config!$B$6),V196,"")</f>
        <v/>
      </c>
      <c r="BD196" s="17">
        <f>IF(AND(BB196=1,G196&lt;=Config!$B$7),V196,"")</f>
        <v/>
      </c>
      <c r="BE196" s="17">
        <f>IF(AND(BB196=1,G196&lt;=Config!$B$8),V196,"")</f>
        <v/>
      </c>
      <c r="BF196" s="17">
        <f>IF(AND(BB196=1,G196&lt;=Config!$B$5),V196,"")</f>
        <v/>
      </c>
      <c r="BG196" s="17">
        <f>IF(BW196=1,IF(COUNTIFS($A$2:$A$201,$A196,$BW$2:$BW$201,1,$G$2:$G$201,"&lt;"&amp;G196)+COUNTIFS($A$2:$A$201,$A196,$BW$2:$BW$201,1,$G$2:$G$201,G196,$AT$2:$AT$201,"&lt;"&amp;AT196)=0,1,0),0)</f>
        <v/>
      </c>
      <c r="BH196" s="17">
        <f>IF(AND(AU196=1,ISNUMBER(K196)),1,0)</f>
        <v/>
      </c>
      <c r="BI196" s="17">
        <f>IF(BH196=1,IF(COUNTIFS($A$2:$A$201,$A196,$BH$2:$BH$201,1,$G$2:$G$201,"&lt;"&amp;G196)+COUNTIFS($A$2:$A$201,$A196,$BH$2:$BH$201,1,$G$2:$G$201,G196,$AT$2:$AT$201,"&lt;"&amp;AT196)=0,1,0),0)</f>
        <v/>
      </c>
      <c r="BJ196" s="17">
        <f>IF(AND(BI196=1,G196&lt;=Config!$B$5),K196,"")</f>
        <v/>
      </c>
      <c r="BK196" s="17">
        <f>IF(AND(AU196=1,OR(TRIM(U196)&lt;&gt;"",ISNUMBER(V196))),1,0)</f>
        <v/>
      </c>
      <c r="BL196" s="17">
        <f>IF(BK196=1,IF(COUNTIFS($A$2:$A$201,$A196,$BK$2:$BK$201,1,$G$2:$G$201,"&lt;"&amp;G196)+COUNTIFS($A$2:$A$201,$A196,$BK$2:$BK$201,1,$G$2:$G$201,G196,$AT$2:$AT$201,"&lt;"&amp;AT196)=0,1,0),0)</f>
        <v/>
      </c>
      <c r="BM196" s="17">
        <f>IF(BL196=1,$A196,"")</f>
        <v/>
      </c>
      <c r="BN196" s="17">
        <f>IF(AND(AU196=1,T196="Y",TRIM(U196)=""),1,0)</f>
        <v/>
      </c>
      <c r="BO196" s="17">
        <f>IF(AU196=1,AJ196&amp;"","")</f>
        <v/>
      </c>
      <c r="BP196" s="17">
        <f>IF(AU196=1,AK196&amp;"","")</f>
        <v/>
      </c>
      <c r="BQ196" s="17">
        <f>IF(AU196=1,AL196&amp;"","")</f>
        <v/>
      </c>
      <c r="BR196" s="17">
        <f>IF(AND(AU196=1,ISNUMBER(AP196),G196&lt;=Config!$B$5),AP196,"")</f>
        <v/>
      </c>
      <c r="BS196" s="17">
        <f>IF(AU196=1,IF(COUNTIFS($A$2:$A$201,$A196,$AN$2:$AN$201,"Y",$AU$2:$AU$201,1)&gt;0,"Y","N"),"")</f>
        <v/>
      </c>
      <c r="BT196" s="17">
        <f>IF(AND(AU196=1,AN196="maybe"),1,0)</f>
        <v/>
      </c>
      <c r="BU196" s="17">
        <f>IF(BT196=1,IF(COUNTIFS($A$2:$A$201,$A196,$BT$2:$BT$201,1,$G$2:$G$201,"&lt;"&amp;G196)+COUNTIFS($A$2:$A$201,$A196,$BT$2:$BT$201,1,$G$2:$G$201,G196,$AT$2:$AT$201,"&lt;"&amp;AT196)=0,1,0),0)</f>
        <v/>
      </c>
      <c r="BV196" s="17">
        <f>IF(AND(AU196=1,AN196="Y"),IF(COUNTIFS($A$2:$A$201,$A196,$AN$2:$AN$201,"Y",$AU$2:$AU$201,1,$G$2:$G$201,"&lt;"&amp;G196)+COUNTIFS($A$2:$A$201,$A196,$AN$2:$AN$201,"Y",$AU$2:$AU$201,1,$G$2:$G$201,G196,$AT$2:$AT$201,"&lt;"&amp;AT196)=0,1,0),0)</f>
        <v/>
      </c>
      <c r="BW196" s="17">
        <f>IF(AND(BA196=1,N(V196)&gt;=Config!$B$15),1,0)</f>
        <v/>
      </c>
      <c r="BX196" s="17">
        <f>IF(AU196=1,IFERROR(MATCH($A196,INDEX(Clay_Offices!$A$2:$FZ$601,0,Sync!$C$5),0),""),"")</f>
        <v/>
      </c>
      <c r="BY196" s="17">
        <f>IF(BX196="","",IFERROR(INDEX(Clay_Offices!$A$2:$FZ$601,BX196,Sync!$C$7)&amp;"",""))</f>
        <v/>
      </c>
      <c r="BZ196" s="17">
        <f>IF(BY196="","",IFERROR(INDEX(Lists!$J$2:$J$15,MATCH(BY196,Lists!$I$2:$I$15,0)),""))</f>
        <v/>
      </c>
      <c r="CA196" s="17">
        <f>IF(BX196="","",IFERROR(INDEX(Clay_Offices!$A$2:$FZ$601,BX196,Sync!$C$17)&amp;"",""))</f>
        <v/>
      </c>
      <c r="CB196" s="23">
        <f>IF(BX196="","",IFERROR(N(INDEX(Clay_Offices!$A$2:$FZ$601,BX196,Sync!$C$16)),0))</f>
        <v/>
      </c>
    </row>
    <row r="197">
      <c r="G197" s="22" t="n"/>
      <c r="AS197" s="17">
        <f>IF(TRIM($A197)="","",IF(AND(LEFT($A197,6)="SAMPLE",Config!$B$19&lt;&gt;"Y"),"",IF(NOT(ISNUMBER(G197)),"call_date is blank or not a date",IF(Sync!$C$5="","Clay paste is empty or has no row_id column: paste the Clay export on Clay_Offices",IF(BX197="","row_id not found in the Clay paste: add the Clay row or fix the row_id",IF(AND(ISNUMBER(BZ197),BZ197&gt;=1,BZ197&lt;=5),"Clay status is "&amp;BY197&amp;": set call_done or later",IF(AND(AW197=1,CA197&lt;&gt;BS197),"Clay yes_in_principle should be "&amp;BS197,IF(AND(AW197=1,CB197&lt;&gt;G197),"Clay call_date should be "&amp;TEXT(G197,"yyyy-mm-dd"),""))))))))</f>
        <v/>
      </c>
      <c r="AT197" s="17">
        <f>ROW()</f>
        <v/>
      </c>
      <c r="AU197" s="17">
        <f>IF(AND(TRIM($A197)&lt;&gt;"",ISNUMBER(G197)),IF(AND(LEFT($A197,6)="SAMPLE",Config!$B$19&lt;&gt;"Y"),0,1),0)</f>
        <v/>
      </c>
      <c r="AV197" s="17">
        <f>IF(AU197=1,IF(COUNTIFS($A$2:$A$201,$A197,$AU$2:$AU$201,1,$G$2:$G$201,"&lt;"&amp;G197)+COUNTIFS($A$2:$A$201,$A197,$AU$2:$AU$201,1,$G$2:$G$201,G197,$AT$2:$AT$201,"&lt;"&amp;AT197)=0,1,0),0)</f>
        <v/>
      </c>
      <c r="AW197" s="17">
        <f>IF(AU197=1,IF(COUNTIFS($A$2:$A$201,$A197,$AU$2:$AU$201,1,$G$2:$G$201,"&gt;"&amp;G197)+COUNTIFS($A$2:$A$201,$A197,$AU$2:$AU$201,1,$G$2:$G$201,G197,$AT$2:$AT$201,"&gt;"&amp;AT197)=0,1,0),0)</f>
        <v/>
      </c>
      <c r="AX197" s="17">
        <f>IF(AND(AU197=1,AN197="Y",Z197="Y",TRIM(AD197)&lt;&gt;""),1,0)</f>
        <v/>
      </c>
      <c r="AY197" s="17">
        <f>IF(AX197=1,IF(COUNTIFS($A$2:$A$201,$A197,$AX$2:$AX$201,1,$G$2:$G$201,"&lt;"&amp;G197)+COUNTIFS($A$2:$A$201,$A197,$AX$2:$AX$201,1,$G$2:$G$201,G197,$AT$2:$AT$201,"&lt;"&amp;AT197)=0,1,0),0)</f>
        <v/>
      </c>
      <c r="AZ197" s="17">
        <f>IF(AND(AU197=1,AN197="Y",AX197=0),1,0)</f>
        <v/>
      </c>
      <c r="BA197" s="17">
        <f>IF(AND(AU197=1,ISNUMBER(V197)),1,0)</f>
        <v/>
      </c>
      <c r="BB197" s="17">
        <f>IF(BA197=1,IF(COUNTIFS($A$2:$A$201,$A197,$BA$2:$BA$201,1,$G$2:$G$201,"&lt;"&amp;G197)+COUNTIFS($A$2:$A$201,$A197,$BA$2:$BA$201,1,$G$2:$G$201,G197,$AT$2:$AT$201,"&lt;"&amp;AT197)=0,1,0),0)</f>
        <v/>
      </c>
      <c r="BC197" s="17">
        <f>IF(AND(BB197=1,G197&lt;=Config!$B$6),V197,"")</f>
        <v/>
      </c>
      <c r="BD197" s="17">
        <f>IF(AND(BB197=1,G197&lt;=Config!$B$7),V197,"")</f>
        <v/>
      </c>
      <c r="BE197" s="17">
        <f>IF(AND(BB197=1,G197&lt;=Config!$B$8),V197,"")</f>
        <v/>
      </c>
      <c r="BF197" s="17">
        <f>IF(AND(BB197=1,G197&lt;=Config!$B$5),V197,"")</f>
        <v/>
      </c>
      <c r="BG197" s="17">
        <f>IF(BW197=1,IF(COUNTIFS($A$2:$A$201,$A197,$BW$2:$BW$201,1,$G$2:$G$201,"&lt;"&amp;G197)+COUNTIFS($A$2:$A$201,$A197,$BW$2:$BW$201,1,$G$2:$G$201,G197,$AT$2:$AT$201,"&lt;"&amp;AT197)=0,1,0),0)</f>
        <v/>
      </c>
      <c r="BH197" s="17">
        <f>IF(AND(AU197=1,ISNUMBER(K197)),1,0)</f>
        <v/>
      </c>
      <c r="BI197" s="17">
        <f>IF(BH197=1,IF(COUNTIFS($A$2:$A$201,$A197,$BH$2:$BH$201,1,$G$2:$G$201,"&lt;"&amp;G197)+COUNTIFS($A$2:$A$201,$A197,$BH$2:$BH$201,1,$G$2:$G$201,G197,$AT$2:$AT$201,"&lt;"&amp;AT197)=0,1,0),0)</f>
        <v/>
      </c>
      <c r="BJ197" s="17">
        <f>IF(AND(BI197=1,G197&lt;=Config!$B$5),K197,"")</f>
        <v/>
      </c>
      <c r="BK197" s="17">
        <f>IF(AND(AU197=1,OR(TRIM(U197)&lt;&gt;"",ISNUMBER(V197))),1,0)</f>
        <v/>
      </c>
      <c r="BL197" s="17">
        <f>IF(BK197=1,IF(COUNTIFS($A$2:$A$201,$A197,$BK$2:$BK$201,1,$G$2:$G$201,"&lt;"&amp;G197)+COUNTIFS($A$2:$A$201,$A197,$BK$2:$BK$201,1,$G$2:$G$201,G197,$AT$2:$AT$201,"&lt;"&amp;AT197)=0,1,0),0)</f>
        <v/>
      </c>
      <c r="BM197" s="17">
        <f>IF(BL197=1,$A197,"")</f>
        <v/>
      </c>
      <c r="BN197" s="17">
        <f>IF(AND(AU197=1,T197="Y",TRIM(U197)=""),1,0)</f>
        <v/>
      </c>
      <c r="BO197" s="17">
        <f>IF(AU197=1,AJ197&amp;"","")</f>
        <v/>
      </c>
      <c r="BP197" s="17">
        <f>IF(AU197=1,AK197&amp;"","")</f>
        <v/>
      </c>
      <c r="BQ197" s="17">
        <f>IF(AU197=1,AL197&amp;"","")</f>
        <v/>
      </c>
      <c r="BR197" s="17">
        <f>IF(AND(AU197=1,ISNUMBER(AP197),G197&lt;=Config!$B$5),AP197,"")</f>
        <v/>
      </c>
      <c r="BS197" s="17">
        <f>IF(AU197=1,IF(COUNTIFS($A$2:$A$201,$A197,$AN$2:$AN$201,"Y",$AU$2:$AU$201,1)&gt;0,"Y","N"),"")</f>
        <v/>
      </c>
      <c r="BT197" s="17">
        <f>IF(AND(AU197=1,AN197="maybe"),1,0)</f>
        <v/>
      </c>
      <c r="BU197" s="17">
        <f>IF(BT197=1,IF(COUNTIFS($A$2:$A$201,$A197,$BT$2:$BT$201,1,$G$2:$G$201,"&lt;"&amp;G197)+COUNTIFS($A$2:$A$201,$A197,$BT$2:$BT$201,1,$G$2:$G$201,G197,$AT$2:$AT$201,"&lt;"&amp;AT197)=0,1,0),0)</f>
        <v/>
      </c>
      <c r="BV197" s="17">
        <f>IF(AND(AU197=1,AN197="Y"),IF(COUNTIFS($A$2:$A$201,$A197,$AN$2:$AN$201,"Y",$AU$2:$AU$201,1,$G$2:$G$201,"&lt;"&amp;G197)+COUNTIFS($A$2:$A$201,$A197,$AN$2:$AN$201,"Y",$AU$2:$AU$201,1,$G$2:$G$201,G197,$AT$2:$AT$201,"&lt;"&amp;AT197)=0,1,0),0)</f>
        <v/>
      </c>
      <c r="BW197" s="17">
        <f>IF(AND(BA197=1,N(V197)&gt;=Config!$B$15),1,0)</f>
        <v/>
      </c>
      <c r="BX197" s="17">
        <f>IF(AU197=1,IFERROR(MATCH($A197,INDEX(Clay_Offices!$A$2:$FZ$601,0,Sync!$C$5),0),""),"")</f>
        <v/>
      </c>
      <c r="BY197" s="17">
        <f>IF(BX197="","",IFERROR(INDEX(Clay_Offices!$A$2:$FZ$601,BX197,Sync!$C$7)&amp;"",""))</f>
        <v/>
      </c>
      <c r="BZ197" s="17">
        <f>IF(BY197="","",IFERROR(INDEX(Lists!$J$2:$J$15,MATCH(BY197,Lists!$I$2:$I$15,0)),""))</f>
        <v/>
      </c>
      <c r="CA197" s="17">
        <f>IF(BX197="","",IFERROR(INDEX(Clay_Offices!$A$2:$FZ$601,BX197,Sync!$C$17)&amp;"",""))</f>
        <v/>
      </c>
      <c r="CB197" s="23">
        <f>IF(BX197="","",IFERROR(N(INDEX(Clay_Offices!$A$2:$FZ$601,BX197,Sync!$C$16)),0))</f>
        <v/>
      </c>
    </row>
    <row r="198">
      <c r="G198" s="22" t="n"/>
      <c r="AS198" s="17">
        <f>IF(TRIM($A198)="","",IF(AND(LEFT($A198,6)="SAMPLE",Config!$B$19&lt;&gt;"Y"),"",IF(NOT(ISNUMBER(G198)),"call_date is blank or not a date",IF(Sync!$C$5="","Clay paste is empty or has no row_id column: paste the Clay export on Clay_Offices",IF(BX198="","row_id not found in the Clay paste: add the Clay row or fix the row_id",IF(AND(ISNUMBER(BZ198),BZ198&gt;=1,BZ198&lt;=5),"Clay status is "&amp;BY198&amp;": set call_done or later",IF(AND(AW198=1,CA198&lt;&gt;BS198),"Clay yes_in_principle should be "&amp;BS198,IF(AND(AW198=1,CB198&lt;&gt;G198),"Clay call_date should be "&amp;TEXT(G198,"yyyy-mm-dd"),""))))))))</f>
        <v/>
      </c>
      <c r="AT198" s="17">
        <f>ROW()</f>
        <v/>
      </c>
      <c r="AU198" s="17">
        <f>IF(AND(TRIM($A198)&lt;&gt;"",ISNUMBER(G198)),IF(AND(LEFT($A198,6)="SAMPLE",Config!$B$19&lt;&gt;"Y"),0,1),0)</f>
        <v/>
      </c>
      <c r="AV198" s="17">
        <f>IF(AU198=1,IF(COUNTIFS($A$2:$A$201,$A198,$AU$2:$AU$201,1,$G$2:$G$201,"&lt;"&amp;G198)+COUNTIFS($A$2:$A$201,$A198,$AU$2:$AU$201,1,$G$2:$G$201,G198,$AT$2:$AT$201,"&lt;"&amp;AT198)=0,1,0),0)</f>
        <v/>
      </c>
      <c r="AW198" s="17">
        <f>IF(AU198=1,IF(COUNTIFS($A$2:$A$201,$A198,$AU$2:$AU$201,1,$G$2:$G$201,"&gt;"&amp;G198)+COUNTIFS($A$2:$A$201,$A198,$AU$2:$AU$201,1,$G$2:$G$201,G198,$AT$2:$AT$201,"&gt;"&amp;AT198)=0,1,0),0)</f>
        <v/>
      </c>
      <c r="AX198" s="17">
        <f>IF(AND(AU198=1,AN198="Y",Z198="Y",TRIM(AD198)&lt;&gt;""),1,0)</f>
        <v/>
      </c>
      <c r="AY198" s="17">
        <f>IF(AX198=1,IF(COUNTIFS($A$2:$A$201,$A198,$AX$2:$AX$201,1,$G$2:$G$201,"&lt;"&amp;G198)+COUNTIFS($A$2:$A$201,$A198,$AX$2:$AX$201,1,$G$2:$G$201,G198,$AT$2:$AT$201,"&lt;"&amp;AT198)=0,1,0),0)</f>
        <v/>
      </c>
      <c r="AZ198" s="17">
        <f>IF(AND(AU198=1,AN198="Y",AX198=0),1,0)</f>
        <v/>
      </c>
      <c r="BA198" s="17">
        <f>IF(AND(AU198=1,ISNUMBER(V198)),1,0)</f>
        <v/>
      </c>
      <c r="BB198" s="17">
        <f>IF(BA198=1,IF(COUNTIFS($A$2:$A$201,$A198,$BA$2:$BA$201,1,$G$2:$G$201,"&lt;"&amp;G198)+COUNTIFS($A$2:$A$201,$A198,$BA$2:$BA$201,1,$G$2:$G$201,G198,$AT$2:$AT$201,"&lt;"&amp;AT198)=0,1,0),0)</f>
        <v/>
      </c>
      <c r="BC198" s="17">
        <f>IF(AND(BB198=1,G198&lt;=Config!$B$6),V198,"")</f>
        <v/>
      </c>
      <c r="BD198" s="17">
        <f>IF(AND(BB198=1,G198&lt;=Config!$B$7),V198,"")</f>
        <v/>
      </c>
      <c r="BE198" s="17">
        <f>IF(AND(BB198=1,G198&lt;=Config!$B$8),V198,"")</f>
        <v/>
      </c>
      <c r="BF198" s="17">
        <f>IF(AND(BB198=1,G198&lt;=Config!$B$5),V198,"")</f>
        <v/>
      </c>
      <c r="BG198" s="17">
        <f>IF(BW198=1,IF(COUNTIFS($A$2:$A$201,$A198,$BW$2:$BW$201,1,$G$2:$G$201,"&lt;"&amp;G198)+COUNTIFS($A$2:$A$201,$A198,$BW$2:$BW$201,1,$G$2:$G$201,G198,$AT$2:$AT$201,"&lt;"&amp;AT198)=0,1,0),0)</f>
        <v/>
      </c>
      <c r="BH198" s="17">
        <f>IF(AND(AU198=1,ISNUMBER(K198)),1,0)</f>
        <v/>
      </c>
      <c r="BI198" s="17">
        <f>IF(BH198=1,IF(COUNTIFS($A$2:$A$201,$A198,$BH$2:$BH$201,1,$G$2:$G$201,"&lt;"&amp;G198)+COUNTIFS($A$2:$A$201,$A198,$BH$2:$BH$201,1,$G$2:$G$201,G198,$AT$2:$AT$201,"&lt;"&amp;AT198)=0,1,0),0)</f>
        <v/>
      </c>
      <c r="BJ198" s="17">
        <f>IF(AND(BI198=1,G198&lt;=Config!$B$5),K198,"")</f>
        <v/>
      </c>
      <c r="BK198" s="17">
        <f>IF(AND(AU198=1,OR(TRIM(U198)&lt;&gt;"",ISNUMBER(V198))),1,0)</f>
        <v/>
      </c>
      <c r="BL198" s="17">
        <f>IF(BK198=1,IF(COUNTIFS($A$2:$A$201,$A198,$BK$2:$BK$201,1,$G$2:$G$201,"&lt;"&amp;G198)+COUNTIFS($A$2:$A$201,$A198,$BK$2:$BK$201,1,$G$2:$G$201,G198,$AT$2:$AT$201,"&lt;"&amp;AT198)=0,1,0),0)</f>
        <v/>
      </c>
      <c r="BM198" s="17">
        <f>IF(BL198=1,$A198,"")</f>
        <v/>
      </c>
      <c r="BN198" s="17">
        <f>IF(AND(AU198=1,T198="Y",TRIM(U198)=""),1,0)</f>
        <v/>
      </c>
      <c r="BO198" s="17">
        <f>IF(AU198=1,AJ198&amp;"","")</f>
        <v/>
      </c>
      <c r="BP198" s="17">
        <f>IF(AU198=1,AK198&amp;"","")</f>
        <v/>
      </c>
      <c r="BQ198" s="17">
        <f>IF(AU198=1,AL198&amp;"","")</f>
        <v/>
      </c>
      <c r="BR198" s="17">
        <f>IF(AND(AU198=1,ISNUMBER(AP198),G198&lt;=Config!$B$5),AP198,"")</f>
        <v/>
      </c>
      <c r="BS198" s="17">
        <f>IF(AU198=1,IF(COUNTIFS($A$2:$A$201,$A198,$AN$2:$AN$201,"Y",$AU$2:$AU$201,1)&gt;0,"Y","N"),"")</f>
        <v/>
      </c>
      <c r="BT198" s="17">
        <f>IF(AND(AU198=1,AN198="maybe"),1,0)</f>
        <v/>
      </c>
      <c r="BU198" s="17">
        <f>IF(BT198=1,IF(COUNTIFS($A$2:$A$201,$A198,$BT$2:$BT$201,1,$G$2:$G$201,"&lt;"&amp;G198)+COUNTIFS($A$2:$A$201,$A198,$BT$2:$BT$201,1,$G$2:$G$201,G198,$AT$2:$AT$201,"&lt;"&amp;AT198)=0,1,0),0)</f>
        <v/>
      </c>
      <c r="BV198" s="17">
        <f>IF(AND(AU198=1,AN198="Y"),IF(COUNTIFS($A$2:$A$201,$A198,$AN$2:$AN$201,"Y",$AU$2:$AU$201,1,$G$2:$G$201,"&lt;"&amp;G198)+COUNTIFS($A$2:$A$201,$A198,$AN$2:$AN$201,"Y",$AU$2:$AU$201,1,$G$2:$G$201,G198,$AT$2:$AT$201,"&lt;"&amp;AT198)=0,1,0),0)</f>
        <v/>
      </c>
      <c r="BW198" s="17">
        <f>IF(AND(BA198=1,N(V198)&gt;=Config!$B$15),1,0)</f>
        <v/>
      </c>
      <c r="BX198" s="17">
        <f>IF(AU198=1,IFERROR(MATCH($A198,INDEX(Clay_Offices!$A$2:$FZ$601,0,Sync!$C$5),0),""),"")</f>
        <v/>
      </c>
      <c r="BY198" s="17">
        <f>IF(BX198="","",IFERROR(INDEX(Clay_Offices!$A$2:$FZ$601,BX198,Sync!$C$7)&amp;"",""))</f>
        <v/>
      </c>
      <c r="BZ198" s="17">
        <f>IF(BY198="","",IFERROR(INDEX(Lists!$J$2:$J$15,MATCH(BY198,Lists!$I$2:$I$15,0)),""))</f>
        <v/>
      </c>
      <c r="CA198" s="17">
        <f>IF(BX198="","",IFERROR(INDEX(Clay_Offices!$A$2:$FZ$601,BX198,Sync!$C$17)&amp;"",""))</f>
        <v/>
      </c>
      <c r="CB198" s="23">
        <f>IF(BX198="","",IFERROR(N(INDEX(Clay_Offices!$A$2:$FZ$601,BX198,Sync!$C$16)),0))</f>
        <v/>
      </c>
    </row>
    <row r="199">
      <c r="G199" s="22" t="n"/>
      <c r="AS199" s="17">
        <f>IF(TRIM($A199)="","",IF(AND(LEFT($A199,6)="SAMPLE",Config!$B$19&lt;&gt;"Y"),"",IF(NOT(ISNUMBER(G199)),"call_date is blank or not a date",IF(Sync!$C$5="","Clay paste is empty or has no row_id column: paste the Clay export on Clay_Offices",IF(BX199="","row_id not found in the Clay paste: add the Clay row or fix the row_id",IF(AND(ISNUMBER(BZ199),BZ199&gt;=1,BZ199&lt;=5),"Clay status is "&amp;BY199&amp;": set call_done or later",IF(AND(AW199=1,CA199&lt;&gt;BS199),"Clay yes_in_principle should be "&amp;BS199,IF(AND(AW199=1,CB199&lt;&gt;G199),"Clay call_date should be "&amp;TEXT(G199,"yyyy-mm-dd"),""))))))))</f>
        <v/>
      </c>
      <c r="AT199" s="17">
        <f>ROW()</f>
        <v/>
      </c>
      <c r="AU199" s="17">
        <f>IF(AND(TRIM($A199)&lt;&gt;"",ISNUMBER(G199)),IF(AND(LEFT($A199,6)="SAMPLE",Config!$B$19&lt;&gt;"Y"),0,1),0)</f>
        <v/>
      </c>
      <c r="AV199" s="17">
        <f>IF(AU199=1,IF(COUNTIFS($A$2:$A$201,$A199,$AU$2:$AU$201,1,$G$2:$G$201,"&lt;"&amp;G199)+COUNTIFS($A$2:$A$201,$A199,$AU$2:$AU$201,1,$G$2:$G$201,G199,$AT$2:$AT$201,"&lt;"&amp;AT199)=0,1,0),0)</f>
        <v/>
      </c>
      <c r="AW199" s="17">
        <f>IF(AU199=1,IF(COUNTIFS($A$2:$A$201,$A199,$AU$2:$AU$201,1,$G$2:$G$201,"&gt;"&amp;G199)+COUNTIFS($A$2:$A$201,$A199,$AU$2:$AU$201,1,$G$2:$G$201,G199,$AT$2:$AT$201,"&gt;"&amp;AT199)=0,1,0),0)</f>
        <v/>
      </c>
      <c r="AX199" s="17">
        <f>IF(AND(AU199=1,AN199="Y",Z199="Y",TRIM(AD199)&lt;&gt;""),1,0)</f>
        <v/>
      </c>
      <c r="AY199" s="17">
        <f>IF(AX199=1,IF(COUNTIFS($A$2:$A$201,$A199,$AX$2:$AX$201,1,$G$2:$G$201,"&lt;"&amp;G199)+COUNTIFS($A$2:$A$201,$A199,$AX$2:$AX$201,1,$G$2:$G$201,G199,$AT$2:$AT$201,"&lt;"&amp;AT199)=0,1,0),0)</f>
        <v/>
      </c>
      <c r="AZ199" s="17">
        <f>IF(AND(AU199=1,AN199="Y",AX199=0),1,0)</f>
        <v/>
      </c>
      <c r="BA199" s="17">
        <f>IF(AND(AU199=1,ISNUMBER(V199)),1,0)</f>
        <v/>
      </c>
      <c r="BB199" s="17">
        <f>IF(BA199=1,IF(COUNTIFS($A$2:$A$201,$A199,$BA$2:$BA$201,1,$G$2:$G$201,"&lt;"&amp;G199)+COUNTIFS($A$2:$A$201,$A199,$BA$2:$BA$201,1,$G$2:$G$201,G199,$AT$2:$AT$201,"&lt;"&amp;AT199)=0,1,0),0)</f>
        <v/>
      </c>
      <c r="BC199" s="17">
        <f>IF(AND(BB199=1,G199&lt;=Config!$B$6),V199,"")</f>
        <v/>
      </c>
      <c r="BD199" s="17">
        <f>IF(AND(BB199=1,G199&lt;=Config!$B$7),V199,"")</f>
        <v/>
      </c>
      <c r="BE199" s="17">
        <f>IF(AND(BB199=1,G199&lt;=Config!$B$8),V199,"")</f>
        <v/>
      </c>
      <c r="BF199" s="17">
        <f>IF(AND(BB199=1,G199&lt;=Config!$B$5),V199,"")</f>
        <v/>
      </c>
      <c r="BG199" s="17">
        <f>IF(BW199=1,IF(COUNTIFS($A$2:$A$201,$A199,$BW$2:$BW$201,1,$G$2:$G$201,"&lt;"&amp;G199)+COUNTIFS($A$2:$A$201,$A199,$BW$2:$BW$201,1,$G$2:$G$201,G199,$AT$2:$AT$201,"&lt;"&amp;AT199)=0,1,0),0)</f>
        <v/>
      </c>
      <c r="BH199" s="17">
        <f>IF(AND(AU199=1,ISNUMBER(K199)),1,0)</f>
        <v/>
      </c>
      <c r="BI199" s="17">
        <f>IF(BH199=1,IF(COUNTIFS($A$2:$A$201,$A199,$BH$2:$BH$201,1,$G$2:$G$201,"&lt;"&amp;G199)+COUNTIFS($A$2:$A$201,$A199,$BH$2:$BH$201,1,$G$2:$G$201,G199,$AT$2:$AT$201,"&lt;"&amp;AT199)=0,1,0),0)</f>
        <v/>
      </c>
      <c r="BJ199" s="17">
        <f>IF(AND(BI199=1,G199&lt;=Config!$B$5),K199,"")</f>
        <v/>
      </c>
      <c r="BK199" s="17">
        <f>IF(AND(AU199=1,OR(TRIM(U199)&lt;&gt;"",ISNUMBER(V199))),1,0)</f>
        <v/>
      </c>
      <c r="BL199" s="17">
        <f>IF(BK199=1,IF(COUNTIFS($A$2:$A$201,$A199,$BK$2:$BK$201,1,$G$2:$G$201,"&lt;"&amp;G199)+COUNTIFS($A$2:$A$201,$A199,$BK$2:$BK$201,1,$G$2:$G$201,G199,$AT$2:$AT$201,"&lt;"&amp;AT199)=0,1,0),0)</f>
        <v/>
      </c>
      <c r="BM199" s="17">
        <f>IF(BL199=1,$A199,"")</f>
        <v/>
      </c>
      <c r="BN199" s="17">
        <f>IF(AND(AU199=1,T199="Y",TRIM(U199)=""),1,0)</f>
        <v/>
      </c>
      <c r="BO199" s="17">
        <f>IF(AU199=1,AJ199&amp;"","")</f>
        <v/>
      </c>
      <c r="BP199" s="17">
        <f>IF(AU199=1,AK199&amp;"","")</f>
        <v/>
      </c>
      <c r="BQ199" s="17">
        <f>IF(AU199=1,AL199&amp;"","")</f>
        <v/>
      </c>
      <c r="BR199" s="17">
        <f>IF(AND(AU199=1,ISNUMBER(AP199),G199&lt;=Config!$B$5),AP199,"")</f>
        <v/>
      </c>
      <c r="BS199" s="17">
        <f>IF(AU199=1,IF(COUNTIFS($A$2:$A$201,$A199,$AN$2:$AN$201,"Y",$AU$2:$AU$201,1)&gt;0,"Y","N"),"")</f>
        <v/>
      </c>
      <c r="BT199" s="17">
        <f>IF(AND(AU199=1,AN199="maybe"),1,0)</f>
        <v/>
      </c>
      <c r="BU199" s="17">
        <f>IF(BT199=1,IF(COUNTIFS($A$2:$A$201,$A199,$BT$2:$BT$201,1,$G$2:$G$201,"&lt;"&amp;G199)+COUNTIFS($A$2:$A$201,$A199,$BT$2:$BT$201,1,$G$2:$G$201,G199,$AT$2:$AT$201,"&lt;"&amp;AT199)=0,1,0),0)</f>
        <v/>
      </c>
      <c r="BV199" s="17">
        <f>IF(AND(AU199=1,AN199="Y"),IF(COUNTIFS($A$2:$A$201,$A199,$AN$2:$AN$201,"Y",$AU$2:$AU$201,1,$G$2:$G$201,"&lt;"&amp;G199)+COUNTIFS($A$2:$A$201,$A199,$AN$2:$AN$201,"Y",$AU$2:$AU$201,1,$G$2:$G$201,G199,$AT$2:$AT$201,"&lt;"&amp;AT199)=0,1,0),0)</f>
        <v/>
      </c>
      <c r="BW199" s="17">
        <f>IF(AND(BA199=1,N(V199)&gt;=Config!$B$15),1,0)</f>
        <v/>
      </c>
      <c r="BX199" s="17">
        <f>IF(AU199=1,IFERROR(MATCH($A199,INDEX(Clay_Offices!$A$2:$FZ$601,0,Sync!$C$5),0),""),"")</f>
        <v/>
      </c>
      <c r="BY199" s="17">
        <f>IF(BX199="","",IFERROR(INDEX(Clay_Offices!$A$2:$FZ$601,BX199,Sync!$C$7)&amp;"",""))</f>
        <v/>
      </c>
      <c r="BZ199" s="17">
        <f>IF(BY199="","",IFERROR(INDEX(Lists!$J$2:$J$15,MATCH(BY199,Lists!$I$2:$I$15,0)),""))</f>
        <v/>
      </c>
      <c r="CA199" s="17">
        <f>IF(BX199="","",IFERROR(INDEX(Clay_Offices!$A$2:$FZ$601,BX199,Sync!$C$17)&amp;"",""))</f>
        <v/>
      </c>
      <c r="CB199" s="23">
        <f>IF(BX199="","",IFERROR(N(INDEX(Clay_Offices!$A$2:$FZ$601,BX199,Sync!$C$16)),0))</f>
        <v/>
      </c>
    </row>
    <row r="200">
      <c r="G200" s="22" t="n"/>
      <c r="AS200" s="17">
        <f>IF(TRIM($A200)="","",IF(AND(LEFT($A200,6)="SAMPLE",Config!$B$19&lt;&gt;"Y"),"",IF(NOT(ISNUMBER(G200)),"call_date is blank or not a date",IF(Sync!$C$5="","Clay paste is empty or has no row_id column: paste the Clay export on Clay_Offices",IF(BX200="","row_id not found in the Clay paste: add the Clay row or fix the row_id",IF(AND(ISNUMBER(BZ200),BZ200&gt;=1,BZ200&lt;=5),"Clay status is "&amp;BY200&amp;": set call_done or later",IF(AND(AW200=1,CA200&lt;&gt;BS200),"Clay yes_in_principle should be "&amp;BS200,IF(AND(AW200=1,CB200&lt;&gt;G200),"Clay call_date should be "&amp;TEXT(G200,"yyyy-mm-dd"),""))))))))</f>
        <v/>
      </c>
      <c r="AT200" s="17">
        <f>ROW()</f>
        <v/>
      </c>
      <c r="AU200" s="17">
        <f>IF(AND(TRIM($A200)&lt;&gt;"",ISNUMBER(G200)),IF(AND(LEFT($A200,6)="SAMPLE",Config!$B$19&lt;&gt;"Y"),0,1),0)</f>
        <v/>
      </c>
      <c r="AV200" s="17">
        <f>IF(AU200=1,IF(COUNTIFS($A$2:$A$201,$A200,$AU$2:$AU$201,1,$G$2:$G$201,"&lt;"&amp;G200)+COUNTIFS($A$2:$A$201,$A200,$AU$2:$AU$201,1,$G$2:$G$201,G200,$AT$2:$AT$201,"&lt;"&amp;AT200)=0,1,0),0)</f>
        <v/>
      </c>
      <c r="AW200" s="17">
        <f>IF(AU200=1,IF(COUNTIFS($A$2:$A$201,$A200,$AU$2:$AU$201,1,$G$2:$G$201,"&gt;"&amp;G200)+COUNTIFS($A$2:$A$201,$A200,$AU$2:$AU$201,1,$G$2:$G$201,G200,$AT$2:$AT$201,"&gt;"&amp;AT200)=0,1,0),0)</f>
        <v/>
      </c>
      <c r="AX200" s="17">
        <f>IF(AND(AU200=1,AN200="Y",Z200="Y",TRIM(AD200)&lt;&gt;""),1,0)</f>
        <v/>
      </c>
      <c r="AY200" s="17">
        <f>IF(AX200=1,IF(COUNTIFS($A$2:$A$201,$A200,$AX$2:$AX$201,1,$G$2:$G$201,"&lt;"&amp;G200)+COUNTIFS($A$2:$A$201,$A200,$AX$2:$AX$201,1,$G$2:$G$201,G200,$AT$2:$AT$201,"&lt;"&amp;AT200)=0,1,0),0)</f>
        <v/>
      </c>
      <c r="AZ200" s="17">
        <f>IF(AND(AU200=1,AN200="Y",AX200=0),1,0)</f>
        <v/>
      </c>
      <c r="BA200" s="17">
        <f>IF(AND(AU200=1,ISNUMBER(V200)),1,0)</f>
        <v/>
      </c>
      <c r="BB200" s="17">
        <f>IF(BA200=1,IF(COUNTIFS($A$2:$A$201,$A200,$BA$2:$BA$201,1,$G$2:$G$201,"&lt;"&amp;G200)+COUNTIFS($A$2:$A$201,$A200,$BA$2:$BA$201,1,$G$2:$G$201,G200,$AT$2:$AT$201,"&lt;"&amp;AT200)=0,1,0),0)</f>
        <v/>
      </c>
      <c r="BC200" s="17">
        <f>IF(AND(BB200=1,G200&lt;=Config!$B$6),V200,"")</f>
        <v/>
      </c>
      <c r="BD200" s="17">
        <f>IF(AND(BB200=1,G200&lt;=Config!$B$7),V200,"")</f>
        <v/>
      </c>
      <c r="BE200" s="17">
        <f>IF(AND(BB200=1,G200&lt;=Config!$B$8),V200,"")</f>
        <v/>
      </c>
      <c r="BF200" s="17">
        <f>IF(AND(BB200=1,G200&lt;=Config!$B$5),V200,"")</f>
        <v/>
      </c>
      <c r="BG200" s="17">
        <f>IF(BW200=1,IF(COUNTIFS($A$2:$A$201,$A200,$BW$2:$BW$201,1,$G$2:$G$201,"&lt;"&amp;G200)+COUNTIFS($A$2:$A$201,$A200,$BW$2:$BW$201,1,$G$2:$G$201,G200,$AT$2:$AT$201,"&lt;"&amp;AT200)=0,1,0),0)</f>
        <v/>
      </c>
      <c r="BH200" s="17">
        <f>IF(AND(AU200=1,ISNUMBER(K200)),1,0)</f>
        <v/>
      </c>
      <c r="BI200" s="17">
        <f>IF(BH200=1,IF(COUNTIFS($A$2:$A$201,$A200,$BH$2:$BH$201,1,$G$2:$G$201,"&lt;"&amp;G200)+COUNTIFS($A$2:$A$201,$A200,$BH$2:$BH$201,1,$G$2:$G$201,G200,$AT$2:$AT$201,"&lt;"&amp;AT200)=0,1,0),0)</f>
        <v/>
      </c>
      <c r="BJ200" s="17">
        <f>IF(AND(BI200=1,G200&lt;=Config!$B$5),K200,"")</f>
        <v/>
      </c>
      <c r="BK200" s="17">
        <f>IF(AND(AU200=1,OR(TRIM(U200)&lt;&gt;"",ISNUMBER(V200))),1,0)</f>
        <v/>
      </c>
      <c r="BL200" s="17">
        <f>IF(BK200=1,IF(COUNTIFS($A$2:$A$201,$A200,$BK$2:$BK$201,1,$G$2:$G$201,"&lt;"&amp;G200)+COUNTIFS($A$2:$A$201,$A200,$BK$2:$BK$201,1,$G$2:$G$201,G200,$AT$2:$AT$201,"&lt;"&amp;AT200)=0,1,0),0)</f>
        <v/>
      </c>
      <c r="BM200" s="17">
        <f>IF(BL200=1,$A200,"")</f>
        <v/>
      </c>
      <c r="BN200" s="17">
        <f>IF(AND(AU200=1,T200="Y",TRIM(U200)=""),1,0)</f>
        <v/>
      </c>
      <c r="BO200" s="17">
        <f>IF(AU200=1,AJ200&amp;"","")</f>
        <v/>
      </c>
      <c r="BP200" s="17">
        <f>IF(AU200=1,AK200&amp;"","")</f>
        <v/>
      </c>
      <c r="BQ200" s="17">
        <f>IF(AU200=1,AL200&amp;"","")</f>
        <v/>
      </c>
      <c r="BR200" s="17">
        <f>IF(AND(AU200=1,ISNUMBER(AP200),G200&lt;=Config!$B$5),AP200,"")</f>
        <v/>
      </c>
      <c r="BS200" s="17">
        <f>IF(AU200=1,IF(COUNTIFS($A$2:$A$201,$A200,$AN$2:$AN$201,"Y",$AU$2:$AU$201,1)&gt;0,"Y","N"),"")</f>
        <v/>
      </c>
      <c r="BT200" s="17">
        <f>IF(AND(AU200=1,AN200="maybe"),1,0)</f>
        <v/>
      </c>
      <c r="BU200" s="17">
        <f>IF(BT200=1,IF(COUNTIFS($A$2:$A$201,$A200,$BT$2:$BT$201,1,$G$2:$G$201,"&lt;"&amp;G200)+COUNTIFS($A$2:$A$201,$A200,$BT$2:$BT$201,1,$G$2:$G$201,G200,$AT$2:$AT$201,"&lt;"&amp;AT200)=0,1,0),0)</f>
        <v/>
      </c>
      <c r="BV200" s="17">
        <f>IF(AND(AU200=1,AN200="Y"),IF(COUNTIFS($A$2:$A$201,$A200,$AN$2:$AN$201,"Y",$AU$2:$AU$201,1,$G$2:$G$201,"&lt;"&amp;G200)+COUNTIFS($A$2:$A$201,$A200,$AN$2:$AN$201,"Y",$AU$2:$AU$201,1,$G$2:$G$201,G200,$AT$2:$AT$201,"&lt;"&amp;AT200)=0,1,0),0)</f>
        <v/>
      </c>
      <c r="BW200" s="17">
        <f>IF(AND(BA200=1,N(V200)&gt;=Config!$B$15),1,0)</f>
        <v/>
      </c>
      <c r="BX200" s="17">
        <f>IF(AU200=1,IFERROR(MATCH($A200,INDEX(Clay_Offices!$A$2:$FZ$601,0,Sync!$C$5),0),""),"")</f>
        <v/>
      </c>
      <c r="BY200" s="17">
        <f>IF(BX200="","",IFERROR(INDEX(Clay_Offices!$A$2:$FZ$601,BX200,Sync!$C$7)&amp;"",""))</f>
        <v/>
      </c>
      <c r="BZ200" s="17">
        <f>IF(BY200="","",IFERROR(INDEX(Lists!$J$2:$J$15,MATCH(BY200,Lists!$I$2:$I$15,0)),""))</f>
        <v/>
      </c>
      <c r="CA200" s="17">
        <f>IF(BX200="","",IFERROR(INDEX(Clay_Offices!$A$2:$FZ$601,BX200,Sync!$C$17)&amp;"",""))</f>
        <v/>
      </c>
      <c r="CB200" s="23">
        <f>IF(BX200="","",IFERROR(N(INDEX(Clay_Offices!$A$2:$FZ$601,BX200,Sync!$C$16)),0))</f>
        <v/>
      </c>
    </row>
    <row r="201">
      <c r="G201" s="22" t="n"/>
      <c r="AS201" s="17">
        <f>IF(TRIM($A201)="","",IF(AND(LEFT($A201,6)="SAMPLE",Config!$B$19&lt;&gt;"Y"),"",IF(NOT(ISNUMBER(G201)),"call_date is blank or not a date",IF(Sync!$C$5="","Clay paste is empty or has no row_id column: paste the Clay export on Clay_Offices",IF(BX201="","row_id not found in the Clay paste: add the Clay row or fix the row_id",IF(AND(ISNUMBER(BZ201),BZ201&gt;=1,BZ201&lt;=5),"Clay status is "&amp;BY201&amp;": set call_done or later",IF(AND(AW201=1,CA201&lt;&gt;BS201),"Clay yes_in_principle should be "&amp;BS201,IF(AND(AW201=1,CB201&lt;&gt;G201),"Clay call_date should be "&amp;TEXT(G201,"yyyy-mm-dd"),""))))))))</f>
        <v/>
      </c>
      <c r="AT201" s="17">
        <f>ROW()</f>
        <v/>
      </c>
      <c r="AU201" s="17">
        <f>IF(AND(TRIM($A201)&lt;&gt;"",ISNUMBER(G201)),IF(AND(LEFT($A201,6)="SAMPLE",Config!$B$19&lt;&gt;"Y"),0,1),0)</f>
        <v/>
      </c>
      <c r="AV201" s="17">
        <f>IF(AU201=1,IF(COUNTIFS($A$2:$A$201,$A201,$AU$2:$AU$201,1,$G$2:$G$201,"&lt;"&amp;G201)+COUNTIFS($A$2:$A$201,$A201,$AU$2:$AU$201,1,$G$2:$G$201,G201,$AT$2:$AT$201,"&lt;"&amp;AT201)=0,1,0),0)</f>
        <v/>
      </c>
      <c r="AW201" s="17">
        <f>IF(AU201=1,IF(COUNTIFS($A$2:$A$201,$A201,$AU$2:$AU$201,1,$G$2:$G$201,"&gt;"&amp;G201)+COUNTIFS($A$2:$A$201,$A201,$AU$2:$AU$201,1,$G$2:$G$201,G201,$AT$2:$AT$201,"&gt;"&amp;AT201)=0,1,0),0)</f>
        <v/>
      </c>
      <c r="AX201" s="17">
        <f>IF(AND(AU201=1,AN201="Y",Z201="Y",TRIM(AD201)&lt;&gt;""),1,0)</f>
        <v/>
      </c>
      <c r="AY201" s="17">
        <f>IF(AX201=1,IF(COUNTIFS($A$2:$A$201,$A201,$AX$2:$AX$201,1,$G$2:$G$201,"&lt;"&amp;G201)+COUNTIFS($A$2:$A$201,$A201,$AX$2:$AX$201,1,$G$2:$G$201,G201,$AT$2:$AT$201,"&lt;"&amp;AT201)=0,1,0),0)</f>
        <v/>
      </c>
      <c r="AZ201" s="17">
        <f>IF(AND(AU201=1,AN201="Y",AX201=0),1,0)</f>
        <v/>
      </c>
      <c r="BA201" s="17">
        <f>IF(AND(AU201=1,ISNUMBER(V201)),1,0)</f>
        <v/>
      </c>
      <c r="BB201" s="17">
        <f>IF(BA201=1,IF(COUNTIFS($A$2:$A$201,$A201,$BA$2:$BA$201,1,$G$2:$G$201,"&lt;"&amp;G201)+COUNTIFS($A$2:$A$201,$A201,$BA$2:$BA$201,1,$G$2:$G$201,G201,$AT$2:$AT$201,"&lt;"&amp;AT201)=0,1,0),0)</f>
        <v/>
      </c>
      <c r="BC201" s="17">
        <f>IF(AND(BB201=1,G201&lt;=Config!$B$6),V201,"")</f>
        <v/>
      </c>
      <c r="BD201" s="17">
        <f>IF(AND(BB201=1,G201&lt;=Config!$B$7),V201,"")</f>
        <v/>
      </c>
      <c r="BE201" s="17">
        <f>IF(AND(BB201=1,G201&lt;=Config!$B$8),V201,"")</f>
        <v/>
      </c>
      <c r="BF201" s="17">
        <f>IF(AND(BB201=1,G201&lt;=Config!$B$5),V201,"")</f>
        <v/>
      </c>
      <c r="BG201" s="17">
        <f>IF(BW201=1,IF(COUNTIFS($A$2:$A$201,$A201,$BW$2:$BW$201,1,$G$2:$G$201,"&lt;"&amp;G201)+COUNTIFS($A$2:$A$201,$A201,$BW$2:$BW$201,1,$G$2:$G$201,G201,$AT$2:$AT$201,"&lt;"&amp;AT201)=0,1,0),0)</f>
        <v/>
      </c>
      <c r="BH201" s="17">
        <f>IF(AND(AU201=1,ISNUMBER(K201)),1,0)</f>
        <v/>
      </c>
      <c r="BI201" s="17">
        <f>IF(BH201=1,IF(COUNTIFS($A$2:$A$201,$A201,$BH$2:$BH$201,1,$G$2:$G$201,"&lt;"&amp;G201)+COUNTIFS($A$2:$A$201,$A201,$BH$2:$BH$201,1,$G$2:$G$201,G201,$AT$2:$AT$201,"&lt;"&amp;AT201)=0,1,0),0)</f>
        <v/>
      </c>
      <c r="BJ201" s="17">
        <f>IF(AND(BI201=1,G201&lt;=Config!$B$5),K201,"")</f>
        <v/>
      </c>
      <c r="BK201" s="17">
        <f>IF(AND(AU201=1,OR(TRIM(U201)&lt;&gt;"",ISNUMBER(V201))),1,0)</f>
        <v/>
      </c>
      <c r="BL201" s="17">
        <f>IF(BK201=1,IF(COUNTIFS($A$2:$A$201,$A201,$BK$2:$BK$201,1,$G$2:$G$201,"&lt;"&amp;G201)+COUNTIFS($A$2:$A$201,$A201,$BK$2:$BK$201,1,$G$2:$G$201,G201,$AT$2:$AT$201,"&lt;"&amp;AT201)=0,1,0),0)</f>
        <v/>
      </c>
      <c r="BM201" s="17">
        <f>IF(BL201=1,$A201,"")</f>
        <v/>
      </c>
      <c r="BN201" s="17">
        <f>IF(AND(AU201=1,T201="Y",TRIM(U201)=""),1,0)</f>
        <v/>
      </c>
      <c r="BO201" s="17">
        <f>IF(AU201=1,AJ201&amp;"","")</f>
        <v/>
      </c>
      <c r="BP201" s="17">
        <f>IF(AU201=1,AK201&amp;"","")</f>
        <v/>
      </c>
      <c r="BQ201" s="17">
        <f>IF(AU201=1,AL201&amp;"","")</f>
        <v/>
      </c>
      <c r="BR201" s="17">
        <f>IF(AND(AU201=1,ISNUMBER(AP201),G201&lt;=Config!$B$5),AP201,"")</f>
        <v/>
      </c>
      <c r="BS201" s="17">
        <f>IF(AU201=1,IF(COUNTIFS($A$2:$A$201,$A201,$AN$2:$AN$201,"Y",$AU$2:$AU$201,1)&gt;0,"Y","N"),"")</f>
        <v/>
      </c>
      <c r="BT201" s="17">
        <f>IF(AND(AU201=1,AN201="maybe"),1,0)</f>
        <v/>
      </c>
      <c r="BU201" s="17">
        <f>IF(BT201=1,IF(COUNTIFS($A$2:$A$201,$A201,$BT$2:$BT$201,1,$G$2:$G$201,"&lt;"&amp;G201)+COUNTIFS($A$2:$A$201,$A201,$BT$2:$BT$201,1,$G$2:$G$201,G201,$AT$2:$AT$201,"&lt;"&amp;AT201)=0,1,0),0)</f>
        <v/>
      </c>
      <c r="BV201" s="17">
        <f>IF(AND(AU201=1,AN201="Y"),IF(COUNTIFS($A$2:$A$201,$A201,$AN$2:$AN$201,"Y",$AU$2:$AU$201,1,$G$2:$G$201,"&lt;"&amp;G201)+COUNTIFS($A$2:$A$201,$A201,$AN$2:$AN$201,"Y",$AU$2:$AU$201,1,$G$2:$G$201,G201,$AT$2:$AT$201,"&lt;"&amp;AT201)=0,1,0),0)</f>
        <v/>
      </c>
      <c r="BW201" s="17">
        <f>IF(AND(BA201=1,N(V201)&gt;=Config!$B$15),1,0)</f>
        <v/>
      </c>
      <c r="BX201" s="17">
        <f>IF(AU201=1,IFERROR(MATCH($A201,INDEX(Clay_Offices!$A$2:$FZ$601,0,Sync!$C$5),0),""),"")</f>
        <v/>
      </c>
      <c r="BY201" s="17">
        <f>IF(BX201="","",IFERROR(INDEX(Clay_Offices!$A$2:$FZ$601,BX201,Sync!$C$7)&amp;"",""))</f>
        <v/>
      </c>
      <c r="BZ201" s="17">
        <f>IF(BY201="","",IFERROR(INDEX(Lists!$J$2:$J$15,MATCH(BY201,Lists!$I$2:$I$15,0)),""))</f>
        <v/>
      </c>
      <c r="CA201" s="17">
        <f>IF(BX201="","",IFERROR(INDEX(Clay_Offices!$A$2:$FZ$601,BX201,Sync!$C$17)&amp;"",""))</f>
        <v/>
      </c>
      <c r="CB201" s="23">
        <f>IF(BX201="","",IFERROR(N(INDEX(Clay_Offices!$A$2:$FZ$601,BX201,Sync!$C$16)),0))</f>
        <v/>
      </c>
    </row>
  </sheetData>
  <conditionalFormatting sqref="AS2:AS201">
    <cfRule type="expression" priority="1" dxfId="2">
      <formula>LEN(AS2)&gt;0</formula>
    </cfRule>
  </conditionalFormatting>
  <dataValidations count="13">
    <dataValidation sqref="F2:F201" showDropDown="0" showInputMessage="0" showErrorMessage="0" allowBlank="1" type="list">
      <formula1>=Lists!$D$2:$D$5</formula1>
    </dataValidation>
    <dataValidation sqref="H2:H201" showDropDown="0" showInputMessage="0" showErrorMessage="0" allowBlank="1" type="list">
      <formula1>=Lists!$E$2:$E$5</formula1>
    </dataValidation>
    <dataValidation sqref="R2:R201" showDropDown="0" showInputMessage="0" showErrorMessage="0" allowBlank="1" type="list">
      <formula1>=Lists!$B$2:$B$4</formula1>
    </dataValidation>
    <dataValidation sqref="T2:T201" showDropDown="0" showInputMessage="0" showErrorMessage="0" allowBlank="1" type="list">
      <formula1>=Lists!$A$2:$A$3</formula1>
    </dataValidation>
    <dataValidation sqref="Z2:Z201" showDropDown="0" showInputMessage="0" showErrorMessage="0" allowBlank="1" type="list">
      <formula1>=Lists!$A$2:$A$3</formula1>
    </dataValidation>
    <dataValidation sqref="AC2:AC201" showDropDown="0" showInputMessage="0" showErrorMessage="0" allowBlank="1" type="list">
      <formula1>=Lists!$B$2:$B$4</formula1>
    </dataValidation>
    <dataValidation sqref="AE2:AE201" showDropDown="0" showInputMessage="0" showErrorMessage="0" allowBlank="1" type="list">
      <formula1>=Lists!$F$2:$F$7</formula1>
    </dataValidation>
    <dataValidation sqref="AF2:AF201" showDropDown="0" showInputMessage="0" showErrorMessage="0" allowBlank="1" type="list">
      <formula1>=Lists!$C$2:$C$4</formula1>
    </dataValidation>
    <dataValidation sqref="AJ2:AJ201" showDropDown="0" showInputMessage="0" showErrorMessage="0" allowBlank="1" type="list">
      <formula1>=Lists!$M$2:$M$14</formula1>
    </dataValidation>
    <dataValidation sqref="AK2:AK201" showDropDown="0" showInputMessage="0" showErrorMessage="0" allowBlank="1" type="list">
      <formula1>=Lists!$M$2:$M$14</formula1>
    </dataValidation>
    <dataValidation sqref="AL2:AL201" showDropDown="0" showInputMessage="0" showErrorMessage="0" allowBlank="1" type="list">
      <formula1>=Lists!$M$2:$M$14</formula1>
    </dataValidation>
    <dataValidation sqref="AN2:AN201" showDropDown="0" showInputMessage="0" showErrorMessage="0" allowBlank="1" type="list">
      <formula1>=Lists!$B$2:$B$4</formula1>
    </dataValidation>
    <dataValidation sqref="AQ2:AQ201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16" customWidth="1" min="5" max="5"/>
    <col width="10" customWidth="1" min="6" max="6"/>
    <col width="11" customWidth="1" min="7" max="7"/>
    <col width="9" customWidth="1" min="8" max="8"/>
    <col width="30" customWidth="1" min="9" max="9"/>
    <col width="10" customWidth="1" min="10" max="10"/>
    <col width="10" customWidth="1" min="11" max="11"/>
    <col width="24" customWidth="1" min="12" max="12"/>
    <col width="16" customWidth="1" min="13" max="13"/>
    <col width="7" customWidth="1" min="14" max="14"/>
    <col width="7" customWidth="1" min="15" max="15"/>
    <col width="7" customWidth="1" min="16" max="16"/>
    <col width="22" customWidth="1" min="17" max="17"/>
    <col width="9" customWidth="1" min="18" max="18"/>
    <col width="28" customWidth="1" min="19" max="19"/>
    <col width="18" customWidth="1" min="20" max="20"/>
    <col width="7" customWidth="1" min="21" max="21"/>
    <col width="9" customWidth="1" min="22" max="22"/>
    <col width="28" customWidth="1" min="23" max="23"/>
    <col width="26" customWidth="1" min="24" max="24"/>
    <col width="14" customWidth="1" min="25" max="25"/>
    <col width="22" customWidth="1" min="26" max="26"/>
    <col width="24" customWidth="1" min="27" max="27"/>
    <col width="14" customWidth="1" min="28" max="28"/>
    <col width="14" customWidth="1" min="29" max="29"/>
    <col width="14" customWidth="1" min="30" max="30"/>
    <col width="30" customWidth="1" min="31" max="31"/>
    <col width="7" customWidth="1" min="32" max="32"/>
    <col width="7" customWidth="1" min="33" max="33"/>
    <col width="20" customWidth="1" min="34" max="34"/>
    <col width="7" customWidth="1" min="35" max="35"/>
    <col width="7" customWidth="1" min="36" max="36"/>
    <col width="24" customWidth="1" min="37" max="37"/>
    <col width="34" customWidth="1" min="38" max="38"/>
    <col hidden="1" outlineLevel="1" width="11" customWidth="1" min="39" max="75"/>
  </cols>
  <sheetData>
    <row r="1" ht="42" customHeight="1">
      <c r="A1" s="7" t="inlineStr">
        <is>
          <t>row_id</t>
        </is>
      </c>
      <c r="B1" s="7" t="inlineStr">
        <is>
          <t>company</t>
        </is>
      </c>
      <c r="C1" s="7" t="inlineStr">
        <is>
          <t>contact_name</t>
        </is>
      </c>
      <c r="D1" s="7" t="inlineStr">
        <is>
          <t>contact_title</t>
        </is>
      </c>
      <c r="E1" s="7" t="inlineStr">
        <is>
          <t>source</t>
        </is>
      </c>
      <c r="F1" s="7" t="inlineStr">
        <is>
          <t>channel</t>
        </is>
      </c>
      <c r="G1" s="7" t="inlineStr">
        <is>
          <t>call_date</t>
        </is>
      </c>
      <c r="H1" s="7" t="inlineStr">
        <is>
          <t>call_type</t>
        </is>
      </c>
      <c r="I1" s="7" t="inlineStr">
        <is>
          <t>q1_trial_now_verbatim</t>
        </is>
      </c>
      <c r="J1" s="7" t="inlineStr">
        <is>
          <t>q2_sampling_budget_quarter_low_usd</t>
        </is>
      </c>
      <c r="K1" s="7" t="inlineStr">
        <is>
          <t>q2_sampling_budget_quarter_high_usd</t>
        </is>
      </c>
      <c r="L1" s="7" t="inlineStr">
        <is>
          <t>q2_budget_verbatim</t>
        </is>
      </c>
      <c r="M1" s="7" t="inlineStr">
        <is>
          <t>budget_approver</t>
        </is>
      </c>
      <c r="N1" s="7" t="inlineStr">
        <is>
          <t>controls_budget</t>
        </is>
      </c>
      <c r="O1" s="7" t="inlineStr">
        <is>
          <t>can_approve_600_alone</t>
        </is>
      </c>
      <c r="P1" s="7" t="inlineStr">
        <is>
          <t>q3_seeded_offices</t>
        </is>
      </c>
      <c r="Q1" s="7" t="inlineStr">
        <is>
          <t>q3_verbatim</t>
        </is>
      </c>
      <c r="R1" s="7" t="inlineStr">
        <is>
          <t>wtp_before_usd</t>
        </is>
      </c>
      <c r="S1" s="7" t="inlineStr">
        <is>
          <t>wtp_before_verbatim</t>
        </is>
      </c>
      <c r="T1" s="7" t="inlineStr">
        <is>
          <t>wtp_conversion_note</t>
        </is>
      </c>
      <c r="U1" s="7" t="inlineStr">
        <is>
          <t>price_1500_mentioned</t>
        </is>
      </c>
      <c r="V1" s="7" t="inlineStr">
        <is>
          <t>wtp_after_usd</t>
        </is>
      </c>
      <c r="W1" s="7" t="inlineStr">
        <is>
          <t>wtp_after_verbatim</t>
        </is>
      </c>
      <c r="X1" s="7" t="inlineStr">
        <is>
          <t>q5_report_needs_verbatim</t>
        </is>
      </c>
      <c r="Y1" s="7" t="inlineStr">
        <is>
          <t>q6_buy_path_type</t>
        </is>
      </c>
      <c r="Z1" s="7" t="inlineStr">
        <is>
          <t>q6_buy_path_verbatim</t>
        </is>
      </c>
      <c r="AA1" s="7" t="inlineStr">
        <is>
          <t>q7_stoppers_verbatim</t>
        </is>
      </c>
      <c r="AB1" s="7" t="inlineStr">
        <is>
          <t>objection_1</t>
        </is>
      </c>
      <c r="AC1" s="7" t="inlineStr">
        <is>
          <t>objection_2</t>
        </is>
      </c>
      <c r="AD1" s="7" t="inlineStr">
        <is>
          <t>objection_3</t>
        </is>
      </c>
      <c r="AE1" s="7" t="inlineStr">
        <is>
          <t>objections_verbatim</t>
        </is>
      </c>
      <c r="AF1" s="7" t="inlineStr">
        <is>
          <t>yes_in_principle</t>
        </is>
      </c>
      <c r="AG1" s="7" t="inlineStr">
        <is>
          <t>referrals_given_count</t>
        </is>
      </c>
      <c r="AH1" s="7" t="inlineStr">
        <is>
          <t>referrals_given</t>
        </is>
      </c>
      <c r="AI1" s="7" t="inlineStr">
        <is>
          <t>note_minutes</t>
        </is>
      </c>
      <c r="AJ1" s="7" t="inlineStr">
        <is>
          <t>clay_updated</t>
        </is>
      </c>
      <c r="AK1" s="7" t="inlineStr">
        <is>
          <t>notes</t>
        </is>
      </c>
      <c r="AL1" s="16" t="inlineStr">
        <is>
          <t>calc_sync_issue</t>
        </is>
      </c>
      <c r="AM1" s="16" t="inlineStr">
        <is>
          <t>calc_row</t>
        </is>
      </c>
      <c r="AN1" s="16" t="inlineStr">
        <is>
          <t>calc_valid</t>
        </is>
      </c>
      <c r="AO1" s="16" t="inlineStr">
        <is>
          <t>calc_conv_first</t>
        </is>
      </c>
      <c r="AP1" s="16" t="inlineStr">
        <is>
          <t>calc_latest</t>
        </is>
      </c>
      <c r="AQ1" s="16" t="inlineStr">
        <is>
          <t>calc_g0</t>
        </is>
      </c>
      <c r="AR1" s="16" t="inlineStr">
        <is>
          <t>calc_g0_first</t>
        </is>
      </c>
      <c r="AS1" s="16" t="inlineStr">
        <is>
          <t>calc_g0_strict</t>
        </is>
      </c>
      <c r="AT1" s="16" t="inlineStr">
        <is>
          <t>calc_g0_strict_first</t>
        </is>
      </c>
      <c r="AU1" s="16" t="inlineStr">
        <is>
          <t>calc_g0_noctrl</t>
        </is>
      </c>
      <c r="AV1" s="16" t="inlineStr">
        <is>
          <t>calc_g0_noctrl_first</t>
        </is>
      </c>
      <c r="AW1" s="16" t="inlineStr">
        <is>
          <t>calc_wb_has</t>
        </is>
      </c>
      <c r="AX1" s="16" t="inlineStr">
        <is>
          <t>calc_wb_first</t>
        </is>
      </c>
      <c r="AY1" s="16" t="inlineStr">
        <is>
          <t>calc_wb_w1</t>
        </is>
      </c>
      <c r="AZ1" s="16" t="inlineStr">
        <is>
          <t>calc_wb_w2</t>
        </is>
      </c>
      <c r="BA1" s="16" t="inlineStr">
        <is>
          <t>calc_wb_g0</t>
        </is>
      </c>
      <c r="BB1" s="16" t="inlineStr">
        <is>
          <t>calc_wb_asof</t>
        </is>
      </c>
      <c r="BC1" s="16" t="inlineStr">
        <is>
          <t>calc_wa_has</t>
        </is>
      </c>
      <c r="BD1" s="16" t="inlineStr">
        <is>
          <t>calc_wa_first</t>
        </is>
      </c>
      <c r="BE1" s="16" t="inlineStr">
        <is>
          <t>calc_wa_w1</t>
        </is>
      </c>
      <c r="BF1" s="16" t="inlineStr">
        <is>
          <t>calc_wa_w2</t>
        </is>
      </c>
      <c r="BG1" s="16" t="inlineStr">
        <is>
          <t>calc_wa_g0</t>
        </is>
      </c>
      <c r="BH1" s="16" t="inlineStr">
        <is>
          <t>calc_wa_asof</t>
        </is>
      </c>
      <c r="BI1" s="16" t="inlineStr">
        <is>
          <t>calc_q2_has</t>
        </is>
      </c>
      <c r="BJ1" s="16" t="inlineStr">
        <is>
          <t>calc_q2_first</t>
        </is>
      </c>
      <c r="BK1" s="16" t="inlineStr">
        <is>
          <t>calc_q2_asof</t>
        </is>
      </c>
      <c r="BL1" s="16" t="inlineStr">
        <is>
          <t>calc_wtp_missing_text</t>
        </is>
      </c>
      <c r="BM1" s="16" t="inlineStr">
        <is>
          <t>calc_obj1</t>
        </is>
      </c>
      <c r="BN1" s="16" t="inlineStr">
        <is>
          <t>calc_obj2</t>
        </is>
      </c>
      <c r="BO1" s="16" t="inlineStr">
        <is>
          <t>calc_obj3</t>
        </is>
      </c>
      <c r="BP1" s="16" t="inlineStr">
        <is>
          <t>calc_note_min</t>
        </is>
      </c>
      <c r="BQ1" s="16" t="inlineStr">
        <is>
          <t>calc_yes_any</t>
        </is>
      </c>
      <c r="BR1" s="16" t="inlineStr">
        <is>
          <t>calc_yes_any_first</t>
        </is>
      </c>
      <c r="BS1" s="16" t="inlineStr">
        <is>
          <t>calc_clay_idx</t>
        </is>
      </c>
      <c r="BT1" s="16" t="inlineStr">
        <is>
          <t>calc_clay_status</t>
        </is>
      </c>
      <c r="BU1" s="16" t="inlineStr">
        <is>
          <t>calc_clay_rank</t>
        </is>
      </c>
      <c r="BV1" s="16" t="inlineStr">
        <is>
          <t>calc_clay_yes</t>
        </is>
      </c>
      <c r="BW1" s="16" t="inlineStr">
        <is>
          <t>calc_clay_call_date</t>
        </is>
      </c>
    </row>
    <row r="2">
      <c r="G2" s="22" t="n"/>
      <c r="AL2" s="17">
        <f>IF(TRIM($A2)="","",IF(AND(LEFT($A2,6)="SAMPLE",Config!$B$19&lt;&gt;"Y"),"",IF(NOT(ISNUMBER(G2)),"call_date is blank or not a date",IF(Sync!$D$5="","Clay paste is empty or has no row_id column: paste the Clay export on Clay_Brands",IF(BS2="","row_id not found in the Clay paste: add the Clay row or fix the row_id",IF(AND(ISNUMBER(BU2),BU2&gt;=1,BU2&lt;=5),"Clay status is "&amp;BT2&amp;": set call_done or later",IF(AND(AP2=1,BV2&lt;&gt;BQ2),"Clay yes_in_principle should be "&amp;BQ2,IF(AND(AP2=1,BW2&lt;&gt;G2),"Clay call_date should be "&amp;TEXT(G2,"yyyy-mm-dd"),""))))))))</f>
        <v/>
      </c>
      <c r="AM2" s="17">
        <f>ROW()</f>
        <v/>
      </c>
      <c r="AN2" s="17">
        <f>IF(AND(TRIM($A2)&lt;&gt;"",ISNUMBER(G2)),IF(AND(LEFT($A2,6)="SAMPLE",Config!$B$19&lt;&gt;"Y"),0,1),0)</f>
        <v/>
      </c>
      <c r="AO2" s="17">
        <f>IF(AN2=1,IF(COUNTIFS($A$2:$A$201,$A2,$AN$2:$AN$201,1,$G$2:$G$201,"&lt;"&amp;G2)+COUNTIFS($A$2:$A$201,$A2,$AN$2:$AN$201,1,$G$2:$G$201,G2,$AM$2:$AM$201,"&lt;"&amp;AM2)=0,1,0),0)</f>
        <v/>
      </c>
      <c r="AP2" s="17">
        <f>IF(AN2=1,IF(COUNTIFS($A$2:$A$201,$A2,$AN$2:$AN$201,1,$G$2:$G$201,"&gt;"&amp;G2)+COUNTIFS($A$2:$A$201,$A2,$AN$2:$AN$201,1,$G$2:$G$201,G2,$AM$2:$AM$201,"&gt;"&amp;AM2)=0,1,0),0)</f>
        <v/>
      </c>
      <c r="AQ2" s="17">
        <f>IF(AND(AN2=1,N2="Y",MAX(N(R2),N(V2))&gt;=Config!$B$14),1,0)</f>
        <v/>
      </c>
      <c r="AR2" s="17">
        <f>IF(AQ2=1,IF(COUNTIFS($A$2:$A$201,$A2,$AQ$2:$AQ$201,1,$G$2:$G$201,"&lt;"&amp;G2)+COUNTIFS($A$2:$A$201,$A2,$AQ$2:$AQ$201,1,$G$2:$G$201,G2,$AM$2:$AM$201,"&lt;"&amp;AM2)=0,1,0),0)</f>
        <v/>
      </c>
      <c r="AS2" s="17">
        <f>IF(AND(AN2=1,N2="Y",ISNUMBER(R2)),IF(R2&gt;=Config!$B$14,1,0),0)</f>
        <v/>
      </c>
      <c r="AT2" s="17">
        <f>IF(AS2=1,IF(COUNTIFS($A$2:$A$201,$A2,$AS$2:$AS$201,1,$G$2:$G$201,"&lt;"&amp;G2)+COUNTIFS($A$2:$A$201,$A2,$AS$2:$AS$201,1,$G$2:$G$201,G2,$AM$2:$AM$201,"&lt;"&amp;AM2)=0,1,0),0)</f>
        <v/>
      </c>
      <c r="AU2" s="17">
        <f>IF(AND(AN2=1,N2&lt;&gt;"Y",MAX(N(R2),N(V2))&gt;=Config!$B$14),1,0)</f>
        <v/>
      </c>
      <c r="AV2" s="17">
        <f>IF(AU2=1,IF(COUNTIFS($A$2:$A$201,$A2,$AU$2:$AU$201,1,$G$2:$G$201,"&lt;"&amp;G2)+COUNTIFS($A$2:$A$201,$A2,$AU$2:$AU$201,1,$G$2:$G$201,G2,$AM$2:$AM$201,"&lt;"&amp;AM2)=0,1,0),0)</f>
        <v/>
      </c>
      <c r="AW2" s="17">
        <f>IF(AND(AN2=1,ISNUMBER(R2)),1,0)</f>
        <v/>
      </c>
      <c r="AX2" s="17">
        <f>IF(AW2=1,IF(COUNTIFS($A$2:$A$201,$A2,$AW$2:$AW$201,1,$G$2:$G$201,"&lt;"&amp;G2)+COUNTIFS($A$2:$A$201,$A2,$AW$2:$AW$201,1,$G$2:$G$201,G2,$AM$2:$AM$201,"&lt;"&amp;AM2)=0,1,0),0)</f>
        <v/>
      </c>
      <c r="AY2" s="17">
        <f>IF(AND(AX2=1,G2&lt;=Config!$B$6),R2,"")</f>
        <v/>
      </c>
      <c r="AZ2" s="17">
        <f>IF(AND(AX2=1,G2&lt;=Config!$B$7),R2,"")</f>
        <v/>
      </c>
      <c r="BA2" s="17">
        <f>IF(AND(AX2=1,G2&lt;=Config!$B$8),R2,"")</f>
        <v/>
      </c>
      <c r="BB2" s="17">
        <f>IF(AND(AX2=1,G2&lt;=Config!$B$5),R2,"")</f>
        <v/>
      </c>
      <c r="BC2" s="17">
        <f>IF(AND(AN2=1,ISNUMBER(V2)),1,0)</f>
        <v/>
      </c>
      <c r="BD2" s="17">
        <f>IF(BC2=1,IF(COUNTIFS($A$2:$A$201,$A2,$BC$2:$BC$201,1,$G$2:$G$201,"&lt;"&amp;G2)+COUNTIFS($A$2:$A$201,$A2,$BC$2:$BC$201,1,$G$2:$G$201,G2,$AM$2:$AM$201,"&lt;"&amp;AM2)=0,1,0),0)</f>
        <v/>
      </c>
      <c r="BE2" s="17">
        <f>IF(AND(BD2=1,G2&lt;=Config!$B$6),V2,"")</f>
        <v/>
      </c>
      <c r="BF2" s="17">
        <f>IF(AND(BD2=1,G2&lt;=Config!$B$7),V2,"")</f>
        <v/>
      </c>
      <c r="BG2" s="17">
        <f>IF(AND(BD2=1,G2&lt;=Config!$B$8),V2,"")</f>
        <v/>
      </c>
      <c r="BH2" s="17">
        <f>IF(AND(BD2=1,G2&lt;=Config!$B$5),V2,"")</f>
        <v/>
      </c>
      <c r="BI2" s="17">
        <f>IF(AND(AN2=1,ISNUMBER(J2)),1,0)</f>
        <v/>
      </c>
      <c r="BJ2" s="17">
        <f>IF(BI2=1,IF(COUNTIFS($A$2:$A$201,$A2,$BI$2:$BI$201,1,$G$2:$G$201,"&lt;"&amp;G2)+COUNTIFS($A$2:$A$201,$A2,$BI$2:$BI$201,1,$G$2:$G$201,G2,$AM$2:$AM$201,"&lt;"&amp;AM2)=0,1,0),0)</f>
        <v/>
      </c>
      <c r="BK2" s="17">
        <f>IF(AND(BJ2=1,G2&lt;=Config!$B$5),J2,"")</f>
        <v/>
      </c>
      <c r="BL2" s="17">
        <f>IF(AND(AN2=1,OR(AND(ISNUMBER(R2),TRIM(S2)=""),AND(ISNUMBER(V2),TRIM(W2)=""))),1,0)</f>
        <v/>
      </c>
      <c r="BM2" s="17">
        <f>IF(AN2=1,AB2&amp;"","")</f>
        <v/>
      </c>
      <c r="BN2" s="17">
        <f>IF(AN2=1,AC2&amp;"","")</f>
        <v/>
      </c>
      <c r="BO2" s="17">
        <f>IF(AN2=1,AD2&amp;"","")</f>
        <v/>
      </c>
      <c r="BP2" s="17">
        <f>IF(AND(AN2=1,ISNUMBER(AI2),G2&lt;=Config!$B$5),AI2,"")</f>
        <v/>
      </c>
      <c r="BQ2" s="17">
        <f>IF(AN2=1,IF(COUNTIFS($A$2:$A$201,$A2,$AF$2:$AF$201,"Y",$AN$2:$AN$201,1)&gt;0,"Y","N"),"")</f>
        <v/>
      </c>
      <c r="BR2" s="17">
        <f>IF(AND(AN2=1,AF2="Y"),IF(COUNTIFS($A$2:$A$201,$A2,$AF$2:$AF$201,"Y",$AN$2:$AN$201,1,$G$2:$G$201,"&lt;"&amp;G2)+COUNTIFS($A$2:$A$201,$A2,$AF$2:$AF$201,"Y",$AN$2:$AN$201,1,$G$2:$G$201,G2,$AM$2:$AM$201,"&lt;"&amp;AM2)=0,1,0),0)</f>
        <v/>
      </c>
      <c r="BS2" s="17">
        <f>IF(AN2=1,IFERROR(MATCH($A2,INDEX(Clay_Brands!$A$2:$FZ$601,0,Sync!$D$5),0),""),"")</f>
        <v/>
      </c>
      <c r="BT2" s="17">
        <f>IF(BS2="","",IFERROR(INDEX(Clay_Brands!$A$2:$FZ$601,BS2,Sync!$D$7)&amp;"",""))</f>
        <v/>
      </c>
      <c r="BU2" s="17">
        <f>IF(BT2="","",IFERROR(INDEX(Lists!$J$2:$J$15,MATCH(BT2,Lists!$I$2:$I$15,0)),""))</f>
        <v/>
      </c>
      <c r="BV2" s="17">
        <f>IF(BS2="","",IFERROR(INDEX(Clay_Brands!$A$2:$FZ$601,BS2,Sync!$D$17)&amp;"",""))</f>
        <v/>
      </c>
      <c r="BW2" s="23">
        <f>IF(BS2="","",IFERROR(N(INDEX(Clay_Brands!$A$2:$FZ$601,BS2,Sync!$D$16)),0))</f>
        <v/>
      </c>
    </row>
    <row r="3">
      <c r="G3" s="22" t="n"/>
      <c r="AL3" s="17">
        <f>IF(TRIM($A3)="","",IF(AND(LEFT($A3,6)="SAMPLE",Config!$B$19&lt;&gt;"Y"),"",IF(NOT(ISNUMBER(G3)),"call_date is blank or not a date",IF(Sync!$D$5="","Clay paste is empty or has no row_id column: paste the Clay export on Clay_Brands",IF(BS3="","row_id not found in the Clay paste: add the Clay row or fix the row_id",IF(AND(ISNUMBER(BU3),BU3&gt;=1,BU3&lt;=5),"Clay status is "&amp;BT3&amp;": set call_done or later",IF(AND(AP3=1,BV3&lt;&gt;BQ3),"Clay yes_in_principle should be "&amp;BQ3,IF(AND(AP3=1,BW3&lt;&gt;G3),"Clay call_date should be "&amp;TEXT(G3,"yyyy-mm-dd"),""))))))))</f>
        <v/>
      </c>
      <c r="AM3" s="17">
        <f>ROW()</f>
        <v/>
      </c>
      <c r="AN3" s="17">
        <f>IF(AND(TRIM($A3)&lt;&gt;"",ISNUMBER(G3)),IF(AND(LEFT($A3,6)="SAMPLE",Config!$B$19&lt;&gt;"Y"),0,1),0)</f>
        <v/>
      </c>
      <c r="AO3" s="17">
        <f>IF(AN3=1,IF(COUNTIFS($A$2:$A$201,$A3,$AN$2:$AN$201,1,$G$2:$G$201,"&lt;"&amp;G3)+COUNTIFS($A$2:$A$201,$A3,$AN$2:$AN$201,1,$G$2:$G$201,G3,$AM$2:$AM$201,"&lt;"&amp;AM3)=0,1,0),0)</f>
        <v/>
      </c>
      <c r="AP3" s="17">
        <f>IF(AN3=1,IF(COUNTIFS($A$2:$A$201,$A3,$AN$2:$AN$201,1,$G$2:$G$201,"&gt;"&amp;G3)+COUNTIFS($A$2:$A$201,$A3,$AN$2:$AN$201,1,$G$2:$G$201,G3,$AM$2:$AM$201,"&gt;"&amp;AM3)=0,1,0),0)</f>
        <v/>
      </c>
      <c r="AQ3" s="17">
        <f>IF(AND(AN3=1,N3="Y",MAX(N(R3),N(V3))&gt;=Config!$B$14),1,0)</f>
        <v/>
      </c>
      <c r="AR3" s="17">
        <f>IF(AQ3=1,IF(COUNTIFS($A$2:$A$201,$A3,$AQ$2:$AQ$201,1,$G$2:$G$201,"&lt;"&amp;G3)+COUNTIFS($A$2:$A$201,$A3,$AQ$2:$AQ$201,1,$G$2:$G$201,G3,$AM$2:$AM$201,"&lt;"&amp;AM3)=0,1,0),0)</f>
        <v/>
      </c>
      <c r="AS3" s="17">
        <f>IF(AND(AN3=1,N3="Y",ISNUMBER(R3)),IF(R3&gt;=Config!$B$14,1,0),0)</f>
        <v/>
      </c>
      <c r="AT3" s="17">
        <f>IF(AS3=1,IF(COUNTIFS($A$2:$A$201,$A3,$AS$2:$AS$201,1,$G$2:$G$201,"&lt;"&amp;G3)+COUNTIFS($A$2:$A$201,$A3,$AS$2:$AS$201,1,$G$2:$G$201,G3,$AM$2:$AM$201,"&lt;"&amp;AM3)=0,1,0),0)</f>
        <v/>
      </c>
      <c r="AU3" s="17">
        <f>IF(AND(AN3=1,N3&lt;&gt;"Y",MAX(N(R3),N(V3))&gt;=Config!$B$14),1,0)</f>
        <v/>
      </c>
      <c r="AV3" s="17">
        <f>IF(AU3=1,IF(COUNTIFS($A$2:$A$201,$A3,$AU$2:$AU$201,1,$G$2:$G$201,"&lt;"&amp;G3)+COUNTIFS($A$2:$A$201,$A3,$AU$2:$AU$201,1,$G$2:$G$201,G3,$AM$2:$AM$201,"&lt;"&amp;AM3)=0,1,0),0)</f>
        <v/>
      </c>
      <c r="AW3" s="17">
        <f>IF(AND(AN3=1,ISNUMBER(R3)),1,0)</f>
        <v/>
      </c>
      <c r="AX3" s="17">
        <f>IF(AW3=1,IF(COUNTIFS($A$2:$A$201,$A3,$AW$2:$AW$201,1,$G$2:$G$201,"&lt;"&amp;G3)+COUNTIFS($A$2:$A$201,$A3,$AW$2:$AW$201,1,$G$2:$G$201,G3,$AM$2:$AM$201,"&lt;"&amp;AM3)=0,1,0),0)</f>
        <v/>
      </c>
      <c r="AY3" s="17">
        <f>IF(AND(AX3=1,G3&lt;=Config!$B$6),R3,"")</f>
        <v/>
      </c>
      <c r="AZ3" s="17">
        <f>IF(AND(AX3=1,G3&lt;=Config!$B$7),R3,"")</f>
        <v/>
      </c>
      <c r="BA3" s="17">
        <f>IF(AND(AX3=1,G3&lt;=Config!$B$8),R3,"")</f>
        <v/>
      </c>
      <c r="BB3" s="17">
        <f>IF(AND(AX3=1,G3&lt;=Config!$B$5),R3,"")</f>
        <v/>
      </c>
      <c r="BC3" s="17">
        <f>IF(AND(AN3=1,ISNUMBER(V3)),1,0)</f>
        <v/>
      </c>
      <c r="BD3" s="17">
        <f>IF(BC3=1,IF(COUNTIFS($A$2:$A$201,$A3,$BC$2:$BC$201,1,$G$2:$G$201,"&lt;"&amp;G3)+COUNTIFS($A$2:$A$201,$A3,$BC$2:$BC$201,1,$G$2:$G$201,G3,$AM$2:$AM$201,"&lt;"&amp;AM3)=0,1,0),0)</f>
        <v/>
      </c>
      <c r="BE3" s="17">
        <f>IF(AND(BD3=1,G3&lt;=Config!$B$6),V3,"")</f>
        <v/>
      </c>
      <c r="BF3" s="17">
        <f>IF(AND(BD3=1,G3&lt;=Config!$B$7),V3,"")</f>
        <v/>
      </c>
      <c r="BG3" s="17">
        <f>IF(AND(BD3=1,G3&lt;=Config!$B$8),V3,"")</f>
        <v/>
      </c>
      <c r="BH3" s="17">
        <f>IF(AND(BD3=1,G3&lt;=Config!$B$5),V3,"")</f>
        <v/>
      </c>
      <c r="BI3" s="17">
        <f>IF(AND(AN3=1,ISNUMBER(J3)),1,0)</f>
        <v/>
      </c>
      <c r="BJ3" s="17">
        <f>IF(BI3=1,IF(COUNTIFS($A$2:$A$201,$A3,$BI$2:$BI$201,1,$G$2:$G$201,"&lt;"&amp;G3)+COUNTIFS($A$2:$A$201,$A3,$BI$2:$BI$201,1,$G$2:$G$201,G3,$AM$2:$AM$201,"&lt;"&amp;AM3)=0,1,0),0)</f>
        <v/>
      </c>
      <c r="BK3" s="17">
        <f>IF(AND(BJ3=1,G3&lt;=Config!$B$5),J3,"")</f>
        <v/>
      </c>
      <c r="BL3" s="17">
        <f>IF(AND(AN3=1,OR(AND(ISNUMBER(R3),TRIM(S3)=""),AND(ISNUMBER(V3),TRIM(W3)=""))),1,0)</f>
        <v/>
      </c>
      <c r="BM3" s="17">
        <f>IF(AN3=1,AB3&amp;"","")</f>
        <v/>
      </c>
      <c r="BN3" s="17">
        <f>IF(AN3=1,AC3&amp;"","")</f>
        <v/>
      </c>
      <c r="BO3" s="17">
        <f>IF(AN3=1,AD3&amp;"","")</f>
        <v/>
      </c>
      <c r="BP3" s="17">
        <f>IF(AND(AN3=1,ISNUMBER(AI3),G3&lt;=Config!$B$5),AI3,"")</f>
        <v/>
      </c>
      <c r="BQ3" s="17">
        <f>IF(AN3=1,IF(COUNTIFS($A$2:$A$201,$A3,$AF$2:$AF$201,"Y",$AN$2:$AN$201,1)&gt;0,"Y","N"),"")</f>
        <v/>
      </c>
      <c r="BR3" s="17">
        <f>IF(AND(AN3=1,AF3="Y"),IF(COUNTIFS($A$2:$A$201,$A3,$AF$2:$AF$201,"Y",$AN$2:$AN$201,1,$G$2:$G$201,"&lt;"&amp;G3)+COUNTIFS($A$2:$A$201,$A3,$AF$2:$AF$201,"Y",$AN$2:$AN$201,1,$G$2:$G$201,G3,$AM$2:$AM$201,"&lt;"&amp;AM3)=0,1,0),0)</f>
        <v/>
      </c>
      <c r="BS3" s="17">
        <f>IF(AN3=1,IFERROR(MATCH($A3,INDEX(Clay_Brands!$A$2:$FZ$601,0,Sync!$D$5),0),""),"")</f>
        <v/>
      </c>
      <c r="BT3" s="17">
        <f>IF(BS3="","",IFERROR(INDEX(Clay_Brands!$A$2:$FZ$601,BS3,Sync!$D$7)&amp;"",""))</f>
        <v/>
      </c>
      <c r="BU3" s="17">
        <f>IF(BT3="","",IFERROR(INDEX(Lists!$J$2:$J$15,MATCH(BT3,Lists!$I$2:$I$15,0)),""))</f>
        <v/>
      </c>
      <c r="BV3" s="17">
        <f>IF(BS3="","",IFERROR(INDEX(Clay_Brands!$A$2:$FZ$601,BS3,Sync!$D$17)&amp;"",""))</f>
        <v/>
      </c>
      <c r="BW3" s="23">
        <f>IF(BS3="","",IFERROR(N(INDEX(Clay_Brands!$A$2:$FZ$601,BS3,Sync!$D$16)),0))</f>
        <v/>
      </c>
    </row>
    <row r="4">
      <c r="G4" s="22" t="n"/>
      <c r="AL4" s="17">
        <f>IF(TRIM($A4)="","",IF(AND(LEFT($A4,6)="SAMPLE",Config!$B$19&lt;&gt;"Y"),"",IF(NOT(ISNUMBER(G4)),"call_date is blank or not a date",IF(Sync!$D$5="","Clay paste is empty or has no row_id column: paste the Clay export on Clay_Brands",IF(BS4="","row_id not found in the Clay paste: add the Clay row or fix the row_id",IF(AND(ISNUMBER(BU4),BU4&gt;=1,BU4&lt;=5),"Clay status is "&amp;BT4&amp;": set call_done or later",IF(AND(AP4=1,BV4&lt;&gt;BQ4),"Clay yes_in_principle should be "&amp;BQ4,IF(AND(AP4=1,BW4&lt;&gt;G4),"Clay call_date should be "&amp;TEXT(G4,"yyyy-mm-dd"),""))))))))</f>
        <v/>
      </c>
      <c r="AM4" s="17">
        <f>ROW()</f>
        <v/>
      </c>
      <c r="AN4" s="17">
        <f>IF(AND(TRIM($A4)&lt;&gt;"",ISNUMBER(G4)),IF(AND(LEFT($A4,6)="SAMPLE",Config!$B$19&lt;&gt;"Y"),0,1),0)</f>
        <v/>
      </c>
      <c r="AO4" s="17">
        <f>IF(AN4=1,IF(COUNTIFS($A$2:$A$201,$A4,$AN$2:$AN$201,1,$G$2:$G$201,"&lt;"&amp;G4)+COUNTIFS($A$2:$A$201,$A4,$AN$2:$AN$201,1,$G$2:$G$201,G4,$AM$2:$AM$201,"&lt;"&amp;AM4)=0,1,0),0)</f>
        <v/>
      </c>
      <c r="AP4" s="17">
        <f>IF(AN4=1,IF(COUNTIFS($A$2:$A$201,$A4,$AN$2:$AN$201,1,$G$2:$G$201,"&gt;"&amp;G4)+COUNTIFS($A$2:$A$201,$A4,$AN$2:$AN$201,1,$G$2:$G$201,G4,$AM$2:$AM$201,"&gt;"&amp;AM4)=0,1,0),0)</f>
        <v/>
      </c>
      <c r="AQ4" s="17">
        <f>IF(AND(AN4=1,N4="Y",MAX(N(R4),N(V4))&gt;=Config!$B$14),1,0)</f>
        <v/>
      </c>
      <c r="AR4" s="17">
        <f>IF(AQ4=1,IF(COUNTIFS($A$2:$A$201,$A4,$AQ$2:$AQ$201,1,$G$2:$G$201,"&lt;"&amp;G4)+COUNTIFS($A$2:$A$201,$A4,$AQ$2:$AQ$201,1,$G$2:$G$201,G4,$AM$2:$AM$201,"&lt;"&amp;AM4)=0,1,0),0)</f>
        <v/>
      </c>
      <c r="AS4" s="17">
        <f>IF(AND(AN4=1,N4="Y",ISNUMBER(R4)),IF(R4&gt;=Config!$B$14,1,0),0)</f>
        <v/>
      </c>
      <c r="AT4" s="17">
        <f>IF(AS4=1,IF(COUNTIFS($A$2:$A$201,$A4,$AS$2:$AS$201,1,$G$2:$G$201,"&lt;"&amp;G4)+COUNTIFS($A$2:$A$201,$A4,$AS$2:$AS$201,1,$G$2:$G$201,G4,$AM$2:$AM$201,"&lt;"&amp;AM4)=0,1,0),0)</f>
        <v/>
      </c>
      <c r="AU4" s="17">
        <f>IF(AND(AN4=1,N4&lt;&gt;"Y",MAX(N(R4),N(V4))&gt;=Config!$B$14),1,0)</f>
        <v/>
      </c>
      <c r="AV4" s="17">
        <f>IF(AU4=1,IF(COUNTIFS($A$2:$A$201,$A4,$AU$2:$AU$201,1,$G$2:$G$201,"&lt;"&amp;G4)+COUNTIFS($A$2:$A$201,$A4,$AU$2:$AU$201,1,$G$2:$G$201,G4,$AM$2:$AM$201,"&lt;"&amp;AM4)=0,1,0),0)</f>
        <v/>
      </c>
      <c r="AW4" s="17">
        <f>IF(AND(AN4=1,ISNUMBER(R4)),1,0)</f>
        <v/>
      </c>
      <c r="AX4" s="17">
        <f>IF(AW4=1,IF(COUNTIFS($A$2:$A$201,$A4,$AW$2:$AW$201,1,$G$2:$G$201,"&lt;"&amp;G4)+COUNTIFS($A$2:$A$201,$A4,$AW$2:$AW$201,1,$G$2:$G$201,G4,$AM$2:$AM$201,"&lt;"&amp;AM4)=0,1,0),0)</f>
        <v/>
      </c>
      <c r="AY4" s="17">
        <f>IF(AND(AX4=1,G4&lt;=Config!$B$6),R4,"")</f>
        <v/>
      </c>
      <c r="AZ4" s="17">
        <f>IF(AND(AX4=1,G4&lt;=Config!$B$7),R4,"")</f>
        <v/>
      </c>
      <c r="BA4" s="17">
        <f>IF(AND(AX4=1,G4&lt;=Config!$B$8),R4,"")</f>
        <v/>
      </c>
      <c r="BB4" s="17">
        <f>IF(AND(AX4=1,G4&lt;=Config!$B$5),R4,"")</f>
        <v/>
      </c>
      <c r="BC4" s="17">
        <f>IF(AND(AN4=1,ISNUMBER(V4)),1,0)</f>
        <v/>
      </c>
      <c r="BD4" s="17">
        <f>IF(BC4=1,IF(COUNTIFS($A$2:$A$201,$A4,$BC$2:$BC$201,1,$G$2:$G$201,"&lt;"&amp;G4)+COUNTIFS($A$2:$A$201,$A4,$BC$2:$BC$201,1,$G$2:$G$201,G4,$AM$2:$AM$201,"&lt;"&amp;AM4)=0,1,0),0)</f>
        <v/>
      </c>
      <c r="BE4" s="17">
        <f>IF(AND(BD4=1,G4&lt;=Config!$B$6),V4,"")</f>
        <v/>
      </c>
      <c r="BF4" s="17">
        <f>IF(AND(BD4=1,G4&lt;=Config!$B$7),V4,"")</f>
        <v/>
      </c>
      <c r="BG4" s="17">
        <f>IF(AND(BD4=1,G4&lt;=Config!$B$8),V4,"")</f>
        <v/>
      </c>
      <c r="BH4" s="17">
        <f>IF(AND(BD4=1,G4&lt;=Config!$B$5),V4,"")</f>
        <v/>
      </c>
      <c r="BI4" s="17">
        <f>IF(AND(AN4=1,ISNUMBER(J4)),1,0)</f>
        <v/>
      </c>
      <c r="BJ4" s="17">
        <f>IF(BI4=1,IF(COUNTIFS($A$2:$A$201,$A4,$BI$2:$BI$201,1,$G$2:$G$201,"&lt;"&amp;G4)+COUNTIFS($A$2:$A$201,$A4,$BI$2:$BI$201,1,$G$2:$G$201,G4,$AM$2:$AM$201,"&lt;"&amp;AM4)=0,1,0),0)</f>
        <v/>
      </c>
      <c r="BK4" s="17">
        <f>IF(AND(BJ4=1,G4&lt;=Config!$B$5),J4,"")</f>
        <v/>
      </c>
      <c r="BL4" s="17">
        <f>IF(AND(AN4=1,OR(AND(ISNUMBER(R4),TRIM(S4)=""),AND(ISNUMBER(V4),TRIM(W4)=""))),1,0)</f>
        <v/>
      </c>
      <c r="BM4" s="17">
        <f>IF(AN4=1,AB4&amp;"","")</f>
        <v/>
      </c>
      <c r="BN4" s="17">
        <f>IF(AN4=1,AC4&amp;"","")</f>
        <v/>
      </c>
      <c r="BO4" s="17">
        <f>IF(AN4=1,AD4&amp;"","")</f>
        <v/>
      </c>
      <c r="BP4" s="17">
        <f>IF(AND(AN4=1,ISNUMBER(AI4),G4&lt;=Config!$B$5),AI4,"")</f>
        <v/>
      </c>
      <c r="BQ4" s="17">
        <f>IF(AN4=1,IF(COUNTIFS($A$2:$A$201,$A4,$AF$2:$AF$201,"Y",$AN$2:$AN$201,1)&gt;0,"Y","N"),"")</f>
        <v/>
      </c>
      <c r="BR4" s="17">
        <f>IF(AND(AN4=1,AF4="Y"),IF(COUNTIFS($A$2:$A$201,$A4,$AF$2:$AF$201,"Y",$AN$2:$AN$201,1,$G$2:$G$201,"&lt;"&amp;G4)+COUNTIFS($A$2:$A$201,$A4,$AF$2:$AF$201,"Y",$AN$2:$AN$201,1,$G$2:$G$201,G4,$AM$2:$AM$201,"&lt;"&amp;AM4)=0,1,0),0)</f>
        <v/>
      </c>
      <c r="BS4" s="17">
        <f>IF(AN4=1,IFERROR(MATCH($A4,INDEX(Clay_Brands!$A$2:$FZ$601,0,Sync!$D$5),0),""),"")</f>
        <v/>
      </c>
      <c r="BT4" s="17">
        <f>IF(BS4="","",IFERROR(INDEX(Clay_Brands!$A$2:$FZ$601,BS4,Sync!$D$7)&amp;"",""))</f>
        <v/>
      </c>
      <c r="BU4" s="17">
        <f>IF(BT4="","",IFERROR(INDEX(Lists!$J$2:$J$15,MATCH(BT4,Lists!$I$2:$I$15,0)),""))</f>
        <v/>
      </c>
      <c r="BV4" s="17">
        <f>IF(BS4="","",IFERROR(INDEX(Clay_Brands!$A$2:$FZ$601,BS4,Sync!$D$17)&amp;"",""))</f>
        <v/>
      </c>
      <c r="BW4" s="23">
        <f>IF(BS4="","",IFERROR(N(INDEX(Clay_Brands!$A$2:$FZ$601,BS4,Sync!$D$16)),0))</f>
        <v/>
      </c>
    </row>
    <row r="5">
      <c r="G5" s="22" t="n"/>
      <c r="AL5" s="17">
        <f>IF(TRIM($A5)="","",IF(AND(LEFT($A5,6)="SAMPLE",Config!$B$19&lt;&gt;"Y"),"",IF(NOT(ISNUMBER(G5)),"call_date is blank or not a date",IF(Sync!$D$5="","Clay paste is empty or has no row_id column: paste the Clay export on Clay_Brands",IF(BS5="","row_id not found in the Clay paste: add the Clay row or fix the row_id",IF(AND(ISNUMBER(BU5),BU5&gt;=1,BU5&lt;=5),"Clay status is "&amp;BT5&amp;": set call_done or later",IF(AND(AP5=1,BV5&lt;&gt;BQ5),"Clay yes_in_principle should be "&amp;BQ5,IF(AND(AP5=1,BW5&lt;&gt;G5),"Clay call_date should be "&amp;TEXT(G5,"yyyy-mm-dd"),""))))))))</f>
        <v/>
      </c>
      <c r="AM5" s="17">
        <f>ROW()</f>
        <v/>
      </c>
      <c r="AN5" s="17">
        <f>IF(AND(TRIM($A5)&lt;&gt;"",ISNUMBER(G5)),IF(AND(LEFT($A5,6)="SAMPLE",Config!$B$19&lt;&gt;"Y"),0,1),0)</f>
        <v/>
      </c>
      <c r="AO5" s="17">
        <f>IF(AN5=1,IF(COUNTIFS($A$2:$A$201,$A5,$AN$2:$AN$201,1,$G$2:$G$201,"&lt;"&amp;G5)+COUNTIFS($A$2:$A$201,$A5,$AN$2:$AN$201,1,$G$2:$G$201,G5,$AM$2:$AM$201,"&lt;"&amp;AM5)=0,1,0),0)</f>
        <v/>
      </c>
      <c r="AP5" s="17">
        <f>IF(AN5=1,IF(COUNTIFS($A$2:$A$201,$A5,$AN$2:$AN$201,1,$G$2:$G$201,"&gt;"&amp;G5)+COUNTIFS($A$2:$A$201,$A5,$AN$2:$AN$201,1,$G$2:$G$201,G5,$AM$2:$AM$201,"&gt;"&amp;AM5)=0,1,0),0)</f>
        <v/>
      </c>
      <c r="AQ5" s="17">
        <f>IF(AND(AN5=1,N5="Y",MAX(N(R5),N(V5))&gt;=Config!$B$14),1,0)</f>
        <v/>
      </c>
      <c r="AR5" s="17">
        <f>IF(AQ5=1,IF(COUNTIFS($A$2:$A$201,$A5,$AQ$2:$AQ$201,1,$G$2:$G$201,"&lt;"&amp;G5)+COUNTIFS($A$2:$A$201,$A5,$AQ$2:$AQ$201,1,$G$2:$G$201,G5,$AM$2:$AM$201,"&lt;"&amp;AM5)=0,1,0),0)</f>
        <v/>
      </c>
      <c r="AS5" s="17">
        <f>IF(AND(AN5=1,N5="Y",ISNUMBER(R5)),IF(R5&gt;=Config!$B$14,1,0),0)</f>
        <v/>
      </c>
      <c r="AT5" s="17">
        <f>IF(AS5=1,IF(COUNTIFS($A$2:$A$201,$A5,$AS$2:$AS$201,1,$G$2:$G$201,"&lt;"&amp;G5)+COUNTIFS($A$2:$A$201,$A5,$AS$2:$AS$201,1,$G$2:$G$201,G5,$AM$2:$AM$201,"&lt;"&amp;AM5)=0,1,0),0)</f>
        <v/>
      </c>
      <c r="AU5" s="17">
        <f>IF(AND(AN5=1,N5&lt;&gt;"Y",MAX(N(R5),N(V5))&gt;=Config!$B$14),1,0)</f>
        <v/>
      </c>
      <c r="AV5" s="17">
        <f>IF(AU5=1,IF(COUNTIFS($A$2:$A$201,$A5,$AU$2:$AU$201,1,$G$2:$G$201,"&lt;"&amp;G5)+COUNTIFS($A$2:$A$201,$A5,$AU$2:$AU$201,1,$G$2:$G$201,G5,$AM$2:$AM$201,"&lt;"&amp;AM5)=0,1,0),0)</f>
        <v/>
      </c>
      <c r="AW5" s="17">
        <f>IF(AND(AN5=1,ISNUMBER(R5)),1,0)</f>
        <v/>
      </c>
      <c r="AX5" s="17">
        <f>IF(AW5=1,IF(COUNTIFS($A$2:$A$201,$A5,$AW$2:$AW$201,1,$G$2:$G$201,"&lt;"&amp;G5)+COUNTIFS($A$2:$A$201,$A5,$AW$2:$AW$201,1,$G$2:$G$201,G5,$AM$2:$AM$201,"&lt;"&amp;AM5)=0,1,0),0)</f>
        <v/>
      </c>
      <c r="AY5" s="17">
        <f>IF(AND(AX5=1,G5&lt;=Config!$B$6),R5,"")</f>
        <v/>
      </c>
      <c r="AZ5" s="17">
        <f>IF(AND(AX5=1,G5&lt;=Config!$B$7),R5,"")</f>
        <v/>
      </c>
      <c r="BA5" s="17">
        <f>IF(AND(AX5=1,G5&lt;=Config!$B$8),R5,"")</f>
        <v/>
      </c>
      <c r="BB5" s="17">
        <f>IF(AND(AX5=1,G5&lt;=Config!$B$5),R5,"")</f>
        <v/>
      </c>
      <c r="BC5" s="17">
        <f>IF(AND(AN5=1,ISNUMBER(V5)),1,0)</f>
        <v/>
      </c>
      <c r="BD5" s="17">
        <f>IF(BC5=1,IF(COUNTIFS($A$2:$A$201,$A5,$BC$2:$BC$201,1,$G$2:$G$201,"&lt;"&amp;G5)+COUNTIFS($A$2:$A$201,$A5,$BC$2:$BC$201,1,$G$2:$G$201,G5,$AM$2:$AM$201,"&lt;"&amp;AM5)=0,1,0),0)</f>
        <v/>
      </c>
      <c r="BE5" s="17">
        <f>IF(AND(BD5=1,G5&lt;=Config!$B$6),V5,"")</f>
        <v/>
      </c>
      <c r="BF5" s="17">
        <f>IF(AND(BD5=1,G5&lt;=Config!$B$7),V5,"")</f>
        <v/>
      </c>
      <c r="BG5" s="17">
        <f>IF(AND(BD5=1,G5&lt;=Config!$B$8),V5,"")</f>
        <v/>
      </c>
      <c r="BH5" s="17">
        <f>IF(AND(BD5=1,G5&lt;=Config!$B$5),V5,"")</f>
        <v/>
      </c>
      <c r="BI5" s="17">
        <f>IF(AND(AN5=1,ISNUMBER(J5)),1,0)</f>
        <v/>
      </c>
      <c r="BJ5" s="17">
        <f>IF(BI5=1,IF(COUNTIFS($A$2:$A$201,$A5,$BI$2:$BI$201,1,$G$2:$G$201,"&lt;"&amp;G5)+COUNTIFS($A$2:$A$201,$A5,$BI$2:$BI$201,1,$G$2:$G$201,G5,$AM$2:$AM$201,"&lt;"&amp;AM5)=0,1,0),0)</f>
        <v/>
      </c>
      <c r="BK5" s="17">
        <f>IF(AND(BJ5=1,G5&lt;=Config!$B$5),J5,"")</f>
        <v/>
      </c>
      <c r="BL5" s="17">
        <f>IF(AND(AN5=1,OR(AND(ISNUMBER(R5),TRIM(S5)=""),AND(ISNUMBER(V5),TRIM(W5)=""))),1,0)</f>
        <v/>
      </c>
      <c r="BM5" s="17">
        <f>IF(AN5=1,AB5&amp;"","")</f>
        <v/>
      </c>
      <c r="BN5" s="17">
        <f>IF(AN5=1,AC5&amp;"","")</f>
        <v/>
      </c>
      <c r="BO5" s="17">
        <f>IF(AN5=1,AD5&amp;"","")</f>
        <v/>
      </c>
      <c r="BP5" s="17">
        <f>IF(AND(AN5=1,ISNUMBER(AI5),G5&lt;=Config!$B$5),AI5,"")</f>
        <v/>
      </c>
      <c r="BQ5" s="17">
        <f>IF(AN5=1,IF(COUNTIFS($A$2:$A$201,$A5,$AF$2:$AF$201,"Y",$AN$2:$AN$201,1)&gt;0,"Y","N"),"")</f>
        <v/>
      </c>
      <c r="BR5" s="17">
        <f>IF(AND(AN5=1,AF5="Y"),IF(COUNTIFS($A$2:$A$201,$A5,$AF$2:$AF$201,"Y",$AN$2:$AN$201,1,$G$2:$G$201,"&lt;"&amp;G5)+COUNTIFS($A$2:$A$201,$A5,$AF$2:$AF$201,"Y",$AN$2:$AN$201,1,$G$2:$G$201,G5,$AM$2:$AM$201,"&lt;"&amp;AM5)=0,1,0),0)</f>
        <v/>
      </c>
      <c r="BS5" s="17">
        <f>IF(AN5=1,IFERROR(MATCH($A5,INDEX(Clay_Brands!$A$2:$FZ$601,0,Sync!$D$5),0),""),"")</f>
        <v/>
      </c>
      <c r="BT5" s="17">
        <f>IF(BS5="","",IFERROR(INDEX(Clay_Brands!$A$2:$FZ$601,BS5,Sync!$D$7)&amp;"",""))</f>
        <v/>
      </c>
      <c r="BU5" s="17">
        <f>IF(BT5="","",IFERROR(INDEX(Lists!$J$2:$J$15,MATCH(BT5,Lists!$I$2:$I$15,0)),""))</f>
        <v/>
      </c>
      <c r="BV5" s="17">
        <f>IF(BS5="","",IFERROR(INDEX(Clay_Brands!$A$2:$FZ$601,BS5,Sync!$D$17)&amp;"",""))</f>
        <v/>
      </c>
      <c r="BW5" s="23">
        <f>IF(BS5="","",IFERROR(N(INDEX(Clay_Brands!$A$2:$FZ$601,BS5,Sync!$D$16)),0))</f>
        <v/>
      </c>
    </row>
    <row r="6">
      <c r="G6" s="22" t="n"/>
      <c r="AL6" s="17">
        <f>IF(TRIM($A6)="","",IF(AND(LEFT($A6,6)="SAMPLE",Config!$B$19&lt;&gt;"Y"),"",IF(NOT(ISNUMBER(G6)),"call_date is blank or not a date",IF(Sync!$D$5="","Clay paste is empty or has no row_id column: paste the Clay export on Clay_Brands",IF(BS6="","row_id not found in the Clay paste: add the Clay row or fix the row_id",IF(AND(ISNUMBER(BU6),BU6&gt;=1,BU6&lt;=5),"Clay status is "&amp;BT6&amp;": set call_done or later",IF(AND(AP6=1,BV6&lt;&gt;BQ6),"Clay yes_in_principle should be "&amp;BQ6,IF(AND(AP6=1,BW6&lt;&gt;G6),"Clay call_date should be "&amp;TEXT(G6,"yyyy-mm-dd"),""))))))))</f>
        <v/>
      </c>
      <c r="AM6" s="17">
        <f>ROW()</f>
        <v/>
      </c>
      <c r="AN6" s="17">
        <f>IF(AND(TRIM($A6)&lt;&gt;"",ISNUMBER(G6)),IF(AND(LEFT($A6,6)="SAMPLE",Config!$B$19&lt;&gt;"Y"),0,1),0)</f>
        <v/>
      </c>
      <c r="AO6" s="17">
        <f>IF(AN6=1,IF(COUNTIFS($A$2:$A$201,$A6,$AN$2:$AN$201,1,$G$2:$G$201,"&lt;"&amp;G6)+COUNTIFS($A$2:$A$201,$A6,$AN$2:$AN$201,1,$G$2:$G$201,G6,$AM$2:$AM$201,"&lt;"&amp;AM6)=0,1,0),0)</f>
        <v/>
      </c>
      <c r="AP6" s="17">
        <f>IF(AN6=1,IF(COUNTIFS($A$2:$A$201,$A6,$AN$2:$AN$201,1,$G$2:$G$201,"&gt;"&amp;G6)+COUNTIFS($A$2:$A$201,$A6,$AN$2:$AN$201,1,$G$2:$G$201,G6,$AM$2:$AM$201,"&gt;"&amp;AM6)=0,1,0),0)</f>
        <v/>
      </c>
      <c r="AQ6" s="17">
        <f>IF(AND(AN6=1,N6="Y",MAX(N(R6),N(V6))&gt;=Config!$B$14),1,0)</f>
        <v/>
      </c>
      <c r="AR6" s="17">
        <f>IF(AQ6=1,IF(COUNTIFS($A$2:$A$201,$A6,$AQ$2:$AQ$201,1,$G$2:$G$201,"&lt;"&amp;G6)+COUNTIFS($A$2:$A$201,$A6,$AQ$2:$AQ$201,1,$G$2:$G$201,G6,$AM$2:$AM$201,"&lt;"&amp;AM6)=0,1,0),0)</f>
        <v/>
      </c>
      <c r="AS6" s="17">
        <f>IF(AND(AN6=1,N6="Y",ISNUMBER(R6)),IF(R6&gt;=Config!$B$14,1,0),0)</f>
        <v/>
      </c>
      <c r="AT6" s="17">
        <f>IF(AS6=1,IF(COUNTIFS($A$2:$A$201,$A6,$AS$2:$AS$201,1,$G$2:$G$201,"&lt;"&amp;G6)+COUNTIFS($A$2:$A$201,$A6,$AS$2:$AS$201,1,$G$2:$G$201,G6,$AM$2:$AM$201,"&lt;"&amp;AM6)=0,1,0),0)</f>
        <v/>
      </c>
      <c r="AU6" s="17">
        <f>IF(AND(AN6=1,N6&lt;&gt;"Y",MAX(N(R6),N(V6))&gt;=Config!$B$14),1,0)</f>
        <v/>
      </c>
      <c r="AV6" s="17">
        <f>IF(AU6=1,IF(COUNTIFS($A$2:$A$201,$A6,$AU$2:$AU$201,1,$G$2:$G$201,"&lt;"&amp;G6)+COUNTIFS($A$2:$A$201,$A6,$AU$2:$AU$201,1,$G$2:$G$201,G6,$AM$2:$AM$201,"&lt;"&amp;AM6)=0,1,0),0)</f>
        <v/>
      </c>
      <c r="AW6" s="17">
        <f>IF(AND(AN6=1,ISNUMBER(R6)),1,0)</f>
        <v/>
      </c>
      <c r="AX6" s="17">
        <f>IF(AW6=1,IF(COUNTIFS($A$2:$A$201,$A6,$AW$2:$AW$201,1,$G$2:$G$201,"&lt;"&amp;G6)+COUNTIFS($A$2:$A$201,$A6,$AW$2:$AW$201,1,$G$2:$G$201,G6,$AM$2:$AM$201,"&lt;"&amp;AM6)=0,1,0),0)</f>
        <v/>
      </c>
      <c r="AY6" s="17">
        <f>IF(AND(AX6=1,G6&lt;=Config!$B$6),R6,"")</f>
        <v/>
      </c>
      <c r="AZ6" s="17">
        <f>IF(AND(AX6=1,G6&lt;=Config!$B$7),R6,"")</f>
        <v/>
      </c>
      <c r="BA6" s="17">
        <f>IF(AND(AX6=1,G6&lt;=Config!$B$8),R6,"")</f>
        <v/>
      </c>
      <c r="BB6" s="17">
        <f>IF(AND(AX6=1,G6&lt;=Config!$B$5),R6,"")</f>
        <v/>
      </c>
      <c r="BC6" s="17">
        <f>IF(AND(AN6=1,ISNUMBER(V6)),1,0)</f>
        <v/>
      </c>
      <c r="BD6" s="17">
        <f>IF(BC6=1,IF(COUNTIFS($A$2:$A$201,$A6,$BC$2:$BC$201,1,$G$2:$G$201,"&lt;"&amp;G6)+COUNTIFS($A$2:$A$201,$A6,$BC$2:$BC$201,1,$G$2:$G$201,G6,$AM$2:$AM$201,"&lt;"&amp;AM6)=0,1,0),0)</f>
        <v/>
      </c>
      <c r="BE6" s="17">
        <f>IF(AND(BD6=1,G6&lt;=Config!$B$6),V6,"")</f>
        <v/>
      </c>
      <c r="BF6" s="17">
        <f>IF(AND(BD6=1,G6&lt;=Config!$B$7),V6,"")</f>
        <v/>
      </c>
      <c r="BG6" s="17">
        <f>IF(AND(BD6=1,G6&lt;=Config!$B$8),V6,"")</f>
        <v/>
      </c>
      <c r="BH6" s="17">
        <f>IF(AND(BD6=1,G6&lt;=Config!$B$5),V6,"")</f>
        <v/>
      </c>
      <c r="BI6" s="17">
        <f>IF(AND(AN6=1,ISNUMBER(J6)),1,0)</f>
        <v/>
      </c>
      <c r="BJ6" s="17">
        <f>IF(BI6=1,IF(COUNTIFS($A$2:$A$201,$A6,$BI$2:$BI$201,1,$G$2:$G$201,"&lt;"&amp;G6)+COUNTIFS($A$2:$A$201,$A6,$BI$2:$BI$201,1,$G$2:$G$201,G6,$AM$2:$AM$201,"&lt;"&amp;AM6)=0,1,0),0)</f>
        <v/>
      </c>
      <c r="BK6" s="17">
        <f>IF(AND(BJ6=1,G6&lt;=Config!$B$5),J6,"")</f>
        <v/>
      </c>
      <c r="BL6" s="17">
        <f>IF(AND(AN6=1,OR(AND(ISNUMBER(R6),TRIM(S6)=""),AND(ISNUMBER(V6),TRIM(W6)=""))),1,0)</f>
        <v/>
      </c>
      <c r="BM6" s="17">
        <f>IF(AN6=1,AB6&amp;"","")</f>
        <v/>
      </c>
      <c r="BN6" s="17">
        <f>IF(AN6=1,AC6&amp;"","")</f>
        <v/>
      </c>
      <c r="BO6" s="17">
        <f>IF(AN6=1,AD6&amp;"","")</f>
        <v/>
      </c>
      <c r="BP6" s="17">
        <f>IF(AND(AN6=1,ISNUMBER(AI6),G6&lt;=Config!$B$5),AI6,"")</f>
        <v/>
      </c>
      <c r="BQ6" s="17">
        <f>IF(AN6=1,IF(COUNTIFS($A$2:$A$201,$A6,$AF$2:$AF$201,"Y",$AN$2:$AN$201,1)&gt;0,"Y","N"),"")</f>
        <v/>
      </c>
      <c r="BR6" s="17">
        <f>IF(AND(AN6=1,AF6="Y"),IF(COUNTIFS($A$2:$A$201,$A6,$AF$2:$AF$201,"Y",$AN$2:$AN$201,1,$G$2:$G$201,"&lt;"&amp;G6)+COUNTIFS($A$2:$A$201,$A6,$AF$2:$AF$201,"Y",$AN$2:$AN$201,1,$G$2:$G$201,G6,$AM$2:$AM$201,"&lt;"&amp;AM6)=0,1,0),0)</f>
        <v/>
      </c>
      <c r="BS6" s="17">
        <f>IF(AN6=1,IFERROR(MATCH($A6,INDEX(Clay_Brands!$A$2:$FZ$601,0,Sync!$D$5),0),""),"")</f>
        <v/>
      </c>
      <c r="BT6" s="17">
        <f>IF(BS6="","",IFERROR(INDEX(Clay_Brands!$A$2:$FZ$601,BS6,Sync!$D$7)&amp;"",""))</f>
        <v/>
      </c>
      <c r="BU6" s="17">
        <f>IF(BT6="","",IFERROR(INDEX(Lists!$J$2:$J$15,MATCH(BT6,Lists!$I$2:$I$15,0)),""))</f>
        <v/>
      </c>
      <c r="BV6" s="17">
        <f>IF(BS6="","",IFERROR(INDEX(Clay_Brands!$A$2:$FZ$601,BS6,Sync!$D$17)&amp;"",""))</f>
        <v/>
      </c>
      <c r="BW6" s="23">
        <f>IF(BS6="","",IFERROR(N(INDEX(Clay_Brands!$A$2:$FZ$601,BS6,Sync!$D$16)),0))</f>
        <v/>
      </c>
    </row>
    <row r="7">
      <c r="G7" s="22" t="n"/>
      <c r="AL7" s="17">
        <f>IF(TRIM($A7)="","",IF(AND(LEFT($A7,6)="SAMPLE",Config!$B$19&lt;&gt;"Y"),"",IF(NOT(ISNUMBER(G7)),"call_date is blank or not a date",IF(Sync!$D$5="","Clay paste is empty or has no row_id column: paste the Clay export on Clay_Brands",IF(BS7="","row_id not found in the Clay paste: add the Clay row or fix the row_id",IF(AND(ISNUMBER(BU7),BU7&gt;=1,BU7&lt;=5),"Clay status is "&amp;BT7&amp;": set call_done or later",IF(AND(AP7=1,BV7&lt;&gt;BQ7),"Clay yes_in_principle should be "&amp;BQ7,IF(AND(AP7=1,BW7&lt;&gt;G7),"Clay call_date should be "&amp;TEXT(G7,"yyyy-mm-dd"),""))))))))</f>
        <v/>
      </c>
      <c r="AM7" s="17">
        <f>ROW()</f>
        <v/>
      </c>
      <c r="AN7" s="17">
        <f>IF(AND(TRIM($A7)&lt;&gt;"",ISNUMBER(G7)),IF(AND(LEFT($A7,6)="SAMPLE",Config!$B$19&lt;&gt;"Y"),0,1),0)</f>
        <v/>
      </c>
      <c r="AO7" s="17">
        <f>IF(AN7=1,IF(COUNTIFS($A$2:$A$201,$A7,$AN$2:$AN$201,1,$G$2:$G$201,"&lt;"&amp;G7)+COUNTIFS($A$2:$A$201,$A7,$AN$2:$AN$201,1,$G$2:$G$201,G7,$AM$2:$AM$201,"&lt;"&amp;AM7)=0,1,0),0)</f>
        <v/>
      </c>
      <c r="AP7" s="17">
        <f>IF(AN7=1,IF(COUNTIFS($A$2:$A$201,$A7,$AN$2:$AN$201,1,$G$2:$G$201,"&gt;"&amp;G7)+COUNTIFS($A$2:$A$201,$A7,$AN$2:$AN$201,1,$G$2:$G$201,G7,$AM$2:$AM$201,"&gt;"&amp;AM7)=0,1,0),0)</f>
        <v/>
      </c>
      <c r="AQ7" s="17">
        <f>IF(AND(AN7=1,N7="Y",MAX(N(R7),N(V7))&gt;=Config!$B$14),1,0)</f>
        <v/>
      </c>
      <c r="AR7" s="17">
        <f>IF(AQ7=1,IF(COUNTIFS($A$2:$A$201,$A7,$AQ$2:$AQ$201,1,$G$2:$G$201,"&lt;"&amp;G7)+COUNTIFS($A$2:$A$201,$A7,$AQ$2:$AQ$201,1,$G$2:$G$201,G7,$AM$2:$AM$201,"&lt;"&amp;AM7)=0,1,0),0)</f>
        <v/>
      </c>
      <c r="AS7" s="17">
        <f>IF(AND(AN7=1,N7="Y",ISNUMBER(R7)),IF(R7&gt;=Config!$B$14,1,0),0)</f>
        <v/>
      </c>
      <c r="AT7" s="17">
        <f>IF(AS7=1,IF(COUNTIFS($A$2:$A$201,$A7,$AS$2:$AS$201,1,$G$2:$G$201,"&lt;"&amp;G7)+COUNTIFS($A$2:$A$201,$A7,$AS$2:$AS$201,1,$G$2:$G$201,G7,$AM$2:$AM$201,"&lt;"&amp;AM7)=0,1,0),0)</f>
        <v/>
      </c>
      <c r="AU7" s="17">
        <f>IF(AND(AN7=1,N7&lt;&gt;"Y",MAX(N(R7),N(V7))&gt;=Config!$B$14),1,0)</f>
        <v/>
      </c>
      <c r="AV7" s="17">
        <f>IF(AU7=1,IF(COUNTIFS($A$2:$A$201,$A7,$AU$2:$AU$201,1,$G$2:$G$201,"&lt;"&amp;G7)+COUNTIFS($A$2:$A$201,$A7,$AU$2:$AU$201,1,$G$2:$G$201,G7,$AM$2:$AM$201,"&lt;"&amp;AM7)=0,1,0),0)</f>
        <v/>
      </c>
      <c r="AW7" s="17">
        <f>IF(AND(AN7=1,ISNUMBER(R7)),1,0)</f>
        <v/>
      </c>
      <c r="AX7" s="17">
        <f>IF(AW7=1,IF(COUNTIFS($A$2:$A$201,$A7,$AW$2:$AW$201,1,$G$2:$G$201,"&lt;"&amp;G7)+COUNTIFS($A$2:$A$201,$A7,$AW$2:$AW$201,1,$G$2:$G$201,G7,$AM$2:$AM$201,"&lt;"&amp;AM7)=0,1,0),0)</f>
        <v/>
      </c>
      <c r="AY7" s="17">
        <f>IF(AND(AX7=1,G7&lt;=Config!$B$6),R7,"")</f>
        <v/>
      </c>
      <c r="AZ7" s="17">
        <f>IF(AND(AX7=1,G7&lt;=Config!$B$7),R7,"")</f>
        <v/>
      </c>
      <c r="BA7" s="17">
        <f>IF(AND(AX7=1,G7&lt;=Config!$B$8),R7,"")</f>
        <v/>
      </c>
      <c r="BB7" s="17">
        <f>IF(AND(AX7=1,G7&lt;=Config!$B$5),R7,"")</f>
        <v/>
      </c>
      <c r="BC7" s="17">
        <f>IF(AND(AN7=1,ISNUMBER(V7)),1,0)</f>
        <v/>
      </c>
      <c r="BD7" s="17">
        <f>IF(BC7=1,IF(COUNTIFS($A$2:$A$201,$A7,$BC$2:$BC$201,1,$G$2:$G$201,"&lt;"&amp;G7)+COUNTIFS($A$2:$A$201,$A7,$BC$2:$BC$201,1,$G$2:$G$201,G7,$AM$2:$AM$201,"&lt;"&amp;AM7)=0,1,0),0)</f>
        <v/>
      </c>
      <c r="BE7" s="17">
        <f>IF(AND(BD7=1,G7&lt;=Config!$B$6),V7,"")</f>
        <v/>
      </c>
      <c r="BF7" s="17">
        <f>IF(AND(BD7=1,G7&lt;=Config!$B$7),V7,"")</f>
        <v/>
      </c>
      <c r="BG7" s="17">
        <f>IF(AND(BD7=1,G7&lt;=Config!$B$8),V7,"")</f>
        <v/>
      </c>
      <c r="BH7" s="17">
        <f>IF(AND(BD7=1,G7&lt;=Config!$B$5),V7,"")</f>
        <v/>
      </c>
      <c r="BI7" s="17">
        <f>IF(AND(AN7=1,ISNUMBER(J7)),1,0)</f>
        <v/>
      </c>
      <c r="BJ7" s="17">
        <f>IF(BI7=1,IF(COUNTIFS($A$2:$A$201,$A7,$BI$2:$BI$201,1,$G$2:$G$201,"&lt;"&amp;G7)+COUNTIFS($A$2:$A$201,$A7,$BI$2:$BI$201,1,$G$2:$G$201,G7,$AM$2:$AM$201,"&lt;"&amp;AM7)=0,1,0),0)</f>
        <v/>
      </c>
      <c r="BK7" s="17">
        <f>IF(AND(BJ7=1,G7&lt;=Config!$B$5),J7,"")</f>
        <v/>
      </c>
      <c r="BL7" s="17">
        <f>IF(AND(AN7=1,OR(AND(ISNUMBER(R7),TRIM(S7)=""),AND(ISNUMBER(V7),TRIM(W7)=""))),1,0)</f>
        <v/>
      </c>
      <c r="BM7" s="17">
        <f>IF(AN7=1,AB7&amp;"","")</f>
        <v/>
      </c>
      <c r="BN7" s="17">
        <f>IF(AN7=1,AC7&amp;"","")</f>
        <v/>
      </c>
      <c r="BO7" s="17">
        <f>IF(AN7=1,AD7&amp;"","")</f>
        <v/>
      </c>
      <c r="BP7" s="17">
        <f>IF(AND(AN7=1,ISNUMBER(AI7),G7&lt;=Config!$B$5),AI7,"")</f>
        <v/>
      </c>
      <c r="BQ7" s="17">
        <f>IF(AN7=1,IF(COUNTIFS($A$2:$A$201,$A7,$AF$2:$AF$201,"Y",$AN$2:$AN$201,1)&gt;0,"Y","N"),"")</f>
        <v/>
      </c>
      <c r="BR7" s="17">
        <f>IF(AND(AN7=1,AF7="Y"),IF(COUNTIFS($A$2:$A$201,$A7,$AF$2:$AF$201,"Y",$AN$2:$AN$201,1,$G$2:$G$201,"&lt;"&amp;G7)+COUNTIFS($A$2:$A$201,$A7,$AF$2:$AF$201,"Y",$AN$2:$AN$201,1,$G$2:$G$201,G7,$AM$2:$AM$201,"&lt;"&amp;AM7)=0,1,0),0)</f>
        <v/>
      </c>
      <c r="BS7" s="17">
        <f>IF(AN7=1,IFERROR(MATCH($A7,INDEX(Clay_Brands!$A$2:$FZ$601,0,Sync!$D$5),0),""),"")</f>
        <v/>
      </c>
      <c r="BT7" s="17">
        <f>IF(BS7="","",IFERROR(INDEX(Clay_Brands!$A$2:$FZ$601,BS7,Sync!$D$7)&amp;"",""))</f>
        <v/>
      </c>
      <c r="BU7" s="17">
        <f>IF(BT7="","",IFERROR(INDEX(Lists!$J$2:$J$15,MATCH(BT7,Lists!$I$2:$I$15,0)),""))</f>
        <v/>
      </c>
      <c r="BV7" s="17">
        <f>IF(BS7="","",IFERROR(INDEX(Clay_Brands!$A$2:$FZ$601,BS7,Sync!$D$17)&amp;"",""))</f>
        <v/>
      </c>
      <c r="BW7" s="23">
        <f>IF(BS7="","",IFERROR(N(INDEX(Clay_Brands!$A$2:$FZ$601,BS7,Sync!$D$16)),0))</f>
        <v/>
      </c>
    </row>
    <row r="8">
      <c r="G8" s="22" t="n"/>
      <c r="AL8" s="17">
        <f>IF(TRIM($A8)="","",IF(AND(LEFT($A8,6)="SAMPLE",Config!$B$19&lt;&gt;"Y"),"",IF(NOT(ISNUMBER(G8)),"call_date is blank or not a date",IF(Sync!$D$5="","Clay paste is empty or has no row_id column: paste the Clay export on Clay_Brands",IF(BS8="","row_id not found in the Clay paste: add the Clay row or fix the row_id",IF(AND(ISNUMBER(BU8),BU8&gt;=1,BU8&lt;=5),"Clay status is "&amp;BT8&amp;": set call_done or later",IF(AND(AP8=1,BV8&lt;&gt;BQ8),"Clay yes_in_principle should be "&amp;BQ8,IF(AND(AP8=1,BW8&lt;&gt;G8),"Clay call_date should be "&amp;TEXT(G8,"yyyy-mm-dd"),""))))))))</f>
        <v/>
      </c>
      <c r="AM8" s="17">
        <f>ROW()</f>
        <v/>
      </c>
      <c r="AN8" s="17">
        <f>IF(AND(TRIM($A8)&lt;&gt;"",ISNUMBER(G8)),IF(AND(LEFT($A8,6)="SAMPLE",Config!$B$19&lt;&gt;"Y"),0,1),0)</f>
        <v/>
      </c>
      <c r="AO8" s="17">
        <f>IF(AN8=1,IF(COUNTIFS($A$2:$A$201,$A8,$AN$2:$AN$201,1,$G$2:$G$201,"&lt;"&amp;G8)+COUNTIFS($A$2:$A$201,$A8,$AN$2:$AN$201,1,$G$2:$G$201,G8,$AM$2:$AM$201,"&lt;"&amp;AM8)=0,1,0),0)</f>
        <v/>
      </c>
      <c r="AP8" s="17">
        <f>IF(AN8=1,IF(COUNTIFS($A$2:$A$201,$A8,$AN$2:$AN$201,1,$G$2:$G$201,"&gt;"&amp;G8)+COUNTIFS($A$2:$A$201,$A8,$AN$2:$AN$201,1,$G$2:$G$201,G8,$AM$2:$AM$201,"&gt;"&amp;AM8)=0,1,0),0)</f>
        <v/>
      </c>
      <c r="AQ8" s="17">
        <f>IF(AND(AN8=1,N8="Y",MAX(N(R8),N(V8))&gt;=Config!$B$14),1,0)</f>
        <v/>
      </c>
      <c r="AR8" s="17">
        <f>IF(AQ8=1,IF(COUNTIFS($A$2:$A$201,$A8,$AQ$2:$AQ$201,1,$G$2:$G$201,"&lt;"&amp;G8)+COUNTIFS($A$2:$A$201,$A8,$AQ$2:$AQ$201,1,$G$2:$G$201,G8,$AM$2:$AM$201,"&lt;"&amp;AM8)=0,1,0),0)</f>
        <v/>
      </c>
      <c r="AS8" s="17">
        <f>IF(AND(AN8=1,N8="Y",ISNUMBER(R8)),IF(R8&gt;=Config!$B$14,1,0),0)</f>
        <v/>
      </c>
      <c r="AT8" s="17">
        <f>IF(AS8=1,IF(COUNTIFS($A$2:$A$201,$A8,$AS$2:$AS$201,1,$G$2:$G$201,"&lt;"&amp;G8)+COUNTIFS($A$2:$A$201,$A8,$AS$2:$AS$201,1,$G$2:$G$201,G8,$AM$2:$AM$201,"&lt;"&amp;AM8)=0,1,0),0)</f>
        <v/>
      </c>
      <c r="AU8" s="17">
        <f>IF(AND(AN8=1,N8&lt;&gt;"Y",MAX(N(R8),N(V8))&gt;=Config!$B$14),1,0)</f>
        <v/>
      </c>
      <c r="AV8" s="17">
        <f>IF(AU8=1,IF(COUNTIFS($A$2:$A$201,$A8,$AU$2:$AU$201,1,$G$2:$G$201,"&lt;"&amp;G8)+COUNTIFS($A$2:$A$201,$A8,$AU$2:$AU$201,1,$G$2:$G$201,G8,$AM$2:$AM$201,"&lt;"&amp;AM8)=0,1,0),0)</f>
        <v/>
      </c>
      <c r="AW8" s="17">
        <f>IF(AND(AN8=1,ISNUMBER(R8)),1,0)</f>
        <v/>
      </c>
      <c r="AX8" s="17">
        <f>IF(AW8=1,IF(COUNTIFS($A$2:$A$201,$A8,$AW$2:$AW$201,1,$G$2:$G$201,"&lt;"&amp;G8)+COUNTIFS($A$2:$A$201,$A8,$AW$2:$AW$201,1,$G$2:$G$201,G8,$AM$2:$AM$201,"&lt;"&amp;AM8)=0,1,0),0)</f>
        <v/>
      </c>
      <c r="AY8" s="17">
        <f>IF(AND(AX8=1,G8&lt;=Config!$B$6),R8,"")</f>
        <v/>
      </c>
      <c r="AZ8" s="17">
        <f>IF(AND(AX8=1,G8&lt;=Config!$B$7),R8,"")</f>
        <v/>
      </c>
      <c r="BA8" s="17">
        <f>IF(AND(AX8=1,G8&lt;=Config!$B$8),R8,"")</f>
        <v/>
      </c>
      <c r="BB8" s="17">
        <f>IF(AND(AX8=1,G8&lt;=Config!$B$5),R8,"")</f>
        <v/>
      </c>
      <c r="BC8" s="17">
        <f>IF(AND(AN8=1,ISNUMBER(V8)),1,0)</f>
        <v/>
      </c>
      <c r="BD8" s="17">
        <f>IF(BC8=1,IF(COUNTIFS($A$2:$A$201,$A8,$BC$2:$BC$201,1,$G$2:$G$201,"&lt;"&amp;G8)+COUNTIFS($A$2:$A$201,$A8,$BC$2:$BC$201,1,$G$2:$G$201,G8,$AM$2:$AM$201,"&lt;"&amp;AM8)=0,1,0),0)</f>
        <v/>
      </c>
      <c r="BE8" s="17">
        <f>IF(AND(BD8=1,G8&lt;=Config!$B$6),V8,"")</f>
        <v/>
      </c>
      <c r="BF8" s="17">
        <f>IF(AND(BD8=1,G8&lt;=Config!$B$7),V8,"")</f>
        <v/>
      </c>
      <c r="BG8" s="17">
        <f>IF(AND(BD8=1,G8&lt;=Config!$B$8),V8,"")</f>
        <v/>
      </c>
      <c r="BH8" s="17">
        <f>IF(AND(BD8=1,G8&lt;=Config!$B$5),V8,"")</f>
        <v/>
      </c>
      <c r="BI8" s="17">
        <f>IF(AND(AN8=1,ISNUMBER(J8)),1,0)</f>
        <v/>
      </c>
      <c r="BJ8" s="17">
        <f>IF(BI8=1,IF(COUNTIFS($A$2:$A$201,$A8,$BI$2:$BI$201,1,$G$2:$G$201,"&lt;"&amp;G8)+COUNTIFS($A$2:$A$201,$A8,$BI$2:$BI$201,1,$G$2:$G$201,G8,$AM$2:$AM$201,"&lt;"&amp;AM8)=0,1,0),0)</f>
        <v/>
      </c>
      <c r="BK8" s="17">
        <f>IF(AND(BJ8=1,G8&lt;=Config!$B$5),J8,"")</f>
        <v/>
      </c>
      <c r="BL8" s="17">
        <f>IF(AND(AN8=1,OR(AND(ISNUMBER(R8),TRIM(S8)=""),AND(ISNUMBER(V8),TRIM(W8)=""))),1,0)</f>
        <v/>
      </c>
      <c r="BM8" s="17">
        <f>IF(AN8=1,AB8&amp;"","")</f>
        <v/>
      </c>
      <c r="BN8" s="17">
        <f>IF(AN8=1,AC8&amp;"","")</f>
        <v/>
      </c>
      <c r="BO8" s="17">
        <f>IF(AN8=1,AD8&amp;"","")</f>
        <v/>
      </c>
      <c r="BP8" s="17">
        <f>IF(AND(AN8=1,ISNUMBER(AI8),G8&lt;=Config!$B$5),AI8,"")</f>
        <v/>
      </c>
      <c r="BQ8" s="17">
        <f>IF(AN8=1,IF(COUNTIFS($A$2:$A$201,$A8,$AF$2:$AF$201,"Y",$AN$2:$AN$201,1)&gt;0,"Y","N"),"")</f>
        <v/>
      </c>
      <c r="BR8" s="17">
        <f>IF(AND(AN8=1,AF8="Y"),IF(COUNTIFS($A$2:$A$201,$A8,$AF$2:$AF$201,"Y",$AN$2:$AN$201,1,$G$2:$G$201,"&lt;"&amp;G8)+COUNTIFS($A$2:$A$201,$A8,$AF$2:$AF$201,"Y",$AN$2:$AN$201,1,$G$2:$G$201,G8,$AM$2:$AM$201,"&lt;"&amp;AM8)=0,1,0),0)</f>
        <v/>
      </c>
      <c r="BS8" s="17">
        <f>IF(AN8=1,IFERROR(MATCH($A8,INDEX(Clay_Brands!$A$2:$FZ$601,0,Sync!$D$5),0),""),"")</f>
        <v/>
      </c>
      <c r="BT8" s="17">
        <f>IF(BS8="","",IFERROR(INDEX(Clay_Brands!$A$2:$FZ$601,BS8,Sync!$D$7)&amp;"",""))</f>
        <v/>
      </c>
      <c r="BU8" s="17">
        <f>IF(BT8="","",IFERROR(INDEX(Lists!$J$2:$J$15,MATCH(BT8,Lists!$I$2:$I$15,0)),""))</f>
        <v/>
      </c>
      <c r="BV8" s="17">
        <f>IF(BS8="","",IFERROR(INDEX(Clay_Brands!$A$2:$FZ$601,BS8,Sync!$D$17)&amp;"",""))</f>
        <v/>
      </c>
      <c r="BW8" s="23">
        <f>IF(BS8="","",IFERROR(N(INDEX(Clay_Brands!$A$2:$FZ$601,BS8,Sync!$D$16)),0))</f>
        <v/>
      </c>
    </row>
    <row r="9">
      <c r="G9" s="22" t="n"/>
      <c r="AL9" s="17">
        <f>IF(TRIM($A9)="","",IF(AND(LEFT($A9,6)="SAMPLE",Config!$B$19&lt;&gt;"Y"),"",IF(NOT(ISNUMBER(G9)),"call_date is blank or not a date",IF(Sync!$D$5="","Clay paste is empty or has no row_id column: paste the Clay export on Clay_Brands",IF(BS9="","row_id not found in the Clay paste: add the Clay row or fix the row_id",IF(AND(ISNUMBER(BU9),BU9&gt;=1,BU9&lt;=5),"Clay status is "&amp;BT9&amp;": set call_done or later",IF(AND(AP9=1,BV9&lt;&gt;BQ9),"Clay yes_in_principle should be "&amp;BQ9,IF(AND(AP9=1,BW9&lt;&gt;G9),"Clay call_date should be "&amp;TEXT(G9,"yyyy-mm-dd"),""))))))))</f>
        <v/>
      </c>
      <c r="AM9" s="17">
        <f>ROW()</f>
        <v/>
      </c>
      <c r="AN9" s="17">
        <f>IF(AND(TRIM($A9)&lt;&gt;"",ISNUMBER(G9)),IF(AND(LEFT($A9,6)="SAMPLE",Config!$B$19&lt;&gt;"Y"),0,1),0)</f>
        <v/>
      </c>
      <c r="AO9" s="17">
        <f>IF(AN9=1,IF(COUNTIFS($A$2:$A$201,$A9,$AN$2:$AN$201,1,$G$2:$G$201,"&lt;"&amp;G9)+COUNTIFS($A$2:$A$201,$A9,$AN$2:$AN$201,1,$G$2:$G$201,G9,$AM$2:$AM$201,"&lt;"&amp;AM9)=0,1,0),0)</f>
        <v/>
      </c>
      <c r="AP9" s="17">
        <f>IF(AN9=1,IF(COUNTIFS($A$2:$A$201,$A9,$AN$2:$AN$201,1,$G$2:$G$201,"&gt;"&amp;G9)+COUNTIFS($A$2:$A$201,$A9,$AN$2:$AN$201,1,$G$2:$G$201,G9,$AM$2:$AM$201,"&gt;"&amp;AM9)=0,1,0),0)</f>
        <v/>
      </c>
      <c r="AQ9" s="17">
        <f>IF(AND(AN9=1,N9="Y",MAX(N(R9),N(V9))&gt;=Config!$B$14),1,0)</f>
        <v/>
      </c>
      <c r="AR9" s="17">
        <f>IF(AQ9=1,IF(COUNTIFS($A$2:$A$201,$A9,$AQ$2:$AQ$201,1,$G$2:$G$201,"&lt;"&amp;G9)+COUNTIFS($A$2:$A$201,$A9,$AQ$2:$AQ$201,1,$G$2:$G$201,G9,$AM$2:$AM$201,"&lt;"&amp;AM9)=0,1,0),0)</f>
        <v/>
      </c>
      <c r="AS9" s="17">
        <f>IF(AND(AN9=1,N9="Y",ISNUMBER(R9)),IF(R9&gt;=Config!$B$14,1,0),0)</f>
        <v/>
      </c>
      <c r="AT9" s="17">
        <f>IF(AS9=1,IF(COUNTIFS($A$2:$A$201,$A9,$AS$2:$AS$201,1,$G$2:$G$201,"&lt;"&amp;G9)+COUNTIFS($A$2:$A$201,$A9,$AS$2:$AS$201,1,$G$2:$G$201,G9,$AM$2:$AM$201,"&lt;"&amp;AM9)=0,1,0),0)</f>
        <v/>
      </c>
      <c r="AU9" s="17">
        <f>IF(AND(AN9=1,N9&lt;&gt;"Y",MAX(N(R9),N(V9))&gt;=Config!$B$14),1,0)</f>
        <v/>
      </c>
      <c r="AV9" s="17">
        <f>IF(AU9=1,IF(COUNTIFS($A$2:$A$201,$A9,$AU$2:$AU$201,1,$G$2:$G$201,"&lt;"&amp;G9)+COUNTIFS($A$2:$A$201,$A9,$AU$2:$AU$201,1,$G$2:$G$201,G9,$AM$2:$AM$201,"&lt;"&amp;AM9)=0,1,0),0)</f>
        <v/>
      </c>
      <c r="AW9" s="17">
        <f>IF(AND(AN9=1,ISNUMBER(R9)),1,0)</f>
        <v/>
      </c>
      <c r="AX9" s="17">
        <f>IF(AW9=1,IF(COUNTIFS($A$2:$A$201,$A9,$AW$2:$AW$201,1,$G$2:$G$201,"&lt;"&amp;G9)+COUNTIFS($A$2:$A$201,$A9,$AW$2:$AW$201,1,$G$2:$G$201,G9,$AM$2:$AM$201,"&lt;"&amp;AM9)=0,1,0),0)</f>
        <v/>
      </c>
      <c r="AY9" s="17">
        <f>IF(AND(AX9=1,G9&lt;=Config!$B$6),R9,"")</f>
        <v/>
      </c>
      <c r="AZ9" s="17">
        <f>IF(AND(AX9=1,G9&lt;=Config!$B$7),R9,"")</f>
        <v/>
      </c>
      <c r="BA9" s="17">
        <f>IF(AND(AX9=1,G9&lt;=Config!$B$8),R9,"")</f>
        <v/>
      </c>
      <c r="BB9" s="17">
        <f>IF(AND(AX9=1,G9&lt;=Config!$B$5),R9,"")</f>
        <v/>
      </c>
      <c r="BC9" s="17">
        <f>IF(AND(AN9=1,ISNUMBER(V9)),1,0)</f>
        <v/>
      </c>
      <c r="BD9" s="17">
        <f>IF(BC9=1,IF(COUNTIFS($A$2:$A$201,$A9,$BC$2:$BC$201,1,$G$2:$G$201,"&lt;"&amp;G9)+COUNTIFS($A$2:$A$201,$A9,$BC$2:$BC$201,1,$G$2:$G$201,G9,$AM$2:$AM$201,"&lt;"&amp;AM9)=0,1,0),0)</f>
        <v/>
      </c>
      <c r="BE9" s="17">
        <f>IF(AND(BD9=1,G9&lt;=Config!$B$6),V9,"")</f>
        <v/>
      </c>
      <c r="BF9" s="17">
        <f>IF(AND(BD9=1,G9&lt;=Config!$B$7),V9,"")</f>
        <v/>
      </c>
      <c r="BG9" s="17">
        <f>IF(AND(BD9=1,G9&lt;=Config!$B$8),V9,"")</f>
        <v/>
      </c>
      <c r="BH9" s="17">
        <f>IF(AND(BD9=1,G9&lt;=Config!$B$5),V9,"")</f>
        <v/>
      </c>
      <c r="BI9" s="17">
        <f>IF(AND(AN9=1,ISNUMBER(J9)),1,0)</f>
        <v/>
      </c>
      <c r="BJ9" s="17">
        <f>IF(BI9=1,IF(COUNTIFS($A$2:$A$201,$A9,$BI$2:$BI$201,1,$G$2:$G$201,"&lt;"&amp;G9)+COUNTIFS($A$2:$A$201,$A9,$BI$2:$BI$201,1,$G$2:$G$201,G9,$AM$2:$AM$201,"&lt;"&amp;AM9)=0,1,0),0)</f>
        <v/>
      </c>
      <c r="BK9" s="17">
        <f>IF(AND(BJ9=1,G9&lt;=Config!$B$5),J9,"")</f>
        <v/>
      </c>
      <c r="BL9" s="17">
        <f>IF(AND(AN9=1,OR(AND(ISNUMBER(R9),TRIM(S9)=""),AND(ISNUMBER(V9),TRIM(W9)=""))),1,0)</f>
        <v/>
      </c>
      <c r="BM9" s="17">
        <f>IF(AN9=1,AB9&amp;"","")</f>
        <v/>
      </c>
      <c r="BN9" s="17">
        <f>IF(AN9=1,AC9&amp;"","")</f>
        <v/>
      </c>
      <c r="BO9" s="17">
        <f>IF(AN9=1,AD9&amp;"","")</f>
        <v/>
      </c>
      <c r="BP9" s="17">
        <f>IF(AND(AN9=1,ISNUMBER(AI9),G9&lt;=Config!$B$5),AI9,"")</f>
        <v/>
      </c>
      <c r="BQ9" s="17">
        <f>IF(AN9=1,IF(COUNTIFS($A$2:$A$201,$A9,$AF$2:$AF$201,"Y",$AN$2:$AN$201,1)&gt;0,"Y","N"),"")</f>
        <v/>
      </c>
      <c r="BR9" s="17">
        <f>IF(AND(AN9=1,AF9="Y"),IF(COUNTIFS($A$2:$A$201,$A9,$AF$2:$AF$201,"Y",$AN$2:$AN$201,1,$G$2:$G$201,"&lt;"&amp;G9)+COUNTIFS($A$2:$A$201,$A9,$AF$2:$AF$201,"Y",$AN$2:$AN$201,1,$G$2:$G$201,G9,$AM$2:$AM$201,"&lt;"&amp;AM9)=0,1,0),0)</f>
        <v/>
      </c>
      <c r="BS9" s="17">
        <f>IF(AN9=1,IFERROR(MATCH($A9,INDEX(Clay_Brands!$A$2:$FZ$601,0,Sync!$D$5),0),""),"")</f>
        <v/>
      </c>
      <c r="BT9" s="17">
        <f>IF(BS9="","",IFERROR(INDEX(Clay_Brands!$A$2:$FZ$601,BS9,Sync!$D$7)&amp;"",""))</f>
        <v/>
      </c>
      <c r="BU9" s="17">
        <f>IF(BT9="","",IFERROR(INDEX(Lists!$J$2:$J$15,MATCH(BT9,Lists!$I$2:$I$15,0)),""))</f>
        <v/>
      </c>
      <c r="BV9" s="17">
        <f>IF(BS9="","",IFERROR(INDEX(Clay_Brands!$A$2:$FZ$601,BS9,Sync!$D$17)&amp;"",""))</f>
        <v/>
      </c>
      <c r="BW9" s="23">
        <f>IF(BS9="","",IFERROR(N(INDEX(Clay_Brands!$A$2:$FZ$601,BS9,Sync!$D$16)),0))</f>
        <v/>
      </c>
    </row>
    <row r="10">
      <c r="G10" s="22" t="n"/>
      <c r="AL10" s="17">
        <f>IF(TRIM($A10)="","",IF(AND(LEFT($A10,6)="SAMPLE",Config!$B$19&lt;&gt;"Y"),"",IF(NOT(ISNUMBER(G10)),"call_date is blank or not a date",IF(Sync!$D$5="","Clay paste is empty or has no row_id column: paste the Clay export on Clay_Brands",IF(BS10="","row_id not found in the Clay paste: add the Clay row or fix the row_id",IF(AND(ISNUMBER(BU10),BU10&gt;=1,BU10&lt;=5),"Clay status is "&amp;BT10&amp;": set call_done or later",IF(AND(AP10=1,BV10&lt;&gt;BQ10),"Clay yes_in_principle should be "&amp;BQ10,IF(AND(AP10=1,BW10&lt;&gt;G10),"Clay call_date should be "&amp;TEXT(G10,"yyyy-mm-dd"),""))))))))</f>
        <v/>
      </c>
      <c r="AM10" s="17">
        <f>ROW()</f>
        <v/>
      </c>
      <c r="AN10" s="17">
        <f>IF(AND(TRIM($A10)&lt;&gt;"",ISNUMBER(G10)),IF(AND(LEFT($A10,6)="SAMPLE",Config!$B$19&lt;&gt;"Y"),0,1),0)</f>
        <v/>
      </c>
      <c r="AO10" s="17">
        <f>IF(AN10=1,IF(COUNTIFS($A$2:$A$201,$A10,$AN$2:$AN$201,1,$G$2:$G$201,"&lt;"&amp;G10)+COUNTIFS($A$2:$A$201,$A10,$AN$2:$AN$201,1,$G$2:$G$201,G10,$AM$2:$AM$201,"&lt;"&amp;AM10)=0,1,0),0)</f>
        <v/>
      </c>
      <c r="AP10" s="17">
        <f>IF(AN10=1,IF(COUNTIFS($A$2:$A$201,$A10,$AN$2:$AN$201,1,$G$2:$G$201,"&gt;"&amp;G10)+COUNTIFS($A$2:$A$201,$A10,$AN$2:$AN$201,1,$G$2:$G$201,G10,$AM$2:$AM$201,"&gt;"&amp;AM10)=0,1,0),0)</f>
        <v/>
      </c>
      <c r="AQ10" s="17">
        <f>IF(AND(AN10=1,N10="Y",MAX(N(R10),N(V10))&gt;=Config!$B$14),1,0)</f>
        <v/>
      </c>
      <c r="AR10" s="17">
        <f>IF(AQ10=1,IF(COUNTIFS($A$2:$A$201,$A10,$AQ$2:$AQ$201,1,$G$2:$G$201,"&lt;"&amp;G10)+COUNTIFS($A$2:$A$201,$A10,$AQ$2:$AQ$201,1,$G$2:$G$201,G10,$AM$2:$AM$201,"&lt;"&amp;AM10)=0,1,0),0)</f>
        <v/>
      </c>
      <c r="AS10" s="17">
        <f>IF(AND(AN10=1,N10="Y",ISNUMBER(R10)),IF(R10&gt;=Config!$B$14,1,0),0)</f>
        <v/>
      </c>
      <c r="AT10" s="17">
        <f>IF(AS10=1,IF(COUNTIFS($A$2:$A$201,$A10,$AS$2:$AS$201,1,$G$2:$G$201,"&lt;"&amp;G10)+COUNTIFS($A$2:$A$201,$A10,$AS$2:$AS$201,1,$G$2:$G$201,G10,$AM$2:$AM$201,"&lt;"&amp;AM10)=0,1,0),0)</f>
        <v/>
      </c>
      <c r="AU10" s="17">
        <f>IF(AND(AN10=1,N10&lt;&gt;"Y",MAX(N(R10),N(V10))&gt;=Config!$B$14),1,0)</f>
        <v/>
      </c>
      <c r="AV10" s="17">
        <f>IF(AU10=1,IF(COUNTIFS($A$2:$A$201,$A10,$AU$2:$AU$201,1,$G$2:$G$201,"&lt;"&amp;G10)+COUNTIFS($A$2:$A$201,$A10,$AU$2:$AU$201,1,$G$2:$G$201,G10,$AM$2:$AM$201,"&lt;"&amp;AM10)=0,1,0),0)</f>
        <v/>
      </c>
      <c r="AW10" s="17">
        <f>IF(AND(AN10=1,ISNUMBER(R10)),1,0)</f>
        <v/>
      </c>
      <c r="AX10" s="17">
        <f>IF(AW10=1,IF(COUNTIFS($A$2:$A$201,$A10,$AW$2:$AW$201,1,$G$2:$G$201,"&lt;"&amp;G10)+COUNTIFS($A$2:$A$201,$A10,$AW$2:$AW$201,1,$G$2:$G$201,G10,$AM$2:$AM$201,"&lt;"&amp;AM10)=0,1,0),0)</f>
        <v/>
      </c>
      <c r="AY10" s="17">
        <f>IF(AND(AX10=1,G10&lt;=Config!$B$6),R10,"")</f>
        <v/>
      </c>
      <c r="AZ10" s="17">
        <f>IF(AND(AX10=1,G10&lt;=Config!$B$7),R10,"")</f>
        <v/>
      </c>
      <c r="BA10" s="17">
        <f>IF(AND(AX10=1,G10&lt;=Config!$B$8),R10,"")</f>
        <v/>
      </c>
      <c r="BB10" s="17">
        <f>IF(AND(AX10=1,G10&lt;=Config!$B$5),R10,"")</f>
        <v/>
      </c>
      <c r="BC10" s="17">
        <f>IF(AND(AN10=1,ISNUMBER(V10)),1,0)</f>
        <v/>
      </c>
      <c r="BD10" s="17">
        <f>IF(BC10=1,IF(COUNTIFS($A$2:$A$201,$A10,$BC$2:$BC$201,1,$G$2:$G$201,"&lt;"&amp;G10)+COUNTIFS($A$2:$A$201,$A10,$BC$2:$BC$201,1,$G$2:$G$201,G10,$AM$2:$AM$201,"&lt;"&amp;AM10)=0,1,0),0)</f>
        <v/>
      </c>
      <c r="BE10" s="17">
        <f>IF(AND(BD10=1,G10&lt;=Config!$B$6),V10,"")</f>
        <v/>
      </c>
      <c r="BF10" s="17">
        <f>IF(AND(BD10=1,G10&lt;=Config!$B$7),V10,"")</f>
        <v/>
      </c>
      <c r="BG10" s="17">
        <f>IF(AND(BD10=1,G10&lt;=Config!$B$8),V10,"")</f>
        <v/>
      </c>
      <c r="BH10" s="17">
        <f>IF(AND(BD10=1,G10&lt;=Config!$B$5),V10,"")</f>
        <v/>
      </c>
      <c r="BI10" s="17">
        <f>IF(AND(AN10=1,ISNUMBER(J10)),1,0)</f>
        <v/>
      </c>
      <c r="BJ10" s="17">
        <f>IF(BI10=1,IF(COUNTIFS($A$2:$A$201,$A10,$BI$2:$BI$201,1,$G$2:$G$201,"&lt;"&amp;G10)+COUNTIFS($A$2:$A$201,$A10,$BI$2:$BI$201,1,$G$2:$G$201,G10,$AM$2:$AM$201,"&lt;"&amp;AM10)=0,1,0),0)</f>
        <v/>
      </c>
      <c r="BK10" s="17">
        <f>IF(AND(BJ10=1,G10&lt;=Config!$B$5),J10,"")</f>
        <v/>
      </c>
      <c r="BL10" s="17">
        <f>IF(AND(AN10=1,OR(AND(ISNUMBER(R10),TRIM(S10)=""),AND(ISNUMBER(V10),TRIM(W10)=""))),1,0)</f>
        <v/>
      </c>
      <c r="BM10" s="17">
        <f>IF(AN10=1,AB10&amp;"","")</f>
        <v/>
      </c>
      <c r="BN10" s="17">
        <f>IF(AN10=1,AC10&amp;"","")</f>
        <v/>
      </c>
      <c r="BO10" s="17">
        <f>IF(AN10=1,AD10&amp;"","")</f>
        <v/>
      </c>
      <c r="BP10" s="17">
        <f>IF(AND(AN10=1,ISNUMBER(AI10),G10&lt;=Config!$B$5),AI10,"")</f>
        <v/>
      </c>
      <c r="BQ10" s="17">
        <f>IF(AN10=1,IF(COUNTIFS($A$2:$A$201,$A10,$AF$2:$AF$201,"Y",$AN$2:$AN$201,1)&gt;0,"Y","N"),"")</f>
        <v/>
      </c>
      <c r="BR10" s="17">
        <f>IF(AND(AN10=1,AF10="Y"),IF(COUNTIFS($A$2:$A$201,$A10,$AF$2:$AF$201,"Y",$AN$2:$AN$201,1,$G$2:$G$201,"&lt;"&amp;G10)+COUNTIFS($A$2:$A$201,$A10,$AF$2:$AF$201,"Y",$AN$2:$AN$201,1,$G$2:$G$201,G10,$AM$2:$AM$201,"&lt;"&amp;AM10)=0,1,0),0)</f>
        <v/>
      </c>
      <c r="BS10" s="17">
        <f>IF(AN10=1,IFERROR(MATCH($A10,INDEX(Clay_Brands!$A$2:$FZ$601,0,Sync!$D$5),0),""),"")</f>
        <v/>
      </c>
      <c r="BT10" s="17">
        <f>IF(BS10="","",IFERROR(INDEX(Clay_Brands!$A$2:$FZ$601,BS10,Sync!$D$7)&amp;"",""))</f>
        <v/>
      </c>
      <c r="BU10" s="17">
        <f>IF(BT10="","",IFERROR(INDEX(Lists!$J$2:$J$15,MATCH(BT10,Lists!$I$2:$I$15,0)),""))</f>
        <v/>
      </c>
      <c r="BV10" s="17">
        <f>IF(BS10="","",IFERROR(INDEX(Clay_Brands!$A$2:$FZ$601,BS10,Sync!$D$17)&amp;"",""))</f>
        <v/>
      </c>
      <c r="BW10" s="23">
        <f>IF(BS10="","",IFERROR(N(INDEX(Clay_Brands!$A$2:$FZ$601,BS10,Sync!$D$16)),0))</f>
        <v/>
      </c>
    </row>
    <row r="11">
      <c r="G11" s="22" t="n"/>
      <c r="AL11" s="17">
        <f>IF(TRIM($A11)="","",IF(AND(LEFT($A11,6)="SAMPLE",Config!$B$19&lt;&gt;"Y"),"",IF(NOT(ISNUMBER(G11)),"call_date is blank or not a date",IF(Sync!$D$5="","Clay paste is empty or has no row_id column: paste the Clay export on Clay_Brands",IF(BS11="","row_id not found in the Clay paste: add the Clay row or fix the row_id",IF(AND(ISNUMBER(BU11),BU11&gt;=1,BU11&lt;=5),"Clay status is "&amp;BT11&amp;": set call_done or later",IF(AND(AP11=1,BV11&lt;&gt;BQ11),"Clay yes_in_principle should be "&amp;BQ11,IF(AND(AP11=1,BW11&lt;&gt;G11),"Clay call_date should be "&amp;TEXT(G11,"yyyy-mm-dd"),""))))))))</f>
        <v/>
      </c>
      <c r="AM11" s="17">
        <f>ROW()</f>
        <v/>
      </c>
      <c r="AN11" s="17">
        <f>IF(AND(TRIM($A11)&lt;&gt;"",ISNUMBER(G11)),IF(AND(LEFT($A11,6)="SAMPLE",Config!$B$19&lt;&gt;"Y"),0,1),0)</f>
        <v/>
      </c>
      <c r="AO11" s="17">
        <f>IF(AN11=1,IF(COUNTIFS($A$2:$A$201,$A11,$AN$2:$AN$201,1,$G$2:$G$201,"&lt;"&amp;G11)+COUNTIFS($A$2:$A$201,$A11,$AN$2:$AN$201,1,$G$2:$G$201,G11,$AM$2:$AM$201,"&lt;"&amp;AM11)=0,1,0),0)</f>
        <v/>
      </c>
      <c r="AP11" s="17">
        <f>IF(AN11=1,IF(COUNTIFS($A$2:$A$201,$A11,$AN$2:$AN$201,1,$G$2:$G$201,"&gt;"&amp;G11)+COUNTIFS($A$2:$A$201,$A11,$AN$2:$AN$201,1,$G$2:$G$201,G11,$AM$2:$AM$201,"&gt;"&amp;AM11)=0,1,0),0)</f>
        <v/>
      </c>
      <c r="AQ11" s="17">
        <f>IF(AND(AN11=1,N11="Y",MAX(N(R11),N(V11))&gt;=Config!$B$14),1,0)</f>
        <v/>
      </c>
      <c r="AR11" s="17">
        <f>IF(AQ11=1,IF(COUNTIFS($A$2:$A$201,$A11,$AQ$2:$AQ$201,1,$G$2:$G$201,"&lt;"&amp;G11)+COUNTIFS($A$2:$A$201,$A11,$AQ$2:$AQ$201,1,$G$2:$G$201,G11,$AM$2:$AM$201,"&lt;"&amp;AM11)=0,1,0),0)</f>
        <v/>
      </c>
      <c r="AS11" s="17">
        <f>IF(AND(AN11=1,N11="Y",ISNUMBER(R11)),IF(R11&gt;=Config!$B$14,1,0),0)</f>
        <v/>
      </c>
      <c r="AT11" s="17">
        <f>IF(AS11=1,IF(COUNTIFS($A$2:$A$201,$A11,$AS$2:$AS$201,1,$G$2:$G$201,"&lt;"&amp;G11)+COUNTIFS($A$2:$A$201,$A11,$AS$2:$AS$201,1,$G$2:$G$201,G11,$AM$2:$AM$201,"&lt;"&amp;AM11)=0,1,0),0)</f>
        <v/>
      </c>
      <c r="AU11" s="17">
        <f>IF(AND(AN11=1,N11&lt;&gt;"Y",MAX(N(R11),N(V11))&gt;=Config!$B$14),1,0)</f>
        <v/>
      </c>
      <c r="AV11" s="17">
        <f>IF(AU11=1,IF(COUNTIFS($A$2:$A$201,$A11,$AU$2:$AU$201,1,$G$2:$G$201,"&lt;"&amp;G11)+COUNTIFS($A$2:$A$201,$A11,$AU$2:$AU$201,1,$G$2:$G$201,G11,$AM$2:$AM$201,"&lt;"&amp;AM11)=0,1,0),0)</f>
        <v/>
      </c>
      <c r="AW11" s="17">
        <f>IF(AND(AN11=1,ISNUMBER(R11)),1,0)</f>
        <v/>
      </c>
      <c r="AX11" s="17">
        <f>IF(AW11=1,IF(COUNTIFS($A$2:$A$201,$A11,$AW$2:$AW$201,1,$G$2:$G$201,"&lt;"&amp;G11)+COUNTIFS($A$2:$A$201,$A11,$AW$2:$AW$201,1,$G$2:$G$201,G11,$AM$2:$AM$201,"&lt;"&amp;AM11)=0,1,0),0)</f>
        <v/>
      </c>
      <c r="AY11" s="17">
        <f>IF(AND(AX11=1,G11&lt;=Config!$B$6),R11,"")</f>
        <v/>
      </c>
      <c r="AZ11" s="17">
        <f>IF(AND(AX11=1,G11&lt;=Config!$B$7),R11,"")</f>
        <v/>
      </c>
      <c r="BA11" s="17">
        <f>IF(AND(AX11=1,G11&lt;=Config!$B$8),R11,"")</f>
        <v/>
      </c>
      <c r="BB11" s="17">
        <f>IF(AND(AX11=1,G11&lt;=Config!$B$5),R11,"")</f>
        <v/>
      </c>
      <c r="BC11" s="17">
        <f>IF(AND(AN11=1,ISNUMBER(V11)),1,0)</f>
        <v/>
      </c>
      <c r="BD11" s="17">
        <f>IF(BC11=1,IF(COUNTIFS($A$2:$A$201,$A11,$BC$2:$BC$201,1,$G$2:$G$201,"&lt;"&amp;G11)+COUNTIFS($A$2:$A$201,$A11,$BC$2:$BC$201,1,$G$2:$G$201,G11,$AM$2:$AM$201,"&lt;"&amp;AM11)=0,1,0),0)</f>
        <v/>
      </c>
      <c r="BE11" s="17">
        <f>IF(AND(BD11=1,G11&lt;=Config!$B$6),V11,"")</f>
        <v/>
      </c>
      <c r="BF11" s="17">
        <f>IF(AND(BD11=1,G11&lt;=Config!$B$7),V11,"")</f>
        <v/>
      </c>
      <c r="BG11" s="17">
        <f>IF(AND(BD11=1,G11&lt;=Config!$B$8),V11,"")</f>
        <v/>
      </c>
      <c r="BH11" s="17">
        <f>IF(AND(BD11=1,G11&lt;=Config!$B$5),V11,"")</f>
        <v/>
      </c>
      <c r="BI11" s="17">
        <f>IF(AND(AN11=1,ISNUMBER(J11)),1,0)</f>
        <v/>
      </c>
      <c r="BJ11" s="17">
        <f>IF(BI11=1,IF(COUNTIFS($A$2:$A$201,$A11,$BI$2:$BI$201,1,$G$2:$G$201,"&lt;"&amp;G11)+COUNTIFS($A$2:$A$201,$A11,$BI$2:$BI$201,1,$G$2:$G$201,G11,$AM$2:$AM$201,"&lt;"&amp;AM11)=0,1,0),0)</f>
        <v/>
      </c>
      <c r="BK11" s="17">
        <f>IF(AND(BJ11=1,G11&lt;=Config!$B$5),J11,"")</f>
        <v/>
      </c>
      <c r="BL11" s="17">
        <f>IF(AND(AN11=1,OR(AND(ISNUMBER(R11),TRIM(S11)=""),AND(ISNUMBER(V11),TRIM(W11)=""))),1,0)</f>
        <v/>
      </c>
      <c r="BM11" s="17">
        <f>IF(AN11=1,AB11&amp;"","")</f>
        <v/>
      </c>
      <c r="BN11" s="17">
        <f>IF(AN11=1,AC11&amp;"","")</f>
        <v/>
      </c>
      <c r="BO11" s="17">
        <f>IF(AN11=1,AD11&amp;"","")</f>
        <v/>
      </c>
      <c r="BP11" s="17">
        <f>IF(AND(AN11=1,ISNUMBER(AI11),G11&lt;=Config!$B$5),AI11,"")</f>
        <v/>
      </c>
      <c r="BQ11" s="17">
        <f>IF(AN11=1,IF(COUNTIFS($A$2:$A$201,$A11,$AF$2:$AF$201,"Y",$AN$2:$AN$201,1)&gt;0,"Y","N"),"")</f>
        <v/>
      </c>
      <c r="BR11" s="17">
        <f>IF(AND(AN11=1,AF11="Y"),IF(COUNTIFS($A$2:$A$201,$A11,$AF$2:$AF$201,"Y",$AN$2:$AN$201,1,$G$2:$G$201,"&lt;"&amp;G11)+COUNTIFS($A$2:$A$201,$A11,$AF$2:$AF$201,"Y",$AN$2:$AN$201,1,$G$2:$G$201,G11,$AM$2:$AM$201,"&lt;"&amp;AM11)=0,1,0),0)</f>
        <v/>
      </c>
      <c r="BS11" s="17">
        <f>IF(AN11=1,IFERROR(MATCH($A11,INDEX(Clay_Brands!$A$2:$FZ$601,0,Sync!$D$5),0),""),"")</f>
        <v/>
      </c>
      <c r="BT11" s="17">
        <f>IF(BS11="","",IFERROR(INDEX(Clay_Brands!$A$2:$FZ$601,BS11,Sync!$D$7)&amp;"",""))</f>
        <v/>
      </c>
      <c r="BU11" s="17">
        <f>IF(BT11="","",IFERROR(INDEX(Lists!$J$2:$J$15,MATCH(BT11,Lists!$I$2:$I$15,0)),""))</f>
        <v/>
      </c>
      <c r="BV11" s="17">
        <f>IF(BS11="","",IFERROR(INDEX(Clay_Brands!$A$2:$FZ$601,BS11,Sync!$D$17)&amp;"",""))</f>
        <v/>
      </c>
      <c r="BW11" s="23">
        <f>IF(BS11="","",IFERROR(N(INDEX(Clay_Brands!$A$2:$FZ$601,BS11,Sync!$D$16)),0))</f>
        <v/>
      </c>
    </row>
    <row r="12">
      <c r="G12" s="22" t="n"/>
      <c r="AL12" s="17">
        <f>IF(TRIM($A12)="","",IF(AND(LEFT($A12,6)="SAMPLE",Config!$B$19&lt;&gt;"Y"),"",IF(NOT(ISNUMBER(G12)),"call_date is blank or not a date",IF(Sync!$D$5="","Clay paste is empty or has no row_id column: paste the Clay export on Clay_Brands",IF(BS12="","row_id not found in the Clay paste: add the Clay row or fix the row_id",IF(AND(ISNUMBER(BU12),BU12&gt;=1,BU12&lt;=5),"Clay status is "&amp;BT12&amp;": set call_done or later",IF(AND(AP12=1,BV12&lt;&gt;BQ12),"Clay yes_in_principle should be "&amp;BQ12,IF(AND(AP12=1,BW12&lt;&gt;G12),"Clay call_date should be "&amp;TEXT(G12,"yyyy-mm-dd"),""))))))))</f>
        <v/>
      </c>
      <c r="AM12" s="17">
        <f>ROW()</f>
        <v/>
      </c>
      <c r="AN12" s="17">
        <f>IF(AND(TRIM($A12)&lt;&gt;"",ISNUMBER(G12)),IF(AND(LEFT($A12,6)="SAMPLE",Config!$B$19&lt;&gt;"Y"),0,1),0)</f>
        <v/>
      </c>
      <c r="AO12" s="17">
        <f>IF(AN12=1,IF(COUNTIFS($A$2:$A$201,$A12,$AN$2:$AN$201,1,$G$2:$G$201,"&lt;"&amp;G12)+COUNTIFS($A$2:$A$201,$A12,$AN$2:$AN$201,1,$G$2:$G$201,G12,$AM$2:$AM$201,"&lt;"&amp;AM12)=0,1,0),0)</f>
        <v/>
      </c>
      <c r="AP12" s="17">
        <f>IF(AN12=1,IF(COUNTIFS($A$2:$A$201,$A12,$AN$2:$AN$201,1,$G$2:$G$201,"&gt;"&amp;G12)+COUNTIFS($A$2:$A$201,$A12,$AN$2:$AN$201,1,$G$2:$G$201,G12,$AM$2:$AM$201,"&gt;"&amp;AM12)=0,1,0),0)</f>
        <v/>
      </c>
      <c r="AQ12" s="17">
        <f>IF(AND(AN12=1,N12="Y",MAX(N(R12),N(V12))&gt;=Config!$B$14),1,0)</f>
        <v/>
      </c>
      <c r="AR12" s="17">
        <f>IF(AQ12=1,IF(COUNTIFS($A$2:$A$201,$A12,$AQ$2:$AQ$201,1,$G$2:$G$201,"&lt;"&amp;G12)+COUNTIFS($A$2:$A$201,$A12,$AQ$2:$AQ$201,1,$G$2:$G$201,G12,$AM$2:$AM$201,"&lt;"&amp;AM12)=0,1,0),0)</f>
        <v/>
      </c>
      <c r="AS12" s="17">
        <f>IF(AND(AN12=1,N12="Y",ISNUMBER(R12)),IF(R12&gt;=Config!$B$14,1,0),0)</f>
        <v/>
      </c>
      <c r="AT12" s="17">
        <f>IF(AS12=1,IF(COUNTIFS($A$2:$A$201,$A12,$AS$2:$AS$201,1,$G$2:$G$201,"&lt;"&amp;G12)+COUNTIFS($A$2:$A$201,$A12,$AS$2:$AS$201,1,$G$2:$G$201,G12,$AM$2:$AM$201,"&lt;"&amp;AM12)=0,1,0),0)</f>
        <v/>
      </c>
      <c r="AU12" s="17">
        <f>IF(AND(AN12=1,N12&lt;&gt;"Y",MAX(N(R12),N(V12))&gt;=Config!$B$14),1,0)</f>
        <v/>
      </c>
      <c r="AV12" s="17">
        <f>IF(AU12=1,IF(COUNTIFS($A$2:$A$201,$A12,$AU$2:$AU$201,1,$G$2:$G$201,"&lt;"&amp;G12)+COUNTIFS($A$2:$A$201,$A12,$AU$2:$AU$201,1,$G$2:$G$201,G12,$AM$2:$AM$201,"&lt;"&amp;AM12)=0,1,0),0)</f>
        <v/>
      </c>
      <c r="AW12" s="17">
        <f>IF(AND(AN12=1,ISNUMBER(R12)),1,0)</f>
        <v/>
      </c>
      <c r="AX12" s="17">
        <f>IF(AW12=1,IF(COUNTIFS($A$2:$A$201,$A12,$AW$2:$AW$201,1,$G$2:$G$201,"&lt;"&amp;G12)+COUNTIFS($A$2:$A$201,$A12,$AW$2:$AW$201,1,$G$2:$G$201,G12,$AM$2:$AM$201,"&lt;"&amp;AM12)=0,1,0),0)</f>
        <v/>
      </c>
      <c r="AY12" s="17">
        <f>IF(AND(AX12=1,G12&lt;=Config!$B$6),R12,"")</f>
        <v/>
      </c>
      <c r="AZ12" s="17">
        <f>IF(AND(AX12=1,G12&lt;=Config!$B$7),R12,"")</f>
        <v/>
      </c>
      <c r="BA12" s="17">
        <f>IF(AND(AX12=1,G12&lt;=Config!$B$8),R12,"")</f>
        <v/>
      </c>
      <c r="BB12" s="17">
        <f>IF(AND(AX12=1,G12&lt;=Config!$B$5),R12,"")</f>
        <v/>
      </c>
      <c r="BC12" s="17">
        <f>IF(AND(AN12=1,ISNUMBER(V12)),1,0)</f>
        <v/>
      </c>
      <c r="BD12" s="17">
        <f>IF(BC12=1,IF(COUNTIFS($A$2:$A$201,$A12,$BC$2:$BC$201,1,$G$2:$G$201,"&lt;"&amp;G12)+COUNTIFS($A$2:$A$201,$A12,$BC$2:$BC$201,1,$G$2:$G$201,G12,$AM$2:$AM$201,"&lt;"&amp;AM12)=0,1,0),0)</f>
        <v/>
      </c>
      <c r="BE12" s="17">
        <f>IF(AND(BD12=1,G12&lt;=Config!$B$6),V12,"")</f>
        <v/>
      </c>
      <c r="BF12" s="17">
        <f>IF(AND(BD12=1,G12&lt;=Config!$B$7),V12,"")</f>
        <v/>
      </c>
      <c r="BG12" s="17">
        <f>IF(AND(BD12=1,G12&lt;=Config!$B$8),V12,"")</f>
        <v/>
      </c>
      <c r="BH12" s="17">
        <f>IF(AND(BD12=1,G12&lt;=Config!$B$5),V12,"")</f>
        <v/>
      </c>
      <c r="BI12" s="17">
        <f>IF(AND(AN12=1,ISNUMBER(J12)),1,0)</f>
        <v/>
      </c>
      <c r="BJ12" s="17">
        <f>IF(BI12=1,IF(COUNTIFS($A$2:$A$201,$A12,$BI$2:$BI$201,1,$G$2:$G$201,"&lt;"&amp;G12)+COUNTIFS($A$2:$A$201,$A12,$BI$2:$BI$201,1,$G$2:$G$201,G12,$AM$2:$AM$201,"&lt;"&amp;AM12)=0,1,0),0)</f>
        <v/>
      </c>
      <c r="BK12" s="17">
        <f>IF(AND(BJ12=1,G12&lt;=Config!$B$5),J12,"")</f>
        <v/>
      </c>
      <c r="BL12" s="17">
        <f>IF(AND(AN12=1,OR(AND(ISNUMBER(R12),TRIM(S12)=""),AND(ISNUMBER(V12),TRIM(W12)=""))),1,0)</f>
        <v/>
      </c>
      <c r="BM12" s="17">
        <f>IF(AN12=1,AB12&amp;"","")</f>
        <v/>
      </c>
      <c r="BN12" s="17">
        <f>IF(AN12=1,AC12&amp;"","")</f>
        <v/>
      </c>
      <c r="BO12" s="17">
        <f>IF(AN12=1,AD12&amp;"","")</f>
        <v/>
      </c>
      <c r="BP12" s="17">
        <f>IF(AND(AN12=1,ISNUMBER(AI12),G12&lt;=Config!$B$5),AI12,"")</f>
        <v/>
      </c>
      <c r="BQ12" s="17">
        <f>IF(AN12=1,IF(COUNTIFS($A$2:$A$201,$A12,$AF$2:$AF$201,"Y",$AN$2:$AN$201,1)&gt;0,"Y","N"),"")</f>
        <v/>
      </c>
      <c r="BR12" s="17">
        <f>IF(AND(AN12=1,AF12="Y"),IF(COUNTIFS($A$2:$A$201,$A12,$AF$2:$AF$201,"Y",$AN$2:$AN$201,1,$G$2:$G$201,"&lt;"&amp;G12)+COUNTIFS($A$2:$A$201,$A12,$AF$2:$AF$201,"Y",$AN$2:$AN$201,1,$G$2:$G$201,G12,$AM$2:$AM$201,"&lt;"&amp;AM12)=0,1,0),0)</f>
        <v/>
      </c>
      <c r="BS12" s="17">
        <f>IF(AN12=1,IFERROR(MATCH($A12,INDEX(Clay_Brands!$A$2:$FZ$601,0,Sync!$D$5),0),""),"")</f>
        <v/>
      </c>
      <c r="BT12" s="17">
        <f>IF(BS12="","",IFERROR(INDEX(Clay_Brands!$A$2:$FZ$601,BS12,Sync!$D$7)&amp;"",""))</f>
        <v/>
      </c>
      <c r="BU12" s="17">
        <f>IF(BT12="","",IFERROR(INDEX(Lists!$J$2:$J$15,MATCH(BT12,Lists!$I$2:$I$15,0)),""))</f>
        <v/>
      </c>
      <c r="BV12" s="17">
        <f>IF(BS12="","",IFERROR(INDEX(Clay_Brands!$A$2:$FZ$601,BS12,Sync!$D$17)&amp;"",""))</f>
        <v/>
      </c>
      <c r="BW12" s="23">
        <f>IF(BS12="","",IFERROR(N(INDEX(Clay_Brands!$A$2:$FZ$601,BS12,Sync!$D$16)),0))</f>
        <v/>
      </c>
    </row>
    <row r="13">
      <c r="G13" s="22" t="n"/>
      <c r="AL13" s="17">
        <f>IF(TRIM($A13)="","",IF(AND(LEFT($A13,6)="SAMPLE",Config!$B$19&lt;&gt;"Y"),"",IF(NOT(ISNUMBER(G13)),"call_date is blank or not a date",IF(Sync!$D$5="","Clay paste is empty or has no row_id column: paste the Clay export on Clay_Brands",IF(BS13="","row_id not found in the Clay paste: add the Clay row or fix the row_id",IF(AND(ISNUMBER(BU13),BU13&gt;=1,BU13&lt;=5),"Clay status is "&amp;BT13&amp;": set call_done or later",IF(AND(AP13=1,BV13&lt;&gt;BQ13),"Clay yes_in_principle should be "&amp;BQ13,IF(AND(AP13=1,BW13&lt;&gt;G13),"Clay call_date should be "&amp;TEXT(G13,"yyyy-mm-dd"),""))))))))</f>
        <v/>
      </c>
      <c r="AM13" s="17">
        <f>ROW()</f>
        <v/>
      </c>
      <c r="AN13" s="17">
        <f>IF(AND(TRIM($A13)&lt;&gt;"",ISNUMBER(G13)),IF(AND(LEFT($A13,6)="SAMPLE",Config!$B$19&lt;&gt;"Y"),0,1),0)</f>
        <v/>
      </c>
      <c r="AO13" s="17">
        <f>IF(AN13=1,IF(COUNTIFS($A$2:$A$201,$A13,$AN$2:$AN$201,1,$G$2:$G$201,"&lt;"&amp;G13)+COUNTIFS($A$2:$A$201,$A13,$AN$2:$AN$201,1,$G$2:$G$201,G13,$AM$2:$AM$201,"&lt;"&amp;AM13)=0,1,0),0)</f>
        <v/>
      </c>
      <c r="AP13" s="17">
        <f>IF(AN13=1,IF(COUNTIFS($A$2:$A$201,$A13,$AN$2:$AN$201,1,$G$2:$G$201,"&gt;"&amp;G13)+COUNTIFS($A$2:$A$201,$A13,$AN$2:$AN$201,1,$G$2:$G$201,G13,$AM$2:$AM$201,"&gt;"&amp;AM13)=0,1,0),0)</f>
        <v/>
      </c>
      <c r="AQ13" s="17">
        <f>IF(AND(AN13=1,N13="Y",MAX(N(R13),N(V13))&gt;=Config!$B$14),1,0)</f>
        <v/>
      </c>
      <c r="AR13" s="17">
        <f>IF(AQ13=1,IF(COUNTIFS($A$2:$A$201,$A13,$AQ$2:$AQ$201,1,$G$2:$G$201,"&lt;"&amp;G13)+COUNTIFS($A$2:$A$201,$A13,$AQ$2:$AQ$201,1,$G$2:$G$201,G13,$AM$2:$AM$201,"&lt;"&amp;AM13)=0,1,0),0)</f>
        <v/>
      </c>
      <c r="AS13" s="17">
        <f>IF(AND(AN13=1,N13="Y",ISNUMBER(R13)),IF(R13&gt;=Config!$B$14,1,0),0)</f>
        <v/>
      </c>
      <c r="AT13" s="17">
        <f>IF(AS13=1,IF(COUNTIFS($A$2:$A$201,$A13,$AS$2:$AS$201,1,$G$2:$G$201,"&lt;"&amp;G13)+COUNTIFS($A$2:$A$201,$A13,$AS$2:$AS$201,1,$G$2:$G$201,G13,$AM$2:$AM$201,"&lt;"&amp;AM13)=0,1,0),0)</f>
        <v/>
      </c>
      <c r="AU13" s="17">
        <f>IF(AND(AN13=1,N13&lt;&gt;"Y",MAX(N(R13),N(V13))&gt;=Config!$B$14),1,0)</f>
        <v/>
      </c>
      <c r="AV13" s="17">
        <f>IF(AU13=1,IF(COUNTIFS($A$2:$A$201,$A13,$AU$2:$AU$201,1,$G$2:$G$201,"&lt;"&amp;G13)+COUNTIFS($A$2:$A$201,$A13,$AU$2:$AU$201,1,$G$2:$G$201,G13,$AM$2:$AM$201,"&lt;"&amp;AM13)=0,1,0),0)</f>
        <v/>
      </c>
      <c r="AW13" s="17">
        <f>IF(AND(AN13=1,ISNUMBER(R13)),1,0)</f>
        <v/>
      </c>
      <c r="AX13" s="17">
        <f>IF(AW13=1,IF(COUNTIFS($A$2:$A$201,$A13,$AW$2:$AW$201,1,$G$2:$G$201,"&lt;"&amp;G13)+COUNTIFS($A$2:$A$201,$A13,$AW$2:$AW$201,1,$G$2:$G$201,G13,$AM$2:$AM$201,"&lt;"&amp;AM13)=0,1,0),0)</f>
        <v/>
      </c>
      <c r="AY13" s="17">
        <f>IF(AND(AX13=1,G13&lt;=Config!$B$6),R13,"")</f>
        <v/>
      </c>
      <c r="AZ13" s="17">
        <f>IF(AND(AX13=1,G13&lt;=Config!$B$7),R13,"")</f>
        <v/>
      </c>
      <c r="BA13" s="17">
        <f>IF(AND(AX13=1,G13&lt;=Config!$B$8),R13,"")</f>
        <v/>
      </c>
      <c r="BB13" s="17">
        <f>IF(AND(AX13=1,G13&lt;=Config!$B$5),R13,"")</f>
        <v/>
      </c>
      <c r="BC13" s="17">
        <f>IF(AND(AN13=1,ISNUMBER(V13)),1,0)</f>
        <v/>
      </c>
      <c r="BD13" s="17">
        <f>IF(BC13=1,IF(COUNTIFS($A$2:$A$201,$A13,$BC$2:$BC$201,1,$G$2:$G$201,"&lt;"&amp;G13)+COUNTIFS($A$2:$A$201,$A13,$BC$2:$BC$201,1,$G$2:$G$201,G13,$AM$2:$AM$201,"&lt;"&amp;AM13)=0,1,0),0)</f>
        <v/>
      </c>
      <c r="BE13" s="17">
        <f>IF(AND(BD13=1,G13&lt;=Config!$B$6),V13,"")</f>
        <v/>
      </c>
      <c r="BF13" s="17">
        <f>IF(AND(BD13=1,G13&lt;=Config!$B$7),V13,"")</f>
        <v/>
      </c>
      <c r="BG13" s="17">
        <f>IF(AND(BD13=1,G13&lt;=Config!$B$8),V13,"")</f>
        <v/>
      </c>
      <c r="BH13" s="17">
        <f>IF(AND(BD13=1,G13&lt;=Config!$B$5),V13,"")</f>
        <v/>
      </c>
      <c r="BI13" s="17">
        <f>IF(AND(AN13=1,ISNUMBER(J13)),1,0)</f>
        <v/>
      </c>
      <c r="BJ13" s="17">
        <f>IF(BI13=1,IF(COUNTIFS($A$2:$A$201,$A13,$BI$2:$BI$201,1,$G$2:$G$201,"&lt;"&amp;G13)+COUNTIFS($A$2:$A$201,$A13,$BI$2:$BI$201,1,$G$2:$G$201,G13,$AM$2:$AM$201,"&lt;"&amp;AM13)=0,1,0),0)</f>
        <v/>
      </c>
      <c r="BK13" s="17">
        <f>IF(AND(BJ13=1,G13&lt;=Config!$B$5),J13,"")</f>
        <v/>
      </c>
      <c r="BL13" s="17">
        <f>IF(AND(AN13=1,OR(AND(ISNUMBER(R13),TRIM(S13)=""),AND(ISNUMBER(V13),TRIM(W13)=""))),1,0)</f>
        <v/>
      </c>
      <c r="BM13" s="17">
        <f>IF(AN13=1,AB13&amp;"","")</f>
        <v/>
      </c>
      <c r="BN13" s="17">
        <f>IF(AN13=1,AC13&amp;"","")</f>
        <v/>
      </c>
      <c r="BO13" s="17">
        <f>IF(AN13=1,AD13&amp;"","")</f>
        <v/>
      </c>
      <c r="BP13" s="17">
        <f>IF(AND(AN13=1,ISNUMBER(AI13),G13&lt;=Config!$B$5),AI13,"")</f>
        <v/>
      </c>
      <c r="BQ13" s="17">
        <f>IF(AN13=1,IF(COUNTIFS($A$2:$A$201,$A13,$AF$2:$AF$201,"Y",$AN$2:$AN$201,1)&gt;0,"Y","N"),"")</f>
        <v/>
      </c>
      <c r="BR13" s="17">
        <f>IF(AND(AN13=1,AF13="Y"),IF(COUNTIFS($A$2:$A$201,$A13,$AF$2:$AF$201,"Y",$AN$2:$AN$201,1,$G$2:$G$201,"&lt;"&amp;G13)+COUNTIFS($A$2:$A$201,$A13,$AF$2:$AF$201,"Y",$AN$2:$AN$201,1,$G$2:$G$201,G13,$AM$2:$AM$201,"&lt;"&amp;AM13)=0,1,0),0)</f>
        <v/>
      </c>
      <c r="BS13" s="17">
        <f>IF(AN13=1,IFERROR(MATCH($A13,INDEX(Clay_Brands!$A$2:$FZ$601,0,Sync!$D$5),0),""),"")</f>
        <v/>
      </c>
      <c r="BT13" s="17">
        <f>IF(BS13="","",IFERROR(INDEX(Clay_Brands!$A$2:$FZ$601,BS13,Sync!$D$7)&amp;"",""))</f>
        <v/>
      </c>
      <c r="BU13" s="17">
        <f>IF(BT13="","",IFERROR(INDEX(Lists!$J$2:$J$15,MATCH(BT13,Lists!$I$2:$I$15,0)),""))</f>
        <v/>
      </c>
      <c r="BV13" s="17">
        <f>IF(BS13="","",IFERROR(INDEX(Clay_Brands!$A$2:$FZ$601,BS13,Sync!$D$17)&amp;"",""))</f>
        <v/>
      </c>
      <c r="BW13" s="23">
        <f>IF(BS13="","",IFERROR(N(INDEX(Clay_Brands!$A$2:$FZ$601,BS13,Sync!$D$16)),0))</f>
        <v/>
      </c>
    </row>
    <row r="14">
      <c r="G14" s="22" t="n"/>
      <c r="AL14" s="17">
        <f>IF(TRIM($A14)="","",IF(AND(LEFT($A14,6)="SAMPLE",Config!$B$19&lt;&gt;"Y"),"",IF(NOT(ISNUMBER(G14)),"call_date is blank or not a date",IF(Sync!$D$5="","Clay paste is empty or has no row_id column: paste the Clay export on Clay_Brands",IF(BS14="","row_id not found in the Clay paste: add the Clay row or fix the row_id",IF(AND(ISNUMBER(BU14),BU14&gt;=1,BU14&lt;=5),"Clay status is "&amp;BT14&amp;": set call_done or later",IF(AND(AP14=1,BV14&lt;&gt;BQ14),"Clay yes_in_principle should be "&amp;BQ14,IF(AND(AP14=1,BW14&lt;&gt;G14),"Clay call_date should be "&amp;TEXT(G14,"yyyy-mm-dd"),""))))))))</f>
        <v/>
      </c>
      <c r="AM14" s="17">
        <f>ROW()</f>
        <v/>
      </c>
      <c r="AN14" s="17">
        <f>IF(AND(TRIM($A14)&lt;&gt;"",ISNUMBER(G14)),IF(AND(LEFT($A14,6)="SAMPLE",Config!$B$19&lt;&gt;"Y"),0,1),0)</f>
        <v/>
      </c>
      <c r="AO14" s="17">
        <f>IF(AN14=1,IF(COUNTIFS($A$2:$A$201,$A14,$AN$2:$AN$201,1,$G$2:$G$201,"&lt;"&amp;G14)+COUNTIFS($A$2:$A$201,$A14,$AN$2:$AN$201,1,$G$2:$G$201,G14,$AM$2:$AM$201,"&lt;"&amp;AM14)=0,1,0),0)</f>
        <v/>
      </c>
      <c r="AP14" s="17">
        <f>IF(AN14=1,IF(COUNTIFS($A$2:$A$201,$A14,$AN$2:$AN$201,1,$G$2:$G$201,"&gt;"&amp;G14)+COUNTIFS($A$2:$A$201,$A14,$AN$2:$AN$201,1,$G$2:$G$201,G14,$AM$2:$AM$201,"&gt;"&amp;AM14)=0,1,0),0)</f>
        <v/>
      </c>
      <c r="AQ14" s="17">
        <f>IF(AND(AN14=1,N14="Y",MAX(N(R14),N(V14))&gt;=Config!$B$14),1,0)</f>
        <v/>
      </c>
      <c r="AR14" s="17">
        <f>IF(AQ14=1,IF(COUNTIFS($A$2:$A$201,$A14,$AQ$2:$AQ$201,1,$G$2:$G$201,"&lt;"&amp;G14)+COUNTIFS($A$2:$A$201,$A14,$AQ$2:$AQ$201,1,$G$2:$G$201,G14,$AM$2:$AM$201,"&lt;"&amp;AM14)=0,1,0),0)</f>
        <v/>
      </c>
      <c r="AS14" s="17">
        <f>IF(AND(AN14=1,N14="Y",ISNUMBER(R14)),IF(R14&gt;=Config!$B$14,1,0),0)</f>
        <v/>
      </c>
      <c r="AT14" s="17">
        <f>IF(AS14=1,IF(COUNTIFS($A$2:$A$201,$A14,$AS$2:$AS$201,1,$G$2:$G$201,"&lt;"&amp;G14)+COUNTIFS($A$2:$A$201,$A14,$AS$2:$AS$201,1,$G$2:$G$201,G14,$AM$2:$AM$201,"&lt;"&amp;AM14)=0,1,0),0)</f>
        <v/>
      </c>
      <c r="AU14" s="17">
        <f>IF(AND(AN14=1,N14&lt;&gt;"Y",MAX(N(R14),N(V14))&gt;=Config!$B$14),1,0)</f>
        <v/>
      </c>
      <c r="AV14" s="17">
        <f>IF(AU14=1,IF(COUNTIFS($A$2:$A$201,$A14,$AU$2:$AU$201,1,$G$2:$G$201,"&lt;"&amp;G14)+COUNTIFS($A$2:$A$201,$A14,$AU$2:$AU$201,1,$G$2:$G$201,G14,$AM$2:$AM$201,"&lt;"&amp;AM14)=0,1,0),0)</f>
        <v/>
      </c>
      <c r="AW14" s="17">
        <f>IF(AND(AN14=1,ISNUMBER(R14)),1,0)</f>
        <v/>
      </c>
      <c r="AX14" s="17">
        <f>IF(AW14=1,IF(COUNTIFS($A$2:$A$201,$A14,$AW$2:$AW$201,1,$G$2:$G$201,"&lt;"&amp;G14)+COUNTIFS($A$2:$A$201,$A14,$AW$2:$AW$201,1,$G$2:$G$201,G14,$AM$2:$AM$201,"&lt;"&amp;AM14)=0,1,0),0)</f>
        <v/>
      </c>
      <c r="AY14" s="17">
        <f>IF(AND(AX14=1,G14&lt;=Config!$B$6),R14,"")</f>
        <v/>
      </c>
      <c r="AZ14" s="17">
        <f>IF(AND(AX14=1,G14&lt;=Config!$B$7),R14,"")</f>
        <v/>
      </c>
      <c r="BA14" s="17">
        <f>IF(AND(AX14=1,G14&lt;=Config!$B$8),R14,"")</f>
        <v/>
      </c>
      <c r="BB14" s="17">
        <f>IF(AND(AX14=1,G14&lt;=Config!$B$5),R14,"")</f>
        <v/>
      </c>
      <c r="BC14" s="17">
        <f>IF(AND(AN14=1,ISNUMBER(V14)),1,0)</f>
        <v/>
      </c>
      <c r="BD14" s="17">
        <f>IF(BC14=1,IF(COUNTIFS($A$2:$A$201,$A14,$BC$2:$BC$201,1,$G$2:$G$201,"&lt;"&amp;G14)+COUNTIFS($A$2:$A$201,$A14,$BC$2:$BC$201,1,$G$2:$G$201,G14,$AM$2:$AM$201,"&lt;"&amp;AM14)=0,1,0),0)</f>
        <v/>
      </c>
      <c r="BE14" s="17">
        <f>IF(AND(BD14=1,G14&lt;=Config!$B$6),V14,"")</f>
        <v/>
      </c>
      <c r="BF14" s="17">
        <f>IF(AND(BD14=1,G14&lt;=Config!$B$7),V14,"")</f>
        <v/>
      </c>
      <c r="BG14" s="17">
        <f>IF(AND(BD14=1,G14&lt;=Config!$B$8),V14,"")</f>
        <v/>
      </c>
      <c r="BH14" s="17">
        <f>IF(AND(BD14=1,G14&lt;=Config!$B$5),V14,"")</f>
        <v/>
      </c>
      <c r="BI14" s="17">
        <f>IF(AND(AN14=1,ISNUMBER(J14)),1,0)</f>
        <v/>
      </c>
      <c r="BJ14" s="17">
        <f>IF(BI14=1,IF(COUNTIFS($A$2:$A$201,$A14,$BI$2:$BI$201,1,$G$2:$G$201,"&lt;"&amp;G14)+COUNTIFS($A$2:$A$201,$A14,$BI$2:$BI$201,1,$G$2:$G$201,G14,$AM$2:$AM$201,"&lt;"&amp;AM14)=0,1,0),0)</f>
        <v/>
      </c>
      <c r="BK14" s="17">
        <f>IF(AND(BJ14=1,G14&lt;=Config!$B$5),J14,"")</f>
        <v/>
      </c>
      <c r="BL14" s="17">
        <f>IF(AND(AN14=1,OR(AND(ISNUMBER(R14),TRIM(S14)=""),AND(ISNUMBER(V14),TRIM(W14)=""))),1,0)</f>
        <v/>
      </c>
      <c r="BM14" s="17">
        <f>IF(AN14=1,AB14&amp;"","")</f>
        <v/>
      </c>
      <c r="BN14" s="17">
        <f>IF(AN14=1,AC14&amp;"","")</f>
        <v/>
      </c>
      <c r="BO14" s="17">
        <f>IF(AN14=1,AD14&amp;"","")</f>
        <v/>
      </c>
      <c r="BP14" s="17">
        <f>IF(AND(AN14=1,ISNUMBER(AI14),G14&lt;=Config!$B$5),AI14,"")</f>
        <v/>
      </c>
      <c r="BQ14" s="17">
        <f>IF(AN14=1,IF(COUNTIFS($A$2:$A$201,$A14,$AF$2:$AF$201,"Y",$AN$2:$AN$201,1)&gt;0,"Y","N"),"")</f>
        <v/>
      </c>
      <c r="BR14" s="17">
        <f>IF(AND(AN14=1,AF14="Y"),IF(COUNTIFS($A$2:$A$201,$A14,$AF$2:$AF$201,"Y",$AN$2:$AN$201,1,$G$2:$G$201,"&lt;"&amp;G14)+COUNTIFS($A$2:$A$201,$A14,$AF$2:$AF$201,"Y",$AN$2:$AN$201,1,$G$2:$G$201,G14,$AM$2:$AM$201,"&lt;"&amp;AM14)=0,1,0),0)</f>
        <v/>
      </c>
      <c r="BS14" s="17">
        <f>IF(AN14=1,IFERROR(MATCH($A14,INDEX(Clay_Brands!$A$2:$FZ$601,0,Sync!$D$5),0),""),"")</f>
        <v/>
      </c>
      <c r="BT14" s="17">
        <f>IF(BS14="","",IFERROR(INDEX(Clay_Brands!$A$2:$FZ$601,BS14,Sync!$D$7)&amp;"",""))</f>
        <v/>
      </c>
      <c r="BU14" s="17">
        <f>IF(BT14="","",IFERROR(INDEX(Lists!$J$2:$J$15,MATCH(BT14,Lists!$I$2:$I$15,0)),""))</f>
        <v/>
      </c>
      <c r="BV14" s="17">
        <f>IF(BS14="","",IFERROR(INDEX(Clay_Brands!$A$2:$FZ$601,BS14,Sync!$D$17)&amp;"",""))</f>
        <v/>
      </c>
      <c r="BW14" s="23">
        <f>IF(BS14="","",IFERROR(N(INDEX(Clay_Brands!$A$2:$FZ$601,BS14,Sync!$D$16)),0))</f>
        <v/>
      </c>
    </row>
    <row r="15">
      <c r="G15" s="22" t="n"/>
      <c r="AL15" s="17">
        <f>IF(TRIM($A15)="","",IF(AND(LEFT($A15,6)="SAMPLE",Config!$B$19&lt;&gt;"Y"),"",IF(NOT(ISNUMBER(G15)),"call_date is blank or not a date",IF(Sync!$D$5="","Clay paste is empty or has no row_id column: paste the Clay export on Clay_Brands",IF(BS15="","row_id not found in the Clay paste: add the Clay row or fix the row_id",IF(AND(ISNUMBER(BU15),BU15&gt;=1,BU15&lt;=5),"Clay status is "&amp;BT15&amp;": set call_done or later",IF(AND(AP15=1,BV15&lt;&gt;BQ15),"Clay yes_in_principle should be "&amp;BQ15,IF(AND(AP15=1,BW15&lt;&gt;G15),"Clay call_date should be "&amp;TEXT(G15,"yyyy-mm-dd"),""))))))))</f>
        <v/>
      </c>
      <c r="AM15" s="17">
        <f>ROW()</f>
        <v/>
      </c>
      <c r="AN15" s="17">
        <f>IF(AND(TRIM($A15)&lt;&gt;"",ISNUMBER(G15)),IF(AND(LEFT($A15,6)="SAMPLE",Config!$B$19&lt;&gt;"Y"),0,1),0)</f>
        <v/>
      </c>
      <c r="AO15" s="17">
        <f>IF(AN15=1,IF(COUNTIFS($A$2:$A$201,$A15,$AN$2:$AN$201,1,$G$2:$G$201,"&lt;"&amp;G15)+COUNTIFS($A$2:$A$201,$A15,$AN$2:$AN$201,1,$G$2:$G$201,G15,$AM$2:$AM$201,"&lt;"&amp;AM15)=0,1,0),0)</f>
        <v/>
      </c>
      <c r="AP15" s="17">
        <f>IF(AN15=1,IF(COUNTIFS($A$2:$A$201,$A15,$AN$2:$AN$201,1,$G$2:$G$201,"&gt;"&amp;G15)+COUNTIFS($A$2:$A$201,$A15,$AN$2:$AN$201,1,$G$2:$G$201,G15,$AM$2:$AM$201,"&gt;"&amp;AM15)=0,1,0),0)</f>
        <v/>
      </c>
      <c r="AQ15" s="17">
        <f>IF(AND(AN15=1,N15="Y",MAX(N(R15),N(V15))&gt;=Config!$B$14),1,0)</f>
        <v/>
      </c>
      <c r="AR15" s="17">
        <f>IF(AQ15=1,IF(COUNTIFS($A$2:$A$201,$A15,$AQ$2:$AQ$201,1,$G$2:$G$201,"&lt;"&amp;G15)+COUNTIFS($A$2:$A$201,$A15,$AQ$2:$AQ$201,1,$G$2:$G$201,G15,$AM$2:$AM$201,"&lt;"&amp;AM15)=0,1,0),0)</f>
        <v/>
      </c>
      <c r="AS15" s="17">
        <f>IF(AND(AN15=1,N15="Y",ISNUMBER(R15)),IF(R15&gt;=Config!$B$14,1,0),0)</f>
        <v/>
      </c>
      <c r="AT15" s="17">
        <f>IF(AS15=1,IF(COUNTIFS($A$2:$A$201,$A15,$AS$2:$AS$201,1,$G$2:$G$201,"&lt;"&amp;G15)+COUNTIFS($A$2:$A$201,$A15,$AS$2:$AS$201,1,$G$2:$G$201,G15,$AM$2:$AM$201,"&lt;"&amp;AM15)=0,1,0),0)</f>
        <v/>
      </c>
      <c r="AU15" s="17">
        <f>IF(AND(AN15=1,N15&lt;&gt;"Y",MAX(N(R15),N(V15))&gt;=Config!$B$14),1,0)</f>
        <v/>
      </c>
      <c r="AV15" s="17">
        <f>IF(AU15=1,IF(COUNTIFS($A$2:$A$201,$A15,$AU$2:$AU$201,1,$G$2:$G$201,"&lt;"&amp;G15)+COUNTIFS($A$2:$A$201,$A15,$AU$2:$AU$201,1,$G$2:$G$201,G15,$AM$2:$AM$201,"&lt;"&amp;AM15)=0,1,0),0)</f>
        <v/>
      </c>
      <c r="AW15" s="17">
        <f>IF(AND(AN15=1,ISNUMBER(R15)),1,0)</f>
        <v/>
      </c>
      <c r="AX15" s="17">
        <f>IF(AW15=1,IF(COUNTIFS($A$2:$A$201,$A15,$AW$2:$AW$201,1,$G$2:$G$201,"&lt;"&amp;G15)+COUNTIFS($A$2:$A$201,$A15,$AW$2:$AW$201,1,$G$2:$G$201,G15,$AM$2:$AM$201,"&lt;"&amp;AM15)=0,1,0),0)</f>
        <v/>
      </c>
      <c r="AY15" s="17">
        <f>IF(AND(AX15=1,G15&lt;=Config!$B$6),R15,"")</f>
        <v/>
      </c>
      <c r="AZ15" s="17">
        <f>IF(AND(AX15=1,G15&lt;=Config!$B$7),R15,"")</f>
        <v/>
      </c>
      <c r="BA15" s="17">
        <f>IF(AND(AX15=1,G15&lt;=Config!$B$8),R15,"")</f>
        <v/>
      </c>
      <c r="BB15" s="17">
        <f>IF(AND(AX15=1,G15&lt;=Config!$B$5),R15,"")</f>
        <v/>
      </c>
      <c r="BC15" s="17">
        <f>IF(AND(AN15=1,ISNUMBER(V15)),1,0)</f>
        <v/>
      </c>
      <c r="BD15" s="17">
        <f>IF(BC15=1,IF(COUNTIFS($A$2:$A$201,$A15,$BC$2:$BC$201,1,$G$2:$G$201,"&lt;"&amp;G15)+COUNTIFS($A$2:$A$201,$A15,$BC$2:$BC$201,1,$G$2:$G$201,G15,$AM$2:$AM$201,"&lt;"&amp;AM15)=0,1,0),0)</f>
        <v/>
      </c>
      <c r="BE15" s="17">
        <f>IF(AND(BD15=1,G15&lt;=Config!$B$6),V15,"")</f>
        <v/>
      </c>
      <c r="BF15" s="17">
        <f>IF(AND(BD15=1,G15&lt;=Config!$B$7),V15,"")</f>
        <v/>
      </c>
      <c r="BG15" s="17">
        <f>IF(AND(BD15=1,G15&lt;=Config!$B$8),V15,"")</f>
        <v/>
      </c>
      <c r="BH15" s="17">
        <f>IF(AND(BD15=1,G15&lt;=Config!$B$5),V15,"")</f>
        <v/>
      </c>
      <c r="BI15" s="17">
        <f>IF(AND(AN15=1,ISNUMBER(J15)),1,0)</f>
        <v/>
      </c>
      <c r="BJ15" s="17">
        <f>IF(BI15=1,IF(COUNTIFS($A$2:$A$201,$A15,$BI$2:$BI$201,1,$G$2:$G$201,"&lt;"&amp;G15)+COUNTIFS($A$2:$A$201,$A15,$BI$2:$BI$201,1,$G$2:$G$201,G15,$AM$2:$AM$201,"&lt;"&amp;AM15)=0,1,0),0)</f>
        <v/>
      </c>
      <c r="BK15" s="17">
        <f>IF(AND(BJ15=1,G15&lt;=Config!$B$5),J15,"")</f>
        <v/>
      </c>
      <c r="BL15" s="17">
        <f>IF(AND(AN15=1,OR(AND(ISNUMBER(R15),TRIM(S15)=""),AND(ISNUMBER(V15),TRIM(W15)=""))),1,0)</f>
        <v/>
      </c>
      <c r="BM15" s="17">
        <f>IF(AN15=1,AB15&amp;"","")</f>
        <v/>
      </c>
      <c r="BN15" s="17">
        <f>IF(AN15=1,AC15&amp;"","")</f>
        <v/>
      </c>
      <c r="BO15" s="17">
        <f>IF(AN15=1,AD15&amp;"","")</f>
        <v/>
      </c>
      <c r="BP15" s="17">
        <f>IF(AND(AN15=1,ISNUMBER(AI15),G15&lt;=Config!$B$5),AI15,"")</f>
        <v/>
      </c>
      <c r="BQ15" s="17">
        <f>IF(AN15=1,IF(COUNTIFS($A$2:$A$201,$A15,$AF$2:$AF$201,"Y",$AN$2:$AN$201,1)&gt;0,"Y","N"),"")</f>
        <v/>
      </c>
      <c r="BR15" s="17">
        <f>IF(AND(AN15=1,AF15="Y"),IF(COUNTIFS($A$2:$A$201,$A15,$AF$2:$AF$201,"Y",$AN$2:$AN$201,1,$G$2:$G$201,"&lt;"&amp;G15)+COUNTIFS($A$2:$A$201,$A15,$AF$2:$AF$201,"Y",$AN$2:$AN$201,1,$G$2:$G$201,G15,$AM$2:$AM$201,"&lt;"&amp;AM15)=0,1,0),0)</f>
        <v/>
      </c>
      <c r="BS15" s="17">
        <f>IF(AN15=1,IFERROR(MATCH($A15,INDEX(Clay_Brands!$A$2:$FZ$601,0,Sync!$D$5),0),""),"")</f>
        <v/>
      </c>
      <c r="BT15" s="17">
        <f>IF(BS15="","",IFERROR(INDEX(Clay_Brands!$A$2:$FZ$601,BS15,Sync!$D$7)&amp;"",""))</f>
        <v/>
      </c>
      <c r="BU15" s="17">
        <f>IF(BT15="","",IFERROR(INDEX(Lists!$J$2:$J$15,MATCH(BT15,Lists!$I$2:$I$15,0)),""))</f>
        <v/>
      </c>
      <c r="BV15" s="17">
        <f>IF(BS15="","",IFERROR(INDEX(Clay_Brands!$A$2:$FZ$601,BS15,Sync!$D$17)&amp;"",""))</f>
        <v/>
      </c>
      <c r="BW15" s="23">
        <f>IF(BS15="","",IFERROR(N(INDEX(Clay_Brands!$A$2:$FZ$601,BS15,Sync!$D$16)),0))</f>
        <v/>
      </c>
    </row>
    <row r="16">
      <c r="G16" s="22" t="n"/>
      <c r="AL16" s="17">
        <f>IF(TRIM($A16)="","",IF(AND(LEFT($A16,6)="SAMPLE",Config!$B$19&lt;&gt;"Y"),"",IF(NOT(ISNUMBER(G16)),"call_date is blank or not a date",IF(Sync!$D$5="","Clay paste is empty or has no row_id column: paste the Clay export on Clay_Brands",IF(BS16="","row_id not found in the Clay paste: add the Clay row or fix the row_id",IF(AND(ISNUMBER(BU16),BU16&gt;=1,BU16&lt;=5),"Clay status is "&amp;BT16&amp;": set call_done or later",IF(AND(AP16=1,BV16&lt;&gt;BQ16),"Clay yes_in_principle should be "&amp;BQ16,IF(AND(AP16=1,BW16&lt;&gt;G16),"Clay call_date should be "&amp;TEXT(G16,"yyyy-mm-dd"),""))))))))</f>
        <v/>
      </c>
      <c r="AM16" s="17">
        <f>ROW()</f>
        <v/>
      </c>
      <c r="AN16" s="17">
        <f>IF(AND(TRIM($A16)&lt;&gt;"",ISNUMBER(G16)),IF(AND(LEFT($A16,6)="SAMPLE",Config!$B$19&lt;&gt;"Y"),0,1),0)</f>
        <v/>
      </c>
      <c r="AO16" s="17">
        <f>IF(AN16=1,IF(COUNTIFS($A$2:$A$201,$A16,$AN$2:$AN$201,1,$G$2:$G$201,"&lt;"&amp;G16)+COUNTIFS($A$2:$A$201,$A16,$AN$2:$AN$201,1,$G$2:$G$201,G16,$AM$2:$AM$201,"&lt;"&amp;AM16)=0,1,0),0)</f>
        <v/>
      </c>
      <c r="AP16" s="17">
        <f>IF(AN16=1,IF(COUNTIFS($A$2:$A$201,$A16,$AN$2:$AN$201,1,$G$2:$G$201,"&gt;"&amp;G16)+COUNTIFS($A$2:$A$201,$A16,$AN$2:$AN$201,1,$G$2:$G$201,G16,$AM$2:$AM$201,"&gt;"&amp;AM16)=0,1,0),0)</f>
        <v/>
      </c>
      <c r="AQ16" s="17">
        <f>IF(AND(AN16=1,N16="Y",MAX(N(R16),N(V16))&gt;=Config!$B$14),1,0)</f>
        <v/>
      </c>
      <c r="AR16" s="17">
        <f>IF(AQ16=1,IF(COUNTIFS($A$2:$A$201,$A16,$AQ$2:$AQ$201,1,$G$2:$G$201,"&lt;"&amp;G16)+COUNTIFS($A$2:$A$201,$A16,$AQ$2:$AQ$201,1,$G$2:$G$201,G16,$AM$2:$AM$201,"&lt;"&amp;AM16)=0,1,0),0)</f>
        <v/>
      </c>
      <c r="AS16" s="17">
        <f>IF(AND(AN16=1,N16="Y",ISNUMBER(R16)),IF(R16&gt;=Config!$B$14,1,0),0)</f>
        <v/>
      </c>
      <c r="AT16" s="17">
        <f>IF(AS16=1,IF(COUNTIFS($A$2:$A$201,$A16,$AS$2:$AS$201,1,$G$2:$G$201,"&lt;"&amp;G16)+COUNTIFS($A$2:$A$201,$A16,$AS$2:$AS$201,1,$G$2:$G$201,G16,$AM$2:$AM$201,"&lt;"&amp;AM16)=0,1,0),0)</f>
        <v/>
      </c>
      <c r="AU16" s="17">
        <f>IF(AND(AN16=1,N16&lt;&gt;"Y",MAX(N(R16),N(V16))&gt;=Config!$B$14),1,0)</f>
        <v/>
      </c>
      <c r="AV16" s="17">
        <f>IF(AU16=1,IF(COUNTIFS($A$2:$A$201,$A16,$AU$2:$AU$201,1,$G$2:$G$201,"&lt;"&amp;G16)+COUNTIFS($A$2:$A$201,$A16,$AU$2:$AU$201,1,$G$2:$G$201,G16,$AM$2:$AM$201,"&lt;"&amp;AM16)=0,1,0),0)</f>
        <v/>
      </c>
      <c r="AW16" s="17">
        <f>IF(AND(AN16=1,ISNUMBER(R16)),1,0)</f>
        <v/>
      </c>
      <c r="AX16" s="17">
        <f>IF(AW16=1,IF(COUNTIFS($A$2:$A$201,$A16,$AW$2:$AW$201,1,$G$2:$G$201,"&lt;"&amp;G16)+COUNTIFS($A$2:$A$201,$A16,$AW$2:$AW$201,1,$G$2:$G$201,G16,$AM$2:$AM$201,"&lt;"&amp;AM16)=0,1,0),0)</f>
        <v/>
      </c>
      <c r="AY16" s="17">
        <f>IF(AND(AX16=1,G16&lt;=Config!$B$6),R16,"")</f>
        <v/>
      </c>
      <c r="AZ16" s="17">
        <f>IF(AND(AX16=1,G16&lt;=Config!$B$7),R16,"")</f>
        <v/>
      </c>
      <c r="BA16" s="17">
        <f>IF(AND(AX16=1,G16&lt;=Config!$B$8),R16,"")</f>
        <v/>
      </c>
      <c r="BB16" s="17">
        <f>IF(AND(AX16=1,G16&lt;=Config!$B$5),R16,"")</f>
        <v/>
      </c>
      <c r="BC16" s="17">
        <f>IF(AND(AN16=1,ISNUMBER(V16)),1,0)</f>
        <v/>
      </c>
      <c r="BD16" s="17">
        <f>IF(BC16=1,IF(COUNTIFS($A$2:$A$201,$A16,$BC$2:$BC$201,1,$G$2:$G$201,"&lt;"&amp;G16)+COUNTIFS($A$2:$A$201,$A16,$BC$2:$BC$201,1,$G$2:$G$201,G16,$AM$2:$AM$201,"&lt;"&amp;AM16)=0,1,0),0)</f>
        <v/>
      </c>
      <c r="BE16" s="17">
        <f>IF(AND(BD16=1,G16&lt;=Config!$B$6),V16,"")</f>
        <v/>
      </c>
      <c r="BF16" s="17">
        <f>IF(AND(BD16=1,G16&lt;=Config!$B$7),V16,"")</f>
        <v/>
      </c>
      <c r="BG16" s="17">
        <f>IF(AND(BD16=1,G16&lt;=Config!$B$8),V16,"")</f>
        <v/>
      </c>
      <c r="BH16" s="17">
        <f>IF(AND(BD16=1,G16&lt;=Config!$B$5),V16,"")</f>
        <v/>
      </c>
      <c r="BI16" s="17">
        <f>IF(AND(AN16=1,ISNUMBER(J16)),1,0)</f>
        <v/>
      </c>
      <c r="BJ16" s="17">
        <f>IF(BI16=1,IF(COUNTIFS($A$2:$A$201,$A16,$BI$2:$BI$201,1,$G$2:$G$201,"&lt;"&amp;G16)+COUNTIFS($A$2:$A$201,$A16,$BI$2:$BI$201,1,$G$2:$G$201,G16,$AM$2:$AM$201,"&lt;"&amp;AM16)=0,1,0),0)</f>
        <v/>
      </c>
      <c r="BK16" s="17">
        <f>IF(AND(BJ16=1,G16&lt;=Config!$B$5),J16,"")</f>
        <v/>
      </c>
      <c r="BL16" s="17">
        <f>IF(AND(AN16=1,OR(AND(ISNUMBER(R16),TRIM(S16)=""),AND(ISNUMBER(V16),TRIM(W16)=""))),1,0)</f>
        <v/>
      </c>
      <c r="BM16" s="17">
        <f>IF(AN16=1,AB16&amp;"","")</f>
        <v/>
      </c>
      <c r="BN16" s="17">
        <f>IF(AN16=1,AC16&amp;"","")</f>
        <v/>
      </c>
      <c r="BO16" s="17">
        <f>IF(AN16=1,AD16&amp;"","")</f>
        <v/>
      </c>
      <c r="BP16" s="17">
        <f>IF(AND(AN16=1,ISNUMBER(AI16),G16&lt;=Config!$B$5),AI16,"")</f>
        <v/>
      </c>
      <c r="BQ16" s="17">
        <f>IF(AN16=1,IF(COUNTIFS($A$2:$A$201,$A16,$AF$2:$AF$201,"Y",$AN$2:$AN$201,1)&gt;0,"Y","N"),"")</f>
        <v/>
      </c>
      <c r="BR16" s="17">
        <f>IF(AND(AN16=1,AF16="Y"),IF(COUNTIFS($A$2:$A$201,$A16,$AF$2:$AF$201,"Y",$AN$2:$AN$201,1,$G$2:$G$201,"&lt;"&amp;G16)+COUNTIFS($A$2:$A$201,$A16,$AF$2:$AF$201,"Y",$AN$2:$AN$201,1,$G$2:$G$201,G16,$AM$2:$AM$201,"&lt;"&amp;AM16)=0,1,0),0)</f>
        <v/>
      </c>
      <c r="BS16" s="17">
        <f>IF(AN16=1,IFERROR(MATCH($A16,INDEX(Clay_Brands!$A$2:$FZ$601,0,Sync!$D$5),0),""),"")</f>
        <v/>
      </c>
      <c r="BT16" s="17">
        <f>IF(BS16="","",IFERROR(INDEX(Clay_Brands!$A$2:$FZ$601,BS16,Sync!$D$7)&amp;"",""))</f>
        <v/>
      </c>
      <c r="BU16" s="17">
        <f>IF(BT16="","",IFERROR(INDEX(Lists!$J$2:$J$15,MATCH(BT16,Lists!$I$2:$I$15,0)),""))</f>
        <v/>
      </c>
      <c r="BV16" s="17">
        <f>IF(BS16="","",IFERROR(INDEX(Clay_Brands!$A$2:$FZ$601,BS16,Sync!$D$17)&amp;"",""))</f>
        <v/>
      </c>
      <c r="BW16" s="23">
        <f>IF(BS16="","",IFERROR(N(INDEX(Clay_Brands!$A$2:$FZ$601,BS16,Sync!$D$16)),0))</f>
        <v/>
      </c>
    </row>
    <row r="17">
      <c r="G17" s="22" t="n"/>
      <c r="AL17" s="17">
        <f>IF(TRIM($A17)="","",IF(AND(LEFT($A17,6)="SAMPLE",Config!$B$19&lt;&gt;"Y"),"",IF(NOT(ISNUMBER(G17)),"call_date is blank or not a date",IF(Sync!$D$5="","Clay paste is empty or has no row_id column: paste the Clay export on Clay_Brands",IF(BS17="","row_id not found in the Clay paste: add the Clay row or fix the row_id",IF(AND(ISNUMBER(BU17),BU17&gt;=1,BU17&lt;=5),"Clay status is "&amp;BT17&amp;": set call_done or later",IF(AND(AP17=1,BV17&lt;&gt;BQ17),"Clay yes_in_principle should be "&amp;BQ17,IF(AND(AP17=1,BW17&lt;&gt;G17),"Clay call_date should be "&amp;TEXT(G17,"yyyy-mm-dd"),""))))))))</f>
        <v/>
      </c>
      <c r="AM17" s="17">
        <f>ROW()</f>
        <v/>
      </c>
      <c r="AN17" s="17">
        <f>IF(AND(TRIM($A17)&lt;&gt;"",ISNUMBER(G17)),IF(AND(LEFT($A17,6)="SAMPLE",Config!$B$19&lt;&gt;"Y"),0,1),0)</f>
        <v/>
      </c>
      <c r="AO17" s="17">
        <f>IF(AN17=1,IF(COUNTIFS($A$2:$A$201,$A17,$AN$2:$AN$201,1,$G$2:$G$201,"&lt;"&amp;G17)+COUNTIFS($A$2:$A$201,$A17,$AN$2:$AN$201,1,$G$2:$G$201,G17,$AM$2:$AM$201,"&lt;"&amp;AM17)=0,1,0),0)</f>
        <v/>
      </c>
      <c r="AP17" s="17">
        <f>IF(AN17=1,IF(COUNTIFS($A$2:$A$201,$A17,$AN$2:$AN$201,1,$G$2:$G$201,"&gt;"&amp;G17)+COUNTIFS($A$2:$A$201,$A17,$AN$2:$AN$201,1,$G$2:$G$201,G17,$AM$2:$AM$201,"&gt;"&amp;AM17)=0,1,0),0)</f>
        <v/>
      </c>
      <c r="AQ17" s="17">
        <f>IF(AND(AN17=1,N17="Y",MAX(N(R17),N(V17))&gt;=Config!$B$14),1,0)</f>
        <v/>
      </c>
      <c r="AR17" s="17">
        <f>IF(AQ17=1,IF(COUNTIFS($A$2:$A$201,$A17,$AQ$2:$AQ$201,1,$G$2:$G$201,"&lt;"&amp;G17)+COUNTIFS($A$2:$A$201,$A17,$AQ$2:$AQ$201,1,$G$2:$G$201,G17,$AM$2:$AM$201,"&lt;"&amp;AM17)=0,1,0),0)</f>
        <v/>
      </c>
      <c r="AS17" s="17">
        <f>IF(AND(AN17=1,N17="Y",ISNUMBER(R17)),IF(R17&gt;=Config!$B$14,1,0),0)</f>
        <v/>
      </c>
      <c r="AT17" s="17">
        <f>IF(AS17=1,IF(COUNTIFS($A$2:$A$201,$A17,$AS$2:$AS$201,1,$G$2:$G$201,"&lt;"&amp;G17)+COUNTIFS($A$2:$A$201,$A17,$AS$2:$AS$201,1,$G$2:$G$201,G17,$AM$2:$AM$201,"&lt;"&amp;AM17)=0,1,0),0)</f>
        <v/>
      </c>
      <c r="AU17" s="17">
        <f>IF(AND(AN17=1,N17&lt;&gt;"Y",MAX(N(R17),N(V17))&gt;=Config!$B$14),1,0)</f>
        <v/>
      </c>
      <c r="AV17" s="17">
        <f>IF(AU17=1,IF(COUNTIFS($A$2:$A$201,$A17,$AU$2:$AU$201,1,$G$2:$G$201,"&lt;"&amp;G17)+COUNTIFS($A$2:$A$201,$A17,$AU$2:$AU$201,1,$G$2:$G$201,G17,$AM$2:$AM$201,"&lt;"&amp;AM17)=0,1,0),0)</f>
        <v/>
      </c>
      <c r="AW17" s="17">
        <f>IF(AND(AN17=1,ISNUMBER(R17)),1,0)</f>
        <v/>
      </c>
      <c r="AX17" s="17">
        <f>IF(AW17=1,IF(COUNTIFS($A$2:$A$201,$A17,$AW$2:$AW$201,1,$G$2:$G$201,"&lt;"&amp;G17)+COUNTIFS($A$2:$A$201,$A17,$AW$2:$AW$201,1,$G$2:$G$201,G17,$AM$2:$AM$201,"&lt;"&amp;AM17)=0,1,0),0)</f>
        <v/>
      </c>
      <c r="AY17" s="17">
        <f>IF(AND(AX17=1,G17&lt;=Config!$B$6),R17,"")</f>
        <v/>
      </c>
      <c r="AZ17" s="17">
        <f>IF(AND(AX17=1,G17&lt;=Config!$B$7),R17,"")</f>
        <v/>
      </c>
      <c r="BA17" s="17">
        <f>IF(AND(AX17=1,G17&lt;=Config!$B$8),R17,"")</f>
        <v/>
      </c>
      <c r="BB17" s="17">
        <f>IF(AND(AX17=1,G17&lt;=Config!$B$5),R17,"")</f>
        <v/>
      </c>
      <c r="BC17" s="17">
        <f>IF(AND(AN17=1,ISNUMBER(V17)),1,0)</f>
        <v/>
      </c>
      <c r="BD17" s="17">
        <f>IF(BC17=1,IF(COUNTIFS($A$2:$A$201,$A17,$BC$2:$BC$201,1,$G$2:$G$201,"&lt;"&amp;G17)+COUNTIFS($A$2:$A$201,$A17,$BC$2:$BC$201,1,$G$2:$G$201,G17,$AM$2:$AM$201,"&lt;"&amp;AM17)=0,1,0),0)</f>
        <v/>
      </c>
      <c r="BE17" s="17">
        <f>IF(AND(BD17=1,G17&lt;=Config!$B$6),V17,"")</f>
        <v/>
      </c>
      <c r="BF17" s="17">
        <f>IF(AND(BD17=1,G17&lt;=Config!$B$7),V17,"")</f>
        <v/>
      </c>
      <c r="BG17" s="17">
        <f>IF(AND(BD17=1,G17&lt;=Config!$B$8),V17,"")</f>
        <v/>
      </c>
      <c r="BH17" s="17">
        <f>IF(AND(BD17=1,G17&lt;=Config!$B$5),V17,"")</f>
        <v/>
      </c>
      <c r="BI17" s="17">
        <f>IF(AND(AN17=1,ISNUMBER(J17)),1,0)</f>
        <v/>
      </c>
      <c r="BJ17" s="17">
        <f>IF(BI17=1,IF(COUNTIFS($A$2:$A$201,$A17,$BI$2:$BI$201,1,$G$2:$G$201,"&lt;"&amp;G17)+COUNTIFS($A$2:$A$201,$A17,$BI$2:$BI$201,1,$G$2:$G$201,G17,$AM$2:$AM$201,"&lt;"&amp;AM17)=0,1,0),0)</f>
        <v/>
      </c>
      <c r="BK17" s="17">
        <f>IF(AND(BJ17=1,G17&lt;=Config!$B$5),J17,"")</f>
        <v/>
      </c>
      <c r="BL17" s="17">
        <f>IF(AND(AN17=1,OR(AND(ISNUMBER(R17),TRIM(S17)=""),AND(ISNUMBER(V17),TRIM(W17)=""))),1,0)</f>
        <v/>
      </c>
      <c r="BM17" s="17">
        <f>IF(AN17=1,AB17&amp;"","")</f>
        <v/>
      </c>
      <c r="BN17" s="17">
        <f>IF(AN17=1,AC17&amp;"","")</f>
        <v/>
      </c>
      <c r="BO17" s="17">
        <f>IF(AN17=1,AD17&amp;"","")</f>
        <v/>
      </c>
      <c r="BP17" s="17">
        <f>IF(AND(AN17=1,ISNUMBER(AI17),G17&lt;=Config!$B$5),AI17,"")</f>
        <v/>
      </c>
      <c r="BQ17" s="17">
        <f>IF(AN17=1,IF(COUNTIFS($A$2:$A$201,$A17,$AF$2:$AF$201,"Y",$AN$2:$AN$201,1)&gt;0,"Y","N"),"")</f>
        <v/>
      </c>
      <c r="BR17" s="17">
        <f>IF(AND(AN17=1,AF17="Y"),IF(COUNTIFS($A$2:$A$201,$A17,$AF$2:$AF$201,"Y",$AN$2:$AN$201,1,$G$2:$G$201,"&lt;"&amp;G17)+COUNTIFS($A$2:$A$201,$A17,$AF$2:$AF$201,"Y",$AN$2:$AN$201,1,$G$2:$G$201,G17,$AM$2:$AM$201,"&lt;"&amp;AM17)=0,1,0),0)</f>
        <v/>
      </c>
      <c r="BS17" s="17">
        <f>IF(AN17=1,IFERROR(MATCH($A17,INDEX(Clay_Brands!$A$2:$FZ$601,0,Sync!$D$5),0),""),"")</f>
        <v/>
      </c>
      <c r="BT17" s="17">
        <f>IF(BS17="","",IFERROR(INDEX(Clay_Brands!$A$2:$FZ$601,BS17,Sync!$D$7)&amp;"",""))</f>
        <v/>
      </c>
      <c r="BU17" s="17">
        <f>IF(BT17="","",IFERROR(INDEX(Lists!$J$2:$J$15,MATCH(BT17,Lists!$I$2:$I$15,0)),""))</f>
        <v/>
      </c>
      <c r="BV17" s="17">
        <f>IF(BS17="","",IFERROR(INDEX(Clay_Brands!$A$2:$FZ$601,BS17,Sync!$D$17)&amp;"",""))</f>
        <v/>
      </c>
      <c r="BW17" s="23">
        <f>IF(BS17="","",IFERROR(N(INDEX(Clay_Brands!$A$2:$FZ$601,BS17,Sync!$D$16)),0))</f>
        <v/>
      </c>
    </row>
    <row r="18">
      <c r="G18" s="22" t="n"/>
      <c r="AL18" s="17">
        <f>IF(TRIM($A18)="","",IF(AND(LEFT($A18,6)="SAMPLE",Config!$B$19&lt;&gt;"Y"),"",IF(NOT(ISNUMBER(G18)),"call_date is blank or not a date",IF(Sync!$D$5="","Clay paste is empty or has no row_id column: paste the Clay export on Clay_Brands",IF(BS18="","row_id not found in the Clay paste: add the Clay row or fix the row_id",IF(AND(ISNUMBER(BU18),BU18&gt;=1,BU18&lt;=5),"Clay status is "&amp;BT18&amp;": set call_done or later",IF(AND(AP18=1,BV18&lt;&gt;BQ18),"Clay yes_in_principle should be "&amp;BQ18,IF(AND(AP18=1,BW18&lt;&gt;G18),"Clay call_date should be "&amp;TEXT(G18,"yyyy-mm-dd"),""))))))))</f>
        <v/>
      </c>
      <c r="AM18" s="17">
        <f>ROW()</f>
        <v/>
      </c>
      <c r="AN18" s="17">
        <f>IF(AND(TRIM($A18)&lt;&gt;"",ISNUMBER(G18)),IF(AND(LEFT($A18,6)="SAMPLE",Config!$B$19&lt;&gt;"Y"),0,1),0)</f>
        <v/>
      </c>
      <c r="AO18" s="17">
        <f>IF(AN18=1,IF(COUNTIFS($A$2:$A$201,$A18,$AN$2:$AN$201,1,$G$2:$G$201,"&lt;"&amp;G18)+COUNTIFS($A$2:$A$201,$A18,$AN$2:$AN$201,1,$G$2:$G$201,G18,$AM$2:$AM$201,"&lt;"&amp;AM18)=0,1,0),0)</f>
        <v/>
      </c>
      <c r="AP18" s="17">
        <f>IF(AN18=1,IF(COUNTIFS($A$2:$A$201,$A18,$AN$2:$AN$201,1,$G$2:$G$201,"&gt;"&amp;G18)+COUNTIFS($A$2:$A$201,$A18,$AN$2:$AN$201,1,$G$2:$G$201,G18,$AM$2:$AM$201,"&gt;"&amp;AM18)=0,1,0),0)</f>
        <v/>
      </c>
      <c r="AQ18" s="17">
        <f>IF(AND(AN18=1,N18="Y",MAX(N(R18),N(V18))&gt;=Config!$B$14),1,0)</f>
        <v/>
      </c>
      <c r="AR18" s="17">
        <f>IF(AQ18=1,IF(COUNTIFS($A$2:$A$201,$A18,$AQ$2:$AQ$201,1,$G$2:$G$201,"&lt;"&amp;G18)+COUNTIFS($A$2:$A$201,$A18,$AQ$2:$AQ$201,1,$G$2:$G$201,G18,$AM$2:$AM$201,"&lt;"&amp;AM18)=0,1,0),0)</f>
        <v/>
      </c>
      <c r="AS18" s="17">
        <f>IF(AND(AN18=1,N18="Y",ISNUMBER(R18)),IF(R18&gt;=Config!$B$14,1,0),0)</f>
        <v/>
      </c>
      <c r="AT18" s="17">
        <f>IF(AS18=1,IF(COUNTIFS($A$2:$A$201,$A18,$AS$2:$AS$201,1,$G$2:$G$201,"&lt;"&amp;G18)+COUNTIFS($A$2:$A$201,$A18,$AS$2:$AS$201,1,$G$2:$G$201,G18,$AM$2:$AM$201,"&lt;"&amp;AM18)=0,1,0),0)</f>
        <v/>
      </c>
      <c r="AU18" s="17">
        <f>IF(AND(AN18=1,N18&lt;&gt;"Y",MAX(N(R18),N(V18))&gt;=Config!$B$14),1,0)</f>
        <v/>
      </c>
      <c r="AV18" s="17">
        <f>IF(AU18=1,IF(COUNTIFS($A$2:$A$201,$A18,$AU$2:$AU$201,1,$G$2:$G$201,"&lt;"&amp;G18)+COUNTIFS($A$2:$A$201,$A18,$AU$2:$AU$201,1,$G$2:$G$201,G18,$AM$2:$AM$201,"&lt;"&amp;AM18)=0,1,0),0)</f>
        <v/>
      </c>
      <c r="AW18" s="17">
        <f>IF(AND(AN18=1,ISNUMBER(R18)),1,0)</f>
        <v/>
      </c>
      <c r="AX18" s="17">
        <f>IF(AW18=1,IF(COUNTIFS($A$2:$A$201,$A18,$AW$2:$AW$201,1,$G$2:$G$201,"&lt;"&amp;G18)+COUNTIFS($A$2:$A$201,$A18,$AW$2:$AW$201,1,$G$2:$G$201,G18,$AM$2:$AM$201,"&lt;"&amp;AM18)=0,1,0),0)</f>
        <v/>
      </c>
      <c r="AY18" s="17">
        <f>IF(AND(AX18=1,G18&lt;=Config!$B$6),R18,"")</f>
        <v/>
      </c>
      <c r="AZ18" s="17">
        <f>IF(AND(AX18=1,G18&lt;=Config!$B$7),R18,"")</f>
        <v/>
      </c>
      <c r="BA18" s="17">
        <f>IF(AND(AX18=1,G18&lt;=Config!$B$8),R18,"")</f>
        <v/>
      </c>
      <c r="BB18" s="17">
        <f>IF(AND(AX18=1,G18&lt;=Config!$B$5),R18,"")</f>
        <v/>
      </c>
      <c r="BC18" s="17">
        <f>IF(AND(AN18=1,ISNUMBER(V18)),1,0)</f>
        <v/>
      </c>
      <c r="BD18" s="17">
        <f>IF(BC18=1,IF(COUNTIFS($A$2:$A$201,$A18,$BC$2:$BC$201,1,$G$2:$G$201,"&lt;"&amp;G18)+COUNTIFS($A$2:$A$201,$A18,$BC$2:$BC$201,1,$G$2:$G$201,G18,$AM$2:$AM$201,"&lt;"&amp;AM18)=0,1,0),0)</f>
        <v/>
      </c>
      <c r="BE18" s="17">
        <f>IF(AND(BD18=1,G18&lt;=Config!$B$6),V18,"")</f>
        <v/>
      </c>
      <c r="BF18" s="17">
        <f>IF(AND(BD18=1,G18&lt;=Config!$B$7),V18,"")</f>
        <v/>
      </c>
      <c r="BG18" s="17">
        <f>IF(AND(BD18=1,G18&lt;=Config!$B$8),V18,"")</f>
        <v/>
      </c>
      <c r="BH18" s="17">
        <f>IF(AND(BD18=1,G18&lt;=Config!$B$5),V18,"")</f>
        <v/>
      </c>
      <c r="BI18" s="17">
        <f>IF(AND(AN18=1,ISNUMBER(J18)),1,0)</f>
        <v/>
      </c>
      <c r="BJ18" s="17">
        <f>IF(BI18=1,IF(COUNTIFS($A$2:$A$201,$A18,$BI$2:$BI$201,1,$G$2:$G$201,"&lt;"&amp;G18)+COUNTIFS($A$2:$A$201,$A18,$BI$2:$BI$201,1,$G$2:$G$201,G18,$AM$2:$AM$201,"&lt;"&amp;AM18)=0,1,0),0)</f>
        <v/>
      </c>
      <c r="BK18" s="17">
        <f>IF(AND(BJ18=1,G18&lt;=Config!$B$5),J18,"")</f>
        <v/>
      </c>
      <c r="BL18" s="17">
        <f>IF(AND(AN18=1,OR(AND(ISNUMBER(R18),TRIM(S18)=""),AND(ISNUMBER(V18),TRIM(W18)=""))),1,0)</f>
        <v/>
      </c>
      <c r="BM18" s="17">
        <f>IF(AN18=1,AB18&amp;"","")</f>
        <v/>
      </c>
      <c r="BN18" s="17">
        <f>IF(AN18=1,AC18&amp;"","")</f>
        <v/>
      </c>
      <c r="BO18" s="17">
        <f>IF(AN18=1,AD18&amp;"","")</f>
        <v/>
      </c>
      <c r="BP18" s="17">
        <f>IF(AND(AN18=1,ISNUMBER(AI18),G18&lt;=Config!$B$5),AI18,"")</f>
        <v/>
      </c>
      <c r="BQ18" s="17">
        <f>IF(AN18=1,IF(COUNTIFS($A$2:$A$201,$A18,$AF$2:$AF$201,"Y",$AN$2:$AN$201,1)&gt;0,"Y","N"),"")</f>
        <v/>
      </c>
      <c r="BR18" s="17">
        <f>IF(AND(AN18=1,AF18="Y"),IF(COUNTIFS($A$2:$A$201,$A18,$AF$2:$AF$201,"Y",$AN$2:$AN$201,1,$G$2:$G$201,"&lt;"&amp;G18)+COUNTIFS($A$2:$A$201,$A18,$AF$2:$AF$201,"Y",$AN$2:$AN$201,1,$G$2:$G$201,G18,$AM$2:$AM$201,"&lt;"&amp;AM18)=0,1,0),0)</f>
        <v/>
      </c>
      <c r="BS18" s="17">
        <f>IF(AN18=1,IFERROR(MATCH($A18,INDEX(Clay_Brands!$A$2:$FZ$601,0,Sync!$D$5),0),""),"")</f>
        <v/>
      </c>
      <c r="BT18" s="17">
        <f>IF(BS18="","",IFERROR(INDEX(Clay_Brands!$A$2:$FZ$601,BS18,Sync!$D$7)&amp;"",""))</f>
        <v/>
      </c>
      <c r="BU18" s="17">
        <f>IF(BT18="","",IFERROR(INDEX(Lists!$J$2:$J$15,MATCH(BT18,Lists!$I$2:$I$15,0)),""))</f>
        <v/>
      </c>
      <c r="BV18" s="17">
        <f>IF(BS18="","",IFERROR(INDEX(Clay_Brands!$A$2:$FZ$601,BS18,Sync!$D$17)&amp;"",""))</f>
        <v/>
      </c>
      <c r="BW18" s="23">
        <f>IF(BS18="","",IFERROR(N(INDEX(Clay_Brands!$A$2:$FZ$601,BS18,Sync!$D$16)),0))</f>
        <v/>
      </c>
    </row>
    <row r="19">
      <c r="G19" s="22" t="n"/>
      <c r="AL19" s="17">
        <f>IF(TRIM($A19)="","",IF(AND(LEFT($A19,6)="SAMPLE",Config!$B$19&lt;&gt;"Y"),"",IF(NOT(ISNUMBER(G19)),"call_date is blank or not a date",IF(Sync!$D$5="","Clay paste is empty or has no row_id column: paste the Clay export on Clay_Brands",IF(BS19="","row_id not found in the Clay paste: add the Clay row or fix the row_id",IF(AND(ISNUMBER(BU19),BU19&gt;=1,BU19&lt;=5),"Clay status is "&amp;BT19&amp;": set call_done or later",IF(AND(AP19=1,BV19&lt;&gt;BQ19),"Clay yes_in_principle should be "&amp;BQ19,IF(AND(AP19=1,BW19&lt;&gt;G19),"Clay call_date should be "&amp;TEXT(G19,"yyyy-mm-dd"),""))))))))</f>
        <v/>
      </c>
      <c r="AM19" s="17">
        <f>ROW()</f>
        <v/>
      </c>
      <c r="AN19" s="17">
        <f>IF(AND(TRIM($A19)&lt;&gt;"",ISNUMBER(G19)),IF(AND(LEFT($A19,6)="SAMPLE",Config!$B$19&lt;&gt;"Y"),0,1),0)</f>
        <v/>
      </c>
      <c r="AO19" s="17">
        <f>IF(AN19=1,IF(COUNTIFS($A$2:$A$201,$A19,$AN$2:$AN$201,1,$G$2:$G$201,"&lt;"&amp;G19)+COUNTIFS($A$2:$A$201,$A19,$AN$2:$AN$201,1,$G$2:$G$201,G19,$AM$2:$AM$201,"&lt;"&amp;AM19)=0,1,0),0)</f>
        <v/>
      </c>
      <c r="AP19" s="17">
        <f>IF(AN19=1,IF(COUNTIFS($A$2:$A$201,$A19,$AN$2:$AN$201,1,$G$2:$G$201,"&gt;"&amp;G19)+COUNTIFS($A$2:$A$201,$A19,$AN$2:$AN$201,1,$G$2:$G$201,G19,$AM$2:$AM$201,"&gt;"&amp;AM19)=0,1,0),0)</f>
        <v/>
      </c>
      <c r="AQ19" s="17">
        <f>IF(AND(AN19=1,N19="Y",MAX(N(R19),N(V19))&gt;=Config!$B$14),1,0)</f>
        <v/>
      </c>
      <c r="AR19" s="17">
        <f>IF(AQ19=1,IF(COUNTIFS($A$2:$A$201,$A19,$AQ$2:$AQ$201,1,$G$2:$G$201,"&lt;"&amp;G19)+COUNTIFS($A$2:$A$201,$A19,$AQ$2:$AQ$201,1,$G$2:$G$201,G19,$AM$2:$AM$201,"&lt;"&amp;AM19)=0,1,0),0)</f>
        <v/>
      </c>
      <c r="AS19" s="17">
        <f>IF(AND(AN19=1,N19="Y",ISNUMBER(R19)),IF(R19&gt;=Config!$B$14,1,0),0)</f>
        <v/>
      </c>
      <c r="AT19" s="17">
        <f>IF(AS19=1,IF(COUNTIFS($A$2:$A$201,$A19,$AS$2:$AS$201,1,$G$2:$G$201,"&lt;"&amp;G19)+COUNTIFS($A$2:$A$201,$A19,$AS$2:$AS$201,1,$G$2:$G$201,G19,$AM$2:$AM$201,"&lt;"&amp;AM19)=0,1,0),0)</f>
        <v/>
      </c>
      <c r="AU19" s="17">
        <f>IF(AND(AN19=1,N19&lt;&gt;"Y",MAX(N(R19),N(V19))&gt;=Config!$B$14),1,0)</f>
        <v/>
      </c>
      <c r="AV19" s="17">
        <f>IF(AU19=1,IF(COUNTIFS($A$2:$A$201,$A19,$AU$2:$AU$201,1,$G$2:$G$201,"&lt;"&amp;G19)+COUNTIFS($A$2:$A$201,$A19,$AU$2:$AU$201,1,$G$2:$G$201,G19,$AM$2:$AM$201,"&lt;"&amp;AM19)=0,1,0),0)</f>
        <v/>
      </c>
      <c r="AW19" s="17">
        <f>IF(AND(AN19=1,ISNUMBER(R19)),1,0)</f>
        <v/>
      </c>
      <c r="AX19" s="17">
        <f>IF(AW19=1,IF(COUNTIFS($A$2:$A$201,$A19,$AW$2:$AW$201,1,$G$2:$G$201,"&lt;"&amp;G19)+COUNTIFS($A$2:$A$201,$A19,$AW$2:$AW$201,1,$G$2:$G$201,G19,$AM$2:$AM$201,"&lt;"&amp;AM19)=0,1,0),0)</f>
        <v/>
      </c>
      <c r="AY19" s="17">
        <f>IF(AND(AX19=1,G19&lt;=Config!$B$6),R19,"")</f>
        <v/>
      </c>
      <c r="AZ19" s="17">
        <f>IF(AND(AX19=1,G19&lt;=Config!$B$7),R19,"")</f>
        <v/>
      </c>
      <c r="BA19" s="17">
        <f>IF(AND(AX19=1,G19&lt;=Config!$B$8),R19,"")</f>
        <v/>
      </c>
      <c r="BB19" s="17">
        <f>IF(AND(AX19=1,G19&lt;=Config!$B$5),R19,"")</f>
        <v/>
      </c>
      <c r="BC19" s="17">
        <f>IF(AND(AN19=1,ISNUMBER(V19)),1,0)</f>
        <v/>
      </c>
      <c r="BD19" s="17">
        <f>IF(BC19=1,IF(COUNTIFS($A$2:$A$201,$A19,$BC$2:$BC$201,1,$G$2:$G$201,"&lt;"&amp;G19)+COUNTIFS($A$2:$A$201,$A19,$BC$2:$BC$201,1,$G$2:$G$201,G19,$AM$2:$AM$201,"&lt;"&amp;AM19)=0,1,0),0)</f>
        <v/>
      </c>
      <c r="BE19" s="17">
        <f>IF(AND(BD19=1,G19&lt;=Config!$B$6),V19,"")</f>
        <v/>
      </c>
      <c r="BF19" s="17">
        <f>IF(AND(BD19=1,G19&lt;=Config!$B$7),V19,"")</f>
        <v/>
      </c>
      <c r="BG19" s="17">
        <f>IF(AND(BD19=1,G19&lt;=Config!$B$8),V19,"")</f>
        <v/>
      </c>
      <c r="BH19" s="17">
        <f>IF(AND(BD19=1,G19&lt;=Config!$B$5),V19,"")</f>
        <v/>
      </c>
      <c r="BI19" s="17">
        <f>IF(AND(AN19=1,ISNUMBER(J19)),1,0)</f>
        <v/>
      </c>
      <c r="BJ19" s="17">
        <f>IF(BI19=1,IF(COUNTIFS($A$2:$A$201,$A19,$BI$2:$BI$201,1,$G$2:$G$201,"&lt;"&amp;G19)+COUNTIFS($A$2:$A$201,$A19,$BI$2:$BI$201,1,$G$2:$G$201,G19,$AM$2:$AM$201,"&lt;"&amp;AM19)=0,1,0),0)</f>
        <v/>
      </c>
      <c r="BK19" s="17">
        <f>IF(AND(BJ19=1,G19&lt;=Config!$B$5),J19,"")</f>
        <v/>
      </c>
      <c r="BL19" s="17">
        <f>IF(AND(AN19=1,OR(AND(ISNUMBER(R19),TRIM(S19)=""),AND(ISNUMBER(V19),TRIM(W19)=""))),1,0)</f>
        <v/>
      </c>
      <c r="BM19" s="17">
        <f>IF(AN19=1,AB19&amp;"","")</f>
        <v/>
      </c>
      <c r="BN19" s="17">
        <f>IF(AN19=1,AC19&amp;"","")</f>
        <v/>
      </c>
      <c r="BO19" s="17">
        <f>IF(AN19=1,AD19&amp;"","")</f>
        <v/>
      </c>
      <c r="BP19" s="17">
        <f>IF(AND(AN19=1,ISNUMBER(AI19),G19&lt;=Config!$B$5),AI19,"")</f>
        <v/>
      </c>
      <c r="BQ19" s="17">
        <f>IF(AN19=1,IF(COUNTIFS($A$2:$A$201,$A19,$AF$2:$AF$201,"Y",$AN$2:$AN$201,1)&gt;0,"Y","N"),"")</f>
        <v/>
      </c>
      <c r="BR19" s="17">
        <f>IF(AND(AN19=1,AF19="Y"),IF(COUNTIFS($A$2:$A$201,$A19,$AF$2:$AF$201,"Y",$AN$2:$AN$201,1,$G$2:$G$201,"&lt;"&amp;G19)+COUNTIFS($A$2:$A$201,$A19,$AF$2:$AF$201,"Y",$AN$2:$AN$201,1,$G$2:$G$201,G19,$AM$2:$AM$201,"&lt;"&amp;AM19)=0,1,0),0)</f>
        <v/>
      </c>
      <c r="BS19" s="17">
        <f>IF(AN19=1,IFERROR(MATCH($A19,INDEX(Clay_Brands!$A$2:$FZ$601,0,Sync!$D$5),0),""),"")</f>
        <v/>
      </c>
      <c r="BT19" s="17">
        <f>IF(BS19="","",IFERROR(INDEX(Clay_Brands!$A$2:$FZ$601,BS19,Sync!$D$7)&amp;"",""))</f>
        <v/>
      </c>
      <c r="BU19" s="17">
        <f>IF(BT19="","",IFERROR(INDEX(Lists!$J$2:$J$15,MATCH(BT19,Lists!$I$2:$I$15,0)),""))</f>
        <v/>
      </c>
      <c r="BV19" s="17">
        <f>IF(BS19="","",IFERROR(INDEX(Clay_Brands!$A$2:$FZ$601,BS19,Sync!$D$17)&amp;"",""))</f>
        <v/>
      </c>
      <c r="BW19" s="23">
        <f>IF(BS19="","",IFERROR(N(INDEX(Clay_Brands!$A$2:$FZ$601,BS19,Sync!$D$16)),0))</f>
        <v/>
      </c>
    </row>
    <row r="20">
      <c r="G20" s="22" t="n"/>
      <c r="AL20" s="17">
        <f>IF(TRIM($A20)="","",IF(AND(LEFT($A20,6)="SAMPLE",Config!$B$19&lt;&gt;"Y"),"",IF(NOT(ISNUMBER(G20)),"call_date is blank or not a date",IF(Sync!$D$5="","Clay paste is empty or has no row_id column: paste the Clay export on Clay_Brands",IF(BS20="","row_id not found in the Clay paste: add the Clay row or fix the row_id",IF(AND(ISNUMBER(BU20),BU20&gt;=1,BU20&lt;=5),"Clay status is "&amp;BT20&amp;": set call_done or later",IF(AND(AP20=1,BV20&lt;&gt;BQ20),"Clay yes_in_principle should be "&amp;BQ20,IF(AND(AP20=1,BW20&lt;&gt;G20),"Clay call_date should be "&amp;TEXT(G20,"yyyy-mm-dd"),""))))))))</f>
        <v/>
      </c>
      <c r="AM20" s="17">
        <f>ROW()</f>
        <v/>
      </c>
      <c r="AN20" s="17">
        <f>IF(AND(TRIM($A20)&lt;&gt;"",ISNUMBER(G20)),IF(AND(LEFT($A20,6)="SAMPLE",Config!$B$19&lt;&gt;"Y"),0,1),0)</f>
        <v/>
      </c>
      <c r="AO20" s="17">
        <f>IF(AN20=1,IF(COUNTIFS($A$2:$A$201,$A20,$AN$2:$AN$201,1,$G$2:$G$201,"&lt;"&amp;G20)+COUNTIFS($A$2:$A$201,$A20,$AN$2:$AN$201,1,$G$2:$G$201,G20,$AM$2:$AM$201,"&lt;"&amp;AM20)=0,1,0),0)</f>
        <v/>
      </c>
      <c r="AP20" s="17">
        <f>IF(AN20=1,IF(COUNTIFS($A$2:$A$201,$A20,$AN$2:$AN$201,1,$G$2:$G$201,"&gt;"&amp;G20)+COUNTIFS($A$2:$A$201,$A20,$AN$2:$AN$201,1,$G$2:$G$201,G20,$AM$2:$AM$201,"&gt;"&amp;AM20)=0,1,0),0)</f>
        <v/>
      </c>
      <c r="AQ20" s="17">
        <f>IF(AND(AN20=1,N20="Y",MAX(N(R20),N(V20))&gt;=Config!$B$14),1,0)</f>
        <v/>
      </c>
      <c r="AR20" s="17">
        <f>IF(AQ20=1,IF(COUNTIFS($A$2:$A$201,$A20,$AQ$2:$AQ$201,1,$G$2:$G$201,"&lt;"&amp;G20)+COUNTIFS($A$2:$A$201,$A20,$AQ$2:$AQ$201,1,$G$2:$G$201,G20,$AM$2:$AM$201,"&lt;"&amp;AM20)=0,1,0),0)</f>
        <v/>
      </c>
      <c r="AS20" s="17">
        <f>IF(AND(AN20=1,N20="Y",ISNUMBER(R20)),IF(R20&gt;=Config!$B$14,1,0),0)</f>
        <v/>
      </c>
      <c r="AT20" s="17">
        <f>IF(AS20=1,IF(COUNTIFS($A$2:$A$201,$A20,$AS$2:$AS$201,1,$G$2:$G$201,"&lt;"&amp;G20)+COUNTIFS($A$2:$A$201,$A20,$AS$2:$AS$201,1,$G$2:$G$201,G20,$AM$2:$AM$201,"&lt;"&amp;AM20)=0,1,0),0)</f>
        <v/>
      </c>
      <c r="AU20" s="17">
        <f>IF(AND(AN20=1,N20&lt;&gt;"Y",MAX(N(R20),N(V20))&gt;=Config!$B$14),1,0)</f>
        <v/>
      </c>
      <c r="AV20" s="17">
        <f>IF(AU20=1,IF(COUNTIFS($A$2:$A$201,$A20,$AU$2:$AU$201,1,$G$2:$G$201,"&lt;"&amp;G20)+COUNTIFS($A$2:$A$201,$A20,$AU$2:$AU$201,1,$G$2:$G$201,G20,$AM$2:$AM$201,"&lt;"&amp;AM20)=0,1,0),0)</f>
        <v/>
      </c>
      <c r="AW20" s="17">
        <f>IF(AND(AN20=1,ISNUMBER(R20)),1,0)</f>
        <v/>
      </c>
      <c r="AX20" s="17">
        <f>IF(AW20=1,IF(COUNTIFS($A$2:$A$201,$A20,$AW$2:$AW$201,1,$G$2:$G$201,"&lt;"&amp;G20)+COUNTIFS($A$2:$A$201,$A20,$AW$2:$AW$201,1,$G$2:$G$201,G20,$AM$2:$AM$201,"&lt;"&amp;AM20)=0,1,0),0)</f>
        <v/>
      </c>
      <c r="AY20" s="17">
        <f>IF(AND(AX20=1,G20&lt;=Config!$B$6),R20,"")</f>
        <v/>
      </c>
      <c r="AZ20" s="17">
        <f>IF(AND(AX20=1,G20&lt;=Config!$B$7),R20,"")</f>
        <v/>
      </c>
      <c r="BA20" s="17">
        <f>IF(AND(AX20=1,G20&lt;=Config!$B$8),R20,"")</f>
        <v/>
      </c>
      <c r="BB20" s="17">
        <f>IF(AND(AX20=1,G20&lt;=Config!$B$5),R20,"")</f>
        <v/>
      </c>
      <c r="BC20" s="17">
        <f>IF(AND(AN20=1,ISNUMBER(V20)),1,0)</f>
        <v/>
      </c>
      <c r="BD20" s="17">
        <f>IF(BC20=1,IF(COUNTIFS($A$2:$A$201,$A20,$BC$2:$BC$201,1,$G$2:$G$201,"&lt;"&amp;G20)+COUNTIFS($A$2:$A$201,$A20,$BC$2:$BC$201,1,$G$2:$G$201,G20,$AM$2:$AM$201,"&lt;"&amp;AM20)=0,1,0),0)</f>
        <v/>
      </c>
      <c r="BE20" s="17">
        <f>IF(AND(BD20=1,G20&lt;=Config!$B$6),V20,"")</f>
        <v/>
      </c>
      <c r="BF20" s="17">
        <f>IF(AND(BD20=1,G20&lt;=Config!$B$7),V20,"")</f>
        <v/>
      </c>
      <c r="BG20" s="17">
        <f>IF(AND(BD20=1,G20&lt;=Config!$B$8),V20,"")</f>
        <v/>
      </c>
      <c r="BH20" s="17">
        <f>IF(AND(BD20=1,G20&lt;=Config!$B$5),V20,"")</f>
        <v/>
      </c>
      <c r="BI20" s="17">
        <f>IF(AND(AN20=1,ISNUMBER(J20)),1,0)</f>
        <v/>
      </c>
      <c r="BJ20" s="17">
        <f>IF(BI20=1,IF(COUNTIFS($A$2:$A$201,$A20,$BI$2:$BI$201,1,$G$2:$G$201,"&lt;"&amp;G20)+COUNTIFS($A$2:$A$201,$A20,$BI$2:$BI$201,1,$G$2:$G$201,G20,$AM$2:$AM$201,"&lt;"&amp;AM20)=0,1,0),0)</f>
        <v/>
      </c>
      <c r="BK20" s="17">
        <f>IF(AND(BJ20=1,G20&lt;=Config!$B$5),J20,"")</f>
        <v/>
      </c>
      <c r="BL20" s="17">
        <f>IF(AND(AN20=1,OR(AND(ISNUMBER(R20),TRIM(S20)=""),AND(ISNUMBER(V20),TRIM(W20)=""))),1,0)</f>
        <v/>
      </c>
      <c r="BM20" s="17">
        <f>IF(AN20=1,AB20&amp;"","")</f>
        <v/>
      </c>
      <c r="BN20" s="17">
        <f>IF(AN20=1,AC20&amp;"","")</f>
        <v/>
      </c>
      <c r="BO20" s="17">
        <f>IF(AN20=1,AD20&amp;"","")</f>
        <v/>
      </c>
      <c r="BP20" s="17">
        <f>IF(AND(AN20=1,ISNUMBER(AI20),G20&lt;=Config!$B$5),AI20,"")</f>
        <v/>
      </c>
      <c r="BQ20" s="17">
        <f>IF(AN20=1,IF(COUNTIFS($A$2:$A$201,$A20,$AF$2:$AF$201,"Y",$AN$2:$AN$201,1)&gt;0,"Y","N"),"")</f>
        <v/>
      </c>
      <c r="BR20" s="17">
        <f>IF(AND(AN20=1,AF20="Y"),IF(COUNTIFS($A$2:$A$201,$A20,$AF$2:$AF$201,"Y",$AN$2:$AN$201,1,$G$2:$G$201,"&lt;"&amp;G20)+COUNTIFS($A$2:$A$201,$A20,$AF$2:$AF$201,"Y",$AN$2:$AN$201,1,$G$2:$G$201,G20,$AM$2:$AM$201,"&lt;"&amp;AM20)=0,1,0),0)</f>
        <v/>
      </c>
      <c r="BS20" s="17">
        <f>IF(AN20=1,IFERROR(MATCH($A20,INDEX(Clay_Brands!$A$2:$FZ$601,0,Sync!$D$5),0),""),"")</f>
        <v/>
      </c>
      <c r="BT20" s="17">
        <f>IF(BS20="","",IFERROR(INDEX(Clay_Brands!$A$2:$FZ$601,BS20,Sync!$D$7)&amp;"",""))</f>
        <v/>
      </c>
      <c r="BU20" s="17">
        <f>IF(BT20="","",IFERROR(INDEX(Lists!$J$2:$J$15,MATCH(BT20,Lists!$I$2:$I$15,0)),""))</f>
        <v/>
      </c>
      <c r="BV20" s="17">
        <f>IF(BS20="","",IFERROR(INDEX(Clay_Brands!$A$2:$FZ$601,BS20,Sync!$D$17)&amp;"",""))</f>
        <v/>
      </c>
      <c r="BW20" s="23">
        <f>IF(BS20="","",IFERROR(N(INDEX(Clay_Brands!$A$2:$FZ$601,BS20,Sync!$D$16)),0))</f>
        <v/>
      </c>
    </row>
    <row r="21">
      <c r="G21" s="22" t="n"/>
      <c r="AL21" s="17">
        <f>IF(TRIM($A21)="","",IF(AND(LEFT($A21,6)="SAMPLE",Config!$B$19&lt;&gt;"Y"),"",IF(NOT(ISNUMBER(G21)),"call_date is blank or not a date",IF(Sync!$D$5="","Clay paste is empty or has no row_id column: paste the Clay export on Clay_Brands",IF(BS21="","row_id not found in the Clay paste: add the Clay row or fix the row_id",IF(AND(ISNUMBER(BU21),BU21&gt;=1,BU21&lt;=5),"Clay status is "&amp;BT21&amp;": set call_done or later",IF(AND(AP21=1,BV21&lt;&gt;BQ21),"Clay yes_in_principle should be "&amp;BQ21,IF(AND(AP21=1,BW21&lt;&gt;G21),"Clay call_date should be "&amp;TEXT(G21,"yyyy-mm-dd"),""))))))))</f>
        <v/>
      </c>
      <c r="AM21" s="17">
        <f>ROW()</f>
        <v/>
      </c>
      <c r="AN21" s="17">
        <f>IF(AND(TRIM($A21)&lt;&gt;"",ISNUMBER(G21)),IF(AND(LEFT($A21,6)="SAMPLE",Config!$B$19&lt;&gt;"Y"),0,1),0)</f>
        <v/>
      </c>
      <c r="AO21" s="17">
        <f>IF(AN21=1,IF(COUNTIFS($A$2:$A$201,$A21,$AN$2:$AN$201,1,$G$2:$G$201,"&lt;"&amp;G21)+COUNTIFS($A$2:$A$201,$A21,$AN$2:$AN$201,1,$G$2:$G$201,G21,$AM$2:$AM$201,"&lt;"&amp;AM21)=0,1,0),0)</f>
        <v/>
      </c>
      <c r="AP21" s="17">
        <f>IF(AN21=1,IF(COUNTIFS($A$2:$A$201,$A21,$AN$2:$AN$201,1,$G$2:$G$201,"&gt;"&amp;G21)+COUNTIFS($A$2:$A$201,$A21,$AN$2:$AN$201,1,$G$2:$G$201,G21,$AM$2:$AM$201,"&gt;"&amp;AM21)=0,1,0),0)</f>
        <v/>
      </c>
      <c r="AQ21" s="17">
        <f>IF(AND(AN21=1,N21="Y",MAX(N(R21),N(V21))&gt;=Config!$B$14),1,0)</f>
        <v/>
      </c>
      <c r="AR21" s="17">
        <f>IF(AQ21=1,IF(COUNTIFS($A$2:$A$201,$A21,$AQ$2:$AQ$201,1,$G$2:$G$201,"&lt;"&amp;G21)+COUNTIFS($A$2:$A$201,$A21,$AQ$2:$AQ$201,1,$G$2:$G$201,G21,$AM$2:$AM$201,"&lt;"&amp;AM21)=0,1,0),0)</f>
        <v/>
      </c>
      <c r="AS21" s="17">
        <f>IF(AND(AN21=1,N21="Y",ISNUMBER(R21)),IF(R21&gt;=Config!$B$14,1,0),0)</f>
        <v/>
      </c>
      <c r="AT21" s="17">
        <f>IF(AS21=1,IF(COUNTIFS($A$2:$A$201,$A21,$AS$2:$AS$201,1,$G$2:$G$201,"&lt;"&amp;G21)+COUNTIFS($A$2:$A$201,$A21,$AS$2:$AS$201,1,$G$2:$G$201,G21,$AM$2:$AM$201,"&lt;"&amp;AM21)=0,1,0),0)</f>
        <v/>
      </c>
      <c r="AU21" s="17">
        <f>IF(AND(AN21=1,N21&lt;&gt;"Y",MAX(N(R21),N(V21))&gt;=Config!$B$14),1,0)</f>
        <v/>
      </c>
      <c r="AV21" s="17">
        <f>IF(AU21=1,IF(COUNTIFS($A$2:$A$201,$A21,$AU$2:$AU$201,1,$G$2:$G$201,"&lt;"&amp;G21)+COUNTIFS($A$2:$A$201,$A21,$AU$2:$AU$201,1,$G$2:$G$201,G21,$AM$2:$AM$201,"&lt;"&amp;AM21)=0,1,0),0)</f>
        <v/>
      </c>
      <c r="AW21" s="17">
        <f>IF(AND(AN21=1,ISNUMBER(R21)),1,0)</f>
        <v/>
      </c>
      <c r="AX21" s="17">
        <f>IF(AW21=1,IF(COUNTIFS($A$2:$A$201,$A21,$AW$2:$AW$201,1,$G$2:$G$201,"&lt;"&amp;G21)+COUNTIFS($A$2:$A$201,$A21,$AW$2:$AW$201,1,$G$2:$G$201,G21,$AM$2:$AM$201,"&lt;"&amp;AM21)=0,1,0),0)</f>
        <v/>
      </c>
      <c r="AY21" s="17">
        <f>IF(AND(AX21=1,G21&lt;=Config!$B$6),R21,"")</f>
        <v/>
      </c>
      <c r="AZ21" s="17">
        <f>IF(AND(AX21=1,G21&lt;=Config!$B$7),R21,"")</f>
        <v/>
      </c>
      <c r="BA21" s="17">
        <f>IF(AND(AX21=1,G21&lt;=Config!$B$8),R21,"")</f>
        <v/>
      </c>
      <c r="BB21" s="17">
        <f>IF(AND(AX21=1,G21&lt;=Config!$B$5),R21,"")</f>
        <v/>
      </c>
      <c r="BC21" s="17">
        <f>IF(AND(AN21=1,ISNUMBER(V21)),1,0)</f>
        <v/>
      </c>
      <c r="BD21" s="17">
        <f>IF(BC21=1,IF(COUNTIFS($A$2:$A$201,$A21,$BC$2:$BC$201,1,$G$2:$G$201,"&lt;"&amp;G21)+COUNTIFS($A$2:$A$201,$A21,$BC$2:$BC$201,1,$G$2:$G$201,G21,$AM$2:$AM$201,"&lt;"&amp;AM21)=0,1,0),0)</f>
        <v/>
      </c>
      <c r="BE21" s="17">
        <f>IF(AND(BD21=1,G21&lt;=Config!$B$6),V21,"")</f>
        <v/>
      </c>
      <c r="BF21" s="17">
        <f>IF(AND(BD21=1,G21&lt;=Config!$B$7),V21,"")</f>
        <v/>
      </c>
      <c r="BG21" s="17">
        <f>IF(AND(BD21=1,G21&lt;=Config!$B$8),V21,"")</f>
        <v/>
      </c>
      <c r="BH21" s="17">
        <f>IF(AND(BD21=1,G21&lt;=Config!$B$5),V21,"")</f>
        <v/>
      </c>
      <c r="BI21" s="17">
        <f>IF(AND(AN21=1,ISNUMBER(J21)),1,0)</f>
        <v/>
      </c>
      <c r="BJ21" s="17">
        <f>IF(BI21=1,IF(COUNTIFS($A$2:$A$201,$A21,$BI$2:$BI$201,1,$G$2:$G$201,"&lt;"&amp;G21)+COUNTIFS($A$2:$A$201,$A21,$BI$2:$BI$201,1,$G$2:$G$201,G21,$AM$2:$AM$201,"&lt;"&amp;AM21)=0,1,0),0)</f>
        <v/>
      </c>
      <c r="BK21" s="17">
        <f>IF(AND(BJ21=1,G21&lt;=Config!$B$5),J21,"")</f>
        <v/>
      </c>
      <c r="BL21" s="17">
        <f>IF(AND(AN21=1,OR(AND(ISNUMBER(R21),TRIM(S21)=""),AND(ISNUMBER(V21),TRIM(W21)=""))),1,0)</f>
        <v/>
      </c>
      <c r="BM21" s="17">
        <f>IF(AN21=1,AB21&amp;"","")</f>
        <v/>
      </c>
      <c r="BN21" s="17">
        <f>IF(AN21=1,AC21&amp;"","")</f>
        <v/>
      </c>
      <c r="BO21" s="17">
        <f>IF(AN21=1,AD21&amp;"","")</f>
        <v/>
      </c>
      <c r="BP21" s="17">
        <f>IF(AND(AN21=1,ISNUMBER(AI21),G21&lt;=Config!$B$5),AI21,"")</f>
        <v/>
      </c>
      <c r="BQ21" s="17">
        <f>IF(AN21=1,IF(COUNTIFS($A$2:$A$201,$A21,$AF$2:$AF$201,"Y",$AN$2:$AN$201,1)&gt;0,"Y","N"),"")</f>
        <v/>
      </c>
      <c r="BR21" s="17">
        <f>IF(AND(AN21=1,AF21="Y"),IF(COUNTIFS($A$2:$A$201,$A21,$AF$2:$AF$201,"Y",$AN$2:$AN$201,1,$G$2:$G$201,"&lt;"&amp;G21)+COUNTIFS($A$2:$A$201,$A21,$AF$2:$AF$201,"Y",$AN$2:$AN$201,1,$G$2:$G$201,G21,$AM$2:$AM$201,"&lt;"&amp;AM21)=0,1,0),0)</f>
        <v/>
      </c>
      <c r="BS21" s="17">
        <f>IF(AN21=1,IFERROR(MATCH($A21,INDEX(Clay_Brands!$A$2:$FZ$601,0,Sync!$D$5),0),""),"")</f>
        <v/>
      </c>
      <c r="BT21" s="17">
        <f>IF(BS21="","",IFERROR(INDEX(Clay_Brands!$A$2:$FZ$601,BS21,Sync!$D$7)&amp;"",""))</f>
        <v/>
      </c>
      <c r="BU21" s="17">
        <f>IF(BT21="","",IFERROR(INDEX(Lists!$J$2:$J$15,MATCH(BT21,Lists!$I$2:$I$15,0)),""))</f>
        <v/>
      </c>
      <c r="BV21" s="17">
        <f>IF(BS21="","",IFERROR(INDEX(Clay_Brands!$A$2:$FZ$601,BS21,Sync!$D$17)&amp;"",""))</f>
        <v/>
      </c>
      <c r="BW21" s="23">
        <f>IF(BS21="","",IFERROR(N(INDEX(Clay_Brands!$A$2:$FZ$601,BS21,Sync!$D$16)),0))</f>
        <v/>
      </c>
    </row>
    <row r="22">
      <c r="G22" s="22" t="n"/>
      <c r="AL22" s="17">
        <f>IF(TRIM($A22)="","",IF(AND(LEFT($A22,6)="SAMPLE",Config!$B$19&lt;&gt;"Y"),"",IF(NOT(ISNUMBER(G22)),"call_date is blank or not a date",IF(Sync!$D$5="","Clay paste is empty or has no row_id column: paste the Clay export on Clay_Brands",IF(BS22="","row_id not found in the Clay paste: add the Clay row or fix the row_id",IF(AND(ISNUMBER(BU22),BU22&gt;=1,BU22&lt;=5),"Clay status is "&amp;BT22&amp;": set call_done or later",IF(AND(AP22=1,BV22&lt;&gt;BQ22),"Clay yes_in_principle should be "&amp;BQ22,IF(AND(AP22=1,BW22&lt;&gt;G22),"Clay call_date should be "&amp;TEXT(G22,"yyyy-mm-dd"),""))))))))</f>
        <v/>
      </c>
      <c r="AM22" s="17">
        <f>ROW()</f>
        <v/>
      </c>
      <c r="AN22" s="17">
        <f>IF(AND(TRIM($A22)&lt;&gt;"",ISNUMBER(G22)),IF(AND(LEFT($A22,6)="SAMPLE",Config!$B$19&lt;&gt;"Y"),0,1),0)</f>
        <v/>
      </c>
      <c r="AO22" s="17">
        <f>IF(AN22=1,IF(COUNTIFS($A$2:$A$201,$A22,$AN$2:$AN$201,1,$G$2:$G$201,"&lt;"&amp;G22)+COUNTIFS($A$2:$A$201,$A22,$AN$2:$AN$201,1,$G$2:$G$201,G22,$AM$2:$AM$201,"&lt;"&amp;AM22)=0,1,0),0)</f>
        <v/>
      </c>
      <c r="AP22" s="17">
        <f>IF(AN22=1,IF(COUNTIFS($A$2:$A$201,$A22,$AN$2:$AN$201,1,$G$2:$G$201,"&gt;"&amp;G22)+COUNTIFS($A$2:$A$201,$A22,$AN$2:$AN$201,1,$G$2:$G$201,G22,$AM$2:$AM$201,"&gt;"&amp;AM22)=0,1,0),0)</f>
        <v/>
      </c>
      <c r="AQ22" s="17">
        <f>IF(AND(AN22=1,N22="Y",MAX(N(R22),N(V22))&gt;=Config!$B$14),1,0)</f>
        <v/>
      </c>
      <c r="AR22" s="17">
        <f>IF(AQ22=1,IF(COUNTIFS($A$2:$A$201,$A22,$AQ$2:$AQ$201,1,$G$2:$G$201,"&lt;"&amp;G22)+COUNTIFS($A$2:$A$201,$A22,$AQ$2:$AQ$201,1,$G$2:$G$201,G22,$AM$2:$AM$201,"&lt;"&amp;AM22)=0,1,0),0)</f>
        <v/>
      </c>
      <c r="AS22" s="17">
        <f>IF(AND(AN22=1,N22="Y",ISNUMBER(R22)),IF(R22&gt;=Config!$B$14,1,0),0)</f>
        <v/>
      </c>
      <c r="AT22" s="17">
        <f>IF(AS22=1,IF(COUNTIFS($A$2:$A$201,$A22,$AS$2:$AS$201,1,$G$2:$G$201,"&lt;"&amp;G22)+COUNTIFS($A$2:$A$201,$A22,$AS$2:$AS$201,1,$G$2:$G$201,G22,$AM$2:$AM$201,"&lt;"&amp;AM22)=0,1,0),0)</f>
        <v/>
      </c>
      <c r="AU22" s="17">
        <f>IF(AND(AN22=1,N22&lt;&gt;"Y",MAX(N(R22),N(V22))&gt;=Config!$B$14),1,0)</f>
        <v/>
      </c>
      <c r="AV22" s="17">
        <f>IF(AU22=1,IF(COUNTIFS($A$2:$A$201,$A22,$AU$2:$AU$201,1,$G$2:$G$201,"&lt;"&amp;G22)+COUNTIFS($A$2:$A$201,$A22,$AU$2:$AU$201,1,$G$2:$G$201,G22,$AM$2:$AM$201,"&lt;"&amp;AM22)=0,1,0),0)</f>
        <v/>
      </c>
      <c r="AW22" s="17">
        <f>IF(AND(AN22=1,ISNUMBER(R22)),1,0)</f>
        <v/>
      </c>
      <c r="AX22" s="17">
        <f>IF(AW22=1,IF(COUNTIFS($A$2:$A$201,$A22,$AW$2:$AW$201,1,$G$2:$G$201,"&lt;"&amp;G22)+COUNTIFS($A$2:$A$201,$A22,$AW$2:$AW$201,1,$G$2:$G$201,G22,$AM$2:$AM$201,"&lt;"&amp;AM22)=0,1,0),0)</f>
        <v/>
      </c>
      <c r="AY22" s="17">
        <f>IF(AND(AX22=1,G22&lt;=Config!$B$6),R22,"")</f>
        <v/>
      </c>
      <c r="AZ22" s="17">
        <f>IF(AND(AX22=1,G22&lt;=Config!$B$7),R22,"")</f>
        <v/>
      </c>
      <c r="BA22" s="17">
        <f>IF(AND(AX22=1,G22&lt;=Config!$B$8),R22,"")</f>
        <v/>
      </c>
      <c r="BB22" s="17">
        <f>IF(AND(AX22=1,G22&lt;=Config!$B$5),R22,"")</f>
        <v/>
      </c>
      <c r="BC22" s="17">
        <f>IF(AND(AN22=1,ISNUMBER(V22)),1,0)</f>
        <v/>
      </c>
      <c r="BD22" s="17">
        <f>IF(BC22=1,IF(COUNTIFS($A$2:$A$201,$A22,$BC$2:$BC$201,1,$G$2:$G$201,"&lt;"&amp;G22)+COUNTIFS($A$2:$A$201,$A22,$BC$2:$BC$201,1,$G$2:$G$201,G22,$AM$2:$AM$201,"&lt;"&amp;AM22)=0,1,0),0)</f>
        <v/>
      </c>
      <c r="BE22" s="17">
        <f>IF(AND(BD22=1,G22&lt;=Config!$B$6),V22,"")</f>
        <v/>
      </c>
      <c r="BF22" s="17">
        <f>IF(AND(BD22=1,G22&lt;=Config!$B$7),V22,"")</f>
        <v/>
      </c>
      <c r="BG22" s="17">
        <f>IF(AND(BD22=1,G22&lt;=Config!$B$8),V22,"")</f>
        <v/>
      </c>
      <c r="BH22" s="17">
        <f>IF(AND(BD22=1,G22&lt;=Config!$B$5),V22,"")</f>
        <v/>
      </c>
      <c r="BI22" s="17">
        <f>IF(AND(AN22=1,ISNUMBER(J22)),1,0)</f>
        <v/>
      </c>
      <c r="BJ22" s="17">
        <f>IF(BI22=1,IF(COUNTIFS($A$2:$A$201,$A22,$BI$2:$BI$201,1,$G$2:$G$201,"&lt;"&amp;G22)+COUNTIFS($A$2:$A$201,$A22,$BI$2:$BI$201,1,$G$2:$G$201,G22,$AM$2:$AM$201,"&lt;"&amp;AM22)=0,1,0),0)</f>
        <v/>
      </c>
      <c r="BK22" s="17">
        <f>IF(AND(BJ22=1,G22&lt;=Config!$B$5),J22,"")</f>
        <v/>
      </c>
      <c r="BL22" s="17">
        <f>IF(AND(AN22=1,OR(AND(ISNUMBER(R22),TRIM(S22)=""),AND(ISNUMBER(V22),TRIM(W22)=""))),1,0)</f>
        <v/>
      </c>
      <c r="BM22" s="17">
        <f>IF(AN22=1,AB22&amp;"","")</f>
        <v/>
      </c>
      <c r="BN22" s="17">
        <f>IF(AN22=1,AC22&amp;"","")</f>
        <v/>
      </c>
      <c r="BO22" s="17">
        <f>IF(AN22=1,AD22&amp;"","")</f>
        <v/>
      </c>
      <c r="BP22" s="17">
        <f>IF(AND(AN22=1,ISNUMBER(AI22),G22&lt;=Config!$B$5),AI22,"")</f>
        <v/>
      </c>
      <c r="BQ22" s="17">
        <f>IF(AN22=1,IF(COUNTIFS($A$2:$A$201,$A22,$AF$2:$AF$201,"Y",$AN$2:$AN$201,1)&gt;0,"Y","N"),"")</f>
        <v/>
      </c>
      <c r="BR22" s="17">
        <f>IF(AND(AN22=1,AF22="Y"),IF(COUNTIFS($A$2:$A$201,$A22,$AF$2:$AF$201,"Y",$AN$2:$AN$201,1,$G$2:$G$201,"&lt;"&amp;G22)+COUNTIFS($A$2:$A$201,$A22,$AF$2:$AF$201,"Y",$AN$2:$AN$201,1,$G$2:$G$201,G22,$AM$2:$AM$201,"&lt;"&amp;AM22)=0,1,0),0)</f>
        <v/>
      </c>
      <c r="BS22" s="17">
        <f>IF(AN22=1,IFERROR(MATCH($A22,INDEX(Clay_Brands!$A$2:$FZ$601,0,Sync!$D$5),0),""),"")</f>
        <v/>
      </c>
      <c r="BT22" s="17">
        <f>IF(BS22="","",IFERROR(INDEX(Clay_Brands!$A$2:$FZ$601,BS22,Sync!$D$7)&amp;"",""))</f>
        <v/>
      </c>
      <c r="BU22" s="17">
        <f>IF(BT22="","",IFERROR(INDEX(Lists!$J$2:$J$15,MATCH(BT22,Lists!$I$2:$I$15,0)),""))</f>
        <v/>
      </c>
      <c r="BV22" s="17">
        <f>IF(BS22="","",IFERROR(INDEX(Clay_Brands!$A$2:$FZ$601,BS22,Sync!$D$17)&amp;"",""))</f>
        <v/>
      </c>
      <c r="BW22" s="23">
        <f>IF(BS22="","",IFERROR(N(INDEX(Clay_Brands!$A$2:$FZ$601,BS22,Sync!$D$16)),0))</f>
        <v/>
      </c>
    </row>
    <row r="23">
      <c r="G23" s="22" t="n"/>
      <c r="AL23" s="17">
        <f>IF(TRIM($A23)="","",IF(AND(LEFT($A23,6)="SAMPLE",Config!$B$19&lt;&gt;"Y"),"",IF(NOT(ISNUMBER(G23)),"call_date is blank or not a date",IF(Sync!$D$5="","Clay paste is empty or has no row_id column: paste the Clay export on Clay_Brands",IF(BS23="","row_id not found in the Clay paste: add the Clay row or fix the row_id",IF(AND(ISNUMBER(BU23),BU23&gt;=1,BU23&lt;=5),"Clay status is "&amp;BT23&amp;": set call_done or later",IF(AND(AP23=1,BV23&lt;&gt;BQ23),"Clay yes_in_principle should be "&amp;BQ23,IF(AND(AP23=1,BW23&lt;&gt;G23),"Clay call_date should be "&amp;TEXT(G23,"yyyy-mm-dd"),""))))))))</f>
        <v/>
      </c>
      <c r="AM23" s="17">
        <f>ROW()</f>
        <v/>
      </c>
      <c r="AN23" s="17">
        <f>IF(AND(TRIM($A23)&lt;&gt;"",ISNUMBER(G23)),IF(AND(LEFT($A23,6)="SAMPLE",Config!$B$19&lt;&gt;"Y"),0,1),0)</f>
        <v/>
      </c>
      <c r="AO23" s="17">
        <f>IF(AN23=1,IF(COUNTIFS($A$2:$A$201,$A23,$AN$2:$AN$201,1,$G$2:$G$201,"&lt;"&amp;G23)+COUNTIFS($A$2:$A$201,$A23,$AN$2:$AN$201,1,$G$2:$G$201,G23,$AM$2:$AM$201,"&lt;"&amp;AM23)=0,1,0),0)</f>
        <v/>
      </c>
      <c r="AP23" s="17">
        <f>IF(AN23=1,IF(COUNTIFS($A$2:$A$201,$A23,$AN$2:$AN$201,1,$G$2:$G$201,"&gt;"&amp;G23)+COUNTIFS($A$2:$A$201,$A23,$AN$2:$AN$201,1,$G$2:$G$201,G23,$AM$2:$AM$201,"&gt;"&amp;AM23)=0,1,0),0)</f>
        <v/>
      </c>
      <c r="AQ23" s="17">
        <f>IF(AND(AN23=1,N23="Y",MAX(N(R23),N(V23))&gt;=Config!$B$14),1,0)</f>
        <v/>
      </c>
      <c r="AR23" s="17">
        <f>IF(AQ23=1,IF(COUNTIFS($A$2:$A$201,$A23,$AQ$2:$AQ$201,1,$G$2:$G$201,"&lt;"&amp;G23)+COUNTIFS($A$2:$A$201,$A23,$AQ$2:$AQ$201,1,$G$2:$G$201,G23,$AM$2:$AM$201,"&lt;"&amp;AM23)=0,1,0),0)</f>
        <v/>
      </c>
      <c r="AS23" s="17">
        <f>IF(AND(AN23=1,N23="Y",ISNUMBER(R23)),IF(R23&gt;=Config!$B$14,1,0),0)</f>
        <v/>
      </c>
      <c r="AT23" s="17">
        <f>IF(AS23=1,IF(COUNTIFS($A$2:$A$201,$A23,$AS$2:$AS$201,1,$G$2:$G$201,"&lt;"&amp;G23)+COUNTIFS($A$2:$A$201,$A23,$AS$2:$AS$201,1,$G$2:$G$201,G23,$AM$2:$AM$201,"&lt;"&amp;AM23)=0,1,0),0)</f>
        <v/>
      </c>
      <c r="AU23" s="17">
        <f>IF(AND(AN23=1,N23&lt;&gt;"Y",MAX(N(R23),N(V23))&gt;=Config!$B$14),1,0)</f>
        <v/>
      </c>
      <c r="AV23" s="17">
        <f>IF(AU23=1,IF(COUNTIFS($A$2:$A$201,$A23,$AU$2:$AU$201,1,$G$2:$G$201,"&lt;"&amp;G23)+COUNTIFS($A$2:$A$201,$A23,$AU$2:$AU$201,1,$G$2:$G$201,G23,$AM$2:$AM$201,"&lt;"&amp;AM23)=0,1,0),0)</f>
        <v/>
      </c>
      <c r="AW23" s="17">
        <f>IF(AND(AN23=1,ISNUMBER(R23)),1,0)</f>
        <v/>
      </c>
      <c r="AX23" s="17">
        <f>IF(AW23=1,IF(COUNTIFS($A$2:$A$201,$A23,$AW$2:$AW$201,1,$G$2:$G$201,"&lt;"&amp;G23)+COUNTIFS($A$2:$A$201,$A23,$AW$2:$AW$201,1,$G$2:$G$201,G23,$AM$2:$AM$201,"&lt;"&amp;AM23)=0,1,0),0)</f>
        <v/>
      </c>
      <c r="AY23" s="17">
        <f>IF(AND(AX23=1,G23&lt;=Config!$B$6),R23,"")</f>
        <v/>
      </c>
      <c r="AZ23" s="17">
        <f>IF(AND(AX23=1,G23&lt;=Config!$B$7),R23,"")</f>
        <v/>
      </c>
      <c r="BA23" s="17">
        <f>IF(AND(AX23=1,G23&lt;=Config!$B$8),R23,"")</f>
        <v/>
      </c>
      <c r="BB23" s="17">
        <f>IF(AND(AX23=1,G23&lt;=Config!$B$5),R23,"")</f>
        <v/>
      </c>
      <c r="BC23" s="17">
        <f>IF(AND(AN23=1,ISNUMBER(V23)),1,0)</f>
        <v/>
      </c>
      <c r="BD23" s="17">
        <f>IF(BC23=1,IF(COUNTIFS($A$2:$A$201,$A23,$BC$2:$BC$201,1,$G$2:$G$201,"&lt;"&amp;G23)+COUNTIFS($A$2:$A$201,$A23,$BC$2:$BC$201,1,$G$2:$G$201,G23,$AM$2:$AM$201,"&lt;"&amp;AM23)=0,1,0),0)</f>
        <v/>
      </c>
      <c r="BE23" s="17">
        <f>IF(AND(BD23=1,G23&lt;=Config!$B$6),V23,"")</f>
        <v/>
      </c>
      <c r="BF23" s="17">
        <f>IF(AND(BD23=1,G23&lt;=Config!$B$7),V23,"")</f>
        <v/>
      </c>
      <c r="BG23" s="17">
        <f>IF(AND(BD23=1,G23&lt;=Config!$B$8),V23,"")</f>
        <v/>
      </c>
      <c r="BH23" s="17">
        <f>IF(AND(BD23=1,G23&lt;=Config!$B$5),V23,"")</f>
        <v/>
      </c>
      <c r="BI23" s="17">
        <f>IF(AND(AN23=1,ISNUMBER(J23)),1,0)</f>
        <v/>
      </c>
      <c r="BJ23" s="17">
        <f>IF(BI23=1,IF(COUNTIFS($A$2:$A$201,$A23,$BI$2:$BI$201,1,$G$2:$G$201,"&lt;"&amp;G23)+COUNTIFS($A$2:$A$201,$A23,$BI$2:$BI$201,1,$G$2:$G$201,G23,$AM$2:$AM$201,"&lt;"&amp;AM23)=0,1,0),0)</f>
        <v/>
      </c>
      <c r="BK23" s="17">
        <f>IF(AND(BJ23=1,G23&lt;=Config!$B$5),J23,"")</f>
        <v/>
      </c>
      <c r="BL23" s="17">
        <f>IF(AND(AN23=1,OR(AND(ISNUMBER(R23),TRIM(S23)=""),AND(ISNUMBER(V23),TRIM(W23)=""))),1,0)</f>
        <v/>
      </c>
      <c r="BM23" s="17">
        <f>IF(AN23=1,AB23&amp;"","")</f>
        <v/>
      </c>
      <c r="BN23" s="17">
        <f>IF(AN23=1,AC23&amp;"","")</f>
        <v/>
      </c>
      <c r="BO23" s="17">
        <f>IF(AN23=1,AD23&amp;"","")</f>
        <v/>
      </c>
      <c r="BP23" s="17">
        <f>IF(AND(AN23=1,ISNUMBER(AI23),G23&lt;=Config!$B$5),AI23,"")</f>
        <v/>
      </c>
      <c r="BQ23" s="17">
        <f>IF(AN23=1,IF(COUNTIFS($A$2:$A$201,$A23,$AF$2:$AF$201,"Y",$AN$2:$AN$201,1)&gt;0,"Y","N"),"")</f>
        <v/>
      </c>
      <c r="BR23" s="17">
        <f>IF(AND(AN23=1,AF23="Y"),IF(COUNTIFS($A$2:$A$201,$A23,$AF$2:$AF$201,"Y",$AN$2:$AN$201,1,$G$2:$G$201,"&lt;"&amp;G23)+COUNTIFS($A$2:$A$201,$A23,$AF$2:$AF$201,"Y",$AN$2:$AN$201,1,$G$2:$G$201,G23,$AM$2:$AM$201,"&lt;"&amp;AM23)=0,1,0),0)</f>
        <v/>
      </c>
      <c r="BS23" s="17">
        <f>IF(AN23=1,IFERROR(MATCH($A23,INDEX(Clay_Brands!$A$2:$FZ$601,0,Sync!$D$5),0),""),"")</f>
        <v/>
      </c>
      <c r="BT23" s="17">
        <f>IF(BS23="","",IFERROR(INDEX(Clay_Brands!$A$2:$FZ$601,BS23,Sync!$D$7)&amp;"",""))</f>
        <v/>
      </c>
      <c r="BU23" s="17">
        <f>IF(BT23="","",IFERROR(INDEX(Lists!$J$2:$J$15,MATCH(BT23,Lists!$I$2:$I$15,0)),""))</f>
        <v/>
      </c>
      <c r="BV23" s="17">
        <f>IF(BS23="","",IFERROR(INDEX(Clay_Brands!$A$2:$FZ$601,BS23,Sync!$D$17)&amp;"",""))</f>
        <v/>
      </c>
      <c r="BW23" s="23">
        <f>IF(BS23="","",IFERROR(N(INDEX(Clay_Brands!$A$2:$FZ$601,BS23,Sync!$D$16)),0))</f>
        <v/>
      </c>
    </row>
    <row r="24">
      <c r="G24" s="22" t="n"/>
      <c r="AL24" s="17">
        <f>IF(TRIM($A24)="","",IF(AND(LEFT($A24,6)="SAMPLE",Config!$B$19&lt;&gt;"Y"),"",IF(NOT(ISNUMBER(G24)),"call_date is blank or not a date",IF(Sync!$D$5="","Clay paste is empty or has no row_id column: paste the Clay export on Clay_Brands",IF(BS24="","row_id not found in the Clay paste: add the Clay row or fix the row_id",IF(AND(ISNUMBER(BU24),BU24&gt;=1,BU24&lt;=5),"Clay status is "&amp;BT24&amp;": set call_done or later",IF(AND(AP24=1,BV24&lt;&gt;BQ24),"Clay yes_in_principle should be "&amp;BQ24,IF(AND(AP24=1,BW24&lt;&gt;G24),"Clay call_date should be "&amp;TEXT(G24,"yyyy-mm-dd"),""))))))))</f>
        <v/>
      </c>
      <c r="AM24" s="17">
        <f>ROW()</f>
        <v/>
      </c>
      <c r="AN24" s="17">
        <f>IF(AND(TRIM($A24)&lt;&gt;"",ISNUMBER(G24)),IF(AND(LEFT($A24,6)="SAMPLE",Config!$B$19&lt;&gt;"Y"),0,1),0)</f>
        <v/>
      </c>
      <c r="AO24" s="17">
        <f>IF(AN24=1,IF(COUNTIFS($A$2:$A$201,$A24,$AN$2:$AN$201,1,$G$2:$G$201,"&lt;"&amp;G24)+COUNTIFS($A$2:$A$201,$A24,$AN$2:$AN$201,1,$G$2:$G$201,G24,$AM$2:$AM$201,"&lt;"&amp;AM24)=0,1,0),0)</f>
        <v/>
      </c>
      <c r="AP24" s="17">
        <f>IF(AN24=1,IF(COUNTIFS($A$2:$A$201,$A24,$AN$2:$AN$201,1,$G$2:$G$201,"&gt;"&amp;G24)+COUNTIFS($A$2:$A$201,$A24,$AN$2:$AN$201,1,$G$2:$G$201,G24,$AM$2:$AM$201,"&gt;"&amp;AM24)=0,1,0),0)</f>
        <v/>
      </c>
      <c r="AQ24" s="17">
        <f>IF(AND(AN24=1,N24="Y",MAX(N(R24),N(V24))&gt;=Config!$B$14),1,0)</f>
        <v/>
      </c>
      <c r="AR24" s="17">
        <f>IF(AQ24=1,IF(COUNTIFS($A$2:$A$201,$A24,$AQ$2:$AQ$201,1,$G$2:$G$201,"&lt;"&amp;G24)+COUNTIFS($A$2:$A$201,$A24,$AQ$2:$AQ$201,1,$G$2:$G$201,G24,$AM$2:$AM$201,"&lt;"&amp;AM24)=0,1,0),0)</f>
        <v/>
      </c>
      <c r="AS24" s="17">
        <f>IF(AND(AN24=1,N24="Y",ISNUMBER(R24)),IF(R24&gt;=Config!$B$14,1,0),0)</f>
        <v/>
      </c>
      <c r="AT24" s="17">
        <f>IF(AS24=1,IF(COUNTIFS($A$2:$A$201,$A24,$AS$2:$AS$201,1,$G$2:$G$201,"&lt;"&amp;G24)+COUNTIFS($A$2:$A$201,$A24,$AS$2:$AS$201,1,$G$2:$G$201,G24,$AM$2:$AM$201,"&lt;"&amp;AM24)=0,1,0),0)</f>
        <v/>
      </c>
      <c r="AU24" s="17">
        <f>IF(AND(AN24=1,N24&lt;&gt;"Y",MAX(N(R24),N(V24))&gt;=Config!$B$14),1,0)</f>
        <v/>
      </c>
      <c r="AV24" s="17">
        <f>IF(AU24=1,IF(COUNTIFS($A$2:$A$201,$A24,$AU$2:$AU$201,1,$G$2:$G$201,"&lt;"&amp;G24)+COUNTIFS($A$2:$A$201,$A24,$AU$2:$AU$201,1,$G$2:$G$201,G24,$AM$2:$AM$201,"&lt;"&amp;AM24)=0,1,0),0)</f>
        <v/>
      </c>
      <c r="AW24" s="17">
        <f>IF(AND(AN24=1,ISNUMBER(R24)),1,0)</f>
        <v/>
      </c>
      <c r="AX24" s="17">
        <f>IF(AW24=1,IF(COUNTIFS($A$2:$A$201,$A24,$AW$2:$AW$201,1,$G$2:$G$201,"&lt;"&amp;G24)+COUNTIFS($A$2:$A$201,$A24,$AW$2:$AW$201,1,$G$2:$G$201,G24,$AM$2:$AM$201,"&lt;"&amp;AM24)=0,1,0),0)</f>
        <v/>
      </c>
      <c r="AY24" s="17">
        <f>IF(AND(AX24=1,G24&lt;=Config!$B$6),R24,"")</f>
        <v/>
      </c>
      <c r="AZ24" s="17">
        <f>IF(AND(AX24=1,G24&lt;=Config!$B$7),R24,"")</f>
        <v/>
      </c>
      <c r="BA24" s="17">
        <f>IF(AND(AX24=1,G24&lt;=Config!$B$8),R24,"")</f>
        <v/>
      </c>
      <c r="BB24" s="17">
        <f>IF(AND(AX24=1,G24&lt;=Config!$B$5),R24,"")</f>
        <v/>
      </c>
      <c r="BC24" s="17">
        <f>IF(AND(AN24=1,ISNUMBER(V24)),1,0)</f>
        <v/>
      </c>
      <c r="BD24" s="17">
        <f>IF(BC24=1,IF(COUNTIFS($A$2:$A$201,$A24,$BC$2:$BC$201,1,$G$2:$G$201,"&lt;"&amp;G24)+COUNTIFS($A$2:$A$201,$A24,$BC$2:$BC$201,1,$G$2:$G$201,G24,$AM$2:$AM$201,"&lt;"&amp;AM24)=0,1,0),0)</f>
        <v/>
      </c>
      <c r="BE24" s="17">
        <f>IF(AND(BD24=1,G24&lt;=Config!$B$6),V24,"")</f>
        <v/>
      </c>
      <c r="BF24" s="17">
        <f>IF(AND(BD24=1,G24&lt;=Config!$B$7),V24,"")</f>
        <v/>
      </c>
      <c r="BG24" s="17">
        <f>IF(AND(BD24=1,G24&lt;=Config!$B$8),V24,"")</f>
        <v/>
      </c>
      <c r="BH24" s="17">
        <f>IF(AND(BD24=1,G24&lt;=Config!$B$5),V24,"")</f>
        <v/>
      </c>
      <c r="BI24" s="17">
        <f>IF(AND(AN24=1,ISNUMBER(J24)),1,0)</f>
        <v/>
      </c>
      <c r="BJ24" s="17">
        <f>IF(BI24=1,IF(COUNTIFS($A$2:$A$201,$A24,$BI$2:$BI$201,1,$G$2:$G$201,"&lt;"&amp;G24)+COUNTIFS($A$2:$A$201,$A24,$BI$2:$BI$201,1,$G$2:$G$201,G24,$AM$2:$AM$201,"&lt;"&amp;AM24)=0,1,0),0)</f>
        <v/>
      </c>
      <c r="BK24" s="17">
        <f>IF(AND(BJ24=1,G24&lt;=Config!$B$5),J24,"")</f>
        <v/>
      </c>
      <c r="BL24" s="17">
        <f>IF(AND(AN24=1,OR(AND(ISNUMBER(R24),TRIM(S24)=""),AND(ISNUMBER(V24),TRIM(W24)=""))),1,0)</f>
        <v/>
      </c>
      <c r="BM24" s="17">
        <f>IF(AN24=1,AB24&amp;"","")</f>
        <v/>
      </c>
      <c r="BN24" s="17">
        <f>IF(AN24=1,AC24&amp;"","")</f>
        <v/>
      </c>
      <c r="BO24" s="17">
        <f>IF(AN24=1,AD24&amp;"","")</f>
        <v/>
      </c>
      <c r="BP24" s="17">
        <f>IF(AND(AN24=1,ISNUMBER(AI24),G24&lt;=Config!$B$5),AI24,"")</f>
        <v/>
      </c>
      <c r="BQ24" s="17">
        <f>IF(AN24=1,IF(COUNTIFS($A$2:$A$201,$A24,$AF$2:$AF$201,"Y",$AN$2:$AN$201,1)&gt;0,"Y","N"),"")</f>
        <v/>
      </c>
      <c r="BR24" s="17">
        <f>IF(AND(AN24=1,AF24="Y"),IF(COUNTIFS($A$2:$A$201,$A24,$AF$2:$AF$201,"Y",$AN$2:$AN$201,1,$G$2:$G$201,"&lt;"&amp;G24)+COUNTIFS($A$2:$A$201,$A24,$AF$2:$AF$201,"Y",$AN$2:$AN$201,1,$G$2:$G$201,G24,$AM$2:$AM$201,"&lt;"&amp;AM24)=0,1,0),0)</f>
        <v/>
      </c>
      <c r="BS24" s="17">
        <f>IF(AN24=1,IFERROR(MATCH($A24,INDEX(Clay_Brands!$A$2:$FZ$601,0,Sync!$D$5),0),""),"")</f>
        <v/>
      </c>
      <c r="BT24" s="17">
        <f>IF(BS24="","",IFERROR(INDEX(Clay_Brands!$A$2:$FZ$601,BS24,Sync!$D$7)&amp;"",""))</f>
        <v/>
      </c>
      <c r="BU24" s="17">
        <f>IF(BT24="","",IFERROR(INDEX(Lists!$J$2:$J$15,MATCH(BT24,Lists!$I$2:$I$15,0)),""))</f>
        <v/>
      </c>
      <c r="BV24" s="17">
        <f>IF(BS24="","",IFERROR(INDEX(Clay_Brands!$A$2:$FZ$601,BS24,Sync!$D$17)&amp;"",""))</f>
        <v/>
      </c>
      <c r="BW24" s="23">
        <f>IF(BS24="","",IFERROR(N(INDEX(Clay_Brands!$A$2:$FZ$601,BS24,Sync!$D$16)),0))</f>
        <v/>
      </c>
    </row>
    <row r="25">
      <c r="G25" s="22" t="n"/>
      <c r="AL25" s="17">
        <f>IF(TRIM($A25)="","",IF(AND(LEFT($A25,6)="SAMPLE",Config!$B$19&lt;&gt;"Y"),"",IF(NOT(ISNUMBER(G25)),"call_date is blank or not a date",IF(Sync!$D$5="","Clay paste is empty or has no row_id column: paste the Clay export on Clay_Brands",IF(BS25="","row_id not found in the Clay paste: add the Clay row or fix the row_id",IF(AND(ISNUMBER(BU25),BU25&gt;=1,BU25&lt;=5),"Clay status is "&amp;BT25&amp;": set call_done or later",IF(AND(AP25=1,BV25&lt;&gt;BQ25),"Clay yes_in_principle should be "&amp;BQ25,IF(AND(AP25=1,BW25&lt;&gt;G25),"Clay call_date should be "&amp;TEXT(G25,"yyyy-mm-dd"),""))))))))</f>
        <v/>
      </c>
      <c r="AM25" s="17">
        <f>ROW()</f>
        <v/>
      </c>
      <c r="AN25" s="17">
        <f>IF(AND(TRIM($A25)&lt;&gt;"",ISNUMBER(G25)),IF(AND(LEFT($A25,6)="SAMPLE",Config!$B$19&lt;&gt;"Y"),0,1),0)</f>
        <v/>
      </c>
      <c r="AO25" s="17">
        <f>IF(AN25=1,IF(COUNTIFS($A$2:$A$201,$A25,$AN$2:$AN$201,1,$G$2:$G$201,"&lt;"&amp;G25)+COUNTIFS($A$2:$A$201,$A25,$AN$2:$AN$201,1,$G$2:$G$201,G25,$AM$2:$AM$201,"&lt;"&amp;AM25)=0,1,0),0)</f>
        <v/>
      </c>
      <c r="AP25" s="17">
        <f>IF(AN25=1,IF(COUNTIFS($A$2:$A$201,$A25,$AN$2:$AN$201,1,$G$2:$G$201,"&gt;"&amp;G25)+COUNTIFS($A$2:$A$201,$A25,$AN$2:$AN$201,1,$G$2:$G$201,G25,$AM$2:$AM$201,"&gt;"&amp;AM25)=0,1,0),0)</f>
        <v/>
      </c>
      <c r="AQ25" s="17">
        <f>IF(AND(AN25=1,N25="Y",MAX(N(R25),N(V25))&gt;=Config!$B$14),1,0)</f>
        <v/>
      </c>
      <c r="AR25" s="17">
        <f>IF(AQ25=1,IF(COUNTIFS($A$2:$A$201,$A25,$AQ$2:$AQ$201,1,$G$2:$G$201,"&lt;"&amp;G25)+COUNTIFS($A$2:$A$201,$A25,$AQ$2:$AQ$201,1,$G$2:$G$201,G25,$AM$2:$AM$201,"&lt;"&amp;AM25)=0,1,0),0)</f>
        <v/>
      </c>
      <c r="AS25" s="17">
        <f>IF(AND(AN25=1,N25="Y",ISNUMBER(R25)),IF(R25&gt;=Config!$B$14,1,0),0)</f>
        <v/>
      </c>
      <c r="AT25" s="17">
        <f>IF(AS25=1,IF(COUNTIFS($A$2:$A$201,$A25,$AS$2:$AS$201,1,$G$2:$G$201,"&lt;"&amp;G25)+COUNTIFS($A$2:$A$201,$A25,$AS$2:$AS$201,1,$G$2:$G$201,G25,$AM$2:$AM$201,"&lt;"&amp;AM25)=0,1,0),0)</f>
        <v/>
      </c>
      <c r="AU25" s="17">
        <f>IF(AND(AN25=1,N25&lt;&gt;"Y",MAX(N(R25),N(V25))&gt;=Config!$B$14),1,0)</f>
        <v/>
      </c>
      <c r="AV25" s="17">
        <f>IF(AU25=1,IF(COUNTIFS($A$2:$A$201,$A25,$AU$2:$AU$201,1,$G$2:$G$201,"&lt;"&amp;G25)+COUNTIFS($A$2:$A$201,$A25,$AU$2:$AU$201,1,$G$2:$G$201,G25,$AM$2:$AM$201,"&lt;"&amp;AM25)=0,1,0),0)</f>
        <v/>
      </c>
      <c r="AW25" s="17">
        <f>IF(AND(AN25=1,ISNUMBER(R25)),1,0)</f>
        <v/>
      </c>
      <c r="AX25" s="17">
        <f>IF(AW25=1,IF(COUNTIFS($A$2:$A$201,$A25,$AW$2:$AW$201,1,$G$2:$G$201,"&lt;"&amp;G25)+COUNTIFS($A$2:$A$201,$A25,$AW$2:$AW$201,1,$G$2:$G$201,G25,$AM$2:$AM$201,"&lt;"&amp;AM25)=0,1,0),0)</f>
        <v/>
      </c>
      <c r="AY25" s="17">
        <f>IF(AND(AX25=1,G25&lt;=Config!$B$6),R25,"")</f>
        <v/>
      </c>
      <c r="AZ25" s="17">
        <f>IF(AND(AX25=1,G25&lt;=Config!$B$7),R25,"")</f>
        <v/>
      </c>
      <c r="BA25" s="17">
        <f>IF(AND(AX25=1,G25&lt;=Config!$B$8),R25,"")</f>
        <v/>
      </c>
      <c r="BB25" s="17">
        <f>IF(AND(AX25=1,G25&lt;=Config!$B$5),R25,"")</f>
        <v/>
      </c>
      <c r="BC25" s="17">
        <f>IF(AND(AN25=1,ISNUMBER(V25)),1,0)</f>
        <v/>
      </c>
      <c r="BD25" s="17">
        <f>IF(BC25=1,IF(COUNTIFS($A$2:$A$201,$A25,$BC$2:$BC$201,1,$G$2:$G$201,"&lt;"&amp;G25)+COUNTIFS($A$2:$A$201,$A25,$BC$2:$BC$201,1,$G$2:$G$201,G25,$AM$2:$AM$201,"&lt;"&amp;AM25)=0,1,0),0)</f>
        <v/>
      </c>
      <c r="BE25" s="17">
        <f>IF(AND(BD25=1,G25&lt;=Config!$B$6),V25,"")</f>
        <v/>
      </c>
      <c r="BF25" s="17">
        <f>IF(AND(BD25=1,G25&lt;=Config!$B$7),V25,"")</f>
        <v/>
      </c>
      <c r="BG25" s="17">
        <f>IF(AND(BD25=1,G25&lt;=Config!$B$8),V25,"")</f>
        <v/>
      </c>
      <c r="BH25" s="17">
        <f>IF(AND(BD25=1,G25&lt;=Config!$B$5),V25,"")</f>
        <v/>
      </c>
      <c r="BI25" s="17">
        <f>IF(AND(AN25=1,ISNUMBER(J25)),1,0)</f>
        <v/>
      </c>
      <c r="BJ25" s="17">
        <f>IF(BI25=1,IF(COUNTIFS($A$2:$A$201,$A25,$BI$2:$BI$201,1,$G$2:$G$201,"&lt;"&amp;G25)+COUNTIFS($A$2:$A$201,$A25,$BI$2:$BI$201,1,$G$2:$G$201,G25,$AM$2:$AM$201,"&lt;"&amp;AM25)=0,1,0),0)</f>
        <v/>
      </c>
      <c r="BK25" s="17">
        <f>IF(AND(BJ25=1,G25&lt;=Config!$B$5),J25,"")</f>
        <v/>
      </c>
      <c r="BL25" s="17">
        <f>IF(AND(AN25=1,OR(AND(ISNUMBER(R25),TRIM(S25)=""),AND(ISNUMBER(V25),TRIM(W25)=""))),1,0)</f>
        <v/>
      </c>
      <c r="BM25" s="17">
        <f>IF(AN25=1,AB25&amp;"","")</f>
        <v/>
      </c>
      <c r="BN25" s="17">
        <f>IF(AN25=1,AC25&amp;"","")</f>
        <v/>
      </c>
      <c r="BO25" s="17">
        <f>IF(AN25=1,AD25&amp;"","")</f>
        <v/>
      </c>
      <c r="BP25" s="17">
        <f>IF(AND(AN25=1,ISNUMBER(AI25),G25&lt;=Config!$B$5),AI25,"")</f>
        <v/>
      </c>
      <c r="BQ25" s="17">
        <f>IF(AN25=1,IF(COUNTIFS($A$2:$A$201,$A25,$AF$2:$AF$201,"Y",$AN$2:$AN$201,1)&gt;0,"Y","N"),"")</f>
        <v/>
      </c>
      <c r="BR25" s="17">
        <f>IF(AND(AN25=1,AF25="Y"),IF(COUNTIFS($A$2:$A$201,$A25,$AF$2:$AF$201,"Y",$AN$2:$AN$201,1,$G$2:$G$201,"&lt;"&amp;G25)+COUNTIFS($A$2:$A$201,$A25,$AF$2:$AF$201,"Y",$AN$2:$AN$201,1,$G$2:$G$201,G25,$AM$2:$AM$201,"&lt;"&amp;AM25)=0,1,0),0)</f>
        <v/>
      </c>
      <c r="BS25" s="17">
        <f>IF(AN25=1,IFERROR(MATCH($A25,INDEX(Clay_Brands!$A$2:$FZ$601,0,Sync!$D$5),0),""),"")</f>
        <v/>
      </c>
      <c r="BT25" s="17">
        <f>IF(BS25="","",IFERROR(INDEX(Clay_Brands!$A$2:$FZ$601,BS25,Sync!$D$7)&amp;"",""))</f>
        <v/>
      </c>
      <c r="BU25" s="17">
        <f>IF(BT25="","",IFERROR(INDEX(Lists!$J$2:$J$15,MATCH(BT25,Lists!$I$2:$I$15,0)),""))</f>
        <v/>
      </c>
      <c r="BV25" s="17">
        <f>IF(BS25="","",IFERROR(INDEX(Clay_Brands!$A$2:$FZ$601,BS25,Sync!$D$17)&amp;"",""))</f>
        <v/>
      </c>
      <c r="BW25" s="23">
        <f>IF(BS25="","",IFERROR(N(INDEX(Clay_Brands!$A$2:$FZ$601,BS25,Sync!$D$16)),0))</f>
        <v/>
      </c>
    </row>
    <row r="26">
      <c r="G26" s="22" t="n"/>
      <c r="AL26" s="17">
        <f>IF(TRIM($A26)="","",IF(AND(LEFT($A26,6)="SAMPLE",Config!$B$19&lt;&gt;"Y"),"",IF(NOT(ISNUMBER(G26)),"call_date is blank or not a date",IF(Sync!$D$5="","Clay paste is empty or has no row_id column: paste the Clay export on Clay_Brands",IF(BS26="","row_id not found in the Clay paste: add the Clay row or fix the row_id",IF(AND(ISNUMBER(BU26),BU26&gt;=1,BU26&lt;=5),"Clay status is "&amp;BT26&amp;": set call_done or later",IF(AND(AP26=1,BV26&lt;&gt;BQ26),"Clay yes_in_principle should be "&amp;BQ26,IF(AND(AP26=1,BW26&lt;&gt;G26),"Clay call_date should be "&amp;TEXT(G26,"yyyy-mm-dd"),""))))))))</f>
        <v/>
      </c>
      <c r="AM26" s="17">
        <f>ROW()</f>
        <v/>
      </c>
      <c r="AN26" s="17">
        <f>IF(AND(TRIM($A26)&lt;&gt;"",ISNUMBER(G26)),IF(AND(LEFT($A26,6)="SAMPLE",Config!$B$19&lt;&gt;"Y"),0,1),0)</f>
        <v/>
      </c>
      <c r="AO26" s="17">
        <f>IF(AN26=1,IF(COUNTIFS($A$2:$A$201,$A26,$AN$2:$AN$201,1,$G$2:$G$201,"&lt;"&amp;G26)+COUNTIFS($A$2:$A$201,$A26,$AN$2:$AN$201,1,$G$2:$G$201,G26,$AM$2:$AM$201,"&lt;"&amp;AM26)=0,1,0),0)</f>
        <v/>
      </c>
      <c r="AP26" s="17">
        <f>IF(AN26=1,IF(COUNTIFS($A$2:$A$201,$A26,$AN$2:$AN$201,1,$G$2:$G$201,"&gt;"&amp;G26)+COUNTIFS($A$2:$A$201,$A26,$AN$2:$AN$201,1,$G$2:$G$201,G26,$AM$2:$AM$201,"&gt;"&amp;AM26)=0,1,0),0)</f>
        <v/>
      </c>
      <c r="AQ26" s="17">
        <f>IF(AND(AN26=1,N26="Y",MAX(N(R26),N(V26))&gt;=Config!$B$14),1,0)</f>
        <v/>
      </c>
      <c r="AR26" s="17">
        <f>IF(AQ26=1,IF(COUNTIFS($A$2:$A$201,$A26,$AQ$2:$AQ$201,1,$G$2:$G$201,"&lt;"&amp;G26)+COUNTIFS($A$2:$A$201,$A26,$AQ$2:$AQ$201,1,$G$2:$G$201,G26,$AM$2:$AM$201,"&lt;"&amp;AM26)=0,1,0),0)</f>
        <v/>
      </c>
      <c r="AS26" s="17">
        <f>IF(AND(AN26=1,N26="Y",ISNUMBER(R26)),IF(R26&gt;=Config!$B$14,1,0),0)</f>
        <v/>
      </c>
      <c r="AT26" s="17">
        <f>IF(AS26=1,IF(COUNTIFS($A$2:$A$201,$A26,$AS$2:$AS$201,1,$G$2:$G$201,"&lt;"&amp;G26)+COUNTIFS($A$2:$A$201,$A26,$AS$2:$AS$201,1,$G$2:$G$201,G26,$AM$2:$AM$201,"&lt;"&amp;AM26)=0,1,0),0)</f>
        <v/>
      </c>
      <c r="AU26" s="17">
        <f>IF(AND(AN26=1,N26&lt;&gt;"Y",MAX(N(R26),N(V26))&gt;=Config!$B$14),1,0)</f>
        <v/>
      </c>
      <c r="AV26" s="17">
        <f>IF(AU26=1,IF(COUNTIFS($A$2:$A$201,$A26,$AU$2:$AU$201,1,$G$2:$G$201,"&lt;"&amp;G26)+COUNTIFS($A$2:$A$201,$A26,$AU$2:$AU$201,1,$G$2:$G$201,G26,$AM$2:$AM$201,"&lt;"&amp;AM26)=0,1,0),0)</f>
        <v/>
      </c>
      <c r="AW26" s="17">
        <f>IF(AND(AN26=1,ISNUMBER(R26)),1,0)</f>
        <v/>
      </c>
      <c r="AX26" s="17">
        <f>IF(AW26=1,IF(COUNTIFS($A$2:$A$201,$A26,$AW$2:$AW$201,1,$G$2:$G$201,"&lt;"&amp;G26)+COUNTIFS($A$2:$A$201,$A26,$AW$2:$AW$201,1,$G$2:$G$201,G26,$AM$2:$AM$201,"&lt;"&amp;AM26)=0,1,0),0)</f>
        <v/>
      </c>
      <c r="AY26" s="17">
        <f>IF(AND(AX26=1,G26&lt;=Config!$B$6),R26,"")</f>
        <v/>
      </c>
      <c r="AZ26" s="17">
        <f>IF(AND(AX26=1,G26&lt;=Config!$B$7),R26,"")</f>
        <v/>
      </c>
      <c r="BA26" s="17">
        <f>IF(AND(AX26=1,G26&lt;=Config!$B$8),R26,"")</f>
        <v/>
      </c>
      <c r="BB26" s="17">
        <f>IF(AND(AX26=1,G26&lt;=Config!$B$5),R26,"")</f>
        <v/>
      </c>
      <c r="BC26" s="17">
        <f>IF(AND(AN26=1,ISNUMBER(V26)),1,0)</f>
        <v/>
      </c>
      <c r="BD26" s="17">
        <f>IF(BC26=1,IF(COUNTIFS($A$2:$A$201,$A26,$BC$2:$BC$201,1,$G$2:$G$201,"&lt;"&amp;G26)+COUNTIFS($A$2:$A$201,$A26,$BC$2:$BC$201,1,$G$2:$G$201,G26,$AM$2:$AM$201,"&lt;"&amp;AM26)=0,1,0),0)</f>
        <v/>
      </c>
      <c r="BE26" s="17">
        <f>IF(AND(BD26=1,G26&lt;=Config!$B$6),V26,"")</f>
        <v/>
      </c>
      <c r="BF26" s="17">
        <f>IF(AND(BD26=1,G26&lt;=Config!$B$7),V26,"")</f>
        <v/>
      </c>
      <c r="BG26" s="17">
        <f>IF(AND(BD26=1,G26&lt;=Config!$B$8),V26,"")</f>
        <v/>
      </c>
      <c r="BH26" s="17">
        <f>IF(AND(BD26=1,G26&lt;=Config!$B$5),V26,"")</f>
        <v/>
      </c>
      <c r="BI26" s="17">
        <f>IF(AND(AN26=1,ISNUMBER(J26)),1,0)</f>
        <v/>
      </c>
      <c r="BJ26" s="17">
        <f>IF(BI26=1,IF(COUNTIFS($A$2:$A$201,$A26,$BI$2:$BI$201,1,$G$2:$G$201,"&lt;"&amp;G26)+COUNTIFS($A$2:$A$201,$A26,$BI$2:$BI$201,1,$G$2:$G$201,G26,$AM$2:$AM$201,"&lt;"&amp;AM26)=0,1,0),0)</f>
        <v/>
      </c>
      <c r="BK26" s="17">
        <f>IF(AND(BJ26=1,G26&lt;=Config!$B$5),J26,"")</f>
        <v/>
      </c>
      <c r="BL26" s="17">
        <f>IF(AND(AN26=1,OR(AND(ISNUMBER(R26),TRIM(S26)=""),AND(ISNUMBER(V26),TRIM(W26)=""))),1,0)</f>
        <v/>
      </c>
      <c r="BM26" s="17">
        <f>IF(AN26=1,AB26&amp;"","")</f>
        <v/>
      </c>
      <c r="BN26" s="17">
        <f>IF(AN26=1,AC26&amp;"","")</f>
        <v/>
      </c>
      <c r="BO26" s="17">
        <f>IF(AN26=1,AD26&amp;"","")</f>
        <v/>
      </c>
      <c r="BP26" s="17">
        <f>IF(AND(AN26=1,ISNUMBER(AI26),G26&lt;=Config!$B$5),AI26,"")</f>
        <v/>
      </c>
      <c r="BQ26" s="17">
        <f>IF(AN26=1,IF(COUNTIFS($A$2:$A$201,$A26,$AF$2:$AF$201,"Y",$AN$2:$AN$201,1)&gt;0,"Y","N"),"")</f>
        <v/>
      </c>
      <c r="BR26" s="17">
        <f>IF(AND(AN26=1,AF26="Y"),IF(COUNTIFS($A$2:$A$201,$A26,$AF$2:$AF$201,"Y",$AN$2:$AN$201,1,$G$2:$G$201,"&lt;"&amp;G26)+COUNTIFS($A$2:$A$201,$A26,$AF$2:$AF$201,"Y",$AN$2:$AN$201,1,$G$2:$G$201,G26,$AM$2:$AM$201,"&lt;"&amp;AM26)=0,1,0),0)</f>
        <v/>
      </c>
      <c r="BS26" s="17">
        <f>IF(AN26=1,IFERROR(MATCH($A26,INDEX(Clay_Brands!$A$2:$FZ$601,0,Sync!$D$5),0),""),"")</f>
        <v/>
      </c>
      <c r="BT26" s="17">
        <f>IF(BS26="","",IFERROR(INDEX(Clay_Brands!$A$2:$FZ$601,BS26,Sync!$D$7)&amp;"",""))</f>
        <v/>
      </c>
      <c r="BU26" s="17">
        <f>IF(BT26="","",IFERROR(INDEX(Lists!$J$2:$J$15,MATCH(BT26,Lists!$I$2:$I$15,0)),""))</f>
        <v/>
      </c>
      <c r="BV26" s="17">
        <f>IF(BS26="","",IFERROR(INDEX(Clay_Brands!$A$2:$FZ$601,BS26,Sync!$D$17)&amp;"",""))</f>
        <v/>
      </c>
      <c r="BW26" s="23">
        <f>IF(BS26="","",IFERROR(N(INDEX(Clay_Brands!$A$2:$FZ$601,BS26,Sync!$D$16)),0))</f>
        <v/>
      </c>
    </row>
    <row r="27">
      <c r="G27" s="22" t="n"/>
      <c r="AL27" s="17">
        <f>IF(TRIM($A27)="","",IF(AND(LEFT($A27,6)="SAMPLE",Config!$B$19&lt;&gt;"Y"),"",IF(NOT(ISNUMBER(G27)),"call_date is blank or not a date",IF(Sync!$D$5="","Clay paste is empty or has no row_id column: paste the Clay export on Clay_Brands",IF(BS27="","row_id not found in the Clay paste: add the Clay row or fix the row_id",IF(AND(ISNUMBER(BU27),BU27&gt;=1,BU27&lt;=5),"Clay status is "&amp;BT27&amp;": set call_done or later",IF(AND(AP27=1,BV27&lt;&gt;BQ27),"Clay yes_in_principle should be "&amp;BQ27,IF(AND(AP27=1,BW27&lt;&gt;G27),"Clay call_date should be "&amp;TEXT(G27,"yyyy-mm-dd"),""))))))))</f>
        <v/>
      </c>
      <c r="AM27" s="17">
        <f>ROW()</f>
        <v/>
      </c>
      <c r="AN27" s="17">
        <f>IF(AND(TRIM($A27)&lt;&gt;"",ISNUMBER(G27)),IF(AND(LEFT($A27,6)="SAMPLE",Config!$B$19&lt;&gt;"Y"),0,1),0)</f>
        <v/>
      </c>
      <c r="AO27" s="17">
        <f>IF(AN27=1,IF(COUNTIFS($A$2:$A$201,$A27,$AN$2:$AN$201,1,$G$2:$G$201,"&lt;"&amp;G27)+COUNTIFS($A$2:$A$201,$A27,$AN$2:$AN$201,1,$G$2:$G$201,G27,$AM$2:$AM$201,"&lt;"&amp;AM27)=0,1,0),0)</f>
        <v/>
      </c>
      <c r="AP27" s="17">
        <f>IF(AN27=1,IF(COUNTIFS($A$2:$A$201,$A27,$AN$2:$AN$201,1,$G$2:$G$201,"&gt;"&amp;G27)+COUNTIFS($A$2:$A$201,$A27,$AN$2:$AN$201,1,$G$2:$G$201,G27,$AM$2:$AM$201,"&gt;"&amp;AM27)=0,1,0),0)</f>
        <v/>
      </c>
      <c r="AQ27" s="17">
        <f>IF(AND(AN27=1,N27="Y",MAX(N(R27),N(V27))&gt;=Config!$B$14),1,0)</f>
        <v/>
      </c>
      <c r="AR27" s="17">
        <f>IF(AQ27=1,IF(COUNTIFS($A$2:$A$201,$A27,$AQ$2:$AQ$201,1,$G$2:$G$201,"&lt;"&amp;G27)+COUNTIFS($A$2:$A$201,$A27,$AQ$2:$AQ$201,1,$G$2:$G$201,G27,$AM$2:$AM$201,"&lt;"&amp;AM27)=0,1,0),0)</f>
        <v/>
      </c>
      <c r="AS27" s="17">
        <f>IF(AND(AN27=1,N27="Y",ISNUMBER(R27)),IF(R27&gt;=Config!$B$14,1,0),0)</f>
        <v/>
      </c>
      <c r="AT27" s="17">
        <f>IF(AS27=1,IF(COUNTIFS($A$2:$A$201,$A27,$AS$2:$AS$201,1,$G$2:$G$201,"&lt;"&amp;G27)+COUNTIFS($A$2:$A$201,$A27,$AS$2:$AS$201,1,$G$2:$G$201,G27,$AM$2:$AM$201,"&lt;"&amp;AM27)=0,1,0),0)</f>
        <v/>
      </c>
      <c r="AU27" s="17">
        <f>IF(AND(AN27=1,N27&lt;&gt;"Y",MAX(N(R27),N(V27))&gt;=Config!$B$14),1,0)</f>
        <v/>
      </c>
      <c r="AV27" s="17">
        <f>IF(AU27=1,IF(COUNTIFS($A$2:$A$201,$A27,$AU$2:$AU$201,1,$G$2:$G$201,"&lt;"&amp;G27)+COUNTIFS($A$2:$A$201,$A27,$AU$2:$AU$201,1,$G$2:$G$201,G27,$AM$2:$AM$201,"&lt;"&amp;AM27)=0,1,0),0)</f>
        <v/>
      </c>
      <c r="AW27" s="17">
        <f>IF(AND(AN27=1,ISNUMBER(R27)),1,0)</f>
        <v/>
      </c>
      <c r="AX27" s="17">
        <f>IF(AW27=1,IF(COUNTIFS($A$2:$A$201,$A27,$AW$2:$AW$201,1,$G$2:$G$201,"&lt;"&amp;G27)+COUNTIFS($A$2:$A$201,$A27,$AW$2:$AW$201,1,$G$2:$G$201,G27,$AM$2:$AM$201,"&lt;"&amp;AM27)=0,1,0),0)</f>
        <v/>
      </c>
      <c r="AY27" s="17">
        <f>IF(AND(AX27=1,G27&lt;=Config!$B$6),R27,"")</f>
        <v/>
      </c>
      <c r="AZ27" s="17">
        <f>IF(AND(AX27=1,G27&lt;=Config!$B$7),R27,"")</f>
        <v/>
      </c>
      <c r="BA27" s="17">
        <f>IF(AND(AX27=1,G27&lt;=Config!$B$8),R27,"")</f>
        <v/>
      </c>
      <c r="BB27" s="17">
        <f>IF(AND(AX27=1,G27&lt;=Config!$B$5),R27,"")</f>
        <v/>
      </c>
      <c r="BC27" s="17">
        <f>IF(AND(AN27=1,ISNUMBER(V27)),1,0)</f>
        <v/>
      </c>
      <c r="BD27" s="17">
        <f>IF(BC27=1,IF(COUNTIFS($A$2:$A$201,$A27,$BC$2:$BC$201,1,$G$2:$G$201,"&lt;"&amp;G27)+COUNTIFS($A$2:$A$201,$A27,$BC$2:$BC$201,1,$G$2:$G$201,G27,$AM$2:$AM$201,"&lt;"&amp;AM27)=0,1,0),0)</f>
        <v/>
      </c>
      <c r="BE27" s="17">
        <f>IF(AND(BD27=1,G27&lt;=Config!$B$6),V27,"")</f>
        <v/>
      </c>
      <c r="BF27" s="17">
        <f>IF(AND(BD27=1,G27&lt;=Config!$B$7),V27,"")</f>
        <v/>
      </c>
      <c r="BG27" s="17">
        <f>IF(AND(BD27=1,G27&lt;=Config!$B$8),V27,"")</f>
        <v/>
      </c>
      <c r="BH27" s="17">
        <f>IF(AND(BD27=1,G27&lt;=Config!$B$5),V27,"")</f>
        <v/>
      </c>
      <c r="BI27" s="17">
        <f>IF(AND(AN27=1,ISNUMBER(J27)),1,0)</f>
        <v/>
      </c>
      <c r="BJ27" s="17">
        <f>IF(BI27=1,IF(COUNTIFS($A$2:$A$201,$A27,$BI$2:$BI$201,1,$G$2:$G$201,"&lt;"&amp;G27)+COUNTIFS($A$2:$A$201,$A27,$BI$2:$BI$201,1,$G$2:$G$201,G27,$AM$2:$AM$201,"&lt;"&amp;AM27)=0,1,0),0)</f>
        <v/>
      </c>
      <c r="BK27" s="17">
        <f>IF(AND(BJ27=1,G27&lt;=Config!$B$5),J27,"")</f>
        <v/>
      </c>
      <c r="BL27" s="17">
        <f>IF(AND(AN27=1,OR(AND(ISNUMBER(R27),TRIM(S27)=""),AND(ISNUMBER(V27),TRIM(W27)=""))),1,0)</f>
        <v/>
      </c>
      <c r="BM27" s="17">
        <f>IF(AN27=1,AB27&amp;"","")</f>
        <v/>
      </c>
      <c r="BN27" s="17">
        <f>IF(AN27=1,AC27&amp;"","")</f>
        <v/>
      </c>
      <c r="BO27" s="17">
        <f>IF(AN27=1,AD27&amp;"","")</f>
        <v/>
      </c>
      <c r="BP27" s="17">
        <f>IF(AND(AN27=1,ISNUMBER(AI27),G27&lt;=Config!$B$5),AI27,"")</f>
        <v/>
      </c>
      <c r="BQ27" s="17">
        <f>IF(AN27=1,IF(COUNTIFS($A$2:$A$201,$A27,$AF$2:$AF$201,"Y",$AN$2:$AN$201,1)&gt;0,"Y","N"),"")</f>
        <v/>
      </c>
      <c r="BR27" s="17">
        <f>IF(AND(AN27=1,AF27="Y"),IF(COUNTIFS($A$2:$A$201,$A27,$AF$2:$AF$201,"Y",$AN$2:$AN$201,1,$G$2:$G$201,"&lt;"&amp;G27)+COUNTIFS($A$2:$A$201,$A27,$AF$2:$AF$201,"Y",$AN$2:$AN$201,1,$G$2:$G$201,G27,$AM$2:$AM$201,"&lt;"&amp;AM27)=0,1,0),0)</f>
        <v/>
      </c>
      <c r="BS27" s="17">
        <f>IF(AN27=1,IFERROR(MATCH($A27,INDEX(Clay_Brands!$A$2:$FZ$601,0,Sync!$D$5),0),""),"")</f>
        <v/>
      </c>
      <c r="BT27" s="17">
        <f>IF(BS27="","",IFERROR(INDEX(Clay_Brands!$A$2:$FZ$601,BS27,Sync!$D$7)&amp;"",""))</f>
        <v/>
      </c>
      <c r="BU27" s="17">
        <f>IF(BT27="","",IFERROR(INDEX(Lists!$J$2:$J$15,MATCH(BT27,Lists!$I$2:$I$15,0)),""))</f>
        <v/>
      </c>
      <c r="BV27" s="17">
        <f>IF(BS27="","",IFERROR(INDEX(Clay_Brands!$A$2:$FZ$601,BS27,Sync!$D$17)&amp;"",""))</f>
        <v/>
      </c>
      <c r="BW27" s="23">
        <f>IF(BS27="","",IFERROR(N(INDEX(Clay_Brands!$A$2:$FZ$601,BS27,Sync!$D$16)),0))</f>
        <v/>
      </c>
    </row>
    <row r="28">
      <c r="G28" s="22" t="n"/>
      <c r="AL28" s="17">
        <f>IF(TRIM($A28)="","",IF(AND(LEFT($A28,6)="SAMPLE",Config!$B$19&lt;&gt;"Y"),"",IF(NOT(ISNUMBER(G28)),"call_date is blank or not a date",IF(Sync!$D$5="","Clay paste is empty or has no row_id column: paste the Clay export on Clay_Brands",IF(BS28="","row_id not found in the Clay paste: add the Clay row or fix the row_id",IF(AND(ISNUMBER(BU28),BU28&gt;=1,BU28&lt;=5),"Clay status is "&amp;BT28&amp;": set call_done or later",IF(AND(AP28=1,BV28&lt;&gt;BQ28),"Clay yes_in_principle should be "&amp;BQ28,IF(AND(AP28=1,BW28&lt;&gt;G28),"Clay call_date should be "&amp;TEXT(G28,"yyyy-mm-dd"),""))))))))</f>
        <v/>
      </c>
      <c r="AM28" s="17">
        <f>ROW()</f>
        <v/>
      </c>
      <c r="AN28" s="17">
        <f>IF(AND(TRIM($A28)&lt;&gt;"",ISNUMBER(G28)),IF(AND(LEFT($A28,6)="SAMPLE",Config!$B$19&lt;&gt;"Y"),0,1),0)</f>
        <v/>
      </c>
      <c r="AO28" s="17">
        <f>IF(AN28=1,IF(COUNTIFS($A$2:$A$201,$A28,$AN$2:$AN$201,1,$G$2:$G$201,"&lt;"&amp;G28)+COUNTIFS($A$2:$A$201,$A28,$AN$2:$AN$201,1,$G$2:$G$201,G28,$AM$2:$AM$201,"&lt;"&amp;AM28)=0,1,0),0)</f>
        <v/>
      </c>
      <c r="AP28" s="17">
        <f>IF(AN28=1,IF(COUNTIFS($A$2:$A$201,$A28,$AN$2:$AN$201,1,$G$2:$G$201,"&gt;"&amp;G28)+COUNTIFS($A$2:$A$201,$A28,$AN$2:$AN$201,1,$G$2:$G$201,G28,$AM$2:$AM$201,"&gt;"&amp;AM28)=0,1,0),0)</f>
        <v/>
      </c>
      <c r="AQ28" s="17">
        <f>IF(AND(AN28=1,N28="Y",MAX(N(R28),N(V28))&gt;=Config!$B$14),1,0)</f>
        <v/>
      </c>
      <c r="AR28" s="17">
        <f>IF(AQ28=1,IF(COUNTIFS($A$2:$A$201,$A28,$AQ$2:$AQ$201,1,$G$2:$G$201,"&lt;"&amp;G28)+COUNTIFS($A$2:$A$201,$A28,$AQ$2:$AQ$201,1,$G$2:$G$201,G28,$AM$2:$AM$201,"&lt;"&amp;AM28)=0,1,0),0)</f>
        <v/>
      </c>
      <c r="AS28" s="17">
        <f>IF(AND(AN28=1,N28="Y",ISNUMBER(R28)),IF(R28&gt;=Config!$B$14,1,0),0)</f>
        <v/>
      </c>
      <c r="AT28" s="17">
        <f>IF(AS28=1,IF(COUNTIFS($A$2:$A$201,$A28,$AS$2:$AS$201,1,$G$2:$G$201,"&lt;"&amp;G28)+COUNTIFS($A$2:$A$201,$A28,$AS$2:$AS$201,1,$G$2:$G$201,G28,$AM$2:$AM$201,"&lt;"&amp;AM28)=0,1,0),0)</f>
        <v/>
      </c>
      <c r="AU28" s="17">
        <f>IF(AND(AN28=1,N28&lt;&gt;"Y",MAX(N(R28),N(V28))&gt;=Config!$B$14),1,0)</f>
        <v/>
      </c>
      <c r="AV28" s="17">
        <f>IF(AU28=1,IF(COUNTIFS($A$2:$A$201,$A28,$AU$2:$AU$201,1,$G$2:$G$201,"&lt;"&amp;G28)+COUNTIFS($A$2:$A$201,$A28,$AU$2:$AU$201,1,$G$2:$G$201,G28,$AM$2:$AM$201,"&lt;"&amp;AM28)=0,1,0),0)</f>
        <v/>
      </c>
      <c r="AW28" s="17">
        <f>IF(AND(AN28=1,ISNUMBER(R28)),1,0)</f>
        <v/>
      </c>
      <c r="AX28" s="17">
        <f>IF(AW28=1,IF(COUNTIFS($A$2:$A$201,$A28,$AW$2:$AW$201,1,$G$2:$G$201,"&lt;"&amp;G28)+COUNTIFS($A$2:$A$201,$A28,$AW$2:$AW$201,1,$G$2:$G$201,G28,$AM$2:$AM$201,"&lt;"&amp;AM28)=0,1,0),0)</f>
        <v/>
      </c>
      <c r="AY28" s="17">
        <f>IF(AND(AX28=1,G28&lt;=Config!$B$6),R28,"")</f>
        <v/>
      </c>
      <c r="AZ28" s="17">
        <f>IF(AND(AX28=1,G28&lt;=Config!$B$7),R28,"")</f>
        <v/>
      </c>
      <c r="BA28" s="17">
        <f>IF(AND(AX28=1,G28&lt;=Config!$B$8),R28,"")</f>
        <v/>
      </c>
      <c r="BB28" s="17">
        <f>IF(AND(AX28=1,G28&lt;=Config!$B$5),R28,"")</f>
        <v/>
      </c>
      <c r="BC28" s="17">
        <f>IF(AND(AN28=1,ISNUMBER(V28)),1,0)</f>
        <v/>
      </c>
      <c r="BD28" s="17">
        <f>IF(BC28=1,IF(COUNTIFS($A$2:$A$201,$A28,$BC$2:$BC$201,1,$G$2:$G$201,"&lt;"&amp;G28)+COUNTIFS($A$2:$A$201,$A28,$BC$2:$BC$201,1,$G$2:$G$201,G28,$AM$2:$AM$201,"&lt;"&amp;AM28)=0,1,0),0)</f>
        <v/>
      </c>
      <c r="BE28" s="17">
        <f>IF(AND(BD28=1,G28&lt;=Config!$B$6),V28,"")</f>
        <v/>
      </c>
      <c r="BF28" s="17">
        <f>IF(AND(BD28=1,G28&lt;=Config!$B$7),V28,"")</f>
        <v/>
      </c>
      <c r="BG28" s="17">
        <f>IF(AND(BD28=1,G28&lt;=Config!$B$8),V28,"")</f>
        <v/>
      </c>
      <c r="BH28" s="17">
        <f>IF(AND(BD28=1,G28&lt;=Config!$B$5),V28,"")</f>
        <v/>
      </c>
      <c r="BI28" s="17">
        <f>IF(AND(AN28=1,ISNUMBER(J28)),1,0)</f>
        <v/>
      </c>
      <c r="BJ28" s="17">
        <f>IF(BI28=1,IF(COUNTIFS($A$2:$A$201,$A28,$BI$2:$BI$201,1,$G$2:$G$201,"&lt;"&amp;G28)+COUNTIFS($A$2:$A$201,$A28,$BI$2:$BI$201,1,$G$2:$G$201,G28,$AM$2:$AM$201,"&lt;"&amp;AM28)=0,1,0),0)</f>
        <v/>
      </c>
      <c r="BK28" s="17">
        <f>IF(AND(BJ28=1,G28&lt;=Config!$B$5),J28,"")</f>
        <v/>
      </c>
      <c r="BL28" s="17">
        <f>IF(AND(AN28=1,OR(AND(ISNUMBER(R28),TRIM(S28)=""),AND(ISNUMBER(V28),TRIM(W28)=""))),1,0)</f>
        <v/>
      </c>
      <c r="BM28" s="17">
        <f>IF(AN28=1,AB28&amp;"","")</f>
        <v/>
      </c>
      <c r="BN28" s="17">
        <f>IF(AN28=1,AC28&amp;"","")</f>
        <v/>
      </c>
      <c r="BO28" s="17">
        <f>IF(AN28=1,AD28&amp;"","")</f>
        <v/>
      </c>
      <c r="BP28" s="17">
        <f>IF(AND(AN28=1,ISNUMBER(AI28),G28&lt;=Config!$B$5),AI28,"")</f>
        <v/>
      </c>
      <c r="BQ28" s="17">
        <f>IF(AN28=1,IF(COUNTIFS($A$2:$A$201,$A28,$AF$2:$AF$201,"Y",$AN$2:$AN$201,1)&gt;0,"Y","N"),"")</f>
        <v/>
      </c>
      <c r="BR28" s="17">
        <f>IF(AND(AN28=1,AF28="Y"),IF(COUNTIFS($A$2:$A$201,$A28,$AF$2:$AF$201,"Y",$AN$2:$AN$201,1,$G$2:$G$201,"&lt;"&amp;G28)+COUNTIFS($A$2:$A$201,$A28,$AF$2:$AF$201,"Y",$AN$2:$AN$201,1,$G$2:$G$201,G28,$AM$2:$AM$201,"&lt;"&amp;AM28)=0,1,0),0)</f>
        <v/>
      </c>
      <c r="BS28" s="17">
        <f>IF(AN28=1,IFERROR(MATCH($A28,INDEX(Clay_Brands!$A$2:$FZ$601,0,Sync!$D$5),0),""),"")</f>
        <v/>
      </c>
      <c r="BT28" s="17">
        <f>IF(BS28="","",IFERROR(INDEX(Clay_Brands!$A$2:$FZ$601,BS28,Sync!$D$7)&amp;"",""))</f>
        <v/>
      </c>
      <c r="BU28" s="17">
        <f>IF(BT28="","",IFERROR(INDEX(Lists!$J$2:$J$15,MATCH(BT28,Lists!$I$2:$I$15,0)),""))</f>
        <v/>
      </c>
      <c r="BV28" s="17">
        <f>IF(BS28="","",IFERROR(INDEX(Clay_Brands!$A$2:$FZ$601,BS28,Sync!$D$17)&amp;"",""))</f>
        <v/>
      </c>
      <c r="BW28" s="23">
        <f>IF(BS28="","",IFERROR(N(INDEX(Clay_Brands!$A$2:$FZ$601,BS28,Sync!$D$16)),0))</f>
        <v/>
      </c>
    </row>
    <row r="29">
      <c r="G29" s="22" t="n"/>
      <c r="AL29" s="17">
        <f>IF(TRIM($A29)="","",IF(AND(LEFT($A29,6)="SAMPLE",Config!$B$19&lt;&gt;"Y"),"",IF(NOT(ISNUMBER(G29)),"call_date is blank or not a date",IF(Sync!$D$5="","Clay paste is empty or has no row_id column: paste the Clay export on Clay_Brands",IF(BS29="","row_id not found in the Clay paste: add the Clay row or fix the row_id",IF(AND(ISNUMBER(BU29),BU29&gt;=1,BU29&lt;=5),"Clay status is "&amp;BT29&amp;": set call_done or later",IF(AND(AP29=1,BV29&lt;&gt;BQ29),"Clay yes_in_principle should be "&amp;BQ29,IF(AND(AP29=1,BW29&lt;&gt;G29),"Clay call_date should be "&amp;TEXT(G29,"yyyy-mm-dd"),""))))))))</f>
        <v/>
      </c>
      <c r="AM29" s="17">
        <f>ROW()</f>
        <v/>
      </c>
      <c r="AN29" s="17">
        <f>IF(AND(TRIM($A29)&lt;&gt;"",ISNUMBER(G29)),IF(AND(LEFT($A29,6)="SAMPLE",Config!$B$19&lt;&gt;"Y"),0,1),0)</f>
        <v/>
      </c>
      <c r="AO29" s="17">
        <f>IF(AN29=1,IF(COUNTIFS($A$2:$A$201,$A29,$AN$2:$AN$201,1,$G$2:$G$201,"&lt;"&amp;G29)+COUNTIFS($A$2:$A$201,$A29,$AN$2:$AN$201,1,$G$2:$G$201,G29,$AM$2:$AM$201,"&lt;"&amp;AM29)=0,1,0),0)</f>
        <v/>
      </c>
      <c r="AP29" s="17">
        <f>IF(AN29=1,IF(COUNTIFS($A$2:$A$201,$A29,$AN$2:$AN$201,1,$G$2:$G$201,"&gt;"&amp;G29)+COUNTIFS($A$2:$A$201,$A29,$AN$2:$AN$201,1,$G$2:$G$201,G29,$AM$2:$AM$201,"&gt;"&amp;AM29)=0,1,0),0)</f>
        <v/>
      </c>
      <c r="AQ29" s="17">
        <f>IF(AND(AN29=1,N29="Y",MAX(N(R29),N(V29))&gt;=Config!$B$14),1,0)</f>
        <v/>
      </c>
      <c r="AR29" s="17">
        <f>IF(AQ29=1,IF(COUNTIFS($A$2:$A$201,$A29,$AQ$2:$AQ$201,1,$G$2:$G$201,"&lt;"&amp;G29)+COUNTIFS($A$2:$A$201,$A29,$AQ$2:$AQ$201,1,$G$2:$G$201,G29,$AM$2:$AM$201,"&lt;"&amp;AM29)=0,1,0),0)</f>
        <v/>
      </c>
      <c r="AS29" s="17">
        <f>IF(AND(AN29=1,N29="Y",ISNUMBER(R29)),IF(R29&gt;=Config!$B$14,1,0),0)</f>
        <v/>
      </c>
      <c r="AT29" s="17">
        <f>IF(AS29=1,IF(COUNTIFS($A$2:$A$201,$A29,$AS$2:$AS$201,1,$G$2:$G$201,"&lt;"&amp;G29)+COUNTIFS($A$2:$A$201,$A29,$AS$2:$AS$201,1,$G$2:$G$201,G29,$AM$2:$AM$201,"&lt;"&amp;AM29)=0,1,0),0)</f>
        <v/>
      </c>
      <c r="AU29" s="17">
        <f>IF(AND(AN29=1,N29&lt;&gt;"Y",MAX(N(R29),N(V29))&gt;=Config!$B$14),1,0)</f>
        <v/>
      </c>
      <c r="AV29" s="17">
        <f>IF(AU29=1,IF(COUNTIFS($A$2:$A$201,$A29,$AU$2:$AU$201,1,$G$2:$G$201,"&lt;"&amp;G29)+COUNTIFS($A$2:$A$201,$A29,$AU$2:$AU$201,1,$G$2:$G$201,G29,$AM$2:$AM$201,"&lt;"&amp;AM29)=0,1,0),0)</f>
        <v/>
      </c>
      <c r="AW29" s="17">
        <f>IF(AND(AN29=1,ISNUMBER(R29)),1,0)</f>
        <v/>
      </c>
      <c r="AX29" s="17">
        <f>IF(AW29=1,IF(COUNTIFS($A$2:$A$201,$A29,$AW$2:$AW$201,1,$G$2:$G$201,"&lt;"&amp;G29)+COUNTIFS($A$2:$A$201,$A29,$AW$2:$AW$201,1,$G$2:$G$201,G29,$AM$2:$AM$201,"&lt;"&amp;AM29)=0,1,0),0)</f>
        <v/>
      </c>
      <c r="AY29" s="17">
        <f>IF(AND(AX29=1,G29&lt;=Config!$B$6),R29,"")</f>
        <v/>
      </c>
      <c r="AZ29" s="17">
        <f>IF(AND(AX29=1,G29&lt;=Config!$B$7),R29,"")</f>
        <v/>
      </c>
      <c r="BA29" s="17">
        <f>IF(AND(AX29=1,G29&lt;=Config!$B$8),R29,"")</f>
        <v/>
      </c>
      <c r="BB29" s="17">
        <f>IF(AND(AX29=1,G29&lt;=Config!$B$5),R29,"")</f>
        <v/>
      </c>
      <c r="BC29" s="17">
        <f>IF(AND(AN29=1,ISNUMBER(V29)),1,0)</f>
        <v/>
      </c>
      <c r="BD29" s="17">
        <f>IF(BC29=1,IF(COUNTIFS($A$2:$A$201,$A29,$BC$2:$BC$201,1,$G$2:$G$201,"&lt;"&amp;G29)+COUNTIFS($A$2:$A$201,$A29,$BC$2:$BC$201,1,$G$2:$G$201,G29,$AM$2:$AM$201,"&lt;"&amp;AM29)=0,1,0),0)</f>
        <v/>
      </c>
      <c r="BE29" s="17">
        <f>IF(AND(BD29=1,G29&lt;=Config!$B$6),V29,"")</f>
        <v/>
      </c>
      <c r="BF29" s="17">
        <f>IF(AND(BD29=1,G29&lt;=Config!$B$7),V29,"")</f>
        <v/>
      </c>
      <c r="BG29" s="17">
        <f>IF(AND(BD29=1,G29&lt;=Config!$B$8),V29,"")</f>
        <v/>
      </c>
      <c r="BH29" s="17">
        <f>IF(AND(BD29=1,G29&lt;=Config!$B$5),V29,"")</f>
        <v/>
      </c>
      <c r="BI29" s="17">
        <f>IF(AND(AN29=1,ISNUMBER(J29)),1,0)</f>
        <v/>
      </c>
      <c r="BJ29" s="17">
        <f>IF(BI29=1,IF(COUNTIFS($A$2:$A$201,$A29,$BI$2:$BI$201,1,$G$2:$G$201,"&lt;"&amp;G29)+COUNTIFS($A$2:$A$201,$A29,$BI$2:$BI$201,1,$G$2:$G$201,G29,$AM$2:$AM$201,"&lt;"&amp;AM29)=0,1,0),0)</f>
        <v/>
      </c>
      <c r="BK29" s="17">
        <f>IF(AND(BJ29=1,G29&lt;=Config!$B$5),J29,"")</f>
        <v/>
      </c>
      <c r="BL29" s="17">
        <f>IF(AND(AN29=1,OR(AND(ISNUMBER(R29),TRIM(S29)=""),AND(ISNUMBER(V29),TRIM(W29)=""))),1,0)</f>
        <v/>
      </c>
      <c r="BM29" s="17">
        <f>IF(AN29=1,AB29&amp;"","")</f>
        <v/>
      </c>
      <c r="BN29" s="17">
        <f>IF(AN29=1,AC29&amp;"","")</f>
        <v/>
      </c>
      <c r="BO29" s="17">
        <f>IF(AN29=1,AD29&amp;"","")</f>
        <v/>
      </c>
      <c r="BP29" s="17">
        <f>IF(AND(AN29=1,ISNUMBER(AI29),G29&lt;=Config!$B$5),AI29,"")</f>
        <v/>
      </c>
      <c r="BQ29" s="17">
        <f>IF(AN29=1,IF(COUNTIFS($A$2:$A$201,$A29,$AF$2:$AF$201,"Y",$AN$2:$AN$201,1)&gt;0,"Y","N"),"")</f>
        <v/>
      </c>
      <c r="BR29" s="17">
        <f>IF(AND(AN29=1,AF29="Y"),IF(COUNTIFS($A$2:$A$201,$A29,$AF$2:$AF$201,"Y",$AN$2:$AN$201,1,$G$2:$G$201,"&lt;"&amp;G29)+COUNTIFS($A$2:$A$201,$A29,$AF$2:$AF$201,"Y",$AN$2:$AN$201,1,$G$2:$G$201,G29,$AM$2:$AM$201,"&lt;"&amp;AM29)=0,1,0),0)</f>
        <v/>
      </c>
      <c r="BS29" s="17">
        <f>IF(AN29=1,IFERROR(MATCH($A29,INDEX(Clay_Brands!$A$2:$FZ$601,0,Sync!$D$5),0),""),"")</f>
        <v/>
      </c>
      <c r="BT29" s="17">
        <f>IF(BS29="","",IFERROR(INDEX(Clay_Brands!$A$2:$FZ$601,BS29,Sync!$D$7)&amp;"",""))</f>
        <v/>
      </c>
      <c r="BU29" s="17">
        <f>IF(BT29="","",IFERROR(INDEX(Lists!$J$2:$J$15,MATCH(BT29,Lists!$I$2:$I$15,0)),""))</f>
        <v/>
      </c>
      <c r="BV29" s="17">
        <f>IF(BS29="","",IFERROR(INDEX(Clay_Brands!$A$2:$FZ$601,BS29,Sync!$D$17)&amp;"",""))</f>
        <v/>
      </c>
      <c r="BW29" s="23">
        <f>IF(BS29="","",IFERROR(N(INDEX(Clay_Brands!$A$2:$FZ$601,BS29,Sync!$D$16)),0))</f>
        <v/>
      </c>
    </row>
    <row r="30">
      <c r="G30" s="22" t="n"/>
      <c r="AL30" s="17">
        <f>IF(TRIM($A30)="","",IF(AND(LEFT($A30,6)="SAMPLE",Config!$B$19&lt;&gt;"Y"),"",IF(NOT(ISNUMBER(G30)),"call_date is blank or not a date",IF(Sync!$D$5="","Clay paste is empty or has no row_id column: paste the Clay export on Clay_Brands",IF(BS30="","row_id not found in the Clay paste: add the Clay row or fix the row_id",IF(AND(ISNUMBER(BU30),BU30&gt;=1,BU30&lt;=5),"Clay status is "&amp;BT30&amp;": set call_done or later",IF(AND(AP30=1,BV30&lt;&gt;BQ30),"Clay yes_in_principle should be "&amp;BQ30,IF(AND(AP30=1,BW30&lt;&gt;G30),"Clay call_date should be "&amp;TEXT(G30,"yyyy-mm-dd"),""))))))))</f>
        <v/>
      </c>
      <c r="AM30" s="17">
        <f>ROW()</f>
        <v/>
      </c>
      <c r="AN30" s="17">
        <f>IF(AND(TRIM($A30)&lt;&gt;"",ISNUMBER(G30)),IF(AND(LEFT($A30,6)="SAMPLE",Config!$B$19&lt;&gt;"Y"),0,1),0)</f>
        <v/>
      </c>
      <c r="AO30" s="17">
        <f>IF(AN30=1,IF(COUNTIFS($A$2:$A$201,$A30,$AN$2:$AN$201,1,$G$2:$G$201,"&lt;"&amp;G30)+COUNTIFS($A$2:$A$201,$A30,$AN$2:$AN$201,1,$G$2:$G$201,G30,$AM$2:$AM$201,"&lt;"&amp;AM30)=0,1,0),0)</f>
        <v/>
      </c>
      <c r="AP30" s="17">
        <f>IF(AN30=1,IF(COUNTIFS($A$2:$A$201,$A30,$AN$2:$AN$201,1,$G$2:$G$201,"&gt;"&amp;G30)+COUNTIFS($A$2:$A$201,$A30,$AN$2:$AN$201,1,$G$2:$G$201,G30,$AM$2:$AM$201,"&gt;"&amp;AM30)=0,1,0),0)</f>
        <v/>
      </c>
      <c r="AQ30" s="17">
        <f>IF(AND(AN30=1,N30="Y",MAX(N(R30),N(V30))&gt;=Config!$B$14),1,0)</f>
        <v/>
      </c>
      <c r="AR30" s="17">
        <f>IF(AQ30=1,IF(COUNTIFS($A$2:$A$201,$A30,$AQ$2:$AQ$201,1,$G$2:$G$201,"&lt;"&amp;G30)+COUNTIFS($A$2:$A$201,$A30,$AQ$2:$AQ$201,1,$G$2:$G$201,G30,$AM$2:$AM$201,"&lt;"&amp;AM30)=0,1,0),0)</f>
        <v/>
      </c>
      <c r="AS30" s="17">
        <f>IF(AND(AN30=1,N30="Y",ISNUMBER(R30)),IF(R30&gt;=Config!$B$14,1,0),0)</f>
        <v/>
      </c>
      <c r="AT30" s="17">
        <f>IF(AS30=1,IF(COUNTIFS($A$2:$A$201,$A30,$AS$2:$AS$201,1,$G$2:$G$201,"&lt;"&amp;G30)+COUNTIFS($A$2:$A$201,$A30,$AS$2:$AS$201,1,$G$2:$G$201,G30,$AM$2:$AM$201,"&lt;"&amp;AM30)=0,1,0),0)</f>
        <v/>
      </c>
      <c r="AU30" s="17">
        <f>IF(AND(AN30=1,N30&lt;&gt;"Y",MAX(N(R30),N(V30))&gt;=Config!$B$14),1,0)</f>
        <v/>
      </c>
      <c r="AV30" s="17">
        <f>IF(AU30=1,IF(COUNTIFS($A$2:$A$201,$A30,$AU$2:$AU$201,1,$G$2:$G$201,"&lt;"&amp;G30)+COUNTIFS($A$2:$A$201,$A30,$AU$2:$AU$201,1,$G$2:$G$201,G30,$AM$2:$AM$201,"&lt;"&amp;AM30)=0,1,0),0)</f>
        <v/>
      </c>
      <c r="AW30" s="17">
        <f>IF(AND(AN30=1,ISNUMBER(R30)),1,0)</f>
        <v/>
      </c>
      <c r="AX30" s="17">
        <f>IF(AW30=1,IF(COUNTIFS($A$2:$A$201,$A30,$AW$2:$AW$201,1,$G$2:$G$201,"&lt;"&amp;G30)+COUNTIFS($A$2:$A$201,$A30,$AW$2:$AW$201,1,$G$2:$G$201,G30,$AM$2:$AM$201,"&lt;"&amp;AM30)=0,1,0),0)</f>
        <v/>
      </c>
      <c r="AY30" s="17">
        <f>IF(AND(AX30=1,G30&lt;=Config!$B$6),R30,"")</f>
        <v/>
      </c>
      <c r="AZ30" s="17">
        <f>IF(AND(AX30=1,G30&lt;=Config!$B$7),R30,"")</f>
        <v/>
      </c>
      <c r="BA30" s="17">
        <f>IF(AND(AX30=1,G30&lt;=Config!$B$8),R30,"")</f>
        <v/>
      </c>
      <c r="BB30" s="17">
        <f>IF(AND(AX30=1,G30&lt;=Config!$B$5),R30,"")</f>
        <v/>
      </c>
      <c r="BC30" s="17">
        <f>IF(AND(AN30=1,ISNUMBER(V30)),1,0)</f>
        <v/>
      </c>
      <c r="BD30" s="17">
        <f>IF(BC30=1,IF(COUNTIFS($A$2:$A$201,$A30,$BC$2:$BC$201,1,$G$2:$G$201,"&lt;"&amp;G30)+COUNTIFS($A$2:$A$201,$A30,$BC$2:$BC$201,1,$G$2:$G$201,G30,$AM$2:$AM$201,"&lt;"&amp;AM30)=0,1,0),0)</f>
        <v/>
      </c>
      <c r="BE30" s="17">
        <f>IF(AND(BD30=1,G30&lt;=Config!$B$6),V30,"")</f>
        <v/>
      </c>
      <c r="BF30" s="17">
        <f>IF(AND(BD30=1,G30&lt;=Config!$B$7),V30,"")</f>
        <v/>
      </c>
      <c r="BG30" s="17">
        <f>IF(AND(BD30=1,G30&lt;=Config!$B$8),V30,"")</f>
        <v/>
      </c>
      <c r="BH30" s="17">
        <f>IF(AND(BD30=1,G30&lt;=Config!$B$5),V30,"")</f>
        <v/>
      </c>
      <c r="BI30" s="17">
        <f>IF(AND(AN30=1,ISNUMBER(J30)),1,0)</f>
        <v/>
      </c>
      <c r="BJ30" s="17">
        <f>IF(BI30=1,IF(COUNTIFS($A$2:$A$201,$A30,$BI$2:$BI$201,1,$G$2:$G$201,"&lt;"&amp;G30)+COUNTIFS($A$2:$A$201,$A30,$BI$2:$BI$201,1,$G$2:$G$201,G30,$AM$2:$AM$201,"&lt;"&amp;AM30)=0,1,0),0)</f>
        <v/>
      </c>
      <c r="BK30" s="17">
        <f>IF(AND(BJ30=1,G30&lt;=Config!$B$5),J30,"")</f>
        <v/>
      </c>
      <c r="BL30" s="17">
        <f>IF(AND(AN30=1,OR(AND(ISNUMBER(R30),TRIM(S30)=""),AND(ISNUMBER(V30),TRIM(W30)=""))),1,0)</f>
        <v/>
      </c>
      <c r="BM30" s="17">
        <f>IF(AN30=1,AB30&amp;"","")</f>
        <v/>
      </c>
      <c r="BN30" s="17">
        <f>IF(AN30=1,AC30&amp;"","")</f>
        <v/>
      </c>
      <c r="BO30" s="17">
        <f>IF(AN30=1,AD30&amp;"","")</f>
        <v/>
      </c>
      <c r="BP30" s="17">
        <f>IF(AND(AN30=1,ISNUMBER(AI30),G30&lt;=Config!$B$5),AI30,"")</f>
        <v/>
      </c>
      <c r="BQ30" s="17">
        <f>IF(AN30=1,IF(COUNTIFS($A$2:$A$201,$A30,$AF$2:$AF$201,"Y",$AN$2:$AN$201,1)&gt;0,"Y","N"),"")</f>
        <v/>
      </c>
      <c r="BR30" s="17">
        <f>IF(AND(AN30=1,AF30="Y"),IF(COUNTIFS($A$2:$A$201,$A30,$AF$2:$AF$201,"Y",$AN$2:$AN$201,1,$G$2:$G$201,"&lt;"&amp;G30)+COUNTIFS($A$2:$A$201,$A30,$AF$2:$AF$201,"Y",$AN$2:$AN$201,1,$G$2:$G$201,G30,$AM$2:$AM$201,"&lt;"&amp;AM30)=0,1,0),0)</f>
        <v/>
      </c>
      <c r="BS30" s="17">
        <f>IF(AN30=1,IFERROR(MATCH($A30,INDEX(Clay_Brands!$A$2:$FZ$601,0,Sync!$D$5),0),""),"")</f>
        <v/>
      </c>
      <c r="BT30" s="17">
        <f>IF(BS30="","",IFERROR(INDEX(Clay_Brands!$A$2:$FZ$601,BS30,Sync!$D$7)&amp;"",""))</f>
        <v/>
      </c>
      <c r="BU30" s="17">
        <f>IF(BT30="","",IFERROR(INDEX(Lists!$J$2:$J$15,MATCH(BT30,Lists!$I$2:$I$15,0)),""))</f>
        <v/>
      </c>
      <c r="BV30" s="17">
        <f>IF(BS30="","",IFERROR(INDEX(Clay_Brands!$A$2:$FZ$601,BS30,Sync!$D$17)&amp;"",""))</f>
        <v/>
      </c>
      <c r="BW30" s="23">
        <f>IF(BS30="","",IFERROR(N(INDEX(Clay_Brands!$A$2:$FZ$601,BS30,Sync!$D$16)),0))</f>
        <v/>
      </c>
    </row>
    <row r="31">
      <c r="G31" s="22" t="n"/>
      <c r="AL31" s="17">
        <f>IF(TRIM($A31)="","",IF(AND(LEFT($A31,6)="SAMPLE",Config!$B$19&lt;&gt;"Y"),"",IF(NOT(ISNUMBER(G31)),"call_date is blank or not a date",IF(Sync!$D$5="","Clay paste is empty or has no row_id column: paste the Clay export on Clay_Brands",IF(BS31="","row_id not found in the Clay paste: add the Clay row or fix the row_id",IF(AND(ISNUMBER(BU31),BU31&gt;=1,BU31&lt;=5),"Clay status is "&amp;BT31&amp;": set call_done or later",IF(AND(AP31=1,BV31&lt;&gt;BQ31),"Clay yes_in_principle should be "&amp;BQ31,IF(AND(AP31=1,BW31&lt;&gt;G31),"Clay call_date should be "&amp;TEXT(G31,"yyyy-mm-dd"),""))))))))</f>
        <v/>
      </c>
      <c r="AM31" s="17">
        <f>ROW()</f>
        <v/>
      </c>
      <c r="AN31" s="17">
        <f>IF(AND(TRIM($A31)&lt;&gt;"",ISNUMBER(G31)),IF(AND(LEFT($A31,6)="SAMPLE",Config!$B$19&lt;&gt;"Y"),0,1),0)</f>
        <v/>
      </c>
      <c r="AO31" s="17">
        <f>IF(AN31=1,IF(COUNTIFS($A$2:$A$201,$A31,$AN$2:$AN$201,1,$G$2:$G$201,"&lt;"&amp;G31)+COUNTIFS($A$2:$A$201,$A31,$AN$2:$AN$201,1,$G$2:$G$201,G31,$AM$2:$AM$201,"&lt;"&amp;AM31)=0,1,0),0)</f>
        <v/>
      </c>
      <c r="AP31" s="17">
        <f>IF(AN31=1,IF(COUNTIFS($A$2:$A$201,$A31,$AN$2:$AN$201,1,$G$2:$G$201,"&gt;"&amp;G31)+COUNTIFS($A$2:$A$201,$A31,$AN$2:$AN$201,1,$G$2:$G$201,G31,$AM$2:$AM$201,"&gt;"&amp;AM31)=0,1,0),0)</f>
        <v/>
      </c>
      <c r="AQ31" s="17">
        <f>IF(AND(AN31=1,N31="Y",MAX(N(R31),N(V31))&gt;=Config!$B$14),1,0)</f>
        <v/>
      </c>
      <c r="AR31" s="17">
        <f>IF(AQ31=1,IF(COUNTIFS($A$2:$A$201,$A31,$AQ$2:$AQ$201,1,$G$2:$G$201,"&lt;"&amp;G31)+COUNTIFS($A$2:$A$201,$A31,$AQ$2:$AQ$201,1,$G$2:$G$201,G31,$AM$2:$AM$201,"&lt;"&amp;AM31)=0,1,0),0)</f>
        <v/>
      </c>
      <c r="AS31" s="17">
        <f>IF(AND(AN31=1,N31="Y",ISNUMBER(R31)),IF(R31&gt;=Config!$B$14,1,0),0)</f>
        <v/>
      </c>
      <c r="AT31" s="17">
        <f>IF(AS31=1,IF(COUNTIFS($A$2:$A$201,$A31,$AS$2:$AS$201,1,$G$2:$G$201,"&lt;"&amp;G31)+COUNTIFS($A$2:$A$201,$A31,$AS$2:$AS$201,1,$G$2:$G$201,G31,$AM$2:$AM$201,"&lt;"&amp;AM31)=0,1,0),0)</f>
        <v/>
      </c>
      <c r="AU31" s="17">
        <f>IF(AND(AN31=1,N31&lt;&gt;"Y",MAX(N(R31),N(V31))&gt;=Config!$B$14),1,0)</f>
        <v/>
      </c>
      <c r="AV31" s="17">
        <f>IF(AU31=1,IF(COUNTIFS($A$2:$A$201,$A31,$AU$2:$AU$201,1,$G$2:$G$201,"&lt;"&amp;G31)+COUNTIFS($A$2:$A$201,$A31,$AU$2:$AU$201,1,$G$2:$G$201,G31,$AM$2:$AM$201,"&lt;"&amp;AM31)=0,1,0),0)</f>
        <v/>
      </c>
      <c r="AW31" s="17">
        <f>IF(AND(AN31=1,ISNUMBER(R31)),1,0)</f>
        <v/>
      </c>
      <c r="AX31" s="17">
        <f>IF(AW31=1,IF(COUNTIFS($A$2:$A$201,$A31,$AW$2:$AW$201,1,$G$2:$G$201,"&lt;"&amp;G31)+COUNTIFS($A$2:$A$201,$A31,$AW$2:$AW$201,1,$G$2:$G$201,G31,$AM$2:$AM$201,"&lt;"&amp;AM31)=0,1,0),0)</f>
        <v/>
      </c>
      <c r="AY31" s="17">
        <f>IF(AND(AX31=1,G31&lt;=Config!$B$6),R31,"")</f>
        <v/>
      </c>
      <c r="AZ31" s="17">
        <f>IF(AND(AX31=1,G31&lt;=Config!$B$7),R31,"")</f>
        <v/>
      </c>
      <c r="BA31" s="17">
        <f>IF(AND(AX31=1,G31&lt;=Config!$B$8),R31,"")</f>
        <v/>
      </c>
      <c r="BB31" s="17">
        <f>IF(AND(AX31=1,G31&lt;=Config!$B$5),R31,"")</f>
        <v/>
      </c>
      <c r="BC31" s="17">
        <f>IF(AND(AN31=1,ISNUMBER(V31)),1,0)</f>
        <v/>
      </c>
      <c r="BD31" s="17">
        <f>IF(BC31=1,IF(COUNTIFS($A$2:$A$201,$A31,$BC$2:$BC$201,1,$G$2:$G$201,"&lt;"&amp;G31)+COUNTIFS($A$2:$A$201,$A31,$BC$2:$BC$201,1,$G$2:$G$201,G31,$AM$2:$AM$201,"&lt;"&amp;AM31)=0,1,0),0)</f>
        <v/>
      </c>
      <c r="BE31" s="17">
        <f>IF(AND(BD31=1,G31&lt;=Config!$B$6),V31,"")</f>
        <v/>
      </c>
      <c r="BF31" s="17">
        <f>IF(AND(BD31=1,G31&lt;=Config!$B$7),V31,"")</f>
        <v/>
      </c>
      <c r="BG31" s="17">
        <f>IF(AND(BD31=1,G31&lt;=Config!$B$8),V31,"")</f>
        <v/>
      </c>
      <c r="BH31" s="17">
        <f>IF(AND(BD31=1,G31&lt;=Config!$B$5),V31,"")</f>
        <v/>
      </c>
      <c r="BI31" s="17">
        <f>IF(AND(AN31=1,ISNUMBER(J31)),1,0)</f>
        <v/>
      </c>
      <c r="BJ31" s="17">
        <f>IF(BI31=1,IF(COUNTIFS($A$2:$A$201,$A31,$BI$2:$BI$201,1,$G$2:$G$201,"&lt;"&amp;G31)+COUNTIFS($A$2:$A$201,$A31,$BI$2:$BI$201,1,$G$2:$G$201,G31,$AM$2:$AM$201,"&lt;"&amp;AM31)=0,1,0),0)</f>
        <v/>
      </c>
      <c r="BK31" s="17">
        <f>IF(AND(BJ31=1,G31&lt;=Config!$B$5),J31,"")</f>
        <v/>
      </c>
      <c r="BL31" s="17">
        <f>IF(AND(AN31=1,OR(AND(ISNUMBER(R31),TRIM(S31)=""),AND(ISNUMBER(V31),TRIM(W31)=""))),1,0)</f>
        <v/>
      </c>
      <c r="BM31" s="17">
        <f>IF(AN31=1,AB31&amp;"","")</f>
        <v/>
      </c>
      <c r="BN31" s="17">
        <f>IF(AN31=1,AC31&amp;"","")</f>
        <v/>
      </c>
      <c r="BO31" s="17">
        <f>IF(AN31=1,AD31&amp;"","")</f>
        <v/>
      </c>
      <c r="BP31" s="17">
        <f>IF(AND(AN31=1,ISNUMBER(AI31),G31&lt;=Config!$B$5),AI31,"")</f>
        <v/>
      </c>
      <c r="BQ31" s="17">
        <f>IF(AN31=1,IF(COUNTIFS($A$2:$A$201,$A31,$AF$2:$AF$201,"Y",$AN$2:$AN$201,1)&gt;0,"Y","N"),"")</f>
        <v/>
      </c>
      <c r="BR31" s="17">
        <f>IF(AND(AN31=1,AF31="Y"),IF(COUNTIFS($A$2:$A$201,$A31,$AF$2:$AF$201,"Y",$AN$2:$AN$201,1,$G$2:$G$201,"&lt;"&amp;G31)+COUNTIFS($A$2:$A$201,$A31,$AF$2:$AF$201,"Y",$AN$2:$AN$201,1,$G$2:$G$201,G31,$AM$2:$AM$201,"&lt;"&amp;AM31)=0,1,0),0)</f>
        <v/>
      </c>
      <c r="BS31" s="17">
        <f>IF(AN31=1,IFERROR(MATCH($A31,INDEX(Clay_Brands!$A$2:$FZ$601,0,Sync!$D$5),0),""),"")</f>
        <v/>
      </c>
      <c r="BT31" s="17">
        <f>IF(BS31="","",IFERROR(INDEX(Clay_Brands!$A$2:$FZ$601,BS31,Sync!$D$7)&amp;"",""))</f>
        <v/>
      </c>
      <c r="BU31" s="17">
        <f>IF(BT31="","",IFERROR(INDEX(Lists!$J$2:$J$15,MATCH(BT31,Lists!$I$2:$I$15,0)),""))</f>
        <v/>
      </c>
      <c r="BV31" s="17">
        <f>IF(BS31="","",IFERROR(INDEX(Clay_Brands!$A$2:$FZ$601,BS31,Sync!$D$17)&amp;"",""))</f>
        <v/>
      </c>
      <c r="BW31" s="23">
        <f>IF(BS31="","",IFERROR(N(INDEX(Clay_Brands!$A$2:$FZ$601,BS31,Sync!$D$16)),0))</f>
        <v/>
      </c>
    </row>
    <row r="32">
      <c r="G32" s="22" t="n"/>
      <c r="AL32" s="17">
        <f>IF(TRIM($A32)="","",IF(AND(LEFT($A32,6)="SAMPLE",Config!$B$19&lt;&gt;"Y"),"",IF(NOT(ISNUMBER(G32)),"call_date is blank or not a date",IF(Sync!$D$5="","Clay paste is empty or has no row_id column: paste the Clay export on Clay_Brands",IF(BS32="","row_id not found in the Clay paste: add the Clay row or fix the row_id",IF(AND(ISNUMBER(BU32),BU32&gt;=1,BU32&lt;=5),"Clay status is "&amp;BT32&amp;": set call_done or later",IF(AND(AP32=1,BV32&lt;&gt;BQ32),"Clay yes_in_principle should be "&amp;BQ32,IF(AND(AP32=1,BW32&lt;&gt;G32),"Clay call_date should be "&amp;TEXT(G32,"yyyy-mm-dd"),""))))))))</f>
        <v/>
      </c>
      <c r="AM32" s="17">
        <f>ROW()</f>
        <v/>
      </c>
      <c r="AN32" s="17">
        <f>IF(AND(TRIM($A32)&lt;&gt;"",ISNUMBER(G32)),IF(AND(LEFT($A32,6)="SAMPLE",Config!$B$19&lt;&gt;"Y"),0,1),0)</f>
        <v/>
      </c>
      <c r="AO32" s="17">
        <f>IF(AN32=1,IF(COUNTIFS($A$2:$A$201,$A32,$AN$2:$AN$201,1,$G$2:$G$201,"&lt;"&amp;G32)+COUNTIFS($A$2:$A$201,$A32,$AN$2:$AN$201,1,$G$2:$G$201,G32,$AM$2:$AM$201,"&lt;"&amp;AM32)=0,1,0),0)</f>
        <v/>
      </c>
      <c r="AP32" s="17">
        <f>IF(AN32=1,IF(COUNTIFS($A$2:$A$201,$A32,$AN$2:$AN$201,1,$G$2:$G$201,"&gt;"&amp;G32)+COUNTIFS($A$2:$A$201,$A32,$AN$2:$AN$201,1,$G$2:$G$201,G32,$AM$2:$AM$201,"&gt;"&amp;AM32)=0,1,0),0)</f>
        <v/>
      </c>
      <c r="AQ32" s="17">
        <f>IF(AND(AN32=1,N32="Y",MAX(N(R32),N(V32))&gt;=Config!$B$14),1,0)</f>
        <v/>
      </c>
      <c r="AR32" s="17">
        <f>IF(AQ32=1,IF(COUNTIFS($A$2:$A$201,$A32,$AQ$2:$AQ$201,1,$G$2:$G$201,"&lt;"&amp;G32)+COUNTIFS($A$2:$A$201,$A32,$AQ$2:$AQ$201,1,$G$2:$G$201,G32,$AM$2:$AM$201,"&lt;"&amp;AM32)=0,1,0),0)</f>
        <v/>
      </c>
      <c r="AS32" s="17">
        <f>IF(AND(AN32=1,N32="Y",ISNUMBER(R32)),IF(R32&gt;=Config!$B$14,1,0),0)</f>
        <v/>
      </c>
      <c r="AT32" s="17">
        <f>IF(AS32=1,IF(COUNTIFS($A$2:$A$201,$A32,$AS$2:$AS$201,1,$G$2:$G$201,"&lt;"&amp;G32)+COUNTIFS($A$2:$A$201,$A32,$AS$2:$AS$201,1,$G$2:$G$201,G32,$AM$2:$AM$201,"&lt;"&amp;AM32)=0,1,0),0)</f>
        <v/>
      </c>
      <c r="AU32" s="17">
        <f>IF(AND(AN32=1,N32&lt;&gt;"Y",MAX(N(R32),N(V32))&gt;=Config!$B$14),1,0)</f>
        <v/>
      </c>
      <c r="AV32" s="17">
        <f>IF(AU32=1,IF(COUNTIFS($A$2:$A$201,$A32,$AU$2:$AU$201,1,$G$2:$G$201,"&lt;"&amp;G32)+COUNTIFS($A$2:$A$201,$A32,$AU$2:$AU$201,1,$G$2:$G$201,G32,$AM$2:$AM$201,"&lt;"&amp;AM32)=0,1,0),0)</f>
        <v/>
      </c>
      <c r="AW32" s="17">
        <f>IF(AND(AN32=1,ISNUMBER(R32)),1,0)</f>
        <v/>
      </c>
      <c r="AX32" s="17">
        <f>IF(AW32=1,IF(COUNTIFS($A$2:$A$201,$A32,$AW$2:$AW$201,1,$G$2:$G$201,"&lt;"&amp;G32)+COUNTIFS($A$2:$A$201,$A32,$AW$2:$AW$201,1,$G$2:$G$201,G32,$AM$2:$AM$201,"&lt;"&amp;AM32)=0,1,0),0)</f>
        <v/>
      </c>
      <c r="AY32" s="17">
        <f>IF(AND(AX32=1,G32&lt;=Config!$B$6),R32,"")</f>
        <v/>
      </c>
      <c r="AZ32" s="17">
        <f>IF(AND(AX32=1,G32&lt;=Config!$B$7),R32,"")</f>
        <v/>
      </c>
      <c r="BA32" s="17">
        <f>IF(AND(AX32=1,G32&lt;=Config!$B$8),R32,"")</f>
        <v/>
      </c>
      <c r="BB32" s="17">
        <f>IF(AND(AX32=1,G32&lt;=Config!$B$5),R32,"")</f>
        <v/>
      </c>
      <c r="BC32" s="17">
        <f>IF(AND(AN32=1,ISNUMBER(V32)),1,0)</f>
        <v/>
      </c>
      <c r="BD32" s="17">
        <f>IF(BC32=1,IF(COUNTIFS($A$2:$A$201,$A32,$BC$2:$BC$201,1,$G$2:$G$201,"&lt;"&amp;G32)+COUNTIFS($A$2:$A$201,$A32,$BC$2:$BC$201,1,$G$2:$G$201,G32,$AM$2:$AM$201,"&lt;"&amp;AM32)=0,1,0),0)</f>
        <v/>
      </c>
      <c r="BE32" s="17">
        <f>IF(AND(BD32=1,G32&lt;=Config!$B$6),V32,"")</f>
        <v/>
      </c>
      <c r="BF32" s="17">
        <f>IF(AND(BD32=1,G32&lt;=Config!$B$7),V32,"")</f>
        <v/>
      </c>
      <c r="BG32" s="17">
        <f>IF(AND(BD32=1,G32&lt;=Config!$B$8),V32,"")</f>
        <v/>
      </c>
      <c r="BH32" s="17">
        <f>IF(AND(BD32=1,G32&lt;=Config!$B$5),V32,"")</f>
        <v/>
      </c>
      <c r="BI32" s="17">
        <f>IF(AND(AN32=1,ISNUMBER(J32)),1,0)</f>
        <v/>
      </c>
      <c r="BJ32" s="17">
        <f>IF(BI32=1,IF(COUNTIFS($A$2:$A$201,$A32,$BI$2:$BI$201,1,$G$2:$G$201,"&lt;"&amp;G32)+COUNTIFS($A$2:$A$201,$A32,$BI$2:$BI$201,1,$G$2:$G$201,G32,$AM$2:$AM$201,"&lt;"&amp;AM32)=0,1,0),0)</f>
        <v/>
      </c>
      <c r="BK32" s="17">
        <f>IF(AND(BJ32=1,G32&lt;=Config!$B$5),J32,"")</f>
        <v/>
      </c>
      <c r="BL32" s="17">
        <f>IF(AND(AN32=1,OR(AND(ISNUMBER(R32),TRIM(S32)=""),AND(ISNUMBER(V32),TRIM(W32)=""))),1,0)</f>
        <v/>
      </c>
      <c r="BM32" s="17">
        <f>IF(AN32=1,AB32&amp;"","")</f>
        <v/>
      </c>
      <c r="BN32" s="17">
        <f>IF(AN32=1,AC32&amp;"","")</f>
        <v/>
      </c>
      <c r="BO32" s="17">
        <f>IF(AN32=1,AD32&amp;"","")</f>
        <v/>
      </c>
      <c r="BP32" s="17">
        <f>IF(AND(AN32=1,ISNUMBER(AI32),G32&lt;=Config!$B$5),AI32,"")</f>
        <v/>
      </c>
      <c r="BQ32" s="17">
        <f>IF(AN32=1,IF(COUNTIFS($A$2:$A$201,$A32,$AF$2:$AF$201,"Y",$AN$2:$AN$201,1)&gt;0,"Y","N"),"")</f>
        <v/>
      </c>
      <c r="BR32" s="17">
        <f>IF(AND(AN32=1,AF32="Y"),IF(COUNTIFS($A$2:$A$201,$A32,$AF$2:$AF$201,"Y",$AN$2:$AN$201,1,$G$2:$G$201,"&lt;"&amp;G32)+COUNTIFS($A$2:$A$201,$A32,$AF$2:$AF$201,"Y",$AN$2:$AN$201,1,$G$2:$G$201,G32,$AM$2:$AM$201,"&lt;"&amp;AM32)=0,1,0),0)</f>
        <v/>
      </c>
      <c r="BS32" s="17">
        <f>IF(AN32=1,IFERROR(MATCH($A32,INDEX(Clay_Brands!$A$2:$FZ$601,0,Sync!$D$5),0),""),"")</f>
        <v/>
      </c>
      <c r="BT32" s="17">
        <f>IF(BS32="","",IFERROR(INDEX(Clay_Brands!$A$2:$FZ$601,BS32,Sync!$D$7)&amp;"",""))</f>
        <v/>
      </c>
      <c r="BU32" s="17">
        <f>IF(BT32="","",IFERROR(INDEX(Lists!$J$2:$J$15,MATCH(BT32,Lists!$I$2:$I$15,0)),""))</f>
        <v/>
      </c>
      <c r="BV32" s="17">
        <f>IF(BS32="","",IFERROR(INDEX(Clay_Brands!$A$2:$FZ$601,BS32,Sync!$D$17)&amp;"",""))</f>
        <v/>
      </c>
      <c r="BW32" s="23">
        <f>IF(BS32="","",IFERROR(N(INDEX(Clay_Brands!$A$2:$FZ$601,BS32,Sync!$D$16)),0))</f>
        <v/>
      </c>
    </row>
    <row r="33">
      <c r="G33" s="22" t="n"/>
      <c r="AL33" s="17">
        <f>IF(TRIM($A33)="","",IF(AND(LEFT($A33,6)="SAMPLE",Config!$B$19&lt;&gt;"Y"),"",IF(NOT(ISNUMBER(G33)),"call_date is blank or not a date",IF(Sync!$D$5="","Clay paste is empty or has no row_id column: paste the Clay export on Clay_Brands",IF(BS33="","row_id not found in the Clay paste: add the Clay row or fix the row_id",IF(AND(ISNUMBER(BU33),BU33&gt;=1,BU33&lt;=5),"Clay status is "&amp;BT33&amp;": set call_done or later",IF(AND(AP33=1,BV33&lt;&gt;BQ33),"Clay yes_in_principle should be "&amp;BQ33,IF(AND(AP33=1,BW33&lt;&gt;G33),"Clay call_date should be "&amp;TEXT(G33,"yyyy-mm-dd"),""))))))))</f>
        <v/>
      </c>
      <c r="AM33" s="17">
        <f>ROW()</f>
        <v/>
      </c>
      <c r="AN33" s="17">
        <f>IF(AND(TRIM($A33)&lt;&gt;"",ISNUMBER(G33)),IF(AND(LEFT($A33,6)="SAMPLE",Config!$B$19&lt;&gt;"Y"),0,1),0)</f>
        <v/>
      </c>
      <c r="AO33" s="17">
        <f>IF(AN33=1,IF(COUNTIFS($A$2:$A$201,$A33,$AN$2:$AN$201,1,$G$2:$G$201,"&lt;"&amp;G33)+COUNTIFS($A$2:$A$201,$A33,$AN$2:$AN$201,1,$G$2:$G$201,G33,$AM$2:$AM$201,"&lt;"&amp;AM33)=0,1,0),0)</f>
        <v/>
      </c>
      <c r="AP33" s="17">
        <f>IF(AN33=1,IF(COUNTIFS($A$2:$A$201,$A33,$AN$2:$AN$201,1,$G$2:$G$201,"&gt;"&amp;G33)+COUNTIFS($A$2:$A$201,$A33,$AN$2:$AN$201,1,$G$2:$G$201,G33,$AM$2:$AM$201,"&gt;"&amp;AM33)=0,1,0),0)</f>
        <v/>
      </c>
      <c r="AQ33" s="17">
        <f>IF(AND(AN33=1,N33="Y",MAX(N(R33),N(V33))&gt;=Config!$B$14),1,0)</f>
        <v/>
      </c>
      <c r="AR33" s="17">
        <f>IF(AQ33=1,IF(COUNTIFS($A$2:$A$201,$A33,$AQ$2:$AQ$201,1,$G$2:$G$201,"&lt;"&amp;G33)+COUNTIFS($A$2:$A$201,$A33,$AQ$2:$AQ$201,1,$G$2:$G$201,G33,$AM$2:$AM$201,"&lt;"&amp;AM33)=0,1,0),0)</f>
        <v/>
      </c>
      <c r="AS33" s="17">
        <f>IF(AND(AN33=1,N33="Y",ISNUMBER(R33)),IF(R33&gt;=Config!$B$14,1,0),0)</f>
        <v/>
      </c>
      <c r="AT33" s="17">
        <f>IF(AS33=1,IF(COUNTIFS($A$2:$A$201,$A33,$AS$2:$AS$201,1,$G$2:$G$201,"&lt;"&amp;G33)+COUNTIFS($A$2:$A$201,$A33,$AS$2:$AS$201,1,$G$2:$G$201,G33,$AM$2:$AM$201,"&lt;"&amp;AM33)=0,1,0),0)</f>
        <v/>
      </c>
      <c r="AU33" s="17">
        <f>IF(AND(AN33=1,N33&lt;&gt;"Y",MAX(N(R33),N(V33))&gt;=Config!$B$14),1,0)</f>
        <v/>
      </c>
      <c r="AV33" s="17">
        <f>IF(AU33=1,IF(COUNTIFS($A$2:$A$201,$A33,$AU$2:$AU$201,1,$G$2:$G$201,"&lt;"&amp;G33)+COUNTIFS($A$2:$A$201,$A33,$AU$2:$AU$201,1,$G$2:$G$201,G33,$AM$2:$AM$201,"&lt;"&amp;AM33)=0,1,0),0)</f>
        <v/>
      </c>
      <c r="AW33" s="17">
        <f>IF(AND(AN33=1,ISNUMBER(R33)),1,0)</f>
        <v/>
      </c>
      <c r="AX33" s="17">
        <f>IF(AW33=1,IF(COUNTIFS($A$2:$A$201,$A33,$AW$2:$AW$201,1,$G$2:$G$201,"&lt;"&amp;G33)+COUNTIFS($A$2:$A$201,$A33,$AW$2:$AW$201,1,$G$2:$G$201,G33,$AM$2:$AM$201,"&lt;"&amp;AM33)=0,1,0),0)</f>
        <v/>
      </c>
      <c r="AY33" s="17">
        <f>IF(AND(AX33=1,G33&lt;=Config!$B$6),R33,"")</f>
        <v/>
      </c>
      <c r="AZ33" s="17">
        <f>IF(AND(AX33=1,G33&lt;=Config!$B$7),R33,"")</f>
        <v/>
      </c>
      <c r="BA33" s="17">
        <f>IF(AND(AX33=1,G33&lt;=Config!$B$8),R33,"")</f>
        <v/>
      </c>
      <c r="BB33" s="17">
        <f>IF(AND(AX33=1,G33&lt;=Config!$B$5),R33,"")</f>
        <v/>
      </c>
      <c r="BC33" s="17">
        <f>IF(AND(AN33=1,ISNUMBER(V33)),1,0)</f>
        <v/>
      </c>
      <c r="BD33" s="17">
        <f>IF(BC33=1,IF(COUNTIFS($A$2:$A$201,$A33,$BC$2:$BC$201,1,$G$2:$G$201,"&lt;"&amp;G33)+COUNTIFS($A$2:$A$201,$A33,$BC$2:$BC$201,1,$G$2:$G$201,G33,$AM$2:$AM$201,"&lt;"&amp;AM33)=0,1,0),0)</f>
        <v/>
      </c>
      <c r="BE33" s="17">
        <f>IF(AND(BD33=1,G33&lt;=Config!$B$6),V33,"")</f>
        <v/>
      </c>
      <c r="BF33" s="17">
        <f>IF(AND(BD33=1,G33&lt;=Config!$B$7),V33,"")</f>
        <v/>
      </c>
      <c r="BG33" s="17">
        <f>IF(AND(BD33=1,G33&lt;=Config!$B$8),V33,"")</f>
        <v/>
      </c>
      <c r="BH33" s="17">
        <f>IF(AND(BD33=1,G33&lt;=Config!$B$5),V33,"")</f>
        <v/>
      </c>
      <c r="BI33" s="17">
        <f>IF(AND(AN33=1,ISNUMBER(J33)),1,0)</f>
        <v/>
      </c>
      <c r="BJ33" s="17">
        <f>IF(BI33=1,IF(COUNTIFS($A$2:$A$201,$A33,$BI$2:$BI$201,1,$G$2:$G$201,"&lt;"&amp;G33)+COUNTIFS($A$2:$A$201,$A33,$BI$2:$BI$201,1,$G$2:$G$201,G33,$AM$2:$AM$201,"&lt;"&amp;AM33)=0,1,0),0)</f>
        <v/>
      </c>
      <c r="BK33" s="17">
        <f>IF(AND(BJ33=1,G33&lt;=Config!$B$5),J33,"")</f>
        <v/>
      </c>
      <c r="BL33" s="17">
        <f>IF(AND(AN33=1,OR(AND(ISNUMBER(R33),TRIM(S33)=""),AND(ISNUMBER(V33),TRIM(W33)=""))),1,0)</f>
        <v/>
      </c>
      <c r="BM33" s="17">
        <f>IF(AN33=1,AB33&amp;"","")</f>
        <v/>
      </c>
      <c r="BN33" s="17">
        <f>IF(AN33=1,AC33&amp;"","")</f>
        <v/>
      </c>
      <c r="BO33" s="17">
        <f>IF(AN33=1,AD33&amp;"","")</f>
        <v/>
      </c>
      <c r="BP33" s="17">
        <f>IF(AND(AN33=1,ISNUMBER(AI33),G33&lt;=Config!$B$5),AI33,"")</f>
        <v/>
      </c>
      <c r="BQ33" s="17">
        <f>IF(AN33=1,IF(COUNTIFS($A$2:$A$201,$A33,$AF$2:$AF$201,"Y",$AN$2:$AN$201,1)&gt;0,"Y","N"),"")</f>
        <v/>
      </c>
      <c r="BR33" s="17">
        <f>IF(AND(AN33=1,AF33="Y"),IF(COUNTIFS($A$2:$A$201,$A33,$AF$2:$AF$201,"Y",$AN$2:$AN$201,1,$G$2:$G$201,"&lt;"&amp;G33)+COUNTIFS($A$2:$A$201,$A33,$AF$2:$AF$201,"Y",$AN$2:$AN$201,1,$G$2:$G$201,G33,$AM$2:$AM$201,"&lt;"&amp;AM33)=0,1,0),0)</f>
        <v/>
      </c>
      <c r="BS33" s="17">
        <f>IF(AN33=1,IFERROR(MATCH($A33,INDEX(Clay_Brands!$A$2:$FZ$601,0,Sync!$D$5),0),""),"")</f>
        <v/>
      </c>
      <c r="BT33" s="17">
        <f>IF(BS33="","",IFERROR(INDEX(Clay_Brands!$A$2:$FZ$601,BS33,Sync!$D$7)&amp;"",""))</f>
        <v/>
      </c>
      <c r="BU33" s="17">
        <f>IF(BT33="","",IFERROR(INDEX(Lists!$J$2:$J$15,MATCH(BT33,Lists!$I$2:$I$15,0)),""))</f>
        <v/>
      </c>
      <c r="BV33" s="17">
        <f>IF(BS33="","",IFERROR(INDEX(Clay_Brands!$A$2:$FZ$601,BS33,Sync!$D$17)&amp;"",""))</f>
        <v/>
      </c>
      <c r="BW33" s="23">
        <f>IF(BS33="","",IFERROR(N(INDEX(Clay_Brands!$A$2:$FZ$601,BS33,Sync!$D$16)),0))</f>
        <v/>
      </c>
    </row>
    <row r="34">
      <c r="G34" s="22" t="n"/>
      <c r="AL34" s="17">
        <f>IF(TRIM($A34)="","",IF(AND(LEFT($A34,6)="SAMPLE",Config!$B$19&lt;&gt;"Y"),"",IF(NOT(ISNUMBER(G34)),"call_date is blank or not a date",IF(Sync!$D$5="","Clay paste is empty or has no row_id column: paste the Clay export on Clay_Brands",IF(BS34="","row_id not found in the Clay paste: add the Clay row or fix the row_id",IF(AND(ISNUMBER(BU34),BU34&gt;=1,BU34&lt;=5),"Clay status is "&amp;BT34&amp;": set call_done or later",IF(AND(AP34=1,BV34&lt;&gt;BQ34),"Clay yes_in_principle should be "&amp;BQ34,IF(AND(AP34=1,BW34&lt;&gt;G34),"Clay call_date should be "&amp;TEXT(G34,"yyyy-mm-dd"),""))))))))</f>
        <v/>
      </c>
      <c r="AM34" s="17">
        <f>ROW()</f>
        <v/>
      </c>
      <c r="AN34" s="17">
        <f>IF(AND(TRIM($A34)&lt;&gt;"",ISNUMBER(G34)),IF(AND(LEFT($A34,6)="SAMPLE",Config!$B$19&lt;&gt;"Y"),0,1),0)</f>
        <v/>
      </c>
      <c r="AO34" s="17">
        <f>IF(AN34=1,IF(COUNTIFS($A$2:$A$201,$A34,$AN$2:$AN$201,1,$G$2:$G$201,"&lt;"&amp;G34)+COUNTIFS($A$2:$A$201,$A34,$AN$2:$AN$201,1,$G$2:$G$201,G34,$AM$2:$AM$201,"&lt;"&amp;AM34)=0,1,0),0)</f>
        <v/>
      </c>
      <c r="AP34" s="17">
        <f>IF(AN34=1,IF(COUNTIFS($A$2:$A$201,$A34,$AN$2:$AN$201,1,$G$2:$G$201,"&gt;"&amp;G34)+COUNTIFS($A$2:$A$201,$A34,$AN$2:$AN$201,1,$G$2:$G$201,G34,$AM$2:$AM$201,"&gt;"&amp;AM34)=0,1,0),0)</f>
        <v/>
      </c>
      <c r="AQ34" s="17">
        <f>IF(AND(AN34=1,N34="Y",MAX(N(R34),N(V34))&gt;=Config!$B$14),1,0)</f>
        <v/>
      </c>
      <c r="AR34" s="17">
        <f>IF(AQ34=1,IF(COUNTIFS($A$2:$A$201,$A34,$AQ$2:$AQ$201,1,$G$2:$G$201,"&lt;"&amp;G34)+COUNTIFS($A$2:$A$201,$A34,$AQ$2:$AQ$201,1,$G$2:$G$201,G34,$AM$2:$AM$201,"&lt;"&amp;AM34)=0,1,0),0)</f>
        <v/>
      </c>
      <c r="AS34" s="17">
        <f>IF(AND(AN34=1,N34="Y",ISNUMBER(R34)),IF(R34&gt;=Config!$B$14,1,0),0)</f>
        <v/>
      </c>
      <c r="AT34" s="17">
        <f>IF(AS34=1,IF(COUNTIFS($A$2:$A$201,$A34,$AS$2:$AS$201,1,$G$2:$G$201,"&lt;"&amp;G34)+COUNTIFS($A$2:$A$201,$A34,$AS$2:$AS$201,1,$G$2:$G$201,G34,$AM$2:$AM$201,"&lt;"&amp;AM34)=0,1,0),0)</f>
        <v/>
      </c>
      <c r="AU34" s="17">
        <f>IF(AND(AN34=1,N34&lt;&gt;"Y",MAX(N(R34),N(V34))&gt;=Config!$B$14),1,0)</f>
        <v/>
      </c>
      <c r="AV34" s="17">
        <f>IF(AU34=1,IF(COUNTIFS($A$2:$A$201,$A34,$AU$2:$AU$201,1,$G$2:$G$201,"&lt;"&amp;G34)+COUNTIFS($A$2:$A$201,$A34,$AU$2:$AU$201,1,$G$2:$G$201,G34,$AM$2:$AM$201,"&lt;"&amp;AM34)=0,1,0),0)</f>
        <v/>
      </c>
      <c r="AW34" s="17">
        <f>IF(AND(AN34=1,ISNUMBER(R34)),1,0)</f>
        <v/>
      </c>
      <c r="AX34" s="17">
        <f>IF(AW34=1,IF(COUNTIFS($A$2:$A$201,$A34,$AW$2:$AW$201,1,$G$2:$G$201,"&lt;"&amp;G34)+COUNTIFS($A$2:$A$201,$A34,$AW$2:$AW$201,1,$G$2:$G$201,G34,$AM$2:$AM$201,"&lt;"&amp;AM34)=0,1,0),0)</f>
        <v/>
      </c>
      <c r="AY34" s="17">
        <f>IF(AND(AX34=1,G34&lt;=Config!$B$6),R34,"")</f>
        <v/>
      </c>
      <c r="AZ34" s="17">
        <f>IF(AND(AX34=1,G34&lt;=Config!$B$7),R34,"")</f>
        <v/>
      </c>
      <c r="BA34" s="17">
        <f>IF(AND(AX34=1,G34&lt;=Config!$B$8),R34,"")</f>
        <v/>
      </c>
      <c r="BB34" s="17">
        <f>IF(AND(AX34=1,G34&lt;=Config!$B$5),R34,"")</f>
        <v/>
      </c>
      <c r="BC34" s="17">
        <f>IF(AND(AN34=1,ISNUMBER(V34)),1,0)</f>
        <v/>
      </c>
      <c r="BD34" s="17">
        <f>IF(BC34=1,IF(COUNTIFS($A$2:$A$201,$A34,$BC$2:$BC$201,1,$G$2:$G$201,"&lt;"&amp;G34)+COUNTIFS($A$2:$A$201,$A34,$BC$2:$BC$201,1,$G$2:$G$201,G34,$AM$2:$AM$201,"&lt;"&amp;AM34)=0,1,0),0)</f>
        <v/>
      </c>
      <c r="BE34" s="17">
        <f>IF(AND(BD34=1,G34&lt;=Config!$B$6),V34,"")</f>
        <v/>
      </c>
      <c r="BF34" s="17">
        <f>IF(AND(BD34=1,G34&lt;=Config!$B$7),V34,"")</f>
        <v/>
      </c>
      <c r="BG34" s="17">
        <f>IF(AND(BD34=1,G34&lt;=Config!$B$8),V34,"")</f>
        <v/>
      </c>
      <c r="BH34" s="17">
        <f>IF(AND(BD34=1,G34&lt;=Config!$B$5),V34,"")</f>
        <v/>
      </c>
      <c r="BI34" s="17">
        <f>IF(AND(AN34=1,ISNUMBER(J34)),1,0)</f>
        <v/>
      </c>
      <c r="BJ34" s="17">
        <f>IF(BI34=1,IF(COUNTIFS($A$2:$A$201,$A34,$BI$2:$BI$201,1,$G$2:$G$201,"&lt;"&amp;G34)+COUNTIFS($A$2:$A$201,$A34,$BI$2:$BI$201,1,$G$2:$G$201,G34,$AM$2:$AM$201,"&lt;"&amp;AM34)=0,1,0),0)</f>
        <v/>
      </c>
      <c r="BK34" s="17">
        <f>IF(AND(BJ34=1,G34&lt;=Config!$B$5),J34,"")</f>
        <v/>
      </c>
      <c r="BL34" s="17">
        <f>IF(AND(AN34=1,OR(AND(ISNUMBER(R34),TRIM(S34)=""),AND(ISNUMBER(V34),TRIM(W34)=""))),1,0)</f>
        <v/>
      </c>
      <c r="BM34" s="17">
        <f>IF(AN34=1,AB34&amp;"","")</f>
        <v/>
      </c>
      <c r="BN34" s="17">
        <f>IF(AN34=1,AC34&amp;"","")</f>
        <v/>
      </c>
      <c r="BO34" s="17">
        <f>IF(AN34=1,AD34&amp;"","")</f>
        <v/>
      </c>
      <c r="BP34" s="17">
        <f>IF(AND(AN34=1,ISNUMBER(AI34),G34&lt;=Config!$B$5),AI34,"")</f>
        <v/>
      </c>
      <c r="BQ34" s="17">
        <f>IF(AN34=1,IF(COUNTIFS($A$2:$A$201,$A34,$AF$2:$AF$201,"Y",$AN$2:$AN$201,1)&gt;0,"Y","N"),"")</f>
        <v/>
      </c>
      <c r="BR34" s="17">
        <f>IF(AND(AN34=1,AF34="Y"),IF(COUNTIFS($A$2:$A$201,$A34,$AF$2:$AF$201,"Y",$AN$2:$AN$201,1,$G$2:$G$201,"&lt;"&amp;G34)+COUNTIFS($A$2:$A$201,$A34,$AF$2:$AF$201,"Y",$AN$2:$AN$201,1,$G$2:$G$201,G34,$AM$2:$AM$201,"&lt;"&amp;AM34)=0,1,0),0)</f>
        <v/>
      </c>
      <c r="BS34" s="17">
        <f>IF(AN34=1,IFERROR(MATCH($A34,INDEX(Clay_Brands!$A$2:$FZ$601,0,Sync!$D$5),0),""),"")</f>
        <v/>
      </c>
      <c r="BT34" s="17">
        <f>IF(BS34="","",IFERROR(INDEX(Clay_Brands!$A$2:$FZ$601,BS34,Sync!$D$7)&amp;"",""))</f>
        <v/>
      </c>
      <c r="BU34" s="17">
        <f>IF(BT34="","",IFERROR(INDEX(Lists!$J$2:$J$15,MATCH(BT34,Lists!$I$2:$I$15,0)),""))</f>
        <v/>
      </c>
      <c r="BV34" s="17">
        <f>IF(BS34="","",IFERROR(INDEX(Clay_Brands!$A$2:$FZ$601,BS34,Sync!$D$17)&amp;"",""))</f>
        <v/>
      </c>
      <c r="BW34" s="23">
        <f>IF(BS34="","",IFERROR(N(INDEX(Clay_Brands!$A$2:$FZ$601,BS34,Sync!$D$16)),0))</f>
        <v/>
      </c>
    </row>
    <row r="35">
      <c r="G35" s="22" t="n"/>
      <c r="AL35" s="17">
        <f>IF(TRIM($A35)="","",IF(AND(LEFT($A35,6)="SAMPLE",Config!$B$19&lt;&gt;"Y"),"",IF(NOT(ISNUMBER(G35)),"call_date is blank or not a date",IF(Sync!$D$5="","Clay paste is empty or has no row_id column: paste the Clay export on Clay_Brands",IF(BS35="","row_id not found in the Clay paste: add the Clay row or fix the row_id",IF(AND(ISNUMBER(BU35),BU35&gt;=1,BU35&lt;=5),"Clay status is "&amp;BT35&amp;": set call_done or later",IF(AND(AP35=1,BV35&lt;&gt;BQ35),"Clay yes_in_principle should be "&amp;BQ35,IF(AND(AP35=1,BW35&lt;&gt;G35),"Clay call_date should be "&amp;TEXT(G35,"yyyy-mm-dd"),""))))))))</f>
        <v/>
      </c>
      <c r="AM35" s="17">
        <f>ROW()</f>
        <v/>
      </c>
      <c r="AN35" s="17">
        <f>IF(AND(TRIM($A35)&lt;&gt;"",ISNUMBER(G35)),IF(AND(LEFT($A35,6)="SAMPLE",Config!$B$19&lt;&gt;"Y"),0,1),0)</f>
        <v/>
      </c>
      <c r="AO35" s="17">
        <f>IF(AN35=1,IF(COUNTIFS($A$2:$A$201,$A35,$AN$2:$AN$201,1,$G$2:$G$201,"&lt;"&amp;G35)+COUNTIFS($A$2:$A$201,$A35,$AN$2:$AN$201,1,$G$2:$G$201,G35,$AM$2:$AM$201,"&lt;"&amp;AM35)=0,1,0),0)</f>
        <v/>
      </c>
      <c r="AP35" s="17">
        <f>IF(AN35=1,IF(COUNTIFS($A$2:$A$201,$A35,$AN$2:$AN$201,1,$G$2:$G$201,"&gt;"&amp;G35)+COUNTIFS($A$2:$A$201,$A35,$AN$2:$AN$201,1,$G$2:$G$201,G35,$AM$2:$AM$201,"&gt;"&amp;AM35)=0,1,0),0)</f>
        <v/>
      </c>
      <c r="AQ35" s="17">
        <f>IF(AND(AN35=1,N35="Y",MAX(N(R35),N(V35))&gt;=Config!$B$14),1,0)</f>
        <v/>
      </c>
      <c r="AR35" s="17">
        <f>IF(AQ35=1,IF(COUNTIFS($A$2:$A$201,$A35,$AQ$2:$AQ$201,1,$G$2:$G$201,"&lt;"&amp;G35)+COUNTIFS($A$2:$A$201,$A35,$AQ$2:$AQ$201,1,$G$2:$G$201,G35,$AM$2:$AM$201,"&lt;"&amp;AM35)=0,1,0),0)</f>
        <v/>
      </c>
      <c r="AS35" s="17">
        <f>IF(AND(AN35=1,N35="Y",ISNUMBER(R35)),IF(R35&gt;=Config!$B$14,1,0),0)</f>
        <v/>
      </c>
      <c r="AT35" s="17">
        <f>IF(AS35=1,IF(COUNTIFS($A$2:$A$201,$A35,$AS$2:$AS$201,1,$G$2:$G$201,"&lt;"&amp;G35)+COUNTIFS($A$2:$A$201,$A35,$AS$2:$AS$201,1,$G$2:$G$201,G35,$AM$2:$AM$201,"&lt;"&amp;AM35)=0,1,0),0)</f>
        <v/>
      </c>
      <c r="AU35" s="17">
        <f>IF(AND(AN35=1,N35&lt;&gt;"Y",MAX(N(R35),N(V35))&gt;=Config!$B$14),1,0)</f>
        <v/>
      </c>
      <c r="AV35" s="17">
        <f>IF(AU35=1,IF(COUNTIFS($A$2:$A$201,$A35,$AU$2:$AU$201,1,$G$2:$G$201,"&lt;"&amp;G35)+COUNTIFS($A$2:$A$201,$A35,$AU$2:$AU$201,1,$G$2:$G$201,G35,$AM$2:$AM$201,"&lt;"&amp;AM35)=0,1,0),0)</f>
        <v/>
      </c>
      <c r="AW35" s="17">
        <f>IF(AND(AN35=1,ISNUMBER(R35)),1,0)</f>
        <v/>
      </c>
      <c r="AX35" s="17">
        <f>IF(AW35=1,IF(COUNTIFS($A$2:$A$201,$A35,$AW$2:$AW$201,1,$G$2:$G$201,"&lt;"&amp;G35)+COUNTIFS($A$2:$A$201,$A35,$AW$2:$AW$201,1,$G$2:$G$201,G35,$AM$2:$AM$201,"&lt;"&amp;AM35)=0,1,0),0)</f>
        <v/>
      </c>
      <c r="AY35" s="17">
        <f>IF(AND(AX35=1,G35&lt;=Config!$B$6),R35,"")</f>
        <v/>
      </c>
      <c r="AZ35" s="17">
        <f>IF(AND(AX35=1,G35&lt;=Config!$B$7),R35,"")</f>
        <v/>
      </c>
      <c r="BA35" s="17">
        <f>IF(AND(AX35=1,G35&lt;=Config!$B$8),R35,"")</f>
        <v/>
      </c>
      <c r="BB35" s="17">
        <f>IF(AND(AX35=1,G35&lt;=Config!$B$5),R35,"")</f>
        <v/>
      </c>
      <c r="BC35" s="17">
        <f>IF(AND(AN35=1,ISNUMBER(V35)),1,0)</f>
        <v/>
      </c>
      <c r="BD35" s="17">
        <f>IF(BC35=1,IF(COUNTIFS($A$2:$A$201,$A35,$BC$2:$BC$201,1,$G$2:$G$201,"&lt;"&amp;G35)+COUNTIFS($A$2:$A$201,$A35,$BC$2:$BC$201,1,$G$2:$G$201,G35,$AM$2:$AM$201,"&lt;"&amp;AM35)=0,1,0),0)</f>
        <v/>
      </c>
      <c r="BE35" s="17">
        <f>IF(AND(BD35=1,G35&lt;=Config!$B$6),V35,"")</f>
        <v/>
      </c>
      <c r="BF35" s="17">
        <f>IF(AND(BD35=1,G35&lt;=Config!$B$7),V35,"")</f>
        <v/>
      </c>
      <c r="BG35" s="17">
        <f>IF(AND(BD35=1,G35&lt;=Config!$B$8),V35,"")</f>
        <v/>
      </c>
      <c r="BH35" s="17">
        <f>IF(AND(BD35=1,G35&lt;=Config!$B$5),V35,"")</f>
        <v/>
      </c>
      <c r="BI35" s="17">
        <f>IF(AND(AN35=1,ISNUMBER(J35)),1,0)</f>
        <v/>
      </c>
      <c r="BJ35" s="17">
        <f>IF(BI35=1,IF(COUNTIFS($A$2:$A$201,$A35,$BI$2:$BI$201,1,$G$2:$G$201,"&lt;"&amp;G35)+COUNTIFS($A$2:$A$201,$A35,$BI$2:$BI$201,1,$G$2:$G$201,G35,$AM$2:$AM$201,"&lt;"&amp;AM35)=0,1,0),0)</f>
        <v/>
      </c>
      <c r="BK35" s="17">
        <f>IF(AND(BJ35=1,G35&lt;=Config!$B$5),J35,"")</f>
        <v/>
      </c>
      <c r="BL35" s="17">
        <f>IF(AND(AN35=1,OR(AND(ISNUMBER(R35),TRIM(S35)=""),AND(ISNUMBER(V35),TRIM(W35)=""))),1,0)</f>
        <v/>
      </c>
      <c r="BM35" s="17">
        <f>IF(AN35=1,AB35&amp;"","")</f>
        <v/>
      </c>
      <c r="BN35" s="17">
        <f>IF(AN35=1,AC35&amp;"","")</f>
        <v/>
      </c>
      <c r="BO35" s="17">
        <f>IF(AN35=1,AD35&amp;"","")</f>
        <v/>
      </c>
      <c r="BP35" s="17">
        <f>IF(AND(AN35=1,ISNUMBER(AI35),G35&lt;=Config!$B$5),AI35,"")</f>
        <v/>
      </c>
      <c r="BQ35" s="17">
        <f>IF(AN35=1,IF(COUNTIFS($A$2:$A$201,$A35,$AF$2:$AF$201,"Y",$AN$2:$AN$201,1)&gt;0,"Y","N"),"")</f>
        <v/>
      </c>
      <c r="BR35" s="17">
        <f>IF(AND(AN35=1,AF35="Y"),IF(COUNTIFS($A$2:$A$201,$A35,$AF$2:$AF$201,"Y",$AN$2:$AN$201,1,$G$2:$G$201,"&lt;"&amp;G35)+COUNTIFS($A$2:$A$201,$A35,$AF$2:$AF$201,"Y",$AN$2:$AN$201,1,$G$2:$G$201,G35,$AM$2:$AM$201,"&lt;"&amp;AM35)=0,1,0),0)</f>
        <v/>
      </c>
      <c r="BS35" s="17">
        <f>IF(AN35=1,IFERROR(MATCH($A35,INDEX(Clay_Brands!$A$2:$FZ$601,0,Sync!$D$5),0),""),"")</f>
        <v/>
      </c>
      <c r="BT35" s="17">
        <f>IF(BS35="","",IFERROR(INDEX(Clay_Brands!$A$2:$FZ$601,BS35,Sync!$D$7)&amp;"",""))</f>
        <v/>
      </c>
      <c r="BU35" s="17">
        <f>IF(BT35="","",IFERROR(INDEX(Lists!$J$2:$J$15,MATCH(BT35,Lists!$I$2:$I$15,0)),""))</f>
        <v/>
      </c>
      <c r="BV35" s="17">
        <f>IF(BS35="","",IFERROR(INDEX(Clay_Brands!$A$2:$FZ$601,BS35,Sync!$D$17)&amp;"",""))</f>
        <v/>
      </c>
      <c r="BW35" s="23">
        <f>IF(BS35="","",IFERROR(N(INDEX(Clay_Brands!$A$2:$FZ$601,BS35,Sync!$D$16)),0))</f>
        <v/>
      </c>
    </row>
    <row r="36">
      <c r="G36" s="22" t="n"/>
      <c r="AL36" s="17">
        <f>IF(TRIM($A36)="","",IF(AND(LEFT($A36,6)="SAMPLE",Config!$B$19&lt;&gt;"Y"),"",IF(NOT(ISNUMBER(G36)),"call_date is blank or not a date",IF(Sync!$D$5="","Clay paste is empty or has no row_id column: paste the Clay export on Clay_Brands",IF(BS36="","row_id not found in the Clay paste: add the Clay row or fix the row_id",IF(AND(ISNUMBER(BU36),BU36&gt;=1,BU36&lt;=5),"Clay status is "&amp;BT36&amp;": set call_done or later",IF(AND(AP36=1,BV36&lt;&gt;BQ36),"Clay yes_in_principle should be "&amp;BQ36,IF(AND(AP36=1,BW36&lt;&gt;G36),"Clay call_date should be "&amp;TEXT(G36,"yyyy-mm-dd"),""))))))))</f>
        <v/>
      </c>
      <c r="AM36" s="17">
        <f>ROW()</f>
        <v/>
      </c>
      <c r="AN36" s="17">
        <f>IF(AND(TRIM($A36)&lt;&gt;"",ISNUMBER(G36)),IF(AND(LEFT($A36,6)="SAMPLE",Config!$B$19&lt;&gt;"Y"),0,1),0)</f>
        <v/>
      </c>
      <c r="AO36" s="17">
        <f>IF(AN36=1,IF(COUNTIFS($A$2:$A$201,$A36,$AN$2:$AN$201,1,$G$2:$G$201,"&lt;"&amp;G36)+COUNTIFS($A$2:$A$201,$A36,$AN$2:$AN$201,1,$G$2:$G$201,G36,$AM$2:$AM$201,"&lt;"&amp;AM36)=0,1,0),0)</f>
        <v/>
      </c>
      <c r="AP36" s="17">
        <f>IF(AN36=1,IF(COUNTIFS($A$2:$A$201,$A36,$AN$2:$AN$201,1,$G$2:$G$201,"&gt;"&amp;G36)+COUNTIFS($A$2:$A$201,$A36,$AN$2:$AN$201,1,$G$2:$G$201,G36,$AM$2:$AM$201,"&gt;"&amp;AM36)=0,1,0),0)</f>
        <v/>
      </c>
      <c r="AQ36" s="17">
        <f>IF(AND(AN36=1,N36="Y",MAX(N(R36),N(V36))&gt;=Config!$B$14),1,0)</f>
        <v/>
      </c>
      <c r="AR36" s="17">
        <f>IF(AQ36=1,IF(COUNTIFS($A$2:$A$201,$A36,$AQ$2:$AQ$201,1,$G$2:$G$201,"&lt;"&amp;G36)+COUNTIFS($A$2:$A$201,$A36,$AQ$2:$AQ$201,1,$G$2:$G$201,G36,$AM$2:$AM$201,"&lt;"&amp;AM36)=0,1,0),0)</f>
        <v/>
      </c>
      <c r="AS36" s="17">
        <f>IF(AND(AN36=1,N36="Y",ISNUMBER(R36)),IF(R36&gt;=Config!$B$14,1,0),0)</f>
        <v/>
      </c>
      <c r="AT36" s="17">
        <f>IF(AS36=1,IF(COUNTIFS($A$2:$A$201,$A36,$AS$2:$AS$201,1,$G$2:$G$201,"&lt;"&amp;G36)+COUNTIFS($A$2:$A$201,$A36,$AS$2:$AS$201,1,$G$2:$G$201,G36,$AM$2:$AM$201,"&lt;"&amp;AM36)=0,1,0),0)</f>
        <v/>
      </c>
      <c r="AU36" s="17">
        <f>IF(AND(AN36=1,N36&lt;&gt;"Y",MAX(N(R36),N(V36))&gt;=Config!$B$14),1,0)</f>
        <v/>
      </c>
      <c r="AV36" s="17">
        <f>IF(AU36=1,IF(COUNTIFS($A$2:$A$201,$A36,$AU$2:$AU$201,1,$G$2:$G$201,"&lt;"&amp;G36)+COUNTIFS($A$2:$A$201,$A36,$AU$2:$AU$201,1,$G$2:$G$201,G36,$AM$2:$AM$201,"&lt;"&amp;AM36)=0,1,0),0)</f>
        <v/>
      </c>
      <c r="AW36" s="17">
        <f>IF(AND(AN36=1,ISNUMBER(R36)),1,0)</f>
        <v/>
      </c>
      <c r="AX36" s="17">
        <f>IF(AW36=1,IF(COUNTIFS($A$2:$A$201,$A36,$AW$2:$AW$201,1,$G$2:$G$201,"&lt;"&amp;G36)+COUNTIFS($A$2:$A$201,$A36,$AW$2:$AW$201,1,$G$2:$G$201,G36,$AM$2:$AM$201,"&lt;"&amp;AM36)=0,1,0),0)</f>
        <v/>
      </c>
      <c r="AY36" s="17">
        <f>IF(AND(AX36=1,G36&lt;=Config!$B$6),R36,"")</f>
        <v/>
      </c>
      <c r="AZ36" s="17">
        <f>IF(AND(AX36=1,G36&lt;=Config!$B$7),R36,"")</f>
        <v/>
      </c>
      <c r="BA36" s="17">
        <f>IF(AND(AX36=1,G36&lt;=Config!$B$8),R36,"")</f>
        <v/>
      </c>
      <c r="BB36" s="17">
        <f>IF(AND(AX36=1,G36&lt;=Config!$B$5),R36,"")</f>
        <v/>
      </c>
      <c r="BC36" s="17">
        <f>IF(AND(AN36=1,ISNUMBER(V36)),1,0)</f>
        <v/>
      </c>
      <c r="BD36" s="17">
        <f>IF(BC36=1,IF(COUNTIFS($A$2:$A$201,$A36,$BC$2:$BC$201,1,$G$2:$G$201,"&lt;"&amp;G36)+COUNTIFS($A$2:$A$201,$A36,$BC$2:$BC$201,1,$G$2:$G$201,G36,$AM$2:$AM$201,"&lt;"&amp;AM36)=0,1,0),0)</f>
        <v/>
      </c>
      <c r="BE36" s="17">
        <f>IF(AND(BD36=1,G36&lt;=Config!$B$6),V36,"")</f>
        <v/>
      </c>
      <c r="BF36" s="17">
        <f>IF(AND(BD36=1,G36&lt;=Config!$B$7),V36,"")</f>
        <v/>
      </c>
      <c r="BG36" s="17">
        <f>IF(AND(BD36=1,G36&lt;=Config!$B$8),V36,"")</f>
        <v/>
      </c>
      <c r="BH36" s="17">
        <f>IF(AND(BD36=1,G36&lt;=Config!$B$5),V36,"")</f>
        <v/>
      </c>
      <c r="BI36" s="17">
        <f>IF(AND(AN36=1,ISNUMBER(J36)),1,0)</f>
        <v/>
      </c>
      <c r="BJ36" s="17">
        <f>IF(BI36=1,IF(COUNTIFS($A$2:$A$201,$A36,$BI$2:$BI$201,1,$G$2:$G$201,"&lt;"&amp;G36)+COUNTIFS($A$2:$A$201,$A36,$BI$2:$BI$201,1,$G$2:$G$201,G36,$AM$2:$AM$201,"&lt;"&amp;AM36)=0,1,0),0)</f>
        <v/>
      </c>
      <c r="BK36" s="17">
        <f>IF(AND(BJ36=1,G36&lt;=Config!$B$5),J36,"")</f>
        <v/>
      </c>
      <c r="BL36" s="17">
        <f>IF(AND(AN36=1,OR(AND(ISNUMBER(R36),TRIM(S36)=""),AND(ISNUMBER(V36),TRIM(W36)=""))),1,0)</f>
        <v/>
      </c>
      <c r="BM36" s="17">
        <f>IF(AN36=1,AB36&amp;"","")</f>
        <v/>
      </c>
      <c r="BN36" s="17">
        <f>IF(AN36=1,AC36&amp;"","")</f>
        <v/>
      </c>
      <c r="BO36" s="17">
        <f>IF(AN36=1,AD36&amp;"","")</f>
        <v/>
      </c>
      <c r="BP36" s="17">
        <f>IF(AND(AN36=1,ISNUMBER(AI36),G36&lt;=Config!$B$5),AI36,"")</f>
        <v/>
      </c>
      <c r="BQ36" s="17">
        <f>IF(AN36=1,IF(COUNTIFS($A$2:$A$201,$A36,$AF$2:$AF$201,"Y",$AN$2:$AN$201,1)&gt;0,"Y","N"),"")</f>
        <v/>
      </c>
      <c r="BR36" s="17">
        <f>IF(AND(AN36=1,AF36="Y"),IF(COUNTIFS($A$2:$A$201,$A36,$AF$2:$AF$201,"Y",$AN$2:$AN$201,1,$G$2:$G$201,"&lt;"&amp;G36)+COUNTIFS($A$2:$A$201,$A36,$AF$2:$AF$201,"Y",$AN$2:$AN$201,1,$G$2:$G$201,G36,$AM$2:$AM$201,"&lt;"&amp;AM36)=0,1,0),0)</f>
        <v/>
      </c>
      <c r="BS36" s="17">
        <f>IF(AN36=1,IFERROR(MATCH($A36,INDEX(Clay_Brands!$A$2:$FZ$601,0,Sync!$D$5),0),""),"")</f>
        <v/>
      </c>
      <c r="BT36" s="17">
        <f>IF(BS36="","",IFERROR(INDEX(Clay_Brands!$A$2:$FZ$601,BS36,Sync!$D$7)&amp;"",""))</f>
        <v/>
      </c>
      <c r="BU36" s="17">
        <f>IF(BT36="","",IFERROR(INDEX(Lists!$J$2:$J$15,MATCH(BT36,Lists!$I$2:$I$15,0)),""))</f>
        <v/>
      </c>
      <c r="BV36" s="17">
        <f>IF(BS36="","",IFERROR(INDEX(Clay_Brands!$A$2:$FZ$601,BS36,Sync!$D$17)&amp;"",""))</f>
        <v/>
      </c>
      <c r="BW36" s="23">
        <f>IF(BS36="","",IFERROR(N(INDEX(Clay_Brands!$A$2:$FZ$601,BS36,Sync!$D$16)),0))</f>
        <v/>
      </c>
    </row>
    <row r="37">
      <c r="G37" s="22" t="n"/>
      <c r="AL37" s="17">
        <f>IF(TRIM($A37)="","",IF(AND(LEFT($A37,6)="SAMPLE",Config!$B$19&lt;&gt;"Y"),"",IF(NOT(ISNUMBER(G37)),"call_date is blank or not a date",IF(Sync!$D$5="","Clay paste is empty or has no row_id column: paste the Clay export on Clay_Brands",IF(BS37="","row_id not found in the Clay paste: add the Clay row or fix the row_id",IF(AND(ISNUMBER(BU37),BU37&gt;=1,BU37&lt;=5),"Clay status is "&amp;BT37&amp;": set call_done or later",IF(AND(AP37=1,BV37&lt;&gt;BQ37),"Clay yes_in_principle should be "&amp;BQ37,IF(AND(AP37=1,BW37&lt;&gt;G37),"Clay call_date should be "&amp;TEXT(G37,"yyyy-mm-dd"),""))))))))</f>
        <v/>
      </c>
      <c r="AM37" s="17">
        <f>ROW()</f>
        <v/>
      </c>
      <c r="AN37" s="17">
        <f>IF(AND(TRIM($A37)&lt;&gt;"",ISNUMBER(G37)),IF(AND(LEFT($A37,6)="SAMPLE",Config!$B$19&lt;&gt;"Y"),0,1),0)</f>
        <v/>
      </c>
      <c r="AO37" s="17">
        <f>IF(AN37=1,IF(COUNTIFS($A$2:$A$201,$A37,$AN$2:$AN$201,1,$G$2:$G$201,"&lt;"&amp;G37)+COUNTIFS($A$2:$A$201,$A37,$AN$2:$AN$201,1,$G$2:$G$201,G37,$AM$2:$AM$201,"&lt;"&amp;AM37)=0,1,0),0)</f>
        <v/>
      </c>
      <c r="AP37" s="17">
        <f>IF(AN37=1,IF(COUNTIFS($A$2:$A$201,$A37,$AN$2:$AN$201,1,$G$2:$G$201,"&gt;"&amp;G37)+COUNTIFS($A$2:$A$201,$A37,$AN$2:$AN$201,1,$G$2:$G$201,G37,$AM$2:$AM$201,"&gt;"&amp;AM37)=0,1,0),0)</f>
        <v/>
      </c>
      <c r="AQ37" s="17">
        <f>IF(AND(AN37=1,N37="Y",MAX(N(R37),N(V37))&gt;=Config!$B$14),1,0)</f>
        <v/>
      </c>
      <c r="AR37" s="17">
        <f>IF(AQ37=1,IF(COUNTIFS($A$2:$A$201,$A37,$AQ$2:$AQ$201,1,$G$2:$G$201,"&lt;"&amp;G37)+COUNTIFS($A$2:$A$201,$A37,$AQ$2:$AQ$201,1,$G$2:$G$201,G37,$AM$2:$AM$201,"&lt;"&amp;AM37)=0,1,0),0)</f>
        <v/>
      </c>
      <c r="AS37" s="17">
        <f>IF(AND(AN37=1,N37="Y",ISNUMBER(R37)),IF(R37&gt;=Config!$B$14,1,0),0)</f>
        <v/>
      </c>
      <c r="AT37" s="17">
        <f>IF(AS37=1,IF(COUNTIFS($A$2:$A$201,$A37,$AS$2:$AS$201,1,$G$2:$G$201,"&lt;"&amp;G37)+COUNTIFS($A$2:$A$201,$A37,$AS$2:$AS$201,1,$G$2:$G$201,G37,$AM$2:$AM$201,"&lt;"&amp;AM37)=0,1,0),0)</f>
        <v/>
      </c>
      <c r="AU37" s="17">
        <f>IF(AND(AN37=1,N37&lt;&gt;"Y",MAX(N(R37),N(V37))&gt;=Config!$B$14),1,0)</f>
        <v/>
      </c>
      <c r="AV37" s="17">
        <f>IF(AU37=1,IF(COUNTIFS($A$2:$A$201,$A37,$AU$2:$AU$201,1,$G$2:$G$201,"&lt;"&amp;G37)+COUNTIFS($A$2:$A$201,$A37,$AU$2:$AU$201,1,$G$2:$G$201,G37,$AM$2:$AM$201,"&lt;"&amp;AM37)=0,1,0),0)</f>
        <v/>
      </c>
      <c r="AW37" s="17">
        <f>IF(AND(AN37=1,ISNUMBER(R37)),1,0)</f>
        <v/>
      </c>
      <c r="AX37" s="17">
        <f>IF(AW37=1,IF(COUNTIFS($A$2:$A$201,$A37,$AW$2:$AW$201,1,$G$2:$G$201,"&lt;"&amp;G37)+COUNTIFS($A$2:$A$201,$A37,$AW$2:$AW$201,1,$G$2:$G$201,G37,$AM$2:$AM$201,"&lt;"&amp;AM37)=0,1,0),0)</f>
        <v/>
      </c>
      <c r="AY37" s="17">
        <f>IF(AND(AX37=1,G37&lt;=Config!$B$6),R37,"")</f>
        <v/>
      </c>
      <c r="AZ37" s="17">
        <f>IF(AND(AX37=1,G37&lt;=Config!$B$7),R37,"")</f>
        <v/>
      </c>
      <c r="BA37" s="17">
        <f>IF(AND(AX37=1,G37&lt;=Config!$B$8),R37,"")</f>
        <v/>
      </c>
      <c r="BB37" s="17">
        <f>IF(AND(AX37=1,G37&lt;=Config!$B$5),R37,"")</f>
        <v/>
      </c>
      <c r="BC37" s="17">
        <f>IF(AND(AN37=1,ISNUMBER(V37)),1,0)</f>
        <v/>
      </c>
      <c r="BD37" s="17">
        <f>IF(BC37=1,IF(COUNTIFS($A$2:$A$201,$A37,$BC$2:$BC$201,1,$G$2:$G$201,"&lt;"&amp;G37)+COUNTIFS($A$2:$A$201,$A37,$BC$2:$BC$201,1,$G$2:$G$201,G37,$AM$2:$AM$201,"&lt;"&amp;AM37)=0,1,0),0)</f>
        <v/>
      </c>
      <c r="BE37" s="17">
        <f>IF(AND(BD37=1,G37&lt;=Config!$B$6),V37,"")</f>
        <v/>
      </c>
      <c r="BF37" s="17">
        <f>IF(AND(BD37=1,G37&lt;=Config!$B$7),V37,"")</f>
        <v/>
      </c>
      <c r="BG37" s="17">
        <f>IF(AND(BD37=1,G37&lt;=Config!$B$8),V37,"")</f>
        <v/>
      </c>
      <c r="BH37" s="17">
        <f>IF(AND(BD37=1,G37&lt;=Config!$B$5),V37,"")</f>
        <v/>
      </c>
      <c r="BI37" s="17">
        <f>IF(AND(AN37=1,ISNUMBER(J37)),1,0)</f>
        <v/>
      </c>
      <c r="BJ37" s="17">
        <f>IF(BI37=1,IF(COUNTIFS($A$2:$A$201,$A37,$BI$2:$BI$201,1,$G$2:$G$201,"&lt;"&amp;G37)+COUNTIFS($A$2:$A$201,$A37,$BI$2:$BI$201,1,$G$2:$G$201,G37,$AM$2:$AM$201,"&lt;"&amp;AM37)=0,1,0),0)</f>
        <v/>
      </c>
      <c r="BK37" s="17">
        <f>IF(AND(BJ37=1,G37&lt;=Config!$B$5),J37,"")</f>
        <v/>
      </c>
      <c r="BL37" s="17">
        <f>IF(AND(AN37=1,OR(AND(ISNUMBER(R37),TRIM(S37)=""),AND(ISNUMBER(V37),TRIM(W37)=""))),1,0)</f>
        <v/>
      </c>
      <c r="BM37" s="17">
        <f>IF(AN37=1,AB37&amp;"","")</f>
        <v/>
      </c>
      <c r="BN37" s="17">
        <f>IF(AN37=1,AC37&amp;"","")</f>
        <v/>
      </c>
      <c r="BO37" s="17">
        <f>IF(AN37=1,AD37&amp;"","")</f>
        <v/>
      </c>
      <c r="BP37" s="17">
        <f>IF(AND(AN37=1,ISNUMBER(AI37),G37&lt;=Config!$B$5),AI37,"")</f>
        <v/>
      </c>
      <c r="BQ37" s="17">
        <f>IF(AN37=1,IF(COUNTIFS($A$2:$A$201,$A37,$AF$2:$AF$201,"Y",$AN$2:$AN$201,1)&gt;0,"Y","N"),"")</f>
        <v/>
      </c>
      <c r="BR37" s="17">
        <f>IF(AND(AN37=1,AF37="Y"),IF(COUNTIFS($A$2:$A$201,$A37,$AF$2:$AF$201,"Y",$AN$2:$AN$201,1,$G$2:$G$201,"&lt;"&amp;G37)+COUNTIFS($A$2:$A$201,$A37,$AF$2:$AF$201,"Y",$AN$2:$AN$201,1,$G$2:$G$201,G37,$AM$2:$AM$201,"&lt;"&amp;AM37)=0,1,0),0)</f>
        <v/>
      </c>
      <c r="BS37" s="17">
        <f>IF(AN37=1,IFERROR(MATCH($A37,INDEX(Clay_Brands!$A$2:$FZ$601,0,Sync!$D$5),0),""),"")</f>
        <v/>
      </c>
      <c r="BT37" s="17">
        <f>IF(BS37="","",IFERROR(INDEX(Clay_Brands!$A$2:$FZ$601,BS37,Sync!$D$7)&amp;"",""))</f>
        <v/>
      </c>
      <c r="BU37" s="17">
        <f>IF(BT37="","",IFERROR(INDEX(Lists!$J$2:$J$15,MATCH(BT37,Lists!$I$2:$I$15,0)),""))</f>
        <v/>
      </c>
      <c r="BV37" s="17">
        <f>IF(BS37="","",IFERROR(INDEX(Clay_Brands!$A$2:$FZ$601,BS37,Sync!$D$17)&amp;"",""))</f>
        <v/>
      </c>
      <c r="BW37" s="23">
        <f>IF(BS37="","",IFERROR(N(INDEX(Clay_Brands!$A$2:$FZ$601,BS37,Sync!$D$16)),0))</f>
        <v/>
      </c>
    </row>
    <row r="38">
      <c r="G38" s="22" t="n"/>
      <c r="AL38" s="17">
        <f>IF(TRIM($A38)="","",IF(AND(LEFT($A38,6)="SAMPLE",Config!$B$19&lt;&gt;"Y"),"",IF(NOT(ISNUMBER(G38)),"call_date is blank or not a date",IF(Sync!$D$5="","Clay paste is empty or has no row_id column: paste the Clay export on Clay_Brands",IF(BS38="","row_id not found in the Clay paste: add the Clay row or fix the row_id",IF(AND(ISNUMBER(BU38),BU38&gt;=1,BU38&lt;=5),"Clay status is "&amp;BT38&amp;": set call_done or later",IF(AND(AP38=1,BV38&lt;&gt;BQ38),"Clay yes_in_principle should be "&amp;BQ38,IF(AND(AP38=1,BW38&lt;&gt;G38),"Clay call_date should be "&amp;TEXT(G38,"yyyy-mm-dd"),""))))))))</f>
        <v/>
      </c>
      <c r="AM38" s="17">
        <f>ROW()</f>
        <v/>
      </c>
      <c r="AN38" s="17">
        <f>IF(AND(TRIM($A38)&lt;&gt;"",ISNUMBER(G38)),IF(AND(LEFT($A38,6)="SAMPLE",Config!$B$19&lt;&gt;"Y"),0,1),0)</f>
        <v/>
      </c>
      <c r="AO38" s="17">
        <f>IF(AN38=1,IF(COUNTIFS($A$2:$A$201,$A38,$AN$2:$AN$201,1,$G$2:$G$201,"&lt;"&amp;G38)+COUNTIFS($A$2:$A$201,$A38,$AN$2:$AN$201,1,$G$2:$G$201,G38,$AM$2:$AM$201,"&lt;"&amp;AM38)=0,1,0),0)</f>
        <v/>
      </c>
      <c r="AP38" s="17">
        <f>IF(AN38=1,IF(COUNTIFS($A$2:$A$201,$A38,$AN$2:$AN$201,1,$G$2:$G$201,"&gt;"&amp;G38)+COUNTIFS($A$2:$A$201,$A38,$AN$2:$AN$201,1,$G$2:$G$201,G38,$AM$2:$AM$201,"&gt;"&amp;AM38)=0,1,0),0)</f>
        <v/>
      </c>
      <c r="AQ38" s="17">
        <f>IF(AND(AN38=1,N38="Y",MAX(N(R38),N(V38))&gt;=Config!$B$14),1,0)</f>
        <v/>
      </c>
      <c r="AR38" s="17">
        <f>IF(AQ38=1,IF(COUNTIFS($A$2:$A$201,$A38,$AQ$2:$AQ$201,1,$G$2:$G$201,"&lt;"&amp;G38)+COUNTIFS($A$2:$A$201,$A38,$AQ$2:$AQ$201,1,$G$2:$G$201,G38,$AM$2:$AM$201,"&lt;"&amp;AM38)=0,1,0),0)</f>
        <v/>
      </c>
      <c r="AS38" s="17">
        <f>IF(AND(AN38=1,N38="Y",ISNUMBER(R38)),IF(R38&gt;=Config!$B$14,1,0),0)</f>
        <v/>
      </c>
      <c r="AT38" s="17">
        <f>IF(AS38=1,IF(COUNTIFS($A$2:$A$201,$A38,$AS$2:$AS$201,1,$G$2:$G$201,"&lt;"&amp;G38)+COUNTIFS($A$2:$A$201,$A38,$AS$2:$AS$201,1,$G$2:$G$201,G38,$AM$2:$AM$201,"&lt;"&amp;AM38)=0,1,0),0)</f>
        <v/>
      </c>
      <c r="AU38" s="17">
        <f>IF(AND(AN38=1,N38&lt;&gt;"Y",MAX(N(R38),N(V38))&gt;=Config!$B$14),1,0)</f>
        <v/>
      </c>
      <c r="AV38" s="17">
        <f>IF(AU38=1,IF(COUNTIFS($A$2:$A$201,$A38,$AU$2:$AU$201,1,$G$2:$G$201,"&lt;"&amp;G38)+COUNTIFS($A$2:$A$201,$A38,$AU$2:$AU$201,1,$G$2:$G$201,G38,$AM$2:$AM$201,"&lt;"&amp;AM38)=0,1,0),0)</f>
        <v/>
      </c>
      <c r="AW38" s="17">
        <f>IF(AND(AN38=1,ISNUMBER(R38)),1,0)</f>
        <v/>
      </c>
      <c r="AX38" s="17">
        <f>IF(AW38=1,IF(COUNTIFS($A$2:$A$201,$A38,$AW$2:$AW$201,1,$G$2:$G$201,"&lt;"&amp;G38)+COUNTIFS($A$2:$A$201,$A38,$AW$2:$AW$201,1,$G$2:$G$201,G38,$AM$2:$AM$201,"&lt;"&amp;AM38)=0,1,0),0)</f>
        <v/>
      </c>
      <c r="AY38" s="17">
        <f>IF(AND(AX38=1,G38&lt;=Config!$B$6),R38,"")</f>
        <v/>
      </c>
      <c r="AZ38" s="17">
        <f>IF(AND(AX38=1,G38&lt;=Config!$B$7),R38,"")</f>
        <v/>
      </c>
      <c r="BA38" s="17">
        <f>IF(AND(AX38=1,G38&lt;=Config!$B$8),R38,"")</f>
        <v/>
      </c>
      <c r="BB38" s="17">
        <f>IF(AND(AX38=1,G38&lt;=Config!$B$5),R38,"")</f>
        <v/>
      </c>
      <c r="BC38" s="17">
        <f>IF(AND(AN38=1,ISNUMBER(V38)),1,0)</f>
        <v/>
      </c>
      <c r="BD38" s="17">
        <f>IF(BC38=1,IF(COUNTIFS($A$2:$A$201,$A38,$BC$2:$BC$201,1,$G$2:$G$201,"&lt;"&amp;G38)+COUNTIFS($A$2:$A$201,$A38,$BC$2:$BC$201,1,$G$2:$G$201,G38,$AM$2:$AM$201,"&lt;"&amp;AM38)=0,1,0),0)</f>
        <v/>
      </c>
      <c r="BE38" s="17">
        <f>IF(AND(BD38=1,G38&lt;=Config!$B$6),V38,"")</f>
        <v/>
      </c>
      <c r="BF38" s="17">
        <f>IF(AND(BD38=1,G38&lt;=Config!$B$7),V38,"")</f>
        <v/>
      </c>
      <c r="BG38" s="17">
        <f>IF(AND(BD38=1,G38&lt;=Config!$B$8),V38,"")</f>
        <v/>
      </c>
      <c r="BH38" s="17">
        <f>IF(AND(BD38=1,G38&lt;=Config!$B$5),V38,"")</f>
        <v/>
      </c>
      <c r="BI38" s="17">
        <f>IF(AND(AN38=1,ISNUMBER(J38)),1,0)</f>
        <v/>
      </c>
      <c r="BJ38" s="17">
        <f>IF(BI38=1,IF(COUNTIFS($A$2:$A$201,$A38,$BI$2:$BI$201,1,$G$2:$G$201,"&lt;"&amp;G38)+COUNTIFS($A$2:$A$201,$A38,$BI$2:$BI$201,1,$G$2:$G$201,G38,$AM$2:$AM$201,"&lt;"&amp;AM38)=0,1,0),0)</f>
        <v/>
      </c>
      <c r="BK38" s="17">
        <f>IF(AND(BJ38=1,G38&lt;=Config!$B$5),J38,"")</f>
        <v/>
      </c>
      <c r="BL38" s="17">
        <f>IF(AND(AN38=1,OR(AND(ISNUMBER(R38),TRIM(S38)=""),AND(ISNUMBER(V38),TRIM(W38)=""))),1,0)</f>
        <v/>
      </c>
      <c r="BM38" s="17">
        <f>IF(AN38=1,AB38&amp;"","")</f>
        <v/>
      </c>
      <c r="BN38" s="17">
        <f>IF(AN38=1,AC38&amp;"","")</f>
        <v/>
      </c>
      <c r="BO38" s="17">
        <f>IF(AN38=1,AD38&amp;"","")</f>
        <v/>
      </c>
      <c r="BP38" s="17">
        <f>IF(AND(AN38=1,ISNUMBER(AI38),G38&lt;=Config!$B$5),AI38,"")</f>
        <v/>
      </c>
      <c r="BQ38" s="17">
        <f>IF(AN38=1,IF(COUNTIFS($A$2:$A$201,$A38,$AF$2:$AF$201,"Y",$AN$2:$AN$201,1)&gt;0,"Y","N"),"")</f>
        <v/>
      </c>
      <c r="BR38" s="17">
        <f>IF(AND(AN38=1,AF38="Y"),IF(COUNTIFS($A$2:$A$201,$A38,$AF$2:$AF$201,"Y",$AN$2:$AN$201,1,$G$2:$G$201,"&lt;"&amp;G38)+COUNTIFS($A$2:$A$201,$A38,$AF$2:$AF$201,"Y",$AN$2:$AN$201,1,$G$2:$G$201,G38,$AM$2:$AM$201,"&lt;"&amp;AM38)=0,1,0),0)</f>
        <v/>
      </c>
      <c r="BS38" s="17">
        <f>IF(AN38=1,IFERROR(MATCH($A38,INDEX(Clay_Brands!$A$2:$FZ$601,0,Sync!$D$5),0),""),"")</f>
        <v/>
      </c>
      <c r="BT38" s="17">
        <f>IF(BS38="","",IFERROR(INDEX(Clay_Brands!$A$2:$FZ$601,BS38,Sync!$D$7)&amp;"",""))</f>
        <v/>
      </c>
      <c r="BU38" s="17">
        <f>IF(BT38="","",IFERROR(INDEX(Lists!$J$2:$J$15,MATCH(BT38,Lists!$I$2:$I$15,0)),""))</f>
        <v/>
      </c>
      <c r="BV38" s="17">
        <f>IF(BS38="","",IFERROR(INDEX(Clay_Brands!$A$2:$FZ$601,BS38,Sync!$D$17)&amp;"",""))</f>
        <v/>
      </c>
      <c r="BW38" s="23">
        <f>IF(BS38="","",IFERROR(N(INDEX(Clay_Brands!$A$2:$FZ$601,BS38,Sync!$D$16)),0))</f>
        <v/>
      </c>
    </row>
    <row r="39">
      <c r="G39" s="22" t="n"/>
      <c r="AL39" s="17">
        <f>IF(TRIM($A39)="","",IF(AND(LEFT($A39,6)="SAMPLE",Config!$B$19&lt;&gt;"Y"),"",IF(NOT(ISNUMBER(G39)),"call_date is blank or not a date",IF(Sync!$D$5="","Clay paste is empty or has no row_id column: paste the Clay export on Clay_Brands",IF(BS39="","row_id not found in the Clay paste: add the Clay row or fix the row_id",IF(AND(ISNUMBER(BU39),BU39&gt;=1,BU39&lt;=5),"Clay status is "&amp;BT39&amp;": set call_done or later",IF(AND(AP39=1,BV39&lt;&gt;BQ39),"Clay yes_in_principle should be "&amp;BQ39,IF(AND(AP39=1,BW39&lt;&gt;G39),"Clay call_date should be "&amp;TEXT(G39,"yyyy-mm-dd"),""))))))))</f>
        <v/>
      </c>
      <c r="AM39" s="17">
        <f>ROW()</f>
        <v/>
      </c>
      <c r="AN39" s="17">
        <f>IF(AND(TRIM($A39)&lt;&gt;"",ISNUMBER(G39)),IF(AND(LEFT($A39,6)="SAMPLE",Config!$B$19&lt;&gt;"Y"),0,1),0)</f>
        <v/>
      </c>
      <c r="AO39" s="17">
        <f>IF(AN39=1,IF(COUNTIFS($A$2:$A$201,$A39,$AN$2:$AN$201,1,$G$2:$G$201,"&lt;"&amp;G39)+COUNTIFS($A$2:$A$201,$A39,$AN$2:$AN$201,1,$G$2:$G$201,G39,$AM$2:$AM$201,"&lt;"&amp;AM39)=0,1,0),0)</f>
        <v/>
      </c>
      <c r="AP39" s="17">
        <f>IF(AN39=1,IF(COUNTIFS($A$2:$A$201,$A39,$AN$2:$AN$201,1,$G$2:$G$201,"&gt;"&amp;G39)+COUNTIFS($A$2:$A$201,$A39,$AN$2:$AN$201,1,$G$2:$G$201,G39,$AM$2:$AM$201,"&gt;"&amp;AM39)=0,1,0),0)</f>
        <v/>
      </c>
      <c r="AQ39" s="17">
        <f>IF(AND(AN39=1,N39="Y",MAX(N(R39),N(V39))&gt;=Config!$B$14),1,0)</f>
        <v/>
      </c>
      <c r="AR39" s="17">
        <f>IF(AQ39=1,IF(COUNTIFS($A$2:$A$201,$A39,$AQ$2:$AQ$201,1,$G$2:$G$201,"&lt;"&amp;G39)+COUNTIFS($A$2:$A$201,$A39,$AQ$2:$AQ$201,1,$G$2:$G$201,G39,$AM$2:$AM$201,"&lt;"&amp;AM39)=0,1,0),0)</f>
        <v/>
      </c>
      <c r="AS39" s="17">
        <f>IF(AND(AN39=1,N39="Y",ISNUMBER(R39)),IF(R39&gt;=Config!$B$14,1,0),0)</f>
        <v/>
      </c>
      <c r="AT39" s="17">
        <f>IF(AS39=1,IF(COUNTIFS($A$2:$A$201,$A39,$AS$2:$AS$201,1,$G$2:$G$201,"&lt;"&amp;G39)+COUNTIFS($A$2:$A$201,$A39,$AS$2:$AS$201,1,$G$2:$G$201,G39,$AM$2:$AM$201,"&lt;"&amp;AM39)=0,1,0),0)</f>
        <v/>
      </c>
      <c r="AU39" s="17">
        <f>IF(AND(AN39=1,N39&lt;&gt;"Y",MAX(N(R39),N(V39))&gt;=Config!$B$14),1,0)</f>
        <v/>
      </c>
      <c r="AV39" s="17">
        <f>IF(AU39=1,IF(COUNTIFS($A$2:$A$201,$A39,$AU$2:$AU$201,1,$G$2:$G$201,"&lt;"&amp;G39)+COUNTIFS($A$2:$A$201,$A39,$AU$2:$AU$201,1,$G$2:$G$201,G39,$AM$2:$AM$201,"&lt;"&amp;AM39)=0,1,0),0)</f>
        <v/>
      </c>
      <c r="AW39" s="17">
        <f>IF(AND(AN39=1,ISNUMBER(R39)),1,0)</f>
        <v/>
      </c>
      <c r="AX39" s="17">
        <f>IF(AW39=1,IF(COUNTIFS($A$2:$A$201,$A39,$AW$2:$AW$201,1,$G$2:$G$201,"&lt;"&amp;G39)+COUNTIFS($A$2:$A$201,$A39,$AW$2:$AW$201,1,$G$2:$G$201,G39,$AM$2:$AM$201,"&lt;"&amp;AM39)=0,1,0),0)</f>
        <v/>
      </c>
      <c r="AY39" s="17">
        <f>IF(AND(AX39=1,G39&lt;=Config!$B$6),R39,"")</f>
        <v/>
      </c>
      <c r="AZ39" s="17">
        <f>IF(AND(AX39=1,G39&lt;=Config!$B$7),R39,"")</f>
        <v/>
      </c>
      <c r="BA39" s="17">
        <f>IF(AND(AX39=1,G39&lt;=Config!$B$8),R39,"")</f>
        <v/>
      </c>
      <c r="BB39" s="17">
        <f>IF(AND(AX39=1,G39&lt;=Config!$B$5),R39,"")</f>
        <v/>
      </c>
      <c r="BC39" s="17">
        <f>IF(AND(AN39=1,ISNUMBER(V39)),1,0)</f>
        <v/>
      </c>
      <c r="BD39" s="17">
        <f>IF(BC39=1,IF(COUNTIFS($A$2:$A$201,$A39,$BC$2:$BC$201,1,$G$2:$G$201,"&lt;"&amp;G39)+COUNTIFS($A$2:$A$201,$A39,$BC$2:$BC$201,1,$G$2:$G$201,G39,$AM$2:$AM$201,"&lt;"&amp;AM39)=0,1,0),0)</f>
        <v/>
      </c>
      <c r="BE39" s="17">
        <f>IF(AND(BD39=1,G39&lt;=Config!$B$6),V39,"")</f>
        <v/>
      </c>
      <c r="BF39" s="17">
        <f>IF(AND(BD39=1,G39&lt;=Config!$B$7),V39,"")</f>
        <v/>
      </c>
      <c r="BG39" s="17">
        <f>IF(AND(BD39=1,G39&lt;=Config!$B$8),V39,"")</f>
        <v/>
      </c>
      <c r="BH39" s="17">
        <f>IF(AND(BD39=1,G39&lt;=Config!$B$5),V39,"")</f>
        <v/>
      </c>
      <c r="BI39" s="17">
        <f>IF(AND(AN39=1,ISNUMBER(J39)),1,0)</f>
        <v/>
      </c>
      <c r="BJ39" s="17">
        <f>IF(BI39=1,IF(COUNTIFS($A$2:$A$201,$A39,$BI$2:$BI$201,1,$G$2:$G$201,"&lt;"&amp;G39)+COUNTIFS($A$2:$A$201,$A39,$BI$2:$BI$201,1,$G$2:$G$201,G39,$AM$2:$AM$201,"&lt;"&amp;AM39)=0,1,0),0)</f>
        <v/>
      </c>
      <c r="BK39" s="17">
        <f>IF(AND(BJ39=1,G39&lt;=Config!$B$5),J39,"")</f>
        <v/>
      </c>
      <c r="BL39" s="17">
        <f>IF(AND(AN39=1,OR(AND(ISNUMBER(R39),TRIM(S39)=""),AND(ISNUMBER(V39),TRIM(W39)=""))),1,0)</f>
        <v/>
      </c>
      <c r="BM39" s="17">
        <f>IF(AN39=1,AB39&amp;"","")</f>
        <v/>
      </c>
      <c r="BN39" s="17">
        <f>IF(AN39=1,AC39&amp;"","")</f>
        <v/>
      </c>
      <c r="BO39" s="17">
        <f>IF(AN39=1,AD39&amp;"","")</f>
        <v/>
      </c>
      <c r="BP39" s="17">
        <f>IF(AND(AN39=1,ISNUMBER(AI39),G39&lt;=Config!$B$5),AI39,"")</f>
        <v/>
      </c>
      <c r="BQ39" s="17">
        <f>IF(AN39=1,IF(COUNTIFS($A$2:$A$201,$A39,$AF$2:$AF$201,"Y",$AN$2:$AN$201,1)&gt;0,"Y","N"),"")</f>
        <v/>
      </c>
      <c r="BR39" s="17">
        <f>IF(AND(AN39=1,AF39="Y"),IF(COUNTIFS($A$2:$A$201,$A39,$AF$2:$AF$201,"Y",$AN$2:$AN$201,1,$G$2:$G$201,"&lt;"&amp;G39)+COUNTIFS($A$2:$A$201,$A39,$AF$2:$AF$201,"Y",$AN$2:$AN$201,1,$G$2:$G$201,G39,$AM$2:$AM$201,"&lt;"&amp;AM39)=0,1,0),0)</f>
        <v/>
      </c>
      <c r="BS39" s="17">
        <f>IF(AN39=1,IFERROR(MATCH($A39,INDEX(Clay_Brands!$A$2:$FZ$601,0,Sync!$D$5),0),""),"")</f>
        <v/>
      </c>
      <c r="BT39" s="17">
        <f>IF(BS39="","",IFERROR(INDEX(Clay_Brands!$A$2:$FZ$601,BS39,Sync!$D$7)&amp;"",""))</f>
        <v/>
      </c>
      <c r="BU39" s="17">
        <f>IF(BT39="","",IFERROR(INDEX(Lists!$J$2:$J$15,MATCH(BT39,Lists!$I$2:$I$15,0)),""))</f>
        <v/>
      </c>
      <c r="BV39" s="17">
        <f>IF(BS39="","",IFERROR(INDEX(Clay_Brands!$A$2:$FZ$601,BS39,Sync!$D$17)&amp;"",""))</f>
        <v/>
      </c>
      <c r="BW39" s="23">
        <f>IF(BS39="","",IFERROR(N(INDEX(Clay_Brands!$A$2:$FZ$601,BS39,Sync!$D$16)),0))</f>
        <v/>
      </c>
    </row>
    <row r="40">
      <c r="G40" s="22" t="n"/>
      <c r="AL40" s="17">
        <f>IF(TRIM($A40)="","",IF(AND(LEFT($A40,6)="SAMPLE",Config!$B$19&lt;&gt;"Y"),"",IF(NOT(ISNUMBER(G40)),"call_date is blank or not a date",IF(Sync!$D$5="","Clay paste is empty or has no row_id column: paste the Clay export on Clay_Brands",IF(BS40="","row_id not found in the Clay paste: add the Clay row or fix the row_id",IF(AND(ISNUMBER(BU40),BU40&gt;=1,BU40&lt;=5),"Clay status is "&amp;BT40&amp;": set call_done or later",IF(AND(AP40=1,BV40&lt;&gt;BQ40),"Clay yes_in_principle should be "&amp;BQ40,IF(AND(AP40=1,BW40&lt;&gt;G40),"Clay call_date should be "&amp;TEXT(G40,"yyyy-mm-dd"),""))))))))</f>
        <v/>
      </c>
      <c r="AM40" s="17">
        <f>ROW()</f>
        <v/>
      </c>
      <c r="AN40" s="17">
        <f>IF(AND(TRIM($A40)&lt;&gt;"",ISNUMBER(G40)),IF(AND(LEFT($A40,6)="SAMPLE",Config!$B$19&lt;&gt;"Y"),0,1),0)</f>
        <v/>
      </c>
      <c r="AO40" s="17">
        <f>IF(AN40=1,IF(COUNTIFS($A$2:$A$201,$A40,$AN$2:$AN$201,1,$G$2:$G$201,"&lt;"&amp;G40)+COUNTIFS($A$2:$A$201,$A40,$AN$2:$AN$201,1,$G$2:$G$201,G40,$AM$2:$AM$201,"&lt;"&amp;AM40)=0,1,0),0)</f>
        <v/>
      </c>
      <c r="AP40" s="17">
        <f>IF(AN40=1,IF(COUNTIFS($A$2:$A$201,$A40,$AN$2:$AN$201,1,$G$2:$G$201,"&gt;"&amp;G40)+COUNTIFS($A$2:$A$201,$A40,$AN$2:$AN$201,1,$G$2:$G$201,G40,$AM$2:$AM$201,"&gt;"&amp;AM40)=0,1,0),0)</f>
        <v/>
      </c>
      <c r="AQ40" s="17">
        <f>IF(AND(AN40=1,N40="Y",MAX(N(R40),N(V40))&gt;=Config!$B$14),1,0)</f>
        <v/>
      </c>
      <c r="AR40" s="17">
        <f>IF(AQ40=1,IF(COUNTIFS($A$2:$A$201,$A40,$AQ$2:$AQ$201,1,$G$2:$G$201,"&lt;"&amp;G40)+COUNTIFS($A$2:$A$201,$A40,$AQ$2:$AQ$201,1,$G$2:$G$201,G40,$AM$2:$AM$201,"&lt;"&amp;AM40)=0,1,0),0)</f>
        <v/>
      </c>
      <c r="AS40" s="17">
        <f>IF(AND(AN40=1,N40="Y",ISNUMBER(R40)),IF(R40&gt;=Config!$B$14,1,0),0)</f>
        <v/>
      </c>
      <c r="AT40" s="17">
        <f>IF(AS40=1,IF(COUNTIFS($A$2:$A$201,$A40,$AS$2:$AS$201,1,$G$2:$G$201,"&lt;"&amp;G40)+COUNTIFS($A$2:$A$201,$A40,$AS$2:$AS$201,1,$G$2:$G$201,G40,$AM$2:$AM$201,"&lt;"&amp;AM40)=0,1,0),0)</f>
        <v/>
      </c>
      <c r="AU40" s="17">
        <f>IF(AND(AN40=1,N40&lt;&gt;"Y",MAX(N(R40),N(V40))&gt;=Config!$B$14),1,0)</f>
        <v/>
      </c>
      <c r="AV40" s="17">
        <f>IF(AU40=1,IF(COUNTIFS($A$2:$A$201,$A40,$AU$2:$AU$201,1,$G$2:$G$201,"&lt;"&amp;G40)+COUNTIFS($A$2:$A$201,$A40,$AU$2:$AU$201,1,$G$2:$G$201,G40,$AM$2:$AM$201,"&lt;"&amp;AM40)=0,1,0),0)</f>
        <v/>
      </c>
      <c r="AW40" s="17">
        <f>IF(AND(AN40=1,ISNUMBER(R40)),1,0)</f>
        <v/>
      </c>
      <c r="AX40" s="17">
        <f>IF(AW40=1,IF(COUNTIFS($A$2:$A$201,$A40,$AW$2:$AW$201,1,$G$2:$G$201,"&lt;"&amp;G40)+COUNTIFS($A$2:$A$201,$A40,$AW$2:$AW$201,1,$G$2:$G$201,G40,$AM$2:$AM$201,"&lt;"&amp;AM40)=0,1,0),0)</f>
        <v/>
      </c>
      <c r="AY40" s="17">
        <f>IF(AND(AX40=1,G40&lt;=Config!$B$6),R40,"")</f>
        <v/>
      </c>
      <c r="AZ40" s="17">
        <f>IF(AND(AX40=1,G40&lt;=Config!$B$7),R40,"")</f>
        <v/>
      </c>
      <c r="BA40" s="17">
        <f>IF(AND(AX40=1,G40&lt;=Config!$B$8),R40,"")</f>
        <v/>
      </c>
      <c r="BB40" s="17">
        <f>IF(AND(AX40=1,G40&lt;=Config!$B$5),R40,"")</f>
        <v/>
      </c>
      <c r="BC40" s="17">
        <f>IF(AND(AN40=1,ISNUMBER(V40)),1,0)</f>
        <v/>
      </c>
      <c r="BD40" s="17">
        <f>IF(BC40=1,IF(COUNTIFS($A$2:$A$201,$A40,$BC$2:$BC$201,1,$G$2:$G$201,"&lt;"&amp;G40)+COUNTIFS($A$2:$A$201,$A40,$BC$2:$BC$201,1,$G$2:$G$201,G40,$AM$2:$AM$201,"&lt;"&amp;AM40)=0,1,0),0)</f>
        <v/>
      </c>
      <c r="BE40" s="17">
        <f>IF(AND(BD40=1,G40&lt;=Config!$B$6),V40,"")</f>
        <v/>
      </c>
      <c r="BF40" s="17">
        <f>IF(AND(BD40=1,G40&lt;=Config!$B$7),V40,"")</f>
        <v/>
      </c>
      <c r="BG40" s="17">
        <f>IF(AND(BD40=1,G40&lt;=Config!$B$8),V40,"")</f>
        <v/>
      </c>
      <c r="BH40" s="17">
        <f>IF(AND(BD40=1,G40&lt;=Config!$B$5),V40,"")</f>
        <v/>
      </c>
      <c r="BI40" s="17">
        <f>IF(AND(AN40=1,ISNUMBER(J40)),1,0)</f>
        <v/>
      </c>
      <c r="BJ40" s="17">
        <f>IF(BI40=1,IF(COUNTIFS($A$2:$A$201,$A40,$BI$2:$BI$201,1,$G$2:$G$201,"&lt;"&amp;G40)+COUNTIFS($A$2:$A$201,$A40,$BI$2:$BI$201,1,$G$2:$G$201,G40,$AM$2:$AM$201,"&lt;"&amp;AM40)=0,1,0),0)</f>
        <v/>
      </c>
      <c r="BK40" s="17">
        <f>IF(AND(BJ40=1,G40&lt;=Config!$B$5),J40,"")</f>
        <v/>
      </c>
      <c r="BL40" s="17">
        <f>IF(AND(AN40=1,OR(AND(ISNUMBER(R40),TRIM(S40)=""),AND(ISNUMBER(V40),TRIM(W40)=""))),1,0)</f>
        <v/>
      </c>
      <c r="BM40" s="17">
        <f>IF(AN40=1,AB40&amp;"","")</f>
        <v/>
      </c>
      <c r="BN40" s="17">
        <f>IF(AN40=1,AC40&amp;"","")</f>
        <v/>
      </c>
      <c r="BO40" s="17">
        <f>IF(AN40=1,AD40&amp;"","")</f>
        <v/>
      </c>
      <c r="BP40" s="17">
        <f>IF(AND(AN40=1,ISNUMBER(AI40),G40&lt;=Config!$B$5),AI40,"")</f>
        <v/>
      </c>
      <c r="BQ40" s="17">
        <f>IF(AN40=1,IF(COUNTIFS($A$2:$A$201,$A40,$AF$2:$AF$201,"Y",$AN$2:$AN$201,1)&gt;0,"Y","N"),"")</f>
        <v/>
      </c>
      <c r="BR40" s="17">
        <f>IF(AND(AN40=1,AF40="Y"),IF(COUNTIFS($A$2:$A$201,$A40,$AF$2:$AF$201,"Y",$AN$2:$AN$201,1,$G$2:$G$201,"&lt;"&amp;G40)+COUNTIFS($A$2:$A$201,$A40,$AF$2:$AF$201,"Y",$AN$2:$AN$201,1,$G$2:$G$201,G40,$AM$2:$AM$201,"&lt;"&amp;AM40)=0,1,0),0)</f>
        <v/>
      </c>
      <c r="BS40" s="17">
        <f>IF(AN40=1,IFERROR(MATCH($A40,INDEX(Clay_Brands!$A$2:$FZ$601,0,Sync!$D$5),0),""),"")</f>
        <v/>
      </c>
      <c r="BT40" s="17">
        <f>IF(BS40="","",IFERROR(INDEX(Clay_Brands!$A$2:$FZ$601,BS40,Sync!$D$7)&amp;"",""))</f>
        <v/>
      </c>
      <c r="BU40" s="17">
        <f>IF(BT40="","",IFERROR(INDEX(Lists!$J$2:$J$15,MATCH(BT40,Lists!$I$2:$I$15,0)),""))</f>
        <v/>
      </c>
      <c r="BV40" s="17">
        <f>IF(BS40="","",IFERROR(INDEX(Clay_Brands!$A$2:$FZ$601,BS40,Sync!$D$17)&amp;"",""))</f>
        <v/>
      </c>
      <c r="BW40" s="23">
        <f>IF(BS40="","",IFERROR(N(INDEX(Clay_Brands!$A$2:$FZ$601,BS40,Sync!$D$16)),0))</f>
        <v/>
      </c>
    </row>
    <row r="41">
      <c r="G41" s="22" t="n"/>
      <c r="AL41" s="17">
        <f>IF(TRIM($A41)="","",IF(AND(LEFT($A41,6)="SAMPLE",Config!$B$19&lt;&gt;"Y"),"",IF(NOT(ISNUMBER(G41)),"call_date is blank or not a date",IF(Sync!$D$5="","Clay paste is empty or has no row_id column: paste the Clay export on Clay_Brands",IF(BS41="","row_id not found in the Clay paste: add the Clay row or fix the row_id",IF(AND(ISNUMBER(BU41),BU41&gt;=1,BU41&lt;=5),"Clay status is "&amp;BT41&amp;": set call_done or later",IF(AND(AP41=1,BV41&lt;&gt;BQ41),"Clay yes_in_principle should be "&amp;BQ41,IF(AND(AP41=1,BW41&lt;&gt;G41),"Clay call_date should be "&amp;TEXT(G41,"yyyy-mm-dd"),""))))))))</f>
        <v/>
      </c>
      <c r="AM41" s="17">
        <f>ROW()</f>
        <v/>
      </c>
      <c r="AN41" s="17">
        <f>IF(AND(TRIM($A41)&lt;&gt;"",ISNUMBER(G41)),IF(AND(LEFT($A41,6)="SAMPLE",Config!$B$19&lt;&gt;"Y"),0,1),0)</f>
        <v/>
      </c>
      <c r="AO41" s="17">
        <f>IF(AN41=1,IF(COUNTIFS($A$2:$A$201,$A41,$AN$2:$AN$201,1,$G$2:$G$201,"&lt;"&amp;G41)+COUNTIFS($A$2:$A$201,$A41,$AN$2:$AN$201,1,$G$2:$G$201,G41,$AM$2:$AM$201,"&lt;"&amp;AM41)=0,1,0),0)</f>
        <v/>
      </c>
      <c r="AP41" s="17">
        <f>IF(AN41=1,IF(COUNTIFS($A$2:$A$201,$A41,$AN$2:$AN$201,1,$G$2:$G$201,"&gt;"&amp;G41)+COUNTIFS($A$2:$A$201,$A41,$AN$2:$AN$201,1,$G$2:$G$201,G41,$AM$2:$AM$201,"&gt;"&amp;AM41)=0,1,0),0)</f>
        <v/>
      </c>
      <c r="AQ41" s="17">
        <f>IF(AND(AN41=1,N41="Y",MAX(N(R41),N(V41))&gt;=Config!$B$14),1,0)</f>
        <v/>
      </c>
      <c r="AR41" s="17">
        <f>IF(AQ41=1,IF(COUNTIFS($A$2:$A$201,$A41,$AQ$2:$AQ$201,1,$G$2:$G$201,"&lt;"&amp;G41)+COUNTIFS($A$2:$A$201,$A41,$AQ$2:$AQ$201,1,$G$2:$G$201,G41,$AM$2:$AM$201,"&lt;"&amp;AM41)=0,1,0),0)</f>
        <v/>
      </c>
      <c r="AS41" s="17">
        <f>IF(AND(AN41=1,N41="Y",ISNUMBER(R41)),IF(R41&gt;=Config!$B$14,1,0),0)</f>
        <v/>
      </c>
      <c r="AT41" s="17">
        <f>IF(AS41=1,IF(COUNTIFS($A$2:$A$201,$A41,$AS$2:$AS$201,1,$G$2:$G$201,"&lt;"&amp;G41)+COUNTIFS($A$2:$A$201,$A41,$AS$2:$AS$201,1,$G$2:$G$201,G41,$AM$2:$AM$201,"&lt;"&amp;AM41)=0,1,0),0)</f>
        <v/>
      </c>
      <c r="AU41" s="17">
        <f>IF(AND(AN41=1,N41&lt;&gt;"Y",MAX(N(R41),N(V41))&gt;=Config!$B$14),1,0)</f>
        <v/>
      </c>
      <c r="AV41" s="17">
        <f>IF(AU41=1,IF(COUNTIFS($A$2:$A$201,$A41,$AU$2:$AU$201,1,$G$2:$G$201,"&lt;"&amp;G41)+COUNTIFS($A$2:$A$201,$A41,$AU$2:$AU$201,1,$G$2:$G$201,G41,$AM$2:$AM$201,"&lt;"&amp;AM41)=0,1,0),0)</f>
        <v/>
      </c>
      <c r="AW41" s="17">
        <f>IF(AND(AN41=1,ISNUMBER(R41)),1,0)</f>
        <v/>
      </c>
      <c r="AX41" s="17">
        <f>IF(AW41=1,IF(COUNTIFS($A$2:$A$201,$A41,$AW$2:$AW$201,1,$G$2:$G$201,"&lt;"&amp;G41)+COUNTIFS($A$2:$A$201,$A41,$AW$2:$AW$201,1,$G$2:$G$201,G41,$AM$2:$AM$201,"&lt;"&amp;AM41)=0,1,0),0)</f>
        <v/>
      </c>
      <c r="AY41" s="17">
        <f>IF(AND(AX41=1,G41&lt;=Config!$B$6),R41,"")</f>
        <v/>
      </c>
      <c r="AZ41" s="17">
        <f>IF(AND(AX41=1,G41&lt;=Config!$B$7),R41,"")</f>
        <v/>
      </c>
      <c r="BA41" s="17">
        <f>IF(AND(AX41=1,G41&lt;=Config!$B$8),R41,"")</f>
        <v/>
      </c>
      <c r="BB41" s="17">
        <f>IF(AND(AX41=1,G41&lt;=Config!$B$5),R41,"")</f>
        <v/>
      </c>
      <c r="BC41" s="17">
        <f>IF(AND(AN41=1,ISNUMBER(V41)),1,0)</f>
        <v/>
      </c>
      <c r="BD41" s="17">
        <f>IF(BC41=1,IF(COUNTIFS($A$2:$A$201,$A41,$BC$2:$BC$201,1,$G$2:$G$201,"&lt;"&amp;G41)+COUNTIFS($A$2:$A$201,$A41,$BC$2:$BC$201,1,$G$2:$G$201,G41,$AM$2:$AM$201,"&lt;"&amp;AM41)=0,1,0),0)</f>
        <v/>
      </c>
      <c r="BE41" s="17">
        <f>IF(AND(BD41=1,G41&lt;=Config!$B$6),V41,"")</f>
        <v/>
      </c>
      <c r="BF41" s="17">
        <f>IF(AND(BD41=1,G41&lt;=Config!$B$7),V41,"")</f>
        <v/>
      </c>
      <c r="BG41" s="17">
        <f>IF(AND(BD41=1,G41&lt;=Config!$B$8),V41,"")</f>
        <v/>
      </c>
      <c r="BH41" s="17">
        <f>IF(AND(BD41=1,G41&lt;=Config!$B$5),V41,"")</f>
        <v/>
      </c>
      <c r="BI41" s="17">
        <f>IF(AND(AN41=1,ISNUMBER(J41)),1,0)</f>
        <v/>
      </c>
      <c r="BJ41" s="17">
        <f>IF(BI41=1,IF(COUNTIFS($A$2:$A$201,$A41,$BI$2:$BI$201,1,$G$2:$G$201,"&lt;"&amp;G41)+COUNTIFS($A$2:$A$201,$A41,$BI$2:$BI$201,1,$G$2:$G$201,G41,$AM$2:$AM$201,"&lt;"&amp;AM41)=0,1,0),0)</f>
        <v/>
      </c>
      <c r="BK41" s="17">
        <f>IF(AND(BJ41=1,G41&lt;=Config!$B$5),J41,"")</f>
        <v/>
      </c>
      <c r="BL41" s="17">
        <f>IF(AND(AN41=1,OR(AND(ISNUMBER(R41),TRIM(S41)=""),AND(ISNUMBER(V41),TRIM(W41)=""))),1,0)</f>
        <v/>
      </c>
      <c r="BM41" s="17">
        <f>IF(AN41=1,AB41&amp;"","")</f>
        <v/>
      </c>
      <c r="BN41" s="17">
        <f>IF(AN41=1,AC41&amp;"","")</f>
        <v/>
      </c>
      <c r="BO41" s="17">
        <f>IF(AN41=1,AD41&amp;"","")</f>
        <v/>
      </c>
      <c r="BP41" s="17">
        <f>IF(AND(AN41=1,ISNUMBER(AI41),G41&lt;=Config!$B$5),AI41,"")</f>
        <v/>
      </c>
      <c r="BQ41" s="17">
        <f>IF(AN41=1,IF(COUNTIFS($A$2:$A$201,$A41,$AF$2:$AF$201,"Y",$AN$2:$AN$201,1)&gt;0,"Y","N"),"")</f>
        <v/>
      </c>
      <c r="BR41" s="17">
        <f>IF(AND(AN41=1,AF41="Y"),IF(COUNTIFS($A$2:$A$201,$A41,$AF$2:$AF$201,"Y",$AN$2:$AN$201,1,$G$2:$G$201,"&lt;"&amp;G41)+COUNTIFS($A$2:$A$201,$A41,$AF$2:$AF$201,"Y",$AN$2:$AN$201,1,$G$2:$G$201,G41,$AM$2:$AM$201,"&lt;"&amp;AM41)=0,1,0),0)</f>
        <v/>
      </c>
      <c r="BS41" s="17">
        <f>IF(AN41=1,IFERROR(MATCH($A41,INDEX(Clay_Brands!$A$2:$FZ$601,0,Sync!$D$5),0),""),"")</f>
        <v/>
      </c>
      <c r="BT41" s="17">
        <f>IF(BS41="","",IFERROR(INDEX(Clay_Brands!$A$2:$FZ$601,BS41,Sync!$D$7)&amp;"",""))</f>
        <v/>
      </c>
      <c r="BU41" s="17">
        <f>IF(BT41="","",IFERROR(INDEX(Lists!$J$2:$J$15,MATCH(BT41,Lists!$I$2:$I$15,0)),""))</f>
        <v/>
      </c>
      <c r="BV41" s="17">
        <f>IF(BS41="","",IFERROR(INDEX(Clay_Brands!$A$2:$FZ$601,BS41,Sync!$D$17)&amp;"",""))</f>
        <v/>
      </c>
      <c r="BW41" s="23">
        <f>IF(BS41="","",IFERROR(N(INDEX(Clay_Brands!$A$2:$FZ$601,BS41,Sync!$D$16)),0))</f>
        <v/>
      </c>
    </row>
    <row r="42">
      <c r="G42" s="22" t="n"/>
      <c r="AL42" s="17">
        <f>IF(TRIM($A42)="","",IF(AND(LEFT($A42,6)="SAMPLE",Config!$B$19&lt;&gt;"Y"),"",IF(NOT(ISNUMBER(G42)),"call_date is blank or not a date",IF(Sync!$D$5="","Clay paste is empty or has no row_id column: paste the Clay export on Clay_Brands",IF(BS42="","row_id not found in the Clay paste: add the Clay row or fix the row_id",IF(AND(ISNUMBER(BU42),BU42&gt;=1,BU42&lt;=5),"Clay status is "&amp;BT42&amp;": set call_done or later",IF(AND(AP42=1,BV42&lt;&gt;BQ42),"Clay yes_in_principle should be "&amp;BQ42,IF(AND(AP42=1,BW42&lt;&gt;G42),"Clay call_date should be "&amp;TEXT(G42,"yyyy-mm-dd"),""))))))))</f>
        <v/>
      </c>
      <c r="AM42" s="17">
        <f>ROW()</f>
        <v/>
      </c>
      <c r="AN42" s="17">
        <f>IF(AND(TRIM($A42)&lt;&gt;"",ISNUMBER(G42)),IF(AND(LEFT($A42,6)="SAMPLE",Config!$B$19&lt;&gt;"Y"),0,1),0)</f>
        <v/>
      </c>
      <c r="AO42" s="17">
        <f>IF(AN42=1,IF(COUNTIFS($A$2:$A$201,$A42,$AN$2:$AN$201,1,$G$2:$G$201,"&lt;"&amp;G42)+COUNTIFS($A$2:$A$201,$A42,$AN$2:$AN$201,1,$G$2:$G$201,G42,$AM$2:$AM$201,"&lt;"&amp;AM42)=0,1,0),0)</f>
        <v/>
      </c>
      <c r="AP42" s="17">
        <f>IF(AN42=1,IF(COUNTIFS($A$2:$A$201,$A42,$AN$2:$AN$201,1,$G$2:$G$201,"&gt;"&amp;G42)+COUNTIFS($A$2:$A$201,$A42,$AN$2:$AN$201,1,$G$2:$G$201,G42,$AM$2:$AM$201,"&gt;"&amp;AM42)=0,1,0),0)</f>
        <v/>
      </c>
      <c r="AQ42" s="17">
        <f>IF(AND(AN42=1,N42="Y",MAX(N(R42),N(V42))&gt;=Config!$B$14),1,0)</f>
        <v/>
      </c>
      <c r="AR42" s="17">
        <f>IF(AQ42=1,IF(COUNTIFS($A$2:$A$201,$A42,$AQ$2:$AQ$201,1,$G$2:$G$201,"&lt;"&amp;G42)+COUNTIFS($A$2:$A$201,$A42,$AQ$2:$AQ$201,1,$G$2:$G$201,G42,$AM$2:$AM$201,"&lt;"&amp;AM42)=0,1,0),0)</f>
        <v/>
      </c>
      <c r="AS42" s="17">
        <f>IF(AND(AN42=1,N42="Y",ISNUMBER(R42)),IF(R42&gt;=Config!$B$14,1,0),0)</f>
        <v/>
      </c>
      <c r="AT42" s="17">
        <f>IF(AS42=1,IF(COUNTIFS($A$2:$A$201,$A42,$AS$2:$AS$201,1,$G$2:$G$201,"&lt;"&amp;G42)+COUNTIFS($A$2:$A$201,$A42,$AS$2:$AS$201,1,$G$2:$G$201,G42,$AM$2:$AM$201,"&lt;"&amp;AM42)=0,1,0),0)</f>
        <v/>
      </c>
      <c r="AU42" s="17">
        <f>IF(AND(AN42=1,N42&lt;&gt;"Y",MAX(N(R42),N(V42))&gt;=Config!$B$14),1,0)</f>
        <v/>
      </c>
      <c r="AV42" s="17">
        <f>IF(AU42=1,IF(COUNTIFS($A$2:$A$201,$A42,$AU$2:$AU$201,1,$G$2:$G$201,"&lt;"&amp;G42)+COUNTIFS($A$2:$A$201,$A42,$AU$2:$AU$201,1,$G$2:$G$201,G42,$AM$2:$AM$201,"&lt;"&amp;AM42)=0,1,0),0)</f>
        <v/>
      </c>
      <c r="AW42" s="17">
        <f>IF(AND(AN42=1,ISNUMBER(R42)),1,0)</f>
        <v/>
      </c>
      <c r="AX42" s="17">
        <f>IF(AW42=1,IF(COUNTIFS($A$2:$A$201,$A42,$AW$2:$AW$201,1,$G$2:$G$201,"&lt;"&amp;G42)+COUNTIFS($A$2:$A$201,$A42,$AW$2:$AW$201,1,$G$2:$G$201,G42,$AM$2:$AM$201,"&lt;"&amp;AM42)=0,1,0),0)</f>
        <v/>
      </c>
      <c r="AY42" s="17">
        <f>IF(AND(AX42=1,G42&lt;=Config!$B$6),R42,"")</f>
        <v/>
      </c>
      <c r="AZ42" s="17">
        <f>IF(AND(AX42=1,G42&lt;=Config!$B$7),R42,"")</f>
        <v/>
      </c>
      <c r="BA42" s="17">
        <f>IF(AND(AX42=1,G42&lt;=Config!$B$8),R42,"")</f>
        <v/>
      </c>
      <c r="BB42" s="17">
        <f>IF(AND(AX42=1,G42&lt;=Config!$B$5),R42,"")</f>
        <v/>
      </c>
      <c r="BC42" s="17">
        <f>IF(AND(AN42=1,ISNUMBER(V42)),1,0)</f>
        <v/>
      </c>
      <c r="BD42" s="17">
        <f>IF(BC42=1,IF(COUNTIFS($A$2:$A$201,$A42,$BC$2:$BC$201,1,$G$2:$G$201,"&lt;"&amp;G42)+COUNTIFS($A$2:$A$201,$A42,$BC$2:$BC$201,1,$G$2:$G$201,G42,$AM$2:$AM$201,"&lt;"&amp;AM42)=0,1,0),0)</f>
        <v/>
      </c>
      <c r="BE42" s="17">
        <f>IF(AND(BD42=1,G42&lt;=Config!$B$6),V42,"")</f>
        <v/>
      </c>
      <c r="BF42" s="17">
        <f>IF(AND(BD42=1,G42&lt;=Config!$B$7),V42,"")</f>
        <v/>
      </c>
      <c r="BG42" s="17">
        <f>IF(AND(BD42=1,G42&lt;=Config!$B$8),V42,"")</f>
        <v/>
      </c>
      <c r="BH42" s="17">
        <f>IF(AND(BD42=1,G42&lt;=Config!$B$5),V42,"")</f>
        <v/>
      </c>
      <c r="BI42" s="17">
        <f>IF(AND(AN42=1,ISNUMBER(J42)),1,0)</f>
        <v/>
      </c>
      <c r="BJ42" s="17">
        <f>IF(BI42=1,IF(COUNTIFS($A$2:$A$201,$A42,$BI$2:$BI$201,1,$G$2:$G$201,"&lt;"&amp;G42)+COUNTIFS($A$2:$A$201,$A42,$BI$2:$BI$201,1,$G$2:$G$201,G42,$AM$2:$AM$201,"&lt;"&amp;AM42)=0,1,0),0)</f>
        <v/>
      </c>
      <c r="BK42" s="17">
        <f>IF(AND(BJ42=1,G42&lt;=Config!$B$5),J42,"")</f>
        <v/>
      </c>
      <c r="BL42" s="17">
        <f>IF(AND(AN42=1,OR(AND(ISNUMBER(R42),TRIM(S42)=""),AND(ISNUMBER(V42),TRIM(W42)=""))),1,0)</f>
        <v/>
      </c>
      <c r="BM42" s="17">
        <f>IF(AN42=1,AB42&amp;"","")</f>
        <v/>
      </c>
      <c r="BN42" s="17">
        <f>IF(AN42=1,AC42&amp;"","")</f>
        <v/>
      </c>
      <c r="BO42" s="17">
        <f>IF(AN42=1,AD42&amp;"","")</f>
        <v/>
      </c>
      <c r="BP42" s="17">
        <f>IF(AND(AN42=1,ISNUMBER(AI42),G42&lt;=Config!$B$5),AI42,"")</f>
        <v/>
      </c>
      <c r="BQ42" s="17">
        <f>IF(AN42=1,IF(COUNTIFS($A$2:$A$201,$A42,$AF$2:$AF$201,"Y",$AN$2:$AN$201,1)&gt;0,"Y","N"),"")</f>
        <v/>
      </c>
      <c r="BR42" s="17">
        <f>IF(AND(AN42=1,AF42="Y"),IF(COUNTIFS($A$2:$A$201,$A42,$AF$2:$AF$201,"Y",$AN$2:$AN$201,1,$G$2:$G$201,"&lt;"&amp;G42)+COUNTIFS($A$2:$A$201,$A42,$AF$2:$AF$201,"Y",$AN$2:$AN$201,1,$G$2:$G$201,G42,$AM$2:$AM$201,"&lt;"&amp;AM42)=0,1,0),0)</f>
        <v/>
      </c>
      <c r="BS42" s="17">
        <f>IF(AN42=1,IFERROR(MATCH($A42,INDEX(Clay_Brands!$A$2:$FZ$601,0,Sync!$D$5),0),""),"")</f>
        <v/>
      </c>
      <c r="BT42" s="17">
        <f>IF(BS42="","",IFERROR(INDEX(Clay_Brands!$A$2:$FZ$601,BS42,Sync!$D$7)&amp;"",""))</f>
        <v/>
      </c>
      <c r="BU42" s="17">
        <f>IF(BT42="","",IFERROR(INDEX(Lists!$J$2:$J$15,MATCH(BT42,Lists!$I$2:$I$15,0)),""))</f>
        <v/>
      </c>
      <c r="BV42" s="17">
        <f>IF(BS42="","",IFERROR(INDEX(Clay_Brands!$A$2:$FZ$601,BS42,Sync!$D$17)&amp;"",""))</f>
        <v/>
      </c>
      <c r="BW42" s="23">
        <f>IF(BS42="","",IFERROR(N(INDEX(Clay_Brands!$A$2:$FZ$601,BS42,Sync!$D$16)),0))</f>
        <v/>
      </c>
    </row>
    <row r="43">
      <c r="G43" s="22" t="n"/>
      <c r="AL43" s="17">
        <f>IF(TRIM($A43)="","",IF(AND(LEFT($A43,6)="SAMPLE",Config!$B$19&lt;&gt;"Y"),"",IF(NOT(ISNUMBER(G43)),"call_date is blank or not a date",IF(Sync!$D$5="","Clay paste is empty or has no row_id column: paste the Clay export on Clay_Brands",IF(BS43="","row_id not found in the Clay paste: add the Clay row or fix the row_id",IF(AND(ISNUMBER(BU43),BU43&gt;=1,BU43&lt;=5),"Clay status is "&amp;BT43&amp;": set call_done or later",IF(AND(AP43=1,BV43&lt;&gt;BQ43),"Clay yes_in_principle should be "&amp;BQ43,IF(AND(AP43=1,BW43&lt;&gt;G43),"Clay call_date should be "&amp;TEXT(G43,"yyyy-mm-dd"),""))))))))</f>
        <v/>
      </c>
      <c r="AM43" s="17">
        <f>ROW()</f>
        <v/>
      </c>
      <c r="AN43" s="17">
        <f>IF(AND(TRIM($A43)&lt;&gt;"",ISNUMBER(G43)),IF(AND(LEFT($A43,6)="SAMPLE",Config!$B$19&lt;&gt;"Y"),0,1),0)</f>
        <v/>
      </c>
      <c r="AO43" s="17">
        <f>IF(AN43=1,IF(COUNTIFS($A$2:$A$201,$A43,$AN$2:$AN$201,1,$G$2:$G$201,"&lt;"&amp;G43)+COUNTIFS($A$2:$A$201,$A43,$AN$2:$AN$201,1,$G$2:$G$201,G43,$AM$2:$AM$201,"&lt;"&amp;AM43)=0,1,0),0)</f>
        <v/>
      </c>
      <c r="AP43" s="17">
        <f>IF(AN43=1,IF(COUNTIFS($A$2:$A$201,$A43,$AN$2:$AN$201,1,$G$2:$G$201,"&gt;"&amp;G43)+COUNTIFS($A$2:$A$201,$A43,$AN$2:$AN$201,1,$G$2:$G$201,G43,$AM$2:$AM$201,"&gt;"&amp;AM43)=0,1,0),0)</f>
        <v/>
      </c>
      <c r="AQ43" s="17">
        <f>IF(AND(AN43=1,N43="Y",MAX(N(R43),N(V43))&gt;=Config!$B$14),1,0)</f>
        <v/>
      </c>
      <c r="AR43" s="17">
        <f>IF(AQ43=1,IF(COUNTIFS($A$2:$A$201,$A43,$AQ$2:$AQ$201,1,$G$2:$G$201,"&lt;"&amp;G43)+COUNTIFS($A$2:$A$201,$A43,$AQ$2:$AQ$201,1,$G$2:$G$201,G43,$AM$2:$AM$201,"&lt;"&amp;AM43)=0,1,0),0)</f>
        <v/>
      </c>
      <c r="AS43" s="17">
        <f>IF(AND(AN43=1,N43="Y",ISNUMBER(R43)),IF(R43&gt;=Config!$B$14,1,0),0)</f>
        <v/>
      </c>
      <c r="AT43" s="17">
        <f>IF(AS43=1,IF(COUNTIFS($A$2:$A$201,$A43,$AS$2:$AS$201,1,$G$2:$G$201,"&lt;"&amp;G43)+COUNTIFS($A$2:$A$201,$A43,$AS$2:$AS$201,1,$G$2:$G$201,G43,$AM$2:$AM$201,"&lt;"&amp;AM43)=0,1,0),0)</f>
        <v/>
      </c>
      <c r="AU43" s="17">
        <f>IF(AND(AN43=1,N43&lt;&gt;"Y",MAX(N(R43),N(V43))&gt;=Config!$B$14),1,0)</f>
        <v/>
      </c>
      <c r="AV43" s="17">
        <f>IF(AU43=1,IF(COUNTIFS($A$2:$A$201,$A43,$AU$2:$AU$201,1,$G$2:$G$201,"&lt;"&amp;G43)+COUNTIFS($A$2:$A$201,$A43,$AU$2:$AU$201,1,$G$2:$G$201,G43,$AM$2:$AM$201,"&lt;"&amp;AM43)=0,1,0),0)</f>
        <v/>
      </c>
      <c r="AW43" s="17">
        <f>IF(AND(AN43=1,ISNUMBER(R43)),1,0)</f>
        <v/>
      </c>
      <c r="AX43" s="17">
        <f>IF(AW43=1,IF(COUNTIFS($A$2:$A$201,$A43,$AW$2:$AW$201,1,$G$2:$G$201,"&lt;"&amp;G43)+COUNTIFS($A$2:$A$201,$A43,$AW$2:$AW$201,1,$G$2:$G$201,G43,$AM$2:$AM$201,"&lt;"&amp;AM43)=0,1,0),0)</f>
        <v/>
      </c>
      <c r="AY43" s="17">
        <f>IF(AND(AX43=1,G43&lt;=Config!$B$6),R43,"")</f>
        <v/>
      </c>
      <c r="AZ43" s="17">
        <f>IF(AND(AX43=1,G43&lt;=Config!$B$7),R43,"")</f>
        <v/>
      </c>
      <c r="BA43" s="17">
        <f>IF(AND(AX43=1,G43&lt;=Config!$B$8),R43,"")</f>
        <v/>
      </c>
      <c r="BB43" s="17">
        <f>IF(AND(AX43=1,G43&lt;=Config!$B$5),R43,"")</f>
        <v/>
      </c>
      <c r="BC43" s="17">
        <f>IF(AND(AN43=1,ISNUMBER(V43)),1,0)</f>
        <v/>
      </c>
      <c r="BD43" s="17">
        <f>IF(BC43=1,IF(COUNTIFS($A$2:$A$201,$A43,$BC$2:$BC$201,1,$G$2:$G$201,"&lt;"&amp;G43)+COUNTIFS($A$2:$A$201,$A43,$BC$2:$BC$201,1,$G$2:$G$201,G43,$AM$2:$AM$201,"&lt;"&amp;AM43)=0,1,0),0)</f>
        <v/>
      </c>
      <c r="BE43" s="17">
        <f>IF(AND(BD43=1,G43&lt;=Config!$B$6),V43,"")</f>
        <v/>
      </c>
      <c r="BF43" s="17">
        <f>IF(AND(BD43=1,G43&lt;=Config!$B$7),V43,"")</f>
        <v/>
      </c>
      <c r="BG43" s="17">
        <f>IF(AND(BD43=1,G43&lt;=Config!$B$8),V43,"")</f>
        <v/>
      </c>
      <c r="BH43" s="17">
        <f>IF(AND(BD43=1,G43&lt;=Config!$B$5),V43,"")</f>
        <v/>
      </c>
      <c r="BI43" s="17">
        <f>IF(AND(AN43=1,ISNUMBER(J43)),1,0)</f>
        <v/>
      </c>
      <c r="BJ43" s="17">
        <f>IF(BI43=1,IF(COUNTIFS($A$2:$A$201,$A43,$BI$2:$BI$201,1,$G$2:$G$201,"&lt;"&amp;G43)+COUNTIFS($A$2:$A$201,$A43,$BI$2:$BI$201,1,$G$2:$G$201,G43,$AM$2:$AM$201,"&lt;"&amp;AM43)=0,1,0),0)</f>
        <v/>
      </c>
      <c r="BK43" s="17">
        <f>IF(AND(BJ43=1,G43&lt;=Config!$B$5),J43,"")</f>
        <v/>
      </c>
      <c r="BL43" s="17">
        <f>IF(AND(AN43=1,OR(AND(ISNUMBER(R43),TRIM(S43)=""),AND(ISNUMBER(V43),TRIM(W43)=""))),1,0)</f>
        <v/>
      </c>
      <c r="BM43" s="17">
        <f>IF(AN43=1,AB43&amp;"","")</f>
        <v/>
      </c>
      <c r="BN43" s="17">
        <f>IF(AN43=1,AC43&amp;"","")</f>
        <v/>
      </c>
      <c r="BO43" s="17">
        <f>IF(AN43=1,AD43&amp;"","")</f>
        <v/>
      </c>
      <c r="BP43" s="17">
        <f>IF(AND(AN43=1,ISNUMBER(AI43),G43&lt;=Config!$B$5),AI43,"")</f>
        <v/>
      </c>
      <c r="BQ43" s="17">
        <f>IF(AN43=1,IF(COUNTIFS($A$2:$A$201,$A43,$AF$2:$AF$201,"Y",$AN$2:$AN$201,1)&gt;0,"Y","N"),"")</f>
        <v/>
      </c>
      <c r="BR43" s="17">
        <f>IF(AND(AN43=1,AF43="Y"),IF(COUNTIFS($A$2:$A$201,$A43,$AF$2:$AF$201,"Y",$AN$2:$AN$201,1,$G$2:$G$201,"&lt;"&amp;G43)+COUNTIFS($A$2:$A$201,$A43,$AF$2:$AF$201,"Y",$AN$2:$AN$201,1,$G$2:$G$201,G43,$AM$2:$AM$201,"&lt;"&amp;AM43)=0,1,0),0)</f>
        <v/>
      </c>
      <c r="BS43" s="17">
        <f>IF(AN43=1,IFERROR(MATCH($A43,INDEX(Clay_Brands!$A$2:$FZ$601,0,Sync!$D$5),0),""),"")</f>
        <v/>
      </c>
      <c r="BT43" s="17">
        <f>IF(BS43="","",IFERROR(INDEX(Clay_Brands!$A$2:$FZ$601,BS43,Sync!$D$7)&amp;"",""))</f>
        <v/>
      </c>
      <c r="BU43" s="17">
        <f>IF(BT43="","",IFERROR(INDEX(Lists!$J$2:$J$15,MATCH(BT43,Lists!$I$2:$I$15,0)),""))</f>
        <v/>
      </c>
      <c r="BV43" s="17">
        <f>IF(BS43="","",IFERROR(INDEX(Clay_Brands!$A$2:$FZ$601,BS43,Sync!$D$17)&amp;"",""))</f>
        <v/>
      </c>
      <c r="BW43" s="23">
        <f>IF(BS43="","",IFERROR(N(INDEX(Clay_Brands!$A$2:$FZ$601,BS43,Sync!$D$16)),0))</f>
        <v/>
      </c>
    </row>
    <row r="44">
      <c r="G44" s="22" t="n"/>
      <c r="AL44" s="17">
        <f>IF(TRIM($A44)="","",IF(AND(LEFT($A44,6)="SAMPLE",Config!$B$19&lt;&gt;"Y"),"",IF(NOT(ISNUMBER(G44)),"call_date is blank or not a date",IF(Sync!$D$5="","Clay paste is empty or has no row_id column: paste the Clay export on Clay_Brands",IF(BS44="","row_id not found in the Clay paste: add the Clay row or fix the row_id",IF(AND(ISNUMBER(BU44),BU44&gt;=1,BU44&lt;=5),"Clay status is "&amp;BT44&amp;": set call_done or later",IF(AND(AP44=1,BV44&lt;&gt;BQ44),"Clay yes_in_principle should be "&amp;BQ44,IF(AND(AP44=1,BW44&lt;&gt;G44),"Clay call_date should be "&amp;TEXT(G44,"yyyy-mm-dd"),""))))))))</f>
        <v/>
      </c>
      <c r="AM44" s="17">
        <f>ROW()</f>
        <v/>
      </c>
      <c r="AN44" s="17">
        <f>IF(AND(TRIM($A44)&lt;&gt;"",ISNUMBER(G44)),IF(AND(LEFT($A44,6)="SAMPLE",Config!$B$19&lt;&gt;"Y"),0,1),0)</f>
        <v/>
      </c>
      <c r="AO44" s="17">
        <f>IF(AN44=1,IF(COUNTIFS($A$2:$A$201,$A44,$AN$2:$AN$201,1,$G$2:$G$201,"&lt;"&amp;G44)+COUNTIFS($A$2:$A$201,$A44,$AN$2:$AN$201,1,$G$2:$G$201,G44,$AM$2:$AM$201,"&lt;"&amp;AM44)=0,1,0),0)</f>
        <v/>
      </c>
      <c r="AP44" s="17">
        <f>IF(AN44=1,IF(COUNTIFS($A$2:$A$201,$A44,$AN$2:$AN$201,1,$G$2:$G$201,"&gt;"&amp;G44)+COUNTIFS($A$2:$A$201,$A44,$AN$2:$AN$201,1,$G$2:$G$201,G44,$AM$2:$AM$201,"&gt;"&amp;AM44)=0,1,0),0)</f>
        <v/>
      </c>
      <c r="AQ44" s="17">
        <f>IF(AND(AN44=1,N44="Y",MAX(N(R44),N(V44))&gt;=Config!$B$14),1,0)</f>
        <v/>
      </c>
      <c r="AR44" s="17">
        <f>IF(AQ44=1,IF(COUNTIFS($A$2:$A$201,$A44,$AQ$2:$AQ$201,1,$G$2:$G$201,"&lt;"&amp;G44)+COUNTIFS($A$2:$A$201,$A44,$AQ$2:$AQ$201,1,$G$2:$G$201,G44,$AM$2:$AM$201,"&lt;"&amp;AM44)=0,1,0),0)</f>
        <v/>
      </c>
      <c r="AS44" s="17">
        <f>IF(AND(AN44=1,N44="Y",ISNUMBER(R44)),IF(R44&gt;=Config!$B$14,1,0),0)</f>
        <v/>
      </c>
      <c r="AT44" s="17">
        <f>IF(AS44=1,IF(COUNTIFS($A$2:$A$201,$A44,$AS$2:$AS$201,1,$G$2:$G$201,"&lt;"&amp;G44)+COUNTIFS($A$2:$A$201,$A44,$AS$2:$AS$201,1,$G$2:$G$201,G44,$AM$2:$AM$201,"&lt;"&amp;AM44)=0,1,0),0)</f>
        <v/>
      </c>
      <c r="AU44" s="17">
        <f>IF(AND(AN44=1,N44&lt;&gt;"Y",MAX(N(R44),N(V44))&gt;=Config!$B$14),1,0)</f>
        <v/>
      </c>
      <c r="AV44" s="17">
        <f>IF(AU44=1,IF(COUNTIFS($A$2:$A$201,$A44,$AU$2:$AU$201,1,$G$2:$G$201,"&lt;"&amp;G44)+COUNTIFS($A$2:$A$201,$A44,$AU$2:$AU$201,1,$G$2:$G$201,G44,$AM$2:$AM$201,"&lt;"&amp;AM44)=0,1,0),0)</f>
        <v/>
      </c>
      <c r="AW44" s="17">
        <f>IF(AND(AN44=1,ISNUMBER(R44)),1,0)</f>
        <v/>
      </c>
      <c r="AX44" s="17">
        <f>IF(AW44=1,IF(COUNTIFS($A$2:$A$201,$A44,$AW$2:$AW$201,1,$G$2:$G$201,"&lt;"&amp;G44)+COUNTIFS($A$2:$A$201,$A44,$AW$2:$AW$201,1,$G$2:$G$201,G44,$AM$2:$AM$201,"&lt;"&amp;AM44)=0,1,0),0)</f>
        <v/>
      </c>
      <c r="AY44" s="17">
        <f>IF(AND(AX44=1,G44&lt;=Config!$B$6),R44,"")</f>
        <v/>
      </c>
      <c r="AZ44" s="17">
        <f>IF(AND(AX44=1,G44&lt;=Config!$B$7),R44,"")</f>
        <v/>
      </c>
      <c r="BA44" s="17">
        <f>IF(AND(AX44=1,G44&lt;=Config!$B$8),R44,"")</f>
        <v/>
      </c>
      <c r="BB44" s="17">
        <f>IF(AND(AX44=1,G44&lt;=Config!$B$5),R44,"")</f>
        <v/>
      </c>
      <c r="BC44" s="17">
        <f>IF(AND(AN44=1,ISNUMBER(V44)),1,0)</f>
        <v/>
      </c>
      <c r="BD44" s="17">
        <f>IF(BC44=1,IF(COUNTIFS($A$2:$A$201,$A44,$BC$2:$BC$201,1,$G$2:$G$201,"&lt;"&amp;G44)+COUNTIFS($A$2:$A$201,$A44,$BC$2:$BC$201,1,$G$2:$G$201,G44,$AM$2:$AM$201,"&lt;"&amp;AM44)=0,1,0),0)</f>
        <v/>
      </c>
      <c r="BE44" s="17">
        <f>IF(AND(BD44=1,G44&lt;=Config!$B$6),V44,"")</f>
        <v/>
      </c>
      <c r="BF44" s="17">
        <f>IF(AND(BD44=1,G44&lt;=Config!$B$7),V44,"")</f>
        <v/>
      </c>
      <c r="BG44" s="17">
        <f>IF(AND(BD44=1,G44&lt;=Config!$B$8),V44,"")</f>
        <v/>
      </c>
      <c r="BH44" s="17">
        <f>IF(AND(BD44=1,G44&lt;=Config!$B$5),V44,"")</f>
        <v/>
      </c>
      <c r="BI44" s="17">
        <f>IF(AND(AN44=1,ISNUMBER(J44)),1,0)</f>
        <v/>
      </c>
      <c r="BJ44" s="17">
        <f>IF(BI44=1,IF(COUNTIFS($A$2:$A$201,$A44,$BI$2:$BI$201,1,$G$2:$G$201,"&lt;"&amp;G44)+COUNTIFS($A$2:$A$201,$A44,$BI$2:$BI$201,1,$G$2:$G$201,G44,$AM$2:$AM$201,"&lt;"&amp;AM44)=0,1,0),0)</f>
        <v/>
      </c>
      <c r="BK44" s="17">
        <f>IF(AND(BJ44=1,G44&lt;=Config!$B$5),J44,"")</f>
        <v/>
      </c>
      <c r="BL44" s="17">
        <f>IF(AND(AN44=1,OR(AND(ISNUMBER(R44),TRIM(S44)=""),AND(ISNUMBER(V44),TRIM(W44)=""))),1,0)</f>
        <v/>
      </c>
      <c r="BM44" s="17">
        <f>IF(AN44=1,AB44&amp;"","")</f>
        <v/>
      </c>
      <c r="BN44" s="17">
        <f>IF(AN44=1,AC44&amp;"","")</f>
        <v/>
      </c>
      <c r="BO44" s="17">
        <f>IF(AN44=1,AD44&amp;"","")</f>
        <v/>
      </c>
      <c r="BP44" s="17">
        <f>IF(AND(AN44=1,ISNUMBER(AI44),G44&lt;=Config!$B$5),AI44,"")</f>
        <v/>
      </c>
      <c r="BQ44" s="17">
        <f>IF(AN44=1,IF(COUNTIFS($A$2:$A$201,$A44,$AF$2:$AF$201,"Y",$AN$2:$AN$201,1)&gt;0,"Y","N"),"")</f>
        <v/>
      </c>
      <c r="BR44" s="17">
        <f>IF(AND(AN44=1,AF44="Y"),IF(COUNTIFS($A$2:$A$201,$A44,$AF$2:$AF$201,"Y",$AN$2:$AN$201,1,$G$2:$G$201,"&lt;"&amp;G44)+COUNTIFS($A$2:$A$201,$A44,$AF$2:$AF$201,"Y",$AN$2:$AN$201,1,$G$2:$G$201,G44,$AM$2:$AM$201,"&lt;"&amp;AM44)=0,1,0),0)</f>
        <v/>
      </c>
      <c r="BS44" s="17">
        <f>IF(AN44=1,IFERROR(MATCH($A44,INDEX(Clay_Brands!$A$2:$FZ$601,0,Sync!$D$5),0),""),"")</f>
        <v/>
      </c>
      <c r="BT44" s="17">
        <f>IF(BS44="","",IFERROR(INDEX(Clay_Brands!$A$2:$FZ$601,BS44,Sync!$D$7)&amp;"",""))</f>
        <v/>
      </c>
      <c r="BU44" s="17">
        <f>IF(BT44="","",IFERROR(INDEX(Lists!$J$2:$J$15,MATCH(BT44,Lists!$I$2:$I$15,0)),""))</f>
        <v/>
      </c>
      <c r="BV44" s="17">
        <f>IF(BS44="","",IFERROR(INDEX(Clay_Brands!$A$2:$FZ$601,BS44,Sync!$D$17)&amp;"",""))</f>
        <v/>
      </c>
      <c r="BW44" s="23">
        <f>IF(BS44="","",IFERROR(N(INDEX(Clay_Brands!$A$2:$FZ$601,BS44,Sync!$D$16)),0))</f>
        <v/>
      </c>
    </row>
    <row r="45">
      <c r="G45" s="22" t="n"/>
      <c r="AL45" s="17">
        <f>IF(TRIM($A45)="","",IF(AND(LEFT($A45,6)="SAMPLE",Config!$B$19&lt;&gt;"Y"),"",IF(NOT(ISNUMBER(G45)),"call_date is blank or not a date",IF(Sync!$D$5="","Clay paste is empty or has no row_id column: paste the Clay export on Clay_Brands",IF(BS45="","row_id not found in the Clay paste: add the Clay row or fix the row_id",IF(AND(ISNUMBER(BU45),BU45&gt;=1,BU45&lt;=5),"Clay status is "&amp;BT45&amp;": set call_done or later",IF(AND(AP45=1,BV45&lt;&gt;BQ45),"Clay yes_in_principle should be "&amp;BQ45,IF(AND(AP45=1,BW45&lt;&gt;G45),"Clay call_date should be "&amp;TEXT(G45,"yyyy-mm-dd"),""))))))))</f>
        <v/>
      </c>
      <c r="AM45" s="17">
        <f>ROW()</f>
        <v/>
      </c>
      <c r="AN45" s="17">
        <f>IF(AND(TRIM($A45)&lt;&gt;"",ISNUMBER(G45)),IF(AND(LEFT($A45,6)="SAMPLE",Config!$B$19&lt;&gt;"Y"),0,1),0)</f>
        <v/>
      </c>
      <c r="AO45" s="17">
        <f>IF(AN45=1,IF(COUNTIFS($A$2:$A$201,$A45,$AN$2:$AN$201,1,$G$2:$G$201,"&lt;"&amp;G45)+COUNTIFS($A$2:$A$201,$A45,$AN$2:$AN$201,1,$G$2:$G$201,G45,$AM$2:$AM$201,"&lt;"&amp;AM45)=0,1,0),0)</f>
        <v/>
      </c>
      <c r="AP45" s="17">
        <f>IF(AN45=1,IF(COUNTIFS($A$2:$A$201,$A45,$AN$2:$AN$201,1,$G$2:$G$201,"&gt;"&amp;G45)+COUNTIFS($A$2:$A$201,$A45,$AN$2:$AN$201,1,$G$2:$G$201,G45,$AM$2:$AM$201,"&gt;"&amp;AM45)=0,1,0),0)</f>
        <v/>
      </c>
      <c r="AQ45" s="17">
        <f>IF(AND(AN45=1,N45="Y",MAX(N(R45),N(V45))&gt;=Config!$B$14),1,0)</f>
        <v/>
      </c>
      <c r="AR45" s="17">
        <f>IF(AQ45=1,IF(COUNTIFS($A$2:$A$201,$A45,$AQ$2:$AQ$201,1,$G$2:$G$201,"&lt;"&amp;G45)+COUNTIFS($A$2:$A$201,$A45,$AQ$2:$AQ$201,1,$G$2:$G$201,G45,$AM$2:$AM$201,"&lt;"&amp;AM45)=0,1,0),0)</f>
        <v/>
      </c>
      <c r="AS45" s="17">
        <f>IF(AND(AN45=1,N45="Y",ISNUMBER(R45)),IF(R45&gt;=Config!$B$14,1,0),0)</f>
        <v/>
      </c>
      <c r="AT45" s="17">
        <f>IF(AS45=1,IF(COUNTIFS($A$2:$A$201,$A45,$AS$2:$AS$201,1,$G$2:$G$201,"&lt;"&amp;G45)+COUNTIFS($A$2:$A$201,$A45,$AS$2:$AS$201,1,$G$2:$G$201,G45,$AM$2:$AM$201,"&lt;"&amp;AM45)=0,1,0),0)</f>
        <v/>
      </c>
      <c r="AU45" s="17">
        <f>IF(AND(AN45=1,N45&lt;&gt;"Y",MAX(N(R45),N(V45))&gt;=Config!$B$14),1,0)</f>
        <v/>
      </c>
      <c r="AV45" s="17">
        <f>IF(AU45=1,IF(COUNTIFS($A$2:$A$201,$A45,$AU$2:$AU$201,1,$G$2:$G$201,"&lt;"&amp;G45)+COUNTIFS($A$2:$A$201,$A45,$AU$2:$AU$201,1,$G$2:$G$201,G45,$AM$2:$AM$201,"&lt;"&amp;AM45)=0,1,0),0)</f>
        <v/>
      </c>
      <c r="AW45" s="17">
        <f>IF(AND(AN45=1,ISNUMBER(R45)),1,0)</f>
        <v/>
      </c>
      <c r="AX45" s="17">
        <f>IF(AW45=1,IF(COUNTIFS($A$2:$A$201,$A45,$AW$2:$AW$201,1,$G$2:$G$201,"&lt;"&amp;G45)+COUNTIFS($A$2:$A$201,$A45,$AW$2:$AW$201,1,$G$2:$G$201,G45,$AM$2:$AM$201,"&lt;"&amp;AM45)=0,1,0),0)</f>
        <v/>
      </c>
      <c r="AY45" s="17">
        <f>IF(AND(AX45=1,G45&lt;=Config!$B$6),R45,"")</f>
        <v/>
      </c>
      <c r="AZ45" s="17">
        <f>IF(AND(AX45=1,G45&lt;=Config!$B$7),R45,"")</f>
        <v/>
      </c>
      <c r="BA45" s="17">
        <f>IF(AND(AX45=1,G45&lt;=Config!$B$8),R45,"")</f>
        <v/>
      </c>
      <c r="BB45" s="17">
        <f>IF(AND(AX45=1,G45&lt;=Config!$B$5),R45,"")</f>
        <v/>
      </c>
      <c r="BC45" s="17">
        <f>IF(AND(AN45=1,ISNUMBER(V45)),1,0)</f>
        <v/>
      </c>
      <c r="BD45" s="17">
        <f>IF(BC45=1,IF(COUNTIFS($A$2:$A$201,$A45,$BC$2:$BC$201,1,$G$2:$G$201,"&lt;"&amp;G45)+COUNTIFS($A$2:$A$201,$A45,$BC$2:$BC$201,1,$G$2:$G$201,G45,$AM$2:$AM$201,"&lt;"&amp;AM45)=0,1,0),0)</f>
        <v/>
      </c>
      <c r="BE45" s="17">
        <f>IF(AND(BD45=1,G45&lt;=Config!$B$6),V45,"")</f>
        <v/>
      </c>
      <c r="BF45" s="17">
        <f>IF(AND(BD45=1,G45&lt;=Config!$B$7),V45,"")</f>
        <v/>
      </c>
      <c r="BG45" s="17">
        <f>IF(AND(BD45=1,G45&lt;=Config!$B$8),V45,"")</f>
        <v/>
      </c>
      <c r="BH45" s="17">
        <f>IF(AND(BD45=1,G45&lt;=Config!$B$5),V45,"")</f>
        <v/>
      </c>
      <c r="BI45" s="17">
        <f>IF(AND(AN45=1,ISNUMBER(J45)),1,0)</f>
        <v/>
      </c>
      <c r="BJ45" s="17">
        <f>IF(BI45=1,IF(COUNTIFS($A$2:$A$201,$A45,$BI$2:$BI$201,1,$G$2:$G$201,"&lt;"&amp;G45)+COUNTIFS($A$2:$A$201,$A45,$BI$2:$BI$201,1,$G$2:$G$201,G45,$AM$2:$AM$201,"&lt;"&amp;AM45)=0,1,0),0)</f>
        <v/>
      </c>
      <c r="BK45" s="17">
        <f>IF(AND(BJ45=1,G45&lt;=Config!$B$5),J45,"")</f>
        <v/>
      </c>
      <c r="BL45" s="17">
        <f>IF(AND(AN45=1,OR(AND(ISNUMBER(R45),TRIM(S45)=""),AND(ISNUMBER(V45),TRIM(W45)=""))),1,0)</f>
        <v/>
      </c>
      <c r="BM45" s="17">
        <f>IF(AN45=1,AB45&amp;"","")</f>
        <v/>
      </c>
      <c r="BN45" s="17">
        <f>IF(AN45=1,AC45&amp;"","")</f>
        <v/>
      </c>
      <c r="BO45" s="17">
        <f>IF(AN45=1,AD45&amp;"","")</f>
        <v/>
      </c>
      <c r="BP45" s="17">
        <f>IF(AND(AN45=1,ISNUMBER(AI45),G45&lt;=Config!$B$5),AI45,"")</f>
        <v/>
      </c>
      <c r="BQ45" s="17">
        <f>IF(AN45=1,IF(COUNTIFS($A$2:$A$201,$A45,$AF$2:$AF$201,"Y",$AN$2:$AN$201,1)&gt;0,"Y","N"),"")</f>
        <v/>
      </c>
      <c r="BR45" s="17">
        <f>IF(AND(AN45=1,AF45="Y"),IF(COUNTIFS($A$2:$A$201,$A45,$AF$2:$AF$201,"Y",$AN$2:$AN$201,1,$G$2:$G$201,"&lt;"&amp;G45)+COUNTIFS($A$2:$A$201,$A45,$AF$2:$AF$201,"Y",$AN$2:$AN$201,1,$G$2:$G$201,G45,$AM$2:$AM$201,"&lt;"&amp;AM45)=0,1,0),0)</f>
        <v/>
      </c>
      <c r="BS45" s="17">
        <f>IF(AN45=1,IFERROR(MATCH($A45,INDEX(Clay_Brands!$A$2:$FZ$601,0,Sync!$D$5),0),""),"")</f>
        <v/>
      </c>
      <c r="BT45" s="17">
        <f>IF(BS45="","",IFERROR(INDEX(Clay_Brands!$A$2:$FZ$601,BS45,Sync!$D$7)&amp;"",""))</f>
        <v/>
      </c>
      <c r="BU45" s="17">
        <f>IF(BT45="","",IFERROR(INDEX(Lists!$J$2:$J$15,MATCH(BT45,Lists!$I$2:$I$15,0)),""))</f>
        <v/>
      </c>
      <c r="BV45" s="17">
        <f>IF(BS45="","",IFERROR(INDEX(Clay_Brands!$A$2:$FZ$601,BS45,Sync!$D$17)&amp;"",""))</f>
        <v/>
      </c>
      <c r="BW45" s="23">
        <f>IF(BS45="","",IFERROR(N(INDEX(Clay_Brands!$A$2:$FZ$601,BS45,Sync!$D$16)),0))</f>
        <v/>
      </c>
    </row>
    <row r="46">
      <c r="G46" s="22" t="n"/>
      <c r="AL46" s="17">
        <f>IF(TRIM($A46)="","",IF(AND(LEFT($A46,6)="SAMPLE",Config!$B$19&lt;&gt;"Y"),"",IF(NOT(ISNUMBER(G46)),"call_date is blank or not a date",IF(Sync!$D$5="","Clay paste is empty or has no row_id column: paste the Clay export on Clay_Brands",IF(BS46="","row_id not found in the Clay paste: add the Clay row or fix the row_id",IF(AND(ISNUMBER(BU46),BU46&gt;=1,BU46&lt;=5),"Clay status is "&amp;BT46&amp;": set call_done or later",IF(AND(AP46=1,BV46&lt;&gt;BQ46),"Clay yes_in_principle should be "&amp;BQ46,IF(AND(AP46=1,BW46&lt;&gt;G46),"Clay call_date should be "&amp;TEXT(G46,"yyyy-mm-dd"),""))))))))</f>
        <v/>
      </c>
      <c r="AM46" s="17">
        <f>ROW()</f>
        <v/>
      </c>
      <c r="AN46" s="17">
        <f>IF(AND(TRIM($A46)&lt;&gt;"",ISNUMBER(G46)),IF(AND(LEFT($A46,6)="SAMPLE",Config!$B$19&lt;&gt;"Y"),0,1),0)</f>
        <v/>
      </c>
      <c r="AO46" s="17">
        <f>IF(AN46=1,IF(COUNTIFS($A$2:$A$201,$A46,$AN$2:$AN$201,1,$G$2:$G$201,"&lt;"&amp;G46)+COUNTIFS($A$2:$A$201,$A46,$AN$2:$AN$201,1,$G$2:$G$201,G46,$AM$2:$AM$201,"&lt;"&amp;AM46)=0,1,0),0)</f>
        <v/>
      </c>
      <c r="AP46" s="17">
        <f>IF(AN46=1,IF(COUNTIFS($A$2:$A$201,$A46,$AN$2:$AN$201,1,$G$2:$G$201,"&gt;"&amp;G46)+COUNTIFS($A$2:$A$201,$A46,$AN$2:$AN$201,1,$G$2:$G$201,G46,$AM$2:$AM$201,"&gt;"&amp;AM46)=0,1,0),0)</f>
        <v/>
      </c>
      <c r="AQ46" s="17">
        <f>IF(AND(AN46=1,N46="Y",MAX(N(R46),N(V46))&gt;=Config!$B$14),1,0)</f>
        <v/>
      </c>
      <c r="AR46" s="17">
        <f>IF(AQ46=1,IF(COUNTIFS($A$2:$A$201,$A46,$AQ$2:$AQ$201,1,$G$2:$G$201,"&lt;"&amp;G46)+COUNTIFS($A$2:$A$201,$A46,$AQ$2:$AQ$201,1,$G$2:$G$201,G46,$AM$2:$AM$201,"&lt;"&amp;AM46)=0,1,0),0)</f>
        <v/>
      </c>
      <c r="AS46" s="17">
        <f>IF(AND(AN46=1,N46="Y",ISNUMBER(R46)),IF(R46&gt;=Config!$B$14,1,0),0)</f>
        <v/>
      </c>
      <c r="AT46" s="17">
        <f>IF(AS46=1,IF(COUNTIFS($A$2:$A$201,$A46,$AS$2:$AS$201,1,$G$2:$G$201,"&lt;"&amp;G46)+COUNTIFS($A$2:$A$201,$A46,$AS$2:$AS$201,1,$G$2:$G$201,G46,$AM$2:$AM$201,"&lt;"&amp;AM46)=0,1,0),0)</f>
        <v/>
      </c>
      <c r="AU46" s="17">
        <f>IF(AND(AN46=1,N46&lt;&gt;"Y",MAX(N(R46),N(V46))&gt;=Config!$B$14),1,0)</f>
        <v/>
      </c>
      <c r="AV46" s="17">
        <f>IF(AU46=1,IF(COUNTIFS($A$2:$A$201,$A46,$AU$2:$AU$201,1,$G$2:$G$201,"&lt;"&amp;G46)+COUNTIFS($A$2:$A$201,$A46,$AU$2:$AU$201,1,$G$2:$G$201,G46,$AM$2:$AM$201,"&lt;"&amp;AM46)=0,1,0),0)</f>
        <v/>
      </c>
      <c r="AW46" s="17">
        <f>IF(AND(AN46=1,ISNUMBER(R46)),1,0)</f>
        <v/>
      </c>
      <c r="AX46" s="17">
        <f>IF(AW46=1,IF(COUNTIFS($A$2:$A$201,$A46,$AW$2:$AW$201,1,$G$2:$G$201,"&lt;"&amp;G46)+COUNTIFS($A$2:$A$201,$A46,$AW$2:$AW$201,1,$G$2:$G$201,G46,$AM$2:$AM$201,"&lt;"&amp;AM46)=0,1,0),0)</f>
        <v/>
      </c>
      <c r="AY46" s="17">
        <f>IF(AND(AX46=1,G46&lt;=Config!$B$6),R46,"")</f>
        <v/>
      </c>
      <c r="AZ46" s="17">
        <f>IF(AND(AX46=1,G46&lt;=Config!$B$7),R46,"")</f>
        <v/>
      </c>
      <c r="BA46" s="17">
        <f>IF(AND(AX46=1,G46&lt;=Config!$B$8),R46,"")</f>
        <v/>
      </c>
      <c r="BB46" s="17">
        <f>IF(AND(AX46=1,G46&lt;=Config!$B$5),R46,"")</f>
        <v/>
      </c>
      <c r="BC46" s="17">
        <f>IF(AND(AN46=1,ISNUMBER(V46)),1,0)</f>
        <v/>
      </c>
      <c r="BD46" s="17">
        <f>IF(BC46=1,IF(COUNTIFS($A$2:$A$201,$A46,$BC$2:$BC$201,1,$G$2:$G$201,"&lt;"&amp;G46)+COUNTIFS($A$2:$A$201,$A46,$BC$2:$BC$201,1,$G$2:$G$201,G46,$AM$2:$AM$201,"&lt;"&amp;AM46)=0,1,0),0)</f>
        <v/>
      </c>
      <c r="BE46" s="17">
        <f>IF(AND(BD46=1,G46&lt;=Config!$B$6),V46,"")</f>
        <v/>
      </c>
      <c r="BF46" s="17">
        <f>IF(AND(BD46=1,G46&lt;=Config!$B$7),V46,"")</f>
        <v/>
      </c>
      <c r="BG46" s="17">
        <f>IF(AND(BD46=1,G46&lt;=Config!$B$8),V46,"")</f>
        <v/>
      </c>
      <c r="BH46" s="17">
        <f>IF(AND(BD46=1,G46&lt;=Config!$B$5),V46,"")</f>
        <v/>
      </c>
      <c r="BI46" s="17">
        <f>IF(AND(AN46=1,ISNUMBER(J46)),1,0)</f>
        <v/>
      </c>
      <c r="BJ46" s="17">
        <f>IF(BI46=1,IF(COUNTIFS($A$2:$A$201,$A46,$BI$2:$BI$201,1,$G$2:$G$201,"&lt;"&amp;G46)+COUNTIFS($A$2:$A$201,$A46,$BI$2:$BI$201,1,$G$2:$G$201,G46,$AM$2:$AM$201,"&lt;"&amp;AM46)=0,1,0),0)</f>
        <v/>
      </c>
      <c r="BK46" s="17">
        <f>IF(AND(BJ46=1,G46&lt;=Config!$B$5),J46,"")</f>
        <v/>
      </c>
      <c r="BL46" s="17">
        <f>IF(AND(AN46=1,OR(AND(ISNUMBER(R46),TRIM(S46)=""),AND(ISNUMBER(V46),TRIM(W46)=""))),1,0)</f>
        <v/>
      </c>
      <c r="BM46" s="17">
        <f>IF(AN46=1,AB46&amp;"","")</f>
        <v/>
      </c>
      <c r="BN46" s="17">
        <f>IF(AN46=1,AC46&amp;"","")</f>
        <v/>
      </c>
      <c r="BO46" s="17">
        <f>IF(AN46=1,AD46&amp;"","")</f>
        <v/>
      </c>
      <c r="BP46" s="17">
        <f>IF(AND(AN46=1,ISNUMBER(AI46),G46&lt;=Config!$B$5),AI46,"")</f>
        <v/>
      </c>
      <c r="BQ46" s="17">
        <f>IF(AN46=1,IF(COUNTIFS($A$2:$A$201,$A46,$AF$2:$AF$201,"Y",$AN$2:$AN$201,1)&gt;0,"Y","N"),"")</f>
        <v/>
      </c>
      <c r="BR46" s="17">
        <f>IF(AND(AN46=1,AF46="Y"),IF(COUNTIFS($A$2:$A$201,$A46,$AF$2:$AF$201,"Y",$AN$2:$AN$201,1,$G$2:$G$201,"&lt;"&amp;G46)+COUNTIFS($A$2:$A$201,$A46,$AF$2:$AF$201,"Y",$AN$2:$AN$201,1,$G$2:$G$201,G46,$AM$2:$AM$201,"&lt;"&amp;AM46)=0,1,0),0)</f>
        <v/>
      </c>
      <c r="BS46" s="17">
        <f>IF(AN46=1,IFERROR(MATCH($A46,INDEX(Clay_Brands!$A$2:$FZ$601,0,Sync!$D$5),0),""),"")</f>
        <v/>
      </c>
      <c r="BT46" s="17">
        <f>IF(BS46="","",IFERROR(INDEX(Clay_Brands!$A$2:$FZ$601,BS46,Sync!$D$7)&amp;"",""))</f>
        <v/>
      </c>
      <c r="BU46" s="17">
        <f>IF(BT46="","",IFERROR(INDEX(Lists!$J$2:$J$15,MATCH(BT46,Lists!$I$2:$I$15,0)),""))</f>
        <v/>
      </c>
      <c r="BV46" s="17">
        <f>IF(BS46="","",IFERROR(INDEX(Clay_Brands!$A$2:$FZ$601,BS46,Sync!$D$17)&amp;"",""))</f>
        <v/>
      </c>
      <c r="BW46" s="23">
        <f>IF(BS46="","",IFERROR(N(INDEX(Clay_Brands!$A$2:$FZ$601,BS46,Sync!$D$16)),0))</f>
        <v/>
      </c>
    </row>
    <row r="47">
      <c r="G47" s="22" t="n"/>
      <c r="AL47" s="17">
        <f>IF(TRIM($A47)="","",IF(AND(LEFT($A47,6)="SAMPLE",Config!$B$19&lt;&gt;"Y"),"",IF(NOT(ISNUMBER(G47)),"call_date is blank or not a date",IF(Sync!$D$5="","Clay paste is empty or has no row_id column: paste the Clay export on Clay_Brands",IF(BS47="","row_id not found in the Clay paste: add the Clay row or fix the row_id",IF(AND(ISNUMBER(BU47),BU47&gt;=1,BU47&lt;=5),"Clay status is "&amp;BT47&amp;": set call_done or later",IF(AND(AP47=1,BV47&lt;&gt;BQ47),"Clay yes_in_principle should be "&amp;BQ47,IF(AND(AP47=1,BW47&lt;&gt;G47),"Clay call_date should be "&amp;TEXT(G47,"yyyy-mm-dd"),""))))))))</f>
        <v/>
      </c>
      <c r="AM47" s="17">
        <f>ROW()</f>
        <v/>
      </c>
      <c r="AN47" s="17">
        <f>IF(AND(TRIM($A47)&lt;&gt;"",ISNUMBER(G47)),IF(AND(LEFT($A47,6)="SAMPLE",Config!$B$19&lt;&gt;"Y"),0,1),0)</f>
        <v/>
      </c>
      <c r="AO47" s="17">
        <f>IF(AN47=1,IF(COUNTIFS($A$2:$A$201,$A47,$AN$2:$AN$201,1,$G$2:$G$201,"&lt;"&amp;G47)+COUNTIFS($A$2:$A$201,$A47,$AN$2:$AN$201,1,$G$2:$G$201,G47,$AM$2:$AM$201,"&lt;"&amp;AM47)=0,1,0),0)</f>
        <v/>
      </c>
      <c r="AP47" s="17">
        <f>IF(AN47=1,IF(COUNTIFS($A$2:$A$201,$A47,$AN$2:$AN$201,1,$G$2:$G$201,"&gt;"&amp;G47)+COUNTIFS($A$2:$A$201,$A47,$AN$2:$AN$201,1,$G$2:$G$201,G47,$AM$2:$AM$201,"&gt;"&amp;AM47)=0,1,0),0)</f>
        <v/>
      </c>
      <c r="AQ47" s="17">
        <f>IF(AND(AN47=1,N47="Y",MAX(N(R47),N(V47))&gt;=Config!$B$14),1,0)</f>
        <v/>
      </c>
      <c r="AR47" s="17">
        <f>IF(AQ47=1,IF(COUNTIFS($A$2:$A$201,$A47,$AQ$2:$AQ$201,1,$G$2:$G$201,"&lt;"&amp;G47)+COUNTIFS($A$2:$A$201,$A47,$AQ$2:$AQ$201,1,$G$2:$G$201,G47,$AM$2:$AM$201,"&lt;"&amp;AM47)=0,1,0),0)</f>
        <v/>
      </c>
      <c r="AS47" s="17">
        <f>IF(AND(AN47=1,N47="Y",ISNUMBER(R47)),IF(R47&gt;=Config!$B$14,1,0),0)</f>
        <v/>
      </c>
      <c r="AT47" s="17">
        <f>IF(AS47=1,IF(COUNTIFS($A$2:$A$201,$A47,$AS$2:$AS$201,1,$G$2:$G$201,"&lt;"&amp;G47)+COUNTIFS($A$2:$A$201,$A47,$AS$2:$AS$201,1,$G$2:$G$201,G47,$AM$2:$AM$201,"&lt;"&amp;AM47)=0,1,0),0)</f>
        <v/>
      </c>
      <c r="AU47" s="17">
        <f>IF(AND(AN47=1,N47&lt;&gt;"Y",MAX(N(R47),N(V47))&gt;=Config!$B$14),1,0)</f>
        <v/>
      </c>
      <c r="AV47" s="17">
        <f>IF(AU47=1,IF(COUNTIFS($A$2:$A$201,$A47,$AU$2:$AU$201,1,$G$2:$G$201,"&lt;"&amp;G47)+COUNTIFS($A$2:$A$201,$A47,$AU$2:$AU$201,1,$G$2:$G$201,G47,$AM$2:$AM$201,"&lt;"&amp;AM47)=0,1,0),0)</f>
        <v/>
      </c>
      <c r="AW47" s="17">
        <f>IF(AND(AN47=1,ISNUMBER(R47)),1,0)</f>
        <v/>
      </c>
      <c r="AX47" s="17">
        <f>IF(AW47=1,IF(COUNTIFS($A$2:$A$201,$A47,$AW$2:$AW$201,1,$G$2:$G$201,"&lt;"&amp;G47)+COUNTIFS($A$2:$A$201,$A47,$AW$2:$AW$201,1,$G$2:$G$201,G47,$AM$2:$AM$201,"&lt;"&amp;AM47)=0,1,0),0)</f>
        <v/>
      </c>
      <c r="AY47" s="17">
        <f>IF(AND(AX47=1,G47&lt;=Config!$B$6),R47,"")</f>
        <v/>
      </c>
      <c r="AZ47" s="17">
        <f>IF(AND(AX47=1,G47&lt;=Config!$B$7),R47,"")</f>
        <v/>
      </c>
      <c r="BA47" s="17">
        <f>IF(AND(AX47=1,G47&lt;=Config!$B$8),R47,"")</f>
        <v/>
      </c>
      <c r="BB47" s="17">
        <f>IF(AND(AX47=1,G47&lt;=Config!$B$5),R47,"")</f>
        <v/>
      </c>
      <c r="BC47" s="17">
        <f>IF(AND(AN47=1,ISNUMBER(V47)),1,0)</f>
        <v/>
      </c>
      <c r="BD47" s="17">
        <f>IF(BC47=1,IF(COUNTIFS($A$2:$A$201,$A47,$BC$2:$BC$201,1,$G$2:$G$201,"&lt;"&amp;G47)+COUNTIFS($A$2:$A$201,$A47,$BC$2:$BC$201,1,$G$2:$G$201,G47,$AM$2:$AM$201,"&lt;"&amp;AM47)=0,1,0),0)</f>
        <v/>
      </c>
      <c r="BE47" s="17">
        <f>IF(AND(BD47=1,G47&lt;=Config!$B$6),V47,"")</f>
        <v/>
      </c>
      <c r="BF47" s="17">
        <f>IF(AND(BD47=1,G47&lt;=Config!$B$7),V47,"")</f>
        <v/>
      </c>
      <c r="BG47" s="17">
        <f>IF(AND(BD47=1,G47&lt;=Config!$B$8),V47,"")</f>
        <v/>
      </c>
      <c r="BH47" s="17">
        <f>IF(AND(BD47=1,G47&lt;=Config!$B$5),V47,"")</f>
        <v/>
      </c>
      <c r="BI47" s="17">
        <f>IF(AND(AN47=1,ISNUMBER(J47)),1,0)</f>
        <v/>
      </c>
      <c r="BJ47" s="17">
        <f>IF(BI47=1,IF(COUNTIFS($A$2:$A$201,$A47,$BI$2:$BI$201,1,$G$2:$G$201,"&lt;"&amp;G47)+COUNTIFS($A$2:$A$201,$A47,$BI$2:$BI$201,1,$G$2:$G$201,G47,$AM$2:$AM$201,"&lt;"&amp;AM47)=0,1,0),0)</f>
        <v/>
      </c>
      <c r="BK47" s="17">
        <f>IF(AND(BJ47=1,G47&lt;=Config!$B$5),J47,"")</f>
        <v/>
      </c>
      <c r="BL47" s="17">
        <f>IF(AND(AN47=1,OR(AND(ISNUMBER(R47),TRIM(S47)=""),AND(ISNUMBER(V47),TRIM(W47)=""))),1,0)</f>
        <v/>
      </c>
      <c r="BM47" s="17">
        <f>IF(AN47=1,AB47&amp;"","")</f>
        <v/>
      </c>
      <c r="BN47" s="17">
        <f>IF(AN47=1,AC47&amp;"","")</f>
        <v/>
      </c>
      <c r="BO47" s="17">
        <f>IF(AN47=1,AD47&amp;"","")</f>
        <v/>
      </c>
      <c r="BP47" s="17">
        <f>IF(AND(AN47=1,ISNUMBER(AI47),G47&lt;=Config!$B$5),AI47,"")</f>
        <v/>
      </c>
      <c r="BQ47" s="17">
        <f>IF(AN47=1,IF(COUNTIFS($A$2:$A$201,$A47,$AF$2:$AF$201,"Y",$AN$2:$AN$201,1)&gt;0,"Y","N"),"")</f>
        <v/>
      </c>
      <c r="BR47" s="17">
        <f>IF(AND(AN47=1,AF47="Y"),IF(COUNTIFS($A$2:$A$201,$A47,$AF$2:$AF$201,"Y",$AN$2:$AN$201,1,$G$2:$G$201,"&lt;"&amp;G47)+COUNTIFS($A$2:$A$201,$A47,$AF$2:$AF$201,"Y",$AN$2:$AN$201,1,$G$2:$G$201,G47,$AM$2:$AM$201,"&lt;"&amp;AM47)=0,1,0),0)</f>
        <v/>
      </c>
      <c r="BS47" s="17">
        <f>IF(AN47=1,IFERROR(MATCH($A47,INDEX(Clay_Brands!$A$2:$FZ$601,0,Sync!$D$5),0),""),"")</f>
        <v/>
      </c>
      <c r="BT47" s="17">
        <f>IF(BS47="","",IFERROR(INDEX(Clay_Brands!$A$2:$FZ$601,BS47,Sync!$D$7)&amp;"",""))</f>
        <v/>
      </c>
      <c r="BU47" s="17">
        <f>IF(BT47="","",IFERROR(INDEX(Lists!$J$2:$J$15,MATCH(BT47,Lists!$I$2:$I$15,0)),""))</f>
        <v/>
      </c>
      <c r="BV47" s="17">
        <f>IF(BS47="","",IFERROR(INDEX(Clay_Brands!$A$2:$FZ$601,BS47,Sync!$D$17)&amp;"",""))</f>
        <v/>
      </c>
      <c r="BW47" s="23">
        <f>IF(BS47="","",IFERROR(N(INDEX(Clay_Brands!$A$2:$FZ$601,BS47,Sync!$D$16)),0))</f>
        <v/>
      </c>
    </row>
    <row r="48">
      <c r="G48" s="22" t="n"/>
      <c r="AL48" s="17">
        <f>IF(TRIM($A48)="","",IF(AND(LEFT($A48,6)="SAMPLE",Config!$B$19&lt;&gt;"Y"),"",IF(NOT(ISNUMBER(G48)),"call_date is blank or not a date",IF(Sync!$D$5="","Clay paste is empty or has no row_id column: paste the Clay export on Clay_Brands",IF(BS48="","row_id not found in the Clay paste: add the Clay row or fix the row_id",IF(AND(ISNUMBER(BU48),BU48&gt;=1,BU48&lt;=5),"Clay status is "&amp;BT48&amp;": set call_done or later",IF(AND(AP48=1,BV48&lt;&gt;BQ48),"Clay yes_in_principle should be "&amp;BQ48,IF(AND(AP48=1,BW48&lt;&gt;G48),"Clay call_date should be "&amp;TEXT(G48,"yyyy-mm-dd"),""))))))))</f>
        <v/>
      </c>
      <c r="AM48" s="17">
        <f>ROW()</f>
        <v/>
      </c>
      <c r="AN48" s="17">
        <f>IF(AND(TRIM($A48)&lt;&gt;"",ISNUMBER(G48)),IF(AND(LEFT($A48,6)="SAMPLE",Config!$B$19&lt;&gt;"Y"),0,1),0)</f>
        <v/>
      </c>
      <c r="AO48" s="17">
        <f>IF(AN48=1,IF(COUNTIFS($A$2:$A$201,$A48,$AN$2:$AN$201,1,$G$2:$G$201,"&lt;"&amp;G48)+COUNTIFS($A$2:$A$201,$A48,$AN$2:$AN$201,1,$G$2:$G$201,G48,$AM$2:$AM$201,"&lt;"&amp;AM48)=0,1,0),0)</f>
        <v/>
      </c>
      <c r="AP48" s="17">
        <f>IF(AN48=1,IF(COUNTIFS($A$2:$A$201,$A48,$AN$2:$AN$201,1,$G$2:$G$201,"&gt;"&amp;G48)+COUNTIFS($A$2:$A$201,$A48,$AN$2:$AN$201,1,$G$2:$G$201,G48,$AM$2:$AM$201,"&gt;"&amp;AM48)=0,1,0),0)</f>
        <v/>
      </c>
      <c r="AQ48" s="17">
        <f>IF(AND(AN48=1,N48="Y",MAX(N(R48),N(V48))&gt;=Config!$B$14),1,0)</f>
        <v/>
      </c>
      <c r="AR48" s="17">
        <f>IF(AQ48=1,IF(COUNTIFS($A$2:$A$201,$A48,$AQ$2:$AQ$201,1,$G$2:$G$201,"&lt;"&amp;G48)+COUNTIFS($A$2:$A$201,$A48,$AQ$2:$AQ$201,1,$G$2:$G$201,G48,$AM$2:$AM$201,"&lt;"&amp;AM48)=0,1,0),0)</f>
        <v/>
      </c>
      <c r="AS48" s="17">
        <f>IF(AND(AN48=1,N48="Y",ISNUMBER(R48)),IF(R48&gt;=Config!$B$14,1,0),0)</f>
        <v/>
      </c>
      <c r="AT48" s="17">
        <f>IF(AS48=1,IF(COUNTIFS($A$2:$A$201,$A48,$AS$2:$AS$201,1,$G$2:$G$201,"&lt;"&amp;G48)+COUNTIFS($A$2:$A$201,$A48,$AS$2:$AS$201,1,$G$2:$G$201,G48,$AM$2:$AM$201,"&lt;"&amp;AM48)=0,1,0),0)</f>
        <v/>
      </c>
      <c r="AU48" s="17">
        <f>IF(AND(AN48=1,N48&lt;&gt;"Y",MAX(N(R48),N(V48))&gt;=Config!$B$14),1,0)</f>
        <v/>
      </c>
      <c r="AV48" s="17">
        <f>IF(AU48=1,IF(COUNTIFS($A$2:$A$201,$A48,$AU$2:$AU$201,1,$G$2:$G$201,"&lt;"&amp;G48)+COUNTIFS($A$2:$A$201,$A48,$AU$2:$AU$201,1,$G$2:$G$201,G48,$AM$2:$AM$201,"&lt;"&amp;AM48)=0,1,0),0)</f>
        <v/>
      </c>
      <c r="AW48" s="17">
        <f>IF(AND(AN48=1,ISNUMBER(R48)),1,0)</f>
        <v/>
      </c>
      <c r="AX48" s="17">
        <f>IF(AW48=1,IF(COUNTIFS($A$2:$A$201,$A48,$AW$2:$AW$201,1,$G$2:$G$201,"&lt;"&amp;G48)+COUNTIFS($A$2:$A$201,$A48,$AW$2:$AW$201,1,$G$2:$G$201,G48,$AM$2:$AM$201,"&lt;"&amp;AM48)=0,1,0),0)</f>
        <v/>
      </c>
      <c r="AY48" s="17">
        <f>IF(AND(AX48=1,G48&lt;=Config!$B$6),R48,"")</f>
        <v/>
      </c>
      <c r="AZ48" s="17">
        <f>IF(AND(AX48=1,G48&lt;=Config!$B$7),R48,"")</f>
        <v/>
      </c>
      <c r="BA48" s="17">
        <f>IF(AND(AX48=1,G48&lt;=Config!$B$8),R48,"")</f>
        <v/>
      </c>
      <c r="BB48" s="17">
        <f>IF(AND(AX48=1,G48&lt;=Config!$B$5),R48,"")</f>
        <v/>
      </c>
      <c r="BC48" s="17">
        <f>IF(AND(AN48=1,ISNUMBER(V48)),1,0)</f>
        <v/>
      </c>
      <c r="BD48" s="17">
        <f>IF(BC48=1,IF(COUNTIFS($A$2:$A$201,$A48,$BC$2:$BC$201,1,$G$2:$G$201,"&lt;"&amp;G48)+COUNTIFS($A$2:$A$201,$A48,$BC$2:$BC$201,1,$G$2:$G$201,G48,$AM$2:$AM$201,"&lt;"&amp;AM48)=0,1,0),0)</f>
        <v/>
      </c>
      <c r="BE48" s="17">
        <f>IF(AND(BD48=1,G48&lt;=Config!$B$6),V48,"")</f>
        <v/>
      </c>
      <c r="BF48" s="17">
        <f>IF(AND(BD48=1,G48&lt;=Config!$B$7),V48,"")</f>
        <v/>
      </c>
      <c r="BG48" s="17">
        <f>IF(AND(BD48=1,G48&lt;=Config!$B$8),V48,"")</f>
        <v/>
      </c>
      <c r="BH48" s="17">
        <f>IF(AND(BD48=1,G48&lt;=Config!$B$5),V48,"")</f>
        <v/>
      </c>
      <c r="BI48" s="17">
        <f>IF(AND(AN48=1,ISNUMBER(J48)),1,0)</f>
        <v/>
      </c>
      <c r="BJ48" s="17">
        <f>IF(BI48=1,IF(COUNTIFS($A$2:$A$201,$A48,$BI$2:$BI$201,1,$G$2:$G$201,"&lt;"&amp;G48)+COUNTIFS($A$2:$A$201,$A48,$BI$2:$BI$201,1,$G$2:$G$201,G48,$AM$2:$AM$201,"&lt;"&amp;AM48)=0,1,0),0)</f>
        <v/>
      </c>
      <c r="BK48" s="17">
        <f>IF(AND(BJ48=1,G48&lt;=Config!$B$5),J48,"")</f>
        <v/>
      </c>
      <c r="BL48" s="17">
        <f>IF(AND(AN48=1,OR(AND(ISNUMBER(R48),TRIM(S48)=""),AND(ISNUMBER(V48),TRIM(W48)=""))),1,0)</f>
        <v/>
      </c>
      <c r="BM48" s="17">
        <f>IF(AN48=1,AB48&amp;"","")</f>
        <v/>
      </c>
      <c r="BN48" s="17">
        <f>IF(AN48=1,AC48&amp;"","")</f>
        <v/>
      </c>
      <c r="BO48" s="17">
        <f>IF(AN48=1,AD48&amp;"","")</f>
        <v/>
      </c>
      <c r="BP48" s="17">
        <f>IF(AND(AN48=1,ISNUMBER(AI48),G48&lt;=Config!$B$5),AI48,"")</f>
        <v/>
      </c>
      <c r="BQ48" s="17">
        <f>IF(AN48=1,IF(COUNTIFS($A$2:$A$201,$A48,$AF$2:$AF$201,"Y",$AN$2:$AN$201,1)&gt;0,"Y","N"),"")</f>
        <v/>
      </c>
      <c r="BR48" s="17">
        <f>IF(AND(AN48=1,AF48="Y"),IF(COUNTIFS($A$2:$A$201,$A48,$AF$2:$AF$201,"Y",$AN$2:$AN$201,1,$G$2:$G$201,"&lt;"&amp;G48)+COUNTIFS($A$2:$A$201,$A48,$AF$2:$AF$201,"Y",$AN$2:$AN$201,1,$G$2:$G$201,G48,$AM$2:$AM$201,"&lt;"&amp;AM48)=0,1,0),0)</f>
        <v/>
      </c>
      <c r="BS48" s="17">
        <f>IF(AN48=1,IFERROR(MATCH($A48,INDEX(Clay_Brands!$A$2:$FZ$601,0,Sync!$D$5),0),""),"")</f>
        <v/>
      </c>
      <c r="BT48" s="17">
        <f>IF(BS48="","",IFERROR(INDEX(Clay_Brands!$A$2:$FZ$601,BS48,Sync!$D$7)&amp;"",""))</f>
        <v/>
      </c>
      <c r="BU48" s="17">
        <f>IF(BT48="","",IFERROR(INDEX(Lists!$J$2:$J$15,MATCH(BT48,Lists!$I$2:$I$15,0)),""))</f>
        <v/>
      </c>
      <c r="BV48" s="17">
        <f>IF(BS48="","",IFERROR(INDEX(Clay_Brands!$A$2:$FZ$601,BS48,Sync!$D$17)&amp;"",""))</f>
        <v/>
      </c>
      <c r="BW48" s="23">
        <f>IF(BS48="","",IFERROR(N(INDEX(Clay_Brands!$A$2:$FZ$601,BS48,Sync!$D$16)),0))</f>
        <v/>
      </c>
    </row>
    <row r="49">
      <c r="G49" s="22" t="n"/>
      <c r="AL49" s="17">
        <f>IF(TRIM($A49)="","",IF(AND(LEFT($A49,6)="SAMPLE",Config!$B$19&lt;&gt;"Y"),"",IF(NOT(ISNUMBER(G49)),"call_date is blank or not a date",IF(Sync!$D$5="","Clay paste is empty or has no row_id column: paste the Clay export on Clay_Brands",IF(BS49="","row_id not found in the Clay paste: add the Clay row or fix the row_id",IF(AND(ISNUMBER(BU49),BU49&gt;=1,BU49&lt;=5),"Clay status is "&amp;BT49&amp;": set call_done or later",IF(AND(AP49=1,BV49&lt;&gt;BQ49),"Clay yes_in_principle should be "&amp;BQ49,IF(AND(AP49=1,BW49&lt;&gt;G49),"Clay call_date should be "&amp;TEXT(G49,"yyyy-mm-dd"),""))))))))</f>
        <v/>
      </c>
      <c r="AM49" s="17">
        <f>ROW()</f>
        <v/>
      </c>
      <c r="AN49" s="17">
        <f>IF(AND(TRIM($A49)&lt;&gt;"",ISNUMBER(G49)),IF(AND(LEFT($A49,6)="SAMPLE",Config!$B$19&lt;&gt;"Y"),0,1),0)</f>
        <v/>
      </c>
      <c r="AO49" s="17">
        <f>IF(AN49=1,IF(COUNTIFS($A$2:$A$201,$A49,$AN$2:$AN$201,1,$G$2:$G$201,"&lt;"&amp;G49)+COUNTIFS($A$2:$A$201,$A49,$AN$2:$AN$201,1,$G$2:$G$201,G49,$AM$2:$AM$201,"&lt;"&amp;AM49)=0,1,0),0)</f>
        <v/>
      </c>
      <c r="AP49" s="17">
        <f>IF(AN49=1,IF(COUNTIFS($A$2:$A$201,$A49,$AN$2:$AN$201,1,$G$2:$G$201,"&gt;"&amp;G49)+COUNTIFS($A$2:$A$201,$A49,$AN$2:$AN$201,1,$G$2:$G$201,G49,$AM$2:$AM$201,"&gt;"&amp;AM49)=0,1,0),0)</f>
        <v/>
      </c>
      <c r="AQ49" s="17">
        <f>IF(AND(AN49=1,N49="Y",MAX(N(R49),N(V49))&gt;=Config!$B$14),1,0)</f>
        <v/>
      </c>
      <c r="AR49" s="17">
        <f>IF(AQ49=1,IF(COUNTIFS($A$2:$A$201,$A49,$AQ$2:$AQ$201,1,$G$2:$G$201,"&lt;"&amp;G49)+COUNTIFS($A$2:$A$201,$A49,$AQ$2:$AQ$201,1,$G$2:$G$201,G49,$AM$2:$AM$201,"&lt;"&amp;AM49)=0,1,0),0)</f>
        <v/>
      </c>
      <c r="AS49" s="17">
        <f>IF(AND(AN49=1,N49="Y",ISNUMBER(R49)),IF(R49&gt;=Config!$B$14,1,0),0)</f>
        <v/>
      </c>
      <c r="AT49" s="17">
        <f>IF(AS49=1,IF(COUNTIFS($A$2:$A$201,$A49,$AS$2:$AS$201,1,$G$2:$G$201,"&lt;"&amp;G49)+COUNTIFS($A$2:$A$201,$A49,$AS$2:$AS$201,1,$G$2:$G$201,G49,$AM$2:$AM$201,"&lt;"&amp;AM49)=0,1,0),0)</f>
        <v/>
      </c>
      <c r="AU49" s="17">
        <f>IF(AND(AN49=1,N49&lt;&gt;"Y",MAX(N(R49),N(V49))&gt;=Config!$B$14),1,0)</f>
        <v/>
      </c>
      <c r="AV49" s="17">
        <f>IF(AU49=1,IF(COUNTIFS($A$2:$A$201,$A49,$AU$2:$AU$201,1,$G$2:$G$201,"&lt;"&amp;G49)+COUNTIFS($A$2:$A$201,$A49,$AU$2:$AU$201,1,$G$2:$G$201,G49,$AM$2:$AM$201,"&lt;"&amp;AM49)=0,1,0),0)</f>
        <v/>
      </c>
      <c r="AW49" s="17">
        <f>IF(AND(AN49=1,ISNUMBER(R49)),1,0)</f>
        <v/>
      </c>
      <c r="AX49" s="17">
        <f>IF(AW49=1,IF(COUNTIFS($A$2:$A$201,$A49,$AW$2:$AW$201,1,$G$2:$G$201,"&lt;"&amp;G49)+COUNTIFS($A$2:$A$201,$A49,$AW$2:$AW$201,1,$G$2:$G$201,G49,$AM$2:$AM$201,"&lt;"&amp;AM49)=0,1,0),0)</f>
        <v/>
      </c>
      <c r="AY49" s="17">
        <f>IF(AND(AX49=1,G49&lt;=Config!$B$6),R49,"")</f>
        <v/>
      </c>
      <c r="AZ49" s="17">
        <f>IF(AND(AX49=1,G49&lt;=Config!$B$7),R49,"")</f>
        <v/>
      </c>
      <c r="BA49" s="17">
        <f>IF(AND(AX49=1,G49&lt;=Config!$B$8),R49,"")</f>
        <v/>
      </c>
      <c r="BB49" s="17">
        <f>IF(AND(AX49=1,G49&lt;=Config!$B$5),R49,"")</f>
        <v/>
      </c>
      <c r="BC49" s="17">
        <f>IF(AND(AN49=1,ISNUMBER(V49)),1,0)</f>
        <v/>
      </c>
      <c r="BD49" s="17">
        <f>IF(BC49=1,IF(COUNTIFS($A$2:$A$201,$A49,$BC$2:$BC$201,1,$G$2:$G$201,"&lt;"&amp;G49)+COUNTIFS($A$2:$A$201,$A49,$BC$2:$BC$201,1,$G$2:$G$201,G49,$AM$2:$AM$201,"&lt;"&amp;AM49)=0,1,0),0)</f>
        <v/>
      </c>
      <c r="BE49" s="17">
        <f>IF(AND(BD49=1,G49&lt;=Config!$B$6),V49,"")</f>
        <v/>
      </c>
      <c r="BF49" s="17">
        <f>IF(AND(BD49=1,G49&lt;=Config!$B$7),V49,"")</f>
        <v/>
      </c>
      <c r="BG49" s="17">
        <f>IF(AND(BD49=1,G49&lt;=Config!$B$8),V49,"")</f>
        <v/>
      </c>
      <c r="BH49" s="17">
        <f>IF(AND(BD49=1,G49&lt;=Config!$B$5),V49,"")</f>
        <v/>
      </c>
      <c r="BI49" s="17">
        <f>IF(AND(AN49=1,ISNUMBER(J49)),1,0)</f>
        <v/>
      </c>
      <c r="BJ49" s="17">
        <f>IF(BI49=1,IF(COUNTIFS($A$2:$A$201,$A49,$BI$2:$BI$201,1,$G$2:$G$201,"&lt;"&amp;G49)+COUNTIFS($A$2:$A$201,$A49,$BI$2:$BI$201,1,$G$2:$G$201,G49,$AM$2:$AM$201,"&lt;"&amp;AM49)=0,1,0),0)</f>
        <v/>
      </c>
      <c r="BK49" s="17">
        <f>IF(AND(BJ49=1,G49&lt;=Config!$B$5),J49,"")</f>
        <v/>
      </c>
      <c r="BL49" s="17">
        <f>IF(AND(AN49=1,OR(AND(ISNUMBER(R49),TRIM(S49)=""),AND(ISNUMBER(V49),TRIM(W49)=""))),1,0)</f>
        <v/>
      </c>
      <c r="BM49" s="17">
        <f>IF(AN49=1,AB49&amp;"","")</f>
        <v/>
      </c>
      <c r="BN49" s="17">
        <f>IF(AN49=1,AC49&amp;"","")</f>
        <v/>
      </c>
      <c r="BO49" s="17">
        <f>IF(AN49=1,AD49&amp;"","")</f>
        <v/>
      </c>
      <c r="BP49" s="17">
        <f>IF(AND(AN49=1,ISNUMBER(AI49),G49&lt;=Config!$B$5),AI49,"")</f>
        <v/>
      </c>
      <c r="BQ49" s="17">
        <f>IF(AN49=1,IF(COUNTIFS($A$2:$A$201,$A49,$AF$2:$AF$201,"Y",$AN$2:$AN$201,1)&gt;0,"Y","N"),"")</f>
        <v/>
      </c>
      <c r="BR49" s="17">
        <f>IF(AND(AN49=1,AF49="Y"),IF(COUNTIFS($A$2:$A$201,$A49,$AF$2:$AF$201,"Y",$AN$2:$AN$201,1,$G$2:$G$201,"&lt;"&amp;G49)+COUNTIFS($A$2:$A$201,$A49,$AF$2:$AF$201,"Y",$AN$2:$AN$201,1,$G$2:$G$201,G49,$AM$2:$AM$201,"&lt;"&amp;AM49)=0,1,0),0)</f>
        <v/>
      </c>
      <c r="BS49" s="17">
        <f>IF(AN49=1,IFERROR(MATCH($A49,INDEX(Clay_Brands!$A$2:$FZ$601,0,Sync!$D$5),0),""),"")</f>
        <v/>
      </c>
      <c r="BT49" s="17">
        <f>IF(BS49="","",IFERROR(INDEX(Clay_Brands!$A$2:$FZ$601,BS49,Sync!$D$7)&amp;"",""))</f>
        <v/>
      </c>
      <c r="BU49" s="17">
        <f>IF(BT49="","",IFERROR(INDEX(Lists!$J$2:$J$15,MATCH(BT49,Lists!$I$2:$I$15,0)),""))</f>
        <v/>
      </c>
      <c r="BV49" s="17">
        <f>IF(BS49="","",IFERROR(INDEX(Clay_Brands!$A$2:$FZ$601,BS49,Sync!$D$17)&amp;"",""))</f>
        <v/>
      </c>
      <c r="BW49" s="23">
        <f>IF(BS49="","",IFERROR(N(INDEX(Clay_Brands!$A$2:$FZ$601,BS49,Sync!$D$16)),0))</f>
        <v/>
      </c>
    </row>
    <row r="50">
      <c r="G50" s="22" t="n"/>
      <c r="AL50" s="17">
        <f>IF(TRIM($A50)="","",IF(AND(LEFT($A50,6)="SAMPLE",Config!$B$19&lt;&gt;"Y"),"",IF(NOT(ISNUMBER(G50)),"call_date is blank or not a date",IF(Sync!$D$5="","Clay paste is empty or has no row_id column: paste the Clay export on Clay_Brands",IF(BS50="","row_id not found in the Clay paste: add the Clay row or fix the row_id",IF(AND(ISNUMBER(BU50),BU50&gt;=1,BU50&lt;=5),"Clay status is "&amp;BT50&amp;": set call_done or later",IF(AND(AP50=1,BV50&lt;&gt;BQ50),"Clay yes_in_principle should be "&amp;BQ50,IF(AND(AP50=1,BW50&lt;&gt;G50),"Clay call_date should be "&amp;TEXT(G50,"yyyy-mm-dd"),""))))))))</f>
        <v/>
      </c>
      <c r="AM50" s="17">
        <f>ROW()</f>
        <v/>
      </c>
      <c r="AN50" s="17">
        <f>IF(AND(TRIM($A50)&lt;&gt;"",ISNUMBER(G50)),IF(AND(LEFT($A50,6)="SAMPLE",Config!$B$19&lt;&gt;"Y"),0,1),0)</f>
        <v/>
      </c>
      <c r="AO50" s="17">
        <f>IF(AN50=1,IF(COUNTIFS($A$2:$A$201,$A50,$AN$2:$AN$201,1,$G$2:$G$201,"&lt;"&amp;G50)+COUNTIFS($A$2:$A$201,$A50,$AN$2:$AN$201,1,$G$2:$G$201,G50,$AM$2:$AM$201,"&lt;"&amp;AM50)=0,1,0),0)</f>
        <v/>
      </c>
      <c r="AP50" s="17">
        <f>IF(AN50=1,IF(COUNTIFS($A$2:$A$201,$A50,$AN$2:$AN$201,1,$G$2:$G$201,"&gt;"&amp;G50)+COUNTIFS($A$2:$A$201,$A50,$AN$2:$AN$201,1,$G$2:$G$201,G50,$AM$2:$AM$201,"&gt;"&amp;AM50)=0,1,0),0)</f>
        <v/>
      </c>
      <c r="AQ50" s="17">
        <f>IF(AND(AN50=1,N50="Y",MAX(N(R50),N(V50))&gt;=Config!$B$14),1,0)</f>
        <v/>
      </c>
      <c r="AR50" s="17">
        <f>IF(AQ50=1,IF(COUNTIFS($A$2:$A$201,$A50,$AQ$2:$AQ$201,1,$G$2:$G$201,"&lt;"&amp;G50)+COUNTIFS($A$2:$A$201,$A50,$AQ$2:$AQ$201,1,$G$2:$G$201,G50,$AM$2:$AM$201,"&lt;"&amp;AM50)=0,1,0),0)</f>
        <v/>
      </c>
      <c r="AS50" s="17">
        <f>IF(AND(AN50=1,N50="Y",ISNUMBER(R50)),IF(R50&gt;=Config!$B$14,1,0),0)</f>
        <v/>
      </c>
      <c r="AT50" s="17">
        <f>IF(AS50=1,IF(COUNTIFS($A$2:$A$201,$A50,$AS$2:$AS$201,1,$G$2:$G$201,"&lt;"&amp;G50)+COUNTIFS($A$2:$A$201,$A50,$AS$2:$AS$201,1,$G$2:$G$201,G50,$AM$2:$AM$201,"&lt;"&amp;AM50)=0,1,0),0)</f>
        <v/>
      </c>
      <c r="AU50" s="17">
        <f>IF(AND(AN50=1,N50&lt;&gt;"Y",MAX(N(R50),N(V50))&gt;=Config!$B$14),1,0)</f>
        <v/>
      </c>
      <c r="AV50" s="17">
        <f>IF(AU50=1,IF(COUNTIFS($A$2:$A$201,$A50,$AU$2:$AU$201,1,$G$2:$G$201,"&lt;"&amp;G50)+COUNTIFS($A$2:$A$201,$A50,$AU$2:$AU$201,1,$G$2:$G$201,G50,$AM$2:$AM$201,"&lt;"&amp;AM50)=0,1,0),0)</f>
        <v/>
      </c>
      <c r="AW50" s="17">
        <f>IF(AND(AN50=1,ISNUMBER(R50)),1,0)</f>
        <v/>
      </c>
      <c r="AX50" s="17">
        <f>IF(AW50=1,IF(COUNTIFS($A$2:$A$201,$A50,$AW$2:$AW$201,1,$G$2:$G$201,"&lt;"&amp;G50)+COUNTIFS($A$2:$A$201,$A50,$AW$2:$AW$201,1,$G$2:$G$201,G50,$AM$2:$AM$201,"&lt;"&amp;AM50)=0,1,0),0)</f>
        <v/>
      </c>
      <c r="AY50" s="17">
        <f>IF(AND(AX50=1,G50&lt;=Config!$B$6),R50,"")</f>
        <v/>
      </c>
      <c r="AZ50" s="17">
        <f>IF(AND(AX50=1,G50&lt;=Config!$B$7),R50,"")</f>
        <v/>
      </c>
      <c r="BA50" s="17">
        <f>IF(AND(AX50=1,G50&lt;=Config!$B$8),R50,"")</f>
        <v/>
      </c>
      <c r="BB50" s="17">
        <f>IF(AND(AX50=1,G50&lt;=Config!$B$5),R50,"")</f>
        <v/>
      </c>
      <c r="BC50" s="17">
        <f>IF(AND(AN50=1,ISNUMBER(V50)),1,0)</f>
        <v/>
      </c>
      <c r="BD50" s="17">
        <f>IF(BC50=1,IF(COUNTIFS($A$2:$A$201,$A50,$BC$2:$BC$201,1,$G$2:$G$201,"&lt;"&amp;G50)+COUNTIFS($A$2:$A$201,$A50,$BC$2:$BC$201,1,$G$2:$G$201,G50,$AM$2:$AM$201,"&lt;"&amp;AM50)=0,1,0),0)</f>
        <v/>
      </c>
      <c r="BE50" s="17">
        <f>IF(AND(BD50=1,G50&lt;=Config!$B$6),V50,"")</f>
        <v/>
      </c>
      <c r="BF50" s="17">
        <f>IF(AND(BD50=1,G50&lt;=Config!$B$7),V50,"")</f>
        <v/>
      </c>
      <c r="BG50" s="17">
        <f>IF(AND(BD50=1,G50&lt;=Config!$B$8),V50,"")</f>
        <v/>
      </c>
      <c r="BH50" s="17">
        <f>IF(AND(BD50=1,G50&lt;=Config!$B$5),V50,"")</f>
        <v/>
      </c>
      <c r="BI50" s="17">
        <f>IF(AND(AN50=1,ISNUMBER(J50)),1,0)</f>
        <v/>
      </c>
      <c r="BJ50" s="17">
        <f>IF(BI50=1,IF(COUNTIFS($A$2:$A$201,$A50,$BI$2:$BI$201,1,$G$2:$G$201,"&lt;"&amp;G50)+COUNTIFS($A$2:$A$201,$A50,$BI$2:$BI$201,1,$G$2:$G$201,G50,$AM$2:$AM$201,"&lt;"&amp;AM50)=0,1,0),0)</f>
        <v/>
      </c>
      <c r="BK50" s="17">
        <f>IF(AND(BJ50=1,G50&lt;=Config!$B$5),J50,"")</f>
        <v/>
      </c>
      <c r="BL50" s="17">
        <f>IF(AND(AN50=1,OR(AND(ISNUMBER(R50),TRIM(S50)=""),AND(ISNUMBER(V50),TRIM(W50)=""))),1,0)</f>
        <v/>
      </c>
      <c r="BM50" s="17">
        <f>IF(AN50=1,AB50&amp;"","")</f>
        <v/>
      </c>
      <c r="BN50" s="17">
        <f>IF(AN50=1,AC50&amp;"","")</f>
        <v/>
      </c>
      <c r="BO50" s="17">
        <f>IF(AN50=1,AD50&amp;"","")</f>
        <v/>
      </c>
      <c r="BP50" s="17">
        <f>IF(AND(AN50=1,ISNUMBER(AI50),G50&lt;=Config!$B$5),AI50,"")</f>
        <v/>
      </c>
      <c r="BQ50" s="17">
        <f>IF(AN50=1,IF(COUNTIFS($A$2:$A$201,$A50,$AF$2:$AF$201,"Y",$AN$2:$AN$201,1)&gt;0,"Y","N"),"")</f>
        <v/>
      </c>
      <c r="BR50" s="17">
        <f>IF(AND(AN50=1,AF50="Y"),IF(COUNTIFS($A$2:$A$201,$A50,$AF$2:$AF$201,"Y",$AN$2:$AN$201,1,$G$2:$G$201,"&lt;"&amp;G50)+COUNTIFS($A$2:$A$201,$A50,$AF$2:$AF$201,"Y",$AN$2:$AN$201,1,$G$2:$G$201,G50,$AM$2:$AM$201,"&lt;"&amp;AM50)=0,1,0),0)</f>
        <v/>
      </c>
      <c r="BS50" s="17">
        <f>IF(AN50=1,IFERROR(MATCH($A50,INDEX(Clay_Brands!$A$2:$FZ$601,0,Sync!$D$5),0),""),"")</f>
        <v/>
      </c>
      <c r="BT50" s="17">
        <f>IF(BS50="","",IFERROR(INDEX(Clay_Brands!$A$2:$FZ$601,BS50,Sync!$D$7)&amp;"",""))</f>
        <v/>
      </c>
      <c r="BU50" s="17">
        <f>IF(BT50="","",IFERROR(INDEX(Lists!$J$2:$J$15,MATCH(BT50,Lists!$I$2:$I$15,0)),""))</f>
        <v/>
      </c>
      <c r="BV50" s="17">
        <f>IF(BS50="","",IFERROR(INDEX(Clay_Brands!$A$2:$FZ$601,BS50,Sync!$D$17)&amp;"",""))</f>
        <v/>
      </c>
      <c r="BW50" s="23">
        <f>IF(BS50="","",IFERROR(N(INDEX(Clay_Brands!$A$2:$FZ$601,BS50,Sync!$D$16)),0))</f>
        <v/>
      </c>
    </row>
    <row r="51">
      <c r="G51" s="22" t="n"/>
      <c r="AL51" s="17">
        <f>IF(TRIM($A51)="","",IF(AND(LEFT($A51,6)="SAMPLE",Config!$B$19&lt;&gt;"Y"),"",IF(NOT(ISNUMBER(G51)),"call_date is blank or not a date",IF(Sync!$D$5="","Clay paste is empty or has no row_id column: paste the Clay export on Clay_Brands",IF(BS51="","row_id not found in the Clay paste: add the Clay row or fix the row_id",IF(AND(ISNUMBER(BU51),BU51&gt;=1,BU51&lt;=5),"Clay status is "&amp;BT51&amp;": set call_done or later",IF(AND(AP51=1,BV51&lt;&gt;BQ51),"Clay yes_in_principle should be "&amp;BQ51,IF(AND(AP51=1,BW51&lt;&gt;G51),"Clay call_date should be "&amp;TEXT(G51,"yyyy-mm-dd"),""))))))))</f>
        <v/>
      </c>
      <c r="AM51" s="17">
        <f>ROW()</f>
        <v/>
      </c>
      <c r="AN51" s="17">
        <f>IF(AND(TRIM($A51)&lt;&gt;"",ISNUMBER(G51)),IF(AND(LEFT($A51,6)="SAMPLE",Config!$B$19&lt;&gt;"Y"),0,1),0)</f>
        <v/>
      </c>
      <c r="AO51" s="17">
        <f>IF(AN51=1,IF(COUNTIFS($A$2:$A$201,$A51,$AN$2:$AN$201,1,$G$2:$G$201,"&lt;"&amp;G51)+COUNTIFS($A$2:$A$201,$A51,$AN$2:$AN$201,1,$G$2:$G$201,G51,$AM$2:$AM$201,"&lt;"&amp;AM51)=0,1,0),0)</f>
        <v/>
      </c>
      <c r="AP51" s="17">
        <f>IF(AN51=1,IF(COUNTIFS($A$2:$A$201,$A51,$AN$2:$AN$201,1,$G$2:$G$201,"&gt;"&amp;G51)+COUNTIFS($A$2:$A$201,$A51,$AN$2:$AN$201,1,$G$2:$G$201,G51,$AM$2:$AM$201,"&gt;"&amp;AM51)=0,1,0),0)</f>
        <v/>
      </c>
      <c r="AQ51" s="17">
        <f>IF(AND(AN51=1,N51="Y",MAX(N(R51),N(V51))&gt;=Config!$B$14),1,0)</f>
        <v/>
      </c>
      <c r="AR51" s="17">
        <f>IF(AQ51=1,IF(COUNTIFS($A$2:$A$201,$A51,$AQ$2:$AQ$201,1,$G$2:$G$201,"&lt;"&amp;G51)+COUNTIFS($A$2:$A$201,$A51,$AQ$2:$AQ$201,1,$G$2:$G$201,G51,$AM$2:$AM$201,"&lt;"&amp;AM51)=0,1,0),0)</f>
        <v/>
      </c>
      <c r="AS51" s="17">
        <f>IF(AND(AN51=1,N51="Y",ISNUMBER(R51)),IF(R51&gt;=Config!$B$14,1,0),0)</f>
        <v/>
      </c>
      <c r="AT51" s="17">
        <f>IF(AS51=1,IF(COUNTIFS($A$2:$A$201,$A51,$AS$2:$AS$201,1,$G$2:$G$201,"&lt;"&amp;G51)+COUNTIFS($A$2:$A$201,$A51,$AS$2:$AS$201,1,$G$2:$G$201,G51,$AM$2:$AM$201,"&lt;"&amp;AM51)=0,1,0),0)</f>
        <v/>
      </c>
      <c r="AU51" s="17">
        <f>IF(AND(AN51=1,N51&lt;&gt;"Y",MAX(N(R51),N(V51))&gt;=Config!$B$14),1,0)</f>
        <v/>
      </c>
      <c r="AV51" s="17">
        <f>IF(AU51=1,IF(COUNTIFS($A$2:$A$201,$A51,$AU$2:$AU$201,1,$G$2:$G$201,"&lt;"&amp;G51)+COUNTIFS($A$2:$A$201,$A51,$AU$2:$AU$201,1,$G$2:$G$201,G51,$AM$2:$AM$201,"&lt;"&amp;AM51)=0,1,0),0)</f>
        <v/>
      </c>
      <c r="AW51" s="17">
        <f>IF(AND(AN51=1,ISNUMBER(R51)),1,0)</f>
        <v/>
      </c>
      <c r="AX51" s="17">
        <f>IF(AW51=1,IF(COUNTIFS($A$2:$A$201,$A51,$AW$2:$AW$201,1,$G$2:$G$201,"&lt;"&amp;G51)+COUNTIFS($A$2:$A$201,$A51,$AW$2:$AW$201,1,$G$2:$G$201,G51,$AM$2:$AM$201,"&lt;"&amp;AM51)=0,1,0),0)</f>
        <v/>
      </c>
      <c r="AY51" s="17">
        <f>IF(AND(AX51=1,G51&lt;=Config!$B$6),R51,"")</f>
        <v/>
      </c>
      <c r="AZ51" s="17">
        <f>IF(AND(AX51=1,G51&lt;=Config!$B$7),R51,"")</f>
        <v/>
      </c>
      <c r="BA51" s="17">
        <f>IF(AND(AX51=1,G51&lt;=Config!$B$8),R51,"")</f>
        <v/>
      </c>
      <c r="BB51" s="17">
        <f>IF(AND(AX51=1,G51&lt;=Config!$B$5),R51,"")</f>
        <v/>
      </c>
      <c r="BC51" s="17">
        <f>IF(AND(AN51=1,ISNUMBER(V51)),1,0)</f>
        <v/>
      </c>
      <c r="BD51" s="17">
        <f>IF(BC51=1,IF(COUNTIFS($A$2:$A$201,$A51,$BC$2:$BC$201,1,$G$2:$G$201,"&lt;"&amp;G51)+COUNTIFS($A$2:$A$201,$A51,$BC$2:$BC$201,1,$G$2:$G$201,G51,$AM$2:$AM$201,"&lt;"&amp;AM51)=0,1,0),0)</f>
        <v/>
      </c>
      <c r="BE51" s="17">
        <f>IF(AND(BD51=1,G51&lt;=Config!$B$6),V51,"")</f>
        <v/>
      </c>
      <c r="BF51" s="17">
        <f>IF(AND(BD51=1,G51&lt;=Config!$B$7),V51,"")</f>
        <v/>
      </c>
      <c r="BG51" s="17">
        <f>IF(AND(BD51=1,G51&lt;=Config!$B$8),V51,"")</f>
        <v/>
      </c>
      <c r="BH51" s="17">
        <f>IF(AND(BD51=1,G51&lt;=Config!$B$5),V51,"")</f>
        <v/>
      </c>
      <c r="BI51" s="17">
        <f>IF(AND(AN51=1,ISNUMBER(J51)),1,0)</f>
        <v/>
      </c>
      <c r="BJ51" s="17">
        <f>IF(BI51=1,IF(COUNTIFS($A$2:$A$201,$A51,$BI$2:$BI$201,1,$G$2:$G$201,"&lt;"&amp;G51)+COUNTIFS($A$2:$A$201,$A51,$BI$2:$BI$201,1,$G$2:$G$201,G51,$AM$2:$AM$201,"&lt;"&amp;AM51)=0,1,0),0)</f>
        <v/>
      </c>
      <c r="BK51" s="17">
        <f>IF(AND(BJ51=1,G51&lt;=Config!$B$5),J51,"")</f>
        <v/>
      </c>
      <c r="BL51" s="17">
        <f>IF(AND(AN51=1,OR(AND(ISNUMBER(R51),TRIM(S51)=""),AND(ISNUMBER(V51),TRIM(W51)=""))),1,0)</f>
        <v/>
      </c>
      <c r="BM51" s="17">
        <f>IF(AN51=1,AB51&amp;"","")</f>
        <v/>
      </c>
      <c r="BN51" s="17">
        <f>IF(AN51=1,AC51&amp;"","")</f>
        <v/>
      </c>
      <c r="BO51" s="17">
        <f>IF(AN51=1,AD51&amp;"","")</f>
        <v/>
      </c>
      <c r="BP51" s="17">
        <f>IF(AND(AN51=1,ISNUMBER(AI51),G51&lt;=Config!$B$5),AI51,"")</f>
        <v/>
      </c>
      <c r="BQ51" s="17">
        <f>IF(AN51=1,IF(COUNTIFS($A$2:$A$201,$A51,$AF$2:$AF$201,"Y",$AN$2:$AN$201,1)&gt;0,"Y","N"),"")</f>
        <v/>
      </c>
      <c r="BR51" s="17">
        <f>IF(AND(AN51=1,AF51="Y"),IF(COUNTIFS($A$2:$A$201,$A51,$AF$2:$AF$201,"Y",$AN$2:$AN$201,1,$G$2:$G$201,"&lt;"&amp;G51)+COUNTIFS($A$2:$A$201,$A51,$AF$2:$AF$201,"Y",$AN$2:$AN$201,1,$G$2:$G$201,G51,$AM$2:$AM$201,"&lt;"&amp;AM51)=0,1,0),0)</f>
        <v/>
      </c>
      <c r="BS51" s="17">
        <f>IF(AN51=1,IFERROR(MATCH($A51,INDEX(Clay_Brands!$A$2:$FZ$601,0,Sync!$D$5),0),""),"")</f>
        <v/>
      </c>
      <c r="BT51" s="17">
        <f>IF(BS51="","",IFERROR(INDEX(Clay_Brands!$A$2:$FZ$601,BS51,Sync!$D$7)&amp;"",""))</f>
        <v/>
      </c>
      <c r="BU51" s="17">
        <f>IF(BT51="","",IFERROR(INDEX(Lists!$J$2:$J$15,MATCH(BT51,Lists!$I$2:$I$15,0)),""))</f>
        <v/>
      </c>
      <c r="BV51" s="17">
        <f>IF(BS51="","",IFERROR(INDEX(Clay_Brands!$A$2:$FZ$601,BS51,Sync!$D$17)&amp;"",""))</f>
        <v/>
      </c>
      <c r="BW51" s="23">
        <f>IF(BS51="","",IFERROR(N(INDEX(Clay_Brands!$A$2:$FZ$601,BS51,Sync!$D$16)),0))</f>
        <v/>
      </c>
    </row>
    <row r="52">
      <c r="G52" s="22" t="n"/>
      <c r="AL52" s="17">
        <f>IF(TRIM($A52)="","",IF(AND(LEFT($A52,6)="SAMPLE",Config!$B$19&lt;&gt;"Y"),"",IF(NOT(ISNUMBER(G52)),"call_date is blank or not a date",IF(Sync!$D$5="","Clay paste is empty or has no row_id column: paste the Clay export on Clay_Brands",IF(BS52="","row_id not found in the Clay paste: add the Clay row or fix the row_id",IF(AND(ISNUMBER(BU52),BU52&gt;=1,BU52&lt;=5),"Clay status is "&amp;BT52&amp;": set call_done or later",IF(AND(AP52=1,BV52&lt;&gt;BQ52),"Clay yes_in_principle should be "&amp;BQ52,IF(AND(AP52=1,BW52&lt;&gt;G52),"Clay call_date should be "&amp;TEXT(G52,"yyyy-mm-dd"),""))))))))</f>
        <v/>
      </c>
      <c r="AM52" s="17">
        <f>ROW()</f>
        <v/>
      </c>
      <c r="AN52" s="17">
        <f>IF(AND(TRIM($A52)&lt;&gt;"",ISNUMBER(G52)),IF(AND(LEFT($A52,6)="SAMPLE",Config!$B$19&lt;&gt;"Y"),0,1),0)</f>
        <v/>
      </c>
      <c r="AO52" s="17">
        <f>IF(AN52=1,IF(COUNTIFS($A$2:$A$201,$A52,$AN$2:$AN$201,1,$G$2:$G$201,"&lt;"&amp;G52)+COUNTIFS($A$2:$A$201,$A52,$AN$2:$AN$201,1,$G$2:$G$201,G52,$AM$2:$AM$201,"&lt;"&amp;AM52)=0,1,0),0)</f>
        <v/>
      </c>
      <c r="AP52" s="17">
        <f>IF(AN52=1,IF(COUNTIFS($A$2:$A$201,$A52,$AN$2:$AN$201,1,$G$2:$G$201,"&gt;"&amp;G52)+COUNTIFS($A$2:$A$201,$A52,$AN$2:$AN$201,1,$G$2:$G$201,G52,$AM$2:$AM$201,"&gt;"&amp;AM52)=0,1,0),0)</f>
        <v/>
      </c>
      <c r="AQ52" s="17">
        <f>IF(AND(AN52=1,N52="Y",MAX(N(R52),N(V52))&gt;=Config!$B$14),1,0)</f>
        <v/>
      </c>
      <c r="AR52" s="17">
        <f>IF(AQ52=1,IF(COUNTIFS($A$2:$A$201,$A52,$AQ$2:$AQ$201,1,$G$2:$G$201,"&lt;"&amp;G52)+COUNTIFS($A$2:$A$201,$A52,$AQ$2:$AQ$201,1,$G$2:$G$201,G52,$AM$2:$AM$201,"&lt;"&amp;AM52)=0,1,0),0)</f>
        <v/>
      </c>
      <c r="AS52" s="17">
        <f>IF(AND(AN52=1,N52="Y",ISNUMBER(R52)),IF(R52&gt;=Config!$B$14,1,0),0)</f>
        <v/>
      </c>
      <c r="AT52" s="17">
        <f>IF(AS52=1,IF(COUNTIFS($A$2:$A$201,$A52,$AS$2:$AS$201,1,$G$2:$G$201,"&lt;"&amp;G52)+COUNTIFS($A$2:$A$201,$A52,$AS$2:$AS$201,1,$G$2:$G$201,G52,$AM$2:$AM$201,"&lt;"&amp;AM52)=0,1,0),0)</f>
        <v/>
      </c>
      <c r="AU52" s="17">
        <f>IF(AND(AN52=1,N52&lt;&gt;"Y",MAX(N(R52),N(V52))&gt;=Config!$B$14),1,0)</f>
        <v/>
      </c>
      <c r="AV52" s="17">
        <f>IF(AU52=1,IF(COUNTIFS($A$2:$A$201,$A52,$AU$2:$AU$201,1,$G$2:$G$201,"&lt;"&amp;G52)+COUNTIFS($A$2:$A$201,$A52,$AU$2:$AU$201,1,$G$2:$G$201,G52,$AM$2:$AM$201,"&lt;"&amp;AM52)=0,1,0),0)</f>
        <v/>
      </c>
      <c r="AW52" s="17">
        <f>IF(AND(AN52=1,ISNUMBER(R52)),1,0)</f>
        <v/>
      </c>
      <c r="AX52" s="17">
        <f>IF(AW52=1,IF(COUNTIFS($A$2:$A$201,$A52,$AW$2:$AW$201,1,$G$2:$G$201,"&lt;"&amp;G52)+COUNTIFS($A$2:$A$201,$A52,$AW$2:$AW$201,1,$G$2:$G$201,G52,$AM$2:$AM$201,"&lt;"&amp;AM52)=0,1,0),0)</f>
        <v/>
      </c>
      <c r="AY52" s="17">
        <f>IF(AND(AX52=1,G52&lt;=Config!$B$6),R52,"")</f>
        <v/>
      </c>
      <c r="AZ52" s="17">
        <f>IF(AND(AX52=1,G52&lt;=Config!$B$7),R52,"")</f>
        <v/>
      </c>
      <c r="BA52" s="17">
        <f>IF(AND(AX52=1,G52&lt;=Config!$B$8),R52,"")</f>
        <v/>
      </c>
      <c r="BB52" s="17">
        <f>IF(AND(AX52=1,G52&lt;=Config!$B$5),R52,"")</f>
        <v/>
      </c>
      <c r="BC52" s="17">
        <f>IF(AND(AN52=1,ISNUMBER(V52)),1,0)</f>
        <v/>
      </c>
      <c r="BD52" s="17">
        <f>IF(BC52=1,IF(COUNTIFS($A$2:$A$201,$A52,$BC$2:$BC$201,1,$G$2:$G$201,"&lt;"&amp;G52)+COUNTIFS($A$2:$A$201,$A52,$BC$2:$BC$201,1,$G$2:$G$201,G52,$AM$2:$AM$201,"&lt;"&amp;AM52)=0,1,0),0)</f>
        <v/>
      </c>
      <c r="BE52" s="17">
        <f>IF(AND(BD52=1,G52&lt;=Config!$B$6),V52,"")</f>
        <v/>
      </c>
      <c r="BF52" s="17">
        <f>IF(AND(BD52=1,G52&lt;=Config!$B$7),V52,"")</f>
        <v/>
      </c>
      <c r="BG52" s="17">
        <f>IF(AND(BD52=1,G52&lt;=Config!$B$8),V52,"")</f>
        <v/>
      </c>
      <c r="BH52" s="17">
        <f>IF(AND(BD52=1,G52&lt;=Config!$B$5),V52,"")</f>
        <v/>
      </c>
      <c r="BI52" s="17">
        <f>IF(AND(AN52=1,ISNUMBER(J52)),1,0)</f>
        <v/>
      </c>
      <c r="BJ52" s="17">
        <f>IF(BI52=1,IF(COUNTIFS($A$2:$A$201,$A52,$BI$2:$BI$201,1,$G$2:$G$201,"&lt;"&amp;G52)+COUNTIFS($A$2:$A$201,$A52,$BI$2:$BI$201,1,$G$2:$G$201,G52,$AM$2:$AM$201,"&lt;"&amp;AM52)=0,1,0),0)</f>
        <v/>
      </c>
      <c r="BK52" s="17">
        <f>IF(AND(BJ52=1,G52&lt;=Config!$B$5),J52,"")</f>
        <v/>
      </c>
      <c r="BL52" s="17">
        <f>IF(AND(AN52=1,OR(AND(ISNUMBER(R52),TRIM(S52)=""),AND(ISNUMBER(V52),TRIM(W52)=""))),1,0)</f>
        <v/>
      </c>
      <c r="BM52" s="17">
        <f>IF(AN52=1,AB52&amp;"","")</f>
        <v/>
      </c>
      <c r="BN52" s="17">
        <f>IF(AN52=1,AC52&amp;"","")</f>
        <v/>
      </c>
      <c r="BO52" s="17">
        <f>IF(AN52=1,AD52&amp;"","")</f>
        <v/>
      </c>
      <c r="BP52" s="17">
        <f>IF(AND(AN52=1,ISNUMBER(AI52),G52&lt;=Config!$B$5),AI52,"")</f>
        <v/>
      </c>
      <c r="BQ52" s="17">
        <f>IF(AN52=1,IF(COUNTIFS($A$2:$A$201,$A52,$AF$2:$AF$201,"Y",$AN$2:$AN$201,1)&gt;0,"Y","N"),"")</f>
        <v/>
      </c>
      <c r="BR52" s="17">
        <f>IF(AND(AN52=1,AF52="Y"),IF(COUNTIFS($A$2:$A$201,$A52,$AF$2:$AF$201,"Y",$AN$2:$AN$201,1,$G$2:$G$201,"&lt;"&amp;G52)+COUNTIFS($A$2:$A$201,$A52,$AF$2:$AF$201,"Y",$AN$2:$AN$201,1,$G$2:$G$201,G52,$AM$2:$AM$201,"&lt;"&amp;AM52)=0,1,0),0)</f>
        <v/>
      </c>
      <c r="BS52" s="17">
        <f>IF(AN52=1,IFERROR(MATCH($A52,INDEX(Clay_Brands!$A$2:$FZ$601,0,Sync!$D$5),0),""),"")</f>
        <v/>
      </c>
      <c r="BT52" s="17">
        <f>IF(BS52="","",IFERROR(INDEX(Clay_Brands!$A$2:$FZ$601,BS52,Sync!$D$7)&amp;"",""))</f>
        <v/>
      </c>
      <c r="BU52" s="17">
        <f>IF(BT52="","",IFERROR(INDEX(Lists!$J$2:$J$15,MATCH(BT52,Lists!$I$2:$I$15,0)),""))</f>
        <v/>
      </c>
      <c r="BV52" s="17">
        <f>IF(BS52="","",IFERROR(INDEX(Clay_Brands!$A$2:$FZ$601,BS52,Sync!$D$17)&amp;"",""))</f>
        <v/>
      </c>
      <c r="BW52" s="23">
        <f>IF(BS52="","",IFERROR(N(INDEX(Clay_Brands!$A$2:$FZ$601,BS52,Sync!$D$16)),0))</f>
        <v/>
      </c>
    </row>
    <row r="53">
      <c r="G53" s="22" t="n"/>
      <c r="AL53" s="17">
        <f>IF(TRIM($A53)="","",IF(AND(LEFT($A53,6)="SAMPLE",Config!$B$19&lt;&gt;"Y"),"",IF(NOT(ISNUMBER(G53)),"call_date is blank or not a date",IF(Sync!$D$5="","Clay paste is empty or has no row_id column: paste the Clay export on Clay_Brands",IF(BS53="","row_id not found in the Clay paste: add the Clay row or fix the row_id",IF(AND(ISNUMBER(BU53),BU53&gt;=1,BU53&lt;=5),"Clay status is "&amp;BT53&amp;": set call_done or later",IF(AND(AP53=1,BV53&lt;&gt;BQ53),"Clay yes_in_principle should be "&amp;BQ53,IF(AND(AP53=1,BW53&lt;&gt;G53),"Clay call_date should be "&amp;TEXT(G53,"yyyy-mm-dd"),""))))))))</f>
        <v/>
      </c>
      <c r="AM53" s="17">
        <f>ROW()</f>
        <v/>
      </c>
      <c r="AN53" s="17">
        <f>IF(AND(TRIM($A53)&lt;&gt;"",ISNUMBER(G53)),IF(AND(LEFT($A53,6)="SAMPLE",Config!$B$19&lt;&gt;"Y"),0,1),0)</f>
        <v/>
      </c>
      <c r="AO53" s="17">
        <f>IF(AN53=1,IF(COUNTIFS($A$2:$A$201,$A53,$AN$2:$AN$201,1,$G$2:$G$201,"&lt;"&amp;G53)+COUNTIFS($A$2:$A$201,$A53,$AN$2:$AN$201,1,$G$2:$G$201,G53,$AM$2:$AM$201,"&lt;"&amp;AM53)=0,1,0),0)</f>
        <v/>
      </c>
      <c r="AP53" s="17">
        <f>IF(AN53=1,IF(COUNTIFS($A$2:$A$201,$A53,$AN$2:$AN$201,1,$G$2:$G$201,"&gt;"&amp;G53)+COUNTIFS($A$2:$A$201,$A53,$AN$2:$AN$201,1,$G$2:$G$201,G53,$AM$2:$AM$201,"&gt;"&amp;AM53)=0,1,0),0)</f>
        <v/>
      </c>
      <c r="AQ53" s="17">
        <f>IF(AND(AN53=1,N53="Y",MAX(N(R53),N(V53))&gt;=Config!$B$14),1,0)</f>
        <v/>
      </c>
      <c r="AR53" s="17">
        <f>IF(AQ53=1,IF(COUNTIFS($A$2:$A$201,$A53,$AQ$2:$AQ$201,1,$G$2:$G$201,"&lt;"&amp;G53)+COUNTIFS($A$2:$A$201,$A53,$AQ$2:$AQ$201,1,$G$2:$G$201,G53,$AM$2:$AM$201,"&lt;"&amp;AM53)=0,1,0),0)</f>
        <v/>
      </c>
      <c r="AS53" s="17">
        <f>IF(AND(AN53=1,N53="Y",ISNUMBER(R53)),IF(R53&gt;=Config!$B$14,1,0),0)</f>
        <v/>
      </c>
      <c r="AT53" s="17">
        <f>IF(AS53=1,IF(COUNTIFS($A$2:$A$201,$A53,$AS$2:$AS$201,1,$G$2:$G$201,"&lt;"&amp;G53)+COUNTIFS($A$2:$A$201,$A53,$AS$2:$AS$201,1,$G$2:$G$201,G53,$AM$2:$AM$201,"&lt;"&amp;AM53)=0,1,0),0)</f>
        <v/>
      </c>
      <c r="AU53" s="17">
        <f>IF(AND(AN53=1,N53&lt;&gt;"Y",MAX(N(R53),N(V53))&gt;=Config!$B$14),1,0)</f>
        <v/>
      </c>
      <c r="AV53" s="17">
        <f>IF(AU53=1,IF(COUNTIFS($A$2:$A$201,$A53,$AU$2:$AU$201,1,$G$2:$G$201,"&lt;"&amp;G53)+COUNTIFS($A$2:$A$201,$A53,$AU$2:$AU$201,1,$G$2:$G$201,G53,$AM$2:$AM$201,"&lt;"&amp;AM53)=0,1,0),0)</f>
        <v/>
      </c>
      <c r="AW53" s="17">
        <f>IF(AND(AN53=1,ISNUMBER(R53)),1,0)</f>
        <v/>
      </c>
      <c r="AX53" s="17">
        <f>IF(AW53=1,IF(COUNTIFS($A$2:$A$201,$A53,$AW$2:$AW$201,1,$G$2:$G$201,"&lt;"&amp;G53)+COUNTIFS($A$2:$A$201,$A53,$AW$2:$AW$201,1,$G$2:$G$201,G53,$AM$2:$AM$201,"&lt;"&amp;AM53)=0,1,0),0)</f>
        <v/>
      </c>
      <c r="AY53" s="17">
        <f>IF(AND(AX53=1,G53&lt;=Config!$B$6),R53,"")</f>
        <v/>
      </c>
      <c r="AZ53" s="17">
        <f>IF(AND(AX53=1,G53&lt;=Config!$B$7),R53,"")</f>
        <v/>
      </c>
      <c r="BA53" s="17">
        <f>IF(AND(AX53=1,G53&lt;=Config!$B$8),R53,"")</f>
        <v/>
      </c>
      <c r="BB53" s="17">
        <f>IF(AND(AX53=1,G53&lt;=Config!$B$5),R53,"")</f>
        <v/>
      </c>
      <c r="BC53" s="17">
        <f>IF(AND(AN53=1,ISNUMBER(V53)),1,0)</f>
        <v/>
      </c>
      <c r="BD53" s="17">
        <f>IF(BC53=1,IF(COUNTIFS($A$2:$A$201,$A53,$BC$2:$BC$201,1,$G$2:$G$201,"&lt;"&amp;G53)+COUNTIFS($A$2:$A$201,$A53,$BC$2:$BC$201,1,$G$2:$G$201,G53,$AM$2:$AM$201,"&lt;"&amp;AM53)=0,1,0),0)</f>
        <v/>
      </c>
      <c r="BE53" s="17">
        <f>IF(AND(BD53=1,G53&lt;=Config!$B$6),V53,"")</f>
        <v/>
      </c>
      <c r="BF53" s="17">
        <f>IF(AND(BD53=1,G53&lt;=Config!$B$7),V53,"")</f>
        <v/>
      </c>
      <c r="BG53" s="17">
        <f>IF(AND(BD53=1,G53&lt;=Config!$B$8),V53,"")</f>
        <v/>
      </c>
      <c r="BH53" s="17">
        <f>IF(AND(BD53=1,G53&lt;=Config!$B$5),V53,"")</f>
        <v/>
      </c>
      <c r="BI53" s="17">
        <f>IF(AND(AN53=1,ISNUMBER(J53)),1,0)</f>
        <v/>
      </c>
      <c r="BJ53" s="17">
        <f>IF(BI53=1,IF(COUNTIFS($A$2:$A$201,$A53,$BI$2:$BI$201,1,$G$2:$G$201,"&lt;"&amp;G53)+COUNTIFS($A$2:$A$201,$A53,$BI$2:$BI$201,1,$G$2:$G$201,G53,$AM$2:$AM$201,"&lt;"&amp;AM53)=0,1,0),0)</f>
        <v/>
      </c>
      <c r="BK53" s="17">
        <f>IF(AND(BJ53=1,G53&lt;=Config!$B$5),J53,"")</f>
        <v/>
      </c>
      <c r="BL53" s="17">
        <f>IF(AND(AN53=1,OR(AND(ISNUMBER(R53),TRIM(S53)=""),AND(ISNUMBER(V53),TRIM(W53)=""))),1,0)</f>
        <v/>
      </c>
      <c r="BM53" s="17">
        <f>IF(AN53=1,AB53&amp;"","")</f>
        <v/>
      </c>
      <c r="BN53" s="17">
        <f>IF(AN53=1,AC53&amp;"","")</f>
        <v/>
      </c>
      <c r="BO53" s="17">
        <f>IF(AN53=1,AD53&amp;"","")</f>
        <v/>
      </c>
      <c r="BP53" s="17">
        <f>IF(AND(AN53=1,ISNUMBER(AI53),G53&lt;=Config!$B$5),AI53,"")</f>
        <v/>
      </c>
      <c r="BQ53" s="17">
        <f>IF(AN53=1,IF(COUNTIFS($A$2:$A$201,$A53,$AF$2:$AF$201,"Y",$AN$2:$AN$201,1)&gt;0,"Y","N"),"")</f>
        <v/>
      </c>
      <c r="BR53" s="17">
        <f>IF(AND(AN53=1,AF53="Y"),IF(COUNTIFS($A$2:$A$201,$A53,$AF$2:$AF$201,"Y",$AN$2:$AN$201,1,$G$2:$G$201,"&lt;"&amp;G53)+COUNTIFS($A$2:$A$201,$A53,$AF$2:$AF$201,"Y",$AN$2:$AN$201,1,$G$2:$G$201,G53,$AM$2:$AM$201,"&lt;"&amp;AM53)=0,1,0),0)</f>
        <v/>
      </c>
      <c r="BS53" s="17">
        <f>IF(AN53=1,IFERROR(MATCH($A53,INDEX(Clay_Brands!$A$2:$FZ$601,0,Sync!$D$5),0),""),"")</f>
        <v/>
      </c>
      <c r="BT53" s="17">
        <f>IF(BS53="","",IFERROR(INDEX(Clay_Brands!$A$2:$FZ$601,BS53,Sync!$D$7)&amp;"",""))</f>
        <v/>
      </c>
      <c r="BU53" s="17">
        <f>IF(BT53="","",IFERROR(INDEX(Lists!$J$2:$J$15,MATCH(BT53,Lists!$I$2:$I$15,0)),""))</f>
        <v/>
      </c>
      <c r="BV53" s="17">
        <f>IF(BS53="","",IFERROR(INDEX(Clay_Brands!$A$2:$FZ$601,BS53,Sync!$D$17)&amp;"",""))</f>
        <v/>
      </c>
      <c r="BW53" s="23">
        <f>IF(BS53="","",IFERROR(N(INDEX(Clay_Brands!$A$2:$FZ$601,BS53,Sync!$D$16)),0))</f>
        <v/>
      </c>
    </row>
    <row r="54">
      <c r="G54" s="22" t="n"/>
      <c r="AL54" s="17">
        <f>IF(TRIM($A54)="","",IF(AND(LEFT($A54,6)="SAMPLE",Config!$B$19&lt;&gt;"Y"),"",IF(NOT(ISNUMBER(G54)),"call_date is blank or not a date",IF(Sync!$D$5="","Clay paste is empty or has no row_id column: paste the Clay export on Clay_Brands",IF(BS54="","row_id not found in the Clay paste: add the Clay row or fix the row_id",IF(AND(ISNUMBER(BU54),BU54&gt;=1,BU54&lt;=5),"Clay status is "&amp;BT54&amp;": set call_done or later",IF(AND(AP54=1,BV54&lt;&gt;BQ54),"Clay yes_in_principle should be "&amp;BQ54,IF(AND(AP54=1,BW54&lt;&gt;G54),"Clay call_date should be "&amp;TEXT(G54,"yyyy-mm-dd"),""))))))))</f>
        <v/>
      </c>
      <c r="AM54" s="17">
        <f>ROW()</f>
        <v/>
      </c>
      <c r="AN54" s="17">
        <f>IF(AND(TRIM($A54)&lt;&gt;"",ISNUMBER(G54)),IF(AND(LEFT($A54,6)="SAMPLE",Config!$B$19&lt;&gt;"Y"),0,1),0)</f>
        <v/>
      </c>
      <c r="AO54" s="17">
        <f>IF(AN54=1,IF(COUNTIFS($A$2:$A$201,$A54,$AN$2:$AN$201,1,$G$2:$G$201,"&lt;"&amp;G54)+COUNTIFS($A$2:$A$201,$A54,$AN$2:$AN$201,1,$G$2:$G$201,G54,$AM$2:$AM$201,"&lt;"&amp;AM54)=0,1,0),0)</f>
        <v/>
      </c>
      <c r="AP54" s="17">
        <f>IF(AN54=1,IF(COUNTIFS($A$2:$A$201,$A54,$AN$2:$AN$201,1,$G$2:$G$201,"&gt;"&amp;G54)+COUNTIFS($A$2:$A$201,$A54,$AN$2:$AN$201,1,$G$2:$G$201,G54,$AM$2:$AM$201,"&gt;"&amp;AM54)=0,1,0),0)</f>
        <v/>
      </c>
      <c r="AQ54" s="17">
        <f>IF(AND(AN54=1,N54="Y",MAX(N(R54),N(V54))&gt;=Config!$B$14),1,0)</f>
        <v/>
      </c>
      <c r="AR54" s="17">
        <f>IF(AQ54=1,IF(COUNTIFS($A$2:$A$201,$A54,$AQ$2:$AQ$201,1,$G$2:$G$201,"&lt;"&amp;G54)+COUNTIFS($A$2:$A$201,$A54,$AQ$2:$AQ$201,1,$G$2:$G$201,G54,$AM$2:$AM$201,"&lt;"&amp;AM54)=0,1,0),0)</f>
        <v/>
      </c>
      <c r="AS54" s="17">
        <f>IF(AND(AN54=1,N54="Y",ISNUMBER(R54)),IF(R54&gt;=Config!$B$14,1,0),0)</f>
        <v/>
      </c>
      <c r="AT54" s="17">
        <f>IF(AS54=1,IF(COUNTIFS($A$2:$A$201,$A54,$AS$2:$AS$201,1,$G$2:$G$201,"&lt;"&amp;G54)+COUNTIFS($A$2:$A$201,$A54,$AS$2:$AS$201,1,$G$2:$G$201,G54,$AM$2:$AM$201,"&lt;"&amp;AM54)=0,1,0),0)</f>
        <v/>
      </c>
      <c r="AU54" s="17">
        <f>IF(AND(AN54=1,N54&lt;&gt;"Y",MAX(N(R54),N(V54))&gt;=Config!$B$14),1,0)</f>
        <v/>
      </c>
      <c r="AV54" s="17">
        <f>IF(AU54=1,IF(COUNTIFS($A$2:$A$201,$A54,$AU$2:$AU$201,1,$G$2:$G$201,"&lt;"&amp;G54)+COUNTIFS($A$2:$A$201,$A54,$AU$2:$AU$201,1,$G$2:$G$201,G54,$AM$2:$AM$201,"&lt;"&amp;AM54)=0,1,0),0)</f>
        <v/>
      </c>
      <c r="AW54" s="17">
        <f>IF(AND(AN54=1,ISNUMBER(R54)),1,0)</f>
        <v/>
      </c>
      <c r="AX54" s="17">
        <f>IF(AW54=1,IF(COUNTIFS($A$2:$A$201,$A54,$AW$2:$AW$201,1,$G$2:$G$201,"&lt;"&amp;G54)+COUNTIFS($A$2:$A$201,$A54,$AW$2:$AW$201,1,$G$2:$G$201,G54,$AM$2:$AM$201,"&lt;"&amp;AM54)=0,1,0),0)</f>
        <v/>
      </c>
      <c r="AY54" s="17">
        <f>IF(AND(AX54=1,G54&lt;=Config!$B$6),R54,"")</f>
        <v/>
      </c>
      <c r="AZ54" s="17">
        <f>IF(AND(AX54=1,G54&lt;=Config!$B$7),R54,"")</f>
        <v/>
      </c>
      <c r="BA54" s="17">
        <f>IF(AND(AX54=1,G54&lt;=Config!$B$8),R54,"")</f>
        <v/>
      </c>
      <c r="BB54" s="17">
        <f>IF(AND(AX54=1,G54&lt;=Config!$B$5),R54,"")</f>
        <v/>
      </c>
      <c r="BC54" s="17">
        <f>IF(AND(AN54=1,ISNUMBER(V54)),1,0)</f>
        <v/>
      </c>
      <c r="BD54" s="17">
        <f>IF(BC54=1,IF(COUNTIFS($A$2:$A$201,$A54,$BC$2:$BC$201,1,$G$2:$G$201,"&lt;"&amp;G54)+COUNTIFS($A$2:$A$201,$A54,$BC$2:$BC$201,1,$G$2:$G$201,G54,$AM$2:$AM$201,"&lt;"&amp;AM54)=0,1,0),0)</f>
        <v/>
      </c>
      <c r="BE54" s="17">
        <f>IF(AND(BD54=1,G54&lt;=Config!$B$6),V54,"")</f>
        <v/>
      </c>
      <c r="BF54" s="17">
        <f>IF(AND(BD54=1,G54&lt;=Config!$B$7),V54,"")</f>
        <v/>
      </c>
      <c r="BG54" s="17">
        <f>IF(AND(BD54=1,G54&lt;=Config!$B$8),V54,"")</f>
        <v/>
      </c>
      <c r="BH54" s="17">
        <f>IF(AND(BD54=1,G54&lt;=Config!$B$5),V54,"")</f>
        <v/>
      </c>
      <c r="BI54" s="17">
        <f>IF(AND(AN54=1,ISNUMBER(J54)),1,0)</f>
        <v/>
      </c>
      <c r="BJ54" s="17">
        <f>IF(BI54=1,IF(COUNTIFS($A$2:$A$201,$A54,$BI$2:$BI$201,1,$G$2:$G$201,"&lt;"&amp;G54)+COUNTIFS($A$2:$A$201,$A54,$BI$2:$BI$201,1,$G$2:$G$201,G54,$AM$2:$AM$201,"&lt;"&amp;AM54)=0,1,0),0)</f>
        <v/>
      </c>
      <c r="BK54" s="17">
        <f>IF(AND(BJ54=1,G54&lt;=Config!$B$5),J54,"")</f>
        <v/>
      </c>
      <c r="BL54" s="17">
        <f>IF(AND(AN54=1,OR(AND(ISNUMBER(R54),TRIM(S54)=""),AND(ISNUMBER(V54),TRIM(W54)=""))),1,0)</f>
        <v/>
      </c>
      <c r="BM54" s="17">
        <f>IF(AN54=1,AB54&amp;"","")</f>
        <v/>
      </c>
      <c r="BN54" s="17">
        <f>IF(AN54=1,AC54&amp;"","")</f>
        <v/>
      </c>
      <c r="BO54" s="17">
        <f>IF(AN54=1,AD54&amp;"","")</f>
        <v/>
      </c>
      <c r="BP54" s="17">
        <f>IF(AND(AN54=1,ISNUMBER(AI54),G54&lt;=Config!$B$5),AI54,"")</f>
        <v/>
      </c>
      <c r="BQ54" s="17">
        <f>IF(AN54=1,IF(COUNTIFS($A$2:$A$201,$A54,$AF$2:$AF$201,"Y",$AN$2:$AN$201,1)&gt;0,"Y","N"),"")</f>
        <v/>
      </c>
      <c r="BR54" s="17">
        <f>IF(AND(AN54=1,AF54="Y"),IF(COUNTIFS($A$2:$A$201,$A54,$AF$2:$AF$201,"Y",$AN$2:$AN$201,1,$G$2:$G$201,"&lt;"&amp;G54)+COUNTIFS($A$2:$A$201,$A54,$AF$2:$AF$201,"Y",$AN$2:$AN$201,1,$G$2:$G$201,G54,$AM$2:$AM$201,"&lt;"&amp;AM54)=0,1,0),0)</f>
        <v/>
      </c>
      <c r="BS54" s="17">
        <f>IF(AN54=1,IFERROR(MATCH($A54,INDEX(Clay_Brands!$A$2:$FZ$601,0,Sync!$D$5),0),""),"")</f>
        <v/>
      </c>
      <c r="BT54" s="17">
        <f>IF(BS54="","",IFERROR(INDEX(Clay_Brands!$A$2:$FZ$601,BS54,Sync!$D$7)&amp;"",""))</f>
        <v/>
      </c>
      <c r="BU54" s="17">
        <f>IF(BT54="","",IFERROR(INDEX(Lists!$J$2:$J$15,MATCH(BT54,Lists!$I$2:$I$15,0)),""))</f>
        <v/>
      </c>
      <c r="BV54" s="17">
        <f>IF(BS54="","",IFERROR(INDEX(Clay_Brands!$A$2:$FZ$601,BS54,Sync!$D$17)&amp;"",""))</f>
        <v/>
      </c>
      <c r="BW54" s="23">
        <f>IF(BS54="","",IFERROR(N(INDEX(Clay_Brands!$A$2:$FZ$601,BS54,Sync!$D$16)),0))</f>
        <v/>
      </c>
    </row>
    <row r="55">
      <c r="G55" s="22" t="n"/>
      <c r="AL55" s="17">
        <f>IF(TRIM($A55)="","",IF(AND(LEFT($A55,6)="SAMPLE",Config!$B$19&lt;&gt;"Y"),"",IF(NOT(ISNUMBER(G55)),"call_date is blank or not a date",IF(Sync!$D$5="","Clay paste is empty or has no row_id column: paste the Clay export on Clay_Brands",IF(BS55="","row_id not found in the Clay paste: add the Clay row or fix the row_id",IF(AND(ISNUMBER(BU55),BU55&gt;=1,BU55&lt;=5),"Clay status is "&amp;BT55&amp;": set call_done or later",IF(AND(AP55=1,BV55&lt;&gt;BQ55),"Clay yes_in_principle should be "&amp;BQ55,IF(AND(AP55=1,BW55&lt;&gt;G55),"Clay call_date should be "&amp;TEXT(G55,"yyyy-mm-dd"),""))))))))</f>
        <v/>
      </c>
      <c r="AM55" s="17">
        <f>ROW()</f>
        <v/>
      </c>
      <c r="AN55" s="17">
        <f>IF(AND(TRIM($A55)&lt;&gt;"",ISNUMBER(G55)),IF(AND(LEFT($A55,6)="SAMPLE",Config!$B$19&lt;&gt;"Y"),0,1),0)</f>
        <v/>
      </c>
      <c r="AO55" s="17">
        <f>IF(AN55=1,IF(COUNTIFS($A$2:$A$201,$A55,$AN$2:$AN$201,1,$G$2:$G$201,"&lt;"&amp;G55)+COUNTIFS($A$2:$A$201,$A55,$AN$2:$AN$201,1,$G$2:$G$201,G55,$AM$2:$AM$201,"&lt;"&amp;AM55)=0,1,0),0)</f>
        <v/>
      </c>
      <c r="AP55" s="17">
        <f>IF(AN55=1,IF(COUNTIFS($A$2:$A$201,$A55,$AN$2:$AN$201,1,$G$2:$G$201,"&gt;"&amp;G55)+COUNTIFS($A$2:$A$201,$A55,$AN$2:$AN$201,1,$G$2:$G$201,G55,$AM$2:$AM$201,"&gt;"&amp;AM55)=0,1,0),0)</f>
        <v/>
      </c>
      <c r="AQ55" s="17">
        <f>IF(AND(AN55=1,N55="Y",MAX(N(R55),N(V55))&gt;=Config!$B$14),1,0)</f>
        <v/>
      </c>
      <c r="AR55" s="17">
        <f>IF(AQ55=1,IF(COUNTIFS($A$2:$A$201,$A55,$AQ$2:$AQ$201,1,$G$2:$G$201,"&lt;"&amp;G55)+COUNTIFS($A$2:$A$201,$A55,$AQ$2:$AQ$201,1,$G$2:$G$201,G55,$AM$2:$AM$201,"&lt;"&amp;AM55)=0,1,0),0)</f>
        <v/>
      </c>
      <c r="AS55" s="17">
        <f>IF(AND(AN55=1,N55="Y",ISNUMBER(R55)),IF(R55&gt;=Config!$B$14,1,0),0)</f>
        <v/>
      </c>
      <c r="AT55" s="17">
        <f>IF(AS55=1,IF(COUNTIFS($A$2:$A$201,$A55,$AS$2:$AS$201,1,$G$2:$G$201,"&lt;"&amp;G55)+COUNTIFS($A$2:$A$201,$A55,$AS$2:$AS$201,1,$G$2:$G$201,G55,$AM$2:$AM$201,"&lt;"&amp;AM55)=0,1,0),0)</f>
        <v/>
      </c>
      <c r="AU55" s="17">
        <f>IF(AND(AN55=1,N55&lt;&gt;"Y",MAX(N(R55),N(V55))&gt;=Config!$B$14),1,0)</f>
        <v/>
      </c>
      <c r="AV55" s="17">
        <f>IF(AU55=1,IF(COUNTIFS($A$2:$A$201,$A55,$AU$2:$AU$201,1,$G$2:$G$201,"&lt;"&amp;G55)+COUNTIFS($A$2:$A$201,$A55,$AU$2:$AU$201,1,$G$2:$G$201,G55,$AM$2:$AM$201,"&lt;"&amp;AM55)=0,1,0),0)</f>
        <v/>
      </c>
      <c r="AW55" s="17">
        <f>IF(AND(AN55=1,ISNUMBER(R55)),1,0)</f>
        <v/>
      </c>
      <c r="AX55" s="17">
        <f>IF(AW55=1,IF(COUNTIFS($A$2:$A$201,$A55,$AW$2:$AW$201,1,$G$2:$G$201,"&lt;"&amp;G55)+COUNTIFS($A$2:$A$201,$A55,$AW$2:$AW$201,1,$G$2:$G$201,G55,$AM$2:$AM$201,"&lt;"&amp;AM55)=0,1,0),0)</f>
        <v/>
      </c>
      <c r="AY55" s="17">
        <f>IF(AND(AX55=1,G55&lt;=Config!$B$6),R55,"")</f>
        <v/>
      </c>
      <c r="AZ55" s="17">
        <f>IF(AND(AX55=1,G55&lt;=Config!$B$7),R55,"")</f>
        <v/>
      </c>
      <c r="BA55" s="17">
        <f>IF(AND(AX55=1,G55&lt;=Config!$B$8),R55,"")</f>
        <v/>
      </c>
      <c r="BB55" s="17">
        <f>IF(AND(AX55=1,G55&lt;=Config!$B$5),R55,"")</f>
        <v/>
      </c>
      <c r="BC55" s="17">
        <f>IF(AND(AN55=1,ISNUMBER(V55)),1,0)</f>
        <v/>
      </c>
      <c r="BD55" s="17">
        <f>IF(BC55=1,IF(COUNTIFS($A$2:$A$201,$A55,$BC$2:$BC$201,1,$G$2:$G$201,"&lt;"&amp;G55)+COUNTIFS($A$2:$A$201,$A55,$BC$2:$BC$201,1,$G$2:$G$201,G55,$AM$2:$AM$201,"&lt;"&amp;AM55)=0,1,0),0)</f>
        <v/>
      </c>
      <c r="BE55" s="17">
        <f>IF(AND(BD55=1,G55&lt;=Config!$B$6),V55,"")</f>
        <v/>
      </c>
      <c r="BF55" s="17">
        <f>IF(AND(BD55=1,G55&lt;=Config!$B$7),V55,"")</f>
        <v/>
      </c>
      <c r="BG55" s="17">
        <f>IF(AND(BD55=1,G55&lt;=Config!$B$8),V55,"")</f>
        <v/>
      </c>
      <c r="BH55" s="17">
        <f>IF(AND(BD55=1,G55&lt;=Config!$B$5),V55,"")</f>
        <v/>
      </c>
      <c r="BI55" s="17">
        <f>IF(AND(AN55=1,ISNUMBER(J55)),1,0)</f>
        <v/>
      </c>
      <c r="BJ55" s="17">
        <f>IF(BI55=1,IF(COUNTIFS($A$2:$A$201,$A55,$BI$2:$BI$201,1,$G$2:$G$201,"&lt;"&amp;G55)+COUNTIFS($A$2:$A$201,$A55,$BI$2:$BI$201,1,$G$2:$G$201,G55,$AM$2:$AM$201,"&lt;"&amp;AM55)=0,1,0),0)</f>
        <v/>
      </c>
      <c r="BK55" s="17">
        <f>IF(AND(BJ55=1,G55&lt;=Config!$B$5),J55,"")</f>
        <v/>
      </c>
      <c r="BL55" s="17">
        <f>IF(AND(AN55=1,OR(AND(ISNUMBER(R55),TRIM(S55)=""),AND(ISNUMBER(V55),TRIM(W55)=""))),1,0)</f>
        <v/>
      </c>
      <c r="BM55" s="17">
        <f>IF(AN55=1,AB55&amp;"","")</f>
        <v/>
      </c>
      <c r="BN55" s="17">
        <f>IF(AN55=1,AC55&amp;"","")</f>
        <v/>
      </c>
      <c r="BO55" s="17">
        <f>IF(AN55=1,AD55&amp;"","")</f>
        <v/>
      </c>
      <c r="BP55" s="17">
        <f>IF(AND(AN55=1,ISNUMBER(AI55),G55&lt;=Config!$B$5),AI55,"")</f>
        <v/>
      </c>
      <c r="BQ55" s="17">
        <f>IF(AN55=1,IF(COUNTIFS($A$2:$A$201,$A55,$AF$2:$AF$201,"Y",$AN$2:$AN$201,1)&gt;0,"Y","N"),"")</f>
        <v/>
      </c>
      <c r="BR55" s="17">
        <f>IF(AND(AN55=1,AF55="Y"),IF(COUNTIFS($A$2:$A$201,$A55,$AF$2:$AF$201,"Y",$AN$2:$AN$201,1,$G$2:$G$201,"&lt;"&amp;G55)+COUNTIFS($A$2:$A$201,$A55,$AF$2:$AF$201,"Y",$AN$2:$AN$201,1,$G$2:$G$201,G55,$AM$2:$AM$201,"&lt;"&amp;AM55)=0,1,0),0)</f>
        <v/>
      </c>
      <c r="BS55" s="17">
        <f>IF(AN55=1,IFERROR(MATCH($A55,INDEX(Clay_Brands!$A$2:$FZ$601,0,Sync!$D$5),0),""),"")</f>
        <v/>
      </c>
      <c r="BT55" s="17">
        <f>IF(BS55="","",IFERROR(INDEX(Clay_Brands!$A$2:$FZ$601,BS55,Sync!$D$7)&amp;"",""))</f>
        <v/>
      </c>
      <c r="BU55" s="17">
        <f>IF(BT55="","",IFERROR(INDEX(Lists!$J$2:$J$15,MATCH(BT55,Lists!$I$2:$I$15,0)),""))</f>
        <v/>
      </c>
      <c r="BV55" s="17">
        <f>IF(BS55="","",IFERROR(INDEX(Clay_Brands!$A$2:$FZ$601,BS55,Sync!$D$17)&amp;"",""))</f>
        <v/>
      </c>
      <c r="BW55" s="23">
        <f>IF(BS55="","",IFERROR(N(INDEX(Clay_Brands!$A$2:$FZ$601,BS55,Sync!$D$16)),0))</f>
        <v/>
      </c>
    </row>
    <row r="56">
      <c r="G56" s="22" t="n"/>
      <c r="AL56" s="17">
        <f>IF(TRIM($A56)="","",IF(AND(LEFT($A56,6)="SAMPLE",Config!$B$19&lt;&gt;"Y"),"",IF(NOT(ISNUMBER(G56)),"call_date is blank or not a date",IF(Sync!$D$5="","Clay paste is empty or has no row_id column: paste the Clay export on Clay_Brands",IF(BS56="","row_id not found in the Clay paste: add the Clay row or fix the row_id",IF(AND(ISNUMBER(BU56),BU56&gt;=1,BU56&lt;=5),"Clay status is "&amp;BT56&amp;": set call_done or later",IF(AND(AP56=1,BV56&lt;&gt;BQ56),"Clay yes_in_principle should be "&amp;BQ56,IF(AND(AP56=1,BW56&lt;&gt;G56),"Clay call_date should be "&amp;TEXT(G56,"yyyy-mm-dd"),""))))))))</f>
        <v/>
      </c>
      <c r="AM56" s="17">
        <f>ROW()</f>
        <v/>
      </c>
      <c r="AN56" s="17">
        <f>IF(AND(TRIM($A56)&lt;&gt;"",ISNUMBER(G56)),IF(AND(LEFT($A56,6)="SAMPLE",Config!$B$19&lt;&gt;"Y"),0,1),0)</f>
        <v/>
      </c>
      <c r="AO56" s="17">
        <f>IF(AN56=1,IF(COUNTIFS($A$2:$A$201,$A56,$AN$2:$AN$201,1,$G$2:$G$201,"&lt;"&amp;G56)+COUNTIFS($A$2:$A$201,$A56,$AN$2:$AN$201,1,$G$2:$G$201,G56,$AM$2:$AM$201,"&lt;"&amp;AM56)=0,1,0),0)</f>
        <v/>
      </c>
      <c r="AP56" s="17">
        <f>IF(AN56=1,IF(COUNTIFS($A$2:$A$201,$A56,$AN$2:$AN$201,1,$G$2:$G$201,"&gt;"&amp;G56)+COUNTIFS($A$2:$A$201,$A56,$AN$2:$AN$201,1,$G$2:$G$201,G56,$AM$2:$AM$201,"&gt;"&amp;AM56)=0,1,0),0)</f>
        <v/>
      </c>
      <c r="AQ56" s="17">
        <f>IF(AND(AN56=1,N56="Y",MAX(N(R56),N(V56))&gt;=Config!$B$14),1,0)</f>
        <v/>
      </c>
      <c r="AR56" s="17">
        <f>IF(AQ56=1,IF(COUNTIFS($A$2:$A$201,$A56,$AQ$2:$AQ$201,1,$G$2:$G$201,"&lt;"&amp;G56)+COUNTIFS($A$2:$A$201,$A56,$AQ$2:$AQ$201,1,$G$2:$G$201,G56,$AM$2:$AM$201,"&lt;"&amp;AM56)=0,1,0),0)</f>
        <v/>
      </c>
      <c r="AS56" s="17">
        <f>IF(AND(AN56=1,N56="Y",ISNUMBER(R56)),IF(R56&gt;=Config!$B$14,1,0),0)</f>
        <v/>
      </c>
      <c r="AT56" s="17">
        <f>IF(AS56=1,IF(COUNTIFS($A$2:$A$201,$A56,$AS$2:$AS$201,1,$G$2:$G$201,"&lt;"&amp;G56)+COUNTIFS($A$2:$A$201,$A56,$AS$2:$AS$201,1,$G$2:$G$201,G56,$AM$2:$AM$201,"&lt;"&amp;AM56)=0,1,0),0)</f>
        <v/>
      </c>
      <c r="AU56" s="17">
        <f>IF(AND(AN56=1,N56&lt;&gt;"Y",MAX(N(R56),N(V56))&gt;=Config!$B$14),1,0)</f>
        <v/>
      </c>
      <c r="AV56" s="17">
        <f>IF(AU56=1,IF(COUNTIFS($A$2:$A$201,$A56,$AU$2:$AU$201,1,$G$2:$G$201,"&lt;"&amp;G56)+COUNTIFS($A$2:$A$201,$A56,$AU$2:$AU$201,1,$G$2:$G$201,G56,$AM$2:$AM$201,"&lt;"&amp;AM56)=0,1,0),0)</f>
        <v/>
      </c>
      <c r="AW56" s="17">
        <f>IF(AND(AN56=1,ISNUMBER(R56)),1,0)</f>
        <v/>
      </c>
      <c r="AX56" s="17">
        <f>IF(AW56=1,IF(COUNTIFS($A$2:$A$201,$A56,$AW$2:$AW$201,1,$G$2:$G$201,"&lt;"&amp;G56)+COUNTIFS($A$2:$A$201,$A56,$AW$2:$AW$201,1,$G$2:$G$201,G56,$AM$2:$AM$201,"&lt;"&amp;AM56)=0,1,0),0)</f>
        <v/>
      </c>
      <c r="AY56" s="17">
        <f>IF(AND(AX56=1,G56&lt;=Config!$B$6),R56,"")</f>
        <v/>
      </c>
      <c r="AZ56" s="17">
        <f>IF(AND(AX56=1,G56&lt;=Config!$B$7),R56,"")</f>
        <v/>
      </c>
      <c r="BA56" s="17">
        <f>IF(AND(AX56=1,G56&lt;=Config!$B$8),R56,"")</f>
        <v/>
      </c>
      <c r="BB56" s="17">
        <f>IF(AND(AX56=1,G56&lt;=Config!$B$5),R56,"")</f>
        <v/>
      </c>
      <c r="BC56" s="17">
        <f>IF(AND(AN56=1,ISNUMBER(V56)),1,0)</f>
        <v/>
      </c>
      <c r="BD56" s="17">
        <f>IF(BC56=1,IF(COUNTIFS($A$2:$A$201,$A56,$BC$2:$BC$201,1,$G$2:$G$201,"&lt;"&amp;G56)+COUNTIFS($A$2:$A$201,$A56,$BC$2:$BC$201,1,$G$2:$G$201,G56,$AM$2:$AM$201,"&lt;"&amp;AM56)=0,1,0),0)</f>
        <v/>
      </c>
      <c r="BE56" s="17">
        <f>IF(AND(BD56=1,G56&lt;=Config!$B$6),V56,"")</f>
        <v/>
      </c>
      <c r="BF56" s="17">
        <f>IF(AND(BD56=1,G56&lt;=Config!$B$7),V56,"")</f>
        <v/>
      </c>
      <c r="BG56" s="17">
        <f>IF(AND(BD56=1,G56&lt;=Config!$B$8),V56,"")</f>
        <v/>
      </c>
      <c r="BH56" s="17">
        <f>IF(AND(BD56=1,G56&lt;=Config!$B$5),V56,"")</f>
        <v/>
      </c>
      <c r="BI56" s="17">
        <f>IF(AND(AN56=1,ISNUMBER(J56)),1,0)</f>
        <v/>
      </c>
      <c r="BJ56" s="17">
        <f>IF(BI56=1,IF(COUNTIFS($A$2:$A$201,$A56,$BI$2:$BI$201,1,$G$2:$G$201,"&lt;"&amp;G56)+COUNTIFS($A$2:$A$201,$A56,$BI$2:$BI$201,1,$G$2:$G$201,G56,$AM$2:$AM$201,"&lt;"&amp;AM56)=0,1,0),0)</f>
        <v/>
      </c>
      <c r="BK56" s="17">
        <f>IF(AND(BJ56=1,G56&lt;=Config!$B$5),J56,"")</f>
        <v/>
      </c>
      <c r="BL56" s="17">
        <f>IF(AND(AN56=1,OR(AND(ISNUMBER(R56),TRIM(S56)=""),AND(ISNUMBER(V56),TRIM(W56)=""))),1,0)</f>
        <v/>
      </c>
      <c r="BM56" s="17">
        <f>IF(AN56=1,AB56&amp;"","")</f>
        <v/>
      </c>
      <c r="BN56" s="17">
        <f>IF(AN56=1,AC56&amp;"","")</f>
        <v/>
      </c>
      <c r="BO56" s="17">
        <f>IF(AN56=1,AD56&amp;"","")</f>
        <v/>
      </c>
      <c r="BP56" s="17">
        <f>IF(AND(AN56=1,ISNUMBER(AI56),G56&lt;=Config!$B$5),AI56,"")</f>
        <v/>
      </c>
      <c r="BQ56" s="17">
        <f>IF(AN56=1,IF(COUNTIFS($A$2:$A$201,$A56,$AF$2:$AF$201,"Y",$AN$2:$AN$201,1)&gt;0,"Y","N"),"")</f>
        <v/>
      </c>
      <c r="BR56" s="17">
        <f>IF(AND(AN56=1,AF56="Y"),IF(COUNTIFS($A$2:$A$201,$A56,$AF$2:$AF$201,"Y",$AN$2:$AN$201,1,$G$2:$G$201,"&lt;"&amp;G56)+COUNTIFS($A$2:$A$201,$A56,$AF$2:$AF$201,"Y",$AN$2:$AN$201,1,$G$2:$G$201,G56,$AM$2:$AM$201,"&lt;"&amp;AM56)=0,1,0),0)</f>
        <v/>
      </c>
      <c r="BS56" s="17">
        <f>IF(AN56=1,IFERROR(MATCH($A56,INDEX(Clay_Brands!$A$2:$FZ$601,0,Sync!$D$5),0),""),"")</f>
        <v/>
      </c>
      <c r="BT56" s="17">
        <f>IF(BS56="","",IFERROR(INDEX(Clay_Brands!$A$2:$FZ$601,BS56,Sync!$D$7)&amp;"",""))</f>
        <v/>
      </c>
      <c r="BU56" s="17">
        <f>IF(BT56="","",IFERROR(INDEX(Lists!$J$2:$J$15,MATCH(BT56,Lists!$I$2:$I$15,0)),""))</f>
        <v/>
      </c>
      <c r="BV56" s="17">
        <f>IF(BS56="","",IFERROR(INDEX(Clay_Brands!$A$2:$FZ$601,BS56,Sync!$D$17)&amp;"",""))</f>
        <v/>
      </c>
      <c r="BW56" s="23">
        <f>IF(BS56="","",IFERROR(N(INDEX(Clay_Brands!$A$2:$FZ$601,BS56,Sync!$D$16)),0))</f>
        <v/>
      </c>
    </row>
    <row r="57">
      <c r="G57" s="22" t="n"/>
      <c r="AL57" s="17">
        <f>IF(TRIM($A57)="","",IF(AND(LEFT($A57,6)="SAMPLE",Config!$B$19&lt;&gt;"Y"),"",IF(NOT(ISNUMBER(G57)),"call_date is blank or not a date",IF(Sync!$D$5="","Clay paste is empty or has no row_id column: paste the Clay export on Clay_Brands",IF(BS57="","row_id not found in the Clay paste: add the Clay row or fix the row_id",IF(AND(ISNUMBER(BU57),BU57&gt;=1,BU57&lt;=5),"Clay status is "&amp;BT57&amp;": set call_done or later",IF(AND(AP57=1,BV57&lt;&gt;BQ57),"Clay yes_in_principle should be "&amp;BQ57,IF(AND(AP57=1,BW57&lt;&gt;G57),"Clay call_date should be "&amp;TEXT(G57,"yyyy-mm-dd"),""))))))))</f>
        <v/>
      </c>
      <c r="AM57" s="17">
        <f>ROW()</f>
        <v/>
      </c>
      <c r="AN57" s="17">
        <f>IF(AND(TRIM($A57)&lt;&gt;"",ISNUMBER(G57)),IF(AND(LEFT($A57,6)="SAMPLE",Config!$B$19&lt;&gt;"Y"),0,1),0)</f>
        <v/>
      </c>
      <c r="AO57" s="17">
        <f>IF(AN57=1,IF(COUNTIFS($A$2:$A$201,$A57,$AN$2:$AN$201,1,$G$2:$G$201,"&lt;"&amp;G57)+COUNTIFS($A$2:$A$201,$A57,$AN$2:$AN$201,1,$G$2:$G$201,G57,$AM$2:$AM$201,"&lt;"&amp;AM57)=0,1,0),0)</f>
        <v/>
      </c>
      <c r="AP57" s="17">
        <f>IF(AN57=1,IF(COUNTIFS($A$2:$A$201,$A57,$AN$2:$AN$201,1,$G$2:$G$201,"&gt;"&amp;G57)+COUNTIFS($A$2:$A$201,$A57,$AN$2:$AN$201,1,$G$2:$G$201,G57,$AM$2:$AM$201,"&gt;"&amp;AM57)=0,1,0),0)</f>
        <v/>
      </c>
      <c r="AQ57" s="17">
        <f>IF(AND(AN57=1,N57="Y",MAX(N(R57),N(V57))&gt;=Config!$B$14),1,0)</f>
        <v/>
      </c>
      <c r="AR57" s="17">
        <f>IF(AQ57=1,IF(COUNTIFS($A$2:$A$201,$A57,$AQ$2:$AQ$201,1,$G$2:$G$201,"&lt;"&amp;G57)+COUNTIFS($A$2:$A$201,$A57,$AQ$2:$AQ$201,1,$G$2:$G$201,G57,$AM$2:$AM$201,"&lt;"&amp;AM57)=0,1,0),0)</f>
        <v/>
      </c>
      <c r="AS57" s="17">
        <f>IF(AND(AN57=1,N57="Y",ISNUMBER(R57)),IF(R57&gt;=Config!$B$14,1,0),0)</f>
        <v/>
      </c>
      <c r="AT57" s="17">
        <f>IF(AS57=1,IF(COUNTIFS($A$2:$A$201,$A57,$AS$2:$AS$201,1,$G$2:$G$201,"&lt;"&amp;G57)+COUNTIFS($A$2:$A$201,$A57,$AS$2:$AS$201,1,$G$2:$G$201,G57,$AM$2:$AM$201,"&lt;"&amp;AM57)=0,1,0),0)</f>
        <v/>
      </c>
      <c r="AU57" s="17">
        <f>IF(AND(AN57=1,N57&lt;&gt;"Y",MAX(N(R57),N(V57))&gt;=Config!$B$14),1,0)</f>
        <v/>
      </c>
      <c r="AV57" s="17">
        <f>IF(AU57=1,IF(COUNTIFS($A$2:$A$201,$A57,$AU$2:$AU$201,1,$G$2:$G$201,"&lt;"&amp;G57)+COUNTIFS($A$2:$A$201,$A57,$AU$2:$AU$201,1,$G$2:$G$201,G57,$AM$2:$AM$201,"&lt;"&amp;AM57)=0,1,0),0)</f>
        <v/>
      </c>
      <c r="AW57" s="17">
        <f>IF(AND(AN57=1,ISNUMBER(R57)),1,0)</f>
        <v/>
      </c>
      <c r="AX57" s="17">
        <f>IF(AW57=1,IF(COUNTIFS($A$2:$A$201,$A57,$AW$2:$AW$201,1,$G$2:$G$201,"&lt;"&amp;G57)+COUNTIFS($A$2:$A$201,$A57,$AW$2:$AW$201,1,$G$2:$G$201,G57,$AM$2:$AM$201,"&lt;"&amp;AM57)=0,1,0),0)</f>
        <v/>
      </c>
      <c r="AY57" s="17">
        <f>IF(AND(AX57=1,G57&lt;=Config!$B$6),R57,"")</f>
        <v/>
      </c>
      <c r="AZ57" s="17">
        <f>IF(AND(AX57=1,G57&lt;=Config!$B$7),R57,"")</f>
        <v/>
      </c>
      <c r="BA57" s="17">
        <f>IF(AND(AX57=1,G57&lt;=Config!$B$8),R57,"")</f>
        <v/>
      </c>
      <c r="BB57" s="17">
        <f>IF(AND(AX57=1,G57&lt;=Config!$B$5),R57,"")</f>
        <v/>
      </c>
      <c r="BC57" s="17">
        <f>IF(AND(AN57=1,ISNUMBER(V57)),1,0)</f>
        <v/>
      </c>
      <c r="BD57" s="17">
        <f>IF(BC57=1,IF(COUNTIFS($A$2:$A$201,$A57,$BC$2:$BC$201,1,$G$2:$G$201,"&lt;"&amp;G57)+COUNTIFS($A$2:$A$201,$A57,$BC$2:$BC$201,1,$G$2:$G$201,G57,$AM$2:$AM$201,"&lt;"&amp;AM57)=0,1,0),0)</f>
        <v/>
      </c>
      <c r="BE57" s="17">
        <f>IF(AND(BD57=1,G57&lt;=Config!$B$6),V57,"")</f>
        <v/>
      </c>
      <c r="BF57" s="17">
        <f>IF(AND(BD57=1,G57&lt;=Config!$B$7),V57,"")</f>
        <v/>
      </c>
      <c r="BG57" s="17">
        <f>IF(AND(BD57=1,G57&lt;=Config!$B$8),V57,"")</f>
        <v/>
      </c>
      <c r="BH57" s="17">
        <f>IF(AND(BD57=1,G57&lt;=Config!$B$5),V57,"")</f>
        <v/>
      </c>
      <c r="BI57" s="17">
        <f>IF(AND(AN57=1,ISNUMBER(J57)),1,0)</f>
        <v/>
      </c>
      <c r="BJ57" s="17">
        <f>IF(BI57=1,IF(COUNTIFS($A$2:$A$201,$A57,$BI$2:$BI$201,1,$G$2:$G$201,"&lt;"&amp;G57)+COUNTIFS($A$2:$A$201,$A57,$BI$2:$BI$201,1,$G$2:$G$201,G57,$AM$2:$AM$201,"&lt;"&amp;AM57)=0,1,0),0)</f>
        <v/>
      </c>
      <c r="BK57" s="17">
        <f>IF(AND(BJ57=1,G57&lt;=Config!$B$5),J57,"")</f>
        <v/>
      </c>
      <c r="BL57" s="17">
        <f>IF(AND(AN57=1,OR(AND(ISNUMBER(R57),TRIM(S57)=""),AND(ISNUMBER(V57),TRIM(W57)=""))),1,0)</f>
        <v/>
      </c>
      <c r="BM57" s="17">
        <f>IF(AN57=1,AB57&amp;"","")</f>
        <v/>
      </c>
      <c r="BN57" s="17">
        <f>IF(AN57=1,AC57&amp;"","")</f>
        <v/>
      </c>
      <c r="BO57" s="17">
        <f>IF(AN57=1,AD57&amp;"","")</f>
        <v/>
      </c>
      <c r="BP57" s="17">
        <f>IF(AND(AN57=1,ISNUMBER(AI57),G57&lt;=Config!$B$5),AI57,"")</f>
        <v/>
      </c>
      <c r="BQ57" s="17">
        <f>IF(AN57=1,IF(COUNTIFS($A$2:$A$201,$A57,$AF$2:$AF$201,"Y",$AN$2:$AN$201,1)&gt;0,"Y","N"),"")</f>
        <v/>
      </c>
      <c r="BR57" s="17">
        <f>IF(AND(AN57=1,AF57="Y"),IF(COUNTIFS($A$2:$A$201,$A57,$AF$2:$AF$201,"Y",$AN$2:$AN$201,1,$G$2:$G$201,"&lt;"&amp;G57)+COUNTIFS($A$2:$A$201,$A57,$AF$2:$AF$201,"Y",$AN$2:$AN$201,1,$G$2:$G$201,G57,$AM$2:$AM$201,"&lt;"&amp;AM57)=0,1,0),0)</f>
        <v/>
      </c>
      <c r="BS57" s="17">
        <f>IF(AN57=1,IFERROR(MATCH($A57,INDEX(Clay_Brands!$A$2:$FZ$601,0,Sync!$D$5),0),""),"")</f>
        <v/>
      </c>
      <c r="BT57" s="17">
        <f>IF(BS57="","",IFERROR(INDEX(Clay_Brands!$A$2:$FZ$601,BS57,Sync!$D$7)&amp;"",""))</f>
        <v/>
      </c>
      <c r="BU57" s="17">
        <f>IF(BT57="","",IFERROR(INDEX(Lists!$J$2:$J$15,MATCH(BT57,Lists!$I$2:$I$15,0)),""))</f>
        <v/>
      </c>
      <c r="BV57" s="17">
        <f>IF(BS57="","",IFERROR(INDEX(Clay_Brands!$A$2:$FZ$601,BS57,Sync!$D$17)&amp;"",""))</f>
        <v/>
      </c>
      <c r="BW57" s="23">
        <f>IF(BS57="","",IFERROR(N(INDEX(Clay_Brands!$A$2:$FZ$601,BS57,Sync!$D$16)),0))</f>
        <v/>
      </c>
    </row>
    <row r="58">
      <c r="G58" s="22" t="n"/>
      <c r="AL58" s="17">
        <f>IF(TRIM($A58)="","",IF(AND(LEFT($A58,6)="SAMPLE",Config!$B$19&lt;&gt;"Y"),"",IF(NOT(ISNUMBER(G58)),"call_date is blank or not a date",IF(Sync!$D$5="","Clay paste is empty or has no row_id column: paste the Clay export on Clay_Brands",IF(BS58="","row_id not found in the Clay paste: add the Clay row or fix the row_id",IF(AND(ISNUMBER(BU58),BU58&gt;=1,BU58&lt;=5),"Clay status is "&amp;BT58&amp;": set call_done or later",IF(AND(AP58=1,BV58&lt;&gt;BQ58),"Clay yes_in_principle should be "&amp;BQ58,IF(AND(AP58=1,BW58&lt;&gt;G58),"Clay call_date should be "&amp;TEXT(G58,"yyyy-mm-dd"),""))))))))</f>
        <v/>
      </c>
      <c r="AM58" s="17">
        <f>ROW()</f>
        <v/>
      </c>
      <c r="AN58" s="17">
        <f>IF(AND(TRIM($A58)&lt;&gt;"",ISNUMBER(G58)),IF(AND(LEFT($A58,6)="SAMPLE",Config!$B$19&lt;&gt;"Y"),0,1),0)</f>
        <v/>
      </c>
      <c r="AO58" s="17">
        <f>IF(AN58=1,IF(COUNTIFS($A$2:$A$201,$A58,$AN$2:$AN$201,1,$G$2:$G$201,"&lt;"&amp;G58)+COUNTIFS($A$2:$A$201,$A58,$AN$2:$AN$201,1,$G$2:$G$201,G58,$AM$2:$AM$201,"&lt;"&amp;AM58)=0,1,0),0)</f>
        <v/>
      </c>
      <c r="AP58" s="17">
        <f>IF(AN58=1,IF(COUNTIFS($A$2:$A$201,$A58,$AN$2:$AN$201,1,$G$2:$G$201,"&gt;"&amp;G58)+COUNTIFS($A$2:$A$201,$A58,$AN$2:$AN$201,1,$G$2:$G$201,G58,$AM$2:$AM$201,"&gt;"&amp;AM58)=0,1,0),0)</f>
        <v/>
      </c>
      <c r="AQ58" s="17">
        <f>IF(AND(AN58=1,N58="Y",MAX(N(R58),N(V58))&gt;=Config!$B$14),1,0)</f>
        <v/>
      </c>
      <c r="AR58" s="17">
        <f>IF(AQ58=1,IF(COUNTIFS($A$2:$A$201,$A58,$AQ$2:$AQ$201,1,$G$2:$G$201,"&lt;"&amp;G58)+COUNTIFS($A$2:$A$201,$A58,$AQ$2:$AQ$201,1,$G$2:$G$201,G58,$AM$2:$AM$201,"&lt;"&amp;AM58)=0,1,0),0)</f>
        <v/>
      </c>
      <c r="AS58" s="17">
        <f>IF(AND(AN58=1,N58="Y",ISNUMBER(R58)),IF(R58&gt;=Config!$B$14,1,0),0)</f>
        <v/>
      </c>
      <c r="AT58" s="17">
        <f>IF(AS58=1,IF(COUNTIFS($A$2:$A$201,$A58,$AS$2:$AS$201,1,$G$2:$G$201,"&lt;"&amp;G58)+COUNTIFS($A$2:$A$201,$A58,$AS$2:$AS$201,1,$G$2:$G$201,G58,$AM$2:$AM$201,"&lt;"&amp;AM58)=0,1,0),0)</f>
        <v/>
      </c>
      <c r="AU58" s="17">
        <f>IF(AND(AN58=1,N58&lt;&gt;"Y",MAX(N(R58),N(V58))&gt;=Config!$B$14),1,0)</f>
        <v/>
      </c>
      <c r="AV58" s="17">
        <f>IF(AU58=1,IF(COUNTIFS($A$2:$A$201,$A58,$AU$2:$AU$201,1,$G$2:$G$201,"&lt;"&amp;G58)+COUNTIFS($A$2:$A$201,$A58,$AU$2:$AU$201,1,$G$2:$G$201,G58,$AM$2:$AM$201,"&lt;"&amp;AM58)=0,1,0),0)</f>
        <v/>
      </c>
      <c r="AW58" s="17">
        <f>IF(AND(AN58=1,ISNUMBER(R58)),1,0)</f>
        <v/>
      </c>
      <c r="AX58" s="17">
        <f>IF(AW58=1,IF(COUNTIFS($A$2:$A$201,$A58,$AW$2:$AW$201,1,$G$2:$G$201,"&lt;"&amp;G58)+COUNTIFS($A$2:$A$201,$A58,$AW$2:$AW$201,1,$G$2:$G$201,G58,$AM$2:$AM$201,"&lt;"&amp;AM58)=0,1,0),0)</f>
        <v/>
      </c>
      <c r="AY58" s="17">
        <f>IF(AND(AX58=1,G58&lt;=Config!$B$6),R58,"")</f>
        <v/>
      </c>
      <c r="AZ58" s="17">
        <f>IF(AND(AX58=1,G58&lt;=Config!$B$7),R58,"")</f>
        <v/>
      </c>
      <c r="BA58" s="17">
        <f>IF(AND(AX58=1,G58&lt;=Config!$B$8),R58,"")</f>
        <v/>
      </c>
      <c r="BB58" s="17">
        <f>IF(AND(AX58=1,G58&lt;=Config!$B$5),R58,"")</f>
        <v/>
      </c>
      <c r="BC58" s="17">
        <f>IF(AND(AN58=1,ISNUMBER(V58)),1,0)</f>
        <v/>
      </c>
      <c r="BD58" s="17">
        <f>IF(BC58=1,IF(COUNTIFS($A$2:$A$201,$A58,$BC$2:$BC$201,1,$G$2:$G$201,"&lt;"&amp;G58)+COUNTIFS($A$2:$A$201,$A58,$BC$2:$BC$201,1,$G$2:$G$201,G58,$AM$2:$AM$201,"&lt;"&amp;AM58)=0,1,0),0)</f>
        <v/>
      </c>
      <c r="BE58" s="17">
        <f>IF(AND(BD58=1,G58&lt;=Config!$B$6),V58,"")</f>
        <v/>
      </c>
      <c r="BF58" s="17">
        <f>IF(AND(BD58=1,G58&lt;=Config!$B$7),V58,"")</f>
        <v/>
      </c>
      <c r="BG58" s="17">
        <f>IF(AND(BD58=1,G58&lt;=Config!$B$8),V58,"")</f>
        <v/>
      </c>
      <c r="BH58" s="17">
        <f>IF(AND(BD58=1,G58&lt;=Config!$B$5),V58,"")</f>
        <v/>
      </c>
      <c r="BI58" s="17">
        <f>IF(AND(AN58=1,ISNUMBER(J58)),1,0)</f>
        <v/>
      </c>
      <c r="BJ58" s="17">
        <f>IF(BI58=1,IF(COUNTIFS($A$2:$A$201,$A58,$BI$2:$BI$201,1,$G$2:$G$201,"&lt;"&amp;G58)+COUNTIFS($A$2:$A$201,$A58,$BI$2:$BI$201,1,$G$2:$G$201,G58,$AM$2:$AM$201,"&lt;"&amp;AM58)=0,1,0),0)</f>
        <v/>
      </c>
      <c r="BK58" s="17">
        <f>IF(AND(BJ58=1,G58&lt;=Config!$B$5),J58,"")</f>
        <v/>
      </c>
      <c r="BL58" s="17">
        <f>IF(AND(AN58=1,OR(AND(ISNUMBER(R58),TRIM(S58)=""),AND(ISNUMBER(V58),TRIM(W58)=""))),1,0)</f>
        <v/>
      </c>
      <c r="BM58" s="17">
        <f>IF(AN58=1,AB58&amp;"","")</f>
        <v/>
      </c>
      <c r="BN58" s="17">
        <f>IF(AN58=1,AC58&amp;"","")</f>
        <v/>
      </c>
      <c r="BO58" s="17">
        <f>IF(AN58=1,AD58&amp;"","")</f>
        <v/>
      </c>
      <c r="BP58" s="17">
        <f>IF(AND(AN58=1,ISNUMBER(AI58),G58&lt;=Config!$B$5),AI58,"")</f>
        <v/>
      </c>
      <c r="BQ58" s="17">
        <f>IF(AN58=1,IF(COUNTIFS($A$2:$A$201,$A58,$AF$2:$AF$201,"Y",$AN$2:$AN$201,1)&gt;0,"Y","N"),"")</f>
        <v/>
      </c>
      <c r="BR58" s="17">
        <f>IF(AND(AN58=1,AF58="Y"),IF(COUNTIFS($A$2:$A$201,$A58,$AF$2:$AF$201,"Y",$AN$2:$AN$201,1,$G$2:$G$201,"&lt;"&amp;G58)+COUNTIFS($A$2:$A$201,$A58,$AF$2:$AF$201,"Y",$AN$2:$AN$201,1,$G$2:$G$201,G58,$AM$2:$AM$201,"&lt;"&amp;AM58)=0,1,0),0)</f>
        <v/>
      </c>
      <c r="BS58" s="17">
        <f>IF(AN58=1,IFERROR(MATCH($A58,INDEX(Clay_Brands!$A$2:$FZ$601,0,Sync!$D$5),0),""),"")</f>
        <v/>
      </c>
      <c r="BT58" s="17">
        <f>IF(BS58="","",IFERROR(INDEX(Clay_Brands!$A$2:$FZ$601,BS58,Sync!$D$7)&amp;"",""))</f>
        <v/>
      </c>
      <c r="BU58" s="17">
        <f>IF(BT58="","",IFERROR(INDEX(Lists!$J$2:$J$15,MATCH(BT58,Lists!$I$2:$I$15,0)),""))</f>
        <v/>
      </c>
      <c r="BV58" s="17">
        <f>IF(BS58="","",IFERROR(INDEX(Clay_Brands!$A$2:$FZ$601,BS58,Sync!$D$17)&amp;"",""))</f>
        <v/>
      </c>
      <c r="BW58" s="23">
        <f>IF(BS58="","",IFERROR(N(INDEX(Clay_Brands!$A$2:$FZ$601,BS58,Sync!$D$16)),0))</f>
        <v/>
      </c>
    </row>
    <row r="59">
      <c r="G59" s="22" t="n"/>
      <c r="AL59" s="17">
        <f>IF(TRIM($A59)="","",IF(AND(LEFT($A59,6)="SAMPLE",Config!$B$19&lt;&gt;"Y"),"",IF(NOT(ISNUMBER(G59)),"call_date is blank or not a date",IF(Sync!$D$5="","Clay paste is empty or has no row_id column: paste the Clay export on Clay_Brands",IF(BS59="","row_id not found in the Clay paste: add the Clay row or fix the row_id",IF(AND(ISNUMBER(BU59),BU59&gt;=1,BU59&lt;=5),"Clay status is "&amp;BT59&amp;": set call_done or later",IF(AND(AP59=1,BV59&lt;&gt;BQ59),"Clay yes_in_principle should be "&amp;BQ59,IF(AND(AP59=1,BW59&lt;&gt;G59),"Clay call_date should be "&amp;TEXT(G59,"yyyy-mm-dd"),""))))))))</f>
        <v/>
      </c>
      <c r="AM59" s="17">
        <f>ROW()</f>
        <v/>
      </c>
      <c r="AN59" s="17">
        <f>IF(AND(TRIM($A59)&lt;&gt;"",ISNUMBER(G59)),IF(AND(LEFT($A59,6)="SAMPLE",Config!$B$19&lt;&gt;"Y"),0,1),0)</f>
        <v/>
      </c>
      <c r="AO59" s="17">
        <f>IF(AN59=1,IF(COUNTIFS($A$2:$A$201,$A59,$AN$2:$AN$201,1,$G$2:$G$201,"&lt;"&amp;G59)+COUNTIFS($A$2:$A$201,$A59,$AN$2:$AN$201,1,$G$2:$G$201,G59,$AM$2:$AM$201,"&lt;"&amp;AM59)=0,1,0),0)</f>
        <v/>
      </c>
      <c r="AP59" s="17">
        <f>IF(AN59=1,IF(COUNTIFS($A$2:$A$201,$A59,$AN$2:$AN$201,1,$G$2:$G$201,"&gt;"&amp;G59)+COUNTIFS($A$2:$A$201,$A59,$AN$2:$AN$201,1,$G$2:$G$201,G59,$AM$2:$AM$201,"&gt;"&amp;AM59)=0,1,0),0)</f>
        <v/>
      </c>
      <c r="AQ59" s="17">
        <f>IF(AND(AN59=1,N59="Y",MAX(N(R59),N(V59))&gt;=Config!$B$14),1,0)</f>
        <v/>
      </c>
      <c r="AR59" s="17">
        <f>IF(AQ59=1,IF(COUNTIFS($A$2:$A$201,$A59,$AQ$2:$AQ$201,1,$G$2:$G$201,"&lt;"&amp;G59)+COUNTIFS($A$2:$A$201,$A59,$AQ$2:$AQ$201,1,$G$2:$G$201,G59,$AM$2:$AM$201,"&lt;"&amp;AM59)=0,1,0),0)</f>
        <v/>
      </c>
      <c r="AS59" s="17">
        <f>IF(AND(AN59=1,N59="Y",ISNUMBER(R59)),IF(R59&gt;=Config!$B$14,1,0),0)</f>
        <v/>
      </c>
      <c r="AT59" s="17">
        <f>IF(AS59=1,IF(COUNTIFS($A$2:$A$201,$A59,$AS$2:$AS$201,1,$G$2:$G$201,"&lt;"&amp;G59)+COUNTIFS($A$2:$A$201,$A59,$AS$2:$AS$201,1,$G$2:$G$201,G59,$AM$2:$AM$201,"&lt;"&amp;AM59)=0,1,0),0)</f>
        <v/>
      </c>
      <c r="AU59" s="17">
        <f>IF(AND(AN59=1,N59&lt;&gt;"Y",MAX(N(R59),N(V59))&gt;=Config!$B$14),1,0)</f>
        <v/>
      </c>
      <c r="AV59" s="17">
        <f>IF(AU59=1,IF(COUNTIFS($A$2:$A$201,$A59,$AU$2:$AU$201,1,$G$2:$G$201,"&lt;"&amp;G59)+COUNTIFS($A$2:$A$201,$A59,$AU$2:$AU$201,1,$G$2:$G$201,G59,$AM$2:$AM$201,"&lt;"&amp;AM59)=0,1,0),0)</f>
        <v/>
      </c>
      <c r="AW59" s="17">
        <f>IF(AND(AN59=1,ISNUMBER(R59)),1,0)</f>
        <v/>
      </c>
      <c r="AX59" s="17">
        <f>IF(AW59=1,IF(COUNTIFS($A$2:$A$201,$A59,$AW$2:$AW$201,1,$G$2:$G$201,"&lt;"&amp;G59)+COUNTIFS($A$2:$A$201,$A59,$AW$2:$AW$201,1,$G$2:$G$201,G59,$AM$2:$AM$201,"&lt;"&amp;AM59)=0,1,0),0)</f>
        <v/>
      </c>
      <c r="AY59" s="17">
        <f>IF(AND(AX59=1,G59&lt;=Config!$B$6),R59,"")</f>
        <v/>
      </c>
      <c r="AZ59" s="17">
        <f>IF(AND(AX59=1,G59&lt;=Config!$B$7),R59,"")</f>
        <v/>
      </c>
      <c r="BA59" s="17">
        <f>IF(AND(AX59=1,G59&lt;=Config!$B$8),R59,"")</f>
        <v/>
      </c>
      <c r="BB59" s="17">
        <f>IF(AND(AX59=1,G59&lt;=Config!$B$5),R59,"")</f>
        <v/>
      </c>
      <c r="BC59" s="17">
        <f>IF(AND(AN59=1,ISNUMBER(V59)),1,0)</f>
        <v/>
      </c>
      <c r="BD59" s="17">
        <f>IF(BC59=1,IF(COUNTIFS($A$2:$A$201,$A59,$BC$2:$BC$201,1,$G$2:$G$201,"&lt;"&amp;G59)+COUNTIFS($A$2:$A$201,$A59,$BC$2:$BC$201,1,$G$2:$G$201,G59,$AM$2:$AM$201,"&lt;"&amp;AM59)=0,1,0),0)</f>
        <v/>
      </c>
      <c r="BE59" s="17">
        <f>IF(AND(BD59=1,G59&lt;=Config!$B$6),V59,"")</f>
        <v/>
      </c>
      <c r="BF59" s="17">
        <f>IF(AND(BD59=1,G59&lt;=Config!$B$7),V59,"")</f>
        <v/>
      </c>
      <c r="BG59" s="17">
        <f>IF(AND(BD59=1,G59&lt;=Config!$B$8),V59,"")</f>
        <v/>
      </c>
      <c r="BH59" s="17">
        <f>IF(AND(BD59=1,G59&lt;=Config!$B$5),V59,"")</f>
        <v/>
      </c>
      <c r="BI59" s="17">
        <f>IF(AND(AN59=1,ISNUMBER(J59)),1,0)</f>
        <v/>
      </c>
      <c r="BJ59" s="17">
        <f>IF(BI59=1,IF(COUNTIFS($A$2:$A$201,$A59,$BI$2:$BI$201,1,$G$2:$G$201,"&lt;"&amp;G59)+COUNTIFS($A$2:$A$201,$A59,$BI$2:$BI$201,1,$G$2:$G$201,G59,$AM$2:$AM$201,"&lt;"&amp;AM59)=0,1,0),0)</f>
        <v/>
      </c>
      <c r="BK59" s="17">
        <f>IF(AND(BJ59=1,G59&lt;=Config!$B$5),J59,"")</f>
        <v/>
      </c>
      <c r="BL59" s="17">
        <f>IF(AND(AN59=1,OR(AND(ISNUMBER(R59),TRIM(S59)=""),AND(ISNUMBER(V59),TRIM(W59)=""))),1,0)</f>
        <v/>
      </c>
      <c r="BM59" s="17">
        <f>IF(AN59=1,AB59&amp;"","")</f>
        <v/>
      </c>
      <c r="BN59" s="17">
        <f>IF(AN59=1,AC59&amp;"","")</f>
        <v/>
      </c>
      <c r="BO59" s="17">
        <f>IF(AN59=1,AD59&amp;"","")</f>
        <v/>
      </c>
      <c r="BP59" s="17">
        <f>IF(AND(AN59=1,ISNUMBER(AI59),G59&lt;=Config!$B$5),AI59,"")</f>
        <v/>
      </c>
      <c r="BQ59" s="17">
        <f>IF(AN59=1,IF(COUNTIFS($A$2:$A$201,$A59,$AF$2:$AF$201,"Y",$AN$2:$AN$201,1)&gt;0,"Y","N"),"")</f>
        <v/>
      </c>
      <c r="BR59" s="17">
        <f>IF(AND(AN59=1,AF59="Y"),IF(COUNTIFS($A$2:$A$201,$A59,$AF$2:$AF$201,"Y",$AN$2:$AN$201,1,$G$2:$G$201,"&lt;"&amp;G59)+COUNTIFS($A$2:$A$201,$A59,$AF$2:$AF$201,"Y",$AN$2:$AN$201,1,$G$2:$G$201,G59,$AM$2:$AM$201,"&lt;"&amp;AM59)=0,1,0),0)</f>
        <v/>
      </c>
      <c r="BS59" s="17">
        <f>IF(AN59=1,IFERROR(MATCH($A59,INDEX(Clay_Brands!$A$2:$FZ$601,0,Sync!$D$5),0),""),"")</f>
        <v/>
      </c>
      <c r="BT59" s="17">
        <f>IF(BS59="","",IFERROR(INDEX(Clay_Brands!$A$2:$FZ$601,BS59,Sync!$D$7)&amp;"",""))</f>
        <v/>
      </c>
      <c r="BU59" s="17">
        <f>IF(BT59="","",IFERROR(INDEX(Lists!$J$2:$J$15,MATCH(BT59,Lists!$I$2:$I$15,0)),""))</f>
        <v/>
      </c>
      <c r="BV59" s="17">
        <f>IF(BS59="","",IFERROR(INDEX(Clay_Brands!$A$2:$FZ$601,BS59,Sync!$D$17)&amp;"",""))</f>
        <v/>
      </c>
      <c r="BW59" s="23">
        <f>IF(BS59="","",IFERROR(N(INDEX(Clay_Brands!$A$2:$FZ$601,BS59,Sync!$D$16)),0))</f>
        <v/>
      </c>
    </row>
    <row r="60">
      <c r="G60" s="22" t="n"/>
      <c r="AL60" s="17">
        <f>IF(TRIM($A60)="","",IF(AND(LEFT($A60,6)="SAMPLE",Config!$B$19&lt;&gt;"Y"),"",IF(NOT(ISNUMBER(G60)),"call_date is blank or not a date",IF(Sync!$D$5="","Clay paste is empty or has no row_id column: paste the Clay export on Clay_Brands",IF(BS60="","row_id not found in the Clay paste: add the Clay row or fix the row_id",IF(AND(ISNUMBER(BU60),BU60&gt;=1,BU60&lt;=5),"Clay status is "&amp;BT60&amp;": set call_done or later",IF(AND(AP60=1,BV60&lt;&gt;BQ60),"Clay yes_in_principle should be "&amp;BQ60,IF(AND(AP60=1,BW60&lt;&gt;G60),"Clay call_date should be "&amp;TEXT(G60,"yyyy-mm-dd"),""))))))))</f>
        <v/>
      </c>
      <c r="AM60" s="17">
        <f>ROW()</f>
        <v/>
      </c>
      <c r="AN60" s="17">
        <f>IF(AND(TRIM($A60)&lt;&gt;"",ISNUMBER(G60)),IF(AND(LEFT($A60,6)="SAMPLE",Config!$B$19&lt;&gt;"Y"),0,1),0)</f>
        <v/>
      </c>
      <c r="AO60" s="17">
        <f>IF(AN60=1,IF(COUNTIFS($A$2:$A$201,$A60,$AN$2:$AN$201,1,$G$2:$G$201,"&lt;"&amp;G60)+COUNTIFS($A$2:$A$201,$A60,$AN$2:$AN$201,1,$G$2:$G$201,G60,$AM$2:$AM$201,"&lt;"&amp;AM60)=0,1,0),0)</f>
        <v/>
      </c>
      <c r="AP60" s="17">
        <f>IF(AN60=1,IF(COUNTIFS($A$2:$A$201,$A60,$AN$2:$AN$201,1,$G$2:$G$201,"&gt;"&amp;G60)+COUNTIFS($A$2:$A$201,$A60,$AN$2:$AN$201,1,$G$2:$G$201,G60,$AM$2:$AM$201,"&gt;"&amp;AM60)=0,1,0),0)</f>
        <v/>
      </c>
      <c r="AQ60" s="17">
        <f>IF(AND(AN60=1,N60="Y",MAX(N(R60),N(V60))&gt;=Config!$B$14),1,0)</f>
        <v/>
      </c>
      <c r="AR60" s="17">
        <f>IF(AQ60=1,IF(COUNTIFS($A$2:$A$201,$A60,$AQ$2:$AQ$201,1,$G$2:$G$201,"&lt;"&amp;G60)+COUNTIFS($A$2:$A$201,$A60,$AQ$2:$AQ$201,1,$G$2:$G$201,G60,$AM$2:$AM$201,"&lt;"&amp;AM60)=0,1,0),0)</f>
        <v/>
      </c>
      <c r="AS60" s="17">
        <f>IF(AND(AN60=1,N60="Y",ISNUMBER(R60)),IF(R60&gt;=Config!$B$14,1,0),0)</f>
        <v/>
      </c>
      <c r="AT60" s="17">
        <f>IF(AS60=1,IF(COUNTIFS($A$2:$A$201,$A60,$AS$2:$AS$201,1,$G$2:$G$201,"&lt;"&amp;G60)+COUNTIFS($A$2:$A$201,$A60,$AS$2:$AS$201,1,$G$2:$G$201,G60,$AM$2:$AM$201,"&lt;"&amp;AM60)=0,1,0),0)</f>
        <v/>
      </c>
      <c r="AU60" s="17">
        <f>IF(AND(AN60=1,N60&lt;&gt;"Y",MAX(N(R60),N(V60))&gt;=Config!$B$14),1,0)</f>
        <v/>
      </c>
      <c r="AV60" s="17">
        <f>IF(AU60=1,IF(COUNTIFS($A$2:$A$201,$A60,$AU$2:$AU$201,1,$G$2:$G$201,"&lt;"&amp;G60)+COUNTIFS($A$2:$A$201,$A60,$AU$2:$AU$201,1,$G$2:$G$201,G60,$AM$2:$AM$201,"&lt;"&amp;AM60)=0,1,0),0)</f>
        <v/>
      </c>
      <c r="AW60" s="17">
        <f>IF(AND(AN60=1,ISNUMBER(R60)),1,0)</f>
        <v/>
      </c>
      <c r="AX60" s="17">
        <f>IF(AW60=1,IF(COUNTIFS($A$2:$A$201,$A60,$AW$2:$AW$201,1,$G$2:$G$201,"&lt;"&amp;G60)+COUNTIFS($A$2:$A$201,$A60,$AW$2:$AW$201,1,$G$2:$G$201,G60,$AM$2:$AM$201,"&lt;"&amp;AM60)=0,1,0),0)</f>
        <v/>
      </c>
      <c r="AY60" s="17">
        <f>IF(AND(AX60=1,G60&lt;=Config!$B$6),R60,"")</f>
        <v/>
      </c>
      <c r="AZ60" s="17">
        <f>IF(AND(AX60=1,G60&lt;=Config!$B$7),R60,"")</f>
        <v/>
      </c>
      <c r="BA60" s="17">
        <f>IF(AND(AX60=1,G60&lt;=Config!$B$8),R60,"")</f>
        <v/>
      </c>
      <c r="BB60" s="17">
        <f>IF(AND(AX60=1,G60&lt;=Config!$B$5),R60,"")</f>
        <v/>
      </c>
      <c r="BC60" s="17">
        <f>IF(AND(AN60=1,ISNUMBER(V60)),1,0)</f>
        <v/>
      </c>
      <c r="BD60" s="17">
        <f>IF(BC60=1,IF(COUNTIFS($A$2:$A$201,$A60,$BC$2:$BC$201,1,$G$2:$G$201,"&lt;"&amp;G60)+COUNTIFS($A$2:$A$201,$A60,$BC$2:$BC$201,1,$G$2:$G$201,G60,$AM$2:$AM$201,"&lt;"&amp;AM60)=0,1,0),0)</f>
        <v/>
      </c>
      <c r="BE60" s="17">
        <f>IF(AND(BD60=1,G60&lt;=Config!$B$6),V60,"")</f>
        <v/>
      </c>
      <c r="BF60" s="17">
        <f>IF(AND(BD60=1,G60&lt;=Config!$B$7),V60,"")</f>
        <v/>
      </c>
      <c r="BG60" s="17">
        <f>IF(AND(BD60=1,G60&lt;=Config!$B$8),V60,"")</f>
        <v/>
      </c>
      <c r="BH60" s="17">
        <f>IF(AND(BD60=1,G60&lt;=Config!$B$5),V60,"")</f>
        <v/>
      </c>
      <c r="BI60" s="17">
        <f>IF(AND(AN60=1,ISNUMBER(J60)),1,0)</f>
        <v/>
      </c>
      <c r="BJ60" s="17">
        <f>IF(BI60=1,IF(COUNTIFS($A$2:$A$201,$A60,$BI$2:$BI$201,1,$G$2:$G$201,"&lt;"&amp;G60)+COUNTIFS($A$2:$A$201,$A60,$BI$2:$BI$201,1,$G$2:$G$201,G60,$AM$2:$AM$201,"&lt;"&amp;AM60)=0,1,0),0)</f>
        <v/>
      </c>
      <c r="BK60" s="17">
        <f>IF(AND(BJ60=1,G60&lt;=Config!$B$5),J60,"")</f>
        <v/>
      </c>
      <c r="BL60" s="17">
        <f>IF(AND(AN60=1,OR(AND(ISNUMBER(R60),TRIM(S60)=""),AND(ISNUMBER(V60),TRIM(W60)=""))),1,0)</f>
        <v/>
      </c>
      <c r="BM60" s="17">
        <f>IF(AN60=1,AB60&amp;"","")</f>
        <v/>
      </c>
      <c r="BN60" s="17">
        <f>IF(AN60=1,AC60&amp;"","")</f>
        <v/>
      </c>
      <c r="BO60" s="17">
        <f>IF(AN60=1,AD60&amp;"","")</f>
        <v/>
      </c>
      <c r="BP60" s="17">
        <f>IF(AND(AN60=1,ISNUMBER(AI60),G60&lt;=Config!$B$5),AI60,"")</f>
        <v/>
      </c>
      <c r="BQ60" s="17">
        <f>IF(AN60=1,IF(COUNTIFS($A$2:$A$201,$A60,$AF$2:$AF$201,"Y",$AN$2:$AN$201,1)&gt;0,"Y","N"),"")</f>
        <v/>
      </c>
      <c r="BR60" s="17">
        <f>IF(AND(AN60=1,AF60="Y"),IF(COUNTIFS($A$2:$A$201,$A60,$AF$2:$AF$201,"Y",$AN$2:$AN$201,1,$G$2:$G$201,"&lt;"&amp;G60)+COUNTIFS($A$2:$A$201,$A60,$AF$2:$AF$201,"Y",$AN$2:$AN$201,1,$G$2:$G$201,G60,$AM$2:$AM$201,"&lt;"&amp;AM60)=0,1,0),0)</f>
        <v/>
      </c>
      <c r="BS60" s="17">
        <f>IF(AN60=1,IFERROR(MATCH($A60,INDEX(Clay_Brands!$A$2:$FZ$601,0,Sync!$D$5),0),""),"")</f>
        <v/>
      </c>
      <c r="BT60" s="17">
        <f>IF(BS60="","",IFERROR(INDEX(Clay_Brands!$A$2:$FZ$601,BS60,Sync!$D$7)&amp;"",""))</f>
        <v/>
      </c>
      <c r="BU60" s="17">
        <f>IF(BT60="","",IFERROR(INDEX(Lists!$J$2:$J$15,MATCH(BT60,Lists!$I$2:$I$15,0)),""))</f>
        <v/>
      </c>
      <c r="BV60" s="17">
        <f>IF(BS60="","",IFERROR(INDEX(Clay_Brands!$A$2:$FZ$601,BS60,Sync!$D$17)&amp;"",""))</f>
        <v/>
      </c>
      <c r="BW60" s="23">
        <f>IF(BS60="","",IFERROR(N(INDEX(Clay_Brands!$A$2:$FZ$601,BS60,Sync!$D$16)),0))</f>
        <v/>
      </c>
    </row>
    <row r="61">
      <c r="G61" s="22" t="n"/>
      <c r="AL61" s="17">
        <f>IF(TRIM($A61)="","",IF(AND(LEFT($A61,6)="SAMPLE",Config!$B$19&lt;&gt;"Y"),"",IF(NOT(ISNUMBER(G61)),"call_date is blank or not a date",IF(Sync!$D$5="","Clay paste is empty or has no row_id column: paste the Clay export on Clay_Brands",IF(BS61="","row_id not found in the Clay paste: add the Clay row or fix the row_id",IF(AND(ISNUMBER(BU61),BU61&gt;=1,BU61&lt;=5),"Clay status is "&amp;BT61&amp;": set call_done or later",IF(AND(AP61=1,BV61&lt;&gt;BQ61),"Clay yes_in_principle should be "&amp;BQ61,IF(AND(AP61=1,BW61&lt;&gt;G61),"Clay call_date should be "&amp;TEXT(G61,"yyyy-mm-dd"),""))))))))</f>
        <v/>
      </c>
      <c r="AM61" s="17">
        <f>ROW()</f>
        <v/>
      </c>
      <c r="AN61" s="17">
        <f>IF(AND(TRIM($A61)&lt;&gt;"",ISNUMBER(G61)),IF(AND(LEFT($A61,6)="SAMPLE",Config!$B$19&lt;&gt;"Y"),0,1),0)</f>
        <v/>
      </c>
      <c r="AO61" s="17">
        <f>IF(AN61=1,IF(COUNTIFS($A$2:$A$201,$A61,$AN$2:$AN$201,1,$G$2:$G$201,"&lt;"&amp;G61)+COUNTIFS($A$2:$A$201,$A61,$AN$2:$AN$201,1,$G$2:$G$201,G61,$AM$2:$AM$201,"&lt;"&amp;AM61)=0,1,0),0)</f>
        <v/>
      </c>
      <c r="AP61" s="17">
        <f>IF(AN61=1,IF(COUNTIFS($A$2:$A$201,$A61,$AN$2:$AN$201,1,$G$2:$G$201,"&gt;"&amp;G61)+COUNTIFS($A$2:$A$201,$A61,$AN$2:$AN$201,1,$G$2:$G$201,G61,$AM$2:$AM$201,"&gt;"&amp;AM61)=0,1,0),0)</f>
        <v/>
      </c>
      <c r="AQ61" s="17">
        <f>IF(AND(AN61=1,N61="Y",MAX(N(R61),N(V61))&gt;=Config!$B$14),1,0)</f>
        <v/>
      </c>
      <c r="AR61" s="17">
        <f>IF(AQ61=1,IF(COUNTIFS($A$2:$A$201,$A61,$AQ$2:$AQ$201,1,$G$2:$G$201,"&lt;"&amp;G61)+COUNTIFS($A$2:$A$201,$A61,$AQ$2:$AQ$201,1,$G$2:$G$201,G61,$AM$2:$AM$201,"&lt;"&amp;AM61)=0,1,0),0)</f>
        <v/>
      </c>
      <c r="AS61" s="17">
        <f>IF(AND(AN61=1,N61="Y",ISNUMBER(R61)),IF(R61&gt;=Config!$B$14,1,0),0)</f>
        <v/>
      </c>
      <c r="AT61" s="17">
        <f>IF(AS61=1,IF(COUNTIFS($A$2:$A$201,$A61,$AS$2:$AS$201,1,$G$2:$G$201,"&lt;"&amp;G61)+COUNTIFS($A$2:$A$201,$A61,$AS$2:$AS$201,1,$G$2:$G$201,G61,$AM$2:$AM$201,"&lt;"&amp;AM61)=0,1,0),0)</f>
        <v/>
      </c>
      <c r="AU61" s="17">
        <f>IF(AND(AN61=1,N61&lt;&gt;"Y",MAX(N(R61),N(V61))&gt;=Config!$B$14),1,0)</f>
        <v/>
      </c>
      <c r="AV61" s="17">
        <f>IF(AU61=1,IF(COUNTIFS($A$2:$A$201,$A61,$AU$2:$AU$201,1,$G$2:$G$201,"&lt;"&amp;G61)+COUNTIFS($A$2:$A$201,$A61,$AU$2:$AU$201,1,$G$2:$G$201,G61,$AM$2:$AM$201,"&lt;"&amp;AM61)=0,1,0),0)</f>
        <v/>
      </c>
      <c r="AW61" s="17">
        <f>IF(AND(AN61=1,ISNUMBER(R61)),1,0)</f>
        <v/>
      </c>
      <c r="AX61" s="17">
        <f>IF(AW61=1,IF(COUNTIFS($A$2:$A$201,$A61,$AW$2:$AW$201,1,$G$2:$G$201,"&lt;"&amp;G61)+COUNTIFS($A$2:$A$201,$A61,$AW$2:$AW$201,1,$G$2:$G$201,G61,$AM$2:$AM$201,"&lt;"&amp;AM61)=0,1,0),0)</f>
        <v/>
      </c>
      <c r="AY61" s="17">
        <f>IF(AND(AX61=1,G61&lt;=Config!$B$6),R61,"")</f>
        <v/>
      </c>
      <c r="AZ61" s="17">
        <f>IF(AND(AX61=1,G61&lt;=Config!$B$7),R61,"")</f>
        <v/>
      </c>
      <c r="BA61" s="17">
        <f>IF(AND(AX61=1,G61&lt;=Config!$B$8),R61,"")</f>
        <v/>
      </c>
      <c r="BB61" s="17">
        <f>IF(AND(AX61=1,G61&lt;=Config!$B$5),R61,"")</f>
        <v/>
      </c>
      <c r="BC61" s="17">
        <f>IF(AND(AN61=1,ISNUMBER(V61)),1,0)</f>
        <v/>
      </c>
      <c r="BD61" s="17">
        <f>IF(BC61=1,IF(COUNTIFS($A$2:$A$201,$A61,$BC$2:$BC$201,1,$G$2:$G$201,"&lt;"&amp;G61)+COUNTIFS($A$2:$A$201,$A61,$BC$2:$BC$201,1,$G$2:$G$201,G61,$AM$2:$AM$201,"&lt;"&amp;AM61)=0,1,0),0)</f>
        <v/>
      </c>
      <c r="BE61" s="17">
        <f>IF(AND(BD61=1,G61&lt;=Config!$B$6),V61,"")</f>
        <v/>
      </c>
      <c r="BF61" s="17">
        <f>IF(AND(BD61=1,G61&lt;=Config!$B$7),V61,"")</f>
        <v/>
      </c>
      <c r="BG61" s="17">
        <f>IF(AND(BD61=1,G61&lt;=Config!$B$8),V61,"")</f>
        <v/>
      </c>
      <c r="BH61" s="17">
        <f>IF(AND(BD61=1,G61&lt;=Config!$B$5),V61,"")</f>
        <v/>
      </c>
      <c r="BI61" s="17">
        <f>IF(AND(AN61=1,ISNUMBER(J61)),1,0)</f>
        <v/>
      </c>
      <c r="BJ61" s="17">
        <f>IF(BI61=1,IF(COUNTIFS($A$2:$A$201,$A61,$BI$2:$BI$201,1,$G$2:$G$201,"&lt;"&amp;G61)+COUNTIFS($A$2:$A$201,$A61,$BI$2:$BI$201,1,$G$2:$G$201,G61,$AM$2:$AM$201,"&lt;"&amp;AM61)=0,1,0),0)</f>
        <v/>
      </c>
      <c r="BK61" s="17">
        <f>IF(AND(BJ61=1,G61&lt;=Config!$B$5),J61,"")</f>
        <v/>
      </c>
      <c r="BL61" s="17">
        <f>IF(AND(AN61=1,OR(AND(ISNUMBER(R61),TRIM(S61)=""),AND(ISNUMBER(V61),TRIM(W61)=""))),1,0)</f>
        <v/>
      </c>
      <c r="BM61" s="17">
        <f>IF(AN61=1,AB61&amp;"","")</f>
        <v/>
      </c>
      <c r="BN61" s="17">
        <f>IF(AN61=1,AC61&amp;"","")</f>
        <v/>
      </c>
      <c r="BO61" s="17">
        <f>IF(AN61=1,AD61&amp;"","")</f>
        <v/>
      </c>
      <c r="BP61" s="17">
        <f>IF(AND(AN61=1,ISNUMBER(AI61),G61&lt;=Config!$B$5),AI61,"")</f>
        <v/>
      </c>
      <c r="BQ61" s="17">
        <f>IF(AN61=1,IF(COUNTIFS($A$2:$A$201,$A61,$AF$2:$AF$201,"Y",$AN$2:$AN$201,1)&gt;0,"Y","N"),"")</f>
        <v/>
      </c>
      <c r="BR61" s="17">
        <f>IF(AND(AN61=1,AF61="Y"),IF(COUNTIFS($A$2:$A$201,$A61,$AF$2:$AF$201,"Y",$AN$2:$AN$201,1,$G$2:$G$201,"&lt;"&amp;G61)+COUNTIFS($A$2:$A$201,$A61,$AF$2:$AF$201,"Y",$AN$2:$AN$201,1,$G$2:$G$201,G61,$AM$2:$AM$201,"&lt;"&amp;AM61)=0,1,0),0)</f>
        <v/>
      </c>
      <c r="BS61" s="17">
        <f>IF(AN61=1,IFERROR(MATCH($A61,INDEX(Clay_Brands!$A$2:$FZ$601,0,Sync!$D$5),0),""),"")</f>
        <v/>
      </c>
      <c r="BT61" s="17">
        <f>IF(BS61="","",IFERROR(INDEX(Clay_Brands!$A$2:$FZ$601,BS61,Sync!$D$7)&amp;"",""))</f>
        <v/>
      </c>
      <c r="BU61" s="17">
        <f>IF(BT61="","",IFERROR(INDEX(Lists!$J$2:$J$15,MATCH(BT61,Lists!$I$2:$I$15,0)),""))</f>
        <v/>
      </c>
      <c r="BV61" s="17">
        <f>IF(BS61="","",IFERROR(INDEX(Clay_Brands!$A$2:$FZ$601,BS61,Sync!$D$17)&amp;"",""))</f>
        <v/>
      </c>
      <c r="BW61" s="23">
        <f>IF(BS61="","",IFERROR(N(INDEX(Clay_Brands!$A$2:$FZ$601,BS61,Sync!$D$16)),0))</f>
        <v/>
      </c>
    </row>
    <row r="62">
      <c r="G62" s="22" t="n"/>
      <c r="AL62" s="17">
        <f>IF(TRIM($A62)="","",IF(AND(LEFT($A62,6)="SAMPLE",Config!$B$19&lt;&gt;"Y"),"",IF(NOT(ISNUMBER(G62)),"call_date is blank or not a date",IF(Sync!$D$5="","Clay paste is empty or has no row_id column: paste the Clay export on Clay_Brands",IF(BS62="","row_id not found in the Clay paste: add the Clay row or fix the row_id",IF(AND(ISNUMBER(BU62),BU62&gt;=1,BU62&lt;=5),"Clay status is "&amp;BT62&amp;": set call_done or later",IF(AND(AP62=1,BV62&lt;&gt;BQ62),"Clay yes_in_principle should be "&amp;BQ62,IF(AND(AP62=1,BW62&lt;&gt;G62),"Clay call_date should be "&amp;TEXT(G62,"yyyy-mm-dd"),""))))))))</f>
        <v/>
      </c>
      <c r="AM62" s="17">
        <f>ROW()</f>
        <v/>
      </c>
      <c r="AN62" s="17">
        <f>IF(AND(TRIM($A62)&lt;&gt;"",ISNUMBER(G62)),IF(AND(LEFT($A62,6)="SAMPLE",Config!$B$19&lt;&gt;"Y"),0,1),0)</f>
        <v/>
      </c>
      <c r="AO62" s="17">
        <f>IF(AN62=1,IF(COUNTIFS($A$2:$A$201,$A62,$AN$2:$AN$201,1,$G$2:$G$201,"&lt;"&amp;G62)+COUNTIFS($A$2:$A$201,$A62,$AN$2:$AN$201,1,$G$2:$G$201,G62,$AM$2:$AM$201,"&lt;"&amp;AM62)=0,1,0),0)</f>
        <v/>
      </c>
      <c r="AP62" s="17">
        <f>IF(AN62=1,IF(COUNTIFS($A$2:$A$201,$A62,$AN$2:$AN$201,1,$G$2:$G$201,"&gt;"&amp;G62)+COUNTIFS($A$2:$A$201,$A62,$AN$2:$AN$201,1,$G$2:$G$201,G62,$AM$2:$AM$201,"&gt;"&amp;AM62)=0,1,0),0)</f>
        <v/>
      </c>
      <c r="AQ62" s="17">
        <f>IF(AND(AN62=1,N62="Y",MAX(N(R62),N(V62))&gt;=Config!$B$14),1,0)</f>
        <v/>
      </c>
      <c r="AR62" s="17">
        <f>IF(AQ62=1,IF(COUNTIFS($A$2:$A$201,$A62,$AQ$2:$AQ$201,1,$G$2:$G$201,"&lt;"&amp;G62)+COUNTIFS($A$2:$A$201,$A62,$AQ$2:$AQ$201,1,$G$2:$G$201,G62,$AM$2:$AM$201,"&lt;"&amp;AM62)=0,1,0),0)</f>
        <v/>
      </c>
      <c r="AS62" s="17">
        <f>IF(AND(AN62=1,N62="Y",ISNUMBER(R62)),IF(R62&gt;=Config!$B$14,1,0),0)</f>
        <v/>
      </c>
      <c r="AT62" s="17">
        <f>IF(AS62=1,IF(COUNTIFS($A$2:$A$201,$A62,$AS$2:$AS$201,1,$G$2:$G$201,"&lt;"&amp;G62)+COUNTIFS($A$2:$A$201,$A62,$AS$2:$AS$201,1,$G$2:$G$201,G62,$AM$2:$AM$201,"&lt;"&amp;AM62)=0,1,0),0)</f>
        <v/>
      </c>
      <c r="AU62" s="17">
        <f>IF(AND(AN62=1,N62&lt;&gt;"Y",MAX(N(R62),N(V62))&gt;=Config!$B$14),1,0)</f>
        <v/>
      </c>
      <c r="AV62" s="17">
        <f>IF(AU62=1,IF(COUNTIFS($A$2:$A$201,$A62,$AU$2:$AU$201,1,$G$2:$G$201,"&lt;"&amp;G62)+COUNTIFS($A$2:$A$201,$A62,$AU$2:$AU$201,1,$G$2:$G$201,G62,$AM$2:$AM$201,"&lt;"&amp;AM62)=0,1,0),0)</f>
        <v/>
      </c>
      <c r="AW62" s="17">
        <f>IF(AND(AN62=1,ISNUMBER(R62)),1,0)</f>
        <v/>
      </c>
      <c r="AX62" s="17">
        <f>IF(AW62=1,IF(COUNTIFS($A$2:$A$201,$A62,$AW$2:$AW$201,1,$G$2:$G$201,"&lt;"&amp;G62)+COUNTIFS($A$2:$A$201,$A62,$AW$2:$AW$201,1,$G$2:$G$201,G62,$AM$2:$AM$201,"&lt;"&amp;AM62)=0,1,0),0)</f>
        <v/>
      </c>
      <c r="AY62" s="17">
        <f>IF(AND(AX62=1,G62&lt;=Config!$B$6),R62,"")</f>
        <v/>
      </c>
      <c r="AZ62" s="17">
        <f>IF(AND(AX62=1,G62&lt;=Config!$B$7),R62,"")</f>
        <v/>
      </c>
      <c r="BA62" s="17">
        <f>IF(AND(AX62=1,G62&lt;=Config!$B$8),R62,"")</f>
        <v/>
      </c>
      <c r="BB62" s="17">
        <f>IF(AND(AX62=1,G62&lt;=Config!$B$5),R62,"")</f>
        <v/>
      </c>
      <c r="BC62" s="17">
        <f>IF(AND(AN62=1,ISNUMBER(V62)),1,0)</f>
        <v/>
      </c>
      <c r="BD62" s="17">
        <f>IF(BC62=1,IF(COUNTIFS($A$2:$A$201,$A62,$BC$2:$BC$201,1,$G$2:$G$201,"&lt;"&amp;G62)+COUNTIFS($A$2:$A$201,$A62,$BC$2:$BC$201,1,$G$2:$G$201,G62,$AM$2:$AM$201,"&lt;"&amp;AM62)=0,1,0),0)</f>
        <v/>
      </c>
      <c r="BE62" s="17">
        <f>IF(AND(BD62=1,G62&lt;=Config!$B$6),V62,"")</f>
        <v/>
      </c>
      <c r="BF62" s="17">
        <f>IF(AND(BD62=1,G62&lt;=Config!$B$7),V62,"")</f>
        <v/>
      </c>
      <c r="BG62" s="17">
        <f>IF(AND(BD62=1,G62&lt;=Config!$B$8),V62,"")</f>
        <v/>
      </c>
      <c r="BH62" s="17">
        <f>IF(AND(BD62=1,G62&lt;=Config!$B$5),V62,"")</f>
        <v/>
      </c>
      <c r="BI62" s="17">
        <f>IF(AND(AN62=1,ISNUMBER(J62)),1,0)</f>
        <v/>
      </c>
      <c r="BJ62" s="17">
        <f>IF(BI62=1,IF(COUNTIFS($A$2:$A$201,$A62,$BI$2:$BI$201,1,$G$2:$G$201,"&lt;"&amp;G62)+COUNTIFS($A$2:$A$201,$A62,$BI$2:$BI$201,1,$G$2:$G$201,G62,$AM$2:$AM$201,"&lt;"&amp;AM62)=0,1,0),0)</f>
        <v/>
      </c>
      <c r="BK62" s="17">
        <f>IF(AND(BJ62=1,G62&lt;=Config!$B$5),J62,"")</f>
        <v/>
      </c>
      <c r="BL62" s="17">
        <f>IF(AND(AN62=1,OR(AND(ISNUMBER(R62),TRIM(S62)=""),AND(ISNUMBER(V62),TRIM(W62)=""))),1,0)</f>
        <v/>
      </c>
      <c r="BM62" s="17">
        <f>IF(AN62=1,AB62&amp;"","")</f>
        <v/>
      </c>
      <c r="BN62" s="17">
        <f>IF(AN62=1,AC62&amp;"","")</f>
        <v/>
      </c>
      <c r="BO62" s="17">
        <f>IF(AN62=1,AD62&amp;"","")</f>
        <v/>
      </c>
      <c r="BP62" s="17">
        <f>IF(AND(AN62=1,ISNUMBER(AI62),G62&lt;=Config!$B$5),AI62,"")</f>
        <v/>
      </c>
      <c r="BQ62" s="17">
        <f>IF(AN62=1,IF(COUNTIFS($A$2:$A$201,$A62,$AF$2:$AF$201,"Y",$AN$2:$AN$201,1)&gt;0,"Y","N"),"")</f>
        <v/>
      </c>
      <c r="BR62" s="17">
        <f>IF(AND(AN62=1,AF62="Y"),IF(COUNTIFS($A$2:$A$201,$A62,$AF$2:$AF$201,"Y",$AN$2:$AN$201,1,$G$2:$G$201,"&lt;"&amp;G62)+COUNTIFS($A$2:$A$201,$A62,$AF$2:$AF$201,"Y",$AN$2:$AN$201,1,$G$2:$G$201,G62,$AM$2:$AM$201,"&lt;"&amp;AM62)=0,1,0),0)</f>
        <v/>
      </c>
      <c r="BS62" s="17">
        <f>IF(AN62=1,IFERROR(MATCH($A62,INDEX(Clay_Brands!$A$2:$FZ$601,0,Sync!$D$5),0),""),"")</f>
        <v/>
      </c>
      <c r="BT62" s="17">
        <f>IF(BS62="","",IFERROR(INDEX(Clay_Brands!$A$2:$FZ$601,BS62,Sync!$D$7)&amp;"",""))</f>
        <v/>
      </c>
      <c r="BU62" s="17">
        <f>IF(BT62="","",IFERROR(INDEX(Lists!$J$2:$J$15,MATCH(BT62,Lists!$I$2:$I$15,0)),""))</f>
        <v/>
      </c>
      <c r="BV62" s="17">
        <f>IF(BS62="","",IFERROR(INDEX(Clay_Brands!$A$2:$FZ$601,BS62,Sync!$D$17)&amp;"",""))</f>
        <v/>
      </c>
      <c r="BW62" s="23">
        <f>IF(BS62="","",IFERROR(N(INDEX(Clay_Brands!$A$2:$FZ$601,BS62,Sync!$D$16)),0))</f>
        <v/>
      </c>
    </row>
    <row r="63">
      <c r="G63" s="22" t="n"/>
      <c r="AL63" s="17">
        <f>IF(TRIM($A63)="","",IF(AND(LEFT($A63,6)="SAMPLE",Config!$B$19&lt;&gt;"Y"),"",IF(NOT(ISNUMBER(G63)),"call_date is blank or not a date",IF(Sync!$D$5="","Clay paste is empty or has no row_id column: paste the Clay export on Clay_Brands",IF(BS63="","row_id not found in the Clay paste: add the Clay row or fix the row_id",IF(AND(ISNUMBER(BU63),BU63&gt;=1,BU63&lt;=5),"Clay status is "&amp;BT63&amp;": set call_done or later",IF(AND(AP63=1,BV63&lt;&gt;BQ63),"Clay yes_in_principle should be "&amp;BQ63,IF(AND(AP63=1,BW63&lt;&gt;G63),"Clay call_date should be "&amp;TEXT(G63,"yyyy-mm-dd"),""))))))))</f>
        <v/>
      </c>
      <c r="AM63" s="17">
        <f>ROW()</f>
        <v/>
      </c>
      <c r="AN63" s="17">
        <f>IF(AND(TRIM($A63)&lt;&gt;"",ISNUMBER(G63)),IF(AND(LEFT($A63,6)="SAMPLE",Config!$B$19&lt;&gt;"Y"),0,1),0)</f>
        <v/>
      </c>
      <c r="AO63" s="17">
        <f>IF(AN63=1,IF(COUNTIFS($A$2:$A$201,$A63,$AN$2:$AN$201,1,$G$2:$G$201,"&lt;"&amp;G63)+COUNTIFS($A$2:$A$201,$A63,$AN$2:$AN$201,1,$G$2:$G$201,G63,$AM$2:$AM$201,"&lt;"&amp;AM63)=0,1,0),0)</f>
        <v/>
      </c>
      <c r="AP63" s="17">
        <f>IF(AN63=1,IF(COUNTIFS($A$2:$A$201,$A63,$AN$2:$AN$201,1,$G$2:$G$201,"&gt;"&amp;G63)+COUNTIFS($A$2:$A$201,$A63,$AN$2:$AN$201,1,$G$2:$G$201,G63,$AM$2:$AM$201,"&gt;"&amp;AM63)=0,1,0),0)</f>
        <v/>
      </c>
      <c r="AQ63" s="17">
        <f>IF(AND(AN63=1,N63="Y",MAX(N(R63),N(V63))&gt;=Config!$B$14),1,0)</f>
        <v/>
      </c>
      <c r="AR63" s="17">
        <f>IF(AQ63=1,IF(COUNTIFS($A$2:$A$201,$A63,$AQ$2:$AQ$201,1,$G$2:$G$201,"&lt;"&amp;G63)+COUNTIFS($A$2:$A$201,$A63,$AQ$2:$AQ$201,1,$G$2:$G$201,G63,$AM$2:$AM$201,"&lt;"&amp;AM63)=0,1,0),0)</f>
        <v/>
      </c>
      <c r="AS63" s="17">
        <f>IF(AND(AN63=1,N63="Y",ISNUMBER(R63)),IF(R63&gt;=Config!$B$14,1,0),0)</f>
        <v/>
      </c>
      <c r="AT63" s="17">
        <f>IF(AS63=1,IF(COUNTIFS($A$2:$A$201,$A63,$AS$2:$AS$201,1,$G$2:$G$201,"&lt;"&amp;G63)+COUNTIFS($A$2:$A$201,$A63,$AS$2:$AS$201,1,$G$2:$G$201,G63,$AM$2:$AM$201,"&lt;"&amp;AM63)=0,1,0),0)</f>
        <v/>
      </c>
      <c r="AU63" s="17">
        <f>IF(AND(AN63=1,N63&lt;&gt;"Y",MAX(N(R63),N(V63))&gt;=Config!$B$14),1,0)</f>
        <v/>
      </c>
      <c r="AV63" s="17">
        <f>IF(AU63=1,IF(COUNTIFS($A$2:$A$201,$A63,$AU$2:$AU$201,1,$G$2:$G$201,"&lt;"&amp;G63)+COUNTIFS($A$2:$A$201,$A63,$AU$2:$AU$201,1,$G$2:$G$201,G63,$AM$2:$AM$201,"&lt;"&amp;AM63)=0,1,0),0)</f>
        <v/>
      </c>
      <c r="AW63" s="17">
        <f>IF(AND(AN63=1,ISNUMBER(R63)),1,0)</f>
        <v/>
      </c>
      <c r="AX63" s="17">
        <f>IF(AW63=1,IF(COUNTIFS($A$2:$A$201,$A63,$AW$2:$AW$201,1,$G$2:$G$201,"&lt;"&amp;G63)+COUNTIFS($A$2:$A$201,$A63,$AW$2:$AW$201,1,$G$2:$G$201,G63,$AM$2:$AM$201,"&lt;"&amp;AM63)=0,1,0),0)</f>
        <v/>
      </c>
      <c r="AY63" s="17">
        <f>IF(AND(AX63=1,G63&lt;=Config!$B$6),R63,"")</f>
        <v/>
      </c>
      <c r="AZ63" s="17">
        <f>IF(AND(AX63=1,G63&lt;=Config!$B$7),R63,"")</f>
        <v/>
      </c>
      <c r="BA63" s="17">
        <f>IF(AND(AX63=1,G63&lt;=Config!$B$8),R63,"")</f>
        <v/>
      </c>
      <c r="BB63" s="17">
        <f>IF(AND(AX63=1,G63&lt;=Config!$B$5),R63,"")</f>
        <v/>
      </c>
      <c r="BC63" s="17">
        <f>IF(AND(AN63=1,ISNUMBER(V63)),1,0)</f>
        <v/>
      </c>
      <c r="BD63" s="17">
        <f>IF(BC63=1,IF(COUNTIFS($A$2:$A$201,$A63,$BC$2:$BC$201,1,$G$2:$G$201,"&lt;"&amp;G63)+COUNTIFS($A$2:$A$201,$A63,$BC$2:$BC$201,1,$G$2:$G$201,G63,$AM$2:$AM$201,"&lt;"&amp;AM63)=0,1,0),0)</f>
        <v/>
      </c>
      <c r="BE63" s="17">
        <f>IF(AND(BD63=1,G63&lt;=Config!$B$6),V63,"")</f>
        <v/>
      </c>
      <c r="BF63" s="17">
        <f>IF(AND(BD63=1,G63&lt;=Config!$B$7),V63,"")</f>
        <v/>
      </c>
      <c r="BG63" s="17">
        <f>IF(AND(BD63=1,G63&lt;=Config!$B$8),V63,"")</f>
        <v/>
      </c>
      <c r="BH63" s="17">
        <f>IF(AND(BD63=1,G63&lt;=Config!$B$5),V63,"")</f>
        <v/>
      </c>
      <c r="BI63" s="17">
        <f>IF(AND(AN63=1,ISNUMBER(J63)),1,0)</f>
        <v/>
      </c>
      <c r="BJ63" s="17">
        <f>IF(BI63=1,IF(COUNTIFS($A$2:$A$201,$A63,$BI$2:$BI$201,1,$G$2:$G$201,"&lt;"&amp;G63)+COUNTIFS($A$2:$A$201,$A63,$BI$2:$BI$201,1,$G$2:$G$201,G63,$AM$2:$AM$201,"&lt;"&amp;AM63)=0,1,0),0)</f>
        <v/>
      </c>
      <c r="BK63" s="17">
        <f>IF(AND(BJ63=1,G63&lt;=Config!$B$5),J63,"")</f>
        <v/>
      </c>
      <c r="BL63" s="17">
        <f>IF(AND(AN63=1,OR(AND(ISNUMBER(R63),TRIM(S63)=""),AND(ISNUMBER(V63),TRIM(W63)=""))),1,0)</f>
        <v/>
      </c>
      <c r="BM63" s="17">
        <f>IF(AN63=1,AB63&amp;"","")</f>
        <v/>
      </c>
      <c r="BN63" s="17">
        <f>IF(AN63=1,AC63&amp;"","")</f>
        <v/>
      </c>
      <c r="BO63" s="17">
        <f>IF(AN63=1,AD63&amp;"","")</f>
        <v/>
      </c>
      <c r="BP63" s="17">
        <f>IF(AND(AN63=1,ISNUMBER(AI63),G63&lt;=Config!$B$5),AI63,"")</f>
        <v/>
      </c>
      <c r="BQ63" s="17">
        <f>IF(AN63=1,IF(COUNTIFS($A$2:$A$201,$A63,$AF$2:$AF$201,"Y",$AN$2:$AN$201,1)&gt;0,"Y","N"),"")</f>
        <v/>
      </c>
      <c r="BR63" s="17">
        <f>IF(AND(AN63=1,AF63="Y"),IF(COUNTIFS($A$2:$A$201,$A63,$AF$2:$AF$201,"Y",$AN$2:$AN$201,1,$G$2:$G$201,"&lt;"&amp;G63)+COUNTIFS($A$2:$A$201,$A63,$AF$2:$AF$201,"Y",$AN$2:$AN$201,1,$G$2:$G$201,G63,$AM$2:$AM$201,"&lt;"&amp;AM63)=0,1,0),0)</f>
        <v/>
      </c>
      <c r="BS63" s="17">
        <f>IF(AN63=1,IFERROR(MATCH($A63,INDEX(Clay_Brands!$A$2:$FZ$601,0,Sync!$D$5),0),""),"")</f>
        <v/>
      </c>
      <c r="BT63" s="17">
        <f>IF(BS63="","",IFERROR(INDEX(Clay_Brands!$A$2:$FZ$601,BS63,Sync!$D$7)&amp;"",""))</f>
        <v/>
      </c>
      <c r="BU63" s="17">
        <f>IF(BT63="","",IFERROR(INDEX(Lists!$J$2:$J$15,MATCH(BT63,Lists!$I$2:$I$15,0)),""))</f>
        <v/>
      </c>
      <c r="BV63" s="17">
        <f>IF(BS63="","",IFERROR(INDEX(Clay_Brands!$A$2:$FZ$601,BS63,Sync!$D$17)&amp;"",""))</f>
        <v/>
      </c>
      <c r="BW63" s="23">
        <f>IF(BS63="","",IFERROR(N(INDEX(Clay_Brands!$A$2:$FZ$601,BS63,Sync!$D$16)),0))</f>
        <v/>
      </c>
    </row>
    <row r="64">
      <c r="G64" s="22" t="n"/>
      <c r="AL64" s="17">
        <f>IF(TRIM($A64)="","",IF(AND(LEFT($A64,6)="SAMPLE",Config!$B$19&lt;&gt;"Y"),"",IF(NOT(ISNUMBER(G64)),"call_date is blank or not a date",IF(Sync!$D$5="","Clay paste is empty or has no row_id column: paste the Clay export on Clay_Brands",IF(BS64="","row_id not found in the Clay paste: add the Clay row or fix the row_id",IF(AND(ISNUMBER(BU64),BU64&gt;=1,BU64&lt;=5),"Clay status is "&amp;BT64&amp;": set call_done or later",IF(AND(AP64=1,BV64&lt;&gt;BQ64),"Clay yes_in_principle should be "&amp;BQ64,IF(AND(AP64=1,BW64&lt;&gt;G64),"Clay call_date should be "&amp;TEXT(G64,"yyyy-mm-dd"),""))))))))</f>
        <v/>
      </c>
      <c r="AM64" s="17">
        <f>ROW()</f>
        <v/>
      </c>
      <c r="AN64" s="17">
        <f>IF(AND(TRIM($A64)&lt;&gt;"",ISNUMBER(G64)),IF(AND(LEFT($A64,6)="SAMPLE",Config!$B$19&lt;&gt;"Y"),0,1),0)</f>
        <v/>
      </c>
      <c r="AO64" s="17">
        <f>IF(AN64=1,IF(COUNTIFS($A$2:$A$201,$A64,$AN$2:$AN$201,1,$G$2:$G$201,"&lt;"&amp;G64)+COUNTIFS($A$2:$A$201,$A64,$AN$2:$AN$201,1,$G$2:$G$201,G64,$AM$2:$AM$201,"&lt;"&amp;AM64)=0,1,0),0)</f>
        <v/>
      </c>
      <c r="AP64" s="17">
        <f>IF(AN64=1,IF(COUNTIFS($A$2:$A$201,$A64,$AN$2:$AN$201,1,$G$2:$G$201,"&gt;"&amp;G64)+COUNTIFS($A$2:$A$201,$A64,$AN$2:$AN$201,1,$G$2:$G$201,G64,$AM$2:$AM$201,"&gt;"&amp;AM64)=0,1,0),0)</f>
        <v/>
      </c>
      <c r="AQ64" s="17">
        <f>IF(AND(AN64=1,N64="Y",MAX(N(R64),N(V64))&gt;=Config!$B$14),1,0)</f>
        <v/>
      </c>
      <c r="AR64" s="17">
        <f>IF(AQ64=1,IF(COUNTIFS($A$2:$A$201,$A64,$AQ$2:$AQ$201,1,$G$2:$G$201,"&lt;"&amp;G64)+COUNTIFS($A$2:$A$201,$A64,$AQ$2:$AQ$201,1,$G$2:$G$201,G64,$AM$2:$AM$201,"&lt;"&amp;AM64)=0,1,0),0)</f>
        <v/>
      </c>
      <c r="AS64" s="17">
        <f>IF(AND(AN64=1,N64="Y",ISNUMBER(R64)),IF(R64&gt;=Config!$B$14,1,0),0)</f>
        <v/>
      </c>
      <c r="AT64" s="17">
        <f>IF(AS64=1,IF(COUNTIFS($A$2:$A$201,$A64,$AS$2:$AS$201,1,$G$2:$G$201,"&lt;"&amp;G64)+COUNTIFS($A$2:$A$201,$A64,$AS$2:$AS$201,1,$G$2:$G$201,G64,$AM$2:$AM$201,"&lt;"&amp;AM64)=0,1,0),0)</f>
        <v/>
      </c>
      <c r="AU64" s="17">
        <f>IF(AND(AN64=1,N64&lt;&gt;"Y",MAX(N(R64),N(V64))&gt;=Config!$B$14),1,0)</f>
        <v/>
      </c>
      <c r="AV64" s="17">
        <f>IF(AU64=1,IF(COUNTIFS($A$2:$A$201,$A64,$AU$2:$AU$201,1,$G$2:$G$201,"&lt;"&amp;G64)+COUNTIFS($A$2:$A$201,$A64,$AU$2:$AU$201,1,$G$2:$G$201,G64,$AM$2:$AM$201,"&lt;"&amp;AM64)=0,1,0),0)</f>
        <v/>
      </c>
      <c r="AW64" s="17">
        <f>IF(AND(AN64=1,ISNUMBER(R64)),1,0)</f>
        <v/>
      </c>
      <c r="AX64" s="17">
        <f>IF(AW64=1,IF(COUNTIFS($A$2:$A$201,$A64,$AW$2:$AW$201,1,$G$2:$G$201,"&lt;"&amp;G64)+COUNTIFS($A$2:$A$201,$A64,$AW$2:$AW$201,1,$G$2:$G$201,G64,$AM$2:$AM$201,"&lt;"&amp;AM64)=0,1,0),0)</f>
        <v/>
      </c>
      <c r="AY64" s="17">
        <f>IF(AND(AX64=1,G64&lt;=Config!$B$6),R64,"")</f>
        <v/>
      </c>
      <c r="AZ64" s="17">
        <f>IF(AND(AX64=1,G64&lt;=Config!$B$7),R64,"")</f>
        <v/>
      </c>
      <c r="BA64" s="17">
        <f>IF(AND(AX64=1,G64&lt;=Config!$B$8),R64,"")</f>
        <v/>
      </c>
      <c r="BB64" s="17">
        <f>IF(AND(AX64=1,G64&lt;=Config!$B$5),R64,"")</f>
        <v/>
      </c>
      <c r="BC64" s="17">
        <f>IF(AND(AN64=1,ISNUMBER(V64)),1,0)</f>
        <v/>
      </c>
      <c r="BD64" s="17">
        <f>IF(BC64=1,IF(COUNTIFS($A$2:$A$201,$A64,$BC$2:$BC$201,1,$G$2:$G$201,"&lt;"&amp;G64)+COUNTIFS($A$2:$A$201,$A64,$BC$2:$BC$201,1,$G$2:$G$201,G64,$AM$2:$AM$201,"&lt;"&amp;AM64)=0,1,0),0)</f>
        <v/>
      </c>
      <c r="BE64" s="17">
        <f>IF(AND(BD64=1,G64&lt;=Config!$B$6),V64,"")</f>
        <v/>
      </c>
      <c r="BF64" s="17">
        <f>IF(AND(BD64=1,G64&lt;=Config!$B$7),V64,"")</f>
        <v/>
      </c>
      <c r="BG64" s="17">
        <f>IF(AND(BD64=1,G64&lt;=Config!$B$8),V64,"")</f>
        <v/>
      </c>
      <c r="BH64" s="17">
        <f>IF(AND(BD64=1,G64&lt;=Config!$B$5),V64,"")</f>
        <v/>
      </c>
      <c r="BI64" s="17">
        <f>IF(AND(AN64=1,ISNUMBER(J64)),1,0)</f>
        <v/>
      </c>
      <c r="BJ64" s="17">
        <f>IF(BI64=1,IF(COUNTIFS($A$2:$A$201,$A64,$BI$2:$BI$201,1,$G$2:$G$201,"&lt;"&amp;G64)+COUNTIFS($A$2:$A$201,$A64,$BI$2:$BI$201,1,$G$2:$G$201,G64,$AM$2:$AM$201,"&lt;"&amp;AM64)=0,1,0),0)</f>
        <v/>
      </c>
      <c r="BK64" s="17">
        <f>IF(AND(BJ64=1,G64&lt;=Config!$B$5),J64,"")</f>
        <v/>
      </c>
      <c r="BL64" s="17">
        <f>IF(AND(AN64=1,OR(AND(ISNUMBER(R64),TRIM(S64)=""),AND(ISNUMBER(V64),TRIM(W64)=""))),1,0)</f>
        <v/>
      </c>
      <c r="BM64" s="17">
        <f>IF(AN64=1,AB64&amp;"","")</f>
        <v/>
      </c>
      <c r="BN64" s="17">
        <f>IF(AN64=1,AC64&amp;"","")</f>
        <v/>
      </c>
      <c r="BO64" s="17">
        <f>IF(AN64=1,AD64&amp;"","")</f>
        <v/>
      </c>
      <c r="BP64" s="17">
        <f>IF(AND(AN64=1,ISNUMBER(AI64),G64&lt;=Config!$B$5),AI64,"")</f>
        <v/>
      </c>
      <c r="BQ64" s="17">
        <f>IF(AN64=1,IF(COUNTIFS($A$2:$A$201,$A64,$AF$2:$AF$201,"Y",$AN$2:$AN$201,1)&gt;0,"Y","N"),"")</f>
        <v/>
      </c>
      <c r="BR64" s="17">
        <f>IF(AND(AN64=1,AF64="Y"),IF(COUNTIFS($A$2:$A$201,$A64,$AF$2:$AF$201,"Y",$AN$2:$AN$201,1,$G$2:$G$201,"&lt;"&amp;G64)+COUNTIFS($A$2:$A$201,$A64,$AF$2:$AF$201,"Y",$AN$2:$AN$201,1,$G$2:$G$201,G64,$AM$2:$AM$201,"&lt;"&amp;AM64)=0,1,0),0)</f>
        <v/>
      </c>
      <c r="BS64" s="17">
        <f>IF(AN64=1,IFERROR(MATCH($A64,INDEX(Clay_Brands!$A$2:$FZ$601,0,Sync!$D$5),0),""),"")</f>
        <v/>
      </c>
      <c r="BT64" s="17">
        <f>IF(BS64="","",IFERROR(INDEX(Clay_Brands!$A$2:$FZ$601,BS64,Sync!$D$7)&amp;"",""))</f>
        <v/>
      </c>
      <c r="BU64" s="17">
        <f>IF(BT64="","",IFERROR(INDEX(Lists!$J$2:$J$15,MATCH(BT64,Lists!$I$2:$I$15,0)),""))</f>
        <v/>
      </c>
      <c r="BV64" s="17">
        <f>IF(BS64="","",IFERROR(INDEX(Clay_Brands!$A$2:$FZ$601,BS64,Sync!$D$17)&amp;"",""))</f>
        <v/>
      </c>
      <c r="BW64" s="23">
        <f>IF(BS64="","",IFERROR(N(INDEX(Clay_Brands!$A$2:$FZ$601,BS64,Sync!$D$16)),0))</f>
        <v/>
      </c>
    </row>
    <row r="65">
      <c r="G65" s="22" t="n"/>
      <c r="AL65" s="17">
        <f>IF(TRIM($A65)="","",IF(AND(LEFT($A65,6)="SAMPLE",Config!$B$19&lt;&gt;"Y"),"",IF(NOT(ISNUMBER(G65)),"call_date is blank or not a date",IF(Sync!$D$5="","Clay paste is empty or has no row_id column: paste the Clay export on Clay_Brands",IF(BS65="","row_id not found in the Clay paste: add the Clay row or fix the row_id",IF(AND(ISNUMBER(BU65),BU65&gt;=1,BU65&lt;=5),"Clay status is "&amp;BT65&amp;": set call_done or later",IF(AND(AP65=1,BV65&lt;&gt;BQ65),"Clay yes_in_principle should be "&amp;BQ65,IF(AND(AP65=1,BW65&lt;&gt;G65),"Clay call_date should be "&amp;TEXT(G65,"yyyy-mm-dd"),""))))))))</f>
        <v/>
      </c>
      <c r="AM65" s="17">
        <f>ROW()</f>
        <v/>
      </c>
      <c r="AN65" s="17">
        <f>IF(AND(TRIM($A65)&lt;&gt;"",ISNUMBER(G65)),IF(AND(LEFT($A65,6)="SAMPLE",Config!$B$19&lt;&gt;"Y"),0,1),0)</f>
        <v/>
      </c>
      <c r="AO65" s="17">
        <f>IF(AN65=1,IF(COUNTIFS($A$2:$A$201,$A65,$AN$2:$AN$201,1,$G$2:$G$201,"&lt;"&amp;G65)+COUNTIFS($A$2:$A$201,$A65,$AN$2:$AN$201,1,$G$2:$G$201,G65,$AM$2:$AM$201,"&lt;"&amp;AM65)=0,1,0),0)</f>
        <v/>
      </c>
      <c r="AP65" s="17">
        <f>IF(AN65=1,IF(COUNTIFS($A$2:$A$201,$A65,$AN$2:$AN$201,1,$G$2:$G$201,"&gt;"&amp;G65)+COUNTIFS($A$2:$A$201,$A65,$AN$2:$AN$201,1,$G$2:$G$201,G65,$AM$2:$AM$201,"&gt;"&amp;AM65)=0,1,0),0)</f>
        <v/>
      </c>
      <c r="AQ65" s="17">
        <f>IF(AND(AN65=1,N65="Y",MAX(N(R65),N(V65))&gt;=Config!$B$14),1,0)</f>
        <v/>
      </c>
      <c r="AR65" s="17">
        <f>IF(AQ65=1,IF(COUNTIFS($A$2:$A$201,$A65,$AQ$2:$AQ$201,1,$G$2:$G$201,"&lt;"&amp;G65)+COUNTIFS($A$2:$A$201,$A65,$AQ$2:$AQ$201,1,$G$2:$G$201,G65,$AM$2:$AM$201,"&lt;"&amp;AM65)=0,1,0),0)</f>
        <v/>
      </c>
      <c r="AS65" s="17">
        <f>IF(AND(AN65=1,N65="Y",ISNUMBER(R65)),IF(R65&gt;=Config!$B$14,1,0),0)</f>
        <v/>
      </c>
      <c r="AT65" s="17">
        <f>IF(AS65=1,IF(COUNTIFS($A$2:$A$201,$A65,$AS$2:$AS$201,1,$G$2:$G$201,"&lt;"&amp;G65)+COUNTIFS($A$2:$A$201,$A65,$AS$2:$AS$201,1,$G$2:$G$201,G65,$AM$2:$AM$201,"&lt;"&amp;AM65)=0,1,0),0)</f>
        <v/>
      </c>
      <c r="AU65" s="17">
        <f>IF(AND(AN65=1,N65&lt;&gt;"Y",MAX(N(R65),N(V65))&gt;=Config!$B$14),1,0)</f>
        <v/>
      </c>
      <c r="AV65" s="17">
        <f>IF(AU65=1,IF(COUNTIFS($A$2:$A$201,$A65,$AU$2:$AU$201,1,$G$2:$G$201,"&lt;"&amp;G65)+COUNTIFS($A$2:$A$201,$A65,$AU$2:$AU$201,1,$G$2:$G$201,G65,$AM$2:$AM$201,"&lt;"&amp;AM65)=0,1,0),0)</f>
        <v/>
      </c>
      <c r="AW65" s="17">
        <f>IF(AND(AN65=1,ISNUMBER(R65)),1,0)</f>
        <v/>
      </c>
      <c r="AX65" s="17">
        <f>IF(AW65=1,IF(COUNTIFS($A$2:$A$201,$A65,$AW$2:$AW$201,1,$G$2:$G$201,"&lt;"&amp;G65)+COUNTIFS($A$2:$A$201,$A65,$AW$2:$AW$201,1,$G$2:$G$201,G65,$AM$2:$AM$201,"&lt;"&amp;AM65)=0,1,0),0)</f>
        <v/>
      </c>
      <c r="AY65" s="17">
        <f>IF(AND(AX65=1,G65&lt;=Config!$B$6),R65,"")</f>
        <v/>
      </c>
      <c r="AZ65" s="17">
        <f>IF(AND(AX65=1,G65&lt;=Config!$B$7),R65,"")</f>
        <v/>
      </c>
      <c r="BA65" s="17">
        <f>IF(AND(AX65=1,G65&lt;=Config!$B$8),R65,"")</f>
        <v/>
      </c>
      <c r="BB65" s="17">
        <f>IF(AND(AX65=1,G65&lt;=Config!$B$5),R65,"")</f>
        <v/>
      </c>
      <c r="BC65" s="17">
        <f>IF(AND(AN65=1,ISNUMBER(V65)),1,0)</f>
        <v/>
      </c>
      <c r="BD65" s="17">
        <f>IF(BC65=1,IF(COUNTIFS($A$2:$A$201,$A65,$BC$2:$BC$201,1,$G$2:$G$201,"&lt;"&amp;G65)+COUNTIFS($A$2:$A$201,$A65,$BC$2:$BC$201,1,$G$2:$G$201,G65,$AM$2:$AM$201,"&lt;"&amp;AM65)=0,1,0),0)</f>
        <v/>
      </c>
      <c r="BE65" s="17">
        <f>IF(AND(BD65=1,G65&lt;=Config!$B$6),V65,"")</f>
        <v/>
      </c>
      <c r="BF65" s="17">
        <f>IF(AND(BD65=1,G65&lt;=Config!$B$7),V65,"")</f>
        <v/>
      </c>
      <c r="BG65" s="17">
        <f>IF(AND(BD65=1,G65&lt;=Config!$B$8),V65,"")</f>
        <v/>
      </c>
      <c r="BH65" s="17">
        <f>IF(AND(BD65=1,G65&lt;=Config!$B$5),V65,"")</f>
        <v/>
      </c>
      <c r="BI65" s="17">
        <f>IF(AND(AN65=1,ISNUMBER(J65)),1,0)</f>
        <v/>
      </c>
      <c r="BJ65" s="17">
        <f>IF(BI65=1,IF(COUNTIFS($A$2:$A$201,$A65,$BI$2:$BI$201,1,$G$2:$G$201,"&lt;"&amp;G65)+COUNTIFS($A$2:$A$201,$A65,$BI$2:$BI$201,1,$G$2:$G$201,G65,$AM$2:$AM$201,"&lt;"&amp;AM65)=0,1,0),0)</f>
        <v/>
      </c>
      <c r="BK65" s="17">
        <f>IF(AND(BJ65=1,G65&lt;=Config!$B$5),J65,"")</f>
        <v/>
      </c>
      <c r="BL65" s="17">
        <f>IF(AND(AN65=1,OR(AND(ISNUMBER(R65),TRIM(S65)=""),AND(ISNUMBER(V65),TRIM(W65)=""))),1,0)</f>
        <v/>
      </c>
      <c r="BM65" s="17">
        <f>IF(AN65=1,AB65&amp;"","")</f>
        <v/>
      </c>
      <c r="BN65" s="17">
        <f>IF(AN65=1,AC65&amp;"","")</f>
        <v/>
      </c>
      <c r="BO65" s="17">
        <f>IF(AN65=1,AD65&amp;"","")</f>
        <v/>
      </c>
      <c r="BP65" s="17">
        <f>IF(AND(AN65=1,ISNUMBER(AI65),G65&lt;=Config!$B$5),AI65,"")</f>
        <v/>
      </c>
      <c r="BQ65" s="17">
        <f>IF(AN65=1,IF(COUNTIFS($A$2:$A$201,$A65,$AF$2:$AF$201,"Y",$AN$2:$AN$201,1)&gt;0,"Y","N"),"")</f>
        <v/>
      </c>
      <c r="BR65" s="17">
        <f>IF(AND(AN65=1,AF65="Y"),IF(COUNTIFS($A$2:$A$201,$A65,$AF$2:$AF$201,"Y",$AN$2:$AN$201,1,$G$2:$G$201,"&lt;"&amp;G65)+COUNTIFS($A$2:$A$201,$A65,$AF$2:$AF$201,"Y",$AN$2:$AN$201,1,$G$2:$G$201,G65,$AM$2:$AM$201,"&lt;"&amp;AM65)=0,1,0),0)</f>
        <v/>
      </c>
      <c r="BS65" s="17">
        <f>IF(AN65=1,IFERROR(MATCH($A65,INDEX(Clay_Brands!$A$2:$FZ$601,0,Sync!$D$5),0),""),"")</f>
        <v/>
      </c>
      <c r="BT65" s="17">
        <f>IF(BS65="","",IFERROR(INDEX(Clay_Brands!$A$2:$FZ$601,BS65,Sync!$D$7)&amp;"",""))</f>
        <v/>
      </c>
      <c r="BU65" s="17">
        <f>IF(BT65="","",IFERROR(INDEX(Lists!$J$2:$J$15,MATCH(BT65,Lists!$I$2:$I$15,0)),""))</f>
        <v/>
      </c>
      <c r="BV65" s="17">
        <f>IF(BS65="","",IFERROR(INDEX(Clay_Brands!$A$2:$FZ$601,BS65,Sync!$D$17)&amp;"",""))</f>
        <v/>
      </c>
      <c r="BW65" s="23">
        <f>IF(BS65="","",IFERROR(N(INDEX(Clay_Brands!$A$2:$FZ$601,BS65,Sync!$D$16)),0))</f>
        <v/>
      </c>
    </row>
    <row r="66">
      <c r="G66" s="22" t="n"/>
      <c r="AL66" s="17">
        <f>IF(TRIM($A66)="","",IF(AND(LEFT($A66,6)="SAMPLE",Config!$B$19&lt;&gt;"Y"),"",IF(NOT(ISNUMBER(G66)),"call_date is blank or not a date",IF(Sync!$D$5="","Clay paste is empty or has no row_id column: paste the Clay export on Clay_Brands",IF(BS66="","row_id not found in the Clay paste: add the Clay row or fix the row_id",IF(AND(ISNUMBER(BU66),BU66&gt;=1,BU66&lt;=5),"Clay status is "&amp;BT66&amp;": set call_done or later",IF(AND(AP66=1,BV66&lt;&gt;BQ66),"Clay yes_in_principle should be "&amp;BQ66,IF(AND(AP66=1,BW66&lt;&gt;G66),"Clay call_date should be "&amp;TEXT(G66,"yyyy-mm-dd"),""))))))))</f>
        <v/>
      </c>
      <c r="AM66" s="17">
        <f>ROW()</f>
        <v/>
      </c>
      <c r="AN66" s="17">
        <f>IF(AND(TRIM($A66)&lt;&gt;"",ISNUMBER(G66)),IF(AND(LEFT($A66,6)="SAMPLE",Config!$B$19&lt;&gt;"Y"),0,1),0)</f>
        <v/>
      </c>
      <c r="AO66" s="17">
        <f>IF(AN66=1,IF(COUNTIFS($A$2:$A$201,$A66,$AN$2:$AN$201,1,$G$2:$G$201,"&lt;"&amp;G66)+COUNTIFS($A$2:$A$201,$A66,$AN$2:$AN$201,1,$G$2:$G$201,G66,$AM$2:$AM$201,"&lt;"&amp;AM66)=0,1,0),0)</f>
        <v/>
      </c>
      <c r="AP66" s="17">
        <f>IF(AN66=1,IF(COUNTIFS($A$2:$A$201,$A66,$AN$2:$AN$201,1,$G$2:$G$201,"&gt;"&amp;G66)+COUNTIFS($A$2:$A$201,$A66,$AN$2:$AN$201,1,$G$2:$G$201,G66,$AM$2:$AM$201,"&gt;"&amp;AM66)=0,1,0),0)</f>
        <v/>
      </c>
      <c r="AQ66" s="17">
        <f>IF(AND(AN66=1,N66="Y",MAX(N(R66),N(V66))&gt;=Config!$B$14),1,0)</f>
        <v/>
      </c>
      <c r="AR66" s="17">
        <f>IF(AQ66=1,IF(COUNTIFS($A$2:$A$201,$A66,$AQ$2:$AQ$201,1,$G$2:$G$201,"&lt;"&amp;G66)+COUNTIFS($A$2:$A$201,$A66,$AQ$2:$AQ$201,1,$G$2:$G$201,G66,$AM$2:$AM$201,"&lt;"&amp;AM66)=0,1,0),0)</f>
        <v/>
      </c>
      <c r="AS66" s="17">
        <f>IF(AND(AN66=1,N66="Y",ISNUMBER(R66)),IF(R66&gt;=Config!$B$14,1,0),0)</f>
        <v/>
      </c>
      <c r="AT66" s="17">
        <f>IF(AS66=1,IF(COUNTIFS($A$2:$A$201,$A66,$AS$2:$AS$201,1,$G$2:$G$201,"&lt;"&amp;G66)+COUNTIFS($A$2:$A$201,$A66,$AS$2:$AS$201,1,$G$2:$G$201,G66,$AM$2:$AM$201,"&lt;"&amp;AM66)=0,1,0),0)</f>
        <v/>
      </c>
      <c r="AU66" s="17">
        <f>IF(AND(AN66=1,N66&lt;&gt;"Y",MAX(N(R66),N(V66))&gt;=Config!$B$14),1,0)</f>
        <v/>
      </c>
      <c r="AV66" s="17">
        <f>IF(AU66=1,IF(COUNTIFS($A$2:$A$201,$A66,$AU$2:$AU$201,1,$G$2:$G$201,"&lt;"&amp;G66)+COUNTIFS($A$2:$A$201,$A66,$AU$2:$AU$201,1,$G$2:$G$201,G66,$AM$2:$AM$201,"&lt;"&amp;AM66)=0,1,0),0)</f>
        <v/>
      </c>
      <c r="AW66" s="17">
        <f>IF(AND(AN66=1,ISNUMBER(R66)),1,0)</f>
        <v/>
      </c>
      <c r="AX66" s="17">
        <f>IF(AW66=1,IF(COUNTIFS($A$2:$A$201,$A66,$AW$2:$AW$201,1,$G$2:$G$201,"&lt;"&amp;G66)+COUNTIFS($A$2:$A$201,$A66,$AW$2:$AW$201,1,$G$2:$G$201,G66,$AM$2:$AM$201,"&lt;"&amp;AM66)=0,1,0),0)</f>
        <v/>
      </c>
      <c r="AY66" s="17">
        <f>IF(AND(AX66=1,G66&lt;=Config!$B$6),R66,"")</f>
        <v/>
      </c>
      <c r="AZ66" s="17">
        <f>IF(AND(AX66=1,G66&lt;=Config!$B$7),R66,"")</f>
        <v/>
      </c>
      <c r="BA66" s="17">
        <f>IF(AND(AX66=1,G66&lt;=Config!$B$8),R66,"")</f>
        <v/>
      </c>
      <c r="BB66" s="17">
        <f>IF(AND(AX66=1,G66&lt;=Config!$B$5),R66,"")</f>
        <v/>
      </c>
      <c r="BC66" s="17">
        <f>IF(AND(AN66=1,ISNUMBER(V66)),1,0)</f>
        <v/>
      </c>
      <c r="BD66" s="17">
        <f>IF(BC66=1,IF(COUNTIFS($A$2:$A$201,$A66,$BC$2:$BC$201,1,$G$2:$G$201,"&lt;"&amp;G66)+COUNTIFS($A$2:$A$201,$A66,$BC$2:$BC$201,1,$G$2:$G$201,G66,$AM$2:$AM$201,"&lt;"&amp;AM66)=0,1,0),0)</f>
        <v/>
      </c>
      <c r="BE66" s="17">
        <f>IF(AND(BD66=1,G66&lt;=Config!$B$6),V66,"")</f>
        <v/>
      </c>
      <c r="BF66" s="17">
        <f>IF(AND(BD66=1,G66&lt;=Config!$B$7),V66,"")</f>
        <v/>
      </c>
      <c r="BG66" s="17">
        <f>IF(AND(BD66=1,G66&lt;=Config!$B$8),V66,"")</f>
        <v/>
      </c>
      <c r="BH66" s="17">
        <f>IF(AND(BD66=1,G66&lt;=Config!$B$5),V66,"")</f>
        <v/>
      </c>
      <c r="BI66" s="17">
        <f>IF(AND(AN66=1,ISNUMBER(J66)),1,0)</f>
        <v/>
      </c>
      <c r="BJ66" s="17">
        <f>IF(BI66=1,IF(COUNTIFS($A$2:$A$201,$A66,$BI$2:$BI$201,1,$G$2:$G$201,"&lt;"&amp;G66)+COUNTIFS($A$2:$A$201,$A66,$BI$2:$BI$201,1,$G$2:$G$201,G66,$AM$2:$AM$201,"&lt;"&amp;AM66)=0,1,0),0)</f>
        <v/>
      </c>
      <c r="BK66" s="17">
        <f>IF(AND(BJ66=1,G66&lt;=Config!$B$5),J66,"")</f>
        <v/>
      </c>
      <c r="BL66" s="17">
        <f>IF(AND(AN66=1,OR(AND(ISNUMBER(R66),TRIM(S66)=""),AND(ISNUMBER(V66),TRIM(W66)=""))),1,0)</f>
        <v/>
      </c>
      <c r="BM66" s="17">
        <f>IF(AN66=1,AB66&amp;"","")</f>
        <v/>
      </c>
      <c r="BN66" s="17">
        <f>IF(AN66=1,AC66&amp;"","")</f>
        <v/>
      </c>
      <c r="BO66" s="17">
        <f>IF(AN66=1,AD66&amp;"","")</f>
        <v/>
      </c>
      <c r="BP66" s="17">
        <f>IF(AND(AN66=1,ISNUMBER(AI66),G66&lt;=Config!$B$5),AI66,"")</f>
        <v/>
      </c>
      <c r="BQ66" s="17">
        <f>IF(AN66=1,IF(COUNTIFS($A$2:$A$201,$A66,$AF$2:$AF$201,"Y",$AN$2:$AN$201,1)&gt;0,"Y","N"),"")</f>
        <v/>
      </c>
      <c r="BR66" s="17">
        <f>IF(AND(AN66=1,AF66="Y"),IF(COUNTIFS($A$2:$A$201,$A66,$AF$2:$AF$201,"Y",$AN$2:$AN$201,1,$G$2:$G$201,"&lt;"&amp;G66)+COUNTIFS($A$2:$A$201,$A66,$AF$2:$AF$201,"Y",$AN$2:$AN$201,1,$G$2:$G$201,G66,$AM$2:$AM$201,"&lt;"&amp;AM66)=0,1,0),0)</f>
        <v/>
      </c>
      <c r="BS66" s="17">
        <f>IF(AN66=1,IFERROR(MATCH($A66,INDEX(Clay_Brands!$A$2:$FZ$601,0,Sync!$D$5),0),""),"")</f>
        <v/>
      </c>
      <c r="BT66" s="17">
        <f>IF(BS66="","",IFERROR(INDEX(Clay_Brands!$A$2:$FZ$601,BS66,Sync!$D$7)&amp;"",""))</f>
        <v/>
      </c>
      <c r="BU66" s="17">
        <f>IF(BT66="","",IFERROR(INDEX(Lists!$J$2:$J$15,MATCH(BT66,Lists!$I$2:$I$15,0)),""))</f>
        <v/>
      </c>
      <c r="BV66" s="17">
        <f>IF(BS66="","",IFERROR(INDEX(Clay_Brands!$A$2:$FZ$601,BS66,Sync!$D$17)&amp;"",""))</f>
        <v/>
      </c>
      <c r="BW66" s="23">
        <f>IF(BS66="","",IFERROR(N(INDEX(Clay_Brands!$A$2:$FZ$601,BS66,Sync!$D$16)),0))</f>
        <v/>
      </c>
    </row>
    <row r="67">
      <c r="G67" s="22" t="n"/>
      <c r="AL67" s="17">
        <f>IF(TRIM($A67)="","",IF(AND(LEFT($A67,6)="SAMPLE",Config!$B$19&lt;&gt;"Y"),"",IF(NOT(ISNUMBER(G67)),"call_date is blank or not a date",IF(Sync!$D$5="","Clay paste is empty or has no row_id column: paste the Clay export on Clay_Brands",IF(BS67="","row_id not found in the Clay paste: add the Clay row or fix the row_id",IF(AND(ISNUMBER(BU67),BU67&gt;=1,BU67&lt;=5),"Clay status is "&amp;BT67&amp;": set call_done or later",IF(AND(AP67=1,BV67&lt;&gt;BQ67),"Clay yes_in_principle should be "&amp;BQ67,IF(AND(AP67=1,BW67&lt;&gt;G67),"Clay call_date should be "&amp;TEXT(G67,"yyyy-mm-dd"),""))))))))</f>
        <v/>
      </c>
      <c r="AM67" s="17">
        <f>ROW()</f>
        <v/>
      </c>
      <c r="AN67" s="17">
        <f>IF(AND(TRIM($A67)&lt;&gt;"",ISNUMBER(G67)),IF(AND(LEFT($A67,6)="SAMPLE",Config!$B$19&lt;&gt;"Y"),0,1),0)</f>
        <v/>
      </c>
      <c r="AO67" s="17">
        <f>IF(AN67=1,IF(COUNTIFS($A$2:$A$201,$A67,$AN$2:$AN$201,1,$G$2:$G$201,"&lt;"&amp;G67)+COUNTIFS($A$2:$A$201,$A67,$AN$2:$AN$201,1,$G$2:$G$201,G67,$AM$2:$AM$201,"&lt;"&amp;AM67)=0,1,0),0)</f>
        <v/>
      </c>
      <c r="AP67" s="17">
        <f>IF(AN67=1,IF(COUNTIFS($A$2:$A$201,$A67,$AN$2:$AN$201,1,$G$2:$G$201,"&gt;"&amp;G67)+COUNTIFS($A$2:$A$201,$A67,$AN$2:$AN$201,1,$G$2:$G$201,G67,$AM$2:$AM$201,"&gt;"&amp;AM67)=0,1,0),0)</f>
        <v/>
      </c>
      <c r="AQ67" s="17">
        <f>IF(AND(AN67=1,N67="Y",MAX(N(R67),N(V67))&gt;=Config!$B$14),1,0)</f>
        <v/>
      </c>
      <c r="AR67" s="17">
        <f>IF(AQ67=1,IF(COUNTIFS($A$2:$A$201,$A67,$AQ$2:$AQ$201,1,$G$2:$G$201,"&lt;"&amp;G67)+COUNTIFS($A$2:$A$201,$A67,$AQ$2:$AQ$201,1,$G$2:$G$201,G67,$AM$2:$AM$201,"&lt;"&amp;AM67)=0,1,0),0)</f>
        <v/>
      </c>
      <c r="AS67" s="17">
        <f>IF(AND(AN67=1,N67="Y",ISNUMBER(R67)),IF(R67&gt;=Config!$B$14,1,0),0)</f>
        <v/>
      </c>
      <c r="AT67" s="17">
        <f>IF(AS67=1,IF(COUNTIFS($A$2:$A$201,$A67,$AS$2:$AS$201,1,$G$2:$G$201,"&lt;"&amp;G67)+COUNTIFS($A$2:$A$201,$A67,$AS$2:$AS$201,1,$G$2:$G$201,G67,$AM$2:$AM$201,"&lt;"&amp;AM67)=0,1,0),0)</f>
        <v/>
      </c>
      <c r="AU67" s="17">
        <f>IF(AND(AN67=1,N67&lt;&gt;"Y",MAX(N(R67),N(V67))&gt;=Config!$B$14),1,0)</f>
        <v/>
      </c>
      <c r="AV67" s="17">
        <f>IF(AU67=1,IF(COUNTIFS($A$2:$A$201,$A67,$AU$2:$AU$201,1,$G$2:$G$201,"&lt;"&amp;G67)+COUNTIFS($A$2:$A$201,$A67,$AU$2:$AU$201,1,$G$2:$G$201,G67,$AM$2:$AM$201,"&lt;"&amp;AM67)=0,1,0),0)</f>
        <v/>
      </c>
      <c r="AW67" s="17">
        <f>IF(AND(AN67=1,ISNUMBER(R67)),1,0)</f>
        <v/>
      </c>
      <c r="AX67" s="17">
        <f>IF(AW67=1,IF(COUNTIFS($A$2:$A$201,$A67,$AW$2:$AW$201,1,$G$2:$G$201,"&lt;"&amp;G67)+COUNTIFS($A$2:$A$201,$A67,$AW$2:$AW$201,1,$G$2:$G$201,G67,$AM$2:$AM$201,"&lt;"&amp;AM67)=0,1,0),0)</f>
        <v/>
      </c>
      <c r="AY67" s="17">
        <f>IF(AND(AX67=1,G67&lt;=Config!$B$6),R67,"")</f>
        <v/>
      </c>
      <c r="AZ67" s="17">
        <f>IF(AND(AX67=1,G67&lt;=Config!$B$7),R67,"")</f>
        <v/>
      </c>
      <c r="BA67" s="17">
        <f>IF(AND(AX67=1,G67&lt;=Config!$B$8),R67,"")</f>
        <v/>
      </c>
      <c r="BB67" s="17">
        <f>IF(AND(AX67=1,G67&lt;=Config!$B$5),R67,"")</f>
        <v/>
      </c>
      <c r="BC67" s="17">
        <f>IF(AND(AN67=1,ISNUMBER(V67)),1,0)</f>
        <v/>
      </c>
      <c r="BD67" s="17">
        <f>IF(BC67=1,IF(COUNTIFS($A$2:$A$201,$A67,$BC$2:$BC$201,1,$G$2:$G$201,"&lt;"&amp;G67)+COUNTIFS($A$2:$A$201,$A67,$BC$2:$BC$201,1,$G$2:$G$201,G67,$AM$2:$AM$201,"&lt;"&amp;AM67)=0,1,0),0)</f>
        <v/>
      </c>
      <c r="BE67" s="17">
        <f>IF(AND(BD67=1,G67&lt;=Config!$B$6),V67,"")</f>
        <v/>
      </c>
      <c r="BF67" s="17">
        <f>IF(AND(BD67=1,G67&lt;=Config!$B$7),V67,"")</f>
        <v/>
      </c>
      <c r="BG67" s="17">
        <f>IF(AND(BD67=1,G67&lt;=Config!$B$8),V67,"")</f>
        <v/>
      </c>
      <c r="BH67" s="17">
        <f>IF(AND(BD67=1,G67&lt;=Config!$B$5),V67,"")</f>
        <v/>
      </c>
      <c r="BI67" s="17">
        <f>IF(AND(AN67=1,ISNUMBER(J67)),1,0)</f>
        <v/>
      </c>
      <c r="BJ67" s="17">
        <f>IF(BI67=1,IF(COUNTIFS($A$2:$A$201,$A67,$BI$2:$BI$201,1,$G$2:$G$201,"&lt;"&amp;G67)+COUNTIFS($A$2:$A$201,$A67,$BI$2:$BI$201,1,$G$2:$G$201,G67,$AM$2:$AM$201,"&lt;"&amp;AM67)=0,1,0),0)</f>
        <v/>
      </c>
      <c r="BK67" s="17">
        <f>IF(AND(BJ67=1,G67&lt;=Config!$B$5),J67,"")</f>
        <v/>
      </c>
      <c r="BL67" s="17">
        <f>IF(AND(AN67=1,OR(AND(ISNUMBER(R67),TRIM(S67)=""),AND(ISNUMBER(V67),TRIM(W67)=""))),1,0)</f>
        <v/>
      </c>
      <c r="BM67" s="17">
        <f>IF(AN67=1,AB67&amp;"","")</f>
        <v/>
      </c>
      <c r="BN67" s="17">
        <f>IF(AN67=1,AC67&amp;"","")</f>
        <v/>
      </c>
      <c r="BO67" s="17">
        <f>IF(AN67=1,AD67&amp;"","")</f>
        <v/>
      </c>
      <c r="BP67" s="17">
        <f>IF(AND(AN67=1,ISNUMBER(AI67),G67&lt;=Config!$B$5),AI67,"")</f>
        <v/>
      </c>
      <c r="BQ67" s="17">
        <f>IF(AN67=1,IF(COUNTIFS($A$2:$A$201,$A67,$AF$2:$AF$201,"Y",$AN$2:$AN$201,1)&gt;0,"Y","N"),"")</f>
        <v/>
      </c>
      <c r="BR67" s="17">
        <f>IF(AND(AN67=1,AF67="Y"),IF(COUNTIFS($A$2:$A$201,$A67,$AF$2:$AF$201,"Y",$AN$2:$AN$201,1,$G$2:$G$201,"&lt;"&amp;G67)+COUNTIFS($A$2:$A$201,$A67,$AF$2:$AF$201,"Y",$AN$2:$AN$201,1,$G$2:$G$201,G67,$AM$2:$AM$201,"&lt;"&amp;AM67)=0,1,0),0)</f>
        <v/>
      </c>
      <c r="BS67" s="17">
        <f>IF(AN67=1,IFERROR(MATCH($A67,INDEX(Clay_Brands!$A$2:$FZ$601,0,Sync!$D$5),0),""),"")</f>
        <v/>
      </c>
      <c r="BT67" s="17">
        <f>IF(BS67="","",IFERROR(INDEX(Clay_Brands!$A$2:$FZ$601,BS67,Sync!$D$7)&amp;"",""))</f>
        <v/>
      </c>
      <c r="BU67" s="17">
        <f>IF(BT67="","",IFERROR(INDEX(Lists!$J$2:$J$15,MATCH(BT67,Lists!$I$2:$I$15,0)),""))</f>
        <v/>
      </c>
      <c r="BV67" s="17">
        <f>IF(BS67="","",IFERROR(INDEX(Clay_Brands!$A$2:$FZ$601,BS67,Sync!$D$17)&amp;"",""))</f>
        <v/>
      </c>
      <c r="BW67" s="23">
        <f>IF(BS67="","",IFERROR(N(INDEX(Clay_Brands!$A$2:$FZ$601,BS67,Sync!$D$16)),0))</f>
        <v/>
      </c>
    </row>
    <row r="68">
      <c r="G68" s="22" t="n"/>
      <c r="AL68" s="17">
        <f>IF(TRIM($A68)="","",IF(AND(LEFT($A68,6)="SAMPLE",Config!$B$19&lt;&gt;"Y"),"",IF(NOT(ISNUMBER(G68)),"call_date is blank or not a date",IF(Sync!$D$5="","Clay paste is empty or has no row_id column: paste the Clay export on Clay_Brands",IF(BS68="","row_id not found in the Clay paste: add the Clay row or fix the row_id",IF(AND(ISNUMBER(BU68),BU68&gt;=1,BU68&lt;=5),"Clay status is "&amp;BT68&amp;": set call_done or later",IF(AND(AP68=1,BV68&lt;&gt;BQ68),"Clay yes_in_principle should be "&amp;BQ68,IF(AND(AP68=1,BW68&lt;&gt;G68),"Clay call_date should be "&amp;TEXT(G68,"yyyy-mm-dd"),""))))))))</f>
        <v/>
      </c>
      <c r="AM68" s="17">
        <f>ROW()</f>
        <v/>
      </c>
      <c r="AN68" s="17">
        <f>IF(AND(TRIM($A68)&lt;&gt;"",ISNUMBER(G68)),IF(AND(LEFT($A68,6)="SAMPLE",Config!$B$19&lt;&gt;"Y"),0,1),0)</f>
        <v/>
      </c>
      <c r="AO68" s="17">
        <f>IF(AN68=1,IF(COUNTIFS($A$2:$A$201,$A68,$AN$2:$AN$201,1,$G$2:$G$201,"&lt;"&amp;G68)+COUNTIFS($A$2:$A$201,$A68,$AN$2:$AN$201,1,$G$2:$G$201,G68,$AM$2:$AM$201,"&lt;"&amp;AM68)=0,1,0),0)</f>
        <v/>
      </c>
      <c r="AP68" s="17">
        <f>IF(AN68=1,IF(COUNTIFS($A$2:$A$201,$A68,$AN$2:$AN$201,1,$G$2:$G$201,"&gt;"&amp;G68)+COUNTIFS($A$2:$A$201,$A68,$AN$2:$AN$201,1,$G$2:$G$201,G68,$AM$2:$AM$201,"&gt;"&amp;AM68)=0,1,0),0)</f>
        <v/>
      </c>
      <c r="AQ68" s="17">
        <f>IF(AND(AN68=1,N68="Y",MAX(N(R68),N(V68))&gt;=Config!$B$14),1,0)</f>
        <v/>
      </c>
      <c r="AR68" s="17">
        <f>IF(AQ68=1,IF(COUNTIFS($A$2:$A$201,$A68,$AQ$2:$AQ$201,1,$G$2:$G$201,"&lt;"&amp;G68)+COUNTIFS($A$2:$A$201,$A68,$AQ$2:$AQ$201,1,$G$2:$G$201,G68,$AM$2:$AM$201,"&lt;"&amp;AM68)=0,1,0),0)</f>
        <v/>
      </c>
      <c r="AS68" s="17">
        <f>IF(AND(AN68=1,N68="Y",ISNUMBER(R68)),IF(R68&gt;=Config!$B$14,1,0),0)</f>
        <v/>
      </c>
      <c r="AT68" s="17">
        <f>IF(AS68=1,IF(COUNTIFS($A$2:$A$201,$A68,$AS$2:$AS$201,1,$G$2:$G$201,"&lt;"&amp;G68)+COUNTIFS($A$2:$A$201,$A68,$AS$2:$AS$201,1,$G$2:$G$201,G68,$AM$2:$AM$201,"&lt;"&amp;AM68)=0,1,0),0)</f>
        <v/>
      </c>
      <c r="AU68" s="17">
        <f>IF(AND(AN68=1,N68&lt;&gt;"Y",MAX(N(R68),N(V68))&gt;=Config!$B$14),1,0)</f>
        <v/>
      </c>
      <c r="AV68" s="17">
        <f>IF(AU68=1,IF(COUNTIFS($A$2:$A$201,$A68,$AU$2:$AU$201,1,$G$2:$G$201,"&lt;"&amp;G68)+COUNTIFS($A$2:$A$201,$A68,$AU$2:$AU$201,1,$G$2:$G$201,G68,$AM$2:$AM$201,"&lt;"&amp;AM68)=0,1,0),0)</f>
        <v/>
      </c>
      <c r="AW68" s="17">
        <f>IF(AND(AN68=1,ISNUMBER(R68)),1,0)</f>
        <v/>
      </c>
      <c r="AX68" s="17">
        <f>IF(AW68=1,IF(COUNTIFS($A$2:$A$201,$A68,$AW$2:$AW$201,1,$G$2:$G$201,"&lt;"&amp;G68)+COUNTIFS($A$2:$A$201,$A68,$AW$2:$AW$201,1,$G$2:$G$201,G68,$AM$2:$AM$201,"&lt;"&amp;AM68)=0,1,0),0)</f>
        <v/>
      </c>
      <c r="AY68" s="17">
        <f>IF(AND(AX68=1,G68&lt;=Config!$B$6),R68,"")</f>
        <v/>
      </c>
      <c r="AZ68" s="17">
        <f>IF(AND(AX68=1,G68&lt;=Config!$B$7),R68,"")</f>
        <v/>
      </c>
      <c r="BA68" s="17">
        <f>IF(AND(AX68=1,G68&lt;=Config!$B$8),R68,"")</f>
        <v/>
      </c>
      <c r="BB68" s="17">
        <f>IF(AND(AX68=1,G68&lt;=Config!$B$5),R68,"")</f>
        <v/>
      </c>
      <c r="BC68" s="17">
        <f>IF(AND(AN68=1,ISNUMBER(V68)),1,0)</f>
        <v/>
      </c>
      <c r="BD68" s="17">
        <f>IF(BC68=1,IF(COUNTIFS($A$2:$A$201,$A68,$BC$2:$BC$201,1,$G$2:$G$201,"&lt;"&amp;G68)+COUNTIFS($A$2:$A$201,$A68,$BC$2:$BC$201,1,$G$2:$G$201,G68,$AM$2:$AM$201,"&lt;"&amp;AM68)=0,1,0),0)</f>
        <v/>
      </c>
      <c r="BE68" s="17">
        <f>IF(AND(BD68=1,G68&lt;=Config!$B$6),V68,"")</f>
        <v/>
      </c>
      <c r="BF68" s="17">
        <f>IF(AND(BD68=1,G68&lt;=Config!$B$7),V68,"")</f>
        <v/>
      </c>
      <c r="BG68" s="17">
        <f>IF(AND(BD68=1,G68&lt;=Config!$B$8),V68,"")</f>
        <v/>
      </c>
      <c r="BH68" s="17">
        <f>IF(AND(BD68=1,G68&lt;=Config!$B$5),V68,"")</f>
        <v/>
      </c>
      <c r="BI68" s="17">
        <f>IF(AND(AN68=1,ISNUMBER(J68)),1,0)</f>
        <v/>
      </c>
      <c r="BJ68" s="17">
        <f>IF(BI68=1,IF(COUNTIFS($A$2:$A$201,$A68,$BI$2:$BI$201,1,$G$2:$G$201,"&lt;"&amp;G68)+COUNTIFS($A$2:$A$201,$A68,$BI$2:$BI$201,1,$G$2:$G$201,G68,$AM$2:$AM$201,"&lt;"&amp;AM68)=0,1,0),0)</f>
        <v/>
      </c>
      <c r="BK68" s="17">
        <f>IF(AND(BJ68=1,G68&lt;=Config!$B$5),J68,"")</f>
        <v/>
      </c>
      <c r="BL68" s="17">
        <f>IF(AND(AN68=1,OR(AND(ISNUMBER(R68),TRIM(S68)=""),AND(ISNUMBER(V68),TRIM(W68)=""))),1,0)</f>
        <v/>
      </c>
      <c r="BM68" s="17">
        <f>IF(AN68=1,AB68&amp;"","")</f>
        <v/>
      </c>
      <c r="BN68" s="17">
        <f>IF(AN68=1,AC68&amp;"","")</f>
        <v/>
      </c>
      <c r="BO68" s="17">
        <f>IF(AN68=1,AD68&amp;"","")</f>
        <v/>
      </c>
      <c r="BP68" s="17">
        <f>IF(AND(AN68=1,ISNUMBER(AI68),G68&lt;=Config!$B$5),AI68,"")</f>
        <v/>
      </c>
      <c r="BQ68" s="17">
        <f>IF(AN68=1,IF(COUNTIFS($A$2:$A$201,$A68,$AF$2:$AF$201,"Y",$AN$2:$AN$201,1)&gt;0,"Y","N"),"")</f>
        <v/>
      </c>
      <c r="BR68" s="17">
        <f>IF(AND(AN68=1,AF68="Y"),IF(COUNTIFS($A$2:$A$201,$A68,$AF$2:$AF$201,"Y",$AN$2:$AN$201,1,$G$2:$G$201,"&lt;"&amp;G68)+COUNTIFS($A$2:$A$201,$A68,$AF$2:$AF$201,"Y",$AN$2:$AN$201,1,$G$2:$G$201,G68,$AM$2:$AM$201,"&lt;"&amp;AM68)=0,1,0),0)</f>
        <v/>
      </c>
      <c r="BS68" s="17">
        <f>IF(AN68=1,IFERROR(MATCH($A68,INDEX(Clay_Brands!$A$2:$FZ$601,0,Sync!$D$5),0),""),"")</f>
        <v/>
      </c>
      <c r="BT68" s="17">
        <f>IF(BS68="","",IFERROR(INDEX(Clay_Brands!$A$2:$FZ$601,BS68,Sync!$D$7)&amp;"",""))</f>
        <v/>
      </c>
      <c r="BU68" s="17">
        <f>IF(BT68="","",IFERROR(INDEX(Lists!$J$2:$J$15,MATCH(BT68,Lists!$I$2:$I$15,0)),""))</f>
        <v/>
      </c>
      <c r="BV68" s="17">
        <f>IF(BS68="","",IFERROR(INDEX(Clay_Brands!$A$2:$FZ$601,BS68,Sync!$D$17)&amp;"",""))</f>
        <v/>
      </c>
      <c r="BW68" s="23">
        <f>IF(BS68="","",IFERROR(N(INDEX(Clay_Brands!$A$2:$FZ$601,BS68,Sync!$D$16)),0))</f>
        <v/>
      </c>
    </row>
    <row r="69">
      <c r="G69" s="22" t="n"/>
      <c r="AL69" s="17">
        <f>IF(TRIM($A69)="","",IF(AND(LEFT($A69,6)="SAMPLE",Config!$B$19&lt;&gt;"Y"),"",IF(NOT(ISNUMBER(G69)),"call_date is blank or not a date",IF(Sync!$D$5="","Clay paste is empty or has no row_id column: paste the Clay export on Clay_Brands",IF(BS69="","row_id not found in the Clay paste: add the Clay row or fix the row_id",IF(AND(ISNUMBER(BU69),BU69&gt;=1,BU69&lt;=5),"Clay status is "&amp;BT69&amp;": set call_done or later",IF(AND(AP69=1,BV69&lt;&gt;BQ69),"Clay yes_in_principle should be "&amp;BQ69,IF(AND(AP69=1,BW69&lt;&gt;G69),"Clay call_date should be "&amp;TEXT(G69,"yyyy-mm-dd"),""))))))))</f>
        <v/>
      </c>
      <c r="AM69" s="17">
        <f>ROW()</f>
        <v/>
      </c>
      <c r="AN69" s="17">
        <f>IF(AND(TRIM($A69)&lt;&gt;"",ISNUMBER(G69)),IF(AND(LEFT($A69,6)="SAMPLE",Config!$B$19&lt;&gt;"Y"),0,1),0)</f>
        <v/>
      </c>
      <c r="AO69" s="17">
        <f>IF(AN69=1,IF(COUNTIFS($A$2:$A$201,$A69,$AN$2:$AN$201,1,$G$2:$G$201,"&lt;"&amp;G69)+COUNTIFS($A$2:$A$201,$A69,$AN$2:$AN$201,1,$G$2:$G$201,G69,$AM$2:$AM$201,"&lt;"&amp;AM69)=0,1,0),0)</f>
        <v/>
      </c>
      <c r="AP69" s="17">
        <f>IF(AN69=1,IF(COUNTIFS($A$2:$A$201,$A69,$AN$2:$AN$201,1,$G$2:$G$201,"&gt;"&amp;G69)+COUNTIFS($A$2:$A$201,$A69,$AN$2:$AN$201,1,$G$2:$G$201,G69,$AM$2:$AM$201,"&gt;"&amp;AM69)=0,1,0),0)</f>
        <v/>
      </c>
      <c r="AQ69" s="17">
        <f>IF(AND(AN69=1,N69="Y",MAX(N(R69),N(V69))&gt;=Config!$B$14),1,0)</f>
        <v/>
      </c>
      <c r="AR69" s="17">
        <f>IF(AQ69=1,IF(COUNTIFS($A$2:$A$201,$A69,$AQ$2:$AQ$201,1,$G$2:$G$201,"&lt;"&amp;G69)+COUNTIFS($A$2:$A$201,$A69,$AQ$2:$AQ$201,1,$G$2:$G$201,G69,$AM$2:$AM$201,"&lt;"&amp;AM69)=0,1,0),0)</f>
        <v/>
      </c>
      <c r="AS69" s="17">
        <f>IF(AND(AN69=1,N69="Y",ISNUMBER(R69)),IF(R69&gt;=Config!$B$14,1,0),0)</f>
        <v/>
      </c>
      <c r="AT69" s="17">
        <f>IF(AS69=1,IF(COUNTIFS($A$2:$A$201,$A69,$AS$2:$AS$201,1,$G$2:$G$201,"&lt;"&amp;G69)+COUNTIFS($A$2:$A$201,$A69,$AS$2:$AS$201,1,$G$2:$G$201,G69,$AM$2:$AM$201,"&lt;"&amp;AM69)=0,1,0),0)</f>
        <v/>
      </c>
      <c r="AU69" s="17">
        <f>IF(AND(AN69=1,N69&lt;&gt;"Y",MAX(N(R69),N(V69))&gt;=Config!$B$14),1,0)</f>
        <v/>
      </c>
      <c r="AV69" s="17">
        <f>IF(AU69=1,IF(COUNTIFS($A$2:$A$201,$A69,$AU$2:$AU$201,1,$G$2:$G$201,"&lt;"&amp;G69)+COUNTIFS($A$2:$A$201,$A69,$AU$2:$AU$201,1,$G$2:$G$201,G69,$AM$2:$AM$201,"&lt;"&amp;AM69)=0,1,0),0)</f>
        <v/>
      </c>
      <c r="AW69" s="17">
        <f>IF(AND(AN69=1,ISNUMBER(R69)),1,0)</f>
        <v/>
      </c>
      <c r="AX69" s="17">
        <f>IF(AW69=1,IF(COUNTIFS($A$2:$A$201,$A69,$AW$2:$AW$201,1,$G$2:$G$201,"&lt;"&amp;G69)+COUNTIFS($A$2:$A$201,$A69,$AW$2:$AW$201,1,$G$2:$G$201,G69,$AM$2:$AM$201,"&lt;"&amp;AM69)=0,1,0),0)</f>
        <v/>
      </c>
      <c r="AY69" s="17">
        <f>IF(AND(AX69=1,G69&lt;=Config!$B$6),R69,"")</f>
        <v/>
      </c>
      <c r="AZ69" s="17">
        <f>IF(AND(AX69=1,G69&lt;=Config!$B$7),R69,"")</f>
        <v/>
      </c>
      <c r="BA69" s="17">
        <f>IF(AND(AX69=1,G69&lt;=Config!$B$8),R69,"")</f>
        <v/>
      </c>
      <c r="BB69" s="17">
        <f>IF(AND(AX69=1,G69&lt;=Config!$B$5),R69,"")</f>
        <v/>
      </c>
      <c r="BC69" s="17">
        <f>IF(AND(AN69=1,ISNUMBER(V69)),1,0)</f>
        <v/>
      </c>
      <c r="BD69" s="17">
        <f>IF(BC69=1,IF(COUNTIFS($A$2:$A$201,$A69,$BC$2:$BC$201,1,$G$2:$G$201,"&lt;"&amp;G69)+COUNTIFS($A$2:$A$201,$A69,$BC$2:$BC$201,1,$G$2:$G$201,G69,$AM$2:$AM$201,"&lt;"&amp;AM69)=0,1,0),0)</f>
        <v/>
      </c>
      <c r="BE69" s="17">
        <f>IF(AND(BD69=1,G69&lt;=Config!$B$6),V69,"")</f>
        <v/>
      </c>
      <c r="BF69" s="17">
        <f>IF(AND(BD69=1,G69&lt;=Config!$B$7),V69,"")</f>
        <v/>
      </c>
      <c r="BG69" s="17">
        <f>IF(AND(BD69=1,G69&lt;=Config!$B$8),V69,"")</f>
        <v/>
      </c>
      <c r="BH69" s="17">
        <f>IF(AND(BD69=1,G69&lt;=Config!$B$5),V69,"")</f>
        <v/>
      </c>
      <c r="BI69" s="17">
        <f>IF(AND(AN69=1,ISNUMBER(J69)),1,0)</f>
        <v/>
      </c>
      <c r="BJ69" s="17">
        <f>IF(BI69=1,IF(COUNTIFS($A$2:$A$201,$A69,$BI$2:$BI$201,1,$G$2:$G$201,"&lt;"&amp;G69)+COUNTIFS($A$2:$A$201,$A69,$BI$2:$BI$201,1,$G$2:$G$201,G69,$AM$2:$AM$201,"&lt;"&amp;AM69)=0,1,0),0)</f>
        <v/>
      </c>
      <c r="BK69" s="17">
        <f>IF(AND(BJ69=1,G69&lt;=Config!$B$5),J69,"")</f>
        <v/>
      </c>
      <c r="BL69" s="17">
        <f>IF(AND(AN69=1,OR(AND(ISNUMBER(R69),TRIM(S69)=""),AND(ISNUMBER(V69),TRIM(W69)=""))),1,0)</f>
        <v/>
      </c>
      <c r="BM69" s="17">
        <f>IF(AN69=1,AB69&amp;"","")</f>
        <v/>
      </c>
      <c r="BN69" s="17">
        <f>IF(AN69=1,AC69&amp;"","")</f>
        <v/>
      </c>
      <c r="BO69" s="17">
        <f>IF(AN69=1,AD69&amp;"","")</f>
        <v/>
      </c>
      <c r="BP69" s="17">
        <f>IF(AND(AN69=1,ISNUMBER(AI69),G69&lt;=Config!$B$5),AI69,"")</f>
        <v/>
      </c>
      <c r="BQ69" s="17">
        <f>IF(AN69=1,IF(COUNTIFS($A$2:$A$201,$A69,$AF$2:$AF$201,"Y",$AN$2:$AN$201,1)&gt;0,"Y","N"),"")</f>
        <v/>
      </c>
      <c r="BR69" s="17">
        <f>IF(AND(AN69=1,AF69="Y"),IF(COUNTIFS($A$2:$A$201,$A69,$AF$2:$AF$201,"Y",$AN$2:$AN$201,1,$G$2:$G$201,"&lt;"&amp;G69)+COUNTIFS($A$2:$A$201,$A69,$AF$2:$AF$201,"Y",$AN$2:$AN$201,1,$G$2:$G$201,G69,$AM$2:$AM$201,"&lt;"&amp;AM69)=0,1,0),0)</f>
        <v/>
      </c>
      <c r="BS69" s="17">
        <f>IF(AN69=1,IFERROR(MATCH($A69,INDEX(Clay_Brands!$A$2:$FZ$601,0,Sync!$D$5),0),""),"")</f>
        <v/>
      </c>
      <c r="BT69" s="17">
        <f>IF(BS69="","",IFERROR(INDEX(Clay_Brands!$A$2:$FZ$601,BS69,Sync!$D$7)&amp;"",""))</f>
        <v/>
      </c>
      <c r="BU69" s="17">
        <f>IF(BT69="","",IFERROR(INDEX(Lists!$J$2:$J$15,MATCH(BT69,Lists!$I$2:$I$15,0)),""))</f>
        <v/>
      </c>
      <c r="BV69" s="17">
        <f>IF(BS69="","",IFERROR(INDEX(Clay_Brands!$A$2:$FZ$601,BS69,Sync!$D$17)&amp;"",""))</f>
        <v/>
      </c>
      <c r="BW69" s="23">
        <f>IF(BS69="","",IFERROR(N(INDEX(Clay_Brands!$A$2:$FZ$601,BS69,Sync!$D$16)),0))</f>
        <v/>
      </c>
    </row>
    <row r="70">
      <c r="G70" s="22" t="n"/>
      <c r="AL70" s="17">
        <f>IF(TRIM($A70)="","",IF(AND(LEFT($A70,6)="SAMPLE",Config!$B$19&lt;&gt;"Y"),"",IF(NOT(ISNUMBER(G70)),"call_date is blank or not a date",IF(Sync!$D$5="","Clay paste is empty or has no row_id column: paste the Clay export on Clay_Brands",IF(BS70="","row_id not found in the Clay paste: add the Clay row or fix the row_id",IF(AND(ISNUMBER(BU70),BU70&gt;=1,BU70&lt;=5),"Clay status is "&amp;BT70&amp;": set call_done or later",IF(AND(AP70=1,BV70&lt;&gt;BQ70),"Clay yes_in_principle should be "&amp;BQ70,IF(AND(AP70=1,BW70&lt;&gt;G70),"Clay call_date should be "&amp;TEXT(G70,"yyyy-mm-dd"),""))))))))</f>
        <v/>
      </c>
      <c r="AM70" s="17">
        <f>ROW()</f>
        <v/>
      </c>
      <c r="AN70" s="17">
        <f>IF(AND(TRIM($A70)&lt;&gt;"",ISNUMBER(G70)),IF(AND(LEFT($A70,6)="SAMPLE",Config!$B$19&lt;&gt;"Y"),0,1),0)</f>
        <v/>
      </c>
      <c r="AO70" s="17">
        <f>IF(AN70=1,IF(COUNTIFS($A$2:$A$201,$A70,$AN$2:$AN$201,1,$G$2:$G$201,"&lt;"&amp;G70)+COUNTIFS($A$2:$A$201,$A70,$AN$2:$AN$201,1,$G$2:$G$201,G70,$AM$2:$AM$201,"&lt;"&amp;AM70)=0,1,0),0)</f>
        <v/>
      </c>
      <c r="AP70" s="17">
        <f>IF(AN70=1,IF(COUNTIFS($A$2:$A$201,$A70,$AN$2:$AN$201,1,$G$2:$G$201,"&gt;"&amp;G70)+COUNTIFS($A$2:$A$201,$A70,$AN$2:$AN$201,1,$G$2:$G$201,G70,$AM$2:$AM$201,"&gt;"&amp;AM70)=0,1,0),0)</f>
        <v/>
      </c>
      <c r="AQ70" s="17">
        <f>IF(AND(AN70=1,N70="Y",MAX(N(R70),N(V70))&gt;=Config!$B$14),1,0)</f>
        <v/>
      </c>
      <c r="AR70" s="17">
        <f>IF(AQ70=1,IF(COUNTIFS($A$2:$A$201,$A70,$AQ$2:$AQ$201,1,$G$2:$G$201,"&lt;"&amp;G70)+COUNTIFS($A$2:$A$201,$A70,$AQ$2:$AQ$201,1,$G$2:$G$201,G70,$AM$2:$AM$201,"&lt;"&amp;AM70)=0,1,0),0)</f>
        <v/>
      </c>
      <c r="AS70" s="17">
        <f>IF(AND(AN70=1,N70="Y",ISNUMBER(R70)),IF(R70&gt;=Config!$B$14,1,0),0)</f>
        <v/>
      </c>
      <c r="AT70" s="17">
        <f>IF(AS70=1,IF(COUNTIFS($A$2:$A$201,$A70,$AS$2:$AS$201,1,$G$2:$G$201,"&lt;"&amp;G70)+COUNTIFS($A$2:$A$201,$A70,$AS$2:$AS$201,1,$G$2:$G$201,G70,$AM$2:$AM$201,"&lt;"&amp;AM70)=0,1,0),0)</f>
        <v/>
      </c>
      <c r="AU70" s="17">
        <f>IF(AND(AN70=1,N70&lt;&gt;"Y",MAX(N(R70),N(V70))&gt;=Config!$B$14),1,0)</f>
        <v/>
      </c>
      <c r="AV70" s="17">
        <f>IF(AU70=1,IF(COUNTIFS($A$2:$A$201,$A70,$AU$2:$AU$201,1,$G$2:$G$201,"&lt;"&amp;G70)+COUNTIFS($A$2:$A$201,$A70,$AU$2:$AU$201,1,$G$2:$G$201,G70,$AM$2:$AM$201,"&lt;"&amp;AM70)=0,1,0),0)</f>
        <v/>
      </c>
      <c r="AW70" s="17">
        <f>IF(AND(AN70=1,ISNUMBER(R70)),1,0)</f>
        <v/>
      </c>
      <c r="AX70" s="17">
        <f>IF(AW70=1,IF(COUNTIFS($A$2:$A$201,$A70,$AW$2:$AW$201,1,$G$2:$G$201,"&lt;"&amp;G70)+COUNTIFS($A$2:$A$201,$A70,$AW$2:$AW$201,1,$G$2:$G$201,G70,$AM$2:$AM$201,"&lt;"&amp;AM70)=0,1,0),0)</f>
        <v/>
      </c>
      <c r="AY70" s="17">
        <f>IF(AND(AX70=1,G70&lt;=Config!$B$6),R70,"")</f>
        <v/>
      </c>
      <c r="AZ70" s="17">
        <f>IF(AND(AX70=1,G70&lt;=Config!$B$7),R70,"")</f>
        <v/>
      </c>
      <c r="BA70" s="17">
        <f>IF(AND(AX70=1,G70&lt;=Config!$B$8),R70,"")</f>
        <v/>
      </c>
      <c r="BB70" s="17">
        <f>IF(AND(AX70=1,G70&lt;=Config!$B$5),R70,"")</f>
        <v/>
      </c>
      <c r="BC70" s="17">
        <f>IF(AND(AN70=1,ISNUMBER(V70)),1,0)</f>
        <v/>
      </c>
      <c r="BD70" s="17">
        <f>IF(BC70=1,IF(COUNTIFS($A$2:$A$201,$A70,$BC$2:$BC$201,1,$G$2:$G$201,"&lt;"&amp;G70)+COUNTIFS($A$2:$A$201,$A70,$BC$2:$BC$201,1,$G$2:$G$201,G70,$AM$2:$AM$201,"&lt;"&amp;AM70)=0,1,0),0)</f>
        <v/>
      </c>
      <c r="BE70" s="17">
        <f>IF(AND(BD70=1,G70&lt;=Config!$B$6),V70,"")</f>
        <v/>
      </c>
      <c r="BF70" s="17">
        <f>IF(AND(BD70=1,G70&lt;=Config!$B$7),V70,"")</f>
        <v/>
      </c>
      <c r="BG70" s="17">
        <f>IF(AND(BD70=1,G70&lt;=Config!$B$8),V70,"")</f>
        <v/>
      </c>
      <c r="BH70" s="17">
        <f>IF(AND(BD70=1,G70&lt;=Config!$B$5),V70,"")</f>
        <v/>
      </c>
      <c r="BI70" s="17">
        <f>IF(AND(AN70=1,ISNUMBER(J70)),1,0)</f>
        <v/>
      </c>
      <c r="BJ70" s="17">
        <f>IF(BI70=1,IF(COUNTIFS($A$2:$A$201,$A70,$BI$2:$BI$201,1,$G$2:$G$201,"&lt;"&amp;G70)+COUNTIFS($A$2:$A$201,$A70,$BI$2:$BI$201,1,$G$2:$G$201,G70,$AM$2:$AM$201,"&lt;"&amp;AM70)=0,1,0),0)</f>
        <v/>
      </c>
      <c r="BK70" s="17">
        <f>IF(AND(BJ70=1,G70&lt;=Config!$B$5),J70,"")</f>
        <v/>
      </c>
      <c r="BL70" s="17">
        <f>IF(AND(AN70=1,OR(AND(ISNUMBER(R70),TRIM(S70)=""),AND(ISNUMBER(V70),TRIM(W70)=""))),1,0)</f>
        <v/>
      </c>
      <c r="BM70" s="17">
        <f>IF(AN70=1,AB70&amp;"","")</f>
        <v/>
      </c>
      <c r="BN70" s="17">
        <f>IF(AN70=1,AC70&amp;"","")</f>
        <v/>
      </c>
      <c r="BO70" s="17">
        <f>IF(AN70=1,AD70&amp;"","")</f>
        <v/>
      </c>
      <c r="BP70" s="17">
        <f>IF(AND(AN70=1,ISNUMBER(AI70),G70&lt;=Config!$B$5),AI70,"")</f>
        <v/>
      </c>
      <c r="BQ70" s="17">
        <f>IF(AN70=1,IF(COUNTIFS($A$2:$A$201,$A70,$AF$2:$AF$201,"Y",$AN$2:$AN$201,1)&gt;0,"Y","N"),"")</f>
        <v/>
      </c>
      <c r="BR70" s="17">
        <f>IF(AND(AN70=1,AF70="Y"),IF(COUNTIFS($A$2:$A$201,$A70,$AF$2:$AF$201,"Y",$AN$2:$AN$201,1,$G$2:$G$201,"&lt;"&amp;G70)+COUNTIFS($A$2:$A$201,$A70,$AF$2:$AF$201,"Y",$AN$2:$AN$201,1,$G$2:$G$201,G70,$AM$2:$AM$201,"&lt;"&amp;AM70)=0,1,0),0)</f>
        <v/>
      </c>
      <c r="BS70" s="17">
        <f>IF(AN70=1,IFERROR(MATCH($A70,INDEX(Clay_Brands!$A$2:$FZ$601,0,Sync!$D$5),0),""),"")</f>
        <v/>
      </c>
      <c r="BT70" s="17">
        <f>IF(BS70="","",IFERROR(INDEX(Clay_Brands!$A$2:$FZ$601,BS70,Sync!$D$7)&amp;"",""))</f>
        <v/>
      </c>
      <c r="BU70" s="17">
        <f>IF(BT70="","",IFERROR(INDEX(Lists!$J$2:$J$15,MATCH(BT70,Lists!$I$2:$I$15,0)),""))</f>
        <v/>
      </c>
      <c r="BV70" s="17">
        <f>IF(BS70="","",IFERROR(INDEX(Clay_Brands!$A$2:$FZ$601,BS70,Sync!$D$17)&amp;"",""))</f>
        <v/>
      </c>
      <c r="BW70" s="23">
        <f>IF(BS70="","",IFERROR(N(INDEX(Clay_Brands!$A$2:$FZ$601,BS70,Sync!$D$16)),0))</f>
        <v/>
      </c>
    </row>
    <row r="71">
      <c r="G71" s="22" t="n"/>
      <c r="AL71" s="17">
        <f>IF(TRIM($A71)="","",IF(AND(LEFT($A71,6)="SAMPLE",Config!$B$19&lt;&gt;"Y"),"",IF(NOT(ISNUMBER(G71)),"call_date is blank or not a date",IF(Sync!$D$5="","Clay paste is empty or has no row_id column: paste the Clay export on Clay_Brands",IF(BS71="","row_id not found in the Clay paste: add the Clay row or fix the row_id",IF(AND(ISNUMBER(BU71),BU71&gt;=1,BU71&lt;=5),"Clay status is "&amp;BT71&amp;": set call_done or later",IF(AND(AP71=1,BV71&lt;&gt;BQ71),"Clay yes_in_principle should be "&amp;BQ71,IF(AND(AP71=1,BW71&lt;&gt;G71),"Clay call_date should be "&amp;TEXT(G71,"yyyy-mm-dd"),""))))))))</f>
        <v/>
      </c>
      <c r="AM71" s="17">
        <f>ROW()</f>
        <v/>
      </c>
      <c r="AN71" s="17">
        <f>IF(AND(TRIM($A71)&lt;&gt;"",ISNUMBER(G71)),IF(AND(LEFT($A71,6)="SAMPLE",Config!$B$19&lt;&gt;"Y"),0,1),0)</f>
        <v/>
      </c>
      <c r="AO71" s="17">
        <f>IF(AN71=1,IF(COUNTIFS($A$2:$A$201,$A71,$AN$2:$AN$201,1,$G$2:$G$201,"&lt;"&amp;G71)+COUNTIFS($A$2:$A$201,$A71,$AN$2:$AN$201,1,$G$2:$G$201,G71,$AM$2:$AM$201,"&lt;"&amp;AM71)=0,1,0),0)</f>
        <v/>
      </c>
      <c r="AP71" s="17">
        <f>IF(AN71=1,IF(COUNTIFS($A$2:$A$201,$A71,$AN$2:$AN$201,1,$G$2:$G$201,"&gt;"&amp;G71)+COUNTIFS($A$2:$A$201,$A71,$AN$2:$AN$201,1,$G$2:$G$201,G71,$AM$2:$AM$201,"&gt;"&amp;AM71)=0,1,0),0)</f>
        <v/>
      </c>
      <c r="AQ71" s="17">
        <f>IF(AND(AN71=1,N71="Y",MAX(N(R71),N(V71))&gt;=Config!$B$14),1,0)</f>
        <v/>
      </c>
      <c r="AR71" s="17">
        <f>IF(AQ71=1,IF(COUNTIFS($A$2:$A$201,$A71,$AQ$2:$AQ$201,1,$G$2:$G$201,"&lt;"&amp;G71)+COUNTIFS($A$2:$A$201,$A71,$AQ$2:$AQ$201,1,$G$2:$G$201,G71,$AM$2:$AM$201,"&lt;"&amp;AM71)=0,1,0),0)</f>
        <v/>
      </c>
      <c r="AS71" s="17">
        <f>IF(AND(AN71=1,N71="Y",ISNUMBER(R71)),IF(R71&gt;=Config!$B$14,1,0),0)</f>
        <v/>
      </c>
      <c r="AT71" s="17">
        <f>IF(AS71=1,IF(COUNTIFS($A$2:$A$201,$A71,$AS$2:$AS$201,1,$G$2:$G$201,"&lt;"&amp;G71)+COUNTIFS($A$2:$A$201,$A71,$AS$2:$AS$201,1,$G$2:$G$201,G71,$AM$2:$AM$201,"&lt;"&amp;AM71)=0,1,0),0)</f>
        <v/>
      </c>
      <c r="AU71" s="17">
        <f>IF(AND(AN71=1,N71&lt;&gt;"Y",MAX(N(R71),N(V71))&gt;=Config!$B$14),1,0)</f>
        <v/>
      </c>
      <c r="AV71" s="17">
        <f>IF(AU71=1,IF(COUNTIFS($A$2:$A$201,$A71,$AU$2:$AU$201,1,$G$2:$G$201,"&lt;"&amp;G71)+COUNTIFS($A$2:$A$201,$A71,$AU$2:$AU$201,1,$G$2:$G$201,G71,$AM$2:$AM$201,"&lt;"&amp;AM71)=0,1,0),0)</f>
        <v/>
      </c>
      <c r="AW71" s="17">
        <f>IF(AND(AN71=1,ISNUMBER(R71)),1,0)</f>
        <v/>
      </c>
      <c r="AX71" s="17">
        <f>IF(AW71=1,IF(COUNTIFS($A$2:$A$201,$A71,$AW$2:$AW$201,1,$G$2:$G$201,"&lt;"&amp;G71)+COUNTIFS($A$2:$A$201,$A71,$AW$2:$AW$201,1,$G$2:$G$201,G71,$AM$2:$AM$201,"&lt;"&amp;AM71)=0,1,0),0)</f>
        <v/>
      </c>
      <c r="AY71" s="17">
        <f>IF(AND(AX71=1,G71&lt;=Config!$B$6),R71,"")</f>
        <v/>
      </c>
      <c r="AZ71" s="17">
        <f>IF(AND(AX71=1,G71&lt;=Config!$B$7),R71,"")</f>
        <v/>
      </c>
      <c r="BA71" s="17">
        <f>IF(AND(AX71=1,G71&lt;=Config!$B$8),R71,"")</f>
        <v/>
      </c>
      <c r="BB71" s="17">
        <f>IF(AND(AX71=1,G71&lt;=Config!$B$5),R71,"")</f>
        <v/>
      </c>
      <c r="BC71" s="17">
        <f>IF(AND(AN71=1,ISNUMBER(V71)),1,0)</f>
        <v/>
      </c>
      <c r="BD71" s="17">
        <f>IF(BC71=1,IF(COUNTIFS($A$2:$A$201,$A71,$BC$2:$BC$201,1,$G$2:$G$201,"&lt;"&amp;G71)+COUNTIFS($A$2:$A$201,$A71,$BC$2:$BC$201,1,$G$2:$G$201,G71,$AM$2:$AM$201,"&lt;"&amp;AM71)=0,1,0),0)</f>
        <v/>
      </c>
      <c r="BE71" s="17">
        <f>IF(AND(BD71=1,G71&lt;=Config!$B$6),V71,"")</f>
        <v/>
      </c>
      <c r="BF71" s="17">
        <f>IF(AND(BD71=1,G71&lt;=Config!$B$7),V71,"")</f>
        <v/>
      </c>
      <c r="BG71" s="17">
        <f>IF(AND(BD71=1,G71&lt;=Config!$B$8),V71,"")</f>
        <v/>
      </c>
      <c r="BH71" s="17">
        <f>IF(AND(BD71=1,G71&lt;=Config!$B$5),V71,"")</f>
        <v/>
      </c>
      <c r="BI71" s="17">
        <f>IF(AND(AN71=1,ISNUMBER(J71)),1,0)</f>
        <v/>
      </c>
      <c r="BJ71" s="17">
        <f>IF(BI71=1,IF(COUNTIFS($A$2:$A$201,$A71,$BI$2:$BI$201,1,$G$2:$G$201,"&lt;"&amp;G71)+COUNTIFS($A$2:$A$201,$A71,$BI$2:$BI$201,1,$G$2:$G$201,G71,$AM$2:$AM$201,"&lt;"&amp;AM71)=0,1,0),0)</f>
        <v/>
      </c>
      <c r="BK71" s="17">
        <f>IF(AND(BJ71=1,G71&lt;=Config!$B$5),J71,"")</f>
        <v/>
      </c>
      <c r="BL71" s="17">
        <f>IF(AND(AN71=1,OR(AND(ISNUMBER(R71),TRIM(S71)=""),AND(ISNUMBER(V71),TRIM(W71)=""))),1,0)</f>
        <v/>
      </c>
      <c r="BM71" s="17">
        <f>IF(AN71=1,AB71&amp;"","")</f>
        <v/>
      </c>
      <c r="BN71" s="17">
        <f>IF(AN71=1,AC71&amp;"","")</f>
        <v/>
      </c>
      <c r="BO71" s="17">
        <f>IF(AN71=1,AD71&amp;"","")</f>
        <v/>
      </c>
      <c r="BP71" s="17">
        <f>IF(AND(AN71=1,ISNUMBER(AI71),G71&lt;=Config!$B$5),AI71,"")</f>
        <v/>
      </c>
      <c r="BQ71" s="17">
        <f>IF(AN71=1,IF(COUNTIFS($A$2:$A$201,$A71,$AF$2:$AF$201,"Y",$AN$2:$AN$201,1)&gt;0,"Y","N"),"")</f>
        <v/>
      </c>
      <c r="BR71" s="17">
        <f>IF(AND(AN71=1,AF71="Y"),IF(COUNTIFS($A$2:$A$201,$A71,$AF$2:$AF$201,"Y",$AN$2:$AN$201,1,$G$2:$G$201,"&lt;"&amp;G71)+COUNTIFS($A$2:$A$201,$A71,$AF$2:$AF$201,"Y",$AN$2:$AN$201,1,$G$2:$G$201,G71,$AM$2:$AM$201,"&lt;"&amp;AM71)=0,1,0),0)</f>
        <v/>
      </c>
      <c r="BS71" s="17">
        <f>IF(AN71=1,IFERROR(MATCH($A71,INDEX(Clay_Brands!$A$2:$FZ$601,0,Sync!$D$5),0),""),"")</f>
        <v/>
      </c>
      <c r="BT71" s="17">
        <f>IF(BS71="","",IFERROR(INDEX(Clay_Brands!$A$2:$FZ$601,BS71,Sync!$D$7)&amp;"",""))</f>
        <v/>
      </c>
      <c r="BU71" s="17">
        <f>IF(BT71="","",IFERROR(INDEX(Lists!$J$2:$J$15,MATCH(BT71,Lists!$I$2:$I$15,0)),""))</f>
        <v/>
      </c>
      <c r="BV71" s="17">
        <f>IF(BS71="","",IFERROR(INDEX(Clay_Brands!$A$2:$FZ$601,BS71,Sync!$D$17)&amp;"",""))</f>
        <v/>
      </c>
      <c r="BW71" s="23">
        <f>IF(BS71="","",IFERROR(N(INDEX(Clay_Brands!$A$2:$FZ$601,BS71,Sync!$D$16)),0))</f>
        <v/>
      </c>
    </row>
    <row r="72">
      <c r="G72" s="22" t="n"/>
      <c r="AL72" s="17">
        <f>IF(TRIM($A72)="","",IF(AND(LEFT($A72,6)="SAMPLE",Config!$B$19&lt;&gt;"Y"),"",IF(NOT(ISNUMBER(G72)),"call_date is blank or not a date",IF(Sync!$D$5="","Clay paste is empty or has no row_id column: paste the Clay export on Clay_Brands",IF(BS72="","row_id not found in the Clay paste: add the Clay row or fix the row_id",IF(AND(ISNUMBER(BU72),BU72&gt;=1,BU72&lt;=5),"Clay status is "&amp;BT72&amp;": set call_done or later",IF(AND(AP72=1,BV72&lt;&gt;BQ72),"Clay yes_in_principle should be "&amp;BQ72,IF(AND(AP72=1,BW72&lt;&gt;G72),"Clay call_date should be "&amp;TEXT(G72,"yyyy-mm-dd"),""))))))))</f>
        <v/>
      </c>
      <c r="AM72" s="17">
        <f>ROW()</f>
        <v/>
      </c>
      <c r="AN72" s="17">
        <f>IF(AND(TRIM($A72)&lt;&gt;"",ISNUMBER(G72)),IF(AND(LEFT($A72,6)="SAMPLE",Config!$B$19&lt;&gt;"Y"),0,1),0)</f>
        <v/>
      </c>
      <c r="AO72" s="17">
        <f>IF(AN72=1,IF(COUNTIFS($A$2:$A$201,$A72,$AN$2:$AN$201,1,$G$2:$G$201,"&lt;"&amp;G72)+COUNTIFS($A$2:$A$201,$A72,$AN$2:$AN$201,1,$G$2:$G$201,G72,$AM$2:$AM$201,"&lt;"&amp;AM72)=0,1,0),0)</f>
        <v/>
      </c>
      <c r="AP72" s="17">
        <f>IF(AN72=1,IF(COUNTIFS($A$2:$A$201,$A72,$AN$2:$AN$201,1,$G$2:$G$201,"&gt;"&amp;G72)+COUNTIFS($A$2:$A$201,$A72,$AN$2:$AN$201,1,$G$2:$G$201,G72,$AM$2:$AM$201,"&gt;"&amp;AM72)=0,1,0),0)</f>
        <v/>
      </c>
      <c r="AQ72" s="17">
        <f>IF(AND(AN72=1,N72="Y",MAX(N(R72),N(V72))&gt;=Config!$B$14),1,0)</f>
        <v/>
      </c>
      <c r="AR72" s="17">
        <f>IF(AQ72=1,IF(COUNTIFS($A$2:$A$201,$A72,$AQ$2:$AQ$201,1,$G$2:$G$201,"&lt;"&amp;G72)+COUNTIFS($A$2:$A$201,$A72,$AQ$2:$AQ$201,1,$G$2:$G$201,G72,$AM$2:$AM$201,"&lt;"&amp;AM72)=0,1,0),0)</f>
        <v/>
      </c>
      <c r="AS72" s="17">
        <f>IF(AND(AN72=1,N72="Y",ISNUMBER(R72)),IF(R72&gt;=Config!$B$14,1,0),0)</f>
        <v/>
      </c>
      <c r="AT72" s="17">
        <f>IF(AS72=1,IF(COUNTIFS($A$2:$A$201,$A72,$AS$2:$AS$201,1,$G$2:$G$201,"&lt;"&amp;G72)+COUNTIFS($A$2:$A$201,$A72,$AS$2:$AS$201,1,$G$2:$G$201,G72,$AM$2:$AM$201,"&lt;"&amp;AM72)=0,1,0),0)</f>
        <v/>
      </c>
      <c r="AU72" s="17">
        <f>IF(AND(AN72=1,N72&lt;&gt;"Y",MAX(N(R72),N(V72))&gt;=Config!$B$14),1,0)</f>
        <v/>
      </c>
      <c r="AV72" s="17">
        <f>IF(AU72=1,IF(COUNTIFS($A$2:$A$201,$A72,$AU$2:$AU$201,1,$G$2:$G$201,"&lt;"&amp;G72)+COUNTIFS($A$2:$A$201,$A72,$AU$2:$AU$201,1,$G$2:$G$201,G72,$AM$2:$AM$201,"&lt;"&amp;AM72)=0,1,0),0)</f>
        <v/>
      </c>
      <c r="AW72" s="17">
        <f>IF(AND(AN72=1,ISNUMBER(R72)),1,0)</f>
        <v/>
      </c>
      <c r="AX72" s="17">
        <f>IF(AW72=1,IF(COUNTIFS($A$2:$A$201,$A72,$AW$2:$AW$201,1,$G$2:$G$201,"&lt;"&amp;G72)+COUNTIFS($A$2:$A$201,$A72,$AW$2:$AW$201,1,$G$2:$G$201,G72,$AM$2:$AM$201,"&lt;"&amp;AM72)=0,1,0),0)</f>
        <v/>
      </c>
      <c r="AY72" s="17">
        <f>IF(AND(AX72=1,G72&lt;=Config!$B$6),R72,"")</f>
        <v/>
      </c>
      <c r="AZ72" s="17">
        <f>IF(AND(AX72=1,G72&lt;=Config!$B$7),R72,"")</f>
        <v/>
      </c>
      <c r="BA72" s="17">
        <f>IF(AND(AX72=1,G72&lt;=Config!$B$8),R72,"")</f>
        <v/>
      </c>
      <c r="BB72" s="17">
        <f>IF(AND(AX72=1,G72&lt;=Config!$B$5),R72,"")</f>
        <v/>
      </c>
      <c r="BC72" s="17">
        <f>IF(AND(AN72=1,ISNUMBER(V72)),1,0)</f>
        <v/>
      </c>
      <c r="BD72" s="17">
        <f>IF(BC72=1,IF(COUNTIFS($A$2:$A$201,$A72,$BC$2:$BC$201,1,$G$2:$G$201,"&lt;"&amp;G72)+COUNTIFS($A$2:$A$201,$A72,$BC$2:$BC$201,1,$G$2:$G$201,G72,$AM$2:$AM$201,"&lt;"&amp;AM72)=0,1,0),0)</f>
        <v/>
      </c>
      <c r="BE72" s="17">
        <f>IF(AND(BD72=1,G72&lt;=Config!$B$6),V72,"")</f>
        <v/>
      </c>
      <c r="BF72" s="17">
        <f>IF(AND(BD72=1,G72&lt;=Config!$B$7),V72,"")</f>
        <v/>
      </c>
      <c r="BG72" s="17">
        <f>IF(AND(BD72=1,G72&lt;=Config!$B$8),V72,"")</f>
        <v/>
      </c>
      <c r="BH72" s="17">
        <f>IF(AND(BD72=1,G72&lt;=Config!$B$5),V72,"")</f>
        <v/>
      </c>
      <c r="BI72" s="17">
        <f>IF(AND(AN72=1,ISNUMBER(J72)),1,0)</f>
        <v/>
      </c>
      <c r="BJ72" s="17">
        <f>IF(BI72=1,IF(COUNTIFS($A$2:$A$201,$A72,$BI$2:$BI$201,1,$G$2:$G$201,"&lt;"&amp;G72)+COUNTIFS($A$2:$A$201,$A72,$BI$2:$BI$201,1,$G$2:$G$201,G72,$AM$2:$AM$201,"&lt;"&amp;AM72)=0,1,0),0)</f>
        <v/>
      </c>
      <c r="BK72" s="17">
        <f>IF(AND(BJ72=1,G72&lt;=Config!$B$5),J72,"")</f>
        <v/>
      </c>
      <c r="BL72" s="17">
        <f>IF(AND(AN72=1,OR(AND(ISNUMBER(R72),TRIM(S72)=""),AND(ISNUMBER(V72),TRIM(W72)=""))),1,0)</f>
        <v/>
      </c>
      <c r="BM72" s="17">
        <f>IF(AN72=1,AB72&amp;"","")</f>
        <v/>
      </c>
      <c r="BN72" s="17">
        <f>IF(AN72=1,AC72&amp;"","")</f>
        <v/>
      </c>
      <c r="BO72" s="17">
        <f>IF(AN72=1,AD72&amp;"","")</f>
        <v/>
      </c>
      <c r="BP72" s="17">
        <f>IF(AND(AN72=1,ISNUMBER(AI72),G72&lt;=Config!$B$5),AI72,"")</f>
        <v/>
      </c>
      <c r="BQ72" s="17">
        <f>IF(AN72=1,IF(COUNTIFS($A$2:$A$201,$A72,$AF$2:$AF$201,"Y",$AN$2:$AN$201,1)&gt;0,"Y","N"),"")</f>
        <v/>
      </c>
      <c r="BR72" s="17">
        <f>IF(AND(AN72=1,AF72="Y"),IF(COUNTIFS($A$2:$A$201,$A72,$AF$2:$AF$201,"Y",$AN$2:$AN$201,1,$G$2:$G$201,"&lt;"&amp;G72)+COUNTIFS($A$2:$A$201,$A72,$AF$2:$AF$201,"Y",$AN$2:$AN$201,1,$G$2:$G$201,G72,$AM$2:$AM$201,"&lt;"&amp;AM72)=0,1,0),0)</f>
        <v/>
      </c>
      <c r="BS72" s="17">
        <f>IF(AN72=1,IFERROR(MATCH($A72,INDEX(Clay_Brands!$A$2:$FZ$601,0,Sync!$D$5),0),""),"")</f>
        <v/>
      </c>
      <c r="BT72" s="17">
        <f>IF(BS72="","",IFERROR(INDEX(Clay_Brands!$A$2:$FZ$601,BS72,Sync!$D$7)&amp;"",""))</f>
        <v/>
      </c>
      <c r="BU72" s="17">
        <f>IF(BT72="","",IFERROR(INDEX(Lists!$J$2:$J$15,MATCH(BT72,Lists!$I$2:$I$15,0)),""))</f>
        <v/>
      </c>
      <c r="BV72" s="17">
        <f>IF(BS72="","",IFERROR(INDEX(Clay_Brands!$A$2:$FZ$601,BS72,Sync!$D$17)&amp;"",""))</f>
        <v/>
      </c>
      <c r="BW72" s="23">
        <f>IF(BS72="","",IFERROR(N(INDEX(Clay_Brands!$A$2:$FZ$601,BS72,Sync!$D$16)),0))</f>
        <v/>
      </c>
    </row>
    <row r="73">
      <c r="G73" s="22" t="n"/>
      <c r="AL73" s="17">
        <f>IF(TRIM($A73)="","",IF(AND(LEFT($A73,6)="SAMPLE",Config!$B$19&lt;&gt;"Y"),"",IF(NOT(ISNUMBER(G73)),"call_date is blank or not a date",IF(Sync!$D$5="","Clay paste is empty or has no row_id column: paste the Clay export on Clay_Brands",IF(BS73="","row_id not found in the Clay paste: add the Clay row or fix the row_id",IF(AND(ISNUMBER(BU73),BU73&gt;=1,BU73&lt;=5),"Clay status is "&amp;BT73&amp;": set call_done or later",IF(AND(AP73=1,BV73&lt;&gt;BQ73),"Clay yes_in_principle should be "&amp;BQ73,IF(AND(AP73=1,BW73&lt;&gt;G73),"Clay call_date should be "&amp;TEXT(G73,"yyyy-mm-dd"),""))))))))</f>
        <v/>
      </c>
      <c r="AM73" s="17">
        <f>ROW()</f>
        <v/>
      </c>
      <c r="AN73" s="17">
        <f>IF(AND(TRIM($A73)&lt;&gt;"",ISNUMBER(G73)),IF(AND(LEFT($A73,6)="SAMPLE",Config!$B$19&lt;&gt;"Y"),0,1),0)</f>
        <v/>
      </c>
      <c r="AO73" s="17">
        <f>IF(AN73=1,IF(COUNTIFS($A$2:$A$201,$A73,$AN$2:$AN$201,1,$G$2:$G$201,"&lt;"&amp;G73)+COUNTIFS($A$2:$A$201,$A73,$AN$2:$AN$201,1,$G$2:$G$201,G73,$AM$2:$AM$201,"&lt;"&amp;AM73)=0,1,0),0)</f>
        <v/>
      </c>
      <c r="AP73" s="17">
        <f>IF(AN73=1,IF(COUNTIFS($A$2:$A$201,$A73,$AN$2:$AN$201,1,$G$2:$G$201,"&gt;"&amp;G73)+COUNTIFS($A$2:$A$201,$A73,$AN$2:$AN$201,1,$G$2:$G$201,G73,$AM$2:$AM$201,"&gt;"&amp;AM73)=0,1,0),0)</f>
        <v/>
      </c>
      <c r="AQ73" s="17">
        <f>IF(AND(AN73=1,N73="Y",MAX(N(R73),N(V73))&gt;=Config!$B$14),1,0)</f>
        <v/>
      </c>
      <c r="AR73" s="17">
        <f>IF(AQ73=1,IF(COUNTIFS($A$2:$A$201,$A73,$AQ$2:$AQ$201,1,$G$2:$G$201,"&lt;"&amp;G73)+COUNTIFS($A$2:$A$201,$A73,$AQ$2:$AQ$201,1,$G$2:$G$201,G73,$AM$2:$AM$201,"&lt;"&amp;AM73)=0,1,0),0)</f>
        <v/>
      </c>
      <c r="AS73" s="17">
        <f>IF(AND(AN73=1,N73="Y",ISNUMBER(R73)),IF(R73&gt;=Config!$B$14,1,0),0)</f>
        <v/>
      </c>
      <c r="AT73" s="17">
        <f>IF(AS73=1,IF(COUNTIFS($A$2:$A$201,$A73,$AS$2:$AS$201,1,$G$2:$G$201,"&lt;"&amp;G73)+COUNTIFS($A$2:$A$201,$A73,$AS$2:$AS$201,1,$G$2:$G$201,G73,$AM$2:$AM$201,"&lt;"&amp;AM73)=0,1,0),0)</f>
        <v/>
      </c>
      <c r="AU73" s="17">
        <f>IF(AND(AN73=1,N73&lt;&gt;"Y",MAX(N(R73),N(V73))&gt;=Config!$B$14),1,0)</f>
        <v/>
      </c>
      <c r="AV73" s="17">
        <f>IF(AU73=1,IF(COUNTIFS($A$2:$A$201,$A73,$AU$2:$AU$201,1,$G$2:$G$201,"&lt;"&amp;G73)+COUNTIFS($A$2:$A$201,$A73,$AU$2:$AU$201,1,$G$2:$G$201,G73,$AM$2:$AM$201,"&lt;"&amp;AM73)=0,1,0),0)</f>
        <v/>
      </c>
      <c r="AW73" s="17">
        <f>IF(AND(AN73=1,ISNUMBER(R73)),1,0)</f>
        <v/>
      </c>
      <c r="AX73" s="17">
        <f>IF(AW73=1,IF(COUNTIFS($A$2:$A$201,$A73,$AW$2:$AW$201,1,$G$2:$G$201,"&lt;"&amp;G73)+COUNTIFS($A$2:$A$201,$A73,$AW$2:$AW$201,1,$G$2:$G$201,G73,$AM$2:$AM$201,"&lt;"&amp;AM73)=0,1,0),0)</f>
        <v/>
      </c>
      <c r="AY73" s="17">
        <f>IF(AND(AX73=1,G73&lt;=Config!$B$6),R73,"")</f>
        <v/>
      </c>
      <c r="AZ73" s="17">
        <f>IF(AND(AX73=1,G73&lt;=Config!$B$7),R73,"")</f>
        <v/>
      </c>
      <c r="BA73" s="17">
        <f>IF(AND(AX73=1,G73&lt;=Config!$B$8),R73,"")</f>
        <v/>
      </c>
      <c r="BB73" s="17">
        <f>IF(AND(AX73=1,G73&lt;=Config!$B$5),R73,"")</f>
        <v/>
      </c>
      <c r="BC73" s="17">
        <f>IF(AND(AN73=1,ISNUMBER(V73)),1,0)</f>
        <v/>
      </c>
      <c r="BD73" s="17">
        <f>IF(BC73=1,IF(COUNTIFS($A$2:$A$201,$A73,$BC$2:$BC$201,1,$G$2:$G$201,"&lt;"&amp;G73)+COUNTIFS($A$2:$A$201,$A73,$BC$2:$BC$201,1,$G$2:$G$201,G73,$AM$2:$AM$201,"&lt;"&amp;AM73)=0,1,0),0)</f>
        <v/>
      </c>
      <c r="BE73" s="17">
        <f>IF(AND(BD73=1,G73&lt;=Config!$B$6),V73,"")</f>
        <v/>
      </c>
      <c r="BF73" s="17">
        <f>IF(AND(BD73=1,G73&lt;=Config!$B$7),V73,"")</f>
        <v/>
      </c>
      <c r="BG73" s="17">
        <f>IF(AND(BD73=1,G73&lt;=Config!$B$8),V73,"")</f>
        <v/>
      </c>
      <c r="BH73" s="17">
        <f>IF(AND(BD73=1,G73&lt;=Config!$B$5),V73,"")</f>
        <v/>
      </c>
      <c r="BI73" s="17">
        <f>IF(AND(AN73=1,ISNUMBER(J73)),1,0)</f>
        <v/>
      </c>
      <c r="BJ73" s="17">
        <f>IF(BI73=1,IF(COUNTIFS($A$2:$A$201,$A73,$BI$2:$BI$201,1,$G$2:$G$201,"&lt;"&amp;G73)+COUNTIFS($A$2:$A$201,$A73,$BI$2:$BI$201,1,$G$2:$G$201,G73,$AM$2:$AM$201,"&lt;"&amp;AM73)=0,1,0),0)</f>
        <v/>
      </c>
      <c r="BK73" s="17">
        <f>IF(AND(BJ73=1,G73&lt;=Config!$B$5),J73,"")</f>
        <v/>
      </c>
      <c r="BL73" s="17">
        <f>IF(AND(AN73=1,OR(AND(ISNUMBER(R73),TRIM(S73)=""),AND(ISNUMBER(V73),TRIM(W73)=""))),1,0)</f>
        <v/>
      </c>
      <c r="BM73" s="17">
        <f>IF(AN73=1,AB73&amp;"","")</f>
        <v/>
      </c>
      <c r="BN73" s="17">
        <f>IF(AN73=1,AC73&amp;"","")</f>
        <v/>
      </c>
      <c r="BO73" s="17">
        <f>IF(AN73=1,AD73&amp;"","")</f>
        <v/>
      </c>
      <c r="BP73" s="17">
        <f>IF(AND(AN73=1,ISNUMBER(AI73),G73&lt;=Config!$B$5),AI73,"")</f>
        <v/>
      </c>
      <c r="BQ73" s="17">
        <f>IF(AN73=1,IF(COUNTIFS($A$2:$A$201,$A73,$AF$2:$AF$201,"Y",$AN$2:$AN$201,1)&gt;0,"Y","N"),"")</f>
        <v/>
      </c>
      <c r="BR73" s="17">
        <f>IF(AND(AN73=1,AF73="Y"),IF(COUNTIFS($A$2:$A$201,$A73,$AF$2:$AF$201,"Y",$AN$2:$AN$201,1,$G$2:$G$201,"&lt;"&amp;G73)+COUNTIFS($A$2:$A$201,$A73,$AF$2:$AF$201,"Y",$AN$2:$AN$201,1,$G$2:$G$201,G73,$AM$2:$AM$201,"&lt;"&amp;AM73)=0,1,0),0)</f>
        <v/>
      </c>
      <c r="BS73" s="17">
        <f>IF(AN73=1,IFERROR(MATCH($A73,INDEX(Clay_Brands!$A$2:$FZ$601,0,Sync!$D$5),0),""),"")</f>
        <v/>
      </c>
      <c r="BT73" s="17">
        <f>IF(BS73="","",IFERROR(INDEX(Clay_Brands!$A$2:$FZ$601,BS73,Sync!$D$7)&amp;"",""))</f>
        <v/>
      </c>
      <c r="BU73" s="17">
        <f>IF(BT73="","",IFERROR(INDEX(Lists!$J$2:$J$15,MATCH(BT73,Lists!$I$2:$I$15,0)),""))</f>
        <v/>
      </c>
      <c r="BV73" s="17">
        <f>IF(BS73="","",IFERROR(INDEX(Clay_Brands!$A$2:$FZ$601,BS73,Sync!$D$17)&amp;"",""))</f>
        <v/>
      </c>
      <c r="BW73" s="23">
        <f>IF(BS73="","",IFERROR(N(INDEX(Clay_Brands!$A$2:$FZ$601,BS73,Sync!$D$16)),0))</f>
        <v/>
      </c>
    </row>
    <row r="74">
      <c r="G74" s="22" t="n"/>
      <c r="AL74" s="17">
        <f>IF(TRIM($A74)="","",IF(AND(LEFT($A74,6)="SAMPLE",Config!$B$19&lt;&gt;"Y"),"",IF(NOT(ISNUMBER(G74)),"call_date is blank or not a date",IF(Sync!$D$5="","Clay paste is empty or has no row_id column: paste the Clay export on Clay_Brands",IF(BS74="","row_id not found in the Clay paste: add the Clay row or fix the row_id",IF(AND(ISNUMBER(BU74),BU74&gt;=1,BU74&lt;=5),"Clay status is "&amp;BT74&amp;": set call_done or later",IF(AND(AP74=1,BV74&lt;&gt;BQ74),"Clay yes_in_principle should be "&amp;BQ74,IF(AND(AP74=1,BW74&lt;&gt;G74),"Clay call_date should be "&amp;TEXT(G74,"yyyy-mm-dd"),""))))))))</f>
        <v/>
      </c>
      <c r="AM74" s="17">
        <f>ROW()</f>
        <v/>
      </c>
      <c r="AN74" s="17">
        <f>IF(AND(TRIM($A74)&lt;&gt;"",ISNUMBER(G74)),IF(AND(LEFT($A74,6)="SAMPLE",Config!$B$19&lt;&gt;"Y"),0,1),0)</f>
        <v/>
      </c>
      <c r="AO74" s="17">
        <f>IF(AN74=1,IF(COUNTIFS($A$2:$A$201,$A74,$AN$2:$AN$201,1,$G$2:$G$201,"&lt;"&amp;G74)+COUNTIFS($A$2:$A$201,$A74,$AN$2:$AN$201,1,$G$2:$G$201,G74,$AM$2:$AM$201,"&lt;"&amp;AM74)=0,1,0),0)</f>
        <v/>
      </c>
      <c r="AP74" s="17">
        <f>IF(AN74=1,IF(COUNTIFS($A$2:$A$201,$A74,$AN$2:$AN$201,1,$G$2:$G$201,"&gt;"&amp;G74)+COUNTIFS($A$2:$A$201,$A74,$AN$2:$AN$201,1,$G$2:$G$201,G74,$AM$2:$AM$201,"&gt;"&amp;AM74)=0,1,0),0)</f>
        <v/>
      </c>
      <c r="AQ74" s="17">
        <f>IF(AND(AN74=1,N74="Y",MAX(N(R74),N(V74))&gt;=Config!$B$14),1,0)</f>
        <v/>
      </c>
      <c r="AR74" s="17">
        <f>IF(AQ74=1,IF(COUNTIFS($A$2:$A$201,$A74,$AQ$2:$AQ$201,1,$G$2:$G$201,"&lt;"&amp;G74)+COUNTIFS($A$2:$A$201,$A74,$AQ$2:$AQ$201,1,$G$2:$G$201,G74,$AM$2:$AM$201,"&lt;"&amp;AM74)=0,1,0),0)</f>
        <v/>
      </c>
      <c r="AS74" s="17">
        <f>IF(AND(AN74=1,N74="Y",ISNUMBER(R74)),IF(R74&gt;=Config!$B$14,1,0),0)</f>
        <v/>
      </c>
      <c r="AT74" s="17">
        <f>IF(AS74=1,IF(COUNTIFS($A$2:$A$201,$A74,$AS$2:$AS$201,1,$G$2:$G$201,"&lt;"&amp;G74)+COUNTIFS($A$2:$A$201,$A74,$AS$2:$AS$201,1,$G$2:$G$201,G74,$AM$2:$AM$201,"&lt;"&amp;AM74)=0,1,0),0)</f>
        <v/>
      </c>
      <c r="AU74" s="17">
        <f>IF(AND(AN74=1,N74&lt;&gt;"Y",MAX(N(R74),N(V74))&gt;=Config!$B$14),1,0)</f>
        <v/>
      </c>
      <c r="AV74" s="17">
        <f>IF(AU74=1,IF(COUNTIFS($A$2:$A$201,$A74,$AU$2:$AU$201,1,$G$2:$G$201,"&lt;"&amp;G74)+COUNTIFS($A$2:$A$201,$A74,$AU$2:$AU$201,1,$G$2:$G$201,G74,$AM$2:$AM$201,"&lt;"&amp;AM74)=0,1,0),0)</f>
        <v/>
      </c>
      <c r="AW74" s="17">
        <f>IF(AND(AN74=1,ISNUMBER(R74)),1,0)</f>
        <v/>
      </c>
      <c r="AX74" s="17">
        <f>IF(AW74=1,IF(COUNTIFS($A$2:$A$201,$A74,$AW$2:$AW$201,1,$G$2:$G$201,"&lt;"&amp;G74)+COUNTIFS($A$2:$A$201,$A74,$AW$2:$AW$201,1,$G$2:$G$201,G74,$AM$2:$AM$201,"&lt;"&amp;AM74)=0,1,0),0)</f>
        <v/>
      </c>
      <c r="AY74" s="17">
        <f>IF(AND(AX74=1,G74&lt;=Config!$B$6),R74,"")</f>
        <v/>
      </c>
      <c r="AZ74" s="17">
        <f>IF(AND(AX74=1,G74&lt;=Config!$B$7),R74,"")</f>
        <v/>
      </c>
      <c r="BA74" s="17">
        <f>IF(AND(AX74=1,G74&lt;=Config!$B$8),R74,"")</f>
        <v/>
      </c>
      <c r="BB74" s="17">
        <f>IF(AND(AX74=1,G74&lt;=Config!$B$5),R74,"")</f>
        <v/>
      </c>
      <c r="BC74" s="17">
        <f>IF(AND(AN74=1,ISNUMBER(V74)),1,0)</f>
        <v/>
      </c>
      <c r="BD74" s="17">
        <f>IF(BC74=1,IF(COUNTIFS($A$2:$A$201,$A74,$BC$2:$BC$201,1,$G$2:$G$201,"&lt;"&amp;G74)+COUNTIFS($A$2:$A$201,$A74,$BC$2:$BC$201,1,$G$2:$G$201,G74,$AM$2:$AM$201,"&lt;"&amp;AM74)=0,1,0),0)</f>
        <v/>
      </c>
      <c r="BE74" s="17">
        <f>IF(AND(BD74=1,G74&lt;=Config!$B$6),V74,"")</f>
        <v/>
      </c>
      <c r="BF74" s="17">
        <f>IF(AND(BD74=1,G74&lt;=Config!$B$7),V74,"")</f>
        <v/>
      </c>
      <c r="BG74" s="17">
        <f>IF(AND(BD74=1,G74&lt;=Config!$B$8),V74,"")</f>
        <v/>
      </c>
      <c r="BH74" s="17">
        <f>IF(AND(BD74=1,G74&lt;=Config!$B$5),V74,"")</f>
        <v/>
      </c>
      <c r="BI74" s="17">
        <f>IF(AND(AN74=1,ISNUMBER(J74)),1,0)</f>
        <v/>
      </c>
      <c r="BJ74" s="17">
        <f>IF(BI74=1,IF(COUNTIFS($A$2:$A$201,$A74,$BI$2:$BI$201,1,$G$2:$G$201,"&lt;"&amp;G74)+COUNTIFS($A$2:$A$201,$A74,$BI$2:$BI$201,1,$G$2:$G$201,G74,$AM$2:$AM$201,"&lt;"&amp;AM74)=0,1,0),0)</f>
        <v/>
      </c>
      <c r="BK74" s="17">
        <f>IF(AND(BJ74=1,G74&lt;=Config!$B$5),J74,"")</f>
        <v/>
      </c>
      <c r="BL74" s="17">
        <f>IF(AND(AN74=1,OR(AND(ISNUMBER(R74),TRIM(S74)=""),AND(ISNUMBER(V74),TRIM(W74)=""))),1,0)</f>
        <v/>
      </c>
      <c r="BM74" s="17">
        <f>IF(AN74=1,AB74&amp;"","")</f>
        <v/>
      </c>
      <c r="BN74" s="17">
        <f>IF(AN74=1,AC74&amp;"","")</f>
        <v/>
      </c>
      <c r="BO74" s="17">
        <f>IF(AN74=1,AD74&amp;"","")</f>
        <v/>
      </c>
      <c r="BP74" s="17">
        <f>IF(AND(AN74=1,ISNUMBER(AI74),G74&lt;=Config!$B$5),AI74,"")</f>
        <v/>
      </c>
      <c r="BQ74" s="17">
        <f>IF(AN74=1,IF(COUNTIFS($A$2:$A$201,$A74,$AF$2:$AF$201,"Y",$AN$2:$AN$201,1)&gt;0,"Y","N"),"")</f>
        <v/>
      </c>
      <c r="BR74" s="17">
        <f>IF(AND(AN74=1,AF74="Y"),IF(COUNTIFS($A$2:$A$201,$A74,$AF$2:$AF$201,"Y",$AN$2:$AN$201,1,$G$2:$G$201,"&lt;"&amp;G74)+COUNTIFS($A$2:$A$201,$A74,$AF$2:$AF$201,"Y",$AN$2:$AN$201,1,$G$2:$G$201,G74,$AM$2:$AM$201,"&lt;"&amp;AM74)=0,1,0),0)</f>
        <v/>
      </c>
      <c r="BS74" s="17">
        <f>IF(AN74=1,IFERROR(MATCH($A74,INDEX(Clay_Brands!$A$2:$FZ$601,0,Sync!$D$5),0),""),"")</f>
        <v/>
      </c>
      <c r="BT74" s="17">
        <f>IF(BS74="","",IFERROR(INDEX(Clay_Brands!$A$2:$FZ$601,BS74,Sync!$D$7)&amp;"",""))</f>
        <v/>
      </c>
      <c r="BU74" s="17">
        <f>IF(BT74="","",IFERROR(INDEX(Lists!$J$2:$J$15,MATCH(BT74,Lists!$I$2:$I$15,0)),""))</f>
        <v/>
      </c>
      <c r="BV74" s="17">
        <f>IF(BS74="","",IFERROR(INDEX(Clay_Brands!$A$2:$FZ$601,BS74,Sync!$D$17)&amp;"",""))</f>
        <v/>
      </c>
      <c r="BW74" s="23">
        <f>IF(BS74="","",IFERROR(N(INDEX(Clay_Brands!$A$2:$FZ$601,BS74,Sync!$D$16)),0))</f>
        <v/>
      </c>
    </row>
    <row r="75">
      <c r="G75" s="22" t="n"/>
      <c r="AL75" s="17">
        <f>IF(TRIM($A75)="","",IF(AND(LEFT($A75,6)="SAMPLE",Config!$B$19&lt;&gt;"Y"),"",IF(NOT(ISNUMBER(G75)),"call_date is blank or not a date",IF(Sync!$D$5="","Clay paste is empty or has no row_id column: paste the Clay export on Clay_Brands",IF(BS75="","row_id not found in the Clay paste: add the Clay row or fix the row_id",IF(AND(ISNUMBER(BU75),BU75&gt;=1,BU75&lt;=5),"Clay status is "&amp;BT75&amp;": set call_done or later",IF(AND(AP75=1,BV75&lt;&gt;BQ75),"Clay yes_in_principle should be "&amp;BQ75,IF(AND(AP75=1,BW75&lt;&gt;G75),"Clay call_date should be "&amp;TEXT(G75,"yyyy-mm-dd"),""))))))))</f>
        <v/>
      </c>
      <c r="AM75" s="17">
        <f>ROW()</f>
        <v/>
      </c>
      <c r="AN75" s="17">
        <f>IF(AND(TRIM($A75)&lt;&gt;"",ISNUMBER(G75)),IF(AND(LEFT($A75,6)="SAMPLE",Config!$B$19&lt;&gt;"Y"),0,1),0)</f>
        <v/>
      </c>
      <c r="AO75" s="17">
        <f>IF(AN75=1,IF(COUNTIFS($A$2:$A$201,$A75,$AN$2:$AN$201,1,$G$2:$G$201,"&lt;"&amp;G75)+COUNTIFS($A$2:$A$201,$A75,$AN$2:$AN$201,1,$G$2:$G$201,G75,$AM$2:$AM$201,"&lt;"&amp;AM75)=0,1,0),0)</f>
        <v/>
      </c>
      <c r="AP75" s="17">
        <f>IF(AN75=1,IF(COUNTIFS($A$2:$A$201,$A75,$AN$2:$AN$201,1,$G$2:$G$201,"&gt;"&amp;G75)+COUNTIFS($A$2:$A$201,$A75,$AN$2:$AN$201,1,$G$2:$G$201,G75,$AM$2:$AM$201,"&gt;"&amp;AM75)=0,1,0),0)</f>
        <v/>
      </c>
      <c r="AQ75" s="17">
        <f>IF(AND(AN75=1,N75="Y",MAX(N(R75),N(V75))&gt;=Config!$B$14),1,0)</f>
        <v/>
      </c>
      <c r="AR75" s="17">
        <f>IF(AQ75=1,IF(COUNTIFS($A$2:$A$201,$A75,$AQ$2:$AQ$201,1,$G$2:$G$201,"&lt;"&amp;G75)+COUNTIFS($A$2:$A$201,$A75,$AQ$2:$AQ$201,1,$G$2:$G$201,G75,$AM$2:$AM$201,"&lt;"&amp;AM75)=0,1,0),0)</f>
        <v/>
      </c>
      <c r="AS75" s="17">
        <f>IF(AND(AN75=1,N75="Y",ISNUMBER(R75)),IF(R75&gt;=Config!$B$14,1,0),0)</f>
        <v/>
      </c>
      <c r="AT75" s="17">
        <f>IF(AS75=1,IF(COUNTIFS($A$2:$A$201,$A75,$AS$2:$AS$201,1,$G$2:$G$201,"&lt;"&amp;G75)+COUNTIFS($A$2:$A$201,$A75,$AS$2:$AS$201,1,$G$2:$G$201,G75,$AM$2:$AM$201,"&lt;"&amp;AM75)=0,1,0),0)</f>
        <v/>
      </c>
      <c r="AU75" s="17">
        <f>IF(AND(AN75=1,N75&lt;&gt;"Y",MAX(N(R75),N(V75))&gt;=Config!$B$14),1,0)</f>
        <v/>
      </c>
      <c r="AV75" s="17">
        <f>IF(AU75=1,IF(COUNTIFS($A$2:$A$201,$A75,$AU$2:$AU$201,1,$G$2:$G$201,"&lt;"&amp;G75)+COUNTIFS($A$2:$A$201,$A75,$AU$2:$AU$201,1,$G$2:$G$201,G75,$AM$2:$AM$201,"&lt;"&amp;AM75)=0,1,0),0)</f>
        <v/>
      </c>
      <c r="AW75" s="17">
        <f>IF(AND(AN75=1,ISNUMBER(R75)),1,0)</f>
        <v/>
      </c>
      <c r="AX75" s="17">
        <f>IF(AW75=1,IF(COUNTIFS($A$2:$A$201,$A75,$AW$2:$AW$201,1,$G$2:$G$201,"&lt;"&amp;G75)+COUNTIFS($A$2:$A$201,$A75,$AW$2:$AW$201,1,$G$2:$G$201,G75,$AM$2:$AM$201,"&lt;"&amp;AM75)=0,1,0),0)</f>
        <v/>
      </c>
      <c r="AY75" s="17">
        <f>IF(AND(AX75=1,G75&lt;=Config!$B$6),R75,"")</f>
        <v/>
      </c>
      <c r="AZ75" s="17">
        <f>IF(AND(AX75=1,G75&lt;=Config!$B$7),R75,"")</f>
        <v/>
      </c>
      <c r="BA75" s="17">
        <f>IF(AND(AX75=1,G75&lt;=Config!$B$8),R75,"")</f>
        <v/>
      </c>
      <c r="BB75" s="17">
        <f>IF(AND(AX75=1,G75&lt;=Config!$B$5),R75,"")</f>
        <v/>
      </c>
      <c r="BC75" s="17">
        <f>IF(AND(AN75=1,ISNUMBER(V75)),1,0)</f>
        <v/>
      </c>
      <c r="BD75" s="17">
        <f>IF(BC75=1,IF(COUNTIFS($A$2:$A$201,$A75,$BC$2:$BC$201,1,$G$2:$G$201,"&lt;"&amp;G75)+COUNTIFS($A$2:$A$201,$A75,$BC$2:$BC$201,1,$G$2:$G$201,G75,$AM$2:$AM$201,"&lt;"&amp;AM75)=0,1,0),0)</f>
        <v/>
      </c>
      <c r="BE75" s="17">
        <f>IF(AND(BD75=1,G75&lt;=Config!$B$6),V75,"")</f>
        <v/>
      </c>
      <c r="BF75" s="17">
        <f>IF(AND(BD75=1,G75&lt;=Config!$B$7),V75,"")</f>
        <v/>
      </c>
      <c r="BG75" s="17">
        <f>IF(AND(BD75=1,G75&lt;=Config!$B$8),V75,"")</f>
        <v/>
      </c>
      <c r="BH75" s="17">
        <f>IF(AND(BD75=1,G75&lt;=Config!$B$5),V75,"")</f>
        <v/>
      </c>
      <c r="BI75" s="17">
        <f>IF(AND(AN75=1,ISNUMBER(J75)),1,0)</f>
        <v/>
      </c>
      <c r="BJ75" s="17">
        <f>IF(BI75=1,IF(COUNTIFS($A$2:$A$201,$A75,$BI$2:$BI$201,1,$G$2:$G$201,"&lt;"&amp;G75)+COUNTIFS($A$2:$A$201,$A75,$BI$2:$BI$201,1,$G$2:$G$201,G75,$AM$2:$AM$201,"&lt;"&amp;AM75)=0,1,0),0)</f>
        <v/>
      </c>
      <c r="BK75" s="17">
        <f>IF(AND(BJ75=1,G75&lt;=Config!$B$5),J75,"")</f>
        <v/>
      </c>
      <c r="BL75" s="17">
        <f>IF(AND(AN75=1,OR(AND(ISNUMBER(R75),TRIM(S75)=""),AND(ISNUMBER(V75),TRIM(W75)=""))),1,0)</f>
        <v/>
      </c>
      <c r="BM75" s="17">
        <f>IF(AN75=1,AB75&amp;"","")</f>
        <v/>
      </c>
      <c r="BN75" s="17">
        <f>IF(AN75=1,AC75&amp;"","")</f>
        <v/>
      </c>
      <c r="BO75" s="17">
        <f>IF(AN75=1,AD75&amp;"","")</f>
        <v/>
      </c>
      <c r="BP75" s="17">
        <f>IF(AND(AN75=1,ISNUMBER(AI75),G75&lt;=Config!$B$5),AI75,"")</f>
        <v/>
      </c>
      <c r="BQ75" s="17">
        <f>IF(AN75=1,IF(COUNTIFS($A$2:$A$201,$A75,$AF$2:$AF$201,"Y",$AN$2:$AN$201,1)&gt;0,"Y","N"),"")</f>
        <v/>
      </c>
      <c r="BR75" s="17">
        <f>IF(AND(AN75=1,AF75="Y"),IF(COUNTIFS($A$2:$A$201,$A75,$AF$2:$AF$201,"Y",$AN$2:$AN$201,1,$G$2:$G$201,"&lt;"&amp;G75)+COUNTIFS($A$2:$A$201,$A75,$AF$2:$AF$201,"Y",$AN$2:$AN$201,1,$G$2:$G$201,G75,$AM$2:$AM$201,"&lt;"&amp;AM75)=0,1,0),0)</f>
        <v/>
      </c>
      <c r="BS75" s="17">
        <f>IF(AN75=1,IFERROR(MATCH($A75,INDEX(Clay_Brands!$A$2:$FZ$601,0,Sync!$D$5),0),""),"")</f>
        <v/>
      </c>
      <c r="BT75" s="17">
        <f>IF(BS75="","",IFERROR(INDEX(Clay_Brands!$A$2:$FZ$601,BS75,Sync!$D$7)&amp;"",""))</f>
        <v/>
      </c>
      <c r="BU75" s="17">
        <f>IF(BT75="","",IFERROR(INDEX(Lists!$J$2:$J$15,MATCH(BT75,Lists!$I$2:$I$15,0)),""))</f>
        <v/>
      </c>
      <c r="BV75" s="17">
        <f>IF(BS75="","",IFERROR(INDEX(Clay_Brands!$A$2:$FZ$601,BS75,Sync!$D$17)&amp;"",""))</f>
        <v/>
      </c>
      <c r="BW75" s="23">
        <f>IF(BS75="","",IFERROR(N(INDEX(Clay_Brands!$A$2:$FZ$601,BS75,Sync!$D$16)),0))</f>
        <v/>
      </c>
    </row>
    <row r="76">
      <c r="G76" s="22" t="n"/>
      <c r="AL76" s="17">
        <f>IF(TRIM($A76)="","",IF(AND(LEFT($A76,6)="SAMPLE",Config!$B$19&lt;&gt;"Y"),"",IF(NOT(ISNUMBER(G76)),"call_date is blank or not a date",IF(Sync!$D$5="","Clay paste is empty or has no row_id column: paste the Clay export on Clay_Brands",IF(BS76="","row_id not found in the Clay paste: add the Clay row or fix the row_id",IF(AND(ISNUMBER(BU76),BU76&gt;=1,BU76&lt;=5),"Clay status is "&amp;BT76&amp;": set call_done or later",IF(AND(AP76=1,BV76&lt;&gt;BQ76),"Clay yes_in_principle should be "&amp;BQ76,IF(AND(AP76=1,BW76&lt;&gt;G76),"Clay call_date should be "&amp;TEXT(G76,"yyyy-mm-dd"),""))))))))</f>
        <v/>
      </c>
      <c r="AM76" s="17">
        <f>ROW()</f>
        <v/>
      </c>
      <c r="AN76" s="17">
        <f>IF(AND(TRIM($A76)&lt;&gt;"",ISNUMBER(G76)),IF(AND(LEFT($A76,6)="SAMPLE",Config!$B$19&lt;&gt;"Y"),0,1),0)</f>
        <v/>
      </c>
      <c r="AO76" s="17">
        <f>IF(AN76=1,IF(COUNTIFS($A$2:$A$201,$A76,$AN$2:$AN$201,1,$G$2:$G$201,"&lt;"&amp;G76)+COUNTIFS($A$2:$A$201,$A76,$AN$2:$AN$201,1,$G$2:$G$201,G76,$AM$2:$AM$201,"&lt;"&amp;AM76)=0,1,0),0)</f>
        <v/>
      </c>
      <c r="AP76" s="17">
        <f>IF(AN76=1,IF(COUNTIFS($A$2:$A$201,$A76,$AN$2:$AN$201,1,$G$2:$G$201,"&gt;"&amp;G76)+COUNTIFS($A$2:$A$201,$A76,$AN$2:$AN$201,1,$G$2:$G$201,G76,$AM$2:$AM$201,"&gt;"&amp;AM76)=0,1,0),0)</f>
        <v/>
      </c>
      <c r="AQ76" s="17">
        <f>IF(AND(AN76=1,N76="Y",MAX(N(R76),N(V76))&gt;=Config!$B$14),1,0)</f>
        <v/>
      </c>
      <c r="AR76" s="17">
        <f>IF(AQ76=1,IF(COUNTIFS($A$2:$A$201,$A76,$AQ$2:$AQ$201,1,$G$2:$G$201,"&lt;"&amp;G76)+COUNTIFS($A$2:$A$201,$A76,$AQ$2:$AQ$201,1,$G$2:$G$201,G76,$AM$2:$AM$201,"&lt;"&amp;AM76)=0,1,0),0)</f>
        <v/>
      </c>
      <c r="AS76" s="17">
        <f>IF(AND(AN76=1,N76="Y",ISNUMBER(R76)),IF(R76&gt;=Config!$B$14,1,0),0)</f>
        <v/>
      </c>
      <c r="AT76" s="17">
        <f>IF(AS76=1,IF(COUNTIFS($A$2:$A$201,$A76,$AS$2:$AS$201,1,$G$2:$G$201,"&lt;"&amp;G76)+COUNTIFS($A$2:$A$201,$A76,$AS$2:$AS$201,1,$G$2:$G$201,G76,$AM$2:$AM$201,"&lt;"&amp;AM76)=0,1,0),0)</f>
        <v/>
      </c>
      <c r="AU76" s="17">
        <f>IF(AND(AN76=1,N76&lt;&gt;"Y",MAX(N(R76),N(V76))&gt;=Config!$B$14),1,0)</f>
        <v/>
      </c>
      <c r="AV76" s="17">
        <f>IF(AU76=1,IF(COUNTIFS($A$2:$A$201,$A76,$AU$2:$AU$201,1,$G$2:$G$201,"&lt;"&amp;G76)+COUNTIFS($A$2:$A$201,$A76,$AU$2:$AU$201,1,$G$2:$G$201,G76,$AM$2:$AM$201,"&lt;"&amp;AM76)=0,1,0),0)</f>
        <v/>
      </c>
      <c r="AW76" s="17">
        <f>IF(AND(AN76=1,ISNUMBER(R76)),1,0)</f>
        <v/>
      </c>
      <c r="AX76" s="17">
        <f>IF(AW76=1,IF(COUNTIFS($A$2:$A$201,$A76,$AW$2:$AW$201,1,$G$2:$G$201,"&lt;"&amp;G76)+COUNTIFS($A$2:$A$201,$A76,$AW$2:$AW$201,1,$G$2:$G$201,G76,$AM$2:$AM$201,"&lt;"&amp;AM76)=0,1,0),0)</f>
        <v/>
      </c>
      <c r="AY76" s="17">
        <f>IF(AND(AX76=1,G76&lt;=Config!$B$6),R76,"")</f>
        <v/>
      </c>
      <c r="AZ76" s="17">
        <f>IF(AND(AX76=1,G76&lt;=Config!$B$7),R76,"")</f>
        <v/>
      </c>
      <c r="BA76" s="17">
        <f>IF(AND(AX76=1,G76&lt;=Config!$B$8),R76,"")</f>
        <v/>
      </c>
      <c r="BB76" s="17">
        <f>IF(AND(AX76=1,G76&lt;=Config!$B$5),R76,"")</f>
        <v/>
      </c>
      <c r="BC76" s="17">
        <f>IF(AND(AN76=1,ISNUMBER(V76)),1,0)</f>
        <v/>
      </c>
      <c r="BD76" s="17">
        <f>IF(BC76=1,IF(COUNTIFS($A$2:$A$201,$A76,$BC$2:$BC$201,1,$G$2:$G$201,"&lt;"&amp;G76)+COUNTIFS($A$2:$A$201,$A76,$BC$2:$BC$201,1,$G$2:$G$201,G76,$AM$2:$AM$201,"&lt;"&amp;AM76)=0,1,0),0)</f>
        <v/>
      </c>
      <c r="BE76" s="17">
        <f>IF(AND(BD76=1,G76&lt;=Config!$B$6),V76,"")</f>
        <v/>
      </c>
      <c r="BF76" s="17">
        <f>IF(AND(BD76=1,G76&lt;=Config!$B$7),V76,"")</f>
        <v/>
      </c>
      <c r="BG76" s="17">
        <f>IF(AND(BD76=1,G76&lt;=Config!$B$8),V76,"")</f>
        <v/>
      </c>
      <c r="BH76" s="17">
        <f>IF(AND(BD76=1,G76&lt;=Config!$B$5),V76,"")</f>
        <v/>
      </c>
      <c r="BI76" s="17">
        <f>IF(AND(AN76=1,ISNUMBER(J76)),1,0)</f>
        <v/>
      </c>
      <c r="BJ76" s="17">
        <f>IF(BI76=1,IF(COUNTIFS($A$2:$A$201,$A76,$BI$2:$BI$201,1,$G$2:$G$201,"&lt;"&amp;G76)+COUNTIFS($A$2:$A$201,$A76,$BI$2:$BI$201,1,$G$2:$G$201,G76,$AM$2:$AM$201,"&lt;"&amp;AM76)=0,1,0),0)</f>
        <v/>
      </c>
      <c r="BK76" s="17">
        <f>IF(AND(BJ76=1,G76&lt;=Config!$B$5),J76,"")</f>
        <v/>
      </c>
      <c r="BL76" s="17">
        <f>IF(AND(AN76=1,OR(AND(ISNUMBER(R76),TRIM(S76)=""),AND(ISNUMBER(V76),TRIM(W76)=""))),1,0)</f>
        <v/>
      </c>
      <c r="BM76" s="17">
        <f>IF(AN76=1,AB76&amp;"","")</f>
        <v/>
      </c>
      <c r="BN76" s="17">
        <f>IF(AN76=1,AC76&amp;"","")</f>
        <v/>
      </c>
      <c r="BO76" s="17">
        <f>IF(AN76=1,AD76&amp;"","")</f>
        <v/>
      </c>
      <c r="BP76" s="17">
        <f>IF(AND(AN76=1,ISNUMBER(AI76),G76&lt;=Config!$B$5),AI76,"")</f>
        <v/>
      </c>
      <c r="BQ76" s="17">
        <f>IF(AN76=1,IF(COUNTIFS($A$2:$A$201,$A76,$AF$2:$AF$201,"Y",$AN$2:$AN$201,1)&gt;0,"Y","N"),"")</f>
        <v/>
      </c>
      <c r="BR76" s="17">
        <f>IF(AND(AN76=1,AF76="Y"),IF(COUNTIFS($A$2:$A$201,$A76,$AF$2:$AF$201,"Y",$AN$2:$AN$201,1,$G$2:$G$201,"&lt;"&amp;G76)+COUNTIFS($A$2:$A$201,$A76,$AF$2:$AF$201,"Y",$AN$2:$AN$201,1,$G$2:$G$201,G76,$AM$2:$AM$201,"&lt;"&amp;AM76)=0,1,0),0)</f>
        <v/>
      </c>
      <c r="BS76" s="17">
        <f>IF(AN76=1,IFERROR(MATCH($A76,INDEX(Clay_Brands!$A$2:$FZ$601,0,Sync!$D$5),0),""),"")</f>
        <v/>
      </c>
      <c r="BT76" s="17">
        <f>IF(BS76="","",IFERROR(INDEX(Clay_Brands!$A$2:$FZ$601,BS76,Sync!$D$7)&amp;"",""))</f>
        <v/>
      </c>
      <c r="BU76" s="17">
        <f>IF(BT76="","",IFERROR(INDEX(Lists!$J$2:$J$15,MATCH(BT76,Lists!$I$2:$I$15,0)),""))</f>
        <v/>
      </c>
      <c r="BV76" s="17">
        <f>IF(BS76="","",IFERROR(INDEX(Clay_Brands!$A$2:$FZ$601,BS76,Sync!$D$17)&amp;"",""))</f>
        <v/>
      </c>
      <c r="BW76" s="23">
        <f>IF(BS76="","",IFERROR(N(INDEX(Clay_Brands!$A$2:$FZ$601,BS76,Sync!$D$16)),0))</f>
        <v/>
      </c>
    </row>
    <row r="77">
      <c r="G77" s="22" t="n"/>
      <c r="AL77" s="17">
        <f>IF(TRIM($A77)="","",IF(AND(LEFT($A77,6)="SAMPLE",Config!$B$19&lt;&gt;"Y"),"",IF(NOT(ISNUMBER(G77)),"call_date is blank or not a date",IF(Sync!$D$5="","Clay paste is empty or has no row_id column: paste the Clay export on Clay_Brands",IF(BS77="","row_id not found in the Clay paste: add the Clay row or fix the row_id",IF(AND(ISNUMBER(BU77),BU77&gt;=1,BU77&lt;=5),"Clay status is "&amp;BT77&amp;": set call_done or later",IF(AND(AP77=1,BV77&lt;&gt;BQ77),"Clay yes_in_principle should be "&amp;BQ77,IF(AND(AP77=1,BW77&lt;&gt;G77),"Clay call_date should be "&amp;TEXT(G77,"yyyy-mm-dd"),""))))))))</f>
        <v/>
      </c>
      <c r="AM77" s="17">
        <f>ROW()</f>
        <v/>
      </c>
      <c r="AN77" s="17">
        <f>IF(AND(TRIM($A77)&lt;&gt;"",ISNUMBER(G77)),IF(AND(LEFT($A77,6)="SAMPLE",Config!$B$19&lt;&gt;"Y"),0,1),0)</f>
        <v/>
      </c>
      <c r="AO77" s="17">
        <f>IF(AN77=1,IF(COUNTIFS($A$2:$A$201,$A77,$AN$2:$AN$201,1,$G$2:$G$201,"&lt;"&amp;G77)+COUNTIFS($A$2:$A$201,$A77,$AN$2:$AN$201,1,$G$2:$G$201,G77,$AM$2:$AM$201,"&lt;"&amp;AM77)=0,1,0),0)</f>
        <v/>
      </c>
      <c r="AP77" s="17">
        <f>IF(AN77=1,IF(COUNTIFS($A$2:$A$201,$A77,$AN$2:$AN$201,1,$G$2:$G$201,"&gt;"&amp;G77)+COUNTIFS($A$2:$A$201,$A77,$AN$2:$AN$201,1,$G$2:$G$201,G77,$AM$2:$AM$201,"&gt;"&amp;AM77)=0,1,0),0)</f>
        <v/>
      </c>
      <c r="AQ77" s="17">
        <f>IF(AND(AN77=1,N77="Y",MAX(N(R77),N(V77))&gt;=Config!$B$14),1,0)</f>
        <v/>
      </c>
      <c r="AR77" s="17">
        <f>IF(AQ77=1,IF(COUNTIFS($A$2:$A$201,$A77,$AQ$2:$AQ$201,1,$G$2:$G$201,"&lt;"&amp;G77)+COUNTIFS($A$2:$A$201,$A77,$AQ$2:$AQ$201,1,$G$2:$G$201,G77,$AM$2:$AM$201,"&lt;"&amp;AM77)=0,1,0),0)</f>
        <v/>
      </c>
      <c r="AS77" s="17">
        <f>IF(AND(AN77=1,N77="Y",ISNUMBER(R77)),IF(R77&gt;=Config!$B$14,1,0),0)</f>
        <v/>
      </c>
      <c r="AT77" s="17">
        <f>IF(AS77=1,IF(COUNTIFS($A$2:$A$201,$A77,$AS$2:$AS$201,1,$G$2:$G$201,"&lt;"&amp;G77)+COUNTIFS($A$2:$A$201,$A77,$AS$2:$AS$201,1,$G$2:$G$201,G77,$AM$2:$AM$201,"&lt;"&amp;AM77)=0,1,0),0)</f>
        <v/>
      </c>
      <c r="AU77" s="17">
        <f>IF(AND(AN77=1,N77&lt;&gt;"Y",MAX(N(R77),N(V77))&gt;=Config!$B$14),1,0)</f>
        <v/>
      </c>
      <c r="AV77" s="17">
        <f>IF(AU77=1,IF(COUNTIFS($A$2:$A$201,$A77,$AU$2:$AU$201,1,$G$2:$G$201,"&lt;"&amp;G77)+COUNTIFS($A$2:$A$201,$A77,$AU$2:$AU$201,1,$G$2:$G$201,G77,$AM$2:$AM$201,"&lt;"&amp;AM77)=0,1,0),0)</f>
        <v/>
      </c>
      <c r="AW77" s="17">
        <f>IF(AND(AN77=1,ISNUMBER(R77)),1,0)</f>
        <v/>
      </c>
      <c r="AX77" s="17">
        <f>IF(AW77=1,IF(COUNTIFS($A$2:$A$201,$A77,$AW$2:$AW$201,1,$G$2:$G$201,"&lt;"&amp;G77)+COUNTIFS($A$2:$A$201,$A77,$AW$2:$AW$201,1,$G$2:$G$201,G77,$AM$2:$AM$201,"&lt;"&amp;AM77)=0,1,0),0)</f>
        <v/>
      </c>
      <c r="AY77" s="17">
        <f>IF(AND(AX77=1,G77&lt;=Config!$B$6),R77,"")</f>
        <v/>
      </c>
      <c r="AZ77" s="17">
        <f>IF(AND(AX77=1,G77&lt;=Config!$B$7),R77,"")</f>
        <v/>
      </c>
      <c r="BA77" s="17">
        <f>IF(AND(AX77=1,G77&lt;=Config!$B$8),R77,"")</f>
        <v/>
      </c>
      <c r="BB77" s="17">
        <f>IF(AND(AX77=1,G77&lt;=Config!$B$5),R77,"")</f>
        <v/>
      </c>
      <c r="BC77" s="17">
        <f>IF(AND(AN77=1,ISNUMBER(V77)),1,0)</f>
        <v/>
      </c>
      <c r="BD77" s="17">
        <f>IF(BC77=1,IF(COUNTIFS($A$2:$A$201,$A77,$BC$2:$BC$201,1,$G$2:$G$201,"&lt;"&amp;G77)+COUNTIFS($A$2:$A$201,$A77,$BC$2:$BC$201,1,$G$2:$G$201,G77,$AM$2:$AM$201,"&lt;"&amp;AM77)=0,1,0),0)</f>
        <v/>
      </c>
      <c r="BE77" s="17">
        <f>IF(AND(BD77=1,G77&lt;=Config!$B$6),V77,"")</f>
        <v/>
      </c>
      <c r="BF77" s="17">
        <f>IF(AND(BD77=1,G77&lt;=Config!$B$7),V77,"")</f>
        <v/>
      </c>
      <c r="BG77" s="17">
        <f>IF(AND(BD77=1,G77&lt;=Config!$B$8),V77,"")</f>
        <v/>
      </c>
      <c r="BH77" s="17">
        <f>IF(AND(BD77=1,G77&lt;=Config!$B$5),V77,"")</f>
        <v/>
      </c>
      <c r="BI77" s="17">
        <f>IF(AND(AN77=1,ISNUMBER(J77)),1,0)</f>
        <v/>
      </c>
      <c r="BJ77" s="17">
        <f>IF(BI77=1,IF(COUNTIFS($A$2:$A$201,$A77,$BI$2:$BI$201,1,$G$2:$G$201,"&lt;"&amp;G77)+COUNTIFS($A$2:$A$201,$A77,$BI$2:$BI$201,1,$G$2:$G$201,G77,$AM$2:$AM$201,"&lt;"&amp;AM77)=0,1,0),0)</f>
        <v/>
      </c>
      <c r="BK77" s="17">
        <f>IF(AND(BJ77=1,G77&lt;=Config!$B$5),J77,"")</f>
        <v/>
      </c>
      <c r="BL77" s="17">
        <f>IF(AND(AN77=1,OR(AND(ISNUMBER(R77),TRIM(S77)=""),AND(ISNUMBER(V77),TRIM(W77)=""))),1,0)</f>
        <v/>
      </c>
      <c r="BM77" s="17">
        <f>IF(AN77=1,AB77&amp;"","")</f>
        <v/>
      </c>
      <c r="BN77" s="17">
        <f>IF(AN77=1,AC77&amp;"","")</f>
        <v/>
      </c>
      <c r="BO77" s="17">
        <f>IF(AN77=1,AD77&amp;"","")</f>
        <v/>
      </c>
      <c r="BP77" s="17">
        <f>IF(AND(AN77=1,ISNUMBER(AI77),G77&lt;=Config!$B$5),AI77,"")</f>
        <v/>
      </c>
      <c r="BQ77" s="17">
        <f>IF(AN77=1,IF(COUNTIFS($A$2:$A$201,$A77,$AF$2:$AF$201,"Y",$AN$2:$AN$201,1)&gt;0,"Y","N"),"")</f>
        <v/>
      </c>
      <c r="BR77" s="17">
        <f>IF(AND(AN77=1,AF77="Y"),IF(COUNTIFS($A$2:$A$201,$A77,$AF$2:$AF$201,"Y",$AN$2:$AN$201,1,$G$2:$G$201,"&lt;"&amp;G77)+COUNTIFS($A$2:$A$201,$A77,$AF$2:$AF$201,"Y",$AN$2:$AN$201,1,$G$2:$G$201,G77,$AM$2:$AM$201,"&lt;"&amp;AM77)=0,1,0),0)</f>
        <v/>
      </c>
      <c r="BS77" s="17">
        <f>IF(AN77=1,IFERROR(MATCH($A77,INDEX(Clay_Brands!$A$2:$FZ$601,0,Sync!$D$5),0),""),"")</f>
        <v/>
      </c>
      <c r="BT77" s="17">
        <f>IF(BS77="","",IFERROR(INDEX(Clay_Brands!$A$2:$FZ$601,BS77,Sync!$D$7)&amp;"",""))</f>
        <v/>
      </c>
      <c r="BU77" s="17">
        <f>IF(BT77="","",IFERROR(INDEX(Lists!$J$2:$J$15,MATCH(BT77,Lists!$I$2:$I$15,0)),""))</f>
        <v/>
      </c>
      <c r="BV77" s="17">
        <f>IF(BS77="","",IFERROR(INDEX(Clay_Brands!$A$2:$FZ$601,BS77,Sync!$D$17)&amp;"",""))</f>
        <v/>
      </c>
      <c r="BW77" s="23">
        <f>IF(BS77="","",IFERROR(N(INDEX(Clay_Brands!$A$2:$FZ$601,BS77,Sync!$D$16)),0))</f>
        <v/>
      </c>
    </row>
    <row r="78">
      <c r="G78" s="22" t="n"/>
      <c r="AL78" s="17">
        <f>IF(TRIM($A78)="","",IF(AND(LEFT($A78,6)="SAMPLE",Config!$B$19&lt;&gt;"Y"),"",IF(NOT(ISNUMBER(G78)),"call_date is blank or not a date",IF(Sync!$D$5="","Clay paste is empty or has no row_id column: paste the Clay export on Clay_Brands",IF(BS78="","row_id not found in the Clay paste: add the Clay row or fix the row_id",IF(AND(ISNUMBER(BU78),BU78&gt;=1,BU78&lt;=5),"Clay status is "&amp;BT78&amp;": set call_done or later",IF(AND(AP78=1,BV78&lt;&gt;BQ78),"Clay yes_in_principle should be "&amp;BQ78,IF(AND(AP78=1,BW78&lt;&gt;G78),"Clay call_date should be "&amp;TEXT(G78,"yyyy-mm-dd"),""))))))))</f>
        <v/>
      </c>
      <c r="AM78" s="17">
        <f>ROW()</f>
        <v/>
      </c>
      <c r="AN78" s="17">
        <f>IF(AND(TRIM($A78)&lt;&gt;"",ISNUMBER(G78)),IF(AND(LEFT($A78,6)="SAMPLE",Config!$B$19&lt;&gt;"Y"),0,1),0)</f>
        <v/>
      </c>
      <c r="AO78" s="17">
        <f>IF(AN78=1,IF(COUNTIFS($A$2:$A$201,$A78,$AN$2:$AN$201,1,$G$2:$G$201,"&lt;"&amp;G78)+COUNTIFS($A$2:$A$201,$A78,$AN$2:$AN$201,1,$G$2:$G$201,G78,$AM$2:$AM$201,"&lt;"&amp;AM78)=0,1,0),0)</f>
        <v/>
      </c>
      <c r="AP78" s="17">
        <f>IF(AN78=1,IF(COUNTIFS($A$2:$A$201,$A78,$AN$2:$AN$201,1,$G$2:$G$201,"&gt;"&amp;G78)+COUNTIFS($A$2:$A$201,$A78,$AN$2:$AN$201,1,$G$2:$G$201,G78,$AM$2:$AM$201,"&gt;"&amp;AM78)=0,1,0),0)</f>
        <v/>
      </c>
      <c r="AQ78" s="17">
        <f>IF(AND(AN78=1,N78="Y",MAX(N(R78),N(V78))&gt;=Config!$B$14),1,0)</f>
        <v/>
      </c>
      <c r="AR78" s="17">
        <f>IF(AQ78=1,IF(COUNTIFS($A$2:$A$201,$A78,$AQ$2:$AQ$201,1,$G$2:$G$201,"&lt;"&amp;G78)+COUNTIFS($A$2:$A$201,$A78,$AQ$2:$AQ$201,1,$G$2:$G$201,G78,$AM$2:$AM$201,"&lt;"&amp;AM78)=0,1,0),0)</f>
        <v/>
      </c>
      <c r="AS78" s="17">
        <f>IF(AND(AN78=1,N78="Y",ISNUMBER(R78)),IF(R78&gt;=Config!$B$14,1,0),0)</f>
        <v/>
      </c>
      <c r="AT78" s="17">
        <f>IF(AS78=1,IF(COUNTIFS($A$2:$A$201,$A78,$AS$2:$AS$201,1,$G$2:$G$201,"&lt;"&amp;G78)+COUNTIFS($A$2:$A$201,$A78,$AS$2:$AS$201,1,$G$2:$G$201,G78,$AM$2:$AM$201,"&lt;"&amp;AM78)=0,1,0),0)</f>
        <v/>
      </c>
      <c r="AU78" s="17">
        <f>IF(AND(AN78=1,N78&lt;&gt;"Y",MAX(N(R78),N(V78))&gt;=Config!$B$14),1,0)</f>
        <v/>
      </c>
      <c r="AV78" s="17">
        <f>IF(AU78=1,IF(COUNTIFS($A$2:$A$201,$A78,$AU$2:$AU$201,1,$G$2:$G$201,"&lt;"&amp;G78)+COUNTIFS($A$2:$A$201,$A78,$AU$2:$AU$201,1,$G$2:$G$201,G78,$AM$2:$AM$201,"&lt;"&amp;AM78)=0,1,0),0)</f>
        <v/>
      </c>
      <c r="AW78" s="17">
        <f>IF(AND(AN78=1,ISNUMBER(R78)),1,0)</f>
        <v/>
      </c>
      <c r="AX78" s="17">
        <f>IF(AW78=1,IF(COUNTIFS($A$2:$A$201,$A78,$AW$2:$AW$201,1,$G$2:$G$201,"&lt;"&amp;G78)+COUNTIFS($A$2:$A$201,$A78,$AW$2:$AW$201,1,$G$2:$G$201,G78,$AM$2:$AM$201,"&lt;"&amp;AM78)=0,1,0),0)</f>
        <v/>
      </c>
      <c r="AY78" s="17">
        <f>IF(AND(AX78=1,G78&lt;=Config!$B$6),R78,"")</f>
        <v/>
      </c>
      <c r="AZ78" s="17">
        <f>IF(AND(AX78=1,G78&lt;=Config!$B$7),R78,"")</f>
        <v/>
      </c>
      <c r="BA78" s="17">
        <f>IF(AND(AX78=1,G78&lt;=Config!$B$8),R78,"")</f>
        <v/>
      </c>
      <c r="BB78" s="17">
        <f>IF(AND(AX78=1,G78&lt;=Config!$B$5),R78,"")</f>
        <v/>
      </c>
      <c r="BC78" s="17">
        <f>IF(AND(AN78=1,ISNUMBER(V78)),1,0)</f>
        <v/>
      </c>
      <c r="BD78" s="17">
        <f>IF(BC78=1,IF(COUNTIFS($A$2:$A$201,$A78,$BC$2:$BC$201,1,$G$2:$G$201,"&lt;"&amp;G78)+COUNTIFS($A$2:$A$201,$A78,$BC$2:$BC$201,1,$G$2:$G$201,G78,$AM$2:$AM$201,"&lt;"&amp;AM78)=0,1,0),0)</f>
        <v/>
      </c>
      <c r="BE78" s="17">
        <f>IF(AND(BD78=1,G78&lt;=Config!$B$6),V78,"")</f>
        <v/>
      </c>
      <c r="BF78" s="17">
        <f>IF(AND(BD78=1,G78&lt;=Config!$B$7),V78,"")</f>
        <v/>
      </c>
      <c r="BG78" s="17">
        <f>IF(AND(BD78=1,G78&lt;=Config!$B$8),V78,"")</f>
        <v/>
      </c>
      <c r="BH78" s="17">
        <f>IF(AND(BD78=1,G78&lt;=Config!$B$5),V78,"")</f>
        <v/>
      </c>
      <c r="BI78" s="17">
        <f>IF(AND(AN78=1,ISNUMBER(J78)),1,0)</f>
        <v/>
      </c>
      <c r="BJ78" s="17">
        <f>IF(BI78=1,IF(COUNTIFS($A$2:$A$201,$A78,$BI$2:$BI$201,1,$G$2:$G$201,"&lt;"&amp;G78)+COUNTIFS($A$2:$A$201,$A78,$BI$2:$BI$201,1,$G$2:$G$201,G78,$AM$2:$AM$201,"&lt;"&amp;AM78)=0,1,0),0)</f>
        <v/>
      </c>
      <c r="BK78" s="17">
        <f>IF(AND(BJ78=1,G78&lt;=Config!$B$5),J78,"")</f>
        <v/>
      </c>
      <c r="BL78" s="17">
        <f>IF(AND(AN78=1,OR(AND(ISNUMBER(R78),TRIM(S78)=""),AND(ISNUMBER(V78),TRIM(W78)=""))),1,0)</f>
        <v/>
      </c>
      <c r="BM78" s="17">
        <f>IF(AN78=1,AB78&amp;"","")</f>
        <v/>
      </c>
      <c r="BN78" s="17">
        <f>IF(AN78=1,AC78&amp;"","")</f>
        <v/>
      </c>
      <c r="BO78" s="17">
        <f>IF(AN78=1,AD78&amp;"","")</f>
        <v/>
      </c>
      <c r="BP78" s="17">
        <f>IF(AND(AN78=1,ISNUMBER(AI78),G78&lt;=Config!$B$5),AI78,"")</f>
        <v/>
      </c>
      <c r="BQ78" s="17">
        <f>IF(AN78=1,IF(COUNTIFS($A$2:$A$201,$A78,$AF$2:$AF$201,"Y",$AN$2:$AN$201,1)&gt;0,"Y","N"),"")</f>
        <v/>
      </c>
      <c r="BR78" s="17">
        <f>IF(AND(AN78=1,AF78="Y"),IF(COUNTIFS($A$2:$A$201,$A78,$AF$2:$AF$201,"Y",$AN$2:$AN$201,1,$G$2:$G$201,"&lt;"&amp;G78)+COUNTIFS($A$2:$A$201,$A78,$AF$2:$AF$201,"Y",$AN$2:$AN$201,1,$G$2:$G$201,G78,$AM$2:$AM$201,"&lt;"&amp;AM78)=0,1,0),0)</f>
        <v/>
      </c>
      <c r="BS78" s="17">
        <f>IF(AN78=1,IFERROR(MATCH($A78,INDEX(Clay_Brands!$A$2:$FZ$601,0,Sync!$D$5),0),""),"")</f>
        <v/>
      </c>
      <c r="BT78" s="17">
        <f>IF(BS78="","",IFERROR(INDEX(Clay_Brands!$A$2:$FZ$601,BS78,Sync!$D$7)&amp;"",""))</f>
        <v/>
      </c>
      <c r="BU78" s="17">
        <f>IF(BT78="","",IFERROR(INDEX(Lists!$J$2:$J$15,MATCH(BT78,Lists!$I$2:$I$15,0)),""))</f>
        <v/>
      </c>
      <c r="BV78" s="17">
        <f>IF(BS78="","",IFERROR(INDEX(Clay_Brands!$A$2:$FZ$601,BS78,Sync!$D$17)&amp;"",""))</f>
        <v/>
      </c>
      <c r="BW78" s="23">
        <f>IF(BS78="","",IFERROR(N(INDEX(Clay_Brands!$A$2:$FZ$601,BS78,Sync!$D$16)),0))</f>
        <v/>
      </c>
    </row>
    <row r="79">
      <c r="G79" s="22" t="n"/>
      <c r="AL79" s="17">
        <f>IF(TRIM($A79)="","",IF(AND(LEFT($A79,6)="SAMPLE",Config!$B$19&lt;&gt;"Y"),"",IF(NOT(ISNUMBER(G79)),"call_date is blank or not a date",IF(Sync!$D$5="","Clay paste is empty or has no row_id column: paste the Clay export on Clay_Brands",IF(BS79="","row_id not found in the Clay paste: add the Clay row or fix the row_id",IF(AND(ISNUMBER(BU79),BU79&gt;=1,BU79&lt;=5),"Clay status is "&amp;BT79&amp;": set call_done or later",IF(AND(AP79=1,BV79&lt;&gt;BQ79),"Clay yes_in_principle should be "&amp;BQ79,IF(AND(AP79=1,BW79&lt;&gt;G79),"Clay call_date should be "&amp;TEXT(G79,"yyyy-mm-dd"),""))))))))</f>
        <v/>
      </c>
      <c r="AM79" s="17">
        <f>ROW()</f>
        <v/>
      </c>
      <c r="AN79" s="17">
        <f>IF(AND(TRIM($A79)&lt;&gt;"",ISNUMBER(G79)),IF(AND(LEFT($A79,6)="SAMPLE",Config!$B$19&lt;&gt;"Y"),0,1),0)</f>
        <v/>
      </c>
      <c r="AO79" s="17">
        <f>IF(AN79=1,IF(COUNTIFS($A$2:$A$201,$A79,$AN$2:$AN$201,1,$G$2:$G$201,"&lt;"&amp;G79)+COUNTIFS($A$2:$A$201,$A79,$AN$2:$AN$201,1,$G$2:$G$201,G79,$AM$2:$AM$201,"&lt;"&amp;AM79)=0,1,0),0)</f>
        <v/>
      </c>
      <c r="AP79" s="17">
        <f>IF(AN79=1,IF(COUNTIFS($A$2:$A$201,$A79,$AN$2:$AN$201,1,$G$2:$G$201,"&gt;"&amp;G79)+COUNTIFS($A$2:$A$201,$A79,$AN$2:$AN$201,1,$G$2:$G$201,G79,$AM$2:$AM$201,"&gt;"&amp;AM79)=0,1,0),0)</f>
        <v/>
      </c>
      <c r="AQ79" s="17">
        <f>IF(AND(AN79=1,N79="Y",MAX(N(R79),N(V79))&gt;=Config!$B$14),1,0)</f>
        <v/>
      </c>
      <c r="AR79" s="17">
        <f>IF(AQ79=1,IF(COUNTIFS($A$2:$A$201,$A79,$AQ$2:$AQ$201,1,$G$2:$G$201,"&lt;"&amp;G79)+COUNTIFS($A$2:$A$201,$A79,$AQ$2:$AQ$201,1,$G$2:$G$201,G79,$AM$2:$AM$201,"&lt;"&amp;AM79)=0,1,0),0)</f>
        <v/>
      </c>
      <c r="AS79" s="17">
        <f>IF(AND(AN79=1,N79="Y",ISNUMBER(R79)),IF(R79&gt;=Config!$B$14,1,0),0)</f>
        <v/>
      </c>
      <c r="AT79" s="17">
        <f>IF(AS79=1,IF(COUNTIFS($A$2:$A$201,$A79,$AS$2:$AS$201,1,$G$2:$G$201,"&lt;"&amp;G79)+COUNTIFS($A$2:$A$201,$A79,$AS$2:$AS$201,1,$G$2:$G$201,G79,$AM$2:$AM$201,"&lt;"&amp;AM79)=0,1,0),0)</f>
        <v/>
      </c>
      <c r="AU79" s="17">
        <f>IF(AND(AN79=1,N79&lt;&gt;"Y",MAX(N(R79),N(V79))&gt;=Config!$B$14),1,0)</f>
        <v/>
      </c>
      <c r="AV79" s="17">
        <f>IF(AU79=1,IF(COUNTIFS($A$2:$A$201,$A79,$AU$2:$AU$201,1,$G$2:$G$201,"&lt;"&amp;G79)+COUNTIFS($A$2:$A$201,$A79,$AU$2:$AU$201,1,$G$2:$G$201,G79,$AM$2:$AM$201,"&lt;"&amp;AM79)=0,1,0),0)</f>
        <v/>
      </c>
      <c r="AW79" s="17">
        <f>IF(AND(AN79=1,ISNUMBER(R79)),1,0)</f>
        <v/>
      </c>
      <c r="AX79" s="17">
        <f>IF(AW79=1,IF(COUNTIFS($A$2:$A$201,$A79,$AW$2:$AW$201,1,$G$2:$G$201,"&lt;"&amp;G79)+COUNTIFS($A$2:$A$201,$A79,$AW$2:$AW$201,1,$G$2:$G$201,G79,$AM$2:$AM$201,"&lt;"&amp;AM79)=0,1,0),0)</f>
        <v/>
      </c>
      <c r="AY79" s="17">
        <f>IF(AND(AX79=1,G79&lt;=Config!$B$6),R79,"")</f>
        <v/>
      </c>
      <c r="AZ79" s="17">
        <f>IF(AND(AX79=1,G79&lt;=Config!$B$7),R79,"")</f>
        <v/>
      </c>
      <c r="BA79" s="17">
        <f>IF(AND(AX79=1,G79&lt;=Config!$B$8),R79,"")</f>
        <v/>
      </c>
      <c r="BB79" s="17">
        <f>IF(AND(AX79=1,G79&lt;=Config!$B$5),R79,"")</f>
        <v/>
      </c>
      <c r="BC79" s="17">
        <f>IF(AND(AN79=1,ISNUMBER(V79)),1,0)</f>
        <v/>
      </c>
      <c r="BD79" s="17">
        <f>IF(BC79=1,IF(COUNTIFS($A$2:$A$201,$A79,$BC$2:$BC$201,1,$G$2:$G$201,"&lt;"&amp;G79)+COUNTIFS($A$2:$A$201,$A79,$BC$2:$BC$201,1,$G$2:$G$201,G79,$AM$2:$AM$201,"&lt;"&amp;AM79)=0,1,0),0)</f>
        <v/>
      </c>
      <c r="BE79" s="17">
        <f>IF(AND(BD79=1,G79&lt;=Config!$B$6),V79,"")</f>
        <v/>
      </c>
      <c r="BF79" s="17">
        <f>IF(AND(BD79=1,G79&lt;=Config!$B$7),V79,"")</f>
        <v/>
      </c>
      <c r="BG79" s="17">
        <f>IF(AND(BD79=1,G79&lt;=Config!$B$8),V79,"")</f>
        <v/>
      </c>
      <c r="BH79" s="17">
        <f>IF(AND(BD79=1,G79&lt;=Config!$B$5),V79,"")</f>
        <v/>
      </c>
      <c r="BI79" s="17">
        <f>IF(AND(AN79=1,ISNUMBER(J79)),1,0)</f>
        <v/>
      </c>
      <c r="BJ79" s="17">
        <f>IF(BI79=1,IF(COUNTIFS($A$2:$A$201,$A79,$BI$2:$BI$201,1,$G$2:$G$201,"&lt;"&amp;G79)+COUNTIFS($A$2:$A$201,$A79,$BI$2:$BI$201,1,$G$2:$G$201,G79,$AM$2:$AM$201,"&lt;"&amp;AM79)=0,1,0),0)</f>
        <v/>
      </c>
      <c r="BK79" s="17">
        <f>IF(AND(BJ79=1,G79&lt;=Config!$B$5),J79,"")</f>
        <v/>
      </c>
      <c r="BL79" s="17">
        <f>IF(AND(AN79=1,OR(AND(ISNUMBER(R79),TRIM(S79)=""),AND(ISNUMBER(V79),TRIM(W79)=""))),1,0)</f>
        <v/>
      </c>
      <c r="BM79" s="17">
        <f>IF(AN79=1,AB79&amp;"","")</f>
        <v/>
      </c>
      <c r="BN79" s="17">
        <f>IF(AN79=1,AC79&amp;"","")</f>
        <v/>
      </c>
      <c r="BO79" s="17">
        <f>IF(AN79=1,AD79&amp;"","")</f>
        <v/>
      </c>
      <c r="BP79" s="17">
        <f>IF(AND(AN79=1,ISNUMBER(AI79),G79&lt;=Config!$B$5),AI79,"")</f>
        <v/>
      </c>
      <c r="BQ79" s="17">
        <f>IF(AN79=1,IF(COUNTIFS($A$2:$A$201,$A79,$AF$2:$AF$201,"Y",$AN$2:$AN$201,1)&gt;0,"Y","N"),"")</f>
        <v/>
      </c>
      <c r="BR79" s="17">
        <f>IF(AND(AN79=1,AF79="Y"),IF(COUNTIFS($A$2:$A$201,$A79,$AF$2:$AF$201,"Y",$AN$2:$AN$201,1,$G$2:$G$201,"&lt;"&amp;G79)+COUNTIFS($A$2:$A$201,$A79,$AF$2:$AF$201,"Y",$AN$2:$AN$201,1,$G$2:$G$201,G79,$AM$2:$AM$201,"&lt;"&amp;AM79)=0,1,0),0)</f>
        <v/>
      </c>
      <c r="BS79" s="17">
        <f>IF(AN79=1,IFERROR(MATCH($A79,INDEX(Clay_Brands!$A$2:$FZ$601,0,Sync!$D$5),0),""),"")</f>
        <v/>
      </c>
      <c r="BT79" s="17">
        <f>IF(BS79="","",IFERROR(INDEX(Clay_Brands!$A$2:$FZ$601,BS79,Sync!$D$7)&amp;"",""))</f>
        <v/>
      </c>
      <c r="BU79" s="17">
        <f>IF(BT79="","",IFERROR(INDEX(Lists!$J$2:$J$15,MATCH(BT79,Lists!$I$2:$I$15,0)),""))</f>
        <v/>
      </c>
      <c r="BV79" s="17">
        <f>IF(BS79="","",IFERROR(INDEX(Clay_Brands!$A$2:$FZ$601,BS79,Sync!$D$17)&amp;"",""))</f>
        <v/>
      </c>
      <c r="BW79" s="23">
        <f>IF(BS79="","",IFERROR(N(INDEX(Clay_Brands!$A$2:$FZ$601,BS79,Sync!$D$16)),0))</f>
        <v/>
      </c>
    </row>
    <row r="80">
      <c r="G80" s="22" t="n"/>
      <c r="AL80" s="17">
        <f>IF(TRIM($A80)="","",IF(AND(LEFT($A80,6)="SAMPLE",Config!$B$19&lt;&gt;"Y"),"",IF(NOT(ISNUMBER(G80)),"call_date is blank or not a date",IF(Sync!$D$5="","Clay paste is empty or has no row_id column: paste the Clay export on Clay_Brands",IF(BS80="","row_id not found in the Clay paste: add the Clay row or fix the row_id",IF(AND(ISNUMBER(BU80),BU80&gt;=1,BU80&lt;=5),"Clay status is "&amp;BT80&amp;": set call_done or later",IF(AND(AP80=1,BV80&lt;&gt;BQ80),"Clay yes_in_principle should be "&amp;BQ80,IF(AND(AP80=1,BW80&lt;&gt;G80),"Clay call_date should be "&amp;TEXT(G80,"yyyy-mm-dd"),""))))))))</f>
        <v/>
      </c>
      <c r="AM80" s="17">
        <f>ROW()</f>
        <v/>
      </c>
      <c r="AN80" s="17">
        <f>IF(AND(TRIM($A80)&lt;&gt;"",ISNUMBER(G80)),IF(AND(LEFT($A80,6)="SAMPLE",Config!$B$19&lt;&gt;"Y"),0,1),0)</f>
        <v/>
      </c>
      <c r="AO80" s="17">
        <f>IF(AN80=1,IF(COUNTIFS($A$2:$A$201,$A80,$AN$2:$AN$201,1,$G$2:$G$201,"&lt;"&amp;G80)+COUNTIFS($A$2:$A$201,$A80,$AN$2:$AN$201,1,$G$2:$G$201,G80,$AM$2:$AM$201,"&lt;"&amp;AM80)=0,1,0),0)</f>
        <v/>
      </c>
      <c r="AP80" s="17">
        <f>IF(AN80=1,IF(COUNTIFS($A$2:$A$201,$A80,$AN$2:$AN$201,1,$G$2:$G$201,"&gt;"&amp;G80)+COUNTIFS($A$2:$A$201,$A80,$AN$2:$AN$201,1,$G$2:$G$201,G80,$AM$2:$AM$201,"&gt;"&amp;AM80)=0,1,0),0)</f>
        <v/>
      </c>
      <c r="AQ80" s="17">
        <f>IF(AND(AN80=1,N80="Y",MAX(N(R80),N(V80))&gt;=Config!$B$14),1,0)</f>
        <v/>
      </c>
      <c r="AR80" s="17">
        <f>IF(AQ80=1,IF(COUNTIFS($A$2:$A$201,$A80,$AQ$2:$AQ$201,1,$G$2:$G$201,"&lt;"&amp;G80)+COUNTIFS($A$2:$A$201,$A80,$AQ$2:$AQ$201,1,$G$2:$G$201,G80,$AM$2:$AM$201,"&lt;"&amp;AM80)=0,1,0),0)</f>
        <v/>
      </c>
      <c r="AS80" s="17">
        <f>IF(AND(AN80=1,N80="Y",ISNUMBER(R80)),IF(R80&gt;=Config!$B$14,1,0),0)</f>
        <v/>
      </c>
      <c r="AT80" s="17">
        <f>IF(AS80=1,IF(COUNTIFS($A$2:$A$201,$A80,$AS$2:$AS$201,1,$G$2:$G$201,"&lt;"&amp;G80)+COUNTIFS($A$2:$A$201,$A80,$AS$2:$AS$201,1,$G$2:$G$201,G80,$AM$2:$AM$201,"&lt;"&amp;AM80)=0,1,0),0)</f>
        <v/>
      </c>
      <c r="AU80" s="17">
        <f>IF(AND(AN80=1,N80&lt;&gt;"Y",MAX(N(R80),N(V80))&gt;=Config!$B$14),1,0)</f>
        <v/>
      </c>
      <c r="AV80" s="17">
        <f>IF(AU80=1,IF(COUNTIFS($A$2:$A$201,$A80,$AU$2:$AU$201,1,$G$2:$G$201,"&lt;"&amp;G80)+COUNTIFS($A$2:$A$201,$A80,$AU$2:$AU$201,1,$G$2:$G$201,G80,$AM$2:$AM$201,"&lt;"&amp;AM80)=0,1,0),0)</f>
        <v/>
      </c>
      <c r="AW80" s="17">
        <f>IF(AND(AN80=1,ISNUMBER(R80)),1,0)</f>
        <v/>
      </c>
      <c r="AX80" s="17">
        <f>IF(AW80=1,IF(COUNTIFS($A$2:$A$201,$A80,$AW$2:$AW$201,1,$G$2:$G$201,"&lt;"&amp;G80)+COUNTIFS($A$2:$A$201,$A80,$AW$2:$AW$201,1,$G$2:$G$201,G80,$AM$2:$AM$201,"&lt;"&amp;AM80)=0,1,0),0)</f>
        <v/>
      </c>
      <c r="AY80" s="17">
        <f>IF(AND(AX80=1,G80&lt;=Config!$B$6),R80,"")</f>
        <v/>
      </c>
      <c r="AZ80" s="17">
        <f>IF(AND(AX80=1,G80&lt;=Config!$B$7),R80,"")</f>
        <v/>
      </c>
      <c r="BA80" s="17">
        <f>IF(AND(AX80=1,G80&lt;=Config!$B$8),R80,"")</f>
        <v/>
      </c>
      <c r="BB80" s="17">
        <f>IF(AND(AX80=1,G80&lt;=Config!$B$5),R80,"")</f>
        <v/>
      </c>
      <c r="BC80" s="17">
        <f>IF(AND(AN80=1,ISNUMBER(V80)),1,0)</f>
        <v/>
      </c>
      <c r="BD80" s="17">
        <f>IF(BC80=1,IF(COUNTIFS($A$2:$A$201,$A80,$BC$2:$BC$201,1,$G$2:$G$201,"&lt;"&amp;G80)+COUNTIFS($A$2:$A$201,$A80,$BC$2:$BC$201,1,$G$2:$G$201,G80,$AM$2:$AM$201,"&lt;"&amp;AM80)=0,1,0),0)</f>
        <v/>
      </c>
      <c r="BE80" s="17">
        <f>IF(AND(BD80=1,G80&lt;=Config!$B$6),V80,"")</f>
        <v/>
      </c>
      <c r="BF80" s="17">
        <f>IF(AND(BD80=1,G80&lt;=Config!$B$7),V80,"")</f>
        <v/>
      </c>
      <c r="BG80" s="17">
        <f>IF(AND(BD80=1,G80&lt;=Config!$B$8),V80,"")</f>
        <v/>
      </c>
      <c r="BH80" s="17">
        <f>IF(AND(BD80=1,G80&lt;=Config!$B$5),V80,"")</f>
        <v/>
      </c>
      <c r="BI80" s="17">
        <f>IF(AND(AN80=1,ISNUMBER(J80)),1,0)</f>
        <v/>
      </c>
      <c r="BJ80" s="17">
        <f>IF(BI80=1,IF(COUNTIFS($A$2:$A$201,$A80,$BI$2:$BI$201,1,$G$2:$G$201,"&lt;"&amp;G80)+COUNTIFS($A$2:$A$201,$A80,$BI$2:$BI$201,1,$G$2:$G$201,G80,$AM$2:$AM$201,"&lt;"&amp;AM80)=0,1,0),0)</f>
        <v/>
      </c>
      <c r="BK80" s="17">
        <f>IF(AND(BJ80=1,G80&lt;=Config!$B$5),J80,"")</f>
        <v/>
      </c>
      <c r="BL80" s="17">
        <f>IF(AND(AN80=1,OR(AND(ISNUMBER(R80),TRIM(S80)=""),AND(ISNUMBER(V80),TRIM(W80)=""))),1,0)</f>
        <v/>
      </c>
      <c r="BM80" s="17">
        <f>IF(AN80=1,AB80&amp;"","")</f>
        <v/>
      </c>
      <c r="BN80" s="17">
        <f>IF(AN80=1,AC80&amp;"","")</f>
        <v/>
      </c>
      <c r="BO80" s="17">
        <f>IF(AN80=1,AD80&amp;"","")</f>
        <v/>
      </c>
      <c r="BP80" s="17">
        <f>IF(AND(AN80=1,ISNUMBER(AI80),G80&lt;=Config!$B$5),AI80,"")</f>
        <v/>
      </c>
      <c r="BQ80" s="17">
        <f>IF(AN80=1,IF(COUNTIFS($A$2:$A$201,$A80,$AF$2:$AF$201,"Y",$AN$2:$AN$201,1)&gt;0,"Y","N"),"")</f>
        <v/>
      </c>
      <c r="BR80" s="17">
        <f>IF(AND(AN80=1,AF80="Y"),IF(COUNTIFS($A$2:$A$201,$A80,$AF$2:$AF$201,"Y",$AN$2:$AN$201,1,$G$2:$G$201,"&lt;"&amp;G80)+COUNTIFS($A$2:$A$201,$A80,$AF$2:$AF$201,"Y",$AN$2:$AN$201,1,$G$2:$G$201,G80,$AM$2:$AM$201,"&lt;"&amp;AM80)=0,1,0),0)</f>
        <v/>
      </c>
      <c r="BS80" s="17">
        <f>IF(AN80=1,IFERROR(MATCH($A80,INDEX(Clay_Brands!$A$2:$FZ$601,0,Sync!$D$5),0),""),"")</f>
        <v/>
      </c>
      <c r="BT80" s="17">
        <f>IF(BS80="","",IFERROR(INDEX(Clay_Brands!$A$2:$FZ$601,BS80,Sync!$D$7)&amp;"",""))</f>
        <v/>
      </c>
      <c r="BU80" s="17">
        <f>IF(BT80="","",IFERROR(INDEX(Lists!$J$2:$J$15,MATCH(BT80,Lists!$I$2:$I$15,0)),""))</f>
        <v/>
      </c>
      <c r="BV80" s="17">
        <f>IF(BS80="","",IFERROR(INDEX(Clay_Brands!$A$2:$FZ$601,BS80,Sync!$D$17)&amp;"",""))</f>
        <v/>
      </c>
      <c r="BW80" s="23">
        <f>IF(BS80="","",IFERROR(N(INDEX(Clay_Brands!$A$2:$FZ$601,BS80,Sync!$D$16)),0))</f>
        <v/>
      </c>
    </row>
    <row r="81">
      <c r="G81" s="22" t="n"/>
      <c r="AL81" s="17">
        <f>IF(TRIM($A81)="","",IF(AND(LEFT($A81,6)="SAMPLE",Config!$B$19&lt;&gt;"Y"),"",IF(NOT(ISNUMBER(G81)),"call_date is blank or not a date",IF(Sync!$D$5="","Clay paste is empty or has no row_id column: paste the Clay export on Clay_Brands",IF(BS81="","row_id not found in the Clay paste: add the Clay row or fix the row_id",IF(AND(ISNUMBER(BU81),BU81&gt;=1,BU81&lt;=5),"Clay status is "&amp;BT81&amp;": set call_done or later",IF(AND(AP81=1,BV81&lt;&gt;BQ81),"Clay yes_in_principle should be "&amp;BQ81,IF(AND(AP81=1,BW81&lt;&gt;G81),"Clay call_date should be "&amp;TEXT(G81,"yyyy-mm-dd"),""))))))))</f>
        <v/>
      </c>
      <c r="AM81" s="17">
        <f>ROW()</f>
        <v/>
      </c>
      <c r="AN81" s="17">
        <f>IF(AND(TRIM($A81)&lt;&gt;"",ISNUMBER(G81)),IF(AND(LEFT($A81,6)="SAMPLE",Config!$B$19&lt;&gt;"Y"),0,1),0)</f>
        <v/>
      </c>
      <c r="AO81" s="17">
        <f>IF(AN81=1,IF(COUNTIFS($A$2:$A$201,$A81,$AN$2:$AN$201,1,$G$2:$G$201,"&lt;"&amp;G81)+COUNTIFS($A$2:$A$201,$A81,$AN$2:$AN$201,1,$G$2:$G$201,G81,$AM$2:$AM$201,"&lt;"&amp;AM81)=0,1,0),0)</f>
        <v/>
      </c>
      <c r="AP81" s="17">
        <f>IF(AN81=1,IF(COUNTIFS($A$2:$A$201,$A81,$AN$2:$AN$201,1,$G$2:$G$201,"&gt;"&amp;G81)+COUNTIFS($A$2:$A$201,$A81,$AN$2:$AN$201,1,$G$2:$G$201,G81,$AM$2:$AM$201,"&gt;"&amp;AM81)=0,1,0),0)</f>
        <v/>
      </c>
      <c r="AQ81" s="17">
        <f>IF(AND(AN81=1,N81="Y",MAX(N(R81),N(V81))&gt;=Config!$B$14),1,0)</f>
        <v/>
      </c>
      <c r="AR81" s="17">
        <f>IF(AQ81=1,IF(COUNTIFS($A$2:$A$201,$A81,$AQ$2:$AQ$201,1,$G$2:$G$201,"&lt;"&amp;G81)+COUNTIFS($A$2:$A$201,$A81,$AQ$2:$AQ$201,1,$G$2:$G$201,G81,$AM$2:$AM$201,"&lt;"&amp;AM81)=0,1,0),0)</f>
        <v/>
      </c>
      <c r="AS81" s="17">
        <f>IF(AND(AN81=1,N81="Y",ISNUMBER(R81)),IF(R81&gt;=Config!$B$14,1,0),0)</f>
        <v/>
      </c>
      <c r="AT81" s="17">
        <f>IF(AS81=1,IF(COUNTIFS($A$2:$A$201,$A81,$AS$2:$AS$201,1,$G$2:$G$201,"&lt;"&amp;G81)+COUNTIFS($A$2:$A$201,$A81,$AS$2:$AS$201,1,$G$2:$G$201,G81,$AM$2:$AM$201,"&lt;"&amp;AM81)=0,1,0),0)</f>
        <v/>
      </c>
      <c r="AU81" s="17">
        <f>IF(AND(AN81=1,N81&lt;&gt;"Y",MAX(N(R81),N(V81))&gt;=Config!$B$14),1,0)</f>
        <v/>
      </c>
      <c r="AV81" s="17">
        <f>IF(AU81=1,IF(COUNTIFS($A$2:$A$201,$A81,$AU$2:$AU$201,1,$G$2:$G$201,"&lt;"&amp;G81)+COUNTIFS($A$2:$A$201,$A81,$AU$2:$AU$201,1,$G$2:$G$201,G81,$AM$2:$AM$201,"&lt;"&amp;AM81)=0,1,0),0)</f>
        <v/>
      </c>
      <c r="AW81" s="17">
        <f>IF(AND(AN81=1,ISNUMBER(R81)),1,0)</f>
        <v/>
      </c>
      <c r="AX81" s="17">
        <f>IF(AW81=1,IF(COUNTIFS($A$2:$A$201,$A81,$AW$2:$AW$201,1,$G$2:$G$201,"&lt;"&amp;G81)+COUNTIFS($A$2:$A$201,$A81,$AW$2:$AW$201,1,$G$2:$G$201,G81,$AM$2:$AM$201,"&lt;"&amp;AM81)=0,1,0),0)</f>
        <v/>
      </c>
      <c r="AY81" s="17">
        <f>IF(AND(AX81=1,G81&lt;=Config!$B$6),R81,"")</f>
        <v/>
      </c>
      <c r="AZ81" s="17">
        <f>IF(AND(AX81=1,G81&lt;=Config!$B$7),R81,"")</f>
        <v/>
      </c>
      <c r="BA81" s="17">
        <f>IF(AND(AX81=1,G81&lt;=Config!$B$8),R81,"")</f>
        <v/>
      </c>
      <c r="BB81" s="17">
        <f>IF(AND(AX81=1,G81&lt;=Config!$B$5),R81,"")</f>
        <v/>
      </c>
      <c r="BC81" s="17">
        <f>IF(AND(AN81=1,ISNUMBER(V81)),1,0)</f>
        <v/>
      </c>
      <c r="BD81" s="17">
        <f>IF(BC81=1,IF(COUNTIFS($A$2:$A$201,$A81,$BC$2:$BC$201,1,$G$2:$G$201,"&lt;"&amp;G81)+COUNTIFS($A$2:$A$201,$A81,$BC$2:$BC$201,1,$G$2:$G$201,G81,$AM$2:$AM$201,"&lt;"&amp;AM81)=0,1,0),0)</f>
        <v/>
      </c>
      <c r="BE81" s="17">
        <f>IF(AND(BD81=1,G81&lt;=Config!$B$6),V81,"")</f>
        <v/>
      </c>
      <c r="BF81" s="17">
        <f>IF(AND(BD81=1,G81&lt;=Config!$B$7),V81,"")</f>
        <v/>
      </c>
      <c r="BG81" s="17">
        <f>IF(AND(BD81=1,G81&lt;=Config!$B$8),V81,"")</f>
        <v/>
      </c>
      <c r="BH81" s="17">
        <f>IF(AND(BD81=1,G81&lt;=Config!$B$5),V81,"")</f>
        <v/>
      </c>
      <c r="BI81" s="17">
        <f>IF(AND(AN81=1,ISNUMBER(J81)),1,0)</f>
        <v/>
      </c>
      <c r="BJ81" s="17">
        <f>IF(BI81=1,IF(COUNTIFS($A$2:$A$201,$A81,$BI$2:$BI$201,1,$G$2:$G$201,"&lt;"&amp;G81)+COUNTIFS($A$2:$A$201,$A81,$BI$2:$BI$201,1,$G$2:$G$201,G81,$AM$2:$AM$201,"&lt;"&amp;AM81)=0,1,0),0)</f>
        <v/>
      </c>
      <c r="BK81" s="17">
        <f>IF(AND(BJ81=1,G81&lt;=Config!$B$5),J81,"")</f>
        <v/>
      </c>
      <c r="BL81" s="17">
        <f>IF(AND(AN81=1,OR(AND(ISNUMBER(R81),TRIM(S81)=""),AND(ISNUMBER(V81),TRIM(W81)=""))),1,0)</f>
        <v/>
      </c>
      <c r="BM81" s="17">
        <f>IF(AN81=1,AB81&amp;"","")</f>
        <v/>
      </c>
      <c r="BN81" s="17">
        <f>IF(AN81=1,AC81&amp;"","")</f>
        <v/>
      </c>
      <c r="BO81" s="17">
        <f>IF(AN81=1,AD81&amp;"","")</f>
        <v/>
      </c>
      <c r="BP81" s="17">
        <f>IF(AND(AN81=1,ISNUMBER(AI81),G81&lt;=Config!$B$5),AI81,"")</f>
        <v/>
      </c>
      <c r="BQ81" s="17">
        <f>IF(AN81=1,IF(COUNTIFS($A$2:$A$201,$A81,$AF$2:$AF$201,"Y",$AN$2:$AN$201,1)&gt;0,"Y","N"),"")</f>
        <v/>
      </c>
      <c r="BR81" s="17">
        <f>IF(AND(AN81=1,AF81="Y"),IF(COUNTIFS($A$2:$A$201,$A81,$AF$2:$AF$201,"Y",$AN$2:$AN$201,1,$G$2:$G$201,"&lt;"&amp;G81)+COUNTIFS($A$2:$A$201,$A81,$AF$2:$AF$201,"Y",$AN$2:$AN$201,1,$G$2:$G$201,G81,$AM$2:$AM$201,"&lt;"&amp;AM81)=0,1,0),0)</f>
        <v/>
      </c>
      <c r="BS81" s="17">
        <f>IF(AN81=1,IFERROR(MATCH($A81,INDEX(Clay_Brands!$A$2:$FZ$601,0,Sync!$D$5),0),""),"")</f>
        <v/>
      </c>
      <c r="BT81" s="17">
        <f>IF(BS81="","",IFERROR(INDEX(Clay_Brands!$A$2:$FZ$601,BS81,Sync!$D$7)&amp;"",""))</f>
        <v/>
      </c>
      <c r="BU81" s="17">
        <f>IF(BT81="","",IFERROR(INDEX(Lists!$J$2:$J$15,MATCH(BT81,Lists!$I$2:$I$15,0)),""))</f>
        <v/>
      </c>
      <c r="BV81" s="17">
        <f>IF(BS81="","",IFERROR(INDEX(Clay_Brands!$A$2:$FZ$601,BS81,Sync!$D$17)&amp;"",""))</f>
        <v/>
      </c>
      <c r="BW81" s="23">
        <f>IF(BS81="","",IFERROR(N(INDEX(Clay_Brands!$A$2:$FZ$601,BS81,Sync!$D$16)),0))</f>
        <v/>
      </c>
    </row>
    <row r="82">
      <c r="G82" s="22" t="n"/>
      <c r="AL82" s="17">
        <f>IF(TRIM($A82)="","",IF(AND(LEFT($A82,6)="SAMPLE",Config!$B$19&lt;&gt;"Y"),"",IF(NOT(ISNUMBER(G82)),"call_date is blank or not a date",IF(Sync!$D$5="","Clay paste is empty or has no row_id column: paste the Clay export on Clay_Brands",IF(BS82="","row_id not found in the Clay paste: add the Clay row or fix the row_id",IF(AND(ISNUMBER(BU82),BU82&gt;=1,BU82&lt;=5),"Clay status is "&amp;BT82&amp;": set call_done or later",IF(AND(AP82=1,BV82&lt;&gt;BQ82),"Clay yes_in_principle should be "&amp;BQ82,IF(AND(AP82=1,BW82&lt;&gt;G82),"Clay call_date should be "&amp;TEXT(G82,"yyyy-mm-dd"),""))))))))</f>
        <v/>
      </c>
      <c r="AM82" s="17">
        <f>ROW()</f>
        <v/>
      </c>
      <c r="AN82" s="17">
        <f>IF(AND(TRIM($A82)&lt;&gt;"",ISNUMBER(G82)),IF(AND(LEFT($A82,6)="SAMPLE",Config!$B$19&lt;&gt;"Y"),0,1),0)</f>
        <v/>
      </c>
      <c r="AO82" s="17">
        <f>IF(AN82=1,IF(COUNTIFS($A$2:$A$201,$A82,$AN$2:$AN$201,1,$G$2:$G$201,"&lt;"&amp;G82)+COUNTIFS($A$2:$A$201,$A82,$AN$2:$AN$201,1,$G$2:$G$201,G82,$AM$2:$AM$201,"&lt;"&amp;AM82)=0,1,0),0)</f>
        <v/>
      </c>
      <c r="AP82" s="17">
        <f>IF(AN82=1,IF(COUNTIFS($A$2:$A$201,$A82,$AN$2:$AN$201,1,$G$2:$G$201,"&gt;"&amp;G82)+COUNTIFS($A$2:$A$201,$A82,$AN$2:$AN$201,1,$G$2:$G$201,G82,$AM$2:$AM$201,"&gt;"&amp;AM82)=0,1,0),0)</f>
        <v/>
      </c>
      <c r="AQ82" s="17">
        <f>IF(AND(AN82=1,N82="Y",MAX(N(R82),N(V82))&gt;=Config!$B$14),1,0)</f>
        <v/>
      </c>
      <c r="AR82" s="17">
        <f>IF(AQ82=1,IF(COUNTIFS($A$2:$A$201,$A82,$AQ$2:$AQ$201,1,$G$2:$G$201,"&lt;"&amp;G82)+COUNTIFS($A$2:$A$201,$A82,$AQ$2:$AQ$201,1,$G$2:$G$201,G82,$AM$2:$AM$201,"&lt;"&amp;AM82)=0,1,0),0)</f>
        <v/>
      </c>
      <c r="AS82" s="17">
        <f>IF(AND(AN82=1,N82="Y",ISNUMBER(R82)),IF(R82&gt;=Config!$B$14,1,0),0)</f>
        <v/>
      </c>
      <c r="AT82" s="17">
        <f>IF(AS82=1,IF(COUNTIFS($A$2:$A$201,$A82,$AS$2:$AS$201,1,$G$2:$G$201,"&lt;"&amp;G82)+COUNTIFS($A$2:$A$201,$A82,$AS$2:$AS$201,1,$G$2:$G$201,G82,$AM$2:$AM$201,"&lt;"&amp;AM82)=0,1,0),0)</f>
        <v/>
      </c>
      <c r="AU82" s="17">
        <f>IF(AND(AN82=1,N82&lt;&gt;"Y",MAX(N(R82),N(V82))&gt;=Config!$B$14),1,0)</f>
        <v/>
      </c>
      <c r="AV82" s="17">
        <f>IF(AU82=1,IF(COUNTIFS($A$2:$A$201,$A82,$AU$2:$AU$201,1,$G$2:$G$201,"&lt;"&amp;G82)+COUNTIFS($A$2:$A$201,$A82,$AU$2:$AU$201,1,$G$2:$G$201,G82,$AM$2:$AM$201,"&lt;"&amp;AM82)=0,1,0),0)</f>
        <v/>
      </c>
      <c r="AW82" s="17">
        <f>IF(AND(AN82=1,ISNUMBER(R82)),1,0)</f>
        <v/>
      </c>
      <c r="AX82" s="17">
        <f>IF(AW82=1,IF(COUNTIFS($A$2:$A$201,$A82,$AW$2:$AW$201,1,$G$2:$G$201,"&lt;"&amp;G82)+COUNTIFS($A$2:$A$201,$A82,$AW$2:$AW$201,1,$G$2:$G$201,G82,$AM$2:$AM$201,"&lt;"&amp;AM82)=0,1,0),0)</f>
        <v/>
      </c>
      <c r="AY82" s="17">
        <f>IF(AND(AX82=1,G82&lt;=Config!$B$6),R82,"")</f>
        <v/>
      </c>
      <c r="AZ82" s="17">
        <f>IF(AND(AX82=1,G82&lt;=Config!$B$7),R82,"")</f>
        <v/>
      </c>
      <c r="BA82" s="17">
        <f>IF(AND(AX82=1,G82&lt;=Config!$B$8),R82,"")</f>
        <v/>
      </c>
      <c r="BB82" s="17">
        <f>IF(AND(AX82=1,G82&lt;=Config!$B$5),R82,"")</f>
        <v/>
      </c>
      <c r="BC82" s="17">
        <f>IF(AND(AN82=1,ISNUMBER(V82)),1,0)</f>
        <v/>
      </c>
      <c r="BD82" s="17">
        <f>IF(BC82=1,IF(COUNTIFS($A$2:$A$201,$A82,$BC$2:$BC$201,1,$G$2:$G$201,"&lt;"&amp;G82)+COUNTIFS($A$2:$A$201,$A82,$BC$2:$BC$201,1,$G$2:$G$201,G82,$AM$2:$AM$201,"&lt;"&amp;AM82)=0,1,0),0)</f>
        <v/>
      </c>
      <c r="BE82" s="17">
        <f>IF(AND(BD82=1,G82&lt;=Config!$B$6),V82,"")</f>
        <v/>
      </c>
      <c r="BF82" s="17">
        <f>IF(AND(BD82=1,G82&lt;=Config!$B$7),V82,"")</f>
        <v/>
      </c>
      <c r="BG82" s="17">
        <f>IF(AND(BD82=1,G82&lt;=Config!$B$8),V82,"")</f>
        <v/>
      </c>
      <c r="BH82" s="17">
        <f>IF(AND(BD82=1,G82&lt;=Config!$B$5),V82,"")</f>
        <v/>
      </c>
      <c r="BI82" s="17">
        <f>IF(AND(AN82=1,ISNUMBER(J82)),1,0)</f>
        <v/>
      </c>
      <c r="BJ82" s="17">
        <f>IF(BI82=1,IF(COUNTIFS($A$2:$A$201,$A82,$BI$2:$BI$201,1,$G$2:$G$201,"&lt;"&amp;G82)+COUNTIFS($A$2:$A$201,$A82,$BI$2:$BI$201,1,$G$2:$G$201,G82,$AM$2:$AM$201,"&lt;"&amp;AM82)=0,1,0),0)</f>
        <v/>
      </c>
      <c r="BK82" s="17">
        <f>IF(AND(BJ82=1,G82&lt;=Config!$B$5),J82,"")</f>
        <v/>
      </c>
      <c r="BL82" s="17">
        <f>IF(AND(AN82=1,OR(AND(ISNUMBER(R82),TRIM(S82)=""),AND(ISNUMBER(V82),TRIM(W82)=""))),1,0)</f>
        <v/>
      </c>
      <c r="BM82" s="17">
        <f>IF(AN82=1,AB82&amp;"","")</f>
        <v/>
      </c>
      <c r="BN82" s="17">
        <f>IF(AN82=1,AC82&amp;"","")</f>
        <v/>
      </c>
      <c r="BO82" s="17">
        <f>IF(AN82=1,AD82&amp;"","")</f>
        <v/>
      </c>
      <c r="BP82" s="17">
        <f>IF(AND(AN82=1,ISNUMBER(AI82),G82&lt;=Config!$B$5),AI82,"")</f>
        <v/>
      </c>
      <c r="BQ82" s="17">
        <f>IF(AN82=1,IF(COUNTIFS($A$2:$A$201,$A82,$AF$2:$AF$201,"Y",$AN$2:$AN$201,1)&gt;0,"Y","N"),"")</f>
        <v/>
      </c>
      <c r="BR82" s="17">
        <f>IF(AND(AN82=1,AF82="Y"),IF(COUNTIFS($A$2:$A$201,$A82,$AF$2:$AF$201,"Y",$AN$2:$AN$201,1,$G$2:$G$201,"&lt;"&amp;G82)+COUNTIFS($A$2:$A$201,$A82,$AF$2:$AF$201,"Y",$AN$2:$AN$201,1,$G$2:$G$201,G82,$AM$2:$AM$201,"&lt;"&amp;AM82)=0,1,0),0)</f>
        <v/>
      </c>
      <c r="BS82" s="17">
        <f>IF(AN82=1,IFERROR(MATCH($A82,INDEX(Clay_Brands!$A$2:$FZ$601,0,Sync!$D$5),0),""),"")</f>
        <v/>
      </c>
      <c r="BT82" s="17">
        <f>IF(BS82="","",IFERROR(INDEX(Clay_Brands!$A$2:$FZ$601,BS82,Sync!$D$7)&amp;"",""))</f>
        <v/>
      </c>
      <c r="BU82" s="17">
        <f>IF(BT82="","",IFERROR(INDEX(Lists!$J$2:$J$15,MATCH(BT82,Lists!$I$2:$I$15,0)),""))</f>
        <v/>
      </c>
      <c r="BV82" s="17">
        <f>IF(BS82="","",IFERROR(INDEX(Clay_Brands!$A$2:$FZ$601,BS82,Sync!$D$17)&amp;"",""))</f>
        <v/>
      </c>
      <c r="BW82" s="23">
        <f>IF(BS82="","",IFERROR(N(INDEX(Clay_Brands!$A$2:$FZ$601,BS82,Sync!$D$16)),0))</f>
        <v/>
      </c>
    </row>
    <row r="83">
      <c r="G83" s="22" t="n"/>
      <c r="AL83" s="17">
        <f>IF(TRIM($A83)="","",IF(AND(LEFT($A83,6)="SAMPLE",Config!$B$19&lt;&gt;"Y"),"",IF(NOT(ISNUMBER(G83)),"call_date is blank or not a date",IF(Sync!$D$5="","Clay paste is empty or has no row_id column: paste the Clay export on Clay_Brands",IF(BS83="","row_id not found in the Clay paste: add the Clay row or fix the row_id",IF(AND(ISNUMBER(BU83),BU83&gt;=1,BU83&lt;=5),"Clay status is "&amp;BT83&amp;": set call_done or later",IF(AND(AP83=1,BV83&lt;&gt;BQ83),"Clay yes_in_principle should be "&amp;BQ83,IF(AND(AP83=1,BW83&lt;&gt;G83),"Clay call_date should be "&amp;TEXT(G83,"yyyy-mm-dd"),""))))))))</f>
        <v/>
      </c>
      <c r="AM83" s="17">
        <f>ROW()</f>
        <v/>
      </c>
      <c r="AN83" s="17">
        <f>IF(AND(TRIM($A83)&lt;&gt;"",ISNUMBER(G83)),IF(AND(LEFT($A83,6)="SAMPLE",Config!$B$19&lt;&gt;"Y"),0,1),0)</f>
        <v/>
      </c>
      <c r="AO83" s="17">
        <f>IF(AN83=1,IF(COUNTIFS($A$2:$A$201,$A83,$AN$2:$AN$201,1,$G$2:$G$201,"&lt;"&amp;G83)+COUNTIFS($A$2:$A$201,$A83,$AN$2:$AN$201,1,$G$2:$G$201,G83,$AM$2:$AM$201,"&lt;"&amp;AM83)=0,1,0),0)</f>
        <v/>
      </c>
      <c r="AP83" s="17">
        <f>IF(AN83=1,IF(COUNTIFS($A$2:$A$201,$A83,$AN$2:$AN$201,1,$G$2:$G$201,"&gt;"&amp;G83)+COUNTIFS($A$2:$A$201,$A83,$AN$2:$AN$201,1,$G$2:$G$201,G83,$AM$2:$AM$201,"&gt;"&amp;AM83)=0,1,0),0)</f>
        <v/>
      </c>
      <c r="AQ83" s="17">
        <f>IF(AND(AN83=1,N83="Y",MAX(N(R83),N(V83))&gt;=Config!$B$14),1,0)</f>
        <v/>
      </c>
      <c r="AR83" s="17">
        <f>IF(AQ83=1,IF(COUNTIFS($A$2:$A$201,$A83,$AQ$2:$AQ$201,1,$G$2:$G$201,"&lt;"&amp;G83)+COUNTIFS($A$2:$A$201,$A83,$AQ$2:$AQ$201,1,$G$2:$G$201,G83,$AM$2:$AM$201,"&lt;"&amp;AM83)=0,1,0),0)</f>
        <v/>
      </c>
      <c r="AS83" s="17">
        <f>IF(AND(AN83=1,N83="Y",ISNUMBER(R83)),IF(R83&gt;=Config!$B$14,1,0),0)</f>
        <v/>
      </c>
      <c r="AT83" s="17">
        <f>IF(AS83=1,IF(COUNTIFS($A$2:$A$201,$A83,$AS$2:$AS$201,1,$G$2:$G$201,"&lt;"&amp;G83)+COUNTIFS($A$2:$A$201,$A83,$AS$2:$AS$201,1,$G$2:$G$201,G83,$AM$2:$AM$201,"&lt;"&amp;AM83)=0,1,0),0)</f>
        <v/>
      </c>
      <c r="AU83" s="17">
        <f>IF(AND(AN83=1,N83&lt;&gt;"Y",MAX(N(R83),N(V83))&gt;=Config!$B$14),1,0)</f>
        <v/>
      </c>
      <c r="AV83" s="17">
        <f>IF(AU83=1,IF(COUNTIFS($A$2:$A$201,$A83,$AU$2:$AU$201,1,$G$2:$G$201,"&lt;"&amp;G83)+COUNTIFS($A$2:$A$201,$A83,$AU$2:$AU$201,1,$G$2:$G$201,G83,$AM$2:$AM$201,"&lt;"&amp;AM83)=0,1,0),0)</f>
        <v/>
      </c>
      <c r="AW83" s="17">
        <f>IF(AND(AN83=1,ISNUMBER(R83)),1,0)</f>
        <v/>
      </c>
      <c r="AX83" s="17">
        <f>IF(AW83=1,IF(COUNTIFS($A$2:$A$201,$A83,$AW$2:$AW$201,1,$G$2:$G$201,"&lt;"&amp;G83)+COUNTIFS($A$2:$A$201,$A83,$AW$2:$AW$201,1,$G$2:$G$201,G83,$AM$2:$AM$201,"&lt;"&amp;AM83)=0,1,0),0)</f>
        <v/>
      </c>
      <c r="AY83" s="17">
        <f>IF(AND(AX83=1,G83&lt;=Config!$B$6),R83,"")</f>
        <v/>
      </c>
      <c r="AZ83" s="17">
        <f>IF(AND(AX83=1,G83&lt;=Config!$B$7),R83,"")</f>
        <v/>
      </c>
      <c r="BA83" s="17">
        <f>IF(AND(AX83=1,G83&lt;=Config!$B$8),R83,"")</f>
        <v/>
      </c>
      <c r="BB83" s="17">
        <f>IF(AND(AX83=1,G83&lt;=Config!$B$5),R83,"")</f>
        <v/>
      </c>
      <c r="BC83" s="17">
        <f>IF(AND(AN83=1,ISNUMBER(V83)),1,0)</f>
        <v/>
      </c>
      <c r="BD83" s="17">
        <f>IF(BC83=1,IF(COUNTIFS($A$2:$A$201,$A83,$BC$2:$BC$201,1,$G$2:$G$201,"&lt;"&amp;G83)+COUNTIFS($A$2:$A$201,$A83,$BC$2:$BC$201,1,$G$2:$G$201,G83,$AM$2:$AM$201,"&lt;"&amp;AM83)=0,1,0),0)</f>
        <v/>
      </c>
      <c r="BE83" s="17">
        <f>IF(AND(BD83=1,G83&lt;=Config!$B$6),V83,"")</f>
        <v/>
      </c>
      <c r="BF83" s="17">
        <f>IF(AND(BD83=1,G83&lt;=Config!$B$7),V83,"")</f>
        <v/>
      </c>
      <c r="BG83" s="17">
        <f>IF(AND(BD83=1,G83&lt;=Config!$B$8),V83,"")</f>
        <v/>
      </c>
      <c r="BH83" s="17">
        <f>IF(AND(BD83=1,G83&lt;=Config!$B$5),V83,"")</f>
        <v/>
      </c>
      <c r="BI83" s="17">
        <f>IF(AND(AN83=1,ISNUMBER(J83)),1,0)</f>
        <v/>
      </c>
      <c r="BJ83" s="17">
        <f>IF(BI83=1,IF(COUNTIFS($A$2:$A$201,$A83,$BI$2:$BI$201,1,$G$2:$G$201,"&lt;"&amp;G83)+COUNTIFS($A$2:$A$201,$A83,$BI$2:$BI$201,1,$G$2:$G$201,G83,$AM$2:$AM$201,"&lt;"&amp;AM83)=0,1,0),0)</f>
        <v/>
      </c>
      <c r="BK83" s="17">
        <f>IF(AND(BJ83=1,G83&lt;=Config!$B$5),J83,"")</f>
        <v/>
      </c>
      <c r="BL83" s="17">
        <f>IF(AND(AN83=1,OR(AND(ISNUMBER(R83),TRIM(S83)=""),AND(ISNUMBER(V83),TRIM(W83)=""))),1,0)</f>
        <v/>
      </c>
      <c r="BM83" s="17">
        <f>IF(AN83=1,AB83&amp;"","")</f>
        <v/>
      </c>
      <c r="BN83" s="17">
        <f>IF(AN83=1,AC83&amp;"","")</f>
        <v/>
      </c>
      <c r="BO83" s="17">
        <f>IF(AN83=1,AD83&amp;"","")</f>
        <v/>
      </c>
      <c r="BP83" s="17">
        <f>IF(AND(AN83=1,ISNUMBER(AI83),G83&lt;=Config!$B$5),AI83,"")</f>
        <v/>
      </c>
      <c r="BQ83" s="17">
        <f>IF(AN83=1,IF(COUNTIFS($A$2:$A$201,$A83,$AF$2:$AF$201,"Y",$AN$2:$AN$201,1)&gt;0,"Y","N"),"")</f>
        <v/>
      </c>
      <c r="BR83" s="17">
        <f>IF(AND(AN83=1,AF83="Y"),IF(COUNTIFS($A$2:$A$201,$A83,$AF$2:$AF$201,"Y",$AN$2:$AN$201,1,$G$2:$G$201,"&lt;"&amp;G83)+COUNTIFS($A$2:$A$201,$A83,$AF$2:$AF$201,"Y",$AN$2:$AN$201,1,$G$2:$G$201,G83,$AM$2:$AM$201,"&lt;"&amp;AM83)=0,1,0),0)</f>
        <v/>
      </c>
      <c r="BS83" s="17">
        <f>IF(AN83=1,IFERROR(MATCH($A83,INDEX(Clay_Brands!$A$2:$FZ$601,0,Sync!$D$5),0),""),"")</f>
        <v/>
      </c>
      <c r="BT83" s="17">
        <f>IF(BS83="","",IFERROR(INDEX(Clay_Brands!$A$2:$FZ$601,BS83,Sync!$D$7)&amp;"",""))</f>
        <v/>
      </c>
      <c r="BU83" s="17">
        <f>IF(BT83="","",IFERROR(INDEX(Lists!$J$2:$J$15,MATCH(BT83,Lists!$I$2:$I$15,0)),""))</f>
        <v/>
      </c>
      <c r="BV83" s="17">
        <f>IF(BS83="","",IFERROR(INDEX(Clay_Brands!$A$2:$FZ$601,BS83,Sync!$D$17)&amp;"",""))</f>
        <v/>
      </c>
      <c r="BW83" s="23">
        <f>IF(BS83="","",IFERROR(N(INDEX(Clay_Brands!$A$2:$FZ$601,BS83,Sync!$D$16)),0))</f>
        <v/>
      </c>
    </row>
    <row r="84">
      <c r="G84" s="22" t="n"/>
      <c r="AL84" s="17">
        <f>IF(TRIM($A84)="","",IF(AND(LEFT($A84,6)="SAMPLE",Config!$B$19&lt;&gt;"Y"),"",IF(NOT(ISNUMBER(G84)),"call_date is blank or not a date",IF(Sync!$D$5="","Clay paste is empty or has no row_id column: paste the Clay export on Clay_Brands",IF(BS84="","row_id not found in the Clay paste: add the Clay row or fix the row_id",IF(AND(ISNUMBER(BU84),BU84&gt;=1,BU84&lt;=5),"Clay status is "&amp;BT84&amp;": set call_done or later",IF(AND(AP84=1,BV84&lt;&gt;BQ84),"Clay yes_in_principle should be "&amp;BQ84,IF(AND(AP84=1,BW84&lt;&gt;G84),"Clay call_date should be "&amp;TEXT(G84,"yyyy-mm-dd"),""))))))))</f>
        <v/>
      </c>
      <c r="AM84" s="17">
        <f>ROW()</f>
        <v/>
      </c>
      <c r="AN84" s="17">
        <f>IF(AND(TRIM($A84)&lt;&gt;"",ISNUMBER(G84)),IF(AND(LEFT($A84,6)="SAMPLE",Config!$B$19&lt;&gt;"Y"),0,1),0)</f>
        <v/>
      </c>
      <c r="AO84" s="17">
        <f>IF(AN84=1,IF(COUNTIFS($A$2:$A$201,$A84,$AN$2:$AN$201,1,$G$2:$G$201,"&lt;"&amp;G84)+COUNTIFS($A$2:$A$201,$A84,$AN$2:$AN$201,1,$G$2:$G$201,G84,$AM$2:$AM$201,"&lt;"&amp;AM84)=0,1,0),0)</f>
        <v/>
      </c>
      <c r="AP84" s="17">
        <f>IF(AN84=1,IF(COUNTIFS($A$2:$A$201,$A84,$AN$2:$AN$201,1,$G$2:$G$201,"&gt;"&amp;G84)+COUNTIFS($A$2:$A$201,$A84,$AN$2:$AN$201,1,$G$2:$G$201,G84,$AM$2:$AM$201,"&gt;"&amp;AM84)=0,1,0),0)</f>
        <v/>
      </c>
      <c r="AQ84" s="17">
        <f>IF(AND(AN84=1,N84="Y",MAX(N(R84),N(V84))&gt;=Config!$B$14),1,0)</f>
        <v/>
      </c>
      <c r="AR84" s="17">
        <f>IF(AQ84=1,IF(COUNTIFS($A$2:$A$201,$A84,$AQ$2:$AQ$201,1,$G$2:$G$201,"&lt;"&amp;G84)+COUNTIFS($A$2:$A$201,$A84,$AQ$2:$AQ$201,1,$G$2:$G$201,G84,$AM$2:$AM$201,"&lt;"&amp;AM84)=0,1,0),0)</f>
        <v/>
      </c>
      <c r="AS84" s="17">
        <f>IF(AND(AN84=1,N84="Y",ISNUMBER(R84)),IF(R84&gt;=Config!$B$14,1,0),0)</f>
        <v/>
      </c>
      <c r="AT84" s="17">
        <f>IF(AS84=1,IF(COUNTIFS($A$2:$A$201,$A84,$AS$2:$AS$201,1,$G$2:$G$201,"&lt;"&amp;G84)+COUNTIFS($A$2:$A$201,$A84,$AS$2:$AS$201,1,$G$2:$G$201,G84,$AM$2:$AM$201,"&lt;"&amp;AM84)=0,1,0),0)</f>
        <v/>
      </c>
      <c r="AU84" s="17">
        <f>IF(AND(AN84=1,N84&lt;&gt;"Y",MAX(N(R84),N(V84))&gt;=Config!$B$14),1,0)</f>
        <v/>
      </c>
      <c r="AV84" s="17">
        <f>IF(AU84=1,IF(COUNTIFS($A$2:$A$201,$A84,$AU$2:$AU$201,1,$G$2:$G$201,"&lt;"&amp;G84)+COUNTIFS($A$2:$A$201,$A84,$AU$2:$AU$201,1,$G$2:$G$201,G84,$AM$2:$AM$201,"&lt;"&amp;AM84)=0,1,0),0)</f>
        <v/>
      </c>
      <c r="AW84" s="17">
        <f>IF(AND(AN84=1,ISNUMBER(R84)),1,0)</f>
        <v/>
      </c>
      <c r="AX84" s="17">
        <f>IF(AW84=1,IF(COUNTIFS($A$2:$A$201,$A84,$AW$2:$AW$201,1,$G$2:$G$201,"&lt;"&amp;G84)+COUNTIFS($A$2:$A$201,$A84,$AW$2:$AW$201,1,$G$2:$G$201,G84,$AM$2:$AM$201,"&lt;"&amp;AM84)=0,1,0),0)</f>
        <v/>
      </c>
      <c r="AY84" s="17">
        <f>IF(AND(AX84=1,G84&lt;=Config!$B$6),R84,"")</f>
        <v/>
      </c>
      <c r="AZ84" s="17">
        <f>IF(AND(AX84=1,G84&lt;=Config!$B$7),R84,"")</f>
        <v/>
      </c>
      <c r="BA84" s="17">
        <f>IF(AND(AX84=1,G84&lt;=Config!$B$8),R84,"")</f>
        <v/>
      </c>
      <c r="BB84" s="17">
        <f>IF(AND(AX84=1,G84&lt;=Config!$B$5),R84,"")</f>
        <v/>
      </c>
      <c r="BC84" s="17">
        <f>IF(AND(AN84=1,ISNUMBER(V84)),1,0)</f>
        <v/>
      </c>
      <c r="BD84" s="17">
        <f>IF(BC84=1,IF(COUNTIFS($A$2:$A$201,$A84,$BC$2:$BC$201,1,$G$2:$G$201,"&lt;"&amp;G84)+COUNTIFS($A$2:$A$201,$A84,$BC$2:$BC$201,1,$G$2:$G$201,G84,$AM$2:$AM$201,"&lt;"&amp;AM84)=0,1,0),0)</f>
        <v/>
      </c>
      <c r="BE84" s="17">
        <f>IF(AND(BD84=1,G84&lt;=Config!$B$6),V84,"")</f>
        <v/>
      </c>
      <c r="BF84" s="17">
        <f>IF(AND(BD84=1,G84&lt;=Config!$B$7),V84,"")</f>
        <v/>
      </c>
      <c r="BG84" s="17">
        <f>IF(AND(BD84=1,G84&lt;=Config!$B$8),V84,"")</f>
        <v/>
      </c>
      <c r="BH84" s="17">
        <f>IF(AND(BD84=1,G84&lt;=Config!$B$5),V84,"")</f>
        <v/>
      </c>
      <c r="BI84" s="17">
        <f>IF(AND(AN84=1,ISNUMBER(J84)),1,0)</f>
        <v/>
      </c>
      <c r="BJ84" s="17">
        <f>IF(BI84=1,IF(COUNTIFS($A$2:$A$201,$A84,$BI$2:$BI$201,1,$G$2:$G$201,"&lt;"&amp;G84)+COUNTIFS($A$2:$A$201,$A84,$BI$2:$BI$201,1,$G$2:$G$201,G84,$AM$2:$AM$201,"&lt;"&amp;AM84)=0,1,0),0)</f>
        <v/>
      </c>
      <c r="BK84" s="17">
        <f>IF(AND(BJ84=1,G84&lt;=Config!$B$5),J84,"")</f>
        <v/>
      </c>
      <c r="BL84" s="17">
        <f>IF(AND(AN84=1,OR(AND(ISNUMBER(R84),TRIM(S84)=""),AND(ISNUMBER(V84),TRIM(W84)=""))),1,0)</f>
        <v/>
      </c>
      <c r="BM84" s="17">
        <f>IF(AN84=1,AB84&amp;"","")</f>
        <v/>
      </c>
      <c r="BN84" s="17">
        <f>IF(AN84=1,AC84&amp;"","")</f>
        <v/>
      </c>
      <c r="BO84" s="17">
        <f>IF(AN84=1,AD84&amp;"","")</f>
        <v/>
      </c>
      <c r="BP84" s="17">
        <f>IF(AND(AN84=1,ISNUMBER(AI84),G84&lt;=Config!$B$5),AI84,"")</f>
        <v/>
      </c>
      <c r="BQ84" s="17">
        <f>IF(AN84=1,IF(COUNTIFS($A$2:$A$201,$A84,$AF$2:$AF$201,"Y",$AN$2:$AN$201,1)&gt;0,"Y","N"),"")</f>
        <v/>
      </c>
      <c r="BR84" s="17">
        <f>IF(AND(AN84=1,AF84="Y"),IF(COUNTIFS($A$2:$A$201,$A84,$AF$2:$AF$201,"Y",$AN$2:$AN$201,1,$G$2:$G$201,"&lt;"&amp;G84)+COUNTIFS($A$2:$A$201,$A84,$AF$2:$AF$201,"Y",$AN$2:$AN$201,1,$G$2:$G$201,G84,$AM$2:$AM$201,"&lt;"&amp;AM84)=0,1,0),0)</f>
        <v/>
      </c>
      <c r="BS84" s="17">
        <f>IF(AN84=1,IFERROR(MATCH($A84,INDEX(Clay_Brands!$A$2:$FZ$601,0,Sync!$D$5),0),""),"")</f>
        <v/>
      </c>
      <c r="BT84" s="17">
        <f>IF(BS84="","",IFERROR(INDEX(Clay_Brands!$A$2:$FZ$601,BS84,Sync!$D$7)&amp;"",""))</f>
        <v/>
      </c>
      <c r="BU84" s="17">
        <f>IF(BT84="","",IFERROR(INDEX(Lists!$J$2:$J$15,MATCH(BT84,Lists!$I$2:$I$15,0)),""))</f>
        <v/>
      </c>
      <c r="BV84" s="17">
        <f>IF(BS84="","",IFERROR(INDEX(Clay_Brands!$A$2:$FZ$601,BS84,Sync!$D$17)&amp;"",""))</f>
        <v/>
      </c>
      <c r="BW84" s="23">
        <f>IF(BS84="","",IFERROR(N(INDEX(Clay_Brands!$A$2:$FZ$601,BS84,Sync!$D$16)),0))</f>
        <v/>
      </c>
    </row>
    <row r="85">
      <c r="G85" s="22" t="n"/>
      <c r="AL85" s="17">
        <f>IF(TRIM($A85)="","",IF(AND(LEFT($A85,6)="SAMPLE",Config!$B$19&lt;&gt;"Y"),"",IF(NOT(ISNUMBER(G85)),"call_date is blank or not a date",IF(Sync!$D$5="","Clay paste is empty or has no row_id column: paste the Clay export on Clay_Brands",IF(BS85="","row_id not found in the Clay paste: add the Clay row or fix the row_id",IF(AND(ISNUMBER(BU85),BU85&gt;=1,BU85&lt;=5),"Clay status is "&amp;BT85&amp;": set call_done or later",IF(AND(AP85=1,BV85&lt;&gt;BQ85),"Clay yes_in_principle should be "&amp;BQ85,IF(AND(AP85=1,BW85&lt;&gt;G85),"Clay call_date should be "&amp;TEXT(G85,"yyyy-mm-dd"),""))))))))</f>
        <v/>
      </c>
      <c r="AM85" s="17">
        <f>ROW()</f>
        <v/>
      </c>
      <c r="AN85" s="17">
        <f>IF(AND(TRIM($A85)&lt;&gt;"",ISNUMBER(G85)),IF(AND(LEFT($A85,6)="SAMPLE",Config!$B$19&lt;&gt;"Y"),0,1),0)</f>
        <v/>
      </c>
      <c r="AO85" s="17">
        <f>IF(AN85=1,IF(COUNTIFS($A$2:$A$201,$A85,$AN$2:$AN$201,1,$G$2:$G$201,"&lt;"&amp;G85)+COUNTIFS($A$2:$A$201,$A85,$AN$2:$AN$201,1,$G$2:$G$201,G85,$AM$2:$AM$201,"&lt;"&amp;AM85)=0,1,0),0)</f>
        <v/>
      </c>
      <c r="AP85" s="17">
        <f>IF(AN85=1,IF(COUNTIFS($A$2:$A$201,$A85,$AN$2:$AN$201,1,$G$2:$G$201,"&gt;"&amp;G85)+COUNTIFS($A$2:$A$201,$A85,$AN$2:$AN$201,1,$G$2:$G$201,G85,$AM$2:$AM$201,"&gt;"&amp;AM85)=0,1,0),0)</f>
        <v/>
      </c>
      <c r="AQ85" s="17">
        <f>IF(AND(AN85=1,N85="Y",MAX(N(R85),N(V85))&gt;=Config!$B$14),1,0)</f>
        <v/>
      </c>
      <c r="AR85" s="17">
        <f>IF(AQ85=1,IF(COUNTIFS($A$2:$A$201,$A85,$AQ$2:$AQ$201,1,$G$2:$G$201,"&lt;"&amp;G85)+COUNTIFS($A$2:$A$201,$A85,$AQ$2:$AQ$201,1,$G$2:$G$201,G85,$AM$2:$AM$201,"&lt;"&amp;AM85)=0,1,0),0)</f>
        <v/>
      </c>
      <c r="AS85" s="17">
        <f>IF(AND(AN85=1,N85="Y",ISNUMBER(R85)),IF(R85&gt;=Config!$B$14,1,0),0)</f>
        <v/>
      </c>
      <c r="AT85" s="17">
        <f>IF(AS85=1,IF(COUNTIFS($A$2:$A$201,$A85,$AS$2:$AS$201,1,$G$2:$G$201,"&lt;"&amp;G85)+COUNTIFS($A$2:$A$201,$A85,$AS$2:$AS$201,1,$G$2:$G$201,G85,$AM$2:$AM$201,"&lt;"&amp;AM85)=0,1,0),0)</f>
        <v/>
      </c>
      <c r="AU85" s="17">
        <f>IF(AND(AN85=1,N85&lt;&gt;"Y",MAX(N(R85),N(V85))&gt;=Config!$B$14),1,0)</f>
        <v/>
      </c>
      <c r="AV85" s="17">
        <f>IF(AU85=1,IF(COUNTIFS($A$2:$A$201,$A85,$AU$2:$AU$201,1,$G$2:$G$201,"&lt;"&amp;G85)+COUNTIFS($A$2:$A$201,$A85,$AU$2:$AU$201,1,$G$2:$G$201,G85,$AM$2:$AM$201,"&lt;"&amp;AM85)=0,1,0),0)</f>
        <v/>
      </c>
      <c r="AW85" s="17">
        <f>IF(AND(AN85=1,ISNUMBER(R85)),1,0)</f>
        <v/>
      </c>
      <c r="AX85" s="17">
        <f>IF(AW85=1,IF(COUNTIFS($A$2:$A$201,$A85,$AW$2:$AW$201,1,$G$2:$G$201,"&lt;"&amp;G85)+COUNTIFS($A$2:$A$201,$A85,$AW$2:$AW$201,1,$G$2:$G$201,G85,$AM$2:$AM$201,"&lt;"&amp;AM85)=0,1,0),0)</f>
        <v/>
      </c>
      <c r="AY85" s="17">
        <f>IF(AND(AX85=1,G85&lt;=Config!$B$6),R85,"")</f>
        <v/>
      </c>
      <c r="AZ85" s="17">
        <f>IF(AND(AX85=1,G85&lt;=Config!$B$7),R85,"")</f>
        <v/>
      </c>
      <c r="BA85" s="17">
        <f>IF(AND(AX85=1,G85&lt;=Config!$B$8),R85,"")</f>
        <v/>
      </c>
      <c r="BB85" s="17">
        <f>IF(AND(AX85=1,G85&lt;=Config!$B$5),R85,"")</f>
        <v/>
      </c>
      <c r="BC85" s="17">
        <f>IF(AND(AN85=1,ISNUMBER(V85)),1,0)</f>
        <v/>
      </c>
      <c r="BD85" s="17">
        <f>IF(BC85=1,IF(COUNTIFS($A$2:$A$201,$A85,$BC$2:$BC$201,1,$G$2:$G$201,"&lt;"&amp;G85)+COUNTIFS($A$2:$A$201,$A85,$BC$2:$BC$201,1,$G$2:$G$201,G85,$AM$2:$AM$201,"&lt;"&amp;AM85)=0,1,0),0)</f>
        <v/>
      </c>
      <c r="BE85" s="17">
        <f>IF(AND(BD85=1,G85&lt;=Config!$B$6),V85,"")</f>
        <v/>
      </c>
      <c r="BF85" s="17">
        <f>IF(AND(BD85=1,G85&lt;=Config!$B$7),V85,"")</f>
        <v/>
      </c>
      <c r="BG85" s="17">
        <f>IF(AND(BD85=1,G85&lt;=Config!$B$8),V85,"")</f>
        <v/>
      </c>
      <c r="BH85" s="17">
        <f>IF(AND(BD85=1,G85&lt;=Config!$B$5),V85,"")</f>
        <v/>
      </c>
      <c r="BI85" s="17">
        <f>IF(AND(AN85=1,ISNUMBER(J85)),1,0)</f>
        <v/>
      </c>
      <c r="BJ85" s="17">
        <f>IF(BI85=1,IF(COUNTIFS($A$2:$A$201,$A85,$BI$2:$BI$201,1,$G$2:$G$201,"&lt;"&amp;G85)+COUNTIFS($A$2:$A$201,$A85,$BI$2:$BI$201,1,$G$2:$G$201,G85,$AM$2:$AM$201,"&lt;"&amp;AM85)=0,1,0),0)</f>
        <v/>
      </c>
      <c r="BK85" s="17">
        <f>IF(AND(BJ85=1,G85&lt;=Config!$B$5),J85,"")</f>
        <v/>
      </c>
      <c r="BL85" s="17">
        <f>IF(AND(AN85=1,OR(AND(ISNUMBER(R85),TRIM(S85)=""),AND(ISNUMBER(V85),TRIM(W85)=""))),1,0)</f>
        <v/>
      </c>
      <c r="BM85" s="17">
        <f>IF(AN85=1,AB85&amp;"","")</f>
        <v/>
      </c>
      <c r="BN85" s="17">
        <f>IF(AN85=1,AC85&amp;"","")</f>
        <v/>
      </c>
      <c r="BO85" s="17">
        <f>IF(AN85=1,AD85&amp;"","")</f>
        <v/>
      </c>
      <c r="BP85" s="17">
        <f>IF(AND(AN85=1,ISNUMBER(AI85),G85&lt;=Config!$B$5),AI85,"")</f>
        <v/>
      </c>
      <c r="BQ85" s="17">
        <f>IF(AN85=1,IF(COUNTIFS($A$2:$A$201,$A85,$AF$2:$AF$201,"Y",$AN$2:$AN$201,1)&gt;0,"Y","N"),"")</f>
        <v/>
      </c>
      <c r="BR85" s="17">
        <f>IF(AND(AN85=1,AF85="Y"),IF(COUNTIFS($A$2:$A$201,$A85,$AF$2:$AF$201,"Y",$AN$2:$AN$201,1,$G$2:$G$201,"&lt;"&amp;G85)+COUNTIFS($A$2:$A$201,$A85,$AF$2:$AF$201,"Y",$AN$2:$AN$201,1,$G$2:$G$201,G85,$AM$2:$AM$201,"&lt;"&amp;AM85)=0,1,0),0)</f>
        <v/>
      </c>
      <c r="BS85" s="17">
        <f>IF(AN85=1,IFERROR(MATCH($A85,INDEX(Clay_Brands!$A$2:$FZ$601,0,Sync!$D$5),0),""),"")</f>
        <v/>
      </c>
      <c r="BT85" s="17">
        <f>IF(BS85="","",IFERROR(INDEX(Clay_Brands!$A$2:$FZ$601,BS85,Sync!$D$7)&amp;"",""))</f>
        <v/>
      </c>
      <c r="BU85" s="17">
        <f>IF(BT85="","",IFERROR(INDEX(Lists!$J$2:$J$15,MATCH(BT85,Lists!$I$2:$I$15,0)),""))</f>
        <v/>
      </c>
      <c r="BV85" s="17">
        <f>IF(BS85="","",IFERROR(INDEX(Clay_Brands!$A$2:$FZ$601,BS85,Sync!$D$17)&amp;"",""))</f>
        <v/>
      </c>
      <c r="BW85" s="23">
        <f>IF(BS85="","",IFERROR(N(INDEX(Clay_Brands!$A$2:$FZ$601,BS85,Sync!$D$16)),0))</f>
        <v/>
      </c>
    </row>
    <row r="86">
      <c r="G86" s="22" t="n"/>
      <c r="AL86" s="17">
        <f>IF(TRIM($A86)="","",IF(AND(LEFT($A86,6)="SAMPLE",Config!$B$19&lt;&gt;"Y"),"",IF(NOT(ISNUMBER(G86)),"call_date is blank or not a date",IF(Sync!$D$5="","Clay paste is empty or has no row_id column: paste the Clay export on Clay_Brands",IF(BS86="","row_id not found in the Clay paste: add the Clay row or fix the row_id",IF(AND(ISNUMBER(BU86),BU86&gt;=1,BU86&lt;=5),"Clay status is "&amp;BT86&amp;": set call_done or later",IF(AND(AP86=1,BV86&lt;&gt;BQ86),"Clay yes_in_principle should be "&amp;BQ86,IF(AND(AP86=1,BW86&lt;&gt;G86),"Clay call_date should be "&amp;TEXT(G86,"yyyy-mm-dd"),""))))))))</f>
        <v/>
      </c>
      <c r="AM86" s="17">
        <f>ROW()</f>
        <v/>
      </c>
      <c r="AN86" s="17">
        <f>IF(AND(TRIM($A86)&lt;&gt;"",ISNUMBER(G86)),IF(AND(LEFT($A86,6)="SAMPLE",Config!$B$19&lt;&gt;"Y"),0,1),0)</f>
        <v/>
      </c>
      <c r="AO86" s="17">
        <f>IF(AN86=1,IF(COUNTIFS($A$2:$A$201,$A86,$AN$2:$AN$201,1,$G$2:$G$201,"&lt;"&amp;G86)+COUNTIFS($A$2:$A$201,$A86,$AN$2:$AN$201,1,$G$2:$G$201,G86,$AM$2:$AM$201,"&lt;"&amp;AM86)=0,1,0),0)</f>
        <v/>
      </c>
      <c r="AP86" s="17">
        <f>IF(AN86=1,IF(COUNTIFS($A$2:$A$201,$A86,$AN$2:$AN$201,1,$G$2:$G$201,"&gt;"&amp;G86)+COUNTIFS($A$2:$A$201,$A86,$AN$2:$AN$201,1,$G$2:$G$201,G86,$AM$2:$AM$201,"&gt;"&amp;AM86)=0,1,0),0)</f>
        <v/>
      </c>
      <c r="AQ86" s="17">
        <f>IF(AND(AN86=1,N86="Y",MAX(N(R86),N(V86))&gt;=Config!$B$14),1,0)</f>
        <v/>
      </c>
      <c r="AR86" s="17">
        <f>IF(AQ86=1,IF(COUNTIFS($A$2:$A$201,$A86,$AQ$2:$AQ$201,1,$G$2:$G$201,"&lt;"&amp;G86)+COUNTIFS($A$2:$A$201,$A86,$AQ$2:$AQ$201,1,$G$2:$G$201,G86,$AM$2:$AM$201,"&lt;"&amp;AM86)=0,1,0),0)</f>
        <v/>
      </c>
      <c r="AS86" s="17">
        <f>IF(AND(AN86=1,N86="Y",ISNUMBER(R86)),IF(R86&gt;=Config!$B$14,1,0),0)</f>
        <v/>
      </c>
      <c r="AT86" s="17">
        <f>IF(AS86=1,IF(COUNTIFS($A$2:$A$201,$A86,$AS$2:$AS$201,1,$G$2:$G$201,"&lt;"&amp;G86)+COUNTIFS($A$2:$A$201,$A86,$AS$2:$AS$201,1,$G$2:$G$201,G86,$AM$2:$AM$201,"&lt;"&amp;AM86)=0,1,0),0)</f>
        <v/>
      </c>
      <c r="AU86" s="17">
        <f>IF(AND(AN86=1,N86&lt;&gt;"Y",MAX(N(R86),N(V86))&gt;=Config!$B$14),1,0)</f>
        <v/>
      </c>
      <c r="AV86" s="17">
        <f>IF(AU86=1,IF(COUNTIFS($A$2:$A$201,$A86,$AU$2:$AU$201,1,$G$2:$G$201,"&lt;"&amp;G86)+COUNTIFS($A$2:$A$201,$A86,$AU$2:$AU$201,1,$G$2:$G$201,G86,$AM$2:$AM$201,"&lt;"&amp;AM86)=0,1,0),0)</f>
        <v/>
      </c>
      <c r="AW86" s="17">
        <f>IF(AND(AN86=1,ISNUMBER(R86)),1,0)</f>
        <v/>
      </c>
      <c r="AX86" s="17">
        <f>IF(AW86=1,IF(COUNTIFS($A$2:$A$201,$A86,$AW$2:$AW$201,1,$G$2:$G$201,"&lt;"&amp;G86)+COUNTIFS($A$2:$A$201,$A86,$AW$2:$AW$201,1,$G$2:$G$201,G86,$AM$2:$AM$201,"&lt;"&amp;AM86)=0,1,0),0)</f>
        <v/>
      </c>
      <c r="AY86" s="17">
        <f>IF(AND(AX86=1,G86&lt;=Config!$B$6),R86,"")</f>
        <v/>
      </c>
      <c r="AZ86" s="17">
        <f>IF(AND(AX86=1,G86&lt;=Config!$B$7),R86,"")</f>
        <v/>
      </c>
      <c r="BA86" s="17">
        <f>IF(AND(AX86=1,G86&lt;=Config!$B$8),R86,"")</f>
        <v/>
      </c>
      <c r="BB86" s="17">
        <f>IF(AND(AX86=1,G86&lt;=Config!$B$5),R86,"")</f>
        <v/>
      </c>
      <c r="BC86" s="17">
        <f>IF(AND(AN86=1,ISNUMBER(V86)),1,0)</f>
        <v/>
      </c>
      <c r="BD86" s="17">
        <f>IF(BC86=1,IF(COUNTIFS($A$2:$A$201,$A86,$BC$2:$BC$201,1,$G$2:$G$201,"&lt;"&amp;G86)+COUNTIFS($A$2:$A$201,$A86,$BC$2:$BC$201,1,$G$2:$G$201,G86,$AM$2:$AM$201,"&lt;"&amp;AM86)=0,1,0),0)</f>
        <v/>
      </c>
      <c r="BE86" s="17">
        <f>IF(AND(BD86=1,G86&lt;=Config!$B$6),V86,"")</f>
        <v/>
      </c>
      <c r="BF86" s="17">
        <f>IF(AND(BD86=1,G86&lt;=Config!$B$7),V86,"")</f>
        <v/>
      </c>
      <c r="BG86" s="17">
        <f>IF(AND(BD86=1,G86&lt;=Config!$B$8),V86,"")</f>
        <v/>
      </c>
      <c r="BH86" s="17">
        <f>IF(AND(BD86=1,G86&lt;=Config!$B$5),V86,"")</f>
        <v/>
      </c>
      <c r="BI86" s="17">
        <f>IF(AND(AN86=1,ISNUMBER(J86)),1,0)</f>
        <v/>
      </c>
      <c r="BJ86" s="17">
        <f>IF(BI86=1,IF(COUNTIFS($A$2:$A$201,$A86,$BI$2:$BI$201,1,$G$2:$G$201,"&lt;"&amp;G86)+COUNTIFS($A$2:$A$201,$A86,$BI$2:$BI$201,1,$G$2:$G$201,G86,$AM$2:$AM$201,"&lt;"&amp;AM86)=0,1,0),0)</f>
        <v/>
      </c>
      <c r="BK86" s="17">
        <f>IF(AND(BJ86=1,G86&lt;=Config!$B$5),J86,"")</f>
        <v/>
      </c>
      <c r="BL86" s="17">
        <f>IF(AND(AN86=1,OR(AND(ISNUMBER(R86),TRIM(S86)=""),AND(ISNUMBER(V86),TRIM(W86)=""))),1,0)</f>
        <v/>
      </c>
      <c r="BM86" s="17">
        <f>IF(AN86=1,AB86&amp;"","")</f>
        <v/>
      </c>
      <c r="BN86" s="17">
        <f>IF(AN86=1,AC86&amp;"","")</f>
        <v/>
      </c>
      <c r="BO86" s="17">
        <f>IF(AN86=1,AD86&amp;"","")</f>
        <v/>
      </c>
      <c r="BP86" s="17">
        <f>IF(AND(AN86=1,ISNUMBER(AI86),G86&lt;=Config!$B$5),AI86,"")</f>
        <v/>
      </c>
      <c r="BQ86" s="17">
        <f>IF(AN86=1,IF(COUNTIFS($A$2:$A$201,$A86,$AF$2:$AF$201,"Y",$AN$2:$AN$201,1)&gt;0,"Y","N"),"")</f>
        <v/>
      </c>
      <c r="BR86" s="17">
        <f>IF(AND(AN86=1,AF86="Y"),IF(COUNTIFS($A$2:$A$201,$A86,$AF$2:$AF$201,"Y",$AN$2:$AN$201,1,$G$2:$G$201,"&lt;"&amp;G86)+COUNTIFS($A$2:$A$201,$A86,$AF$2:$AF$201,"Y",$AN$2:$AN$201,1,$G$2:$G$201,G86,$AM$2:$AM$201,"&lt;"&amp;AM86)=0,1,0),0)</f>
        <v/>
      </c>
      <c r="BS86" s="17">
        <f>IF(AN86=1,IFERROR(MATCH($A86,INDEX(Clay_Brands!$A$2:$FZ$601,0,Sync!$D$5),0),""),"")</f>
        <v/>
      </c>
      <c r="BT86" s="17">
        <f>IF(BS86="","",IFERROR(INDEX(Clay_Brands!$A$2:$FZ$601,BS86,Sync!$D$7)&amp;"",""))</f>
        <v/>
      </c>
      <c r="BU86" s="17">
        <f>IF(BT86="","",IFERROR(INDEX(Lists!$J$2:$J$15,MATCH(BT86,Lists!$I$2:$I$15,0)),""))</f>
        <v/>
      </c>
      <c r="BV86" s="17">
        <f>IF(BS86="","",IFERROR(INDEX(Clay_Brands!$A$2:$FZ$601,BS86,Sync!$D$17)&amp;"",""))</f>
        <v/>
      </c>
      <c r="BW86" s="23">
        <f>IF(BS86="","",IFERROR(N(INDEX(Clay_Brands!$A$2:$FZ$601,BS86,Sync!$D$16)),0))</f>
        <v/>
      </c>
    </row>
    <row r="87">
      <c r="G87" s="22" t="n"/>
      <c r="AL87" s="17">
        <f>IF(TRIM($A87)="","",IF(AND(LEFT($A87,6)="SAMPLE",Config!$B$19&lt;&gt;"Y"),"",IF(NOT(ISNUMBER(G87)),"call_date is blank or not a date",IF(Sync!$D$5="","Clay paste is empty or has no row_id column: paste the Clay export on Clay_Brands",IF(BS87="","row_id not found in the Clay paste: add the Clay row or fix the row_id",IF(AND(ISNUMBER(BU87),BU87&gt;=1,BU87&lt;=5),"Clay status is "&amp;BT87&amp;": set call_done or later",IF(AND(AP87=1,BV87&lt;&gt;BQ87),"Clay yes_in_principle should be "&amp;BQ87,IF(AND(AP87=1,BW87&lt;&gt;G87),"Clay call_date should be "&amp;TEXT(G87,"yyyy-mm-dd"),""))))))))</f>
        <v/>
      </c>
      <c r="AM87" s="17">
        <f>ROW()</f>
        <v/>
      </c>
      <c r="AN87" s="17">
        <f>IF(AND(TRIM($A87)&lt;&gt;"",ISNUMBER(G87)),IF(AND(LEFT($A87,6)="SAMPLE",Config!$B$19&lt;&gt;"Y"),0,1),0)</f>
        <v/>
      </c>
      <c r="AO87" s="17">
        <f>IF(AN87=1,IF(COUNTIFS($A$2:$A$201,$A87,$AN$2:$AN$201,1,$G$2:$G$201,"&lt;"&amp;G87)+COUNTIFS($A$2:$A$201,$A87,$AN$2:$AN$201,1,$G$2:$G$201,G87,$AM$2:$AM$201,"&lt;"&amp;AM87)=0,1,0),0)</f>
        <v/>
      </c>
      <c r="AP87" s="17">
        <f>IF(AN87=1,IF(COUNTIFS($A$2:$A$201,$A87,$AN$2:$AN$201,1,$G$2:$G$201,"&gt;"&amp;G87)+COUNTIFS($A$2:$A$201,$A87,$AN$2:$AN$201,1,$G$2:$G$201,G87,$AM$2:$AM$201,"&gt;"&amp;AM87)=0,1,0),0)</f>
        <v/>
      </c>
      <c r="AQ87" s="17">
        <f>IF(AND(AN87=1,N87="Y",MAX(N(R87),N(V87))&gt;=Config!$B$14),1,0)</f>
        <v/>
      </c>
      <c r="AR87" s="17">
        <f>IF(AQ87=1,IF(COUNTIFS($A$2:$A$201,$A87,$AQ$2:$AQ$201,1,$G$2:$G$201,"&lt;"&amp;G87)+COUNTIFS($A$2:$A$201,$A87,$AQ$2:$AQ$201,1,$G$2:$G$201,G87,$AM$2:$AM$201,"&lt;"&amp;AM87)=0,1,0),0)</f>
        <v/>
      </c>
      <c r="AS87" s="17">
        <f>IF(AND(AN87=1,N87="Y",ISNUMBER(R87)),IF(R87&gt;=Config!$B$14,1,0),0)</f>
        <v/>
      </c>
      <c r="AT87" s="17">
        <f>IF(AS87=1,IF(COUNTIFS($A$2:$A$201,$A87,$AS$2:$AS$201,1,$G$2:$G$201,"&lt;"&amp;G87)+COUNTIFS($A$2:$A$201,$A87,$AS$2:$AS$201,1,$G$2:$G$201,G87,$AM$2:$AM$201,"&lt;"&amp;AM87)=0,1,0),0)</f>
        <v/>
      </c>
      <c r="AU87" s="17">
        <f>IF(AND(AN87=1,N87&lt;&gt;"Y",MAX(N(R87),N(V87))&gt;=Config!$B$14),1,0)</f>
        <v/>
      </c>
      <c r="AV87" s="17">
        <f>IF(AU87=1,IF(COUNTIFS($A$2:$A$201,$A87,$AU$2:$AU$201,1,$G$2:$G$201,"&lt;"&amp;G87)+COUNTIFS($A$2:$A$201,$A87,$AU$2:$AU$201,1,$G$2:$G$201,G87,$AM$2:$AM$201,"&lt;"&amp;AM87)=0,1,0),0)</f>
        <v/>
      </c>
      <c r="AW87" s="17">
        <f>IF(AND(AN87=1,ISNUMBER(R87)),1,0)</f>
        <v/>
      </c>
      <c r="AX87" s="17">
        <f>IF(AW87=1,IF(COUNTIFS($A$2:$A$201,$A87,$AW$2:$AW$201,1,$G$2:$G$201,"&lt;"&amp;G87)+COUNTIFS($A$2:$A$201,$A87,$AW$2:$AW$201,1,$G$2:$G$201,G87,$AM$2:$AM$201,"&lt;"&amp;AM87)=0,1,0),0)</f>
        <v/>
      </c>
      <c r="AY87" s="17">
        <f>IF(AND(AX87=1,G87&lt;=Config!$B$6),R87,"")</f>
        <v/>
      </c>
      <c r="AZ87" s="17">
        <f>IF(AND(AX87=1,G87&lt;=Config!$B$7),R87,"")</f>
        <v/>
      </c>
      <c r="BA87" s="17">
        <f>IF(AND(AX87=1,G87&lt;=Config!$B$8),R87,"")</f>
        <v/>
      </c>
      <c r="BB87" s="17">
        <f>IF(AND(AX87=1,G87&lt;=Config!$B$5),R87,"")</f>
        <v/>
      </c>
      <c r="BC87" s="17">
        <f>IF(AND(AN87=1,ISNUMBER(V87)),1,0)</f>
        <v/>
      </c>
      <c r="BD87" s="17">
        <f>IF(BC87=1,IF(COUNTIFS($A$2:$A$201,$A87,$BC$2:$BC$201,1,$G$2:$G$201,"&lt;"&amp;G87)+COUNTIFS($A$2:$A$201,$A87,$BC$2:$BC$201,1,$G$2:$G$201,G87,$AM$2:$AM$201,"&lt;"&amp;AM87)=0,1,0),0)</f>
        <v/>
      </c>
      <c r="BE87" s="17">
        <f>IF(AND(BD87=1,G87&lt;=Config!$B$6),V87,"")</f>
        <v/>
      </c>
      <c r="BF87" s="17">
        <f>IF(AND(BD87=1,G87&lt;=Config!$B$7),V87,"")</f>
        <v/>
      </c>
      <c r="BG87" s="17">
        <f>IF(AND(BD87=1,G87&lt;=Config!$B$8),V87,"")</f>
        <v/>
      </c>
      <c r="BH87" s="17">
        <f>IF(AND(BD87=1,G87&lt;=Config!$B$5),V87,"")</f>
        <v/>
      </c>
      <c r="BI87" s="17">
        <f>IF(AND(AN87=1,ISNUMBER(J87)),1,0)</f>
        <v/>
      </c>
      <c r="BJ87" s="17">
        <f>IF(BI87=1,IF(COUNTIFS($A$2:$A$201,$A87,$BI$2:$BI$201,1,$G$2:$G$201,"&lt;"&amp;G87)+COUNTIFS($A$2:$A$201,$A87,$BI$2:$BI$201,1,$G$2:$G$201,G87,$AM$2:$AM$201,"&lt;"&amp;AM87)=0,1,0),0)</f>
        <v/>
      </c>
      <c r="BK87" s="17">
        <f>IF(AND(BJ87=1,G87&lt;=Config!$B$5),J87,"")</f>
        <v/>
      </c>
      <c r="BL87" s="17">
        <f>IF(AND(AN87=1,OR(AND(ISNUMBER(R87),TRIM(S87)=""),AND(ISNUMBER(V87),TRIM(W87)=""))),1,0)</f>
        <v/>
      </c>
      <c r="BM87" s="17">
        <f>IF(AN87=1,AB87&amp;"","")</f>
        <v/>
      </c>
      <c r="BN87" s="17">
        <f>IF(AN87=1,AC87&amp;"","")</f>
        <v/>
      </c>
      <c r="BO87" s="17">
        <f>IF(AN87=1,AD87&amp;"","")</f>
        <v/>
      </c>
      <c r="BP87" s="17">
        <f>IF(AND(AN87=1,ISNUMBER(AI87),G87&lt;=Config!$B$5),AI87,"")</f>
        <v/>
      </c>
      <c r="BQ87" s="17">
        <f>IF(AN87=1,IF(COUNTIFS($A$2:$A$201,$A87,$AF$2:$AF$201,"Y",$AN$2:$AN$201,1)&gt;0,"Y","N"),"")</f>
        <v/>
      </c>
      <c r="BR87" s="17">
        <f>IF(AND(AN87=1,AF87="Y"),IF(COUNTIFS($A$2:$A$201,$A87,$AF$2:$AF$201,"Y",$AN$2:$AN$201,1,$G$2:$G$201,"&lt;"&amp;G87)+COUNTIFS($A$2:$A$201,$A87,$AF$2:$AF$201,"Y",$AN$2:$AN$201,1,$G$2:$G$201,G87,$AM$2:$AM$201,"&lt;"&amp;AM87)=0,1,0),0)</f>
        <v/>
      </c>
      <c r="BS87" s="17">
        <f>IF(AN87=1,IFERROR(MATCH($A87,INDEX(Clay_Brands!$A$2:$FZ$601,0,Sync!$D$5),0),""),"")</f>
        <v/>
      </c>
      <c r="BT87" s="17">
        <f>IF(BS87="","",IFERROR(INDEX(Clay_Brands!$A$2:$FZ$601,BS87,Sync!$D$7)&amp;"",""))</f>
        <v/>
      </c>
      <c r="BU87" s="17">
        <f>IF(BT87="","",IFERROR(INDEX(Lists!$J$2:$J$15,MATCH(BT87,Lists!$I$2:$I$15,0)),""))</f>
        <v/>
      </c>
      <c r="BV87" s="17">
        <f>IF(BS87="","",IFERROR(INDEX(Clay_Brands!$A$2:$FZ$601,BS87,Sync!$D$17)&amp;"",""))</f>
        <v/>
      </c>
      <c r="BW87" s="23">
        <f>IF(BS87="","",IFERROR(N(INDEX(Clay_Brands!$A$2:$FZ$601,BS87,Sync!$D$16)),0))</f>
        <v/>
      </c>
    </row>
    <row r="88">
      <c r="G88" s="22" t="n"/>
      <c r="AL88" s="17">
        <f>IF(TRIM($A88)="","",IF(AND(LEFT($A88,6)="SAMPLE",Config!$B$19&lt;&gt;"Y"),"",IF(NOT(ISNUMBER(G88)),"call_date is blank or not a date",IF(Sync!$D$5="","Clay paste is empty or has no row_id column: paste the Clay export on Clay_Brands",IF(BS88="","row_id not found in the Clay paste: add the Clay row or fix the row_id",IF(AND(ISNUMBER(BU88),BU88&gt;=1,BU88&lt;=5),"Clay status is "&amp;BT88&amp;": set call_done or later",IF(AND(AP88=1,BV88&lt;&gt;BQ88),"Clay yes_in_principle should be "&amp;BQ88,IF(AND(AP88=1,BW88&lt;&gt;G88),"Clay call_date should be "&amp;TEXT(G88,"yyyy-mm-dd"),""))))))))</f>
        <v/>
      </c>
      <c r="AM88" s="17">
        <f>ROW()</f>
        <v/>
      </c>
      <c r="AN88" s="17">
        <f>IF(AND(TRIM($A88)&lt;&gt;"",ISNUMBER(G88)),IF(AND(LEFT($A88,6)="SAMPLE",Config!$B$19&lt;&gt;"Y"),0,1),0)</f>
        <v/>
      </c>
      <c r="AO88" s="17">
        <f>IF(AN88=1,IF(COUNTIFS($A$2:$A$201,$A88,$AN$2:$AN$201,1,$G$2:$G$201,"&lt;"&amp;G88)+COUNTIFS($A$2:$A$201,$A88,$AN$2:$AN$201,1,$G$2:$G$201,G88,$AM$2:$AM$201,"&lt;"&amp;AM88)=0,1,0),0)</f>
        <v/>
      </c>
      <c r="AP88" s="17">
        <f>IF(AN88=1,IF(COUNTIFS($A$2:$A$201,$A88,$AN$2:$AN$201,1,$G$2:$G$201,"&gt;"&amp;G88)+COUNTIFS($A$2:$A$201,$A88,$AN$2:$AN$201,1,$G$2:$G$201,G88,$AM$2:$AM$201,"&gt;"&amp;AM88)=0,1,0),0)</f>
        <v/>
      </c>
      <c r="AQ88" s="17">
        <f>IF(AND(AN88=1,N88="Y",MAX(N(R88),N(V88))&gt;=Config!$B$14),1,0)</f>
        <v/>
      </c>
      <c r="AR88" s="17">
        <f>IF(AQ88=1,IF(COUNTIFS($A$2:$A$201,$A88,$AQ$2:$AQ$201,1,$G$2:$G$201,"&lt;"&amp;G88)+COUNTIFS($A$2:$A$201,$A88,$AQ$2:$AQ$201,1,$G$2:$G$201,G88,$AM$2:$AM$201,"&lt;"&amp;AM88)=0,1,0),0)</f>
        <v/>
      </c>
      <c r="AS88" s="17">
        <f>IF(AND(AN88=1,N88="Y",ISNUMBER(R88)),IF(R88&gt;=Config!$B$14,1,0),0)</f>
        <v/>
      </c>
      <c r="AT88" s="17">
        <f>IF(AS88=1,IF(COUNTIFS($A$2:$A$201,$A88,$AS$2:$AS$201,1,$G$2:$G$201,"&lt;"&amp;G88)+COUNTIFS($A$2:$A$201,$A88,$AS$2:$AS$201,1,$G$2:$G$201,G88,$AM$2:$AM$201,"&lt;"&amp;AM88)=0,1,0),0)</f>
        <v/>
      </c>
      <c r="AU88" s="17">
        <f>IF(AND(AN88=1,N88&lt;&gt;"Y",MAX(N(R88),N(V88))&gt;=Config!$B$14),1,0)</f>
        <v/>
      </c>
      <c r="AV88" s="17">
        <f>IF(AU88=1,IF(COUNTIFS($A$2:$A$201,$A88,$AU$2:$AU$201,1,$G$2:$G$201,"&lt;"&amp;G88)+COUNTIFS($A$2:$A$201,$A88,$AU$2:$AU$201,1,$G$2:$G$201,G88,$AM$2:$AM$201,"&lt;"&amp;AM88)=0,1,0),0)</f>
        <v/>
      </c>
      <c r="AW88" s="17">
        <f>IF(AND(AN88=1,ISNUMBER(R88)),1,0)</f>
        <v/>
      </c>
      <c r="AX88" s="17">
        <f>IF(AW88=1,IF(COUNTIFS($A$2:$A$201,$A88,$AW$2:$AW$201,1,$G$2:$G$201,"&lt;"&amp;G88)+COUNTIFS($A$2:$A$201,$A88,$AW$2:$AW$201,1,$G$2:$G$201,G88,$AM$2:$AM$201,"&lt;"&amp;AM88)=0,1,0),0)</f>
        <v/>
      </c>
      <c r="AY88" s="17">
        <f>IF(AND(AX88=1,G88&lt;=Config!$B$6),R88,"")</f>
        <v/>
      </c>
      <c r="AZ88" s="17">
        <f>IF(AND(AX88=1,G88&lt;=Config!$B$7),R88,"")</f>
        <v/>
      </c>
      <c r="BA88" s="17">
        <f>IF(AND(AX88=1,G88&lt;=Config!$B$8),R88,"")</f>
        <v/>
      </c>
      <c r="BB88" s="17">
        <f>IF(AND(AX88=1,G88&lt;=Config!$B$5),R88,"")</f>
        <v/>
      </c>
      <c r="BC88" s="17">
        <f>IF(AND(AN88=1,ISNUMBER(V88)),1,0)</f>
        <v/>
      </c>
      <c r="BD88" s="17">
        <f>IF(BC88=1,IF(COUNTIFS($A$2:$A$201,$A88,$BC$2:$BC$201,1,$G$2:$G$201,"&lt;"&amp;G88)+COUNTIFS($A$2:$A$201,$A88,$BC$2:$BC$201,1,$G$2:$G$201,G88,$AM$2:$AM$201,"&lt;"&amp;AM88)=0,1,0),0)</f>
        <v/>
      </c>
      <c r="BE88" s="17">
        <f>IF(AND(BD88=1,G88&lt;=Config!$B$6),V88,"")</f>
        <v/>
      </c>
      <c r="BF88" s="17">
        <f>IF(AND(BD88=1,G88&lt;=Config!$B$7),V88,"")</f>
        <v/>
      </c>
      <c r="BG88" s="17">
        <f>IF(AND(BD88=1,G88&lt;=Config!$B$8),V88,"")</f>
        <v/>
      </c>
      <c r="BH88" s="17">
        <f>IF(AND(BD88=1,G88&lt;=Config!$B$5),V88,"")</f>
        <v/>
      </c>
      <c r="BI88" s="17">
        <f>IF(AND(AN88=1,ISNUMBER(J88)),1,0)</f>
        <v/>
      </c>
      <c r="BJ88" s="17">
        <f>IF(BI88=1,IF(COUNTIFS($A$2:$A$201,$A88,$BI$2:$BI$201,1,$G$2:$G$201,"&lt;"&amp;G88)+COUNTIFS($A$2:$A$201,$A88,$BI$2:$BI$201,1,$G$2:$G$201,G88,$AM$2:$AM$201,"&lt;"&amp;AM88)=0,1,0),0)</f>
        <v/>
      </c>
      <c r="BK88" s="17">
        <f>IF(AND(BJ88=1,G88&lt;=Config!$B$5),J88,"")</f>
        <v/>
      </c>
      <c r="BL88" s="17">
        <f>IF(AND(AN88=1,OR(AND(ISNUMBER(R88),TRIM(S88)=""),AND(ISNUMBER(V88),TRIM(W88)=""))),1,0)</f>
        <v/>
      </c>
      <c r="BM88" s="17">
        <f>IF(AN88=1,AB88&amp;"","")</f>
        <v/>
      </c>
      <c r="BN88" s="17">
        <f>IF(AN88=1,AC88&amp;"","")</f>
        <v/>
      </c>
      <c r="BO88" s="17">
        <f>IF(AN88=1,AD88&amp;"","")</f>
        <v/>
      </c>
      <c r="BP88" s="17">
        <f>IF(AND(AN88=1,ISNUMBER(AI88),G88&lt;=Config!$B$5),AI88,"")</f>
        <v/>
      </c>
      <c r="BQ88" s="17">
        <f>IF(AN88=1,IF(COUNTIFS($A$2:$A$201,$A88,$AF$2:$AF$201,"Y",$AN$2:$AN$201,1)&gt;0,"Y","N"),"")</f>
        <v/>
      </c>
      <c r="BR88" s="17">
        <f>IF(AND(AN88=1,AF88="Y"),IF(COUNTIFS($A$2:$A$201,$A88,$AF$2:$AF$201,"Y",$AN$2:$AN$201,1,$G$2:$G$201,"&lt;"&amp;G88)+COUNTIFS($A$2:$A$201,$A88,$AF$2:$AF$201,"Y",$AN$2:$AN$201,1,$G$2:$G$201,G88,$AM$2:$AM$201,"&lt;"&amp;AM88)=0,1,0),0)</f>
        <v/>
      </c>
      <c r="BS88" s="17">
        <f>IF(AN88=1,IFERROR(MATCH($A88,INDEX(Clay_Brands!$A$2:$FZ$601,0,Sync!$D$5),0),""),"")</f>
        <v/>
      </c>
      <c r="BT88" s="17">
        <f>IF(BS88="","",IFERROR(INDEX(Clay_Brands!$A$2:$FZ$601,BS88,Sync!$D$7)&amp;"",""))</f>
        <v/>
      </c>
      <c r="BU88" s="17">
        <f>IF(BT88="","",IFERROR(INDEX(Lists!$J$2:$J$15,MATCH(BT88,Lists!$I$2:$I$15,0)),""))</f>
        <v/>
      </c>
      <c r="BV88" s="17">
        <f>IF(BS88="","",IFERROR(INDEX(Clay_Brands!$A$2:$FZ$601,BS88,Sync!$D$17)&amp;"",""))</f>
        <v/>
      </c>
      <c r="BW88" s="23">
        <f>IF(BS88="","",IFERROR(N(INDEX(Clay_Brands!$A$2:$FZ$601,BS88,Sync!$D$16)),0))</f>
        <v/>
      </c>
    </row>
    <row r="89">
      <c r="G89" s="22" t="n"/>
      <c r="AL89" s="17">
        <f>IF(TRIM($A89)="","",IF(AND(LEFT($A89,6)="SAMPLE",Config!$B$19&lt;&gt;"Y"),"",IF(NOT(ISNUMBER(G89)),"call_date is blank or not a date",IF(Sync!$D$5="","Clay paste is empty or has no row_id column: paste the Clay export on Clay_Brands",IF(BS89="","row_id not found in the Clay paste: add the Clay row or fix the row_id",IF(AND(ISNUMBER(BU89),BU89&gt;=1,BU89&lt;=5),"Clay status is "&amp;BT89&amp;": set call_done or later",IF(AND(AP89=1,BV89&lt;&gt;BQ89),"Clay yes_in_principle should be "&amp;BQ89,IF(AND(AP89=1,BW89&lt;&gt;G89),"Clay call_date should be "&amp;TEXT(G89,"yyyy-mm-dd"),""))))))))</f>
        <v/>
      </c>
      <c r="AM89" s="17">
        <f>ROW()</f>
        <v/>
      </c>
      <c r="AN89" s="17">
        <f>IF(AND(TRIM($A89)&lt;&gt;"",ISNUMBER(G89)),IF(AND(LEFT($A89,6)="SAMPLE",Config!$B$19&lt;&gt;"Y"),0,1),0)</f>
        <v/>
      </c>
      <c r="AO89" s="17">
        <f>IF(AN89=1,IF(COUNTIFS($A$2:$A$201,$A89,$AN$2:$AN$201,1,$G$2:$G$201,"&lt;"&amp;G89)+COUNTIFS($A$2:$A$201,$A89,$AN$2:$AN$201,1,$G$2:$G$201,G89,$AM$2:$AM$201,"&lt;"&amp;AM89)=0,1,0),0)</f>
        <v/>
      </c>
      <c r="AP89" s="17">
        <f>IF(AN89=1,IF(COUNTIFS($A$2:$A$201,$A89,$AN$2:$AN$201,1,$G$2:$G$201,"&gt;"&amp;G89)+COUNTIFS($A$2:$A$201,$A89,$AN$2:$AN$201,1,$G$2:$G$201,G89,$AM$2:$AM$201,"&gt;"&amp;AM89)=0,1,0),0)</f>
        <v/>
      </c>
      <c r="AQ89" s="17">
        <f>IF(AND(AN89=1,N89="Y",MAX(N(R89),N(V89))&gt;=Config!$B$14),1,0)</f>
        <v/>
      </c>
      <c r="AR89" s="17">
        <f>IF(AQ89=1,IF(COUNTIFS($A$2:$A$201,$A89,$AQ$2:$AQ$201,1,$G$2:$G$201,"&lt;"&amp;G89)+COUNTIFS($A$2:$A$201,$A89,$AQ$2:$AQ$201,1,$G$2:$G$201,G89,$AM$2:$AM$201,"&lt;"&amp;AM89)=0,1,0),0)</f>
        <v/>
      </c>
      <c r="AS89" s="17">
        <f>IF(AND(AN89=1,N89="Y",ISNUMBER(R89)),IF(R89&gt;=Config!$B$14,1,0),0)</f>
        <v/>
      </c>
      <c r="AT89" s="17">
        <f>IF(AS89=1,IF(COUNTIFS($A$2:$A$201,$A89,$AS$2:$AS$201,1,$G$2:$G$201,"&lt;"&amp;G89)+COUNTIFS($A$2:$A$201,$A89,$AS$2:$AS$201,1,$G$2:$G$201,G89,$AM$2:$AM$201,"&lt;"&amp;AM89)=0,1,0),0)</f>
        <v/>
      </c>
      <c r="AU89" s="17">
        <f>IF(AND(AN89=1,N89&lt;&gt;"Y",MAX(N(R89),N(V89))&gt;=Config!$B$14),1,0)</f>
        <v/>
      </c>
      <c r="AV89" s="17">
        <f>IF(AU89=1,IF(COUNTIFS($A$2:$A$201,$A89,$AU$2:$AU$201,1,$G$2:$G$201,"&lt;"&amp;G89)+COUNTIFS($A$2:$A$201,$A89,$AU$2:$AU$201,1,$G$2:$G$201,G89,$AM$2:$AM$201,"&lt;"&amp;AM89)=0,1,0),0)</f>
        <v/>
      </c>
      <c r="AW89" s="17">
        <f>IF(AND(AN89=1,ISNUMBER(R89)),1,0)</f>
        <v/>
      </c>
      <c r="AX89" s="17">
        <f>IF(AW89=1,IF(COUNTIFS($A$2:$A$201,$A89,$AW$2:$AW$201,1,$G$2:$G$201,"&lt;"&amp;G89)+COUNTIFS($A$2:$A$201,$A89,$AW$2:$AW$201,1,$G$2:$G$201,G89,$AM$2:$AM$201,"&lt;"&amp;AM89)=0,1,0),0)</f>
        <v/>
      </c>
      <c r="AY89" s="17">
        <f>IF(AND(AX89=1,G89&lt;=Config!$B$6),R89,"")</f>
        <v/>
      </c>
      <c r="AZ89" s="17">
        <f>IF(AND(AX89=1,G89&lt;=Config!$B$7),R89,"")</f>
        <v/>
      </c>
      <c r="BA89" s="17">
        <f>IF(AND(AX89=1,G89&lt;=Config!$B$8),R89,"")</f>
        <v/>
      </c>
      <c r="BB89" s="17">
        <f>IF(AND(AX89=1,G89&lt;=Config!$B$5),R89,"")</f>
        <v/>
      </c>
      <c r="BC89" s="17">
        <f>IF(AND(AN89=1,ISNUMBER(V89)),1,0)</f>
        <v/>
      </c>
      <c r="BD89" s="17">
        <f>IF(BC89=1,IF(COUNTIFS($A$2:$A$201,$A89,$BC$2:$BC$201,1,$G$2:$G$201,"&lt;"&amp;G89)+COUNTIFS($A$2:$A$201,$A89,$BC$2:$BC$201,1,$G$2:$G$201,G89,$AM$2:$AM$201,"&lt;"&amp;AM89)=0,1,0),0)</f>
        <v/>
      </c>
      <c r="BE89" s="17">
        <f>IF(AND(BD89=1,G89&lt;=Config!$B$6),V89,"")</f>
        <v/>
      </c>
      <c r="BF89" s="17">
        <f>IF(AND(BD89=1,G89&lt;=Config!$B$7),V89,"")</f>
        <v/>
      </c>
      <c r="BG89" s="17">
        <f>IF(AND(BD89=1,G89&lt;=Config!$B$8),V89,"")</f>
        <v/>
      </c>
      <c r="BH89" s="17">
        <f>IF(AND(BD89=1,G89&lt;=Config!$B$5),V89,"")</f>
        <v/>
      </c>
      <c r="BI89" s="17">
        <f>IF(AND(AN89=1,ISNUMBER(J89)),1,0)</f>
        <v/>
      </c>
      <c r="BJ89" s="17">
        <f>IF(BI89=1,IF(COUNTIFS($A$2:$A$201,$A89,$BI$2:$BI$201,1,$G$2:$G$201,"&lt;"&amp;G89)+COUNTIFS($A$2:$A$201,$A89,$BI$2:$BI$201,1,$G$2:$G$201,G89,$AM$2:$AM$201,"&lt;"&amp;AM89)=0,1,0),0)</f>
        <v/>
      </c>
      <c r="BK89" s="17">
        <f>IF(AND(BJ89=1,G89&lt;=Config!$B$5),J89,"")</f>
        <v/>
      </c>
      <c r="BL89" s="17">
        <f>IF(AND(AN89=1,OR(AND(ISNUMBER(R89),TRIM(S89)=""),AND(ISNUMBER(V89),TRIM(W89)=""))),1,0)</f>
        <v/>
      </c>
      <c r="BM89" s="17">
        <f>IF(AN89=1,AB89&amp;"","")</f>
        <v/>
      </c>
      <c r="BN89" s="17">
        <f>IF(AN89=1,AC89&amp;"","")</f>
        <v/>
      </c>
      <c r="BO89" s="17">
        <f>IF(AN89=1,AD89&amp;"","")</f>
        <v/>
      </c>
      <c r="BP89" s="17">
        <f>IF(AND(AN89=1,ISNUMBER(AI89),G89&lt;=Config!$B$5),AI89,"")</f>
        <v/>
      </c>
      <c r="BQ89" s="17">
        <f>IF(AN89=1,IF(COUNTIFS($A$2:$A$201,$A89,$AF$2:$AF$201,"Y",$AN$2:$AN$201,1)&gt;0,"Y","N"),"")</f>
        <v/>
      </c>
      <c r="BR89" s="17">
        <f>IF(AND(AN89=1,AF89="Y"),IF(COUNTIFS($A$2:$A$201,$A89,$AF$2:$AF$201,"Y",$AN$2:$AN$201,1,$G$2:$G$201,"&lt;"&amp;G89)+COUNTIFS($A$2:$A$201,$A89,$AF$2:$AF$201,"Y",$AN$2:$AN$201,1,$G$2:$G$201,G89,$AM$2:$AM$201,"&lt;"&amp;AM89)=0,1,0),0)</f>
        <v/>
      </c>
      <c r="BS89" s="17">
        <f>IF(AN89=1,IFERROR(MATCH($A89,INDEX(Clay_Brands!$A$2:$FZ$601,0,Sync!$D$5),0),""),"")</f>
        <v/>
      </c>
      <c r="BT89" s="17">
        <f>IF(BS89="","",IFERROR(INDEX(Clay_Brands!$A$2:$FZ$601,BS89,Sync!$D$7)&amp;"",""))</f>
        <v/>
      </c>
      <c r="BU89" s="17">
        <f>IF(BT89="","",IFERROR(INDEX(Lists!$J$2:$J$15,MATCH(BT89,Lists!$I$2:$I$15,0)),""))</f>
        <v/>
      </c>
      <c r="BV89" s="17">
        <f>IF(BS89="","",IFERROR(INDEX(Clay_Brands!$A$2:$FZ$601,BS89,Sync!$D$17)&amp;"",""))</f>
        <v/>
      </c>
      <c r="BW89" s="23">
        <f>IF(BS89="","",IFERROR(N(INDEX(Clay_Brands!$A$2:$FZ$601,BS89,Sync!$D$16)),0))</f>
        <v/>
      </c>
    </row>
    <row r="90">
      <c r="G90" s="22" t="n"/>
      <c r="AL90" s="17">
        <f>IF(TRIM($A90)="","",IF(AND(LEFT($A90,6)="SAMPLE",Config!$B$19&lt;&gt;"Y"),"",IF(NOT(ISNUMBER(G90)),"call_date is blank or not a date",IF(Sync!$D$5="","Clay paste is empty or has no row_id column: paste the Clay export on Clay_Brands",IF(BS90="","row_id not found in the Clay paste: add the Clay row or fix the row_id",IF(AND(ISNUMBER(BU90),BU90&gt;=1,BU90&lt;=5),"Clay status is "&amp;BT90&amp;": set call_done or later",IF(AND(AP90=1,BV90&lt;&gt;BQ90),"Clay yes_in_principle should be "&amp;BQ90,IF(AND(AP90=1,BW90&lt;&gt;G90),"Clay call_date should be "&amp;TEXT(G90,"yyyy-mm-dd"),""))))))))</f>
        <v/>
      </c>
      <c r="AM90" s="17">
        <f>ROW()</f>
        <v/>
      </c>
      <c r="AN90" s="17">
        <f>IF(AND(TRIM($A90)&lt;&gt;"",ISNUMBER(G90)),IF(AND(LEFT($A90,6)="SAMPLE",Config!$B$19&lt;&gt;"Y"),0,1),0)</f>
        <v/>
      </c>
      <c r="AO90" s="17">
        <f>IF(AN90=1,IF(COUNTIFS($A$2:$A$201,$A90,$AN$2:$AN$201,1,$G$2:$G$201,"&lt;"&amp;G90)+COUNTIFS($A$2:$A$201,$A90,$AN$2:$AN$201,1,$G$2:$G$201,G90,$AM$2:$AM$201,"&lt;"&amp;AM90)=0,1,0),0)</f>
        <v/>
      </c>
      <c r="AP90" s="17">
        <f>IF(AN90=1,IF(COUNTIFS($A$2:$A$201,$A90,$AN$2:$AN$201,1,$G$2:$G$201,"&gt;"&amp;G90)+COUNTIFS($A$2:$A$201,$A90,$AN$2:$AN$201,1,$G$2:$G$201,G90,$AM$2:$AM$201,"&gt;"&amp;AM90)=0,1,0),0)</f>
        <v/>
      </c>
      <c r="AQ90" s="17">
        <f>IF(AND(AN90=1,N90="Y",MAX(N(R90),N(V90))&gt;=Config!$B$14),1,0)</f>
        <v/>
      </c>
      <c r="AR90" s="17">
        <f>IF(AQ90=1,IF(COUNTIFS($A$2:$A$201,$A90,$AQ$2:$AQ$201,1,$G$2:$G$201,"&lt;"&amp;G90)+COUNTIFS($A$2:$A$201,$A90,$AQ$2:$AQ$201,1,$G$2:$G$201,G90,$AM$2:$AM$201,"&lt;"&amp;AM90)=0,1,0),0)</f>
        <v/>
      </c>
      <c r="AS90" s="17">
        <f>IF(AND(AN90=1,N90="Y",ISNUMBER(R90)),IF(R90&gt;=Config!$B$14,1,0),0)</f>
        <v/>
      </c>
      <c r="AT90" s="17">
        <f>IF(AS90=1,IF(COUNTIFS($A$2:$A$201,$A90,$AS$2:$AS$201,1,$G$2:$G$201,"&lt;"&amp;G90)+COUNTIFS($A$2:$A$201,$A90,$AS$2:$AS$201,1,$G$2:$G$201,G90,$AM$2:$AM$201,"&lt;"&amp;AM90)=0,1,0),0)</f>
        <v/>
      </c>
      <c r="AU90" s="17">
        <f>IF(AND(AN90=1,N90&lt;&gt;"Y",MAX(N(R90),N(V90))&gt;=Config!$B$14),1,0)</f>
        <v/>
      </c>
      <c r="AV90" s="17">
        <f>IF(AU90=1,IF(COUNTIFS($A$2:$A$201,$A90,$AU$2:$AU$201,1,$G$2:$G$201,"&lt;"&amp;G90)+COUNTIFS($A$2:$A$201,$A90,$AU$2:$AU$201,1,$G$2:$G$201,G90,$AM$2:$AM$201,"&lt;"&amp;AM90)=0,1,0),0)</f>
        <v/>
      </c>
      <c r="AW90" s="17">
        <f>IF(AND(AN90=1,ISNUMBER(R90)),1,0)</f>
        <v/>
      </c>
      <c r="AX90" s="17">
        <f>IF(AW90=1,IF(COUNTIFS($A$2:$A$201,$A90,$AW$2:$AW$201,1,$G$2:$G$201,"&lt;"&amp;G90)+COUNTIFS($A$2:$A$201,$A90,$AW$2:$AW$201,1,$G$2:$G$201,G90,$AM$2:$AM$201,"&lt;"&amp;AM90)=0,1,0),0)</f>
        <v/>
      </c>
      <c r="AY90" s="17">
        <f>IF(AND(AX90=1,G90&lt;=Config!$B$6),R90,"")</f>
        <v/>
      </c>
      <c r="AZ90" s="17">
        <f>IF(AND(AX90=1,G90&lt;=Config!$B$7),R90,"")</f>
        <v/>
      </c>
      <c r="BA90" s="17">
        <f>IF(AND(AX90=1,G90&lt;=Config!$B$8),R90,"")</f>
        <v/>
      </c>
      <c r="BB90" s="17">
        <f>IF(AND(AX90=1,G90&lt;=Config!$B$5),R90,"")</f>
        <v/>
      </c>
      <c r="BC90" s="17">
        <f>IF(AND(AN90=1,ISNUMBER(V90)),1,0)</f>
        <v/>
      </c>
      <c r="BD90" s="17">
        <f>IF(BC90=1,IF(COUNTIFS($A$2:$A$201,$A90,$BC$2:$BC$201,1,$G$2:$G$201,"&lt;"&amp;G90)+COUNTIFS($A$2:$A$201,$A90,$BC$2:$BC$201,1,$G$2:$G$201,G90,$AM$2:$AM$201,"&lt;"&amp;AM90)=0,1,0),0)</f>
        <v/>
      </c>
      <c r="BE90" s="17">
        <f>IF(AND(BD90=1,G90&lt;=Config!$B$6),V90,"")</f>
        <v/>
      </c>
      <c r="BF90" s="17">
        <f>IF(AND(BD90=1,G90&lt;=Config!$B$7),V90,"")</f>
        <v/>
      </c>
      <c r="BG90" s="17">
        <f>IF(AND(BD90=1,G90&lt;=Config!$B$8),V90,"")</f>
        <v/>
      </c>
      <c r="BH90" s="17">
        <f>IF(AND(BD90=1,G90&lt;=Config!$B$5),V90,"")</f>
        <v/>
      </c>
      <c r="BI90" s="17">
        <f>IF(AND(AN90=1,ISNUMBER(J90)),1,0)</f>
        <v/>
      </c>
      <c r="BJ90" s="17">
        <f>IF(BI90=1,IF(COUNTIFS($A$2:$A$201,$A90,$BI$2:$BI$201,1,$G$2:$G$201,"&lt;"&amp;G90)+COUNTIFS($A$2:$A$201,$A90,$BI$2:$BI$201,1,$G$2:$G$201,G90,$AM$2:$AM$201,"&lt;"&amp;AM90)=0,1,0),0)</f>
        <v/>
      </c>
      <c r="BK90" s="17">
        <f>IF(AND(BJ90=1,G90&lt;=Config!$B$5),J90,"")</f>
        <v/>
      </c>
      <c r="BL90" s="17">
        <f>IF(AND(AN90=1,OR(AND(ISNUMBER(R90),TRIM(S90)=""),AND(ISNUMBER(V90),TRIM(W90)=""))),1,0)</f>
        <v/>
      </c>
      <c r="BM90" s="17">
        <f>IF(AN90=1,AB90&amp;"","")</f>
        <v/>
      </c>
      <c r="BN90" s="17">
        <f>IF(AN90=1,AC90&amp;"","")</f>
        <v/>
      </c>
      <c r="BO90" s="17">
        <f>IF(AN90=1,AD90&amp;"","")</f>
        <v/>
      </c>
      <c r="BP90" s="17">
        <f>IF(AND(AN90=1,ISNUMBER(AI90),G90&lt;=Config!$B$5),AI90,"")</f>
        <v/>
      </c>
      <c r="BQ90" s="17">
        <f>IF(AN90=1,IF(COUNTIFS($A$2:$A$201,$A90,$AF$2:$AF$201,"Y",$AN$2:$AN$201,1)&gt;0,"Y","N"),"")</f>
        <v/>
      </c>
      <c r="BR90" s="17">
        <f>IF(AND(AN90=1,AF90="Y"),IF(COUNTIFS($A$2:$A$201,$A90,$AF$2:$AF$201,"Y",$AN$2:$AN$201,1,$G$2:$G$201,"&lt;"&amp;G90)+COUNTIFS($A$2:$A$201,$A90,$AF$2:$AF$201,"Y",$AN$2:$AN$201,1,$G$2:$G$201,G90,$AM$2:$AM$201,"&lt;"&amp;AM90)=0,1,0),0)</f>
        <v/>
      </c>
      <c r="BS90" s="17">
        <f>IF(AN90=1,IFERROR(MATCH($A90,INDEX(Clay_Brands!$A$2:$FZ$601,0,Sync!$D$5),0),""),"")</f>
        <v/>
      </c>
      <c r="BT90" s="17">
        <f>IF(BS90="","",IFERROR(INDEX(Clay_Brands!$A$2:$FZ$601,BS90,Sync!$D$7)&amp;"",""))</f>
        <v/>
      </c>
      <c r="BU90" s="17">
        <f>IF(BT90="","",IFERROR(INDEX(Lists!$J$2:$J$15,MATCH(BT90,Lists!$I$2:$I$15,0)),""))</f>
        <v/>
      </c>
      <c r="BV90" s="17">
        <f>IF(BS90="","",IFERROR(INDEX(Clay_Brands!$A$2:$FZ$601,BS90,Sync!$D$17)&amp;"",""))</f>
        <v/>
      </c>
      <c r="BW90" s="23">
        <f>IF(BS90="","",IFERROR(N(INDEX(Clay_Brands!$A$2:$FZ$601,BS90,Sync!$D$16)),0))</f>
        <v/>
      </c>
    </row>
    <row r="91">
      <c r="G91" s="22" t="n"/>
      <c r="AL91" s="17">
        <f>IF(TRIM($A91)="","",IF(AND(LEFT($A91,6)="SAMPLE",Config!$B$19&lt;&gt;"Y"),"",IF(NOT(ISNUMBER(G91)),"call_date is blank or not a date",IF(Sync!$D$5="","Clay paste is empty or has no row_id column: paste the Clay export on Clay_Brands",IF(BS91="","row_id not found in the Clay paste: add the Clay row or fix the row_id",IF(AND(ISNUMBER(BU91),BU91&gt;=1,BU91&lt;=5),"Clay status is "&amp;BT91&amp;": set call_done or later",IF(AND(AP91=1,BV91&lt;&gt;BQ91),"Clay yes_in_principle should be "&amp;BQ91,IF(AND(AP91=1,BW91&lt;&gt;G91),"Clay call_date should be "&amp;TEXT(G91,"yyyy-mm-dd"),""))))))))</f>
        <v/>
      </c>
      <c r="AM91" s="17">
        <f>ROW()</f>
        <v/>
      </c>
      <c r="AN91" s="17">
        <f>IF(AND(TRIM($A91)&lt;&gt;"",ISNUMBER(G91)),IF(AND(LEFT($A91,6)="SAMPLE",Config!$B$19&lt;&gt;"Y"),0,1),0)</f>
        <v/>
      </c>
      <c r="AO91" s="17">
        <f>IF(AN91=1,IF(COUNTIFS($A$2:$A$201,$A91,$AN$2:$AN$201,1,$G$2:$G$201,"&lt;"&amp;G91)+COUNTIFS($A$2:$A$201,$A91,$AN$2:$AN$201,1,$G$2:$G$201,G91,$AM$2:$AM$201,"&lt;"&amp;AM91)=0,1,0),0)</f>
        <v/>
      </c>
      <c r="AP91" s="17">
        <f>IF(AN91=1,IF(COUNTIFS($A$2:$A$201,$A91,$AN$2:$AN$201,1,$G$2:$G$201,"&gt;"&amp;G91)+COUNTIFS($A$2:$A$201,$A91,$AN$2:$AN$201,1,$G$2:$G$201,G91,$AM$2:$AM$201,"&gt;"&amp;AM91)=0,1,0),0)</f>
        <v/>
      </c>
      <c r="AQ91" s="17">
        <f>IF(AND(AN91=1,N91="Y",MAX(N(R91),N(V91))&gt;=Config!$B$14),1,0)</f>
        <v/>
      </c>
      <c r="AR91" s="17">
        <f>IF(AQ91=1,IF(COUNTIFS($A$2:$A$201,$A91,$AQ$2:$AQ$201,1,$G$2:$G$201,"&lt;"&amp;G91)+COUNTIFS($A$2:$A$201,$A91,$AQ$2:$AQ$201,1,$G$2:$G$201,G91,$AM$2:$AM$201,"&lt;"&amp;AM91)=0,1,0),0)</f>
        <v/>
      </c>
      <c r="AS91" s="17">
        <f>IF(AND(AN91=1,N91="Y",ISNUMBER(R91)),IF(R91&gt;=Config!$B$14,1,0),0)</f>
        <v/>
      </c>
      <c r="AT91" s="17">
        <f>IF(AS91=1,IF(COUNTIFS($A$2:$A$201,$A91,$AS$2:$AS$201,1,$G$2:$G$201,"&lt;"&amp;G91)+COUNTIFS($A$2:$A$201,$A91,$AS$2:$AS$201,1,$G$2:$G$201,G91,$AM$2:$AM$201,"&lt;"&amp;AM91)=0,1,0),0)</f>
        <v/>
      </c>
      <c r="AU91" s="17">
        <f>IF(AND(AN91=1,N91&lt;&gt;"Y",MAX(N(R91),N(V91))&gt;=Config!$B$14),1,0)</f>
        <v/>
      </c>
      <c r="AV91" s="17">
        <f>IF(AU91=1,IF(COUNTIFS($A$2:$A$201,$A91,$AU$2:$AU$201,1,$G$2:$G$201,"&lt;"&amp;G91)+COUNTIFS($A$2:$A$201,$A91,$AU$2:$AU$201,1,$G$2:$G$201,G91,$AM$2:$AM$201,"&lt;"&amp;AM91)=0,1,0),0)</f>
        <v/>
      </c>
      <c r="AW91" s="17">
        <f>IF(AND(AN91=1,ISNUMBER(R91)),1,0)</f>
        <v/>
      </c>
      <c r="AX91" s="17">
        <f>IF(AW91=1,IF(COUNTIFS($A$2:$A$201,$A91,$AW$2:$AW$201,1,$G$2:$G$201,"&lt;"&amp;G91)+COUNTIFS($A$2:$A$201,$A91,$AW$2:$AW$201,1,$G$2:$G$201,G91,$AM$2:$AM$201,"&lt;"&amp;AM91)=0,1,0),0)</f>
        <v/>
      </c>
      <c r="AY91" s="17">
        <f>IF(AND(AX91=1,G91&lt;=Config!$B$6),R91,"")</f>
        <v/>
      </c>
      <c r="AZ91" s="17">
        <f>IF(AND(AX91=1,G91&lt;=Config!$B$7),R91,"")</f>
        <v/>
      </c>
      <c r="BA91" s="17">
        <f>IF(AND(AX91=1,G91&lt;=Config!$B$8),R91,"")</f>
        <v/>
      </c>
      <c r="BB91" s="17">
        <f>IF(AND(AX91=1,G91&lt;=Config!$B$5),R91,"")</f>
        <v/>
      </c>
      <c r="BC91" s="17">
        <f>IF(AND(AN91=1,ISNUMBER(V91)),1,0)</f>
        <v/>
      </c>
      <c r="BD91" s="17">
        <f>IF(BC91=1,IF(COUNTIFS($A$2:$A$201,$A91,$BC$2:$BC$201,1,$G$2:$G$201,"&lt;"&amp;G91)+COUNTIFS($A$2:$A$201,$A91,$BC$2:$BC$201,1,$G$2:$G$201,G91,$AM$2:$AM$201,"&lt;"&amp;AM91)=0,1,0),0)</f>
        <v/>
      </c>
      <c r="BE91" s="17">
        <f>IF(AND(BD91=1,G91&lt;=Config!$B$6),V91,"")</f>
        <v/>
      </c>
      <c r="BF91" s="17">
        <f>IF(AND(BD91=1,G91&lt;=Config!$B$7),V91,"")</f>
        <v/>
      </c>
      <c r="BG91" s="17">
        <f>IF(AND(BD91=1,G91&lt;=Config!$B$8),V91,"")</f>
        <v/>
      </c>
      <c r="BH91" s="17">
        <f>IF(AND(BD91=1,G91&lt;=Config!$B$5),V91,"")</f>
        <v/>
      </c>
      <c r="BI91" s="17">
        <f>IF(AND(AN91=1,ISNUMBER(J91)),1,0)</f>
        <v/>
      </c>
      <c r="BJ91" s="17">
        <f>IF(BI91=1,IF(COUNTIFS($A$2:$A$201,$A91,$BI$2:$BI$201,1,$G$2:$G$201,"&lt;"&amp;G91)+COUNTIFS($A$2:$A$201,$A91,$BI$2:$BI$201,1,$G$2:$G$201,G91,$AM$2:$AM$201,"&lt;"&amp;AM91)=0,1,0),0)</f>
        <v/>
      </c>
      <c r="BK91" s="17">
        <f>IF(AND(BJ91=1,G91&lt;=Config!$B$5),J91,"")</f>
        <v/>
      </c>
      <c r="BL91" s="17">
        <f>IF(AND(AN91=1,OR(AND(ISNUMBER(R91),TRIM(S91)=""),AND(ISNUMBER(V91),TRIM(W91)=""))),1,0)</f>
        <v/>
      </c>
      <c r="BM91" s="17">
        <f>IF(AN91=1,AB91&amp;"","")</f>
        <v/>
      </c>
      <c r="BN91" s="17">
        <f>IF(AN91=1,AC91&amp;"","")</f>
        <v/>
      </c>
      <c r="BO91" s="17">
        <f>IF(AN91=1,AD91&amp;"","")</f>
        <v/>
      </c>
      <c r="BP91" s="17">
        <f>IF(AND(AN91=1,ISNUMBER(AI91),G91&lt;=Config!$B$5),AI91,"")</f>
        <v/>
      </c>
      <c r="BQ91" s="17">
        <f>IF(AN91=1,IF(COUNTIFS($A$2:$A$201,$A91,$AF$2:$AF$201,"Y",$AN$2:$AN$201,1)&gt;0,"Y","N"),"")</f>
        <v/>
      </c>
      <c r="BR91" s="17">
        <f>IF(AND(AN91=1,AF91="Y"),IF(COUNTIFS($A$2:$A$201,$A91,$AF$2:$AF$201,"Y",$AN$2:$AN$201,1,$G$2:$G$201,"&lt;"&amp;G91)+COUNTIFS($A$2:$A$201,$A91,$AF$2:$AF$201,"Y",$AN$2:$AN$201,1,$G$2:$G$201,G91,$AM$2:$AM$201,"&lt;"&amp;AM91)=0,1,0),0)</f>
        <v/>
      </c>
      <c r="BS91" s="17">
        <f>IF(AN91=1,IFERROR(MATCH($A91,INDEX(Clay_Brands!$A$2:$FZ$601,0,Sync!$D$5),0),""),"")</f>
        <v/>
      </c>
      <c r="BT91" s="17">
        <f>IF(BS91="","",IFERROR(INDEX(Clay_Brands!$A$2:$FZ$601,BS91,Sync!$D$7)&amp;"",""))</f>
        <v/>
      </c>
      <c r="BU91" s="17">
        <f>IF(BT91="","",IFERROR(INDEX(Lists!$J$2:$J$15,MATCH(BT91,Lists!$I$2:$I$15,0)),""))</f>
        <v/>
      </c>
      <c r="BV91" s="17">
        <f>IF(BS91="","",IFERROR(INDEX(Clay_Brands!$A$2:$FZ$601,BS91,Sync!$D$17)&amp;"",""))</f>
        <v/>
      </c>
      <c r="BW91" s="23">
        <f>IF(BS91="","",IFERROR(N(INDEX(Clay_Brands!$A$2:$FZ$601,BS91,Sync!$D$16)),0))</f>
        <v/>
      </c>
    </row>
    <row r="92">
      <c r="G92" s="22" t="n"/>
      <c r="AL92" s="17">
        <f>IF(TRIM($A92)="","",IF(AND(LEFT($A92,6)="SAMPLE",Config!$B$19&lt;&gt;"Y"),"",IF(NOT(ISNUMBER(G92)),"call_date is blank or not a date",IF(Sync!$D$5="","Clay paste is empty or has no row_id column: paste the Clay export on Clay_Brands",IF(BS92="","row_id not found in the Clay paste: add the Clay row or fix the row_id",IF(AND(ISNUMBER(BU92),BU92&gt;=1,BU92&lt;=5),"Clay status is "&amp;BT92&amp;": set call_done or later",IF(AND(AP92=1,BV92&lt;&gt;BQ92),"Clay yes_in_principle should be "&amp;BQ92,IF(AND(AP92=1,BW92&lt;&gt;G92),"Clay call_date should be "&amp;TEXT(G92,"yyyy-mm-dd"),""))))))))</f>
        <v/>
      </c>
      <c r="AM92" s="17">
        <f>ROW()</f>
        <v/>
      </c>
      <c r="AN92" s="17">
        <f>IF(AND(TRIM($A92)&lt;&gt;"",ISNUMBER(G92)),IF(AND(LEFT($A92,6)="SAMPLE",Config!$B$19&lt;&gt;"Y"),0,1),0)</f>
        <v/>
      </c>
      <c r="AO92" s="17">
        <f>IF(AN92=1,IF(COUNTIFS($A$2:$A$201,$A92,$AN$2:$AN$201,1,$G$2:$G$201,"&lt;"&amp;G92)+COUNTIFS($A$2:$A$201,$A92,$AN$2:$AN$201,1,$G$2:$G$201,G92,$AM$2:$AM$201,"&lt;"&amp;AM92)=0,1,0),0)</f>
        <v/>
      </c>
      <c r="AP92" s="17">
        <f>IF(AN92=1,IF(COUNTIFS($A$2:$A$201,$A92,$AN$2:$AN$201,1,$G$2:$G$201,"&gt;"&amp;G92)+COUNTIFS($A$2:$A$201,$A92,$AN$2:$AN$201,1,$G$2:$G$201,G92,$AM$2:$AM$201,"&gt;"&amp;AM92)=0,1,0),0)</f>
        <v/>
      </c>
      <c r="AQ92" s="17">
        <f>IF(AND(AN92=1,N92="Y",MAX(N(R92),N(V92))&gt;=Config!$B$14),1,0)</f>
        <v/>
      </c>
      <c r="AR92" s="17">
        <f>IF(AQ92=1,IF(COUNTIFS($A$2:$A$201,$A92,$AQ$2:$AQ$201,1,$G$2:$G$201,"&lt;"&amp;G92)+COUNTIFS($A$2:$A$201,$A92,$AQ$2:$AQ$201,1,$G$2:$G$201,G92,$AM$2:$AM$201,"&lt;"&amp;AM92)=0,1,0),0)</f>
        <v/>
      </c>
      <c r="AS92" s="17">
        <f>IF(AND(AN92=1,N92="Y",ISNUMBER(R92)),IF(R92&gt;=Config!$B$14,1,0),0)</f>
        <v/>
      </c>
      <c r="AT92" s="17">
        <f>IF(AS92=1,IF(COUNTIFS($A$2:$A$201,$A92,$AS$2:$AS$201,1,$G$2:$G$201,"&lt;"&amp;G92)+COUNTIFS($A$2:$A$201,$A92,$AS$2:$AS$201,1,$G$2:$G$201,G92,$AM$2:$AM$201,"&lt;"&amp;AM92)=0,1,0),0)</f>
        <v/>
      </c>
      <c r="AU92" s="17">
        <f>IF(AND(AN92=1,N92&lt;&gt;"Y",MAX(N(R92),N(V92))&gt;=Config!$B$14),1,0)</f>
        <v/>
      </c>
      <c r="AV92" s="17">
        <f>IF(AU92=1,IF(COUNTIFS($A$2:$A$201,$A92,$AU$2:$AU$201,1,$G$2:$G$201,"&lt;"&amp;G92)+COUNTIFS($A$2:$A$201,$A92,$AU$2:$AU$201,1,$G$2:$G$201,G92,$AM$2:$AM$201,"&lt;"&amp;AM92)=0,1,0),0)</f>
        <v/>
      </c>
      <c r="AW92" s="17">
        <f>IF(AND(AN92=1,ISNUMBER(R92)),1,0)</f>
        <v/>
      </c>
      <c r="AX92" s="17">
        <f>IF(AW92=1,IF(COUNTIFS($A$2:$A$201,$A92,$AW$2:$AW$201,1,$G$2:$G$201,"&lt;"&amp;G92)+COUNTIFS($A$2:$A$201,$A92,$AW$2:$AW$201,1,$G$2:$G$201,G92,$AM$2:$AM$201,"&lt;"&amp;AM92)=0,1,0),0)</f>
        <v/>
      </c>
      <c r="AY92" s="17">
        <f>IF(AND(AX92=1,G92&lt;=Config!$B$6),R92,"")</f>
        <v/>
      </c>
      <c r="AZ92" s="17">
        <f>IF(AND(AX92=1,G92&lt;=Config!$B$7),R92,"")</f>
        <v/>
      </c>
      <c r="BA92" s="17">
        <f>IF(AND(AX92=1,G92&lt;=Config!$B$8),R92,"")</f>
        <v/>
      </c>
      <c r="BB92" s="17">
        <f>IF(AND(AX92=1,G92&lt;=Config!$B$5),R92,"")</f>
        <v/>
      </c>
      <c r="BC92" s="17">
        <f>IF(AND(AN92=1,ISNUMBER(V92)),1,0)</f>
        <v/>
      </c>
      <c r="BD92" s="17">
        <f>IF(BC92=1,IF(COUNTIFS($A$2:$A$201,$A92,$BC$2:$BC$201,1,$G$2:$G$201,"&lt;"&amp;G92)+COUNTIFS($A$2:$A$201,$A92,$BC$2:$BC$201,1,$G$2:$G$201,G92,$AM$2:$AM$201,"&lt;"&amp;AM92)=0,1,0),0)</f>
        <v/>
      </c>
      <c r="BE92" s="17">
        <f>IF(AND(BD92=1,G92&lt;=Config!$B$6),V92,"")</f>
        <v/>
      </c>
      <c r="BF92" s="17">
        <f>IF(AND(BD92=1,G92&lt;=Config!$B$7),V92,"")</f>
        <v/>
      </c>
      <c r="BG92" s="17">
        <f>IF(AND(BD92=1,G92&lt;=Config!$B$8),V92,"")</f>
        <v/>
      </c>
      <c r="BH92" s="17">
        <f>IF(AND(BD92=1,G92&lt;=Config!$B$5),V92,"")</f>
        <v/>
      </c>
      <c r="BI92" s="17">
        <f>IF(AND(AN92=1,ISNUMBER(J92)),1,0)</f>
        <v/>
      </c>
      <c r="BJ92" s="17">
        <f>IF(BI92=1,IF(COUNTIFS($A$2:$A$201,$A92,$BI$2:$BI$201,1,$G$2:$G$201,"&lt;"&amp;G92)+COUNTIFS($A$2:$A$201,$A92,$BI$2:$BI$201,1,$G$2:$G$201,G92,$AM$2:$AM$201,"&lt;"&amp;AM92)=0,1,0),0)</f>
        <v/>
      </c>
      <c r="BK92" s="17">
        <f>IF(AND(BJ92=1,G92&lt;=Config!$B$5),J92,"")</f>
        <v/>
      </c>
      <c r="BL92" s="17">
        <f>IF(AND(AN92=1,OR(AND(ISNUMBER(R92),TRIM(S92)=""),AND(ISNUMBER(V92),TRIM(W92)=""))),1,0)</f>
        <v/>
      </c>
      <c r="BM92" s="17">
        <f>IF(AN92=1,AB92&amp;"","")</f>
        <v/>
      </c>
      <c r="BN92" s="17">
        <f>IF(AN92=1,AC92&amp;"","")</f>
        <v/>
      </c>
      <c r="BO92" s="17">
        <f>IF(AN92=1,AD92&amp;"","")</f>
        <v/>
      </c>
      <c r="BP92" s="17">
        <f>IF(AND(AN92=1,ISNUMBER(AI92),G92&lt;=Config!$B$5),AI92,"")</f>
        <v/>
      </c>
      <c r="BQ92" s="17">
        <f>IF(AN92=1,IF(COUNTIFS($A$2:$A$201,$A92,$AF$2:$AF$201,"Y",$AN$2:$AN$201,1)&gt;0,"Y","N"),"")</f>
        <v/>
      </c>
      <c r="BR92" s="17">
        <f>IF(AND(AN92=1,AF92="Y"),IF(COUNTIFS($A$2:$A$201,$A92,$AF$2:$AF$201,"Y",$AN$2:$AN$201,1,$G$2:$G$201,"&lt;"&amp;G92)+COUNTIFS($A$2:$A$201,$A92,$AF$2:$AF$201,"Y",$AN$2:$AN$201,1,$G$2:$G$201,G92,$AM$2:$AM$201,"&lt;"&amp;AM92)=0,1,0),0)</f>
        <v/>
      </c>
      <c r="BS92" s="17">
        <f>IF(AN92=1,IFERROR(MATCH($A92,INDEX(Clay_Brands!$A$2:$FZ$601,0,Sync!$D$5),0),""),"")</f>
        <v/>
      </c>
      <c r="BT92" s="17">
        <f>IF(BS92="","",IFERROR(INDEX(Clay_Brands!$A$2:$FZ$601,BS92,Sync!$D$7)&amp;"",""))</f>
        <v/>
      </c>
      <c r="BU92" s="17">
        <f>IF(BT92="","",IFERROR(INDEX(Lists!$J$2:$J$15,MATCH(BT92,Lists!$I$2:$I$15,0)),""))</f>
        <v/>
      </c>
      <c r="BV92" s="17">
        <f>IF(BS92="","",IFERROR(INDEX(Clay_Brands!$A$2:$FZ$601,BS92,Sync!$D$17)&amp;"",""))</f>
        <v/>
      </c>
      <c r="BW92" s="23">
        <f>IF(BS92="","",IFERROR(N(INDEX(Clay_Brands!$A$2:$FZ$601,BS92,Sync!$D$16)),0))</f>
        <v/>
      </c>
    </row>
    <row r="93">
      <c r="G93" s="22" t="n"/>
      <c r="AL93" s="17">
        <f>IF(TRIM($A93)="","",IF(AND(LEFT($A93,6)="SAMPLE",Config!$B$19&lt;&gt;"Y"),"",IF(NOT(ISNUMBER(G93)),"call_date is blank or not a date",IF(Sync!$D$5="","Clay paste is empty or has no row_id column: paste the Clay export on Clay_Brands",IF(BS93="","row_id not found in the Clay paste: add the Clay row or fix the row_id",IF(AND(ISNUMBER(BU93),BU93&gt;=1,BU93&lt;=5),"Clay status is "&amp;BT93&amp;": set call_done or later",IF(AND(AP93=1,BV93&lt;&gt;BQ93),"Clay yes_in_principle should be "&amp;BQ93,IF(AND(AP93=1,BW93&lt;&gt;G93),"Clay call_date should be "&amp;TEXT(G93,"yyyy-mm-dd"),""))))))))</f>
        <v/>
      </c>
      <c r="AM93" s="17">
        <f>ROW()</f>
        <v/>
      </c>
      <c r="AN93" s="17">
        <f>IF(AND(TRIM($A93)&lt;&gt;"",ISNUMBER(G93)),IF(AND(LEFT($A93,6)="SAMPLE",Config!$B$19&lt;&gt;"Y"),0,1),0)</f>
        <v/>
      </c>
      <c r="AO93" s="17">
        <f>IF(AN93=1,IF(COUNTIFS($A$2:$A$201,$A93,$AN$2:$AN$201,1,$G$2:$G$201,"&lt;"&amp;G93)+COUNTIFS($A$2:$A$201,$A93,$AN$2:$AN$201,1,$G$2:$G$201,G93,$AM$2:$AM$201,"&lt;"&amp;AM93)=0,1,0),0)</f>
        <v/>
      </c>
      <c r="AP93" s="17">
        <f>IF(AN93=1,IF(COUNTIFS($A$2:$A$201,$A93,$AN$2:$AN$201,1,$G$2:$G$201,"&gt;"&amp;G93)+COUNTIFS($A$2:$A$201,$A93,$AN$2:$AN$201,1,$G$2:$G$201,G93,$AM$2:$AM$201,"&gt;"&amp;AM93)=0,1,0),0)</f>
        <v/>
      </c>
      <c r="AQ93" s="17">
        <f>IF(AND(AN93=1,N93="Y",MAX(N(R93),N(V93))&gt;=Config!$B$14),1,0)</f>
        <v/>
      </c>
      <c r="AR93" s="17">
        <f>IF(AQ93=1,IF(COUNTIFS($A$2:$A$201,$A93,$AQ$2:$AQ$201,1,$G$2:$G$201,"&lt;"&amp;G93)+COUNTIFS($A$2:$A$201,$A93,$AQ$2:$AQ$201,1,$G$2:$G$201,G93,$AM$2:$AM$201,"&lt;"&amp;AM93)=0,1,0),0)</f>
        <v/>
      </c>
      <c r="AS93" s="17">
        <f>IF(AND(AN93=1,N93="Y",ISNUMBER(R93)),IF(R93&gt;=Config!$B$14,1,0),0)</f>
        <v/>
      </c>
      <c r="AT93" s="17">
        <f>IF(AS93=1,IF(COUNTIFS($A$2:$A$201,$A93,$AS$2:$AS$201,1,$G$2:$G$201,"&lt;"&amp;G93)+COUNTIFS($A$2:$A$201,$A93,$AS$2:$AS$201,1,$G$2:$G$201,G93,$AM$2:$AM$201,"&lt;"&amp;AM93)=0,1,0),0)</f>
        <v/>
      </c>
      <c r="AU93" s="17">
        <f>IF(AND(AN93=1,N93&lt;&gt;"Y",MAX(N(R93),N(V93))&gt;=Config!$B$14),1,0)</f>
        <v/>
      </c>
      <c r="AV93" s="17">
        <f>IF(AU93=1,IF(COUNTIFS($A$2:$A$201,$A93,$AU$2:$AU$201,1,$G$2:$G$201,"&lt;"&amp;G93)+COUNTIFS($A$2:$A$201,$A93,$AU$2:$AU$201,1,$G$2:$G$201,G93,$AM$2:$AM$201,"&lt;"&amp;AM93)=0,1,0),0)</f>
        <v/>
      </c>
      <c r="AW93" s="17">
        <f>IF(AND(AN93=1,ISNUMBER(R93)),1,0)</f>
        <v/>
      </c>
      <c r="AX93" s="17">
        <f>IF(AW93=1,IF(COUNTIFS($A$2:$A$201,$A93,$AW$2:$AW$201,1,$G$2:$G$201,"&lt;"&amp;G93)+COUNTIFS($A$2:$A$201,$A93,$AW$2:$AW$201,1,$G$2:$G$201,G93,$AM$2:$AM$201,"&lt;"&amp;AM93)=0,1,0),0)</f>
        <v/>
      </c>
      <c r="AY93" s="17">
        <f>IF(AND(AX93=1,G93&lt;=Config!$B$6),R93,"")</f>
        <v/>
      </c>
      <c r="AZ93" s="17">
        <f>IF(AND(AX93=1,G93&lt;=Config!$B$7),R93,"")</f>
        <v/>
      </c>
      <c r="BA93" s="17">
        <f>IF(AND(AX93=1,G93&lt;=Config!$B$8),R93,"")</f>
        <v/>
      </c>
      <c r="BB93" s="17">
        <f>IF(AND(AX93=1,G93&lt;=Config!$B$5),R93,"")</f>
        <v/>
      </c>
      <c r="BC93" s="17">
        <f>IF(AND(AN93=1,ISNUMBER(V93)),1,0)</f>
        <v/>
      </c>
      <c r="BD93" s="17">
        <f>IF(BC93=1,IF(COUNTIFS($A$2:$A$201,$A93,$BC$2:$BC$201,1,$G$2:$G$201,"&lt;"&amp;G93)+COUNTIFS($A$2:$A$201,$A93,$BC$2:$BC$201,1,$G$2:$G$201,G93,$AM$2:$AM$201,"&lt;"&amp;AM93)=0,1,0),0)</f>
        <v/>
      </c>
      <c r="BE93" s="17">
        <f>IF(AND(BD93=1,G93&lt;=Config!$B$6),V93,"")</f>
        <v/>
      </c>
      <c r="BF93" s="17">
        <f>IF(AND(BD93=1,G93&lt;=Config!$B$7),V93,"")</f>
        <v/>
      </c>
      <c r="BG93" s="17">
        <f>IF(AND(BD93=1,G93&lt;=Config!$B$8),V93,"")</f>
        <v/>
      </c>
      <c r="BH93" s="17">
        <f>IF(AND(BD93=1,G93&lt;=Config!$B$5),V93,"")</f>
        <v/>
      </c>
      <c r="BI93" s="17">
        <f>IF(AND(AN93=1,ISNUMBER(J93)),1,0)</f>
        <v/>
      </c>
      <c r="BJ93" s="17">
        <f>IF(BI93=1,IF(COUNTIFS($A$2:$A$201,$A93,$BI$2:$BI$201,1,$G$2:$G$201,"&lt;"&amp;G93)+COUNTIFS($A$2:$A$201,$A93,$BI$2:$BI$201,1,$G$2:$G$201,G93,$AM$2:$AM$201,"&lt;"&amp;AM93)=0,1,0),0)</f>
        <v/>
      </c>
      <c r="BK93" s="17">
        <f>IF(AND(BJ93=1,G93&lt;=Config!$B$5),J93,"")</f>
        <v/>
      </c>
      <c r="BL93" s="17">
        <f>IF(AND(AN93=1,OR(AND(ISNUMBER(R93),TRIM(S93)=""),AND(ISNUMBER(V93),TRIM(W93)=""))),1,0)</f>
        <v/>
      </c>
      <c r="BM93" s="17">
        <f>IF(AN93=1,AB93&amp;"","")</f>
        <v/>
      </c>
      <c r="BN93" s="17">
        <f>IF(AN93=1,AC93&amp;"","")</f>
        <v/>
      </c>
      <c r="BO93" s="17">
        <f>IF(AN93=1,AD93&amp;"","")</f>
        <v/>
      </c>
      <c r="BP93" s="17">
        <f>IF(AND(AN93=1,ISNUMBER(AI93),G93&lt;=Config!$B$5),AI93,"")</f>
        <v/>
      </c>
      <c r="BQ93" s="17">
        <f>IF(AN93=1,IF(COUNTIFS($A$2:$A$201,$A93,$AF$2:$AF$201,"Y",$AN$2:$AN$201,1)&gt;0,"Y","N"),"")</f>
        <v/>
      </c>
      <c r="BR93" s="17">
        <f>IF(AND(AN93=1,AF93="Y"),IF(COUNTIFS($A$2:$A$201,$A93,$AF$2:$AF$201,"Y",$AN$2:$AN$201,1,$G$2:$G$201,"&lt;"&amp;G93)+COUNTIFS($A$2:$A$201,$A93,$AF$2:$AF$201,"Y",$AN$2:$AN$201,1,$G$2:$G$201,G93,$AM$2:$AM$201,"&lt;"&amp;AM93)=0,1,0),0)</f>
        <v/>
      </c>
      <c r="BS93" s="17">
        <f>IF(AN93=1,IFERROR(MATCH($A93,INDEX(Clay_Brands!$A$2:$FZ$601,0,Sync!$D$5),0),""),"")</f>
        <v/>
      </c>
      <c r="BT93" s="17">
        <f>IF(BS93="","",IFERROR(INDEX(Clay_Brands!$A$2:$FZ$601,BS93,Sync!$D$7)&amp;"",""))</f>
        <v/>
      </c>
      <c r="BU93" s="17">
        <f>IF(BT93="","",IFERROR(INDEX(Lists!$J$2:$J$15,MATCH(BT93,Lists!$I$2:$I$15,0)),""))</f>
        <v/>
      </c>
      <c r="BV93" s="17">
        <f>IF(BS93="","",IFERROR(INDEX(Clay_Brands!$A$2:$FZ$601,BS93,Sync!$D$17)&amp;"",""))</f>
        <v/>
      </c>
      <c r="BW93" s="23">
        <f>IF(BS93="","",IFERROR(N(INDEX(Clay_Brands!$A$2:$FZ$601,BS93,Sync!$D$16)),0))</f>
        <v/>
      </c>
    </row>
    <row r="94">
      <c r="G94" s="22" t="n"/>
      <c r="AL94" s="17">
        <f>IF(TRIM($A94)="","",IF(AND(LEFT($A94,6)="SAMPLE",Config!$B$19&lt;&gt;"Y"),"",IF(NOT(ISNUMBER(G94)),"call_date is blank or not a date",IF(Sync!$D$5="","Clay paste is empty or has no row_id column: paste the Clay export on Clay_Brands",IF(BS94="","row_id not found in the Clay paste: add the Clay row or fix the row_id",IF(AND(ISNUMBER(BU94),BU94&gt;=1,BU94&lt;=5),"Clay status is "&amp;BT94&amp;": set call_done or later",IF(AND(AP94=1,BV94&lt;&gt;BQ94),"Clay yes_in_principle should be "&amp;BQ94,IF(AND(AP94=1,BW94&lt;&gt;G94),"Clay call_date should be "&amp;TEXT(G94,"yyyy-mm-dd"),""))))))))</f>
        <v/>
      </c>
      <c r="AM94" s="17">
        <f>ROW()</f>
        <v/>
      </c>
      <c r="AN94" s="17">
        <f>IF(AND(TRIM($A94)&lt;&gt;"",ISNUMBER(G94)),IF(AND(LEFT($A94,6)="SAMPLE",Config!$B$19&lt;&gt;"Y"),0,1),0)</f>
        <v/>
      </c>
      <c r="AO94" s="17">
        <f>IF(AN94=1,IF(COUNTIFS($A$2:$A$201,$A94,$AN$2:$AN$201,1,$G$2:$G$201,"&lt;"&amp;G94)+COUNTIFS($A$2:$A$201,$A94,$AN$2:$AN$201,1,$G$2:$G$201,G94,$AM$2:$AM$201,"&lt;"&amp;AM94)=0,1,0),0)</f>
        <v/>
      </c>
      <c r="AP94" s="17">
        <f>IF(AN94=1,IF(COUNTIFS($A$2:$A$201,$A94,$AN$2:$AN$201,1,$G$2:$G$201,"&gt;"&amp;G94)+COUNTIFS($A$2:$A$201,$A94,$AN$2:$AN$201,1,$G$2:$G$201,G94,$AM$2:$AM$201,"&gt;"&amp;AM94)=0,1,0),0)</f>
        <v/>
      </c>
      <c r="AQ94" s="17">
        <f>IF(AND(AN94=1,N94="Y",MAX(N(R94),N(V94))&gt;=Config!$B$14),1,0)</f>
        <v/>
      </c>
      <c r="AR94" s="17">
        <f>IF(AQ94=1,IF(COUNTIFS($A$2:$A$201,$A94,$AQ$2:$AQ$201,1,$G$2:$G$201,"&lt;"&amp;G94)+COUNTIFS($A$2:$A$201,$A94,$AQ$2:$AQ$201,1,$G$2:$G$201,G94,$AM$2:$AM$201,"&lt;"&amp;AM94)=0,1,0),0)</f>
        <v/>
      </c>
      <c r="AS94" s="17">
        <f>IF(AND(AN94=1,N94="Y",ISNUMBER(R94)),IF(R94&gt;=Config!$B$14,1,0),0)</f>
        <v/>
      </c>
      <c r="AT94" s="17">
        <f>IF(AS94=1,IF(COUNTIFS($A$2:$A$201,$A94,$AS$2:$AS$201,1,$G$2:$G$201,"&lt;"&amp;G94)+COUNTIFS($A$2:$A$201,$A94,$AS$2:$AS$201,1,$G$2:$G$201,G94,$AM$2:$AM$201,"&lt;"&amp;AM94)=0,1,0),0)</f>
        <v/>
      </c>
      <c r="AU94" s="17">
        <f>IF(AND(AN94=1,N94&lt;&gt;"Y",MAX(N(R94),N(V94))&gt;=Config!$B$14),1,0)</f>
        <v/>
      </c>
      <c r="AV94" s="17">
        <f>IF(AU94=1,IF(COUNTIFS($A$2:$A$201,$A94,$AU$2:$AU$201,1,$G$2:$G$201,"&lt;"&amp;G94)+COUNTIFS($A$2:$A$201,$A94,$AU$2:$AU$201,1,$G$2:$G$201,G94,$AM$2:$AM$201,"&lt;"&amp;AM94)=0,1,0),0)</f>
        <v/>
      </c>
      <c r="AW94" s="17">
        <f>IF(AND(AN94=1,ISNUMBER(R94)),1,0)</f>
        <v/>
      </c>
      <c r="AX94" s="17">
        <f>IF(AW94=1,IF(COUNTIFS($A$2:$A$201,$A94,$AW$2:$AW$201,1,$G$2:$G$201,"&lt;"&amp;G94)+COUNTIFS($A$2:$A$201,$A94,$AW$2:$AW$201,1,$G$2:$G$201,G94,$AM$2:$AM$201,"&lt;"&amp;AM94)=0,1,0),0)</f>
        <v/>
      </c>
      <c r="AY94" s="17">
        <f>IF(AND(AX94=1,G94&lt;=Config!$B$6),R94,"")</f>
        <v/>
      </c>
      <c r="AZ94" s="17">
        <f>IF(AND(AX94=1,G94&lt;=Config!$B$7),R94,"")</f>
        <v/>
      </c>
      <c r="BA94" s="17">
        <f>IF(AND(AX94=1,G94&lt;=Config!$B$8),R94,"")</f>
        <v/>
      </c>
      <c r="BB94" s="17">
        <f>IF(AND(AX94=1,G94&lt;=Config!$B$5),R94,"")</f>
        <v/>
      </c>
      <c r="BC94" s="17">
        <f>IF(AND(AN94=1,ISNUMBER(V94)),1,0)</f>
        <v/>
      </c>
      <c r="BD94" s="17">
        <f>IF(BC94=1,IF(COUNTIFS($A$2:$A$201,$A94,$BC$2:$BC$201,1,$G$2:$G$201,"&lt;"&amp;G94)+COUNTIFS($A$2:$A$201,$A94,$BC$2:$BC$201,1,$G$2:$G$201,G94,$AM$2:$AM$201,"&lt;"&amp;AM94)=0,1,0),0)</f>
        <v/>
      </c>
      <c r="BE94" s="17">
        <f>IF(AND(BD94=1,G94&lt;=Config!$B$6),V94,"")</f>
        <v/>
      </c>
      <c r="BF94" s="17">
        <f>IF(AND(BD94=1,G94&lt;=Config!$B$7),V94,"")</f>
        <v/>
      </c>
      <c r="BG94" s="17">
        <f>IF(AND(BD94=1,G94&lt;=Config!$B$8),V94,"")</f>
        <v/>
      </c>
      <c r="BH94" s="17">
        <f>IF(AND(BD94=1,G94&lt;=Config!$B$5),V94,"")</f>
        <v/>
      </c>
      <c r="BI94" s="17">
        <f>IF(AND(AN94=1,ISNUMBER(J94)),1,0)</f>
        <v/>
      </c>
      <c r="BJ94" s="17">
        <f>IF(BI94=1,IF(COUNTIFS($A$2:$A$201,$A94,$BI$2:$BI$201,1,$G$2:$G$201,"&lt;"&amp;G94)+COUNTIFS($A$2:$A$201,$A94,$BI$2:$BI$201,1,$G$2:$G$201,G94,$AM$2:$AM$201,"&lt;"&amp;AM94)=0,1,0),0)</f>
        <v/>
      </c>
      <c r="BK94" s="17">
        <f>IF(AND(BJ94=1,G94&lt;=Config!$B$5),J94,"")</f>
        <v/>
      </c>
      <c r="BL94" s="17">
        <f>IF(AND(AN94=1,OR(AND(ISNUMBER(R94),TRIM(S94)=""),AND(ISNUMBER(V94),TRIM(W94)=""))),1,0)</f>
        <v/>
      </c>
      <c r="BM94" s="17">
        <f>IF(AN94=1,AB94&amp;"","")</f>
        <v/>
      </c>
      <c r="BN94" s="17">
        <f>IF(AN94=1,AC94&amp;"","")</f>
        <v/>
      </c>
      <c r="BO94" s="17">
        <f>IF(AN94=1,AD94&amp;"","")</f>
        <v/>
      </c>
      <c r="BP94" s="17">
        <f>IF(AND(AN94=1,ISNUMBER(AI94),G94&lt;=Config!$B$5),AI94,"")</f>
        <v/>
      </c>
      <c r="BQ94" s="17">
        <f>IF(AN94=1,IF(COUNTIFS($A$2:$A$201,$A94,$AF$2:$AF$201,"Y",$AN$2:$AN$201,1)&gt;0,"Y","N"),"")</f>
        <v/>
      </c>
      <c r="BR94" s="17">
        <f>IF(AND(AN94=1,AF94="Y"),IF(COUNTIFS($A$2:$A$201,$A94,$AF$2:$AF$201,"Y",$AN$2:$AN$201,1,$G$2:$G$201,"&lt;"&amp;G94)+COUNTIFS($A$2:$A$201,$A94,$AF$2:$AF$201,"Y",$AN$2:$AN$201,1,$G$2:$G$201,G94,$AM$2:$AM$201,"&lt;"&amp;AM94)=0,1,0),0)</f>
        <v/>
      </c>
      <c r="BS94" s="17">
        <f>IF(AN94=1,IFERROR(MATCH($A94,INDEX(Clay_Brands!$A$2:$FZ$601,0,Sync!$D$5),0),""),"")</f>
        <v/>
      </c>
      <c r="BT94" s="17">
        <f>IF(BS94="","",IFERROR(INDEX(Clay_Brands!$A$2:$FZ$601,BS94,Sync!$D$7)&amp;"",""))</f>
        <v/>
      </c>
      <c r="BU94" s="17">
        <f>IF(BT94="","",IFERROR(INDEX(Lists!$J$2:$J$15,MATCH(BT94,Lists!$I$2:$I$15,0)),""))</f>
        <v/>
      </c>
      <c r="BV94" s="17">
        <f>IF(BS94="","",IFERROR(INDEX(Clay_Brands!$A$2:$FZ$601,BS94,Sync!$D$17)&amp;"",""))</f>
        <v/>
      </c>
      <c r="BW94" s="23">
        <f>IF(BS94="","",IFERROR(N(INDEX(Clay_Brands!$A$2:$FZ$601,BS94,Sync!$D$16)),0))</f>
        <v/>
      </c>
    </row>
    <row r="95">
      <c r="G95" s="22" t="n"/>
      <c r="AL95" s="17">
        <f>IF(TRIM($A95)="","",IF(AND(LEFT($A95,6)="SAMPLE",Config!$B$19&lt;&gt;"Y"),"",IF(NOT(ISNUMBER(G95)),"call_date is blank or not a date",IF(Sync!$D$5="","Clay paste is empty or has no row_id column: paste the Clay export on Clay_Brands",IF(BS95="","row_id not found in the Clay paste: add the Clay row or fix the row_id",IF(AND(ISNUMBER(BU95),BU95&gt;=1,BU95&lt;=5),"Clay status is "&amp;BT95&amp;": set call_done or later",IF(AND(AP95=1,BV95&lt;&gt;BQ95),"Clay yes_in_principle should be "&amp;BQ95,IF(AND(AP95=1,BW95&lt;&gt;G95),"Clay call_date should be "&amp;TEXT(G95,"yyyy-mm-dd"),""))))))))</f>
        <v/>
      </c>
      <c r="AM95" s="17">
        <f>ROW()</f>
        <v/>
      </c>
      <c r="AN95" s="17">
        <f>IF(AND(TRIM($A95)&lt;&gt;"",ISNUMBER(G95)),IF(AND(LEFT($A95,6)="SAMPLE",Config!$B$19&lt;&gt;"Y"),0,1),0)</f>
        <v/>
      </c>
      <c r="AO95" s="17">
        <f>IF(AN95=1,IF(COUNTIFS($A$2:$A$201,$A95,$AN$2:$AN$201,1,$G$2:$G$201,"&lt;"&amp;G95)+COUNTIFS($A$2:$A$201,$A95,$AN$2:$AN$201,1,$G$2:$G$201,G95,$AM$2:$AM$201,"&lt;"&amp;AM95)=0,1,0),0)</f>
        <v/>
      </c>
      <c r="AP95" s="17">
        <f>IF(AN95=1,IF(COUNTIFS($A$2:$A$201,$A95,$AN$2:$AN$201,1,$G$2:$G$201,"&gt;"&amp;G95)+COUNTIFS($A$2:$A$201,$A95,$AN$2:$AN$201,1,$G$2:$G$201,G95,$AM$2:$AM$201,"&gt;"&amp;AM95)=0,1,0),0)</f>
        <v/>
      </c>
      <c r="AQ95" s="17">
        <f>IF(AND(AN95=1,N95="Y",MAX(N(R95),N(V95))&gt;=Config!$B$14),1,0)</f>
        <v/>
      </c>
      <c r="AR95" s="17">
        <f>IF(AQ95=1,IF(COUNTIFS($A$2:$A$201,$A95,$AQ$2:$AQ$201,1,$G$2:$G$201,"&lt;"&amp;G95)+COUNTIFS($A$2:$A$201,$A95,$AQ$2:$AQ$201,1,$G$2:$G$201,G95,$AM$2:$AM$201,"&lt;"&amp;AM95)=0,1,0),0)</f>
        <v/>
      </c>
      <c r="AS95" s="17">
        <f>IF(AND(AN95=1,N95="Y",ISNUMBER(R95)),IF(R95&gt;=Config!$B$14,1,0),0)</f>
        <v/>
      </c>
      <c r="AT95" s="17">
        <f>IF(AS95=1,IF(COUNTIFS($A$2:$A$201,$A95,$AS$2:$AS$201,1,$G$2:$G$201,"&lt;"&amp;G95)+COUNTIFS($A$2:$A$201,$A95,$AS$2:$AS$201,1,$G$2:$G$201,G95,$AM$2:$AM$201,"&lt;"&amp;AM95)=0,1,0),0)</f>
        <v/>
      </c>
      <c r="AU95" s="17">
        <f>IF(AND(AN95=1,N95&lt;&gt;"Y",MAX(N(R95),N(V95))&gt;=Config!$B$14),1,0)</f>
        <v/>
      </c>
      <c r="AV95" s="17">
        <f>IF(AU95=1,IF(COUNTIFS($A$2:$A$201,$A95,$AU$2:$AU$201,1,$G$2:$G$201,"&lt;"&amp;G95)+COUNTIFS($A$2:$A$201,$A95,$AU$2:$AU$201,1,$G$2:$G$201,G95,$AM$2:$AM$201,"&lt;"&amp;AM95)=0,1,0),0)</f>
        <v/>
      </c>
      <c r="AW95" s="17">
        <f>IF(AND(AN95=1,ISNUMBER(R95)),1,0)</f>
        <v/>
      </c>
      <c r="AX95" s="17">
        <f>IF(AW95=1,IF(COUNTIFS($A$2:$A$201,$A95,$AW$2:$AW$201,1,$G$2:$G$201,"&lt;"&amp;G95)+COUNTIFS($A$2:$A$201,$A95,$AW$2:$AW$201,1,$G$2:$G$201,G95,$AM$2:$AM$201,"&lt;"&amp;AM95)=0,1,0),0)</f>
        <v/>
      </c>
      <c r="AY95" s="17">
        <f>IF(AND(AX95=1,G95&lt;=Config!$B$6),R95,"")</f>
        <v/>
      </c>
      <c r="AZ95" s="17">
        <f>IF(AND(AX95=1,G95&lt;=Config!$B$7),R95,"")</f>
        <v/>
      </c>
      <c r="BA95" s="17">
        <f>IF(AND(AX95=1,G95&lt;=Config!$B$8),R95,"")</f>
        <v/>
      </c>
      <c r="BB95" s="17">
        <f>IF(AND(AX95=1,G95&lt;=Config!$B$5),R95,"")</f>
        <v/>
      </c>
      <c r="BC95" s="17">
        <f>IF(AND(AN95=1,ISNUMBER(V95)),1,0)</f>
        <v/>
      </c>
      <c r="BD95" s="17">
        <f>IF(BC95=1,IF(COUNTIFS($A$2:$A$201,$A95,$BC$2:$BC$201,1,$G$2:$G$201,"&lt;"&amp;G95)+COUNTIFS($A$2:$A$201,$A95,$BC$2:$BC$201,1,$G$2:$G$201,G95,$AM$2:$AM$201,"&lt;"&amp;AM95)=0,1,0),0)</f>
        <v/>
      </c>
      <c r="BE95" s="17">
        <f>IF(AND(BD95=1,G95&lt;=Config!$B$6),V95,"")</f>
        <v/>
      </c>
      <c r="BF95" s="17">
        <f>IF(AND(BD95=1,G95&lt;=Config!$B$7),V95,"")</f>
        <v/>
      </c>
      <c r="BG95" s="17">
        <f>IF(AND(BD95=1,G95&lt;=Config!$B$8),V95,"")</f>
        <v/>
      </c>
      <c r="BH95" s="17">
        <f>IF(AND(BD95=1,G95&lt;=Config!$B$5),V95,"")</f>
        <v/>
      </c>
      <c r="BI95" s="17">
        <f>IF(AND(AN95=1,ISNUMBER(J95)),1,0)</f>
        <v/>
      </c>
      <c r="BJ95" s="17">
        <f>IF(BI95=1,IF(COUNTIFS($A$2:$A$201,$A95,$BI$2:$BI$201,1,$G$2:$G$201,"&lt;"&amp;G95)+COUNTIFS($A$2:$A$201,$A95,$BI$2:$BI$201,1,$G$2:$G$201,G95,$AM$2:$AM$201,"&lt;"&amp;AM95)=0,1,0),0)</f>
        <v/>
      </c>
      <c r="BK95" s="17">
        <f>IF(AND(BJ95=1,G95&lt;=Config!$B$5),J95,"")</f>
        <v/>
      </c>
      <c r="BL95" s="17">
        <f>IF(AND(AN95=1,OR(AND(ISNUMBER(R95),TRIM(S95)=""),AND(ISNUMBER(V95),TRIM(W95)=""))),1,0)</f>
        <v/>
      </c>
      <c r="BM95" s="17">
        <f>IF(AN95=1,AB95&amp;"","")</f>
        <v/>
      </c>
      <c r="BN95" s="17">
        <f>IF(AN95=1,AC95&amp;"","")</f>
        <v/>
      </c>
      <c r="BO95" s="17">
        <f>IF(AN95=1,AD95&amp;"","")</f>
        <v/>
      </c>
      <c r="BP95" s="17">
        <f>IF(AND(AN95=1,ISNUMBER(AI95),G95&lt;=Config!$B$5),AI95,"")</f>
        <v/>
      </c>
      <c r="BQ95" s="17">
        <f>IF(AN95=1,IF(COUNTIFS($A$2:$A$201,$A95,$AF$2:$AF$201,"Y",$AN$2:$AN$201,1)&gt;0,"Y","N"),"")</f>
        <v/>
      </c>
      <c r="BR95" s="17">
        <f>IF(AND(AN95=1,AF95="Y"),IF(COUNTIFS($A$2:$A$201,$A95,$AF$2:$AF$201,"Y",$AN$2:$AN$201,1,$G$2:$G$201,"&lt;"&amp;G95)+COUNTIFS($A$2:$A$201,$A95,$AF$2:$AF$201,"Y",$AN$2:$AN$201,1,$G$2:$G$201,G95,$AM$2:$AM$201,"&lt;"&amp;AM95)=0,1,0),0)</f>
        <v/>
      </c>
      <c r="BS95" s="17">
        <f>IF(AN95=1,IFERROR(MATCH($A95,INDEX(Clay_Brands!$A$2:$FZ$601,0,Sync!$D$5),0),""),"")</f>
        <v/>
      </c>
      <c r="BT95" s="17">
        <f>IF(BS95="","",IFERROR(INDEX(Clay_Brands!$A$2:$FZ$601,BS95,Sync!$D$7)&amp;"",""))</f>
        <v/>
      </c>
      <c r="BU95" s="17">
        <f>IF(BT95="","",IFERROR(INDEX(Lists!$J$2:$J$15,MATCH(BT95,Lists!$I$2:$I$15,0)),""))</f>
        <v/>
      </c>
      <c r="BV95" s="17">
        <f>IF(BS95="","",IFERROR(INDEX(Clay_Brands!$A$2:$FZ$601,BS95,Sync!$D$17)&amp;"",""))</f>
        <v/>
      </c>
      <c r="BW95" s="23">
        <f>IF(BS95="","",IFERROR(N(INDEX(Clay_Brands!$A$2:$FZ$601,BS95,Sync!$D$16)),0))</f>
        <v/>
      </c>
    </row>
    <row r="96">
      <c r="G96" s="22" t="n"/>
      <c r="AL96" s="17">
        <f>IF(TRIM($A96)="","",IF(AND(LEFT($A96,6)="SAMPLE",Config!$B$19&lt;&gt;"Y"),"",IF(NOT(ISNUMBER(G96)),"call_date is blank or not a date",IF(Sync!$D$5="","Clay paste is empty or has no row_id column: paste the Clay export on Clay_Brands",IF(BS96="","row_id not found in the Clay paste: add the Clay row or fix the row_id",IF(AND(ISNUMBER(BU96),BU96&gt;=1,BU96&lt;=5),"Clay status is "&amp;BT96&amp;": set call_done or later",IF(AND(AP96=1,BV96&lt;&gt;BQ96),"Clay yes_in_principle should be "&amp;BQ96,IF(AND(AP96=1,BW96&lt;&gt;G96),"Clay call_date should be "&amp;TEXT(G96,"yyyy-mm-dd"),""))))))))</f>
        <v/>
      </c>
      <c r="AM96" s="17">
        <f>ROW()</f>
        <v/>
      </c>
      <c r="AN96" s="17">
        <f>IF(AND(TRIM($A96)&lt;&gt;"",ISNUMBER(G96)),IF(AND(LEFT($A96,6)="SAMPLE",Config!$B$19&lt;&gt;"Y"),0,1),0)</f>
        <v/>
      </c>
      <c r="AO96" s="17">
        <f>IF(AN96=1,IF(COUNTIFS($A$2:$A$201,$A96,$AN$2:$AN$201,1,$G$2:$G$201,"&lt;"&amp;G96)+COUNTIFS($A$2:$A$201,$A96,$AN$2:$AN$201,1,$G$2:$G$201,G96,$AM$2:$AM$201,"&lt;"&amp;AM96)=0,1,0),0)</f>
        <v/>
      </c>
      <c r="AP96" s="17">
        <f>IF(AN96=1,IF(COUNTIFS($A$2:$A$201,$A96,$AN$2:$AN$201,1,$G$2:$G$201,"&gt;"&amp;G96)+COUNTIFS($A$2:$A$201,$A96,$AN$2:$AN$201,1,$G$2:$G$201,G96,$AM$2:$AM$201,"&gt;"&amp;AM96)=0,1,0),0)</f>
        <v/>
      </c>
      <c r="AQ96" s="17">
        <f>IF(AND(AN96=1,N96="Y",MAX(N(R96),N(V96))&gt;=Config!$B$14),1,0)</f>
        <v/>
      </c>
      <c r="AR96" s="17">
        <f>IF(AQ96=1,IF(COUNTIFS($A$2:$A$201,$A96,$AQ$2:$AQ$201,1,$G$2:$G$201,"&lt;"&amp;G96)+COUNTIFS($A$2:$A$201,$A96,$AQ$2:$AQ$201,1,$G$2:$G$201,G96,$AM$2:$AM$201,"&lt;"&amp;AM96)=0,1,0),0)</f>
        <v/>
      </c>
      <c r="AS96" s="17">
        <f>IF(AND(AN96=1,N96="Y",ISNUMBER(R96)),IF(R96&gt;=Config!$B$14,1,0),0)</f>
        <v/>
      </c>
      <c r="AT96" s="17">
        <f>IF(AS96=1,IF(COUNTIFS($A$2:$A$201,$A96,$AS$2:$AS$201,1,$G$2:$G$201,"&lt;"&amp;G96)+COUNTIFS($A$2:$A$201,$A96,$AS$2:$AS$201,1,$G$2:$G$201,G96,$AM$2:$AM$201,"&lt;"&amp;AM96)=0,1,0),0)</f>
        <v/>
      </c>
      <c r="AU96" s="17">
        <f>IF(AND(AN96=1,N96&lt;&gt;"Y",MAX(N(R96),N(V96))&gt;=Config!$B$14),1,0)</f>
        <v/>
      </c>
      <c r="AV96" s="17">
        <f>IF(AU96=1,IF(COUNTIFS($A$2:$A$201,$A96,$AU$2:$AU$201,1,$G$2:$G$201,"&lt;"&amp;G96)+COUNTIFS($A$2:$A$201,$A96,$AU$2:$AU$201,1,$G$2:$G$201,G96,$AM$2:$AM$201,"&lt;"&amp;AM96)=0,1,0),0)</f>
        <v/>
      </c>
      <c r="AW96" s="17">
        <f>IF(AND(AN96=1,ISNUMBER(R96)),1,0)</f>
        <v/>
      </c>
      <c r="AX96" s="17">
        <f>IF(AW96=1,IF(COUNTIFS($A$2:$A$201,$A96,$AW$2:$AW$201,1,$G$2:$G$201,"&lt;"&amp;G96)+COUNTIFS($A$2:$A$201,$A96,$AW$2:$AW$201,1,$G$2:$G$201,G96,$AM$2:$AM$201,"&lt;"&amp;AM96)=0,1,0),0)</f>
        <v/>
      </c>
      <c r="AY96" s="17">
        <f>IF(AND(AX96=1,G96&lt;=Config!$B$6),R96,"")</f>
        <v/>
      </c>
      <c r="AZ96" s="17">
        <f>IF(AND(AX96=1,G96&lt;=Config!$B$7),R96,"")</f>
        <v/>
      </c>
      <c r="BA96" s="17">
        <f>IF(AND(AX96=1,G96&lt;=Config!$B$8),R96,"")</f>
        <v/>
      </c>
      <c r="BB96" s="17">
        <f>IF(AND(AX96=1,G96&lt;=Config!$B$5),R96,"")</f>
        <v/>
      </c>
      <c r="BC96" s="17">
        <f>IF(AND(AN96=1,ISNUMBER(V96)),1,0)</f>
        <v/>
      </c>
      <c r="BD96" s="17">
        <f>IF(BC96=1,IF(COUNTIFS($A$2:$A$201,$A96,$BC$2:$BC$201,1,$G$2:$G$201,"&lt;"&amp;G96)+COUNTIFS($A$2:$A$201,$A96,$BC$2:$BC$201,1,$G$2:$G$201,G96,$AM$2:$AM$201,"&lt;"&amp;AM96)=0,1,0),0)</f>
        <v/>
      </c>
      <c r="BE96" s="17">
        <f>IF(AND(BD96=1,G96&lt;=Config!$B$6),V96,"")</f>
        <v/>
      </c>
      <c r="BF96" s="17">
        <f>IF(AND(BD96=1,G96&lt;=Config!$B$7),V96,"")</f>
        <v/>
      </c>
      <c r="BG96" s="17">
        <f>IF(AND(BD96=1,G96&lt;=Config!$B$8),V96,"")</f>
        <v/>
      </c>
      <c r="BH96" s="17">
        <f>IF(AND(BD96=1,G96&lt;=Config!$B$5),V96,"")</f>
        <v/>
      </c>
      <c r="BI96" s="17">
        <f>IF(AND(AN96=1,ISNUMBER(J96)),1,0)</f>
        <v/>
      </c>
      <c r="BJ96" s="17">
        <f>IF(BI96=1,IF(COUNTIFS($A$2:$A$201,$A96,$BI$2:$BI$201,1,$G$2:$G$201,"&lt;"&amp;G96)+COUNTIFS($A$2:$A$201,$A96,$BI$2:$BI$201,1,$G$2:$G$201,G96,$AM$2:$AM$201,"&lt;"&amp;AM96)=0,1,0),0)</f>
        <v/>
      </c>
      <c r="BK96" s="17">
        <f>IF(AND(BJ96=1,G96&lt;=Config!$B$5),J96,"")</f>
        <v/>
      </c>
      <c r="BL96" s="17">
        <f>IF(AND(AN96=1,OR(AND(ISNUMBER(R96),TRIM(S96)=""),AND(ISNUMBER(V96),TRIM(W96)=""))),1,0)</f>
        <v/>
      </c>
      <c r="BM96" s="17">
        <f>IF(AN96=1,AB96&amp;"","")</f>
        <v/>
      </c>
      <c r="BN96" s="17">
        <f>IF(AN96=1,AC96&amp;"","")</f>
        <v/>
      </c>
      <c r="BO96" s="17">
        <f>IF(AN96=1,AD96&amp;"","")</f>
        <v/>
      </c>
      <c r="BP96" s="17">
        <f>IF(AND(AN96=1,ISNUMBER(AI96),G96&lt;=Config!$B$5),AI96,"")</f>
        <v/>
      </c>
      <c r="BQ96" s="17">
        <f>IF(AN96=1,IF(COUNTIFS($A$2:$A$201,$A96,$AF$2:$AF$201,"Y",$AN$2:$AN$201,1)&gt;0,"Y","N"),"")</f>
        <v/>
      </c>
      <c r="BR96" s="17">
        <f>IF(AND(AN96=1,AF96="Y"),IF(COUNTIFS($A$2:$A$201,$A96,$AF$2:$AF$201,"Y",$AN$2:$AN$201,1,$G$2:$G$201,"&lt;"&amp;G96)+COUNTIFS($A$2:$A$201,$A96,$AF$2:$AF$201,"Y",$AN$2:$AN$201,1,$G$2:$G$201,G96,$AM$2:$AM$201,"&lt;"&amp;AM96)=0,1,0),0)</f>
        <v/>
      </c>
      <c r="BS96" s="17">
        <f>IF(AN96=1,IFERROR(MATCH($A96,INDEX(Clay_Brands!$A$2:$FZ$601,0,Sync!$D$5),0),""),"")</f>
        <v/>
      </c>
      <c r="BT96" s="17">
        <f>IF(BS96="","",IFERROR(INDEX(Clay_Brands!$A$2:$FZ$601,BS96,Sync!$D$7)&amp;"",""))</f>
        <v/>
      </c>
      <c r="BU96" s="17">
        <f>IF(BT96="","",IFERROR(INDEX(Lists!$J$2:$J$15,MATCH(BT96,Lists!$I$2:$I$15,0)),""))</f>
        <v/>
      </c>
      <c r="BV96" s="17">
        <f>IF(BS96="","",IFERROR(INDEX(Clay_Brands!$A$2:$FZ$601,BS96,Sync!$D$17)&amp;"",""))</f>
        <v/>
      </c>
      <c r="BW96" s="23">
        <f>IF(BS96="","",IFERROR(N(INDEX(Clay_Brands!$A$2:$FZ$601,BS96,Sync!$D$16)),0))</f>
        <v/>
      </c>
    </row>
    <row r="97">
      <c r="G97" s="22" t="n"/>
      <c r="AL97" s="17">
        <f>IF(TRIM($A97)="","",IF(AND(LEFT($A97,6)="SAMPLE",Config!$B$19&lt;&gt;"Y"),"",IF(NOT(ISNUMBER(G97)),"call_date is blank or not a date",IF(Sync!$D$5="","Clay paste is empty or has no row_id column: paste the Clay export on Clay_Brands",IF(BS97="","row_id not found in the Clay paste: add the Clay row or fix the row_id",IF(AND(ISNUMBER(BU97),BU97&gt;=1,BU97&lt;=5),"Clay status is "&amp;BT97&amp;": set call_done or later",IF(AND(AP97=1,BV97&lt;&gt;BQ97),"Clay yes_in_principle should be "&amp;BQ97,IF(AND(AP97=1,BW97&lt;&gt;G97),"Clay call_date should be "&amp;TEXT(G97,"yyyy-mm-dd"),""))))))))</f>
        <v/>
      </c>
      <c r="AM97" s="17">
        <f>ROW()</f>
        <v/>
      </c>
      <c r="AN97" s="17">
        <f>IF(AND(TRIM($A97)&lt;&gt;"",ISNUMBER(G97)),IF(AND(LEFT($A97,6)="SAMPLE",Config!$B$19&lt;&gt;"Y"),0,1),0)</f>
        <v/>
      </c>
      <c r="AO97" s="17">
        <f>IF(AN97=1,IF(COUNTIFS($A$2:$A$201,$A97,$AN$2:$AN$201,1,$G$2:$G$201,"&lt;"&amp;G97)+COUNTIFS($A$2:$A$201,$A97,$AN$2:$AN$201,1,$G$2:$G$201,G97,$AM$2:$AM$201,"&lt;"&amp;AM97)=0,1,0),0)</f>
        <v/>
      </c>
      <c r="AP97" s="17">
        <f>IF(AN97=1,IF(COUNTIFS($A$2:$A$201,$A97,$AN$2:$AN$201,1,$G$2:$G$201,"&gt;"&amp;G97)+COUNTIFS($A$2:$A$201,$A97,$AN$2:$AN$201,1,$G$2:$G$201,G97,$AM$2:$AM$201,"&gt;"&amp;AM97)=0,1,0),0)</f>
        <v/>
      </c>
      <c r="AQ97" s="17">
        <f>IF(AND(AN97=1,N97="Y",MAX(N(R97),N(V97))&gt;=Config!$B$14),1,0)</f>
        <v/>
      </c>
      <c r="AR97" s="17">
        <f>IF(AQ97=1,IF(COUNTIFS($A$2:$A$201,$A97,$AQ$2:$AQ$201,1,$G$2:$G$201,"&lt;"&amp;G97)+COUNTIFS($A$2:$A$201,$A97,$AQ$2:$AQ$201,1,$G$2:$G$201,G97,$AM$2:$AM$201,"&lt;"&amp;AM97)=0,1,0),0)</f>
        <v/>
      </c>
      <c r="AS97" s="17">
        <f>IF(AND(AN97=1,N97="Y",ISNUMBER(R97)),IF(R97&gt;=Config!$B$14,1,0),0)</f>
        <v/>
      </c>
      <c r="AT97" s="17">
        <f>IF(AS97=1,IF(COUNTIFS($A$2:$A$201,$A97,$AS$2:$AS$201,1,$G$2:$G$201,"&lt;"&amp;G97)+COUNTIFS($A$2:$A$201,$A97,$AS$2:$AS$201,1,$G$2:$G$201,G97,$AM$2:$AM$201,"&lt;"&amp;AM97)=0,1,0),0)</f>
        <v/>
      </c>
      <c r="AU97" s="17">
        <f>IF(AND(AN97=1,N97&lt;&gt;"Y",MAX(N(R97),N(V97))&gt;=Config!$B$14),1,0)</f>
        <v/>
      </c>
      <c r="AV97" s="17">
        <f>IF(AU97=1,IF(COUNTIFS($A$2:$A$201,$A97,$AU$2:$AU$201,1,$G$2:$G$201,"&lt;"&amp;G97)+COUNTIFS($A$2:$A$201,$A97,$AU$2:$AU$201,1,$G$2:$G$201,G97,$AM$2:$AM$201,"&lt;"&amp;AM97)=0,1,0),0)</f>
        <v/>
      </c>
      <c r="AW97" s="17">
        <f>IF(AND(AN97=1,ISNUMBER(R97)),1,0)</f>
        <v/>
      </c>
      <c r="AX97" s="17">
        <f>IF(AW97=1,IF(COUNTIFS($A$2:$A$201,$A97,$AW$2:$AW$201,1,$G$2:$G$201,"&lt;"&amp;G97)+COUNTIFS($A$2:$A$201,$A97,$AW$2:$AW$201,1,$G$2:$G$201,G97,$AM$2:$AM$201,"&lt;"&amp;AM97)=0,1,0),0)</f>
        <v/>
      </c>
      <c r="AY97" s="17">
        <f>IF(AND(AX97=1,G97&lt;=Config!$B$6),R97,"")</f>
        <v/>
      </c>
      <c r="AZ97" s="17">
        <f>IF(AND(AX97=1,G97&lt;=Config!$B$7),R97,"")</f>
        <v/>
      </c>
      <c r="BA97" s="17">
        <f>IF(AND(AX97=1,G97&lt;=Config!$B$8),R97,"")</f>
        <v/>
      </c>
      <c r="BB97" s="17">
        <f>IF(AND(AX97=1,G97&lt;=Config!$B$5),R97,"")</f>
        <v/>
      </c>
      <c r="BC97" s="17">
        <f>IF(AND(AN97=1,ISNUMBER(V97)),1,0)</f>
        <v/>
      </c>
      <c r="BD97" s="17">
        <f>IF(BC97=1,IF(COUNTIFS($A$2:$A$201,$A97,$BC$2:$BC$201,1,$G$2:$G$201,"&lt;"&amp;G97)+COUNTIFS($A$2:$A$201,$A97,$BC$2:$BC$201,1,$G$2:$G$201,G97,$AM$2:$AM$201,"&lt;"&amp;AM97)=0,1,0),0)</f>
        <v/>
      </c>
      <c r="BE97" s="17">
        <f>IF(AND(BD97=1,G97&lt;=Config!$B$6),V97,"")</f>
        <v/>
      </c>
      <c r="BF97" s="17">
        <f>IF(AND(BD97=1,G97&lt;=Config!$B$7),V97,"")</f>
        <v/>
      </c>
      <c r="BG97" s="17">
        <f>IF(AND(BD97=1,G97&lt;=Config!$B$8),V97,"")</f>
        <v/>
      </c>
      <c r="BH97" s="17">
        <f>IF(AND(BD97=1,G97&lt;=Config!$B$5),V97,"")</f>
        <v/>
      </c>
      <c r="BI97" s="17">
        <f>IF(AND(AN97=1,ISNUMBER(J97)),1,0)</f>
        <v/>
      </c>
      <c r="BJ97" s="17">
        <f>IF(BI97=1,IF(COUNTIFS($A$2:$A$201,$A97,$BI$2:$BI$201,1,$G$2:$G$201,"&lt;"&amp;G97)+COUNTIFS($A$2:$A$201,$A97,$BI$2:$BI$201,1,$G$2:$G$201,G97,$AM$2:$AM$201,"&lt;"&amp;AM97)=0,1,0),0)</f>
        <v/>
      </c>
      <c r="BK97" s="17">
        <f>IF(AND(BJ97=1,G97&lt;=Config!$B$5),J97,"")</f>
        <v/>
      </c>
      <c r="BL97" s="17">
        <f>IF(AND(AN97=1,OR(AND(ISNUMBER(R97),TRIM(S97)=""),AND(ISNUMBER(V97),TRIM(W97)=""))),1,0)</f>
        <v/>
      </c>
      <c r="BM97" s="17">
        <f>IF(AN97=1,AB97&amp;"","")</f>
        <v/>
      </c>
      <c r="BN97" s="17">
        <f>IF(AN97=1,AC97&amp;"","")</f>
        <v/>
      </c>
      <c r="BO97" s="17">
        <f>IF(AN97=1,AD97&amp;"","")</f>
        <v/>
      </c>
      <c r="BP97" s="17">
        <f>IF(AND(AN97=1,ISNUMBER(AI97),G97&lt;=Config!$B$5),AI97,"")</f>
        <v/>
      </c>
      <c r="BQ97" s="17">
        <f>IF(AN97=1,IF(COUNTIFS($A$2:$A$201,$A97,$AF$2:$AF$201,"Y",$AN$2:$AN$201,1)&gt;0,"Y","N"),"")</f>
        <v/>
      </c>
      <c r="BR97" s="17">
        <f>IF(AND(AN97=1,AF97="Y"),IF(COUNTIFS($A$2:$A$201,$A97,$AF$2:$AF$201,"Y",$AN$2:$AN$201,1,$G$2:$G$201,"&lt;"&amp;G97)+COUNTIFS($A$2:$A$201,$A97,$AF$2:$AF$201,"Y",$AN$2:$AN$201,1,$G$2:$G$201,G97,$AM$2:$AM$201,"&lt;"&amp;AM97)=0,1,0),0)</f>
        <v/>
      </c>
      <c r="BS97" s="17">
        <f>IF(AN97=1,IFERROR(MATCH($A97,INDEX(Clay_Brands!$A$2:$FZ$601,0,Sync!$D$5),0),""),"")</f>
        <v/>
      </c>
      <c r="BT97" s="17">
        <f>IF(BS97="","",IFERROR(INDEX(Clay_Brands!$A$2:$FZ$601,BS97,Sync!$D$7)&amp;"",""))</f>
        <v/>
      </c>
      <c r="BU97" s="17">
        <f>IF(BT97="","",IFERROR(INDEX(Lists!$J$2:$J$15,MATCH(BT97,Lists!$I$2:$I$15,0)),""))</f>
        <v/>
      </c>
      <c r="BV97" s="17">
        <f>IF(BS97="","",IFERROR(INDEX(Clay_Brands!$A$2:$FZ$601,BS97,Sync!$D$17)&amp;"",""))</f>
        <v/>
      </c>
      <c r="BW97" s="23">
        <f>IF(BS97="","",IFERROR(N(INDEX(Clay_Brands!$A$2:$FZ$601,BS97,Sync!$D$16)),0))</f>
        <v/>
      </c>
    </row>
    <row r="98">
      <c r="G98" s="22" t="n"/>
      <c r="AL98" s="17">
        <f>IF(TRIM($A98)="","",IF(AND(LEFT($A98,6)="SAMPLE",Config!$B$19&lt;&gt;"Y"),"",IF(NOT(ISNUMBER(G98)),"call_date is blank or not a date",IF(Sync!$D$5="","Clay paste is empty or has no row_id column: paste the Clay export on Clay_Brands",IF(BS98="","row_id not found in the Clay paste: add the Clay row or fix the row_id",IF(AND(ISNUMBER(BU98),BU98&gt;=1,BU98&lt;=5),"Clay status is "&amp;BT98&amp;": set call_done or later",IF(AND(AP98=1,BV98&lt;&gt;BQ98),"Clay yes_in_principle should be "&amp;BQ98,IF(AND(AP98=1,BW98&lt;&gt;G98),"Clay call_date should be "&amp;TEXT(G98,"yyyy-mm-dd"),""))))))))</f>
        <v/>
      </c>
      <c r="AM98" s="17">
        <f>ROW()</f>
        <v/>
      </c>
      <c r="AN98" s="17">
        <f>IF(AND(TRIM($A98)&lt;&gt;"",ISNUMBER(G98)),IF(AND(LEFT($A98,6)="SAMPLE",Config!$B$19&lt;&gt;"Y"),0,1),0)</f>
        <v/>
      </c>
      <c r="AO98" s="17">
        <f>IF(AN98=1,IF(COUNTIFS($A$2:$A$201,$A98,$AN$2:$AN$201,1,$G$2:$G$201,"&lt;"&amp;G98)+COUNTIFS($A$2:$A$201,$A98,$AN$2:$AN$201,1,$G$2:$G$201,G98,$AM$2:$AM$201,"&lt;"&amp;AM98)=0,1,0),0)</f>
        <v/>
      </c>
      <c r="AP98" s="17">
        <f>IF(AN98=1,IF(COUNTIFS($A$2:$A$201,$A98,$AN$2:$AN$201,1,$G$2:$G$201,"&gt;"&amp;G98)+COUNTIFS($A$2:$A$201,$A98,$AN$2:$AN$201,1,$G$2:$G$201,G98,$AM$2:$AM$201,"&gt;"&amp;AM98)=0,1,0),0)</f>
        <v/>
      </c>
      <c r="AQ98" s="17">
        <f>IF(AND(AN98=1,N98="Y",MAX(N(R98),N(V98))&gt;=Config!$B$14),1,0)</f>
        <v/>
      </c>
      <c r="AR98" s="17">
        <f>IF(AQ98=1,IF(COUNTIFS($A$2:$A$201,$A98,$AQ$2:$AQ$201,1,$G$2:$G$201,"&lt;"&amp;G98)+COUNTIFS($A$2:$A$201,$A98,$AQ$2:$AQ$201,1,$G$2:$G$201,G98,$AM$2:$AM$201,"&lt;"&amp;AM98)=0,1,0),0)</f>
        <v/>
      </c>
      <c r="AS98" s="17">
        <f>IF(AND(AN98=1,N98="Y",ISNUMBER(R98)),IF(R98&gt;=Config!$B$14,1,0),0)</f>
        <v/>
      </c>
      <c r="AT98" s="17">
        <f>IF(AS98=1,IF(COUNTIFS($A$2:$A$201,$A98,$AS$2:$AS$201,1,$G$2:$G$201,"&lt;"&amp;G98)+COUNTIFS($A$2:$A$201,$A98,$AS$2:$AS$201,1,$G$2:$G$201,G98,$AM$2:$AM$201,"&lt;"&amp;AM98)=0,1,0),0)</f>
        <v/>
      </c>
      <c r="AU98" s="17">
        <f>IF(AND(AN98=1,N98&lt;&gt;"Y",MAX(N(R98),N(V98))&gt;=Config!$B$14),1,0)</f>
        <v/>
      </c>
      <c r="AV98" s="17">
        <f>IF(AU98=1,IF(COUNTIFS($A$2:$A$201,$A98,$AU$2:$AU$201,1,$G$2:$G$201,"&lt;"&amp;G98)+COUNTIFS($A$2:$A$201,$A98,$AU$2:$AU$201,1,$G$2:$G$201,G98,$AM$2:$AM$201,"&lt;"&amp;AM98)=0,1,0),0)</f>
        <v/>
      </c>
      <c r="AW98" s="17">
        <f>IF(AND(AN98=1,ISNUMBER(R98)),1,0)</f>
        <v/>
      </c>
      <c r="AX98" s="17">
        <f>IF(AW98=1,IF(COUNTIFS($A$2:$A$201,$A98,$AW$2:$AW$201,1,$G$2:$G$201,"&lt;"&amp;G98)+COUNTIFS($A$2:$A$201,$A98,$AW$2:$AW$201,1,$G$2:$G$201,G98,$AM$2:$AM$201,"&lt;"&amp;AM98)=0,1,0),0)</f>
        <v/>
      </c>
      <c r="AY98" s="17">
        <f>IF(AND(AX98=1,G98&lt;=Config!$B$6),R98,"")</f>
        <v/>
      </c>
      <c r="AZ98" s="17">
        <f>IF(AND(AX98=1,G98&lt;=Config!$B$7),R98,"")</f>
        <v/>
      </c>
      <c r="BA98" s="17">
        <f>IF(AND(AX98=1,G98&lt;=Config!$B$8),R98,"")</f>
        <v/>
      </c>
      <c r="BB98" s="17">
        <f>IF(AND(AX98=1,G98&lt;=Config!$B$5),R98,"")</f>
        <v/>
      </c>
      <c r="BC98" s="17">
        <f>IF(AND(AN98=1,ISNUMBER(V98)),1,0)</f>
        <v/>
      </c>
      <c r="BD98" s="17">
        <f>IF(BC98=1,IF(COUNTIFS($A$2:$A$201,$A98,$BC$2:$BC$201,1,$G$2:$G$201,"&lt;"&amp;G98)+COUNTIFS($A$2:$A$201,$A98,$BC$2:$BC$201,1,$G$2:$G$201,G98,$AM$2:$AM$201,"&lt;"&amp;AM98)=0,1,0),0)</f>
        <v/>
      </c>
      <c r="BE98" s="17">
        <f>IF(AND(BD98=1,G98&lt;=Config!$B$6),V98,"")</f>
        <v/>
      </c>
      <c r="BF98" s="17">
        <f>IF(AND(BD98=1,G98&lt;=Config!$B$7),V98,"")</f>
        <v/>
      </c>
      <c r="BG98" s="17">
        <f>IF(AND(BD98=1,G98&lt;=Config!$B$8),V98,"")</f>
        <v/>
      </c>
      <c r="BH98" s="17">
        <f>IF(AND(BD98=1,G98&lt;=Config!$B$5),V98,"")</f>
        <v/>
      </c>
      <c r="BI98" s="17">
        <f>IF(AND(AN98=1,ISNUMBER(J98)),1,0)</f>
        <v/>
      </c>
      <c r="BJ98" s="17">
        <f>IF(BI98=1,IF(COUNTIFS($A$2:$A$201,$A98,$BI$2:$BI$201,1,$G$2:$G$201,"&lt;"&amp;G98)+COUNTIFS($A$2:$A$201,$A98,$BI$2:$BI$201,1,$G$2:$G$201,G98,$AM$2:$AM$201,"&lt;"&amp;AM98)=0,1,0),0)</f>
        <v/>
      </c>
      <c r="BK98" s="17">
        <f>IF(AND(BJ98=1,G98&lt;=Config!$B$5),J98,"")</f>
        <v/>
      </c>
      <c r="BL98" s="17">
        <f>IF(AND(AN98=1,OR(AND(ISNUMBER(R98),TRIM(S98)=""),AND(ISNUMBER(V98),TRIM(W98)=""))),1,0)</f>
        <v/>
      </c>
      <c r="BM98" s="17">
        <f>IF(AN98=1,AB98&amp;"","")</f>
        <v/>
      </c>
      <c r="BN98" s="17">
        <f>IF(AN98=1,AC98&amp;"","")</f>
        <v/>
      </c>
      <c r="BO98" s="17">
        <f>IF(AN98=1,AD98&amp;"","")</f>
        <v/>
      </c>
      <c r="BP98" s="17">
        <f>IF(AND(AN98=1,ISNUMBER(AI98),G98&lt;=Config!$B$5),AI98,"")</f>
        <v/>
      </c>
      <c r="BQ98" s="17">
        <f>IF(AN98=1,IF(COUNTIFS($A$2:$A$201,$A98,$AF$2:$AF$201,"Y",$AN$2:$AN$201,1)&gt;0,"Y","N"),"")</f>
        <v/>
      </c>
      <c r="BR98" s="17">
        <f>IF(AND(AN98=1,AF98="Y"),IF(COUNTIFS($A$2:$A$201,$A98,$AF$2:$AF$201,"Y",$AN$2:$AN$201,1,$G$2:$G$201,"&lt;"&amp;G98)+COUNTIFS($A$2:$A$201,$A98,$AF$2:$AF$201,"Y",$AN$2:$AN$201,1,$G$2:$G$201,G98,$AM$2:$AM$201,"&lt;"&amp;AM98)=0,1,0),0)</f>
        <v/>
      </c>
      <c r="BS98" s="17">
        <f>IF(AN98=1,IFERROR(MATCH($A98,INDEX(Clay_Brands!$A$2:$FZ$601,0,Sync!$D$5),0),""),"")</f>
        <v/>
      </c>
      <c r="BT98" s="17">
        <f>IF(BS98="","",IFERROR(INDEX(Clay_Brands!$A$2:$FZ$601,BS98,Sync!$D$7)&amp;"",""))</f>
        <v/>
      </c>
      <c r="BU98" s="17">
        <f>IF(BT98="","",IFERROR(INDEX(Lists!$J$2:$J$15,MATCH(BT98,Lists!$I$2:$I$15,0)),""))</f>
        <v/>
      </c>
      <c r="BV98" s="17">
        <f>IF(BS98="","",IFERROR(INDEX(Clay_Brands!$A$2:$FZ$601,BS98,Sync!$D$17)&amp;"",""))</f>
        <v/>
      </c>
      <c r="BW98" s="23">
        <f>IF(BS98="","",IFERROR(N(INDEX(Clay_Brands!$A$2:$FZ$601,BS98,Sync!$D$16)),0))</f>
        <v/>
      </c>
    </row>
    <row r="99">
      <c r="G99" s="22" t="n"/>
      <c r="AL99" s="17">
        <f>IF(TRIM($A99)="","",IF(AND(LEFT($A99,6)="SAMPLE",Config!$B$19&lt;&gt;"Y"),"",IF(NOT(ISNUMBER(G99)),"call_date is blank or not a date",IF(Sync!$D$5="","Clay paste is empty or has no row_id column: paste the Clay export on Clay_Brands",IF(BS99="","row_id not found in the Clay paste: add the Clay row or fix the row_id",IF(AND(ISNUMBER(BU99),BU99&gt;=1,BU99&lt;=5),"Clay status is "&amp;BT99&amp;": set call_done or later",IF(AND(AP99=1,BV99&lt;&gt;BQ99),"Clay yes_in_principle should be "&amp;BQ99,IF(AND(AP99=1,BW99&lt;&gt;G99),"Clay call_date should be "&amp;TEXT(G99,"yyyy-mm-dd"),""))))))))</f>
        <v/>
      </c>
      <c r="AM99" s="17">
        <f>ROW()</f>
        <v/>
      </c>
      <c r="AN99" s="17">
        <f>IF(AND(TRIM($A99)&lt;&gt;"",ISNUMBER(G99)),IF(AND(LEFT($A99,6)="SAMPLE",Config!$B$19&lt;&gt;"Y"),0,1),0)</f>
        <v/>
      </c>
      <c r="AO99" s="17">
        <f>IF(AN99=1,IF(COUNTIFS($A$2:$A$201,$A99,$AN$2:$AN$201,1,$G$2:$G$201,"&lt;"&amp;G99)+COUNTIFS($A$2:$A$201,$A99,$AN$2:$AN$201,1,$G$2:$G$201,G99,$AM$2:$AM$201,"&lt;"&amp;AM99)=0,1,0),0)</f>
        <v/>
      </c>
      <c r="AP99" s="17">
        <f>IF(AN99=1,IF(COUNTIFS($A$2:$A$201,$A99,$AN$2:$AN$201,1,$G$2:$G$201,"&gt;"&amp;G99)+COUNTIFS($A$2:$A$201,$A99,$AN$2:$AN$201,1,$G$2:$G$201,G99,$AM$2:$AM$201,"&gt;"&amp;AM99)=0,1,0),0)</f>
        <v/>
      </c>
      <c r="AQ99" s="17">
        <f>IF(AND(AN99=1,N99="Y",MAX(N(R99),N(V99))&gt;=Config!$B$14),1,0)</f>
        <v/>
      </c>
      <c r="AR99" s="17">
        <f>IF(AQ99=1,IF(COUNTIFS($A$2:$A$201,$A99,$AQ$2:$AQ$201,1,$G$2:$G$201,"&lt;"&amp;G99)+COUNTIFS($A$2:$A$201,$A99,$AQ$2:$AQ$201,1,$G$2:$G$201,G99,$AM$2:$AM$201,"&lt;"&amp;AM99)=0,1,0),0)</f>
        <v/>
      </c>
      <c r="AS99" s="17">
        <f>IF(AND(AN99=1,N99="Y",ISNUMBER(R99)),IF(R99&gt;=Config!$B$14,1,0),0)</f>
        <v/>
      </c>
      <c r="AT99" s="17">
        <f>IF(AS99=1,IF(COUNTIFS($A$2:$A$201,$A99,$AS$2:$AS$201,1,$G$2:$G$201,"&lt;"&amp;G99)+COUNTIFS($A$2:$A$201,$A99,$AS$2:$AS$201,1,$G$2:$G$201,G99,$AM$2:$AM$201,"&lt;"&amp;AM99)=0,1,0),0)</f>
        <v/>
      </c>
      <c r="AU99" s="17">
        <f>IF(AND(AN99=1,N99&lt;&gt;"Y",MAX(N(R99),N(V99))&gt;=Config!$B$14),1,0)</f>
        <v/>
      </c>
      <c r="AV99" s="17">
        <f>IF(AU99=1,IF(COUNTIFS($A$2:$A$201,$A99,$AU$2:$AU$201,1,$G$2:$G$201,"&lt;"&amp;G99)+COUNTIFS($A$2:$A$201,$A99,$AU$2:$AU$201,1,$G$2:$G$201,G99,$AM$2:$AM$201,"&lt;"&amp;AM99)=0,1,0),0)</f>
        <v/>
      </c>
      <c r="AW99" s="17">
        <f>IF(AND(AN99=1,ISNUMBER(R99)),1,0)</f>
        <v/>
      </c>
      <c r="AX99" s="17">
        <f>IF(AW99=1,IF(COUNTIFS($A$2:$A$201,$A99,$AW$2:$AW$201,1,$G$2:$G$201,"&lt;"&amp;G99)+COUNTIFS($A$2:$A$201,$A99,$AW$2:$AW$201,1,$G$2:$G$201,G99,$AM$2:$AM$201,"&lt;"&amp;AM99)=0,1,0),0)</f>
        <v/>
      </c>
      <c r="AY99" s="17">
        <f>IF(AND(AX99=1,G99&lt;=Config!$B$6),R99,"")</f>
        <v/>
      </c>
      <c r="AZ99" s="17">
        <f>IF(AND(AX99=1,G99&lt;=Config!$B$7),R99,"")</f>
        <v/>
      </c>
      <c r="BA99" s="17">
        <f>IF(AND(AX99=1,G99&lt;=Config!$B$8),R99,"")</f>
        <v/>
      </c>
      <c r="BB99" s="17">
        <f>IF(AND(AX99=1,G99&lt;=Config!$B$5),R99,"")</f>
        <v/>
      </c>
      <c r="BC99" s="17">
        <f>IF(AND(AN99=1,ISNUMBER(V99)),1,0)</f>
        <v/>
      </c>
      <c r="BD99" s="17">
        <f>IF(BC99=1,IF(COUNTIFS($A$2:$A$201,$A99,$BC$2:$BC$201,1,$G$2:$G$201,"&lt;"&amp;G99)+COUNTIFS($A$2:$A$201,$A99,$BC$2:$BC$201,1,$G$2:$G$201,G99,$AM$2:$AM$201,"&lt;"&amp;AM99)=0,1,0),0)</f>
        <v/>
      </c>
      <c r="BE99" s="17">
        <f>IF(AND(BD99=1,G99&lt;=Config!$B$6),V99,"")</f>
        <v/>
      </c>
      <c r="BF99" s="17">
        <f>IF(AND(BD99=1,G99&lt;=Config!$B$7),V99,"")</f>
        <v/>
      </c>
      <c r="BG99" s="17">
        <f>IF(AND(BD99=1,G99&lt;=Config!$B$8),V99,"")</f>
        <v/>
      </c>
      <c r="BH99" s="17">
        <f>IF(AND(BD99=1,G99&lt;=Config!$B$5),V99,"")</f>
        <v/>
      </c>
      <c r="BI99" s="17">
        <f>IF(AND(AN99=1,ISNUMBER(J99)),1,0)</f>
        <v/>
      </c>
      <c r="BJ99" s="17">
        <f>IF(BI99=1,IF(COUNTIFS($A$2:$A$201,$A99,$BI$2:$BI$201,1,$G$2:$G$201,"&lt;"&amp;G99)+COUNTIFS($A$2:$A$201,$A99,$BI$2:$BI$201,1,$G$2:$G$201,G99,$AM$2:$AM$201,"&lt;"&amp;AM99)=0,1,0),0)</f>
        <v/>
      </c>
      <c r="BK99" s="17">
        <f>IF(AND(BJ99=1,G99&lt;=Config!$B$5),J99,"")</f>
        <v/>
      </c>
      <c r="BL99" s="17">
        <f>IF(AND(AN99=1,OR(AND(ISNUMBER(R99),TRIM(S99)=""),AND(ISNUMBER(V99),TRIM(W99)=""))),1,0)</f>
        <v/>
      </c>
      <c r="BM99" s="17">
        <f>IF(AN99=1,AB99&amp;"","")</f>
        <v/>
      </c>
      <c r="BN99" s="17">
        <f>IF(AN99=1,AC99&amp;"","")</f>
        <v/>
      </c>
      <c r="BO99" s="17">
        <f>IF(AN99=1,AD99&amp;"","")</f>
        <v/>
      </c>
      <c r="BP99" s="17">
        <f>IF(AND(AN99=1,ISNUMBER(AI99),G99&lt;=Config!$B$5),AI99,"")</f>
        <v/>
      </c>
      <c r="BQ99" s="17">
        <f>IF(AN99=1,IF(COUNTIFS($A$2:$A$201,$A99,$AF$2:$AF$201,"Y",$AN$2:$AN$201,1)&gt;0,"Y","N"),"")</f>
        <v/>
      </c>
      <c r="BR99" s="17">
        <f>IF(AND(AN99=1,AF99="Y"),IF(COUNTIFS($A$2:$A$201,$A99,$AF$2:$AF$201,"Y",$AN$2:$AN$201,1,$G$2:$G$201,"&lt;"&amp;G99)+COUNTIFS($A$2:$A$201,$A99,$AF$2:$AF$201,"Y",$AN$2:$AN$201,1,$G$2:$G$201,G99,$AM$2:$AM$201,"&lt;"&amp;AM99)=0,1,0),0)</f>
        <v/>
      </c>
      <c r="BS99" s="17">
        <f>IF(AN99=1,IFERROR(MATCH($A99,INDEX(Clay_Brands!$A$2:$FZ$601,0,Sync!$D$5),0),""),"")</f>
        <v/>
      </c>
      <c r="BT99" s="17">
        <f>IF(BS99="","",IFERROR(INDEX(Clay_Brands!$A$2:$FZ$601,BS99,Sync!$D$7)&amp;"",""))</f>
        <v/>
      </c>
      <c r="BU99" s="17">
        <f>IF(BT99="","",IFERROR(INDEX(Lists!$J$2:$J$15,MATCH(BT99,Lists!$I$2:$I$15,0)),""))</f>
        <v/>
      </c>
      <c r="BV99" s="17">
        <f>IF(BS99="","",IFERROR(INDEX(Clay_Brands!$A$2:$FZ$601,BS99,Sync!$D$17)&amp;"",""))</f>
        <v/>
      </c>
      <c r="BW99" s="23">
        <f>IF(BS99="","",IFERROR(N(INDEX(Clay_Brands!$A$2:$FZ$601,BS99,Sync!$D$16)),0))</f>
        <v/>
      </c>
    </row>
    <row r="100">
      <c r="G100" s="22" t="n"/>
      <c r="AL100" s="17">
        <f>IF(TRIM($A100)="","",IF(AND(LEFT($A100,6)="SAMPLE",Config!$B$19&lt;&gt;"Y"),"",IF(NOT(ISNUMBER(G100)),"call_date is blank or not a date",IF(Sync!$D$5="","Clay paste is empty or has no row_id column: paste the Clay export on Clay_Brands",IF(BS100="","row_id not found in the Clay paste: add the Clay row or fix the row_id",IF(AND(ISNUMBER(BU100),BU100&gt;=1,BU100&lt;=5),"Clay status is "&amp;BT100&amp;": set call_done or later",IF(AND(AP100=1,BV100&lt;&gt;BQ100),"Clay yes_in_principle should be "&amp;BQ100,IF(AND(AP100=1,BW100&lt;&gt;G100),"Clay call_date should be "&amp;TEXT(G100,"yyyy-mm-dd"),""))))))))</f>
        <v/>
      </c>
      <c r="AM100" s="17">
        <f>ROW()</f>
        <v/>
      </c>
      <c r="AN100" s="17">
        <f>IF(AND(TRIM($A100)&lt;&gt;"",ISNUMBER(G100)),IF(AND(LEFT($A100,6)="SAMPLE",Config!$B$19&lt;&gt;"Y"),0,1),0)</f>
        <v/>
      </c>
      <c r="AO100" s="17">
        <f>IF(AN100=1,IF(COUNTIFS($A$2:$A$201,$A100,$AN$2:$AN$201,1,$G$2:$G$201,"&lt;"&amp;G100)+COUNTIFS($A$2:$A$201,$A100,$AN$2:$AN$201,1,$G$2:$G$201,G100,$AM$2:$AM$201,"&lt;"&amp;AM100)=0,1,0),0)</f>
        <v/>
      </c>
      <c r="AP100" s="17">
        <f>IF(AN100=1,IF(COUNTIFS($A$2:$A$201,$A100,$AN$2:$AN$201,1,$G$2:$G$201,"&gt;"&amp;G100)+COUNTIFS($A$2:$A$201,$A100,$AN$2:$AN$201,1,$G$2:$G$201,G100,$AM$2:$AM$201,"&gt;"&amp;AM100)=0,1,0),0)</f>
        <v/>
      </c>
      <c r="AQ100" s="17">
        <f>IF(AND(AN100=1,N100="Y",MAX(N(R100),N(V100))&gt;=Config!$B$14),1,0)</f>
        <v/>
      </c>
      <c r="AR100" s="17">
        <f>IF(AQ100=1,IF(COUNTIFS($A$2:$A$201,$A100,$AQ$2:$AQ$201,1,$G$2:$G$201,"&lt;"&amp;G100)+COUNTIFS($A$2:$A$201,$A100,$AQ$2:$AQ$201,1,$G$2:$G$201,G100,$AM$2:$AM$201,"&lt;"&amp;AM100)=0,1,0),0)</f>
        <v/>
      </c>
      <c r="AS100" s="17">
        <f>IF(AND(AN100=1,N100="Y",ISNUMBER(R100)),IF(R100&gt;=Config!$B$14,1,0),0)</f>
        <v/>
      </c>
      <c r="AT100" s="17">
        <f>IF(AS100=1,IF(COUNTIFS($A$2:$A$201,$A100,$AS$2:$AS$201,1,$G$2:$G$201,"&lt;"&amp;G100)+COUNTIFS($A$2:$A$201,$A100,$AS$2:$AS$201,1,$G$2:$G$201,G100,$AM$2:$AM$201,"&lt;"&amp;AM100)=0,1,0),0)</f>
        <v/>
      </c>
      <c r="AU100" s="17">
        <f>IF(AND(AN100=1,N100&lt;&gt;"Y",MAX(N(R100),N(V100))&gt;=Config!$B$14),1,0)</f>
        <v/>
      </c>
      <c r="AV100" s="17">
        <f>IF(AU100=1,IF(COUNTIFS($A$2:$A$201,$A100,$AU$2:$AU$201,1,$G$2:$G$201,"&lt;"&amp;G100)+COUNTIFS($A$2:$A$201,$A100,$AU$2:$AU$201,1,$G$2:$G$201,G100,$AM$2:$AM$201,"&lt;"&amp;AM100)=0,1,0),0)</f>
        <v/>
      </c>
      <c r="AW100" s="17">
        <f>IF(AND(AN100=1,ISNUMBER(R100)),1,0)</f>
        <v/>
      </c>
      <c r="AX100" s="17">
        <f>IF(AW100=1,IF(COUNTIFS($A$2:$A$201,$A100,$AW$2:$AW$201,1,$G$2:$G$201,"&lt;"&amp;G100)+COUNTIFS($A$2:$A$201,$A100,$AW$2:$AW$201,1,$G$2:$G$201,G100,$AM$2:$AM$201,"&lt;"&amp;AM100)=0,1,0),0)</f>
        <v/>
      </c>
      <c r="AY100" s="17">
        <f>IF(AND(AX100=1,G100&lt;=Config!$B$6),R100,"")</f>
        <v/>
      </c>
      <c r="AZ100" s="17">
        <f>IF(AND(AX100=1,G100&lt;=Config!$B$7),R100,"")</f>
        <v/>
      </c>
      <c r="BA100" s="17">
        <f>IF(AND(AX100=1,G100&lt;=Config!$B$8),R100,"")</f>
        <v/>
      </c>
      <c r="BB100" s="17">
        <f>IF(AND(AX100=1,G100&lt;=Config!$B$5),R100,"")</f>
        <v/>
      </c>
      <c r="BC100" s="17">
        <f>IF(AND(AN100=1,ISNUMBER(V100)),1,0)</f>
        <v/>
      </c>
      <c r="BD100" s="17">
        <f>IF(BC100=1,IF(COUNTIFS($A$2:$A$201,$A100,$BC$2:$BC$201,1,$G$2:$G$201,"&lt;"&amp;G100)+COUNTIFS($A$2:$A$201,$A100,$BC$2:$BC$201,1,$G$2:$G$201,G100,$AM$2:$AM$201,"&lt;"&amp;AM100)=0,1,0),0)</f>
        <v/>
      </c>
      <c r="BE100" s="17">
        <f>IF(AND(BD100=1,G100&lt;=Config!$B$6),V100,"")</f>
        <v/>
      </c>
      <c r="BF100" s="17">
        <f>IF(AND(BD100=1,G100&lt;=Config!$B$7),V100,"")</f>
        <v/>
      </c>
      <c r="BG100" s="17">
        <f>IF(AND(BD100=1,G100&lt;=Config!$B$8),V100,"")</f>
        <v/>
      </c>
      <c r="BH100" s="17">
        <f>IF(AND(BD100=1,G100&lt;=Config!$B$5),V100,"")</f>
        <v/>
      </c>
      <c r="BI100" s="17">
        <f>IF(AND(AN100=1,ISNUMBER(J100)),1,0)</f>
        <v/>
      </c>
      <c r="BJ100" s="17">
        <f>IF(BI100=1,IF(COUNTIFS($A$2:$A$201,$A100,$BI$2:$BI$201,1,$G$2:$G$201,"&lt;"&amp;G100)+COUNTIFS($A$2:$A$201,$A100,$BI$2:$BI$201,1,$G$2:$G$201,G100,$AM$2:$AM$201,"&lt;"&amp;AM100)=0,1,0),0)</f>
        <v/>
      </c>
      <c r="BK100" s="17">
        <f>IF(AND(BJ100=1,G100&lt;=Config!$B$5),J100,"")</f>
        <v/>
      </c>
      <c r="BL100" s="17">
        <f>IF(AND(AN100=1,OR(AND(ISNUMBER(R100),TRIM(S100)=""),AND(ISNUMBER(V100),TRIM(W100)=""))),1,0)</f>
        <v/>
      </c>
      <c r="BM100" s="17">
        <f>IF(AN100=1,AB100&amp;"","")</f>
        <v/>
      </c>
      <c r="BN100" s="17">
        <f>IF(AN100=1,AC100&amp;"","")</f>
        <v/>
      </c>
      <c r="BO100" s="17">
        <f>IF(AN100=1,AD100&amp;"","")</f>
        <v/>
      </c>
      <c r="BP100" s="17">
        <f>IF(AND(AN100=1,ISNUMBER(AI100),G100&lt;=Config!$B$5),AI100,"")</f>
        <v/>
      </c>
      <c r="BQ100" s="17">
        <f>IF(AN100=1,IF(COUNTIFS($A$2:$A$201,$A100,$AF$2:$AF$201,"Y",$AN$2:$AN$201,1)&gt;0,"Y","N"),"")</f>
        <v/>
      </c>
      <c r="BR100" s="17">
        <f>IF(AND(AN100=1,AF100="Y"),IF(COUNTIFS($A$2:$A$201,$A100,$AF$2:$AF$201,"Y",$AN$2:$AN$201,1,$G$2:$G$201,"&lt;"&amp;G100)+COUNTIFS($A$2:$A$201,$A100,$AF$2:$AF$201,"Y",$AN$2:$AN$201,1,$G$2:$G$201,G100,$AM$2:$AM$201,"&lt;"&amp;AM100)=0,1,0),0)</f>
        <v/>
      </c>
      <c r="BS100" s="17">
        <f>IF(AN100=1,IFERROR(MATCH($A100,INDEX(Clay_Brands!$A$2:$FZ$601,0,Sync!$D$5),0),""),"")</f>
        <v/>
      </c>
      <c r="BT100" s="17">
        <f>IF(BS100="","",IFERROR(INDEX(Clay_Brands!$A$2:$FZ$601,BS100,Sync!$D$7)&amp;"",""))</f>
        <v/>
      </c>
      <c r="BU100" s="17">
        <f>IF(BT100="","",IFERROR(INDEX(Lists!$J$2:$J$15,MATCH(BT100,Lists!$I$2:$I$15,0)),""))</f>
        <v/>
      </c>
      <c r="BV100" s="17">
        <f>IF(BS100="","",IFERROR(INDEX(Clay_Brands!$A$2:$FZ$601,BS100,Sync!$D$17)&amp;"",""))</f>
        <v/>
      </c>
      <c r="BW100" s="23">
        <f>IF(BS100="","",IFERROR(N(INDEX(Clay_Brands!$A$2:$FZ$601,BS100,Sync!$D$16)),0))</f>
        <v/>
      </c>
    </row>
    <row r="101">
      <c r="G101" s="22" t="n"/>
      <c r="AL101" s="17">
        <f>IF(TRIM($A101)="","",IF(AND(LEFT($A101,6)="SAMPLE",Config!$B$19&lt;&gt;"Y"),"",IF(NOT(ISNUMBER(G101)),"call_date is blank or not a date",IF(Sync!$D$5="","Clay paste is empty or has no row_id column: paste the Clay export on Clay_Brands",IF(BS101="","row_id not found in the Clay paste: add the Clay row or fix the row_id",IF(AND(ISNUMBER(BU101),BU101&gt;=1,BU101&lt;=5),"Clay status is "&amp;BT101&amp;": set call_done or later",IF(AND(AP101=1,BV101&lt;&gt;BQ101),"Clay yes_in_principle should be "&amp;BQ101,IF(AND(AP101=1,BW101&lt;&gt;G101),"Clay call_date should be "&amp;TEXT(G101,"yyyy-mm-dd"),""))))))))</f>
        <v/>
      </c>
      <c r="AM101" s="17">
        <f>ROW()</f>
        <v/>
      </c>
      <c r="AN101" s="17">
        <f>IF(AND(TRIM($A101)&lt;&gt;"",ISNUMBER(G101)),IF(AND(LEFT($A101,6)="SAMPLE",Config!$B$19&lt;&gt;"Y"),0,1),0)</f>
        <v/>
      </c>
      <c r="AO101" s="17">
        <f>IF(AN101=1,IF(COUNTIFS($A$2:$A$201,$A101,$AN$2:$AN$201,1,$G$2:$G$201,"&lt;"&amp;G101)+COUNTIFS($A$2:$A$201,$A101,$AN$2:$AN$201,1,$G$2:$G$201,G101,$AM$2:$AM$201,"&lt;"&amp;AM101)=0,1,0),0)</f>
        <v/>
      </c>
      <c r="AP101" s="17">
        <f>IF(AN101=1,IF(COUNTIFS($A$2:$A$201,$A101,$AN$2:$AN$201,1,$G$2:$G$201,"&gt;"&amp;G101)+COUNTIFS($A$2:$A$201,$A101,$AN$2:$AN$201,1,$G$2:$G$201,G101,$AM$2:$AM$201,"&gt;"&amp;AM101)=0,1,0),0)</f>
        <v/>
      </c>
      <c r="AQ101" s="17">
        <f>IF(AND(AN101=1,N101="Y",MAX(N(R101),N(V101))&gt;=Config!$B$14),1,0)</f>
        <v/>
      </c>
      <c r="AR101" s="17">
        <f>IF(AQ101=1,IF(COUNTIFS($A$2:$A$201,$A101,$AQ$2:$AQ$201,1,$G$2:$G$201,"&lt;"&amp;G101)+COUNTIFS($A$2:$A$201,$A101,$AQ$2:$AQ$201,1,$G$2:$G$201,G101,$AM$2:$AM$201,"&lt;"&amp;AM101)=0,1,0),0)</f>
        <v/>
      </c>
      <c r="AS101" s="17">
        <f>IF(AND(AN101=1,N101="Y",ISNUMBER(R101)),IF(R101&gt;=Config!$B$14,1,0),0)</f>
        <v/>
      </c>
      <c r="AT101" s="17">
        <f>IF(AS101=1,IF(COUNTIFS($A$2:$A$201,$A101,$AS$2:$AS$201,1,$G$2:$G$201,"&lt;"&amp;G101)+COUNTIFS($A$2:$A$201,$A101,$AS$2:$AS$201,1,$G$2:$G$201,G101,$AM$2:$AM$201,"&lt;"&amp;AM101)=0,1,0),0)</f>
        <v/>
      </c>
      <c r="AU101" s="17">
        <f>IF(AND(AN101=1,N101&lt;&gt;"Y",MAX(N(R101),N(V101))&gt;=Config!$B$14),1,0)</f>
        <v/>
      </c>
      <c r="AV101" s="17">
        <f>IF(AU101=1,IF(COUNTIFS($A$2:$A$201,$A101,$AU$2:$AU$201,1,$G$2:$G$201,"&lt;"&amp;G101)+COUNTIFS($A$2:$A$201,$A101,$AU$2:$AU$201,1,$G$2:$G$201,G101,$AM$2:$AM$201,"&lt;"&amp;AM101)=0,1,0),0)</f>
        <v/>
      </c>
      <c r="AW101" s="17">
        <f>IF(AND(AN101=1,ISNUMBER(R101)),1,0)</f>
        <v/>
      </c>
      <c r="AX101" s="17">
        <f>IF(AW101=1,IF(COUNTIFS($A$2:$A$201,$A101,$AW$2:$AW$201,1,$G$2:$G$201,"&lt;"&amp;G101)+COUNTIFS($A$2:$A$201,$A101,$AW$2:$AW$201,1,$G$2:$G$201,G101,$AM$2:$AM$201,"&lt;"&amp;AM101)=0,1,0),0)</f>
        <v/>
      </c>
      <c r="AY101" s="17">
        <f>IF(AND(AX101=1,G101&lt;=Config!$B$6),R101,"")</f>
        <v/>
      </c>
      <c r="AZ101" s="17">
        <f>IF(AND(AX101=1,G101&lt;=Config!$B$7),R101,"")</f>
        <v/>
      </c>
      <c r="BA101" s="17">
        <f>IF(AND(AX101=1,G101&lt;=Config!$B$8),R101,"")</f>
        <v/>
      </c>
      <c r="BB101" s="17">
        <f>IF(AND(AX101=1,G101&lt;=Config!$B$5),R101,"")</f>
        <v/>
      </c>
      <c r="BC101" s="17">
        <f>IF(AND(AN101=1,ISNUMBER(V101)),1,0)</f>
        <v/>
      </c>
      <c r="BD101" s="17">
        <f>IF(BC101=1,IF(COUNTIFS($A$2:$A$201,$A101,$BC$2:$BC$201,1,$G$2:$G$201,"&lt;"&amp;G101)+COUNTIFS($A$2:$A$201,$A101,$BC$2:$BC$201,1,$G$2:$G$201,G101,$AM$2:$AM$201,"&lt;"&amp;AM101)=0,1,0),0)</f>
        <v/>
      </c>
      <c r="BE101" s="17">
        <f>IF(AND(BD101=1,G101&lt;=Config!$B$6),V101,"")</f>
        <v/>
      </c>
      <c r="BF101" s="17">
        <f>IF(AND(BD101=1,G101&lt;=Config!$B$7),V101,"")</f>
        <v/>
      </c>
      <c r="BG101" s="17">
        <f>IF(AND(BD101=1,G101&lt;=Config!$B$8),V101,"")</f>
        <v/>
      </c>
      <c r="BH101" s="17">
        <f>IF(AND(BD101=1,G101&lt;=Config!$B$5),V101,"")</f>
        <v/>
      </c>
      <c r="BI101" s="17">
        <f>IF(AND(AN101=1,ISNUMBER(J101)),1,0)</f>
        <v/>
      </c>
      <c r="BJ101" s="17">
        <f>IF(BI101=1,IF(COUNTIFS($A$2:$A$201,$A101,$BI$2:$BI$201,1,$G$2:$G$201,"&lt;"&amp;G101)+COUNTIFS($A$2:$A$201,$A101,$BI$2:$BI$201,1,$G$2:$G$201,G101,$AM$2:$AM$201,"&lt;"&amp;AM101)=0,1,0),0)</f>
        <v/>
      </c>
      <c r="BK101" s="17">
        <f>IF(AND(BJ101=1,G101&lt;=Config!$B$5),J101,"")</f>
        <v/>
      </c>
      <c r="BL101" s="17">
        <f>IF(AND(AN101=1,OR(AND(ISNUMBER(R101),TRIM(S101)=""),AND(ISNUMBER(V101),TRIM(W101)=""))),1,0)</f>
        <v/>
      </c>
      <c r="BM101" s="17">
        <f>IF(AN101=1,AB101&amp;"","")</f>
        <v/>
      </c>
      <c r="BN101" s="17">
        <f>IF(AN101=1,AC101&amp;"","")</f>
        <v/>
      </c>
      <c r="BO101" s="17">
        <f>IF(AN101=1,AD101&amp;"","")</f>
        <v/>
      </c>
      <c r="BP101" s="17">
        <f>IF(AND(AN101=1,ISNUMBER(AI101),G101&lt;=Config!$B$5),AI101,"")</f>
        <v/>
      </c>
      <c r="BQ101" s="17">
        <f>IF(AN101=1,IF(COUNTIFS($A$2:$A$201,$A101,$AF$2:$AF$201,"Y",$AN$2:$AN$201,1)&gt;0,"Y","N"),"")</f>
        <v/>
      </c>
      <c r="BR101" s="17">
        <f>IF(AND(AN101=1,AF101="Y"),IF(COUNTIFS($A$2:$A$201,$A101,$AF$2:$AF$201,"Y",$AN$2:$AN$201,1,$G$2:$G$201,"&lt;"&amp;G101)+COUNTIFS($A$2:$A$201,$A101,$AF$2:$AF$201,"Y",$AN$2:$AN$201,1,$G$2:$G$201,G101,$AM$2:$AM$201,"&lt;"&amp;AM101)=0,1,0),0)</f>
        <v/>
      </c>
      <c r="BS101" s="17">
        <f>IF(AN101=1,IFERROR(MATCH($A101,INDEX(Clay_Brands!$A$2:$FZ$601,0,Sync!$D$5),0),""),"")</f>
        <v/>
      </c>
      <c r="BT101" s="17">
        <f>IF(BS101="","",IFERROR(INDEX(Clay_Brands!$A$2:$FZ$601,BS101,Sync!$D$7)&amp;"",""))</f>
        <v/>
      </c>
      <c r="BU101" s="17">
        <f>IF(BT101="","",IFERROR(INDEX(Lists!$J$2:$J$15,MATCH(BT101,Lists!$I$2:$I$15,0)),""))</f>
        <v/>
      </c>
      <c r="BV101" s="17">
        <f>IF(BS101="","",IFERROR(INDEX(Clay_Brands!$A$2:$FZ$601,BS101,Sync!$D$17)&amp;"",""))</f>
        <v/>
      </c>
      <c r="BW101" s="23">
        <f>IF(BS101="","",IFERROR(N(INDEX(Clay_Brands!$A$2:$FZ$601,BS101,Sync!$D$16)),0))</f>
        <v/>
      </c>
    </row>
    <row r="102">
      <c r="G102" s="22" t="n"/>
      <c r="AL102" s="17">
        <f>IF(TRIM($A102)="","",IF(AND(LEFT($A102,6)="SAMPLE",Config!$B$19&lt;&gt;"Y"),"",IF(NOT(ISNUMBER(G102)),"call_date is blank or not a date",IF(Sync!$D$5="","Clay paste is empty or has no row_id column: paste the Clay export on Clay_Brands",IF(BS102="","row_id not found in the Clay paste: add the Clay row or fix the row_id",IF(AND(ISNUMBER(BU102),BU102&gt;=1,BU102&lt;=5),"Clay status is "&amp;BT102&amp;": set call_done or later",IF(AND(AP102=1,BV102&lt;&gt;BQ102),"Clay yes_in_principle should be "&amp;BQ102,IF(AND(AP102=1,BW102&lt;&gt;G102),"Clay call_date should be "&amp;TEXT(G102,"yyyy-mm-dd"),""))))))))</f>
        <v/>
      </c>
      <c r="AM102" s="17">
        <f>ROW()</f>
        <v/>
      </c>
      <c r="AN102" s="17">
        <f>IF(AND(TRIM($A102)&lt;&gt;"",ISNUMBER(G102)),IF(AND(LEFT($A102,6)="SAMPLE",Config!$B$19&lt;&gt;"Y"),0,1),0)</f>
        <v/>
      </c>
      <c r="AO102" s="17">
        <f>IF(AN102=1,IF(COUNTIFS($A$2:$A$201,$A102,$AN$2:$AN$201,1,$G$2:$G$201,"&lt;"&amp;G102)+COUNTIFS($A$2:$A$201,$A102,$AN$2:$AN$201,1,$G$2:$G$201,G102,$AM$2:$AM$201,"&lt;"&amp;AM102)=0,1,0),0)</f>
        <v/>
      </c>
      <c r="AP102" s="17">
        <f>IF(AN102=1,IF(COUNTIFS($A$2:$A$201,$A102,$AN$2:$AN$201,1,$G$2:$G$201,"&gt;"&amp;G102)+COUNTIFS($A$2:$A$201,$A102,$AN$2:$AN$201,1,$G$2:$G$201,G102,$AM$2:$AM$201,"&gt;"&amp;AM102)=0,1,0),0)</f>
        <v/>
      </c>
      <c r="AQ102" s="17">
        <f>IF(AND(AN102=1,N102="Y",MAX(N(R102),N(V102))&gt;=Config!$B$14),1,0)</f>
        <v/>
      </c>
      <c r="AR102" s="17">
        <f>IF(AQ102=1,IF(COUNTIFS($A$2:$A$201,$A102,$AQ$2:$AQ$201,1,$G$2:$G$201,"&lt;"&amp;G102)+COUNTIFS($A$2:$A$201,$A102,$AQ$2:$AQ$201,1,$G$2:$G$201,G102,$AM$2:$AM$201,"&lt;"&amp;AM102)=0,1,0),0)</f>
        <v/>
      </c>
      <c r="AS102" s="17">
        <f>IF(AND(AN102=1,N102="Y",ISNUMBER(R102)),IF(R102&gt;=Config!$B$14,1,0),0)</f>
        <v/>
      </c>
      <c r="AT102" s="17">
        <f>IF(AS102=1,IF(COUNTIFS($A$2:$A$201,$A102,$AS$2:$AS$201,1,$G$2:$G$201,"&lt;"&amp;G102)+COUNTIFS($A$2:$A$201,$A102,$AS$2:$AS$201,1,$G$2:$G$201,G102,$AM$2:$AM$201,"&lt;"&amp;AM102)=0,1,0),0)</f>
        <v/>
      </c>
      <c r="AU102" s="17">
        <f>IF(AND(AN102=1,N102&lt;&gt;"Y",MAX(N(R102),N(V102))&gt;=Config!$B$14),1,0)</f>
        <v/>
      </c>
      <c r="AV102" s="17">
        <f>IF(AU102=1,IF(COUNTIFS($A$2:$A$201,$A102,$AU$2:$AU$201,1,$G$2:$G$201,"&lt;"&amp;G102)+COUNTIFS($A$2:$A$201,$A102,$AU$2:$AU$201,1,$G$2:$G$201,G102,$AM$2:$AM$201,"&lt;"&amp;AM102)=0,1,0),0)</f>
        <v/>
      </c>
      <c r="AW102" s="17">
        <f>IF(AND(AN102=1,ISNUMBER(R102)),1,0)</f>
        <v/>
      </c>
      <c r="AX102" s="17">
        <f>IF(AW102=1,IF(COUNTIFS($A$2:$A$201,$A102,$AW$2:$AW$201,1,$G$2:$G$201,"&lt;"&amp;G102)+COUNTIFS($A$2:$A$201,$A102,$AW$2:$AW$201,1,$G$2:$G$201,G102,$AM$2:$AM$201,"&lt;"&amp;AM102)=0,1,0),0)</f>
        <v/>
      </c>
      <c r="AY102" s="17">
        <f>IF(AND(AX102=1,G102&lt;=Config!$B$6),R102,"")</f>
        <v/>
      </c>
      <c r="AZ102" s="17">
        <f>IF(AND(AX102=1,G102&lt;=Config!$B$7),R102,"")</f>
        <v/>
      </c>
      <c r="BA102" s="17">
        <f>IF(AND(AX102=1,G102&lt;=Config!$B$8),R102,"")</f>
        <v/>
      </c>
      <c r="BB102" s="17">
        <f>IF(AND(AX102=1,G102&lt;=Config!$B$5),R102,"")</f>
        <v/>
      </c>
      <c r="BC102" s="17">
        <f>IF(AND(AN102=1,ISNUMBER(V102)),1,0)</f>
        <v/>
      </c>
      <c r="BD102" s="17">
        <f>IF(BC102=1,IF(COUNTIFS($A$2:$A$201,$A102,$BC$2:$BC$201,1,$G$2:$G$201,"&lt;"&amp;G102)+COUNTIFS($A$2:$A$201,$A102,$BC$2:$BC$201,1,$G$2:$G$201,G102,$AM$2:$AM$201,"&lt;"&amp;AM102)=0,1,0),0)</f>
        <v/>
      </c>
      <c r="BE102" s="17">
        <f>IF(AND(BD102=1,G102&lt;=Config!$B$6),V102,"")</f>
        <v/>
      </c>
      <c r="BF102" s="17">
        <f>IF(AND(BD102=1,G102&lt;=Config!$B$7),V102,"")</f>
        <v/>
      </c>
      <c r="BG102" s="17">
        <f>IF(AND(BD102=1,G102&lt;=Config!$B$8),V102,"")</f>
        <v/>
      </c>
      <c r="BH102" s="17">
        <f>IF(AND(BD102=1,G102&lt;=Config!$B$5),V102,"")</f>
        <v/>
      </c>
      <c r="BI102" s="17">
        <f>IF(AND(AN102=1,ISNUMBER(J102)),1,0)</f>
        <v/>
      </c>
      <c r="BJ102" s="17">
        <f>IF(BI102=1,IF(COUNTIFS($A$2:$A$201,$A102,$BI$2:$BI$201,1,$G$2:$G$201,"&lt;"&amp;G102)+COUNTIFS($A$2:$A$201,$A102,$BI$2:$BI$201,1,$G$2:$G$201,G102,$AM$2:$AM$201,"&lt;"&amp;AM102)=0,1,0),0)</f>
        <v/>
      </c>
      <c r="BK102" s="17">
        <f>IF(AND(BJ102=1,G102&lt;=Config!$B$5),J102,"")</f>
        <v/>
      </c>
      <c r="BL102" s="17">
        <f>IF(AND(AN102=1,OR(AND(ISNUMBER(R102),TRIM(S102)=""),AND(ISNUMBER(V102),TRIM(W102)=""))),1,0)</f>
        <v/>
      </c>
      <c r="BM102" s="17">
        <f>IF(AN102=1,AB102&amp;"","")</f>
        <v/>
      </c>
      <c r="BN102" s="17">
        <f>IF(AN102=1,AC102&amp;"","")</f>
        <v/>
      </c>
      <c r="BO102" s="17">
        <f>IF(AN102=1,AD102&amp;"","")</f>
        <v/>
      </c>
      <c r="BP102" s="17">
        <f>IF(AND(AN102=1,ISNUMBER(AI102),G102&lt;=Config!$B$5),AI102,"")</f>
        <v/>
      </c>
      <c r="BQ102" s="17">
        <f>IF(AN102=1,IF(COUNTIFS($A$2:$A$201,$A102,$AF$2:$AF$201,"Y",$AN$2:$AN$201,1)&gt;0,"Y","N"),"")</f>
        <v/>
      </c>
      <c r="BR102" s="17">
        <f>IF(AND(AN102=1,AF102="Y"),IF(COUNTIFS($A$2:$A$201,$A102,$AF$2:$AF$201,"Y",$AN$2:$AN$201,1,$G$2:$G$201,"&lt;"&amp;G102)+COUNTIFS($A$2:$A$201,$A102,$AF$2:$AF$201,"Y",$AN$2:$AN$201,1,$G$2:$G$201,G102,$AM$2:$AM$201,"&lt;"&amp;AM102)=0,1,0),0)</f>
        <v/>
      </c>
      <c r="BS102" s="17">
        <f>IF(AN102=1,IFERROR(MATCH($A102,INDEX(Clay_Brands!$A$2:$FZ$601,0,Sync!$D$5),0),""),"")</f>
        <v/>
      </c>
      <c r="BT102" s="17">
        <f>IF(BS102="","",IFERROR(INDEX(Clay_Brands!$A$2:$FZ$601,BS102,Sync!$D$7)&amp;"",""))</f>
        <v/>
      </c>
      <c r="BU102" s="17">
        <f>IF(BT102="","",IFERROR(INDEX(Lists!$J$2:$J$15,MATCH(BT102,Lists!$I$2:$I$15,0)),""))</f>
        <v/>
      </c>
      <c r="BV102" s="17">
        <f>IF(BS102="","",IFERROR(INDEX(Clay_Brands!$A$2:$FZ$601,BS102,Sync!$D$17)&amp;"",""))</f>
        <v/>
      </c>
      <c r="BW102" s="23">
        <f>IF(BS102="","",IFERROR(N(INDEX(Clay_Brands!$A$2:$FZ$601,BS102,Sync!$D$16)),0))</f>
        <v/>
      </c>
    </row>
    <row r="103">
      <c r="G103" s="22" t="n"/>
      <c r="AL103" s="17">
        <f>IF(TRIM($A103)="","",IF(AND(LEFT($A103,6)="SAMPLE",Config!$B$19&lt;&gt;"Y"),"",IF(NOT(ISNUMBER(G103)),"call_date is blank or not a date",IF(Sync!$D$5="","Clay paste is empty or has no row_id column: paste the Clay export on Clay_Brands",IF(BS103="","row_id not found in the Clay paste: add the Clay row or fix the row_id",IF(AND(ISNUMBER(BU103),BU103&gt;=1,BU103&lt;=5),"Clay status is "&amp;BT103&amp;": set call_done or later",IF(AND(AP103=1,BV103&lt;&gt;BQ103),"Clay yes_in_principle should be "&amp;BQ103,IF(AND(AP103=1,BW103&lt;&gt;G103),"Clay call_date should be "&amp;TEXT(G103,"yyyy-mm-dd"),""))))))))</f>
        <v/>
      </c>
      <c r="AM103" s="17">
        <f>ROW()</f>
        <v/>
      </c>
      <c r="AN103" s="17">
        <f>IF(AND(TRIM($A103)&lt;&gt;"",ISNUMBER(G103)),IF(AND(LEFT($A103,6)="SAMPLE",Config!$B$19&lt;&gt;"Y"),0,1),0)</f>
        <v/>
      </c>
      <c r="AO103" s="17">
        <f>IF(AN103=1,IF(COUNTIFS($A$2:$A$201,$A103,$AN$2:$AN$201,1,$G$2:$G$201,"&lt;"&amp;G103)+COUNTIFS($A$2:$A$201,$A103,$AN$2:$AN$201,1,$G$2:$G$201,G103,$AM$2:$AM$201,"&lt;"&amp;AM103)=0,1,0),0)</f>
        <v/>
      </c>
      <c r="AP103" s="17">
        <f>IF(AN103=1,IF(COUNTIFS($A$2:$A$201,$A103,$AN$2:$AN$201,1,$G$2:$G$201,"&gt;"&amp;G103)+COUNTIFS($A$2:$A$201,$A103,$AN$2:$AN$201,1,$G$2:$G$201,G103,$AM$2:$AM$201,"&gt;"&amp;AM103)=0,1,0),0)</f>
        <v/>
      </c>
      <c r="AQ103" s="17">
        <f>IF(AND(AN103=1,N103="Y",MAX(N(R103),N(V103))&gt;=Config!$B$14),1,0)</f>
        <v/>
      </c>
      <c r="AR103" s="17">
        <f>IF(AQ103=1,IF(COUNTIFS($A$2:$A$201,$A103,$AQ$2:$AQ$201,1,$G$2:$G$201,"&lt;"&amp;G103)+COUNTIFS($A$2:$A$201,$A103,$AQ$2:$AQ$201,1,$G$2:$G$201,G103,$AM$2:$AM$201,"&lt;"&amp;AM103)=0,1,0),0)</f>
        <v/>
      </c>
      <c r="AS103" s="17">
        <f>IF(AND(AN103=1,N103="Y",ISNUMBER(R103)),IF(R103&gt;=Config!$B$14,1,0),0)</f>
        <v/>
      </c>
      <c r="AT103" s="17">
        <f>IF(AS103=1,IF(COUNTIFS($A$2:$A$201,$A103,$AS$2:$AS$201,1,$G$2:$G$201,"&lt;"&amp;G103)+COUNTIFS($A$2:$A$201,$A103,$AS$2:$AS$201,1,$G$2:$G$201,G103,$AM$2:$AM$201,"&lt;"&amp;AM103)=0,1,0),0)</f>
        <v/>
      </c>
      <c r="AU103" s="17">
        <f>IF(AND(AN103=1,N103&lt;&gt;"Y",MAX(N(R103),N(V103))&gt;=Config!$B$14),1,0)</f>
        <v/>
      </c>
      <c r="AV103" s="17">
        <f>IF(AU103=1,IF(COUNTIFS($A$2:$A$201,$A103,$AU$2:$AU$201,1,$G$2:$G$201,"&lt;"&amp;G103)+COUNTIFS($A$2:$A$201,$A103,$AU$2:$AU$201,1,$G$2:$G$201,G103,$AM$2:$AM$201,"&lt;"&amp;AM103)=0,1,0),0)</f>
        <v/>
      </c>
      <c r="AW103" s="17">
        <f>IF(AND(AN103=1,ISNUMBER(R103)),1,0)</f>
        <v/>
      </c>
      <c r="AX103" s="17">
        <f>IF(AW103=1,IF(COUNTIFS($A$2:$A$201,$A103,$AW$2:$AW$201,1,$G$2:$G$201,"&lt;"&amp;G103)+COUNTIFS($A$2:$A$201,$A103,$AW$2:$AW$201,1,$G$2:$G$201,G103,$AM$2:$AM$201,"&lt;"&amp;AM103)=0,1,0),0)</f>
        <v/>
      </c>
      <c r="AY103" s="17">
        <f>IF(AND(AX103=1,G103&lt;=Config!$B$6),R103,"")</f>
        <v/>
      </c>
      <c r="AZ103" s="17">
        <f>IF(AND(AX103=1,G103&lt;=Config!$B$7),R103,"")</f>
        <v/>
      </c>
      <c r="BA103" s="17">
        <f>IF(AND(AX103=1,G103&lt;=Config!$B$8),R103,"")</f>
        <v/>
      </c>
      <c r="BB103" s="17">
        <f>IF(AND(AX103=1,G103&lt;=Config!$B$5),R103,"")</f>
        <v/>
      </c>
      <c r="BC103" s="17">
        <f>IF(AND(AN103=1,ISNUMBER(V103)),1,0)</f>
        <v/>
      </c>
      <c r="BD103" s="17">
        <f>IF(BC103=1,IF(COUNTIFS($A$2:$A$201,$A103,$BC$2:$BC$201,1,$G$2:$G$201,"&lt;"&amp;G103)+COUNTIFS($A$2:$A$201,$A103,$BC$2:$BC$201,1,$G$2:$G$201,G103,$AM$2:$AM$201,"&lt;"&amp;AM103)=0,1,0),0)</f>
        <v/>
      </c>
      <c r="BE103" s="17">
        <f>IF(AND(BD103=1,G103&lt;=Config!$B$6),V103,"")</f>
        <v/>
      </c>
      <c r="BF103" s="17">
        <f>IF(AND(BD103=1,G103&lt;=Config!$B$7),V103,"")</f>
        <v/>
      </c>
      <c r="BG103" s="17">
        <f>IF(AND(BD103=1,G103&lt;=Config!$B$8),V103,"")</f>
        <v/>
      </c>
      <c r="BH103" s="17">
        <f>IF(AND(BD103=1,G103&lt;=Config!$B$5),V103,"")</f>
        <v/>
      </c>
      <c r="BI103" s="17">
        <f>IF(AND(AN103=1,ISNUMBER(J103)),1,0)</f>
        <v/>
      </c>
      <c r="BJ103" s="17">
        <f>IF(BI103=1,IF(COUNTIFS($A$2:$A$201,$A103,$BI$2:$BI$201,1,$G$2:$G$201,"&lt;"&amp;G103)+COUNTIFS($A$2:$A$201,$A103,$BI$2:$BI$201,1,$G$2:$G$201,G103,$AM$2:$AM$201,"&lt;"&amp;AM103)=0,1,0),0)</f>
        <v/>
      </c>
      <c r="BK103" s="17">
        <f>IF(AND(BJ103=1,G103&lt;=Config!$B$5),J103,"")</f>
        <v/>
      </c>
      <c r="BL103" s="17">
        <f>IF(AND(AN103=1,OR(AND(ISNUMBER(R103),TRIM(S103)=""),AND(ISNUMBER(V103),TRIM(W103)=""))),1,0)</f>
        <v/>
      </c>
      <c r="BM103" s="17">
        <f>IF(AN103=1,AB103&amp;"","")</f>
        <v/>
      </c>
      <c r="BN103" s="17">
        <f>IF(AN103=1,AC103&amp;"","")</f>
        <v/>
      </c>
      <c r="BO103" s="17">
        <f>IF(AN103=1,AD103&amp;"","")</f>
        <v/>
      </c>
      <c r="BP103" s="17">
        <f>IF(AND(AN103=1,ISNUMBER(AI103),G103&lt;=Config!$B$5),AI103,"")</f>
        <v/>
      </c>
      <c r="BQ103" s="17">
        <f>IF(AN103=1,IF(COUNTIFS($A$2:$A$201,$A103,$AF$2:$AF$201,"Y",$AN$2:$AN$201,1)&gt;0,"Y","N"),"")</f>
        <v/>
      </c>
      <c r="BR103" s="17">
        <f>IF(AND(AN103=1,AF103="Y"),IF(COUNTIFS($A$2:$A$201,$A103,$AF$2:$AF$201,"Y",$AN$2:$AN$201,1,$G$2:$G$201,"&lt;"&amp;G103)+COUNTIFS($A$2:$A$201,$A103,$AF$2:$AF$201,"Y",$AN$2:$AN$201,1,$G$2:$G$201,G103,$AM$2:$AM$201,"&lt;"&amp;AM103)=0,1,0),0)</f>
        <v/>
      </c>
      <c r="BS103" s="17">
        <f>IF(AN103=1,IFERROR(MATCH($A103,INDEX(Clay_Brands!$A$2:$FZ$601,0,Sync!$D$5),0),""),"")</f>
        <v/>
      </c>
      <c r="BT103" s="17">
        <f>IF(BS103="","",IFERROR(INDEX(Clay_Brands!$A$2:$FZ$601,BS103,Sync!$D$7)&amp;"",""))</f>
        <v/>
      </c>
      <c r="BU103" s="17">
        <f>IF(BT103="","",IFERROR(INDEX(Lists!$J$2:$J$15,MATCH(BT103,Lists!$I$2:$I$15,0)),""))</f>
        <v/>
      </c>
      <c r="BV103" s="17">
        <f>IF(BS103="","",IFERROR(INDEX(Clay_Brands!$A$2:$FZ$601,BS103,Sync!$D$17)&amp;"",""))</f>
        <v/>
      </c>
      <c r="BW103" s="23">
        <f>IF(BS103="","",IFERROR(N(INDEX(Clay_Brands!$A$2:$FZ$601,BS103,Sync!$D$16)),0))</f>
        <v/>
      </c>
    </row>
    <row r="104">
      <c r="G104" s="22" t="n"/>
      <c r="AL104" s="17">
        <f>IF(TRIM($A104)="","",IF(AND(LEFT($A104,6)="SAMPLE",Config!$B$19&lt;&gt;"Y"),"",IF(NOT(ISNUMBER(G104)),"call_date is blank or not a date",IF(Sync!$D$5="","Clay paste is empty or has no row_id column: paste the Clay export on Clay_Brands",IF(BS104="","row_id not found in the Clay paste: add the Clay row or fix the row_id",IF(AND(ISNUMBER(BU104),BU104&gt;=1,BU104&lt;=5),"Clay status is "&amp;BT104&amp;": set call_done or later",IF(AND(AP104=1,BV104&lt;&gt;BQ104),"Clay yes_in_principle should be "&amp;BQ104,IF(AND(AP104=1,BW104&lt;&gt;G104),"Clay call_date should be "&amp;TEXT(G104,"yyyy-mm-dd"),""))))))))</f>
        <v/>
      </c>
      <c r="AM104" s="17">
        <f>ROW()</f>
        <v/>
      </c>
      <c r="AN104" s="17">
        <f>IF(AND(TRIM($A104)&lt;&gt;"",ISNUMBER(G104)),IF(AND(LEFT($A104,6)="SAMPLE",Config!$B$19&lt;&gt;"Y"),0,1),0)</f>
        <v/>
      </c>
      <c r="AO104" s="17">
        <f>IF(AN104=1,IF(COUNTIFS($A$2:$A$201,$A104,$AN$2:$AN$201,1,$G$2:$G$201,"&lt;"&amp;G104)+COUNTIFS($A$2:$A$201,$A104,$AN$2:$AN$201,1,$G$2:$G$201,G104,$AM$2:$AM$201,"&lt;"&amp;AM104)=0,1,0),0)</f>
        <v/>
      </c>
      <c r="AP104" s="17">
        <f>IF(AN104=1,IF(COUNTIFS($A$2:$A$201,$A104,$AN$2:$AN$201,1,$G$2:$G$201,"&gt;"&amp;G104)+COUNTIFS($A$2:$A$201,$A104,$AN$2:$AN$201,1,$G$2:$G$201,G104,$AM$2:$AM$201,"&gt;"&amp;AM104)=0,1,0),0)</f>
        <v/>
      </c>
      <c r="AQ104" s="17">
        <f>IF(AND(AN104=1,N104="Y",MAX(N(R104),N(V104))&gt;=Config!$B$14),1,0)</f>
        <v/>
      </c>
      <c r="AR104" s="17">
        <f>IF(AQ104=1,IF(COUNTIFS($A$2:$A$201,$A104,$AQ$2:$AQ$201,1,$G$2:$G$201,"&lt;"&amp;G104)+COUNTIFS($A$2:$A$201,$A104,$AQ$2:$AQ$201,1,$G$2:$G$201,G104,$AM$2:$AM$201,"&lt;"&amp;AM104)=0,1,0),0)</f>
        <v/>
      </c>
      <c r="AS104" s="17">
        <f>IF(AND(AN104=1,N104="Y",ISNUMBER(R104)),IF(R104&gt;=Config!$B$14,1,0),0)</f>
        <v/>
      </c>
      <c r="AT104" s="17">
        <f>IF(AS104=1,IF(COUNTIFS($A$2:$A$201,$A104,$AS$2:$AS$201,1,$G$2:$G$201,"&lt;"&amp;G104)+COUNTIFS($A$2:$A$201,$A104,$AS$2:$AS$201,1,$G$2:$G$201,G104,$AM$2:$AM$201,"&lt;"&amp;AM104)=0,1,0),0)</f>
        <v/>
      </c>
      <c r="AU104" s="17">
        <f>IF(AND(AN104=1,N104&lt;&gt;"Y",MAX(N(R104),N(V104))&gt;=Config!$B$14),1,0)</f>
        <v/>
      </c>
      <c r="AV104" s="17">
        <f>IF(AU104=1,IF(COUNTIFS($A$2:$A$201,$A104,$AU$2:$AU$201,1,$G$2:$G$201,"&lt;"&amp;G104)+COUNTIFS($A$2:$A$201,$A104,$AU$2:$AU$201,1,$G$2:$G$201,G104,$AM$2:$AM$201,"&lt;"&amp;AM104)=0,1,0),0)</f>
        <v/>
      </c>
      <c r="AW104" s="17">
        <f>IF(AND(AN104=1,ISNUMBER(R104)),1,0)</f>
        <v/>
      </c>
      <c r="AX104" s="17">
        <f>IF(AW104=1,IF(COUNTIFS($A$2:$A$201,$A104,$AW$2:$AW$201,1,$G$2:$G$201,"&lt;"&amp;G104)+COUNTIFS($A$2:$A$201,$A104,$AW$2:$AW$201,1,$G$2:$G$201,G104,$AM$2:$AM$201,"&lt;"&amp;AM104)=0,1,0),0)</f>
        <v/>
      </c>
      <c r="AY104" s="17">
        <f>IF(AND(AX104=1,G104&lt;=Config!$B$6),R104,"")</f>
        <v/>
      </c>
      <c r="AZ104" s="17">
        <f>IF(AND(AX104=1,G104&lt;=Config!$B$7),R104,"")</f>
        <v/>
      </c>
      <c r="BA104" s="17">
        <f>IF(AND(AX104=1,G104&lt;=Config!$B$8),R104,"")</f>
        <v/>
      </c>
      <c r="BB104" s="17">
        <f>IF(AND(AX104=1,G104&lt;=Config!$B$5),R104,"")</f>
        <v/>
      </c>
      <c r="BC104" s="17">
        <f>IF(AND(AN104=1,ISNUMBER(V104)),1,0)</f>
        <v/>
      </c>
      <c r="BD104" s="17">
        <f>IF(BC104=1,IF(COUNTIFS($A$2:$A$201,$A104,$BC$2:$BC$201,1,$G$2:$G$201,"&lt;"&amp;G104)+COUNTIFS($A$2:$A$201,$A104,$BC$2:$BC$201,1,$G$2:$G$201,G104,$AM$2:$AM$201,"&lt;"&amp;AM104)=0,1,0),0)</f>
        <v/>
      </c>
      <c r="BE104" s="17">
        <f>IF(AND(BD104=1,G104&lt;=Config!$B$6),V104,"")</f>
        <v/>
      </c>
      <c r="BF104" s="17">
        <f>IF(AND(BD104=1,G104&lt;=Config!$B$7),V104,"")</f>
        <v/>
      </c>
      <c r="BG104" s="17">
        <f>IF(AND(BD104=1,G104&lt;=Config!$B$8),V104,"")</f>
        <v/>
      </c>
      <c r="BH104" s="17">
        <f>IF(AND(BD104=1,G104&lt;=Config!$B$5),V104,"")</f>
        <v/>
      </c>
      <c r="BI104" s="17">
        <f>IF(AND(AN104=1,ISNUMBER(J104)),1,0)</f>
        <v/>
      </c>
      <c r="BJ104" s="17">
        <f>IF(BI104=1,IF(COUNTIFS($A$2:$A$201,$A104,$BI$2:$BI$201,1,$G$2:$G$201,"&lt;"&amp;G104)+COUNTIFS($A$2:$A$201,$A104,$BI$2:$BI$201,1,$G$2:$G$201,G104,$AM$2:$AM$201,"&lt;"&amp;AM104)=0,1,0),0)</f>
        <v/>
      </c>
      <c r="BK104" s="17">
        <f>IF(AND(BJ104=1,G104&lt;=Config!$B$5),J104,"")</f>
        <v/>
      </c>
      <c r="BL104" s="17">
        <f>IF(AND(AN104=1,OR(AND(ISNUMBER(R104),TRIM(S104)=""),AND(ISNUMBER(V104),TRIM(W104)=""))),1,0)</f>
        <v/>
      </c>
      <c r="BM104" s="17">
        <f>IF(AN104=1,AB104&amp;"","")</f>
        <v/>
      </c>
      <c r="BN104" s="17">
        <f>IF(AN104=1,AC104&amp;"","")</f>
        <v/>
      </c>
      <c r="BO104" s="17">
        <f>IF(AN104=1,AD104&amp;"","")</f>
        <v/>
      </c>
      <c r="BP104" s="17">
        <f>IF(AND(AN104=1,ISNUMBER(AI104),G104&lt;=Config!$B$5),AI104,"")</f>
        <v/>
      </c>
      <c r="BQ104" s="17">
        <f>IF(AN104=1,IF(COUNTIFS($A$2:$A$201,$A104,$AF$2:$AF$201,"Y",$AN$2:$AN$201,1)&gt;0,"Y","N"),"")</f>
        <v/>
      </c>
      <c r="BR104" s="17">
        <f>IF(AND(AN104=1,AF104="Y"),IF(COUNTIFS($A$2:$A$201,$A104,$AF$2:$AF$201,"Y",$AN$2:$AN$201,1,$G$2:$G$201,"&lt;"&amp;G104)+COUNTIFS($A$2:$A$201,$A104,$AF$2:$AF$201,"Y",$AN$2:$AN$201,1,$G$2:$G$201,G104,$AM$2:$AM$201,"&lt;"&amp;AM104)=0,1,0),0)</f>
        <v/>
      </c>
      <c r="BS104" s="17">
        <f>IF(AN104=1,IFERROR(MATCH($A104,INDEX(Clay_Brands!$A$2:$FZ$601,0,Sync!$D$5),0),""),"")</f>
        <v/>
      </c>
      <c r="BT104" s="17">
        <f>IF(BS104="","",IFERROR(INDEX(Clay_Brands!$A$2:$FZ$601,BS104,Sync!$D$7)&amp;"",""))</f>
        <v/>
      </c>
      <c r="BU104" s="17">
        <f>IF(BT104="","",IFERROR(INDEX(Lists!$J$2:$J$15,MATCH(BT104,Lists!$I$2:$I$15,0)),""))</f>
        <v/>
      </c>
      <c r="BV104" s="17">
        <f>IF(BS104="","",IFERROR(INDEX(Clay_Brands!$A$2:$FZ$601,BS104,Sync!$D$17)&amp;"",""))</f>
        <v/>
      </c>
      <c r="BW104" s="23">
        <f>IF(BS104="","",IFERROR(N(INDEX(Clay_Brands!$A$2:$FZ$601,BS104,Sync!$D$16)),0))</f>
        <v/>
      </c>
    </row>
    <row r="105">
      <c r="G105" s="22" t="n"/>
      <c r="AL105" s="17">
        <f>IF(TRIM($A105)="","",IF(AND(LEFT($A105,6)="SAMPLE",Config!$B$19&lt;&gt;"Y"),"",IF(NOT(ISNUMBER(G105)),"call_date is blank or not a date",IF(Sync!$D$5="","Clay paste is empty or has no row_id column: paste the Clay export on Clay_Brands",IF(BS105="","row_id not found in the Clay paste: add the Clay row or fix the row_id",IF(AND(ISNUMBER(BU105),BU105&gt;=1,BU105&lt;=5),"Clay status is "&amp;BT105&amp;": set call_done or later",IF(AND(AP105=1,BV105&lt;&gt;BQ105),"Clay yes_in_principle should be "&amp;BQ105,IF(AND(AP105=1,BW105&lt;&gt;G105),"Clay call_date should be "&amp;TEXT(G105,"yyyy-mm-dd"),""))))))))</f>
        <v/>
      </c>
      <c r="AM105" s="17">
        <f>ROW()</f>
        <v/>
      </c>
      <c r="AN105" s="17">
        <f>IF(AND(TRIM($A105)&lt;&gt;"",ISNUMBER(G105)),IF(AND(LEFT($A105,6)="SAMPLE",Config!$B$19&lt;&gt;"Y"),0,1),0)</f>
        <v/>
      </c>
      <c r="AO105" s="17">
        <f>IF(AN105=1,IF(COUNTIFS($A$2:$A$201,$A105,$AN$2:$AN$201,1,$G$2:$G$201,"&lt;"&amp;G105)+COUNTIFS($A$2:$A$201,$A105,$AN$2:$AN$201,1,$G$2:$G$201,G105,$AM$2:$AM$201,"&lt;"&amp;AM105)=0,1,0),0)</f>
        <v/>
      </c>
      <c r="AP105" s="17">
        <f>IF(AN105=1,IF(COUNTIFS($A$2:$A$201,$A105,$AN$2:$AN$201,1,$G$2:$G$201,"&gt;"&amp;G105)+COUNTIFS($A$2:$A$201,$A105,$AN$2:$AN$201,1,$G$2:$G$201,G105,$AM$2:$AM$201,"&gt;"&amp;AM105)=0,1,0),0)</f>
        <v/>
      </c>
      <c r="AQ105" s="17">
        <f>IF(AND(AN105=1,N105="Y",MAX(N(R105),N(V105))&gt;=Config!$B$14),1,0)</f>
        <v/>
      </c>
      <c r="AR105" s="17">
        <f>IF(AQ105=1,IF(COUNTIFS($A$2:$A$201,$A105,$AQ$2:$AQ$201,1,$G$2:$G$201,"&lt;"&amp;G105)+COUNTIFS($A$2:$A$201,$A105,$AQ$2:$AQ$201,1,$G$2:$G$201,G105,$AM$2:$AM$201,"&lt;"&amp;AM105)=0,1,0),0)</f>
        <v/>
      </c>
      <c r="AS105" s="17">
        <f>IF(AND(AN105=1,N105="Y",ISNUMBER(R105)),IF(R105&gt;=Config!$B$14,1,0),0)</f>
        <v/>
      </c>
      <c r="AT105" s="17">
        <f>IF(AS105=1,IF(COUNTIFS($A$2:$A$201,$A105,$AS$2:$AS$201,1,$G$2:$G$201,"&lt;"&amp;G105)+COUNTIFS($A$2:$A$201,$A105,$AS$2:$AS$201,1,$G$2:$G$201,G105,$AM$2:$AM$201,"&lt;"&amp;AM105)=0,1,0),0)</f>
        <v/>
      </c>
      <c r="AU105" s="17">
        <f>IF(AND(AN105=1,N105&lt;&gt;"Y",MAX(N(R105),N(V105))&gt;=Config!$B$14),1,0)</f>
        <v/>
      </c>
      <c r="AV105" s="17">
        <f>IF(AU105=1,IF(COUNTIFS($A$2:$A$201,$A105,$AU$2:$AU$201,1,$G$2:$G$201,"&lt;"&amp;G105)+COUNTIFS($A$2:$A$201,$A105,$AU$2:$AU$201,1,$G$2:$G$201,G105,$AM$2:$AM$201,"&lt;"&amp;AM105)=0,1,0),0)</f>
        <v/>
      </c>
      <c r="AW105" s="17">
        <f>IF(AND(AN105=1,ISNUMBER(R105)),1,0)</f>
        <v/>
      </c>
      <c r="AX105" s="17">
        <f>IF(AW105=1,IF(COUNTIFS($A$2:$A$201,$A105,$AW$2:$AW$201,1,$G$2:$G$201,"&lt;"&amp;G105)+COUNTIFS($A$2:$A$201,$A105,$AW$2:$AW$201,1,$G$2:$G$201,G105,$AM$2:$AM$201,"&lt;"&amp;AM105)=0,1,0),0)</f>
        <v/>
      </c>
      <c r="AY105" s="17">
        <f>IF(AND(AX105=1,G105&lt;=Config!$B$6),R105,"")</f>
        <v/>
      </c>
      <c r="AZ105" s="17">
        <f>IF(AND(AX105=1,G105&lt;=Config!$B$7),R105,"")</f>
        <v/>
      </c>
      <c r="BA105" s="17">
        <f>IF(AND(AX105=1,G105&lt;=Config!$B$8),R105,"")</f>
        <v/>
      </c>
      <c r="BB105" s="17">
        <f>IF(AND(AX105=1,G105&lt;=Config!$B$5),R105,"")</f>
        <v/>
      </c>
      <c r="BC105" s="17">
        <f>IF(AND(AN105=1,ISNUMBER(V105)),1,0)</f>
        <v/>
      </c>
      <c r="BD105" s="17">
        <f>IF(BC105=1,IF(COUNTIFS($A$2:$A$201,$A105,$BC$2:$BC$201,1,$G$2:$G$201,"&lt;"&amp;G105)+COUNTIFS($A$2:$A$201,$A105,$BC$2:$BC$201,1,$G$2:$G$201,G105,$AM$2:$AM$201,"&lt;"&amp;AM105)=0,1,0),0)</f>
        <v/>
      </c>
      <c r="BE105" s="17">
        <f>IF(AND(BD105=1,G105&lt;=Config!$B$6),V105,"")</f>
        <v/>
      </c>
      <c r="BF105" s="17">
        <f>IF(AND(BD105=1,G105&lt;=Config!$B$7),V105,"")</f>
        <v/>
      </c>
      <c r="BG105" s="17">
        <f>IF(AND(BD105=1,G105&lt;=Config!$B$8),V105,"")</f>
        <v/>
      </c>
      <c r="BH105" s="17">
        <f>IF(AND(BD105=1,G105&lt;=Config!$B$5),V105,"")</f>
        <v/>
      </c>
      <c r="BI105" s="17">
        <f>IF(AND(AN105=1,ISNUMBER(J105)),1,0)</f>
        <v/>
      </c>
      <c r="BJ105" s="17">
        <f>IF(BI105=1,IF(COUNTIFS($A$2:$A$201,$A105,$BI$2:$BI$201,1,$G$2:$G$201,"&lt;"&amp;G105)+COUNTIFS($A$2:$A$201,$A105,$BI$2:$BI$201,1,$G$2:$G$201,G105,$AM$2:$AM$201,"&lt;"&amp;AM105)=0,1,0),0)</f>
        <v/>
      </c>
      <c r="BK105" s="17">
        <f>IF(AND(BJ105=1,G105&lt;=Config!$B$5),J105,"")</f>
        <v/>
      </c>
      <c r="BL105" s="17">
        <f>IF(AND(AN105=1,OR(AND(ISNUMBER(R105),TRIM(S105)=""),AND(ISNUMBER(V105),TRIM(W105)=""))),1,0)</f>
        <v/>
      </c>
      <c r="BM105" s="17">
        <f>IF(AN105=1,AB105&amp;"","")</f>
        <v/>
      </c>
      <c r="BN105" s="17">
        <f>IF(AN105=1,AC105&amp;"","")</f>
        <v/>
      </c>
      <c r="BO105" s="17">
        <f>IF(AN105=1,AD105&amp;"","")</f>
        <v/>
      </c>
      <c r="BP105" s="17">
        <f>IF(AND(AN105=1,ISNUMBER(AI105),G105&lt;=Config!$B$5),AI105,"")</f>
        <v/>
      </c>
      <c r="BQ105" s="17">
        <f>IF(AN105=1,IF(COUNTIFS($A$2:$A$201,$A105,$AF$2:$AF$201,"Y",$AN$2:$AN$201,1)&gt;0,"Y","N"),"")</f>
        <v/>
      </c>
      <c r="BR105" s="17">
        <f>IF(AND(AN105=1,AF105="Y"),IF(COUNTIFS($A$2:$A$201,$A105,$AF$2:$AF$201,"Y",$AN$2:$AN$201,1,$G$2:$G$201,"&lt;"&amp;G105)+COUNTIFS($A$2:$A$201,$A105,$AF$2:$AF$201,"Y",$AN$2:$AN$201,1,$G$2:$G$201,G105,$AM$2:$AM$201,"&lt;"&amp;AM105)=0,1,0),0)</f>
        <v/>
      </c>
      <c r="BS105" s="17">
        <f>IF(AN105=1,IFERROR(MATCH($A105,INDEX(Clay_Brands!$A$2:$FZ$601,0,Sync!$D$5),0),""),"")</f>
        <v/>
      </c>
      <c r="BT105" s="17">
        <f>IF(BS105="","",IFERROR(INDEX(Clay_Brands!$A$2:$FZ$601,BS105,Sync!$D$7)&amp;"",""))</f>
        <v/>
      </c>
      <c r="BU105" s="17">
        <f>IF(BT105="","",IFERROR(INDEX(Lists!$J$2:$J$15,MATCH(BT105,Lists!$I$2:$I$15,0)),""))</f>
        <v/>
      </c>
      <c r="BV105" s="17">
        <f>IF(BS105="","",IFERROR(INDEX(Clay_Brands!$A$2:$FZ$601,BS105,Sync!$D$17)&amp;"",""))</f>
        <v/>
      </c>
      <c r="BW105" s="23">
        <f>IF(BS105="","",IFERROR(N(INDEX(Clay_Brands!$A$2:$FZ$601,BS105,Sync!$D$16)),0))</f>
        <v/>
      </c>
    </row>
    <row r="106">
      <c r="G106" s="22" t="n"/>
      <c r="AL106" s="17">
        <f>IF(TRIM($A106)="","",IF(AND(LEFT($A106,6)="SAMPLE",Config!$B$19&lt;&gt;"Y"),"",IF(NOT(ISNUMBER(G106)),"call_date is blank or not a date",IF(Sync!$D$5="","Clay paste is empty or has no row_id column: paste the Clay export on Clay_Brands",IF(BS106="","row_id not found in the Clay paste: add the Clay row or fix the row_id",IF(AND(ISNUMBER(BU106),BU106&gt;=1,BU106&lt;=5),"Clay status is "&amp;BT106&amp;": set call_done or later",IF(AND(AP106=1,BV106&lt;&gt;BQ106),"Clay yes_in_principle should be "&amp;BQ106,IF(AND(AP106=1,BW106&lt;&gt;G106),"Clay call_date should be "&amp;TEXT(G106,"yyyy-mm-dd"),""))))))))</f>
        <v/>
      </c>
      <c r="AM106" s="17">
        <f>ROW()</f>
        <v/>
      </c>
      <c r="AN106" s="17">
        <f>IF(AND(TRIM($A106)&lt;&gt;"",ISNUMBER(G106)),IF(AND(LEFT($A106,6)="SAMPLE",Config!$B$19&lt;&gt;"Y"),0,1),0)</f>
        <v/>
      </c>
      <c r="AO106" s="17">
        <f>IF(AN106=1,IF(COUNTIFS($A$2:$A$201,$A106,$AN$2:$AN$201,1,$G$2:$G$201,"&lt;"&amp;G106)+COUNTIFS($A$2:$A$201,$A106,$AN$2:$AN$201,1,$G$2:$G$201,G106,$AM$2:$AM$201,"&lt;"&amp;AM106)=0,1,0),0)</f>
        <v/>
      </c>
      <c r="AP106" s="17">
        <f>IF(AN106=1,IF(COUNTIFS($A$2:$A$201,$A106,$AN$2:$AN$201,1,$G$2:$G$201,"&gt;"&amp;G106)+COUNTIFS($A$2:$A$201,$A106,$AN$2:$AN$201,1,$G$2:$G$201,G106,$AM$2:$AM$201,"&gt;"&amp;AM106)=0,1,0),0)</f>
        <v/>
      </c>
      <c r="AQ106" s="17">
        <f>IF(AND(AN106=1,N106="Y",MAX(N(R106),N(V106))&gt;=Config!$B$14),1,0)</f>
        <v/>
      </c>
      <c r="AR106" s="17">
        <f>IF(AQ106=1,IF(COUNTIFS($A$2:$A$201,$A106,$AQ$2:$AQ$201,1,$G$2:$G$201,"&lt;"&amp;G106)+COUNTIFS($A$2:$A$201,$A106,$AQ$2:$AQ$201,1,$G$2:$G$201,G106,$AM$2:$AM$201,"&lt;"&amp;AM106)=0,1,0),0)</f>
        <v/>
      </c>
      <c r="AS106" s="17">
        <f>IF(AND(AN106=1,N106="Y",ISNUMBER(R106)),IF(R106&gt;=Config!$B$14,1,0),0)</f>
        <v/>
      </c>
      <c r="AT106" s="17">
        <f>IF(AS106=1,IF(COUNTIFS($A$2:$A$201,$A106,$AS$2:$AS$201,1,$G$2:$G$201,"&lt;"&amp;G106)+COUNTIFS($A$2:$A$201,$A106,$AS$2:$AS$201,1,$G$2:$G$201,G106,$AM$2:$AM$201,"&lt;"&amp;AM106)=0,1,0),0)</f>
        <v/>
      </c>
      <c r="AU106" s="17">
        <f>IF(AND(AN106=1,N106&lt;&gt;"Y",MAX(N(R106),N(V106))&gt;=Config!$B$14),1,0)</f>
        <v/>
      </c>
      <c r="AV106" s="17">
        <f>IF(AU106=1,IF(COUNTIFS($A$2:$A$201,$A106,$AU$2:$AU$201,1,$G$2:$G$201,"&lt;"&amp;G106)+COUNTIFS($A$2:$A$201,$A106,$AU$2:$AU$201,1,$G$2:$G$201,G106,$AM$2:$AM$201,"&lt;"&amp;AM106)=0,1,0),0)</f>
        <v/>
      </c>
      <c r="AW106" s="17">
        <f>IF(AND(AN106=1,ISNUMBER(R106)),1,0)</f>
        <v/>
      </c>
      <c r="AX106" s="17">
        <f>IF(AW106=1,IF(COUNTIFS($A$2:$A$201,$A106,$AW$2:$AW$201,1,$G$2:$G$201,"&lt;"&amp;G106)+COUNTIFS($A$2:$A$201,$A106,$AW$2:$AW$201,1,$G$2:$G$201,G106,$AM$2:$AM$201,"&lt;"&amp;AM106)=0,1,0),0)</f>
        <v/>
      </c>
      <c r="AY106" s="17">
        <f>IF(AND(AX106=1,G106&lt;=Config!$B$6),R106,"")</f>
        <v/>
      </c>
      <c r="AZ106" s="17">
        <f>IF(AND(AX106=1,G106&lt;=Config!$B$7),R106,"")</f>
        <v/>
      </c>
      <c r="BA106" s="17">
        <f>IF(AND(AX106=1,G106&lt;=Config!$B$8),R106,"")</f>
        <v/>
      </c>
      <c r="BB106" s="17">
        <f>IF(AND(AX106=1,G106&lt;=Config!$B$5),R106,"")</f>
        <v/>
      </c>
      <c r="BC106" s="17">
        <f>IF(AND(AN106=1,ISNUMBER(V106)),1,0)</f>
        <v/>
      </c>
      <c r="BD106" s="17">
        <f>IF(BC106=1,IF(COUNTIFS($A$2:$A$201,$A106,$BC$2:$BC$201,1,$G$2:$G$201,"&lt;"&amp;G106)+COUNTIFS($A$2:$A$201,$A106,$BC$2:$BC$201,1,$G$2:$G$201,G106,$AM$2:$AM$201,"&lt;"&amp;AM106)=0,1,0),0)</f>
        <v/>
      </c>
      <c r="BE106" s="17">
        <f>IF(AND(BD106=1,G106&lt;=Config!$B$6),V106,"")</f>
        <v/>
      </c>
      <c r="BF106" s="17">
        <f>IF(AND(BD106=1,G106&lt;=Config!$B$7),V106,"")</f>
        <v/>
      </c>
      <c r="BG106" s="17">
        <f>IF(AND(BD106=1,G106&lt;=Config!$B$8),V106,"")</f>
        <v/>
      </c>
      <c r="BH106" s="17">
        <f>IF(AND(BD106=1,G106&lt;=Config!$B$5),V106,"")</f>
        <v/>
      </c>
      <c r="BI106" s="17">
        <f>IF(AND(AN106=1,ISNUMBER(J106)),1,0)</f>
        <v/>
      </c>
      <c r="BJ106" s="17">
        <f>IF(BI106=1,IF(COUNTIFS($A$2:$A$201,$A106,$BI$2:$BI$201,1,$G$2:$G$201,"&lt;"&amp;G106)+COUNTIFS($A$2:$A$201,$A106,$BI$2:$BI$201,1,$G$2:$G$201,G106,$AM$2:$AM$201,"&lt;"&amp;AM106)=0,1,0),0)</f>
        <v/>
      </c>
      <c r="BK106" s="17">
        <f>IF(AND(BJ106=1,G106&lt;=Config!$B$5),J106,"")</f>
        <v/>
      </c>
      <c r="BL106" s="17">
        <f>IF(AND(AN106=1,OR(AND(ISNUMBER(R106),TRIM(S106)=""),AND(ISNUMBER(V106),TRIM(W106)=""))),1,0)</f>
        <v/>
      </c>
      <c r="BM106" s="17">
        <f>IF(AN106=1,AB106&amp;"","")</f>
        <v/>
      </c>
      <c r="BN106" s="17">
        <f>IF(AN106=1,AC106&amp;"","")</f>
        <v/>
      </c>
      <c r="BO106" s="17">
        <f>IF(AN106=1,AD106&amp;"","")</f>
        <v/>
      </c>
      <c r="BP106" s="17">
        <f>IF(AND(AN106=1,ISNUMBER(AI106),G106&lt;=Config!$B$5),AI106,"")</f>
        <v/>
      </c>
      <c r="BQ106" s="17">
        <f>IF(AN106=1,IF(COUNTIFS($A$2:$A$201,$A106,$AF$2:$AF$201,"Y",$AN$2:$AN$201,1)&gt;0,"Y","N"),"")</f>
        <v/>
      </c>
      <c r="BR106" s="17">
        <f>IF(AND(AN106=1,AF106="Y"),IF(COUNTIFS($A$2:$A$201,$A106,$AF$2:$AF$201,"Y",$AN$2:$AN$201,1,$G$2:$G$201,"&lt;"&amp;G106)+COUNTIFS($A$2:$A$201,$A106,$AF$2:$AF$201,"Y",$AN$2:$AN$201,1,$G$2:$G$201,G106,$AM$2:$AM$201,"&lt;"&amp;AM106)=0,1,0),0)</f>
        <v/>
      </c>
      <c r="BS106" s="17">
        <f>IF(AN106=1,IFERROR(MATCH($A106,INDEX(Clay_Brands!$A$2:$FZ$601,0,Sync!$D$5),0),""),"")</f>
        <v/>
      </c>
      <c r="BT106" s="17">
        <f>IF(BS106="","",IFERROR(INDEX(Clay_Brands!$A$2:$FZ$601,BS106,Sync!$D$7)&amp;"",""))</f>
        <v/>
      </c>
      <c r="BU106" s="17">
        <f>IF(BT106="","",IFERROR(INDEX(Lists!$J$2:$J$15,MATCH(BT106,Lists!$I$2:$I$15,0)),""))</f>
        <v/>
      </c>
      <c r="BV106" s="17">
        <f>IF(BS106="","",IFERROR(INDEX(Clay_Brands!$A$2:$FZ$601,BS106,Sync!$D$17)&amp;"",""))</f>
        <v/>
      </c>
      <c r="BW106" s="23">
        <f>IF(BS106="","",IFERROR(N(INDEX(Clay_Brands!$A$2:$FZ$601,BS106,Sync!$D$16)),0))</f>
        <v/>
      </c>
    </row>
    <row r="107">
      <c r="G107" s="22" t="n"/>
      <c r="AL107" s="17">
        <f>IF(TRIM($A107)="","",IF(AND(LEFT($A107,6)="SAMPLE",Config!$B$19&lt;&gt;"Y"),"",IF(NOT(ISNUMBER(G107)),"call_date is blank or not a date",IF(Sync!$D$5="","Clay paste is empty or has no row_id column: paste the Clay export on Clay_Brands",IF(BS107="","row_id not found in the Clay paste: add the Clay row or fix the row_id",IF(AND(ISNUMBER(BU107),BU107&gt;=1,BU107&lt;=5),"Clay status is "&amp;BT107&amp;": set call_done or later",IF(AND(AP107=1,BV107&lt;&gt;BQ107),"Clay yes_in_principle should be "&amp;BQ107,IF(AND(AP107=1,BW107&lt;&gt;G107),"Clay call_date should be "&amp;TEXT(G107,"yyyy-mm-dd"),""))))))))</f>
        <v/>
      </c>
      <c r="AM107" s="17">
        <f>ROW()</f>
        <v/>
      </c>
      <c r="AN107" s="17">
        <f>IF(AND(TRIM($A107)&lt;&gt;"",ISNUMBER(G107)),IF(AND(LEFT($A107,6)="SAMPLE",Config!$B$19&lt;&gt;"Y"),0,1),0)</f>
        <v/>
      </c>
      <c r="AO107" s="17">
        <f>IF(AN107=1,IF(COUNTIFS($A$2:$A$201,$A107,$AN$2:$AN$201,1,$G$2:$G$201,"&lt;"&amp;G107)+COUNTIFS($A$2:$A$201,$A107,$AN$2:$AN$201,1,$G$2:$G$201,G107,$AM$2:$AM$201,"&lt;"&amp;AM107)=0,1,0),0)</f>
        <v/>
      </c>
      <c r="AP107" s="17">
        <f>IF(AN107=1,IF(COUNTIFS($A$2:$A$201,$A107,$AN$2:$AN$201,1,$G$2:$G$201,"&gt;"&amp;G107)+COUNTIFS($A$2:$A$201,$A107,$AN$2:$AN$201,1,$G$2:$G$201,G107,$AM$2:$AM$201,"&gt;"&amp;AM107)=0,1,0),0)</f>
        <v/>
      </c>
      <c r="AQ107" s="17">
        <f>IF(AND(AN107=1,N107="Y",MAX(N(R107),N(V107))&gt;=Config!$B$14),1,0)</f>
        <v/>
      </c>
      <c r="AR107" s="17">
        <f>IF(AQ107=1,IF(COUNTIFS($A$2:$A$201,$A107,$AQ$2:$AQ$201,1,$G$2:$G$201,"&lt;"&amp;G107)+COUNTIFS($A$2:$A$201,$A107,$AQ$2:$AQ$201,1,$G$2:$G$201,G107,$AM$2:$AM$201,"&lt;"&amp;AM107)=0,1,0),0)</f>
        <v/>
      </c>
      <c r="AS107" s="17">
        <f>IF(AND(AN107=1,N107="Y",ISNUMBER(R107)),IF(R107&gt;=Config!$B$14,1,0),0)</f>
        <v/>
      </c>
      <c r="AT107" s="17">
        <f>IF(AS107=1,IF(COUNTIFS($A$2:$A$201,$A107,$AS$2:$AS$201,1,$G$2:$G$201,"&lt;"&amp;G107)+COUNTIFS($A$2:$A$201,$A107,$AS$2:$AS$201,1,$G$2:$G$201,G107,$AM$2:$AM$201,"&lt;"&amp;AM107)=0,1,0),0)</f>
        <v/>
      </c>
      <c r="AU107" s="17">
        <f>IF(AND(AN107=1,N107&lt;&gt;"Y",MAX(N(R107),N(V107))&gt;=Config!$B$14),1,0)</f>
        <v/>
      </c>
      <c r="AV107" s="17">
        <f>IF(AU107=1,IF(COUNTIFS($A$2:$A$201,$A107,$AU$2:$AU$201,1,$G$2:$G$201,"&lt;"&amp;G107)+COUNTIFS($A$2:$A$201,$A107,$AU$2:$AU$201,1,$G$2:$G$201,G107,$AM$2:$AM$201,"&lt;"&amp;AM107)=0,1,0),0)</f>
        <v/>
      </c>
      <c r="AW107" s="17">
        <f>IF(AND(AN107=1,ISNUMBER(R107)),1,0)</f>
        <v/>
      </c>
      <c r="AX107" s="17">
        <f>IF(AW107=1,IF(COUNTIFS($A$2:$A$201,$A107,$AW$2:$AW$201,1,$G$2:$G$201,"&lt;"&amp;G107)+COUNTIFS($A$2:$A$201,$A107,$AW$2:$AW$201,1,$G$2:$G$201,G107,$AM$2:$AM$201,"&lt;"&amp;AM107)=0,1,0),0)</f>
        <v/>
      </c>
      <c r="AY107" s="17">
        <f>IF(AND(AX107=1,G107&lt;=Config!$B$6),R107,"")</f>
        <v/>
      </c>
      <c r="AZ107" s="17">
        <f>IF(AND(AX107=1,G107&lt;=Config!$B$7),R107,"")</f>
        <v/>
      </c>
      <c r="BA107" s="17">
        <f>IF(AND(AX107=1,G107&lt;=Config!$B$8),R107,"")</f>
        <v/>
      </c>
      <c r="BB107" s="17">
        <f>IF(AND(AX107=1,G107&lt;=Config!$B$5),R107,"")</f>
        <v/>
      </c>
      <c r="BC107" s="17">
        <f>IF(AND(AN107=1,ISNUMBER(V107)),1,0)</f>
        <v/>
      </c>
      <c r="BD107" s="17">
        <f>IF(BC107=1,IF(COUNTIFS($A$2:$A$201,$A107,$BC$2:$BC$201,1,$G$2:$G$201,"&lt;"&amp;G107)+COUNTIFS($A$2:$A$201,$A107,$BC$2:$BC$201,1,$G$2:$G$201,G107,$AM$2:$AM$201,"&lt;"&amp;AM107)=0,1,0),0)</f>
        <v/>
      </c>
      <c r="BE107" s="17">
        <f>IF(AND(BD107=1,G107&lt;=Config!$B$6),V107,"")</f>
        <v/>
      </c>
      <c r="BF107" s="17">
        <f>IF(AND(BD107=1,G107&lt;=Config!$B$7),V107,"")</f>
        <v/>
      </c>
      <c r="BG107" s="17">
        <f>IF(AND(BD107=1,G107&lt;=Config!$B$8),V107,"")</f>
        <v/>
      </c>
      <c r="BH107" s="17">
        <f>IF(AND(BD107=1,G107&lt;=Config!$B$5),V107,"")</f>
        <v/>
      </c>
      <c r="BI107" s="17">
        <f>IF(AND(AN107=1,ISNUMBER(J107)),1,0)</f>
        <v/>
      </c>
      <c r="BJ107" s="17">
        <f>IF(BI107=1,IF(COUNTIFS($A$2:$A$201,$A107,$BI$2:$BI$201,1,$G$2:$G$201,"&lt;"&amp;G107)+COUNTIFS($A$2:$A$201,$A107,$BI$2:$BI$201,1,$G$2:$G$201,G107,$AM$2:$AM$201,"&lt;"&amp;AM107)=0,1,0),0)</f>
        <v/>
      </c>
      <c r="BK107" s="17">
        <f>IF(AND(BJ107=1,G107&lt;=Config!$B$5),J107,"")</f>
        <v/>
      </c>
      <c r="BL107" s="17">
        <f>IF(AND(AN107=1,OR(AND(ISNUMBER(R107),TRIM(S107)=""),AND(ISNUMBER(V107),TRIM(W107)=""))),1,0)</f>
        <v/>
      </c>
      <c r="BM107" s="17">
        <f>IF(AN107=1,AB107&amp;"","")</f>
        <v/>
      </c>
      <c r="BN107" s="17">
        <f>IF(AN107=1,AC107&amp;"","")</f>
        <v/>
      </c>
      <c r="BO107" s="17">
        <f>IF(AN107=1,AD107&amp;"","")</f>
        <v/>
      </c>
      <c r="BP107" s="17">
        <f>IF(AND(AN107=1,ISNUMBER(AI107),G107&lt;=Config!$B$5),AI107,"")</f>
        <v/>
      </c>
      <c r="BQ107" s="17">
        <f>IF(AN107=1,IF(COUNTIFS($A$2:$A$201,$A107,$AF$2:$AF$201,"Y",$AN$2:$AN$201,1)&gt;0,"Y","N"),"")</f>
        <v/>
      </c>
      <c r="BR107" s="17">
        <f>IF(AND(AN107=1,AF107="Y"),IF(COUNTIFS($A$2:$A$201,$A107,$AF$2:$AF$201,"Y",$AN$2:$AN$201,1,$G$2:$G$201,"&lt;"&amp;G107)+COUNTIFS($A$2:$A$201,$A107,$AF$2:$AF$201,"Y",$AN$2:$AN$201,1,$G$2:$G$201,G107,$AM$2:$AM$201,"&lt;"&amp;AM107)=0,1,0),0)</f>
        <v/>
      </c>
      <c r="BS107" s="17">
        <f>IF(AN107=1,IFERROR(MATCH($A107,INDEX(Clay_Brands!$A$2:$FZ$601,0,Sync!$D$5),0),""),"")</f>
        <v/>
      </c>
      <c r="BT107" s="17">
        <f>IF(BS107="","",IFERROR(INDEX(Clay_Brands!$A$2:$FZ$601,BS107,Sync!$D$7)&amp;"",""))</f>
        <v/>
      </c>
      <c r="BU107" s="17">
        <f>IF(BT107="","",IFERROR(INDEX(Lists!$J$2:$J$15,MATCH(BT107,Lists!$I$2:$I$15,0)),""))</f>
        <v/>
      </c>
      <c r="BV107" s="17">
        <f>IF(BS107="","",IFERROR(INDEX(Clay_Brands!$A$2:$FZ$601,BS107,Sync!$D$17)&amp;"",""))</f>
        <v/>
      </c>
      <c r="BW107" s="23">
        <f>IF(BS107="","",IFERROR(N(INDEX(Clay_Brands!$A$2:$FZ$601,BS107,Sync!$D$16)),0))</f>
        <v/>
      </c>
    </row>
    <row r="108">
      <c r="G108" s="22" t="n"/>
      <c r="AL108" s="17">
        <f>IF(TRIM($A108)="","",IF(AND(LEFT($A108,6)="SAMPLE",Config!$B$19&lt;&gt;"Y"),"",IF(NOT(ISNUMBER(G108)),"call_date is blank or not a date",IF(Sync!$D$5="","Clay paste is empty or has no row_id column: paste the Clay export on Clay_Brands",IF(BS108="","row_id not found in the Clay paste: add the Clay row or fix the row_id",IF(AND(ISNUMBER(BU108),BU108&gt;=1,BU108&lt;=5),"Clay status is "&amp;BT108&amp;": set call_done or later",IF(AND(AP108=1,BV108&lt;&gt;BQ108),"Clay yes_in_principle should be "&amp;BQ108,IF(AND(AP108=1,BW108&lt;&gt;G108),"Clay call_date should be "&amp;TEXT(G108,"yyyy-mm-dd"),""))))))))</f>
        <v/>
      </c>
      <c r="AM108" s="17">
        <f>ROW()</f>
        <v/>
      </c>
      <c r="AN108" s="17">
        <f>IF(AND(TRIM($A108)&lt;&gt;"",ISNUMBER(G108)),IF(AND(LEFT($A108,6)="SAMPLE",Config!$B$19&lt;&gt;"Y"),0,1),0)</f>
        <v/>
      </c>
      <c r="AO108" s="17">
        <f>IF(AN108=1,IF(COUNTIFS($A$2:$A$201,$A108,$AN$2:$AN$201,1,$G$2:$G$201,"&lt;"&amp;G108)+COUNTIFS($A$2:$A$201,$A108,$AN$2:$AN$201,1,$G$2:$G$201,G108,$AM$2:$AM$201,"&lt;"&amp;AM108)=0,1,0),0)</f>
        <v/>
      </c>
      <c r="AP108" s="17">
        <f>IF(AN108=1,IF(COUNTIFS($A$2:$A$201,$A108,$AN$2:$AN$201,1,$G$2:$G$201,"&gt;"&amp;G108)+COUNTIFS($A$2:$A$201,$A108,$AN$2:$AN$201,1,$G$2:$G$201,G108,$AM$2:$AM$201,"&gt;"&amp;AM108)=0,1,0),0)</f>
        <v/>
      </c>
      <c r="AQ108" s="17">
        <f>IF(AND(AN108=1,N108="Y",MAX(N(R108),N(V108))&gt;=Config!$B$14),1,0)</f>
        <v/>
      </c>
      <c r="AR108" s="17">
        <f>IF(AQ108=1,IF(COUNTIFS($A$2:$A$201,$A108,$AQ$2:$AQ$201,1,$G$2:$G$201,"&lt;"&amp;G108)+COUNTIFS($A$2:$A$201,$A108,$AQ$2:$AQ$201,1,$G$2:$G$201,G108,$AM$2:$AM$201,"&lt;"&amp;AM108)=0,1,0),0)</f>
        <v/>
      </c>
      <c r="AS108" s="17">
        <f>IF(AND(AN108=1,N108="Y",ISNUMBER(R108)),IF(R108&gt;=Config!$B$14,1,0),0)</f>
        <v/>
      </c>
      <c r="AT108" s="17">
        <f>IF(AS108=1,IF(COUNTIFS($A$2:$A$201,$A108,$AS$2:$AS$201,1,$G$2:$G$201,"&lt;"&amp;G108)+COUNTIFS($A$2:$A$201,$A108,$AS$2:$AS$201,1,$G$2:$G$201,G108,$AM$2:$AM$201,"&lt;"&amp;AM108)=0,1,0),0)</f>
        <v/>
      </c>
      <c r="AU108" s="17">
        <f>IF(AND(AN108=1,N108&lt;&gt;"Y",MAX(N(R108),N(V108))&gt;=Config!$B$14),1,0)</f>
        <v/>
      </c>
      <c r="AV108" s="17">
        <f>IF(AU108=1,IF(COUNTIFS($A$2:$A$201,$A108,$AU$2:$AU$201,1,$G$2:$G$201,"&lt;"&amp;G108)+COUNTIFS($A$2:$A$201,$A108,$AU$2:$AU$201,1,$G$2:$G$201,G108,$AM$2:$AM$201,"&lt;"&amp;AM108)=0,1,0),0)</f>
        <v/>
      </c>
      <c r="AW108" s="17">
        <f>IF(AND(AN108=1,ISNUMBER(R108)),1,0)</f>
        <v/>
      </c>
      <c r="AX108" s="17">
        <f>IF(AW108=1,IF(COUNTIFS($A$2:$A$201,$A108,$AW$2:$AW$201,1,$G$2:$G$201,"&lt;"&amp;G108)+COUNTIFS($A$2:$A$201,$A108,$AW$2:$AW$201,1,$G$2:$G$201,G108,$AM$2:$AM$201,"&lt;"&amp;AM108)=0,1,0),0)</f>
        <v/>
      </c>
      <c r="AY108" s="17">
        <f>IF(AND(AX108=1,G108&lt;=Config!$B$6),R108,"")</f>
        <v/>
      </c>
      <c r="AZ108" s="17">
        <f>IF(AND(AX108=1,G108&lt;=Config!$B$7),R108,"")</f>
        <v/>
      </c>
      <c r="BA108" s="17">
        <f>IF(AND(AX108=1,G108&lt;=Config!$B$8),R108,"")</f>
        <v/>
      </c>
      <c r="BB108" s="17">
        <f>IF(AND(AX108=1,G108&lt;=Config!$B$5),R108,"")</f>
        <v/>
      </c>
      <c r="BC108" s="17">
        <f>IF(AND(AN108=1,ISNUMBER(V108)),1,0)</f>
        <v/>
      </c>
      <c r="BD108" s="17">
        <f>IF(BC108=1,IF(COUNTIFS($A$2:$A$201,$A108,$BC$2:$BC$201,1,$G$2:$G$201,"&lt;"&amp;G108)+COUNTIFS($A$2:$A$201,$A108,$BC$2:$BC$201,1,$G$2:$G$201,G108,$AM$2:$AM$201,"&lt;"&amp;AM108)=0,1,0),0)</f>
        <v/>
      </c>
      <c r="BE108" s="17">
        <f>IF(AND(BD108=1,G108&lt;=Config!$B$6),V108,"")</f>
        <v/>
      </c>
      <c r="BF108" s="17">
        <f>IF(AND(BD108=1,G108&lt;=Config!$B$7),V108,"")</f>
        <v/>
      </c>
      <c r="BG108" s="17">
        <f>IF(AND(BD108=1,G108&lt;=Config!$B$8),V108,"")</f>
        <v/>
      </c>
      <c r="BH108" s="17">
        <f>IF(AND(BD108=1,G108&lt;=Config!$B$5),V108,"")</f>
        <v/>
      </c>
      <c r="BI108" s="17">
        <f>IF(AND(AN108=1,ISNUMBER(J108)),1,0)</f>
        <v/>
      </c>
      <c r="BJ108" s="17">
        <f>IF(BI108=1,IF(COUNTIFS($A$2:$A$201,$A108,$BI$2:$BI$201,1,$G$2:$G$201,"&lt;"&amp;G108)+COUNTIFS($A$2:$A$201,$A108,$BI$2:$BI$201,1,$G$2:$G$201,G108,$AM$2:$AM$201,"&lt;"&amp;AM108)=0,1,0),0)</f>
        <v/>
      </c>
      <c r="BK108" s="17">
        <f>IF(AND(BJ108=1,G108&lt;=Config!$B$5),J108,"")</f>
        <v/>
      </c>
      <c r="BL108" s="17">
        <f>IF(AND(AN108=1,OR(AND(ISNUMBER(R108),TRIM(S108)=""),AND(ISNUMBER(V108),TRIM(W108)=""))),1,0)</f>
        <v/>
      </c>
      <c r="BM108" s="17">
        <f>IF(AN108=1,AB108&amp;"","")</f>
        <v/>
      </c>
      <c r="BN108" s="17">
        <f>IF(AN108=1,AC108&amp;"","")</f>
        <v/>
      </c>
      <c r="BO108" s="17">
        <f>IF(AN108=1,AD108&amp;"","")</f>
        <v/>
      </c>
      <c r="BP108" s="17">
        <f>IF(AND(AN108=1,ISNUMBER(AI108),G108&lt;=Config!$B$5),AI108,"")</f>
        <v/>
      </c>
      <c r="BQ108" s="17">
        <f>IF(AN108=1,IF(COUNTIFS($A$2:$A$201,$A108,$AF$2:$AF$201,"Y",$AN$2:$AN$201,1)&gt;0,"Y","N"),"")</f>
        <v/>
      </c>
      <c r="BR108" s="17">
        <f>IF(AND(AN108=1,AF108="Y"),IF(COUNTIFS($A$2:$A$201,$A108,$AF$2:$AF$201,"Y",$AN$2:$AN$201,1,$G$2:$G$201,"&lt;"&amp;G108)+COUNTIFS($A$2:$A$201,$A108,$AF$2:$AF$201,"Y",$AN$2:$AN$201,1,$G$2:$G$201,G108,$AM$2:$AM$201,"&lt;"&amp;AM108)=0,1,0),0)</f>
        <v/>
      </c>
      <c r="BS108" s="17">
        <f>IF(AN108=1,IFERROR(MATCH($A108,INDEX(Clay_Brands!$A$2:$FZ$601,0,Sync!$D$5),0),""),"")</f>
        <v/>
      </c>
      <c r="BT108" s="17">
        <f>IF(BS108="","",IFERROR(INDEX(Clay_Brands!$A$2:$FZ$601,BS108,Sync!$D$7)&amp;"",""))</f>
        <v/>
      </c>
      <c r="BU108" s="17">
        <f>IF(BT108="","",IFERROR(INDEX(Lists!$J$2:$J$15,MATCH(BT108,Lists!$I$2:$I$15,0)),""))</f>
        <v/>
      </c>
      <c r="BV108" s="17">
        <f>IF(BS108="","",IFERROR(INDEX(Clay_Brands!$A$2:$FZ$601,BS108,Sync!$D$17)&amp;"",""))</f>
        <v/>
      </c>
      <c r="BW108" s="23">
        <f>IF(BS108="","",IFERROR(N(INDEX(Clay_Brands!$A$2:$FZ$601,BS108,Sync!$D$16)),0))</f>
        <v/>
      </c>
    </row>
    <row r="109">
      <c r="G109" s="22" t="n"/>
      <c r="AL109" s="17">
        <f>IF(TRIM($A109)="","",IF(AND(LEFT($A109,6)="SAMPLE",Config!$B$19&lt;&gt;"Y"),"",IF(NOT(ISNUMBER(G109)),"call_date is blank or not a date",IF(Sync!$D$5="","Clay paste is empty or has no row_id column: paste the Clay export on Clay_Brands",IF(BS109="","row_id not found in the Clay paste: add the Clay row or fix the row_id",IF(AND(ISNUMBER(BU109),BU109&gt;=1,BU109&lt;=5),"Clay status is "&amp;BT109&amp;": set call_done or later",IF(AND(AP109=1,BV109&lt;&gt;BQ109),"Clay yes_in_principle should be "&amp;BQ109,IF(AND(AP109=1,BW109&lt;&gt;G109),"Clay call_date should be "&amp;TEXT(G109,"yyyy-mm-dd"),""))))))))</f>
        <v/>
      </c>
      <c r="AM109" s="17">
        <f>ROW()</f>
        <v/>
      </c>
      <c r="AN109" s="17">
        <f>IF(AND(TRIM($A109)&lt;&gt;"",ISNUMBER(G109)),IF(AND(LEFT($A109,6)="SAMPLE",Config!$B$19&lt;&gt;"Y"),0,1),0)</f>
        <v/>
      </c>
      <c r="AO109" s="17">
        <f>IF(AN109=1,IF(COUNTIFS($A$2:$A$201,$A109,$AN$2:$AN$201,1,$G$2:$G$201,"&lt;"&amp;G109)+COUNTIFS($A$2:$A$201,$A109,$AN$2:$AN$201,1,$G$2:$G$201,G109,$AM$2:$AM$201,"&lt;"&amp;AM109)=0,1,0),0)</f>
        <v/>
      </c>
      <c r="AP109" s="17">
        <f>IF(AN109=1,IF(COUNTIFS($A$2:$A$201,$A109,$AN$2:$AN$201,1,$G$2:$G$201,"&gt;"&amp;G109)+COUNTIFS($A$2:$A$201,$A109,$AN$2:$AN$201,1,$G$2:$G$201,G109,$AM$2:$AM$201,"&gt;"&amp;AM109)=0,1,0),0)</f>
        <v/>
      </c>
      <c r="AQ109" s="17">
        <f>IF(AND(AN109=1,N109="Y",MAX(N(R109),N(V109))&gt;=Config!$B$14),1,0)</f>
        <v/>
      </c>
      <c r="AR109" s="17">
        <f>IF(AQ109=1,IF(COUNTIFS($A$2:$A$201,$A109,$AQ$2:$AQ$201,1,$G$2:$G$201,"&lt;"&amp;G109)+COUNTIFS($A$2:$A$201,$A109,$AQ$2:$AQ$201,1,$G$2:$G$201,G109,$AM$2:$AM$201,"&lt;"&amp;AM109)=0,1,0),0)</f>
        <v/>
      </c>
      <c r="AS109" s="17">
        <f>IF(AND(AN109=1,N109="Y",ISNUMBER(R109)),IF(R109&gt;=Config!$B$14,1,0),0)</f>
        <v/>
      </c>
      <c r="AT109" s="17">
        <f>IF(AS109=1,IF(COUNTIFS($A$2:$A$201,$A109,$AS$2:$AS$201,1,$G$2:$G$201,"&lt;"&amp;G109)+COUNTIFS($A$2:$A$201,$A109,$AS$2:$AS$201,1,$G$2:$G$201,G109,$AM$2:$AM$201,"&lt;"&amp;AM109)=0,1,0),0)</f>
        <v/>
      </c>
      <c r="AU109" s="17">
        <f>IF(AND(AN109=1,N109&lt;&gt;"Y",MAX(N(R109),N(V109))&gt;=Config!$B$14),1,0)</f>
        <v/>
      </c>
      <c r="AV109" s="17">
        <f>IF(AU109=1,IF(COUNTIFS($A$2:$A$201,$A109,$AU$2:$AU$201,1,$G$2:$G$201,"&lt;"&amp;G109)+COUNTIFS($A$2:$A$201,$A109,$AU$2:$AU$201,1,$G$2:$G$201,G109,$AM$2:$AM$201,"&lt;"&amp;AM109)=0,1,0),0)</f>
        <v/>
      </c>
      <c r="AW109" s="17">
        <f>IF(AND(AN109=1,ISNUMBER(R109)),1,0)</f>
        <v/>
      </c>
      <c r="AX109" s="17">
        <f>IF(AW109=1,IF(COUNTIFS($A$2:$A$201,$A109,$AW$2:$AW$201,1,$G$2:$G$201,"&lt;"&amp;G109)+COUNTIFS($A$2:$A$201,$A109,$AW$2:$AW$201,1,$G$2:$G$201,G109,$AM$2:$AM$201,"&lt;"&amp;AM109)=0,1,0),0)</f>
        <v/>
      </c>
      <c r="AY109" s="17">
        <f>IF(AND(AX109=1,G109&lt;=Config!$B$6),R109,"")</f>
        <v/>
      </c>
      <c r="AZ109" s="17">
        <f>IF(AND(AX109=1,G109&lt;=Config!$B$7),R109,"")</f>
        <v/>
      </c>
      <c r="BA109" s="17">
        <f>IF(AND(AX109=1,G109&lt;=Config!$B$8),R109,"")</f>
        <v/>
      </c>
      <c r="BB109" s="17">
        <f>IF(AND(AX109=1,G109&lt;=Config!$B$5),R109,"")</f>
        <v/>
      </c>
      <c r="BC109" s="17">
        <f>IF(AND(AN109=1,ISNUMBER(V109)),1,0)</f>
        <v/>
      </c>
      <c r="BD109" s="17">
        <f>IF(BC109=1,IF(COUNTIFS($A$2:$A$201,$A109,$BC$2:$BC$201,1,$G$2:$G$201,"&lt;"&amp;G109)+COUNTIFS($A$2:$A$201,$A109,$BC$2:$BC$201,1,$G$2:$G$201,G109,$AM$2:$AM$201,"&lt;"&amp;AM109)=0,1,0),0)</f>
        <v/>
      </c>
      <c r="BE109" s="17">
        <f>IF(AND(BD109=1,G109&lt;=Config!$B$6),V109,"")</f>
        <v/>
      </c>
      <c r="BF109" s="17">
        <f>IF(AND(BD109=1,G109&lt;=Config!$B$7),V109,"")</f>
        <v/>
      </c>
      <c r="BG109" s="17">
        <f>IF(AND(BD109=1,G109&lt;=Config!$B$8),V109,"")</f>
        <v/>
      </c>
      <c r="BH109" s="17">
        <f>IF(AND(BD109=1,G109&lt;=Config!$B$5),V109,"")</f>
        <v/>
      </c>
      <c r="BI109" s="17">
        <f>IF(AND(AN109=1,ISNUMBER(J109)),1,0)</f>
        <v/>
      </c>
      <c r="BJ109" s="17">
        <f>IF(BI109=1,IF(COUNTIFS($A$2:$A$201,$A109,$BI$2:$BI$201,1,$G$2:$G$201,"&lt;"&amp;G109)+COUNTIFS($A$2:$A$201,$A109,$BI$2:$BI$201,1,$G$2:$G$201,G109,$AM$2:$AM$201,"&lt;"&amp;AM109)=0,1,0),0)</f>
        <v/>
      </c>
      <c r="BK109" s="17">
        <f>IF(AND(BJ109=1,G109&lt;=Config!$B$5),J109,"")</f>
        <v/>
      </c>
      <c r="BL109" s="17">
        <f>IF(AND(AN109=1,OR(AND(ISNUMBER(R109),TRIM(S109)=""),AND(ISNUMBER(V109),TRIM(W109)=""))),1,0)</f>
        <v/>
      </c>
      <c r="BM109" s="17">
        <f>IF(AN109=1,AB109&amp;"","")</f>
        <v/>
      </c>
      <c r="BN109" s="17">
        <f>IF(AN109=1,AC109&amp;"","")</f>
        <v/>
      </c>
      <c r="BO109" s="17">
        <f>IF(AN109=1,AD109&amp;"","")</f>
        <v/>
      </c>
      <c r="BP109" s="17">
        <f>IF(AND(AN109=1,ISNUMBER(AI109),G109&lt;=Config!$B$5),AI109,"")</f>
        <v/>
      </c>
      <c r="BQ109" s="17">
        <f>IF(AN109=1,IF(COUNTIFS($A$2:$A$201,$A109,$AF$2:$AF$201,"Y",$AN$2:$AN$201,1)&gt;0,"Y","N"),"")</f>
        <v/>
      </c>
      <c r="BR109" s="17">
        <f>IF(AND(AN109=1,AF109="Y"),IF(COUNTIFS($A$2:$A$201,$A109,$AF$2:$AF$201,"Y",$AN$2:$AN$201,1,$G$2:$G$201,"&lt;"&amp;G109)+COUNTIFS($A$2:$A$201,$A109,$AF$2:$AF$201,"Y",$AN$2:$AN$201,1,$G$2:$G$201,G109,$AM$2:$AM$201,"&lt;"&amp;AM109)=0,1,0),0)</f>
        <v/>
      </c>
      <c r="BS109" s="17">
        <f>IF(AN109=1,IFERROR(MATCH($A109,INDEX(Clay_Brands!$A$2:$FZ$601,0,Sync!$D$5),0),""),"")</f>
        <v/>
      </c>
      <c r="BT109" s="17">
        <f>IF(BS109="","",IFERROR(INDEX(Clay_Brands!$A$2:$FZ$601,BS109,Sync!$D$7)&amp;"",""))</f>
        <v/>
      </c>
      <c r="BU109" s="17">
        <f>IF(BT109="","",IFERROR(INDEX(Lists!$J$2:$J$15,MATCH(BT109,Lists!$I$2:$I$15,0)),""))</f>
        <v/>
      </c>
      <c r="BV109" s="17">
        <f>IF(BS109="","",IFERROR(INDEX(Clay_Brands!$A$2:$FZ$601,BS109,Sync!$D$17)&amp;"",""))</f>
        <v/>
      </c>
      <c r="BW109" s="23">
        <f>IF(BS109="","",IFERROR(N(INDEX(Clay_Brands!$A$2:$FZ$601,BS109,Sync!$D$16)),0))</f>
        <v/>
      </c>
    </row>
    <row r="110">
      <c r="G110" s="22" t="n"/>
      <c r="AL110" s="17">
        <f>IF(TRIM($A110)="","",IF(AND(LEFT($A110,6)="SAMPLE",Config!$B$19&lt;&gt;"Y"),"",IF(NOT(ISNUMBER(G110)),"call_date is blank or not a date",IF(Sync!$D$5="","Clay paste is empty or has no row_id column: paste the Clay export on Clay_Brands",IF(BS110="","row_id not found in the Clay paste: add the Clay row or fix the row_id",IF(AND(ISNUMBER(BU110),BU110&gt;=1,BU110&lt;=5),"Clay status is "&amp;BT110&amp;": set call_done or later",IF(AND(AP110=1,BV110&lt;&gt;BQ110),"Clay yes_in_principle should be "&amp;BQ110,IF(AND(AP110=1,BW110&lt;&gt;G110),"Clay call_date should be "&amp;TEXT(G110,"yyyy-mm-dd"),""))))))))</f>
        <v/>
      </c>
      <c r="AM110" s="17">
        <f>ROW()</f>
        <v/>
      </c>
      <c r="AN110" s="17">
        <f>IF(AND(TRIM($A110)&lt;&gt;"",ISNUMBER(G110)),IF(AND(LEFT($A110,6)="SAMPLE",Config!$B$19&lt;&gt;"Y"),0,1),0)</f>
        <v/>
      </c>
      <c r="AO110" s="17">
        <f>IF(AN110=1,IF(COUNTIFS($A$2:$A$201,$A110,$AN$2:$AN$201,1,$G$2:$G$201,"&lt;"&amp;G110)+COUNTIFS($A$2:$A$201,$A110,$AN$2:$AN$201,1,$G$2:$G$201,G110,$AM$2:$AM$201,"&lt;"&amp;AM110)=0,1,0),0)</f>
        <v/>
      </c>
      <c r="AP110" s="17">
        <f>IF(AN110=1,IF(COUNTIFS($A$2:$A$201,$A110,$AN$2:$AN$201,1,$G$2:$G$201,"&gt;"&amp;G110)+COUNTIFS($A$2:$A$201,$A110,$AN$2:$AN$201,1,$G$2:$G$201,G110,$AM$2:$AM$201,"&gt;"&amp;AM110)=0,1,0),0)</f>
        <v/>
      </c>
      <c r="AQ110" s="17">
        <f>IF(AND(AN110=1,N110="Y",MAX(N(R110),N(V110))&gt;=Config!$B$14),1,0)</f>
        <v/>
      </c>
      <c r="AR110" s="17">
        <f>IF(AQ110=1,IF(COUNTIFS($A$2:$A$201,$A110,$AQ$2:$AQ$201,1,$G$2:$G$201,"&lt;"&amp;G110)+COUNTIFS($A$2:$A$201,$A110,$AQ$2:$AQ$201,1,$G$2:$G$201,G110,$AM$2:$AM$201,"&lt;"&amp;AM110)=0,1,0),0)</f>
        <v/>
      </c>
      <c r="AS110" s="17">
        <f>IF(AND(AN110=1,N110="Y",ISNUMBER(R110)),IF(R110&gt;=Config!$B$14,1,0),0)</f>
        <v/>
      </c>
      <c r="AT110" s="17">
        <f>IF(AS110=1,IF(COUNTIFS($A$2:$A$201,$A110,$AS$2:$AS$201,1,$G$2:$G$201,"&lt;"&amp;G110)+COUNTIFS($A$2:$A$201,$A110,$AS$2:$AS$201,1,$G$2:$G$201,G110,$AM$2:$AM$201,"&lt;"&amp;AM110)=0,1,0),0)</f>
        <v/>
      </c>
      <c r="AU110" s="17">
        <f>IF(AND(AN110=1,N110&lt;&gt;"Y",MAX(N(R110),N(V110))&gt;=Config!$B$14),1,0)</f>
        <v/>
      </c>
      <c r="AV110" s="17">
        <f>IF(AU110=1,IF(COUNTIFS($A$2:$A$201,$A110,$AU$2:$AU$201,1,$G$2:$G$201,"&lt;"&amp;G110)+COUNTIFS($A$2:$A$201,$A110,$AU$2:$AU$201,1,$G$2:$G$201,G110,$AM$2:$AM$201,"&lt;"&amp;AM110)=0,1,0),0)</f>
        <v/>
      </c>
      <c r="AW110" s="17">
        <f>IF(AND(AN110=1,ISNUMBER(R110)),1,0)</f>
        <v/>
      </c>
      <c r="AX110" s="17">
        <f>IF(AW110=1,IF(COUNTIFS($A$2:$A$201,$A110,$AW$2:$AW$201,1,$G$2:$G$201,"&lt;"&amp;G110)+COUNTIFS($A$2:$A$201,$A110,$AW$2:$AW$201,1,$G$2:$G$201,G110,$AM$2:$AM$201,"&lt;"&amp;AM110)=0,1,0),0)</f>
        <v/>
      </c>
      <c r="AY110" s="17">
        <f>IF(AND(AX110=1,G110&lt;=Config!$B$6),R110,"")</f>
        <v/>
      </c>
      <c r="AZ110" s="17">
        <f>IF(AND(AX110=1,G110&lt;=Config!$B$7),R110,"")</f>
        <v/>
      </c>
      <c r="BA110" s="17">
        <f>IF(AND(AX110=1,G110&lt;=Config!$B$8),R110,"")</f>
        <v/>
      </c>
      <c r="BB110" s="17">
        <f>IF(AND(AX110=1,G110&lt;=Config!$B$5),R110,"")</f>
        <v/>
      </c>
      <c r="BC110" s="17">
        <f>IF(AND(AN110=1,ISNUMBER(V110)),1,0)</f>
        <v/>
      </c>
      <c r="BD110" s="17">
        <f>IF(BC110=1,IF(COUNTIFS($A$2:$A$201,$A110,$BC$2:$BC$201,1,$G$2:$G$201,"&lt;"&amp;G110)+COUNTIFS($A$2:$A$201,$A110,$BC$2:$BC$201,1,$G$2:$G$201,G110,$AM$2:$AM$201,"&lt;"&amp;AM110)=0,1,0),0)</f>
        <v/>
      </c>
      <c r="BE110" s="17">
        <f>IF(AND(BD110=1,G110&lt;=Config!$B$6),V110,"")</f>
        <v/>
      </c>
      <c r="BF110" s="17">
        <f>IF(AND(BD110=1,G110&lt;=Config!$B$7),V110,"")</f>
        <v/>
      </c>
      <c r="BG110" s="17">
        <f>IF(AND(BD110=1,G110&lt;=Config!$B$8),V110,"")</f>
        <v/>
      </c>
      <c r="BH110" s="17">
        <f>IF(AND(BD110=1,G110&lt;=Config!$B$5),V110,"")</f>
        <v/>
      </c>
      <c r="BI110" s="17">
        <f>IF(AND(AN110=1,ISNUMBER(J110)),1,0)</f>
        <v/>
      </c>
      <c r="BJ110" s="17">
        <f>IF(BI110=1,IF(COUNTIFS($A$2:$A$201,$A110,$BI$2:$BI$201,1,$G$2:$G$201,"&lt;"&amp;G110)+COUNTIFS($A$2:$A$201,$A110,$BI$2:$BI$201,1,$G$2:$G$201,G110,$AM$2:$AM$201,"&lt;"&amp;AM110)=0,1,0),0)</f>
        <v/>
      </c>
      <c r="BK110" s="17">
        <f>IF(AND(BJ110=1,G110&lt;=Config!$B$5),J110,"")</f>
        <v/>
      </c>
      <c r="BL110" s="17">
        <f>IF(AND(AN110=1,OR(AND(ISNUMBER(R110),TRIM(S110)=""),AND(ISNUMBER(V110),TRIM(W110)=""))),1,0)</f>
        <v/>
      </c>
      <c r="BM110" s="17">
        <f>IF(AN110=1,AB110&amp;"","")</f>
        <v/>
      </c>
      <c r="BN110" s="17">
        <f>IF(AN110=1,AC110&amp;"","")</f>
        <v/>
      </c>
      <c r="BO110" s="17">
        <f>IF(AN110=1,AD110&amp;"","")</f>
        <v/>
      </c>
      <c r="BP110" s="17">
        <f>IF(AND(AN110=1,ISNUMBER(AI110),G110&lt;=Config!$B$5),AI110,"")</f>
        <v/>
      </c>
      <c r="BQ110" s="17">
        <f>IF(AN110=1,IF(COUNTIFS($A$2:$A$201,$A110,$AF$2:$AF$201,"Y",$AN$2:$AN$201,1)&gt;0,"Y","N"),"")</f>
        <v/>
      </c>
      <c r="BR110" s="17">
        <f>IF(AND(AN110=1,AF110="Y"),IF(COUNTIFS($A$2:$A$201,$A110,$AF$2:$AF$201,"Y",$AN$2:$AN$201,1,$G$2:$G$201,"&lt;"&amp;G110)+COUNTIFS($A$2:$A$201,$A110,$AF$2:$AF$201,"Y",$AN$2:$AN$201,1,$G$2:$G$201,G110,$AM$2:$AM$201,"&lt;"&amp;AM110)=0,1,0),0)</f>
        <v/>
      </c>
      <c r="BS110" s="17">
        <f>IF(AN110=1,IFERROR(MATCH($A110,INDEX(Clay_Brands!$A$2:$FZ$601,0,Sync!$D$5),0),""),"")</f>
        <v/>
      </c>
      <c r="BT110" s="17">
        <f>IF(BS110="","",IFERROR(INDEX(Clay_Brands!$A$2:$FZ$601,BS110,Sync!$D$7)&amp;"",""))</f>
        <v/>
      </c>
      <c r="BU110" s="17">
        <f>IF(BT110="","",IFERROR(INDEX(Lists!$J$2:$J$15,MATCH(BT110,Lists!$I$2:$I$15,0)),""))</f>
        <v/>
      </c>
      <c r="BV110" s="17">
        <f>IF(BS110="","",IFERROR(INDEX(Clay_Brands!$A$2:$FZ$601,BS110,Sync!$D$17)&amp;"",""))</f>
        <v/>
      </c>
      <c r="BW110" s="23">
        <f>IF(BS110="","",IFERROR(N(INDEX(Clay_Brands!$A$2:$FZ$601,BS110,Sync!$D$16)),0))</f>
        <v/>
      </c>
    </row>
    <row r="111">
      <c r="G111" s="22" t="n"/>
      <c r="AL111" s="17">
        <f>IF(TRIM($A111)="","",IF(AND(LEFT($A111,6)="SAMPLE",Config!$B$19&lt;&gt;"Y"),"",IF(NOT(ISNUMBER(G111)),"call_date is blank or not a date",IF(Sync!$D$5="","Clay paste is empty or has no row_id column: paste the Clay export on Clay_Brands",IF(BS111="","row_id not found in the Clay paste: add the Clay row or fix the row_id",IF(AND(ISNUMBER(BU111),BU111&gt;=1,BU111&lt;=5),"Clay status is "&amp;BT111&amp;": set call_done or later",IF(AND(AP111=1,BV111&lt;&gt;BQ111),"Clay yes_in_principle should be "&amp;BQ111,IF(AND(AP111=1,BW111&lt;&gt;G111),"Clay call_date should be "&amp;TEXT(G111,"yyyy-mm-dd"),""))))))))</f>
        <v/>
      </c>
      <c r="AM111" s="17">
        <f>ROW()</f>
        <v/>
      </c>
      <c r="AN111" s="17">
        <f>IF(AND(TRIM($A111)&lt;&gt;"",ISNUMBER(G111)),IF(AND(LEFT($A111,6)="SAMPLE",Config!$B$19&lt;&gt;"Y"),0,1),0)</f>
        <v/>
      </c>
      <c r="AO111" s="17">
        <f>IF(AN111=1,IF(COUNTIFS($A$2:$A$201,$A111,$AN$2:$AN$201,1,$G$2:$G$201,"&lt;"&amp;G111)+COUNTIFS($A$2:$A$201,$A111,$AN$2:$AN$201,1,$G$2:$G$201,G111,$AM$2:$AM$201,"&lt;"&amp;AM111)=0,1,0),0)</f>
        <v/>
      </c>
      <c r="AP111" s="17">
        <f>IF(AN111=1,IF(COUNTIFS($A$2:$A$201,$A111,$AN$2:$AN$201,1,$G$2:$G$201,"&gt;"&amp;G111)+COUNTIFS($A$2:$A$201,$A111,$AN$2:$AN$201,1,$G$2:$G$201,G111,$AM$2:$AM$201,"&gt;"&amp;AM111)=0,1,0),0)</f>
        <v/>
      </c>
      <c r="AQ111" s="17">
        <f>IF(AND(AN111=1,N111="Y",MAX(N(R111),N(V111))&gt;=Config!$B$14),1,0)</f>
        <v/>
      </c>
      <c r="AR111" s="17">
        <f>IF(AQ111=1,IF(COUNTIFS($A$2:$A$201,$A111,$AQ$2:$AQ$201,1,$G$2:$G$201,"&lt;"&amp;G111)+COUNTIFS($A$2:$A$201,$A111,$AQ$2:$AQ$201,1,$G$2:$G$201,G111,$AM$2:$AM$201,"&lt;"&amp;AM111)=0,1,0),0)</f>
        <v/>
      </c>
      <c r="AS111" s="17">
        <f>IF(AND(AN111=1,N111="Y",ISNUMBER(R111)),IF(R111&gt;=Config!$B$14,1,0),0)</f>
        <v/>
      </c>
      <c r="AT111" s="17">
        <f>IF(AS111=1,IF(COUNTIFS($A$2:$A$201,$A111,$AS$2:$AS$201,1,$G$2:$G$201,"&lt;"&amp;G111)+COUNTIFS($A$2:$A$201,$A111,$AS$2:$AS$201,1,$G$2:$G$201,G111,$AM$2:$AM$201,"&lt;"&amp;AM111)=0,1,0),0)</f>
        <v/>
      </c>
      <c r="AU111" s="17">
        <f>IF(AND(AN111=1,N111&lt;&gt;"Y",MAX(N(R111),N(V111))&gt;=Config!$B$14),1,0)</f>
        <v/>
      </c>
      <c r="AV111" s="17">
        <f>IF(AU111=1,IF(COUNTIFS($A$2:$A$201,$A111,$AU$2:$AU$201,1,$G$2:$G$201,"&lt;"&amp;G111)+COUNTIFS($A$2:$A$201,$A111,$AU$2:$AU$201,1,$G$2:$G$201,G111,$AM$2:$AM$201,"&lt;"&amp;AM111)=0,1,0),0)</f>
        <v/>
      </c>
      <c r="AW111" s="17">
        <f>IF(AND(AN111=1,ISNUMBER(R111)),1,0)</f>
        <v/>
      </c>
      <c r="AX111" s="17">
        <f>IF(AW111=1,IF(COUNTIFS($A$2:$A$201,$A111,$AW$2:$AW$201,1,$G$2:$G$201,"&lt;"&amp;G111)+COUNTIFS($A$2:$A$201,$A111,$AW$2:$AW$201,1,$G$2:$G$201,G111,$AM$2:$AM$201,"&lt;"&amp;AM111)=0,1,0),0)</f>
        <v/>
      </c>
      <c r="AY111" s="17">
        <f>IF(AND(AX111=1,G111&lt;=Config!$B$6),R111,"")</f>
        <v/>
      </c>
      <c r="AZ111" s="17">
        <f>IF(AND(AX111=1,G111&lt;=Config!$B$7),R111,"")</f>
        <v/>
      </c>
      <c r="BA111" s="17">
        <f>IF(AND(AX111=1,G111&lt;=Config!$B$8),R111,"")</f>
        <v/>
      </c>
      <c r="BB111" s="17">
        <f>IF(AND(AX111=1,G111&lt;=Config!$B$5),R111,"")</f>
        <v/>
      </c>
      <c r="BC111" s="17">
        <f>IF(AND(AN111=1,ISNUMBER(V111)),1,0)</f>
        <v/>
      </c>
      <c r="BD111" s="17">
        <f>IF(BC111=1,IF(COUNTIFS($A$2:$A$201,$A111,$BC$2:$BC$201,1,$G$2:$G$201,"&lt;"&amp;G111)+COUNTIFS($A$2:$A$201,$A111,$BC$2:$BC$201,1,$G$2:$G$201,G111,$AM$2:$AM$201,"&lt;"&amp;AM111)=0,1,0),0)</f>
        <v/>
      </c>
      <c r="BE111" s="17">
        <f>IF(AND(BD111=1,G111&lt;=Config!$B$6),V111,"")</f>
        <v/>
      </c>
      <c r="BF111" s="17">
        <f>IF(AND(BD111=1,G111&lt;=Config!$B$7),V111,"")</f>
        <v/>
      </c>
      <c r="BG111" s="17">
        <f>IF(AND(BD111=1,G111&lt;=Config!$B$8),V111,"")</f>
        <v/>
      </c>
      <c r="BH111" s="17">
        <f>IF(AND(BD111=1,G111&lt;=Config!$B$5),V111,"")</f>
        <v/>
      </c>
      <c r="BI111" s="17">
        <f>IF(AND(AN111=1,ISNUMBER(J111)),1,0)</f>
        <v/>
      </c>
      <c r="BJ111" s="17">
        <f>IF(BI111=1,IF(COUNTIFS($A$2:$A$201,$A111,$BI$2:$BI$201,1,$G$2:$G$201,"&lt;"&amp;G111)+COUNTIFS($A$2:$A$201,$A111,$BI$2:$BI$201,1,$G$2:$G$201,G111,$AM$2:$AM$201,"&lt;"&amp;AM111)=0,1,0),0)</f>
        <v/>
      </c>
      <c r="BK111" s="17">
        <f>IF(AND(BJ111=1,G111&lt;=Config!$B$5),J111,"")</f>
        <v/>
      </c>
      <c r="BL111" s="17">
        <f>IF(AND(AN111=1,OR(AND(ISNUMBER(R111),TRIM(S111)=""),AND(ISNUMBER(V111),TRIM(W111)=""))),1,0)</f>
        <v/>
      </c>
      <c r="BM111" s="17">
        <f>IF(AN111=1,AB111&amp;"","")</f>
        <v/>
      </c>
      <c r="BN111" s="17">
        <f>IF(AN111=1,AC111&amp;"","")</f>
        <v/>
      </c>
      <c r="BO111" s="17">
        <f>IF(AN111=1,AD111&amp;"","")</f>
        <v/>
      </c>
      <c r="BP111" s="17">
        <f>IF(AND(AN111=1,ISNUMBER(AI111),G111&lt;=Config!$B$5),AI111,"")</f>
        <v/>
      </c>
      <c r="BQ111" s="17">
        <f>IF(AN111=1,IF(COUNTIFS($A$2:$A$201,$A111,$AF$2:$AF$201,"Y",$AN$2:$AN$201,1)&gt;0,"Y","N"),"")</f>
        <v/>
      </c>
      <c r="BR111" s="17">
        <f>IF(AND(AN111=1,AF111="Y"),IF(COUNTIFS($A$2:$A$201,$A111,$AF$2:$AF$201,"Y",$AN$2:$AN$201,1,$G$2:$G$201,"&lt;"&amp;G111)+COUNTIFS($A$2:$A$201,$A111,$AF$2:$AF$201,"Y",$AN$2:$AN$201,1,$G$2:$G$201,G111,$AM$2:$AM$201,"&lt;"&amp;AM111)=0,1,0),0)</f>
        <v/>
      </c>
      <c r="BS111" s="17">
        <f>IF(AN111=1,IFERROR(MATCH($A111,INDEX(Clay_Brands!$A$2:$FZ$601,0,Sync!$D$5),0),""),"")</f>
        <v/>
      </c>
      <c r="BT111" s="17">
        <f>IF(BS111="","",IFERROR(INDEX(Clay_Brands!$A$2:$FZ$601,BS111,Sync!$D$7)&amp;"",""))</f>
        <v/>
      </c>
      <c r="BU111" s="17">
        <f>IF(BT111="","",IFERROR(INDEX(Lists!$J$2:$J$15,MATCH(BT111,Lists!$I$2:$I$15,0)),""))</f>
        <v/>
      </c>
      <c r="BV111" s="17">
        <f>IF(BS111="","",IFERROR(INDEX(Clay_Brands!$A$2:$FZ$601,BS111,Sync!$D$17)&amp;"",""))</f>
        <v/>
      </c>
      <c r="BW111" s="23">
        <f>IF(BS111="","",IFERROR(N(INDEX(Clay_Brands!$A$2:$FZ$601,BS111,Sync!$D$16)),0))</f>
        <v/>
      </c>
    </row>
    <row r="112">
      <c r="G112" s="22" t="n"/>
      <c r="AL112" s="17">
        <f>IF(TRIM($A112)="","",IF(AND(LEFT($A112,6)="SAMPLE",Config!$B$19&lt;&gt;"Y"),"",IF(NOT(ISNUMBER(G112)),"call_date is blank or not a date",IF(Sync!$D$5="","Clay paste is empty or has no row_id column: paste the Clay export on Clay_Brands",IF(BS112="","row_id not found in the Clay paste: add the Clay row or fix the row_id",IF(AND(ISNUMBER(BU112),BU112&gt;=1,BU112&lt;=5),"Clay status is "&amp;BT112&amp;": set call_done or later",IF(AND(AP112=1,BV112&lt;&gt;BQ112),"Clay yes_in_principle should be "&amp;BQ112,IF(AND(AP112=1,BW112&lt;&gt;G112),"Clay call_date should be "&amp;TEXT(G112,"yyyy-mm-dd"),""))))))))</f>
        <v/>
      </c>
      <c r="AM112" s="17">
        <f>ROW()</f>
        <v/>
      </c>
      <c r="AN112" s="17">
        <f>IF(AND(TRIM($A112)&lt;&gt;"",ISNUMBER(G112)),IF(AND(LEFT($A112,6)="SAMPLE",Config!$B$19&lt;&gt;"Y"),0,1),0)</f>
        <v/>
      </c>
      <c r="AO112" s="17">
        <f>IF(AN112=1,IF(COUNTIFS($A$2:$A$201,$A112,$AN$2:$AN$201,1,$G$2:$G$201,"&lt;"&amp;G112)+COUNTIFS($A$2:$A$201,$A112,$AN$2:$AN$201,1,$G$2:$G$201,G112,$AM$2:$AM$201,"&lt;"&amp;AM112)=0,1,0),0)</f>
        <v/>
      </c>
      <c r="AP112" s="17">
        <f>IF(AN112=1,IF(COUNTIFS($A$2:$A$201,$A112,$AN$2:$AN$201,1,$G$2:$G$201,"&gt;"&amp;G112)+COUNTIFS($A$2:$A$201,$A112,$AN$2:$AN$201,1,$G$2:$G$201,G112,$AM$2:$AM$201,"&gt;"&amp;AM112)=0,1,0),0)</f>
        <v/>
      </c>
      <c r="AQ112" s="17">
        <f>IF(AND(AN112=1,N112="Y",MAX(N(R112),N(V112))&gt;=Config!$B$14),1,0)</f>
        <v/>
      </c>
      <c r="AR112" s="17">
        <f>IF(AQ112=1,IF(COUNTIFS($A$2:$A$201,$A112,$AQ$2:$AQ$201,1,$G$2:$G$201,"&lt;"&amp;G112)+COUNTIFS($A$2:$A$201,$A112,$AQ$2:$AQ$201,1,$G$2:$G$201,G112,$AM$2:$AM$201,"&lt;"&amp;AM112)=0,1,0),0)</f>
        <v/>
      </c>
      <c r="AS112" s="17">
        <f>IF(AND(AN112=1,N112="Y",ISNUMBER(R112)),IF(R112&gt;=Config!$B$14,1,0),0)</f>
        <v/>
      </c>
      <c r="AT112" s="17">
        <f>IF(AS112=1,IF(COUNTIFS($A$2:$A$201,$A112,$AS$2:$AS$201,1,$G$2:$G$201,"&lt;"&amp;G112)+COUNTIFS($A$2:$A$201,$A112,$AS$2:$AS$201,1,$G$2:$G$201,G112,$AM$2:$AM$201,"&lt;"&amp;AM112)=0,1,0),0)</f>
        <v/>
      </c>
      <c r="AU112" s="17">
        <f>IF(AND(AN112=1,N112&lt;&gt;"Y",MAX(N(R112),N(V112))&gt;=Config!$B$14),1,0)</f>
        <v/>
      </c>
      <c r="AV112" s="17">
        <f>IF(AU112=1,IF(COUNTIFS($A$2:$A$201,$A112,$AU$2:$AU$201,1,$G$2:$G$201,"&lt;"&amp;G112)+COUNTIFS($A$2:$A$201,$A112,$AU$2:$AU$201,1,$G$2:$G$201,G112,$AM$2:$AM$201,"&lt;"&amp;AM112)=0,1,0),0)</f>
        <v/>
      </c>
      <c r="AW112" s="17">
        <f>IF(AND(AN112=1,ISNUMBER(R112)),1,0)</f>
        <v/>
      </c>
      <c r="AX112" s="17">
        <f>IF(AW112=1,IF(COUNTIFS($A$2:$A$201,$A112,$AW$2:$AW$201,1,$G$2:$G$201,"&lt;"&amp;G112)+COUNTIFS($A$2:$A$201,$A112,$AW$2:$AW$201,1,$G$2:$G$201,G112,$AM$2:$AM$201,"&lt;"&amp;AM112)=0,1,0),0)</f>
        <v/>
      </c>
      <c r="AY112" s="17">
        <f>IF(AND(AX112=1,G112&lt;=Config!$B$6),R112,"")</f>
        <v/>
      </c>
      <c r="AZ112" s="17">
        <f>IF(AND(AX112=1,G112&lt;=Config!$B$7),R112,"")</f>
        <v/>
      </c>
      <c r="BA112" s="17">
        <f>IF(AND(AX112=1,G112&lt;=Config!$B$8),R112,"")</f>
        <v/>
      </c>
      <c r="BB112" s="17">
        <f>IF(AND(AX112=1,G112&lt;=Config!$B$5),R112,"")</f>
        <v/>
      </c>
      <c r="BC112" s="17">
        <f>IF(AND(AN112=1,ISNUMBER(V112)),1,0)</f>
        <v/>
      </c>
      <c r="BD112" s="17">
        <f>IF(BC112=1,IF(COUNTIFS($A$2:$A$201,$A112,$BC$2:$BC$201,1,$G$2:$G$201,"&lt;"&amp;G112)+COUNTIFS($A$2:$A$201,$A112,$BC$2:$BC$201,1,$G$2:$G$201,G112,$AM$2:$AM$201,"&lt;"&amp;AM112)=0,1,0),0)</f>
        <v/>
      </c>
      <c r="BE112" s="17">
        <f>IF(AND(BD112=1,G112&lt;=Config!$B$6),V112,"")</f>
        <v/>
      </c>
      <c r="BF112" s="17">
        <f>IF(AND(BD112=1,G112&lt;=Config!$B$7),V112,"")</f>
        <v/>
      </c>
      <c r="BG112" s="17">
        <f>IF(AND(BD112=1,G112&lt;=Config!$B$8),V112,"")</f>
        <v/>
      </c>
      <c r="BH112" s="17">
        <f>IF(AND(BD112=1,G112&lt;=Config!$B$5),V112,"")</f>
        <v/>
      </c>
      <c r="BI112" s="17">
        <f>IF(AND(AN112=1,ISNUMBER(J112)),1,0)</f>
        <v/>
      </c>
      <c r="BJ112" s="17">
        <f>IF(BI112=1,IF(COUNTIFS($A$2:$A$201,$A112,$BI$2:$BI$201,1,$G$2:$G$201,"&lt;"&amp;G112)+COUNTIFS($A$2:$A$201,$A112,$BI$2:$BI$201,1,$G$2:$G$201,G112,$AM$2:$AM$201,"&lt;"&amp;AM112)=0,1,0),0)</f>
        <v/>
      </c>
      <c r="BK112" s="17">
        <f>IF(AND(BJ112=1,G112&lt;=Config!$B$5),J112,"")</f>
        <v/>
      </c>
      <c r="BL112" s="17">
        <f>IF(AND(AN112=1,OR(AND(ISNUMBER(R112),TRIM(S112)=""),AND(ISNUMBER(V112),TRIM(W112)=""))),1,0)</f>
        <v/>
      </c>
      <c r="BM112" s="17">
        <f>IF(AN112=1,AB112&amp;"","")</f>
        <v/>
      </c>
      <c r="BN112" s="17">
        <f>IF(AN112=1,AC112&amp;"","")</f>
        <v/>
      </c>
      <c r="BO112" s="17">
        <f>IF(AN112=1,AD112&amp;"","")</f>
        <v/>
      </c>
      <c r="BP112" s="17">
        <f>IF(AND(AN112=1,ISNUMBER(AI112),G112&lt;=Config!$B$5),AI112,"")</f>
        <v/>
      </c>
      <c r="BQ112" s="17">
        <f>IF(AN112=1,IF(COUNTIFS($A$2:$A$201,$A112,$AF$2:$AF$201,"Y",$AN$2:$AN$201,1)&gt;0,"Y","N"),"")</f>
        <v/>
      </c>
      <c r="BR112" s="17">
        <f>IF(AND(AN112=1,AF112="Y"),IF(COUNTIFS($A$2:$A$201,$A112,$AF$2:$AF$201,"Y",$AN$2:$AN$201,1,$G$2:$G$201,"&lt;"&amp;G112)+COUNTIFS($A$2:$A$201,$A112,$AF$2:$AF$201,"Y",$AN$2:$AN$201,1,$G$2:$G$201,G112,$AM$2:$AM$201,"&lt;"&amp;AM112)=0,1,0),0)</f>
        <v/>
      </c>
      <c r="BS112" s="17">
        <f>IF(AN112=1,IFERROR(MATCH($A112,INDEX(Clay_Brands!$A$2:$FZ$601,0,Sync!$D$5),0),""),"")</f>
        <v/>
      </c>
      <c r="BT112" s="17">
        <f>IF(BS112="","",IFERROR(INDEX(Clay_Brands!$A$2:$FZ$601,BS112,Sync!$D$7)&amp;"",""))</f>
        <v/>
      </c>
      <c r="BU112" s="17">
        <f>IF(BT112="","",IFERROR(INDEX(Lists!$J$2:$J$15,MATCH(BT112,Lists!$I$2:$I$15,0)),""))</f>
        <v/>
      </c>
      <c r="BV112" s="17">
        <f>IF(BS112="","",IFERROR(INDEX(Clay_Brands!$A$2:$FZ$601,BS112,Sync!$D$17)&amp;"",""))</f>
        <v/>
      </c>
      <c r="BW112" s="23">
        <f>IF(BS112="","",IFERROR(N(INDEX(Clay_Brands!$A$2:$FZ$601,BS112,Sync!$D$16)),0))</f>
        <v/>
      </c>
    </row>
    <row r="113">
      <c r="G113" s="22" t="n"/>
      <c r="AL113" s="17">
        <f>IF(TRIM($A113)="","",IF(AND(LEFT($A113,6)="SAMPLE",Config!$B$19&lt;&gt;"Y"),"",IF(NOT(ISNUMBER(G113)),"call_date is blank or not a date",IF(Sync!$D$5="","Clay paste is empty or has no row_id column: paste the Clay export on Clay_Brands",IF(BS113="","row_id not found in the Clay paste: add the Clay row or fix the row_id",IF(AND(ISNUMBER(BU113),BU113&gt;=1,BU113&lt;=5),"Clay status is "&amp;BT113&amp;": set call_done or later",IF(AND(AP113=1,BV113&lt;&gt;BQ113),"Clay yes_in_principle should be "&amp;BQ113,IF(AND(AP113=1,BW113&lt;&gt;G113),"Clay call_date should be "&amp;TEXT(G113,"yyyy-mm-dd"),""))))))))</f>
        <v/>
      </c>
      <c r="AM113" s="17">
        <f>ROW()</f>
        <v/>
      </c>
      <c r="AN113" s="17">
        <f>IF(AND(TRIM($A113)&lt;&gt;"",ISNUMBER(G113)),IF(AND(LEFT($A113,6)="SAMPLE",Config!$B$19&lt;&gt;"Y"),0,1),0)</f>
        <v/>
      </c>
      <c r="AO113" s="17">
        <f>IF(AN113=1,IF(COUNTIFS($A$2:$A$201,$A113,$AN$2:$AN$201,1,$G$2:$G$201,"&lt;"&amp;G113)+COUNTIFS($A$2:$A$201,$A113,$AN$2:$AN$201,1,$G$2:$G$201,G113,$AM$2:$AM$201,"&lt;"&amp;AM113)=0,1,0),0)</f>
        <v/>
      </c>
      <c r="AP113" s="17">
        <f>IF(AN113=1,IF(COUNTIFS($A$2:$A$201,$A113,$AN$2:$AN$201,1,$G$2:$G$201,"&gt;"&amp;G113)+COUNTIFS($A$2:$A$201,$A113,$AN$2:$AN$201,1,$G$2:$G$201,G113,$AM$2:$AM$201,"&gt;"&amp;AM113)=0,1,0),0)</f>
        <v/>
      </c>
      <c r="AQ113" s="17">
        <f>IF(AND(AN113=1,N113="Y",MAX(N(R113),N(V113))&gt;=Config!$B$14),1,0)</f>
        <v/>
      </c>
      <c r="AR113" s="17">
        <f>IF(AQ113=1,IF(COUNTIFS($A$2:$A$201,$A113,$AQ$2:$AQ$201,1,$G$2:$G$201,"&lt;"&amp;G113)+COUNTIFS($A$2:$A$201,$A113,$AQ$2:$AQ$201,1,$G$2:$G$201,G113,$AM$2:$AM$201,"&lt;"&amp;AM113)=0,1,0),0)</f>
        <v/>
      </c>
      <c r="AS113" s="17">
        <f>IF(AND(AN113=1,N113="Y",ISNUMBER(R113)),IF(R113&gt;=Config!$B$14,1,0),0)</f>
        <v/>
      </c>
      <c r="AT113" s="17">
        <f>IF(AS113=1,IF(COUNTIFS($A$2:$A$201,$A113,$AS$2:$AS$201,1,$G$2:$G$201,"&lt;"&amp;G113)+COUNTIFS($A$2:$A$201,$A113,$AS$2:$AS$201,1,$G$2:$G$201,G113,$AM$2:$AM$201,"&lt;"&amp;AM113)=0,1,0),0)</f>
        <v/>
      </c>
      <c r="AU113" s="17">
        <f>IF(AND(AN113=1,N113&lt;&gt;"Y",MAX(N(R113),N(V113))&gt;=Config!$B$14),1,0)</f>
        <v/>
      </c>
      <c r="AV113" s="17">
        <f>IF(AU113=1,IF(COUNTIFS($A$2:$A$201,$A113,$AU$2:$AU$201,1,$G$2:$G$201,"&lt;"&amp;G113)+COUNTIFS($A$2:$A$201,$A113,$AU$2:$AU$201,1,$G$2:$G$201,G113,$AM$2:$AM$201,"&lt;"&amp;AM113)=0,1,0),0)</f>
        <v/>
      </c>
      <c r="AW113" s="17">
        <f>IF(AND(AN113=1,ISNUMBER(R113)),1,0)</f>
        <v/>
      </c>
      <c r="AX113" s="17">
        <f>IF(AW113=1,IF(COUNTIFS($A$2:$A$201,$A113,$AW$2:$AW$201,1,$G$2:$G$201,"&lt;"&amp;G113)+COUNTIFS($A$2:$A$201,$A113,$AW$2:$AW$201,1,$G$2:$G$201,G113,$AM$2:$AM$201,"&lt;"&amp;AM113)=0,1,0),0)</f>
        <v/>
      </c>
      <c r="AY113" s="17">
        <f>IF(AND(AX113=1,G113&lt;=Config!$B$6),R113,"")</f>
        <v/>
      </c>
      <c r="AZ113" s="17">
        <f>IF(AND(AX113=1,G113&lt;=Config!$B$7),R113,"")</f>
        <v/>
      </c>
      <c r="BA113" s="17">
        <f>IF(AND(AX113=1,G113&lt;=Config!$B$8),R113,"")</f>
        <v/>
      </c>
      <c r="BB113" s="17">
        <f>IF(AND(AX113=1,G113&lt;=Config!$B$5),R113,"")</f>
        <v/>
      </c>
      <c r="BC113" s="17">
        <f>IF(AND(AN113=1,ISNUMBER(V113)),1,0)</f>
        <v/>
      </c>
      <c r="BD113" s="17">
        <f>IF(BC113=1,IF(COUNTIFS($A$2:$A$201,$A113,$BC$2:$BC$201,1,$G$2:$G$201,"&lt;"&amp;G113)+COUNTIFS($A$2:$A$201,$A113,$BC$2:$BC$201,1,$G$2:$G$201,G113,$AM$2:$AM$201,"&lt;"&amp;AM113)=0,1,0),0)</f>
        <v/>
      </c>
      <c r="BE113" s="17">
        <f>IF(AND(BD113=1,G113&lt;=Config!$B$6),V113,"")</f>
        <v/>
      </c>
      <c r="BF113" s="17">
        <f>IF(AND(BD113=1,G113&lt;=Config!$B$7),V113,"")</f>
        <v/>
      </c>
      <c r="BG113" s="17">
        <f>IF(AND(BD113=1,G113&lt;=Config!$B$8),V113,"")</f>
        <v/>
      </c>
      <c r="BH113" s="17">
        <f>IF(AND(BD113=1,G113&lt;=Config!$B$5),V113,"")</f>
        <v/>
      </c>
      <c r="BI113" s="17">
        <f>IF(AND(AN113=1,ISNUMBER(J113)),1,0)</f>
        <v/>
      </c>
      <c r="BJ113" s="17">
        <f>IF(BI113=1,IF(COUNTIFS($A$2:$A$201,$A113,$BI$2:$BI$201,1,$G$2:$G$201,"&lt;"&amp;G113)+COUNTIFS($A$2:$A$201,$A113,$BI$2:$BI$201,1,$G$2:$G$201,G113,$AM$2:$AM$201,"&lt;"&amp;AM113)=0,1,0),0)</f>
        <v/>
      </c>
      <c r="BK113" s="17">
        <f>IF(AND(BJ113=1,G113&lt;=Config!$B$5),J113,"")</f>
        <v/>
      </c>
      <c r="BL113" s="17">
        <f>IF(AND(AN113=1,OR(AND(ISNUMBER(R113),TRIM(S113)=""),AND(ISNUMBER(V113),TRIM(W113)=""))),1,0)</f>
        <v/>
      </c>
      <c r="BM113" s="17">
        <f>IF(AN113=1,AB113&amp;"","")</f>
        <v/>
      </c>
      <c r="BN113" s="17">
        <f>IF(AN113=1,AC113&amp;"","")</f>
        <v/>
      </c>
      <c r="BO113" s="17">
        <f>IF(AN113=1,AD113&amp;"","")</f>
        <v/>
      </c>
      <c r="BP113" s="17">
        <f>IF(AND(AN113=1,ISNUMBER(AI113),G113&lt;=Config!$B$5),AI113,"")</f>
        <v/>
      </c>
      <c r="BQ113" s="17">
        <f>IF(AN113=1,IF(COUNTIFS($A$2:$A$201,$A113,$AF$2:$AF$201,"Y",$AN$2:$AN$201,1)&gt;0,"Y","N"),"")</f>
        <v/>
      </c>
      <c r="BR113" s="17">
        <f>IF(AND(AN113=1,AF113="Y"),IF(COUNTIFS($A$2:$A$201,$A113,$AF$2:$AF$201,"Y",$AN$2:$AN$201,1,$G$2:$G$201,"&lt;"&amp;G113)+COUNTIFS($A$2:$A$201,$A113,$AF$2:$AF$201,"Y",$AN$2:$AN$201,1,$G$2:$G$201,G113,$AM$2:$AM$201,"&lt;"&amp;AM113)=0,1,0),0)</f>
        <v/>
      </c>
      <c r="BS113" s="17">
        <f>IF(AN113=1,IFERROR(MATCH($A113,INDEX(Clay_Brands!$A$2:$FZ$601,0,Sync!$D$5),0),""),"")</f>
        <v/>
      </c>
      <c r="BT113" s="17">
        <f>IF(BS113="","",IFERROR(INDEX(Clay_Brands!$A$2:$FZ$601,BS113,Sync!$D$7)&amp;"",""))</f>
        <v/>
      </c>
      <c r="BU113" s="17">
        <f>IF(BT113="","",IFERROR(INDEX(Lists!$J$2:$J$15,MATCH(BT113,Lists!$I$2:$I$15,0)),""))</f>
        <v/>
      </c>
      <c r="BV113" s="17">
        <f>IF(BS113="","",IFERROR(INDEX(Clay_Brands!$A$2:$FZ$601,BS113,Sync!$D$17)&amp;"",""))</f>
        <v/>
      </c>
      <c r="BW113" s="23">
        <f>IF(BS113="","",IFERROR(N(INDEX(Clay_Brands!$A$2:$FZ$601,BS113,Sync!$D$16)),0))</f>
        <v/>
      </c>
    </row>
    <row r="114">
      <c r="G114" s="22" t="n"/>
      <c r="AL114" s="17">
        <f>IF(TRIM($A114)="","",IF(AND(LEFT($A114,6)="SAMPLE",Config!$B$19&lt;&gt;"Y"),"",IF(NOT(ISNUMBER(G114)),"call_date is blank or not a date",IF(Sync!$D$5="","Clay paste is empty or has no row_id column: paste the Clay export on Clay_Brands",IF(BS114="","row_id not found in the Clay paste: add the Clay row or fix the row_id",IF(AND(ISNUMBER(BU114),BU114&gt;=1,BU114&lt;=5),"Clay status is "&amp;BT114&amp;": set call_done or later",IF(AND(AP114=1,BV114&lt;&gt;BQ114),"Clay yes_in_principle should be "&amp;BQ114,IF(AND(AP114=1,BW114&lt;&gt;G114),"Clay call_date should be "&amp;TEXT(G114,"yyyy-mm-dd"),""))))))))</f>
        <v/>
      </c>
      <c r="AM114" s="17">
        <f>ROW()</f>
        <v/>
      </c>
      <c r="AN114" s="17">
        <f>IF(AND(TRIM($A114)&lt;&gt;"",ISNUMBER(G114)),IF(AND(LEFT($A114,6)="SAMPLE",Config!$B$19&lt;&gt;"Y"),0,1),0)</f>
        <v/>
      </c>
      <c r="AO114" s="17">
        <f>IF(AN114=1,IF(COUNTIFS($A$2:$A$201,$A114,$AN$2:$AN$201,1,$G$2:$G$201,"&lt;"&amp;G114)+COUNTIFS($A$2:$A$201,$A114,$AN$2:$AN$201,1,$G$2:$G$201,G114,$AM$2:$AM$201,"&lt;"&amp;AM114)=0,1,0),0)</f>
        <v/>
      </c>
      <c r="AP114" s="17">
        <f>IF(AN114=1,IF(COUNTIFS($A$2:$A$201,$A114,$AN$2:$AN$201,1,$G$2:$G$201,"&gt;"&amp;G114)+COUNTIFS($A$2:$A$201,$A114,$AN$2:$AN$201,1,$G$2:$G$201,G114,$AM$2:$AM$201,"&gt;"&amp;AM114)=0,1,0),0)</f>
        <v/>
      </c>
      <c r="AQ114" s="17">
        <f>IF(AND(AN114=1,N114="Y",MAX(N(R114),N(V114))&gt;=Config!$B$14),1,0)</f>
        <v/>
      </c>
      <c r="AR114" s="17">
        <f>IF(AQ114=1,IF(COUNTIFS($A$2:$A$201,$A114,$AQ$2:$AQ$201,1,$G$2:$G$201,"&lt;"&amp;G114)+COUNTIFS($A$2:$A$201,$A114,$AQ$2:$AQ$201,1,$G$2:$G$201,G114,$AM$2:$AM$201,"&lt;"&amp;AM114)=0,1,0),0)</f>
        <v/>
      </c>
      <c r="AS114" s="17">
        <f>IF(AND(AN114=1,N114="Y",ISNUMBER(R114)),IF(R114&gt;=Config!$B$14,1,0),0)</f>
        <v/>
      </c>
      <c r="AT114" s="17">
        <f>IF(AS114=1,IF(COUNTIFS($A$2:$A$201,$A114,$AS$2:$AS$201,1,$G$2:$G$201,"&lt;"&amp;G114)+COUNTIFS($A$2:$A$201,$A114,$AS$2:$AS$201,1,$G$2:$G$201,G114,$AM$2:$AM$201,"&lt;"&amp;AM114)=0,1,0),0)</f>
        <v/>
      </c>
      <c r="AU114" s="17">
        <f>IF(AND(AN114=1,N114&lt;&gt;"Y",MAX(N(R114),N(V114))&gt;=Config!$B$14),1,0)</f>
        <v/>
      </c>
      <c r="AV114" s="17">
        <f>IF(AU114=1,IF(COUNTIFS($A$2:$A$201,$A114,$AU$2:$AU$201,1,$G$2:$G$201,"&lt;"&amp;G114)+COUNTIFS($A$2:$A$201,$A114,$AU$2:$AU$201,1,$G$2:$G$201,G114,$AM$2:$AM$201,"&lt;"&amp;AM114)=0,1,0),0)</f>
        <v/>
      </c>
      <c r="AW114" s="17">
        <f>IF(AND(AN114=1,ISNUMBER(R114)),1,0)</f>
        <v/>
      </c>
      <c r="AX114" s="17">
        <f>IF(AW114=1,IF(COUNTIFS($A$2:$A$201,$A114,$AW$2:$AW$201,1,$G$2:$G$201,"&lt;"&amp;G114)+COUNTIFS($A$2:$A$201,$A114,$AW$2:$AW$201,1,$G$2:$G$201,G114,$AM$2:$AM$201,"&lt;"&amp;AM114)=0,1,0),0)</f>
        <v/>
      </c>
      <c r="AY114" s="17">
        <f>IF(AND(AX114=1,G114&lt;=Config!$B$6),R114,"")</f>
        <v/>
      </c>
      <c r="AZ114" s="17">
        <f>IF(AND(AX114=1,G114&lt;=Config!$B$7),R114,"")</f>
        <v/>
      </c>
      <c r="BA114" s="17">
        <f>IF(AND(AX114=1,G114&lt;=Config!$B$8),R114,"")</f>
        <v/>
      </c>
      <c r="BB114" s="17">
        <f>IF(AND(AX114=1,G114&lt;=Config!$B$5),R114,"")</f>
        <v/>
      </c>
      <c r="BC114" s="17">
        <f>IF(AND(AN114=1,ISNUMBER(V114)),1,0)</f>
        <v/>
      </c>
      <c r="BD114" s="17">
        <f>IF(BC114=1,IF(COUNTIFS($A$2:$A$201,$A114,$BC$2:$BC$201,1,$G$2:$G$201,"&lt;"&amp;G114)+COUNTIFS($A$2:$A$201,$A114,$BC$2:$BC$201,1,$G$2:$G$201,G114,$AM$2:$AM$201,"&lt;"&amp;AM114)=0,1,0),0)</f>
        <v/>
      </c>
      <c r="BE114" s="17">
        <f>IF(AND(BD114=1,G114&lt;=Config!$B$6),V114,"")</f>
        <v/>
      </c>
      <c r="BF114" s="17">
        <f>IF(AND(BD114=1,G114&lt;=Config!$B$7),V114,"")</f>
        <v/>
      </c>
      <c r="BG114" s="17">
        <f>IF(AND(BD114=1,G114&lt;=Config!$B$8),V114,"")</f>
        <v/>
      </c>
      <c r="BH114" s="17">
        <f>IF(AND(BD114=1,G114&lt;=Config!$B$5),V114,"")</f>
        <v/>
      </c>
      <c r="BI114" s="17">
        <f>IF(AND(AN114=1,ISNUMBER(J114)),1,0)</f>
        <v/>
      </c>
      <c r="BJ114" s="17">
        <f>IF(BI114=1,IF(COUNTIFS($A$2:$A$201,$A114,$BI$2:$BI$201,1,$G$2:$G$201,"&lt;"&amp;G114)+COUNTIFS($A$2:$A$201,$A114,$BI$2:$BI$201,1,$G$2:$G$201,G114,$AM$2:$AM$201,"&lt;"&amp;AM114)=0,1,0),0)</f>
        <v/>
      </c>
      <c r="BK114" s="17">
        <f>IF(AND(BJ114=1,G114&lt;=Config!$B$5),J114,"")</f>
        <v/>
      </c>
      <c r="BL114" s="17">
        <f>IF(AND(AN114=1,OR(AND(ISNUMBER(R114),TRIM(S114)=""),AND(ISNUMBER(V114),TRIM(W114)=""))),1,0)</f>
        <v/>
      </c>
      <c r="BM114" s="17">
        <f>IF(AN114=1,AB114&amp;"","")</f>
        <v/>
      </c>
      <c r="BN114" s="17">
        <f>IF(AN114=1,AC114&amp;"","")</f>
        <v/>
      </c>
      <c r="BO114" s="17">
        <f>IF(AN114=1,AD114&amp;"","")</f>
        <v/>
      </c>
      <c r="BP114" s="17">
        <f>IF(AND(AN114=1,ISNUMBER(AI114),G114&lt;=Config!$B$5),AI114,"")</f>
        <v/>
      </c>
      <c r="BQ114" s="17">
        <f>IF(AN114=1,IF(COUNTIFS($A$2:$A$201,$A114,$AF$2:$AF$201,"Y",$AN$2:$AN$201,1)&gt;0,"Y","N"),"")</f>
        <v/>
      </c>
      <c r="BR114" s="17">
        <f>IF(AND(AN114=1,AF114="Y"),IF(COUNTIFS($A$2:$A$201,$A114,$AF$2:$AF$201,"Y",$AN$2:$AN$201,1,$G$2:$G$201,"&lt;"&amp;G114)+COUNTIFS($A$2:$A$201,$A114,$AF$2:$AF$201,"Y",$AN$2:$AN$201,1,$G$2:$G$201,G114,$AM$2:$AM$201,"&lt;"&amp;AM114)=0,1,0),0)</f>
        <v/>
      </c>
      <c r="BS114" s="17">
        <f>IF(AN114=1,IFERROR(MATCH($A114,INDEX(Clay_Brands!$A$2:$FZ$601,0,Sync!$D$5),0),""),"")</f>
        <v/>
      </c>
      <c r="BT114" s="17">
        <f>IF(BS114="","",IFERROR(INDEX(Clay_Brands!$A$2:$FZ$601,BS114,Sync!$D$7)&amp;"",""))</f>
        <v/>
      </c>
      <c r="BU114" s="17">
        <f>IF(BT114="","",IFERROR(INDEX(Lists!$J$2:$J$15,MATCH(BT114,Lists!$I$2:$I$15,0)),""))</f>
        <v/>
      </c>
      <c r="BV114" s="17">
        <f>IF(BS114="","",IFERROR(INDEX(Clay_Brands!$A$2:$FZ$601,BS114,Sync!$D$17)&amp;"",""))</f>
        <v/>
      </c>
      <c r="BW114" s="23">
        <f>IF(BS114="","",IFERROR(N(INDEX(Clay_Brands!$A$2:$FZ$601,BS114,Sync!$D$16)),0))</f>
        <v/>
      </c>
    </row>
    <row r="115">
      <c r="G115" s="22" t="n"/>
      <c r="AL115" s="17">
        <f>IF(TRIM($A115)="","",IF(AND(LEFT($A115,6)="SAMPLE",Config!$B$19&lt;&gt;"Y"),"",IF(NOT(ISNUMBER(G115)),"call_date is blank or not a date",IF(Sync!$D$5="","Clay paste is empty or has no row_id column: paste the Clay export on Clay_Brands",IF(BS115="","row_id not found in the Clay paste: add the Clay row or fix the row_id",IF(AND(ISNUMBER(BU115),BU115&gt;=1,BU115&lt;=5),"Clay status is "&amp;BT115&amp;": set call_done or later",IF(AND(AP115=1,BV115&lt;&gt;BQ115),"Clay yes_in_principle should be "&amp;BQ115,IF(AND(AP115=1,BW115&lt;&gt;G115),"Clay call_date should be "&amp;TEXT(G115,"yyyy-mm-dd"),""))))))))</f>
        <v/>
      </c>
      <c r="AM115" s="17">
        <f>ROW()</f>
        <v/>
      </c>
      <c r="AN115" s="17">
        <f>IF(AND(TRIM($A115)&lt;&gt;"",ISNUMBER(G115)),IF(AND(LEFT($A115,6)="SAMPLE",Config!$B$19&lt;&gt;"Y"),0,1),0)</f>
        <v/>
      </c>
      <c r="AO115" s="17">
        <f>IF(AN115=1,IF(COUNTIFS($A$2:$A$201,$A115,$AN$2:$AN$201,1,$G$2:$G$201,"&lt;"&amp;G115)+COUNTIFS($A$2:$A$201,$A115,$AN$2:$AN$201,1,$G$2:$G$201,G115,$AM$2:$AM$201,"&lt;"&amp;AM115)=0,1,0),0)</f>
        <v/>
      </c>
      <c r="AP115" s="17">
        <f>IF(AN115=1,IF(COUNTIFS($A$2:$A$201,$A115,$AN$2:$AN$201,1,$G$2:$G$201,"&gt;"&amp;G115)+COUNTIFS($A$2:$A$201,$A115,$AN$2:$AN$201,1,$G$2:$G$201,G115,$AM$2:$AM$201,"&gt;"&amp;AM115)=0,1,0),0)</f>
        <v/>
      </c>
      <c r="AQ115" s="17">
        <f>IF(AND(AN115=1,N115="Y",MAX(N(R115),N(V115))&gt;=Config!$B$14),1,0)</f>
        <v/>
      </c>
      <c r="AR115" s="17">
        <f>IF(AQ115=1,IF(COUNTIFS($A$2:$A$201,$A115,$AQ$2:$AQ$201,1,$G$2:$G$201,"&lt;"&amp;G115)+COUNTIFS($A$2:$A$201,$A115,$AQ$2:$AQ$201,1,$G$2:$G$201,G115,$AM$2:$AM$201,"&lt;"&amp;AM115)=0,1,0),0)</f>
        <v/>
      </c>
      <c r="AS115" s="17">
        <f>IF(AND(AN115=1,N115="Y",ISNUMBER(R115)),IF(R115&gt;=Config!$B$14,1,0),0)</f>
        <v/>
      </c>
      <c r="AT115" s="17">
        <f>IF(AS115=1,IF(COUNTIFS($A$2:$A$201,$A115,$AS$2:$AS$201,1,$G$2:$G$201,"&lt;"&amp;G115)+COUNTIFS($A$2:$A$201,$A115,$AS$2:$AS$201,1,$G$2:$G$201,G115,$AM$2:$AM$201,"&lt;"&amp;AM115)=0,1,0),0)</f>
        <v/>
      </c>
      <c r="AU115" s="17">
        <f>IF(AND(AN115=1,N115&lt;&gt;"Y",MAX(N(R115),N(V115))&gt;=Config!$B$14),1,0)</f>
        <v/>
      </c>
      <c r="AV115" s="17">
        <f>IF(AU115=1,IF(COUNTIFS($A$2:$A$201,$A115,$AU$2:$AU$201,1,$G$2:$G$201,"&lt;"&amp;G115)+COUNTIFS($A$2:$A$201,$A115,$AU$2:$AU$201,1,$G$2:$G$201,G115,$AM$2:$AM$201,"&lt;"&amp;AM115)=0,1,0),0)</f>
        <v/>
      </c>
      <c r="AW115" s="17">
        <f>IF(AND(AN115=1,ISNUMBER(R115)),1,0)</f>
        <v/>
      </c>
      <c r="AX115" s="17">
        <f>IF(AW115=1,IF(COUNTIFS($A$2:$A$201,$A115,$AW$2:$AW$201,1,$G$2:$G$201,"&lt;"&amp;G115)+COUNTIFS($A$2:$A$201,$A115,$AW$2:$AW$201,1,$G$2:$G$201,G115,$AM$2:$AM$201,"&lt;"&amp;AM115)=0,1,0),0)</f>
        <v/>
      </c>
      <c r="AY115" s="17">
        <f>IF(AND(AX115=1,G115&lt;=Config!$B$6),R115,"")</f>
        <v/>
      </c>
      <c r="AZ115" s="17">
        <f>IF(AND(AX115=1,G115&lt;=Config!$B$7),R115,"")</f>
        <v/>
      </c>
      <c r="BA115" s="17">
        <f>IF(AND(AX115=1,G115&lt;=Config!$B$8),R115,"")</f>
        <v/>
      </c>
      <c r="BB115" s="17">
        <f>IF(AND(AX115=1,G115&lt;=Config!$B$5),R115,"")</f>
        <v/>
      </c>
      <c r="BC115" s="17">
        <f>IF(AND(AN115=1,ISNUMBER(V115)),1,0)</f>
        <v/>
      </c>
      <c r="BD115" s="17">
        <f>IF(BC115=1,IF(COUNTIFS($A$2:$A$201,$A115,$BC$2:$BC$201,1,$G$2:$G$201,"&lt;"&amp;G115)+COUNTIFS($A$2:$A$201,$A115,$BC$2:$BC$201,1,$G$2:$G$201,G115,$AM$2:$AM$201,"&lt;"&amp;AM115)=0,1,0),0)</f>
        <v/>
      </c>
      <c r="BE115" s="17">
        <f>IF(AND(BD115=1,G115&lt;=Config!$B$6),V115,"")</f>
        <v/>
      </c>
      <c r="BF115" s="17">
        <f>IF(AND(BD115=1,G115&lt;=Config!$B$7),V115,"")</f>
        <v/>
      </c>
      <c r="BG115" s="17">
        <f>IF(AND(BD115=1,G115&lt;=Config!$B$8),V115,"")</f>
        <v/>
      </c>
      <c r="BH115" s="17">
        <f>IF(AND(BD115=1,G115&lt;=Config!$B$5),V115,"")</f>
        <v/>
      </c>
      <c r="BI115" s="17">
        <f>IF(AND(AN115=1,ISNUMBER(J115)),1,0)</f>
        <v/>
      </c>
      <c r="BJ115" s="17">
        <f>IF(BI115=1,IF(COUNTIFS($A$2:$A$201,$A115,$BI$2:$BI$201,1,$G$2:$G$201,"&lt;"&amp;G115)+COUNTIFS($A$2:$A$201,$A115,$BI$2:$BI$201,1,$G$2:$G$201,G115,$AM$2:$AM$201,"&lt;"&amp;AM115)=0,1,0),0)</f>
        <v/>
      </c>
      <c r="BK115" s="17">
        <f>IF(AND(BJ115=1,G115&lt;=Config!$B$5),J115,"")</f>
        <v/>
      </c>
      <c r="BL115" s="17">
        <f>IF(AND(AN115=1,OR(AND(ISNUMBER(R115),TRIM(S115)=""),AND(ISNUMBER(V115),TRIM(W115)=""))),1,0)</f>
        <v/>
      </c>
      <c r="BM115" s="17">
        <f>IF(AN115=1,AB115&amp;"","")</f>
        <v/>
      </c>
      <c r="BN115" s="17">
        <f>IF(AN115=1,AC115&amp;"","")</f>
        <v/>
      </c>
      <c r="BO115" s="17">
        <f>IF(AN115=1,AD115&amp;"","")</f>
        <v/>
      </c>
      <c r="BP115" s="17">
        <f>IF(AND(AN115=1,ISNUMBER(AI115),G115&lt;=Config!$B$5),AI115,"")</f>
        <v/>
      </c>
      <c r="BQ115" s="17">
        <f>IF(AN115=1,IF(COUNTIFS($A$2:$A$201,$A115,$AF$2:$AF$201,"Y",$AN$2:$AN$201,1)&gt;0,"Y","N"),"")</f>
        <v/>
      </c>
      <c r="BR115" s="17">
        <f>IF(AND(AN115=1,AF115="Y"),IF(COUNTIFS($A$2:$A$201,$A115,$AF$2:$AF$201,"Y",$AN$2:$AN$201,1,$G$2:$G$201,"&lt;"&amp;G115)+COUNTIFS($A$2:$A$201,$A115,$AF$2:$AF$201,"Y",$AN$2:$AN$201,1,$G$2:$G$201,G115,$AM$2:$AM$201,"&lt;"&amp;AM115)=0,1,0),0)</f>
        <v/>
      </c>
      <c r="BS115" s="17">
        <f>IF(AN115=1,IFERROR(MATCH($A115,INDEX(Clay_Brands!$A$2:$FZ$601,0,Sync!$D$5),0),""),"")</f>
        <v/>
      </c>
      <c r="BT115" s="17">
        <f>IF(BS115="","",IFERROR(INDEX(Clay_Brands!$A$2:$FZ$601,BS115,Sync!$D$7)&amp;"",""))</f>
        <v/>
      </c>
      <c r="BU115" s="17">
        <f>IF(BT115="","",IFERROR(INDEX(Lists!$J$2:$J$15,MATCH(BT115,Lists!$I$2:$I$15,0)),""))</f>
        <v/>
      </c>
      <c r="BV115" s="17">
        <f>IF(BS115="","",IFERROR(INDEX(Clay_Brands!$A$2:$FZ$601,BS115,Sync!$D$17)&amp;"",""))</f>
        <v/>
      </c>
      <c r="BW115" s="23">
        <f>IF(BS115="","",IFERROR(N(INDEX(Clay_Brands!$A$2:$FZ$601,BS115,Sync!$D$16)),0))</f>
        <v/>
      </c>
    </row>
    <row r="116">
      <c r="G116" s="22" t="n"/>
      <c r="AL116" s="17">
        <f>IF(TRIM($A116)="","",IF(AND(LEFT($A116,6)="SAMPLE",Config!$B$19&lt;&gt;"Y"),"",IF(NOT(ISNUMBER(G116)),"call_date is blank or not a date",IF(Sync!$D$5="","Clay paste is empty or has no row_id column: paste the Clay export on Clay_Brands",IF(BS116="","row_id not found in the Clay paste: add the Clay row or fix the row_id",IF(AND(ISNUMBER(BU116),BU116&gt;=1,BU116&lt;=5),"Clay status is "&amp;BT116&amp;": set call_done or later",IF(AND(AP116=1,BV116&lt;&gt;BQ116),"Clay yes_in_principle should be "&amp;BQ116,IF(AND(AP116=1,BW116&lt;&gt;G116),"Clay call_date should be "&amp;TEXT(G116,"yyyy-mm-dd"),""))))))))</f>
        <v/>
      </c>
      <c r="AM116" s="17">
        <f>ROW()</f>
        <v/>
      </c>
      <c r="AN116" s="17">
        <f>IF(AND(TRIM($A116)&lt;&gt;"",ISNUMBER(G116)),IF(AND(LEFT($A116,6)="SAMPLE",Config!$B$19&lt;&gt;"Y"),0,1),0)</f>
        <v/>
      </c>
      <c r="AO116" s="17">
        <f>IF(AN116=1,IF(COUNTIFS($A$2:$A$201,$A116,$AN$2:$AN$201,1,$G$2:$G$201,"&lt;"&amp;G116)+COUNTIFS($A$2:$A$201,$A116,$AN$2:$AN$201,1,$G$2:$G$201,G116,$AM$2:$AM$201,"&lt;"&amp;AM116)=0,1,0),0)</f>
        <v/>
      </c>
      <c r="AP116" s="17">
        <f>IF(AN116=1,IF(COUNTIFS($A$2:$A$201,$A116,$AN$2:$AN$201,1,$G$2:$G$201,"&gt;"&amp;G116)+COUNTIFS($A$2:$A$201,$A116,$AN$2:$AN$201,1,$G$2:$G$201,G116,$AM$2:$AM$201,"&gt;"&amp;AM116)=0,1,0),0)</f>
        <v/>
      </c>
      <c r="AQ116" s="17">
        <f>IF(AND(AN116=1,N116="Y",MAX(N(R116),N(V116))&gt;=Config!$B$14),1,0)</f>
        <v/>
      </c>
      <c r="AR116" s="17">
        <f>IF(AQ116=1,IF(COUNTIFS($A$2:$A$201,$A116,$AQ$2:$AQ$201,1,$G$2:$G$201,"&lt;"&amp;G116)+COUNTIFS($A$2:$A$201,$A116,$AQ$2:$AQ$201,1,$G$2:$G$201,G116,$AM$2:$AM$201,"&lt;"&amp;AM116)=0,1,0),0)</f>
        <v/>
      </c>
      <c r="AS116" s="17">
        <f>IF(AND(AN116=1,N116="Y",ISNUMBER(R116)),IF(R116&gt;=Config!$B$14,1,0),0)</f>
        <v/>
      </c>
      <c r="AT116" s="17">
        <f>IF(AS116=1,IF(COUNTIFS($A$2:$A$201,$A116,$AS$2:$AS$201,1,$G$2:$G$201,"&lt;"&amp;G116)+COUNTIFS($A$2:$A$201,$A116,$AS$2:$AS$201,1,$G$2:$G$201,G116,$AM$2:$AM$201,"&lt;"&amp;AM116)=0,1,0),0)</f>
        <v/>
      </c>
      <c r="AU116" s="17">
        <f>IF(AND(AN116=1,N116&lt;&gt;"Y",MAX(N(R116),N(V116))&gt;=Config!$B$14),1,0)</f>
        <v/>
      </c>
      <c r="AV116" s="17">
        <f>IF(AU116=1,IF(COUNTIFS($A$2:$A$201,$A116,$AU$2:$AU$201,1,$G$2:$G$201,"&lt;"&amp;G116)+COUNTIFS($A$2:$A$201,$A116,$AU$2:$AU$201,1,$G$2:$G$201,G116,$AM$2:$AM$201,"&lt;"&amp;AM116)=0,1,0),0)</f>
        <v/>
      </c>
      <c r="AW116" s="17">
        <f>IF(AND(AN116=1,ISNUMBER(R116)),1,0)</f>
        <v/>
      </c>
      <c r="AX116" s="17">
        <f>IF(AW116=1,IF(COUNTIFS($A$2:$A$201,$A116,$AW$2:$AW$201,1,$G$2:$G$201,"&lt;"&amp;G116)+COUNTIFS($A$2:$A$201,$A116,$AW$2:$AW$201,1,$G$2:$G$201,G116,$AM$2:$AM$201,"&lt;"&amp;AM116)=0,1,0),0)</f>
        <v/>
      </c>
      <c r="AY116" s="17">
        <f>IF(AND(AX116=1,G116&lt;=Config!$B$6),R116,"")</f>
        <v/>
      </c>
      <c r="AZ116" s="17">
        <f>IF(AND(AX116=1,G116&lt;=Config!$B$7),R116,"")</f>
        <v/>
      </c>
      <c r="BA116" s="17">
        <f>IF(AND(AX116=1,G116&lt;=Config!$B$8),R116,"")</f>
        <v/>
      </c>
      <c r="BB116" s="17">
        <f>IF(AND(AX116=1,G116&lt;=Config!$B$5),R116,"")</f>
        <v/>
      </c>
      <c r="BC116" s="17">
        <f>IF(AND(AN116=1,ISNUMBER(V116)),1,0)</f>
        <v/>
      </c>
      <c r="BD116" s="17">
        <f>IF(BC116=1,IF(COUNTIFS($A$2:$A$201,$A116,$BC$2:$BC$201,1,$G$2:$G$201,"&lt;"&amp;G116)+COUNTIFS($A$2:$A$201,$A116,$BC$2:$BC$201,1,$G$2:$G$201,G116,$AM$2:$AM$201,"&lt;"&amp;AM116)=0,1,0),0)</f>
        <v/>
      </c>
      <c r="BE116" s="17">
        <f>IF(AND(BD116=1,G116&lt;=Config!$B$6),V116,"")</f>
        <v/>
      </c>
      <c r="BF116" s="17">
        <f>IF(AND(BD116=1,G116&lt;=Config!$B$7),V116,"")</f>
        <v/>
      </c>
      <c r="BG116" s="17">
        <f>IF(AND(BD116=1,G116&lt;=Config!$B$8),V116,"")</f>
        <v/>
      </c>
      <c r="BH116" s="17">
        <f>IF(AND(BD116=1,G116&lt;=Config!$B$5),V116,"")</f>
        <v/>
      </c>
      <c r="BI116" s="17">
        <f>IF(AND(AN116=1,ISNUMBER(J116)),1,0)</f>
        <v/>
      </c>
      <c r="BJ116" s="17">
        <f>IF(BI116=1,IF(COUNTIFS($A$2:$A$201,$A116,$BI$2:$BI$201,1,$G$2:$G$201,"&lt;"&amp;G116)+COUNTIFS($A$2:$A$201,$A116,$BI$2:$BI$201,1,$G$2:$G$201,G116,$AM$2:$AM$201,"&lt;"&amp;AM116)=0,1,0),0)</f>
        <v/>
      </c>
      <c r="BK116" s="17">
        <f>IF(AND(BJ116=1,G116&lt;=Config!$B$5),J116,"")</f>
        <v/>
      </c>
      <c r="BL116" s="17">
        <f>IF(AND(AN116=1,OR(AND(ISNUMBER(R116),TRIM(S116)=""),AND(ISNUMBER(V116),TRIM(W116)=""))),1,0)</f>
        <v/>
      </c>
      <c r="BM116" s="17">
        <f>IF(AN116=1,AB116&amp;"","")</f>
        <v/>
      </c>
      <c r="BN116" s="17">
        <f>IF(AN116=1,AC116&amp;"","")</f>
        <v/>
      </c>
      <c r="BO116" s="17">
        <f>IF(AN116=1,AD116&amp;"","")</f>
        <v/>
      </c>
      <c r="BP116" s="17">
        <f>IF(AND(AN116=1,ISNUMBER(AI116),G116&lt;=Config!$B$5),AI116,"")</f>
        <v/>
      </c>
      <c r="BQ116" s="17">
        <f>IF(AN116=1,IF(COUNTIFS($A$2:$A$201,$A116,$AF$2:$AF$201,"Y",$AN$2:$AN$201,1)&gt;0,"Y","N"),"")</f>
        <v/>
      </c>
      <c r="BR116" s="17">
        <f>IF(AND(AN116=1,AF116="Y"),IF(COUNTIFS($A$2:$A$201,$A116,$AF$2:$AF$201,"Y",$AN$2:$AN$201,1,$G$2:$G$201,"&lt;"&amp;G116)+COUNTIFS($A$2:$A$201,$A116,$AF$2:$AF$201,"Y",$AN$2:$AN$201,1,$G$2:$G$201,G116,$AM$2:$AM$201,"&lt;"&amp;AM116)=0,1,0),0)</f>
        <v/>
      </c>
      <c r="BS116" s="17">
        <f>IF(AN116=1,IFERROR(MATCH($A116,INDEX(Clay_Brands!$A$2:$FZ$601,0,Sync!$D$5),0),""),"")</f>
        <v/>
      </c>
      <c r="BT116" s="17">
        <f>IF(BS116="","",IFERROR(INDEX(Clay_Brands!$A$2:$FZ$601,BS116,Sync!$D$7)&amp;"",""))</f>
        <v/>
      </c>
      <c r="BU116" s="17">
        <f>IF(BT116="","",IFERROR(INDEX(Lists!$J$2:$J$15,MATCH(BT116,Lists!$I$2:$I$15,0)),""))</f>
        <v/>
      </c>
      <c r="BV116" s="17">
        <f>IF(BS116="","",IFERROR(INDEX(Clay_Brands!$A$2:$FZ$601,BS116,Sync!$D$17)&amp;"",""))</f>
        <v/>
      </c>
      <c r="BW116" s="23">
        <f>IF(BS116="","",IFERROR(N(INDEX(Clay_Brands!$A$2:$FZ$601,BS116,Sync!$D$16)),0))</f>
        <v/>
      </c>
    </row>
    <row r="117">
      <c r="G117" s="22" t="n"/>
      <c r="AL117" s="17">
        <f>IF(TRIM($A117)="","",IF(AND(LEFT($A117,6)="SAMPLE",Config!$B$19&lt;&gt;"Y"),"",IF(NOT(ISNUMBER(G117)),"call_date is blank or not a date",IF(Sync!$D$5="","Clay paste is empty or has no row_id column: paste the Clay export on Clay_Brands",IF(BS117="","row_id not found in the Clay paste: add the Clay row or fix the row_id",IF(AND(ISNUMBER(BU117),BU117&gt;=1,BU117&lt;=5),"Clay status is "&amp;BT117&amp;": set call_done or later",IF(AND(AP117=1,BV117&lt;&gt;BQ117),"Clay yes_in_principle should be "&amp;BQ117,IF(AND(AP117=1,BW117&lt;&gt;G117),"Clay call_date should be "&amp;TEXT(G117,"yyyy-mm-dd"),""))))))))</f>
        <v/>
      </c>
      <c r="AM117" s="17">
        <f>ROW()</f>
        <v/>
      </c>
      <c r="AN117" s="17">
        <f>IF(AND(TRIM($A117)&lt;&gt;"",ISNUMBER(G117)),IF(AND(LEFT($A117,6)="SAMPLE",Config!$B$19&lt;&gt;"Y"),0,1),0)</f>
        <v/>
      </c>
      <c r="AO117" s="17">
        <f>IF(AN117=1,IF(COUNTIFS($A$2:$A$201,$A117,$AN$2:$AN$201,1,$G$2:$G$201,"&lt;"&amp;G117)+COUNTIFS($A$2:$A$201,$A117,$AN$2:$AN$201,1,$G$2:$G$201,G117,$AM$2:$AM$201,"&lt;"&amp;AM117)=0,1,0),0)</f>
        <v/>
      </c>
      <c r="AP117" s="17">
        <f>IF(AN117=1,IF(COUNTIFS($A$2:$A$201,$A117,$AN$2:$AN$201,1,$G$2:$G$201,"&gt;"&amp;G117)+COUNTIFS($A$2:$A$201,$A117,$AN$2:$AN$201,1,$G$2:$G$201,G117,$AM$2:$AM$201,"&gt;"&amp;AM117)=0,1,0),0)</f>
        <v/>
      </c>
      <c r="AQ117" s="17">
        <f>IF(AND(AN117=1,N117="Y",MAX(N(R117),N(V117))&gt;=Config!$B$14),1,0)</f>
        <v/>
      </c>
      <c r="AR117" s="17">
        <f>IF(AQ117=1,IF(COUNTIFS($A$2:$A$201,$A117,$AQ$2:$AQ$201,1,$G$2:$G$201,"&lt;"&amp;G117)+COUNTIFS($A$2:$A$201,$A117,$AQ$2:$AQ$201,1,$G$2:$G$201,G117,$AM$2:$AM$201,"&lt;"&amp;AM117)=0,1,0),0)</f>
        <v/>
      </c>
      <c r="AS117" s="17">
        <f>IF(AND(AN117=1,N117="Y",ISNUMBER(R117)),IF(R117&gt;=Config!$B$14,1,0),0)</f>
        <v/>
      </c>
      <c r="AT117" s="17">
        <f>IF(AS117=1,IF(COUNTIFS($A$2:$A$201,$A117,$AS$2:$AS$201,1,$G$2:$G$201,"&lt;"&amp;G117)+COUNTIFS($A$2:$A$201,$A117,$AS$2:$AS$201,1,$G$2:$G$201,G117,$AM$2:$AM$201,"&lt;"&amp;AM117)=0,1,0),0)</f>
        <v/>
      </c>
      <c r="AU117" s="17">
        <f>IF(AND(AN117=1,N117&lt;&gt;"Y",MAX(N(R117),N(V117))&gt;=Config!$B$14),1,0)</f>
        <v/>
      </c>
      <c r="AV117" s="17">
        <f>IF(AU117=1,IF(COUNTIFS($A$2:$A$201,$A117,$AU$2:$AU$201,1,$G$2:$G$201,"&lt;"&amp;G117)+COUNTIFS($A$2:$A$201,$A117,$AU$2:$AU$201,1,$G$2:$G$201,G117,$AM$2:$AM$201,"&lt;"&amp;AM117)=0,1,0),0)</f>
        <v/>
      </c>
      <c r="AW117" s="17">
        <f>IF(AND(AN117=1,ISNUMBER(R117)),1,0)</f>
        <v/>
      </c>
      <c r="AX117" s="17">
        <f>IF(AW117=1,IF(COUNTIFS($A$2:$A$201,$A117,$AW$2:$AW$201,1,$G$2:$G$201,"&lt;"&amp;G117)+COUNTIFS($A$2:$A$201,$A117,$AW$2:$AW$201,1,$G$2:$G$201,G117,$AM$2:$AM$201,"&lt;"&amp;AM117)=0,1,0),0)</f>
        <v/>
      </c>
      <c r="AY117" s="17">
        <f>IF(AND(AX117=1,G117&lt;=Config!$B$6),R117,"")</f>
        <v/>
      </c>
      <c r="AZ117" s="17">
        <f>IF(AND(AX117=1,G117&lt;=Config!$B$7),R117,"")</f>
        <v/>
      </c>
      <c r="BA117" s="17">
        <f>IF(AND(AX117=1,G117&lt;=Config!$B$8),R117,"")</f>
        <v/>
      </c>
      <c r="BB117" s="17">
        <f>IF(AND(AX117=1,G117&lt;=Config!$B$5),R117,"")</f>
        <v/>
      </c>
      <c r="BC117" s="17">
        <f>IF(AND(AN117=1,ISNUMBER(V117)),1,0)</f>
        <v/>
      </c>
      <c r="BD117" s="17">
        <f>IF(BC117=1,IF(COUNTIFS($A$2:$A$201,$A117,$BC$2:$BC$201,1,$G$2:$G$201,"&lt;"&amp;G117)+COUNTIFS($A$2:$A$201,$A117,$BC$2:$BC$201,1,$G$2:$G$201,G117,$AM$2:$AM$201,"&lt;"&amp;AM117)=0,1,0),0)</f>
        <v/>
      </c>
      <c r="BE117" s="17">
        <f>IF(AND(BD117=1,G117&lt;=Config!$B$6),V117,"")</f>
        <v/>
      </c>
      <c r="BF117" s="17">
        <f>IF(AND(BD117=1,G117&lt;=Config!$B$7),V117,"")</f>
        <v/>
      </c>
      <c r="BG117" s="17">
        <f>IF(AND(BD117=1,G117&lt;=Config!$B$8),V117,"")</f>
        <v/>
      </c>
      <c r="BH117" s="17">
        <f>IF(AND(BD117=1,G117&lt;=Config!$B$5),V117,"")</f>
        <v/>
      </c>
      <c r="BI117" s="17">
        <f>IF(AND(AN117=1,ISNUMBER(J117)),1,0)</f>
        <v/>
      </c>
      <c r="BJ117" s="17">
        <f>IF(BI117=1,IF(COUNTIFS($A$2:$A$201,$A117,$BI$2:$BI$201,1,$G$2:$G$201,"&lt;"&amp;G117)+COUNTIFS($A$2:$A$201,$A117,$BI$2:$BI$201,1,$G$2:$G$201,G117,$AM$2:$AM$201,"&lt;"&amp;AM117)=0,1,0),0)</f>
        <v/>
      </c>
      <c r="BK117" s="17">
        <f>IF(AND(BJ117=1,G117&lt;=Config!$B$5),J117,"")</f>
        <v/>
      </c>
      <c r="BL117" s="17">
        <f>IF(AND(AN117=1,OR(AND(ISNUMBER(R117),TRIM(S117)=""),AND(ISNUMBER(V117),TRIM(W117)=""))),1,0)</f>
        <v/>
      </c>
      <c r="BM117" s="17">
        <f>IF(AN117=1,AB117&amp;"","")</f>
        <v/>
      </c>
      <c r="BN117" s="17">
        <f>IF(AN117=1,AC117&amp;"","")</f>
        <v/>
      </c>
      <c r="BO117" s="17">
        <f>IF(AN117=1,AD117&amp;"","")</f>
        <v/>
      </c>
      <c r="BP117" s="17">
        <f>IF(AND(AN117=1,ISNUMBER(AI117),G117&lt;=Config!$B$5),AI117,"")</f>
        <v/>
      </c>
      <c r="BQ117" s="17">
        <f>IF(AN117=1,IF(COUNTIFS($A$2:$A$201,$A117,$AF$2:$AF$201,"Y",$AN$2:$AN$201,1)&gt;0,"Y","N"),"")</f>
        <v/>
      </c>
      <c r="BR117" s="17">
        <f>IF(AND(AN117=1,AF117="Y"),IF(COUNTIFS($A$2:$A$201,$A117,$AF$2:$AF$201,"Y",$AN$2:$AN$201,1,$G$2:$G$201,"&lt;"&amp;G117)+COUNTIFS($A$2:$A$201,$A117,$AF$2:$AF$201,"Y",$AN$2:$AN$201,1,$G$2:$G$201,G117,$AM$2:$AM$201,"&lt;"&amp;AM117)=0,1,0),0)</f>
        <v/>
      </c>
      <c r="BS117" s="17">
        <f>IF(AN117=1,IFERROR(MATCH($A117,INDEX(Clay_Brands!$A$2:$FZ$601,0,Sync!$D$5),0),""),"")</f>
        <v/>
      </c>
      <c r="BT117" s="17">
        <f>IF(BS117="","",IFERROR(INDEX(Clay_Brands!$A$2:$FZ$601,BS117,Sync!$D$7)&amp;"",""))</f>
        <v/>
      </c>
      <c r="BU117" s="17">
        <f>IF(BT117="","",IFERROR(INDEX(Lists!$J$2:$J$15,MATCH(BT117,Lists!$I$2:$I$15,0)),""))</f>
        <v/>
      </c>
      <c r="BV117" s="17">
        <f>IF(BS117="","",IFERROR(INDEX(Clay_Brands!$A$2:$FZ$601,BS117,Sync!$D$17)&amp;"",""))</f>
        <v/>
      </c>
      <c r="BW117" s="23">
        <f>IF(BS117="","",IFERROR(N(INDEX(Clay_Brands!$A$2:$FZ$601,BS117,Sync!$D$16)),0))</f>
        <v/>
      </c>
    </row>
    <row r="118">
      <c r="G118" s="22" t="n"/>
      <c r="AL118" s="17">
        <f>IF(TRIM($A118)="","",IF(AND(LEFT($A118,6)="SAMPLE",Config!$B$19&lt;&gt;"Y"),"",IF(NOT(ISNUMBER(G118)),"call_date is blank or not a date",IF(Sync!$D$5="","Clay paste is empty or has no row_id column: paste the Clay export on Clay_Brands",IF(BS118="","row_id not found in the Clay paste: add the Clay row or fix the row_id",IF(AND(ISNUMBER(BU118),BU118&gt;=1,BU118&lt;=5),"Clay status is "&amp;BT118&amp;": set call_done or later",IF(AND(AP118=1,BV118&lt;&gt;BQ118),"Clay yes_in_principle should be "&amp;BQ118,IF(AND(AP118=1,BW118&lt;&gt;G118),"Clay call_date should be "&amp;TEXT(G118,"yyyy-mm-dd"),""))))))))</f>
        <v/>
      </c>
      <c r="AM118" s="17">
        <f>ROW()</f>
        <v/>
      </c>
      <c r="AN118" s="17">
        <f>IF(AND(TRIM($A118)&lt;&gt;"",ISNUMBER(G118)),IF(AND(LEFT($A118,6)="SAMPLE",Config!$B$19&lt;&gt;"Y"),0,1),0)</f>
        <v/>
      </c>
      <c r="AO118" s="17">
        <f>IF(AN118=1,IF(COUNTIFS($A$2:$A$201,$A118,$AN$2:$AN$201,1,$G$2:$G$201,"&lt;"&amp;G118)+COUNTIFS($A$2:$A$201,$A118,$AN$2:$AN$201,1,$G$2:$G$201,G118,$AM$2:$AM$201,"&lt;"&amp;AM118)=0,1,0),0)</f>
        <v/>
      </c>
      <c r="AP118" s="17">
        <f>IF(AN118=1,IF(COUNTIFS($A$2:$A$201,$A118,$AN$2:$AN$201,1,$G$2:$G$201,"&gt;"&amp;G118)+COUNTIFS($A$2:$A$201,$A118,$AN$2:$AN$201,1,$G$2:$G$201,G118,$AM$2:$AM$201,"&gt;"&amp;AM118)=0,1,0),0)</f>
        <v/>
      </c>
      <c r="AQ118" s="17">
        <f>IF(AND(AN118=1,N118="Y",MAX(N(R118),N(V118))&gt;=Config!$B$14),1,0)</f>
        <v/>
      </c>
      <c r="AR118" s="17">
        <f>IF(AQ118=1,IF(COUNTIFS($A$2:$A$201,$A118,$AQ$2:$AQ$201,1,$G$2:$G$201,"&lt;"&amp;G118)+COUNTIFS($A$2:$A$201,$A118,$AQ$2:$AQ$201,1,$G$2:$G$201,G118,$AM$2:$AM$201,"&lt;"&amp;AM118)=0,1,0),0)</f>
        <v/>
      </c>
      <c r="AS118" s="17">
        <f>IF(AND(AN118=1,N118="Y",ISNUMBER(R118)),IF(R118&gt;=Config!$B$14,1,0),0)</f>
        <v/>
      </c>
      <c r="AT118" s="17">
        <f>IF(AS118=1,IF(COUNTIFS($A$2:$A$201,$A118,$AS$2:$AS$201,1,$G$2:$G$201,"&lt;"&amp;G118)+COUNTIFS($A$2:$A$201,$A118,$AS$2:$AS$201,1,$G$2:$G$201,G118,$AM$2:$AM$201,"&lt;"&amp;AM118)=0,1,0),0)</f>
        <v/>
      </c>
      <c r="AU118" s="17">
        <f>IF(AND(AN118=1,N118&lt;&gt;"Y",MAX(N(R118),N(V118))&gt;=Config!$B$14),1,0)</f>
        <v/>
      </c>
      <c r="AV118" s="17">
        <f>IF(AU118=1,IF(COUNTIFS($A$2:$A$201,$A118,$AU$2:$AU$201,1,$G$2:$G$201,"&lt;"&amp;G118)+COUNTIFS($A$2:$A$201,$A118,$AU$2:$AU$201,1,$G$2:$G$201,G118,$AM$2:$AM$201,"&lt;"&amp;AM118)=0,1,0),0)</f>
        <v/>
      </c>
      <c r="AW118" s="17">
        <f>IF(AND(AN118=1,ISNUMBER(R118)),1,0)</f>
        <v/>
      </c>
      <c r="AX118" s="17">
        <f>IF(AW118=1,IF(COUNTIFS($A$2:$A$201,$A118,$AW$2:$AW$201,1,$G$2:$G$201,"&lt;"&amp;G118)+COUNTIFS($A$2:$A$201,$A118,$AW$2:$AW$201,1,$G$2:$G$201,G118,$AM$2:$AM$201,"&lt;"&amp;AM118)=0,1,0),0)</f>
        <v/>
      </c>
      <c r="AY118" s="17">
        <f>IF(AND(AX118=1,G118&lt;=Config!$B$6),R118,"")</f>
        <v/>
      </c>
      <c r="AZ118" s="17">
        <f>IF(AND(AX118=1,G118&lt;=Config!$B$7),R118,"")</f>
        <v/>
      </c>
      <c r="BA118" s="17">
        <f>IF(AND(AX118=1,G118&lt;=Config!$B$8),R118,"")</f>
        <v/>
      </c>
      <c r="BB118" s="17">
        <f>IF(AND(AX118=1,G118&lt;=Config!$B$5),R118,"")</f>
        <v/>
      </c>
      <c r="BC118" s="17">
        <f>IF(AND(AN118=1,ISNUMBER(V118)),1,0)</f>
        <v/>
      </c>
      <c r="BD118" s="17">
        <f>IF(BC118=1,IF(COUNTIFS($A$2:$A$201,$A118,$BC$2:$BC$201,1,$G$2:$G$201,"&lt;"&amp;G118)+COUNTIFS($A$2:$A$201,$A118,$BC$2:$BC$201,1,$G$2:$G$201,G118,$AM$2:$AM$201,"&lt;"&amp;AM118)=0,1,0),0)</f>
        <v/>
      </c>
      <c r="BE118" s="17">
        <f>IF(AND(BD118=1,G118&lt;=Config!$B$6),V118,"")</f>
        <v/>
      </c>
      <c r="BF118" s="17">
        <f>IF(AND(BD118=1,G118&lt;=Config!$B$7),V118,"")</f>
        <v/>
      </c>
      <c r="BG118" s="17">
        <f>IF(AND(BD118=1,G118&lt;=Config!$B$8),V118,"")</f>
        <v/>
      </c>
      <c r="BH118" s="17">
        <f>IF(AND(BD118=1,G118&lt;=Config!$B$5),V118,"")</f>
        <v/>
      </c>
      <c r="BI118" s="17">
        <f>IF(AND(AN118=1,ISNUMBER(J118)),1,0)</f>
        <v/>
      </c>
      <c r="BJ118" s="17">
        <f>IF(BI118=1,IF(COUNTIFS($A$2:$A$201,$A118,$BI$2:$BI$201,1,$G$2:$G$201,"&lt;"&amp;G118)+COUNTIFS($A$2:$A$201,$A118,$BI$2:$BI$201,1,$G$2:$G$201,G118,$AM$2:$AM$201,"&lt;"&amp;AM118)=0,1,0),0)</f>
        <v/>
      </c>
      <c r="BK118" s="17">
        <f>IF(AND(BJ118=1,G118&lt;=Config!$B$5),J118,"")</f>
        <v/>
      </c>
      <c r="BL118" s="17">
        <f>IF(AND(AN118=1,OR(AND(ISNUMBER(R118),TRIM(S118)=""),AND(ISNUMBER(V118),TRIM(W118)=""))),1,0)</f>
        <v/>
      </c>
      <c r="BM118" s="17">
        <f>IF(AN118=1,AB118&amp;"","")</f>
        <v/>
      </c>
      <c r="BN118" s="17">
        <f>IF(AN118=1,AC118&amp;"","")</f>
        <v/>
      </c>
      <c r="BO118" s="17">
        <f>IF(AN118=1,AD118&amp;"","")</f>
        <v/>
      </c>
      <c r="BP118" s="17">
        <f>IF(AND(AN118=1,ISNUMBER(AI118),G118&lt;=Config!$B$5),AI118,"")</f>
        <v/>
      </c>
      <c r="BQ118" s="17">
        <f>IF(AN118=1,IF(COUNTIFS($A$2:$A$201,$A118,$AF$2:$AF$201,"Y",$AN$2:$AN$201,1)&gt;0,"Y","N"),"")</f>
        <v/>
      </c>
      <c r="BR118" s="17">
        <f>IF(AND(AN118=1,AF118="Y"),IF(COUNTIFS($A$2:$A$201,$A118,$AF$2:$AF$201,"Y",$AN$2:$AN$201,1,$G$2:$G$201,"&lt;"&amp;G118)+COUNTIFS($A$2:$A$201,$A118,$AF$2:$AF$201,"Y",$AN$2:$AN$201,1,$G$2:$G$201,G118,$AM$2:$AM$201,"&lt;"&amp;AM118)=0,1,0),0)</f>
        <v/>
      </c>
      <c r="BS118" s="17">
        <f>IF(AN118=1,IFERROR(MATCH($A118,INDEX(Clay_Brands!$A$2:$FZ$601,0,Sync!$D$5),0),""),"")</f>
        <v/>
      </c>
      <c r="BT118" s="17">
        <f>IF(BS118="","",IFERROR(INDEX(Clay_Brands!$A$2:$FZ$601,BS118,Sync!$D$7)&amp;"",""))</f>
        <v/>
      </c>
      <c r="BU118" s="17">
        <f>IF(BT118="","",IFERROR(INDEX(Lists!$J$2:$J$15,MATCH(BT118,Lists!$I$2:$I$15,0)),""))</f>
        <v/>
      </c>
      <c r="BV118" s="17">
        <f>IF(BS118="","",IFERROR(INDEX(Clay_Brands!$A$2:$FZ$601,BS118,Sync!$D$17)&amp;"",""))</f>
        <v/>
      </c>
      <c r="BW118" s="23">
        <f>IF(BS118="","",IFERROR(N(INDEX(Clay_Brands!$A$2:$FZ$601,BS118,Sync!$D$16)),0))</f>
        <v/>
      </c>
    </row>
    <row r="119">
      <c r="G119" s="22" t="n"/>
      <c r="AL119" s="17">
        <f>IF(TRIM($A119)="","",IF(AND(LEFT($A119,6)="SAMPLE",Config!$B$19&lt;&gt;"Y"),"",IF(NOT(ISNUMBER(G119)),"call_date is blank or not a date",IF(Sync!$D$5="","Clay paste is empty or has no row_id column: paste the Clay export on Clay_Brands",IF(BS119="","row_id not found in the Clay paste: add the Clay row or fix the row_id",IF(AND(ISNUMBER(BU119),BU119&gt;=1,BU119&lt;=5),"Clay status is "&amp;BT119&amp;": set call_done or later",IF(AND(AP119=1,BV119&lt;&gt;BQ119),"Clay yes_in_principle should be "&amp;BQ119,IF(AND(AP119=1,BW119&lt;&gt;G119),"Clay call_date should be "&amp;TEXT(G119,"yyyy-mm-dd"),""))))))))</f>
        <v/>
      </c>
      <c r="AM119" s="17">
        <f>ROW()</f>
        <v/>
      </c>
      <c r="AN119" s="17">
        <f>IF(AND(TRIM($A119)&lt;&gt;"",ISNUMBER(G119)),IF(AND(LEFT($A119,6)="SAMPLE",Config!$B$19&lt;&gt;"Y"),0,1),0)</f>
        <v/>
      </c>
      <c r="AO119" s="17">
        <f>IF(AN119=1,IF(COUNTIFS($A$2:$A$201,$A119,$AN$2:$AN$201,1,$G$2:$G$201,"&lt;"&amp;G119)+COUNTIFS($A$2:$A$201,$A119,$AN$2:$AN$201,1,$G$2:$G$201,G119,$AM$2:$AM$201,"&lt;"&amp;AM119)=0,1,0),0)</f>
        <v/>
      </c>
      <c r="AP119" s="17">
        <f>IF(AN119=1,IF(COUNTIFS($A$2:$A$201,$A119,$AN$2:$AN$201,1,$G$2:$G$201,"&gt;"&amp;G119)+COUNTIFS($A$2:$A$201,$A119,$AN$2:$AN$201,1,$G$2:$G$201,G119,$AM$2:$AM$201,"&gt;"&amp;AM119)=0,1,0),0)</f>
        <v/>
      </c>
      <c r="AQ119" s="17">
        <f>IF(AND(AN119=1,N119="Y",MAX(N(R119),N(V119))&gt;=Config!$B$14),1,0)</f>
        <v/>
      </c>
      <c r="AR119" s="17">
        <f>IF(AQ119=1,IF(COUNTIFS($A$2:$A$201,$A119,$AQ$2:$AQ$201,1,$G$2:$G$201,"&lt;"&amp;G119)+COUNTIFS($A$2:$A$201,$A119,$AQ$2:$AQ$201,1,$G$2:$G$201,G119,$AM$2:$AM$201,"&lt;"&amp;AM119)=0,1,0),0)</f>
        <v/>
      </c>
      <c r="AS119" s="17">
        <f>IF(AND(AN119=1,N119="Y",ISNUMBER(R119)),IF(R119&gt;=Config!$B$14,1,0),0)</f>
        <v/>
      </c>
      <c r="AT119" s="17">
        <f>IF(AS119=1,IF(COUNTIFS($A$2:$A$201,$A119,$AS$2:$AS$201,1,$G$2:$G$201,"&lt;"&amp;G119)+COUNTIFS($A$2:$A$201,$A119,$AS$2:$AS$201,1,$G$2:$G$201,G119,$AM$2:$AM$201,"&lt;"&amp;AM119)=0,1,0),0)</f>
        <v/>
      </c>
      <c r="AU119" s="17">
        <f>IF(AND(AN119=1,N119&lt;&gt;"Y",MAX(N(R119),N(V119))&gt;=Config!$B$14),1,0)</f>
        <v/>
      </c>
      <c r="AV119" s="17">
        <f>IF(AU119=1,IF(COUNTIFS($A$2:$A$201,$A119,$AU$2:$AU$201,1,$G$2:$G$201,"&lt;"&amp;G119)+COUNTIFS($A$2:$A$201,$A119,$AU$2:$AU$201,1,$G$2:$G$201,G119,$AM$2:$AM$201,"&lt;"&amp;AM119)=0,1,0),0)</f>
        <v/>
      </c>
      <c r="AW119" s="17">
        <f>IF(AND(AN119=1,ISNUMBER(R119)),1,0)</f>
        <v/>
      </c>
      <c r="AX119" s="17">
        <f>IF(AW119=1,IF(COUNTIFS($A$2:$A$201,$A119,$AW$2:$AW$201,1,$G$2:$G$201,"&lt;"&amp;G119)+COUNTIFS($A$2:$A$201,$A119,$AW$2:$AW$201,1,$G$2:$G$201,G119,$AM$2:$AM$201,"&lt;"&amp;AM119)=0,1,0),0)</f>
        <v/>
      </c>
      <c r="AY119" s="17">
        <f>IF(AND(AX119=1,G119&lt;=Config!$B$6),R119,"")</f>
        <v/>
      </c>
      <c r="AZ119" s="17">
        <f>IF(AND(AX119=1,G119&lt;=Config!$B$7),R119,"")</f>
        <v/>
      </c>
      <c r="BA119" s="17">
        <f>IF(AND(AX119=1,G119&lt;=Config!$B$8),R119,"")</f>
        <v/>
      </c>
      <c r="BB119" s="17">
        <f>IF(AND(AX119=1,G119&lt;=Config!$B$5),R119,"")</f>
        <v/>
      </c>
      <c r="BC119" s="17">
        <f>IF(AND(AN119=1,ISNUMBER(V119)),1,0)</f>
        <v/>
      </c>
      <c r="BD119" s="17">
        <f>IF(BC119=1,IF(COUNTIFS($A$2:$A$201,$A119,$BC$2:$BC$201,1,$G$2:$G$201,"&lt;"&amp;G119)+COUNTIFS($A$2:$A$201,$A119,$BC$2:$BC$201,1,$G$2:$G$201,G119,$AM$2:$AM$201,"&lt;"&amp;AM119)=0,1,0),0)</f>
        <v/>
      </c>
      <c r="BE119" s="17">
        <f>IF(AND(BD119=1,G119&lt;=Config!$B$6),V119,"")</f>
        <v/>
      </c>
      <c r="BF119" s="17">
        <f>IF(AND(BD119=1,G119&lt;=Config!$B$7),V119,"")</f>
        <v/>
      </c>
      <c r="BG119" s="17">
        <f>IF(AND(BD119=1,G119&lt;=Config!$B$8),V119,"")</f>
        <v/>
      </c>
      <c r="BH119" s="17">
        <f>IF(AND(BD119=1,G119&lt;=Config!$B$5),V119,"")</f>
        <v/>
      </c>
      <c r="BI119" s="17">
        <f>IF(AND(AN119=1,ISNUMBER(J119)),1,0)</f>
        <v/>
      </c>
      <c r="BJ119" s="17">
        <f>IF(BI119=1,IF(COUNTIFS($A$2:$A$201,$A119,$BI$2:$BI$201,1,$G$2:$G$201,"&lt;"&amp;G119)+COUNTIFS($A$2:$A$201,$A119,$BI$2:$BI$201,1,$G$2:$G$201,G119,$AM$2:$AM$201,"&lt;"&amp;AM119)=0,1,0),0)</f>
        <v/>
      </c>
      <c r="BK119" s="17">
        <f>IF(AND(BJ119=1,G119&lt;=Config!$B$5),J119,"")</f>
        <v/>
      </c>
      <c r="BL119" s="17">
        <f>IF(AND(AN119=1,OR(AND(ISNUMBER(R119),TRIM(S119)=""),AND(ISNUMBER(V119),TRIM(W119)=""))),1,0)</f>
        <v/>
      </c>
      <c r="BM119" s="17">
        <f>IF(AN119=1,AB119&amp;"","")</f>
        <v/>
      </c>
      <c r="BN119" s="17">
        <f>IF(AN119=1,AC119&amp;"","")</f>
        <v/>
      </c>
      <c r="BO119" s="17">
        <f>IF(AN119=1,AD119&amp;"","")</f>
        <v/>
      </c>
      <c r="BP119" s="17">
        <f>IF(AND(AN119=1,ISNUMBER(AI119),G119&lt;=Config!$B$5),AI119,"")</f>
        <v/>
      </c>
      <c r="BQ119" s="17">
        <f>IF(AN119=1,IF(COUNTIFS($A$2:$A$201,$A119,$AF$2:$AF$201,"Y",$AN$2:$AN$201,1)&gt;0,"Y","N"),"")</f>
        <v/>
      </c>
      <c r="BR119" s="17">
        <f>IF(AND(AN119=1,AF119="Y"),IF(COUNTIFS($A$2:$A$201,$A119,$AF$2:$AF$201,"Y",$AN$2:$AN$201,1,$G$2:$G$201,"&lt;"&amp;G119)+COUNTIFS($A$2:$A$201,$A119,$AF$2:$AF$201,"Y",$AN$2:$AN$201,1,$G$2:$G$201,G119,$AM$2:$AM$201,"&lt;"&amp;AM119)=0,1,0),0)</f>
        <v/>
      </c>
      <c r="BS119" s="17">
        <f>IF(AN119=1,IFERROR(MATCH($A119,INDEX(Clay_Brands!$A$2:$FZ$601,0,Sync!$D$5),0),""),"")</f>
        <v/>
      </c>
      <c r="BT119" s="17">
        <f>IF(BS119="","",IFERROR(INDEX(Clay_Brands!$A$2:$FZ$601,BS119,Sync!$D$7)&amp;"",""))</f>
        <v/>
      </c>
      <c r="BU119" s="17">
        <f>IF(BT119="","",IFERROR(INDEX(Lists!$J$2:$J$15,MATCH(BT119,Lists!$I$2:$I$15,0)),""))</f>
        <v/>
      </c>
      <c r="BV119" s="17">
        <f>IF(BS119="","",IFERROR(INDEX(Clay_Brands!$A$2:$FZ$601,BS119,Sync!$D$17)&amp;"",""))</f>
        <v/>
      </c>
      <c r="BW119" s="23">
        <f>IF(BS119="","",IFERROR(N(INDEX(Clay_Brands!$A$2:$FZ$601,BS119,Sync!$D$16)),0))</f>
        <v/>
      </c>
    </row>
    <row r="120">
      <c r="G120" s="22" t="n"/>
      <c r="AL120" s="17">
        <f>IF(TRIM($A120)="","",IF(AND(LEFT($A120,6)="SAMPLE",Config!$B$19&lt;&gt;"Y"),"",IF(NOT(ISNUMBER(G120)),"call_date is blank or not a date",IF(Sync!$D$5="","Clay paste is empty or has no row_id column: paste the Clay export on Clay_Brands",IF(BS120="","row_id not found in the Clay paste: add the Clay row or fix the row_id",IF(AND(ISNUMBER(BU120),BU120&gt;=1,BU120&lt;=5),"Clay status is "&amp;BT120&amp;": set call_done or later",IF(AND(AP120=1,BV120&lt;&gt;BQ120),"Clay yes_in_principle should be "&amp;BQ120,IF(AND(AP120=1,BW120&lt;&gt;G120),"Clay call_date should be "&amp;TEXT(G120,"yyyy-mm-dd"),""))))))))</f>
        <v/>
      </c>
      <c r="AM120" s="17">
        <f>ROW()</f>
        <v/>
      </c>
      <c r="AN120" s="17">
        <f>IF(AND(TRIM($A120)&lt;&gt;"",ISNUMBER(G120)),IF(AND(LEFT($A120,6)="SAMPLE",Config!$B$19&lt;&gt;"Y"),0,1),0)</f>
        <v/>
      </c>
      <c r="AO120" s="17">
        <f>IF(AN120=1,IF(COUNTIFS($A$2:$A$201,$A120,$AN$2:$AN$201,1,$G$2:$G$201,"&lt;"&amp;G120)+COUNTIFS($A$2:$A$201,$A120,$AN$2:$AN$201,1,$G$2:$G$201,G120,$AM$2:$AM$201,"&lt;"&amp;AM120)=0,1,0),0)</f>
        <v/>
      </c>
      <c r="AP120" s="17">
        <f>IF(AN120=1,IF(COUNTIFS($A$2:$A$201,$A120,$AN$2:$AN$201,1,$G$2:$G$201,"&gt;"&amp;G120)+COUNTIFS($A$2:$A$201,$A120,$AN$2:$AN$201,1,$G$2:$G$201,G120,$AM$2:$AM$201,"&gt;"&amp;AM120)=0,1,0),0)</f>
        <v/>
      </c>
      <c r="AQ120" s="17">
        <f>IF(AND(AN120=1,N120="Y",MAX(N(R120),N(V120))&gt;=Config!$B$14),1,0)</f>
        <v/>
      </c>
      <c r="AR120" s="17">
        <f>IF(AQ120=1,IF(COUNTIFS($A$2:$A$201,$A120,$AQ$2:$AQ$201,1,$G$2:$G$201,"&lt;"&amp;G120)+COUNTIFS($A$2:$A$201,$A120,$AQ$2:$AQ$201,1,$G$2:$G$201,G120,$AM$2:$AM$201,"&lt;"&amp;AM120)=0,1,0),0)</f>
        <v/>
      </c>
      <c r="AS120" s="17">
        <f>IF(AND(AN120=1,N120="Y",ISNUMBER(R120)),IF(R120&gt;=Config!$B$14,1,0),0)</f>
        <v/>
      </c>
      <c r="AT120" s="17">
        <f>IF(AS120=1,IF(COUNTIFS($A$2:$A$201,$A120,$AS$2:$AS$201,1,$G$2:$G$201,"&lt;"&amp;G120)+COUNTIFS($A$2:$A$201,$A120,$AS$2:$AS$201,1,$G$2:$G$201,G120,$AM$2:$AM$201,"&lt;"&amp;AM120)=0,1,0),0)</f>
        <v/>
      </c>
      <c r="AU120" s="17">
        <f>IF(AND(AN120=1,N120&lt;&gt;"Y",MAX(N(R120),N(V120))&gt;=Config!$B$14),1,0)</f>
        <v/>
      </c>
      <c r="AV120" s="17">
        <f>IF(AU120=1,IF(COUNTIFS($A$2:$A$201,$A120,$AU$2:$AU$201,1,$G$2:$G$201,"&lt;"&amp;G120)+COUNTIFS($A$2:$A$201,$A120,$AU$2:$AU$201,1,$G$2:$G$201,G120,$AM$2:$AM$201,"&lt;"&amp;AM120)=0,1,0),0)</f>
        <v/>
      </c>
      <c r="AW120" s="17">
        <f>IF(AND(AN120=1,ISNUMBER(R120)),1,0)</f>
        <v/>
      </c>
      <c r="AX120" s="17">
        <f>IF(AW120=1,IF(COUNTIFS($A$2:$A$201,$A120,$AW$2:$AW$201,1,$G$2:$G$201,"&lt;"&amp;G120)+COUNTIFS($A$2:$A$201,$A120,$AW$2:$AW$201,1,$G$2:$G$201,G120,$AM$2:$AM$201,"&lt;"&amp;AM120)=0,1,0),0)</f>
        <v/>
      </c>
      <c r="AY120" s="17">
        <f>IF(AND(AX120=1,G120&lt;=Config!$B$6),R120,"")</f>
        <v/>
      </c>
      <c r="AZ120" s="17">
        <f>IF(AND(AX120=1,G120&lt;=Config!$B$7),R120,"")</f>
        <v/>
      </c>
      <c r="BA120" s="17">
        <f>IF(AND(AX120=1,G120&lt;=Config!$B$8),R120,"")</f>
        <v/>
      </c>
      <c r="BB120" s="17">
        <f>IF(AND(AX120=1,G120&lt;=Config!$B$5),R120,"")</f>
        <v/>
      </c>
      <c r="BC120" s="17">
        <f>IF(AND(AN120=1,ISNUMBER(V120)),1,0)</f>
        <v/>
      </c>
      <c r="BD120" s="17">
        <f>IF(BC120=1,IF(COUNTIFS($A$2:$A$201,$A120,$BC$2:$BC$201,1,$G$2:$G$201,"&lt;"&amp;G120)+COUNTIFS($A$2:$A$201,$A120,$BC$2:$BC$201,1,$G$2:$G$201,G120,$AM$2:$AM$201,"&lt;"&amp;AM120)=0,1,0),0)</f>
        <v/>
      </c>
      <c r="BE120" s="17">
        <f>IF(AND(BD120=1,G120&lt;=Config!$B$6),V120,"")</f>
        <v/>
      </c>
      <c r="BF120" s="17">
        <f>IF(AND(BD120=1,G120&lt;=Config!$B$7),V120,"")</f>
        <v/>
      </c>
      <c r="BG120" s="17">
        <f>IF(AND(BD120=1,G120&lt;=Config!$B$8),V120,"")</f>
        <v/>
      </c>
      <c r="BH120" s="17">
        <f>IF(AND(BD120=1,G120&lt;=Config!$B$5),V120,"")</f>
        <v/>
      </c>
      <c r="BI120" s="17">
        <f>IF(AND(AN120=1,ISNUMBER(J120)),1,0)</f>
        <v/>
      </c>
      <c r="BJ120" s="17">
        <f>IF(BI120=1,IF(COUNTIFS($A$2:$A$201,$A120,$BI$2:$BI$201,1,$G$2:$G$201,"&lt;"&amp;G120)+COUNTIFS($A$2:$A$201,$A120,$BI$2:$BI$201,1,$G$2:$G$201,G120,$AM$2:$AM$201,"&lt;"&amp;AM120)=0,1,0),0)</f>
        <v/>
      </c>
      <c r="BK120" s="17">
        <f>IF(AND(BJ120=1,G120&lt;=Config!$B$5),J120,"")</f>
        <v/>
      </c>
      <c r="BL120" s="17">
        <f>IF(AND(AN120=1,OR(AND(ISNUMBER(R120),TRIM(S120)=""),AND(ISNUMBER(V120),TRIM(W120)=""))),1,0)</f>
        <v/>
      </c>
      <c r="BM120" s="17">
        <f>IF(AN120=1,AB120&amp;"","")</f>
        <v/>
      </c>
      <c r="BN120" s="17">
        <f>IF(AN120=1,AC120&amp;"","")</f>
        <v/>
      </c>
      <c r="BO120" s="17">
        <f>IF(AN120=1,AD120&amp;"","")</f>
        <v/>
      </c>
      <c r="BP120" s="17">
        <f>IF(AND(AN120=1,ISNUMBER(AI120),G120&lt;=Config!$B$5),AI120,"")</f>
        <v/>
      </c>
      <c r="BQ120" s="17">
        <f>IF(AN120=1,IF(COUNTIFS($A$2:$A$201,$A120,$AF$2:$AF$201,"Y",$AN$2:$AN$201,1)&gt;0,"Y","N"),"")</f>
        <v/>
      </c>
      <c r="BR120" s="17">
        <f>IF(AND(AN120=1,AF120="Y"),IF(COUNTIFS($A$2:$A$201,$A120,$AF$2:$AF$201,"Y",$AN$2:$AN$201,1,$G$2:$G$201,"&lt;"&amp;G120)+COUNTIFS($A$2:$A$201,$A120,$AF$2:$AF$201,"Y",$AN$2:$AN$201,1,$G$2:$G$201,G120,$AM$2:$AM$201,"&lt;"&amp;AM120)=0,1,0),0)</f>
        <v/>
      </c>
      <c r="BS120" s="17">
        <f>IF(AN120=1,IFERROR(MATCH($A120,INDEX(Clay_Brands!$A$2:$FZ$601,0,Sync!$D$5),0),""),"")</f>
        <v/>
      </c>
      <c r="BT120" s="17">
        <f>IF(BS120="","",IFERROR(INDEX(Clay_Brands!$A$2:$FZ$601,BS120,Sync!$D$7)&amp;"",""))</f>
        <v/>
      </c>
      <c r="BU120" s="17">
        <f>IF(BT120="","",IFERROR(INDEX(Lists!$J$2:$J$15,MATCH(BT120,Lists!$I$2:$I$15,0)),""))</f>
        <v/>
      </c>
      <c r="BV120" s="17">
        <f>IF(BS120="","",IFERROR(INDEX(Clay_Brands!$A$2:$FZ$601,BS120,Sync!$D$17)&amp;"",""))</f>
        <v/>
      </c>
      <c r="BW120" s="23">
        <f>IF(BS120="","",IFERROR(N(INDEX(Clay_Brands!$A$2:$FZ$601,BS120,Sync!$D$16)),0))</f>
        <v/>
      </c>
    </row>
    <row r="121">
      <c r="G121" s="22" t="n"/>
      <c r="AL121" s="17">
        <f>IF(TRIM($A121)="","",IF(AND(LEFT($A121,6)="SAMPLE",Config!$B$19&lt;&gt;"Y"),"",IF(NOT(ISNUMBER(G121)),"call_date is blank or not a date",IF(Sync!$D$5="","Clay paste is empty or has no row_id column: paste the Clay export on Clay_Brands",IF(BS121="","row_id not found in the Clay paste: add the Clay row or fix the row_id",IF(AND(ISNUMBER(BU121),BU121&gt;=1,BU121&lt;=5),"Clay status is "&amp;BT121&amp;": set call_done or later",IF(AND(AP121=1,BV121&lt;&gt;BQ121),"Clay yes_in_principle should be "&amp;BQ121,IF(AND(AP121=1,BW121&lt;&gt;G121),"Clay call_date should be "&amp;TEXT(G121,"yyyy-mm-dd"),""))))))))</f>
        <v/>
      </c>
      <c r="AM121" s="17">
        <f>ROW()</f>
        <v/>
      </c>
      <c r="AN121" s="17">
        <f>IF(AND(TRIM($A121)&lt;&gt;"",ISNUMBER(G121)),IF(AND(LEFT($A121,6)="SAMPLE",Config!$B$19&lt;&gt;"Y"),0,1),0)</f>
        <v/>
      </c>
      <c r="AO121" s="17">
        <f>IF(AN121=1,IF(COUNTIFS($A$2:$A$201,$A121,$AN$2:$AN$201,1,$G$2:$G$201,"&lt;"&amp;G121)+COUNTIFS($A$2:$A$201,$A121,$AN$2:$AN$201,1,$G$2:$G$201,G121,$AM$2:$AM$201,"&lt;"&amp;AM121)=0,1,0),0)</f>
        <v/>
      </c>
      <c r="AP121" s="17">
        <f>IF(AN121=1,IF(COUNTIFS($A$2:$A$201,$A121,$AN$2:$AN$201,1,$G$2:$G$201,"&gt;"&amp;G121)+COUNTIFS($A$2:$A$201,$A121,$AN$2:$AN$201,1,$G$2:$G$201,G121,$AM$2:$AM$201,"&gt;"&amp;AM121)=0,1,0),0)</f>
        <v/>
      </c>
      <c r="AQ121" s="17">
        <f>IF(AND(AN121=1,N121="Y",MAX(N(R121),N(V121))&gt;=Config!$B$14),1,0)</f>
        <v/>
      </c>
      <c r="AR121" s="17">
        <f>IF(AQ121=1,IF(COUNTIFS($A$2:$A$201,$A121,$AQ$2:$AQ$201,1,$G$2:$G$201,"&lt;"&amp;G121)+COUNTIFS($A$2:$A$201,$A121,$AQ$2:$AQ$201,1,$G$2:$G$201,G121,$AM$2:$AM$201,"&lt;"&amp;AM121)=0,1,0),0)</f>
        <v/>
      </c>
      <c r="AS121" s="17">
        <f>IF(AND(AN121=1,N121="Y",ISNUMBER(R121)),IF(R121&gt;=Config!$B$14,1,0),0)</f>
        <v/>
      </c>
      <c r="AT121" s="17">
        <f>IF(AS121=1,IF(COUNTIFS($A$2:$A$201,$A121,$AS$2:$AS$201,1,$G$2:$G$201,"&lt;"&amp;G121)+COUNTIFS($A$2:$A$201,$A121,$AS$2:$AS$201,1,$G$2:$G$201,G121,$AM$2:$AM$201,"&lt;"&amp;AM121)=0,1,0),0)</f>
        <v/>
      </c>
      <c r="AU121" s="17">
        <f>IF(AND(AN121=1,N121&lt;&gt;"Y",MAX(N(R121),N(V121))&gt;=Config!$B$14),1,0)</f>
        <v/>
      </c>
      <c r="AV121" s="17">
        <f>IF(AU121=1,IF(COUNTIFS($A$2:$A$201,$A121,$AU$2:$AU$201,1,$G$2:$G$201,"&lt;"&amp;G121)+COUNTIFS($A$2:$A$201,$A121,$AU$2:$AU$201,1,$G$2:$G$201,G121,$AM$2:$AM$201,"&lt;"&amp;AM121)=0,1,0),0)</f>
        <v/>
      </c>
      <c r="AW121" s="17">
        <f>IF(AND(AN121=1,ISNUMBER(R121)),1,0)</f>
        <v/>
      </c>
      <c r="AX121" s="17">
        <f>IF(AW121=1,IF(COUNTIFS($A$2:$A$201,$A121,$AW$2:$AW$201,1,$G$2:$G$201,"&lt;"&amp;G121)+COUNTIFS($A$2:$A$201,$A121,$AW$2:$AW$201,1,$G$2:$G$201,G121,$AM$2:$AM$201,"&lt;"&amp;AM121)=0,1,0),0)</f>
        <v/>
      </c>
      <c r="AY121" s="17">
        <f>IF(AND(AX121=1,G121&lt;=Config!$B$6),R121,"")</f>
        <v/>
      </c>
      <c r="AZ121" s="17">
        <f>IF(AND(AX121=1,G121&lt;=Config!$B$7),R121,"")</f>
        <v/>
      </c>
      <c r="BA121" s="17">
        <f>IF(AND(AX121=1,G121&lt;=Config!$B$8),R121,"")</f>
        <v/>
      </c>
      <c r="BB121" s="17">
        <f>IF(AND(AX121=1,G121&lt;=Config!$B$5),R121,"")</f>
        <v/>
      </c>
      <c r="BC121" s="17">
        <f>IF(AND(AN121=1,ISNUMBER(V121)),1,0)</f>
        <v/>
      </c>
      <c r="BD121" s="17">
        <f>IF(BC121=1,IF(COUNTIFS($A$2:$A$201,$A121,$BC$2:$BC$201,1,$G$2:$G$201,"&lt;"&amp;G121)+COUNTIFS($A$2:$A$201,$A121,$BC$2:$BC$201,1,$G$2:$G$201,G121,$AM$2:$AM$201,"&lt;"&amp;AM121)=0,1,0),0)</f>
        <v/>
      </c>
      <c r="BE121" s="17">
        <f>IF(AND(BD121=1,G121&lt;=Config!$B$6),V121,"")</f>
        <v/>
      </c>
      <c r="BF121" s="17">
        <f>IF(AND(BD121=1,G121&lt;=Config!$B$7),V121,"")</f>
        <v/>
      </c>
      <c r="BG121" s="17">
        <f>IF(AND(BD121=1,G121&lt;=Config!$B$8),V121,"")</f>
        <v/>
      </c>
      <c r="BH121" s="17">
        <f>IF(AND(BD121=1,G121&lt;=Config!$B$5),V121,"")</f>
        <v/>
      </c>
      <c r="BI121" s="17">
        <f>IF(AND(AN121=1,ISNUMBER(J121)),1,0)</f>
        <v/>
      </c>
      <c r="BJ121" s="17">
        <f>IF(BI121=1,IF(COUNTIFS($A$2:$A$201,$A121,$BI$2:$BI$201,1,$G$2:$G$201,"&lt;"&amp;G121)+COUNTIFS($A$2:$A$201,$A121,$BI$2:$BI$201,1,$G$2:$G$201,G121,$AM$2:$AM$201,"&lt;"&amp;AM121)=0,1,0),0)</f>
        <v/>
      </c>
      <c r="BK121" s="17">
        <f>IF(AND(BJ121=1,G121&lt;=Config!$B$5),J121,"")</f>
        <v/>
      </c>
      <c r="BL121" s="17">
        <f>IF(AND(AN121=1,OR(AND(ISNUMBER(R121),TRIM(S121)=""),AND(ISNUMBER(V121),TRIM(W121)=""))),1,0)</f>
        <v/>
      </c>
      <c r="BM121" s="17">
        <f>IF(AN121=1,AB121&amp;"","")</f>
        <v/>
      </c>
      <c r="BN121" s="17">
        <f>IF(AN121=1,AC121&amp;"","")</f>
        <v/>
      </c>
      <c r="BO121" s="17">
        <f>IF(AN121=1,AD121&amp;"","")</f>
        <v/>
      </c>
      <c r="BP121" s="17">
        <f>IF(AND(AN121=1,ISNUMBER(AI121),G121&lt;=Config!$B$5),AI121,"")</f>
        <v/>
      </c>
      <c r="BQ121" s="17">
        <f>IF(AN121=1,IF(COUNTIFS($A$2:$A$201,$A121,$AF$2:$AF$201,"Y",$AN$2:$AN$201,1)&gt;0,"Y","N"),"")</f>
        <v/>
      </c>
      <c r="BR121" s="17">
        <f>IF(AND(AN121=1,AF121="Y"),IF(COUNTIFS($A$2:$A$201,$A121,$AF$2:$AF$201,"Y",$AN$2:$AN$201,1,$G$2:$G$201,"&lt;"&amp;G121)+COUNTIFS($A$2:$A$201,$A121,$AF$2:$AF$201,"Y",$AN$2:$AN$201,1,$G$2:$G$201,G121,$AM$2:$AM$201,"&lt;"&amp;AM121)=0,1,0),0)</f>
        <v/>
      </c>
      <c r="BS121" s="17">
        <f>IF(AN121=1,IFERROR(MATCH($A121,INDEX(Clay_Brands!$A$2:$FZ$601,0,Sync!$D$5),0),""),"")</f>
        <v/>
      </c>
      <c r="BT121" s="17">
        <f>IF(BS121="","",IFERROR(INDEX(Clay_Brands!$A$2:$FZ$601,BS121,Sync!$D$7)&amp;"",""))</f>
        <v/>
      </c>
      <c r="BU121" s="17">
        <f>IF(BT121="","",IFERROR(INDEX(Lists!$J$2:$J$15,MATCH(BT121,Lists!$I$2:$I$15,0)),""))</f>
        <v/>
      </c>
      <c r="BV121" s="17">
        <f>IF(BS121="","",IFERROR(INDEX(Clay_Brands!$A$2:$FZ$601,BS121,Sync!$D$17)&amp;"",""))</f>
        <v/>
      </c>
      <c r="BW121" s="23">
        <f>IF(BS121="","",IFERROR(N(INDEX(Clay_Brands!$A$2:$FZ$601,BS121,Sync!$D$16)),0))</f>
        <v/>
      </c>
    </row>
    <row r="122">
      <c r="G122" s="22" t="n"/>
      <c r="AL122" s="17">
        <f>IF(TRIM($A122)="","",IF(AND(LEFT($A122,6)="SAMPLE",Config!$B$19&lt;&gt;"Y"),"",IF(NOT(ISNUMBER(G122)),"call_date is blank or not a date",IF(Sync!$D$5="","Clay paste is empty or has no row_id column: paste the Clay export on Clay_Brands",IF(BS122="","row_id not found in the Clay paste: add the Clay row or fix the row_id",IF(AND(ISNUMBER(BU122),BU122&gt;=1,BU122&lt;=5),"Clay status is "&amp;BT122&amp;": set call_done or later",IF(AND(AP122=1,BV122&lt;&gt;BQ122),"Clay yes_in_principle should be "&amp;BQ122,IF(AND(AP122=1,BW122&lt;&gt;G122),"Clay call_date should be "&amp;TEXT(G122,"yyyy-mm-dd"),""))))))))</f>
        <v/>
      </c>
      <c r="AM122" s="17">
        <f>ROW()</f>
        <v/>
      </c>
      <c r="AN122" s="17">
        <f>IF(AND(TRIM($A122)&lt;&gt;"",ISNUMBER(G122)),IF(AND(LEFT($A122,6)="SAMPLE",Config!$B$19&lt;&gt;"Y"),0,1),0)</f>
        <v/>
      </c>
      <c r="AO122" s="17">
        <f>IF(AN122=1,IF(COUNTIFS($A$2:$A$201,$A122,$AN$2:$AN$201,1,$G$2:$G$201,"&lt;"&amp;G122)+COUNTIFS($A$2:$A$201,$A122,$AN$2:$AN$201,1,$G$2:$G$201,G122,$AM$2:$AM$201,"&lt;"&amp;AM122)=0,1,0),0)</f>
        <v/>
      </c>
      <c r="AP122" s="17">
        <f>IF(AN122=1,IF(COUNTIFS($A$2:$A$201,$A122,$AN$2:$AN$201,1,$G$2:$G$201,"&gt;"&amp;G122)+COUNTIFS($A$2:$A$201,$A122,$AN$2:$AN$201,1,$G$2:$G$201,G122,$AM$2:$AM$201,"&gt;"&amp;AM122)=0,1,0),0)</f>
        <v/>
      </c>
      <c r="AQ122" s="17">
        <f>IF(AND(AN122=1,N122="Y",MAX(N(R122),N(V122))&gt;=Config!$B$14),1,0)</f>
        <v/>
      </c>
      <c r="AR122" s="17">
        <f>IF(AQ122=1,IF(COUNTIFS($A$2:$A$201,$A122,$AQ$2:$AQ$201,1,$G$2:$G$201,"&lt;"&amp;G122)+COUNTIFS($A$2:$A$201,$A122,$AQ$2:$AQ$201,1,$G$2:$G$201,G122,$AM$2:$AM$201,"&lt;"&amp;AM122)=0,1,0),0)</f>
        <v/>
      </c>
      <c r="AS122" s="17">
        <f>IF(AND(AN122=1,N122="Y",ISNUMBER(R122)),IF(R122&gt;=Config!$B$14,1,0),0)</f>
        <v/>
      </c>
      <c r="AT122" s="17">
        <f>IF(AS122=1,IF(COUNTIFS($A$2:$A$201,$A122,$AS$2:$AS$201,1,$G$2:$G$201,"&lt;"&amp;G122)+COUNTIFS($A$2:$A$201,$A122,$AS$2:$AS$201,1,$G$2:$G$201,G122,$AM$2:$AM$201,"&lt;"&amp;AM122)=0,1,0),0)</f>
        <v/>
      </c>
      <c r="AU122" s="17">
        <f>IF(AND(AN122=1,N122&lt;&gt;"Y",MAX(N(R122),N(V122))&gt;=Config!$B$14),1,0)</f>
        <v/>
      </c>
      <c r="AV122" s="17">
        <f>IF(AU122=1,IF(COUNTIFS($A$2:$A$201,$A122,$AU$2:$AU$201,1,$G$2:$G$201,"&lt;"&amp;G122)+COUNTIFS($A$2:$A$201,$A122,$AU$2:$AU$201,1,$G$2:$G$201,G122,$AM$2:$AM$201,"&lt;"&amp;AM122)=0,1,0),0)</f>
        <v/>
      </c>
      <c r="AW122" s="17">
        <f>IF(AND(AN122=1,ISNUMBER(R122)),1,0)</f>
        <v/>
      </c>
      <c r="AX122" s="17">
        <f>IF(AW122=1,IF(COUNTIFS($A$2:$A$201,$A122,$AW$2:$AW$201,1,$G$2:$G$201,"&lt;"&amp;G122)+COUNTIFS($A$2:$A$201,$A122,$AW$2:$AW$201,1,$G$2:$G$201,G122,$AM$2:$AM$201,"&lt;"&amp;AM122)=0,1,0),0)</f>
        <v/>
      </c>
      <c r="AY122" s="17">
        <f>IF(AND(AX122=1,G122&lt;=Config!$B$6),R122,"")</f>
        <v/>
      </c>
      <c r="AZ122" s="17">
        <f>IF(AND(AX122=1,G122&lt;=Config!$B$7),R122,"")</f>
        <v/>
      </c>
      <c r="BA122" s="17">
        <f>IF(AND(AX122=1,G122&lt;=Config!$B$8),R122,"")</f>
        <v/>
      </c>
      <c r="BB122" s="17">
        <f>IF(AND(AX122=1,G122&lt;=Config!$B$5),R122,"")</f>
        <v/>
      </c>
      <c r="BC122" s="17">
        <f>IF(AND(AN122=1,ISNUMBER(V122)),1,0)</f>
        <v/>
      </c>
      <c r="BD122" s="17">
        <f>IF(BC122=1,IF(COUNTIFS($A$2:$A$201,$A122,$BC$2:$BC$201,1,$G$2:$G$201,"&lt;"&amp;G122)+COUNTIFS($A$2:$A$201,$A122,$BC$2:$BC$201,1,$G$2:$G$201,G122,$AM$2:$AM$201,"&lt;"&amp;AM122)=0,1,0),0)</f>
        <v/>
      </c>
      <c r="BE122" s="17">
        <f>IF(AND(BD122=1,G122&lt;=Config!$B$6),V122,"")</f>
        <v/>
      </c>
      <c r="BF122" s="17">
        <f>IF(AND(BD122=1,G122&lt;=Config!$B$7),V122,"")</f>
        <v/>
      </c>
      <c r="BG122" s="17">
        <f>IF(AND(BD122=1,G122&lt;=Config!$B$8),V122,"")</f>
        <v/>
      </c>
      <c r="BH122" s="17">
        <f>IF(AND(BD122=1,G122&lt;=Config!$B$5),V122,"")</f>
        <v/>
      </c>
      <c r="BI122" s="17">
        <f>IF(AND(AN122=1,ISNUMBER(J122)),1,0)</f>
        <v/>
      </c>
      <c r="BJ122" s="17">
        <f>IF(BI122=1,IF(COUNTIFS($A$2:$A$201,$A122,$BI$2:$BI$201,1,$G$2:$G$201,"&lt;"&amp;G122)+COUNTIFS($A$2:$A$201,$A122,$BI$2:$BI$201,1,$G$2:$G$201,G122,$AM$2:$AM$201,"&lt;"&amp;AM122)=0,1,0),0)</f>
        <v/>
      </c>
      <c r="BK122" s="17">
        <f>IF(AND(BJ122=1,G122&lt;=Config!$B$5),J122,"")</f>
        <v/>
      </c>
      <c r="BL122" s="17">
        <f>IF(AND(AN122=1,OR(AND(ISNUMBER(R122),TRIM(S122)=""),AND(ISNUMBER(V122),TRIM(W122)=""))),1,0)</f>
        <v/>
      </c>
      <c r="BM122" s="17">
        <f>IF(AN122=1,AB122&amp;"","")</f>
        <v/>
      </c>
      <c r="BN122" s="17">
        <f>IF(AN122=1,AC122&amp;"","")</f>
        <v/>
      </c>
      <c r="BO122" s="17">
        <f>IF(AN122=1,AD122&amp;"","")</f>
        <v/>
      </c>
      <c r="BP122" s="17">
        <f>IF(AND(AN122=1,ISNUMBER(AI122),G122&lt;=Config!$B$5),AI122,"")</f>
        <v/>
      </c>
      <c r="BQ122" s="17">
        <f>IF(AN122=1,IF(COUNTIFS($A$2:$A$201,$A122,$AF$2:$AF$201,"Y",$AN$2:$AN$201,1)&gt;0,"Y","N"),"")</f>
        <v/>
      </c>
      <c r="BR122" s="17">
        <f>IF(AND(AN122=1,AF122="Y"),IF(COUNTIFS($A$2:$A$201,$A122,$AF$2:$AF$201,"Y",$AN$2:$AN$201,1,$G$2:$G$201,"&lt;"&amp;G122)+COUNTIFS($A$2:$A$201,$A122,$AF$2:$AF$201,"Y",$AN$2:$AN$201,1,$G$2:$G$201,G122,$AM$2:$AM$201,"&lt;"&amp;AM122)=0,1,0),0)</f>
        <v/>
      </c>
      <c r="BS122" s="17">
        <f>IF(AN122=1,IFERROR(MATCH($A122,INDEX(Clay_Brands!$A$2:$FZ$601,0,Sync!$D$5),0),""),"")</f>
        <v/>
      </c>
      <c r="BT122" s="17">
        <f>IF(BS122="","",IFERROR(INDEX(Clay_Brands!$A$2:$FZ$601,BS122,Sync!$D$7)&amp;"",""))</f>
        <v/>
      </c>
      <c r="BU122" s="17">
        <f>IF(BT122="","",IFERROR(INDEX(Lists!$J$2:$J$15,MATCH(BT122,Lists!$I$2:$I$15,0)),""))</f>
        <v/>
      </c>
      <c r="BV122" s="17">
        <f>IF(BS122="","",IFERROR(INDEX(Clay_Brands!$A$2:$FZ$601,BS122,Sync!$D$17)&amp;"",""))</f>
        <v/>
      </c>
      <c r="BW122" s="23">
        <f>IF(BS122="","",IFERROR(N(INDEX(Clay_Brands!$A$2:$FZ$601,BS122,Sync!$D$16)),0))</f>
        <v/>
      </c>
    </row>
    <row r="123">
      <c r="G123" s="22" t="n"/>
      <c r="AL123" s="17">
        <f>IF(TRIM($A123)="","",IF(AND(LEFT($A123,6)="SAMPLE",Config!$B$19&lt;&gt;"Y"),"",IF(NOT(ISNUMBER(G123)),"call_date is blank or not a date",IF(Sync!$D$5="","Clay paste is empty or has no row_id column: paste the Clay export on Clay_Brands",IF(BS123="","row_id not found in the Clay paste: add the Clay row or fix the row_id",IF(AND(ISNUMBER(BU123),BU123&gt;=1,BU123&lt;=5),"Clay status is "&amp;BT123&amp;": set call_done or later",IF(AND(AP123=1,BV123&lt;&gt;BQ123),"Clay yes_in_principle should be "&amp;BQ123,IF(AND(AP123=1,BW123&lt;&gt;G123),"Clay call_date should be "&amp;TEXT(G123,"yyyy-mm-dd"),""))))))))</f>
        <v/>
      </c>
      <c r="AM123" s="17">
        <f>ROW()</f>
        <v/>
      </c>
      <c r="AN123" s="17">
        <f>IF(AND(TRIM($A123)&lt;&gt;"",ISNUMBER(G123)),IF(AND(LEFT($A123,6)="SAMPLE",Config!$B$19&lt;&gt;"Y"),0,1),0)</f>
        <v/>
      </c>
      <c r="AO123" s="17">
        <f>IF(AN123=1,IF(COUNTIFS($A$2:$A$201,$A123,$AN$2:$AN$201,1,$G$2:$G$201,"&lt;"&amp;G123)+COUNTIFS($A$2:$A$201,$A123,$AN$2:$AN$201,1,$G$2:$G$201,G123,$AM$2:$AM$201,"&lt;"&amp;AM123)=0,1,0),0)</f>
        <v/>
      </c>
      <c r="AP123" s="17">
        <f>IF(AN123=1,IF(COUNTIFS($A$2:$A$201,$A123,$AN$2:$AN$201,1,$G$2:$G$201,"&gt;"&amp;G123)+COUNTIFS($A$2:$A$201,$A123,$AN$2:$AN$201,1,$G$2:$G$201,G123,$AM$2:$AM$201,"&gt;"&amp;AM123)=0,1,0),0)</f>
        <v/>
      </c>
      <c r="AQ123" s="17">
        <f>IF(AND(AN123=1,N123="Y",MAX(N(R123),N(V123))&gt;=Config!$B$14),1,0)</f>
        <v/>
      </c>
      <c r="AR123" s="17">
        <f>IF(AQ123=1,IF(COUNTIFS($A$2:$A$201,$A123,$AQ$2:$AQ$201,1,$G$2:$G$201,"&lt;"&amp;G123)+COUNTIFS($A$2:$A$201,$A123,$AQ$2:$AQ$201,1,$G$2:$G$201,G123,$AM$2:$AM$201,"&lt;"&amp;AM123)=0,1,0),0)</f>
        <v/>
      </c>
      <c r="AS123" s="17">
        <f>IF(AND(AN123=1,N123="Y",ISNUMBER(R123)),IF(R123&gt;=Config!$B$14,1,0),0)</f>
        <v/>
      </c>
      <c r="AT123" s="17">
        <f>IF(AS123=1,IF(COUNTIFS($A$2:$A$201,$A123,$AS$2:$AS$201,1,$G$2:$G$201,"&lt;"&amp;G123)+COUNTIFS($A$2:$A$201,$A123,$AS$2:$AS$201,1,$G$2:$G$201,G123,$AM$2:$AM$201,"&lt;"&amp;AM123)=0,1,0),0)</f>
        <v/>
      </c>
      <c r="AU123" s="17">
        <f>IF(AND(AN123=1,N123&lt;&gt;"Y",MAX(N(R123),N(V123))&gt;=Config!$B$14),1,0)</f>
        <v/>
      </c>
      <c r="AV123" s="17">
        <f>IF(AU123=1,IF(COUNTIFS($A$2:$A$201,$A123,$AU$2:$AU$201,1,$G$2:$G$201,"&lt;"&amp;G123)+COUNTIFS($A$2:$A$201,$A123,$AU$2:$AU$201,1,$G$2:$G$201,G123,$AM$2:$AM$201,"&lt;"&amp;AM123)=0,1,0),0)</f>
        <v/>
      </c>
      <c r="AW123" s="17">
        <f>IF(AND(AN123=1,ISNUMBER(R123)),1,0)</f>
        <v/>
      </c>
      <c r="AX123" s="17">
        <f>IF(AW123=1,IF(COUNTIFS($A$2:$A$201,$A123,$AW$2:$AW$201,1,$G$2:$G$201,"&lt;"&amp;G123)+COUNTIFS($A$2:$A$201,$A123,$AW$2:$AW$201,1,$G$2:$G$201,G123,$AM$2:$AM$201,"&lt;"&amp;AM123)=0,1,0),0)</f>
        <v/>
      </c>
      <c r="AY123" s="17">
        <f>IF(AND(AX123=1,G123&lt;=Config!$B$6),R123,"")</f>
        <v/>
      </c>
      <c r="AZ123" s="17">
        <f>IF(AND(AX123=1,G123&lt;=Config!$B$7),R123,"")</f>
        <v/>
      </c>
      <c r="BA123" s="17">
        <f>IF(AND(AX123=1,G123&lt;=Config!$B$8),R123,"")</f>
        <v/>
      </c>
      <c r="BB123" s="17">
        <f>IF(AND(AX123=1,G123&lt;=Config!$B$5),R123,"")</f>
        <v/>
      </c>
      <c r="BC123" s="17">
        <f>IF(AND(AN123=1,ISNUMBER(V123)),1,0)</f>
        <v/>
      </c>
      <c r="BD123" s="17">
        <f>IF(BC123=1,IF(COUNTIFS($A$2:$A$201,$A123,$BC$2:$BC$201,1,$G$2:$G$201,"&lt;"&amp;G123)+COUNTIFS($A$2:$A$201,$A123,$BC$2:$BC$201,1,$G$2:$G$201,G123,$AM$2:$AM$201,"&lt;"&amp;AM123)=0,1,0),0)</f>
        <v/>
      </c>
      <c r="BE123" s="17">
        <f>IF(AND(BD123=1,G123&lt;=Config!$B$6),V123,"")</f>
        <v/>
      </c>
      <c r="BF123" s="17">
        <f>IF(AND(BD123=1,G123&lt;=Config!$B$7),V123,"")</f>
        <v/>
      </c>
      <c r="BG123" s="17">
        <f>IF(AND(BD123=1,G123&lt;=Config!$B$8),V123,"")</f>
        <v/>
      </c>
      <c r="BH123" s="17">
        <f>IF(AND(BD123=1,G123&lt;=Config!$B$5),V123,"")</f>
        <v/>
      </c>
      <c r="BI123" s="17">
        <f>IF(AND(AN123=1,ISNUMBER(J123)),1,0)</f>
        <v/>
      </c>
      <c r="BJ123" s="17">
        <f>IF(BI123=1,IF(COUNTIFS($A$2:$A$201,$A123,$BI$2:$BI$201,1,$G$2:$G$201,"&lt;"&amp;G123)+COUNTIFS($A$2:$A$201,$A123,$BI$2:$BI$201,1,$G$2:$G$201,G123,$AM$2:$AM$201,"&lt;"&amp;AM123)=0,1,0),0)</f>
        <v/>
      </c>
      <c r="BK123" s="17">
        <f>IF(AND(BJ123=1,G123&lt;=Config!$B$5),J123,"")</f>
        <v/>
      </c>
      <c r="BL123" s="17">
        <f>IF(AND(AN123=1,OR(AND(ISNUMBER(R123),TRIM(S123)=""),AND(ISNUMBER(V123),TRIM(W123)=""))),1,0)</f>
        <v/>
      </c>
      <c r="BM123" s="17">
        <f>IF(AN123=1,AB123&amp;"","")</f>
        <v/>
      </c>
      <c r="BN123" s="17">
        <f>IF(AN123=1,AC123&amp;"","")</f>
        <v/>
      </c>
      <c r="BO123" s="17">
        <f>IF(AN123=1,AD123&amp;"","")</f>
        <v/>
      </c>
      <c r="BP123" s="17">
        <f>IF(AND(AN123=1,ISNUMBER(AI123),G123&lt;=Config!$B$5),AI123,"")</f>
        <v/>
      </c>
      <c r="BQ123" s="17">
        <f>IF(AN123=1,IF(COUNTIFS($A$2:$A$201,$A123,$AF$2:$AF$201,"Y",$AN$2:$AN$201,1)&gt;0,"Y","N"),"")</f>
        <v/>
      </c>
      <c r="BR123" s="17">
        <f>IF(AND(AN123=1,AF123="Y"),IF(COUNTIFS($A$2:$A$201,$A123,$AF$2:$AF$201,"Y",$AN$2:$AN$201,1,$G$2:$G$201,"&lt;"&amp;G123)+COUNTIFS($A$2:$A$201,$A123,$AF$2:$AF$201,"Y",$AN$2:$AN$201,1,$G$2:$G$201,G123,$AM$2:$AM$201,"&lt;"&amp;AM123)=0,1,0),0)</f>
        <v/>
      </c>
      <c r="BS123" s="17">
        <f>IF(AN123=1,IFERROR(MATCH($A123,INDEX(Clay_Brands!$A$2:$FZ$601,0,Sync!$D$5),0),""),"")</f>
        <v/>
      </c>
      <c r="BT123" s="17">
        <f>IF(BS123="","",IFERROR(INDEX(Clay_Brands!$A$2:$FZ$601,BS123,Sync!$D$7)&amp;"",""))</f>
        <v/>
      </c>
      <c r="BU123" s="17">
        <f>IF(BT123="","",IFERROR(INDEX(Lists!$J$2:$J$15,MATCH(BT123,Lists!$I$2:$I$15,0)),""))</f>
        <v/>
      </c>
      <c r="BV123" s="17">
        <f>IF(BS123="","",IFERROR(INDEX(Clay_Brands!$A$2:$FZ$601,BS123,Sync!$D$17)&amp;"",""))</f>
        <v/>
      </c>
      <c r="BW123" s="23">
        <f>IF(BS123="","",IFERROR(N(INDEX(Clay_Brands!$A$2:$FZ$601,BS123,Sync!$D$16)),0))</f>
        <v/>
      </c>
    </row>
    <row r="124">
      <c r="G124" s="22" t="n"/>
      <c r="AL124" s="17">
        <f>IF(TRIM($A124)="","",IF(AND(LEFT($A124,6)="SAMPLE",Config!$B$19&lt;&gt;"Y"),"",IF(NOT(ISNUMBER(G124)),"call_date is blank or not a date",IF(Sync!$D$5="","Clay paste is empty or has no row_id column: paste the Clay export on Clay_Brands",IF(BS124="","row_id not found in the Clay paste: add the Clay row or fix the row_id",IF(AND(ISNUMBER(BU124),BU124&gt;=1,BU124&lt;=5),"Clay status is "&amp;BT124&amp;": set call_done or later",IF(AND(AP124=1,BV124&lt;&gt;BQ124),"Clay yes_in_principle should be "&amp;BQ124,IF(AND(AP124=1,BW124&lt;&gt;G124),"Clay call_date should be "&amp;TEXT(G124,"yyyy-mm-dd"),""))))))))</f>
        <v/>
      </c>
      <c r="AM124" s="17">
        <f>ROW()</f>
        <v/>
      </c>
      <c r="AN124" s="17">
        <f>IF(AND(TRIM($A124)&lt;&gt;"",ISNUMBER(G124)),IF(AND(LEFT($A124,6)="SAMPLE",Config!$B$19&lt;&gt;"Y"),0,1),0)</f>
        <v/>
      </c>
      <c r="AO124" s="17">
        <f>IF(AN124=1,IF(COUNTIFS($A$2:$A$201,$A124,$AN$2:$AN$201,1,$G$2:$G$201,"&lt;"&amp;G124)+COUNTIFS($A$2:$A$201,$A124,$AN$2:$AN$201,1,$G$2:$G$201,G124,$AM$2:$AM$201,"&lt;"&amp;AM124)=0,1,0),0)</f>
        <v/>
      </c>
      <c r="AP124" s="17">
        <f>IF(AN124=1,IF(COUNTIFS($A$2:$A$201,$A124,$AN$2:$AN$201,1,$G$2:$G$201,"&gt;"&amp;G124)+COUNTIFS($A$2:$A$201,$A124,$AN$2:$AN$201,1,$G$2:$G$201,G124,$AM$2:$AM$201,"&gt;"&amp;AM124)=0,1,0),0)</f>
        <v/>
      </c>
      <c r="AQ124" s="17">
        <f>IF(AND(AN124=1,N124="Y",MAX(N(R124),N(V124))&gt;=Config!$B$14),1,0)</f>
        <v/>
      </c>
      <c r="AR124" s="17">
        <f>IF(AQ124=1,IF(COUNTIFS($A$2:$A$201,$A124,$AQ$2:$AQ$201,1,$G$2:$G$201,"&lt;"&amp;G124)+COUNTIFS($A$2:$A$201,$A124,$AQ$2:$AQ$201,1,$G$2:$G$201,G124,$AM$2:$AM$201,"&lt;"&amp;AM124)=0,1,0),0)</f>
        <v/>
      </c>
      <c r="AS124" s="17">
        <f>IF(AND(AN124=1,N124="Y",ISNUMBER(R124)),IF(R124&gt;=Config!$B$14,1,0),0)</f>
        <v/>
      </c>
      <c r="AT124" s="17">
        <f>IF(AS124=1,IF(COUNTIFS($A$2:$A$201,$A124,$AS$2:$AS$201,1,$G$2:$G$201,"&lt;"&amp;G124)+COUNTIFS($A$2:$A$201,$A124,$AS$2:$AS$201,1,$G$2:$G$201,G124,$AM$2:$AM$201,"&lt;"&amp;AM124)=0,1,0),0)</f>
        <v/>
      </c>
      <c r="AU124" s="17">
        <f>IF(AND(AN124=1,N124&lt;&gt;"Y",MAX(N(R124),N(V124))&gt;=Config!$B$14),1,0)</f>
        <v/>
      </c>
      <c r="AV124" s="17">
        <f>IF(AU124=1,IF(COUNTIFS($A$2:$A$201,$A124,$AU$2:$AU$201,1,$G$2:$G$201,"&lt;"&amp;G124)+COUNTIFS($A$2:$A$201,$A124,$AU$2:$AU$201,1,$G$2:$G$201,G124,$AM$2:$AM$201,"&lt;"&amp;AM124)=0,1,0),0)</f>
        <v/>
      </c>
      <c r="AW124" s="17">
        <f>IF(AND(AN124=1,ISNUMBER(R124)),1,0)</f>
        <v/>
      </c>
      <c r="AX124" s="17">
        <f>IF(AW124=1,IF(COUNTIFS($A$2:$A$201,$A124,$AW$2:$AW$201,1,$G$2:$G$201,"&lt;"&amp;G124)+COUNTIFS($A$2:$A$201,$A124,$AW$2:$AW$201,1,$G$2:$G$201,G124,$AM$2:$AM$201,"&lt;"&amp;AM124)=0,1,0),0)</f>
        <v/>
      </c>
      <c r="AY124" s="17">
        <f>IF(AND(AX124=1,G124&lt;=Config!$B$6),R124,"")</f>
        <v/>
      </c>
      <c r="AZ124" s="17">
        <f>IF(AND(AX124=1,G124&lt;=Config!$B$7),R124,"")</f>
        <v/>
      </c>
      <c r="BA124" s="17">
        <f>IF(AND(AX124=1,G124&lt;=Config!$B$8),R124,"")</f>
        <v/>
      </c>
      <c r="BB124" s="17">
        <f>IF(AND(AX124=1,G124&lt;=Config!$B$5),R124,"")</f>
        <v/>
      </c>
      <c r="BC124" s="17">
        <f>IF(AND(AN124=1,ISNUMBER(V124)),1,0)</f>
        <v/>
      </c>
      <c r="BD124" s="17">
        <f>IF(BC124=1,IF(COUNTIFS($A$2:$A$201,$A124,$BC$2:$BC$201,1,$G$2:$G$201,"&lt;"&amp;G124)+COUNTIFS($A$2:$A$201,$A124,$BC$2:$BC$201,1,$G$2:$G$201,G124,$AM$2:$AM$201,"&lt;"&amp;AM124)=0,1,0),0)</f>
        <v/>
      </c>
      <c r="BE124" s="17">
        <f>IF(AND(BD124=1,G124&lt;=Config!$B$6),V124,"")</f>
        <v/>
      </c>
      <c r="BF124" s="17">
        <f>IF(AND(BD124=1,G124&lt;=Config!$B$7),V124,"")</f>
        <v/>
      </c>
      <c r="BG124" s="17">
        <f>IF(AND(BD124=1,G124&lt;=Config!$B$8),V124,"")</f>
        <v/>
      </c>
      <c r="BH124" s="17">
        <f>IF(AND(BD124=1,G124&lt;=Config!$B$5),V124,"")</f>
        <v/>
      </c>
      <c r="BI124" s="17">
        <f>IF(AND(AN124=1,ISNUMBER(J124)),1,0)</f>
        <v/>
      </c>
      <c r="BJ124" s="17">
        <f>IF(BI124=1,IF(COUNTIFS($A$2:$A$201,$A124,$BI$2:$BI$201,1,$G$2:$G$201,"&lt;"&amp;G124)+COUNTIFS($A$2:$A$201,$A124,$BI$2:$BI$201,1,$G$2:$G$201,G124,$AM$2:$AM$201,"&lt;"&amp;AM124)=0,1,0),0)</f>
        <v/>
      </c>
      <c r="BK124" s="17">
        <f>IF(AND(BJ124=1,G124&lt;=Config!$B$5),J124,"")</f>
        <v/>
      </c>
      <c r="BL124" s="17">
        <f>IF(AND(AN124=1,OR(AND(ISNUMBER(R124),TRIM(S124)=""),AND(ISNUMBER(V124),TRIM(W124)=""))),1,0)</f>
        <v/>
      </c>
      <c r="BM124" s="17">
        <f>IF(AN124=1,AB124&amp;"","")</f>
        <v/>
      </c>
      <c r="BN124" s="17">
        <f>IF(AN124=1,AC124&amp;"","")</f>
        <v/>
      </c>
      <c r="BO124" s="17">
        <f>IF(AN124=1,AD124&amp;"","")</f>
        <v/>
      </c>
      <c r="BP124" s="17">
        <f>IF(AND(AN124=1,ISNUMBER(AI124),G124&lt;=Config!$B$5),AI124,"")</f>
        <v/>
      </c>
      <c r="BQ124" s="17">
        <f>IF(AN124=1,IF(COUNTIFS($A$2:$A$201,$A124,$AF$2:$AF$201,"Y",$AN$2:$AN$201,1)&gt;0,"Y","N"),"")</f>
        <v/>
      </c>
      <c r="BR124" s="17">
        <f>IF(AND(AN124=1,AF124="Y"),IF(COUNTIFS($A$2:$A$201,$A124,$AF$2:$AF$201,"Y",$AN$2:$AN$201,1,$G$2:$G$201,"&lt;"&amp;G124)+COUNTIFS($A$2:$A$201,$A124,$AF$2:$AF$201,"Y",$AN$2:$AN$201,1,$G$2:$G$201,G124,$AM$2:$AM$201,"&lt;"&amp;AM124)=0,1,0),0)</f>
        <v/>
      </c>
      <c r="BS124" s="17">
        <f>IF(AN124=1,IFERROR(MATCH($A124,INDEX(Clay_Brands!$A$2:$FZ$601,0,Sync!$D$5),0),""),"")</f>
        <v/>
      </c>
      <c r="BT124" s="17">
        <f>IF(BS124="","",IFERROR(INDEX(Clay_Brands!$A$2:$FZ$601,BS124,Sync!$D$7)&amp;"",""))</f>
        <v/>
      </c>
      <c r="BU124" s="17">
        <f>IF(BT124="","",IFERROR(INDEX(Lists!$J$2:$J$15,MATCH(BT124,Lists!$I$2:$I$15,0)),""))</f>
        <v/>
      </c>
      <c r="BV124" s="17">
        <f>IF(BS124="","",IFERROR(INDEX(Clay_Brands!$A$2:$FZ$601,BS124,Sync!$D$17)&amp;"",""))</f>
        <v/>
      </c>
      <c r="BW124" s="23">
        <f>IF(BS124="","",IFERROR(N(INDEX(Clay_Brands!$A$2:$FZ$601,BS124,Sync!$D$16)),0))</f>
        <v/>
      </c>
    </row>
    <row r="125">
      <c r="G125" s="22" t="n"/>
      <c r="AL125" s="17">
        <f>IF(TRIM($A125)="","",IF(AND(LEFT($A125,6)="SAMPLE",Config!$B$19&lt;&gt;"Y"),"",IF(NOT(ISNUMBER(G125)),"call_date is blank or not a date",IF(Sync!$D$5="","Clay paste is empty or has no row_id column: paste the Clay export on Clay_Brands",IF(BS125="","row_id not found in the Clay paste: add the Clay row or fix the row_id",IF(AND(ISNUMBER(BU125),BU125&gt;=1,BU125&lt;=5),"Clay status is "&amp;BT125&amp;": set call_done or later",IF(AND(AP125=1,BV125&lt;&gt;BQ125),"Clay yes_in_principle should be "&amp;BQ125,IF(AND(AP125=1,BW125&lt;&gt;G125),"Clay call_date should be "&amp;TEXT(G125,"yyyy-mm-dd"),""))))))))</f>
        <v/>
      </c>
      <c r="AM125" s="17">
        <f>ROW()</f>
        <v/>
      </c>
      <c r="AN125" s="17">
        <f>IF(AND(TRIM($A125)&lt;&gt;"",ISNUMBER(G125)),IF(AND(LEFT($A125,6)="SAMPLE",Config!$B$19&lt;&gt;"Y"),0,1),0)</f>
        <v/>
      </c>
      <c r="AO125" s="17">
        <f>IF(AN125=1,IF(COUNTIFS($A$2:$A$201,$A125,$AN$2:$AN$201,1,$G$2:$G$201,"&lt;"&amp;G125)+COUNTIFS($A$2:$A$201,$A125,$AN$2:$AN$201,1,$G$2:$G$201,G125,$AM$2:$AM$201,"&lt;"&amp;AM125)=0,1,0),0)</f>
        <v/>
      </c>
      <c r="AP125" s="17">
        <f>IF(AN125=1,IF(COUNTIFS($A$2:$A$201,$A125,$AN$2:$AN$201,1,$G$2:$G$201,"&gt;"&amp;G125)+COUNTIFS($A$2:$A$201,$A125,$AN$2:$AN$201,1,$G$2:$G$201,G125,$AM$2:$AM$201,"&gt;"&amp;AM125)=0,1,0),0)</f>
        <v/>
      </c>
      <c r="AQ125" s="17">
        <f>IF(AND(AN125=1,N125="Y",MAX(N(R125),N(V125))&gt;=Config!$B$14),1,0)</f>
        <v/>
      </c>
      <c r="AR125" s="17">
        <f>IF(AQ125=1,IF(COUNTIFS($A$2:$A$201,$A125,$AQ$2:$AQ$201,1,$G$2:$G$201,"&lt;"&amp;G125)+COUNTIFS($A$2:$A$201,$A125,$AQ$2:$AQ$201,1,$G$2:$G$201,G125,$AM$2:$AM$201,"&lt;"&amp;AM125)=0,1,0),0)</f>
        <v/>
      </c>
      <c r="AS125" s="17">
        <f>IF(AND(AN125=1,N125="Y",ISNUMBER(R125)),IF(R125&gt;=Config!$B$14,1,0),0)</f>
        <v/>
      </c>
      <c r="AT125" s="17">
        <f>IF(AS125=1,IF(COUNTIFS($A$2:$A$201,$A125,$AS$2:$AS$201,1,$G$2:$G$201,"&lt;"&amp;G125)+COUNTIFS($A$2:$A$201,$A125,$AS$2:$AS$201,1,$G$2:$G$201,G125,$AM$2:$AM$201,"&lt;"&amp;AM125)=0,1,0),0)</f>
        <v/>
      </c>
      <c r="AU125" s="17">
        <f>IF(AND(AN125=1,N125&lt;&gt;"Y",MAX(N(R125),N(V125))&gt;=Config!$B$14),1,0)</f>
        <v/>
      </c>
      <c r="AV125" s="17">
        <f>IF(AU125=1,IF(COUNTIFS($A$2:$A$201,$A125,$AU$2:$AU$201,1,$G$2:$G$201,"&lt;"&amp;G125)+COUNTIFS($A$2:$A$201,$A125,$AU$2:$AU$201,1,$G$2:$G$201,G125,$AM$2:$AM$201,"&lt;"&amp;AM125)=0,1,0),0)</f>
        <v/>
      </c>
      <c r="AW125" s="17">
        <f>IF(AND(AN125=1,ISNUMBER(R125)),1,0)</f>
        <v/>
      </c>
      <c r="AX125" s="17">
        <f>IF(AW125=1,IF(COUNTIFS($A$2:$A$201,$A125,$AW$2:$AW$201,1,$G$2:$G$201,"&lt;"&amp;G125)+COUNTIFS($A$2:$A$201,$A125,$AW$2:$AW$201,1,$G$2:$G$201,G125,$AM$2:$AM$201,"&lt;"&amp;AM125)=0,1,0),0)</f>
        <v/>
      </c>
      <c r="AY125" s="17">
        <f>IF(AND(AX125=1,G125&lt;=Config!$B$6),R125,"")</f>
        <v/>
      </c>
      <c r="AZ125" s="17">
        <f>IF(AND(AX125=1,G125&lt;=Config!$B$7),R125,"")</f>
        <v/>
      </c>
      <c r="BA125" s="17">
        <f>IF(AND(AX125=1,G125&lt;=Config!$B$8),R125,"")</f>
        <v/>
      </c>
      <c r="BB125" s="17">
        <f>IF(AND(AX125=1,G125&lt;=Config!$B$5),R125,"")</f>
        <v/>
      </c>
      <c r="BC125" s="17">
        <f>IF(AND(AN125=1,ISNUMBER(V125)),1,0)</f>
        <v/>
      </c>
      <c r="BD125" s="17">
        <f>IF(BC125=1,IF(COUNTIFS($A$2:$A$201,$A125,$BC$2:$BC$201,1,$G$2:$G$201,"&lt;"&amp;G125)+COUNTIFS($A$2:$A$201,$A125,$BC$2:$BC$201,1,$G$2:$G$201,G125,$AM$2:$AM$201,"&lt;"&amp;AM125)=0,1,0),0)</f>
        <v/>
      </c>
      <c r="BE125" s="17">
        <f>IF(AND(BD125=1,G125&lt;=Config!$B$6),V125,"")</f>
        <v/>
      </c>
      <c r="BF125" s="17">
        <f>IF(AND(BD125=1,G125&lt;=Config!$B$7),V125,"")</f>
        <v/>
      </c>
      <c r="BG125" s="17">
        <f>IF(AND(BD125=1,G125&lt;=Config!$B$8),V125,"")</f>
        <v/>
      </c>
      <c r="BH125" s="17">
        <f>IF(AND(BD125=1,G125&lt;=Config!$B$5),V125,"")</f>
        <v/>
      </c>
      <c r="BI125" s="17">
        <f>IF(AND(AN125=1,ISNUMBER(J125)),1,0)</f>
        <v/>
      </c>
      <c r="BJ125" s="17">
        <f>IF(BI125=1,IF(COUNTIFS($A$2:$A$201,$A125,$BI$2:$BI$201,1,$G$2:$G$201,"&lt;"&amp;G125)+COUNTIFS($A$2:$A$201,$A125,$BI$2:$BI$201,1,$G$2:$G$201,G125,$AM$2:$AM$201,"&lt;"&amp;AM125)=0,1,0),0)</f>
        <v/>
      </c>
      <c r="BK125" s="17">
        <f>IF(AND(BJ125=1,G125&lt;=Config!$B$5),J125,"")</f>
        <v/>
      </c>
      <c r="BL125" s="17">
        <f>IF(AND(AN125=1,OR(AND(ISNUMBER(R125),TRIM(S125)=""),AND(ISNUMBER(V125),TRIM(W125)=""))),1,0)</f>
        <v/>
      </c>
      <c r="BM125" s="17">
        <f>IF(AN125=1,AB125&amp;"","")</f>
        <v/>
      </c>
      <c r="BN125" s="17">
        <f>IF(AN125=1,AC125&amp;"","")</f>
        <v/>
      </c>
      <c r="BO125" s="17">
        <f>IF(AN125=1,AD125&amp;"","")</f>
        <v/>
      </c>
      <c r="BP125" s="17">
        <f>IF(AND(AN125=1,ISNUMBER(AI125),G125&lt;=Config!$B$5),AI125,"")</f>
        <v/>
      </c>
      <c r="BQ125" s="17">
        <f>IF(AN125=1,IF(COUNTIFS($A$2:$A$201,$A125,$AF$2:$AF$201,"Y",$AN$2:$AN$201,1)&gt;0,"Y","N"),"")</f>
        <v/>
      </c>
      <c r="BR125" s="17">
        <f>IF(AND(AN125=1,AF125="Y"),IF(COUNTIFS($A$2:$A$201,$A125,$AF$2:$AF$201,"Y",$AN$2:$AN$201,1,$G$2:$G$201,"&lt;"&amp;G125)+COUNTIFS($A$2:$A$201,$A125,$AF$2:$AF$201,"Y",$AN$2:$AN$201,1,$G$2:$G$201,G125,$AM$2:$AM$201,"&lt;"&amp;AM125)=0,1,0),0)</f>
        <v/>
      </c>
      <c r="BS125" s="17">
        <f>IF(AN125=1,IFERROR(MATCH($A125,INDEX(Clay_Brands!$A$2:$FZ$601,0,Sync!$D$5),0),""),"")</f>
        <v/>
      </c>
      <c r="BT125" s="17">
        <f>IF(BS125="","",IFERROR(INDEX(Clay_Brands!$A$2:$FZ$601,BS125,Sync!$D$7)&amp;"",""))</f>
        <v/>
      </c>
      <c r="BU125" s="17">
        <f>IF(BT125="","",IFERROR(INDEX(Lists!$J$2:$J$15,MATCH(BT125,Lists!$I$2:$I$15,0)),""))</f>
        <v/>
      </c>
      <c r="BV125" s="17">
        <f>IF(BS125="","",IFERROR(INDEX(Clay_Brands!$A$2:$FZ$601,BS125,Sync!$D$17)&amp;"",""))</f>
        <v/>
      </c>
      <c r="BW125" s="23">
        <f>IF(BS125="","",IFERROR(N(INDEX(Clay_Brands!$A$2:$FZ$601,BS125,Sync!$D$16)),0))</f>
        <v/>
      </c>
    </row>
    <row r="126">
      <c r="G126" s="22" t="n"/>
      <c r="AL126" s="17">
        <f>IF(TRIM($A126)="","",IF(AND(LEFT($A126,6)="SAMPLE",Config!$B$19&lt;&gt;"Y"),"",IF(NOT(ISNUMBER(G126)),"call_date is blank or not a date",IF(Sync!$D$5="","Clay paste is empty or has no row_id column: paste the Clay export on Clay_Brands",IF(BS126="","row_id not found in the Clay paste: add the Clay row or fix the row_id",IF(AND(ISNUMBER(BU126),BU126&gt;=1,BU126&lt;=5),"Clay status is "&amp;BT126&amp;": set call_done or later",IF(AND(AP126=1,BV126&lt;&gt;BQ126),"Clay yes_in_principle should be "&amp;BQ126,IF(AND(AP126=1,BW126&lt;&gt;G126),"Clay call_date should be "&amp;TEXT(G126,"yyyy-mm-dd"),""))))))))</f>
        <v/>
      </c>
      <c r="AM126" s="17">
        <f>ROW()</f>
        <v/>
      </c>
      <c r="AN126" s="17">
        <f>IF(AND(TRIM($A126)&lt;&gt;"",ISNUMBER(G126)),IF(AND(LEFT($A126,6)="SAMPLE",Config!$B$19&lt;&gt;"Y"),0,1),0)</f>
        <v/>
      </c>
      <c r="AO126" s="17">
        <f>IF(AN126=1,IF(COUNTIFS($A$2:$A$201,$A126,$AN$2:$AN$201,1,$G$2:$G$201,"&lt;"&amp;G126)+COUNTIFS($A$2:$A$201,$A126,$AN$2:$AN$201,1,$G$2:$G$201,G126,$AM$2:$AM$201,"&lt;"&amp;AM126)=0,1,0),0)</f>
        <v/>
      </c>
      <c r="AP126" s="17">
        <f>IF(AN126=1,IF(COUNTIFS($A$2:$A$201,$A126,$AN$2:$AN$201,1,$G$2:$G$201,"&gt;"&amp;G126)+COUNTIFS($A$2:$A$201,$A126,$AN$2:$AN$201,1,$G$2:$G$201,G126,$AM$2:$AM$201,"&gt;"&amp;AM126)=0,1,0),0)</f>
        <v/>
      </c>
      <c r="AQ126" s="17">
        <f>IF(AND(AN126=1,N126="Y",MAX(N(R126),N(V126))&gt;=Config!$B$14),1,0)</f>
        <v/>
      </c>
      <c r="AR126" s="17">
        <f>IF(AQ126=1,IF(COUNTIFS($A$2:$A$201,$A126,$AQ$2:$AQ$201,1,$G$2:$G$201,"&lt;"&amp;G126)+COUNTIFS($A$2:$A$201,$A126,$AQ$2:$AQ$201,1,$G$2:$G$201,G126,$AM$2:$AM$201,"&lt;"&amp;AM126)=0,1,0),0)</f>
        <v/>
      </c>
      <c r="AS126" s="17">
        <f>IF(AND(AN126=1,N126="Y",ISNUMBER(R126)),IF(R126&gt;=Config!$B$14,1,0),0)</f>
        <v/>
      </c>
      <c r="AT126" s="17">
        <f>IF(AS126=1,IF(COUNTIFS($A$2:$A$201,$A126,$AS$2:$AS$201,1,$G$2:$G$201,"&lt;"&amp;G126)+COUNTIFS($A$2:$A$201,$A126,$AS$2:$AS$201,1,$G$2:$G$201,G126,$AM$2:$AM$201,"&lt;"&amp;AM126)=0,1,0),0)</f>
        <v/>
      </c>
      <c r="AU126" s="17">
        <f>IF(AND(AN126=1,N126&lt;&gt;"Y",MAX(N(R126),N(V126))&gt;=Config!$B$14),1,0)</f>
        <v/>
      </c>
      <c r="AV126" s="17">
        <f>IF(AU126=1,IF(COUNTIFS($A$2:$A$201,$A126,$AU$2:$AU$201,1,$G$2:$G$201,"&lt;"&amp;G126)+COUNTIFS($A$2:$A$201,$A126,$AU$2:$AU$201,1,$G$2:$G$201,G126,$AM$2:$AM$201,"&lt;"&amp;AM126)=0,1,0),0)</f>
        <v/>
      </c>
      <c r="AW126" s="17">
        <f>IF(AND(AN126=1,ISNUMBER(R126)),1,0)</f>
        <v/>
      </c>
      <c r="AX126" s="17">
        <f>IF(AW126=1,IF(COUNTIFS($A$2:$A$201,$A126,$AW$2:$AW$201,1,$G$2:$G$201,"&lt;"&amp;G126)+COUNTIFS($A$2:$A$201,$A126,$AW$2:$AW$201,1,$G$2:$G$201,G126,$AM$2:$AM$201,"&lt;"&amp;AM126)=0,1,0),0)</f>
        <v/>
      </c>
      <c r="AY126" s="17">
        <f>IF(AND(AX126=1,G126&lt;=Config!$B$6),R126,"")</f>
        <v/>
      </c>
      <c r="AZ126" s="17">
        <f>IF(AND(AX126=1,G126&lt;=Config!$B$7),R126,"")</f>
        <v/>
      </c>
      <c r="BA126" s="17">
        <f>IF(AND(AX126=1,G126&lt;=Config!$B$8),R126,"")</f>
        <v/>
      </c>
      <c r="BB126" s="17">
        <f>IF(AND(AX126=1,G126&lt;=Config!$B$5),R126,"")</f>
        <v/>
      </c>
      <c r="BC126" s="17">
        <f>IF(AND(AN126=1,ISNUMBER(V126)),1,0)</f>
        <v/>
      </c>
      <c r="BD126" s="17">
        <f>IF(BC126=1,IF(COUNTIFS($A$2:$A$201,$A126,$BC$2:$BC$201,1,$G$2:$G$201,"&lt;"&amp;G126)+COUNTIFS($A$2:$A$201,$A126,$BC$2:$BC$201,1,$G$2:$G$201,G126,$AM$2:$AM$201,"&lt;"&amp;AM126)=0,1,0),0)</f>
        <v/>
      </c>
      <c r="BE126" s="17">
        <f>IF(AND(BD126=1,G126&lt;=Config!$B$6),V126,"")</f>
        <v/>
      </c>
      <c r="BF126" s="17">
        <f>IF(AND(BD126=1,G126&lt;=Config!$B$7),V126,"")</f>
        <v/>
      </c>
      <c r="BG126" s="17">
        <f>IF(AND(BD126=1,G126&lt;=Config!$B$8),V126,"")</f>
        <v/>
      </c>
      <c r="BH126" s="17">
        <f>IF(AND(BD126=1,G126&lt;=Config!$B$5),V126,"")</f>
        <v/>
      </c>
      <c r="BI126" s="17">
        <f>IF(AND(AN126=1,ISNUMBER(J126)),1,0)</f>
        <v/>
      </c>
      <c r="BJ126" s="17">
        <f>IF(BI126=1,IF(COUNTIFS($A$2:$A$201,$A126,$BI$2:$BI$201,1,$G$2:$G$201,"&lt;"&amp;G126)+COUNTIFS($A$2:$A$201,$A126,$BI$2:$BI$201,1,$G$2:$G$201,G126,$AM$2:$AM$201,"&lt;"&amp;AM126)=0,1,0),0)</f>
        <v/>
      </c>
      <c r="BK126" s="17">
        <f>IF(AND(BJ126=1,G126&lt;=Config!$B$5),J126,"")</f>
        <v/>
      </c>
      <c r="BL126" s="17">
        <f>IF(AND(AN126=1,OR(AND(ISNUMBER(R126),TRIM(S126)=""),AND(ISNUMBER(V126),TRIM(W126)=""))),1,0)</f>
        <v/>
      </c>
      <c r="BM126" s="17">
        <f>IF(AN126=1,AB126&amp;"","")</f>
        <v/>
      </c>
      <c r="BN126" s="17">
        <f>IF(AN126=1,AC126&amp;"","")</f>
        <v/>
      </c>
      <c r="BO126" s="17">
        <f>IF(AN126=1,AD126&amp;"","")</f>
        <v/>
      </c>
      <c r="BP126" s="17">
        <f>IF(AND(AN126=1,ISNUMBER(AI126),G126&lt;=Config!$B$5),AI126,"")</f>
        <v/>
      </c>
      <c r="BQ126" s="17">
        <f>IF(AN126=1,IF(COUNTIFS($A$2:$A$201,$A126,$AF$2:$AF$201,"Y",$AN$2:$AN$201,1)&gt;0,"Y","N"),"")</f>
        <v/>
      </c>
      <c r="BR126" s="17">
        <f>IF(AND(AN126=1,AF126="Y"),IF(COUNTIFS($A$2:$A$201,$A126,$AF$2:$AF$201,"Y",$AN$2:$AN$201,1,$G$2:$G$201,"&lt;"&amp;G126)+COUNTIFS($A$2:$A$201,$A126,$AF$2:$AF$201,"Y",$AN$2:$AN$201,1,$G$2:$G$201,G126,$AM$2:$AM$201,"&lt;"&amp;AM126)=0,1,0),0)</f>
        <v/>
      </c>
      <c r="BS126" s="17">
        <f>IF(AN126=1,IFERROR(MATCH($A126,INDEX(Clay_Brands!$A$2:$FZ$601,0,Sync!$D$5),0),""),"")</f>
        <v/>
      </c>
      <c r="BT126" s="17">
        <f>IF(BS126="","",IFERROR(INDEX(Clay_Brands!$A$2:$FZ$601,BS126,Sync!$D$7)&amp;"",""))</f>
        <v/>
      </c>
      <c r="BU126" s="17">
        <f>IF(BT126="","",IFERROR(INDEX(Lists!$J$2:$J$15,MATCH(BT126,Lists!$I$2:$I$15,0)),""))</f>
        <v/>
      </c>
      <c r="BV126" s="17">
        <f>IF(BS126="","",IFERROR(INDEX(Clay_Brands!$A$2:$FZ$601,BS126,Sync!$D$17)&amp;"",""))</f>
        <v/>
      </c>
      <c r="BW126" s="23">
        <f>IF(BS126="","",IFERROR(N(INDEX(Clay_Brands!$A$2:$FZ$601,BS126,Sync!$D$16)),0))</f>
        <v/>
      </c>
    </row>
    <row r="127">
      <c r="G127" s="22" t="n"/>
      <c r="AL127" s="17">
        <f>IF(TRIM($A127)="","",IF(AND(LEFT($A127,6)="SAMPLE",Config!$B$19&lt;&gt;"Y"),"",IF(NOT(ISNUMBER(G127)),"call_date is blank or not a date",IF(Sync!$D$5="","Clay paste is empty or has no row_id column: paste the Clay export on Clay_Brands",IF(BS127="","row_id not found in the Clay paste: add the Clay row or fix the row_id",IF(AND(ISNUMBER(BU127),BU127&gt;=1,BU127&lt;=5),"Clay status is "&amp;BT127&amp;": set call_done or later",IF(AND(AP127=1,BV127&lt;&gt;BQ127),"Clay yes_in_principle should be "&amp;BQ127,IF(AND(AP127=1,BW127&lt;&gt;G127),"Clay call_date should be "&amp;TEXT(G127,"yyyy-mm-dd"),""))))))))</f>
        <v/>
      </c>
      <c r="AM127" s="17">
        <f>ROW()</f>
        <v/>
      </c>
      <c r="AN127" s="17">
        <f>IF(AND(TRIM($A127)&lt;&gt;"",ISNUMBER(G127)),IF(AND(LEFT($A127,6)="SAMPLE",Config!$B$19&lt;&gt;"Y"),0,1),0)</f>
        <v/>
      </c>
      <c r="AO127" s="17">
        <f>IF(AN127=1,IF(COUNTIFS($A$2:$A$201,$A127,$AN$2:$AN$201,1,$G$2:$G$201,"&lt;"&amp;G127)+COUNTIFS($A$2:$A$201,$A127,$AN$2:$AN$201,1,$G$2:$G$201,G127,$AM$2:$AM$201,"&lt;"&amp;AM127)=0,1,0),0)</f>
        <v/>
      </c>
      <c r="AP127" s="17">
        <f>IF(AN127=1,IF(COUNTIFS($A$2:$A$201,$A127,$AN$2:$AN$201,1,$G$2:$G$201,"&gt;"&amp;G127)+COUNTIFS($A$2:$A$201,$A127,$AN$2:$AN$201,1,$G$2:$G$201,G127,$AM$2:$AM$201,"&gt;"&amp;AM127)=0,1,0),0)</f>
        <v/>
      </c>
      <c r="AQ127" s="17">
        <f>IF(AND(AN127=1,N127="Y",MAX(N(R127),N(V127))&gt;=Config!$B$14),1,0)</f>
        <v/>
      </c>
      <c r="AR127" s="17">
        <f>IF(AQ127=1,IF(COUNTIFS($A$2:$A$201,$A127,$AQ$2:$AQ$201,1,$G$2:$G$201,"&lt;"&amp;G127)+COUNTIFS($A$2:$A$201,$A127,$AQ$2:$AQ$201,1,$G$2:$G$201,G127,$AM$2:$AM$201,"&lt;"&amp;AM127)=0,1,0),0)</f>
        <v/>
      </c>
      <c r="AS127" s="17">
        <f>IF(AND(AN127=1,N127="Y",ISNUMBER(R127)),IF(R127&gt;=Config!$B$14,1,0),0)</f>
        <v/>
      </c>
      <c r="AT127" s="17">
        <f>IF(AS127=1,IF(COUNTIFS($A$2:$A$201,$A127,$AS$2:$AS$201,1,$G$2:$G$201,"&lt;"&amp;G127)+COUNTIFS($A$2:$A$201,$A127,$AS$2:$AS$201,1,$G$2:$G$201,G127,$AM$2:$AM$201,"&lt;"&amp;AM127)=0,1,0),0)</f>
        <v/>
      </c>
      <c r="AU127" s="17">
        <f>IF(AND(AN127=1,N127&lt;&gt;"Y",MAX(N(R127),N(V127))&gt;=Config!$B$14),1,0)</f>
        <v/>
      </c>
      <c r="AV127" s="17">
        <f>IF(AU127=1,IF(COUNTIFS($A$2:$A$201,$A127,$AU$2:$AU$201,1,$G$2:$G$201,"&lt;"&amp;G127)+COUNTIFS($A$2:$A$201,$A127,$AU$2:$AU$201,1,$G$2:$G$201,G127,$AM$2:$AM$201,"&lt;"&amp;AM127)=0,1,0),0)</f>
        <v/>
      </c>
      <c r="AW127" s="17">
        <f>IF(AND(AN127=1,ISNUMBER(R127)),1,0)</f>
        <v/>
      </c>
      <c r="AX127" s="17">
        <f>IF(AW127=1,IF(COUNTIFS($A$2:$A$201,$A127,$AW$2:$AW$201,1,$G$2:$G$201,"&lt;"&amp;G127)+COUNTIFS($A$2:$A$201,$A127,$AW$2:$AW$201,1,$G$2:$G$201,G127,$AM$2:$AM$201,"&lt;"&amp;AM127)=0,1,0),0)</f>
        <v/>
      </c>
      <c r="AY127" s="17">
        <f>IF(AND(AX127=1,G127&lt;=Config!$B$6),R127,"")</f>
        <v/>
      </c>
      <c r="AZ127" s="17">
        <f>IF(AND(AX127=1,G127&lt;=Config!$B$7),R127,"")</f>
        <v/>
      </c>
      <c r="BA127" s="17">
        <f>IF(AND(AX127=1,G127&lt;=Config!$B$8),R127,"")</f>
        <v/>
      </c>
      <c r="BB127" s="17">
        <f>IF(AND(AX127=1,G127&lt;=Config!$B$5),R127,"")</f>
        <v/>
      </c>
      <c r="BC127" s="17">
        <f>IF(AND(AN127=1,ISNUMBER(V127)),1,0)</f>
        <v/>
      </c>
      <c r="BD127" s="17">
        <f>IF(BC127=1,IF(COUNTIFS($A$2:$A$201,$A127,$BC$2:$BC$201,1,$G$2:$G$201,"&lt;"&amp;G127)+COUNTIFS($A$2:$A$201,$A127,$BC$2:$BC$201,1,$G$2:$G$201,G127,$AM$2:$AM$201,"&lt;"&amp;AM127)=0,1,0),0)</f>
        <v/>
      </c>
      <c r="BE127" s="17">
        <f>IF(AND(BD127=1,G127&lt;=Config!$B$6),V127,"")</f>
        <v/>
      </c>
      <c r="BF127" s="17">
        <f>IF(AND(BD127=1,G127&lt;=Config!$B$7),V127,"")</f>
        <v/>
      </c>
      <c r="BG127" s="17">
        <f>IF(AND(BD127=1,G127&lt;=Config!$B$8),V127,"")</f>
        <v/>
      </c>
      <c r="BH127" s="17">
        <f>IF(AND(BD127=1,G127&lt;=Config!$B$5),V127,"")</f>
        <v/>
      </c>
      <c r="BI127" s="17">
        <f>IF(AND(AN127=1,ISNUMBER(J127)),1,0)</f>
        <v/>
      </c>
      <c r="BJ127" s="17">
        <f>IF(BI127=1,IF(COUNTIFS($A$2:$A$201,$A127,$BI$2:$BI$201,1,$G$2:$G$201,"&lt;"&amp;G127)+COUNTIFS($A$2:$A$201,$A127,$BI$2:$BI$201,1,$G$2:$G$201,G127,$AM$2:$AM$201,"&lt;"&amp;AM127)=0,1,0),0)</f>
        <v/>
      </c>
      <c r="BK127" s="17">
        <f>IF(AND(BJ127=1,G127&lt;=Config!$B$5),J127,"")</f>
        <v/>
      </c>
      <c r="BL127" s="17">
        <f>IF(AND(AN127=1,OR(AND(ISNUMBER(R127),TRIM(S127)=""),AND(ISNUMBER(V127),TRIM(W127)=""))),1,0)</f>
        <v/>
      </c>
      <c r="BM127" s="17">
        <f>IF(AN127=1,AB127&amp;"","")</f>
        <v/>
      </c>
      <c r="BN127" s="17">
        <f>IF(AN127=1,AC127&amp;"","")</f>
        <v/>
      </c>
      <c r="BO127" s="17">
        <f>IF(AN127=1,AD127&amp;"","")</f>
        <v/>
      </c>
      <c r="BP127" s="17">
        <f>IF(AND(AN127=1,ISNUMBER(AI127),G127&lt;=Config!$B$5),AI127,"")</f>
        <v/>
      </c>
      <c r="BQ127" s="17">
        <f>IF(AN127=1,IF(COUNTIFS($A$2:$A$201,$A127,$AF$2:$AF$201,"Y",$AN$2:$AN$201,1)&gt;0,"Y","N"),"")</f>
        <v/>
      </c>
      <c r="BR127" s="17">
        <f>IF(AND(AN127=1,AF127="Y"),IF(COUNTIFS($A$2:$A$201,$A127,$AF$2:$AF$201,"Y",$AN$2:$AN$201,1,$G$2:$G$201,"&lt;"&amp;G127)+COUNTIFS($A$2:$A$201,$A127,$AF$2:$AF$201,"Y",$AN$2:$AN$201,1,$G$2:$G$201,G127,$AM$2:$AM$201,"&lt;"&amp;AM127)=0,1,0),0)</f>
        <v/>
      </c>
      <c r="BS127" s="17">
        <f>IF(AN127=1,IFERROR(MATCH($A127,INDEX(Clay_Brands!$A$2:$FZ$601,0,Sync!$D$5),0),""),"")</f>
        <v/>
      </c>
      <c r="BT127" s="17">
        <f>IF(BS127="","",IFERROR(INDEX(Clay_Brands!$A$2:$FZ$601,BS127,Sync!$D$7)&amp;"",""))</f>
        <v/>
      </c>
      <c r="BU127" s="17">
        <f>IF(BT127="","",IFERROR(INDEX(Lists!$J$2:$J$15,MATCH(BT127,Lists!$I$2:$I$15,0)),""))</f>
        <v/>
      </c>
      <c r="BV127" s="17">
        <f>IF(BS127="","",IFERROR(INDEX(Clay_Brands!$A$2:$FZ$601,BS127,Sync!$D$17)&amp;"",""))</f>
        <v/>
      </c>
      <c r="BW127" s="23">
        <f>IF(BS127="","",IFERROR(N(INDEX(Clay_Brands!$A$2:$FZ$601,BS127,Sync!$D$16)),0))</f>
        <v/>
      </c>
    </row>
    <row r="128">
      <c r="G128" s="22" t="n"/>
      <c r="AL128" s="17">
        <f>IF(TRIM($A128)="","",IF(AND(LEFT($A128,6)="SAMPLE",Config!$B$19&lt;&gt;"Y"),"",IF(NOT(ISNUMBER(G128)),"call_date is blank or not a date",IF(Sync!$D$5="","Clay paste is empty or has no row_id column: paste the Clay export on Clay_Brands",IF(BS128="","row_id not found in the Clay paste: add the Clay row or fix the row_id",IF(AND(ISNUMBER(BU128),BU128&gt;=1,BU128&lt;=5),"Clay status is "&amp;BT128&amp;": set call_done or later",IF(AND(AP128=1,BV128&lt;&gt;BQ128),"Clay yes_in_principle should be "&amp;BQ128,IF(AND(AP128=1,BW128&lt;&gt;G128),"Clay call_date should be "&amp;TEXT(G128,"yyyy-mm-dd"),""))))))))</f>
        <v/>
      </c>
      <c r="AM128" s="17">
        <f>ROW()</f>
        <v/>
      </c>
      <c r="AN128" s="17">
        <f>IF(AND(TRIM($A128)&lt;&gt;"",ISNUMBER(G128)),IF(AND(LEFT($A128,6)="SAMPLE",Config!$B$19&lt;&gt;"Y"),0,1),0)</f>
        <v/>
      </c>
      <c r="AO128" s="17">
        <f>IF(AN128=1,IF(COUNTIFS($A$2:$A$201,$A128,$AN$2:$AN$201,1,$G$2:$G$201,"&lt;"&amp;G128)+COUNTIFS($A$2:$A$201,$A128,$AN$2:$AN$201,1,$G$2:$G$201,G128,$AM$2:$AM$201,"&lt;"&amp;AM128)=0,1,0),0)</f>
        <v/>
      </c>
      <c r="AP128" s="17">
        <f>IF(AN128=1,IF(COUNTIFS($A$2:$A$201,$A128,$AN$2:$AN$201,1,$G$2:$G$201,"&gt;"&amp;G128)+COUNTIFS($A$2:$A$201,$A128,$AN$2:$AN$201,1,$G$2:$G$201,G128,$AM$2:$AM$201,"&gt;"&amp;AM128)=0,1,0),0)</f>
        <v/>
      </c>
      <c r="AQ128" s="17">
        <f>IF(AND(AN128=1,N128="Y",MAX(N(R128),N(V128))&gt;=Config!$B$14),1,0)</f>
        <v/>
      </c>
      <c r="AR128" s="17">
        <f>IF(AQ128=1,IF(COUNTIFS($A$2:$A$201,$A128,$AQ$2:$AQ$201,1,$G$2:$G$201,"&lt;"&amp;G128)+COUNTIFS($A$2:$A$201,$A128,$AQ$2:$AQ$201,1,$G$2:$G$201,G128,$AM$2:$AM$201,"&lt;"&amp;AM128)=0,1,0),0)</f>
        <v/>
      </c>
      <c r="AS128" s="17">
        <f>IF(AND(AN128=1,N128="Y",ISNUMBER(R128)),IF(R128&gt;=Config!$B$14,1,0),0)</f>
        <v/>
      </c>
      <c r="AT128" s="17">
        <f>IF(AS128=1,IF(COUNTIFS($A$2:$A$201,$A128,$AS$2:$AS$201,1,$G$2:$G$201,"&lt;"&amp;G128)+COUNTIFS($A$2:$A$201,$A128,$AS$2:$AS$201,1,$G$2:$G$201,G128,$AM$2:$AM$201,"&lt;"&amp;AM128)=0,1,0),0)</f>
        <v/>
      </c>
      <c r="AU128" s="17">
        <f>IF(AND(AN128=1,N128&lt;&gt;"Y",MAX(N(R128),N(V128))&gt;=Config!$B$14),1,0)</f>
        <v/>
      </c>
      <c r="AV128" s="17">
        <f>IF(AU128=1,IF(COUNTIFS($A$2:$A$201,$A128,$AU$2:$AU$201,1,$G$2:$G$201,"&lt;"&amp;G128)+COUNTIFS($A$2:$A$201,$A128,$AU$2:$AU$201,1,$G$2:$G$201,G128,$AM$2:$AM$201,"&lt;"&amp;AM128)=0,1,0),0)</f>
        <v/>
      </c>
      <c r="AW128" s="17">
        <f>IF(AND(AN128=1,ISNUMBER(R128)),1,0)</f>
        <v/>
      </c>
      <c r="AX128" s="17">
        <f>IF(AW128=1,IF(COUNTIFS($A$2:$A$201,$A128,$AW$2:$AW$201,1,$G$2:$G$201,"&lt;"&amp;G128)+COUNTIFS($A$2:$A$201,$A128,$AW$2:$AW$201,1,$G$2:$G$201,G128,$AM$2:$AM$201,"&lt;"&amp;AM128)=0,1,0),0)</f>
        <v/>
      </c>
      <c r="AY128" s="17">
        <f>IF(AND(AX128=1,G128&lt;=Config!$B$6),R128,"")</f>
        <v/>
      </c>
      <c r="AZ128" s="17">
        <f>IF(AND(AX128=1,G128&lt;=Config!$B$7),R128,"")</f>
        <v/>
      </c>
      <c r="BA128" s="17">
        <f>IF(AND(AX128=1,G128&lt;=Config!$B$8),R128,"")</f>
        <v/>
      </c>
      <c r="BB128" s="17">
        <f>IF(AND(AX128=1,G128&lt;=Config!$B$5),R128,"")</f>
        <v/>
      </c>
      <c r="BC128" s="17">
        <f>IF(AND(AN128=1,ISNUMBER(V128)),1,0)</f>
        <v/>
      </c>
      <c r="BD128" s="17">
        <f>IF(BC128=1,IF(COUNTIFS($A$2:$A$201,$A128,$BC$2:$BC$201,1,$G$2:$G$201,"&lt;"&amp;G128)+COUNTIFS($A$2:$A$201,$A128,$BC$2:$BC$201,1,$G$2:$G$201,G128,$AM$2:$AM$201,"&lt;"&amp;AM128)=0,1,0),0)</f>
        <v/>
      </c>
      <c r="BE128" s="17">
        <f>IF(AND(BD128=1,G128&lt;=Config!$B$6),V128,"")</f>
        <v/>
      </c>
      <c r="BF128" s="17">
        <f>IF(AND(BD128=1,G128&lt;=Config!$B$7),V128,"")</f>
        <v/>
      </c>
      <c r="BG128" s="17">
        <f>IF(AND(BD128=1,G128&lt;=Config!$B$8),V128,"")</f>
        <v/>
      </c>
      <c r="BH128" s="17">
        <f>IF(AND(BD128=1,G128&lt;=Config!$B$5),V128,"")</f>
        <v/>
      </c>
      <c r="BI128" s="17">
        <f>IF(AND(AN128=1,ISNUMBER(J128)),1,0)</f>
        <v/>
      </c>
      <c r="BJ128" s="17">
        <f>IF(BI128=1,IF(COUNTIFS($A$2:$A$201,$A128,$BI$2:$BI$201,1,$G$2:$G$201,"&lt;"&amp;G128)+COUNTIFS($A$2:$A$201,$A128,$BI$2:$BI$201,1,$G$2:$G$201,G128,$AM$2:$AM$201,"&lt;"&amp;AM128)=0,1,0),0)</f>
        <v/>
      </c>
      <c r="BK128" s="17">
        <f>IF(AND(BJ128=1,G128&lt;=Config!$B$5),J128,"")</f>
        <v/>
      </c>
      <c r="BL128" s="17">
        <f>IF(AND(AN128=1,OR(AND(ISNUMBER(R128),TRIM(S128)=""),AND(ISNUMBER(V128),TRIM(W128)=""))),1,0)</f>
        <v/>
      </c>
      <c r="BM128" s="17">
        <f>IF(AN128=1,AB128&amp;"","")</f>
        <v/>
      </c>
      <c r="BN128" s="17">
        <f>IF(AN128=1,AC128&amp;"","")</f>
        <v/>
      </c>
      <c r="BO128" s="17">
        <f>IF(AN128=1,AD128&amp;"","")</f>
        <v/>
      </c>
      <c r="BP128" s="17">
        <f>IF(AND(AN128=1,ISNUMBER(AI128),G128&lt;=Config!$B$5),AI128,"")</f>
        <v/>
      </c>
      <c r="BQ128" s="17">
        <f>IF(AN128=1,IF(COUNTIFS($A$2:$A$201,$A128,$AF$2:$AF$201,"Y",$AN$2:$AN$201,1)&gt;0,"Y","N"),"")</f>
        <v/>
      </c>
      <c r="BR128" s="17">
        <f>IF(AND(AN128=1,AF128="Y"),IF(COUNTIFS($A$2:$A$201,$A128,$AF$2:$AF$201,"Y",$AN$2:$AN$201,1,$G$2:$G$201,"&lt;"&amp;G128)+COUNTIFS($A$2:$A$201,$A128,$AF$2:$AF$201,"Y",$AN$2:$AN$201,1,$G$2:$G$201,G128,$AM$2:$AM$201,"&lt;"&amp;AM128)=0,1,0),0)</f>
        <v/>
      </c>
      <c r="BS128" s="17">
        <f>IF(AN128=1,IFERROR(MATCH($A128,INDEX(Clay_Brands!$A$2:$FZ$601,0,Sync!$D$5),0),""),"")</f>
        <v/>
      </c>
      <c r="BT128" s="17">
        <f>IF(BS128="","",IFERROR(INDEX(Clay_Brands!$A$2:$FZ$601,BS128,Sync!$D$7)&amp;"",""))</f>
        <v/>
      </c>
      <c r="BU128" s="17">
        <f>IF(BT128="","",IFERROR(INDEX(Lists!$J$2:$J$15,MATCH(BT128,Lists!$I$2:$I$15,0)),""))</f>
        <v/>
      </c>
      <c r="BV128" s="17">
        <f>IF(BS128="","",IFERROR(INDEX(Clay_Brands!$A$2:$FZ$601,BS128,Sync!$D$17)&amp;"",""))</f>
        <v/>
      </c>
      <c r="BW128" s="23">
        <f>IF(BS128="","",IFERROR(N(INDEX(Clay_Brands!$A$2:$FZ$601,BS128,Sync!$D$16)),0))</f>
        <v/>
      </c>
    </row>
    <row r="129">
      <c r="G129" s="22" t="n"/>
      <c r="AL129" s="17">
        <f>IF(TRIM($A129)="","",IF(AND(LEFT($A129,6)="SAMPLE",Config!$B$19&lt;&gt;"Y"),"",IF(NOT(ISNUMBER(G129)),"call_date is blank or not a date",IF(Sync!$D$5="","Clay paste is empty or has no row_id column: paste the Clay export on Clay_Brands",IF(BS129="","row_id not found in the Clay paste: add the Clay row or fix the row_id",IF(AND(ISNUMBER(BU129),BU129&gt;=1,BU129&lt;=5),"Clay status is "&amp;BT129&amp;": set call_done or later",IF(AND(AP129=1,BV129&lt;&gt;BQ129),"Clay yes_in_principle should be "&amp;BQ129,IF(AND(AP129=1,BW129&lt;&gt;G129),"Clay call_date should be "&amp;TEXT(G129,"yyyy-mm-dd"),""))))))))</f>
        <v/>
      </c>
      <c r="AM129" s="17">
        <f>ROW()</f>
        <v/>
      </c>
      <c r="AN129" s="17">
        <f>IF(AND(TRIM($A129)&lt;&gt;"",ISNUMBER(G129)),IF(AND(LEFT($A129,6)="SAMPLE",Config!$B$19&lt;&gt;"Y"),0,1),0)</f>
        <v/>
      </c>
      <c r="AO129" s="17">
        <f>IF(AN129=1,IF(COUNTIFS($A$2:$A$201,$A129,$AN$2:$AN$201,1,$G$2:$G$201,"&lt;"&amp;G129)+COUNTIFS($A$2:$A$201,$A129,$AN$2:$AN$201,1,$G$2:$G$201,G129,$AM$2:$AM$201,"&lt;"&amp;AM129)=0,1,0),0)</f>
        <v/>
      </c>
      <c r="AP129" s="17">
        <f>IF(AN129=1,IF(COUNTIFS($A$2:$A$201,$A129,$AN$2:$AN$201,1,$G$2:$G$201,"&gt;"&amp;G129)+COUNTIFS($A$2:$A$201,$A129,$AN$2:$AN$201,1,$G$2:$G$201,G129,$AM$2:$AM$201,"&gt;"&amp;AM129)=0,1,0),0)</f>
        <v/>
      </c>
      <c r="AQ129" s="17">
        <f>IF(AND(AN129=1,N129="Y",MAX(N(R129),N(V129))&gt;=Config!$B$14),1,0)</f>
        <v/>
      </c>
      <c r="AR129" s="17">
        <f>IF(AQ129=1,IF(COUNTIFS($A$2:$A$201,$A129,$AQ$2:$AQ$201,1,$G$2:$G$201,"&lt;"&amp;G129)+COUNTIFS($A$2:$A$201,$A129,$AQ$2:$AQ$201,1,$G$2:$G$201,G129,$AM$2:$AM$201,"&lt;"&amp;AM129)=0,1,0),0)</f>
        <v/>
      </c>
      <c r="AS129" s="17">
        <f>IF(AND(AN129=1,N129="Y",ISNUMBER(R129)),IF(R129&gt;=Config!$B$14,1,0),0)</f>
        <v/>
      </c>
      <c r="AT129" s="17">
        <f>IF(AS129=1,IF(COUNTIFS($A$2:$A$201,$A129,$AS$2:$AS$201,1,$G$2:$G$201,"&lt;"&amp;G129)+COUNTIFS($A$2:$A$201,$A129,$AS$2:$AS$201,1,$G$2:$G$201,G129,$AM$2:$AM$201,"&lt;"&amp;AM129)=0,1,0),0)</f>
        <v/>
      </c>
      <c r="AU129" s="17">
        <f>IF(AND(AN129=1,N129&lt;&gt;"Y",MAX(N(R129),N(V129))&gt;=Config!$B$14),1,0)</f>
        <v/>
      </c>
      <c r="AV129" s="17">
        <f>IF(AU129=1,IF(COUNTIFS($A$2:$A$201,$A129,$AU$2:$AU$201,1,$G$2:$G$201,"&lt;"&amp;G129)+COUNTIFS($A$2:$A$201,$A129,$AU$2:$AU$201,1,$G$2:$G$201,G129,$AM$2:$AM$201,"&lt;"&amp;AM129)=0,1,0),0)</f>
        <v/>
      </c>
      <c r="AW129" s="17">
        <f>IF(AND(AN129=1,ISNUMBER(R129)),1,0)</f>
        <v/>
      </c>
      <c r="AX129" s="17">
        <f>IF(AW129=1,IF(COUNTIFS($A$2:$A$201,$A129,$AW$2:$AW$201,1,$G$2:$G$201,"&lt;"&amp;G129)+COUNTIFS($A$2:$A$201,$A129,$AW$2:$AW$201,1,$G$2:$G$201,G129,$AM$2:$AM$201,"&lt;"&amp;AM129)=0,1,0),0)</f>
        <v/>
      </c>
      <c r="AY129" s="17">
        <f>IF(AND(AX129=1,G129&lt;=Config!$B$6),R129,"")</f>
        <v/>
      </c>
      <c r="AZ129" s="17">
        <f>IF(AND(AX129=1,G129&lt;=Config!$B$7),R129,"")</f>
        <v/>
      </c>
      <c r="BA129" s="17">
        <f>IF(AND(AX129=1,G129&lt;=Config!$B$8),R129,"")</f>
        <v/>
      </c>
      <c r="BB129" s="17">
        <f>IF(AND(AX129=1,G129&lt;=Config!$B$5),R129,"")</f>
        <v/>
      </c>
      <c r="BC129" s="17">
        <f>IF(AND(AN129=1,ISNUMBER(V129)),1,0)</f>
        <v/>
      </c>
      <c r="BD129" s="17">
        <f>IF(BC129=1,IF(COUNTIFS($A$2:$A$201,$A129,$BC$2:$BC$201,1,$G$2:$G$201,"&lt;"&amp;G129)+COUNTIFS($A$2:$A$201,$A129,$BC$2:$BC$201,1,$G$2:$G$201,G129,$AM$2:$AM$201,"&lt;"&amp;AM129)=0,1,0),0)</f>
        <v/>
      </c>
      <c r="BE129" s="17">
        <f>IF(AND(BD129=1,G129&lt;=Config!$B$6),V129,"")</f>
        <v/>
      </c>
      <c r="BF129" s="17">
        <f>IF(AND(BD129=1,G129&lt;=Config!$B$7),V129,"")</f>
        <v/>
      </c>
      <c r="BG129" s="17">
        <f>IF(AND(BD129=1,G129&lt;=Config!$B$8),V129,"")</f>
        <v/>
      </c>
      <c r="BH129" s="17">
        <f>IF(AND(BD129=1,G129&lt;=Config!$B$5),V129,"")</f>
        <v/>
      </c>
      <c r="BI129" s="17">
        <f>IF(AND(AN129=1,ISNUMBER(J129)),1,0)</f>
        <v/>
      </c>
      <c r="BJ129" s="17">
        <f>IF(BI129=1,IF(COUNTIFS($A$2:$A$201,$A129,$BI$2:$BI$201,1,$G$2:$G$201,"&lt;"&amp;G129)+COUNTIFS($A$2:$A$201,$A129,$BI$2:$BI$201,1,$G$2:$G$201,G129,$AM$2:$AM$201,"&lt;"&amp;AM129)=0,1,0),0)</f>
        <v/>
      </c>
      <c r="BK129" s="17">
        <f>IF(AND(BJ129=1,G129&lt;=Config!$B$5),J129,"")</f>
        <v/>
      </c>
      <c r="BL129" s="17">
        <f>IF(AND(AN129=1,OR(AND(ISNUMBER(R129),TRIM(S129)=""),AND(ISNUMBER(V129),TRIM(W129)=""))),1,0)</f>
        <v/>
      </c>
      <c r="BM129" s="17">
        <f>IF(AN129=1,AB129&amp;"","")</f>
        <v/>
      </c>
      <c r="BN129" s="17">
        <f>IF(AN129=1,AC129&amp;"","")</f>
        <v/>
      </c>
      <c r="BO129" s="17">
        <f>IF(AN129=1,AD129&amp;"","")</f>
        <v/>
      </c>
      <c r="BP129" s="17">
        <f>IF(AND(AN129=1,ISNUMBER(AI129),G129&lt;=Config!$B$5),AI129,"")</f>
        <v/>
      </c>
      <c r="BQ129" s="17">
        <f>IF(AN129=1,IF(COUNTIFS($A$2:$A$201,$A129,$AF$2:$AF$201,"Y",$AN$2:$AN$201,1)&gt;0,"Y","N"),"")</f>
        <v/>
      </c>
      <c r="BR129" s="17">
        <f>IF(AND(AN129=1,AF129="Y"),IF(COUNTIFS($A$2:$A$201,$A129,$AF$2:$AF$201,"Y",$AN$2:$AN$201,1,$G$2:$G$201,"&lt;"&amp;G129)+COUNTIFS($A$2:$A$201,$A129,$AF$2:$AF$201,"Y",$AN$2:$AN$201,1,$G$2:$G$201,G129,$AM$2:$AM$201,"&lt;"&amp;AM129)=0,1,0),0)</f>
        <v/>
      </c>
      <c r="BS129" s="17">
        <f>IF(AN129=1,IFERROR(MATCH($A129,INDEX(Clay_Brands!$A$2:$FZ$601,0,Sync!$D$5),0),""),"")</f>
        <v/>
      </c>
      <c r="BT129" s="17">
        <f>IF(BS129="","",IFERROR(INDEX(Clay_Brands!$A$2:$FZ$601,BS129,Sync!$D$7)&amp;"",""))</f>
        <v/>
      </c>
      <c r="BU129" s="17">
        <f>IF(BT129="","",IFERROR(INDEX(Lists!$J$2:$J$15,MATCH(BT129,Lists!$I$2:$I$15,0)),""))</f>
        <v/>
      </c>
      <c r="BV129" s="17">
        <f>IF(BS129="","",IFERROR(INDEX(Clay_Brands!$A$2:$FZ$601,BS129,Sync!$D$17)&amp;"",""))</f>
        <v/>
      </c>
      <c r="BW129" s="23">
        <f>IF(BS129="","",IFERROR(N(INDEX(Clay_Brands!$A$2:$FZ$601,BS129,Sync!$D$16)),0))</f>
        <v/>
      </c>
    </row>
    <row r="130">
      <c r="G130" s="22" t="n"/>
      <c r="AL130" s="17">
        <f>IF(TRIM($A130)="","",IF(AND(LEFT($A130,6)="SAMPLE",Config!$B$19&lt;&gt;"Y"),"",IF(NOT(ISNUMBER(G130)),"call_date is blank or not a date",IF(Sync!$D$5="","Clay paste is empty or has no row_id column: paste the Clay export on Clay_Brands",IF(BS130="","row_id not found in the Clay paste: add the Clay row or fix the row_id",IF(AND(ISNUMBER(BU130),BU130&gt;=1,BU130&lt;=5),"Clay status is "&amp;BT130&amp;": set call_done or later",IF(AND(AP130=1,BV130&lt;&gt;BQ130),"Clay yes_in_principle should be "&amp;BQ130,IF(AND(AP130=1,BW130&lt;&gt;G130),"Clay call_date should be "&amp;TEXT(G130,"yyyy-mm-dd"),""))))))))</f>
        <v/>
      </c>
      <c r="AM130" s="17">
        <f>ROW()</f>
        <v/>
      </c>
      <c r="AN130" s="17">
        <f>IF(AND(TRIM($A130)&lt;&gt;"",ISNUMBER(G130)),IF(AND(LEFT($A130,6)="SAMPLE",Config!$B$19&lt;&gt;"Y"),0,1),0)</f>
        <v/>
      </c>
      <c r="AO130" s="17">
        <f>IF(AN130=1,IF(COUNTIFS($A$2:$A$201,$A130,$AN$2:$AN$201,1,$G$2:$G$201,"&lt;"&amp;G130)+COUNTIFS($A$2:$A$201,$A130,$AN$2:$AN$201,1,$G$2:$G$201,G130,$AM$2:$AM$201,"&lt;"&amp;AM130)=0,1,0),0)</f>
        <v/>
      </c>
      <c r="AP130" s="17">
        <f>IF(AN130=1,IF(COUNTIFS($A$2:$A$201,$A130,$AN$2:$AN$201,1,$G$2:$G$201,"&gt;"&amp;G130)+COUNTIFS($A$2:$A$201,$A130,$AN$2:$AN$201,1,$G$2:$G$201,G130,$AM$2:$AM$201,"&gt;"&amp;AM130)=0,1,0),0)</f>
        <v/>
      </c>
      <c r="AQ130" s="17">
        <f>IF(AND(AN130=1,N130="Y",MAX(N(R130),N(V130))&gt;=Config!$B$14),1,0)</f>
        <v/>
      </c>
      <c r="AR130" s="17">
        <f>IF(AQ130=1,IF(COUNTIFS($A$2:$A$201,$A130,$AQ$2:$AQ$201,1,$G$2:$G$201,"&lt;"&amp;G130)+COUNTIFS($A$2:$A$201,$A130,$AQ$2:$AQ$201,1,$G$2:$G$201,G130,$AM$2:$AM$201,"&lt;"&amp;AM130)=0,1,0),0)</f>
        <v/>
      </c>
      <c r="AS130" s="17">
        <f>IF(AND(AN130=1,N130="Y",ISNUMBER(R130)),IF(R130&gt;=Config!$B$14,1,0),0)</f>
        <v/>
      </c>
      <c r="AT130" s="17">
        <f>IF(AS130=1,IF(COUNTIFS($A$2:$A$201,$A130,$AS$2:$AS$201,1,$G$2:$G$201,"&lt;"&amp;G130)+COUNTIFS($A$2:$A$201,$A130,$AS$2:$AS$201,1,$G$2:$G$201,G130,$AM$2:$AM$201,"&lt;"&amp;AM130)=0,1,0),0)</f>
        <v/>
      </c>
      <c r="AU130" s="17">
        <f>IF(AND(AN130=1,N130&lt;&gt;"Y",MAX(N(R130),N(V130))&gt;=Config!$B$14),1,0)</f>
        <v/>
      </c>
      <c r="AV130" s="17">
        <f>IF(AU130=1,IF(COUNTIFS($A$2:$A$201,$A130,$AU$2:$AU$201,1,$G$2:$G$201,"&lt;"&amp;G130)+COUNTIFS($A$2:$A$201,$A130,$AU$2:$AU$201,1,$G$2:$G$201,G130,$AM$2:$AM$201,"&lt;"&amp;AM130)=0,1,0),0)</f>
        <v/>
      </c>
      <c r="AW130" s="17">
        <f>IF(AND(AN130=1,ISNUMBER(R130)),1,0)</f>
        <v/>
      </c>
      <c r="AX130" s="17">
        <f>IF(AW130=1,IF(COUNTIFS($A$2:$A$201,$A130,$AW$2:$AW$201,1,$G$2:$G$201,"&lt;"&amp;G130)+COUNTIFS($A$2:$A$201,$A130,$AW$2:$AW$201,1,$G$2:$G$201,G130,$AM$2:$AM$201,"&lt;"&amp;AM130)=0,1,0),0)</f>
        <v/>
      </c>
      <c r="AY130" s="17">
        <f>IF(AND(AX130=1,G130&lt;=Config!$B$6),R130,"")</f>
        <v/>
      </c>
      <c r="AZ130" s="17">
        <f>IF(AND(AX130=1,G130&lt;=Config!$B$7),R130,"")</f>
        <v/>
      </c>
      <c r="BA130" s="17">
        <f>IF(AND(AX130=1,G130&lt;=Config!$B$8),R130,"")</f>
        <v/>
      </c>
      <c r="BB130" s="17">
        <f>IF(AND(AX130=1,G130&lt;=Config!$B$5),R130,"")</f>
        <v/>
      </c>
      <c r="BC130" s="17">
        <f>IF(AND(AN130=1,ISNUMBER(V130)),1,0)</f>
        <v/>
      </c>
      <c r="BD130" s="17">
        <f>IF(BC130=1,IF(COUNTIFS($A$2:$A$201,$A130,$BC$2:$BC$201,1,$G$2:$G$201,"&lt;"&amp;G130)+COUNTIFS($A$2:$A$201,$A130,$BC$2:$BC$201,1,$G$2:$G$201,G130,$AM$2:$AM$201,"&lt;"&amp;AM130)=0,1,0),0)</f>
        <v/>
      </c>
      <c r="BE130" s="17">
        <f>IF(AND(BD130=1,G130&lt;=Config!$B$6),V130,"")</f>
        <v/>
      </c>
      <c r="BF130" s="17">
        <f>IF(AND(BD130=1,G130&lt;=Config!$B$7),V130,"")</f>
        <v/>
      </c>
      <c r="BG130" s="17">
        <f>IF(AND(BD130=1,G130&lt;=Config!$B$8),V130,"")</f>
        <v/>
      </c>
      <c r="BH130" s="17">
        <f>IF(AND(BD130=1,G130&lt;=Config!$B$5),V130,"")</f>
        <v/>
      </c>
      <c r="BI130" s="17">
        <f>IF(AND(AN130=1,ISNUMBER(J130)),1,0)</f>
        <v/>
      </c>
      <c r="BJ130" s="17">
        <f>IF(BI130=1,IF(COUNTIFS($A$2:$A$201,$A130,$BI$2:$BI$201,1,$G$2:$G$201,"&lt;"&amp;G130)+COUNTIFS($A$2:$A$201,$A130,$BI$2:$BI$201,1,$G$2:$G$201,G130,$AM$2:$AM$201,"&lt;"&amp;AM130)=0,1,0),0)</f>
        <v/>
      </c>
      <c r="BK130" s="17">
        <f>IF(AND(BJ130=1,G130&lt;=Config!$B$5),J130,"")</f>
        <v/>
      </c>
      <c r="BL130" s="17">
        <f>IF(AND(AN130=1,OR(AND(ISNUMBER(R130),TRIM(S130)=""),AND(ISNUMBER(V130),TRIM(W130)=""))),1,0)</f>
        <v/>
      </c>
      <c r="BM130" s="17">
        <f>IF(AN130=1,AB130&amp;"","")</f>
        <v/>
      </c>
      <c r="BN130" s="17">
        <f>IF(AN130=1,AC130&amp;"","")</f>
        <v/>
      </c>
      <c r="BO130" s="17">
        <f>IF(AN130=1,AD130&amp;"","")</f>
        <v/>
      </c>
      <c r="BP130" s="17">
        <f>IF(AND(AN130=1,ISNUMBER(AI130),G130&lt;=Config!$B$5),AI130,"")</f>
        <v/>
      </c>
      <c r="BQ130" s="17">
        <f>IF(AN130=1,IF(COUNTIFS($A$2:$A$201,$A130,$AF$2:$AF$201,"Y",$AN$2:$AN$201,1)&gt;0,"Y","N"),"")</f>
        <v/>
      </c>
      <c r="BR130" s="17">
        <f>IF(AND(AN130=1,AF130="Y"),IF(COUNTIFS($A$2:$A$201,$A130,$AF$2:$AF$201,"Y",$AN$2:$AN$201,1,$G$2:$G$201,"&lt;"&amp;G130)+COUNTIFS($A$2:$A$201,$A130,$AF$2:$AF$201,"Y",$AN$2:$AN$201,1,$G$2:$G$201,G130,$AM$2:$AM$201,"&lt;"&amp;AM130)=0,1,0),0)</f>
        <v/>
      </c>
      <c r="BS130" s="17">
        <f>IF(AN130=1,IFERROR(MATCH($A130,INDEX(Clay_Brands!$A$2:$FZ$601,0,Sync!$D$5),0),""),"")</f>
        <v/>
      </c>
      <c r="BT130" s="17">
        <f>IF(BS130="","",IFERROR(INDEX(Clay_Brands!$A$2:$FZ$601,BS130,Sync!$D$7)&amp;"",""))</f>
        <v/>
      </c>
      <c r="BU130" s="17">
        <f>IF(BT130="","",IFERROR(INDEX(Lists!$J$2:$J$15,MATCH(BT130,Lists!$I$2:$I$15,0)),""))</f>
        <v/>
      </c>
      <c r="BV130" s="17">
        <f>IF(BS130="","",IFERROR(INDEX(Clay_Brands!$A$2:$FZ$601,BS130,Sync!$D$17)&amp;"",""))</f>
        <v/>
      </c>
      <c r="BW130" s="23">
        <f>IF(BS130="","",IFERROR(N(INDEX(Clay_Brands!$A$2:$FZ$601,BS130,Sync!$D$16)),0))</f>
        <v/>
      </c>
    </row>
    <row r="131">
      <c r="G131" s="22" t="n"/>
      <c r="AL131" s="17">
        <f>IF(TRIM($A131)="","",IF(AND(LEFT($A131,6)="SAMPLE",Config!$B$19&lt;&gt;"Y"),"",IF(NOT(ISNUMBER(G131)),"call_date is blank or not a date",IF(Sync!$D$5="","Clay paste is empty or has no row_id column: paste the Clay export on Clay_Brands",IF(BS131="","row_id not found in the Clay paste: add the Clay row or fix the row_id",IF(AND(ISNUMBER(BU131),BU131&gt;=1,BU131&lt;=5),"Clay status is "&amp;BT131&amp;": set call_done or later",IF(AND(AP131=1,BV131&lt;&gt;BQ131),"Clay yes_in_principle should be "&amp;BQ131,IF(AND(AP131=1,BW131&lt;&gt;G131),"Clay call_date should be "&amp;TEXT(G131,"yyyy-mm-dd"),""))))))))</f>
        <v/>
      </c>
      <c r="AM131" s="17">
        <f>ROW()</f>
        <v/>
      </c>
      <c r="AN131" s="17">
        <f>IF(AND(TRIM($A131)&lt;&gt;"",ISNUMBER(G131)),IF(AND(LEFT($A131,6)="SAMPLE",Config!$B$19&lt;&gt;"Y"),0,1),0)</f>
        <v/>
      </c>
      <c r="AO131" s="17">
        <f>IF(AN131=1,IF(COUNTIFS($A$2:$A$201,$A131,$AN$2:$AN$201,1,$G$2:$G$201,"&lt;"&amp;G131)+COUNTIFS($A$2:$A$201,$A131,$AN$2:$AN$201,1,$G$2:$G$201,G131,$AM$2:$AM$201,"&lt;"&amp;AM131)=0,1,0),0)</f>
        <v/>
      </c>
      <c r="AP131" s="17">
        <f>IF(AN131=1,IF(COUNTIFS($A$2:$A$201,$A131,$AN$2:$AN$201,1,$G$2:$G$201,"&gt;"&amp;G131)+COUNTIFS($A$2:$A$201,$A131,$AN$2:$AN$201,1,$G$2:$G$201,G131,$AM$2:$AM$201,"&gt;"&amp;AM131)=0,1,0),0)</f>
        <v/>
      </c>
      <c r="AQ131" s="17">
        <f>IF(AND(AN131=1,N131="Y",MAX(N(R131),N(V131))&gt;=Config!$B$14),1,0)</f>
        <v/>
      </c>
      <c r="AR131" s="17">
        <f>IF(AQ131=1,IF(COUNTIFS($A$2:$A$201,$A131,$AQ$2:$AQ$201,1,$G$2:$G$201,"&lt;"&amp;G131)+COUNTIFS($A$2:$A$201,$A131,$AQ$2:$AQ$201,1,$G$2:$G$201,G131,$AM$2:$AM$201,"&lt;"&amp;AM131)=0,1,0),0)</f>
        <v/>
      </c>
      <c r="AS131" s="17">
        <f>IF(AND(AN131=1,N131="Y",ISNUMBER(R131)),IF(R131&gt;=Config!$B$14,1,0),0)</f>
        <v/>
      </c>
      <c r="AT131" s="17">
        <f>IF(AS131=1,IF(COUNTIFS($A$2:$A$201,$A131,$AS$2:$AS$201,1,$G$2:$G$201,"&lt;"&amp;G131)+COUNTIFS($A$2:$A$201,$A131,$AS$2:$AS$201,1,$G$2:$G$201,G131,$AM$2:$AM$201,"&lt;"&amp;AM131)=0,1,0),0)</f>
        <v/>
      </c>
      <c r="AU131" s="17">
        <f>IF(AND(AN131=1,N131&lt;&gt;"Y",MAX(N(R131),N(V131))&gt;=Config!$B$14),1,0)</f>
        <v/>
      </c>
      <c r="AV131" s="17">
        <f>IF(AU131=1,IF(COUNTIFS($A$2:$A$201,$A131,$AU$2:$AU$201,1,$G$2:$G$201,"&lt;"&amp;G131)+COUNTIFS($A$2:$A$201,$A131,$AU$2:$AU$201,1,$G$2:$G$201,G131,$AM$2:$AM$201,"&lt;"&amp;AM131)=0,1,0),0)</f>
        <v/>
      </c>
      <c r="AW131" s="17">
        <f>IF(AND(AN131=1,ISNUMBER(R131)),1,0)</f>
        <v/>
      </c>
      <c r="AX131" s="17">
        <f>IF(AW131=1,IF(COUNTIFS($A$2:$A$201,$A131,$AW$2:$AW$201,1,$G$2:$G$201,"&lt;"&amp;G131)+COUNTIFS($A$2:$A$201,$A131,$AW$2:$AW$201,1,$G$2:$G$201,G131,$AM$2:$AM$201,"&lt;"&amp;AM131)=0,1,0),0)</f>
        <v/>
      </c>
      <c r="AY131" s="17">
        <f>IF(AND(AX131=1,G131&lt;=Config!$B$6),R131,"")</f>
        <v/>
      </c>
      <c r="AZ131" s="17">
        <f>IF(AND(AX131=1,G131&lt;=Config!$B$7),R131,"")</f>
        <v/>
      </c>
      <c r="BA131" s="17">
        <f>IF(AND(AX131=1,G131&lt;=Config!$B$8),R131,"")</f>
        <v/>
      </c>
      <c r="BB131" s="17">
        <f>IF(AND(AX131=1,G131&lt;=Config!$B$5),R131,"")</f>
        <v/>
      </c>
      <c r="BC131" s="17">
        <f>IF(AND(AN131=1,ISNUMBER(V131)),1,0)</f>
        <v/>
      </c>
      <c r="BD131" s="17">
        <f>IF(BC131=1,IF(COUNTIFS($A$2:$A$201,$A131,$BC$2:$BC$201,1,$G$2:$G$201,"&lt;"&amp;G131)+COUNTIFS($A$2:$A$201,$A131,$BC$2:$BC$201,1,$G$2:$G$201,G131,$AM$2:$AM$201,"&lt;"&amp;AM131)=0,1,0),0)</f>
        <v/>
      </c>
      <c r="BE131" s="17">
        <f>IF(AND(BD131=1,G131&lt;=Config!$B$6),V131,"")</f>
        <v/>
      </c>
      <c r="BF131" s="17">
        <f>IF(AND(BD131=1,G131&lt;=Config!$B$7),V131,"")</f>
        <v/>
      </c>
      <c r="BG131" s="17">
        <f>IF(AND(BD131=1,G131&lt;=Config!$B$8),V131,"")</f>
        <v/>
      </c>
      <c r="BH131" s="17">
        <f>IF(AND(BD131=1,G131&lt;=Config!$B$5),V131,"")</f>
        <v/>
      </c>
      <c r="BI131" s="17">
        <f>IF(AND(AN131=1,ISNUMBER(J131)),1,0)</f>
        <v/>
      </c>
      <c r="BJ131" s="17">
        <f>IF(BI131=1,IF(COUNTIFS($A$2:$A$201,$A131,$BI$2:$BI$201,1,$G$2:$G$201,"&lt;"&amp;G131)+COUNTIFS($A$2:$A$201,$A131,$BI$2:$BI$201,1,$G$2:$G$201,G131,$AM$2:$AM$201,"&lt;"&amp;AM131)=0,1,0),0)</f>
        <v/>
      </c>
      <c r="BK131" s="17">
        <f>IF(AND(BJ131=1,G131&lt;=Config!$B$5),J131,"")</f>
        <v/>
      </c>
      <c r="BL131" s="17">
        <f>IF(AND(AN131=1,OR(AND(ISNUMBER(R131),TRIM(S131)=""),AND(ISNUMBER(V131),TRIM(W131)=""))),1,0)</f>
        <v/>
      </c>
      <c r="BM131" s="17">
        <f>IF(AN131=1,AB131&amp;"","")</f>
        <v/>
      </c>
      <c r="BN131" s="17">
        <f>IF(AN131=1,AC131&amp;"","")</f>
        <v/>
      </c>
      <c r="BO131" s="17">
        <f>IF(AN131=1,AD131&amp;"","")</f>
        <v/>
      </c>
      <c r="BP131" s="17">
        <f>IF(AND(AN131=1,ISNUMBER(AI131),G131&lt;=Config!$B$5),AI131,"")</f>
        <v/>
      </c>
      <c r="BQ131" s="17">
        <f>IF(AN131=1,IF(COUNTIFS($A$2:$A$201,$A131,$AF$2:$AF$201,"Y",$AN$2:$AN$201,1)&gt;0,"Y","N"),"")</f>
        <v/>
      </c>
      <c r="BR131" s="17">
        <f>IF(AND(AN131=1,AF131="Y"),IF(COUNTIFS($A$2:$A$201,$A131,$AF$2:$AF$201,"Y",$AN$2:$AN$201,1,$G$2:$G$201,"&lt;"&amp;G131)+COUNTIFS($A$2:$A$201,$A131,$AF$2:$AF$201,"Y",$AN$2:$AN$201,1,$G$2:$G$201,G131,$AM$2:$AM$201,"&lt;"&amp;AM131)=0,1,0),0)</f>
        <v/>
      </c>
      <c r="BS131" s="17">
        <f>IF(AN131=1,IFERROR(MATCH($A131,INDEX(Clay_Brands!$A$2:$FZ$601,0,Sync!$D$5),0),""),"")</f>
        <v/>
      </c>
      <c r="BT131" s="17">
        <f>IF(BS131="","",IFERROR(INDEX(Clay_Brands!$A$2:$FZ$601,BS131,Sync!$D$7)&amp;"",""))</f>
        <v/>
      </c>
      <c r="BU131" s="17">
        <f>IF(BT131="","",IFERROR(INDEX(Lists!$J$2:$J$15,MATCH(BT131,Lists!$I$2:$I$15,0)),""))</f>
        <v/>
      </c>
      <c r="BV131" s="17">
        <f>IF(BS131="","",IFERROR(INDEX(Clay_Brands!$A$2:$FZ$601,BS131,Sync!$D$17)&amp;"",""))</f>
        <v/>
      </c>
      <c r="BW131" s="23">
        <f>IF(BS131="","",IFERROR(N(INDEX(Clay_Brands!$A$2:$FZ$601,BS131,Sync!$D$16)),0))</f>
        <v/>
      </c>
    </row>
    <row r="132">
      <c r="G132" s="22" t="n"/>
      <c r="AL132" s="17">
        <f>IF(TRIM($A132)="","",IF(AND(LEFT($A132,6)="SAMPLE",Config!$B$19&lt;&gt;"Y"),"",IF(NOT(ISNUMBER(G132)),"call_date is blank or not a date",IF(Sync!$D$5="","Clay paste is empty or has no row_id column: paste the Clay export on Clay_Brands",IF(BS132="","row_id not found in the Clay paste: add the Clay row or fix the row_id",IF(AND(ISNUMBER(BU132),BU132&gt;=1,BU132&lt;=5),"Clay status is "&amp;BT132&amp;": set call_done or later",IF(AND(AP132=1,BV132&lt;&gt;BQ132),"Clay yes_in_principle should be "&amp;BQ132,IF(AND(AP132=1,BW132&lt;&gt;G132),"Clay call_date should be "&amp;TEXT(G132,"yyyy-mm-dd"),""))))))))</f>
        <v/>
      </c>
      <c r="AM132" s="17">
        <f>ROW()</f>
        <v/>
      </c>
      <c r="AN132" s="17">
        <f>IF(AND(TRIM($A132)&lt;&gt;"",ISNUMBER(G132)),IF(AND(LEFT($A132,6)="SAMPLE",Config!$B$19&lt;&gt;"Y"),0,1),0)</f>
        <v/>
      </c>
      <c r="AO132" s="17">
        <f>IF(AN132=1,IF(COUNTIFS($A$2:$A$201,$A132,$AN$2:$AN$201,1,$G$2:$G$201,"&lt;"&amp;G132)+COUNTIFS($A$2:$A$201,$A132,$AN$2:$AN$201,1,$G$2:$G$201,G132,$AM$2:$AM$201,"&lt;"&amp;AM132)=0,1,0),0)</f>
        <v/>
      </c>
      <c r="AP132" s="17">
        <f>IF(AN132=1,IF(COUNTIFS($A$2:$A$201,$A132,$AN$2:$AN$201,1,$G$2:$G$201,"&gt;"&amp;G132)+COUNTIFS($A$2:$A$201,$A132,$AN$2:$AN$201,1,$G$2:$G$201,G132,$AM$2:$AM$201,"&gt;"&amp;AM132)=0,1,0),0)</f>
        <v/>
      </c>
      <c r="AQ132" s="17">
        <f>IF(AND(AN132=1,N132="Y",MAX(N(R132),N(V132))&gt;=Config!$B$14),1,0)</f>
        <v/>
      </c>
      <c r="AR132" s="17">
        <f>IF(AQ132=1,IF(COUNTIFS($A$2:$A$201,$A132,$AQ$2:$AQ$201,1,$G$2:$G$201,"&lt;"&amp;G132)+COUNTIFS($A$2:$A$201,$A132,$AQ$2:$AQ$201,1,$G$2:$G$201,G132,$AM$2:$AM$201,"&lt;"&amp;AM132)=0,1,0),0)</f>
        <v/>
      </c>
      <c r="AS132" s="17">
        <f>IF(AND(AN132=1,N132="Y",ISNUMBER(R132)),IF(R132&gt;=Config!$B$14,1,0),0)</f>
        <v/>
      </c>
      <c r="AT132" s="17">
        <f>IF(AS132=1,IF(COUNTIFS($A$2:$A$201,$A132,$AS$2:$AS$201,1,$G$2:$G$201,"&lt;"&amp;G132)+COUNTIFS($A$2:$A$201,$A132,$AS$2:$AS$201,1,$G$2:$G$201,G132,$AM$2:$AM$201,"&lt;"&amp;AM132)=0,1,0),0)</f>
        <v/>
      </c>
      <c r="AU132" s="17">
        <f>IF(AND(AN132=1,N132&lt;&gt;"Y",MAX(N(R132),N(V132))&gt;=Config!$B$14),1,0)</f>
        <v/>
      </c>
      <c r="AV132" s="17">
        <f>IF(AU132=1,IF(COUNTIFS($A$2:$A$201,$A132,$AU$2:$AU$201,1,$G$2:$G$201,"&lt;"&amp;G132)+COUNTIFS($A$2:$A$201,$A132,$AU$2:$AU$201,1,$G$2:$G$201,G132,$AM$2:$AM$201,"&lt;"&amp;AM132)=0,1,0),0)</f>
        <v/>
      </c>
      <c r="AW132" s="17">
        <f>IF(AND(AN132=1,ISNUMBER(R132)),1,0)</f>
        <v/>
      </c>
      <c r="AX132" s="17">
        <f>IF(AW132=1,IF(COUNTIFS($A$2:$A$201,$A132,$AW$2:$AW$201,1,$G$2:$G$201,"&lt;"&amp;G132)+COUNTIFS($A$2:$A$201,$A132,$AW$2:$AW$201,1,$G$2:$G$201,G132,$AM$2:$AM$201,"&lt;"&amp;AM132)=0,1,0),0)</f>
        <v/>
      </c>
      <c r="AY132" s="17">
        <f>IF(AND(AX132=1,G132&lt;=Config!$B$6),R132,"")</f>
        <v/>
      </c>
      <c r="AZ132" s="17">
        <f>IF(AND(AX132=1,G132&lt;=Config!$B$7),R132,"")</f>
        <v/>
      </c>
      <c r="BA132" s="17">
        <f>IF(AND(AX132=1,G132&lt;=Config!$B$8),R132,"")</f>
        <v/>
      </c>
      <c r="BB132" s="17">
        <f>IF(AND(AX132=1,G132&lt;=Config!$B$5),R132,"")</f>
        <v/>
      </c>
      <c r="BC132" s="17">
        <f>IF(AND(AN132=1,ISNUMBER(V132)),1,0)</f>
        <v/>
      </c>
      <c r="BD132" s="17">
        <f>IF(BC132=1,IF(COUNTIFS($A$2:$A$201,$A132,$BC$2:$BC$201,1,$G$2:$G$201,"&lt;"&amp;G132)+COUNTIFS($A$2:$A$201,$A132,$BC$2:$BC$201,1,$G$2:$G$201,G132,$AM$2:$AM$201,"&lt;"&amp;AM132)=0,1,0),0)</f>
        <v/>
      </c>
      <c r="BE132" s="17">
        <f>IF(AND(BD132=1,G132&lt;=Config!$B$6),V132,"")</f>
        <v/>
      </c>
      <c r="BF132" s="17">
        <f>IF(AND(BD132=1,G132&lt;=Config!$B$7),V132,"")</f>
        <v/>
      </c>
      <c r="BG132" s="17">
        <f>IF(AND(BD132=1,G132&lt;=Config!$B$8),V132,"")</f>
        <v/>
      </c>
      <c r="BH132" s="17">
        <f>IF(AND(BD132=1,G132&lt;=Config!$B$5),V132,"")</f>
        <v/>
      </c>
      <c r="BI132" s="17">
        <f>IF(AND(AN132=1,ISNUMBER(J132)),1,0)</f>
        <v/>
      </c>
      <c r="BJ132" s="17">
        <f>IF(BI132=1,IF(COUNTIFS($A$2:$A$201,$A132,$BI$2:$BI$201,1,$G$2:$G$201,"&lt;"&amp;G132)+COUNTIFS($A$2:$A$201,$A132,$BI$2:$BI$201,1,$G$2:$G$201,G132,$AM$2:$AM$201,"&lt;"&amp;AM132)=0,1,0),0)</f>
        <v/>
      </c>
      <c r="BK132" s="17">
        <f>IF(AND(BJ132=1,G132&lt;=Config!$B$5),J132,"")</f>
        <v/>
      </c>
      <c r="BL132" s="17">
        <f>IF(AND(AN132=1,OR(AND(ISNUMBER(R132),TRIM(S132)=""),AND(ISNUMBER(V132),TRIM(W132)=""))),1,0)</f>
        <v/>
      </c>
      <c r="BM132" s="17">
        <f>IF(AN132=1,AB132&amp;"","")</f>
        <v/>
      </c>
      <c r="BN132" s="17">
        <f>IF(AN132=1,AC132&amp;"","")</f>
        <v/>
      </c>
      <c r="BO132" s="17">
        <f>IF(AN132=1,AD132&amp;"","")</f>
        <v/>
      </c>
      <c r="BP132" s="17">
        <f>IF(AND(AN132=1,ISNUMBER(AI132),G132&lt;=Config!$B$5),AI132,"")</f>
        <v/>
      </c>
      <c r="BQ132" s="17">
        <f>IF(AN132=1,IF(COUNTIFS($A$2:$A$201,$A132,$AF$2:$AF$201,"Y",$AN$2:$AN$201,1)&gt;0,"Y","N"),"")</f>
        <v/>
      </c>
      <c r="BR132" s="17">
        <f>IF(AND(AN132=1,AF132="Y"),IF(COUNTIFS($A$2:$A$201,$A132,$AF$2:$AF$201,"Y",$AN$2:$AN$201,1,$G$2:$G$201,"&lt;"&amp;G132)+COUNTIFS($A$2:$A$201,$A132,$AF$2:$AF$201,"Y",$AN$2:$AN$201,1,$G$2:$G$201,G132,$AM$2:$AM$201,"&lt;"&amp;AM132)=0,1,0),0)</f>
        <v/>
      </c>
      <c r="BS132" s="17">
        <f>IF(AN132=1,IFERROR(MATCH($A132,INDEX(Clay_Brands!$A$2:$FZ$601,0,Sync!$D$5),0),""),"")</f>
        <v/>
      </c>
      <c r="BT132" s="17">
        <f>IF(BS132="","",IFERROR(INDEX(Clay_Brands!$A$2:$FZ$601,BS132,Sync!$D$7)&amp;"",""))</f>
        <v/>
      </c>
      <c r="BU132" s="17">
        <f>IF(BT132="","",IFERROR(INDEX(Lists!$J$2:$J$15,MATCH(BT132,Lists!$I$2:$I$15,0)),""))</f>
        <v/>
      </c>
      <c r="BV132" s="17">
        <f>IF(BS132="","",IFERROR(INDEX(Clay_Brands!$A$2:$FZ$601,BS132,Sync!$D$17)&amp;"",""))</f>
        <v/>
      </c>
      <c r="BW132" s="23">
        <f>IF(BS132="","",IFERROR(N(INDEX(Clay_Brands!$A$2:$FZ$601,BS132,Sync!$D$16)),0))</f>
        <v/>
      </c>
    </row>
    <row r="133">
      <c r="G133" s="22" t="n"/>
      <c r="AL133" s="17">
        <f>IF(TRIM($A133)="","",IF(AND(LEFT($A133,6)="SAMPLE",Config!$B$19&lt;&gt;"Y"),"",IF(NOT(ISNUMBER(G133)),"call_date is blank or not a date",IF(Sync!$D$5="","Clay paste is empty or has no row_id column: paste the Clay export on Clay_Brands",IF(BS133="","row_id not found in the Clay paste: add the Clay row or fix the row_id",IF(AND(ISNUMBER(BU133),BU133&gt;=1,BU133&lt;=5),"Clay status is "&amp;BT133&amp;": set call_done or later",IF(AND(AP133=1,BV133&lt;&gt;BQ133),"Clay yes_in_principle should be "&amp;BQ133,IF(AND(AP133=1,BW133&lt;&gt;G133),"Clay call_date should be "&amp;TEXT(G133,"yyyy-mm-dd"),""))))))))</f>
        <v/>
      </c>
      <c r="AM133" s="17">
        <f>ROW()</f>
        <v/>
      </c>
      <c r="AN133" s="17">
        <f>IF(AND(TRIM($A133)&lt;&gt;"",ISNUMBER(G133)),IF(AND(LEFT($A133,6)="SAMPLE",Config!$B$19&lt;&gt;"Y"),0,1),0)</f>
        <v/>
      </c>
      <c r="AO133" s="17">
        <f>IF(AN133=1,IF(COUNTIFS($A$2:$A$201,$A133,$AN$2:$AN$201,1,$G$2:$G$201,"&lt;"&amp;G133)+COUNTIFS($A$2:$A$201,$A133,$AN$2:$AN$201,1,$G$2:$G$201,G133,$AM$2:$AM$201,"&lt;"&amp;AM133)=0,1,0),0)</f>
        <v/>
      </c>
      <c r="AP133" s="17">
        <f>IF(AN133=1,IF(COUNTIFS($A$2:$A$201,$A133,$AN$2:$AN$201,1,$G$2:$G$201,"&gt;"&amp;G133)+COUNTIFS($A$2:$A$201,$A133,$AN$2:$AN$201,1,$G$2:$G$201,G133,$AM$2:$AM$201,"&gt;"&amp;AM133)=0,1,0),0)</f>
        <v/>
      </c>
      <c r="AQ133" s="17">
        <f>IF(AND(AN133=1,N133="Y",MAX(N(R133),N(V133))&gt;=Config!$B$14),1,0)</f>
        <v/>
      </c>
      <c r="AR133" s="17">
        <f>IF(AQ133=1,IF(COUNTIFS($A$2:$A$201,$A133,$AQ$2:$AQ$201,1,$G$2:$G$201,"&lt;"&amp;G133)+COUNTIFS($A$2:$A$201,$A133,$AQ$2:$AQ$201,1,$G$2:$G$201,G133,$AM$2:$AM$201,"&lt;"&amp;AM133)=0,1,0),0)</f>
        <v/>
      </c>
      <c r="AS133" s="17">
        <f>IF(AND(AN133=1,N133="Y",ISNUMBER(R133)),IF(R133&gt;=Config!$B$14,1,0),0)</f>
        <v/>
      </c>
      <c r="AT133" s="17">
        <f>IF(AS133=1,IF(COUNTIFS($A$2:$A$201,$A133,$AS$2:$AS$201,1,$G$2:$G$201,"&lt;"&amp;G133)+COUNTIFS($A$2:$A$201,$A133,$AS$2:$AS$201,1,$G$2:$G$201,G133,$AM$2:$AM$201,"&lt;"&amp;AM133)=0,1,0),0)</f>
        <v/>
      </c>
      <c r="AU133" s="17">
        <f>IF(AND(AN133=1,N133&lt;&gt;"Y",MAX(N(R133),N(V133))&gt;=Config!$B$14),1,0)</f>
        <v/>
      </c>
      <c r="AV133" s="17">
        <f>IF(AU133=1,IF(COUNTIFS($A$2:$A$201,$A133,$AU$2:$AU$201,1,$G$2:$G$201,"&lt;"&amp;G133)+COUNTIFS($A$2:$A$201,$A133,$AU$2:$AU$201,1,$G$2:$G$201,G133,$AM$2:$AM$201,"&lt;"&amp;AM133)=0,1,0),0)</f>
        <v/>
      </c>
      <c r="AW133" s="17">
        <f>IF(AND(AN133=1,ISNUMBER(R133)),1,0)</f>
        <v/>
      </c>
      <c r="AX133" s="17">
        <f>IF(AW133=1,IF(COUNTIFS($A$2:$A$201,$A133,$AW$2:$AW$201,1,$G$2:$G$201,"&lt;"&amp;G133)+COUNTIFS($A$2:$A$201,$A133,$AW$2:$AW$201,1,$G$2:$G$201,G133,$AM$2:$AM$201,"&lt;"&amp;AM133)=0,1,0),0)</f>
        <v/>
      </c>
      <c r="AY133" s="17">
        <f>IF(AND(AX133=1,G133&lt;=Config!$B$6),R133,"")</f>
        <v/>
      </c>
      <c r="AZ133" s="17">
        <f>IF(AND(AX133=1,G133&lt;=Config!$B$7),R133,"")</f>
        <v/>
      </c>
      <c r="BA133" s="17">
        <f>IF(AND(AX133=1,G133&lt;=Config!$B$8),R133,"")</f>
        <v/>
      </c>
      <c r="BB133" s="17">
        <f>IF(AND(AX133=1,G133&lt;=Config!$B$5),R133,"")</f>
        <v/>
      </c>
      <c r="BC133" s="17">
        <f>IF(AND(AN133=1,ISNUMBER(V133)),1,0)</f>
        <v/>
      </c>
      <c r="BD133" s="17">
        <f>IF(BC133=1,IF(COUNTIFS($A$2:$A$201,$A133,$BC$2:$BC$201,1,$G$2:$G$201,"&lt;"&amp;G133)+COUNTIFS($A$2:$A$201,$A133,$BC$2:$BC$201,1,$G$2:$G$201,G133,$AM$2:$AM$201,"&lt;"&amp;AM133)=0,1,0),0)</f>
        <v/>
      </c>
      <c r="BE133" s="17">
        <f>IF(AND(BD133=1,G133&lt;=Config!$B$6),V133,"")</f>
        <v/>
      </c>
      <c r="BF133" s="17">
        <f>IF(AND(BD133=1,G133&lt;=Config!$B$7),V133,"")</f>
        <v/>
      </c>
      <c r="BG133" s="17">
        <f>IF(AND(BD133=1,G133&lt;=Config!$B$8),V133,"")</f>
        <v/>
      </c>
      <c r="BH133" s="17">
        <f>IF(AND(BD133=1,G133&lt;=Config!$B$5),V133,"")</f>
        <v/>
      </c>
      <c r="BI133" s="17">
        <f>IF(AND(AN133=1,ISNUMBER(J133)),1,0)</f>
        <v/>
      </c>
      <c r="BJ133" s="17">
        <f>IF(BI133=1,IF(COUNTIFS($A$2:$A$201,$A133,$BI$2:$BI$201,1,$G$2:$G$201,"&lt;"&amp;G133)+COUNTIFS($A$2:$A$201,$A133,$BI$2:$BI$201,1,$G$2:$G$201,G133,$AM$2:$AM$201,"&lt;"&amp;AM133)=0,1,0),0)</f>
        <v/>
      </c>
      <c r="BK133" s="17">
        <f>IF(AND(BJ133=1,G133&lt;=Config!$B$5),J133,"")</f>
        <v/>
      </c>
      <c r="BL133" s="17">
        <f>IF(AND(AN133=1,OR(AND(ISNUMBER(R133),TRIM(S133)=""),AND(ISNUMBER(V133),TRIM(W133)=""))),1,0)</f>
        <v/>
      </c>
      <c r="BM133" s="17">
        <f>IF(AN133=1,AB133&amp;"","")</f>
        <v/>
      </c>
      <c r="BN133" s="17">
        <f>IF(AN133=1,AC133&amp;"","")</f>
        <v/>
      </c>
      <c r="BO133" s="17">
        <f>IF(AN133=1,AD133&amp;"","")</f>
        <v/>
      </c>
      <c r="BP133" s="17">
        <f>IF(AND(AN133=1,ISNUMBER(AI133),G133&lt;=Config!$B$5),AI133,"")</f>
        <v/>
      </c>
      <c r="BQ133" s="17">
        <f>IF(AN133=1,IF(COUNTIFS($A$2:$A$201,$A133,$AF$2:$AF$201,"Y",$AN$2:$AN$201,1)&gt;0,"Y","N"),"")</f>
        <v/>
      </c>
      <c r="BR133" s="17">
        <f>IF(AND(AN133=1,AF133="Y"),IF(COUNTIFS($A$2:$A$201,$A133,$AF$2:$AF$201,"Y",$AN$2:$AN$201,1,$G$2:$G$201,"&lt;"&amp;G133)+COUNTIFS($A$2:$A$201,$A133,$AF$2:$AF$201,"Y",$AN$2:$AN$201,1,$G$2:$G$201,G133,$AM$2:$AM$201,"&lt;"&amp;AM133)=0,1,0),0)</f>
        <v/>
      </c>
      <c r="BS133" s="17">
        <f>IF(AN133=1,IFERROR(MATCH($A133,INDEX(Clay_Brands!$A$2:$FZ$601,0,Sync!$D$5),0),""),"")</f>
        <v/>
      </c>
      <c r="BT133" s="17">
        <f>IF(BS133="","",IFERROR(INDEX(Clay_Brands!$A$2:$FZ$601,BS133,Sync!$D$7)&amp;"",""))</f>
        <v/>
      </c>
      <c r="BU133" s="17">
        <f>IF(BT133="","",IFERROR(INDEX(Lists!$J$2:$J$15,MATCH(BT133,Lists!$I$2:$I$15,0)),""))</f>
        <v/>
      </c>
      <c r="BV133" s="17">
        <f>IF(BS133="","",IFERROR(INDEX(Clay_Brands!$A$2:$FZ$601,BS133,Sync!$D$17)&amp;"",""))</f>
        <v/>
      </c>
      <c r="BW133" s="23">
        <f>IF(BS133="","",IFERROR(N(INDEX(Clay_Brands!$A$2:$FZ$601,BS133,Sync!$D$16)),0))</f>
        <v/>
      </c>
    </row>
    <row r="134">
      <c r="G134" s="22" t="n"/>
      <c r="AL134" s="17">
        <f>IF(TRIM($A134)="","",IF(AND(LEFT($A134,6)="SAMPLE",Config!$B$19&lt;&gt;"Y"),"",IF(NOT(ISNUMBER(G134)),"call_date is blank or not a date",IF(Sync!$D$5="","Clay paste is empty or has no row_id column: paste the Clay export on Clay_Brands",IF(BS134="","row_id not found in the Clay paste: add the Clay row or fix the row_id",IF(AND(ISNUMBER(BU134),BU134&gt;=1,BU134&lt;=5),"Clay status is "&amp;BT134&amp;": set call_done or later",IF(AND(AP134=1,BV134&lt;&gt;BQ134),"Clay yes_in_principle should be "&amp;BQ134,IF(AND(AP134=1,BW134&lt;&gt;G134),"Clay call_date should be "&amp;TEXT(G134,"yyyy-mm-dd"),""))))))))</f>
        <v/>
      </c>
      <c r="AM134" s="17">
        <f>ROW()</f>
        <v/>
      </c>
      <c r="AN134" s="17">
        <f>IF(AND(TRIM($A134)&lt;&gt;"",ISNUMBER(G134)),IF(AND(LEFT($A134,6)="SAMPLE",Config!$B$19&lt;&gt;"Y"),0,1),0)</f>
        <v/>
      </c>
      <c r="AO134" s="17">
        <f>IF(AN134=1,IF(COUNTIFS($A$2:$A$201,$A134,$AN$2:$AN$201,1,$G$2:$G$201,"&lt;"&amp;G134)+COUNTIFS($A$2:$A$201,$A134,$AN$2:$AN$201,1,$G$2:$G$201,G134,$AM$2:$AM$201,"&lt;"&amp;AM134)=0,1,0),0)</f>
        <v/>
      </c>
      <c r="AP134" s="17">
        <f>IF(AN134=1,IF(COUNTIFS($A$2:$A$201,$A134,$AN$2:$AN$201,1,$G$2:$G$201,"&gt;"&amp;G134)+COUNTIFS($A$2:$A$201,$A134,$AN$2:$AN$201,1,$G$2:$G$201,G134,$AM$2:$AM$201,"&gt;"&amp;AM134)=0,1,0),0)</f>
        <v/>
      </c>
      <c r="AQ134" s="17">
        <f>IF(AND(AN134=1,N134="Y",MAX(N(R134),N(V134))&gt;=Config!$B$14),1,0)</f>
        <v/>
      </c>
      <c r="AR134" s="17">
        <f>IF(AQ134=1,IF(COUNTIFS($A$2:$A$201,$A134,$AQ$2:$AQ$201,1,$G$2:$G$201,"&lt;"&amp;G134)+COUNTIFS($A$2:$A$201,$A134,$AQ$2:$AQ$201,1,$G$2:$G$201,G134,$AM$2:$AM$201,"&lt;"&amp;AM134)=0,1,0),0)</f>
        <v/>
      </c>
      <c r="AS134" s="17">
        <f>IF(AND(AN134=1,N134="Y",ISNUMBER(R134)),IF(R134&gt;=Config!$B$14,1,0),0)</f>
        <v/>
      </c>
      <c r="AT134" s="17">
        <f>IF(AS134=1,IF(COUNTIFS($A$2:$A$201,$A134,$AS$2:$AS$201,1,$G$2:$G$201,"&lt;"&amp;G134)+COUNTIFS($A$2:$A$201,$A134,$AS$2:$AS$201,1,$G$2:$G$201,G134,$AM$2:$AM$201,"&lt;"&amp;AM134)=0,1,0),0)</f>
        <v/>
      </c>
      <c r="AU134" s="17">
        <f>IF(AND(AN134=1,N134&lt;&gt;"Y",MAX(N(R134),N(V134))&gt;=Config!$B$14),1,0)</f>
        <v/>
      </c>
      <c r="AV134" s="17">
        <f>IF(AU134=1,IF(COUNTIFS($A$2:$A$201,$A134,$AU$2:$AU$201,1,$G$2:$G$201,"&lt;"&amp;G134)+COUNTIFS($A$2:$A$201,$A134,$AU$2:$AU$201,1,$G$2:$G$201,G134,$AM$2:$AM$201,"&lt;"&amp;AM134)=0,1,0),0)</f>
        <v/>
      </c>
      <c r="AW134" s="17">
        <f>IF(AND(AN134=1,ISNUMBER(R134)),1,0)</f>
        <v/>
      </c>
      <c r="AX134" s="17">
        <f>IF(AW134=1,IF(COUNTIFS($A$2:$A$201,$A134,$AW$2:$AW$201,1,$G$2:$G$201,"&lt;"&amp;G134)+COUNTIFS($A$2:$A$201,$A134,$AW$2:$AW$201,1,$G$2:$G$201,G134,$AM$2:$AM$201,"&lt;"&amp;AM134)=0,1,0),0)</f>
        <v/>
      </c>
      <c r="AY134" s="17">
        <f>IF(AND(AX134=1,G134&lt;=Config!$B$6),R134,"")</f>
        <v/>
      </c>
      <c r="AZ134" s="17">
        <f>IF(AND(AX134=1,G134&lt;=Config!$B$7),R134,"")</f>
        <v/>
      </c>
      <c r="BA134" s="17">
        <f>IF(AND(AX134=1,G134&lt;=Config!$B$8),R134,"")</f>
        <v/>
      </c>
      <c r="BB134" s="17">
        <f>IF(AND(AX134=1,G134&lt;=Config!$B$5),R134,"")</f>
        <v/>
      </c>
      <c r="BC134" s="17">
        <f>IF(AND(AN134=1,ISNUMBER(V134)),1,0)</f>
        <v/>
      </c>
      <c r="BD134" s="17">
        <f>IF(BC134=1,IF(COUNTIFS($A$2:$A$201,$A134,$BC$2:$BC$201,1,$G$2:$G$201,"&lt;"&amp;G134)+COUNTIFS($A$2:$A$201,$A134,$BC$2:$BC$201,1,$G$2:$G$201,G134,$AM$2:$AM$201,"&lt;"&amp;AM134)=0,1,0),0)</f>
        <v/>
      </c>
      <c r="BE134" s="17">
        <f>IF(AND(BD134=1,G134&lt;=Config!$B$6),V134,"")</f>
        <v/>
      </c>
      <c r="BF134" s="17">
        <f>IF(AND(BD134=1,G134&lt;=Config!$B$7),V134,"")</f>
        <v/>
      </c>
      <c r="BG134" s="17">
        <f>IF(AND(BD134=1,G134&lt;=Config!$B$8),V134,"")</f>
        <v/>
      </c>
      <c r="BH134" s="17">
        <f>IF(AND(BD134=1,G134&lt;=Config!$B$5),V134,"")</f>
        <v/>
      </c>
      <c r="BI134" s="17">
        <f>IF(AND(AN134=1,ISNUMBER(J134)),1,0)</f>
        <v/>
      </c>
      <c r="BJ134" s="17">
        <f>IF(BI134=1,IF(COUNTIFS($A$2:$A$201,$A134,$BI$2:$BI$201,1,$G$2:$G$201,"&lt;"&amp;G134)+COUNTIFS($A$2:$A$201,$A134,$BI$2:$BI$201,1,$G$2:$G$201,G134,$AM$2:$AM$201,"&lt;"&amp;AM134)=0,1,0),0)</f>
        <v/>
      </c>
      <c r="BK134" s="17">
        <f>IF(AND(BJ134=1,G134&lt;=Config!$B$5),J134,"")</f>
        <v/>
      </c>
      <c r="BL134" s="17">
        <f>IF(AND(AN134=1,OR(AND(ISNUMBER(R134),TRIM(S134)=""),AND(ISNUMBER(V134),TRIM(W134)=""))),1,0)</f>
        <v/>
      </c>
      <c r="BM134" s="17">
        <f>IF(AN134=1,AB134&amp;"","")</f>
        <v/>
      </c>
      <c r="BN134" s="17">
        <f>IF(AN134=1,AC134&amp;"","")</f>
        <v/>
      </c>
      <c r="BO134" s="17">
        <f>IF(AN134=1,AD134&amp;"","")</f>
        <v/>
      </c>
      <c r="BP134" s="17">
        <f>IF(AND(AN134=1,ISNUMBER(AI134),G134&lt;=Config!$B$5),AI134,"")</f>
        <v/>
      </c>
      <c r="BQ134" s="17">
        <f>IF(AN134=1,IF(COUNTIFS($A$2:$A$201,$A134,$AF$2:$AF$201,"Y",$AN$2:$AN$201,1)&gt;0,"Y","N"),"")</f>
        <v/>
      </c>
      <c r="BR134" s="17">
        <f>IF(AND(AN134=1,AF134="Y"),IF(COUNTIFS($A$2:$A$201,$A134,$AF$2:$AF$201,"Y",$AN$2:$AN$201,1,$G$2:$G$201,"&lt;"&amp;G134)+COUNTIFS($A$2:$A$201,$A134,$AF$2:$AF$201,"Y",$AN$2:$AN$201,1,$G$2:$G$201,G134,$AM$2:$AM$201,"&lt;"&amp;AM134)=0,1,0),0)</f>
        <v/>
      </c>
      <c r="BS134" s="17">
        <f>IF(AN134=1,IFERROR(MATCH($A134,INDEX(Clay_Brands!$A$2:$FZ$601,0,Sync!$D$5),0),""),"")</f>
        <v/>
      </c>
      <c r="BT134" s="17">
        <f>IF(BS134="","",IFERROR(INDEX(Clay_Brands!$A$2:$FZ$601,BS134,Sync!$D$7)&amp;"",""))</f>
        <v/>
      </c>
      <c r="BU134" s="17">
        <f>IF(BT134="","",IFERROR(INDEX(Lists!$J$2:$J$15,MATCH(BT134,Lists!$I$2:$I$15,0)),""))</f>
        <v/>
      </c>
      <c r="BV134" s="17">
        <f>IF(BS134="","",IFERROR(INDEX(Clay_Brands!$A$2:$FZ$601,BS134,Sync!$D$17)&amp;"",""))</f>
        <v/>
      </c>
      <c r="BW134" s="23">
        <f>IF(BS134="","",IFERROR(N(INDEX(Clay_Brands!$A$2:$FZ$601,BS134,Sync!$D$16)),0))</f>
        <v/>
      </c>
    </row>
    <row r="135">
      <c r="G135" s="22" t="n"/>
      <c r="AL135" s="17">
        <f>IF(TRIM($A135)="","",IF(AND(LEFT($A135,6)="SAMPLE",Config!$B$19&lt;&gt;"Y"),"",IF(NOT(ISNUMBER(G135)),"call_date is blank or not a date",IF(Sync!$D$5="","Clay paste is empty or has no row_id column: paste the Clay export on Clay_Brands",IF(BS135="","row_id not found in the Clay paste: add the Clay row or fix the row_id",IF(AND(ISNUMBER(BU135),BU135&gt;=1,BU135&lt;=5),"Clay status is "&amp;BT135&amp;": set call_done or later",IF(AND(AP135=1,BV135&lt;&gt;BQ135),"Clay yes_in_principle should be "&amp;BQ135,IF(AND(AP135=1,BW135&lt;&gt;G135),"Clay call_date should be "&amp;TEXT(G135,"yyyy-mm-dd"),""))))))))</f>
        <v/>
      </c>
      <c r="AM135" s="17">
        <f>ROW()</f>
        <v/>
      </c>
      <c r="AN135" s="17">
        <f>IF(AND(TRIM($A135)&lt;&gt;"",ISNUMBER(G135)),IF(AND(LEFT($A135,6)="SAMPLE",Config!$B$19&lt;&gt;"Y"),0,1),0)</f>
        <v/>
      </c>
      <c r="AO135" s="17">
        <f>IF(AN135=1,IF(COUNTIFS($A$2:$A$201,$A135,$AN$2:$AN$201,1,$G$2:$G$201,"&lt;"&amp;G135)+COUNTIFS($A$2:$A$201,$A135,$AN$2:$AN$201,1,$G$2:$G$201,G135,$AM$2:$AM$201,"&lt;"&amp;AM135)=0,1,0),0)</f>
        <v/>
      </c>
      <c r="AP135" s="17">
        <f>IF(AN135=1,IF(COUNTIFS($A$2:$A$201,$A135,$AN$2:$AN$201,1,$G$2:$G$201,"&gt;"&amp;G135)+COUNTIFS($A$2:$A$201,$A135,$AN$2:$AN$201,1,$G$2:$G$201,G135,$AM$2:$AM$201,"&gt;"&amp;AM135)=0,1,0),0)</f>
        <v/>
      </c>
      <c r="AQ135" s="17">
        <f>IF(AND(AN135=1,N135="Y",MAX(N(R135),N(V135))&gt;=Config!$B$14),1,0)</f>
        <v/>
      </c>
      <c r="AR135" s="17">
        <f>IF(AQ135=1,IF(COUNTIFS($A$2:$A$201,$A135,$AQ$2:$AQ$201,1,$G$2:$G$201,"&lt;"&amp;G135)+COUNTIFS($A$2:$A$201,$A135,$AQ$2:$AQ$201,1,$G$2:$G$201,G135,$AM$2:$AM$201,"&lt;"&amp;AM135)=0,1,0),0)</f>
        <v/>
      </c>
      <c r="AS135" s="17">
        <f>IF(AND(AN135=1,N135="Y",ISNUMBER(R135)),IF(R135&gt;=Config!$B$14,1,0),0)</f>
        <v/>
      </c>
      <c r="AT135" s="17">
        <f>IF(AS135=1,IF(COUNTIFS($A$2:$A$201,$A135,$AS$2:$AS$201,1,$G$2:$G$201,"&lt;"&amp;G135)+COUNTIFS($A$2:$A$201,$A135,$AS$2:$AS$201,1,$G$2:$G$201,G135,$AM$2:$AM$201,"&lt;"&amp;AM135)=0,1,0),0)</f>
        <v/>
      </c>
      <c r="AU135" s="17">
        <f>IF(AND(AN135=1,N135&lt;&gt;"Y",MAX(N(R135),N(V135))&gt;=Config!$B$14),1,0)</f>
        <v/>
      </c>
      <c r="AV135" s="17">
        <f>IF(AU135=1,IF(COUNTIFS($A$2:$A$201,$A135,$AU$2:$AU$201,1,$G$2:$G$201,"&lt;"&amp;G135)+COUNTIFS($A$2:$A$201,$A135,$AU$2:$AU$201,1,$G$2:$G$201,G135,$AM$2:$AM$201,"&lt;"&amp;AM135)=0,1,0),0)</f>
        <v/>
      </c>
      <c r="AW135" s="17">
        <f>IF(AND(AN135=1,ISNUMBER(R135)),1,0)</f>
        <v/>
      </c>
      <c r="AX135" s="17">
        <f>IF(AW135=1,IF(COUNTIFS($A$2:$A$201,$A135,$AW$2:$AW$201,1,$G$2:$G$201,"&lt;"&amp;G135)+COUNTIFS($A$2:$A$201,$A135,$AW$2:$AW$201,1,$G$2:$G$201,G135,$AM$2:$AM$201,"&lt;"&amp;AM135)=0,1,0),0)</f>
        <v/>
      </c>
      <c r="AY135" s="17">
        <f>IF(AND(AX135=1,G135&lt;=Config!$B$6),R135,"")</f>
        <v/>
      </c>
      <c r="AZ135" s="17">
        <f>IF(AND(AX135=1,G135&lt;=Config!$B$7),R135,"")</f>
        <v/>
      </c>
      <c r="BA135" s="17">
        <f>IF(AND(AX135=1,G135&lt;=Config!$B$8),R135,"")</f>
        <v/>
      </c>
      <c r="BB135" s="17">
        <f>IF(AND(AX135=1,G135&lt;=Config!$B$5),R135,"")</f>
        <v/>
      </c>
      <c r="BC135" s="17">
        <f>IF(AND(AN135=1,ISNUMBER(V135)),1,0)</f>
        <v/>
      </c>
      <c r="BD135" s="17">
        <f>IF(BC135=1,IF(COUNTIFS($A$2:$A$201,$A135,$BC$2:$BC$201,1,$G$2:$G$201,"&lt;"&amp;G135)+COUNTIFS($A$2:$A$201,$A135,$BC$2:$BC$201,1,$G$2:$G$201,G135,$AM$2:$AM$201,"&lt;"&amp;AM135)=0,1,0),0)</f>
        <v/>
      </c>
      <c r="BE135" s="17">
        <f>IF(AND(BD135=1,G135&lt;=Config!$B$6),V135,"")</f>
        <v/>
      </c>
      <c r="BF135" s="17">
        <f>IF(AND(BD135=1,G135&lt;=Config!$B$7),V135,"")</f>
        <v/>
      </c>
      <c r="BG135" s="17">
        <f>IF(AND(BD135=1,G135&lt;=Config!$B$8),V135,"")</f>
        <v/>
      </c>
      <c r="BH135" s="17">
        <f>IF(AND(BD135=1,G135&lt;=Config!$B$5),V135,"")</f>
        <v/>
      </c>
      <c r="BI135" s="17">
        <f>IF(AND(AN135=1,ISNUMBER(J135)),1,0)</f>
        <v/>
      </c>
      <c r="BJ135" s="17">
        <f>IF(BI135=1,IF(COUNTIFS($A$2:$A$201,$A135,$BI$2:$BI$201,1,$G$2:$G$201,"&lt;"&amp;G135)+COUNTIFS($A$2:$A$201,$A135,$BI$2:$BI$201,1,$G$2:$G$201,G135,$AM$2:$AM$201,"&lt;"&amp;AM135)=0,1,0),0)</f>
        <v/>
      </c>
      <c r="BK135" s="17">
        <f>IF(AND(BJ135=1,G135&lt;=Config!$B$5),J135,"")</f>
        <v/>
      </c>
      <c r="BL135" s="17">
        <f>IF(AND(AN135=1,OR(AND(ISNUMBER(R135),TRIM(S135)=""),AND(ISNUMBER(V135),TRIM(W135)=""))),1,0)</f>
        <v/>
      </c>
      <c r="BM135" s="17">
        <f>IF(AN135=1,AB135&amp;"","")</f>
        <v/>
      </c>
      <c r="BN135" s="17">
        <f>IF(AN135=1,AC135&amp;"","")</f>
        <v/>
      </c>
      <c r="BO135" s="17">
        <f>IF(AN135=1,AD135&amp;"","")</f>
        <v/>
      </c>
      <c r="BP135" s="17">
        <f>IF(AND(AN135=1,ISNUMBER(AI135),G135&lt;=Config!$B$5),AI135,"")</f>
        <v/>
      </c>
      <c r="BQ135" s="17">
        <f>IF(AN135=1,IF(COUNTIFS($A$2:$A$201,$A135,$AF$2:$AF$201,"Y",$AN$2:$AN$201,1)&gt;0,"Y","N"),"")</f>
        <v/>
      </c>
      <c r="BR135" s="17">
        <f>IF(AND(AN135=1,AF135="Y"),IF(COUNTIFS($A$2:$A$201,$A135,$AF$2:$AF$201,"Y",$AN$2:$AN$201,1,$G$2:$G$201,"&lt;"&amp;G135)+COUNTIFS($A$2:$A$201,$A135,$AF$2:$AF$201,"Y",$AN$2:$AN$201,1,$G$2:$G$201,G135,$AM$2:$AM$201,"&lt;"&amp;AM135)=0,1,0),0)</f>
        <v/>
      </c>
      <c r="BS135" s="17">
        <f>IF(AN135=1,IFERROR(MATCH($A135,INDEX(Clay_Brands!$A$2:$FZ$601,0,Sync!$D$5),0),""),"")</f>
        <v/>
      </c>
      <c r="BT135" s="17">
        <f>IF(BS135="","",IFERROR(INDEX(Clay_Brands!$A$2:$FZ$601,BS135,Sync!$D$7)&amp;"",""))</f>
        <v/>
      </c>
      <c r="BU135" s="17">
        <f>IF(BT135="","",IFERROR(INDEX(Lists!$J$2:$J$15,MATCH(BT135,Lists!$I$2:$I$15,0)),""))</f>
        <v/>
      </c>
      <c r="BV135" s="17">
        <f>IF(BS135="","",IFERROR(INDEX(Clay_Brands!$A$2:$FZ$601,BS135,Sync!$D$17)&amp;"",""))</f>
        <v/>
      </c>
      <c r="BW135" s="23">
        <f>IF(BS135="","",IFERROR(N(INDEX(Clay_Brands!$A$2:$FZ$601,BS135,Sync!$D$16)),0))</f>
        <v/>
      </c>
    </row>
    <row r="136">
      <c r="G136" s="22" t="n"/>
      <c r="AL136" s="17">
        <f>IF(TRIM($A136)="","",IF(AND(LEFT($A136,6)="SAMPLE",Config!$B$19&lt;&gt;"Y"),"",IF(NOT(ISNUMBER(G136)),"call_date is blank or not a date",IF(Sync!$D$5="","Clay paste is empty or has no row_id column: paste the Clay export on Clay_Brands",IF(BS136="","row_id not found in the Clay paste: add the Clay row or fix the row_id",IF(AND(ISNUMBER(BU136),BU136&gt;=1,BU136&lt;=5),"Clay status is "&amp;BT136&amp;": set call_done or later",IF(AND(AP136=1,BV136&lt;&gt;BQ136),"Clay yes_in_principle should be "&amp;BQ136,IF(AND(AP136=1,BW136&lt;&gt;G136),"Clay call_date should be "&amp;TEXT(G136,"yyyy-mm-dd"),""))))))))</f>
        <v/>
      </c>
      <c r="AM136" s="17">
        <f>ROW()</f>
        <v/>
      </c>
      <c r="AN136" s="17">
        <f>IF(AND(TRIM($A136)&lt;&gt;"",ISNUMBER(G136)),IF(AND(LEFT($A136,6)="SAMPLE",Config!$B$19&lt;&gt;"Y"),0,1),0)</f>
        <v/>
      </c>
      <c r="AO136" s="17">
        <f>IF(AN136=1,IF(COUNTIFS($A$2:$A$201,$A136,$AN$2:$AN$201,1,$G$2:$G$201,"&lt;"&amp;G136)+COUNTIFS($A$2:$A$201,$A136,$AN$2:$AN$201,1,$G$2:$G$201,G136,$AM$2:$AM$201,"&lt;"&amp;AM136)=0,1,0),0)</f>
        <v/>
      </c>
      <c r="AP136" s="17">
        <f>IF(AN136=1,IF(COUNTIFS($A$2:$A$201,$A136,$AN$2:$AN$201,1,$G$2:$G$201,"&gt;"&amp;G136)+COUNTIFS($A$2:$A$201,$A136,$AN$2:$AN$201,1,$G$2:$G$201,G136,$AM$2:$AM$201,"&gt;"&amp;AM136)=0,1,0),0)</f>
        <v/>
      </c>
      <c r="AQ136" s="17">
        <f>IF(AND(AN136=1,N136="Y",MAX(N(R136),N(V136))&gt;=Config!$B$14),1,0)</f>
        <v/>
      </c>
      <c r="AR136" s="17">
        <f>IF(AQ136=1,IF(COUNTIFS($A$2:$A$201,$A136,$AQ$2:$AQ$201,1,$G$2:$G$201,"&lt;"&amp;G136)+COUNTIFS($A$2:$A$201,$A136,$AQ$2:$AQ$201,1,$G$2:$G$201,G136,$AM$2:$AM$201,"&lt;"&amp;AM136)=0,1,0),0)</f>
        <v/>
      </c>
      <c r="AS136" s="17">
        <f>IF(AND(AN136=1,N136="Y",ISNUMBER(R136)),IF(R136&gt;=Config!$B$14,1,0),0)</f>
        <v/>
      </c>
      <c r="AT136" s="17">
        <f>IF(AS136=1,IF(COUNTIFS($A$2:$A$201,$A136,$AS$2:$AS$201,1,$G$2:$G$201,"&lt;"&amp;G136)+COUNTIFS($A$2:$A$201,$A136,$AS$2:$AS$201,1,$G$2:$G$201,G136,$AM$2:$AM$201,"&lt;"&amp;AM136)=0,1,0),0)</f>
        <v/>
      </c>
      <c r="AU136" s="17">
        <f>IF(AND(AN136=1,N136&lt;&gt;"Y",MAX(N(R136),N(V136))&gt;=Config!$B$14),1,0)</f>
        <v/>
      </c>
      <c r="AV136" s="17">
        <f>IF(AU136=1,IF(COUNTIFS($A$2:$A$201,$A136,$AU$2:$AU$201,1,$G$2:$G$201,"&lt;"&amp;G136)+COUNTIFS($A$2:$A$201,$A136,$AU$2:$AU$201,1,$G$2:$G$201,G136,$AM$2:$AM$201,"&lt;"&amp;AM136)=0,1,0),0)</f>
        <v/>
      </c>
      <c r="AW136" s="17">
        <f>IF(AND(AN136=1,ISNUMBER(R136)),1,0)</f>
        <v/>
      </c>
      <c r="AX136" s="17">
        <f>IF(AW136=1,IF(COUNTIFS($A$2:$A$201,$A136,$AW$2:$AW$201,1,$G$2:$G$201,"&lt;"&amp;G136)+COUNTIFS($A$2:$A$201,$A136,$AW$2:$AW$201,1,$G$2:$G$201,G136,$AM$2:$AM$201,"&lt;"&amp;AM136)=0,1,0),0)</f>
        <v/>
      </c>
      <c r="AY136" s="17">
        <f>IF(AND(AX136=1,G136&lt;=Config!$B$6),R136,"")</f>
        <v/>
      </c>
      <c r="AZ136" s="17">
        <f>IF(AND(AX136=1,G136&lt;=Config!$B$7),R136,"")</f>
        <v/>
      </c>
      <c r="BA136" s="17">
        <f>IF(AND(AX136=1,G136&lt;=Config!$B$8),R136,"")</f>
        <v/>
      </c>
      <c r="BB136" s="17">
        <f>IF(AND(AX136=1,G136&lt;=Config!$B$5),R136,"")</f>
        <v/>
      </c>
      <c r="BC136" s="17">
        <f>IF(AND(AN136=1,ISNUMBER(V136)),1,0)</f>
        <v/>
      </c>
      <c r="BD136" s="17">
        <f>IF(BC136=1,IF(COUNTIFS($A$2:$A$201,$A136,$BC$2:$BC$201,1,$G$2:$G$201,"&lt;"&amp;G136)+COUNTIFS($A$2:$A$201,$A136,$BC$2:$BC$201,1,$G$2:$G$201,G136,$AM$2:$AM$201,"&lt;"&amp;AM136)=0,1,0),0)</f>
        <v/>
      </c>
      <c r="BE136" s="17">
        <f>IF(AND(BD136=1,G136&lt;=Config!$B$6),V136,"")</f>
        <v/>
      </c>
      <c r="BF136" s="17">
        <f>IF(AND(BD136=1,G136&lt;=Config!$B$7),V136,"")</f>
        <v/>
      </c>
      <c r="BG136" s="17">
        <f>IF(AND(BD136=1,G136&lt;=Config!$B$8),V136,"")</f>
        <v/>
      </c>
      <c r="BH136" s="17">
        <f>IF(AND(BD136=1,G136&lt;=Config!$B$5),V136,"")</f>
        <v/>
      </c>
      <c r="BI136" s="17">
        <f>IF(AND(AN136=1,ISNUMBER(J136)),1,0)</f>
        <v/>
      </c>
      <c r="BJ136" s="17">
        <f>IF(BI136=1,IF(COUNTIFS($A$2:$A$201,$A136,$BI$2:$BI$201,1,$G$2:$G$201,"&lt;"&amp;G136)+COUNTIFS($A$2:$A$201,$A136,$BI$2:$BI$201,1,$G$2:$G$201,G136,$AM$2:$AM$201,"&lt;"&amp;AM136)=0,1,0),0)</f>
        <v/>
      </c>
      <c r="BK136" s="17">
        <f>IF(AND(BJ136=1,G136&lt;=Config!$B$5),J136,"")</f>
        <v/>
      </c>
      <c r="BL136" s="17">
        <f>IF(AND(AN136=1,OR(AND(ISNUMBER(R136),TRIM(S136)=""),AND(ISNUMBER(V136),TRIM(W136)=""))),1,0)</f>
        <v/>
      </c>
      <c r="BM136" s="17">
        <f>IF(AN136=1,AB136&amp;"","")</f>
        <v/>
      </c>
      <c r="BN136" s="17">
        <f>IF(AN136=1,AC136&amp;"","")</f>
        <v/>
      </c>
      <c r="BO136" s="17">
        <f>IF(AN136=1,AD136&amp;"","")</f>
        <v/>
      </c>
      <c r="BP136" s="17">
        <f>IF(AND(AN136=1,ISNUMBER(AI136),G136&lt;=Config!$B$5),AI136,"")</f>
        <v/>
      </c>
      <c r="BQ136" s="17">
        <f>IF(AN136=1,IF(COUNTIFS($A$2:$A$201,$A136,$AF$2:$AF$201,"Y",$AN$2:$AN$201,1)&gt;0,"Y","N"),"")</f>
        <v/>
      </c>
      <c r="BR136" s="17">
        <f>IF(AND(AN136=1,AF136="Y"),IF(COUNTIFS($A$2:$A$201,$A136,$AF$2:$AF$201,"Y",$AN$2:$AN$201,1,$G$2:$G$201,"&lt;"&amp;G136)+COUNTIFS($A$2:$A$201,$A136,$AF$2:$AF$201,"Y",$AN$2:$AN$201,1,$G$2:$G$201,G136,$AM$2:$AM$201,"&lt;"&amp;AM136)=0,1,0),0)</f>
        <v/>
      </c>
      <c r="BS136" s="17">
        <f>IF(AN136=1,IFERROR(MATCH($A136,INDEX(Clay_Brands!$A$2:$FZ$601,0,Sync!$D$5),0),""),"")</f>
        <v/>
      </c>
      <c r="BT136" s="17">
        <f>IF(BS136="","",IFERROR(INDEX(Clay_Brands!$A$2:$FZ$601,BS136,Sync!$D$7)&amp;"",""))</f>
        <v/>
      </c>
      <c r="BU136" s="17">
        <f>IF(BT136="","",IFERROR(INDEX(Lists!$J$2:$J$15,MATCH(BT136,Lists!$I$2:$I$15,0)),""))</f>
        <v/>
      </c>
      <c r="BV136" s="17">
        <f>IF(BS136="","",IFERROR(INDEX(Clay_Brands!$A$2:$FZ$601,BS136,Sync!$D$17)&amp;"",""))</f>
        <v/>
      </c>
      <c r="BW136" s="23">
        <f>IF(BS136="","",IFERROR(N(INDEX(Clay_Brands!$A$2:$FZ$601,BS136,Sync!$D$16)),0))</f>
        <v/>
      </c>
    </row>
    <row r="137">
      <c r="G137" s="22" t="n"/>
      <c r="AL137" s="17">
        <f>IF(TRIM($A137)="","",IF(AND(LEFT($A137,6)="SAMPLE",Config!$B$19&lt;&gt;"Y"),"",IF(NOT(ISNUMBER(G137)),"call_date is blank or not a date",IF(Sync!$D$5="","Clay paste is empty or has no row_id column: paste the Clay export on Clay_Brands",IF(BS137="","row_id not found in the Clay paste: add the Clay row or fix the row_id",IF(AND(ISNUMBER(BU137),BU137&gt;=1,BU137&lt;=5),"Clay status is "&amp;BT137&amp;": set call_done or later",IF(AND(AP137=1,BV137&lt;&gt;BQ137),"Clay yes_in_principle should be "&amp;BQ137,IF(AND(AP137=1,BW137&lt;&gt;G137),"Clay call_date should be "&amp;TEXT(G137,"yyyy-mm-dd"),""))))))))</f>
        <v/>
      </c>
      <c r="AM137" s="17">
        <f>ROW()</f>
        <v/>
      </c>
      <c r="AN137" s="17">
        <f>IF(AND(TRIM($A137)&lt;&gt;"",ISNUMBER(G137)),IF(AND(LEFT($A137,6)="SAMPLE",Config!$B$19&lt;&gt;"Y"),0,1),0)</f>
        <v/>
      </c>
      <c r="AO137" s="17">
        <f>IF(AN137=1,IF(COUNTIFS($A$2:$A$201,$A137,$AN$2:$AN$201,1,$G$2:$G$201,"&lt;"&amp;G137)+COUNTIFS($A$2:$A$201,$A137,$AN$2:$AN$201,1,$G$2:$G$201,G137,$AM$2:$AM$201,"&lt;"&amp;AM137)=0,1,0),0)</f>
        <v/>
      </c>
      <c r="AP137" s="17">
        <f>IF(AN137=1,IF(COUNTIFS($A$2:$A$201,$A137,$AN$2:$AN$201,1,$G$2:$G$201,"&gt;"&amp;G137)+COUNTIFS($A$2:$A$201,$A137,$AN$2:$AN$201,1,$G$2:$G$201,G137,$AM$2:$AM$201,"&gt;"&amp;AM137)=0,1,0),0)</f>
        <v/>
      </c>
      <c r="AQ137" s="17">
        <f>IF(AND(AN137=1,N137="Y",MAX(N(R137),N(V137))&gt;=Config!$B$14),1,0)</f>
        <v/>
      </c>
      <c r="AR137" s="17">
        <f>IF(AQ137=1,IF(COUNTIFS($A$2:$A$201,$A137,$AQ$2:$AQ$201,1,$G$2:$G$201,"&lt;"&amp;G137)+COUNTIFS($A$2:$A$201,$A137,$AQ$2:$AQ$201,1,$G$2:$G$201,G137,$AM$2:$AM$201,"&lt;"&amp;AM137)=0,1,0),0)</f>
        <v/>
      </c>
      <c r="AS137" s="17">
        <f>IF(AND(AN137=1,N137="Y",ISNUMBER(R137)),IF(R137&gt;=Config!$B$14,1,0),0)</f>
        <v/>
      </c>
      <c r="AT137" s="17">
        <f>IF(AS137=1,IF(COUNTIFS($A$2:$A$201,$A137,$AS$2:$AS$201,1,$G$2:$G$201,"&lt;"&amp;G137)+COUNTIFS($A$2:$A$201,$A137,$AS$2:$AS$201,1,$G$2:$G$201,G137,$AM$2:$AM$201,"&lt;"&amp;AM137)=0,1,0),0)</f>
        <v/>
      </c>
      <c r="AU137" s="17">
        <f>IF(AND(AN137=1,N137&lt;&gt;"Y",MAX(N(R137),N(V137))&gt;=Config!$B$14),1,0)</f>
        <v/>
      </c>
      <c r="AV137" s="17">
        <f>IF(AU137=1,IF(COUNTIFS($A$2:$A$201,$A137,$AU$2:$AU$201,1,$G$2:$G$201,"&lt;"&amp;G137)+COUNTIFS($A$2:$A$201,$A137,$AU$2:$AU$201,1,$G$2:$G$201,G137,$AM$2:$AM$201,"&lt;"&amp;AM137)=0,1,0),0)</f>
        <v/>
      </c>
      <c r="AW137" s="17">
        <f>IF(AND(AN137=1,ISNUMBER(R137)),1,0)</f>
        <v/>
      </c>
      <c r="AX137" s="17">
        <f>IF(AW137=1,IF(COUNTIFS($A$2:$A$201,$A137,$AW$2:$AW$201,1,$G$2:$G$201,"&lt;"&amp;G137)+COUNTIFS($A$2:$A$201,$A137,$AW$2:$AW$201,1,$G$2:$G$201,G137,$AM$2:$AM$201,"&lt;"&amp;AM137)=0,1,0),0)</f>
        <v/>
      </c>
      <c r="AY137" s="17">
        <f>IF(AND(AX137=1,G137&lt;=Config!$B$6),R137,"")</f>
        <v/>
      </c>
      <c r="AZ137" s="17">
        <f>IF(AND(AX137=1,G137&lt;=Config!$B$7),R137,"")</f>
        <v/>
      </c>
      <c r="BA137" s="17">
        <f>IF(AND(AX137=1,G137&lt;=Config!$B$8),R137,"")</f>
        <v/>
      </c>
      <c r="BB137" s="17">
        <f>IF(AND(AX137=1,G137&lt;=Config!$B$5),R137,"")</f>
        <v/>
      </c>
      <c r="BC137" s="17">
        <f>IF(AND(AN137=1,ISNUMBER(V137)),1,0)</f>
        <v/>
      </c>
      <c r="BD137" s="17">
        <f>IF(BC137=1,IF(COUNTIFS($A$2:$A$201,$A137,$BC$2:$BC$201,1,$G$2:$G$201,"&lt;"&amp;G137)+COUNTIFS($A$2:$A$201,$A137,$BC$2:$BC$201,1,$G$2:$G$201,G137,$AM$2:$AM$201,"&lt;"&amp;AM137)=0,1,0),0)</f>
        <v/>
      </c>
      <c r="BE137" s="17">
        <f>IF(AND(BD137=1,G137&lt;=Config!$B$6),V137,"")</f>
        <v/>
      </c>
      <c r="BF137" s="17">
        <f>IF(AND(BD137=1,G137&lt;=Config!$B$7),V137,"")</f>
        <v/>
      </c>
      <c r="BG137" s="17">
        <f>IF(AND(BD137=1,G137&lt;=Config!$B$8),V137,"")</f>
        <v/>
      </c>
      <c r="BH137" s="17">
        <f>IF(AND(BD137=1,G137&lt;=Config!$B$5),V137,"")</f>
        <v/>
      </c>
      <c r="BI137" s="17">
        <f>IF(AND(AN137=1,ISNUMBER(J137)),1,0)</f>
        <v/>
      </c>
      <c r="BJ137" s="17">
        <f>IF(BI137=1,IF(COUNTIFS($A$2:$A$201,$A137,$BI$2:$BI$201,1,$G$2:$G$201,"&lt;"&amp;G137)+COUNTIFS($A$2:$A$201,$A137,$BI$2:$BI$201,1,$G$2:$G$201,G137,$AM$2:$AM$201,"&lt;"&amp;AM137)=0,1,0),0)</f>
        <v/>
      </c>
      <c r="BK137" s="17">
        <f>IF(AND(BJ137=1,G137&lt;=Config!$B$5),J137,"")</f>
        <v/>
      </c>
      <c r="BL137" s="17">
        <f>IF(AND(AN137=1,OR(AND(ISNUMBER(R137),TRIM(S137)=""),AND(ISNUMBER(V137),TRIM(W137)=""))),1,0)</f>
        <v/>
      </c>
      <c r="BM137" s="17">
        <f>IF(AN137=1,AB137&amp;"","")</f>
        <v/>
      </c>
      <c r="BN137" s="17">
        <f>IF(AN137=1,AC137&amp;"","")</f>
        <v/>
      </c>
      <c r="BO137" s="17">
        <f>IF(AN137=1,AD137&amp;"","")</f>
        <v/>
      </c>
      <c r="BP137" s="17">
        <f>IF(AND(AN137=1,ISNUMBER(AI137),G137&lt;=Config!$B$5),AI137,"")</f>
        <v/>
      </c>
      <c r="BQ137" s="17">
        <f>IF(AN137=1,IF(COUNTIFS($A$2:$A$201,$A137,$AF$2:$AF$201,"Y",$AN$2:$AN$201,1)&gt;0,"Y","N"),"")</f>
        <v/>
      </c>
      <c r="BR137" s="17">
        <f>IF(AND(AN137=1,AF137="Y"),IF(COUNTIFS($A$2:$A$201,$A137,$AF$2:$AF$201,"Y",$AN$2:$AN$201,1,$G$2:$G$201,"&lt;"&amp;G137)+COUNTIFS($A$2:$A$201,$A137,$AF$2:$AF$201,"Y",$AN$2:$AN$201,1,$G$2:$G$201,G137,$AM$2:$AM$201,"&lt;"&amp;AM137)=0,1,0),0)</f>
        <v/>
      </c>
      <c r="BS137" s="17">
        <f>IF(AN137=1,IFERROR(MATCH($A137,INDEX(Clay_Brands!$A$2:$FZ$601,0,Sync!$D$5),0),""),"")</f>
        <v/>
      </c>
      <c r="BT137" s="17">
        <f>IF(BS137="","",IFERROR(INDEX(Clay_Brands!$A$2:$FZ$601,BS137,Sync!$D$7)&amp;"",""))</f>
        <v/>
      </c>
      <c r="BU137" s="17">
        <f>IF(BT137="","",IFERROR(INDEX(Lists!$J$2:$J$15,MATCH(BT137,Lists!$I$2:$I$15,0)),""))</f>
        <v/>
      </c>
      <c r="BV137" s="17">
        <f>IF(BS137="","",IFERROR(INDEX(Clay_Brands!$A$2:$FZ$601,BS137,Sync!$D$17)&amp;"",""))</f>
        <v/>
      </c>
      <c r="BW137" s="23">
        <f>IF(BS137="","",IFERROR(N(INDEX(Clay_Brands!$A$2:$FZ$601,BS137,Sync!$D$16)),0))</f>
        <v/>
      </c>
    </row>
    <row r="138">
      <c r="G138" s="22" t="n"/>
      <c r="AL138" s="17">
        <f>IF(TRIM($A138)="","",IF(AND(LEFT($A138,6)="SAMPLE",Config!$B$19&lt;&gt;"Y"),"",IF(NOT(ISNUMBER(G138)),"call_date is blank or not a date",IF(Sync!$D$5="","Clay paste is empty or has no row_id column: paste the Clay export on Clay_Brands",IF(BS138="","row_id not found in the Clay paste: add the Clay row or fix the row_id",IF(AND(ISNUMBER(BU138),BU138&gt;=1,BU138&lt;=5),"Clay status is "&amp;BT138&amp;": set call_done or later",IF(AND(AP138=1,BV138&lt;&gt;BQ138),"Clay yes_in_principle should be "&amp;BQ138,IF(AND(AP138=1,BW138&lt;&gt;G138),"Clay call_date should be "&amp;TEXT(G138,"yyyy-mm-dd"),""))))))))</f>
        <v/>
      </c>
      <c r="AM138" s="17">
        <f>ROW()</f>
        <v/>
      </c>
      <c r="AN138" s="17">
        <f>IF(AND(TRIM($A138)&lt;&gt;"",ISNUMBER(G138)),IF(AND(LEFT($A138,6)="SAMPLE",Config!$B$19&lt;&gt;"Y"),0,1),0)</f>
        <v/>
      </c>
      <c r="AO138" s="17">
        <f>IF(AN138=1,IF(COUNTIFS($A$2:$A$201,$A138,$AN$2:$AN$201,1,$G$2:$G$201,"&lt;"&amp;G138)+COUNTIFS($A$2:$A$201,$A138,$AN$2:$AN$201,1,$G$2:$G$201,G138,$AM$2:$AM$201,"&lt;"&amp;AM138)=0,1,0),0)</f>
        <v/>
      </c>
      <c r="AP138" s="17">
        <f>IF(AN138=1,IF(COUNTIFS($A$2:$A$201,$A138,$AN$2:$AN$201,1,$G$2:$G$201,"&gt;"&amp;G138)+COUNTIFS($A$2:$A$201,$A138,$AN$2:$AN$201,1,$G$2:$G$201,G138,$AM$2:$AM$201,"&gt;"&amp;AM138)=0,1,0),0)</f>
        <v/>
      </c>
      <c r="AQ138" s="17">
        <f>IF(AND(AN138=1,N138="Y",MAX(N(R138),N(V138))&gt;=Config!$B$14),1,0)</f>
        <v/>
      </c>
      <c r="AR138" s="17">
        <f>IF(AQ138=1,IF(COUNTIFS($A$2:$A$201,$A138,$AQ$2:$AQ$201,1,$G$2:$G$201,"&lt;"&amp;G138)+COUNTIFS($A$2:$A$201,$A138,$AQ$2:$AQ$201,1,$G$2:$G$201,G138,$AM$2:$AM$201,"&lt;"&amp;AM138)=0,1,0),0)</f>
        <v/>
      </c>
      <c r="AS138" s="17">
        <f>IF(AND(AN138=1,N138="Y",ISNUMBER(R138)),IF(R138&gt;=Config!$B$14,1,0),0)</f>
        <v/>
      </c>
      <c r="AT138" s="17">
        <f>IF(AS138=1,IF(COUNTIFS($A$2:$A$201,$A138,$AS$2:$AS$201,1,$G$2:$G$201,"&lt;"&amp;G138)+COUNTIFS($A$2:$A$201,$A138,$AS$2:$AS$201,1,$G$2:$G$201,G138,$AM$2:$AM$201,"&lt;"&amp;AM138)=0,1,0),0)</f>
        <v/>
      </c>
      <c r="AU138" s="17">
        <f>IF(AND(AN138=1,N138&lt;&gt;"Y",MAX(N(R138),N(V138))&gt;=Config!$B$14),1,0)</f>
        <v/>
      </c>
      <c r="AV138" s="17">
        <f>IF(AU138=1,IF(COUNTIFS($A$2:$A$201,$A138,$AU$2:$AU$201,1,$G$2:$G$201,"&lt;"&amp;G138)+COUNTIFS($A$2:$A$201,$A138,$AU$2:$AU$201,1,$G$2:$G$201,G138,$AM$2:$AM$201,"&lt;"&amp;AM138)=0,1,0),0)</f>
        <v/>
      </c>
      <c r="AW138" s="17">
        <f>IF(AND(AN138=1,ISNUMBER(R138)),1,0)</f>
        <v/>
      </c>
      <c r="AX138" s="17">
        <f>IF(AW138=1,IF(COUNTIFS($A$2:$A$201,$A138,$AW$2:$AW$201,1,$G$2:$G$201,"&lt;"&amp;G138)+COUNTIFS($A$2:$A$201,$A138,$AW$2:$AW$201,1,$G$2:$G$201,G138,$AM$2:$AM$201,"&lt;"&amp;AM138)=0,1,0),0)</f>
        <v/>
      </c>
      <c r="AY138" s="17">
        <f>IF(AND(AX138=1,G138&lt;=Config!$B$6),R138,"")</f>
        <v/>
      </c>
      <c r="AZ138" s="17">
        <f>IF(AND(AX138=1,G138&lt;=Config!$B$7),R138,"")</f>
        <v/>
      </c>
      <c r="BA138" s="17">
        <f>IF(AND(AX138=1,G138&lt;=Config!$B$8),R138,"")</f>
        <v/>
      </c>
      <c r="BB138" s="17">
        <f>IF(AND(AX138=1,G138&lt;=Config!$B$5),R138,"")</f>
        <v/>
      </c>
      <c r="BC138" s="17">
        <f>IF(AND(AN138=1,ISNUMBER(V138)),1,0)</f>
        <v/>
      </c>
      <c r="BD138" s="17">
        <f>IF(BC138=1,IF(COUNTIFS($A$2:$A$201,$A138,$BC$2:$BC$201,1,$G$2:$G$201,"&lt;"&amp;G138)+COUNTIFS($A$2:$A$201,$A138,$BC$2:$BC$201,1,$G$2:$G$201,G138,$AM$2:$AM$201,"&lt;"&amp;AM138)=0,1,0),0)</f>
        <v/>
      </c>
      <c r="BE138" s="17">
        <f>IF(AND(BD138=1,G138&lt;=Config!$B$6),V138,"")</f>
        <v/>
      </c>
      <c r="BF138" s="17">
        <f>IF(AND(BD138=1,G138&lt;=Config!$B$7),V138,"")</f>
        <v/>
      </c>
      <c r="BG138" s="17">
        <f>IF(AND(BD138=1,G138&lt;=Config!$B$8),V138,"")</f>
        <v/>
      </c>
      <c r="BH138" s="17">
        <f>IF(AND(BD138=1,G138&lt;=Config!$B$5),V138,"")</f>
        <v/>
      </c>
      <c r="BI138" s="17">
        <f>IF(AND(AN138=1,ISNUMBER(J138)),1,0)</f>
        <v/>
      </c>
      <c r="BJ138" s="17">
        <f>IF(BI138=1,IF(COUNTIFS($A$2:$A$201,$A138,$BI$2:$BI$201,1,$G$2:$G$201,"&lt;"&amp;G138)+COUNTIFS($A$2:$A$201,$A138,$BI$2:$BI$201,1,$G$2:$G$201,G138,$AM$2:$AM$201,"&lt;"&amp;AM138)=0,1,0),0)</f>
        <v/>
      </c>
      <c r="BK138" s="17">
        <f>IF(AND(BJ138=1,G138&lt;=Config!$B$5),J138,"")</f>
        <v/>
      </c>
      <c r="BL138" s="17">
        <f>IF(AND(AN138=1,OR(AND(ISNUMBER(R138),TRIM(S138)=""),AND(ISNUMBER(V138),TRIM(W138)=""))),1,0)</f>
        <v/>
      </c>
      <c r="BM138" s="17">
        <f>IF(AN138=1,AB138&amp;"","")</f>
        <v/>
      </c>
      <c r="BN138" s="17">
        <f>IF(AN138=1,AC138&amp;"","")</f>
        <v/>
      </c>
      <c r="BO138" s="17">
        <f>IF(AN138=1,AD138&amp;"","")</f>
        <v/>
      </c>
      <c r="BP138" s="17">
        <f>IF(AND(AN138=1,ISNUMBER(AI138),G138&lt;=Config!$B$5),AI138,"")</f>
        <v/>
      </c>
      <c r="BQ138" s="17">
        <f>IF(AN138=1,IF(COUNTIFS($A$2:$A$201,$A138,$AF$2:$AF$201,"Y",$AN$2:$AN$201,1)&gt;0,"Y","N"),"")</f>
        <v/>
      </c>
      <c r="BR138" s="17">
        <f>IF(AND(AN138=1,AF138="Y"),IF(COUNTIFS($A$2:$A$201,$A138,$AF$2:$AF$201,"Y",$AN$2:$AN$201,1,$G$2:$G$201,"&lt;"&amp;G138)+COUNTIFS($A$2:$A$201,$A138,$AF$2:$AF$201,"Y",$AN$2:$AN$201,1,$G$2:$G$201,G138,$AM$2:$AM$201,"&lt;"&amp;AM138)=0,1,0),0)</f>
        <v/>
      </c>
      <c r="BS138" s="17">
        <f>IF(AN138=1,IFERROR(MATCH($A138,INDEX(Clay_Brands!$A$2:$FZ$601,0,Sync!$D$5),0),""),"")</f>
        <v/>
      </c>
      <c r="BT138" s="17">
        <f>IF(BS138="","",IFERROR(INDEX(Clay_Brands!$A$2:$FZ$601,BS138,Sync!$D$7)&amp;"",""))</f>
        <v/>
      </c>
      <c r="BU138" s="17">
        <f>IF(BT138="","",IFERROR(INDEX(Lists!$J$2:$J$15,MATCH(BT138,Lists!$I$2:$I$15,0)),""))</f>
        <v/>
      </c>
      <c r="BV138" s="17">
        <f>IF(BS138="","",IFERROR(INDEX(Clay_Brands!$A$2:$FZ$601,BS138,Sync!$D$17)&amp;"",""))</f>
        <v/>
      </c>
      <c r="BW138" s="23">
        <f>IF(BS138="","",IFERROR(N(INDEX(Clay_Brands!$A$2:$FZ$601,BS138,Sync!$D$16)),0))</f>
        <v/>
      </c>
    </row>
    <row r="139">
      <c r="G139" s="22" t="n"/>
      <c r="AL139" s="17">
        <f>IF(TRIM($A139)="","",IF(AND(LEFT($A139,6)="SAMPLE",Config!$B$19&lt;&gt;"Y"),"",IF(NOT(ISNUMBER(G139)),"call_date is blank or not a date",IF(Sync!$D$5="","Clay paste is empty or has no row_id column: paste the Clay export on Clay_Brands",IF(BS139="","row_id not found in the Clay paste: add the Clay row or fix the row_id",IF(AND(ISNUMBER(BU139),BU139&gt;=1,BU139&lt;=5),"Clay status is "&amp;BT139&amp;": set call_done or later",IF(AND(AP139=1,BV139&lt;&gt;BQ139),"Clay yes_in_principle should be "&amp;BQ139,IF(AND(AP139=1,BW139&lt;&gt;G139),"Clay call_date should be "&amp;TEXT(G139,"yyyy-mm-dd"),""))))))))</f>
        <v/>
      </c>
      <c r="AM139" s="17">
        <f>ROW()</f>
        <v/>
      </c>
      <c r="AN139" s="17">
        <f>IF(AND(TRIM($A139)&lt;&gt;"",ISNUMBER(G139)),IF(AND(LEFT($A139,6)="SAMPLE",Config!$B$19&lt;&gt;"Y"),0,1),0)</f>
        <v/>
      </c>
      <c r="AO139" s="17">
        <f>IF(AN139=1,IF(COUNTIFS($A$2:$A$201,$A139,$AN$2:$AN$201,1,$G$2:$G$201,"&lt;"&amp;G139)+COUNTIFS($A$2:$A$201,$A139,$AN$2:$AN$201,1,$G$2:$G$201,G139,$AM$2:$AM$201,"&lt;"&amp;AM139)=0,1,0),0)</f>
        <v/>
      </c>
      <c r="AP139" s="17">
        <f>IF(AN139=1,IF(COUNTIFS($A$2:$A$201,$A139,$AN$2:$AN$201,1,$G$2:$G$201,"&gt;"&amp;G139)+COUNTIFS($A$2:$A$201,$A139,$AN$2:$AN$201,1,$G$2:$G$201,G139,$AM$2:$AM$201,"&gt;"&amp;AM139)=0,1,0),0)</f>
        <v/>
      </c>
      <c r="AQ139" s="17">
        <f>IF(AND(AN139=1,N139="Y",MAX(N(R139),N(V139))&gt;=Config!$B$14),1,0)</f>
        <v/>
      </c>
      <c r="AR139" s="17">
        <f>IF(AQ139=1,IF(COUNTIFS($A$2:$A$201,$A139,$AQ$2:$AQ$201,1,$G$2:$G$201,"&lt;"&amp;G139)+COUNTIFS($A$2:$A$201,$A139,$AQ$2:$AQ$201,1,$G$2:$G$201,G139,$AM$2:$AM$201,"&lt;"&amp;AM139)=0,1,0),0)</f>
        <v/>
      </c>
      <c r="AS139" s="17">
        <f>IF(AND(AN139=1,N139="Y",ISNUMBER(R139)),IF(R139&gt;=Config!$B$14,1,0),0)</f>
        <v/>
      </c>
      <c r="AT139" s="17">
        <f>IF(AS139=1,IF(COUNTIFS($A$2:$A$201,$A139,$AS$2:$AS$201,1,$G$2:$G$201,"&lt;"&amp;G139)+COUNTIFS($A$2:$A$201,$A139,$AS$2:$AS$201,1,$G$2:$G$201,G139,$AM$2:$AM$201,"&lt;"&amp;AM139)=0,1,0),0)</f>
        <v/>
      </c>
      <c r="AU139" s="17">
        <f>IF(AND(AN139=1,N139&lt;&gt;"Y",MAX(N(R139),N(V139))&gt;=Config!$B$14),1,0)</f>
        <v/>
      </c>
      <c r="AV139" s="17">
        <f>IF(AU139=1,IF(COUNTIFS($A$2:$A$201,$A139,$AU$2:$AU$201,1,$G$2:$G$201,"&lt;"&amp;G139)+COUNTIFS($A$2:$A$201,$A139,$AU$2:$AU$201,1,$G$2:$G$201,G139,$AM$2:$AM$201,"&lt;"&amp;AM139)=0,1,0),0)</f>
        <v/>
      </c>
      <c r="AW139" s="17">
        <f>IF(AND(AN139=1,ISNUMBER(R139)),1,0)</f>
        <v/>
      </c>
      <c r="AX139" s="17">
        <f>IF(AW139=1,IF(COUNTIFS($A$2:$A$201,$A139,$AW$2:$AW$201,1,$G$2:$G$201,"&lt;"&amp;G139)+COUNTIFS($A$2:$A$201,$A139,$AW$2:$AW$201,1,$G$2:$G$201,G139,$AM$2:$AM$201,"&lt;"&amp;AM139)=0,1,0),0)</f>
        <v/>
      </c>
      <c r="AY139" s="17">
        <f>IF(AND(AX139=1,G139&lt;=Config!$B$6),R139,"")</f>
        <v/>
      </c>
      <c r="AZ139" s="17">
        <f>IF(AND(AX139=1,G139&lt;=Config!$B$7),R139,"")</f>
        <v/>
      </c>
      <c r="BA139" s="17">
        <f>IF(AND(AX139=1,G139&lt;=Config!$B$8),R139,"")</f>
        <v/>
      </c>
      <c r="BB139" s="17">
        <f>IF(AND(AX139=1,G139&lt;=Config!$B$5),R139,"")</f>
        <v/>
      </c>
      <c r="BC139" s="17">
        <f>IF(AND(AN139=1,ISNUMBER(V139)),1,0)</f>
        <v/>
      </c>
      <c r="BD139" s="17">
        <f>IF(BC139=1,IF(COUNTIFS($A$2:$A$201,$A139,$BC$2:$BC$201,1,$G$2:$G$201,"&lt;"&amp;G139)+COUNTIFS($A$2:$A$201,$A139,$BC$2:$BC$201,1,$G$2:$G$201,G139,$AM$2:$AM$201,"&lt;"&amp;AM139)=0,1,0),0)</f>
        <v/>
      </c>
      <c r="BE139" s="17">
        <f>IF(AND(BD139=1,G139&lt;=Config!$B$6),V139,"")</f>
        <v/>
      </c>
      <c r="BF139" s="17">
        <f>IF(AND(BD139=1,G139&lt;=Config!$B$7),V139,"")</f>
        <v/>
      </c>
      <c r="BG139" s="17">
        <f>IF(AND(BD139=1,G139&lt;=Config!$B$8),V139,"")</f>
        <v/>
      </c>
      <c r="BH139" s="17">
        <f>IF(AND(BD139=1,G139&lt;=Config!$B$5),V139,"")</f>
        <v/>
      </c>
      <c r="BI139" s="17">
        <f>IF(AND(AN139=1,ISNUMBER(J139)),1,0)</f>
        <v/>
      </c>
      <c r="BJ139" s="17">
        <f>IF(BI139=1,IF(COUNTIFS($A$2:$A$201,$A139,$BI$2:$BI$201,1,$G$2:$G$201,"&lt;"&amp;G139)+COUNTIFS($A$2:$A$201,$A139,$BI$2:$BI$201,1,$G$2:$G$201,G139,$AM$2:$AM$201,"&lt;"&amp;AM139)=0,1,0),0)</f>
        <v/>
      </c>
      <c r="BK139" s="17">
        <f>IF(AND(BJ139=1,G139&lt;=Config!$B$5),J139,"")</f>
        <v/>
      </c>
      <c r="BL139" s="17">
        <f>IF(AND(AN139=1,OR(AND(ISNUMBER(R139),TRIM(S139)=""),AND(ISNUMBER(V139),TRIM(W139)=""))),1,0)</f>
        <v/>
      </c>
      <c r="BM139" s="17">
        <f>IF(AN139=1,AB139&amp;"","")</f>
        <v/>
      </c>
      <c r="BN139" s="17">
        <f>IF(AN139=1,AC139&amp;"","")</f>
        <v/>
      </c>
      <c r="BO139" s="17">
        <f>IF(AN139=1,AD139&amp;"","")</f>
        <v/>
      </c>
      <c r="BP139" s="17">
        <f>IF(AND(AN139=1,ISNUMBER(AI139),G139&lt;=Config!$B$5),AI139,"")</f>
        <v/>
      </c>
      <c r="BQ139" s="17">
        <f>IF(AN139=1,IF(COUNTIFS($A$2:$A$201,$A139,$AF$2:$AF$201,"Y",$AN$2:$AN$201,1)&gt;0,"Y","N"),"")</f>
        <v/>
      </c>
      <c r="BR139" s="17">
        <f>IF(AND(AN139=1,AF139="Y"),IF(COUNTIFS($A$2:$A$201,$A139,$AF$2:$AF$201,"Y",$AN$2:$AN$201,1,$G$2:$G$201,"&lt;"&amp;G139)+COUNTIFS($A$2:$A$201,$A139,$AF$2:$AF$201,"Y",$AN$2:$AN$201,1,$G$2:$G$201,G139,$AM$2:$AM$201,"&lt;"&amp;AM139)=0,1,0),0)</f>
        <v/>
      </c>
      <c r="BS139" s="17">
        <f>IF(AN139=1,IFERROR(MATCH($A139,INDEX(Clay_Brands!$A$2:$FZ$601,0,Sync!$D$5),0),""),"")</f>
        <v/>
      </c>
      <c r="BT139" s="17">
        <f>IF(BS139="","",IFERROR(INDEX(Clay_Brands!$A$2:$FZ$601,BS139,Sync!$D$7)&amp;"",""))</f>
        <v/>
      </c>
      <c r="BU139" s="17">
        <f>IF(BT139="","",IFERROR(INDEX(Lists!$J$2:$J$15,MATCH(BT139,Lists!$I$2:$I$15,0)),""))</f>
        <v/>
      </c>
      <c r="BV139" s="17">
        <f>IF(BS139="","",IFERROR(INDEX(Clay_Brands!$A$2:$FZ$601,BS139,Sync!$D$17)&amp;"",""))</f>
        <v/>
      </c>
      <c r="BW139" s="23">
        <f>IF(BS139="","",IFERROR(N(INDEX(Clay_Brands!$A$2:$FZ$601,BS139,Sync!$D$16)),0))</f>
        <v/>
      </c>
    </row>
    <row r="140">
      <c r="G140" s="22" t="n"/>
      <c r="AL140" s="17">
        <f>IF(TRIM($A140)="","",IF(AND(LEFT($A140,6)="SAMPLE",Config!$B$19&lt;&gt;"Y"),"",IF(NOT(ISNUMBER(G140)),"call_date is blank or not a date",IF(Sync!$D$5="","Clay paste is empty or has no row_id column: paste the Clay export on Clay_Brands",IF(BS140="","row_id not found in the Clay paste: add the Clay row or fix the row_id",IF(AND(ISNUMBER(BU140),BU140&gt;=1,BU140&lt;=5),"Clay status is "&amp;BT140&amp;": set call_done or later",IF(AND(AP140=1,BV140&lt;&gt;BQ140),"Clay yes_in_principle should be "&amp;BQ140,IF(AND(AP140=1,BW140&lt;&gt;G140),"Clay call_date should be "&amp;TEXT(G140,"yyyy-mm-dd"),""))))))))</f>
        <v/>
      </c>
      <c r="AM140" s="17">
        <f>ROW()</f>
        <v/>
      </c>
      <c r="AN140" s="17">
        <f>IF(AND(TRIM($A140)&lt;&gt;"",ISNUMBER(G140)),IF(AND(LEFT($A140,6)="SAMPLE",Config!$B$19&lt;&gt;"Y"),0,1),0)</f>
        <v/>
      </c>
      <c r="AO140" s="17">
        <f>IF(AN140=1,IF(COUNTIFS($A$2:$A$201,$A140,$AN$2:$AN$201,1,$G$2:$G$201,"&lt;"&amp;G140)+COUNTIFS($A$2:$A$201,$A140,$AN$2:$AN$201,1,$G$2:$G$201,G140,$AM$2:$AM$201,"&lt;"&amp;AM140)=0,1,0),0)</f>
        <v/>
      </c>
      <c r="AP140" s="17">
        <f>IF(AN140=1,IF(COUNTIFS($A$2:$A$201,$A140,$AN$2:$AN$201,1,$G$2:$G$201,"&gt;"&amp;G140)+COUNTIFS($A$2:$A$201,$A140,$AN$2:$AN$201,1,$G$2:$G$201,G140,$AM$2:$AM$201,"&gt;"&amp;AM140)=0,1,0),0)</f>
        <v/>
      </c>
      <c r="AQ140" s="17">
        <f>IF(AND(AN140=1,N140="Y",MAX(N(R140),N(V140))&gt;=Config!$B$14),1,0)</f>
        <v/>
      </c>
      <c r="AR140" s="17">
        <f>IF(AQ140=1,IF(COUNTIFS($A$2:$A$201,$A140,$AQ$2:$AQ$201,1,$G$2:$G$201,"&lt;"&amp;G140)+COUNTIFS($A$2:$A$201,$A140,$AQ$2:$AQ$201,1,$G$2:$G$201,G140,$AM$2:$AM$201,"&lt;"&amp;AM140)=0,1,0),0)</f>
        <v/>
      </c>
      <c r="AS140" s="17">
        <f>IF(AND(AN140=1,N140="Y",ISNUMBER(R140)),IF(R140&gt;=Config!$B$14,1,0),0)</f>
        <v/>
      </c>
      <c r="AT140" s="17">
        <f>IF(AS140=1,IF(COUNTIFS($A$2:$A$201,$A140,$AS$2:$AS$201,1,$G$2:$G$201,"&lt;"&amp;G140)+COUNTIFS($A$2:$A$201,$A140,$AS$2:$AS$201,1,$G$2:$G$201,G140,$AM$2:$AM$201,"&lt;"&amp;AM140)=0,1,0),0)</f>
        <v/>
      </c>
      <c r="AU140" s="17">
        <f>IF(AND(AN140=1,N140&lt;&gt;"Y",MAX(N(R140),N(V140))&gt;=Config!$B$14),1,0)</f>
        <v/>
      </c>
      <c r="AV140" s="17">
        <f>IF(AU140=1,IF(COUNTIFS($A$2:$A$201,$A140,$AU$2:$AU$201,1,$G$2:$G$201,"&lt;"&amp;G140)+COUNTIFS($A$2:$A$201,$A140,$AU$2:$AU$201,1,$G$2:$G$201,G140,$AM$2:$AM$201,"&lt;"&amp;AM140)=0,1,0),0)</f>
        <v/>
      </c>
      <c r="AW140" s="17">
        <f>IF(AND(AN140=1,ISNUMBER(R140)),1,0)</f>
        <v/>
      </c>
      <c r="AX140" s="17">
        <f>IF(AW140=1,IF(COUNTIFS($A$2:$A$201,$A140,$AW$2:$AW$201,1,$G$2:$G$201,"&lt;"&amp;G140)+COUNTIFS($A$2:$A$201,$A140,$AW$2:$AW$201,1,$G$2:$G$201,G140,$AM$2:$AM$201,"&lt;"&amp;AM140)=0,1,0),0)</f>
        <v/>
      </c>
      <c r="AY140" s="17">
        <f>IF(AND(AX140=1,G140&lt;=Config!$B$6),R140,"")</f>
        <v/>
      </c>
      <c r="AZ140" s="17">
        <f>IF(AND(AX140=1,G140&lt;=Config!$B$7),R140,"")</f>
        <v/>
      </c>
      <c r="BA140" s="17">
        <f>IF(AND(AX140=1,G140&lt;=Config!$B$8),R140,"")</f>
        <v/>
      </c>
      <c r="BB140" s="17">
        <f>IF(AND(AX140=1,G140&lt;=Config!$B$5),R140,"")</f>
        <v/>
      </c>
      <c r="BC140" s="17">
        <f>IF(AND(AN140=1,ISNUMBER(V140)),1,0)</f>
        <v/>
      </c>
      <c r="BD140" s="17">
        <f>IF(BC140=1,IF(COUNTIFS($A$2:$A$201,$A140,$BC$2:$BC$201,1,$G$2:$G$201,"&lt;"&amp;G140)+COUNTIFS($A$2:$A$201,$A140,$BC$2:$BC$201,1,$G$2:$G$201,G140,$AM$2:$AM$201,"&lt;"&amp;AM140)=0,1,0),0)</f>
        <v/>
      </c>
      <c r="BE140" s="17">
        <f>IF(AND(BD140=1,G140&lt;=Config!$B$6),V140,"")</f>
        <v/>
      </c>
      <c r="BF140" s="17">
        <f>IF(AND(BD140=1,G140&lt;=Config!$B$7),V140,"")</f>
        <v/>
      </c>
      <c r="BG140" s="17">
        <f>IF(AND(BD140=1,G140&lt;=Config!$B$8),V140,"")</f>
        <v/>
      </c>
      <c r="BH140" s="17">
        <f>IF(AND(BD140=1,G140&lt;=Config!$B$5),V140,"")</f>
        <v/>
      </c>
      <c r="BI140" s="17">
        <f>IF(AND(AN140=1,ISNUMBER(J140)),1,0)</f>
        <v/>
      </c>
      <c r="BJ140" s="17">
        <f>IF(BI140=1,IF(COUNTIFS($A$2:$A$201,$A140,$BI$2:$BI$201,1,$G$2:$G$201,"&lt;"&amp;G140)+COUNTIFS($A$2:$A$201,$A140,$BI$2:$BI$201,1,$G$2:$G$201,G140,$AM$2:$AM$201,"&lt;"&amp;AM140)=0,1,0),0)</f>
        <v/>
      </c>
      <c r="BK140" s="17">
        <f>IF(AND(BJ140=1,G140&lt;=Config!$B$5),J140,"")</f>
        <v/>
      </c>
      <c r="BL140" s="17">
        <f>IF(AND(AN140=1,OR(AND(ISNUMBER(R140),TRIM(S140)=""),AND(ISNUMBER(V140),TRIM(W140)=""))),1,0)</f>
        <v/>
      </c>
      <c r="BM140" s="17">
        <f>IF(AN140=1,AB140&amp;"","")</f>
        <v/>
      </c>
      <c r="BN140" s="17">
        <f>IF(AN140=1,AC140&amp;"","")</f>
        <v/>
      </c>
      <c r="BO140" s="17">
        <f>IF(AN140=1,AD140&amp;"","")</f>
        <v/>
      </c>
      <c r="BP140" s="17">
        <f>IF(AND(AN140=1,ISNUMBER(AI140),G140&lt;=Config!$B$5),AI140,"")</f>
        <v/>
      </c>
      <c r="BQ140" s="17">
        <f>IF(AN140=1,IF(COUNTIFS($A$2:$A$201,$A140,$AF$2:$AF$201,"Y",$AN$2:$AN$201,1)&gt;0,"Y","N"),"")</f>
        <v/>
      </c>
      <c r="BR140" s="17">
        <f>IF(AND(AN140=1,AF140="Y"),IF(COUNTIFS($A$2:$A$201,$A140,$AF$2:$AF$201,"Y",$AN$2:$AN$201,1,$G$2:$G$201,"&lt;"&amp;G140)+COUNTIFS($A$2:$A$201,$A140,$AF$2:$AF$201,"Y",$AN$2:$AN$201,1,$G$2:$G$201,G140,$AM$2:$AM$201,"&lt;"&amp;AM140)=0,1,0),0)</f>
        <v/>
      </c>
      <c r="BS140" s="17">
        <f>IF(AN140=1,IFERROR(MATCH($A140,INDEX(Clay_Brands!$A$2:$FZ$601,0,Sync!$D$5),0),""),"")</f>
        <v/>
      </c>
      <c r="BT140" s="17">
        <f>IF(BS140="","",IFERROR(INDEX(Clay_Brands!$A$2:$FZ$601,BS140,Sync!$D$7)&amp;"",""))</f>
        <v/>
      </c>
      <c r="BU140" s="17">
        <f>IF(BT140="","",IFERROR(INDEX(Lists!$J$2:$J$15,MATCH(BT140,Lists!$I$2:$I$15,0)),""))</f>
        <v/>
      </c>
      <c r="BV140" s="17">
        <f>IF(BS140="","",IFERROR(INDEX(Clay_Brands!$A$2:$FZ$601,BS140,Sync!$D$17)&amp;"",""))</f>
        <v/>
      </c>
      <c r="BW140" s="23">
        <f>IF(BS140="","",IFERROR(N(INDEX(Clay_Brands!$A$2:$FZ$601,BS140,Sync!$D$16)),0))</f>
        <v/>
      </c>
    </row>
    <row r="141">
      <c r="G141" s="22" t="n"/>
      <c r="AL141" s="17">
        <f>IF(TRIM($A141)="","",IF(AND(LEFT($A141,6)="SAMPLE",Config!$B$19&lt;&gt;"Y"),"",IF(NOT(ISNUMBER(G141)),"call_date is blank or not a date",IF(Sync!$D$5="","Clay paste is empty or has no row_id column: paste the Clay export on Clay_Brands",IF(BS141="","row_id not found in the Clay paste: add the Clay row or fix the row_id",IF(AND(ISNUMBER(BU141),BU141&gt;=1,BU141&lt;=5),"Clay status is "&amp;BT141&amp;": set call_done or later",IF(AND(AP141=1,BV141&lt;&gt;BQ141),"Clay yes_in_principle should be "&amp;BQ141,IF(AND(AP141=1,BW141&lt;&gt;G141),"Clay call_date should be "&amp;TEXT(G141,"yyyy-mm-dd"),""))))))))</f>
        <v/>
      </c>
      <c r="AM141" s="17">
        <f>ROW()</f>
        <v/>
      </c>
      <c r="AN141" s="17">
        <f>IF(AND(TRIM($A141)&lt;&gt;"",ISNUMBER(G141)),IF(AND(LEFT($A141,6)="SAMPLE",Config!$B$19&lt;&gt;"Y"),0,1),0)</f>
        <v/>
      </c>
      <c r="AO141" s="17">
        <f>IF(AN141=1,IF(COUNTIFS($A$2:$A$201,$A141,$AN$2:$AN$201,1,$G$2:$G$201,"&lt;"&amp;G141)+COUNTIFS($A$2:$A$201,$A141,$AN$2:$AN$201,1,$G$2:$G$201,G141,$AM$2:$AM$201,"&lt;"&amp;AM141)=0,1,0),0)</f>
        <v/>
      </c>
      <c r="AP141" s="17">
        <f>IF(AN141=1,IF(COUNTIFS($A$2:$A$201,$A141,$AN$2:$AN$201,1,$G$2:$G$201,"&gt;"&amp;G141)+COUNTIFS($A$2:$A$201,$A141,$AN$2:$AN$201,1,$G$2:$G$201,G141,$AM$2:$AM$201,"&gt;"&amp;AM141)=0,1,0),0)</f>
        <v/>
      </c>
      <c r="AQ141" s="17">
        <f>IF(AND(AN141=1,N141="Y",MAX(N(R141),N(V141))&gt;=Config!$B$14),1,0)</f>
        <v/>
      </c>
      <c r="AR141" s="17">
        <f>IF(AQ141=1,IF(COUNTIFS($A$2:$A$201,$A141,$AQ$2:$AQ$201,1,$G$2:$G$201,"&lt;"&amp;G141)+COUNTIFS($A$2:$A$201,$A141,$AQ$2:$AQ$201,1,$G$2:$G$201,G141,$AM$2:$AM$201,"&lt;"&amp;AM141)=0,1,0),0)</f>
        <v/>
      </c>
      <c r="AS141" s="17">
        <f>IF(AND(AN141=1,N141="Y",ISNUMBER(R141)),IF(R141&gt;=Config!$B$14,1,0),0)</f>
        <v/>
      </c>
      <c r="AT141" s="17">
        <f>IF(AS141=1,IF(COUNTIFS($A$2:$A$201,$A141,$AS$2:$AS$201,1,$G$2:$G$201,"&lt;"&amp;G141)+COUNTIFS($A$2:$A$201,$A141,$AS$2:$AS$201,1,$G$2:$G$201,G141,$AM$2:$AM$201,"&lt;"&amp;AM141)=0,1,0),0)</f>
        <v/>
      </c>
      <c r="AU141" s="17">
        <f>IF(AND(AN141=1,N141&lt;&gt;"Y",MAX(N(R141),N(V141))&gt;=Config!$B$14),1,0)</f>
        <v/>
      </c>
      <c r="AV141" s="17">
        <f>IF(AU141=1,IF(COUNTIFS($A$2:$A$201,$A141,$AU$2:$AU$201,1,$G$2:$G$201,"&lt;"&amp;G141)+COUNTIFS($A$2:$A$201,$A141,$AU$2:$AU$201,1,$G$2:$G$201,G141,$AM$2:$AM$201,"&lt;"&amp;AM141)=0,1,0),0)</f>
        <v/>
      </c>
      <c r="AW141" s="17">
        <f>IF(AND(AN141=1,ISNUMBER(R141)),1,0)</f>
        <v/>
      </c>
      <c r="AX141" s="17">
        <f>IF(AW141=1,IF(COUNTIFS($A$2:$A$201,$A141,$AW$2:$AW$201,1,$G$2:$G$201,"&lt;"&amp;G141)+COUNTIFS($A$2:$A$201,$A141,$AW$2:$AW$201,1,$G$2:$G$201,G141,$AM$2:$AM$201,"&lt;"&amp;AM141)=0,1,0),0)</f>
        <v/>
      </c>
      <c r="AY141" s="17">
        <f>IF(AND(AX141=1,G141&lt;=Config!$B$6),R141,"")</f>
        <v/>
      </c>
      <c r="AZ141" s="17">
        <f>IF(AND(AX141=1,G141&lt;=Config!$B$7),R141,"")</f>
        <v/>
      </c>
      <c r="BA141" s="17">
        <f>IF(AND(AX141=1,G141&lt;=Config!$B$8),R141,"")</f>
        <v/>
      </c>
      <c r="BB141" s="17">
        <f>IF(AND(AX141=1,G141&lt;=Config!$B$5),R141,"")</f>
        <v/>
      </c>
      <c r="BC141" s="17">
        <f>IF(AND(AN141=1,ISNUMBER(V141)),1,0)</f>
        <v/>
      </c>
      <c r="BD141" s="17">
        <f>IF(BC141=1,IF(COUNTIFS($A$2:$A$201,$A141,$BC$2:$BC$201,1,$G$2:$G$201,"&lt;"&amp;G141)+COUNTIFS($A$2:$A$201,$A141,$BC$2:$BC$201,1,$G$2:$G$201,G141,$AM$2:$AM$201,"&lt;"&amp;AM141)=0,1,0),0)</f>
        <v/>
      </c>
      <c r="BE141" s="17">
        <f>IF(AND(BD141=1,G141&lt;=Config!$B$6),V141,"")</f>
        <v/>
      </c>
      <c r="BF141" s="17">
        <f>IF(AND(BD141=1,G141&lt;=Config!$B$7),V141,"")</f>
        <v/>
      </c>
      <c r="BG141" s="17">
        <f>IF(AND(BD141=1,G141&lt;=Config!$B$8),V141,"")</f>
        <v/>
      </c>
      <c r="BH141" s="17">
        <f>IF(AND(BD141=1,G141&lt;=Config!$B$5),V141,"")</f>
        <v/>
      </c>
      <c r="BI141" s="17">
        <f>IF(AND(AN141=1,ISNUMBER(J141)),1,0)</f>
        <v/>
      </c>
      <c r="BJ141" s="17">
        <f>IF(BI141=1,IF(COUNTIFS($A$2:$A$201,$A141,$BI$2:$BI$201,1,$G$2:$G$201,"&lt;"&amp;G141)+COUNTIFS($A$2:$A$201,$A141,$BI$2:$BI$201,1,$G$2:$G$201,G141,$AM$2:$AM$201,"&lt;"&amp;AM141)=0,1,0),0)</f>
        <v/>
      </c>
      <c r="BK141" s="17">
        <f>IF(AND(BJ141=1,G141&lt;=Config!$B$5),J141,"")</f>
        <v/>
      </c>
      <c r="BL141" s="17">
        <f>IF(AND(AN141=1,OR(AND(ISNUMBER(R141),TRIM(S141)=""),AND(ISNUMBER(V141),TRIM(W141)=""))),1,0)</f>
        <v/>
      </c>
      <c r="BM141" s="17">
        <f>IF(AN141=1,AB141&amp;"","")</f>
        <v/>
      </c>
      <c r="BN141" s="17">
        <f>IF(AN141=1,AC141&amp;"","")</f>
        <v/>
      </c>
      <c r="BO141" s="17">
        <f>IF(AN141=1,AD141&amp;"","")</f>
        <v/>
      </c>
      <c r="BP141" s="17">
        <f>IF(AND(AN141=1,ISNUMBER(AI141),G141&lt;=Config!$B$5),AI141,"")</f>
        <v/>
      </c>
      <c r="BQ141" s="17">
        <f>IF(AN141=1,IF(COUNTIFS($A$2:$A$201,$A141,$AF$2:$AF$201,"Y",$AN$2:$AN$201,1)&gt;0,"Y","N"),"")</f>
        <v/>
      </c>
      <c r="BR141" s="17">
        <f>IF(AND(AN141=1,AF141="Y"),IF(COUNTIFS($A$2:$A$201,$A141,$AF$2:$AF$201,"Y",$AN$2:$AN$201,1,$G$2:$G$201,"&lt;"&amp;G141)+COUNTIFS($A$2:$A$201,$A141,$AF$2:$AF$201,"Y",$AN$2:$AN$201,1,$G$2:$G$201,G141,$AM$2:$AM$201,"&lt;"&amp;AM141)=0,1,0),0)</f>
        <v/>
      </c>
      <c r="BS141" s="17">
        <f>IF(AN141=1,IFERROR(MATCH($A141,INDEX(Clay_Brands!$A$2:$FZ$601,0,Sync!$D$5),0),""),"")</f>
        <v/>
      </c>
      <c r="BT141" s="17">
        <f>IF(BS141="","",IFERROR(INDEX(Clay_Brands!$A$2:$FZ$601,BS141,Sync!$D$7)&amp;"",""))</f>
        <v/>
      </c>
      <c r="BU141" s="17">
        <f>IF(BT141="","",IFERROR(INDEX(Lists!$J$2:$J$15,MATCH(BT141,Lists!$I$2:$I$15,0)),""))</f>
        <v/>
      </c>
      <c r="BV141" s="17">
        <f>IF(BS141="","",IFERROR(INDEX(Clay_Brands!$A$2:$FZ$601,BS141,Sync!$D$17)&amp;"",""))</f>
        <v/>
      </c>
      <c r="BW141" s="23">
        <f>IF(BS141="","",IFERROR(N(INDEX(Clay_Brands!$A$2:$FZ$601,BS141,Sync!$D$16)),0))</f>
        <v/>
      </c>
    </row>
    <row r="142">
      <c r="G142" s="22" t="n"/>
      <c r="AL142" s="17">
        <f>IF(TRIM($A142)="","",IF(AND(LEFT($A142,6)="SAMPLE",Config!$B$19&lt;&gt;"Y"),"",IF(NOT(ISNUMBER(G142)),"call_date is blank or not a date",IF(Sync!$D$5="","Clay paste is empty or has no row_id column: paste the Clay export on Clay_Brands",IF(BS142="","row_id not found in the Clay paste: add the Clay row or fix the row_id",IF(AND(ISNUMBER(BU142),BU142&gt;=1,BU142&lt;=5),"Clay status is "&amp;BT142&amp;": set call_done or later",IF(AND(AP142=1,BV142&lt;&gt;BQ142),"Clay yes_in_principle should be "&amp;BQ142,IF(AND(AP142=1,BW142&lt;&gt;G142),"Clay call_date should be "&amp;TEXT(G142,"yyyy-mm-dd"),""))))))))</f>
        <v/>
      </c>
      <c r="AM142" s="17">
        <f>ROW()</f>
        <v/>
      </c>
      <c r="AN142" s="17">
        <f>IF(AND(TRIM($A142)&lt;&gt;"",ISNUMBER(G142)),IF(AND(LEFT($A142,6)="SAMPLE",Config!$B$19&lt;&gt;"Y"),0,1),0)</f>
        <v/>
      </c>
      <c r="AO142" s="17">
        <f>IF(AN142=1,IF(COUNTIFS($A$2:$A$201,$A142,$AN$2:$AN$201,1,$G$2:$G$201,"&lt;"&amp;G142)+COUNTIFS($A$2:$A$201,$A142,$AN$2:$AN$201,1,$G$2:$G$201,G142,$AM$2:$AM$201,"&lt;"&amp;AM142)=0,1,0),0)</f>
        <v/>
      </c>
      <c r="AP142" s="17">
        <f>IF(AN142=1,IF(COUNTIFS($A$2:$A$201,$A142,$AN$2:$AN$201,1,$G$2:$G$201,"&gt;"&amp;G142)+COUNTIFS($A$2:$A$201,$A142,$AN$2:$AN$201,1,$G$2:$G$201,G142,$AM$2:$AM$201,"&gt;"&amp;AM142)=0,1,0),0)</f>
        <v/>
      </c>
      <c r="AQ142" s="17">
        <f>IF(AND(AN142=1,N142="Y",MAX(N(R142),N(V142))&gt;=Config!$B$14),1,0)</f>
        <v/>
      </c>
      <c r="AR142" s="17">
        <f>IF(AQ142=1,IF(COUNTIFS($A$2:$A$201,$A142,$AQ$2:$AQ$201,1,$G$2:$G$201,"&lt;"&amp;G142)+COUNTIFS($A$2:$A$201,$A142,$AQ$2:$AQ$201,1,$G$2:$G$201,G142,$AM$2:$AM$201,"&lt;"&amp;AM142)=0,1,0),0)</f>
        <v/>
      </c>
      <c r="AS142" s="17">
        <f>IF(AND(AN142=1,N142="Y",ISNUMBER(R142)),IF(R142&gt;=Config!$B$14,1,0),0)</f>
        <v/>
      </c>
      <c r="AT142" s="17">
        <f>IF(AS142=1,IF(COUNTIFS($A$2:$A$201,$A142,$AS$2:$AS$201,1,$G$2:$G$201,"&lt;"&amp;G142)+COUNTIFS($A$2:$A$201,$A142,$AS$2:$AS$201,1,$G$2:$G$201,G142,$AM$2:$AM$201,"&lt;"&amp;AM142)=0,1,0),0)</f>
        <v/>
      </c>
      <c r="AU142" s="17">
        <f>IF(AND(AN142=1,N142&lt;&gt;"Y",MAX(N(R142),N(V142))&gt;=Config!$B$14),1,0)</f>
        <v/>
      </c>
      <c r="AV142" s="17">
        <f>IF(AU142=1,IF(COUNTIFS($A$2:$A$201,$A142,$AU$2:$AU$201,1,$G$2:$G$201,"&lt;"&amp;G142)+COUNTIFS($A$2:$A$201,$A142,$AU$2:$AU$201,1,$G$2:$G$201,G142,$AM$2:$AM$201,"&lt;"&amp;AM142)=0,1,0),0)</f>
        <v/>
      </c>
      <c r="AW142" s="17">
        <f>IF(AND(AN142=1,ISNUMBER(R142)),1,0)</f>
        <v/>
      </c>
      <c r="AX142" s="17">
        <f>IF(AW142=1,IF(COUNTIFS($A$2:$A$201,$A142,$AW$2:$AW$201,1,$G$2:$G$201,"&lt;"&amp;G142)+COUNTIFS($A$2:$A$201,$A142,$AW$2:$AW$201,1,$G$2:$G$201,G142,$AM$2:$AM$201,"&lt;"&amp;AM142)=0,1,0),0)</f>
        <v/>
      </c>
      <c r="AY142" s="17">
        <f>IF(AND(AX142=1,G142&lt;=Config!$B$6),R142,"")</f>
        <v/>
      </c>
      <c r="AZ142" s="17">
        <f>IF(AND(AX142=1,G142&lt;=Config!$B$7),R142,"")</f>
        <v/>
      </c>
      <c r="BA142" s="17">
        <f>IF(AND(AX142=1,G142&lt;=Config!$B$8),R142,"")</f>
        <v/>
      </c>
      <c r="BB142" s="17">
        <f>IF(AND(AX142=1,G142&lt;=Config!$B$5),R142,"")</f>
        <v/>
      </c>
      <c r="BC142" s="17">
        <f>IF(AND(AN142=1,ISNUMBER(V142)),1,0)</f>
        <v/>
      </c>
      <c r="BD142" s="17">
        <f>IF(BC142=1,IF(COUNTIFS($A$2:$A$201,$A142,$BC$2:$BC$201,1,$G$2:$G$201,"&lt;"&amp;G142)+COUNTIFS($A$2:$A$201,$A142,$BC$2:$BC$201,1,$G$2:$G$201,G142,$AM$2:$AM$201,"&lt;"&amp;AM142)=0,1,0),0)</f>
        <v/>
      </c>
      <c r="BE142" s="17">
        <f>IF(AND(BD142=1,G142&lt;=Config!$B$6),V142,"")</f>
        <v/>
      </c>
      <c r="BF142" s="17">
        <f>IF(AND(BD142=1,G142&lt;=Config!$B$7),V142,"")</f>
        <v/>
      </c>
      <c r="BG142" s="17">
        <f>IF(AND(BD142=1,G142&lt;=Config!$B$8),V142,"")</f>
        <v/>
      </c>
      <c r="BH142" s="17">
        <f>IF(AND(BD142=1,G142&lt;=Config!$B$5),V142,"")</f>
        <v/>
      </c>
      <c r="BI142" s="17">
        <f>IF(AND(AN142=1,ISNUMBER(J142)),1,0)</f>
        <v/>
      </c>
      <c r="BJ142" s="17">
        <f>IF(BI142=1,IF(COUNTIFS($A$2:$A$201,$A142,$BI$2:$BI$201,1,$G$2:$G$201,"&lt;"&amp;G142)+COUNTIFS($A$2:$A$201,$A142,$BI$2:$BI$201,1,$G$2:$G$201,G142,$AM$2:$AM$201,"&lt;"&amp;AM142)=0,1,0),0)</f>
        <v/>
      </c>
      <c r="BK142" s="17">
        <f>IF(AND(BJ142=1,G142&lt;=Config!$B$5),J142,"")</f>
        <v/>
      </c>
      <c r="BL142" s="17">
        <f>IF(AND(AN142=1,OR(AND(ISNUMBER(R142),TRIM(S142)=""),AND(ISNUMBER(V142),TRIM(W142)=""))),1,0)</f>
        <v/>
      </c>
      <c r="BM142" s="17">
        <f>IF(AN142=1,AB142&amp;"","")</f>
        <v/>
      </c>
      <c r="BN142" s="17">
        <f>IF(AN142=1,AC142&amp;"","")</f>
        <v/>
      </c>
      <c r="BO142" s="17">
        <f>IF(AN142=1,AD142&amp;"","")</f>
        <v/>
      </c>
      <c r="BP142" s="17">
        <f>IF(AND(AN142=1,ISNUMBER(AI142),G142&lt;=Config!$B$5),AI142,"")</f>
        <v/>
      </c>
      <c r="BQ142" s="17">
        <f>IF(AN142=1,IF(COUNTIFS($A$2:$A$201,$A142,$AF$2:$AF$201,"Y",$AN$2:$AN$201,1)&gt;0,"Y","N"),"")</f>
        <v/>
      </c>
      <c r="BR142" s="17">
        <f>IF(AND(AN142=1,AF142="Y"),IF(COUNTIFS($A$2:$A$201,$A142,$AF$2:$AF$201,"Y",$AN$2:$AN$201,1,$G$2:$G$201,"&lt;"&amp;G142)+COUNTIFS($A$2:$A$201,$A142,$AF$2:$AF$201,"Y",$AN$2:$AN$201,1,$G$2:$G$201,G142,$AM$2:$AM$201,"&lt;"&amp;AM142)=0,1,0),0)</f>
        <v/>
      </c>
      <c r="BS142" s="17">
        <f>IF(AN142=1,IFERROR(MATCH($A142,INDEX(Clay_Brands!$A$2:$FZ$601,0,Sync!$D$5),0),""),"")</f>
        <v/>
      </c>
      <c r="BT142" s="17">
        <f>IF(BS142="","",IFERROR(INDEX(Clay_Brands!$A$2:$FZ$601,BS142,Sync!$D$7)&amp;"",""))</f>
        <v/>
      </c>
      <c r="BU142" s="17">
        <f>IF(BT142="","",IFERROR(INDEX(Lists!$J$2:$J$15,MATCH(BT142,Lists!$I$2:$I$15,0)),""))</f>
        <v/>
      </c>
      <c r="BV142" s="17">
        <f>IF(BS142="","",IFERROR(INDEX(Clay_Brands!$A$2:$FZ$601,BS142,Sync!$D$17)&amp;"",""))</f>
        <v/>
      </c>
      <c r="BW142" s="23">
        <f>IF(BS142="","",IFERROR(N(INDEX(Clay_Brands!$A$2:$FZ$601,BS142,Sync!$D$16)),0))</f>
        <v/>
      </c>
    </row>
    <row r="143">
      <c r="G143" s="22" t="n"/>
      <c r="AL143" s="17">
        <f>IF(TRIM($A143)="","",IF(AND(LEFT($A143,6)="SAMPLE",Config!$B$19&lt;&gt;"Y"),"",IF(NOT(ISNUMBER(G143)),"call_date is blank or not a date",IF(Sync!$D$5="","Clay paste is empty or has no row_id column: paste the Clay export on Clay_Brands",IF(BS143="","row_id not found in the Clay paste: add the Clay row or fix the row_id",IF(AND(ISNUMBER(BU143),BU143&gt;=1,BU143&lt;=5),"Clay status is "&amp;BT143&amp;": set call_done or later",IF(AND(AP143=1,BV143&lt;&gt;BQ143),"Clay yes_in_principle should be "&amp;BQ143,IF(AND(AP143=1,BW143&lt;&gt;G143),"Clay call_date should be "&amp;TEXT(G143,"yyyy-mm-dd"),""))))))))</f>
        <v/>
      </c>
      <c r="AM143" s="17">
        <f>ROW()</f>
        <v/>
      </c>
      <c r="AN143" s="17">
        <f>IF(AND(TRIM($A143)&lt;&gt;"",ISNUMBER(G143)),IF(AND(LEFT($A143,6)="SAMPLE",Config!$B$19&lt;&gt;"Y"),0,1),0)</f>
        <v/>
      </c>
      <c r="AO143" s="17">
        <f>IF(AN143=1,IF(COUNTIFS($A$2:$A$201,$A143,$AN$2:$AN$201,1,$G$2:$G$201,"&lt;"&amp;G143)+COUNTIFS($A$2:$A$201,$A143,$AN$2:$AN$201,1,$G$2:$G$201,G143,$AM$2:$AM$201,"&lt;"&amp;AM143)=0,1,0),0)</f>
        <v/>
      </c>
      <c r="AP143" s="17">
        <f>IF(AN143=1,IF(COUNTIFS($A$2:$A$201,$A143,$AN$2:$AN$201,1,$G$2:$G$201,"&gt;"&amp;G143)+COUNTIFS($A$2:$A$201,$A143,$AN$2:$AN$201,1,$G$2:$G$201,G143,$AM$2:$AM$201,"&gt;"&amp;AM143)=0,1,0),0)</f>
        <v/>
      </c>
      <c r="AQ143" s="17">
        <f>IF(AND(AN143=1,N143="Y",MAX(N(R143),N(V143))&gt;=Config!$B$14),1,0)</f>
        <v/>
      </c>
      <c r="AR143" s="17">
        <f>IF(AQ143=1,IF(COUNTIFS($A$2:$A$201,$A143,$AQ$2:$AQ$201,1,$G$2:$G$201,"&lt;"&amp;G143)+COUNTIFS($A$2:$A$201,$A143,$AQ$2:$AQ$201,1,$G$2:$G$201,G143,$AM$2:$AM$201,"&lt;"&amp;AM143)=0,1,0),0)</f>
        <v/>
      </c>
      <c r="AS143" s="17">
        <f>IF(AND(AN143=1,N143="Y",ISNUMBER(R143)),IF(R143&gt;=Config!$B$14,1,0),0)</f>
        <v/>
      </c>
      <c r="AT143" s="17">
        <f>IF(AS143=1,IF(COUNTIFS($A$2:$A$201,$A143,$AS$2:$AS$201,1,$G$2:$G$201,"&lt;"&amp;G143)+COUNTIFS($A$2:$A$201,$A143,$AS$2:$AS$201,1,$G$2:$G$201,G143,$AM$2:$AM$201,"&lt;"&amp;AM143)=0,1,0),0)</f>
        <v/>
      </c>
      <c r="AU143" s="17">
        <f>IF(AND(AN143=1,N143&lt;&gt;"Y",MAX(N(R143),N(V143))&gt;=Config!$B$14),1,0)</f>
        <v/>
      </c>
      <c r="AV143" s="17">
        <f>IF(AU143=1,IF(COUNTIFS($A$2:$A$201,$A143,$AU$2:$AU$201,1,$G$2:$G$201,"&lt;"&amp;G143)+COUNTIFS($A$2:$A$201,$A143,$AU$2:$AU$201,1,$G$2:$G$201,G143,$AM$2:$AM$201,"&lt;"&amp;AM143)=0,1,0),0)</f>
        <v/>
      </c>
      <c r="AW143" s="17">
        <f>IF(AND(AN143=1,ISNUMBER(R143)),1,0)</f>
        <v/>
      </c>
      <c r="AX143" s="17">
        <f>IF(AW143=1,IF(COUNTIFS($A$2:$A$201,$A143,$AW$2:$AW$201,1,$G$2:$G$201,"&lt;"&amp;G143)+COUNTIFS($A$2:$A$201,$A143,$AW$2:$AW$201,1,$G$2:$G$201,G143,$AM$2:$AM$201,"&lt;"&amp;AM143)=0,1,0),0)</f>
        <v/>
      </c>
      <c r="AY143" s="17">
        <f>IF(AND(AX143=1,G143&lt;=Config!$B$6),R143,"")</f>
        <v/>
      </c>
      <c r="AZ143" s="17">
        <f>IF(AND(AX143=1,G143&lt;=Config!$B$7),R143,"")</f>
        <v/>
      </c>
      <c r="BA143" s="17">
        <f>IF(AND(AX143=1,G143&lt;=Config!$B$8),R143,"")</f>
        <v/>
      </c>
      <c r="BB143" s="17">
        <f>IF(AND(AX143=1,G143&lt;=Config!$B$5),R143,"")</f>
        <v/>
      </c>
      <c r="BC143" s="17">
        <f>IF(AND(AN143=1,ISNUMBER(V143)),1,0)</f>
        <v/>
      </c>
      <c r="BD143" s="17">
        <f>IF(BC143=1,IF(COUNTIFS($A$2:$A$201,$A143,$BC$2:$BC$201,1,$G$2:$G$201,"&lt;"&amp;G143)+COUNTIFS($A$2:$A$201,$A143,$BC$2:$BC$201,1,$G$2:$G$201,G143,$AM$2:$AM$201,"&lt;"&amp;AM143)=0,1,0),0)</f>
        <v/>
      </c>
      <c r="BE143" s="17">
        <f>IF(AND(BD143=1,G143&lt;=Config!$B$6),V143,"")</f>
        <v/>
      </c>
      <c r="BF143" s="17">
        <f>IF(AND(BD143=1,G143&lt;=Config!$B$7),V143,"")</f>
        <v/>
      </c>
      <c r="BG143" s="17">
        <f>IF(AND(BD143=1,G143&lt;=Config!$B$8),V143,"")</f>
        <v/>
      </c>
      <c r="BH143" s="17">
        <f>IF(AND(BD143=1,G143&lt;=Config!$B$5),V143,"")</f>
        <v/>
      </c>
      <c r="BI143" s="17">
        <f>IF(AND(AN143=1,ISNUMBER(J143)),1,0)</f>
        <v/>
      </c>
      <c r="BJ143" s="17">
        <f>IF(BI143=1,IF(COUNTIFS($A$2:$A$201,$A143,$BI$2:$BI$201,1,$G$2:$G$201,"&lt;"&amp;G143)+COUNTIFS($A$2:$A$201,$A143,$BI$2:$BI$201,1,$G$2:$G$201,G143,$AM$2:$AM$201,"&lt;"&amp;AM143)=0,1,0),0)</f>
        <v/>
      </c>
      <c r="BK143" s="17">
        <f>IF(AND(BJ143=1,G143&lt;=Config!$B$5),J143,"")</f>
        <v/>
      </c>
      <c r="BL143" s="17">
        <f>IF(AND(AN143=1,OR(AND(ISNUMBER(R143),TRIM(S143)=""),AND(ISNUMBER(V143),TRIM(W143)=""))),1,0)</f>
        <v/>
      </c>
      <c r="BM143" s="17">
        <f>IF(AN143=1,AB143&amp;"","")</f>
        <v/>
      </c>
      <c r="BN143" s="17">
        <f>IF(AN143=1,AC143&amp;"","")</f>
        <v/>
      </c>
      <c r="BO143" s="17">
        <f>IF(AN143=1,AD143&amp;"","")</f>
        <v/>
      </c>
      <c r="BP143" s="17">
        <f>IF(AND(AN143=1,ISNUMBER(AI143),G143&lt;=Config!$B$5),AI143,"")</f>
        <v/>
      </c>
      <c r="BQ143" s="17">
        <f>IF(AN143=1,IF(COUNTIFS($A$2:$A$201,$A143,$AF$2:$AF$201,"Y",$AN$2:$AN$201,1)&gt;0,"Y","N"),"")</f>
        <v/>
      </c>
      <c r="BR143" s="17">
        <f>IF(AND(AN143=1,AF143="Y"),IF(COUNTIFS($A$2:$A$201,$A143,$AF$2:$AF$201,"Y",$AN$2:$AN$201,1,$G$2:$G$201,"&lt;"&amp;G143)+COUNTIFS($A$2:$A$201,$A143,$AF$2:$AF$201,"Y",$AN$2:$AN$201,1,$G$2:$G$201,G143,$AM$2:$AM$201,"&lt;"&amp;AM143)=0,1,0),0)</f>
        <v/>
      </c>
      <c r="BS143" s="17">
        <f>IF(AN143=1,IFERROR(MATCH($A143,INDEX(Clay_Brands!$A$2:$FZ$601,0,Sync!$D$5),0),""),"")</f>
        <v/>
      </c>
      <c r="BT143" s="17">
        <f>IF(BS143="","",IFERROR(INDEX(Clay_Brands!$A$2:$FZ$601,BS143,Sync!$D$7)&amp;"",""))</f>
        <v/>
      </c>
      <c r="BU143" s="17">
        <f>IF(BT143="","",IFERROR(INDEX(Lists!$J$2:$J$15,MATCH(BT143,Lists!$I$2:$I$15,0)),""))</f>
        <v/>
      </c>
      <c r="BV143" s="17">
        <f>IF(BS143="","",IFERROR(INDEX(Clay_Brands!$A$2:$FZ$601,BS143,Sync!$D$17)&amp;"",""))</f>
        <v/>
      </c>
      <c r="BW143" s="23">
        <f>IF(BS143="","",IFERROR(N(INDEX(Clay_Brands!$A$2:$FZ$601,BS143,Sync!$D$16)),0))</f>
        <v/>
      </c>
    </row>
    <row r="144">
      <c r="G144" s="22" t="n"/>
      <c r="AL144" s="17">
        <f>IF(TRIM($A144)="","",IF(AND(LEFT($A144,6)="SAMPLE",Config!$B$19&lt;&gt;"Y"),"",IF(NOT(ISNUMBER(G144)),"call_date is blank or not a date",IF(Sync!$D$5="","Clay paste is empty or has no row_id column: paste the Clay export on Clay_Brands",IF(BS144="","row_id not found in the Clay paste: add the Clay row or fix the row_id",IF(AND(ISNUMBER(BU144),BU144&gt;=1,BU144&lt;=5),"Clay status is "&amp;BT144&amp;": set call_done or later",IF(AND(AP144=1,BV144&lt;&gt;BQ144),"Clay yes_in_principle should be "&amp;BQ144,IF(AND(AP144=1,BW144&lt;&gt;G144),"Clay call_date should be "&amp;TEXT(G144,"yyyy-mm-dd"),""))))))))</f>
        <v/>
      </c>
      <c r="AM144" s="17">
        <f>ROW()</f>
        <v/>
      </c>
      <c r="AN144" s="17">
        <f>IF(AND(TRIM($A144)&lt;&gt;"",ISNUMBER(G144)),IF(AND(LEFT($A144,6)="SAMPLE",Config!$B$19&lt;&gt;"Y"),0,1),0)</f>
        <v/>
      </c>
      <c r="AO144" s="17">
        <f>IF(AN144=1,IF(COUNTIFS($A$2:$A$201,$A144,$AN$2:$AN$201,1,$G$2:$G$201,"&lt;"&amp;G144)+COUNTIFS($A$2:$A$201,$A144,$AN$2:$AN$201,1,$G$2:$G$201,G144,$AM$2:$AM$201,"&lt;"&amp;AM144)=0,1,0),0)</f>
        <v/>
      </c>
      <c r="AP144" s="17">
        <f>IF(AN144=1,IF(COUNTIFS($A$2:$A$201,$A144,$AN$2:$AN$201,1,$G$2:$G$201,"&gt;"&amp;G144)+COUNTIFS($A$2:$A$201,$A144,$AN$2:$AN$201,1,$G$2:$G$201,G144,$AM$2:$AM$201,"&gt;"&amp;AM144)=0,1,0),0)</f>
        <v/>
      </c>
      <c r="AQ144" s="17">
        <f>IF(AND(AN144=1,N144="Y",MAX(N(R144),N(V144))&gt;=Config!$B$14),1,0)</f>
        <v/>
      </c>
      <c r="AR144" s="17">
        <f>IF(AQ144=1,IF(COUNTIFS($A$2:$A$201,$A144,$AQ$2:$AQ$201,1,$G$2:$G$201,"&lt;"&amp;G144)+COUNTIFS($A$2:$A$201,$A144,$AQ$2:$AQ$201,1,$G$2:$G$201,G144,$AM$2:$AM$201,"&lt;"&amp;AM144)=0,1,0),0)</f>
        <v/>
      </c>
      <c r="AS144" s="17">
        <f>IF(AND(AN144=1,N144="Y",ISNUMBER(R144)),IF(R144&gt;=Config!$B$14,1,0),0)</f>
        <v/>
      </c>
      <c r="AT144" s="17">
        <f>IF(AS144=1,IF(COUNTIFS($A$2:$A$201,$A144,$AS$2:$AS$201,1,$G$2:$G$201,"&lt;"&amp;G144)+COUNTIFS($A$2:$A$201,$A144,$AS$2:$AS$201,1,$G$2:$G$201,G144,$AM$2:$AM$201,"&lt;"&amp;AM144)=0,1,0),0)</f>
        <v/>
      </c>
      <c r="AU144" s="17">
        <f>IF(AND(AN144=1,N144&lt;&gt;"Y",MAX(N(R144),N(V144))&gt;=Config!$B$14),1,0)</f>
        <v/>
      </c>
      <c r="AV144" s="17">
        <f>IF(AU144=1,IF(COUNTIFS($A$2:$A$201,$A144,$AU$2:$AU$201,1,$G$2:$G$201,"&lt;"&amp;G144)+COUNTIFS($A$2:$A$201,$A144,$AU$2:$AU$201,1,$G$2:$G$201,G144,$AM$2:$AM$201,"&lt;"&amp;AM144)=0,1,0),0)</f>
        <v/>
      </c>
      <c r="AW144" s="17">
        <f>IF(AND(AN144=1,ISNUMBER(R144)),1,0)</f>
        <v/>
      </c>
      <c r="AX144" s="17">
        <f>IF(AW144=1,IF(COUNTIFS($A$2:$A$201,$A144,$AW$2:$AW$201,1,$G$2:$G$201,"&lt;"&amp;G144)+COUNTIFS($A$2:$A$201,$A144,$AW$2:$AW$201,1,$G$2:$G$201,G144,$AM$2:$AM$201,"&lt;"&amp;AM144)=0,1,0),0)</f>
        <v/>
      </c>
      <c r="AY144" s="17">
        <f>IF(AND(AX144=1,G144&lt;=Config!$B$6),R144,"")</f>
        <v/>
      </c>
      <c r="AZ144" s="17">
        <f>IF(AND(AX144=1,G144&lt;=Config!$B$7),R144,"")</f>
        <v/>
      </c>
      <c r="BA144" s="17">
        <f>IF(AND(AX144=1,G144&lt;=Config!$B$8),R144,"")</f>
        <v/>
      </c>
      <c r="BB144" s="17">
        <f>IF(AND(AX144=1,G144&lt;=Config!$B$5),R144,"")</f>
        <v/>
      </c>
      <c r="BC144" s="17">
        <f>IF(AND(AN144=1,ISNUMBER(V144)),1,0)</f>
        <v/>
      </c>
      <c r="BD144" s="17">
        <f>IF(BC144=1,IF(COUNTIFS($A$2:$A$201,$A144,$BC$2:$BC$201,1,$G$2:$G$201,"&lt;"&amp;G144)+COUNTIFS($A$2:$A$201,$A144,$BC$2:$BC$201,1,$G$2:$G$201,G144,$AM$2:$AM$201,"&lt;"&amp;AM144)=0,1,0),0)</f>
        <v/>
      </c>
      <c r="BE144" s="17">
        <f>IF(AND(BD144=1,G144&lt;=Config!$B$6),V144,"")</f>
        <v/>
      </c>
      <c r="BF144" s="17">
        <f>IF(AND(BD144=1,G144&lt;=Config!$B$7),V144,"")</f>
        <v/>
      </c>
      <c r="BG144" s="17">
        <f>IF(AND(BD144=1,G144&lt;=Config!$B$8),V144,"")</f>
        <v/>
      </c>
      <c r="BH144" s="17">
        <f>IF(AND(BD144=1,G144&lt;=Config!$B$5),V144,"")</f>
        <v/>
      </c>
      <c r="BI144" s="17">
        <f>IF(AND(AN144=1,ISNUMBER(J144)),1,0)</f>
        <v/>
      </c>
      <c r="BJ144" s="17">
        <f>IF(BI144=1,IF(COUNTIFS($A$2:$A$201,$A144,$BI$2:$BI$201,1,$G$2:$G$201,"&lt;"&amp;G144)+COUNTIFS($A$2:$A$201,$A144,$BI$2:$BI$201,1,$G$2:$G$201,G144,$AM$2:$AM$201,"&lt;"&amp;AM144)=0,1,0),0)</f>
        <v/>
      </c>
      <c r="BK144" s="17">
        <f>IF(AND(BJ144=1,G144&lt;=Config!$B$5),J144,"")</f>
        <v/>
      </c>
      <c r="BL144" s="17">
        <f>IF(AND(AN144=1,OR(AND(ISNUMBER(R144),TRIM(S144)=""),AND(ISNUMBER(V144),TRIM(W144)=""))),1,0)</f>
        <v/>
      </c>
      <c r="BM144" s="17">
        <f>IF(AN144=1,AB144&amp;"","")</f>
        <v/>
      </c>
      <c r="BN144" s="17">
        <f>IF(AN144=1,AC144&amp;"","")</f>
        <v/>
      </c>
      <c r="BO144" s="17">
        <f>IF(AN144=1,AD144&amp;"","")</f>
        <v/>
      </c>
      <c r="BP144" s="17">
        <f>IF(AND(AN144=1,ISNUMBER(AI144),G144&lt;=Config!$B$5),AI144,"")</f>
        <v/>
      </c>
      <c r="BQ144" s="17">
        <f>IF(AN144=1,IF(COUNTIFS($A$2:$A$201,$A144,$AF$2:$AF$201,"Y",$AN$2:$AN$201,1)&gt;0,"Y","N"),"")</f>
        <v/>
      </c>
      <c r="BR144" s="17">
        <f>IF(AND(AN144=1,AF144="Y"),IF(COUNTIFS($A$2:$A$201,$A144,$AF$2:$AF$201,"Y",$AN$2:$AN$201,1,$G$2:$G$201,"&lt;"&amp;G144)+COUNTIFS($A$2:$A$201,$A144,$AF$2:$AF$201,"Y",$AN$2:$AN$201,1,$G$2:$G$201,G144,$AM$2:$AM$201,"&lt;"&amp;AM144)=0,1,0),0)</f>
        <v/>
      </c>
      <c r="BS144" s="17">
        <f>IF(AN144=1,IFERROR(MATCH($A144,INDEX(Clay_Brands!$A$2:$FZ$601,0,Sync!$D$5),0),""),"")</f>
        <v/>
      </c>
      <c r="BT144" s="17">
        <f>IF(BS144="","",IFERROR(INDEX(Clay_Brands!$A$2:$FZ$601,BS144,Sync!$D$7)&amp;"",""))</f>
        <v/>
      </c>
      <c r="BU144" s="17">
        <f>IF(BT144="","",IFERROR(INDEX(Lists!$J$2:$J$15,MATCH(BT144,Lists!$I$2:$I$15,0)),""))</f>
        <v/>
      </c>
      <c r="BV144" s="17">
        <f>IF(BS144="","",IFERROR(INDEX(Clay_Brands!$A$2:$FZ$601,BS144,Sync!$D$17)&amp;"",""))</f>
        <v/>
      </c>
      <c r="BW144" s="23">
        <f>IF(BS144="","",IFERROR(N(INDEX(Clay_Brands!$A$2:$FZ$601,BS144,Sync!$D$16)),0))</f>
        <v/>
      </c>
    </row>
    <row r="145">
      <c r="G145" s="22" t="n"/>
      <c r="AL145" s="17">
        <f>IF(TRIM($A145)="","",IF(AND(LEFT($A145,6)="SAMPLE",Config!$B$19&lt;&gt;"Y"),"",IF(NOT(ISNUMBER(G145)),"call_date is blank or not a date",IF(Sync!$D$5="","Clay paste is empty or has no row_id column: paste the Clay export on Clay_Brands",IF(BS145="","row_id not found in the Clay paste: add the Clay row or fix the row_id",IF(AND(ISNUMBER(BU145),BU145&gt;=1,BU145&lt;=5),"Clay status is "&amp;BT145&amp;": set call_done or later",IF(AND(AP145=1,BV145&lt;&gt;BQ145),"Clay yes_in_principle should be "&amp;BQ145,IF(AND(AP145=1,BW145&lt;&gt;G145),"Clay call_date should be "&amp;TEXT(G145,"yyyy-mm-dd"),""))))))))</f>
        <v/>
      </c>
      <c r="AM145" s="17">
        <f>ROW()</f>
        <v/>
      </c>
      <c r="AN145" s="17">
        <f>IF(AND(TRIM($A145)&lt;&gt;"",ISNUMBER(G145)),IF(AND(LEFT($A145,6)="SAMPLE",Config!$B$19&lt;&gt;"Y"),0,1),0)</f>
        <v/>
      </c>
      <c r="AO145" s="17">
        <f>IF(AN145=1,IF(COUNTIFS($A$2:$A$201,$A145,$AN$2:$AN$201,1,$G$2:$G$201,"&lt;"&amp;G145)+COUNTIFS($A$2:$A$201,$A145,$AN$2:$AN$201,1,$G$2:$G$201,G145,$AM$2:$AM$201,"&lt;"&amp;AM145)=0,1,0),0)</f>
        <v/>
      </c>
      <c r="AP145" s="17">
        <f>IF(AN145=1,IF(COUNTIFS($A$2:$A$201,$A145,$AN$2:$AN$201,1,$G$2:$G$201,"&gt;"&amp;G145)+COUNTIFS($A$2:$A$201,$A145,$AN$2:$AN$201,1,$G$2:$G$201,G145,$AM$2:$AM$201,"&gt;"&amp;AM145)=0,1,0),0)</f>
        <v/>
      </c>
      <c r="AQ145" s="17">
        <f>IF(AND(AN145=1,N145="Y",MAX(N(R145),N(V145))&gt;=Config!$B$14),1,0)</f>
        <v/>
      </c>
      <c r="AR145" s="17">
        <f>IF(AQ145=1,IF(COUNTIFS($A$2:$A$201,$A145,$AQ$2:$AQ$201,1,$G$2:$G$201,"&lt;"&amp;G145)+COUNTIFS($A$2:$A$201,$A145,$AQ$2:$AQ$201,1,$G$2:$G$201,G145,$AM$2:$AM$201,"&lt;"&amp;AM145)=0,1,0),0)</f>
        <v/>
      </c>
      <c r="AS145" s="17">
        <f>IF(AND(AN145=1,N145="Y",ISNUMBER(R145)),IF(R145&gt;=Config!$B$14,1,0),0)</f>
        <v/>
      </c>
      <c r="AT145" s="17">
        <f>IF(AS145=1,IF(COUNTIFS($A$2:$A$201,$A145,$AS$2:$AS$201,1,$G$2:$G$201,"&lt;"&amp;G145)+COUNTIFS($A$2:$A$201,$A145,$AS$2:$AS$201,1,$G$2:$G$201,G145,$AM$2:$AM$201,"&lt;"&amp;AM145)=0,1,0),0)</f>
        <v/>
      </c>
      <c r="AU145" s="17">
        <f>IF(AND(AN145=1,N145&lt;&gt;"Y",MAX(N(R145),N(V145))&gt;=Config!$B$14),1,0)</f>
        <v/>
      </c>
      <c r="AV145" s="17">
        <f>IF(AU145=1,IF(COUNTIFS($A$2:$A$201,$A145,$AU$2:$AU$201,1,$G$2:$G$201,"&lt;"&amp;G145)+COUNTIFS($A$2:$A$201,$A145,$AU$2:$AU$201,1,$G$2:$G$201,G145,$AM$2:$AM$201,"&lt;"&amp;AM145)=0,1,0),0)</f>
        <v/>
      </c>
      <c r="AW145" s="17">
        <f>IF(AND(AN145=1,ISNUMBER(R145)),1,0)</f>
        <v/>
      </c>
      <c r="AX145" s="17">
        <f>IF(AW145=1,IF(COUNTIFS($A$2:$A$201,$A145,$AW$2:$AW$201,1,$G$2:$G$201,"&lt;"&amp;G145)+COUNTIFS($A$2:$A$201,$A145,$AW$2:$AW$201,1,$G$2:$G$201,G145,$AM$2:$AM$201,"&lt;"&amp;AM145)=0,1,0),0)</f>
        <v/>
      </c>
      <c r="AY145" s="17">
        <f>IF(AND(AX145=1,G145&lt;=Config!$B$6),R145,"")</f>
        <v/>
      </c>
      <c r="AZ145" s="17">
        <f>IF(AND(AX145=1,G145&lt;=Config!$B$7),R145,"")</f>
        <v/>
      </c>
      <c r="BA145" s="17">
        <f>IF(AND(AX145=1,G145&lt;=Config!$B$8),R145,"")</f>
        <v/>
      </c>
      <c r="BB145" s="17">
        <f>IF(AND(AX145=1,G145&lt;=Config!$B$5),R145,"")</f>
        <v/>
      </c>
      <c r="BC145" s="17">
        <f>IF(AND(AN145=1,ISNUMBER(V145)),1,0)</f>
        <v/>
      </c>
      <c r="BD145" s="17">
        <f>IF(BC145=1,IF(COUNTIFS($A$2:$A$201,$A145,$BC$2:$BC$201,1,$G$2:$G$201,"&lt;"&amp;G145)+COUNTIFS($A$2:$A$201,$A145,$BC$2:$BC$201,1,$G$2:$G$201,G145,$AM$2:$AM$201,"&lt;"&amp;AM145)=0,1,0),0)</f>
        <v/>
      </c>
      <c r="BE145" s="17">
        <f>IF(AND(BD145=1,G145&lt;=Config!$B$6),V145,"")</f>
        <v/>
      </c>
      <c r="BF145" s="17">
        <f>IF(AND(BD145=1,G145&lt;=Config!$B$7),V145,"")</f>
        <v/>
      </c>
      <c r="BG145" s="17">
        <f>IF(AND(BD145=1,G145&lt;=Config!$B$8),V145,"")</f>
        <v/>
      </c>
      <c r="BH145" s="17">
        <f>IF(AND(BD145=1,G145&lt;=Config!$B$5),V145,"")</f>
        <v/>
      </c>
      <c r="BI145" s="17">
        <f>IF(AND(AN145=1,ISNUMBER(J145)),1,0)</f>
        <v/>
      </c>
      <c r="BJ145" s="17">
        <f>IF(BI145=1,IF(COUNTIFS($A$2:$A$201,$A145,$BI$2:$BI$201,1,$G$2:$G$201,"&lt;"&amp;G145)+COUNTIFS($A$2:$A$201,$A145,$BI$2:$BI$201,1,$G$2:$G$201,G145,$AM$2:$AM$201,"&lt;"&amp;AM145)=0,1,0),0)</f>
        <v/>
      </c>
      <c r="BK145" s="17">
        <f>IF(AND(BJ145=1,G145&lt;=Config!$B$5),J145,"")</f>
        <v/>
      </c>
      <c r="BL145" s="17">
        <f>IF(AND(AN145=1,OR(AND(ISNUMBER(R145),TRIM(S145)=""),AND(ISNUMBER(V145),TRIM(W145)=""))),1,0)</f>
        <v/>
      </c>
      <c r="BM145" s="17">
        <f>IF(AN145=1,AB145&amp;"","")</f>
        <v/>
      </c>
      <c r="BN145" s="17">
        <f>IF(AN145=1,AC145&amp;"","")</f>
        <v/>
      </c>
      <c r="BO145" s="17">
        <f>IF(AN145=1,AD145&amp;"","")</f>
        <v/>
      </c>
      <c r="BP145" s="17">
        <f>IF(AND(AN145=1,ISNUMBER(AI145),G145&lt;=Config!$B$5),AI145,"")</f>
        <v/>
      </c>
      <c r="BQ145" s="17">
        <f>IF(AN145=1,IF(COUNTIFS($A$2:$A$201,$A145,$AF$2:$AF$201,"Y",$AN$2:$AN$201,1)&gt;0,"Y","N"),"")</f>
        <v/>
      </c>
      <c r="BR145" s="17">
        <f>IF(AND(AN145=1,AF145="Y"),IF(COUNTIFS($A$2:$A$201,$A145,$AF$2:$AF$201,"Y",$AN$2:$AN$201,1,$G$2:$G$201,"&lt;"&amp;G145)+COUNTIFS($A$2:$A$201,$A145,$AF$2:$AF$201,"Y",$AN$2:$AN$201,1,$G$2:$G$201,G145,$AM$2:$AM$201,"&lt;"&amp;AM145)=0,1,0),0)</f>
        <v/>
      </c>
      <c r="BS145" s="17">
        <f>IF(AN145=1,IFERROR(MATCH($A145,INDEX(Clay_Brands!$A$2:$FZ$601,0,Sync!$D$5),0),""),"")</f>
        <v/>
      </c>
      <c r="BT145" s="17">
        <f>IF(BS145="","",IFERROR(INDEX(Clay_Brands!$A$2:$FZ$601,BS145,Sync!$D$7)&amp;"",""))</f>
        <v/>
      </c>
      <c r="BU145" s="17">
        <f>IF(BT145="","",IFERROR(INDEX(Lists!$J$2:$J$15,MATCH(BT145,Lists!$I$2:$I$15,0)),""))</f>
        <v/>
      </c>
      <c r="BV145" s="17">
        <f>IF(BS145="","",IFERROR(INDEX(Clay_Brands!$A$2:$FZ$601,BS145,Sync!$D$17)&amp;"",""))</f>
        <v/>
      </c>
      <c r="BW145" s="23">
        <f>IF(BS145="","",IFERROR(N(INDEX(Clay_Brands!$A$2:$FZ$601,BS145,Sync!$D$16)),0))</f>
        <v/>
      </c>
    </row>
    <row r="146">
      <c r="G146" s="22" t="n"/>
      <c r="AL146" s="17">
        <f>IF(TRIM($A146)="","",IF(AND(LEFT($A146,6)="SAMPLE",Config!$B$19&lt;&gt;"Y"),"",IF(NOT(ISNUMBER(G146)),"call_date is blank or not a date",IF(Sync!$D$5="","Clay paste is empty or has no row_id column: paste the Clay export on Clay_Brands",IF(BS146="","row_id not found in the Clay paste: add the Clay row or fix the row_id",IF(AND(ISNUMBER(BU146),BU146&gt;=1,BU146&lt;=5),"Clay status is "&amp;BT146&amp;": set call_done or later",IF(AND(AP146=1,BV146&lt;&gt;BQ146),"Clay yes_in_principle should be "&amp;BQ146,IF(AND(AP146=1,BW146&lt;&gt;G146),"Clay call_date should be "&amp;TEXT(G146,"yyyy-mm-dd"),""))))))))</f>
        <v/>
      </c>
      <c r="AM146" s="17">
        <f>ROW()</f>
        <v/>
      </c>
      <c r="AN146" s="17">
        <f>IF(AND(TRIM($A146)&lt;&gt;"",ISNUMBER(G146)),IF(AND(LEFT($A146,6)="SAMPLE",Config!$B$19&lt;&gt;"Y"),0,1),0)</f>
        <v/>
      </c>
      <c r="AO146" s="17">
        <f>IF(AN146=1,IF(COUNTIFS($A$2:$A$201,$A146,$AN$2:$AN$201,1,$G$2:$G$201,"&lt;"&amp;G146)+COUNTIFS($A$2:$A$201,$A146,$AN$2:$AN$201,1,$G$2:$G$201,G146,$AM$2:$AM$201,"&lt;"&amp;AM146)=0,1,0),0)</f>
        <v/>
      </c>
      <c r="AP146" s="17">
        <f>IF(AN146=1,IF(COUNTIFS($A$2:$A$201,$A146,$AN$2:$AN$201,1,$G$2:$G$201,"&gt;"&amp;G146)+COUNTIFS($A$2:$A$201,$A146,$AN$2:$AN$201,1,$G$2:$G$201,G146,$AM$2:$AM$201,"&gt;"&amp;AM146)=0,1,0),0)</f>
        <v/>
      </c>
      <c r="AQ146" s="17">
        <f>IF(AND(AN146=1,N146="Y",MAX(N(R146),N(V146))&gt;=Config!$B$14),1,0)</f>
        <v/>
      </c>
      <c r="AR146" s="17">
        <f>IF(AQ146=1,IF(COUNTIFS($A$2:$A$201,$A146,$AQ$2:$AQ$201,1,$G$2:$G$201,"&lt;"&amp;G146)+COUNTIFS($A$2:$A$201,$A146,$AQ$2:$AQ$201,1,$G$2:$G$201,G146,$AM$2:$AM$201,"&lt;"&amp;AM146)=0,1,0),0)</f>
        <v/>
      </c>
      <c r="AS146" s="17">
        <f>IF(AND(AN146=1,N146="Y",ISNUMBER(R146)),IF(R146&gt;=Config!$B$14,1,0),0)</f>
        <v/>
      </c>
      <c r="AT146" s="17">
        <f>IF(AS146=1,IF(COUNTIFS($A$2:$A$201,$A146,$AS$2:$AS$201,1,$G$2:$G$201,"&lt;"&amp;G146)+COUNTIFS($A$2:$A$201,$A146,$AS$2:$AS$201,1,$G$2:$G$201,G146,$AM$2:$AM$201,"&lt;"&amp;AM146)=0,1,0),0)</f>
        <v/>
      </c>
      <c r="AU146" s="17">
        <f>IF(AND(AN146=1,N146&lt;&gt;"Y",MAX(N(R146),N(V146))&gt;=Config!$B$14),1,0)</f>
        <v/>
      </c>
      <c r="AV146" s="17">
        <f>IF(AU146=1,IF(COUNTIFS($A$2:$A$201,$A146,$AU$2:$AU$201,1,$G$2:$G$201,"&lt;"&amp;G146)+COUNTIFS($A$2:$A$201,$A146,$AU$2:$AU$201,1,$G$2:$G$201,G146,$AM$2:$AM$201,"&lt;"&amp;AM146)=0,1,0),0)</f>
        <v/>
      </c>
      <c r="AW146" s="17">
        <f>IF(AND(AN146=1,ISNUMBER(R146)),1,0)</f>
        <v/>
      </c>
      <c r="AX146" s="17">
        <f>IF(AW146=1,IF(COUNTIFS($A$2:$A$201,$A146,$AW$2:$AW$201,1,$G$2:$G$201,"&lt;"&amp;G146)+COUNTIFS($A$2:$A$201,$A146,$AW$2:$AW$201,1,$G$2:$G$201,G146,$AM$2:$AM$201,"&lt;"&amp;AM146)=0,1,0),0)</f>
        <v/>
      </c>
      <c r="AY146" s="17">
        <f>IF(AND(AX146=1,G146&lt;=Config!$B$6),R146,"")</f>
        <v/>
      </c>
      <c r="AZ146" s="17">
        <f>IF(AND(AX146=1,G146&lt;=Config!$B$7),R146,"")</f>
        <v/>
      </c>
      <c r="BA146" s="17">
        <f>IF(AND(AX146=1,G146&lt;=Config!$B$8),R146,"")</f>
        <v/>
      </c>
      <c r="BB146" s="17">
        <f>IF(AND(AX146=1,G146&lt;=Config!$B$5),R146,"")</f>
        <v/>
      </c>
      <c r="BC146" s="17">
        <f>IF(AND(AN146=1,ISNUMBER(V146)),1,0)</f>
        <v/>
      </c>
      <c r="BD146" s="17">
        <f>IF(BC146=1,IF(COUNTIFS($A$2:$A$201,$A146,$BC$2:$BC$201,1,$G$2:$G$201,"&lt;"&amp;G146)+COUNTIFS($A$2:$A$201,$A146,$BC$2:$BC$201,1,$G$2:$G$201,G146,$AM$2:$AM$201,"&lt;"&amp;AM146)=0,1,0),0)</f>
        <v/>
      </c>
      <c r="BE146" s="17">
        <f>IF(AND(BD146=1,G146&lt;=Config!$B$6),V146,"")</f>
        <v/>
      </c>
      <c r="BF146" s="17">
        <f>IF(AND(BD146=1,G146&lt;=Config!$B$7),V146,"")</f>
        <v/>
      </c>
      <c r="BG146" s="17">
        <f>IF(AND(BD146=1,G146&lt;=Config!$B$8),V146,"")</f>
        <v/>
      </c>
      <c r="BH146" s="17">
        <f>IF(AND(BD146=1,G146&lt;=Config!$B$5),V146,"")</f>
        <v/>
      </c>
      <c r="BI146" s="17">
        <f>IF(AND(AN146=1,ISNUMBER(J146)),1,0)</f>
        <v/>
      </c>
      <c r="BJ146" s="17">
        <f>IF(BI146=1,IF(COUNTIFS($A$2:$A$201,$A146,$BI$2:$BI$201,1,$G$2:$G$201,"&lt;"&amp;G146)+COUNTIFS($A$2:$A$201,$A146,$BI$2:$BI$201,1,$G$2:$G$201,G146,$AM$2:$AM$201,"&lt;"&amp;AM146)=0,1,0),0)</f>
        <v/>
      </c>
      <c r="BK146" s="17">
        <f>IF(AND(BJ146=1,G146&lt;=Config!$B$5),J146,"")</f>
        <v/>
      </c>
      <c r="BL146" s="17">
        <f>IF(AND(AN146=1,OR(AND(ISNUMBER(R146),TRIM(S146)=""),AND(ISNUMBER(V146),TRIM(W146)=""))),1,0)</f>
        <v/>
      </c>
      <c r="BM146" s="17">
        <f>IF(AN146=1,AB146&amp;"","")</f>
        <v/>
      </c>
      <c r="BN146" s="17">
        <f>IF(AN146=1,AC146&amp;"","")</f>
        <v/>
      </c>
      <c r="BO146" s="17">
        <f>IF(AN146=1,AD146&amp;"","")</f>
        <v/>
      </c>
      <c r="BP146" s="17">
        <f>IF(AND(AN146=1,ISNUMBER(AI146),G146&lt;=Config!$B$5),AI146,"")</f>
        <v/>
      </c>
      <c r="BQ146" s="17">
        <f>IF(AN146=1,IF(COUNTIFS($A$2:$A$201,$A146,$AF$2:$AF$201,"Y",$AN$2:$AN$201,1)&gt;0,"Y","N"),"")</f>
        <v/>
      </c>
      <c r="BR146" s="17">
        <f>IF(AND(AN146=1,AF146="Y"),IF(COUNTIFS($A$2:$A$201,$A146,$AF$2:$AF$201,"Y",$AN$2:$AN$201,1,$G$2:$G$201,"&lt;"&amp;G146)+COUNTIFS($A$2:$A$201,$A146,$AF$2:$AF$201,"Y",$AN$2:$AN$201,1,$G$2:$G$201,G146,$AM$2:$AM$201,"&lt;"&amp;AM146)=0,1,0),0)</f>
        <v/>
      </c>
      <c r="BS146" s="17">
        <f>IF(AN146=1,IFERROR(MATCH($A146,INDEX(Clay_Brands!$A$2:$FZ$601,0,Sync!$D$5),0),""),"")</f>
        <v/>
      </c>
      <c r="BT146" s="17">
        <f>IF(BS146="","",IFERROR(INDEX(Clay_Brands!$A$2:$FZ$601,BS146,Sync!$D$7)&amp;"",""))</f>
        <v/>
      </c>
      <c r="BU146" s="17">
        <f>IF(BT146="","",IFERROR(INDEX(Lists!$J$2:$J$15,MATCH(BT146,Lists!$I$2:$I$15,0)),""))</f>
        <v/>
      </c>
      <c r="BV146" s="17">
        <f>IF(BS146="","",IFERROR(INDEX(Clay_Brands!$A$2:$FZ$601,BS146,Sync!$D$17)&amp;"",""))</f>
        <v/>
      </c>
      <c r="BW146" s="23">
        <f>IF(BS146="","",IFERROR(N(INDEX(Clay_Brands!$A$2:$FZ$601,BS146,Sync!$D$16)),0))</f>
        <v/>
      </c>
    </row>
    <row r="147">
      <c r="G147" s="22" t="n"/>
      <c r="AL147" s="17">
        <f>IF(TRIM($A147)="","",IF(AND(LEFT($A147,6)="SAMPLE",Config!$B$19&lt;&gt;"Y"),"",IF(NOT(ISNUMBER(G147)),"call_date is blank or not a date",IF(Sync!$D$5="","Clay paste is empty or has no row_id column: paste the Clay export on Clay_Brands",IF(BS147="","row_id not found in the Clay paste: add the Clay row or fix the row_id",IF(AND(ISNUMBER(BU147),BU147&gt;=1,BU147&lt;=5),"Clay status is "&amp;BT147&amp;": set call_done or later",IF(AND(AP147=1,BV147&lt;&gt;BQ147),"Clay yes_in_principle should be "&amp;BQ147,IF(AND(AP147=1,BW147&lt;&gt;G147),"Clay call_date should be "&amp;TEXT(G147,"yyyy-mm-dd"),""))))))))</f>
        <v/>
      </c>
      <c r="AM147" s="17">
        <f>ROW()</f>
        <v/>
      </c>
      <c r="AN147" s="17">
        <f>IF(AND(TRIM($A147)&lt;&gt;"",ISNUMBER(G147)),IF(AND(LEFT($A147,6)="SAMPLE",Config!$B$19&lt;&gt;"Y"),0,1),0)</f>
        <v/>
      </c>
      <c r="AO147" s="17">
        <f>IF(AN147=1,IF(COUNTIFS($A$2:$A$201,$A147,$AN$2:$AN$201,1,$G$2:$G$201,"&lt;"&amp;G147)+COUNTIFS($A$2:$A$201,$A147,$AN$2:$AN$201,1,$G$2:$G$201,G147,$AM$2:$AM$201,"&lt;"&amp;AM147)=0,1,0),0)</f>
        <v/>
      </c>
      <c r="AP147" s="17">
        <f>IF(AN147=1,IF(COUNTIFS($A$2:$A$201,$A147,$AN$2:$AN$201,1,$G$2:$G$201,"&gt;"&amp;G147)+COUNTIFS($A$2:$A$201,$A147,$AN$2:$AN$201,1,$G$2:$G$201,G147,$AM$2:$AM$201,"&gt;"&amp;AM147)=0,1,0),0)</f>
        <v/>
      </c>
      <c r="AQ147" s="17">
        <f>IF(AND(AN147=1,N147="Y",MAX(N(R147),N(V147))&gt;=Config!$B$14),1,0)</f>
        <v/>
      </c>
      <c r="AR147" s="17">
        <f>IF(AQ147=1,IF(COUNTIFS($A$2:$A$201,$A147,$AQ$2:$AQ$201,1,$G$2:$G$201,"&lt;"&amp;G147)+COUNTIFS($A$2:$A$201,$A147,$AQ$2:$AQ$201,1,$G$2:$G$201,G147,$AM$2:$AM$201,"&lt;"&amp;AM147)=0,1,0),0)</f>
        <v/>
      </c>
      <c r="AS147" s="17">
        <f>IF(AND(AN147=1,N147="Y",ISNUMBER(R147)),IF(R147&gt;=Config!$B$14,1,0),0)</f>
        <v/>
      </c>
      <c r="AT147" s="17">
        <f>IF(AS147=1,IF(COUNTIFS($A$2:$A$201,$A147,$AS$2:$AS$201,1,$G$2:$G$201,"&lt;"&amp;G147)+COUNTIFS($A$2:$A$201,$A147,$AS$2:$AS$201,1,$G$2:$G$201,G147,$AM$2:$AM$201,"&lt;"&amp;AM147)=0,1,0),0)</f>
        <v/>
      </c>
      <c r="AU147" s="17">
        <f>IF(AND(AN147=1,N147&lt;&gt;"Y",MAX(N(R147),N(V147))&gt;=Config!$B$14),1,0)</f>
        <v/>
      </c>
      <c r="AV147" s="17">
        <f>IF(AU147=1,IF(COUNTIFS($A$2:$A$201,$A147,$AU$2:$AU$201,1,$G$2:$G$201,"&lt;"&amp;G147)+COUNTIFS($A$2:$A$201,$A147,$AU$2:$AU$201,1,$G$2:$G$201,G147,$AM$2:$AM$201,"&lt;"&amp;AM147)=0,1,0),0)</f>
        <v/>
      </c>
      <c r="AW147" s="17">
        <f>IF(AND(AN147=1,ISNUMBER(R147)),1,0)</f>
        <v/>
      </c>
      <c r="AX147" s="17">
        <f>IF(AW147=1,IF(COUNTIFS($A$2:$A$201,$A147,$AW$2:$AW$201,1,$G$2:$G$201,"&lt;"&amp;G147)+COUNTIFS($A$2:$A$201,$A147,$AW$2:$AW$201,1,$G$2:$G$201,G147,$AM$2:$AM$201,"&lt;"&amp;AM147)=0,1,0),0)</f>
        <v/>
      </c>
      <c r="AY147" s="17">
        <f>IF(AND(AX147=1,G147&lt;=Config!$B$6),R147,"")</f>
        <v/>
      </c>
      <c r="AZ147" s="17">
        <f>IF(AND(AX147=1,G147&lt;=Config!$B$7),R147,"")</f>
        <v/>
      </c>
      <c r="BA147" s="17">
        <f>IF(AND(AX147=1,G147&lt;=Config!$B$8),R147,"")</f>
        <v/>
      </c>
      <c r="BB147" s="17">
        <f>IF(AND(AX147=1,G147&lt;=Config!$B$5),R147,"")</f>
        <v/>
      </c>
      <c r="BC147" s="17">
        <f>IF(AND(AN147=1,ISNUMBER(V147)),1,0)</f>
        <v/>
      </c>
      <c r="BD147" s="17">
        <f>IF(BC147=1,IF(COUNTIFS($A$2:$A$201,$A147,$BC$2:$BC$201,1,$G$2:$G$201,"&lt;"&amp;G147)+COUNTIFS($A$2:$A$201,$A147,$BC$2:$BC$201,1,$G$2:$G$201,G147,$AM$2:$AM$201,"&lt;"&amp;AM147)=0,1,0),0)</f>
        <v/>
      </c>
      <c r="BE147" s="17">
        <f>IF(AND(BD147=1,G147&lt;=Config!$B$6),V147,"")</f>
        <v/>
      </c>
      <c r="BF147" s="17">
        <f>IF(AND(BD147=1,G147&lt;=Config!$B$7),V147,"")</f>
        <v/>
      </c>
      <c r="BG147" s="17">
        <f>IF(AND(BD147=1,G147&lt;=Config!$B$8),V147,"")</f>
        <v/>
      </c>
      <c r="BH147" s="17">
        <f>IF(AND(BD147=1,G147&lt;=Config!$B$5),V147,"")</f>
        <v/>
      </c>
      <c r="BI147" s="17">
        <f>IF(AND(AN147=1,ISNUMBER(J147)),1,0)</f>
        <v/>
      </c>
      <c r="BJ147" s="17">
        <f>IF(BI147=1,IF(COUNTIFS($A$2:$A$201,$A147,$BI$2:$BI$201,1,$G$2:$G$201,"&lt;"&amp;G147)+COUNTIFS($A$2:$A$201,$A147,$BI$2:$BI$201,1,$G$2:$G$201,G147,$AM$2:$AM$201,"&lt;"&amp;AM147)=0,1,0),0)</f>
        <v/>
      </c>
      <c r="BK147" s="17">
        <f>IF(AND(BJ147=1,G147&lt;=Config!$B$5),J147,"")</f>
        <v/>
      </c>
      <c r="BL147" s="17">
        <f>IF(AND(AN147=1,OR(AND(ISNUMBER(R147),TRIM(S147)=""),AND(ISNUMBER(V147),TRIM(W147)=""))),1,0)</f>
        <v/>
      </c>
      <c r="BM147" s="17">
        <f>IF(AN147=1,AB147&amp;"","")</f>
        <v/>
      </c>
      <c r="BN147" s="17">
        <f>IF(AN147=1,AC147&amp;"","")</f>
        <v/>
      </c>
      <c r="BO147" s="17">
        <f>IF(AN147=1,AD147&amp;"","")</f>
        <v/>
      </c>
      <c r="BP147" s="17">
        <f>IF(AND(AN147=1,ISNUMBER(AI147),G147&lt;=Config!$B$5),AI147,"")</f>
        <v/>
      </c>
      <c r="BQ147" s="17">
        <f>IF(AN147=1,IF(COUNTIFS($A$2:$A$201,$A147,$AF$2:$AF$201,"Y",$AN$2:$AN$201,1)&gt;0,"Y","N"),"")</f>
        <v/>
      </c>
      <c r="BR147" s="17">
        <f>IF(AND(AN147=1,AF147="Y"),IF(COUNTIFS($A$2:$A$201,$A147,$AF$2:$AF$201,"Y",$AN$2:$AN$201,1,$G$2:$G$201,"&lt;"&amp;G147)+COUNTIFS($A$2:$A$201,$A147,$AF$2:$AF$201,"Y",$AN$2:$AN$201,1,$G$2:$G$201,G147,$AM$2:$AM$201,"&lt;"&amp;AM147)=0,1,0),0)</f>
        <v/>
      </c>
      <c r="BS147" s="17">
        <f>IF(AN147=1,IFERROR(MATCH($A147,INDEX(Clay_Brands!$A$2:$FZ$601,0,Sync!$D$5),0),""),"")</f>
        <v/>
      </c>
      <c r="BT147" s="17">
        <f>IF(BS147="","",IFERROR(INDEX(Clay_Brands!$A$2:$FZ$601,BS147,Sync!$D$7)&amp;"",""))</f>
        <v/>
      </c>
      <c r="BU147" s="17">
        <f>IF(BT147="","",IFERROR(INDEX(Lists!$J$2:$J$15,MATCH(BT147,Lists!$I$2:$I$15,0)),""))</f>
        <v/>
      </c>
      <c r="BV147" s="17">
        <f>IF(BS147="","",IFERROR(INDEX(Clay_Brands!$A$2:$FZ$601,BS147,Sync!$D$17)&amp;"",""))</f>
        <v/>
      </c>
      <c r="BW147" s="23">
        <f>IF(BS147="","",IFERROR(N(INDEX(Clay_Brands!$A$2:$FZ$601,BS147,Sync!$D$16)),0))</f>
        <v/>
      </c>
    </row>
    <row r="148">
      <c r="G148" s="22" t="n"/>
      <c r="AL148" s="17">
        <f>IF(TRIM($A148)="","",IF(AND(LEFT($A148,6)="SAMPLE",Config!$B$19&lt;&gt;"Y"),"",IF(NOT(ISNUMBER(G148)),"call_date is blank or not a date",IF(Sync!$D$5="","Clay paste is empty or has no row_id column: paste the Clay export on Clay_Brands",IF(BS148="","row_id not found in the Clay paste: add the Clay row or fix the row_id",IF(AND(ISNUMBER(BU148),BU148&gt;=1,BU148&lt;=5),"Clay status is "&amp;BT148&amp;": set call_done or later",IF(AND(AP148=1,BV148&lt;&gt;BQ148),"Clay yes_in_principle should be "&amp;BQ148,IF(AND(AP148=1,BW148&lt;&gt;G148),"Clay call_date should be "&amp;TEXT(G148,"yyyy-mm-dd"),""))))))))</f>
        <v/>
      </c>
      <c r="AM148" s="17">
        <f>ROW()</f>
        <v/>
      </c>
      <c r="AN148" s="17">
        <f>IF(AND(TRIM($A148)&lt;&gt;"",ISNUMBER(G148)),IF(AND(LEFT($A148,6)="SAMPLE",Config!$B$19&lt;&gt;"Y"),0,1),0)</f>
        <v/>
      </c>
      <c r="AO148" s="17">
        <f>IF(AN148=1,IF(COUNTIFS($A$2:$A$201,$A148,$AN$2:$AN$201,1,$G$2:$G$201,"&lt;"&amp;G148)+COUNTIFS($A$2:$A$201,$A148,$AN$2:$AN$201,1,$G$2:$G$201,G148,$AM$2:$AM$201,"&lt;"&amp;AM148)=0,1,0),0)</f>
        <v/>
      </c>
      <c r="AP148" s="17">
        <f>IF(AN148=1,IF(COUNTIFS($A$2:$A$201,$A148,$AN$2:$AN$201,1,$G$2:$G$201,"&gt;"&amp;G148)+COUNTIFS($A$2:$A$201,$A148,$AN$2:$AN$201,1,$G$2:$G$201,G148,$AM$2:$AM$201,"&gt;"&amp;AM148)=0,1,0),0)</f>
        <v/>
      </c>
      <c r="AQ148" s="17">
        <f>IF(AND(AN148=1,N148="Y",MAX(N(R148),N(V148))&gt;=Config!$B$14),1,0)</f>
        <v/>
      </c>
      <c r="AR148" s="17">
        <f>IF(AQ148=1,IF(COUNTIFS($A$2:$A$201,$A148,$AQ$2:$AQ$201,1,$G$2:$G$201,"&lt;"&amp;G148)+COUNTIFS($A$2:$A$201,$A148,$AQ$2:$AQ$201,1,$G$2:$G$201,G148,$AM$2:$AM$201,"&lt;"&amp;AM148)=0,1,0),0)</f>
        <v/>
      </c>
      <c r="AS148" s="17">
        <f>IF(AND(AN148=1,N148="Y",ISNUMBER(R148)),IF(R148&gt;=Config!$B$14,1,0),0)</f>
        <v/>
      </c>
      <c r="AT148" s="17">
        <f>IF(AS148=1,IF(COUNTIFS($A$2:$A$201,$A148,$AS$2:$AS$201,1,$G$2:$G$201,"&lt;"&amp;G148)+COUNTIFS($A$2:$A$201,$A148,$AS$2:$AS$201,1,$G$2:$G$201,G148,$AM$2:$AM$201,"&lt;"&amp;AM148)=0,1,0),0)</f>
        <v/>
      </c>
      <c r="AU148" s="17">
        <f>IF(AND(AN148=1,N148&lt;&gt;"Y",MAX(N(R148),N(V148))&gt;=Config!$B$14),1,0)</f>
        <v/>
      </c>
      <c r="AV148" s="17">
        <f>IF(AU148=1,IF(COUNTIFS($A$2:$A$201,$A148,$AU$2:$AU$201,1,$G$2:$G$201,"&lt;"&amp;G148)+COUNTIFS($A$2:$A$201,$A148,$AU$2:$AU$201,1,$G$2:$G$201,G148,$AM$2:$AM$201,"&lt;"&amp;AM148)=0,1,0),0)</f>
        <v/>
      </c>
      <c r="AW148" s="17">
        <f>IF(AND(AN148=1,ISNUMBER(R148)),1,0)</f>
        <v/>
      </c>
      <c r="AX148" s="17">
        <f>IF(AW148=1,IF(COUNTIFS($A$2:$A$201,$A148,$AW$2:$AW$201,1,$G$2:$G$201,"&lt;"&amp;G148)+COUNTIFS($A$2:$A$201,$A148,$AW$2:$AW$201,1,$G$2:$G$201,G148,$AM$2:$AM$201,"&lt;"&amp;AM148)=0,1,0),0)</f>
        <v/>
      </c>
      <c r="AY148" s="17">
        <f>IF(AND(AX148=1,G148&lt;=Config!$B$6),R148,"")</f>
        <v/>
      </c>
      <c r="AZ148" s="17">
        <f>IF(AND(AX148=1,G148&lt;=Config!$B$7),R148,"")</f>
        <v/>
      </c>
      <c r="BA148" s="17">
        <f>IF(AND(AX148=1,G148&lt;=Config!$B$8),R148,"")</f>
        <v/>
      </c>
      <c r="BB148" s="17">
        <f>IF(AND(AX148=1,G148&lt;=Config!$B$5),R148,"")</f>
        <v/>
      </c>
      <c r="BC148" s="17">
        <f>IF(AND(AN148=1,ISNUMBER(V148)),1,0)</f>
        <v/>
      </c>
      <c r="BD148" s="17">
        <f>IF(BC148=1,IF(COUNTIFS($A$2:$A$201,$A148,$BC$2:$BC$201,1,$G$2:$G$201,"&lt;"&amp;G148)+COUNTIFS($A$2:$A$201,$A148,$BC$2:$BC$201,1,$G$2:$G$201,G148,$AM$2:$AM$201,"&lt;"&amp;AM148)=0,1,0),0)</f>
        <v/>
      </c>
      <c r="BE148" s="17">
        <f>IF(AND(BD148=1,G148&lt;=Config!$B$6),V148,"")</f>
        <v/>
      </c>
      <c r="BF148" s="17">
        <f>IF(AND(BD148=1,G148&lt;=Config!$B$7),V148,"")</f>
        <v/>
      </c>
      <c r="BG148" s="17">
        <f>IF(AND(BD148=1,G148&lt;=Config!$B$8),V148,"")</f>
        <v/>
      </c>
      <c r="BH148" s="17">
        <f>IF(AND(BD148=1,G148&lt;=Config!$B$5),V148,"")</f>
        <v/>
      </c>
      <c r="BI148" s="17">
        <f>IF(AND(AN148=1,ISNUMBER(J148)),1,0)</f>
        <v/>
      </c>
      <c r="BJ148" s="17">
        <f>IF(BI148=1,IF(COUNTIFS($A$2:$A$201,$A148,$BI$2:$BI$201,1,$G$2:$G$201,"&lt;"&amp;G148)+COUNTIFS($A$2:$A$201,$A148,$BI$2:$BI$201,1,$G$2:$G$201,G148,$AM$2:$AM$201,"&lt;"&amp;AM148)=0,1,0),0)</f>
        <v/>
      </c>
      <c r="BK148" s="17">
        <f>IF(AND(BJ148=1,G148&lt;=Config!$B$5),J148,"")</f>
        <v/>
      </c>
      <c r="BL148" s="17">
        <f>IF(AND(AN148=1,OR(AND(ISNUMBER(R148),TRIM(S148)=""),AND(ISNUMBER(V148),TRIM(W148)=""))),1,0)</f>
        <v/>
      </c>
      <c r="BM148" s="17">
        <f>IF(AN148=1,AB148&amp;"","")</f>
        <v/>
      </c>
      <c r="BN148" s="17">
        <f>IF(AN148=1,AC148&amp;"","")</f>
        <v/>
      </c>
      <c r="BO148" s="17">
        <f>IF(AN148=1,AD148&amp;"","")</f>
        <v/>
      </c>
      <c r="BP148" s="17">
        <f>IF(AND(AN148=1,ISNUMBER(AI148),G148&lt;=Config!$B$5),AI148,"")</f>
        <v/>
      </c>
      <c r="BQ148" s="17">
        <f>IF(AN148=1,IF(COUNTIFS($A$2:$A$201,$A148,$AF$2:$AF$201,"Y",$AN$2:$AN$201,1)&gt;0,"Y","N"),"")</f>
        <v/>
      </c>
      <c r="BR148" s="17">
        <f>IF(AND(AN148=1,AF148="Y"),IF(COUNTIFS($A$2:$A$201,$A148,$AF$2:$AF$201,"Y",$AN$2:$AN$201,1,$G$2:$G$201,"&lt;"&amp;G148)+COUNTIFS($A$2:$A$201,$A148,$AF$2:$AF$201,"Y",$AN$2:$AN$201,1,$G$2:$G$201,G148,$AM$2:$AM$201,"&lt;"&amp;AM148)=0,1,0),0)</f>
        <v/>
      </c>
      <c r="BS148" s="17">
        <f>IF(AN148=1,IFERROR(MATCH($A148,INDEX(Clay_Brands!$A$2:$FZ$601,0,Sync!$D$5),0),""),"")</f>
        <v/>
      </c>
      <c r="BT148" s="17">
        <f>IF(BS148="","",IFERROR(INDEX(Clay_Brands!$A$2:$FZ$601,BS148,Sync!$D$7)&amp;"",""))</f>
        <v/>
      </c>
      <c r="BU148" s="17">
        <f>IF(BT148="","",IFERROR(INDEX(Lists!$J$2:$J$15,MATCH(BT148,Lists!$I$2:$I$15,0)),""))</f>
        <v/>
      </c>
      <c r="BV148" s="17">
        <f>IF(BS148="","",IFERROR(INDEX(Clay_Brands!$A$2:$FZ$601,BS148,Sync!$D$17)&amp;"",""))</f>
        <v/>
      </c>
      <c r="BW148" s="23">
        <f>IF(BS148="","",IFERROR(N(INDEX(Clay_Brands!$A$2:$FZ$601,BS148,Sync!$D$16)),0))</f>
        <v/>
      </c>
    </row>
    <row r="149">
      <c r="G149" s="22" t="n"/>
      <c r="AL149" s="17">
        <f>IF(TRIM($A149)="","",IF(AND(LEFT($A149,6)="SAMPLE",Config!$B$19&lt;&gt;"Y"),"",IF(NOT(ISNUMBER(G149)),"call_date is blank or not a date",IF(Sync!$D$5="","Clay paste is empty or has no row_id column: paste the Clay export on Clay_Brands",IF(BS149="","row_id not found in the Clay paste: add the Clay row or fix the row_id",IF(AND(ISNUMBER(BU149),BU149&gt;=1,BU149&lt;=5),"Clay status is "&amp;BT149&amp;": set call_done or later",IF(AND(AP149=1,BV149&lt;&gt;BQ149),"Clay yes_in_principle should be "&amp;BQ149,IF(AND(AP149=1,BW149&lt;&gt;G149),"Clay call_date should be "&amp;TEXT(G149,"yyyy-mm-dd"),""))))))))</f>
        <v/>
      </c>
      <c r="AM149" s="17">
        <f>ROW()</f>
        <v/>
      </c>
      <c r="AN149" s="17">
        <f>IF(AND(TRIM($A149)&lt;&gt;"",ISNUMBER(G149)),IF(AND(LEFT($A149,6)="SAMPLE",Config!$B$19&lt;&gt;"Y"),0,1),0)</f>
        <v/>
      </c>
      <c r="AO149" s="17">
        <f>IF(AN149=1,IF(COUNTIFS($A$2:$A$201,$A149,$AN$2:$AN$201,1,$G$2:$G$201,"&lt;"&amp;G149)+COUNTIFS($A$2:$A$201,$A149,$AN$2:$AN$201,1,$G$2:$G$201,G149,$AM$2:$AM$201,"&lt;"&amp;AM149)=0,1,0),0)</f>
        <v/>
      </c>
      <c r="AP149" s="17">
        <f>IF(AN149=1,IF(COUNTIFS($A$2:$A$201,$A149,$AN$2:$AN$201,1,$G$2:$G$201,"&gt;"&amp;G149)+COUNTIFS($A$2:$A$201,$A149,$AN$2:$AN$201,1,$G$2:$G$201,G149,$AM$2:$AM$201,"&gt;"&amp;AM149)=0,1,0),0)</f>
        <v/>
      </c>
      <c r="AQ149" s="17">
        <f>IF(AND(AN149=1,N149="Y",MAX(N(R149),N(V149))&gt;=Config!$B$14),1,0)</f>
        <v/>
      </c>
      <c r="AR149" s="17">
        <f>IF(AQ149=1,IF(COUNTIFS($A$2:$A$201,$A149,$AQ$2:$AQ$201,1,$G$2:$G$201,"&lt;"&amp;G149)+COUNTIFS($A$2:$A$201,$A149,$AQ$2:$AQ$201,1,$G$2:$G$201,G149,$AM$2:$AM$201,"&lt;"&amp;AM149)=0,1,0),0)</f>
        <v/>
      </c>
      <c r="AS149" s="17">
        <f>IF(AND(AN149=1,N149="Y",ISNUMBER(R149)),IF(R149&gt;=Config!$B$14,1,0),0)</f>
        <v/>
      </c>
      <c r="AT149" s="17">
        <f>IF(AS149=1,IF(COUNTIFS($A$2:$A$201,$A149,$AS$2:$AS$201,1,$G$2:$G$201,"&lt;"&amp;G149)+COUNTIFS($A$2:$A$201,$A149,$AS$2:$AS$201,1,$G$2:$G$201,G149,$AM$2:$AM$201,"&lt;"&amp;AM149)=0,1,0),0)</f>
        <v/>
      </c>
      <c r="AU149" s="17">
        <f>IF(AND(AN149=1,N149&lt;&gt;"Y",MAX(N(R149),N(V149))&gt;=Config!$B$14),1,0)</f>
        <v/>
      </c>
      <c r="AV149" s="17">
        <f>IF(AU149=1,IF(COUNTIFS($A$2:$A$201,$A149,$AU$2:$AU$201,1,$G$2:$G$201,"&lt;"&amp;G149)+COUNTIFS($A$2:$A$201,$A149,$AU$2:$AU$201,1,$G$2:$G$201,G149,$AM$2:$AM$201,"&lt;"&amp;AM149)=0,1,0),0)</f>
        <v/>
      </c>
      <c r="AW149" s="17">
        <f>IF(AND(AN149=1,ISNUMBER(R149)),1,0)</f>
        <v/>
      </c>
      <c r="AX149" s="17">
        <f>IF(AW149=1,IF(COUNTIFS($A$2:$A$201,$A149,$AW$2:$AW$201,1,$G$2:$G$201,"&lt;"&amp;G149)+COUNTIFS($A$2:$A$201,$A149,$AW$2:$AW$201,1,$G$2:$G$201,G149,$AM$2:$AM$201,"&lt;"&amp;AM149)=0,1,0),0)</f>
        <v/>
      </c>
      <c r="AY149" s="17">
        <f>IF(AND(AX149=1,G149&lt;=Config!$B$6),R149,"")</f>
        <v/>
      </c>
      <c r="AZ149" s="17">
        <f>IF(AND(AX149=1,G149&lt;=Config!$B$7),R149,"")</f>
        <v/>
      </c>
      <c r="BA149" s="17">
        <f>IF(AND(AX149=1,G149&lt;=Config!$B$8),R149,"")</f>
        <v/>
      </c>
      <c r="BB149" s="17">
        <f>IF(AND(AX149=1,G149&lt;=Config!$B$5),R149,"")</f>
        <v/>
      </c>
      <c r="BC149" s="17">
        <f>IF(AND(AN149=1,ISNUMBER(V149)),1,0)</f>
        <v/>
      </c>
      <c r="BD149" s="17">
        <f>IF(BC149=1,IF(COUNTIFS($A$2:$A$201,$A149,$BC$2:$BC$201,1,$G$2:$G$201,"&lt;"&amp;G149)+COUNTIFS($A$2:$A$201,$A149,$BC$2:$BC$201,1,$G$2:$G$201,G149,$AM$2:$AM$201,"&lt;"&amp;AM149)=0,1,0),0)</f>
        <v/>
      </c>
      <c r="BE149" s="17">
        <f>IF(AND(BD149=1,G149&lt;=Config!$B$6),V149,"")</f>
        <v/>
      </c>
      <c r="BF149" s="17">
        <f>IF(AND(BD149=1,G149&lt;=Config!$B$7),V149,"")</f>
        <v/>
      </c>
      <c r="BG149" s="17">
        <f>IF(AND(BD149=1,G149&lt;=Config!$B$8),V149,"")</f>
        <v/>
      </c>
      <c r="BH149" s="17">
        <f>IF(AND(BD149=1,G149&lt;=Config!$B$5),V149,"")</f>
        <v/>
      </c>
      <c r="BI149" s="17">
        <f>IF(AND(AN149=1,ISNUMBER(J149)),1,0)</f>
        <v/>
      </c>
      <c r="BJ149" s="17">
        <f>IF(BI149=1,IF(COUNTIFS($A$2:$A$201,$A149,$BI$2:$BI$201,1,$G$2:$G$201,"&lt;"&amp;G149)+COUNTIFS($A$2:$A$201,$A149,$BI$2:$BI$201,1,$G$2:$G$201,G149,$AM$2:$AM$201,"&lt;"&amp;AM149)=0,1,0),0)</f>
        <v/>
      </c>
      <c r="BK149" s="17">
        <f>IF(AND(BJ149=1,G149&lt;=Config!$B$5),J149,"")</f>
        <v/>
      </c>
      <c r="BL149" s="17">
        <f>IF(AND(AN149=1,OR(AND(ISNUMBER(R149),TRIM(S149)=""),AND(ISNUMBER(V149),TRIM(W149)=""))),1,0)</f>
        <v/>
      </c>
      <c r="BM149" s="17">
        <f>IF(AN149=1,AB149&amp;"","")</f>
        <v/>
      </c>
      <c r="BN149" s="17">
        <f>IF(AN149=1,AC149&amp;"","")</f>
        <v/>
      </c>
      <c r="BO149" s="17">
        <f>IF(AN149=1,AD149&amp;"","")</f>
        <v/>
      </c>
      <c r="BP149" s="17">
        <f>IF(AND(AN149=1,ISNUMBER(AI149),G149&lt;=Config!$B$5),AI149,"")</f>
        <v/>
      </c>
      <c r="BQ149" s="17">
        <f>IF(AN149=1,IF(COUNTIFS($A$2:$A$201,$A149,$AF$2:$AF$201,"Y",$AN$2:$AN$201,1)&gt;0,"Y","N"),"")</f>
        <v/>
      </c>
      <c r="BR149" s="17">
        <f>IF(AND(AN149=1,AF149="Y"),IF(COUNTIFS($A$2:$A$201,$A149,$AF$2:$AF$201,"Y",$AN$2:$AN$201,1,$G$2:$G$201,"&lt;"&amp;G149)+COUNTIFS($A$2:$A$201,$A149,$AF$2:$AF$201,"Y",$AN$2:$AN$201,1,$G$2:$G$201,G149,$AM$2:$AM$201,"&lt;"&amp;AM149)=0,1,0),0)</f>
        <v/>
      </c>
      <c r="BS149" s="17">
        <f>IF(AN149=1,IFERROR(MATCH($A149,INDEX(Clay_Brands!$A$2:$FZ$601,0,Sync!$D$5),0),""),"")</f>
        <v/>
      </c>
      <c r="BT149" s="17">
        <f>IF(BS149="","",IFERROR(INDEX(Clay_Brands!$A$2:$FZ$601,BS149,Sync!$D$7)&amp;"",""))</f>
        <v/>
      </c>
      <c r="BU149" s="17">
        <f>IF(BT149="","",IFERROR(INDEX(Lists!$J$2:$J$15,MATCH(BT149,Lists!$I$2:$I$15,0)),""))</f>
        <v/>
      </c>
      <c r="BV149" s="17">
        <f>IF(BS149="","",IFERROR(INDEX(Clay_Brands!$A$2:$FZ$601,BS149,Sync!$D$17)&amp;"",""))</f>
        <v/>
      </c>
      <c r="BW149" s="23">
        <f>IF(BS149="","",IFERROR(N(INDEX(Clay_Brands!$A$2:$FZ$601,BS149,Sync!$D$16)),0))</f>
        <v/>
      </c>
    </row>
    <row r="150">
      <c r="G150" s="22" t="n"/>
      <c r="AL150" s="17">
        <f>IF(TRIM($A150)="","",IF(AND(LEFT($A150,6)="SAMPLE",Config!$B$19&lt;&gt;"Y"),"",IF(NOT(ISNUMBER(G150)),"call_date is blank or not a date",IF(Sync!$D$5="","Clay paste is empty or has no row_id column: paste the Clay export on Clay_Brands",IF(BS150="","row_id not found in the Clay paste: add the Clay row or fix the row_id",IF(AND(ISNUMBER(BU150),BU150&gt;=1,BU150&lt;=5),"Clay status is "&amp;BT150&amp;": set call_done or later",IF(AND(AP150=1,BV150&lt;&gt;BQ150),"Clay yes_in_principle should be "&amp;BQ150,IF(AND(AP150=1,BW150&lt;&gt;G150),"Clay call_date should be "&amp;TEXT(G150,"yyyy-mm-dd"),""))))))))</f>
        <v/>
      </c>
      <c r="AM150" s="17">
        <f>ROW()</f>
        <v/>
      </c>
      <c r="AN150" s="17">
        <f>IF(AND(TRIM($A150)&lt;&gt;"",ISNUMBER(G150)),IF(AND(LEFT($A150,6)="SAMPLE",Config!$B$19&lt;&gt;"Y"),0,1),0)</f>
        <v/>
      </c>
      <c r="AO150" s="17">
        <f>IF(AN150=1,IF(COUNTIFS($A$2:$A$201,$A150,$AN$2:$AN$201,1,$G$2:$G$201,"&lt;"&amp;G150)+COUNTIFS($A$2:$A$201,$A150,$AN$2:$AN$201,1,$G$2:$G$201,G150,$AM$2:$AM$201,"&lt;"&amp;AM150)=0,1,0),0)</f>
        <v/>
      </c>
      <c r="AP150" s="17">
        <f>IF(AN150=1,IF(COUNTIFS($A$2:$A$201,$A150,$AN$2:$AN$201,1,$G$2:$G$201,"&gt;"&amp;G150)+COUNTIFS($A$2:$A$201,$A150,$AN$2:$AN$201,1,$G$2:$G$201,G150,$AM$2:$AM$201,"&gt;"&amp;AM150)=0,1,0),0)</f>
        <v/>
      </c>
      <c r="AQ150" s="17">
        <f>IF(AND(AN150=1,N150="Y",MAX(N(R150),N(V150))&gt;=Config!$B$14),1,0)</f>
        <v/>
      </c>
      <c r="AR150" s="17">
        <f>IF(AQ150=1,IF(COUNTIFS($A$2:$A$201,$A150,$AQ$2:$AQ$201,1,$G$2:$G$201,"&lt;"&amp;G150)+COUNTIFS($A$2:$A$201,$A150,$AQ$2:$AQ$201,1,$G$2:$G$201,G150,$AM$2:$AM$201,"&lt;"&amp;AM150)=0,1,0),0)</f>
        <v/>
      </c>
      <c r="AS150" s="17">
        <f>IF(AND(AN150=1,N150="Y",ISNUMBER(R150)),IF(R150&gt;=Config!$B$14,1,0),0)</f>
        <v/>
      </c>
      <c r="AT150" s="17">
        <f>IF(AS150=1,IF(COUNTIFS($A$2:$A$201,$A150,$AS$2:$AS$201,1,$G$2:$G$201,"&lt;"&amp;G150)+COUNTIFS($A$2:$A$201,$A150,$AS$2:$AS$201,1,$G$2:$G$201,G150,$AM$2:$AM$201,"&lt;"&amp;AM150)=0,1,0),0)</f>
        <v/>
      </c>
      <c r="AU150" s="17">
        <f>IF(AND(AN150=1,N150&lt;&gt;"Y",MAX(N(R150),N(V150))&gt;=Config!$B$14),1,0)</f>
        <v/>
      </c>
      <c r="AV150" s="17">
        <f>IF(AU150=1,IF(COUNTIFS($A$2:$A$201,$A150,$AU$2:$AU$201,1,$G$2:$G$201,"&lt;"&amp;G150)+COUNTIFS($A$2:$A$201,$A150,$AU$2:$AU$201,1,$G$2:$G$201,G150,$AM$2:$AM$201,"&lt;"&amp;AM150)=0,1,0),0)</f>
        <v/>
      </c>
      <c r="AW150" s="17">
        <f>IF(AND(AN150=1,ISNUMBER(R150)),1,0)</f>
        <v/>
      </c>
      <c r="AX150" s="17">
        <f>IF(AW150=1,IF(COUNTIFS($A$2:$A$201,$A150,$AW$2:$AW$201,1,$G$2:$G$201,"&lt;"&amp;G150)+COUNTIFS($A$2:$A$201,$A150,$AW$2:$AW$201,1,$G$2:$G$201,G150,$AM$2:$AM$201,"&lt;"&amp;AM150)=0,1,0),0)</f>
        <v/>
      </c>
      <c r="AY150" s="17">
        <f>IF(AND(AX150=1,G150&lt;=Config!$B$6),R150,"")</f>
        <v/>
      </c>
      <c r="AZ150" s="17">
        <f>IF(AND(AX150=1,G150&lt;=Config!$B$7),R150,"")</f>
        <v/>
      </c>
      <c r="BA150" s="17">
        <f>IF(AND(AX150=1,G150&lt;=Config!$B$8),R150,"")</f>
        <v/>
      </c>
      <c r="BB150" s="17">
        <f>IF(AND(AX150=1,G150&lt;=Config!$B$5),R150,"")</f>
        <v/>
      </c>
      <c r="BC150" s="17">
        <f>IF(AND(AN150=1,ISNUMBER(V150)),1,0)</f>
        <v/>
      </c>
      <c r="BD150" s="17">
        <f>IF(BC150=1,IF(COUNTIFS($A$2:$A$201,$A150,$BC$2:$BC$201,1,$G$2:$G$201,"&lt;"&amp;G150)+COUNTIFS($A$2:$A$201,$A150,$BC$2:$BC$201,1,$G$2:$G$201,G150,$AM$2:$AM$201,"&lt;"&amp;AM150)=0,1,0),0)</f>
        <v/>
      </c>
      <c r="BE150" s="17">
        <f>IF(AND(BD150=1,G150&lt;=Config!$B$6),V150,"")</f>
        <v/>
      </c>
      <c r="BF150" s="17">
        <f>IF(AND(BD150=1,G150&lt;=Config!$B$7),V150,"")</f>
        <v/>
      </c>
      <c r="BG150" s="17">
        <f>IF(AND(BD150=1,G150&lt;=Config!$B$8),V150,"")</f>
        <v/>
      </c>
      <c r="BH150" s="17">
        <f>IF(AND(BD150=1,G150&lt;=Config!$B$5),V150,"")</f>
        <v/>
      </c>
      <c r="BI150" s="17">
        <f>IF(AND(AN150=1,ISNUMBER(J150)),1,0)</f>
        <v/>
      </c>
      <c r="BJ150" s="17">
        <f>IF(BI150=1,IF(COUNTIFS($A$2:$A$201,$A150,$BI$2:$BI$201,1,$G$2:$G$201,"&lt;"&amp;G150)+COUNTIFS($A$2:$A$201,$A150,$BI$2:$BI$201,1,$G$2:$G$201,G150,$AM$2:$AM$201,"&lt;"&amp;AM150)=0,1,0),0)</f>
        <v/>
      </c>
      <c r="BK150" s="17">
        <f>IF(AND(BJ150=1,G150&lt;=Config!$B$5),J150,"")</f>
        <v/>
      </c>
      <c r="BL150" s="17">
        <f>IF(AND(AN150=1,OR(AND(ISNUMBER(R150),TRIM(S150)=""),AND(ISNUMBER(V150),TRIM(W150)=""))),1,0)</f>
        <v/>
      </c>
      <c r="BM150" s="17">
        <f>IF(AN150=1,AB150&amp;"","")</f>
        <v/>
      </c>
      <c r="BN150" s="17">
        <f>IF(AN150=1,AC150&amp;"","")</f>
        <v/>
      </c>
      <c r="BO150" s="17">
        <f>IF(AN150=1,AD150&amp;"","")</f>
        <v/>
      </c>
      <c r="BP150" s="17">
        <f>IF(AND(AN150=1,ISNUMBER(AI150),G150&lt;=Config!$B$5),AI150,"")</f>
        <v/>
      </c>
      <c r="BQ150" s="17">
        <f>IF(AN150=1,IF(COUNTIFS($A$2:$A$201,$A150,$AF$2:$AF$201,"Y",$AN$2:$AN$201,1)&gt;0,"Y","N"),"")</f>
        <v/>
      </c>
      <c r="BR150" s="17">
        <f>IF(AND(AN150=1,AF150="Y"),IF(COUNTIFS($A$2:$A$201,$A150,$AF$2:$AF$201,"Y",$AN$2:$AN$201,1,$G$2:$G$201,"&lt;"&amp;G150)+COUNTIFS($A$2:$A$201,$A150,$AF$2:$AF$201,"Y",$AN$2:$AN$201,1,$G$2:$G$201,G150,$AM$2:$AM$201,"&lt;"&amp;AM150)=0,1,0),0)</f>
        <v/>
      </c>
      <c r="BS150" s="17">
        <f>IF(AN150=1,IFERROR(MATCH($A150,INDEX(Clay_Brands!$A$2:$FZ$601,0,Sync!$D$5),0),""),"")</f>
        <v/>
      </c>
      <c r="BT150" s="17">
        <f>IF(BS150="","",IFERROR(INDEX(Clay_Brands!$A$2:$FZ$601,BS150,Sync!$D$7)&amp;"",""))</f>
        <v/>
      </c>
      <c r="BU150" s="17">
        <f>IF(BT150="","",IFERROR(INDEX(Lists!$J$2:$J$15,MATCH(BT150,Lists!$I$2:$I$15,0)),""))</f>
        <v/>
      </c>
      <c r="BV150" s="17">
        <f>IF(BS150="","",IFERROR(INDEX(Clay_Brands!$A$2:$FZ$601,BS150,Sync!$D$17)&amp;"",""))</f>
        <v/>
      </c>
      <c r="BW150" s="23">
        <f>IF(BS150="","",IFERROR(N(INDEX(Clay_Brands!$A$2:$FZ$601,BS150,Sync!$D$16)),0))</f>
        <v/>
      </c>
    </row>
    <row r="151">
      <c r="G151" s="22" t="n"/>
      <c r="AL151" s="17">
        <f>IF(TRIM($A151)="","",IF(AND(LEFT($A151,6)="SAMPLE",Config!$B$19&lt;&gt;"Y"),"",IF(NOT(ISNUMBER(G151)),"call_date is blank or not a date",IF(Sync!$D$5="","Clay paste is empty or has no row_id column: paste the Clay export on Clay_Brands",IF(BS151="","row_id not found in the Clay paste: add the Clay row or fix the row_id",IF(AND(ISNUMBER(BU151),BU151&gt;=1,BU151&lt;=5),"Clay status is "&amp;BT151&amp;": set call_done or later",IF(AND(AP151=1,BV151&lt;&gt;BQ151),"Clay yes_in_principle should be "&amp;BQ151,IF(AND(AP151=1,BW151&lt;&gt;G151),"Clay call_date should be "&amp;TEXT(G151,"yyyy-mm-dd"),""))))))))</f>
        <v/>
      </c>
      <c r="AM151" s="17">
        <f>ROW()</f>
        <v/>
      </c>
      <c r="AN151" s="17">
        <f>IF(AND(TRIM($A151)&lt;&gt;"",ISNUMBER(G151)),IF(AND(LEFT($A151,6)="SAMPLE",Config!$B$19&lt;&gt;"Y"),0,1),0)</f>
        <v/>
      </c>
      <c r="AO151" s="17">
        <f>IF(AN151=1,IF(COUNTIFS($A$2:$A$201,$A151,$AN$2:$AN$201,1,$G$2:$G$201,"&lt;"&amp;G151)+COUNTIFS($A$2:$A$201,$A151,$AN$2:$AN$201,1,$G$2:$G$201,G151,$AM$2:$AM$201,"&lt;"&amp;AM151)=0,1,0),0)</f>
        <v/>
      </c>
      <c r="AP151" s="17">
        <f>IF(AN151=1,IF(COUNTIFS($A$2:$A$201,$A151,$AN$2:$AN$201,1,$G$2:$G$201,"&gt;"&amp;G151)+COUNTIFS($A$2:$A$201,$A151,$AN$2:$AN$201,1,$G$2:$G$201,G151,$AM$2:$AM$201,"&gt;"&amp;AM151)=0,1,0),0)</f>
        <v/>
      </c>
      <c r="AQ151" s="17">
        <f>IF(AND(AN151=1,N151="Y",MAX(N(R151),N(V151))&gt;=Config!$B$14),1,0)</f>
        <v/>
      </c>
      <c r="AR151" s="17">
        <f>IF(AQ151=1,IF(COUNTIFS($A$2:$A$201,$A151,$AQ$2:$AQ$201,1,$G$2:$G$201,"&lt;"&amp;G151)+COUNTIFS($A$2:$A$201,$A151,$AQ$2:$AQ$201,1,$G$2:$G$201,G151,$AM$2:$AM$201,"&lt;"&amp;AM151)=0,1,0),0)</f>
        <v/>
      </c>
      <c r="AS151" s="17">
        <f>IF(AND(AN151=1,N151="Y",ISNUMBER(R151)),IF(R151&gt;=Config!$B$14,1,0),0)</f>
        <v/>
      </c>
      <c r="AT151" s="17">
        <f>IF(AS151=1,IF(COUNTIFS($A$2:$A$201,$A151,$AS$2:$AS$201,1,$G$2:$G$201,"&lt;"&amp;G151)+COUNTIFS($A$2:$A$201,$A151,$AS$2:$AS$201,1,$G$2:$G$201,G151,$AM$2:$AM$201,"&lt;"&amp;AM151)=0,1,0),0)</f>
        <v/>
      </c>
      <c r="AU151" s="17">
        <f>IF(AND(AN151=1,N151&lt;&gt;"Y",MAX(N(R151),N(V151))&gt;=Config!$B$14),1,0)</f>
        <v/>
      </c>
      <c r="AV151" s="17">
        <f>IF(AU151=1,IF(COUNTIFS($A$2:$A$201,$A151,$AU$2:$AU$201,1,$G$2:$G$201,"&lt;"&amp;G151)+COUNTIFS($A$2:$A$201,$A151,$AU$2:$AU$201,1,$G$2:$G$201,G151,$AM$2:$AM$201,"&lt;"&amp;AM151)=0,1,0),0)</f>
        <v/>
      </c>
      <c r="AW151" s="17">
        <f>IF(AND(AN151=1,ISNUMBER(R151)),1,0)</f>
        <v/>
      </c>
      <c r="AX151" s="17">
        <f>IF(AW151=1,IF(COUNTIFS($A$2:$A$201,$A151,$AW$2:$AW$201,1,$G$2:$G$201,"&lt;"&amp;G151)+COUNTIFS($A$2:$A$201,$A151,$AW$2:$AW$201,1,$G$2:$G$201,G151,$AM$2:$AM$201,"&lt;"&amp;AM151)=0,1,0),0)</f>
        <v/>
      </c>
      <c r="AY151" s="17">
        <f>IF(AND(AX151=1,G151&lt;=Config!$B$6),R151,"")</f>
        <v/>
      </c>
      <c r="AZ151" s="17">
        <f>IF(AND(AX151=1,G151&lt;=Config!$B$7),R151,"")</f>
        <v/>
      </c>
      <c r="BA151" s="17">
        <f>IF(AND(AX151=1,G151&lt;=Config!$B$8),R151,"")</f>
        <v/>
      </c>
      <c r="BB151" s="17">
        <f>IF(AND(AX151=1,G151&lt;=Config!$B$5),R151,"")</f>
        <v/>
      </c>
      <c r="BC151" s="17">
        <f>IF(AND(AN151=1,ISNUMBER(V151)),1,0)</f>
        <v/>
      </c>
      <c r="BD151" s="17">
        <f>IF(BC151=1,IF(COUNTIFS($A$2:$A$201,$A151,$BC$2:$BC$201,1,$G$2:$G$201,"&lt;"&amp;G151)+COUNTIFS($A$2:$A$201,$A151,$BC$2:$BC$201,1,$G$2:$G$201,G151,$AM$2:$AM$201,"&lt;"&amp;AM151)=0,1,0),0)</f>
        <v/>
      </c>
      <c r="BE151" s="17">
        <f>IF(AND(BD151=1,G151&lt;=Config!$B$6),V151,"")</f>
        <v/>
      </c>
      <c r="BF151" s="17">
        <f>IF(AND(BD151=1,G151&lt;=Config!$B$7),V151,"")</f>
        <v/>
      </c>
      <c r="BG151" s="17">
        <f>IF(AND(BD151=1,G151&lt;=Config!$B$8),V151,"")</f>
        <v/>
      </c>
      <c r="BH151" s="17">
        <f>IF(AND(BD151=1,G151&lt;=Config!$B$5),V151,"")</f>
        <v/>
      </c>
      <c r="BI151" s="17">
        <f>IF(AND(AN151=1,ISNUMBER(J151)),1,0)</f>
        <v/>
      </c>
      <c r="BJ151" s="17">
        <f>IF(BI151=1,IF(COUNTIFS($A$2:$A$201,$A151,$BI$2:$BI$201,1,$G$2:$G$201,"&lt;"&amp;G151)+COUNTIFS($A$2:$A$201,$A151,$BI$2:$BI$201,1,$G$2:$G$201,G151,$AM$2:$AM$201,"&lt;"&amp;AM151)=0,1,0),0)</f>
        <v/>
      </c>
      <c r="BK151" s="17">
        <f>IF(AND(BJ151=1,G151&lt;=Config!$B$5),J151,"")</f>
        <v/>
      </c>
      <c r="BL151" s="17">
        <f>IF(AND(AN151=1,OR(AND(ISNUMBER(R151),TRIM(S151)=""),AND(ISNUMBER(V151),TRIM(W151)=""))),1,0)</f>
        <v/>
      </c>
      <c r="BM151" s="17">
        <f>IF(AN151=1,AB151&amp;"","")</f>
        <v/>
      </c>
      <c r="BN151" s="17">
        <f>IF(AN151=1,AC151&amp;"","")</f>
        <v/>
      </c>
      <c r="BO151" s="17">
        <f>IF(AN151=1,AD151&amp;"","")</f>
        <v/>
      </c>
      <c r="BP151" s="17">
        <f>IF(AND(AN151=1,ISNUMBER(AI151),G151&lt;=Config!$B$5),AI151,"")</f>
        <v/>
      </c>
      <c r="BQ151" s="17">
        <f>IF(AN151=1,IF(COUNTIFS($A$2:$A$201,$A151,$AF$2:$AF$201,"Y",$AN$2:$AN$201,1)&gt;0,"Y","N"),"")</f>
        <v/>
      </c>
      <c r="BR151" s="17">
        <f>IF(AND(AN151=1,AF151="Y"),IF(COUNTIFS($A$2:$A$201,$A151,$AF$2:$AF$201,"Y",$AN$2:$AN$201,1,$G$2:$G$201,"&lt;"&amp;G151)+COUNTIFS($A$2:$A$201,$A151,$AF$2:$AF$201,"Y",$AN$2:$AN$201,1,$G$2:$G$201,G151,$AM$2:$AM$201,"&lt;"&amp;AM151)=0,1,0),0)</f>
        <v/>
      </c>
      <c r="BS151" s="17">
        <f>IF(AN151=1,IFERROR(MATCH($A151,INDEX(Clay_Brands!$A$2:$FZ$601,0,Sync!$D$5),0),""),"")</f>
        <v/>
      </c>
      <c r="BT151" s="17">
        <f>IF(BS151="","",IFERROR(INDEX(Clay_Brands!$A$2:$FZ$601,BS151,Sync!$D$7)&amp;"",""))</f>
        <v/>
      </c>
      <c r="BU151" s="17">
        <f>IF(BT151="","",IFERROR(INDEX(Lists!$J$2:$J$15,MATCH(BT151,Lists!$I$2:$I$15,0)),""))</f>
        <v/>
      </c>
      <c r="BV151" s="17">
        <f>IF(BS151="","",IFERROR(INDEX(Clay_Brands!$A$2:$FZ$601,BS151,Sync!$D$17)&amp;"",""))</f>
        <v/>
      </c>
      <c r="BW151" s="23">
        <f>IF(BS151="","",IFERROR(N(INDEX(Clay_Brands!$A$2:$FZ$601,BS151,Sync!$D$16)),0))</f>
        <v/>
      </c>
    </row>
    <row r="152">
      <c r="G152" s="22" t="n"/>
      <c r="AL152" s="17">
        <f>IF(TRIM($A152)="","",IF(AND(LEFT($A152,6)="SAMPLE",Config!$B$19&lt;&gt;"Y"),"",IF(NOT(ISNUMBER(G152)),"call_date is blank or not a date",IF(Sync!$D$5="","Clay paste is empty or has no row_id column: paste the Clay export on Clay_Brands",IF(BS152="","row_id not found in the Clay paste: add the Clay row or fix the row_id",IF(AND(ISNUMBER(BU152),BU152&gt;=1,BU152&lt;=5),"Clay status is "&amp;BT152&amp;": set call_done or later",IF(AND(AP152=1,BV152&lt;&gt;BQ152),"Clay yes_in_principle should be "&amp;BQ152,IF(AND(AP152=1,BW152&lt;&gt;G152),"Clay call_date should be "&amp;TEXT(G152,"yyyy-mm-dd"),""))))))))</f>
        <v/>
      </c>
      <c r="AM152" s="17">
        <f>ROW()</f>
        <v/>
      </c>
      <c r="AN152" s="17">
        <f>IF(AND(TRIM($A152)&lt;&gt;"",ISNUMBER(G152)),IF(AND(LEFT($A152,6)="SAMPLE",Config!$B$19&lt;&gt;"Y"),0,1),0)</f>
        <v/>
      </c>
      <c r="AO152" s="17">
        <f>IF(AN152=1,IF(COUNTIFS($A$2:$A$201,$A152,$AN$2:$AN$201,1,$G$2:$G$201,"&lt;"&amp;G152)+COUNTIFS($A$2:$A$201,$A152,$AN$2:$AN$201,1,$G$2:$G$201,G152,$AM$2:$AM$201,"&lt;"&amp;AM152)=0,1,0),0)</f>
        <v/>
      </c>
      <c r="AP152" s="17">
        <f>IF(AN152=1,IF(COUNTIFS($A$2:$A$201,$A152,$AN$2:$AN$201,1,$G$2:$G$201,"&gt;"&amp;G152)+COUNTIFS($A$2:$A$201,$A152,$AN$2:$AN$201,1,$G$2:$G$201,G152,$AM$2:$AM$201,"&gt;"&amp;AM152)=0,1,0),0)</f>
        <v/>
      </c>
      <c r="AQ152" s="17">
        <f>IF(AND(AN152=1,N152="Y",MAX(N(R152),N(V152))&gt;=Config!$B$14),1,0)</f>
        <v/>
      </c>
      <c r="AR152" s="17">
        <f>IF(AQ152=1,IF(COUNTIFS($A$2:$A$201,$A152,$AQ$2:$AQ$201,1,$G$2:$G$201,"&lt;"&amp;G152)+COUNTIFS($A$2:$A$201,$A152,$AQ$2:$AQ$201,1,$G$2:$G$201,G152,$AM$2:$AM$201,"&lt;"&amp;AM152)=0,1,0),0)</f>
        <v/>
      </c>
      <c r="AS152" s="17">
        <f>IF(AND(AN152=1,N152="Y",ISNUMBER(R152)),IF(R152&gt;=Config!$B$14,1,0),0)</f>
        <v/>
      </c>
      <c r="AT152" s="17">
        <f>IF(AS152=1,IF(COUNTIFS($A$2:$A$201,$A152,$AS$2:$AS$201,1,$G$2:$G$201,"&lt;"&amp;G152)+COUNTIFS($A$2:$A$201,$A152,$AS$2:$AS$201,1,$G$2:$G$201,G152,$AM$2:$AM$201,"&lt;"&amp;AM152)=0,1,0),0)</f>
        <v/>
      </c>
      <c r="AU152" s="17">
        <f>IF(AND(AN152=1,N152&lt;&gt;"Y",MAX(N(R152),N(V152))&gt;=Config!$B$14),1,0)</f>
        <v/>
      </c>
      <c r="AV152" s="17">
        <f>IF(AU152=1,IF(COUNTIFS($A$2:$A$201,$A152,$AU$2:$AU$201,1,$G$2:$G$201,"&lt;"&amp;G152)+COUNTIFS($A$2:$A$201,$A152,$AU$2:$AU$201,1,$G$2:$G$201,G152,$AM$2:$AM$201,"&lt;"&amp;AM152)=0,1,0),0)</f>
        <v/>
      </c>
      <c r="AW152" s="17">
        <f>IF(AND(AN152=1,ISNUMBER(R152)),1,0)</f>
        <v/>
      </c>
      <c r="AX152" s="17">
        <f>IF(AW152=1,IF(COUNTIFS($A$2:$A$201,$A152,$AW$2:$AW$201,1,$G$2:$G$201,"&lt;"&amp;G152)+COUNTIFS($A$2:$A$201,$A152,$AW$2:$AW$201,1,$G$2:$G$201,G152,$AM$2:$AM$201,"&lt;"&amp;AM152)=0,1,0),0)</f>
        <v/>
      </c>
      <c r="AY152" s="17">
        <f>IF(AND(AX152=1,G152&lt;=Config!$B$6),R152,"")</f>
        <v/>
      </c>
      <c r="AZ152" s="17">
        <f>IF(AND(AX152=1,G152&lt;=Config!$B$7),R152,"")</f>
        <v/>
      </c>
      <c r="BA152" s="17">
        <f>IF(AND(AX152=1,G152&lt;=Config!$B$8),R152,"")</f>
        <v/>
      </c>
      <c r="BB152" s="17">
        <f>IF(AND(AX152=1,G152&lt;=Config!$B$5),R152,"")</f>
        <v/>
      </c>
      <c r="BC152" s="17">
        <f>IF(AND(AN152=1,ISNUMBER(V152)),1,0)</f>
        <v/>
      </c>
      <c r="BD152" s="17">
        <f>IF(BC152=1,IF(COUNTIFS($A$2:$A$201,$A152,$BC$2:$BC$201,1,$G$2:$G$201,"&lt;"&amp;G152)+COUNTIFS($A$2:$A$201,$A152,$BC$2:$BC$201,1,$G$2:$G$201,G152,$AM$2:$AM$201,"&lt;"&amp;AM152)=0,1,0),0)</f>
        <v/>
      </c>
      <c r="BE152" s="17">
        <f>IF(AND(BD152=1,G152&lt;=Config!$B$6),V152,"")</f>
        <v/>
      </c>
      <c r="BF152" s="17">
        <f>IF(AND(BD152=1,G152&lt;=Config!$B$7),V152,"")</f>
        <v/>
      </c>
      <c r="BG152" s="17">
        <f>IF(AND(BD152=1,G152&lt;=Config!$B$8),V152,"")</f>
        <v/>
      </c>
      <c r="BH152" s="17">
        <f>IF(AND(BD152=1,G152&lt;=Config!$B$5),V152,"")</f>
        <v/>
      </c>
      <c r="BI152" s="17">
        <f>IF(AND(AN152=1,ISNUMBER(J152)),1,0)</f>
        <v/>
      </c>
      <c r="BJ152" s="17">
        <f>IF(BI152=1,IF(COUNTIFS($A$2:$A$201,$A152,$BI$2:$BI$201,1,$G$2:$G$201,"&lt;"&amp;G152)+COUNTIFS($A$2:$A$201,$A152,$BI$2:$BI$201,1,$G$2:$G$201,G152,$AM$2:$AM$201,"&lt;"&amp;AM152)=0,1,0),0)</f>
        <v/>
      </c>
      <c r="BK152" s="17">
        <f>IF(AND(BJ152=1,G152&lt;=Config!$B$5),J152,"")</f>
        <v/>
      </c>
      <c r="BL152" s="17">
        <f>IF(AND(AN152=1,OR(AND(ISNUMBER(R152),TRIM(S152)=""),AND(ISNUMBER(V152),TRIM(W152)=""))),1,0)</f>
        <v/>
      </c>
      <c r="BM152" s="17">
        <f>IF(AN152=1,AB152&amp;"","")</f>
        <v/>
      </c>
      <c r="BN152" s="17">
        <f>IF(AN152=1,AC152&amp;"","")</f>
        <v/>
      </c>
      <c r="BO152" s="17">
        <f>IF(AN152=1,AD152&amp;"","")</f>
        <v/>
      </c>
      <c r="BP152" s="17">
        <f>IF(AND(AN152=1,ISNUMBER(AI152),G152&lt;=Config!$B$5),AI152,"")</f>
        <v/>
      </c>
      <c r="BQ152" s="17">
        <f>IF(AN152=1,IF(COUNTIFS($A$2:$A$201,$A152,$AF$2:$AF$201,"Y",$AN$2:$AN$201,1)&gt;0,"Y","N"),"")</f>
        <v/>
      </c>
      <c r="BR152" s="17">
        <f>IF(AND(AN152=1,AF152="Y"),IF(COUNTIFS($A$2:$A$201,$A152,$AF$2:$AF$201,"Y",$AN$2:$AN$201,1,$G$2:$G$201,"&lt;"&amp;G152)+COUNTIFS($A$2:$A$201,$A152,$AF$2:$AF$201,"Y",$AN$2:$AN$201,1,$G$2:$G$201,G152,$AM$2:$AM$201,"&lt;"&amp;AM152)=0,1,0),0)</f>
        <v/>
      </c>
      <c r="BS152" s="17">
        <f>IF(AN152=1,IFERROR(MATCH($A152,INDEX(Clay_Brands!$A$2:$FZ$601,0,Sync!$D$5),0),""),"")</f>
        <v/>
      </c>
      <c r="BT152" s="17">
        <f>IF(BS152="","",IFERROR(INDEX(Clay_Brands!$A$2:$FZ$601,BS152,Sync!$D$7)&amp;"",""))</f>
        <v/>
      </c>
      <c r="BU152" s="17">
        <f>IF(BT152="","",IFERROR(INDEX(Lists!$J$2:$J$15,MATCH(BT152,Lists!$I$2:$I$15,0)),""))</f>
        <v/>
      </c>
      <c r="BV152" s="17">
        <f>IF(BS152="","",IFERROR(INDEX(Clay_Brands!$A$2:$FZ$601,BS152,Sync!$D$17)&amp;"",""))</f>
        <v/>
      </c>
      <c r="BW152" s="23">
        <f>IF(BS152="","",IFERROR(N(INDEX(Clay_Brands!$A$2:$FZ$601,BS152,Sync!$D$16)),0))</f>
        <v/>
      </c>
    </row>
    <row r="153">
      <c r="G153" s="22" t="n"/>
      <c r="AL153" s="17">
        <f>IF(TRIM($A153)="","",IF(AND(LEFT($A153,6)="SAMPLE",Config!$B$19&lt;&gt;"Y"),"",IF(NOT(ISNUMBER(G153)),"call_date is blank or not a date",IF(Sync!$D$5="","Clay paste is empty or has no row_id column: paste the Clay export on Clay_Brands",IF(BS153="","row_id not found in the Clay paste: add the Clay row or fix the row_id",IF(AND(ISNUMBER(BU153),BU153&gt;=1,BU153&lt;=5),"Clay status is "&amp;BT153&amp;": set call_done or later",IF(AND(AP153=1,BV153&lt;&gt;BQ153),"Clay yes_in_principle should be "&amp;BQ153,IF(AND(AP153=1,BW153&lt;&gt;G153),"Clay call_date should be "&amp;TEXT(G153,"yyyy-mm-dd"),""))))))))</f>
        <v/>
      </c>
      <c r="AM153" s="17">
        <f>ROW()</f>
        <v/>
      </c>
      <c r="AN153" s="17">
        <f>IF(AND(TRIM($A153)&lt;&gt;"",ISNUMBER(G153)),IF(AND(LEFT($A153,6)="SAMPLE",Config!$B$19&lt;&gt;"Y"),0,1),0)</f>
        <v/>
      </c>
      <c r="AO153" s="17">
        <f>IF(AN153=1,IF(COUNTIFS($A$2:$A$201,$A153,$AN$2:$AN$201,1,$G$2:$G$201,"&lt;"&amp;G153)+COUNTIFS($A$2:$A$201,$A153,$AN$2:$AN$201,1,$G$2:$G$201,G153,$AM$2:$AM$201,"&lt;"&amp;AM153)=0,1,0),0)</f>
        <v/>
      </c>
      <c r="AP153" s="17">
        <f>IF(AN153=1,IF(COUNTIFS($A$2:$A$201,$A153,$AN$2:$AN$201,1,$G$2:$G$201,"&gt;"&amp;G153)+COUNTIFS($A$2:$A$201,$A153,$AN$2:$AN$201,1,$G$2:$G$201,G153,$AM$2:$AM$201,"&gt;"&amp;AM153)=0,1,0),0)</f>
        <v/>
      </c>
      <c r="AQ153" s="17">
        <f>IF(AND(AN153=1,N153="Y",MAX(N(R153),N(V153))&gt;=Config!$B$14),1,0)</f>
        <v/>
      </c>
      <c r="AR153" s="17">
        <f>IF(AQ153=1,IF(COUNTIFS($A$2:$A$201,$A153,$AQ$2:$AQ$201,1,$G$2:$G$201,"&lt;"&amp;G153)+COUNTIFS($A$2:$A$201,$A153,$AQ$2:$AQ$201,1,$G$2:$G$201,G153,$AM$2:$AM$201,"&lt;"&amp;AM153)=0,1,0),0)</f>
        <v/>
      </c>
      <c r="AS153" s="17">
        <f>IF(AND(AN153=1,N153="Y",ISNUMBER(R153)),IF(R153&gt;=Config!$B$14,1,0),0)</f>
        <v/>
      </c>
      <c r="AT153" s="17">
        <f>IF(AS153=1,IF(COUNTIFS($A$2:$A$201,$A153,$AS$2:$AS$201,1,$G$2:$G$201,"&lt;"&amp;G153)+COUNTIFS($A$2:$A$201,$A153,$AS$2:$AS$201,1,$G$2:$G$201,G153,$AM$2:$AM$201,"&lt;"&amp;AM153)=0,1,0),0)</f>
        <v/>
      </c>
      <c r="AU153" s="17">
        <f>IF(AND(AN153=1,N153&lt;&gt;"Y",MAX(N(R153),N(V153))&gt;=Config!$B$14),1,0)</f>
        <v/>
      </c>
      <c r="AV153" s="17">
        <f>IF(AU153=1,IF(COUNTIFS($A$2:$A$201,$A153,$AU$2:$AU$201,1,$G$2:$G$201,"&lt;"&amp;G153)+COUNTIFS($A$2:$A$201,$A153,$AU$2:$AU$201,1,$G$2:$G$201,G153,$AM$2:$AM$201,"&lt;"&amp;AM153)=0,1,0),0)</f>
        <v/>
      </c>
      <c r="AW153" s="17">
        <f>IF(AND(AN153=1,ISNUMBER(R153)),1,0)</f>
        <v/>
      </c>
      <c r="AX153" s="17">
        <f>IF(AW153=1,IF(COUNTIFS($A$2:$A$201,$A153,$AW$2:$AW$201,1,$G$2:$G$201,"&lt;"&amp;G153)+COUNTIFS($A$2:$A$201,$A153,$AW$2:$AW$201,1,$G$2:$G$201,G153,$AM$2:$AM$201,"&lt;"&amp;AM153)=0,1,0),0)</f>
        <v/>
      </c>
      <c r="AY153" s="17">
        <f>IF(AND(AX153=1,G153&lt;=Config!$B$6),R153,"")</f>
        <v/>
      </c>
      <c r="AZ153" s="17">
        <f>IF(AND(AX153=1,G153&lt;=Config!$B$7),R153,"")</f>
        <v/>
      </c>
      <c r="BA153" s="17">
        <f>IF(AND(AX153=1,G153&lt;=Config!$B$8),R153,"")</f>
        <v/>
      </c>
      <c r="BB153" s="17">
        <f>IF(AND(AX153=1,G153&lt;=Config!$B$5),R153,"")</f>
        <v/>
      </c>
      <c r="BC153" s="17">
        <f>IF(AND(AN153=1,ISNUMBER(V153)),1,0)</f>
        <v/>
      </c>
      <c r="BD153" s="17">
        <f>IF(BC153=1,IF(COUNTIFS($A$2:$A$201,$A153,$BC$2:$BC$201,1,$G$2:$G$201,"&lt;"&amp;G153)+COUNTIFS($A$2:$A$201,$A153,$BC$2:$BC$201,1,$G$2:$G$201,G153,$AM$2:$AM$201,"&lt;"&amp;AM153)=0,1,0),0)</f>
        <v/>
      </c>
      <c r="BE153" s="17">
        <f>IF(AND(BD153=1,G153&lt;=Config!$B$6),V153,"")</f>
        <v/>
      </c>
      <c r="BF153" s="17">
        <f>IF(AND(BD153=1,G153&lt;=Config!$B$7),V153,"")</f>
        <v/>
      </c>
      <c r="BG153" s="17">
        <f>IF(AND(BD153=1,G153&lt;=Config!$B$8),V153,"")</f>
        <v/>
      </c>
      <c r="BH153" s="17">
        <f>IF(AND(BD153=1,G153&lt;=Config!$B$5),V153,"")</f>
        <v/>
      </c>
      <c r="BI153" s="17">
        <f>IF(AND(AN153=1,ISNUMBER(J153)),1,0)</f>
        <v/>
      </c>
      <c r="BJ153" s="17">
        <f>IF(BI153=1,IF(COUNTIFS($A$2:$A$201,$A153,$BI$2:$BI$201,1,$G$2:$G$201,"&lt;"&amp;G153)+COUNTIFS($A$2:$A$201,$A153,$BI$2:$BI$201,1,$G$2:$G$201,G153,$AM$2:$AM$201,"&lt;"&amp;AM153)=0,1,0),0)</f>
        <v/>
      </c>
      <c r="BK153" s="17">
        <f>IF(AND(BJ153=1,G153&lt;=Config!$B$5),J153,"")</f>
        <v/>
      </c>
      <c r="BL153" s="17">
        <f>IF(AND(AN153=1,OR(AND(ISNUMBER(R153),TRIM(S153)=""),AND(ISNUMBER(V153),TRIM(W153)=""))),1,0)</f>
        <v/>
      </c>
      <c r="BM153" s="17">
        <f>IF(AN153=1,AB153&amp;"","")</f>
        <v/>
      </c>
      <c r="BN153" s="17">
        <f>IF(AN153=1,AC153&amp;"","")</f>
        <v/>
      </c>
      <c r="BO153" s="17">
        <f>IF(AN153=1,AD153&amp;"","")</f>
        <v/>
      </c>
      <c r="BP153" s="17">
        <f>IF(AND(AN153=1,ISNUMBER(AI153),G153&lt;=Config!$B$5),AI153,"")</f>
        <v/>
      </c>
      <c r="BQ153" s="17">
        <f>IF(AN153=1,IF(COUNTIFS($A$2:$A$201,$A153,$AF$2:$AF$201,"Y",$AN$2:$AN$201,1)&gt;0,"Y","N"),"")</f>
        <v/>
      </c>
      <c r="BR153" s="17">
        <f>IF(AND(AN153=1,AF153="Y"),IF(COUNTIFS($A$2:$A$201,$A153,$AF$2:$AF$201,"Y",$AN$2:$AN$201,1,$G$2:$G$201,"&lt;"&amp;G153)+COUNTIFS($A$2:$A$201,$A153,$AF$2:$AF$201,"Y",$AN$2:$AN$201,1,$G$2:$G$201,G153,$AM$2:$AM$201,"&lt;"&amp;AM153)=0,1,0),0)</f>
        <v/>
      </c>
      <c r="BS153" s="17">
        <f>IF(AN153=1,IFERROR(MATCH($A153,INDEX(Clay_Brands!$A$2:$FZ$601,0,Sync!$D$5),0),""),"")</f>
        <v/>
      </c>
      <c r="BT153" s="17">
        <f>IF(BS153="","",IFERROR(INDEX(Clay_Brands!$A$2:$FZ$601,BS153,Sync!$D$7)&amp;"",""))</f>
        <v/>
      </c>
      <c r="BU153" s="17">
        <f>IF(BT153="","",IFERROR(INDEX(Lists!$J$2:$J$15,MATCH(BT153,Lists!$I$2:$I$15,0)),""))</f>
        <v/>
      </c>
      <c r="BV153" s="17">
        <f>IF(BS153="","",IFERROR(INDEX(Clay_Brands!$A$2:$FZ$601,BS153,Sync!$D$17)&amp;"",""))</f>
        <v/>
      </c>
      <c r="BW153" s="23">
        <f>IF(BS153="","",IFERROR(N(INDEX(Clay_Brands!$A$2:$FZ$601,BS153,Sync!$D$16)),0))</f>
        <v/>
      </c>
    </row>
    <row r="154">
      <c r="G154" s="22" t="n"/>
      <c r="AL154" s="17">
        <f>IF(TRIM($A154)="","",IF(AND(LEFT($A154,6)="SAMPLE",Config!$B$19&lt;&gt;"Y"),"",IF(NOT(ISNUMBER(G154)),"call_date is blank or not a date",IF(Sync!$D$5="","Clay paste is empty or has no row_id column: paste the Clay export on Clay_Brands",IF(BS154="","row_id not found in the Clay paste: add the Clay row or fix the row_id",IF(AND(ISNUMBER(BU154),BU154&gt;=1,BU154&lt;=5),"Clay status is "&amp;BT154&amp;": set call_done or later",IF(AND(AP154=1,BV154&lt;&gt;BQ154),"Clay yes_in_principle should be "&amp;BQ154,IF(AND(AP154=1,BW154&lt;&gt;G154),"Clay call_date should be "&amp;TEXT(G154,"yyyy-mm-dd"),""))))))))</f>
        <v/>
      </c>
      <c r="AM154" s="17">
        <f>ROW()</f>
        <v/>
      </c>
      <c r="AN154" s="17">
        <f>IF(AND(TRIM($A154)&lt;&gt;"",ISNUMBER(G154)),IF(AND(LEFT($A154,6)="SAMPLE",Config!$B$19&lt;&gt;"Y"),0,1),0)</f>
        <v/>
      </c>
      <c r="AO154" s="17">
        <f>IF(AN154=1,IF(COUNTIFS($A$2:$A$201,$A154,$AN$2:$AN$201,1,$G$2:$G$201,"&lt;"&amp;G154)+COUNTIFS($A$2:$A$201,$A154,$AN$2:$AN$201,1,$G$2:$G$201,G154,$AM$2:$AM$201,"&lt;"&amp;AM154)=0,1,0),0)</f>
        <v/>
      </c>
      <c r="AP154" s="17">
        <f>IF(AN154=1,IF(COUNTIFS($A$2:$A$201,$A154,$AN$2:$AN$201,1,$G$2:$G$201,"&gt;"&amp;G154)+COUNTIFS($A$2:$A$201,$A154,$AN$2:$AN$201,1,$G$2:$G$201,G154,$AM$2:$AM$201,"&gt;"&amp;AM154)=0,1,0),0)</f>
        <v/>
      </c>
      <c r="AQ154" s="17">
        <f>IF(AND(AN154=1,N154="Y",MAX(N(R154),N(V154))&gt;=Config!$B$14),1,0)</f>
        <v/>
      </c>
      <c r="AR154" s="17">
        <f>IF(AQ154=1,IF(COUNTIFS($A$2:$A$201,$A154,$AQ$2:$AQ$201,1,$G$2:$G$201,"&lt;"&amp;G154)+COUNTIFS($A$2:$A$201,$A154,$AQ$2:$AQ$201,1,$G$2:$G$201,G154,$AM$2:$AM$201,"&lt;"&amp;AM154)=0,1,0),0)</f>
        <v/>
      </c>
      <c r="AS154" s="17">
        <f>IF(AND(AN154=1,N154="Y",ISNUMBER(R154)),IF(R154&gt;=Config!$B$14,1,0),0)</f>
        <v/>
      </c>
      <c r="AT154" s="17">
        <f>IF(AS154=1,IF(COUNTIFS($A$2:$A$201,$A154,$AS$2:$AS$201,1,$G$2:$G$201,"&lt;"&amp;G154)+COUNTIFS($A$2:$A$201,$A154,$AS$2:$AS$201,1,$G$2:$G$201,G154,$AM$2:$AM$201,"&lt;"&amp;AM154)=0,1,0),0)</f>
        <v/>
      </c>
      <c r="AU154" s="17">
        <f>IF(AND(AN154=1,N154&lt;&gt;"Y",MAX(N(R154),N(V154))&gt;=Config!$B$14),1,0)</f>
        <v/>
      </c>
      <c r="AV154" s="17">
        <f>IF(AU154=1,IF(COUNTIFS($A$2:$A$201,$A154,$AU$2:$AU$201,1,$G$2:$G$201,"&lt;"&amp;G154)+COUNTIFS($A$2:$A$201,$A154,$AU$2:$AU$201,1,$G$2:$G$201,G154,$AM$2:$AM$201,"&lt;"&amp;AM154)=0,1,0),0)</f>
        <v/>
      </c>
      <c r="AW154" s="17">
        <f>IF(AND(AN154=1,ISNUMBER(R154)),1,0)</f>
        <v/>
      </c>
      <c r="AX154" s="17">
        <f>IF(AW154=1,IF(COUNTIFS($A$2:$A$201,$A154,$AW$2:$AW$201,1,$G$2:$G$201,"&lt;"&amp;G154)+COUNTIFS($A$2:$A$201,$A154,$AW$2:$AW$201,1,$G$2:$G$201,G154,$AM$2:$AM$201,"&lt;"&amp;AM154)=0,1,0),0)</f>
        <v/>
      </c>
      <c r="AY154" s="17">
        <f>IF(AND(AX154=1,G154&lt;=Config!$B$6),R154,"")</f>
        <v/>
      </c>
      <c r="AZ154" s="17">
        <f>IF(AND(AX154=1,G154&lt;=Config!$B$7),R154,"")</f>
        <v/>
      </c>
      <c r="BA154" s="17">
        <f>IF(AND(AX154=1,G154&lt;=Config!$B$8),R154,"")</f>
        <v/>
      </c>
      <c r="BB154" s="17">
        <f>IF(AND(AX154=1,G154&lt;=Config!$B$5),R154,"")</f>
        <v/>
      </c>
      <c r="BC154" s="17">
        <f>IF(AND(AN154=1,ISNUMBER(V154)),1,0)</f>
        <v/>
      </c>
      <c r="BD154" s="17">
        <f>IF(BC154=1,IF(COUNTIFS($A$2:$A$201,$A154,$BC$2:$BC$201,1,$G$2:$G$201,"&lt;"&amp;G154)+COUNTIFS($A$2:$A$201,$A154,$BC$2:$BC$201,1,$G$2:$G$201,G154,$AM$2:$AM$201,"&lt;"&amp;AM154)=0,1,0),0)</f>
        <v/>
      </c>
      <c r="BE154" s="17">
        <f>IF(AND(BD154=1,G154&lt;=Config!$B$6),V154,"")</f>
        <v/>
      </c>
      <c r="BF154" s="17">
        <f>IF(AND(BD154=1,G154&lt;=Config!$B$7),V154,"")</f>
        <v/>
      </c>
      <c r="BG154" s="17">
        <f>IF(AND(BD154=1,G154&lt;=Config!$B$8),V154,"")</f>
        <v/>
      </c>
      <c r="BH154" s="17">
        <f>IF(AND(BD154=1,G154&lt;=Config!$B$5),V154,"")</f>
        <v/>
      </c>
      <c r="BI154" s="17">
        <f>IF(AND(AN154=1,ISNUMBER(J154)),1,0)</f>
        <v/>
      </c>
      <c r="BJ154" s="17">
        <f>IF(BI154=1,IF(COUNTIFS($A$2:$A$201,$A154,$BI$2:$BI$201,1,$G$2:$G$201,"&lt;"&amp;G154)+COUNTIFS($A$2:$A$201,$A154,$BI$2:$BI$201,1,$G$2:$G$201,G154,$AM$2:$AM$201,"&lt;"&amp;AM154)=0,1,0),0)</f>
        <v/>
      </c>
      <c r="BK154" s="17">
        <f>IF(AND(BJ154=1,G154&lt;=Config!$B$5),J154,"")</f>
        <v/>
      </c>
      <c r="BL154" s="17">
        <f>IF(AND(AN154=1,OR(AND(ISNUMBER(R154),TRIM(S154)=""),AND(ISNUMBER(V154),TRIM(W154)=""))),1,0)</f>
        <v/>
      </c>
      <c r="BM154" s="17">
        <f>IF(AN154=1,AB154&amp;"","")</f>
        <v/>
      </c>
      <c r="BN154" s="17">
        <f>IF(AN154=1,AC154&amp;"","")</f>
        <v/>
      </c>
      <c r="BO154" s="17">
        <f>IF(AN154=1,AD154&amp;"","")</f>
        <v/>
      </c>
      <c r="BP154" s="17">
        <f>IF(AND(AN154=1,ISNUMBER(AI154),G154&lt;=Config!$B$5),AI154,"")</f>
        <v/>
      </c>
      <c r="BQ154" s="17">
        <f>IF(AN154=1,IF(COUNTIFS($A$2:$A$201,$A154,$AF$2:$AF$201,"Y",$AN$2:$AN$201,1)&gt;0,"Y","N"),"")</f>
        <v/>
      </c>
      <c r="BR154" s="17">
        <f>IF(AND(AN154=1,AF154="Y"),IF(COUNTIFS($A$2:$A$201,$A154,$AF$2:$AF$201,"Y",$AN$2:$AN$201,1,$G$2:$G$201,"&lt;"&amp;G154)+COUNTIFS($A$2:$A$201,$A154,$AF$2:$AF$201,"Y",$AN$2:$AN$201,1,$G$2:$G$201,G154,$AM$2:$AM$201,"&lt;"&amp;AM154)=0,1,0),0)</f>
        <v/>
      </c>
      <c r="BS154" s="17">
        <f>IF(AN154=1,IFERROR(MATCH($A154,INDEX(Clay_Brands!$A$2:$FZ$601,0,Sync!$D$5),0),""),"")</f>
        <v/>
      </c>
      <c r="BT154" s="17">
        <f>IF(BS154="","",IFERROR(INDEX(Clay_Brands!$A$2:$FZ$601,BS154,Sync!$D$7)&amp;"",""))</f>
        <v/>
      </c>
      <c r="BU154" s="17">
        <f>IF(BT154="","",IFERROR(INDEX(Lists!$J$2:$J$15,MATCH(BT154,Lists!$I$2:$I$15,0)),""))</f>
        <v/>
      </c>
      <c r="BV154" s="17">
        <f>IF(BS154="","",IFERROR(INDEX(Clay_Brands!$A$2:$FZ$601,BS154,Sync!$D$17)&amp;"",""))</f>
        <v/>
      </c>
      <c r="BW154" s="23">
        <f>IF(BS154="","",IFERROR(N(INDEX(Clay_Brands!$A$2:$FZ$601,BS154,Sync!$D$16)),0))</f>
        <v/>
      </c>
    </row>
    <row r="155">
      <c r="G155" s="22" t="n"/>
      <c r="AL155" s="17">
        <f>IF(TRIM($A155)="","",IF(AND(LEFT($A155,6)="SAMPLE",Config!$B$19&lt;&gt;"Y"),"",IF(NOT(ISNUMBER(G155)),"call_date is blank or not a date",IF(Sync!$D$5="","Clay paste is empty or has no row_id column: paste the Clay export on Clay_Brands",IF(BS155="","row_id not found in the Clay paste: add the Clay row or fix the row_id",IF(AND(ISNUMBER(BU155),BU155&gt;=1,BU155&lt;=5),"Clay status is "&amp;BT155&amp;": set call_done or later",IF(AND(AP155=1,BV155&lt;&gt;BQ155),"Clay yes_in_principle should be "&amp;BQ155,IF(AND(AP155=1,BW155&lt;&gt;G155),"Clay call_date should be "&amp;TEXT(G155,"yyyy-mm-dd"),""))))))))</f>
        <v/>
      </c>
      <c r="AM155" s="17">
        <f>ROW()</f>
        <v/>
      </c>
      <c r="AN155" s="17">
        <f>IF(AND(TRIM($A155)&lt;&gt;"",ISNUMBER(G155)),IF(AND(LEFT($A155,6)="SAMPLE",Config!$B$19&lt;&gt;"Y"),0,1),0)</f>
        <v/>
      </c>
      <c r="AO155" s="17">
        <f>IF(AN155=1,IF(COUNTIFS($A$2:$A$201,$A155,$AN$2:$AN$201,1,$G$2:$G$201,"&lt;"&amp;G155)+COUNTIFS($A$2:$A$201,$A155,$AN$2:$AN$201,1,$G$2:$G$201,G155,$AM$2:$AM$201,"&lt;"&amp;AM155)=0,1,0),0)</f>
        <v/>
      </c>
      <c r="AP155" s="17">
        <f>IF(AN155=1,IF(COUNTIFS($A$2:$A$201,$A155,$AN$2:$AN$201,1,$G$2:$G$201,"&gt;"&amp;G155)+COUNTIFS($A$2:$A$201,$A155,$AN$2:$AN$201,1,$G$2:$G$201,G155,$AM$2:$AM$201,"&gt;"&amp;AM155)=0,1,0),0)</f>
        <v/>
      </c>
      <c r="AQ155" s="17">
        <f>IF(AND(AN155=1,N155="Y",MAX(N(R155),N(V155))&gt;=Config!$B$14),1,0)</f>
        <v/>
      </c>
      <c r="AR155" s="17">
        <f>IF(AQ155=1,IF(COUNTIFS($A$2:$A$201,$A155,$AQ$2:$AQ$201,1,$G$2:$G$201,"&lt;"&amp;G155)+COUNTIFS($A$2:$A$201,$A155,$AQ$2:$AQ$201,1,$G$2:$G$201,G155,$AM$2:$AM$201,"&lt;"&amp;AM155)=0,1,0),0)</f>
        <v/>
      </c>
      <c r="AS155" s="17">
        <f>IF(AND(AN155=1,N155="Y",ISNUMBER(R155)),IF(R155&gt;=Config!$B$14,1,0),0)</f>
        <v/>
      </c>
      <c r="AT155" s="17">
        <f>IF(AS155=1,IF(COUNTIFS($A$2:$A$201,$A155,$AS$2:$AS$201,1,$G$2:$G$201,"&lt;"&amp;G155)+COUNTIFS($A$2:$A$201,$A155,$AS$2:$AS$201,1,$G$2:$G$201,G155,$AM$2:$AM$201,"&lt;"&amp;AM155)=0,1,0),0)</f>
        <v/>
      </c>
      <c r="AU155" s="17">
        <f>IF(AND(AN155=1,N155&lt;&gt;"Y",MAX(N(R155),N(V155))&gt;=Config!$B$14),1,0)</f>
        <v/>
      </c>
      <c r="AV155" s="17">
        <f>IF(AU155=1,IF(COUNTIFS($A$2:$A$201,$A155,$AU$2:$AU$201,1,$G$2:$G$201,"&lt;"&amp;G155)+COUNTIFS($A$2:$A$201,$A155,$AU$2:$AU$201,1,$G$2:$G$201,G155,$AM$2:$AM$201,"&lt;"&amp;AM155)=0,1,0),0)</f>
        <v/>
      </c>
      <c r="AW155" s="17">
        <f>IF(AND(AN155=1,ISNUMBER(R155)),1,0)</f>
        <v/>
      </c>
      <c r="AX155" s="17">
        <f>IF(AW155=1,IF(COUNTIFS($A$2:$A$201,$A155,$AW$2:$AW$201,1,$G$2:$G$201,"&lt;"&amp;G155)+COUNTIFS($A$2:$A$201,$A155,$AW$2:$AW$201,1,$G$2:$G$201,G155,$AM$2:$AM$201,"&lt;"&amp;AM155)=0,1,0),0)</f>
        <v/>
      </c>
      <c r="AY155" s="17">
        <f>IF(AND(AX155=1,G155&lt;=Config!$B$6),R155,"")</f>
        <v/>
      </c>
      <c r="AZ155" s="17">
        <f>IF(AND(AX155=1,G155&lt;=Config!$B$7),R155,"")</f>
        <v/>
      </c>
      <c r="BA155" s="17">
        <f>IF(AND(AX155=1,G155&lt;=Config!$B$8),R155,"")</f>
        <v/>
      </c>
      <c r="BB155" s="17">
        <f>IF(AND(AX155=1,G155&lt;=Config!$B$5),R155,"")</f>
        <v/>
      </c>
      <c r="BC155" s="17">
        <f>IF(AND(AN155=1,ISNUMBER(V155)),1,0)</f>
        <v/>
      </c>
      <c r="BD155" s="17">
        <f>IF(BC155=1,IF(COUNTIFS($A$2:$A$201,$A155,$BC$2:$BC$201,1,$G$2:$G$201,"&lt;"&amp;G155)+COUNTIFS($A$2:$A$201,$A155,$BC$2:$BC$201,1,$G$2:$G$201,G155,$AM$2:$AM$201,"&lt;"&amp;AM155)=0,1,0),0)</f>
        <v/>
      </c>
      <c r="BE155" s="17">
        <f>IF(AND(BD155=1,G155&lt;=Config!$B$6),V155,"")</f>
        <v/>
      </c>
      <c r="BF155" s="17">
        <f>IF(AND(BD155=1,G155&lt;=Config!$B$7),V155,"")</f>
        <v/>
      </c>
      <c r="BG155" s="17">
        <f>IF(AND(BD155=1,G155&lt;=Config!$B$8),V155,"")</f>
        <v/>
      </c>
      <c r="BH155" s="17">
        <f>IF(AND(BD155=1,G155&lt;=Config!$B$5),V155,"")</f>
        <v/>
      </c>
      <c r="BI155" s="17">
        <f>IF(AND(AN155=1,ISNUMBER(J155)),1,0)</f>
        <v/>
      </c>
      <c r="BJ155" s="17">
        <f>IF(BI155=1,IF(COUNTIFS($A$2:$A$201,$A155,$BI$2:$BI$201,1,$G$2:$G$201,"&lt;"&amp;G155)+COUNTIFS($A$2:$A$201,$A155,$BI$2:$BI$201,1,$G$2:$G$201,G155,$AM$2:$AM$201,"&lt;"&amp;AM155)=0,1,0),0)</f>
        <v/>
      </c>
      <c r="BK155" s="17">
        <f>IF(AND(BJ155=1,G155&lt;=Config!$B$5),J155,"")</f>
        <v/>
      </c>
      <c r="BL155" s="17">
        <f>IF(AND(AN155=1,OR(AND(ISNUMBER(R155),TRIM(S155)=""),AND(ISNUMBER(V155),TRIM(W155)=""))),1,0)</f>
        <v/>
      </c>
      <c r="BM155" s="17">
        <f>IF(AN155=1,AB155&amp;"","")</f>
        <v/>
      </c>
      <c r="BN155" s="17">
        <f>IF(AN155=1,AC155&amp;"","")</f>
        <v/>
      </c>
      <c r="BO155" s="17">
        <f>IF(AN155=1,AD155&amp;"","")</f>
        <v/>
      </c>
      <c r="BP155" s="17">
        <f>IF(AND(AN155=1,ISNUMBER(AI155),G155&lt;=Config!$B$5),AI155,"")</f>
        <v/>
      </c>
      <c r="BQ155" s="17">
        <f>IF(AN155=1,IF(COUNTIFS($A$2:$A$201,$A155,$AF$2:$AF$201,"Y",$AN$2:$AN$201,1)&gt;0,"Y","N"),"")</f>
        <v/>
      </c>
      <c r="BR155" s="17">
        <f>IF(AND(AN155=1,AF155="Y"),IF(COUNTIFS($A$2:$A$201,$A155,$AF$2:$AF$201,"Y",$AN$2:$AN$201,1,$G$2:$G$201,"&lt;"&amp;G155)+COUNTIFS($A$2:$A$201,$A155,$AF$2:$AF$201,"Y",$AN$2:$AN$201,1,$G$2:$G$201,G155,$AM$2:$AM$201,"&lt;"&amp;AM155)=0,1,0),0)</f>
        <v/>
      </c>
      <c r="BS155" s="17">
        <f>IF(AN155=1,IFERROR(MATCH($A155,INDEX(Clay_Brands!$A$2:$FZ$601,0,Sync!$D$5),0),""),"")</f>
        <v/>
      </c>
      <c r="BT155" s="17">
        <f>IF(BS155="","",IFERROR(INDEX(Clay_Brands!$A$2:$FZ$601,BS155,Sync!$D$7)&amp;"",""))</f>
        <v/>
      </c>
      <c r="BU155" s="17">
        <f>IF(BT155="","",IFERROR(INDEX(Lists!$J$2:$J$15,MATCH(BT155,Lists!$I$2:$I$15,0)),""))</f>
        <v/>
      </c>
      <c r="BV155" s="17">
        <f>IF(BS155="","",IFERROR(INDEX(Clay_Brands!$A$2:$FZ$601,BS155,Sync!$D$17)&amp;"",""))</f>
        <v/>
      </c>
      <c r="BW155" s="23">
        <f>IF(BS155="","",IFERROR(N(INDEX(Clay_Brands!$A$2:$FZ$601,BS155,Sync!$D$16)),0))</f>
        <v/>
      </c>
    </row>
    <row r="156">
      <c r="G156" s="22" t="n"/>
      <c r="AL156" s="17">
        <f>IF(TRIM($A156)="","",IF(AND(LEFT($A156,6)="SAMPLE",Config!$B$19&lt;&gt;"Y"),"",IF(NOT(ISNUMBER(G156)),"call_date is blank or not a date",IF(Sync!$D$5="","Clay paste is empty or has no row_id column: paste the Clay export on Clay_Brands",IF(BS156="","row_id not found in the Clay paste: add the Clay row or fix the row_id",IF(AND(ISNUMBER(BU156),BU156&gt;=1,BU156&lt;=5),"Clay status is "&amp;BT156&amp;": set call_done or later",IF(AND(AP156=1,BV156&lt;&gt;BQ156),"Clay yes_in_principle should be "&amp;BQ156,IF(AND(AP156=1,BW156&lt;&gt;G156),"Clay call_date should be "&amp;TEXT(G156,"yyyy-mm-dd"),""))))))))</f>
        <v/>
      </c>
      <c r="AM156" s="17">
        <f>ROW()</f>
        <v/>
      </c>
      <c r="AN156" s="17">
        <f>IF(AND(TRIM($A156)&lt;&gt;"",ISNUMBER(G156)),IF(AND(LEFT($A156,6)="SAMPLE",Config!$B$19&lt;&gt;"Y"),0,1),0)</f>
        <v/>
      </c>
      <c r="AO156" s="17">
        <f>IF(AN156=1,IF(COUNTIFS($A$2:$A$201,$A156,$AN$2:$AN$201,1,$G$2:$G$201,"&lt;"&amp;G156)+COUNTIFS($A$2:$A$201,$A156,$AN$2:$AN$201,1,$G$2:$G$201,G156,$AM$2:$AM$201,"&lt;"&amp;AM156)=0,1,0),0)</f>
        <v/>
      </c>
      <c r="AP156" s="17">
        <f>IF(AN156=1,IF(COUNTIFS($A$2:$A$201,$A156,$AN$2:$AN$201,1,$G$2:$G$201,"&gt;"&amp;G156)+COUNTIFS($A$2:$A$201,$A156,$AN$2:$AN$201,1,$G$2:$G$201,G156,$AM$2:$AM$201,"&gt;"&amp;AM156)=0,1,0),0)</f>
        <v/>
      </c>
      <c r="AQ156" s="17">
        <f>IF(AND(AN156=1,N156="Y",MAX(N(R156),N(V156))&gt;=Config!$B$14),1,0)</f>
        <v/>
      </c>
      <c r="AR156" s="17">
        <f>IF(AQ156=1,IF(COUNTIFS($A$2:$A$201,$A156,$AQ$2:$AQ$201,1,$G$2:$G$201,"&lt;"&amp;G156)+COUNTIFS($A$2:$A$201,$A156,$AQ$2:$AQ$201,1,$G$2:$G$201,G156,$AM$2:$AM$201,"&lt;"&amp;AM156)=0,1,0),0)</f>
        <v/>
      </c>
      <c r="AS156" s="17">
        <f>IF(AND(AN156=1,N156="Y",ISNUMBER(R156)),IF(R156&gt;=Config!$B$14,1,0),0)</f>
        <v/>
      </c>
      <c r="AT156" s="17">
        <f>IF(AS156=1,IF(COUNTIFS($A$2:$A$201,$A156,$AS$2:$AS$201,1,$G$2:$G$201,"&lt;"&amp;G156)+COUNTIFS($A$2:$A$201,$A156,$AS$2:$AS$201,1,$G$2:$G$201,G156,$AM$2:$AM$201,"&lt;"&amp;AM156)=0,1,0),0)</f>
        <v/>
      </c>
      <c r="AU156" s="17">
        <f>IF(AND(AN156=1,N156&lt;&gt;"Y",MAX(N(R156),N(V156))&gt;=Config!$B$14),1,0)</f>
        <v/>
      </c>
      <c r="AV156" s="17">
        <f>IF(AU156=1,IF(COUNTIFS($A$2:$A$201,$A156,$AU$2:$AU$201,1,$G$2:$G$201,"&lt;"&amp;G156)+COUNTIFS($A$2:$A$201,$A156,$AU$2:$AU$201,1,$G$2:$G$201,G156,$AM$2:$AM$201,"&lt;"&amp;AM156)=0,1,0),0)</f>
        <v/>
      </c>
      <c r="AW156" s="17">
        <f>IF(AND(AN156=1,ISNUMBER(R156)),1,0)</f>
        <v/>
      </c>
      <c r="AX156" s="17">
        <f>IF(AW156=1,IF(COUNTIFS($A$2:$A$201,$A156,$AW$2:$AW$201,1,$G$2:$G$201,"&lt;"&amp;G156)+COUNTIFS($A$2:$A$201,$A156,$AW$2:$AW$201,1,$G$2:$G$201,G156,$AM$2:$AM$201,"&lt;"&amp;AM156)=0,1,0),0)</f>
        <v/>
      </c>
      <c r="AY156" s="17">
        <f>IF(AND(AX156=1,G156&lt;=Config!$B$6),R156,"")</f>
        <v/>
      </c>
      <c r="AZ156" s="17">
        <f>IF(AND(AX156=1,G156&lt;=Config!$B$7),R156,"")</f>
        <v/>
      </c>
      <c r="BA156" s="17">
        <f>IF(AND(AX156=1,G156&lt;=Config!$B$8),R156,"")</f>
        <v/>
      </c>
      <c r="BB156" s="17">
        <f>IF(AND(AX156=1,G156&lt;=Config!$B$5),R156,"")</f>
        <v/>
      </c>
      <c r="BC156" s="17">
        <f>IF(AND(AN156=1,ISNUMBER(V156)),1,0)</f>
        <v/>
      </c>
      <c r="BD156" s="17">
        <f>IF(BC156=1,IF(COUNTIFS($A$2:$A$201,$A156,$BC$2:$BC$201,1,$G$2:$G$201,"&lt;"&amp;G156)+COUNTIFS($A$2:$A$201,$A156,$BC$2:$BC$201,1,$G$2:$G$201,G156,$AM$2:$AM$201,"&lt;"&amp;AM156)=0,1,0),0)</f>
        <v/>
      </c>
      <c r="BE156" s="17">
        <f>IF(AND(BD156=1,G156&lt;=Config!$B$6),V156,"")</f>
        <v/>
      </c>
      <c r="BF156" s="17">
        <f>IF(AND(BD156=1,G156&lt;=Config!$B$7),V156,"")</f>
        <v/>
      </c>
      <c r="BG156" s="17">
        <f>IF(AND(BD156=1,G156&lt;=Config!$B$8),V156,"")</f>
        <v/>
      </c>
      <c r="BH156" s="17">
        <f>IF(AND(BD156=1,G156&lt;=Config!$B$5),V156,"")</f>
        <v/>
      </c>
      <c r="BI156" s="17">
        <f>IF(AND(AN156=1,ISNUMBER(J156)),1,0)</f>
        <v/>
      </c>
      <c r="BJ156" s="17">
        <f>IF(BI156=1,IF(COUNTIFS($A$2:$A$201,$A156,$BI$2:$BI$201,1,$G$2:$G$201,"&lt;"&amp;G156)+COUNTIFS($A$2:$A$201,$A156,$BI$2:$BI$201,1,$G$2:$G$201,G156,$AM$2:$AM$201,"&lt;"&amp;AM156)=0,1,0),0)</f>
        <v/>
      </c>
      <c r="BK156" s="17">
        <f>IF(AND(BJ156=1,G156&lt;=Config!$B$5),J156,"")</f>
        <v/>
      </c>
      <c r="BL156" s="17">
        <f>IF(AND(AN156=1,OR(AND(ISNUMBER(R156),TRIM(S156)=""),AND(ISNUMBER(V156),TRIM(W156)=""))),1,0)</f>
        <v/>
      </c>
      <c r="BM156" s="17">
        <f>IF(AN156=1,AB156&amp;"","")</f>
        <v/>
      </c>
      <c r="BN156" s="17">
        <f>IF(AN156=1,AC156&amp;"","")</f>
        <v/>
      </c>
      <c r="BO156" s="17">
        <f>IF(AN156=1,AD156&amp;"","")</f>
        <v/>
      </c>
      <c r="BP156" s="17">
        <f>IF(AND(AN156=1,ISNUMBER(AI156),G156&lt;=Config!$B$5),AI156,"")</f>
        <v/>
      </c>
      <c r="BQ156" s="17">
        <f>IF(AN156=1,IF(COUNTIFS($A$2:$A$201,$A156,$AF$2:$AF$201,"Y",$AN$2:$AN$201,1)&gt;0,"Y","N"),"")</f>
        <v/>
      </c>
      <c r="BR156" s="17">
        <f>IF(AND(AN156=1,AF156="Y"),IF(COUNTIFS($A$2:$A$201,$A156,$AF$2:$AF$201,"Y",$AN$2:$AN$201,1,$G$2:$G$201,"&lt;"&amp;G156)+COUNTIFS($A$2:$A$201,$A156,$AF$2:$AF$201,"Y",$AN$2:$AN$201,1,$G$2:$G$201,G156,$AM$2:$AM$201,"&lt;"&amp;AM156)=0,1,0),0)</f>
        <v/>
      </c>
      <c r="BS156" s="17">
        <f>IF(AN156=1,IFERROR(MATCH($A156,INDEX(Clay_Brands!$A$2:$FZ$601,0,Sync!$D$5),0),""),"")</f>
        <v/>
      </c>
      <c r="BT156" s="17">
        <f>IF(BS156="","",IFERROR(INDEX(Clay_Brands!$A$2:$FZ$601,BS156,Sync!$D$7)&amp;"",""))</f>
        <v/>
      </c>
      <c r="BU156" s="17">
        <f>IF(BT156="","",IFERROR(INDEX(Lists!$J$2:$J$15,MATCH(BT156,Lists!$I$2:$I$15,0)),""))</f>
        <v/>
      </c>
      <c r="BV156" s="17">
        <f>IF(BS156="","",IFERROR(INDEX(Clay_Brands!$A$2:$FZ$601,BS156,Sync!$D$17)&amp;"",""))</f>
        <v/>
      </c>
      <c r="BW156" s="23">
        <f>IF(BS156="","",IFERROR(N(INDEX(Clay_Brands!$A$2:$FZ$601,BS156,Sync!$D$16)),0))</f>
        <v/>
      </c>
    </row>
    <row r="157">
      <c r="G157" s="22" t="n"/>
      <c r="AL157" s="17">
        <f>IF(TRIM($A157)="","",IF(AND(LEFT($A157,6)="SAMPLE",Config!$B$19&lt;&gt;"Y"),"",IF(NOT(ISNUMBER(G157)),"call_date is blank or not a date",IF(Sync!$D$5="","Clay paste is empty or has no row_id column: paste the Clay export on Clay_Brands",IF(BS157="","row_id not found in the Clay paste: add the Clay row or fix the row_id",IF(AND(ISNUMBER(BU157),BU157&gt;=1,BU157&lt;=5),"Clay status is "&amp;BT157&amp;": set call_done or later",IF(AND(AP157=1,BV157&lt;&gt;BQ157),"Clay yes_in_principle should be "&amp;BQ157,IF(AND(AP157=1,BW157&lt;&gt;G157),"Clay call_date should be "&amp;TEXT(G157,"yyyy-mm-dd"),""))))))))</f>
        <v/>
      </c>
      <c r="AM157" s="17">
        <f>ROW()</f>
        <v/>
      </c>
      <c r="AN157" s="17">
        <f>IF(AND(TRIM($A157)&lt;&gt;"",ISNUMBER(G157)),IF(AND(LEFT($A157,6)="SAMPLE",Config!$B$19&lt;&gt;"Y"),0,1),0)</f>
        <v/>
      </c>
      <c r="AO157" s="17">
        <f>IF(AN157=1,IF(COUNTIFS($A$2:$A$201,$A157,$AN$2:$AN$201,1,$G$2:$G$201,"&lt;"&amp;G157)+COUNTIFS($A$2:$A$201,$A157,$AN$2:$AN$201,1,$G$2:$G$201,G157,$AM$2:$AM$201,"&lt;"&amp;AM157)=0,1,0),0)</f>
        <v/>
      </c>
      <c r="AP157" s="17">
        <f>IF(AN157=1,IF(COUNTIFS($A$2:$A$201,$A157,$AN$2:$AN$201,1,$G$2:$G$201,"&gt;"&amp;G157)+COUNTIFS($A$2:$A$201,$A157,$AN$2:$AN$201,1,$G$2:$G$201,G157,$AM$2:$AM$201,"&gt;"&amp;AM157)=0,1,0),0)</f>
        <v/>
      </c>
      <c r="AQ157" s="17">
        <f>IF(AND(AN157=1,N157="Y",MAX(N(R157),N(V157))&gt;=Config!$B$14),1,0)</f>
        <v/>
      </c>
      <c r="AR157" s="17">
        <f>IF(AQ157=1,IF(COUNTIFS($A$2:$A$201,$A157,$AQ$2:$AQ$201,1,$G$2:$G$201,"&lt;"&amp;G157)+COUNTIFS($A$2:$A$201,$A157,$AQ$2:$AQ$201,1,$G$2:$G$201,G157,$AM$2:$AM$201,"&lt;"&amp;AM157)=0,1,0),0)</f>
        <v/>
      </c>
      <c r="AS157" s="17">
        <f>IF(AND(AN157=1,N157="Y",ISNUMBER(R157)),IF(R157&gt;=Config!$B$14,1,0),0)</f>
        <v/>
      </c>
      <c r="AT157" s="17">
        <f>IF(AS157=1,IF(COUNTIFS($A$2:$A$201,$A157,$AS$2:$AS$201,1,$G$2:$G$201,"&lt;"&amp;G157)+COUNTIFS($A$2:$A$201,$A157,$AS$2:$AS$201,1,$G$2:$G$201,G157,$AM$2:$AM$201,"&lt;"&amp;AM157)=0,1,0),0)</f>
        <v/>
      </c>
      <c r="AU157" s="17">
        <f>IF(AND(AN157=1,N157&lt;&gt;"Y",MAX(N(R157),N(V157))&gt;=Config!$B$14),1,0)</f>
        <v/>
      </c>
      <c r="AV157" s="17">
        <f>IF(AU157=1,IF(COUNTIFS($A$2:$A$201,$A157,$AU$2:$AU$201,1,$G$2:$G$201,"&lt;"&amp;G157)+COUNTIFS($A$2:$A$201,$A157,$AU$2:$AU$201,1,$G$2:$G$201,G157,$AM$2:$AM$201,"&lt;"&amp;AM157)=0,1,0),0)</f>
        <v/>
      </c>
      <c r="AW157" s="17">
        <f>IF(AND(AN157=1,ISNUMBER(R157)),1,0)</f>
        <v/>
      </c>
      <c r="AX157" s="17">
        <f>IF(AW157=1,IF(COUNTIFS($A$2:$A$201,$A157,$AW$2:$AW$201,1,$G$2:$G$201,"&lt;"&amp;G157)+COUNTIFS($A$2:$A$201,$A157,$AW$2:$AW$201,1,$G$2:$G$201,G157,$AM$2:$AM$201,"&lt;"&amp;AM157)=0,1,0),0)</f>
        <v/>
      </c>
      <c r="AY157" s="17">
        <f>IF(AND(AX157=1,G157&lt;=Config!$B$6),R157,"")</f>
        <v/>
      </c>
      <c r="AZ157" s="17">
        <f>IF(AND(AX157=1,G157&lt;=Config!$B$7),R157,"")</f>
        <v/>
      </c>
      <c r="BA157" s="17">
        <f>IF(AND(AX157=1,G157&lt;=Config!$B$8),R157,"")</f>
        <v/>
      </c>
      <c r="BB157" s="17">
        <f>IF(AND(AX157=1,G157&lt;=Config!$B$5),R157,"")</f>
        <v/>
      </c>
      <c r="BC157" s="17">
        <f>IF(AND(AN157=1,ISNUMBER(V157)),1,0)</f>
        <v/>
      </c>
      <c r="BD157" s="17">
        <f>IF(BC157=1,IF(COUNTIFS($A$2:$A$201,$A157,$BC$2:$BC$201,1,$G$2:$G$201,"&lt;"&amp;G157)+COUNTIFS($A$2:$A$201,$A157,$BC$2:$BC$201,1,$G$2:$G$201,G157,$AM$2:$AM$201,"&lt;"&amp;AM157)=0,1,0),0)</f>
        <v/>
      </c>
      <c r="BE157" s="17">
        <f>IF(AND(BD157=1,G157&lt;=Config!$B$6),V157,"")</f>
        <v/>
      </c>
      <c r="BF157" s="17">
        <f>IF(AND(BD157=1,G157&lt;=Config!$B$7),V157,"")</f>
        <v/>
      </c>
      <c r="BG157" s="17">
        <f>IF(AND(BD157=1,G157&lt;=Config!$B$8),V157,"")</f>
        <v/>
      </c>
      <c r="BH157" s="17">
        <f>IF(AND(BD157=1,G157&lt;=Config!$B$5),V157,"")</f>
        <v/>
      </c>
      <c r="BI157" s="17">
        <f>IF(AND(AN157=1,ISNUMBER(J157)),1,0)</f>
        <v/>
      </c>
      <c r="BJ157" s="17">
        <f>IF(BI157=1,IF(COUNTIFS($A$2:$A$201,$A157,$BI$2:$BI$201,1,$G$2:$G$201,"&lt;"&amp;G157)+COUNTIFS($A$2:$A$201,$A157,$BI$2:$BI$201,1,$G$2:$G$201,G157,$AM$2:$AM$201,"&lt;"&amp;AM157)=0,1,0),0)</f>
        <v/>
      </c>
      <c r="BK157" s="17">
        <f>IF(AND(BJ157=1,G157&lt;=Config!$B$5),J157,"")</f>
        <v/>
      </c>
      <c r="BL157" s="17">
        <f>IF(AND(AN157=1,OR(AND(ISNUMBER(R157),TRIM(S157)=""),AND(ISNUMBER(V157),TRIM(W157)=""))),1,0)</f>
        <v/>
      </c>
      <c r="BM157" s="17">
        <f>IF(AN157=1,AB157&amp;"","")</f>
        <v/>
      </c>
      <c r="BN157" s="17">
        <f>IF(AN157=1,AC157&amp;"","")</f>
        <v/>
      </c>
      <c r="BO157" s="17">
        <f>IF(AN157=1,AD157&amp;"","")</f>
        <v/>
      </c>
      <c r="BP157" s="17">
        <f>IF(AND(AN157=1,ISNUMBER(AI157),G157&lt;=Config!$B$5),AI157,"")</f>
        <v/>
      </c>
      <c r="BQ157" s="17">
        <f>IF(AN157=1,IF(COUNTIFS($A$2:$A$201,$A157,$AF$2:$AF$201,"Y",$AN$2:$AN$201,1)&gt;0,"Y","N"),"")</f>
        <v/>
      </c>
      <c r="BR157" s="17">
        <f>IF(AND(AN157=1,AF157="Y"),IF(COUNTIFS($A$2:$A$201,$A157,$AF$2:$AF$201,"Y",$AN$2:$AN$201,1,$G$2:$G$201,"&lt;"&amp;G157)+COUNTIFS($A$2:$A$201,$A157,$AF$2:$AF$201,"Y",$AN$2:$AN$201,1,$G$2:$G$201,G157,$AM$2:$AM$201,"&lt;"&amp;AM157)=0,1,0),0)</f>
        <v/>
      </c>
      <c r="BS157" s="17">
        <f>IF(AN157=1,IFERROR(MATCH($A157,INDEX(Clay_Brands!$A$2:$FZ$601,0,Sync!$D$5),0),""),"")</f>
        <v/>
      </c>
      <c r="BT157" s="17">
        <f>IF(BS157="","",IFERROR(INDEX(Clay_Brands!$A$2:$FZ$601,BS157,Sync!$D$7)&amp;"",""))</f>
        <v/>
      </c>
      <c r="BU157" s="17">
        <f>IF(BT157="","",IFERROR(INDEX(Lists!$J$2:$J$15,MATCH(BT157,Lists!$I$2:$I$15,0)),""))</f>
        <v/>
      </c>
      <c r="BV157" s="17">
        <f>IF(BS157="","",IFERROR(INDEX(Clay_Brands!$A$2:$FZ$601,BS157,Sync!$D$17)&amp;"",""))</f>
        <v/>
      </c>
      <c r="BW157" s="23">
        <f>IF(BS157="","",IFERROR(N(INDEX(Clay_Brands!$A$2:$FZ$601,BS157,Sync!$D$16)),0))</f>
        <v/>
      </c>
    </row>
    <row r="158">
      <c r="G158" s="22" t="n"/>
      <c r="AL158" s="17">
        <f>IF(TRIM($A158)="","",IF(AND(LEFT($A158,6)="SAMPLE",Config!$B$19&lt;&gt;"Y"),"",IF(NOT(ISNUMBER(G158)),"call_date is blank or not a date",IF(Sync!$D$5="","Clay paste is empty or has no row_id column: paste the Clay export on Clay_Brands",IF(BS158="","row_id not found in the Clay paste: add the Clay row or fix the row_id",IF(AND(ISNUMBER(BU158),BU158&gt;=1,BU158&lt;=5),"Clay status is "&amp;BT158&amp;": set call_done or later",IF(AND(AP158=1,BV158&lt;&gt;BQ158),"Clay yes_in_principle should be "&amp;BQ158,IF(AND(AP158=1,BW158&lt;&gt;G158),"Clay call_date should be "&amp;TEXT(G158,"yyyy-mm-dd"),""))))))))</f>
        <v/>
      </c>
      <c r="AM158" s="17">
        <f>ROW()</f>
        <v/>
      </c>
      <c r="AN158" s="17">
        <f>IF(AND(TRIM($A158)&lt;&gt;"",ISNUMBER(G158)),IF(AND(LEFT($A158,6)="SAMPLE",Config!$B$19&lt;&gt;"Y"),0,1),0)</f>
        <v/>
      </c>
      <c r="AO158" s="17">
        <f>IF(AN158=1,IF(COUNTIFS($A$2:$A$201,$A158,$AN$2:$AN$201,1,$G$2:$G$201,"&lt;"&amp;G158)+COUNTIFS($A$2:$A$201,$A158,$AN$2:$AN$201,1,$G$2:$G$201,G158,$AM$2:$AM$201,"&lt;"&amp;AM158)=0,1,0),0)</f>
        <v/>
      </c>
      <c r="AP158" s="17">
        <f>IF(AN158=1,IF(COUNTIFS($A$2:$A$201,$A158,$AN$2:$AN$201,1,$G$2:$G$201,"&gt;"&amp;G158)+COUNTIFS($A$2:$A$201,$A158,$AN$2:$AN$201,1,$G$2:$G$201,G158,$AM$2:$AM$201,"&gt;"&amp;AM158)=0,1,0),0)</f>
        <v/>
      </c>
      <c r="AQ158" s="17">
        <f>IF(AND(AN158=1,N158="Y",MAX(N(R158),N(V158))&gt;=Config!$B$14),1,0)</f>
        <v/>
      </c>
      <c r="AR158" s="17">
        <f>IF(AQ158=1,IF(COUNTIFS($A$2:$A$201,$A158,$AQ$2:$AQ$201,1,$G$2:$G$201,"&lt;"&amp;G158)+COUNTIFS($A$2:$A$201,$A158,$AQ$2:$AQ$201,1,$G$2:$G$201,G158,$AM$2:$AM$201,"&lt;"&amp;AM158)=0,1,0),0)</f>
        <v/>
      </c>
      <c r="AS158" s="17">
        <f>IF(AND(AN158=1,N158="Y",ISNUMBER(R158)),IF(R158&gt;=Config!$B$14,1,0),0)</f>
        <v/>
      </c>
      <c r="AT158" s="17">
        <f>IF(AS158=1,IF(COUNTIFS($A$2:$A$201,$A158,$AS$2:$AS$201,1,$G$2:$G$201,"&lt;"&amp;G158)+COUNTIFS($A$2:$A$201,$A158,$AS$2:$AS$201,1,$G$2:$G$201,G158,$AM$2:$AM$201,"&lt;"&amp;AM158)=0,1,0),0)</f>
        <v/>
      </c>
      <c r="AU158" s="17">
        <f>IF(AND(AN158=1,N158&lt;&gt;"Y",MAX(N(R158),N(V158))&gt;=Config!$B$14),1,0)</f>
        <v/>
      </c>
      <c r="AV158" s="17">
        <f>IF(AU158=1,IF(COUNTIFS($A$2:$A$201,$A158,$AU$2:$AU$201,1,$G$2:$G$201,"&lt;"&amp;G158)+COUNTIFS($A$2:$A$201,$A158,$AU$2:$AU$201,1,$G$2:$G$201,G158,$AM$2:$AM$201,"&lt;"&amp;AM158)=0,1,0),0)</f>
        <v/>
      </c>
      <c r="AW158" s="17">
        <f>IF(AND(AN158=1,ISNUMBER(R158)),1,0)</f>
        <v/>
      </c>
      <c r="AX158" s="17">
        <f>IF(AW158=1,IF(COUNTIFS($A$2:$A$201,$A158,$AW$2:$AW$201,1,$G$2:$G$201,"&lt;"&amp;G158)+COUNTIFS($A$2:$A$201,$A158,$AW$2:$AW$201,1,$G$2:$G$201,G158,$AM$2:$AM$201,"&lt;"&amp;AM158)=0,1,0),0)</f>
        <v/>
      </c>
      <c r="AY158" s="17">
        <f>IF(AND(AX158=1,G158&lt;=Config!$B$6),R158,"")</f>
        <v/>
      </c>
      <c r="AZ158" s="17">
        <f>IF(AND(AX158=1,G158&lt;=Config!$B$7),R158,"")</f>
        <v/>
      </c>
      <c r="BA158" s="17">
        <f>IF(AND(AX158=1,G158&lt;=Config!$B$8),R158,"")</f>
        <v/>
      </c>
      <c r="BB158" s="17">
        <f>IF(AND(AX158=1,G158&lt;=Config!$B$5),R158,"")</f>
        <v/>
      </c>
      <c r="BC158" s="17">
        <f>IF(AND(AN158=1,ISNUMBER(V158)),1,0)</f>
        <v/>
      </c>
      <c r="BD158" s="17">
        <f>IF(BC158=1,IF(COUNTIFS($A$2:$A$201,$A158,$BC$2:$BC$201,1,$G$2:$G$201,"&lt;"&amp;G158)+COUNTIFS($A$2:$A$201,$A158,$BC$2:$BC$201,1,$G$2:$G$201,G158,$AM$2:$AM$201,"&lt;"&amp;AM158)=0,1,0),0)</f>
        <v/>
      </c>
      <c r="BE158" s="17">
        <f>IF(AND(BD158=1,G158&lt;=Config!$B$6),V158,"")</f>
        <v/>
      </c>
      <c r="BF158" s="17">
        <f>IF(AND(BD158=1,G158&lt;=Config!$B$7),V158,"")</f>
        <v/>
      </c>
      <c r="BG158" s="17">
        <f>IF(AND(BD158=1,G158&lt;=Config!$B$8),V158,"")</f>
        <v/>
      </c>
      <c r="BH158" s="17">
        <f>IF(AND(BD158=1,G158&lt;=Config!$B$5),V158,"")</f>
        <v/>
      </c>
      <c r="BI158" s="17">
        <f>IF(AND(AN158=1,ISNUMBER(J158)),1,0)</f>
        <v/>
      </c>
      <c r="BJ158" s="17">
        <f>IF(BI158=1,IF(COUNTIFS($A$2:$A$201,$A158,$BI$2:$BI$201,1,$G$2:$G$201,"&lt;"&amp;G158)+COUNTIFS($A$2:$A$201,$A158,$BI$2:$BI$201,1,$G$2:$G$201,G158,$AM$2:$AM$201,"&lt;"&amp;AM158)=0,1,0),0)</f>
        <v/>
      </c>
      <c r="BK158" s="17">
        <f>IF(AND(BJ158=1,G158&lt;=Config!$B$5),J158,"")</f>
        <v/>
      </c>
      <c r="BL158" s="17">
        <f>IF(AND(AN158=1,OR(AND(ISNUMBER(R158),TRIM(S158)=""),AND(ISNUMBER(V158),TRIM(W158)=""))),1,0)</f>
        <v/>
      </c>
      <c r="BM158" s="17">
        <f>IF(AN158=1,AB158&amp;"","")</f>
        <v/>
      </c>
      <c r="BN158" s="17">
        <f>IF(AN158=1,AC158&amp;"","")</f>
        <v/>
      </c>
      <c r="BO158" s="17">
        <f>IF(AN158=1,AD158&amp;"","")</f>
        <v/>
      </c>
      <c r="BP158" s="17">
        <f>IF(AND(AN158=1,ISNUMBER(AI158),G158&lt;=Config!$B$5),AI158,"")</f>
        <v/>
      </c>
      <c r="BQ158" s="17">
        <f>IF(AN158=1,IF(COUNTIFS($A$2:$A$201,$A158,$AF$2:$AF$201,"Y",$AN$2:$AN$201,1)&gt;0,"Y","N"),"")</f>
        <v/>
      </c>
      <c r="BR158" s="17">
        <f>IF(AND(AN158=1,AF158="Y"),IF(COUNTIFS($A$2:$A$201,$A158,$AF$2:$AF$201,"Y",$AN$2:$AN$201,1,$G$2:$G$201,"&lt;"&amp;G158)+COUNTIFS($A$2:$A$201,$A158,$AF$2:$AF$201,"Y",$AN$2:$AN$201,1,$G$2:$G$201,G158,$AM$2:$AM$201,"&lt;"&amp;AM158)=0,1,0),0)</f>
        <v/>
      </c>
      <c r="BS158" s="17">
        <f>IF(AN158=1,IFERROR(MATCH($A158,INDEX(Clay_Brands!$A$2:$FZ$601,0,Sync!$D$5),0),""),"")</f>
        <v/>
      </c>
      <c r="BT158" s="17">
        <f>IF(BS158="","",IFERROR(INDEX(Clay_Brands!$A$2:$FZ$601,BS158,Sync!$D$7)&amp;"",""))</f>
        <v/>
      </c>
      <c r="BU158" s="17">
        <f>IF(BT158="","",IFERROR(INDEX(Lists!$J$2:$J$15,MATCH(BT158,Lists!$I$2:$I$15,0)),""))</f>
        <v/>
      </c>
      <c r="BV158" s="17">
        <f>IF(BS158="","",IFERROR(INDEX(Clay_Brands!$A$2:$FZ$601,BS158,Sync!$D$17)&amp;"",""))</f>
        <v/>
      </c>
      <c r="BW158" s="23">
        <f>IF(BS158="","",IFERROR(N(INDEX(Clay_Brands!$A$2:$FZ$601,BS158,Sync!$D$16)),0))</f>
        <v/>
      </c>
    </row>
    <row r="159">
      <c r="G159" s="22" t="n"/>
      <c r="AL159" s="17">
        <f>IF(TRIM($A159)="","",IF(AND(LEFT($A159,6)="SAMPLE",Config!$B$19&lt;&gt;"Y"),"",IF(NOT(ISNUMBER(G159)),"call_date is blank or not a date",IF(Sync!$D$5="","Clay paste is empty or has no row_id column: paste the Clay export on Clay_Brands",IF(BS159="","row_id not found in the Clay paste: add the Clay row or fix the row_id",IF(AND(ISNUMBER(BU159),BU159&gt;=1,BU159&lt;=5),"Clay status is "&amp;BT159&amp;": set call_done or later",IF(AND(AP159=1,BV159&lt;&gt;BQ159),"Clay yes_in_principle should be "&amp;BQ159,IF(AND(AP159=1,BW159&lt;&gt;G159),"Clay call_date should be "&amp;TEXT(G159,"yyyy-mm-dd"),""))))))))</f>
        <v/>
      </c>
      <c r="AM159" s="17">
        <f>ROW()</f>
        <v/>
      </c>
      <c r="AN159" s="17">
        <f>IF(AND(TRIM($A159)&lt;&gt;"",ISNUMBER(G159)),IF(AND(LEFT($A159,6)="SAMPLE",Config!$B$19&lt;&gt;"Y"),0,1),0)</f>
        <v/>
      </c>
      <c r="AO159" s="17">
        <f>IF(AN159=1,IF(COUNTIFS($A$2:$A$201,$A159,$AN$2:$AN$201,1,$G$2:$G$201,"&lt;"&amp;G159)+COUNTIFS($A$2:$A$201,$A159,$AN$2:$AN$201,1,$G$2:$G$201,G159,$AM$2:$AM$201,"&lt;"&amp;AM159)=0,1,0),0)</f>
        <v/>
      </c>
      <c r="AP159" s="17">
        <f>IF(AN159=1,IF(COUNTIFS($A$2:$A$201,$A159,$AN$2:$AN$201,1,$G$2:$G$201,"&gt;"&amp;G159)+COUNTIFS($A$2:$A$201,$A159,$AN$2:$AN$201,1,$G$2:$G$201,G159,$AM$2:$AM$201,"&gt;"&amp;AM159)=0,1,0),0)</f>
        <v/>
      </c>
      <c r="AQ159" s="17">
        <f>IF(AND(AN159=1,N159="Y",MAX(N(R159),N(V159))&gt;=Config!$B$14),1,0)</f>
        <v/>
      </c>
      <c r="AR159" s="17">
        <f>IF(AQ159=1,IF(COUNTIFS($A$2:$A$201,$A159,$AQ$2:$AQ$201,1,$G$2:$G$201,"&lt;"&amp;G159)+COUNTIFS($A$2:$A$201,$A159,$AQ$2:$AQ$201,1,$G$2:$G$201,G159,$AM$2:$AM$201,"&lt;"&amp;AM159)=0,1,0),0)</f>
        <v/>
      </c>
      <c r="AS159" s="17">
        <f>IF(AND(AN159=1,N159="Y",ISNUMBER(R159)),IF(R159&gt;=Config!$B$14,1,0),0)</f>
        <v/>
      </c>
      <c r="AT159" s="17">
        <f>IF(AS159=1,IF(COUNTIFS($A$2:$A$201,$A159,$AS$2:$AS$201,1,$G$2:$G$201,"&lt;"&amp;G159)+COUNTIFS($A$2:$A$201,$A159,$AS$2:$AS$201,1,$G$2:$G$201,G159,$AM$2:$AM$201,"&lt;"&amp;AM159)=0,1,0),0)</f>
        <v/>
      </c>
      <c r="AU159" s="17">
        <f>IF(AND(AN159=1,N159&lt;&gt;"Y",MAX(N(R159),N(V159))&gt;=Config!$B$14),1,0)</f>
        <v/>
      </c>
      <c r="AV159" s="17">
        <f>IF(AU159=1,IF(COUNTIFS($A$2:$A$201,$A159,$AU$2:$AU$201,1,$G$2:$G$201,"&lt;"&amp;G159)+COUNTIFS($A$2:$A$201,$A159,$AU$2:$AU$201,1,$G$2:$G$201,G159,$AM$2:$AM$201,"&lt;"&amp;AM159)=0,1,0),0)</f>
        <v/>
      </c>
      <c r="AW159" s="17">
        <f>IF(AND(AN159=1,ISNUMBER(R159)),1,0)</f>
        <v/>
      </c>
      <c r="AX159" s="17">
        <f>IF(AW159=1,IF(COUNTIFS($A$2:$A$201,$A159,$AW$2:$AW$201,1,$G$2:$G$201,"&lt;"&amp;G159)+COUNTIFS($A$2:$A$201,$A159,$AW$2:$AW$201,1,$G$2:$G$201,G159,$AM$2:$AM$201,"&lt;"&amp;AM159)=0,1,0),0)</f>
        <v/>
      </c>
      <c r="AY159" s="17">
        <f>IF(AND(AX159=1,G159&lt;=Config!$B$6),R159,"")</f>
        <v/>
      </c>
      <c r="AZ159" s="17">
        <f>IF(AND(AX159=1,G159&lt;=Config!$B$7),R159,"")</f>
        <v/>
      </c>
      <c r="BA159" s="17">
        <f>IF(AND(AX159=1,G159&lt;=Config!$B$8),R159,"")</f>
        <v/>
      </c>
      <c r="BB159" s="17">
        <f>IF(AND(AX159=1,G159&lt;=Config!$B$5),R159,"")</f>
        <v/>
      </c>
      <c r="BC159" s="17">
        <f>IF(AND(AN159=1,ISNUMBER(V159)),1,0)</f>
        <v/>
      </c>
      <c r="BD159" s="17">
        <f>IF(BC159=1,IF(COUNTIFS($A$2:$A$201,$A159,$BC$2:$BC$201,1,$G$2:$G$201,"&lt;"&amp;G159)+COUNTIFS($A$2:$A$201,$A159,$BC$2:$BC$201,1,$G$2:$G$201,G159,$AM$2:$AM$201,"&lt;"&amp;AM159)=0,1,0),0)</f>
        <v/>
      </c>
      <c r="BE159" s="17">
        <f>IF(AND(BD159=1,G159&lt;=Config!$B$6),V159,"")</f>
        <v/>
      </c>
      <c r="BF159" s="17">
        <f>IF(AND(BD159=1,G159&lt;=Config!$B$7),V159,"")</f>
        <v/>
      </c>
      <c r="BG159" s="17">
        <f>IF(AND(BD159=1,G159&lt;=Config!$B$8),V159,"")</f>
        <v/>
      </c>
      <c r="BH159" s="17">
        <f>IF(AND(BD159=1,G159&lt;=Config!$B$5),V159,"")</f>
        <v/>
      </c>
      <c r="BI159" s="17">
        <f>IF(AND(AN159=1,ISNUMBER(J159)),1,0)</f>
        <v/>
      </c>
      <c r="BJ159" s="17">
        <f>IF(BI159=1,IF(COUNTIFS($A$2:$A$201,$A159,$BI$2:$BI$201,1,$G$2:$G$201,"&lt;"&amp;G159)+COUNTIFS($A$2:$A$201,$A159,$BI$2:$BI$201,1,$G$2:$G$201,G159,$AM$2:$AM$201,"&lt;"&amp;AM159)=0,1,0),0)</f>
        <v/>
      </c>
      <c r="BK159" s="17">
        <f>IF(AND(BJ159=1,G159&lt;=Config!$B$5),J159,"")</f>
        <v/>
      </c>
      <c r="BL159" s="17">
        <f>IF(AND(AN159=1,OR(AND(ISNUMBER(R159),TRIM(S159)=""),AND(ISNUMBER(V159),TRIM(W159)=""))),1,0)</f>
        <v/>
      </c>
      <c r="BM159" s="17">
        <f>IF(AN159=1,AB159&amp;"","")</f>
        <v/>
      </c>
      <c r="BN159" s="17">
        <f>IF(AN159=1,AC159&amp;"","")</f>
        <v/>
      </c>
      <c r="BO159" s="17">
        <f>IF(AN159=1,AD159&amp;"","")</f>
        <v/>
      </c>
      <c r="BP159" s="17">
        <f>IF(AND(AN159=1,ISNUMBER(AI159),G159&lt;=Config!$B$5),AI159,"")</f>
        <v/>
      </c>
      <c r="BQ159" s="17">
        <f>IF(AN159=1,IF(COUNTIFS($A$2:$A$201,$A159,$AF$2:$AF$201,"Y",$AN$2:$AN$201,1)&gt;0,"Y","N"),"")</f>
        <v/>
      </c>
      <c r="BR159" s="17">
        <f>IF(AND(AN159=1,AF159="Y"),IF(COUNTIFS($A$2:$A$201,$A159,$AF$2:$AF$201,"Y",$AN$2:$AN$201,1,$G$2:$G$201,"&lt;"&amp;G159)+COUNTIFS($A$2:$A$201,$A159,$AF$2:$AF$201,"Y",$AN$2:$AN$201,1,$G$2:$G$201,G159,$AM$2:$AM$201,"&lt;"&amp;AM159)=0,1,0),0)</f>
        <v/>
      </c>
      <c r="BS159" s="17">
        <f>IF(AN159=1,IFERROR(MATCH($A159,INDEX(Clay_Brands!$A$2:$FZ$601,0,Sync!$D$5),0),""),"")</f>
        <v/>
      </c>
      <c r="BT159" s="17">
        <f>IF(BS159="","",IFERROR(INDEX(Clay_Brands!$A$2:$FZ$601,BS159,Sync!$D$7)&amp;"",""))</f>
        <v/>
      </c>
      <c r="BU159" s="17">
        <f>IF(BT159="","",IFERROR(INDEX(Lists!$J$2:$J$15,MATCH(BT159,Lists!$I$2:$I$15,0)),""))</f>
        <v/>
      </c>
      <c r="BV159" s="17">
        <f>IF(BS159="","",IFERROR(INDEX(Clay_Brands!$A$2:$FZ$601,BS159,Sync!$D$17)&amp;"",""))</f>
        <v/>
      </c>
      <c r="BW159" s="23">
        <f>IF(BS159="","",IFERROR(N(INDEX(Clay_Brands!$A$2:$FZ$601,BS159,Sync!$D$16)),0))</f>
        <v/>
      </c>
    </row>
    <row r="160">
      <c r="G160" s="22" t="n"/>
      <c r="AL160" s="17">
        <f>IF(TRIM($A160)="","",IF(AND(LEFT($A160,6)="SAMPLE",Config!$B$19&lt;&gt;"Y"),"",IF(NOT(ISNUMBER(G160)),"call_date is blank or not a date",IF(Sync!$D$5="","Clay paste is empty or has no row_id column: paste the Clay export on Clay_Brands",IF(BS160="","row_id not found in the Clay paste: add the Clay row or fix the row_id",IF(AND(ISNUMBER(BU160),BU160&gt;=1,BU160&lt;=5),"Clay status is "&amp;BT160&amp;": set call_done or later",IF(AND(AP160=1,BV160&lt;&gt;BQ160),"Clay yes_in_principle should be "&amp;BQ160,IF(AND(AP160=1,BW160&lt;&gt;G160),"Clay call_date should be "&amp;TEXT(G160,"yyyy-mm-dd"),""))))))))</f>
        <v/>
      </c>
      <c r="AM160" s="17">
        <f>ROW()</f>
        <v/>
      </c>
      <c r="AN160" s="17">
        <f>IF(AND(TRIM($A160)&lt;&gt;"",ISNUMBER(G160)),IF(AND(LEFT($A160,6)="SAMPLE",Config!$B$19&lt;&gt;"Y"),0,1),0)</f>
        <v/>
      </c>
      <c r="AO160" s="17">
        <f>IF(AN160=1,IF(COUNTIFS($A$2:$A$201,$A160,$AN$2:$AN$201,1,$G$2:$G$201,"&lt;"&amp;G160)+COUNTIFS($A$2:$A$201,$A160,$AN$2:$AN$201,1,$G$2:$G$201,G160,$AM$2:$AM$201,"&lt;"&amp;AM160)=0,1,0),0)</f>
        <v/>
      </c>
      <c r="AP160" s="17">
        <f>IF(AN160=1,IF(COUNTIFS($A$2:$A$201,$A160,$AN$2:$AN$201,1,$G$2:$G$201,"&gt;"&amp;G160)+COUNTIFS($A$2:$A$201,$A160,$AN$2:$AN$201,1,$G$2:$G$201,G160,$AM$2:$AM$201,"&gt;"&amp;AM160)=0,1,0),0)</f>
        <v/>
      </c>
      <c r="AQ160" s="17">
        <f>IF(AND(AN160=1,N160="Y",MAX(N(R160),N(V160))&gt;=Config!$B$14),1,0)</f>
        <v/>
      </c>
      <c r="AR160" s="17">
        <f>IF(AQ160=1,IF(COUNTIFS($A$2:$A$201,$A160,$AQ$2:$AQ$201,1,$G$2:$G$201,"&lt;"&amp;G160)+COUNTIFS($A$2:$A$201,$A160,$AQ$2:$AQ$201,1,$G$2:$G$201,G160,$AM$2:$AM$201,"&lt;"&amp;AM160)=0,1,0),0)</f>
        <v/>
      </c>
      <c r="AS160" s="17">
        <f>IF(AND(AN160=1,N160="Y",ISNUMBER(R160)),IF(R160&gt;=Config!$B$14,1,0),0)</f>
        <v/>
      </c>
      <c r="AT160" s="17">
        <f>IF(AS160=1,IF(COUNTIFS($A$2:$A$201,$A160,$AS$2:$AS$201,1,$G$2:$G$201,"&lt;"&amp;G160)+COUNTIFS($A$2:$A$201,$A160,$AS$2:$AS$201,1,$G$2:$G$201,G160,$AM$2:$AM$201,"&lt;"&amp;AM160)=0,1,0),0)</f>
        <v/>
      </c>
      <c r="AU160" s="17">
        <f>IF(AND(AN160=1,N160&lt;&gt;"Y",MAX(N(R160),N(V160))&gt;=Config!$B$14),1,0)</f>
        <v/>
      </c>
      <c r="AV160" s="17">
        <f>IF(AU160=1,IF(COUNTIFS($A$2:$A$201,$A160,$AU$2:$AU$201,1,$G$2:$G$201,"&lt;"&amp;G160)+COUNTIFS($A$2:$A$201,$A160,$AU$2:$AU$201,1,$G$2:$G$201,G160,$AM$2:$AM$201,"&lt;"&amp;AM160)=0,1,0),0)</f>
        <v/>
      </c>
      <c r="AW160" s="17">
        <f>IF(AND(AN160=1,ISNUMBER(R160)),1,0)</f>
        <v/>
      </c>
      <c r="AX160" s="17">
        <f>IF(AW160=1,IF(COUNTIFS($A$2:$A$201,$A160,$AW$2:$AW$201,1,$G$2:$G$201,"&lt;"&amp;G160)+COUNTIFS($A$2:$A$201,$A160,$AW$2:$AW$201,1,$G$2:$G$201,G160,$AM$2:$AM$201,"&lt;"&amp;AM160)=0,1,0),0)</f>
        <v/>
      </c>
      <c r="AY160" s="17">
        <f>IF(AND(AX160=1,G160&lt;=Config!$B$6),R160,"")</f>
        <v/>
      </c>
      <c r="AZ160" s="17">
        <f>IF(AND(AX160=1,G160&lt;=Config!$B$7),R160,"")</f>
        <v/>
      </c>
      <c r="BA160" s="17">
        <f>IF(AND(AX160=1,G160&lt;=Config!$B$8),R160,"")</f>
        <v/>
      </c>
      <c r="BB160" s="17">
        <f>IF(AND(AX160=1,G160&lt;=Config!$B$5),R160,"")</f>
        <v/>
      </c>
      <c r="BC160" s="17">
        <f>IF(AND(AN160=1,ISNUMBER(V160)),1,0)</f>
        <v/>
      </c>
      <c r="BD160" s="17">
        <f>IF(BC160=1,IF(COUNTIFS($A$2:$A$201,$A160,$BC$2:$BC$201,1,$G$2:$G$201,"&lt;"&amp;G160)+COUNTIFS($A$2:$A$201,$A160,$BC$2:$BC$201,1,$G$2:$G$201,G160,$AM$2:$AM$201,"&lt;"&amp;AM160)=0,1,0),0)</f>
        <v/>
      </c>
      <c r="BE160" s="17">
        <f>IF(AND(BD160=1,G160&lt;=Config!$B$6),V160,"")</f>
        <v/>
      </c>
      <c r="BF160" s="17">
        <f>IF(AND(BD160=1,G160&lt;=Config!$B$7),V160,"")</f>
        <v/>
      </c>
      <c r="BG160" s="17">
        <f>IF(AND(BD160=1,G160&lt;=Config!$B$8),V160,"")</f>
        <v/>
      </c>
      <c r="BH160" s="17">
        <f>IF(AND(BD160=1,G160&lt;=Config!$B$5),V160,"")</f>
        <v/>
      </c>
      <c r="BI160" s="17">
        <f>IF(AND(AN160=1,ISNUMBER(J160)),1,0)</f>
        <v/>
      </c>
      <c r="BJ160" s="17">
        <f>IF(BI160=1,IF(COUNTIFS($A$2:$A$201,$A160,$BI$2:$BI$201,1,$G$2:$G$201,"&lt;"&amp;G160)+COUNTIFS($A$2:$A$201,$A160,$BI$2:$BI$201,1,$G$2:$G$201,G160,$AM$2:$AM$201,"&lt;"&amp;AM160)=0,1,0),0)</f>
        <v/>
      </c>
      <c r="BK160" s="17">
        <f>IF(AND(BJ160=1,G160&lt;=Config!$B$5),J160,"")</f>
        <v/>
      </c>
      <c r="BL160" s="17">
        <f>IF(AND(AN160=1,OR(AND(ISNUMBER(R160),TRIM(S160)=""),AND(ISNUMBER(V160),TRIM(W160)=""))),1,0)</f>
        <v/>
      </c>
      <c r="BM160" s="17">
        <f>IF(AN160=1,AB160&amp;"","")</f>
        <v/>
      </c>
      <c r="BN160" s="17">
        <f>IF(AN160=1,AC160&amp;"","")</f>
        <v/>
      </c>
      <c r="BO160" s="17">
        <f>IF(AN160=1,AD160&amp;"","")</f>
        <v/>
      </c>
      <c r="BP160" s="17">
        <f>IF(AND(AN160=1,ISNUMBER(AI160),G160&lt;=Config!$B$5),AI160,"")</f>
        <v/>
      </c>
      <c r="BQ160" s="17">
        <f>IF(AN160=1,IF(COUNTIFS($A$2:$A$201,$A160,$AF$2:$AF$201,"Y",$AN$2:$AN$201,1)&gt;0,"Y","N"),"")</f>
        <v/>
      </c>
      <c r="BR160" s="17">
        <f>IF(AND(AN160=1,AF160="Y"),IF(COUNTIFS($A$2:$A$201,$A160,$AF$2:$AF$201,"Y",$AN$2:$AN$201,1,$G$2:$G$201,"&lt;"&amp;G160)+COUNTIFS($A$2:$A$201,$A160,$AF$2:$AF$201,"Y",$AN$2:$AN$201,1,$G$2:$G$201,G160,$AM$2:$AM$201,"&lt;"&amp;AM160)=0,1,0),0)</f>
        <v/>
      </c>
      <c r="BS160" s="17">
        <f>IF(AN160=1,IFERROR(MATCH($A160,INDEX(Clay_Brands!$A$2:$FZ$601,0,Sync!$D$5),0),""),"")</f>
        <v/>
      </c>
      <c r="BT160" s="17">
        <f>IF(BS160="","",IFERROR(INDEX(Clay_Brands!$A$2:$FZ$601,BS160,Sync!$D$7)&amp;"",""))</f>
        <v/>
      </c>
      <c r="BU160" s="17">
        <f>IF(BT160="","",IFERROR(INDEX(Lists!$J$2:$J$15,MATCH(BT160,Lists!$I$2:$I$15,0)),""))</f>
        <v/>
      </c>
      <c r="BV160" s="17">
        <f>IF(BS160="","",IFERROR(INDEX(Clay_Brands!$A$2:$FZ$601,BS160,Sync!$D$17)&amp;"",""))</f>
        <v/>
      </c>
      <c r="BW160" s="23">
        <f>IF(BS160="","",IFERROR(N(INDEX(Clay_Brands!$A$2:$FZ$601,BS160,Sync!$D$16)),0))</f>
        <v/>
      </c>
    </row>
    <row r="161">
      <c r="G161" s="22" t="n"/>
      <c r="AL161" s="17">
        <f>IF(TRIM($A161)="","",IF(AND(LEFT($A161,6)="SAMPLE",Config!$B$19&lt;&gt;"Y"),"",IF(NOT(ISNUMBER(G161)),"call_date is blank or not a date",IF(Sync!$D$5="","Clay paste is empty or has no row_id column: paste the Clay export on Clay_Brands",IF(BS161="","row_id not found in the Clay paste: add the Clay row or fix the row_id",IF(AND(ISNUMBER(BU161),BU161&gt;=1,BU161&lt;=5),"Clay status is "&amp;BT161&amp;": set call_done or later",IF(AND(AP161=1,BV161&lt;&gt;BQ161),"Clay yes_in_principle should be "&amp;BQ161,IF(AND(AP161=1,BW161&lt;&gt;G161),"Clay call_date should be "&amp;TEXT(G161,"yyyy-mm-dd"),""))))))))</f>
        <v/>
      </c>
      <c r="AM161" s="17">
        <f>ROW()</f>
        <v/>
      </c>
      <c r="AN161" s="17">
        <f>IF(AND(TRIM($A161)&lt;&gt;"",ISNUMBER(G161)),IF(AND(LEFT($A161,6)="SAMPLE",Config!$B$19&lt;&gt;"Y"),0,1),0)</f>
        <v/>
      </c>
      <c r="AO161" s="17">
        <f>IF(AN161=1,IF(COUNTIFS($A$2:$A$201,$A161,$AN$2:$AN$201,1,$G$2:$G$201,"&lt;"&amp;G161)+COUNTIFS($A$2:$A$201,$A161,$AN$2:$AN$201,1,$G$2:$G$201,G161,$AM$2:$AM$201,"&lt;"&amp;AM161)=0,1,0),0)</f>
        <v/>
      </c>
      <c r="AP161" s="17">
        <f>IF(AN161=1,IF(COUNTIFS($A$2:$A$201,$A161,$AN$2:$AN$201,1,$G$2:$G$201,"&gt;"&amp;G161)+COUNTIFS($A$2:$A$201,$A161,$AN$2:$AN$201,1,$G$2:$G$201,G161,$AM$2:$AM$201,"&gt;"&amp;AM161)=0,1,0),0)</f>
        <v/>
      </c>
      <c r="AQ161" s="17">
        <f>IF(AND(AN161=1,N161="Y",MAX(N(R161),N(V161))&gt;=Config!$B$14),1,0)</f>
        <v/>
      </c>
      <c r="AR161" s="17">
        <f>IF(AQ161=1,IF(COUNTIFS($A$2:$A$201,$A161,$AQ$2:$AQ$201,1,$G$2:$G$201,"&lt;"&amp;G161)+COUNTIFS($A$2:$A$201,$A161,$AQ$2:$AQ$201,1,$G$2:$G$201,G161,$AM$2:$AM$201,"&lt;"&amp;AM161)=0,1,0),0)</f>
        <v/>
      </c>
      <c r="AS161" s="17">
        <f>IF(AND(AN161=1,N161="Y",ISNUMBER(R161)),IF(R161&gt;=Config!$B$14,1,0),0)</f>
        <v/>
      </c>
      <c r="AT161" s="17">
        <f>IF(AS161=1,IF(COUNTIFS($A$2:$A$201,$A161,$AS$2:$AS$201,1,$G$2:$G$201,"&lt;"&amp;G161)+COUNTIFS($A$2:$A$201,$A161,$AS$2:$AS$201,1,$G$2:$G$201,G161,$AM$2:$AM$201,"&lt;"&amp;AM161)=0,1,0),0)</f>
        <v/>
      </c>
      <c r="AU161" s="17">
        <f>IF(AND(AN161=1,N161&lt;&gt;"Y",MAX(N(R161),N(V161))&gt;=Config!$B$14),1,0)</f>
        <v/>
      </c>
      <c r="AV161" s="17">
        <f>IF(AU161=1,IF(COUNTIFS($A$2:$A$201,$A161,$AU$2:$AU$201,1,$G$2:$G$201,"&lt;"&amp;G161)+COUNTIFS($A$2:$A$201,$A161,$AU$2:$AU$201,1,$G$2:$G$201,G161,$AM$2:$AM$201,"&lt;"&amp;AM161)=0,1,0),0)</f>
        <v/>
      </c>
      <c r="AW161" s="17">
        <f>IF(AND(AN161=1,ISNUMBER(R161)),1,0)</f>
        <v/>
      </c>
      <c r="AX161" s="17">
        <f>IF(AW161=1,IF(COUNTIFS($A$2:$A$201,$A161,$AW$2:$AW$201,1,$G$2:$G$201,"&lt;"&amp;G161)+COUNTIFS($A$2:$A$201,$A161,$AW$2:$AW$201,1,$G$2:$G$201,G161,$AM$2:$AM$201,"&lt;"&amp;AM161)=0,1,0),0)</f>
        <v/>
      </c>
      <c r="AY161" s="17">
        <f>IF(AND(AX161=1,G161&lt;=Config!$B$6),R161,"")</f>
        <v/>
      </c>
      <c r="AZ161" s="17">
        <f>IF(AND(AX161=1,G161&lt;=Config!$B$7),R161,"")</f>
        <v/>
      </c>
      <c r="BA161" s="17">
        <f>IF(AND(AX161=1,G161&lt;=Config!$B$8),R161,"")</f>
        <v/>
      </c>
      <c r="BB161" s="17">
        <f>IF(AND(AX161=1,G161&lt;=Config!$B$5),R161,"")</f>
        <v/>
      </c>
      <c r="BC161" s="17">
        <f>IF(AND(AN161=1,ISNUMBER(V161)),1,0)</f>
        <v/>
      </c>
      <c r="BD161" s="17">
        <f>IF(BC161=1,IF(COUNTIFS($A$2:$A$201,$A161,$BC$2:$BC$201,1,$G$2:$G$201,"&lt;"&amp;G161)+COUNTIFS($A$2:$A$201,$A161,$BC$2:$BC$201,1,$G$2:$G$201,G161,$AM$2:$AM$201,"&lt;"&amp;AM161)=0,1,0),0)</f>
        <v/>
      </c>
      <c r="BE161" s="17">
        <f>IF(AND(BD161=1,G161&lt;=Config!$B$6),V161,"")</f>
        <v/>
      </c>
      <c r="BF161" s="17">
        <f>IF(AND(BD161=1,G161&lt;=Config!$B$7),V161,"")</f>
        <v/>
      </c>
      <c r="BG161" s="17">
        <f>IF(AND(BD161=1,G161&lt;=Config!$B$8),V161,"")</f>
        <v/>
      </c>
      <c r="BH161" s="17">
        <f>IF(AND(BD161=1,G161&lt;=Config!$B$5),V161,"")</f>
        <v/>
      </c>
      <c r="BI161" s="17">
        <f>IF(AND(AN161=1,ISNUMBER(J161)),1,0)</f>
        <v/>
      </c>
      <c r="BJ161" s="17">
        <f>IF(BI161=1,IF(COUNTIFS($A$2:$A$201,$A161,$BI$2:$BI$201,1,$G$2:$G$201,"&lt;"&amp;G161)+COUNTIFS($A$2:$A$201,$A161,$BI$2:$BI$201,1,$G$2:$G$201,G161,$AM$2:$AM$201,"&lt;"&amp;AM161)=0,1,0),0)</f>
        <v/>
      </c>
      <c r="BK161" s="17">
        <f>IF(AND(BJ161=1,G161&lt;=Config!$B$5),J161,"")</f>
        <v/>
      </c>
      <c r="BL161" s="17">
        <f>IF(AND(AN161=1,OR(AND(ISNUMBER(R161),TRIM(S161)=""),AND(ISNUMBER(V161),TRIM(W161)=""))),1,0)</f>
        <v/>
      </c>
      <c r="BM161" s="17">
        <f>IF(AN161=1,AB161&amp;"","")</f>
        <v/>
      </c>
      <c r="BN161" s="17">
        <f>IF(AN161=1,AC161&amp;"","")</f>
        <v/>
      </c>
      <c r="BO161" s="17">
        <f>IF(AN161=1,AD161&amp;"","")</f>
        <v/>
      </c>
      <c r="BP161" s="17">
        <f>IF(AND(AN161=1,ISNUMBER(AI161),G161&lt;=Config!$B$5),AI161,"")</f>
        <v/>
      </c>
      <c r="BQ161" s="17">
        <f>IF(AN161=1,IF(COUNTIFS($A$2:$A$201,$A161,$AF$2:$AF$201,"Y",$AN$2:$AN$201,1)&gt;0,"Y","N"),"")</f>
        <v/>
      </c>
      <c r="BR161" s="17">
        <f>IF(AND(AN161=1,AF161="Y"),IF(COUNTIFS($A$2:$A$201,$A161,$AF$2:$AF$201,"Y",$AN$2:$AN$201,1,$G$2:$G$201,"&lt;"&amp;G161)+COUNTIFS($A$2:$A$201,$A161,$AF$2:$AF$201,"Y",$AN$2:$AN$201,1,$G$2:$G$201,G161,$AM$2:$AM$201,"&lt;"&amp;AM161)=0,1,0),0)</f>
        <v/>
      </c>
      <c r="BS161" s="17">
        <f>IF(AN161=1,IFERROR(MATCH($A161,INDEX(Clay_Brands!$A$2:$FZ$601,0,Sync!$D$5),0),""),"")</f>
        <v/>
      </c>
      <c r="BT161" s="17">
        <f>IF(BS161="","",IFERROR(INDEX(Clay_Brands!$A$2:$FZ$601,BS161,Sync!$D$7)&amp;"",""))</f>
        <v/>
      </c>
      <c r="BU161" s="17">
        <f>IF(BT161="","",IFERROR(INDEX(Lists!$J$2:$J$15,MATCH(BT161,Lists!$I$2:$I$15,0)),""))</f>
        <v/>
      </c>
      <c r="BV161" s="17">
        <f>IF(BS161="","",IFERROR(INDEX(Clay_Brands!$A$2:$FZ$601,BS161,Sync!$D$17)&amp;"",""))</f>
        <v/>
      </c>
      <c r="BW161" s="23">
        <f>IF(BS161="","",IFERROR(N(INDEX(Clay_Brands!$A$2:$FZ$601,BS161,Sync!$D$16)),0))</f>
        <v/>
      </c>
    </row>
    <row r="162">
      <c r="G162" s="22" t="n"/>
      <c r="AL162" s="17">
        <f>IF(TRIM($A162)="","",IF(AND(LEFT($A162,6)="SAMPLE",Config!$B$19&lt;&gt;"Y"),"",IF(NOT(ISNUMBER(G162)),"call_date is blank or not a date",IF(Sync!$D$5="","Clay paste is empty or has no row_id column: paste the Clay export on Clay_Brands",IF(BS162="","row_id not found in the Clay paste: add the Clay row or fix the row_id",IF(AND(ISNUMBER(BU162),BU162&gt;=1,BU162&lt;=5),"Clay status is "&amp;BT162&amp;": set call_done or later",IF(AND(AP162=1,BV162&lt;&gt;BQ162),"Clay yes_in_principle should be "&amp;BQ162,IF(AND(AP162=1,BW162&lt;&gt;G162),"Clay call_date should be "&amp;TEXT(G162,"yyyy-mm-dd"),""))))))))</f>
        <v/>
      </c>
      <c r="AM162" s="17">
        <f>ROW()</f>
        <v/>
      </c>
      <c r="AN162" s="17">
        <f>IF(AND(TRIM($A162)&lt;&gt;"",ISNUMBER(G162)),IF(AND(LEFT($A162,6)="SAMPLE",Config!$B$19&lt;&gt;"Y"),0,1),0)</f>
        <v/>
      </c>
      <c r="AO162" s="17">
        <f>IF(AN162=1,IF(COUNTIFS($A$2:$A$201,$A162,$AN$2:$AN$201,1,$G$2:$G$201,"&lt;"&amp;G162)+COUNTIFS($A$2:$A$201,$A162,$AN$2:$AN$201,1,$G$2:$G$201,G162,$AM$2:$AM$201,"&lt;"&amp;AM162)=0,1,0),0)</f>
        <v/>
      </c>
      <c r="AP162" s="17">
        <f>IF(AN162=1,IF(COUNTIFS($A$2:$A$201,$A162,$AN$2:$AN$201,1,$G$2:$G$201,"&gt;"&amp;G162)+COUNTIFS($A$2:$A$201,$A162,$AN$2:$AN$201,1,$G$2:$G$201,G162,$AM$2:$AM$201,"&gt;"&amp;AM162)=0,1,0),0)</f>
        <v/>
      </c>
      <c r="AQ162" s="17">
        <f>IF(AND(AN162=1,N162="Y",MAX(N(R162),N(V162))&gt;=Config!$B$14),1,0)</f>
        <v/>
      </c>
      <c r="AR162" s="17">
        <f>IF(AQ162=1,IF(COUNTIFS($A$2:$A$201,$A162,$AQ$2:$AQ$201,1,$G$2:$G$201,"&lt;"&amp;G162)+COUNTIFS($A$2:$A$201,$A162,$AQ$2:$AQ$201,1,$G$2:$G$201,G162,$AM$2:$AM$201,"&lt;"&amp;AM162)=0,1,0),0)</f>
        <v/>
      </c>
      <c r="AS162" s="17">
        <f>IF(AND(AN162=1,N162="Y",ISNUMBER(R162)),IF(R162&gt;=Config!$B$14,1,0),0)</f>
        <v/>
      </c>
      <c r="AT162" s="17">
        <f>IF(AS162=1,IF(COUNTIFS($A$2:$A$201,$A162,$AS$2:$AS$201,1,$G$2:$G$201,"&lt;"&amp;G162)+COUNTIFS($A$2:$A$201,$A162,$AS$2:$AS$201,1,$G$2:$G$201,G162,$AM$2:$AM$201,"&lt;"&amp;AM162)=0,1,0),0)</f>
        <v/>
      </c>
      <c r="AU162" s="17">
        <f>IF(AND(AN162=1,N162&lt;&gt;"Y",MAX(N(R162),N(V162))&gt;=Config!$B$14),1,0)</f>
        <v/>
      </c>
      <c r="AV162" s="17">
        <f>IF(AU162=1,IF(COUNTIFS($A$2:$A$201,$A162,$AU$2:$AU$201,1,$G$2:$G$201,"&lt;"&amp;G162)+COUNTIFS($A$2:$A$201,$A162,$AU$2:$AU$201,1,$G$2:$G$201,G162,$AM$2:$AM$201,"&lt;"&amp;AM162)=0,1,0),0)</f>
        <v/>
      </c>
      <c r="AW162" s="17">
        <f>IF(AND(AN162=1,ISNUMBER(R162)),1,0)</f>
        <v/>
      </c>
      <c r="AX162" s="17">
        <f>IF(AW162=1,IF(COUNTIFS($A$2:$A$201,$A162,$AW$2:$AW$201,1,$G$2:$G$201,"&lt;"&amp;G162)+COUNTIFS($A$2:$A$201,$A162,$AW$2:$AW$201,1,$G$2:$G$201,G162,$AM$2:$AM$201,"&lt;"&amp;AM162)=0,1,0),0)</f>
        <v/>
      </c>
      <c r="AY162" s="17">
        <f>IF(AND(AX162=1,G162&lt;=Config!$B$6),R162,"")</f>
        <v/>
      </c>
      <c r="AZ162" s="17">
        <f>IF(AND(AX162=1,G162&lt;=Config!$B$7),R162,"")</f>
        <v/>
      </c>
      <c r="BA162" s="17">
        <f>IF(AND(AX162=1,G162&lt;=Config!$B$8),R162,"")</f>
        <v/>
      </c>
      <c r="BB162" s="17">
        <f>IF(AND(AX162=1,G162&lt;=Config!$B$5),R162,"")</f>
        <v/>
      </c>
      <c r="BC162" s="17">
        <f>IF(AND(AN162=1,ISNUMBER(V162)),1,0)</f>
        <v/>
      </c>
      <c r="BD162" s="17">
        <f>IF(BC162=1,IF(COUNTIFS($A$2:$A$201,$A162,$BC$2:$BC$201,1,$G$2:$G$201,"&lt;"&amp;G162)+COUNTIFS($A$2:$A$201,$A162,$BC$2:$BC$201,1,$G$2:$G$201,G162,$AM$2:$AM$201,"&lt;"&amp;AM162)=0,1,0),0)</f>
        <v/>
      </c>
      <c r="BE162" s="17">
        <f>IF(AND(BD162=1,G162&lt;=Config!$B$6),V162,"")</f>
        <v/>
      </c>
      <c r="BF162" s="17">
        <f>IF(AND(BD162=1,G162&lt;=Config!$B$7),V162,"")</f>
        <v/>
      </c>
      <c r="BG162" s="17">
        <f>IF(AND(BD162=1,G162&lt;=Config!$B$8),V162,"")</f>
        <v/>
      </c>
      <c r="BH162" s="17">
        <f>IF(AND(BD162=1,G162&lt;=Config!$B$5),V162,"")</f>
        <v/>
      </c>
      <c r="BI162" s="17">
        <f>IF(AND(AN162=1,ISNUMBER(J162)),1,0)</f>
        <v/>
      </c>
      <c r="BJ162" s="17">
        <f>IF(BI162=1,IF(COUNTIFS($A$2:$A$201,$A162,$BI$2:$BI$201,1,$G$2:$G$201,"&lt;"&amp;G162)+COUNTIFS($A$2:$A$201,$A162,$BI$2:$BI$201,1,$G$2:$G$201,G162,$AM$2:$AM$201,"&lt;"&amp;AM162)=0,1,0),0)</f>
        <v/>
      </c>
      <c r="BK162" s="17">
        <f>IF(AND(BJ162=1,G162&lt;=Config!$B$5),J162,"")</f>
        <v/>
      </c>
      <c r="BL162" s="17">
        <f>IF(AND(AN162=1,OR(AND(ISNUMBER(R162),TRIM(S162)=""),AND(ISNUMBER(V162),TRIM(W162)=""))),1,0)</f>
        <v/>
      </c>
      <c r="BM162" s="17">
        <f>IF(AN162=1,AB162&amp;"","")</f>
        <v/>
      </c>
      <c r="BN162" s="17">
        <f>IF(AN162=1,AC162&amp;"","")</f>
        <v/>
      </c>
      <c r="BO162" s="17">
        <f>IF(AN162=1,AD162&amp;"","")</f>
        <v/>
      </c>
      <c r="BP162" s="17">
        <f>IF(AND(AN162=1,ISNUMBER(AI162),G162&lt;=Config!$B$5),AI162,"")</f>
        <v/>
      </c>
      <c r="BQ162" s="17">
        <f>IF(AN162=1,IF(COUNTIFS($A$2:$A$201,$A162,$AF$2:$AF$201,"Y",$AN$2:$AN$201,1)&gt;0,"Y","N"),"")</f>
        <v/>
      </c>
      <c r="BR162" s="17">
        <f>IF(AND(AN162=1,AF162="Y"),IF(COUNTIFS($A$2:$A$201,$A162,$AF$2:$AF$201,"Y",$AN$2:$AN$201,1,$G$2:$G$201,"&lt;"&amp;G162)+COUNTIFS($A$2:$A$201,$A162,$AF$2:$AF$201,"Y",$AN$2:$AN$201,1,$G$2:$G$201,G162,$AM$2:$AM$201,"&lt;"&amp;AM162)=0,1,0),0)</f>
        <v/>
      </c>
      <c r="BS162" s="17">
        <f>IF(AN162=1,IFERROR(MATCH($A162,INDEX(Clay_Brands!$A$2:$FZ$601,0,Sync!$D$5),0),""),"")</f>
        <v/>
      </c>
      <c r="BT162" s="17">
        <f>IF(BS162="","",IFERROR(INDEX(Clay_Brands!$A$2:$FZ$601,BS162,Sync!$D$7)&amp;"",""))</f>
        <v/>
      </c>
      <c r="BU162" s="17">
        <f>IF(BT162="","",IFERROR(INDEX(Lists!$J$2:$J$15,MATCH(BT162,Lists!$I$2:$I$15,0)),""))</f>
        <v/>
      </c>
      <c r="BV162" s="17">
        <f>IF(BS162="","",IFERROR(INDEX(Clay_Brands!$A$2:$FZ$601,BS162,Sync!$D$17)&amp;"",""))</f>
        <v/>
      </c>
      <c r="BW162" s="23">
        <f>IF(BS162="","",IFERROR(N(INDEX(Clay_Brands!$A$2:$FZ$601,BS162,Sync!$D$16)),0))</f>
        <v/>
      </c>
    </row>
    <row r="163">
      <c r="G163" s="22" t="n"/>
      <c r="AL163" s="17">
        <f>IF(TRIM($A163)="","",IF(AND(LEFT($A163,6)="SAMPLE",Config!$B$19&lt;&gt;"Y"),"",IF(NOT(ISNUMBER(G163)),"call_date is blank or not a date",IF(Sync!$D$5="","Clay paste is empty or has no row_id column: paste the Clay export on Clay_Brands",IF(BS163="","row_id not found in the Clay paste: add the Clay row or fix the row_id",IF(AND(ISNUMBER(BU163),BU163&gt;=1,BU163&lt;=5),"Clay status is "&amp;BT163&amp;": set call_done or later",IF(AND(AP163=1,BV163&lt;&gt;BQ163),"Clay yes_in_principle should be "&amp;BQ163,IF(AND(AP163=1,BW163&lt;&gt;G163),"Clay call_date should be "&amp;TEXT(G163,"yyyy-mm-dd"),""))))))))</f>
        <v/>
      </c>
      <c r="AM163" s="17">
        <f>ROW()</f>
        <v/>
      </c>
      <c r="AN163" s="17">
        <f>IF(AND(TRIM($A163)&lt;&gt;"",ISNUMBER(G163)),IF(AND(LEFT($A163,6)="SAMPLE",Config!$B$19&lt;&gt;"Y"),0,1),0)</f>
        <v/>
      </c>
      <c r="AO163" s="17">
        <f>IF(AN163=1,IF(COUNTIFS($A$2:$A$201,$A163,$AN$2:$AN$201,1,$G$2:$G$201,"&lt;"&amp;G163)+COUNTIFS($A$2:$A$201,$A163,$AN$2:$AN$201,1,$G$2:$G$201,G163,$AM$2:$AM$201,"&lt;"&amp;AM163)=0,1,0),0)</f>
        <v/>
      </c>
      <c r="AP163" s="17">
        <f>IF(AN163=1,IF(COUNTIFS($A$2:$A$201,$A163,$AN$2:$AN$201,1,$G$2:$G$201,"&gt;"&amp;G163)+COUNTIFS($A$2:$A$201,$A163,$AN$2:$AN$201,1,$G$2:$G$201,G163,$AM$2:$AM$201,"&gt;"&amp;AM163)=0,1,0),0)</f>
        <v/>
      </c>
      <c r="AQ163" s="17">
        <f>IF(AND(AN163=1,N163="Y",MAX(N(R163),N(V163))&gt;=Config!$B$14),1,0)</f>
        <v/>
      </c>
      <c r="AR163" s="17">
        <f>IF(AQ163=1,IF(COUNTIFS($A$2:$A$201,$A163,$AQ$2:$AQ$201,1,$G$2:$G$201,"&lt;"&amp;G163)+COUNTIFS($A$2:$A$201,$A163,$AQ$2:$AQ$201,1,$G$2:$G$201,G163,$AM$2:$AM$201,"&lt;"&amp;AM163)=0,1,0),0)</f>
        <v/>
      </c>
      <c r="AS163" s="17">
        <f>IF(AND(AN163=1,N163="Y",ISNUMBER(R163)),IF(R163&gt;=Config!$B$14,1,0),0)</f>
        <v/>
      </c>
      <c r="AT163" s="17">
        <f>IF(AS163=1,IF(COUNTIFS($A$2:$A$201,$A163,$AS$2:$AS$201,1,$G$2:$G$201,"&lt;"&amp;G163)+COUNTIFS($A$2:$A$201,$A163,$AS$2:$AS$201,1,$G$2:$G$201,G163,$AM$2:$AM$201,"&lt;"&amp;AM163)=0,1,0),0)</f>
        <v/>
      </c>
      <c r="AU163" s="17">
        <f>IF(AND(AN163=1,N163&lt;&gt;"Y",MAX(N(R163),N(V163))&gt;=Config!$B$14),1,0)</f>
        <v/>
      </c>
      <c r="AV163" s="17">
        <f>IF(AU163=1,IF(COUNTIFS($A$2:$A$201,$A163,$AU$2:$AU$201,1,$G$2:$G$201,"&lt;"&amp;G163)+COUNTIFS($A$2:$A$201,$A163,$AU$2:$AU$201,1,$G$2:$G$201,G163,$AM$2:$AM$201,"&lt;"&amp;AM163)=0,1,0),0)</f>
        <v/>
      </c>
      <c r="AW163" s="17">
        <f>IF(AND(AN163=1,ISNUMBER(R163)),1,0)</f>
        <v/>
      </c>
      <c r="AX163" s="17">
        <f>IF(AW163=1,IF(COUNTIFS($A$2:$A$201,$A163,$AW$2:$AW$201,1,$G$2:$G$201,"&lt;"&amp;G163)+COUNTIFS($A$2:$A$201,$A163,$AW$2:$AW$201,1,$G$2:$G$201,G163,$AM$2:$AM$201,"&lt;"&amp;AM163)=0,1,0),0)</f>
        <v/>
      </c>
      <c r="AY163" s="17">
        <f>IF(AND(AX163=1,G163&lt;=Config!$B$6),R163,"")</f>
        <v/>
      </c>
      <c r="AZ163" s="17">
        <f>IF(AND(AX163=1,G163&lt;=Config!$B$7),R163,"")</f>
        <v/>
      </c>
      <c r="BA163" s="17">
        <f>IF(AND(AX163=1,G163&lt;=Config!$B$8),R163,"")</f>
        <v/>
      </c>
      <c r="BB163" s="17">
        <f>IF(AND(AX163=1,G163&lt;=Config!$B$5),R163,"")</f>
        <v/>
      </c>
      <c r="BC163" s="17">
        <f>IF(AND(AN163=1,ISNUMBER(V163)),1,0)</f>
        <v/>
      </c>
      <c r="BD163" s="17">
        <f>IF(BC163=1,IF(COUNTIFS($A$2:$A$201,$A163,$BC$2:$BC$201,1,$G$2:$G$201,"&lt;"&amp;G163)+COUNTIFS($A$2:$A$201,$A163,$BC$2:$BC$201,1,$G$2:$G$201,G163,$AM$2:$AM$201,"&lt;"&amp;AM163)=0,1,0),0)</f>
        <v/>
      </c>
      <c r="BE163" s="17">
        <f>IF(AND(BD163=1,G163&lt;=Config!$B$6),V163,"")</f>
        <v/>
      </c>
      <c r="BF163" s="17">
        <f>IF(AND(BD163=1,G163&lt;=Config!$B$7),V163,"")</f>
        <v/>
      </c>
      <c r="BG163" s="17">
        <f>IF(AND(BD163=1,G163&lt;=Config!$B$8),V163,"")</f>
        <v/>
      </c>
      <c r="BH163" s="17">
        <f>IF(AND(BD163=1,G163&lt;=Config!$B$5),V163,"")</f>
        <v/>
      </c>
      <c r="BI163" s="17">
        <f>IF(AND(AN163=1,ISNUMBER(J163)),1,0)</f>
        <v/>
      </c>
      <c r="BJ163" s="17">
        <f>IF(BI163=1,IF(COUNTIFS($A$2:$A$201,$A163,$BI$2:$BI$201,1,$G$2:$G$201,"&lt;"&amp;G163)+COUNTIFS($A$2:$A$201,$A163,$BI$2:$BI$201,1,$G$2:$G$201,G163,$AM$2:$AM$201,"&lt;"&amp;AM163)=0,1,0),0)</f>
        <v/>
      </c>
      <c r="BK163" s="17">
        <f>IF(AND(BJ163=1,G163&lt;=Config!$B$5),J163,"")</f>
        <v/>
      </c>
      <c r="BL163" s="17">
        <f>IF(AND(AN163=1,OR(AND(ISNUMBER(R163),TRIM(S163)=""),AND(ISNUMBER(V163),TRIM(W163)=""))),1,0)</f>
        <v/>
      </c>
      <c r="BM163" s="17">
        <f>IF(AN163=1,AB163&amp;"","")</f>
        <v/>
      </c>
      <c r="BN163" s="17">
        <f>IF(AN163=1,AC163&amp;"","")</f>
        <v/>
      </c>
      <c r="BO163" s="17">
        <f>IF(AN163=1,AD163&amp;"","")</f>
        <v/>
      </c>
      <c r="BP163" s="17">
        <f>IF(AND(AN163=1,ISNUMBER(AI163),G163&lt;=Config!$B$5),AI163,"")</f>
        <v/>
      </c>
      <c r="BQ163" s="17">
        <f>IF(AN163=1,IF(COUNTIFS($A$2:$A$201,$A163,$AF$2:$AF$201,"Y",$AN$2:$AN$201,1)&gt;0,"Y","N"),"")</f>
        <v/>
      </c>
      <c r="BR163" s="17">
        <f>IF(AND(AN163=1,AF163="Y"),IF(COUNTIFS($A$2:$A$201,$A163,$AF$2:$AF$201,"Y",$AN$2:$AN$201,1,$G$2:$G$201,"&lt;"&amp;G163)+COUNTIFS($A$2:$A$201,$A163,$AF$2:$AF$201,"Y",$AN$2:$AN$201,1,$G$2:$G$201,G163,$AM$2:$AM$201,"&lt;"&amp;AM163)=0,1,0),0)</f>
        <v/>
      </c>
      <c r="BS163" s="17">
        <f>IF(AN163=1,IFERROR(MATCH($A163,INDEX(Clay_Brands!$A$2:$FZ$601,0,Sync!$D$5),0),""),"")</f>
        <v/>
      </c>
      <c r="BT163" s="17">
        <f>IF(BS163="","",IFERROR(INDEX(Clay_Brands!$A$2:$FZ$601,BS163,Sync!$D$7)&amp;"",""))</f>
        <v/>
      </c>
      <c r="BU163" s="17">
        <f>IF(BT163="","",IFERROR(INDEX(Lists!$J$2:$J$15,MATCH(BT163,Lists!$I$2:$I$15,0)),""))</f>
        <v/>
      </c>
      <c r="BV163" s="17">
        <f>IF(BS163="","",IFERROR(INDEX(Clay_Brands!$A$2:$FZ$601,BS163,Sync!$D$17)&amp;"",""))</f>
        <v/>
      </c>
      <c r="BW163" s="23">
        <f>IF(BS163="","",IFERROR(N(INDEX(Clay_Brands!$A$2:$FZ$601,BS163,Sync!$D$16)),0))</f>
        <v/>
      </c>
    </row>
    <row r="164">
      <c r="G164" s="22" t="n"/>
      <c r="AL164" s="17">
        <f>IF(TRIM($A164)="","",IF(AND(LEFT($A164,6)="SAMPLE",Config!$B$19&lt;&gt;"Y"),"",IF(NOT(ISNUMBER(G164)),"call_date is blank or not a date",IF(Sync!$D$5="","Clay paste is empty or has no row_id column: paste the Clay export on Clay_Brands",IF(BS164="","row_id not found in the Clay paste: add the Clay row or fix the row_id",IF(AND(ISNUMBER(BU164),BU164&gt;=1,BU164&lt;=5),"Clay status is "&amp;BT164&amp;": set call_done or later",IF(AND(AP164=1,BV164&lt;&gt;BQ164),"Clay yes_in_principle should be "&amp;BQ164,IF(AND(AP164=1,BW164&lt;&gt;G164),"Clay call_date should be "&amp;TEXT(G164,"yyyy-mm-dd"),""))))))))</f>
        <v/>
      </c>
      <c r="AM164" s="17">
        <f>ROW()</f>
        <v/>
      </c>
      <c r="AN164" s="17">
        <f>IF(AND(TRIM($A164)&lt;&gt;"",ISNUMBER(G164)),IF(AND(LEFT($A164,6)="SAMPLE",Config!$B$19&lt;&gt;"Y"),0,1),0)</f>
        <v/>
      </c>
      <c r="AO164" s="17">
        <f>IF(AN164=1,IF(COUNTIFS($A$2:$A$201,$A164,$AN$2:$AN$201,1,$G$2:$G$201,"&lt;"&amp;G164)+COUNTIFS($A$2:$A$201,$A164,$AN$2:$AN$201,1,$G$2:$G$201,G164,$AM$2:$AM$201,"&lt;"&amp;AM164)=0,1,0),0)</f>
        <v/>
      </c>
      <c r="AP164" s="17">
        <f>IF(AN164=1,IF(COUNTIFS($A$2:$A$201,$A164,$AN$2:$AN$201,1,$G$2:$G$201,"&gt;"&amp;G164)+COUNTIFS($A$2:$A$201,$A164,$AN$2:$AN$201,1,$G$2:$G$201,G164,$AM$2:$AM$201,"&gt;"&amp;AM164)=0,1,0),0)</f>
        <v/>
      </c>
      <c r="AQ164" s="17">
        <f>IF(AND(AN164=1,N164="Y",MAX(N(R164),N(V164))&gt;=Config!$B$14),1,0)</f>
        <v/>
      </c>
      <c r="AR164" s="17">
        <f>IF(AQ164=1,IF(COUNTIFS($A$2:$A$201,$A164,$AQ$2:$AQ$201,1,$G$2:$G$201,"&lt;"&amp;G164)+COUNTIFS($A$2:$A$201,$A164,$AQ$2:$AQ$201,1,$G$2:$G$201,G164,$AM$2:$AM$201,"&lt;"&amp;AM164)=0,1,0),0)</f>
        <v/>
      </c>
      <c r="AS164" s="17">
        <f>IF(AND(AN164=1,N164="Y",ISNUMBER(R164)),IF(R164&gt;=Config!$B$14,1,0),0)</f>
        <v/>
      </c>
      <c r="AT164" s="17">
        <f>IF(AS164=1,IF(COUNTIFS($A$2:$A$201,$A164,$AS$2:$AS$201,1,$G$2:$G$201,"&lt;"&amp;G164)+COUNTIFS($A$2:$A$201,$A164,$AS$2:$AS$201,1,$G$2:$G$201,G164,$AM$2:$AM$201,"&lt;"&amp;AM164)=0,1,0),0)</f>
        <v/>
      </c>
      <c r="AU164" s="17">
        <f>IF(AND(AN164=1,N164&lt;&gt;"Y",MAX(N(R164),N(V164))&gt;=Config!$B$14),1,0)</f>
        <v/>
      </c>
      <c r="AV164" s="17">
        <f>IF(AU164=1,IF(COUNTIFS($A$2:$A$201,$A164,$AU$2:$AU$201,1,$G$2:$G$201,"&lt;"&amp;G164)+COUNTIFS($A$2:$A$201,$A164,$AU$2:$AU$201,1,$G$2:$G$201,G164,$AM$2:$AM$201,"&lt;"&amp;AM164)=0,1,0),0)</f>
        <v/>
      </c>
      <c r="AW164" s="17">
        <f>IF(AND(AN164=1,ISNUMBER(R164)),1,0)</f>
        <v/>
      </c>
      <c r="AX164" s="17">
        <f>IF(AW164=1,IF(COUNTIFS($A$2:$A$201,$A164,$AW$2:$AW$201,1,$G$2:$G$201,"&lt;"&amp;G164)+COUNTIFS($A$2:$A$201,$A164,$AW$2:$AW$201,1,$G$2:$G$201,G164,$AM$2:$AM$201,"&lt;"&amp;AM164)=0,1,0),0)</f>
        <v/>
      </c>
      <c r="AY164" s="17">
        <f>IF(AND(AX164=1,G164&lt;=Config!$B$6),R164,"")</f>
        <v/>
      </c>
      <c r="AZ164" s="17">
        <f>IF(AND(AX164=1,G164&lt;=Config!$B$7),R164,"")</f>
        <v/>
      </c>
      <c r="BA164" s="17">
        <f>IF(AND(AX164=1,G164&lt;=Config!$B$8),R164,"")</f>
        <v/>
      </c>
      <c r="BB164" s="17">
        <f>IF(AND(AX164=1,G164&lt;=Config!$B$5),R164,"")</f>
        <v/>
      </c>
      <c r="BC164" s="17">
        <f>IF(AND(AN164=1,ISNUMBER(V164)),1,0)</f>
        <v/>
      </c>
      <c r="BD164" s="17">
        <f>IF(BC164=1,IF(COUNTIFS($A$2:$A$201,$A164,$BC$2:$BC$201,1,$G$2:$G$201,"&lt;"&amp;G164)+COUNTIFS($A$2:$A$201,$A164,$BC$2:$BC$201,1,$G$2:$G$201,G164,$AM$2:$AM$201,"&lt;"&amp;AM164)=0,1,0),0)</f>
        <v/>
      </c>
      <c r="BE164" s="17">
        <f>IF(AND(BD164=1,G164&lt;=Config!$B$6),V164,"")</f>
        <v/>
      </c>
      <c r="BF164" s="17">
        <f>IF(AND(BD164=1,G164&lt;=Config!$B$7),V164,"")</f>
        <v/>
      </c>
      <c r="BG164" s="17">
        <f>IF(AND(BD164=1,G164&lt;=Config!$B$8),V164,"")</f>
        <v/>
      </c>
      <c r="BH164" s="17">
        <f>IF(AND(BD164=1,G164&lt;=Config!$B$5),V164,"")</f>
        <v/>
      </c>
      <c r="BI164" s="17">
        <f>IF(AND(AN164=1,ISNUMBER(J164)),1,0)</f>
        <v/>
      </c>
      <c r="BJ164" s="17">
        <f>IF(BI164=1,IF(COUNTIFS($A$2:$A$201,$A164,$BI$2:$BI$201,1,$G$2:$G$201,"&lt;"&amp;G164)+COUNTIFS($A$2:$A$201,$A164,$BI$2:$BI$201,1,$G$2:$G$201,G164,$AM$2:$AM$201,"&lt;"&amp;AM164)=0,1,0),0)</f>
        <v/>
      </c>
      <c r="BK164" s="17">
        <f>IF(AND(BJ164=1,G164&lt;=Config!$B$5),J164,"")</f>
        <v/>
      </c>
      <c r="BL164" s="17">
        <f>IF(AND(AN164=1,OR(AND(ISNUMBER(R164),TRIM(S164)=""),AND(ISNUMBER(V164),TRIM(W164)=""))),1,0)</f>
        <v/>
      </c>
      <c r="BM164" s="17">
        <f>IF(AN164=1,AB164&amp;"","")</f>
        <v/>
      </c>
      <c r="BN164" s="17">
        <f>IF(AN164=1,AC164&amp;"","")</f>
        <v/>
      </c>
      <c r="BO164" s="17">
        <f>IF(AN164=1,AD164&amp;"","")</f>
        <v/>
      </c>
      <c r="BP164" s="17">
        <f>IF(AND(AN164=1,ISNUMBER(AI164),G164&lt;=Config!$B$5),AI164,"")</f>
        <v/>
      </c>
      <c r="BQ164" s="17">
        <f>IF(AN164=1,IF(COUNTIFS($A$2:$A$201,$A164,$AF$2:$AF$201,"Y",$AN$2:$AN$201,1)&gt;0,"Y","N"),"")</f>
        <v/>
      </c>
      <c r="BR164" s="17">
        <f>IF(AND(AN164=1,AF164="Y"),IF(COUNTIFS($A$2:$A$201,$A164,$AF$2:$AF$201,"Y",$AN$2:$AN$201,1,$G$2:$G$201,"&lt;"&amp;G164)+COUNTIFS($A$2:$A$201,$A164,$AF$2:$AF$201,"Y",$AN$2:$AN$201,1,$G$2:$G$201,G164,$AM$2:$AM$201,"&lt;"&amp;AM164)=0,1,0),0)</f>
        <v/>
      </c>
      <c r="BS164" s="17">
        <f>IF(AN164=1,IFERROR(MATCH($A164,INDEX(Clay_Brands!$A$2:$FZ$601,0,Sync!$D$5),0),""),"")</f>
        <v/>
      </c>
      <c r="BT164" s="17">
        <f>IF(BS164="","",IFERROR(INDEX(Clay_Brands!$A$2:$FZ$601,BS164,Sync!$D$7)&amp;"",""))</f>
        <v/>
      </c>
      <c r="BU164" s="17">
        <f>IF(BT164="","",IFERROR(INDEX(Lists!$J$2:$J$15,MATCH(BT164,Lists!$I$2:$I$15,0)),""))</f>
        <v/>
      </c>
      <c r="BV164" s="17">
        <f>IF(BS164="","",IFERROR(INDEX(Clay_Brands!$A$2:$FZ$601,BS164,Sync!$D$17)&amp;"",""))</f>
        <v/>
      </c>
      <c r="BW164" s="23">
        <f>IF(BS164="","",IFERROR(N(INDEX(Clay_Brands!$A$2:$FZ$601,BS164,Sync!$D$16)),0))</f>
        <v/>
      </c>
    </row>
    <row r="165">
      <c r="G165" s="22" t="n"/>
      <c r="AL165" s="17">
        <f>IF(TRIM($A165)="","",IF(AND(LEFT($A165,6)="SAMPLE",Config!$B$19&lt;&gt;"Y"),"",IF(NOT(ISNUMBER(G165)),"call_date is blank or not a date",IF(Sync!$D$5="","Clay paste is empty or has no row_id column: paste the Clay export on Clay_Brands",IF(BS165="","row_id not found in the Clay paste: add the Clay row or fix the row_id",IF(AND(ISNUMBER(BU165),BU165&gt;=1,BU165&lt;=5),"Clay status is "&amp;BT165&amp;": set call_done or later",IF(AND(AP165=1,BV165&lt;&gt;BQ165),"Clay yes_in_principle should be "&amp;BQ165,IF(AND(AP165=1,BW165&lt;&gt;G165),"Clay call_date should be "&amp;TEXT(G165,"yyyy-mm-dd"),""))))))))</f>
        <v/>
      </c>
      <c r="AM165" s="17">
        <f>ROW()</f>
        <v/>
      </c>
      <c r="AN165" s="17">
        <f>IF(AND(TRIM($A165)&lt;&gt;"",ISNUMBER(G165)),IF(AND(LEFT($A165,6)="SAMPLE",Config!$B$19&lt;&gt;"Y"),0,1),0)</f>
        <v/>
      </c>
      <c r="AO165" s="17">
        <f>IF(AN165=1,IF(COUNTIFS($A$2:$A$201,$A165,$AN$2:$AN$201,1,$G$2:$G$201,"&lt;"&amp;G165)+COUNTIFS($A$2:$A$201,$A165,$AN$2:$AN$201,1,$G$2:$G$201,G165,$AM$2:$AM$201,"&lt;"&amp;AM165)=0,1,0),0)</f>
        <v/>
      </c>
      <c r="AP165" s="17">
        <f>IF(AN165=1,IF(COUNTIFS($A$2:$A$201,$A165,$AN$2:$AN$201,1,$G$2:$G$201,"&gt;"&amp;G165)+COUNTIFS($A$2:$A$201,$A165,$AN$2:$AN$201,1,$G$2:$G$201,G165,$AM$2:$AM$201,"&gt;"&amp;AM165)=0,1,0),0)</f>
        <v/>
      </c>
      <c r="AQ165" s="17">
        <f>IF(AND(AN165=1,N165="Y",MAX(N(R165),N(V165))&gt;=Config!$B$14),1,0)</f>
        <v/>
      </c>
      <c r="AR165" s="17">
        <f>IF(AQ165=1,IF(COUNTIFS($A$2:$A$201,$A165,$AQ$2:$AQ$201,1,$G$2:$G$201,"&lt;"&amp;G165)+COUNTIFS($A$2:$A$201,$A165,$AQ$2:$AQ$201,1,$G$2:$G$201,G165,$AM$2:$AM$201,"&lt;"&amp;AM165)=0,1,0),0)</f>
        <v/>
      </c>
      <c r="AS165" s="17">
        <f>IF(AND(AN165=1,N165="Y",ISNUMBER(R165)),IF(R165&gt;=Config!$B$14,1,0),0)</f>
        <v/>
      </c>
      <c r="AT165" s="17">
        <f>IF(AS165=1,IF(COUNTIFS($A$2:$A$201,$A165,$AS$2:$AS$201,1,$G$2:$G$201,"&lt;"&amp;G165)+COUNTIFS($A$2:$A$201,$A165,$AS$2:$AS$201,1,$G$2:$G$201,G165,$AM$2:$AM$201,"&lt;"&amp;AM165)=0,1,0),0)</f>
        <v/>
      </c>
      <c r="AU165" s="17">
        <f>IF(AND(AN165=1,N165&lt;&gt;"Y",MAX(N(R165),N(V165))&gt;=Config!$B$14),1,0)</f>
        <v/>
      </c>
      <c r="AV165" s="17">
        <f>IF(AU165=1,IF(COUNTIFS($A$2:$A$201,$A165,$AU$2:$AU$201,1,$G$2:$G$201,"&lt;"&amp;G165)+COUNTIFS($A$2:$A$201,$A165,$AU$2:$AU$201,1,$G$2:$G$201,G165,$AM$2:$AM$201,"&lt;"&amp;AM165)=0,1,0),0)</f>
        <v/>
      </c>
      <c r="AW165" s="17">
        <f>IF(AND(AN165=1,ISNUMBER(R165)),1,0)</f>
        <v/>
      </c>
      <c r="AX165" s="17">
        <f>IF(AW165=1,IF(COUNTIFS($A$2:$A$201,$A165,$AW$2:$AW$201,1,$G$2:$G$201,"&lt;"&amp;G165)+COUNTIFS($A$2:$A$201,$A165,$AW$2:$AW$201,1,$G$2:$G$201,G165,$AM$2:$AM$201,"&lt;"&amp;AM165)=0,1,0),0)</f>
        <v/>
      </c>
      <c r="AY165" s="17">
        <f>IF(AND(AX165=1,G165&lt;=Config!$B$6),R165,"")</f>
        <v/>
      </c>
      <c r="AZ165" s="17">
        <f>IF(AND(AX165=1,G165&lt;=Config!$B$7),R165,"")</f>
        <v/>
      </c>
      <c r="BA165" s="17">
        <f>IF(AND(AX165=1,G165&lt;=Config!$B$8),R165,"")</f>
        <v/>
      </c>
      <c r="BB165" s="17">
        <f>IF(AND(AX165=1,G165&lt;=Config!$B$5),R165,"")</f>
        <v/>
      </c>
      <c r="BC165" s="17">
        <f>IF(AND(AN165=1,ISNUMBER(V165)),1,0)</f>
        <v/>
      </c>
      <c r="BD165" s="17">
        <f>IF(BC165=1,IF(COUNTIFS($A$2:$A$201,$A165,$BC$2:$BC$201,1,$G$2:$G$201,"&lt;"&amp;G165)+COUNTIFS($A$2:$A$201,$A165,$BC$2:$BC$201,1,$G$2:$G$201,G165,$AM$2:$AM$201,"&lt;"&amp;AM165)=0,1,0),0)</f>
        <v/>
      </c>
      <c r="BE165" s="17">
        <f>IF(AND(BD165=1,G165&lt;=Config!$B$6),V165,"")</f>
        <v/>
      </c>
      <c r="BF165" s="17">
        <f>IF(AND(BD165=1,G165&lt;=Config!$B$7),V165,"")</f>
        <v/>
      </c>
      <c r="BG165" s="17">
        <f>IF(AND(BD165=1,G165&lt;=Config!$B$8),V165,"")</f>
        <v/>
      </c>
      <c r="BH165" s="17">
        <f>IF(AND(BD165=1,G165&lt;=Config!$B$5),V165,"")</f>
        <v/>
      </c>
      <c r="BI165" s="17">
        <f>IF(AND(AN165=1,ISNUMBER(J165)),1,0)</f>
        <v/>
      </c>
      <c r="BJ165" s="17">
        <f>IF(BI165=1,IF(COUNTIFS($A$2:$A$201,$A165,$BI$2:$BI$201,1,$G$2:$G$201,"&lt;"&amp;G165)+COUNTIFS($A$2:$A$201,$A165,$BI$2:$BI$201,1,$G$2:$G$201,G165,$AM$2:$AM$201,"&lt;"&amp;AM165)=0,1,0),0)</f>
        <v/>
      </c>
      <c r="BK165" s="17">
        <f>IF(AND(BJ165=1,G165&lt;=Config!$B$5),J165,"")</f>
        <v/>
      </c>
      <c r="BL165" s="17">
        <f>IF(AND(AN165=1,OR(AND(ISNUMBER(R165),TRIM(S165)=""),AND(ISNUMBER(V165),TRIM(W165)=""))),1,0)</f>
        <v/>
      </c>
      <c r="BM165" s="17">
        <f>IF(AN165=1,AB165&amp;"","")</f>
        <v/>
      </c>
      <c r="BN165" s="17">
        <f>IF(AN165=1,AC165&amp;"","")</f>
        <v/>
      </c>
      <c r="BO165" s="17">
        <f>IF(AN165=1,AD165&amp;"","")</f>
        <v/>
      </c>
      <c r="BP165" s="17">
        <f>IF(AND(AN165=1,ISNUMBER(AI165),G165&lt;=Config!$B$5),AI165,"")</f>
        <v/>
      </c>
      <c r="BQ165" s="17">
        <f>IF(AN165=1,IF(COUNTIFS($A$2:$A$201,$A165,$AF$2:$AF$201,"Y",$AN$2:$AN$201,1)&gt;0,"Y","N"),"")</f>
        <v/>
      </c>
      <c r="BR165" s="17">
        <f>IF(AND(AN165=1,AF165="Y"),IF(COUNTIFS($A$2:$A$201,$A165,$AF$2:$AF$201,"Y",$AN$2:$AN$201,1,$G$2:$G$201,"&lt;"&amp;G165)+COUNTIFS($A$2:$A$201,$A165,$AF$2:$AF$201,"Y",$AN$2:$AN$201,1,$G$2:$G$201,G165,$AM$2:$AM$201,"&lt;"&amp;AM165)=0,1,0),0)</f>
        <v/>
      </c>
      <c r="BS165" s="17">
        <f>IF(AN165=1,IFERROR(MATCH($A165,INDEX(Clay_Brands!$A$2:$FZ$601,0,Sync!$D$5),0),""),"")</f>
        <v/>
      </c>
      <c r="BT165" s="17">
        <f>IF(BS165="","",IFERROR(INDEX(Clay_Brands!$A$2:$FZ$601,BS165,Sync!$D$7)&amp;"",""))</f>
        <v/>
      </c>
      <c r="BU165" s="17">
        <f>IF(BT165="","",IFERROR(INDEX(Lists!$J$2:$J$15,MATCH(BT165,Lists!$I$2:$I$15,0)),""))</f>
        <v/>
      </c>
      <c r="BV165" s="17">
        <f>IF(BS165="","",IFERROR(INDEX(Clay_Brands!$A$2:$FZ$601,BS165,Sync!$D$17)&amp;"",""))</f>
        <v/>
      </c>
      <c r="BW165" s="23">
        <f>IF(BS165="","",IFERROR(N(INDEX(Clay_Brands!$A$2:$FZ$601,BS165,Sync!$D$16)),0))</f>
        <v/>
      </c>
    </row>
    <row r="166">
      <c r="G166" s="22" t="n"/>
      <c r="AL166" s="17">
        <f>IF(TRIM($A166)="","",IF(AND(LEFT($A166,6)="SAMPLE",Config!$B$19&lt;&gt;"Y"),"",IF(NOT(ISNUMBER(G166)),"call_date is blank or not a date",IF(Sync!$D$5="","Clay paste is empty or has no row_id column: paste the Clay export on Clay_Brands",IF(BS166="","row_id not found in the Clay paste: add the Clay row or fix the row_id",IF(AND(ISNUMBER(BU166),BU166&gt;=1,BU166&lt;=5),"Clay status is "&amp;BT166&amp;": set call_done or later",IF(AND(AP166=1,BV166&lt;&gt;BQ166),"Clay yes_in_principle should be "&amp;BQ166,IF(AND(AP166=1,BW166&lt;&gt;G166),"Clay call_date should be "&amp;TEXT(G166,"yyyy-mm-dd"),""))))))))</f>
        <v/>
      </c>
      <c r="AM166" s="17">
        <f>ROW()</f>
        <v/>
      </c>
      <c r="AN166" s="17">
        <f>IF(AND(TRIM($A166)&lt;&gt;"",ISNUMBER(G166)),IF(AND(LEFT($A166,6)="SAMPLE",Config!$B$19&lt;&gt;"Y"),0,1),0)</f>
        <v/>
      </c>
      <c r="AO166" s="17">
        <f>IF(AN166=1,IF(COUNTIFS($A$2:$A$201,$A166,$AN$2:$AN$201,1,$G$2:$G$201,"&lt;"&amp;G166)+COUNTIFS($A$2:$A$201,$A166,$AN$2:$AN$201,1,$G$2:$G$201,G166,$AM$2:$AM$201,"&lt;"&amp;AM166)=0,1,0),0)</f>
        <v/>
      </c>
      <c r="AP166" s="17">
        <f>IF(AN166=1,IF(COUNTIFS($A$2:$A$201,$A166,$AN$2:$AN$201,1,$G$2:$G$201,"&gt;"&amp;G166)+COUNTIFS($A$2:$A$201,$A166,$AN$2:$AN$201,1,$G$2:$G$201,G166,$AM$2:$AM$201,"&gt;"&amp;AM166)=0,1,0),0)</f>
        <v/>
      </c>
      <c r="AQ166" s="17">
        <f>IF(AND(AN166=1,N166="Y",MAX(N(R166),N(V166))&gt;=Config!$B$14),1,0)</f>
        <v/>
      </c>
      <c r="AR166" s="17">
        <f>IF(AQ166=1,IF(COUNTIFS($A$2:$A$201,$A166,$AQ$2:$AQ$201,1,$G$2:$G$201,"&lt;"&amp;G166)+COUNTIFS($A$2:$A$201,$A166,$AQ$2:$AQ$201,1,$G$2:$G$201,G166,$AM$2:$AM$201,"&lt;"&amp;AM166)=0,1,0),0)</f>
        <v/>
      </c>
      <c r="AS166" s="17">
        <f>IF(AND(AN166=1,N166="Y",ISNUMBER(R166)),IF(R166&gt;=Config!$B$14,1,0),0)</f>
        <v/>
      </c>
      <c r="AT166" s="17">
        <f>IF(AS166=1,IF(COUNTIFS($A$2:$A$201,$A166,$AS$2:$AS$201,1,$G$2:$G$201,"&lt;"&amp;G166)+COUNTIFS($A$2:$A$201,$A166,$AS$2:$AS$201,1,$G$2:$G$201,G166,$AM$2:$AM$201,"&lt;"&amp;AM166)=0,1,0),0)</f>
        <v/>
      </c>
      <c r="AU166" s="17">
        <f>IF(AND(AN166=1,N166&lt;&gt;"Y",MAX(N(R166),N(V166))&gt;=Config!$B$14),1,0)</f>
        <v/>
      </c>
      <c r="AV166" s="17">
        <f>IF(AU166=1,IF(COUNTIFS($A$2:$A$201,$A166,$AU$2:$AU$201,1,$G$2:$G$201,"&lt;"&amp;G166)+COUNTIFS($A$2:$A$201,$A166,$AU$2:$AU$201,1,$G$2:$G$201,G166,$AM$2:$AM$201,"&lt;"&amp;AM166)=0,1,0),0)</f>
        <v/>
      </c>
      <c r="AW166" s="17">
        <f>IF(AND(AN166=1,ISNUMBER(R166)),1,0)</f>
        <v/>
      </c>
      <c r="AX166" s="17">
        <f>IF(AW166=1,IF(COUNTIFS($A$2:$A$201,$A166,$AW$2:$AW$201,1,$G$2:$G$201,"&lt;"&amp;G166)+COUNTIFS($A$2:$A$201,$A166,$AW$2:$AW$201,1,$G$2:$G$201,G166,$AM$2:$AM$201,"&lt;"&amp;AM166)=0,1,0),0)</f>
        <v/>
      </c>
      <c r="AY166" s="17">
        <f>IF(AND(AX166=1,G166&lt;=Config!$B$6),R166,"")</f>
        <v/>
      </c>
      <c r="AZ166" s="17">
        <f>IF(AND(AX166=1,G166&lt;=Config!$B$7),R166,"")</f>
        <v/>
      </c>
      <c r="BA166" s="17">
        <f>IF(AND(AX166=1,G166&lt;=Config!$B$8),R166,"")</f>
        <v/>
      </c>
      <c r="BB166" s="17">
        <f>IF(AND(AX166=1,G166&lt;=Config!$B$5),R166,"")</f>
        <v/>
      </c>
      <c r="BC166" s="17">
        <f>IF(AND(AN166=1,ISNUMBER(V166)),1,0)</f>
        <v/>
      </c>
      <c r="BD166" s="17">
        <f>IF(BC166=1,IF(COUNTIFS($A$2:$A$201,$A166,$BC$2:$BC$201,1,$G$2:$G$201,"&lt;"&amp;G166)+COUNTIFS($A$2:$A$201,$A166,$BC$2:$BC$201,1,$G$2:$G$201,G166,$AM$2:$AM$201,"&lt;"&amp;AM166)=0,1,0),0)</f>
        <v/>
      </c>
      <c r="BE166" s="17">
        <f>IF(AND(BD166=1,G166&lt;=Config!$B$6),V166,"")</f>
        <v/>
      </c>
      <c r="BF166" s="17">
        <f>IF(AND(BD166=1,G166&lt;=Config!$B$7),V166,"")</f>
        <v/>
      </c>
      <c r="BG166" s="17">
        <f>IF(AND(BD166=1,G166&lt;=Config!$B$8),V166,"")</f>
        <v/>
      </c>
      <c r="BH166" s="17">
        <f>IF(AND(BD166=1,G166&lt;=Config!$B$5),V166,"")</f>
        <v/>
      </c>
      <c r="BI166" s="17">
        <f>IF(AND(AN166=1,ISNUMBER(J166)),1,0)</f>
        <v/>
      </c>
      <c r="BJ166" s="17">
        <f>IF(BI166=1,IF(COUNTIFS($A$2:$A$201,$A166,$BI$2:$BI$201,1,$G$2:$G$201,"&lt;"&amp;G166)+COUNTIFS($A$2:$A$201,$A166,$BI$2:$BI$201,1,$G$2:$G$201,G166,$AM$2:$AM$201,"&lt;"&amp;AM166)=0,1,0),0)</f>
        <v/>
      </c>
      <c r="BK166" s="17">
        <f>IF(AND(BJ166=1,G166&lt;=Config!$B$5),J166,"")</f>
        <v/>
      </c>
      <c r="BL166" s="17">
        <f>IF(AND(AN166=1,OR(AND(ISNUMBER(R166),TRIM(S166)=""),AND(ISNUMBER(V166),TRIM(W166)=""))),1,0)</f>
        <v/>
      </c>
      <c r="BM166" s="17">
        <f>IF(AN166=1,AB166&amp;"","")</f>
        <v/>
      </c>
      <c r="BN166" s="17">
        <f>IF(AN166=1,AC166&amp;"","")</f>
        <v/>
      </c>
      <c r="BO166" s="17">
        <f>IF(AN166=1,AD166&amp;"","")</f>
        <v/>
      </c>
      <c r="BP166" s="17">
        <f>IF(AND(AN166=1,ISNUMBER(AI166),G166&lt;=Config!$B$5),AI166,"")</f>
        <v/>
      </c>
      <c r="BQ166" s="17">
        <f>IF(AN166=1,IF(COUNTIFS($A$2:$A$201,$A166,$AF$2:$AF$201,"Y",$AN$2:$AN$201,1)&gt;0,"Y","N"),"")</f>
        <v/>
      </c>
      <c r="BR166" s="17">
        <f>IF(AND(AN166=1,AF166="Y"),IF(COUNTIFS($A$2:$A$201,$A166,$AF$2:$AF$201,"Y",$AN$2:$AN$201,1,$G$2:$G$201,"&lt;"&amp;G166)+COUNTIFS($A$2:$A$201,$A166,$AF$2:$AF$201,"Y",$AN$2:$AN$201,1,$G$2:$G$201,G166,$AM$2:$AM$201,"&lt;"&amp;AM166)=0,1,0),0)</f>
        <v/>
      </c>
      <c r="BS166" s="17">
        <f>IF(AN166=1,IFERROR(MATCH($A166,INDEX(Clay_Brands!$A$2:$FZ$601,0,Sync!$D$5),0),""),"")</f>
        <v/>
      </c>
      <c r="BT166" s="17">
        <f>IF(BS166="","",IFERROR(INDEX(Clay_Brands!$A$2:$FZ$601,BS166,Sync!$D$7)&amp;"",""))</f>
        <v/>
      </c>
      <c r="BU166" s="17">
        <f>IF(BT166="","",IFERROR(INDEX(Lists!$J$2:$J$15,MATCH(BT166,Lists!$I$2:$I$15,0)),""))</f>
        <v/>
      </c>
      <c r="BV166" s="17">
        <f>IF(BS166="","",IFERROR(INDEX(Clay_Brands!$A$2:$FZ$601,BS166,Sync!$D$17)&amp;"",""))</f>
        <v/>
      </c>
      <c r="BW166" s="23">
        <f>IF(BS166="","",IFERROR(N(INDEX(Clay_Brands!$A$2:$FZ$601,BS166,Sync!$D$16)),0))</f>
        <v/>
      </c>
    </row>
    <row r="167">
      <c r="G167" s="22" t="n"/>
      <c r="AL167" s="17">
        <f>IF(TRIM($A167)="","",IF(AND(LEFT($A167,6)="SAMPLE",Config!$B$19&lt;&gt;"Y"),"",IF(NOT(ISNUMBER(G167)),"call_date is blank or not a date",IF(Sync!$D$5="","Clay paste is empty or has no row_id column: paste the Clay export on Clay_Brands",IF(BS167="","row_id not found in the Clay paste: add the Clay row or fix the row_id",IF(AND(ISNUMBER(BU167),BU167&gt;=1,BU167&lt;=5),"Clay status is "&amp;BT167&amp;": set call_done or later",IF(AND(AP167=1,BV167&lt;&gt;BQ167),"Clay yes_in_principle should be "&amp;BQ167,IF(AND(AP167=1,BW167&lt;&gt;G167),"Clay call_date should be "&amp;TEXT(G167,"yyyy-mm-dd"),""))))))))</f>
        <v/>
      </c>
      <c r="AM167" s="17">
        <f>ROW()</f>
        <v/>
      </c>
      <c r="AN167" s="17">
        <f>IF(AND(TRIM($A167)&lt;&gt;"",ISNUMBER(G167)),IF(AND(LEFT($A167,6)="SAMPLE",Config!$B$19&lt;&gt;"Y"),0,1),0)</f>
        <v/>
      </c>
      <c r="AO167" s="17">
        <f>IF(AN167=1,IF(COUNTIFS($A$2:$A$201,$A167,$AN$2:$AN$201,1,$G$2:$G$201,"&lt;"&amp;G167)+COUNTIFS($A$2:$A$201,$A167,$AN$2:$AN$201,1,$G$2:$G$201,G167,$AM$2:$AM$201,"&lt;"&amp;AM167)=0,1,0),0)</f>
        <v/>
      </c>
      <c r="AP167" s="17">
        <f>IF(AN167=1,IF(COUNTIFS($A$2:$A$201,$A167,$AN$2:$AN$201,1,$G$2:$G$201,"&gt;"&amp;G167)+COUNTIFS($A$2:$A$201,$A167,$AN$2:$AN$201,1,$G$2:$G$201,G167,$AM$2:$AM$201,"&gt;"&amp;AM167)=0,1,0),0)</f>
        <v/>
      </c>
      <c r="AQ167" s="17">
        <f>IF(AND(AN167=1,N167="Y",MAX(N(R167),N(V167))&gt;=Config!$B$14),1,0)</f>
        <v/>
      </c>
      <c r="AR167" s="17">
        <f>IF(AQ167=1,IF(COUNTIFS($A$2:$A$201,$A167,$AQ$2:$AQ$201,1,$G$2:$G$201,"&lt;"&amp;G167)+COUNTIFS($A$2:$A$201,$A167,$AQ$2:$AQ$201,1,$G$2:$G$201,G167,$AM$2:$AM$201,"&lt;"&amp;AM167)=0,1,0),0)</f>
        <v/>
      </c>
      <c r="AS167" s="17">
        <f>IF(AND(AN167=1,N167="Y",ISNUMBER(R167)),IF(R167&gt;=Config!$B$14,1,0),0)</f>
        <v/>
      </c>
      <c r="AT167" s="17">
        <f>IF(AS167=1,IF(COUNTIFS($A$2:$A$201,$A167,$AS$2:$AS$201,1,$G$2:$G$201,"&lt;"&amp;G167)+COUNTIFS($A$2:$A$201,$A167,$AS$2:$AS$201,1,$G$2:$G$201,G167,$AM$2:$AM$201,"&lt;"&amp;AM167)=0,1,0),0)</f>
        <v/>
      </c>
      <c r="AU167" s="17">
        <f>IF(AND(AN167=1,N167&lt;&gt;"Y",MAX(N(R167),N(V167))&gt;=Config!$B$14),1,0)</f>
        <v/>
      </c>
      <c r="AV167" s="17">
        <f>IF(AU167=1,IF(COUNTIFS($A$2:$A$201,$A167,$AU$2:$AU$201,1,$G$2:$G$201,"&lt;"&amp;G167)+COUNTIFS($A$2:$A$201,$A167,$AU$2:$AU$201,1,$G$2:$G$201,G167,$AM$2:$AM$201,"&lt;"&amp;AM167)=0,1,0),0)</f>
        <v/>
      </c>
      <c r="AW167" s="17">
        <f>IF(AND(AN167=1,ISNUMBER(R167)),1,0)</f>
        <v/>
      </c>
      <c r="AX167" s="17">
        <f>IF(AW167=1,IF(COUNTIFS($A$2:$A$201,$A167,$AW$2:$AW$201,1,$G$2:$G$201,"&lt;"&amp;G167)+COUNTIFS($A$2:$A$201,$A167,$AW$2:$AW$201,1,$G$2:$G$201,G167,$AM$2:$AM$201,"&lt;"&amp;AM167)=0,1,0),0)</f>
        <v/>
      </c>
      <c r="AY167" s="17">
        <f>IF(AND(AX167=1,G167&lt;=Config!$B$6),R167,"")</f>
        <v/>
      </c>
      <c r="AZ167" s="17">
        <f>IF(AND(AX167=1,G167&lt;=Config!$B$7),R167,"")</f>
        <v/>
      </c>
      <c r="BA167" s="17">
        <f>IF(AND(AX167=1,G167&lt;=Config!$B$8),R167,"")</f>
        <v/>
      </c>
      <c r="BB167" s="17">
        <f>IF(AND(AX167=1,G167&lt;=Config!$B$5),R167,"")</f>
        <v/>
      </c>
      <c r="BC167" s="17">
        <f>IF(AND(AN167=1,ISNUMBER(V167)),1,0)</f>
        <v/>
      </c>
      <c r="BD167" s="17">
        <f>IF(BC167=1,IF(COUNTIFS($A$2:$A$201,$A167,$BC$2:$BC$201,1,$G$2:$G$201,"&lt;"&amp;G167)+COUNTIFS($A$2:$A$201,$A167,$BC$2:$BC$201,1,$G$2:$G$201,G167,$AM$2:$AM$201,"&lt;"&amp;AM167)=0,1,0),0)</f>
        <v/>
      </c>
      <c r="BE167" s="17">
        <f>IF(AND(BD167=1,G167&lt;=Config!$B$6),V167,"")</f>
        <v/>
      </c>
      <c r="BF167" s="17">
        <f>IF(AND(BD167=1,G167&lt;=Config!$B$7),V167,"")</f>
        <v/>
      </c>
      <c r="BG167" s="17">
        <f>IF(AND(BD167=1,G167&lt;=Config!$B$8),V167,"")</f>
        <v/>
      </c>
      <c r="BH167" s="17">
        <f>IF(AND(BD167=1,G167&lt;=Config!$B$5),V167,"")</f>
        <v/>
      </c>
      <c r="BI167" s="17">
        <f>IF(AND(AN167=1,ISNUMBER(J167)),1,0)</f>
        <v/>
      </c>
      <c r="BJ167" s="17">
        <f>IF(BI167=1,IF(COUNTIFS($A$2:$A$201,$A167,$BI$2:$BI$201,1,$G$2:$G$201,"&lt;"&amp;G167)+COUNTIFS($A$2:$A$201,$A167,$BI$2:$BI$201,1,$G$2:$G$201,G167,$AM$2:$AM$201,"&lt;"&amp;AM167)=0,1,0),0)</f>
        <v/>
      </c>
      <c r="BK167" s="17">
        <f>IF(AND(BJ167=1,G167&lt;=Config!$B$5),J167,"")</f>
        <v/>
      </c>
      <c r="BL167" s="17">
        <f>IF(AND(AN167=1,OR(AND(ISNUMBER(R167),TRIM(S167)=""),AND(ISNUMBER(V167),TRIM(W167)=""))),1,0)</f>
        <v/>
      </c>
      <c r="BM167" s="17">
        <f>IF(AN167=1,AB167&amp;"","")</f>
        <v/>
      </c>
      <c r="BN167" s="17">
        <f>IF(AN167=1,AC167&amp;"","")</f>
        <v/>
      </c>
      <c r="BO167" s="17">
        <f>IF(AN167=1,AD167&amp;"","")</f>
        <v/>
      </c>
      <c r="BP167" s="17">
        <f>IF(AND(AN167=1,ISNUMBER(AI167),G167&lt;=Config!$B$5),AI167,"")</f>
        <v/>
      </c>
      <c r="BQ167" s="17">
        <f>IF(AN167=1,IF(COUNTIFS($A$2:$A$201,$A167,$AF$2:$AF$201,"Y",$AN$2:$AN$201,1)&gt;0,"Y","N"),"")</f>
        <v/>
      </c>
      <c r="BR167" s="17">
        <f>IF(AND(AN167=1,AF167="Y"),IF(COUNTIFS($A$2:$A$201,$A167,$AF$2:$AF$201,"Y",$AN$2:$AN$201,1,$G$2:$G$201,"&lt;"&amp;G167)+COUNTIFS($A$2:$A$201,$A167,$AF$2:$AF$201,"Y",$AN$2:$AN$201,1,$G$2:$G$201,G167,$AM$2:$AM$201,"&lt;"&amp;AM167)=0,1,0),0)</f>
        <v/>
      </c>
      <c r="BS167" s="17">
        <f>IF(AN167=1,IFERROR(MATCH($A167,INDEX(Clay_Brands!$A$2:$FZ$601,0,Sync!$D$5),0),""),"")</f>
        <v/>
      </c>
      <c r="BT167" s="17">
        <f>IF(BS167="","",IFERROR(INDEX(Clay_Brands!$A$2:$FZ$601,BS167,Sync!$D$7)&amp;"",""))</f>
        <v/>
      </c>
      <c r="BU167" s="17">
        <f>IF(BT167="","",IFERROR(INDEX(Lists!$J$2:$J$15,MATCH(BT167,Lists!$I$2:$I$15,0)),""))</f>
        <v/>
      </c>
      <c r="BV167" s="17">
        <f>IF(BS167="","",IFERROR(INDEX(Clay_Brands!$A$2:$FZ$601,BS167,Sync!$D$17)&amp;"",""))</f>
        <v/>
      </c>
      <c r="BW167" s="23">
        <f>IF(BS167="","",IFERROR(N(INDEX(Clay_Brands!$A$2:$FZ$601,BS167,Sync!$D$16)),0))</f>
        <v/>
      </c>
    </row>
    <row r="168">
      <c r="G168" s="22" t="n"/>
      <c r="AL168" s="17">
        <f>IF(TRIM($A168)="","",IF(AND(LEFT($A168,6)="SAMPLE",Config!$B$19&lt;&gt;"Y"),"",IF(NOT(ISNUMBER(G168)),"call_date is blank or not a date",IF(Sync!$D$5="","Clay paste is empty or has no row_id column: paste the Clay export on Clay_Brands",IF(BS168="","row_id not found in the Clay paste: add the Clay row or fix the row_id",IF(AND(ISNUMBER(BU168),BU168&gt;=1,BU168&lt;=5),"Clay status is "&amp;BT168&amp;": set call_done or later",IF(AND(AP168=1,BV168&lt;&gt;BQ168),"Clay yes_in_principle should be "&amp;BQ168,IF(AND(AP168=1,BW168&lt;&gt;G168),"Clay call_date should be "&amp;TEXT(G168,"yyyy-mm-dd"),""))))))))</f>
        <v/>
      </c>
      <c r="AM168" s="17">
        <f>ROW()</f>
        <v/>
      </c>
      <c r="AN168" s="17">
        <f>IF(AND(TRIM($A168)&lt;&gt;"",ISNUMBER(G168)),IF(AND(LEFT($A168,6)="SAMPLE",Config!$B$19&lt;&gt;"Y"),0,1),0)</f>
        <v/>
      </c>
      <c r="AO168" s="17">
        <f>IF(AN168=1,IF(COUNTIFS($A$2:$A$201,$A168,$AN$2:$AN$201,1,$G$2:$G$201,"&lt;"&amp;G168)+COUNTIFS($A$2:$A$201,$A168,$AN$2:$AN$201,1,$G$2:$G$201,G168,$AM$2:$AM$201,"&lt;"&amp;AM168)=0,1,0),0)</f>
        <v/>
      </c>
      <c r="AP168" s="17">
        <f>IF(AN168=1,IF(COUNTIFS($A$2:$A$201,$A168,$AN$2:$AN$201,1,$G$2:$G$201,"&gt;"&amp;G168)+COUNTIFS($A$2:$A$201,$A168,$AN$2:$AN$201,1,$G$2:$G$201,G168,$AM$2:$AM$201,"&gt;"&amp;AM168)=0,1,0),0)</f>
        <v/>
      </c>
      <c r="AQ168" s="17">
        <f>IF(AND(AN168=1,N168="Y",MAX(N(R168),N(V168))&gt;=Config!$B$14),1,0)</f>
        <v/>
      </c>
      <c r="AR168" s="17">
        <f>IF(AQ168=1,IF(COUNTIFS($A$2:$A$201,$A168,$AQ$2:$AQ$201,1,$G$2:$G$201,"&lt;"&amp;G168)+COUNTIFS($A$2:$A$201,$A168,$AQ$2:$AQ$201,1,$G$2:$G$201,G168,$AM$2:$AM$201,"&lt;"&amp;AM168)=0,1,0),0)</f>
        <v/>
      </c>
      <c r="AS168" s="17">
        <f>IF(AND(AN168=1,N168="Y",ISNUMBER(R168)),IF(R168&gt;=Config!$B$14,1,0),0)</f>
        <v/>
      </c>
      <c r="AT168" s="17">
        <f>IF(AS168=1,IF(COUNTIFS($A$2:$A$201,$A168,$AS$2:$AS$201,1,$G$2:$G$201,"&lt;"&amp;G168)+COUNTIFS($A$2:$A$201,$A168,$AS$2:$AS$201,1,$G$2:$G$201,G168,$AM$2:$AM$201,"&lt;"&amp;AM168)=0,1,0),0)</f>
        <v/>
      </c>
      <c r="AU168" s="17">
        <f>IF(AND(AN168=1,N168&lt;&gt;"Y",MAX(N(R168),N(V168))&gt;=Config!$B$14),1,0)</f>
        <v/>
      </c>
      <c r="AV168" s="17">
        <f>IF(AU168=1,IF(COUNTIFS($A$2:$A$201,$A168,$AU$2:$AU$201,1,$G$2:$G$201,"&lt;"&amp;G168)+COUNTIFS($A$2:$A$201,$A168,$AU$2:$AU$201,1,$G$2:$G$201,G168,$AM$2:$AM$201,"&lt;"&amp;AM168)=0,1,0),0)</f>
        <v/>
      </c>
      <c r="AW168" s="17">
        <f>IF(AND(AN168=1,ISNUMBER(R168)),1,0)</f>
        <v/>
      </c>
      <c r="AX168" s="17">
        <f>IF(AW168=1,IF(COUNTIFS($A$2:$A$201,$A168,$AW$2:$AW$201,1,$G$2:$G$201,"&lt;"&amp;G168)+COUNTIFS($A$2:$A$201,$A168,$AW$2:$AW$201,1,$G$2:$G$201,G168,$AM$2:$AM$201,"&lt;"&amp;AM168)=0,1,0),0)</f>
        <v/>
      </c>
      <c r="AY168" s="17">
        <f>IF(AND(AX168=1,G168&lt;=Config!$B$6),R168,"")</f>
        <v/>
      </c>
      <c r="AZ168" s="17">
        <f>IF(AND(AX168=1,G168&lt;=Config!$B$7),R168,"")</f>
        <v/>
      </c>
      <c r="BA168" s="17">
        <f>IF(AND(AX168=1,G168&lt;=Config!$B$8),R168,"")</f>
        <v/>
      </c>
      <c r="BB168" s="17">
        <f>IF(AND(AX168=1,G168&lt;=Config!$B$5),R168,"")</f>
        <v/>
      </c>
      <c r="BC168" s="17">
        <f>IF(AND(AN168=1,ISNUMBER(V168)),1,0)</f>
        <v/>
      </c>
      <c r="BD168" s="17">
        <f>IF(BC168=1,IF(COUNTIFS($A$2:$A$201,$A168,$BC$2:$BC$201,1,$G$2:$G$201,"&lt;"&amp;G168)+COUNTIFS($A$2:$A$201,$A168,$BC$2:$BC$201,1,$G$2:$G$201,G168,$AM$2:$AM$201,"&lt;"&amp;AM168)=0,1,0),0)</f>
        <v/>
      </c>
      <c r="BE168" s="17">
        <f>IF(AND(BD168=1,G168&lt;=Config!$B$6),V168,"")</f>
        <v/>
      </c>
      <c r="BF168" s="17">
        <f>IF(AND(BD168=1,G168&lt;=Config!$B$7),V168,"")</f>
        <v/>
      </c>
      <c r="BG168" s="17">
        <f>IF(AND(BD168=1,G168&lt;=Config!$B$8),V168,"")</f>
        <v/>
      </c>
      <c r="BH168" s="17">
        <f>IF(AND(BD168=1,G168&lt;=Config!$B$5),V168,"")</f>
        <v/>
      </c>
      <c r="BI168" s="17">
        <f>IF(AND(AN168=1,ISNUMBER(J168)),1,0)</f>
        <v/>
      </c>
      <c r="BJ168" s="17">
        <f>IF(BI168=1,IF(COUNTIFS($A$2:$A$201,$A168,$BI$2:$BI$201,1,$G$2:$G$201,"&lt;"&amp;G168)+COUNTIFS($A$2:$A$201,$A168,$BI$2:$BI$201,1,$G$2:$G$201,G168,$AM$2:$AM$201,"&lt;"&amp;AM168)=0,1,0),0)</f>
        <v/>
      </c>
      <c r="BK168" s="17">
        <f>IF(AND(BJ168=1,G168&lt;=Config!$B$5),J168,"")</f>
        <v/>
      </c>
      <c r="BL168" s="17">
        <f>IF(AND(AN168=1,OR(AND(ISNUMBER(R168),TRIM(S168)=""),AND(ISNUMBER(V168),TRIM(W168)=""))),1,0)</f>
        <v/>
      </c>
      <c r="BM168" s="17">
        <f>IF(AN168=1,AB168&amp;"","")</f>
        <v/>
      </c>
      <c r="BN168" s="17">
        <f>IF(AN168=1,AC168&amp;"","")</f>
        <v/>
      </c>
      <c r="BO168" s="17">
        <f>IF(AN168=1,AD168&amp;"","")</f>
        <v/>
      </c>
      <c r="BP168" s="17">
        <f>IF(AND(AN168=1,ISNUMBER(AI168),G168&lt;=Config!$B$5),AI168,"")</f>
        <v/>
      </c>
      <c r="BQ168" s="17">
        <f>IF(AN168=1,IF(COUNTIFS($A$2:$A$201,$A168,$AF$2:$AF$201,"Y",$AN$2:$AN$201,1)&gt;0,"Y","N"),"")</f>
        <v/>
      </c>
      <c r="BR168" s="17">
        <f>IF(AND(AN168=1,AF168="Y"),IF(COUNTIFS($A$2:$A$201,$A168,$AF$2:$AF$201,"Y",$AN$2:$AN$201,1,$G$2:$G$201,"&lt;"&amp;G168)+COUNTIFS($A$2:$A$201,$A168,$AF$2:$AF$201,"Y",$AN$2:$AN$201,1,$G$2:$G$201,G168,$AM$2:$AM$201,"&lt;"&amp;AM168)=0,1,0),0)</f>
        <v/>
      </c>
      <c r="BS168" s="17">
        <f>IF(AN168=1,IFERROR(MATCH($A168,INDEX(Clay_Brands!$A$2:$FZ$601,0,Sync!$D$5),0),""),"")</f>
        <v/>
      </c>
      <c r="BT168" s="17">
        <f>IF(BS168="","",IFERROR(INDEX(Clay_Brands!$A$2:$FZ$601,BS168,Sync!$D$7)&amp;"",""))</f>
        <v/>
      </c>
      <c r="BU168" s="17">
        <f>IF(BT168="","",IFERROR(INDEX(Lists!$J$2:$J$15,MATCH(BT168,Lists!$I$2:$I$15,0)),""))</f>
        <v/>
      </c>
      <c r="BV168" s="17">
        <f>IF(BS168="","",IFERROR(INDEX(Clay_Brands!$A$2:$FZ$601,BS168,Sync!$D$17)&amp;"",""))</f>
        <v/>
      </c>
      <c r="BW168" s="23">
        <f>IF(BS168="","",IFERROR(N(INDEX(Clay_Brands!$A$2:$FZ$601,BS168,Sync!$D$16)),0))</f>
        <v/>
      </c>
    </row>
    <row r="169">
      <c r="G169" s="22" t="n"/>
      <c r="AL169" s="17">
        <f>IF(TRIM($A169)="","",IF(AND(LEFT($A169,6)="SAMPLE",Config!$B$19&lt;&gt;"Y"),"",IF(NOT(ISNUMBER(G169)),"call_date is blank or not a date",IF(Sync!$D$5="","Clay paste is empty or has no row_id column: paste the Clay export on Clay_Brands",IF(BS169="","row_id not found in the Clay paste: add the Clay row or fix the row_id",IF(AND(ISNUMBER(BU169),BU169&gt;=1,BU169&lt;=5),"Clay status is "&amp;BT169&amp;": set call_done or later",IF(AND(AP169=1,BV169&lt;&gt;BQ169),"Clay yes_in_principle should be "&amp;BQ169,IF(AND(AP169=1,BW169&lt;&gt;G169),"Clay call_date should be "&amp;TEXT(G169,"yyyy-mm-dd"),""))))))))</f>
        <v/>
      </c>
      <c r="AM169" s="17">
        <f>ROW()</f>
        <v/>
      </c>
      <c r="AN169" s="17">
        <f>IF(AND(TRIM($A169)&lt;&gt;"",ISNUMBER(G169)),IF(AND(LEFT($A169,6)="SAMPLE",Config!$B$19&lt;&gt;"Y"),0,1),0)</f>
        <v/>
      </c>
      <c r="AO169" s="17">
        <f>IF(AN169=1,IF(COUNTIFS($A$2:$A$201,$A169,$AN$2:$AN$201,1,$G$2:$G$201,"&lt;"&amp;G169)+COUNTIFS($A$2:$A$201,$A169,$AN$2:$AN$201,1,$G$2:$G$201,G169,$AM$2:$AM$201,"&lt;"&amp;AM169)=0,1,0),0)</f>
        <v/>
      </c>
      <c r="AP169" s="17">
        <f>IF(AN169=1,IF(COUNTIFS($A$2:$A$201,$A169,$AN$2:$AN$201,1,$G$2:$G$201,"&gt;"&amp;G169)+COUNTIFS($A$2:$A$201,$A169,$AN$2:$AN$201,1,$G$2:$G$201,G169,$AM$2:$AM$201,"&gt;"&amp;AM169)=0,1,0),0)</f>
        <v/>
      </c>
      <c r="AQ169" s="17">
        <f>IF(AND(AN169=1,N169="Y",MAX(N(R169),N(V169))&gt;=Config!$B$14),1,0)</f>
        <v/>
      </c>
      <c r="AR169" s="17">
        <f>IF(AQ169=1,IF(COUNTIFS($A$2:$A$201,$A169,$AQ$2:$AQ$201,1,$G$2:$G$201,"&lt;"&amp;G169)+COUNTIFS($A$2:$A$201,$A169,$AQ$2:$AQ$201,1,$G$2:$G$201,G169,$AM$2:$AM$201,"&lt;"&amp;AM169)=0,1,0),0)</f>
        <v/>
      </c>
      <c r="AS169" s="17">
        <f>IF(AND(AN169=1,N169="Y",ISNUMBER(R169)),IF(R169&gt;=Config!$B$14,1,0),0)</f>
        <v/>
      </c>
      <c r="AT169" s="17">
        <f>IF(AS169=1,IF(COUNTIFS($A$2:$A$201,$A169,$AS$2:$AS$201,1,$G$2:$G$201,"&lt;"&amp;G169)+COUNTIFS($A$2:$A$201,$A169,$AS$2:$AS$201,1,$G$2:$G$201,G169,$AM$2:$AM$201,"&lt;"&amp;AM169)=0,1,0),0)</f>
        <v/>
      </c>
      <c r="AU169" s="17">
        <f>IF(AND(AN169=1,N169&lt;&gt;"Y",MAX(N(R169),N(V169))&gt;=Config!$B$14),1,0)</f>
        <v/>
      </c>
      <c r="AV169" s="17">
        <f>IF(AU169=1,IF(COUNTIFS($A$2:$A$201,$A169,$AU$2:$AU$201,1,$G$2:$G$201,"&lt;"&amp;G169)+COUNTIFS($A$2:$A$201,$A169,$AU$2:$AU$201,1,$G$2:$G$201,G169,$AM$2:$AM$201,"&lt;"&amp;AM169)=0,1,0),0)</f>
        <v/>
      </c>
      <c r="AW169" s="17">
        <f>IF(AND(AN169=1,ISNUMBER(R169)),1,0)</f>
        <v/>
      </c>
      <c r="AX169" s="17">
        <f>IF(AW169=1,IF(COUNTIFS($A$2:$A$201,$A169,$AW$2:$AW$201,1,$G$2:$G$201,"&lt;"&amp;G169)+COUNTIFS($A$2:$A$201,$A169,$AW$2:$AW$201,1,$G$2:$G$201,G169,$AM$2:$AM$201,"&lt;"&amp;AM169)=0,1,0),0)</f>
        <v/>
      </c>
      <c r="AY169" s="17">
        <f>IF(AND(AX169=1,G169&lt;=Config!$B$6),R169,"")</f>
        <v/>
      </c>
      <c r="AZ169" s="17">
        <f>IF(AND(AX169=1,G169&lt;=Config!$B$7),R169,"")</f>
        <v/>
      </c>
      <c r="BA169" s="17">
        <f>IF(AND(AX169=1,G169&lt;=Config!$B$8),R169,"")</f>
        <v/>
      </c>
      <c r="BB169" s="17">
        <f>IF(AND(AX169=1,G169&lt;=Config!$B$5),R169,"")</f>
        <v/>
      </c>
      <c r="BC169" s="17">
        <f>IF(AND(AN169=1,ISNUMBER(V169)),1,0)</f>
        <v/>
      </c>
      <c r="BD169" s="17">
        <f>IF(BC169=1,IF(COUNTIFS($A$2:$A$201,$A169,$BC$2:$BC$201,1,$G$2:$G$201,"&lt;"&amp;G169)+COUNTIFS($A$2:$A$201,$A169,$BC$2:$BC$201,1,$G$2:$G$201,G169,$AM$2:$AM$201,"&lt;"&amp;AM169)=0,1,0),0)</f>
        <v/>
      </c>
      <c r="BE169" s="17">
        <f>IF(AND(BD169=1,G169&lt;=Config!$B$6),V169,"")</f>
        <v/>
      </c>
      <c r="BF169" s="17">
        <f>IF(AND(BD169=1,G169&lt;=Config!$B$7),V169,"")</f>
        <v/>
      </c>
      <c r="BG169" s="17">
        <f>IF(AND(BD169=1,G169&lt;=Config!$B$8),V169,"")</f>
        <v/>
      </c>
      <c r="BH169" s="17">
        <f>IF(AND(BD169=1,G169&lt;=Config!$B$5),V169,"")</f>
        <v/>
      </c>
      <c r="BI169" s="17">
        <f>IF(AND(AN169=1,ISNUMBER(J169)),1,0)</f>
        <v/>
      </c>
      <c r="BJ169" s="17">
        <f>IF(BI169=1,IF(COUNTIFS($A$2:$A$201,$A169,$BI$2:$BI$201,1,$G$2:$G$201,"&lt;"&amp;G169)+COUNTIFS($A$2:$A$201,$A169,$BI$2:$BI$201,1,$G$2:$G$201,G169,$AM$2:$AM$201,"&lt;"&amp;AM169)=0,1,0),0)</f>
        <v/>
      </c>
      <c r="BK169" s="17">
        <f>IF(AND(BJ169=1,G169&lt;=Config!$B$5),J169,"")</f>
        <v/>
      </c>
      <c r="BL169" s="17">
        <f>IF(AND(AN169=1,OR(AND(ISNUMBER(R169),TRIM(S169)=""),AND(ISNUMBER(V169),TRIM(W169)=""))),1,0)</f>
        <v/>
      </c>
      <c r="BM169" s="17">
        <f>IF(AN169=1,AB169&amp;"","")</f>
        <v/>
      </c>
      <c r="BN169" s="17">
        <f>IF(AN169=1,AC169&amp;"","")</f>
        <v/>
      </c>
      <c r="BO169" s="17">
        <f>IF(AN169=1,AD169&amp;"","")</f>
        <v/>
      </c>
      <c r="BP169" s="17">
        <f>IF(AND(AN169=1,ISNUMBER(AI169),G169&lt;=Config!$B$5),AI169,"")</f>
        <v/>
      </c>
      <c r="BQ169" s="17">
        <f>IF(AN169=1,IF(COUNTIFS($A$2:$A$201,$A169,$AF$2:$AF$201,"Y",$AN$2:$AN$201,1)&gt;0,"Y","N"),"")</f>
        <v/>
      </c>
      <c r="BR169" s="17">
        <f>IF(AND(AN169=1,AF169="Y"),IF(COUNTIFS($A$2:$A$201,$A169,$AF$2:$AF$201,"Y",$AN$2:$AN$201,1,$G$2:$G$201,"&lt;"&amp;G169)+COUNTIFS($A$2:$A$201,$A169,$AF$2:$AF$201,"Y",$AN$2:$AN$201,1,$G$2:$G$201,G169,$AM$2:$AM$201,"&lt;"&amp;AM169)=0,1,0),0)</f>
        <v/>
      </c>
      <c r="BS169" s="17">
        <f>IF(AN169=1,IFERROR(MATCH($A169,INDEX(Clay_Brands!$A$2:$FZ$601,0,Sync!$D$5),0),""),"")</f>
        <v/>
      </c>
      <c r="BT169" s="17">
        <f>IF(BS169="","",IFERROR(INDEX(Clay_Brands!$A$2:$FZ$601,BS169,Sync!$D$7)&amp;"",""))</f>
        <v/>
      </c>
      <c r="BU169" s="17">
        <f>IF(BT169="","",IFERROR(INDEX(Lists!$J$2:$J$15,MATCH(BT169,Lists!$I$2:$I$15,0)),""))</f>
        <v/>
      </c>
      <c r="BV169" s="17">
        <f>IF(BS169="","",IFERROR(INDEX(Clay_Brands!$A$2:$FZ$601,BS169,Sync!$D$17)&amp;"",""))</f>
        <v/>
      </c>
      <c r="BW169" s="23">
        <f>IF(BS169="","",IFERROR(N(INDEX(Clay_Brands!$A$2:$FZ$601,BS169,Sync!$D$16)),0))</f>
        <v/>
      </c>
    </row>
    <row r="170">
      <c r="G170" s="22" t="n"/>
      <c r="AL170" s="17">
        <f>IF(TRIM($A170)="","",IF(AND(LEFT($A170,6)="SAMPLE",Config!$B$19&lt;&gt;"Y"),"",IF(NOT(ISNUMBER(G170)),"call_date is blank or not a date",IF(Sync!$D$5="","Clay paste is empty or has no row_id column: paste the Clay export on Clay_Brands",IF(BS170="","row_id not found in the Clay paste: add the Clay row or fix the row_id",IF(AND(ISNUMBER(BU170),BU170&gt;=1,BU170&lt;=5),"Clay status is "&amp;BT170&amp;": set call_done or later",IF(AND(AP170=1,BV170&lt;&gt;BQ170),"Clay yes_in_principle should be "&amp;BQ170,IF(AND(AP170=1,BW170&lt;&gt;G170),"Clay call_date should be "&amp;TEXT(G170,"yyyy-mm-dd"),""))))))))</f>
        <v/>
      </c>
      <c r="AM170" s="17">
        <f>ROW()</f>
        <v/>
      </c>
      <c r="AN170" s="17">
        <f>IF(AND(TRIM($A170)&lt;&gt;"",ISNUMBER(G170)),IF(AND(LEFT($A170,6)="SAMPLE",Config!$B$19&lt;&gt;"Y"),0,1),0)</f>
        <v/>
      </c>
      <c r="AO170" s="17">
        <f>IF(AN170=1,IF(COUNTIFS($A$2:$A$201,$A170,$AN$2:$AN$201,1,$G$2:$G$201,"&lt;"&amp;G170)+COUNTIFS($A$2:$A$201,$A170,$AN$2:$AN$201,1,$G$2:$G$201,G170,$AM$2:$AM$201,"&lt;"&amp;AM170)=0,1,0),0)</f>
        <v/>
      </c>
      <c r="AP170" s="17">
        <f>IF(AN170=1,IF(COUNTIFS($A$2:$A$201,$A170,$AN$2:$AN$201,1,$G$2:$G$201,"&gt;"&amp;G170)+COUNTIFS($A$2:$A$201,$A170,$AN$2:$AN$201,1,$G$2:$G$201,G170,$AM$2:$AM$201,"&gt;"&amp;AM170)=0,1,0),0)</f>
        <v/>
      </c>
      <c r="AQ170" s="17">
        <f>IF(AND(AN170=1,N170="Y",MAX(N(R170),N(V170))&gt;=Config!$B$14),1,0)</f>
        <v/>
      </c>
      <c r="AR170" s="17">
        <f>IF(AQ170=1,IF(COUNTIFS($A$2:$A$201,$A170,$AQ$2:$AQ$201,1,$G$2:$G$201,"&lt;"&amp;G170)+COUNTIFS($A$2:$A$201,$A170,$AQ$2:$AQ$201,1,$G$2:$G$201,G170,$AM$2:$AM$201,"&lt;"&amp;AM170)=0,1,0),0)</f>
        <v/>
      </c>
      <c r="AS170" s="17">
        <f>IF(AND(AN170=1,N170="Y",ISNUMBER(R170)),IF(R170&gt;=Config!$B$14,1,0),0)</f>
        <v/>
      </c>
      <c r="AT170" s="17">
        <f>IF(AS170=1,IF(COUNTIFS($A$2:$A$201,$A170,$AS$2:$AS$201,1,$G$2:$G$201,"&lt;"&amp;G170)+COUNTIFS($A$2:$A$201,$A170,$AS$2:$AS$201,1,$G$2:$G$201,G170,$AM$2:$AM$201,"&lt;"&amp;AM170)=0,1,0),0)</f>
        <v/>
      </c>
      <c r="AU170" s="17">
        <f>IF(AND(AN170=1,N170&lt;&gt;"Y",MAX(N(R170),N(V170))&gt;=Config!$B$14),1,0)</f>
        <v/>
      </c>
      <c r="AV170" s="17">
        <f>IF(AU170=1,IF(COUNTIFS($A$2:$A$201,$A170,$AU$2:$AU$201,1,$G$2:$G$201,"&lt;"&amp;G170)+COUNTIFS($A$2:$A$201,$A170,$AU$2:$AU$201,1,$G$2:$G$201,G170,$AM$2:$AM$201,"&lt;"&amp;AM170)=0,1,0),0)</f>
        <v/>
      </c>
      <c r="AW170" s="17">
        <f>IF(AND(AN170=1,ISNUMBER(R170)),1,0)</f>
        <v/>
      </c>
      <c r="AX170" s="17">
        <f>IF(AW170=1,IF(COUNTIFS($A$2:$A$201,$A170,$AW$2:$AW$201,1,$G$2:$G$201,"&lt;"&amp;G170)+COUNTIFS($A$2:$A$201,$A170,$AW$2:$AW$201,1,$G$2:$G$201,G170,$AM$2:$AM$201,"&lt;"&amp;AM170)=0,1,0),0)</f>
        <v/>
      </c>
      <c r="AY170" s="17">
        <f>IF(AND(AX170=1,G170&lt;=Config!$B$6),R170,"")</f>
        <v/>
      </c>
      <c r="AZ170" s="17">
        <f>IF(AND(AX170=1,G170&lt;=Config!$B$7),R170,"")</f>
        <v/>
      </c>
      <c r="BA170" s="17">
        <f>IF(AND(AX170=1,G170&lt;=Config!$B$8),R170,"")</f>
        <v/>
      </c>
      <c r="BB170" s="17">
        <f>IF(AND(AX170=1,G170&lt;=Config!$B$5),R170,"")</f>
        <v/>
      </c>
      <c r="BC170" s="17">
        <f>IF(AND(AN170=1,ISNUMBER(V170)),1,0)</f>
        <v/>
      </c>
      <c r="BD170" s="17">
        <f>IF(BC170=1,IF(COUNTIFS($A$2:$A$201,$A170,$BC$2:$BC$201,1,$G$2:$G$201,"&lt;"&amp;G170)+COUNTIFS($A$2:$A$201,$A170,$BC$2:$BC$201,1,$G$2:$G$201,G170,$AM$2:$AM$201,"&lt;"&amp;AM170)=0,1,0),0)</f>
        <v/>
      </c>
      <c r="BE170" s="17">
        <f>IF(AND(BD170=1,G170&lt;=Config!$B$6),V170,"")</f>
        <v/>
      </c>
      <c r="BF170" s="17">
        <f>IF(AND(BD170=1,G170&lt;=Config!$B$7),V170,"")</f>
        <v/>
      </c>
      <c r="BG170" s="17">
        <f>IF(AND(BD170=1,G170&lt;=Config!$B$8),V170,"")</f>
        <v/>
      </c>
      <c r="BH170" s="17">
        <f>IF(AND(BD170=1,G170&lt;=Config!$B$5),V170,"")</f>
        <v/>
      </c>
      <c r="BI170" s="17">
        <f>IF(AND(AN170=1,ISNUMBER(J170)),1,0)</f>
        <v/>
      </c>
      <c r="BJ170" s="17">
        <f>IF(BI170=1,IF(COUNTIFS($A$2:$A$201,$A170,$BI$2:$BI$201,1,$G$2:$G$201,"&lt;"&amp;G170)+COUNTIFS($A$2:$A$201,$A170,$BI$2:$BI$201,1,$G$2:$G$201,G170,$AM$2:$AM$201,"&lt;"&amp;AM170)=0,1,0),0)</f>
        <v/>
      </c>
      <c r="BK170" s="17">
        <f>IF(AND(BJ170=1,G170&lt;=Config!$B$5),J170,"")</f>
        <v/>
      </c>
      <c r="BL170" s="17">
        <f>IF(AND(AN170=1,OR(AND(ISNUMBER(R170),TRIM(S170)=""),AND(ISNUMBER(V170),TRIM(W170)=""))),1,0)</f>
        <v/>
      </c>
      <c r="BM170" s="17">
        <f>IF(AN170=1,AB170&amp;"","")</f>
        <v/>
      </c>
      <c r="BN170" s="17">
        <f>IF(AN170=1,AC170&amp;"","")</f>
        <v/>
      </c>
      <c r="BO170" s="17">
        <f>IF(AN170=1,AD170&amp;"","")</f>
        <v/>
      </c>
      <c r="BP170" s="17">
        <f>IF(AND(AN170=1,ISNUMBER(AI170),G170&lt;=Config!$B$5),AI170,"")</f>
        <v/>
      </c>
      <c r="BQ170" s="17">
        <f>IF(AN170=1,IF(COUNTIFS($A$2:$A$201,$A170,$AF$2:$AF$201,"Y",$AN$2:$AN$201,1)&gt;0,"Y","N"),"")</f>
        <v/>
      </c>
      <c r="BR170" s="17">
        <f>IF(AND(AN170=1,AF170="Y"),IF(COUNTIFS($A$2:$A$201,$A170,$AF$2:$AF$201,"Y",$AN$2:$AN$201,1,$G$2:$G$201,"&lt;"&amp;G170)+COUNTIFS($A$2:$A$201,$A170,$AF$2:$AF$201,"Y",$AN$2:$AN$201,1,$G$2:$G$201,G170,$AM$2:$AM$201,"&lt;"&amp;AM170)=0,1,0),0)</f>
        <v/>
      </c>
      <c r="BS170" s="17">
        <f>IF(AN170=1,IFERROR(MATCH($A170,INDEX(Clay_Brands!$A$2:$FZ$601,0,Sync!$D$5),0),""),"")</f>
        <v/>
      </c>
      <c r="BT170" s="17">
        <f>IF(BS170="","",IFERROR(INDEX(Clay_Brands!$A$2:$FZ$601,BS170,Sync!$D$7)&amp;"",""))</f>
        <v/>
      </c>
      <c r="BU170" s="17">
        <f>IF(BT170="","",IFERROR(INDEX(Lists!$J$2:$J$15,MATCH(BT170,Lists!$I$2:$I$15,0)),""))</f>
        <v/>
      </c>
      <c r="BV170" s="17">
        <f>IF(BS170="","",IFERROR(INDEX(Clay_Brands!$A$2:$FZ$601,BS170,Sync!$D$17)&amp;"",""))</f>
        <v/>
      </c>
      <c r="BW170" s="23">
        <f>IF(BS170="","",IFERROR(N(INDEX(Clay_Brands!$A$2:$FZ$601,BS170,Sync!$D$16)),0))</f>
        <v/>
      </c>
    </row>
    <row r="171">
      <c r="G171" s="22" t="n"/>
      <c r="AL171" s="17">
        <f>IF(TRIM($A171)="","",IF(AND(LEFT($A171,6)="SAMPLE",Config!$B$19&lt;&gt;"Y"),"",IF(NOT(ISNUMBER(G171)),"call_date is blank or not a date",IF(Sync!$D$5="","Clay paste is empty or has no row_id column: paste the Clay export on Clay_Brands",IF(BS171="","row_id not found in the Clay paste: add the Clay row or fix the row_id",IF(AND(ISNUMBER(BU171),BU171&gt;=1,BU171&lt;=5),"Clay status is "&amp;BT171&amp;": set call_done or later",IF(AND(AP171=1,BV171&lt;&gt;BQ171),"Clay yes_in_principle should be "&amp;BQ171,IF(AND(AP171=1,BW171&lt;&gt;G171),"Clay call_date should be "&amp;TEXT(G171,"yyyy-mm-dd"),""))))))))</f>
        <v/>
      </c>
      <c r="AM171" s="17">
        <f>ROW()</f>
        <v/>
      </c>
      <c r="AN171" s="17">
        <f>IF(AND(TRIM($A171)&lt;&gt;"",ISNUMBER(G171)),IF(AND(LEFT($A171,6)="SAMPLE",Config!$B$19&lt;&gt;"Y"),0,1),0)</f>
        <v/>
      </c>
      <c r="AO171" s="17">
        <f>IF(AN171=1,IF(COUNTIFS($A$2:$A$201,$A171,$AN$2:$AN$201,1,$G$2:$G$201,"&lt;"&amp;G171)+COUNTIFS($A$2:$A$201,$A171,$AN$2:$AN$201,1,$G$2:$G$201,G171,$AM$2:$AM$201,"&lt;"&amp;AM171)=0,1,0),0)</f>
        <v/>
      </c>
      <c r="AP171" s="17">
        <f>IF(AN171=1,IF(COUNTIFS($A$2:$A$201,$A171,$AN$2:$AN$201,1,$G$2:$G$201,"&gt;"&amp;G171)+COUNTIFS($A$2:$A$201,$A171,$AN$2:$AN$201,1,$G$2:$G$201,G171,$AM$2:$AM$201,"&gt;"&amp;AM171)=0,1,0),0)</f>
        <v/>
      </c>
      <c r="AQ171" s="17">
        <f>IF(AND(AN171=1,N171="Y",MAX(N(R171),N(V171))&gt;=Config!$B$14),1,0)</f>
        <v/>
      </c>
      <c r="AR171" s="17">
        <f>IF(AQ171=1,IF(COUNTIFS($A$2:$A$201,$A171,$AQ$2:$AQ$201,1,$G$2:$G$201,"&lt;"&amp;G171)+COUNTIFS($A$2:$A$201,$A171,$AQ$2:$AQ$201,1,$G$2:$G$201,G171,$AM$2:$AM$201,"&lt;"&amp;AM171)=0,1,0),0)</f>
        <v/>
      </c>
      <c r="AS171" s="17">
        <f>IF(AND(AN171=1,N171="Y",ISNUMBER(R171)),IF(R171&gt;=Config!$B$14,1,0),0)</f>
        <v/>
      </c>
      <c r="AT171" s="17">
        <f>IF(AS171=1,IF(COUNTIFS($A$2:$A$201,$A171,$AS$2:$AS$201,1,$G$2:$G$201,"&lt;"&amp;G171)+COUNTIFS($A$2:$A$201,$A171,$AS$2:$AS$201,1,$G$2:$G$201,G171,$AM$2:$AM$201,"&lt;"&amp;AM171)=0,1,0),0)</f>
        <v/>
      </c>
      <c r="AU171" s="17">
        <f>IF(AND(AN171=1,N171&lt;&gt;"Y",MAX(N(R171),N(V171))&gt;=Config!$B$14),1,0)</f>
        <v/>
      </c>
      <c r="AV171" s="17">
        <f>IF(AU171=1,IF(COUNTIFS($A$2:$A$201,$A171,$AU$2:$AU$201,1,$G$2:$G$201,"&lt;"&amp;G171)+COUNTIFS($A$2:$A$201,$A171,$AU$2:$AU$201,1,$G$2:$G$201,G171,$AM$2:$AM$201,"&lt;"&amp;AM171)=0,1,0),0)</f>
        <v/>
      </c>
      <c r="AW171" s="17">
        <f>IF(AND(AN171=1,ISNUMBER(R171)),1,0)</f>
        <v/>
      </c>
      <c r="AX171" s="17">
        <f>IF(AW171=1,IF(COUNTIFS($A$2:$A$201,$A171,$AW$2:$AW$201,1,$G$2:$G$201,"&lt;"&amp;G171)+COUNTIFS($A$2:$A$201,$A171,$AW$2:$AW$201,1,$G$2:$G$201,G171,$AM$2:$AM$201,"&lt;"&amp;AM171)=0,1,0),0)</f>
        <v/>
      </c>
      <c r="AY171" s="17">
        <f>IF(AND(AX171=1,G171&lt;=Config!$B$6),R171,"")</f>
        <v/>
      </c>
      <c r="AZ171" s="17">
        <f>IF(AND(AX171=1,G171&lt;=Config!$B$7),R171,"")</f>
        <v/>
      </c>
      <c r="BA171" s="17">
        <f>IF(AND(AX171=1,G171&lt;=Config!$B$8),R171,"")</f>
        <v/>
      </c>
      <c r="BB171" s="17">
        <f>IF(AND(AX171=1,G171&lt;=Config!$B$5),R171,"")</f>
        <v/>
      </c>
      <c r="BC171" s="17">
        <f>IF(AND(AN171=1,ISNUMBER(V171)),1,0)</f>
        <v/>
      </c>
      <c r="BD171" s="17">
        <f>IF(BC171=1,IF(COUNTIFS($A$2:$A$201,$A171,$BC$2:$BC$201,1,$G$2:$G$201,"&lt;"&amp;G171)+COUNTIFS($A$2:$A$201,$A171,$BC$2:$BC$201,1,$G$2:$G$201,G171,$AM$2:$AM$201,"&lt;"&amp;AM171)=0,1,0),0)</f>
        <v/>
      </c>
      <c r="BE171" s="17">
        <f>IF(AND(BD171=1,G171&lt;=Config!$B$6),V171,"")</f>
        <v/>
      </c>
      <c r="BF171" s="17">
        <f>IF(AND(BD171=1,G171&lt;=Config!$B$7),V171,"")</f>
        <v/>
      </c>
      <c r="BG171" s="17">
        <f>IF(AND(BD171=1,G171&lt;=Config!$B$8),V171,"")</f>
        <v/>
      </c>
      <c r="BH171" s="17">
        <f>IF(AND(BD171=1,G171&lt;=Config!$B$5),V171,"")</f>
        <v/>
      </c>
      <c r="BI171" s="17">
        <f>IF(AND(AN171=1,ISNUMBER(J171)),1,0)</f>
        <v/>
      </c>
      <c r="BJ171" s="17">
        <f>IF(BI171=1,IF(COUNTIFS($A$2:$A$201,$A171,$BI$2:$BI$201,1,$G$2:$G$201,"&lt;"&amp;G171)+COUNTIFS($A$2:$A$201,$A171,$BI$2:$BI$201,1,$G$2:$G$201,G171,$AM$2:$AM$201,"&lt;"&amp;AM171)=0,1,0),0)</f>
        <v/>
      </c>
      <c r="BK171" s="17">
        <f>IF(AND(BJ171=1,G171&lt;=Config!$B$5),J171,"")</f>
        <v/>
      </c>
      <c r="BL171" s="17">
        <f>IF(AND(AN171=1,OR(AND(ISNUMBER(R171),TRIM(S171)=""),AND(ISNUMBER(V171),TRIM(W171)=""))),1,0)</f>
        <v/>
      </c>
      <c r="BM171" s="17">
        <f>IF(AN171=1,AB171&amp;"","")</f>
        <v/>
      </c>
      <c r="BN171" s="17">
        <f>IF(AN171=1,AC171&amp;"","")</f>
        <v/>
      </c>
      <c r="BO171" s="17">
        <f>IF(AN171=1,AD171&amp;"","")</f>
        <v/>
      </c>
      <c r="BP171" s="17">
        <f>IF(AND(AN171=1,ISNUMBER(AI171),G171&lt;=Config!$B$5),AI171,"")</f>
        <v/>
      </c>
      <c r="BQ171" s="17">
        <f>IF(AN171=1,IF(COUNTIFS($A$2:$A$201,$A171,$AF$2:$AF$201,"Y",$AN$2:$AN$201,1)&gt;0,"Y","N"),"")</f>
        <v/>
      </c>
      <c r="BR171" s="17">
        <f>IF(AND(AN171=1,AF171="Y"),IF(COUNTIFS($A$2:$A$201,$A171,$AF$2:$AF$201,"Y",$AN$2:$AN$201,1,$G$2:$G$201,"&lt;"&amp;G171)+COUNTIFS($A$2:$A$201,$A171,$AF$2:$AF$201,"Y",$AN$2:$AN$201,1,$G$2:$G$201,G171,$AM$2:$AM$201,"&lt;"&amp;AM171)=0,1,0),0)</f>
        <v/>
      </c>
      <c r="BS171" s="17">
        <f>IF(AN171=1,IFERROR(MATCH($A171,INDEX(Clay_Brands!$A$2:$FZ$601,0,Sync!$D$5),0),""),"")</f>
        <v/>
      </c>
      <c r="BT171" s="17">
        <f>IF(BS171="","",IFERROR(INDEX(Clay_Brands!$A$2:$FZ$601,BS171,Sync!$D$7)&amp;"",""))</f>
        <v/>
      </c>
      <c r="BU171" s="17">
        <f>IF(BT171="","",IFERROR(INDEX(Lists!$J$2:$J$15,MATCH(BT171,Lists!$I$2:$I$15,0)),""))</f>
        <v/>
      </c>
      <c r="BV171" s="17">
        <f>IF(BS171="","",IFERROR(INDEX(Clay_Brands!$A$2:$FZ$601,BS171,Sync!$D$17)&amp;"",""))</f>
        <v/>
      </c>
      <c r="BW171" s="23">
        <f>IF(BS171="","",IFERROR(N(INDEX(Clay_Brands!$A$2:$FZ$601,BS171,Sync!$D$16)),0))</f>
        <v/>
      </c>
    </row>
    <row r="172">
      <c r="G172" s="22" t="n"/>
      <c r="AL172" s="17">
        <f>IF(TRIM($A172)="","",IF(AND(LEFT($A172,6)="SAMPLE",Config!$B$19&lt;&gt;"Y"),"",IF(NOT(ISNUMBER(G172)),"call_date is blank or not a date",IF(Sync!$D$5="","Clay paste is empty or has no row_id column: paste the Clay export on Clay_Brands",IF(BS172="","row_id not found in the Clay paste: add the Clay row or fix the row_id",IF(AND(ISNUMBER(BU172),BU172&gt;=1,BU172&lt;=5),"Clay status is "&amp;BT172&amp;": set call_done or later",IF(AND(AP172=1,BV172&lt;&gt;BQ172),"Clay yes_in_principle should be "&amp;BQ172,IF(AND(AP172=1,BW172&lt;&gt;G172),"Clay call_date should be "&amp;TEXT(G172,"yyyy-mm-dd"),""))))))))</f>
        <v/>
      </c>
      <c r="AM172" s="17">
        <f>ROW()</f>
        <v/>
      </c>
      <c r="AN172" s="17">
        <f>IF(AND(TRIM($A172)&lt;&gt;"",ISNUMBER(G172)),IF(AND(LEFT($A172,6)="SAMPLE",Config!$B$19&lt;&gt;"Y"),0,1),0)</f>
        <v/>
      </c>
      <c r="AO172" s="17">
        <f>IF(AN172=1,IF(COUNTIFS($A$2:$A$201,$A172,$AN$2:$AN$201,1,$G$2:$G$201,"&lt;"&amp;G172)+COUNTIFS($A$2:$A$201,$A172,$AN$2:$AN$201,1,$G$2:$G$201,G172,$AM$2:$AM$201,"&lt;"&amp;AM172)=0,1,0),0)</f>
        <v/>
      </c>
      <c r="AP172" s="17">
        <f>IF(AN172=1,IF(COUNTIFS($A$2:$A$201,$A172,$AN$2:$AN$201,1,$G$2:$G$201,"&gt;"&amp;G172)+COUNTIFS($A$2:$A$201,$A172,$AN$2:$AN$201,1,$G$2:$G$201,G172,$AM$2:$AM$201,"&gt;"&amp;AM172)=0,1,0),0)</f>
        <v/>
      </c>
      <c r="AQ172" s="17">
        <f>IF(AND(AN172=1,N172="Y",MAX(N(R172),N(V172))&gt;=Config!$B$14),1,0)</f>
        <v/>
      </c>
      <c r="AR172" s="17">
        <f>IF(AQ172=1,IF(COUNTIFS($A$2:$A$201,$A172,$AQ$2:$AQ$201,1,$G$2:$G$201,"&lt;"&amp;G172)+COUNTIFS($A$2:$A$201,$A172,$AQ$2:$AQ$201,1,$G$2:$G$201,G172,$AM$2:$AM$201,"&lt;"&amp;AM172)=0,1,0),0)</f>
        <v/>
      </c>
      <c r="AS172" s="17">
        <f>IF(AND(AN172=1,N172="Y",ISNUMBER(R172)),IF(R172&gt;=Config!$B$14,1,0),0)</f>
        <v/>
      </c>
      <c r="AT172" s="17">
        <f>IF(AS172=1,IF(COUNTIFS($A$2:$A$201,$A172,$AS$2:$AS$201,1,$G$2:$G$201,"&lt;"&amp;G172)+COUNTIFS($A$2:$A$201,$A172,$AS$2:$AS$201,1,$G$2:$G$201,G172,$AM$2:$AM$201,"&lt;"&amp;AM172)=0,1,0),0)</f>
        <v/>
      </c>
      <c r="AU172" s="17">
        <f>IF(AND(AN172=1,N172&lt;&gt;"Y",MAX(N(R172),N(V172))&gt;=Config!$B$14),1,0)</f>
        <v/>
      </c>
      <c r="AV172" s="17">
        <f>IF(AU172=1,IF(COUNTIFS($A$2:$A$201,$A172,$AU$2:$AU$201,1,$G$2:$G$201,"&lt;"&amp;G172)+COUNTIFS($A$2:$A$201,$A172,$AU$2:$AU$201,1,$G$2:$G$201,G172,$AM$2:$AM$201,"&lt;"&amp;AM172)=0,1,0),0)</f>
        <v/>
      </c>
      <c r="AW172" s="17">
        <f>IF(AND(AN172=1,ISNUMBER(R172)),1,0)</f>
        <v/>
      </c>
      <c r="AX172" s="17">
        <f>IF(AW172=1,IF(COUNTIFS($A$2:$A$201,$A172,$AW$2:$AW$201,1,$G$2:$G$201,"&lt;"&amp;G172)+COUNTIFS($A$2:$A$201,$A172,$AW$2:$AW$201,1,$G$2:$G$201,G172,$AM$2:$AM$201,"&lt;"&amp;AM172)=0,1,0),0)</f>
        <v/>
      </c>
      <c r="AY172" s="17">
        <f>IF(AND(AX172=1,G172&lt;=Config!$B$6),R172,"")</f>
        <v/>
      </c>
      <c r="AZ172" s="17">
        <f>IF(AND(AX172=1,G172&lt;=Config!$B$7),R172,"")</f>
        <v/>
      </c>
      <c r="BA172" s="17">
        <f>IF(AND(AX172=1,G172&lt;=Config!$B$8),R172,"")</f>
        <v/>
      </c>
      <c r="BB172" s="17">
        <f>IF(AND(AX172=1,G172&lt;=Config!$B$5),R172,"")</f>
        <v/>
      </c>
      <c r="BC172" s="17">
        <f>IF(AND(AN172=1,ISNUMBER(V172)),1,0)</f>
        <v/>
      </c>
      <c r="BD172" s="17">
        <f>IF(BC172=1,IF(COUNTIFS($A$2:$A$201,$A172,$BC$2:$BC$201,1,$G$2:$G$201,"&lt;"&amp;G172)+COUNTIFS($A$2:$A$201,$A172,$BC$2:$BC$201,1,$G$2:$G$201,G172,$AM$2:$AM$201,"&lt;"&amp;AM172)=0,1,0),0)</f>
        <v/>
      </c>
      <c r="BE172" s="17">
        <f>IF(AND(BD172=1,G172&lt;=Config!$B$6),V172,"")</f>
        <v/>
      </c>
      <c r="BF172" s="17">
        <f>IF(AND(BD172=1,G172&lt;=Config!$B$7),V172,"")</f>
        <v/>
      </c>
      <c r="BG172" s="17">
        <f>IF(AND(BD172=1,G172&lt;=Config!$B$8),V172,"")</f>
        <v/>
      </c>
      <c r="BH172" s="17">
        <f>IF(AND(BD172=1,G172&lt;=Config!$B$5),V172,"")</f>
        <v/>
      </c>
      <c r="BI172" s="17">
        <f>IF(AND(AN172=1,ISNUMBER(J172)),1,0)</f>
        <v/>
      </c>
      <c r="BJ172" s="17">
        <f>IF(BI172=1,IF(COUNTIFS($A$2:$A$201,$A172,$BI$2:$BI$201,1,$G$2:$G$201,"&lt;"&amp;G172)+COUNTIFS($A$2:$A$201,$A172,$BI$2:$BI$201,1,$G$2:$G$201,G172,$AM$2:$AM$201,"&lt;"&amp;AM172)=0,1,0),0)</f>
        <v/>
      </c>
      <c r="BK172" s="17">
        <f>IF(AND(BJ172=1,G172&lt;=Config!$B$5),J172,"")</f>
        <v/>
      </c>
      <c r="BL172" s="17">
        <f>IF(AND(AN172=1,OR(AND(ISNUMBER(R172),TRIM(S172)=""),AND(ISNUMBER(V172),TRIM(W172)=""))),1,0)</f>
        <v/>
      </c>
      <c r="BM172" s="17">
        <f>IF(AN172=1,AB172&amp;"","")</f>
        <v/>
      </c>
      <c r="BN172" s="17">
        <f>IF(AN172=1,AC172&amp;"","")</f>
        <v/>
      </c>
      <c r="BO172" s="17">
        <f>IF(AN172=1,AD172&amp;"","")</f>
        <v/>
      </c>
      <c r="BP172" s="17">
        <f>IF(AND(AN172=1,ISNUMBER(AI172),G172&lt;=Config!$B$5),AI172,"")</f>
        <v/>
      </c>
      <c r="BQ172" s="17">
        <f>IF(AN172=1,IF(COUNTIFS($A$2:$A$201,$A172,$AF$2:$AF$201,"Y",$AN$2:$AN$201,1)&gt;0,"Y","N"),"")</f>
        <v/>
      </c>
      <c r="BR172" s="17">
        <f>IF(AND(AN172=1,AF172="Y"),IF(COUNTIFS($A$2:$A$201,$A172,$AF$2:$AF$201,"Y",$AN$2:$AN$201,1,$G$2:$G$201,"&lt;"&amp;G172)+COUNTIFS($A$2:$A$201,$A172,$AF$2:$AF$201,"Y",$AN$2:$AN$201,1,$G$2:$G$201,G172,$AM$2:$AM$201,"&lt;"&amp;AM172)=0,1,0),0)</f>
        <v/>
      </c>
      <c r="BS172" s="17">
        <f>IF(AN172=1,IFERROR(MATCH($A172,INDEX(Clay_Brands!$A$2:$FZ$601,0,Sync!$D$5),0),""),"")</f>
        <v/>
      </c>
      <c r="BT172" s="17">
        <f>IF(BS172="","",IFERROR(INDEX(Clay_Brands!$A$2:$FZ$601,BS172,Sync!$D$7)&amp;"",""))</f>
        <v/>
      </c>
      <c r="BU172" s="17">
        <f>IF(BT172="","",IFERROR(INDEX(Lists!$J$2:$J$15,MATCH(BT172,Lists!$I$2:$I$15,0)),""))</f>
        <v/>
      </c>
      <c r="BV172" s="17">
        <f>IF(BS172="","",IFERROR(INDEX(Clay_Brands!$A$2:$FZ$601,BS172,Sync!$D$17)&amp;"",""))</f>
        <v/>
      </c>
      <c r="BW172" s="23">
        <f>IF(BS172="","",IFERROR(N(INDEX(Clay_Brands!$A$2:$FZ$601,BS172,Sync!$D$16)),0))</f>
        <v/>
      </c>
    </row>
    <row r="173">
      <c r="G173" s="22" t="n"/>
      <c r="AL173" s="17">
        <f>IF(TRIM($A173)="","",IF(AND(LEFT($A173,6)="SAMPLE",Config!$B$19&lt;&gt;"Y"),"",IF(NOT(ISNUMBER(G173)),"call_date is blank or not a date",IF(Sync!$D$5="","Clay paste is empty or has no row_id column: paste the Clay export on Clay_Brands",IF(BS173="","row_id not found in the Clay paste: add the Clay row or fix the row_id",IF(AND(ISNUMBER(BU173),BU173&gt;=1,BU173&lt;=5),"Clay status is "&amp;BT173&amp;": set call_done or later",IF(AND(AP173=1,BV173&lt;&gt;BQ173),"Clay yes_in_principle should be "&amp;BQ173,IF(AND(AP173=1,BW173&lt;&gt;G173),"Clay call_date should be "&amp;TEXT(G173,"yyyy-mm-dd"),""))))))))</f>
        <v/>
      </c>
      <c r="AM173" s="17">
        <f>ROW()</f>
        <v/>
      </c>
      <c r="AN173" s="17">
        <f>IF(AND(TRIM($A173)&lt;&gt;"",ISNUMBER(G173)),IF(AND(LEFT($A173,6)="SAMPLE",Config!$B$19&lt;&gt;"Y"),0,1),0)</f>
        <v/>
      </c>
      <c r="AO173" s="17">
        <f>IF(AN173=1,IF(COUNTIFS($A$2:$A$201,$A173,$AN$2:$AN$201,1,$G$2:$G$201,"&lt;"&amp;G173)+COUNTIFS($A$2:$A$201,$A173,$AN$2:$AN$201,1,$G$2:$G$201,G173,$AM$2:$AM$201,"&lt;"&amp;AM173)=0,1,0),0)</f>
        <v/>
      </c>
      <c r="AP173" s="17">
        <f>IF(AN173=1,IF(COUNTIFS($A$2:$A$201,$A173,$AN$2:$AN$201,1,$G$2:$G$201,"&gt;"&amp;G173)+COUNTIFS($A$2:$A$201,$A173,$AN$2:$AN$201,1,$G$2:$G$201,G173,$AM$2:$AM$201,"&gt;"&amp;AM173)=0,1,0),0)</f>
        <v/>
      </c>
      <c r="AQ173" s="17">
        <f>IF(AND(AN173=1,N173="Y",MAX(N(R173),N(V173))&gt;=Config!$B$14),1,0)</f>
        <v/>
      </c>
      <c r="AR173" s="17">
        <f>IF(AQ173=1,IF(COUNTIFS($A$2:$A$201,$A173,$AQ$2:$AQ$201,1,$G$2:$G$201,"&lt;"&amp;G173)+COUNTIFS($A$2:$A$201,$A173,$AQ$2:$AQ$201,1,$G$2:$G$201,G173,$AM$2:$AM$201,"&lt;"&amp;AM173)=0,1,0),0)</f>
        <v/>
      </c>
      <c r="AS173" s="17">
        <f>IF(AND(AN173=1,N173="Y",ISNUMBER(R173)),IF(R173&gt;=Config!$B$14,1,0),0)</f>
        <v/>
      </c>
      <c r="AT173" s="17">
        <f>IF(AS173=1,IF(COUNTIFS($A$2:$A$201,$A173,$AS$2:$AS$201,1,$G$2:$G$201,"&lt;"&amp;G173)+COUNTIFS($A$2:$A$201,$A173,$AS$2:$AS$201,1,$G$2:$G$201,G173,$AM$2:$AM$201,"&lt;"&amp;AM173)=0,1,0),0)</f>
        <v/>
      </c>
      <c r="AU173" s="17">
        <f>IF(AND(AN173=1,N173&lt;&gt;"Y",MAX(N(R173),N(V173))&gt;=Config!$B$14),1,0)</f>
        <v/>
      </c>
      <c r="AV173" s="17">
        <f>IF(AU173=1,IF(COUNTIFS($A$2:$A$201,$A173,$AU$2:$AU$201,1,$G$2:$G$201,"&lt;"&amp;G173)+COUNTIFS($A$2:$A$201,$A173,$AU$2:$AU$201,1,$G$2:$G$201,G173,$AM$2:$AM$201,"&lt;"&amp;AM173)=0,1,0),0)</f>
        <v/>
      </c>
      <c r="AW173" s="17">
        <f>IF(AND(AN173=1,ISNUMBER(R173)),1,0)</f>
        <v/>
      </c>
      <c r="AX173" s="17">
        <f>IF(AW173=1,IF(COUNTIFS($A$2:$A$201,$A173,$AW$2:$AW$201,1,$G$2:$G$201,"&lt;"&amp;G173)+COUNTIFS($A$2:$A$201,$A173,$AW$2:$AW$201,1,$G$2:$G$201,G173,$AM$2:$AM$201,"&lt;"&amp;AM173)=0,1,0),0)</f>
        <v/>
      </c>
      <c r="AY173" s="17">
        <f>IF(AND(AX173=1,G173&lt;=Config!$B$6),R173,"")</f>
        <v/>
      </c>
      <c r="AZ173" s="17">
        <f>IF(AND(AX173=1,G173&lt;=Config!$B$7),R173,"")</f>
        <v/>
      </c>
      <c r="BA173" s="17">
        <f>IF(AND(AX173=1,G173&lt;=Config!$B$8),R173,"")</f>
        <v/>
      </c>
      <c r="BB173" s="17">
        <f>IF(AND(AX173=1,G173&lt;=Config!$B$5),R173,"")</f>
        <v/>
      </c>
      <c r="BC173" s="17">
        <f>IF(AND(AN173=1,ISNUMBER(V173)),1,0)</f>
        <v/>
      </c>
      <c r="BD173" s="17">
        <f>IF(BC173=1,IF(COUNTIFS($A$2:$A$201,$A173,$BC$2:$BC$201,1,$G$2:$G$201,"&lt;"&amp;G173)+COUNTIFS($A$2:$A$201,$A173,$BC$2:$BC$201,1,$G$2:$G$201,G173,$AM$2:$AM$201,"&lt;"&amp;AM173)=0,1,0),0)</f>
        <v/>
      </c>
      <c r="BE173" s="17">
        <f>IF(AND(BD173=1,G173&lt;=Config!$B$6),V173,"")</f>
        <v/>
      </c>
      <c r="BF173" s="17">
        <f>IF(AND(BD173=1,G173&lt;=Config!$B$7),V173,"")</f>
        <v/>
      </c>
      <c r="BG173" s="17">
        <f>IF(AND(BD173=1,G173&lt;=Config!$B$8),V173,"")</f>
        <v/>
      </c>
      <c r="BH173" s="17">
        <f>IF(AND(BD173=1,G173&lt;=Config!$B$5),V173,"")</f>
        <v/>
      </c>
      <c r="BI173" s="17">
        <f>IF(AND(AN173=1,ISNUMBER(J173)),1,0)</f>
        <v/>
      </c>
      <c r="BJ173" s="17">
        <f>IF(BI173=1,IF(COUNTIFS($A$2:$A$201,$A173,$BI$2:$BI$201,1,$G$2:$G$201,"&lt;"&amp;G173)+COUNTIFS($A$2:$A$201,$A173,$BI$2:$BI$201,1,$G$2:$G$201,G173,$AM$2:$AM$201,"&lt;"&amp;AM173)=0,1,0),0)</f>
        <v/>
      </c>
      <c r="BK173" s="17">
        <f>IF(AND(BJ173=1,G173&lt;=Config!$B$5),J173,"")</f>
        <v/>
      </c>
      <c r="BL173" s="17">
        <f>IF(AND(AN173=1,OR(AND(ISNUMBER(R173),TRIM(S173)=""),AND(ISNUMBER(V173),TRIM(W173)=""))),1,0)</f>
        <v/>
      </c>
      <c r="BM173" s="17">
        <f>IF(AN173=1,AB173&amp;"","")</f>
        <v/>
      </c>
      <c r="BN173" s="17">
        <f>IF(AN173=1,AC173&amp;"","")</f>
        <v/>
      </c>
      <c r="BO173" s="17">
        <f>IF(AN173=1,AD173&amp;"","")</f>
        <v/>
      </c>
      <c r="BP173" s="17">
        <f>IF(AND(AN173=1,ISNUMBER(AI173),G173&lt;=Config!$B$5),AI173,"")</f>
        <v/>
      </c>
      <c r="BQ173" s="17">
        <f>IF(AN173=1,IF(COUNTIFS($A$2:$A$201,$A173,$AF$2:$AF$201,"Y",$AN$2:$AN$201,1)&gt;0,"Y","N"),"")</f>
        <v/>
      </c>
      <c r="BR173" s="17">
        <f>IF(AND(AN173=1,AF173="Y"),IF(COUNTIFS($A$2:$A$201,$A173,$AF$2:$AF$201,"Y",$AN$2:$AN$201,1,$G$2:$G$201,"&lt;"&amp;G173)+COUNTIFS($A$2:$A$201,$A173,$AF$2:$AF$201,"Y",$AN$2:$AN$201,1,$G$2:$G$201,G173,$AM$2:$AM$201,"&lt;"&amp;AM173)=0,1,0),0)</f>
        <v/>
      </c>
      <c r="BS173" s="17">
        <f>IF(AN173=1,IFERROR(MATCH($A173,INDEX(Clay_Brands!$A$2:$FZ$601,0,Sync!$D$5),0),""),"")</f>
        <v/>
      </c>
      <c r="BT173" s="17">
        <f>IF(BS173="","",IFERROR(INDEX(Clay_Brands!$A$2:$FZ$601,BS173,Sync!$D$7)&amp;"",""))</f>
        <v/>
      </c>
      <c r="BU173" s="17">
        <f>IF(BT173="","",IFERROR(INDEX(Lists!$J$2:$J$15,MATCH(BT173,Lists!$I$2:$I$15,0)),""))</f>
        <v/>
      </c>
      <c r="BV173" s="17">
        <f>IF(BS173="","",IFERROR(INDEX(Clay_Brands!$A$2:$FZ$601,BS173,Sync!$D$17)&amp;"",""))</f>
        <v/>
      </c>
      <c r="BW173" s="23">
        <f>IF(BS173="","",IFERROR(N(INDEX(Clay_Brands!$A$2:$FZ$601,BS173,Sync!$D$16)),0))</f>
        <v/>
      </c>
    </row>
    <row r="174">
      <c r="G174" s="22" t="n"/>
      <c r="AL174" s="17">
        <f>IF(TRIM($A174)="","",IF(AND(LEFT($A174,6)="SAMPLE",Config!$B$19&lt;&gt;"Y"),"",IF(NOT(ISNUMBER(G174)),"call_date is blank or not a date",IF(Sync!$D$5="","Clay paste is empty or has no row_id column: paste the Clay export on Clay_Brands",IF(BS174="","row_id not found in the Clay paste: add the Clay row or fix the row_id",IF(AND(ISNUMBER(BU174),BU174&gt;=1,BU174&lt;=5),"Clay status is "&amp;BT174&amp;": set call_done or later",IF(AND(AP174=1,BV174&lt;&gt;BQ174),"Clay yes_in_principle should be "&amp;BQ174,IF(AND(AP174=1,BW174&lt;&gt;G174),"Clay call_date should be "&amp;TEXT(G174,"yyyy-mm-dd"),""))))))))</f>
        <v/>
      </c>
      <c r="AM174" s="17">
        <f>ROW()</f>
        <v/>
      </c>
      <c r="AN174" s="17">
        <f>IF(AND(TRIM($A174)&lt;&gt;"",ISNUMBER(G174)),IF(AND(LEFT($A174,6)="SAMPLE",Config!$B$19&lt;&gt;"Y"),0,1),0)</f>
        <v/>
      </c>
      <c r="AO174" s="17">
        <f>IF(AN174=1,IF(COUNTIFS($A$2:$A$201,$A174,$AN$2:$AN$201,1,$G$2:$G$201,"&lt;"&amp;G174)+COUNTIFS($A$2:$A$201,$A174,$AN$2:$AN$201,1,$G$2:$G$201,G174,$AM$2:$AM$201,"&lt;"&amp;AM174)=0,1,0),0)</f>
        <v/>
      </c>
      <c r="AP174" s="17">
        <f>IF(AN174=1,IF(COUNTIFS($A$2:$A$201,$A174,$AN$2:$AN$201,1,$G$2:$G$201,"&gt;"&amp;G174)+COUNTIFS($A$2:$A$201,$A174,$AN$2:$AN$201,1,$G$2:$G$201,G174,$AM$2:$AM$201,"&gt;"&amp;AM174)=0,1,0),0)</f>
        <v/>
      </c>
      <c r="AQ174" s="17">
        <f>IF(AND(AN174=1,N174="Y",MAX(N(R174),N(V174))&gt;=Config!$B$14),1,0)</f>
        <v/>
      </c>
      <c r="AR174" s="17">
        <f>IF(AQ174=1,IF(COUNTIFS($A$2:$A$201,$A174,$AQ$2:$AQ$201,1,$G$2:$G$201,"&lt;"&amp;G174)+COUNTIFS($A$2:$A$201,$A174,$AQ$2:$AQ$201,1,$G$2:$G$201,G174,$AM$2:$AM$201,"&lt;"&amp;AM174)=0,1,0),0)</f>
        <v/>
      </c>
      <c r="AS174" s="17">
        <f>IF(AND(AN174=1,N174="Y",ISNUMBER(R174)),IF(R174&gt;=Config!$B$14,1,0),0)</f>
        <v/>
      </c>
      <c r="AT174" s="17">
        <f>IF(AS174=1,IF(COUNTIFS($A$2:$A$201,$A174,$AS$2:$AS$201,1,$G$2:$G$201,"&lt;"&amp;G174)+COUNTIFS($A$2:$A$201,$A174,$AS$2:$AS$201,1,$G$2:$G$201,G174,$AM$2:$AM$201,"&lt;"&amp;AM174)=0,1,0),0)</f>
        <v/>
      </c>
      <c r="AU174" s="17">
        <f>IF(AND(AN174=1,N174&lt;&gt;"Y",MAX(N(R174),N(V174))&gt;=Config!$B$14),1,0)</f>
        <v/>
      </c>
      <c r="AV174" s="17">
        <f>IF(AU174=1,IF(COUNTIFS($A$2:$A$201,$A174,$AU$2:$AU$201,1,$G$2:$G$201,"&lt;"&amp;G174)+COUNTIFS($A$2:$A$201,$A174,$AU$2:$AU$201,1,$G$2:$G$201,G174,$AM$2:$AM$201,"&lt;"&amp;AM174)=0,1,0),0)</f>
        <v/>
      </c>
      <c r="AW174" s="17">
        <f>IF(AND(AN174=1,ISNUMBER(R174)),1,0)</f>
        <v/>
      </c>
      <c r="AX174" s="17">
        <f>IF(AW174=1,IF(COUNTIFS($A$2:$A$201,$A174,$AW$2:$AW$201,1,$G$2:$G$201,"&lt;"&amp;G174)+COUNTIFS($A$2:$A$201,$A174,$AW$2:$AW$201,1,$G$2:$G$201,G174,$AM$2:$AM$201,"&lt;"&amp;AM174)=0,1,0),0)</f>
        <v/>
      </c>
      <c r="AY174" s="17">
        <f>IF(AND(AX174=1,G174&lt;=Config!$B$6),R174,"")</f>
        <v/>
      </c>
      <c r="AZ174" s="17">
        <f>IF(AND(AX174=1,G174&lt;=Config!$B$7),R174,"")</f>
        <v/>
      </c>
      <c r="BA174" s="17">
        <f>IF(AND(AX174=1,G174&lt;=Config!$B$8),R174,"")</f>
        <v/>
      </c>
      <c r="BB174" s="17">
        <f>IF(AND(AX174=1,G174&lt;=Config!$B$5),R174,"")</f>
        <v/>
      </c>
      <c r="BC174" s="17">
        <f>IF(AND(AN174=1,ISNUMBER(V174)),1,0)</f>
        <v/>
      </c>
      <c r="BD174" s="17">
        <f>IF(BC174=1,IF(COUNTIFS($A$2:$A$201,$A174,$BC$2:$BC$201,1,$G$2:$G$201,"&lt;"&amp;G174)+COUNTIFS($A$2:$A$201,$A174,$BC$2:$BC$201,1,$G$2:$G$201,G174,$AM$2:$AM$201,"&lt;"&amp;AM174)=0,1,0),0)</f>
        <v/>
      </c>
      <c r="BE174" s="17">
        <f>IF(AND(BD174=1,G174&lt;=Config!$B$6),V174,"")</f>
        <v/>
      </c>
      <c r="BF174" s="17">
        <f>IF(AND(BD174=1,G174&lt;=Config!$B$7),V174,"")</f>
        <v/>
      </c>
      <c r="BG174" s="17">
        <f>IF(AND(BD174=1,G174&lt;=Config!$B$8),V174,"")</f>
        <v/>
      </c>
      <c r="BH174" s="17">
        <f>IF(AND(BD174=1,G174&lt;=Config!$B$5),V174,"")</f>
        <v/>
      </c>
      <c r="BI174" s="17">
        <f>IF(AND(AN174=1,ISNUMBER(J174)),1,0)</f>
        <v/>
      </c>
      <c r="BJ174" s="17">
        <f>IF(BI174=1,IF(COUNTIFS($A$2:$A$201,$A174,$BI$2:$BI$201,1,$G$2:$G$201,"&lt;"&amp;G174)+COUNTIFS($A$2:$A$201,$A174,$BI$2:$BI$201,1,$G$2:$G$201,G174,$AM$2:$AM$201,"&lt;"&amp;AM174)=0,1,0),0)</f>
        <v/>
      </c>
      <c r="BK174" s="17">
        <f>IF(AND(BJ174=1,G174&lt;=Config!$B$5),J174,"")</f>
        <v/>
      </c>
      <c r="BL174" s="17">
        <f>IF(AND(AN174=1,OR(AND(ISNUMBER(R174),TRIM(S174)=""),AND(ISNUMBER(V174),TRIM(W174)=""))),1,0)</f>
        <v/>
      </c>
      <c r="BM174" s="17">
        <f>IF(AN174=1,AB174&amp;"","")</f>
        <v/>
      </c>
      <c r="BN174" s="17">
        <f>IF(AN174=1,AC174&amp;"","")</f>
        <v/>
      </c>
      <c r="BO174" s="17">
        <f>IF(AN174=1,AD174&amp;"","")</f>
        <v/>
      </c>
      <c r="BP174" s="17">
        <f>IF(AND(AN174=1,ISNUMBER(AI174),G174&lt;=Config!$B$5),AI174,"")</f>
        <v/>
      </c>
      <c r="BQ174" s="17">
        <f>IF(AN174=1,IF(COUNTIFS($A$2:$A$201,$A174,$AF$2:$AF$201,"Y",$AN$2:$AN$201,1)&gt;0,"Y","N"),"")</f>
        <v/>
      </c>
      <c r="BR174" s="17">
        <f>IF(AND(AN174=1,AF174="Y"),IF(COUNTIFS($A$2:$A$201,$A174,$AF$2:$AF$201,"Y",$AN$2:$AN$201,1,$G$2:$G$201,"&lt;"&amp;G174)+COUNTIFS($A$2:$A$201,$A174,$AF$2:$AF$201,"Y",$AN$2:$AN$201,1,$G$2:$G$201,G174,$AM$2:$AM$201,"&lt;"&amp;AM174)=0,1,0),0)</f>
        <v/>
      </c>
      <c r="BS174" s="17">
        <f>IF(AN174=1,IFERROR(MATCH($A174,INDEX(Clay_Brands!$A$2:$FZ$601,0,Sync!$D$5),0),""),"")</f>
        <v/>
      </c>
      <c r="BT174" s="17">
        <f>IF(BS174="","",IFERROR(INDEX(Clay_Brands!$A$2:$FZ$601,BS174,Sync!$D$7)&amp;"",""))</f>
        <v/>
      </c>
      <c r="BU174" s="17">
        <f>IF(BT174="","",IFERROR(INDEX(Lists!$J$2:$J$15,MATCH(BT174,Lists!$I$2:$I$15,0)),""))</f>
        <v/>
      </c>
      <c r="BV174" s="17">
        <f>IF(BS174="","",IFERROR(INDEX(Clay_Brands!$A$2:$FZ$601,BS174,Sync!$D$17)&amp;"",""))</f>
        <v/>
      </c>
      <c r="BW174" s="23">
        <f>IF(BS174="","",IFERROR(N(INDEX(Clay_Brands!$A$2:$FZ$601,BS174,Sync!$D$16)),0))</f>
        <v/>
      </c>
    </row>
    <row r="175">
      <c r="G175" s="22" t="n"/>
      <c r="AL175" s="17">
        <f>IF(TRIM($A175)="","",IF(AND(LEFT($A175,6)="SAMPLE",Config!$B$19&lt;&gt;"Y"),"",IF(NOT(ISNUMBER(G175)),"call_date is blank or not a date",IF(Sync!$D$5="","Clay paste is empty or has no row_id column: paste the Clay export on Clay_Brands",IF(BS175="","row_id not found in the Clay paste: add the Clay row or fix the row_id",IF(AND(ISNUMBER(BU175),BU175&gt;=1,BU175&lt;=5),"Clay status is "&amp;BT175&amp;": set call_done or later",IF(AND(AP175=1,BV175&lt;&gt;BQ175),"Clay yes_in_principle should be "&amp;BQ175,IF(AND(AP175=1,BW175&lt;&gt;G175),"Clay call_date should be "&amp;TEXT(G175,"yyyy-mm-dd"),""))))))))</f>
        <v/>
      </c>
      <c r="AM175" s="17">
        <f>ROW()</f>
        <v/>
      </c>
      <c r="AN175" s="17">
        <f>IF(AND(TRIM($A175)&lt;&gt;"",ISNUMBER(G175)),IF(AND(LEFT($A175,6)="SAMPLE",Config!$B$19&lt;&gt;"Y"),0,1),0)</f>
        <v/>
      </c>
      <c r="AO175" s="17">
        <f>IF(AN175=1,IF(COUNTIFS($A$2:$A$201,$A175,$AN$2:$AN$201,1,$G$2:$G$201,"&lt;"&amp;G175)+COUNTIFS($A$2:$A$201,$A175,$AN$2:$AN$201,1,$G$2:$G$201,G175,$AM$2:$AM$201,"&lt;"&amp;AM175)=0,1,0),0)</f>
        <v/>
      </c>
      <c r="AP175" s="17">
        <f>IF(AN175=1,IF(COUNTIFS($A$2:$A$201,$A175,$AN$2:$AN$201,1,$G$2:$G$201,"&gt;"&amp;G175)+COUNTIFS($A$2:$A$201,$A175,$AN$2:$AN$201,1,$G$2:$G$201,G175,$AM$2:$AM$201,"&gt;"&amp;AM175)=0,1,0),0)</f>
        <v/>
      </c>
      <c r="AQ175" s="17">
        <f>IF(AND(AN175=1,N175="Y",MAX(N(R175),N(V175))&gt;=Config!$B$14),1,0)</f>
        <v/>
      </c>
      <c r="AR175" s="17">
        <f>IF(AQ175=1,IF(COUNTIFS($A$2:$A$201,$A175,$AQ$2:$AQ$201,1,$G$2:$G$201,"&lt;"&amp;G175)+COUNTIFS($A$2:$A$201,$A175,$AQ$2:$AQ$201,1,$G$2:$G$201,G175,$AM$2:$AM$201,"&lt;"&amp;AM175)=0,1,0),0)</f>
        <v/>
      </c>
      <c r="AS175" s="17">
        <f>IF(AND(AN175=1,N175="Y",ISNUMBER(R175)),IF(R175&gt;=Config!$B$14,1,0),0)</f>
        <v/>
      </c>
      <c r="AT175" s="17">
        <f>IF(AS175=1,IF(COUNTIFS($A$2:$A$201,$A175,$AS$2:$AS$201,1,$G$2:$G$201,"&lt;"&amp;G175)+COUNTIFS($A$2:$A$201,$A175,$AS$2:$AS$201,1,$G$2:$G$201,G175,$AM$2:$AM$201,"&lt;"&amp;AM175)=0,1,0),0)</f>
        <v/>
      </c>
      <c r="AU175" s="17">
        <f>IF(AND(AN175=1,N175&lt;&gt;"Y",MAX(N(R175),N(V175))&gt;=Config!$B$14),1,0)</f>
        <v/>
      </c>
      <c r="AV175" s="17">
        <f>IF(AU175=1,IF(COUNTIFS($A$2:$A$201,$A175,$AU$2:$AU$201,1,$G$2:$G$201,"&lt;"&amp;G175)+COUNTIFS($A$2:$A$201,$A175,$AU$2:$AU$201,1,$G$2:$G$201,G175,$AM$2:$AM$201,"&lt;"&amp;AM175)=0,1,0),0)</f>
        <v/>
      </c>
      <c r="AW175" s="17">
        <f>IF(AND(AN175=1,ISNUMBER(R175)),1,0)</f>
        <v/>
      </c>
      <c r="AX175" s="17">
        <f>IF(AW175=1,IF(COUNTIFS($A$2:$A$201,$A175,$AW$2:$AW$201,1,$G$2:$G$201,"&lt;"&amp;G175)+COUNTIFS($A$2:$A$201,$A175,$AW$2:$AW$201,1,$G$2:$G$201,G175,$AM$2:$AM$201,"&lt;"&amp;AM175)=0,1,0),0)</f>
        <v/>
      </c>
      <c r="AY175" s="17">
        <f>IF(AND(AX175=1,G175&lt;=Config!$B$6),R175,"")</f>
        <v/>
      </c>
      <c r="AZ175" s="17">
        <f>IF(AND(AX175=1,G175&lt;=Config!$B$7),R175,"")</f>
        <v/>
      </c>
      <c r="BA175" s="17">
        <f>IF(AND(AX175=1,G175&lt;=Config!$B$8),R175,"")</f>
        <v/>
      </c>
      <c r="BB175" s="17">
        <f>IF(AND(AX175=1,G175&lt;=Config!$B$5),R175,"")</f>
        <v/>
      </c>
      <c r="BC175" s="17">
        <f>IF(AND(AN175=1,ISNUMBER(V175)),1,0)</f>
        <v/>
      </c>
      <c r="BD175" s="17">
        <f>IF(BC175=1,IF(COUNTIFS($A$2:$A$201,$A175,$BC$2:$BC$201,1,$G$2:$G$201,"&lt;"&amp;G175)+COUNTIFS($A$2:$A$201,$A175,$BC$2:$BC$201,1,$G$2:$G$201,G175,$AM$2:$AM$201,"&lt;"&amp;AM175)=0,1,0),0)</f>
        <v/>
      </c>
      <c r="BE175" s="17">
        <f>IF(AND(BD175=1,G175&lt;=Config!$B$6),V175,"")</f>
        <v/>
      </c>
      <c r="BF175" s="17">
        <f>IF(AND(BD175=1,G175&lt;=Config!$B$7),V175,"")</f>
        <v/>
      </c>
      <c r="BG175" s="17">
        <f>IF(AND(BD175=1,G175&lt;=Config!$B$8),V175,"")</f>
        <v/>
      </c>
      <c r="BH175" s="17">
        <f>IF(AND(BD175=1,G175&lt;=Config!$B$5),V175,"")</f>
        <v/>
      </c>
      <c r="BI175" s="17">
        <f>IF(AND(AN175=1,ISNUMBER(J175)),1,0)</f>
        <v/>
      </c>
      <c r="BJ175" s="17">
        <f>IF(BI175=1,IF(COUNTIFS($A$2:$A$201,$A175,$BI$2:$BI$201,1,$G$2:$G$201,"&lt;"&amp;G175)+COUNTIFS($A$2:$A$201,$A175,$BI$2:$BI$201,1,$G$2:$G$201,G175,$AM$2:$AM$201,"&lt;"&amp;AM175)=0,1,0),0)</f>
        <v/>
      </c>
      <c r="BK175" s="17">
        <f>IF(AND(BJ175=1,G175&lt;=Config!$B$5),J175,"")</f>
        <v/>
      </c>
      <c r="BL175" s="17">
        <f>IF(AND(AN175=1,OR(AND(ISNUMBER(R175),TRIM(S175)=""),AND(ISNUMBER(V175),TRIM(W175)=""))),1,0)</f>
        <v/>
      </c>
      <c r="BM175" s="17">
        <f>IF(AN175=1,AB175&amp;"","")</f>
        <v/>
      </c>
      <c r="BN175" s="17">
        <f>IF(AN175=1,AC175&amp;"","")</f>
        <v/>
      </c>
      <c r="BO175" s="17">
        <f>IF(AN175=1,AD175&amp;"","")</f>
        <v/>
      </c>
      <c r="BP175" s="17">
        <f>IF(AND(AN175=1,ISNUMBER(AI175),G175&lt;=Config!$B$5),AI175,"")</f>
        <v/>
      </c>
      <c r="BQ175" s="17">
        <f>IF(AN175=1,IF(COUNTIFS($A$2:$A$201,$A175,$AF$2:$AF$201,"Y",$AN$2:$AN$201,1)&gt;0,"Y","N"),"")</f>
        <v/>
      </c>
      <c r="BR175" s="17">
        <f>IF(AND(AN175=1,AF175="Y"),IF(COUNTIFS($A$2:$A$201,$A175,$AF$2:$AF$201,"Y",$AN$2:$AN$201,1,$G$2:$G$201,"&lt;"&amp;G175)+COUNTIFS($A$2:$A$201,$A175,$AF$2:$AF$201,"Y",$AN$2:$AN$201,1,$G$2:$G$201,G175,$AM$2:$AM$201,"&lt;"&amp;AM175)=0,1,0),0)</f>
        <v/>
      </c>
      <c r="BS175" s="17">
        <f>IF(AN175=1,IFERROR(MATCH($A175,INDEX(Clay_Brands!$A$2:$FZ$601,0,Sync!$D$5),0),""),"")</f>
        <v/>
      </c>
      <c r="BT175" s="17">
        <f>IF(BS175="","",IFERROR(INDEX(Clay_Brands!$A$2:$FZ$601,BS175,Sync!$D$7)&amp;"",""))</f>
        <v/>
      </c>
      <c r="BU175" s="17">
        <f>IF(BT175="","",IFERROR(INDEX(Lists!$J$2:$J$15,MATCH(BT175,Lists!$I$2:$I$15,0)),""))</f>
        <v/>
      </c>
      <c r="BV175" s="17">
        <f>IF(BS175="","",IFERROR(INDEX(Clay_Brands!$A$2:$FZ$601,BS175,Sync!$D$17)&amp;"",""))</f>
        <v/>
      </c>
      <c r="BW175" s="23">
        <f>IF(BS175="","",IFERROR(N(INDEX(Clay_Brands!$A$2:$FZ$601,BS175,Sync!$D$16)),0))</f>
        <v/>
      </c>
    </row>
    <row r="176">
      <c r="G176" s="22" t="n"/>
      <c r="AL176" s="17">
        <f>IF(TRIM($A176)="","",IF(AND(LEFT($A176,6)="SAMPLE",Config!$B$19&lt;&gt;"Y"),"",IF(NOT(ISNUMBER(G176)),"call_date is blank or not a date",IF(Sync!$D$5="","Clay paste is empty or has no row_id column: paste the Clay export on Clay_Brands",IF(BS176="","row_id not found in the Clay paste: add the Clay row or fix the row_id",IF(AND(ISNUMBER(BU176),BU176&gt;=1,BU176&lt;=5),"Clay status is "&amp;BT176&amp;": set call_done or later",IF(AND(AP176=1,BV176&lt;&gt;BQ176),"Clay yes_in_principle should be "&amp;BQ176,IF(AND(AP176=1,BW176&lt;&gt;G176),"Clay call_date should be "&amp;TEXT(G176,"yyyy-mm-dd"),""))))))))</f>
        <v/>
      </c>
      <c r="AM176" s="17">
        <f>ROW()</f>
        <v/>
      </c>
      <c r="AN176" s="17">
        <f>IF(AND(TRIM($A176)&lt;&gt;"",ISNUMBER(G176)),IF(AND(LEFT($A176,6)="SAMPLE",Config!$B$19&lt;&gt;"Y"),0,1),0)</f>
        <v/>
      </c>
      <c r="AO176" s="17">
        <f>IF(AN176=1,IF(COUNTIFS($A$2:$A$201,$A176,$AN$2:$AN$201,1,$G$2:$G$201,"&lt;"&amp;G176)+COUNTIFS($A$2:$A$201,$A176,$AN$2:$AN$201,1,$G$2:$G$201,G176,$AM$2:$AM$201,"&lt;"&amp;AM176)=0,1,0),0)</f>
        <v/>
      </c>
      <c r="AP176" s="17">
        <f>IF(AN176=1,IF(COUNTIFS($A$2:$A$201,$A176,$AN$2:$AN$201,1,$G$2:$G$201,"&gt;"&amp;G176)+COUNTIFS($A$2:$A$201,$A176,$AN$2:$AN$201,1,$G$2:$G$201,G176,$AM$2:$AM$201,"&gt;"&amp;AM176)=0,1,0),0)</f>
        <v/>
      </c>
      <c r="AQ176" s="17">
        <f>IF(AND(AN176=1,N176="Y",MAX(N(R176),N(V176))&gt;=Config!$B$14),1,0)</f>
        <v/>
      </c>
      <c r="AR176" s="17">
        <f>IF(AQ176=1,IF(COUNTIFS($A$2:$A$201,$A176,$AQ$2:$AQ$201,1,$G$2:$G$201,"&lt;"&amp;G176)+COUNTIFS($A$2:$A$201,$A176,$AQ$2:$AQ$201,1,$G$2:$G$201,G176,$AM$2:$AM$201,"&lt;"&amp;AM176)=0,1,0),0)</f>
        <v/>
      </c>
      <c r="AS176" s="17">
        <f>IF(AND(AN176=1,N176="Y",ISNUMBER(R176)),IF(R176&gt;=Config!$B$14,1,0),0)</f>
        <v/>
      </c>
      <c r="AT176" s="17">
        <f>IF(AS176=1,IF(COUNTIFS($A$2:$A$201,$A176,$AS$2:$AS$201,1,$G$2:$G$201,"&lt;"&amp;G176)+COUNTIFS($A$2:$A$201,$A176,$AS$2:$AS$201,1,$G$2:$G$201,G176,$AM$2:$AM$201,"&lt;"&amp;AM176)=0,1,0),0)</f>
        <v/>
      </c>
      <c r="AU176" s="17">
        <f>IF(AND(AN176=1,N176&lt;&gt;"Y",MAX(N(R176),N(V176))&gt;=Config!$B$14),1,0)</f>
        <v/>
      </c>
      <c r="AV176" s="17">
        <f>IF(AU176=1,IF(COUNTIFS($A$2:$A$201,$A176,$AU$2:$AU$201,1,$G$2:$G$201,"&lt;"&amp;G176)+COUNTIFS($A$2:$A$201,$A176,$AU$2:$AU$201,1,$G$2:$G$201,G176,$AM$2:$AM$201,"&lt;"&amp;AM176)=0,1,0),0)</f>
        <v/>
      </c>
      <c r="AW176" s="17">
        <f>IF(AND(AN176=1,ISNUMBER(R176)),1,0)</f>
        <v/>
      </c>
      <c r="AX176" s="17">
        <f>IF(AW176=1,IF(COUNTIFS($A$2:$A$201,$A176,$AW$2:$AW$201,1,$G$2:$G$201,"&lt;"&amp;G176)+COUNTIFS($A$2:$A$201,$A176,$AW$2:$AW$201,1,$G$2:$G$201,G176,$AM$2:$AM$201,"&lt;"&amp;AM176)=0,1,0),0)</f>
        <v/>
      </c>
      <c r="AY176" s="17">
        <f>IF(AND(AX176=1,G176&lt;=Config!$B$6),R176,"")</f>
        <v/>
      </c>
      <c r="AZ176" s="17">
        <f>IF(AND(AX176=1,G176&lt;=Config!$B$7),R176,"")</f>
        <v/>
      </c>
      <c r="BA176" s="17">
        <f>IF(AND(AX176=1,G176&lt;=Config!$B$8),R176,"")</f>
        <v/>
      </c>
      <c r="BB176" s="17">
        <f>IF(AND(AX176=1,G176&lt;=Config!$B$5),R176,"")</f>
        <v/>
      </c>
      <c r="BC176" s="17">
        <f>IF(AND(AN176=1,ISNUMBER(V176)),1,0)</f>
        <v/>
      </c>
      <c r="BD176" s="17">
        <f>IF(BC176=1,IF(COUNTIFS($A$2:$A$201,$A176,$BC$2:$BC$201,1,$G$2:$G$201,"&lt;"&amp;G176)+COUNTIFS($A$2:$A$201,$A176,$BC$2:$BC$201,1,$G$2:$G$201,G176,$AM$2:$AM$201,"&lt;"&amp;AM176)=0,1,0),0)</f>
        <v/>
      </c>
      <c r="BE176" s="17">
        <f>IF(AND(BD176=1,G176&lt;=Config!$B$6),V176,"")</f>
        <v/>
      </c>
      <c r="BF176" s="17">
        <f>IF(AND(BD176=1,G176&lt;=Config!$B$7),V176,"")</f>
        <v/>
      </c>
      <c r="BG176" s="17">
        <f>IF(AND(BD176=1,G176&lt;=Config!$B$8),V176,"")</f>
        <v/>
      </c>
      <c r="BH176" s="17">
        <f>IF(AND(BD176=1,G176&lt;=Config!$B$5),V176,"")</f>
        <v/>
      </c>
      <c r="BI176" s="17">
        <f>IF(AND(AN176=1,ISNUMBER(J176)),1,0)</f>
        <v/>
      </c>
      <c r="BJ176" s="17">
        <f>IF(BI176=1,IF(COUNTIFS($A$2:$A$201,$A176,$BI$2:$BI$201,1,$G$2:$G$201,"&lt;"&amp;G176)+COUNTIFS($A$2:$A$201,$A176,$BI$2:$BI$201,1,$G$2:$G$201,G176,$AM$2:$AM$201,"&lt;"&amp;AM176)=0,1,0),0)</f>
        <v/>
      </c>
      <c r="BK176" s="17">
        <f>IF(AND(BJ176=1,G176&lt;=Config!$B$5),J176,"")</f>
        <v/>
      </c>
      <c r="BL176" s="17">
        <f>IF(AND(AN176=1,OR(AND(ISNUMBER(R176),TRIM(S176)=""),AND(ISNUMBER(V176),TRIM(W176)=""))),1,0)</f>
        <v/>
      </c>
      <c r="BM176" s="17">
        <f>IF(AN176=1,AB176&amp;"","")</f>
        <v/>
      </c>
      <c r="BN176" s="17">
        <f>IF(AN176=1,AC176&amp;"","")</f>
        <v/>
      </c>
      <c r="BO176" s="17">
        <f>IF(AN176=1,AD176&amp;"","")</f>
        <v/>
      </c>
      <c r="BP176" s="17">
        <f>IF(AND(AN176=1,ISNUMBER(AI176),G176&lt;=Config!$B$5),AI176,"")</f>
        <v/>
      </c>
      <c r="BQ176" s="17">
        <f>IF(AN176=1,IF(COUNTIFS($A$2:$A$201,$A176,$AF$2:$AF$201,"Y",$AN$2:$AN$201,1)&gt;0,"Y","N"),"")</f>
        <v/>
      </c>
      <c r="BR176" s="17">
        <f>IF(AND(AN176=1,AF176="Y"),IF(COUNTIFS($A$2:$A$201,$A176,$AF$2:$AF$201,"Y",$AN$2:$AN$201,1,$G$2:$G$201,"&lt;"&amp;G176)+COUNTIFS($A$2:$A$201,$A176,$AF$2:$AF$201,"Y",$AN$2:$AN$201,1,$G$2:$G$201,G176,$AM$2:$AM$201,"&lt;"&amp;AM176)=0,1,0),0)</f>
        <v/>
      </c>
      <c r="BS176" s="17">
        <f>IF(AN176=1,IFERROR(MATCH($A176,INDEX(Clay_Brands!$A$2:$FZ$601,0,Sync!$D$5),0),""),"")</f>
        <v/>
      </c>
      <c r="BT176" s="17">
        <f>IF(BS176="","",IFERROR(INDEX(Clay_Brands!$A$2:$FZ$601,BS176,Sync!$D$7)&amp;"",""))</f>
        <v/>
      </c>
      <c r="BU176" s="17">
        <f>IF(BT176="","",IFERROR(INDEX(Lists!$J$2:$J$15,MATCH(BT176,Lists!$I$2:$I$15,0)),""))</f>
        <v/>
      </c>
      <c r="BV176" s="17">
        <f>IF(BS176="","",IFERROR(INDEX(Clay_Brands!$A$2:$FZ$601,BS176,Sync!$D$17)&amp;"",""))</f>
        <v/>
      </c>
      <c r="BW176" s="23">
        <f>IF(BS176="","",IFERROR(N(INDEX(Clay_Brands!$A$2:$FZ$601,BS176,Sync!$D$16)),0))</f>
        <v/>
      </c>
    </row>
    <row r="177">
      <c r="G177" s="22" t="n"/>
      <c r="AL177" s="17">
        <f>IF(TRIM($A177)="","",IF(AND(LEFT($A177,6)="SAMPLE",Config!$B$19&lt;&gt;"Y"),"",IF(NOT(ISNUMBER(G177)),"call_date is blank or not a date",IF(Sync!$D$5="","Clay paste is empty or has no row_id column: paste the Clay export on Clay_Brands",IF(BS177="","row_id not found in the Clay paste: add the Clay row or fix the row_id",IF(AND(ISNUMBER(BU177),BU177&gt;=1,BU177&lt;=5),"Clay status is "&amp;BT177&amp;": set call_done or later",IF(AND(AP177=1,BV177&lt;&gt;BQ177),"Clay yes_in_principle should be "&amp;BQ177,IF(AND(AP177=1,BW177&lt;&gt;G177),"Clay call_date should be "&amp;TEXT(G177,"yyyy-mm-dd"),""))))))))</f>
        <v/>
      </c>
      <c r="AM177" s="17">
        <f>ROW()</f>
        <v/>
      </c>
      <c r="AN177" s="17">
        <f>IF(AND(TRIM($A177)&lt;&gt;"",ISNUMBER(G177)),IF(AND(LEFT($A177,6)="SAMPLE",Config!$B$19&lt;&gt;"Y"),0,1),0)</f>
        <v/>
      </c>
      <c r="AO177" s="17">
        <f>IF(AN177=1,IF(COUNTIFS($A$2:$A$201,$A177,$AN$2:$AN$201,1,$G$2:$G$201,"&lt;"&amp;G177)+COUNTIFS($A$2:$A$201,$A177,$AN$2:$AN$201,1,$G$2:$G$201,G177,$AM$2:$AM$201,"&lt;"&amp;AM177)=0,1,0),0)</f>
        <v/>
      </c>
      <c r="AP177" s="17">
        <f>IF(AN177=1,IF(COUNTIFS($A$2:$A$201,$A177,$AN$2:$AN$201,1,$G$2:$G$201,"&gt;"&amp;G177)+COUNTIFS($A$2:$A$201,$A177,$AN$2:$AN$201,1,$G$2:$G$201,G177,$AM$2:$AM$201,"&gt;"&amp;AM177)=0,1,0),0)</f>
        <v/>
      </c>
      <c r="AQ177" s="17">
        <f>IF(AND(AN177=1,N177="Y",MAX(N(R177),N(V177))&gt;=Config!$B$14),1,0)</f>
        <v/>
      </c>
      <c r="AR177" s="17">
        <f>IF(AQ177=1,IF(COUNTIFS($A$2:$A$201,$A177,$AQ$2:$AQ$201,1,$G$2:$G$201,"&lt;"&amp;G177)+COUNTIFS($A$2:$A$201,$A177,$AQ$2:$AQ$201,1,$G$2:$G$201,G177,$AM$2:$AM$201,"&lt;"&amp;AM177)=0,1,0),0)</f>
        <v/>
      </c>
      <c r="AS177" s="17">
        <f>IF(AND(AN177=1,N177="Y",ISNUMBER(R177)),IF(R177&gt;=Config!$B$14,1,0),0)</f>
        <v/>
      </c>
      <c r="AT177" s="17">
        <f>IF(AS177=1,IF(COUNTIFS($A$2:$A$201,$A177,$AS$2:$AS$201,1,$G$2:$G$201,"&lt;"&amp;G177)+COUNTIFS($A$2:$A$201,$A177,$AS$2:$AS$201,1,$G$2:$G$201,G177,$AM$2:$AM$201,"&lt;"&amp;AM177)=0,1,0),0)</f>
        <v/>
      </c>
      <c r="AU177" s="17">
        <f>IF(AND(AN177=1,N177&lt;&gt;"Y",MAX(N(R177),N(V177))&gt;=Config!$B$14),1,0)</f>
        <v/>
      </c>
      <c r="AV177" s="17">
        <f>IF(AU177=1,IF(COUNTIFS($A$2:$A$201,$A177,$AU$2:$AU$201,1,$G$2:$G$201,"&lt;"&amp;G177)+COUNTIFS($A$2:$A$201,$A177,$AU$2:$AU$201,1,$G$2:$G$201,G177,$AM$2:$AM$201,"&lt;"&amp;AM177)=0,1,0),0)</f>
        <v/>
      </c>
      <c r="AW177" s="17">
        <f>IF(AND(AN177=1,ISNUMBER(R177)),1,0)</f>
        <v/>
      </c>
      <c r="AX177" s="17">
        <f>IF(AW177=1,IF(COUNTIFS($A$2:$A$201,$A177,$AW$2:$AW$201,1,$G$2:$G$201,"&lt;"&amp;G177)+COUNTIFS($A$2:$A$201,$A177,$AW$2:$AW$201,1,$G$2:$G$201,G177,$AM$2:$AM$201,"&lt;"&amp;AM177)=0,1,0),0)</f>
        <v/>
      </c>
      <c r="AY177" s="17">
        <f>IF(AND(AX177=1,G177&lt;=Config!$B$6),R177,"")</f>
        <v/>
      </c>
      <c r="AZ177" s="17">
        <f>IF(AND(AX177=1,G177&lt;=Config!$B$7),R177,"")</f>
        <v/>
      </c>
      <c r="BA177" s="17">
        <f>IF(AND(AX177=1,G177&lt;=Config!$B$8),R177,"")</f>
        <v/>
      </c>
      <c r="BB177" s="17">
        <f>IF(AND(AX177=1,G177&lt;=Config!$B$5),R177,"")</f>
        <v/>
      </c>
      <c r="BC177" s="17">
        <f>IF(AND(AN177=1,ISNUMBER(V177)),1,0)</f>
        <v/>
      </c>
      <c r="BD177" s="17">
        <f>IF(BC177=1,IF(COUNTIFS($A$2:$A$201,$A177,$BC$2:$BC$201,1,$G$2:$G$201,"&lt;"&amp;G177)+COUNTIFS($A$2:$A$201,$A177,$BC$2:$BC$201,1,$G$2:$G$201,G177,$AM$2:$AM$201,"&lt;"&amp;AM177)=0,1,0),0)</f>
        <v/>
      </c>
      <c r="BE177" s="17">
        <f>IF(AND(BD177=1,G177&lt;=Config!$B$6),V177,"")</f>
        <v/>
      </c>
      <c r="BF177" s="17">
        <f>IF(AND(BD177=1,G177&lt;=Config!$B$7),V177,"")</f>
        <v/>
      </c>
      <c r="BG177" s="17">
        <f>IF(AND(BD177=1,G177&lt;=Config!$B$8),V177,"")</f>
        <v/>
      </c>
      <c r="BH177" s="17">
        <f>IF(AND(BD177=1,G177&lt;=Config!$B$5),V177,"")</f>
        <v/>
      </c>
      <c r="BI177" s="17">
        <f>IF(AND(AN177=1,ISNUMBER(J177)),1,0)</f>
        <v/>
      </c>
      <c r="BJ177" s="17">
        <f>IF(BI177=1,IF(COUNTIFS($A$2:$A$201,$A177,$BI$2:$BI$201,1,$G$2:$G$201,"&lt;"&amp;G177)+COUNTIFS($A$2:$A$201,$A177,$BI$2:$BI$201,1,$G$2:$G$201,G177,$AM$2:$AM$201,"&lt;"&amp;AM177)=0,1,0),0)</f>
        <v/>
      </c>
      <c r="BK177" s="17">
        <f>IF(AND(BJ177=1,G177&lt;=Config!$B$5),J177,"")</f>
        <v/>
      </c>
      <c r="BL177" s="17">
        <f>IF(AND(AN177=1,OR(AND(ISNUMBER(R177),TRIM(S177)=""),AND(ISNUMBER(V177),TRIM(W177)=""))),1,0)</f>
        <v/>
      </c>
      <c r="BM177" s="17">
        <f>IF(AN177=1,AB177&amp;"","")</f>
        <v/>
      </c>
      <c r="BN177" s="17">
        <f>IF(AN177=1,AC177&amp;"","")</f>
        <v/>
      </c>
      <c r="BO177" s="17">
        <f>IF(AN177=1,AD177&amp;"","")</f>
        <v/>
      </c>
      <c r="BP177" s="17">
        <f>IF(AND(AN177=1,ISNUMBER(AI177),G177&lt;=Config!$B$5),AI177,"")</f>
        <v/>
      </c>
      <c r="BQ177" s="17">
        <f>IF(AN177=1,IF(COUNTIFS($A$2:$A$201,$A177,$AF$2:$AF$201,"Y",$AN$2:$AN$201,1)&gt;0,"Y","N"),"")</f>
        <v/>
      </c>
      <c r="BR177" s="17">
        <f>IF(AND(AN177=1,AF177="Y"),IF(COUNTIFS($A$2:$A$201,$A177,$AF$2:$AF$201,"Y",$AN$2:$AN$201,1,$G$2:$G$201,"&lt;"&amp;G177)+COUNTIFS($A$2:$A$201,$A177,$AF$2:$AF$201,"Y",$AN$2:$AN$201,1,$G$2:$G$201,G177,$AM$2:$AM$201,"&lt;"&amp;AM177)=0,1,0),0)</f>
        <v/>
      </c>
      <c r="BS177" s="17">
        <f>IF(AN177=1,IFERROR(MATCH($A177,INDEX(Clay_Brands!$A$2:$FZ$601,0,Sync!$D$5),0),""),"")</f>
        <v/>
      </c>
      <c r="BT177" s="17">
        <f>IF(BS177="","",IFERROR(INDEX(Clay_Brands!$A$2:$FZ$601,BS177,Sync!$D$7)&amp;"",""))</f>
        <v/>
      </c>
      <c r="BU177" s="17">
        <f>IF(BT177="","",IFERROR(INDEX(Lists!$J$2:$J$15,MATCH(BT177,Lists!$I$2:$I$15,0)),""))</f>
        <v/>
      </c>
      <c r="BV177" s="17">
        <f>IF(BS177="","",IFERROR(INDEX(Clay_Brands!$A$2:$FZ$601,BS177,Sync!$D$17)&amp;"",""))</f>
        <v/>
      </c>
      <c r="BW177" s="23">
        <f>IF(BS177="","",IFERROR(N(INDEX(Clay_Brands!$A$2:$FZ$601,BS177,Sync!$D$16)),0))</f>
        <v/>
      </c>
    </row>
    <row r="178">
      <c r="G178" s="22" t="n"/>
      <c r="AL178" s="17">
        <f>IF(TRIM($A178)="","",IF(AND(LEFT($A178,6)="SAMPLE",Config!$B$19&lt;&gt;"Y"),"",IF(NOT(ISNUMBER(G178)),"call_date is blank or not a date",IF(Sync!$D$5="","Clay paste is empty or has no row_id column: paste the Clay export on Clay_Brands",IF(BS178="","row_id not found in the Clay paste: add the Clay row or fix the row_id",IF(AND(ISNUMBER(BU178),BU178&gt;=1,BU178&lt;=5),"Clay status is "&amp;BT178&amp;": set call_done or later",IF(AND(AP178=1,BV178&lt;&gt;BQ178),"Clay yes_in_principle should be "&amp;BQ178,IF(AND(AP178=1,BW178&lt;&gt;G178),"Clay call_date should be "&amp;TEXT(G178,"yyyy-mm-dd"),""))))))))</f>
        <v/>
      </c>
      <c r="AM178" s="17">
        <f>ROW()</f>
        <v/>
      </c>
      <c r="AN178" s="17">
        <f>IF(AND(TRIM($A178)&lt;&gt;"",ISNUMBER(G178)),IF(AND(LEFT($A178,6)="SAMPLE",Config!$B$19&lt;&gt;"Y"),0,1),0)</f>
        <v/>
      </c>
      <c r="AO178" s="17">
        <f>IF(AN178=1,IF(COUNTIFS($A$2:$A$201,$A178,$AN$2:$AN$201,1,$G$2:$G$201,"&lt;"&amp;G178)+COUNTIFS($A$2:$A$201,$A178,$AN$2:$AN$201,1,$G$2:$G$201,G178,$AM$2:$AM$201,"&lt;"&amp;AM178)=0,1,0),0)</f>
        <v/>
      </c>
      <c r="AP178" s="17">
        <f>IF(AN178=1,IF(COUNTIFS($A$2:$A$201,$A178,$AN$2:$AN$201,1,$G$2:$G$201,"&gt;"&amp;G178)+COUNTIFS($A$2:$A$201,$A178,$AN$2:$AN$201,1,$G$2:$G$201,G178,$AM$2:$AM$201,"&gt;"&amp;AM178)=0,1,0),0)</f>
        <v/>
      </c>
      <c r="AQ178" s="17">
        <f>IF(AND(AN178=1,N178="Y",MAX(N(R178),N(V178))&gt;=Config!$B$14),1,0)</f>
        <v/>
      </c>
      <c r="AR178" s="17">
        <f>IF(AQ178=1,IF(COUNTIFS($A$2:$A$201,$A178,$AQ$2:$AQ$201,1,$G$2:$G$201,"&lt;"&amp;G178)+COUNTIFS($A$2:$A$201,$A178,$AQ$2:$AQ$201,1,$G$2:$G$201,G178,$AM$2:$AM$201,"&lt;"&amp;AM178)=0,1,0),0)</f>
        <v/>
      </c>
      <c r="AS178" s="17">
        <f>IF(AND(AN178=1,N178="Y",ISNUMBER(R178)),IF(R178&gt;=Config!$B$14,1,0),0)</f>
        <v/>
      </c>
      <c r="AT178" s="17">
        <f>IF(AS178=1,IF(COUNTIFS($A$2:$A$201,$A178,$AS$2:$AS$201,1,$G$2:$G$201,"&lt;"&amp;G178)+COUNTIFS($A$2:$A$201,$A178,$AS$2:$AS$201,1,$G$2:$G$201,G178,$AM$2:$AM$201,"&lt;"&amp;AM178)=0,1,0),0)</f>
        <v/>
      </c>
      <c r="AU178" s="17">
        <f>IF(AND(AN178=1,N178&lt;&gt;"Y",MAX(N(R178),N(V178))&gt;=Config!$B$14),1,0)</f>
        <v/>
      </c>
      <c r="AV178" s="17">
        <f>IF(AU178=1,IF(COUNTIFS($A$2:$A$201,$A178,$AU$2:$AU$201,1,$G$2:$G$201,"&lt;"&amp;G178)+COUNTIFS($A$2:$A$201,$A178,$AU$2:$AU$201,1,$G$2:$G$201,G178,$AM$2:$AM$201,"&lt;"&amp;AM178)=0,1,0),0)</f>
        <v/>
      </c>
      <c r="AW178" s="17">
        <f>IF(AND(AN178=1,ISNUMBER(R178)),1,0)</f>
        <v/>
      </c>
      <c r="AX178" s="17">
        <f>IF(AW178=1,IF(COUNTIFS($A$2:$A$201,$A178,$AW$2:$AW$201,1,$G$2:$G$201,"&lt;"&amp;G178)+COUNTIFS($A$2:$A$201,$A178,$AW$2:$AW$201,1,$G$2:$G$201,G178,$AM$2:$AM$201,"&lt;"&amp;AM178)=0,1,0),0)</f>
        <v/>
      </c>
      <c r="AY178" s="17">
        <f>IF(AND(AX178=1,G178&lt;=Config!$B$6),R178,"")</f>
        <v/>
      </c>
      <c r="AZ178" s="17">
        <f>IF(AND(AX178=1,G178&lt;=Config!$B$7),R178,"")</f>
        <v/>
      </c>
      <c r="BA178" s="17">
        <f>IF(AND(AX178=1,G178&lt;=Config!$B$8),R178,"")</f>
        <v/>
      </c>
      <c r="BB178" s="17">
        <f>IF(AND(AX178=1,G178&lt;=Config!$B$5),R178,"")</f>
        <v/>
      </c>
      <c r="BC178" s="17">
        <f>IF(AND(AN178=1,ISNUMBER(V178)),1,0)</f>
        <v/>
      </c>
      <c r="BD178" s="17">
        <f>IF(BC178=1,IF(COUNTIFS($A$2:$A$201,$A178,$BC$2:$BC$201,1,$G$2:$G$201,"&lt;"&amp;G178)+COUNTIFS($A$2:$A$201,$A178,$BC$2:$BC$201,1,$G$2:$G$201,G178,$AM$2:$AM$201,"&lt;"&amp;AM178)=0,1,0),0)</f>
        <v/>
      </c>
      <c r="BE178" s="17">
        <f>IF(AND(BD178=1,G178&lt;=Config!$B$6),V178,"")</f>
        <v/>
      </c>
      <c r="BF178" s="17">
        <f>IF(AND(BD178=1,G178&lt;=Config!$B$7),V178,"")</f>
        <v/>
      </c>
      <c r="BG178" s="17">
        <f>IF(AND(BD178=1,G178&lt;=Config!$B$8),V178,"")</f>
        <v/>
      </c>
      <c r="BH178" s="17">
        <f>IF(AND(BD178=1,G178&lt;=Config!$B$5),V178,"")</f>
        <v/>
      </c>
      <c r="BI178" s="17">
        <f>IF(AND(AN178=1,ISNUMBER(J178)),1,0)</f>
        <v/>
      </c>
      <c r="BJ178" s="17">
        <f>IF(BI178=1,IF(COUNTIFS($A$2:$A$201,$A178,$BI$2:$BI$201,1,$G$2:$G$201,"&lt;"&amp;G178)+COUNTIFS($A$2:$A$201,$A178,$BI$2:$BI$201,1,$G$2:$G$201,G178,$AM$2:$AM$201,"&lt;"&amp;AM178)=0,1,0),0)</f>
        <v/>
      </c>
      <c r="BK178" s="17">
        <f>IF(AND(BJ178=1,G178&lt;=Config!$B$5),J178,"")</f>
        <v/>
      </c>
      <c r="BL178" s="17">
        <f>IF(AND(AN178=1,OR(AND(ISNUMBER(R178),TRIM(S178)=""),AND(ISNUMBER(V178),TRIM(W178)=""))),1,0)</f>
        <v/>
      </c>
      <c r="BM178" s="17">
        <f>IF(AN178=1,AB178&amp;"","")</f>
        <v/>
      </c>
      <c r="BN178" s="17">
        <f>IF(AN178=1,AC178&amp;"","")</f>
        <v/>
      </c>
      <c r="BO178" s="17">
        <f>IF(AN178=1,AD178&amp;"","")</f>
        <v/>
      </c>
      <c r="BP178" s="17">
        <f>IF(AND(AN178=1,ISNUMBER(AI178),G178&lt;=Config!$B$5),AI178,"")</f>
        <v/>
      </c>
      <c r="BQ178" s="17">
        <f>IF(AN178=1,IF(COUNTIFS($A$2:$A$201,$A178,$AF$2:$AF$201,"Y",$AN$2:$AN$201,1)&gt;0,"Y","N"),"")</f>
        <v/>
      </c>
      <c r="BR178" s="17">
        <f>IF(AND(AN178=1,AF178="Y"),IF(COUNTIFS($A$2:$A$201,$A178,$AF$2:$AF$201,"Y",$AN$2:$AN$201,1,$G$2:$G$201,"&lt;"&amp;G178)+COUNTIFS($A$2:$A$201,$A178,$AF$2:$AF$201,"Y",$AN$2:$AN$201,1,$G$2:$G$201,G178,$AM$2:$AM$201,"&lt;"&amp;AM178)=0,1,0),0)</f>
        <v/>
      </c>
      <c r="BS178" s="17">
        <f>IF(AN178=1,IFERROR(MATCH($A178,INDEX(Clay_Brands!$A$2:$FZ$601,0,Sync!$D$5),0),""),"")</f>
        <v/>
      </c>
      <c r="BT178" s="17">
        <f>IF(BS178="","",IFERROR(INDEX(Clay_Brands!$A$2:$FZ$601,BS178,Sync!$D$7)&amp;"",""))</f>
        <v/>
      </c>
      <c r="BU178" s="17">
        <f>IF(BT178="","",IFERROR(INDEX(Lists!$J$2:$J$15,MATCH(BT178,Lists!$I$2:$I$15,0)),""))</f>
        <v/>
      </c>
      <c r="BV178" s="17">
        <f>IF(BS178="","",IFERROR(INDEX(Clay_Brands!$A$2:$FZ$601,BS178,Sync!$D$17)&amp;"",""))</f>
        <v/>
      </c>
      <c r="BW178" s="23">
        <f>IF(BS178="","",IFERROR(N(INDEX(Clay_Brands!$A$2:$FZ$601,BS178,Sync!$D$16)),0))</f>
        <v/>
      </c>
    </row>
    <row r="179">
      <c r="G179" s="22" t="n"/>
      <c r="AL179" s="17">
        <f>IF(TRIM($A179)="","",IF(AND(LEFT($A179,6)="SAMPLE",Config!$B$19&lt;&gt;"Y"),"",IF(NOT(ISNUMBER(G179)),"call_date is blank or not a date",IF(Sync!$D$5="","Clay paste is empty or has no row_id column: paste the Clay export on Clay_Brands",IF(BS179="","row_id not found in the Clay paste: add the Clay row or fix the row_id",IF(AND(ISNUMBER(BU179),BU179&gt;=1,BU179&lt;=5),"Clay status is "&amp;BT179&amp;": set call_done or later",IF(AND(AP179=1,BV179&lt;&gt;BQ179),"Clay yes_in_principle should be "&amp;BQ179,IF(AND(AP179=1,BW179&lt;&gt;G179),"Clay call_date should be "&amp;TEXT(G179,"yyyy-mm-dd"),""))))))))</f>
        <v/>
      </c>
      <c r="AM179" s="17">
        <f>ROW()</f>
        <v/>
      </c>
      <c r="AN179" s="17">
        <f>IF(AND(TRIM($A179)&lt;&gt;"",ISNUMBER(G179)),IF(AND(LEFT($A179,6)="SAMPLE",Config!$B$19&lt;&gt;"Y"),0,1),0)</f>
        <v/>
      </c>
      <c r="AO179" s="17">
        <f>IF(AN179=1,IF(COUNTIFS($A$2:$A$201,$A179,$AN$2:$AN$201,1,$G$2:$G$201,"&lt;"&amp;G179)+COUNTIFS($A$2:$A$201,$A179,$AN$2:$AN$201,1,$G$2:$G$201,G179,$AM$2:$AM$201,"&lt;"&amp;AM179)=0,1,0),0)</f>
        <v/>
      </c>
      <c r="AP179" s="17">
        <f>IF(AN179=1,IF(COUNTIFS($A$2:$A$201,$A179,$AN$2:$AN$201,1,$G$2:$G$201,"&gt;"&amp;G179)+COUNTIFS($A$2:$A$201,$A179,$AN$2:$AN$201,1,$G$2:$G$201,G179,$AM$2:$AM$201,"&gt;"&amp;AM179)=0,1,0),0)</f>
        <v/>
      </c>
      <c r="AQ179" s="17">
        <f>IF(AND(AN179=1,N179="Y",MAX(N(R179),N(V179))&gt;=Config!$B$14),1,0)</f>
        <v/>
      </c>
      <c r="AR179" s="17">
        <f>IF(AQ179=1,IF(COUNTIFS($A$2:$A$201,$A179,$AQ$2:$AQ$201,1,$G$2:$G$201,"&lt;"&amp;G179)+COUNTIFS($A$2:$A$201,$A179,$AQ$2:$AQ$201,1,$G$2:$G$201,G179,$AM$2:$AM$201,"&lt;"&amp;AM179)=0,1,0),0)</f>
        <v/>
      </c>
      <c r="AS179" s="17">
        <f>IF(AND(AN179=1,N179="Y",ISNUMBER(R179)),IF(R179&gt;=Config!$B$14,1,0),0)</f>
        <v/>
      </c>
      <c r="AT179" s="17">
        <f>IF(AS179=1,IF(COUNTIFS($A$2:$A$201,$A179,$AS$2:$AS$201,1,$G$2:$G$201,"&lt;"&amp;G179)+COUNTIFS($A$2:$A$201,$A179,$AS$2:$AS$201,1,$G$2:$G$201,G179,$AM$2:$AM$201,"&lt;"&amp;AM179)=0,1,0),0)</f>
        <v/>
      </c>
      <c r="AU179" s="17">
        <f>IF(AND(AN179=1,N179&lt;&gt;"Y",MAX(N(R179),N(V179))&gt;=Config!$B$14),1,0)</f>
        <v/>
      </c>
      <c r="AV179" s="17">
        <f>IF(AU179=1,IF(COUNTIFS($A$2:$A$201,$A179,$AU$2:$AU$201,1,$G$2:$G$201,"&lt;"&amp;G179)+COUNTIFS($A$2:$A$201,$A179,$AU$2:$AU$201,1,$G$2:$G$201,G179,$AM$2:$AM$201,"&lt;"&amp;AM179)=0,1,0),0)</f>
        <v/>
      </c>
      <c r="AW179" s="17">
        <f>IF(AND(AN179=1,ISNUMBER(R179)),1,0)</f>
        <v/>
      </c>
      <c r="AX179" s="17">
        <f>IF(AW179=1,IF(COUNTIFS($A$2:$A$201,$A179,$AW$2:$AW$201,1,$G$2:$G$201,"&lt;"&amp;G179)+COUNTIFS($A$2:$A$201,$A179,$AW$2:$AW$201,1,$G$2:$G$201,G179,$AM$2:$AM$201,"&lt;"&amp;AM179)=0,1,0),0)</f>
        <v/>
      </c>
      <c r="AY179" s="17">
        <f>IF(AND(AX179=1,G179&lt;=Config!$B$6),R179,"")</f>
        <v/>
      </c>
      <c r="AZ179" s="17">
        <f>IF(AND(AX179=1,G179&lt;=Config!$B$7),R179,"")</f>
        <v/>
      </c>
      <c r="BA179" s="17">
        <f>IF(AND(AX179=1,G179&lt;=Config!$B$8),R179,"")</f>
        <v/>
      </c>
      <c r="BB179" s="17">
        <f>IF(AND(AX179=1,G179&lt;=Config!$B$5),R179,"")</f>
        <v/>
      </c>
      <c r="BC179" s="17">
        <f>IF(AND(AN179=1,ISNUMBER(V179)),1,0)</f>
        <v/>
      </c>
      <c r="BD179" s="17">
        <f>IF(BC179=1,IF(COUNTIFS($A$2:$A$201,$A179,$BC$2:$BC$201,1,$G$2:$G$201,"&lt;"&amp;G179)+COUNTIFS($A$2:$A$201,$A179,$BC$2:$BC$201,1,$G$2:$G$201,G179,$AM$2:$AM$201,"&lt;"&amp;AM179)=0,1,0),0)</f>
        <v/>
      </c>
      <c r="BE179" s="17">
        <f>IF(AND(BD179=1,G179&lt;=Config!$B$6),V179,"")</f>
        <v/>
      </c>
      <c r="BF179" s="17">
        <f>IF(AND(BD179=1,G179&lt;=Config!$B$7),V179,"")</f>
        <v/>
      </c>
      <c r="BG179" s="17">
        <f>IF(AND(BD179=1,G179&lt;=Config!$B$8),V179,"")</f>
        <v/>
      </c>
      <c r="BH179" s="17">
        <f>IF(AND(BD179=1,G179&lt;=Config!$B$5),V179,"")</f>
        <v/>
      </c>
      <c r="BI179" s="17">
        <f>IF(AND(AN179=1,ISNUMBER(J179)),1,0)</f>
        <v/>
      </c>
      <c r="BJ179" s="17">
        <f>IF(BI179=1,IF(COUNTIFS($A$2:$A$201,$A179,$BI$2:$BI$201,1,$G$2:$G$201,"&lt;"&amp;G179)+COUNTIFS($A$2:$A$201,$A179,$BI$2:$BI$201,1,$G$2:$G$201,G179,$AM$2:$AM$201,"&lt;"&amp;AM179)=0,1,0),0)</f>
        <v/>
      </c>
      <c r="BK179" s="17">
        <f>IF(AND(BJ179=1,G179&lt;=Config!$B$5),J179,"")</f>
        <v/>
      </c>
      <c r="BL179" s="17">
        <f>IF(AND(AN179=1,OR(AND(ISNUMBER(R179),TRIM(S179)=""),AND(ISNUMBER(V179),TRIM(W179)=""))),1,0)</f>
        <v/>
      </c>
      <c r="BM179" s="17">
        <f>IF(AN179=1,AB179&amp;"","")</f>
        <v/>
      </c>
      <c r="BN179" s="17">
        <f>IF(AN179=1,AC179&amp;"","")</f>
        <v/>
      </c>
      <c r="BO179" s="17">
        <f>IF(AN179=1,AD179&amp;"","")</f>
        <v/>
      </c>
      <c r="BP179" s="17">
        <f>IF(AND(AN179=1,ISNUMBER(AI179),G179&lt;=Config!$B$5),AI179,"")</f>
        <v/>
      </c>
      <c r="BQ179" s="17">
        <f>IF(AN179=1,IF(COUNTIFS($A$2:$A$201,$A179,$AF$2:$AF$201,"Y",$AN$2:$AN$201,1)&gt;0,"Y","N"),"")</f>
        <v/>
      </c>
      <c r="BR179" s="17">
        <f>IF(AND(AN179=1,AF179="Y"),IF(COUNTIFS($A$2:$A$201,$A179,$AF$2:$AF$201,"Y",$AN$2:$AN$201,1,$G$2:$G$201,"&lt;"&amp;G179)+COUNTIFS($A$2:$A$201,$A179,$AF$2:$AF$201,"Y",$AN$2:$AN$201,1,$G$2:$G$201,G179,$AM$2:$AM$201,"&lt;"&amp;AM179)=0,1,0),0)</f>
        <v/>
      </c>
      <c r="BS179" s="17">
        <f>IF(AN179=1,IFERROR(MATCH($A179,INDEX(Clay_Brands!$A$2:$FZ$601,0,Sync!$D$5),0),""),"")</f>
        <v/>
      </c>
      <c r="BT179" s="17">
        <f>IF(BS179="","",IFERROR(INDEX(Clay_Brands!$A$2:$FZ$601,BS179,Sync!$D$7)&amp;"",""))</f>
        <v/>
      </c>
      <c r="BU179" s="17">
        <f>IF(BT179="","",IFERROR(INDEX(Lists!$J$2:$J$15,MATCH(BT179,Lists!$I$2:$I$15,0)),""))</f>
        <v/>
      </c>
      <c r="BV179" s="17">
        <f>IF(BS179="","",IFERROR(INDEX(Clay_Brands!$A$2:$FZ$601,BS179,Sync!$D$17)&amp;"",""))</f>
        <v/>
      </c>
      <c r="BW179" s="23">
        <f>IF(BS179="","",IFERROR(N(INDEX(Clay_Brands!$A$2:$FZ$601,BS179,Sync!$D$16)),0))</f>
        <v/>
      </c>
    </row>
    <row r="180">
      <c r="G180" s="22" t="n"/>
      <c r="AL180" s="17">
        <f>IF(TRIM($A180)="","",IF(AND(LEFT($A180,6)="SAMPLE",Config!$B$19&lt;&gt;"Y"),"",IF(NOT(ISNUMBER(G180)),"call_date is blank or not a date",IF(Sync!$D$5="","Clay paste is empty or has no row_id column: paste the Clay export on Clay_Brands",IF(BS180="","row_id not found in the Clay paste: add the Clay row or fix the row_id",IF(AND(ISNUMBER(BU180),BU180&gt;=1,BU180&lt;=5),"Clay status is "&amp;BT180&amp;": set call_done or later",IF(AND(AP180=1,BV180&lt;&gt;BQ180),"Clay yes_in_principle should be "&amp;BQ180,IF(AND(AP180=1,BW180&lt;&gt;G180),"Clay call_date should be "&amp;TEXT(G180,"yyyy-mm-dd"),""))))))))</f>
        <v/>
      </c>
      <c r="AM180" s="17">
        <f>ROW()</f>
        <v/>
      </c>
      <c r="AN180" s="17">
        <f>IF(AND(TRIM($A180)&lt;&gt;"",ISNUMBER(G180)),IF(AND(LEFT($A180,6)="SAMPLE",Config!$B$19&lt;&gt;"Y"),0,1),0)</f>
        <v/>
      </c>
      <c r="AO180" s="17">
        <f>IF(AN180=1,IF(COUNTIFS($A$2:$A$201,$A180,$AN$2:$AN$201,1,$G$2:$G$201,"&lt;"&amp;G180)+COUNTIFS($A$2:$A$201,$A180,$AN$2:$AN$201,1,$G$2:$G$201,G180,$AM$2:$AM$201,"&lt;"&amp;AM180)=0,1,0),0)</f>
        <v/>
      </c>
      <c r="AP180" s="17">
        <f>IF(AN180=1,IF(COUNTIFS($A$2:$A$201,$A180,$AN$2:$AN$201,1,$G$2:$G$201,"&gt;"&amp;G180)+COUNTIFS($A$2:$A$201,$A180,$AN$2:$AN$201,1,$G$2:$G$201,G180,$AM$2:$AM$201,"&gt;"&amp;AM180)=0,1,0),0)</f>
        <v/>
      </c>
      <c r="AQ180" s="17">
        <f>IF(AND(AN180=1,N180="Y",MAX(N(R180),N(V180))&gt;=Config!$B$14),1,0)</f>
        <v/>
      </c>
      <c r="AR180" s="17">
        <f>IF(AQ180=1,IF(COUNTIFS($A$2:$A$201,$A180,$AQ$2:$AQ$201,1,$G$2:$G$201,"&lt;"&amp;G180)+COUNTIFS($A$2:$A$201,$A180,$AQ$2:$AQ$201,1,$G$2:$G$201,G180,$AM$2:$AM$201,"&lt;"&amp;AM180)=0,1,0),0)</f>
        <v/>
      </c>
      <c r="AS180" s="17">
        <f>IF(AND(AN180=1,N180="Y",ISNUMBER(R180)),IF(R180&gt;=Config!$B$14,1,0),0)</f>
        <v/>
      </c>
      <c r="AT180" s="17">
        <f>IF(AS180=1,IF(COUNTIFS($A$2:$A$201,$A180,$AS$2:$AS$201,1,$G$2:$G$201,"&lt;"&amp;G180)+COUNTIFS($A$2:$A$201,$A180,$AS$2:$AS$201,1,$G$2:$G$201,G180,$AM$2:$AM$201,"&lt;"&amp;AM180)=0,1,0),0)</f>
        <v/>
      </c>
      <c r="AU180" s="17">
        <f>IF(AND(AN180=1,N180&lt;&gt;"Y",MAX(N(R180),N(V180))&gt;=Config!$B$14),1,0)</f>
        <v/>
      </c>
      <c r="AV180" s="17">
        <f>IF(AU180=1,IF(COUNTIFS($A$2:$A$201,$A180,$AU$2:$AU$201,1,$G$2:$G$201,"&lt;"&amp;G180)+COUNTIFS($A$2:$A$201,$A180,$AU$2:$AU$201,1,$G$2:$G$201,G180,$AM$2:$AM$201,"&lt;"&amp;AM180)=0,1,0),0)</f>
        <v/>
      </c>
      <c r="AW180" s="17">
        <f>IF(AND(AN180=1,ISNUMBER(R180)),1,0)</f>
        <v/>
      </c>
      <c r="AX180" s="17">
        <f>IF(AW180=1,IF(COUNTIFS($A$2:$A$201,$A180,$AW$2:$AW$201,1,$G$2:$G$201,"&lt;"&amp;G180)+COUNTIFS($A$2:$A$201,$A180,$AW$2:$AW$201,1,$G$2:$G$201,G180,$AM$2:$AM$201,"&lt;"&amp;AM180)=0,1,0),0)</f>
        <v/>
      </c>
      <c r="AY180" s="17">
        <f>IF(AND(AX180=1,G180&lt;=Config!$B$6),R180,"")</f>
        <v/>
      </c>
      <c r="AZ180" s="17">
        <f>IF(AND(AX180=1,G180&lt;=Config!$B$7),R180,"")</f>
        <v/>
      </c>
      <c r="BA180" s="17">
        <f>IF(AND(AX180=1,G180&lt;=Config!$B$8),R180,"")</f>
        <v/>
      </c>
      <c r="BB180" s="17">
        <f>IF(AND(AX180=1,G180&lt;=Config!$B$5),R180,"")</f>
        <v/>
      </c>
      <c r="BC180" s="17">
        <f>IF(AND(AN180=1,ISNUMBER(V180)),1,0)</f>
        <v/>
      </c>
      <c r="BD180" s="17">
        <f>IF(BC180=1,IF(COUNTIFS($A$2:$A$201,$A180,$BC$2:$BC$201,1,$G$2:$G$201,"&lt;"&amp;G180)+COUNTIFS($A$2:$A$201,$A180,$BC$2:$BC$201,1,$G$2:$G$201,G180,$AM$2:$AM$201,"&lt;"&amp;AM180)=0,1,0),0)</f>
        <v/>
      </c>
      <c r="BE180" s="17">
        <f>IF(AND(BD180=1,G180&lt;=Config!$B$6),V180,"")</f>
        <v/>
      </c>
      <c r="BF180" s="17">
        <f>IF(AND(BD180=1,G180&lt;=Config!$B$7),V180,"")</f>
        <v/>
      </c>
      <c r="BG180" s="17">
        <f>IF(AND(BD180=1,G180&lt;=Config!$B$8),V180,"")</f>
        <v/>
      </c>
      <c r="BH180" s="17">
        <f>IF(AND(BD180=1,G180&lt;=Config!$B$5),V180,"")</f>
        <v/>
      </c>
      <c r="BI180" s="17">
        <f>IF(AND(AN180=1,ISNUMBER(J180)),1,0)</f>
        <v/>
      </c>
      <c r="BJ180" s="17">
        <f>IF(BI180=1,IF(COUNTIFS($A$2:$A$201,$A180,$BI$2:$BI$201,1,$G$2:$G$201,"&lt;"&amp;G180)+COUNTIFS($A$2:$A$201,$A180,$BI$2:$BI$201,1,$G$2:$G$201,G180,$AM$2:$AM$201,"&lt;"&amp;AM180)=0,1,0),0)</f>
        <v/>
      </c>
      <c r="BK180" s="17">
        <f>IF(AND(BJ180=1,G180&lt;=Config!$B$5),J180,"")</f>
        <v/>
      </c>
      <c r="BL180" s="17">
        <f>IF(AND(AN180=1,OR(AND(ISNUMBER(R180),TRIM(S180)=""),AND(ISNUMBER(V180),TRIM(W180)=""))),1,0)</f>
        <v/>
      </c>
      <c r="BM180" s="17">
        <f>IF(AN180=1,AB180&amp;"","")</f>
        <v/>
      </c>
      <c r="BN180" s="17">
        <f>IF(AN180=1,AC180&amp;"","")</f>
        <v/>
      </c>
      <c r="BO180" s="17">
        <f>IF(AN180=1,AD180&amp;"","")</f>
        <v/>
      </c>
      <c r="BP180" s="17">
        <f>IF(AND(AN180=1,ISNUMBER(AI180),G180&lt;=Config!$B$5),AI180,"")</f>
        <v/>
      </c>
      <c r="BQ180" s="17">
        <f>IF(AN180=1,IF(COUNTIFS($A$2:$A$201,$A180,$AF$2:$AF$201,"Y",$AN$2:$AN$201,1)&gt;0,"Y","N"),"")</f>
        <v/>
      </c>
      <c r="BR180" s="17">
        <f>IF(AND(AN180=1,AF180="Y"),IF(COUNTIFS($A$2:$A$201,$A180,$AF$2:$AF$201,"Y",$AN$2:$AN$201,1,$G$2:$G$201,"&lt;"&amp;G180)+COUNTIFS($A$2:$A$201,$A180,$AF$2:$AF$201,"Y",$AN$2:$AN$201,1,$G$2:$G$201,G180,$AM$2:$AM$201,"&lt;"&amp;AM180)=0,1,0),0)</f>
        <v/>
      </c>
      <c r="BS180" s="17">
        <f>IF(AN180=1,IFERROR(MATCH($A180,INDEX(Clay_Brands!$A$2:$FZ$601,0,Sync!$D$5),0),""),"")</f>
        <v/>
      </c>
      <c r="BT180" s="17">
        <f>IF(BS180="","",IFERROR(INDEX(Clay_Brands!$A$2:$FZ$601,BS180,Sync!$D$7)&amp;"",""))</f>
        <v/>
      </c>
      <c r="BU180" s="17">
        <f>IF(BT180="","",IFERROR(INDEX(Lists!$J$2:$J$15,MATCH(BT180,Lists!$I$2:$I$15,0)),""))</f>
        <v/>
      </c>
      <c r="BV180" s="17">
        <f>IF(BS180="","",IFERROR(INDEX(Clay_Brands!$A$2:$FZ$601,BS180,Sync!$D$17)&amp;"",""))</f>
        <v/>
      </c>
      <c r="BW180" s="23">
        <f>IF(BS180="","",IFERROR(N(INDEX(Clay_Brands!$A$2:$FZ$601,BS180,Sync!$D$16)),0))</f>
        <v/>
      </c>
    </row>
    <row r="181">
      <c r="G181" s="22" t="n"/>
      <c r="AL181" s="17">
        <f>IF(TRIM($A181)="","",IF(AND(LEFT($A181,6)="SAMPLE",Config!$B$19&lt;&gt;"Y"),"",IF(NOT(ISNUMBER(G181)),"call_date is blank or not a date",IF(Sync!$D$5="","Clay paste is empty or has no row_id column: paste the Clay export on Clay_Brands",IF(BS181="","row_id not found in the Clay paste: add the Clay row or fix the row_id",IF(AND(ISNUMBER(BU181),BU181&gt;=1,BU181&lt;=5),"Clay status is "&amp;BT181&amp;": set call_done or later",IF(AND(AP181=1,BV181&lt;&gt;BQ181),"Clay yes_in_principle should be "&amp;BQ181,IF(AND(AP181=1,BW181&lt;&gt;G181),"Clay call_date should be "&amp;TEXT(G181,"yyyy-mm-dd"),""))))))))</f>
        <v/>
      </c>
      <c r="AM181" s="17">
        <f>ROW()</f>
        <v/>
      </c>
      <c r="AN181" s="17">
        <f>IF(AND(TRIM($A181)&lt;&gt;"",ISNUMBER(G181)),IF(AND(LEFT($A181,6)="SAMPLE",Config!$B$19&lt;&gt;"Y"),0,1),0)</f>
        <v/>
      </c>
      <c r="AO181" s="17">
        <f>IF(AN181=1,IF(COUNTIFS($A$2:$A$201,$A181,$AN$2:$AN$201,1,$G$2:$G$201,"&lt;"&amp;G181)+COUNTIFS($A$2:$A$201,$A181,$AN$2:$AN$201,1,$G$2:$G$201,G181,$AM$2:$AM$201,"&lt;"&amp;AM181)=0,1,0),0)</f>
        <v/>
      </c>
      <c r="AP181" s="17">
        <f>IF(AN181=1,IF(COUNTIFS($A$2:$A$201,$A181,$AN$2:$AN$201,1,$G$2:$G$201,"&gt;"&amp;G181)+COUNTIFS($A$2:$A$201,$A181,$AN$2:$AN$201,1,$G$2:$G$201,G181,$AM$2:$AM$201,"&gt;"&amp;AM181)=0,1,0),0)</f>
        <v/>
      </c>
      <c r="AQ181" s="17">
        <f>IF(AND(AN181=1,N181="Y",MAX(N(R181),N(V181))&gt;=Config!$B$14),1,0)</f>
        <v/>
      </c>
      <c r="AR181" s="17">
        <f>IF(AQ181=1,IF(COUNTIFS($A$2:$A$201,$A181,$AQ$2:$AQ$201,1,$G$2:$G$201,"&lt;"&amp;G181)+COUNTIFS($A$2:$A$201,$A181,$AQ$2:$AQ$201,1,$G$2:$G$201,G181,$AM$2:$AM$201,"&lt;"&amp;AM181)=0,1,0),0)</f>
        <v/>
      </c>
      <c r="AS181" s="17">
        <f>IF(AND(AN181=1,N181="Y",ISNUMBER(R181)),IF(R181&gt;=Config!$B$14,1,0),0)</f>
        <v/>
      </c>
      <c r="AT181" s="17">
        <f>IF(AS181=1,IF(COUNTIFS($A$2:$A$201,$A181,$AS$2:$AS$201,1,$G$2:$G$201,"&lt;"&amp;G181)+COUNTIFS($A$2:$A$201,$A181,$AS$2:$AS$201,1,$G$2:$G$201,G181,$AM$2:$AM$201,"&lt;"&amp;AM181)=0,1,0),0)</f>
        <v/>
      </c>
      <c r="AU181" s="17">
        <f>IF(AND(AN181=1,N181&lt;&gt;"Y",MAX(N(R181),N(V181))&gt;=Config!$B$14),1,0)</f>
        <v/>
      </c>
      <c r="AV181" s="17">
        <f>IF(AU181=1,IF(COUNTIFS($A$2:$A$201,$A181,$AU$2:$AU$201,1,$G$2:$G$201,"&lt;"&amp;G181)+COUNTIFS($A$2:$A$201,$A181,$AU$2:$AU$201,1,$G$2:$G$201,G181,$AM$2:$AM$201,"&lt;"&amp;AM181)=0,1,0),0)</f>
        <v/>
      </c>
      <c r="AW181" s="17">
        <f>IF(AND(AN181=1,ISNUMBER(R181)),1,0)</f>
        <v/>
      </c>
      <c r="AX181" s="17">
        <f>IF(AW181=1,IF(COUNTIFS($A$2:$A$201,$A181,$AW$2:$AW$201,1,$G$2:$G$201,"&lt;"&amp;G181)+COUNTIFS($A$2:$A$201,$A181,$AW$2:$AW$201,1,$G$2:$G$201,G181,$AM$2:$AM$201,"&lt;"&amp;AM181)=0,1,0),0)</f>
        <v/>
      </c>
      <c r="AY181" s="17">
        <f>IF(AND(AX181=1,G181&lt;=Config!$B$6),R181,"")</f>
        <v/>
      </c>
      <c r="AZ181" s="17">
        <f>IF(AND(AX181=1,G181&lt;=Config!$B$7),R181,"")</f>
        <v/>
      </c>
      <c r="BA181" s="17">
        <f>IF(AND(AX181=1,G181&lt;=Config!$B$8),R181,"")</f>
        <v/>
      </c>
      <c r="BB181" s="17">
        <f>IF(AND(AX181=1,G181&lt;=Config!$B$5),R181,"")</f>
        <v/>
      </c>
      <c r="BC181" s="17">
        <f>IF(AND(AN181=1,ISNUMBER(V181)),1,0)</f>
        <v/>
      </c>
      <c r="BD181" s="17">
        <f>IF(BC181=1,IF(COUNTIFS($A$2:$A$201,$A181,$BC$2:$BC$201,1,$G$2:$G$201,"&lt;"&amp;G181)+COUNTIFS($A$2:$A$201,$A181,$BC$2:$BC$201,1,$G$2:$G$201,G181,$AM$2:$AM$201,"&lt;"&amp;AM181)=0,1,0),0)</f>
        <v/>
      </c>
      <c r="BE181" s="17">
        <f>IF(AND(BD181=1,G181&lt;=Config!$B$6),V181,"")</f>
        <v/>
      </c>
      <c r="BF181" s="17">
        <f>IF(AND(BD181=1,G181&lt;=Config!$B$7),V181,"")</f>
        <v/>
      </c>
      <c r="BG181" s="17">
        <f>IF(AND(BD181=1,G181&lt;=Config!$B$8),V181,"")</f>
        <v/>
      </c>
      <c r="BH181" s="17">
        <f>IF(AND(BD181=1,G181&lt;=Config!$B$5),V181,"")</f>
        <v/>
      </c>
      <c r="BI181" s="17">
        <f>IF(AND(AN181=1,ISNUMBER(J181)),1,0)</f>
        <v/>
      </c>
      <c r="BJ181" s="17">
        <f>IF(BI181=1,IF(COUNTIFS($A$2:$A$201,$A181,$BI$2:$BI$201,1,$G$2:$G$201,"&lt;"&amp;G181)+COUNTIFS($A$2:$A$201,$A181,$BI$2:$BI$201,1,$G$2:$G$201,G181,$AM$2:$AM$201,"&lt;"&amp;AM181)=0,1,0),0)</f>
        <v/>
      </c>
      <c r="BK181" s="17">
        <f>IF(AND(BJ181=1,G181&lt;=Config!$B$5),J181,"")</f>
        <v/>
      </c>
      <c r="BL181" s="17">
        <f>IF(AND(AN181=1,OR(AND(ISNUMBER(R181),TRIM(S181)=""),AND(ISNUMBER(V181),TRIM(W181)=""))),1,0)</f>
        <v/>
      </c>
      <c r="BM181" s="17">
        <f>IF(AN181=1,AB181&amp;"","")</f>
        <v/>
      </c>
      <c r="BN181" s="17">
        <f>IF(AN181=1,AC181&amp;"","")</f>
        <v/>
      </c>
      <c r="BO181" s="17">
        <f>IF(AN181=1,AD181&amp;"","")</f>
        <v/>
      </c>
      <c r="BP181" s="17">
        <f>IF(AND(AN181=1,ISNUMBER(AI181),G181&lt;=Config!$B$5),AI181,"")</f>
        <v/>
      </c>
      <c r="BQ181" s="17">
        <f>IF(AN181=1,IF(COUNTIFS($A$2:$A$201,$A181,$AF$2:$AF$201,"Y",$AN$2:$AN$201,1)&gt;0,"Y","N"),"")</f>
        <v/>
      </c>
      <c r="BR181" s="17">
        <f>IF(AND(AN181=1,AF181="Y"),IF(COUNTIFS($A$2:$A$201,$A181,$AF$2:$AF$201,"Y",$AN$2:$AN$201,1,$G$2:$G$201,"&lt;"&amp;G181)+COUNTIFS($A$2:$A$201,$A181,$AF$2:$AF$201,"Y",$AN$2:$AN$201,1,$G$2:$G$201,G181,$AM$2:$AM$201,"&lt;"&amp;AM181)=0,1,0),0)</f>
        <v/>
      </c>
      <c r="BS181" s="17">
        <f>IF(AN181=1,IFERROR(MATCH($A181,INDEX(Clay_Brands!$A$2:$FZ$601,0,Sync!$D$5),0),""),"")</f>
        <v/>
      </c>
      <c r="BT181" s="17">
        <f>IF(BS181="","",IFERROR(INDEX(Clay_Brands!$A$2:$FZ$601,BS181,Sync!$D$7)&amp;"",""))</f>
        <v/>
      </c>
      <c r="BU181" s="17">
        <f>IF(BT181="","",IFERROR(INDEX(Lists!$J$2:$J$15,MATCH(BT181,Lists!$I$2:$I$15,0)),""))</f>
        <v/>
      </c>
      <c r="BV181" s="17">
        <f>IF(BS181="","",IFERROR(INDEX(Clay_Brands!$A$2:$FZ$601,BS181,Sync!$D$17)&amp;"",""))</f>
        <v/>
      </c>
      <c r="BW181" s="23">
        <f>IF(BS181="","",IFERROR(N(INDEX(Clay_Brands!$A$2:$FZ$601,BS181,Sync!$D$16)),0))</f>
        <v/>
      </c>
    </row>
    <row r="182">
      <c r="G182" s="22" t="n"/>
      <c r="AL182" s="17">
        <f>IF(TRIM($A182)="","",IF(AND(LEFT($A182,6)="SAMPLE",Config!$B$19&lt;&gt;"Y"),"",IF(NOT(ISNUMBER(G182)),"call_date is blank or not a date",IF(Sync!$D$5="","Clay paste is empty or has no row_id column: paste the Clay export on Clay_Brands",IF(BS182="","row_id not found in the Clay paste: add the Clay row or fix the row_id",IF(AND(ISNUMBER(BU182),BU182&gt;=1,BU182&lt;=5),"Clay status is "&amp;BT182&amp;": set call_done or later",IF(AND(AP182=1,BV182&lt;&gt;BQ182),"Clay yes_in_principle should be "&amp;BQ182,IF(AND(AP182=1,BW182&lt;&gt;G182),"Clay call_date should be "&amp;TEXT(G182,"yyyy-mm-dd"),""))))))))</f>
        <v/>
      </c>
      <c r="AM182" s="17">
        <f>ROW()</f>
        <v/>
      </c>
      <c r="AN182" s="17">
        <f>IF(AND(TRIM($A182)&lt;&gt;"",ISNUMBER(G182)),IF(AND(LEFT($A182,6)="SAMPLE",Config!$B$19&lt;&gt;"Y"),0,1),0)</f>
        <v/>
      </c>
      <c r="AO182" s="17">
        <f>IF(AN182=1,IF(COUNTIFS($A$2:$A$201,$A182,$AN$2:$AN$201,1,$G$2:$G$201,"&lt;"&amp;G182)+COUNTIFS($A$2:$A$201,$A182,$AN$2:$AN$201,1,$G$2:$G$201,G182,$AM$2:$AM$201,"&lt;"&amp;AM182)=0,1,0),0)</f>
        <v/>
      </c>
      <c r="AP182" s="17">
        <f>IF(AN182=1,IF(COUNTIFS($A$2:$A$201,$A182,$AN$2:$AN$201,1,$G$2:$G$201,"&gt;"&amp;G182)+COUNTIFS($A$2:$A$201,$A182,$AN$2:$AN$201,1,$G$2:$G$201,G182,$AM$2:$AM$201,"&gt;"&amp;AM182)=0,1,0),0)</f>
        <v/>
      </c>
      <c r="AQ182" s="17">
        <f>IF(AND(AN182=1,N182="Y",MAX(N(R182),N(V182))&gt;=Config!$B$14),1,0)</f>
        <v/>
      </c>
      <c r="AR182" s="17">
        <f>IF(AQ182=1,IF(COUNTIFS($A$2:$A$201,$A182,$AQ$2:$AQ$201,1,$G$2:$G$201,"&lt;"&amp;G182)+COUNTIFS($A$2:$A$201,$A182,$AQ$2:$AQ$201,1,$G$2:$G$201,G182,$AM$2:$AM$201,"&lt;"&amp;AM182)=0,1,0),0)</f>
        <v/>
      </c>
      <c r="AS182" s="17">
        <f>IF(AND(AN182=1,N182="Y",ISNUMBER(R182)),IF(R182&gt;=Config!$B$14,1,0),0)</f>
        <v/>
      </c>
      <c r="AT182" s="17">
        <f>IF(AS182=1,IF(COUNTIFS($A$2:$A$201,$A182,$AS$2:$AS$201,1,$G$2:$G$201,"&lt;"&amp;G182)+COUNTIFS($A$2:$A$201,$A182,$AS$2:$AS$201,1,$G$2:$G$201,G182,$AM$2:$AM$201,"&lt;"&amp;AM182)=0,1,0),0)</f>
        <v/>
      </c>
      <c r="AU182" s="17">
        <f>IF(AND(AN182=1,N182&lt;&gt;"Y",MAX(N(R182),N(V182))&gt;=Config!$B$14),1,0)</f>
        <v/>
      </c>
      <c r="AV182" s="17">
        <f>IF(AU182=1,IF(COUNTIFS($A$2:$A$201,$A182,$AU$2:$AU$201,1,$G$2:$G$201,"&lt;"&amp;G182)+COUNTIFS($A$2:$A$201,$A182,$AU$2:$AU$201,1,$G$2:$G$201,G182,$AM$2:$AM$201,"&lt;"&amp;AM182)=0,1,0),0)</f>
        <v/>
      </c>
      <c r="AW182" s="17">
        <f>IF(AND(AN182=1,ISNUMBER(R182)),1,0)</f>
        <v/>
      </c>
      <c r="AX182" s="17">
        <f>IF(AW182=1,IF(COUNTIFS($A$2:$A$201,$A182,$AW$2:$AW$201,1,$G$2:$G$201,"&lt;"&amp;G182)+COUNTIFS($A$2:$A$201,$A182,$AW$2:$AW$201,1,$G$2:$G$201,G182,$AM$2:$AM$201,"&lt;"&amp;AM182)=0,1,0),0)</f>
        <v/>
      </c>
      <c r="AY182" s="17">
        <f>IF(AND(AX182=1,G182&lt;=Config!$B$6),R182,"")</f>
        <v/>
      </c>
      <c r="AZ182" s="17">
        <f>IF(AND(AX182=1,G182&lt;=Config!$B$7),R182,"")</f>
        <v/>
      </c>
      <c r="BA182" s="17">
        <f>IF(AND(AX182=1,G182&lt;=Config!$B$8),R182,"")</f>
        <v/>
      </c>
      <c r="BB182" s="17">
        <f>IF(AND(AX182=1,G182&lt;=Config!$B$5),R182,"")</f>
        <v/>
      </c>
      <c r="BC182" s="17">
        <f>IF(AND(AN182=1,ISNUMBER(V182)),1,0)</f>
        <v/>
      </c>
      <c r="BD182" s="17">
        <f>IF(BC182=1,IF(COUNTIFS($A$2:$A$201,$A182,$BC$2:$BC$201,1,$G$2:$G$201,"&lt;"&amp;G182)+COUNTIFS($A$2:$A$201,$A182,$BC$2:$BC$201,1,$G$2:$G$201,G182,$AM$2:$AM$201,"&lt;"&amp;AM182)=0,1,0),0)</f>
        <v/>
      </c>
      <c r="BE182" s="17">
        <f>IF(AND(BD182=1,G182&lt;=Config!$B$6),V182,"")</f>
        <v/>
      </c>
      <c r="BF182" s="17">
        <f>IF(AND(BD182=1,G182&lt;=Config!$B$7),V182,"")</f>
        <v/>
      </c>
      <c r="BG182" s="17">
        <f>IF(AND(BD182=1,G182&lt;=Config!$B$8),V182,"")</f>
        <v/>
      </c>
      <c r="BH182" s="17">
        <f>IF(AND(BD182=1,G182&lt;=Config!$B$5),V182,"")</f>
        <v/>
      </c>
      <c r="BI182" s="17">
        <f>IF(AND(AN182=1,ISNUMBER(J182)),1,0)</f>
        <v/>
      </c>
      <c r="BJ182" s="17">
        <f>IF(BI182=1,IF(COUNTIFS($A$2:$A$201,$A182,$BI$2:$BI$201,1,$G$2:$G$201,"&lt;"&amp;G182)+COUNTIFS($A$2:$A$201,$A182,$BI$2:$BI$201,1,$G$2:$G$201,G182,$AM$2:$AM$201,"&lt;"&amp;AM182)=0,1,0),0)</f>
        <v/>
      </c>
      <c r="BK182" s="17">
        <f>IF(AND(BJ182=1,G182&lt;=Config!$B$5),J182,"")</f>
        <v/>
      </c>
      <c r="BL182" s="17">
        <f>IF(AND(AN182=1,OR(AND(ISNUMBER(R182),TRIM(S182)=""),AND(ISNUMBER(V182),TRIM(W182)=""))),1,0)</f>
        <v/>
      </c>
      <c r="BM182" s="17">
        <f>IF(AN182=1,AB182&amp;"","")</f>
        <v/>
      </c>
      <c r="BN182" s="17">
        <f>IF(AN182=1,AC182&amp;"","")</f>
        <v/>
      </c>
      <c r="BO182" s="17">
        <f>IF(AN182=1,AD182&amp;"","")</f>
        <v/>
      </c>
      <c r="BP182" s="17">
        <f>IF(AND(AN182=1,ISNUMBER(AI182),G182&lt;=Config!$B$5),AI182,"")</f>
        <v/>
      </c>
      <c r="BQ182" s="17">
        <f>IF(AN182=1,IF(COUNTIFS($A$2:$A$201,$A182,$AF$2:$AF$201,"Y",$AN$2:$AN$201,1)&gt;0,"Y","N"),"")</f>
        <v/>
      </c>
      <c r="BR182" s="17">
        <f>IF(AND(AN182=1,AF182="Y"),IF(COUNTIFS($A$2:$A$201,$A182,$AF$2:$AF$201,"Y",$AN$2:$AN$201,1,$G$2:$G$201,"&lt;"&amp;G182)+COUNTIFS($A$2:$A$201,$A182,$AF$2:$AF$201,"Y",$AN$2:$AN$201,1,$G$2:$G$201,G182,$AM$2:$AM$201,"&lt;"&amp;AM182)=0,1,0),0)</f>
        <v/>
      </c>
      <c r="BS182" s="17">
        <f>IF(AN182=1,IFERROR(MATCH($A182,INDEX(Clay_Brands!$A$2:$FZ$601,0,Sync!$D$5),0),""),"")</f>
        <v/>
      </c>
      <c r="BT182" s="17">
        <f>IF(BS182="","",IFERROR(INDEX(Clay_Brands!$A$2:$FZ$601,BS182,Sync!$D$7)&amp;"",""))</f>
        <v/>
      </c>
      <c r="BU182" s="17">
        <f>IF(BT182="","",IFERROR(INDEX(Lists!$J$2:$J$15,MATCH(BT182,Lists!$I$2:$I$15,0)),""))</f>
        <v/>
      </c>
      <c r="BV182" s="17">
        <f>IF(BS182="","",IFERROR(INDEX(Clay_Brands!$A$2:$FZ$601,BS182,Sync!$D$17)&amp;"",""))</f>
        <v/>
      </c>
      <c r="BW182" s="23">
        <f>IF(BS182="","",IFERROR(N(INDEX(Clay_Brands!$A$2:$FZ$601,BS182,Sync!$D$16)),0))</f>
        <v/>
      </c>
    </row>
    <row r="183">
      <c r="G183" s="22" t="n"/>
      <c r="AL183" s="17">
        <f>IF(TRIM($A183)="","",IF(AND(LEFT($A183,6)="SAMPLE",Config!$B$19&lt;&gt;"Y"),"",IF(NOT(ISNUMBER(G183)),"call_date is blank or not a date",IF(Sync!$D$5="","Clay paste is empty or has no row_id column: paste the Clay export on Clay_Brands",IF(BS183="","row_id not found in the Clay paste: add the Clay row or fix the row_id",IF(AND(ISNUMBER(BU183),BU183&gt;=1,BU183&lt;=5),"Clay status is "&amp;BT183&amp;": set call_done or later",IF(AND(AP183=1,BV183&lt;&gt;BQ183),"Clay yes_in_principle should be "&amp;BQ183,IF(AND(AP183=1,BW183&lt;&gt;G183),"Clay call_date should be "&amp;TEXT(G183,"yyyy-mm-dd"),""))))))))</f>
        <v/>
      </c>
      <c r="AM183" s="17">
        <f>ROW()</f>
        <v/>
      </c>
      <c r="AN183" s="17">
        <f>IF(AND(TRIM($A183)&lt;&gt;"",ISNUMBER(G183)),IF(AND(LEFT($A183,6)="SAMPLE",Config!$B$19&lt;&gt;"Y"),0,1),0)</f>
        <v/>
      </c>
      <c r="AO183" s="17">
        <f>IF(AN183=1,IF(COUNTIFS($A$2:$A$201,$A183,$AN$2:$AN$201,1,$G$2:$G$201,"&lt;"&amp;G183)+COUNTIFS($A$2:$A$201,$A183,$AN$2:$AN$201,1,$G$2:$G$201,G183,$AM$2:$AM$201,"&lt;"&amp;AM183)=0,1,0),0)</f>
        <v/>
      </c>
      <c r="AP183" s="17">
        <f>IF(AN183=1,IF(COUNTIFS($A$2:$A$201,$A183,$AN$2:$AN$201,1,$G$2:$G$201,"&gt;"&amp;G183)+COUNTIFS($A$2:$A$201,$A183,$AN$2:$AN$201,1,$G$2:$G$201,G183,$AM$2:$AM$201,"&gt;"&amp;AM183)=0,1,0),0)</f>
        <v/>
      </c>
      <c r="AQ183" s="17">
        <f>IF(AND(AN183=1,N183="Y",MAX(N(R183),N(V183))&gt;=Config!$B$14),1,0)</f>
        <v/>
      </c>
      <c r="AR183" s="17">
        <f>IF(AQ183=1,IF(COUNTIFS($A$2:$A$201,$A183,$AQ$2:$AQ$201,1,$G$2:$G$201,"&lt;"&amp;G183)+COUNTIFS($A$2:$A$201,$A183,$AQ$2:$AQ$201,1,$G$2:$G$201,G183,$AM$2:$AM$201,"&lt;"&amp;AM183)=0,1,0),0)</f>
        <v/>
      </c>
      <c r="AS183" s="17">
        <f>IF(AND(AN183=1,N183="Y",ISNUMBER(R183)),IF(R183&gt;=Config!$B$14,1,0),0)</f>
        <v/>
      </c>
      <c r="AT183" s="17">
        <f>IF(AS183=1,IF(COUNTIFS($A$2:$A$201,$A183,$AS$2:$AS$201,1,$G$2:$G$201,"&lt;"&amp;G183)+COUNTIFS($A$2:$A$201,$A183,$AS$2:$AS$201,1,$G$2:$G$201,G183,$AM$2:$AM$201,"&lt;"&amp;AM183)=0,1,0),0)</f>
        <v/>
      </c>
      <c r="AU183" s="17">
        <f>IF(AND(AN183=1,N183&lt;&gt;"Y",MAX(N(R183),N(V183))&gt;=Config!$B$14),1,0)</f>
        <v/>
      </c>
      <c r="AV183" s="17">
        <f>IF(AU183=1,IF(COUNTIFS($A$2:$A$201,$A183,$AU$2:$AU$201,1,$G$2:$G$201,"&lt;"&amp;G183)+COUNTIFS($A$2:$A$201,$A183,$AU$2:$AU$201,1,$G$2:$G$201,G183,$AM$2:$AM$201,"&lt;"&amp;AM183)=0,1,0),0)</f>
        <v/>
      </c>
      <c r="AW183" s="17">
        <f>IF(AND(AN183=1,ISNUMBER(R183)),1,0)</f>
        <v/>
      </c>
      <c r="AX183" s="17">
        <f>IF(AW183=1,IF(COUNTIFS($A$2:$A$201,$A183,$AW$2:$AW$201,1,$G$2:$G$201,"&lt;"&amp;G183)+COUNTIFS($A$2:$A$201,$A183,$AW$2:$AW$201,1,$G$2:$G$201,G183,$AM$2:$AM$201,"&lt;"&amp;AM183)=0,1,0),0)</f>
        <v/>
      </c>
      <c r="AY183" s="17">
        <f>IF(AND(AX183=1,G183&lt;=Config!$B$6),R183,"")</f>
        <v/>
      </c>
      <c r="AZ183" s="17">
        <f>IF(AND(AX183=1,G183&lt;=Config!$B$7),R183,"")</f>
        <v/>
      </c>
      <c r="BA183" s="17">
        <f>IF(AND(AX183=1,G183&lt;=Config!$B$8),R183,"")</f>
        <v/>
      </c>
      <c r="BB183" s="17">
        <f>IF(AND(AX183=1,G183&lt;=Config!$B$5),R183,"")</f>
        <v/>
      </c>
      <c r="BC183" s="17">
        <f>IF(AND(AN183=1,ISNUMBER(V183)),1,0)</f>
        <v/>
      </c>
      <c r="BD183" s="17">
        <f>IF(BC183=1,IF(COUNTIFS($A$2:$A$201,$A183,$BC$2:$BC$201,1,$G$2:$G$201,"&lt;"&amp;G183)+COUNTIFS($A$2:$A$201,$A183,$BC$2:$BC$201,1,$G$2:$G$201,G183,$AM$2:$AM$201,"&lt;"&amp;AM183)=0,1,0),0)</f>
        <v/>
      </c>
      <c r="BE183" s="17">
        <f>IF(AND(BD183=1,G183&lt;=Config!$B$6),V183,"")</f>
        <v/>
      </c>
      <c r="BF183" s="17">
        <f>IF(AND(BD183=1,G183&lt;=Config!$B$7),V183,"")</f>
        <v/>
      </c>
      <c r="BG183" s="17">
        <f>IF(AND(BD183=1,G183&lt;=Config!$B$8),V183,"")</f>
        <v/>
      </c>
      <c r="BH183" s="17">
        <f>IF(AND(BD183=1,G183&lt;=Config!$B$5),V183,"")</f>
        <v/>
      </c>
      <c r="BI183" s="17">
        <f>IF(AND(AN183=1,ISNUMBER(J183)),1,0)</f>
        <v/>
      </c>
      <c r="BJ183" s="17">
        <f>IF(BI183=1,IF(COUNTIFS($A$2:$A$201,$A183,$BI$2:$BI$201,1,$G$2:$G$201,"&lt;"&amp;G183)+COUNTIFS($A$2:$A$201,$A183,$BI$2:$BI$201,1,$G$2:$G$201,G183,$AM$2:$AM$201,"&lt;"&amp;AM183)=0,1,0),0)</f>
        <v/>
      </c>
      <c r="BK183" s="17">
        <f>IF(AND(BJ183=1,G183&lt;=Config!$B$5),J183,"")</f>
        <v/>
      </c>
      <c r="BL183" s="17">
        <f>IF(AND(AN183=1,OR(AND(ISNUMBER(R183),TRIM(S183)=""),AND(ISNUMBER(V183),TRIM(W183)=""))),1,0)</f>
        <v/>
      </c>
      <c r="BM183" s="17">
        <f>IF(AN183=1,AB183&amp;"","")</f>
        <v/>
      </c>
      <c r="BN183" s="17">
        <f>IF(AN183=1,AC183&amp;"","")</f>
        <v/>
      </c>
      <c r="BO183" s="17">
        <f>IF(AN183=1,AD183&amp;"","")</f>
        <v/>
      </c>
      <c r="BP183" s="17">
        <f>IF(AND(AN183=1,ISNUMBER(AI183),G183&lt;=Config!$B$5),AI183,"")</f>
        <v/>
      </c>
      <c r="BQ183" s="17">
        <f>IF(AN183=1,IF(COUNTIFS($A$2:$A$201,$A183,$AF$2:$AF$201,"Y",$AN$2:$AN$201,1)&gt;0,"Y","N"),"")</f>
        <v/>
      </c>
      <c r="BR183" s="17">
        <f>IF(AND(AN183=1,AF183="Y"),IF(COUNTIFS($A$2:$A$201,$A183,$AF$2:$AF$201,"Y",$AN$2:$AN$201,1,$G$2:$G$201,"&lt;"&amp;G183)+COUNTIFS($A$2:$A$201,$A183,$AF$2:$AF$201,"Y",$AN$2:$AN$201,1,$G$2:$G$201,G183,$AM$2:$AM$201,"&lt;"&amp;AM183)=0,1,0),0)</f>
        <v/>
      </c>
      <c r="BS183" s="17">
        <f>IF(AN183=1,IFERROR(MATCH($A183,INDEX(Clay_Brands!$A$2:$FZ$601,0,Sync!$D$5),0),""),"")</f>
        <v/>
      </c>
      <c r="BT183" s="17">
        <f>IF(BS183="","",IFERROR(INDEX(Clay_Brands!$A$2:$FZ$601,BS183,Sync!$D$7)&amp;"",""))</f>
        <v/>
      </c>
      <c r="BU183" s="17">
        <f>IF(BT183="","",IFERROR(INDEX(Lists!$J$2:$J$15,MATCH(BT183,Lists!$I$2:$I$15,0)),""))</f>
        <v/>
      </c>
      <c r="BV183" s="17">
        <f>IF(BS183="","",IFERROR(INDEX(Clay_Brands!$A$2:$FZ$601,BS183,Sync!$D$17)&amp;"",""))</f>
        <v/>
      </c>
      <c r="BW183" s="23">
        <f>IF(BS183="","",IFERROR(N(INDEX(Clay_Brands!$A$2:$FZ$601,BS183,Sync!$D$16)),0))</f>
        <v/>
      </c>
    </row>
    <row r="184">
      <c r="G184" s="22" t="n"/>
      <c r="AL184" s="17">
        <f>IF(TRIM($A184)="","",IF(AND(LEFT($A184,6)="SAMPLE",Config!$B$19&lt;&gt;"Y"),"",IF(NOT(ISNUMBER(G184)),"call_date is blank or not a date",IF(Sync!$D$5="","Clay paste is empty or has no row_id column: paste the Clay export on Clay_Brands",IF(BS184="","row_id not found in the Clay paste: add the Clay row or fix the row_id",IF(AND(ISNUMBER(BU184),BU184&gt;=1,BU184&lt;=5),"Clay status is "&amp;BT184&amp;": set call_done or later",IF(AND(AP184=1,BV184&lt;&gt;BQ184),"Clay yes_in_principle should be "&amp;BQ184,IF(AND(AP184=1,BW184&lt;&gt;G184),"Clay call_date should be "&amp;TEXT(G184,"yyyy-mm-dd"),""))))))))</f>
        <v/>
      </c>
      <c r="AM184" s="17">
        <f>ROW()</f>
        <v/>
      </c>
      <c r="AN184" s="17">
        <f>IF(AND(TRIM($A184)&lt;&gt;"",ISNUMBER(G184)),IF(AND(LEFT($A184,6)="SAMPLE",Config!$B$19&lt;&gt;"Y"),0,1),0)</f>
        <v/>
      </c>
      <c r="AO184" s="17">
        <f>IF(AN184=1,IF(COUNTIFS($A$2:$A$201,$A184,$AN$2:$AN$201,1,$G$2:$G$201,"&lt;"&amp;G184)+COUNTIFS($A$2:$A$201,$A184,$AN$2:$AN$201,1,$G$2:$G$201,G184,$AM$2:$AM$201,"&lt;"&amp;AM184)=0,1,0),0)</f>
        <v/>
      </c>
      <c r="AP184" s="17">
        <f>IF(AN184=1,IF(COUNTIFS($A$2:$A$201,$A184,$AN$2:$AN$201,1,$G$2:$G$201,"&gt;"&amp;G184)+COUNTIFS($A$2:$A$201,$A184,$AN$2:$AN$201,1,$G$2:$G$201,G184,$AM$2:$AM$201,"&gt;"&amp;AM184)=0,1,0),0)</f>
        <v/>
      </c>
      <c r="AQ184" s="17">
        <f>IF(AND(AN184=1,N184="Y",MAX(N(R184),N(V184))&gt;=Config!$B$14),1,0)</f>
        <v/>
      </c>
      <c r="AR184" s="17">
        <f>IF(AQ184=1,IF(COUNTIFS($A$2:$A$201,$A184,$AQ$2:$AQ$201,1,$G$2:$G$201,"&lt;"&amp;G184)+COUNTIFS($A$2:$A$201,$A184,$AQ$2:$AQ$201,1,$G$2:$G$201,G184,$AM$2:$AM$201,"&lt;"&amp;AM184)=0,1,0),0)</f>
        <v/>
      </c>
      <c r="AS184" s="17">
        <f>IF(AND(AN184=1,N184="Y",ISNUMBER(R184)),IF(R184&gt;=Config!$B$14,1,0),0)</f>
        <v/>
      </c>
      <c r="AT184" s="17">
        <f>IF(AS184=1,IF(COUNTIFS($A$2:$A$201,$A184,$AS$2:$AS$201,1,$G$2:$G$201,"&lt;"&amp;G184)+COUNTIFS($A$2:$A$201,$A184,$AS$2:$AS$201,1,$G$2:$G$201,G184,$AM$2:$AM$201,"&lt;"&amp;AM184)=0,1,0),0)</f>
        <v/>
      </c>
      <c r="AU184" s="17">
        <f>IF(AND(AN184=1,N184&lt;&gt;"Y",MAX(N(R184),N(V184))&gt;=Config!$B$14),1,0)</f>
        <v/>
      </c>
      <c r="AV184" s="17">
        <f>IF(AU184=1,IF(COUNTIFS($A$2:$A$201,$A184,$AU$2:$AU$201,1,$G$2:$G$201,"&lt;"&amp;G184)+COUNTIFS($A$2:$A$201,$A184,$AU$2:$AU$201,1,$G$2:$G$201,G184,$AM$2:$AM$201,"&lt;"&amp;AM184)=0,1,0),0)</f>
        <v/>
      </c>
      <c r="AW184" s="17">
        <f>IF(AND(AN184=1,ISNUMBER(R184)),1,0)</f>
        <v/>
      </c>
      <c r="AX184" s="17">
        <f>IF(AW184=1,IF(COUNTIFS($A$2:$A$201,$A184,$AW$2:$AW$201,1,$G$2:$G$201,"&lt;"&amp;G184)+COUNTIFS($A$2:$A$201,$A184,$AW$2:$AW$201,1,$G$2:$G$201,G184,$AM$2:$AM$201,"&lt;"&amp;AM184)=0,1,0),0)</f>
        <v/>
      </c>
      <c r="AY184" s="17">
        <f>IF(AND(AX184=1,G184&lt;=Config!$B$6),R184,"")</f>
        <v/>
      </c>
      <c r="AZ184" s="17">
        <f>IF(AND(AX184=1,G184&lt;=Config!$B$7),R184,"")</f>
        <v/>
      </c>
      <c r="BA184" s="17">
        <f>IF(AND(AX184=1,G184&lt;=Config!$B$8),R184,"")</f>
        <v/>
      </c>
      <c r="BB184" s="17">
        <f>IF(AND(AX184=1,G184&lt;=Config!$B$5),R184,"")</f>
        <v/>
      </c>
      <c r="BC184" s="17">
        <f>IF(AND(AN184=1,ISNUMBER(V184)),1,0)</f>
        <v/>
      </c>
      <c r="BD184" s="17">
        <f>IF(BC184=1,IF(COUNTIFS($A$2:$A$201,$A184,$BC$2:$BC$201,1,$G$2:$G$201,"&lt;"&amp;G184)+COUNTIFS($A$2:$A$201,$A184,$BC$2:$BC$201,1,$G$2:$G$201,G184,$AM$2:$AM$201,"&lt;"&amp;AM184)=0,1,0),0)</f>
        <v/>
      </c>
      <c r="BE184" s="17">
        <f>IF(AND(BD184=1,G184&lt;=Config!$B$6),V184,"")</f>
        <v/>
      </c>
      <c r="BF184" s="17">
        <f>IF(AND(BD184=1,G184&lt;=Config!$B$7),V184,"")</f>
        <v/>
      </c>
      <c r="BG184" s="17">
        <f>IF(AND(BD184=1,G184&lt;=Config!$B$8),V184,"")</f>
        <v/>
      </c>
      <c r="BH184" s="17">
        <f>IF(AND(BD184=1,G184&lt;=Config!$B$5),V184,"")</f>
        <v/>
      </c>
      <c r="BI184" s="17">
        <f>IF(AND(AN184=1,ISNUMBER(J184)),1,0)</f>
        <v/>
      </c>
      <c r="BJ184" s="17">
        <f>IF(BI184=1,IF(COUNTIFS($A$2:$A$201,$A184,$BI$2:$BI$201,1,$G$2:$G$201,"&lt;"&amp;G184)+COUNTIFS($A$2:$A$201,$A184,$BI$2:$BI$201,1,$G$2:$G$201,G184,$AM$2:$AM$201,"&lt;"&amp;AM184)=0,1,0),0)</f>
        <v/>
      </c>
      <c r="BK184" s="17">
        <f>IF(AND(BJ184=1,G184&lt;=Config!$B$5),J184,"")</f>
        <v/>
      </c>
      <c r="BL184" s="17">
        <f>IF(AND(AN184=1,OR(AND(ISNUMBER(R184),TRIM(S184)=""),AND(ISNUMBER(V184),TRIM(W184)=""))),1,0)</f>
        <v/>
      </c>
      <c r="BM184" s="17">
        <f>IF(AN184=1,AB184&amp;"","")</f>
        <v/>
      </c>
      <c r="BN184" s="17">
        <f>IF(AN184=1,AC184&amp;"","")</f>
        <v/>
      </c>
      <c r="BO184" s="17">
        <f>IF(AN184=1,AD184&amp;"","")</f>
        <v/>
      </c>
      <c r="BP184" s="17">
        <f>IF(AND(AN184=1,ISNUMBER(AI184),G184&lt;=Config!$B$5),AI184,"")</f>
        <v/>
      </c>
      <c r="BQ184" s="17">
        <f>IF(AN184=1,IF(COUNTIFS($A$2:$A$201,$A184,$AF$2:$AF$201,"Y",$AN$2:$AN$201,1)&gt;0,"Y","N"),"")</f>
        <v/>
      </c>
      <c r="BR184" s="17">
        <f>IF(AND(AN184=1,AF184="Y"),IF(COUNTIFS($A$2:$A$201,$A184,$AF$2:$AF$201,"Y",$AN$2:$AN$201,1,$G$2:$G$201,"&lt;"&amp;G184)+COUNTIFS($A$2:$A$201,$A184,$AF$2:$AF$201,"Y",$AN$2:$AN$201,1,$G$2:$G$201,G184,$AM$2:$AM$201,"&lt;"&amp;AM184)=0,1,0),0)</f>
        <v/>
      </c>
      <c r="BS184" s="17">
        <f>IF(AN184=1,IFERROR(MATCH($A184,INDEX(Clay_Brands!$A$2:$FZ$601,0,Sync!$D$5),0),""),"")</f>
        <v/>
      </c>
      <c r="BT184" s="17">
        <f>IF(BS184="","",IFERROR(INDEX(Clay_Brands!$A$2:$FZ$601,BS184,Sync!$D$7)&amp;"",""))</f>
        <v/>
      </c>
      <c r="BU184" s="17">
        <f>IF(BT184="","",IFERROR(INDEX(Lists!$J$2:$J$15,MATCH(BT184,Lists!$I$2:$I$15,0)),""))</f>
        <v/>
      </c>
      <c r="BV184" s="17">
        <f>IF(BS184="","",IFERROR(INDEX(Clay_Brands!$A$2:$FZ$601,BS184,Sync!$D$17)&amp;"",""))</f>
        <v/>
      </c>
      <c r="BW184" s="23">
        <f>IF(BS184="","",IFERROR(N(INDEX(Clay_Brands!$A$2:$FZ$601,BS184,Sync!$D$16)),0))</f>
        <v/>
      </c>
    </row>
    <row r="185">
      <c r="G185" s="22" t="n"/>
      <c r="AL185" s="17">
        <f>IF(TRIM($A185)="","",IF(AND(LEFT($A185,6)="SAMPLE",Config!$B$19&lt;&gt;"Y"),"",IF(NOT(ISNUMBER(G185)),"call_date is blank or not a date",IF(Sync!$D$5="","Clay paste is empty or has no row_id column: paste the Clay export on Clay_Brands",IF(BS185="","row_id not found in the Clay paste: add the Clay row or fix the row_id",IF(AND(ISNUMBER(BU185),BU185&gt;=1,BU185&lt;=5),"Clay status is "&amp;BT185&amp;": set call_done or later",IF(AND(AP185=1,BV185&lt;&gt;BQ185),"Clay yes_in_principle should be "&amp;BQ185,IF(AND(AP185=1,BW185&lt;&gt;G185),"Clay call_date should be "&amp;TEXT(G185,"yyyy-mm-dd"),""))))))))</f>
        <v/>
      </c>
      <c r="AM185" s="17">
        <f>ROW()</f>
        <v/>
      </c>
      <c r="AN185" s="17">
        <f>IF(AND(TRIM($A185)&lt;&gt;"",ISNUMBER(G185)),IF(AND(LEFT($A185,6)="SAMPLE",Config!$B$19&lt;&gt;"Y"),0,1),0)</f>
        <v/>
      </c>
      <c r="AO185" s="17">
        <f>IF(AN185=1,IF(COUNTIFS($A$2:$A$201,$A185,$AN$2:$AN$201,1,$G$2:$G$201,"&lt;"&amp;G185)+COUNTIFS($A$2:$A$201,$A185,$AN$2:$AN$201,1,$G$2:$G$201,G185,$AM$2:$AM$201,"&lt;"&amp;AM185)=0,1,0),0)</f>
        <v/>
      </c>
      <c r="AP185" s="17">
        <f>IF(AN185=1,IF(COUNTIFS($A$2:$A$201,$A185,$AN$2:$AN$201,1,$G$2:$G$201,"&gt;"&amp;G185)+COUNTIFS($A$2:$A$201,$A185,$AN$2:$AN$201,1,$G$2:$G$201,G185,$AM$2:$AM$201,"&gt;"&amp;AM185)=0,1,0),0)</f>
        <v/>
      </c>
      <c r="AQ185" s="17">
        <f>IF(AND(AN185=1,N185="Y",MAX(N(R185),N(V185))&gt;=Config!$B$14),1,0)</f>
        <v/>
      </c>
      <c r="AR185" s="17">
        <f>IF(AQ185=1,IF(COUNTIFS($A$2:$A$201,$A185,$AQ$2:$AQ$201,1,$G$2:$G$201,"&lt;"&amp;G185)+COUNTIFS($A$2:$A$201,$A185,$AQ$2:$AQ$201,1,$G$2:$G$201,G185,$AM$2:$AM$201,"&lt;"&amp;AM185)=0,1,0),0)</f>
        <v/>
      </c>
      <c r="AS185" s="17">
        <f>IF(AND(AN185=1,N185="Y",ISNUMBER(R185)),IF(R185&gt;=Config!$B$14,1,0),0)</f>
        <v/>
      </c>
      <c r="AT185" s="17">
        <f>IF(AS185=1,IF(COUNTIFS($A$2:$A$201,$A185,$AS$2:$AS$201,1,$G$2:$G$201,"&lt;"&amp;G185)+COUNTIFS($A$2:$A$201,$A185,$AS$2:$AS$201,1,$G$2:$G$201,G185,$AM$2:$AM$201,"&lt;"&amp;AM185)=0,1,0),0)</f>
        <v/>
      </c>
      <c r="AU185" s="17">
        <f>IF(AND(AN185=1,N185&lt;&gt;"Y",MAX(N(R185),N(V185))&gt;=Config!$B$14),1,0)</f>
        <v/>
      </c>
      <c r="AV185" s="17">
        <f>IF(AU185=1,IF(COUNTIFS($A$2:$A$201,$A185,$AU$2:$AU$201,1,$G$2:$G$201,"&lt;"&amp;G185)+COUNTIFS($A$2:$A$201,$A185,$AU$2:$AU$201,1,$G$2:$G$201,G185,$AM$2:$AM$201,"&lt;"&amp;AM185)=0,1,0),0)</f>
        <v/>
      </c>
      <c r="AW185" s="17">
        <f>IF(AND(AN185=1,ISNUMBER(R185)),1,0)</f>
        <v/>
      </c>
      <c r="AX185" s="17">
        <f>IF(AW185=1,IF(COUNTIFS($A$2:$A$201,$A185,$AW$2:$AW$201,1,$G$2:$G$201,"&lt;"&amp;G185)+COUNTIFS($A$2:$A$201,$A185,$AW$2:$AW$201,1,$G$2:$G$201,G185,$AM$2:$AM$201,"&lt;"&amp;AM185)=0,1,0),0)</f>
        <v/>
      </c>
      <c r="AY185" s="17">
        <f>IF(AND(AX185=1,G185&lt;=Config!$B$6),R185,"")</f>
        <v/>
      </c>
      <c r="AZ185" s="17">
        <f>IF(AND(AX185=1,G185&lt;=Config!$B$7),R185,"")</f>
        <v/>
      </c>
      <c r="BA185" s="17">
        <f>IF(AND(AX185=1,G185&lt;=Config!$B$8),R185,"")</f>
        <v/>
      </c>
      <c r="BB185" s="17">
        <f>IF(AND(AX185=1,G185&lt;=Config!$B$5),R185,"")</f>
        <v/>
      </c>
      <c r="BC185" s="17">
        <f>IF(AND(AN185=1,ISNUMBER(V185)),1,0)</f>
        <v/>
      </c>
      <c r="BD185" s="17">
        <f>IF(BC185=1,IF(COUNTIFS($A$2:$A$201,$A185,$BC$2:$BC$201,1,$G$2:$G$201,"&lt;"&amp;G185)+COUNTIFS($A$2:$A$201,$A185,$BC$2:$BC$201,1,$G$2:$G$201,G185,$AM$2:$AM$201,"&lt;"&amp;AM185)=0,1,0),0)</f>
        <v/>
      </c>
      <c r="BE185" s="17">
        <f>IF(AND(BD185=1,G185&lt;=Config!$B$6),V185,"")</f>
        <v/>
      </c>
      <c r="BF185" s="17">
        <f>IF(AND(BD185=1,G185&lt;=Config!$B$7),V185,"")</f>
        <v/>
      </c>
      <c r="BG185" s="17">
        <f>IF(AND(BD185=1,G185&lt;=Config!$B$8),V185,"")</f>
        <v/>
      </c>
      <c r="BH185" s="17">
        <f>IF(AND(BD185=1,G185&lt;=Config!$B$5),V185,"")</f>
        <v/>
      </c>
      <c r="BI185" s="17">
        <f>IF(AND(AN185=1,ISNUMBER(J185)),1,0)</f>
        <v/>
      </c>
      <c r="BJ185" s="17">
        <f>IF(BI185=1,IF(COUNTIFS($A$2:$A$201,$A185,$BI$2:$BI$201,1,$G$2:$G$201,"&lt;"&amp;G185)+COUNTIFS($A$2:$A$201,$A185,$BI$2:$BI$201,1,$G$2:$G$201,G185,$AM$2:$AM$201,"&lt;"&amp;AM185)=0,1,0),0)</f>
        <v/>
      </c>
      <c r="BK185" s="17">
        <f>IF(AND(BJ185=1,G185&lt;=Config!$B$5),J185,"")</f>
        <v/>
      </c>
      <c r="BL185" s="17">
        <f>IF(AND(AN185=1,OR(AND(ISNUMBER(R185),TRIM(S185)=""),AND(ISNUMBER(V185),TRIM(W185)=""))),1,0)</f>
        <v/>
      </c>
      <c r="BM185" s="17">
        <f>IF(AN185=1,AB185&amp;"","")</f>
        <v/>
      </c>
      <c r="BN185" s="17">
        <f>IF(AN185=1,AC185&amp;"","")</f>
        <v/>
      </c>
      <c r="BO185" s="17">
        <f>IF(AN185=1,AD185&amp;"","")</f>
        <v/>
      </c>
      <c r="BP185" s="17">
        <f>IF(AND(AN185=1,ISNUMBER(AI185),G185&lt;=Config!$B$5),AI185,"")</f>
        <v/>
      </c>
      <c r="BQ185" s="17">
        <f>IF(AN185=1,IF(COUNTIFS($A$2:$A$201,$A185,$AF$2:$AF$201,"Y",$AN$2:$AN$201,1)&gt;0,"Y","N"),"")</f>
        <v/>
      </c>
      <c r="BR185" s="17">
        <f>IF(AND(AN185=1,AF185="Y"),IF(COUNTIFS($A$2:$A$201,$A185,$AF$2:$AF$201,"Y",$AN$2:$AN$201,1,$G$2:$G$201,"&lt;"&amp;G185)+COUNTIFS($A$2:$A$201,$A185,$AF$2:$AF$201,"Y",$AN$2:$AN$201,1,$G$2:$G$201,G185,$AM$2:$AM$201,"&lt;"&amp;AM185)=0,1,0),0)</f>
        <v/>
      </c>
      <c r="BS185" s="17">
        <f>IF(AN185=1,IFERROR(MATCH($A185,INDEX(Clay_Brands!$A$2:$FZ$601,0,Sync!$D$5),0),""),"")</f>
        <v/>
      </c>
      <c r="BT185" s="17">
        <f>IF(BS185="","",IFERROR(INDEX(Clay_Brands!$A$2:$FZ$601,BS185,Sync!$D$7)&amp;"",""))</f>
        <v/>
      </c>
      <c r="BU185" s="17">
        <f>IF(BT185="","",IFERROR(INDEX(Lists!$J$2:$J$15,MATCH(BT185,Lists!$I$2:$I$15,0)),""))</f>
        <v/>
      </c>
      <c r="BV185" s="17">
        <f>IF(BS185="","",IFERROR(INDEX(Clay_Brands!$A$2:$FZ$601,BS185,Sync!$D$17)&amp;"",""))</f>
        <v/>
      </c>
      <c r="BW185" s="23">
        <f>IF(BS185="","",IFERROR(N(INDEX(Clay_Brands!$A$2:$FZ$601,BS185,Sync!$D$16)),0))</f>
        <v/>
      </c>
    </row>
    <row r="186">
      <c r="G186" s="22" t="n"/>
      <c r="AL186" s="17">
        <f>IF(TRIM($A186)="","",IF(AND(LEFT($A186,6)="SAMPLE",Config!$B$19&lt;&gt;"Y"),"",IF(NOT(ISNUMBER(G186)),"call_date is blank or not a date",IF(Sync!$D$5="","Clay paste is empty or has no row_id column: paste the Clay export on Clay_Brands",IF(BS186="","row_id not found in the Clay paste: add the Clay row or fix the row_id",IF(AND(ISNUMBER(BU186),BU186&gt;=1,BU186&lt;=5),"Clay status is "&amp;BT186&amp;": set call_done or later",IF(AND(AP186=1,BV186&lt;&gt;BQ186),"Clay yes_in_principle should be "&amp;BQ186,IF(AND(AP186=1,BW186&lt;&gt;G186),"Clay call_date should be "&amp;TEXT(G186,"yyyy-mm-dd"),""))))))))</f>
        <v/>
      </c>
      <c r="AM186" s="17">
        <f>ROW()</f>
        <v/>
      </c>
      <c r="AN186" s="17">
        <f>IF(AND(TRIM($A186)&lt;&gt;"",ISNUMBER(G186)),IF(AND(LEFT($A186,6)="SAMPLE",Config!$B$19&lt;&gt;"Y"),0,1),0)</f>
        <v/>
      </c>
      <c r="AO186" s="17">
        <f>IF(AN186=1,IF(COUNTIFS($A$2:$A$201,$A186,$AN$2:$AN$201,1,$G$2:$G$201,"&lt;"&amp;G186)+COUNTIFS($A$2:$A$201,$A186,$AN$2:$AN$201,1,$G$2:$G$201,G186,$AM$2:$AM$201,"&lt;"&amp;AM186)=0,1,0),0)</f>
        <v/>
      </c>
      <c r="AP186" s="17">
        <f>IF(AN186=1,IF(COUNTIFS($A$2:$A$201,$A186,$AN$2:$AN$201,1,$G$2:$G$201,"&gt;"&amp;G186)+COUNTIFS($A$2:$A$201,$A186,$AN$2:$AN$201,1,$G$2:$G$201,G186,$AM$2:$AM$201,"&gt;"&amp;AM186)=0,1,0),0)</f>
        <v/>
      </c>
      <c r="AQ186" s="17">
        <f>IF(AND(AN186=1,N186="Y",MAX(N(R186),N(V186))&gt;=Config!$B$14),1,0)</f>
        <v/>
      </c>
      <c r="AR186" s="17">
        <f>IF(AQ186=1,IF(COUNTIFS($A$2:$A$201,$A186,$AQ$2:$AQ$201,1,$G$2:$G$201,"&lt;"&amp;G186)+COUNTIFS($A$2:$A$201,$A186,$AQ$2:$AQ$201,1,$G$2:$G$201,G186,$AM$2:$AM$201,"&lt;"&amp;AM186)=0,1,0),0)</f>
        <v/>
      </c>
      <c r="AS186" s="17">
        <f>IF(AND(AN186=1,N186="Y",ISNUMBER(R186)),IF(R186&gt;=Config!$B$14,1,0),0)</f>
        <v/>
      </c>
      <c r="AT186" s="17">
        <f>IF(AS186=1,IF(COUNTIFS($A$2:$A$201,$A186,$AS$2:$AS$201,1,$G$2:$G$201,"&lt;"&amp;G186)+COUNTIFS($A$2:$A$201,$A186,$AS$2:$AS$201,1,$G$2:$G$201,G186,$AM$2:$AM$201,"&lt;"&amp;AM186)=0,1,0),0)</f>
        <v/>
      </c>
      <c r="AU186" s="17">
        <f>IF(AND(AN186=1,N186&lt;&gt;"Y",MAX(N(R186),N(V186))&gt;=Config!$B$14),1,0)</f>
        <v/>
      </c>
      <c r="AV186" s="17">
        <f>IF(AU186=1,IF(COUNTIFS($A$2:$A$201,$A186,$AU$2:$AU$201,1,$G$2:$G$201,"&lt;"&amp;G186)+COUNTIFS($A$2:$A$201,$A186,$AU$2:$AU$201,1,$G$2:$G$201,G186,$AM$2:$AM$201,"&lt;"&amp;AM186)=0,1,0),0)</f>
        <v/>
      </c>
      <c r="AW186" s="17">
        <f>IF(AND(AN186=1,ISNUMBER(R186)),1,0)</f>
        <v/>
      </c>
      <c r="AX186" s="17">
        <f>IF(AW186=1,IF(COUNTIFS($A$2:$A$201,$A186,$AW$2:$AW$201,1,$G$2:$G$201,"&lt;"&amp;G186)+COUNTIFS($A$2:$A$201,$A186,$AW$2:$AW$201,1,$G$2:$G$201,G186,$AM$2:$AM$201,"&lt;"&amp;AM186)=0,1,0),0)</f>
        <v/>
      </c>
      <c r="AY186" s="17">
        <f>IF(AND(AX186=1,G186&lt;=Config!$B$6),R186,"")</f>
        <v/>
      </c>
      <c r="AZ186" s="17">
        <f>IF(AND(AX186=1,G186&lt;=Config!$B$7),R186,"")</f>
        <v/>
      </c>
      <c r="BA186" s="17">
        <f>IF(AND(AX186=1,G186&lt;=Config!$B$8),R186,"")</f>
        <v/>
      </c>
      <c r="BB186" s="17">
        <f>IF(AND(AX186=1,G186&lt;=Config!$B$5),R186,"")</f>
        <v/>
      </c>
      <c r="BC186" s="17">
        <f>IF(AND(AN186=1,ISNUMBER(V186)),1,0)</f>
        <v/>
      </c>
      <c r="BD186" s="17">
        <f>IF(BC186=1,IF(COUNTIFS($A$2:$A$201,$A186,$BC$2:$BC$201,1,$G$2:$G$201,"&lt;"&amp;G186)+COUNTIFS($A$2:$A$201,$A186,$BC$2:$BC$201,1,$G$2:$G$201,G186,$AM$2:$AM$201,"&lt;"&amp;AM186)=0,1,0),0)</f>
        <v/>
      </c>
      <c r="BE186" s="17">
        <f>IF(AND(BD186=1,G186&lt;=Config!$B$6),V186,"")</f>
        <v/>
      </c>
      <c r="BF186" s="17">
        <f>IF(AND(BD186=1,G186&lt;=Config!$B$7),V186,"")</f>
        <v/>
      </c>
      <c r="BG186" s="17">
        <f>IF(AND(BD186=1,G186&lt;=Config!$B$8),V186,"")</f>
        <v/>
      </c>
      <c r="BH186" s="17">
        <f>IF(AND(BD186=1,G186&lt;=Config!$B$5),V186,"")</f>
        <v/>
      </c>
      <c r="BI186" s="17">
        <f>IF(AND(AN186=1,ISNUMBER(J186)),1,0)</f>
        <v/>
      </c>
      <c r="BJ186" s="17">
        <f>IF(BI186=1,IF(COUNTIFS($A$2:$A$201,$A186,$BI$2:$BI$201,1,$G$2:$G$201,"&lt;"&amp;G186)+COUNTIFS($A$2:$A$201,$A186,$BI$2:$BI$201,1,$G$2:$G$201,G186,$AM$2:$AM$201,"&lt;"&amp;AM186)=0,1,0),0)</f>
        <v/>
      </c>
      <c r="BK186" s="17">
        <f>IF(AND(BJ186=1,G186&lt;=Config!$B$5),J186,"")</f>
        <v/>
      </c>
      <c r="BL186" s="17">
        <f>IF(AND(AN186=1,OR(AND(ISNUMBER(R186),TRIM(S186)=""),AND(ISNUMBER(V186),TRIM(W186)=""))),1,0)</f>
        <v/>
      </c>
      <c r="BM186" s="17">
        <f>IF(AN186=1,AB186&amp;"","")</f>
        <v/>
      </c>
      <c r="BN186" s="17">
        <f>IF(AN186=1,AC186&amp;"","")</f>
        <v/>
      </c>
      <c r="BO186" s="17">
        <f>IF(AN186=1,AD186&amp;"","")</f>
        <v/>
      </c>
      <c r="BP186" s="17">
        <f>IF(AND(AN186=1,ISNUMBER(AI186),G186&lt;=Config!$B$5),AI186,"")</f>
        <v/>
      </c>
      <c r="BQ186" s="17">
        <f>IF(AN186=1,IF(COUNTIFS($A$2:$A$201,$A186,$AF$2:$AF$201,"Y",$AN$2:$AN$201,1)&gt;0,"Y","N"),"")</f>
        <v/>
      </c>
      <c r="BR186" s="17">
        <f>IF(AND(AN186=1,AF186="Y"),IF(COUNTIFS($A$2:$A$201,$A186,$AF$2:$AF$201,"Y",$AN$2:$AN$201,1,$G$2:$G$201,"&lt;"&amp;G186)+COUNTIFS($A$2:$A$201,$A186,$AF$2:$AF$201,"Y",$AN$2:$AN$201,1,$G$2:$G$201,G186,$AM$2:$AM$201,"&lt;"&amp;AM186)=0,1,0),0)</f>
        <v/>
      </c>
      <c r="BS186" s="17">
        <f>IF(AN186=1,IFERROR(MATCH($A186,INDEX(Clay_Brands!$A$2:$FZ$601,0,Sync!$D$5),0),""),"")</f>
        <v/>
      </c>
      <c r="BT186" s="17">
        <f>IF(BS186="","",IFERROR(INDEX(Clay_Brands!$A$2:$FZ$601,BS186,Sync!$D$7)&amp;"",""))</f>
        <v/>
      </c>
      <c r="BU186" s="17">
        <f>IF(BT186="","",IFERROR(INDEX(Lists!$J$2:$J$15,MATCH(BT186,Lists!$I$2:$I$15,0)),""))</f>
        <v/>
      </c>
      <c r="BV186" s="17">
        <f>IF(BS186="","",IFERROR(INDEX(Clay_Brands!$A$2:$FZ$601,BS186,Sync!$D$17)&amp;"",""))</f>
        <v/>
      </c>
      <c r="BW186" s="23">
        <f>IF(BS186="","",IFERROR(N(INDEX(Clay_Brands!$A$2:$FZ$601,BS186,Sync!$D$16)),0))</f>
        <v/>
      </c>
    </row>
    <row r="187">
      <c r="G187" s="22" t="n"/>
      <c r="AL187" s="17">
        <f>IF(TRIM($A187)="","",IF(AND(LEFT($A187,6)="SAMPLE",Config!$B$19&lt;&gt;"Y"),"",IF(NOT(ISNUMBER(G187)),"call_date is blank or not a date",IF(Sync!$D$5="","Clay paste is empty or has no row_id column: paste the Clay export on Clay_Brands",IF(BS187="","row_id not found in the Clay paste: add the Clay row or fix the row_id",IF(AND(ISNUMBER(BU187),BU187&gt;=1,BU187&lt;=5),"Clay status is "&amp;BT187&amp;": set call_done or later",IF(AND(AP187=1,BV187&lt;&gt;BQ187),"Clay yes_in_principle should be "&amp;BQ187,IF(AND(AP187=1,BW187&lt;&gt;G187),"Clay call_date should be "&amp;TEXT(G187,"yyyy-mm-dd"),""))))))))</f>
        <v/>
      </c>
      <c r="AM187" s="17">
        <f>ROW()</f>
        <v/>
      </c>
      <c r="AN187" s="17">
        <f>IF(AND(TRIM($A187)&lt;&gt;"",ISNUMBER(G187)),IF(AND(LEFT($A187,6)="SAMPLE",Config!$B$19&lt;&gt;"Y"),0,1),0)</f>
        <v/>
      </c>
      <c r="AO187" s="17">
        <f>IF(AN187=1,IF(COUNTIFS($A$2:$A$201,$A187,$AN$2:$AN$201,1,$G$2:$G$201,"&lt;"&amp;G187)+COUNTIFS($A$2:$A$201,$A187,$AN$2:$AN$201,1,$G$2:$G$201,G187,$AM$2:$AM$201,"&lt;"&amp;AM187)=0,1,0),0)</f>
        <v/>
      </c>
      <c r="AP187" s="17">
        <f>IF(AN187=1,IF(COUNTIFS($A$2:$A$201,$A187,$AN$2:$AN$201,1,$G$2:$G$201,"&gt;"&amp;G187)+COUNTIFS($A$2:$A$201,$A187,$AN$2:$AN$201,1,$G$2:$G$201,G187,$AM$2:$AM$201,"&gt;"&amp;AM187)=0,1,0),0)</f>
        <v/>
      </c>
      <c r="AQ187" s="17">
        <f>IF(AND(AN187=1,N187="Y",MAX(N(R187),N(V187))&gt;=Config!$B$14),1,0)</f>
        <v/>
      </c>
      <c r="AR187" s="17">
        <f>IF(AQ187=1,IF(COUNTIFS($A$2:$A$201,$A187,$AQ$2:$AQ$201,1,$G$2:$G$201,"&lt;"&amp;G187)+COUNTIFS($A$2:$A$201,$A187,$AQ$2:$AQ$201,1,$G$2:$G$201,G187,$AM$2:$AM$201,"&lt;"&amp;AM187)=0,1,0),0)</f>
        <v/>
      </c>
      <c r="AS187" s="17">
        <f>IF(AND(AN187=1,N187="Y",ISNUMBER(R187)),IF(R187&gt;=Config!$B$14,1,0),0)</f>
        <v/>
      </c>
      <c r="AT187" s="17">
        <f>IF(AS187=1,IF(COUNTIFS($A$2:$A$201,$A187,$AS$2:$AS$201,1,$G$2:$G$201,"&lt;"&amp;G187)+COUNTIFS($A$2:$A$201,$A187,$AS$2:$AS$201,1,$G$2:$G$201,G187,$AM$2:$AM$201,"&lt;"&amp;AM187)=0,1,0),0)</f>
        <v/>
      </c>
      <c r="AU187" s="17">
        <f>IF(AND(AN187=1,N187&lt;&gt;"Y",MAX(N(R187),N(V187))&gt;=Config!$B$14),1,0)</f>
        <v/>
      </c>
      <c r="AV187" s="17">
        <f>IF(AU187=1,IF(COUNTIFS($A$2:$A$201,$A187,$AU$2:$AU$201,1,$G$2:$G$201,"&lt;"&amp;G187)+COUNTIFS($A$2:$A$201,$A187,$AU$2:$AU$201,1,$G$2:$G$201,G187,$AM$2:$AM$201,"&lt;"&amp;AM187)=0,1,0),0)</f>
        <v/>
      </c>
      <c r="AW187" s="17">
        <f>IF(AND(AN187=1,ISNUMBER(R187)),1,0)</f>
        <v/>
      </c>
      <c r="AX187" s="17">
        <f>IF(AW187=1,IF(COUNTIFS($A$2:$A$201,$A187,$AW$2:$AW$201,1,$G$2:$G$201,"&lt;"&amp;G187)+COUNTIFS($A$2:$A$201,$A187,$AW$2:$AW$201,1,$G$2:$G$201,G187,$AM$2:$AM$201,"&lt;"&amp;AM187)=0,1,0),0)</f>
        <v/>
      </c>
      <c r="AY187" s="17">
        <f>IF(AND(AX187=1,G187&lt;=Config!$B$6),R187,"")</f>
        <v/>
      </c>
      <c r="AZ187" s="17">
        <f>IF(AND(AX187=1,G187&lt;=Config!$B$7),R187,"")</f>
        <v/>
      </c>
      <c r="BA187" s="17">
        <f>IF(AND(AX187=1,G187&lt;=Config!$B$8),R187,"")</f>
        <v/>
      </c>
      <c r="BB187" s="17">
        <f>IF(AND(AX187=1,G187&lt;=Config!$B$5),R187,"")</f>
        <v/>
      </c>
      <c r="BC187" s="17">
        <f>IF(AND(AN187=1,ISNUMBER(V187)),1,0)</f>
        <v/>
      </c>
      <c r="BD187" s="17">
        <f>IF(BC187=1,IF(COUNTIFS($A$2:$A$201,$A187,$BC$2:$BC$201,1,$G$2:$G$201,"&lt;"&amp;G187)+COUNTIFS($A$2:$A$201,$A187,$BC$2:$BC$201,1,$G$2:$G$201,G187,$AM$2:$AM$201,"&lt;"&amp;AM187)=0,1,0),0)</f>
        <v/>
      </c>
      <c r="BE187" s="17">
        <f>IF(AND(BD187=1,G187&lt;=Config!$B$6),V187,"")</f>
        <v/>
      </c>
      <c r="BF187" s="17">
        <f>IF(AND(BD187=1,G187&lt;=Config!$B$7),V187,"")</f>
        <v/>
      </c>
      <c r="BG187" s="17">
        <f>IF(AND(BD187=1,G187&lt;=Config!$B$8),V187,"")</f>
        <v/>
      </c>
      <c r="BH187" s="17">
        <f>IF(AND(BD187=1,G187&lt;=Config!$B$5),V187,"")</f>
        <v/>
      </c>
      <c r="BI187" s="17">
        <f>IF(AND(AN187=1,ISNUMBER(J187)),1,0)</f>
        <v/>
      </c>
      <c r="BJ187" s="17">
        <f>IF(BI187=1,IF(COUNTIFS($A$2:$A$201,$A187,$BI$2:$BI$201,1,$G$2:$G$201,"&lt;"&amp;G187)+COUNTIFS($A$2:$A$201,$A187,$BI$2:$BI$201,1,$G$2:$G$201,G187,$AM$2:$AM$201,"&lt;"&amp;AM187)=0,1,0),0)</f>
        <v/>
      </c>
      <c r="BK187" s="17">
        <f>IF(AND(BJ187=1,G187&lt;=Config!$B$5),J187,"")</f>
        <v/>
      </c>
      <c r="BL187" s="17">
        <f>IF(AND(AN187=1,OR(AND(ISNUMBER(R187),TRIM(S187)=""),AND(ISNUMBER(V187),TRIM(W187)=""))),1,0)</f>
        <v/>
      </c>
      <c r="BM187" s="17">
        <f>IF(AN187=1,AB187&amp;"","")</f>
        <v/>
      </c>
      <c r="BN187" s="17">
        <f>IF(AN187=1,AC187&amp;"","")</f>
        <v/>
      </c>
      <c r="BO187" s="17">
        <f>IF(AN187=1,AD187&amp;"","")</f>
        <v/>
      </c>
      <c r="BP187" s="17">
        <f>IF(AND(AN187=1,ISNUMBER(AI187),G187&lt;=Config!$B$5),AI187,"")</f>
        <v/>
      </c>
      <c r="BQ187" s="17">
        <f>IF(AN187=1,IF(COUNTIFS($A$2:$A$201,$A187,$AF$2:$AF$201,"Y",$AN$2:$AN$201,1)&gt;0,"Y","N"),"")</f>
        <v/>
      </c>
      <c r="BR187" s="17">
        <f>IF(AND(AN187=1,AF187="Y"),IF(COUNTIFS($A$2:$A$201,$A187,$AF$2:$AF$201,"Y",$AN$2:$AN$201,1,$G$2:$G$201,"&lt;"&amp;G187)+COUNTIFS($A$2:$A$201,$A187,$AF$2:$AF$201,"Y",$AN$2:$AN$201,1,$G$2:$G$201,G187,$AM$2:$AM$201,"&lt;"&amp;AM187)=0,1,0),0)</f>
        <v/>
      </c>
      <c r="BS187" s="17">
        <f>IF(AN187=1,IFERROR(MATCH($A187,INDEX(Clay_Brands!$A$2:$FZ$601,0,Sync!$D$5),0),""),"")</f>
        <v/>
      </c>
      <c r="BT187" s="17">
        <f>IF(BS187="","",IFERROR(INDEX(Clay_Brands!$A$2:$FZ$601,BS187,Sync!$D$7)&amp;"",""))</f>
        <v/>
      </c>
      <c r="BU187" s="17">
        <f>IF(BT187="","",IFERROR(INDEX(Lists!$J$2:$J$15,MATCH(BT187,Lists!$I$2:$I$15,0)),""))</f>
        <v/>
      </c>
      <c r="BV187" s="17">
        <f>IF(BS187="","",IFERROR(INDEX(Clay_Brands!$A$2:$FZ$601,BS187,Sync!$D$17)&amp;"",""))</f>
        <v/>
      </c>
      <c r="BW187" s="23">
        <f>IF(BS187="","",IFERROR(N(INDEX(Clay_Brands!$A$2:$FZ$601,BS187,Sync!$D$16)),0))</f>
        <v/>
      </c>
    </row>
    <row r="188">
      <c r="G188" s="22" t="n"/>
      <c r="AL188" s="17">
        <f>IF(TRIM($A188)="","",IF(AND(LEFT($A188,6)="SAMPLE",Config!$B$19&lt;&gt;"Y"),"",IF(NOT(ISNUMBER(G188)),"call_date is blank or not a date",IF(Sync!$D$5="","Clay paste is empty or has no row_id column: paste the Clay export on Clay_Brands",IF(BS188="","row_id not found in the Clay paste: add the Clay row or fix the row_id",IF(AND(ISNUMBER(BU188),BU188&gt;=1,BU188&lt;=5),"Clay status is "&amp;BT188&amp;": set call_done or later",IF(AND(AP188=1,BV188&lt;&gt;BQ188),"Clay yes_in_principle should be "&amp;BQ188,IF(AND(AP188=1,BW188&lt;&gt;G188),"Clay call_date should be "&amp;TEXT(G188,"yyyy-mm-dd"),""))))))))</f>
        <v/>
      </c>
      <c r="AM188" s="17">
        <f>ROW()</f>
        <v/>
      </c>
      <c r="AN188" s="17">
        <f>IF(AND(TRIM($A188)&lt;&gt;"",ISNUMBER(G188)),IF(AND(LEFT($A188,6)="SAMPLE",Config!$B$19&lt;&gt;"Y"),0,1),0)</f>
        <v/>
      </c>
      <c r="AO188" s="17">
        <f>IF(AN188=1,IF(COUNTIFS($A$2:$A$201,$A188,$AN$2:$AN$201,1,$G$2:$G$201,"&lt;"&amp;G188)+COUNTIFS($A$2:$A$201,$A188,$AN$2:$AN$201,1,$G$2:$G$201,G188,$AM$2:$AM$201,"&lt;"&amp;AM188)=0,1,0),0)</f>
        <v/>
      </c>
      <c r="AP188" s="17">
        <f>IF(AN188=1,IF(COUNTIFS($A$2:$A$201,$A188,$AN$2:$AN$201,1,$G$2:$G$201,"&gt;"&amp;G188)+COUNTIFS($A$2:$A$201,$A188,$AN$2:$AN$201,1,$G$2:$G$201,G188,$AM$2:$AM$201,"&gt;"&amp;AM188)=0,1,0),0)</f>
        <v/>
      </c>
      <c r="AQ188" s="17">
        <f>IF(AND(AN188=1,N188="Y",MAX(N(R188),N(V188))&gt;=Config!$B$14),1,0)</f>
        <v/>
      </c>
      <c r="AR188" s="17">
        <f>IF(AQ188=1,IF(COUNTIFS($A$2:$A$201,$A188,$AQ$2:$AQ$201,1,$G$2:$G$201,"&lt;"&amp;G188)+COUNTIFS($A$2:$A$201,$A188,$AQ$2:$AQ$201,1,$G$2:$G$201,G188,$AM$2:$AM$201,"&lt;"&amp;AM188)=0,1,0),0)</f>
        <v/>
      </c>
      <c r="AS188" s="17">
        <f>IF(AND(AN188=1,N188="Y",ISNUMBER(R188)),IF(R188&gt;=Config!$B$14,1,0),0)</f>
        <v/>
      </c>
      <c r="AT188" s="17">
        <f>IF(AS188=1,IF(COUNTIFS($A$2:$A$201,$A188,$AS$2:$AS$201,1,$G$2:$G$201,"&lt;"&amp;G188)+COUNTIFS($A$2:$A$201,$A188,$AS$2:$AS$201,1,$G$2:$G$201,G188,$AM$2:$AM$201,"&lt;"&amp;AM188)=0,1,0),0)</f>
        <v/>
      </c>
      <c r="AU188" s="17">
        <f>IF(AND(AN188=1,N188&lt;&gt;"Y",MAX(N(R188),N(V188))&gt;=Config!$B$14),1,0)</f>
        <v/>
      </c>
      <c r="AV188" s="17">
        <f>IF(AU188=1,IF(COUNTIFS($A$2:$A$201,$A188,$AU$2:$AU$201,1,$G$2:$G$201,"&lt;"&amp;G188)+COUNTIFS($A$2:$A$201,$A188,$AU$2:$AU$201,1,$G$2:$G$201,G188,$AM$2:$AM$201,"&lt;"&amp;AM188)=0,1,0),0)</f>
        <v/>
      </c>
      <c r="AW188" s="17">
        <f>IF(AND(AN188=1,ISNUMBER(R188)),1,0)</f>
        <v/>
      </c>
      <c r="AX188" s="17">
        <f>IF(AW188=1,IF(COUNTIFS($A$2:$A$201,$A188,$AW$2:$AW$201,1,$G$2:$G$201,"&lt;"&amp;G188)+COUNTIFS($A$2:$A$201,$A188,$AW$2:$AW$201,1,$G$2:$G$201,G188,$AM$2:$AM$201,"&lt;"&amp;AM188)=0,1,0),0)</f>
        <v/>
      </c>
      <c r="AY188" s="17">
        <f>IF(AND(AX188=1,G188&lt;=Config!$B$6),R188,"")</f>
        <v/>
      </c>
      <c r="AZ188" s="17">
        <f>IF(AND(AX188=1,G188&lt;=Config!$B$7),R188,"")</f>
        <v/>
      </c>
      <c r="BA188" s="17">
        <f>IF(AND(AX188=1,G188&lt;=Config!$B$8),R188,"")</f>
        <v/>
      </c>
      <c r="BB188" s="17">
        <f>IF(AND(AX188=1,G188&lt;=Config!$B$5),R188,"")</f>
        <v/>
      </c>
      <c r="BC188" s="17">
        <f>IF(AND(AN188=1,ISNUMBER(V188)),1,0)</f>
        <v/>
      </c>
      <c r="BD188" s="17">
        <f>IF(BC188=1,IF(COUNTIFS($A$2:$A$201,$A188,$BC$2:$BC$201,1,$G$2:$G$201,"&lt;"&amp;G188)+COUNTIFS($A$2:$A$201,$A188,$BC$2:$BC$201,1,$G$2:$G$201,G188,$AM$2:$AM$201,"&lt;"&amp;AM188)=0,1,0),0)</f>
        <v/>
      </c>
      <c r="BE188" s="17">
        <f>IF(AND(BD188=1,G188&lt;=Config!$B$6),V188,"")</f>
        <v/>
      </c>
      <c r="BF188" s="17">
        <f>IF(AND(BD188=1,G188&lt;=Config!$B$7),V188,"")</f>
        <v/>
      </c>
      <c r="BG188" s="17">
        <f>IF(AND(BD188=1,G188&lt;=Config!$B$8),V188,"")</f>
        <v/>
      </c>
      <c r="BH188" s="17">
        <f>IF(AND(BD188=1,G188&lt;=Config!$B$5),V188,"")</f>
        <v/>
      </c>
      <c r="BI188" s="17">
        <f>IF(AND(AN188=1,ISNUMBER(J188)),1,0)</f>
        <v/>
      </c>
      <c r="BJ188" s="17">
        <f>IF(BI188=1,IF(COUNTIFS($A$2:$A$201,$A188,$BI$2:$BI$201,1,$G$2:$G$201,"&lt;"&amp;G188)+COUNTIFS($A$2:$A$201,$A188,$BI$2:$BI$201,1,$G$2:$G$201,G188,$AM$2:$AM$201,"&lt;"&amp;AM188)=0,1,0),0)</f>
        <v/>
      </c>
      <c r="BK188" s="17">
        <f>IF(AND(BJ188=1,G188&lt;=Config!$B$5),J188,"")</f>
        <v/>
      </c>
      <c r="BL188" s="17">
        <f>IF(AND(AN188=1,OR(AND(ISNUMBER(R188),TRIM(S188)=""),AND(ISNUMBER(V188),TRIM(W188)=""))),1,0)</f>
        <v/>
      </c>
      <c r="BM188" s="17">
        <f>IF(AN188=1,AB188&amp;"","")</f>
        <v/>
      </c>
      <c r="BN188" s="17">
        <f>IF(AN188=1,AC188&amp;"","")</f>
        <v/>
      </c>
      <c r="BO188" s="17">
        <f>IF(AN188=1,AD188&amp;"","")</f>
        <v/>
      </c>
      <c r="BP188" s="17">
        <f>IF(AND(AN188=1,ISNUMBER(AI188),G188&lt;=Config!$B$5),AI188,"")</f>
        <v/>
      </c>
      <c r="BQ188" s="17">
        <f>IF(AN188=1,IF(COUNTIFS($A$2:$A$201,$A188,$AF$2:$AF$201,"Y",$AN$2:$AN$201,1)&gt;0,"Y","N"),"")</f>
        <v/>
      </c>
      <c r="BR188" s="17">
        <f>IF(AND(AN188=1,AF188="Y"),IF(COUNTIFS($A$2:$A$201,$A188,$AF$2:$AF$201,"Y",$AN$2:$AN$201,1,$G$2:$G$201,"&lt;"&amp;G188)+COUNTIFS($A$2:$A$201,$A188,$AF$2:$AF$201,"Y",$AN$2:$AN$201,1,$G$2:$G$201,G188,$AM$2:$AM$201,"&lt;"&amp;AM188)=0,1,0),0)</f>
        <v/>
      </c>
      <c r="BS188" s="17">
        <f>IF(AN188=1,IFERROR(MATCH($A188,INDEX(Clay_Brands!$A$2:$FZ$601,0,Sync!$D$5),0),""),"")</f>
        <v/>
      </c>
      <c r="BT188" s="17">
        <f>IF(BS188="","",IFERROR(INDEX(Clay_Brands!$A$2:$FZ$601,BS188,Sync!$D$7)&amp;"",""))</f>
        <v/>
      </c>
      <c r="BU188" s="17">
        <f>IF(BT188="","",IFERROR(INDEX(Lists!$J$2:$J$15,MATCH(BT188,Lists!$I$2:$I$15,0)),""))</f>
        <v/>
      </c>
      <c r="BV188" s="17">
        <f>IF(BS188="","",IFERROR(INDEX(Clay_Brands!$A$2:$FZ$601,BS188,Sync!$D$17)&amp;"",""))</f>
        <v/>
      </c>
      <c r="BW188" s="23">
        <f>IF(BS188="","",IFERROR(N(INDEX(Clay_Brands!$A$2:$FZ$601,BS188,Sync!$D$16)),0))</f>
        <v/>
      </c>
    </row>
    <row r="189">
      <c r="G189" s="22" t="n"/>
      <c r="AL189" s="17">
        <f>IF(TRIM($A189)="","",IF(AND(LEFT($A189,6)="SAMPLE",Config!$B$19&lt;&gt;"Y"),"",IF(NOT(ISNUMBER(G189)),"call_date is blank or not a date",IF(Sync!$D$5="","Clay paste is empty or has no row_id column: paste the Clay export on Clay_Brands",IF(BS189="","row_id not found in the Clay paste: add the Clay row or fix the row_id",IF(AND(ISNUMBER(BU189),BU189&gt;=1,BU189&lt;=5),"Clay status is "&amp;BT189&amp;": set call_done or later",IF(AND(AP189=1,BV189&lt;&gt;BQ189),"Clay yes_in_principle should be "&amp;BQ189,IF(AND(AP189=1,BW189&lt;&gt;G189),"Clay call_date should be "&amp;TEXT(G189,"yyyy-mm-dd"),""))))))))</f>
        <v/>
      </c>
      <c r="AM189" s="17">
        <f>ROW()</f>
        <v/>
      </c>
      <c r="AN189" s="17">
        <f>IF(AND(TRIM($A189)&lt;&gt;"",ISNUMBER(G189)),IF(AND(LEFT($A189,6)="SAMPLE",Config!$B$19&lt;&gt;"Y"),0,1),0)</f>
        <v/>
      </c>
      <c r="AO189" s="17">
        <f>IF(AN189=1,IF(COUNTIFS($A$2:$A$201,$A189,$AN$2:$AN$201,1,$G$2:$G$201,"&lt;"&amp;G189)+COUNTIFS($A$2:$A$201,$A189,$AN$2:$AN$201,1,$G$2:$G$201,G189,$AM$2:$AM$201,"&lt;"&amp;AM189)=0,1,0),0)</f>
        <v/>
      </c>
      <c r="AP189" s="17">
        <f>IF(AN189=1,IF(COUNTIFS($A$2:$A$201,$A189,$AN$2:$AN$201,1,$G$2:$G$201,"&gt;"&amp;G189)+COUNTIFS($A$2:$A$201,$A189,$AN$2:$AN$201,1,$G$2:$G$201,G189,$AM$2:$AM$201,"&gt;"&amp;AM189)=0,1,0),0)</f>
        <v/>
      </c>
      <c r="AQ189" s="17">
        <f>IF(AND(AN189=1,N189="Y",MAX(N(R189),N(V189))&gt;=Config!$B$14),1,0)</f>
        <v/>
      </c>
      <c r="AR189" s="17">
        <f>IF(AQ189=1,IF(COUNTIFS($A$2:$A$201,$A189,$AQ$2:$AQ$201,1,$G$2:$G$201,"&lt;"&amp;G189)+COUNTIFS($A$2:$A$201,$A189,$AQ$2:$AQ$201,1,$G$2:$G$201,G189,$AM$2:$AM$201,"&lt;"&amp;AM189)=0,1,0),0)</f>
        <v/>
      </c>
      <c r="AS189" s="17">
        <f>IF(AND(AN189=1,N189="Y",ISNUMBER(R189)),IF(R189&gt;=Config!$B$14,1,0),0)</f>
        <v/>
      </c>
      <c r="AT189" s="17">
        <f>IF(AS189=1,IF(COUNTIFS($A$2:$A$201,$A189,$AS$2:$AS$201,1,$G$2:$G$201,"&lt;"&amp;G189)+COUNTIFS($A$2:$A$201,$A189,$AS$2:$AS$201,1,$G$2:$G$201,G189,$AM$2:$AM$201,"&lt;"&amp;AM189)=0,1,0),0)</f>
        <v/>
      </c>
      <c r="AU189" s="17">
        <f>IF(AND(AN189=1,N189&lt;&gt;"Y",MAX(N(R189),N(V189))&gt;=Config!$B$14),1,0)</f>
        <v/>
      </c>
      <c r="AV189" s="17">
        <f>IF(AU189=1,IF(COUNTIFS($A$2:$A$201,$A189,$AU$2:$AU$201,1,$G$2:$G$201,"&lt;"&amp;G189)+COUNTIFS($A$2:$A$201,$A189,$AU$2:$AU$201,1,$G$2:$G$201,G189,$AM$2:$AM$201,"&lt;"&amp;AM189)=0,1,0),0)</f>
        <v/>
      </c>
      <c r="AW189" s="17">
        <f>IF(AND(AN189=1,ISNUMBER(R189)),1,0)</f>
        <v/>
      </c>
      <c r="AX189" s="17">
        <f>IF(AW189=1,IF(COUNTIFS($A$2:$A$201,$A189,$AW$2:$AW$201,1,$G$2:$G$201,"&lt;"&amp;G189)+COUNTIFS($A$2:$A$201,$A189,$AW$2:$AW$201,1,$G$2:$G$201,G189,$AM$2:$AM$201,"&lt;"&amp;AM189)=0,1,0),0)</f>
        <v/>
      </c>
      <c r="AY189" s="17">
        <f>IF(AND(AX189=1,G189&lt;=Config!$B$6),R189,"")</f>
        <v/>
      </c>
      <c r="AZ189" s="17">
        <f>IF(AND(AX189=1,G189&lt;=Config!$B$7),R189,"")</f>
        <v/>
      </c>
      <c r="BA189" s="17">
        <f>IF(AND(AX189=1,G189&lt;=Config!$B$8),R189,"")</f>
        <v/>
      </c>
      <c r="BB189" s="17">
        <f>IF(AND(AX189=1,G189&lt;=Config!$B$5),R189,"")</f>
        <v/>
      </c>
      <c r="BC189" s="17">
        <f>IF(AND(AN189=1,ISNUMBER(V189)),1,0)</f>
        <v/>
      </c>
      <c r="BD189" s="17">
        <f>IF(BC189=1,IF(COUNTIFS($A$2:$A$201,$A189,$BC$2:$BC$201,1,$G$2:$G$201,"&lt;"&amp;G189)+COUNTIFS($A$2:$A$201,$A189,$BC$2:$BC$201,1,$G$2:$G$201,G189,$AM$2:$AM$201,"&lt;"&amp;AM189)=0,1,0),0)</f>
        <v/>
      </c>
      <c r="BE189" s="17">
        <f>IF(AND(BD189=1,G189&lt;=Config!$B$6),V189,"")</f>
        <v/>
      </c>
      <c r="BF189" s="17">
        <f>IF(AND(BD189=1,G189&lt;=Config!$B$7),V189,"")</f>
        <v/>
      </c>
      <c r="BG189" s="17">
        <f>IF(AND(BD189=1,G189&lt;=Config!$B$8),V189,"")</f>
        <v/>
      </c>
      <c r="BH189" s="17">
        <f>IF(AND(BD189=1,G189&lt;=Config!$B$5),V189,"")</f>
        <v/>
      </c>
      <c r="BI189" s="17">
        <f>IF(AND(AN189=1,ISNUMBER(J189)),1,0)</f>
        <v/>
      </c>
      <c r="BJ189" s="17">
        <f>IF(BI189=1,IF(COUNTIFS($A$2:$A$201,$A189,$BI$2:$BI$201,1,$G$2:$G$201,"&lt;"&amp;G189)+COUNTIFS($A$2:$A$201,$A189,$BI$2:$BI$201,1,$G$2:$G$201,G189,$AM$2:$AM$201,"&lt;"&amp;AM189)=0,1,0),0)</f>
        <v/>
      </c>
      <c r="BK189" s="17">
        <f>IF(AND(BJ189=1,G189&lt;=Config!$B$5),J189,"")</f>
        <v/>
      </c>
      <c r="BL189" s="17">
        <f>IF(AND(AN189=1,OR(AND(ISNUMBER(R189),TRIM(S189)=""),AND(ISNUMBER(V189),TRIM(W189)=""))),1,0)</f>
        <v/>
      </c>
      <c r="BM189" s="17">
        <f>IF(AN189=1,AB189&amp;"","")</f>
        <v/>
      </c>
      <c r="BN189" s="17">
        <f>IF(AN189=1,AC189&amp;"","")</f>
        <v/>
      </c>
      <c r="BO189" s="17">
        <f>IF(AN189=1,AD189&amp;"","")</f>
        <v/>
      </c>
      <c r="BP189" s="17">
        <f>IF(AND(AN189=1,ISNUMBER(AI189),G189&lt;=Config!$B$5),AI189,"")</f>
        <v/>
      </c>
      <c r="BQ189" s="17">
        <f>IF(AN189=1,IF(COUNTIFS($A$2:$A$201,$A189,$AF$2:$AF$201,"Y",$AN$2:$AN$201,1)&gt;0,"Y","N"),"")</f>
        <v/>
      </c>
      <c r="BR189" s="17">
        <f>IF(AND(AN189=1,AF189="Y"),IF(COUNTIFS($A$2:$A$201,$A189,$AF$2:$AF$201,"Y",$AN$2:$AN$201,1,$G$2:$G$201,"&lt;"&amp;G189)+COUNTIFS($A$2:$A$201,$A189,$AF$2:$AF$201,"Y",$AN$2:$AN$201,1,$G$2:$G$201,G189,$AM$2:$AM$201,"&lt;"&amp;AM189)=0,1,0),0)</f>
        <v/>
      </c>
      <c r="BS189" s="17">
        <f>IF(AN189=1,IFERROR(MATCH($A189,INDEX(Clay_Brands!$A$2:$FZ$601,0,Sync!$D$5),0),""),"")</f>
        <v/>
      </c>
      <c r="BT189" s="17">
        <f>IF(BS189="","",IFERROR(INDEX(Clay_Brands!$A$2:$FZ$601,BS189,Sync!$D$7)&amp;"",""))</f>
        <v/>
      </c>
      <c r="BU189" s="17">
        <f>IF(BT189="","",IFERROR(INDEX(Lists!$J$2:$J$15,MATCH(BT189,Lists!$I$2:$I$15,0)),""))</f>
        <v/>
      </c>
      <c r="BV189" s="17">
        <f>IF(BS189="","",IFERROR(INDEX(Clay_Brands!$A$2:$FZ$601,BS189,Sync!$D$17)&amp;"",""))</f>
        <v/>
      </c>
      <c r="BW189" s="23">
        <f>IF(BS189="","",IFERROR(N(INDEX(Clay_Brands!$A$2:$FZ$601,BS189,Sync!$D$16)),0))</f>
        <v/>
      </c>
    </row>
    <row r="190">
      <c r="G190" s="22" t="n"/>
      <c r="AL190" s="17">
        <f>IF(TRIM($A190)="","",IF(AND(LEFT($A190,6)="SAMPLE",Config!$B$19&lt;&gt;"Y"),"",IF(NOT(ISNUMBER(G190)),"call_date is blank or not a date",IF(Sync!$D$5="","Clay paste is empty or has no row_id column: paste the Clay export on Clay_Brands",IF(BS190="","row_id not found in the Clay paste: add the Clay row or fix the row_id",IF(AND(ISNUMBER(BU190),BU190&gt;=1,BU190&lt;=5),"Clay status is "&amp;BT190&amp;": set call_done or later",IF(AND(AP190=1,BV190&lt;&gt;BQ190),"Clay yes_in_principle should be "&amp;BQ190,IF(AND(AP190=1,BW190&lt;&gt;G190),"Clay call_date should be "&amp;TEXT(G190,"yyyy-mm-dd"),""))))))))</f>
        <v/>
      </c>
      <c r="AM190" s="17">
        <f>ROW()</f>
        <v/>
      </c>
      <c r="AN190" s="17">
        <f>IF(AND(TRIM($A190)&lt;&gt;"",ISNUMBER(G190)),IF(AND(LEFT($A190,6)="SAMPLE",Config!$B$19&lt;&gt;"Y"),0,1),0)</f>
        <v/>
      </c>
      <c r="AO190" s="17">
        <f>IF(AN190=1,IF(COUNTIFS($A$2:$A$201,$A190,$AN$2:$AN$201,1,$G$2:$G$201,"&lt;"&amp;G190)+COUNTIFS($A$2:$A$201,$A190,$AN$2:$AN$201,1,$G$2:$G$201,G190,$AM$2:$AM$201,"&lt;"&amp;AM190)=0,1,0),0)</f>
        <v/>
      </c>
      <c r="AP190" s="17">
        <f>IF(AN190=1,IF(COUNTIFS($A$2:$A$201,$A190,$AN$2:$AN$201,1,$G$2:$G$201,"&gt;"&amp;G190)+COUNTIFS($A$2:$A$201,$A190,$AN$2:$AN$201,1,$G$2:$G$201,G190,$AM$2:$AM$201,"&gt;"&amp;AM190)=0,1,0),0)</f>
        <v/>
      </c>
      <c r="AQ190" s="17">
        <f>IF(AND(AN190=1,N190="Y",MAX(N(R190),N(V190))&gt;=Config!$B$14),1,0)</f>
        <v/>
      </c>
      <c r="AR190" s="17">
        <f>IF(AQ190=1,IF(COUNTIFS($A$2:$A$201,$A190,$AQ$2:$AQ$201,1,$G$2:$G$201,"&lt;"&amp;G190)+COUNTIFS($A$2:$A$201,$A190,$AQ$2:$AQ$201,1,$G$2:$G$201,G190,$AM$2:$AM$201,"&lt;"&amp;AM190)=0,1,0),0)</f>
        <v/>
      </c>
      <c r="AS190" s="17">
        <f>IF(AND(AN190=1,N190="Y",ISNUMBER(R190)),IF(R190&gt;=Config!$B$14,1,0),0)</f>
        <v/>
      </c>
      <c r="AT190" s="17">
        <f>IF(AS190=1,IF(COUNTIFS($A$2:$A$201,$A190,$AS$2:$AS$201,1,$G$2:$G$201,"&lt;"&amp;G190)+COUNTIFS($A$2:$A$201,$A190,$AS$2:$AS$201,1,$G$2:$G$201,G190,$AM$2:$AM$201,"&lt;"&amp;AM190)=0,1,0),0)</f>
        <v/>
      </c>
      <c r="AU190" s="17">
        <f>IF(AND(AN190=1,N190&lt;&gt;"Y",MAX(N(R190),N(V190))&gt;=Config!$B$14),1,0)</f>
        <v/>
      </c>
      <c r="AV190" s="17">
        <f>IF(AU190=1,IF(COUNTIFS($A$2:$A$201,$A190,$AU$2:$AU$201,1,$G$2:$G$201,"&lt;"&amp;G190)+COUNTIFS($A$2:$A$201,$A190,$AU$2:$AU$201,1,$G$2:$G$201,G190,$AM$2:$AM$201,"&lt;"&amp;AM190)=0,1,0),0)</f>
        <v/>
      </c>
      <c r="AW190" s="17">
        <f>IF(AND(AN190=1,ISNUMBER(R190)),1,0)</f>
        <v/>
      </c>
      <c r="AX190" s="17">
        <f>IF(AW190=1,IF(COUNTIFS($A$2:$A$201,$A190,$AW$2:$AW$201,1,$G$2:$G$201,"&lt;"&amp;G190)+COUNTIFS($A$2:$A$201,$A190,$AW$2:$AW$201,1,$G$2:$G$201,G190,$AM$2:$AM$201,"&lt;"&amp;AM190)=0,1,0),0)</f>
        <v/>
      </c>
      <c r="AY190" s="17">
        <f>IF(AND(AX190=1,G190&lt;=Config!$B$6),R190,"")</f>
        <v/>
      </c>
      <c r="AZ190" s="17">
        <f>IF(AND(AX190=1,G190&lt;=Config!$B$7),R190,"")</f>
        <v/>
      </c>
      <c r="BA190" s="17">
        <f>IF(AND(AX190=1,G190&lt;=Config!$B$8),R190,"")</f>
        <v/>
      </c>
      <c r="BB190" s="17">
        <f>IF(AND(AX190=1,G190&lt;=Config!$B$5),R190,"")</f>
        <v/>
      </c>
      <c r="BC190" s="17">
        <f>IF(AND(AN190=1,ISNUMBER(V190)),1,0)</f>
        <v/>
      </c>
      <c r="BD190" s="17">
        <f>IF(BC190=1,IF(COUNTIFS($A$2:$A$201,$A190,$BC$2:$BC$201,1,$G$2:$G$201,"&lt;"&amp;G190)+COUNTIFS($A$2:$A$201,$A190,$BC$2:$BC$201,1,$G$2:$G$201,G190,$AM$2:$AM$201,"&lt;"&amp;AM190)=0,1,0),0)</f>
        <v/>
      </c>
      <c r="BE190" s="17">
        <f>IF(AND(BD190=1,G190&lt;=Config!$B$6),V190,"")</f>
        <v/>
      </c>
      <c r="BF190" s="17">
        <f>IF(AND(BD190=1,G190&lt;=Config!$B$7),V190,"")</f>
        <v/>
      </c>
      <c r="BG190" s="17">
        <f>IF(AND(BD190=1,G190&lt;=Config!$B$8),V190,"")</f>
        <v/>
      </c>
      <c r="BH190" s="17">
        <f>IF(AND(BD190=1,G190&lt;=Config!$B$5),V190,"")</f>
        <v/>
      </c>
      <c r="BI190" s="17">
        <f>IF(AND(AN190=1,ISNUMBER(J190)),1,0)</f>
        <v/>
      </c>
      <c r="BJ190" s="17">
        <f>IF(BI190=1,IF(COUNTIFS($A$2:$A$201,$A190,$BI$2:$BI$201,1,$G$2:$G$201,"&lt;"&amp;G190)+COUNTIFS($A$2:$A$201,$A190,$BI$2:$BI$201,1,$G$2:$G$201,G190,$AM$2:$AM$201,"&lt;"&amp;AM190)=0,1,0),0)</f>
        <v/>
      </c>
      <c r="BK190" s="17">
        <f>IF(AND(BJ190=1,G190&lt;=Config!$B$5),J190,"")</f>
        <v/>
      </c>
      <c r="BL190" s="17">
        <f>IF(AND(AN190=1,OR(AND(ISNUMBER(R190),TRIM(S190)=""),AND(ISNUMBER(V190),TRIM(W190)=""))),1,0)</f>
        <v/>
      </c>
      <c r="BM190" s="17">
        <f>IF(AN190=1,AB190&amp;"","")</f>
        <v/>
      </c>
      <c r="BN190" s="17">
        <f>IF(AN190=1,AC190&amp;"","")</f>
        <v/>
      </c>
      <c r="BO190" s="17">
        <f>IF(AN190=1,AD190&amp;"","")</f>
        <v/>
      </c>
      <c r="BP190" s="17">
        <f>IF(AND(AN190=1,ISNUMBER(AI190),G190&lt;=Config!$B$5),AI190,"")</f>
        <v/>
      </c>
      <c r="BQ190" s="17">
        <f>IF(AN190=1,IF(COUNTIFS($A$2:$A$201,$A190,$AF$2:$AF$201,"Y",$AN$2:$AN$201,1)&gt;0,"Y","N"),"")</f>
        <v/>
      </c>
      <c r="BR190" s="17">
        <f>IF(AND(AN190=1,AF190="Y"),IF(COUNTIFS($A$2:$A$201,$A190,$AF$2:$AF$201,"Y",$AN$2:$AN$201,1,$G$2:$G$201,"&lt;"&amp;G190)+COUNTIFS($A$2:$A$201,$A190,$AF$2:$AF$201,"Y",$AN$2:$AN$201,1,$G$2:$G$201,G190,$AM$2:$AM$201,"&lt;"&amp;AM190)=0,1,0),0)</f>
        <v/>
      </c>
      <c r="BS190" s="17">
        <f>IF(AN190=1,IFERROR(MATCH($A190,INDEX(Clay_Brands!$A$2:$FZ$601,0,Sync!$D$5),0),""),"")</f>
        <v/>
      </c>
      <c r="BT190" s="17">
        <f>IF(BS190="","",IFERROR(INDEX(Clay_Brands!$A$2:$FZ$601,BS190,Sync!$D$7)&amp;"",""))</f>
        <v/>
      </c>
      <c r="BU190" s="17">
        <f>IF(BT190="","",IFERROR(INDEX(Lists!$J$2:$J$15,MATCH(BT190,Lists!$I$2:$I$15,0)),""))</f>
        <v/>
      </c>
      <c r="BV190" s="17">
        <f>IF(BS190="","",IFERROR(INDEX(Clay_Brands!$A$2:$FZ$601,BS190,Sync!$D$17)&amp;"",""))</f>
        <v/>
      </c>
      <c r="BW190" s="23">
        <f>IF(BS190="","",IFERROR(N(INDEX(Clay_Brands!$A$2:$FZ$601,BS190,Sync!$D$16)),0))</f>
        <v/>
      </c>
    </row>
    <row r="191">
      <c r="G191" s="22" t="n"/>
      <c r="AL191" s="17">
        <f>IF(TRIM($A191)="","",IF(AND(LEFT($A191,6)="SAMPLE",Config!$B$19&lt;&gt;"Y"),"",IF(NOT(ISNUMBER(G191)),"call_date is blank or not a date",IF(Sync!$D$5="","Clay paste is empty or has no row_id column: paste the Clay export on Clay_Brands",IF(BS191="","row_id not found in the Clay paste: add the Clay row or fix the row_id",IF(AND(ISNUMBER(BU191),BU191&gt;=1,BU191&lt;=5),"Clay status is "&amp;BT191&amp;": set call_done or later",IF(AND(AP191=1,BV191&lt;&gt;BQ191),"Clay yes_in_principle should be "&amp;BQ191,IF(AND(AP191=1,BW191&lt;&gt;G191),"Clay call_date should be "&amp;TEXT(G191,"yyyy-mm-dd"),""))))))))</f>
        <v/>
      </c>
      <c r="AM191" s="17">
        <f>ROW()</f>
        <v/>
      </c>
      <c r="AN191" s="17">
        <f>IF(AND(TRIM($A191)&lt;&gt;"",ISNUMBER(G191)),IF(AND(LEFT($A191,6)="SAMPLE",Config!$B$19&lt;&gt;"Y"),0,1),0)</f>
        <v/>
      </c>
      <c r="AO191" s="17">
        <f>IF(AN191=1,IF(COUNTIFS($A$2:$A$201,$A191,$AN$2:$AN$201,1,$G$2:$G$201,"&lt;"&amp;G191)+COUNTIFS($A$2:$A$201,$A191,$AN$2:$AN$201,1,$G$2:$G$201,G191,$AM$2:$AM$201,"&lt;"&amp;AM191)=0,1,0),0)</f>
        <v/>
      </c>
      <c r="AP191" s="17">
        <f>IF(AN191=1,IF(COUNTIFS($A$2:$A$201,$A191,$AN$2:$AN$201,1,$G$2:$G$201,"&gt;"&amp;G191)+COUNTIFS($A$2:$A$201,$A191,$AN$2:$AN$201,1,$G$2:$G$201,G191,$AM$2:$AM$201,"&gt;"&amp;AM191)=0,1,0),0)</f>
        <v/>
      </c>
      <c r="AQ191" s="17">
        <f>IF(AND(AN191=1,N191="Y",MAX(N(R191),N(V191))&gt;=Config!$B$14),1,0)</f>
        <v/>
      </c>
      <c r="AR191" s="17">
        <f>IF(AQ191=1,IF(COUNTIFS($A$2:$A$201,$A191,$AQ$2:$AQ$201,1,$G$2:$G$201,"&lt;"&amp;G191)+COUNTIFS($A$2:$A$201,$A191,$AQ$2:$AQ$201,1,$G$2:$G$201,G191,$AM$2:$AM$201,"&lt;"&amp;AM191)=0,1,0),0)</f>
        <v/>
      </c>
      <c r="AS191" s="17">
        <f>IF(AND(AN191=1,N191="Y",ISNUMBER(R191)),IF(R191&gt;=Config!$B$14,1,0),0)</f>
        <v/>
      </c>
      <c r="AT191" s="17">
        <f>IF(AS191=1,IF(COUNTIFS($A$2:$A$201,$A191,$AS$2:$AS$201,1,$G$2:$G$201,"&lt;"&amp;G191)+COUNTIFS($A$2:$A$201,$A191,$AS$2:$AS$201,1,$G$2:$G$201,G191,$AM$2:$AM$201,"&lt;"&amp;AM191)=0,1,0),0)</f>
        <v/>
      </c>
      <c r="AU191" s="17">
        <f>IF(AND(AN191=1,N191&lt;&gt;"Y",MAX(N(R191),N(V191))&gt;=Config!$B$14),1,0)</f>
        <v/>
      </c>
      <c r="AV191" s="17">
        <f>IF(AU191=1,IF(COUNTIFS($A$2:$A$201,$A191,$AU$2:$AU$201,1,$G$2:$G$201,"&lt;"&amp;G191)+COUNTIFS($A$2:$A$201,$A191,$AU$2:$AU$201,1,$G$2:$G$201,G191,$AM$2:$AM$201,"&lt;"&amp;AM191)=0,1,0),0)</f>
        <v/>
      </c>
      <c r="AW191" s="17">
        <f>IF(AND(AN191=1,ISNUMBER(R191)),1,0)</f>
        <v/>
      </c>
      <c r="AX191" s="17">
        <f>IF(AW191=1,IF(COUNTIFS($A$2:$A$201,$A191,$AW$2:$AW$201,1,$G$2:$G$201,"&lt;"&amp;G191)+COUNTIFS($A$2:$A$201,$A191,$AW$2:$AW$201,1,$G$2:$G$201,G191,$AM$2:$AM$201,"&lt;"&amp;AM191)=0,1,0),0)</f>
        <v/>
      </c>
      <c r="AY191" s="17">
        <f>IF(AND(AX191=1,G191&lt;=Config!$B$6),R191,"")</f>
        <v/>
      </c>
      <c r="AZ191" s="17">
        <f>IF(AND(AX191=1,G191&lt;=Config!$B$7),R191,"")</f>
        <v/>
      </c>
      <c r="BA191" s="17">
        <f>IF(AND(AX191=1,G191&lt;=Config!$B$8),R191,"")</f>
        <v/>
      </c>
      <c r="BB191" s="17">
        <f>IF(AND(AX191=1,G191&lt;=Config!$B$5),R191,"")</f>
        <v/>
      </c>
      <c r="BC191" s="17">
        <f>IF(AND(AN191=1,ISNUMBER(V191)),1,0)</f>
        <v/>
      </c>
      <c r="BD191" s="17">
        <f>IF(BC191=1,IF(COUNTIFS($A$2:$A$201,$A191,$BC$2:$BC$201,1,$G$2:$G$201,"&lt;"&amp;G191)+COUNTIFS($A$2:$A$201,$A191,$BC$2:$BC$201,1,$G$2:$G$201,G191,$AM$2:$AM$201,"&lt;"&amp;AM191)=0,1,0),0)</f>
        <v/>
      </c>
      <c r="BE191" s="17">
        <f>IF(AND(BD191=1,G191&lt;=Config!$B$6),V191,"")</f>
        <v/>
      </c>
      <c r="BF191" s="17">
        <f>IF(AND(BD191=1,G191&lt;=Config!$B$7),V191,"")</f>
        <v/>
      </c>
      <c r="BG191" s="17">
        <f>IF(AND(BD191=1,G191&lt;=Config!$B$8),V191,"")</f>
        <v/>
      </c>
      <c r="BH191" s="17">
        <f>IF(AND(BD191=1,G191&lt;=Config!$B$5),V191,"")</f>
        <v/>
      </c>
      <c r="BI191" s="17">
        <f>IF(AND(AN191=1,ISNUMBER(J191)),1,0)</f>
        <v/>
      </c>
      <c r="BJ191" s="17">
        <f>IF(BI191=1,IF(COUNTIFS($A$2:$A$201,$A191,$BI$2:$BI$201,1,$G$2:$G$201,"&lt;"&amp;G191)+COUNTIFS($A$2:$A$201,$A191,$BI$2:$BI$201,1,$G$2:$G$201,G191,$AM$2:$AM$201,"&lt;"&amp;AM191)=0,1,0),0)</f>
        <v/>
      </c>
      <c r="BK191" s="17">
        <f>IF(AND(BJ191=1,G191&lt;=Config!$B$5),J191,"")</f>
        <v/>
      </c>
      <c r="BL191" s="17">
        <f>IF(AND(AN191=1,OR(AND(ISNUMBER(R191),TRIM(S191)=""),AND(ISNUMBER(V191),TRIM(W191)=""))),1,0)</f>
        <v/>
      </c>
      <c r="BM191" s="17">
        <f>IF(AN191=1,AB191&amp;"","")</f>
        <v/>
      </c>
      <c r="BN191" s="17">
        <f>IF(AN191=1,AC191&amp;"","")</f>
        <v/>
      </c>
      <c r="BO191" s="17">
        <f>IF(AN191=1,AD191&amp;"","")</f>
        <v/>
      </c>
      <c r="BP191" s="17">
        <f>IF(AND(AN191=1,ISNUMBER(AI191),G191&lt;=Config!$B$5),AI191,"")</f>
        <v/>
      </c>
      <c r="BQ191" s="17">
        <f>IF(AN191=1,IF(COUNTIFS($A$2:$A$201,$A191,$AF$2:$AF$201,"Y",$AN$2:$AN$201,1)&gt;0,"Y","N"),"")</f>
        <v/>
      </c>
      <c r="BR191" s="17">
        <f>IF(AND(AN191=1,AF191="Y"),IF(COUNTIFS($A$2:$A$201,$A191,$AF$2:$AF$201,"Y",$AN$2:$AN$201,1,$G$2:$G$201,"&lt;"&amp;G191)+COUNTIFS($A$2:$A$201,$A191,$AF$2:$AF$201,"Y",$AN$2:$AN$201,1,$G$2:$G$201,G191,$AM$2:$AM$201,"&lt;"&amp;AM191)=0,1,0),0)</f>
        <v/>
      </c>
      <c r="BS191" s="17">
        <f>IF(AN191=1,IFERROR(MATCH($A191,INDEX(Clay_Brands!$A$2:$FZ$601,0,Sync!$D$5),0),""),"")</f>
        <v/>
      </c>
      <c r="BT191" s="17">
        <f>IF(BS191="","",IFERROR(INDEX(Clay_Brands!$A$2:$FZ$601,BS191,Sync!$D$7)&amp;"",""))</f>
        <v/>
      </c>
      <c r="BU191" s="17">
        <f>IF(BT191="","",IFERROR(INDEX(Lists!$J$2:$J$15,MATCH(BT191,Lists!$I$2:$I$15,0)),""))</f>
        <v/>
      </c>
      <c r="BV191" s="17">
        <f>IF(BS191="","",IFERROR(INDEX(Clay_Brands!$A$2:$FZ$601,BS191,Sync!$D$17)&amp;"",""))</f>
        <v/>
      </c>
      <c r="BW191" s="23">
        <f>IF(BS191="","",IFERROR(N(INDEX(Clay_Brands!$A$2:$FZ$601,BS191,Sync!$D$16)),0))</f>
        <v/>
      </c>
    </row>
    <row r="192">
      <c r="G192" s="22" t="n"/>
      <c r="AL192" s="17">
        <f>IF(TRIM($A192)="","",IF(AND(LEFT($A192,6)="SAMPLE",Config!$B$19&lt;&gt;"Y"),"",IF(NOT(ISNUMBER(G192)),"call_date is blank or not a date",IF(Sync!$D$5="","Clay paste is empty or has no row_id column: paste the Clay export on Clay_Brands",IF(BS192="","row_id not found in the Clay paste: add the Clay row or fix the row_id",IF(AND(ISNUMBER(BU192),BU192&gt;=1,BU192&lt;=5),"Clay status is "&amp;BT192&amp;": set call_done or later",IF(AND(AP192=1,BV192&lt;&gt;BQ192),"Clay yes_in_principle should be "&amp;BQ192,IF(AND(AP192=1,BW192&lt;&gt;G192),"Clay call_date should be "&amp;TEXT(G192,"yyyy-mm-dd"),""))))))))</f>
        <v/>
      </c>
      <c r="AM192" s="17">
        <f>ROW()</f>
        <v/>
      </c>
      <c r="AN192" s="17">
        <f>IF(AND(TRIM($A192)&lt;&gt;"",ISNUMBER(G192)),IF(AND(LEFT($A192,6)="SAMPLE",Config!$B$19&lt;&gt;"Y"),0,1),0)</f>
        <v/>
      </c>
      <c r="AO192" s="17">
        <f>IF(AN192=1,IF(COUNTIFS($A$2:$A$201,$A192,$AN$2:$AN$201,1,$G$2:$G$201,"&lt;"&amp;G192)+COUNTIFS($A$2:$A$201,$A192,$AN$2:$AN$201,1,$G$2:$G$201,G192,$AM$2:$AM$201,"&lt;"&amp;AM192)=0,1,0),0)</f>
        <v/>
      </c>
      <c r="AP192" s="17">
        <f>IF(AN192=1,IF(COUNTIFS($A$2:$A$201,$A192,$AN$2:$AN$201,1,$G$2:$G$201,"&gt;"&amp;G192)+COUNTIFS($A$2:$A$201,$A192,$AN$2:$AN$201,1,$G$2:$G$201,G192,$AM$2:$AM$201,"&gt;"&amp;AM192)=0,1,0),0)</f>
        <v/>
      </c>
      <c r="AQ192" s="17">
        <f>IF(AND(AN192=1,N192="Y",MAX(N(R192),N(V192))&gt;=Config!$B$14),1,0)</f>
        <v/>
      </c>
      <c r="AR192" s="17">
        <f>IF(AQ192=1,IF(COUNTIFS($A$2:$A$201,$A192,$AQ$2:$AQ$201,1,$G$2:$G$201,"&lt;"&amp;G192)+COUNTIFS($A$2:$A$201,$A192,$AQ$2:$AQ$201,1,$G$2:$G$201,G192,$AM$2:$AM$201,"&lt;"&amp;AM192)=0,1,0),0)</f>
        <v/>
      </c>
      <c r="AS192" s="17">
        <f>IF(AND(AN192=1,N192="Y",ISNUMBER(R192)),IF(R192&gt;=Config!$B$14,1,0),0)</f>
        <v/>
      </c>
      <c r="AT192" s="17">
        <f>IF(AS192=1,IF(COUNTIFS($A$2:$A$201,$A192,$AS$2:$AS$201,1,$G$2:$G$201,"&lt;"&amp;G192)+COUNTIFS($A$2:$A$201,$A192,$AS$2:$AS$201,1,$G$2:$G$201,G192,$AM$2:$AM$201,"&lt;"&amp;AM192)=0,1,0),0)</f>
        <v/>
      </c>
      <c r="AU192" s="17">
        <f>IF(AND(AN192=1,N192&lt;&gt;"Y",MAX(N(R192),N(V192))&gt;=Config!$B$14),1,0)</f>
        <v/>
      </c>
      <c r="AV192" s="17">
        <f>IF(AU192=1,IF(COUNTIFS($A$2:$A$201,$A192,$AU$2:$AU$201,1,$G$2:$G$201,"&lt;"&amp;G192)+COUNTIFS($A$2:$A$201,$A192,$AU$2:$AU$201,1,$G$2:$G$201,G192,$AM$2:$AM$201,"&lt;"&amp;AM192)=0,1,0),0)</f>
        <v/>
      </c>
      <c r="AW192" s="17">
        <f>IF(AND(AN192=1,ISNUMBER(R192)),1,0)</f>
        <v/>
      </c>
      <c r="AX192" s="17">
        <f>IF(AW192=1,IF(COUNTIFS($A$2:$A$201,$A192,$AW$2:$AW$201,1,$G$2:$G$201,"&lt;"&amp;G192)+COUNTIFS($A$2:$A$201,$A192,$AW$2:$AW$201,1,$G$2:$G$201,G192,$AM$2:$AM$201,"&lt;"&amp;AM192)=0,1,0),0)</f>
        <v/>
      </c>
      <c r="AY192" s="17">
        <f>IF(AND(AX192=1,G192&lt;=Config!$B$6),R192,"")</f>
        <v/>
      </c>
      <c r="AZ192" s="17">
        <f>IF(AND(AX192=1,G192&lt;=Config!$B$7),R192,"")</f>
        <v/>
      </c>
      <c r="BA192" s="17">
        <f>IF(AND(AX192=1,G192&lt;=Config!$B$8),R192,"")</f>
        <v/>
      </c>
      <c r="BB192" s="17">
        <f>IF(AND(AX192=1,G192&lt;=Config!$B$5),R192,"")</f>
        <v/>
      </c>
      <c r="BC192" s="17">
        <f>IF(AND(AN192=1,ISNUMBER(V192)),1,0)</f>
        <v/>
      </c>
      <c r="BD192" s="17">
        <f>IF(BC192=1,IF(COUNTIFS($A$2:$A$201,$A192,$BC$2:$BC$201,1,$G$2:$G$201,"&lt;"&amp;G192)+COUNTIFS($A$2:$A$201,$A192,$BC$2:$BC$201,1,$G$2:$G$201,G192,$AM$2:$AM$201,"&lt;"&amp;AM192)=0,1,0),0)</f>
        <v/>
      </c>
      <c r="BE192" s="17">
        <f>IF(AND(BD192=1,G192&lt;=Config!$B$6),V192,"")</f>
        <v/>
      </c>
      <c r="BF192" s="17">
        <f>IF(AND(BD192=1,G192&lt;=Config!$B$7),V192,"")</f>
        <v/>
      </c>
      <c r="BG192" s="17">
        <f>IF(AND(BD192=1,G192&lt;=Config!$B$8),V192,"")</f>
        <v/>
      </c>
      <c r="BH192" s="17">
        <f>IF(AND(BD192=1,G192&lt;=Config!$B$5),V192,"")</f>
        <v/>
      </c>
      <c r="BI192" s="17">
        <f>IF(AND(AN192=1,ISNUMBER(J192)),1,0)</f>
        <v/>
      </c>
      <c r="BJ192" s="17">
        <f>IF(BI192=1,IF(COUNTIFS($A$2:$A$201,$A192,$BI$2:$BI$201,1,$G$2:$G$201,"&lt;"&amp;G192)+COUNTIFS($A$2:$A$201,$A192,$BI$2:$BI$201,1,$G$2:$G$201,G192,$AM$2:$AM$201,"&lt;"&amp;AM192)=0,1,0),0)</f>
        <v/>
      </c>
      <c r="BK192" s="17">
        <f>IF(AND(BJ192=1,G192&lt;=Config!$B$5),J192,"")</f>
        <v/>
      </c>
      <c r="BL192" s="17">
        <f>IF(AND(AN192=1,OR(AND(ISNUMBER(R192),TRIM(S192)=""),AND(ISNUMBER(V192),TRIM(W192)=""))),1,0)</f>
        <v/>
      </c>
      <c r="BM192" s="17">
        <f>IF(AN192=1,AB192&amp;"","")</f>
        <v/>
      </c>
      <c r="BN192" s="17">
        <f>IF(AN192=1,AC192&amp;"","")</f>
        <v/>
      </c>
      <c r="BO192" s="17">
        <f>IF(AN192=1,AD192&amp;"","")</f>
        <v/>
      </c>
      <c r="BP192" s="17">
        <f>IF(AND(AN192=1,ISNUMBER(AI192),G192&lt;=Config!$B$5),AI192,"")</f>
        <v/>
      </c>
      <c r="BQ192" s="17">
        <f>IF(AN192=1,IF(COUNTIFS($A$2:$A$201,$A192,$AF$2:$AF$201,"Y",$AN$2:$AN$201,1)&gt;0,"Y","N"),"")</f>
        <v/>
      </c>
      <c r="BR192" s="17">
        <f>IF(AND(AN192=1,AF192="Y"),IF(COUNTIFS($A$2:$A$201,$A192,$AF$2:$AF$201,"Y",$AN$2:$AN$201,1,$G$2:$G$201,"&lt;"&amp;G192)+COUNTIFS($A$2:$A$201,$A192,$AF$2:$AF$201,"Y",$AN$2:$AN$201,1,$G$2:$G$201,G192,$AM$2:$AM$201,"&lt;"&amp;AM192)=0,1,0),0)</f>
        <v/>
      </c>
      <c r="BS192" s="17">
        <f>IF(AN192=1,IFERROR(MATCH($A192,INDEX(Clay_Brands!$A$2:$FZ$601,0,Sync!$D$5),0),""),"")</f>
        <v/>
      </c>
      <c r="BT192" s="17">
        <f>IF(BS192="","",IFERROR(INDEX(Clay_Brands!$A$2:$FZ$601,BS192,Sync!$D$7)&amp;"",""))</f>
        <v/>
      </c>
      <c r="BU192" s="17">
        <f>IF(BT192="","",IFERROR(INDEX(Lists!$J$2:$J$15,MATCH(BT192,Lists!$I$2:$I$15,0)),""))</f>
        <v/>
      </c>
      <c r="BV192" s="17">
        <f>IF(BS192="","",IFERROR(INDEX(Clay_Brands!$A$2:$FZ$601,BS192,Sync!$D$17)&amp;"",""))</f>
        <v/>
      </c>
      <c r="BW192" s="23">
        <f>IF(BS192="","",IFERROR(N(INDEX(Clay_Brands!$A$2:$FZ$601,BS192,Sync!$D$16)),0))</f>
        <v/>
      </c>
    </row>
    <row r="193">
      <c r="G193" s="22" t="n"/>
      <c r="AL193" s="17">
        <f>IF(TRIM($A193)="","",IF(AND(LEFT($A193,6)="SAMPLE",Config!$B$19&lt;&gt;"Y"),"",IF(NOT(ISNUMBER(G193)),"call_date is blank or not a date",IF(Sync!$D$5="","Clay paste is empty or has no row_id column: paste the Clay export on Clay_Brands",IF(BS193="","row_id not found in the Clay paste: add the Clay row or fix the row_id",IF(AND(ISNUMBER(BU193),BU193&gt;=1,BU193&lt;=5),"Clay status is "&amp;BT193&amp;": set call_done or later",IF(AND(AP193=1,BV193&lt;&gt;BQ193),"Clay yes_in_principle should be "&amp;BQ193,IF(AND(AP193=1,BW193&lt;&gt;G193),"Clay call_date should be "&amp;TEXT(G193,"yyyy-mm-dd"),""))))))))</f>
        <v/>
      </c>
      <c r="AM193" s="17">
        <f>ROW()</f>
        <v/>
      </c>
      <c r="AN193" s="17">
        <f>IF(AND(TRIM($A193)&lt;&gt;"",ISNUMBER(G193)),IF(AND(LEFT($A193,6)="SAMPLE",Config!$B$19&lt;&gt;"Y"),0,1),0)</f>
        <v/>
      </c>
      <c r="AO193" s="17">
        <f>IF(AN193=1,IF(COUNTIFS($A$2:$A$201,$A193,$AN$2:$AN$201,1,$G$2:$G$201,"&lt;"&amp;G193)+COUNTIFS($A$2:$A$201,$A193,$AN$2:$AN$201,1,$G$2:$G$201,G193,$AM$2:$AM$201,"&lt;"&amp;AM193)=0,1,0),0)</f>
        <v/>
      </c>
      <c r="AP193" s="17">
        <f>IF(AN193=1,IF(COUNTIFS($A$2:$A$201,$A193,$AN$2:$AN$201,1,$G$2:$G$201,"&gt;"&amp;G193)+COUNTIFS($A$2:$A$201,$A193,$AN$2:$AN$201,1,$G$2:$G$201,G193,$AM$2:$AM$201,"&gt;"&amp;AM193)=0,1,0),0)</f>
        <v/>
      </c>
      <c r="AQ193" s="17">
        <f>IF(AND(AN193=1,N193="Y",MAX(N(R193),N(V193))&gt;=Config!$B$14),1,0)</f>
        <v/>
      </c>
      <c r="AR193" s="17">
        <f>IF(AQ193=1,IF(COUNTIFS($A$2:$A$201,$A193,$AQ$2:$AQ$201,1,$G$2:$G$201,"&lt;"&amp;G193)+COUNTIFS($A$2:$A$201,$A193,$AQ$2:$AQ$201,1,$G$2:$G$201,G193,$AM$2:$AM$201,"&lt;"&amp;AM193)=0,1,0),0)</f>
        <v/>
      </c>
      <c r="AS193" s="17">
        <f>IF(AND(AN193=1,N193="Y",ISNUMBER(R193)),IF(R193&gt;=Config!$B$14,1,0),0)</f>
        <v/>
      </c>
      <c r="AT193" s="17">
        <f>IF(AS193=1,IF(COUNTIFS($A$2:$A$201,$A193,$AS$2:$AS$201,1,$G$2:$G$201,"&lt;"&amp;G193)+COUNTIFS($A$2:$A$201,$A193,$AS$2:$AS$201,1,$G$2:$G$201,G193,$AM$2:$AM$201,"&lt;"&amp;AM193)=0,1,0),0)</f>
        <v/>
      </c>
      <c r="AU193" s="17">
        <f>IF(AND(AN193=1,N193&lt;&gt;"Y",MAX(N(R193),N(V193))&gt;=Config!$B$14),1,0)</f>
        <v/>
      </c>
      <c r="AV193" s="17">
        <f>IF(AU193=1,IF(COUNTIFS($A$2:$A$201,$A193,$AU$2:$AU$201,1,$G$2:$G$201,"&lt;"&amp;G193)+COUNTIFS($A$2:$A$201,$A193,$AU$2:$AU$201,1,$G$2:$G$201,G193,$AM$2:$AM$201,"&lt;"&amp;AM193)=0,1,0),0)</f>
        <v/>
      </c>
      <c r="AW193" s="17">
        <f>IF(AND(AN193=1,ISNUMBER(R193)),1,0)</f>
        <v/>
      </c>
      <c r="AX193" s="17">
        <f>IF(AW193=1,IF(COUNTIFS($A$2:$A$201,$A193,$AW$2:$AW$201,1,$G$2:$G$201,"&lt;"&amp;G193)+COUNTIFS($A$2:$A$201,$A193,$AW$2:$AW$201,1,$G$2:$G$201,G193,$AM$2:$AM$201,"&lt;"&amp;AM193)=0,1,0),0)</f>
        <v/>
      </c>
      <c r="AY193" s="17">
        <f>IF(AND(AX193=1,G193&lt;=Config!$B$6),R193,"")</f>
        <v/>
      </c>
      <c r="AZ193" s="17">
        <f>IF(AND(AX193=1,G193&lt;=Config!$B$7),R193,"")</f>
        <v/>
      </c>
      <c r="BA193" s="17">
        <f>IF(AND(AX193=1,G193&lt;=Config!$B$8),R193,"")</f>
        <v/>
      </c>
      <c r="BB193" s="17">
        <f>IF(AND(AX193=1,G193&lt;=Config!$B$5),R193,"")</f>
        <v/>
      </c>
      <c r="BC193" s="17">
        <f>IF(AND(AN193=1,ISNUMBER(V193)),1,0)</f>
        <v/>
      </c>
      <c r="BD193" s="17">
        <f>IF(BC193=1,IF(COUNTIFS($A$2:$A$201,$A193,$BC$2:$BC$201,1,$G$2:$G$201,"&lt;"&amp;G193)+COUNTIFS($A$2:$A$201,$A193,$BC$2:$BC$201,1,$G$2:$G$201,G193,$AM$2:$AM$201,"&lt;"&amp;AM193)=0,1,0),0)</f>
        <v/>
      </c>
      <c r="BE193" s="17">
        <f>IF(AND(BD193=1,G193&lt;=Config!$B$6),V193,"")</f>
        <v/>
      </c>
      <c r="BF193" s="17">
        <f>IF(AND(BD193=1,G193&lt;=Config!$B$7),V193,"")</f>
        <v/>
      </c>
      <c r="BG193" s="17">
        <f>IF(AND(BD193=1,G193&lt;=Config!$B$8),V193,"")</f>
        <v/>
      </c>
      <c r="BH193" s="17">
        <f>IF(AND(BD193=1,G193&lt;=Config!$B$5),V193,"")</f>
        <v/>
      </c>
      <c r="BI193" s="17">
        <f>IF(AND(AN193=1,ISNUMBER(J193)),1,0)</f>
        <v/>
      </c>
      <c r="BJ193" s="17">
        <f>IF(BI193=1,IF(COUNTIFS($A$2:$A$201,$A193,$BI$2:$BI$201,1,$G$2:$G$201,"&lt;"&amp;G193)+COUNTIFS($A$2:$A$201,$A193,$BI$2:$BI$201,1,$G$2:$G$201,G193,$AM$2:$AM$201,"&lt;"&amp;AM193)=0,1,0),0)</f>
        <v/>
      </c>
      <c r="BK193" s="17">
        <f>IF(AND(BJ193=1,G193&lt;=Config!$B$5),J193,"")</f>
        <v/>
      </c>
      <c r="BL193" s="17">
        <f>IF(AND(AN193=1,OR(AND(ISNUMBER(R193),TRIM(S193)=""),AND(ISNUMBER(V193),TRIM(W193)=""))),1,0)</f>
        <v/>
      </c>
      <c r="BM193" s="17">
        <f>IF(AN193=1,AB193&amp;"","")</f>
        <v/>
      </c>
      <c r="BN193" s="17">
        <f>IF(AN193=1,AC193&amp;"","")</f>
        <v/>
      </c>
      <c r="BO193" s="17">
        <f>IF(AN193=1,AD193&amp;"","")</f>
        <v/>
      </c>
      <c r="BP193" s="17">
        <f>IF(AND(AN193=1,ISNUMBER(AI193),G193&lt;=Config!$B$5),AI193,"")</f>
        <v/>
      </c>
      <c r="BQ193" s="17">
        <f>IF(AN193=1,IF(COUNTIFS($A$2:$A$201,$A193,$AF$2:$AF$201,"Y",$AN$2:$AN$201,1)&gt;0,"Y","N"),"")</f>
        <v/>
      </c>
      <c r="BR193" s="17">
        <f>IF(AND(AN193=1,AF193="Y"),IF(COUNTIFS($A$2:$A$201,$A193,$AF$2:$AF$201,"Y",$AN$2:$AN$201,1,$G$2:$G$201,"&lt;"&amp;G193)+COUNTIFS($A$2:$A$201,$A193,$AF$2:$AF$201,"Y",$AN$2:$AN$201,1,$G$2:$G$201,G193,$AM$2:$AM$201,"&lt;"&amp;AM193)=0,1,0),0)</f>
        <v/>
      </c>
      <c r="BS193" s="17">
        <f>IF(AN193=1,IFERROR(MATCH($A193,INDEX(Clay_Brands!$A$2:$FZ$601,0,Sync!$D$5),0),""),"")</f>
        <v/>
      </c>
      <c r="BT193" s="17">
        <f>IF(BS193="","",IFERROR(INDEX(Clay_Brands!$A$2:$FZ$601,BS193,Sync!$D$7)&amp;"",""))</f>
        <v/>
      </c>
      <c r="BU193" s="17">
        <f>IF(BT193="","",IFERROR(INDEX(Lists!$J$2:$J$15,MATCH(BT193,Lists!$I$2:$I$15,0)),""))</f>
        <v/>
      </c>
      <c r="BV193" s="17">
        <f>IF(BS193="","",IFERROR(INDEX(Clay_Brands!$A$2:$FZ$601,BS193,Sync!$D$17)&amp;"",""))</f>
        <v/>
      </c>
      <c r="BW193" s="23">
        <f>IF(BS193="","",IFERROR(N(INDEX(Clay_Brands!$A$2:$FZ$601,BS193,Sync!$D$16)),0))</f>
        <v/>
      </c>
    </row>
    <row r="194">
      <c r="G194" s="22" t="n"/>
      <c r="AL194" s="17">
        <f>IF(TRIM($A194)="","",IF(AND(LEFT($A194,6)="SAMPLE",Config!$B$19&lt;&gt;"Y"),"",IF(NOT(ISNUMBER(G194)),"call_date is blank or not a date",IF(Sync!$D$5="","Clay paste is empty or has no row_id column: paste the Clay export on Clay_Brands",IF(BS194="","row_id not found in the Clay paste: add the Clay row or fix the row_id",IF(AND(ISNUMBER(BU194),BU194&gt;=1,BU194&lt;=5),"Clay status is "&amp;BT194&amp;": set call_done or later",IF(AND(AP194=1,BV194&lt;&gt;BQ194),"Clay yes_in_principle should be "&amp;BQ194,IF(AND(AP194=1,BW194&lt;&gt;G194),"Clay call_date should be "&amp;TEXT(G194,"yyyy-mm-dd"),""))))))))</f>
        <v/>
      </c>
      <c r="AM194" s="17">
        <f>ROW()</f>
        <v/>
      </c>
      <c r="AN194" s="17">
        <f>IF(AND(TRIM($A194)&lt;&gt;"",ISNUMBER(G194)),IF(AND(LEFT($A194,6)="SAMPLE",Config!$B$19&lt;&gt;"Y"),0,1),0)</f>
        <v/>
      </c>
      <c r="AO194" s="17">
        <f>IF(AN194=1,IF(COUNTIFS($A$2:$A$201,$A194,$AN$2:$AN$201,1,$G$2:$G$201,"&lt;"&amp;G194)+COUNTIFS($A$2:$A$201,$A194,$AN$2:$AN$201,1,$G$2:$G$201,G194,$AM$2:$AM$201,"&lt;"&amp;AM194)=0,1,0),0)</f>
        <v/>
      </c>
      <c r="AP194" s="17">
        <f>IF(AN194=1,IF(COUNTIFS($A$2:$A$201,$A194,$AN$2:$AN$201,1,$G$2:$G$201,"&gt;"&amp;G194)+COUNTIFS($A$2:$A$201,$A194,$AN$2:$AN$201,1,$G$2:$G$201,G194,$AM$2:$AM$201,"&gt;"&amp;AM194)=0,1,0),0)</f>
        <v/>
      </c>
      <c r="AQ194" s="17">
        <f>IF(AND(AN194=1,N194="Y",MAX(N(R194),N(V194))&gt;=Config!$B$14),1,0)</f>
        <v/>
      </c>
      <c r="AR194" s="17">
        <f>IF(AQ194=1,IF(COUNTIFS($A$2:$A$201,$A194,$AQ$2:$AQ$201,1,$G$2:$G$201,"&lt;"&amp;G194)+COUNTIFS($A$2:$A$201,$A194,$AQ$2:$AQ$201,1,$G$2:$G$201,G194,$AM$2:$AM$201,"&lt;"&amp;AM194)=0,1,0),0)</f>
        <v/>
      </c>
      <c r="AS194" s="17">
        <f>IF(AND(AN194=1,N194="Y",ISNUMBER(R194)),IF(R194&gt;=Config!$B$14,1,0),0)</f>
        <v/>
      </c>
      <c r="AT194" s="17">
        <f>IF(AS194=1,IF(COUNTIFS($A$2:$A$201,$A194,$AS$2:$AS$201,1,$G$2:$G$201,"&lt;"&amp;G194)+COUNTIFS($A$2:$A$201,$A194,$AS$2:$AS$201,1,$G$2:$G$201,G194,$AM$2:$AM$201,"&lt;"&amp;AM194)=0,1,0),0)</f>
        <v/>
      </c>
      <c r="AU194" s="17">
        <f>IF(AND(AN194=1,N194&lt;&gt;"Y",MAX(N(R194),N(V194))&gt;=Config!$B$14),1,0)</f>
        <v/>
      </c>
      <c r="AV194" s="17">
        <f>IF(AU194=1,IF(COUNTIFS($A$2:$A$201,$A194,$AU$2:$AU$201,1,$G$2:$G$201,"&lt;"&amp;G194)+COUNTIFS($A$2:$A$201,$A194,$AU$2:$AU$201,1,$G$2:$G$201,G194,$AM$2:$AM$201,"&lt;"&amp;AM194)=0,1,0),0)</f>
        <v/>
      </c>
      <c r="AW194" s="17">
        <f>IF(AND(AN194=1,ISNUMBER(R194)),1,0)</f>
        <v/>
      </c>
      <c r="AX194" s="17">
        <f>IF(AW194=1,IF(COUNTIFS($A$2:$A$201,$A194,$AW$2:$AW$201,1,$G$2:$G$201,"&lt;"&amp;G194)+COUNTIFS($A$2:$A$201,$A194,$AW$2:$AW$201,1,$G$2:$G$201,G194,$AM$2:$AM$201,"&lt;"&amp;AM194)=0,1,0),0)</f>
        <v/>
      </c>
      <c r="AY194" s="17">
        <f>IF(AND(AX194=1,G194&lt;=Config!$B$6),R194,"")</f>
        <v/>
      </c>
      <c r="AZ194" s="17">
        <f>IF(AND(AX194=1,G194&lt;=Config!$B$7),R194,"")</f>
        <v/>
      </c>
      <c r="BA194" s="17">
        <f>IF(AND(AX194=1,G194&lt;=Config!$B$8),R194,"")</f>
        <v/>
      </c>
      <c r="BB194" s="17">
        <f>IF(AND(AX194=1,G194&lt;=Config!$B$5),R194,"")</f>
        <v/>
      </c>
      <c r="BC194" s="17">
        <f>IF(AND(AN194=1,ISNUMBER(V194)),1,0)</f>
        <v/>
      </c>
      <c r="BD194" s="17">
        <f>IF(BC194=1,IF(COUNTIFS($A$2:$A$201,$A194,$BC$2:$BC$201,1,$G$2:$G$201,"&lt;"&amp;G194)+COUNTIFS($A$2:$A$201,$A194,$BC$2:$BC$201,1,$G$2:$G$201,G194,$AM$2:$AM$201,"&lt;"&amp;AM194)=0,1,0),0)</f>
        <v/>
      </c>
      <c r="BE194" s="17">
        <f>IF(AND(BD194=1,G194&lt;=Config!$B$6),V194,"")</f>
        <v/>
      </c>
      <c r="BF194" s="17">
        <f>IF(AND(BD194=1,G194&lt;=Config!$B$7),V194,"")</f>
        <v/>
      </c>
      <c r="BG194" s="17">
        <f>IF(AND(BD194=1,G194&lt;=Config!$B$8),V194,"")</f>
        <v/>
      </c>
      <c r="BH194" s="17">
        <f>IF(AND(BD194=1,G194&lt;=Config!$B$5),V194,"")</f>
        <v/>
      </c>
      <c r="BI194" s="17">
        <f>IF(AND(AN194=1,ISNUMBER(J194)),1,0)</f>
        <v/>
      </c>
      <c r="BJ194" s="17">
        <f>IF(BI194=1,IF(COUNTIFS($A$2:$A$201,$A194,$BI$2:$BI$201,1,$G$2:$G$201,"&lt;"&amp;G194)+COUNTIFS($A$2:$A$201,$A194,$BI$2:$BI$201,1,$G$2:$G$201,G194,$AM$2:$AM$201,"&lt;"&amp;AM194)=0,1,0),0)</f>
        <v/>
      </c>
      <c r="BK194" s="17">
        <f>IF(AND(BJ194=1,G194&lt;=Config!$B$5),J194,"")</f>
        <v/>
      </c>
      <c r="BL194" s="17">
        <f>IF(AND(AN194=1,OR(AND(ISNUMBER(R194),TRIM(S194)=""),AND(ISNUMBER(V194),TRIM(W194)=""))),1,0)</f>
        <v/>
      </c>
      <c r="BM194" s="17">
        <f>IF(AN194=1,AB194&amp;"","")</f>
        <v/>
      </c>
      <c r="BN194" s="17">
        <f>IF(AN194=1,AC194&amp;"","")</f>
        <v/>
      </c>
      <c r="BO194" s="17">
        <f>IF(AN194=1,AD194&amp;"","")</f>
        <v/>
      </c>
      <c r="BP194" s="17">
        <f>IF(AND(AN194=1,ISNUMBER(AI194),G194&lt;=Config!$B$5),AI194,"")</f>
        <v/>
      </c>
      <c r="BQ194" s="17">
        <f>IF(AN194=1,IF(COUNTIFS($A$2:$A$201,$A194,$AF$2:$AF$201,"Y",$AN$2:$AN$201,1)&gt;0,"Y","N"),"")</f>
        <v/>
      </c>
      <c r="BR194" s="17">
        <f>IF(AND(AN194=1,AF194="Y"),IF(COUNTIFS($A$2:$A$201,$A194,$AF$2:$AF$201,"Y",$AN$2:$AN$201,1,$G$2:$G$201,"&lt;"&amp;G194)+COUNTIFS($A$2:$A$201,$A194,$AF$2:$AF$201,"Y",$AN$2:$AN$201,1,$G$2:$G$201,G194,$AM$2:$AM$201,"&lt;"&amp;AM194)=0,1,0),0)</f>
        <v/>
      </c>
      <c r="BS194" s="17">
        <f>IF(AN194=1,IFERROR(MATCH($A194,INDEX(Clay_Brands!$A$2:$FZ$601,0,Sync!$D$5),0),""),"")</f>
        <v/>
      </c>
      <c r="BT194" s="17">
        <f>IF(BS194="","",IFERROR(INDEX(Clay_Brands!$A$2:$FZ$601,BS194,Sync!$D$7)&amp;"",""))</f>
        <v/>
      </c>
      <c r="BU194" s="17">
        <f>IF(BT194="","",IFERROR(INDEX(Lists!$J$2:$J$15,MATCH(BT194,Lists!$I$2:$I$15,0)),""))</f>
        <v/>
      </c>
      <c r="BV194" s="17">
        <f>IF(BS194="","",IFERROR(INDEX(Clay_Brands!$A$2:$FZ$601,BS194,Sync!$D$17)&amp;"",""))</f>
        <v/>
      </c>
      <c r="BW194" s="23">
        <f>IF(BS194="","",IFERROR(N(INDEX(Clay_Brands!$A$2:$FZ$601,BS194,Sync!$D$16)),0))</f>
        <v/>
      </c>
    </row>
    <row r="195">
      <c r="G195" s="22" t="n"/>
      <c r="AL195" s="17">
        <f>IF(TRIM($A195)="","",IF(AND(LEFT($A195,6)="SAMPLE",Config!$B$19&lt;&gt;"Y"),"",IF(NOT(ISNUMBER(G195)),"call_date is blank or not a date",IF(Sync!$D$5="","Clay paste is empty or has no row_id column: paste the Clay export on Clay_Brands",IF(BS195="","row_id not found in the Clay paste: add the Clay row or fix the row_id",IF(AND(ISNUMBER(BU195),BU195&gt;=1,BU195&lt;=5),"Clay status is "&amp;BT195&amp;": set call_done or later",IF(AND(AP195=1,BV195&lt;&gt;BQ195),"Clay yes_in_principle should be "&amp;BQ195,IF(AND(AP195=1,BW195&lt;&gt;G195),"Clay call_date should be "&amp;TEXT(G195,"yyyy-mm-dd"),""))))))))</f>
        <v/>
      </c>
      <c r="AM195" s="17">
        <f>ROW()</f>
        <v/>
      </c>
      <c r="AN195" s="17">
        <f>IF(AND(TRIM($A195)&lt;&gt;"",ISNUMBER(G195)),IF(AND(LEFT($A195,6)="SAMPLE",Config!$B$19&lt;&gt;"Y"),0,1),0)</f>
        <v/>
      </c>
      <c r="AO195" s="17">
        <f>IF(AN195=1,IF(COUNTIFS($A$2:$A$201,$A195,$AN$2:$AN$201,1,$G$2:$G$201,"&lt;"&amp;G195)+COUNTIFS($A$2:$A$201,$A195,$AN$2:$AN$201,1,$G$2:$G$201,G195,$AM$2:$AM$201,"&lt;"&amp;AM195)=0,1,0),0)</f>
        <v/>
      </c>
      <c r="AP195" s="17">
        <f>IF(AN195=1,IF(COUNTIFS($A$2:$A$201,$A195,$AN$2:$AN$201,1,$G$2:$G$201,"&gt;"&amp;G195)+COUNTIFS($A$2:$A$201,$A195,$AN$2:$AN$201,1,$G$2:$G$201,G195,$AM$2:$AM$201,"&gt;"&amp;AM195)=0,1,0),0)</f>
        <v/>
      </c>
      <c r="AQ195" s="17">
        <f>IF(AND(AN195=1,N195="Y",MAX(N(R195),N(V195))&gt;=Config!$B$14),1,0)</f>
        <v/>
      </c>
      <c r="AR195" s="17">
        <f>IF(AQ195=1,IF(COUNTIFS($A$2:$A$201,$A195,$AQ$2:$AQ$201,1,$G$2:$G$201,"&lt;"&amp;G195)+COUNTIFS($A$2:$A$201,$A195,$AQ$2:$AQ$201,1,$G$2:$G$201,G195,$AM$2:$AM$201,"&lt;"&amp;AM195)=0,1,0),0)</f>
        <v/>
      </c>
      <c r="AS195" s="17">
        <f>IF(AND(AN195=1,N195="Y",ISNUMBER(R195)),IF(R195&gt;=Config!$B$14,1,0),0)</f>
        <v/>
      </c>
      <c r="AT195" s="17">
        <f>IF(AS195=1,IF(COUNTIFS($A$2:$A$201,$A195,$AS$2:$AS$201,1,$G$2:$G$201,"&lt;"&amp;G195)+COUNTIFS($A$2:$A$201,$A195,$AS$2:$AS$201,1,$G$2:$G$201,G195,$AM$2:$AM$201,"&lt;"&amp;AM195)=0,1,0),0)</f>
        <v/>
      </c>
      <c r="AU195" s="17">
        <f>IF(AND(AN195=1,N195&lt;&gt;"Y",MAX(N(R195),N(V195))&gt;=Config!$B$14),1,0)</f>
        <v/>
      </c>
      <c r="AV195" s="17">
        <f>IF(AU195=1,IF(COUNTIFS($A$2:$A$201,$A195,$AU$2:$AU$201,1,$G$2:$G$201,"&lt;"&amp;G195)+COUNTIFS($A$2:$A$201,$A195,$AU$2:$AU$201,1,$G$2:$G$201,G195,$AM$2:$AM$201,"&lt;"&amp;AM195)=0,1,0),0)</f>
        <v/>
      </c>
      <c r="AW195" s="17">
        <f>IF(AND(AN195=1,ISNUMBER(R195)),1,0)</f>
        <v/>
      </c>
      <c r="AX195" s="17">
        <f>IF(AW195=1,IF(COUNTIFS($A$2:$A$201,$A195,$AW$2:$AW$201,1,$G$2:$G$201,"&lt;"&amp;G195)+COUNTIFS($A$2:$A$201,$A195,$AW$2:$AW$201,1,$G$2:$G$201,G195,$AM$2:$AM$201,"&lt;"&amp;AM195)=0,1,0),0)</f>
        <v/>
      </c>
      <c r="AY195" s="17">
        <f>IF(AND(AX195=1,G195&lt;=Config!$B$6),R195,"")</f>
        <v/>
      </c>
      <c r="AZ195" s="17">
        <f>IF(AND(AX195=1,G195&lt;=Config!$B$7),R195,"")</f>
        <v/>
      </c>
      <c r="BA195" s="17">
        <f>IF(AND(AX195=1,G195&lt;=Config!$B$8),R195,"")</f>
        <v/>
      </c>
      <c r="BB195" s="17">
        <f>IF(AND(AX195=1,G195&lt;=Config!$B$5),R195,"")</f>
        <v/>
      </c>
      <c r="BC195" s="17">
        <f>IF(AND(AN195=1,ISNUMBER(V195)),1,0)</f>
        <v/>
      </c>
      <c r="BD195" s="17">
        <f>IF(BC195=1,IF(COUNTIFS($A$2:$A$201,$A195,$BC$2:$BC$201,1,$G$2:$G$201,"&lt;"&amp;G195)+COUNTIFS($A$2:$A$201,$A195,$BC$2:$BC$201,1,$G$2:$G$201,G195,$AM$2:$AM$201,"&lt;"&amp;AM195)=0,1,0),0)</f>
        <v/>
      </c>
      <c r="BE195" s="17">
        <f>IF(AND(BD195=1,G195&lt;=Config!$B$6),V195,"")</f>
        <v/>
      </c>
      <c r="BF195" s="17">
        <f>IF(AND(BD195=1,G195&lt;=Config!$B$7),V195,"")</f>
        <v/>
      </c>
      <c r="BG195" s="17">
        <f>IF(AND(BD195=1,G195&lt;=Config!$B$8),V195,"")</f>
        <v/>
      </c>
      <c r="BH195" s="17">
        <f>IF(AND(BD195=1,G195&lt;=Config!$B$5),V195,"")</f>
        <v/>
      </c>
      <c r="BI195" s="17">
        <f>IF(AND(AN195=1,ISNUMBER(J195)),1,0)</f>
        <v/>
      </c>
      <c r="BJ195" s="17">
        <f>IF(BI195=1,IF(COUNTIFS($A$2:$A$201,$A195,$BI$2:$BI$201,1,$G$2:$G$201,"&lt;"&amp;G195)+COUNTIFS($A$2:$A$201,$A195,$BI$2:$BI$201,1,$G$2:$G$201,G195,$AM$2:$AM$201,"&lt;"&amp;AM195)=0,1,0),0)</f>
        <v/>
      </c>
      <c r="BK195" s="17">
        <f>IF(AND(BJ195=1,G195&lt;=Config!$B$5),J195,"")</f>
        <v/>
      </c>
      <c r="BL195" s="17">
        <f>IF(AND(AN195=1,OR(AND(ISNUMBER(R195),TRIM(S195)=""),AND(ISNUMBER(V195),TRIM(W195)=""))),1,0)</f>
        <v/>
      </c>
      <c r="BM195" s="17">
        <f>IF(AN195=1,AB195&amp;"","")</f>
        <v/>
      </c>
      <c r="BN195" s="17">
        <f>IF(AN195=1,AC195&amp;"","")</f>
        <v/>
      </c>
      <c r="BO195" s="17">
        <f>IF(AN195=1,AD195&amp;"","")</f>
        <v/>
      </c>
      <c r="BP195" s="17">
        <f>IF(AND(AN195=1,ISNUMBER(AI195),G195&lt;=Config!$B$5),AI195,"")</f>
        <v/>
      </c>
      <c r="BQ195" s="17">
        <f>IF(AN195=1,IF(COUNTIFS($A$2:$A$201,$A195,$AF$2:$AF$201,"Y",$AN$2:$AN$201,1)&gt;0,"Y","N"),"")</f>
        <v/>
      </c>
      <c r="BR195" s="17">
        <f>IF(AND(AN195=1,AF195="Y"),IF(COUNTIFS($A$2:$A$201,$A195,$AF$2:$AF$201,"Y",$AN$2:$AN$201,1,$G$2:$G$201,"&lt;"&amp;G195)+COUNTIFS($A$2:$A$201,$A195,$AF$2:$AF$201,"Y",$AN$2:$AN$201,1,$G$2:$G$201,G195,$AM$2:$AM$201,"&lt;"&amp;AM195)=0,1,0),0)</f>
        <v/>
      </c>
      <c r="BS195" s="17">
        <f>IF(AN195=1,IFERROR(MATCH($A195,INDEX(Clay_Brands!$A$2:$FZ$601,0,Sync!$D$5),0),""),"")</f>
        <v/>
      </c>
      <c r="BT195" s="17">
        <f>IF(BS195="","",IFERROR(INDEX(Clay_Brands!$A$2:$FZ$601,BS195,Sync!$D$7)&amp;"",""))</f>
        <v/>
      </c>
      <c r="BU195" s="17">
        <f>IF(BT195="","",IFERROR(INDEX(Lists!$J$2:$J$15,MATCH(BT195,Lists!$I$2:$I$15,0)),""))</f>
        <v/>
      </c>
      <c r="BV195" s="17">
        <f>IF(BS195="","",IFERROR(INDEX(Clay_Brands!$A$2:$FZ$601,BS195,Sync!$D$17)&amp;"",""))</f>
        <v/>
      </c>
      <c r="BW195" s="23">
        <f>IF(BS195="","",IFERROR(N(INDEX(Clay_Brands!$A$2:$FZ$601,BS195,Sync!$D$16)),0))</f>
        <v/>
      </c>
    </row>
    <row r="196">
      <c r="G196" s="22" t="n"/>
      <c r="AL196" s="17">
        <f>IF(TRIM($A196)="","",IF(AND(LEFT($A196,6)="SAMPLE",Config!$B$19&lt;&gt;"Y"),"",IF(NOT(ISNUMBER(G196)),"call_date is blank or not a date",IF(Sync!$D$5="","Clay paste is empty or has no row_id column: paste the Clay export on Clay_Brands",IF(BS196="","row_id not found in the Clay paste: add the Clay row or fix the row_id",IF(AND(ISNUMBER(BU196),BU196&gt;=1,BU196&lt;=5),"Clay status is "&amp;BT196&amp;": set call_done or later",IF(AND(AP196=1,BV196&lt;&gt;BQ196),"Clay yes_in_principle should be "&amp;BQ196,IF(AND(AP196=1,BW196&lt;&gt;G196),"Clay call_date should be "&amp;TEXT(G196,"yyyy-mm-dd"),""))))))))</f>
        <v/>
      </c>
      <c r="AM196" s="17">
        <f>ROW()</f>
        <v/>
      </c>
      <c r="AN196" s="17">
        <f>IF(AND(TRIM($A196)&lt;&gt;"",ISNUMBER(G196)),IF(AND(LEFT($A196,6)="SAMPLE",Config!$B$19&lt;&gt;"Y"),0,1),0)</f>
        <v/>
      </c>
      <c r="AO196" s="17">
        <f>IF(AN196=1,IF(COUNTIFS($A$2:$A$201,$A196,$AN$2:$AN$201,1,$G$2:$G$201,"&lt;"&amp;G196)+COUNTIFS($A$2:$A$201,$A196,$AN$2:$AN$201,1,$G$2:$G$201,G196,$AM$2:$AM$201,"&lt;"&amp;AM196)=0,1,0),0)</f>
        <v/>
      </c>
      <c r="AP196" s="17">
        <f>IF(AN196=1,IF(COUNTIFS($A$2:$A$201,$A196,$AN$2:$AN$201,1,$G$2:$G$201,"&gt;"&amp;G196)+COUNTIFS($A$2:$A$201,$A196,$AN$2:$AN$201,1,$G$2:$G$201,G196,$AM$2:$AM$201,"&gt;"&amp;AM196)=0,1,0),0)</f>
        <v/>
      </c>
      <c r="AQ196" s="17">
        <f>IF(AND(AN196=1,N196="Y",MAX(N(R196),N(V196))&gt;=Config!$B$14),1,0)</f>
        <v/>
      </c>
      <c r="AR196" s="17">
        <f>IF(AQ196=1,IF(COUNTIFS($A$2:$A$201,$A196,$AQ$2:$AQ$201,1,$G$2:$G$201,"&lt;"&amp;G196)+COUNTIFS($A$2:$A$201,$A196,$AQ$2:$AQ$201,1,$G$2:$G$201,G196,$AM$2:$AM$201,"&lt;"&amp;AM196)=0,1,0),0)</f>
        <v/>
      </c>
      <c r="AS196" s="17">
        <f>IF(AND(AN196=1,N196="Y",ISNUMBER(R196)),IF(R196&gt;=Config!$B$14,1,0),0)</f>
        <v/>
      </c>
      <c r="AT196" s="17">
        <f>IF(AS196=1,IF(COUNTIFS($A$2:$A$201,$A196,$AS$2:$AS$201,1,$G$2:$G$201,"&lt;"&amp;G196)+COUNTIFS($A$2:$A$201,$A196,$AS$2:$AS$201,1,$G$2:$G$201,G196,$AM$2:$AM$201,"&lt;"&amp;AM196)=0,1,0),0)</f>
        <v/>
      </c>
      <c r="AU196" s="17">
        <f>IF(AND(AN196=1,N196&lt;&gt;"Y",MAX(N(R196),N(V196))&gt;=Config!$B$14),1,0)</f>
        <v/>
      </c>
      <c r="AV196" s="17">
        <f>IF(AU196=1,IF(COUNTIFS($A$2:$A$201,$A196,$AU$2:$AU$201,1,$G$2:$G$201,"&lt;"&amp;G196)+COUNTIFS($A$2:$A$201,$A196,$AU$2:$AU$201,1,$G$2:$G$201,G196,$AM$2:$AM$201,"&lt;"&amp;AM196)=0,1,0),0)</f>
        <v/>
      </c>
      <c r="AW196" s="17">
        <f>IF(AND(AN196=1,ISNUMBER(R196)),1,0)</f>
        <v/>
      </c>
      <c r="AX196" s="17">
        <f>IF(AW196=1,IF(COUNTIFS($A$2:$A$201,$A196,$AW$2:$AW$201,1,$G$2:$G$201,"&lt;"&amp;G196)+COUNTIFS($A$2:$A$201,$A196,$AW$2:$AW$201,1,$G$2:$G$201,G196,$AM$2:$AM$201,"&lt;"&amp;AM196)=0,1,0),0)</f>
        <v/>
      </c>
      <c r="AY196" s="17">
        <f>IF(AND(AX196=1,G196&lt;=Config!$B$6),R196,"")</f>
        <v/>
      </c>
      <c r="AZ196" s="17">
        <f>IF(AND(AX196=1,G196&lt;=Config!$B$7),R196,"")</f>
        <v/>
      </c>
      <c r="BA196" s="17">
        <f>IF(AND(AX196=1,G196&lt;=Config!$B$8),R196,"")</f>
        <v/>
      </c>
      <c r="BB196" s="17">
        <f>IF(AND(AX196=1,G196&lt;=Config!$B$5),R196,"")</f>
        <v/>
      </c>
      <c r="BC196" s="17">
        <f>IF(AND(AN196=1,ISNUMBER(V196)),1,0)</f>
        <v/>
      </c>
      <c r="BD196" s="17">
        <f>IF(BC196=1,IF(COUNTIFS($A$2:$A$201,$A196,$BC$2:$BC$201,1,$G$2:$G$201,"&lt;"&amp;G196)+COUNTIFS($A$2:$A$201,$A196,$BC$2:$BC$201,1,$G$2:$G$201,G196,$AM$2:$AM$201,"&lt;"&amp;AM196)=0,1,0),0)</f>
        <v/>
      </c>
      <c r="BE196" s="17">
        <f>IF(AND(BD196=1,G196&lt;=Config!$B$6),V196,"")</f>
        <v/>
      </c>
      <c r="BF196" s="17">
        <f>IF(AND(BD196=1,G196&lt;=Config!$B$7),V196,"")</f>
        <v/>
      </c>
      <c r="BG196" s="17">
        <f>IF(AND(BD196=1,G196&lt;=Config!$B$8),V196,"")</f>
        <v/>
      </c>
      <c r="BH196" s="17">
        <f>IF(AND(BD196=1,G196&lt;=Config!$B$5),V196,"")</f>
        <v/>
      </c>
      <c r="BI196" s="17">
        <f>IF(AND(AN196=1,ISNUMBER(J196)),1,0)</f>
        <v/>
      </c>
      <c r="BJ196" s="17">
        <f>IF(BI196=1,IF(COUNTIFS($A$2:$A$201,$A196,$BI$2:$BI$201,1,$G$2:$G$201,"&lt;"&amp;G196)+COUNTIFS($A$2:$A$201,$A196,$BI$2:$BI$201,1,$G$2:$G$201,G196,$AM$2:$AM$201,"&lt;"&amp;AM196)=0,1,0),0)</f>
        <v/>
      </c>
      <c r="BK196" s="17">
        <f>IF(AND(BJ196=1,G196&lt;=Config!$B$5),J196,"")</f>
        <v/>
      </c>
      <c r="BL196" s="17">
        <f>IF(AND(AN196=1,OR(AND(ISNUMBER(R196),TRIM(S196)=""),AND(ISNUMBER(V196),TRIM(W196)=""))),1,0)</f>
        <v/>
      </c>
      <c r="BM196" s="17">
        <f>IF(AN196=1,AB196&amp;"","")</f>
        <v/>
      </c>
      <c r="BN196" s="17">
        <f>IF(AN196=1,AC196&amp;"","")</f>
        <v/>
      </c>
      <c r="BO196" s="17">
        <f>IF(AN196=1,AD196&amp;"","")</f>
        <v/>
      </c>
      <c r="BP196" s="17">
        <f>IF(AND(AN196=1,ISNUMBER(AI196),G196&lt;=Config!$B$5),AI196,"")</f>
        <v/>
      </c>
      <c r="BQ196" s="17">
        <f>IF(AN196=1,IF(COUNTIFS($A$2:$A$201,$A196,$AF$2:$AF$201,"Y",$AN$2:$AN$201,1)&gt;0,"Y","N"),"")</f>
        <v/>
      </c>
      <c r="BR196" s="17">
        <f>IF(AND(AN196=1,AF196="Y"),IF(COUNTIFS($A$2:$A$201,$A196,$AF$2:$AF$201,"Y",$AN$2:$AN$201,1,$G$2:$G$201,"&lt;"&amp;G196)+COUNTIFS($A$2:$A$201,$A196,$AF$2:$AF$201,"Y",$AN$2:$AN$201,1,$G$2:$G$201,G196,$AM$2:$AM$201,"&lt;"&amp;AM196)=0,1,0),0)</f>
        <v/>
      </c>
      <c r="BS196" s="17">
        <f>IF(AN196=1,IFERROR(MATCH($A196,INDEX(Clay_Brands!$A$2:$FZ$601,0,Sync!$D$5),0),""),"")</f>
        <v/>
      </c>
      <c r="BT196" s="17">
        <f>IF(BS196="","",IFERROR(INDEX(Clay_Brands!$A$2:$FZ$601,BS196,Sync!$D$7)&amp;"",""))</f>
        <v/>
      </c>
      <c r="BU196" s="17">
        <f>IF(BT196="","",IFERROR(INDEX(Lists!$J$2:$J$15,MATCH(BT196,Lists!$I$2:$I$15,0)),""))</f>
        <v/>
      </c>
      <c r="BV196" s="17">
        <f>IF(BS196="","",IFERROR(INDEX(Clay_Brands!$A$2:$FZ$601,BS196,Sync!$D$17)&amp;"",""))</f>
        <v/>
      </c>
      <c r="BW196" s="23">
        <f>IF(BS196="","",IFERROR(N(INDEX(Clay_Brands!$A$2:$FZ$601,BS196,Sync!$D$16)),0))</f>
        <v/>
      </c>
    </row>
    <row r="197">
      <c r="G197" s="22" t="n"/>
      <c r="AL197" s="17">
        <f>IF(TRIM($A197)="","",IF(AND(LEFT($A197,6)="SAMPLE",Config!$B$19&lt;&gt;"Y"),"",IF(NOT(ISNUMBER(G197)),"call_date is blank or not a date",IF(Sync!$D$5="","Clay paste is empty or has no row_id column: paste the Clay export on Clay_Brands",IF(BS197="","row_id not found in the Clay paste: add the Clay row or fix the row_id",IF(AND(ISNUMBER(BU197),BU197&gt;=1,BU197&lt;=5),"Clay status is "&amp;BT197&amp;": set call_done or later",IF(AND(AP197=1,BV197&lt;&gt;BQ197),"Clay yes_in_principle should be "&amp;BQ197,IF(AND(AP197=1,BW197&lt;&gt;G197),"Clay call_date should be "&amp;TEXT(G197,"yyyy-mm-dd"),""))))))))</f>
        <v/>
      </c>
      <c r="AM197" s="17">
        <f>ROW()</f>
        <v/>
      </c>
      <c r="AN197" s="17">
        <f>IF(AND(TRIM($A197)&lt;&gt;"",ISNUMBER(G197)),IF(AND(LEFT($A197,6)="SAMPLE",Config!$B$19&lt;&gt;"Y"),0,1),0)</f>
        <v/>
      </c>
      <c r="AO197" s="17">
        <f>IF(AN197=1,IF(COUNTIFS($A$2:$A$201,$A197,$AN$2:$AN$201,1,$G$2:$G$201,"&lt;"&amp;G197)+COUNTIFS($A$2:$A$201,$A197,$AN$2:$AN$201,1,$G$2:$G$201,G197,$AM$2:$AM$201,"&lt;"&amp;AM197)=0,1,0),0)</f>
        <v/>
      </c>
      <c r="AP197" s="17">
        <f>IF(AN197=1,IF(COUNTIFS($A$2:$A$201,$A197,$AN$2:$AN$201,1,$G$2:$G$201,"&gt;"&amp;G197)+COUNTIFS($A$2:$A$201,$A197,$AN$2:$AN$201,1,$G$2:$G$201,G197,$AM$2:$AM$201,"&gt;"&amp;AM197)=0,1,0),0)</f>
        <v/>
      </c>
      <c r="AQ197" s="17">
        <f>IF(AND(AN197=1,N197="Y",MAX(N(R197),N(V197))&gt;=Config!$B$14),1,0)</f>
        <v/>
      </c>
      <c r="AR197" s="17">
        <f>IF(AQ197=1,IF(COUNTIFS($A$2:$A$201,$A197,$AQ$2:$AQ$201,1,$G$2:$G$201,"&lt;"&amp;G197)+COUNTIFS($A$2:$A$201,$A197,$AQ$2:$AQ$201,1,$G$2:$G$201,G197,$AM$2:$AM$201,"&lt;"&amp;AM197)=0,1,0),0)</f>
        <v/>
      </c>
      <c r="AS197" s="17">
        <f>IF(AND(AN197=1,N197="Y",ISNUMBER(R197)),IF(R197&gt;=Config!$B$14,1,0),0)</f>
        <v/>
      </c>
      <c r="AT197" s="17">
        <f>IF(AS197=1,IF(COUNTIFS($A$2:$A$201,$A197,$AS$2:$AS$201,1,$G$2:$G$201,"&lt;"&amp;G197)+COUNTIFS($A$2:$A$201,$A197,$AS$2:$AS$201,1,$G$2:$G$201,G197,$AM$2:$AM$201,"&lt;"&amp;AM197)=0,1,0),0)</f>
        <v/>
      </c>
      <c r="AU197" s="17">
        <f>IF(AND(AN197=1,N197&lt;&gt;"Y",MAX(N(R197),N(V197))&gt;=Config!$B$14),1,0)</f>
        <v/>
      </c>
      <c r="AV197" s="17">
        <f>IF(AU197=1,IF(COUNTIFS($A$2:$A$201,$A197,$AU$2:$AU$201,1,$G$2:$G$201,"&lt;"&amp;G197)+COUNTIFS($A$2:$A$201,$A197,$AU$2:$AU$201,1,$G$2:$G$201,G197,$AM$2:$AM$201,"&lt;"&amp;AM197)=0,1,0),0)</f>
        <v/>
      </c>
      <c r="AW197" s="17">
        <f>IF(AND(AN197=1,ISNUMBER(R197)),1,0)</f>
        <v/>
      </c>
      <c r="AX197" s="17">
        <f>IF(AW197=1,IF(COUNTIFS($A$2:$A$201,$A197,$AW$2:$AW$201,1,$G$2:$G$201,"&lt;"&amp;G197)+COUNTIFS($A$2:$A$201,$A197,$AW$2:$AW$201,1,$G$2:$G$201,G197,$AM$2:$AM$201,"&lt;"&amp;AM197)=0,1,0),0)</f>
        <v/>
      </c>
      <c r="AY197" s="17">
        <f>IF(AND(AX197=1,G197&lt;=Config!$B$6),R197,"")</f>
        <v/>
      </c>
      <c r="AZ197" s="17">
        <f>IF(AND(AX197=1,G197&lt;=Config!$B$7),R197,"")</f>
        <v/>
      </c>
      <c r="BA197" s="17">
        <f>IF(AND(AX197=1,G197&lt;=Config!$B$8),R197,"")</f>
        <v/>
      </c>
      <c r="BB197" s="17">
        <f>IF(AND(AX197=1,G197&lt;=Config!$B$5),R197,"")</f>
        <v/>
      </c>
      <c r="BC197" s="17">
        <f>IF(AND(AN197=1,ISNUMBER(V197)),1,0)</f>
        <v/>
      </c>
      <c r="BD197" s="17">
        <f>IF(BC197=1,IF(COUNTIFS($A$2:$A$201,$A197,$BC$2:$BC$201,1,$G$2:$G$201,"&lt;"&amp;G197)+COUNTIFS($A$2:$A$201,$A197,$BC$2:$BC$201,1,$G$2:$G$201,G197,$AM$2:$AM$201,"&lt;"&amp;AM197)=0,1,0),0)</f>
        <v/>
      </c>
      <c r="BE197" s="17">
        <f>IF(AND(BD197=1,G197&lt;=Config!$B$6),V197,"")</f>
        <v/>
      </c>
      <c r="BF197" s="17">
        <f>IF(AND(BD197=1,G197&lt;=Config!$B$7),V197,"")</f>
        <v/>
      </c>
      <c r="BG197" s="17">
        <f>IF(AND(BD197=1,G197&lt;=Config!$B$8),V197,"")</f>
        <v/>
      </c>
      <c r="BH197" s="17">
        <f>IF(AND(BD197=1,G197&lt;=Config!$B$5),V197,"")</f>
        <v/>
      </c>
      <c r="BI197" s="17">
        <f>IF(AND(AN197=1,ISNUMBER(J197)),1,0)</f>
        <v/>
      </c>
      <c r="BJ197" s="17">
        <f>IF(BI197=1,IF(COUNTIFS($A$2:$A$201,$A197,$BI$2:$BI$201,1,$G$2:$G$201,"&lt;"&amp;G197)+COUNTIFS($A$2:$A$201,$A197,$BI$2:$BI$201,1,$G$2:$G$201,G197,$AM$2:$AM$201,"&lt;"&amp;AM197)=0,1,0),0)</f>
        <v/>
      </c>
      <c r="BK197" s="17">
        <f>IF(AND(BJ197=1,G197&lt;=Config!$B$5),J197,"")</f>
        <v/>
      </c>
      <c r="BL197" s="17">
        <f>IF(AND(AN197=1,OR(AND(ISNUMBER(R197),TRIM(S197)=""),AND(ISNUMBER(V197),TRIM(W197)=""))),1,0)</f>
        <v/>
      </c>
      <c r="BM197" s="17">
        <f>IF(AN197=1,AB197&amp;"","")</f>
        <v/>
      </c>
      <c r="BN197" s="17">
        <f>IF(AN197=1,AC197&amp;"","")</f>
        <v/>
      </c>
      <c r="BO197" s="17">
        <f>IF(AN197=1,AD197&amp;"","")</f>
        <v/>
      </c>
      <c r="BP197" s="17">
        <f>IF(AND(AN197=1,ISNUMBER(AI197),G197&lt;=Config!$B$5),AI197,"")</f>
        <v/>
      </c>
      <c r="BQ197" s="17">
        <f>IF(AN197=1,IF(COUNTIFS($A$2:$A$201,$A197,$AF$2:$AF$201,"Y",$AN$2:$AN$201,1)&gt;0,"Y","N"),"")</f>
        <v/>
      </c>
      <c r="BR197" s="17">
        <f>IF(AND(AN197=1,AF197="Y"),IF(COUNTIFS($A$2:$A$201,$A197,$AF$2:$AF$201,"Y",$AN$2:$AN$201,1,$G$2:$G$201,"&lt;"&amp;G197)+COUNTIFS($A$2:$A$201,$A197,$AF$2:$AF$201,"Y",$AN$2:$AN$201,1,$G$2:$G$201,G197,$AM$2:$AM$201,"&lt;"&amp;AM197)=0,1,0),0)</f>
        <v/>
      </c>
      <c r="BS197" s="17">
        <f>IF(AN197=1,IFERROR(MATCH($A197,INDEX(Clay_Brands!$A$2:$FZ$601,0,Sync!$D$5),0),""),"")</f>
        <v/>
      </c>
      <c r="BT197" s="17">
        <f>IF(BS197="","",IFERROR(INDEX(Clay_Brands!$A$2:$FZ$601,BS197,Sync!$D$7)&amp;"",""))</f>
        <v/>
      </c>
      <c r="BU197" s="17">
        <f>IF(BT197="","",IFERROR(INDEX(Lists!$J$2:$J$15,MATCH(BT197,Lists!$I$2:$I$15,0)),""))</f>
        <v/>
      </c>
      <c r="BV197" s="17">
        <f>IF(BS197="","",IFERROR(INDEX(Clay_Brands!$A$2:$FZ$601,BS197,Sync!$D$17)&amp;"",""))</f>
        <v/>
      </c>
      <c r="BW197" s="23">
        <f>IF(BS197="","",IFERROR(N(INDEX(Clay_Brands!$A$2:$FZ$601,BS197,Sync!$D$16)),0))</f>
        <v/>
      </c>
    </row>
    <row r="198">
      <c r="G198" s="22" t="n"/>
      <c r="AL198" s="17">
        <f>IF(TRIM($A198)="","",IF(AND(LEFT($A198,6)="SAMPLE",Config!$B$19&lt;&gt;"Y"),"",IF(NOT(ISNUMBER(G198)),"call_date is blank or not a date",IF(Sync!$D$5="","Clay paste is empty or has no row_id column: paste the Clay export on Clay_Brands",IF(BS198="","row_id not found in the Clay paste: add the Clay row or fix the row_id",IF(AND(ISNUMBER(BU198),BU198&gt;=1,BU198&lt;=5),"Clay status is "&amp;BT198&amp;": set call_done or later",IF(AND(AP198=1,BV198&lt;&gt;BQ198),"Clay yes_in_principle should be "&amp;BQ198,IF(AND(AP198=1,BW198&lt;&gt;G198),"Clay call_date should be "&amp;TEXT(G198,"yyyy-mm-dd"),""))))))))</f>
        <v/>
      </c>
      <c r="AM198" s="17">
        <f>ROW()</f>
        <v/>
      </c>
      <c r="AN198" s="17">
        <f>IF(AND(TRIM($A198)&lt;&gt;"",ISNUMBER(G198)),IF(AND(LEFT($A198,6)="SAMPLE",Config!$B$19&lt;&gt;"Y"),0,1),0)</f>
        <v/>
      </c>
      <c r="AO198" s="17">
        <f>IF(AN198=1,IF(COUNTIFS($A$2:$A$201,$A198,$AN$2:$AN$201,1,$G$2:$G$201,"&lt;"&amp;G198)+COUNTIFS($A$2:$A$201,$A198,$AN$2:$AN$201,1,$G$2:$G$201,G198,$AM$2:$AM$201,"&lt;"&amp;AM198)=0,1,0),0)</f>
        <v/>
      </c>
      <c r="AP198" s="17">
        <f>IF(AN198=1,IF(COUNTIFS($A$2:$A$201,$A198,$AN$2:$AN$201,1,$G$2:$G$201,"&gt;"&amp;G198)+COUNTIFS($A$2:$A$201,$A198,$AN$2:$AN$201,1,$G$2:$G$201,G198,$AM$2:$AM$201,"&gt;"&amp;AM198)=0,1,0),0)</f>
        <v/>
      </c>
      <c r="AQ198" s="17">
        <f>IF(AND(AN198=1,N198="Y",MAX(N(R198),N(V198))&gt;=Config!$B$14),1,0)</f>
        <v/>
      </c>
      <c r="AR198" s="17">
        <f>IF(AQ198=1,IF(COUNTIFS($A$2:$A$201,$A198,$AQ$2:$AQ$201,1,$G$2:$G$201,"&lt;"&amp;G198)+COUNTIFS($A$2:$A$201,$A198,$AQ$2:$AQ$201,1,$G$2:$G$201,G198,$AM$2:$AM$201,"&lt;"&amp;AM198)=0,1,0),0)</f>
        <v/>
      </c>
      <c r="AS198" s="17">
        <f>IF(AND(AN198=1,N198="Y",ISNUMBER(R198)),IF(R198&gt;=Config!$B$14,1,0),0)</f>
        <v/>
      </c>
      <c r="AT198" s="17">
        <f>IF(AS198=1,IF(COUNTIFS($A$2:$A$201,$A198,$AS$2:$AS$201,1,$G$2:$G$201,"&lt;"&amp;G198)+COUNTIFS($A$2:$A$201,$A198,$AS$2:$AS$201,1,$G$2:$G$201,G198,$AM$2:$AM$201,"&lt;"&amp;AM198)=0,1,0),0)</f>
        <v/>
      </c>
      <c r="AU198" s="17">
        <f>IF(AND(AN198=1,N198&lt;&gt;"Y",MAX(N(R198),N(V198))&gt;=Config!$B$14),1,0)</f>
        <v/>
      </c>
      <c r="AV198" s="17">
        <f>IF(AU198=1,IF(COUNTIFS($A$2:$A$201,$A198,$AU$2:$AU$201,1,$G$2:$G$201,"&lt;"&amp;G198)+COUNTIFS($A$2:$A$201,$A198,$AU$2:$AU$201,1,$G$2:$G$201,G198,$AM$2:$AM$201,"&lt;"&amp;AM198)=0,1,0),0)</f>
        <v/>
      </c>
      <c r="AW198" s="17">
        <f>IF(AND(AN198=1,ISNUMBER(R198)),1,0)</f>
        <v/>
      </c>
      <c r="AX198" s="17">
        <f>IF(AW198=1,IF(COUNTIFS($A$2:$A$201,$A198,$AW$2:$AW$201,1,$G$2:$G$201,"&lt;"&amp;G198)+COUNTIFS($A$2:$A$201,$A198,$AW$2:$AW$201,1,$G$2:$G$201,G198,$AM$2:$AM$201,"&lt;"&amp;AM198)=0,1,0),0)</f>
        <v/>
      </c>
      <c r="AY198" s="17">
        <f>IF(AND(AX198=1,G198&lt;=Config!$B$6),R198,"")</f>
        <v/>
      </c>
      <c r="AZ198" s="17">
        <f>IF(AND(AX198=1,G198&lt;=Config!$B$7),R198,"")</f>
        <v/>
      </c>
      <c r="BA198" s="17">
        <f>IF(AND(AX198=1,G198&lt;=Config!$B$8),R198,"")</f>
        <v/>
      </c>
      <c r="BB198" s="17">
        <f>IF(AND(AX198=1,G198&lt;=Config!$B$5),R198,"")</f>
        <v/>
      </c>
      <c r="BC198" s="17">
        <f>IF(AND(AN198=1,ISNUMBER(V198)),1,0)</f>
        <v/>
      </c>
      <c r="BD198" s="17">
        <f>IF(BC198=1,IF(COUNTIFS($A$2:$A$201,$A198,$BC$2:$BC$201,1,$G$2:$G$201,"&lt;"&amp;G198)+COUNTIFS($A$2:$A$201,$A198,$BC$2:$BC$201,1,$G$2:$G$201,G198,$AM$2:$AM$201,"&lt;"&amp;AM198)=0,1,0),0)</f>
        <v/>
      </c>
      <c r="BE198" s="17">
        <f>IF(AND(BD198=1,G198&lt;=Config!$B$6),V198,"")</f>
        <v/>
      </c>
      <c r="BF198" s="17">
        <f>IF(AND(BD198=1,G198&lt;=Config!$B$7),V198,"")</f>
        <v/>
      </c>
      <c r="BG198" s="17">
        <f>IF(AND(BD198=1,G198&lt;=Config!$B$8),V198,"")</f>
        <v/>
      </c>
      <c r="BH198" s="17">
        <f>IF(AND(BD198=1,G198&lt;=Config!$B$5),V198,"")</f>
        <v/>
      </c>
      <c r="BI198" s="17">
        <f>IF(AND(AN198=1,ISNUMBER(J198)),1,0)</f>
        <v/>
      </c>
      <c r="BJ198" s="17">
        <f>IF(BI198=1,IF(COUNTIFS($A$2:$A$201,$A198,$BI$2:$BI$201,1,$G$2:$G$201,"&lt;"&amp;G198)+COUNTIFS($A$2:$A$201,$A198,$BI$2:$BI$201,1,$G$2:$G$201,G198,$AM$2:$AM$201,"&lt;"&amp;AM198)=0,1,0),0)</f>
        <v/>
      </c>
      <c r="BK198" s="17">
        <f>IF(AND(BJ198=1,G198&lt;=Config!$B$5),J198,"")</f>
        <v/>
      </c>
      <c r="BL198" s="17">
        <f>IF(AND(AN198=1,OR(AND(ISNUMBER(R198),TRIM(S198)=""),AND(ISNUMBER(V198),TRIM(W198)=""))),1,0)</f>
        <v/>
      </c>
      <c r="BM198" s="17">
        <f>IF(AN198=1,AB198&amp;"","")</f>
        <v/>
      </c>
      <c r="BN198" s="17">
        <f>IF(AN198=1,AC198&amp;"","")</f>
        <v/>
      </c>
      <c r="BO198" s="17">
        <f>IF(AN198=1,AD198&amp;"","")</f>
        <v/>
      </c>
      <c r="BP198" s="17">
        <f>IF(AND(AN198=1,ISNUMBER(AI198),G198&lt;=Config!$B$5),AI198,"")</f>
        <v/>
      </c>
      <c r="BQ198" s="17">
        <f>IF(AN198=1,IF(COUNTIFS($A$2:$A$201,$A198,$AF$2:$AF$201,"Y",$AN$2:$AN$201,1)&gt;0,"Y","N"),"")</f>
        <v/>
      </c>
      <c r="BR198" s="17">
        <f>IF(AND(AN198=1,AF198="Y"),IF(COUNTIFS($A$2:$A$201,$A198,$AF$2:$AF$201,"Y",$AN$2:$AN$201,1,$G$2:$G$201,"&lt;"&amp;G198)+COUNTIFS($A$2:$A$201,$A198,$AF$2:$AF$201,"Y",$AN$2:$AN$201,1,$G$2:$G$201,G198,$AM$2:$AM$201,"&lt;"&amp;AM198)=0,1,0),0)</f>
        <v/>
      </c>
      <c r="BS198" s="17">
        <f>IF(AN198=1,IFERROR(MATCH($A198,INDEX(Clay_Brands!$A$2:$FZ$601,0,Sync!$D$5),0),""),"")</f>
        <v/>
      </c>
      <c r="BT198" s="17">
        <f>IF(BS198="","",IFERROR(INDEX(Clay_Brands!$A$2:$FZ$601,BS198,Sync!$D$7)&amp;"",""))</f>
        <v/>
      </c>
      <c r="BU198" s="17">
        <f>IF(BT198="","",IFERROR(INDEX(Lists!$J$2:$J$15,MATCH(BT198,Lists!$I$2:$I$15,0)),""))</f>
        <v/>
      </c>
      <c r="BV198" s="17">
        <f>IF(BS198="","",IFERROR(INDEX(Clay_Brands!$A$2:$FZ$601,BS198,Sync!$D$17)&amp;"",""))</f>
        <v/>
      </c>
      <c r="BW198" s="23">
        <f>IF(BS198="","",IFERROR(N(INDEX(Clay_Brands!$A$2:$FZ$601,BS198,Sync!$D$16)),0))</f>
        <v/>
      </c>
    </row>
    <row r="199">
      <c r="G199" s="22" t="n"/>
      <c r="AL199" s="17">
        <f>IF(TRIM($A199)="","",IF(AND(LEFT($A199,6)="SAMPLE",Config!$B$19&lt;&gt;"Y"),"",IF(NOT(ISNUMBER(G199)),"call_date is blank or not a date",IF(Sync!$D$5="","Clay paste is empty or has no row_id column: paste the Clay export on Clay_Brands",IF(BS199="","row_id not found in the Clay paste: add the Clay row or fix the row_id",IF(AND(ISNUMBER(BU199),BU199&gt;=1,BU199&lt;=5),"Clay status is "&amp;BT199&amp;": set call_done or later",IF(AND(AP199=1,BV199&lt;&gt;BQ199),"Clay yes_in_principle should be "&amp;BQ199,IF(AND(AP199=1,BW199&lt;&gt;G199),"Clay call_date should be "&amp;TEXT(G199,"yyyy-mm-dd"),""))))))))</f>
        <v/>
      </c>
      <c r="AM199" s="17">
        <f>ROW()</f>
        <v/>
      </c>
      <c r="AN199" s="17">
        <f>IF(AND(TRIM($A199)&lt;&gt;"",ISNUMBER(G199)),IF(AND(LEFT($A199,6)="SAMPLE",Config!$B$19&lt;&gt;"Y"),0,1),0)</f>
        <v/>
      </c>
      <c r="AO199" s="17">
        <f>IF(AN199=1,IF(COUNTIFS($A$2:$A$201,$A199,$AN$2:$AN$201,1,$G$2:$G$201,"&lt;"&amp;G199)+COUNTIFS($A$2:$A$201,$A199,$AN$2:$AN$201,1,$G$2:$G$201,G199,$AM$2:$AM$201,"&lt;"&amp;AM199)=0,1,0),0)</f>
        <v/>
      </c>
      <c r="AP199" s="17">
        <f>IF(AN199=1,IF(COUNTIFS($A$2:$A$201,$A199,$AN$2:$AN$201,1,$G$2:$G$201,"&gt;"&amp;G199)+COUNTIFS($A$2:$A$201,$A199,$AN$2:$AN$201,1,$G$2:$G$201,G199,$AM$2:$AM$201,"&gt;"&amp;AM199)=0,1,0),0)</f>
        <v/>
      </c>
      <c r="AQ199" s="17">
        <f>IF(AND(AN199=1,N199="Y",MAX(N(R199),N(V199))&gt;=Config!$B$14),1,0)</f>
        <v/>
      </c>
      <c r="AR199" s="17">
        <f>IF(AQ199=1,IF(COUNTIFS($A$2:$A$201,$A199,$AQ$2:$AQ$201,1,$G$2:$G$201,"&lt;"&amp;G199)+COUNTIFS($A$2:$A$201,$A199,$AQ$2:$AQ$201,1,$G$2:$G$201,G199,$AM$2:$AM$201,"&lt;"&amp;AM199)=0,1,0),0)</f>
        <v/>
      </c>
      <c r="AS199" s="17">
        <f>IF(AND(AN199=1,N199="Y",ISNUMBER(R199)),IF(R199&gt;=Config!$B$14,1,0),0)</f>
        <v/>
      </c>
      <c r="AT199" s="17">
        <f>IF(AS199=1,IF(COUNTIFS($A$2:$A$201,$A199,$AS$2:$AS$201,1,$G$2:$G$201,"&lt;"&amp;G199)+COUNTIFS($A$2:$A$201,$A199,$AS$2:$AS$201,1,$G$2:$G$201,G199,$AM$2:$AM$201,"&lt;"&amp;AM199)=0,1,0),0)</f>
        <v/>
      </c>
      <c r="AU199" s="17">
        <f>IF(AND(AN199=1,N199&lt;&gt;"Y",MAX(N(R199),N(V199))&gt;=Config!$B$14),1,0)</f>
        <v/>
      </c>
      <c r="AV199" s="17">
        <f>IF(AU199=1,IF(COUNTIFS($A$2:$A$201,$A199,$AU$2:$AU$201,1,$G$2:$G$201,"&lt;"&amp;G199)+COUNTIFS($A$2:$A$201,$A199,$AU$2:$AU$201,1,$G$2:$G$201,G199,$AM$2:$AM$201,"&lt;"&amp;AM199)=0,1,0),0)</f>
        <v/>
      </c>
      <c r="AW199" s="17">
        <f>IF(AND(AN199=1,ISNUMBER(R199)),1,0)</f>
        <v/>
      </c>
      <c r="AX199" s="17">
        <f>IF(AW199=1,IF(COUNTIFS($A$2:$A$201,$A199,$AW$2:$AW$201,1,$G$2:$G$201,"&lt;"&amp;G199)+COUNTIFS($A$2:$A$201,$A199,$AW$2:$AW$201,1,$G$2:$G$201,G199,$AM$2:$AM$201,"&lt;"&amp;AM199)=0,1,0),0)</f>
        <v/>
      </c>
      <c r="AY199" s="17">
        <f>IF(AND(AX199=1,G199&lt;=Config!$B$6),R199,"")</f>
        <v/>
      </c>
      <c r="AZ199" s="17">
        <f>IF(AND(AX199=1,G199&lt;=Config!$B$7),R199,"")</f>
        <v/>
      </c>
      <c r="BA199" s="17">
        <f>IF(AND(AX199=1,G199&lt;=Config!$B$8),R199,"")</f>
        <v/>
      </c>
      <c r="BB199" s="17">
        <f>IF(AND(AX199=1,G199&lt;=Config!$B$5),R199,"")</f>
        <v/>
      </c>
      <c r="BC199" s="17">
        <f>IF(AND(AN199=1,ISNUMBER(V199)),1,0)</f>
        <v/>
      </c>
      <c r="BD199" s="17">
        <f>IF(BC199=1,IF(COUNTIFS($A$2:$A$201,$A199,$BC$2:$BC$201,1,$G$2:$G$201,"&lt;"&amp;G199)+COUNTIFS($A$2:$A$201,$A199,$BC$2:$BC$201,1,$G$2:$G$201,G199,$AM$2:$AM$201,"&lt;"&amp;AM199)=0,1,0),0)</f>
        <v/>
      </c>
      <c r="BE199" s="17">
        <f>IF(AND(BD199=1,G199&lt;=Config!$B$6),V199,"")</f>
        <v/>
      </c>
      <c r="BF199" s="17">
        <f>IF(AND(BD199=1,G199&lt;=Config!$B$7),V199,"")</f>
        <v/>
      </c>
      <c r="BG199" s="17">
        <f>IF(AND(BD199=1,G199&lt;=Config!$B$8),V199,"")</f>
        <v/>
      </c>
      <c r="BH199" s="17">
        <f>IF(AND(BD199=1,G199&lt;=Config!$B$5),V199,"")</f>
        <v/>
      </c>
      <c r="BI199" s="17">
        <f>IF(AND(AN199=1,ISNUMBER(J199)),1,0)</f>
        <v/>
      </c>
      <c r="BJ199" s="17">
        <f>IF(BI199=1,IF(COUNTIFS($A$2:$A$201,$A199,$BI$2:$BI$201,1,$G$2:$G$201,"&lt;"&amp;G199)+COUNTIFS($A$2:$A$201,$A199,$BI$2:$BI$201,1,$G$2:$G$201,G199,$AM$2:$AM$201,"&lt;"&amp;AM199)=0,1,0),0)</f>
        <v/>
      </c>
      <c r="BK199" s="17">
        <f>IF(AND(BJ199=1,G199&lt;=Config!$B$5),J199,"")</f>
        <v/>
      </c>
      <c r="BL199" s="17">
        <f>IF(AND(AN199=1,OR(AND(ISNUMBER(R199),TRIM(S199)=""),AND(ISNUMBER(V199),TRIM(W199)=""))),1,0)</f>
        <v/>
      </c>
      <c r="BM199" s="17">
        <f>IF(AN199=1,AB199&amp;"","")</f>
        <v/>
      </c>
      <c r="BN199" s="17">
        <f>IF(AN199=1,AC199&amp;"","")</f>
        <v/>
      </c>
      <c r="BO199" s="17">
        <f>IF(AN199=1,AD199&amp;"","")</f>
        <v/>
      </c>
      <c r="BP199" s="17">
        <f>IF(AND(AN199=1,ISNUMBER(AI199),G199&lt;=Config!$B$5),AI199,"")</f>
        <v/>
      </c>
      <c r="BQ199" s="17">
        <f>IF(AN199=1,IF(COUNTIFS($A$2:$A$201,$A199,$AF$2:$AF$201,"Y",$AN$2:$AN$201,1)&gt;0,"Y","N"),"")</f>
        <v/>
      </c>
      <c r="BR199" s="17">
        <f>IF(AND(AN199=1,AF199="Y"),IF(COUNTIFS($A$2:$A$201,$A199,$AF$2:$AF$201,"Y",$AN$2:$AN$201,1,$G$2:$G$201,"&lt;"&amp;G199)+COUNTIFS($A$2:$A$201,$A199,$AF$2:$AF$201,"Y",$AN$2:$AN$201,1,$G$2:$G$201,G199,$AM$2:$AM$201,"&lt;"&amp;AM199)=0,1,0),0)</f>
        <v/>
      </c>
      <c r="BS199" s="17">
        <f>IF(AN199=1,IFERROR(MATCH($A199,INDEX(Clay_Brands!$A$2:$FZ$601,0,Sync!$D$5),0),""),"")</f>
        <v/>
      </c>
      <c r="BT199" s="17">
        <f>IF(BS199="","",IFERROR(INDEX(Clay_Brands!$A$2:$FZ$601,BS199,Sync!$D$7)&amp;"",""))</f>
        <v/>
      </c>
      <c r="BU199" s="17">
        <f>IF(BT199="","",IFERROR(INDEX(Lists!$J$2:$J$15,MATCH(BT199,Lists!$I$2:$I$15,0)),""))</f>
        <v/>
      </c>
      <c r="BV199" s="17">
        <f>IF(BS199="","",IFERROR(INDEX(Clay_Brands!$A$2:$FZ$601,BS199,Sync!$D$17)&amp;"",""))</f>
        <v/>
      </c>
      <c r="BW199" s="23">
        <f>IF(BS199="","",IFERROR(N(INDEX(Clay_Brands!$A$2:$FZ$601,BS199,Sync!$D$16)),0))</f>
        <v/>
      </c>
    </row>
    <row r="200">
      <c r="G200" s="22" t="n"/>
      <c r="AL200" s="17">
        <f>IF(TRIM($A200)="","",IF(AND(LEFT($A200,6)="SAMPLE",Config!$B$19&lt;&gt;"Y"),"",IF(NOT(ISNUMBER(G200)),"call_date is blank or not a date",IF(Sync!$D$5="","Clay paste is empty or has no row_id column: paste the Clay export on Clay_Brands",IF(BS200="","row_id not found in the Clay paste: add the Clay row or fix the row_id",IF(AND(ISNUMBER(BU200),BU200&gt;=1,BU200&lt;=5),"Clay status is "&amp;BT200&amp;": set call_done or later",IF(AND(AP200=1,BV200&lt;&gt;BQ200),"Clay yes_in_principle should be "&amp;BQ200,IF(AND(AP200=1,BW200&lt;&gt;G200),"Clay call_date should be "&amp;TEXT(G200,"yyyy-mm-dd"),""))))))))</f>
        <v/>
      </c>
      <c r="AM200" s="17">
        <f>ROW()</f>
        <v/>
      </c>
      <c r="AN200" s="17">
        <f>IF(AND(TRIM($A200)&lt;&gt;"",ISNUMBER(G200)),IF(AND(LEFT($A200,6)="SAMPLE",Config!$B$19&lt;&gt;"Y"),0,1),0)</f>
        <v/>
      </c>
      <c r="AO200" s="17">
        <f>IF(AN200=1,IF(COUNTIFS($A$2:$A$201,$A200,$AN$2:$AN$201,1,$G$2:$G$201,"&lt;"&amp;G200)+COUNTIFS($A$2:$A$201,$A200,$AN$2:$AN$201,1,$G$2:$G$201,G200,$AM$2:$AM$201,"&lt;"&amp;AM200)=0,1,0),0)</f>
        <v/>
      </c>
      <c r="AP200" s="17">
        <f>IF(AN200=1,IF(COUNTIFS($A$2:$A$201,$A200,$AN$2:$AN$201,1,$G$2:$G$201,"&gt;"&amp;G200)+COUNTIFS($A$2:$A$201,$A200,$AN$2:$AN$201,1,$G$2:$G$201,G200,$AM$2:$AM$201,"&gt;"&amp;AM200)=0,1,0),0)</f>
        <v/>
      </c>
      <c r="AQ200" s="17">
        <f>IF(AND(AN200=1,N200="Y",MAX(N(R200),N(V200))&gt;=Config!$B$14),1,0)</f>
        <v/>
      </c>
      <c r="AR200" s="17">
        <f>IF(AQ200=1,IF(COUNTIFS($A$2:$A$201,$A200,$AQ$2:$AQ$201,1,$G$2:$G$201,"&lt;"&amp;G200)+COUNTIFS($A$2:$A$201,$A200,$AQ$2:$AQ$201,1,$G$2:$G$201,G200,$AM$2:$AM$201,"&lt;"&amp;AM200)=0,1,0),0)</f>
        <v/>
      </c>
      <c r="AS200" s="17">
        <f>IF(AND(AN200=1,N200="Y",ISNUMBER(R200)),IF(R200&gt;=Config!$B$14,1,0),0)</f>
        <v/>
      </c>
      <c r="AT200" s="17">
        <f>IF(AS200=1,IF(COUNTIFS($A$2:$A$201,$A200,$AS$2:$AS$201,1,$G$2:$G$201,"&lt;"&amp;G200)+COUNTIFS($A$2:$A$201,$A200,$AS$2:$AS$201,1,$G$2:$G$201,G200,$AM$2:$AM$201,"&lt;"&amp;AM200)=0,1,0),0)</f>
        <v/>
      </c>
      <c r="AU200" s="17">
        <f>IF(AND(AN200=1,N200&lt;&gt;"Y",MAX(N(R200),N(V200))&gt;=Config!$B$14),1,0)</f>
        <v/>
      </c>
      <c r="AV200" s="17">
        <f>IF(AU200=1,IF(COUNTIFS($A$2:$A$201,$A200,$AU$2:$AU$201,1,$G$2:$G$201,"&lt;"&amp;G200)+COUNTIFS($A$2:$A$201,$A200,$AU$2:$AU$201,1,$G$2:$G$201,G200,$AM$2:$AM$201,"&lt;"&amp;AM200)=0,1,0),0)</f>
        <v/>
      </c>
      <c r="AW200" s="17">
        <f>IF(AND(AN200=1,ISNUMBER(R200)),1,0)</f>
        <v/>
      </c>
      <c r="AX200" s="17">
        <f>IF(AW200=1,IF(COUNTIFS($A$2:$A$201,$A200,$AW$2:$AW$201,1,$G$2:$G$201,"&lt;"&amp;G200)+COUNTIFS($A$2:$A$201,$A200,$AW$2:$AW$201,1,$G$2:$G$201,G200,$AM$2:$AM$201,"&lt;"&amp;AM200)=0,1,0),0)</f>
        <v/>
      </c>
      <c r="AY200" s="17">
        <f>IF(AND(AX200=1,G200&lt;=Config!$B$6),R200,"")</f>
        <v/>
      </c>
      <c r="AZ200" s="17">
        <f>IF(AND(AX200=1,G200&lt;=Config!$B$7),R200,"")</f>
        <v/>
      </c>
      <c r="BA200" s="17">
        <f>IF(AND(AX200=1,G200&lt;=Config!$B$8),R200,"")</f>
        <v/>
      </c>
      <c r="BB200" s="17">
        <f>IF(AND(AX200=1,G200&lt;=Config!$B$5),R200,"")</f>
        <v/>
      </c>
      <c r="BC200" s="17">
        <f>IF(AND(AN200=1,ISNUMBER(V200)),1,0)</f>
        <v/>
      </c>
      <c r="BD200" s="17">
        <f>IF(BC200=1,IF(COUNTIFS($A$2:$A$201,$A200,$BC$2:$BC$201,1,$G$2:$G$201,"&lt;"&amp;G200)+COUNTIFS($A$2:$A$201,$A200,$BC$2:$BC$201,1,$G$2:$G$201,G200,$AM$2:$AM$201,"&lt;"&amp;AM200)=0,1,0),0)</f>
        <v/>
      </c>
      <c r="BE200" s="17">
        <f>IF(AND(BD200=1,G200&lt;=Config!$B$6),V200,"")</f>
        <v/>
      </c>
      <c r="BF200" s="17">
        <f>IF(AND(BD200=1,G200&lt;=Config!$B$7),V200,"")</f>
        <v/>
      </c>
      <c r="BG200" s="17">
        <f>IF(AND(BD200=1,G200&lt;=Config!$B$8),V200,"")</f>
        <v/>
      </c>
      <c r="BH200" s="17">
        <f>IF(AND(BD200=1,G200&lt;=Config!$B$5),V200,"")</f>
        <v/>
      </c>
      <c r="BI200" s="17">
        <f>IF(AND(AN200=1,ISNUMBER(J200)),1,0)</f>
        <v/>
      </c>
      <c r="BJ200" s="17">
        <f>IF(BI200=1,IF(COUNTIFS($A$2:$A$201,$A200,$BI$2:$BI$201,1,$G$2:$G$201,"&lt;"&amp;G200)+COUNTIFS($A$2:$A$201,$A200,$BI$2:$BI$201,1,$G$2:$G$201,G200,$AM$2:$AM$201,"&lt;"&amp;AM200)=0,1,0),0)</f>
        <v/>
      </c>
      <c r="BK200" s="17">
        <f>IF(AND(BJ200=1,G200&lt;=Config!$B$5),J200,"")</f>
        <v/>
      </c>
      <c r="BL200" s="17">
        <f>IF(AND(AN200=1,OR(AND(ISNUMBER(R200),TRIM(S200)=""),AND(ISNUMBER(V200),TRIM(W200)=""))),1,0)</f>
        <v/>
      </c>
      <c r="BM200" s="17">
        <f>IF(AN200=1,AB200&amp;"","")</f>
        <v/>
      </c>
      <c r="BN200" s="17">
        <f>IF(AN200=1,AC200&amp;"","")</f>
        <v/>
      </c>
      <c r="BO200" s="17">
        <f>IF(AN200=1,AD200&amp;"","")</f>
        <v/>
      </c>
      <c r="BP200" s="17">
        <f>IF(AND(AN200=1,ISNUMBER(AI200),G200&lt;=Config!$B$5),AI200,"")</f>
        <v/>
      </c>
      <c r="BQ200" s="17">
        <f>IF(AN200=1,IF(COUNTIFS($A$2:$A$201,$A200,$AF$2:$AF$201,"Y",$AN$2:$AN$201,1)&gt;0,"Y","N"),"")</f>
        <v/>
      </c>
      <c r="BR200" s="17">
        <f>IF(AND(AN200=1,AF200="Y"),IF(COUNTIFS($A$2:$A$201,$A200,$AF$2:$AF$201,"Y",$AN$2:$AN$201,1,$G$2:$G$201,"&lt;"&amp;G200)+COUNTIFS($A$2:$A$201,$A200,$AF$2:$AF$201,"Y",$AN$2:$AN$201,1,$G$2:$G$201,G200,$AM$2:$AM$201,"&lt;"&amp;AM200)=0,1,0),0)</f>
        <v/>
      </c>
      <c r="BS200" s="17">
        <f>IF(AN200=1,IFERROR(MATCH($A200,INDEX(Clay_Brands!$A$2:$FZ$601,0,Sync!$D$5),0),""),"")</f>
        <v/>
      </c>
      <c r="BT200" s="17">
        <f>IF(BS200="","",IFERROR(INDEX(Clay_Brands!$A$2:$FZ$601,BS200,Sync!$D$7)&amp;"",""))</f>
        <v/>
      </c>
      <c r="BU200" s="17">
        <f>IF(BT200="","",IFERROR(INDEX(Lists!$J$2:$J$15,MATCH(BT200,Lists!$I$2:$I$15,0)),""))</f>
        <v/>
      </c>
      <c r="BV200" s="17">
        <f>IF(BS200="","",IFERROR(INDEX(Clay_Brands!$A$2:$FZ$601,BS200,Sync!$D$17)&amp;"",""))</f>
        <v/>
      </c>
      <c r="BW200" s="23">
        <f>IF(BS200="","",IFERROR(N(INDEX(Clay_Brands!$A$2:$FZ$601,BS200,Sync!$D$16)),0))</f>
        <v/>
      </c>
    </row>
    <row r="201">
      <c r="G201" s="22" t="n"/>
      <c r="AL201" s="17">
        <f>IF(TRIM($A201)="","",IF(AND(LEFT($A201,6)="SAMPLE",Config!$B$19&lt;&gt;"Y"),"",IF(NOT(ISNUMBER(G201)),"call_date is blank or not a date",IF(Sync!$D$5="","Clay paste is empty or has no row_id column: paste the Clay export on Clay_Brands",IF(BS201="","row_id not found in the Clay paste: add the Clay row or fix the row_id",IF(AND(ISNUMBER(BU201),BU201&gt;=1,BU201&lt;=5),"Clay status is "&amp;BT201&amp;": set call_done or later",IF(AND(AP201=1,BV201&lt;&gt;BQ201),"Clay yes_in_principle should be "&amp;BQ201,IF(AND(AP201=1,BW201&lt;&gt;G201),"Clay call_date should be "&amp;TEXT(G201,"yyyy-mm-dd"),""))))))))</f>
        <v/>
      </c>
      <c r="AM201" s="17">
        <f>ROW()</f>
        <v/>
      </c>
      <c r="AN201" s="17">
        <f>IF(AND(TRIM($A201)&lt;&gt;"",ISNUMBER(G201)),IF(AND(LEFT($A201,6)="SAMPLE",Config!$B$19&lt;&gt;"Y"),0,1),0)</f>
        <v/>
      </c>
      <c r="AO201" s="17">
        <f>IF(AN201=1,IF(COUNTIFS($A$2:$A$201,$A201,$AN$2:$AN$201,1,$G$2:$G$201,"&lt;"&amp;G201)+COUNTIFS($A$2:$A$201,$A201,$AN$2:$AN$201,1,$G$2:$G$201,G201,$AM$2:$AM$201,"&lt;"&amp;AM201)=0,1,0),0)</f>
        <v/>
      </c>
      <c r="AP201" s="17">
        <f>IF(AN201=1,IF(COUNTIFS($A$2:$A$201,$A201,$AN$2:$AN$201,1,$G$2:$G$201,"&gt;"&amp;G201)+COUNTIFS($A$2:$A$201,$A201,$AN$2:$AN$201,1,$G$2:$G$201,G201,$AM$2:$AM$201,"&gt;"&amp;AM201)=0,1,0),0)</f>
        <v/>
      </c>
      <c r="AQ201" s="17">
        <f>IF(AND(AN201=1,N201="Y",MAX(N(R201),N(V201))&gt;=Config!$B$14),1,0)</f>
        <v/>
      </c>
      <c r="AR201" s="17">
        <f>IF(AQ201=1,IF(COUNTIFS($A$2:$A$201,$A201,$AQ$2:$AQ$201,1,$G$2:$G$201,"&lt;"&amp;G201)+COUNTIFS($A$2:$A$201,$A201,$AQ$2:$AQ$201,1,$G$2:$G$201,G201,$AM$2:$AM$201,"&lt;"&amp;AM201)=0,1,0),0)</f>
        <v/>
      </c>
      <c r="AS201" s="17">
        <f>IF(AND(AN201=1,N201="Y",ISNUMBER(R201)),IF(R201&gt;=Config!$B$14,1,0),0)</f>
        <v/>
      </c>
      <c r="AT201" s="17">
        <f>IF(AS201=1,IF(COUNTIFS($A$2:$A$201,$A201,$AS$2:$AS$201,1,$G$2:$G$201,"&lt;"&amp;G201)+COUNTIFS($A$2:$A$201,$A201,$AS$2:$AS$201,1,$G$2:$G$201,G201,$AM$2:$AM$201,"&lt;"&amp;AM201)=0,1,0),0)</f>
        <v/>
      </c>
      <c r="AU201" s="17">
        <f>IF(AND(AN201=1,N201&lt;&gt;"Y",MAX(N(R201),N(V201))&gt;=Config!$B$14),1,0)</f>
        <v/>
      </c>
      <c r="AV201" s="17">
        <f>IF(AU201=1,IF(COUNTIFS($A$2:$A$201,$A201,$AU$2:$AU$201,1,$G$2:$G$201,"&lt;"&amp;G201)+COUNTIFS($A$2:$A$201,$A201,$AU$2:$AU$201,1,$G$2:$G$201,G201,$AM$2:$AM$201,"&lt;"&amp;AM201)=0,1,0),0)</f>
        <v/>
      </c>
      <c r="AW201" s="17">
        <f>IF(AND(AN201=1,ISNUMBER(R201)),1,0)</f>
        <v/>
      </c>
      <c r="AX201" s="17">
        <f>IF(AW201=1,IF(COUNTIFS($A$2:$A$201,$A201,$AW$2:$AW$201,1,$G$2:$G$201,"&lt;"&amp;G201)+COUNTIFS($A$2:$A$201,$A201,$AW$2:$AW$201,1,$G$2:$G$201,G201,$AM$2:$AM$201,"&lt;"&amp;AM201)=0,1,0),0)</f>
        <v/>
      </c>
      <c r="AY201" s="17">
        <f>IF(AND(AX201=1,G201&lt;=Config!$B$6),R201,"")</f>
        <v/>
      </c>
      <c r="AZ201" s="17">
        <f>IF(AND(AX201=1,G201&lt;=Config!$B$7),R201,"")</f>
        <v/>
      </c>
      <c r="BA201" s="17">
        <f>IF(AND(AX201=1,G201&lt;=Config!$B$8),R201,"")</f>
        <v/>
      </c>
      <c r="BB201" s="17">
        <f>IF(AND(AX201=1,G201&lt;=Config!$B$5),R201,"")</f>
        <v/>
      </c>
      <c r="BC201" s="17">
        <f>IF(AND(AN201=1,ISNUMBER(V201)),1,0)</f>
        <v/>
      </c>
      <c r="BD201" s="17">
        <f>IF(BC201=1,IF(COUNTIFS($A$2:$A$201,$A201,$BC$2:$BC$201,1,$G$2:$G$201,"&lt;"&amp;G201)+COUNTIFS($A$2:$A$201,$A201,$BC$2:$BC$201,1,$G$2:$G$201,G201,$AM$2:$AM$201,"&lt;"&amp;AM201)=0,1,0),0)</f>
        <v/>
      </c>
      <c r="BE201" s="17">
        <f>IF(AND(BD201=1,G201&lt;=Config!$B$6),V201,"")</f>
        <v/>
      </c>
      <c r="BF201" s="17">
        <f>IF(AND(BD201=1,G201&lt;=Config!$B$7),V201,"")</f>
        <v/>
      </c>
      <c r="BG201" s="17">
        <f>IF(AND(BD201=1,G201&lt;=Config!$B$8),V201,"")</f>
        <v/>
      </c>
      <c r="BH201" s="17">
        <f>IF(AND(BD201=1,G201&lt;=Config!$B$5),V201,"")</f>
        <v/>
      </c>
      <c r="BI201" s="17">
        <f>IF(AND(AN201=1,ISNUMBER(J201)),1,0)</f>
        <v/>
      </c>
      <c r="BJ201" s="17">
        <f>IF(BI201=1,IF(COUNTIFS($A$2:$A$201,$A201,$BI$2:$BI$201,1,$G$2:$G$201,"&lt;"&amp;G201)+COUNTIFS($A$2:$A$201,$A201,$BI$2:$BI$201,1,$G$2:$G$201,G201,$AM$2:$AM$201,"&lt;"&amp;AM201)=0,1,0),0)</f>
        <v/>
      </c>
      <c r="BK201" s="17">
        <f>IF(AND(BJ201=1,G201&lt;=Config!$B$5),J201,"")</f>
        <v/>
      </c>
      <c r="BL201" s="17">
        <f>IF(AND(AN201=1,OR(AND(ISNUMBER(R201),TRIM(S201)=""),AND(ISNUMBER(V201),TRIM(W201)=""))),1,0)</f>
        <v/>
      </c>
      <c r="BM201" s="17">
        <f>IF(AN201=1,AB201&amp;"","")</f>
        <v/>
      </c>
      <c r="BN201" s="17">
        <f>IF(AN201=1,AC201&amp;"","")</f>
        <v/>
      </c>
      <c r="BO201" s="17">
        <f>IF(AN201=1,AD201&amp;"","")</f>
        <v/>
      </c>
      <c r="BP201" s="17">
        <f>IF(AND(AN201=1,ISNUMBER(AI201),G201&lt;=Config!$B$5),AI201,"")</f>
        <v/>
      </c>
      <c r="BQ201" s="17">
        <f>IF(AN201=1,IF(COUNTIFS($A$2:$A$201,$A201,$AF$2:$AF$201,"Y",$AN$2:$AN$201,1)&gt;0,"Y","N"),"")</f>
        <v/>
      </c>
      <c r="BR201" s="17">
        <f>IF(AND(AN201=1,AF201="Y"),IF(COUNTIFS($A$2:$A$201,$A201,$AF$2:$AF$201,"Y",$AN$2:$AN$201,1,$G$2:$G$201,"&lt;"&amp;G201)+COUNTIFS($A$2:$A$201,$A201,$AF$2:$AF$201,"Y",$AN$2:$AN$201,1,$G$2:$G$201,G201,$AM$2:$AM$201,"&lt;"&amp;AM201)=0,1,0),0)</f>
        <v/>
      </c>
      <c r="BS201" s="17">
        <f>IF(AN201=1,IFERROR(MATCH($A201,INDEX(Clay_Brands!$A$2:$FZ$601,0,Sync!$D$5),0),""),"")</f>
        <v/>
      </c>
      <c r="BT201" s="17">
        <f>IF(BS201="","",IFERROR(INDEX(Clay_Brands!$A$2:$FZ$601,BS201,Sync!$D$7)&amp;"",""))</f>
        <v/>
      </c>
      <c r="BU201" s="17">
        <f>IF(BT201="","",IFERROR(INDEX(Lists!$J$2:$J$15,MATCH(BT201,Lists!$I$2:$I$15,0)),""))</f>
        <v/>
      </c>
      <c r="BV201" s="17">
        <f>IF(BS201="","",IFERROR(INDEX(Clay_Brands!$A$2:$FZ$601,BS201,Sync!$D$17)&amp;"",""))</f>
        <v/>
      </c>
      <c r="BW201" s="23">
        <f>IF(BS201="","",IFERROR(N(INDEX(Clay_Brands!$A$2:$FZ$601,BS201,Sync!$D$16)),0))</f>
        <v/>
      </c>
    </row>
  </sheetData>
  <conditionalFormatting sqref="AL2:AL201">
    <cfRule type="expression" priority="1" dxfId="2">
      <formula>LEN(AL2)&gt;0</formula>
    </cfRule>
  </conditionalFormatting>
  <dataValidations count="12">
    <dataValidation sqref="F2:F201" showDropDown="0" showInputMessage="0" showErrorMessage="0" allowBlank="1" type="list">
      <formula1>=Lists!$D$2:$D$5</formula1>
    </dataValidation>
    <dataValidation sqref="H2:H201" showDropDown="0" showInputMessage="0" showErrorMessage="0" allowBlank="1" type="list">
      <formula1>=Lists!$E$2:$E$5</formula1>
    </dataValidation>
    <dataValidation sqref="N2:N201" showDropDown="0" showInputMessage="0" showErrorMessage="0" allowBlank="1" type="list">
      <formula1>=Lists!$A$2:$A$3</formula1>
    </dataValidation>
    <dataValidation sqref="O2:O201" showDropDown="0" showInputMessage="0" showErrorMessage="0" allowBlank="1" type="list">
      <formula1>=Lists!$B$2:$B$4</formula1>
    </dataValidation>
    <dataValidation sqref="P2:P201" showDropDown="0" showInputMessage="0" showErrorMessage="0" allowBlank="1" type="list">
      <formula1>=Lists!$A$2:$A$3</formula1>
    </dataValidation>
    <dataValidation sqref="U2:U201" showDropDown="0" showInputMessage="0" showErrorMessage="0" allowBlank="1" type="list">
      <formula1>=Lists!$A$2:$A$3</formula1>
    </dataValidation>
    <dataValidation sqref="Y2:Y201" showDropDown="0" showInputMessage="0" showErrorMessage="0" allowBlank="1" type="list">
      <formula1>=Lists!$H$2:$H$7</formula1>
    </dataValidation>
    <dataValidation sqref="AB2:AB201" showDropDown="0" showInputMessage="0" showErrorMessage="0" allowBlank="1" type="list">
      <formula1>=Lists!$O$2:$O$14</formula1>
    </dataValidation>
    <dataValidation sqref="AC2:AC201" showDropDown="0" showInputMessage="0" showErrorMessage="0" allowBlank="1" type="list">
      <formula1>=Lists!$O$2:$O$14</formula1>
    </dataValidation>
    <dataValidation sqref="AD2:AD201" showDropDown="0" showInputMessage="0" showErrorMessage="0" allowBlank="1" type="list">
      <formula1>=Lists!$O$2:$O$14</formula1>
    </dataValidation>
    <dataValidation sqref="AF2:AF201" showDropDown="0" showInputMessage="0" showErrorMessage="0" allowBlank="1" type="list">
      <formula1>=Lists!$B$2:$B$4</formula1>
    </dataValidation>
    <dataValidation sqref="AJ2:AJ201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0" customWidth="1" min="22" max="22"/>
    <col width="15" customWidth="1" min="23" max="23"/>
    <col width="11" customWidth="1" min="24" max="24"/>
    <col width="24" customWidth="1" min="25" max="25"/>
    <col width="7" customWidth="1" min="26" max="26"/>
    <col width="28" customWidth="1" min="27" max="27"/>
    <col width="11" customWidth="1" min="28" max="28"/>
    <col width="9" customWidth="1" min="29" max="29"/>
    <col width="8" customWidth="1" min="30" max="30"/>
    <col width="7" customWidth="1" min="31" max="31"/>
  </cols>
  <sheetData>
    <row r="1" ht="42" customHeight="1">
      <c r="A1" s="7" t="inlineStr">
        <is>
          <t>submitted_at</t>
        </is>
      </c>
      <c r="B1" s="7" t="inlineStr">
        <is>
          <t>form_version</t>
        </is>
      </c>
      <c r="C1" s="7" t="inlineStr">
        <is>
          <t>company</t>
        </is>
      </c>
      <c r="D1" s="7" t="inlineStr">
        <is>
          <t>contact_name</t>
        </is>
      </c>
      <c r="E1" s="7" t="inlineStr">
        <is>
          <t>contact_title</t>
        </is>
      </c>
      <c r="F1" s="7" t="inlineStr">
        <is>
          <t>contact_email</t>
        </is>
      </c>
      <c r="G1" s="7" t="inlineStr">
        <is>
          <t>contact_phone</t>
        </is>
      </c>
      <c r="H1" s="7" t="inlineStr">
        <is>
          <t>office_address</t>
        </is>
      </c>
      <c r="I1" s="7" t="inlineStr">
        <is>
          <t>floor_suite</t>
        </is>
      </c>
      <c r="J1" s="7" t="inlineStr">
        <is>
          <t>tuesday_headcount</t>
        </is>
      </c>
      <c r="K1" s="7" t="inlineStr">
        <is>
          <t>pantry_owner_name</t>
        </is>
      </c>
      <c r="L1" s="7" t="inlineStr">
        <is>
          <t>pantry_owner_title</t>
        </is>
      </c>
      <c r="M1" s="7" t="inlineStr">
        <is>
          <t>pantry_owner_is_contact</t>
        </is>
      </c>
      <c r="N1" s="7" t="inlineStr">
        <is>
          <t>receiving_type</t>
        </is>
      </c>
      <c r="O1" s="7" t="inlineStr">
        <is>
          <t>receiving_window</t>
        </is>
      </c>
      <c r="P1" s="7" t="inlineStr">
        <is>
          <t>coi_required</t>
        </is>
      </c>
      <c r="Q1" s="7" t="inlineStr">
        <is>
          <t>survey_channel</t>
        </is>
      </c>
      <c r="R1" s="7" t="inlineStr">
        <is>
          <t>categories_wanted</t>
        </is>
      </c>
      <c r="S1" s="7" t="inlineStr">
        <is>
          <t>vetoes</t>
        </is>
      </c>
      <c r="T1" s="7" t="inlineStr">
        <is>
          <t>notes</t>
        </is>
      </c>
      <c r="U1" s="7" t="inlineStr">
        <is>
          <t>source</t>
        </is>
      </c>
      <c r="V1" s="7" t="inlineStr">
        <is>
          <t>office_id</t>
        </is>
      </c>
      <c r="W1" s="7" t="inlineStr">
        <is>
          <t>clay_row_id</t>
        </is>
      </c>
      <c r="X1" s="7" t="inlineStr">
        <is>
          <t>agreement_signed_date</t>
        </is>
      </c>
      <c r="Y1" s="7" t="inlineStr">
        <is>
          <t>agreement_file</t>
        </is>
      </c>
      <c r="Z1" s="7" t="inlineStr">
        <is>
          <t>founding_roster_named</t>
        </is>
      </c>
      <c r="AA1" s="16" t="inlineStr">
        <is>
          <t>budget_probe_verbatim</t>
        </is>
      </c>
      <c r="AB1" s="16" t="inlineStr">
        <is>
          <t>budget_probe_date</t>
        </is>
      </c>
      <c r="AC1" s="16" t="inlineStr">
        <is>
          <t>budget_probe_monthly_usd</t>
        </is>
      </c>
      <c r="AD1" s="7" t="inlineStr">
        <is>
          <t>agreement_version</t>
        </is>
      </c>
      <c r="AE1" s="7" t="inlineStr">
        <is>
          <t>owner_can_say_yes_alone</t>
        </is>
      </c>
    </row>
    <row r="2">
      <c r="X2" s="22" t="n"/>
      <c r="AA2" s="17">
        <f>IF(W2="","",IFERROR(INDEX(Office_Log!$U$2:$U$201,MATCH(W2,Office_Log!$BM$2:$BM$201,0))&amp;"",""))</f>
        <v/>
      </c>
      <c r="AB2" s="23">
        <f>IF(W2="","",IFERROR(IF(ISNUMBER(INDEX(Office_Log!$G$2:$G$201,MATCH(W2,Office_Log!$BM$2:$BM$201,0))),INDEX(Office_Log!$G$2:$G$201,MATCH(W2,Office_Log!$BM$2:$BM$201,0)),""),""))</f>
        <v/>
      </c>
      <c r="AC2" s="17">
        <f>IF(W2="","",IFERROR(IF(ISNUMBER(INDEX(Office_Log!$V$2:$V$201,MATCH(W2,Office_Log!$BM$2:$BM$201,0))),INDEX(Office_Log!$V$2:$V$201,MATCH(W2,Office_Log!$BM$2:$BM$201,0)),""),""))</f>
        <v/>
      </c>
    </row>
    <row r="3">
      <c r="X3" s="22" t="n"/>
      <c r="AA3" s="17">
        <f>IF(W3="","",IFERROR(INDEX(Office_Log!$U$2:$U$201,MATCH(W3,Office_Log!$BM$2:$BM$201,0))&amp;"",""))</f>
        <v/>
      </c>
      <c r="AB3" s="23">
        <f>IF(W3="","",IFERROR(IF(ISNUMBER(INDEX(Office_Log!$G$2:$G$201,MATCH(W3,Office_Log!$BM$2:$BM$201,0))),INDEX(Office_Log!$G$2:$G$201,MATCH(W3,Office_Log!$BM$2:$BM$201,0)),""),""))</f>
        <v/>
      </c>
      <c r="AC3" s="17">
        <f>IF(W3="","",IFERROR(IF(ISNUMBER(INDEX(Office_Log!$V$2:$V$201,MATCH(W3,Office_Log!$BM$2:$BM$201,0))),INDEX(Office_Log!$V$2:$V$201,MATCH(W3,Office_Log!$BM$2:$BM$201,0)),""),""))</f>
        <v/>
      </c>
    </row>
    <row r="4">
      <c r="X4" s="22" t="n"/>
      <c r="AA4" s="17">
        <f>IF(W4="","",IFERROR(INDEX(Office_Log!$U$2:$U$201,MATCH(W4,Office_Log!$BM$2:$BM$201,0))&amp;"",""))</f>
        <v/>
      </c>
      <c r="AB4" s="23">
        <f>IF(W4="","",IFERROR(IF(ISNUMBER(INDEX(Office_Log!$G$2:$G$201,MATCH(W4,Office_Log!$BM$2:$BM$201,0))),INDEX(Office_Log!$G$2:$G$201,MATCH(W4,Office_Log!$BM$2:$BM$201,0)),""),""))</f>
        <v/>
      </c>
      <c r="AC4" s="17">
        <f>IF(W4="","",IFERROR(IF(ISNUMBER(INDEX(Office_Log!$V$2:$V$201,MATCH(W4,Office_Log!$BM$2:$BM$201,0))),INDEX(Office_Log!$V$2:$V$201,MATCH(W4,Office_Log!$BM$2:$BM$201,0)),""),""))</f>
        <v/>
      </c>
    </row>
    <row r="5">
      <c r="X5" s="22" t="n"/>
      <c r="AA5" s="17">
        <f>IF(W5="","",IFERROR(INDEX(Office_Log!$U$2:$U$201,MATCH(W5,Office_Log!$BM$2:$BM$201,0))&amp;"",""))</f>
        <v/>
      </c>
      <c r="AB5" s="23">
        <f>IF(W5="","",IFERROR(IF(ISNUMBER(INDEX(Office_Log!$G$2:$G$201,MATCH(W5,Office_Log!$BM$2:$BM$201,0))),INDEX(Office_Log!$G$2:$G$201,MATCH(W5,Office_Log!$BM$2:$BM$201,0)),""),""))</f>
        <v/>
      </c>
      <c r="AC5" s="17">
        <f>IF(W5="","",IFERROR(IF(ISNUMBER(INDEX(Office_Log!$V$2:$V$201,MATCH(W5,Office_Log!$BM$2:$BM$201,0))),INDEX(Office_Log!$V$2:$V$201,MATCH(W5,Office_Log!$BM$2:$BM$201,0)),""),""))</f>
        <v/>
      </c>
    </row>
    <row r="6">
      <c r="X6" s="22" t="n"/>
      <c r="AA6" s="17">
        <f>IF(W6="","",IFERROR(INDEX(Office_Log!$U$2:$U$201,MATCH(W6,Office_Log!$BM$2:$BM$201,0))&amp;"",""))</f>
        <v/>
      </c>
      <c r="AB6" s="23">
        <f>IF(W6="","",IFERROR(IF(ISNUMBER(INDEX(Office_Log!$G$2:$G$201,MATCH(W6,Office_Log!$BM$2:$BM$201,0))),INDEX(Office_Log!$G$2:$G$201,MATCH(W6,Office_Log!$BM$2:$BM$201,0)),""),""))</f>
        <v/>
      </c>
      <c r="AC6" s="17">
        <f>IF(W6="","",IFERROR(IF(ISNUMBER(INDEX(Office_Log!$V$2:$V$201,MATCH(W6,Office_Log!$BM$2:$BM$201,0))),INDEX(Office_Log!$V$2:$V$201,MATCH(W6,Office_Log!$BM$2:$BM$201,0)),""),""))</f>
        <v/>
      </c>
    </row>
    <row r="7">
      <c r="X7" s="22" t="n"/>
      <c r="AA7" s="17">
        <f>IF(W7="","",IFERROR(INDEX(Office_Log!$U$2:$U$201,MATCH(W7,Office_Log!$BM$2:$BM$201,0))&amp;"",""))</f>
        <v/>
      </c>
      <c r="AB7" s="23">
        <f>IF(W7="","",IFERROR(IF(ISNUMBER(INDEX(Office_Log!$G$2:$G$201,MATCH(W7,Office_Log!$BM$2:$BM$201,0))),INDEX(Office_Log!$G$2:$G$201,MATCH(W7,Office_Log!$BM$2:$BM$201,0)),""),""))</f>
        <v/>
      </c>
      <c r="AC7" s="17">
        <f>IF(W7="","",IFERROR(IF(ISNUMBER(INDEX(Office_Log!$V$2:$V$201,MATCH(W7,Office_Log!$BM$2:$BM$201,0))),INDEX(Office_Log!$V$2:$V$201,MATCH(W7,Office_Log!$BM$2:$BM$201,0)),""),""))</f>
        <v/>
      </c>
    </row>
    <row r="8">
      <c r="X8" s="22" t="n"/>
      <c r="AA8" s="17">
        <f>IF(W8="","",IFERROR(INDEX(Office_Log!$U$2:$U$201,MATCH(W8,Office_Log!$BM$2:$BM$201,0))&amp;"",""))</f>
        <v/>
      </c>
      <c r="AB8" s="23">
        <f>IF(W8="","",IFERROR(IF(ISNUMBER(INDEX(Office_Log!$G$2:$G$201,MATCH(W8,Office_Log!$BM$2:$BM$201,0))),INDEX(Office_Log!$G$2:$G$201,MATCH(W8,Office_Log!$BM$2:$BM$201,0)),""),""))</f>
        <v/>
      </c>
      <c r="AC8" s="17">
        <f>IF(W8="","",IFERROR(IF(ISNUMBER(INDEX(Office_Log!$V$2:$V$201,MATCH(W8,Office_Log!$BM$2:$BM$201,0))),INDEX(Office_Log!$V$2:$V$201,MATCH(W8,Office_Log!$BM$2:$BM$201,0)),""),""))</f>
        <v/>
      </c>
    </row>
    <row r="9">
      <c r="X9" s="22" t="n"/>
      <c r="AA9" s="17">
        <f>IF(W9="","",IFERROR(INDEX(Office_Log!$U$2:$U$201,MATCH(W9,Office_Log!$BM$2:$BM$201,0))&amp;"",""))</f>
        <v/>
      </c>
      <c r="AB9" s="23">
        <f>IF(W9="","",IFERROR(IF(ISNUMBER(INDEX(Office_Log!$G$2:$G$201,MATCH(W9,Office_Log!$BM$2:$BM$201,0))),INDEX(Office_Log!$G$2:$G$201,MATCH(W9,Office_Log!$BM$2:$BM$201,0)),""),""))</f>
        <v/>
      </c>
      <c r="AC9" s="17">
        <f>IF(W9="","",IFERROR(IF(ISNUMBER(INDEX(Office_Log!$V$2:$V$201,MATCH(W9,Office_Log!$BM$2:$BM$201,0))),INDEX(Office_Log!$V$2:$V$201,MATCH(W9,Office_Log!$BM$2:$BM$201,0)),""),""))</f>
        <v/>
      </c>
    </row>
    <row r="10">
      <c r="X10" s="22" t="n"/>
      <c r="AA10" s="17">
        <f>IF(W10="","",IFERROR(INDEX(Office_Log!$U$2:$U$201,MATCH(W10,Office_Log!$BM$2:$BM$201,0))&amp;"",""))</f>
        <v/>
      </c>
      <c r="AB10" s="23">
        <f>IF(W10="","",IFERROR(IF(ISNUMBER(INDEX(Office_Log!$G$2:$G$201,MATCH(W10,Office_Log!$BM$2:$BM$201,0))),INDEX(Office_Log!$G$2:$G$201,MATCH(W10,Office_Log!$BM$2:$BM$201,0)),""),""))</f>
        <v/>
      </c>
      <c r="AC10" s="17">
        <f>IF(W10="","",IFERROR(IF(ISNUMBER(INDEX(Office_Log!$V$2:$V$201,MATCH(W10,Office_Log!$BM$2:$BM$201,0))),INDEX(Office_Log!$V$2:$V$201,MATCH(W10,Office_Log!$BM$2:$BM$201,0)),""),""))</f>
        <v/>
      </c>
    </row>
    <row r="11">
      <c r="X11" s="22" t="n"/>
      <c r="AA11" s="17">
        <f>IF(W11="","",IFERROR(INDEX(Office_Log!$U$2:$U$201,MATCH(W11,Office_Log!$BM$2:$BM$201,0))&amp;"",""))</f>
        <v/>
      </c>
      <c r="AB11" s="23">
        <f>IF(W11="","",IFERROR(IF(ISNUMBER(INDEX(Office_Log!$G$2:$G$201,MATCH(W11,Office_Log!$BM$2:$BM$201,0))),INDEX(Office_Log!$G$2:$G$201,MATCH(W11,Office_Log!$BM$2:$BM$201,0)),""),""))</f>
        <v/>
      </c>
      <c r="AC11" s="17">
        <f>IF(W11="","",IFERROR(IF(ISNUMBER(INDEX(Office_Log!$V$2:$V$201,MATCH(W11,Office_Log!$BM$2:$BM$201,0))),INDEX(Office_Log!$V$2:$V$201,MATCH(W11,Office_Log!$BM$2:$BM$201,0)),""),""))</f>
        <v/>
      </c>
    </row>
    <row r="12">
      <c r="X12" s="22" t="n"/>
      <c r="AA12" s="17">
        <f>IF(W12="","",IFERROR(INDEX(Office_Log!$U$2:$U$201,MATCH(W12,Office_Log!$BM$2:$BM$201,0))&amp;"",""))</f>
        <v/>
      </c>
      <c r="AB12" s="23">
        <f>IF(W12="","",IFERROR(IF(ISNUMBER(INDEX(Office_Log!$G$2:$G$201,MATCH(W12,Office_Log!$BM$2:$BM$201,0))),INDEX(Office_Log!$G$2:$G$201,MATCH(W12,Office_Log!$BM$2:$BM$201,0)),""),""))</f>
        <v/>
      </c>
      <c r="AC12" s="17">
        <f>IF(W12="","",IFERROR(IF(ISNUMBER(INDEX(Office_Log!$V$2:$V$201,MATCH(W12,Office_Log!$BM$2:$BM$201,0))),INDEX(Office_Log!$V$2:$V$201,MATCH(W12,Office_Log!$BM$2:$BM$201,0)),""),""))</f>
        <v/>
      </c>
    </row>
    <row r="13">
      <c r="X13" s="22" t="n"/>
      <c r="AA13" s="17">
        <f>IF(W13="","",IFERROR(INDEX(Office_Log!$U$2:$U$201,MATCH(W13,Office_Log!$BM$2:$BM$201,0))&amp;"",""))</f>
        <v/>
      </c>
      <c r="AB13" s="23">
        <f>IF(W13="","",IFERROR(IF(ISNUMBER(INDEX(Office_Log!$G$2:$G$201,MATCH(W13,Office_Log!$BM$2:$BM$201,0))),INDEX(Office_Log!$G$2:$G$201,MATCH(W13,Office_Log!$BM$2:$BM$201,0)),""),""))</f>
        <v/>
      </c>
      <c r="AC13" s="17">
        <f>IF(W13="","",IFERROR(IF(ISNUMBER(INDEX(Office_Log!$V$2:$V$201,MATCH(W13,Office_Log!$BM$2:$BM$201,0))),INDEX(Office_Log!$V$2:$V$201,MATCH(W13,Office_Log!$BM$2:$BM$201,0)),""),""))</f>
        <v/>
      </c>
    </row>
    <row r="14">
      <c r="X14" s="22" t="n"/>
      <c r="AA14" s="17">
        <f>IF(W14="","",IFERROR(INDEX(Office_Log!$U$2:$U$201,MATCH(W14,Office_Log!$BM$2:$BM$201,0))&amp;"",""))</f>
        <v/>
      </c>
      <c r="AB14" s="23">
        <f>IF(W14="","",IFERROR(IF(ISNUMBER(INDEX(Office_Log!$G$2:$G$201,MATCH(W14,Office_Log!$BM$2:$BM$201,0))),INDEX(Office_Log!$G$2:$G$201,MATCH(W14,Office_Log!$BM$2:$BM$201,0)),""),""))</f>
        <v/>
      </c>
      <c r="AC14" s="17">
        <f>IF(W14="","",IFERROR(IF(ISNUMBER(INDEX(Office_Log!$V$2:$V$201,MATCH(W14,Office_Log!$BM$2:$BM$201,0))),INDEX(Office_Log!$V$2:$V$201,MATCH(W14,Office_Log!$BM$2:$BM$201,0)),""),""))</f>
        <v/>
      </c>
    </row>
    <row r="15">
      <c r="X15" s="22" t="n"/>
      <c r="AA15" s="17">
        <f>IF(W15="","",IFERROR(INDEX(Office_Log!$U$2:$U$201,MATCH(W15,Office_Log!$BM$2:$BM$201,0))&amp;"",""))</f>
        <v/>
      </c>
      <c r="AB15" s="23">
        <f>IF(W15="","",IFERROR(IF(ISNUMBER(INDEX(Office_Log!$G$2:$G$201,MATCH(W15,Office_Log!$BM$2:$BM$201,0))),INDEX(Office_Log!$G$2:$G$201,MATCH(W15,Office_Log!$BM$2:$BM$201,0)),""),""))</f>
        <v/>
      </c>
      <c r="AC15" s="17">
        <f>IF(W15="","",IFERROR(IF(ISNUMBER(INDEX(Office_Log!$V$2:$V$201,MATCH(W15,Office_Log!$BM$2:$BM$201,0))),INDEX(Office_Log!$V$2:$V$201,MATCH(W15,Office_Log!$BM$2:$BM$201,0)),""),""))</f>
        <v/>
      </c>
    </row>
    <row r="16">
      <c r="X16" s="22" t="n"/>
      <c r="AA16" s="17">
        <f>IF(W16="","",IFERROR(INDEX(Office_Log!$U$2:$U$201,MATCH(W16,Office_Log!$BM$2:$BM$201,0))&amp;"",""))</f>
        <v/>
      </c>
      <c r="AB16" s="23">
        <f>IF(W16="","",IFERROR(IF(ISNUMBER(INDEX(Office_Log!$G$2:$G$201,MATCH(W16,Office_Log!$BM$2:$BM$201,0))),INDEX(Office_Log!$G$2:$G$201,MATCH(W16,Office_Log!$BM$2:$BM$201,0)),""),""))</f>
        <v/>
      </c>
      <c r="AC16" s="17">
        <f>IF(W16="","",IFERROR(IF(ISNUMBER(INDEX(Office_Log!$V$2:$V$201,MATCH(W16,Office_Log!$BM$2:$BM$201,0))),INDEX(Office_Log!$V$2:$V$201,MATCH(W16,Office_Log!$BM$2:$BM$201,0)),""),""))</f>
        <v/>
      </c>
    </row>
    <row r="17">
      <c r="X17" s="22" t="n"/>
      <c r="AA17" s="17">
        <f>IF(W17="","",IFERROR(INDEX(Office_Log!$U$2:$U$201,MATCH(W17,Office_Log!$BM$2:$BM$201,0))&amp;"",""))</f>
        <v/>
      </c>
      <c r="AB17" s="23">
        <f>IF(W17="","",IFERROR(IF(ISNUMBER(INDEX(Office_Log!$G$2:$G$201,MATCH(W17,Office_Log!$BM$2:$BM$201,0))),INDEX(Office_Log!$G$2:$G$201,MATCH(W17,Office_Log!$BM$2:$BM$201,0)),""),""))</f>
        <v/>
      </c>
      <c r="AC17" s="17">
        <f>IF(W17="","",IFERROR(IF(ISNUMBER(INDEX(Office_Log!$V$2:$V$201,MATCH(W17,Office_Log!$BM$2:$BM$201,0))),INDEX(Office_Log!$V$2:$V$201,MATCH(W17,Office_Log!$BM$2:$BM$201,0)),""),""))</f>
        <v/>
      </c>
    </row>
    <row r="18">
      <c r="X18" s="22" t="n"/>
      <c r="AA18" s="17">
        <f>IF(W18="","",IFERROR(INDEX(Office_Log!$U$2:$U$201,MATCH(W18,Office_Log!$BM$2:$BM$201,0))&amp;"",""))</f>
        <v/>
      </c>
      <c r="AB18" s="23">
        <f>IF(W18="","",IFERROR(IF(ISNUMBER(INDEX(Office_Log!$G$2:$G$201,MATCH(W18,Office_Log!$BM$2:$BM$201,0))),INDEX(Office_Log!$G$2:$G$201,MATCH(W18,Office_Log!$BM$2:$BM$201,0)),""),""))</f>
        <v/>
      </c>
      <c r="AC18" s="17">
        <f>IF(W18="","",IFERROR(IF(ISNUMBER(INDEX(Office_Log!$V$2:$V$201,MATCH(W18,Office_Log!$BM$2:$BM$201,0))),INDEX(Office_Log!$V$2:$V$201,MATCH(W18,Office_Log!$BM$2:$BM$201,0)),""),""))</f>
        <v/>
      </c>
    </row>
    <row r="19">
      <c r="X19" s="22" t="n"/>
      <c r="AA19" s="17">
        <f>IF(W19="","",IFERROR(INDEX(Office_Log!$U$2:$U$201,MATCH(W19,Office_Log!$BM$2:$BM$201,0))&amp;"",""))</f>
        <v/>
      </c>
      <c r="AB19" s="23">
        <f>IF(W19="","",IFERROR(IF(ISNUMBER(INDEX(Office_Log!$G$2:$G$201,MATCH(W19,Office_Log!$BM$2:$BM$201,0))),INDEX(Office_Log!$G$2:$G$201,MATCH(W19,Office_Log!$BM$2:$BM$201,0)),""),""))</f>
        <v/>
      </c>
      <c r="AC19" s="17">
        <f>IF(W19="","",IFERROR(IF(ISNUMBER(INDEX(Office_Log!$V$2:$V$201,MATCH(W19,Office_Log!$BM$2:$BM$201,0))),INDEX(Office_Log!$V$2:$V$201,MATCH(W19,Office_Log!$BM$2:$BM$201,0)),""),""))</f>
        <v/>
      </c>
    </row>
    <row r="20">
      <c r="X20" s="22" t="n"/>
      <c r="AA20" s="17">
        <f>IF(W20="","",IFERROR(INDEX(Office_Log!$U$2:$U$201,MATCH(W20,Office_Log!$BM$2:$BM$201,0))&amp;"",""))</f>
        <v/>
      </c>
      <c r="AB20" s="23">
        <f>IF(W20="","",IFERROR(IF(ISNUMBER(INDEX(Office_Log!$G$2:$G$201,MATCH(W20,Office_Log!$BM$2:$BM$201,0))),INDEX(Office_Log!$G$2:$G$201,MATCH(W20,Office_Log!$BM$2:$BM$201,0)),""),""))</f>
        <v/>
      </c>
      <c r="AC20" s="17">
        <f>IF(W20="","",IFERROR(IF(ISNUMBER(INDEX(Office_Log!$V$2:$V$201,MATCH(W20,Office_Log!$BM$2:$BM$201,0))),INDEX(Office_Log!$V$2:$V$201,MATCH(W20,Office_Log!$BM$2:$BM$201,0)),""),""))</f>
        <v/>
      </c>
    </row>
    <row r="21">
      <c r="X21" s="22" t="n"/>
      <c r="AA21" s="17">
        <f>IF(W21="","",IFERROR(INDEX(Office_Log!$U$2:$U$201,MATCH(W21,Office_Log!$BM$2:$BM$201,0))&amp;"",""))</f>
        <v/>
      </c>
      <c r="AB21" s="23">
        <f>IF(W21="","",IFERROR(IF(ISNUMBER(INDEX(Office_Log!$G$2:$G$201,MATCH(W21,Office_Log!$BM$2:$BM$201,0))),INDEX(Office_Log!$G$2:$G$201,MATCH(W21,Office_Log!$BM$2:$BM$201,0)),""),""))</f>
        <v/>
      </c>
      <c r="AC21" s="17">
        <f>IF(W21="","",IFERROR(IF(ISNUMBER(INDEX(Office_Log!$V$2:$V$201,MATCH(W21,Office_Log!$BM$2:$BM$201,0))),INDEX(Office_Log!$V$2:$V$201,MATCH(W21,Office_Log!$BM$2:$BM$201,0)),""),""))</f>
        <v/>
      </c>
    </row>
    <row r="22">
      <c r="X22" s="22" t="n"/>
      <c r="AA22" s="17">
        <f>IF(W22="","",IFERROR(INDEX(Office_Log!$U$2:$U$201,MATCH(W22,Office_Log!$BM$2:$BM$201,0))&amp;"",""))</f>
        <v/>
      </c>
      <c r="AB22" s="23">
        <f>IF(W22="","",IFERROR(IF(ISNUMBER(INDEX(Office_Log!$G$2:$G$201,MATCH(W22,Office_Log!$BM$2:$BM$201,0))),INDEX(Office_Log!$G$2:$G$201,MATCH(W22,Office_Log!$BM$2:$BM$201,0)),""),""))</f>
        <v/>
      </c>
      <c r="AC22" s="17">
        <f>IF(W22="","",IFERROR(IF(ISNUMBER(INDEX(Office_Log!$V$2:$V$201,MATCH(W22,Office_Log!$BM$2:$BM$201,0))),INDEX(Office_Log!$V$2:$V$201,MATCH(W22,Office_Log!$BM$2:$BM$201,0)),""),""))</f>
        <v/>
      </c>
    </row>
    <row r="23">
      <c r="X23" s="22" t="n"/>
      <c r="AA23" s="17">
        <f>IF(W23="","",IFERROR(INDEX(Office_Log!$U$2:$U$201,MATCH(W23,Office_Log!$BM$2:$BM$201,0))&amp;"",""))</f>
        <v/>
      </c>
      <c r="AB23" s="23">
        <f>IF(W23="","",IFERROR(IF(ISNUMBER(INDEX(Office_Log!$G$2:$G$201,MATCH(W23,Office_Log!$BM$2:$BM$201,0))),INDEX(Office_Log!$G$2:$G$201,MATCH(W23,Office_Log!$BM$2:$BM$201,0)),""),""))</f>
        <v/>
      </c>
      <c r="AC23" s="17">
        <f>IF(W23="","",IFERROR(IF(ISNUMBER(INDEX(Office_Log!$V$2:$V$201,MATCH(W23,Office_Log!$BM$2:$BM$201,0))),INDEX(Office_Log!$V$2:$V$201,MATCH(W23,Office_Log!$BM$2:$BM$201,0)),""),""))</f>
        <v/>
      </c>
    </row>
    <row r="24">
      <c r="X24" s="22" t="n"/>
      <c r="AA24" s="17">
        <f>IF(W24="","",IFERROR(INDEX(Office_Log!$U$2:$U$201,MATCH(W24,Office_Log!$BM$2:$BM$201,0))&amp;"",""))</f>
        <v/>
      </c>
      <c r="AB24" s="23">
        <f>IF(W24="","",IFERROR(IF(ISNUMBER(INDEX(Office_Log!$G$2:$G$201,MATCH(W24,Office_Log!$BM$2:$BM$201,0))),INDEX(Office_Log!$G$2:$G$201,MATCH(W24,Office_Log!$BM$2:$BM$201,0)),""),""))</f>
        <v/>
      </c>
      <c r="AC24" s="17">
        <f>IF(W24="","",IFERROR(IF(ISNUMBER(INDEX(Office_Log!$V$2:$V$201,MATCH(W24,Office_Log!$BM$2:$BM$201,0))),INDEX(Office_Log!$V$2:$V$201,MATCH(W24,Office_Log!$BM$2:$BM$201,0)),""),""))</f>
        <v/>
      </c>
    </row>
    <row r="25">
      <c r="X25" s="22" t="n"/>
      <c r="AA25" s="17">
        <f>IF(W25="","",IFERROR(INDEX(Office_Log!$U$2:$U$201,MATCH(W25,Office_Log!$BM$2:$BM$201,0))&amp;"",""))</f>
        <v/>
      </c>
      <c r="AB25" s="23">
        <f>IF(W25="","",IFERROR(IF(ISNUMBER(INDEX(Office_Log!$G$2:$G$201,MATCH(W25,Office_Log!$BM$2:$BM$201,0))),INDEX(Office_Log!$G$2:$G$201,MATCH(W25,Office_Log!$BM$2:$BM$201,0)),""),""))</f>
        <v/>
      </c>
      <c r="AC25" s="17">
        <f>IF(W25="","",IFERROR(IF(ISNUMBER(INDEX(Office_Log!$V$2:$V$201,MATCH(W25,Office_Log!$BM$2:$BM$201,0))),INDEX(Office_Log!$V$2:$V$201,MATCH(W25,Office_Log!$BM$2:$BM$201,0)),""),""))</f>
        <v/>
      </c>
    </row>
    <row r="26">
      <c r="X26" s="22" t="n"/>
      <c r="AA26" s="17">
        <f>IF(W26="","",IFERROR(INDEX(Office_Log!$U$2:$U$201,MATCH(W26,Office_Log!$BM$2:$BM$201,0))&amp;"",""))</f>
        <v/>
      </c>
      <c r="AB26" s="23">
        <f>IF(W26="","",IFERROR(IF(ISNUMBER(INDEX(Office_Log!$G$2:$G$201,MATCH(W26,Office_Log!$BM$2:$BM$201,0))),INDEX(Office_Log!$G$2:$G$201,MATCH(W26,Office_Log!$BM$2:$BM$201,0)),""),""))</f>
        <v/>
      </c>
      <c r="AC26" s="17">
        <f>IF(W26="","",IFERROR(IF(ISNUMBER(INDEX(Office_Log!$V$2:$V$201,MATCH(W26,Office_Log!$BM$2:$BM$201,0))),INDEX(Office_Log!$V$2:$V$201,MATCH(W26,Office_Log!$BM$2:$BM$201,0)),""),""))</f>
        <v/>
      </c>
    </row>
    <row r="27">
      <c r="X27" s="22" t="n"/>
      <c r="AA27" s="17">
        <f>IF(W27="","",IFERROR(INDEX(Office_Log!$U$2:$U$201,MATCH(W27,Office_Log!$BM$2:$BM$201,0))&amp;"",""))</f>
        <v/>
      </c>
      <c r="AB27" s="23">
        <f>IF(W27="","",IFERROR(IF(ISNUMBER(INDEX(Office_Log!$G$2:$G$201,MATCH(W27,Office_Log!$BM$2:$BM$201,0))),INDEX(Office_Log!$G$2:$G$201,MATCH(W27,Office_Log!$BM$2:$BM$201,0)),""),""))</f>
        <v/>
      </c>
      <c r="AC27" s="17">
        <f>IF(W27="","",IFERROR(IF(ISNUMBER(INDEX(Office_Log!$V$2:$V$201,MATCH(W27,Office_Log!$BM$2:$BM$201,0))),INDEX(Office_Log!$V$2:$V$201,MATCH(W27,Office_Log!$BM$2:$BM$201,0)),""),""))</f>
        <v/>
      </c>
    </row>
    <row r="28">
      <c r="X28" s="22" t="n"/>
      <c r="AA28" s="17">
        <f>IF(W28="","",IFERROR(INDEX(Office_Log!$U$2:$U$201,MATCH(W28,Office_Log!$BM$2:$BM$201,0))&amp;"",""))</f>
        <v/>
      </c>
      <c r="AB28" s="23">
        <f>IF(W28="","",IFERROR(IF(ISNUMBER(INDEX(Office_Log!$G$2:$G$201,MATCH(W28,Office_Log!$BM$2:$BM$201,0))),INDEX(Office_Log!$G$2:$G$201,MATCH(W28,Office_Log!$BM$2:$BM$201,0)),""),""))</f>
        <v/>
      </c>
      <c r="AC28" s="17">
        <f>IF(W28="","",IFERROR(IF(ISNUMBER(INDEX(Office_Log!$V$2:$V$201,MATCH(W28,Office_Log!$BM$2:$BM$201,0))),INDEX(Office_Log!$V$2:$V$201,MATCH(W28,Office_Log!$BM$2:$BM$201,0)),""),""))</f>
        <v/>
      </c>
    </row>
    <row r="29">
      <c r="X29" s="22" t="n"/>
      <c r="AA29" s="17">
        <f>IF(W29="","",IFERROR(INDEX(Office_Log!$U$2:$U$201,MATCH(W29,Office_Log!$BM$2:$BM$201,0))&amp;"",""))</f>
        <v/>
      </c>
      <c r="AB29" s="23">
        <f>IF(W29="","",IFERROR(IF(ISNUMBER(INDEX(Office_Log!$G$2:$G$201,MATCH(W29,Office_Log!$BM$2:$BM$201,0))),INDEX(Office_Log!$G$2:$G$201,MATCH(W29,Office_Log!$BM$2:$BM$201,0)),""),""))</f>
        <v/>
      </c>
      <c r="AC29" s="17">
        <f>IF(W29="","",IFERROR(IF(ISNUMBER(INDEX(Office_Log!$V$2:$V$201,MATCH(W29,Office_Log!$BM$2:$BM$201,0))),INDEX(Office_Log!$V$2:$V$201,MATCH(W29,Office_Log!$BM$2:$BM$201,0)),""),""))</f>
        <v/>
      </c>
    </row>
    <row r="30">
      <c r="X30" s="22" t="n"/>
      <c r="AA30" s="17">
        <f>IF(W30="","",IFERROR(INDEX(Office_Log!$U$2:$U$201,MATCH(W30,Office_Log!$BM$2:$BM$201,0))&amp;"",""))</f>
        <v/>
      </c>
      <c r="AB30" s="23">
        <f>IF(W30="","",IFERROR(IF(ISNUMBER(INDEX(Office_Log!$G$2:$G$201,MATCH(W30,Office_Log!$BM$2:$BM$201,0))),INDEX(Office_Log!$G$2:$G$201,MATCH(W30,Office_Log!$BM$2:$BM$201,0)),""),""))</f>
        <v/>
      </c>
      <c r="AC30" s="17">
        <f>IF(W30="","",IFERROR(IF(ISNUMBER(INDEX(Office_Log!$V$2:$V$201,MATCH(W30,Office_Log!$BM$2:$BM$201,0))),INDEX(Office_Log!$V$2:$V$201,MATCH(W30,Office_Log!$BM$2:$BM$201,0)),""),""))</f>
        <v/>
      </c>
    </row>
    <row r="31">
      <c r="X31" s="22" t="n"/>
      <c r="AA31" s="17">
        <f>IF(W31="","",IFERROR(INDEX(Office_Log!$U$2:$U$201,MATCH(W31,Office_Log!$BM$2:$BM$201,0))&amp;"",""))</f>
        <v/>
      </c>
      <c r="AB31" s="23">
        <f>IF(W31="","",IFERROR(IF(ISNUMBER(INDEX(Office_Log!$G$2:$G$201,MATCH(W31,Office_Log!$BM$2:$BM$201,0))),INDEX(Office_Log!$G$2:$G$201,MATCH(W31,Office_Log!$BM$2:$BM$201,0)),""),""))</f>
        <v/>
      </c>
      <c r="AC31" s="17">
        <f>IF(W31="","",IFERROR(IF(ISNUMBER(INDEX(Office_Log!$V$2:$V$201,MATCH(W31,Office_Log!$BM$2:$BM$201,0))),INDEX(Office_Log!$V$2:$V$201,MATCH(W31,Office_Log!$BM$2:$BM$201,0)),""),""))</f>
        <v/>
      </c>
    </row>
    <row r="32">
      <c r="X32" s="22" t="n"/>
      <c r="AA32" s="17">
        <f>IF(W32="","",IFERROR(INDEX(Office_Log!$U$2:$U$201,MATCH(W32,Office_Log!$BM$2:$BM$201,0))&amp;"",""))</f>
        <v/>
      </c>
      <c r="AB32" s="23">
        <f>IF(W32="","",IFERROR(IF(ISNUMBER(INDEX(Office_Log!$G$2:$G$201,MATCH(W32,Office_Log!$BM$2:$BM$201,0))),INDEX(Office_Log!$G$2:$G$201,MATCH(W32,Office_Log!$BM$2:$BM$201,0)),""),""))</f>
        <v/>
      </c>
      <c r="AC32" s="17">
        <f>IF(W32="","",IFERROR(IF(ISNUMBER(INDEX(Office_Log!$V$2:$V$201,MATCH(W32,Office_Log!$BM$2:$BM$201,0))),INDEX(Office_Log!$V$2:$V$201,MATCH(W32,Office_Log!$BM$2:$BM$201,0)),""),""))</f>
        <v/>
      </c>
    </row>
    <row r="33">
      <c r="X33" s="22" t="n"/>
      <c r="AA33" s="17">
        <f>IF(W33="","",IFERROR(INDEX(Office_Log!$U$2:$U$201,MATCH(W33,Office_Log!$BM$2:$BM$201,0))&amp;"",""))</f>
        <v/>
      </c>
      <c r="AB33" s="23">
        <f>IF(W33="","",IFERROR(IF(ISNUMBER(INDEX(Office_Log!$G$2:$G$201,MATCH(W33,Office_Log!$BM$2:$BM$201,0))),INDEX(Office_Log!$G$2:$G$201,MATCH(W33,Office_Log!$BM$2:$BM$201,0)),""),""))</f>
        <v/>
      </c>
      <c r="AC33" s="17">
        <f>IF(W33="","",IFERROR(IF(ISNUMBER(INDEX(Office_Log!$V$2:$V$201,MATCH(W33,Office_Log!$BM$2:$BM$201,0))),INDEX(Office_Log!$V$2:$V$201,MATCH(W33,Office_Log!$BM$2:$BM$201,0)),""),""))</f>
        <v/>
      </c>
    </row>
    <row r="34">
      <c r="X34" s="22" t="n"/>
      <c r="AA34" s="17">
        <f>IF(W34="","",IFERROR(INDEX(Office_Log!$U$2:$U$201,MATCH(W34,Office_Log!$BM$2:$BM$201,0))&amp;"",""))</f>
        <v/>
      </c>
      <c r="AB34" s="23">
        <f>IF(W34="","",IFERROR(IF(ISNUMBER(INDEX(Office_Log!$G$2:$G$201,MATCH(W34,Office_Log!$BM$2:$BM$201,0))),INDEX(Office_Log!$G$2:$G$201,MATCH(W34,Office_Log!$BM$2:$BM$201,0)),""),""))</f>
        <v/>
      </c>
      <c r="AC34" s="17">
        <f>IF(W34="","",IFERROR(IF(ISNUMBER(INDEX(Office_Log!$V$2:$V$201,MATCH(W34,Office_Log!$BM$2:$BM$201,0))),INDEX(Office_Log!$V$2:$V$201,MATCH(W34,Office_Log!$BM$2:$BM$201,0)),""),""))</f>
        <v/>
      </c>
    </row>
    <row r="35">
      <c r="X35" s="22" t="n"/>
      <c r="AA35" s="17">
        <f>IF(W35="","",IFERROR(INDEX(Office_Log!$U$2:$U$201,MATCH(W35,Office_Log!$BM$2:$BM$201,0))&amp;"",""))</f>
        <v/>
      </c>
      <c r="AB35" s="23">
        <f>IF(W35="","",IFERROR(IF(ISNUMBER(INDEX(Office_Log!$G$2:$G$201,MATCH(W35,Office_Log!$BM$2:$BM$201,0))),INDEX(Office_Log!$G$2:$G$201,MATCH(W35,Office_Log!$BM$2:$BM$201,0)),""),""))</f>
        <v/>
      </c>
      <c r="AC35" s="17">
        <f>IF(W35="","",IFERROR(IF(ISNUMBER(INDEX(Office_Log!$V$2:$V$201,MATCH(W35,Office_Log!$BM$2:$BM$201,0))),INDEX(Office_Log!$V$2:$V$201,MATCH(W35,Office_Log!$BM$2:$BM$201,0)),""),""))</f>
        <v/>
      </c>
    </row>
    <row r="36">
      <c r="X36" s="22" t="n"/>
      <c r="AA36" s="17">
        <f>IF(W36="","",IFERROR(INDEX(Office_Log!$U$2:$U$201,MATCH(W36,Office_Log!$BM$2:$BM$201,0))&amp;"",""))</f>
        <v/>
      </c>
      <c r="AB36" s="23">
        <f>IF(W36="","",IFERROR(IF(ISNUMBER(INDEX(Office_Log!$G$2:$G$201,MATCH(W36,Office_Log!$BM$2:$BM$201,0))),INDEX(Office_Log!$G$2:$G$201,MATCH(W36,Office_Log!$BM$2:$BM$201,0)),""),""))</f>
        <v/>
      </c>
      <c r="AC36" s="17">
        <f>IF(W36="","",IFERROR(IF(ISNUMBER(INDEX(Office_Log!$V$2:$V$201,MATCH(W36,Office_Log!$BM$2:$BM$201,0))),INDEX(Office_Log!$V$2:$V$201,MATCH(W36,Office_Log!$BM$2:$BM$201,0)),""),""))</f>
        <v/>
      </c>
    </row>
    <row r="37">
      <c r="X37" s="22" t="n"/>
      <c r="AA37" s="17">
        <f>IF(W37="","",IFERROR(INDEX(Office_Log!$U$2:$U$201,MATCH(W37,Office_Log!$BM$2:$BM$201,0))&amp;"",""))</f>
        <v/>
      </c>
      <c r="AB37" s="23">
        <f>IF(W37="","",IFERROR(IF(ISNUMBER(INDEX(Office_Log!$G$2:$G$201,MATCH(W37,Office_Log!$BM$2:$BM$201,0))),INDEX(Office_Log!$G$2:$G$201,MATCH(W37,Office_Log!$BM$2:$BM$201,0)),""),""))</f>
        <v/>
      </c>
      <c r="AC37" s="17">
        <f>IF(W37="","",IFERROR(IF(ISNUMBER(INDEX(Office_Log!$V$2:$V$201,MATCH(W37,Office_Log!$BM$2:$BM$201,0))),INDEX(Office_Log!$V$2:$V$201,MATCH(W37,Office_Log!$BM$2:$BM$201,0)),""),""))</f>
        <v/>
      </c>
    </row>
    <row r="38">
      <c r="X38" s="22" t="n"/>
      <c r="AA38" s="17">
        <f>IF(W38="","",IFERROR(INDEX(Office_Log!$U$2:$U$201,MATCH(W38,Office_Log!$BM$2:$BM$201,0))&amp;"",""))</f>
        <v/>
      </c>
      <c r="AB38" s="23">
        <f>IF(W38="","",IFERROR(IF(ISNUMBER(INDEX(Office_Log!$G$2:$G$201,MATCH(W38,Office_Log!$BM$2:$BM$201,0))),INDEX(Office_Log!$G$2:$G$201,MATCH(W38,Office_Log!$BM$2:$BM$201,0)),""),""))</f>
        <v/>
      </c>
      <c r="AC38" s="17">
        <f>IF(W38="","",IFERROR(IF(ISNUMBER(INDEX(Office_Log!$V$2:$V$201,MATCH(W38,Office_Log!$BM$2:$BM$201,0))),INDEX(Office_Log!$V$2:$V$201,MATCH(W38,Office_Log!$BM$2:$BM$201,0)),""),""))</f>
        <v/>
      </c>
    </row>
    <row r="39">
      <c r="X39" s="22" t="n"/>
      <c r="AA39" s="17">
        <f>IF(W39="","",IFERROR(INDEX(Office_Log!$U$2:$U$201,MATCH(W39,Office_Log!$BM$2:$BM$201,0))&amp;"",""))</f>
        <v/>
      </c>
      <c r="AB39" s="23">
        <f>IF(W39="","",IFERROR(IF(ISNUMBER(INDEX(Office_Log!$G$2:$G$201,MATCH(W39,Office_Log!$BM$2:$BM$201,0))),INDEX(Office_Log!$G$2:$G$201,MATCH(W39,Office_Log!$BM$2:$BM$201,0)),""),""))</f>
        <v/>
      </c>
      <c r="AC39" s="17">
        <f>IF(W39="","",IFERROR(IF(ISNUMBER(INDEX(Office_Log!$V$2:$V$201,MATCH(W39,Office_Log!$BM$2:$BM$201,0))),INDEX(Office_Log!$V$2:$V$201,MATCH(W39,Office_Log!$BM$2:$BM$201,0)),""),""))</f>
        <v/>
      </c>
    </row>
    <row r="40">
      <c r="X40" s="22" t="n"/>
      <c r="AA40" s="17">
        <f>IF(W40="","",IFERROR(INDEX(Office_Log!$U$2:$U$201,MATCH(W40,Office_Log!$BM$2:$BM$201,0))&amp;"",""))</f>
        <v/>
      </c>
      <c r="AB40" s="23">
        <f>IF(W40="","",IFERROR(IF(ISNUMBER(INDEX(Office_Log!$G$2:$G$201,MATCH(W40,Office_Log!$BM$2:$BM$201,0))),INDEX(Office_Log!$G$2:$G$201,MATCH(W40,Office_Log!$BM$2:$BM$201,0)),""),""))</f>
        <v/>
      </c>
      <c r="AC40" s="17">
        <f>IF(W40="","",IFERROR(IF(ISNUMBER(INDEX(Office_Log!$V$2:$V$201,MATCH(W40,Office_Log!$BM$2:$BM$201,0))),INDEX(Office_Log!$V$2:$V$201,MATCH(W40,Office_Log!$BM$2:$BM$201,0)),""),""))</f>
        <v/>
      </c>
    </row>
    <row r="41">
      <c r="X41" s="22" t="n"/>
      <c r="AA41" s="17">
        <f>IF(W41="","",IFERROR(INDEX(Office_Log!$U$2:$U$201,MATCH(W41,Office_Log!$BM$2:$BM$201,0))&amp;"",""))</f>
        <v/>
      </c>
      <c r="AB41" s="23">
        <f>IF(W41="","",IFERROR(IF(ISNUMBER(INDEX(Office_Log!$G$2:$G$201,MATCH(W41,Office_Log!$BM$2:$BM$201,0))),INDEX(Office_Log!$G$2:$G$201,MATCH(W41,Office_Log!$BM$2:$BM$201,0)),""),""))</f>
        <v/>
      </c>
      <c r="AC41" s="17">
        <f>IF(W41="","",IFERROR(IF(ISNUMBER(INDEX(Office_Log!$V$2:$V$201,MATCH(W41,Office_Log!$BM$2:$BM$201,0))),INDEX(Office_Log!$V$2:$V$201,MATCH(W41,Office_Log!$BM$2:$BM$201,0)),""),""))</f>
        <v/>
      </c>
    </row>
    <row r="42">
      <c r="X42" s="22" t="n"/>
      <c r="AA42" s="17">
        <f>IF(W42="","",IFERROR(INDEX(Office_Log!$U$2:$U$201,MATCH(W42,Office_Log!$BM$2:$BM$201,0))&amp;"",""))</f>
        <v/>
      </c>
      <c r="AB42" s="23">
        <f>IF(W42="","",IFERROR(IF(ISNUMBER(INDEX(Office_Log!$G$2:$G$201,MATCH(W42,Office_Log!$BM$2:$BM$201,0))),INDEX(Office_Log!$G$2:$G$201,MATCH(W42,Office_Log!$BM$2:$BM$201,0)),""),""))</f>
        <v/>
      </c>
      <c r="AC42" s="17">
        <f>IF(W42="","",IFERROR(IF(ISNUMBER(INDEX(Office_Log!$V$2:$V$201,MATCH(W42,Office_Log!$BM$2:$BM$201,0))),INDEX(Office_Log!$V$2:$V$201,MATCH(W42,Office_Log!$BM$2:$BM$201,0)),""),""))</f>
        <v/>
      </c>
    </row>
    <row r="43">
      <c r="X43" s="22" t="n"/>
      <c r="AA43" s="17">
        <f>IF(W43="","",IFERROR(INDEX(Office_Log!$U$2:$U$201,MATCH(W43,Office_Log!$BM$2:$BM$201,0))&amp;"",""))</f>
        <v/>
      </c>
      <c r="AB43" s="23">
        <f>IF(W43="","",IFERROR(IF(ISNUMBER(INDEX(Office_Log!$G$2:$G$201,MATCH(W43,Office_Log!$BM$2:$BM$201,0))),INDEX(Office_Log!$G$2:$G$201,MATCH(W43,Office_Log!$BM$2:$BM$201,0)),""),""))</f>
        <v/>
      </c>
      <c r="AC43" s="17">
        <f>IF(W43="","",IFERROR(IF(ISNUMBER(INDEX(Office_Log!$V$2:$V$201,MATCH(W43,Office_Log!$BM$2:$BM$201,0))),INDEX(Office_Log!$V$2:$V$201,MATCH(W43,Office_Log!$BM$2:$BM$201,0)),""),""))</f>
        <v/>
      </c>
    </row>
    <row r="44">
      <c r="X44" s="22" t="n"/>
      <c r="AA44" s="17">
        <f>IF(W44="","",IFERROR(INDEX(Office_Log!$U$2:$U$201,MATCH(W44,Office_Log!$BM$2:$BM$201,0))&amp;"",""))</f>
        <v/>
      </c>
      <c r="AB44" s="23">
        <f>IF(W44="","",IFERROR(IF(ISNUMBER(INDEX(Office_Log!$G$2:$G$201,MATCH(W44,Office_Log!$BM$2:$BM$201,0))),INDEX(Office_Log!$G$2:$G$201,MATCH(W44,Office_Log!$BM$2:$BM$201,0)),""),""))</f>
        <v/>
      </c>
      <c r="AC44" s="17">
        <f>IF(W44="","",IFERROR(IF(ISNUMBER(INDEX(Office_Log!$V$2:$V$201,MATCH(W44,Office_Log!$BM$2:$BM$201,0))),INDEX(Office_Log!$V$2:$V$201,MATCH(W44,Office_Log!$BM$2:$BM$201,0)),""),""))</f>
        <v/>
      </c>
    </row>
    <row r="45">
      <c r="X45" s="22" t="n"/>
      <c r="AA45" s="17">
        <f>IF(W45="","",IFERROR(INDEX(Office_Log!$U$2:$U$201,MATCH(W45,Office_Log!$BM$2:$BM$201,0))&amp;"",""))</f>
        <v/>
      </c>
      <c r="AB45" s="23">
        <f>IF(W45="","",IFERROR(IF(ISNUMBER(INDEX(Office_Log!$G$2:$G$201,MATCH(W45,Office_Log!$BM$2:$BM$201,0))),INDEX(Office_Log!$G$2:$G$201,MATCH(W45,Office_Log!$BM$2:$BM$201,0)),""),""))</f>
        <v/>
      </c>
      <c r="AC45" s="17">
        <f>IF(W45="","",IFERROR(IF(ISNUMBER(INDEX(Office_Log!$V$2:$V$201,MATCH(W45,Office_Log!$BM$2:$BM$201,0))),INDEX(Office_Log!$V$2:$V$201,MATCH(W45,Office_Log!$BM$2:$BM$201,0)),""),""))</f>
        <v/>
      </c>
    </row>
    <row r="46">
      <c r="X46" s="22" t="n"/>
      <c r="AA46" s="17">
        <f>IF(W46="","",IFERROR(INDEX(Office_Log!$U$2:$U$201,MATCH(W46,Office_Log!$BM$2:$BM$201,0))&amp;"",""))</f>
        <v/>
      </c>
      <c r="AB46" s="23">
        <f>IF(W46="","",IFERROR(IF(ISNUMBER(INDEX(Office_Log!$G$2:$G$201,MATCH(W46,Office_Log!$BM$2:$BM$201,0))),INDEX(Office_Log!$G$2:$G$201,MATCH(W46,Office_Log!$BM$2:$BM$201,0)),""),""))</f>
        <v/>
      </c>
      <c r="AC46" s="17">
        <f>IF(W46="","",IFERROR(IF(ISNUMBER(INDEX(Office_Log!$V$2:$V$201,MATCH(W46,Office_Log!$BM$2:$BM$201,0))),INDEX(Office_Log!$V$2:$V$201,MATCH(W46,Office_Log!$BM$2:$BM$201,0)),""),""))</f>
        <v/>
      </c>
    </row>
    <row r="47">
      <c r="X47" s="22" t="n"/>
      <c r="AA47" s="17">
        <f>IF(W47="","",IFERROR(INDEX(Office_Log!$U$2:$U$201,MATCH(W47,Office_Log!$BM$2:$BM$201,0))&amp;"",""))</f>
        <v/>
      </c>
      <c r="AB47" s="23">
        <f>IF(W47="","",IFERROR(IF(ISNUMBER(INDEX(Office_Log!$G$2:$G$201,MATCH(W47,Office_Log!$BM$2:$BM$201,0))),INDEX(Office_Log!$G$2:$G$201,MATCH(W47,Office_Log!$BM$2:$BM$201,0)),""),""))</f>
        <v/>
      </c>
      <c r="AC47" s="17">
        <f>IF(W47="","",IFERROR(IF(ISNUMBER(INDEX(Office_Log!$V$2:$V$201,MATCH(W47,Office_Log!$BM$2:$BM$201,0))),INDEX(Office_Log!$V$2:$V$201,MATCH(W47,Office_Log!$BM$2:$BM$201,0)),""),""))</f>
        <v/>
      </c>
    </row>
    <row r="48">
      <c r="X48" s="22" t="n"/>
      <c r="AA48" s="17">
        <f>IF(W48="","",IFERROR(INDEX(Office_Log!$U$2:$U$201,MATCH(W48,Office_Log!$BM$2:$BM$201,0))&amp;"",""))</f>
        <v/>
      </c>
      <c r="AB48" s="23">
        <f>IF(W48="","",IFERROR(IF(ISNUMBER(INDEX(Office_Log!$G$2:$G$201,MATCH(W48,Office_Log!$BM$2:$BM$201,0))),INDEX(Office_Log!$G$2:$G$201,MATCH(W48,Office_Log!$BM$2:$BM$201,0)),""),""))</f>
        <v/>
      </c>
      <c r="AC48" s="17">
        <f>IF(W48="","",IFERROR(IF(ISNUMBER(INDEX(Office_Log!$V$2:$V$201,MATCH(W48,Office_Log!$BM$2:$BM$201,0))),INDEX(Office_Log!$V$2:$V$201,MATCH(W48,Office_Log!$BM$2:$BM$201,0)),""),""))</f>
        <v/>
      </c>
    </row>
    <row r="49">
      <c r="X49" s="22" t="n"/>
      <c r="AA49" s="17">
        <f>IF(W49="","",IFERROR(INDEX(Office_Log!$U$2:$U$201,MATCH(W49,Office_Log!$BM$2:$BM$201,0))&amp;"",""))</f>
        <v/>
      </c>
      <c r="AB49" s="23">
        <f>IF(W49="","",IFERROR(IF(ISNUMBER(INDEX(Office_Log!$G$2:$G$201,MATCH(W49,Office_Log!$BM$2:$BM$201,0))),INDEX(Office_Log!$G$2:$G$201,MATCH(W49,Office_Log!$BM$2:$BM$201,0)),""),""))</f>
        <v/>
      </c>
      <c r="AC49" s="17">
        <f>IF(W49="","",IFERROR(IF(ISNUMBER(INDEX(Office_Log!$V$2:$V$201,MATCH(W49,Office_Log!$BM$2:$BM$201,0))),INDEX(Office_Log!$V$2:$V$201,MATCH(W49,Office_Log!$BM$2:$BM$201,0)),""),""))</f>
        <v/>
      </c>
    </row>
    <row r="50">
      <c r="X50" s="22" t="n"/>
      <c r="AA50" s="17">
        <f>IF(W50="","",IFERROR(INDEX(Office_Log!$U$2:$U$201,MATCH(W50,Office_Log!$BM$2:$BM$201,0))&amp;"",""))</f>
        <v/>
      </c>
      <c r="AB50" s="23">
        <f>IF(W50="","",IFERROR(IF(ISNUMBER(INDEX(Office_Log!$G$2:$G$201,MATCH(W50,Office_Log!$BM$2:$BM$201,0))),INDEX(Office_Log!$G$2:$G$201,MATCH(W50,Office_Log!$BM$2:$BM$201,0)),""),""))</f>
        <v/>
      </c>
      <c r="AC50" s="17">
        <f>IF(W50="","",IFERROR(IF(ISNUMBER(INDEX(Office_Log!$V$2:$V$201,MATCH(W50,Office_Log!$BM$2:$BM$201,0))),INDEX(Office_Log!$V$2:$V$201,MATCH(W50,Office_Log!$BM$2:$BM$201,0)),""),""))</f>
        <v/>
      </c>
    </row>
    <row r="51">
      <c r="X51" s="22" t="n"/>
      <c r="AA51" s="17">
        <f>IF(W51="","",IFERROR(INDEX(Office_Log!$U$2:$U$201,MATCH(W51,Office_Log!$BM$2:$BM$201,0))&amp;"",""))</f>
        <v/>
      </c>
      <c r="AB51" s="23">
        <f>IF(W51="","",IFERROR(IF(ISNUMBER(INDEX(Office_Log!$G$2:$G$201,MATCH(W51,Office_Log!$BM$2:$BM$201,0))),INDEX(Office_Log!$G$2:$G$201,MATCH(W51,Office_Log!$BM$2:$BM$201,0)),""),""))</f>
        <v/>
      </c>
      <c r="AC51" s="17">
        <f>IF(W51="","",IFERROR(IF(ISNUMBER(INDEX(Office_Log!$V$2:$V$201,MATCH(W51,Office_Log!$BM$2:$BM$201,0))),INDEX(Office_Log!$V$2:$V$201,MATCH(W51,Office_Log!$BM$2:$BM$201,0)),""),""))</f>
        <v/>
      </c>
    </row>
  </sheetData>
  <dataValidations count="7">
    <dataValidation sqref="M2:M51" showDropDown="0" showInputMessage="0" showErrorMessage="0" allowBlank="1" type="list">
      <formula1>=Lists!$A$2:$A$3</formula1>
    </dataValidation>
    <dataValidation sqref="N2:N51" showDropDown="0" showInputMessage="0" showErrorMessage="0" allowBlank="1" type="list">
      <formula1>=Lists!$G$2:$G$5</formula1>
    </dataValidation>
    <dataValidation sqref="P2:P51" showDropDown="0" showInputMessage="0" showErrorMessage="0" allowBlank="1" type="list">
      <formula1>=Lists!$C$2:$C$4</formula1>
    </dataValidation>
    <dataValidation sqref="Q2:Q51" showDropDown="0" showInputMessage="0" showErrorMessage="0" allowBlank="1" type="list">
      <formula1>=Lists!$T$2:$T$4</formula1>
    </dataValidation>
    <dataValidation sqref="U2:U51" showDropDown="0" showInputMessage="0" showErrorMessage="0" allowBlank="1" type="list">
      <formula1>=Lists!$U$2:$U$3</formula1>
    </dataValidation>
    <dataValidation sqref="Z2:Z51" showDropDown="0" showInputMessage="0" showErrorMessage="0" allowBlank="1" type="list">
      <formula1>=Lists!$A$2:$A$3</formula1>
    </dataValidation>
    <dataValidation sqref="AE2:AE51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1" customWidth="1" min="28" max="28"/>
    <col width="15" customWidth="1" min="29" max="29"/>
    <col width="9" customWidth="1" min="30" max="30"/>
    <col width="8" customWidth="1" min="31" max="31"/>
    <col width="7" customWidth="1" min="32" max="32"/>
    <col width="24" customWidth="1" min="33" max="33"/>
    <col width="11" customWidth="1" min="34" max="34"/>
    <col width="1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30" customWidth="1" min="41" max="41"/>
    <col width="26" customWidth="1" min="42" max="42"/>
    <col width="26" customWidth="1" min="43" max="43"/>
    <col width="12" customWidth="1" min="44" max="44"/>
    <col width="22" customWidth="1" min="45" max="45"/>
    <col width="9" customWidth="1" min="46" max="46"/>
    <col width="18" customWidth="1" min="47" max="47"/>
    <col width="8" customWidth="1" min="48" max="48"/>
    <col width="11" customWidth="1" min="49" max="49"/>
    <col width="8" customWidth="1" min="50" max="50"/>
    <col width="11" customWidth="1" min="51" max="51"/>
    <col width="8" customWidth="1" min="52" max="52"/>
    <col width="11" customWidth="1" min="53" max="53"/>
    <col width="7" customWidth="1" min="54" max="54"/>
    <col width="22" customWidth="1" min="55" max="55"/>
    <col width="14" customWidth="1" min="56" max="56"/>
    <col width="22" customWidth="1" min="57" max="57"/>
    <col width="12" customWidth="1" min="58" max="58"/>
    <col width="12" customWidth="1" min="59" max="59"/>
    <col width="14" customWidth="1" min="60" max="60"/>
    <col width="22" customWidth="1" min="61" max="61"/>
    <col width="22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11" customWidth="1" min="71" max="71"/>
    <col width="30" customWidth="1" min="72" max="72"/>
  </cols>
  <sheetData>
    <row r="1" ht="42" customHeight="1">
      <c r="A1" s="7" t="inlineStr">
        <is>
          <t>submitted_at</t>
        </is>
      </c>
      <c r="B1" s="7" t="inlineStr">
        <is>
          <t>form_version</t>
        </is>
      </c>
      <c r="C1" s="7" t="inlineStr">
        <is>
          <t>brand_name</t>
        </is>
      </c>
      <c r="D1" s="7" t="inlineStr">
        <is>
          <t>website</t>
        </is>
      </c>
      <c r="E1" s="7" t="inlineStr">
        <is>
          <t>contact_name</t>
        </is>
      </c>
      <c r="F1" s="7" t="inlineStr">
        <is>
          <t>contact_title</t>
        </is>
      </c>
      <c r="G1" s="7" t="inlineStr">
        <is>
          <t>contact_email</t>
        </is>
      </c>
      <c r="H1" s="7" t="inlineStr">
        <is>
          <t>contact_phone</t>
        </is>
      </c>
      <c r="I1" s="7" t="inlineStr">
        <is>
          <t>product_sku</t>
        </is>
      </c>
      <c r="J1" s="7" t="inlineStr">
        <is>
          <t>category</t>
        </is>
      </c>
      <c r="K1" s="7" t="inlineStr">
        <is>
          <t>hq_city</t>
        </is>
      </c>
      <c r="L1" s="7" t="inlineStr">
        <is>
          <t>nyc_retailers</t>
        </is>
      </c>
      <c r="M1" s="7" t="inlineStr">
        <is>
          <t>online_store_url</t>
        </is>
      </c>
      <c r="N1" s="7" t="inlineStr">
        <is>
          <t>can_issue_discount_code</t>
        </is>
      </c>
      <c r="O1" s="7" t="inlineStr">
        <is>
          <t>preferred_timing</t>
        </is>
      </c>
      <c r="P1" s="7" t="inlineStr">
        <is>
          <t>budget_approver_is_contact</t>
        </is>
      </c>
      <c r="Q1" s="7" t="inlineStr">
        <is>
          <t>budget_approver_name_title</t>
        </is>
      </c>
      <c r="R1" s="7" t="inlineStr">
        <is>
          <t>q1_sealed_shelf_stable_60d</t>
        </is>
      </c>
      <c r="S1" s="7" t="inlineStr">
        <is>
          <t>q2_labeled_ingredients_allergens</t>
        </is>
      </c>
      <c r="T1" s="7" t="inlineStr">
        <is>
          <t>q3_buy_path_near_cluster</t>
        </is>
      </c>
      <c r="U1" s="7" t="inlineStr">
        <is>
          <t>q4_can_ship_275_in_10bd</t>
        </is>
      </c>
      <c r="V1" s="7" t="inlineStr">
        <is>
          <t>q5_product_liability_insurance</t>
        </is>
      </c>
      <c r="W1" s="7" t="inlineStr">
        <is>
          <t>q6_contact_can_approve_600</t>
        </is>
      </c>
      <c r="X1" s="7" t="inlineStr">
        <is>
          <t>q7_why_now</t>
        </is>
      </c>
      <c r="Y1" s="7" t="inlineStr">
        <is>
          <t>excluded_category_confirmed</t>
        </is>
      </c>
      <c r="Z1" s="7" t="inlineStr">
        <is>
          <t>notes</t>
        </is>
      </c>
      <c r="AA1" s="7" t="inlineStr">
        <is>
          <t>source</t>
        </is>
      </c>
      <c r="AB1" s="7" t="inlineStr">
        <is>
          <t>brand_id</t>
        </is>
      </c>
      <c r="AC1" s="7" t="inlineStr">
        <is>
          <t>clay_row_id</t>
        </is>
      </c>
      <c r="AD1" s="7" t="inlineStr">
        <is>
          <t>tier</t>
        </is>
      </c>
      <c r="AE1" s="7" t="inlineStr">
        <is>
          <t>price_usd</t>
        </is>
      </c>
      <c r="AF1" s="7" t="inlineStr">
        <is>
          <t>offices_count</t>
        </is>
      </c>
      <c r="AG1" s="7" t="inlineStr">
        <is>
          <t>payment_terms</t>
        </is>
      </c>
      <c r="AH1" s="7" t="inlineStr">
        <is>
          <t>agreement_signed_date</t>
        </is>
      </c>
      <c r="AI1" s="7" t="inlineStr">
        <is>
          <t>invoice_id</t>
        </is>
      </c>
      <c r="AJ1" s="7" t="inlineStr">
        <is>
          <t>invoice_date</t>
        </is>
      </c>
      <c r="AK1" s="16" t="inlineStr">
        <is>
          <t>payment_received_date</t>
        </is>
      </c>
      <c r="AL1" s="7" t="inlineStr">
        <is>
          <t>coi_received_date</t>
        </is>
      </c>
      <c r="AM1" s="7" t="inlineStr">
        <is>
          <t>allergen_sheet_received_date</t>
        </is>
      </c>
      <c r="AN1" s="7" t="inlineStr">
        <is>
          <t>logo_received_date</t>
        </is>
      </c>
      <c r="AO1" s="7" t="inlineStr">
        <is>
          <t>card_sentences</t>
        </is>
      </c>
      <c r="AP1" s="7" t="inlineStr">
        <is>
          <t>allergen_line_verbatim</t>
        </is>
      </c>
      <c r="AQ1" s="7" t="inlineStr">
        <is>
          <t>retailer_line</t>
        </is>
      </c>
      <c r="AR1" s="7" t="inlineStr">
        <is>
          <t>discount_code</t>
        </is>
      </c>
      <c r="AS1" s="7" t="inlineStr">
        <is>
          <t>landing_url</t>
        </is>
      </c>
      <c r="AT1" s="7" t="inlineStr">
        <is>
          <t>unused_product_election</t>
        </is>
      </c>
      <c r="AU1" s="7" t="inlineStr">
        <is>
          <t>office_approvals</t>
        </is>
      </c>
      <c r="AV1" s="7" t="inlineStr">
        <is>
          <t>payment_1_usd</t>
        </is>
      </c>
      <c r="AW1" s="7" t="inlineStr">
        <is>
          <t>payment_1_date</t>
        </is>
      </c>
      <c r="AX1" s="7" t="inlineStr">
        <is>
          <t>payment_2_usd</t>
        </is>
      </c>
      <c r="AY1" s="7" t="inlineStr">
        <is>
          <t>payment_2_date</t>
        </is>
      </c>
      <c r="AZ1" s="7" t="inlineStr">
        <is>
          <t>agreement_version</t>
        </is>
      </c>
      <c r="BA1" s="7" t="inlineStr">
        <is>
          <t>coi_policy_end_date</t>
        </is>
      </c>
      <c r="BB1" s="7" t="inlineStr">
        <is>
          <t>newsletter_option</t>
        </is>
      </c>
      <c r="BC1" s="7" t="inlineStr">
        <is>
          <t>brand_privacy_url</t>
        </is>
      </c>
      <c r="BD1" s="7" t="inlineStr">
        <is>
          <t>allergen_source</t>
        </is>
      </c>
      <c r="BE1" s="7" t="inlineStr">
        <is>
          <t>may_contain_verbatim</t>
        </is>
      </c>
      <c r="BF1" s="7" t="inlineStr">
        <is>
          <t>flavor_name</t>
        </is>
      </c>
      <c r="BG1" s="7" t="inlineStr">
        <is>
          <t>flavor_name_2</t>
        </is>
      </c>
      <c r="BH1" s="7" t="inlineStr">
        <is>
          <t>allergen_source_2</t>
        </is>
      </c>
      <c r="BI1" s="7" t="inlineStr">
        <is>
          <t>allergen_line_verbatim_2</t>
        </is>
      </c>
      <c r="BJ1" s="7" t="inlineStr">
        <is>
          <t>may_contain_verbatim_2</t>
        </is>
      </c>
      <c r="BK1" s="7" t="inlineStr">
        <is>
          <t>verified_q1_sealed_shelf_stable_60d</t>
        </is>
      </c>
      <c r="BL1" s="7" t="inlineStr">
        <is>
          <t>verified_q2_labeled_ingredients_allergens</t>
        </is>
      </c>
      <c r="BM1" s="7" t="inlineStr">
        <is>
          <t>verified_q3_buy_path_near_cluster</t>
        </is>
      </c>
      <c r="BN1" s="7" t="inlineStr">
        <is>
          <t>verified_q4_can_ship_275_in_10bd</t>
        </is>
      </c>
      <c r="BO1" s="7" t="inlineStr">
        <is>
          <t>verified_q5_product_liability_insurance</t>
        </is>
      </c>
      <c r="BP1" s="7" t="inlineStr">
        <is>
          <t>verified_q6_contact_can_approve_600</t>
        </is>
      </c>
      <c r="BQ1" s="7" t="inlineStr">
        <is>
          <t>verified_q7_why_now</t>
        </is>
      </c>
      <c r="BR1" s="7" t="inlineStr">
        <is>
          <t>verified_not_excluded</t>
        </is>
      </c>
      <c r="BS1" s="7" t="inlineStr">
        <is>
          <t>verified_date</t>
        </is>
      </c>
      <c r="BT1" s="7" t="inlineStr">
        <is>
          <t>verified_notes</t>
        </is>
      </c>
    </row>
    <row r="2">
      <c r="AH2" s="22" t="n"/>
      <c r="AJ2" s="22" t="n"/>
      <c r="AK2" s="23">
        <f>IF(ISNUMBER(AW2),AW2,"")</f>
        <v/>
      </c>
      <c r="AL2" s="22" t="n"/>
      <c r="AM2" s="22" t="n"/>
      <c r="AN2" s="22" t="n"/>
      <c r="AW2" s="22" t="n"/>
      <c r="AY2" s="22" t="n"/>
      <c r="BA2" s="22" t="n"/>
      <c r="BS2" s="22" t="n"/>
    </row>
    <row r="3">
      <c r="AH3" s="22" t="n"/>
      <c r="AJ3" s="22" t="n"/>
      <c r="AK3" s="23">
        <f>IF(ISNUMBER(AW3),AW3,"")</f>
        <v/>
      </c>
      <c r="AL3" s="22" t="n"/>
      <c r="AM3" s="22" t="n"/>
      <c r="AN3" s="22" t="n"/>
      <c r="AW3" s="22" t="n"/>
      <c r="AY3" s="22" t="n"/>
      <c r="BA3" s="22" t="n"/>
      <c r="BS3" s="22" t="n"/>
    </row>
    <row r="4">
      <c r="AH4" s="22" t="n"/>
      <c r="AJ4" s="22" t="n"/>
      <c r="AK4" s="23">
        <f>IF(ISNUMBER(AW4),AW4,"")</f>
        <v/>
      </c>
      <c r="AL4" s="22" t="n"/>
      <c r="AM4" s="22" t="n"/>
      <c r="AN4" s="22" t="n"/>
      <c r="AW4" s="22" t="n"/>
      <c r="AY4" s="22" t="n"/>
      <c r="BA4" s="22" t="n"/>
      <c r="BS4" s="22" t="n"/>
    </row>
    <row r="5">
      <c r="AH5" s="22" t="n"/>
      <c r="AJ5" s="22" t="n"/>
      <c r="AK5" s="23">
        <f>IF(ISNUMBER(AW5),AW5,"")</f>
        <v/>
      </c>
      <c r="AL5" s="22" t="n"/>
      <c r="AM5" s="22" t="n"/>
      <c r="AN5" s="22" t="n"/>
      <c r="AW5" s="22" t="n"/>
      <c r="AY5" s="22" t="n"/>
      <c r="BA5" s="22" t="n"/>
      <c r="BS5" s="22" t="n"/>
    </row>
    <row r="6">
      <c r="AH6" s="22" t="n"/>
      <c r="AJ6" s="22" t="n"/>
      <c r="AK6" s="23">
        <f>IF(ISNUMBER(AW6),AW6,"")</f>
        <v/>
      </c>
      <c r="AL6" s="22" t="n"/>
      <c r="AM6" s="22" t="n"/>
      <c r="AN6" s="22" t="n"/>
      <c r="AW6" s="22" t="n"/>
      <c r="AY6" s="22" t="n"/>
      <c r="BA6" s="22" t="n"/>
      <c r="BS6" s="22" t="n"/>
    </row>
    <row r="7">
      <c r="AH7" s="22" t="n"/>
      <c r="AJ7" s="22" t="n"/>
      <c r="AK7" s="23">
        <f>IF(ISNUMBER(AW7),AW7,"")</f>
        <v/>
      </c>
      <c r="AL7" s="22" t="n"/>
      <c r="AM7" s="22" t="n"/>
      <c r="AN7" s="22" t="n"/>
      <c r="AW7" s="22" t="n"/>
      <c r="AY7" s="22" t="n"/>
      <c r="BA7" s="22" t="n"/>
      <c r="BS7" s="22" t="n"/>
    </row>
    <row r="8">
      <c r="AH8" s="22" t="n"/>
      <c r="AJ8" s="22" t="n"/>
      <c r="AK8" s="23">
        <f>IF(ISNUMBER(AW8),AW8,"")</f>
        <v/>
      </c>
      <c r="AL8" s="22" t="n"/>
      <c r="AM8" s="22" t="n"/>
      <c r="AN8" s="22" t="n"/>
      <c r="AW8" s="22" t="n"/>
      <c r="AY8" s="22" t="n"/>
      <c r="BA8" s="22" t="n"/>
      <c r="BS8" s="22" t="n"/>
    </row>
    <row r="9">
      <c r="AH9" s="22" t="n"/>
      <c r="AJ9" s="22" t="n"/>
      <c r="AK9" s="23">
        <f>IF(ISNUMBER(AW9),AW9,"")</f>
        <v/>
      </c>
      <c r="AL9" s="22" t="n"/>
      <c r="AM9" s="22" t="n"/>
      <c r="AN9" s="22" t="n"/>
      <c r="AW9" s="22" t="n"/>
      <c r="AY9" s="22" t="n"/>
      <c r="BA9" s="22" t="n"/>
      <c r="BS9" s="22" t="n"/>
    </row>
    <row r="10">
      <c r="AH10" s="22" t="n"/>
      <c r="AJ10" s="22" t="n"/>
      <c r="AK10" s="23">
        <f>IF(ISNUMBER(AW10),AW10,"")</f>
        <v/>
      </c>
      <c r="AL10" s="22" t="n"/>
      <c r="AM10" s="22" t="n"/>
      <c r="AN10" s="22" t="n"/>
      <c r="AW10" s="22" t="n"/>
      <c r="AY10" s="22" t="n"/>
      <c r="BA10" s="22" t="n"/>
      <c r="BS10" s="22" t="n"/>
    </row>
    <row r="11">
      <c r="AH11" s="22" t="n"/>
      <c r="AJ11" s="22" t="n"/>
      <c r="AK11" s="23">
        <f>IF(ISNUMBER(AW11),AW11,"")</f>
        <v/>
      </c>
      <c r="AL11" s="22" t="n"/>
      <c r="AM11" s="22" t="n"/>
      <c r="AN11" s="22" t="n"/>
      <c r="AW11" s="22" t="n"/>
      <c r="AY11" s="22" t="n"/>
      <c r="BA11" s="22" t="n"/>
      <c r="BS11" s="22" t="n"/>
    </row>
    <row r="12">
      <c r="AH12" s="22" t="n"/>
      <c r="AJ12" s="22" t="n"/>
      <c r="AK12" s="23">
        <f>IF(ISNUMBER(AW12),AW12,"")</f>
        <v/>
      </c>
      <c r="AL12" s="22" t="n"/>
      <c r="AM12" s="22" t="n"/>
      <c r="AN12" s="22" t="n"/>
      <c r="AW12" s="22" t="n"/>
      <c r="AY12" s="22" t="n"/>
      <c r="BA12" s="22" t="n"/>
      <c r="BS12" s="22" t="n"/>
    </row>
    <row r="13">
      <c r="AH13" s="22" t="n"/>
      <c r="AJ13" s="22" t="n"/>
      <c r="AK13" s="23">
        <f>IF(ISNUMBER(AW13),AW13,"")</f>
        <v/>
      </c>
      <c r="AL13" s="22" t="n"/>
      <c r="AM13" s="22" t="n"/>
      <c r="AN13" s="22" t="n"/>
      <c r="AW13" s="22" t="n"/>
      <c r="AY13" s="22" t="n"/>
      <c r="BA13" s="22" t="n"/>
      <c r="BS13" s="22" t="n"/>
    </row>
    <row r="14">
      <c r="AH14" s="22" t="n"/>
      <c r="AJ14" s="22" t="n"/>
      <c r="AK14" s="23">
        <f>IF(ISNUMBER(AW14),AW14,"")</f>
        <v/>
      </c>
      <c r="AL14" s="22" t="n"/>
      <c r="AM14" s="22" t="n"/>
      <c r="AN14" s="22" t="n"/>
      <c r="AW14" s="22" t="n"/>
      <c r="AY14" s="22" t="n"/>
      <c r="BA14" s="22" t="n"/>
      <c r="BS14" s="22" t="n"/>
    </row>
    <row r="15">
      <c r="AH15" s="22" t="n"/>
      <c r="AJ15" s="22" t="n"/>
      <c r="AK15" s="23">
        <f>IF(ISNUMBER(AW15),AW15,"")</f>
        <v/>
      </c>
      <c r="AL15" s="22" t="n"/>
      <c r="AM15" s="22" t="n"/>
      <c r="AN15" s="22" t="n"/>
      <c r="AW15" s="22" t="n"/>
      <c r="AY15" s="22" t="n"/>
      <c r="BA15" s="22" t="n"/>
      <c r="BS15" s="22" t="n"/>
    </row>
    <row r="16">
      <c r="AH16" s="22" t="n"/>
      <c r="AJ16" s="22" t="n"/>
      <c r="AK16" s="23">
        <f>IF(ISNUMBER(AW16),AW16,"")</f>
        <v/>
      </c>
      <c r="AL16" s="22" t="n"/>
      <c r="AM16" s="22" t="n"/>
      <c r="AN16" s="22" t="n"/>
      <c r="AW16" s="22" t="n"/>
      <c r="AY16" s="22" t="n"/>
      <c r="BA16" s="22" t="n"/>
      <c r="BS16" s="22" t="n"/>
    </row>
    <row r="17">
      <c r="AH17" s="22" t="n"/>
      <c r="AJ17" s="22" t="n"/>
      <c r="AK17" s="23">
        <f>IF(ISNUMBER(AW17),AW17,"")</f>
        <v/>
      </c>
      <c r="AL17" s="22" t="n"/>
      <c r="AM17" s="22" t="n"/>
      <c r="AN17" s="22" t="n"/>
      <c r="AW17" s="22" t="n"/>
      <c r="AY17" s="22" t="n"/>
      <c r="BA17" s="22" t="n"/>
      <c r="BS17" s="22" t="n"/>
    </row>
    <row r="18">
      <c r="AH18" s="22" t="n"/>
      <c r="AJ18" s="22" t="n"/>
      <c r="AK18" s="23">
        <f>IF(ISNUMBER(AW18),AW18,"")</f>
        <v/>
      </c>
      <c r="AL18" s="22" t="n"/>
      <c r="AM18" s="22" t="n"/>
      <c r="AN18" s="22" t="n"/>
      <c r="AW18" s="22" t="n"/>
      <c r="AY18" s="22" t="n"/>
      <c r="BA18" s="22" t="n"/>
      <c r="BS18" s="22" t="n"/>
    </row>
    <row r="19">
      <c r="AH19" s="22" t="n"/>
      <c r="AJ19" s="22" t="n"/>
      <c r="AK19" s="23">
        <f>IF(ISNUMBER(AW19),AW19,"")</f>
        <v/>
      </c>
      <c r="AL19" s="22" t="n"/>
      <c r="AM19" s="22" t="n"/>
      <c r="AN19" s="22" t="n"/>
      <c r="AW19" s="22" t="n"/>
      <c r="AY19" s="22" t="n"/>
      <c r="BA19" s="22" t="n"/>
      <c r="BS19" s="22" t="n"/>
    </row>
    <row r="20">
      <c r="AH20" s="22" t="n"/>
      <c r="AJ20" s="22" t="n"/>
      <c r="AK20" s="23">
        <f>IF(ISNUMBER(AW20),AW20,"")</f>
        <v/>
      </c>
      <c r="AL20" s="22" t="n"/>
      <c r="AM20" s="22" t="n"/>
      <c r="AN20" s="22" t="n"/>
      <c r="AW20" s="22" t="n"/>
      <c r="AY20" s="22" t="n"/>
      <c r="BA20" s="22" t="n"/>
      <c r="BS20" s="22" t="n"/>
    </row>
    <row r="21">
      <c r="AH21" s="22" t="n"/>
      <c r="AJ21" s="22" t="n"/>
      <c r="AK21" s="23">
        <f>IF(ISNUMBER(AW21),AW21,"")</f>
        <v/>
      </c>
      <c r="AL21" s="22" t="n"/>
      <c r="AM21" s="22" t="n"/>
      <c r="AN21" s="22" t="n"/>
      <c r="AW21" s="22" t="n"/>
      <c r="AY21" s="22" t="n"/>
      <c r="BA21" s="22" t="n"/>
      <c r="BS21" s="22" t="n"/>
    </row>
    <row r="22">
      <c r="AH22" s="22" t="n"/>
      <c r="AJ22" s="22" t="n"/>
      <c r="AK22" s="23">
        <f>IF(ISNUMBER(AW22),AW22,"")</f>
        <v/>
      </c>
      <c r="AL22" s="22" t="n"/>
      <c r="AM22" s="22" t="n"/>
      <c r="AN22" s="22" t="n"/>
      <c r="AW22" s="22" t="n"/>
      <c r="AY22" s="22" t="n"/>
      <c r="BA22" s="22" t="n"/>
      <c r="BS22" s="22" t="n"/>
    </row>
    <row r="23">
      <c r="AH23" s="22" t="n"/>
      <c r="AJ23" s="22" t="n"/>
      <c r="AK23" s="23">
        <f>IF(ISNUMBER(AW23),AW23,"")</f>
        <v/>
      </c>
      <c r="AL23" s="22" t="n"/>
      <c r="AM23" s="22" t="n"/>
      <c r="AN23" s="22" t="n"/>
      <c r="AW23" s="22" t="n"/>
      <c r="AY23" s="22" t="n"/>
      <c r="BA23" s="22" t="n"/>
      <c r="BS23" s="22" t="n"/>
    </row>
    <row r="24">
      <c r="AH24" s="22" t="n"/>
      <c r="AJ24" s="22" t="n"/>
      <c r="AK24" s="23">
        <f>IF(ISNUMBER(AW24),AW24,"")</f>
        <v/>
      </c>
      <c r="AL24" s="22" t="n"/>
      <c r="AM24" s="22" t="n"/>
      <c r="AN24" s="22" t="n"/>
      <c r="AW24" s="22" t="n"/>
      <c r="AY24" s="22" t="n"/>
      <c r="BA24" s="22" t="n"/>
      <c r="BS24" s="22" t="n"/>
    </row>
    <row r="25">
      <c r="AH25" s="22" t="n"/>
      <c r="AJ25" s="22" t="n"/>
      <c r="AK25" s="23">
        <f>IF(ISNUMBER(AW25),AW25,"")</f>
        <v/>
      </c>
      <c r="AL25" s="22" t="n"/>
      <c r="AM25" s="22" t="n"/>
      <c r="AN25" s="22" t="n"/>
      <c r="AW25" s="22" t="n"/>
      <c r="AY25" s="22" t="n"/>
      <c r="BA25" s="22" t="n"/>
      <c r="BS25" s="22" t="n"/>
    </row>
    <row r="26">
      <c r="AH26" s="22" t="n"/>
      <c r="AJ26" s="22" t="n"/>
      <c r="AK26" s="23">
        <f>IF(ISNUMBER(AW26),AW26,"")</f>
        <v/>
      </c>
      <c r="AL26" s="22" t="n"/>
      <c r="AM26" s="22" t="n"/>
      <c r="AN26" s="22" t="n"/>
      <c r="AW26" s="22" t="n"/>
      <c r="AY26" s="22" t="n"/>
      <c r="BA26" s="22" t="n"/>
      <c r="BS26" s="22" t="n"/>
    </row>
    <row r="27">
      <c r="AH27" s="22" t="n"/>
      <c r="AJ27" s="22" t="n"/>
      <c r="AK27" s="23">
        <f>IF(ISNUMBER(AW27),AW27,"")</f>
        <v/>
      </c>
      <c r="AL27" s="22" t="n"/>
      <c r="AM27" s="22" t="n"/>
      <c r="AN27" s="22" t="n"/>
      <c r="AW27" s="22" t="n"/>
      <c r="AY27" s="22" t="n"/>
      <c r="BA27" s="22" t="n"/>
      <c r="BS27" s="22" t="n"/>
    </row>
    <row r="28">
      <c r="AH28" s="22" t="n"/>
      <c r="AJ28" s="22" t="n"/>
      <c r="AK28" s="23">
        <f>IF(ISNUMBER(AW28),AW28,"")</f>
        <v/>
      </c>
      <c r="AL28" s="22" t="n"/>
      <c r="AM28" s="22" t="n"/>
      <c r="AN28" s="22" t="n"/>
      <c r="AW28" s="22" t="n"/>
      <c r="AY28" s="22" t="n"/>
      <c r="BA28" s="22" t="n"/>
      <c r="BS28" s="22" t="n"/>
    </row>
    <row r="29">
      <c r="AH29" s="22" t="n"/>
      <c r="AJ29" s="22" t="n"/>
      <c r="AK29" s="23">
        <f>IF(ISNUMBER(AW29),AW29,"")</f>
        <v/>
      </c>
      <c r="AL29" s="22" t="n"/>
      <c r="AM29" s="22" t="n"/>
      <c r="AN29" s="22" t="n"/>
      <c r="AW29" s="22" t="n"/>
      <c r="AY29" s="22" t="n"/>
      <c r="BA29" s="22" t="n"/>
      <c r="BS29" s="22" t="n"/>
    </row>
    <row r="30">
      <c r="AH30" s="22" t="n"/>
      <c r="AJ30" s="22" t="n"/>
      <c r="AK30" s="23">
        <f>IF(ISNUMBER(AW30),AW30,"")</f>
        <v/>
      </c>
      <c r="AL30" s="22" t="n"/>
      <c r="AM30" s="22" t="n"/>
      <c r="AN30" s="22" t="n"/>
      <c r="AW30" s="22" t="n"/>
      <c r="AY30" s="22" t="n"/>
      <c r="BA30" s="22" t="n"/>
      <c r="BS30" s="22" t="n"/>
    </row>
    <row r="31">
      <c r="AH31" s="22" t="n"/>
      <c r="AJ31" s="22" t="n"/>
      <c r="AK31" s="23">
        <f>IF(ISNUMBER(AW31),AW31,"")</f>
        <v/>
      </c>
      <c r="AL31" s="22" t="n"/>
      <c r="AM31" s="22" t="n"/>
      <c r="AN31" s="22" t="n"/>
      <c r="AW31" s="22" t="n"/>
      <c r="AY31" s="22" t="n"/>
      <c r="BA31" s="22" t="n"/>
      <c r="BS31" s="22" t="n"/>
    </row>
    <row r="32">
      <c r="AH32" s="22" t="n"/>
      <c r="AJ32" s="22" t="n"/>
      <c r="AK32" s="23">
        <f>IF(ISNUMBER(AW32),AW32,"")</f>
        <v/>
      </c>
      <c r="AL32" s="22" t="n"/>
      <c r="AM32" s="22" t="n"/>
      <c r="AN32" s="22" t="n"/>
      <c r="AW32" s="22" t="n"/>
      <c r="AY32" s="22" t="n"/>
      <c r="BA32" s="22" t="n"/>
      <c r="BS32" s="22" t="n"/>
    </row>
    <row r="33">
      <c r="AH33" s="22" t="n"/>
      <c r="AJ33" s="22" t="n"/>
      <c r="AK33" s="23">
        <f>IF(ISNUMBER(AW33),AW33,"")</f>
        <v/>
      </c>
      <c r="AL33" s="22" t="n"/>
      <c r="AM33" s="22" t="n"/>
      <c r="AN33" s="22" t="n"/>
      <c r="AW33" s="22" t="n"/>
      <c r="AY33" s="22" t="n"/>
      <c r="BA33" s="22" t="n"/>
      <c r="BS33" s="22" t="n"/>
    </row>
    <row r="34">
      <c r="AH34" s="22" t="n"/>
      <c r="AJ34" s="22" t="n"/>
      <c r="AK34" s="23">
        <f>IF(ISNUMBER(AW34),AW34,"")</f>
        <v/>
      </c>
      <c r="AL34" s="22" t="n"/>
      <c r="AM34" s="22" t="n"/>
      <c r="AN34" s="22" t="n"/>
      <c r="AW34" s="22" t="n"/>
      <c r="AY34" s="22" t="n"/>
      <c r="BA34" s="22" t="n"/>
      <c r="BS34" s="22" t="n"/>
    </row>
    <row r="35">
      <c r="AH35" s="22" t="n"/>
      <c r="AJ35" s="22" t="n"/>
      <c r="AK35" s="23">
        <f>IF(ISNUMBER(AW35),AW35,"")</f>
        <v/>
      </c>
      <c r="AL35" s="22" t="n"/>
      <c r="AM35" s="22" t="n"/>
      <c r="AN35" s="22" t="n"/>
      <c r="AW35" s="22" t="n"/>
      <c r="AY35" s="22" t="n"/>
      <c r="BA35" s="22" t="n"/>
      <c r="BS35" s="22" t="n"/>
    </row>
    <row r="36">
      <c r="AH36" s="22" t="n"/>
      <c r="AJ36" s="22" t="n"/>
      <c r="AK36" s="23">
        <f>IF(ISNUMBER(AW36),AW36,"")</f>
        <v/>
      </c>
      <c r="AL36" s="22" t="n"/>
      <c r="AM36" s="22" t="n"/>
      <c r="AN36" s="22" t="n"/>
      <c r="AW36" s="22" t="n"/>
      <c r="AY36" s="22" t="n"/>
      <c r="BA36" s="22" t="n"/>
      <c r="BS36" s="22" t="n"/>
    </row>
    <row r="37">
      <c r="AH37" s="22" t="n"/>
      <c r="AJ37" s="22" t="n"/>
      <c r="AK37" s="23">
        <f>IF(ISNUMBER(AW37),AW37,"")</f>
        <v/>
      </c>
      <c r="AL37" s="22" t="n"/>
      <c r="AM37" s="22" t="n"/>
      <c r="AN37" s="22" t="n"/>
      <c r="AW37" s="22" t="n"/>
      <c r="AY37" s="22" t="n"/>
      <c r="BA37" s="22" t="n"/>
      <c r="BS37" s="22" t="n"/>
    </row>
    <row r="38">
      <c r="AH38" s="22" t="n"/>
      <c r="AJ38" s="22" t="n"/>
      <c r="AK38" s="23">
        <f>IF(ISNUMBER(AW38),AW38,"")</f>
        <v/>
      </c>
      <c r="AL38" s="22" t="n"/>
      <c r="AM38" s="22" t="n"/>
      <c r="AN38" s="22" t="n"/>
      <c r="AW38" s="22" t="n"/>
      <c r="AY38" s="22" t="n"/>
      <c r="BA38" s="22" t="n"/>
      <c r="BS38" s="22" t="n"/>
    </row>
    <row r="39">
      <c r="AH39" s="22" t="n"/>
      <c r="AJ39" s="22" t="n"/>
      <c r="AK39" s="23">
        <f>IF(ISNUMBER(AW39),AW39,"")</f>
        <v/>
      </c>
      <c r="AL39" s="22" t="n"/>
      <c r="AM39" s="22" t="n"/>
      <c r="AN39" s="22" t="n"/>
      <c r="AW39" s="22" t="n"/>
      <c r="AY39" s="22" t="n"/>
      <c r="BA39" s="22" t="n"/>
      <c r="BS39" s="22" t="n"/>
    </row>
    <row r="40">
      <c r="AH40" s="22" t="n"/>
      <c r="AJ40" s="22" t="n"/>
      <c r="AK40" s="23">
        <f>IF(ISNUMBER(AW40),AW40,"")</f>
        <v/>
      </c>
      <c r="AL40" s="22" t="n"/>
      <c r="AM40" s="22" t="n"/>
      <c r="AN40" s="22" t="n"/>
      <c r="AW40" s="22" t="n"/>
      <c r="AY40" s="22" t="n"/>
      <c r="BA40" s="22" t="n"/>
      <c r="BS40" s="22" t="n"/>
    </row>
    <row r="41">
      <c r="AH41" s="22" t="n"/>
      <c r="AJ41" s="22" t="n"/>
      <c r="AK41" s="23">
        <f>IF(ISNUMBER(AW41),AW41,"")</f>
        <v/>
      </c>
      <c r="AL41" s="22" t="n"/>
      <c r="AM41" s="22" t="n"/>
      <c r="AN41" s="22" t="n"/>
      <c r="AW41" s="22" t="n"/>
      <c r="AY41" s="22" t="n"/>
      <c r="BA41" s="22" t="n"/>
      <c r="BS41" s="22" t="n"/>
    </row>
    <row r="42">
      <c r="AH42" s="22" t="n"/>
      <c r="AJ42" s="22" t="n"/>
      <c r="AK42" s="23">
        <f>IF(ISNUMBER(AW42),AW42,"")</f>
        <v/>
      </c>
      <c r="AL42" s="22" t="n"/>
      <c r="AM42" s="22" t="n"/>
      <c r="AN42" s="22" t="n"/>
      <c r="AW42" s="22" t="n"/>
      <c r="AY42" s="22" t="n"/>
      <c r="BA42" s="22" t="n"/>
      <c r="BS42" s="22" t="n"/>
    </row>
    <row r="43">
      <c r="AH43" s="22" t="n"/>
      <c r="AJ43" s="22" t="n"/>
      <c r="AK43" s="23">
        <f>IF(ISNUMBER(AW43),AW43,"")</f>
        <v/>
      </c>
      <c r="AL43" s="22" t="n"/>
      <c r="AM43" s="22" t="n"/>
      <c r="AN43" s="22" t="n"/>
      <c r="AW43" s="22" t="n"/>
      <c r="AY43" s="22" t="n"/>
      <c r="BA43" s="22" t="n"/>
      <c r="BS43" s="22" t="n"/>
    </row>
    <row r="44">
      <c r="AH44" s="22" t="n"/>
      <c r="AJ44" s="22" t="n"/>
      <c r="AK44" s="23">
        <f>IF(ISNUMBER(AW44),AW44,"")</f>
        <v/>
      </c>
      <c r="AL44" s="22" t="n"/>
      <c r="AM44" s="22" t="n"/>
      <c r="AN44" s="22" t="n"/>
      <c r="AW44" s="22" t="n"/>
      <c r="AY44" s="22" t="n"/>
      <c r="BA44" s="22" t="n"/>
      <c r="BS44" s="22" t="n"/>
    </row>
    <row r="45">
      <c r="AH45" s="22" t="n"/>
      <c r="AJ45" s="22" t="n"/>
      <c r="AK45" s="23">
        <f>IF(ISNUMBER(AW45),AW45,"")</f>
        <v/>
      </c>
      <c r="AL45" s="22" t="n"/>
      <c r="AM45" s="22" t="n"/>
      <c r="AN45" s="22" t="n"/>
      <c r="AW45" s="22" t="n"/>
      <c r="AY45" s="22" t="n"/>
      <c r="BA45" s="22" t="n"/>
      <c r="BS45" s="22" t="n"/>
    </row>
    <row r="46">
      <c r="AH46" s="22" t="n"/>
      <c r="AJ46" s="22" t="n"/>
      <c r="AK46" s="23">
        <f>IF(ISNUMBER(AW46),AW46,"")</f>
        <v/>
      </c>
      <c r="AL46" s="22" t="n"/>
      <c r="AM46" s="22" t="n"/>
      <c r="AN46" s="22" t="n"/>
      <c r="AW46" s="22" t="n"/>
      <c r="AY46" s="22" t="n"/>
      <c r="BA46" s="22" t="n"/>
      <c r="BS46" s="22" t="n"/>
    </row>
    <row r="47">
      <c r="AH47" s="22" t="n"/>
      <c r="AJ47" s="22" t="n"/>
      <c r="AK47" s="23">
        <f>IF(ISNUMBER(AW47),AW47,"")</f>
        <v/>
      </c>
      <c r="AL47" s="22" t="n"/>
      <c r="AM47" s="22" t="n"/>
      <c r="AN47" s="22" t="n"/>
      <c r="AW47" s="22" t="n"/>
      <c r="AY47" s="22" t="n"/>
      <c r="BA47" s="22" t="n"/>
      <c r="BS47" s="22" t="n"/>
    </row>
    <row r="48">
      <c r="AH48" s="22" t="n"/>
      <c r="AJ48" s="22" t="n"/>
      <c r="AK48" s="23">
        <f>IF(ISNUMBER(AW48),AW48,"")</f>
        <v/>
      </c>
      <c r="AL48" s="22" t="n"/>
      <c r="AM48" s="22" t="n"/>
      <c r="AN48" s="22" t="n"/>
      <c r="AW48" s="22" t="n"/>
      <c r="AY48" s="22" t="n"/>
      <c r="BA48" s="22" t="n"/>
      <c r="BS48" s="22" t="n"/>
    </row>
    <row r="49">
      <c r="AH49" s="22" t="n"/>
      <c r="AJ49" s="22" t="n"/>
      <c r="AK49" s="23">
        <f>IF(ISNUMBER(AW49),AW49,"")</f>
        <v/>
      </c>
      <c r="AL49" s="22" t="n"/>
      <c r="AM49" s="22" t="n"/>
      <c r="AN49" s="22" t="n"/>
      <c r="AW49" s="22" t="n"/>
      <c r="AY49" s="22" t="n"/>
      <c r="BA49" s="22" t="n"/>
      <c r="BS49" s="22" t="n"/>
    </row>
    <row r="50">
      <c r="AH50" s="22" t="n"/>
      <c r="AJ50" s="22" t="n"/>
      <c r="AK50" s="23">
        <f>IF(ISNUMBER(AW50),AW50,"")</f>
        <v/>
      </c>
      <c r="AL50" s="22" t="n"/>
      <c r="AM50" s="22" t="n"/>
      <c r="AN50" s="22" t="n"/>
      <c r="AW50" s="22" t="n"/>
      <c r="AY50" s="22" t="n"/>
      <c r="BA50" s="22" t="n"/>
      <c r="BS50" s="22" t="n"/>
    </row>
    <row r="51">
      <c r="AH51" s="22" t="n"/>
      <c r="AJ51" s="22" t="n"/>
      <c r="AK51" s="23">
        <f>IF(ISNUMBER(AW51),AW51,"")</f>
        <v/>
      </c>
      <c r="AL51" s="22" t="n"/>
      <c r="AM51" s="22" t="n"/>
      <c r="AN51" s="22" t="n"/>
      <c r="AW51" s="22" t="n"/>
      <c r="AY51" s="22" t="n"/>
      <c r="BA51" s="22" t="n"/>
      <c r="BS51" s="22" t="n"/>
    </row>
  </sheetData>
  <dataValidations count="24">
    <dataValidation sqref="J2:J51" showDropDown="0" showInputMessage="0" showErrorMessage="0" allowBlank="1" type="list">
      <formula1>=Lists!$Q$2:$Q$15</formula1>
    </dataValidation>
    <dataValidation sqref="N2:N51" showDropDown="0" showInputMessage="0" showErrorMessage="0" allowBlank="1" type="list">
      <formula1>=Lists!$A$2:$A$3</formula1>
    </dataValidation>
    <dataValidation sqref="P2:P51" showDropDown="0" showInputMessage="0" showErrorMessage="0" allowBlank="1" type="list">
      <formula1>=Lists!$A$2:$A$3</formula1>
    </dataValidation>
    <dataValidation sqref="R2:R51" showDropDown="0" showInputMessage="0" showErrorMessage="0" allowBlank="1" type="list">
      <formula1>=Lists!$AA$2:$AA$4</formula1>
    </dataValidation>
    <dataValidation sqref="S2:S51" showDropDown="0" showInputMessage="0" showErrorMessage="0" allowBlank="1" type="list">
      <formula1>=Lists!$AA$2:$AA$4</formula1>
    </dataValidation>
    <dataValidation sqref="T2:T51" showDropDown="0" showInputMessage="0" showErrorMessage="0" allowBlank="1" type="list">
      <formula1>=Lists!$AA$2:$AA$4</formula1>
    </dataValidation>
    <dataValidation sqref="U2:U51" showDropDown="0" showInputMessage="0" showErrorMessage="0" allowBlank="1" type="list">
      <formula1>=Lists!$AA$2:$AA$4</formula1>
    </dataValidation>
    <dataValidation sqref="V2:V51" showDropDown="0" showInputMessage="0" showErrorMessage="0" allowBlank="1" type="list">
      <formula1>=Lists!$AA$2:$AA$4</formula1>
    </dataValidation>
    <dataValidation sqref="W2:W51" showDropDown="0" showInputMessage="0" showErrorMessage="0" allowBlank="1" type="list">
      <formula1>=Lists!$AA$2:$AA$4</formula1>
    </dataValidation>
    <dataValidation sqref="Y2:Y51" showDropDown="0" showInputMessage="0" showErrorMessage="0" allowBlank="1" type="list">
      <formula1>=Lists!$A$2:$A$3</formula1>
    </dataValidation>
    <dataValidation sqref="AA2:AA51" showDropDown="0" showInputMessage="0" showErrorMessage="0" allowBlank="1" type="list">
      <formula1>=Lists!$U$2:$U$3</formula1>
    </dataValidation>
    <dataValidation sqref="AD2:AD51" showDropDown="0" showInputMessage="0" showErrorMessage="0" allowBlank="1" type="list">
      <formula1>=Lists!$R$2:$R$3</formula1>
    </dataValidation>
    <dataValidation sqref="AT2:AT51" showDropDown="0" showInputMessage="0" showErrorMessage="0" allowBlank="1" type="list">
      <formula1>=Lists!$S$2:$S$3</formula1>
    </dataValidation>
    <dataValidation sqref="BB2:BB51" showDropDown="0" showInputMessage="0" showErrorMessage="0" allowBlank="1" type="list">
      <formula1>=Lists!$A$2:$A$3</formula1>
    </dataValidation>
    <dataValidation sqref="BD2:BD51" showDropDown="0" showInputMessage="0" showErrorMessage="0" allowBlank="1" type="list">
      <formula1>=Lists!$Y$2:$Y$4</formula1>
    </dataValidation>
    <dataValidation sqref="BH2:BH51" showDropDown="0" showInputMessage="0" showErrorMessage="0" allowBlank="1" type="list">
      <formula1>=Lists!$Y$2:$Y$4</formula1>
    </dataValidation>
    <dataValidation sqref="BK2:BK51" showDropDown="0" showInputMessage="0" showErrorMessage="0" allowBlank="1" type="list">
      <formula1>=Lists!$A$2:$A$3</formula1>
    </dataValidation>
    <dataValidation sqref="BL2:BL51" showDropDown="0" showInputMessage="0" showErrorMessage="0" allowBlank="1" type="list">
      <formula1>=Lists!$A$2:$A$3</formula1>
    </dataValidation>
    <dataValidation sqref="BM2:BM51" showDropDown="0" showInputMessage="0" showErrorMessage="0" allowBlank="1" type="list">
      <formula1>=Lists!$A$2:$A$3</formula1>
    </dataValidation>
    <dataValidation sqref="BN2:BN51" showDropDown="0" showInputMessage="0" showErrorMessage="0" allowBlank="1" type="list">
      <formula1>=Lists!$A$2:$A$3</formula1>
    </dataValidation>
    <dataValidation sqref="BO2:BO51" showDropDown="0" showInputMessage="0" showErrorMessage="0" allowBlank="1" type="list">
      <formula1>=Lists!$A$2:$A$3</formula1>
    </dataValidation>
    <dataValidation sqref="BP2:BP51" showDropDown="0" showInputMessage="0" showErrorMessage="0" allowBlank="1" type="list">
      <formula1>=Lists!$A$2:$A$3</formula1>
    </dataValidation>
    <dataValidation sqref="BQ2:BQ51" showDropDown="0" showInputMessage="0" showErrorMessage="0" allowBlank="1" type="list">
      <formula1>=Lists!$A$2:$A$3</formula1>
    </dataValidation>
    <dataValidation sqref="BR2:BR51" showDropDown="0" showInputMessage="0" showErrorMessage="0" allowBlank="1" type="list">
      <formula1>=Lists!$A$2:$A$3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20" customWidth="1" min="4" max="4"/>
    <col width="14" customWidth="1" min="5" max="5"/>
    <col width="9" customWidth="1" min="6" max="6"/>
    <col width="22" customWidth="1" min="7" max="7"/>
    <col width="24" customWidth="1" min="8" max="8"/>
  </cols>
  <sheetData>
    <row r="1" ht="42" customHeight="1">
      <c r="A1" s="7" t="inlineStr">
        <is>
          <t>date</t>
        </is>
      </c>
      <c r="B1" s="7" t="inlineStr">
        <is>
          <t>side</t>
        </is>
      </c>
      <c r="C1" s="7" t="inlineStr">
        <is>
          <t>clay_row_id</t>
        </is>
      </c>
      <c r="D1" s="7" t="inlineStr">
        <is>
          <t>org_name</t>
        </is>
      </c>
      <c r="E1" s="7" t="inlineStr">
        <is>
          <t>event</t>
        </is>
      </c>
      <c r="F1" s="7" t="inlineStr">
        <is>
          <t>value_number</t>
        </is>
      </c>
      <c r="G1" s="7" t="inlineStr">
        <is>
          <t>value_text</t>
        </is>
      </c>
      <c r="H1" s="7" t="inlineStr">
        <is>
          <t>notes</t>
        </is>
      </c>
    </row>
    <row r="2">
      <c r="A2" s="22" t="n"/>
    </row>
    <row r="3">
      <c r="A3" s="22" t="n"/>
    </row>
    <row r="4">
      <c r="A4" s="22" t="n"/>
    </row>
    <row r="5">
      <c r="A5" s="22" t="n"/>
    </row>
    <row r="6">
      <c r="A6" s="22" t="n"/>
    </row>
    <row r="7">
      <c r="A7" s="22" t="n"/>
    </row>
    <row r="8">
      <c r="A8" s="22" t="n"/>
    </row>
    <row r="9">
      <c r="A9" s="22" t="n"/>
    </row>
    <row r="10">
      <c r="A10" s="22" t="n"/>
    </row>
    <row r="11">
      <c r="A11" s="22" t="n"/>
    </row>
    <row r="12">
      <c r="A12" s="22" t="n"/>
    </row>
    <row r="13">
      <c r="A13" s="22" t="n"/>
    </row>
    <row r="14">
      <c r="A14" s="22" t="n"/>
    </row>
    <row r="15">
      <c r="A15" s="22" t="n"/>
    </row>
    <row r="16">
      <c r="A16" s="22" t="n"/>
    </row>
    <row r="17">
      <c r="A17" s="22" t="n"/>
    </row>
    <row r="18">
      <c r="A18" s="22" t="n"/>
    </row>
    <row r="19">
      <c r="A19" s="22" t="n"/>
    </row>
    <row r="20">
      <c r="A20" s="22" t="n"/>
    </row>
    <row r="21">
      <c r="A21" s="22" t="n"/>
    </row>
    <row r="22">
      <c r="A22" s="22" t="n"/>
    </row>
    <row r="23">
      <c r="A23" s="22" t="n"/>
    </row>
    <row r="24">
      <c r="A24" s="22" t="n"/>
    </row>
    <row r="25">
      <c r="A25" s="22" t="n"/>
    </row>
    <row r="26">
      <c r="A26" s="22" t="n"/>
    </row>
    <row r="27">
      <c r="A27" s="22" t="n"/>
    </row>
    <row r="28">
      <c r="A28" s="22" t="n"/>
    </row>
    <row r="29">
      <c r="A29" s="22" t="n"/>
    </row>
    <row r="30">
      <c r="A30" s="22" t="n"/>
    </row>
    <row r="31">
      <c r="A31" s="22" t="n"/>
    </row>
    <row r="32">
      <c r="A32" s="22" t="n"/>
    </row>
    <row r="33">
      <c r="A33" s="22" t="n"/>
    </row>
    <row r="34">
      <c r="A34" s="22" t="n"/>
    </row>
    <row r="35">
      <c r="A35" s="22" t="n"/>
    </row>
    <row r="36">
      <c r="A36" s="22" t="n"/>
    </row>
    <row r="37">
      <c r="A37" s="22" t="n"/>
    </row>
    <row r="38">
      <c r="A38" s="22" t="n"/>
    </row>
    <row r="39">
      <c r="A39" s="22" t="n"/>
    </row>
    <row r="40">
      <c r="A40" s="22" t="n"/>
    </row>
    <row r="41">
      <c r="A41" s="22" t="n"/>
    </row>
    <row r="42">
      <c r="A42" s="22" t="n"/>
    </row>
    <row r="43">
      <c r="A43" s="22" t="n"/>
    </row>
    <row r="44">
      <c r="A44" s="22" t="n"/>
    </row>
    <row r="45">
      <c r="A45" s="22" t="n"/>
    </row>
    <row r="46">
      <c r="A46" s="22" t="n"/>
    </row>
    <row r="47">
      <c r="A47" s="22" t="n"/>
    </row>
    <row r="48">
      <c r="A48" s="22" t="n"/>
    </row>
    <row r="49">
      <c r="A49" s="22" t="n"/>
    </row>
    <row r="50">
      <c r="A50" s="22" t="n"/>
    </row>
    <row r="51">
      <c r="A51" s="22" t="n"/>
    </row>
    <row r="52">
      <c r="A52" s="22" t="n"/>
    </row>
    <row r="53">
      <c r="A53" s="22" t="n"/>
    </row>
    <row r="54">
      <c r="A54" s="22" t="n"/>
    </row>
    <row r="55">
      <c r="A55" s="22" t="n"/>
    </row>
    <row r="56">
      <c r="A56" s="22" t="n"/>
    </row>
    <row r="57">
      <c r="A57" s="22" t="n"/>
    </row>
    <row r="58">
      <c r="A58" s="22" t="n"/>
    </row>
    <row r="59">
      <c r="A59" s="22" t="n"/>
    </row>
    <row r="60">
      <c r="A60" s="22" t="n"/>
    </row>
    <row r="61">
      <c r="A61" s="22" t="n"/>
    </row>
    <row r="62">
      <c r="A62" s="22" t="n"/>
    </row>
    <row r="63">
      <c r="A63" s="22" t="n"/>
    </row>
    <row r="64">
      <c r="A64" s="22" t="n"/>
    </row>
    <row r="65">
      <c r="A65" s="22" t="n"/>
    </row>
    <row r="66">
      <c r="A66" s="22" t="n"/>
    </row>
    <row r="67">
      <c r="A67" s="22" t="n"/>
    </row>
    <row r="68">
      <c r="A68" s="22" t="n"/>
    </row>
    <row r="69">
      <c r="A69" s="22" t="n"/>
    </row>
    <row r="70">
      <c r="A70" s="22" t="n"/>
    </row>
    <row r="71">
      <c r="A71" s="22" t="n"/>
    </row>
    <row r="72">
      <c r="A72" s="22" t="n"/>
    </row>
    <row r="73">
      <c r="A73" s="22" t="n"/>
    </row>
    <row r="74">
      <c r="A74" s="22" t="n"/>
    </row>
    <row r="75">
      <c r="A75" s="22" t="n"/>
    </row>
    <row r="76">
      <c r="A76" s="22" t="n"/>
    </row>
    <row r="77">
      <c r="A77" s="22" t="n"/>
    </row>
    <row r="78">
      <c r="A78" s="22" t="n"/>
    </row>
    <row r="79">
      <c r="A79" s="22" t="n"/>
    </row>
    <row r="80">
      <c r="A80" s="22" t="n"/>
    </row>
    <row r="81">
      <c r="A81" s="22" t="n"/>
    </row>
    <row r="82">
      <c r="A82" s="22" t="n"/>
    </row>
    <row r="83">
      <c r="A83" s="22" t="n"/>
    </row>
    <row r="84">
      <c r="A84" s="22" t="n"/>
    </row>
    <row r="85">
      <c r="A85" s="22" t="n"/>
    </row>
    <row r="86">
      <c r="A86" s="22" t="n"/>
    </row>
    <row r="87">
      <c r="A87" s="22" t="n"/>
    </row>
    <row r="88">
      <c r="A88" s="22" t="n"/>
    </row>
    <row r="89">
      <c r="A89" s="22" t="n"/>
    </row>
    <row r="90">
      <c r="A90" s="22" t="n"/>
    </row>
    <row r="91">
      <c r="A91" s="22" t="n"/>
    </row>
    <row r="92">
      <c r="A92" s="22" t="n"/>
    </row>
    <row r="93">
      <c r="A93" s="22" t="n"/>
    </row>
    <row r="94">
      <c r="A94" s="22" t="n"/>
    </row>
    <row r="95">
      <c r="A95" s="22" t="n"/>
    </row>
    <row r="96">
      <c r="A96" s="22" t="n"/>
    </row>
    <row r="97">
      <c r="A97" s="22" t="n"/>
    </row>
    <row r="98">
      <c r="A98" s="22" t="n"/>
    </row>
    <row r="99">
      <c r="A99" s="22" t="n"/>
    </row>
    <row r="100">
      <c r="A100" s="22" t="n"/>
    </row>
    <row r="101">
      <c r="A101" s="22" t="n"/>
    </row>
  </sheetData>
  <dataValidations count="2">
    <dataValidation sqref="B2:B101" showDropDown="0" showInputMessage="0" showErrorMessage="0" allowBlank="1" type="list">
      <formula1>=Lists!$W$2:$W$3</formula1>
    </dataValidation>
    <dataValidation sqref="E2:E101" showDropDown="0" showInputMessage="0" showErrorMessage="0" allowBlank="1" type="list">
      <formula1>=Lists!$V$2:$V$3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14" customWidth="1" min="4" max="4"/>
    <col width="8" customWidth="1" min="5" max="5"/>
    <col width="8" customWidth="1" min="6" max="6"/>
    <col width="40" customWidth="1" min="7" max="7"/>
    <col width="5" customWidth="1" min="9" max="9"/>
    <col width="16" customWidth="1" min="10" max="10"/>
    <col width="14" customWidth="1" min="11" max="11"/>
    <col width="8" customWidth="1" min="12" max="12"/>
    <col width="8" customWidth="1" min="13" max="13"/>
    <col width="40" customWidth="1" min="14" max="14"/>
    <col width="18" customWidth="1" min="16" max="16"/>
    <col width="14" customWidth="1" min="17" max="17"/>
    <col width="36" customWidth="1" min="18" max="18"/>
    <col width="18" customWidth="1" min="20" max="20"/>
    <col width="14" customWidth="1" min="21" max="21"/>
    <col width="36" customWidth="1" min="22" max="22"/>
  </cols>
  <sheetData>
    <row r="1">
      <c r="A1" s="5" t="inlineStr">
        <is>
          <t>Sync: where the tracker and the Clay tables disagree. Clay is the status store; fix there, then re-paste.</t>
        </is>
      </c>
    </row>
    <row r="2">
      <c r="A2" s="6" t="inlineStr">
        <is>
          <t>Rows 5 to 18 find each Clay column by its header. A blank number means that column is missing from the paste.</t>
        </is>
      </c>
    </row>
    <row r="4">
      <c r="B4" s="7" t="inlineStr">
        <is>
          <t>Clay column</t>
        </is>
      </c>
      <c r="C4" s="7" t="inlineStr">
        <is>
          <t>offices col #</t>
        </is>
      </c>
      <c r="D4" s="7" t="inlineStr">
        <is>
          <t>brands col #</t>
        </is>
      </c>
      <c r="E4" s="7" t="inlineStr">
        <is>
          <t>note</t>
        </is>
      </c>
    </row>
    <row r="5">
      <c r="B5" t="inlineStr">
        <is>
          <t>row_id</t>
        </is>
      </c>
      <c r="C5" s="17">
        <f>IFERROR(MATCH(B5,Clay_Offices!$A$1:$FZ$1,0),"")</f>
        <v/>
      </c>
      <c r="D5" s="17">
        <f>IFERROR(MATCH(B5,Clay_Brands!$A$1:$FZ$1,0),"")</f>
        <v/>
      </c>
      <c r="E5" s="17">
        <f>IF(AND(C5="",D5=""),"missing in both pastes",IF(C5="","missing in Clay_Offices",IF(D5="","missing in Clay_Brands","")))</f>
        <v/>
      </c>
    </row>
    <row r="6">
      <c r="B6" t="inlineStr">
        <is>
          <t>company</t>
        </is>
      </c>
      <c r="C6" s="17">
        <f>IFERROR(MATCH(B6,Clay_Offices!$A$1:$FZ$1,0),"")</f>
        <v/>
      </c>
      <c r="D6" s="17">
        <f>IFERROR(MATCH(B6,Clay_Brands!$A$1:$FZ$1,0),"")</f>
        <v/>
      </c>
      <c r="E6" s="17">
        <f>IF(AND(C6="",D6=""),"missing in both pastes",IF(C6="","missing in Clay_Offices",IF(D6="","missing in Clay_Brands","")))</f>
        <v/>
      </c>
    </row>
    <row r="7">
      <c r="B7" t="inlineStr">
        <is>
          <t>status</t>
        </is>
      </c>
      <c r="C7" s="17">
        <f>IFERROR(MATCH(B7,Clay_Offices!$A$1:$FZ$1,0),"")</f>
        <v/>
      </c>
      <c r="D7" s="17">
        <f>IFERROR(MATCH(B7,Clay_Brands!$A$1:$FZ$1,0),"")</f>
        <v/>
      </c>
      <c r="E7" s="17">
        <f>IF(AND(C7="",D7=""),"missing in both pastes",IF(C7="","missing in Clay_Offices",IF(D7="","missing in Clay_Brands","")))</f>
        <v/>
      </c>
    </row>
    <row r="8">
      <c r="B8" t="inlineStr">
        <is>
          <t>do_not_contact</t>
        </is>
      </c>
      <c r="C8" s="17">
        <f>IFERROR(MATCH(B8,Clay_Offices!$A$1:$FZ$1,0),"")</f>
        <v/>
      </c>
      <c r="D8" s="17">
        <f>IFERROR(MATCH(B8,Clay_Brands!$A$1:$FZ$1,0),"")</f>
        <v/>
      </c>
      <c r="E8" s="17">
        <f>IF(AND(C8="",D8=""),"missing in both pastes",IF(C8="","missing in Clay_Offices",IF(D8="","missing in Clay_Brands","")))</f>
        <v/>
      </c>
    </row>
    <row r="9">
      <c r="B9" t="inlineStr">
        <is>
          <t>channel</t>
        </is>
      </c>
      <c r="C9" s="17">
        <f>IFERROR(MATCH(B9,Clay_Offices!$A$1:$FZ$1,0),"")</f>
        <v/>
      </c>
      <c r="D9" s="17">
        <f>IFERROR(MATCH(B9,Clay_Brands!$A$1:$FZ$1,0),"")</f>
        <v/>
      </c>
      <c r="E9" s="17">
        <f>IF(AND(C9="",D9=""),"missing in both pastes",IF(C9="","missing in Clay_Offices",IF(D9="","missing in Clay_Brands","")))</f>
        <v/>
      </c>
    </row>
    <row r="10">
      <c r="B10" t="inlineStr">
        <is>
          <t>sequence</t>
        </is>
      </c>
      <c r="C10" s="17">
        <f>IFERROR(MATCH(B10,Clay_Offices!$A$1:$FZ$1,0),"")</f>
        <v/>
      </c>
      <c r="D10" s="17">
        <f>IFERROR(MATCH(B10,Clay_Brands!$A$1:$FZ$1,0),"")</f>
        <v/>
      </c>
      <c r="E10" s="17">
        <f>IF(AND(C10="",D10=""),"missing in both pastes",IF(C10="","missing in Clay_Offices",IF(D10="","missing in Clay_Brands","")))</f>
        <v/>
      </c>
    </row>
    <row r="11">
      <c r="B11" t="inlineStr">
        <is>
          <t>touch_1_date</t>
        </is>
      </c>
      <c r="C11" s="17">
        <f>IFERROR(MATCH(B11,Clay_Offices!$A$1:$FZ$1,0),"")</f>
        <v/>
      </c>
      <c r="D11" s="17">
        <f>IFERROR(MATCH(B11,Clay_Brands!$A$1:$FZ$1,0),"")</f>
        <v/>
      </c>
      <c r="E11" s="17">
        <f>IF(AND(C11="",D11=""),"missing in both pastes",IF(C11="","missing in Clay_Offices",IF(D11="","missing in Clay_Brands","")))</f>
        <v/>
      </c>
    </row>
    <row r="12">
      <c r="B12" t="inlineStr">
        <is>
          <t>touch_2_date</t>
        </is>
      </c>
      <c r="C12" s="17">
        <f>IFERROR(MATCH(B12,Clay_Offices!$A$1:$FZ$1,0),"")</f>
        <v/>
      </c>
      <c r="D12" s="17">
        <f>IFERROR(MATCH(B12,Clay_Brands!$A$1:$FZ$1,0),"")</f>
        <v/>
      </c>
      <c r="E12" s="17">
        <f>IF(AND(C12="",D12=""),"missing in both pastes",IF(C12="","missing in Clay_Offices",IF(D12="","missing in Clay_Brands","")))</f>
        <v/>
      </c>
    </row>
    <row r="13">
      <c r="B13" t="inlineStr">
        <is>
          <t>touch_3_date</t>
        </is>
      </c>
      <c r="C13" s="17">
        <f>IFERROR(MATCH(B13,Clay_Offices!$A$1:$FZ$1,0),"")</f>
        <v/>
      </c>
      <c r="D13" s="17">
        <f>IFERROR(MATCH(B13,Clay_Brands!$A$1:$FZ$1,0),"")</f>
        <v/>
      </c>
      <c r="E13" s="17">
        <f>IF(AND(C13="",D13=""),"missing in both pastes",IF(C13="","missing in Clay_Offices",IF(D13="","missing in Clay_Brands","")))</f>
        <v/>
      </c>
    </row>
    <row r="14">
      <c r="B14" t="inlineStr">
        <is>
          <t>last_reply_date</t>
        </is>
      </c>
      <c r="C14" s="17">
        <f>IFERROR(MATCH(B14,Clay_Offices!$A$1:$FZ$1,0),"")</f>
        <v/>
      </c>
      <c r="D14" s="17">
        <f>IFERROR(MATCH(B14,Clay_Brands!$A$1:$FZ$1,0),"")</f>
        <v/>
      </c>
      <c r="E14" s="17">
        <f>IF(AND(C14="",D14=""),"missing in both pastes",IF(C14="","missing in Clay_Offices",IF(D14="","missing in Clay_Brands","")))</f>
        <v/>
      </c>
    </row>
    <row r="15">
      <c r="B15" t="inlineStr">
        <is>
          <t>reply_type</t>
        </is>
      </c>
      <c r="C15" s="17">
        <f>IFERROR(MATCH(B15,Clay_Offices!$A$1:$FZ$1,0),"")</f>
        <v/>
      </c>
      <c r="D15" s="17">
        <f>IFERROR(MATCH(B15,Clay_Brands!$A$1:$FZ$1,0),"")</f>
        <v/>
      </c>
      <c r="E15" s="17">
        <f>IF(AND(C15="",D15=""),"missing in both pastes",IF(C15="","missing in Clay_Offices",IF(D15="","missing in Clay_Brands","")))</f>
        <v/>
      </c>
    </row>
    <row r="16">
      <c r="B16" t="inlineStr">
        <is>
          <t>call_date</t>
        </is>
      </c>
      <c r="C16" s="17">
        <f>IFERROR(MATCH(B16,Clay_Offices!$A$1:$FZ$1,0),"")</f>
        <v/>
      </c>
      <c r="D16" s="17">
        <f>IFERROR(MATCH(B16,Clay_Brands!$A$1:$FZ$1,0),"")</f>
        <v/>
      </c>
      <c r="E16" s="17">
        <f>IF(AND(C16="",D16=""),"missing in both pastes",IF(C16="","missing in Clay_Offices",IF(D16="","missing in Clay_Brands","")))</f>
        <v/>
      </c>
    </row>
    <row r="17">
      <c r="B17" t="inlineStr">
        <is>
          <t>yes_in_principle</t>
        </is>
      </c>
      <c r="C17" s="17">
        <f>IFERROR(MATCH(B17,Clay_Offices!$A$1:$FZ$1,0),"")</f>
        <v/>
      </c>
      <c r="D17" s="17">
        <f>IFERROR(MATCH(B17,Clay_Brands!$A$1:$FZ$1,0),"")</f>
        <v/>
      </c>
      <c r="E17" s="17">
        <f>IF(AND(C17="",D17=""),"missing in both pastes",IF(C17="","missing in Clay_Offices",IF(D17="","missing in Clay_Brands","")))</f>
        <v/>
      </c>
    </row>
    <row r="18">
      <c r="B18" t="inlineStr">
        <is>
          <t>opt_out_date</t>
        </is>
      </c>
      <c r="C18" s="17">
        <f>IFERROR(MATCH(B18,Clay_Offices!$A$1:$FZ$1,0),"")</f>
        <v/>
      </c>
      <c r="D18" s="17">
        <f>IFERROR(MATCH(B18,Clay_Brands!$A$1:$FZ$1,0),"")</f>
        <v/>
      </c>
      <c r="E18" s="17">
        <f>IF(AND(C18="",D18=""),"missing in both pastes",IF(C18="","missing in Clay_Offices",IF(D18="","missing in Clay_Brands","")))</f>
        <v/>
      </c>
    </row>
    <row r="20">
      <c r="A20" s="12" t="inlineStr">
        <is>
          <t>Clay rows that disagree with the tracker or with themselves</t>
        </is>
      </c>
      <c r="P20" s="12" t="inlineStr">
        <is>
          <t>Handoff rows whose Clay status is not signed / paid</t>
        </is>
      </c>
    </row>
    <row r="21">
      <c r="B21" s="16" t="inlineStr">
        <is>
          <t>i</t>
        </is>
      </c>
      <c r="C21" s="16" t="inlineStr">
        <is>
          <t>office row_id</t>
        </is>
      </c>
      <c r="D21" s="16" t="inlineStr">
        <is>
          <t>status</t>
        </is>
      </c>
      <c r="E21" s="16" t="inlineStr">
        <is>
          <t>do_not_contact</t>
        </is>
      </c>
      <c r="F21" s="16" t="inlineStr">
        <is>
          <t>in tracker</t>
        </is>
      </c>
      <c r="G21" s="16" t="inlineStr">
        <is>
          <t>issue</t>
        </is>
      </c>
      <c r="I21" s="16" t="inlineStr">
        <is>
          <t>i</t>
        </is>
      </c>
      <c r="J21" s="16" t="inlineStr">
        <is>
          <t>brand row_id</t>
        </is>
      </c>
      <c r="K21" s="16" t="inlineStr">
        <is>
          <t>status</t>
        </is>
      </c>
      <c r="L21" s="16" t="inlineStr">
        <is>
          <t>do_not_contact</t>
        </is>
      </c>
      <c r="M21" s="16" t="inlineStr">
        <is>
          <t>in tracker</t>
        </is>
      </c>
      <c r="N21" s="16" t="inlineStr">
        <is>
          <t>issue</t>
        </is>
      </c>
      <c r="P21" s="16" t="inlineStr">
        <is>
          <t>signed_offices clay_row_id</t>
        </is>
      </c>
      <c r="Q21" s="16" t="inlineStr">
        <is>
          <t>Clay status</t>
        </is>
      </c>
      <c r="R21" s="16" t="inlineStr">
        <is>
          <t>issue</t>
        </is>
      </c>
      <c r="T21" s="16" t="inlineStr">
        <is>
          <t>paid_brands clay_row_id</t>
        </is>
      </c>
      <c r="U21" s="16" t="inlineStr">
        <is>
          <t>Clay status</t>
        </is>
      </c>
      <c r="V21" s="16" t="inlineStr">
        <is>
          <t>issue</t>
        </is>
      </c>
    </row>
    <row r="22">
      <c r="B22" s="17" t="n">
        <v>1</v>
      </c>
      <c r="C22" s="17">
        <f>IFERROR(INDEX(Clay_Offices!$A$2:$FZ$601,B22,$C$5)&amp;"","")</f>
        <v/>
      </c>
      <c r="D22" s="17">
        <f>IFERROR(INDEX(Clay_Offices!$A$2:$FZ$601,B22,$C$7)&amp;"","")</f>
        <v/>
      </c>
      <c r="E22" s="17">
        <f>IFERROR(INDEX(Clay_Offices!$A$2:$FZ$601,B22,$C$8)&amp;"","")</f>
        <v/>
      </c>
      <c r="F22" s="17">
        <f>IF(C22="","",IF(COUNTIF(Office_Log!$A$2:$A$201,C22)&gt;0,"Y","N"))</f>
        <v/>
      </c>
      <c r="G22" s="17">
        <f>IF(OR(C22="",AND(LEFT(C22,6)="SAMPLE",Config!$B$19&lt;&gt;"Y")),"",IF(IFERROR(INDEX(Lists!$J$2:$J$15,MATCH(D22,Lists!$I$2:$I$15,0)),-1)=-1,"status '"&amp;D22&amp;"' is not a CONTRACTS status",IF(AND(D22="signed",COUNTIF(signed_offices!$W$2:$W$51,C22)=0),"status signed but no signed_offices row"&amp;IF(F22="N"," and no tracker row",""),IF(AND(IFERROR(INDEX(Lists!$J$2:$J$15,MATCH(D22,Lists!$I$2:$I$15,0)),-1)&gt;=6,F22="N"),"status "&amp;D22&amp;" but no tracker row",IF(AND(E22="Y",D22&lt;&gt;"do_not_contact"),"do_not_contact = Y but status is "&amp;D22,IF(AND(D22="do_not_contact",E22&lt;&gt;"Y"),"status do_not_contact but do_not_contact is not Y",""))))))</f>
        <v/>
      </c>
      <c r="I22" s="17" t="n">
        <v>1</v>
      </c>
      <c r="J22" s="17">
        <f>IFERROR(INDEX(Clay_Brands!$A$2:$FZ$601,I22,$D$5)&amp;"","")</f>
        <v/>
      </c>
      <c r="K22" s="17">
        <f>IFERROR(INDEX(Clay_Brands!$A$2:$FZ$601,I22,$D$7)&amp;"","")</f>
        <v/>
      </c>
      <c r="L22" s="17">
        <f>IFERROR(INDEX(Clay_Brands!$A$2:$FZ$601,I22,$D$8)&amp;"","")</f>
        <v/>
      </c>
      <c r="M22" s="17">
        <f>IF(J22="","",IF(COUNTIF(Brand_Log!$A$2:$A$201,J22)&gt;0,"Y","N"))</f>
        <v/>
      </c>
      <c r="N22" s="17">
        <f>IF(OR(J22="",AND(LEFT(J22,6)="SAMPLE",Config!$B$19&lt;&gt;"Y")),"",IF(IFERROR(INDEX(Lists!$J$2:$J$15,MATCH(K22,Lists!$I$2:$I$15,0)),-1)=-1,"status '"&amp;K22&amp;"' is not a CONTRACTS status",IF(AND(K22="paid",COUNTIF(paid_brands!$AC$2:$AC$51,J22)=0),"status paid but no paid_brands row"&amp;IF(M22="N"," and no tracker row",""),IF(AND(IFERROR(INDEX(Lists!$J$2:$J$15,MATCH(K22,Lists!$I$2:$I$15,0)),-1)&gt;=6,M22="N"),"status "&amp;K22&amp;" but no tracker row",IF(AND(L22="Y",K22&lt;&gt;"do_not_contact"),"do_not_contact = Y but status is "&amp;K22,IF(AND(K22="do_not_contact",L22&lt;&gt;"Y"),"status do_not_contact but do_not_contact is not Y",""))))))</f>
        <v/>
      </c>
      <c r="P22" s="17">
        <f>IF(signed_offices!W2="","",signed_offices!W2&amp;"")</f>
        <v/>
      </c>
      <c r="Q22" s="17">
        <f>IF(P22="","",IFERROR(INDEX(Clay_Offices!$A$2:$FZ$601,MATCH(P22,INDEX(Clay_Offices!$A$2:$FZ$601,0,$C$5),0),$C$7)&amp;"","not in Clay"))</f>
        <v/>
      </c>
      <c r="R22" s="17">
        <f>IF(OR(P22="",AND(LEFT(P22,6)="SAMPLE",Config!$B$19&lt;&gt;"Y")),"",IF(Q22="signed","","Clay status is "&amp;Q22&amp;": set signed"))</f>
        <v/>
      </c>
      <c r="T22" s="17">
        <f>IF(paid_brands!AC2="","",paid_brands!AC2&amp;"")</f>
        <v/>
      </c>
      <c r="U22" s="17">
        <f>IF(T22="","",IFERROR(INDEX(Clay_Brands!$A$2:$FZ$601,MATCH(T22,INDEX(Clay_Brands!$A$2:$FZ$601,0,$D$5),0),$D$7)&amp;"","not in Clay"))</f>
        <v/>
      </c>
      <c r="V22" s="17">
        <f>IF(OR(T22="",AND(LEFT(T22,6)="SAMPLE",Config!$B$19&lt;&gt;"Y")),"",IF(U22="paid","","Clay status is "&amp;U22&amp;": set paid"))</f>
        <v/>
      </c>
    </row>
    <row r="23">
      <c r="B23" s="17" t="n">
        <v>2</v>
      </c>
      <c r="C23" s="17">
        <f>IFERROR(INDEX(Clay_Offices!$A$2:$FZ$601,B23,$C$5)&amp;"","")</f>
        <v/>
      </c>
      <c r="D23" s="17">
        <f>IFERROR(INDEX(Clay_Offices!$A$2:$FZ$601,B23,$C$7)&amp;"","")</f>
        <v/>
      </c>
      <c r="E23" s="17">
        <f>IFERROR(INDEX(Clay_Offices!$A$2:$FZ$601,B23,$C$8)&amp;"","")</f>
        <v/>
      </c>
      <c r="F23" s="17">
        <f>IF(C23="","",IF(COUNTIF(Office_Log!$A$2:$A$201,C23)&gt;0,"Y","N"))</f>
        <v/>
      </c>
      <c r="G23" s="17">
        <f>IF(OR(C23="",AND(LEFT(C23,6)="SAMPLE",Config!$B$19&lt;&gt;"Y")),"",IF(IFERROR(INDEX(Lists!$J$2:$J$15,MATCH(D23,Lists!$I$2:$I$15,0)),-1)=-1,"status '"&amp;D23&amp;"' is not a CONTRACTS status",IF(AND(D23="signed",COUNTIF(signed_offices!$W$2:$W$51,C23)=0),"status signed but no signed_offices row"&amp;IF(F23="N"," and no tracker row",""),IF(AND(IFERROR(INDEX(Lists!$J$2:$J$15,MATCH(D23,Lists!$I$2:$I$15,0)),-1)&gt;=6,F23="N"),"status "&amp;D23&amp;" but no tracker row",IF(AND(E23="Y",D23&lt;&gt;"do_not_contact"),"do_not_contact = Y but status is "&amp;D23,IF(AND(D23="do_not_contact",E23&lt;&gt;"Y"),"status do_not_contact but do_not_contact is not Y",""))))))</f>
        <v/>
      </c>
      <c r="I23" s="17" t="n">
        <v>2</v>
      </c>
      <c r="J23" s="17">
        <f>IFERROR(INDEX(Clay_Brands!$A$2:$FZ$601,I23,$D$5)&amp;"","")</f>
        <v/>
      </c>
      <c r="K23" s="17">
        <f>IFERROR(INDEX(Clay_Brands!$A$2:$FZ$601,I23,$D$7)&amp;"","")</f>
        <v/>
      </c>
      <c r="L23" s="17">
        <f>IFERROR(INDEX(Clay_Brands!$A$2:$FZ$601,I23,$D$8)&amp;"","")</f>
        <v/>
      </c>
      <c r="M23" s="17">
        <f>IF(J23="","",IF(COUNTIF(Brand_Log!$A$2:$A$201,J23)&gt;0,"Y","N"))</f>
        <v/>
      </c>
      <c r="N23" s="17">
        <f>IF(OR(J23="",AND(LEFT(J23,6)="SAMPLE",Config!$B$19&lt;&gt;"Y")),"",IF(IFERROR(INDEX(Lists!$J$2:$J$15,MATCH(K23,Lists!$I$2:$I$15,0)),-1)=-1,"status '"&amp;K23&amp;"' is not a CONTRACTS status",IF(AND(K23="paid",COUNTIF(paid_brands!$AC$2:$AC$51,J23)=0),"status paid but no paid_brands row"&amp;IF(M23="N"," and no tracker row",""),IF(AND(IFERROR(INDEX(Lists!$J$2:$J$15,MATCH(K23,Lists!$I$2:$I$15,0)),-1)&gt;=6,M23="N"),"status "&amp;K23&amp;" but no tracker row",IF(AND(L23="Y",K23&lt;&gt;"do_not_contact"),"do_not_contact = Y but status is "&amp;K23,IF(AND(K23="do_not_contact",L23&lt;&gt;"Y"),"status do_not_contact but do_not_contact is not Y",""))))))</f>
        <v/>
      </c>
      <c r="P23" s="17">
        <f>IF(signed_offices!W3="","",signed_offices!W3&amp;"")</f>
        <v/>
      </c>
      <c r="Q23" s="17">
        <f>IF(P23="","",IFERROR(INDEX(Clay_Offices!$A$2:$FZ$601,MATCH(P23,INDEX(Clay_Offices!$A$2:$FZ$601,0,$C$5),0),$C$7)&amp;"","not in Clay"))</f>
        <v/>
      </c>
      <c r="R23" s="17">
        <f>IF(OR(P23="",AND(LEFT(P23,6)="SAMPLE",Config!$B$19&lt;&gt;"Y")),"",IF(Q23="signed","","Clay status is "&amp;Q23&amp;": set signed"))</f>
        <v/>
      </c>
      <c r="T23" s="17">
        <f>IF(paid_brands!AC3="","",paid_brands!AC3&amp;"")</f>
        <v/>
      </c>
      <c r="U23" s="17">
        <f>IF(T23="","",IFERROR(INDEX(Clay_Brands!$A$2:$FZ$601,MATCH(T23,INDEX(Clay_Brands!$A$2:$FZ$601,0,$D$5),0),$D$7)&amp;"","not in Clay"))</f>
        <v/>
      </c>
      <c r="V23" s="17">
        <f>IF(OR(T23="",AND(LEFT(T23,6)="SAMPLE",Config!$B$19&lt;&gt;"Y")),"",IF(U23="paid","","Clay status is "&amp;U23&amp;": set paid"))</f>
        <v/>
      </c>
    </row>
    <row r="24">
      <c r="B24" s="17" t="n">
        <v>3</v>
      </c>
      <c r="C24" s="17">
        <f>IFERROR(INDEX(Clay_Offices!$A$2:$FZ$601,B24,$C$5)&amp;"","")</f>
        <v/>
      </c>
      <c r="D24" s="17">
        <f>IFERROR(INDEX(Clay_Offices!$A$2:$FZ$601,B24,$C$7)&amp;"","")</f>
        <v/>
      </c>
      <c r="E24" s="17">
        <f>IFERROR(INDEX(Clay_Offices!$A$2:$FZ$601,B24,$C$8)&amp;"","")</f>
        <v/>
      </c>
      <c r="F24" s="17">
        <f>IF(C24="","",IF(COUNTIF(Office_Log!$A$2:$A$201,C24)&gt;0,"Y","N"))</f>
        <v/>
      </c>
      <c r="G24" s="17">
        <f>IF(OR(C24="",AND(LEFT(C24,6)="SAMPLE",Config!$B$19&lt;&gt;"Y")),"",IF(IFERROR(INDEX(Lists!$J$2:$J$15,MATCH(D24,Lists!$I$2:$I$15,0)),-1)=-1,"status '"&amp;D24&amp;"' is not a CONTRACTS status",IF(AND(D24="signed",COUNTIF(signed_offices!$W$2:$W$51,C24)=0),"status signed but no signed_offices row"&amp;IF(F24="N"," and no tracker row",""),IF(AND(IFERROR(INDEX(Lists!$J$2:$J$15,MATCH(D24,Lists!$I$2:$I$15,0)),-1)&gt;=6,F24="N"),"status "&amp;D24&amp;" but no tracker row",IF(AND(E24="Y",D24&lt;&gt;"do_not_contact"),"do_not_contact = Y but status is "&amp;D24,IF(AND(D24="do_not_contact",E24&lt;&gt;"Y"),"status do_not_contact but do_not_contact is not Y",""))))))</f>
        <v/>
      </c>
      <c r="I24" s="17" t="n">
        <v>3</v>
      </c>
      <c r="J24" s="17">
        <f>IFERROR(INDEX(Clay_Brands!$A$2:$FZ$601,I24,$D$5)&amp;"","")</f>
        <v/>
      </c>
      <c r="K24" s="17">
        <f>IFERROR(INDEX(Clay_Brands!$A$2:$FZ$601,I24,$D$7)&amp;"","")</f>
        <v/>
      </c>
      <c r="L24" s="17">
        <f>IFERROR(INDEX(Clay_Brands!$A$2:$FZ$601,I24,$D$8)&amp;"","")</f>
        <v/>
      </c>
      <c r="M24" s="17">
        <f>IF(J24="","",IF(COUNTIF(Brand_Log!$A$2:$A$201,J24)&gt;0,"Y","N"))</f>
        <v/>
      </c>
      <c r="N24" s="17">
        <f>IF(OR(J24="",AND(LEFT(J24,6)="SAMPLE",Config!$B$19&lt;&gt;"Y")),"",IF(IFERROR(INDEX(Lists!$J$2:$J$15,MATCH(K24,Lists!$I$2:$I$15,0)),-1)=-1,"status '"&amp;K24&amp;"' is not a CONTRACTS status",IF(AND(K24="paid",COUNTIF(paid_brands!$AC$2:$AC$51,J24)=0),"status paid but no paid_brands row"&amp;IF(M24="N"," and no tracker row",""),IF(AND(IFERROR(INDEX(Lists!$J$2:$J$15,MATCH(K24,Lists!$I$2:$I$15,0)),-1)&gt;=6,M24="N"),"status "&amp;K24&amp;" but no tracker row",IF(AND(L24="Y",K24&lt;&gt;"do_not_contact"),"do_not_contact = Y but status is "&amp;K24,IF(AND(K24="do_not_contact",L24&lt;&gt;"Y"),"status do_not_contact but do_not_contact is not Y",""))))))</f>
        <v/>
      </c>
      <c r="P24" s="17">
        <f>IF(signed_offices!W4="","",signed_offices!W4&amp;"")</f>
        <v/>
      </c>
      <c r="Q24" s="17">
        <f>IF(P24="","",IFERROR(INDEX(Clay_Offices!$A$2:$FZ$601,MATCH(P24,INDEX(Clay_Offices!$A$2:$FZ$601,0,$C$5),0),$C$7)&amp;"","not in Clay"))</f>
        <v/>
      </c>
      <c r="R24" s="17">
        <f>IF(OR(P24="",AND(LEFT(P24,6)="SAMPLE",Config!$B$19&lt;&gt;"Y")),"",IF(Q24="signed","","Clay status is "&amp;Q24&amp;": set signed"))</f>
        <v/>
      </c>
      <c r="T24" s="17">
        <f>IF(paid_brands!AC4="","",paid_brands!AC4&amp;"")</f>
        <v/>
      </c>
      <c r="U24" s="17">
        <f>IF(T24="","",IFERROR(INDEX(Clay_Brands!$A$2:$FZ$601,MATCH(T24,INDEX(Clay_Brands!$A$2:$FZ$601,0,$D$5),0),$D$7)&amp;"","not in Clay"))</f>
        <v/>
      </c>
      <c r="V24" s="17">
        <f>IF(OR(T24="",AND(LEFT(T24,6)="SAMPLE",Config!$B$19&lt;&gt;"Y")),"",IF(U24="paid","","Clay status is "&amp;U24&amp;": set paid"))</f>
        <v/>
      </c>
    </row>
    <row r="25">
      <c r="B25" s="17" t="n">
        <v>4</v>
      </c>
      <c r="C25" s="17">
        <f>IFERROR(INDEX(Clay_Offices!$A$2:$FZ$601,B25,$C$5)&amp;"","")</f>
        <v/>
      </c>
      <c r="D25" s="17">
        <f>IFERROR(INDEX(Clay_Offices!$A$2:$FZ$601,B25,$C$7)&amp;"","")</f>
        <v/>
      </c>
      <c r="E25" s="17">
        <f>IFERROR(INDEX(Clay_Offices!$A$2:$FZ$601,B25,$C$8)&amp;"","")</f>
        <v/>
      </c>
      <c r="F25" s="17">
        <f>IF(C25="","",IF(COUNTIF(Office_Log!$A$2:$A$201,C25)&gt;0,"Y","N"))</f>
        <v/>
      </c>
      <c r="G25" s="17">
        <f>IF(OR(C25="",AND(LEFT(C25,6)="SAMPLE",Config!$B$19&lt;&gt;"Y")),"",IF(IFERROR(INDEX(Lists!$J$2:$J$15,MATCH(D25,Lists!$I$2:$I$15,0)),-1)=-1,"status '"&amp;D25&amp;"' is not a CONTRACTS status",IF(AND(D25="signed",COUNTIF(signed_offices!$W$2:$W$51,C25)=0),"status signed but no signed_offices row"&amp;IF(F25="N"," and no tracker row",""),IF(AND(IFERROR(INDEX(Lists!$J$2:$J$15,MATCH(D25,Lists!$I$2:$I$15,0)),-1)&gt;=6,F25="N"),"status "&amp;D25&amp;" but no tracker row",IF(AND(E25="Y",D25&lt;&gt;"do_not_contact"),"do_not_contact = Y but status is "&amp;D25,IF(AND(D25="do_not_contact",E25&lt;&gt;"Y"),"status do_not_contact but do_not_contact is not Y",""))))))</f>
        <v/>
      </c>
      <c r="I25" s="17" t="n">
        <v>4</v>
      </c>
      <c r="J25" s="17">
        <f>IFERROR(INDEX(Clay_Brands!$A$2:$FZ$601,I25,$D$5)&amp;"","")</f>
        <v/>
      </c>
      <c r="K25" s="17">
        <f>IFERROR(INDEX(Clay_Brands!$A$2:$FZ$601,I25,$D$7)&amp;"","")</f>
        <v/>
      </c>
      <c r="L25" s="17">
        <f>IFERROR(INDEX(Clay_Brands!$A$2:$FZ$601,I25,$D$8)&amp;"","")</f>
        <v/>
      </c>
      <c r="M25" s="17">
        <f>IF(J25="","",IF(COUNTIF(Brand_Log!$A$2:$A$201,J25)&gt;0,"Y","N"))</f>
        <v/>
      </c>
      <c r="N25" s="17">
        <f>IF(OR(J25="",AND(LEFT(J25,6)="SAMPLE",Config!$B$19&lt;&gt;"Y")),"",IF(IFERROR(INDEX(Lists!$J$2:$J$15,MATCH(K25,Lists!$I$2:$I$15,0)),-1)=-1,"status '"&amp;K25&amp;"' is not a CONTRACTS status",IF(AND(K25="paid",COUNTIF(paid_brands!$AC$2:$AC$51,J25)=0),"status paid but no paid_brands row"&amp;IF(M25="N"," and no tracker row",""),IF(AND(IFERROR(INDEX(Lists!$J$2:$J$15,MATCH(K25,Lists!$I$2:$I$15,0)),-1)&gt;=6,M25="N"),"status "&amp;K25&amp;" but no tracker row",IF(AND(L25="Y",K25&lt;&gt;"do_not_contact"),"do_not_contact = Y but status is "&amp;K25,IF(AND(K25="do_not_contact",L25&lt;&gt;"Y"),"status do_not_contact but do_not_contact is not Y",""))))))</f>
        <v/>
      </c>
      <c r="P25" s="17">
        <f>IF(signed_offices!W5="","",signed_offices!W5&amp;"")</f>
        <v/>
      </c>
      <c r="Q25" s="17">
        <f>IF(P25="","",IFERROR(INDEX(Clay_Offices!$A$2:$FZ$601,MATCH(P25,INDEX(Clay_Offices!$A$2:$FZ$601,0,$C$5),0),$C$7)&amp;"","not in Clay"))</f>
        <v/>
      </c>
      <c r="R25" s="17">
        <f>IF(OR(P25="",AND(LEFT(P25,6)="SAMPLE",Config!$B$19&lt;&gt;"Y")),"",IF(Q25="signed","","Clay status is "&amp;Q25&amp;": set signed"))</f>
        <v/>
      </c>
      <c r="T25" s="17">
        <f>IF(paid_brands!AC5="","",paid_brands!AC5&amp;"")</f>
        <v/>
      </c>
      <c r="U25" s="17">
        <f>IF(T25="","",IFERROR(INDEX(Clay_Brands!$A$2:$FZ$601,MATCH(T25,INDEX(Clay_Brands!$A$2:$FZ$601,0,$D$5),0),$D$7)&amp;"","not in Clay"))</f>
        <v/>
      </c>
      <c r="V25" s="17">
        <f>IF(OR(T25="",AND(LEFT(T25,6)="SAMPLE",Config!$B$19&lt;&gt;"Y")),"",IF(U25="paid","","Clay status is "&amp;U25&amp;": set paid"))</f>
        <v/>
      </c>
    </row>
    <row r="26">
      <c r="B26" s="17" t="n">
        <v>5</v>
      </c>
      <c r="C26" s="17">
        <f>IFERROR(INDEX(Clay_Offices!$A$2:$FZ$601,B26,$C$5)&amp;"","")</f>
        <v/>
      </c>
      <c r="D26" s="17">
        <f>IFERROR(INDEX(Clay_Offices!$A$2:$FZ$601,B26,$C$7)&amp;"","")</f>
        <v/>
      </c>
      <c r="E26" s="17">
        <f>IFERROR(INDEX(Clay_Offices!$A$2:$FZ$601,B26,$C$8)&amp;"","")</f>
        <v/>
      </c>
      <c r="F26" s="17">
        <f>IF(C26="","",IF(COUNTIF(Office_Log!$A$2:$A$201,C26)&gt;0,"Y","N"))</f>
        <v/>
      </c>
      <c r="G26" s="17">
        <f>IF(OR(C26="",AND(LEFT(C26,6)="SAMPLE",Config!$B$19&lt;&gt;"Y")),"",IF(IFERROR(INDEX(Lists!$J$2:$J$15,MATCH(D26,Lists!$I$2:$I$15,0)),-1)=-1,"status '"&amp;D26&amp;"' is not a CONTRACTS status",IF(AND(D26="signed",COUNTIF(signed_offices!$W$2:$W$51,C26)=0),"status signed but no signed_offices row"&amp;IF(F26="N"," and no tracker row",""),IF(AND(IFERROR(INDEX(Lists!$J$2:$J$15,MATCH(D26,Lists!$I$2:$I$15,0)),-1)&gt;=6,F26="N"),"status "&amp;D26&amp;" but no tracker row",IF(AND(E26="Y",D26&lt;&gt;"do_not_contact"),"do_not_contact = Y but status is "&amp;D26,IF(AND(D26="do_not_contact",E26&lt;&gt;"Y"),"status do_not_contact but do_not_contact is not Y",""))))))</f>
        <v/>
      </c>
      <c r="I26" s="17" t="n">
        <v>5</v>
      </c>
      <c r="J26" s="17">
        <f>IFERROR(INDEX(Clay_Brands!$A$2:$FZ$601,I26,$D$5)&amp;"","")</f>
        <v/>
      </c>
      <c r="K26" s="17">
        <f>IFERROR(INDEX(Clay_Brands!$A$2:$FZ$601,I26,$D$7)&amp;"","")</f>
        <v/>
      </c>
      <c r="L26" s="17">
        <f>IFERROR(INDEX(Clay_Brands!$A$2:$FZ$601,I26,$D$8)&amp;"","")</f>
        <v/>
      </c>
      <c r="M26" s="17">
        <f>IF(J26="","",IF(COUNTIF(Brand_Log!$A$2:$A$201,J26)&gt;0,"Y","N"))</f>
        <v/>
      </c>
      <c r="N26" s="17">
        <f>IF(OR(J26="",AND(LEFT(J26,6)="SAMPLE",Config!$B$19&lt;&gt;"Y")),"",IF(IFERROR(INDEX(Lists!$J$2:$J$15,MATCH(K26,Lists!$I$2:$I$15,0)),-1)=-1,"status '"&amp;K26&amp;"' is not a CONTRACTS status",IF(AND(K26="paid",COUNTIF(paid_brands!$AC$2:$AC$51,J26)=0),"status paid but no paid_brands row"&amp;IF(M26="N"," and no tracker row",""),IF(AND(IFERROR(INDEX(Lists!$J$2:$J$15,MATCH(K26,Lists!$I$2:$I$15,0)),-1)&gt;=6,M26="N"),"status "&amp;K26&amp;" but no tracker row",IF(AND(L26="Y",K26&lt;&gt;"do_not_contact"),"do_not_contact = Y but status is "&amp;K26,IF(AND(K26="do_not_contact",L26&lt;&gt;"Y"),"status do_not_contact but do_not_contact is not Y",""))))))</f>
        <v/>
      </c>
      <c r="P26" s="17">
        <f>IF(signed_offices!W6="","",signed_offices!W6&amp;"")</f>
        <v/>
      </c>
      <c r="Q26" s="17">
        <f>IF(P26="","",IFERROR(INDEX(Clay_Offices!$A$2:$FZ$601,MATCH(P26,INDEX(Clay_Offices!$A$2:$FZ$601,0,$C$5),0),$C$7)&amp;"","not in Clay"))</f>
        <v/>
      </c>
      <c r="R26" s="17">
        <f>IF(OR(P26="",AND(LEFT(P26,6)="SAMPLE",Config!$B$19&lt;&gt;"Y")),"",IF(Q26="signed","","Clay status is "&amp;Q26&amp;": set signed"))</f>
        <v/>
      </c>
      <c r="T26" s="17">
        <f>IF(paid_brands!AC6="","",paid_brands!AC6&amp;"")</f>
        <v/>
      </c>
      <c r="U26" s="17">
        <f>IF(T26="","",IFERROR(INDEX(Clay_Brands!$A$2:$FZ$601,MATCH(T26,INDEX(Clay_Brands!$A$2:$FZ$601,0,$D$5),0),$D$7)&amp;"","not in Clay"))</f>
        <v/>
      </c>
      <c r="V26" s="17">
        <f>IF(OR(T26="",AND(LEFT(T26,6)="SAMPLE",Config!$B$19&lt;&gt;"Y")),"",IF(U26="paid","","Clay status is "&amp;U26&amp;": set paid"))</f>
        <v/>
      </c>
    </row>
    <row r="27">
      <c r="B27" s="17" t="n">
        <v>6</v>
      </c>
      <c r="C27" s="17">
        <f>IFERROR(INDEX(Clay_Offices!$A$2:$FZ$601,B27,$C$5)&amp;"","")</f>
        <v/>
      </c>
      <c r="D27" s="17">
        <f>IFERROR(INDEX(Clay_Offices!$A$2:$FZ$601,B27,$C$7)&amp;"","")</f>
        <v/>
      </c>
      <c r="E27" s="17">
        <f>IFERROR(INDEX(Clay_Offices!$A$2:$FZ$601,B27,$C$8)&amp;"","")</f>
        <v/>
      </c>
      <c r="F27" s="17">
        <f>IF(C27="","",IF(COUNTIF(Office_Log!$A$2:$A$201,C27)&gt;0,"Y","N"))</f>
        <v/>
      </c>
      <c r="G27" s="17">
        <f>IF(OR(C27="",AND(LEFT(C27,6)="SAMPLE",Config!$B$19&lt;&gt;"Y")),"",IF(IFERROR(INDEX(Lists!$J$2:$J$15,MATCH(D27,Lists!$I$2:$I$15,0)),-1)=-1,"status '"&amp;D27&amp;"' is not a CONTRACTS status",IF(AND(D27="signed",COUNTIF(signed_offices!$W$2:$W$51,C27)=0),"status signed but no signed_offices row"&amp;IF(F27="N"," and no tracker row",""),IF(AND(IFERROR(INDEX(Lists!$J$2:$J$15,MATCH(D27,Lists!$I$2:$I$15,0)),-1)&gt;=6,F27="N"),"status "&amp;D27&amp;" but no tracker row",IF(AND(E27="Y",D27&lt;&gt;"do_not_contact"),"do_not_contact = Y but status is "&amp;D27,IF(AND(D27="do_not_contact",E27&lt;&gt;"Y"),"status do_not_contact but do_not_contact is not Y",""))))))</f>
        <v/>
      </c>
      <c r="I27" s="17" t="n">
        <v>6</v>
      </c>
      <c r="J27" s="17">
        <f>IFERROR(INDEX(Clay_Brands!$A$2:$FZ$601,I27,$D$5)&amp;"","")</f>
        <v/>
      </c>
      <c r="K27" s="17">
        <f>IFERROR(INDEX(Clay_Brands!$A$2:$FZ$601,I27,$D$7)&amp;"","")</f>
        <v/>
      </c>
      <c r="L27" s="17">
        <f>IFERROR(INDEX(Clay_Brands!$A$2:$FZ$601,I27,$D$8)&amp;"","")</f>
        <v/>
      </c>
      <c r="M27" s="17">
        <f>IF(J27="","",IF(COUNTIF(Brand_Log!$A$2:$A$201,J27)&gt;0,"Y","N"))</f>
        <v/>
      </c>
      <c r="N27" s="17">
        <f>IF(OR(J27="",AND(LEFT(J27,6)="SAMPLE",Config!$B$19&lt;&gt;"Y")),"",IF(IFERROR(INDEX(Lists!$J$2:$J$15,MATCH(K27,Lists!$I$2:$I$15,0)),-1)=-1,"status '"&amp;K27&amp;"' is not a CONTRACTS status",IF(AND(K27="paid",COUNTIF(paid_brands!$AC$2:$AC$51,J27)=0),"status paid but no paid_brands row"&amp;IF(M27="N"," and no tracker row",""),IF(AND(IFERROR(INDEX(Lists!$J$2:$J$15,MATCH(K27,Lists!$I$2:$I$15,0)),-1)&gt;=6,M27="N"),"status "&amp;K27&amp;" but no tracker row",IF(AND(L27="Y",K27&lt;&gt;"do_not_contact"),"do_not_contact = Y but status is "&amp;K27,IF(AND(K27="do_not_contact",L27&lt;&gt;"Y"),"status do_not_contact but do_not_contact is not Y",""))))))</f>
        <v/>
      </c>
      <c r="P27" s="17">
        <f>IF(signed_offices!W7="","",signed_offices!W7&amp;"")</f>
        <v/>
      </c>
      <c r="Q27" s="17">
        <f>IF(P27="","",IFERROR(INDEX(Clay_Offices!$A$2:$FZ$601,MATCH(P27,INDEX(Clay_Offices!$A$2:$FZ$601,0,$C$5),0),$C$7)&amp;"","not in Clay"))</f>
        <v/>
      </c>
      <c r="R27" s="17">
        <f>IF(OR(P27="",AND(LEFT(P27,6)="SAMPLE",Config!$B$19&lt;&gt;"Y")),"",IF(Q27="signed","","Clay status is "&amp;Q27&amp;": set signed"))</f>
        <v/>
      </c>
      <c r="T27" s="17">
        <f>IF(paid_brands!AC7="","",paid_brands!AC7&amp;"")</f>
        <v/>
      </c>
      <c r="U27" s="17">
        <f>IF(T27="","",IFERROR(INDEX(Clay_Brands!$A$2:$FZ$601,MATCH(T27,INDEX(Clay_Brands!$A$2:$FZ$601,0,$D$5),0),$D$7)&amp;"","not in Clay"))</f>
        <v/>
      </c>
      <c r="V27" s="17">
        <f>IF(OR(T27="",AND(LEFT(T27,6)="SAMPLE",Config!$B$19&lt;&gt;"Y")),"",IF(U27="paid","","Clay status is "&amp;U27&amp;": set paid"))</f>
        <v/>
      </c>
    </row>
    <row r="28">
      <c r="B28" s="17" t="n">
        <v>7</v>
      </c>
      <c r="C28" s="17">
        <f>IFERROR(INDEX(Clay_Offices!$A$2:$FZ$601,B28,$C$5)&amp;"","")</f>
        <v/>
      </c>
      <c r="D28" s="17">
        <f>IFERROR(INDEX(Clay_Offices!$A$2:$FZ$601,B28,$C$7)&amp;"","")</f>
        <v/>
      </c>
      <c r="E28" s="17">
        <f>IFERROR(INDEX(Clay_Offices!$A$2:$FZ$601,B28,$C$8)&amp;"","")</f>
        <v/>
      </c>
      <c r="F28" s="17">
        <f>IF(C28="","",IF(COUNTIF(Office_Log!$A$2:$A$201,C28)&gt;0,"Y","N"))</f>
        <v/>
      </c>
      <c r="G28" s="17">
        <f>IF(OR(C28="",AND(LEFT(C28,6)="SAMPLE",Config!$B$19&lt;&gt;"Y")),"",IF(IFERROR(INDEX(Lists!$J$2:$J$15,MATCH(D28,Lists!$I$2:$I$15,0)),-1)=-1,"status '"&amp;D28&amp;"' is not a CONTRACTS status",IF(AND(D28="signed",COUNTIF(signed_offices!$W$2:$W$51,C28)=0),"status signed but no signed_offices row"&amp;IF(F28="N"," and no tracker row",""),IF(AND(IFERROR(INDEX(Lists!$J$2:$J$15,MATCH(D28,Lists!$I$2:$I$15,0)),-1)&gt;=6,F28="N"),"status "&amp;D28&amp;" but no tracker row",IF(AND(E28="Y",D28&lt;&gt;"do_not_contact"),"do_not_contact = Y but status is "&amp;D28,IF(AND(D28="do_not_contact",E28&lt;&gt;"Y"),"status do_not_contact but do_not_contact is not Y",""))))))</f>
        <v/>
      </c>
      <c r="I28" s="17" t="n">
        <v>7</v>
      </c>
      <c r="J28" s="17">
        <f>IFERROR(INDEX(Clay_Brands!$A$2:$FZ$601,I28,$D$5)&amp;"","")</f>
        <v/>
      </c>
      <c r="K28" s="17">
        <f>IFERROR(INDEX(Clay_Brands!$A$2:$FZ$601,I28,$D$7)&amp;"","")</f>
        <v/>
      </c>
      <c r="L28" s="17">
        <f>IFERROR(INDEX(Clay_Brands!$A$2:$FZ$601,I28,$D$8)&amp;"","")</f>
        <v/>
      </c>
      <c r="M28" s="17">
        <f>IF(J28="","",IF(COUNTIF(Brand_Log!$A$2:$A$201,J28)&gt;0,"Y","N"))</f>
        <v/>
      </c>
      <c r="N28" s="17">
        <f>IF(OR(J28="",AND(LEFT(J28,6)="SAMPLE",Config!$B$19&lt;&gt;"Y")),"",IF(IFERROR(INDEX(Lists!$J$2:$J$15,MATCH(K28,Lists!$I$2:$I$15,0)),-1)=-1,"status '"&amp;K28&amp;"' is not a CONTRACTS status",IF(AND(K28="paid",COUNTIF(paid_brands!$AC$2:$AC$51,J28)=0),"status paid but no paid_brands row"&amp;IF(M28="N"," and no tracker row",""),IF(AND(IFERROR(INDEX(Lists!$J$2:$J$15,MATCH(K28,Lists!$I$2:$I$15,0)),-1)&gt;=6,M28="N"),"status "&amp;K28&amp;" but no tracker row",IF(AND(L28="Y",K28&lt;&gt;"do_not_contact"),"do_not_contact = Y but status is "&amp;K28,IF(AND(K28="do_not_contact",L28&lt;&gt;"Y"),"status do_not_contact but do_not_contact is not Y",""))))))</f>
        <v/>
      </c>
      <c r="P28" s="17">
        <f>IF(signed_offices!W8="","",signed_offices!W8&amp;"")</f>
        <v/>
      </c>
      <c r="Q28" s="17">
        <f>IF(P28="","",IFERROR(INDEX(Clay_Offices!$A$2:$FZ$601,MATCH(P28,INDEX(Clay_Offices!$A$2:$FZ$601,0,$C$5),0),$C$7)&amp;"","not in Clay"))</f>
        <v/>
      </c>
      <c r="R28" s="17">
        <f>IF(OR(P28="",AND(LEFT(P28,6)="SAMPLE",Config!$B$19&lt;&gt;"Y")),"",IF(Q28="signed","","Clay status is "&amp;Q28&amp;": set signed"))</f>
        <v/>
      </c>
      <c r="T28" s="17">
        <f>IF(paid_brands!AC8="","",paid_brands!AC8&amp;"")</f>
        <v/>
      </c>
      <c r="U28" s="17">
        <f>IF(T28="","",IFERROR(INDEX(Clay_Brands!$A$2:$FZ$601,MATCH(T28,INDEX(Clay_Brands!$A$2:$FZ$601,0,$D$5),0),$D$7)&amp;"","not in Clay"))</f>
        <v/>
      </c>
      <c r="V28" s="17">
        <f>IF(OR(T28="",AND(LEFT(T28,6)="SAMPLE",Config!$B$19&lt;&gt;"Y")),"",IF(U28="paid","","Clay status is "&amp;U28&amp;": set paid"))</f>
        <v/>
      </c>
    </row>
    <row r="29">
      <c r="B29" s="17" t="n">
        <v>8</v>
      </c>
      <c r="C29" s="17">
        <f>IFERROR(INDEX(Clay_Offices!$A$2:$FZ$601,B29,$C$5)&amp;"","")</f>
        <v/>
      </c>
      <c r="D29" s="17">
        <f>IFERROR(INDEX(Clay_Offices!$A$2:$FZ$601,B29,$C$7)&amp;"","")</f>
        <v/>
      </c>
      <c r="E29" s="17">
        <f>IFERROR(INDEX(Clay_Offices!$A$2:$FZ$601,B29,$C$8)&amp;"","")</f>
        <v/>
      </c>
      <c r="F29" s="17">
        <f>IF(C29="","",IF(COUNTIF(Office_Log!$A$2:$A$201,C29)&gt;0,"Y","N"))</f>
        <v/>
      </c>
      <c r="G29" s="17">
        <f>IF(OR(C29="",AND(LEFT(C29,6)="SAMPLE",Config!$B$19&lt;&gt;"Y")),"",IF(IFERROR(INDEX(Lists!$J$2:$J$15,MATCH(D29,Lists!$I$2:$I$15,0)),-1)=-1,"status '"&amp;D29&amp;"' is not a CONTRACTS status",IF(AND(D29="signed",COUNTIF(signed_offices!$W$2:$W$51,C29)=0),"status signed but no signed_offices row"&amp;IF(F29="N"," and no tracker row",""),IF(AND(IFERROR(INDEX(Lists!$J$2:$J$15,MATCH(D29,Lists!$I$2:$I$15,0)),-1)&gt;=6,F29="N"),"status "&amp;D29&amp;" but no tracker row",IF(AND(E29="Y",D29&lt;&gt;"do_not_contact"),"do_not_contact = Y but status is "&amp;D29,IF(AND(D29="do_not_contact",E29&lt;&gt;"Y"),"status do_not_contact but do_not_contact is not Y",""))))))</f>
        <v/>
      </c>
      <c r="I29" s="17" t="n">
        <v>8</v>
      </c>
      <c r="J29" s="17">
        <f>IFERROR(INDEX(Clay_Brands!$A$2:$FZ$601,I29,$D$5)&amp;"","")</f>
        <v/>
      </c>
      <c r="K29" s="17">
        <f>IFERROR(INDEX(Clay_Brands!$A$2:$FZ$601,I29,$D$7)&amp;"","")</f>
        <v/>
      </c>
      <c r="L29" s="17">
        <f>IFERROR(INDEX(Clay_Brands!$A$2:$FZ$601,I29,$D$8)&amp;"","")</f>
        <v/>
      </c>
      <c r="M29" s="17">
        <f>IF(J29="","",IF(COUNTIF(Brand_Log!$A$2:$A$201,J29)&gt;0,"Y","N"))</f>
        <v/>
      </c>
      <c r="N29" s="17">
        <f>IF(OR(J29="",AND(LEFT(J29,6)="SAMPLE",Config!$B$19&lt;&gt;"Y")),"",IF(IFERROR(INDEX(Lists!$J$2:$J$15,MATCH(K29,Lists!$I$2:$I$15,0)),-1)=-1,"status '"&amp;K29&amp;"' is not a CONTRACTS status",IF(AND(K29="paid",COUNTIF(paid_brands!$AC$2:$AC$51,J29)=0),"status paid but no paid_brands row"&amp;IF(M29="N"," and no tracker row",""),IF(AND(IFERROR(INDEX(Lists!$J$2:$J$15,MATCH(K29,Lists!$I$2:$I$15,0)),-1)&gt;=6,M29="N"),"status "&amp;K29&amp;" but no tracker row",IF(AND(L29="Y",K29&lt;&gt;"do_not_contact"),"do_not_contact = Y but status is "&amp;K29,IF(AND(K29="do_not_contact",L29&lt;&gt;"Y"),"status do_not_contact but do_not_contact is not Y",""))))))</f>
        <v/>
      </c>
      <c r="P29" s="17">
        <f>IF(signed_offices!W9="","",signed_offices!W9&amp;"")</f>
        <v/>
      </c>
      <c r="Q29" s="17">
        <f>IF(P29="","",IFERROR(INDEX(Clay_Offices!$A$2:$FZ$601,MATCH(P29,INDEX(Clay_Offices!$A$2:$FZ$601,0,$C$5),0),$C$7)&amp;"","not in Clay"))</f>
        <v/>
      </c>
      <c r="R29" s="17">
        <f>IF(OR(P29="",AND(LEFT(P29,6)="SAMPLE",Config!$B$19&lt;&gt;"Y")),"",IF(Q29="signed","","Clay status is "&amp;Q29&amp;": set signed"))</f>
        <v/>
      </c>
      <c r="T29" s="17">
        <f>IF(paid_brands!AC9="","",paid_brands!AC9&amp;"")</f>
        <v/>
      </c>
      <c r="U29" s="17">
        <f>IF(T29="","",IFERROR(INDEX(Clay_Brands!$A$2:$FZ$601,MATCH(T29,INDEX(Clay_Brands!$A$2:$FZ$601,0,$D$5),0),$D$7)&amp;"","not in Clay"))</f>
        <v/>
      </c>
      <c r="V29" s="17">
        <f>IF(OR(T29="",AND(LEFT(T29,6)="SAMPLE",Config!$B$19&lt;&gt;"Y")),"",IF(U29="paid","","Clay status is "&amp;U29&amp;": set paid"))</f>
        <v/>
      </c>
    </row>
    <row r="30">
      <c r="B30" s="17" t="n">
        <v>9</v>
      </c>
      <c r="C30" s="17">
        <f>IFERROR(INDEX(Clay_Offices!$A$2:$FZ$601,B30,$C$5)&amp;"","")</f>
        <v/>
      </c>
      <c r="D30" s="17">
        <f>IFERROR(INDEX(Clay_Offices!$A$2:$FZ$601,B30,$C$7)&amp;"","")</f>
        <v/>
      </c>
      <c r="E30" s="17">
        <f>IFERROR(INDEX(Clay_Offices!$A$2:$FZ$601,B30,$C$8)&amp;"","")</f>
        <v/>
      </c>
      <c r="F30" s="17">
        <f>IF(C30="","",IF(COUNTIF(Office_Log!$A$2:$A$201,C30)&gt;0,"Y","N"))</f>
        <v/>
      </c>
      <c r="G30" s="17">
        <f>IF(OR(C30="",AND(LEFT(C30,6)="SAMPLE",Config!$B$19&lt;&gt;"Y")),"",IF(IFERROR(INDEX(Lists!$J$2:$J$15,MATCH(D30,Lists!$I$2:$I$15,0)),-1)=-1,"status '"&amp;D30&amp;"' is not a CONTRACTS status",IF(AND(D30="signed",COUNTIF(signed_offices!$W$2:$W$51,C30)=0),"status signed but no signed_offices row"&amp;IF(F30="N"," and no tracker row",""),IF(AND(IFERROR(INDEX(Lists!$J$2:$J$15,MATCH(D30,Lists!$I$2:$I$15,0)),-1)&gt;=6,F30="N"),"status "&amp;D30&amp;" but no tracker row",IF(AND(E30="Y",D30&lt;&gt;"do_not_contact"),"do_not_contact = Y but status is "&amp;D30,IF(AND(D30="do_not_contact",E30&lt;&gt;"Y"),"status do_not_contact but do_not_contact is not Y",""))))))</f>
        <v/>
      </c>
      <c r="I30" s="17" t="n">
        <v>9</v>
      </c>
      <c r="J30" s="17">
        <f>IFERROR(INDEX(Clay_Brands!$A$2:$FZ$601,I30,$D$5)&amp;"","")</f>
        <v/>
      </c>
      <c r="K30" s="17">
        <f>IFERROR(INDEX(Clay_Brands!$A$2:$FZ$601,I30,$D$7)&amp;"","")</f>
        <v/>
      </c>
      <c r="L30" s="17">
        <f>IFERROR(INDEX(Clay_Brands!$A$2:$FZ$601,I30,$D$8)&amp;"","")</f>
        <v/>
      </c>
      <c r="M30" s="17">
        <f>IF(J30="","",IF(COUNTIF(Brand_Log!$A$2:$A$201,J30)&gt;0,"Y","N"))</f>
        <v/>
      </c>
      <c r="N30" s="17">
        <f>IF(OR(J30="",AND(LEFT(J30,6)="SAMPLE",Config!$B$19&lt;&gt;"Y")),"",IF(IFERROR(INDEX(Lists!$J$2:$J$15,MATCH(K30,Lists!$I$2:$I$15,0)),-1)=-1,"status '"&amp;K30&amp;"' is not a CONTRACTS status",IF(AND(K30="paid",COUNTIF(paid_brands!$AC$2:$AC$51,J30)=0),"status paid but no paid_brands row"&amp;IF(M30="N"," and no tracker row",""),IF(AND(IFERROR(INDEX(Lists!$J$2:$J$15,MATCH(K30,Lists!$I$2:$I$15,0)),-1)&gt;=6,M30="N"),"status "&amp;K30&amp;" but no tracker row",IF(AND(L30="Y",K30&lt;&gt;"do_not_contact"),"do_not_contact = Y but status is "&amp;K30,IF(AND(K30="do_not_contact",L30&lt;&gt;"Y"),"status do_not_contact but do_not_contact is not Y",""))))))</f>
        <v/>
      </c>
      <c r="P30" s="17">
        <f>IF(signed_offices!W10="","",signed_offices!W10&amp;"")</f>
        <v/>
      </c>
      <c r="Q30" s="17">
        <f>IF(P30="","",IFERROR(INDEX(Clay_Offices!$A$2:$FZ$601,MATCH(P30,INDEX(Clay_Offices!$A$2:$FZ$601,0,$C$5),0),$C$7)&amp;"","not in Clay"))</f>
        <v/>
      </c>
      <c r="R30" s="17">
        <f>IF(OR(P30="",AND(LEFT(P30,6)="SAMPLE",Config!$B$19&lt;&gt;"Y")),"",IF(Q30="signed","","Clay status is "&amp;Q30&amp;": set signed"))</f>
        <v/>
      </c>
      <c r="T30" s="17">
        <f>IF(paid_brands!AC10="","",paid_brands!AC10&amp;"")</f>
        <v/>
      </c>
      <c r="U30" s="17">
        <f>IF(T30="","",IFERROR(INDEX(Clay_Brands!$A$2:$FZ$601,MATCH(T30,INDEX(Clay_Brands!$A$2:$FZ$601,0,$D$5),0),$D$7)&amp;"","not in Clay"))</f>
        <v/>
      </c>
      <c r="V30" s="17">
        <f>IF(OR(T30="",AND(LEFT(T30,6)="SAMPLE",Config!$B$19&lt;&gt;"Y")),"",IF(U30="paid","","Clay status is "&amp;U30&amp;": set paid"))</f>
        <v/>
      </c>
    </row>
    <row r="31">
      <c r="B31" s="17" t="n">
        <v>10</v>
      </c>
      <c r="C31" s="17">
        <f>IFERROR(INDEX(Clay_Offices!$A$2:$FZ$601,B31,$C$5)&amp;"","")</f>
        <v/>
      </c>
      <c r="D31" s="17">
        <f>IFERROR(INDEX(Clay_Offices!$A$2:$FZ$601,B31,$C$7)&amp;"","")</f>
        <v/>
      </c>
      <c r="E31" s="17">
        <f>IFERROR(INDEX(Clay_Offices!$A$2:$FZ$601,B31,$C$8)&amp;"","")</f>
        <v/>
      </c>
      <c r="F31" s="17">
        <f>IF(C31="","",IF(COUNTIF(Office_Log!$A$2:$A$201,C31)&gt;0,"Y","N"))</f>
        <v/>
      </c>
      <c r="G31" s="17">
        <f>IF(OR(C31="",AND(LEFT(C31,6)="SAMPLE",Config!$B$19&lt;&gt;"Y")),"",IF(IFERROR(INDEX(Lists!$J$2:$J$15,MATCH(D31,Lists!$I$2:$I$15,0)),-1)=-1,"status '"&amp;D31&amp;"' is not a CONTRACTS status",IF(AND(D31="signed",COUNTIF(signed_offices!$W$2:$W$51,C31)=0),"status signed but no signed_offices row"&amp;IF(F31="N"," and no tracker row",""),IF(AND(IFERROR(INDEX(Lists!$J$2:$J$15,MATCH(D31,Lists!$I$2:$I$15,0)),-1)&gt;=6,F31="N"),"status "&amp;D31&amp;" but no tracker row",IF(AND(E31="Y",D31&lt;&gt;"do_not_contact"),"do_not_contact = Y but status is "&amp;D31,IF(AND(D31="do_not_contact",E31&lt;&gt;"Y"),"status do_not_contact but do_not_contact is not Y",""))))))</f>
        <v/>
      </c>
      <c r="I31" s="17" t="n">
        <v>10</v>
      </c>
      <c r="J31" s="17">
        <f>IFERROR(INDEX(Clay_Brands!$A$2:$FZ$601,I31,$D$5)&amp;"","")</f>
        <v/>
      </c>
      <c r="K31" s="17">
        <f>IFERROR(INDEX(Clay_Brands!$A$2:$FZ$601,I31,$D$7)&amp;"","")</f>
        <v/>
      </c>
      <c r="L31" s="17">
        <f>IFERROR(INDEX(Clay_Brands!$A$2:$FZ$601,I31,$D$8)&amp;"","")</f>
        <v/>
      </c>
      <c r="M31" s="17">
        <f>IF(J31="","",IF(COUNTIF(Brand_Log!$A$2:$A$201,J31)&gt;0,"Y","N"))</f>
        <v/>
      </c>
      <c r="N31" s="17">
        <f>IF(OR(J31="",AND(LEFT(J31,6)="SAMPLE",Config!$B$19&lt;&gt;"Y")),"",IF(IFERROR(INDEX(Lists!$J$2:$J$15,MATCH(K31,Lists!$I$2:$I$15,0)),-1)=-1,"status '"&amp;K31&amp;"' is not a CONTRACTS status",IF(AND(K31="paid",COUNTIF(paid_brands!$AC$2:$AC$51,J31)=0),"status paid but no paid_brands row"&amp;IF(M31="N"," and no tracker row",""),IF(AND(IFERROR(INDEX(Lists!$J$2:$J$15,MATCH(K31,Lists!$I$2:$I$15,0)),-1)&gt;=6,M31="N"),"status "&amp;K31&amp;" but no tracker row",IF(AND(L31="Y",K31&lt;&gt;"do_not_contact"),"do_not_contact = Y but status is "&amp;K31,IF(AND(K31="do_not_contact",L31&lt;&gt;"Y"),"status do_not_contact but do_not_contact is not Y",""))))))</f>
        <v/>
      </c>
      <c r="P31" s="17">
        <f>IF(signed_offices!W11="","",signed_offices!W11&amp;"")</f>
        <v/>
      </c>
      <c r="Q31" s="17">
        <f>IF(P31="","",IFERROR(INDEX(Clay_Offices!$A$2:$FZ$601,MATCH(P31,INDEX(Clay_Offices!$A$2:$FZ$601,0,$C$5),0),$C$7)&amp;"","not in Clay"))</f>
        <v/>
      </c>
      <c r="R31" s="17">
        <f>IF(OR(P31="",AND(LEFT(P31,6)="SAMPLE",Config!$B$19&lt;&gt;"Y")),"",IF(Q31="signed","","Clay status is "&amp;Q31&amp;": set signed"))</f>
        <v/>
      </c>
      <c r="T31" s="17">
        <f>IF(paid_brands!AC11="","",paid_brands!AC11&amp;"")</f>
        <v/>
      </c>
      <c r="U31" s="17">
        <f>IF(T31="","",IFERROR(INDEX(Clay_Brands!$A$2:$FZ$601,MATCH(T31,INDEX(Clay_Brands!$A$2:$FZ$601,0,$D$5),0),$D$7)&amp;"","not in Clay"))</f>
        <v/>
      </c>
      <c r="V31" s="17">
        <f>IF(OR(T31="",AND(LEFT(T31,6)="SAMPLE",Config!$B$19&lt;&gt;"Y")),"",IF(U31="paid","","Clay status is "&amp;U31&amp;": set paid"))</f>
        <v/>
      </c>
    </row>
    <row r="32">
      <c r="B32" s="17" t="n">
        <v>11</v>
      </c>
      <c r="C32" s="17">
        <f>IFERROR(INDEX(Clay_Offices!$A$2:$FZ$601,B32,$C$5)&amp;"","")</f>
        <v/>
      </c>
      <c r="D32" s="17">
        <f>IFERROR(INDEX(Clay_Offices!$A$2:$FZ$601,B32,$C$7)&amp;"","")</f>
        <v/>
      </c>
      <c r="E32" s="17">
        <f>IFERROR(INDEX(Clay_Offices!$A$2:$FZ$601,B32,$C$8)&amp;"","")</f>
        <v/>
      </c>
      <c r="F32" s="17">
        <f>IF(C32="","",IF(COUNTIF(Office_Log!$A$2:$A$201,C32)&gt;0,"Y","N"))</f>
        <v/>
      </c>
      <c r="G32" s="17">
        <f>IF(OR(C32="",AND(LEFT(C32,6)="SAMPLE",Config!$B$19&lt;&gt;"Y")),"",IF(IFERROR(INDEX(Lists!$J$2:$J$15,MATCH(D32,Lists!$I$2:$I$15,0)),-1)=-1,"status '"&amp;D32&amp;"' is not a CONTRACTS status",IF(AND(D32="signed",COUNTIF(signed_offices!$W$2:$W$51,C32)=0),"status signed but no signed_offices row"&amp;IF(F32="N"," and no tracker row",""),IF(AND(IFERROR(INDEX(Lists!$J$2:$J$15,MATCH(D32,Lists!$I$2:$I$15,0)),-1)&gt;=6,F32="N"),"status "&amp;D32&amp;" but no tracker row",IF(AND(E32="Y",D32&lt;&gt;"do_not_contact"),"do_not_contact = Y but status is "&amp;D32,IF(AND(D32="do_not_contact",E32&lt;&gt;"Y"),"status do_not_contact but do_not_contact is not Y",""))))))</f>
        <v/>
      </c>
      <c r="I32" s="17" t="n">
        <v>11</v>
      </c>
      <c r="J32" s="17">
        <f>IFERROR(INDEX(Clay_Brands!$A$2:$FZ$601,I32,$D$5)&amp;"","")</f>
        <v/>
      </c>
      <c r="K32" s="17">
        <f>IFERROR(INDEX(Clay_Brands!$A$2:$FZ$601,I32,$D$7)&amp;"","")</f>
        <v/>
      </c>
      <c r="L32" s="17">
        <f>IFERROR(INDEX(Clay_Brands!$A$2:$FZ$601,I32,$D$8)&amp;"","")</f>
        <v/>
      </c>
      <c r="M32" s="17">
        <f>IF(J32="","",IF(COUNTIF(Brand_Log!$A$2:$A$201,J32)&gt;0,"Y","N"))</f>
        <v/>
      </c>
      <c r="N32" s="17">
        <f>IF(OR(J32="",AND(LEFT(J32,6)="SAMPLE",Config!$B$19&lt;&gt;"Y")),"",IF(IFERROR(INDEX(Lists!$J$2:$J$15,MATCH(K32,Lists!$I$2:$I$15,0)),-1)=-1,"status '"&amp;K32&amp;"' is not a CONTRACTS status",IF(AND(K32="paid",COUNTIF(paid_brands!$AC$2:$AC$51,J32)=0),"status paid but no paid_brands row"&amp;IF(M32="N"," and no tracker row",""),IF(AND(IFERROR(INDEX(Lists!$J$2:$J$15,MATCH(K32,Lists!$I$2:$I$15,0)),-1)&gt;=6,M32="N"),"status "&amp;K32&amp;" but no tracker row",IF(AND(L32="Y",K32&lt;&gt;"do_not_contact"),"do_not_contact = Y but status is "&amp;K32,IF(AND(K32="do_not_contact",L32&lt;&gt;"Y"),"status do_not_contact but do_not_contact is not Y",""))))))</f>
        <v/>
      </c>
      <c r="P32" s="17">
        <f>IF(signed_offices!W12="","",signed_offices!W12&amp;"")</f>
        <v/>
      </c>
      <c r="Q32" s="17">
        <f>IF(P32="","",IFERROR(INDEX(Clay_Offices!$A$2:$FZ$601,MATCH(P32,INDEX(Clay_Offices!$A$2:$FZ$601,0,$C$5),0),$C$7)&amp;"","not in Clay"))</f>
        <v/>
      </c>
      <c r="R32" s="17">
        <f>IF(OR(P32="",AND(LEFT(P32,6)="SAMPLE",Config!$B$19&lt;&gt;"Y")),"",IF(Q32="signed","","Clay status is "&amp;Q32&amp;": set signed"))</f>
        <v/>
      </c>
      <c r="T32" s="17">
        <f>IF(paid_brands!AC12="","",paid_brands!AC12&amp;"")</f>
        <v/>
      </c>
      <c r="U32" s="17">
        <f>IF(T32="","",IFERROR(INDEX(Clay_Brands!$A$2:$FZ$601,MATCH(T32,INDEX(Clay_Brands!$A$2:$FZ$601,0,$D$5),0),$D$7)&amp;"","not in Clay"))</f>
        <v/>
      </c>
      <c r="V32" s="17">
        <f>IF(OR(T32="",AND(LEFT(T32,6)="SAMPLE",Config!$B$19&lt;&gt;"Y")),"",IF(U32="paid","","Clay status is "&amp;U32&amp;": set paid"))</f>
        <v/>
      </c>
    </row>
    <row r="33">
      <c r="B33" s="17" t="n">
        <v>12</v>
      </c>
      <c r="C33" s="17">
        <f>IFERROR(INDEX(Clay_Offices!$A$2:$FZ$601,B33,$C$5)&amp;"","")</f>
        <v/>
      </c>
      <c r="D33" s="17">
        <f>IFERROR(INDEX(Clay_Offices!$A$2:$FZ$601,B33,$C$7)&amp;"","")</f>
        <v/>
      </c>
      <c r="E33" s="17">
        <f>IFERROR(INDEX(Clay_Offices!$A$2:$FZ$601,B33,$C$8)&amp;"","")</f>
        <v/>
      </c>
      <c r="F33" s="17">
        <f>IF(C33="","",IF(COUNTIF(Office_Log!$A$2:$A$201,C33)&gt;0,"Y","N"))</f>
        <v/>
      </c>
      <c r="G33" s="17">
        <f>IF(OR(C33="",AND(LEFT(C33,6)="SAMPLE",Config!$B$19&lt;&gt;"Y")),"",IF(IFERROR(INDEX(Lists!$J$2:$J$15,MATCH(D33,Lists!$I$2:$I$15,0)),-1)=-1,"status '"&amp;D33&amp;"' is not a CONTRACTS status",IF(AND(D33="signed",COUNTIF(signed_offices!$W$2:$W$51,C33)=0),"status signed but no signed_offices row"&amp;IF(F33="N"," and no tracker row",""),IF(AND(IFERROR(INDEX(Lists!$J$2:$J$15,MATCH(D33,Lists!$I$2:$I$15,0)),-1)&gt;=6,F33="N"),"status "&amp;D33&amp;" but no tracker row",IF(AND(E33="Y",D33&lt;&gt;"do_not_contact"),"do_not_contact = Y but status is "&amp;D33,IF(AND(D33="do_not_contact",E33&lt;&gt;"Y"),"status do_not_contact but do_not_contact is not Y",""))))))</f>
        <v/>
      </c>
      <c r="I33" s="17" t="n">
        <v>12</v>
      </c>
      <c r="J33" s="17">
        <f>IFERROR(INDEX(Clay_Brands!$A$2:$FZ$601,I33,$D$5)&amp;"","")</f>
        <v/>
      </c>
      <c r="K33" s="17">
        <f>IFERROR(INDEX(Clay_Brands!$A$2:$FZ$601,I33,$D$7)&amp;"","")</f>
        <v/>
      </c>
      <c r="L33" s="17">
        <f>IFERROR(INDEX(Clay_Brands!$A$2:$FZ$601,I33,$D$8)&amp;"","")</f>
        <v/>
      </c>
      <c r="M33" s="17">
        <f>IF(J33="","",IF(COUNTIF(Brand_Log!$A$2:$A$201,J33)&gt;0,"Y","N"))</f>
        <v/>
      </c>
      <c r="N33" s="17">
        <f>IF(OR(J33="",AND(LEFT(J33,6)="SAMPLE",Config!$B$19&lt;&gt;"Y")),"",IF(IFERROR(INDEX(Lists!$J$2:$J$15,MATCH(K33,Lists!$I$2:$I$15,0)),-1)=-1,"status '"&amp;K33&amp;"' is not a CONTRACTS status",IF(AND(K33="paid",COUNTIF(paid_brands!$AC$2:$AC$51,J33)=0),"status paid but no paid_brands row"&amp;IF(M33="N"," and no tracker row",""),IF(AND(IFERROR(INDEX(Lists!$J$2:$J$15,MATCH(K33,Lists!$I$2:$I$15,0)),-1)&gt;=6,M33="N"),"status "&amp;K33&amp;" but no tracker row",IF(AND(L33="Y",K33&lt;&gt;"do_not_contact"),"do_not_contact = Y but status is "&amp;K33,IF(AND(K33="do_not_contact",L33&lt;&gt;"Y"),"status do_not_contact but do_not_contact is not Y",""))))))</f>
        <v/>
      </c>
      <c r="P33" s="17">
        <f>IF(signed_offices!W13="","",signed_offices!W13&amp;"")</f>
        <v/>
      </c>
      <c r="Q33" s="17">
        <f>IF(P33="","",IFERROR(INDEX(Clay_Offices!$A$2:$FZ$601,MATCH(P33,INDEX(Clay_Offices!$A$2:$FZ$601,0,$C$5),0),$C$7)&amp;"","not in Clay"))</f>
        <v/>
      </c>
      <c r="R33" s="17">
        <f>IF(OR(P33="",AND(LEFT(P33,6)="SAMPLE",Config!$B$19&lt;&gt;"Y")),"",IF(Q33="signed","","Clay status is "&amp;Q33&amp;": set signed"))</f>
        <v/>
      </c>
      <c r="T33" s="17">
        <f>IF(paid_brands!AC13="","",paid_brands!AC13&amp;"")</f>
        <v/>
      </c>
      <c r="U33" s="17">
        <f>IF(T33="","",IFERROR(INDEX(Clay_Brands!$A$2:$FZ$601,MATCH(T33,INDEX(Clay_Brands!$A$2:$FZ$601,0,$D$5),0),$D$7)&amp;"","not in Clay"))</f>
        <v/>
      </c>
      <c r="V33" s="17">
        <f>IF(OR(T33="",AND(LEFT(T33,6)="SAMPLE",Config!$B$19&lt;&gt;"Y")),"",IF(U33="paid","","Clay status is "&amp;U33&amp;": set paid"))</f>
        <v/>
      </c>
    </row>
    <row r="34">
      <c r="B34" s="17" t="n">
        <v>13</v>
      </c>
      <c r="C34" s="17">
        <f>IFERROR(INDEX(Clay_Offices!$A$2:$FZ$601,B34,$C$5)&amp;"","")</f>
        <v/>
      </c>
      <c r="D34" s="17">
        <f>IFERROR(INDEX(Clay_Offices!$A$2:$FZ$601,B34,$C$7)&amp;"","")</f>
        <v/>
      </c>
      <c r="E34" s="17">
        <f>IFERROR(INDEX(Clay_Offices!$A$2:$FZ$601,B34,$C$8)&amp;"","")</f>
        <v/>
      </c>
      <c r="F34" s="17">
        <f>IF(C34="","",IF(COUNTIF(Office_Log!$A$2:$A$201,C34)&gt;0,"Y","N"))</f>
        <v/>
      </c>
      <c r="G34" s="17">
        <f>IF(OR(C34="",AND(LEFT(C34,6)="SAMPLE",Config!$B$19&lt;&gt;"Y")),"",IF(IFERROR(INDEX(Lists!$J$2:$J$15,MATCH(D34,Lists!$I$2:$I$15,0)),-1)=-1,"status '"&amp;D34&amp;"' is not a CONTRACTS status",IF(AND(D34="signed",COUNTIF(signed_offices!$W$2:$W$51,C34)=0),"status signed but no signed_offices row"&amp;IF(F34="N"," and no tracker row",""),IF(AND(IFERROR(INDEX(Lists!$J$2:$J$15,MATCH(D34,Lists!$I$2:$I$15,0)),-1)&gt;=6,F34="N"),"status "&amp;D34&amp;" but no tracker row",IF(AND(E34="Y",D34&lt;&gt;"do_not_contact"),"do_not_contact = Y but status is "&amp;D34,IF(AND(D34="do_not_contact",E34&lt;&gt;"Y"),"status do_not_contact but do_not_contact is not Y",""))))))</f>
        <v/>
      </c>
      <c r="I34" s="17" t="n">
        <v>13</v>
      </c>
      <c r="J34" s="17">
        <f>IFERROR(INDEX(Clay_Brands!$A$2:$FZ$601,I34,$D$5)&amp;"","")</f>
        <v/>
      </c>
      <c r="K34" s="17">
        <f>IFERROR(INDEX(Clay_Brands!$A$2:$FZ$601,I34,$D$7)&amp;"","")</f>
        <v/>
      </c>
      <c r="L34" s="17">
        <f>IFERROR(INDEX(Clay_Brands!$A$2:$FZ$601,I34,$D$8)&amp;"","")</f>
        <v/>
      </c>
      <c r="M34" s="17">
        <f>IF(J34="","",IF(COUNTIF(Brand_Log!$A$2:$A$201,J34)&gt;0,"Y","N"))</f>
        <v/>
      </c>
      <c r="N34" s="17">
        <f>IF(OR(J34="",AND(LEFT(J34,6)="SAMPLE",Config!$B$19&lt;&gt;"Y")),"",IF(IFERROR(INDEX(Lists!$J$2:$J$15,MATCH(K34,Lists!$I$2:$I$15,0)),-1)=-1,"status '"&amp;K34&amp;"' is not a CONTRACTS status",IF(AND(K34="paid",COUNTIF(paid_brands!$AC$2:$AC$51,J34)=0),"status paid but no paid_brands row"&amp;IF(M34="N"," and no tracker row",""),IF(AND(IFERROR(INDEX(Lists!$J$2:$J$15,MATCH(K34,Lists!$I$2:$I$15,0)),-1)&gt;=6,M34="N"),"status "&amp;K34&amp;" but no tracker row",IF(AND(L34="Y",K34&lt;&gt;"do_not_contact"),"do_not_contact = Y but status is "&amp;K34,IF(AND(K34="do_not_contact",L34&lt;&gt;"Y"),"status do_not_contact but do_not_contact is not Y",""))))))</f>
        <v/>
      </c>
      <c r="P34" s="17">
        <f>IF(signed_offices!W14="","",signed_offices!W14&amp;"")</f>
        <v/>
      </c>
      <c r="Q34" s="17">
        <f>IF(P34="","",IFERROR(INDEX(Clay_Offices!$A$2:$FZ$601,MATCH(P34,INDEX(Clay_Offices!$A$2:$FZ$601,0,$C$5),0),$C$7)&amp;"","not in Clay"))</f>
        <v/>
      </c>
      <c r="R34" s="17">
        <f>IF(OR(P34="",AND(LEFT(P34,6)="SAMPLE",Config!$B$19&lt;&gt;"Y")),"",IF(Q34="signed","","Clay status is "&amp;Q34&amp;": set signed"))</f>
        <v/>
      </c>
      <c r="T34" s="17">
        <f>IF(paid_brands!AC14="","",paid_brands!AC14&amp;"")</f>
        <v/>
      </c>
      <c r="U34" s="17">
        <f>IF(T34="","",IFERROR(INDEX(Clay_Brands!$A$2:$FZ$601,MATCH(T34,INDEX(Clay_Brands!$A$2:$FZ$601,0,$D$5),0),$D$7)&amp;"","not in Clay"))</f>
        <v/>
      </c>
      <c r="V34" s="17">
        <f>IF(OR(T34="",AND(LEFT(T34,6)="SAMPLE",Config!$B$19&lt;&gt;"Y")),"",IF(U34="paid","","Clay status is "&amp;U34&amp;": set paid"))</f>
        <v/>
      </c>
    </row>
    <row r="35">
      <c r="B35" s="17" t="n">
        <v>14</v>
      </c>
      <c r="C35" s="17">
        <f>IFERROR(INDEX(Clay_Offices!$A$2:$FZ$601,B35,$C$5)&amp;"","")</f>
        <v/>
      </c>
      <c r="D35" s="17">
        <f>IFERROR(INDEX(Clay_Offices!$A$2:$FZ$601,B35,$C$7)&amp;"","")</f>
        <v/>
      </c>
      <c r="E35" s="17">
        <f>IFERROR(INDEX(Clay_Offices!$A$2:$FZ$601,B35,$C$8)&amp;"","")</f>
        <v/>
      </c>
      <c r="F35" s="17">
        <f>IF(C35="","",IF(COUNTIF(Office_Log!$A$2:$A$201,C35)&gt;0,"Y","N"))</f>
        <v/>
      </c>
      <c r="G35" s="17">
        <f>IF(OR(C35="",AND(LEFT(C35,6)="SAMPLE",Config!$B$19&lt;&gt;"Y")),"",IF(IFERROR(INDEX(Lists!$J$2:$J$15,MATCH(D35,Lists!$I$2:$I$15,0)),-1)=-1,"status '"&amp;D35&amp;"' is not a CONTRACTS status",IF(AND(D35="signed",COUNTIF(signed_offices!$W$2:$W$51,C35)=0),"status signed but no signed_offices row"&amp;IF(F35="N"," and no tracker row",""),IF(AND(IFERROR(INDEX(Lists!$J$2:$J$15,MATCH(D35,Lists!$I$2:$I$15,0)),-1)&gt;=6,F35="N"),"status "&amp;D35&amp;" but no tracker row",IF(AND(E35="Y",D35&lt;&gt;"do_not_contact"),"do_not_contact = Y but status is "&amp;D35,IF(AND(D35="do_not_contact",E35&lt;&gt;"Y"),"status do_not_contact but do_not_contact is not Y",""))))))</f>
        <v/>
      </c>
      <c r="I35" s="17" t="n">
        <v>14</v>
      </c>
      <c r="J35" s="17">
        <f>IFERROR(INDEX(Clay_Brands!$A$2:$FZ$601,I35,$D$5)&amp;"","")</f>
        <v/>
      </c>
      <c r="K35" s="17">
        <f>IFERROR(INDEX(Clay_Brands!$A$2:$FZ$601,I35,$D$7)&amp;"","")</f>
        <v/>
      </c>
      <c r="L35" s="17">
        <f>IFERROR(INDEX(Clay_Brands!$A$2:$FZ$601,I35,$D$8)&amp;"","")</f>
        <v/>
      </c>
      <c r="M35" s="17">
        <f>IF(J35="","",IF(COUNTIF(Brand_Log!$A$2:$A$201,J35)&gt;0,"Y","N"))</f>
        <v/>
      </c>
      <c r="N35" s="17">
        <f>IF(OR(J35="",AND(LEFT(J35,6)="SAMPLE",Config!$B$19&lt;&gt;"Y")),"",IF(IFERROR(INDEX(Lists!$J$2:$J$15,MATCH(K35,Lists!$I$2:$I$15,0)),-1)=-1,"status '"&amp;K35&amp;"' is not a CONTRACTS status",IF(AND(K35="paid",COUNTIF(paid_brands!$AC$2:$AC$51,J35)=0),"status paid but no paid_brands row"&amp;IF(M35="N"," and no tracker row",""),IF(AND(IFERROR(INDEX(Lists!$J$2:$J$15,MATCH(K35,Lists!$I$2:$I$15,0)),-1)&gt;=6,M35="N"),"status "&amp;K35&amp;" but no tracker row",IF(AND(L35="Y",K35&lt;&gt;"do_not_contact"),"do_not_contact = Y but status is "&amp;K35,IF(AND(K35="do_not_contact",L35&lt;&gt;"Y"),"status do_not_contact but do_not_contact is not Y",""))))))</f>
        <v/>
      </c>
      <c r="P35" s="17">
        <f>IF(signed_offices!W15="","",signed_offices!W15&amp;"")</f>
        <v/>
      </c>
      <c r="Q35" s="17">
        <f>IF(P35="","",IFERROR(INDEX(Clay_Offices!$A$2:$FZ$601,MATCH(P35,INDEX(Clay_Offices!$A$2:$FZ$601,0,$C$5),0),$C$7)&amp;"","not in Clay"))</f>
        <v/>
      </c>
      <c r="R35" s="17">
        <f>IF(OR(P35="",AND(LEFT(P35,6)="SAMPLE",Config!$B$19&lt;&gt;"Y")),"",IF(Q35="signed","","Clay status is "&amp;Q35&amp;": set signed"))</f>
        <v/>
      </c>
      <c r="T35" s="17">
        <f>IF(paid_brands!AC15="","",paid_brands!AC15&amp;"")</f>
        <v/>
      </c>
      <c r="U35" s="17">
        <f>IF(T35="","",IFERROR(INDEX(Clay_Brands!$A$2:$FZ$601,MATCH(T35,INDEX(Clay_Brands!$A$2:$FZ$601,0,$D$5),0),$D$7)&amp;"","not in Clay"))</f>
        <v/>
      </c>
      <c r="V35" s="17">
        <f>IF(OR(T35="",AND(LEFT(T35,6)="SAMPLE",Config!$B$19&lt;&gt;"Y")),"",IF(U35="paid","","Clay status is "&amp;U35&amp;": set paid"))</f>
        <v/>
      </c>
    </row>
    <row r="36">
      <c r="B36" s="17" t="n">
        <v>15</v>
      </c>
      <c r="C36" s="17">
        <f>IFERROR(INDEX(Clay_Offices!$A$2:$FZ$601,B36,$C$5)&amp;"","")</f>
        <v/>
      </c>
      <c r="D36" s="17">
        <f>IFERROR(INDEX(Clay_Offices!$A$2:$FZ$601,B36,$C$7)&amp;"","")</f>
        <v/>
      </c>
      <c r="E36" s="17">
        <f>IFERROR(INDEX(Clay_Offices!$A$2:$FZ$601,B36,$C$8)&amp;"","")</f>
        <v/>
      </c>
      <c r="F36" s="17">
        <f>IF(C36="","",IF(COUNTIF(Office_Log!$A$2:$A$201,C36)&gt;0,"Y","N"))</f>
        <v/>
      </c>
      <c r="G36" s="17">
        <f>IF(OR(C36="",AND(LEFT(C36,6)="SAMPLE",Config!$B$19&lt;&gt;"Y")),"",IF(IFERROR(INDEX(Lists!$J$2:$J$15,MATCH(D36,Lists!$I$2:$I$15,0)),-1)=-1,"status '"&amp;D36&amp;"' is not a CONTRACTS status",IF(AND(D36="signed",COUNTIF(signed_offices!$W$2:$W$51,C36)=0),"status signed but no signed_offices row"&amp;IF(F36="N"," and no tracker row",""),IF(AND(IFERROR(INDEX(Lists!$J$2:$J$15,MATCH(D36,Lists!$I$2:$I$15,0)),-1)&gt;=6,F36="N"),"status "&amp;D36&amp;" but no tracker row",IF(AND(E36="Y",D36&lt;&gt;"do_not_contact"),"do_not_contact = Y but status is "&amp;D36,IF(AND(D36="do_not_contact",E36&lt;&gt;"Y"),"status do_not_contact but do_not_contact is not Y",""))))))</f>
        <v/>
      </c>
      <c r="I36" s="17" t="n">
        <v>15</v>
      </c>
      <c r="J36" s="17">
        <f>IFERROR(INDEX(Clay_Brands!$A$2:$FZ$601,I36,$D$5)&amp;"","")</f>
        <v/>
      </c>
      <c r="K36" s="17">
        <f>IFERROR(INDEX(Clay_Brands!$A$2:$FZ$601,I36,$D$7)&amp;"","")</f>
        <v/>
      </c>
      <c r="L36" s="17">
        <f>IFERROR(INDEX(Clay_Brands!$A$2:$FZ$601,I36,$D$8)&amp;"","")</f>
        <v/>
      </c>
      <c r="M36" s="17">
        <f>IF(J36="","",IF(COUNTIF(Brand_Log!$A$2:$A$201,J36)&gt;0,"Y","N"))</f>
        <v/>
      </c>
      <c r="N36" s="17">
        <f>IF(OR(J36="",AND(LEFT(J36,6)="SAMPLE",Config!$B$19&lt;&gt;"Y")),"",IF(IFERROR(INDEX(Lists!$J$2:$J$15,MATCH(K36,Lists!$I$2:$I$15,0)),-1)=-1,"status '"&amp;K36&amp;"' is not a CONTRACTS status",IF(AND(K36="paid",COUNTIF(paid_brands!$AC$2:$AC$51,J36)=0),"status paid but no paid_brands row"&amp;IF(M36="N"," and no tracker row",""),IF(AND(IFERROR(INDEX(Lists!$J$2:$J$15,MATCH(K36,Lists!$I$2:$I$15,0)),-1)&gt;=6,M36="N"),"status "&amp;K36&amp;" but no tracker row",IF(AND(L36="Y",K36&lt;&gt;"do_not_contact"),"do_not_contact = Y but status is "&amp;K36,IF(AND(K36="do_not_contact",L36&lt;&gt;"Y"),"status do_not_contact but do_not_contact is not Y",""))))))</f>
        <v/>
      </c>
      <c r="P36" s="17">
        <f>IF(signed_offices!W16="","",signed_offices!W16&amp;"")</f>
        <v/>
      </c>
      <c r="Q36" s="17">
        <f>IF(P36="","",IFERROR(INDEX(Clay_Offices!$A$2:$FZ$601,MATCH(P36,INDEX(Clay_Offices!$A$2:$FZ$601,0,$C$5),0),$C$7)&amp;"","not in Clay"))</f>
        <v/>
      </c>
      <c r="R36" s="17">
        <f>IF(OR(P36="",AND(LEFT(P36,6)="SAMPLE",Config!$B$19&lt;&gt;"Y")),"",IF(Q36="signed","","Clay status is "&amp;Q36&amp;": set signed"))</f>
        <v/>
      </c>
      <c r="T36" s="17">
        <f>IF(paid_brands!AC16="","",paid_brands!AC16&amp;"")</f>
        <v/>
      </c>
      <c r="U36" s="17">
        <f>IF(T36="","",IFERROR(INDEX(Clay_Brands!$A$2:$FZ$601,MATCH(T36,INDEX(Clay_Brands!$A$2:$FZ$601,0,$D$5),0),$D$7)&amp;"","not in Clay"))</f>
        <v/>
      </c>
      <c r="V36" s="17">
        <f>IF(OR(T36="",AND(LEFT(T36,6)="SAMPLE",Config!$B$19&lt;&gt;"Y")),"",IF(U36="paid","","Clay status is "&amp;U36&amp;": set paid"))</f>
        <v/>
      </c>
    </row>
    <row r="37">
      <c r="B37" s="17" t="n">
        <v>16</v>
      </c>
      <c r="C37" s="17">
        <f>IFERROR(INDEX(Clay_Offices!$A$2:$FZ$601,B37,$C$5)&amp;"","")</f>
        <v/>
      </c>
      <c r="D37" s="17">
        <f>IFERROR(INDEX(Clay_Offices!$A$2:$FZ$601,B37,$C$7)&amp;"","")</f>
        <v/>
      </c>
      <c r="E37" s="17">
        <f>IFERROR(INDEX(Clay_Offices!$A$2:$FZ$601,B37,$C$8)&amp;"","")</f>
        <v/>
      </c>
      <c r="F37" s="17">
        <f>IF(C37="","",IF(COUNTIF(Office_Log!$A$2:$A$201,C37)&gt;0,"Y","N"))</f>
        <v/>
      </c>
      <c r="G37" s="17">
        <f>IF(OR(C37="",AND(LEFT(C37,6)="SAMPLE",Config!$B$19&lt;&gt;"Y")),"",IF(IFERROR(INDEX(Lists!$J$2:$J$15,MATCH(D37,Lists!$I$2:$I$15,0)),-1)=-1,"status '"&amp;D37&amp;"' is not a CONTRACTS status",IF(AND(D37="signed",COUNTIF(signed_offices!$W$2:$W$51,C37)=0),"status signed but no signed_offices row"&amp;IF(F37="N"," and no tracker row",""),IF(AND(IFERROR(INDEX(Lists!$J$2:$J$15,MATCH(D37,Lists!$I$2:$I$15,0)),-1)&gt;=6,F37="N"),"status "&amp;D37&amp;" but no tracker row",IF(AND(E37="Y",D37&lt;&gt;"do_not_contact"),"do_not_contact = Y but status is "&amp;D37,IF(AND(D37="do_not_contact",E37&lt;&gt;"Y"),"status do_not_contact but do_not_contact is not Y",""))))))</f>
        <v/>
      </c>
      <c r="I37" s="17" t="n">
        <v>16</v>
      </c>
      <c r="J37" s="17">
        <f>IFERROR(INDEX(Clay_Brands!$A$2:$FZ$601,I37,$D$5)&amp;"","")</f>
        <v/>
      </c>
      <c r="K37" s="17">
        <f>IFERROR(INDEX(Clay_Brands!$A$2:$FZ$601,I37,$D$7)&amp;"","")</f>
        <v/>
      </c>
      <c r="L37" s="17">
        <f>IFERROR(INDEX(Clay_Brands!$A$2:$FZ$601,I37,$D$8)&amp;"","")</f>
        <v/>
      </c>
      <c r="M37" s="17">
        <f>IF(J37="","",IF(COUNTIF(Brand_Log!$A$2:$A$201,J37)&gt;0,"Y","N"))</f>
        <v/>
      </c>
      <c r="N37" s="17">
        <f>IF(OR(J37="",AND(LEFT(J37,6)="SAMPLE",Config!$B$19&lt;&gt;"Y")),"",IF(IFERROR(INDEX(Lists!$J$2:$J$15,MATCH(K37,Lists!$I$2:$I$15,0)),-1)=-1,"status '"&amp;K37&amp;"' is not a CONTRACTS status",IF(AND(K37="paid",COUNTIF(paid_brands!$AC$2:$AC$51,J37)=0),"status paid but no paid_brands row"&amp;IF(M37="N"," and no tracker row",""),IF(AND(IFERROR(INDEX(Lists!$J$2:$J$15,MATCH(K37,Lists!$I$2:$I$15,0)),-1)&gt;=6,M37="N"),"status "&amp;K37&amp;" but no tracker row",IF(AND(L37="Y",K37&lt;&gt;"do_not_contact"),"do_not_contact = Y but status is "&amp;K37,IF(AND(K37="do_not_contact",L37&lt;&gt;"Y"),"status do_not_contact but do_not_contact is not Y",""))))))</f>
        <v/>
      </c>
      <c r="P37" s="17">
        <f>IF(signed_offices!W17="","",signed_offices!W17&amp;"")</f>
        <v/>
      </c>
      <c r="Q37" s="17">
        <f>IF(P37="","",IFERROR(INDEX(Clay_Offices!$A$2:$FZ$601,MATCH(P37,INDEX(Clay_Offices!$A$2:$FZ$601,0,$C$5),0),$C$7)&amp;"","not in Clay"))</f>
        <v/>
      </c>
      <c r="R37" s="17">
        <f>IF(OR(P37="",AND(LEFT(P37,6)="SAMPLE",Config!$B$19&lt;&gt;"Y")),"",IF(Q37="signed","","Clay status is "&amp;Q37&amp;": set signed"))</f>
        <v/>
      </c>
      <c r="T37" s="17">
        <f>IF(paid_brands!AC17="","",paid_brands!AC17&amp;"")</f>
        <v/>
      </c>
      <c r="U37" s="17">
        <f>IF(T37="","",IFERROR(INDEX(Clay_Brands!$A$2:$FZ$601,MATCH(T37,INDEX(Clay_Brands!$A$2:$FZ$601,0,$D$5),0),$D$7)&amp;"","not in Clay"))</f>
        <v/>
      </c>
      <c r="V37" s="17">
        <f>IF(OR(T37="",AND(LEFT(T37,6)="SAMPLE",Config!$B$19&lt;&gt;"Y")),"",IF(U37="paid","","Clay status is "&amp;U37&amp;": set paid"))</f>
        <v/>
      </c>
    </row>
    <row r="38">
      <c r="B38" s="17" t="n">
        <v>17</v>
      </c>
      <c r="C38" s="17">
        <f>IFERROR(INDEX(Clay_Offices!$A$2:$FZ$601,B38,$C$5)&amp;"","")</f>
        <v/>
      </c>
      <c r="D38" s="17">
        <f>IFERROR(INDEX(Clay_Offices!$A$2:$FZ$601,B38,$C$7)&amp;"","")</f>
        <v/>
      </c>
      <c r="E38" s="17">
        <f>IFERROR(INDEX(Clay_Offices!$A$2:$FZ$601,B38,$C$8)&amp;"","")</f>
        <v/>
      </c>
      <c r="F38" s="17">
        <f>IF(C38="","",IF(COUNTIF(Office_Log!$A$2:$A$201,C38)&gt;0,"Y","N"))</f>
        <v/>
      </c>
      <c r="G38" s="17">
        <f>IF(OR(C38="",AND(LEFT(C38,6)="SAMPLE",Config!$B$19&lt;&gt;"Y")),"",IF(IFERROR(INDEX(Lists!$J$2:$J$15,MATCH(D38,Lists!$I$2:$I$15,0)),-1)=-1,"status '"&amp;D38&amp;"' is not a CONTRACTS status",IF(AND(D38="signed",COUNTIF(signed_offices!$W$2:$W$51,C38)=0),"status signed but no signed_offices row"&amp;IF(F38="N"," and no tracker row",""),IF(AND(IFERROR(INDEX(Lists!$J$2:$J$15,MATCH(D38,Lists!$I$2:$I$15,0)),-1)&gt;=6,F38="N"),"status "&amp;D38&amp;" but no tracker row",IF(AND(E38="Y",D38&lt;&gt;"do_not_contact"),"do_not_contact = Y but status is "&amp;D38,IF(AND(D38="do_not_contact",E38&lt;&gt;"Y"),"status do_not_contact but do_not_contact is not Y",""))))))</f>
        <v/>
      </c>
      <c r="I38" s="17" t="n">
        <v>17</v>
      </c>
      <c r="J38" s="17">
        <f>IFERROR(INDEX(Clay_Brands!$A$2:$FZ$601,I38,$D$5)&amp;"","")</f>
        <v/>
      </c>
      <c r="K38" s="17">
        <f>IFERROR(INDEX(Clay_Brands!$A$2:$FZ$601,I38,$D$7)&amp;"","")</f>
        <v/>
      </c>
      <c r="L38" s="17">
        <f>IFERROR(INDEX(Clay_Brands!$A$2:$FZ$601,I38,$D$8)&amp;"","")</f>
        <v/>
      </c>
      <c r="M38" s="17">
        <f>IF(J38="","",IF(COUNTIF(Brand_Log!$A$2:$A$201,J38)&gt;0,"Y","N"))</f>
        <v/>
      </c>
      <c r="N38" s="17">
        <f>IF(OR(J38="",AND(LEFT(J38,6)="SAMPLE",Config!$B$19&lt;&gt;"Y")),"",IF(IFERROR(INDEX(Lists!$J$2:$J$15,MATCH(K38,Lists!$I$2:$I$15,0)),-1)=-1,"status '"&amp;K38&amp;"' is not a CONTRACTS status",IF(AND(K38="paid",COUNTIF(paid_brands!$AC$2:$AC$51,J38)=0),"status paid but no paid_brands row"&amp;IF(M38="N"," and no tracker row",""),IF(AND(IFERROR(INDEX(Lists!$J$2:$J$15,MATCH(K38,Lists!$I$2:$I$15,0)),-1)&gt;=6,M38="N"),"status "&amp;K38&amp;" but no tracker row",IF(AND(L38="Y",K38&lt;&gt;"do_not_contact"),"do_not_contact = Y but status is "&amp;K38,IF(AND(K38="do_not_contact",L38&lt;&gt;"Y"),"status do_not_contact but do_not_contact is not Y",""))))))</f>
        <v/>
      </c>
      <c r="P38" s="17">
        <f>IF(signed_offices!W18="","",signed_offices!W18&amp;"")</f>
        <v/>
      </c>
      <c r="Q38" s="17">
        <f>IF(P38="","",IFERROR(INDEX(Clay_Offices!$A$2:$FZ$601,MATCH(P38,INDEX(Clay_Offices!$A$2:$FZ$601,0,$C$5),0),$C$7)&amp;"","not in Clay"))</f>
        <v/>
      </c>
      <c r="R38" s="17">
        <f>IF(OR(P38="",AND(LEFT(P38,6)="SAMPLE",Config!$B$19&lt;&gt;"Y")),"",IF(Q38="signed","","Clay status is "&amp;Q38&amp;": set signed"))</f>
        <v/>
      </c>
      <c r="T38" s="17">
        <f>IF(paid_brands!AC18="","",paid_brands!AC18&amp;"")</f>
        <v/>
      </c>
      <c r="U38" s="17">
        <f>IF(T38="","",IFERROR(INDEX(Clay_Brands!$A$2:$FZ$601,MATCH(T38,INDEX(Clay_Brands!$A$2:$FZ$601,0,$D$5),0),$D$7)&amp;"","not in Clay"))</f>
        <v/>
      </c>
      <c r="V38" s="17">
        <f>IF(OR(T38="",AND(LEFT(T38,6)="SAMPLE",Config!$B$19&lt;&gt;"Y")),"",IF(U38="paid","","Clay status is "&amp;U38&amp;": set paid"))</f>
        <v/>
      </c>
    </row>
    <row r="39">
      <c r="B39" s="17" t="n">
        <v>18</v>
      </c>
      <c r="C39" s="17">
        <f>IFERROR(INDEX(Clay_Offices!$A$2:$FZ$601,B39,$C$5)&amp;"","")</f>
        <v/>
      </c>
      <c r="D39" s="17">
        <f>IFERROR(INDEX(Clay_Offices!$A$2:$FZ$601,B39,$C$7)&amp;"","")</f>
        <v/>
      </c>
      <c r="E39" s="17">
        <f>IFERROR(INDEX(Clay_Offices!$A$2:$FZ$601,B39,$C$8)&amp;"","")</f>
        <v/>
      </c>
      <c r="F39" s="17">
        <f>IF(C39="","",IF(COUNTIF(Office_Log!$A$2:$A$201,C39)&gt;0,"Y","N"))</f>
        <v/>
      </c>
      <c r="G39" s="17">
        <f>IF(OR(C39="",AND(LEFT(C39,6)="SAMPLE",Config!$B$19&lt;&gt;"Y")),"",IF(IFERROR(INDEX(Lists!$J$2:$J$15,MATCH(D39,Lists!$I$2:$I$15,0)),-1)=-1,"status '"&amp;D39&amp;"' is not a CONTRACTS status",IF(AND(D39="signed",COUNTIF(signed_offices!$W$2:$W$51,C39)=0),"status signed but no signed_offices row"&amp;IF(F39="N"," and no tracker row",""),IF(AND(IFERROR(INDEX(Lists!$J$2:$J$15,MATCH(D39,Lists!$I$2:$I$15,0)),-1)&gt;=6,F39="N"),"status "&amp;D39&amp;" but no tracker row",IF(AND(E39="Y",D39&lt;&gt;"do_not_contact"),"do_not_contact = Y but status is "&amp;D39,IF(AND(D39="do_not_contact",E39&lt;&gt;"Y"),"status do_not_contact but do_not_contact is not Y",""))))))</f>
        <v/>
      </c>
      <c r="I39" s="17" t="n">
        <v>18</v>
      </c>
      <c r="J39" s="17">
        <f>IFERROR(INDEX(Clay_Brands!$A$2:$FZ$601,I39,$D$5)&amp;"","")</f>
        <v/>
      </c>
      <c r="K39" s="17">
        <f>IFERROR(INDEX(Clay_Brands!$A$2:$FZ$601,I39,$D$7)&amp;"","")</f>
        <v/>
      </c>
      <c r="L39" s="17">
        <f>IFERROR(INDEX(Clay_Brands!$A$2:$FZ$601,I39,$D$8)&amp;"","")</f>
        <v/>
      </c>
      <c r="M39" s="17">
        <f>IF(J39="","",IF(COUNTIF(Brand_Log!$A$2:$A$201,J39)&gt;0,"Y","N"))</f>
        <v/>
      </c>
      <c r="N39" s="17">
        <f>IF(OR(J39="",AND(LEFT(J39,6)="SAMPLE",Config!$B$19&lt;&gt;"Y")),"",IF(IFERROR(INDEX(Lists!$J$2:$J$15,MATCH(K39,Lists!$I$2:$I$15,0)),-1)=-1,"status '"&amp;K39&amp;"' is not a CONTRACTS status",IF(AND(K39="paid",COUNTIF(paid_brands!$AC$2:$AC$51,J39)=0),"status paid but no paid_brands row"&amp;IF(M39="N"," and no tracker row",""),IF(AND(IFERROR(INDEX(Lists!$J$2:$J$15,MATCH(K39,Lists!$I$2:$I$15,0)),-1)&gt;=6,M39="N"),"status "&amp;K39&amp;" but no tracker row",IF(AND(L39="Y",K39&lt;&gt;"do_not_contact"),"do_not_contact = Y but status is "&amp;K39,IF(AND(K39="do_not_contact",L39&lt;&gt;"Y"),"status do_not_contact but do_not_contact is not Y",""))))))</f>
        <v/>
      </c>
      <c r="P39" s="17">
        <f>IF(signed_offices!W19="","",signed_offices!W19&amp;"")</f>
        <v/>
      </c>
      <c r="Q39" s="17">
        <f>IF(P39="","",IFERROR(INDEX(Clay_Offices!$A$2:$FZ$601,MATCH(P39,INDEX(Clay_Offices!$A$2:$FZ$601,0,$C$5),0),$C$7)&amp;"","not in Clay"))</f>
        <v/>
      </c>
      <c r="R39" s="17">
        <f>IF(OR(P39="",AND(LEFT(P39,6)="SAMPLE",Config!$B$19&lt;&gt;"Y")),"",IF(Q39="signed","","Clay status is "&amp;Q39&amp;": set signed"))</f>
        <v/>
      </c>
      <c r="T39" s="17">
        <f>IF(paid_brands!AC19="","",paid_brands!AC19&amp;"")</f>
        <v/>
      </c>
      <c r="U39" s="17">
        <f>IF(T39="","",IFERROR(INDEX(Clay_Brands!$A$2:$FZ$601,MATCH(T39,INDEX(Clay_Brands!$A$2:$FZ$601,0,$D$5),0),$D$7)&amp;"","not in Clay"))</f>
        <v/>
      </c>
      <c r="V39" s="17">
        <f>IF(OR(T39="",AND(LEFT(T39,6)="SAMPLE",Config!$B$19&lt;&gt;"Y")),"",IF(U39="paid","","Clay status is "&amp;U39&amp;": set paid"))</f>
        <v/>
      </c>
    </row>
    <row r="40">
      <c r="B40" s="17" t="n">
        <v>19</v>
      </c>
      <c r="C40" s="17">
        <f>IFERROR(INDEX(Clay_Offices!$A$2:$FZ$601,B40,$C$5)&amp;"","")</f>
        <v/>
      </c>
      <c r="D40" s="17">
        <f>IFERROR(INDEX(Clay_Offices!$A$2:$FZ$601,B40,$C$7)&amp;"","")</f>
        <v/>
      </c>
      <c r="E40" s="17">
        <f>IFERROR(INDEX(Clay_Offices!$A$2:$FZ$601,B40,$C$8)&amp;"","")</f>
        <v/>
      </c>
      <c r="F40" s="17">
        <f>IF(C40="","",IF(COUNTIF(Office_Log!$A$2:$A$201,C40)&gt;0,"Y","N"))</f>
        <v/>
      </c>
      <c r="G40" s="17">
        <f>IF(OR(C40="",AND(LEFT(C40,6)="SAMPLE",Config!$B$19&lt;&gt;"Y")),"",IF(IFERROR(INDEX(Lists!$J$2:$J$15,MATCH(D40,Lists!$I$2:$I$15,0)),-1)=-1,"status '"&amp;D40&amp;"' is not a CONTRACTS status",IF(AND(D40="signed",COUNTIF(signed_offices!$W$2:$W$51,C40)=0),"status signed but no signed_offices row"&amp;IF(F40="N"," and no tracker row",""),IF(AND(IFERROR(INDEX(Lists!$J$2:$J$15,MATCH(D40,Lists!$I$2:$I$15,0)),-1)&gt;=6,F40="N"),"status "&amp;D40&amp;" but no tracker row",IF(AND(E40="Y",D40&lt;&gt;"do_not_contact"),"do_not_contact = Y but status is "&amp;D40,IF(AND(D40="do_not_contact",E40&lt;&gt;"Y"),"status do_not_contact but do_not_contact is not Y",""))))))</f>
        <v/>
      </c>
      <c r="I40" s="17" t="n">
        <v>19</v>
      </c>
      <c r="J40" s="17">
        <f>IFERROR(INDEX(Clay_Brands!$A$2:$FZ$601,I40,$D$5)&amp;"","")</f>
        <v/>
      </c>
      <c r="K40" s="17">
        <f>IFERROR(INDEX(Clay_Brands!$A$2:$FZ$601,I40,$D$7)&amp;"","")</f>
        <v/>
      </c>
      <c r="L40" s="17">
        <f>IFERROR(INDEX(Clay_Brands!$A$2:$FZ$601,I40,$D$8)&amp;"","")</f>
        <v/>
      </c>
      <c r="M40" s="17">
        <f>IF(J40="","",IF(COUNTIF(Brand_Log!$A$2:$A$201,J40)&gt;0,"Y","N"))</f>
        <v/>
      </c>
      <c r="N40" s="17">
        <f>IF(OR(J40="",AND(LEFT(J40,6)="SAMPLE",Config!$B$19&lt;&gt;"Y")),"",IF(IFERROR(INDEX(Lists!$J$2:$J$15,MATCH(K40,Lists!$I$2:$I$15,0)),-1)=-1,"status '"&amp;K40&amp;"' is not a CONTRACTS status",IF(AND(K40="paid",COUNTIF(paid_brands!$AC$2:$AC$51,J40)=0),"status paid but no paid_brands row"&amp;IF(M40="N"," and no tracker row",""),IF(AND(IFERROR(INDEX(Lists!$J$2:$J$15,MATCH(K40,Lists!$I$2:$I$15,0)),-1)&gt;=6,M40="N"),"status "&amp;K40&amp;" but no tracker row",IF(AND(L40="Y",K40&lt;&gt;"do_not_contact"),"do_not_contact = Y but status is "&amp;K40,IF(AND(K40="do_not_contact",L40&lt;&gt;"Y"),"status do_not_contact but do_not_contact is not Y",""))))))</f>
        <v/>
      </c>
      <c r="P40" s="17">
        <f>IF(signed_offices!W20="","",signed_offices!W20&amp;"")</f>
        <v/>
      </c>
      <c r="Q40" s="17">
        <f>IF(P40="","",IFERROR(INDEX(Clay_Offices!$A$2:$FZ$601,MATCH(P40,INDEX(Clay_Offices!$A$2:$FZ$601,0,$C$5),0),$C$7)&amp;"","not in Clay"))</f>
        <v/>
      </c>
      <c r="R40" s="17">
        <f>IF(OR(P40="",AND(LEFT(P40,6)="SAMPLE",Config!$B$19&lt;&gt;"Y")),"",IF(Q40="signed","","Clay status is "&amp;Q40&amp;": set signed"))</f>
        <v/>
      </c>
      <c r="T40" s="17">
        <f>IF(paid_brands!AC20="","",paid_brands!AC20&amp;"")</f>
        <v/>
      </c>
      <c r="U40" s="17">
        <f>IF(T40="","",IFERROR(INDEX(Clay_Brands!$A$2:$FZ$601,MATCH(T40,INDEX(Clay_Brands!$A$2:$FZ$601,0,$D$5),0),$D$7)&amp;"","not in Clay"))</f>
        <v/>
      </c>
      <c r="V40" s="17">
        <f>IF(OR(T40="",AND(LEFT(T40,6)="SAMPLE",Config!$B$19&lt;&gt;"Y")),"",IF(U40="paid","","Clay status is "&amp;U40&amp;": set paid"))</f>
        <v/>
      </c>
    </row>
    <row r="41">
      <c r="B41" s="17" t="n">
        <v>20</v>
      </c>
      <c r="C41" s="17">
        <f>IFERROR(INDEX(Clay_Offices!$A$2:$FZ$601,B41,$C$5)&amp;"","")</f>
        <v/>
      </c>
      <c r="D41" s="17">
        <f>IFERROR(INDEX(Clay_Offices!$A$2:$FZ$601,B41,$C$7)&amp;"","")</f>
        <v/>
      </c>
      <c r="E41" s="17">
        <f>IFERROR(INDEX(Clay_Offices!$A$2:$FZ$601,B41,$C$8)&amp;"","")</f>
        <v/>
      </c>
      <c r="F41" s="17">
        <f>IF(C41="","",IF(COUNTIF(Office_Log!$A$2:$A$201,C41)&gt;0,"Y","N"))</f>
        <v/>
      </c>
      <c r="G41" s="17">
        <f>IF(OR(C41="",AND(LEFT(C41,6)="SAMPLE",Config!$B$19&lt;&gt;"Y")),"",IF(IFERROR(INDEX(Lists!$J$2:$J$15,MATCH(D41,Lists!$I$2:$I$15,0)),-1)=-1,"status '"&amp;D41&amp;"' is not a CONTRACTS status",IF(AND(D41="signed",COUNTIF(signed_offices!$W$2:$W$51,C41)=0),"status signed but no signed_offices row"&amp;IF(F41="N"," and no tracker row",""),IF(AND(IFERROR(INDEX(Lists!$J$2:$J$15,MATCH(D41,Lists!$I$2:$I$15,0)),-1)&gt;=6,F41="N"),"status "&amp;D41&amp;" but no tracker row",IF(AND(E41="Y",D41&lt;&gt;"do_not_contact"),"do_not_contact = Y but status is "&amp;D41,IF(AND(D41="do_not_contact",E41&lt;&gt;"Y"),"status do_not_contact but do_not_contact is not Y",""))))))</f>
        <v/>
      </c>
      <c r="I41" s="17" t="n">
        <v>20</v>
      </c>
      <c r="J41" s="17">
        <f>IFERROR(INDEX(Clay_Brands!$A$2:$FZ$601,I41,$D$5)&amp;"","")</f>
        <v/>
      </c>
      <c r="K41" s="17">
        <f>IFERROR(INDEX(Clay_Brands!$A$2:$FZ$601,I41,$D$7)&amp;"","")</f>
        <v/>
      </c>
      <c r="L41" s="17">
        <f>IFERROR(INDEX(Clay_Brands!$A$2:$FZ$601,I41,$D$8)&amp;"","")</f>
        <v/>
      </c>
      <c r="M41" s="17">
        <f>IF(J41="","",IF(COUNTIF(Brand_Log!$A$2:$A$201,J41)&gt;0,"Y","N"))</f>
        <v/>
      </c>
      <c r="N41" s="17">
        <f>IF(OR(J41="",AND(LEFT(J41,6)="SAMPLE",Config!$B$19&lt;&gt;"Y")),"",IF(IFERROR(INDEX(Lists!$J$2:$J$15,MATCH(K41,Lists!$I$2:$I$15,0)),-1)=-1,"status '"&amp;K41&amp;"' is not a CONTRACTS status",IF(AND(K41="paid",COUNTIF(paid_brands!$AC$2:$AC$51,J41)=0),"status paid but no paid_brands row"&amp;IF(M41="N"," and no tracker row",""),IF(AND(IFERROR(INDEX(Lists!$J$2:$J$15,MATCH(K41,Lists!$I$2:$I$15,0)),-1)&gt;=6,M41="N"),"status "&amp;K41&amp;" but no tracker row",IF(AND(L41="Y",K41&lt;&gt;"do_not_contact"),"do_not_contact = Y but status is "&amp;K41,IF(AND(K41="do_not_contact",L41&lt;&gt;"Y"),"status do_not_contact but do_not_contact is not Y",""))))))</f>
        <v/>
      </c>
      <c r="P41" s="17">
        <f>IF(signed_offices!W21="","",signed_offices!W21&amp;"")</f>
        <v/>
      </c>
      <c r="Q41" s="17">
        <f>IF(P41="","",IFERROR(INDEX(Clay_Offices!$A$2:$FZ$601,MATCH(P41,INDEX(Clay_Offices!$A$2:$FZ$601,0,$C$5),0),$C$7)&amp;"","not in Clay"))</f>
        <v/>
      </c>
      <c r="R41" s="17">
        <f>IF(OR(P41="",AND(LEFT(P41,6)="SAMPLE",Config!$B$19&lt;&gt;"Y")),"",IF(Q41="signed","","Clay status is "&amp;Q41&amp;": set signed"))</f>
        <v/>
      </c>
      <c r="T41" s="17">
        <f>IF(paid_brands!AC21="","",paid_brands!AC21&amp;"")</f>
        <v/>
      </c>
      <c r="U41" s="17">
        <f>IF(T41="","",IFERROR(INDEX(Clay_Brands!$A$2:$FZ$601,MATCH(T41,INDEX(Clay_Brands!$A$2:$FZ$601,0,$D$5),0),$D$7)&amp;"","not in Clay"))</f>
        <v/>
      </c>
      <c r="V41" s="17">
        <f>IF(OR(T41="",AND(LEFT(T41,6)="SAMPLE",Config!$B$19&lt;&gt;"Y")),"",IF(U41="paid","","Clay status is "&amp;U41&amp;": set paid"))</f>
        <v/>
      </c>
    </row>
    <row r="42">
      <c r="B42" s="17" t="n">
        <v>21</v>
      </c>
      <c r="C42" s="17">
        <f>IFERROR(INDEX(Clay_Offices!$A$2:$FZ$601,B42,$C$5)&amp;"","")</f>
        <v/>
      </c>
      <c r="D42" s="17">
        <f>IFERROR(INDEX(Clay_Offices!$A$2:$FZ$601,B42,$C$7)&amp;"","")</f>
        <v/>
      </c>
      <c r="E42" s="17">
        <f>IFERROR(INDEX(Clay_Offices!$A$2:$FZ$601,B42,$C$8)&amp;"","")</f>
        <v/>
      </c>
      <c r="F42" s="17">
        <f>IF(C42="","",IF(COUNTIF(Office_Log!$A$2:$A$201,C42)&gt;0,"Y","N"))</f>
        <v/>
      </c>
      <c r="G42" s="17">
        <f>IF(OR(C42="",AND(LEFT(C42,6)="SAMPLE",Config!$B$19&lt;&gt;"Y")),"",IF(IFERROR(INDEX(Lists!$J$2:$J$15,MATCH(D42,Lists!$I$2:$I$15,0)),-1)=-1,"status '"&amp;D42&amp;"' is not a CONTRACTS status",IF(AND(D42="signed",COUNTIF(signed_offices!$W$2:$W$51,C42)=0),"status signed but no signed_offices row"&amp;IF(F42="N"," and no tracker row",""),IF(AND(IFERROR(INDEX(Lists!$J$2:$J$15,MATCH(D42,Lists!$I$2:$I$15,0)),-1)&gt;=6,F42="N"),"status "&amp;D42&amp;" but no tracker row",IF(AND(E42="Y",D42&lt;&gt;"do_not_contact"),"do_not_contact = Y but status is "&amp;D42,IF(AND(D42="do_not_contact",E42&lt;&gt;"Y"),"status do_not_contact but do_not_contact is not Y",""))))))</f>
        <v/>
      </c>
      <c r="I42" s="17" t="n">
        <v>21</v>
      </c>
      <c r="J42" s="17">
        <f>IFERROR(INDEX(Clay_Brands!$A$2:$FZ$601,I42,$D$5)&amp;"","")</f>
        <v/>
      </c>
      <c r="K42" s="17">
        <f>IFERROR(INDEX(Clay_Brands!$A$2:$FZ$601,I42,$D$7)&amp;"","")</f>
        <v/>
      </c>
      <c r="L42" s="17">
        <f>IFERROR(INDEX(Clay_Brands!$A$2:$FZ$601,I42,$D$8)&amp;"","")</f>
        <v/>
      </c>
      <c r="M42" s="17">
        <f>IF(J42="","",IF(COUNTIF(Brand_Log!$A$2:$A$201,J42)&gt;0,"Y","N"))</f>
        <v/>
      </c>
      <c r="N42" s="17">
        <f>IF(OR(J42="",AND(LEFT(J42,6)="SAMPLE",Config!$B$19&lt;&gt;"Y")),"",IF(IFERROR(INDEX(Lists!$J$2:$J$15,MATCH(K42,Lists!$I$2:$I$15,0)),-1)=-1,"status '"&amp;K42&amp;"' is not a CONTRACTS status",IF(AND(K42="paid",COUNTIF(paid_brands!$AC$2:$AC$51,J42)=0),"status paid but no paid_brands row"&amp;IF(M42="N"," and no tracker row",""),IF(AND(IFERROR(INDEX(Lists!$J$2:$J$15,MATCH(K42,Lists!$I$2:$I$15,0)),-1)&gt;=6,M42="N"),"status "&amp;K42&amp;" but no tracker row",IF(AND(L42="Y",K42&lt;&gt;"do_not_contact"),"do_not_contact = Y but status is "&amp;K42,IF(AND(K42="do_not_contact",L42&lt;&gt;"Y"),"status do_not_contact but do_not_contact is not Y",""))))))</f>
        <v/>
      </c>
      <c r="P42" s="17">
        <f>IF(signed_offices!W22="","",signed_offices!W22&amp;"")</f>
        <v/>
      </c>
      <c r="Q42" s="17">
        <f>IF(P42="","",IFERROR(INDEX(Clay_Offices!$A$2:$FZ$601,MATCH(P42,INDEX(Clay_Offices!$A$2:$FZ$601,0,$C$5),0),$C$7)&amp;"","not in Clay"))</f>
        <v/>
      </c>
      <c r="R42" s="17">
        <f>IF(OR(P42="",AND(LEFT(P42,6)="SAMPLE",Config!$B$19&lt;&gt;"Y")),"",IF(Q42="signed","","Clay status is "&amp;Q42&amp;": set signed"))</f>
        <v/>
      </c>
      <c r="T42" s="17">
        <f>IF(paid_brands!AC22="","",paid_brands!AC22&amp;"")</f>
        <v/>
      </c>
      <c r="U42" s="17">
        <f>IF(T42="","",IFERROR(INDEX(Clay_Brands!$A$2:$FZ$601,MATCH(T42,INDEX(Clay_Brands!$A$2:$FZ$601,0,$D$5),0),$D$7)&amp;"","not in Clay"))</f>
        <v/>
      </c>
      <c r="V42" s="17">
        <f>IF(OR(T42="",AND(LEFT(T42,6)="SAMPLE",Config!$B$19&lt;&gt;"Y")),"",IF(U42="paid","","Clay status is "&amp;U42&amp;": set paid"))</f>
        <v/>
      </c>
    </row>
    <row r="43">
      <c r="B43" s="17" t="n">
        <v>22</v>
      </c>
      <c r="C43" s="17">
        <f>IFERROR(INDEX(Clay_Offices!$A$2:$FZ$601,B43,$C$5)&amp;"","")</f>
        <v/>
      </c>
      <c r="D43" s="17">
        <f>IFERROR(INDEX(Clay_Offices!$A$2:$FZ$601,B43,$C$7)&amp;"","")</f>
        <v/>
      </c>
      <c r="E43" s="17">
        <f>IFERROR(INDEX(Clay_Offices!$A$2:$FZ$601,B43,$C$8)&amp;"","")</f>
        <v/>
      </c>
      <c r="F43" s="17">
        <f>IF(C43="","",IF(COUNTIF(Office_Log!$A$2:$A$201,C43)&gt;0,"Y","N"))</f>
        <v/>
      </c>
      <c r="G43" s="17">
        <f>IF(OR(C43="",AND(LEFT(C43,6)="SAMPLE",Config!$B$19&lt;&gt;"Y")),"",IF(IFERROR(INDEX(Lists!$J$2:$J$15,MATCH(D43,Lists!$I$2:$I$15,0)),-1)=-1,"status '"&amp;D43&amp;"' is not a CONTRACTS status",IF(AND(D43="signed",COUNTIF(signed_offices!$W$2:$W$51,C43)=0),"status signed but no signed_offices row"&amp;IF(F43="N"," and no tracker row",""),IF(AND(IFERROR(INDEX(Lists!$J$2:$J$15,MATCH(D43,Lists!$I$2:$I$15,0)),-1)&gt;=6,F43="N"),"status "&amp;D43&amp;" but no tracker row",IF(AND(E43="Y",D43&lt;&gt;"do_not_contact"),"do_not_contact = Y but status is "&amp;D43,IF(AND(D43="do_not_contact",E43&lt;&gt;"Y"),"status do_not_contact but do_not_contact is not Y",""))))))</f>
        <v/>
      </c>
      <c r="I43" s="17" t="n">
        <v>22</v>
      </c>
      <c r="J43" s="17">
        <f>IFERROR(INDEX(Clay_Brands!$A$2:$FZ$601,I43,$D$5)&amp;"","")</f>
        <v/>
      </c>
      <c r="K43" s="17">
        <f>IFERROR(INDEX(Clay_Brands!$A$2:$FZ$601,I43,$D$7)&amp;"","")</f>
        <v/>
      </c>
      <c r="L43" s="17">
        <f>IFERROR(INDEX(Clay_Brands!$A$2:$FZ$601,I43,$D$8)&amp;"","")</f>
        <v/>
      </c>
      <c r="M43" s="17">
        <f>IF(J43="","",IF(COUNTIF(Brand_Log!$A$2:$A$201,J43)&gt;0,"Y","N"))</f>
        <v/>
      </c>
      <c r="N43" s="17">
        <f>IF(OR(J43="",AND(LEFT(J43,6)="SAMPLE",Config!$B$19&lt;&gt;"Y")),"",IF(IFERROR(INDEX(Lists!$J$2:$J$15,MATCH(K43,Lists!$I$2:$I$15,0)),-1)=-1,"status '"&amp;K43&amp;"' is not a CONTRACTS status",IF(AND(K43="paid",COUNTIF(paid_brands!$AC$2:$AC$51,J43)=0),"status paid but no paid_brands row"&amp;IF(M43="N"," and no tracker row",""),IF(AND(IFERROR(INDEX(Lists!$J$2:$J$15,MATCH(K43,Lists!$I$2:$I$15,0)),-1)&gt;=6,M43="N"),"status "&amp;K43&amp;" but no tracker row",IF(AND(L43="Y",K43&lt;&gt;"do_not_contact"),"do_not_contact = Y but status is "&amp;K43,IF(AND(K43="do_not_contact",L43&lt;&gt;"Y"),"status do_not_contact but do_not_contact is not Y",""))))))</f>
        <v/>
      </c>
      <c r="P43" s="17">
        <f>IF(signed_offices!W23="","",signed_offices!W23&amp;"")</f>
        <v/>
      </c>
      <c r="Q43" s="17">
        <f>IF(P43="","",IFERROR(INDEX(Clay_Offices!$A$2:$FZ$601,MATCH(P43,INDEX(Clay_Offices!$A$2:$FZ$601,0,$C$5),0),$C$7)&amp;"","not in Clay"))</f>
        <v/>
      </c>
      <c r="R43" s="17">
        <f>IF(OR(P43="",AND(LEFT(P43,6)="SAMPLE",Config!$B$19&lt;&gt;"Y")),"",IF(Q43="signed","","Clay status is "&amp;Q43&amp;": set signed"))</f>
        <v/>
      </c>
      <c r="T43" s="17">
        <f>IF(paid_brands!AC23="","",paid_brands!AC23&amp;"")</f>
        <v/>
      </c>
      <c r="U43" s="17">
        <f>IF(T43="","",IFERROR(INDEX(Clay_Brands!$A$2:$FZ$601,MATCH(T43,INDEX(Clay_Brands!$A$2:$FZ$601,0,$D$5),0),$D$7)&amp;"","not in Clay"))</f>
        <v/>
      </c>
      <c r="V43" s="17">
        <f>IF(OR(T43="",AND(LEFT(T43,6)="SAMPLE",Config!$B$19&lt;&gt;"Y")),"",IF(U43="paid","","Clay status is "&amp;U43&amp;": set paid"))</f>
        <v/>
      </c>
    </row>
    <row r="44">
      <c r="B44" s="17" t="n">
        <v>23</v>
      </c>
      <c r="C44" s="17">
        <f>IFERROR(INDEX(Clay_Offices!$A$2:$FZ$601,B44,$C$5)&amp;"","")</f>
        <v/>
      </c>
      <c r="D44" s="17">
        <f>IFERROR(INDEX(Clay_Offices!$A$2:$FZ$601,B44,$C$7)&amp;"","")</f>
        <v/>
      </c>
      <c r="E44" s="17">
        <f>IFERROR(INDEX(Clay_Offices!$A$2:$FZ$601,B44,$C$8)&amp;"","")</f>
        <v/>
      </c>
      <c r="F44" s="17">
        <f>IF(C44="","",IF(COUNTIF(Office_Log!$A$2:$A$201,C44)&gt;0,"Y","N"))</f>
        <v/>
      </c>
      <c r="G44" s="17">
        <f>IF(OR(C44="",AND(LEFT(C44,6)="SAMPLE",Config!$B$19&lt;&gt;"Y")),"",IF(IFERROR(INDEX(Lists!$J$2:$J$15,MATCH(D44,Lists!$I$2:$I$15,0)),-1)=-1,"status '"&amp;D44&amp;"' is not a CONTRACTS status",IF(AND(D44="signed",COUNTIF(signed_offices!$W$2:$W$51,C44)=0),"status signed but no signed_offices row"&amp;IF(F44="N"," and no tracker row",""),IF(AND(IFERROR(INDEX(Lists!$J$2:$J$15,MATCH(D44,Lists!$I$2:$I$15,0)),-1)&gt;=6,F44="N"),"status "&amp;D44&amp;" but no tracker row",IF(AND(E44="Y",D44&lt;&gt;"do_not_contact"),"do_not_contact = Y but status is "&amp;D44,IF(AND(D44="do_not_contact",E44&lt;&gt;"Y"),"status do_not_contact but do_not_contact is not Y",""))))))</f>
        <v/>
      </c>
      <c r="I44" s="17" t="n">
        <v>23</v>
      </c>
      <c r="J44" s="17">
        <f>IFERROR(INDEX(Clay_Brands!$A$2:$FZ$601,I44,$D$5)&amp;"","")</f>
        <v/>
      </c>
      <c r="K44" s="17">
        <f>IFERROR(INDEX(Clay_Brands!$A$2:$FZ$601,I44,$D$7)&amp;"","")</f>
        <v/>
      </c>
      <c r="L44" s="17">
        <f>IFERROR(INDEX(Clay_Brands!$A$2:$FZ$601,I44,$D$8)&amp;"","")</f>
        <v/>
      </c>
      <c r="M44" s="17">
        <f>IF(J44="","",IF(COUNTIF(Brand_Log!$A$2:$A$201,J44)&gt;0,"Y","N"))</f>
        <v/>
      </c>
      <c r="N44" s="17">
        <f>IF(OR(J44="",AND(LEFT(J44,6)="SAMPLE",Config!$B$19&lt;&gt;"Y")),"",IF(IFERROR(INDEX(Lists!$J$2:$J$15,MATCH(K44,Lists!$I$2:$I$15,0)),-1)=-1,"status '"&amp;K44&amp;"' is not a CONTRACTS status",IF(AND(K44="paid",COUNTIF(paid_brands!$AC$2:$AC$51,J44)=0),"status paid but no paid_brands row"&amp;IF(M44="N"," and no tracker row",""),IF(AND(IFERROR(INDEX(Lists!$J$2:$J$15,MATCH(K44,Lists!$I$2:$I$15,0)),-1)&gt;=6,M44="N"),"status "&amp;K44&amp;" but no tracker row",IF(AND(L44="Y",K44&lt;&gt;"do_not_contact"),"do_not_contact = Y but status is "&amp;K44,IF(AND(K44="do_not_contact",L44&lt;&gt;"Y"),"status do_not_contact but do_not_contact is not Y",""))))))</f>
        <v/>
      </c>
      <c r="P44" s="17">
        <f>IF(signed_offices!W24="","",signed_offices!W24&amp;"")</f>
        <v/>
      </c>
      <c r="Q44" s="17">
        <f>IF(P44="","",IFERROR(INDEX(Clay_Offices!$A$2:$FZ$601,MATCH(P44,INDEX(Clay_Offices!$A$2:$FZ$601,0,$C$5),0),$C$7)&amp;"","not in Clay"))</f>
        <v/>
      </c>
      <c r="R44" s="17">
        <f>IF(OR(P44="",AND(LEFT(P44,6)="SAMPLE",Config!$B$19&lt;&gt;"Y")),"",IF(Q44="signed","","Clay status is "&amp;Q44&amp;": set signed"))</f>
        <v/>
      </c>
      <c r="T44" s="17">
        <f>IF(paid_brands!AC24="","",paid_brands!AC24&amp;"")</f>
        <v/>
      </c>
      <c r="U44" s="17">
        <f>IF(T44="","",IFERROR(INDEX(Clay_Brands!$A$2:$FZ$601,MATCH(T44,INDEX(Clay_Brands!$A$2:$FZ$601,0,$D$5),0),$D$7)&amp;"","not in Clay"))</f>
        <v/>
      </c>
      <c r="V44" s="17">
        <f>IF(OR(T44="",AND(LEFT(T44,6)="SAMPLE",Config!$B$19&lt;&gt;"Y")),"",IF(U44="paid","","Clay status is "&amp;U44&amp;": set paid"))</f>
        <v/>
      </c>
    </row>
    <row r="45">
      <c r="B45" s="17" t="n">
        <v>24</v>
      </c>
      <c r="C45" s="17">
        <f>IFERROR(INDEX(Clay_Offices!$A$2:$FZ$601,B45,$C$5)&amp;"","")</f>
        <v/>
      </c>
      <c r="D45" s="17">
        <f>IFERROR(INDEX(Clay_Offices!$A$2:$FZ$601,B45,$C$7)&amp;"","")</f>
        <v/>
      </c>
      <c r="E45" s="17">
        <f>IFERROR(INDEX(Clay_Offices!$A$2:$FZ$601,B45,$C$8)&amp;"","")</f>
        <v/>
      </c>
      <c r="F45" s="17">
        <f>IF(C45="","",IF(COUNTIF(Office_Log!$A$2:$A$201,C45)&gt;0,"Y","N"))</f>
        <v/>
      </c>
      <c r="G45" s="17">
        <f>IF(OR(C45="",AND(LEFT(C45,6)="SAMPLE",Config!$B$19&lt;&gt;"Y")),"",IF(IFERROR(INDEX(Lists!$J$2:$J$15,MATCH(D45,Lists!$I$2:$I$15,0)),-1)=-1,"status '"&amp;D45&amp;"' is not a CONTRACTS status",IF(AND(D45="signed",COUNTIF(signed_offices!$W$2:$W$51,C45)=0),"status signed but no signed_offices row"&amp;IF(F45="N"," and no tracker row",""),IF(AND(IFERROR(INDEX(Lists!$J$2:$J$15,MATCH(D45,Lists!$I$2:$I$15,0)),-1)&gt;=6,F45="N"),"status "&amp;D45&amp;" but no tracker row",IF(AND(E45="Y",D45&lt;&gt;"do_not_contact"),"do_not_contact = Y but status is "&amp;D45,IF(AND(D45="do_not_contact",E45&lt;&gt;"Y"),"status do_not_contact but do_not_contact is not Y",""))))))</f>
        <v/>
      </c>
      <c r="I45" s="17" t="n">
        <v>24</v>
      </c>
      <c r="J45" s="17">
        <f>IFERROR(INDEX(Clay_Brands!$A$2:$FZ$601,I45,$D$5)&amp;"","")</f>
        <v/>
      </c>
      <c r="K45" s="17">
        <f>IFERROR(INDEX(Clay_Brands!$A$2:$FZ$601,I45,$D$7)&amp;"","")</f>
        <v/>
      </c>
      <c r="L45" s="17">
        <f>IFERROR(INDEX(Clay_Brands!$A$2:$FZ$601,I45,$D$8)&amp;"","")</f>
        <v/>
      </c>
      <c r="M45" s="17">
        <f>IF(J45="","",IF(COUNTIF(Brand_Log!$A$2:$A$201,J45)&gt;0,"Y","N"))</f>
        <v/>
      </c>
      <c r="N45" s="17">
        <f>IF(OR(J45="",AND(LEFT(J45,6)="SAMPLE",Config!$B$19&lt;&gt;"Y")),"",IF(IFERROR(INDEX(Lists!$J$2:$J$15,MATCH(K45,Lists!$I$2:$I$15,0)),-1)=-1,"status '"&amp;K45&amp;"' is not a CONTRACTS status",IF(AND(K45="paid",COUNTIF(paid_brands!$AC$2:$AC$51,J45)=0),"status paid but no paid_brands row"&amp;IF(M45="N"," and no tracker row",""),IF(AND(IFERROR(INDEX(Lists!$J$2:$J$15,MATCH(K45,Lists!$I$2:$I$15,0)),-1)&gt;=6,M45="N"),"status "&amp;K45&amp;" but no tracker row",IF(AND(L45="Y",K45&lt;&gt;"do_not_contact"),"do_not_contact = Y but status is "&amp;K45,IF(AND(K45="do_not_contact",L45&lt;&gt;"Y"),"status do_not_contact but do_not_contact is not Y",""))))))</f>
        <v/>
      </c>
      <c r="P45" s="17">
        <f>IF(signed_offices!W25="","",signed_offices!W25&amp;"")</f>
        <v/>
      </c>
      <c r="Q45" s="17">
        <f>IF(P45="","",IFERROR(INDEX(Clay_Offices!$A$2:$FZ$601,MATCH(P45,INDEX(Clay_Offices!$A$2:$FZ$601,0,$C$5),0),$C$7)&amp;"","not in Clay"))</f>
        <v/>
      </c>
      <c r="R45" s="17">
        <f>IF(OR(P45="",AND(LEFT(P45,6)="SAMPLE",Config!$B$19&lt;&gt;"Y")),"",IF(Q45="signed","","Clay status is "&amp;Q45&amp;": set signed"))</f>
        <v/>
      </c>
      <c r="T45" s="17">
        <f>IF(paid_brands!AC25="","",paid_brands!AC25&amp;"")</f>
        <v/>
      </c>
      <c r="U45" s="17">
        <f>IF(T45="","",IFERROR(INDEX(Clay_Brands!$A$2:$FZ$601,MATCH(T45,INDEX(Clay_Brands!$A$2:$FZ$601,0,$D$5),0),$D$7)&amp;"","not in Clay"))</f>
        <v/>
      </c>
      <c r="V45" s="17">
        <f>IF(OR(T45="",AND(LEFT(T45,6)="SAMPLE",Config!$B$19&lt;&gt;"Y")),"",IF(U45="paid","","Clay status is "&amp;U45&amp;": set paid"))</f>
        <v/>
      </c>
    </row>
    <row r="46">
      <c r="B46" s="17" t="n">
        <v>25</v>
      </c>
      <c r="C46" s="17">
        <f>IFERROR(INDEX(Clay_Offices!$A$2:$FZ$601,B46,$C$5)&amp;"","")</f>
        <v/>
      </c>
      <c r="D46" s="17">
        <f>IFERROR(INDEX(Clay_Offices!$A$2:$FZ$601,B46,$C$7)&amp;"","")</f>
        <v/>
      </c>
      <c r="E46" s="17">
        <f>IFERROR(INDEX(Clay_Offices!$A$2:$FZ$601,B46,$C$8)&amp;"","")</f>
        <v/>
      </c>
      <c r="F46" s="17">
        <f>IF(C46="","",IF(COUNTIF(Office_Log!$A$2:$A$201,C46)&gt;0,"Y","N"))</f>
        <v/>
      </c>
      <c r="G46" s="17">
        <f>IF(OR(C46="",AND(LEFT(C46,6)="SAMPLE",Config!$B$19&lt;&gt;"Y")),"",IF(IFERROR(INDEX(Lists!$J$2:$J$15,MATCH(D46,Lists!$I$2:$I$15,0)),-1)=-1,"status '"&amp;D46&amp;"' is not a CONTRACTS status",IF(AND(D46="signed",COUNTIF(signed_offices!$W$2:$W$51,C46)=0),"status signed but no signed_offices row"&amp;IF(F46="N"," and no tracker row",""),IF(AND(IFERROR(INDEX(Lists!$J$2:$J$15,MATCH(D46,Lists!$I$2:$I$15,0)),-1)&gt;=6,F46="N"),"status "&amp;D46&amp;" but no tracker row",IF(AND(E46="Y",D46&lt;&gt;"do_not_contact"),"do_not_contact = Y but status is "&amp;D46,IF(AND(D46="do_not_contact",E46&lt;&gt;"Y"),"status do_not_contact but do_not_contact is not Y",""))))))</f>
        <v/>
      </c>
      <c r="I46" s="17" t="n">
        <v>25</v>
      </c>
      <c r="J46" s="17">
        <f>IFERROR(INDEX(Clay_Brands!$A$2:$FZ$601,I46,$D$5)&amp;"","")</f>
        <v/>
      </c>
      <c r="K46" s="17">
        <f>IFERROR(INDEX(Clay_Brands!$A$2:$FZ$601,I46,$D$7)&amp;"","")</f>
        <v/>
      </c>
      <c r="L46" s="17">
        <f>IFERROR(INDEX(Clay_Brands!$A$2:$FZ$601,I46,$D$8)&amp;"","")</f>
        <v/>
      </c>
      <c r="M46" s="17">
        <f>IF(J46="","",IF(COUNTIF(Brand_Log!$A$2:$A$201,J46)&gt;0,"Y","N"))</f>
        <v/>
      </c>
      <c r="N46" s="17">
        <f>IF(OR(J46="",AND(LEFT(J46,6)="SAMPLE",Config!$B$19&lt;&gt;"Y")),"",IF(IFERROR(INDEX(Lists!$J$2:$J$15,MATCH(K46,Lists!$I$2:$I$15,0)),-1)=-1,"status '"&amp;K46&amp;"' is not a CONTRACTS status",IF(AND(K46="paid",COUNTIF(paid_brands!$AC$2:$AC$51,J46)=0),"status paid but no paid_brands row"&amp;IF(M46="N"," and no tracker row",""),IF(AND(IFERROR(INDEX(Lists!$J$2:$J$15,MATCH(K46,Lists!$I$2:$I$15,0)),-1)&gt;=6,M46="N"),"status "&amp;K46&amp;" but no tracker row",IF(AND(L46="Y",K46&lt;&gt;"do_not_contact"),"do_not_contact = Y but status is "&amp;K46,IF(AND(K46="do_not_contact",L46&lt;&gt;"Y"),"status do_not_contact but do_not_contact is not Y",""))))))</f>
        <v/>
      </c>
      <c r="P46" s="17">
        <f>IF(signed_offices!W26="","",signed_offices!W26&amp;"")</f>
        <v/>
      </c>
      <c r="Q46" s="17">
        <f>IF(P46="","",IFERROR(INDEX(Clay_Offices!$A$2:$FZ$601,MATCH(P46,INDEX(Clay_Offices!$A$2:$FZ$601,0,$C$5),0),$C$7)&amp;"","not in Clay"))</f>
        <v/>
      </c>
      <c r="R46" s="17">
        <f>IF(OR(P46="",AND(LEFT(P46,6)="SAMPLE",Config!$B$19&lt;&gt;"Y")),"",IF(Q46="signed","","Clay status is "&amp;Q46&amp;": set signed"))</f>
        <v/>
      </c>
      <c r="T46" s="17">
        <f>IF(paid_brands!AC26="","",paid_brands!AC26&amp;"")</f>
        <v/>
      </c>
      <c r="U46" s="17">
        <f>IF(T46="","",IFERROR(INDEX(Clay_Brands!$A$2:$FZ$601,MATCH(T46,INDEX(Clay_Brands!$A$2:$FZ$601,0,$D$5),0),$D$7)&amp;"","not in Clay"))</f>
        <v/>
      </c>
      <c r="V46" s="17">
        <f>IF(OR(T46="",AND(LEFT(T46,6)="SAMPLE",Config!$B$19&lt;&gt;"Y")),"",IF(U46="paid","","Clay status is "&amp;U46&amp;": set paid"))</f>
        <v/>
      </c>
    </row>
    <row r="47">
      <c r="B47" s="17" t="n">
        <v>26</v>
      </c>
      <c r="C47" s="17">
        <f>IFERROR(INDEX(Clay_Offices!$A$2:$FZ$601,B47,$C$5)&amp;"","")</f>
        <v/>
      </c>
      <c r="D47" s="17">
        <f>IFERROR(INDEX(Clay_Offices!$A$2:$FZ$601,B47,$C$7)&amp;"","")</f>
        <v/>
      </c>
      <c r="E47" s="17">
        <f>IFERROR(INDEX(Clay_Offices!$A$2:$FZ$601,B47,$C$8)&amp;"","")</f>
        <v/>
      </c>
      <c r="F47" s="17">
        <f>IF(C47="","",IF(COUNTIF(Office_Log!$A$2:$A$201,C47)&gt;0,"Y","N"))</f>
        <v/>
      </c>
      <c r="G47" s="17">
        <f>IF(OR(C47="",AND(LEFT(C47,6)="SAMPLE",Config!$B$19&lt;&gt;"Y")),"",IF(IFERROR(INDEX(Lists!$J$2:$J$15,MATCH(D47,Lists!$I$2:$I$15,0)),-1)=-1,"status '"&amp;D47&amp;"' is not a CONTRACTS status",IF(AND(D47="signed",COUNTIF(signed_offices!$W$2:$W$51,C47)=0),"status signed but no signed_offices row"&amp;IF(F47="N"," and no tracker row",""),IF(AND(IFERROR(INDEX(Lists!$J$2:$J$15,MATCH(D47,Lists!$I$2:$I$15,0)),-1)&gt;=6,F47="N"),"status "&amp;D47&amp;" but no tracker row",IF(AND(E47="Y",D47&lt;&gt;"do_not_contact"),"do_not_contact = Y but status is "&amp;D47,IF(AND(D47="do_not_contact",E47&lt;&gt;"Y"),"status do_not_contact but do_not_contact is not Y",""))))))</f>
        <v/>
      </c>
      <c r="I47" s="17" t="n">
        <v>26</v>
      </c>
      <c r="J47" s="17">
        <f>IFERROR(INDEX(Clay_Brands!$A$2:$FZ$601,I47,$D$5)&amp;"","")</f>
        <v/>
      </c>
      <c r="K47" s="17">
        <f>IFERROR(INDEX(Clay_Brands!$A$2:$FZ$601,I47,$D$7)&amp;"","")</f>
        <v/>
      </c>
      <c r="L47" s="17">
        <f>IFERROR(INDEX(Clay_Brands!$A$2:$FZ$601,I47,$D$8)&amp;"","")</f>
        <v/>
      </c>
      <c r="M47" s="17">
        <f>IF(J47="","",IF(COUNTIF(Brand_Log!$A$2:$A$201,J47)&gt;0,"Y","N"))</f>
        <v/>
      </c>
      <c r="N47" s="17">
        <f>IF(OR(J47="",AND(LEFT(J47,6)="SAMPLE",Config!$B$19&lt;&gt;"Y")),"",IF(IFERROR(INDEX(Lists!$J$2:$J$15,MATCH(K47,Lists!$I$2:$I$15,0)),-1)=-1,"status '"&amp;K47&amp;"' is not a CONTRACTS status",IF(AND(K47="paid",COUNTIF(paid_brands!$AC$2:$AC$51,J47)=0),"status paid but no paid_brands row"&amp;IF(M47="N"," and no tracker row",""),IF(AND(IFERROR(INDEX(Lists!$J$2:$J$15,MATCH(K47,Lists!$I$2:$I$15,0)),-1)&gt;=6,M47="N"),"status "&amp;K47&amp;" but no tracker row",IF(AND(L47="Y",K47&lt;&gt;"do_not_contact"),"do_not_contact = Y but status is "&amp;K47,IF(AND(K47="do_not_contact",L47&lt;&gt;"Y"),"status do_not_contact but do_not_contact is not Y",""))))))</f>
        <v/>
      </c>
      <c r="P47" s="17">
        <f>IF(signed_offices!W27="","",signed_offices!W27&amp;"")</f>
        <v/>
      </c>
      <c r="Q47" s="17">
        <f>IF(P47="","",IFERROR(INDEX(Clay_Offices!$A$2:$FZ$601,MATCH(P47,INDEX(Clay_Offices!$A$2:$FZ$601,0,$C$5),0),$C$7)&amp;"","not in Clay"))</f>
        <v/>
      </c>
      <c r="R47" s="17">
        <f>IF(OR(P47="",AND(LEFT(P47,6)="SAMPLE",Config!$B$19&lt;&gt;"Y")),"",IF(Q47="signed","","Clay status is "&amp;Q47&amp;": set signed"))</f>
        <v/>
      </c>
      <c r="T47" s="17">
        <f>IF(paid_brands!AC27="","",paid_brands!AC27&amp;"")</f>
        <v/>
      </c>
      <c r="U47" s="17">
        <f>IF(T47="","",IFERROR(INDEX(Clay_Brands!$A$2:$FZ$601,MATCH(T47,INDEX(Clay_Brands!$A$2:$FZ$601,0,$D$5),0),$D$7)&amp;"","not in Clay"))</f>
        <v/>
      </c>
      <c r="V47" s="17">
        <f>IF(OR(T47="",AND(LEFT(T47,6)="SAMPLE",Config!$B$19&lt;&gt;"Y")),"",IF(U47="paid","","Clay status is "&amp;U47&amp;": set paid"))</f>
        <v/>
      </c>
    </row>
    <row r="48">
      <c r="B48" s="17" t="n">
        <v>27</v>
      </c>
      <c r="C48" s="17">
        <f>IFERROR(INDEX(Clay_Offices!$A$2:$FZ$601,B48,$C$5)&amp;"","")</f>
        <v/>
      </c>
      <c r="D48" s="17">
        <f>IFERROR(INDEX(Clay_Offices!$A$2:$FZ$601,B48,$C$7)&amp;"","")</f>
        <v/>
      </c>
      <c r="E48" s="17">
        <f>IFERROR(INDEX(Clay_Offices!$A$2:$FZ$601,B48,$C$8)&amp;"","")</f>
        <v/>
      </c>
      <c r="F48" s="17">
        <f>IF(C48="","",IF(COUNTIF(Office_Log!$A$2:$A$201,C48)&gt;0,"Y","N"))</f>
        <v/>
      </c>
      <c r="G48" s="17">
        <f>IF(OR(C48="",AND(LEFT(C48,6)="SAMPLE",Config!$B$19&lt;&gt;"Y")),"",IF(IFERROR(INDEX(Lists!$J$2:$J$15,MATCH(D48,Lists!$I$2:$I$15,0)),-1)=-1,"status '"&amp;D48&amp;"' is not a CONTRACTS status",IF(AND(D48="signed",COUNTIF(signed_offices!$W$2:$W$51,C48)=0),"status signed but no signed_offices row"&amp;IF(F48="N"," and no tracker row",""),IF(AND(IFERROR(INDEX(Lists!$J$2:$J$15,MATCH(D48,Lists!$I$2:$I$15,0)),-1)&gt;=6,F48="N"),"status "&amp;D48&amp;" but no tracker row",IF(AND(E48="Y",D48&lt;&gt;"do_not_contact"),"do_not_contact = Y but status is "&amp;D48,IF(AND(D48="do_not_contact",E48&lt;&gt;"Y"),"status do_not_contact but do_not_contact is not Y",""))))))</f>
        <v/>
      </c>
      <c r="I48" s="17" t="n">
        <v>27</v>
      </c>
      <c r="J48" s="17">
        <f>IFERROR(INDEX(Clay_Brands!$A$2:$FZ$601,I48,$D$5)&amp;"","")</f>
        <v/>
      </c>
      <c r="K48" s="17">
        <f>IFERROR(INDEX(Clay_Brands!$A$2:$FZ$601,I48,$D$7)&amp;"","")</f>
        <v/>
      </c>
      <c r="L48" s="17">
        <f>IFERROR(INDEX(Clay_Brands!$A$2:$FZ$601,I48,$D$8)&amp;"","")</f>
        <v/>
      </c>
      <c r="M48" s="17">
        <f>IF(J48="","",IF(COUNTIF(Brand_Log!$A$2:$A$201,J48)&gt;0,"Y","N"))</f>
        <v/>
      </c>
      <c r="N48" s="17">
        <f>IF(OR(J48="",AND(LEFT(J48,6)="SAMPLE",Config!$B$19&lt;&gt;"Y")),"",IF(IFERROR(INDEX(Lists!$J$2:$J$15,MATCH(K48,Lists!$I$2:$I$15,0)),-1)=-1,"status '"&amp;K48&amp;"' is not a CONTRACTS status",IF(AND(K48="paid",COUNTIF(paid_brands!$AC$2:$AC$51,J48)=0),"status paid but no paid_brands row"&amp;IF(M48="N"," and no tracker row",""),IF(AND(IFERROR(INDEX(Lists!$J$2:$J$15,MATCH(K48,Lists!$I$2:$I$15,0)),-1)&gt;=6,M48="N"),"status "&amp;K48&amp;" but no tracker row",IF(AND(L48="Y",K48&lt;&gt;"do_not_contact"),"do_not_contact = Y but status is "&amp;K48,IF(AND(K48="do_not_contact",L48&lt;&gt;"Y"),"status do_not_contact but do_not_contact is not Y",""))))))</f>
        <v/>
      </c>
      <c r="P48" s="17">
        <f>IF(signed_offices!W28="","",signed_offices!W28&amp;"")</f>
        <v/>
      </c>
      <c r="Q48" s="17">
        <f>IF(P48="","",IFERROR(INDEX(Clay_Offices!$A$2:$FZ$601,MATCH(P48,INDEX(Clay_Offices!$A$2:$FZ$601,0,$C$5),0),$C$7)&amp;"","not in Clay"))</f>
        <v/>
      </c>
      <c r="R48" s="17">
        <f>IF(OR(P48="",AND(LEFT(P48,6)="SAMPLE",Config!$B$19&lt;&gt;"Y")),"",IF(Q48="signed","","Clay status is "&amp;Q48&amp;": set signed"))</f>
        <v/>
      </c>
      <c r="T48" s="17">
        <f>IF(paid_brands!AC28="","",paid_brands!AC28&amp;"")</f>
        <v/>
      </c>
      <c r="U48" s="17">
        <f>IF(T48="","",IFERROR(INDEX(Clay_Brands!$A$2:$FZ$601,MATCH(T48,INDEX(Clay_Brands!$A$2:$FZ$601,0,$D$5),0),$D$7)&amp;"","not in Clay"))</f>
        <v/>
      </c>
      <c r="V48" s="17">
        <f>IF(OR(T48="",AND(LEFT(T48,6)="SAMPLE",Config!$B$19&lt;&gt;"Y")),"",IF(U48="paid","","Clay status is "&amp;U48&amp;": set paid"))</f>
        <v/>
      </c>
    </row>
    <row r="49">
      <c r="B49" s="17" t="n">
        <v>28</v>
      </c>
      <c r="C49" s="17">
        <f>IFERROR(INDEX(Clay_Offices!$A$2:$FZ$601,B49,$C$5)&amp;"","")</f>
        <v/>
      </c>
      <c r="D49" s="17">
        <f>IFERROR(INDEX(Clay_Offices!$A$2:$FZ$601,B49,$C$7)&amp;"","")</f>
        <v/>
      </c>
      <c r="E49" s="17">
        <f>IFERROR(INDEX(Clay_Offices!$A$2:$FZ$601,B49,$C$8)&amp;"","")</f>
        <v/>
      </c>
      <c r="F49" s="17">
        <f>IF(C49="","",IF(COUNTIF(Office_Log!$A$2:$A$201,C49)&gt;0,"Y","N"))</f>
        <v/>
      </c>
      <c r="G49" s="17">
        <f>IF(OR(C49="",AND(LEFT(C49,6)="SAMPLE",Config!$B$19&lt;&gt;"Y")),"",IF(IFERROR(INDEX(Lists!$J$2:$J$15,MATCH(D49,Lists!$I$2:$I$15,0)),-1)=-1,"status '"&amp;D49&amp;"' is not a CONTRACTS status",IF(AND(D49="signed",COUNTIF(signed_offices!$W$2:$W$51,C49)=0),"status signed but no signed_offices row"&amp;IF(F49="N"," and no tracker row",""),IF(AND(IFERROR(INDEX(Lists!$J$2:$J$15,MATCH(D49,Lists!$I$2:$I$15,0)),-1)&gt;=6,F49="N"),"status "&amp;D49&amp;" but no tracker row",IF(AND(E49="Y",D49&lt;&gt;"do_not_contact"),"do_not_contact = Y but status is "&amp;D49,IF(AND(D49="do_not_contact",E49&lt;&gt;"Y"),"status do_not_contact but do_not_contact is not Y",""))))))</f>
        <v/>
      </c>
      <c r="I49" s="17" t="n">
        <v>28</v>
      </c>
      <c r="J49" s="17">
        <f>IFERROR(INDEX(Clay_Brands!$A$2:$FZ$601,I49,$D$5)&amp;"","")</f>
        <v/>
      </c>
      <c r="K49" s="17">
        <f>IFERROR(INDEX(Clay_Brands!$A$2:$FZ$601,I49,$D$7)&amp;"","")</f>
        <v/>
      </c>
      <c r="L49" s="17">
        <f>IFERROR(INDEX(Clay_Brands!$A$2:$FZ$601,I49,$D$8)&amp;"","")</f>
        <v/>
      </c>
      <c r="M49" s="17">
        <f>IF(J49="","",IF(COUNTIF(Brand_Log!$A$2:$A$201,J49)&gt;0,"Y","N"))</f>
        <v/>
      </c>
      <c r="N49" s="17">
        <f>IF(OR(J49="",AND(LEFT(J49,6)="SAMPLE",Config!$B$19&lt;&gt;"Y")),"",IF(IFERROR(INDEX(Lists!$J$2:$J$15,MATCH(K49,Lists!$I$2:$I$15,0)),-1)=-1,"status '"&amp;K49&amp;"' is not a CONTRACTS status",IF(AND(K49="paid",COUNTIF(paid_brands!$AC$2:$AC$51,J49)=0),"status paid but no paid_brands row"&amp;IF(M49="N"," and no tracker row",""),IF(AND(IFERROR(INDEX(Lists!$J$2:$J$15,MATCH(K49,Lists!$I$2:$I$15,0)),-1)&gt;=6,M49="N"),"status "&amp;K49&amp;" but no tracker row",IF(AND(L49="Y",K49&lt;&gt;"do_not_contact"),"do_not_contact = Y but status is "&amp;K49,IF(AND(K49="do_not_contact",L49&lt;&gt;"Y"),"status do_not_contact but do_not_contact is not Y",""))))))</f>
        <v/>
      </c>
      <c r="P49" s="17">
        <f>IF(signed_offices!W29="","",signed_offices!W29&amp;"")</f>
        <v/>
      </c>
      <c r="Q49" s="17">
        <f>IF(P49="","",IFERROR(INDEX(Clay_Offices!$A$2:$FZ$601,MATCH(P49,INDEX(Clay_Offices!$A$2:$FZ$601,0,$C$5),0),$C$7)&amp;"","not in Clay"))</f>
        <v/>
      </c>
      <c r="R49" s="17">
        <f>IF(OR(P49="",AND(LEFT(P49,6)="SAMPLE",Config!$B$19&lt;&gt;"Y")),"",IF(Q49="signed","","Clay status is "&amp;Q49&amp;": set signed"))</f>
        <v/>
      </c>
      <c r="T49" s="17">
        <f>IF(paid_brands!AC29="","",paid_brands!AC29&amp;"")</f>
        <v/>
      </c>
      <c r="U49" s="17">
        <f>IF(T49="","",IFERROR(INDEX(Clay_Brands!$A$2:$FZ$601,MATCH(T49,INDEX(Clay_Brands!$A$2:$FZ$601,0,$D$5),0),$D$7)&amp;"","not in Clay"))</f>
        <v/>
      </c>
      <c r="V49" s="17">
        <f>IF(OR(T49="",AND(LEFT(T49,6)="SAMPLE",Config!$B$19&lt;&gt;"Y")),"",IF(U49="paid","","Clay status is "&amp;U49&amp;": set paid"))</f>
        <v/>
      </c>
    </row>
    <row r="50">
      <c r="B50" s="17" t="n">
        <v>29</v>
      </c>
      <c r="C50" s="17">
        <f>IFERROR(INDEX(Clay_Offices!$A$2:$FZ$601,B50,$C$5)&amp;"","")</f>
        <v/>
      </c>
      <c r="D50" s="17">
        <f>IFERROR(INDEX(Clay_Offices!$A$2:$FZ$601,B50,$C$7)&amp;"","")</f>
        <v/>
      </c>
      <c r="E50" s="17">
        <f>IFERROR(INDEX(Clay_Offices!$A$2:$FZ$601,B50,$C$8)&amp;"","")</f>
        <v/>
      </c>
      <c r="F50" s="17">
        <f>IF(C50="","",IF(COUNTIF(Office_Log!$A$2:$A$201,C50)&gt;0,"Y","N"))</f>
        <v/>
      </c>
      <c r="G50" s="17">
        <f>IF(OR(C50="",AND(LEFT(C50,6)="SAMPLE",Config!$B$19&lt;&gt;"Y")),"",IF(IFERROR(INDEX(Lists!$J$2:$J$15,MATCH(D50,Lists!$I$2:$I$15,0)),-1)=-1,"status '"&amp;D50&amp;"' is not a CONTRACTS status",IF(AND(D50="signed",COUNTIF(signed_offices!$W$2:$W$51,C50)=0),"status signed but no signed_offices row"&amp;IF(F50="N"," and no tracker row",""),IF(AND(IFERROR(INDEX(Lists!$J$2:$J$15,MATCH(D50,Lists!$I$2:$I$15,0)),-1)&gt;=6,F50="N"),"status "&amp;D50&amp;" but no tracker row",IF(AND(E50="Y",D50&lt;&gt;"do_not_contact"),"do_not_contact = Y but status is "&amp;D50,IF(AND(D50="do_not_contact",E50&lt;&gt;"Y"),"status do_not_contact but do_not_contact is not Y",""))))))</f>
        <v/>
      </c>
      <c r="I50" s="17" t="n">
        <v>29</v>
      </c>
      <c r="J50" s="17">
        <f>IFERROR(INDEX(Clay_Brands!$A$2:$FZ$601,I50,$D$5)&amp;"","")</f>
        <v/>
      </c>
      <c r="K50" s="17">
        <f>IFERROR(INDEX(Clay_Brands!$A$2:$FZ$601,I50,$D$7)&amp;"","")</f>
        <v/>
      </c>
      <c r="L50" s="17">
        <f>IFERROR(INDEX(Clay_Brands!$A$2:$FZ$601,I50,$D$8)&amp;"","")</f>
        <v/>
      </c>
      <c r="M50" s="17">
        <f>IF(J50="","",IF(COUNTIF(Brand_Log!$A$2:$A$201,J50)&gt;0,"Y","N"))</f>
        <v/>
      </c>
      <c r="N50" s="17">
        <f>IF(OR(J50="",AND(LEFT(J50,6)="SAMPLE",Config!$B$19&lt;&gt;"Y")),"",IF(IFERROR(INDEX(Lists!$J$2:$J$15,MATCH(K50,Lists!$I$2:$I$15,0)),-1)=-1,"status '"&amp;K50&amp;"' is not a CONTRACTS status",IF(AND(K50="paid",COUNTIF(paid_brands!$AC$2:$AC$51,J50)=0),"status paid but no paid_brands row"&amp;IF(M50="N"," and no tracker row",""),IF(AND(IFERROR(INDEX(Lists!$J$2:$J$15,MATCH(K50,Lists!$I$2:$I$15,0)),-1)&gt;=6,M50="N"),"status "&amp;K50&amp;" but no tracker row",IF(AND(L50="Y",K50&lt;&gt;"do_not_contact"),"do_not_contact = Y but status is "&amp;K50,IF(AND(K50="do_not_contact",L50&lt;&gt;"Y"),"status do_not_contact but do_not_contact is not Y",""))))))</f>
        <v/>
      </c>
      <c r="P50" s="17">
        <f>IF(signed_offices!W30="","",signed_offices!W30&amp;"")</f>
        <v/>
      </c>
      <c r="Q50" s="17">
        <f>IF(P50="","",IFERROR(INDEX(Clay_Offices!$A$2:$FZ$601,MATCH(P50,INDEX(Clay_Offices!$A$2:$FZ$601,0,$C$5),0),$C$7)&amp;"","not in Clay"))</f>
        <v/>
      </c>
      <c r="R50" s="17">
        <f>IF(OR(P50="",AND(LEFT(P50,6)="SAMPLE",Config!$B$19&lt;&gt;"Y")),"",IF(Q50="signed","","Clay status is "&amp;Q50&amp;": set signed"))</f>
        <v/>
      </c>
      <c r="T50" s="17">
        <f>IF(paid_brands!AC30="","",paid_brands!AC30&amp;"")</f>
        <v/>
      </c>
      <c r="U50" s="17">
        <f>IF(T50="","",IFERROR(INDEX(Clay_Brands!$A$2:$FZ$601,MATCH(T50,INDEX(Clay_Brands!$A$2:$FZ$601,0,$D$5),0),$D$7)&amp;"","not in Clay"))</f>
        <v/>
      </c>
      <c r="V50" s="17">
        <f>IF(OR(T50="",AND(LEFT(T50,6)="SAMPLE",Config!$B$19&lt;&gt;"Y")),"",IF(U50="paid","","Clay status is "&amp;U50&amp;": set paid"))</f>
        <v/>
      </c>
    </row>
    <row r="51">
      <c r="B51" s="17" t="n">
        <v>30</v>
      </c>
      <c r="C51" s="17">
        <f>IFERROR(INDEX(Clay_Offices!$A$2:$FZ$601,B51,$C$5)&amp;"","")</f>
        <v/>
      </c>
      <c r="D51" s="17">
        <f>IFERROR(INDEX(Clay_Offices!$A$2:$FZ$601,B51,$C$7)&amp;"","")</f>
        <v/>
      </c>
      <c r="E51" s="17">
        <f>IFERROR(INDEX(Clay_Offices!$A$2:$FZ$601,B51,$C$8)&amp;"","")</f>
        <v/>
      </c>
      <c r="F51" s="17">
        <f>IF(C51="","",IF(COUNTIF(Office_Log!$A$2:$A$201,C51)&gt;0,"Y","N"))</f>
        <v/>
      </c>
      <c r="G51" s="17">
        <f>IF(OR(C51="",AND(LEFT(C51,6)="SAMPLE",Config!$B$19&lt;&gt;"Y")),"",IF(IFERROR(INDEX(Lists!$J$2:$J$15,MATCH(D51,Lists!$I$2:$I$15,0)),-1)=-1,"status '"&amp;D51&amp;"' is not a CONTRACTS status",IF(AND(D51="signed",COUNTIF(signed_offices!$W$2:$W$51,C51)=0),"status signed but no signed_offices row"&amp;IF(F51="N"," and no tracker row",""),IF(AND(IFERROR(INDEX(Lists!$J$2:$J$15,MATCH(D51,Lists!$I$2:$I$15,0)),-1)&gt;=6,F51="N"),"status "&amp;D51&amp;" but no tracker row",IF(AND(E51="Y",D51&lt;&gt;"do_not_contact"),"do_not_contact = Y but status is "&amp;D51,IF(AND(D51="do_not_contact",E51&lt;&gt;"Y"),"status do_not_contact but do_not_contact is not Y",""))))))</f>
        <v/>
      </c>
      <c r="I51" s="17" t="n">
        <v>30</v>
      </c>
      <c r="J51" s="17">
        <f>IFERROR(INDEX(Clay_Brands!$A$2:$FZ$601,I51,$D$5)&amp;"","")</f>
        <v/>
      </c>
      <c r="K51" s="17">
        <f>IFERROR(INDEX(Clay_Brands!$A$2:$FZ$601,I51,$D$7)&amp;"","")</f>
        <v/>
      </c>
      <c r="L51" s="17">
        <f>IFERROR(INDEX(Clay_Brands!$A$2:$FZ$601,I51,$D$8)&amp;"","")</f>
        <v/>
      </c>
      <c r="M51" s="17">
        <f>IF(J51="","",IF(COUNTIF(Brand_Log!$A$2:$A$201,J51)&gt;0,"Y","N"))</f>
        <v/>
      </c>
      <c r="N51" s="17">
        <f>IF(OR(J51="",AND(LEFT(J51,6)="SAMPLE",Config!$B$19&lt;&gt;"Y")),"",IF(IFERROR(INDEX(Lists!$J$2:$J$15,MATCH(K51,Lists!$I$2:$I$15,0)),-1)=-1,"status '"&amp;K51&amp;"' is not a CONTRACTS status",IF(AND(K51="paid",COUNTIF(paid_brands!$AC$2:$AC$51,J51)=0),"status paid but no paid_brands row"&amp;IF(M51="N"," and no tracker row",""),IF(AND(IFERROR(INDEX(Lists!$J$2:$J$15,MATCH(K51,Lists!$I$2:$I$15,0)),-1)&gt;=6,M51="N"),"status "&amp;K51&amp;" but no tracker row",IF(AND(L51="Y",K51&lt;&gt;"do_not_contact"),"do_not_contact = Y but status is "&amp;K51,IF(AND(K51="do_not_contact",L51&lt;&gt;"Y"),"status do_not_contact but do_not_contact is not Y",""))))))</f>
        <v/>
      </c>
      <c r="P51" s="17">
        <f>IF(signed_offices!W31="","",signed_offices!W31&amp;"")</f>
        <v/>
      </c>
      <c r="Q51" s="17">
        <f>IF(P51="","",IFERROR(INDEX(Clay_Offices!$A$2:$FZ$601,MATCH(P51,INDEX(Clay_Offices!$A$2:$FZ$601,0,$C$5),0),$C$7)&amp;"","not in Clay"))</f>
        <v/>
      </c>
      <c r="R51" s="17">
        <f>IF(OR(P51="",AND(LEFT(P51,6)="SAMPLE",Config!$B$19&lt;&gt;"Y")),"",IF(Q51="signed","","Clay status is "&amp;Q51&amp;": set signed"))</f>
        <v/>
      </c>
      <c r="T51" s="17">
        <f>IF(paid_brands!AC31="","",paid_brands!AC31&amp;"")</f>
        <v/>
      </c>
      <c r="U51" s="17">
        <f>IF(T51="","",IFERROR(INDEX(Clay_Brands!$A$2:$FZ$601,MATCH(T51,INDEX(Clay_Brands!$A$2:$FZ$601,0,$D$5),0),$D$7)&amp;"","not in Clay"))</f>
        <v/>
      </c>
      <c r="V51" s="17">
        <f>IF(OR(T51="",AND(LEFT(T51,6)="SAMPLE",Config!$B$19&lt;&gt;"Y")),"",IF(U51="paid","","Clay status is "&amp;U51&amp;": set paid"))</f>
        <v/>
      </c>
    </row>
    <row r="52">
      <c r="B52" s="17" t="n">
        <v>31</v>
      </c>
      <c r="C52" s="17">
        <f>IFERROR(INDEX(Clay_Offices!$A$2:$FZ$601,B52,$C$5)&amp;"","")</f>
        <v/>
      </c>
      <c r="D52" s="17">
        <f>IFERROR(INDEX(Clay_Offices!$A$2:$FZ$601,B52,$C$7)&amp;"","")</f>
        <v/>
      </c>
      <c r="E52" s="17">
        <f>IFERROR(INDEX(Clay_Offices!$A$2:$FZ$601,B52,$C$8)&amp;"","")</f>
        <v/>
      </c>
      <c r="F52" s="17">
        <f>IF(C52="","",IF(COUNTIF(Office_Log!$A$2:$A$201,C52)&gt;0,"Y","N"))</f>
        <v/>
      </c>
      <c r="G52" s="17">
        <f>IF(OR(C52="",AND(LEFT(C52,6)="SAMPLE",Config!$B$19&lt;&gt;"Y")),"",IF(IFERROR(INDEX(Lists!$J$2:$J$15,MATCH(D52,Lists!$I$2:$I$15,0)),-1)=-1,"status '"&amp;D52&amp;"' is not a CONTRACTS status",IF(AND(D52="signed",COUNTIF(signed_offices!$W$2:$W$51,C52)=0),"status signed but no signed_offices row"&amp;IF(F52="N"," and no tracker row",""),IF(AND(IFERROR(INDEX(Lists!$J$2:$J$15,MATCH(D52,Lists!$I$2:$I$15,0)),-1)&gt;=6,F52="N"),"status "&amp;D52&amp;" but no tracker row",IF(AND(E52="Y",D52&lt;&gt;"do_not_contact"),"do_not_contact = Y but status is "&amp;D52,IF(AND(D52="do_not_contact",E52&lt;&gt;"Y"),"status do_not_contact but do_not_contact is not Y",""))))))</f>
        <v/>
      </c>
      <c r="I52" s="17" t="n">
        <v>31</v>
      </c>
      <c r="J52" s="17">
        <f>IFERROR(INDEX(Clay_Brands!$A$2:$FZ$601,I52,$D$5)&amp;"","")</f>
        <v/>
      </c>
      <c r="K52" s="17">
        <f>IFERROR(INDEX(Clay_Brands!$A$2:$FZ$601,I52,$D$7)&amp;"","")</f>
        <v/>
      </c>
      <c r="L52" s="17">
        <f>IFERROR(INDEX(Clay_Brands!$A$2:$FZ$601,I52,$D$8)&amp;"","")</f>
        <v/>
      </c>
      <c r="M52" s="17">
        <f>IF(J52="","",IF(COUNTIF(Brand_Log!$A$2:$A$201,J52)&gt;0,"Y","N"))</f>
        <v/>
      </c>
      <c r="N52" s="17">
        <f>IF(OR(J52="",AND(LEFT(J52,6)="SAMPLE",Config!$B$19&lt;&gt;"Y")),"",IF(IFERROR(INDEX(Lists!$J$2:$J$15,MATCH(K52,Lists!$I$2:$I$15,0)),-1)=-1,"status '"&amp;K52&amp;"' is not a CONTRACTS status",IF(AND(K52="paid",COUNTIF(paid_brands!$AC$2:$AC$51,J52)=0),"status paid but no paid_brands row"&amp;IF(M52="N"," and no tracker row",""),IF(AND(IFERROR(INDEX(Lists!$J$2:$J$15,MATCH(K52,Lists!$I$2:$I$15,0)),-1)&gt;=6,M52="N"),"status "&amp;K52&amp;" but no tracker row",IF(AND(L52="Y",K52&lt;&gt;"do_not_contact"),"do_not_contact = Y but status is "&amp;K52,IF(AND(K52="do_not_contact",L52&lt;&gt;"Y"),"status do_not_contact but do_not_contact is not Y",""))))))</f>
        <v/>
      </c>
      <c r="P52" s="17">
        <f>IF(signed_offices!W32="","",signed_offices!W32&amp;"")</f>
        <v/>
      </c>
      <c r="Q52" s="17">
        <f>IF(P52="","",IFERROR(INDEX(Clay_Offices!$A$2:$FZ$601,MATCH(P52,INDEX(Clay_Offices!$A$2:$FZ$601,0,$C$5),0),$C$7)&amp;"","not in Clay"))</f>
        <v/>
      </c>
      <c r="R52" s="17">
        <f>IF(OR(P52="",AND(LEFT(P52,6)="SAMPLE",Config!$B$19&lt;&gt;"Y")),"",IF(Q52="signed","","Clay status is "&amp;Q52&amp;": set signed"))</f>
        <v/>
      </c>
      <c r="T52" s="17">
        <f>IF(paid_brands!AC32="","",paid_brands!AC32&amp;"")</f>
        <v/>
      </c>
      <c r="U52" s="17">
        <f>IF(T52="","",IFERROR(INDEX(Clay_Brands!$A$2:$FZ$601,MATCH(T52,INDEX(Clay_Brands!$A$2:$FZ$601,0,$D$5),0),$D$7)&amp;"","not in Clay"))</f>
        <v/>
      </c>
      <c r="V52" s="17">
        <f>IF(OR(T52="",AND(LEFT(T52,6)="SAMPLE",Config!$B$19&lt;&gt;"Y")),"",IF(U52="paid","","Clay status is "&amp;U52&amp;": set paid"))</f>
        <v/>
      </c>
    </row>
    <row r="53">
      <c r="B53" s="17" t="n">
        <v>32</v>
      </c>
      <c r="C53" s="17">
        <f>IFERROR(INDEX(Clay_Offices!$A$2:$FZ$601,B53,$C$5)&amp;"","")</f>
        <v/>
      </c>
      <c r="D53" s="17">
        <f>IFERROR(INDEX(Clay_Offices!$A$2:$FZ$601,B53,$C$7)&amp;"","")</f>
        <v/>
      </c>
      <c r="E53" s="17">
        <f>IFERROR(INDEX(Clay_Offices!$A$2:$FZ$601,B53,$C$8)&amp;"","")</f>
        <v/>
      </c>
      <c r="F53" s="17">
        <f>IF(C53="","",IF(COUNTIF(Office_Log!$A$2:$A$201,C53)&gt;0,"Y","N"))</f>
        <v/>
      </c>
      <c r="G53" s="17">
        <f>IF(OR(C53="",AND(LEFT(C53,6)="SAMPLE",Config!$B$19&lt;&gt;"Y")),"",IF(IFERROR(INDEX(Lists!$J$2:$J$15,MATCH(D53,Lists!$I$2:$I$15,0)),-1)=-1,"status '"&amp;D53&amp;"' is not a CONTRACTS status",IF(AND(D53="signed",COUNTIF(signed_offices!$W$2:$W$51,C53)=0),"status signed but no signed_offices row"&amp;IF(F53="N"," and no tracker row",""),IF(AND(IFERROR(INDEX(Lists!$J$2:$J$15,MATCH(D53,Lists!$I$2:$I$15,0)),-1)&gt;=6,F53="N"),"status "&amp;D53&amp;" but no tracker row",IF(AND(E53="Y",D53&lt;&gt;"do_not_contact"),"do_not_contact = Y but status is "&amp;D53,IF(AND(D53="do_not_contact",E53&lt;&gt;"Y"),"status do_not_contact but do_not_contact is not Y",""))))))</f>
        <v/>
      </c>
      <c r="I53" s="17" t="n">
        <v>32</v>
      </c>
      <c r="J53" s="17">
        <f>IFERROR(INDEX(Clay_Brands!$A$2:$FZ$601,I53,$D$5)&amp;"","")</f>
        <v/>
      </c>
      <c r="K53" s="17">
        <f>IFERROR(INDEX(Clay_Brands!$A$2:$FZ$601,I53,$D$7)&amp;"","")</f>
        <v/>
      </c>
      <c r="L53" s="17">
        <f>IFERROR(INDEX(Clay_Brands!$A$2:$FZ$601,I53,$D$8)&amp;"","")</f>
        <v/>
      </c>
      <c r="M53" s="17">
        <f>IF(J53="","",IF(COUNTIF(Brand_Log!$A$2:$A$201,J53)&gt;0,"Y","N"))</f>
        <v/>
      </c>
      <c r="N53" s="17">
        <f>IF(OR(J53="",AND(LEFT(J53,6)="SAMPLE",Config!$B$19&lt;&gt;"Y")),"",IF(IFERROR(INDEX(Lists!$J$2:$J$15,MATCH(K53,Lists!$I$2:$I$15,0)),-1)=-1,"status '"&amp;K53&amp;"' is not a CONTRACTS status",IF(AND(K53="paid",COUNTIF(paid_brands!$AC$2:$AC$51,J53)=0),"status paid but no paid_brands row"&amp;IF(M53="N"," and no tracker row",""),IF(AND(IFERROR(INDEX(Lists!$J$2:$J$15,MATCH(K53,Lists!$I$2:$I$15,0)),-1)&gt;=6,M53="N"),"status "&amp;K53&amp;" but no tracker row",IF(AND(L53="Y",K53&lt;&gt;"do_not_contact"),"do_not_contact = Y but status is "&amp;K53,IF(AND(K53="do_not_contact",L53&lt;&gt;"Y"),"status do_not_contact but do_not_contact is not Y",""))))))</f>
        <v/>
      </c>
      <c r="P53" s="17">
        <f>IF(signed_offices!W33="","",signed_offices!W33&amp;"")</f>
        <v/>
      </c>
      <c r="Q53" s="17">
        <f>IF(P53="","",IFERROR(INDEX(Clay_Offices!$A$2:$FZ$601,MATCH(P53,INDEX(Clay_Offices!$A$2:$FZ$601,0,$C$5),0),$C$7)&amp;"","not in Clay"))</f>
        <v/>
      </c>
      <c r="R53" s="17">
        <f>IF(OR(P53="",AND(LEFT(P53,6)="SAMPLE",Config!$B$19&lt;&gt;"Y")),"",IF(Q53="signed","","Clay status is "&amp;Q53&amp;": set signed"))</f>
        <v/>
      </c>
      <c r="T53" s="17">
        <f>IF(paid_brands!AC33="","",paid_brands!AC33&amp;"")</f>
        <v/>
      </c>
      <c r="U53" s="17">
        <f>IF(T53="","",IFERROR(INDEX(Clay_Brands!$A$2:$FZ$601,MATCH(T53,INDEX(Clay_Brands!$A$2:$FZ$601,0,$D$5),0),$D$7)&amp;"","not in Clay"))</f>
        <v/>
      </c>
      <c r="V53" s="17">
        <f>IF(OR(T53="",AND(LEFT(T53,6)="SAMPLE",Config!$B$19&lt;&gt;"Y")),"",IF(U53="paid","","Clay status is "&amp;U53&amp;": set paid"))</f>
        <v/>
      </c>
    </row>
    <row r="54">
      <c r="B54" s="17" t="n">
        <v>33</v>
      </c>
      <c r="C54" s="17">
        <f>IFERROR(INDEX(Clay_Offices!$A$2:$FZ$601,B54,$C$5)&amp;"","")</f>
        <v/>
      </c>
      <c r="D54" s="17">
        <f>IFERROR(INDEX(Clay_Offices!$A$2:$FZ$601,B54,$C$7)&amp;"","")</f>
        <v/>
      </c>
      <c r="E54" s="17">
        <f>IFERROR(INDEX(Clay_Offices!$A$2:$FZ$601,B54,$C$8)&amp;"","")</f>
        <v/>
      </c>
      <c r="F54" s="17">
        <f>IF(C54="","",IF(COUNTIF(Office_Log!$A$2:$A$201,C54)&gt;0,"Y","N"))</f>
        <v/>
      </c>
      <c r="G54" s="17">
        <f>IF(OR(C54="",AND(LEFT(C54,6)="SAMPLE",Config!$B$19&lt;&gt;"Y")),"",IF(IFERROR(INDEX(Lists!$J$2:$J$15,MATCH(D54,Lists!$I$2:$I$15,0)),-1)=-1,"status '"&amp;D54&amp;"' is not a CONTRACTS status",IF(AND(D54="signed",COUNTIF(signed_offices!$W$2:$W$51,C54)=0),"status signed but no signed_offices row"&amp;IF(F54="N"," and no tracker row",""),IF(AND(IFERROR(INDEX(Lists!$J$2:$J$15,MATCH(D54,Lists!$I$2:$I$15,0)),-1)&gt;=6,F54="N"),"status "&amp;D54&amp;" but no tracker row",IF(AND(E54="Y",D54&lt;&gt;"do_not_contact"),"do_not_contact = Y but status is "&amp;D54,IF(AND(D54="do_not_contact",E54&lt;&gt;"Y"),"status do_not_contact but do_not_contact is not Y",""))))))</f>
        <v/>
      </c>
      <c r="I54" s="17" t="n">
        <v>33</v>
      </c>
      <c r="J54" s="17">
        <f>IFERROR(INDEX(Clay_Brands!$A$2:$FZ$601,I54,$D$5)&amp;"","")</f>
        <v/>
      </c>
      <c r="K54" s="17">
        <f>IFERROR(INDEX(Clay_Brands!$A$2:$FZ$601,I54,$D$7)&amp;"","")</f>
        <v/>
      </c>
      <c r="L54" s="17">
        <f>IFERROR(INDEX(Clay_Brands!$A$2:$FZ$601,I54,$D$8)&amp;"","")</f>
        <v/>
      </c>
      <c r="M54" s="17">
        <f>IF(J54="","",IF(COUNTIF(Brand_Log!$A$2:$A$201,J54)&gt;0,"Y","N"))</f>
        <v/>
      </c>
      <c r="N54" s="17">
        <f>IF(OR(J54="",AND(LEFT(J54,6)="SAMPLE",Config!$B$19&lt;&gt;"Y")),"",IF(IFERROR(INDEX(Lists!$J$2:$J$15,MATCH(K54,Lists!$I$2:$I$15,0)),-1)=-1,"status '"&amp;K54&amp;"' is not a CONTRACTS status",IF(AND(K54="paid",COUNTIF(paid_brands!$AC$2:$AC$51,J54)=0),"status paid but no paid_brands row"&amp;IF(M54="N"," and no tracker row",""),IF(AND(IFERROR(INDEX(Lists!$J$2:$J$15,MATCH(K54,Lists!$I$2:$I$15,0)),-1)&gt;=6,M54="N"),"status "&amp;K54&amp;" but no tracker row",IF(AND(L54="Y",K54&lt;&gt;"do_not_contact"),"do_not_contact = Y but status is "&amp;K54,IF(AND(K54="do_not_contact",L54&lt;&gt;"Y"),"status do_not_contact but do_not_contact is not Y",""))))))</f>
        <v/>
      </c>
      <c r="P54" s="17">
        <f>IF(signed_offices!W34="","",signed_offices!W34&amp;"")</f>
        <v/>
      </c>
      <c r="Q54" s="17">
        <f>IF(P54="","",IFERROR(INDEX(Clay_Offices!$A$2:$FZ$601,MATCH(P54,INDEX(Clay_Offices!$A$2:$FZ$601,0,$C$5),0),$C$7)&amp;"","not in Clay"))</f>
        <v/>
      </c>
      <c r="R54" s="17">
        <f>IF(OR(P54="",AND(LEFT(P54,6)="SAMPLE",Config!$B$19&lt;&gt;"Y")),"",IF(Q54="signed","","Clay status is "&amp;Q54&amp;": set signed"))</f>
        <v/>
      </c>
      <c r="T54" s="17">
        <f>IF(paid_brands!AC34="","",paid_brands!AC34&amp;"")</f>
        <v/>
      </c>
      <c r="U54" s="17">
        <f>IF(T54="","",IFERROR(INDEX(Clay_Brands!$A$2:$FZ$601,MATCH(T54,INDEX(Clay_Brands!$A$2:$FZ$601,0,$D$5),0),$D$7)&amp;"","not in Clay"))</f>
        <v/>
      </c>
      <c r="V54" s="17">
        <f>IF(OR(T54="",AND(LEFT(T54,6)="SAMPLE",Config!$B$19&lt;&gt;"Y")),"",IF(U54="paid","","Clay status is "&amp;U54&amp;": set paid"))</f>
        <v/>
      </c>
    </row>
    <row r="55">
      <c r="B55" s="17" t="n">
        <v>34</v>
      </c>
      <c r="C55" s="17">
        <f>IFERROR(INDEX(Clay_Offices!$A$2:$FZ$601,B55,$C$5)&amp;"","")</f>
        <v/>
      </c>
      <c r="D55" s="17">
        <f>IFERROR(INDEX(Clay_Offices!$A$2:$FZ$601,B55,$C$7)&amp;"","")</f>
        <v/>
      </c>
      <c r="E55" s="17">
        <f>IFERROR(INDEX(Clay_Offices!$A$2:$FZ$601,B55,$C$8)&amp;"","")</f>
        <v/>
      </c>
      <c r="F55" s="17">
        <f>IF(C55="","",IF(COUNTIF(Office_Log!$A$2:$A$201,C55)&gt;0,"Y","N"))</f>
        <v/>
      </c>
      <c r="G55" s="17">
        <f>IF(OR(C55="",AND(LEFT(C55,6)="SAMPLE",Config!$B$19&lt;&gt;"Y")),"",IF(IFERROR(INDEX(Lists!$J$2:$J$15,MATCH(D55,Lists!$I$2:$I$15,0)),-1)=-1,"status '"&amp;D55&amp;"' is not a CONTRACTS status",IF(AND(D55="signed",COUNTIF(signed_offices!$W$2:$W$51,C55)=0),"status signed but no signed_offices row"&amp;IF(F55="N"," and no tracker row",""),IF(AND(IFERROR(INDEX(Lists!$J$2:$J$15,MATCH(D55,Lists!$I$2:$I$15,0)),-1)&gt;=6,F55="N"),"status "&amp;D55&amp;" but no tracker row",IF(AND(E55="Y",D55&lt;&gt;"do_not_contact"),"do_not_contact = Y but status is "&amp;D55,IF(AND(D55="do_not_contact",E55&lt;&gt;"Y"),"status do_not_contact but do_not_contact is not Y",""))))))</f>
        <v/>
      </c>
      <c r="I55" s="17" t="n">
        <v>34</v>
      </c>
      <c r="J55" s="17">
        <f>IFERROR(INDEX(Clay_Brands!$A$2:$FZ$601,I55,$D$5)&amp;"","")</f>
        <v/>
      </c>
      <c r="K55" s="17">
        <f>IFERROR(INDEX(Clay_Brands!$A$2:$FZ$601,I55,$D$7)&amp;"","")</f>
        <v/>
      </c>
      <c r="L55" s="17">
        <f>IFERROR(INDEX(Clay_Brands!$A$2:$FZ$601,I55,$D$8)&amp;"","")</f>
        <v/>
      </c>
      <c r="M55" s="17">
        <f>IF(J55="","",IF(COUNTIF(Brand_Log!$A$2:$A$201,J55)&gt;0,"Y","N"))</f>
        <v/>
      </c>
      <c r="N55" s="17">
        <f>IF(OR(J55="",AND(LEFT(J55,6)="SAMPLE",Config!$B$19&lt;&gt;"Y")),"",IF(IFERROR(INDEX(Lists!$J$2:$J$15,MATCH(K55,Lists!$I$2:$I$15,0)),-1)=-1,"status '"&amp;K55&amp;"' is not a CONTRACTS status",IF(AND(K55="paid",COUNTIF(paid_brands!$AC$2:$AC$51,J55)=0),"status paid but no paid_brands row"&amp;IF(M55="N"," and no tracker row",""),IF(AND(IFERROR(INDEX(Lists!$J$2:$J$15,MATCH(K55,Lists!$I$2:$I$15,0)),-1)&gt;=6,M55="N"),"status "&amp;K55&amp;" but no tracker row",IF(AND(L55="Y",K55&lt;&gt;"do_not_contact"),"do_not_contact = Y but status is "&amp;K55,IF(AND(K55="do_not_contact",L55&lt;&gt;"Y"),"status do_not_contact but do_not_contact is not Y",""))))))</f>
        <v/>
      </c>
      <c r="P55" s="17">
        <f>IF(signed_offices!W35="","",signed_offices!W35&amp;"")</f>
        <v/>
      </c>
      <c r="Q55" s="17">
        <f>IF(P55="","",IFERROR(INDEX(Clay_Offices!$A$2:$FZ$601,MATCH(P55,INDEX(Clay_Offices!$A$2:$FZ$601,0,$C$5),0),$C$7)&amp;"","not in Clay"))</f>
        <v/>
      </c>
      <c r="R55" s="17">
        <f>IF(OR(P55="",AND(LEFT(P55,6)="SAMPLE",Config!$B$19&lt;&gt;"Y")),"",IF(Q55="signed","","Clay status is "&amp;Q55&amp;": set signed"))</f>
        <v/>
      </c>
      <c r="T55" s="17">
        <f>IF(paid_brands!AC35="","",paid_brands!AC35&amp;"")</f>
        <v/>
      </c>
      <c r="U55" s="17">
        <f>IF(T55="","",IFERROR(INDEX(Clay_Brands!$A$2:$FZ$601,MATCH(T55,INDEX(Clay_Brands!$A$2:$FZ$601,0,$D$5),0),$D$7)&amp;"","not in Clay"))</f>
        <v/>
      </c>
      <c r="V55" s="17">
        <f>IF(OR(T55="",AND(LEFT(T55,6)="SAMPLE",Config!$B$19&lt;&gt;"Y")),"",IF(U55="paid","","Clay status is "&amp;U55&amp;": set paid"))</f>
        <v/>
      </c>
    </row>
    <row r="56">
      <c r="B56" s="17" t="n">
        <v>35</v>
      </c>
      <c r="C56" s="17">
        <f>IFERROR(INDEX(Clay_Offices!$A$2:$FZ$601,B56,$C$5)&amp;"","")</f>
        <v/>
      </c>
      <c r="D56" s="17">
        <f>IFERROR(INDEX(Clay_Offices!$A$2:$FZ$601,B56,$C$7)&amp;"","")</f>
        <v/>
      </c>
      <c r="E56" s="17">
        <f>IFERROR(INDEX(Clay_Offices!$A$2:$FZ$601,B56,$C$8)&amp;"","")</f>
        <v/>
      </c>
      <c r="F56" s="17">
        <f>IF(C56="","",IF(COUNTIF(Office_Log!$A$2:$A$201,C56)&gt;0,"Y","N"))</f>
        <v/>
      </c>
      <c r="G56" s="17">
        <f>IF(OR(C56="",AND(LEFT(C56,6)="SAMPLE",Config!$B$19&lt;&gt;"Y")),"",IF(IFERROR(INDEX(Lists!$J$2:$J$15,MATCH(D56,Lists!$I$2:$I$15,0)),-1)=-1,"status '"&amp;D56&amp;"' is not a CONTRACTS status",IF(AND(D56="signed",COUNTIF(signed_offices!$W$2:$W$51,C56)=0),"status signed but no signed_offices row"&amp;IF(F56="N"," and no tracker row",""),IF(AND(IFERROR(INDEX(Lists!$J$2:$J$15,MATCH(D56,Lists!$I$2:$I$15,0)),-1)&gt;=6,F56="N"),"status "&amp;D56&amp;" but no tracker row",IF(AND(E56="Y",D56&lt;&gt;"do_not_contact"),"do_not_contact = Y but status is "&amp;D56,IF(AND(D56="do_not_contact",E56&lt;&gt;"Y"),"status do_not_contact but do_not_contact is not Y",""))))))</f>
        <v/>
      </c>
      <c r="I56" s="17" t="n">
        <v>35</v>
      </c>
      <c r="J56" s="17">
        <f>IFERROR(INDEX(Clay_Brands!$A$2:$FZ$601,I56,$D$5)&amp;"","")</f>
        <v/>
      </c>
      <c r="K56" s="17">
        <f>IFERROR(INDEX(Clay_Brands!$A$2:$FZ$601,I56,$D$7)&amp;"","")</f>
        <v/>
      </c>
      <c r="L56" s="17">
        <f>IFERROR(INDEX(Clay_Brands!$A$2:$FZ$601,I56,$D$8)&amp;"","")</f>
        <v/>
      </c>
      <c r="M56" s="17">
        <f>IF(J56="","",IF(COUNTIF(Brand_Log!$A$2:$A$201,J56)&gt;0,"Y","N"))</f>
        <v/>
      </c>
      <c r="N56" s="17">
        <f>IF(OR(J56="",AND(LEFT(J56,6)="SAMPLE",Config!$B$19&lt;&gt;"Y")),"",IF(IFERROR(INDEX(Lists!$J$2:$J$15,MATCH(K56,Lists!$I$2:$I$15,0)),-1)=-1,"status '"&amp;K56&amp;"' is not a CONTRACTS status",IF(AND(K56="paid",COUNTIF(paid_brands!$AC$2:$AC$51,J56)=0),"status paid but no paid_brands row"&amp;IF(M56="N"," and no tracker row",""),IF(AND(IFERROR(INDEX(Lists!$J$2:$J$15,MATCH(K56,Lists!$I$2:$I$15,0)),-1)&gt;=6,M56="N"),"status "&amp;K56&amp;" but no tracker row",IF(AND(L56="Y",K56&lt;&gt;"do_not_contact"),"do_not_contact = Y but status is "&amp;K56,IF(AND(K56="do_not_contact",L56&lt;&gt;"Y"),"status do_not_contact but do_not_contact is not Y",""))))))</f>
        <v/>
      </c>
      <c r="P56" s="17">
        <f>IF(signed_offices!W36="","",signed_offices!W36&amp;"")</f>
        <v/>
      </c>
      <c r="Q56" s="17">
        <f>IF(P56="","",IFERROR(INDEX(Clay_Offices!$A$2:$FZ$601,MATCH(P56,INDEX(Clay_Offices!$A$2:$FZ$601,0,$C$5),0),$C$7)&amp;"","not in Clay"))</f>
        <v/>
      </c>
      <c r="R56" s="17">
        <f>IF(OR(P56="",AND(LEFT(P56,6)="SAMPLE",Config!$B$19&lt;&gt;"Y")),"",IF(Q56="signed","","Clay status is "&amp;Q56&amp;": set signed"))</f>
        <v/>
      </c>
      <c r="T56" s="17">
        <f>IF(paid_brands!AC36="","",paid_brands!AC36&amp;"")</f>
        <v/>
      </c>
      <c r="U56" s="17">
        <f>IF(T56="","",IFERROR(INDEX(Clay_Brands!$A$2:$FZ$601,MATCH(T56,INDEX(Clay_Brands!$A$2:$FZ$601,0,$D$5),0),$D$7)&amp;"","not in Clay"))</f>
        <v/>
      </c>
      <c r="V56" s="17">
        <f>IF(OR(T56="",AND(LEFT(T56,6)="SAMPLE",Config!$B$19&lt;&gt;"Y")),"",IF(U56="paid","","Clay status is "&amp;U56&amp;": set paid"))</f>
        <v/>
      </c>
    </row>
    <row r="57">
      <c r="B57" s="17" t="n">
        <v>36</v>
      </c>
      <c r="C57" s="17">
        <f>IFERROR(INDEX(Clay_Offices!$A$2:$FZ$601,B57,$C$5)&amp;"","")</f>
        <v/>
      </c>
      <c r="D57" s="17">
        <f>IFERROR(INDEX(Clay_Offices!$A$2:$FZ$601,B57,$C$7)&amp;"","")</f>
        <v/>
      </c>
      <c r="E57" s="17">
        <f>IFERROR(INDEX(Clay_Offices!$A$2:$FZ$601,B57,$C$8)&amp;"","")</f>
        <v/>
      </c>
      <c r="F57" s="17">
        <f>IF(C57="","",IF(COUNTIF(Office_Log!$A$2:$A$201,C57)&gt;0,"Y","N"))</f>
        <v/>
      </c>
      <c r="G57" s="17">
        <f>IF(OR(C57="",AND(LEFT(C57,6)="SAMPLE",Config!$B$19&lt;&gt;"Y")),"",IF(IFERROR(INDEX(Lists!$J$2:$J$15,MATCH(D57,Lists!$I$2:$I$15,0)),-1)=-1,"status '"&amp;D57&amp;"' is not a CONTRACTS status",IF(AND(D57="signed",COUNTIF(signed_offices!$W$2:$W$51,C57)=0),"status signed but no signed_offices row"&amp;IF(F57="N"," and no tracker row",""),IF(AND(IFERROR(INDEX(Lists!$J$2:$J$15,MATCH(D57,Lists!$I$2:$I$15,0)),-1)&gt;=6,F57="N"),"status "&amp;D57&amp;" but no tracker row",IF(AND(E57="Y",D57&lt;&gt;"do_not_contact"),"do_not_contact = Y but status is "&amp;D57,IF(AND(D57="do_not_contact",E57&lt;&gt;"Y"),"status do_not_contact but do_not_contact is not Y",""))))))</f>
        <v/>
      </c>
      <c r="I57" s="17" t="n">
        <v>36</v>
      </c>
      <c r="J57" s="17">
        <f>IFERROR(INDEX(Clay_Brands!$A$2:$FZ$601,I57,$D$5)&amp;"","")</f>
        <v/>
      </c>
      <c r="K57" s="17">
        <f>IFERROR(INDEX(Clay_Brands!$A$2:$FZ$601,I57,$D$7)&amp;"","")</f>
        <v/>
      </c>
      <c r="L57" s="17">
        <f>IFERROR(INDEX(Clay_Brands!$A$2:$FZ$601,I57,$D$8)&amp;"","")</f>
        <v/>
      </c>
      <c r="M57" s="17">
        <f>IF(J57="","",IF(COUNTIF(Brand_Log!$A$2:$A$201,J57)&gt;0,"Y","N"))</f>
        <v/>
      </c>
      <c r="N57" s="17">
        <f>IF(OR(J57="",AND(LEFT(J57,6)="SAMPLE",Config!$B$19&lt;&gt;"Y")),"",IF(IFERROR(INDEX(Lists!$J$2:$J$15,MATCH(K57,Lists!$I$2:$I$15,0)),-1)=-1,"status '"&amp;K57&amp;"' is not a CONTRACTS status",IF(AND(K57="paid",COUNTIF(paid_brands!$AC$2:$AC$51,J57)=0),"status paid but no paid_brands row"&amp;IF(M57="N"," and no tracker row",""),IF(AND(IFERROR(INDEX(Lists!$J$2:$J$15,MATCH(K57,Lists!$I$2:$I$15,0)),-1)&gt;=6,M57="N"),"status "&amp;K57&amp;" but no tracker row",IF(AND(L57="Y",K57&lt;&gt;"do_not_contact"),"do_not_contact = Y but status is "&amp;K57,IF(AND(K57="do_not_contact",L57&lt;&gt;"Y"),"status do_not_contact but do_not_contact is not Y",""))))))</f>
        <v/>
      </c>
      <c r="P57" s="17">
        <f>IF(signed_offices!W37="","",signed_offices!W37&amp;"")</f>
        <v/>
      </c>
      <c r="Q57" s="17">
        <f>IF(P57="","",IFERROR(INDEX(Clay_Offices!$A$2:$FZ$601,MATCH(P57,INDEX(Clay_Offices!$A$2:$FZ$601,0,$C$5),0),$C$7)&amp;"","not in Clay"))</f>
        <v/>
      </c>
      <c r="R57" s="17">
        <f>IF(OR(P57="",AND(LEFT(P57,6)="SAMPLE",Config!$B$19&lt;&gt;"Y")),"",IF(Q57="signed","","Clay status is "&amp;Q57&amp;": set signed"))</f>
        <v/>
      </c>
      <c r="T57" s="17">
        <f>IF(paid_brands!AC37="","",paid_brands!AC37&amp;"")</f>
        <v/>
      </c>
      <c r="U57" s="17">
        <f>IF(T57="","",IFERROR(INDEX(Clay_Brands!$A$2:$FZ$601,MATCH(T57,INDEX(Clay_Brands!$A$2:$FZ$601,0,$D$5),0),$D$7)&amp;"","not in Clay"))</f>
        <v/>
      </c>
      <c r="V57" s="17">
        <f>IF(OR(T57="",AND(LEFT(T57,6)="SAMPLE",Config!$B$19&lt;&gt;"Y")),"",IF(U57="paid","","Clay status is "&amp;U57&amp;": set paid"))</f>
        <v/>
      </c>
    </row>
    <row r="58">
      <c r="B58" s="17" t="n">
        <v>37</v>
      </c>
      <c r="C58" s="17">
        <f>IFERROR(INDEX(Clay_Offices!$A$2:$FZ$601,B58,$C$5)&amp;"","")</f>
        <v/>
      </c>
      <c r="D58" s="17">
        <f>IFERROR(INDEX(Clay_Offices!$A$2:$FZ$601,B58,$C$7)&amp;"","")</f>
        <v/>
      </c>
      <c r="E58" s="17">
        <f>IFERROR(INDEX(Clay_Offices!$A$2:$FZ$601,B58,$C$8)&amp;"","")</f>
        <v/>
      </c>
      <c r="F58" s="17">
        <f>IF(C58="","",IF(COUNTIF(Office_Log!$A$2:$A$201,C58)&gt;0,"Y","N"))</f>
        <v/>
      </c>
      <c r="G58" s="17">
        <f>IF(OR(C58="",AND(LEFT(C58,6)="SAMPLE",Config!$B$19&lt;&gt;"Y")),"",IF(IFERROR(INDEX(Lists!$J$2:$J$15,MATCH(D58,Lists!$I$2:$I$15,0)),-1)=-1,"status '"&amp;D58&amp;"' is not a CONTRACTS status",IF(AND(D58="signed",COUNTIF(signed_offices!$W$2:$W$51,C58)=0),"status signed but no signed_offices row"&amp;IF(F58="N"," and no tracker row",""),IF(AND(IFERROR(INDEX(Lists!$J$2:$J$15,MATCH(D58,Lists!$I$2:$I$15,0)),-1)&gt;=6,F58="N"),"status "&amp;D58&amp;" but no tracker row",IF(AND(E58="Y",D58&lt;&gt;"do_not_contact"),"do_not_contact = Y but status is "&amp;D58,IF(AND(D58="do_not_contact",E58&lt;&gt;"Y"),"status do_not_contact but do_not_contact is not Y",""))))))</f>
        <v/>
      </c>
      <c r="I58" s="17" t="n">
        <v>37</v>
      </c>
      <c r="J58" s="17">
        <f>IFERROR(INDEX(Clay_Brands!$A$2:$FZ$601,I58,$D$5)&amp;"","")</f>
        <v/>
      </c>
      <c r="K58" s="17">
        <f>IFERROR(INDEX(Clay_Brands!$A$2:$FZ$601,I58,$D$7)&amp;"","")</f>
        <v/>
      </c>
      <c r="L58" s="17">
        <f>IFERROR(INDEX(Clay_Brands!$A$2:$FZ$601,I58,$D$8)&amp;"","")</f>
        <v/>
      </c>
      <c r="M58" s="17">
        <f>IF(J58="","",IF(COUNTIF(Brand_Log!$A$2:$A$201,J58)&gt;0,"Y","N"))</f>
        <v/>
      </c>
      <c r="N58" s="17">
        <f>IF(OR(J58="",AND(LEFT(J58,6)="SAMPLE",Config!$B$19&lt;&gt;"Y")),"",IF(IFERROR(INDEX(Lists!$J$2:$J$15,MATCH(K58,Lists!$I$2:$I$15,0)),-1)=-1,"status '"&amp;K58&amp;"' is not a CONTRACTS status",IF(AND(K58="paid",COUNTIF(paid_brands!$AC$2:$AC$51,J58)=0),"status paid but no paid_brands row"&amp;IF(M58="N"," and no tracker row",""),IF(AND(IFERROR(INDEX(Lists!$J$2:$J$15,MATCH(K58,Lists!$I$2:$I$15,0)),-1)&gt;=6,M58="N"),"status "&amp;K58&amp;" but no tracker row",IF(AND(L58="Y",K58&lt;&gt;"do_not_contact"),"do_not_contact = Y but status is "&amp;K58,IF(AND(K58="do_not_contact",L58&lt;&gt;"Y"),"status do_not_contact but do_not_contact is not Y",""))))))</f>
        <v/>
      </c>
      <c r="P58" s="17">
        <f>IF(signed_offices!W38="","",signed_offices!W38&amp;"")</f>
        <v/>
      </c>
      <c r="Q58" s="17">
        <f>IF(P58="","",IFERROR(INDEX(Clay_Offices!$A$2:$FZ$601,MATCH(P58,INDEX(Clay_Offices!$A$2:$FZ$601,0,$C$5),0),$C$7)&amp;"","not in Clay"))</f>
        <v/>
      </c>
      <c r="R58" s="17">
        <f>IF(OR(P58="",AND(LEFT(P58,6)="SAMPLE",Config!$B$19&lt;&gt;"Y")),"",IF(Q58="signed","","Clay status is "&amp;Q58&amp;": set signed"))</f>
        <v/>
      </c>
      <c r="T58" s="17">
        <f>IF(paid_brands!AC38="","",paid_brands!AC38&amp;"")</f>
        <v/>
      </c>
      <c r="U58" s="17">
        <f>IF(T58="","",IFERROR(INDEX(Clay_Brands!$A$2:$FZ$601,MATCH(T58,INDEX(Clay_Brands!$A$2:$FZ$601,0,$D$5),0),$D$7)&amp;"","not in Clay"))</f>
        <v/>
      </c>
      <c r="V58" s="17">
        <f>IF(OR(T58="",AND(LEFT(T58,6)="SAMPLE",Config!$B$19&lt;&gt;"Y")),"",IF(U58="paid","","Clay status is "&amp;U58&amp;": set paid"))</f>
        <v/>
      </c>
    </row>
    <row r="59">
      <c r="B59" s="17" t="n">
        <v>38</v>
      </c>
      <c r="C59" s="17">
        <f>IFERROR(INDEX(Clay_Offices!$A$2:$FZ$601,B59,$C$5)&amp;"","")</f>
        <v/>
      </c>
      <c r="D59" s="17">
        <f>IFERROR(INDEX(Clay_Offices!$A$2:$FZ$601,B59,$C$7)&amp;"","")</f>
        <v/>
      </c>
      <c r="E59" s="17">
        <f>IFERROR(INDEX(Clay_Offices!$A$2:$FZ$601,B59,$C$8)&amp;"","")</f>
        <v/>
      </c>
      <c r="F59" s="17">
        <f>IF(C59="","",IF(COUNTIF(Office_Log!$A$2:$A$201,C59)&gt;0,"Y","N"))</f>
        <v/>
      </c>
      <c r="G59" s="17">
        <f>IF(OR(C59="",AND(LEFT(C59,6)="SAMPLE",Config!$B$19&lt;&gt;"Y")),"",IF(IFERROR(INDEX(Lists!$J$2:$J$15,MATCH(D59,Lists!$I$2:$I$15,0)),-1)=-1,"status '"&amp;D59&amp;"' is not a CONTRACTS status",IF(AND(D59="signed",COUNTIF(signed_offices!$W$2:$W$51,C59)=0),"status signed but no signed_offices row"&amp;IF(F59="N"," and no tracker row",""),IF(AND(IFERROR(INDEX(Lists!$J$2:$J$15,MATCH(D59,Lists!$I$2:$I$15,0)),-1)&gt;=6,F59="N"),"status "&amp;D59&amp;" but no tracker row",IF(AND(E59="Y",D59&lt;&gt;"do_not_contact"),"do_not_contact = Y but status is "&amp;D59,IF(AND(D59="do_not_contact",E59&lt;&gt;"Y"),"status do_not_contact but do_not_contact is not Y",""))))))</f>
        <v/>
      </c>
      <c r="I59" s="17" t="n">
        <v>38</v>
      </c>
      <c r="J59" s="17">
        <f>IFERROR(INDEX(Clay_Brands!$A$2:$FZ$601,I59,$D$5)&amp;"","")</f>
        <v/>
      </c>
      <c r="K59" s="17">
        <f>IFERROR(INDEX(Clay_Brands!$A$2:$FZ$601,I59,$D$7)&amp;"","")</f>
        <v/>
      </c>
      <c r="L59" s="17">
        <f>IFERROR(INDEX(Clay_Brands!$A$2:$FZ$601,I59,$D$8)&amp;"","")</f>
        <v/>
      </c>
      <c r="M59" s="17">
        <f>IF(J59="","",IF(COUNTIF(Brand_Log!$A$2:$A$201,J59)&gt;0,"Y","N"))</f>
        <v/>
      </c>
      <c r="N59" s="17">
        <f>IF(OR(J59="",AND(LEFT(J59,6)="SAMPLE",Config!$B$19&lt;&gt;"Y")),"",IF(IFERROR(INDEX(Lists!$J$2:$J$15,MATCH(K59,Lists!$I$2:$I$15,0)),-1)=-1,"status '"&amp;K59&amp;"' is not a CONTRACTS status",IF(AND(K59="paid",COUNTIF(paid_brands!$AC$2:$AC$51,J59)=0),"status paid but no paid_brands row"&amp;IF(M59="N"," and no tracker row",""),IF(AND(IFERROR(INDEX(Lists!$J$2:$J$15,MATCH(K59,Lists!$I$2:$I$15,0)),-1)&gt;=6,M59="N"),"status "&amp;K59&amp;" but no tracker row",IF(AND(L59="Y",K59&lt;&gt;"do_not_contact"),"do_not_contact = Y but status is "&amp;K59,IF(AND(K59="do_not_contact",L59&lt;&gt;"Y"),"status do_not_contact but do_not_contact is not Y",""))))))</f>
        <v/>
      </c>
      <c r="P59" s="17">
        <f>IF(signed_offices!W39="","",signed_offices!W39&amp;"")</f>
        <v/>
      </c>
      <c r="Q59" s="17">
        <f>IF(P59="","",IFERROR(INDEX(Clay_Offices!$A$2:$FZ$601,MATCH(P59,INDEX(Clay_Offices!$A$2:$FZ$601,0,$C$5),0),$C$7)&amp;"","not in Clay"))</f>
        <v/>
      </c>
      <c r="R59" s="17">
        <f>IF(OR(P59="",AND(LEFT(P59,6)="SAMPLE",Config!$B$19&lt;&gt;"Y")),"",IF(Q59="signed","","Clay status is "&amp;Q59&amp;": set signed"))</f>
        <v/>
      </c>
      <c r="T59" s="17">
        <f>IF(paid_brands!AC39="","",paid_brands!AC39&amp;"")</f>
        <v/>
      </c>
      <c r="U59" s="17">
        <f>IF(T59="","",IFERROR(INDEX(Clay_Brands!$A$2:$FZ$601,MATCH(T59,INDEX(Clay_Brands!$A$2:$FZ$601,0,$D$5),0),$D$7)&amp;"","not in Clay"))</f>
        <v/>
      </c>
      <c r="V59" s="17">
        <f>IF(OR(T59="",AND(LEFT(T59,6)="SAMPLE",Config!$B$19&lt;&gt;"Y")),"",IF(U59="paid","","Clay status is "&amp;U59&amp;": set paid"))</f>
        <v/>
      </c>
    </row>
    <row r="60">
      <c r="B60" s="17" t="n">
        <v>39</v>
      </c>
      <c r="C60" s="17">
        <f>IFERROR(INDEX(Clay_Offices!$A$2:$FZ$601,B60,$C$5)&amp;"","")</f>
        <v/>
      </c>
      <c r="D60" s="17">
        <f>IFERROR(INDEX(Clay_Offices!$A$2:$FZ$601,B60,$C$7)&amp;"","")</f>
        <v/>
      </c>
      <c r="E60" s="17">
        <f>IFERROR(INDEX(Clay_Offices!$A$2:$FZ$601,B60,$C$8)&amp;"","")</f>
        <v/>
      </c>
      <c r="F60" s="17">
        <f>IF(C60="","",IF(COUNTIF(Office_Log!$A$2:$A$201,C60)&gt;0,"Y","N"))</f>
        <v/>
      </c>
      <c r="G60" s="17">
        <f>IF(OR(C60="",AND(LEFT(C60,6)="SAMPLE",Config!$B$19&lt;&gt;"Y")),"",IF(IFERROR(INDEX(Lists!$J$2:$J$15,MATCH(D60,Lists!$I$2:$I$15,0)),-1)=-1,"status '"&amp;D60&amp;"' is not a CONTRACTS status",IF(AND(D60="signed",COUNTIF(signed_offices!$W$2:$W$51,C60)=0),"status signed but no signed_offices row"&amp;IF(F60="N"," and no tracker row",""),IF(AND(IFERROR(INDEX(Lists!$J$2:$J$15,MATCH(D60,Lists!$I$2:$I$15,0)),-1)&gt;=6,F60="N"),"status "&amp;D60&amp;" but no tracker row",IF(AND(E60="Y",D60&lt;&gt;"do_not_contact"),"do_not_contact = Y but status is "&amp;D60,IF(AND(D60="do_not_contact",E60&lt;&gt;"Y"),"status do_not_contact but do_not_contact is not Y",""))))))</f>
        <v/>
      </c>
      <c r="I60" s="17" t="n">
        <v>39</v>
      </c>
      <c r="J60" s="17">
        <f>IFERROR(INDEX(Clay_Brands!$A$2:$FZ$601,I60,$D$5)&amp;"","")</f>
        <v/>
      </c>
      <c r="K60" s="17">
        <f>IFERROR(INDEX(Clay_Brands!$A$2:$FZ$601,I60,$D$7)&amp;"","")</f>
        <v/>
      </c>
      <c r="L60" s="17">
        <f>IFERROR(INDEX(Clay_Brands!$A$2:$FZ$601,I60,$D$8)&amp;"","")</f>
        <v/>
      </c>
      <c r="M60" s="17">
        <f>IF(J60="","",IF(COUNTIF(Brand_Log!$A$2:$A$201,J60)&gt;0,"Y","N"))</f>
        <v/>
      </c>
      <c r="N60" s="17">
        <f>IF(OR(J60="",AND(LEFT(J60,6)="SAMPLE",Config!$B$19&lt;&gt;"Y")),"",IF(IFERROR(INDEX(Lists!$J$2:$J$15,MATCH(K60,Lists!$I$2:$I$15,0)),-1)=-1,"status '"&amp;K60&amp;"' is not a CONTRACTS status",IF(AND(K60="paid",COUNTIF(paid_brands!$AC$2:$AC$51,J60)=0),"status paid but no paid_brands row"&amp;IF(M60="N"," and no tracker row",""),IF(AND(IFERROR(INDEX(Lists!$J$2:$J$15,MATCH(K60,Lists!$I$2:$I$15,0)),-1)&gt;=6,M60="N"),"status "&amp;K60&amp;" but no tracker row",IF(AND(L60="Y",K60&lt;&gt;"do_not_contact"),"do_not_contact = Y but status is "&amp;K60,IF(AND(K60="do_not_contact",L60&lt;&gt;"Y"),"status do_not_contact but do_not_contact is not Y",""))))))</f>
        <v/>
      </c>
      <c r="P60" s="17">
        <f>IF(signed_offices!W40="","",signed_offices!W40&amp;"")</f>
        <v/>
      </c>
      <c r="Q60" s="17">
        <f>IF(P60="","",IFERROR(INDEX(Clay_Offices!$A$2:$FZ$601,MATCH(P60,INDEX(Clay_Offices!$A$2:$FZ$601,0,$C$5),0),$C$7)&amp;"","not in Clay"))</f>
        <v/>
      </c>
      <c r="R60" s="17">
        <f>IF(OR(P60="",AND(LEFT(P60,6)="SAMPLE",Config!$B$19&lt;&gt;"Y")),"",IF(Q60="signed","","Clay status is "&amp;Q60&amp;": set signed"))</f>
        <v/>
      </c>
      <c r="T60" s="17">
        <f>IF(paid_brands!AC40="","",paid_brands!AC40&amp;"")</f>
        <v/>
      </c>
      <c r="U60" s="17">
        <f>IF(T60="","",IFERROR(INDEX(Clay_Brands!$A$2:$FZ$601,MATCH(T60,INDEX(Clay_Brands!$A$2:$FZ$601,0,$D$5),0),$D$7)&amp;"","not in Clay"))</f>
        <v/>
      </c>
      <c r="V60" s="17">
        <f>IF(OR(T60="",AND(LEFT(T60,6)="SAMPLE",Config!$B$19&lt;&gt;"Y")),"",IF(U60="paid","","Clay status is "&amp;U60&amp;": set paid"))</f>
        <v/>
      </c>
    </row>
    <row r="61">
      <c r="B61" s="17" t="n">
        <v>40</v>
      </c>
      <c r="C61" s="17">
        <f>IFERROR(INDEX(Clay_Offices!$A$2:$FZ$601,B61,$C$5)&amp;"","")</f>
        <v/>
      </c>
      <c r="D61" s="17">
        <f>IFERROR(INDEX(Clay_Offices!$A$2:$FZ$601,B61,$C$7)&amp;"","")</f>
        <v/>
      </c>
      <c r="E61" s="17">
        <f>IFERROR(INDEX(Clay_Offices!$A$2:$FZ$601,B61,$C$8)&amp;"","")</f>
        <v/>
      </c>
      <c r="F61" s="17">
        <f>IF(C61="","",IF(COUNTIF(Office_Log!$A$2:$A$201,C61)&gt;0,"Y","N"))</f>
        <v/>
      </c>
      <c r="G61" s="17">
        <f>IF(OR(C61="",AND(LEFT(C61,6)="SAMPLE",Config!$B$19&lt;&gt;"Y")),"",IF(IFERROR(INDEX(Lists!$J$2:$J$15,MATCH(D61,Lists!$I$2:$I$15,0)),-1)=-1,"status '"&amp;D61&amp;"' is not a CONTRACTS status",IF(AND(D61="signed",COUNTIF(signed_offices!$W$2:$W$51,C61)=0),"status signed but no signed_offices row"&amp;IF(F61="N"," and no tracker row",""),IF(AND(IFERROR(INDEX(Lists!$J$2:$J$15,MATCH(D61,Lists!$I$2:$I$15,0)),-1)&gt;=6,F61="N"),"status "&amp;D61&amp;" but no tracker row",IF(AND(E61="Y",D61&lt;&gt;"do_not_contact"),"do_not_contact = Y but status is "&amp;D61,IF(AND(D61="do_not_contact",E61&lt;&gt;"Y"),"status do_not_contact but do_not_contact is not Y",""))))))</f>
        <v/>
      </c>
      <c r="I61" s="17" t="n">
        <v>40</v>
      </c>
      <c r="J61" s="17">
        <f>IFERROR(INDEX(Clay_Brands!$A$2:$FZ$601,I61,$D$5)&amp;"","")</f>
        <v/>
      </c>
      <c r="K61" s="17">
        <f>IFERROR(INDEX(Clay_Brands!$A$2:$FZ$601,I61,$D$7)&amp;"","")</f>
        <v/>
      </c>
      <c r="L61" s="17">
        <f>IFERROR(INDEX(Clay_Brands!$A$2:$FZ$601,I61,$D$8)&amp;"","")</f>
        <v/>
      </c>
      <c r="M61" s="17">
        <f>IF(J61="","",IF(COUNTIF(Brand_Log!$A$2:$A$201,J61)&gt;0,"Y","N"))</f>
        <v/>
      </c>
      <c r="N61" s="17">
        <f>IF(OR(J61="",AND(LEFT(J61,6)="SAMPLE",Config!$B$19&lt;&gt;"Y")),"",IF(IFERROR(INDEX(Lists!$J$2:$J$15,MATCH(K61,Lists!$I$2:$I$15,0)),-1)=-1,"status '"&amp;K61&amp;"' is not a CONTRACTS status",IF(AND(K61="paid",COUNTIF(paid_brands!$AC$2:$AC$51,J61)=0),"status paid but no paid_brands row"&amp;IF(M61="N"," and no tracker row",""),IF(AND(IFERROR(INDEX(Lists!$J$2:$J$15,MATCH(K61,Lists!$I$2:$I$15,0)),-1)&gt;=6,M61="N"),"status "&amp;K61&amp;" but no tracker row",IF(AND(L61="Y",K61&lt;&gt;"do_not_contact"),"do_not_contact = Y but status is "&amp;K61,IF(AND(K61="do_not_contact",L61&lt;&gt;"Y"),"status do_not_contact but do_not_contact is not Y",""))))))</f>
        <v/>
      </c>
      <c r="P61" s="17">
        <f>IF(signed_offices!W41="","",signed_offices!W41&amp;"")</f>
        <v/>
      </c>
      <c r="Q61" s="17">
        <f>IF(P61="","",IFERROR(INDEX(Clay_Offices!$A$2:$FZ$601,MATCH(P61,INDEX(Clay_Offices!$A$2:$FZ$601,0,$C$5),0),$C$7)&amp;"","not in Clay"))</f>
        <v/>
      </c>
      <c r="R61" s="17">
        <f>IF(OR(P61="",AND(LEFT(P61,6)="SAMPLE",Config!$B$19&lt;&gt;"Y")),"",IF(Q61="signed","","Clay status is "&amp;Q61&amp;": set signed"))</f>
        <v/>
      </c>
      <c r="T61" s="17">
        <f>IF(paid_brands!AC41="","",paid_brands!AC41&amp;"")</f>
        <v/>
      </c>
      <c r="U61" s="17">
        <f>IF(T61="","",IFERROR(INDEX(Clay_Brands!$A$2:$FZ$601,MATCH(T61,INDEX(Clay_Brands!$A$2:$FZ$601,0,$D$5),0),$D$7)&amp;"","not in Clay"))</f>
        <v/>
      </c>
      <c r="V61" s="17">
        <f>IF(OR(T61="",AND(LEFT(T61,6)="SAMPLE",Config!$B$19&lt;&gt;"Y")),"",IF(U61="paid","","Clay status is "&amp;U61&amp;": set paid"))</f>
        <v/>
      </c>
    </row>
    <row r="62">
      <c r="B62" s="17" t="n">
        <v>41</v>
      </c>
      <c r="C62" s="17">
        <f>IFERROR(INDEX(Clay_Offices!$A$2:$FZ$601,B62,$C$5)&amp;"","")</f>
        <v/>
      </c>
      <c r="D62" s="17">
        <f>IFERROR(INDEX(Clay_Offices!$A$2:$FZ$601,B62,$C$7)&amp;"","")</f>
        <v/>
      </c>
      <c r="E62" s="17">
        <f>IFERROR(INDEX(Clay_Offices!$A$2:$FZ$601,B62,$C$8)&amp;"","")</f>
        <v/>
      </c>
      <c r="F62" s="17">
        <f>IF(C62="","",IF(COUNTIF(Office_Log!$A$2:$A$201,C62)&gt;0,"Y","N"))</f>
        <v/>
      </c>
      <c r="G62" s="17">
        <f>IF(OR(C62="",AND(LEFT(C62,6)="SAMPLE",Config!$B$19&lt;&gt;"Y")),"",IF(IFERROR(INDEX(Lists!$J$2:$J$15,MATCH(D62,Lists!$I$2:$I$15,0)),-1)=-1,"status '"&amp;D62&amp;"' is not a CONTRACTS status",IF(AND(D62="signed",COUNTIF(signed_offices!$W$2:$W$51,C62)=0),"status signed but no signed_offices row"&amp;IF(F62="N"," and no tracker row",""),IF(AND(IFERROR(INDEX(Lists!$J$2:$J$15,MATCH(D62,Lists!$I$2:$I$15,0)),-1)&gt;=6,F62="N"),"status "&amp;D62&amp;" but no tracker row",IF(AND(E62="Y",D62&lt;&gt;"do_not_contact"),"do_not_contact = Y but status is "&amp;D62,IF(AND(D62="do_not_contact",E62&lt;&gt;"Y"),"status do_not_contact but do_not_contact is not Y",""))))))</f>
        <v/>
      </c>
      <c r="I62" s="17" t="n">
        <v>41</v>
      </c>
      <c r="J62" s="17">
        <f>IFERROR(INDEX(Clay_Brands!$A$2:$FZ$601,I62,$D$5)&amp;"","")</f>
        <v/>
      </c>
      <c r="K62" s="17">
        <f>IFERROR(INDEX(Clay_Brands!$A$2:$FZ$601,I62,$D$7)&amp;"","")</f>
        <v/>
      </c>
      <c r="L62" s="17">
        <f>IFERROR(INDEX(Clay_Brands!$A$2:$FZ$601,I62,$D$8)&amp;"","")</f>
        <v/>
      </c>
      <c r="M62" s="17">
        <f>IF(J62="","",IF(COUNTIF(Brand_Log!$A$2:$A$201,J62)&gt;0,"Y","N"))</f>
        <v/>
      </c>
      <c r="N62" s="17">
        <f>IF(OR(J62="",AND(LEFT(J62,6)="SAMPLE",Config!$B$19&lt;&gt;"Y")),"",IF(IFERROR(INDEX(Lists!$J$2:$J$15,MATCH(K62,Lists!$I$2:$I$15,0)),-1)=-1,"status '"&amp;K62&amp;"' is not a CONTRACTS status",IF(AND(K62="paid",COUNTIF(paid_brands!$AC$2:$AC$51,J62)=0),"status paid but no paid_brands row"&amp;IF(M62="N"," and no tracker row",""),IF(AND(IFERROR(INDEX(Lists!$J$2:$J$15,MATCH(K62,Lists!$I$2:$I$15,0)),-1)&gt;=6,M62="N"),"status "&amp;K62&amp;" but no tracker row",IF(AND(L62="Y",K62&lt;&gt;"do_not_contact"),"do_not_contact = Y but status is "&amp;K62,IF(AND(K62="do_not_contact",L62&lt;&gt;"Y"),"status do_not_contact but do_not_contact is not Y",""))))))</f>
        <v/>
      </c>
      <c r="P62" s="17">
        <f>IF(signed_offices!W42="","",signed_offices!W42&amp;"")</f>
        <v/>
      </c>
      <c r="Q62" s="17">
        <f>IF(P62="","",IFERROR(INDEX(Clay_Offices!$A$2:$FZ$601,MATCH(P62,INDEX(Clay_Offices!$A$2:$FZ$601,0,$C$5),0),$C$7)&amp;"","not in Clay"))</f>
        <v/>
      </c>
      <c r="R62" s="17">
        <f>IF(OR(P62="",AND(LEFT(P62,6)="SAMPLE",Config!$B$19&lt;&gt;"Y")),"",IF(Q62="signed","","Clay status is "&amp;Q62&amp;": set signed"))</f>
        <v/>
      </c>
      <c r="T62" s="17">
        <f>IF(paid_brands!AC42="","",paid_brands!AC42&amp;"")</f>
        <v/>
      </c>
      <c r="U62" s="17">
        <f>IF(T62="","",IFERROR(INDEX(Clay_Brands!$A$2:$FZ$601,MATCH(T62,INDEX(Clay_Brands!$A$2:$FZ$601,0,$D$5),0),$D$7)&amp;"","not in Clay"))</f>
        <v/>
      </c>
      <c r="V62" s="17">
        <f>IF(OR(T62="",AND(LEFT(T62,6)="SAMPLE",Config!$B$19&lt;&gt;"Y")),"",IF(U62="paid","","Clay status is "&amp;U62&amp;": set paid"))</f>
        <v/>
      </c>
    </row>
    <row r="63">
      <c r="B63" s="17" t="n">
        <v>42</v>
      </c>
      <c r="C63" s="17">
        <f>IFERROR(INDEX(Clay_Offices!$A$2:$FZ$601,B63,$C$5)&amp;"","")</f>
        <v/>
      </c>
      <c r="D63" s="17">
        <f>IFERROR(INDEX(Clay_Offices!$A$2:$FZ$601,B63,$C$7)&amp;"","")</f>
        <v/>
      </c>
      <c r="E63" s="17">
        <f>IFERROR(INDEX(Clay_Offices!$A$2:$FZ$601,B63,$C$8)&amp;"","")</f>
        <v/>
      </c>
      <c r="F63" s="17">
        <f>IF(C63="","",IF(COUNTIF(Office_Log!$A$2:$A$201,C63)&gt;0,"Y","N"))</f>
        <v/>
      </c>
      <c r="G63" s="17">
        <f>IF(OR(C63="",AND(LEFT(C63,6)="SAMPLE",Config!$B$19&lt;&gt;"Y")),"",IF(IFERROR(INDEX(Lists!$J$2:$J$15,MATCH(D63,Lists!$I$2:$I$15,0)),-1)=-1,"status '"&amp;D63&amp;"' is not a CONTRACTS status",IF(AND(D63="signed",COUNTIF(signed_offices!$W$2:$W$51,C63)=0),"status signed but no signed_offices row"&amp;IF(F63="N"," and no tracker row",""),IF(AND(IFERROR(INDEX(Lists!$J$2:$J$15,MATCH(D63,Lists!$I$2:$I$15,0)),-1)&gt;=6,F63="N"),"status "&amp;D63&amp;" but no tracker row",IF(AND(E63="Y",D63&lt;&gt;"do_not_contact"),"do_not_contact = Y but status is "&amp;D63,IF(AND(D63="do_not_contact",E63&lt;&gt;"Y"),"status do_not_contact but do_not_contact is not Y",""))))))</f>
        <v/>
      </c>
      <c r="I63" s="17" t="n">
        <v>42</v>
      </c>
      <c r="J63" s="17">
        <f>IFERROR(INDEX(Clay_Brands!$A$2:$FZ$601,I63,$D$5)&amp;"","")</f>
        <v/>
      </c>
      <c r="K63" s="17">
        <f>IFERROR(INDEX(Clay_Brands!$A$2:$FZ$601,I63,$D$7)&amp;"","")</f>
        <v/>
      </c>
      <c r="L63" s="17">
        <f>IFERROR(INDEX(Clay_Brands!$A$2:$FZ$601,I63,$D$8)&amp;"","")</f>
        <v/>
      </c>
      <c r="M63" s="17">
        <f>IF(J63="","",IF(COUNTIF(Brand_Log!$A$2:$A$201,J63)&gt;0,"Y","N"))</f>
        <v/>
      </c>
      <c r="N63" s="17">
        <f>IF(OR(J63="",AND(LEFT(J63,6)="SAMPLE",Config!$B$19&lt;&gt;"Y")),"",IF(IFERROR(INDEX(Lists!$J$2:$J$15,MATCH(K63,Lists!$I$2:$I$15,0)),-1)=-1,"status '"&amp;K63&amp;"' is not a CONTRACTS status",IF(AND(K63="paid",COUNTIF(paid_brands!$AC$2:$AC$51,J63)=0),"status paid but no paid_brands row"&amp;IF(M63="N"," and no tracker row",""),IF(AND(IFERROR(INDEX(Lists!$J$2:$J$15,MATCH(K63,Lists!$I$2:$I$15,0)),-1)&gt;=6,M63="N"),"status "&amp;K63&amp;" but no tracker row",IF(AND(L63="Y",K63&lt;&gt;"do_not_contact"),"do_not_contact = Y but status is "&amp;K63,IF(AND(K63="do_not_contact",L63&lt;&gt;"Y"),"status do_not_contact but do_not_contact is not Y",""))))))</f>
        <v/>
      </c>
      <c r="P63" s="17">
        <f>IF(signed_offices!W43="","",signed_offices!W43&amp;"")</f>
        <v/>
      </c>
      <c r="Q63" s="17">
        <f>IF(P63="","",IFERROR(INDEX(Clay_Offices!$A$2:$FZ$601,MATCH(P63,INDEX(Clay_Offices!$A$2:$FZ$601,0,$C$5),0),$C$7)&amp;"","not in Clay"))</f>
        <v/>
      </c>
      <c r="R63" s="17">
        <f>IF(OR(P63="",AND(LEFT(P63,6)="SAMPLE",Config!$B$19&lt;&gt;"Y")),"",IF(Q63="signed","","Clay status is "&amp;Q63&amp;": set signed"))</f>
        <v/>
      </c>
      <c r="T63" s="17">
        <f>IF(paid_brands!AC43="","",paid_brands!AC43&amp;"")</f>
        <v/>
      </c>
      <c r="U63" s="17">
        <f>IF(T63="","",IFERROR(INDEX(Clay_Brands!$A$2:$FZ$601,MATCH(T63,INDEX(Clay_Brands!$A$2:$FZ$601,0,$D$5),0),$D$7)&amp;"","not in Clay"))</f>
        <v/>
      </c>
      <c r="V63" s="17">
        <f>IF(OR(T63="",AND(LEFT(T63,6)="SAMPLE",Config!$B$19&lt;&gt;"Y")),"",IF(U63="paid","","Clay status is "&amp;U63&amp;": set paid"))</f>
        <v/>
      </c>
    </row>
    <row r="64">
      <c r="B64" s="17" t="n">
        <v>43</v>
      </c>
      <c r="C64" s="17">
        <f>IFERROR(INDEX(Clay_Offices!$A$2:$FZ$601,B64,$C$5)&amp;"","")</f>
        <v/>
      </c>
      <c r="D64" s="17">
        <f>IFERROR(INDEX(Clay_Offices!$A$2:$FZ$601,B64,$C$7)&amp;"","")</f>
        <v/>
      </c>
      <c r="E64" s="17">
        <f>IFERROR(INDEX(Clay_Offices!$A$2:$FZ$601,B64,$C$8)&amp;"","")</f>
        <v/>
      </c>
      <c r="F64" s="17">
        <f>IF(C64="","",IF(COUNTIF(Office_Log!$A$2:$A$201,C64)&gt;0,"Y","N"))</f>
        <v/>
      </c>
      <c r="G64" s="17">
        <f>IF(OR(C64="",AND(LEFT(C64,6)="SAMPLE",Config!$B$19&lt;&gt;"Y")),"",IF(IFERROR(INDEX(Lists!$J$2:$J$15,MATCH(D64,Lists!$I$2:$I$15,0)),-1)=-1,"status '"&amp;D64&amp;"' is not a CONTRACTS status",IF(AND(D64="signed",COUNTIF(signed_offices!$W$2:$W$51,C64)=0),"status signed but no signed_offices row"&amp;IF(F64="N"," and no tracker row",""),IF(AND(IFERROR(INDEX(Lists!$J$2:$J$15,MATCH(D64,Lists!$I$2:$I$15,0)),-1)&gt;=6,F64="N"),"status "&amp;D64&amp;" but no tracker row",IF(AND(E64="Y",D64&lt;&gt;"do_not_contact"),"do_not_contact = Y but status is "&amp;D64,IF(AND(D64="do_not_contact",E64&lt;&gt;"Y"),"status do_not_contact but do_not_contact is not Y",""))))))</f>
        <v/>
      </c>
      <c r="I64" s="17" t="n">
        <v>43</v>
      </c>
      <c r="J64" s="17">
        <f>IFERROR(INDEX(Clay_Brands!$A$2:$FZ$601,I64,$D$5)&amp;"","")</f>
        <v/>
      </c>
      <c r="K64" s="17">
        <f>IFERROR(INDEX(Clay_Brands!$A$2:$FZ$601,I64,$D$7)&amp;"","")</f>
        <v/>
      </c>
      <c r="L64" s="17">
        <f>IFERROR(INDEX(Clay_Brands!$A$2:$FZ$601,I64,$D$8)&amp;"","")</f>
        <v/>
      </c>
      <c r="M64" s="17">
        <f>IF(J64="","",IF(COUNTIF(Brand_Log!$A$2:$A$201,J64)&gt;0,"Y","N"))</f>
        <v/>
      </c>
      <c r="N64" s="17">
        <f>IF(OR(J64="",AND(LEFT(J64,6)="SAMPLE",Config!$B$19&lt;&gt;"Y")),"",IF(IFERROR(INDEX(Lists!$J$2:$J$15,MATCH(K64,Lists!$I$2:$I$15,0)),-1)=-1,"status '"&amp;K64&amp;"' is not a CONTRACTS status",IF(AND(K64="paid",COUNTIF(paid_brands!$AC$2:$AC$51,J64)=0),"status paid but no paid_brands row"&amp;IF(M64="N"," and no tracker row",""),IF(AND(IFERROR(INDEX(Lists!$J$2:$J$15,MATCH(K64,Lists!$I$2:$I$15,0)),-1)&gt;=6,M64="N"),"status "&amp;K64&amp;" but no tracker row",IF(AND(L64="Y",K64&lt;&gt;"do_not_contact"),"do_not_contact = Y but status is "&amp;K64,IF(AND(K64="do_not_contact",L64&lt;&gt;"Y"),"status do_not_contact but do_not_contact is not Y",""))))))</f>
        <v/>
      </c>
      <c r="P64" s="17">
        <f>IF(signed_offices!W44="","",signed_offices!W44&amp;"")</f>
        <v/>
      </c>
      <c r="Q64" s="17">
        <f>IF(P64="","",IFERROR(INDEX(Clay_Offices!$A$2:$FZ$601,MATCH(P64,INDEX(Clay_Offices!$A$2:$FZ$601,0,$C$5),0),$C$7)&amp;"","not in Clay"))</f>
        <v/>
      </c>
      <c r="R64" s="17">
        <f>IF(OR(P64="",AND(LEFT(P64,6)="SAMPLE",Config!$B$19&lt;&gt;"Y")),"",IF(Q64="signed","","Clay status is "&amp;Q64&amp;": set signed"))</f>
        <v/>
      </c>
      <c r="T64" s="17">
        <f>IF(paid_brands!AC44="","",paid_brands!AC44&amp;"")</f>
        <v/>
      </c>
      <c r="U64" s="17">
        <f>IF(T64="","",IFERROR(INDEX(Clay_Brands!$A$2:$FZ$601,MATCH(T64,INDEX(Clay_Brands!$A$2:$FZ$601,0,$D$5),0),$D$7)&amp;"","not in Clay"))</f>
        <v/>
      </c>
      <c r="V64" s="17">
        <f>IF(OR(T64="",AND(LEFT(T64,6)="SAMPLE",Config!$B$19&lt;&gt;"Y")),"",IF(U64="paid","","Clay status is "&amp;U64&amp;": set paid"))</f>
        <v/>
      </c>
    </row>
    <row r="65">
      <c r="B65" s="17" t="n">
        <v>44</v>
      </c>
      <c r="C65" s="17">
        <f>IFERROR(INDEX(Clay_Offices!$A$2:$FZ$601,B65,$C$5)&amp;"","")</f>
        <v/>
      </c>
      <c r="D65" s="17">
        <f>IFERROR(INDEX(Clay_Offices!$A$2:$FZ$601,B65,$C$7)&amp;"","")</f>
        <v/>
      </c>
      <c r="E65" s="17">
        <f>IFERROR(INDEX(Clay_Offices!$A$2:$FZ$601,B65,$C$8)&amp;"","")</f>
        <v/>
      </c>
      <c r="F65" s="17">
        <f>IF(C65="","",IF(COUNTIF(Office_Log!$A$2:$A$201,C65)&gt;0,"Y","N"))</f>
        <v/>
      </c>
      <c r="G65" s="17">
        <f>IF(OR(C65="",AND(LEFT(C65,6)="SAMPLE",Config!$B$19&lt;&gt;"Y")),"",IF(IFERROR(INDEX(Lists!$J$2:$J$15,MATCH(D65,Lists!$I$2:$I$15,0)),-1)=-1,"status '"&amp;D65&amp;"' is not a CONTRACTS status",IF(AND(D65="signed",COUNTIF(signed_offices!$W$2:$W$51,C65)=0),"status signed but no signed_offices row"&amp;IF(F65="N"," and no tracker row",""),IF(AND(IFERROR(INDEX(Lists!$J$2:$J$15,MATCH(D65,Lists!$I$2:$I$15,0)),-1)&gt;=6,F65="N"),"status "&amp;D65&amp;" but no tracker row",IF(AND(E65="Y",D65&lt;&gt;"do_not_contact"),"do_not_contact = Y but status is "&amp;D65,IF(AND(D65="do_not_contact",E65&lt;&gt;"Y"),"status do_not_contact but do_not_contact is not Y",""))))))</f>
        <v/>
      </c>
      <c r="I65" s="17" t="n">
        <v>44</v>
      </c>
      <c r="J65" s="17">
        <f>IFERROR(INDEX(Clay_Brands!$A$2:$FZ$601,I65,$D$5)&amp;"","")</f>
        <v/>
      </c>
      <c r="K65" s="17">
        <f>IFERROR(INDEX(Clay_Brands!$A$2:$FZ$601,I65,$D$7)&amp;"","")</f>
        <v/>
      </c>
      <c r="L65" s="17">
        <f>IFERROR(INDEX(Clay_Brands!$A$2:$FZ$601,I65,$D$8)&amp;"","")</f>
        <v/>
      </c>
      <c r="M65" s="17">
        <f>IF(J65="","",IF(COUNTIF(Brand_Log!$A$2:$A$201,J65)&gt;0,"Y","N"))</f>
        <v/>
      </c>
      <c r="N65" s="17">
        <f>IF(OR(J65="",AND(LEFT(J65,6)="SAMPLE",Config!$B$19&lt;&gt;"Y")),"",IF(IFERROR(INDEX(Lists!$J$2:$J$15,MATCH(K65,Lists!$I$2:$I$15,0)),-1)=-1,"status '"&amp;K65&amp;"' is not a CONTRACTS status",IF(AND(K65="paid",COUNTIF(paid_brands!$AC$2:$AC$51,J65)=0),"status paid but no paid_brands row"&amp;IF(M65="N"," and no tracker row",""),IF(AND(IFERROR(INDEX(Lists!$J$2:$J$15,MATCH(K65,Lists!$I$2:$I$15,0)),-1)&gt;=6,M65="N"),"status "&amp;K65&amp;" but no tracker row",IF(AND(L65="Y",K65&lt;&gt;"do_not_contact"),"do_not_contact = Y but status is "&amp;K65,IF(AND(K65="do_not_contact",L65&lt;&gt;"Y"),"status do_not_contact but do_not_contact is not Y",""))))))</f>
        <v/>
      </c>
      <c r="P65" s="17">
        <f>IF(signed_offices!W45="","",signed_offices!W45&amp;"")</f>
        <v/>
      </c>
      <c r="Q65" s="17">
        <f>IF(P65="","",IFERROR(INDEX(Clay_Offices!$A$2:$FZ$601,MATCH(P65,INDEX(Clay_Offices!$A$2:$FZ$601,0,$C$5),0),$C$7)&amp;"","not in Clay"))</f>
        <v/>
      </c>
      <c r="R65" s="17">
        <f>IF(OR(P65="",AND(LEFT(P65,6)="SAMPLE",Config!$B$19&lt;&gt;"Y")),"",IF(Q65="signed","","Clay status is "&amp;Q65&amp;": set signed"))</f>
        <v/>
      </c>
      <c r="T65" s="17">
        <f>IF(paid_brands!AC45="","",paid_brands!AC45&amp;"")</f>
        <v/>
      </c>
      <c r="U65" s="17">
        <f>IF(T65="","",IFERROR(INDEX(Clay_Brands!$A$2:$FZ$601,MATCH(T65,INDEX(Clay_Brands!$A$2:$FZ$601,0,$D$5),0),$D$7)&amp;"","not in Clay"))</f>
        <v/>
      </c>
      <c r="V65" s="17">
        <f>IF(OR(T65="",AND(LEFT(T65,6)="SAMPLE",Config!$B$19&lt;&gt;"Y")),"",IF(U65="paid","","Clay status is "&amp;U65&amp;": set paid"))</f>
        <v/>
      </c>
    </row>
    <row r="66">
      <c r="B66" s="17" t="n">
        <v>45</v>
      </c>
      <c r="C66" s="17">
        <f>IFERROR(INDEX(Clay_Offices!$A$2:$FZ$601,B66,$C$5)&amp;"","")</f>
        <v/>
      </c>
      <c r="D66" s="17">
        <f>IFERROR(INDEX(Clay_Offices!$A$2:$FZ$601,B66,$C$7)&amp;"","")</f>
        <v/>
      </c>
      <c r="E66" s="17">
        <f>IFERROR(INDEX(Clay_Offices!$A$2:$FZ$601,B66,$C$8)&amp;"","")</f>
        <v/>
      </c>
      <c r="F66" s="17">
        <f>IF(C66="","",IF(COUNTIF(Office_Log!$A$2:$A$201,C66)&gt;0,"Y","N"))</f>
        <v/>
      </c>
      <c r="G66" s="17">
        <f>IF(OR(C66="",AND(LEFT(C66,6)="SAMPLE",Config!$B$19&lt;&gt;"Y")),"",IF(IFERROR(INDEX(Lists!$J$2:$J$15,MATCH(D66,Lists!$I$2:$I$15,0)),-1)=-1,"status '"&amp;D66&amp;"' is not a CONTRACTS status",IF(AND(D66="signed",COUNTIF(signed_offices!$W$2:$W$51,C66)=0),"status signed but no signed_offices row"&amp;IF(F66="N"," and no tracker row",""),IF(AND(IFERROR(INDEX(Lists!$J$2:$J$15,MATCH(D66,Lists!$I$2:$I$15,0)),-1)&gt;=6,F66="N"),"status "&amp;D66&amp;" but no tracker row",IF(AND(E66="Y",D66&lt;&gt;"do_not_contact"),"do_not_contact = Y but status is "&amp;D66,IF(AND(D66="do_not_contact",E66&lt;&gt;"Y"),"status do_not_contact but do_not_contact is not Y",""))))))</f>
        <v/>
      </c>
      <c r="I66" s="17" t="n">
        <v>45</v>
      </c>
      <c r="J66" s="17">
        <f>IFERROR(INDEX(Clay_Brands!$A$2:$FZ$601,I66,$D$5)&amp;"","")</f>
        <v/>
      </c>
      <c r="K66" s="17">
        <f>IFERROR(INDEX(Clay_Brands!$A$2:$FZ$601,I66,$D$7)&amp;"","")</f>
        <v/>
      </c>
      <c r="L66" s="17">
        <f>IFERROR(INDEX(Clay_Brands!$A$2:$FZ$601,I66,$D$8)&amp;"","")</f>
        <v/>
      </c>
      <c r="M66" s="17">
        <f>IF(J66="","",IF(COUNTIF(Brand_Log!$A$2:$A$201,J66)&gt;0,"Y","N"))</f>
        <v/>
      </c>
      <c r="N66" s="17">
        <f>IF(OR(J66="",AND(LEFT(J66,6)="SAMPLE",Config!$B$19&lt;&gt;"Y")),"",IF(IFERROR(INDEX(Lists!$J$2:$J$15,MATCH(K66,Lists!$I$2:$I$15,0)),-1)=-1,"status '"&amp;K66&amp;"' is not a CONTRACTS status",IF(AND(K66="paid",COUNTIF(paid_brands!$AC$2:$AC$51,J66)=0),"status paid but no paid_brands row"&amp;IF(M66="N"," and no tracker row",""),IF(AND(IFERROR(INDEX(Lists!$J$2:$J$15,MATCH(K66,Lists!$I$2:$I$15,0)),-1)&gt;=6,M66="N"),"status "&amp;K66&amp;" but no tracker row",IF(AND(L66="Y",K66&lt;&gt;"do_not_contact"),"do_not_contact = Y but status is "&amp;K66,IF(AND(K66="do_not_contact",L66&lt;&gt;"Y"),"status do_not_contact but do_not_contact is not Y",""))))))</f>
        <v/>
      </c>
      <c r="P66" s="17">
        <f>IF(signed_offices!W46="","",signed_offices!W46&amp;"")</f>
        <v/>
      </c>
      <c r="Q66" s="17">
        <f>IF(P66="","",IFERROR(INDEX(Clay_Offices!$A$2:$FZ$601,MATCH(P66,INDEX(Clay_Offices!$A$2:$FZ$601,0,$C$5),0),$C$7)&amp;"","not in Clay"))</f>
        <v/>
      </c>
      <c r="R66" s="17">
        <f>IF(OR(P66="",AND(LEFT(P66,6)="SAMPLE",Config!$B$19&lt;&gt;"Y")),"",IF(Q66="signed","","Clay status is "&amp;Q66&amp;": set signed"))</f>
        <v/>
      </c>
      <c r="T66" s="17">
        <f>IF(paid_brands!AC46="","",paid_brands!AC46&amp;"")</f>
        <v/>
      </c>
      <c r="U66" s="17">
        <f>IF(T66="","",IFERROR(INDEX(Clay_Brands!$A$2:$FZ$601,MATCH(T66,INDEX(Clay_Brands!$A$2:$FZ$601,0,$D$5),0),$D$7)&amp;"","not in Clay"))</f>
        <v/>
      </c>
      <c r="V66" s="17">
        <f>IF(OR(T66="",AND(LEFT(T66,6)="SAMPLE",Config!$B$19&lt;&gt;"Y")),"",IF(U66="paid","","Clay status is "&amp;U66&amp;": set paid"))</f>
        <v/>
      </c>
    </row>
    <row r="67">
      <c r="B67" s="17" t="n">
        <v>46</v>
      </c>
      <c r="C67" s="17">
        <f>IFERROR(INDEX(Clay_Offices!$A$2:$FZ$601,B67,$C$5)&amp;"","")</f>
        <v/>
      </c>
      <c r="D67" s="17">
        <f>IFERROR(INDEX(Clay_Offices!$A$2:$FZ$601,B67,$C$7)&amp;"","")</f>
        <v/>
      </c>
      <c r="E67" s="17">
        <f>IFERROR(INDEX(Clay_Offices!$A$2:$FZ$601,B67,$C$8)&amp;"","")</f>
        <v/>
      </c>
      <c r="F67" s="17">
        <f>IF(C67="","",IF(COUNTIF(Office_Log!$A$2:$A$201,C67)&gt;0,"Y","N"))</f>
        <v/>
      </c>
      <c r="G67" s="17">
        <f>IF(OR(C67="",AND(LEFT(C67,6)="SAMPLE",Config!$B$19&lt;&gt;"Y")),"",IF(IFERROR(INDEX(Lists!$J$2:$J$15,MATCH(D67,Lists!$I$2:$I$15,0)),-1)=-1,"status '"&amp;D67&amp;"' is not a CONTRACTS status",IF(AND(D67="signed",COUNTIF(signed_offices!$W$2:$W$51,C67)=0),"status signed but no signed_offices row"&amp;IF(F67="N"," and no tracker row",""),IF(AND(IFERROR(INDEX(Lists!$J$2:$J$15,MATCH(D67,Lists!$I$2:$I$15,0)),-1)&gt;=6,F67="N"),"status "&amp;D67&amp;" but no tracker row",IF(AND(E67="Y",D67&lt;&gt;"do_not_contact"),"do_not_contact = Y but status is "&amp;D67,IF(AND(D67="do_not_contact",E67&lt;&gt;"Y"),"status do_not_contact but do_not_contact is not Y",""))))))</f>
        <v/>
      </c>
      <c r="I67" s="17" t="n">
        <v>46</v>
      </c>
      <c r="J67" s="17">
        <f>IFERROR(INDEX(Clay_Brands!$A$2:$FZ$601,I67,$D$5)&amp;"","")</f>
        <v/>
      </c>
      <c r="K67" s="17">
        <f>IFERROR(INDEX(Clay_Brands!$A$2:$FZ$601,I67,$D$7)&amp;"","")</f>
        <v/>
      </c>
      <c r="L67" s="17">
        <f>IFERROR(INDEX(Clay_Brands!$A$2:$FZ$601,I67,$D$8)&amp;"","")</f>
        <v/>
      </c>
      <c r="M67" s="17">
        <f>IF(J67="","",IF(COUNTIF(Brand_Log!$A$2:$A$201,J67)&gt;0,"Y","N"))</f>
        <v/>
      </c>
      <c r="N67" s="17">
        <f>IF(OR(J67="",AND(LEFT(J67,6)="SAMPLE",Config!$B$19&lt;&gt;"Y")),"",IF(IFERROR(INDEX(Lists!$J$2:$J$15,MATCH(K67,Lists!$I$2:$I$15,0)),-1)=-1,"status '"&amp;K67&amp;"' is not a CONTRACTS status",IF(AND(K67="paid",COUNTIF(paid_brands!$AC$2:$AC$51,J67)=0),"status paid but no paid_brands row"&amp;IF(M67="N"," and no tracker row",""),IF(AND(IFERROR(INDEX(Lists!$J$2:$J$15,MATCH(K67,Lists!$I$2:$I$15,0)),-1)&gt;=6,M67="N"),"status "&amp;K67&amp;" but no tracker row",IF(AND(L67="Y",K67&lt;&gt;"do_not_contact"),"do_not_contact = Y but status is "&amp;K67,IF(AND(K67="do_not_contact",L67&lt;&gt;"Y"),"status do_not_contact but do_not_contact is not Y",""))))))</f>
        <v/>
      </c>
      <c r="P67" s="17">
        <f>IF(signed_offices!W47="","",signed_offices!W47&amp;"")</f>
        <v/>
      </c>
      <c r="Q67" s="17">
        <f>IF(P67="","",IFERROR(INDEX(Clay_Offices!$A$2:$FZ$601,MATCH(P67,INDEX(Clay_Offices!$A$2:$FZ$601,0,$C$5),0),$C$7)&amp;"","not in Clay"))</f>
        <v/>
      </c>
      <c r="R67" s="17">
        <f>IF(OR(P67="",AND(LEFT(P67,6)="SAMPLE",Config!$B$19&lt;&gt;"Y")),"",IF(Q67="signed","","Clay status is "&amp;Q67&amp;": set signed"))</f>
        <v/>
      </c>
      <c r="T67" s="17">
        <f>IF(paid_brands!AC47="","",paid_brands!AC47&amp;"")</f>
        <v/>
      </c>
      <c r="U67" s="17">
        <f>IF(T67="","",IFERROR(INDEX(Clay_Brands!$A$2:$FZ$601,MATCH(T67,INDEX(Clay_Brands!$A$2:$FZ$601,0,$D$5),0),$D$7)&amp;"","not in Clay"))</f>
        <v/>
      </c>
      <c r="V67" s="17">
        <f>IF(OR(T67="",AND(LEFT(T67,6)="SAMPLE",Config!$B$19&lt;&gt;"Y")),"",IF(U67="paid","","Clay status is "&amp;U67&amp;": set paid"))</f>
        <v/>
      </c>
    </row>
    <row r="68">
      <c r="B68" s="17" t="n">
        <v>47</v>
      </c>
      <c r="C68" s="17">
        <f>IFERROR(INDEX(Clay_Offices!$A$2:$FZ$601,B68,$C$5)&amp;"","")</f>
        <v/>
      </c>
      <c r="D68" s="17">
        <f>IFERROR(INDEX(Clay_Offices!$A$2:$FZ$601,B68,$C$7)&amp;"","")</f>
        <v/>
      </c>
      <c r="E68" s="17">
        <f>IFERROR(INDEX(Clay_Offices!$A$2:$FZ$601,B68,$C$8)&amp;"","")</f>
        <v/>
      </c>
      <c r="F68" s="17">
        <f>IF(C68="","",IF(COUNTIF(Office_Log!$A$2:$A$201,C68)&gt;0,"Y","N"))</f>
        <v/>
      </c>
      <c r="G68" s="17">
        <f>IF(OR(C68="",AND(LEFT(C68,6)="SAMPLE",Config!$B$19&lt;&gt;"Y")),"",IF(IFERROR(INDEX(Lists!$J$2:$J$15,MATCH(D68,Lists!$I$2:$I$15,0)),-1)=-1,"status '"&amp;D68&amp;"' is not a CONTRACTS status",IF(AND(D68="signed",COUNTIF(signed_offices!$W$2:$W$51,C68)=0),"status signed but no signed_offices row"&amp;IF(F68="N"," and no tracker row",""),IF(AND(IFERROR(INDEX(Lists!$J$2:$J$15,MATCH(D68,Lists!$I$2:$I$15,0)),-1)&gt;=6,F68="N"),"status "&amp;D68&amp;" but no tracker row",IF(AND(E68="Y",D68&lt;&gt;"do_not_contact"),"do_not_contact = Y but status is "&amp;D68,IF(AND(D68="do_not_contact",E68&lt;&gt;"Y"),"status do_not_contact but do_not_contact is not Y",""))))))</f>
        <v/>
      </c>
      <c r="I68" s="17" t="n">
        <v>47</v>
      </c>
      <c r="J68" s="17">
        <f>IFERROR(INDEX(Clay_Brands!$A$2:$FZ$601,I68,$D$5)&amp;"","")</f>
        <v/>
      </c>
      <c r="K68" s="17">
        <f>IFERROR(INDEX(Clay_Brands!$A$2:$FZ$601,I68,$D$7)&amp;"","")</f>
        <v/>
      </c>
      <c r="L68" s="17">
        <f>IFERROR(INDEX(Clay_Brands!$A$2:$FZ$601,I68,$D$8)&amp;"","")</f>
        <v/>
      </c>
      <c r="M68" s="17">
        <f>IF(J68="","",IF(COUNTIF(Brand_Log!$A$2:$A$201,J68)&gt;0,"Y","N"))</f>
        <v/>
      </c>
      <c r="N68" s="17">
        <f>IF(OR(J68="",AND(LEFT(J68,6)="SAMPLE",Config!$B$19&lt;&gt;"Y")),"",IF(IFERROR(INDEX(Lists!$J$2:$J$15,MATCH(K68,Lists!$I$2:$I$15,0)),-1)=-1,"status '"&amp;K68&amp;"' is not a CONTRACTS status",IF(AND(K68="paid",COUNTIF(paid_brands!$AC$2:$AC$51,J68)=0),"status paid but no paid_brands row"&amp;IF(M68="N"," and no tracker row",""),IF(AND(IFERROR(INDEX(Lists!$J$2:$J$15,MATCH(K68,Lists!$I$2:$I$15,0)),-1)&gt;=6,M68="N"),"status "&amp;K68&amp;" but no tracker row",IF(AND(L68="Y",K68&lt;&gt;"do_not_contact"),"do_not_contact = Y but status is "&amp;K68,IF(AND(K68="do_not_contact",L68&lt;&gt;"Y"),"status do_not_contact but do_not_contact is not Y",""))))))</f>
        <v/>
      </c>
      <c r="P68" s="17">
        <f>IF(signed_offices!W48="","",signed_offices!W48&amp;"")</f>
        <v/>
      </c>
      <c r="Q68" s="17">
        <f>IF(P68="","",IFERROR(INDEX(Clay_Offices!$A$2:$FZ$601,MATCH(P68,INDEX(Clay_Offices!$A$2:$FZ$601,0,$C$5),0),$C$7)&amp;"","not in Clay"))</f>
        <v/>
      </c>
      <c r="R68" s="17">
        <f>IF(OR(P68="",AND(LEFT(P68,6)="SAMPLE",Config!$B$19&lt;&gt;"Y")),"",IF(Q68="signed","","Clay status is "&amp;Q68&amp;": set signed"))</f>
        <v/>
      </c>
      <c r="T68" s="17">
        <f>IF(paid_brands!AC48="","",paid_brands!AC48&amp;"")</f>
        <v/>
      </c>
      <c r="U68" s="17">
        <f>IF(T68="","",IFERROR(INDEX(Clay_Brands!$A$2:$FZ$601,MATCH(T68,INDEX(Clay_Brands!$A$2:$FZ$601,0,$D$5),0),$D$7)&amp;"","not in Clay"))</f>
        <v/>
      </c>
      <c r="V68" s="17">
        <f>IF(OR(T68="",AND(LEFT(T68,6)="SAMPLE",Config!$B$19&lt;&gt;"Y")),"",IF(U68="paid","","Clay status is "&amp;U68&amp;": set paid"))</f>
        <v/>
      </c>
    </row>
    <row r="69">
      <c r="B69" s="17" t="n">
        <v>48</v>
      </c>
      <c r="C69" s="17">
        <f>IFERROR(INDEX(Clay_Offices!$A$2:$FZ$601,B69,$C$5)&amp;"","")</f>
        <v/>
      </c>
      <c r="D69" s="17">
        <f>IFERROR(INDEX(Clay_Offices!$A$2:$FZ$601,B69,$C$7)&amp;"","")</f>
        <v/>
      </c>
      <c r="E69" s="17">
        <f>IFERROR(INDEX(Clay_Offices!$A$2:$FZ$601,B69,$C$8)&amp;"","")</f>
        <v/>
      </c>
      <c r="F69" s="17">
        <f>IF(C69="","",IF(COUNTIF(Office_Log!$A$2:$A$201,C69)&gt;0,"Y","N"))</f>
        <v/>
      </c>
      <c r="G69" s="17">
        <f>IF(OR(C69="",AND(LEFT(C69,6)="SAMPLE",Config!$B$19&lt;&gt;"Y")),"",IF(IFERROR(INDEX(Lists!$J$2:$J$15,MATCH(D69,Lists!$I$2:$I$15,0)),-1)=-1,"status '"&amp;D69&amp;"' is not a CONTRACTS status",IF(AND(D69="signed",COUNTIF(signed_offices!$W$2:$W$51,C69)=0),"status signed but no signed_offices row"&amp;IF(F69="N"," and no tracker row",""),IF(AND(IFERROR(INDEX(Lists!$J$2:$J$15,MATCH(D69,Lists!$I$2:$I$15,0)),-1)&gt;=6,F69="N"),"status "&amp;D69&amp;" but no tracker row",IF(AND(E69="Y",D69&lt;&gt;"do_not_contact"),"do_not_contact = Y but status is "&amp;D69,IF(AND(D69="do_not_contact",E69&lt;&gt;"Y"),"status do_not_contact but do_not_contact is not Y",""))))))</f>
        <v/>
      </c>
      <c r="I69" s="17" t="n">
        <v>48</v>
      </c>
      <c r="J69" s="17">
        <f>IFERROR(INDEX(Clay_Brands!$A$2:$FZ$601,I69,$D$5)&amp;"","")</f>
        <v/>
      </c>
      <c r="K69" s="17">
        <f>IFERROR(INDEX(Clay_Brands!$A$2:$FZ$601,I69,$D$7)&amp;"","")</f>
        <v/>
      </c>
      <c r="L69" s="17">
        <f>IFERROR(INDEX(Clay_Brands!$A$2:$FZ$601,I69,$D$8)&amp;"","")</f>
        <v/>
      </c>
      <c r="M69" s="17">
        <f>IF(J69="","",IF(COUNTIF(Brand_Log!$A$2:$A$201,J69)&gt;0,"Y","N"))</f>
        <v/>
      </c>
      <c r="N69" s="17">
        <f>IF(OR(J69="",AND(LEFT(J69,6)="SAMPLE",Config!$B$19&lt;&gt;"Y")),"",IF(IFERROR(INDEX(Lists!$J$2:$J$15,MATCH(K69,Lists!$I$2:$I$15,0)),-1)=-1,"status '"&amp;K69&amp;"' is not a CONTRACTS status",IF(AND(K69="paid",COUNTIF(paid_brands!$AC$2:$AC$51,J69)=0),"status paid but no paid_brands row"&amp;IF(M69="N"," and no tracker row",""),IF(AND(IFERROR(INDEX(Lists!$J$2:$J$15,MATCH(K69,Lists!$I$2:$I$15,0)),-1)&gt;=6,M69="N"),"status "&amp;K69&amp;" but no tracker row",IF(AND(L69="Y",K69&lt;&gt;"do_not_contact"),"do_not_contact = Y but status is "&amp;K69,IF(AND(K69="do_not_contact",L69&lt;&gt;"Y"),"status do_not_contact but do_not_contact is not Y",""))))))</f>
        <v/>
      </c>
      <c r="P69" s="17">
        <f>IF(signed_offices!W49="","",signed_offices!W49&amp;"")</f>
        <v/>
      </c>
      <c r="Q69" s="17">
        <f>IF(P69="","",IFERROR(INDEX(Clay_Offices!$A$2:$FZ$601,MATCH(P69,INDEX(Clay_Offices!$A$2:$FZ$601,0,$C$5),0),$C$7)&amp;"","not in Clay"))</f>
        <v/>
      </c>
      <c r="R69" s="17">
        <f>IF(OR(P69="",AND(LEFT(P69,6)="SAMPLE",Config!$B$19&lt;&gt;"Y")),"",IF(Q69="signed","","Clay status is "&amp;Q69&amp;": set signed"))</f>
        <v/>
      </c>
      <c r="T69" s="17">
        <f>IF(paid_brands!AC49="","",paid_brands!AC49&amp;"")</f>
        <v/>
      </c>
      <c r="U69" s="17">
        <f>IF(T69="","",IFERROR(INDEX(Clay_Brands!$A$2:$FZ$601,MATCH(T69,INDEX(Clay_Brands!$A$2:$FZ$601,0,$D$5),0),$D$7)&amp;"","not in Clay"))</f>
        <v/>
      </c>
      <c r="V69" s="17">
        <f>IF(OR(T69="",AND(LEFT(T69,6)="SAMPLE",Config!$B$19&lt;&gt;"Y")),"",IF(U69="paid","","Clay status is "&amp;U69&amp;": set paid"))</f>
        <v/>
      </c>
    </row>
    <row r="70">
      <c r="B70" s="17" t="n">
        <v>49</v>
      </c>
      <c r="C70" s="17">
        <f>IFERROR(INDEX(Clay_Offices!$A$2:$FZ$601,B70,$C$5)&amp;"","")</f>
        <v/>
      </c>
      <c r="D70" s="17">
        <f>IFERROR(INDEX(Clay_Offices!$A$2:$FZ$601,B70,$C$7)&amp;"","")</f>
        <v/>
      </c>
      <c r="E70" s="17">
        <f>IFERROR(INDEX(Clay_Offices!$A$2:$FZ$601,B70,$C$8)&amp;"","")</f>
        <v/>
      </c>
      <c r="F70" s="17">
        <f>IF(C70="","",IF(COUNTIF(Office_Log!$A$2:$A$201,C70)&gt;0,"Y","N"))</f>
        <v/>
      </c>
      <c r="G70" s="17">
        <f>IF(OR(C70="",AND(LEFT(C70,6)="SAMPLE",Config!$B$19&lt;&gt;"Y")),"",IF(IFERROR(INDEX(Lists!$J$2:$J$15,MATCH(D70,Lists!$I$2:$I$15,0)),-1)=-1,"status '"&amp;D70&amp;"' is not a CONTRACTS status",IF(AND(D70="signed",COUNTIF(signed_offices!$W$2:$W$51,C70)=0),"status signed but no signed_offices row"&amp;IF(F70="N"," and no tracker row",""),IF(AND(IFERROR(INDEX(Lists!$J$2:$J$15,MATCH(D70,Lists!$I$2:$I$15,0)),-1)&gt;=6,F70="N"),"status "&amp;D70&amp;" but no tracker row",IF(AND(E70="Y",D70&lt;&gt;"do_not_contact"),"do_not_contact = Y but status is "&amp;D70,IF(AND(D70="do_not_contact",E70&lt;&gt;"Y"),"status do_not_contact but do_not_contact is not Y",""))))))</f>
        <v/>
      </c>
      <c r="I70" s="17" t="n">
        <v>49</v>
      </c>
      <c r="J70" s="17">
        <f>IFERROR(INDEX(Clay_Brands!$A$2:$FZ$601,I70,$D$5)&amp;"","")</f>
        <v/>
      </c>
      <c r="K70" s="17">
        <f>IFERROR(INDEX(Clay_Brands!$A$2:$FZ$601,I70,$D$7)&amp;"","")</f>
        <v/>
      </c>
      <c r="L70" s="17">
        <f>IFERROR(INDEX(Clay_Brands!$A$2:$FZ$601,I70,$D$8)&amp;"","")</f>
        <v/>
      </c>
      <c r="M70" s="17">
        <f>IF(J70="","",IF(COUNTIF(Brand_Log!$A$2:$A$201,J70)&gt;0,"Y","N"))</f>
        <v/>
      </c>
      <c r="N70" s="17">
        <f>IF(OR(J70="",AND(LEFT(J70,6)="SAMPLE",Config!$B$19&lt;&gt;"Y")),"",IF(IFERROR(INDEX(Lists!$J$2:$J$15,MATCH(K70,Lists!$I$2:$I$15,0)),-1)=-1,"status '"&amp;K70&amp;"' is not a CONTRACTS status",IF(AND(K70="paid",COUNTIF(paid_brands!$AC$2:$AC$51,J70)=0),"status paid but no paid_brands row"&amp;IF(M70="N"," and no tracker row",""),IF(AND(IFERROR(INDEX(Lists!$J$2:$J$15,MATCH(K70,Lists!$I$2:$I$15,0)),-1)&gt;=6,M70="N"),"status "&amp;K70&amp;" but no tracker row",IF(AND(L70="Y",K70&lt;&gt;"do_not_contact"),"do_not_contact = Y but status is "&amp;K70,IF(AND(K70="do_not_contact",L70&lt;&gt;"Y"),"status do_not_contact but do_not_contact is not Y",""))))))</f>
        <v/>
      </c>
      <c r="P70" s="17">
        <f>IF(signed_offices!W50="","",signed_offices!W50&amp;"")</f>
        <v/>
      </c>
      <c r="Q70" s="17">
        <f>IF(P70="","",IFERROR(INDEX(Clay_Offices!$A$2:$FZ$601,MATCH(P70,INDEX(Clay_Offices!$A$2:$FZ$601,0,$C$5),0),$C$7)&amp;"","not in Clay"))</f>
        <v/>
      </c>
      <c r="R70" s="17">
        <f>IF(OR(P70="",AND(LEFT(P70,6)="SAMPLE",Config!$B$19&lt;&gt;"Y")),"",IF(Q70="signed","","Clay status is "&amp;Q70&amp;": set signed"))</f>
        <v/>
      </c>
      <c r="T70" s="17">
        <f>IF(paid_brands!AC50="","",paid_brands!AC50&amp;"")</f>
        <v/>
      </c>
      <c r="U70" s="17">
        <f>IF(T70="","",IFERROR(INDEX(Clay_Brands!$A$2:$FZ$601,MATCH(T70,INDEX(Clay_Brands!$A$2:$FZ$601,0,$D$5),0),$D$7)&amp;"","not in Clay"))</f>
        <v/>
      </c>
      <c r="V70" s="17">
        <f>IF(OR(T70="",AND(LEFT(T70,6)="SAMPLE",Config!$B$19&lt;&gt;"Y")),"",IF(U70="paid","","Clay status is "&amp;U70&amp;": set paid"))</f>
        <v/>
      </c>
    </row>
    <row r="71">
      <c r="B71" s="17" t="n">
        <v>50</v>
      </c>
      <c r="C71" s="17">
        <f>IFERROR(INDEX(Clay_Offices!$A$2:$FZ$601,B71,$C$5)&amp;"","")</f>
        <v/>
      </c>
      <c r="D71" s="17">
        <f>IFERROR(INDEX(Clay_Offices!$A$2:$FZ$601,B71,$C$7)&amp;"","")</f>
        <v/>
      </c>
      <c r="E71" s="17">
        <f>IFERROR(INDEX(Clay_Offices!$A$2:$FZ$601,B71,$C$8)&amp;"","")</f>
        <v/>
      </c>
      <c r="F71" s="17">
        <f>IF(C71="","",IF(COUNTIF(Office_Log!$A$2:$A$201,C71)&gt;0,"Y","N"))</f>
        <v/>
      </c>
      <c r="G71" s="17">
        <f>IF(OR(C71="",AND(LEFT(C71,6)="SAMPLE",Config!$B$19&lt;&gt;"Y")),"",IF(IFERROR(INDEX(Lists!$J$2:$J$15,MATCH(D71,Lists!$I$2:$I$15,0)),-1)=-1,"status '"&amp;D71&amp;"' is not a CONTRACTS status",IF(AND(D71="signed",COUNTIF(signed_offices!$W$2:$W$51,C71)=0),"status signed but no signed_offices row"&amp;IF(F71="N"," and no tracker row",""),IF(AND(IFERROR(INDEX(Lists!$J$2:$J$15,MATCH(D71,Lists!$I$2:$I$15,0)),-1)&gt;=6,F71="N"),"status "&amp;D71&amp;" but no tracker row",IF(AND(E71="Y",D71&lt;&gt;"do_not_contact"),"do_not_contact = Y but status is "&amp;D71,IF(AND(D71="do_not_contact",E71&lt;&gt;"Y"),"status do_not_contact but do_not_contact is not Y",""))))))</f>
        <v/>
      </c>
      <c r="I71" s="17" t="n">
        <v>50</v>
      </c>
      <c r="J71" s="17">
        <f>IFERROR(INDEX(Clay_Brands!$A$2:$FZ$601,I71,$D$5)&amp;"","")</f>
        <v/>
      </c>
      <c r="K71" s="17">
        <f>IFERROR(INDEX(Clay_Brands!$A$2:$FZ$601,I71,$D$7)&amp;"","")</f>
        <v/>
      </c>
      <c r="L71" s="17">
        <f>IFERROR(INDEX(Clay_Brands!$A$2:$FZ$601,I71,$D$8)&amp;"","")</f>
        <v/>
      </c>
      <c r="M71" s="17">
        <f>IF(J71="","",IF(COUNTIF(Brand_Log!$A$2:$A$201,J71)&gt;0,"Y","N"))</f>
        <v/>
      </c>
      <c r="N71" s="17">
        <f>IF(OR(J71="",AND(LEFT(J71,6)="SAMPLE",Config!$B$19&lt;&gt;"Y")),"",IF(IFERROR(INDEX(Lists!$J$2:$J$15,MATCH(K71,Lists!$I$2:$I$15,0)),-1)=-1,"status '"&amp;K71&amp;"' is not a CONTRACTS status",IF(AND(K71="paid",COUNTIF(paid_brands!$AC$2:$AC$51,J71)=0),"status paid but no paid_brands row"&amp;IF(M71="N"," and no tracker row",""),IF(AND(IFERROR(INDEX(Lists!$J$2:$J$15,MATCH(K71,Lists!$I$2:$I$15,0)),-1)&gt;=6,M71="N"),"status "&amp;K71&amp;" but no tracker row",IF(AND(L71="Y",K71&lt;&gt;"do_not_contact"),"do_not_contact = Y but status is "&amp;K71,IF(AND(K71="do_not_contact",L71&lt;&gt;"Y"),"status do_not_contact but do_not_contact is not Y",""))))))</f>
        <v/>
      </c>
      <c r="P71" s="17">
        <f>IF(signed_offices!W51="","",signed_offices!W51&amp;"")</f>
        <v/>
      </c>
      <c r="Q71" s="17">
        <f>IF(P71="","",IFERROR(INDEX(Clay_Offices!$A$2:$FZ$601,MATCH(P71,INDEX(Clay_Offices!$A$2:$FZ$601,0,$C$5),0),$C$7)&amp;"","not in Clay"))</f>
        <v/>
      </c>
      <c r="R71" s="17">
        <f>IF(OR(P71="",AND(LEFT(P71,6)="SAMPLE",Config!$B$19&lt;&gt;"Y")),"",IF(Q71="signed","","Clay status is "&amp;Q71&amp;": set signed"))</f>
        <v/>
      </c>
      <c r="T71" s="17">
        <f>IF(paid_brands!AC51="","",paid_brands!AC51&amp;"")</f>
        <v/>
      </c>
      <c r="U71" s="17">
        <f>IF(T71="","",IFERROR(INDEX(Clay_Brands!$A$2:$FZ$601,MATCH(T71,INDEX(Clay_Brands!$A$2:$FZ$601,0,$D$5),0),$D$7)&amp;"","not in Clay"))</f>
        <v/>
      </c>
      <c r="V71" s="17">
        <f>IF(OR(T71="",AND(LEFT(T71,6)="SAMPLE",Config!$B$19&lt;&gt;"Y")),"",IF(U71="paid","","Clay status is "&amp;U71&amp;": set paid"))</f>
        <v/>
      </c>
    </row>
    <row r="72">
      <c r="B72" s="17" t="n">
        <v>51</v>
      </c>
      <c r="C72" s="17">
        <f>IFERROR(INDEX(Clay_Offices!$A$2:$FZ$601,B72,$C$5)&amp;"","")</f>
        <v/>
      </c>
      <c r="D72" s="17">
        <f>IFERROR(INDEX(Clay_Offices!$A$2:$FZ$601,B72,$C$7)&amp;"","")</f>
        <v/>
      </c>
      <c r="E72" s="17">
        <f>IFERROR(INDEX(Clay_Offices!$A$2:$FZ$601,B72,$C$8)&amp;"","")</f>
        <v/>
      </c>
      <c r="F72" s="17">
        <f>IF(C72="","",IF(COUNTIF(Office_Log!$A$2:$A$201,C72)&gt;0,"Y","N"))</f>
        <v/>
      </c>
      <c r="G72" s="17">
        <f>IF(OR(C72="",AND(LEFT(C72,6)="SAMPLE",Config!$B$19&lt;&gt;"Y")),"",IF(IFERROR(INDEX(Lists!$J$2:$J$15,MATCH(D72,Lists!$I$2:$I$15,0)),-1)=-1,"status '"&amp;D72&amp;"' is not a CONTRACTS status",IF(AND(D72="signed",COUNTIF(signed_offices!$W$2:$W$51,C72)=0),"status signed but no signed_offices row"&amp;IF(F72="N"," and no tracker row",""),IF(AND(IFERROR(INDEX(Lists!$J$2:$J$15,MATCH(D72,Lists!$I$2:$I$15,0)),-1)&gt;=6,F72="N"),"status "&amp;D72&amp;" but no tracker row",IF(AND(E72="Y",D72&lt;&gt;"do_not_contact"),"do_not_contact = Y but status is "&amp;D72,IF(AND(D72="do_not_contact",E72&lt;&gt;"Y"),"status do_not_contact but do_not_contact is not Y",""))))))</f>
        <v/>
      </c>
      <c r="I72" s="17" t="n">
        <v>51</v>
      </c>
      <c r="J72" s="17">
        <f>IFERROR(INDEX(Clay_Brands!$A$2:$FZ$601,I72,$D$5)&amp;"","")</f>
        <v/>
      </c>
      <c r="K72" s="17">
        <f>IFERROR(INDEX(Clay_Brands!$A$2:$FZ$601,I72,$D$7)&amp;"","")</f>
        <v/>
      </c>
      <c r="L72" s="17">
        <f>IFERROR(INDEX(Clay_Brands!$A$2:$FZ$601,I72,$D$8)&amp;"","")</f>
        <v/>
      </c>
      <c r="M72" s="17">
        <f>IF(J72="","",IF(COUNTIF(Brand_Log!$A$2:$A$201,J72)&gt;0,"Y","N"))</f>
        <v/>
      </c>
      <c r="N72" s="17">
        <f>IF(OR(J72="",AND(LEFT(J72,6)="SAMPLE",Config!$B$19&lt;&gt;"Y")),"",IF(IFERROR(INDEX(Lists!$J$2:$J$15,MATCH(K72,Lists!$I$2:$I$15,0)),-1)=-1,"status '"&amp;K72&amp;"' is not a CONTRACTS status",IF(AND(K72="paid",COUNTIF(paid_brands!$AC$2:$AC$51,J72)=0),"status paid but no paid_brands row"&amp;IF(M72="N"," and no tracker row",""),IF(AND(IFERROR(INDEX(Lists!$J$2:$J$15,MATCH(K72,Lists!$I$2:$I$15,0)),-1)&gt;=6,M72="N"),"status "&amp;K72&amp;" but no tracker row",IF(AND(L72="Y",K72&lt;&gt;"do_not_contact"),"do_not_contact = Y but status is "&amp;K72,IF(AND(K72="do_not_contact",L72&lt;&gt;"Y"),"status do_not_contact but do_not_contact is not Y",""))))))</f>
        <v/>
      </c>
    </row>
    <row r="73">
      <c r="B73" s="17" t="n">
        <v>52</v>
      </c>
      <c r="C73" s="17">
        <f>IFERROR(INDEX(Clay_Offices!$A$2:$FZ$601,B73,$C$5)&amp;"","")</f>
        <v/>
      </c>
      <c r="D73" s="17">
        <f>IFERROR(INDEX(Clay_Offices!$A$2:$FZ$601,B73,$C$7)&amp;"","")</f>
        <v/>
      </c>
      <c r="E73" s="17">
        <f>IFERROR(INDEX(Clay_Offices!$A$2:$FZ$601,B73,$C$8)&amp;"","")</f>
        <v/>
      </c>
      <c r="F73" s="17">
        <f>IF(C73="","",IF(COUNTIF(Office_Log!$A$2:$A$201,C73)&gt;0,"Y","N"))</f>
        <v/>
      </c>
      <c r="G73" s="17">
        <f>IF(OR(C73="",AND(LEFT(C73,6)="SAMPLE",Config!$B$19&lt;&gt;"Y")),"",IF(IFERROR(INDEX(Lists!$J$2:$J$15,MATCH(D73,Lists!$I$2:$I$15,0)),-1)=-1,"status '"&amp;D73&amp;"' is not a CONTRACTS status",IF(AND(D73="signed",COUNTIF(signed_offices!$W$2:$W$51,C73)=0),"status signed but no signed_offices row"&amp;IF(F73="N"," and no tracker row",""),IF(AND(IFERROR(INDEX(Lists!$J$2:$J$15,MATCH(D73,Lists!$I$2:$I$15,0)),-1)&gt;=6,F73="N"),"status "&amp;D73&amp;" but no tracker row",IF(AND(E73="Y",D73&lt;&gt;"do_not_contact"),"do_not_contact = Y but status is "&amp;D73,IF(AND(D73="do_not_contact",E73&lt;&gt;"Y"),"status do_not_contact but do_not_contact is not Y",""))))))</f>
        <v/>
      </c>
      <c r="I73" s="17" t="n">
        <v>52</v>
      </c>
      <c r="J73" s="17">
        <f>IFERROR(INDEX(Clay_Brands!$A$2:$FZ$601,I73,$D$5)&amp;"","")</f>
        <v/>
      </c>
      <c r="K73" s="17">
        <f>IFERROR(INDEX(Clay_Brands!$A$2:$FZ$601,I73,$D$7)&amp;"","")</f>
        <v/>
      </c>
      <c r="L73" s="17">
        <f>IFERROR(INDEX(Clay_Brands!$A$2:$FZ$601,I73,$D$8)&amp;"","")</f>
        <v/>
      </c>
      <c r="M73" s="17">
        <f>IF(J73="","",IF(COUNTIF(Brand_Log!$A$2:$A$201,J73)&gt;0,"Y","N"))</f>
        <v/>
      </c>
      <c r="N73" s="17">
        <f>IF(OR(J73="",AND(LEFT(J73,6)="SAMPLE",Config!$B$19&lt;&gt;"Y")),"",IF(IFERROR(INDEX(Lists!$J$2:$J$15,MATCH(K73,Lists!$I$2:$I$15,0)),-1)=-1,"status '"&amp;K73&amp;"' is not a CONTRACTS status",IF(AND(K73="paid",COUNTIF(paid_brands!$AC$2:$AC$51,J73)=0),"status paid but no paid_brands row"&amp;IF(M73="N"," and no tracker row",""),IF(AND(IFERROR(INDEX(Lists!$J$2:$J$15,MATCH(K73,Lists!$I$2:$I$15,0)),-1)&gt;=6,M73="N"),"status "&amp;K73&amp;" but no tracker row",IF(AND(L73="Y",K73&lt;&gt;"do_not_contact"),"do_not_contact = Y but status is "&amp;K73,IF(AND(K73="do_not_contact",L73&lt;&gt;"Y"),"status do_not_contact but do_not_contact is not Y",""))))))</f>
        <v/>
      </c>
    </row>
    <row r="74">
      <c r="B74" s="17" t="n">
        <v>53</v>
      </c>
      <c r="C74" s="17">
        <f>IFERROR(INDEX(Clay_Offices!$A$2:$FZ$601,B74,$C$5)&amp;"","")</f>
        <v/>
      </c>
      <c r="D74" s="17">
        <f>IFERROR(INDEX(Clay_Offices!$A$2:$FZ$601,B74,$C$7)&amp;"","")</f>
        <v/>
      </c>
      <c r="E74" s="17">
        <f>IFERROR(INDEX(Clay_Offices!$A$2:$FZ$601,B74,$C$8)&amp;"","")</f>
        <v/>
      </c>
      <c r="F74" s="17">
        <f>IF(C74="","",IF(COUNTIF(Office_Log!$A$2:$A$201,C74)&gt;0,"Y","N"))</f>
        <v/>
      </c>
      <c r="G74" s="17">
        <f>IF(OR(C74="",AND(LEFT(C74,6)="SAMPLE",Config!$B$19&lt;&gt;"Y")),"",IF(IFERROR(INDEX(Lists!$J$2:$J$15,MATCH(D74,Lists!$I$2:$I$15,0)),-1)=-1,"status '"&amp;D74&amp;"' is not a CONTRACTS status",IF(AND(D74="signed",COUNTIF(signed_offices!$W$2:$W$51,C74)=0),"status signed but no signed_offices row"&amp;IF(F74="N"," and no tracker row",""),IF(AND(IFERROR(INDEX(Lists!$J$2:$J$15,MATCH(D74,Lists!$I$2:$I$15,0)),-1)&gt;=6,F74="N"),"status "&amp;D74&amp;" but no tracker row",IF(AND(E74="Y",D74&lt;&gt;"do_not_contact"),"do_not_contact = Y but status is "&amp;D74,IF(AND(D74="do_not_contact",E74&lt;&gt;"Y"),"status do_not_contact but do_not_contact is not Y",""))))))</f>
        <v/>
      </c>
      <c r="I74" s="17" t="n">
        <v>53</v>
      </c>
      <c r="J74" s="17">
        <f>IFERROR(INDEX(Clay_Brands!$A$2:$FZ$601,I74,$D$5)&amp;"","")</f>
        <v/>
      </c>
      <c r="K74" s="17">
        <f>IFERROR(INDEX(Clay_Brands!$A$2:$FZ$601,I74,$D$7)&amp;"","")</f>
        <v/>
      </c>
      <c r="L74" s="17">
        <f>IFERROR(INDEX(Clay_Brands!$A$2:$FZ$601,I74,$D$8)&amp;"","")</f>
        <v/>
      </c>
      <c r="M74" s="17">
        <f>IF(J74="","",IF(COUNTIF(Brand_Log!$A$2:$A$201,J74)&gt;0,"Y","N"))</f>
        <v/>
      </c>
      <c r="N74" s="17">
        <f>IF(OR(J74="",AND(LEFT(J74,6)="SAMPLE",Config!$B$19&lt;&gt;"Y")),"",IF(IFERROR(INDEX(Lists!$J$2:$J$15,MATCH(K74,Lists!$I$2:$I$15,0)),-1)=-1,"status '"&amp;K74&amp;"' is not a CONTRACTS status",IF(AND(K74="paid",COUNTIF(paid_brands!$AC$2:$AC$51,J74)=0),"status paid but no paid_brands row"&amp;IF(M74="N"," and no tracker row",""),IF(AND(IFERROR(INDEX(Lists!$J$2:$J$15,MATCH(K74,Lists!$I$2:$I$15,0)),-1)&gt;=6,M74="N"),"status "&amp;K74&amp;" but no tracker row",IF(AND(L74="Y",K74&lt;&gt;"do_not_contact"),"do_not_contact = Y but status is "&amp;K74,IF(AND(K74="do_not_contact",L74&lt;&gt;"Y"),"status do_not_contact but do_not_contact is not Y",""))))))</f>
        <v/>
      </c>
    </row>
    <row r="75">
      <c r="B75" s="17" t="n">
        <v>54</v>
      </c>
      <c r="C75" s="17">
        <f>IFERROR(INDEX(Clay_Offices!$A$2:$FZ$601,B75,$C$5)&amp;"","")</f>
        <v/>
      </c>
      <c r="D75" s="17">
        <f>IFERROR(INDEX(Clay_Offices!$A$2:$FZ$601,B75,$C$7)&amp;"","")</f>
        <v/>
      </c>
      <c r="E75" s="17">
        <f>IFERROR(INDEX(Clay_Offices!$A$2:$FZ$601,B75,$C$8)&amp;"","")</f>
        <v/>
      </c>
      <c r="F75" s="17">
        <f>IF(C75="","",IF(COUNTIF(Office_Log!$A$2:$A$201,C75)&gt;0,"Y","N"))</f>
        <v/>
      </c>
      <c r="G75" s="17">
        <f>IF(OR(C75="",AND(LEFT(C75,6)="SAMPLE",Config!$B$19&lt;&gt;"Y")),"",IF(IFERROR(INDEX(Lists!$J$2:$J$15,MATCH(D75,Lists!$I$2:$I$15,0)),-1)=-1,"status '"&amp;D75&amp;"' is not a CONTRACTS status",IF(AND(D75="signed",COUNTIF(signed_offices!$W$2:$W$51,C75)=0),"status signed but no signed_offices row"&amp;IF(F75="N"," and no tracker row",""),IF(AND(IFERROR(INDEX(Lists!$J$2:$J$15,MATCH(D75,Lists!$I$2:$I$15,0)),-1)&gt;=6,F75="N"),"status "&amp;D75&amp;" but no tracker row",IF(AND(E75="Y",D75&lt;&gt;"do_not_contact"),"do_not_contact = Y but status is "&amp;D75,IF(AND(D75="do_not_contact",E75&lt;&gt;"Y"),"status do_not_contact but do_not_contact is not Y",""))))))</f>
        <v/>
      </c>
      <c r="I75" s="17" t="n">
        <v>54</v>
      </c>
      <c r="J75" s="17">
        <f>IFERROR(INDEX(Clay_Brands!$A$2:$FZ$601,I75,$D$5)&amp;"","")</f>
        <v/>
      </c>
      <c r="K75" s="17">
        <f>IFERROR(INDEX(Clay_Brands!$A$2:$FZ$601,I75,$D$7)&amp;"","")</f>
        <v/>
      </c>
      <c r="L75" s="17">
        <f>IFERROR(INDEX(Clay_Brands!$A$2:$FZ$601,I75,$D$8)&amp;"","")</f>
        <v/>
      </c>
      <c r="M75" s="17">
        <f>IF(J75="","",IF(COUNTIF(Brand_Log!$A$2:$A$201,J75)&gt;0,"Y","N"))</f>
        <v/>
      </c>
      <c r="N75" s="17">
        <f>IF(OR(J75="",AND(LEFT(J75,6)="SAMPLE",Config!$B$19&lt;&gt;"Y")),"",IF(IFERROR(INDEX(Lists!$J$2:$J$15,MATCH(K75,Lists!$I$2:$I$15,0)),-1)=-1,"status '"&amp;K75&amp;"' is not a CONTRACTS status",IF(AND(K75="paid",COUNTIF(paid_brands!$AC$2:$AC$51,J75)=0),"status paid but no paid_brands row"&amp;IF(M75="N"," and no tracker row",""),IF(AND(IFERROR(INDEX(Lists!$J$2:$J$15,MATCH(K75,Lists!$I$2:$I$15,0)),-1)&gt;=6,M75="N"),"status "&amp;K75&amp;" but no tracker row",IF(AND(L75="Y",K75&lt;&gt;"do_not_contact"),"do_not_contact = Y but status is "&amp;K75,IF(AND(K75="do_not_contact",L75&lt;&gt;"Y"),"status do_not_contact but do_not_contact is not Y",""))))))</f>
        <v/>
      </c>
    </row>
    <row r="76">
      <c r="B76" s="17" t="n">
        <v>55</v>
      </c>
      <c r="C76" s="17">
        <f>IFERROR(INDEX(Clay_Offices!$A$2:$FZ$601,B76,$C$5)&amp;"","")</f>
        <v/>
      </c>
      <c r="D76" s="17">
        <f>IFERROR(INDEX(Clay_Offices!$A$2:$FZ$601,B76,$C$7)&amp;"","")</f>
        <v/>
      </c>
      <c r="E76" s="17">
        <f>IFERROR(INDEX(Clay_Offices!$A$2:$FZ$601,B76,$C$8)&amp;"","")</f>
        <v/>
      </c>
      <c r="F76" s="17">
        <f>IF(C76="","",IF(COUNTIF(Office_Log!$A$2:$A$201,C76)&gt;0,"Y","N"))</f>
        <v/>
      </c>
      <c r="G76" s="17">
        <f>IF(OR(C76="",AND(LEFT(C76,6)="SAMPLE",Config!$B$19&lt;&gt;"Y")),"",IF(IFERROR(INDEX(Lists!$J$2:$J$15,MATCH(D76,Lists!$I$2:$I$15,0)),-1)=-1,"status '"&amp;D76&amp;"' is not a CONTRACTS status",IF(AND(D76="signed",COUNTIF(signed_offices!$W$2:$W$51,C76)=0),"status signed but no signed_offices row"&amp;IF(F76="N"," and no tracker row",""),IF(AND(IFERROR(INDEX(Lists!$J$2:$J$15,MATCH(D76,Lists!$I$2:$I$15,0)),-1)&gt;=6,F76="N"),"status "&amp;D76&amp;" but no tracker row",IF(AND(E76="Y",D76&lt;&gt;"do_not_contact"),"do_not_contact = Y but status is "&amp;D76,IF(AND(D76="do_not_contact",E76&lt;&gt;"Y"),"status do_not_contact but do_not_contact is not Y",""))))))</f>
        <v/>
      </c>
      <c r="I76" s="17" t="n">
        <v>55</v>
      </c>
      <c r="J76" s="17">
        <f>IFERROR(INDEX(Clay_Brands!$A$2:$FZ$601,I76,$D$5)&amp;"","")</f>
        <v/>
      </c>
      <c r="K76" s="17">
        <f>IFERROR(INDEX(Clay_Brands!$A$2:$FZ$601,I76,$D$7)&amp;"","")</f>
        <v/>
      </c>
      <c r="L76" s="17">
        <f>IFERROR(INDEX(Clay_Brands!$A$2:$FZ$601,I76,$D$8)&amp;"","")</f>
        <v/>
      </c>
      <c r="M76" s="17">
        <f>IF(J76="","",IF(COUNTIF(Brand_Log!$A$2:$A$201,J76)&gt;0,"Y","N"))</f>
        <v/>
      </c>
      <c r="N76" s="17">
        <f>IF(OR(J76="",AND(LEFT(J76,6)="SAMPLE",Config!$B$19&lt;&gt;"Y")),"",IF(IFERROR(INDEX(Lists!$J$2:$J$15,MATCH(K76,Lists!$I$2:$I$15,0)),-1)=-1,"status '"&amp;K76&amp;"' is not a CONTRACTS status",IF(AND(K76="paid",COUNTIF(paid_brands!$AC$2:$AC$51,J76)=0),"status paid but no paid_brands row"&amp;IF(M76="N"," and no tracker row",""),IF(AND(IFERROR(INDEX(Lists!$J$2:$J$15,MATCH(K76,Lists!$I$2:$I$15,0)),-1)&gt;=6,M76="N"),"status "&amp;K76&amp;" but no tracker row",IF(AND(L76="Y",K76&lt;&gt;"do_not_contact"),"do_not_contact = Y but status is "&amp;K76,IF(AND(K76="do_not_contact",L76&lt;&gt;"Y"),"status do_not_contact but do_not_contact is not Y",""))))))</f>
        <v/>
      </c>
    </row>
    <row r="77">
      <c r="B77" s="17" t="n">
        <v>56</v>
      </c>
      <c r="C77" s="17">
        <f>IFERROR(INDEX(Clay_Offices!$A$2:$FZ$601,B77,$C$5)&amp;"","")</f>
        <v/>
      </c>
      <c r="D77" s="17">
        <f>IFERROR(INDEX(Clay_Offices!$A$2:$FZ$601,B77,$C$7)&amp;"","")</f>
        <v/>
      </c>
      <c r="E77" s="17">
        <f>IFERROR(INDEX(Clay_Offices!$A$2:$FZ$601,B77,$C$8)&amp;"","")</f>
        <v/>
      </c>
      <c r="F77" s="17">
        <f>IF(C77="","",IF(COUNTIF(Office_Log!$A$2:$A$201,C77)&gt;0,"Y","N"))</f>
        <v/>
      </c>
      <c r="G77" s="17">
        <f>IF(OR(C77="",AND(LEFT(C77,6)="SAMPLE",Config!$B$19&lt;&gt;"Y")),"",IF(IFERROR(INDEX(Lists!$J$2:$J$15,MATCH(D77,Lists!$I$2:$I$15,0)),-1)=-1,"status '"&amp;D77&amp;"' is not a CONTRACTS status",IF(AND(D77="signed",COUNTIF(signed_offices!$W$2:$W$51,C77)=0),"status signed but no signed_offices row"&amp;IF(F77="N"," and no tracker row",""),IF(AND(IFERROR(INDEX(Lists!$J$2:$J$15,MATCH(D77,Lists!$I$2:$I$15,0)),-1)&gt;=6,F77="N"),"status "&amp;D77&amp;" but no tracker row",IF(AND(E77="Y",D77&lt;&gt;"do_not_contact"),"do_not_contact = Y but status is "&amp;D77,IF(AND(D77="do_not_contact",E77&lt;&gt;"Y"),"status do_not_contact but do_not_contact is not Y",""))))))</f>
        <v/>
      </c>
      <c r="I77" s="17" t="n">
        <v>56</v>
      </c>
      <c r="J77" s="17">
        <f>IFERROR(INDEX(Clay_Brands!$A$2:$FZ$601,I77,$D$5)&amp;"","")</f>
        <v/>
      </c>
      <c r="K77" s="17">
        <f>IFERROR(INDEX(Clay_Brands!$A$2:$FZ$601,I77,$D$7)&amp;"","")</f>
        <v/>
      </c>
      <c r="L77" s="17">
        <f>IFERROR(INDEX(Clay_Brands!$A$2:$FZ$601,I77,$D$8)&amp;"","")</f>
        <v/>
      </c>
      <c r="M77" s="17">
        <f>IF(J77="","",IF(COUNTIF(Brand_Log!$A$2:$A$201,J77)&gt;0,"Y","N"))</f>
        <v/>
      </c>
      <c r="N77" s="17">
        <f>IF(OR(J77="",AND(LEFT(J77,6)="SAMPLE",Config!$B$19&lt;&gt;"Y")),"",IF(IFERROR(INDEX(Lists!$J$2:$J$15,MATCH(K77,Lists!$I$2:$I$15,0)),-1)=-1,"status '"&amp;K77&amp;"' is not a CONTRACTS status",IF(AND(K77="paid",COUNTIF(paid_brands!$AC$2:$AC$51,J77)=0),"status paid but no paid_brands row"&amp;IF(M77="N"," and no tracker row",""),IF(AND(IFERROR(INDEX(Lists!$J$2:$J$15,MATCH(K77,Lists!$I$2:$I$15,0)),-1)&gt;=6,M77="N"),"status "&amp;K77&amp;" but no tracker row",IF(AND(L77="Y",K77&lt;&gt;"do_not_contact"),"do_not_contact = Y but status is "&amp;K77,IF(AND(K77="do_not_contact",L77&lt;&gt;"Y"),"status do_not_contact but do_not_contact is not Y",""))))))</f>
        <v/>
      </c>
    </row>
    <row r="78">
      <c r="B78" s="17" t="n">
        <v>57</v>
      </c>
      <c r="C78" s="17">
        <f>IFERROR(INDEX(Clay_Offices!$A$2:$FZ$601,B78,$C$5)&amp;"","")</f>
        <v/>
      </c>
      <c r="D78" s="17">
        <f>IFERROR(INDEX(Clay_Offices!$A$2:$FZ$601,B78,$C$7)&amp;"","")</f>
        <v/>
      </c>
      <c r="E78" s="17">
        <f>IFERROR(INDEX(Clay_Offices!$A$2:$FZ$601,B78,$C$8)&amp;"","")</f>
        <v/>
      </c>
      <c r="F78" s="17">
        <f>IF(C78="","",IF(COUNTIF(Office_Log!$A$2:$A$201,C78)&gt;0,"Y","N"))</f>
        <v/>
      </c>
      <c r="G78" s="17">
        <f>IF(OR(C78="",AND(LEFT(C78,6)="SAMPLE",Config!$B$19&lt;&gt;"Y")),"",IF(IFERROR(INDEX(Lists!$J$2:$J$15,MATCH(D78,Lists!$I$2:$I$15,0)),-1)=-1,"status '"&amp;D78&amp;"' is not a CONTRACTS status",IF(AND(D78="signed",COUNTIF(signed_offices!$W$2:$W$51,C78)=0),"status signed but no signed_offices row"&amp;IF(F78="N"," and no tracker row",""),IF(AND(IFERROR(INDEX(Lists!$J$2:$J$15,MATCH(D78,Lists!$I$2:$I$15,0)),-1)&gt;=6,F78="N"),"status "&amp;D78&amp;" but no tracker row",IF(AND(E78="Y",D78&lt;&gt;"do_not_contact"),"do_not_contact = Y but status is "&amp;D78,IF(AND(D78="do_not_contact",E78&lt;&gt;"Y"),"status do_not_contact but do_not_contact is not Y",""))))))</f>
        <v/>
      </c>
      <c r="I78" s="17" t="n">
        <v>57</v>
      </c>
      <c r="J78" s="17">
        <f>IFERROR(INDEX(Clay_Brands!$A$2:$FZ$601,I78,$D$5)&amp;"","")</f>
        <v/>
      </c>
      <c r="K78" s="17">
        <f>IFERROR(INDEX(Clay_Brands!$A$2:$FZ$601,I78,$D$7)&amp;"","")</f>
        <v/>
      </c>
      <c r="L78" s="17">
        <f>IFERROR(INDEX(Clay_Brands!$A$2:$FZ$601,I78,$D$8)&amp;"","")</f>
        <v/>
      </c>
      <c r="M78" s="17">
        <f>IF(J78="","",IF(COUNTIF(Brand_Log!$A$2:$A$201,J78)&gt;0,"Y","N"))</f>
        <v/>
      </c>
      <c r="N78" s="17">
        <f>IF(OR(J78="",AND(LEFT(J78,6)="SAMPLE",Config!$B$19&lt;&gt;"Y")),"",IF(IFERROR(INDEX(Lists!$J$2:$J$15,MATCH(K78,Lists!$I$2:$I$15,0)),-1)=-1,"status '"&amp;K78&amp;"' is not a CONTRACTS status",IF(AND(K78="paid",COUNTIF(paid_brands!$AC$2:$AC$51,J78)=0),"status paid but no paid_brands row"&amp;IF(M78="N"," and no tracker row",""),IF(AND(IFERROR(INDEX(Lists!$J$2:$J$15,MATCH(K78,Lists!$I$2:$I$15,0)),-1)&gt;=6,M78="N"),"status "&amp;K78&amp;" but no tracker row",IF(AND(L78="Y",K78&lt;&gt;"do_not_contact"),"do_not_contact = Y but status is "&amp;K78,IF(AND(K78="do_not_contact",L78&lt;&gt;"Y"),"status do_not_contact but do_not_contact is not Y",""))))))</f>
        <v/>
      </c>
    </row>
    <row r="79">
      <c r="B79" s="17" t="n">
        <v>58</v>
      </c>
      <c r="C79" s="17">
        <f>IFERROR(INDEX(Clay_Offices!$A$2:$FZ$601,B79,$C$5)&amp;"","")</f>
        <v/>
      </c>
      <c r="D79" s="17">
        <f>IFERROR(INDEX(Clay_Offices!$A$2:$FZ$601,B79,$C$7)&amp;"","")</f>
        <v/>
      </c>
      <c r="E79" s="17">
        <f>IFERROR(INDEX(Clay_Offices!$A$2:$FZ$601,B79,$C$8)&amp;"","")</f>
        <v/>
      </c>
      <c r="F79" s="17">
        <f>IF(C79="","",IF(COUNTIF(Office_Log!$A$2:$A$201,C79)&gt;0,"Y","N"))</f>
        <v/>
      </c>
      <c r="G79" s="17">
        <f>IF(OR(C79="",AND(LEFT(C79,6)="SAMPLE",Config!$B$19&lt;&gt;"Y")),"",IF(IFERROR(INDEX(Lists!$J$2:$J$15,MATCH(D79,Lists!$I$2:$I$15,0)),-1)=-1,"status '"&amp;D79&amp;"' is not a CONTRACTS status",IF(AND(D79="signed",COUNTIF(signed_offices!$W$2:$W$51,C79)=0),"status signed but no signed_offices row"&amp;IF(F79="N"," and no tracker row",""),IF(AND(IFERROR(INDEX(Lists!$J$2:$J$15,MATCH(D79,Lists!$I$2:$I$15,0)),-1)&gt;=6,F79="N"),"status "&amp;D79&amp;" but no tracker row",IF(AND(E79="Y",D79&lt;&gt;"do_not_contact"),"do_not_contact = Y but status is "&amp;D79,IF(AND(D79="do_not_contact",E79&lt;&gt;"Y"),"status do_not_contact but do_not_contact is not Y",""))))))</f>
        <v/>
      </c>
      <c r="I79" s="17" t="n">
        <v>58</v>
      </c>
      <c r="J79" s="17">
        <f>IFERROR(INDEX(Clay_Brands!$A$2:$FZ$601,I79,$D$5)&amp;"","")</f>
        <v/>
      </c>
      <c r="K79" s="17">
        <f>IFERROR(INDEX(Clay_Brands!$A$2:$FZ$601,I79,$D$7)&amp;"","")</f>
        <v/>
      </c>
      <c r="L79" s="17">
        <f>IFERROR(INDEX(Clay_Brands!$A$2:$FZ$601,I79,$D$8)&amp;"","")</f>
        <v/>
      </c>
      <c r="M79" s="17">
        <f>IF(J79="","",IF(COUNTIF(Brand_Log!$A$2:$A$201,J79)&gt;0,"Y","N"))</f>
        <v/>
      </c>
      <c r="N79" s="17">
        <f>IF(OR(J79="",AND(LEFT(J79,6)="SAMPLE",Config!$B$19&lt;&gt;"Y")),"",IF(IFERROR(INDEX(Lists!$J$2:$J$15,MATCH(K79,Lists!$I$2:$I$15,0)),-1)=-1,"status '"&amp;K79&amp;"' is not a CONTRACTS status",IF(AND(K79="paid",COUNTIF(paid_brands!$AC$2:$AC$51,J79)=0),"status paid but no paid_brands row"&amp;IF(M79="N"," and no tracker row",""),IF(AND(IFERROR(INDEX(Lists!$J$2:$J$15,MATCH(K79,Lists!$I$2:$I$15,0)),-1)&gt;=6,M79="N"),"status "&amp;K79&amp;" but no tracker row",IF(AND(L79="Y",K79&lt;&gt;"do_not_contact"),"do_not_contact = Y but status is "&amp;K79,IF(AND(K79="do_not_contact",L79&lt;&gt;"Y"),"status do_not_contact but do_not_contact is not Y",""))))))</f>
        <v/>
      </c>
    </row>
    <row r="80">
      <c r="B80" s="17" t="n">
        <v>59</v>
      </c>
      <c r="C80" s="17">
        <f>IFERROR(INDEX(Clay_Offices!$A$2:$FZ$601,B80,$C$5)&amp;"","")</f>
        <v/>
      </c>
      <c r="D80" s="17">
        <f>IFERROR(INDEX(Clay_Offices!$A$2:$FZ$601,B80,$C$7)&amp;"","")</f>
        <v/>
      </c>
      <c r="E80" s="17">
        <f>IFERROR(INDEX(Clay_Offices!$A$2:$FZ$601,B80,$C$8)&amp;"","")</f>
        <v/>
      </c>
      <c r="F80" s="17">
        <f>IF(C80="","",IF(COUNTIF(Office_Log!$A$2:$A$201,C80)&gt;0,"Y","N"))</f>
        <v/>
      </c>
      <c r="G80" s="17">
        <f>IF(OR(C80="",AND(LEFT(C80,6)="SAMPLE",Config!$B$19&lt;&gt;"Y")),"",IF(IFERROR(INDEX(Lists!$J$2:$J$15,MATCH(D80,Lists!$I$2:$I$15,0)),-1)=-1,"status '"&amp;D80&amp;"' is not a CONTRACTS status",IF(AND(D80="signed",COUNTIF(signed_offices!$W$2:$W$51,C80)=0),"status signed but no signed_offices row"&amp;IF(F80="N"," and no tracker row",""),IF(AND(IFERROR(INDEX(Lists!$J$2:$J$15,MATCH(D80,Lists!$I$2:$I$15,0)),-1)&gt;=6,F80="N"),"status "&amp;D80&amp;" but no tracker row",IF(AND(E80="Y",D80&lt;&gt;"do_not_contact"),"do_not_contact = Y but status is "&amp;D80,IF(AND(D80="do_not_contact",E80&lt;&gt;"Y"),"status do_not_contact but do_not_contact is not Y",""))))))</f>
        <v/>
      </c>
      <c r="I80" s="17" t="n">
        <v>59</v>
      </c>
      <c r="J80" s="17">
        <f>IFERROR(INDEX(Clay_Brands!$A$2:$FZ$601,I80,$D$5)&amp;"","")</f>
        <v/>
      </c>
      <c r="K80" s="17">
        <f>IFERROR(INDEX(Clay_Brands!$A$2:$FZ$601,I80,$D$7)&amp;"","")</f>
        <v/>
      </c>
      <c r="L80" s="17">
        <f>IFERROR(INDEX(Clay_Brands!$A$2:$FZ$601,I80,$D$8)&amp;"","")</f>
        <v/>
      </c>
      <c r="M80" s="17">
        <f>IF(J80="","",IF(COUNTIF(Brand_Log!$A$2:$A$201,J80)&gt;0,"Y","N"))</f>
        <v/>
      </c>
      <c r="N80" s="17">
        <f>IF(OR(J80="",AND(LEFT(J80,6)="SAMPLE",Config!$B$19&lt;&gt;"Y")),"",IF(IFERROR(INDEX(Lists!$J$2:$J$15,MATCH(K80,Lists!$I$2:$I$15,0)),-1)=-1,"status '"&amp;K80&amp;"' is not a CONTRACTS status",IF(AND(K80="paid",COUNTIF(paid_brands!$AC$2:$AC$51,J80)=0),"status paid but no paid_brands row"&amp;IF(M80="N"," and no tracker row",""),IF(AND(IFERROR(INDEX(Lists!$J$2:$J$15,MATCH(K80,Lists!$I$2:$I$15,0)),-1)&gt;=6,M80="N"),"status "&amp;K80&amp;" but no tracker row",IF(AND(L80="Y",K80&lt;&gt;"do_not_contact"),"do_not_contact = Y but status is "&amp;K80,IF(AND(K80="do_not_contact",L80&lt;&gt;"Y"),"status do_not_contact but do_not_contact is not Y",""))))))</f>
        <v/>
      </c>
    </row>
    <row r="81">
      <c r="B81" s="17" t="n">
        <v>60</v>
      </c>
      <c r="C81" s="17">
        <f>IFERROR(INDEX(Clay_Offices!$A$2:$FZ$601,B81,$C$5)&amp;"","")</f>
        <v/>
      </c>
      <c r="D81" s="17">
        <f>IFERROR(INDEX(Clay_Offices!$A$2:$FZ$601,B81,$C$7)&amp;"","")</f>
        <v/>
      </c>
      <c r="E81" s="17">
        <f>IFERROR(INDEX(Clay_Offices!$A$2:$FZ$601,B81,$C$8)&amp;"","")</f>
        <v/>
      </c>
      <c r="F81" s="17">
        <f>IF(C81="","",IF(COUNTIF(Office_Log!$A$2:$A$201,C81)&gt;0,"Y","N"))</f>
        <v/>
      </c>
      <c r="G81" s="17">
        <f>IF(OR(C81="",AND(LEFT(C81,6)="SAMPLE",Config!$B$19&lt;&gt;"Y")),"",IF(IFERROR(INDEX(Lists!$J$2:$J$15,MATCH(D81,Lists!$I$2:$I$15,0)),-1)=-1,"status '"&amp;D81&amp;"' is not a CONTRACTS status",IF(AND(D81="signed",COUNTIF(signed_offices!$W$2:$W$51,C81)=0),"status signed but no signed_offices row"&amp;IF(F81="N"," and no tracker row",""),IF(AND(IFERROR(INDEX(Lists!$J$2:$J$15,MATCH(D81,Lists!$I$2:$I$15,0)),-1)&gt;=6,F81="N"),"status "&amp;D81&amp;" but no tracker row",IF(AND(E81="Y",D81&lt;&gt;"do_not_contact"),"do_not_contact = Y but status is "&amp;D81,IF(AND(D81="do_not_contact",E81&lt;&gt;"Y"),"status do_not_contact but do_not_contact is not Y",""))))))</f>
        <v/>
      </c>
      <c r="I81" s="17" t="n">
        <v>60</v>
      </c>
      <c r="J81" s="17">
        <f>IFERROR(INDEX(Clay_Brands!$A$2:$FZ$601,I81,$D$5)&amp;"","")</f>
        <v/>
      </c>
      <c r="K81" s="17">
        <f>IFERROR(INDEX(Clay_Brands!$A$2:$FZ$601,I81,$D$7)&amp;"","")</f>
        <v/>
      </c>
      <c r="L81" s="17">
        <f>IFERROR(INDEX(Clay_Brands!$A$2:$FZ$601,I81,$D$8)&amp;"","")</f>
        <v/>
      </c>
      <c r="M81" s="17">
        <f>IF(J81="","",IF(COUNTIF(Brand_Log!$A$2:$A$201,J81)&gt;0,"Y","N"))</f>
        <v/>
      </c>
      <c r="N81" s="17">
        <f>IF(OR(J81="",AND(LEFT(J81,6)="SAMPLE",Config!$B$19&lt;&gt;"Y")),"",IF(IFERROR(INDEX(Lists!$J$2:$J$15,MATCH(K81,Lists!$I$2:$I$15,0)),-1)=-1,"status '"&amp;K81&amp;"' is not a CONTRACTS status",IF(AND(K81="paid",COUNTIF(paid_brands!$AC$2:$AC$51,J81)=0),"status paid but no paid_brands row"&amp;IF(M81="N"," and no tracker row",""),IF(AND(IFERROR(INDEX(Lists!$J$2:$J$15,MATCH(K81,Lists!$I$2:$I$15,0)),-1)&gt;=6,M81="N"),"status "&amp;K81&amp;" but no tracker row",IF(AND(L81="Y",K81&lt;&gt;"do_not_contact"),"do_not_contact = Y but status is "&amp;K81,IF(AND(K81="do_not_contact",L81&lt;&gt;"Y"),"status do_not_contact but do_not_contact is not Y",""))))))</f>
        <v/>
      </c>
    </row>
    <row r="82">
      <c r="B82" s="17" t="n">
        <v>61</v>
      </c>
      <c r="C82" s="17">
        <f>IFERROR(INDEX(Clay_Offices!$A$2:$FZ$601,B82,$C$5)&amp;"","")</f>
        <v/>
      </c>
      <c r="D82" s="17">
        <f>IFERROR(INDEX(Clay_Offices!$A$2:$FZ$601,B82,$C$7)&amp;"","")</f>
        <v/>
      </c>
      <c r="E82" s="17">
        <f>IFERROR(INDEX(Clay_Offices!$A$2:$FZ$601,B82,$C$8)&amp;"","")</f>
        <v/>
      </c>
      <c r="F82" s="17">
        <f>IF(C82="","",IF(COUNTIF(Office_Log!$A$2:$A$201,C82)&gt;0,"Y","N"))</f>
        <v/>
      </c>
      <c r="G82" s="17">
        <f>IF(OR(C82="",AND(LEFT(C82,6)="SAMPLE",Config!$B$19&lt;&gt;"Y")),"",IF(IFERROR(INDEX(Lists!$J$2:$J$15,MATCH(D82,Lists!$I$2:$I$15,0)),-1)=-1,"status '"&amp;D82&amp;"' is not a CONTRACTS status",IF(AND(D82="signed",COUNTIF(signed_offices!$W$2:$W$51,C82)=0),"status signed but no signed_offices row"&amp;IF(F82="N"," and no tracker row",""),IF(AND(IFERROR(INDEX(Lists!$J$2:$J$15,MATCH(D82,Lists!$I$2:$I$15,0)),-1)&gt;=6,F82="N"),"status "&amp;D82&amp;" but no tracker row",IF(AND(E82="Y",D82&lt;&gt;"do_not_contact"),"do_not_contact = Y but status is "&amp;D82,IF(AND(D82="do_not_contact",E82&lt;&gt;"Y"),"status do_not_contact but do_not_contact is not Y",""))))))</f>
        <v/>
      </c>
      <c r="I82" s="17" t="n">
        <v>61</v>
      </c>
      <c r="J82" s="17">
        <f>IFERROR(INDEX(Clay_Brands!$A$2:$FZ$601,I82,$D$5)&amp;"","")</f>
        <v/>
      </c>
      <c r="K82" s="17">
        <f>IFERROR(INDEX(Clay_Brands!$A$2:$FZ$601,I82,$D$7)&amp;"","")</f>
        <v/>
      </c>
      <c r="L82" s="17">
        <f>IFERROR(INDEX(Clay_Brands!$A$2:$FZ$601,I82,$D$8)&amp;"","")</f>
        <v/>
      </c>
      <c r="M82" s="17">
        <f>IF(J82="","",IF(COUNTIF(Brand_Log!$A$2:$A$201,J82)&gt;0,"Y","N"))</f>
        <v/>
      </c>
      <c r="N82" s="17">
        <f>IF(OR(J82="",AND(LEFT(J82,6)="SAMPLE",Config!$B$19&lt;&gt;"Y")),"",IF(IFERROR(INDEX(Lists!$J$2:$J$15,MATCH(K82,Lists!$I$2:$I$15,0)),-1)=-1,"status '"&amp;K82&amp;"' is not a CONTRACTS status",IF(AND(K82="paid",COUNTIF(paid_brands!$AC$2:$AC$51,J82)=0),"status paid but no paid_brands row"&amp;IF(M82="N"," and no tracker row",""),IF(AND(IFERROR(INDEX(Lists!$J$2:$J$15,MATCH(K82,Lists!$I$2:$I$15,0)),-1)&gt;=6,M82="N"),"status "&amp;K82&amp;" but no tracker row",IF(AND(L82="Y",K82&lt;&gt;"do_not_contact"),"do_not_contact = Y but status is "&amp;K82,IF(AND(K82="do_not_contact",L82&lt;&gt;"Y"),"status do_not_contact but do_not_contact is not Y",""))))))</f>
        <v/>
      </c>
    </row>
    <row r="83">
      <c r="B83" s="17" t="n">
        <v>62</v>
      </c>
      <c r="C83" s="17">
        <f>IFERROR(INDEX(Clay_Offices!$A$2:$FZ$601,B83,$C$5)&amp;"","")</f>
        <v/>
      </c>
      <c r="D83" s="17">
        <f>IFERROR(INDEX(Clay_Offices!$A$2:$FZ$601,B83,$C$7)&amp;"","")</f>
        <v/>
      </c>
      <c r="E83" s="17">
        <f>IFERROR(INDEX(Clay_Offices!$A$2:$FZ$601,B83,$C$8)&amp;"","")</f>
        <v/>
      </c>
      <c r="F83" s="17">
        <f>IF(C83="","",IF(COUNTIF(Office_Log!$A$2:$A$201,C83)&gt;0,"Y","N"))</f>
        <v/>
      </c>
      <c r="G83" s="17">
        <f>IF(OR(C83="",AND(LEFT(C83,6)="SAMPLE",Config!$B$19&lt;&gt;"Y")),"",IF(IFERROR(INDEX(Lists!$J$2:$J$15,MATCH(D83,Lists!$I$2:$I$15,0)),-1)=-1,"status '"&amp;D83&amp;"' is not a CONTRACTS status",IF(AND(D83="signed",COUNTIF(signed_offices!$W$2:$W$51,C83)=0),"status signed but no signed_offices row"&amp;IF(F83="N"," and no tracker row",""),IF(AND(IFERROR(INDEX(Lists!$J$2:$J$15,MATCH(D83,Lists!$I$2:$I$15,0)),-1)&gt;=6,F83="N"),"status "&amp;D83&amp;" but no tracker row",IF(AND(E83="Y",D83&lt;&gt;"do_not_contact"),"do_not_contact = Y but status is "&amp;D83,IF(AND(D83="do_not_contact",E83&lt;&gt;"Y"),"status do_not_contact but do_not_contact is not Y",""))))))</f>
        <v/>
      </c>
      <c r="I83" s="17" t="n">
        <v>62</v>
      </c>
      <c r="J83" s="17">
        <f>IFERROR(INDEX(Clay_Brands!$A$2:$FZ$601,I83,$D$5)&amp;"","")</f>
        <v/>
      </c>
      <c r="K83" s="17">
        <f>IFERROR(INDEX(Clay_Brands!$A$2:$FZ$601,I83,$D$7)&amp;"","")</f>
        <v/>
      </c>
      <c r="L83" s="17">
        <f>IFERROR(INDEX(Clay_Brands!$A$2:$FZ$601,I83,$D$8)&amp;"","")</f>
        <v/>
      </c>
      <c r="M83" s="17">
        <f>IF(J83="","",IF(COUNTIF(Brand_Log!$A$2:$A$201,J83)&gt;0,"Y","N"))</f>
        <v/>
      </c>
      <c r="N83" s="17">
        <f>IF(OR(J83="",AND(LEFT(J83,6)="SAMPLE",Config!$B$19&lt;&gt;"Y")),"",IF(IFERROR(INDEX(Lists!$J$2:$J$15,MATCH(K83,Lists!$I$2:$I$15,0)),-1)=-1,"status '"&amp;K83&amp;"' is not a CONTRACTS status",IF(AND(K83="paid",COUNTIF(paid_brands!$AC$2:$AC$51,J83)=0),"status paid but no paid_brands row"&amp;IF(M83="N"," and no tracker row",""),IF(AND(IFERROR(INDEX(Lists!$J$2:$J$15,MATCH(K83,Lists!$I$2:$I$15,0)),-1)&gt;=6,M83="N"),"status "&amp;K83&amp;" but no tracker row",IF(AND(L83="Y",K83&lt;&gt;"do_not_contact"),"do_not_contact = Y but status is "&amp;K83,IF(AND(K83="do_not_contact",L83&lt;&gt;"Y"),"status do_not_contact but do_not_contact is not Y",""))))))</f>
        <v/>
      </c>
    </row>
    <row r="84">
      <c r="B84" s="17" t="n">
        <v>63</v>
      </c>
      <c r="C84" s="17">
        <f>IFERROR(INDEX(Clay_Offices!$A$2:$FZ$601,B84,$C$5)&amp;"","")</f>
        <v/>
      </c>
      <c r="D84" s="17">
        <f>IFERROR(INDEX(Clay_Offices!$A$2:$FZ$601,B84,$C$7)&amp;"","")</f>
        <v/>
      </c>
      <c r="E84" s="17">
        <f>IFERROR(INDEX(Clay_Offices!$A$2:$FZ$601,B84,$C$8)&amp;"","")</f>
        <v/>
      </c>
      <c r="F84" s="17">
        <f>IF(C84="","",IF(COUNTIF(Office_Log!$A$2:$A$201,C84)&gt;0,"Y","N"))</f>
        <v/>
      </c>
      <c r="G84" s="17">
        <f>IF(OR(C84="",AND(LEFT(C84,6)="SAMPLE",Config!$B$19&lt;&gt;"Y")),"",IF(IFERROR(INDEX(Lists!$J$2:$J$15,MATCH(D84,Lists!$I$2:$I$15,0)),-1)=-1,"status '"&amp;D84&amp;"' is not a CONTRACTS status",IF(AND(D84="signed",COUNTIF(signed_offices!$W$2:$W$51,C84)=0),"status signed but no signed_offices row"&amp;IF(F84="N"," and no tracker row",""),IF(AND(IFERROR(INDEX(Lists!$J$2:$J$15,MATCH(D84,Lists!$I$2:$I$15,0)),-1)&gt;=6,F84="N"),"status "&amp;D84&amp;" but no tracker row",IF(AND(E84="Y",D84&lt;&gt;"do_not_contact"),"do_not_contact = Y but status is "&amp;D84,IF(AND(D84="do_not_contact",E84&lt;&gt;"Y"),"status do_not_contact but do_not_contact is not Y",""))))))</f>
        <v/>
      </c>
      <c r="I84" s="17" t="n">
        <v>63</v>
      </c>
      <c r="J84" s="17">
        <f>IFERROR(INDEX(Clay_Brands!$A$2:$FZ$601,I84,$D$5)&amp;"","")</f>
        <v/>
      </c>
      <c r="K84" s="17">
        <f>IFERROR(INDEX(Clay_Brands!$A$2:$FZ$601,I84,$D$7)&amp;"","")</f>
        <v/>
      </c>
      <c r="L84" s="17">
        <f>IFERROR(INDEX(Clay_Brands!$A$2:$FZ$601,I84,$D$8)&amp;"","")</f>
        <v/>
      </c>
      <c r="M84" s="17">
        <f>IF(J84="","",IF(COUNTIF(Brand_Log!$A$2:$A$201,J84)&gt;0,"Y","N"))</f>
        <v/>
      </c>
      <c r="N84" s="17">
        <f>IF(OR(J84="",AND(LEFT(J84,6)="SAMPLE",Config!$B$19&lt;&gt;"Y")),"",IF(IFERROR(INDEX(Lists!$J$2:$J$15,MATCH(K84,Lists!$I$2:$I$15,0)),-1)=-1,"status '"&amp;K84&amp;"' is not a CONTRACTS status",IF(AND(K84="paid",COUNTIF(paid_brands!$AC$2:$AC$51,J84)=0),"status paid but no paid_brands row"&amp;IF(M84="N"," and no tracker row",""),IF(AND(IFERROR(INDEX(Lists!$J$2:$J$15,MATCH(K84,Lists!$I$2:$I$15,0)),-1)&gt;=6,M84="N"),"status "&amp;K84&amp;" but no tracker row",IF(AND(L84="Y",K84&lt;&gt;"do_not_contact"),"do_not_contact = Y but status is "&amp;K84,IF(AND(K84="do_not_contact",L84&lt;&gt;"Y"),"status do_not_contact but do_not_contact is not Y",""))))))</f>
        <v/>
      </c>
    </row>
    <row r="85">
      <c r="B85" s="17" t="n">
        <v>64</v>
      </c>
      <c r="C85" s="17">
        <f>IFERROR(INDEX(Clay_Offices!$A$2:$FZ$601,B85,$C$5)&amp;"","")</f>
        <v/>
      </c>
      <c r="D85" s="17">
        <f>IFERROR(INDEX(Clay_Offices!$A$2:$FZ$601,B85,$C$7)&amp;"","")</f>
        <v/>
      </c>
      <c r="E85" s="17">
        <f>IFERROR(INDEX(Clay_Offices!$A$2:$FZ$601,B85,$C$8)&amp;"","")</f>
        <v/>
      </c>
      <c r="F85" s="17">
        <f>IF(C85="","",IF(COUNTIF(Office_Log!$A$2:$A$201,C85)&gt;0,"Y","N"))</f>
        <v/>
      </c>
      <c r="G85" s="17">
        <f>IF(OR(C85="",AND(LEFT(C85,6)="SAMPLE",Config!$B$19&lt;&gt;"Y")),"",IF(IFERROR(INDEX(Lists!$J$2:$J$15,MATCH(D85,Lists!$I$2:$I$15,0)),-1)=-1,"status '"&amp;D85&amp;"' is not a CONTRACTS status",IF(AND(D85="signed",COUNTIF(signed_offices!$W$2:$W$51,C85)=0),"status signed but no signed_offices row"&amp;IF(F85="N"," and no tracker row",""),IF(AND(IFERROR(INDEX(Lists!$J$2:$J$15,MATCH(D85,Lists!$I$2:$I$15,0)),-1)&gt;=6,F85="N"),"status "&amp;D85&amp;" but no tracker row",IF(AND(E85="Y",D85&lt;&gt;"do_not_contact"),"do_not_contact = Y but status is "&amp;D85,IF(AND(D85="do_not_contact",E85&lt;&gt;"Y"),"status do_not_contact but do_not_contact is not Y",""))))))</f>
        <v/>
      </c>
      <c r="I85" s="17" t="n">
        <v>64</v>
      </c>
      <c r="J85" s="17">
        <f>IFERROR(INDEX(Clay_Brands!$A$2:$FZ$601,I85,$D$5)&amp;"","")</f>
        <v/>
      </c>
      <c r="K85" s="17">
        <f>IFERROR(INDEX(Clay_Brands!$A$2:$FZ$601,I85,$D$7)&amp;"","")</f>
        <v/>
      </c>
      <c r="L85" s="17">
        <f>IFERROR(INDEX(Clay_Brands!$A$2:$FZ$601,I85,$D$8)&amp;"","")</f>
        <v/>
      </c>
      <c r="M85" s="17">
        <f>IF(J85="","",IF(COUNTIF(Brand_Log!$A$2:$A$201,J85)&gt;0,"Y","N"))</f>
        <v/>
      </c>
      <c r="N85" s="17">
        <f>IF(OR(J85="",AND(LEFT(J85,6)="SAMPLE",Config!$B$19&lt;&gt;"Y")),"",IF(IFERROR(INDEX(Lists!$J$2:$J$15,MATCH(K85,Lists!$I$2:$I$15,0)),-1)=-1,"status '"&amp;K85&amp;"' is not a CONTRACTS status",IF(AND(K85="paid",COUNTIF(paid_brands!$AC$2:$AC$51,J85)=0),"status paid but no paid_brands row"&amp;IF(M85="N"," and no tracker row",""),IF(AND(IFERROR(INDEX(Lists!$J$2:$J$15,MATCH(K85,Lists!$I$2:$I$15,0)),-1)&gt;=6,M85="N"),"status "&amp;K85&amp;" but no tracker row",IF(AND(L85="Y",K85&lt;&gt;"do_not_contact"),"do_not_contact = Y but status is "&amp;K85,IF(AND(K85="do_not_contact",L85&lt;&gt;"Y"),"status do_not_contact but do_not_contact is not Y",""))))))</f>
        <v/>
      </c>
    </row>
    <row r="86">
      <c r="B86" s="17" t="n">
        <v>65</v>
      </c>
      <c r="C86" s="17">
        <f>IFERROR(INDEX(Clay_Offices!$A$2:$FZ$601,B86,$C$5)&amp;"","")</f>
        <v/>
      </c>
      <c r="D86" s="17">
        <f>IFERROR(INDEX(Clay_Offices!$A$2:$FZ$601,B86,$C$7)&amp;"","")</f>
        <v/>
      </c>
      <c r="E86" s="17">
        <f>IFERROR(INDEX(Clay_Offices!$A$2:$FZ$601,B86,$C$8)&amp;"","")</f>
        <v/>
      </c>
      <c r="F86" s="17">
        <f>IF(C86="","",IF(COUNTIF(Office_Log!$A$2:$A$201,C86)&gt;0,"Y","N"))</f>
        <v/>
      </c>
      <c r="G86" s="17">
        <f>IF(OR(C86="",AND(LEFT(C86,6)="SAMPLE",Config!$B$19&lt;&gt;"Y")),"",IF(IFERROR(INDEX(Lists!$J$2:$J$15,MATCH(D86,Lists!$I$2:$I$15,0)),-1)=-1,"status '"&amp;D86&amp;"' is not a CONTRACTS status",IF(AND(D86="signed",COUNTIF(signed_offices!$W$2:$W$51,C86)=0),"status signed but no signed_offices row"&amp;IF(F86="N"," and no tracker row",""),IF(AND(IFERROR(INDEX(Lists!$J$2:$J$15,MATCH(D86,Lists!$I$2:$I$15,0)),-1)&gt;=6,F86="N"),"status "&amp;D86&amp;" but no tracker row",IF(AND(E86="Y",D86&lt;&gt;"do_not_contact"),"do_not_contact = Y but status is "&amp;D86,IF(AND(D86="do_not_contact",E86&lt;&gt;"Y"),"status do_not_contact but do_not_contact is not Y",""))))))</f>
        <v/>
      </c>
      <c r="I86" s="17" t="n">
        <v>65</v>
      </c>
      <c r="J86" s="17">
        <f>IFERROR(INDEX(Clay_Brands!$A$2:$FZ$601,I86,$D$5)&amp;"","")</f>
        <v/>
      </c>
      <c r="K86" s="17">
        <f>IFERROR(INDEX(Clay_Brands!$A$2:$FZ$601,I86,$D$7)&amp;"","")</f>
        <v/>
      </c>
      <c r="L86" s="17">
        <f>IFERROR(INDEX(Clay_Brands!$A$2:$FZ$601,I86,$D$8)&amp;"","")</f>
        <v/>
      </c>
      <c r="M86" s="17">
        <f>IF(J86="","",IF(COUNTIF(Brand_Log!$A$2:$A$201,J86)&gt;0,"Y","N"))</f>
        <v/>
      </c>
      <c r="N86" s="17">
        <f>IF(OR(J86="",AND(LEFT(J86,6)="SAMPLE",Config!$B$19&lt;&gt;"Y")),"",IF(IFERROR(INDEX(Lists!$J$2:$J$15,MATCH(K86,Lists!$I$2:$I$15,0)),-1)=-1,"status '"&amp;K86&amp;"' is not a CONTRACTS status",IF(AND(K86="paid",COUNTIF(paid_brands!$AC$2:$AC$51,J86)=0),"status paid but no paid_brands row"&amp;IF(M86="N"," and no tracker row",""),IF(AND(IFERROR(INDEX(Lists!$J$2:$J$15,MATCH(K86,Lists!$I$2:$I$15,0)),-1)&gt;=6,M86="N"),"status "&amp;K86&amp;" but no tracker row",IF(AND(L86="Y",K86&lt;&gt;"do_not_contact"),"do_not_contact = Y but status is "&amp;K86,IF(AND(K86="do_not_contact",L86&lt;&gt;"Y"),"status do_not_contact but do_not_contact is not Y",""))))))</f>
        <v/>
      </c>
    </row>
    <row r="87">
      <c r="B87" s="17" t="n">
        <v>66</v>
      </c>
      <c r="C87" s="17">
        <f>IFERROR(INDEX(Clay_Offices!$A$2:$FZ$601,B87,$C$5)&amp;"","")</f>
        <v/>
      </c>
      <c r="D87" s="17">
        <f>IFERROR(INDEX(Clay_Offices!$A$2:$FZ$601,B87,$C$7)&amp;"","")</f>
        <v/>
      </c>
      <c r="E87" s="17">
        <f>IFERROR(INDEX(Clay_Offices!$A$2:$FZ$601,B87,$C$8)&amp;"","")</f>
        <v/>
      </c>
      <c r="F87" s="17">
        <f>IF(C87="","",IF(COUNTIF(Office_Log!$A$2:$A$201,C87)&gt;0,"Y","N"))</f>
        <v/>
      </c>
      <c r="G87" s="17">
        <f>IF(OR(C87="",AND(LEFT(C87,6)="SAMPLE",Config!$B$19&lt;&gt;"Y")),"",IF(IFERROR(INDEX(Lists!$J$2:$J$15,MATCH(D87,Lists!$I$2:$I$15,0)),-1)=-1,"status '"&amp;D87&amp;"' is not a CONTRACTS status",IF(AND(D87="signed",COUNTIF(signed_offices!$W$2:$W$51,C87)=0),"status signed but no signed_offices row"&amp;IF(F87="N"," and no tracker row",""),IF(AND(IFERROR(INDEX(Lists!$J$2:$J$15,MATCH(D87,Lists!$I$2:$I$15,0)),-1)&gt;=6,F87="N"),"status "&amp;D87&amp;" but no tracker row",IF(AND(E87="Y",D87&lt;&gt;"do_not_contact"),"do_not_contact = Y but status is "&amp;D87,IF(AND(D87="do_not_contact",E87&lt;&gt;"Y"),"status do_not_contact but do_not_contact is not Y",""))))))</f>
        <v/>
      </c>
      <c r="I87" s="17" t="n">
        <v>66</v>
      </c>
      <c r="J87" s="17">
        <f>IFERROR(INDEX(Clay_Brands!$A$2:$FZ$601,I87,$D$5)&amp;"","")</f>
        <v/>
      </c>
      <c r="K87" s="17">
        <f>IFERROR(INDEX(Clay_Brands!$A$2:$FZ$601,I87,$D$7)&amp;"","")</f>
        <v/>
      </c>
      <c r="L87" s="17">
        <f>IFERROR(INDEX(Clay_Brands!$A$2:$FZ$601,I87,$D$8)&amp;"","")</f>
        <v/>
      </c>
      <c r="M87" s="17">
        <f>IF(J87="","",IF(COUNTIF(Brand_Log!$A$2:$A$201,J87)&gt;0,"Y","N"))</f>
        <v/>
      </c>
      <c r="N87" s="17">
        <f>IF(OR(J87="",AND(LEFT(J87,6)="SAMPLE",Config!$B$19&lt;&gt;"Y")),"",IF(IFERROR(INDEX(Lists!$J$2:$J$15,MATCH(K87,Lists!$I$2:$I$15,0)),-1)=-1,"status '"&amp;K87&amp;"' is not a CONTRACTS status",IF(AND(K87="paid",COUNTIF(paid_brands!$AC$2:$AC$51,J87)=0),"status paid but no paid_brands row"&amp;IF(M87="N"," and no tracker row",""),IF(AND(IFERROR(INDEX(Lists!$J$2:$J$15,MATCH(K87,Lists!$I$2:$I$15,0)),-1)&gt;=6,M87="N"),"status "&amp;K87&amp;" but no tracker row",IF(AND(L87="Y",K87&lt;&gt;"do_not_contact"),"do_not_contact = Y but status is "&amp;K87,IF(AND(K87="do_not_contact",L87&lt;&gt;"Y"),"status do_not_contact but do_not_contact is not Y",""))))))</f>
        <v/>
      </c>
    </row>
    <row r="88">
      <c r="B88" s="17" t="n">
        <v>67</v>
      </c>
      <c r="C88" s="17">
        <f>IFERROR(INDEX(Clay_Offices!$A$2:$FZ$601,B88,$C$5)&amp;"","")</f>
        <v/>
      </c>
      <c r="D88" s="17">
        <f>IFERROR(INDEX(Clay_Offices!$A$2:$FZ$601,B88,$C$7)&amp;"","")</f>
        <v/>
      </c>
      <c r="E88" s="17">
        <f>IFERROR(INDEX(Clay_Offices!$A$2:$FZ$601,B88,$C$8)&amp;"","")</f>
        <v/>
      </c>
      <c r="F88" s="17">
        <f>IF(C88="","",IF(COUNTIF(Office_Log!$A$2:$A$201,C88)&gt;0,"Y","N"))</f>
        <v/>
      </c>
      <c r="G88" s="17">
        <f>IF(OR(C88="",AND(LEFT(C88,6)="SAMPLE",Config!$B$19&lt;&gt;"Y")),"",IF(IFERROR(INDEX(Lists!$J$2:$J$15,MATCH(D88,Lists!$I$2:$I$15,0)),-1)=-1,"status '"&amp;D88&amp;"' is not a CONTRACTS status",IF(AND(D88="signed",COUNTIF(signed_offices!$W$2:$W$51,C88)=0),"status signed but no signed_offices row"&amp;IF(F88="N"," and no tracker row",""),IF(AND(IFERROR(INDEX(Lists!$J$2:$J$15,MATCH(D88,Lists!$I$2:$I$15,0)),-1)&gt;=6,F88="N"),"status "&amp;D88&amp;" but no tracker row",IF(AND(E88="Y",D88&lt;&gt;"do_not_contact"),"do_not_contact = Y but status is "&amp;D88,IF(AND(D88="do_not_contact",E88&lt;&gt;"Y"),"status do_not_contact but do_not_contact is not Y",""))))))</f>
        <v/>
      </c>
      <c r="I88" s="17" t="n">
        <v>67</v>
      </c>
      <c r="J88" s="17">
        <f>IFERROR(INDEX(Clay_Brands!$A$2:$FZ$601,I88,$D$5)&amp;"","")</f>
        <v/>
      </c>
      <c r="K88" s="17">
        <f>IFERROR(INDEX(Clay_Brands!$A$2:$FZ$601,I88,$D$7)&amp;"","")</f>
        <v/>
      </c>
      <c r="L88" s="17">
        <f>IFERROR(INDEX(Clay_Brands!$A$2:$FZ$601,I88,$D$8)&amp;"","")</f>
        <v/>
      </c>
      <c r="M88" s="17">
        <f>IF(J88="","",IF(COUNTIF(Brand_Log!$A$2:$A$201,J88)&gt;0,"Y","N"))</f>
        <v/>
      </c>
      <c r="N88" s="17">
        <f>IF(OR(J88="",AND(LEFT(J88,6)="SAMPLE",Config!$B$19&lt;&gt;"Y")),"",IF(IFERROR(INDEX(Lists!$J$2:$J$15,MATCH(K88,Lists!$I$2:$I$15,0)),-1)=-1,"status '"&amp;K88&amp;"' is not a CONTRACTS status",IF(AND(K88="paid",COUNTIF(paid_brands!$AC$2:$AC$51,J88)=0),"status paid but no paid_brands row"&amp;IF(M88="N"," and no tracker row",""),IF(AND(IFERROR(INDEX(Lists!$J$2:$J$15,MATCH(K88,Lists!$I$2:$I$15,0)),-1)&gt;=6,M88="N"),"status "&amp;K88&amp;" but no tracker row",IF(AND(L88="Y",K88&lt;&gt;"do_not_contact"),"do_not_contact = Y but status is "&amp;K88,IF(AND(K88="do_not_contact",L88&lt;&gt;"Y"),"status do_not_contact but do_not_contact is not Y",""))))))</f>
        <v/>
      </c>
    </row>
    <row r="89">
      <c r="B89" s="17" t="n">
        <v>68</v>
      </c>
      <c r="C89" s="17">
        <f>IFERROR(INDEX(Clay_Offices!$A$2:$FZ$601,B89,$C$5)&amp;"","")</f>
        <v/>
      </c>
      <c r="D89" s="17">
        <f>IFERROR(INDEX(Clay_Offices!$A$2:$FZ$601,B89,$C$7)&amp;"","")</f>
        <v/>
      </c>
      <c r="E89" s="17">
        <f>IFERROR(INDEX(Clay_Offices!$A$2:$FZ$601,B89,$C$8)&amp;"","")</f>
        <v/>
      </c>
      <c r="F89" s="17">
        <f>IF(C89="","",IF(COUNTIF(Office_Log!$A$2:$A$201,C89)&gt;0,"Y","N"))</f>
        <v/>
      </c>
      <c r="G89" s="17">
        <f>IF(OR(C89="",AND(LEFT(C89,6)="SAMPLE",Config!$B$19&lt;&gt;"Y")),"",IF(IFERROR(INDEX(Lists!$J$2:$J$15,MATCH(D89,Lists!$I$2:$I$15,0)),-1)=-1,"status '"&amp;D89&amp;"' is not a CONTRACTS status",IF(AND(D89="signed",COUNTIF(signed_offices!$W$2:$W$51,C89)=0),"status signed but no signed_offices row"&amp;IF(F89="N"," and no tracker row",""),IF(AND(IFERROR(INDEX(Lists!$J$2:$J$15,MATCH(D89,Lists!$I$2:$I$15,0)),-1)&gt;=6,F89="N"),"status "&amp;D89&amp;" but no tracker row",IF(AND(E89="Y",D89&lt;&gt;"do_not_contact"),"do_not_contact = Y but status is "&amp;D89,IF(AND(D89="do_not_contact",E89&lt;&gt;"Y"),"status do_not_contact but do_not_contact is not Y",""))))))</f>
        <v/>
      </c>
      <c r="I89" s="17" t="n">
        <v>68</v>
      </c>
      <c r="J89" s="17">
        <f>IFERROR(INDEX(Clay_Brands!$A$2:$FZ$601,I89,$D$5)&amp;"","")</f>
        <v/>
      </c>
      <c r="K89" s="17">
        <f>IFERROR(INDEX(Clay_Brands!$A$2:$FZ$601,I89,$D$7)&amp;"","")</f>
        <v/>
      </c>
      <c r="L89" s="17">
        <f>IFERROR(INDEX(Clay_Brands!$A$2:$FZ$601,I89,$D$8)&amp;"","")</f>
        <v/>
      </c>
      <c r="M89" s="17">
        <f>IF(J89="","",IF(COUNTIF(Brand_Log!$A$2:$A$201,J89)&gt;0,"Y","N"))</f>
        <v/>
      </c>
      <c r="N89" s="17">
        <f>IF(OR(J89="",AND(LEFT(J89,6)="SAMPLE",Config!$B$19&lt;&gt;"Y")),"",IF(IFERROR(INDEX(Lists!$J$2:$J$15,MATCH(K89,Lists!$I$2:$I$15,0)),-1)=-1,"status '"&amp;K89&amp;"' is not a CONTRACTS status",IF(AND(K89="paid",COUNTIF(paid_brands!$AC$2:$AC$51,J89)=0),"status paid but no paid_brands row"&amp;IF(M89="N"," and no tracker row",""),IF(AND(IFERROR(INDEX(Lists!$J$2:$J$15,MATCH(K89,Lists!$I$2:$I$15,0)),-1)&gt;=6,M89="N"),"status "&amp;K89&amp;" but no tracker row",IF(AND(L89="Y",K89&lt;&gt;"do_not_contact"),"do_not_contact = Y but status is "&amp;K89,IF(AND(K89="do_not_contact",L89&lt;&gt;"Y"),"status do_not_contact but do_not_contact is not Y",""))))))</f>
        <v/>
      </c>
    </row>
    <row r="90">
      <c r="B90" s="17" t="n">
        <v>69</v>
      </c>
      <c r="C90" s="17">
        <f>IFERROR(INDEX(Clay_Offices!$A$2:$FZ$601,B90,$C$5)&amp;"","")</f>
        <v/>
      </c>
      <c r="D90" s="17">
        <f>IFERROR(INDEX(Clay_Offices!$A$2:$FZ$601,B90,$C$7)&amp;"","")</f>
        <v/>
      </c>
      <c r="E90" s="17">
        <f>IFERROR(INDEX(Clay_Offices!$A$2:$FZ$601,B90,$C$8)&amp;"","")</f>
        <v/>
      </c>
      <c r="F90" s="17">
        <f>IF(C90="","",IF(COUNTIF(Office_Log!$A$2:$A$201,C90)&gt;0,"Y","N"))</f>
        <v/>
      </c>
      <c r="G90" s="17">
        <f>IF(OR(C90="",AND(LEFT(C90,6)="SAMPLE",Config!$B$19&lt;&gt;"Y")),"",IF(IFERROR(INDEX(Lists!$J$2:$J$15,MATCH(D90,Lists!$I$2:$I$15,0)),-1)=-1,"status '"&amp;D90&amp;"' is not a CONTRACTS status",IF(AND(D90="signed",COUNTIF(signed_offices!$W$2:$W$51,C90)=0),"status signed but no signed_offices row"&amp;IF(F90="N"," and no tracker row",""),IF(AND(IFERROR(INDEX(Lists!$J$2:$J$15,MATCH(D90,Lists!$I$2:$I$15,0)),-1)&gt;=6,F90="N"),"status "&amp;D90&amp;" but no tracker row",IF(AND(E90="Y",D90&lt;&gt;"do_not_contact"),"do_not_contact = Y but status is "&amp;D90,IF(AND(D90="do_not_contact",E90&lt;&gt;"Y"),"status do_not_contact but do_not_contact is not Y",""))))))</f>
        <v/>
      </c>
      <c r="I90" s="17" t="n">
        <v>69</v>
      </c>
      <c r="J90" s="17">
        <f>IFERROR(INDEX(Clay_Brands!$A$2:$FZ$601,I90,$D$5)&amp;"","")</f>
        <v/>
      </c>
      <c r="K90" s="17">
        <f>IFERROR(INDEX(Clay_Brands!$A$2:$FZ$601,I90,$D$7)&amp;"","")</f>
        <v/>
      </c>
      <c r="L90" s="17">
        <f>IFERROR(INDEX(Clay_Brands!$A$2:$FZ$601,I90,$D$8)&amp;"","")</f>
        <v/>
      </c>
      <c r="M90" s="17">
        <f>IF(J90="","",IF(COUNTIF(Brand_Log!$A$2:$A$201,J90)&gt;0,"Y","N"))</f>
        <v/>
      </c>
      <c r="N90" s="17">
        <f>IF(OR(J90="",AND(LEFT(J90,6)="SAMPLE",Config!$B$19&lt;&gt;"Y")),"",IF(IFERROR(INDEX(Lists!$J$2:$J$15,MATCH(K90,Lists!$I$2:$I$15,0)),-1)=-1,"status '"&amp;K90&amp;"' is not a CONTRACTS status",IF(AND(K90="paid",COUNTIF(paid_brands!$AC$2:$AC$51,J90)=0),"status paid but no paid_brands row"&amp;IF(M90="N"," and no tracker row",""),IF(AND(IFERROR(INDEX(Lists!$J$2:$J$15,MATCH(K90,Lists!$I$2:$I$15,0)),-1)&gt;=6,M90="N"),"status "&amp;K90&amp;" but no tracker row",IF(AND(L90="Y",K90&lt;&gt;"do_not_contact"),"do_not_contact = Y but status is "&amp;K90,IF(AND(K90="do_not_contact",L90&lt;&gt;"Y"),"status do_not_contact but do_not_contact is not Y",""))))))</f>
        <v/>
      </c>
    </row>
    <row r="91">
      <c r="B91" s="17" t="n">
        <v>70</v>
      </c>
      <c r="C91" s="17">
        <f>IFERROR(INDEX(Clay_Offices!$A$2:$FZ$601,B91,$C$5)&amp;"","")</f>
        <v/>
      </c>
      <c r="D91" s="17">
        <f>IFERROR(INDEX(Clay_Offices!$A$2:$FZ$601,B91,$C$7)&amp;"","")</f>
        <v/>
      </c>
      <c r="E91" s="17">
        <f>IFERROR(INDEX(Clay_Offices!$A$2:$FZ$601,B91,$C$8)&amp;"","")</f>
        <v/>
      </c>
      <c r="F91" s="17">
        <f>IF(C91="","",IF(COUNTIF(Office_Log!$A$2:$A$201,C91)&gt;0,"Y","N"))</f>
        <v/>
      </c>
      <c r="G91" s="17">
        <f>IF(OR(C91="",AND(LEFT(C91,6)="SAMPLE",Config!$B$19&lt;&gt;"Y")),"",IF(IFERROR(INDEX(Lists!$J$2:$J$15,MATCH(D91,Lists!$I$2:$I$15,0)),-1)=-1,"status '"&amp;D91&amp;"' is not a CONTRACTS status",IF(AND(D91="signed",COUNTIF(signed_offices!$W$2:$W$51,C91)=0),"status signed but no signed_offices row"&amp;IF(F91="N"," and no tracker row",""),IF(AND(IFERROR(INDEX(Lists!$J$2:$J$15,MATCH(D91,Lists!$I$2:$I$15,0)),-1)&gt;=6,F91="N"),"status "&amp;D91&amp;" but no tracker row",IF(AND(E91="Y",D91&lt;&gt;"do_not_contact"),"do_not_contact = Y but status is "&amp;D91,IF(AND(D91="do_not_contact",E91&lt;&gt;"Y"),"status do_not_contact but do_not_contact is not Y",""))))))</f>
        <v/>
      </c>
      <c r="I91" s="17" t="n">
        <v>70</v>
      </c>
      <c r="J91" s="17">
        <f>IFERROR(INDEX(Clay_Brands!$A$2:$FZ$601,I91,$D$5)&amp;"","")</f>
        <v/>
      </c>
      <c r="K91" s="17">
        <f>IFERROR(INDEX(Clay_Brands!$A$2:$FZ$601,I91,$D$7)&amp;"","")</f>
        <v/>
      </c>
      <c r="L91" s="17">
        <f>IFERROR(INDEX(Clay_Brands!$A$2:$FZ$601,I91,$D$8)&amp;"","")</f>
        <v/>
      </c>
      <c r="M91" s="17">
        <f>IF(J91="","",IF(COUNTIF(Brand_Log!$A$2:$A$201,J91)&gt;0,"Y","N"))</f>
        <v/>
      </c>
      <c r="N91" s="17">
        <f>IF(OR(J91="",AND(LEFT(J91,6)="SAMPLE",Config!$B$19&lt;&gt;"Y")),"",IF(IFERROR(INDEX(Lists!$J$2:$J$15,MATCH(K91,Lists!$I$2:$I$15,0)),-1)=-1,"status '"&amp;K91&amp;"' is not a CONTRACTS status",IF(AND(K91="paid",COUNTIF(paid_brands!$AC$2:$AC$51,J91)=0),"status paid but no paid_brands row"&amp;IF(M91="N"," and no tracker row",""),IF(AND(IFERROR(INDEX(Lists!$J$2:$J$15,MATCH(K91,Lists!$I$2:$I$15,0)),-1)&gt;=6,M91="N"),"status "&amp;K91&amp;" but no tracker row",IF(AND(L91="Y",K91&lt;&gt;"do_not_contact"),"do_not_contact = Y but status is "&amp;K91,IF(AND(K91="do_not_contact",L91&lt;&gt;"Y"),"status do_not_contact but do_not_contact is not Y",""))))))</f>
        <v/>
      </c>
    </row>
    <row r="92">
      <c r="B92" s="17" t="n">
        <v>71</v>
      </c>
      <c r="C92" s="17">
        <f>IFERROR(INDEX(Clay_Offices!$A$2:$FZ$601,B92,$C$5)&amp;"","")</f>
        <v/>
      </c>
      <c r="D92" s="17">
        <f>IFERROR(INDEX(Clay_Offices!$A$2:$FZ$601,B92,$C$7)&amp;"","")</f>
        <v/>
      </c>
      <c r="E92" s="17">
        <f>IFERROR(INDEX(Clay_Offices!$A$2:$FZ$601,B92,$C$8)&amp;"","")</f>
        <v/>
      </c>
      <c r="F92" s="17">
        <f>IF(C92="","",IF(COUNTIF(Office_Log!$A$2:$A$201,C92)&gt;0,"Y","N"))</f>
        <v/>
      </c>
      <c r="G92" s="17">
        <f>IF(OR(C92="",AND(LEFT(C92,6)="SAMPLE",Config!$B$19&lt;&gt;"Y")),"",IF(IFERROR(INDEX(Lists!$J$2:$J$15,MATCH(D92,Lists!$I$2:$I$15,0)),-1)=-1,"status '"&amp;D92&amp;"' is not a CONTRACTS status",IF(AND(D92="signed",COUNTIF(signed_offices!$W$2:$W$51,C92)=0),"status signed but no signed_offices row"&amp;IF(F92="N"," and no tracker row",""),IF(AND(IFERROR(INDEX(Lists!$J$2:$J$15,MATCH(D92,Lists!$I$2:$I$15,0)),-1)&gt;=6,F92="N"),"status "&amp;D92&amp;" but no tracker row",IF(AND(E92="Y",D92&lt;&gt;"do_not_contact"),"do_not_contact = Y but status is "&amp;D92,IF(AND(D92="do_not_contact",E92&lt;&gt;"Y"),"status do_not_contact but do_not_contact is not Y",""))))))</f>
        <v/>
      </c>
      <c r="I92" s="17" t="n">
        <v>71</v>
      </c>
      <c r="J92" s="17">
        <f>IFERROR(INDEX(Clay_Brands!$A$2:$FZ$601,I92,$D$5)&amp;"","")</f>
        <v/>
      </c>
      <c r="K92" s="17">
        <f>IFERROR(INDEX(Clay_Brands!$A$2:$FZ$601,I92,$D$7)&amp;"","")</f>
        <v/>
      </c>
      <c r="L92" s="17">
        <f>IFERROR(INDEX(Clay_Brands!$A$2:$FZ$601,I92,$D$8)&amp;"","")</f>
        <v/>
      </c>
      <c r="M92" s="17">
        <f>IF(J92="","",IF(COUNTIF(Brand_Log!$A$2:$A$201,J92)&gt;0,"Y","N"))</f>
        <v/>
      </c>
      <c r="N92" s="17">
        <f>IF(OR(J92="",AND(LEFT(J92,6)="SAMPLE",Config!$B$19&lt;&gt;"Y")),"",IF(IFERROR(INDEX(Lists!$J$2:$J$15,MATCH(K92,Lists!$I$2:$I$15,0)),-1)=-1,"status '"&amp;K92&amp;"' is not a CONTRACTS status",IF(AND(K92="paid",COUNTIF(paid_brands!$AC$2:$AC$51,J92)=0),"status paid but no paid_brands row"&amp;IF(M92="N"," and no tracker row",""),IF(AND(IFERROR(INDEX(Lists!$J$2:$J$15,MATCH(K92,Lists!$I$2:$I$15,0)),-1)&gt;=6,M92="N"),"status "&amp;K92&amp;" but no tracker row",IF(AND(L92="Y",K92&lt;&gt;"do_not_contact"),"do_not_contact = Y but status is "&amp;K92,IF(AND(K92="do_not_contact",L92&lt;&gt;"Y"),"status do_not_contact but do_not_contact is not Y",""))))))</f>
        <v/>
      </c>
    </row>
    <row r="93">
      <c r="B93" s="17" t="n">
        <v>72</v>
      </c>
      <c r="C93" s="17">
        <f>IFERROR(INDEX(Clay_Offices!$A$2:$FZ$601,B93,$C$5)&amp;"","")</f>
        <v/>
      </c>
      <c r="D93" s="17">
        <f>IFERROR(INDEX(Clay_Offices!$A$2:$FZ$601,B93,$C$7)&amp;"","")</f>
        <v/>
      </c>
      <c r="E93" s="17">
        <f>IFERROR(INDEX(Clay_Offices!$A$2:$FZ$601,B93,$C$8)&amp;"","")</f>
        <v/>
      </c>
      <c r="F93" s="17">
        <f>IF(C93="","",IF(COUNTIF(Office_Log!$A$2:$A$201,C93)&gt;0,"Y","N"))</f>
        <v/>
      </c>
      <c r="G93" s="17">
        <f>IF(OR(C93="",AND(LEFT(C93,6)="SAMPLE",Config!$B$19&lt;&gt;"Y")),"",IF(IFERROR(INDEX(Lists!$J$2:$J$15,MATCH(D93,Lists!$I$2:$I$15,0)),-1)=-1,"status '"&amp;D93&amp;"' is not a CONTRACTS status",IF(AND(D93="signed",COUNTIF(signed_offices!$W$2:$W$51,C93)=0),"status signed but no signed_offices row"&amp;IF(F93="N"," and no tracker row",""),IF(AND(IFERROR(INDEX(Lists!$J$2:$J$15,MATCH(D93,Lists!$I$2:$I$15,0)),-1)&gt;=6,F93="N"),"status "&amp;D93&amp;" but no tracker row",IF(AND(E93="Y",D93&lt;&gt;"do_not_contact"),"do_not_contact = Y but status is "&amp;D93,IF(AND(D93="do_not_contact",E93&lt;&gt;"Y"),"status do_not_contact but do_not_contact is not Y",""))))))</f>
        <v/>
      </c>
      <c r="I93" s="17" t="n">
        <v>72</v>
      </c>
      <c r="J93" s="17">
        <f>IFERROR(INDEX(Clay_Brands!$A$2:$FZ$601,I93,$D$5)&amp;"","")</f>
        <v/>
      </c>
      <c r="K93" s="17">
        <f>IFERROR(INDEX(Clay_Brands!$A$2:$FZ$601,I93,$D$7)&amp;"","")</f>
        <v/>
      </c>
      <c r="L93" s="17">
        <f>IFERROR(INDEX(Clay_Brands!$A$2:$FZ$601,I93,$D$8)&amp;"","")</f>
        <v/>
      </c>
      <c r="M93" s="17">
        <f>IF(J93="","",IF(COUNTIF(Brand_Log!$A$2:$A$201,J93)&gt;0,"Y","N"))</f>
        <v/>
      </c>
      <c r="N93" s="17">
        <f>IF(OR(J93="",AND(LEFT(J93,6)="SAMPLE",Config!$B$19&lt;&gt;"Y")),"",IF(IFERROR(INDEX(Lists!$J$2:$J$15,MATCH(K93,Lists!$I$2:$I$15,0)),-1)=-1,"status '"&amp;K93&amp;"' is not a CONTRACTS status",IF(AND(K93="paid",COUNTIF(paid_brands!$AC$2:$AC$51,J93)=0),"status paid but no paid_brands row"&amp;IF(M93="N"," and no tracker row",""),IF(AND(IFERROR(INDEX(Lists!$J$2:$J$15,MATCH(K93,Lists!$I$2:$I$15,0)),-1)&gt;=6,M93="N"),"status "&amp;K93&amp;" but no tracker row",IF(AND(L93="Y",K93&lt;&gt;"do_not_contact"),"do_not_contact = Y but status is "&amp;K93,IF(AND(K93="do_not_contact",L93&lt;&gt;"Y"),"status do_not_contact but do_not_contact is not Y",""))))))</f>
        <v/>
      </c>
    </row>
    <row r="94">
      <c r="B94" s="17" t="n">
        <v>73</v>
      </c>
      <c r="C94" s="17">
        <f>IFERROR(INDEX(Clay_Offices!$A$2:$FZ$601,B94,$C$5)&amp;"","")</f>
        <v/>
      </c>
      <c r="D94" s="17">
        <f>IFERROR(INDEX(Clay_Offices!$A$2:$FZ$601,B94,$C$7)&amp;"","")</f>
        <v/>
      </c>
      <c r="E94" s="17">
        <f>IFERROR(INDEX(Clay_Offices!$A$2:$FZ$601,B94,$C$8)&amp;"","")</f>
        <v/>
      </c>
      <c r="F94" s="17">
        <f>IF(C94="","",IF(COUNTIF(Office_Log!$A$2:$A$201,C94)&gt;0,"Y","N"))</f>
        <v/>
      </c>
      <c r="G94" s="17">
        <f>IF(OR(C94="",AND(LEFT(C94,6)="SAMPLE",Config!$B$19&lt;&gt;"Y")),"",IF(IFERROR(INDEX(Lists!$J$2:$J$15,MATCH(D94,Lists!$I$2:$I$15,0)),-1)=-1,"status '"&amp;D94&amp;"' is not a CONTRACTS status",IF(AND(D94="signed",COUNTIF(signed_offices!$W$2:$W$51,C94)=0),"status signed but no signed_offices row"&amp;IF(F94="N"," and no tracker row",""),IF(AND(IFERROR(INDEX(Lists!$J$2:$J$15,MATCH(D94,Lists!$I$2:$I$15,0)),-1)&gt;=6,F94="N"),"status "&amp;D94&amp;" but no tracker row",IF(AND(E94="Y",D94&lt;&gt;"do_not_contact"),"do_not_contact = Y but status is "&amp;D94,IF(AND(D94="do_not_contact",E94&lt;&gt;"Y"),"status do_not_contact but do_not_contact is not Y",""))))))</f>
        <v/>
      </c>
      <c r="I94" s="17" t="n">
        <v>73</v>
      </c>
      <c r="J94" s="17">
        <f>IFERROR(INDEX(Clay_Brands!$A$2:$FZ$601,I94,$D$5)&amp;"","")</f>
        <v/>
      </c>
      <c r="K94" s="17">
        <f>IFERROR(INDEX(Clay_Brands!$A$2:$FZ$601,I94,$D$7)&amp;"","")</f>
        <v/>
      </c>
      <c r="L94" s="17">
        <f>IFERROR(INDEX(Clay_Brands!$A$2:$FZ$601,I94,$D$8)&amp;"","")</f>
        <v/>
      </c>
      <c r="M94" s="17">
        <f>IF(J94="","",IF(COUNTIF(Brand_Log!$A$2:$A$201,J94)&gt;0,"Y","N"))</f>
        <v/>
      </c>
      <c r="N94" s="17">
        <f>IF(OR(J94="",AND(LEFT(J94,6)="SAMPLE",Config!$B$19&lt;&gt;"Y")),"",IF(IFERROR(INDEX(Lists!$J$2:$J$15,MATCH(K94,Lists!$I$2:$I$15,0)),-1)=-1,"status '"&amp;K94&amp;"' is not a CONTRACTS status",IF(AND(K94="paid",COUNTIF(paid_brands!$AC$2:$AC$51,J94)=0),"status paid but no paid_brands row"&amp;IF(M94="N"," and no tracker row",""),IF(AND(IFERROR(INDEX(Lists!$J$2:$J$15,MATCH(K94,Lists!$I$2:$I$15,0)),-1)&gt;=6,M94="N"),"status "&amp;K94&amp;" but no tracker row",IF(AND(L94="Y",K94&lt;&gt;"do_not_contact"),"do_not_contact = Y but status is "&amp;K94,IF(AND(K94="do_not_contact",L94&lt;&gt;"Y"),"status do_not_contact but do_not_contact is not Y",""))))))</f>
        <v/>
      </c>
    </row>
    <row r="95">
      <c r="B95" s="17" t="n">
        <v>74</v>
      </c>
      <c r="C95" s="17">
        <f>IFERROR(INDEX(Clay_Offices!$A$2:$FZ$601,B95,$C$5)&amp;"","")</f>
        <v/>
      </c>
      <c r="D95" s="17">
        <f>IFERROR(INDEX(Clay_Offices!$A$2:$FZ$601,B95,$C$7)&amp;"","")</f>
        <v/>
      </c>
      <c r="E95" s="17">
        <f>IFERROR(INDEX(Clay_Offices!$A$2:$FZ$601,B95,$C$8)&amp;"","")</f>
        <v/>
      </c>
      <c r="F95" s="17">
        <f>IF(C95="","",IF(COUNTIF(Office_Log!$A$2:$A$201,C95)&gt;0,"Y","N"))</f>
        <v/>
      </c>
      <c r="G95" s="17">
        <f>IF(OR(C95="",AND(LEFT(C95,6)="SAMPLE",Config!$B$19&lt;&gt;"Y")),"",IF(IFERROR(INDEX(Lists!$J$2:$J$15,MATCH(D95,Lists!$I$2:$I$15,0)),-1)=-1,"status '"&amp;D95&amp;"' is not a CONTRACTS status",IF(AND(D95="signed",COUNTIF(signed_offices!$W$2:$W$51,C95)=0),"status signed but no signed_offices row"&amp;IF(F95="N"," and no tracker row",""),IF(AND(IFERROR(INDEX(Lists!$J$2:$J$15,MATCH(D95,Lists!$I$2:$I$15,0)),-1)&gt;=6,F95="N"),"status "&amp;D95&amp;" but no tracker row",IF(AND(E95="Y",D95&lt;&gt;"do_not_contact"),"do_not_contact = Y but status is "&amp;D95,IF(AND(D95="do_not_contact",E95&lt;&gt;"Y"),"status do_not_contact but do_not_contact is not Y",""))))))</f>
        <v/>
      </c>
      <c r="I95" s="17" t="n">
        <v>74</v>
      </c>
      <c r="J95" s="17">
        <f>IFERROR(INDEX(Clay_Brands!$A$2:$FZ$601,I95,$D$5)&amp;"","")</f>
        <v/>
      </c>
      <c r="K95" s="17">
        <f>IFERROR(INDEX(Clay_Brands!$A$2:$FZ$601,I95,$D$7)&amp;"","")</f>
        <v/>
      </c>
      <c r="L95" s="17">
        <f>IFERROR(INDEX(Clay_Brands!$A$2:$FZ$601,I95,$D$8)&amp;"","")</f>
        <v/>
      </c>
      <c r="M95" s="17">
        <f>IF(J95="","",IF(COUNTIF(Brand_Log!$A$2:$A$201,J95)&gt;0,"Y","N"))</f>
        <v/>
      </c>
      <c r="N95" s="17">
        <f>IF(OR(J95="",AND(LEFT(J95,6)="SAMPLE",Config!$B$19&lt;&gt;"Y")),"",IF(IFERROR(INDEX(Lists!$J$2:$J$15,MATCH(K95,Lists!$I$2:$I$15,0)),-1)=-1,"status '"&amp;K95&amp;"' is not a CONTRACTS status",IF(AND(K95="paid",COUNTIF(paid_brands!$AC$2:$AC$51,J95)=0),"status paid but no paid_brands row"&amp;IF(M95="N"," and no tracker row",""),IF(AND(IFERROR(INDEX(Lists!$J$2:$J$15,MATCH(K95,Lists!$I$2:$I$15,0)),-1)&gt;=6,M95="N"),"status "&amp;K95&amp;" but no tracker row",IF(AND(L95="Y",K95&lt;&gt;"do_not_contact"),"do_not_contact = Y but status is "&amp;K95,IF(AND(K95="do_not_contact",L95&lt;&gt;"Y"),"status do_not_contact but do_not_contact is not Y",""))))))</f>
        <v/>
      </c>
    </row>
    <row r="96">
      <c r="B96" s="17" t="n">
        <v>75</v>
      </c>
      <c r="C96" s="17">
        <f>IFERROR(INDEX(Clay_Offices!$A$2:$FZ$601,B96,$C$5)&amp;"","")</f>
        <v/>
      </c>
      <c r="D96" s="17">
        <f>IFERROR(INDEX(Clay_Offices!$A$2:$FZ$601,B96,$C$7)&amp;"","")</f>
        <v/>
      </c>
      <c r="E96" s="17">
        <f>IFERROR(INDEX(Clay_Offices!$A$2:$FZ$601,B96,$C$8)&amp;"","")</f>
        <v/>
      </c>
      <c r="F96" s="17">
        <f>IF(C96="","",IF(COUNTIF(Office_Log!$A$2:$A$201,C96)&gt;0,"Y","N"))</f>
        <v/>
      </c>
      <c r="G96" s="17">
        <f>IF(OR(C96="",AND(LEFT(C96,6)="SAMPLE",Config!$B$19&lt;&gt;"Y")),"",IF(IFERROR(INDEX(Lists!$J$2:$J$15,MATCH(D96,Lists!$I$2:$I$15,0)),-1)=-1,"status '"&amp;D96&amp;"' is not a CONTRACTS status",IF(AND(D96="signed",COUNTIF(signed_offices!$W$2:$W$51,C96)=0),"status signed but no signed_offices row"&amp;IF(F96="N"," and no tracker row",""),IF(AND(IFERROR(INDEX(Lists!$J$2:$J$15,MATCH(D96,Lists!$I$2:$I$15,0)),-1)&gt;=6,F96="N"),"status "&amp;D96&amp;" but no tracker row",IF(AND(E96="Y",D96&lt;&gt;"do_not_contact"),"do_not_contact = Y but status is "&amp;D96,IF(AND(D96="do_not_contact",E96&lt;&gt;"Y"),"status do_not_contact but do_not_contact is not Y",""))))))</f>
        <v/>
      </c>
      <c r="I96" s="17" t="n">
        <v>75</v>
      </c>
      <c r="J96" s="17">
        <f>IFERROR(INDEX(Clay_Brands!$A$2:$FZ$601,I96,$D$5)&amp;"","")</f>
        <v/>
      </c>
      <c r="K96" s="17">
        <f>IFERROR(INDEX(Clay_Brands!$A$2:$FZ$601,I96,$D$7)&amp;"","")</f>
        <v/>
      </c>
      <c r="L96" s="17">
        <f>IFERROR(INDEX(Clay_Brands!$A$2:$FZ$601,I96,$D$8)&amp;"","")</f>
        <v/>
      </c>
      <c r="M96" s="17">
        <f>IF(J96="","",IF(COUNTIF(Brand_Log!$A$2:$A$201,J96)&gt;0,"Y","N"))</f>
        <v/>
      </c>
      <c r="N96" s="17">
        <f>IF(OR(J96="",AND(LEFT(J96,6)="SAMPLE",Config!$B$19&lt;&gt;"Y")),"",IF(IFERROR(INDEX(Lists!$J$2:$J$15,MATCH(K96,Lists!$I$2:$I$15,0)),-1)=-1,"status '"&amp;K96&amp;"' is not a CONTRACTS status",IF(AND(K96="paid",COUNTIF(paid_brands!$AC$2:$AC$51,J96)=0),"status paid but no paid_brands row"&amp;IF(M96="N"," and no tracker row",""),IF(AND(IFERROR(INDEX(Lists!$J$2:$J$15,MATCH(K96,Lists!$I$2:$I$15,0)),-1)&gt;=6,M96="N"),"status "&amp;K96&amp;" but no tracker row",IF(AND(L96="Y",K96&lt;&gt;"do_not_contact"),"do_not_contact = Y but status is "&amp;K96,IF(AND(K96="do_not_contact",L96&lt;&gt;"Y"),"status do_not_contact but do_not_contact is not Y",""))))))</f>
        <v/>
      </c>
    </row>
    <row r="97">
      <c r="B97" s="17" t="n">
        <v>76</v>
      </c>
      <c r="C97" s="17">
        <f>IFERROR(INDEX(Clay_Offices!$A$2:$FZ$601,B97,$C$5)&amp;"","")</f>
        <v/>
      </c>
      <c r="D97" s="17">
        <f>IFERROR(INDEX(Clay_Offices!$A$2:$FZ$601,B97,$C$7)&amp;"","")</f>
        <v/>
      </c>
      <c r="E97" s="17">
        <f>IFERROR(INDEX(Clay_Offices!$A$2:$FZ$601,B97,$C$8)&amp;"","")</f>
        <v/>
      </c>
      <c r="F97" s="17">
        <f>IF(C97="","",IF(COUNTIF(Office_Log!$A$2:$A$201,C97)&gt;0,"Y","N"))</f>
        <v/>
      </c>
      <c r="G97" s="17">
        <f>IF(OR(C97="",AND(LEFT(C97,6)="SAMPLE",Config!$B$19&lt;&gt;"Y")),"",IF(IFERROR(INDEX(Lists!$J$2:$J$15,MATCH(D97,Lists!$I$2:$I$15,0)),-1)=-1,"status '"&amp;D97&amp;"' is not a CONTRACTS status",IF(AND(D97="signed",COUNTIF(signed_offices!$W$2:$W$51,C97)=0),"status signed but no signed_offices row"&amp;IF(F97="N"," and no tracker row",""),IF(AND(IFERROR(INDEX(Lists!$J$2:$J$15,MATCH(D97,Lists!$I$2:$I$15,0)),-1)&gt;=6,F97="N"),"status "&amp;D97&amp;" but no tracker row",IF(AND(E97="Y",D97&lt;&gt;"do_not_contact"),"do_not_contact = Y but status is "&amp;D97,IF(AND(D97="do_not_contact",E97&lt;&gt;"Y"),"status do_not_contact but do_not_contact is not Y",""))))))</f>
        <v/>
      </c>
      <c r="I97" s="17" t="n">
        <v>76</v>
      </c>
      <c r="J97" s="17">
        <f>IFERROR(INDEX(Clay_Brands!$A$2:$FZ$601,I97,$D$5)&amp;"","")</f>
        <v/>
      </c>
      <c r="K97" s="17">
        <f>IFERROR(INDEX(Clay_Brands!$A$2:$FZ$601,I97,$D$7)&amp;"","")</f>
        <v/>
      </c>
      <c r="L97" s="17">
        <f>IFERROR(INDEX(Clay_Brands!$A$2:$FZ$601,I97,$D$8)&amp;"","")</f>
        <v/>
      </c>
      <c r="M97" s="17">
        <f>IF(J97="","",IF(COUNTIF(Brand_Log!$A$2:$A$201,J97)&gt;0,"Y","N"))</f>
        <v/>
      </c>
      <c r="N97" s="17">
        <f>IF(OR(J97="",AND(LEFT(J97,6)="SAMPLE",Config!$B$19&lt;&gt;"Y")),"",IF(IFERROR(INDEX(Lists!$J$2:$J$15,MATCH(K97,Lists!$I$2:$I$15,0)),-1)=-1,"status '"&amp;K97&amp;"' is not a CONTRACTS status",IF(AND(K97="paid",COUNTIF(paid_brands!$AC$2:$AC$51,J97)=0),"status paid but no paid_brands row"&amp;IF(M97="N"," and no tracker row",""),IF(AND(IFERROR(INDEX(Lists!$J$2:$J$15,MATCH(K97,Lists!$I$2:$I$15,0)),-1)&gt;=6,M97="N"),"status "&amp;K97&amp;" but no tracker row",IF(AND(L97="Y",K97&lt;&gt;"do_not_contact"),"do_not_contact = Y but status is "&amp;K97,IF(AND(K97="do_not_contact",L97&lt;&gt;"Y"),"status do_not_contact but do_not_contact is not Y",""))))))</f>
        <v/>
      </c>
    </row>
    <row r="98">
      <c r="B98" s="17" t="n">
        <v>77</v>
      </c>
      <c r="C98" s="17">
        <f>IFERROR(INDEX(Clay_Offices!$A$2:$FZ$601,B98,$C$5)&amp;"","")</f>
        <v/>
      </c>
      <c r="D98" s="17">
        <f>IFERROR(INDEX(Clay_Offices!$A$2:$FZ$601,B98,$C$7)&amp;"","")</f>
        <v/>
      </c>
      <c r="E98" s="17">
        <f>IFERROR(INDEX(Clay_Offices!$A$2:$FZ$601,B98,$C$8)&amp;"","")</f>
        <v/>
      </c>
      <c r="F98" s="17">
        <f>IF(C98="","",IF(COUNTIF(Office_Log!$A$2:$A$201,C98)&gt;0,"Y","N"))</f>
        <v/>
      </c>
      <c r="G98" s="17">
        <f>IF(OR(C98="",AND(LEFT(C98,6)="SAMPLE",Config!$B$19&lt;&gt;"Y")),"",IF(IFERROR(INDEX(Lists!$J$2:$J$15,MATCH(D98,Lists!$I$2:$I$15,0)),-1)=-1,"status '"&amp;D98&amp;"' is not a CONTRACTS status",IF(AND(D98="signed",COUNTIF(signed_offices!$W$2:$W$51,C98)=0),"status signed but no signed_offices row"&amp;IF(F98="N"," and no tracker row",""),IF(AND(IFERROR(INDEX(Lists!$J$2:$J$15,MATCH(D98,Lists!$I$2:$I$15,0)),-1)&gt;=6,F98="N"),"status "&amp;D98&amp;" but no tracker row",IF(AND(E98="Y",D98&lt;&gt;"do_not_contact"),"do_not_contact = Y but status is "&amp;D98,IF(AND(D98="do_not_contact",E98&lt;&gt;"Y"),"status do_not_contact but do_not_contact is not Y",""))))))</f>
        <v/>
      </c>
      <c r="I98" s="17" t="n">
        <v>77</v>
      </c>
      <c r="J98" s="17">
        <f>IFERROR(INDEX(Clay_Brands!$A$2:$FZ$601,I98,$D$5)&amp;"","")</f>
        <v/>
      </c>
      <c r="K98" s="17">
        <f>IFERROR(INDEX(Clay_Brands!$A$2:$FZ$601,I98,$D$7)&amp;"","")</f>
        <v/>
      </c>
      <c r="L98" s="17">
        <f>IFERROR(INDEX(Clay_Brands!$A$2:$FZ$601,I98,$D$8)&amp;"","")</f>
        <v/>
      </c>
      <c r="M98" s="17">
        <f>IF(J98="","",IF(COUNTIF(Brand_Log!$A$2:$A$201,J98)&gt;0,"Y","N"))</f>
        <v/>
      </c>
      <c r="N98" s="17">
        <f>IF(OR(J98="",AND(LEFT(J98,6)="SAMPLE",Config!$B$19&lt;&gt;"Y")),"",IF(IFERROR(INDEX(Lists!$J$2:$J$15,MATCH(K98,Lists!$I$2:$I$15,0)),-1)=-1,"status '"&amp;K98&amp;"' is not a CONTRACTS status",IF(AND(K98="paid",COUNTIF(paid_brands!$AC$2:$AC$51,J98)=0),"status paid but no paid_brands row"&amp;IF(M98="N"," and no tracker row",""),IF(AND(IFERROR(INDEX(Lists!$J$2:$J$15,MATCH(K98,Lists!$I$2:$I$15,0)),-1)&gt;=6,M98="N"),"status "&amp;K98&amp;" but no tracker row",IF(AND(L98="Y",K98&lt;&gt;"do_not_contact"),"do_not_contact = Y but status is "&amp;K98,IF(AND(K98="do_not_contact",L98&lt;&gt;"Y"),"status do_not_contact but do_not_contact is not Y",""))))))</f>
        <v/>
      </c>
    </row>
    <row r="99">
      <c r="B99" s="17" t="n">
        <v>78</v>
      </c>
      <c r="C99" s="17">
        <f>IFERROR(INDEX(Clay_Offices!$A$2:$FZ$601,B99,$C$5)&amp;"","")</f>
        <v/>
      </c>
      <c r="D99" s="17">
        <f>IFERROR(INDEX(Clay_Offices!$A$2:$FZ$601,B99,$C$7)&amp;"","")</f>
        <v/>
      </c>
      <c r="E99" s="17">
        <f>IFERROR(INDEX(Clay_Offices!$A$2:$FZ$601,B99,$C$8)&amp;"","")</f>
        <v/>
      </c>
      <c r="F99" s="17">
        <f>IF(C99="","",IF(COUNTIF(Office_Log!$A$2:$A$201,C99)&gt;0,"Y","N"))</f>
        <v/>
      </c>
      <c r="G99" s="17">
        <f>IF(OR(C99="",AND(LEFT(C99,6)="SAMPLE",Config!$B$19&lt;&gt;"Y")),"",IF(IFERROR(INDEX(Lists!$J$2:$J$15,MATCH(D99,Lists!$I$2:$I$15,0)),-1)=-1,"status '"&amp;D99&amp;"' is not a CONTRACTS status",IF(AND(D99="signed",COUNTIF(signed_offices!$W$2:$W$51,C99)=0),"status signed but no signed_offices row"&amp;IF(F99="N"," and no tracker row",""),IF(AND(IFERROR(INDEX(Lists!$J$2:$J$15,MATCH(D99,Lists!$I$2:$I$15,0)),-1)&gt;=6,F99="N"),"status "&amp;D99&amp;" but no tracker row",IF(AND(E99="Y",D99&lt;&gt;"do_not_contact"),"do_not_contact = Y but status is "&amp;D99,IF(AND(D99="do_not_contact",E99&lt;&gt;"Y"),"status do_not_contact but do_not_contact is not Y",""))))))</f>
        <v/>
      </c>
      <c r="I99" s="17" t="n">
        <v>78</v>
      </c>
      <c r="J99" s="17">
        <f>IFERROR(INDEX(Clay_Brands!$A$2:$FZ$601,I99,$D$5)&amp;"","")</f>
        <v/>
      </c>
      <c r="K99" s="17">
        <f>IFERROR(INDEX(Clay_Brands!$A$2:$FZ$601,I99,$D$7)&amp;"","")</f>
        <v/>
      </c>
      <c r="L99" s="17">
        <f>IFERROR(INDEX(Clay_Brands!$A$2:$FZ$601,I99,$D$8)&amp;"","")</f>
        <v/>
      </c>
      <c r="M99" s="17">
        <f>IF(J99="","",IF(COUNTIF(Brand_Log!$A$2:$A$201,J99)&gt;0,"Y","N"))</f>
        <v/>
      </c>
      <c r="N99" s="17">
        <f>IF(OR(J99="",AND(LEFT(J99,6)="SAMPLE",Config!$B$19&lt;&gt;"Y")),"",IF(IFERROR(INDEX(Lists!$J$2:$J$15,MATCH(K99,Lists!$I$2:$I$15,0)),-1)=-1,"status '"&amp;K99&amp;"' is not a CONTRACTS status",IF(AND(K99="paid",COUNTIF(paid_brands!$AC$2:$AC$51,J99)=0),"status paid but no paid_brands row"&amp;IF(M99="N"," and no tracker row",""),IF(AND(IFERROR(INDEX(Lists!$J$2:$J$15,MATCH(K99,Lists!$I$2:$I$15,0)),-1)&gt;=6,M99="N"),"status "&amp;K99&amp;" but no tracker row",IF(AND(L99="Y",K99&lt;&gt;"do_not_contact"),"do_not_contact = Y but status is "&amp;K99,IF(AND(K99="do_not_contact",L99&lt;&gt;"Y"),"status do_not_contact but do_not_contact is not Y",""))))))</f>
        <v/>
      </c>
    </row>
    <row r="100">
      <c r="B100" s="17" t="n">
        <v>79</v>
      </c>
      <c r="C100" s="17">
        <f>IFERROR(INDEX(Clay_Offices!$A$2:$FZ$601,B100,$C$5)&amp;"","")</f>
        <v/>
      </c>
      <c r="D100" s="17">
        <f>IFERROR(INDEX(Clay_Offices!$A$2:$FZ$601,B100,$C$7)&amp;"","")</f>
        <v/>
      </c>
      <c r="E100" s="17">
        <f>IFERROR(INDEX(Clay_Offices!$A$2:$FZ$601,B100,$C$8)&amp;"","")</f>
        <v/>
      </c>
      <c r="F100" s="17">
        <f>IF(C100="","",IF(COUNTIF(Office_Log!$A$2:$A$201,C100)&gt;0,"Y","N"))</f>
        <v/>
      </c>
      <c r="G100" s="17">
        <f>IF(OR(C100="",AND(LEFT(C100,6)="SAMPLE",Config!$B$19&lt;&gt;"Y")),"",IF(IFERROR(INDEX(Lists!$J$2:$J$15,MATCH(D100,Lists!$I$2:$I$15,0)),-1)=-1,"status '"&amp;D100&amp;"' is not a CONTRACTS status",IF(AND(D100="signed",COUNTIF(signed_offices!$W$2:$W$51,C100)=0),"status signed but no signed_offices row"&amp;IF(F100="N"," and no tracker row",""),IF(AND(IFERROR(INDEX(Lists!$J$2:$J$15,MATCH(D100,Lists!$I$2:$I$15,0)),-1)&gt;=6,F100="N"),"status "&amp;D100&amp;" but no tracker row",IF(AND(E100="Y",D100&lt;&gt;"do_not_contact"),"do_not_contact = Y but status is "&amp;D100,IF(AND(D100="do_not_contact",E100&lt;&gt;"Y"),"status do_not_contact but do_not_contact is not Y",""))))))</f>
        <v/>
      </c>
      <c r="I100" s="17" t="n">
        <v>79</v>
      </c>
      <c r="J100" s="17">
        <f>IFERROR(INDEX(Clay_Brands!$A$2:$FZ$601,I100,$D$5)&amp;"","")</f>
        <v/>
      </c>
      <c r="K100" s="17">
        <f>IFERROR(INDEX(Clay_Brands!$A$2:$FZ$601,I100,$D$7)&amp;"","")</f>
        <v/>
      </c>
      <c r="L100" s="17">
        <f>IFERROR(INDEX(Clay_Brands!$A$2:$FZ$601,I100,$D$8)&amp;"","")</f>
        <v/>
      </c>
      <c r="M100" s="17">
        <f>IF(J100="","",IF(COUNTIF(Brand_Log!$A$2:$A$201,J100)&gt;0,"Y","N"))</f>
        <v/>
      </c>
      <c r="N100" s="17">
        <f>IF(OR(J100="",AND(LEFT(J100,6)="SAMPLE",Config!$B$19&lt;&gt;"Y")),"",IF(IFERROR(INDEX(Lists!$J$2:$J$15,MATCH(K100,Lists!$I$2:$I$15,0)),-1)=-1,"status '"&amp;K100&amp;"' is not a CONTRACTS status",IF(AND(K100="paid",COUNTIF(paid_brands!$AC$2:$AC$51,J100)=0),"status paid but no paid_brands row"&amp;IF(M100="N"," and no tracker row",""),IF(AND(IFERROR(INDEX(Lists!$J$2:$J$15,MATCH(K100,Lists!$I$2:$I$15,0)),-1)&gt;=6,M100="N"),"status "&amp;K100&amp;" but no tracker row",IF(AND(L100="Y",K100&lt;&gt;"do_not_contact"),"do_not_contact = Y but status is "&amp;K100,IF(AND(K100="do_not_contact",L100&lt;&gt;"Y"),"status do_not_contact but do_not_contact is not Y",""))))))</f>
        <v/>
      </c>
    </row>
    <row r="101">
      <c r="B101" s="17" t="n">
        <v>80</v>
      </c>
      <c r="C101" s="17">
        <f>IFERROR(INDEX(Clay_Offices!$A$2:$FZ$601,B101,$C$5)&amp;"","")</f>
        <v/>
      </c>
      <c r="D101" s="17">
        <f>IFERROR(INDEX(Clay_Offices!$A$2:$FZ$601,B101,$C$7)&amp;"","")</f>
        <v/>
      </c>
      <c r="E101" s="17">
        <f>IFERROR(INDEX(Clay_Offices!$A$2:$FZ$601,B101,$C$8)&amp;"","")</f>
        <v/>
      </c>
      <c r="F101" s="17">
        <f>IF(C101="","",IF(COUNTIF(Office_Log!$A$2:$A$201,C101)&gt;0,"Y","N"))</f>
        <v/>
      </c>
      <c r="G101" s="17">
        <f>IF(OR(C101="",AND(LEFT(C101,6)="SAMPLE",Config!$B$19&lt;&gt;"Y")),"",IF(IFERROR(INDEX(Lists!$J$2:$J$15,MATCH(D101,Lists!$I$2:$I$15,0)),-1)=-1,"status '"&amp;D101&amp;"' is not a CONTRACTS status",IF(AND(D101="signed",COUNTIF(signed_offices!$W$2:$W$51,C101)=0),"status signed but no signed_offices row"&amp;IF(F101="N"," and no tracker row",""),IF(AND(IFERROR(INDEX(Lists!$J$2:$J$15,MATCH(D101,Lists!$I$2:$I$15,0)),-1)&gt;=6,F101="N"),"status "&amp;D101&amp;" but no tracker row",IF(AND(E101="Y",D101&lt;&gt;"do_not_contact"),"do_not_contact = Y but status is "&amp;D101,IF(AND(D101="do_not_contact",E101&lt;&gt;"Y"),"status do_not_contact but do_not_contact is not Y",""))))))</f>
        <v/>
      </c>
      <c r="I101" s="17" t="n">
        <v>80</v>
      </c>
      <c r="J101" s="17">
        <f>IFERROR(INDEX(Clay_Brands!$A$2:$FZ$601,I101,$D$5)&amp;"","")</f>
        <v/>
      </c>
      <c r="K101" s="17">
        <f>IFERROR(INDEX(Clay_Brands!$A$2:$FZ$601,I101,$D$7)&amp;"","")</f>
        <v/>
      </c>
      <c r="L101" s="17">
        <f>IFERROR(INDEX(Clay_Brands!$A$2:$FZ$601,I101,$D$8)&amp;"","")</f>
        <v/>
      </c>
      <c r="M101" s="17">
        <f>IF(J101="","",IF(COUNTIF(Brand_Log!$A$2:$A$201,J101)&gt;0,"Y","N"))</f>
        <v/>
      </c>
      <c r="N101" s="17">
        <f>IF(OR(J101="",AND(LEFT(J101,6)="SAMPLE",Config!$B$19&lt;&gt;"Y")),"",IF(IFERROR(INDEX(Lists!$J$2:$J$15,MATCH(K101,Lists!$I$2:$I$15,0)),-1)=-1,"status '"&amp;K101&amp;"' is not a CONTRACTS status",IF(AND(K101="paid",COUNTIF(paid_brands!$AC$2:$AC$51,J101)=0),"status paid but no paid_brands row"&amp;IF(M101="N"," and no tracker row",""),IF(AND(IFERROR(INDEX(Lists!$J$2:$J$15,MATCH(K101,Lists!$I$2:$I$15,0)),-1)&gt;=6,M101="N"),"status "&amp;K101&amp;" but no tracker row",IF(AND(L101="Y",K101&lt;&gt;"do_not_contact"),"do_not_contact = Y but status is "&amp;K101,IF(AND(K101="do_not_contact",L101&lt;&gt;"Y"),"status do_not_contact but do_not_contact is not Y",""))))))</f>
        <v/>
      </c>
    </row>
    <row r="102">
      <c r="B102" s="17" t="n">
        <v>81</v>
      </c>
      <c r="C102" s="17">
        <f>IFERROR(INDEX(Clay_Offices!$A$2:$FZ$601,B102,$C$5)&amp;"","")</f>
        <v/>
      </c>
      <c r="D102" s="17">
        <f>IFERROR(INDEX(Clay_Offices!$A$2:$FZ$601,B102,$C$7)&amp;"","")</f>
        <v/>
      </c>
      <c r="E102" s="17">
        <f>IFERROR(INDEX(Clay_Offices!$A$2:$FZ$601,B102,$C$8)&amp;"","")</f>
        <v/>
      </c>
      <c r="F102" s="17">
        <f>IF(C102="","",IF(COUNTIF(Office_Log!$A$2:$A$201,C102)&gt;0,"Y","N"))</f>
        <v/>
      </c>
      <c r="G102" s="17">
        <f>IF(OR(C102="",AND(LEFT(C102,6)="SAMPLE",Config!$B$19&lt;&gt;"Y")),"",IF(IFERROR(INDEX(Lists!$J$2:$J$15,MATCH(D102,Lists!$I$2:$I$15,0)),-1)=-1,"status '"&amp;D102&amp;"' is not a CONTRACTS status",IF(AND(D102="signed",COUNTIF(signed_offices!$W$2:$W$51,C102)=0),"status signed but no signed_offices row"&amp;IF(F102="N"," and no tracker row",""),IF(AND(IFERROR(INDEX(Lists!$J$2:$J$15,MATCH(D102,Lists!$I$2:$I$15,0)),-1)&gt;=6,F102="N"),"status "&amp;D102&amp;" but no tracker row",IF(AND(E102="Y",D102&lt;&gt;"do_not_contact"),"do_not_contact = Y but status is "&amp;D102,IF(AND(D102="do_not_contact",E102&lt;&gt;"Y"),"status do_not_contact but do_not_contact is not Y",""))))))</f>
        <v/>
      </c>
      <c r="I102" s="17" t="n">
        <v>81</v>
      </c>
      <c r="J102" s="17">
        <f>IFERROR(INDEX(Clay_Brands!$A$2:$FZ$601,I102,$D$5)&amp;"","")</f>
        <v/>
      </c>
      <c r="K102" s="17">
        <f>IFERROR(INDEX(Clay_Brands!$A$2:$FZ$601,I102,$D$7)&amp;"","")</f>
        <v/>
      </c>
      <c r="L102" s="17">
        <f>IFERROR(INDEX(Clay_Brands!$A$2:$FZ$601,I102,$D$8)&amp;"","")</f>
        <v/>
      </c>
      <c r="M102" s="17">
        <f>IF(J102="","",IF(COUNTIF(Brand_Log!$A$2:$A$201,J102)&gt;0,"Y","N"))</f>
        <v/>
      </c>
      <c r="N102" s="17">
        <f>IF(OR(J102="",AND(LEFT(J102,6)="SAMPLE",Config!$B$19&lt;&gt;"Y")),"",IF(IFERROR(INDEX(Lists!$J$2:$J$15,MATCH(K102,Lists!$I$2:$I$15,0)),-1)=-1,"status '"&amp;K102&amp;"' is not a CONTRACTS status",IF(AND(K102="paid",COUNTIF(paid_brands!$AC$2:$AC$51,J102)=0),"status paid but no paid_brands row"&amp;IF(M102="N"," and no tracker row",""),IF(AND(IFERROR(INDEX(Lists!$J$2:$J$15,MATCH(K102,Lists!$I$2:$I$15,0)),-1)&gt;=6,M102="N"),"status "&amp;K102&amp;" but no tracker row",IF(AND(L102="Y",K102&lt;&gt;"do_not_contact"),"do_not_contact = Y but status is "&amp;K102,IF(AND(K102="do_not_contact",L102&lt;&gt;"Y"),"status do_not_contact but do_not_contact is not Y",""))))))</f>
        <v/>
      </c>
    </row>
    <row r="103">
      <c r="B103" s="17" t="n">
        <v>82</v>
      </c>
      <c r="C103" s="17">
        <f>IFERROR(INDEX(Clay_Offices!$A$2:$FZ$601,B103,$C$5)&amp;"","")</f>
        <v/>
      </c>
      <c r="D103" s="17">
        <f>IFERROR(INDEX(Clay_Offices!$A$2:$FZ$601,B103,$C$7)&amp;"","")</f>
        <v/>
      </c>
      <c r="E103" s="17">
        <f>IFERROR(INDEX(Clay_Offices!$A$2:$FZ$601,B103,$C$8)&amp;"","")</f>
        <v/>
      </c>
      <c r="F103" s="17">
        <f>IF(C103="","",IF(COUNTIF(Office_Log!$A$2:$A$201,C103)&gt;0,"Y","N"))</f>
        <v/>
      </c>
      <c r="G103" s="17">
        <f>IF(OR(C103="",AND(LEFT(C103,6)="SAMPLE",Config!$B$19&lt;&gt;"Y")),"",IF(IFERROR(INDEX(Lists!$J$2:$J$15,MATCH(D103,Lists!$I$2:$I$15,0)),-1)=-1,"status '"&amp;D103&amp;"' is not a CONTRACTS status",IF(AND(D103="signed",COUNTIF(signed_offices!$W$2:$W$51,C103)=0),"status signed but no signed_offices row"&amp;IF(F103="N"," and no tracker row",""),IF(AND(IFERROR(INDEX(Lists!$J$2:$J$15,MATCH(D103,Lists!$I$2:$I$15,0)),-1)&gt;=6,F103="N"),"status "&amp;D103&amp;" but no tracker row",IF(AND(E103="Y",D103&lt;&gt;"do_not_contact"),"do_not_contact = Y but status is "&amp;D103,IF(AND(D103="do_not_contact",E103&lt;&gt;"Y"),"status do_not_contact but do_not_contact is not Y",""))))))</f>
        <v/>
      </c>
      <c r="I103" s="17" t="n">
        <v>82</v>
      </c>
      <c r="J103" s="17">
        <f>IFERROR(INDEX(Clay_Brands!$A$2:$FZ$601,I103,$D$5)&amp;"","")</f>
        <v/>
      </c>
      <c r="K103" s="17">
        <f>IFERROR(INDEX(Clay_Brands!$A$2:$FZ$601,I103,$D$7)&amp;"","")</f>
        <v/>
      </c>
      <c r="L103" s="17">
        <f>IFERROR(INDEX(Clay_Brands!$A$2:$FZ$601,I103,$D$8)&amp;"","")</f>
        <v/>
      </c>
      <c r="M103" s="17">
        <f>IF(J103="","",IF(COUNTIF(Brand_Log!$A$2:$A$201,J103)&gt;0,"Y","N"))</f>
        <v/>
      </c>
      <c r="N103" s="17">
        <f>IF(OR(J103="",AND(LEFT(J103,6)="SAMPLE",Config!$B$19&lt;&gt;"Y")),"",IF(IFERROR(INDEX(Lists!$J$2:$J$15,MATCH(K103,Lists!$I$2:$I$15,0)),-1)=-1,"status '"&amp;K103&amp;"' is not a CONTRACTS status",IF(AND(K103="paid",COUNTIF(paid_brands!$AC$2:$AC$51,J103)=0),"status paid but no paid_brands row"&amp;IF(M103="N"," and no tracker row",""),IF(AND(IFERROR(INDEX(Lists!$J$2:$J$15,MATCH(K103,Lists!$I$2:$I$15,0)),-1)&gt;=6,M103="N"),"status "&amp;K103&amp;" but no tracker row",IF(AND(L103="Y",K103&lt;&gt;"do_not_contact"),"do_not_contact = Y but status is "&amp;K103,IF(AND(K103="do_not_contact",L103&lt;&gt;"Y"),"status do_not_contact but do_not_contact is not Y",""))))))</f>
        <v/>
      </c>
    </row>
    <row r="104">
      <c r="B104" s="17" t="n">
        <v>83</v>
      </c>
      <c r="C104" s="17">
        <f>IFERROR(INDEX(Clay_Offices!$A$2:$FZ$601,B104,$C$5)&amp;"","")</f>
        <v/>
      </c>
      <c r="D104" s="17">
        <f>IFERROR(INDEX(Clay_Offices!$A$2:$FZ$601,B104,$C$7)&amp;"","")</f>
        <v/>
      </c>
      <c r="E104" s="17">
        <f>IFERROR(INDEX(Clay_Offices!$A$2:$FZ$601,B104,$C$8)&amp;"","")</f>
        <v/>
      </c>
      <c r="F104" s="17">
        <f>IF(C104="","",IF(COUNTIF(Office_Log!$A$2:$A$201,C104)&gt;0,"Y","N"))</f>
        <v/>
      </c>
      <c r="G104" s="17">
        <f>IF(OR(C104="",AND(LEFT(C104,6)="SAMPLE",Config!$B$19&lt;&gt;"Y")),"",IF(IFERROR(INDEX(Lists!$J$2:$J$15,MATCH(D104,Lists!$I$2:$I$15,0)),-1)=-1,"status '"&amp;D104&amp;"' is not a CONTRACTS status",IF(AND(D104="signed",COUNTIF(signed_offices!$W$2:$W$51,C104)=0),"status signed but no signed_offices row"&amp;IF(F104="N"," and no tracker row",""),IF(AND(IFERROR(INDEX(Lists!$J$2:$J$15,MATCH(D104,Lists!$I$2:$I$15,0)),-1)&gt;=6,F104="N"),"status "&amp;D104&amp;" but no tracker row",IF(AND(E104="Y",D104&lt;&gt;"do_not_contact"),"do_not_contact = Y but status is "&amp;D104,IF(AND(D104="do_not_contact",E104&lt;&gt;"Y"),"status do_not_contact but do_not_contact is not Y",""))))))</f>
        <v/>
      </c>
      <c r="I104" s="17" t="n">
        <v>83</v>
      </c>
      <c r="J104" s="17">
        <f>IFERROR(INDEX(Clay_Brands!$A$2:$FZ$601,I104,$D$5)&amp;"","")</f>
        <v/>
      </c>
      <c r="K104" s="17">
        <f>IFERROR(INDEX(Clay_Brands!$A$2:$FZ$601,I104,$D$7)&amp;"","")</f>
        <v/>
      </c>
      <c r="L104" s="17">
        <f>IFERROR(INDEX(Clay_Brands!$A$2:$FZ$601,I104,$D$8)&amp;"","")</f>
        <v/>
      </c>
      <c r="M104" s="17">
        <f>IF(J104="","",IF(COUNTIF(Brand_Log!$A$2:$A$201,J104)&gt;0,"Y","N"))</f>
        <v/>
      </c>
      <c r="N104" s="17">
        <f>IF(OR(J104="",AND(LEFT(J104,6)="SAMPLE",Config!$B$19&lt;&gt;"Y")),"",IF(IFERROR(INDEX(Lists!$J$2:$J$15,MATCH(K104,Lists!$I$2:$I$15,0)),-1)=-1,"status '"&amp;K104&amp;"' is not a CONTRACTS status",IF(AND(K104="paid",COUNTIF(paid_brands!$AC$2:$AC$51,J104)=0),"status paid but no paid_brands row"&amp;IF(M104="N"," and no tracker row",""),IF(AND(IFERROR(INDEX(Lists!$J$2:$J$15,MATCH(K104,Lists!$I$2:$I$15,0)),-1)&gt;=6,M104="N"),"status "&amp;K104&amp;" but no tracker row",IF(AND(L104="Y",K104&lt;&gt;"do_not_contact"),"do_not_contact = Y but status is "&amp;K104,IF(AND(K104="do_not_contact",L104&lt;&gt;"Y"),"status do_not_contact but do_not_contact is not Y",""))))))</f>
        <v/>
      </c>
    </row>
    <row r="105">
      <c r="B105" s="17" t="n">
        <v>84</v>
      </c>
      <c r="C105" s="17">
        <f>IFERROR(INDEX(Clay_Offices!$A$2:$FZ$601,B105,$C$5)&amp;"","")</f>
        <v/>
      </c>
      <c r="D105" s="17">
        <f>IFERROR(INDEX(Clay_Offices!$A$2:$FZ$601,B105,$C$7)&amp;"","")</f>
        <v/>
      </c>
      <c r="E105" s="17">
        <f>IFERROR(INDEX(Clay_Offices!$A$2:$FZ$601,B105,$C$8)&amp;"","")</f>
        <v/>
      </c>
      <c r="F105" s="17">
        <f>IF(C105="","",IF(COUNTIF(Office_Log!$A$2:$A$201,C105)&gt;0,"Y","N"))</f>
        <v/>
      </c>
      <c r="G105" s="17">
        <f>IF(OR(C105="",AND(LEFT(C105,6)="SAMPLE",Config!$B$19&lt;&gt;"Y")),"",IF(IFERROR(INDEX(Lists!$J$2:$J$15,MATCH(D105,Lists!$I$2:$I$15,0)),-1)=-1,"status '"&amp;D105&amp;"' is not a CONTRACTS status",IF(AND(D105="signed",COUNTIF(signed_offices!$W$2:$W$51,C105)=0),"status signed but no signed_offices row"&amp;IF(F105="N"," and no tracker row",""),IF(AND(IFERROR(INDEX(Lists!$J$2:$J$15,MATCH(D105,Lists!$I$2:$I$15,0)),-1)&gt;=6,F105="N"),"status "&amp;D105&amp;" but no tracker row",IF(AND(E105="Y",D105&lt;&gt;"do_not_contact"),"do_not_contact = Y but status is "&amp;D105,IF(AND(D105="do_not_contact",E105&lt;&gt;"Y"),"status do_not_contact but do_not_contact is not Y",""))))))</f>
        <v/>
      </c>
      <c r="I105" s="17" t="n">
        <v>84</v>
      </c>
      <c r="J105" s="17">
        <f>IFERROR(INDEX(Clay_Brands!$A$2:$FZ$601,I105,$D$5)&amp;"","")</f>
        <v/>
      </c>
      <c r="K105" s="17">
        <f>IFERROR(INDEX(Clay_Brands!$A$2:$FZ$601,I105,$D$7)&amp;"","")</f>
        <v/>
      </c>
      <c r="L105" s="17">
        <f>IFERROR(INDEX(Clay_Brands!$A$2:$FZ$601,I105,$D$8)&amp;"","")</f>
        <v/>
      </c>
      <c r="M105" s="17">
        <f>IF(J105="","",IF(COUNTIF(Brand_Log!$A$2:$A$201,J105)&gt;0,"Y","N"))</f>
        <v/>
      </c>
      <c r="N105" s="17">
        <f>IF(OR(J105="",AND(LEFT(J105,6)="SAMPLE",Config!$B$19&lt;&gt;"Y")),"",IF(IFERROR(INDEX(Lists!$J$2:$J$15,MATCH(K105,Lists!$I$2:$I$15,0)),-1)=-1,"status '"&amp;K105&amp;"' is not a CONTRACTS status",IF(AND(K105="paid",COUNTIF(paid_brands!$AC$2:$AC$51,J105)=0),"status paid but no paid_brands row"&amp;IF(M105="N"," and no tracker row",""),IF(AND(IFERROR(INDEX(Lists!$J$2:$J$15,MATCH(K105,Lists!$I$2:$I$15,0)),-1)&gt;=6,M105="N"),"status "&amp;K105&amp;" but no tracker row",IF(AND(L105="Y",K105&lt;&gt;"do_not_contact"),"do_not_contact = Y but status is "&amp;K105,IF(AND(K105="do_not_contact",L105&lt;&gt;"Y"),"status do_not_contact but do_not_contact is not Y",""))))))</f>
        <v/>
      </c>
    </row>
    <row r="106">
      <c r="B106" s="17" t="n">
        <v>85</v>
      </c>
      <c r="C106" s="17">
        <f>IFERROR(INDEX(Clay_Offices!$A$2:$FZ$601,B106,$C$5)&amp;"","")</f>
        <v/>
      </c>
      <c r="D106" s="17">
        <f>IFERROR(INDEX(Clay_Offices!$A$2:$FZ$601,B106,$C$7)&amp;"","")</f>
        <v/>
      </c>
      <c r="E106" s="17">
        <f>IFERROR(INDEX(Clay_Offices!$A$2:$FZ$601,B106,$C$8)&amp;"","")</f>
        <v/>
      </c>
      <c r="F106" s="17">
        <f>IF(C106="","",IF(COUNTIF(Office_Log!$A$2:$A$201,C106)&gt;0,"Y","N"))</f>
        <v/>
      </c>
      <c r="G106" s="17">
        <f>IF(OR(C106="",AND(LEFT(C106,6)="SAMPLE",Config!$B$19&lt;&gt;"Y")),"",IF(IFERROR(INDEX(Lists!$J$2:$J$15,MATCH(D106,Lists!$I$2:$I$15,0)),-1)=-1,"status '"&amp;D106&amp;"' is not a CONTRACTS status",IF(AND(D106="signed",COUNTIF(signed_offices!$W$2:$W$51,C106)=0),"status signed but no signed_offices row"&amp;IF(F106="N"," and no tracker row",""),IF(AND(IFERROR(INDEX(Lists!$J$2:$J$15,MATCH(D106,Lists!$I$2:$I$15,0)),-1)&gt;=6,F106="N"),"status "&amp;D106&amp;" but no tracker row",IF(AND(E106="Y",D106&lt;&gt;"do_not_contact"),"do_not_contact = Y but status is "&amp;D106,IF(AND(D106="do_not_contact",E106&lt;&gt;"Y"),"status do_not_contact but do_not_contact is not Y",""))))))</f>
        <v/>
      </c>
      <c r="I106" s="17" t="n">
        <v>85</v>
      </c>
      <c r="J106" s="17">
        <f>IFERROR(INDEX(Clay_Brands!$A$2:$FZ$601,I106,$D$5)&amp;"","")</f>
        <v/>
      </c>
      <c r="K106" s="17">
        <f>IFERROR(INDEX(Clay_Brands!$A$2:$FZ$601,I106,$D$7)&amp;"","")</f>
        <v/>
      </c>
      <c r="L106" s="17">
        <f>IFERROR(INDEX(Clay_Brands!$A$2:$FZ$601,I106,$D$8)&amp;"","")</f>
        <v/>
      </c>
      <c r="M106" s="17">
        <f>IF(J106="","",IF(COUNTIF(Brand_Log!$A$2:$A$201,J106)&gt;0,"Y","N"))</f>
        <v/>
      </c>
      <c r="N106" s="17">
        <f>IF(OR(J106="",AND(LEFT(J106,6)="SAMPLE",Config!$B$19&lt;&gt;"Y")),"",IF(IFERROR(INDEX(Lists!$J$2:$J$15,MATCH(K106,Lists!$I$2:$I$15,0)),-1)=-1,"status '"&amp;K106&amp;"' is not a CONTRACTS status",IF(AND(K106="paid",COUNTIF(paid_brands!$AC$2:$AC$51,J106)=0),"status paid but no paid_brands row"&amp;IF(M106="N"," and no tracker row",""),IF(AND(IFERROR(INDEX(Lists!$J$2:$J$15,MATCH(K106,Lists!$I$2:$I$15,0)),-1)&gt;=6,M106="N"),"status "&amp;K106&amp;" but no tracker row",IF(AND(L106="Y",K106&lt;&gt;"do_not_contact"),"do_not_contact = Y but status is "&amp;K106,IF(AND(K106="do_not_contact",L106&lt;&gt;"Y"),"status do_not_contact but do_not_contact is not Y",""))))))</f>
        <v/>
      </c>
    </row>
    <row r="107">
      <c r="B107" s="17" t="n">
        <v>86</v>
      </c>
      <c r="C107" s="17">
        <f>IFERROR(INDEX(Clay_Offices!$A$2:$FZ$601,B107,$C$5)&amp;"","")</f>
        <v/>
      </c>
      <c r="D107" s="17">
        <f>IFERROR(INDEX(Clay_Offices!$A$2:$FZ$601,B107,$C$7)&amp;"","")</f>
        <v/>
      </c>
      <c r="E107" s="17">
        <f>IFERROR(INDEX(Clay_Offices!$A$2:$FZ$601,B107,$C$8)&amp;"","")</f>
        <v/>
      </c>
      <c r="F107" s="17">
        <f>IF(C107="","",IF(COUNTIF(Office_Log!$A$2:$A$201,C107)&gt;0,"Y","N"))</f>
        <v/>
      </c>
      <c r="G107" s="17">
        <f>IF(OR(C107="",AND(LEFT(C107,6)="SAMPLE",Config!$B$19&lt;&gt;"Y")),"",IF(IFERROR(INDEX(Lists!$J$2:$J$15,MATCH(D107,Lists!$I$2:$I$15,0)),-1)=-1,"status '"&amp;D107&amp;"' is not a CONTRACTS status",IF(AND(D107="signed",COUNTIF(signed_offices!$W$2:$W$51,C107)=0),"status signed but no signed_offices row"&amp;IF(F107="N"," and no tracker row",""),IF(AND(IFERROR(INDEX(Lists!$J$2:$J$15,MATCH(D107,Lists!$I$2:$I$15,0)),-1)&gt;=6,F107="N"),"status "&amp;D107&amp;" but no tracker row",IF(AND(E107="Y",D107&lt;&gt;"do_not_contact"),"do_not_contact = Y but status is "&amp;D107,IF(AND(D107="do_not_contact",E107&lt;&gt;"Y"),"status do_not_contact but do_not_contact is not Y",""))))))</f>
        <v/>
      </c>
      <c r="I107" s="17" t="n">
        <v>86</v>
      </c>
      <c r="J107" s="17">
        <f>IFERROR(INDEX(Clay_Brands!$A$2:$FZ$601,I107,$D$5)&amp;"","")</f>
        <v/>
      </c>
      <c r="K107" s="17">
        <f>IFERROR(INDEX(Clay_Brands!$A$2:$FZ$601,I107,$D$7)&amp;"","")</f>
        <v/>
      </c>
      <c r="L107" s="17">
        <f>IFERROR(INDEX(Clay_Brands!$A$2:$FZ$601,I107,$D$8)&amp;"","")</f>
        <v/>
      </c>
      <c r="M107" s="17">
        <f>IF(J107="","",IF(COUNTIF(Brand_Log!$A$2:$A$201,J107)&gt;0,"Y","N"))</f>
        <v/>
      </c>
      <c r="N107" s="17">
        <f>IF(OR(J107="",AND(LEFT(J107,6)="SAMPLE",Config!$B$19&lt;&gt;"Y")),"",IF(IFERROR(INDEX(Lists!$J$2:$J$15,MATCH(K107,Lists!$I$2:$I$15,0)),-1)=-1,"status '"&amp;K107&amp;"' is not a CONTRACTS status",IF(AND(K107="paid",COUNTIF(paid_brands!$AC$2:$AC$51,J107)=0),"status paid but no paid_brands row"&amp;IF(M107="N"," and no tracker row",""),IF(AND(IFERROR(INDEX(Lists!$J$2:$J$15,MATCH(K107,Lists!$I$2:$I$15,0)),-1)&gt;=6,M107="N"),"status "&amp;K107&amp;" but no tracker row",IF(AND(L107="Y",K107&lt;&gt;"do_not_contact"),"do_not_contact = Y but status is "&amp;K107,IF(AND(K107="do_not_contact",L107&lt;&gt;"Y"),"status do_not_contact but do_not_contact is not Y",""))))))</f>
        <v/>
      </c>
    </row>
    <row r="108">
      <c r="B108" s="17" t="n">
        <v>87</v>
      </c>
      <c r="C108" s="17">
        <f>IFERROR(INDEX(Clay_Offices!$A$2:$FZ$601,B108,$C$5)&amp;"","")</f>
        <v/>
      </c>
      <c r="D108" s="17">
        <f>IFERROR(INDEX(Clay_Offices!$A$2:$FZ$601,B108,$C$7)&amp;"","")</f>
        <v/>
      </c>
      <c r="E108" s="17">
        <f>IFERROR(INDEX(Clay_Offices!$A$2:$FZ$601,B108,$C$8)&amp;"","")</f>
        <v/>
      </c>
      <c r="F108" s="17">
        <f>IF(C108="","",IF(COUNTIF(Office_Log!$A$2:$A$201,C108)&gt;0,"Y","N"))</f>
        <v/>
      </c>
      <c r="G108" s="17">
        <f>IF(OR(C108="",AND(LEFT(C108,6)="SAMPLE",Config!$B$19&lt;&gt;"Y")),"",IF(IFERROR(INDEX(Lists!$J$2:$J$15,MATCH(D108,Lists!$I$2:$I$15,0)),-1)=-1,"status '"&amp;D108&amp;"' is not a CONTRACTS status",IF(AND(D108="signed",COUNTIF(signed_offices!$W$2:$W$51,C108)=0),"status signed but no signed_offices row"&amp;IF(F108="N"," and no tracker row",""),IF(AND(IFERROR(INDEX(Lists!$J$2:$J$15,MATCH(D108,Lists!$I$2:$I$15,0)),-1)&gt;=6,F108="N"),"status "&amp;D108&amp;" but no tracker row",IF(AND(E108="Y",D108&lt;&gt;"do_not_contact"),"do_not_contact = Y but status is "&amp;D108,IF(AND(D108="do_not_contact",E108&lt;&gt;"Y"),"status do_not_contact but do_not_contact is not Y",""))))))</f>
        <v/>
      </c>
      <c r="I108" s="17" t="n">
        <v>87</v>
      </c>
      <c r="J108" s="17">
        <f>IFERROR(INDEX(Clay_Brands!$A$2:$FZ$601,I108,$D$5)&amp;"","")</f>
        <v/>
      </c>
      <c r="K108" s="17">
        <f>IFERROR(INDEX(Clay_Brands!$A$2:$FZ$601,I108,$D$7)&amp;"","")</f>
        <v/>
      </c>
      <c r="L108" s="17">
        <f>IFERROR(INDEX(Clay_Brands!$A$2:$FZ$601,I108,$D$8)&amp;"","")</f>
        <v/>
      </c>
      <c r="M108" s="17">
        <f>IF(J108="","",IF(COUNTIF(Brand_Log!$A$2:$A$201,J108)&gt;0,"Y","N"))</f>
        <v/>
      </c>
      <c r="N108" s="17">
        <f>IF(OR(J108="",AND(LEFT(J108,6)="SAMPLE",Config!$B$19&lt;&gt;"Y")),"",IF(IFERROR(INDEX(Lists!$J$2:$J$15,MATCH(K108,Lists!$I$2:$I$15,0)),-1)=-1,"status '"&amp;K108&amp;"' is not a CONTRACTS status",IF(AND(K108="paid",COUNTIF(paid_brands!$AC$2:$AC$51,J108)=0),"status paid but no paid_brands row"&amp;IF(M108="N"," and no tracker row",""),IF(AND(IFERROR(INDEX(Lists!$J$2:$J$15,MATCH(K108,Lists!$I$2:$I$15,0)),-1)&gt;=6,M108="N"),"status "&amp;K108&amp;" but no tracker row",IF(AND(L108="Y",K108&lt;&gt;"do_not_contact"),"do_not_contact = Y but status is "&amp;K108,IF(AND(K108="do_not_contact",L108&lt;&gt;"Y"),"status do_not_contact but do_not_contact is not Y",""))))))</f>
        <v/>
      </c>
    </row>
    <row r="109">
      <c r="B109" s="17" t="n">
        <v>88</v>
      </c>
      <c r="C109" s="17">
        <f>IFERROR(INDEX(Clay_Offices!$A$2:$FZ$601,B109,$C$5)&amp;"","")</f>
        <v/>
      </c>
      <c r="D109" s="17">
        <f>IFERROR(INDEX(Clay_Offices!$A$2:$FZ$601,B109,$C$7)&amp;"","")</f>
        <v/>
      </c>
      <c r="E109" s="17">
        <f>IFERROR(INDEX(Clay_Offices!$A$2:$FZ$601,B109,$C$8)&amp;"","")</f>
        <v/>
      </c>
      <c r="F109" s="17">
        <f>IF(C109="","",IF(COUNTIF(Office_Log!$A$2:$A$201,C109)&gt;0,"Y","N"))</f>
        <v/>
      </c>
      <c r="G109" s="17">
        <f>IF(OR(C109="",AND(LEFT(C109,6)="SAMPLE",Config!$B$19&lt;&gt;"Y")),"",IF(IFERROR(INDEX(Lists!$J$2:$J$15,MATCH(D109,Lists!$I$2:$I$15,0)),-1)=-1,"status '"&amp;D109&amp;"' is not a CONTRACTS status",IF(AND(D109="signed",COUNTIF(signed_offices!$W$2:$W$51,C109)=0),"status signed but no signed_offices row"&amp;IF(F109="N"," and no tracker row",""),IF(AND(IFERROR(INDEX(Lists!$J$2:$J$15,MATCH(D109,Lists!$I$2:$I$15,0)),-1)&gt;=6,F109="N"),"status "&amp;D109&amp;" but no tracker row",IF(AND(E109="Y",D109&lt;&gt;"do_not_contact"),"do_not_contact = Y but status is "&amp;D109,IF(AND(D109="do_not_contact",E109&lt;&gt;"Y"),"status do_not_contact but do_not_contact is not Y",""))))))</f>
        <v/>
      </c>
      <c r="I109" s="17" t="n">
        <v>88</v>
      </c>
      <c r="J109" s="17">
        <f>IFERROR(INDEX(Clay_Brands!$A$2:$FZ$601,I109,$D$5)&amp;"","")</f>
        <v/>
      </c>
      <c r="K109" s="17">
        <f>IFERROR(INDEX(Clay_Brands!$A$2:$FZ$601,I109,$D$7)&amp;"","")</f>
        <v/>
      </c>
      <c r="L109" s="17">
        <f>IFERROR(INDEX(Clay_Brands!$A$2:$FZ$601,I109,$D$8)&amp;"","")</f>
        <v/>
      </c>
      <c r="M109" s="17">
        <f>IF(J109="","",IF(COUNTIF(Brand_Log!$A$2:$A$201,J109)&gt;0,"Y","N"))</f>
        <v/>
      </c>
      <c r="N109" s="17">
        <f>IF(OR(J109="",AND(LEFT(J109,6)="SAMPLE",Config!$B$19&lt;&gt;"Y")),"",IF(IFERROR(INDEX(Lists!$J$2:$J$15,MATCH(K109,Lists!$I$2:$I$15,0)),-1)=-1,"status '"&amp;K109&amp;"' is not a CONTRACTS status",IF(AND(K109="paid",COUNTIF(paid_brands!$AC$2:$AC$51,J109)=0),"status paid but no paid_brands row"&amp;IF(M109="N"," and no tracker row",""),IF(AND(IFERROR(INDEX(Lists!$J$2:$J$15,MATCH(K109,Lists!$I$2:$I$15,0)),-1)&gt;=6,M109="N"),"status "&amp;K109&amp;" but no tracker row",IF(AND(L109="Y",K109&lt;&gt;"do_not_contact"),"do_not_contact = Y but status is "&amp;K109,IF(AND(K109="do_not_contact",L109&lt;&gt;"Y"),"status do_not_contact but do_not_contact is not Y",""))))))</f>
        <v/>
      </c>
    </row>
    <row r="110">
      <c r="B110" s="17" t="n">
        <v>89</v>
      </c>
      <c r="C110" s="17">
        <f>IFERROR(INDEX(Clay_Offices!$A$2:$FZ$601,B110,$C$5)&amp;"","")</f>
        <v/>
      </c>
      <c r="D110" s="17">
        <f>IFERROR(INDEX(Clay_Offices!$A$2:$FZ$601,B110,$C$7)&amp;"","")</f>
        <v/>
      </c>
      <c r="E110" s="17">
        <f>IFERROR(INDEX(Clay_Offices!$A$2:$FZ$601,B110,$C$8)&amp;"","")</f>
        <v/>
      </c>
      <c r="F110" s="17">
        <f>IF(C110="","",IF(COUNTIF(Office_Log!$A$2:$A$201,C110)&gt;0,"Y","N"))</f>
        <v/>
      </c>
      <c r="G110" s="17">
        <f>IF(OR(C110="",AND(LEFT(C110,6)="SAMPLE",Config!$B$19&lt;&gt;"Y")),"",IF(IFERROR(INDEX(Lists!$J$2:$J$15,MATCH(D110,Lists!$I$2:$I$15,0)),-1)=-1,"status '"&amp;D110&amp;"' is not a CONTRACTS status",IF(AND(D110="signed",COUNTIF(signed_offices!$W$2:$W$51,C110)=0),"status signed but no signed_offices row"&amp;IF(F110="N"," and no tracker row",""),IF(AND(IFERROR(INDEX(Lists!$J$2:$J$15,MATCH(D110,Lists!$I$2:$I$15,0)),-1)&gt;=6,F110="N"),"status "&amp;D110&amp;" but no tracker row",IF(AND(E110="Y",D110&lt;&gt;"do_not_contact"),"do_not_contact = Y but status is "&amp;D110,IF(AND(D110="do_not_contact",E110&lt;&gt;"Y"),"status do_not_contact but do_not_contact is not Y",""))))))</f>
        <v/>
      </c>
      <c r="I110" s="17" t="n">
        <v>89</v>
      </c>
      <c r="J110" s="17">
        <f>IFERROR(INDEX(Clay_Brands!$A$2:$FZ$601,I110,$D$5)&amp;"","")</f>
        <v/>
      </c>
      <c r="K110" s="17">
        <f>IFERROR(INDEX(Clay_Brands!$A$2:$FZ$601,I110,$D$7)&amp;"","")</f>
        <v/>
      </c>
      <c r="L110" s="17">
        <f>IFERROR(INDEX(Clay_Brands!$A$2:$FZ$601,I110,$D$8)&amp;"","")</f>
        <v/>
      </c>
      <c r="M110" s="17">
        <f>IF(J110="","",IF(COUNTIF(Brand_Log!$A$2:$A$201,J110)&gt;0,"Y","N"))</f>
        <v/>
      </c>
      <c r="N110" s="17">
        <f>IF(OR(J110="",AND(LEFT(J110,6)="SAMPLE",Config!$B$19&lt;&gt;"Y")),"",IF(IFERROR(INDEX(Lists!$J$2:$J$15,MATCH(K110,Lists!$I$2:$I$15,0)),-1)=-1,"status '"&amp;K110&amp;"' is not a CONTRACTS status",IF(AND(K110="paid",COUNTIF(paid_brands!$AC$2:$AC$51,J110)=0),"status paid but no paid_brands row"&amp;IF(M110="N"," and no tracker row",""),IF(AND(IFERROR(INDEX(Lists!$J$2:$J$15,MATCH(K110,Lists!$I$2:$I$15,0)),-1)&gt;=6,M110="N"),"status "&amp;K110&amp;" but no tracker row",IF(AND(L110="Y",K110&lt;&gt;"do_not_contact"),"do_not_contact = Y but status is "&amp;K110,IF(AND(K110="do_not_contact",L110&lt;&gt;"Y"),"status do_not_contact but do_not_contact is not Y",""))))))</f>
        <v/>
      </c>
    </row>
    <row r="111">
      <c r="B111" s="17" t="n">
        <v>90</v>
      </c>
      <c r="C111" s="17">
        <f>IFERROR(INDEX(Clay_Offices!$A$2:$FZ$601,B111,$C$5)&amp;"","")</f>
        <v/>
      </c>
      <c r="D111" s="17">
        <f>IFERROR(INDEX(Clay_Offices!$A$2:$FZ$601,B111,$C$7)&amp;"","")</f>
        <v/>
      </c>
      <c r="E111" s="17">
        <f>IFERROR(INDEX(Clay_Offices!$A$2:$FZ$601,B111,$C$8)&amp;"","")</f>
        <v/>
      </c>
      <c r="F111" s="17">
        <f>IF(C111="","",IF(COUNTIF(Office_Log!$A$2:$A$201,C111)&gt;0,"Y","N"))</f>
        <v/>
      </c>
      <c r="G111" s="17">
        <f>IF(OR(C111="",AND(LEFT(C111,6)="SAMPLE",Config!$B$19&lt;&gt;"Y")),"",IF(IFERROR(INDEX(Lists!$J$2:$J$15,MATCH(D111,Lists!$I$2:$I$15,0)),-1)=-1,"status '"&amp;D111&amp;"' is not a CONTRACTS status",IF(AND(D111="signed",COUNTIF(signed_offices!$W$2:$W$51,C111)=0),"status signed but no signed_offices row"&amp;IF(F111="N"," and no tracker row",""),IF(AND(IFERROR(INDEX(Lists!$J$2:$J$15,MATCH(D111,Lists!$I$2:$I$15,0)),-1)&gt;=6,F111="N"),"status "&amp;D111&amp;" but no tracker row",IF(AND(E111="Y",D111&lt;&gt;"do_not_contact"),"do_not_contact = Y but status is "&amp;D111,IF(AND(D111="do_not_contact",E111&lt;&gt;"Y"),"status do_not_contact but do_not_contact is not Y",""))))))</f>
        <v/>
      </c>
      <c r="I111" s="17" t="n">
        <v>90</v>
      </c>
      <c r="J111" s="17">
        <f>IFERROR(INDEX(Clay_Brands!$A$2:$FZ$601,I111,$D$5)&amp;"","")</f>
        <v/>
      </c>
      <c r="K111" s="17">
        <f>IFERROR(INDEX(Clay_Brands!$A$2:$FZ$601,I111,$D$7)&amp;"","")</f>
        <v/>
      </c>
      <c r="L111" s="17">
        <f>IFERROR(INDEX(Clay_Brands!$A$2:$FZ$601,I111,$D$8)&amp;"","")</f>
        <v/>
      </c>
      <c r="M111" s="17">
        <f>IF(J111="","",IF(COUNTIF(Brand_Log!$A$2:$A$201,J111)&gt;0,"Y","N"))</f>
        <v/>
      </c>
      <c r="N111" s="17">
        <f>IF(OR(J111="",AND(LEFT(J111,6)="SAMPLE",Config!$B$19&lt;&gt;"Y")),"",IF(IFERROR(INDEX(Lists!$J$2:$J$15,MATCH(K111,Lists!$I$2:$I$15,0)),-1)=-1,"status '"&amp;K111&amp;"' is not a CONTRACTS status",IF(AND(K111="paid",COUNTIF(paid_brands!$AC$2:$AC$51,J111)=0),"status paid but no paid_brands row"&amp;IF(M111="N"," and no tracker row",""),IF(AND(IFERROR(INDEX(Lists!$J$2:$J$15,MATCH(K111,Lists!$I$2:$I$15,0)),-1)&gt;=6,M111="N"),"status "&amp;K111&amp;" but no tracker row",IF(AND(L111="Y",K111&lt;&gt;"do_not_contact"),"do_not_contact = Y but status is "&amp;K111,IF(AND(K111="do_not_contact",L111&lt;&gt;"Y"),"status do_not_contact but do_not_contact is not Y",""))))))</f>
        <v/>
      </c>
    </row>
    <row r="112">
      <c r="B112" s="17" t="n">
        <v>91</v>
      </c>
      <c r="C112" s="17">
        <f>IFERROR(INDEX(Clay_Offices!$A$2:$FZ$601,B112,$C$5)&amp;"","")</f>
        <v/>
      </c>
      <c r="D112" s="17">
        <f>IFERROR(INDEX(Clay_Offices!$A$2:$FZ$601,B112,$C$7)&amp;"","")</f>
        <v/>
      </c>
      <c r="E112" s="17">
        <f>IFERROR(INDEX(Clay_Offices!$A$2:$FZ$601,B112,$C$8)&amp;"","")</f>
        <v/>
      </c>
      <c r="F112" s="17">
        <f>IF(C112="","",IF(COUNTIF(Office_Log!$A$2:$A$201,C112)&gt;0,"Y","N"))</f>
        <v/>
      </c>
      <c r="G112" s="17">
        <f>IF(OR(C112="",AND(LEFT(C112,6)="SAMPLE",Config!$B$19&lt;&gt;"Y")),"",IF(IFERROR(INDEX(Lists!$J$2:$J$15,MATCH(D112,Lists!$I$2:$I$15,0)),-1)=-1,"status '"&amp;D112&amp;"' is not a CONTRACTS status",IF(AND(D112="signed",COUNTIF(signed_offices!$W$2:$W$51,C112)=0),"status signed but no signed_offices row"&amp;IF(F112="N"," and no tracker row",""),IF(AND(IFERROR(INDEX(Lists!$J$2:$J$15,MATCH(D112,Lists!$I$2:$I$15,0)),-1)&gt;=6,F112="N"),"status "&amp;D112&amp;" but no tracker row",IF(AND(E112="Y",D112&lt;&gt;"do_not_contact"),"do_not_contact = Y but status is "&amp;D112,IF(AND(D112="do_not_contact",E112&lt;&gt;"Y"),"status do_not_contact but do_not_contact is not Y",""))))))</f>
        <v/>
      </c>
      <c r="I112" s="17" t="n">
        <v>91</v>
      </c>
      <c r="J112" s="17">
        <f>IFERROR(INDEX(Clay_Brands!$A$2:$FZ$601,I112,$D$5)&amp;"","")</f>
        <v/>
      </c>
      <c r="K112" s="17">
        <f>IFERROR(INDEX(Clay_Brands!$A$2:$FZ$601,I112,$D$7)&amp;"","")</f>
        <v/>
      </c>
      <c r="L112" s="17">
        <f>IFERROR(INDEX(Clay_Brands!$A$2:$FZ$601,I112,$D$8)&amp;"","")</f>
        <v/>
      </c>
      <c r="M112" s="17">
        <f>IF(J112="","",IF(COUNTIF(Brand_Log!$A$2:$A$201,J112)&gt;0,"Y","N"))</f>
        <v/>
      </c>
      <c r="N112" s="17">
        <f>IF(OR(J112="",AND(LEFT(J112,6)="SAMPLE",Config!$B$19&lt;&gt;"Y")),"",IF(IFERROR(INDEX(Lists!$J$2:$J$15,MATCH(K112,Lists!$I$2:$I$15,0)),-1)=-1,"status '"&amp;K112&amp;"' is not a CONTRACTS status",IF(AND(K112="paid",COUNTIF(paid_brands!$AC$2:$AC$51,J112)=0),"status paid but no paid_brands row"&amp;IF(M112="N"," and no tracker row",""),IF(AND(IFERROR(INDEX(Lists!$J$2:$J$15,MATCH(K112,Lists!$I$2:$I$15,0)),-1)&gt;=6,M112="N"),"status "&amp;K112&amp;" but no tracker row",IF(AND(L112="Y",K112&lt;&gt;"do_not_contact"),"do_not_contact = Y but status is "&amp;K112,IF(AND(K112="do_not_contact",L112&lt;&gt;"Y"),"status do_not_contact but do_not_contact is not Y",""))))))</f>
        <v/>
      </c>
    </row>
    <row r="113">
      <c r="B113" s="17" t="n">
        <v>92</v>
      </c>
      <c r="C113" s="17">
        <f>IFERROR(INDEX(Clay_Offices!$A$2:$FZ$601,B113,$C$5)&amp;"","")</f>
        <v/>
      </c>
      <c r="D113" s="17">
        <f>IFERROR(INDEX(Clay_Offices!$A$2:$FZ$601,B113,$C$7)&amp;"","")</f>
        <v/>
      </c>
      <c r="E113" s="17">
        <f>IFERROR(INDEX(Clay_Offices!$A$2:$FZ$601,B113,$C$8)&amp;"","")</f>
        <v/>
      </c>
      <c r="F113" s="17">
        <f>IF(C113="","",IF(COUNTIF(Office_Log!$A$2:$A$201,C113)&gt;0,"Y","N"))</f>
        <v/>
      </c>
      <c r="G113" s="17">
        <f>IF(OR(C113="",AND(LEFT(C113,6)="SAMPLE",Config!$B$19&lt;&gt;"Y")),"",IF(IFERROR(INDEX(Lists!$J$2:$J$15,MATCH(D113,Lists!$I$2:$I$15,0)),-1)=-1,"status '"&amp;D113&amp;"' is not a CONTRACTS status",IF(AND(D113="signed",COUNTIF(signed_offices!$W$2:$W$51,C113)=0),"status signed but no signed_offices row"&amp;IF(F113="N"," and no tracker row",""),IF(AND(IFERROR(INDEX(Lists!$J$2:$J$15,MATCH(D113,Lists!$I$2:$I$15,0)),-1)&gt;=6,F113="N"),"status "&amp;D113&amp;" but no tracker row",IF(AND(E113="Y",D113&lt;&gt;"do_not_contact"),"do_not_contact = Y but status is "&amp;D113,IF(AND(D113="do_not_contact",E113&lt;&gt;"Y"),"status do_not_contact but do_not_contact is not Y",""))))))</f>
        <v/>
      </c>
      <c r="I113" s="17" t="n">
        <v>92</v>
      </c>
      <c r="J113" s="17">
        <f>IFERROR(INDEX(Clay_Brands!$A$2:$FZ$601,I113,$D$5)&amp;"","")</f>
        <v/>
      </c>
      <c r="K113" s="17">
        <f>IFERROR(INDEX(Clay_Brands!$A$2:$FZ$601,I113,$D$7)&amp;"","")</f>
        <v/>
      </c>
      <c r="L113" s="17">
        <f>IFERROR(INDEX(Clay_Brands!$A$2:$FZ$601,I113,$D$8)&amp;"","")</f>
        <v/>
      </c>
      <c r="M113" s="17">
        <f>IF(J113="","",IF(COUNTIF(Brand_Log!$A$2:$A$201,J113)&gt;0,"Y","N"))</f>
        <v/>
      </c>
      <c r="N113" s="17">
        <f>IF(OR(J113="",AND(LEFT(J113,6)="SAMPLE",Config!$B$19&lt;&gt;"Y")),"",IF(IFERROR(INDEX(Lists!$J$2:$J$15,MATCH(K113,Lists!$I$2:$I$15,0)),-1)=-1,"status '"&amp;K113&amp;"' is not a CONTRACTS status",IF(AND(K113="paid",COUNTIF(paid_brands!$AC$2:$AC$51,J113)=0),"status paid but no paid_brands row"&amp;IF(M113="N"," and no tracker row",""),IF(AND(IFERROR(INDEX(Lists!$J$2:$J$15,MATCH(K113,Lists!$I$2:$I$15,0)),-1)&gt;=6,M113="N"),"status "&amp;K113&amp;" but no tracker row",IF(AND(L113="Y",K113&lt;&gt;"do_not_contact"),"do_not_contact = Y but status is "&amp;K113,IF(AND(K113="do_not_contact",L113&lt;&gt;"Y"),"status do_not_contact but do_not_contact is not Y",""))))))</f>
        <v/>
      </c>
    </row>
    <row r="114">
      <c r="B114" s="17" t="n">
        <v>93</v>
      </c>
      <c r="C114" s="17">
        <f>IFERROR(INDEX(Clay_Offices!$A$2:$FZ$601,B114,$C$5)&amp;"","")</f>
        <v/>
      </c>
      <c r="D114" s="17">
        <f>IFERROR(INDEX(Clay_Offices!$A$2:$FZ$601,B114,$C$7)&amp;"","")</f>
        <v/>
      </c>
      <c r="E114" s="17">
        <f>IFERROR(INDEX(Clay_Offices!$A$2:$FZ$601,B114,$C$8)&amp;"","")</f>
        <v/>
      </c>
      <c r="F114" s="17">
        <f>IF(C114="","",IF(COUNTIF(Office_Log!$A$2:$A$201,C114)&gt;0,"Y","N"))</f>
        <v/>
      </c>
      <c r="G114" s="17">
        <f>IF(OR(C114="",AND(LEFT(C114,6)="SAMPLE",Config!$B$19&lt;&gt;"Y")),"",IF(IFERROR(INDEX(Lists!$J$2:$J$15,MATCH(D114,Lists!$I$2:$I$15,0)),-1)=-1,"status '"&amp;D114&amp;"' is not a CONTRACTS status",IF(AND(D114="signed",COUNTIF(signed_offices!$W$2:$W$51,C114)=0),"status signed but no signed_offices row"&amp;IF(F114="N"," and no tracker row",""),IF(AND(IFERROR(INDEX(Lists!$J$2:$J$15,MATCH(D114,Lists!$I$2:$I$15,0)),-1)&gt;=6,F114="N"),"status "&amp;D114&amp;" but no tracker row",IF(AND(E114="Y",D114&lt;&gt;"do_not_contact"),"do_not_contact = Y but status is "&amp;D114,IF(AND(D114="do_not_contact",E114&lt;&gt;"Y"),"status do_not_contact but do_not_contact is not Y",""))))))</f>
        <v/>
      </c>
      <c r="I114" s="17" t="n">
        <v>93</v>
      </c>
      <c r="J114" s="17">
        <f>IFERROR(INDEX(Clay_Brands!$A$2:$FZ$601,I114,$D$5)&amp;"","")</f>
        <v/>
      </c>
      <c r="K114" s="17">
        <f>IFERROR(INDEX(Clay_Brands!$A$2:$FZ$601,I114,$D$7)&amp;"","")</f>
        <v/>
      </c>
      <c r="L114" s="17">
        <f>IFERROR(INDEX(Clay_Brands!$A$2:$FZ$601,I114,$D$8)&amp;"","")</f>
        <v/>
      </c>
      <c r="M114" s="17">
        <f>IF(J114="","",IF(COUNTIF(Brand_Log!$A$2:$A$201,J114)&gt;0,"Y","N"))</f>
        <v/>
      </c>
      <c r="N114" s="17">
        <f>IF(OR(J114="",AND(LEFT(J114,6)="SAMPLE",Config!$B$19&lt;&gt;"Y")),"",IF(IFERROR(INDEX(Lists!$J$2:$J$15,MATCH(K114,Lists!$I$2:$I$15,0)),-1)=-1,"status '"&amp;K114&amp;"' is not a CONTRACTS status",IF(AND(K114="paid",COUNTIF(paid_brands!$AC$2:$AC$51,J114)=0),"status paid but no paid_brands row"&amp;IF(M114="N"," and no tracker row",""),IF(AND(IFERROR(INDEX(Lists!$J$2:$J$15,MATCH(K114,Lists!$I$2:$I$15,0)),-1)&gt;=6,M114="N"),"status "&amp;K114&amp;" but no tracker row",IF(AND(L114="Y",K114&lt;&gt;"do_not_contact"),"do_not_contact = Y but status is "&amp;K114,IF(AND(K114="do_not_contact",L114&lt;&gt;"Y"),"status do_not_contact but do_not_contact is not Y",""))))))</f>
        <v/>
      </c>
    </row>
    <row r="115">
      <c r="B115" s="17" t="n">
        <v>94</v>
      </c>
      <c r="C115" s="17">
        <f>IFERROR(INDEX(Clay_Offices!$A$2:$FZ$601,B115,$C$5)&amp;"","")</f>
        <v/>
      </c>
      <c r="D115" s="17">
        <f>IFERROR(INDEX(Clay_Offices!$A$2:$FZ$601,B115,$C$7)&amp;"","")</f>
        <v/>
      </c>
      <c r="E115" s="17">
        <f>IFERROR(INDEX(Clay_Offices!$A$2:$FZ$601,B115,$C$8)&amp;"","")</f>
        <v/>
      </c>
      <c r="F115" s="17">
        <f>IF(C115="","",IF(COUNTIF(Office_Log!$A$2:$A$201,C115)&gt;0,"Y","N"))</f>
        <v/>
      </c>
      <c r="G115" s="17">
        <f>IF(OR(C115="",AND(LEFT(C115,6)="SAMPLE",Config!$B$19&lt;&gt;"Y")),"",IF(IFERROR(INDEX(Lists!$J$2:$J$15,MATCH(D115,Lists!$I$2:$I$15,0)),-1)=-1,"status '"&amp;D115&amp;"' is not a CONTRACTS status",IF(AND(D115="signed",COUNTIF(signed_offices!$W$2:$W$51,C115)=0),"status signed but no signed_offices row"&amp;IF(F115="N"," and no tracker row",""),IF(AND(IFERROR(INDEX(Lists!$J$2:$J$15,MATCH(D115,Lists!$I$2:$I$15,0)),-1)&gt;=6,F115="N"),"status "&amp;D115&amp;" but no tracker row",IF(AND(E115="Y",D115&lt;&gt;"do_not_contact"),"do_not_contact = Y but status is "&amp;D115,IF(AND(D115="do_not_contact",E115&lt;&gt;"Y"),"status do_not_contact but do_not_contact is not Y",""))))))</f>
        <v/>
      </c>
      <c r="I115" s="17" t="n">
        <v>94</v>
      </c>
      <c r="J115" s="17">
        <f>IFERROR(INDEX(Clay_Brands!$A$2:$FZ$601,I115,$D$5)&amp;"","")</f>
        <v/>
      </c>
      <c r="K115" s="17">
        <f>IFERROR(INDEX(Clay_Brands!$A$2:$FZ$601,I115,$D$7)&amp;"","")</f>
        <v/>
      </c>
      <c r="L115" s="17">
        <f>IFERROR(INDEX(Clay_Brands!$A$2:$FZ$601,I115,$D$8)&amp;"","")</f>
        <v/>
      </c>
      <c r="M115" s="17">
        <f>IF(J115="","",IF(COUNTIF(Brand_Log!$A$2:$A$201,J115)&gt;0,"Y","N"))</f>
        <v/>
      </c>
      <c r="N115" s="17">
        <f>IF(OR(J115="",AND(LEFT(J115,6)="SAMPLE",Config!$B$19&lt;&gt;"Y")),"",IF(IFERROR(INDEX(Lists!$J$2:$J$15,MATCH(K115,Lists!$I$2:$I$15,0)),-1)=-1,"status '"&amp;K115&amp;"' is not a CONTRACTS status",IF(AND(K115="paid",COUNTIF(paid_brands!$AC$2:$AC$51,J115)=0),"status paid but no paid_brands row"&amp;IF(M115="N"," and no tracker row",""),IF(AND(IFERROR(INDEX(Lists!$J$2:$J$15,MATCH(K115,Lists!$I$2:$I$15,0)),-1)&gt;=6,M115="N"),"status "&amp;K115&amp;" but no tracker row",IF(AND(L115="Y",K115&lt;&gt;"do_not_contact"),"do_not_contact = Y but status is "&amp;K115,IF(AND(K115="do_not_contact",L115&lt;&gt;"Y"),"status do_not_contact but do_not_contact is not Y",""))))))</f>
        <v/>
      </c>
    </row>
    <row r="116">
      <c r="B116" s="17" t="n">
        <v>95</v>
      </c>
      <c r="C116" s="17">
        <f>IFERROR(INDEX(Clay_Offices!$A$2:$FZ$601,B116,$C$5)&amp;"","")</f>
        <v/>
      </c>
      <c r="D116" s="17">
        <f>IFERROR(INDEX(Clay_Offices!$A$2:$FZ$601,B116,$C$7)&amp;"","")</f>
        <v/>
      </c>
      <c r="E116" s="17">
        <f>IFERROR(INDEX(Clay_Offices!$A$2:$FZ$601,B116,$C$8)&amp;"","")</f>
        <v/>
      </c>
      <c r="F116" s="17">
        <f>IF(C116="","",IF(COUNTIF(Office_Log!$A$2:$A$201,C116)&gt;0,"Y","N"))</f>
        <v/>
      </c>
      <c r="G116" s="17">
        <f>IF(OR(C116="",AND(LEFT(C116,6)="SAMPLE",Config!$B$19&lt;&gt;"Y")),"",IF(IFERROR(INDEX(Lists!$J$2:$J$15,MATCH(D116,Lists!$I$2:$I$15,0)),-1)=-1,"status '"&amp;D116&amp;"' is not a CONTRACTS status",IF(AND(D116="signed",COUNTIF(signed_offices!$W$2:$W$51,C116)=0),"status signed but no signed_offices row"&amp;IF(F116="N"," and no tracker row",""),IF(AND(IFERROR(INDEX(Lists!$J$2:$J$15,MATCH(D116,Lists!$I$2:$I$15,0)),-1)&gt;=6,F116="N"),"status "&amp;D116&amp;" but no tracker row",IF(AND(E116="Y",D116&lt;&gt;"do_not_contact"),"do_not_contact = Y but status is "&amp;D116,IF(AND(D116="do_not_contact",E116&lt;&gt;"Y"),"status do_not_contact but do_not_contact is not Y",""))))))</f>
        <v/>
      </c>
      <c r="I116" s="17" t="n">
        <v>95</v>
      </c>
      <c r="J116" s="17">
        <f>IFERROR(INDEX(Clay_Brands!$A$2:$FZ$601,I116,$D$5)&amp;"","")</f>
        <v/>
      </c>
      <c r="K116" s="17">
        <f>IFERROR(INDEX(Clay_Brands!$A$2:$FZ$601,I116,$D$7)&amp;"","")</f>
        <v/>
      </c>
      <c r="L116" s="17">
        <f>IFERROR(INDEX(Clay_Brands!$A$2:$FZ$601,I116,$D$8)&amp;"","")</f>
        <v/>
      </c>
      <c r="M116" s="17">
        <f>IF(J116="","",IF(COUNTIF(Brand_Log!$A$2:$A$201,J116)&gt;0,"Y","N"))</f>
        <v/>
      </c>
      <c r="N116" s="17">
        <f>IF(OR(J116="",AND(LEFT(J116,6)="SAMPLE",Config!$B$19&lt;&gt;"Y")),"",IF(IFERROR(INDEX(Lists!$J$2:$J$15,MATCH(K116,Lists!$I$2:$I$15,0)),-1)=-1,"status '"&amp;K116&amp;"' is not a CONTRACTS status",IF(AND(K116="paid",COUNTIF(paid_brands!$AC$2:$AC$51,J116)=0),"status paid but no paid_brands row"&amp;IF(M116="N"," and no tracker row",""),IF(AND(IFERROR(INDEX(Lists!$J$2:$J$15,MATCH(K116,Lists!$I$2:$I$15,0)),-1)&gt;=6,M116="N"),"status "&amp;K116&amp;" but no tracker row",IF(AND(L116="Y",K116&lt;&gt;"do_not_contact"),"do_not_contact = Y but status is "&amp;K116,IF(AND(K116="do_not_contact",L116&lt;&gt;"Y"),"status do_not_contact but do_not_contact is not Y",""))))))</f>
        <v/>
      </c>
    </row>
    <row r="117">
      <c r="B117" s="17" t="n">
        <v>96</v>
      </c>
      <c r="C117" s="17">
        <f>IFERROR(INDEX(Clay_Offices!$A$2:$FZ$601,B117,$C$5)&amp;"","")</f>
        <v/>
      </c>
      <c r="D117" s="17">
        <f>IFERROR(INDEX(Clay_Offices!$A$2:$FZ$601,B117,$C$7)&amp;"","")</f>
        <v/>
      </c>
      <c r="E117" s="17">
        <f>IFERROR(INDEX(Clay_Offices!$A$2:$FZ$601,B117,$C$8)&amp;"","")</f>
        <v/>
      </c>
      <c r="F117" s="17">
        <f>IF(C117="","",IF(COUNTIF(Office_Log!$A$2:$A$201,C117)&gt;0,"Y","N"))</f>
        <v/>
      </c>
      <c r="G117" s="17">
        <f>IF(OR(C117="",AND(LEFT(C117,6)="SAMPLE",Config!$B$19&lt;&gt;"Y")),"",IF(IFERROR(INDEX(Lists!$J$2:$J$15,MATCH(D117,Lists!$I$2:$I$15,0)),-1)=-1,"status '"&amp;D117&amp;"' is not a CONTRACTS status",IF(AND(D117="signed",COUNTIF(signed_offices!$W$2:$W$51,C117)=0),"status signed but no signed_offices row"&amp;IF(F117="N"," and no tracker row",""),IF(AND(IFERROR(INDEX(Lists!$J$2:$J$15,MATCH(D117,Lists!$I$2:$I$15,0)),-1)&gt;=6,F117="N"),"status "&amp;D117&amp;" but no tracker row",IF(AND(E117="Y",D117&lt;&gt;"do_not_contact"),"do_not_contact = Y but status is "&amp;D117,IF(AND(D117="do_not_contact",E117&lt;&gt;"Y"),"status do_not_contact but do_not_contact is not Y",""))))))</f>
        <v/>
      </c>
      <c r="I117" s="17" t="n">
        <v>96</v>
      </c>
      <c r="J117" s="17">
        <f>IFERROR(INDEX(Clay_Brands!$A$2:$FZ$601,I117,$D$5)&amp;"","")</f>
        <v/>
      </c>
      <c r="K117" s="17">
        <f>IFERROR(INDEX(Clay_Brands!$A$2:$FZ$601,I117,$D$7)&amp;"","")</f>
        <v/>
      </c>
      <c r="L117" s="17">
        <f>IFERROR(INDEX(Clay_Brands!$A$2:$FZ$601,I117,$D$8)&amp;"","")</f>
        <v/>
      </c>
      <c r="M117" s="17">
        <f>IF(J117="","",IF(COUNTIF(Brand_Log!$A$2:$A$201,J117)&gt;0,"Y","N"))</f>
        <v/>
      </c>
      <c r="N117" s="17">
        <f>IF(OR(J117="",AND(LEFT(J117,6)="SAMPLE",Config!$B$19&lt;&gt;"Y")),"",IF(IFERROR(INDEX(Lists!$J$2:$J$15,MATCH(K117,Lists!$I$2:$I$15,0)),-1)=-1,"status '"&amp;K117&amp;"' is not a CONTRACTS status",IF(AND(K117="paid",COUNTIF(paid_brands!$AC$2:$AC$51,J117)=0),"status paid but no paid_brands row"&amp;IF(M117="N"," and no tracker row",""),IF(AND(IFERROR(INDEX(Lists!$J$2:$J$15,MATCH(K117,Lists!$I$2:$I$15,0)),-1)&gt;=6,M117="N"),"status "&amp;K117&amp;" but no tracker row",IF(AND(L117="Y",K117&lt;&gt;"do_not_contact"),"do_not_contact = Y but status is "&amp;K117,IF(AND(K117="do_not_contact",L117&lt;&gt;"Y"),"status do_not_contact but do_not_contact is not Y",""))))))</f>
        <v/>
      </c>
    </row>
    <row r="118">
      <c r="B118" s="17" t="n">
        <v>97</v>
      </c>
      <c r="C118" s="17">
        <f>IFERROR(INDEX(Clay_Offices!$A$2:$FZ$601,B118,$C$5)&amp;"","")</f>
        <v/>
      </c>
      <c r="D118" s="17">
        <f>IFERROR(INDEX(Clay_Offices!$A$2:$FZ$601,B118,$C$7)&amp;"","")</f>
        <v/>
      </c>
      <c r="E118" s="17">
        <f>IFERROR(INDEX(Clay_Offices!$A$2:$FZ$601,B118,$C$8)&amp;"","")</f>
        <v/>
      </c>
      <c r="F118" s="17">
        <f>IF(C118="","",IF(COUNTIF(Office_Log!$A$2:$A$201,C118)&gt;0,"Y","N"))</f>
        <v/>
      </c>
      <c r="G118" s="17">
        <f>IF(OR(C118="",AND(LEFT(C118,6)="SAMPLE",Config!$B$19&lt;&gt;"Y")),"",IF(IFERROR(INDEX(Lists!$J$2:$J$15,MATCH(D118,Lists!$I$2:$I$15,0)),-1)=-1,"status '"&amp;D118&amp;"' is not a CONTRACTS status",IF(AND(D118="signed",COUNTIF(signed_offices!$W$2:$W$51,C118)=0),"status signed but no signed_offices row"&amp;IF(F118="N"," and no tracker row",""),IF(AND(IFERROR(INDEX(Lists!$J$2:$J$15,MATCH(D118,Lists!$I$2:$I$15,0)),-1)&gt;=6,F118="N"),"status "&amp;D118&amp;" but no tracker row",IF(AND(E118="Y",D118&lt;&gt;"do_not_contact"),"do_not_contact = Y but status is "&amp;D118,IF(AND(D118="do_not_contact",E118&lt;&gt;"Y"),"status do_not_contact but do_not_contact is not Y",""))))))</f>
        <v/>
      </c>
      <c r="I118" s="17" t="n">
        <v>97</v>
      </c>
      <c r="J118" s="17">
        <f>IFERROR(INDEX(Clay_Brands!$A$2:$FZ$601,I118,$D$5)&amp;"","")</f>
        <v/>
      </c>
      <c r="K118" s="17">
        <f>IFERROR(INDEX(Clay_Brands!$A$2:$FZ$601,I118,$D$7)&amp;"","")</f>
        <v/>
      </c>
      <c r="L118" s="17">
        <f>IFERROR(INDEX(Clay_Brands!$A$2:$FZ$601,I118,$D$8)&amp;"","")</f>
        <v/>
      </c>
      <c r="M118" s="17">
        <f>IF(J118="","",IF(COUNTIF(Brand_Log!$A$2:$A$201,J118)&gt;0,"Y","N"))</f>
        <v/>
      </c>
      <c r="N118" s="17">
        <f>IF(OR(J118="",AND(LEFT(J118,6)="SAMPLE",Config!$B$19&lt;&gt;"Y")),"",IF(IFERROR(INDEX(Lists!$J$2:$J$15,MATCH(K118,Lists!$I$2:$I$15,0)),-1)=-1,"status '"&amp;K118&amp;"' is not a CONTRACTS status",IF(AND(K118="paid",COUNTIF(paid_brands!$AC$2:$AC$51,J118)=0),"status paid but no paid_brands row"&amp;IF(M118="N"," and no tracker row",""),IF(AND(IFERROR(INDEX(Lists!$J$2:$J$15,MATCH(K118,Lists!$I$2:$I$15,0)),-1)&gt;=6,M118="N"),"status "&amp;K118&amp;" but no tracker row",IF(AND(L118="Y",K118&lt;&gt;"do_not_contact"),"do_not_contact = Y but status is "&amp;K118,IF(AND(K118="do_not_contact",L118&lt;&gt;"Y"),"status do_not_contact but do_not_contact is not Y",""))))))</f>
        <v/>
      </c>
    </row>
    <row r="119">
      <c r="B119" s="17" t="n">
        <v>98</v>
      </c>
      <c r="C119" s="17">
        <f>IFERROR(INDEX(Clay_Offices!$A$2:$FZ$601,B119,$C$5)&amp;"","")</f>
        <v/>
      </c>
      <c r="D119" s="17">
        <f>IFERROR(INDEX(Clay_Offices!$A$2:$FZ$601,B119,$C$7)&amp;"","")</f>
        <v/>
      </c>
      <c r="E119" s="17">
        <f>IFERROR(INDEX(Clay_Offices!$A$2:$FZ$601,B119,$C$8)&amp;"","")</f>
        <v/>
      </c>
      <c r="F119" s="17">
        <f>IF(C119="","",IF(COUNTIF(Office_Log!$A$2:$A$201,C119)&gt;0,"Y","N"))</f>
        <v/>
      </c>
      <c r="G119" s="17">
        <f>IF(OR(C119="",AND(LEFT(C119,6)="SAMPLE",Config!$B$19&lt;&gt;"Y")),"",IF(IFERROR(INDEX(Lists!$J$2:$J$15,MATCH(D119,Lists!$I$2:$I$15,0)),-1)=-1,"status '"&amp;D119&amp;"' is not a CONTRACTS status",IF(AND(D119="signed",COUNTIF(signed_offices!$W$2:$W$51,C119)=0),"status signed but no signed_offices row"&amp;IF(F119="N"," and no tracker row",""),IF(AND(IFERROR(INDEX(Lists!$J$2:$J$15,MATCH(D119,Lists!$I$2:$I$15,0)),-1)&gt;=6,F119="N"),"status "&amp;D119&amp;" but no tracker row",IF(AND(E119="Y",D119&lt;&gt;"do_not_contact"),"do_not_contact = Y but status is "&amp;D119,IF(AND(D119="do_not_contact",E119&lt;&gt;"Y"),"status do_not_contact but do_not_contact is not Y",""))))))</f>
        <v/>
      </c>
      <c r="I119" s="17" t="n">
        <v>98</v>
      </c>
      <c r="J119" s="17">
        <f>IFERROR(INDEX(Clay_Brands!$A$2:$FZ$601,I119,$D$5)&amp;"","")</f>
        <v/>
      </c>
      <c r="K119" s="17">
        <f>IFERROR(INDEX(Clay_Brands!$A$2:$FZ$601,I119,$D$7)&amp;"","")</f>
        <v/>
      </c>
      <c r="L119" s="17">
        <f>IFERROR(INDEX(Clay_Brands!$A$2:$FZ$601,I119,$D$8)&amp;"","")</f>
        <v/>
      </c>
      <c r="M119" s="17">
        <f>IF(J119="","",IF(COUNTIF(Brand_Log!$A$2:$A$201,J119)&gt;0,"Y","N"))</f>
        <v/>
      </c>
      <c r="N119" s="17">
        <f>IF(OR(J119="",AND(LEFT(J119,6)="SAMPLE",Config!$B$19&lt;&gt;"Y")),"",IF(IFERROR(INDEX(Lists!$J$2:$J$15,MATCH(K119,Lists!$I$2:$I$15,0)),-1)=-1,"status '"&amp;K119&amp;"' is not a CONTRACTS status",IF(AND(K119="paid",COUNTIF(paid_brands!$AC$2:$AC$51,J119)=0),"status paid but no paid_brands row"&amp;IF(M119="N"," and no tracker row",""),IF(AND(IFERROR(INDEX(Lists!$J$2:$J$15,MATCH(K119,Lists!$I$2:$I$15,0)),-1)&gt;=6,M119="N"),"status "&amp;K119&amp;" but no tracker row",IF(AND(L119="Y",K119&lt;&gt;"do_not_contact"),"do_not_contact = Y but status is "&amp;K119,IF(AND(K119="do_not_contact",L119&lt;&gt;"Y"),"status do_not_contact but do_not_contact is not Y",""))))))</f>
        <v/>
      </c>
    </row>
    <row r="120">
      <c r="B120" s="17" t="n">
        <v>99</v>
      </c>
      <c r="C120" s="17">
        <f>IFERROR(INDEX(Clay_Offices!$A$2:$FZ$601,B120,$C$5)&amp;"","")</f>
        <v/>
      </c>
      <c r="D120" s="17">
        <f>IFERROR(INDEX(Clay_Offices!$A$2:$FZ$601,B120,$C$7)&amp;"","")</f>
        <v/>
      </c>
      <c r="E120" s="17">
        <f>IFERROR(INDEX(Clay_Offices!$A$2:$FZ$601,B120,$C$8)&amp;"","")</f>
        <v/>
      </c>
      <c r="F120" s="17">
        <f>IF(C120="","",IF(COUNTIF(Office_Log!$A$2:$A$201,C120)&gt;0,"Y","N"))</f>
        <v/>
      </c>
      <c r="G120" s="17">
        <f>IF(OR(C120="",AND(LEFT(C120,6)="SAMPLE",Config!$B$19&lt;&gt;"Y")),"",IF(IFERROR(INDEX(Lists!$J$2:$J$15,MATCH(D120,Lists!$I$2:$I$15,0)),-1)=-1,"status '"&amp;D120&amp;"' is not a CONTRACTS status",IF(AND(D120="signed",COUNTIF(signed_offices!$W$2:$W$51,C120)=0),"status signed but no signed_offices row"&amp;IF(F120="N"," and no tracker row",""),IF(AND(IFERROR(INDEX(Lists!$J$2:$J$15,MATCH(D120,Lists!$I$2:$I$15,0)),-1)&gt;=6,F120="N"),"status "&amp;D120&amp;" but no tracker row",IF(AND(E120="Y",D120&lt;&gt;"do_not_contact"),"do_not_contact = Y but status is "&amp;D120,IF(AND(D120="do_not_contact",E120&lt;&gt;"Y"),"status do_not_contact but do_not_contact is not Y",""))))))</f>
        <v/>
      </c>
      <c r="I120" s="17" t="n">
        <v>99</v>
      </c>
      <c r="J120" s="17">
        <f>IFERROR(INDEX(Clay_Brands!$A$2:$FZ$601,I120,$D$5)&amp;"","")</f>
        <v/>
      </c>
      <c r="K120" s="17">
        <f>IFERROR(INDEX(Clay_Brands!$A$2:$FZ$601,I120,$D$7)&amp;"","")</f>
        <v/>
      </c>
      <c r="L120" s="17">
        <f>IFERROR(INDEX(Clay_Brands!$A$2:$FZ$601,I120,$D$8)&amp;"","")</f>
        <v/>
      </c>
      <c r="M120" s="17">
        <f>IF(J120="","",IF(COUNTIF(Brand_Log!$A$2:$A$201,J120)&gt;0,"Y","N"))</f>
        <v/>
      </c>
      <c r="N120" s="17">
        <f>IF(OR(J120="",AND(LEFT(J120,6)="SAMPLE",Config!$B$19&lt;&gt;"Y")),"",IF(IFERROR(INDEX(Lists!$J$2:$J$15,MATCH(K120,Lists!$I$2:$I$15,0)),-1)=-1,"status '"&amp;K120&amp;"' is not a CONTRACTS status",IF(AND(K120="paid",COUNTIF(paid_brands!$AC$2:$AC$51,J120)=0),"status paid but no paid_brands row"&amp;IF(M120="N"," and no tracker row",""),IF(AND(IFERROR(INDEX(Lists!$J$2:$J$15,MATCH(K120,Lists!$I$2:$I$15,0)),-1)&gt;=6,M120="N"),"status "&amp;K120&amp;" but no tracker row",IF(AND(L120="Y",K120&lt;&gt;"do_not_contact"),"do_not_contact = Y but status is "&amp;K120,IF(AND(K120="do_not_contact",L120&lt;&gt;"Y"),"status do_not_contact but do_not_contact is not Y",""))))))</f>
        <v/>
      </c>
    </row>
    <row r="121">
      <c r="B121" s="17" t="n">
        <v>100</v>
      </c>
      <c r="C121" s="17">
        <f>IFERROR(INDEX(Clay_Offices!$A$2:$FZ$601,B121,$C$5)&amp;"","")</f>
        <v/>
      </c>
      <c r="D121" s="17">
        <f>IFERROR(INDEX(Clay_Offices!$A$2:$FZ$601,B121,$C$7)&amp;"","")</f>
        <v/>
      </c>
      <c r="E121" s="17">
        <f>IFERROR(INDEX(Clay_Offices!$A$2:$FZ$601,B121,$C$8)&amp;"","")</f>
        <v/>
      </c>
      <c r="F121" s="17">
        <f>IF(C121="","",IF(COUNTIF(Office_Log!$A$2:$A$201,C121)&gt;0,"Y","N"))</f>
        <v/>
      </c>
      <c r="G121" s="17">
        <f>IF(OR(C121="",AND(LEFT(C121,6)="SAMPLE",Config!$B$19&lt;&gt;"Y")),"",IF(IFERROR(INDEX(Lists!$J$2:$J$15,MATCH(D121,Lists!$I$2:$I$15,0)),-1)=-1,"status '"&amp;D121&amp;"' is not a CONTRACTS status",IF(AND(D121="signed",COUNTIF(signed_offices!$W$2:$W$51,C121)=0),"status signed but no signed_offices row"&amp;IF(F121="N"," and no tracker row",""),IF(AND(IFERROR(INDEX(Lists!$J$2:$J$15,MATCH(D121,Lists!$I$2:$I$15,0)),-1)&gt;=6,F121="N"),"status "&amp;D121&amp;" but no tracker row",IF(AND(E121="Y",D121&lt;&gt;"do_not_contact"),"do_not_contact = Y but status is "&amp;D121,IF(AND(D121="do_not_contact",E121&lt;&gt;"Y"),"status do_not_contact but do_not_contact is not Y",""))))))</f>
        <v/>
      </c>
      <c r="I121" s="17" t="n">
        <v>100</v>
      </c>
      <c r="J121" s="17">
        <f>IFERROR(INDEX(Clay_Brands!$A$2:$FZ$601,I121,$D$5)&amp;"","")</f>
        <v/>
      </c>
      <c r="K121" s="17">
        <f>IFERROR(INDEX(Clay_Brands!$A$2:$FZ$601,I121,$D$7)&amp;"","")</f>
        <v/>
      </c>
      <c r="L121" s="17">
        <f>IFERROR(INDEX(Clay_Brands!$A$2:$FZ$601,I121,$D$8)&amp;"","")</f>
        <v/>
      </c>
      <c r="M121" s="17">
        <f>IF(J121="","",IF(COUNTIF(Brand_Log!$A$2:$A$201,J121)&gt;0,"Y","N"))</f>
        <v/>
      </c>
      <c r="N121" s="17">
        <f>IF(OR(J121="",AND(LEFT(J121,6)="SAMPLE",Config!$B$19&lt;&gt;"Y")),"",IF(IFERROR(INDEX(Lists!$J$2:$J$15,MATCH(K121,Lists!$I$2:$I$15,0)),-1)=-1,"status '"&amp;K121&amp;"' is not a CONTRACTS status",IF(AND(K121="paid",COUNTIF(paid_brands!$AC$2:$AC$51,J121)=0),"status paid but no paid_brands row"&amp;IF(M121="N"," and no tracker row",""),IF(AND(IFERROR(INDEX(Lists!$J$2:$J$15,MATCH(K121,Lists!$I$2:$I$15,0)),-1)&gt;=6,M121="N"),"status "&amp;K121&amp;" but no tracker row",IF(AND(L121="Y",K121&lt;&gt;"do_not_contact"),"do_not_contact = Y but status is "&amp;K121,IF(AND(K121="do_not_contact",L121&lt;&gt;"Y"),"status do_not_contact but do_not_contact is not Y",""))))))</f>
        <v/>
      </c>
    </row>
    <row r="122">
      <c r="B122" s="17" t="n">
        <v>101</v>
      </c>
      <c r="C122" s="17">
        <f>IFERROR(INDEX(Clay_Offices!$A$2:$FZ$601,B122,$C$5)&amp;"","")</f>
        <v/>
      </c>
      <c r="D122" s="17">
        <f>IFERROR(INDEX(Clay_Offices!$A$2:$FZ$601,B122,$C$7)&amp;"","")</f>
        <v/>
      </c>
      <c r="E122" s="17">
        <f>IFERROR(INDEX(Clay_Offices!$A$2:$FZ$601,B122,$C$8)&amp;"","")</f>
        <v/>
      </c>
      <c r="F122" s="17">
        <f>IF(C122="","",IF(COUNTIF(Office_Log!$A$2:$A$201,C122)&gt;0,"Y","N"))</f>
        <v/>
      </c>
      <c r="G122" s="17">
        <f>IF(OR(C122="",AND(LEFT(C122,6)="SAMPLE",Config!$B$19&lt;&gt;"Y")),"",IF(IFERROR(INDEX(Lists!$J$2:$J$15,MATCH(D122,Lists!$I$2:$I$15,0)),-1)=-1,"status '"&amp;D122&amp;"' is not a CONTRACTS status",IF(AND(D122="signed",COUNTIF(signed_offices!$W$2:$W$51,C122)=0),"status signed but no signed_offices row"&amp;IF(F122="N"," and no tracker row",""),IF(AND(IFERROR(INDEX(Lists!$J$2:$J$15,MATCH(D122,Lists!$I$2:$I$15,0)),-1)&gt;=6,F122="N"),"status "&amp;D122&amp;" but no tracker row",IF(AND(E122="Y",D122&lt;&gt;"do_not_contact"),"do_not_contact = Y but status is "&amp;D122,IF(AND(D122="do_not_contact",E122&lt;&gt;"Y"),"status do_not_contact but do_not_contact is not Y",""))))))</f>
        <v/>
      </c>
      <c r="I122" s="17" t="n">
        <v>101</v>
      </c>
      <c r="J122" s="17">
        <f>IFERROR(INDEX(Clay_Brands!$A$2:$FZ$601,I122,$D$5)&amp;"","")</f>
        <v/>
      </c>
      <c r="K122" s="17">
        <f>IFERROR(INDEX(Clay_Brands!$A$2:$FZ$601,I122,$D$7)&amp;"","")</f>
        <v/>
      </c>
      <c r="L122" s="17">
        <f>IFERROR(INDEX(Clay_Brands!$A$2:$FZ$601,I122,$D$8)&amp;"","")</f>
        <v/>
      </c>
      <c r="M122" s="17">
        <f>IF(J122="","",IF(COUNTIF(Brand_Log!$A$2:$A$201,J122)&gt;0,"Y","N"))</f>
        <v/>
      </c>
      <c r="N122" s="17">
        <f>IF(OR(J122="",AND(LEFT(J122,6)="SAMPLE",Config!$B$19&lt;&gt;"Y")),"",IF(IFERROR(INDEX(Lists!$J$2:$J$15,MATCH(K122,Lists!$I$2:$I$15,0)),-1)=-1,"status '"&amp;K122&amp;"' is not a CONTRACTS status",IF(AND(K122="paid",COUNTIF(paid_brands!$AC$2:$AC$51,J122)=0),"status paid but no paid_brands row"&amp;IF(M122="N"," and no tracker row",""),IF(AND(IFERROR(INDEX(Lists!$J$2:$J$15,MATCH(K122,Lists!$I$2:$I$15,0)),-1)&gt;=6,M122="N"),"status "&amp;K122&amp;" but no tracker row",IF(AND(L122="Y",K122&lt;&gt;"do_not_contact"),"do_not_contact = Y but status is "&amp;K122,IF(AND(K122="do_not_contact",L122&lt;&gt;"Y"),"status do_not_contact but do_not_contact is not Y",""))))))</f>
        <v/>
      </c>
    </row>
    <row r="123">
      <c r="B123" s="17" t="n">
        <v>102</v>
      </c>
      <c r="C123" s="17">
        <f>IFERROR(INDEX(Clay_Offices!$A$2:$FZ$601,B123,$C$5)&amp;"","")</f>
        <v/>
      </c>
      <c r="D123" s="17">
        <f>IFERROR(INDEX(Clay_Offices!$A$2:$FZ$601,B123,$C$7)&amp;"","")</f>
        <v/>
      </c>
      <c r="E123" s="17">
        <f>IFERROR(INDEX(Clay_Offices!$A$2:$FZ$601,B123,$C$8)&amp;"","")</f>
        <v/>
      </c>
      <c r="F123" s="17">
        <f>IF(C123="","",IF(COUNTIF(Office_Log!$A$2:$A$201,C123)&gt;0,"Y","N"))</f>
        <v/>
      </c>
      <c r="G123" s="17">
        <f>IF(OR(C123="",AND(LEFT(C123,6)="SAMPLE",Config!$B$19&lt;&gt;"Y")),"",IF(IFERROR(INDEX(Lists!$J$2:$J$15,MATCH(D123,Lists!$I$2:$I$15,0)),-1)=-1,"status '"&amp;D123&amp;"' is not a CONTRACTS status",IF(AND(D123="signed",COUNTIF(signed_offices!$W$2:$W$51,C123)=0),"status signed but no signed_offices row"&amp;IF(F123="N"," and no tracker row",""),IF(AND(IFERROR(INDEX(Lists!$J$2:$J$15,MATCH(D123,Lists!$I$2:$I$15,0)),-1)&gt;=6,F123="N"),"status "&amp;D123&amp;" but no tracker row",IF(AND(E123="Y",D123&lt;&gt;"do_not_contact"),"do_not_contact = Y but status is "&amp;D123,IF(AND(D123="do_not_contact",E123&lt;&gt;"Y"),"status do_not_contact but do_not_contact is not Y",""))))))</f>
        <v/>
      </c>
      <c r="I123" s="17" t="n">
        <v>102</v>
      </c>
      <c r="J123" s="17">
        <f>IFERROR(INDEX(Clay_Brands!$A$2:$FZ$601,I123,$D$5)&amp;"","")</f>
        <v/>
      </c>
      <c r="K123" s="17">
        <f>IFERROR(INDEX(Clay_Brands!$A$2:$FZ$601,I123,$D$7)&amp;"","")</f>
        <v/>
      </c>
      <c r="L123" s="17">
        <f>IFERROR(INDEX(Clay_Brands!$A$2:$FZ$601,I123,$D$8)&amp;"","")</f>
        <v/>
      </c>
      <c r="M123" s="17">
        <f>IF(J123="","",IF(COUNTIF(Brand_Log!$A$2:$A$201,J123)&gt;0,"Y","N"))</f>
        <v/>
      </c>
      <c r="N123" s="17">
        <f>IF(OR(J123="",AND(LEFT(J123,6)="SAMPLE",Config!$B$19&lt;&gt;"Y")),"",IF(IFERROR(INDEX(Lists!$J$2:$J$15,MATCH(K123,Lists!$I$2:$I$15,0)),-1)=-1,"status '"&amp;K123&amp;"' is not a CONTRACTS status",IF(AND(K123="paid",COUNTIF(paid_brands!$AC$2:$AC$51,J123)=0),"status paid but no paid_brands row"&amp;IF(M123="N"," and no tracker row",""),IF(AND(IFERROR(INDEX(Lists!$J$2:$J$15,MATCH(K123,Lists!$I$2:$I$15,0)),-1)&gt;=6,M123="N"),"status "&amp;K123&amp;" but no tracker row",IF(AND(L123="Y",K123&lt;&gt;"do_not_contact"),"do_not_contact = Y but status is "&amp;K123,IF(AND(K123="do_not_contact",L123&lt;&gt;"Y"),"status do_not_contact but do_not_contact is not Y",""))))))</f>
        <v/>
      </c>
    </row>
    <row r="124">
      <c r="B124" s="17" t="n">
        <v>103</v>
      </c>
      <c r="C124" s="17">
        <f>IFERROR(INDEX(Clay_Offices!$A$2:$FZ$601,B124,$C$5)&amp;"","")</f>
        <v/>
      </c>
      <c r="D124" s="17">
        <f>IFERROR(INDEX(Clay_Offices!$A$2:$FZ$601,B124,$C$7)&amp;"","")</f>
        <v/>
      </c>
      <c r="E124" s="17">
        <f>IFERROR(INDEX(Clay_Offices!$A$2:$FZ$601,B124,$C$8)&amp;"","")</f>
        <v/>
      </c>
      <c r="F124" s="17">
        <f>IF(C124="","",IF(COUNTIF(Office_Log!$A$2:$A$201,C124)&gt;0,"Y","N"))</f>
        <v/>
      </c>
      <c r="G124" s="17">
        <f>IF(OR(C124="",AND(LEFT(C124,6)="SAMPLE",Config!$B$19&lt;&gt;"Y")),"",IF(IFERROR(INDEX(Lists!$J$2:$J$15,MATCH(D124,Lists!$I$2:$I$15,0)),-1)=-1,"status '"&amp;D124&amp;"' is not a CONTRACTS status",IF(AND(D124="signed",COUNTIF(signed_offices!$W$2:$W$51,C124)=0),"status signed but no signed_offices row"&amp;IF(F124="N"," and no tracker row",""),IF(AND(IFERROR(INDEX(Lists!$J$2:$J$15,MATCH(D124,Lists!$I$2:$I$15,0)),-1)&gt;=6,F124="N"),"status "&amp;D124&amp;" but no tracker row",IF(AND(E124="Y",D124&lt;&gt;"do_not_contact"),"do_not_contact = Y but status is "&amp;D124,IF(AND(D124="do_not_contact",E124&lt;&gt;"Y"),"status do_not_contact but do_not_contact is not Y",""))))))</f>
        <v/>
      </c>
      <c r="I124" s="17" t="n">
        <v>103</v>
      </c>
      <c r="J124" s="17">
        <f>IFERROR(INDEX(Clay_Brands!$A$2:$FZ$601,I124,$D$5)&amp;"","")</f>
        <v/>
      </c>
      <c r="K124" s="17">
        <f>IFERROR(INDEX(Clay_Brands!$A$2:$FZ$601,I124,$D$7)&amp;"","")</f>
        <v/>
      </c>
      <c r="L124" s="17">
        <f>IFERROR(INDEX(Clay_Brands!$A$2:$FZ$601,I124,$D$8)&amp;"","")</f>
        <v/>
      </c>
      <c r="M124" s="17">
        <f>IF(J124="","",IF(COUNTIF(Brand_Log!$A$2:$A$201,J124)&gt;0,"Y","N"))</f>
        <v/>
      </c>
      <c r="N124" s="17">
        <f>IF(OR(J124="",AND(LEFT(J124,6)="SAMPLE",Config!$B$19&lt;&gt;"Y")),"",IF(IFERROR(INDEX(Lists!$J$2:$J$15,MATCH(K124,Lists!$I$2:$I$15,0)),-1)=-1,"status '"&amp;K124&amp;"' is not a CONTRACTS status",IF(AND(K124="paid",COUNTIF(paid_brands!$AC$2:$AC$51,J124)=0),"status paid but no paid_brands row"&amp;IF(M124="N"," and no tracker row",""),IF(AND(IFERROR(INDEX(Lists!$J$2:$J$15,MATCH(K124,Lists!$I$2:$I$15,0)),-1)&gt;=6,M124="N"),"status "&amp;K124&amp;" but no tracker row",IF(AND(L124="Y",K124&lt;&gt;"do_not_contact"),"do_not_contact = Y but status is "&amp;K124,IF(AND(K124="do_not_contact",L124&lt;&gt;"Y"),"status do_not_contact but do_not_contact is not Y",""))))))</f>
        <v/>
      </c>
    </row>
    <row r="125">
      <c r="B125" s="17" t="n">
        <v>104</v>
      </c>
      <c r="C125" s="17">
        <f>IFERROR(INDEX(Clay_Offices!$A$2:$FZ$601,B125,$C$5)&amp;"","")</f>
        <v/>
      </c>
      <c r="D125" s="17">
        <f>IFERROR(INDEX(Clay_Offices!$A$2:$FZ$601,B125,$C$7)&amp;"","")</f>
        <v/>
      </c>
      <c r="E125" s="17">
        <f>IFERROR(INDEX(Clay_Offices!$A$2:$FZ$601,B125,$C$8)&amp;"","")</f>
        <v/>
      </c>
      <c r="F125" s="17">
        <f>IF(C125="","",IF(COUNTIF(Office_Log!$A$2:$A$201,C125)&gt;0,"Y","N"))</f>
        <v/>
      </c>
      <c r="G125" s="17">
        <f>IF(OR(C125="",AND(LEFT(C125,6)="SAMPLE",Config!$B$19&lt;&gt;"Y")),"",IF(IFERROR(INDEX(Lists!$J$2:$J$15,MATCH(D125,Lists!$I$2:$I$15,0)),-1)=-1,"status '"&amp;D125&amp;"' is not a CONTRACTS status",IF(AND(D125="signed",COUNTIF(signed_offices!$W$2:$W$51,C125)=0),"status signed but no signed_offices row"&amp;IF(F125="N"," and no tracker row",""),IF(AND(IFERROR(INDEX(Lists!$J$2:$J$15,MATCH(D125,Lists!$I$2:$I$15,0)),-1)&gt;=6,F125="N"),"status "&amp;D125&amp;" but no tracker row",IF(AND(E125="Y",D125&lt;&gt;"do_not_contact"),"do_not_contact = Y but status is "&amp;D125,IF(AND(D125="do_not_contact",E125&lt;&gt;"Y"),"status do_not_contact but do_not_contact is not Y",""))))))</f>
        <v/>
      </c>
      <c r="I125" s="17" t="n">
        <v>104</v>
      </c>
      <c r="J125" s="17">
        <f>IFERROR(INDEX(Clay_Brands!$A$2:$FZ$601,I125,$D$5)&amp;"","")</f>
        <v/>
      </c>
      <c r="K125" s="17">
        <f>IFERROR(INDEX(Clay_Brands!$A$2:$FZ$601,I125,$D$7)&amp;"","")</f>
        <v/>
      </c>
      <c r="L125" s="17">
        <f>IFERROR(INDEX(Clay_Brands!$A$2:$FZ$601,I125,$D$8)&amp;"","")</f>
        <v/>
      </c>
      <c r="M125" s="17">
        <f>IF(J125="","",IF(COUNTIF(Brand_Log!$A$2:$A$201,J125)&gt;0,"Y","N"))</f>
        <v/>
      </c>
      <c r="N125" s="17">
        <f>IF(OR(J125="",AND(LEFT(J125,6)="SAMPLE",Config!$B$19&lt;&gt;"Y")),"",IF(IFERROR(INDEX(Lists!$J$2:$J$15,MATCH(K125,Lists!$I$2:$I$15,0)),-1)=-1,"status '"&amp;K125&amp;"' is not a CONTRACTS status",IF(AND(K125="paid",COUNTIF(paid_brands!$AC$2:$AC$51,J125)=0),"status paid but no paid_brands row"&amp;IF(M125="N"," and no tracker row",""),IF(AND(IFERROR(INDEX(Lists!$J$2:$J$15,MATCH(K125,Lists!$I$2:$I$15,0)),-1)&gt;=6,M125="N"),"status "&amp;K125&amp;" but no tracker row",IF(AND(L125="Y",K125&lt;&gt;"do_not_contact"),"do_not_contact = Y but status is "&amp;K125,IF(AND(K125="do_not_contact",L125&lt;&gt;"Y"),"status do_not_contact but do_not_contact is not Y",""))))))</f>
        <v/>
      </c>
    </row>
    <row r="126">
      <c r="B126" s="17" t="n">
        <v>105</v>
      </c>
      <c r="C126" s="17">
        <f>IFERROR(INDEX(Clay_Offices!$A$2:$FZ$601,B126,$C$5)&amp;"","")</f>
        <v/>
      </c>
      <c r="D126" s="17">
        <f>IFERROR(INDEX(Clay_Offices!$A$2:$FZ$601,B126,$C$7)&amp;"","")</f>
        <v/>
      </c>
      <c r="E126" s="17">
        <f>IFERROR(INDEX(Clay_Offices!$A$2:$FZ$601,B126,$C$8)&amp;"","")</f>
        <v/>
      </c>
      <c r="F126" s="17">
        <f>IF(C126="","",IF(COUNTIF(Office_Log!$A$2:$A$201,C126)&gt;0,"Y","N"))</f>
        <v/>
      </c>
      <c r="G126" s="17">
        <f>IF(OR(C126="",AND(LEFT(C126,6)="SAMPLE",Config!$B$19&lt;&gt;"Y")),"",IF(IFERROR(INDEX(Lists!$J$2:$J$15,MATCH(D126,Lists!$I$2:$I$15,0)),-1)=-1,"status '"&amp;D126&amp;"' is not a CONTRACTS status",IF(AND(D126="signed",COUNTIF(signed_offices!$W$2:$W$51,C126)=0),"status signed but no signed_offices row"&amp;IF(F126="N"," and no tracker row",""),IF(AND(IFERROR(INDEX(Lists!$J$2:$J$15,MATCH(D126,Lists!$I$2:$I$15,0)),-1)&gt;=6,F126="N"),"status "&amp;D126&amp;" but no tracker row",IF(AND(E126="Y",D126&lt;&gt;"do_not_contact"),"do_not_contact = Y but status is "&amp;D126,IF(AND(D126="do_not_contact",E126&lt;&gt;"Y"),"status do_not_contact but do_not_contact is not Y",""))))))</f>
        <v/>
      </c>
      <c r="I126" s="17" t="n">
        <v>105</v>
      </c>
      <c r="J126" s="17">
        <f>IFERROR(INDEX(Clay_Brands!$A$2:$FZ$601,I126,$D$5)&amp;"","")</f>
        <v/>
      </c>
      <c r="K126" s="17">
        <f>IFERROR(INDEX(Clay_Brands!$A$2:$FZ$601,I126,$D$7)&amp;"","")</f>
        <v/>
      </c>
      <c r="L126" s="17">
        <f>IFERROR(INDEX(Clay_Brands!$A$2:$FZ$601,I126,$D$8)&amp;"","")</f>
        <v/>
      </c>
      <c r="M126" s="17">
        <f>IF(J126="","",IF(COUNTIF(Brand_Log!$A$2:$A$201,J126)&gt;0,"Y","N"))</f>
        <v/>
      </c>
      <c r="N126" s="17">
        <f>IF(OR(J126="",AND(LEFT(J126,6)="SAMPLE",Config!$B$19&lt;&gt;"Y")),"",IF(IFERROR(INDEX(Lists!$J$2:$J$15,MATCH(K126,Lists!$I$2:$I$15,0)),-1)=-1,"status '"&amp;K126&amp;"' is not a CONTRACTS status",IF(AND(K126="paid",COUNTIF(paid_brands!$AC$2:$AC$51,J126)=0),"status paid but no paid_brands row"&amp;IF(M126="N"," and no tracker row",""),IF(AND(IFERROR(INDEX(Lists!$J$2:$J$15,MATCH(K126,Lists!$I$2:$I$15,0)),-1)&gt;=6,M126="N"),"status "&amp;K126&amp;" but no tracker row",IF(AND(L126="Y",K126&lt;&gt;"do_not_contact"),"do_not_contact = Y but status is "&amp;K126,IF(AND(K126="do_not_contact",L126&lt;&gt;"Y"),"status do_not_contact but do_not_contact is not Y",""))))))</f>
        <v/>
      </c>
    </row>
    <row r="127">
      <c r="B127" s="17" t="n">
        <v>106</v>
      </c>
      <c r="C127" s="17">
        <f>IFERROR(INDEX(Clay_Offices!$A$2:$FZ$601,B127,$C$5)&amp;"","")</f>
        <v/>
      </c>
      <c r="D127" s="17">
        <f>IFERROR(INDEX(Clay_Offices!$A$2:$FZ$601,B127,$C$7)&amp;"","")</f>
        <v/>
      </c>
      <c r="E127" s="17">
        <f>IFERROR(INDEX(Clay_Offices!$A$2:$FZ$601,B127,$C$8)&amp;"","")</f>
        <v/>
      </c>
      <c r="F127" s="17">
        <f>IF(C127="","",IF(COUNTIF(Office_Log!$A$2:$A$201,C127)&gt;0,"Y","N"))</f>
        <v/>
      </c>
      <c r="G127" s="17">
        <f>IF(OR(C127="",AND(LEFT(C127,6)="SAMPLE",Config!$B$19&lt;&gt;"Y")),"",IF(IFERROR(INDEX(Lists!$J$2:$J$15,MATCH(D127,Lists!$I$2:$I$15,0)),-1)=-1,"status '"&amp;D127&amp;"' is not a CONTRACTS status",IF(AND(D127="signed",COUNTIF(signed_offices!$W$2:$W$51,C127)=0),"status signed but no signed_offices row"&amp;IF(F127="N"," and no tracker row",""),IF(AND(IFERROR(INDEX(Lists!$J$2:$J$15,MATCH(D127,Lists!$I$2:$I$15,0)),-1)&gt;=6,F127="N"),"status "&amp;D127&amp;" but no tracker row",IF(AND(E127="Y",D127&lt;&gt;"do_not_contact"),"do_not_contact = Y but status is "&amp;D127,IF(AND(D127="do_not_contact",E127&lt;&gt;"Y"),"status do_not_contact but do_not_contact is not Y",""))))))</f>
        <v/>
      </c>
      <c r="I127" s="17" t="n">
        <v>106</v>
      </c>
      <c r="J127" s="17">
        <f>IFERROR(INDEX(Clay_Brands!$A$2:$FZ$601,I127,$D$5)&amp;"","")</f>
        <v/>
      </c>
      <c r="K127" s="17">
        <f>IFERROR(INDEX(Clay_Brands!$A$2:$FZ$601,I127,$D$7)&amp;"","")</f>
        <v/>
      </c>
      <c r="L127" s="17">
        <f>IFERROR(INDEX(Clay_Brands!$A$2:$FZ$601,I127,$D$8)&amp;"","")</f>
        <v/>
      </c>
      <c r="M127" s="17">
        <f>IF(J127="","",IF(COUNTIF(Brand_Log!$A$2:$A$201,J127)&gt;0,"Y","N"))</f>
        <v/>
      </c>
      <c r="N127" s="17">
        <f>IF(OR(J127="",AND(LEFT(J127,6)="SAMPLE",Config!$B$19&lt;&gt;"Y")),"",IF(IFERROR(INDEX(Lists!$J$2:$J$15,MATCH(K127,Lists!$I$2:$I$15,0)),-1)=-1,"status '"&amp;K127&amp;"' is not a CONTRACTS status",IF(AND(K127="paid",COUNTIF(paid_brands!$AC$2:$AC$51,J127)=0),"status paid but no paid_brands row"&amp;IF(M127="N"," and no tracker row",""),IF(AND(IFERROR(INDEX(Lists!$J$2:$J$15,MATCH(K127,Lists!$I$2:$I$15,0)),-1)&gt;=6,M127="N"),"status "&amp;K127&amp;" but no tracker row",IF(AND(L127="Y",K127&lt;&gt;"do_not_contact"),"do_not_contact = Y but status is "&amp;K127,IF(AND(K127="do_not_contact",L127&lt;&gt;"Y"),"status do_not_contact but do_not_contact is not Y",""))))))</f>
        <v/>
      </c>
    </row>
    <row r="128">
      <c r="B128" s="17" t="n">
        <v>107</v>
      </c>
      <c r="C128" s="17">
        <f>IFERROR(INDEX(Clay_Offices!$A$2:$FZ$601,B128,$C$5)&amp;"","")</f>
        <v/>
      </c>
      <c r="D128" s="17">
        <f>IFERROR(INDEX(Clay_Offices!$A$2:$FZ$601,B128,$C$7)&amp;"","")</f>
        <v/>
      </c>
      <c r="E128" s="17">
        <f>IFERROR(INDEX(Clay_Offices!$A$2:$FZ$601,B128,$C$8)&amp;"","")</f>
        <v/>
      </c>
      <c r="F128" s="17">
        <f>IF(C128="","",IF(COUNTIF(Office_Log!$A$2:$A$201,C128)&gt;0,"Y","N"))</f>
        <v/>
      </c>
      <c r="G128" s="17">
        <f>IF(OR(C128="",AND(LEFT(C128,6)="SAMPLE",Config!$B$19&lt;&gt;"Y")),"",IF(IFERROR(INDEX(Lists!$J$2:$J$15,MATCH(D128,Lists!$I$2:$I$15,0)),-1)=-1,"status '"&amp;D128&amp;"' is not a CONTRACTS status",IF(AND(D128="signed",COUNTIF(signed_offices!$W$2:$W$51,C128)=0),"status signed but no signed_offices row"&amp;IF(F128="N"," and no tracker row",""),IF(AND(IFERROR(INDEX(Lists!$J$2:$J$15,MATCH(D128,Lists!$I$2:$I$15,0)),-1)&gt;=6,F128="N"),"status "&amp;D128&amp;" but no tracker row",IF(AND(E128="Y",D128&lt;&gt;"do_not_contact"),"do_not_contact = Y but status is "&amp;D128,IF(AND(D128="do_not_contact",E128&lt;&gt;"Y"),"status do_not_contact but do_not_contact is not Y",""))))))</f>
        <v/>
      </c>
      <c r="I128" s="17" t="n">
        <v>107</v>
      </c>
      <c r="J128" s="17">
        <f>IFERROR(INDEX(Clay_Brands!$A$2:$FZ$601,I128,$D$5)&amp;"","")</f>
        <v/>
      </c>
      <c r="K128" s="17">
        <f>IFERROR(INDEX(Clay_Brands!$A$2:$FZ$601,I128,$D$7)&amp;"","")</f>
        <v/>
      </c>
      <c r="L128" s="17">
        <f>IFERROR(INDEX(Clay_Brands!$A$2:$FZ$601,I128,$D$8)&amp;"","")</f>
        <v/>
      </c>
      <c r="M128" s="17">
        <f>IF(J128="","",IF(COUNTIF(Brand_Log!$A$2:$A$201,J128)&gt;0,"Y","N"))</f>
        <v/>
      </c>
      <c r="N128" s="17">
        <f>IF(OR(J128="",AND(LEFT(J128,6)="SAMPLE",Config!$B$19&lt;&gt;"Y")),"",IF(IFERROR(INDEX(Lists!$J$2:$J$15,MATCH(K128,Lists!$I$2:$I$15,0)),-1)=-1,"status '"&amp;K128&amp;"' is not a CONTRACTS status",IF(AND(K128="paid",COUNTIF(paid_brands!$AC$2:$AC$51,J128)=0),"status paid but no paid_brands row"&amp;IF(M128="N"," and no tracker row",""),IF(AND(IFERROR(INDEX(Lists!$J$2:$J$15,MATCH(K128,Lists!$I$2:$I$15,0)),-1)&gt;=6,M128="N"),"status "&amp;K128&amp;" but no tracker row",IF(AND(L128="Y",K128&lt;&gt;"do_not_contact"),"do_not_contact = Y but status is "&amp;K128,IF(AND(K128="do_not_contact",L128&lt;&gt;"Y"),"status do_not_contact but do_not_contact is not Y",""))))))</f>
        <v/>
      </c>
    </row>
    <row r="129">
      <c r="B129" s="17" t="n">
        <v>108</v>
      </c>
      <c r="C129" s="17">
        <f>IFERROR(INDEX(Clay_Offices!$A$2:$FZ$601,B129,$C$5)&amp;"","")</f>
        <v/>
      </c>
      <c r="D129" s="17">
        <f>IFERROR(INDEX(Clay_Offices!$A$2:$FZ$601,B129,$C$7)&amp;"","")</f>
        <v/>
      </c>
      <c r="E129" s="17">
        <f>IFERROR(INDEX(Clay_Offices!$A$2:$FZ$601,B129,$C$8)&amp;"","")</f>
        <v/>
      </c>
      <c r="F129" s="17">
        <f>IF(C129="","",IF(COUNTIF(Office_Log!$A$2:$A$201,C129)&gt;0,"Y","N"))</f>
        <v/>
      </c>
      <c r="G129" s="17">
        <f>IF(OR(C129="",AND(LEFT(C129,6)="SAMPLE",Config!$B$19&lt;&gt;"Y")),"",IF(IFERROR(INDEX(Lists!$J$2:$J$15,MATCH(D129,Lists!$I$2:$I$15,0)),-1)=-1,"status '"&amp;D129&amp;"' is not a CONTRACTS status",IF(AND(D129="signed",COUNTIF(signed_offices!$W$2:$W$51,C129)=0),"status signed but no signed_offices row"&amp;IF(F129="N"," and no tracker row",""),IF(AND(IFERROR(INDEX(Lists!$J$2:$J$15,MATCH(D129,Lists!$I$2:$I$15,0)),-1)&gt;=6,F129="N"),"status "&amp;D129&amp;" but no tracker row",IF(AND(E129="Y",D129&lt;&gt;"do_not_contact"),"do_not_contact = Y but status is "&amp;D129,IF(AND(D129="do_not_contact",E129&lt;&gt;"Y"),"status do_not_contact but do_not_contact is not Y",""))))))</f>
        <v/>
      </c>
      <c r="I129" s="17" t="n">
        <v>108</v>
      </c>
      <c r="J129" s="17">
        <f>IFERROR(INDEX(Clay_Brands!$A$2:$FZ$601,I129,$D$5)&amp;"","")</f>
        <v/>
      </c>
      <c r="K129" s="17">
        <f>IFERROR(INDEX(Clay_Brands!$A$2:$FZ$601,I129,$D$7)&amp;"","")</f>
        <v/>
      </c>
      <c r="L129" s="17">
        <f>IFERROR(INDEX(Clay_Brands!$A$2:$FZ$601,I129,$D$8)&amp;"","")</f>
        <v/>
      </c>
      <c r="M129" s="17">
        <f>IF(J129="","",IF(COUNTIF(Brand_Log!$A$2:$A$201,J129)&gt;0,"Y","N"))</f>
        <v/>
      </c>
      <c r="N129" s="17">
        <f>IF(OR(J129="",AND(LEFT(J129,6)="SAMPLE",Config!$B$19&lt;&gt;"Y")),"",IF(IFERROR(INDEX(Lists!$J$2:$J$15,MATCH(K129,Lists!$I$2:$I$15,0)),-1)=-1,"status '"&amp;K129&amp;"' is not a CONTRACTS status",IF(AND(K129="paid",COUNTIF(paid_brands!$AC$2:$AC$51,J129)=0),"status paid but no paid_brands row"&amp;IF(M129="N"," and no tracker row",""),IF(AND(IFERROR(INDEX(Lists!$J$2:$J$15,MATCH(K129,Lists!$I$2:$I$15,0)),-1)&gt;=6,M129="N"),"status "&amp;K129&amp;" but no tracker row",IF(AND(L129="Y",K129&lt;&gt;"do_not_contact"),"do_not_contact = Y but status is "&amp;K129,IF(AND(K129="do_not_contact",L129&lt;&gt;"Y"),"status do_not_contact but do_not_contact is not Y",""))))))</f>
        <v/>
      </c>
    </row>
    <row r="130">
      <c r="B130" s="17" t="n">
        <v>109</v>
      </c>
      <c r="C130" s="17">
        <f>IFERROR(INDEX(Clay_Offices!$A$2:$FZ$601,B130,$C$5)&amp;"","")</f>
        <v/>
      </c>
      <c r="D130" s="17">
        <f>IFERROR(INDEX(Clay_Offices!$A$2:$FZ$601,B130,$C$7)&amp;"","")</f>
        <v/>
      </c>
      <c r="E130" s="17">
        <f>IFERROR(INDEX(Clay_Offices!$A$2:$FZ$601,B130,$C$8)&amp;"","")</f>
        <v/>
      </c>
      <c r="F130" s="17">
        <f>IF(C130="","",IF(COUNTIF(Office_Log!$A$2:$A$201,C130)&gt;0,"Y","N"))</f>
        <v/>
      </c>
      <c r="G130" s="17">
        <f>IF(OR(C130="",AND(LEFT(C130,6)="SAMPLE",Config!$B$19&lt;&gt;"Y")),"",IF(IFERROR(INDEX(Lists!$J$2:$J$15,MATCH(D130,Lists!$I$2:$I$15,0)),-1)=-1,"status '"&amp;D130&amp;"' is not a CONTRACTS status",IF(AND(D130="signed",COUNTIF(signed_offices!$W$2:$W$51,C130)=0),"status signed but no signed_offices row"&amp;IF(F130="N"," and no tracker row",""),IF(AND(IFERROR(INDEX(Lists!$J$2:$J$15,MATCH(D130,Lists!$I$2:$I$15,0)),-1)&gt;=6,F130="N"),"status "&amp;D130&amp;" but no tracker row",IF(AND(E130="Y",D130&lt;&gt;"do_not_contact"),"do_not_contact = Y but status is "&amp;D130,IF(AND(D130="do_not_contact",E130&lt;&gt;"Y"),"status do_not_contact but do_not_contact is not Y",""))))))</f>
        <v/>
      </c>
      <c r="I130" s="17" t="n">
        <v>109</v>
      </c>
      <c r="J130" s="17">
        <f>IFERROR(INDEX(Clay_Brands!$A$2:$FZ$601,I130,$D$5)&amp;"","")</f>
        <v/>
      </c>
      <c r="K130" s="17">
        <f>IFERROR(INDEX(Clay_Brands!$A$2:$FZ$601,I130,$D$7)&amp;"","")</f>
        <v/>
      </c>
      <c r="L130" s="17">
        <f>IFERROR(INDEX(Clay_Brands!$A$2:$FZ$601,I130,$D$8)&amp;"","")</f>
        <v/>
      </c>
      <c r="M130" s="17">
        <f>IF(J130="","",IF(COUNTIF(Brand_Log!$A$2:$A$201,J130)&gt;0,"Y","N"))</f>
        <v/>
      </c>
      <c r="N130" s="17">
        <f>IF(OR(J130="",AND(LEFT(J130,6)="SAMPLE",Config!$B$19&lt;&gt;"Y")),"",IF(IFERROR(INDEX(Lists!$J$2:$J$15,MATCH(K130,Lists!$I$2:$I$15,0)),-1)=-1,"status '"&amp;K130&amp;"' is not a CONTRACTS status",IF(AND(K130="paid",COUNTIF(paid_brands!$AC$2:$AC$51,J130)=0),"status paid but no paid_brands row"&amp;IF(M130="N"," and no tracker row",""),IF(AND(IFERROR(INDEX(Lists!$J$2:$J$15,MATCH(K130,Lists!$I$2:$I$15,0)),-1)&gt;=6,M130="N"),"status "&amp;K130&amp;" but no tracker row",IF(AND(L130="Y",K130&lt;&gt;"do_not_contact"),"do_not_contact = Y but status is "&amp;K130,IF(AND(K130="do_not_contact",L130&lt;&gt;"Y"),"status do_not_contact but do_not_contact is not Y",""))))))</f>
        <v/>
      </c>
    </row>
    <row r="131">
      <c r="B131" s="17" t="n">
        <v>110</v>
      </c>
      <c r="C131" s="17">
        <f>IFERROR(INDEX(Clay_Offices!$A$2:$FZ$601,B131,$C$5)&amp;"","")</f>
        <v/>
      </c>
      <c r="D131" s="17">
        <f>IFERROR(INDEX(Clay_Offices!$A$2:$FZ$601,B131,$C$7)&amp;"","")</f>
        <v/>
      </c>
      <c r="E131" s="17">
        <f>IFERROR(INDEX(Clay_Offices!$A$2:$FZ$601,B131,$C$8)&amp;"","")</f>
        <v/>
      </c>
      <c r="F131" s="17">
        <f>IF(C131="","",IF(COUNTIF(Office_Log!$A$2:$A$201,C131)&gt;0,"Y","N"))</f>
        <v/>
      </c>
      <c r="G131" s="17">
        <f>IF(OR(C131="",AND(LEFT(C131,6)="SAMPLE",Config!$B$19&lt;&gt;"Y")),"",IF(IFERROR(INDEX(Lists!$J$2:$J$15,MATCH(D131,Lists!$I$2:$I$15,0)),-1)=-1,"status '"&amp;D131&amp;"' is not a CONTRACTS status",IF(AND(D131="signed",COUNTIF(signed_offices!$W$2:$W$51,C131)=0),"status signed but no signed_offices row"&amp;IF(F131="N"," and no tracker row",""),IF(AND(IFERROR(INDEX(Lists!$J$2:$J$15,MATCH(D131,Lists!$I$2:$I$15,0)),-1)&gt;=6,F131="N"),"status "&amp;D131&amp;" but no tracker row",IF(AND(E131="Y",D131&lt;&gt;"do_not_contact"),"do_not_contact = Y but status is "&amp;D131,IF(AND(D131="do_not_contact",E131&lt;&gt;"Y"),"status do_not_contact but do_not_contact is not Y",""))))))</f>
        <v/>
      </c>
      <c r="I131" s="17" t="n">
        <v>110</v>
      </c>
      <c r="J131" s="17">
        <f>IFERROR(INDEX(Clay_Brands!$A$2:$FZ$601,I131,$D$5)&amp;"","")</f>
        <v/>
      </c>
      <c r="K131" s="17">
        <f>IFERROR(INDEX(Clay_Brands!$A$2:$FZ$601,I131,$D$7)&amp;"","")</f>
        <v/>
      </c>
      <c r="L131" s="17">
        <f>IFERROR(INDEX(Clay_Brands!$A$2:$FZ$601,I131,$D$8)&amp;"","")</f>
        <v/>
      </c>
      <c r="M131" s="17">
        <f>IF(J131="","",IF(COUNTIF(Brand_Log!$A$2:$A$201,J131)&gt;0,"Y","N"))</f>
        <v/>
      </c>
      <c r="N131" s="17">
        <f>IF(OR(J131="",AND(LEFT(J131,6)="SAMPLE",Config!$B$19&lt;&gt;"Y")),"",IF(IFERROR(INDEX(Lists!$J$2:$J$15,MATCH(K131,Lists!$I$2:$I$15,0)),-1)=-1,"status '"&amp;K131&amp;"' is not a CONTRACTS status",IF(AND(K131="paid",COUNTIF(paid_brands!$AC$2:$AC$51,J131)=0),"status paid but no paid_brands row"&amp;IF(M131="N"," and no tracker row",""),IF(AND(IFERROR(INDEX(Lists!$J$2:$J$15,MATCH(K131,Lists!$I$2:$I$15,0)),-1)&gt;=6,M131="N"),"status "&amp;K131&amp;" but no tracker row",IF(AND(L131="Y",K131&lt;&gt;"do_not_contact"),"do_not_contact = Y but status is "&amp;K131,IF(AND(K131="do_not_contact",L131&lt;&gt;"Y"),"status do_not_contact but do_not_contact is not Y",""))))))</f>
        <v/>
      </c>
    </row>
    <row r="132">
      <c r="B132" s="17" t="n">
        <v>111</v>
      </c>
      <c r="C132" s="17">
        <f>IFERROR(INDEX(Clay_Offices!$A$2:$FZ$601,B132,$C$5)&amp;"","")</f>
        <v/>
      </c>
      <c r="D132" s="17">
        <f>IFERROR(INDEX(Clay_Offices!$A$2:$FZ$601,B132,$C$7)&amp;"","")</f>
        <v/>
      </c>
      <c r="E132" s="17">
        <f>IFERROR(INDEX(Clay_Offices!$A$2:$FZ$601,B132,$C$8)&amp;"","")</f>
        <v/>
      </c>
      <c r="F132" s="17">
        <f>IF(C132="","",IF(COUNTIF(Office_Log!$A$2:$A$201,C132)&gt;0,"Y","N"))</f>
        <v/>
      </c>
      <c r="G132" s="17">
        <f>IF(OR(C132="",AND(LEFT(C132,6)="SAMPLE",Config!$B$19&lt;&gt;"Y")),"",IF(IFERROR(INDEX(Lists!$J$2:$J$15,MATCH(D132,Lists!$I$2:$I$15,0)),-1)=-1,"status '"&amp;D132&amp;"' is not a CONTRACTS status",IF(AND(D132="signed",COUNTIF(signed_offices!$W$2:$W$51,C132)=0),"status signed but no signed_offices row"&amp;IF(F132="N"," and no tracker row",""),IF(AND(IFERROR(INDEX(Lists!$J$2:$J$15,MATCH(D132,Lists!$I$2:$I$15,0)),-1)&gt;=6,F132="N"),"status "&amp;D132&amp;" but no tracker row",IF(AND(E132="Y",D132&lt;&gt;"do_not_contact"),"do_not_contact = Y but status is "&amp;D132,IF(AND(D132="do_not_contact",E132&lt;&gt;"Y"),"status do_not_contact but do_not_contact is not Y",""))))))</f>
        <v/>
      </c>
      <c r="I132" s="17" t="n">
        <v>111</v>
      </c>
      <c r="J132" s="17">
        <f>IFERROR(INDEX(Clay_Brands!$A$2:$FZ$601,I132,$D$5)&amp;"","")</f>
        <v/>
      </c>
      <c r="K132" s="17">
        <f>IFERROR(INDEX(Clay_Brands!$A$2:$FZ$601,I132,$D$7)&amp;"","")</f>
        <v/>
      </c>
      <c r="L132" s="17">
        <f>IFERROR(INDEX(Clay_Brands!$A$2:$FZ$601,I132,$D$8)&amp;"","")</f>
        <v/>
      </c>
      <c r="M132" s="17">
        <f>IF(J132="","",IF(COUNTIF(Brand_Log!$A$2:$A$201,J132)&gt;0,"Y","N"))</f>
        <v/>
      </c>
      <c r="N132" s="17">
        <f>IF(OR(J132="",AND(LEFT(J132,6)="SAMPLE",Config!$B$19&lt;&gt;"Y")),"",IF(IFERROR(INDEX(Lists!$J$2:$J$15,MATCH(K132,Lists!$I$2:$I$15,0)),-1)=-1,"status '"&amp;K132&amp;"' is not a CONTRACTS status",IF(AND(K132="paid",COUNTIF(paid_brands!$AC$2:$AC$51,J132)=0),"status paid but no paid_brands row"&amp;IF(M132="N"," and no tracker row",""),IF(AND(IFERROR(INDEX(Lists!$J$2:$J$15,MATCH(K132,Lists!$I$2:$I$15,0)),-1)&gt;=6,M132="N"),"status "&amp;K132&amp;" but no tracker row",IF(AND(L132="Y",K132&lt;&gt;"do_not_contact"),"do_not_contact = Y but status is "&amp;K132,IF(AND(K132="do_not_contact",L132&lt;&gt;"Y"),"status do_not_contact but do_not_contact is not Y",""))))))</f>
        <v/>
      </c>
    </row>
    <row r="133">
      <c r="B133" s="17" t="n">
        <v>112</v>
      </c>
      <c r="C133" s="17">
        <f>IFERROR(INDEX(Clay_Offices!$A$2:$FZ$601,B133,$C$5)&amp;"","")</f>
        <v/>
      </c>
      <c r="D133" s="17">
        <f>IFERROR(INDEX(Clay_Offices!$A$2:$FZ$601,B133,$C$7)&amp;"","")</f>
        <v/>
      </c>
      <c r="E133" s="17">
        <f>IFERROR(INDEX(Clay_Offices!$A$2:$FZ$601,B133,$C$8)&amp;"","")</f>
        <v/>
      </c>
      <c r="F133" s="17">
        <f>IF(C133="","",IF(COUNTIF(Office_Log!$A$2:$A$201,C133)&gt;0,"Y","N"))</f>
        <v/>
      </c>
      <c r="G133" s="17">
        <f>IF(OR(C133="",AND(LEFT(C133,6)="SAMPLE",Config!$B$19&lt;&gt;"Y")),"",IF(IFERROR(INDEX(Lists!$J$2:$J$15,MATCH(D133,Lists!$I$2:$I$15,0)),-1)=-1,"status '"&amp;D133&amp;"' is not a CONTRACTS status",IF(AND(D133="signed",COUNTIF(signed_offices!$W$2:$W$51,C133)=0),"status signed but no signed_offices row"&amp;IF(F133="N"," and no tracker row",""),IF(AND(IFERROR(INDEX(Lists!$J$2:$J$15,MATCH(D133,Lists!$I$2:$I$15,0)),-1)&gt;=6,F133="N"),"status "&amp;D133&amp;" but no tracker row",IF(AND(E133="Y",D133&lt;&gt;"do_not_contact"),"do_not_contact = Y but status is "&amp;D133,IF(AND(D133="do_not_contact",E133&lt;&gt;"Y"),"status do_not_contact but do_not_contact is not Y",""))))))</f>
        <v/>
      </c>
      <c r="I133" s="17" t="n">
        <v>112</v>
      </c>
      <c r="J133" s="17">
        <f>IFERROR(INDEX(Clay_Brands!$A$2:$FZ$601,I133,$D$5)&amp;"","")</f>
        <v/>
      </c>
      <c r="K133" s="17">
        <f>IFERROR(INDEX(Clay_Brands!$A$2:$FZ$601,I133,$D$7)&amp;"","")</f>
        <v/>
      </c>
      <c r="L133" s="17">
        <f>IFERROR(INDEX(Clay_Brands!$A$2:$FZ$601,I133,$D$8)&amp;"","")</f>
        <v/>
      </c>
      <c r="M133" s="17">
        <f>IF(J133="","",IF(COUNTIF(Brand_Log!$A$2:$A$201,J133)&gt;0,"Y","N"))</f>
        <v/>
      </c>
      <c r="N133" s="17">
        <f>IF(OR(J133="",AND(LEFT(J133,6)="SAMPLE",Config!$B$19&lt;&gt;"Y")),"",IF(IFERROR(INDEX(Lists!$J$2:$J$15,MATCH(K133,Lists!$I$2:$I$15,0)),-1)=-1,"status '"&amp;K133&amp;"' is not a CONTRACTS status",IF(AND(K133="paid",COUNTIF(paid_brands!$AC$2:$AC$51,J133)=0),"status paid but no paid_brands row"&amp;IF(M133="N"," and no tracker row",""),IF(AND(IFERROR(INDEX(Lists!$J$2:$J$15,MATCH(K133,Lists!$I$2:$I$15,0)),-1)&gt;=6,M133="N"),"status "&amp;K133&amp;" but no tracker row",IF(AND(L133="Y",K133&lt;&gt;"do_not_contact"),"do_not_contact = Y but status is "&amp;K133,IF(AND(K133="do_not_contact",L133&lt;&gt;"Y"),"status do_not_contact but do_not_contact is not Y",""))))))</f>
        <v/>
      </c>
    </row>
    <row r="134">
      <c r="B134" s="17" t="n">
        <v>113</v>
      </c>
      <c r="C134" s="17">
        <f>IFERROR(INDEX(Clay_Offices!$A$2:$FZ$601,B134,$C$5)&amp;"","")</f>
        <v/>
      </c>
      <c r="D134" s="17">
        <f>IFERROR(INDEX(Clay_Offices!$A$2:$FZ$601,B134,$C$7)&amp;"","")</f>
        <v/>
      </c>
      <c r="E134" s="17">
        <f>IFERROR(INDEX(Clay_Offices!$A$2:$FZ$601,B134,$C$8)&amp;"","")</f>
        <v/>
      </c>
      <c r="F134" s="17">
        <f>IF(C134="","",IF(COUNTIF(Office_Log!$A$2:$A$201,C134)&gt;0,"Y","N"))</f>
        <v/>
      </c>
      <c r="G134" s="17">
        <f>IF(OR(C134="",AND(LEFT(C134,6)="SAMPLE",Config!$B$19&lt;&gt;"Y")),"",IF(IFERROR(INDEX(Lists!$J$2:$J$15,MATCH(D134,Lists!$I$2:$I$15,0)),-1)=-1,"status '"&amp;D134&amp;"' is not a CONTRACTS status",IF(AND(D134="signed",COUNTIF(signed_offices!$W$2:$W$51,C134)=0),"status signed but no signed_offices row"&amp;IF(F134="N"," and no tracker row",""),IF(AND(IFERROR(INDEX(Lists!$J$2:$J$15,MATCH(D134,Lists!$I$2:$I$15,0)),-1)&gt;=6,F134="N"),"status "&amp;D134&amp;" but no tracker row",IF(AND(E134="Y",D134&lt;&gt;"do_not_contact"),"do_not_contact = Y but status is "&amp;D134,IF(AND(D134="do_not_contact",E134&lt;&gt;"Y"),"status do_not_contact but do_not_contact is not Y",""))))))</f>
        <v/>
      </c>
      <c r="I134" s="17" t="n">
        <v>113</v>
      </c>
      <c r="J134" s="17">
        <f>IFERROR(INDEX(Clay_Brands!$A$2:$FZ$601,I134,$D$5)&amp;"","")</f>
        <v/>
      </c>
      <c r="K134" s="17">
        <f>IFERROR(INDEX(Clay_Brands!$A$2:$FZ$601,I134,$D$7)&amp;"","")</f>
        <v/>
      </c>
      <c r="L134" s="17">
        <f>IFERROR(INDEX(Clay_Brands!$A$2:$FZ$601,I134,$D$8)&amp;"","")</f>
        <v/>
      </c>
      <c r="M134" s="17">
        <f>IF(J134="","",IF(COUNTIF(Brand_Log!$A$2:$A$201,J134)&gt;0,"Y","N"))</f>
        <v/>
      </c>
      <c r="N134" s="17">
        <f>IF(OR(J134="",AND(LEFT(J134,6)="SAMPLE",Config!$B$19&lt;&gt;"Y")),"",IF(IFERROR(INDEX(Lists!$J$2:$J$15,MATCH(K134,Lists!$I$2:$I$15,0)),-1)=-1,"status '"&amp;K134&amp;"' is not a CONTRACTS status",IF(AND(K134="paid",COUNTIF(paid_brands!$AC$2:$AC$51,J134)=0),"status paid but no paid_brands row"&amp;IF(M134="N"," and no tracker row",""),IF(AND(IFERROR(INDEX(Lists!$J$2:$J$15,MATCH(K134,Lists!$I$2:$I$15,0)),-1)&gt;=6,M134="N"),"status "&amp;K134&amp;" but no tracker row",IF(AND(L134="Y",K134&lt;&gt;"do_not_contact"),"do_not_contact = Y but status is "&amp;K134,IF(AND(K134="do_not_contact",L134&lt;&gt;"Y"),"status do_not_contact but do_not_contact is not Y",""))))))</f>
        <v/>
      </c>
    </row>
    <row r="135">
      <c r="B135" s="17" t="n">
        <v>114</v>
      </c>
      <c r="C135" s="17">
        <f>IFERROR(INDEX(Clay_Offices!$A$2:$FZ$601,B135,$C$5)&amp;"","")</f>
        <v/>
      </c>
      <c r="D135" s="17">
        <f>IFERROR(INDEX(Clay_Offices!$A$2:$FZ$601,B135,$C$7)&amp;"","")</f>
        <v/>
      </c>
      <c r="E135" s="17">
        <f>IFERROR(INDEX(Clay_Offices!$A$2:$FZ$601,B135,$C$8)&amp;"","")</f>
        <v/>
      </c>
      <c r="F135" s="17">
        <f>IF(C135="","",IF(COUNTIF(Office_Log!$A$2:$A$201,C135)&gt;0,"Y","N"))</f>
        <v/>
      </c>
      <c r="G135" s="17">
        <f>IF(OR(C135="",AND(LEFT(C135,6)="SAMPLE",Config!$B$19&lt;&gt;"Y")),"",IF(IFERROR(INDEX(Lists!$J$2:$J$15,MATCH(D135,Lists!$I$2:$I$15,0)),-1)=-1,"status '"&amp;D135&amp;"' is not a CONTRACTS status",IF(AND(D135="signed",COUNTIF(signed_offices!$W$2:$W$51,C135)=0),"status signed but no signed_offices row"&amp;IF(F135="N"," and no tracker row",""),IF(AND(IFERROR(INDEX(Lists!$J$2:$J$15,MATCH(D135,Lists!$I$2:$I$15,0)),-1)&gt;=6,F135="N"),"status "&amp;D135&amp;" but no tracker row",IF(AND(E135="Y",D135&lt;&gt;"do_not_contact"),"do_not_contact = Y but status is "&amp;D135,IF(AND(D135="do_not_contact",E135&lt;&gt;"Y"),"status do_not_contact but do_not_contact is not Y",""))))))</f>
        <v/>
      </c>
      <c r="I135" s="17" t="n">
        <v>114</v>
      </c>
      <c r="J135" s="17">
        <f>IFERROR(INDEX(Clay_Brands!$A$2:$FZ$601,I135,$D$5)&amp;"","")</f>
        <v/>
      </c>
      <c r="K135" s="17">
        <f>IFERROR(INDEX(Clay_Brands!$A$2:$FZ$601,I135,$D$7)&amp;"","")</f>
        <v/>
      </c>
      <c r="L135" s="17">
        <f>IFERROR(INDEX(Clay_Brands!$A$2:$FZ$601,I135,$D$8)&amp;"","")</f>
        <v/>
      </c>
      <c r="M135" s="17">
        <f>IF(J135="","",IF(COUNTIF(Brand_Log!$A$2:$A$201,J135)&gt;0,"Y","N"))</f>
        <v/>
      </c>
      <c r="N135" s="17">
        <f>IF(OR(J135="",AND(LEFT(J135,6)="SAMPLE",Config!$B$19&lt;&gt;"Y")),"",IF(IFERROR(INDEX(Lists!$J$2:$J$15,MATCH(K135,Lists!$I$2:$I$15,0)),-1)=-1,"status '"&amp;K135&amp;"' is not a CONTRACTS status",IF(AND(K135="paid",COUNTIF(paid_brands!$AC$2:$AC$51,J135)=0),"status paid but no paid_brands row"&amp;IF(M135="N"," and no tracker row",""),IF(AND(IFERROR(INDEX(Lists!$J$2:$J$15,MATCH(K135,Lists!$I$2:$I$15,0)),-1)&gt;=6,M135="N"),"status "&amp;K135&amp;" but no tracker row",IF(AND(L135="Y",K135&lt;&gt;"do_not_contact"),"do_not_contact = Y but status is "&amp;K135,IF(AND(K135="do_not_contact",L135&lt;&gt;"Y"),"status do_not_contact but do_not_contact is not Y",""))))))</f>
        <v/>
      </c>
    </row>
    <row r="136">
      <c r="B136" s="17" t="n">
        <v>115</v>
      </c>
      <c r="C136" s="17">
        <f>IFERROR(INDEX(Clay_Offices!$A$2:$FZ$601,B136,$C$5)&amp;"","")</f>
        <v/>
      </c>
      <c r="D136" s="17">
        <f>IFERROR(INDEX(Clay_Offices!$A$2:$FZ$601,B136,$C$7)&amp;"","")</f>
        <v/>
      </c>
      <c r="E136" s="17">
        <f>IFERROR(INDEX(Clay_Offices!$A$2:$FZ$601,B136,$C$8)&amp;"","")</f>
        <v/>
      </c>
      <c r="F136" s="17">
        <f>IF(C136="","",IF(COUNTIF(Office_Log!$A$2:$A$201,C136)&gt;0,"Y","N"))</f>
        <v/>
      </c>
      <c r="G136" s="17">
        <f>IF(OR(C136="",AND(LEFT(C136,6)="SAMPLE",Config!$B$19&lt;&gt;"Y")),"",IF(IFERROR(INDEX(Lists!$J$2:$J$15,MATCH(D136,Lists!$I$2:$I$15,0)),-1)=-1,"status '"&amp;D136&amp;"' is not a CONTRACTS status",IF(AND(D136="signed",COUNTIF(signed_offices!$W$2:$W$51,C136)=0),"status signed but no signed_offices row"&amp;IF(F136="N"," and no tracker row",""),IF(AND(IFERROR(INDEX(Lists!$J$2:$J$15,MATCH(D136,Lists!$I$2:$I$15,0)),-1)&gt;=6,F136="N"),"status "&amp;D136&amp;" but no tracker row",IF(AND(E136="Y",D136&lt;&gt;"do_not_contact"),"do_not_contact = Y but status is "&amp;D136,IF(AND(D136="do_not_contact",E136&lt;&gt;"Y"),"status do_not_contact but do_not_contact is not Y",""))))))</f>
        <v/>
      </c>
      <c r="I136" s="17" t="n">
        <v>115</v>
      </c>
      <c r="J136" s="17">
        <f>IFERROR(INDEX(Clay_Brands!$A$2:$FZ$601,I136,$D$5)&amp;"","")</f>
        <v/>
      </c>
      <c r="K136" s="17">
        <f>IFERROR(INDEX(Clay_Brands!$A$2:$FZ$601,I136,$D$7)&amp;"","")</f>
        <v/>
      </c>
      <c r="L136" s="17">
        <f>IFERROR(INDEX(Clay_Brands!$A$2:$FZ$601,I136,$D$8)&amp;"","")</f>
        <v/>
      </c>
      <c r="M136" s="17">
        <f>IF(J136="","",IF(COUNTIF(Brand_Log!$A$2:$A$201,J136)&gt;0,"Y","N"))</f>
        <v/>
      </c>
      <c r="N136" s="17">
        <f>IF(OR(J136="",AND(LEFT(J136,6)="SAMPLE",Config!$B$19&lt;&gt;"Y")),"",IF(IFERROR(INDEX(Lists!$J$2:$J$15,MATCH(K136,Lists!$I$2:$I$15,0)),-1)=-1,"status '"&amp;K136&amp;"' is not a CONTRACTS status",IF(AND(K136="paid",COUNTIF(paid_brands!$AC$2:$AC$51,J136)=0),"status paid but no paid_brands row"&amp;IF(M136="N"," and no tracker row",""),IF(AND(IFERROR(INDEX(Lists!$J$2:$J$15,MATCH(K136,Lists!$I$2:$I$15,0)),-1)&gt;=6,M136="N"),"status "&amp;K136&amp;" but no tracker row",IF(AND(L136="Y",K136&lt;&gt;"do_not_contact"),"do_not_contact = Y but status is "&amp;K136,IF(AND(K136="do_not_contact",L136&lt;&gt;"Y"),"status do_not_contact but do_not_contact is not Y",""))))))</f>
        <v/>
      </c>
    </row>
    <row r="137">
      <c r="B137" s="17" t="n">
        <v>116</v>
      </c>
      <c r="C137" s="17">
        <f>IFERROR(INDEX(Clay_Offices!$A$2:$FZ$601,B137,$C$5)&amp;"","")</f>
        <v/>
      </c>
      <c r="D137" s="17">
        <f>IFERROR(INDEX(Clay_Offices!$A$2:$FZ$601,B137,$C$7)&amp;"","")</f>
        <v/>
      </c>
      <c r="E137" s="17">
        <f>IFERROR(INDEX(Clay_Offices!$A$2:$FZ$601,B137,$C$8)&amp;"","")</f>
        <v/>
      </c>
      <c r="F137" s="17">
        <f>IF(C137="","",IF(COUNTIF(Office_Log!$A$2:$A$201,C137)&gt;0,"Y","N"))</f>
        <v/>
      </c>
      <c r="G137" s="17">
        <f>IF(OR(C137="",AND(LEFT(C137,6)="SAMPLE",Config!$B$19&lt;&gt;"Y")),"",IF(IFERROR(INDEX(Lists!$J$2:$J$15,MATCH(D137,Lists!$I$2:$I$15,0)),-1)=-1,"status '"&amp;D137&amp;"' is not a CONTRACTS status",IF(AND(D137="signed",COUNTIF(signed_offices!$W$2:$W$51,C137)=0),"status signed but no signed_offices row"&amp;IF(F137="N"," and no tracker row",""),IF(AND(IFERROR(INDEX(Lists!$J$2:$J$15,MATCH(D137,Lists!$I$2:$I$15,0)),-1)&gt;=6,F137="N"),"status "&amp;D137&amp;" but no tracker row",IF(AND(E137="Y",D137&lt;&gt;"do_not_contact"),"do_not_contact = Y but status is "&amp;D137,IF(AND(D137="do_not_contact",E137&lt;&gt;"Y"),"status do_not_contact but do_not_contact is not Y",""))))))</f>
        <v/>
      </c>
      <c r="I137" s="17" t="n">
        <v>116</v>
      </c>
      <c r="J137" s="17">
        <f>IFERROR(INDEX(Clay_Brands!$A$2:$FZ$601,I137,$D$5)&amp;"","")</f>
        <v/>
      </c>
      <c r="K137" s="17">
        <f>IFERROR(INDEX(Clay_Brands!$A$2:$FZ$601,I137,$D$7)&amp;"","")</f>
        <v/>
      </c>
      <c r="L137" s="17">
        <f>IFERROR(INDEX(Clay_Brands!$A$2:$FZ$601,I137,$D$8)&amp;"","")</f>
        <v/>
      </c>
      <c r="M137" s="17">
        <f>IF(J137="","",IF(COUNTIF(Brand_Log!$A$2:$A$201,J137)&gt;0,"Y","N"))</f>
        <v/>
      </c>
      <c r="N137" s="17">
        <f>IF(OR(J137="",AND(LEFT(J137,6)="SAMPLE",Config!$B$19&lt;&gt;"Y")),"",IF(IFERROR(INDEX(Lists!$J$2:$J$15,MATCH(K137,Lists!$I$2:$I$15,0)),-1)=-1,"status '"&amp;K137&amp;"' is not a CONTRACTS status",IF(AND(K137="paid",COUNTIF(paid_brands!$AC$2:$AC$51,J137)=0),"status paid but no paid_brands row"&amp;IF(M137="N"," and no tracker row",""),IF(AND(IFERROR(INDEX(Lists!$J$2:$J$15,MATCH(K137,Lists!$I$2:$I$15,0)),-1)&gt;=6,M137="N"),"status "&amp;K137&amp;" but no tracker row",IF(AND(L137="Y",K137&lt;&gt;"do_not_contact"),"do_not_contact = Y but status is "&amp;K137,IF(AND(K137="do_not_contact",L137&lt;&gt;"Y"),"status do_not_contact but do_not_contact is not Y",""))))))</f>
        <v/>
      </c>
    </row>
    <row r="138">
      <c r="B138" s="17" t="n">
        <v>117</v>
      </c>
      <c r="C138" s="17">
        <f>IFERROR(INDEX(Clay_Offices!$A$2:$FZ$601,B138,$C$5)&amp;"","")</f>
        <v/>
      </c>
      <c r="D138" s="17">
        <f>IFERROR(INDEX(Clay_Offices!$A$2:$FZ$601,B138,$C$7)&amp;"","")</f>
        <v/>
      </c>
      <c r="E138" s="17">
        <f>IFERROR(INDEX(Clay_Offices!$A$2:$FZ$601,B138,$C$8)&amp;"","")</f>
        <v/>
      </c>
      <c r="F138" s="17">
        <f>IF(C138="","",IF(COUNTIF(Office_Log!$A$2:$A$201,C138)&gt;0,"Y","N"))</f>
        <v/>
      </c>
      <c r="G138" s="17">
        <f>IF(OR(C138="",AND(LEFT(C138,6)="SAMPLE",Config!$B$19&lt;&gt;"Y")),"",IF(IFERROR(INDEX(Lists!$J$2:$J$15,MATCH(D138,Lists!$I$2:$I$15,0)),-1)=-1,"status '"&amp;D138&amp;"' is not a CONTRACTS status",IF(AND(D138="signed",COUNTIF(signed_offices!$W$2:$W$51,C138)=0),"status signed but no signed_offices row"&amp;IF(F138="N"," and no tracker row",""),IF(AND(IFERROR(INDEX(Lists!$J$2:$J$15,MATCH(D138,Lists!$I$2:$I$15,0)),-1)&gt;=6,F138="N"),"status "&amp;D138&amp;" but no tracker row",IF(AND(E138="Y",D138&lt;&gt;"do_not_contact"),"do_not_contact = Y but status is "&amp;D138,IF(AND(D138="do_not_contact",E138&lt;&gt;"Y"),"status do_not_contact but do_not_contact is not Y",""))))))</f>
        <v/>
      </c>
      <c r="I138" s="17" t="n">
        <v>117</v>
      </c>
      <c r="J138" s="17">
        <f>IFERROR(INDEX(Clay_Brands!$A$2:$FZ$601,I138,$D$5)&amp;"","")</f>
        <v/>
      </c>
      <c r="K138" s="17">
        <f>IFERROR(INDEX(Clay_Brands!$A$2:$FZ$601,I138,$D$7)&amp;"","")</f>
        <v/>
      </c>
      <c r="L138" s="17">
        <f>IFERROR(INDEX(Clay_Brands!$A$2:$FZ$601,I138,$D$8)&amp;"","")</f>
        <v/>
      </c>
      <c r="M138" s="17">
        <f>IF(J138="","",IF(COUNTIF(Brand_Log!$A$2:$A$201,J138)&gt;0,"Y","N"))</f>
        <v/>
      </c>
      <c r="N138" s="17">
        <f>IF(OR(J138="",AND(LEFT(J138,6)="SAMPLE",Config!$B$19&lt;&gt;"Y")),"",IF(IFERROR(INDEX(Lists!$J$2:$J$15,MATCH(K138,Lists!$I$2:$I$15,0)),-1)=-1,"status '"&amp;K138&amp;"' is not a CONTRACTS status",IF(AND(K138="paid",COUNTIF(paid_brands!$AC$2:$AC$51,J138)=0),"status paid but no paid_brands row"&amp;IF(M138="N"," and no tracker row",""),IF(AND(IFERROR(INDEX(Lists!$J$2:$J$15,MATCH(K138,Lists!$I$2:$I$15,0)),-1)&gt;=6,M138="N"),"status "&amp;K138&amp;" but no tracker row",IF(AND(L138="Y",K138&lt;&gt;"do_not_contact"),"do_not_contact = Y but status is "&amp;K138,IF(AND(K138="do_not_contact",L138&lt;&gt;"Y"),"status do_not_contact but do_not_contact is not Y",""))))))</f>
        <v/>
      </c>
    </row>
    <row r="139">
      <c r="B139" s="17" t="n">
        <v>118</v>
      </c>
      <c r="C139" s="17">
        <f>IFERROR(INDEX(Clay_Offices!$A$2:$FZ$601,B139,$C$5)&amp;"","")</f>
        <v/>
      </c>
      <c r="D139" s="17">
        <f>IFERROR(INDEX(Clay_Offices!$A$2:$FZ$601,B139,$C$7)&amp;"","")</f>
        <v/>
      </c>
      <c r="E139" s="17">
        <f>IFERROR(INDEX(Clay_Offices!$A$2:$FZ$601,B139,$C$8)&amp;"","")</f>
        <v/>
      </c>
      <c r="F139" s="17">
        <f>IF(C139="","",IF(COUNTIF(Office_Log!$A$2:$A$201,C139)&gt;0,"Y","N"))</f>
        <v/>
      </c>
      <c r="G139" s="17">
        <f>IF(OR(C139="",AND(LEFT(C139,6)="SAMPLE",Config!$B$19&lt;&gt;"Y")),"",IF(IFERROR(INDEX(Lists!$J$2:$J$15,MATCH(D139,Lists!$I$2:$I$15,0)),-1)=-1,"status '"&amp;D139&amp;"' is not a CONTRACTS status",IF(AND(D139="signed",COUNTIF(signed_offices!$W$2:$W$51,C139)=0),"status signed but no signed_offices row"&amp;IF(F139="N"," and no tracker row",""),IF(AND(IFERROR(INDEX(Lists!$J$2:$J$15,MATCH(D139,Lists!$I$2:$I$15,0)),-1)&gt;=6,F139="N"),"status "&amp;D139&amp;" but no tracker row",IF(AND(E139="Y",D139&lt;&gt;"do_not_contact"),"do_not_contact = Y but status is "&amp;D139,IF(AND(D139="do_not_contact",E139&lt;&gt;"Y"),"status do_not_contact but do_not_contact is not Y",""))))))</f>
        <v/>
      </c>
      <c r="I139" s="17" t="n">
        <v>118</v>
      </c>
      <c r="J139" s="17">
        <f>IFERROR(INDEX(Clay_Brands!$A$2:$FZ$601,I139,$D$5)&amp;"","")</f>
        <v/>
      </c>
      <c r="K139" s="17">
        <f>IFERROR(INDEX(Clay_Brands!$A$2:$FZ$601,I139,$D$7)&amp;"","")</f>
        <v/>
      </c>
      <c r="L139" s="17">
        <f>IFERROR(INDEX(Clay_Brands!$A$2:$FZ$601,I139,$D$8)&amp;"","")</f>
        <v/>
      </c>
      <c r="M139" s="17">
        <f>IF(J139="","",IF(COUNTIF(Brand_Log!$A$2:$A$201,J139)&gt;0,"Y","N"))</f>
        <v/>
      </c>
      <c r="N139" s="17">
        <f>IF(OR(J139="",AND(LEFT(J139,6)="SAMPLE",Config!$B$19&lt;&gt;"Y")),"",IF(IFERROR(INDEX(Lists!$J$2:$J$15,MATCH(K139,Lists!$I$2:$I$15,0)),-1)=-1,"status '"&amp;K139&amp;"' is not a CONTRACTS status",IF(AND(K139="paid",COUNTIF(paid_brands!$AC$2:$AC$51,J139)=0),"status paid but no paid_brands row"&amp;IF(M139="N"," and no tracker row",""),IF(AND(IFERROR(INDEX(Lists!$J$2:$J$15,MATCH(K139,Lists!$I$2:$I$15,0)),-1)&gt;=6,M139="N"),"status "&amp;K139&amp;" but no tracker row",IF(AND(L139="Y",K139&lt;&gt;"do_not_contact"),"do_not_contact = Y but status is "&amp;K139,IF(AND(K139="do_not_contact",L139&lt;&gt;"Y"),"status do_not_contact but do_not_contact is not Y",""))))))</f>
        <v/>
      </c>
    </row>
    <row r="140">
      <c r="B140" s="17" t="n">
        <v>119</v>
      </c>
      <c r="C140" s="17">
        <f>IFERROR(INDEX(Clay_Offices!$A$2:$FZ$601,B140,$C$5)&amp;"","")</f>
        <v/>
      </c>
      <c r="D140" s="17">
        <f>IFERROR(INDEX(Clay_Offices!$A$2:$FZ$601,B140,$C$7)&amp;"","")</f>
        <v/>
      </c>
      <c r="E140" s="17">
        <f>IFERROR(INDEX(Clay_Offices!$A$2:$FZ$601,B140,$C$8)&amp;"","")</f>
        <v/>
      </c>
      <c r="F140" s="17">
        <f>IF(C140="","",IF(COUNTIF(Office_Log!$A$2:$A$201,C140)&gt;0,"Y","N"))</f>
        <v/>
      </c>
      <c r="G140" s="17">
        <f>IF(OR(C140="",AND(LEFT(C140,6)="SAMPLE",Config!$B$19&lt;&gt;"Y")),"",IF(IFERROR(INDEX(Lists!$J$2:$J$15,MATCH(D140,Lists!$I$2:$I$15,0)),-1)=-1,"status '"&amp;D140&amp;"' is not a CONTRACTS status",IF(AND(D140="signed",COUNTIF(signed_offices!$W$2:$W$51,C140)=0),"status signed but no signed_offices row"&amp;IF(F140="N"," and no tracker row",""),IF(AND(IFERROR(INDEX(Lists!$J$2:$J$15,MATCH(D140,Lists!$I$2:$I$15,0)),-1)&gt;=6,F140="N"),"status "&amp;D140&amp;" but no tracker row",IF(AND(E140="Y",D140&lt;&gt;"do_not_contact"),"do_not_contact = Y but status is "&amp;D140,IF(AND(D140="do_not_contact",E140&lt;&gt;"Y"),"status do_not_contact but do_not_contact is not Y",""))))))</f>
        <v/>
      </c>
      <c r="I140" s="17" t="n">
        <v>119</v>
      </c>
      <c r="J140" s="17">
        <f>IFERROR(INDEX(Clay_Brands!$A$2:$FZ$601,I140,$D$5)&amp;"","")</f>
        <v/>
      </c>
      <c r="K140" s="17">
        <f>IFERROR(INDEX(Clay_Brands!$A$2:$FZ$601,I140,$D$7)&amp;"","")</f>
        <v/>
      </c>
      <c r="L140" s="17">
        <f>IFERROR(INDEX(Clay_Brands!$A$2:$FZ$601,I140,$D$8)&amp;"","")</f>
        <v/>
      </c>
      <c r="M140" s="17">
        <f>IF(J140="","",IF(COUNTIF(Brand_Log!$A$2:$A$201,J140)&gt;0,"Y","N"))</f>
        <v/>
      </c>
      <c r="N140" s="17">
        <f>IF(OR(J140="",AND(LEFT(J140,6)="SAMPLE",Config!$B$19&lt;&gt;"Y")),"",IF(IFERROR(INDEX(Lists!$J$2:$J$15,MATCH(K140,Lists!$I$2:$I$15,0)),-1)=-1,"status '"&amp;K140&amp;"' is not a CONTRACTS status",IF(AND(K140="paid",COUNTIF(paid_brands!$AC$2:$AC$51,J140)=0),"status paid but no paid_brands row"&amp;IF(M140="N"," and no tracker row",""),IF(AND(IFERROR(INDEX(Lists!$J$2:$J$15,MATCH(K140,Lists!$I$2:$I$15,0)),-1)&gt;=6,M140="N"),"status "&amp;K140&amp;" but no tracker row",IF(AND(L140="Y",K140&lt;&gt;"do_not_contact"),"do_not_contact = Y but status is "&amp;K140,IF(AND(K140="do_not_contact",L140&lt;&gt;"Y"),"status do_not_contact but do_not_contact is not Y",""))))))</f>
        <v/>
      </c>
    </row>
    <row r="141">
      <c r="B141" s="17" t="n">
        <v>120</v>
      </c>
      <c r="C141" s="17">
        <f>IFERROR(INDEX(Clay_Offices!$A$2:$FZ$601,B141,$C$5)&amp;"","")</f>
        <v/>
      </c>
      <c r="D141" s="17">
        <f>IFERROR(INDEX(Clay_Offices!$A$2:$FZ$601,B141,$C$7)&amp;"","")</f>
        <v/>
      </c>
      <c r="E141" s="17">
        <f>IFERROR(INDEX(Clay_Offices!$A$2:$FZ$601,B141,$C$8)&amp;"","")</f>
        <v/>
      </c>
      <c r="F141" s="17">
        <f>IF(C141="","",IF(COUNTIF(Office_Log!$A$2:$A$201,C141)&gt;0,"Y","N"))</f>
        <v/>
      </c>
      <c r="G141" s="17">
        <f>IF(OR(C141="",AND(LEFT(C141,6)="SAMPLE",Config!$B$19&lt;&gt;"Y")),"",IF(IFERROR(INDEX(Lists!$J$2:$J$15,MATCH(D141,Lists!$I$2:$I$15,0)),-1)=-1,"status '"&amp;D141&amp;"' is not a CONTRACTS status",IF(AND(D141="signed",COUNTIF(signed_offices!$W$2:$W$51,C141)=0),"status signed but no signed_offices row"&amp;IF(F141="N"," and no tracker row",""),IF(AND(IFERROR(INDEX(Lists!$J$2:$J$15,MATCH(D141,Lists!$I$2:$I$15,0)),-1)&gt;=6,F141="N"),"status "&amp;D141&amp;" but no tracker row",IF(AND(E141="Y",D141&lt;&gt;"do_not_contact"),"do_not_contact = Y but status is "&amp;D141,IF(AND(D141="do_not_contact",E141&lt;&gt;"Y"),"status do_not_contact but do_not_contact is not Y",""))))))</f>
        <v/>
      </c>
      <c r="I141" s="17" t="n">
        <v>120</v>
      </c>
      <c r="J141" s="17">
        <f>IFERROR(INDEX(Clay_Brands!$A$2:$FZ$601,I141,$D$5)&amp;"","")</f>
        <v/>
      </c>
      <c r="K141" s="17">
        <f>IFERROR(INDEX(Clay_Brands!$A$2:$FZ$601,I141,$D$7)&amp;"","")</f>
        <v/>
      </c>
      <c r="L141" s="17">
        <f>IFERROR(INDEX(Clay_Brands!$A$2:$FZ$601,I141,$D$8)&amp;"","")</f>
        <v/>
      </c>
      <c r="M141" s="17">
        <f>IF(J141="","",IF(COUNTIF(Brand_Log!$A$2:$A$201,J141)&gt;0,"Y","N"))</f>
        <v/>
      </c>
      <c r="N141" s="17">
        <f>IF(OR(J141="",AND(LEFT(J141,6)="SAMPLE",Config!$B$19&lt;&gt;"Y")),"",IF(IFERROR(INDEX(Lists!$J$2:$J$15,MATCH(K141,Lists!$I$2:$I$15,0)),-1)=-1,"status '"&amp;K141&amp;"' is not a CONTRACTS status",IF(AND(K141="paid",COUNTIF(paid_brands!$AC$2:$AC$51,J141)=0),"status paid but no paid_brands row"&amp;IF(M141="N"," and no tracker row",""),IF(AND(IFERROR(INDEX(Lists!$J$2:$J$15,MATCH(K141,Lists!$I$2:$I$15,0)),-1)&gt;=6,M141="N"),"status "&amp;K141&amp;" but no tracker row",IF(AND(L141="Y",K141&lt;&gt;"do_not_contact"),"do_not_contact = Y but status is "&amp;K141,IF(AND(K141="do_not_contact",L141&lt;&gt;"Y"),"status do_not_contact but do_not_contact is not Y",""))))))</f>
        <v/>
      </c>
    </row>
    <row r="142">
      <c r="B142" s="17" t="n">
        <v>121</v>
      </c>
      <c r="C142" s="17">
        <f>IFERROR(INDEX(Clay_Offices!$A$2:$FZ$601,B142,$C$5)&amp;"","")</f>
        <v/>
      </c>
      <c r="D142" s="17">
        <f>IFERROR(INDEX(Clay_Offices!$A$2:$FZ$601,B142,$C$7)&amp;"","")</f>
        <v/>
      </c>
      <c r="E142" s="17">
        <f>IFERROR(INDEX(Clay_Offices!$A$2:$FZ$601,B142,$C$8)&amp;"","")</f>
        <v/>
      </c>
      <c r="F142" s="17">
        <f>IF(C142="","",IF(COUNTIF(Office_Log!$A$2:$A$201,C142)&gt;0,"Y","N"))</f>
        <v/>
      </c>
      <c r="G142" s="17">
        <f>IF(OR(C142="",AND(LEFT(C142,6)="SAMPLE",Config!$B$19&lt;&gt;"Y")),"",IF(IFERROR(INDEX(Lists!$J$2:$J$15,MATCH(D142,Lists!$I$2:$I$15,0)),-1)=-1,"status '"&amp;D142&amp;"' is not a CONTRACTS status",IF(AND(D142="signed",COUNTIF(signed_offices!$W$2:$W$51,C142)=0),"status signed but no signed_offices row"&amp;IF(F142="N"," and no tracker row",""),IF(AND(IFERROR(INDEX(Lists!$J$2:$J$15,MATCH(D142,Lists!$I$2:$I$15,0)),-1)&gt;=6,F142="N"),"status "&amp;D142&amp;" but no tracker row",IF(AND(E142="Y",D142&lt;&gt;"do_not_contact"),"do_not_contact = Y but status is "&amp;D142,IF(AND(D142="do_not_contact",E142&lt;&gt;"Y"),"status do_not_contact but do_not_contact is not Y",""))))))</f>
        <v/>
      </c>
      <c r="I142" s="17" t="n">
        <v>121</v>
      </c>
      <c r="J142" s="17">
        <f>IFERROR(INDEX(Clay_Brands!$A$2:$FZ$601,I142,$D$5)&amp;"","")</f>
        <v/>
      </c>
      <c r="K142" s="17">
        <f>IFERROR(INDEX(Clay_Brands!$A$2:$FZ$601,I142,$D$7)&amp;"","")</f>
        <v/>
      </c>
      <c r="L142" s="17">
        <f>IFERROR(INDEX(Clay_Brands!$A$2:$FZ$601,I142,$D$8)&amp;"","")</f>
        <v/>
      </c>
      <c r="M142" s="17">
        <f>IF(J142="","",IF(COUNTIF(Brand_Log!$A$2:$A$201,J142)&gt;0,"Y","N"))</f>
        <v/>
      </c>
      <c r="N142" s="17">
        <f>IF(OR(J142="",AND(LEFT(J142,6)="SAMPLE",Config!$B$19&lt;&gt;"Y")),"",IF(IFERROR(INDEX(Lists!$J$2:$J$15,MATCH(K142,Lists!$I$2:$I$15,0)),-1)=-1,"status '"&amp;K142&amp;"' is not a CONTRACTS status",IF(AND(K142="paid",COUNTIF(paid_brands!$AC$2:$AC$51,J142)=0),"status paid but no paid_brands row"&amp;IF(M142="N"," and no tracker row",""),IF(AND(IFERROR(INDEX(Lists!$J$2:$J$15,MATCH(K142,Lists!$I$2:$I$15,0)),-1)&gt;=6,M142="N"),"status "&amp;K142&amp;" but no tracker row",IF(AND(L142="Y",K142&lt;&gt;"do_not_contact"),"do_not_contact = Y but status is "&amp;K142,IF(AND(K142="do_not_contact",L142&lt;&gt;"Y"),"status do_not_contact but do_not_contact is not Y",""))))))</f>
        <v/>
      </c>
    </row>
    <row r="143">
      <c r="B143" s="17" t="n">
        <v>122</v>
      </c>
      <c r="C143" s="17">
        <f>IFERROR(INDEX(Clay_Offices!$A$2:$FZ$601,B143,$C$5)&amp;"","")</f>
        <v/>
      </c>
      <c r="D143" s="17">
        <f>IFERROR(INDEX(Clay_Offices!$A$2:$FZ$601,B143,$C$7)&amp;"","")</f>
        <v/>
      </c>
      <c r="E143" s="17">
        <f>IFERROR(INDEX(Clay_Offices!$A$2:$FZ$601,B143,$C$8)&amp;"","")</f>
        <v/>
      </c>
      <c r="F143" s="17">
        <f>IF(C143="","",IF(COUNTIF(Office_Log!$A$2:$A$201,C143)&gt;0,"Y","N"))</f>
        <v/>
      </c>
      <c r="G143" s="17">
        <f>IF(OR(C143="",AND(LEFT(C143,6)="SAMPLE",Config!$B$19&lt;&gt;"Y")),"",IF(IFERROR(INDEX(Lists!$J$2:$J$15,MATCH(D143,Lists!$I$2:$I$15,0)),-1)=-1,"status '"&amp;D143&amp;"' is not a CONTRACTS status",IF(AND(D143="signed",COUNTIF(signed_offices!$W$2:$W$51,C143)=0),"status signed but no signed_offices row"&amp;IF(F143="N"," and no tracker row",""),IF(AND(IFERROR(INDEX(Lists!$J$2:$J$15,MATCH(D143,Lists!$I$2:$I$15,0)),-1)&gt;=6,F143="N"),"status "&amp;D143&amp;" but no tracker row",IF(AND(E143="Y",D143&lt;&gt;"do_not_contact"),"do_not_contact = Y but status is "&amp;D143,IF(AND(D143="do_not_contact",E143&lt;&gt;"Y"),"status do_not_contact but do_not_contact is not Y",""))))))</f>
        <v/>
      </c>
      <c r="I143" s="17" t="n">
        <v>122</v>
      </c>
      <c r="J143" s="17">
        <f>IFERROR(INDEX(Clay_Brands!$A$2:$FZ$601,I143,$D$5)&amp;"","")</f>
        <v/>
      </c>
      <c r="K143" s="17">
        <f>IFERROR(INDEX(Clay_Brands!$A$2:$FZ$601,I143,$D$7)&amp;"","")</f>
        <v/>
      </c>
      <c r="L143" s="17">
        <f>IFERROR(INDEX(Clay_Brands!$A$2:$FZ$601,I143,$D$8)&amp;"","")</f>
        <v/>
      </c>
      <c r="M143" s="17">
        <f>IF(J143="","",IF(COUNTIF(Brand_Log!$A$2:$A$201,J143)&gt;0,"Y","N"))</f>
        <v/>
      </c>
      <c r="N143" s="17">
        <f>IF(OR(J143="",AND(LEFT(J143,6)="SAMPLE",Config!$B$19&lt;&gt;"Y")),"",IF(IFERROR(INDEX(Lists!$J$2:$J$15,MATCH(K143,Lists!$I$2:$I$15,0)),-1)=-1,"status '"&amp;K143&amp;"' is not a CONTRACTS status",IF(AND(K143="paid",COUNTIF(paid_brands!$AC$2:$AC$51,J143)=0),"status paid but no paid_brands row"&amp;IF(M143="N"," and no tracker row",""),IF(AND(IFERROR(INDEX(Lists!$J$2:$J$15,MATCH(K143,Lists!$I$2:$I$15,0)),-1)&gt;=6,M143="N"),"status "&amp;K143&amp;" but no tracker row",IF(AND(L143="Y",K143&lt;&gt;"do_not_contact"),"do_not_contact = Y but status is "&amp;K143,IF(AND(K143="do_not_contact",L143&lt;&gt;"Y"),"status do_not_contact but do_not_contact is not Y",""))))))</f>
        <v/>
      </c>
    </row>
    <row r="144">
      <c r="B144" s="17" t="n">
        <v>123</v>
      </c>
      <c r="C144" s="17">
        <f>IFERROR(INDEX(Clay_Offices!$A$2:$FZ$601,B144,$C$5)&amp;"","")</f>
        <v/>
      </c>
      <c r="D144" s="17">
        <f>IFERROR(INDEX(Clay_Offices!$A$2:$FZ$601,B144,$C$7)&amp;"","")</f>
        <v/>
      </c>
      <c r="E144" s="17">
        <f>IFERROR(INDEX(Clay_Offices!$A$2:$FZ$601,B144,$C$8)&amp;"","")</f>
        <v/>
      </c>
      <c r="F144" s="17">
        <f>IF(C144="","",IF(COUNTIF(Office_Log!$A$2:$A$201,C144)&gt;0,"Y","N"))</f>
        <v/>
      </c>
      <c r="G144" s="17">
        <f>IF(OR(C144="",AND(LEFT(C144,6)="SAMPLE",Config!$B$19&lt;&gt;"Y")),"",IF(IFERROR(INDEX(Lists!$J$2:$J$15,MATCH(D144,Lists!$I$2:$I$15,0)),-1)=-1,"status '"&amp;D144&amp;"' is not a CONTRACTS status",IF(AND(D144="signed",COUNTIF(signed_offices!$W$2:$W$51,C144)=0),"status signed but no signed_offices row"&amp;IF(F144="N"," and no tracker row",""),IF(AND(IFERROR(INDEX(Lists!$J$2:$J$15,MATCH(D144,Lists!$I$2:$I$15,0)),-1)&gt;=6,F144="N"),"status "&amp;D144&amp;" but no tracker row",IF(AND(E144="Y",D144&lt;&gt;"do_not_contact"),"do_not_contact = Y but status is "&amp;D144,IF(AND(D144="do_not_contact",E144&lt;&gt;"Y"),"status do_not_contact but do_not_contact is not Y",""))))))</f>
        <v/>
      </c>
      <c r="I144" s="17" t="n">
        <v>123</v>
      </c>
      <c r="J144" s="17">
        <f>IFERROR(INDEX(Clay_Brands!$A$2:$FZ$601,I144,$D$5)&amp;"","")</f>
        <v/>
      </c>
      <c r="K144" s="17">
        <f>IFERROR(INDEX(Clay_Brands!$A$2:$FZ$601,I144,$D$7)&amp;"","")</f>
        <v/>
      </c>
      <c r="L144" s="17">
        <f>IFERROR(INDEX(Clay_Brands!$A$2:$FZ$601,I144,$D$8)&amp;"","")</f>
        <v/>
      </c>
      <c r="M144" s="17">
        <f>IF(J144="","",IF(COUNTIF(Brand_Log!$A$2:$A$201,J144)&gt;0,"Y","N"))</f>
        <v/>
      </c>
      <c r="N144" s="17">
        <f>IF(OR(J144="",AND(LEFT(J144,6)="SAMPLE",Config!$B$19&lt;&gt;"Y")),"",IF(IFERROR(INDEX(Lists!$J$2:$J$15,MATCH(K144,Lists!$I$2:$I$15,0)),-1)=-1,"status '"&amp;K144&amp;"' is not a CONTRACTS status",IF(AND(K144="paid",COUNTIF(paid_brands!$AC$2:$AC$51,J144)=0),"status paid but no paid_brands row"&amp;IF(M144="N"," and no tracker row",""),IF(AND(IFERROR(INDEX(Lists!$J$2:$J$15,MATCH(K144,Lists!$I$2:$I$15,0)),-1)&gt;=6,M144="N"),"status "&amp;K144&amp;" but no tracker row",IF(AND(L144="Y",K144&lt;&gt;"do_not_contact"),"do_not_contact = Y but status is "&amp;K144,IF(AND(K144="do_not_contact",L144&lt;&gt;"Y"),"status do_not_contact but do_not_contact is not Y",""))))))</f>
        <v/>
      </c>
    </row>
    <row r="145">
      <c r="B145" s="17" t="n">
        <v>124</v>
      </c>
      <c r="C145" s="17">
        <f>IFERROR(INDEX(Clay_Offices!$A$2:$FZ$601,B145,$C$5)&amp;"","")</f>
        <v/>
      </c>
      <c r="D145" s="17">
        <f>IFERROR(INDEX(Clay_Offices!$A$2:$FZ$601,B145,$C$7)&amp;"","")</f>
        <v/>
      </c>
      <c r="E145" s="17">
        <f>IFERROR(INDEX(Clay_Offices!$A$2:$FZ$601,B145,$C$8)&amp;"","")</f>
        <v/>
      </c>
      <c r="F145" s="17">
        <f>IF(C145="","",IF(COUNTIF(Office_Log!$A$2:$A$201,C145)&gt;0,"Y","N"))</f>
        <v/>
      </c>
      <c r="G145" s="17">
        <f>IF(OR(C145="",AND(LEFT(C145,6)="SAMPLE",Config!$B$19&lt;&gt;"Y")),"",IF(IFERROR(INDEX(Lists!$J$2:$J$15,MATCH(D145,Lists!$I$2:$I$15,0)),-1)=-1,"status '"&amp;D145&amp;"' is not a CONTRACTS status",IF(AND(D145="signed",COUNTIF(signed_offices!$W$2:$W$51,C145)=0),"status signed but no signed_offices row"&amp;IF(F145="N"," and no tracker row",""),IF(AND(IFERROR(INDEX(Lists!$J$2:$J$15,MATCH(D145,Lists!$I$2:$I$15,0)),-1)&gt;=6,F145="N"),"status "&amp;D145&amp;" but no tracker row",IF(AND(E145="Y",D145&lt;&gt;"do_not_contact"),"do_not_contact = Y but status is "&amp;D145,IF(AND(D145="do_not_contact",E145&lt;&gt;"Y"),"status do_not_contact but do_not_contact is not Y",""))))))</f>
        <v/>
      </c>
      <c r="I145" s="17" t="n">
        <v>124</v>
      </c>
      <c r="J145" s="17">
        <f>IFERROR(INDEX(Clay_Brands!$A$2:$FZ$601,I145,$D$5)&amp;"","")</f>
        <v/>
      </c>
      <c r="K145" s="17">
        <f>IFERROR(INDEX(Clay_Brands!$A$2:$FZ$601,I145,$D$7)&amp;"","")</f>
        <v/>
      </c>
      <c r="L145" s="17">
        <f>IFERROR(INDEX(Clay_Brands!$A$2:$FZ$601,I145,$D$8)&amp;"","")</f>
        <v/>
      </c>
      <c r="M145" s="17">
        <f>IF(J145="","",IF(COUNTIF(Brand_Log!$A$2:$A$201,J145)&gt;0,"Y","N"))</f>
        <v/>
      </c>
      <c r="N145" s="17">
        <f>IF(OR(J145="",AND(LEFT(J145,6)="SAMPLE",Config!$B$19&lt;&gt;"Y")),"",IF(IFERROR(INDEX(Lists!$J$2:$J$15,MATCH(K145,Lists!$I$2:$I$15,0)),-1)=-1,"status '"&amp;K145&amp;"' is not a CONTRACTS status",IF(AND(K145="paid",COUNTIF(paid_brands!$AC$2:$AC$51,J145)=0),"status paid but no paid_brands row"&amp;IF(M145="N"," and no tracker row",""),IF(AND(IFERROR(INDEX(Lists!$J$2:$J$15,MATCH(K145,Lists!$I$2:$I$15,0)),-1)&gt;=6,M145="N"),"status "&amp;K145&amp;" but no tracker row",IF(AND(L145="Y",K145&lt;&gt;"do_not_contact"),"do_not_contact = Y but status is "&amp;K145,IF(AND(K145="do_not_contact",L145&lt;&gt;"Y"),"status do_not_contact but do_not_contact is not Y",""))))))</f>
        <v/>
      </c>
    </row>
    <row r="146">
      <c r="B146" s="17" t="n">
        <v>125</v>
      </c>
      <c r="C146" s="17">
        <f>IFERROR(INDEX(Clay_Offices!$A$2:$FZ$601,B146,$C$5)&amp;"","")</f>
        <v/>
      </c>
      <c r="D146" s="17">
        <f>IFERROR(INDEX(Clay_Offices!$A$2:$FZ$601,B146,$C$7)&amp;"","")</f>
        <v/>
      </c>
      <c r="E146" s="17">
        <f>IFERROR(INDEX(Clay_Offices!$A$2:$FZ$601,B146,$C$8)&amp;"","")</f>
        <v/>
      </c>
      <c r="F146" s="17">
        <f>IF(C146="","",IF(COUNTIF(Office_Log!$A$2:$A$201,C146)&gt;0,"Y","N"))</f>
        <v/>
      </c>
      <c r="G146" s="17">
        <f>IF(OR(C146="",AND(LEFT(C146,6)="SAMPLE",Config!$B$19&lt;&gt;"Y")),"",IF(IFERROR(INDEX(Lists!$J$2:$J$15,MATCH(D146,Lists!$I$2:$I$15,0)),-1)=-1,"status '"&amp;D146&amp;"' is not a CONTRACTS status",IF(AND(D146="signed",COUNTIF(signed_offices!$W$2:$W$51,C146)=0),"status signed but no signed_offices row"&amp;IF(F146="N"," and no tracker row",""),IF(AND(IFERROR(INDEX(Lists!$J$2:$J$15,MATCH(D146,Lists!$I$2:$I$15,0)),-1)&gt;=6,F146="N"),"status "&amp;D146&amp;" but no tracker row",IF(AND(E146="Y",D146&lt;&gt;"do_not_contact"),"do_not_contact = Y but status is "&amp;D146,IF(AND(D146="do_not_contact",E146&lt;&gt;"Y"),"status do_not_contact but do_not_contact is not Y",""))))))</f>
        <v/>
      </c>
      <c r="I146" s="17" t="n">
        <v>125</v>
      </c>
      <c r="J146" s="17">
        <f>IFERROR(INDEX(Clay_Brands!$A$2:$FZ$601,I146,$D$5)&amp;"","")</f>
        <v/>
      </c>
      <c r="K146" s="17">
        <f>IFERROR(INDEX(Clay_Brands!$A$2:$FZ$601,I146,$D$7)&amp;"","")</f>
        <v/>
      </c>
      <c r="L146" s="17">
        <f>IFERROR(INDEX(Clay_Brands!$A$2:$FZ$601,I146,$D$8)&amp;"","")</f>
        <v/>
      </c>
      <c r="M146" s="17">
        <f>IF(J146="","",IF(COUNTIF(Brand_Log!$A$2:$A$201,J146)&gt;0,"Y","N"))</f>
        <v/>
      </c>
      <c r="N146" s="17">
        <f>IF(OR(J146="",AND(LEFT(J146,6)="SAMPLE",Config!$B$19&lt;&gt;"Y")),"",IF(IFERROR(INDEX(Lists!$J$2:$J$15,MATCH(K146,Lists!$I$2:$I$15,0)),-1)=-1,"status '"&amp;K146&amp;"' is not a CONTRACTS status",IF(AND(K146="paid",COUNTIF(paid_brands!$AC$2:$AC$51,J146)=0),"status paid but no paid_brands row"&amp;IF(M146="N"," and no tracker row",""),IF(AND(IFERROR(INDEX(Lists!$J$2:$J$15,MATCH(K146,Lists!$I$2:$I$15,0)),-1)&gt;=6,M146="N"),"status "&amp;K146&amp;" but no tracker row",IF(AND(L146="Y",K146&lt;&gt;"do_not_contact"),"do_not_contact = Y but status is "&amp;K146,IF(AND(K146="do_not_contact",L146&lt;&gt;"Y"),"status do_not_contact but do_not_contact is not Y",""))))))</f>
        <v/>
      </c>
    </row>
    <row r="147">
      <c r="B147" s="17" t="n">
        <v>126</v>
      </c>
      <c r="C147" s="17">
        <f>IFERROR(INDEX(Clay_Offices!$A$2:$FZ$601,B147,$C$5)&amp;"","")</f>
        <v/>
      </c>
      <c r="D147" s="17">
        <f>IFERROR(INDEX(Clay_Offices!$A$2:$FZ$601,B147,$C$7)&amp;"","")</f>
        <v/>
      </c>
      <c r="E147" s="17">
        <f>IFERROR(INDEX(Clay_Offices!$A$2:$FZ$601,B147,$C$8)&amp;"","")</f>
        <v/>
      </c>
      <c r="F147" s="17">
        <f>IF(C147="","",IF(COUNTIF(Office_Log!$A$2:$A$201,C147)&gt;0,"Y","N"))</f>
        <v/>
      </c>
      <c r="G147" s="17">
        <f>IF(OR(C147="",AND(LEFT(C147,6)="SAMPLE",Config!$B$19&lt;&gt;"Y")),"",IF(IFERROR(INDEX(Lists!$J$2:$J$15,MATCH(D147,Lists!$I$2:$I$15,0)),-1)=-1,"status '"&amp;D147&amp;"' is not a CONTRACTS status",IF(AND(D147="signed",COUNTIF(signed_offices!$W$2:$W$51,C147)=0),"status signed but no signed_offices row"&amp;IF(F147="N"," and no tracker row",""),IF(AND(IFERROR(INDEX(Lists!$J$2:$J$15,MATCH(D147,Lists!$I$2:$I$15,0)),-1)&gt;=6,F147="N"),"status "&amp;D147&amp;" but no tracker row",IF(AND(E147="Y",D147&lt;&gt;"do_not_contact"),"do_not_contact = Y but status is "&amp;D147,IF(AND(D147="do_not_contact",E147&lt;&gt;"Y"),"status do_not_contact but do_not_contact is not Y",""))))))</f>
        <v/>
      </c>
      <c r="I147" s="17" t="n">
        <v>126</v>
      </c>
      <c r="J147" s="17">
        <f>IFERROR(INDEX(Clay_Brands!$A$2:$FZ$601,I147,$D$5)&amp;"","")</f>
        <v/>
      </c>
      <c r="K147" s="17">
        <f>IFERROR(INDEX(Clay_Brands!$A$2:$FZ$601,I147,$D$7)&amp;"","")</f>
        <v/>
      </c>
      <c r="L147" s="17">
        <f>IFERROR(INDEX(Clay_Brands!$A$2:$FZ$601,I147,$D$8)&amp;"","")</f>
        <v/>
      </c>
      <c r="M147" s="17">
        <f>IF(J147="","",IF(COUNTIF(Brand_Log!$A$2:$A$201,J147)&gt;0,"Y","N"))</f>
        <v/>
      </c>
      <c r="N147" s="17">
        <f>IF(OR(J147="",AND(LEFT(J147,6)="SAMPLE",Config!$B$19&lt;&gt;"Y")),"",IF(IFERROR(INDEX(Lists!$J$2:$J$15,MATCH(K147,Lists!$I$2:$I$15,0)),-1)=-1,"status '"&amp;K147&amp;"' is not a CONTRACTS status",IF(AND(K147="paid",COUNTIF(paid_brands!$AC$2:$AC$51,J147)=0),"status paid but no paid_brands row"&amp;IF(M147="N"," and no tracker row",""),IF(AND(IFERROR(INDEX(Lists!$J$2:$J$15,MATCH(K147,Lists!$I$2:$I$15,0)),-1)&gt;=6,M147="N"),"status "&amp;K147&amp;" but no tracker row",IF(AND(L147="Y",K147&lt;&gt;"do_not_contact"),"do_not_contact = Y but status is "&amp;K147,IF(AND(K147="do_not_contact",L147&lt;&gt;"Y"),"status do_not_contact but do_not_contact is not Y",""))))))</f>
        <v/>
      </c>
    </row>
    <row r="148">
      <c r="B148" s="17" t="n">
        <v>127</v>
      </c>
      <c r="C148" s="17">
        <f>IFERROR(INDEX(Clay_Offices!$A$2:$FZ$601,B148,$C$5)&amp;"","")</f>
        <v/>
      </c>
      <c r="D148" s="17">
        <f>IFERROR(INDEX(Clay_Offices!$A$2:$FZ$601,B148,$C$7)&amp;"","")</f>
        <v/>
      </c>
      <c r="E148" s="17">
        <f>IFERROR(INDEX(Clay_Offices!$A$2:$FZ$601,B148,$C$8)&amp;"","")</f>
        <v/>
      </c>
      <c r="F148" s="17">
        <f>IF(C148="","",IF(COUNTIF(Office_Log!$A$2:$A$201,C148)&gt;0,"Y","N"))</f>
        <v/>
      </c>
      <c r="G148" s="17">
        <f>IF(OR(C148="",AND(LEFT(C148,6)="SAMPLE",Config!$B$19&lt;&gt;"Y")),"",IF(IFERROR(INDEX(Lists!$J$2:$J$15,MATCH(D148,Lists!$I$2:$I$15,0)),-1)=-1,"status '"&amp;D148&amp;"' is not a CONTRACTS status",IF(AND(D148="signed",COUNTIF(signed_offices!$W$2:$W$51,C148)=0),"status signed but no signed_offices row"&amp;IF(F148="N"," and no tracker row",""),IF(AND(IFERROR(INDEX(Lists!$J$2:$J$15,MATCH(D148,Lists!$I$2:$I$15,0)),-1)&gt;=6,F148="N"),"status "&amp;D148&amp;" but no tracker row",IF(AND(E148="Y",D148&lt;&gt;"do_not_contact"),"do_not_contact = Y but status is "&amp;D148,IF(AND(D148="do_not_contact",E148&lt;&gt;"Y"),"status do_not_contact but do_not_contact is not Y",""))))))</f>
        <v/>
      </c>
      <c r="I148" s="17" t="n">
        <v>127</v>
      </c>
      <c r="J148" s="17">
        <f>IFERROR(INDEX(Clay_Brands!$A$2:$FZ$601,I148,$D$5)&amp;"","")</f>
        <v/>
      </c>
      <c r="K148" s="17">
        <f>IFERROR(INDEX(Clay_Brands!$A$2:$FZ$601,I148,$D$7)&amp;"","")</f>
        <v/>
      </c>
      <c r="L148" s="17">
        <f>IFERROR(INDEX(Clay_Brands!$A$2:$FZ$601,I148,$D$8)&amp;"","")</f>
        <v/>
      </c>
      <c r="M148" s="17">
        <f>IF(J148="","",IF(COUNTIF(Brand_Log!$A$2:$A$201,J148)&gt;0,"Y","N"))</f>
        <v/>
      </c>
      <c r="N148" s="17">
        <f>IF(OR(J148="",AND(LEFT(J148,6)="SAMPLE",Config!$B$19&lt;&gt;"Y")),"",IF(IFERROR(INDEX(Lists!$J$2:$J$15,MATCH(K148,Lists!$I$2:$I$15,0)),-1)=-1,"status '"&amp;K148&amp;"' is not a CONTRACTS status",IF(AND(K148="paid",COUNTIF(paid_brands!$AC$2:$AC$51,J148)=0),"status paid but no paid_brands row"&amp;IF(M148="N"," and no tracker row",""),IF(AND(IFERROR(INDEX(Lists!$J$2:$J$15,MATCH(K148,Lists!$I$2:$I$15,0)),-1)&gt;=6,M148="N"),"status "&amp;K148&amp;" but no tracker row",IF(AND(L148="Y",K148&lt;&gt;"do_not_contact"),"do_not_contact = Y but status is "&amp;K148,IF(AND(K148="do_not_contact",L148&lt;&gt;"Y"),"status do_not_contact but do_not_contact is not Y",""))))))</f>
        <v/>
      </c>
    </row>
    <row r="149">
      <c r="B149" s="17" t="n">
        <v>128</v>
      </c>
      <c r="C149" s="17">
        <f>IFERROR(INDEX(Clay_Offices!$A$2:$FZ$601,B149,$C$5)&amp;"","")</f>
        <v/>
      </c>
      <c r="D149" s="17">
        <f>IFERROR(INDEX(Clay_Offices!$A$2:$FZ$601,B149,$C$7)&amp;"","")</f>
        <v/>
      </c>
      <c r="E149" s="17">
        <f>IFERROR(INDEX(Clay_Offices!$A$2:$FZ$601,B149,$C$8)&amp;"","")</f>
        <v/>
      </c>
      <c r="F149" s="17">
        <f>IF(C149="","",IF(COUNTIF(Office_Log!$A$2:$A$201,C149)&gt;0,"Y","N"))</f>
        <v/>
      </c>
      <c r="G149" s="17">
        <f>IF(OR(C149="",AND(LEFT(C149,6)="SAMPLE",Config!$B$19&lt;&gt;"Y")),"",IF(IFERROR(INDEX(Lists!$J$2:$J$15,MATCH(D149,Lists!$I$2:$I$15,0)),-1)=-1,"status '"&amp;D149&amp;"' is not a CONTRACTS status",IF(AND(D149="signed",COUNTIF(signed_offices!$W$2:$W$51,C149)=0),"status signed but no signed_offices row"&amp;IF(F149="N"," and no tracker row",""),IF(AND(IFERROR(INDEX(Lists!$J$2:$J$15,MATCH(D149,Lists!$I$2:$I$15,0)),-1)&gt;=6,F149="N"),"status "&amp;D149&amp;" but no tracker row",IF(AND(E149="Y",D149&lt;&gt;"do_not_contact"),"do_not_contact = Y but status is "&amp;D149,IF(AND(D149="do_not_contact",E149&lt;&gt;"Y"),"status do_not_contact but do_not_contact is not Y",""))))))</f>
        <v/>
      </c>
      <c r="I149" s="17" t="n">
        <v>128</v>
      </c>
      <c r="J149" s="17">
        <f>IFERROR(INDEX(Clay_Brands!$A$2:$FZ$601,I149,$D$5)&amp;"","")</f>
        <v/>
      </c>
      <c r="K149" s="17">
        <f>IFERROR(INDEX(Clay_Brands!$A$2:$FZ$601,I149,$D$7)&amp;"","")</f>
        <v/>
      </c>
      <c r="L149" s="17">
        <f>IFERROR(INDEX(Clay_Brands!$A$2:$FZ$601,I149,$D$8)&amp;"","")</f>
        <v/>
      </c>
      <c r="M149" s="17">
        <f>IF(J149="","",IF(COUNTIF(Brand_Log!$A$2:$A$201,J149)&gt;0,"Y","N"))</f>
        <v/>
      </c>
      <c r="N149" s="17">
        <f>IF(OR(J149="",AND(LEFT(J149,6)="SAMPLE",Config!$B$19&lt;&gt;"Y")),"",IF(IFERROR(INDEX(Lists!$J$2:$J$15,MATCH(K149,Lists!$I$2:$I$15,0)),-1)=-1,"status '"&amp;K149&amp;"' is not a CONTRACTS status",IF(AND(K149="paid",COUNTIF(paid_brands!$AC$2:$AC$51,J149)=0),"status paid but no paid_brands row"&amp;IF(M149="N"," and no tracker row",""),IF(AND(IFERROR(INDEX(Lists!$J$2:$J$15,MATCH(K149,Lists!$I$2:$I$15,0)),-1)&gt;=6,M149="N"),"status "&amp;K149&amp;" but no tracker row",IF(AND(L149="Y",K149&lt;&gt;"do_not_contact"),"do_not_contact = Y but status is "&amp;K149,IF(AND(K149="do_not_contact",L149&lt;&gt;"Y"),"status do_not_contact but do_not_contact is not Y",""))))))</f>
        <v/>
      </c>
    </row>
    <row r="150">
      <c r="B150" s="17" t="n">
        <v>129</v>
      </c>
      <c r="C150" s="17">
        <f>IFERROR(INDEX(Clay_Offices!$A$2:$FZ$601,B150,$C$5)&amp;"","")</f>
        <v/>
      </c>
      <c r="D150" s="17">
        <f>IFERROR(INDEX(Clay_Offices!$A$2:$FZ$601,B150,$C$7)&amp;"","")</f>
        <v/>
      </c>
      <c r="E150" s="17">
        <f>IFERROR(INDEX(Clay_Offices!$A$2:$FZ$601,B150,$C$8)&amp;"","")</f>
        <v/>
      </c>
      <c r="F150" s="17">
        <f>IF(C150="","",IF(COUNTIF(Office_Log!$A$2:$A$201,C150)&gt;0,"Y","N"))</f>
        <v/>
      </c>
      <c r="G150" s="17">
        <f>IF(OR(C150="",AND(LEFT(C150,6)="SAMPLE",Config!$B$19&lt;&gt;"Y")),"",IF(IFERROR(INDEX(Lists!$J$2:$J$15,MATCH(D150,Lists!$I$2:$I$15,0)),-1)=-1,"status '"&amp;D150&amp;"' is not a CONTRACTS status",IF(AND(D150="signed",COUNTIF(signed_offices!$W$2:$W$51,C150)=0),"status signed but no signed_offices row"&amp;IF(F150="N"," and no tracker row",""),IF(AND(IFERROR(INDEX(Lists!$J$2:$J$15,MATCH(D150,Lists!$I$2:$I$15,0)),-1)&gt;=6,F150="N"),"status "&amp;D150&amp;" but no tracker row",IF(AND(E150="Y",D150&lt;&gt;"do_not_contact"),"do_not_contact = Y but status is "&amp;D150,IF(AND(D150="do_not_contact",E150&lt;&gt;"Y"),"status do_not_contact but do_not_contact is not Y",""))))))</f>
        <v/>
      </c>
      <c r="I150" s="17" t="n">
        <v>129</v>
      </c>
      <c r="J150" s="17">
        <f>IFERROR(INDEX(Clay_Brands!$A$2:$FZ$601,I150,$D$5)&amp;"","")</f>
        <v/>
      </c>
      <c r="K150" s="17">
        <f>IFERROR(INDEX(Clay_Brands!$A$2:$FZ$601,I150,$D$7)&amp;"","")</f>
        <v/>
      </c>
      <c r="L150" s="17">
        <f>IFERROR(INDEX(Clay_Brands!$A$2:$FZ$601,I150,$D$8)&amp;"","")</f>
        <v/>
      </c>
      <c r="M150" s="17">
        <f>IF(J150="","",IF(COUNTIF(Brand_Log!$A$2:$A$201,J150)&gt;0,"Y","N"))</f>
        <v/>
      </c>
      <c r="N150" s="17">
        <f>IF(OR(J150="",AND(LEFT(J150,6)="SAMPLE",Config!$B$19&lt;&gt;"Y")),"",IF(IFERROR(INDEX(Lists!$J$2:$J$15,MATCH(K150,Lists!$I$2:$I$15,0)),-1)=-1,"status '"&amp;K150&amp;"' is not a CONTRACTS status",IF(AND(K150="paid",COUNTIF(paid_brands!$AC$2:$AC$51,J150)=0),"status paid but no paid_brands row"&amp;IF(M150="N"," and no tracker row",""),IF(AND(IFERROR(INDEX(Lists!$J$2:$J$15,MATCH(K150,Lists!$I$2:$I$15,0)),-1)&gt;=6,M150="N"),"status "&amp;K150&amp;" but no tracker row",IF(AND(L150="Y",K150&lt;&gt;"do_not_contact"),"do_not_contact = Y but status is "&amp;K150,IF(AND(K150="do_not_contact",L150&lt;&gt;"Y"),"status do_not_contact but do_not_contact is not Y",""))))))</f>
        <v/>
      </c>
    </row>
    <row r="151">
      <c r="B151" s="17" t="n">
        <v>130</v>
      </c>
      <c r="C151" s="17">
        <f>IFERROR(INDEX(Clay_Offices!$A$2:$FZ$601,B151,$C$5)&amp;"","")</f>
        <v/>
      </c>
      <c r="D151" s="17">
        <f>IFERROR(INDEX(Clay_Offices!$A$2:$FZ$601,B151,$C$7)&amp;"","")</f>
        <v/>
      </c>
      <c r="E151" s="17">
        <f>IFERROR(INDEX(Clay_Offices!$A$2:$FZ$601,B151,$C$8)&amp;"","")</f>
        <v/>
      </c>
      <c r="F151" s="17">
        <f>IF(C151="","",IF(COUNTIF(Office_Log!$A$2:$A$201,C151)&gt;0,"Y","N"))</f>
        <v/>
      </c>
      <c r="G151" s="17">
        <f>IF(OR(C151="",AND(LEFT(C151,6)="SAMPLE",Config!$B$19&lt;&gt;"Y")),"",IF(IFERROR(INDEX(Lists!$J$2:$J$15,MATCH(D151,Lists!$I$2:$I$15,0)),-1)=-1,"status '"&amp;D151&amp;"' is not a CONTRACTS status",IF(AND(D151="signed",COUNTIF(signed_offices!$W$2:$W$51,C151)=0),"status signed but no signed_offices row"&amp;IF(F151="N"," and no tracker row",""),IF(AND(IFERROR(INDEX(Lists!$J$2:$J$15,MATCH(D151,Lists!$I$2:$I$15,0)),-1)&gt;=6,F151="N"),"status "&amp;D151&amp;" but no tracker row",IF(AND(E151="Y",D151&lt;&gt;"do_not_contact"),"do_not_contact = Y but status is "&amp;D151,IF(AND(D151="do_not_contact",E151&lt;&gt;"Y"),"status do_not_contact but do_not_contact is not Y",""))))))</f>
        <v/>
      </c>
      <c r="I151" s="17" t="n">
        <v>130</v>
      </c>
      <c r="J151" s="17">
        <f>IFERROR(INDEX(Clay_Brands!$A$2:$FZ$601,I151,$D$5)&amp;"","")</f>
        <v/>
      </c>
      <c r="K151" s="17">
        <f>IFERROR(INDEX(Clay_Brands!$A$2:$FZ$601,I151,$D$7)&amp;"","")</f>
        <v/>
      </c>
      <c r="L151" s="17">
        <f>IFERROR(INDEX(Clay_Brands!$A$2:$FZ$601,I151,$D$8)&amp;"","")</f>
        <v/>
      </c>
      <c r="M151" s="17">
        <f>IF(J151="","",IF(COUNTIF(Brand_Log!$A$2:$A$201,J151)&gt;0,"Y","N"))</f>
        <v/>
      </c>
      <c r="N151" s="17">
        <f>IF(OR(J151="",AND(LEFT(J151,6)="SAMPLE",Config!$B$19&lt;&gt;"Y")),"",IF(IFERROR(INDEX(Lists!$J$2:$J$15,MATCH(K151,Lists!$I$2:$I$15,0)),-1)=-1,"status '"&amp;K151&amp;"' is not a CONTRACTS status",IF(AND(K151="paid",COUNTIF(paid_brands!$AC$2:$AC$51,J151)=0),"status paid but no paid_brands row"&amp;IF(M151="N"," and no tracker row",""),IF(AND(IFERROR(INDEX(Lists!$J$2:$J$15,MATCH(K151,Lists!$I$2:$I$15,0)),-1)&gt;=6,M151="N"),"status "&amp;K151&amp;" but no tracker row",IF(AND(L151="Y",K151&lt;&gt;"do_not_contact"),"do_not_contact = Y but status is "&amp;K151,IF(AND(K151="do_not_contact",L151&lt;&gt;"Y"),"status do_not_contact but do_not_contact is not Y",""))))))</f>
        <v/>
      </c>
    </row>
    <row r="152">
      <c r="B152" s="17" t="n">
        <v>131</v>
      </c>
      <c r="C152" s="17">
        <f>IFERROR(INDEX(Clay_Offices!$A$2:$FZ$601,B152,$C$5)&amp;"","")</f>
        <v/>
      </c>
      <c r="D152" s="17">
        <f>IFERROR(INDEX(Clay_Offices!$A$2:$FZ$601,B152,$C$7)&amp;"","")</f>
        <v/>
      </c>
      <c r="E152" s="17">
        <f>IFERROR(INDEX(Clay_Offices!$A$2:$FZ$601,B152,$C$8)&amp;"","")</f>
        <v/>
      </c>
      <c r="F152" s="17">
        <f>IF(C152="","",IF(COUNTIF(Office_Log!$A$2:$A$201,C152)&gt;0,"Y","N"))</f>
        <v/>
      </c>
      <c r="G152" s="17">
        <f>IF(OR(C152="",AND(LEFT(C152,6)="SAMPLE",Config!$B$19&lt;&gt;"Y")),"",IF(IFERROR(INDEX(Lists!$J$2:$J$15,MATCH(D152,Lists!$I$2:$I$15,0)),-1)=-1,"status '"&amp;D152&amp;"' is not a CONTRACTS status",IF(AND(D152="signed",COUNTIF(signed_offices!$W$2:$W$51,C152)=0),"status signed but no signed_offices row"&amp;IF(F152="N"," and no tracker row",""),IF(AND(IFERROR(INDEX(Lists!$J$2:$J$15,MATCH(D152,Lists!$I$2:$I$15,0)),-1)&gt;=6,F152="N"),"status "&amp;D152&amp;" but no tracker row",IF(AND(E152="Y",D152&lt;&gt;"do_not_contact"),"do_not_contact = Y but status is "&amp;D152,IF(AND(D152="do_not_contact",E152&lt;&gt;"Y"),"status do_not_contact but do_not_contact is not Y",""))))))</f>
        <v/>
      </c>
      <c r="I152" s="17" t="n">
        <v>131</v>
      </c>
      <c r="J152" s="17">
        <f>IFERROR(INDEX(Clay_Brands!$A$2:$FZ$601,I152,$D$5)&amp;"","")</f>
        <v/>
      </c>
      <c r="K152" s="17">
        <f>IFERROR(INDEX(Clay_Brands!$A$2:$FZ$601,I152,$D$7)&amp;"","")</f>
        <v/>
      </c>
      <c r="L152" s="17">
        <f>IFERROR(INDEX(Clay_Brands!$A$2:$FZ$601,I152,$D$8)&amp;"","")</f>
        <v/>
      </c>
      <c r="M152" s="17">
        <f>IF(J152="","",IF(COUNTIF(Brand_Log!$A$2:$A$201,J152)&gt;0,"Y","N"))</f>
        <v/>
      </c>
      <c r="N152" s="17">
        <f>IF(OR(J152="",AND(LEFT(J152,6)="SAMPLE",Config!$B$19&lt;&gt;"Y")),"",IF(IFERROR(INDEX(Lists!$J$2:$J$15,MATCH(K152,Lists!$I$2:$I$15,0)),-1)=-1,"status '"&amp;K152&amp;"' is not a CONTRACTS status",IF(AND(K152="paid",COUNTIF(paid_brands!$AC$2:$AC$51,J152)=0),"status paid but no paid_brands row"&amp;IF(M152="N"," and no tracker row",""),IF(AND(IFERROR(INDEX(Lists!$J$2:$J$15,MATCH(K152,Lists!$I$2:$I$15,0)),-1)&gt;=6,M152="N"),"status "&amp;K152&amp;" but no tracker row",IF(AND(L152="Y",K152&lt;&gt;"do_not_contact"),"do_not_contact = Y but status is "&amp;K152,IF(AND(K152="do_not_contact",L152&lt;&gt;"Y"),"status do_not_contact but do_not_contact is not Y",""))))))</f>
        <v/>
      </c>
    </row>
    <row r="153">
      <c r="B153" s="17" t="n">
        <v>132</v>
      </c>
      <c r="C153" s="17">
        <f>IFERROR(INDEX(Clay_Offices!$A$2:$FZ$601,B153,$C$5)&amp;"","")</f>
        <v/>
      </c>
      <c r="D153" s="17">
        <f>IFERROR(INDEX(Clay_Offices!$A$2:$FZ$601,B153,$C$7)&amp;"","")</f>
        <v/>
      </c>
      <c r="E153" s="17">
        <f>IFERROR(INDEX(Clay_Offices!$A$2:$FZ$601,B153,$C$8)&amp;"","")</f>
        <v/>
      </c>
      <c r="F153" s="17">
        <f>IF(C153="","",IF(COUNTIF(Office_Log!$A$2:$A$201,C153)&gt;0,"Y","N"))</f>
        <v/>
      </c>
      <c r="G153" s="17">
        <f>IF(OR(C153="",AND(LEFT(C153,6)="SAMPLE",Config!$B$19&lt;&gt;"Y")),"",IF(IFERROR(INDEX(Lists!$J$2:$J$15,MATCH(D153,Lists!$I$2:$I$15,0)),-1)=-1,"status '"&amp;D153&amp;"' is not a CONTRACTS status",IF(AND(D153="signed",COUNTIF(signed_offices!$W$2:$W$51,C153)=0),"status signed but no signed_offices row"&amp;IF(F153="N"," and no tracker row",""),IF(AND(IFERROR(INDEX(Lists!$J$2:$J$15,MATCH(D153,Lists!$I$2:$I$15,0)),-1)&gt;=6,F153="N"),"status "&amp;D153&amp;" but no tracker row",IF(AND(E153="Y",D153&lt;&gt;"do_not_contact"),"do_not_contact = Y but status is "&amp;D153,IF(AND(D153="do_not_contact",E153&lt;&gt;"Y"),"status do_not_contact but do_not_contact is not Y",""))))))</f>
        <v/>
      </c>
      <c r="I153" s="17" t="n">
        <v>132</v>
      </c>
      <c r="J153" s="17">
        <f>IFERROR(INDEX(Clay_Brands!$A$2:$FZ$601,I153,$D$5)&amp;"","")</f>
        <v/>
      </c>
      <c r="K153" s="17">
        <f>IFERROR(INDEX(Clay_Brands!$A$2:$FZ$601,I153,$D$7)&amp;"","")</f>
        <v/>
      </c>
      <c r="L153" s="17">
        <f>IFERROR(INDEX(Clay_Brands!$A$2:$FZ$601,I153,$D$8)&amp;"","")</f>
        <v/>
      </c>
      <c r="M153" s="17">
        <f>IF(J153="","",IF(COUNTIF(Brand_Log!$A$2:$A$201,J153)&gt;0,"Y","N"))</f>
        <v/>
      </c>
      <c r="N153" s="17">
        <f>IF(OR(J153="",AND(LEFT(J153,6)="SAMPLE",Config!$B$19&lt;&gt;"Y")),"",IF(IFERROR(INDEX(Lists!$J$2:$J$15,MATCH(K153,Lists!$I$2:$I$15,0)),-1)=-1,"status '"&amp;K153&amp;"' is not a CONTRACTS status",IF(AND(K153="paid",COUNTIF(paid_brands!$AC$2:$AC$51,J153)=0),"status paid but no paid_brands row"&amp;IF(M153="N"," and no tracker row",""),IF(AND(IFERROR(INDEX(Lists!$J$2:$J$15,MATCH(K153,Lists!$I$2:$I$15,0)),-1)&gt;=6,M153="N"),"status "&amp;K153&amp;" but no tracker row",IF(AND(L153="Y",K153&lt;&gt;"do_not_contact"),"do_not_contact = Y but status is "&amp;K153,IF(AND(K153="do_not_contact",L153&lt;&gt;"Y"),"status do_not_contact but do_not_contact is not Y",""))))))</f>
        <v/>
      </c>
    </row>
    <row r="154">
      <c r="B154" s="17" t="n">
        <v>133</v>
      </c>
      <c r="C154" s="17">
        <f>IFERROR(INDEX(Clay_Offices!$A$2:$FZ$601,B154,$C$5)&amp;"","")</f>
        <v/>
      </c>
      <c r="D154" s="17">
        <f>IFERROR(INDEX(Clay_Offices!$A$2:$FZ$601,B154,$C$7)&amp;"","")</f>
        <v/>
      </c>
      <c r="E154" s="17">
        <f>IFERROR(INDEX(Clay_Offices!$A$2:$FZ$601,B154,$C$8)&amp;"","")</f>
        <v/>
      </c>
      <c r="F154" s="17">
        <f>IF(C154="","",IF(COUNTIF(Office_Log!$A$2:$A$201,C154)&gt;0,"Y","N"))</f>
        <v/>
      </c>
      <c r="G154" s="17">
        <f>IF(OR(C154="",AND(LEFT(C154,6)="SAMPLE",Config!$B$19&lt;&gt;"Y")),"",IF(IFERROR(INDEX(Lists!$J$2:$J$15,MATCH(D154,Lists!$I$2:$I$15,0)),-1)=-1,"status '"&amp;D154&amp;"' is not a CONTRACTS status",IF(AND(D154="signed",COUNTIF(signed_offices!$W$2:$W$51,C154)=0),"status signed but no signed_offices row"&amp;IF(F154="N"," and no tracker row",""),IF(AND(IFERROR(INDEX(Lists!$J$2:$J$15,MATCH(D154,Lists!$I$2:$I$15,0)),-1)&gt;=6,F154="N"),"status "&amp;D154&amp;" but no tracker row",IF(AND(E154="Y",D154&lt;&gt;"do_not_contact"),"do_not_contact = Y but status is "&amp;D154,IF(AND(D154="do_not_contact",E154&lt;&gt;"Y"),"status do_not_contact but do_not_contact is not Y",""))))))</f>
        <v/>
      </c>
      <c r="I154" s="17" t="n">
        <v>133</v>
      </c>
      <c r="J154" s="17">
        <f>IFERROR(INDEX(Clay_Brands!$A$2:$FZ$601,I154,$D$5)&amp;"","")</f>
        <v/>
      </c>
      <c r="K154" s="17">
        <f>IFERROR(INDEX(Clay_Brands!$A$2:$FZ$601,I154,$D$7)&amp;"","")</f>
        <v/>
      </c>
      <c r="L154" s="17">
        <f>IFERROR(INDEX(Clay_Brands!$A$2:$FZ$601,I154,$D$8)&amp;"","")</f>
        <v/>
      </c>
      <c r="M154" s="17">
        <f>IF(J154="","",IF(COUNTIF(Brand_Log!$A$2:$A$201,J154)&gt;0,"Y","N"))</f>
        <v/>
      </c>
      <c r="N154" s="17">
        <f>IF(OR(J154="",AND(LEFT(J154,6)="SAMPLE",Config!$B$19&lt;&gt;"Y")),"",IF(IFERROR(INDEX(Lists!$J$2:$J$15,MATCH(K154,Lists!$I$2:$I$15,0)),-1)=-1,"status '"&amp;K154&amp;"' is not a CONTRACTS status",IF(AND(K154="paid",COUNTIF(paid_brands!$AC$2:$AC$51,J154)=0),"status paid but no paid_brands row"&amp;IF(M154="N"," and no tracker row",""),IF(AND(IFERROR(INDEX(Lists!$J$2:$J$15,MATCH(K154,Lists!$I$2:$I$15,0)),-1)&gt;=6,M154="N"),"status "&amp;K154&amp;" but no tracker row",IF(AND(L154="Y",K154&lt;&gt;"do_not_contact"),"do_not_contact = Y but status is "&amp;K154,IF(AND(K154="do_not_contact",L154&lt;&gt;"Y"),"status do_not_contact but do_not_contact is not Y",""))))))</f>
        <v/>
      </c>
    </row>
    <row r="155">
      <c r="B155" s="17" t="n">
        <v>134</v>
      </c>
      <c r="C155" s="17">
        <f>IFERROR(INDEX(Clay_Offices!$A$2:$FZ$601,B155,$C$5)&amp;"","")</f>
        <v/>
      </c>
      <c r="D155" s="17">
        <f>IFERROR(INDEX(Clay_Offices!$A$2:$FZ$601,B155,$C$7)&amp;"","")</f>
        <v/>
      </c>
      <c r="E155" s="17">
        <f>IFERROR(INDEX(Clay_Offices!$A$2:$FZ$601,B155,$C$8)&amp;"","")</f>
        <v/>
      </c>
      <c r="F155" s="17">
        <f>IF(C155="","",IF(COUNTIF(Office_Log!$A$2:$A$201,C155)&gt;0,"Y","N"))</f>
        <v/>
      </c>
      <c r="G155" s="17">
        <f>IF(OR(C155="",AND(LEFT(C155,6)="SAMPLE",Config!$B$19&lt;&gt;"Y")),"",IF(IFERROR(INDEX(Lists!$J$2:$J$15,MATCH(D155,Lists!$I$2:$I$15,0)),-1)=-1,"status '"&amp;D155&amp;"' is not a CONTRACTS status",IF(AND(D155="signed",COUNTIF(signed_offices!$W$2:$W$51,C155)=0),"status signed but no signed_offices row"&amp;IF(F155="N"," and no tracker row",""),IF(AND(IFERROR(INDEX(Lists!$J$2:$J$15,MATCH(D155,Lists!$I$2:$I$15,0)),-1)&gt;=6,F155="N"),"status "&amp;D155&amp;" but no tracker row",IF(AND(E155="Y",D155&lt;&gt;"do_not_contact"),"do_not_contact = Y but status is "&amp;D155,IF(AND(D155="do_not_contact",E155&lt;&gt;"Y"),"status do_not_contact but do_not_contact is not Y",""))))))</f>
        <v/>
      </c>
      <c r="I155" s="17" t="n">
        <v>134</v>
      </c>
      <c r="J155" s="17">
        <f>IFERROR(INDEX(Clay_Brands!$A$2:$FZ$601,I155,$D$5)&amp;"","")</f>
        <v/>
      </c>
      <c r="K155" s="17">
        <f>IFERROR(INDEX(Clay_Brands!$A$2:$FZ$601,I155,$D$7)&amp;"","")</f>
        <v/>
      </c>
      <c r="L155" s="17">
        <f>IFERROR(INDEX(Clay_Brands!$A$2:$FZ$601,I155,$D$8)&amp;"","")</f>
        <v/>
      </c>
      <c r="M155" s="17">
        <f>IF(J155="","",IF(COUNTIF(Brand_Log!$A$2:$A$201,J155)&gt;0,"Y","N"))</f>
        <v/>
      </c>
      <c r="N155" s="17">
        <f>IF(OR(J155="",AND(LEFT(J155,6)="SAMPLE",Config!$B$19&lt;&gt;"Y")),"",IF(IFERROR(INDEX(Lists!$J$2:$J$15,MATCH(K155,Lists!$I$2:$I$15,0)),-1)=-1,"status '"&amp;K155&amp;"' is not a CONTRACTS status",IF(AND(K155="paid",COUNTIF(paid_brands!$AC$2:$AC$51,J155)=0),"status paid but no paid_brands row"&amp;IF(M155="N"," and no tracker row",""),IF(AND(IFERROR(INDEX(Lists!$J$2:$J$15,MATCH(K155,Lists!$I$2:$I$15,0)),-1)&gt;=6,M155="N"),"status "&amp;K155&amp;" but no tracker row",IF(AND(L155="Y",K155&lt;&gt;"do_not_contact"),"do_not_contact = Y but status is "&amp;K155,IF(AND(K155="do_not_contact",L155&lt;&gt;"Y"),"status do_not_contact but do_not_contact is not Y",""))))))</f>
        <v/>
      </c>
    </row>
    <row r="156">
      <c r="B156" s="17" t="n">
        <v>135</v>
      </c>
      <c r="C156" s="17">
        <f>IFERROR(INDEX(Clay_Offices!$A$2:$FZ$601,B156,$C$5)&amp;"","")</f>
        <v/>
      </c>
      <c r="D156" s="17">
        <f>IFERROR(INDEX(Clay_Offices!$A$2:$FZ$601,B156,$C$7)&amp;"","")</f>
        <v/>
      </c>
      <c r="E156" s="17">
        <f>IFERROR(INDEX(Clay_Offices!$A$2:$FZ$601,B156,$C$8)&amp;"","")</f>
        <v/>
      </c>
      <c r="F156" s="17">
        <f>IF(C156="","",IF(COUNTIF(Office_Log!$A$2:$A$201,C156)&gt;0,"Y","N"))</f>
        <v/>
      </c>
      <c r="G156" s="17">
        <f>IF(OR(C156="",AND(LEFT(C156,6)="SAMPLE",Config!$B$19&lt;&gt;"Y")),"",IF(IFERROR(INDEX(Lists!$J$2:$J$15,MATCH(D156,Lists!$I$2:$I$15,0)),-1)=-1,"status '"&amp;D156&amp;"' is not a CONTRACTS status",IF(AND(D156="signed",COUNTIF(signed_offices!$W$2:$W$51,C156)=0),"status signed but no signed_offices row"&amp;IF(F156="N"," and no tracker row",""),IF(AND(IFERROR(INDEX(Lists!$J$2:$J$15,MATCH(D156,Lists!$I$2:$I$15,0)),-1)&gt;=6,F156="N"),"status "&amp;D156&amp;" but no tracker row",IF(AND(E156="Y",D156&lt;&gt;"do_not_contact"),"do_not_contact = Y but status is "&amp;D156,IF(AND(D156="do_not_contact",E156&lt;&gt;"Y"),"status do_not_contact but do_not_contact is not Y",""))))))</f>
        <v/>
      </c>
      <c r="I156" s="17" t="n">
        <v>135</v>
      </c>
      <c r="J156" s="17">
        <f>IFERROR(INDEX(Clay_Brands!$A$2:$FZ$601,I156,$D$5)&amp;"","")</f>
        <v/>
      </c>
      <c r="K156" s="17">
        <f>IFERROR(INDEX(Clay_Brands!$A$2:$FZ$601,I156,$D$7)&amp;"","")</f>
        <v/>
      </c>
      <c r="L156" s="17">
        <f>IFERROR(INDEX(Clay_Brands!$A$2:$FZ$601,I156,$D$8)&amp;"","")</f>
        <v/>
      </c>
      <c r="M156" s="17">
        <f>IF(J156="","",IF(COUNTIF(Brand_Log!$A$2:$A$201,J156)&gt;0,"Y","N"))</f>
        <v/>
      </c>
      <c r="N156" s="17">
        <f>IF(OR(J156="",AND(LEFT(J156,6)="SAMPLE",Config!$B$19&lt;&gt;"Y")),"",IF(IFERROR(INDEX(Lists!$J$2:$J$15,MATCH(K156,Lists!$I$2:$I$15,0)),-1)=-1,"status '"&amp;K156&amp;"' is not a CONTRACTS status",IF(AND(K156="paid",COUNTIF(paid_brands!$AC$2:$AC$51,J156)=0),"status paid but no paid_brands row"&amp;IF(M156="N"," and no tracker row",""),IF(AND(IFERROR(INDEX(Lists!$J$2:$J$15,MATCH(K156,Lists!$I$2:$I$15,0)),-1)&gt;=6,M156="N"),"status "&amp;K156&amp;" but no tracker row",IF(AND(L156="Y",K156&lt;&gt;"do_not_contact"),"do_not_contact = Y but status is "&amp;K156,IF(AND(K156="do_not_contact",L156&lt;&gt;"Y"),"status do_not_contact but do_not_contact is not Y",""))))))</f>
        <v/>
      </c>
    </row>
    <row r="157">
      <c r="B157" s="17" t="n">
        <v>136</v>
      </c>
      <c r="C157" s="17">
        <f>IFERROR(INDEX(Clay_Offices!$A$2:$FZ$601,B157,$C$5)&amp;"","")</f>
        <v/>
      </c>
      <c r="D157" s="17">
        <f>IFERROR(INDEX(Clay_Offices!$A$2:$FZ$601,B157,$C$7)&amp;"","")</f>
        <v/>
      </c>
      <c r="E157" s="17">
        <f>IFERROR(INDEX(Clay_Offices!$A$2:$FZ$601,B157,$C$8)&amp;"","")</f>
        <v/>
      </c>
      <c r="F157" s="17">
        <f>IF(C157="","",IF(COUNTIF(Office_Log!$A$2:$A$201,C157)&gt;0,"Y","N"))</f>
        <v/>
      </c>
      <c r="G157" s="17">
        <f>IF(OR(C157="",AND(LEFT(C157,6)="SAMPLE",Config!$B$19&lt;&gt;"Y")),"",IF(IFERROR(INDEX(Lists!$J$2:$J$15,MATCH(D157,Lists!$I$2:$I$15,0)),-1)=-1,"status '"&amp;D157&amp;"' is not a CONTRACTS status",IF(AND(D157="signed",COUNTIF(signed_offices!$W$2:$W$51,C157)=0),"status signed but no signed_offices row"&amp;IF(F157="N"," and no tracker row",""),IF(AND(IFERROR(INDEX(Lists!$J$2:$J$15,MATCH(D157,Lists!$I$2:$I$15,0)),-1)&gt;=6,F157="N"),"status "&amp;D157&amp;" but no tracker row",IF(AND(E157="Y",D157&lt;&gt;"do_not_contact"),"do_not_contact = Y but status is "&amp;D157,IF(AND(D157="do_not_contact",E157&lt;&gt;"Y"),"status do_not_contact but do_not_contact is not Y",""))))))</f>
        <v/>
      </c>
      <c r="I157" s="17" t="n">
        <v>136</v>
      </c>
      <c r="J157" s="17">
        <f>IFERROR(INDEX(Clay_Brands!$A$2:$FZ$601,I157,$D$5)&amp;"","")</f>
        <v/>
      </c>
      <c r="K157" s="17">
        <f>IFERROR(INDEX(Clay_Brands!$A$2:$FZ$601,I157,$D$7)&amp;"","")</f>
        <v/>
      </c>
      <c r="L157" s="17">
        <f>IFERROR(INDEX(Clay_Brands!$A$2:$FZ$601,I157,$D$8)&amp;"","")</f>
        <v/>
      </c>
      <c r="M157" s="17">
        <f>IF(J157="","",IF(COUNTIF(Brand_Log!$A$2:$A$201,J157)&gt;0,"Y","N"))</f>
        <v/>
      </c>
      <c r="N157" s="17">
        <f>IF(OR(J157="",AND(LEFT(J157,6)="SAMPLE",Config!$B$19&lt;&gt;"Y")),"",IF(IFERROR(INDEX(Lists!$J$2:$J$15,MATCH(K157,Lists!$I$2:$I$15,0)),-1)=-1,"status '"&amp;K157&amp;"' is not a CONTRACTS status",IF(AND(K157="paid",COUNTIF(paid_brands!$AC$2:$AC$51,J157)=0),"status paid but no paid_brands row"&amp;IF(M157="N"," and no tracker row",""),IF(AND(IFERROR(INDEX(Lists!$J$2:$J$15,MATCH(K157,Lists!$I$2:$I$15,0)),-1)&gt;=6,M157="N"),"status "&amp;K157&amp;" but no tracker row",IF(AND(L157="Y",K157&lt;&gt;"do_not_contact"),"do_not_contact = Y but status is "&amp;K157,IF(AND(K157="do_not_contact",L157&lt;&gt;"Y"),"status do_not_contact but do_not_contact is not Y",""))))))</f>
        <v/>
      </c>
    </row>
    <row r="158">
      <c r="B158" s="17" t="n">
        <v>137</v>
      </c>
      <c r="C158" s="17">
        <f>IFERROR(INDEX(Clay_Offices!$A$2:$FZ$601,B158,$C$5)&amp;"","")</f>
        <v/>
      </c>
      <c r="D158" s="17">
        <f>IFERROR(INDEX(Clay_Offices!$A$2:$FZ$601,B158,$C$7)&amp;"","")</f>
        <v/>
      </c>
      <c r="E158" s="17">
        <f>IFERROR(INDEX(Clay_Offices!$A$2:$FZ$601,B158,$C$8)&amp;"","")</f>
        <v/>
      </c>
      <c r="F158" s="17">
        <f>IF(C158="","",IF(COUNTIF(Office_Log!$A$2:$A$201,C158)&gt;0,"Y","N"))</f>
        <v/>
      </c>
      <c r="G158" s="17">
        <f>IF(OR(C158="",AND(LEFT(C158,6)="SAMPLE",Config!$B$19&lt;&gt;"Y")),"",IF(IFERROR(INDEX(Lists!$J$2:$J$15,MATCH(D158,Lists!$I$2:$I$15,0)),-1)=-1,"status '"&amp;D158&amp;"' is not a CONTRACTS status",IF(AND(D158="signed",COUNTIF(signed_offices!$W$2:$W$51,C158)=0),"status signed but no signed_offices row"&amp;IF(F158="N"," and no tracker row",""),IF(AND(IFERROR(INDEX(Lists!$J$2:$J$15,MATCH(D158,Lists!$I$2:$I$15,0)),-1)&gt;=6,F158="N"),"status "&amp;D158&amp;" but no tracker row",IF(AND(E158="Y",D158&lt;&gt;"do_not_contact"),"do_not_contact = Y but status is "&amp;D158,IF(AND(D158="do_not_contact",E158&lt;&gt;"Y"),"status do_not_contact but do_not_contact is not Y",""))))))</f>
        <v/>
      </c>
      <c r="I158" s="17" t="n">
        <v>137</v>
      </c>
      <c r="J158" s="17">
        <f>IFERROR(INDEX(Clay_Brands!$A$2:$FZ$601,I158,$D$5)&amp;"","")</f>
        <v/>
      </c>
      <c r="K158" s="17">
        <f>IFERROR(INDEX(Clay_Brands!$A$2:$FZ$601,I158,$D$7)&amp;"","")</f>
        <v/>
      </c>
      <c r="L158" s="17">
        <f>IFERROR(INDEX(Clay_Brands!$A$2:$FZ$601,I158,$D$8)&amp;"","")</f>
        <v/>
      </c>
      <c r="M158" s="17">
        <f>IF(J158="","",IF(COUNTIF(Brand_Log!$A$2:$A$201,J158)&gt;0,"Y","N"))</f>
        <v/>
      </c>
      <c r="N158" s="17">
        <f>IF(OR(J158="",AND(LEFT(J158,6)="SAMPLE",Config!$B$19&lt;&gt;"Y")),"",IF(IFERROR(INDEX(Lists!$J$2:$J$15,MATCH(K158,Lists!$I$2:$I$15,0)),-1)=-1,"status '"&amp;K158&amp;"' is not a CONTRACTS status",IF(AND(K158="paid",COUNTIF(paid_brands!$AC$2:$AC$51,J158)=0),"status paid but no paid_brands row"&amp;IF(M158="N"," and no tracker row",""),IF(AND(IFERROR(INDEX(Lists!$J$2:$J$15,MATCH(K158,Lists!$I$2:$I$15,0)),-1)&gt;=6,M158="N"),"status "&amp;K158&amp;" but no tracker row",IF(AND(L158="Y",K158&lt;&gt;"do_not_contact"),"do_not_contact = Y but status is "&amp;K158,IF(AND(K158="do_not_contact",L158&lt;&gt;"Y"),"status do_not_contact but do_not_contact is not Y",""))))))</f>
        <v/>
      </c>
    </row>
    <row r="159">
      <c r="B159" s="17" t="n">
        <v>138</v>
      </c>
      <c r="C159" s="17">
        <f>IFERROR(INDEX(Clay_Offices!$A$2:$FZ$601,B159,$C$5)&amp;"","")</f>
        <v/>
      </c>
      <c r="D159" s="17">
        <f>IFERROR(INDEX(Clay_Offices!$A$2:$FZ$601,B159,$C$7)&amp;"","")</f>
        <v/>
      </c>
      <c r="E159" s="17">
        <f>IFERROR(INDEX(Clay_Offices!$A$2:$FZ$601,B159,$C$8)&amp;"","")</f>
        <v/>
      </c>
      <c r="F159" s="17">
        <f>IF(C159="","",IF(COUNTIF(Office_Log!$A$2:$A$201,C159)&gt;0,"Y","N"))</f>
        <v/>
      </c>
      <c r="G159" s="17">
        <f>IF(OR(C159="",AND(LEFT(C159,6)="SAMPLE",Config!$B$19&lt;&gt;"Y")),"",IF(IFERROR(INDEX(Lists!$J$2:$J$15,MATCH(D159,Lists!$I$2:$I$15,0)),-1)=-1,"status '"&amp;D159&amp;"' is not a CONTRACTS status",IF(AND(D159="signed",COUNTIF(signed_offices!$W$2:$W$51,C159)=0),"status signed but no signed_offices row"&amp;IF(F159="N"," and no tracker row",""),IF(AND(IFERROR(INDEX(Lists!$J$2:$J$15,MATCH(D159,Lists!$I$2:$I$15,0)),-1)&gt;=6,F159="N"),"status "&amp;D159&amp;" but no tracker row",IF(AND(E159="Y",D159&lt;&gt;"do_not_contact"),"do_not_contact = Y but status is "&amp;D159,IF(AND(D159="do_not_contact",E159&lt;&gt;"Y"),"status do_not_contact but do_not_contact is not Y",""))))))</f>
        <v/>
      </c>
      <c r="I159" s="17" t="n">
        <v>138</v>
      </c>
      <c r="J159" s="17">
        <f>IFERROR(INDEX(Clay_Brands!$A$2:$FZ$601,I159,$D$5)&amp;"","")</f>
        <v/>
      </c>
      <c r="K159" s="17">
        <f>IFERROR(INDEX(Clay_Brands!$A$2:$FZ$601,I159,$D$7)&amp;"","")</f>
        <v/>
      </c>
      <c r="L159" s="17">
        <f>IFERROR(INDEX(Clay_Brands!$A$2:$FZ$601,I159,$D$8)&amp;"","")</f>
        <v/>
      </c>
      <c r="M159" s="17">
        <f>IF(J159="","",IF(COUNTIF(Brand_Log!$A$2:$A$201,J159)&gt;0,"Y","N"))</f>
        <v/>
      </c>
      <c r="N159" s="17">
        <f>IF(OR(J159="",AND(LEFT(J159,6)="SAMPLE",Config!$B$19&lt;&gt;"Y")),"",IF(IFERROR(INDEX(Lists!$J$2:$J$15,MATCH(K159,Lists!$I$2:$I$15,0)),-1)=-1,"status '"&amp;K159&amp;"' is not a CONTRACTS status",IF(AND(K159="paid",COUNTIF(paid_brands!$AC$2:$AC$51,J159)=0),"status paid but no paid_brands row"&amp;IF(M159="N"," and no tracker row",""),IF(AND(IFERROR(INDEX(Lists!$J$2:$J$15,MATCH(K159,Lists!$I$2:$I$15,0)),-1)&gt;=6,M159="N"),"status "&amp;K159&amp;" but no tracker row",IF(AND(L159="Y",K159&lt;&gt;"do_not_contact"),"do_not_contact = Y but status is "&amp;K159,IF(AND(K159="do_not_contact",L159&lt;&gt;"Y"),"status do_not_contact but do_not_contact is not Y",""))))))</f>
        <v/>
      </c>
    </row>
    <row r="160">
      <c r="B160" s="17" t="n">
        <v>139</v>
      </c>
      <c r="C160" s="17">
        <f>IFERROR(INDEX(Clay_Offices!$A$2:$FZ$601,B160,$C$5)&amp;"","")</f>
        <v/>
      </c>
      <c r="D160" s="17">
        <f>IFERROR(INDEX(Clay_Offices!$A$2:$FZ$601,B160,$C$7)&amp;"","")</f>
        <v/>
      </c>
      <c r="E160" s="17">
        <f>IFERROR(INDEX(Clay_Offices!$A$2:$FZ$601,B160,$C$8)&amp;"","")</f>
        <v/>
      </c>
      <c r="F160" s="17">
        <f>IF(C160="","",IF(COUNTIF(Office_Log!$A$2:$A$201,C160)&gt;0,"Y","N"))</f>
        <v/>
      </c>
      <c r="G160" s="17">
        <f>IF(OR(C160="",AND(LEFT(C160,6)="SAMPLE",Config!$B$19&lt;&gt;"Y")),"",IF(IFERROR(INDEX(Lists!$J$2:$J$15,MATCH(D160,Lists!$I$2:$I$15,0)),-1)=-1,"status '"&amp;D160&amp;"' is not a CONTRACTS status",IF(AND(D160="signed",COUNTIF(signed_offices!$W$2:$W$51,C160)=0),"status signed but no signed_offices row"&amp;IF(F160="N"," and no tracker row",""),IF(AND(IFERROR(INDEX(Lists!$J$2:$J$15,MATCH(D160,Lists!$I$2:$I$15,0)),-1)&gt;=6,F160="N"),"status "&amp;D160&amp;" but no tracker row",IF(AND(E160="Y",D160&lt;&gt;"do_not_contact"),"do_not_contact = Y but status is "&amp;D160,IF(AND(D160="do_not_contact",E160&lt;&gt;"Y"),"status do_not_contact but do_not_contact is not Y",""))))))</f>
        <v/>
      </c>
      <c r="I160" s="17" t="n">
        <v>139</v>
      </c>
      <c r="J160" s="17">
        <f>IFERROR(INDEX(Clay_Brands!$A$2:$FZ$601,I160,$D$5)&amp;"","")</f>
        <v/>
      </c>
      <c r="K160" s="17">
        <f>IFERROR(INDEX(Clay_Brands!$A$2:$FZ$601,I160,$D$7)&amp;"","")</f>
        <v/>
      </c>
      <c r="L160" s="17">
        <f>IFERROR(INDEX(Clay_Brands!$A$2:$FZ$601,I160,$D$8)&amp;"","")</f>
        <v/>
      </c>
      <c r="M160" s="17">
        <f>IF(J160="","",IF(COUNTIF(Brand_Log!$A$2:$A$201,J160)&gt;0,"Y","N"))</f>
        <v/>
      </c>
      <c r="N160" s="17">
        <f>IF(OR(J160="",AND(LEFT(J160,6)="SAMPLE",Config!$B$19&lt;&gt;"Y")),"",IF(IFERROR(INDEX(Lists!$J$2:$J$15,MATCH(K160,Lists!$I$2:$I$15,0)),-1)=-1,"status '"&amp;K160&amp;"' is not a CONTRACTS status",IF(AND(K160="paid",COUNTIF(paid_brands!$AC$2:$AC$51,J160)=0),"status paid but no paid_brands row"&amp;IF(M160="N"," and no tracker row",""),IF(AND(IFERROR(INDEX(Lists!$J$2:$J$15,MATCH(K160,Lists!$I$2:$I$15,0)),-1)&gt;=6,M160="N"),"status "&amp;K160&amp;" but no tracker row",IF(AND(L160="Y",K160&lt;&gt;"do_not_contact"),"do_not_contact = Y but status is "&amp;K160,IF(AND(K160="do_not_contact",L160&lt;&gt;"Y"),"status do_not_contact but do_not_contact is not Y",""))))))</f>
        <v/>
      </c>
    </row>
    <row r="161">
      <c r="B161" s="17" t="n">
        <v>140</v>
      </c>
      <c r="C161" s="17">
        <f>IFERROR(INDEX(Clay_Offices!$A$2:$FZ$601,B161,$C$5)&amp;"","")</f>
        <v/>
      </c>
      <c r="D161" s="17">
        <f>IFERROR(INDEX(Clay_Offices!$A$2:$FZ$601,B161,$C$7)&amp;"","")</f>
        <v/>
      </c>
      <c r="E161" s="17">
        <f>IFERROR(INDEX(Clay_Offices!$A$2:$FZ$601,B161,$C$8)&amp;"","")</f>
        <v/>
      </c>
      <c r="F161" s="17">
        <f>IF(C161="","",IF(COUNTIF(Office_Log!$A$2:$A$201,C161)&gt;0,"Y","N"))</f>
        <v/>
      </c>
      <c r="G161" s="17">
        <f>IF(OR(C161="",AND(LEFT(C161,6)="SAMPLE",Config!$B$19&lt;&gt;"Y")),"",IF(IFERROR(INDEX(Lists!$J$2:$J$15,MATCH(D161,Lists!$I$2:$I$15,0)),-1)=-1,"status '"&amp;D161&amp;"' is not a CONTRACTS status",IF(AND(D161="signed",COUNTIF(signed_offices!$W$2:$W$51,C161)=0),"status signed but no signed_offices row"&amp;IF(F161="N"," and no tracker row",""),IF(AND(IFERROR(INDEX(Lists!$J$2:$J$15,MATCH(D161,Lists!$I$2:$I$15,0)),-1)&gt;=6,F161="N"),"status "&amp;D161&amp;" but no tracker row",IF(AND(E161="Y",D161&lt;&gt;"do_not_contact"),"do_not_contact = Y but status is "&amp;D161,IF(AND(D161="do_not_contact",E161&lt;&gt;"Y"),"status do_not_contact but do_not_contact is not Y",""))))))</f>
        <v/>
      </c>
      <c r="I161" s="17" t="n">
        <v>140</v>
      </c>
      <c r="J161" s="17">
        <f>IFERROR(INDEX(Clay_Brands!$A$2:$FZ$601,I161,$D$5)&amp;"","")</f>
        <v/>
      </c>
      <c r="K161" s="17">
        <f>IFERROR(INDEX(Clay_Brands!$A$2:$FZ$601,I161,$D$7)&amp;"","")</f>
        <v/>
      </c>
      <c r="L161" s="17">
        <f>IFERROR(INDEX(Clay_Brands!$A$2:$FZ$601,I161,$D$8)&amp;"","")</f>
        <v/>
      </c>
      <c r="M161" s="17">
        <f>IF(J161="","",IF(COUNTIF(Brand_Log!$A$2:$A$201,J161)&gt;0,"Y","N"))</f>
        <v/>
      </c>
      <c r="N161" s="17">
        <f>IF(OR(J161="",AND(LEFT(J161,6)="SAMPLE",Config!$B$19&lt;&gt;"Y")),"",IF(IFERROR(INDEX(Lists!$J$2:$J$15,MATCH(K161,Lists!$I$2:$I$15,0)),-1)=-1,"status '"&amp;K161&amp;"' is not a CONTRACTS status",IF(AND(K161="paid",COUNTIF(paid_brands!$AC$2:$AC$51,J161)=0),"status paid but no paid_brands row"&amp;IF(M161="N"," and no tracker row",""),IF(AND(IFERROR(INDEX(Lists!$J$2:$J$15,MATCH(K161,Lists!$I$2:$I$15,0)),-1)&gt;=6,M161="N"),"status "&amp;K161&amp;" but no tracker row",IF(AND(L161="Y",K161&lt;&gt;"do_not_contact"),"do_not_contact = Y but status is "&amp;K161,IF(AND(K161="do_not_contact",L161&lt;&gt;"Y"),"status do_not_contact but do_not_contact is not Y",""))))))</f>
        <v/>
      </c>
    </row>
    <row r="162">
      <c r="B162" s="17" t="n">
        <v>141</v>
      </c>
      <c r="C162" s="17">
        <f>IFERROR(INDEX(Clay_Offices!$A$2:$FZ$601,B162,$C$5)&amp;"","")</f>
        <v/>
      </c>
      <c r="D162" s="17">
        <f>IFERROR(INDEX(Clay_Offices!$A$2:$FZ$601,B162,$C$7)&amp;"","")</f>
        <v/>
      </c>
      <c r="E162" s="17">
        <f>IFERROR(INDEX(Clay_Offices!$A$2:$FZ$601,B162,$C$8)&amp;"","")</f>
        <v/>
      </c>
      <c r="F162" s="17">
        <f>IF(C162="","",IF(COUNTIF(Office_Log!$A$2:$A$201,C162)&gt;0,"Y","N"))</f>
        <v/>
      </c>
      <c r="G162" s="17">
        <f>IF(OR(C162="",AND(LEFT(C162,6)="SAMPLE",Config!$B$19&lt;&gt;"Y")),"",IF(IFERROR(INDEX(Lists!$J$2:$J$15,MATCH(D162,Lists!$I$2:$I$15,0)),-1)=-1,"status '"&amp;D162&amp;"' is not a CONTRACTS status",IF(AND(D162="signed",COUNTIF(signed_offices!$W$2:$W$51,C162)=0),"status signed but no signed_offices row"&amp;IF(F162="N"," and no tracker row",""),IF(AND(IFERROR(INDEX(Lists!$J$2:$J$15,MATCH(D162,Lists!$I$2:$I$15,0)),-1)&gt;=6,F162="N"),"status "&amp;D162&amp;" but no tracker row",IF(AND(E162="Y",D162&lt;&gt;"do_not_contact"),"do_not_contact = Y but status is "&amp;D162,IF(AND(D162="do_not_contact",E162&lt;&gt;"Y"),"status do_not_contact but do_not_contact is not Y",""))))))</f>
        <v/>
      </c>
      <c r="I162" s="17" t="n">
        <v>141</v>
      </c>
      <c r="J162" s="17">
        <f>IFERROR(INDEX(Clay_Brands!$A$2:$FZ$601,I162,$D$5)&amp;"","")</f>
        <v/>
      </c>
      <c r="K162" s="17">
        <f>IFERROR(INDEX(Clay_Brands!$A$2:$FZ$601,I162,$D$7)&amp;"","")</f>
        <v/>
      </c>
      <c r="L162" s="17">
        <f>IFERROR(INDEX(Clay_Brands!$A$2:$FZ$601,I162,$D$8)&amp;"","")</f>
        <v/>
      </c>
      <c r="M162" s="17">
        <f>IF(J162="","",IF(COUNTIF(Brand_Log!$A$2:$A$201,J162)&gt;0,"Y","N"))</f>
        <v/>
      </c>
      <c r="N162" s="17">
        <f>IF(OR(J162="",AND(LEFT(J162,6)="SAMPLE",Config!$B$19&lt;&gt;"Y")),"",IF(IFERROR(INDEX(Lists!$J$2:$J$15,MATCH(K162,Lists!$I$2:$I$15,0)),-1)=-1,"status '"&amp;K162&amp;"' is not a CONTRACTS status",IF(AND(K162="paid",COUNTIF(paid_brands!$AC$2:$AC$51,J162)=0),"status paid but no paid_brands row"&amp;IF(M162="N"," and no tracker row",""),IF(AND(IFERROR(INDEX(Lists!$J$2:$J$15,MATCH(K162,Lists!$I$2:$I$15,0)),-1)&gt;=6,M162="N"),"status "&amp;K162&amp;" but no tracker row",IF(AND(L162="Y",K162&lt;&gt;"do_not_contact"),"do_not_contact = Y but status is "&amp;K162,IF(AND(K162="do_not_contact",L162&lt;&gt;"Y"),"status do_not_contact but do_not_contact is not Y",""))))))</f>
        <v/>
      </c>
    </row>
    <row r="163">
      <c r="B163" s="17" t="n">
        <v>142</v>
      </c>
      <c r="C163" s="17">
        <f>IFERROR(INDEX(Clay_Offices!$A$2:$FZ$601,B163,$C$5)&amp;"","")</f>
        <v/>
      </c>
      <c r="D163" s="17">
        <f>IFERROR(INDEX(Clay_Offices!$A$2:$FZ$601,B163,$C$7)&amp;"","")</f>
        <v/>
      </c>
      <c r="E163" s="17">
        <f>IFERROR(INDEX(Clay_Offices!$A$2:$FZ$601,B163,$C$8)&amp;"","")</f>
        <v/>
      </c>
      <c r="F163" s="17">
        <f>IF(C163="","",IF(COUNTIF(Office_Log!$A$2:$A$201,C163)&gt;0,"Y","N"))</f>
        <v/>
      </c>
      <c r="G163" s="17">
        <f>IF(OR(C163="",AND(LEFT(C163,6)="SAMPLE",Config!$B$19&lt;&gt;"Y")),"",IF(IFERROR(INDEX(Lists!$J$2:$J$15,MATCH(D163,Lists!$I$2:$I$15,0)),-1)=-1,"status '"&amp;D163&amp;"' is not a CONTRACTS status",IF(AND(D163="signed",COUNTIF(signed_offices!$W$2:$W$51,C163)=0),"status signed but no signed_offices row"&amp;IF(F163="N"," and no tracker row",""),IF(AND(IFERROR(INDEX(Lists!$J$2:$J$15,MATCH(D163,Lists!$I$2:$I$15,0)),-1)&gt;=6,F163="N"),"status "&amp;D163&amp;" but no tracker row",IF(AND(E163="Y",D163&lt;&gt;"do_not_contact"),"do_not_contact = Y but status is "&amp;D163,IF(AND(D163="do_not_contact",E163&lt;&gt;"Y"),"status do_not_contact but do_not_contact is not Y",""))))))</f>
        <v/>
      </c>
      <c r="I163" s="17" t="n">
        <v>142</v>
      </c>
      <c r="J163" s="17">
        <f>IFERROR(INDEX(Clay_Brands!$A$2:$FZ$601,I163,$D$5)&amp;"","")</f>
        <v/>
      </c>
      <c r="K163" s="17">
        <f>IFERROR(INDEX(Clay_Brands!$A$2:$FZ$601,I163,$D$7)&amp;"","")</f>
        <v/>
      </c>
      <c r="L163" s="17">
        <f>IFERROR(INDEX(Clay_Brands!$A$2:$FZ$601,I163,$D$8)&amp;"","")</f>
        <v/>
      </c>
      <c r="M163" s="17">
        <f>IF(J163="","",IF(COUNTIF(Brand_Log!$A$2:$A$201,J163)&gt;0,"Y","N"))</f>
        <v/>
      </c>
      <c r="N163" s="17">
        <f>IF(OR(J163="",AND(LEFT(J163,6)="SAMPLE",Config!$B$19&lt;&gt;"Y")),"",IF(IFERROR(INDEX(Lists!$J$2:$J$15,MATCH(K163,Lists!$I$2:$I$15,0)),-1)=-1,"status '"&amp;K163&amp;"' is not a CONTRACTS status",IF(AND(K163="paid",COUNTIF(paid_brands!$AC$2:$AC$51,J163)=0),"status paid but no paid_brands row"&amp;IF(M163="N"," and no tracker row",""),IF(AND(IFERROR(INDEX(Lists!$J$2:$J$15,MATCH(K163,Lists!$I$2:$I$15,0)),-1)&gt;=6,M163="N"),"status "&amp;K163&amp;" but no tracker row",IF(AND(L163="Y",K163&lt;&gt;"do_not_contact"),"do_not_contact = Y but status is "&amp;K163,IF(AND(K163="do_not_contact",L163&lt;&gt;"Y"),"status do_not_contact but do_not_contact is not Y",""))))))</f>
        <v/>
      </c>
    </row>
    <row r="164">
      <c r="B164" s="17" t="n">
        <v>143</v>
      </c>
      <c r="C164" s="17">
        <f>IFERROR(INDEX(Clay_Offices!$A$2:$FZ$601,B164,$C$5)&amp;"","")</f>
        <v/>
      </c>
      <c r="D164" s="17">
        <f>IFERROR(INDEX(Clay_Offices!$A$2:$FZ$601,B164,$C$7)&amp;"","")</f>
        <v/>
      </c>
      <c r="E164" s="17">
        <f>IFERROR(INDEX(Clay_Offices!$A$2:$FZ$601,B164,$C$8)&amp;"","")</f>
        <v/>
      </c>
      <c r="F164" s="17">
        <f>IF(C164="","",IF(COUNTIF(Office_Log!$A$2:$A$201,C164)&gt;0,"Y","N"))</f>
        <v/>
      </c>
      <c r="G164" s="17">
        <f>IF(OR(C164="",AND(LEFT(C164,6)="SAMPLE",Config!$B$19&lt;&gt;"Y")),"",IF(IFERROR(INDEX(Lists!$J$2:$J$15,MATCH(D164,Lists!$I$2:$I$15,0)),-1)=-1,"status '"&amp;D164&amp;"' is not a CONTRACTS status",IF(AND(D164="signed",COUNTIF(signed_offices!$W$2:$W$51,C164)=0),"status signed but no signed_offices row"&amp;IF(F164="N"," and no tracker row",""),IF(AND(IFERROR(INDEX(Lists!$J$2:$J$15,MATCH(D164,Lists!$I$2:$I$15,0)),-1)&gt;=6,F164="N"),"status "&amp;D164&amp;" but no tracker row",IF(AND(E164="Y",D164&lt;&gt;"do_not_contact"),"do_not_contact = Y but status is "&amp;D164,IF(AND(D164="do_not_contact",E164&lt;&gt;"Y"),"status do_not_contact but do_not_contact is not Y",""))))))</f>
        <v/>
      </c>
      <c r="I164" s="17" t="n">
        <v>143</v>
      </c>
      <c r="J164" s="17">
        <f>IFERROR(INDEX(Clay_Brands!$A$2:$FZ$601,I164,$D$5)&amp;"","")</f>
        <v/>
      </c>
      <c r="K164" s="17">
        <f>IFERROR(INDEX(Clay_Brands!$A$2:$FZ$601,I164,$D$7)&amp;"","")</f>
        <v/>
      </c>
      <c r="L164" s="17">
        <f>IFERROR(INDEX(Clay_Brands!$A$2:$FZ$601,I164,$D$8)&amp;"","")</f>
        <v/>
      </c>
      <c r="M164" s="17">
        <f>IF(J164="","",IF(COUNTIF(Brand_Log!$A$2:$A$201,J164)&gt;0,"Y","N"))</f>
        <v/>
      </c>
      <c r="N164" s="17">
        <f>IF(OR(J164="",AND(LEFT(J164,6)="SAMPLE",Config!$B$19&lt;&gt;"Y")),"",IF(IFERROR(INDEX(Lists!$J$2:$J$15,MATCH(K164,Lists!$I$2:$I$15,0)),-1)=-1,"status '"&amp;K164&amp;"' is not a CONTRACTS status",IF(AND(K164="paid",COUNTIF(paid_brands!$AC$2:$AC$51,J164)=0),"status paid but no paid_brands row"&amp;IF(M164="N"," and no tracker row",""),IF(AND(IFERROR(INDEX(Lists!$J$2:$J$15,MATCH(K164,Lists!$I$2:$I$15,0)),-1)&gt;=6,M164="N"),"status "&amp;K164&amp;" but no tracker row",IF(AND(L164="Y",K164&lt;&gt;"do_not_contact"),"do_not_contact = Y but status is "&amp;K164,IF(AND(K164="do_not_contact",L164&lt;&gt;"Y"),"status do_not_contact but do_not_contact is not Y",""))))))</f>
        <v/>
      </c>
    </row>
    <row r="165">
      <c r="B165" s="17" t="n">
        <v>144</v>
      </c>
      <c r="C165" s="17">
        <f>IFERROR(INDEX(Clay_Offices!$A$2:$FZ$601,B165,$C$5)&amp;"","")</f>
        <v/>
      </c>
      <c r="D165" s="17">
        <f>IFERROR(INDEX(Clay_Offices!$A$2:$FZ$601,B165,$C$7)&amp;"","")</f>
        <v/>
      </c>
      <c r="E165" s="17">
        <f>IFERROR(INDEX(Clay_Offices!$A$2:$FZ$601,B165,$C$8)&amp;"","")</f>
        <v/>
      </c>
      <c r="F165" s="17">
        <f>IF(C165="","",IF(COUNTIF(Office_Log!$A$2:$A$201,C165)&gt;0,"Y","N"))</f>
        <v/>
      </c>
      <c r="G165" s="17">
        <f>IF(OR(C165="",AND(LEFT(C165,6)="SAMPLE",Config!$B$19&lt;&gt;"Y")),"",IF(IFERROR(INDEX(Lists!$J$2:$J$15,MATCH(D165,Lists!$I$2:$I$15,0)),-1)=-1,"status '"&amp;D165&amp;"' is not a CONTRACTS status",IF(AND(D165="signed",COUNTIF(signed_offices!$W$2:$W$51,C165)=0),"status signed but no signed_offices row"&amp;IF(F165="N"," and no tracker row",""),IF(AND(IFERROR(INDEX(Lists!$J$2:$J$15,MATCH(D165,Lists!$I$2:$I$15,0)),-1)&gt;=6,F165="N"),"status "&amp;D165&amp;" but no tracker row",IF(AND(E165="Y",D165&lt;&gt;"do_not_contact"),"do_not_contact = Y but status is "&amp;D165,IF(AND(D165="do_not_contact",E165&lt;&gt;"Y"),"status do_not_contact but do_not_contact is not Y",""))))))</f>
        <v/>
      </c>
      <c r="I165" s="17" t="n">
        <v>144</v>
      </c>
      <c r="J165" s="17">
        <f>IFERROR(INDEX(Clay_Brands!$A$2:$FZ$601,I165,$D$5)&amp;"","")</f>
        <v/>
      </c>
      <c r="K165" s="17">
        <f>IFERROR(INDEX(Clay_Brands!$A$2:$FZ$601,I165,$D$7)&amp;"","")</f>
        <v/>
      </c>
      <c r="L165" s="17">
        <f>IFERROR(INDEX(Clay_Brands!$A$2:$FZ$601,I165,$D$8)&amp;"","")</f>
        <v/>
      </c>
      <c r="M165" s="17">
        <f>IF(J165="","",IF(COUNTIF(Brand_Log!$A$2:$A$201,J165)&gt;0,"Y","N"))</f>
        <v/>
      </c>
      <c r="N165" s="17">
        <f>IF(OR(J165="",AND(LEFT(J165,6)="SAMPLE",Config!$B$19&lt;&gt;"Y")),"",IF(IFERROR(INDEX(Lists!$J$2:$J$15,MATCH(K165,Lists!$I$2:$I$15,0)),-1)=-1,"status '"&amp;K165&amp;"' is not a CONTRACTS status",IF(AND(K165="paid",COUNTIF(paid_brands!$AC$2:$AC$51,J165)=0),"status paid but no paid_brands row"&amp;IF(M165="N"," and no tracker row",""),IF(AND(IFERROR(INDEX(Lists!$J$2:$J$15,MATCH(K165,Lists!$I$2:$I$15,0)),-1)&gt;=6,M165="N"),"status "&amp;K165&amp;" but no tracker row",IF(AND(L165="Y",K165&lt;&gt;"do_not_contact"),"do_not_contact = Y but status is "&amp;K165,IF(AND(K165="do_not_contact",L165&lt;&gt;"Y"),"status do_not_contact but do_not_contact is not Y",""))))))</f>
        <v/>
      </c>
    </row>
    <row r="166">
      <c r="B166" s="17" t="n">
        <v>145</v>
      </c>
      <c r="C166" s="17">
        <f>IFERROR(INDEX(Clay_Offices!$A$2:$FZ$601,B166,$C$5)&amp;"","")</f>
        <v/>
      </c>
      <c r="D166" s="17">
        <f>IFERROR(INDEX(Clay_Offices!$A$2:$FZ$601,B166,$C$7)&amp;"","")</f>
        <v/>
      </c>
      <c r="E166" s="17">
        <f>IFERROR(INDEX(Clay_Offices!$A$2:$FZ$601,B166,$C$8)&amp;"","")</f>
        <v/>
      </c>
      <c r="F166" s="17">
        <f>IF(C166="","",IF(COUNTIF(Office_Log!$A$2:$A$201,C166)&gt;0,"Y","N"))</f>
        <v/>
      </c>
      <c r="G166" s="17">
        <f>IF(OR(C166="",AND(LEFT(C166,6)="SAMPLE",Config!$B$19&lt;&gt;"Y")),"",IF(IFERROR(INDEX(Lists!$J$2:$J$15,MATCH(D166,Lists!$I$2:$I$15,0)),-1)=-1,"status '"&amp;D166&amp;"' is not a CONTRACTS status",IF(AND(D166="signed",COUNTIF(signed_offices!$W$2:$W$51,C166)=0),"status signed but no signed_offices row"&amp;IF(F166="N"," and no tracker row",""),IF(AND(IFERROR(INDEX(Lists!$J$2:$J$15,MATCH(D166,Lists!$I$2:$I$15,0)),-1)&gt;=6,F166="N"),"status "&amp;D166&amp;" but no tracker row",IF(AND(E166="Y",D166&lt;&gt;"do_not_contact"),"do_not_contact = Y but status is "&amp;D166,IF(AND(D166="do_not_contact",E166&lt;&gt;"Y"),"status do_not_contact but do_not_contact is not Y",""))))))</f>
        <v/>
      </c>
      <c r="I166" s="17" t="n">
        <v>145</v>
      </c>
      <c r="J166" s="17">
        <f>IFERROR(INDEX(Clay_Brands!$A$2:$FZ$601,I166,$D$5)&amp;"","")</f>
        <v/>
      </c>
      <c r="K166" s="17">
        <f>IFERROR(INDEX(Clay_Brands!$A$2:$FZ$601,I166,$D$7)&amp;"","")</f>
        <v/>
      </c>
      <c r="L166" s="17">
        <f>IFERROR(INDEX(Clay_Brands!$A$2:$FZ$601,I166,$D$8)&amp;"","")</f>
        <v/>
      </c>
      <c r="M166" s="17">
        <f>IF(J166="","",IF(COUNTIF(Brand_Log!$A$2:$A$201,J166)&gt;0,"Y","N"))</f>
        <v/>
      </c>
      <c r="N166" s="17">
        <f>IF(OR(J166="",AND(LEFT(J166,6)="SAMPLE",Config!$B$19&lt;&gt;"Y")),"",IF(IFERROR(INDEX(Lists!$J$2:$J$15,MATCH(K166,Lists!$I$2:$I$15,0)),-1)=-1,"status '"&amp;K166&amp;"' is not a CONTRACTS status",IF(AND(K166="paid",COUNTIF(paid_brands!$AC$2:$AC$51,J166)=0),"status paid but no paid_brands row"&amp;IF(M166="N"," and no tracker row",""),IF(AND(IFERROR(INDEX(Lists!$J$2:$J$15,MATCH(K166,Lists!$I$2:$I$15,0)),-1)&gt;=6,M166="N"),"status "&amp;K166&amp;" but no tracker row",IF(AND(L166="Y",K166&lt;&gt;"do_not_contact"),"do_not_contact = Y but status is "&amp;K166,IF(AND(K166="do_not_contact",L166&lt;&gt;"Y"),"status do_not_contact but do_not_contact is not Y",""))))))</f>
        <v/>
      </c>
    </row>
    <row r="167">
      <c r="B167" s="17" t="n">
        <v>146</v>
      </c>
      <c r="C167" s="17">
        <f>IFERROR(INDEX(Clay_Offices!$A$2:$FZ$601,B167,$C$5)&amp;"","")</f>
        <v/>
      </c>
      <c r="D167" s="17">
        <f>IFERROR(INDEX(Clay_Offices!$A$2:$FZ$601,B167,$C$7)&amp;"","")</f>
        <v/>
      </c>
      <c r="E167" s="17">
        <f>IFERROR(INDEX(Clay_Offices!$A$2:$FZ$601,B167,$C$8)&amp;"","")</f>
        <v/>
      </c>
      <c r="F167" s="17">
        <f>IF(C167="","",IF(COUNTIF(Office_Log!$A$2:$A$201,C167)&gt;0,"Y","N"))</f>
        <v/>
      </c>
      <c r="G167" s="17">
        <f>IF(OR(C167="",AND(LEFT(C167,6)="SAMPLE",Config!$B$19&lt;&gt;"Y")),"",IF(IFERROR(INDEX(Lists!$J$2:$J$15,MATCH(D167,Lists!$I$2:$I$15,0)),-1)=-1,"status '"&amp;D167&amp;"' is not a CONTRACTS status",IF(AND(D167="signed",COUNTIF(signed_offices!$W$2:$W$51,C167)=0),"status signed but no signed_offices row"&amp;IF(F167="N"," and no tracker row",""),IF(AND(IFERROR(INDEX(Lists!$J$2:$J$15,MATCH(D167,Lists!$I$2:$I$15,0)),-1)&gt;=6,F167="N"),"status "&amp;D167&amp;" but no tracker row",IF(AND(E167="Y",D167&lt;&gt;"do_not_contact"),"do_not_contact = Y but status is "&amp;D167,IF(AND(D167="do_not_contact",E167&lt;&gt;"Y"),"status do_not_contact but do_not_contact is not Y",""))))))</f>
        <v/>
      </c>
      <c r="I167" s="17" t="n">
        <v>146</v>
      </c>
      <c r="J167" s="17">
        <f>IFERROR(INDEX(Clay_Brands!$A$2:$FZ$601,I167,$D$5)&amp;"","")</f>
        <v/>
      </c>
      <c r="K167" s="17">
        <f>IFERROR(INDEX(Clay_Brands!$A$2:$FZ$601,I167,$D$7)&amp;"","")</f>
        <v/>
      </c>
      <c r="L167" s="17">
        <f>IFERROR(INDEX(Clay_Brands!$A$2:$FZ$601,I167,$D$8)&amp;"","")</f>
        <v/>
      </c>
      <c r="M167" s="17">
        <f>IF(J167="","",IF(COUNTIF(Brand_Log!$A$2:$A$201,J167)&gt;0,"Y","N"))</f>
        <v/>
      </c>
      <c r="N167" s="17">
        <f>IF(OR(J167="",AND(LEFT(J167,6)="SAMPLE",Config!$B$19&lt;&gt;"Y")),"",IF(IFERROR(INDEX(Lists!$J$2:$J$15,MATCH(K167,Lists!$I$2:$I$15,0)),-1)=-1,"status '"&amp;K167&amp;"' is not a CONTRACTS status",IF(AND(K167="paid",COUNTIF(paid_brands!$AC$2:$AC$51,J167)=0),"status paid but no paid_brands row"&amp;IF(M167="N"," and no tracker row",""),IF(AND(IFERROR(INDEX(Lists!$J$2:$J$15,MATCH(K167,Lists!$I$2:$I$15,0)),-1)&gt;=6,M167="N"),"status "&amp;K167&amp;" but no tracker row",IF(AND(L167="Y",K167&lt;&gt;"do_not_contact"),"do_not_contact = Y but status is "&amp;K167,IF(AND(K167="do_not_contact",L167&lt;&gt;"Y"),"status do_not_contact but do_not_contact is not Y",""))))))</f>
        <v/>
      </c>
    </row>
    <row r="168">
      <c r="B168" s="17" t="n">
        <v>147</v>
      </c>
      <c r="C168" s="17">
        <f>IFERROR(INDEX(Clay_Offices!$A$2:$FZ$601,B168,$C$5)&amp;"","")</f>
        <v/>
      </c>
      <c r="D168" s="17">
        <f>IFERROR(INDEX(Clay_Offices!$A$2:$FZ$601,B168,$C$7)&amp;"","")</f>
        <v/>
      </c>
      <c r="E168" s="17">
        <f>IFERROR(INDEX(Clay_Offices!$A$2:$FZ$601,B168,$C$8)&amp;"","")</f>
        <v/>
      </c>
      <c r="F168" s="17">
        <f>IF(C168="","",IF(COUNTIF(Office_Log!$A$2:$A$201,C168)&gt;0,"Y","N"))</f>
        <v/>
      </c>
      <c r="G168" s="17">
        <f>IF(OR(C168="",AND(LEFT(C168,6)="SAMPLE",Config!$B$19&lt;&gt;"Y")),"",IF(IFERROR(INDEX(Lists!$J$2:$J$15,MATCH(D168,Lists!$I$2:$I$15,0)),-1)=-1,"status '"&amp;D168&amp;"' is not a CONTRACTS status",IF(AND(D168="signed",COUNTIF(signed_offices!$W$2:$W$51,C168)=0),"status signed but no signed_offices row"&amp;IF(F168="N"," and no tracker row",""),IF(AND(IFERROR(INDEX(Lists!$J$2:$J$15,MATCH(D168,Lists!$I$2:$I$15,0)),-1)&gt;=6,F168="N"),"status "&amp;D168&amp;" but no tracker row",IF(AND(E168="Y",D168&lt;&gt;"do_not_contact"),"do_not_contact = Y but status is "&amp;D168,IF(AND(D168="do_not_contact",E168&lt;&gt;"Y"),"status do_not_contact but do_not_contact is not Y",""))))))</f>
        <v/>
      </c>
      <c r="I168" s="17" t="n">
        <v>147</v>
      </c>
      <c r="J168" s="17">
        <f>IFERROR(INDEX(Clay_Brands!$A$2:$FZ$601,I168,$D$5)&amp;"","")</f>
        <v/>
      </c>
      <c r="K168" s="17">
        <f>IFERROR(INDEX(Clay_Brands!$A$2:$FZ$601,I168,$D$7)&amp;"","")</f>
        <v/>
      </c>
      <c r="L168" s="17">
        <f>IFERROR(INDEX(Clay_Brands!$A$2:$FZ$601,I168,$D$8)&amp;"","")</f>
        <v/>
      </c>
      <c r="M168" s="17">
        <f>IF(J168="","",IF(COUNTIF(Brand_Log!$A$2:$A$201,J168)&gt;0,"Y","N"))</f>
        <v/>
      </c>
      <c r="N168" s="17">
        <f>IF(OR(J168="",AND(LEFT(J168,6)="SAMPLE",Config!$B$19&lt;&gt;"Y")),"",IF(IFERROR(INDEX(Lists!$J$2:$J$15,MATCH(K168,Lists!$I$2:$I$15,0)),-1)=-1,"status '"&amp;K168&amp;"' is not a CONTRACTS status",IF(AND(K168="paid",COUNTIF(paid_brands!$AC$2:$AC$51,J168)=0),"status paid but no paid_brands row"&amp;IF(M168="N"," and no tracker row",""),IF(AND(IFERROR(INDEX(Lists!$J$2:$J$15,MATCH(K168,Lists!$I$2:$I$15,0)),-1)&gt;=6,M168="N"),"status "&amp;K168&amp;" but no tracker row",IF(AND(L168="Y",K168&lt;&gt;"do_not_contact"),"do_not_contact = Y but status is "&amp;K168,IF(AND(K168="do_not_contact",L168&lt;&gt;"Y"),"status do_not_contact but do_not_contact is not Y",""))))))</f>
        <v/>
      </c>
    </row>
    <row r="169">
      <c r="B169" s="17" t="n">
        <v>148</v>
      </c>
      <c r="C169" s="17">
        <f>IFERROR(INDEX(Clay_Offices!$A$2:$FZ$601,B169,$C$5)&amp;"","")</f>
        <v/>
      </c>
      <c r="D169" s="17">
        <f>IFERROR(INDEX(Clay_Offices!$A$2:$FZ$601,B169,$C$7)&amp;"","")</f>
        <v/>
      </c>
      <c r="E169" s="17">
        <f>IFERROR(INDEX(Clay_Offices!$A$2:$FZ$601,B169,$C$8)&amp;"","")</f>
        <v/>
      </c>
      <c r="F169" s="17">
        <f>IF(C169="","",IF(COUNTIF(Office_Log!$A$2:$A$201,C169)&gt;0,"Y","N"))</f>
        <v/>
      </c>
      <c r="G169" s="17">
        <f>IF(OR(C169="",AND(LEFT(C169,6)="SAMPLE",Config!$B$19&lt;&gt;"Y")),"",IF(IFERROR(INDEX(Lists!$J$2:$J$15,MATCH(D169,Lists!$I$2:$I$15,0)),-1)=-1,"status '"&amp;D169&amp;"' is not a CONTRACTS status",IF(AND(D169="signed",COUNTIF(signed_offices!$W$2:$W$51,C169)=0),"status signed but no signed_offices row"&amp;IF(F169="N"," and no tracker row",""),IF(AND(IFERROR(INDEX(Lists!$J$2:$J$15,MATCH(D169,Lists!$I$2:$I$15,0)),-1)&gt;=6,F169="N"),"status "&amp;D169&amp;" but no tracker row",IF(AND(E169="Y",D169&lt;&gt;"do_not_contact"),"do_not_contact = Y but status is "&amp;D169,IF(AND(D169="do_not_contact",E169&lt;&gt;"Y"),"status do_not_contact but do_not_contact is not Y",""))))))</f>
        <v/>
      </c>
      <c r="I169" s="17" t="n">
        <v>148</v>
      </c>
      <c r="J169" s="17">
        <f>IFERROR(INDEX(Clay_Brands!$A$2:$FZ$601,I169,$D$5)&amp;"","")</f>
        <v/>
      </c>
      <c r="K169" s="17">
        <f>IFERROR(INDEX(Clay_Brands!$A$2:$FZ$601,I169,$D$7)&amp;"","")</f>
        <v/>
      </c>
      <c r="L169" s="17">
        <f>IFERROR(INDEX(Clay_Brands!$A$2:$FZ$601,I169,$D$8)&amp;"","")</f>
        <v/>
      </c>
      <c r="M169" s="17">
        <f>IF(J169="","",IF(COUNTIF(Brand_Log!$A$2:$A$201,J169)&gt;0,"Y","N"))</f>
        <v/>
      </c>
      <c r="N169" s="17">
        <f>IF(OR(J169="",AND(LEFT(J169,6)="SAMPLE",Config!$B$19&lt;&gt;"Y")),"",IF(IFERROR(INDEX(Lists!$J$2:$J$15,MATCH(K169,Lists!$I$2:$I$15,0)),-1)=-1,"status '"&amp;K169&amp;"' is not a CONTRACTS status",IF(AND(K169="paid",COUNTIF(paid_brands!$AC$2:$AC$51,J169)=0),"status paid but no paid_brands row"&amp;IF(M169="N"," and no tracker row",""),IF(AND(IFERROR(INDEX(Lists!$J$2:$J$15,MATCH(K169,Lists!$I$2:$I$15,0)),-1)&gt;=6,M169="N"),"status "&amp;K169&amp;" but no tracker row",IF(AND(L169="Y",K169&lt;&gt;"do_not_contact"),"do_not_contact = Y but status is "&amp;K169,IF(AND(K169="do_not_contact",L169&lt;&gt;"Y"),"status do_not_contact but do_not_contact is not Y",""))))))</f>
        <v/>
      </c>
    </row>
    <row r="170">
      <c r="B170" s="17" t="n">
        <v>149</v>
      </c>
      <c r="C170" s="17">
        <f>IFERROR(INDEX(Clay_Offices!$A$2:$FZ$601,B170,$C$5)&amp;"","")</f>
        <v/>
      </c>
      <c r="D170" s="17">
        <f>IFERROR(INDEX(Clay_Offices!$A$2:$FZ$601,B170,$C$7)&amp;"","")</f>
        <v/>
      </c>
      <c r="E170" s="17">
        <f>IFERROR(INDEX(Clay_Offices!$A$2:$FZ$601,B170,$C$8)&amp;"","")</f>
        <v/>
      </c>
      <c r="F170" s="17">
        <f>IF(C170="","",IF(COUNTIF(Office_Log!$A$2:$A$201,C170)&gt;0,"Y","N"))</f>
        <v/>
      </c>
      <c r="G170" s="17">
        <f>IF(OR(C170="",AND(LEFT(C170,6)="SAMPLE",Config!$B$19&lt;&gt;"Y")),"",IF(IFERROR(INDEX(Lists!$J$2:$J$15,MATCH(D170,Lists!$I$2:$I$15,0)),-1)=-1,"status '"&amp;D170&amp;"' is not a CONTRACTS status",IF(AND(D170="signed",COUNTIF(signed_offices!$W$2:$W$51,C170)=0),"status signed but no signed_offices row"&amp;IF(F170="N"," and no tracker row",""),IF(AND(IFERROR(INDEX(Lists!$J$2:$J$15,MATCH(D170,Lists!$I$2:$I$15,0)),-1)&gt;=6,F170="N"),"status "&amp;D170&amp;" but no tracker row",IF(AND(E170="Y",D170&lt;&gt;"do_not_contact"),"do_not_contact = Y but status is "&amp;D170,IF(AND(D170="do_not_contact",E170&lt;&gt;"Y"),"status do_not_contact but do_not_contact is not Y",""))))))</f>
        <v/>
      </c>
      <c r="I170" s="17" t="n">
        <v>149</v>
      </c>
      <c r="J170" s="17">
        <f>IFERROR(INDEX(Clay_Brands!$A$2:$FZ$601,I170,$D$5)&amp;"","")</f>
        <v/>
      </c>
      <c r="K170" s="17">
        <f>IFERROR(INDEX(Clay_Brands!$A$2:$FZ$601,I170,$D$7)&amp;"","")</f>
        <v/>
      </c>
      <c r="L170" s="17">
        <f>IFERROR(INDEX(Clay_Brands!$A$2:$FZ$601,I170,$D$8)&amp;"","")</f>
        <v/>
      </c>
      <c r="M170" s="17">
        <f>IF(J170="","",IF(COUNTIF(Brand_Log!$A$2:$A$201,J170)&gt;0,"Y","N"))</f>
        <v/>
      </c>
      <c r="N170" s="17">
        <f>IF(OR(J170="",AND(LEFT(J170,6)="SAMPLE",Config!$B$19&lt;&gt;"Y")),"",IF(IFERROR(INDEX(Lists!$J$2:$J$15,MATCH(K170,Lists!$I$2:$I$15,0)),-1)=-1,"status '"&amp;K170&amp;"' is not a CONTRACTS status",IF(AND(K170="paid",COUNTIF(paid_brands!$AC$2:$AC$51,J170)=0),"status paid but no paid_brands row"&amp;IF(M170="N"," and no tracker row",""),IF(AND(IFERROR(INDEX(Lists!$J$2:$J$15,MATCH(K170,Lists!$I$2:$I$15,0)),-1)&gt;=6,M170="N"),"status "&amp;K170&amp;" but no tracker row",IF(AND(L170="Y",K170&lt;&gt;"do_not_contact"),"do_not_contact = Y but status is "&amp;K170,IF(AND(K170="do_not_contact",L170&lt;&gt;"Y"),"status do_not_contact but do_not_contact is not Y",""))))))</f>
        <v/>
      </c>
    </row>
    <row r="171">
      <c r="B171" s="17" t="n">
        <v>150</v>
      </c>
      <c r="C171" s="17">
        <f>IFERROR(INDEX(Clay_Offices!$A$2:$FZ$601,B171,$C$5)&amp;"","")</f>
        <v/>
      </c>
      <c r="D171" s="17">
        <f>IFERROR(INDEX(Clay_Offices!$A$2:$FZ$601,B171,$C$7)&amp;"","")</f>
        <v/>
      </c>
      <c r="E171" s="17">
        <f>IFERROR(INDEX(Clay_Offices!$A$2:$FZ$601,B171,$C$8)&amp;"","")</f>
        <v/>
      </c>
      <c r="F171" s="17">
        <f>IF(C171="","",IF(COUNTIF(Office_Log!$A$2:$A$201,C171)&gt;0,"Y","N"))</f>
        <v/>
      </c>
      <c r="G171" s="17">
        <f>IF(OR(C171="",AND(LEFT(C171,6)="SAMPLE",Config!$B$19&lt;&gt;"Y")),"",IF(IFERROR(INDEX(Lists!$J$2:$J$15,MATCH(D171,Lists!$I$2:$I$15,0)),-1)=-1,"status '"&amp;D171&amp;"' is not a CONTRACTS status",IF(AND(D171="signed",COUNTIF(signed_offices!$W$2:$W$51,C171)=0),"status signed but no signed_offices row"&amp;IF(F171="N"," and no tracker row",""),IF(AND(IFERROR(INDEX(Lists!$J$2:$J$15,MATCH(D171,Lists!$I$2:$I$15,0)),-1)&gt;=6,F171="N"),"status "&amp;D171&amp;" but no tracker row",IF(AND(E171="Y",D171&lt;&gt;"do_not_contact"),"do_not_contact = Y but status is "&amp;D171,IF(AND(D171="do_not_contact",E171&lt;&gt;"Y"),"status do_not_contact but do_not_contact is not Y",""))))))</f>
        <v/>
      </c>
      <c r="I171" s="17" t="n">
        <v>150</v>
      </c>
      <c r="J171" s="17">
        <f>IFERROR(INDEX(Clay_Brands!$A$2:$FZ$601,I171,$D$5)&amp;"","")</f>
        <v/>
      </c>
      <c r="K171" s="17">
        <f>IFERROR(INDEX(Clay_Brands!$A$2:$FZ$601,I171,$D$7)&amp;"","")</f>
        <v/>
      </c>
      <c r="L171" s="17">
        <f>IFERROR(INDEX(Clay_Brands!$A$2:$FZ$601,I171,$D$8)&amp;"","")</f>
        <v/>
      </c>
      <c r="M171" s="17">
        <f>IF(J171="","",IF(COUNTIF(Brand_Log!$A$2:$A$201,J171)&gt;0,"Y","N"))</f>
        <v/>
      </c>
      <c r="N171" s="17">
        <f>IF(OR(J171="",AND(LEFT(J171,6)="SAMPLE",Config!$B$19&lt;&gt;"Y")),"",IF(IFERROR(INDEX(Lists!$J$2:$J$15,MATCH(K171,Lists!$I$2:$I$15,0)),-1)=-1,"status '"&amp;K171&amp;"' is not a CONTRACTS status",IF(AND(K171="paid",COUNTIF(paid_brands!$AC$2:$AC$51,J171)=0),"status paid but no paid_brands row"&amp;IF(M171="N"," and no tracker row",""),IF(AND(IFERROR(INDEX(Lists!$J$2:$J$15,MATCH(K171,Lists!$I$2:$I$15,0)),-1)&gt;=6,M171="N"),"status "&amp;K171&amp;" but no tracker row",IF(AND(L171="Y",K171&lt;&gt;"do_not_contact"),"do_not_contact = Y but status is "&amp;K171,IF(AND(K171="do_not_contact",L171&lt;&gt;"Y"),"status do_not_contact but do_not_contact is not Y",""))))))</f>
        <v/>
      </c>
    </row>
    <row r="172">
      <c r="B172" s="17" t="n">
        <v>151</v>
      </c>
      <c r="C172" s="17">
        <f>IFERROR(INDEX(Clay_Offices!$A$2:$FZ$601,B172,$C$5)&amp;"","")</f>
        <v/>
      </c>
      <c r="D172" s="17">
        <f>IFERROR(INDEX(Clay_Offices!$A$2:$FZ$601,B172,$C$7)&amp;"","")</f>
        <v/>
      </c>
      <c r="E172" s="17">
        <f>IFERROR(INDEX(Clay_Offices!$A$2:$FZ$601,B172,$C$8)&amp;"","")</f>
        <v/>
      </c>
      <c r="F172" s="17">
        <f>IF(C172="","",IF(COUNTIF(Office_Log!$A$2:$A$201,C172)&gt;0,"Y","N"))</f>
        <v/>
      </c>
      <c r="G172" s="17">
        <f>IF(OR(C172="",AND(LEFT(C172,6)="SAMPLE",Config!$B$19&lt;&gt;"Y")),"",IF(IFERROR(INDEX(Lists!$J$2:$J$15,MATCH(D172,Lists!$I$2:$I$15,0)),-1)=-1,"status '"&amp;D172&amp;"' is not a CONTRACTS status",IF(AND(D172="signed",COUNTIF(signed_offices!$W$2:$W$51,C172)=0),"status signed but no signed_offices row"&amp;IF(F172="N"," and no tracker row",""),IF(AND(IFERROR(INDEX(Lists!$J$2:$J$15,MATCH(D172,Lists!$I$2:$I$15,0)),-1)&gt;=6,F172="N"),"status "&amp;D172&amp;" but no tracker row",IF(AND(E172="Y",D172&lt;&gt;"do_not_contact"),"do_not_contact = Y but status is "&amp;D172,IF(AND(D172="do_not_contact",E172&lt;&gt;"Y"),"status do_not_contact but do_not_contact is not Y",""))))))</f>
        <v/>
      </c>
      <c r="I172" s="17" t="n">
        <v>151</v>
      </c>
      <c r="J172" s="17">
        <f>IFERROR(INDEX(Clay_Brands!$A$2:$FZ$601,I172,$D$5)&amp;"","")</f>
        <v/>
      </c>
      <c r="K172" s="17">
        <f>IFERROR(INDEX(Clay_Brands!$A$2:$FZ$601,I172,$D$7)&amp;"","")</f>
        <v/>
      </c>
      <c r="L172" s="17">
        <f>IFERROR(INDEX(Clay_Brands!$A$2:$FZ$601,I172,$D$8)&amp;"","")</f>
        <v/>
      </c>
      <c r="M172" s="17">
        <f>IF(J172="","",IF(COUNTIF(Brand_Log!$A$2:$A$201,J172)&gt;0,"Y","N"))</f>
        <v/>
      </c>
      <c r="N172" s="17">
        <f>IF(OR(J172="",AND(LEFT(J172,6)="SAMPLE",Config!$B$19&lt;&gt;"Y")),"",IF(IFERROR(INDEX(Lists!$J$2:$J$15,MATCH(K172,Lists!$I$2:$I$15,0)),-1)=-1,"status '"&amp;K172&amp;"' is not a CONTRACTS status",IF(AND(K172="paid",COUNTIF(paid_brands!$AC$2:$AC$51,J172)=0),"status paid but no paid_brands row"&amp;IF(M172="N"," and no tracker row",""),IF(AND(IFERROR(INDEX(Lists!$J$2:$J$15,MATCH(K172,Lists!$I$2:$I$15,0)),-1)&gt;=6,M172="N"),"status "&amp;K172&amp;" but no tracker row",IF(AND(L172="Y",K172&lt;&gt;"do_not_contact"),"do_not_contact = Y but status is "&amp;K172,IF(AND(K172="do_not_contact",L172&lt;&gt;"Y"),"status do_not_contact but do_not_contact is not Y",""))))))</f>
        <v/>
      </c>
    </row>
    <row r="173">
      <c r="B173" s="17" t="n">
        <v>152</v>
      </c>
      <c r="C173" s="17">
        <f>IFERROR(INDEX(Clay_Offices!$A$2:$FZ$601,B173,$C$5)&amp;"","")</f>
        <v/>
      </c>
      <c r="D173" s="17">
        <f>IFERROR(INDEX(Clay_Offices!$A$2:$FZ$601,B173,$C$7)&amp;"","")</f>
        <v/>
      </c>
      <c r="E173" s="17">
        <f>IFERROR(INDEX(Clay_Offices!$A$2:$FZ$601,B173,$C$8)&amp;"","")</f>
        <v/>
      </c>
      <c r="F173" s="17">
        <f>IF(C173="","",IF(COUNTIF(Office_Log!$A$2:$A$201,C173)&gt;0,"Y","N"))</f>
        <v/>
      </c>
      <c r="G173" s="17">
        <f>IF(OR(C173="",AND(LEFT(C173,6)="SAMPLE",Config!$B$19&lt;&gt;"Y")),"",IF(IFERROR(INDEX(Lists!$J$2:$J$15,MATCH(D173,Lists!$I$2:$I$15,0)),-1)=-1,"status '"&amp;D173&amp;"' is not a CONTRACTS status",IF(AND(D173="signed",COUNTIF(signed_offices!$W$2:$W$51,C173)=0),"status signed but no signed_offices row"&amp;IF(F173="N"," and no tracker row",""),IF(AND(IFERROR(INDEX(Lists!$J$2:$J$15,MATCH(D173,Lists!$I$2:$I$15,0)),-1)&gt;=6,F173="N"),"status "&amp;D173&amp;" but no tracker row",IF(AND(E173="Y",D173&lt;&gt;"do_not_contact"),"do_not_contact = Y but status is "&amp;D173,IF(AND(D173="do_not_contact",E173&lt;&gt;"Y"),"status do_not_contact but do_not_contact is not Y",""))))))</f>
        <v/>
      </c>
      <c r="I173" s="17" t="n">
        <v>152</v>
      </c>
      <c r="J173" s="17">
        <f>IFERROR(INDEX(Clay_Brands!$A$2:$FZ$601,I173,$D$5)&amp;"","")</f>
        <v/>
      </c>
      <c r="K173" s="17">
        <f>IFERROR(INDEX(Clay_Brands!$A$2:$FZ$601,I173,$D$7)&amp;"","")</f>
        <v/>
      </c>
      <c r="L173" s="17">
        <f>IFERROR(INDEX(Clay_Brands!$A$2:$FZ$601,I173,$D$8)&amp;"","")</f>
        <v/>
      </c>
      <c r="M173" s="17">
        <f>IF(J173="","",IF(COUNTIF(Brand_Log!$A$2:$A$201,J173)&gt;0,"Y","N"))</f>
        <v/>
      </c>
      <c r="N173" s="17">
        <f>IF(OR(J173="",AND(LEFT(J173,6)="SAMPLE",Config!$B$19&lt;&gt;"Y")),"",IF(IFERROR(INDEX(Lists!$J$2:$J$15,MATCH(K173,Lists!$I$2:$I$15,0)),-1)=-1,"status '"&amp;K173&amp;"' is not a CONTRACTS status",IF(AND(K173="paid",COUNTIF(paid_brands!$AC$2:$AC$51,J173)=0),"status paid but no paid_brands row"&amp;IF(M173="N"," and no tracker row",""),IF(AND(IFERROR(INDEX(Lists!$J$2:$J$15,MATCH(K173,Lists!$I$2:$I$15,0)),-1)&gt;=6,M173="N"),"status "&amp;K173&amp;" but no tracker row",IF(AND(L173="Y",K173&lt;&gt;"do_not_contact"),"do_not_contact = Y but status is "&amp;K173,IF(AND(K173="do_not_contact",L173&lt;&gt;"Y"),"status do_not_contact but do_not_contact is not Y",""))))))</f>
        <v/>
      </c>
    </row>
    <row r="174">
      <c r="B174" s="17" t="n">
        <v>153</v>
      </c>
      <c r="C174" s="17">
        <f>IFERROR(INDEX(Clay_Offices!$A$2:$FZ$601,B174,$C$5)&amp;"","")</f>
        <v/>
      </c>
      <c r="D174" s="17">
        <f>IFERROR(INDEX(Clay_Offices!$A$2:$FZ$601,B174,$C$7)&amp;"","")</f>
        <v/>
      </c>
      <c r="E174" s="17">
        <f>IFERROR(INDEX(Clay_Offices!$A$2:$FZ$601,B174,$C$8)&amp;"","")</f>
        <v/>
      </c>
      <c r="F174" s="17">
        <f>IF(C174="","",IF(COUNTIF(Office_Log!$A$2:$A$201,C174)&gt;0,"Y","N"))</f>
        <v/>
      </c>
      <c r="G174" s="17">
        <f>IF(OR(C174="",AND(LEFT(C174,6)="SAMPLE",Config!$B$19&lt;&gt;"Y")),"",IF(IFERROR(INDEX(Lists!$J$2:$J$15,MATCH(D174,Lists!$I$2:$I$15,0)),-1)=-1,"status '"&amp;D174&amp;"' is not a CONTRACTS status",IF(AND(D174="signed",COUNTIF(signed_offices!$W$2:$W$51,C174)=0),"status signed but no signed_offices row"&amp;IF(F174="N"," and no tracker row",""),IF(AND(IFERROR(INDEX(Lists!$J$2:$J$15,MATCH(D174,Lists!$I$2:$I$15,0)),-1)&gt;=6,F174="N"),"status "&amp;D174&amp;" but no tracker row",IF(AND(E174="Y",D174&lt;&gt;"do_not_contact"),"do_not_contact = Y but status is "&amp;D174,IF(AND(D174="do_not_contact",E174&lt;&gt;"Y"),"status do_not_contact but do_not_contact is not Y",""))))))</f>
        <v/>
      </c>
      <c r="I174" s="17" t="n">
        <v>153</v>
      </c>
      <c r="J174" s="17">
        <f>IFERROR(INDEX(Clay_Brands!$A$2:$FZ$601,I174,$D$5)&amp;"","")</f>
        <v/>
      </c>
      <c r="K174" s="17">
        <f>IFERROR(INDEX(Clay_Brands!$A$2:$FZ$601,I174,$D$7)&amp;"","")</f>
        <v/>
      </c>
      <c r="L174" s="17">
        <f>IFERROR(INDEX(Clay_Brands!$A$2:$FZ$601,I174,$D$8)&amp;"","")</f>
        <v/>
      </c>
      <c r="M174" s="17">
        <f>IF(J174="","",IF(COUNTIF(Brand_Log!$A$2:$A$201,J174)&gt;0,"Y","N"))</f>
        <v/>
      </c>
      <c r="N174" s="17">
        <f>IF(OR(J174="",AND(LEFT(J174,6)="SAMPLE",Config!$B$19&lt;&gt;"Y")),"",IF(IFERROR(INDEX(Lists!$J$2:$J$15,MATCH(K174,Lists!$I$2:$I$15,0)),-1)=-1,"status '"&amp;K174&amp;"' is not a CONTRACTS status",IF(AND(K174="paid",COUNTIF(paid_brands!$AC$2:$AC$51,J174)=0),"status paid but no paid_brands row"&amp;IF(M174="N"," and no tracker row",""),IF(AND(IFERROR(INDEX(Lists!$J$2:$J$15,MATCH(K174,Lists!$I$2:$I$15,0)),-1)&gt;=6,M174="N"),"status "&amp;K174&amp;" but no tracker row",IF(AND(L174="Y",K174&lt;&gt;"do_not_contact"),"do_not_contact = Y but status is "&amp;K174,IF(AND(K174="do_not_contact",L174&lt;&gt;"Y"),"status do_not_contact but do_not_contact is not Y",""))))))</f>
        <v/>
      </c>
    </row>
    <row r="175">
      <c r="B175" s="17" t="n">
        <v>154</v>
      </c>
      <c r="C175" s="17">
        <f>IFERROR(INDEX(Clay_Offices!$A$2:$FZ$601,B175,$C$5)&amp;"","")</f>
        <v/>
      </c>
      <c r="D175" s="17">
        <f>IFERROR(INDEX(Clay_Offices!$A$2:$FZ$601,B175,$C$7)&amp;"","")</f>
        <v/>
      </c>
      <c r="E175" s="17">
        <f>IFERROR(INDEX(Clay_Offices!$A$2:$FZ$601,B175,$C$8)&amp;"","")</f>
        <v/>
      </c>
      <c r="F175" s="17">
        <f>IF(C175="","",IF(COUNTIF(Office_Log!$A$2:$A$201,C175)&gt;0,"Y","N"))</f>
        <v/>
      </c>
      <c r="G175" s="17">
        <f>IF(OR(C175="",AND(LEFT(C175,6)="SAMPLE",Config!$B$19&lt;&gt;"Y")),"",IF(IFERROR(INDEX(Lists!$J$2:$J$15,MATCH(D175,Lists!$I$2:$I$15,0)),-1)=-1,"status '"&amp;D175&amp;"' is not a CONTRACTS status",IF(AND(D175="signed",COUNTIF(signed_offices!$W$2:$W$51,C175)=0),"status signed but no signed_offices row"&amp;IF(F175="N"," and no tracker row",""),IF(AND(IFERROR(INDEX(Lists!$J$2:$J$15,MATCH(D175,Lists!$I$2:$I$15,0)),-1)&gt;=6,F175="N"),"status "&amp;D175&amp;" but no tracker row",IF(AND(E175="Y",D175&lt;&gt;"do_not_contact"),"do_not_contact = Y but status is "&amp;D175,IF(AND(D175="do_not_contact",E175&lt;&gt;"Y"),"status do_not_contact but do_not_contact is not Y",""))))))</f>
        <v/>
      </c>
      <c r="I175" s="17" t="n">
        <v>154</v>
      </c>
      <c r="J175" s="17">
        <f>IFERROR(INDEX(Clay_Brands!$A$2:$FZ$601,I175,$D$5)&amp;"","")</f>
        <v/>
      </c>
      <c r="K175" s="17">
        <f>IFERROR(INDEX(Clay_Brands!$A$2:$FZ$601,I175,$D$7)&amp;"","")</f>
        <v/>
      </c>
      <c r="L175" s="17">
        <f>IFERROR(INDEX(Clay_Brands!$A$2:$FZ$601,I175,$D$8)&amp;"","")</f>
        <v/>
      </c>
      <c r="M175" s="17">
        <f>IF(J175="","",IF(COUNTIF(Brand_Log!$A$2:$A$201,J175)&gt;0,"Y","N"))</f>
        <v/>
      </c>
      <c r="N175" s="17">
        <f>IF(OR(J175="",AND(LEFT(J175,6)="SAMPLE",Config!$B$19&lt;&gt;"Y")),"",IF(IFERROR(INDEX(Lists!$J$2:$J$15,MATCH(K175,Lists!$I$2:$I$15,0)),-1)=-1,"status '"&amp;K175&amp;"' is not a CONTRACTS status",IF(AND(K175="paid",COUNTIF(paid_brands!$AC$2:$AC$51,J175)=0),"status paid but no paid_brands row"&amp;IF(M175="N"," and no tracker row",""),IF(AND(IFERROR(INDEX(Lists!$J$2:$J$15,MATCH(K175,Lists!$I$2:$I$15,0)),-1)&gt;=6,M175="N"),"status "&amp;K175&amp;" but no tracker row",IF(AND(L175="Y",K175&lt;&gt;"do_not_contact"),"do_not_contact = Y but status is "&amp;K175,IF(AND(K175="do_not_contact",L175&lt;&gt;"Y"),"status do_not_contact but do_not_contact is not Y",""))))))</f>
        <v/>
      </c>
    </row>
    <row r="176">
      <c r="B176" s="17" t="n">
        <v>155</v>
      </c>
      <c r="C176" s="17">
        <f>IFERROR(INDEX(Clay_Offices!$A$2:$FZ$601,B176,$C$5)&amp;"","")</f>
        <v/>
      </c>
      <c r="D176" s="17">
        <f>IFERROR(INDEX(Clay_Offices!$A$2:$FZ$601,B176,$C$7)&amp;"","")</f>
        <v/>
      </c>
      <c r="E176" s="17">
        <f>IFERROR(INDEX(Clay_Offices!$A$2:$FZ$601,B176,$C$8)&amp;"","")</f>
        <v/>
      </c>
      <c r="F176" s="17">
        <f>IF(C176="","",IF(COUNTIF(Office_Log!$A$2:$A$201,C176)&gt;0,"Y","N"))</f>
        <v/>
      </c>
      <c r="G176" s="17">
        <f>IF(OR(C176="",AND(LEFT(C176,6)="SAMPLE",Config!$B$19&lt;&gt;"Y")),"",IF(IFERROR(INDEX(Lists!$J$2:$J$15,MATCH(D176,Lists!$I$2:$I$15,0)),-1)=-1,"status '"&amp;D176&amp;"' is not a CONTRACTS status",IF(AND(D176="signed",COUNTIF(signed_offices!$W$2:$W$51,C176)=0),"status signed but no signed_offices row"&amp;IF(F176="N"," and no tracker row",""),IF(AND(IFERROR(INDEX(Lists!$J$2:$J$15,MATCH(D176,Lists!$I$2:$I$15,0)),-1)&gt;=6,F176="N"),"status "&amp;D176&amp;" but no tracker row",IF(AND(E176="Y",D176&lt;&gt;"do_not_contact"),"do_not_contact = Y but status is "&amp;D176,IF(AND(D176="do_not_contact",E176&lt;&gt;"Y"),"status do_not_contact but do_not_contact is not Y",""))))))</f>
        <v/>
      </c>
      <c r="I176" s="17" t="n">
        <v>155</v>
      </c>
      <c r="J176" s="17">
        <f>IFERROR(INDEX(Clay_Brands!$A$2:$FZ$601,I176,$D$5)&amp;"","")</f>
        <v/>
      </c>
      <c r="K176" s="17">
        <f>IFERROR(INDEX(Clay_Brands!$A$2:$FZ$601,I176,$D$7)&amp;"","")</f>
        <v/>
      </c>
      <c r="L176" s="17">
        <f>IFERROR(INDEX(Clay_Brands!$A$2:$FZ$601,I176,$D$8)&amp;"","")</f>
        <v/>
      </c>
      <c r="M176" s="17">
        <f>IF(J176="","",IF(COUNTIF(Brand_Log!$A$2:$A$201,J176)&gt;0,"Y","N"))</f>
        <v/>
      </c>
      <c r="N176" s="17">
        <f>IF(OR(J176="",AND(LEFT(J176,6)="SAMPLE",Config!$B$19&lt;&gt;"Y")),"",IF(IFERROR(INDEX(Lists!$J$2:$J$15,MATCH(K176,Lists!$I$2:$I$15,0)),-1)=-1,"status '"&amp;K176&amp;"' is not a CONTRACTS status",IF(AND(K176="paid",COUNTIF(paid_brands!$AC$2:$AC$51,J176)=0),"status paid but no paid_brands row"&amp;IF(M176="N"," and no tracker row",""),IF(AND(IFERROR(INDEX(Lists!$J$2:$J$15,MATCH(K176,Lists!$I$2:$I$15,0)),-1)&gt;=6,M176="N"),"status "&amp;K176&amp;" but no tracker row",IF(AND(L176="Y",K176&lt;&gt;"do_not_contact"),"do_not_contact = Y but status is "&amp;K176,IF(AND(K176="do_not_contact",L176&lt;&gt;"Y"),"status do_not_contact but do_not_contact is not Y",""))))))</f>
        <v/>
      </c>
    </row>
    <row r="177">
      <c r="B177" s="17" t="n">
        <v>156</v>
      </c>
      <c r="C177" s="17">
        <f>IFERROR(INDEX(Clay_Offices!$A$2:$FZ$601,B177,$C$5)&amp;"","")</f>
        <v/>
      </c>
      <c r="D177" s="17">
        <f>IFERROR(INDEX(Clay_Offices!$A$2:$FZ$601,B177,$C$7)&amp;"","")</f>
        <v/>
      </c>
      <c r="E177" s="17">
        <f>IFERROR(INDEX(Clay_Offices!$A$2:$FZ$601,B177,$C$8)&amp;"","")</f>
        <v/>
      </c>
      <c r="F177" s="17">
        <f>IF(C177="","",IF(COUNTIF(Office_Log!$A$2:$A$201,C177)&gt;0,"Y","N"))</f>
        <v/>
      </c>
      <c r="G177" s="17">
        <f>IF(OR(C177="",AND(LEFT(C177,6)="SAMPLE",Config!$B$19&lt;&gt;"Y")),"",IF(IFERROR(INDEX(Lists!$J$2:$J$15,MATCH(D177,Lists!$I$2:$I$15,0)),-1)=-1,"status '"&amp;D177&amp;"' is not a CONTRACTS status",IF(AND(D177="signed",COUNTIF(signed_offices!$W$2:$W$51,C177)=0),"status signed but no signed_offices row"&amp;IF(F177="N"," and no tracker row",""),IF(AND(IFERROR(INDEX(Lists!$J$2:$J$15,MATCH(D177,Lists!$I$2:$I$15,0)),-1)&gt;=6,F177="N"),"status "&amp;D177&amp;" but no tracker row",IF(AND(E177="Y",D177&lt;&gt;"do_not_contact"),"do_not_contact = Y but status is "&amp;D177,IF(AND(D177="do_not_contact",E177&lt;&gt;"Y"),"status do_not_contact but do_not_contact is not Y",""))))))</f>
        <v/>
      </c>
      <c r="I177" s="17" t="n">
        <v>156</v>
      </c>
      <c r="J177" s="17">
        <f>IFERROR(INDEX(Clay_Brands!$A$2:$FZ$601,I177,$D$5)&amp;"","")</f>
        <v/>
      </c>
      <c r="K177" s="17">
        <f>IFERROR(INDEX(Clay_Brands!$A$2:$FZ$601,I177,$D$7)&amp;"","")</f>
        <v/>
      </c>
      <c r="L177" s="17">
        <f>IFERROR(INDEX(Clay_Brands!$A$2:$FZ$601,I177,$D$8)&amp;"","")</f>
        <v/>
      </c>
      <c r="M177" s="17">
        <f>IF(J177="","",IF(COUNTIF(Brand_Log!$A$2:$A$201,J177)&gt;0,"Y","N"))</f>
        <v/>
      </c>
      <c r="N177" s="17">
        <f>IF(OR(J177="",AND(LEFT(J177,6)="SAMPLE",Config!$B$19&lt;&gt;"Y")),"",IF(IFERROR(INDEX(Lists!$J$2:$J$15,MATCH(K177,Lists!$I$2:$I$15,0)),-1)=-1,"status '"&amp;K177&amp;"' is not a CONTRACTS status",IF(AND(K177="paid",COUNTIF(paid_brands!$AC$2:$AC$51,J177)=0),"status paid but no paid_brands row"&amp;IF(M177="N"," and no tracker row",""),IF(AND(IFERROR(INDEX(Lists!$J$2:$J$15,MATCH(K177,Lists!$I$2:$I$15,0)),-1)&gt;=6,M177="N"),"status "&amp;K177&amp;" but no tracker row",IF(AND(L177="Y",K177&lt;&gt;"do_not_contact"),"do_not_contact = Y but status is "&amp;K177,IF(AND(K177="do_not_contact",L177&lt;&gt;"Y"),"status do_not_contact but do_not_contact is not Y",""))))))</f>
        <v/>
      </c>
    </row>
    <row r="178">
      <c r="B178" s="17" t="n">
        <v>157</v>
      </c>
      <c r="C178" s="17">
        <f>IFERROR(INDEX(Clay_Offices!$A$2:$FZ$601,B178,$C$5)&amp;"","")</f>
        <v/>
      </c>
      <c r="D178" s="17">
        <f>IFERROR(INDEX(Clay_Offices!$A$2:$FZ$601,B178,$C$7)&amp;"","")</f>
        <v/>
      </c>
      <c r="E178" s="17">
        <f>IFERROR(INDEX(Clay_Offices!$A$2:$FZ$601,B178,$C$8)&amp;"","")</f>
        <v/>
      </c>
      <c r="F178" s="17">
        <f>IF(C178="","",IF(COUNTIF(Office_Log!$A$2:$A$201,C178)&gt;0,"Y","N"))</f>
        <v/>
      </c>
      <c r="G178" s="17">
        <f>IF(OR(C178="",AND(LEFT(C178,6)="SAMPLE",Config!$B$19&lt;&gt;"Y")),"",IF(IFERROR(INDEX(Lists!$J$2:$J$15,MATCH(D178,Lists!$I$2:$I$15,0)),-1)=-1,"status '"&amp;D178&amp;"' is not a CONTRACTS status",IF(AND(D178="signed",COUNTIF(signed_offices!$W$2:$W$51,C178)=0),"status signed but no signed_offices row"&amp;IF(F178="N"," and no tracker row",""),IF(AND(IFERROR(INDEX(Lists!$J$2:$J$15,MATCH(D178,Lists!$I$2:$I$15,0)),-1)&gt;=6,F178="N"),"status "&amp;D178&amp;" but no tracker row",IF(AND(E178="Y",D178&lt;&gt;"do_not_contact"),"do_not_contact = Y but status is "&amp;D178,IF(AND(D178="do_not_contact",E178&lt;&gt;"Y"),"status do_not_contact but do_not_contact is not Y",""))))))</f>
        <v/>
      </c>
      <c r="I178" s="17" t="n">
        <v>157</v>
      </c>
      <c r="J178" s="17">
        <f>IFERROR(INDEX(Clay_Brands!$A$2:$FZ$601,I178,$D$5)&amp;"","")</f>
        <v/>
      </c>
      <c r="K178" s="17">
        <f>IFERROR(INDEX(Clay_Brands!$A$2:$FZ$601,I178,$D$7)&amp;"","")</f>
        <v/>
      </c>
      <c r="L178" s="17">
        <f>IFERROR(INDEX(Clay_Brands!$A$2:$FZ$601,I178,$D$8)&amp;"","")</f>
        <v/>
      </c>
      <c r="M178" s="17">
        <f>IF(J178="","",IF(COUNTIF(Brand_Log!$A$2:$A$201,J178)&gt;0,"Y","N"))</f>
        <v/>
      </c>
      <c r="N178" s="17">
        <f>IF(OR(J178="",AND(LEFT(J178,6)="SAMPLE",Config!$B$19&lt;&gt;"Y")),"",IF(IFERROR(INDEX(Lists!$J$2:$J$15,MATCH(K178,Lists!$I$2:$I$15,0)),-1)=-1,"status '"&amp;K178&amp;"' is not a CONTRACTS status",IF(AND(K178="paid",COUNTIF(paid_brands!$AC$2:$AC$51,J178)=0),"status paid but no paid_brands row"&amp;IF(M178="N"," and no tracker row",""),IF(AND(IFERROR(INDEX(Lists!$J$2:$J$15,MATCH(K178,Lists!$I$2:$I$15,0)),-1)&gt;=6,M178="N"),"status "&amp;K178&amp;" but no tracker row",IF(AND(L178="Y",K178&lt;&gt;"do_not_contact"),"do_not_contact = Y but status is "&amp;K178,IF(AND(K178="do_not_contact",L178&lt;&gt;"Y"),"status do_not_contact but do_not_contact is not Y",""))))))</f>
        <v/>
      </c>
    </row>
    <row r="179">
      <c r="B179" s="17" t="n">
        <v>158</v>
      </c>
      <c r="C179" s="17">
        <f>IFERROR(INDEX(Clay_Offices!$A$2:$FZ$601,B179,$C$5)&amp;"","")</f>
        <v/>
      </c>
      <c r="D179" s="17">
        <f>IFERROR(INDEX(Clay_Offices!$A$2:$FZ$601,B179,$C$7)&amp;"","")</f>
        <v/>
      </c>
      <c r="E179" s="17">
        <f>IFERROR(INDEX(Clay_Offices!$A$2:$FZ$601,B179,$C$8)&amp;"","")</f>
        <v/>
      </c>
      <c r="F179" s="17">
        <f>IF(C179="","",IF(COUNTIF(Office_Log!$A$2:$A$201,C179)&gt;0,"Y","N"))</f>
        <v/>
      </c>
      <c r="G179" s="17">
        <f>IF(OR(C179="",AND(LEFT(C179,6)="SAMPLE",Config!$B$19&lt;&gt;"Y")),"",IF(IFERROR(INDEX(Lists!$J$2:$J$15,MATCH(D179,Lists!$I$2:$I$15,0)),-1)=-1,"status '"&amp;D179&amp;"' is not a CONTRACTS status",IF(AND(D179="signed",COUNTIF(signed_offices!$W$2:$W$51,C179)=0),"status signed but no signed_offices row"&amp;IF(F179="N"," and no tracker row",""),IF(AND(IFERROR(INDEX(Lists!$J$2:$J$15,MATCH(D179,Lists!$I$2:$I$15,0)),-1)&gt;=6,F179="N"),"status "&amp;D179&amp;" but no tracker row",IF(AND(E179="Y",D179&lt;&gt;"do_not_contact"),"do_not_contact = Y but status is "&amp;D179,IF(AND(D179="do_not_contact",E179&lt;&gt;"Y"),"status do_not_contact but do_not_contact is not Y",""))))))</f>
        <v/>
      </c>
      <c r="I179" s="17" t="n">
        <v>158</v>
      </c>
      <c r="J179" s="17">
        <f>IFERROR(INDEX(Clay_Brands!$A$2:$FZ$601,I179,$D$5)&amp;"","")</f>
        <v/>
      </c>
      <c r="K179" s="17">
        <f>IFERROR(INDEX(Clay_Brands!$A$2:$FZ$601,I179,$D$7)&amp;"","")</f>
        <v/>
      </c>
      <c r="L179" s="17">
        <f>IFERROR(INDEX(Clay_Brands!$A$2:$FZ$601,I179,$D$8)&amp;"","")</f>
        <v/>
      </c>
      <c r="M179" s="17">
        <f>IF(J179="","",IF(COUNTIF(Brand_Log!$A$2:$A$201,J179)&gt;0,"Y","N"))</f>
        <v/>
      </c>
      <c r="N179" s="17">
        <f>IF(OR(J179="",AND(LEFT(J179,6)="SAMPLE",Config!$B$19&lt;&gt;"Y")),"",IF(IFERROR(INDEX(Lists!$J$2:$J$15,MATCH(K179,Lists!$I$2:$I$15,0)),-1)=-1,"status '"&amp;K179&amp;"' is not a CONTRACTS status",IF(AND(K179="paid",COUNTIF(paid_brands!$AC$2:$AC$51,J179)=0),"status paid but no paid_brands row"&amp;IF(M179="N"," and no tracker row",""),IF(AND(IFERROR(INDEX(Lists!$J$2:$J$15,MATCH(K179,Lists!$I$2:$I$15,0)),-1)&gt;=6,M179="N"),"status "&amp;K179&amp;" but no tracker row",IF(AND(L179="Y",K179&lt;&gt;"do_not_contact"),"do_not_contact = Y but status is "&amp;K179,IF(AND(K179="do_not_contact",L179&lt;&gt;"Y"),"status do_not_contact but do_not_contact is not Y",""))))))</f>
        <v/>
      </c>
    </row>
    <row r="180">
      <c r="B180" s="17" t="n">
        <v>159</v>
      </c>
      <c r="C180" s="17">
        <f>IFERROR(INDEX(Clay_Offices!$A$2:$FZ$601,B180,$C$5)&amp;"","")</f>
        <v/>
      </c>
      <c r="D180" s="17">
        <f>IFERROR(INDEX(Clay_Offices!$A$2:$FZ$601,B180,$C$7)&amp;"","")</f>
        <v/>
      </c>
      <c r="E180" s="17">
        <f>IFERROR(INDEX(Clay_Offices!$A$2:$FZ$601,B180,$C$8)&amp;"","")</f>
        <v/>
      </c>
      <c r="F180" s="17">
        <f>IF(C180="","",IF(COUNTIF(Office_Log!$A$2:$A$201,C180)&gt;0,"Y","N"))</f>
        <v/>
      </c>
      <c r="G180" s="17">
        <f>IF(OR(C180="",AND(LEFT(C180,6)="SAMPLE",Config!$B$19&lt;&gt;"Y")),"",IF(IFERROR(INDEX(Lists!$J$2:$J$15,MATCH(D180,Lists!$I$2:$I$15,0)),-1)=-1,"status '"&amp;D180&amp;"' is not a CONTRACTS status",IF(AND(D180="signed",COUNTIF(signed_offices!$W$2:$W$51,C180)=0),"status signed but no signed_offices row"&amp;IF(F180="N"," and no tracker row",""),IF(AND(IFERROR(INDEX(Lists!$J$2:$J$15,MATCH(D180,Lists!$I$2:$I$15,0)),-1)&gt;=6,F180="N"),"status "&amp;D180&amp;" but no tracker row",IF(AND(E180="Y",D180&lt;&gt;"do_not_contact"),"do_not_contact = Y but status is "&amp;D180,IF(AND(D180="do_not_contact",E180&lt;&gt;"Y"),"status do_not_contact but do_not_contact is not Y",""))))))</f>
        <v/>
      </c>
      <c r="I180" s="17" t="n">
        <v>159</v>
      </c>
      <c r="J180" s="17">
        <f>IFERROR(INDEX(Clay_Brands!$A$2:$FZ$601,I180,$D$5)&amp;"","")</f>
        <v/>
      </c>
      <c r="K180" s="17">
        <f>IFERROR(INDEX(Clay_Brands!$A$2:$FZ$601,I180,$D$7)&amp;"","")</f>
        <v/>
      </c>
      <c r="L180" s="17">
        <f>IFERROR(INDEX(Clay_Brands!$A$2:$FZ$601,I180,$D$8)&amp;"","")</f>
        <v/>
      </c>
      <c r="M180" s="17">
        <f>IF(J180="","",IF(COUNTIF(Brand_Log!$A$2:$A$201,J180)&gt;0,"Y","N"))</f>
        <v/>
      </c>
      <c r="N180" s="17">
        <f>IF(OR(J180="",AND(LEFT(J180,6)="SAMPLE",Config!$B$19&lt;&gt;"Y")),"",IF(IFERROR(INDEX(Lists!$J$2:$J$15,MATCH(K180,Lists!$I$2:$I$15,0)),-1)=-1,"status '"&amp;K180&amp;"' is not a CONTRACTS status",IF(AND(K180="paid",COUNTIF(paid_brands!$AC$2:$AC$51,J180)=0),"status paid but no paid_brands row"&amp;IF(M180="N"," and no tracker row",""),IF(AND(IFERROR(INDEX(Lists!$J$2:$J$15,MATCH(K180,Lists!$I$2:$I$15,0)),-1)&gt;=6,M180="N"),"status "&amp;K180&amp;" but no tracker row",IF(AND(L180="Y",K180&lt;&gt;"do_not_contact"),"do_not_contact = Y but status is "&amp;K180,IF(AND(K180="do_not_contact",L180&lt;&gt;"Y"),"status do_not_contact but do_not_contact is not Y",""))))))</f>
        <v/>
      </c>
    </row>
    <row r="181">
      <c r="B181" s="17" t="n">
        <v>160</v>
      </c>
      <c r="C181" s="17">
        <f>IFERROR(INDEX(Clay_Offices!$A$2:$FZ$601,B181,$C$5)&amp;"","")</f>
        <v/>
      </c>
      <c r="D181" s="17">
        <f>IFERROR(INDEX(Clay_Offices!$A$2:$FZ$601,B181,$C$7)&amp;"","")</f>
        <v/>
      </c>
      <c r="E181" s="17">
        <f>IFERROR(INDEX(Clay_Offices!$A$2:$FZ$601,B181,$C$8)&amp;"","")</f>
        <v/>
      </c>
      <c r="F181" s="17">
        <f>IF(C181="","",IF(COUNTIF(Office_Log!$A$2:$A$201,C181)&gt;0,"Y","N"))</f>
        <v/>
      </c>
      <c r="G181" s="17">
        <f>IF(OR(C181="",AND(LEFT(C181,6)="SAMPLE",Config!$B$19&lt;&gt;"Y")),"",IF(IFERROR(INDEX(Lists!$J$2:$J$15,MATCH(D181,Lists!$I$2:$I$15,0)),-1)=-1,"status '"&amp;D181&amp;"' is not a CONTRACTS status",IF(AND(D181="signed",COUNTIF(signed_offices!$W$2:$W$51,C181)=0),"status signed but no signed_offices row"&amp;IF(F181="N"," and no tracker row",""),IF(AND(IFERROR(INDEX(Lists!$J$2:$J$15,MATCH(D181,Lists!$I$2:$I$15,0)),-1)&gt;=6,F181="N"),"status "&amp;D181&amp;" but no tracker row",IF(AND(E181="Y",D181&lt;&gt;"do_not_contact"),"do_not_contact = Y but status is "&amp;D181,IF(AND(D181="do_not_contact",E181&lt;&gt;"Y"),"status do_not_contact but do_not_contact is not Y",""))))))</f>
        <v/>
      </c>
      <c r="I181" s="17" t="n">
        <v>160</v>
      </c>
      <c r="J181" s="17">
        <f>IFERROR(INDEX(Clay_Brands!$A$2:$FZ$601,I181,$D$5)&amp;"","")</f>
        <v/>
      </c>
      <c r="K181" s="17">
        <f>IFERROR(INDEX(Clay_Brands!$A$2:$FZ$601,I181,$D$7)&amp;"","")</f>
        <v/>
      </c>
      <c r="L181" s="17">
        <f>IFERROR(INDEX(Clay_Brands!$A$2:$FZ$601,I181,$D$8)&amp;"","")</f>
        <v/>
      </c>
      <c r="M181" s="17">
        <f>IF(J181="","",IF(COUNTIF(Brand_Log!$A$2:$A$201,J181)&gt;0,"Y","N"))</f>
        <v/>
      </c>
      <c r="N181" s="17">
        <f>IF(OR(J181="",AND(LEFT(J181,6)="SAMPLE",Config!$B$19&lt;&gt;"Y")),"",IF(IFERROR(INDEX(Lists!$J$2:$J$15,MATCH(K181,Lists!$I$2:$I$15,0)),-1)=-1,"status '"&amp;K181&amp;"' is not a CONTRACTS status",IF(AND(K181="paid",COUNTIF(paid_brands!$AC$2:$AC$51,J181)=0),"status paid but no paid_brands row"&amp;IF(M181="N"," and no tracker row",""),IF(AND(IFERROR(INDEX(Lists!$J$2:$J$15,MATCH(K181,Lists!$I$2:$I$15,0)),-1)&gt;=6,M181="N"),"status "&amp;K181&amp;" but no tracker row",IF(AND(L181="Y",K181&lt;&gt;"do_not_contact"),"do_not_contact = Y but status is "&amp;K181,IF(AND(K181="do_not_contact",L181&lt;&gt;"Y"),"status do_not_contact but do_not_contact is not Y",""))))))</f>
        <v/>
      </c>
    </row>
    <row r="182">
      <c r="B182" s="17" t="n">
        <v>161</v>
      </c>
      <c r="C182" s="17">
        <f>IFERROR(INDEX(Clay_Offices!$A$2:$FZ$601,B182,$C$5)&amp;"","")</f>
        <v/>
      </c>
      <c r="D182" s="17">
        <f>IFERROR(INDEX(Clay_Offices!$A$2:$FZ$601,B182,$C$7)&amp;"","")</f>
        <v/>
      </c>
      <c r="E182" s="17">
        <f>IFERROR(INDEX(Clay_Offices!$A$2:$FZ$601,B182,$C$8)&amp;"","")</f>
        <v/>
      </c>
      <c r="F182" s="17">
        <f>IF(C182="","",IF(COUNTIF(Office_Log!$A$2:$A$201,C182)&gt;0,"Y","N"))</f>
        <v/>
      </c>
      <c r="G182" s="17">
        <f>IF(OR(C182="",AND(LEFT(C182,6)="SAMPLE",Config!$B$19&lt;&gt;"Y")),"",IF(IFERROR(INDEX(Lists!$J$2:$J$15,MATCH(D182,Lists!$I$2:$I$15,0)),-1)=-1,"status '"&amp;D182&amp;"' is not a CONTRACTS status",IF(AND(D182="signed",COUNTIF(signed_offices!$W$2:$W$51,C182)=0),"status signed but no signed_offices row"&amp;IF(F182="N"," and no tracker row",""),IF(AND(IFERROR(INDEX(Lists!$J$2:$J$15,MATCH(D182,Lists!$I$2:$I$15,0)),-1)&gt;=6,F182="N"),"status "&amp;D182&amp;" but no tracker row",IF(AND(E182="Y",D182&lt;&gt;"do_not_contact"),"do_not_contact = Y but status is "&amp;D182,IF(AND(D182="do_not_contact",E182&lt;&gt;"Y"),"status do_not_contact but do_not_contact is not Y",""))))))</f>
        <v/>
      </c>
      <c r="I182" s="17" t="n">
        <v>161</v>
      </c>
      <c r="J182" s="17">
        <f>IFERROR(INDEX(Clay_Brands!$A$2:$FZ$601,I182,$D$5)&amp;"","")</f>
        <v/>
      </c>
      <c r="K182" s="17">
        <f>IFERROR(INDEX(Clay_Brands!$A$2:$FZ$601,I182,$D$7)&amp;"","")</f>
        <v/>
      </c>
      <c r="L182" s="17">
        <f>IFERROR(INDEX(Clay_Brands!$A$2:$FZ$601,I182,$D$8)&amp;"","")</f>
        <v/>
      </c>
      <c r="M182" s="17">
        <f>IF(J182="","",IF(COUNTIF(Brand_Log!$A$2:$A$201,J182)&gt;0,"Y","N"))</f>
        <v/>
      </c>
      <c r="N182" s="17">
        <f>IF(OR(J182="",AND(LEFT(J182,6)="SAMPLE",Config!$B$19&lt;&gt;"Y")),"",IF(IFERROR(INDEX(Lists!$J$2:$J$15,MATCH(K182,Lists!$I$2:$I$15,0)),-1)=-1,"status '"&amp;K182&amp;"' is not a CONTRACTS status",IF(AND(K182="paid",COUNTIF(paid_brands!$AC$2:$AC$51,J182)=0),"status paid but no paid_brands row"&amp;IF(M182="N"," and no tracker row",""),IF(AND(IFERROR(INDEX(Lists!$J$2:$J$15,MATCH(K182,Lists!$I$2:$I$15,0)),-1)&gt;=6,M182="N"),"status "&amp;K182&amp;" but no tracker row",IF(AND(L182="Y",K182&lt;&gt;"do_not_contact"),"do_not_contact = Y but status is "&amp;K182,IF(AND(K182="do_not_contact",L182&lt;&gt;"Y"),"status do_not_contact but do_not_contact is not Y",""))))))</f>
        <v/>
      </c>
    </row>
    <row r="183">
      <c r="B183" s="17" t="n">
        <v>162</v>
      </c>
      <c r="C183" s="17">
        <f>IFERROR(INDEX(Clay_Offices!$A$2:$FZ$601,B183,$C$5)&amp;"","")</f>
        <v/>
      </c>
      <c r="D183" s="17">
        <f>IFERROR(INDEX(Clay_Offices!$A$2:$FZ$601,B183,$C$7)&amp;"","")</f>
        <v/>
      </c>
      <c r="E183" s="17">
        <f>IFERROR(INDEX(Clay_Offices!$A$2:$FZ$601,B183,$C$8)&amp;"","")</f>
        <v/>
      </c>
      <c r="F183" s="17">
        <f>IF(C183="","",IF(COUNTIF(Office_Log!$A$2:$A$201,C183)&gt;0,"Y","N"))</f>
        <v/>
      </c>
      <c r="G183" s="17">
        <f>IF(OR(C183="",AND(LEFT(C183,6)="SAMPLE",Config!$B$19&lt;&gt;"Y")),"",IF(IFERROR(INDEX(Lists!$J$2:$J$15,MATCH(D183,Lists!$I$2:$I$15,0)),-1)=-1,"status '"&amp;D183&amp;"' is not a CONTRACTS status",IF(AND(D183="signed",COUNTIF(signed_offices!$W$2:$W$51,C183)=0),"status signed but no signed_offices row"&amp;IF(F183="N"," and no tracker row",""),IF(AND(IFERROR(INDEX(Lists!$J$2:$J$15,MATCH(D183,Lists!$I$2:$I$15,0)),-1)&gt;=6,F183="N"),"status "&amp;D183&amp;" but no tracker row",IF(AND(E183="Y",D183&lt;&gt;"do_not_contact"),"do_not_contact = Y but status is "&amp;D183,IF(AND(D183="do_not_contact",E183&lt;&gt;"Y"),"status do_not_contact but do_not_contact is not Y",""))))))</f>
        <v/>
      </c>
      <c r="I183" s="17" t="n">
        <v>162</v>
      </c>
      <c r="J183" s="17">
        <f>IFERROR(INDEX(Clay_Brands!$A$2:$FZ$601,I183,$D$5)&amp;"","")</f>
        <v/>
      </c>
      <c r="K183" s="17">
        <f>IFERROR(INDEX(Clay_Brands!$A$2:$FZ$601,I183,$D$7)&amp;"","")</f>
        <v/>
      </c>
      <c r="L183" s="17">
        <f>IFERROR(INDEX(Clay_Brands!$A$2:$FZ$601,I183,$D$8)&amp;"","")</f>
        <v/>
      </c>
      <c r="M183" s="17">
        <f>IF(J183="","",IF(COUNTIF(Brand_Log!$A$2:$A$201,J183)&gt;0,"Y","N"))</f>
        <v/>
      </c>
      <c r="N183" s="17">
        <f>IF(OR(J183="",AND(LEFT(J183,6)="SAMPLE",Config!$B$19&lt;&gt;"Y")),"",IF(IFERROR(INDEX(Lists!$J$2:$J$15,MATCH(K183,Lists!$I$2:$I$15,0)),-1)=-1,"status '"&amp;K183&amp;"' is not a CONTRACTS status",IF(AND(K183="paid",COUNTIF(paid_brands!$AC$2:$AC$51,J183)=0),"status paid but no paid_brands row"&amp;IF(M183="N"," and no tracker row",""),IF(AND(IFERROR(INDEX(Lists!$J$2:$J$15,MATCH(K183,Lists!$I$2:$I$15,0)),-1)&gt;=6,M183="N"),"status "&amp;K183&amp;" but no tracker row",IF(AND(L183="Y",K183&lt;&gt;"do_not_contact"),"do_not_contact = Y but status is "&amp;K183,IF(AND(K183="do_not_contact",L183&lt;&gt;"Y"),"status do_not_contact but do_not_contact is not Y",""))))))</f>
        <v/>
      </c>
    </row>
    <row r="184">
      <c r="B184" s="17" t="n">
        <v>163</v>
      </c>
      <c r="C184" s="17">
        <f>IFERROR(INDEX(Clay_Offices!$A$2:$FZ$601,B184,$C$5)&amp;"","")</f>
        <v/>
      </c>
      <c r="D184" s="17">
        <f>IFERROR(INDEX(Clay_Offices!$A$2:$FZ$601,B184,$C$7)&amp;"","")</f>
        <v/>
      </c>
      <c r="E184" s="17">
        <f>IFERROR(INDEX(Clay_Offices!$A$2:$FZ$601,B184,$C$8)&amp;"","")</f>
        <v/>
      </c>
      <c r="F184" s="17">
        <f>IF(C184="","",IF(COUNTIF(Office_Log!$A$2:$A$201,C184)&gt;0,"Y","N"))</f>
        <v/>
      </c>
      <c r="G184" s="17">
        <f>IF(OR(C184="",AND(LEFT(C184,6)="SAMPLE",Config!$B$19&lt;&gt;"Y")),"",IF(IFERROR(INDEX(Lists!$J$2:$J$15,MATCH(D184,Lists!$I$2:$I$15,0)),-1)=-1,"status '"&amp;D184&amp;"' is not a CONTRACTS status",IF(AND(D184="signed",COUNTIF(signed_offices!$W$2:$W$51,C184)=0),"status signed but no signed_offices row"&amp;IF(F184="N"," and no tracker row",""),IF(AND(IFERROR(INDEX(Lists!$J$2:$J$15,MATCH(D184,Lists!$I$2:$I$15,0)),-1)&gt;=6,F184="N"),"status "&amp;D184&amp;" but no tracker row",IF(AND(E184="Y",D184&lt;&gt;"do_not_contact"),"do_not_contact = Y but status is "&amp;D184,IF(AND(D184="do_not_contact",E184&lt;&gt;"Y"),"status do_not_contact but do_not_contact is not Y",""))))))</f>
        <v/>
      </c>
      <c r="I184" s="17" t="n">
        <v>163</v>
      </c>
      <c r="J184" s="17">
        <f>IFERROR(INDEX(Clay_Brands!$A$2:$FZ$601,I184,$D$5)&amp;"","")</f>
        <v/>
      </c>
      <c r="K184" s="17">
        <f>IFERROR(INDEX(Clay_Brands!$A$2:$FZ$601,I184,$D$7)&amp;"","")</f>
        <v/>
      </c>
      <c r="L184" s="17">
        <f>IFERROR(INDEX(Clay_Brands!$A$2:$FZ$601,I184,$D$8)&amp;"","")</f>
        <v/>
      </c>
      <c r="M184" s="17">
        <f>IF(J184="","",IF(COUNTIF(Brand_Log!$A$2:$A$201,J184)&gt;0,"Y","N"))</f>
        <v/>
      </c>
      <c r="N184" s="17">
        <f>IF(OR(J184="",AND(LEFT(J184,6)="SAMPLE",Config!$B$19&lt;&gt;"Y")),"",IF(IFERROR(INDEX(Lists!$J$2:$J$15,MATCH(K184,Lists!$I$2:$I$15,0)),-1)=-1,"status '"&amp;K184&amp;"' is not a CONTRACTS status",IF(AND(K184="paid",COUNTIF(paid_brands!$AC$2:$AC$51,J184)=0),"status paid but no paid_brands row"&amp;IF(M184="N"," and no tracker row",""),IF(AND(IFERROR(INDEX(Lists!$J$2:$J$15,MATCH(K184,Lists!$I$2:$I$15,0)),-1)&gt;=6,M184="N"),"status "&amp;K184&amp;" but no tracker row",IF(AND(L184="Y",K184&lt;&gt;"do_not_contact"),"do_not_contact = Y but status is "&amp;K184,IF(AND(K184="do_not_contact",L184&lt;&gt;"Y"),"status do_not_contact but do_not_contact is not Y",""))))))</f>
        <v/>
      </c>
    </row>
    <row r="185">
      <c r="B185" s="17" t="n">
        <v>164</v>
      </c>
      <c r="C185" s="17">
        <f>IFERROR(INDEX(Clay_Offices!$A$2:$FZ$601,B185,$C$5)&amp;"","")</f>
        <v/>
      </c>
      <c r="D185" s="17">
        <f>IFERROR(INDEX(Clay_Offices!$A$2:$FZ$601,B185,$C$7)&amp;"","")</f>
        <v/>
      </c>
      <c r="E185" s="17">
        <f>IFERROR(INDEX(Clay_Offices!$A$2:$FZ$601,B185,$C$8)&amp;"","")</f>
        <v/>
      </c>
      <c r="F185" s="17">
        <f>IF(C185="","",IF(COUNTIF(Office_Log!$A$2:$A$201,C185)&gt;0,"Y","N"))</f>
        <v/>
      </c>
      <c r="G185" s="17">
        <f>IF(OR(C185="",AND(LEFT(C185,6)="SAMPLE",Config!$B$19&lt;&gt;"Y")),"",IF(IFERROR(INDEX(Lists!$J$2:$J$15,MATCH(D185,Lists!$I$2:$I$15,0)),-1)=-1,"status '"&amp;D185&amp;"' is not a CONTRACTS status",IF(AND(D185="signed",COUNTIF(signed_offices!$W$2:$W$51,C185)=0),"status signed but no signed_offices row"&amp;IF(F185="N"," and no tracker row",""),IF(AND(IFERROR(INDEX(Lists!$J$2:$J$15,MATCH(D185,Lists!$I$2:$I$15,0)),-1)&gt;=6,F185="N"),"status "&amp;D185&amp;" but no tracker row",IF(AND(E185="Y",D185&lt;&gt;"do_not_contact"),"do_not_contact = Y but status is "&amp;D185,IF(AND(D185="do_not_contact",E185&lt;&gt;"Y"),"status do_not_contact but do_not_contact is not Y",""))))))</f>
        <v/>
      </c>
      <c r="I185" s="17" t="n">
        <v>164</v>
      </c>
      <c r="J185" s="17">
        <f>IFERROR(INDEX(Clay_Brands!$A$2:$FZ$601,I185,$D$5)&amp;"","")</f>
        <v/>
      </c>
      <c r="K185" s="17">
        <f>IFERROR(INDEX(Clay_Brands!$A$2:$FZ$601,I185,$D$7)&amp;"","")</f>
        <v/>
      </c>
      <c r="L185" s="17">
        <f>IFERROR(INDEX(Clay_Brands!$A$2:$FZ$601,I185,$D$8)&amp;"","")</f>
        <v/>
      </c>
      <c r="M185" s="17">
        <f>IF(J185="","",IF(COUNTIF(Brand_Log!$A$2:$A$201,J185)&gt;0,"Y","N"))</f>
        <v/>
      </c>
      <c r="N185" s="17">
        <f>IF(OR(J185="",AND(LEFT(J185,6)="SAMPLE",Config!$B$19&lt;&gt;"Y")),"",IF(IFERROR(INDEX(Lists!$J$2:$J$15,MATCH(K185,Lists!$I$2:$I$15,0)),-1)=-1,"status '"&amp;K185&amp;"' is not a CONTRACTS status",IF(AND(K185="paid",COUNTIF(paid_brands!$AC$2:$AC$51,J185)=0),"status paid but no paid_brands row"&amp;IF(M185="N"," and no tracker row",""),IF(AND(IFERROR(INDEX(Lists!$J$2:$J$15,MATCH(K185,Lists!$I$2:$I$15,0)),-1)&gt;=6,M185="N"),"status "&amp;K185&amp;" but no tracker row",IF(AND(L185="Y",K185&lt;&gt;"do_not_contact"),"do_not_contact = Y but status is "&amp;K185,IF(AND(K185="do_not_contact",L185&lt;&gt;"Y"),"status do_not_contact but do_not_contact is not Y",""))))))</f>
        <v/>
      </c>
    </row>
    <row r="186">
      <c r="B186" s="17" t="n">
        <v>165</v>
      </c>
      <c r="C186" s="17">
        <f>IFERROR(INDEX(Clay_Offices!$A$2:$FZ$601,B186,$C$5)&amp;"","")</f>
        <v/>
      </c>
      <c r="D186" s="17">
        <f>IFERROR(INDEX(Clay_Offices!$A$2:$FZ$601,B186,$C$7)&amp;"","")</f>
        <v/>
      </c>
      <c r="E186" s="17">
        <f>IFERROR(INDEX(Clay_Offices!$A$2:$FZ$601,B186,$C$8)&amp;"","")</f>
        <v/>
      </c>
      <c r="F186" s="17">
        <f>IF(C186="","",IF(COUNTIF(Office_Log!$A$2:$A$201,C186)&gt;0,"Y","N"))</f>
        <v/>
      </c>
      <c r="G186" s="17">
        <f>IF(OR(C186="",AND(LEFT(C186,6)="SAMPLE",Config!$B$19&lt;&gt;"Y")),"",IF(IFERROR(INDEX(Lists!$J$2:$J$15,MATCH(D186,Lists!$I$2:$I$15,0)),-1)=-1,"status '"&amp;D186&amp;"' is not a CONTRACTS status",IF(AND(D186="signed",COUNTIF(signed_offices!$W$2:$W$51,C186)=0),"status signed but no signed_offices row"&amp;IF(F186="N"," and no tracker row",""),IF(AND(IFERROR(INDEX(Lists!$J$2:$J$15,MATCH(D186,Lists!$I$2:$I$15,0)),-1)&gt;=6,F186="N"),"status "&amp;D186&amp;" but no tracker row",IF(AND(E186="Y",D186&lt;&gt;"do_not_contact"),"do_not_contact = Y but status is "&amp;D186,IF(AND(D186="do_not_contact",E186&lt;&gt;"Y"),"status do_not_contact but do_not_contact is not Y",""))))))</f>
        <v/>
      </c>
      <c r="I186" s="17" t="n">
        <v>165</v>
      </c>
      <c r="J186" s="17">
        <f>IFERROR(INDEX(Clay_Brands!$A$2:$FZ$601,I186,$D$5)&amp;"","")</f>
        <v/>
      </c>
      <c r="K186" s="17">
        <f>IFERROR(INDEX(Clay_Brands!$A$2:$FZ$601,I186,$D$7)&amp;"","")</f>
        <v/>
      </c>
      <c r="L186" s="17">
        <f>IFERROR(INDEX(Clay_Brands!$A$2:$FZ$601,I186,$D$8)&amp;"","")</f>
        <v/>
      </c>
      <c r="M186" s="17">
        <f>IF(J186="","",IF(COUNTIF(Brand_Log!$A$2:$A$201,J186)&gt;0,"Y","N"))</f>
        <v/>
      </c>
      <c r="N186" s="17">
        <f>IF(OR(J186="",AND(LEFT(J186,6)="SAMPLE",Config!$B$19&lt;&gt;"Y")),"",IF(IFERROR(INDEX(Lists!$J$2:$J$15,MATCH(K186,Lists!$I$2:$I$15,0)),-1)=-1,"status '"&amp;K186&amp;"' is not a CONTRACTS status",IF(AND(K186="paid",COUNTIF(paid_brands!$AC$2:$AC$51,J186)=0),"status paid but no paid_brands row"&amp;IF(M186="N"," and no tracker row",""),IF(AND(IFERROR(INDEX(Lists!$J$2:$J$15,MATCH(K186,Lists!$I$2:$I$15,0)),-1)&gt;=6,M186="N"),"status "&amp;K186&amp;" but no tracker row",IF(AND(L186="Y",K186&lt;&gt;"do_not_contact"),"do_not_contact = Y but status is "&amp;K186,IF(AND(K186="do_not_contact",L186&lt;&gt;"Y"),"status do_not_contact but do_not_contact is not Y",""))))))</f>
        <v/>
      </c>
    </row>
    <row r="187">
      <c r="B187" s="17" t="n">
        <v>166</v>
      </c>
      <c r="C187" s="17">
        <f>IFERROR(INDEX(Clay_Offices!$A$2:$FZ$601,B187,$C$5)&amp;"","")</f>
        <v/>
      </c>
      <c r="D187" s="17">
        <f>IFERROR(INDEX(Clay_Offices!$A$2:$FZ$601,B187,$C$7)&amp;"","")</f>
        <v/>
      </c>
      <c r="E187" s="17">
        <f>IFERROR(INDEX(Clay_Offices!$A$2:$FZ$601,B187,$C$8)&amp;"","")</f>
        <v/>
      </c>
      <c r="F187" s="17">
        <f>IF(C187="","",IF(COUNTIF(Office_Log!$A$2:$A$201,C187)&gt;0,"Y","N"))</f>
        <v/>
      </c>
      <c r="G187" s="17">
        <f>IF(OR(C187="",AND(LEFT(C187,6)="SAMPLE",Config!$B$19&lt;&gt;"Y")),"",IF(IFERROR(INDEX(Lists!$J$2:$J$15,MATCH(D187,Lists!$I$2:$I$15,0)),-1)=-1,"status '"&amp;D187&amp;"' is not a CONTRACTS status",IF(AND(D187="signed",COUNTIF(signed_offices!$W$2:$W$51,C187)=0),"status signed but no signed_offices row"&amp;IF(F187="N"," and no tracker row",""),IF(AND(IFERROR(INDEX(Lists!$J$2:$J$15,MATCH(D187,Lists!$I$2:$I$15,0)),-1)&gt;=6,F187="N"),"status "&amp;D187&amp;" but no tracker row",IF(AND(E187="Y",D187&lt;&gt;"do_not_contact"),"do_not_contact = Y but status is "&amp;D187,IF(AND(D187="do_not_contact",E187&lt;&gt;"Y"),"status do_not_contact but do_not_contact is not Y",""))))))</f>
        <v/>
      </c>
      <c r="I187" s="17" t="n">
        <v>166</v>
      </c>
      <c r="J187" s="17">
        <f>IFERROR(INDEX(Clay_Brands!$A$2:$FZ$601,I187,$D$5)&amp;"","")</f>
        <v/>
      </c>
      <c r="K187" s="17">
        <f>IFERROR(INDEX(Clay_Brands!$A$2:$FZ$601,I187,$D$7)&amp;"","")</f>
        <v/>
      </c>
      <c r="L187" s="17">
        <f>IFERROR(INDEX(Clay_Brands!$A$2:$FZ$601,I187,$D$8)&amp;"","")</f>
        <v/>
      </c>
      <c r="M187" s="17">
        <f>IF(J187="","",IF(COUNTIF(Brand_Log!$A$2:$A$201,J187)&gt;0,"Y","N"))</f>
        <v/>
      </c>
      <c r="N187" s="17">
        <f>IF(OR(J187="",AND(LEFT(J187,6)="SAMPLE",Config!$B$19&lt;&gt;"Y")),"",IF(IFERROR(INDEX(Lists!$J$2:$J$15,MATCH(K187,Lists!$I$2:$I$15,0)),-1)=-1,"status '"&amp;K187&amp;"' is not a CONTRACTS status",IF(AND(K187="paid",COUNTIF(paid_brands!$AC$2:$AC$51,J187)=0),"status paid but no paid_brands row"&amp;IF(M187="N"," and no tracker row",""),IF(AND(IFERROR(INDEX(Lists!$J$2:$J$15,MATCH(K187,Lists!$I$2:$I$15,0)),-1)&gt;=6,M187="N"),"status "&amp;K187&amp;" but no tracker row",IF(AND(L187="Y",K187&lt;&gt;"do_not_contact"),"do_not_contact = Y but status is "&amp;K187,IF(AND(K187="do_not_contact",L187&lt;&gt;"Y"),"status do_not_contact but do_not_contact is not Y",""))))))</f>
        <v/>
      </c>
    </row>
    <row r="188">
      <c r="B188" s="17" t="n">
        <v>167</v>
      </c>
      <c r="C188" s="17">
        <f>IFERROR(INDEX(Clay_Offices!$A$2:$FZ$601,B188,$C$5)&amp;"","")</f>
        <v/>
      </c>
      <c r="D188" s="17">
        <f>IFERROR(INDEX(Clay_Offices!$A$2:$FZ$601,B188,$C$7)&amp;"","")</f>
        <v/>
      </c>
      <c r="E188" s="17">
        <f>IFERROR(INDEX(Clay_Offices!$A$2:$FZ$601,B188,$C$8)&amp;"","")</f>
        <v/>
      </c>
      <c r="F188" s="17">
        <f>IF(C188="","",IF(COUNTIF(Office_Log!$A$2:$A$201,C188)&gt;0,"Y","N"))</f>
        <v/>
      </c>
      <c r="G188" s="17">
        <f>IF(OR(C188="",AND(LEFT(C188,6)="SAMPLE",Config!$B$19&lt;&gt;"Y")),"",IF(IFERROR(INDEX(Lists!$J$2:$J$15,MATCH(D188,Lists!$I$2:$I$15,0)),-1)=-1,"status '"&amp;D188&amp;"' is not a CONTRACTS status",IF(AND(D188="signed",COUNTIF(signed_offices!$W$2:$W$51,C188)=0),"status signed but no signed_offices row"&amp;IF(F188="N"," and no tracker row",""),IF(AND(IFERROR(INDEX(Lists!$J$2:$J$15,MATCH(D188,Lists!$I$2:$I$15,0)),-1)&gt;=6,F188="N"),"status "&amp;D188&amp;" but no tracker row",IF(AND(E188="Y",D188&lt;&gt;"do_not_contact"),"do_not_contact = Y but status is "&amp;D188,IF(AND(D188="do_not_contact",E188&lt;&gt;"Y"),"status do_not_contact but do_not_contact is not Y",""))))))</f>
        <v/>
      </c>
      <c r="I188" s="17" t="n">
        <v>167</v>
      </c>
      <c r="J188" s="17">
        <f>IFERROR(INDEX(Clay_Brands!$A$2:$FZ$601,I188,$D$5)&amp;"","")</f>
        <v/>
      </c>
      <c r="K188" s="17">
        <f>IFERROR(INDEX(Clay_Brands!$A$2:$FZ$601,I188,$D$7)&amp;"","")</f>
        <v/>
      </c>
      <c r="L188" s="17">
        <f>IFERROR(INDEX(Clay_Brands!$A$2:$FZ$601,I188,$D$8)&amp;"","")</f>
        <v/>
      </c>
      <c r="M188" s="17">
        <f>IF(J188="","",IF(COUNTIF(Brand_Log!$A$2:$A$201,J188)&gt;0,"Y","N"))</f>
        <v/>
      </c>
      <c r="N188" s="17">
        <f>IF(OR(J188="",AND(LEFT(J188,6)="SAMPLE",Config!$B$19&lt;&gt;"Y")),"",IF(IFERROR(INDEX(Lists!$J$2:$J$15,MATCH(K188,Lists!$I$2:$I$15,0)),-1)=-1,"status '"&amp;K188&amp;"' is not a CONTRACTS status",IF(AND(K188="paid",COUNTIF(paid_brands!$AC$2:$AC$51,J188)=0),"status paid but no paid_brands row"&amp;IF(M188="N"," and no tracker row",""),IF(AND(IFERROR(INDEX(Lists!$J$2:$J$15,MATCH(K188,Lists!$I$2:$I$15,0)),-1)&gt;=6,M188="N"),"status "&amp;K188&amp;" but no tracker row",IF(AND(L188="Y",K188&lt;&gt;"do_not_contact"),"do_not_contact = Y but status is "&amp;K188,IF(AND(K188="do_not_contact",L188&lt;&gt;"Y"),"status do_not_contact but do_not_contact is not Y",""))))))</f>
        <v/>
      </c>
    </row>
    <row r="189">
      <c r="B189" s="17" t="n">
        <v>168</v>
      </c>
      <c r="C189" s="17">
        <f>IFERROR(INDEX(Clay_Offices!$A$2:$FZ$601,B189,$C$5)&amp;"","")</f>
        <v/>
      </c>
      <c r="D189" s="17">
        <f>IFERROR(INDEX(Clay_Offices!$A$2:$FZ$601,B189,$C$7)&amp;"","")</f>
        <v/>
      </c>
      <c r="E189" s="17">
        <f>IFERROR(INDEX(Clay_Offices!$A$2:$FZ$601,B189,$C$8)&amp;"","")</f>
        <v/>
      </c>
      <c r="F189" s="17">
        <f>IF(C189="","",IF(COUNTIF(Office_Log!$A$2:$A$201,C189)&gt;0,"Y","N"))</f>
        <v/>
      </c>
      <c r="G189" s="17">
        <f>IF(OR(C189="",AND(LEFT(C189,6)="SAMPLE",Config!$B$19&lt;&gt;"Y")),"",IF(IFERROR(INDEX(Lists!$J$2:$J$15,MATCH(D189,Lists!$I$2:$I$15,0)),-1)=-1,"status '"&amp;D189&amp;"' is not a CONTRACTS status",IF(AND(D189="signed",COUNTIF(signed_offices!$W$2:$W$51,C189)=0),"status signed but no signed_offices row"&amp;IF(F189="N"," and no tracker row",""),IF(AND(IFERROR(INDEX(Lists!$J$2:$J$15,MATCH(D189,Lists!$I$2:$I$15,0)),-1)&gt;=6,F189="N"),"status "&amp;D189&amp;" but no tracker row",IF(AND(E189="Y",D189&lt;&gt;"do_not_contact"),"do_not_contact = Y but status is "&amp;D189,IF(AND(D189="do_not_contact",E189&lt;&gt;"Y"),"status do_not_contact but do_not_contact is not Y",""))))))</f>
        <v/>
      </c>
      <c r="I189" s="17" t="n">
        <v>168</v>
      </c>
      <c r="J189" s="17">
        <f>IFERROR(INDEX(Clay_Brands!$A$2:$FZ$601,I189,$D$5)&amp;"","")</f>
        <v/>
      </c>
      <c r="K189" s="17">
        <f>IFERROR(INDEX(Clay_Brands!$A$2:$FZ$601,I189,$D$7)&amp;"","")</f>
        <v/>
      </c>
      <c r="L189" s="17">
        <f>IFERROR(INDEX(Clay_Brands!$A$2:$FZ$601,I189,$D$8)&amp;"","")</f>
        <v/>
      </c>
      <c r="M189" s="17">
        <f>IF(J189="","",IF(COUNTIF(Brand_Log!$A$2:$A$201,J189)&gt;0,"Y","N"))</f>
        <v/>
      </c>
      <c r="N189" s="17">
        <f>IF(OR(J189="",AND(LEFT(J189,6)="SAMPLE",Config!$B$19&lt;&gt;"Y")),"",IF(IFERROR(INDEX(Lists!$J$2:$J$15,MATCH(K189,Lists!$I$2:$I$15,0)),-1)=-1,"status '"&amp;K189&amp;"' is not a CONTRACTS status",IF(AND(K189="paid",COUNTIF(paid_brands!$AC$2:$AC$51,J189)=0),"status paid but no paid_brands row"&amp;IF(M189="N"," and no tracker row",""),IF(AND(IFERROR(INDEX(Lists!$J$2:$J$15,MATCH(K189,Lists!$I$2:$I$15,0)),-1)&gt;=6,M189="N"),"status "&amp;K189&amp;" but no tracker row",IF(AND(L189="Y",K189&lt;&gt;"do_not_contact"),"do_not_contact = Y but status is "&amp;K189,IF(AND(K189="do_not_contact",L189&lt;&gt;"Y"),"status do_not_contact but do_not_contact is not Y",""))))))</f>
        <v/>
      </c>
    </row>
    <row r="190">
      <c r="B190" s="17" t="n">
        <v>169</v>
      </c>
      <c r="C190" s="17">
        <f>IFERROR(INDEX(Clay_Offices!$A$2:$FZ$601,B190,$C$5)&amp;"","")</f>
        <v/>
      </c>
      <c r="D190" s="17">
        <f>IFERROR(INDEX(Clay_Offices!$A$2:$FZ$601,B190,$C$7)&amp;"","")</f>
        <v/>
      </c>
      <c r="E190" s="17">
        <f>IFERROR(INDEX(Clay_Offices!$A$2:$FZ$601,B190,$C$8)&amp;"","")</f>
        <v/>
      </c>
      <c r="F190" s="17">
        <f>IF(C190="","",IF(COUNTIF(Office_Log!$A$2:$A$201,C190)&gt;0,"Y","N"))</f>
        <v/>
      </c>
      <c r="G190" s="17">
        <f>IF(OR(C190="",AND(LEFT(C190,6)="SAMPLE",Config!$B$19&lt;&gt;"Y")),"",IF(IFERROR(INDEX(Lists!$J$2:$J$15,MATCH(D190,Lists!$I$2:$I$15,0)),-1)=-1,"status '"&amp;D190&amp;"' is not a CONTRACTS status",IF(AND(D190="signed",COUNTIF(signed_offices!$W$2:$W$51,C190)=0),"status signed but no signed_offices row"&amp;IF(F190="N"," and no tracker row",""),IF(AND(IFERROR(INDEX(Lists!$J$2:$J$15,MATCH(D190,Lists!$I$2:$I$15,0)),-1)&gt;=6,F190="N"),"status "&amp;D190&amp;" but no tracker row",IF(AND(E190="Y",D190&lt;&gt;"do_not_contact"),"do_not_contact = Y but status is "&amp;D190,IF(AND(D190="do_not_contact",E190&lt;&gt;"Y"),"status do_not_contact but do_not_contact is not Y",""))))))</f>
        <v/>
      </c>
      <c r="I190" s="17" t="n">
        <v>169</v>
      </c>
      <c r="J190" s="17">
        <f>IFERROR(INDEX(Clay_Brands!$A$2:$FZ$601,I190,$D$5)&amp;"","")</f>
        <v/>
      </c>
      <c r="K190" s="17">
        <f>IFERROR(INDEX(Clay_Brands!$A$2:$FZ$601,I190,$D$7)&amp;"","")</f>
        <v/>
      </c>
      <c r="L190" s="17">
        <f>IFERROR(INDEX(Clay_Brands!$A$2:$FZ$601,I190,$D$8)&amp;"","")</f>
        <v/>
      </c>
      <c r="M190" s="17">
        <f>IF(J190="","",IF(COUNTIF(Brand_Log!$A$2:$A$201,J190)&gt;0,"Y","N"))</f>
        <v/>
      </c>
      <c r="N190" s="17">
        <f>IF(OR(J190="",AND(LEFT(J190,6)="SAMPLE",Config!$B$19&lt;&gt;"Y")),"",IF(IFERROR(INDEX(Lists!$J$2:$J$15,MATCH(K190,Lists!$I$2:$I$15,0)),-1)=-1,"status '"&amp;K190&amp;"' is not a CONTRACTS status",IF(AND(K190="paid",COUNTIF(paid_brands!$AC$2:$AC$51,J190)=0),"status paid but no paid_brands row"&amp;IF(M190="N"," and no tracker row",""),IF(AND(IFERROR(INDEX(Lists!$J$2:$J$15,MATCH(K190,Lists!$I$2:$I$15,0)),-1)&gt;=6,M190="N"),"status "&amp;K190&amp;" but no tracker row",IF(AND(L190="Y",K190&lt;&gt;"do_not_contact"),"do_not_contact = Y but status is "&amp;K190,IF(AND(K190="do_not_contact",L190&lt;&gt;"Y"),"status do_not_contact but do_not_contact is not Y",""))))))</f>
        <v/>
      </c>
    </row>
    <row r="191">
      <c r="B191" s="17" t="n">
        <v>170</v>
      </c>
      <c r="C191" s="17">
        <f>IFERROR(INDEX(Clay_Offices!$A$2:$FZ$601,B191,$C$5)&amp;"","")</f>
        <v/>
      </c>
      <c r="D191" s="17">
        <f>IFERROR(INDEX(Clay_Offices!$A$2:$FZ$601,B191,$C$7)&amp;"","")</f>
        <v/>
      </c>
      <c r="E191" s="17">
        <f>IFERROR(INDEX(Clay_Offices!$A$2:$FZ$601,B191,$C$8)&amp;"","")</f>
        <v/>
      </c>
      <c r="F191" s="17">
        <f>IF(C191="","",IF(COUNTIF(Office_Log!$A$2:$A$201,C191)&gt;0,"Y","N"))</f>
        <v/>
      </c>
      <c r="G191" s="17">
        <f>IF(OR(C191="",AND(LEFT(C191,6)="SAMPLE",Config!$B$19&lt;&gt;"Y")),"",IF(IFERROR(INDEX(Lists!$J$2:$J$15,MATCH(D191,Lists!$I$2:$I$15,0)),-1)=-1,"status '"&amp;D191&amp;"' is not a CONTRACTS status",IF(AND(D191="signed",COUNTIF(signed_offices!$W$2:$W$51,C191)=0),"status signed but no signed_offices row"&amp;IF(F191="N"," and no tracker row",""),IF(AND(IFERROR(INDEX(Lists!$J$2:$J$15,MATCH(D191,Lists!$I$2:$I$15,0)),-1)&gt;=6,F191="N"),"status "&amp;D191&amp;" but no tracker row",IF(AND(E191="Y",D191&lt;&gt;"do_not_contact"),"do_not_contact = Y but status is "&amp;D191,IF(AND(D191="do_not_contact",E191&lt;&gt;"Y"),"status do_not_contact but do_not_contact is not Y",""))))))</f>
        <v/>
      </c>
      <c r="I191" s="17" t="n">
        <v>170</v>
      </c>
      <c r="J191" s="17">
        <f>IFERROR(INDEX(Clay_Brands!$A$2:$FZ$601,I191,$D$5)&amp;"","")</f>
        <v/>
      </c>
      <c r="K191" s="17">
        <f>IFERROR(INDEX(Clay_Brands!$A$2:$FZ$601,I191,$D$7)&amp;"","")</f>
        <v/>
      </c>
      <c r="L191" s="17">
        <f>IFERROR(INDEX(Clay_Brands!$A$2:$FZ$601,I191,$D$8)&amp;"","")</f>
        <v/>
      </c>
      <c r="M191" s="17">
        <f>IF(J191="","",IF(COUNTIF(Brand_Log!$A$2:$A$201,J191)&gt;0,"Y","N"))</f>
        <v/>
      </c>
      <c r="N191" s="17">
        <f>IF(OR(J191="",AND(LEFT(J191,6)="SAMPLE",Config!$B$19&lt;&gt;"Y")),"",IF(IFERROR(INDEX(Lists!$J$2:$J$15,MATCH(K191,Lists!$I$2:$I$15,0)),-1)=-1,"status '"&amp;K191&amp;"' is not a CONTRACTS status",IF(AND(K191="paid",COUNTIF(paid_brands!$AC$2:$AC$51,J191)=0),"status paid but no paid_brands row"&amp;IF(M191="N"," and no tracker row",""),IF(AND(IFERROR(INDEX(Lists!$J$2:$J$15,MATCH(K191,Lists!$I$2:$I$15,0)),-1)&gt;=6,M191="N"),"status "&amp;K191&amp;" but no tracker row",IF(AND(L191="Y",K191&lt;&gt;"do_not_contact"),"do_not_contact = Y but status is "&amp;K191,IF(AND(K191="do_not_contact",L191&lt;&gt;"Y"),"status do_not_contact but do_not_contact is not Y",""))))))</f>
        <v/>
      </c>
    </row>
    <row r="192">
      <c r="B192" s="17" t="n">
        <v>171</v>
      </c>
      <c r="C192" s="17">
        <f>IFERROR(INDEX(Clay_Offices!$A$2:$FZ$601,B192,$C$5)&amp;"","")</f>
        <v/>
      </c>
      <c r="D192" s="17">
        <f>IFERROR(INDEX(Clay_Offices!$A$2:$FZ$601,B192,$C$7)&amp;"","")</f>
        <v/>
      </c>
      <c r="E192" s="17">
        <f>IFERROR(INDEX(Clay_Offices!$A$2:$FZ$601,B192,$C$8)&amp;"","")</f>
        <v/>
      </c>
      <c r="F192" s="17">
        <f>IF(C192="","",IF(COUNTIF(Office_Log!$A$2:$A$201,C192)&gt;0,"Y","N"))</f>
        <v/>
      </c>
      <c r="G192" s="17">
        <f>IF(OR(C192="",AND(LEFT(C192,6)="SAMPLE",Config!$B$19&lt;&gt;"Y")),"",IF(IFERROR(INDEX(Lists!$J$2:$J$15,MATCH(D192,Lists!$I$2:$I$15,0)),-1)=-1,"status '"&amp;D192&amp;"' is not a CONTRACTS status",IF(AND(D192="signed",COUNTIF(signed_offices!$W$2:$W$51,C192)=0),"status signed but no signed_offices row"&amp;IF(F192="N"," and no tracker row",""),IF(AND(IFERROR(INDEX(Lists!$J$2:$J$15,MATCH(D192,Lists!$I$2:$I$15,0)),-1)&gt;=6,F192="N"),"status "&amp;D192&amp;" but no tracker row",IF(AND(E192="Y",D192&lt;&gt;"do_not_contact"),"do_not_contact = Y but status is "&amp;D192,IF(AND(D192="do_not_contact",E192&lt;&gt;"Y"),"status do_not_contact but do_not_contact is not Y",""))))))</f>
        <v/>
      </c>
      <c r="I192" s="17" t="n">
        <v>171</v>
      </c>
      <c r="J192" s="17">
        <f>IFERROR(INDEX(Clay_Brands!$A$2:$FZ$601,I192,$D$5)&amp;"","")</f>
        <v/>
      </c>
      <c r="K192" s="17">
        <f>IFERROR(INDEX(Clay_Brands!$A$2:$FZ$601,I192,$D$7)&amp;"","")</f>
        <v/>
      </c>
      <c r="L192" s="17">
        <f>IFERROR(INDEX(Clay_Brands!$A$2:$FZ$601,I192,$D$8)&amp;"","")</f>
        <v/>
      </c>
      <c r="M192" s="17">
        <f>IF(J192="","",IF(COUNTIF(Brand_Log!$A$2:$A$201,J192)&gt;0,"Y","N"))</f>
        <v/>
      </c>
      <c r="N192" s="17">
        <f>IF(OR(J192="",AND(LEFT(J192,6)="SAMPLE",Config!$B$19&lt;&gt;"Y")),"",IF(IFERROR(INDEX(Lists!$J$2:$J$15,MATCH(K192,Lists!$I$2:$I$15,0)),-1)=-1,"status '"&amp;K192&amp;"' is not a CONTRACTS status",IF(AND(K192="paid",COUNTIF(paid_brands!$AC$2:$AC$51,J192)=0),"status paid but no paid_brands row"&amp;IF(M192="N"," and no tracker row",""),IF(AND(IFERROR(INDEX(Lists!$J$2:$J$15,MATCH(K192,Lists!$I$2:$I$15,0)),-1)&gt;=6,M192="N"),"status "&amp;K192&amp;" but no tracker row",IF(AND(L192="Y",K192&lt;&gt;"do_not_contact"),"do_not_contact = Y but status is "&amp;K192,IF(AND(K192="do_not_contact",L192&lt;&gt;"Y"),"status do_not_contact but do_not_contact is not Y",""))))))</f>
        <v/>
      </c>
    </row>
    <row r="193">
      <c r="B193" s="17" t="n">
        <v>172</v>
      </c>
      <c r="C193" s="17">
        <f>IFERROR(INDEX(Clay_Offices!$A$2:$FZ$601,B193,$C$5)&amp;"","")</f>
        <v/>
      </c>
      <c r="D193" s="17">
        <f>IFERROR(INDEX(Clay_Offices!$A$2:$FZ$601,B193,$C$7)&amp;"","")</f>
        <v/>
      </c>
      <c r="E193" s="17">
        <f>IFERROR(INDEX(Clay_Offices!$A$2:$FZ$601,B193,$C$8)&amp;"","")</f>
        <v/>
      </c>
      <c r="F193" s="17">
        <f>IF(C193="","",IF(COUNTIF(Office_Log!$A$2:$A$201,C193)&gt;0,"Y","N"))</f>
        <v/>
      </c>
      <c r="G193" s="17">
        <f>IF(OR(C193="",AND(LEFT(C193,6)="SAMPLE",Config!$B$19&lt;&gt;"Y")),"",IF(IFERROR(INDEX(Lists!$J$2:$J$15,MATCH(D193,Lists!$I$2:$I$15,0)),-1)=-1,"status '"&amp;D193&amp;"' is not a CONTRACTS status",IF(AND(D193="signed",COUNTIF(signed_offices!$W$2:$W$51,C193)=0),"status signed but no signed_offices row"&amp;IF(F193="N"," and no tracker row",""),IF(AND(IFERROR(INDEX(Lists!$J$2:$J$15,MATCH(D193,Lists!$I$2:$I$15,0)),-1)&gt;=6,F193="N"),"status "&amp;D193&amp;" but no tracker row",IF(AND(E193="Y",D193&lt;&gt;"do_not_contact"),"do_not_contact = Y but status is "&amp;D193,IF(AND(D193="do_not_contact",E193&lt;&gt;"Y"),"status do_not_contact but do_not_contact is not Y",""))))))</f>
        <v/>
      </c>
      <c r="I193" s="17" t="n">
        <v>172</v>
      </c>
      <c r="J193" s="17">
        <f>IFERROR(INDEX(Clay_Brands!$A$2:$FZ$601,I193,$D$5)&amp;"","")</f>
        <v/>
      </c>
      <c r="K193" s="17">
        <f>IFERROR(INDEX(Clay_Brands!$A$2:$FZ$601,I193,$D$7)&amp;"","")</f>
        <v/>
      </c>
      <c r="L193" s="17">
        <f>IFERROR(INDEX(Clay_Brands!$A$2:$FZ$601,I193,$D$8)&amp;"","")</f>
        <v/>
      </c>
      <c r="M193" s="17">
        <f>IF(J193="","",IF(COUNTIF(Brand_Log!$A$2:$A$201,J193)&gt;0,"Y","N"))</f>
        <v/>
      </c>
      <c r="N193" s="17">
        <f>IF(OR(J193="",AND(LEFT(J193,6)="SAMPLE",Config!$B$19&lt;&gt;"Y")),"",IF(IFERROR(INDEX(Lists!$J$2:$J$15,MATCH(K193,Lists!$I$2:$I$15,0)),-1)=-1,"status '"&amp;K193&amp;"' is not a CONTRACTS status",IF(AND(K193="paid",COUNTIF(paid_brands!$AC$2:$AC$51,J193)=0),"status paid but no paid_brands row"&amp;IF(M193="N"," and no tracker row",""),IF(AND(IFERROR(INDEX(Lists!$J$2:$J$15,MATCH(K193,Lists!$I$2:$I$15,0)),-1)&gt;=6,M193="N"),"status "&amp;K193&amp;" but no tracker row",IF(AND(L193="Y",K193&lt;&gt;"do_not_contact"),"do_not_contact = Y but status is "&amp;K193,IF(AND(K193="do_not_contact",L193&lt;&gt;"Y"),"status do_not_contact but do_not_contact is not Y",""))))))</f>
        <v/>
      </c>
    </row>
    <row r="194">
      <c r="B194" s="17" t="n">
        <v>173</v>
      </c>
      <c r="C194" s="17">
        <f>IFERROR(INDEX(Clay_Offices!$A$2:$FZ$601,B194,$C$5)&amp;"","")</f>
        <v/>
      </c>
      <c r="D194" s="17">
        <f>IFERROR(INDEX(Clay_Offices!$A$2:$FZ$601,B194,$C$7)&amp;"","")</f>
        <v/>
      </c>
      <c r="E194" s="17">
        <f>IFERROR(INDEX(Clay_Offices!$A$2:$FZ$601,B194,$C$8)&amp;"","")</f>
        <v/>
      </c>
      <c r="F194" s="17">
        <f>IF(C194="","",IF(COUNTIF(Office_Log!$A$2:$A$201,C194)&gt;0,"Y","N"))</f>
        <v/>
      </c>
      <c r="G194" s="17">
        <f>IF(OR(C194="",AND(LEFT(C194,6)="SAMPLE",Config!$B$19&lt;&gt;"Y")),"",IF(IFERROR(INDEX(Lists!$J$2:$J$15,MATCH(D194,Lists!$I$2:$I$15,0)),-1)=-1,"status '"&amp;D194&amp;"' is not a CONTRACTS status",IF(AND(D194="signed",COUNTIF(signed_offices!$W$2:$W$51,C194)=0),"status signed but no signed_offices row"&amp;IF(F194="N"," and no tracker row",""),IF(AND(IFERROR(INDEX(Lists!$J$2:$J$15,MATCH(D194,Lists!$I$2:$I$15,0)),-1)&gt;=6,F194="N"),"status "&amp;D194&amp;" but no tracker row",IF(AND(E194="Y",D194&lt;&gt;"do_not_contact"),"do_not_contact = Y but status is "&amp;D194,IF(AND(D194="do_not_contact",E194&lt;&gt;"Y"),"status do_not_contact but do_not_contact is not Y",""))))))</f>
        <v/>
      </c>
      <c r="I194" s="17" t="n">
        <v>173</v>
      </c>
      <c r="J194" s="17">
        <f>IFERROR(INDEX(Clay_Brands!$A$2:$FZ$601,I194,$D$5)&amp;"","")</f>
        <v/>
      </c>
      <c r="K194" s="17">
        <f>IFERROR(INDEX(Clay_Brands!$A$2:$FZ$601,I194,$D$7)&amp;"","")</f>
        <v/>
      </c>
      <c r="L194" s="17">
        <f>IFERROR(INDEX(Clay_Brands!$A$2:$FZ$601,I194,$D$8)&amp;"","")</f>
        <v/>
      </c>
      <c r="M194" s="17">
        <f>IF(J194="","",IF(COUNTIF(Brand_Log!$A$2:$A$201,J194)&gt;0,"Y","N"))</f>
        <v/>
      </c>
      <c r="N194" s="17">
        <f>IF(OR(J194="",AND(LEFT(J194,6)="SAMPLE",Config!$B$19&lt;&gt;"Y")),"",IF(IFERROR(INDEX(Lists!$J$2:$J$15,MATCH(K194,Lists!$I$2:$I$15,0)),-1)=-1,"status '"&amp;K194&amp;"' is not a CONTRACTS status",IF(AND(K194="paid",COUNTIF(paid_brands!$AC$2:$AC$51,J194)=0),"status paid but no paid_brands row"&amp;IF(M194="N"," and no tracker row",""),IF(AND(IFERROR(INDEX(Lists!$J$2:$J$15,MATCH(K194,Lists!$I$2:$I$15,0)),-1)&gt;=6,M194="N"),"status "&amp;K194&amp;" but no tracker row",IF(AND(L194="Y",K194&lt;&gt;"do_not_contact"),"do_not_contact = Y but status is "&amp;K194,IF(AND(K194="do_not_contact",L194&lt;&gt;"Y"),"status do_not_contact but do_not_contact is not Y",""))))))</f>
        <v/>
      </c>
    </row>
    <row r="195">
      <c r="B195" s="17" t="n">
        <v>174</v>
      </c>
      <c r="C195" s="17">
        <f>IFERROR(INDEX(Clay_Offices!$A$2:$FZ$601,B195,$C$5)&amp;"","")</f>
        <v/>
      </c>
      <c r="D195" s="17">
        <f>IFERROR(INDEX(Clay_Offices!$A$2:$FZ$601,B195,$C$7)&amp;"","")</f>
        <v/>
      </c>
      <c r="E195" s="17">
        <f>IFERROR(INDEX(Clay_Offices!$A$2:$FZ$601,B195,$C$8)&amp;"","")</f>
        <v/>
      </c>
      <c r="F195" s="17">
        <f>IF(C195="","",IF(COUNTIF(Office_Log!$A$2:$A$201,C195)&gt;0,"Y","N"))</f>
        <v/>
      </c>
      <c r="G195" s="17">
        <f>IF(OR(C195="",AND(LEFT(C195,6)="SAMPLE",Config!$B$19&lt;&gt;"Y")),"",IF(IFERROR(INDEX(Lists!$J$2:$J$15,MATCH(D195,Lists!$I$2:$I$15,0)),-1)=-1,"status '"&amp;D195&amp;"' is not a CONTRACTS status",IF(AND(D195="signed",COUNTIF(signed_offices!$W$2:$W$51,C195)=0),"status signed but no signed_offices row"&amp;IF(F195="N"," and no tracker row",""),IF(AND(IFERROR(INDEX(Lists!$J$2:$J$15,MATCH(D195,Lists!$I$2:$I$15,0)),-1)&gt;=6,F195="N"),"status "&amp;D195&amp;" but no tracker row",IF(AND(E195="Y",D195&lt;&gt;"do_not_contact"),"do_not_contact = Y but status is "&amp;D195,IF(AND(D195="do_not_contact",E195&lt;&gt;"Y"),"status do_not_contact but do_not_contact is not Y",""))))))</f>
        <v/>
      </c>
      <c r="I195" s="17" t="n">
        <v>174</v>
      </c>
      <c r="J195" s="17">
        <f>IFERROR(INDEX(Clay_Brands!$A$2:$FZ$601,I195,$D$5)&amp;"","")</f>
        <v/>
      </c>
      <c r="K195" s="17">
        <f>IFERROR(INDEX(Clay_Brands!$A$2:$FZ$601,I195,$D$7)&amp;"","")</f>
        <v/>
      </c>
      <c r="L195" s="17">
        <f>IFERROR(INDEX(Clay_Brands!$A$2:$FZ$601,I195,$D$8)&amp;"","")</f>
        <v/>
      </c>
      <c r="M195" s="17">
        <f>IF(J195="","",IF(COUNTIF(Brand_Log!$A$2:$A$201,J195)&gt;0,"Y","N"))</f>
        <v/>
      </c>
      <c r="N195" s="17">
        <f>IF(OR(J195="",AND(LEFT(J195,6)="SAMPLE",Config!$B$19&lt;&gt;"Y")),"",IF(IFERROR(INDEX(Lists!$J$2:$J$15,MATCH(K195,Lists!$I$2:$I$15,0)),-1)=-1,"status '"&amp;K195&amp;"' is not a CONTRACTS status",IF(AND(K195="paid",COUNTIF(paid_brands!$AC$2:$AC$51,J195)=0),"status paid but no paid_brands row"&amp;IF(M195="N"," and no tracker row",""),IF(AND(IFERROR(INDEX(Lists!$J$2:$J$15,MATCH(K195,Lists!$I$2:$I$15,0)),-1)&gt;=6,M195="N"),"status "&amp;K195&amp;" but no tracker row",IF(AND(L195="Y",K195&lt;&gt;"do_not_contact"),"do_not_contact = Y but status is "&amp;K195,IF(AND(K195="do_not_contact",L195&lt;&gt;"Y"),"status do_not_contact but do_not_contact is not Y",""))))))</f>
        <v/>
      </c>
    </row>
    <row r="196">
      <c r="B196" s="17" t="n">
        <v>175</v>
      </c>
      <c r="C196" s="17">
        <f>IFERROR(INDEX(Clay_Offices!$A$2:$FZ$601,B196,$C$5)&amp;"","")</f>
        <v/>
      </c>
      <c r="D196" s="17">
        <f>IFERROR(INDEX(Clay_Offices!$A$2:$FZ$601,B196,$C$7)&amp;"","")</f>
        <v/>
      </c>
      <c r="E196" s="17">
        <f>IFERROR(INDEX(Clay_Offices!$A$2:$FZ$601,B196,$C$8)&amp;"","")</f>
        <v/>
      </c>
      <c r="F196" s="17">
        <f>IF(C196="","",IF(COUNTIF(Office_Log!$A$2:$A$201,C196)&gt;0,"Y","N"))</f>
        <v/>
      </c>
      <c r="G196" s="17">
        <f>IF(OR(C196="",AND(LEFT(C196,6)="SAMPLE",Config!$B$19&lt;&gt;"Y")),"",IF(IFERROR(INDEX(Lists!$J$2:$J$15,MATCH(D196,Lists!$I$2:$I$15,0)),-1)=-1,"status '"&amp;D196&amp;"' is not a CONTRACTS status",IF(AND(D196="signed",COUNTIF(signed_offices!$W$2:$W$51,C196)=0),"status signed but no signed_offices row"&amp;IF(F196="N"," and no tracker row",""),IF(AND(IFERROR(INDEX(Lists!$J$2:$J$15,MATCH(D196,Lists!$I$2:$I$15,0)),-1)&gt;=6,F196="N"),"status "&amp;D196&amp;" but no tracker row",IF(AND(E196="Y",D196&lt;&gt;"do_not_contact"),"do_not_contact = Y but status is "&amp;D196,IF(AND(D196="do_not_contact",E196&lt;&gt;"Y"),"status do_not_contact but do_not_contact is not Y",""))))))</f>
        <v/>
      </c>
      <c r="I196" s="17" t="n">
        <v>175</v>
      </c>
      <c r="J196" s="17">
        <f>IFERROR(INDEX(Clay_Brands!$A$2:$FZ$601,I196,$D$5)&amp;"","")</f>
        <v/>
      </c>
      <c r="K196" s="17">
        <f>IFERROR(INDEX(Clay_Brands!$A$2:$FZ$601,I196,$D$7)&amp;"","")</f>
        <v/>
      </c>
      <c r="L196" s="17">
        <f>IFERROR(INDEX(Clay_Brands!$A$2:$FZ$601,I196,$D$8)&amp;"","")</f>
        <v/>
      </c>
      <c r="M196" s="17">
        <f>IF(J196="","",IF(COUNTIF(Brand_Log!$A$2:$A$201,J196)&gt;0,"Y","N"))</f>
        <v/>
      </c>
      <c r="N196" s="17">
        <f>IF(OR(J196="",AND(LEFT(J196,6)="SAMPLE",Config!$B$19&lt;&gt;"Y")),"",IF(IFERROR(INDEX(Lists!$J$2:$J$15,MATCH(K196,Lists!$I$2:$I$15,0)),-1)=-1,"status '"&amp;K196&amp;"' is not a CONTRACTS status",IF(AND(K196="paid",COUNTIF(paid_brands!$AC$2:$AC$51,J196)=0),"status paid but no paid_brands row"&amp;IF(M196="N"," and no tracker row",""),IF(AND(IFERROR(INDEX(Lists!$J$2:$J$15,MATCH(K196,Lists!$I$2:$I$15,0)),-1)&gt;=6,M196="N"),"status "&amp;K196&amp;" but no tracker row",IF(AND(L196="Y",K196&lt;&gt;"do_not_contact"),"do_not_contact = Y but status is "&amp;K196,IF(AND(K196="do_not_contact",L196&lt;&gt;"Y"),"status do_not_contact but do_not_contact is not Y",""))))))</f>
        <v/>
      </c>
    </row>
    <row r="197">
      <c r="B197" s="17" t="n">
        <v>176</v>
      </c>
      <c r="C197" s="17">
        <f>IFERROR(INDEX(Clay_Offices!$A$2:$FZ$601,B197,$C$5)&amp;"","")</f>
        <v/>
      </c>
      <c r="D197" s="17">
        <f>IFERROR(INDEX(Clay_Offices!$A$2:$FZ$601,B197,$C$7)&amp;"","")</f>
        <v/>
      </c>
      <c r="E197" s="17">
        <f>IFERROR(INDEX(Clay_Offices!$A$2:$FZ$601,B197,$C$8)&amp;"","")</f>
        <v/>
      </c>
      <c r="F197" s="17">
        <f>IF(C197="","",IF(COUNTIF(Office_Log!$A$2:$A$201,C197)&gt;0,"Y","N"))</f>
        <v/>
      </c>
      <c r="G197" s="17">
        <f>IF(OR(C197="",AND(LEFT(C197,6)="SAMPLE",Config!$B$19&lt;&gt;"Y")),"",IF(IFERROR(INDEX(Lists!$J$2:$J$15,MATCH(D197,Lists!$I$2:$I$15,0)),-1)=-1,"status '"&amp;D197&amp;"' is not a CONTRACTS status",IF(AND(D197="signed",COUNTIF(signed_offices!$W$2:$W$51,C197)=0),"status signed but no signed_offices row"&amp;IF(F197="N"," and no tracker row",""),IF(AND(IFERROR(INDEX(Lists!$J$2:$J$15,MATCH(D197,Lists!$I$2:$I$15,0)),-1)&gt;=6,F197="N"),"status "&amp;D197&amp;" but no tracker row",IF(AND(E197="Y",D197&lt;&gt;"do_not_contact"),"do_not_contact = Y but status is "&amp;D197,IF(AND(D197="do_not_contact",E197&lt;&gt;"Y"),"status do_not_contact but do_not_contact is not Y",""))))))</f>
        <v/>
      </c>
      <c r="I197" s="17" t="n">
        <v>176</v>
      </c>
      <c r="J197" s="17">
        <f>IFERROR(INDEX(Clay_Brands!$A$2:$FZ$601,I197,$D$5)&amp;"","")</f>
        <v/>
      </c>
      <c r="K197" s="17">
        <f>IFERROR(INDEX(Clay_Brands!$A$2:$FZ$601,I197,$D$7)&amp;"","")</f>
        <v/>
      </c>
      <c r="L197" s="17">
        <f>IFERROR(INDEX(Clay_Brands!$A$2:$FZ$601,I197,$D$8)&amp;"","")</f>
        <v/>
      </c>
      <c r="M197" s="17">
        <f>IF(J197="","",IF(COUNTIF(Brand_Log!$A$2:$A$201,J197)&gt;0,"Y","N"))</f>
        <v/>
      </c>
      <c r="N197" s="17">
        <f>IF(OR(J197="",AND(LEFT(J197,6)="SAMPLE",Config!$B$19&lt;&gt;"Y")),"",IF(IFERROR(INDEX(Lists!$J$2:$J$15,MATCH(K197,Lists!$I$2:$I$15,0)),-1)=-1,"status '"&amp;K197&amp;"' is not a CONTRACTS status",IF(AND(K197="paid",COUNTIF(paid_brands!$AC$2:$AC$51,J197)=0),"status paid but no paid_brands row"&amp;IF(M197="N"," and no tracker row",""),IF(AND(IFERROR(INDEX(Lists!$J$2:$J$15,MATCH(K197,Lists!$I$2:$I$15,0)),-1)&gt;=6,M197="N"),"status "&amp;K197&amp;" but no tracker row",IF(AND(L197="Y",K197&lt;&gt;"do_not_contact"),"do_not_contact = Y but status is "&amp;K197,IF(AND(K197="do_not_contact",L197&lt;&gt;"Y"),"status do_not_contact but do_not_contact is not Y",""))))))</f>
        <v/>
      </c>
    </row>
    <row r="198">
      <c r="B198" s="17" t="n">
        <v>177</v>
      </c>
      <c r="C198" s="17">
        <f>IFERROR(INDEX(Clay_Offices!$A$2:$FZ$601,B198,$C$5)&amp;"","")</f>
        <v/>
      </c>
      <c r="D198" s="17">
        <f>IFERROR(INDEX(Clay_Offices!$A$2:$FZ$601,B198,$C$7)&amp;"","")</f>
        <v/>
      </c>
      <c r="E198" s="17">
        <f>IFERROR(INDEX(Clay_Offices!$A$2:$FZ$601,B198,$C$8)&amp;"","")</f>
        <v/>
      </c>
      <c r="F198" s="17">
        <f>IF(C198="","",IF(COUNTIF(Office_Log!$A$2:$A$201,C198)&gt;0,"Y","N"))</f>
        <v/>
      </c>
      <c r="G198" s="17">
        <f>IF(OR(C198="",AND(LEFT(C198,6)="SAMPLE",Config!$B$19&lt;&gt;"Y")),"",IF(IFERROR(INDEX(Lists!$J$2:$J$15,MATCH(D198,Lists!$I$2:$I$15,0)),-1)=-1,"status '"&amp;D198&amp;"' is not a CONTRACTS status",IF(AND(D198="signed",COUNTIF(signed_offices!$W$2:$W$51,C198)=0),"status signed but no signed_offices row"&amp;IF(F198="N"," and no tracker row",""),IF(AND(IFERROR(INDEX(Lists!$J$2:$J$15,MATCH(D198,Lists!$I$2:$I$15,0)),-1)&gt;=6,F198="N"),"status "&amp;D198&amp;" but no tracker row",IF(AND(E198="Y",D198&lt;&gt;"do_not_contact"),"do_not_contact = Y but status is "&amp;D198,IF(AND(D198="do_not_contact",E198&lt;&gt;"Y"),"status do_not_contact but do_not_contact is not Y",""))))))</f>
        <v/>
      </c>
      <c r="I198" s="17" t="n">
        <v>177</v>
      </c>
      <c r="J198" s="17">
        <f>IFERROR(INDEX(Clay_Brands!$A$2:$FZ$601,I198,$D$5)&amp;"","")</f>
        <v/>
      </c>
      <c r="K198" s="17">
        <f>IFERROR(INDEX(Clay_Brands!$A$2:$FZ$601,I198,$D$7)&amp;"","")</f>
        <v/>
      </c>
      <c r="L198" s="17">
        <f>IFERROR(INDEX(Clay_Brands!$A$2:$FZ$601,I198,$D$8)&amp;"","")</f>
        <v/>
      </c>
      <c r="M198" s="17">
        <f>IF(J198="","",IF(COUNTIF(Brand_Log!$A$2:$A$201,J198)&gt;0,"Y","N"))</f>
        <v/>
      </c>
      <c r="N198" s="17">
        <f>IF(OR(J198="",AND(LEFT(J198,6)="SAMPLE",Config!$B$19&lt;&gt;"Y")),"",IF(IFERROR(INDEX(Lists!$J$2:$J$15,MATCH(K198,Lists!$I$2:$I$15,0)),-1)=-1,"status '"&amp;K198&amp;"' is not a CONTRACTS status",IF(AND(K198="paid",COUNTIF(paid_brands!$AC$2:$AC$51,J198)=0),"status paid but no paid_brands row"&amp;IF(M198="N"," and no tracker row",""),IF(AND(IFERROR(INDEX(Lists!$J$2:$J$15,MATCH(K198,Lists!$I$2:$I$15,0)),-1)&gt;=6,M198="N"),"status "&amp;K198&amp;" but no tracker row",IF(AND(L198="Y",K198&lt;&gt;"do_not_contact"),"do_not_contact = Y but status is "&amp;K198,IF(AND(K198="do_not_contact",L198&lt;&gt;"Y"),"status do_not_contact but do_not_contact is not Y",""))))))</f>
        <v/>
      </c>
    </row>
    <row r="199">
      <c r="B199" s="17" t="n">
        <v>178</v>
      </c>
      <c r="C199" s="17">
        <f>IFERROR(INDEX(Clay_Offices!$A$2:$FZ$601,B199,$C$5)&amp;"","")</f>
        <v/>
      </c>
      <c r="D199" s="17">
        <f>IFERROR(INDEX(Clay_Offices!$A$2:$FZ$601,B199,$C$7)&amp;"","")</f>
        <v/>
      </c>
      <c r="E199" s="17">
        <f>IFERROR(INDEX(Clay_Offices!$A$2:$FZ$601,B199,$C$8)&amp;"","")</f>
        <v/>
      </c>
      <c r="F199" s="17">
        <f>IF(C199="","",IF(COUNTIF(Office_Log!$A$2:$A$201,C199)&gt;0,"Y","N"))</f>
        <v/>
      </c>
      <c r="G199" s="17">
        <f>IF(OR(C199="",AND(LEFT(C199,6)="SAMPLE",Config!$B$19&lt;&gt;"Y")),"",IF(IFERROR(INDEX(Lists!$J$2:$J$15,MATCH(D199,Lists!$I$2:$I$15,0)),-1)=-1,"status '"&amp;D199&amp;"' is not a CONTRACTS status",IF(AND(D199="signed",COUNTIF(signed_offices!$W$2:$W$51,C199)=0),"status signed but no signed_offices row"&amp;IF(F199="N"," and no tracker row",""),IF(AND(IFERROR(INDEX(Lists!$J$2:$J$15,MATCH(D199,Lists!$I$2:$I$15,0)),-1)&gt;=6,F199="N"),"status "&amp;D199&amp;" but no tracker row",IF(AND(E199="Y",D199&lt;&gt;"do_not_contact"),"do_not_contact = Y but status is "&amp;D199,IF(AND(D199="do_not_contact",E199&lt;&gt;"Y"),"status do_not_contact but do_not_contact is not Y",""))))))</f>
        <v/>
      </c>
      <c r="I199" s="17" t="n">
        <v>178</v>
      </c>
      <c r="J199" s="17">
        <f>IFERROR(INDEX(Clay_Brands!$A$2:$FZ$601,I199,$D$5)&amp;"","")</f>
        <v/>
      </c>
      <c r="K199" s="17">
        <f>IFERROR(INDEX(Clay_Brands!$A$2:$FZ$601,I199,$D$7)&amp;"","")</f>
        <v/>
      </c>
      <c r="L199" s="17">
        <f>IFERROR(INDEX(Clay_Brands!$A$2:$FZ$601,I199,$D$8)&amp;"","")</f>
        <v/>
      </c>
      <c r="M199" s="17">
        <f>IF(J199="","",IF(COUNTIF(Brand_Log!$A$2:$A$201,J199)&gt;0,"Y","N"))</f>
        <v/>
      </c>
      <c r="N199" s="17">
        <f>IF(OR(J199="",AND(LEFT(J199,6)="SAMPLE",Config!$B$19&lt;&gt;"Y")),"",IF(IFERROR(INDEX(Lists!$J$2:$J$15,MATCH(K199,Lists!$I$2:$I$15,0)),-1)=-1,"status '"&amp;K199&amp;"' is not a CONTRACTS status",IF(AND(K199="paid",COUNTIF(paid_brands!$AC$2:$AC$51,J199)=0),"status paid but no paid_brands row"&amp;IF(M199="N"," and no tracker row",""),IF(AND(IFERROR(INDEX(Lists!$J$2:$J$15,MATCH(K199,Lists!$I$2:$I$15,0)),-1)&gt;=6,M199="N"),"status "&amp;K199&amp;" but no tracker row",IF(AND(L199="Y",K199&lt;&gt;"do_not_contact"),"do_not_contact = Y but status is "&amp;K199,IF(AND(K199="do_not_contact",L199&lt;&gt;"Y"),"status do_not_contact but do_not_contact is not Y",""))))))</f>
        <v/>
      </c>
    </row>
    <row r="200">
      <c r="B200" s="17" t="n">
        <v>179</v>
      </c>
      <c r="C200" s="17">
        <f>IFERROR(INDEX(Clay_Offices!$A$2:$FZ$601,B200,$C$5)&amp;"","")</f>
        <v/>
      </c>
      <c r="D200" s="17">
        <f>IFERROR(INDEX(Clay_Offices!$A$2:$FZ$601,B200,$C$7)&amp;"","")</f>
        <v/>
      </c>
      <c r="E200" s="17">
        <f>IFERROR(INDEX(Clay_Offices!$A$2:$FZ$601,B200,$C$8)&amp;"","")</f>
        <v/>
      </c>
      <c r="F200" s="17">
        <f>IF(C200="","",IF(COUNTIF(Office_Log!$A$2:$A$201,C200)&gt;0,"Y","N"))</f>
        <v/>
      </c>
      <c r="G200" s="17">
        <f>IF(OR(C200="",AND(LEFT(C200,6)="SAMPLE",Config!$B$19&lt;&gt;"Y")),"",IF(IFERROR(INDEX(Lists!$J$2:$J$15,MATCH(D200,Lists!$I$2:$I$15,0)),-1)=-1,"status '"&amp;D200&amp;"' is not a CONTRACTS status",IF(AND(D200="signed",COUNTIF(signed_offices!$W$2:$W$51,C200)=0),"status signed but no signed_offices row"&amp;IF(F200="N"," and no tracker row",""),IF(AND(IFERROR(INDEX(Lists!$J$2:$J$15,MATCH(D200,Lists!$I$2:$I$15,0)),-1)&gt;=6,F200="N"),"status "&amp;D200&amp;" but no tracker row",IF(AND(E200="Y",D200&lt;&gt;"do_not_contact"),"do_not_contact = Y but status is "&amp;D200,IF(AND(D200="do_not_contact",E200&lt;&gt;"Y"),"status do_not_contact but do_not_contact is not Y",""))))))</f>
        <v/>
      </c>
      <c r="I200" s="17" t="n">
        <v>179</v>
      </c>
      <c r="J200" s="17">
        <f>IFERROR(INDEX(Clay_Brands!$A$2:$FZ$601,I200,$D$5)&amp;"","")</f>
        <v/>
      </c>
      <c r="K200" s="17">
        <f>IFERROR(INDEX(Clay_Brands!$A$2:$FZ$601,I200,$D$7)&amp;"","")</f>
        <v/>
      </c>
      <c r="L200" s="17">
        <f>IFERROR(INDEX(Clay_Brands!$A$2:$FZ$601,I200,$D$8)&amp;"","")</f>
        <v/>
      </c>
      <c r="M200" s="17">
        <f>IF(J200="","",IF(COUNTIF(Brand_Log!$A$2:$A$201,J200)&gt;0,"Y","N"))</f>
        <v/>
      </c>
      <c r="N200" s="17">
        <f>IF(OR(J200="",AND(LEFT(J200,6)="SAMPLE",Config!$B$19&lt;&gt;"Y")),"",IF(IFERROR(INDEX(Lists!$J$2:$J$15,MATCH(K200,Lists!$I$2:$I$15,0)),-1)=-1,"status '"&amp;K200&amp;"' is not a CONTRACTS status",IF(AND(K200="paid",COUNTIF(paid_brands!$AC$2:$AC$51,J200)=0),"status paid but no paid_brands row"&amp;IF(M200="N"," and no tracker row",""),IF(AND(IFERROR(INDEX(Lists!$J$2:$J$15,MATCH(K200,Lists!$I$2:$I$15,0)),-1)&gt;=6,M200="N"),"status "&amp;K200&amp;" but no tracker row",IF(AND(L200="Y",K200&lt;&gt;"do_not_contact"),"do_not_contact = Y but status is "&amp;K200,IF(AND(K200="do_not_contact",L200&lt;&gt;"Y"),"status do_not_contact but do_not_contact is not Y",""))))))</f>
        <v/>
      </c>
    </row>
    <row r="201">
      <c r="B201" s="17" t="n">
        <v>180</v>
      </c>
      <c r="C201" s="17">
        <f>IFERROR(INDEX(Clay_Offices!$A$2:$FZ$601,B201,$C$5)&amp;"","")</f>
        <v/>
      </c>
      <c r="D201" s="17">
        <f>IFERROR(INDEX(Clay_Offices!$A$2:$FZ$601,B201,$C$7)&amp;"","")</f>
        <v/>
      </c>
      <c r="E201" s="17">
        <f>IFERROR(INDEX(Clay_Offices!$A$2:$FZ$601,B201,$C$8)&amp;"","")</f>
        <v/>
      </c>
      <c r="F201" s="17">
        <f>IF(C201="","",IF(COUNTIF(Office_Log!$A$2:$A$201,C201)&gt;0,"Y","N"))</f>
        <v/>
      </c>
      <c r="G201" s="17">
        <f>IF(OR(C201="",AND(LEFT(C201,6)="SAMPLE",Config!$B$19&lt;&gt;"Y")),"",IF(IFERROR(INDEX(Lists!$J$2:$J$15,MATCH(D201,Lists!$I$2:$I$15,0)),-1)=-1,"status '"&amp;D201&amp;"' is not a CONTRACTS status",IF(AND(D201="signed",COUNTIF(signed_offices!$W$2:$W$51,C201)=0),"status signed but no signed_offices row"&amp;IF(F201="N"," and no tracker row",""),IF(AND(IFERROR(INDEX(Lists!$J$2:$J$15,MATCH(D201,Lists!$I$2:$I$15,0)),-1)&gt;=6,F201="N"),"status "&amp;D201&amp;" but no tracker row",IF(AND(E201="Y",D201&lt;&gt;"do_not_contact"),"do_not_contact = Y but status is "&amp;D201,IF(AND(D201="do_not_contact",E201&lt;&gt;"Y"),"status do_not_contact but do_not_contact is not Y",""))))))</f>
        <v/>
      </c>
      <c r="I201" s="17" t="n">
        <v>180</v>
      </c>
      <c r="J201" s="17">
        <f>IFERROR(INDEX(Clay_Brands!$A$2:$FZ$601,I201,$D$5)&amp;"","")</f>
        <v/>
      </c>
      <c r="K201" s="17">
        <f>IFERROR(INDEX(Clay_Brands!$A$2:$FZ$601,I201,$D$7)&amp;"","")</f>
        <v/>
      </c>
      <c r="L201" s="17">
        <f>IFERROR(INDEX(Clay_Brands!$A$2:$FZ$601,I201,$D$8)&amp;"","")</f>
        <v/>
      </c>
      <c r="M201" s="17">
        <f>IF(J201="","",IF(COUNTIF(Brand_Log!$A$2:$A$201,J201)&gt;0,"Y","N"))</f>
        <v/>
      </c>
      <c r="N201" s="17">
        <f>IF(OR(J201="",AND(LEFT(J201,6)="SAMPLE",Config!$B$19&lt;&gt;"Y")),"",IF(IFERROR(INDEX(Lists!$J$2:$J$15,MATCH(K201,Lists!$I$2:$I$15,0)),-1)=-1,"status '"&amp;K201&amp;"' is not a CONTRACTS status",IF(AND(K201="paid",COUNTIF(paid_brands!$AC$2:$AC$51,J201)=0),"status paid but no paid_brands row"&amp;IF(M201="N"," and no tracker row",""),IF(AND(IFERROR(INDEX(Lists!$J$2:$J$15,MATCH(K201,Lists!$I$2:$I$15,0)),-1)&gt;=6,M201="N"),"status "&amp;K201&amp;" but no tracker row",IF(AND(L201="Y",K201&lt;&gt;"do_not_contact"),"do_not_contact = Y but status is "&amp;K201,IF(AND(K201="do_not_contact",L201&lt;&gt;"Y"),"status do_not_contact but do_not_contact is not Y",""))))))</f>
        <v/>
      </c>
    </row>
    <row r="202">
      <c r="B202" s="17" t="n">
        <v>181</v>
      </c>
      <c r="C202" s="17">
        <f>IFERROR(INDEX(Clay_Offices!$A$2:$FZ$601,B202,$C$5)&amp;"","")</f>
        <v/>
      </c>
      <c r="D202" s="17">
        <f>IFERROR(INDEX(Clay_Offices!$A$2:$FZ$601,B202,$C$7)&amp;"","")</f>
        <v/>
      </c>
      <c r="E202" s="17">
        <f>IFERROR(INDEX(Clay_Offices!$A$2:$FZ$601,B202,$C$8)&amp;"","")</f>
        <v/>
      </c>
      <c r="F202" s="17">
        <f>IF(C202="","",IF(COUNTIF(Office_Log!$A$2:$A$201,C202)&gt;0,"Y","N"))</f>
        <v/>
      </c>
      <c r="G202" s="17">
        <f>IF(OR(C202="",AND(LEFT(C202,6)="SAMPLE",Config!$B$19&lt;&gt;"Y")),"",IF(IFERROR(INDEX(Lists!$J$2:$J$15,MATCH(D202,Lists!$I$2:$I$15,0)),-1)=-1,"status '"&amp;D202&amp;"' is not a CONTRACTS status",IF(AND(D202="signed",COUNTIF(signed_offices!$W$2:$W$51,C202)=0),"status signed but no signed_offices row"&amp;IF(F202="N"," and no tracker row",""),IF(AND(IFERROR(INDEX(Lists!$J$2:$J$15,MATCH(D202,Lists!$I$2:$I$15,0)),-1)&gt;=6,F202="N"),"status "&amp;D202&amp;" but no tracker row",IF(AND(E202="Y",D202&lt;&gt;"do_not_contact"),"do_not_contact = Y but status is "&amp;D202,IF(AND(D202="do_not_contact",E202&lt;&gt;"Y"),"status do_not_contact but do_not_contact is not Y",""))))))</f>
        <v/>
      </c>
      <c r="I202" s="17" t="n">
        <v>181</v>
      </c>
      <c r="J202" s="17">
        <f>IFERROR(INDEX(Clay_Brands!$A$2:$FZ$601,I202,$D$5)&amp;"","")</f>
        <v/>
      </c>
      <c r="K202" s="17">
        <f>IFERROR(INDEX(Clay_Brands!$A$2:$FZ$601,I202,$D$7)&amp;"","")</f>
        <v/>
      </c>
      <c r="L202" s="17">
        <f>IFERROR(INDEX(Clay_Brands!$A$2:$FZ$601,I202,$D$8)&amp;"","")</f>
        <v/>
      </c>
      <c r="M202" s="17">
        <f>IF(J202="","",IF(COUNTIF(Brand_Log!$A$2:$A$201,J202)&gt;0,"Y","N"))</f>
        <v/>
      </c>
      <c r="N202" s="17">
        <f>IF(OR(J202="",AND(LEFT(J202,6)="SAMPLE",Config!$B$19&lt;&gt;"Y")),"",IF(IFERROR(INDEX(Lists!$J$2:$J$15,MATCH(K202,Lists!$I$2:$I$15,0)),-1)=-1,"status '"&amp;K202&amp;"' is not a CONTRACTS status",IF(AND(K202="paid",COUNTIF(paid_brands!$AC$2:$AC$51,J202)=0),"status paid but no paid_brands row"&amp;IF(M202="N"," and no tracker row",""),IF(AND(IFERROR(INDEX(Lists!$J$2:$J$15,MATCH(K202,Lists!$I$2:$I$15,0)),-1)&gt;=6,M202="N"),"status "&amp;K202&amp;" but no tracker row",IF(AND(L202="Y",K202&lt;&gt;"do_not_contact"),"do_not_contact = Y but status is "&amp;K202,IF(AND(K202="do_not_contact",L202&lt;&gt;"Y"),"status do_not_contact but do_not_contact is not Y",""))))))</f>
        <v/>
      </c>
    </row>
    <row r="203">
      <c r="B203" s="17" t="n">
        <v>182</v>
      </c>
      <c r="C203" s="17">
        <f>IFERROR(INDEX(Clay_Offices!$A$2:$FZ$601,B203,$C$5)&amp;"","")</f>
        <v/>
      </c>
      <c r="D203" s="17">
        <f>IFERROR(INDEX(Clay_Offices!$A$2:$FZ$601,B203,$C$7)&amp;"","")</f>
        <v/>
      </c>
      <c r="E203" s="17">
        <f>IFERROR(INDEX(Clay_Offices!$A$2:$FZ$601,B203,$C$8)&amp;"","")</f>
        <v/>
      </c>
      <c r="F203" s="17">
        <f>IF(C203="","",IF(COUNTIF(Office_Log!$A$2:$A$201,C203)&gt;0,"Y","N"))</f>
        <v/>
      </c>
      <c r="G203" s="17">
        <f>IF(OR(C203="",AND(LEFT(C203,6)="SAMPLE",Config!$B$19&lt;&gt;"Y")),"",IF(IFERROR(INDEX(Lists!$J$2:$J$15,MATCH(D203,Lists!$I$2:$I$15,0)),-1)=-1,"status '"&amp;D203&amp;"' is not a CONTRACTS status",IF(AND(D203="signed",COUNTIF(signed_offices!$W$2:$W$51,C203)=0),"status signed but no signed_offices row"&amp;IF(F203="N"," and no tracker row",""),IF(AND(IFERROR(INDEX(Lists!$J$2:$J$15,MATCH(D203,Lists!$I$2:$I$15,0)),-1)&gt;=6,F203="N"),"status "&amp;D203&amp;" but no tracker row",IF(AND(E203="Y",D203&lt;&gt;"do_not_contact"),"do_not_contact = Y but status is "&amp;D203,IF(AND(D203="do_not_contact",E203&lt;&gt;"Y"),"status do_not_contact but do_not_contact is not Y",""))))))</f>
        <v/>
      </c>
      <c r="I203" s="17" t="n">
        <v>182</v>
      </c>
      <c r="J203" s="17">
        <f>IFERROR(INDEX(Clay_Brands!$A$2:$FZ$601,I203,$D$5)&amp;"","")</f>
        <v/>
      </c>
      <c r="K203" s="17">
        <f>IFERROR(INDEX(Clay_Brands!$A$2:$FZ$601,I203,$D$7)&amp;"","")</f>
        <v/>
      </c>
      <c r="L203" s="17">
        <f>IFERROR(INDEX(Clay_Brands!$A$2:$FZ$601,I203,$D$8)&amp;"","")</f>
        <v/>
      </c>
      <c r="M203" s="17">
        <f>IF(J203="","",IF(COUNTIF(Brand_Log!$A$2:$A$201,J203)&gt;0,"Y","N"))</f>
        <v/>
      </c>
      <c r="N203" s="17">
        <f>IF(OR(J203="",AND(LEFT(J203,6)="SAMPLE",Config!$B$19&lt;&gt;"Y")),"",IF(IFERROR(INDEX(Lists!$J$2:$J$15,MATCH(K203,Lists!$I$2:$I$15,0)),-1)=-1,"status '"&amp;K203&amp;"' is not a CONTRACTS status",IF(AND(K203="paid",COUNTIF(paid_brands!$AC$2:$AC$51,J203)=0),"status paid but no paid_brands row"&amp;IF(M203="N"," and no tracker row",""),IF(AND(IFERROR(INDEX(Lists!$J$2:$J$15,MATCH(K203,Lists!$I$2:$I$15,0)),-1)&gt;=6,M203="N"),"status "&amp;K203&amp;" but no tracker row",IF(AND(L203="Y",K203&lt;&gt;"do_not_contact"),"do_not_contact = Y but status is "&amp;K203,IF(AND(K203="do_not_contact",L203&lt;&gt;"Y"),"status do_not_contact but do_not_contact is not Y",""))))))</f>
        <v/>
      </c>
    </row>
    <row r="204">
      <c r="B204" s="17" t="n">
        <v>183</v>
      </c>
      <c r="C204" s="17">
        <f>IFERROR(INDEX(Clay_Offices!$A$2:$FZ$601,B204,$C$5)&amp;"","")</f>
        <v/>
      </c>
      <c r="D204" s="17">
        <f>IFERROR(INDEX(Clay_Offices!$A$2:$FZ$601,B204,$C$7)&amp;"","")</f>
        <v/>
      </c>
      <c r="E204" s="17">
        <f>IFERROR(INDEX(Clay_Offices!$A$2:$FZ$601,B204,$C$8)&amp;"","")</f>
        <v/>
      </c>
      <c r="F204" s="17">
        <f>IF(C204="","",IF(COUNTIF(Office_Log!$A$2:$A$201,C204)&gt;0,"Y","N"))</f>
        <v/>
      </c>
      <c r="G204" s="17">
        <f>IF(OR(C204="",AND(LEFT(C204,6)="SAMPLE",Config!$B$19&lt;&gt;"Y")),"",IF(IFERROR(INDEX(Lists!$J$2:$J$15,MATCH(D204,Lists!$I$2:$I$15,0)),-1)=-1,"status '"&amp;D204&amp;"' is not a CONTRACTS status",IF(AND(D204="signed",COUNTIF(signed_offices!$W$2:$W$51,C204)=0),"status signed but no signed_offices row"&amp;IF(F204="N"," and no tracker row",""),IF(AND(IFERROR(INDEX(Lists!$J$2:$J$15,MATCH(D204,Lists!$I$2:$I$15,0)),-1)&gt;=6,F204="N"),"status "&amp;D204&amp;" but no tracker row",IF(AND(E204="Y",D204&lt;&gt;"do_not_contact"),"do_not_contact = Y but status is "&amp;D204,IF(AND(D204="do_not_contact",E204&lt;&gt;"Y"),"status do_not_contact but do_not_contact is not Y",""))))))</f>
        <v/>
      </c>
      <c r="I204" s="17" t="n">
        <v>183</v>
      </c>
      <c r="J204" s="17">
        <f>IFERROR(INDEX(Clay_Brands!$A$2:$FZ$601,I204,$D$5)&amp;"","")</f>
        <v/>
      </c>
      <c r="K204" s="17">
        <f>IFERROR(INDEX(Clay_Brands!$A$2:$FZ$601,I204,$D$7)&amp;"","")</f>
        <v/>
      </c>
      <c r="L204" s="17">
        <f>IFERROR(INDEX(Clay_Brands!$A$2:$FZ$601,I204,$D$8)&amp;"","")</f>
        <v/>
      </c>
      <c r="M204" s="17">
        <f>IF(J204="","",IF(COUNTIF(Brand_Log!$A$2:$A$201,J204)&gt;0,"Y","N"))</f>
        <v/>
      </c>
      <c r="N204" s="17">
        <f>IF(OR(J204="",AND(LEFT(J204,6)="SAMPLE",Config!$B$19&lt;&gt;"Y")),"",IF(IFERROR(INDEX(Lists!$J$2:$J$15,MATCH(K204,Lists!$I$2:$I$15,0)),-1)=-1,"status '"&amp;K204&amp;"' is not a CONTRACTS status",IF(AND(K204="paid",COUNTIF(paid_brands!$AC$2:$AC$51,J204)=0),"status paid but no paid_brands row"&amp;IF(M204="N"," and no tracker row",""),IF(AND(IFERROR(INDEX(Lists!$J$2:$J$15,MATCH(K204,Lists!$I$2:$I$15,0)),-1)&gt;=6,M204="N"),"status "&amp;K204&amp;" but no tracker row",IF(AND(L204="Y",K204&lt;&gt;"do_not_contact"),"do_not_contact = Y but status is "&amp;K204,IF(AND(K204="do_not_contact",L204&lt;&gt;"Y"),"status do_not_contact but do_not_contact is not Y",""))))))</f>
        <v/>
      </c>
    </row>
    <row r="205">
      <c r="B205" s="17" t="n">
        <v>184</v>
      </c>
      <c r="C205" s="17">
        <f>IFERROR(INDEX(Clay_Offices!$A$2:$FZ$601,B205,$C$5)&amp;"","")</f>
        <v/>
      </c>
      <c r="D205" s="17">
        <f>IFERROR(INDEX(Clay_Offices!$A$2:$FZ$601,B205,$C$7)&amp;"","")</f>
        <v/>
      </c>
      <c r="E205" s="17">
        <f>IFERROR(INDEX(Clay_Offices!$A$2:$FZ$601,B205,$C$8)&amp;"","")</f>
        <v/>
      </c>
      <c r="F205" s="17">
        <f>IF(C205="","",IF(COUNTIF(Office_Log!$A$2:$A$201,C205)&gt;0,"Y","N"))</f>
        <v/>
      </c>
      <c r="G205" s="17">
        <f>IF(OR(C205="",AND(LEFT(C205,6)="SAMPLE",Config!$B$19&lt;&gt;"Y")),"",IF(IFERROR(INDEX(Lists!$J$2:$J$15,MATCH(D205,Lists!$I$2:$I$15,0)),-1)=-1,"status '"&amp;D205&amp;"' is not a CONTRACTS status",IF(AND(D205="signed",COUNTIF(signed_offices!$W$2:$W$51,C205)=0),"status signed but no signed_offices row"&amp;IF(F205="N"," and no tracker row",""),IF(AND(IFERROR(INDEX(Lists!$J$2:$J$15,MATCH(D205,Lists!$I$2:$I$15,0)),-1)&gt;=6,F205="N"),"status "&amp;D205&amp;" but no tracker row",IF(AND(E205="Y",D205&lt;&gt;"do_not_contact"),"do_not_contact = Y but status is "&amp;D205,IF(AND(D205="do_not_contact",E205&lt;&gt;"Y"),"status do_not_contact but do_not_contact is not Y",""))))))</f>
        <v/>
      </c>
      <c r="I205" s="17" t="n">
        <v>184</v>
      </c>
      <c r="J205" s="17">
        <f>IFERROR(INDEX(Clay_Brands!$A$2:$FZ$601,I205,$D$5)&amp;"","")</f>
        <v/>
      </c>
      <c r="K205" s="17">
        <f>IFERROR(INDEX(Clay_Brands!$A$2:$FZ$601,I205,$D$7)&amp;"","")</f>
        <v/>
      </c>
      <c r="L205" s="17">
        <f>IFERROR(INDEX(Clay_Brands!$A$2:$FZ$601,I205,$D$8)&amp;"","")</f>
        <v/>
      </c>
      <c r="M205" s="17">
        <f>IF(J205="","",IF(COUNTIF(Brand_Log!$A$2:$A$201,J205)&gt;0,"Y","N"))</f>
        <v/>
      </c>
      <c r="N205" s="17">
        <f>IF(OR(J205="",AND(LEFT(J205,6)="SAMPLE",Config!$B$19&lt;&gt;"Y")),"",IF(IFERROR(INDEX(Lists!$J$2:$J$15,MATCH(K205,Lists!$I$2:$I$15,0)),-1)=-1,"status '"&amp;K205&amp;"' is not a CONTRACTS status",IF(AND(K205="paid",COUNTIF(paid_brands!$AC$2:$AC$51,J205)=0),"status paid but no paid_brands row"&amp;IF(M205="N"," and no tracker row",""),IF(AND(IFERROR(INDEX(Lists!$J$2:$J$15,MATCH(K205,Lists!$I$2:$I$15,0)),-1)&gt;=6,M205="N"),"status "&amp;K205&amp;" but no tracker row",IF(AND(L205="Y",K205&lt;&gt;"do_not_contact"),"do_not_contact = Y but status is "&amp;K205,IF(AND(K205="do_not_contact",L205&lt;&gt;"Y"),"status do_not_contact but do_not_contact is not Y",""))))))</f>
        <v/>
      </c>
    </row>
    <row r="206">
      <c r="B206" s="17" t="n">
        <v>185</v>
      </c>
      <c r="C206" s="17">
        <f>IFERROR(INDEX(Clay_Offices!$A$2:$FZ$601,B206,$C$5)&amp;"","")</f>
        <v/>
      </c>
      <c r="D206" s="17">
        <f>IFERROR(INDEX(Clay_Offices!$A$2:$FZ$601,B206,$C$7)&amp;"","")</f>
        <v/>
      </c>
      <c r="E206" s="17">
        <f>IFERROR(INDEX(Clay_Offices!$A$2:$FZ$601,B206,$C$8)&amp;"","")</f>
        <v/>
      </c>
      <c r="F206" s="17">
        <f>IF(C206="","",IF(COUNTIF(Office_Log!$A$2:$A$201,C206)&gt;0,"Y","N"))</f>
        <v/>
      </c>
      <c r="G206" s="17">
        <f>IF(OR(C206="",AND(LEFT(C206,6)="SAMPLE",Config!$B$19&lt;&gt;"Y")),"",IF(IFERROR(INDEX(Lists!$J$2:$J$15,MATCH(D206,Lists!$I$2:$I$15,0)),-1)=-1,"status '"&amp;D206&amp;"' is not a CONTRACTS status",IF(AND(D206="signed",COUNTIF(signed_offices!$W$2:$W$51,C206)=0),"status signed but no signed_offices row"&amp;IF(F206="N"," and no tracker row",""),IF(AND(IFERROR(INDEX(Lists!$J$2:$J$15,MATCH(D206,Lists!$I$2:$I$15,0)),-1)&gt;=6,F206="N"),"status "&amp;D206&amp;" but no tracker row",IF(AND(E206="Y",D206&lt;&gt;"do_not_contact"),"do_not_contact = Y but status is "&amp;D206,IF(AND(D206="do_not_contact",E206&lt;&gt;"Y"),"status do_not_contact but do_not_contact is not Y",""))))))</f>
        <v/>
      </c>
      <c r="I206" s="17" t="n">
        <v>185</v>
      </c>
      <c r="J206" s="17">
        <f>IFERROR(INDEX(Clay_Brands!$A$2:$FZ$601,I206,$D$5)&amp;"","")</f>
        <v/>
      </c>
      <c r="K206" s="17">
        <f>IFERROR(INDEX(Clay_Brands!$A$2:$FZ$601,I206,$D$7)&amp;"","")</f>
        <v/>
      </c>
      <c r="L206" s="17">
        <f>IFERROR(INDEX(Clay_Brands!$A$2:$FZ$601,I206,$D$8)&amp;"","")</f>
        <v/>
      </c>
      <c r="M206" s="17">
        <f>IF(J206="","",IF(COUNTIF(Brand_Log!$A$2:$A$201,J206)&gt;0,"Y","N"))</f>
        <v/>
      </c>
      <c r="N206" s="17">
        <f>IF(OR(J206="",AND(LEFT(J206,6)="SAMPLE",Config!$B$19&lt;&gt;"Y")),"",IF(IFERROR(INDEX(Lists!$J$2:$J$15,MATCH(K206,Lists!$I$2:$I$15,0)),-1)=-1,"status '"&amp;K206&amp;"' is not a CONTRACTS status",IF(AND(K206="paid",COUNTIF(paid_brands!$AC$2:$AC$51,J206)=0),"status paid but no paid_brands row"&amp;IF(M206="N"," and no tracker row",""),IF(AND(IFERROR(INDEX(Lists!$J$2:$J$15,MATCH(K206,Lists!$I$2:$I$15,0)),-1)&gt;=6,M206="N"),"status "&amp;K206&amp;" but no tracker row",IF(AND(L206="Y",K206&lt;&gt;"do_not_contact"),"do_not_contact = Y but status is "&amp;K206,IF(AND(K206="do_not_contact",L206&lt;&gt;"Y"),"status do_not_contact but do_not_contact is not Y",""))))))</f>
        <v/>
      </c>
    </row>
    <row r="207">
      <c r="B207" s="17" t="n">
        <v>186</v>
      </c>
      <c r="C207" s="17">
        <f>IFERROR(INDEX(Clay_Offices!$A$2:$FZ$601,B207,$C$5)&amp;"","")</f>
        <v/>
      </c>
      <c r="D207" s="17">
        <f>IFERROR(INDEX(Clay_Offices!$A$2:$FZ$601,B207,$C$7)&amp;"","")</f>
        <v/>
      </c>
      <c r="E207" s="17">
        <f>IFERROR(INDEX(Clay_Offices!$A$2:$FZ$601,B207,$C$8)&amp;"","")</f>
        <v/>
      </c>
      <c r="F207" s="17">
        <f>IF(C207="","",IF(COUNTIF(Office_Log!$A$2:$A$201,C207)&gt;0,"Y","N"))</f>
        <v/>
      </c>
      <c r="G207" s="17">
        <f>IF(OR(C207="",AND(LEFT(C207,6)="SAMPLE",Config!$B$19&lt;&gt;"Y")),"",IF(IFERROR(INDEX(Lists!$J$2:$J$15,MATCH(D207,Lists!$I$2:$I$15,0)),-1)=-1,"status '"&amp;D207&amp;"' is not a CONTRACTS status",IF(AND(D207="signed",COUNTIF(signed_offices!$W$2:$W$51,C207)=0),"status signed but no signed_offices row"&amp;IF(F207="N"," and no tracker row",""),IF(AND(IFERROR(INDEX(Lists!$J$2:$J$15,MATCH(D207,Lists!$I$2:$I$15,0)),-1)&gt;=6,F207="N"),"status "&amp;D207&amp;" but no tracker row",IF(AND(E207="Y",D207&lt;&gt;"do_not_contact"),"do_not_contact = Y but status is "&amp;D207,IF(AND(D207="do_not_contact",E207&lt;&gt;"Y"),"status do_not_contact but do_not_contact is not Y",""))))))</f>
        <v/>
      </c>
      <c r="I207" s="17" t="n">
        <v>186</v>
      </c>
      <c r="J207" s="17">
        <f>IFERROR(INDEX(Clay_Brands!$A$2:$FZ$601,I207,$D$5)&amp;"","")</f>
        <v/>
      </c>
      <c r="K207" s="17">
        <f>IFERROR(INDEX(Clay_Brands!$A$2:$FZ$601,I207,$D$7)&amp;"","")</f>
        <v/>
      </c>
      <c r="L207" s="17">
        <f>IFERROR(INDEX(Clay_Brands!$A$2:$FZ$601,I207,$D$8)&amp;"","")</f>
        <v/>
      </c>
      <c r="M207" s="17">
        <f>IF(J207="","",IF(COUNTIF(Brand_Log!$A$2:$A$201,J207)&gt;0,"Y","N"))</f>
        <v/>
      </c>
      <c r="N207" s="17">
        <f>IF(OR(J207="",AND(LEFT(J207,6)="SAMPLE",Config!$B$19&lt;&gt;"Y")),"",IF(IFERROR(INDEX(Lists!$J$2:$J$15,MATCH(K207,Lists!$I$2:$I$15,0)),-1)=-1,"status '"&amp;K207&amp;"' is not a CONTRACTS status",IF(AND(K207="paid",COUNTIF(paid_brands!$AC$2:$AC$51,J207)=0),"status paid but no paid_brands row"&amp;IF(M207="N"," and no tracker row",""),IF(AND(IFERROR(INDEX(Lists!$J$2:$J$15,MATCH(K207,Lists!$I$2:$I$15,0)),-1)&gt;=6,M207="N"),"status "&amp;K207&amp;" but no tracker row",IF(AND(L207="Y",K207&lt;&gt;"do_not_contact"),"do_not_contact = Y but status is "&amp;K207,IF(AND(K207="do_not_contact",L207&lt;&gt;"Y"),"status do_not_contact but do_not_contact is not Y",""))))))</f>
        <v/>
      </c>
    </row>
    <row r="208">
      <c r="B208" s="17" t="n">
        <v>187</v>
      </c>
      <c r="C208" s="17">
        <f>IFERROR(INDEX(Clay_Offices!$A$2:$FZ$601,B208,$C$5)&amp;"","")</f>
        <v/>
      </c>
      <c r="D208" s="17">
        <f>IFERROR(INDEX(Clay_Offices!$A$2:$FZ$601,B208,$C$7)&amp;"","")</f>
        <v/>
      </c>
      <c r="E208" s="17">
        <f>IFERROR(INDEX(Clay_Offices!$A$2:$FZ$601,B208,$C$8)&amp;"","")</f>
        <v/>
      </c>
      <c r="F208" s="17">
        <f>IF(C208="","",IF(COUNTIF(Office_Log!$A$2:$A$201,C208)&gt;0,"Y","N"))</f>
        <v/>
      </c>
      <c r="G208" s="17">
        <f>IF(OR(C208="",AND(LEFT(C208,6)="SAMPLE",Config!$B$19&lt;&gt;"Y")),"",IF(IFERROR(INDEX(Lists!$J$2:$J$15,MATCH(D208,Lists!$I$2:$I$15,0)),-1)=-1,"status '"&amp;D208&amp;"' is not a CONTRACTS status",IF(AND(D208="signed",COUNTIF(signed_offices!$W$2:$W$51,C208)=0),"status signed but no signed_offices row"&amp;IF(F208="N"," and no tracker row",""),IF(AND(IFERROR(INDEX(Lists!$J$2:$J$15,MATCH(D208,Lists!$I$2:$I$15,0)),-1)&gt;=6,F208="N"),"status "&amp;D208&amp;" but no tracker row",IF(AND(E208="Y",D208&lt;&gt;"do_not_contact"),"do_not_contact = Y but status is "&amp;D208,IF(AND(D208="do_not_contact",E208&lt;&gt;"Y"),"status do_not_contact but do_not_contact is not Y",""))))))</f>
        <v/>
      </c>
      <c r="I208" s="17" t="n">
        <v>187</v>
      </c>
      <c r="J208" s="17">
        <f>IFERROR(INDEX(Clay_Brands!$A$2:$FZ$601,I208,$D$5)&amp;"","")</f>
        <v/>
      </c>
      <c r="K208" s="17">
        <f>IFERROR(INDEX(Clay_Brands!$A$2:$FZ$601,I208,$D$7)&amp;"","")</f>
        <v/>
      </c>
      <c r="L208" s="17">
        <f>IFERROR(INDEX(Clay_Brands!$A$2:$FZ$601,I208,$D$8)&amp;"","")</f>
        <v/>
      </c>
      <c r="M208" s="17">
        <f>IF(J208="","",IF(COUNTIF(Brand_Log!$A$2:$A$201,J208)&gt;0,"Y","N"))</f>
        <v/>
      </c>
      <c r="N208" s="17">
        <f>IF(OR(J208="",AND(LEFT(J208,6)="SAMPLE",Config!$B$19&lt;&gt;"Y")),"",IF(IFERROR(INDEX(Lists!$J$2:$J$15,MATCH(K208,Lists!$I$2:$I$15,0)),-1)=-1,"status '"&amp;K208&amp;"' is not a CONTRACTS status",IF(AND(K208="paid",COUNTIF(paid_brands!$AC$2:$AC$51,J208)=0),"status paid but no paid_brands row"&amp;IF(M208="N"," and no tracker row",""),IF(AND(IFERROR(INDEX(Lists!$J$2:$J$15,MATCH(K208,Lists!$I$2:$I$15,0)),-1)&gt;=6,M208="N"),"status "&amp;K208&amp;" but no tracker row",IF(AND(L208="Y",K208&lt;&gt;"do_not_contact"),"do_not_contact = Y but status is "&amp;K208,IF(AND(K208="do_not_contact",L208&lt;&gt;"Y"),"status do_not_contact but do_not_contact is not Y",""))))))</f>
        <v/>
      </c>
    </row>
    <row r="209">
      <c r="B209" s="17" t="n">
        <v>188</v>
      </c>
      <c r="C209" s="17">
        <f>IFERROR(INDEX(Clay_Offices!$A$2:$FZ$601,B209,$C$5)&amp;"","")</f>
        <v/>
      </c>
      <c r="D209" s="17">
        <f>IFERROR(INDEX(Clay_Offices!$A$2:$FZ$601,B209,$C$7)&amp;"","")</f>
        <v/>
      </c>
      <c r="E209" s="17">
        <f>IFERROR(INDEX(Clay_Offices!$A$2:$FZ$601,B209,$C$8)&amp;"","")</f>
        <v/>
      </c>
      <c r="F209" s="17">
        <f>IF(C209="","",IF(COUNTIF(Office_Log!$A$2:$A$201,C209)&gt;0,"Y","N"))</f>
        <v/>
      </c>
      <c r="G209" s="17">
        <f>IF(OR(C209="",AND(LEFT(C209,6)="SAMPLE",Config!$B$19&lt;&gt;"Y")),"",IF(IFERROR(INDEX(Lists!$J$2:$J$15,MATCH(D209,Lists!$I$2:$I$15,0)),-1)=-1,"status '"&amp;D209&amp;"' is not a CONTRACTS status",IF(AND(D209="signed",COUNTIF(signed_offices!$W$2:$W$51,C209)=0),"status signed but no signed_offices row"&amp;IF(F209="N"," and no tracker row",""),IF(AND(IFERROR(INDEX(Lists!$J$2:$J$15,MATCH(D209,Lists!$I$2:$I$15,0)),-1)&gt;=6,F209="N"),"status "&amp;D209&amp;" but no tracker row",IF(AND(E209="Y",D209&lt;&gt;"do_not_contact"),"do_not_contact = Y but status is "&amp;D209,IF(AND(D209="do_not_contact",E209&lt;&gt;"Y"),"status do_not_contact but do_not_contact is not Y",""))))))</f>
        <v/>
      </c>
      <c r="I209" s="17" t="n">
        <v>188</v>
      </c>
      <c r="J209" s="17">
        <f>IFERROR(INDEX(Clay_Brands!$A$2:$FZ$601,I209,$D$5)&amp;"","")</f>
        <v/>
      </c>
      <c r="K209" s="17">
        <f>IFERROR(INDEX(Clay_Brands!$A$2:$FZ$601,I209,$D$7)&amp;"","")</f>
        <v/>
      </c>
      <c r="L209" s="17">
        <f>IFERROR(INDEX(Clay_Brands!$A$2:$FZ$601,I209,$D$8)&amp;"","")</f>
        <v/>
      </c>
      <c r="M209" s="17">
        <f>IF(J209="","",IF(COUNTIF(Brand_Log!$A$2:$A$201,J209)&gt;0,"Y","N"))</f>
        <v/>
      </c>
      <c r="N209" s="17">
        <f>IF(OR(J209="",AND(LEFT(J209,6)="SAMPLE",Config!$B$19&lt;&gt;"Y")),"",IF(IFERROR(INDEX(Lists!$J$2:$J$15,MATCH(K209,Lists!$I$2:$I$15,0)),-1)=-1,"status '"&amp;K209&amp;"' is not a CONTRACTS status",IF(AND(K209="paid",COUNTIF(paid_brands!$AC$2:$AC$51,J209)=0),"status paid but no paid_brands row"&amp;IF(M209="N"," and no tracker row",""),IF(AND(IFERROR(INDEX(Lists!$J$2:$J$15,MATCH(K209,Lists!$I$2:$I$15,0)),-1)&gt;=6,M209="N"),"status "&amp;K209&amp;" but no tracker row",IF(AND(L209="Y",K209&lt;&gt;"do_not_contact"),"do_not_contact = Y but status is "&amp;K209,IF(AND(K209="do_not_contact",L209&lt;&gt;"Y"),"status do_not_contact but do_not_contact is not Y",""))))))</f>
        <v/>
      </c>
    </row>
    <row r="210">
      <c r="B210" s="17" t="n">
        <v>189</v>
      </c>
      <c r="C210" s="17">
        <f>IFERROR(INDEX(Clay_Offices!$A$2:$FZ$601,B210,$C$5)&amp;"","")</f>
        <v/>
      </c>
      <c r="D210" s="17">
        <f>IFERROR(INDEX(Clay_Offices!$A$2:$FZ$601,B210,$C$7)&amp;"","")</f>
        <v/>
      </c>
      <c r="E210" s="17">
        <f>IFERROR(INDEX(Clay_Offices!$A$2:$FZ$601,B210,$C$8)&amp;"","")</f>
        <v/>
      </c>
      <c r="F210" s="17">
        <f>IF(C210="","",IF(COUNTIF(Office_Log!$A$2:$A$201,C210)&gt;0,"Y","N"))</f>
        <v/>
      </c>
      <c r="G210" s="17">
        <f>IF(OR(C210="",AND(LEFT(C210,6)="SAMPLE",Config!$B$19&lt;&gt;"Y")),"",IF(IFERROR(INDEX(Lists!$J$2:$J$15,MATCH(D210,Lists!$I$2:$I$15,0)),-1)=-1,"status '"&amp;D210&amp;"' is not a CONTRACTS status",IF(AND(D210="signed",COUNTIF(signed_offices!$W$2:$W$51,C210)=0),"status signed but no signed_offices row"&amp;IF(F210="N"," and no tracker row",""),IF(AND(IFERROR(INDEX(Lists!$J$2:$J$15,MATCH(D210,Lists!$I$2:$I$15,0)),-1)&gt;=6,F210="N"),"status "&amp;D210&amp;" but no tracker row",IF(AND(E210="Y",D210&lt;&gt;"do_not_contact"),"do_not_contact = Y but status is "&amp;D210,IF(AND(D210="do_not_contact",E210&lt;&gt;"Y"),"status do_not_contact but do_not_contact is not Y",""))))))</f>
        <v/>
      </c>
      <c r="I210" s="17" t="n">
        <v>189</v>
      </c>
      <c r="J210" s="17">
        <f>IFERROR(INDEX(Clay_Brands!$A$2:$FZ$601,I210,$D$5)&amp;"","")</f>
        <v/>
      </c>
      <c r="K210" s="17">
        <f>IFERROR(INDEX(Clay_Brands!$A$2:$FZ$601,I210,$D$7)&amp;"","")</f>
        <v/>
      </c>
      <c r="L210" s="17">
        <f>IFERROR(INDEX(Clay_Brands!$A$2:$FZ$601,I210,$D$8)&amp;"","")</f>
        <v/>
      </c>
      <c r="M210" s="17">
        <f>IF(J210="","",IF(COUNTIF(Brand_Log!$A$2:$A$201,J210)&gt;0,"Y","N"))</f>
        <v/>
      </c>
      <c r="N210" s="17">
        <f>IF(OR(J210="",AND(LEFT(J210,6)="SAMPLE",Config!$B$19&lt;&gt;"Y")),"",IF(IFERROR(INDEX(Lists!$J$2:$J$15,MATCH(K210,Lists!$I$2:$I$15,0)),-1)=-1,"status '"&amp;K210&amp;"' is not a CONTRACTS status",IF(AND(K210="paid",COUNTIF(paid_brands!$AC$2:$AC$51,J210)=0),"status paid but no paid_brands row"&amp;IF(M210="N"," and no tracker row",""),IF(AND(IFERROR(INDEX(Lists!$J$2:$J$15,MATCH(K210,Lists!$I$2:$I$15,0)),-1)&gt;=6,M210="N"),"status "&amp;K210&amp;" but no tracker row",IF(AND(L210="Y",K210&lt;&gt;"do_not_contact"),"do_not_contact = Y but status is "&amp;K210,IF(AND(K210="do_not_contact",L210&lt;&gt;"Y"),"status do_not_contact but do_not_contact is not Y",""))))))</f>
        <v/>
      </c>
    </row>
    <row r="211">
      <c r="B211" s="17" t="n">
        <v>190</v>
      </c>
      <c r="C211" s="17">
        <f>IFERROR(INDEX(Clay_Offices!$A$2:$FZ$601,B211,$C$5)&amp;"","")</f>
        <v/>
      </c>
      <c r="D211" s="17">
        <f>IFERROR(INDEX(Clay_Offices!$A$2:$FZ$601,B211,$C$7)&amp;"","")</f>
        <v/>
      </c>
      <c r="E211" s="17">
        <f>IFERROR(INDEX(Clay_Offices!$A$2:$FZ$601,B211,$C$8)&amp;"","")</f>
        <v/>
      </c>
      <c r="F211" s="17">
        <f>IF(C211="","",IF(COUNTIF(Office_Log!$A$2:$A$201,C211)&gt;0,"Y","N"))</f>
        <v/>
      </c>
      <c r="G211" s="17">
        <f>IF(OR(C211="",AND(LEFT(C211,6)="SAMPLE",Config!$B$19&lt;&gt;"Y")),"",IF(IFERROR(INDEX(Lists!$J$2:$J$15,MATCH(D211,Lists!$I$2:$I$15,0)),-1)=-1,"status '"&amp;D211&amp;"' is not a CONTRACTS status",IF(AND(D211="signed",COUNTIF(signed_offices!$W$2:$W$51,C211)=0),"status signed but no signed_offices row"&amp;IF(F211="N"," and no tracker row",""),IF(AND(IFERROR(INDEX(Lists!$J$2:$J$15,MATCH(D211,Lists!$I$2:$I$15,0)),-1)&gt;=6,F211="N"),"status "&amp;D211&amp;" but no tracker row",IF(AND(E211="Y",D211&lt;&gt;"do_not_contact"),"do_not_contact = Y but status is "&amp;D211,IF(AND(D211="do_not_contact",E211&lt;&gt;"Y"),"status do_not_contact but do_not_contact is not Y",""))))))</f>
        <v/>
      </c>
      <c r="I211" s="17" t="n">
        <v>190</v>
      </c>
      <c r="J211" s="17">
        <f>IFERROR(INDEX(Clay_Brands!$A$2:$FZ$601,I211,$D$5)&amp;"","")</f>
        <v/>
      </c>
      <c r="K211" s="17">
        <f>IFERROR(INDEX(Clay_Brands!$A$2:$FZ$601,I211,$D$7)&amp;"","")</f>
        <v/>
      </c>
      <c r="L211" s="17">
        <f>IFERROR(INDEX(Clay_Brands!$A$2:$FZ$601,I211,$D$8)&amp;"","")</f>
        <v/>
      </c>
      <c r="M211" s="17">
        <f>IF(J211="","",IF(COUNTIF(Brand_Log!$A$2:$A$201,J211)&gt;0,"Y","N"))</f>
        <v/>
      </c>
      <c r="N211" s="17">
        <f>IF(OR(J211="",AND(LEFT(J211,6)="SAMPLE",Config!$B$19&lt;&gt;"Y")),"",IF(IFERROR(INDEX(Lists!$J$2:$J$15,MATCH(K211,Lists!$I$2:$I$15,0)),-1)=-1,"status '"&amp;K211&amp;"' is not a CONTRACTS status",IF(AND(K211="paid",COUNTIF(paid_brands!$AC$2:$AC$51,J211)=0),"status paid but no paid_brands row"&amp;IF(M211="N"," and no tracker row",""),IF(AND(IFERROR(INDEX(Lists!$J$2:$J$15,MATCH(K211,Lists!$I$2:$I$15,0)),-1)&gt;=6,M211="N"),"status "&amp;K211&amp;" but no tracker row",IF(AND(L211="Y",K211&lt;&gt;"do_not_contact"),"do_not_contact = Y but status is "&amp;K211,IF(AND(K211="do_not_contact",L211&lt;&gt;"Y"),"status do_not_contact but do_not_contact is not Y",""))))))</f>
        <v/>
      </c>
    </row>
    <row r="212">
      <c r="B212" s="17" t="n">
        <v>191</v>
      </c>
      <c r="C212" s="17">
        <f>IFERROR(INDEX(Clay_Offices!$A$2:$FZ$601,B212,$C$5)&amp;"","")</f>
        <v/>
      </c>
      <c r="D212" s="17">
        <f>IFERROR(INDEX(Clay_Offices!$A$2:$FZ$601,B212,$C$7)&amp;"","")</f>
        <v/>
      </c>
      <c r="E212" s="17">
        <f>IFERROR(INDEX(Clay_Offices!$A$2:$FZ$601,B212,$C$8)&amp;"","")</f>
        <v/>
      </c>
      <c r="F212" s="17">
        <f>IF(C212="","",IF(COUNTIF(Office_Log!$A$2:$A$201,C212)&gt;0,"Y","N"))</f>
        <v/>
      </c>
      <c r="G212" s="17">
        <f>IF(OR(C212="",AND(LEFT(C212,6)="SAMPLE",Config!$B$19&lt;&gt;"Y")),"",IF(IFERROR(INDEX(Lists!$J$2:$J$15,MATCH(D212,Lists!$I$2:$I$15,0)),-1)=-1,"status '"&amp;D212&amp;"' is not a CONTRACTS status",IF(AND(D212="signed",COUNTIF(signed_offices!$W$2:$W$51,C212)=0),"status signed but no signed_offices row"&amp;IF(F212="N"," and no tracker row",""),IF(AND(IFERROR(INDEX(Lists!$J$2:$J$15,MATCH(D212,Lists!$I$2:$I$15,0)),-1)&gt;=6,F212="N"),"status "&amp;D212&amp;" but no tracker row",IF(AND(E212="Y",D212&lt;&gt;"do_not_contact"),"do_not_contact = Y but status is "&amp;D212,IF(AND(D212="do_not_contact",E212&lt;&gt;"Y"),"status do_not_contact but do_not_contact is not Y",""))))))</f>
        <v/>
      </c>
      <c r="I212" s="17" t="n">
        <v>191</v>
      </c>
      <c r="J212" s="17">
        <f>IFERROR(INDEX(Clay_Brands!$A$2:$FZ$601,I212,$D$5)&amp;"","")</f>
        <v/>
      </c>
      <c r="K212" s="17">
        <f>IFERROR(INDEX(Clay_Brands!$A$2:$FZ$601,I212,$D$7)&amp;"","")</f>
        <v/>
      </c>
      <c r="L212" s="17">
        <f>IFERROR(INDEX(Clay_Brands!$A$2:$FZ$601,I212,$D$8)&amp;"","")</f>
        <v/>
      </c>
      <c r="M212" s="17">
        <f>IF(J212="","",IF(COUNTIF(Brand_Log!$A$2:$A$201,J212)&gt;0,"Y","N"))</f>
        <v/>
      </c>
      <c r="N212" s="17">
        <f>IF(OR(J212="",AND(LEFT(J212,6)="SAMPLE",Config!$B$19&lt;&gt;"Y")),"",IF(IFERROR(INDEX(Lists!$J$2:$J$15,MATCH(K212,Lists!$I$2:$I$15,0)),-1)=-1,"status '"&amp;K212&amp;"' is not a CONTRACTS status",IF(AND(K212="paid",COUNTIF(paid_brands!$AC$2:$AC$51,J212)=0),"status paid but no paid_brands row"&amp;IF(M212="N"," and no tracker row",""),IF(AND(IFERROR(INDEX(Lists!$J$2:$J$15,MATCH(K212,Lists!$I$2:$I$15,0)),-1)&gt;=6,M212="N"),"status "&amp;K212&amp;" but no tracker row",IF(AND(L212="Y",K212&lt;&gt;"do_not_contact"),"do_not_contact = Y but status is "&amp;K212,IF(AND(K212="do_not_contact",L212&lt;&gt;"Y"),"status do_not_contact but do_not_contact is not Y",""))))))</f>
        <v/>
      </c>
    </row>
    <row r="213">
      <c r="B213" s="17" t="n">
        <v>192</v>
      </c>
      <c r="C213" s="17">
        <f>IFERROR(INDEX(Clay_Offices!$A$2:$FZ$601,B213,$C$5)&amp;"","")</f>
        <v/>
      </c>
      <c r="D213" s="17">
        <f>IFERROR(INDEX(Clay_Offices!$A$2:$FZ$601,B213,$C$7)&amp;"","")</f>
        <v/>
      </c>
      <c r="E213" s="17">
        <f>IFERROR(INDEX(Clay_Offices!$A$2:$FZ$601,B213,$C$8)&amp;"","")</f>
        <v/>
      </c>
      <c r="F213" s="17">
        <f>IF(C213="","",IF(COUNTIF(Office_Log!$A$2:$A$201,C213)&gt;0,"Y","N"))</f>
        <v/>
      </c>
      <c r="G213" s="17">
        <f>IF(OR(C213="",AND(LEFT(C213,6)="SAMPLE",Config!$B$19&lt;&gt;"Y")),"",IF(IFERROR(INDEX(Lists!$J$2:$J$15,MATCH(D213,Lists!$I$2:$I$15,0)),-1)=-1,"status '"&amp;D213&amp;"' is not a CONTRACTS status",IF(AND(D213="signed",COUNTIF(signed_offices!$W$2:$W$51,C213)=0),"status signed but no signed_offices row"&amp;IF(F213="N"," and no tracker row",""),IF(AND(IFERROR(INDEX(Lists!$J$2:$J$15,MATCH(D213,Lists!$I$2:$I$15,0)),-1)&gt;=6,F213="N"),"status "&amp;D213&amp;" but no tracker row",IF(AND(E213="Y",D213&lt;&gt;"do_not_contact"),"do_not_contact = Y but status is "&amp;D213,IF(AND(D213="do_not_contact",E213&lt;&gt;"Y"),"status do_not_contact but do_not_contact is not Y",""))))))</f>
        <v/>
      </c>
      <c r="I213" s="17" t="n">
        <v>192</v>
      </c>
      <c r="J213" s="17">
        <f>IFERROR(INDEX(Clay_Brands!$A$2:$FZ$601,I213,$D$5)&amp;"","")</f>
        <v/>
      </c>
      <c r="K213" s="17">
        <f>IFERROR(INDEX(Clay_Brands!$A$2:$FZ$601,I213,$D$7)&amp;"","")</f>
        <v/>
      </c>
      <c r="L213" s="17">
        <f>IFERROR(INDEX(Clay_Brands!$A$2:$FZ$601,I213,$D$8)&amp;"","")</f>
        <v/>
      </c>
      <c r="M213" s="17">
        <f>IF(J213="","",IF(COUNTIF(Brand_Log!$A$2:$A$201,J213)&gt;0,"Y","N"))</f>
        <v/>
      </c>
      <c r="N213" s="17">
        <f>IF(OR(J213="",AND(LEFT(J213,6)="SAMPLE",Config!$B$19&lt;&gt;"Y")),"",IF(IFERROR(INDEX(Lists!$J$2:$J$15,MATCH(K213,Lists!$I$2:$I$15,0)),-1)=-1,"status '"&amp;K213&amp;"' is not a CONTRACTS status",IF(AND(K213="paid",COUNTIF(paid_brands!$AC$2:$AC$51,J213)=0),"status paid but no paid_brands row"&amp;IF(M213="N"," and no tracker row",""),IF(AND(IFERROR(INDEX(Lists!$J$2:$J$15,MATCH(K213,Lists!$I$2:$I$15,0)),-1)&gt;=6,M213="N"),"status "&amp;K213&amp;" but no tracker row",IF(AND(L213="Y",K213&lt;&gt;"do_not_contact"),"do_not_contact = Y but status is "&amp;K213,IF(AND(K213="do_not_contact",L213&lt;&gt;"Y"),"status do_not_contact but do_not_contact is not Y",""))))))</f>
        <v/>
      </c>
    </row>
    <row r="214">
      <c r="B214" s="17" t="n">
        <v>193</v>
      </c>
      <c r="C214" s="17">
        <f>IFERROR(INDEX(Clay_Offices!$A$2:$FZ$601,B214,$C$5)&amp;"","")</f>
        <v/>
      </c>
      <c r="D214" s="17">
        <f>IFERROR(INDEX(Clay_Offices!$A$2:$FZ$601,B214,$C$7)&amp;"","")</f>
        <v/>
      </c>
      <c r="E214" s="17">
        <f>IFERROR(INDEX(Clay_Offices!$A$2:$FZ$601,B214,$C$8)&amp;"","")</f>
        <v/>
      </c>
      <c r="F214" s="17">
        <f>IF(C214="","",IF(COUNTIF(Office_Log!$A$2:$A$201,C214)&gt;0,"Y","N"))</f>
        <v/>
      </c>
      <c r="G214" s="17">
        <f>IF(OR(C214="",AND(LEFT(C214,6)="SAMPLE",Config!$B$19&lt;&gt;"Y")),"",IF(IFERROR(INDEX(Lists!$J$2:$J$15,MATCH(D214,Lists!$I$2:$I$15,0)),-1)=-1,"status '"&amp;D214&amp;"' is not a CONTRACTS status",IF(AND(D214="signed",COUNTIF(signed_offices!$W$2:$W$51,C214)=0),"status signed but no signed_offices row"&amp;IF(F214="N"," and no tracker row",""),IF(AND(IFERROR(INDEX(Lists!$J$2:$J$15,MATCH(D214,Lists!$I$2:$I$15,0)),-1)&gt;=6,F214="N"),"status "&amp;D214&amp;" but no tracker row",IF(AND(E214="Y",D214&lt;&gt;"do_not_contact"),"do_not_contact = Y but status is "&amp;D214,IF(AND(D214="do_not_contact",E214&lt;&gt;"Y"),"status do_not_contact but do_not_contact is not Y",""))))))</f>
        <v/>
      </c>
      <c r="I214" s="17" t="n">
        <v>193</v>
      </c>
      <c r="J214" s="17">
        <f>IFERROR(INDEX(Clay_Brands!$A$2:$FZ$601,I214,$D$5)&amp;"","")</f>
        <v/>
      </c>
      <c r="K214" s="17">
        <f>IFERROR(INDEX(Clay_Brands!$A$2:$FZ$601,I214,$D$7)&amp;"","")</f>
        <v/>
      </c>
      <c r="L214" s="17">
        <f>IFERROR(INDEX(Clay_Brands!$A$2:$FZ$601,I214,$D$8)&amp;"","")</f>
        <v/>
      </c>
      <c r="M214" s="17">
        <f>IF(J214="","",IF(COUNTIF(Brand_Log!$A$2:$A$201,J214)&gt;0,"Y","N"))</f>
        <v/>
      </c>
      <c r="N214" s="17">
        <f>IF(OR(J214="",AND(LEFT(J214,6)="SAMPLE",Config!$B$19&lt;&gt;"Y")),"",IF(IFERROR(INDEX(Lists!$J$2:$J$15,MATCH(K214,Lists!$I$2:$I$15,0)),-1)=-1,"status '"&amp;K214&amp;"' is not a CONTRACTS status",IF(AND(K214="paid",COUNTIF(paid_brands!$AC$2:$AC$51,J214)=0),"status paid but no paid_brands row"&amp;IF(M214="N"," and no tracker row",""),IF(AND(IFERROR(INDEX(Lists!$J$2:$J$15,MATCH(K214,Lists!$I$2:$I$15,0)),-1)&gt;=6,M214="N"),"status "&amp;K214&amp;" but no tracker row",IF(AND(L214="Y",K214&lt;&gt;"do_not_contact"),"do_not_contact = Y but status is "&amp;K214,IF(AND(K214="do_not_contact",L214&lt;&gt;"Y"),"status do_not_contact but do_not_contact is not Y",""))))))</f>
        <v/>
      </c>
    </row>
    <row r="215">
      <c r="B215" s="17" t="n">
        <v>194</v>
      </c>
      <c r="C215" s="17">
        <f>IFERROR(INDEX(Clay_Offices!$A$2:$FZ$601,B215,$C$5)&amp;"","")</f>
        <v/>
      </c>
      <c r="D215" s="17">
        <f>IFERROR(INDEX(Clay_Offices!$A$2:$FZ$601,B215,$C$7)&amp;"","")</f>
        <v/>
      </c>
      <c r="E215" s="17">
        <f>IFERROR(INDEX(Clay_Offices!$A$2:$FZ$601,B215,$C$8)&amp;"","")</f>
        <v/>
      </c>
      <c r="F215" s="17">
        <f>IF(C215="","",IF(COUNTIF(Office_Log!$A$2:$A$201,C215)&gt;0,"Y","N"))</f>
        <v/>
      </c>
      <c r="G215" s="17">
        <f>IF(OR(C215="",AND(LEFT(C215,6)="SAMPLE",Config!$B$19&lt;&gt;"Y")),"",IF(IFERROR(INDEX(Lists!$J$2:$J$15,MATCH(D215,Lists!$I$2:$I$15,0)),-1)=-1,"status '"&amp;D215&amp;"' is not a CONTRACTS status",IF(AND(D215="signed",COUNTIF(signed_offices!$W$2:$W$51,C215)=0),"status signed but no signed_offices row"&amp;IF(F215="N"," and no tracker row",""),IF(AND(IFERROR(INDEX(Lists!$J$2:$J$15,MATCH(D215,Lists!$I$2:$I$15,0)),-1)&gt;=6,F215="N"),"status "&amp;D215&amp;" but no tracker row",IF(AND(E215="Y",D215&lt;&gt;"do_not_contact"),"do_not_contact = Y but status is "&amp;D215,IF(AND(D215="do_not_contact",E215&lt;&gt;"Y"),"status do_not_contact but do_not_contact is not Y",""))))))</f>
        <v/>
      </c>
      <c r="I215" s="17" t="n">
        <v>194</v>
      </c>
      <c r="J215" s="17">
        <f>IFERROR(INDEX(Clay_Brands!$A$2:$FZ$601,I215,$D$5)&amp;"","")</f>
        <v/>
      </c>
      <c r="K215" s="17">
        <f>IFERROR(INDEX(Clay_Brands!$A$2:$FZ$601,I215,$D$7)&amp;"","")</f>
        <v/>
      </c>
      <c r="L215" s="17">
        <f>IFERROR(INDEX(Clay_Brands!$A$2:$FZ$601,I215,$D$8)&amp;"","")</f>
        <v/>
      </c>
      <c r="M215" s="17">
        <f>IF(J215="","",IF(COUNTIF(Brand_Log!$A$2:$A$201,J215)&gt;0,"Y","N"))</f>
        <v/>
      </c>
      <c r="N215" s="17">
        <f>IF(OR(J215="",AND(LEFT(J215,6)="SAMPLE",Config!$B$19&lt;&gt;"Y")),"",IF(IFERROR(INDEX(Lists!$J$2:$J$15,MATCH(K215,Lists!$I$2:$I$15,0)),-1)=-1,"status '"&amp;K215&amp;"' is not a CONTRACTS status",IF(AND(K215="paid",COUNTIF(paid_brands!$AC$2:$AC$51,J215)=0),"status paid but no paid_brands row"&amp;IF(M215="N"," and no tracker row",""),IF(AND(IFERROR(INDEX(Lists!$J$2:$J$15,MATCH(K215,Lists!$I$2:$I$15,0)),-1)&gt;=6,M215="N"),"status "&amp;K215&amp;" but no tracker row",IF(AND(L215="Y",K215&lt;&gt;"do_not_contact"),"do_not_contact = Y but status is "&amp;K215,IF(AND(K215="do_not_contact",L215&lt;&gt;"Y"),"status do_not_contact but do_not_contact is not Y",""))))))</f>
        <v/>
      </c>
    </row>
    <row r="216">
      <c r="B216" s="17" t="n">
        <v>195</v>
      </c>
      <c r="C216" s="17">
        <f>IFERROR(INDEX(Clay_Offices!$A$2:$FZ$601,B216,$C$5)&amp;"","")</f>
        <v/>
      </c>
      <c r="D216" s="17">
        <f>IFERROR(INDEX(Clay_Offices!$A$2:$FZ$601,B216,$C$7)&amp;"","")</f>
        <v/>
      </c>
      <c r="E216" s="17">
        <f>IFERROR(INDEX(Clay_Offices!$A$2:$FZ$601,B216,$C$8)&amp;"","")</f>
        <v/>
      </c>
      <c r="F216" s="17">
        <f>IF(C216="","",IF(COUNTIF(Office_Log!$A$2:$A$201,C216)&gt;0,"Y","N"))</f>
        <v/>
      </c>
      <c r="G216" s="17">
        <f>IF(OR(C216="",AND(LEFT(C216,6)="SAMPLE",Config!$B$19&lt;&gt;"Y")),"",IF(IFERROR(INDEX(Lists!$J$2:$J$15,MATCH(D216,Lists!$I$2:$I$15,0)),-1)=-1,"status '"&amp;D216&amp;"' is not a CONTRACTS status",IF(AND(D216="signed",COUNTIF(signed_offices!$W$2:$W$51,C216)=0),"status signed but no signed_offices row"&amp;IF(F216="N"," and no tracker row",""),IF(AND(IFERROR(INDEX(Lists!$J$2:$J$15,MATCH(D216,Lists!$I$2:$I$15,0)),-1)&gt;=6,F216="N"),"status "&amp;D216&amp;" but no tracker row",IF(AND(E216="Y",D216&lt;&gt;"do_not_contact"),"do_not_contact = Y but status is "&amp;D216,IF(AND(D216="do_not_contact",E216&lt;&gt;"Y"),"status do_not_contact but do_not_contact is not Y",""))))))</f>
        <v/>
      </c>
      <c r="I216" s="17" t="n">
        <v>195</v>
      </c>
      <c r="J216" s="17">
        <f>IFERROR(INDEX(Clay_Brands!$A$2:$FZ$601,I216,$D$5)&amp;"","")</f>
        <v/>
      </c>
      <c r="K216" s="17">
        <f>IFERROR(INDEX(Clay_Brands!$A$2:$FZ$601,I216,$D$7)&amp;"","")</f>
        <v/>
      </c>
      <c r="L216" s="17">
        <f>IFERROR(INDEX(Clay_Brands!$A$2:$FZ$601,I216,$D$8)&amp;"","")</f>
        <v/>
      </c>
      <c r="M216" s="17">
        <f>IF(J216="","",IF(COUNTIF(Brand_Log!$A$2:$A$201,J216)&gt;0,"Y","N"))</f>
        <v/>
      </c>
      <c r="N216" s="17">
        <f>IF(OR(J216="",AND(LEFT(J216,6)="SAMPLE",Config!$B$19&lt;&gt;"Y")),"",IF(IFERROR(INDEX(Lists!$J$2:$J$15,MATCH(K216,Lists!$I$2:$I$15,0)),-1)=-1,"status '"&amp;K216&amp;"' is not a CONTRACTS status",IF(AND(K216="paid",COUNTIF(paid_brands!$AC$2:$AC$51,J216)=0),"status paid but no paid_brands row"&amp;IF(M216="N"," and no tracker row",""),IF(AND(IFERROR(INDEX(Lists!$J$2:$J$15,MATCH(K216,Lists!$I$2:$I$15,0)),-1)&gt;=6,M216="N"),"status "&amp;K216&amp;" but no tracker row",IF(AND(L216="Y",K216&lt;&gt;"do_not_contact"),"do_not_contact = Y but status is "&amp;K216,IF(AND(K216="do_not_contact",L216&lt;&gt;"Y"),"status do_not_contact but do_not_contact is not Y",""))))))</f>
        <v/>
      </c>
    </row>
    <row r="217">
      <c r="B217" s="17" t="n">
        <v>196</v>
      </c>
      <c r="C217" s="17">
        <f>IFERROR(INDEX(Clay_Offices!$A$2:$FZ$601,B217,$C$5)&amp;"","")</f>
        <v/>
      </c>
      <c r="D217" s="17">
        <f>IFERROR(INDEX(Clay_Offices!$A$2:$FZ$601,B217,$C$7)&amp;"","")</f>
        <v/>
      </c>
      <c r="E217" s="17">
        <f>IFERROR(INDEX(Clay_Offices!$A$2:$FZ$601,B217,$C$8)&amp;"","")</f>
        <v/>
      </c>
      <c r="F217" s="17">
        <f>IF(C217="","",IF(COUNTIF(Office_Log!$A$2:$A$201,C217)&gt;0,"Y","N"))</f>
        <v/>
      </c>
      <c r="G217" s="17">
        <f>IF(OR(C217="",AND(LEFT(C217,6)="SAMPLE",Config!$B$19&lt;&gt;"Y")),"",IF(IFERROR(INDEX(Lists!$J$2:$J$15,MATCH(D217,Lists!$I$2:$I$15,0)),-1)=-1,"status '"&amp;D217&amp;"' is not a CONTRACTS status",IF(AND(D217="signed",COUNTIF(signed_offices!$W$2:$W$51,C217)=0),"status signed but no signed_offices row"&amp;IF(F217="N"," and no tracker row",""),IF(AND(IFERROR(INDEX(Lists!$J$2:$J$15,MATCH(D217,Lists!$I$2:$I$15,0)),-1)&gt;=6,F217="N"),"status "&amp;D217&amp;" but no tracker row",IF(AND(E217="Y",D217&lt;&gt;"do_not_contact"),"do_not_contact = Y but status is "&amp;D217,IF(AND(D217="do_not_contact",E217&lt;&gt;"Y"),"status do_not_contact but do_not_contact is not Y",""))))))</f>
        <v/>
      </c>
      <c r="I217" s="17" t="n">
        <v>196</v>
      </c>
      <c r="J217" s="17">
        <f>IFERROR(INDEX(Clay_Brands!$A$2:$FZ$601,I217,$D$5)&amp;"","")</f>
        <v/>
      </c>
      <c r="K217" s="17">
        <f>IFERROR(INDEX(Clay_Brands!$A$2:$FZ$601,I217,$D$7)&amp;"","")</f>
        <v/>
      </c>
      <c r="L217" s="17">
        <f>IFERROR(INDEX(Clay_Brands!$A$2:$FZ$601,I217,$D$8)&amp;"","")</f>
        <v/>
      </c>
      <c r="M217" s="17">
        <f>IF(J217="","",IF(COUNTIF(Brand_Log!$A$2:$A$201,J217)&gt;0,"Y","N"))</f>
        <v/>
      </c>
      <c r="N217" s="17">
        <f>IF(OR(J217="",AND(LEFT(J217,6)="SAMPLE",Config!$B$19&lt;&gt;"Y")),"",IF(IFERROR(INDEX(Lists!$J$2:$J$15,MATCH(K217,Lists!$I$2:$I$15,0)),-1)=-1,"status '"&amp;K217&amp;"' is not a CONTRACTS status",IF(AND(K217="paid",COUNTIF(paid_brands!$AC$2:$AC$51,J217)=0),"status paid but no paid_brands row"&amp;IF(M217="N"," and no tracker row",""),IF(AND(IFERROR(INDEX(Lists!$J$2:$J$15,MATCH(K217,Lists!$I$2:$I$15,0)),-1)&gt;=6,M217="N"),"status "&amp;K217&amp;" but no tracker row",IF(AND(L217="Y",K217&lt;&gt;"do_not_contact"),"do_not_contact = Y but status is "&amp;K217,IF(AND(K217="do_not_contact",L217&lt;&gt;"Y"),"status do_not_contact but do_not_contact is not Y",""))))))</f>
        <v/>
      </c>
    </row>
    <row r="218">
      <c r="B218" s="17" t="n">
        <v>197</v>
      </c>
      <c r="C218" s="17">
        <f>IFERROR(INDEX(Clay_Offices!$A$2:$FZ$601,B218,$C$5)&amp;"","")</f>
        <v/>
      </c>
      <c r="D218" s="17">
        <f>IFERROR(INDEX(Clay_Offices!$A$2:$FZ$601,B218,$C$7)&amp;"","")</f>
        <v/>
      </c>
      <c r="E218" s="17">
        <f>IFERROR(INDEX(Clay_Offices!$A$2:$FZ$601,B218,$C$8)&amp;"","")</f>
        <v/>
      </c>
      <c r="F218" s="17">
        <f>IF(C218="","",IF(COUNTIF(Office_Log!$A$2:$A$201,C218)&gt;0,"Y","N"))</f>
        <v/>
      </c>
      <c r="G218" s="17">
        <f>IF(OR(C218="",AND(LEFT(C218,6)="SAMPLE",Config!$B$19&lt;&gt;"Y")),"",IF(IFERROR(INDEX(Lists!$J$2:$J$15,MATCH(D218,Lists!$I$2:$I$15,0)),-1)=-1,"status '"&amp;D218&amp;"' is not a CONTRACTS status",IF(AND(D218="signed",COUNTIF(signed_offices!$W$2:$W$51,C218)=0),"status signed but no signed_offices row"&amp;IF(F218="N"," and no tracker row",""),IF(AND(IFERROR(INDEX(Lists!$J$2:$J$15,MATCH(D218,Lists!$I$2:$I$15,0)),-1)&gt;=6,F218="N"),"status "&amp;D218&amp;" but no tracker row",IF(AND(E218="Y",D218&lt;&gt;"do_not_contact"),"do_not_contact = Y but status is "&amp;D218,IF(AND(D218="do_not_contact",E218&lt;&gt;"Y"),"status do_not_contact but do_not_contact is not Y",""))))))</f>
        <v/>
      </c>
      <c r="I218" s="17" t="n">
        <v>197</v>
      </c>
      <c r="J218" s="17">
        <f>IFERROR(INDEX(Clay_Brands!$A$2:$FZ$601,I218,$D$5)&amp;"","")</f>
        <v/>
      </c>
      <c r="K218" s="17">
        <f>IFERROR(INDEX(Clay_Brands!$A$2:$FZ$601,I218,$D$7)&amp;"","")</f>
        <v/>
      </c>
      <c r="L218" s="17">
        <f>IFERROR(INDEX(Clay_Brands!$A$2:$FZ$601,I218,$D$8)&amp;"","")</f>
        <v/>
      </c>
      <c r="M218" s="17">
        <f>IF(J218="","",IF(COUNTIF(Brand_Log!$A$2:$A$201,J218)&gt;0,"Y","N"))</f>
        <v/>
      </c>
      <c r="N218" s="17">
        <f>IF(OR(J218="",AND(LEFT(J218,6)="SAMPLE",Config!$B$19&lt;&gt;"Y")),"",IF(IFERROR(INDEX(Lists!$J$2:$J$15,MATCH(K218,Lists!$I$2:$I$15,0)),-1)=-1,"status '"&amp;K218&amp;"' is not a CONTRACTS status",IF(AND(K218="paid",COUNTIF(paid_brands!$AC$2:$AC$51,J218)=0),"status paid but no paid_brands row"&amp;IF(M218="N"," and no tracker row",""),IF(AND(IFERROR(INDEX(Lists!$J$2:$J$15,MATCH(K218,Lists!$I$2:$I$15,0)),-1)&gt;=6,M218="N"),"status "&amp;K218&amp;" but no tracker row",IF(AND(L218="Y",K218&lt;&gt;"do_not_contact"),"do_not_contact = Y but status is "&amp;K218,IF(AND(K218="do_not_contact",L218&lt;&gt;"Y"),"status do_not_contact but do_not_contact is not Y",""))))))</f>
        <v/>
      </c>
    </row>
    <row r="219">
      <c r="B219" s="17" t="n">
        <v>198</v>
      </c>
      <c r="C219" s="17">
        <f>IFERROR(INDEX(Clay_Offices!$A$2:$FZ$601,B219,$C$5)&amp;"","")</f>
        <v/>
      </c>
      <c r="D219" s="17">
        <f>IFERROR(INDEX(Clay_Offices!$A$2:$FZ$601,B219,$C$7)&amp;"","")</f>
        <v/>
      </c>
      <c r="E219" s="17">
        <f>IFERROR(INDEX(Clay_Offices!$A$2:$FZ$601,B219,$C$8)&amp;"","")</f>
        <v/>
      </c>
      <c r="F219" s="17">
        <f>IF(C219="","",IF(COUNTIF(Office_Log!$A$2:$A$201,C219)&gt;0,"Y","N"))</f>
        <v/>
      </c>
      <c r="G219" s="17">
        <f>IF(OR(C219="",AND(LEFT(C219,6)="SAMPLE",Config!$B$19&lt;&gt;"Y")),"",IF(IFERROR(INDEX(Lists!$J$2:$J$15,MATCH(D219,Lists!$I$2:$I$15,0)),-1)=-1,"status '"&amp;D219&amp;"' is not a CONTRACTS status",IF(AND(D219="signed",COUNTIF(signed_offices!$W$2:$W$51,C219)=0),"status signed but no signed_offices row"&amp;IF(F219="N"," and no tracker row",""),IF(AND(IFERROR(INDEX(Lists!$J$2:$J$15,MATCH(D219,Lists!$I$2:$I$15,0)),-1)&gt;=6,F219="N"),"status "&amp;D219&amp;" but no tracker row",IF(AND(E219="Y",D219&lt;&gt;"do_not_contact"),"do_not_contact = Y but status is "&amp;D219,IF(AND(D219="do_not_contact",E219&lt;&gt;"Y"),"status do_not_contact but do_not_contact is not Y",""))))))</f>
        <v/>
      </c>
      <c r="I219" s="17" t="n">
        <v>198</v>
      </c>
      <c r="J219" s="17">
        <f>IFERROR(INDEX(Clay_Brands!$A$2:$FZ$601,I219,$D$5)&amp;"","")</f>
        <v/>
      </c>
      <c r="K219" s="17">
        <f>IFERROR(INDEX(Clay_Brands!$A$2:$FZ$601,I219,$D$7)&amp;"","")</f>
        <v/>
      </c>
      <c r="L219" s="17">
        <f>IFERROR(INDEX(Clay_Brands!$A$2:$FZ$601,I219,$D$8)&amp;"","")</f>
        <v/>
      </c>
      <c r="M219" s="17">
        <f>IF(J219="","",IF(COUNTIF(Brand_Log!$A$2:$A$201,J219)&gt;0,"Y","N"))</f>
        <v/>
      </c>
      <c r="N219" s="17">
        <f>IF(OR(J219="",AND(LEFT(J219,6)="SAMPLE",Config!$B$19&lt;&gt;"Y")),"",IF(IFERROR(INDEX(Lists!$J$2:$J$15,MATCH(K219,Lists!$I$2:$I$15,0)),-1)=-1,"status '"&amp;K219&amp;"' is not a CONTRACTS status",IF(AND(K219="paid",COUNTIF(paid_brands!$AC$2:$AC$51,J219)=0),"status paid but no paid_brands row"&amp;IF(M219="N"," and no tracker row",""),IF(AND(IFERROR(INDEX(Lists!$J$2:$J$15,MATCH(K219,Lists!$I$2:$I$15,0)),-1)&gt;=6,M219="N"),"status "&amp;K219&amp;" but no tracker row",IF(AND(L219="Y",K219&lt;&gt;"do_not_contact"),"do_not_contact = Y but status is "&amp;K219,IF(AND(K219="do_not_contact",L219&lt;&gt;"Y"),"status do_not_contact but do_not_contact is not Y",""))))))</f>
        <v/>
      </c>
    </row>
    <row r="220">
      <c r="B220" s="17" t="n">
        <v>199</v>
      </c>
      <c r="C220" s="17">
        <f>IFERROR(INDEX(Clay_Offices!$A$2:$FZ$601,B220,$C$5)&amp;"","")</f>
        <v/>
      </c>
      <c r="D220" s="17">
        <f>IFERROR(INDEX(Clay_Offices!$A$2:$FZ$601,B220,$C$7)&amp;"","")</f>
        <v/>
      </c>
      <c r="E220" s="17">
        <f>IFERROR(INDEX(Clay_Offices!$A$2:$FZ$601,B220,$C$8)&amp;"","")</f>
        <v/>
      </c>
      <c r="F220" s="17">
        <f>IF(C220="","",IF(COUNTIF(Office_Log!$A$2:$A$201,C220)&gt;0,"Y","N"))</f>
        <v/>
      </c>
      <c r="G220" s="17">
        <f>IF(OR(C220="",AND(LEFT(C220,6)="SAMPLE",Config!$B$19&lt;&gt;"Y")),"",IF(IFERROR(INDEX(Lists!$J$2:$J$15,MATCH(D220,Lists!$I$2:$I$15,0)),-1)=-1,"status '"&amp;D220&amp;"' is not a CONTRACTS status",IF(AND(D220="signed",COUNTIF(signed_offices!$W$2:$W$51,C220)=0),"status signed but no signed_offices row"&amp;IF(F220="N"," and no tracker row",""),IF(AND(IFERROR(INDEX(Lists!$J$2:$J$15,MATCH(D220,Lists!$I$2:$I$15,0)),-1)&gt;=6,F220="N"),"status "&amp;D220&amp;" but no tracker row",IF(AND(E220="Y",D220&lt;&gt;"do_not_contact"),"do_not_contact = Y but status is "&amp;D220,IF(AND(D220="do_not_contact",E220&lt;&gt;"Y"),"status do_not_contact but do_not_contact is not Y",""))))))</f>
        <v/>
      </c>
      <c r="I220" s="17" t="n">
        <v>199</v>
      </c>
      <c r="J220" s="17">
        <f>IFERROR(INDEX(Clay_Brands!$A$2:$FZ$601,I220,$D$5)&amp;"","")</f>
        <v/>
      </c>
      <c r="K220" s="17">
        <f>IFERROR(INDEX(Clay_Brands!$A$2:$FZ$601,I220,$D$7)&amp;"","")</f>
        <v/>
      </c>
      <c r="L220" s="17">
        <f>IFERROR(INDEX(Clay_Brands!$A$2:$FZ$601,I220,$D$8)&amp;"","")</f>
        <v/>
      </c>
      <c r="M220" s="17">
        <f>IF(J220="","",IF(COUNTIF(Brand_Log!$A$2:$A$201,J220)&gt;0,"Y","N"))</f>
        <v/>
      </c>
      <c r="N220" s="17">
        <f>IF(OR(J220="",AND(LEFT(J220,6)="SAMPLE",Config!$B$19&lt;&gt;"Y")),"",IF(IFERROR(INDEX(Lists!$J$2:$J$15,MATCH(K220,Lists!$I$2:$I$15,0)),-1)=-1,"status '"&amp;K220&amp;"' is not a CONTRACTS status",IF(AND(K220="paid",COUNTIF(paid_brands!$AC$2:$AC$51,J220)=0),"status paid but no paid_brands row"&amp;IF(M220="N"," and no tracker row",""),IF(AND(IFERROR(INDEX(Lists!$J$2:$J$15,MATCH(K220,Lists!$I$2:$I$15,0)),-1)&gt;=6,M220="N"),"status "&amp;K220&amp;" but no tracker row",IF(AND(L220="Y",K220&lt;&gt;"do_not_contact"),"do_not_contact = Y but status is "&amp;K220,IF(AND(K220="do_not_contact",L220&lt;&gt;"Y"),"status do_not_contact but do_not_contact is not Y",""))))))</f>
        <v/>
      </c>
    </row>
    <row r="221">
      <c r="B221" s="17" t="n">
        <v>200</v>
      </c>
      <c r="C221" s="17">
        <f>IFERROR(INDEX(Clay_Offices!$A$2:$FZ$601,B221,$C$5)&amp;"","")</f>
        <v/>
      </c>
      <c r="D221" s="17">
        <f>IFERROR(INDEX(Clay_Offices!$A$2:$FZ$601,B221,$C$7)&amp;"","")</f>
        <v/>
      </c>
      <c r="E221" s="17">
        <f>IFERROR(INDEX(Clay_Offices!$A$2:$FZ$601,B221,$C$8)&amp;"","")</f>
        <v/>
      </c>
      <c r="F221" s="17">
        <f>IF(C221="","",IF(COUNTIF(Office_Log!$A$2:$A$201,C221)&gt;0,"Y","N"))</f>
        <v/>
      </c>
      <c r="G221" s="17">
        <f>IF(OR(C221="",AND(LEFT(C221,6)="SAMPLE",Config!$B$19&lt;&gt;"Y")),"",IF(IFERROR(INDEX(Lists!$J$2:$J$15,MATCH(D221,Lists!$I$2:$I$15,0)),-1)=-1,"status '"&amp;D221&amp;"' is not a CONTRACTS status",IF(AND(D221="signed",COUNTIF(signed_offices!$W$2:$W$51,C221)=0),"status signed but no signed_offices row"&amp;IF(F221="N"," and no tracker row",""),IF(AND(IFERROR(INDEX(Lists!$J$2:$J$15,MATCH(D221,Lists!$I$2:$I$15,0)),-1)&gt;=6,F221="N"),"status "&amp;D221&amp;" but no tracker row",IF(AND(E221="Y",D221&lt;&gt;"do_not_contact"),"do_not_contact = Y but status is "&amp;D221,IF(AND(D221="do_not_contact",E221&lt;&gt;"Y"),"status do_not_contact but do_not_contact is not Y",""))))))</f>
        <v/>
      </c>
      <c r="I221" s="17" t="n">
        <v>200</v>
      </c>
      <c r="J221" s="17">
        <f>IFERROR(INDEX(Clay_Brands!$A$2:$FZ$601,I221,$D$5)&amp;"","")</f>
        <v/>
      </c>
      <c r="K221" s="17">
        <f>IFERROR(INDEX(Clay_Brands!$A$2:$FZ$601,I221,$D$7)&amp;"","")</f>
        <v/>
      </c>
      <c r="L221" s="17">
        <f>IFERROR(INDEX(Clay_Brands!$A$2:$FZ$601,I221,$D$8)&amp;"","")</f>
        <v/>
      </c>
      <c r="M221" s="17">
        <f>IF(J221="","",IF(COUNTIF(Brand_Log!$A$2:$A$201,J221)&gt;0,"Y","N"))</f>
        <v/>
      </c>
      <c r="N221" s="17">
        <f>IF(OR(J221="",AND(LEFT(J221,6)="SAMPLE",Config!$B$19&lt;&gt;"Y")),"",IF(IFERROR(INDEX(Lists!$J$2:$J$15,MATCH(K221,Lists!$I$2:$I$15,0)),-1)=-1,"status '"&amp;K221&amp;"' is not a CONTRACTS status",IF(AND(K221="paid",COUNTIF(paid_brands!$AC$2:$AC$51,J221)=0),"status paid but no paid_brands row"&amp;IF(M221="N"," and no tracker row",""),IF(AND(IFERROR(INDEX(Lists!$J$2:$J$15,MATCH(K221,Lists!$I$2:$I$15,0)),-1)&gt;=6,M221="N"),"status "&amp;K221&amp;" but no tracker row",IF(AND(L221="Y",K221&lt;&gt;"do_not_contact"),"do_not_contact = Y but status is "&amp;K221,IF(AND(K221="do_not_contact",L221&lt;&gt;"Y"),"status do_not_contact but do_not_contact is not Y",""))))))</f>
        <v/>
      </c>
    </row>
    <row r="222">
      <c r="B222" s="17" t="n">
        <v>201</v>
      </c>
      <c r="C222" s="17">
        <f>IFERROR(INDEX(Clay_Offices!$A$2:$FZ$601,B222,$C$5)&amp;"","")</f>
        <v/>
      </c>
      <c r="D222" s="17">
        <f>IFERROR(INDEX(Clay_Offices!$A$2:$FZ$601,B222,$C$7)&amp;"","")</f>
        <v/>
      </c>
      <c r="E222" s="17">
        <f>IFERROR(INDEX(Clay_Offices!$A$2:$FZ$601,B222,$C$8)&amp;"","")</f>
        <v/>
      </c>
      <c r="F222" s="17">
        <f>IF(C222="","",IF(COUNTIF(Office_Log!$A$2:$A$201,C222)&gt;0,"Y","N"))</f>
        <v/>
      </c>
      <c r="G222" s="17">
        <f>IF(OR(C222="",AND(LEFT(C222,6)="SAMPLE",Config!$B$19&lt;&gt;"Y")),"",IF(IFERROR(INDEX(Lists!$J$2:$J$15,MATCH(D222,Lists!$I$2:$I$15,0)),-1)=-1,"status '"&amp;D222&amp;"' is not a CONTRACTS status",IF(AND(D222="signed",COUNTIF(signed_offices!$W$2:$W$51,C222)=0),"status signed but no signed_offices row"&amp;IF(F222="N"," and no tracker row",""),IF(AND(IFERROR(INDEX(Lists!$J$2:$J$15,MATCH(D222,Lists!$I$2:$I$15,0)),-1)&gt;=6,F222="N"),"status "&amp;D222&amp;" but no tracker row",IF(AND(E222="Y",D222&lt;&gt;"do_not_contact"),"do_not_contact = Y but status is "&amp;D222,IF(AND(D222="do_not_contact",E222&lt;&gt;"Y"),"status do_not_contact but do_not_contact is not Y",""))))))</f>
        <v/>
      </c>
      <c r="I222" s="17" t="n">
        <v>201</v>
      </c>
      <c r="J222" s="17">
        <f>IFERROR(INDEX(Clay_Brands!$A$2:$FZ$601,I222,$D$5)&amp;"","")</f>
        <v/>
      </c>
      <c r="K222" s="17">
        <f>IFERROR(INDEX(Clay_Brands!$A$2:$FZ$601,I222,$D$7)&amp;"","")</f>
        <v/>
      </c>
      <c r="L222" s="17">
        <f>IFERROR(INDEX(Clay_Brands!$A$2:$FZ$601,I222,$D$8)&amp;"","")</f>
        <v/>
      </c>
      <c r="M222" s="17">
        <f>IF(J222="","",IF(COUNTIF(Brand_Log!$A$2:$A$201,J222)&gt;0,"Y","N"))</f>
        <v/>
      </c>
      <c r="N222" s="17">
        <f>IF(OR(J222="",AND(LEFT(J222,6)="SAMPLE",Config!$B$19&lt;&gt;"Y")),"",IF(IFERROR(INDEX(Lists!$J$2:$J$15,MATCH(K222,Lists!$I$2:$I$15,0)),-1)=-1,"status '"&amp;K222&amp;"' is not a CONTRACTS status",IF(AND(K222="paid",COUNTIF(paid_brands!$AC$2:$AC$51,J222)=0),"status paid but no paid_brands row"&amp;IF(M222="N"," and no tracker row",""),IF(AND(IFERROR(INDEX(Lists!$J$2:$J$15,MATCH(K222,Lists!$I$2:$I$15,0)),-1)&gt;=6,M222="N"),"status "&amp;K222&amp;" but no tracker row",IF(AND(L222="Y",K222&lt;&gt;"do_not_contact"),"do_not_contact = Y but status is "&amp;K222,IF(AND(K222="do_not_contact",L222&lt;&gt;"Y"),"status do_not_contact but do_not_contact is not Y",""))))))</f>
        <v/>
      </c>
    </row>
    <row r="223">
      <c r="B223" s="17" t="n">
        <v>202</v>
      </c>
      <c r="C223" s="17">
        <f>IFERROR(INDEX(Clay_Offices!$A$2:$FZ$601,B223,$C$5)&amp;"","")</f>
        <v/>
      </c>
      <c r="D223" s="17">
        <f>IFERROR(INDEX(Clay_Offices!$A$2:$FZ$601,B223,$C$7)&amp;"","")</f>
        <v/>
      </c>
      <c r="E223" s="17">
        <f>IFERROR(INDEX(Clay_Offices!$A$2:$FZ$601,B223,$C$8)&amp;"","")</f>
        <v/>
      </c>
      <c r="F223" s="17">
        <f>IF(C223="","",IF(COUNTIF(Office_Log!$A$2:$A$201,C223)&gt;0,"Y","N"))</f>
        <v/>
      </c>
      <c r="G223" s="17">
        <f>IF(OR(C223="",AND(LEFT(C223,6)="SAMPLE",Config!$B$19&lt;&gt;"Y")),"",IF(IFERROR(INDEX(Lists!$J$2:$J$15,MATCH(D223,Lists!$I$2:$I$15,0)),-1)=-1,"status '"&amp;D223&amp;"' is not a CONTRACTS status",IF(AND(D223="signed",COUNTIF(signed_offices!$W$2:$W$51,C223)=0),"status signed but no signed_offices row"&amp;IF(F223="N"," and no tracker row",""),IF(AND(IFERROR(INDEX(Lists!$J$2:$J$15,MATCH(D223,Lists!$I$2:$I$15,0)),-1)&gt;=6,F223="N"),"status "&amp;D223&amp;" but no tracker row",IF(AND(E223="Y",D223&lt;&gt;"do_not_contact"),"do_not_contact = Y but status is "&amp;D223,IF(AND(D223="do_not_contact",E223&lt;&gt;"Y"),"status do_not_contact but do_not_contact is not Y",""))))))</f>
        <v/>
      </c>
      <c r="I223" s="17" t="n">
        <v>202</v>
      </c>
      <c r="J223" s="17">
        <f>IFERROR(INDEX(Clay_Brands!$A$2:$FZ$601,I223,$D$5)&amp;"","")</f>
        <v/>
      </c>
      <c r="K223" s="17">
        <f>IFERROR(INDEX(Clay_Brands!$A$2:$FZ$601,I223,$D$7)&amp;"","")</f>
        <v/>
      </c>
      <c r="L223" s="17">
        <f>IFERROR(INDEX(Clay_Brands!$A$2:$FZ$601,I223,$D$8)&amp;"","")</f>
        <v/>
      </c>
      <c r="M223" s="17">
        <f>IF(J223="","",IF(COUNTIF(Brand_Log!$A$2:$A$201,J223)&gt;0,"Y","N"))</f>
        <v/>
      </c>
      <c r="N223" s="17">
        <f>IF(OR(J223="",AND(LEFT(J223,6)="SAMPLE",Config!$B$19&lt;&gt;"Y")),"",IF(IFERROR(INDEX(Lists!$J$2:$J$15,MATCH(K223,Lists!$I$2:$I$15,0)),-1)=-1,"status '"&amp;K223&amp;"' is not a CONTRACTS status",IF(AND(K223="paid",COUNTIF(paid_brands!$AC$2:$AC$51,J223)=0),"status paid but no paid_brands row"&amp;IF(M223="N"," and no tracker row",""),IF(AND(IFERROR(INDEX(Lists!$J$2:$J$15,MATCH(K223,Lists!$I$2:$I$15,0)),-1)&gt;=6,M223="N"),"status "&amp;K223&amp;" but no tracker row",IF(AND(L223="Y",K223&lt;&gt;"do_not_contact"),"do_not_contact = Y but status is "&amp;K223,IF(AND(K223="do_not_contact",L223&lt;&gt;"Y"),"status do_not_contact but do_not_contact is not Y",""))))))</f>
        <v/>
      </c>
    </row>
    <row r="224">
      <c r="B224" s="17" t="n">
        <v>203</v>
      </c>
      <c r="C224" s="17">
        <f>IFERROR(INDEX(Clay_Offices!$A$2:$FZ$601,B224,$C$5)&amp;"","")</f>
        <v/>
      </c>
      <c r="D224" s="17">
        <f>IFERROR(INDEX(Clay_Offices!$A$2:$FZ$601,B224,$C$7)&amp;"","")</f>
        <v/>
      </c>
      <c r="E224" s="17">
        <f>IFERROR(INDEX(Clay_Offices!$A$2:$FZ$601,B224,$C$8)&amp;"","")</f>
        <v/>
      </c>
      <c r="F224" s="17">
        <f>IF(C224="","",IF(COUNTIF(Office_Log!$A$2:$A$201,C224)&gt;0,"Y","N"))</f>
        <v/>
      </c>
      <c r="G224" s="17">
        <f>IF(OR(C224="",AND(LEFT(C224,6)="SAMPLE",Config!$B$19&lt;&gt;"Y")),"",IF(IFERROR(INDEX(Lists!$J$2:$J$15,MATCH(D224,Lists!$I$2:$I$15,0)),-1)=-1,"status '"&amp;D224&amp;"' is not a CONTRACTS status",IF(AND(D224="signed",COUNTIF(signed_offices!$W$2:$W$51,C224)=0),"status signed but no signed_offices row"&amp;IF(F224="N"," and no tracker row",""),IF(AND(IFERROR(INDEX(Lists!$J$2:$J$15,MATCH(D224,Lists!$I$2:$I$15,0)),-1)&gt;=6,F224="N"),"status "&amp;D224&amp;" but no tracker row",IF(AND(E224="Y",D224&lt;&gt;"do_not_contact"),"do_not_contact = Y but status is "&amp;D224,IF(AND(D224="do_not_contact",E224&lt;&gt;"Y"),"status do_not_contact but do_not_contact is not Y",""))))))</f>
        <v/>
      </c>
      <c r="I224" s="17" t="n">
        <v>203</v>
      </c>
      <c r="J224" s="17">
        <f>IFERROR(INDEX(Clay_Brands!$A$2:$FZ$601,I224,$D$5)&amp;"","")</f>
        <v/>
      </c>
      <c r="K224" s="17">
        <f>IFERROR(INDEX(Clay_Brands!$A$2:$FZ$601,I224,$D$7)&amp;"","")</f>
        <v/>
      </c>
      <c r="L224" s="17">
        <f>IFERROR(INDEX(Clay_Brands!$A$2:$FZ$601,I224,$D$8)&amp;"","")</f>
        <v/>
      </c>
      <c r="M224" s="17">
        <f>IF(J224="","",IF(COUNTIF(Brand_Log!$A$2:$A$201,J224)&gt;0,"Y","N"))</f>
        <v/>
      </c>
      <c r="N224" s="17">
        <f>IF(OR(J224="",AND(LEFT(J224,6)="SAMPLE",Config!$B$19&lt;&gt;"Y")),"",IF(IFERROR(INDEX(Lists!$J$2:$J$15,MATCH(K224,Lists!$I$2:$I$15,0)),-1)=-1,"status '"&amp;K224&amp;"' is not a CONTRACTS status",IF(AND(K224="paid",COUNTIF(paid_brands!$AC$2:$AC$51,J224)=0),"status paid but no paid_brands row"&amp;IF(M224="N"," and no tracker row",""),IF(AND(IFERROR(INDEX(Lists!$J$2:$J$15,MATCH(K224,Lists!$I$2:$I$15,0)),-1)&gt;=6,M224="N"),"status "&amp;K224&amp;" but no tracker row",IF(AND(L224="Y",K224&lt;&gt;"do_not_contact"),"do_not_contact = Y but status is "&amp;K224,IF(AND(K224="do_not_contact",L224&lt;&gt;"Y"),"status do_not_contact but do_not_contact is not Y",""))))))</f>
        <v/>
      </c>
    </row>
    <row r="225">
      <c r="B225" s="17" t="n">
        <v>204</v>
      </c>
      <c r="C225" s="17">
        <f>IFERROR(INDEX(Clay_Offices!$A$2:$FZ$601,B225,$C$5)&amp;"","")</f>
        <v/>
      </c>
      <c r="D225" s="17">
        <f>IFERROR(INDEX(Clay_Offices!$A$2:$FZ$601,B225,$C$7)&amp;"","")</f>
        <v/>
      </c>
      <c r="E225" s="17">
        <f>IFERROR(INDEX(Clay_Offices!$A$2:$FZ$601,B225,$C$8)&amp;"","")</f>
        <v/>
      </c>
      <c r="F225" s="17">
        <f>IF(C225="","",IF(COUNTIF(Office_Log!$A$2:$A$201,C225)&gt;0,"Y","N"))</f>
        <v/>
      </c>
      <c r="G225" s="17">
        <f>IF(OR(C225="",AND(LEFT(C225,6)="SAMPLE",Config!$B$19&lt;&gt;"Y")),"",IF(IFERROR(INDEX(Lists!$J$2:$J$15,MATCH(D225,Lists!$I$2:$I$15,0)),-1)=-1,"status '"&amp;D225&amp;"' is not a CONTRACTS status",IF(AND(D225="signed",COUNTIF(signed_offices!$W$2:$W$51,C225)=0),"status signed but no signed_offices row"&amp;IF(F225="N"," and no tracker row",""),IF(AND(IFERROR(INDEX(Lists!$J$2:$J$15,MATCH(D225,Lists!$I$2:$I$15,0)),-1)&gt;=6,F225="N"),"status "&amp;D225&amp;" but no tracker row",IF(AND(E225="Y",D225&lt;&gt;"do_not_contact"),"do_not_contact = Y but status is "&amp;D225,IF(AND(D225="do_not_contact",E225&lt;&gt;"Y"),"status do_not_contact but do_not_contact is not Y",""))))))</f>
        <v/>
      </c>
      <c r="I225" s="17" t="n">
        <v>204</v>
      </c>
      <c r="J225" s="17">
        <f>IFERROR(INDEX(Clay_Brands!$A$2:$FZ$601,I225,$D$5)&amp;"","")</f>
        <v/>
      </c>
      <c r="K225" s="17">
        <f>IFERROR(INDEX(Clay_Brands!$A$2:$FZ$601,I225,$D$7)&amp;"","")</f>
        <v/>
      </c>
      <c r="L225" s="17">
        <f>IFERROR(INDEX(Clay_Brands!$A$2:$FZ$601,I225,$D$8)&amp;"","")</f>
        <v/>
      </c>
      <c r="M225" s="17">
        <f>IF(J225="","",IF(COUNTIF(Brand_Log!$A$2:$A$201,J225)&gt;0,"Y","N"))</f>
        <v/>
      </c>
      <c r="N225" s="17">
        <f>IF(OR(J225="",AND(LEFT(J225,6)="SAMPLE",Config!$B$19&lt;&gt;"Y")),"",IF(IFERROR(INDEX(Lists!$J$2:$J$15,MATCH(K225,Lists!$I$2:$I$15,0)),-1)=-1,"status '"&amp;K225&amp;"' is not a CONTRACTS status",IF(AND(K225="paid",COUNTIF(paid_brands!$AC$2:$AC$51,J225)=0),"status paid but no paid_brands row"&amp;IF(M225="N"," and no tracker row",""),IF(AND(IFERROR(INDEX(Lists!$J$2:$J$15,MATCH(K225,Lists!$I$2:$I$15,0)),-1)&gt;=6,M225="N"),"status "&amp;K225&amp;" but no tracker row",IF(AND(L225="Y",K225&lt;&gt;"do_not_contact"),"do_not_contact = Y but status is "&amp;K225,IF(AND(K225="do_not_contact",L225&lt;&gt;"Y"),"status do_not_contact but do_not_contact is not Y",""))))))</f>
        <v/>
      </c>
    </row>
    <row r="226">
      <c r="B226" s="17" t="n">
        <v>205</v>
      </c>
      <c r="C226" s="17">
        <f>IFERROR(INDEX(Clay_Offices!$A$2:$FZ$601,B226,$C$5)&amp;"","")</f>
        <v/>
      </c>
      <c r="D226" s="17">
        <f>IFERROR(INDEX(Clay_Offices!$A$2:$FZ$601,B226,$C$7)&amp;"","")</f>
        <v/>
      </c>
      <c r="E226" s="17">
        <f>IFERROR(INDEX(Clay_Offices!$A$2:$FZ$601,B226,$C$8)&amp;"","")</f>
        <v/>
      </c>
      <c r="F226" s="17">
        <f>IF(C226="","",IF(COUNTIF(Office_Log!$A$2:$A$201,C226)&gt;0,"Y","N"))</f>
        <v/>
      </c>
      <c r="G226" s="17">
        <f>IF(OR(C226="",AND(LEFT(C226,6)="SAMPLE",Config!$B$19&lt;&gt;"Y")),"",IF(IFERROR(INDEX(Lists!$J$2:$J$15,MATCH(D226,Lists!$I$2:$I$15,0)),-1)=-1,"status '"&amp;D226&amp;"' is not a CONTRACTS status",IF(AND(D226="signed",COUNTIF(signed_offices!$W$2:$W$51,C226)=0),"status signed but no signed_offices row"&amp;IF(F226="N"," and no tracker row",""),IF(AND(IFERROR(INDEX(Lists!$J$2:$J$15,MATCH(D226,Lists!$I$2:$I$15,0)),-1)&gt;=6,F226="N"),"status "&amp;D226&amp;" but no tracker row",IF(AND(E226="Y",D226&lt;&gt;"do_not_contact"),"do_not_contact = Y but status is "&amp;D226,IF(AND(D226="do_not_contact",E226&lt;&gt;"Y"),"status do_not_contact but do_not_contact is not Y",""))))))</f>
        <v/>
      </c>
      <c r="I226" s="17" t="n">
        <v>205</v>
      </c>
      <c r="J226" s="17">
        <f>IFERROR(INDEX(Clay_Brands!$A$2:$FZ$601,I226,$D$5)&amp;"","")</f>
        <v/>
      </c>
      <c r="K226" s="17">
        <f>IFERROR(INDEX(Clay_Brands!$A$2:$FZ$601,I226,$D$7)&amp;"","")</f>
        <v/>
      </c>
      <c r="L226" s="17">
        <f>IFERROR(INDEX(Clay_Brands!$A$2:$FZ$601,I226,$D$8)&amp;"","")</f>
        <v/>
      </c>
      <c r="M226" s="17">
        <f>IF(J226="","",IF(COUNTIF(Brand_Log!$A$2:$A$201,J226)&gt;0,"Y","N"))</f>
        <v/>
      </c>
      <c r="N226" s="17">
        <f>IF(OR(J226="",AND(LEFT(J226,6)="SAMPLE",Config!$B$19&lt;&gt;"Y")),"",IF(IFERROR(INDEX(Lists!$J$2:$J$15,MATCH(K226,Lists!$I$2:$I$15,0)),-1)=-1,"status '"&amp;K226&amp;"' is not a CONTRACTS status",IF(AND(K226="paid",COUNTIF(paid_brands!$AC$2:$AC$51,J226)=0),"status paid but no paid_brands row"&amp;IF(M226="N"," and no tracker row",""),IF(AND(IFERROR(INDEX(Lists!$J$2:$J$15,MATCH(K226,Lists!$I$2:$I$15,0)),-1)&gt;=6,M226="N"),"status "&amp;K226&amp;" but no tracker row",IF(AND(L226="Y",K226&lt;&gt;"do_not_contact"),"do_not_contact = Y but status is "&amp;K226,IF(AND(K226="do_not_contact",L226&lt;&gt;"Y"),"status do_not_contact but do_not_contact is not Y",""))))))</f>
        <v/>
      </c>
    </row>
    <row r="227">
      <c r="B227" s="17" t="n">
        <v>206</v>
      </c>
      <c r="C227" s="17">
        <f>IFERROR(INDEX(Clay_Offices!$A$2:$FZ$601,B227,$C$5)&amp;"","")</f>
        <v/>
      </c>
      <c r="D227" s="17">
        <f>IFERROR(INDEX(Clay_Offices!$A$2:$FZ$601,B227,$C$7)&amp;"","")</f>
        <v/>
      </c>
      <c r="E227" s="17">
        <f>IFERROR(INDEX(Clay_Offices!$A$2:$FZ$601,B227,$C$8)&amp;"","")</f>
        <v/>
      </c>
      <c r="F227" s="17">
        <f>IF(C227="","",IF(COUNTIF(Office_Log!$A$2:$A$201,C227)&gt;0,"Y","N"))</f>
        <v/>
      </c>
      <c r="G227" s="17">
        <f>IF(OR(C227="",AND(LEFT(C227,6)="SAMPLE",Config!$B$19&lt;&gt;"Y")),"",IF(IFERROR(INDEX(Lists!$J$2:$J$15,MATCH(D227,Lists!$I$2:$I$15,0)),-1)=-1,"status '"&amp;D227&amp;"' is not a CONTRACTS status",IF(AND(D227="signed",COUNTIF(signed_offices!$W$2:$W$51,C227)=0),"status signed but no signed_offices row"&amp;IF(F227="N"," and no tracker row",""),IF(AND(IFERROR(INDEX(Lists!$J$2:$J$15,MATCH(D227,Lists!$I$2:$I$15,0)),-1)&gt;=6,F227="N"),"status "&amp;D227&amp;" but no tracker row",IF(AND(E227="Y",D227&lt;&gt;"do_not_contact"),"do_not_contact = Y but status is "&amp;D227,IF(AND(D227="do_not_contact",E227&lt;&gt;"Y"),"status do_not_contact but do_not_contact is not Y",""))))))</f>
        <v/>
      </c>
      <c r="I227" s="17" t="n">
        <v>206</v>
      </c>
      <c r="J227" s="17">
        <f>IFERROR(INDEX(Clay_Brands!$A$2:$FZ$601,I227,$D$5)&amp;"","")</f>
        <v/>
      </c>
      <c r="K227" s="17">
        <f>IFERROR(INDEX(Clay_Brands!$A$2:$FZ$601,I227,$D$7)&amp;"","")</f>
        <v/>
      </c>
      <c r="L227" s="17">
        <f>IFERROR(INDEX(Clay_Brands!$A$2:$FZ$601,I227,$D$8)&amp;"","")</f>
        <v/>
      </c>
      <c r="M227" s="17">
        <f>IF(J227="","",IF(COUNTIF(Brand_Log!$A$2:$A$201,J227)&gt;0,"Y","N"))</f>
        <v/>
      </c>
      <c r="N227" s="17">
        <f>IF(OR(J227="",AND(LEFT(J227,6)="SAMPLE",Config!$B$19&lt;&gt;"Y")),"",IF(IFERROR(INDEX(Lists!$J$2:$J$15,MATCH(K227,Lists!$I$2:$I$15,0)),-1)=-1,"status '"&amp;K227&amp;"' is not a CONTRACTS status",IF(AND(K227="paid",COUNTIF(paid_brands!$AC$2:$AC$51,J227)=0),"status paid but no paid_brands row"&amp;IF(M227="N"," and no tracker row",""),IF(AND(IFERROR(INDEX(Lists!$J$2:$J$15,MATCH(K227,Lists!$I$2:$I$15,0)),-1)&gt;=6,M227="N"),"status "&amp;K227&amp;" but no tracker row",IF(AND(L227="Y",K227&lt;&gt;"do_not_contact"),"do_not_contact = Y but status is "&amp;K227,IF(AND(K227="do_not_contact",L227&lt;&gt;"Y"),"status do_not_contact but do_not_contact is not Y",""))))))</f>
        <v/>
      </c>
    </row>
    <row r="228">
      <c r="B228" s="17" t="n">
        <v>207</v>
      </c>
      <c r="C228" s="17">
        <f>IFERROR(INDEX(Clay_Offices!$A$2:$FZ$601,B228,$C$5)&amp;"","")</f>
        <v/>
      </c>
      <c r="D228" s="17">
        <f>IFERROR(INDEX(Clay_Offices!$A$2:$FZ$601,B228,$C$7)&amp;"","")</f>
        <v/>
      </c>
      <c r="E228" s="17">
        <f>IFERROR(INDEX(Clay_Offices!$A$2:$FZ$601,B228,$C$8)&amp;"","")</f>
        <v/>
      </c>
      <c r="F228" s="17">
        <f>IF(C228="","",IF(COUNTIF(Office_Log!$A$2:$A$201,C228)&gt;0,"Y","N"))</f>
        <v/>
      </c>
      <c r="G228" s="17">
        <f>IF(OR(C228="",AND(LEFT(C228,6)="SAMPLE",Config!$B$19&lt;&gt;"Y")),"",IF(IFERROR(INDEX(Lists!$J$2:$J$15,MATCH(D228,Lists!$I$2:$I$15,0)),-1)=-1,"status '"&amp;D228&amp;"' is not a CONTRACTS status",IF(AND(D228="signed",COUNTIF(signed_offices!$W$2:$W$51,C228)=0),"status signed but no signed_offices row"&amp;IF(F228="N"," and no tracker row",""),IF(AND(IFERROR(INDEX(Lists!$J$2:$J$15,MATCH(D228,Lists!$I$2:$I$15,0)),-1)&gt;=6,F228="N"),"status "&amp;D228&amp;" but no tracker row",IF(AND(E228="Y",D228&lt;&gt;"do_not_contact"),"do_not_contact = Y but status is "&amp;D228,IF(AND(D228="do_not_contact",E228&lt;&gt;"Y"),"status do_not_contact but do_not_contact is not Y",""))))))</f>
        <v/>
      </c>
      <c r="I228" s="17" t="n">
        <v>207</v>
      </c>
      <c r="J228" s="17">
        <f>IFERROR(INDEX(Clay_Brands!$A$2:$FZ$601,I228,$D$5)&amp;"","")</f>
        <v/>
      </c>
      <c r="K228" s="17">
        <f>IFERROR(INDEX(Clay_Brands!$A$2:$FZ$601,I228,$D$7)&amp;"","")</f>
        <v/>
      </c>
      <c r="L228" s="17">
        <f>IFERROR(INDEX(Clay_Brands!$A$2:$FZ$601,I228,$D$8)&amp;"","")</f>
        <v/>
      </c>
      <c r="M228" s="17">
        <f>IF(J228="","",IF(COUNTIF(Brand_Log!$A$2:$A$201,J228)&gt;0,"Y","N"))</f>
        <v/>
      </c>
      <c r="N228" s="17">
        <f>IF(OR(J228="",AND(LEFT(J228,6)="SAMPLE",Config!$B$19&lt;&gt;"Y")),"",IF(IFERROR(INDEX(Lists!$J$2:$J$15,MATCH(K228,Lists!$I$2:$I$15,0)),-1)=-1,"status '"&amp;K228&amp;"' is not a CONTRACTS status",IF(AND(K228="paid",COUNTIF(paid_brands!$AC$2:$AC$51,J228)=0),"status paid but no paid_brands row"&amp;IF(M228="N"," and no tracker row",""),IF(AND(IFERROR(INDEX(Lists!$J$2:$J$15,MATCH(K228,Lists!$I$2:$I$15,0)),-1)&gt;=6,M228="N"),"status "&amp;K228&amp;" but no tracker row",IF(AND(L228="Y",K228&lt;&gt;"do_not_contact"),"do_not_contact = Y but status is "&amp;K228,IF(AND(K228="do_not_contact",L228&lt;&gt;"Y"),"status do_not_contact but do_not_contact is not Y",""))))))</f>
        <v/>
      </c>
    </row>
    <row r="229">
      <c r="B229" s="17" t="n">
        <v>208</v>
      </c>
      <c r="C229" s="17">
        <f>IFERROR(INDEX(Clay_Offices!$A$2:$FZ$601,B229,$C$5)&amp;"","")</f>
        <v/>
      </c>
      <c r="D229" s="17">
        <f>IFERROR(INDEX(Clay_Offices!$A$2:$FZ$601,B229,$C$7)&amp;"","")</f>
        <v/>
      </c>
      <c r="E229" s="17">
        <f>IFERROR(INDEX(Clay_Offices!$A$2:$FZ$601,B229,$C$8)&amp;"","")</f>
        <v/>
      </c>
      <c r="F229" s="17">
        <f>IF(C229="","",IF(COUNTIF(Office_Log!$A$2:$A$201,C229)&gt;0,"Y","N"))</f>
        <v/>
      </c>
      <c r="G229" s="17">
        <f>IF(OR(C229="",AND(LEFT(C229,6)="SAMPLE",Config!$B$19&lt;&gt;"Y")),"",IF(IFERROR(INDEX(Lists!$J$2:$J$15,MATCH(D229,Lists!$I$2:$I$15,0)),-1)=-1,"status '"&amp;D229&amp;"' is not a CONTRACTS status",IF(AND(D229="signed",COUNTIF(signed_offices!$W$2:$W$51,C229)=0),"status signed but no signed_offices row"&amp;IF(F229="N"," and no tracker row",""),IF(AND(IFERROR(INDEX(Lists!$J$2:$J$15,MATCH(D229,Lists!$I$2:$I$15,0)),-1)&gt;=6,F229="N"),"status "&amp;D229&amp;" but no tracker row",IF(AND(E229="Y",D229&lt;&gt;"do_not_contact"),"do_not_contact = Y but status is "&amp;D229,IF(AND(D229="do_not_contact",E229&lt;&gt;"Y"),"status do_not_contact but do_not_contact is not Y",""))))))</f>
        <v/>
      </c>
      <c r="I229" s="17" t="n">
        <v>208</v>
      </c>
      <c r="J229" s="17">
        <f>IFERROR(INDEX(Clay_Brands!$A$2:$FZ$601,I229,$D$5)&amp;"","")</f>
        <v/>
      </c>
      <c r="K229" s="17">
        <f>IFERROR(INDEX(Clay_Brands!$A$2:$FZ$601,I229,$D$7)&amp;"","")</f>
        <v/>
      </c>
      <c r="L229" s="17">
        <f>IFERROR(INDEX(Clay_Brands!$A$2:$FZ$601,I229,$D$8)&amp;"","")</f>
        <v/>
      </c>
      <c r="M229" s="17">
        <f>IF(J229="","",IF(COUNTIF(Brand_Log!$A$2:$A$201,J229)&gt;0,"Y","N"))</f>
        <v/>
      </c>
      <c r="N229" s="17">
        <f>IF(OR(J229="",AND(LEFT(J229,6)="SAMPLE",Config!$B$19&lt;&gt;"Y")),"",IF(IFERROR(INDEX(Lists!$J$2:$J$15,MATCH(K229,Lists!$I$2:$I$15,0)),-1)=-1,"status '"&amp;K229&amp;"' is not a CONTRACTS status",IF(AND(K229="paid",COUNTIF(paid_brands!$AC$2:$AC$51,J229)=0),"status paid but no paid_brands row"&amp;IF(M229="N"," and no tracker row",""),IF(AND(IFERROR(INDEX(Lists!$J$2:$J$15,MATCH(K229,Lists!$I$2:$I$15,0)),-1)&gt;=6,M229="N"),"status "&amp;K229&amp;" but no tracker row",IF(AND(L229="Y",K229&lt;&gt;"do_not_contact"),"do_not_contact = Y but status is "&amp;K229,IF(AND(K229="do_not_contact",L229&lt;&gt;"Y"),"status do_not_contact but do_not_contact is not Y",""))))))</f>
        <v/>
      </c>
    </row>
    <row r="230">
      <c r="B230" s="17" t="n">
        <v>209</v>
      </c>
      <c r="C230" s="17">
        <f>IFERROR(INDEX(Clay_Offices!$A$2:$FZ$601,B230,$C$5)&amp;"","")</f>
        <v/>
      </c>
      <c r="D230" s="17">
        <f>IFERROR(INDEX(Clay_Offices!$A$2:$FZ$601,B230,$C$7)&amp;"","")</f>
        <v/>
      </c>
      <c r="E230" s="17">
        <f>IFERROR(INDEX(Clay_Offices!$A$2:$FZ$601,B230,$C$8)&amp;"","")</f>
        <v/>
      </c>
      <c r="F230" s="17">
        <f>IF(C230="","",IF(COUNTIF(Office_Log!$A$2:$A$201,C230)&gt;0,"Y","N"))</f>
        <v/>
      </c>
      <c r="G230" s="17">
        <f>IF(OR(C230="",AND(LEFT(C230,6)="SAMPLE",Config!$B$19&lt;&gt;"Y")),"",IF(IFERROR(INDEX(Lists!$J$2:$J$15,MATCH(D230,Lists!$I$2:$I$15,0)),-1)=-1,"status '"&amp;D230&amp;"' is not a CONTRACTS status",IF(AND(D230="signed",COUNTIF(signed_offices!$W$2:$W$51,C230)=0),"status signed but no signed_offices row"&amp;IF(F230="N"," and no tracker row",""),IF(AND(IFERROR(INDEX(Lists!$J$2:$J$15,MATCH(D230,Lists!$I$2:$I$15,0)),-1)&gt;=6,F230="N"),"status "&amp;D230&amp;" but no tracker row",IF(AND(E230="Y",D230&lt;&gt;"do_not_contact"),"do_not_contact = Y but status is "&amp;D230,IF(AND(D230="do_not_contact",E230&lt;&gt;"Y"),"status do_not_contact but do_not_contact is not Y",""))))))</f>
        <v/>
      </c>
      <c r="I230" s="17" t="n">
        <v>209</v>
      </c>
      <c r="J230" s="17">
        <f>IFERROR(INDEX(Clay_Brands!$A$2:$FZ$601,I230,$D$5)&amp;"","")</f>
        <v/>
      </c>
      <c r="K230" s="17">
        <f>IFERROR(INDEX(Clay_Brands!$A$2:$FZ$601,I230,$D$7)&amp;"","")</f>
        <v/>
      </c>
      <c r="L230" s="17">
        <f>IFERROR(INDEX(Clay_Brands!$A$2:$FZ$601,I230,$D$8)&amp;"","")</f>
        <v/>
      </c>
      <c r="M230" s="17">
        <f>IF(J230="","",IF(COUNTIF(Brand_Log!$A$2:$A$201,J230)&gt;0,"Y","N"))</f>
        <v/>
      </c>
      <c r="N230" s="17">
        <f>IF(OR(J230="",AND(LEFT(J230,6)="SAMPLE",Config!$B$19&lt;&gt;"Y")),"",IF(IFERROR(INDEX(Lists!$J$2:$J$15,MATCH(K230,Lists!$I$2:$I$15,0)),-1)=-1,"status '"&amp;K230&amp;"' is not a CONTRACTS status",IF(AND(K230="paid",COUNTIF(paid_brands!$AC$2:$AC$51,J230)=0),"status paid but no paid_brands row"&amp;IF(M230="N"," and no tracker row",""),IF(AND(IFERROR(INDEX(Lists!$J$2:$J$15,MATCH(K230,Lists!$I$2:$I$15,0)),-1)&gt;=6,M230="N"),"status "&amp;K230&amp;" but no tracker row",IF(AND(L230="Y",K230&lt;&gt;"do_not_contact"),"do_not_contact = Y but status is "&amp;K230,IF(AND(K230="do_not_contact",L230&lt;&gt;"Y"),"status do_not_contact but do_not_contact is not Y",""))))))</f>
        <v/>
      </c>
    </row>
    <row r="231">
      <c r="B231" s="17" t="n">
        <v>210</v>
      </c>
      <c r="C231" s="17">
        <f>IFERROR(INDEX(Clay_Offices!$A$2:$FZ$601,B231,$C$5)&amp;"","")</f>
        <v/>
      </c>
      <c r="D231" s="17">
        <f>IFERROR(INDEX(Clay_Offices!$A$2:$FZ$601,B231,$C$7)&amp;"","")</f>
        <v/>
      </c>
      <c r="E231" s="17">
        <f>IFERROR(INDEX(Clay_Offices!$A$2:$FZ$601,B231,$C$8)&amp;"","")</f>
        <v/>
      </c>
      <c r="F231" s="17">
        <f>IF(C231="","",IF(COUNTIF(Office_Log!$A$2:$A$201,C231)&gt;0,"Y","N"))</f>
        <v/>
      </c>
      <c r="G231" s="17">
        <f>IF(OR(C231="",AND(LEFT(C231,6)="SAMPLE",Config!$B$19&lt;&gt;"Y")),"",IF(IFERROR(INDEX(Lists!$J$2:$J$15,MATCH(D231,Lists!$I$2:$I$15,0)),-1)=-1,"status '"&amp;D231&amp;"' is not a CONTRACTS status",IF(AND(D231="signed",COUNTIF(signed_offices!$W$2:$W$51,C231)=0),"status signed but no signed_offices row"&amp;IF(F231="N"," and no tracker row",""),IF(AND(IFERROR(INDEX(Lists!$J$2:$J$15,MATCH(D231,Lists!$I$2:$I$15,0)),-1)&gt;=6,F231="N"),"status "&amp;D231&amp;" but no tracker row",IF(AND(E231="Y",D231&lt;&gt;"do_not_contact"),"do_not_contact = Y but status is "&amp;D231,IF(AND(D231="do_not_contact",E231&lt;&gt;"Y"),"status do_not_contact but do_not_contact is not Y",""))))))</f>
        <v/>
      </c>
      <c r="I231" s="17" t="n">
        <v>210</v>
      </c>
      <c r="J231" s="17">
        <f>IFERROR(INDEX(Clay_Brands!$A$2:$FZ$601,I231,$D$5)&amp;"","")</f>
        <v/>
      </c>
      <c r="K231" s="17">
        <f>IFERROR(INDEX(Clay_Brands!$A$2:$FZ$601,I231,$D$7)&amp;"","")</f>
        <v/>
      </c>
      <c r="L231" s="17">
        <f>IFERROR(INDEX(Clay_Brands!$A$2:$FZ$601,I231,$D$8)&amp;"","")</f>
        <v/>
      </c>
      <c r="M231" s="17">
        <f>IF(J231="","",IF(COUNTIF(Brand_Log!$A$2:$A$201,J231)&gt;0,"Y","N"))</f>
        <v/>
      </c>
      <c r="N231" s="17">
        <f>IF(OR(J231="",AND(LEFT(J231,6)="SAMPLE",Config!$B$19&lt;&gt;"Y")),"",IF(IFERROR(INDEX(Lists!$J$2:$J$15,MATCH(K231,Lists!$I$2:$I$15,0)),-1)=-1,"status '"&amp;K231&amp;"' is not a CONTRACTS status",IF(AND(K231="paid",COUNTIF(paid_brands!$AC$2:$AC$51,J231)=0),"status paid but no paid_brands row"&amp;IF(M231="N"," and no tracker row",""),IF(AND(IFERROR(INDEX(Lists!$J$2:$J$15,MATCH(K231,Lists!$I$2:$I$15,0)),-1)&gt;=6,M231="N"),"status "&amp;K231&amp;" but no tracker row",IF(AND(L231="Y",K231&lt;&gt;"do_not_contact"),"do_not_contact = Y but status is "&amp;K231,IF(AND(K231="do_not_contact",L231&lt;&gt;"Y"),"status do_not_contact but do_not_contact is not Y",""))))))</f>
        <v/>
      </c>
    </row>
    <row r="232">
      <c r="B232" s="17" t="n">
        <v>211</v>
      </c>
      <c r="C232" s="17">
        <f>IFERROR(INDEX(Clay_Offices!$A$2:$FZ$601,B232,$C$5)&amp;"","")</f>
        <v/>
      </c>
      <c r="D232" s="17">
        <f>IFERROR(INDEX(Clay_Offices!$A$2:$FZ$601,B232,$C$7)&amp;"","")</f>
        <v/>
      </c>
      <c r="E232" s="17">
        <f>IFERROR(INDEX(Clay_Offices!$A$2:$FZ$601,B232,$C$8)&amp;"","")</f>
        <v/>
      </c>
      <c r="F232" s="17">
        <f>IF(C232="","",IF(COUNTIF(Office_Log!$A$2:$A$201,C232)&gt;0,"Y","N"))</f>
        <v/>
      </c>
      <c r="G232" s="17">
        <f>IF(OR(C232="",AND(LEFT(C232,6)="SAMPLE",Config!$B$19&lt;&gt;"Y")),"",IF(IFERROR(INDEX(Lists!$J$2:$J$15,MATCH(D232,Lists!$I$2:$I$15,0)),-1)=-1,"status '"&amp;D232&amp;"' is not a CONTRACTS status",IF(AND(D232="signed",COUNTIF(signed_offices!$W$2:$W$51,C232)=0),"status signed but no signed_offices row"&amp;IF(F232="N"," and no tracker row",""),IF(AND(IFERROR(INDEX(Lists!$J$2:$J$15,MATCH(D232,Lists!$I$2:$I$15,0)),-1)&gt;=6,F232="N"),"status "&amp;D232&amp;" but no tracker row",IF(AND(E232="Y",D232&lt;&gt;"do_not_contact"),"do_not_contact = Y but status is "&amp;D232,IF(AND(D232="do_not_contact",E232&lt;&gt;"Y"),"status do_not_contact but do_not_contact is not Y",""))))))</f>
        <v/>
      </c>
      <c r="I232" s="17" t="n">
        <v>211</v>
      </c>
      <c r="J232" s="17">
        <f>IFERROR(INDEX(Clay_Brands!$A$2:$FZ$601,I232,$D$5)&amp;"","")</f>
        <v/>
      </c>
      <c r="K232" s="17">
        <f>IFERROR(INDEX(Clay_Brands!$A$2:$FZ$601,I232,$D$7)&amp;"","")</f>
        <v/>
      </c>
      <c r="L232" s="17">
        <f>IFERROR(INDEX(Clay_Brands!$A$2:$FZ$601,I232,$D$8)&amp;"","")</f>
        <v/>
      </c>
      <c r="M232" s="17">
        <f>IF(J232="","",IF(COUNTIF(Brand_Log!$A$2:$A$201,J232)&gt;0,"Y","N"))</f>
        <v/>
      </c>
      <c r="N232" s="17">
        <f>IF(OR(J232="",AND(LEFT(J232,6)="SAMPLE",Config!$B$19&lt;&gt;"Y")),"",IF(IFERROR(INDEX(Lists!$J$2:$J$15,MATCH(K232,Lists!$I$2:$I$15,0)),-1)=-1,"status '"&amp;K232&amp;"' is not a CONTRACTS status",IF(AND(K232="paid",COUNTIF(paid_brands!$AC$2:$AC$51,J232)=0),"status paid but no paid_brands row"&amp;IF(M232="N"," and no tracker row",""),IF(AND(IFERROR(INDEX(Lists!$J$2:$J$15,MATCH(K232,Lists!$I$2:$I$15,0)),-1)&gt;=6,M232="N"),"status "&amp;K232&amp;" but no tracker row",IF(AND(L232="Y",K232&lt;&gt;"do_not_contact"),"do_not_contact = Y but status is "&amp;K232,IF(AND(K232="do_not_contact",L232&lt;&gt;"Y"),"status do_not_contact but do_not_contact is not Y",""))))))</f>
        <v/>
      </c>
    </row>
    <row r="233">
      <c r="B233" s="17" t="n">
        <v>212</v>
      </c>
      <c r="C233" s="17">
        <f>IFERROR(INDEX(Clay_Offices!$A$2:$FZ$601,B233,$C$5)&amp;"","")</f>
        <v/>
      </c>
      <c r="D233" s="17">
        <f>IFERROR(INDEX(Clay_Offices!$A$2:$FZ$601,B233,$C$7)&amp;"","")</f>
        <v/>
      </c>
      <c r="E233" s="17">
        <f>IFERROR(INDEX(Clay_Offices!$A$2:$FZ$601,B233,$C$8)&amp;"","")</f>
        <v/>
      </c>
      <c r="F233" s="17">
        <f>IF(C233="","",IF(COUNTIF(Office_Log!$A$2:$A$201,C233)&gt;0,"Y","N"))</f>
        <v/>
      </c>
      <c r="G233" s="17">
        <f>IF(OR(C233="",AND(LEFT(C233,6)="SAMPLE",Config!$B$19&lt;&gt;"Y")),"",IF(IFERROR(INDEX(Lists!$J$2:$J$15,MATCH(D233,Lists!$I$2:$I$15,0)),-1)=-1,"status '"&amp;D233&amp;"' is not a CONTRACTS status",IF(AND(D233="signed",COUNTIF(signed_offices!$W$2:$W$51,C233)=0),"status signed but no signed_offices row"&amp;IF(F233="N"," and no tracker row",""),IF(AND(IFERROR(INDEX(Lists!$J$2:$J$15,MATCH(D233,Lists!$I$2:$I$15,0)),-1)&gt;=6,F233="N"),"status "&amp;D233&amp;" but no tracker row",IF(AND(E233="Y",D233&lt;&gt;"do_not_contact"),"do_not_contact = Y but status is "&amp;D233,IF(AND(D233="do_not_contact",E233&lt;&gt;"Y"),"status do_not_contact but do_not_contact is not Y",""))))))</f>
        <v/>
      </c>
      <c r="I233" s="17" t="n">
        <v>212</v>
      </c>
      <c r="J233" s="17">
        <f>IFERROR(INDEX(Clay_Brands!$A$2:$FZ$601,I233,$D$5)&amp;"","")</f>
        <v/>
      </c>
      <c r="K233" s="17">
        <f>IFERROR(INDEX(Clay_Brands!$A$2:$FZ$601,I233,$D$7)&amp;"","")</f>
        <v/>
      </c>
      <c r="L233" s="17">
        <f>IFERROR(INDEX(Clay_Brands!$A$2:$FZ$601,I233,$D$8)&amp;"","")</f>
        <v/>
      </c>
      <c r="M233" s="17">
        <f>IF(J233="","",IF(COUNTIF(Brand_Log!$A$2:$A$201,J233)&gt;0,"Y","N"))</f>
        <v/>
      </c>
      <c r="N233" s="17">
        <f>IF(OR(J233="",AND(LEFT(J233,6)="SAMPLE",Config!$B$19&lt;&gt;"Y")),"",IF(IFERROR(INDEX(Lists!$J$2:$J$15,MATCH(K233,Lists!$I$2:$I$15,0)),-1)=-1,"status '"&amp;K233&amp;"' is not a CONTRACTS status",IF(AND(K233="paid",COUNTIF(paid_brands!$AC$2:$AC$51,J233)=0),"status paid but no paid_brands row"&amp;IF(M233="N"," and no tracker row",""),IF(AND(IFERROR(INDEX(Lists!$J$2:$J$15,MATCH(K233,Lists!$I$2:$I$15,0)),-1)&gt;=6,M233="N"),"status "&amp;K233&amp;" but no tracker row",IF(AND(L233="Y",K233&lt;&gt;"do_not_contact"),"do_not_contact = Y but status is "&amp;K233,IF(AND(K233="do_not_contact",L233&lt;&gt;"Y"),"status do_not_contact but do_not_contact is not Y",""))))))</f>
        <v/>
      </c>
    </row>
    <row r="234">
      <c r="B234" s="17" t="n">
        <v>213</v>
      </c>
      <c r="C234" s="17">
        <f>IFERROR(INDEX(Clay_Offices!$A$2:$FZ$601,B234,$C$5)&amp;"","")</f>
        <v/>
      </c>
      <c r="D234" s="17">
        <f>IFERROR(INDEX(Clay_Offices!$A$2:$FZ$601,B234,$C$7)&amp;"","")</f>
        <v/>
      </c>
      <c r="E234" s="17">
        <f>IFERROR(INDEX(Clay_Offices!$A$2:$FZ$601,B234,$C$8)&amp;"","")</f>
        <v/>
      </c>
      <c r="F234" s="17">
        <f>IF(C234="","",IF(COUNTIF(Office_Log!$A$2:$A$201,C234)&gt;0,"Y","N"))</f>
        <v/>
      </c>
      <c r="G234" s="17">
        <f>IF(OR(C234="",AND(LEFT(C234,6)="SAMPLE",Config!$B$19&lt;&gt;"Y")),"",IF(IFERROR(INDEX(Lists!$J$2:$J$15,MATCH(D234,Lists!$I$2:$I$15,0)),-1)=-1,"status '"&amp;D234&amp;"' is not a CONTRACTS status",IF(AND(D234="signed",COUNTIF(signed_offices!$W$2:$W$51,C234)=0),"status signed but no signed_offices row"&amp;IF(F234="N"," and no tracker row",""),IF(AND(IFERROR(INDEX(Lists!$J$2:$J$15,MATCH(D234,Lists!$I$2:$I$15,0)),-1)&gt;=6,F234="N"),"status "&amp;D234&amp;" but no tracker row",IF(AND(E234="Y",D234&lt;&gt;"do_not_contact"),"do_not_contact = Y but status is "&amp;D234,IF(AND(D234="do_not_contact",E234&lt;&gt;"Y"),"status do_not_contact but do_not_contact is not Y",""))))))</f>
        <v/>
      </c>
      <c r="I234" s="17" t="n">
        <v>213</v>
      </c>
      <c r="J234" s="17">
        <f>IFERROR(INDEX(Clay_Brands!$A$2:$FZ$601,I234,$D$5)&amp;"","")</f>
        <v/>
      </c>
      <c r="K234" s="17">
        <f>IFERROR(INDEX(Clay_Brands!$A$2:$FZ$601,I234,$D$7)&amp;"","")</f>
        <v/>
      </c>
      <c r="L234" s="17">
        <f>IFERROR(INDEX(Clay_Brands!$A$2:$FZ$601,I234,$D$8)&amp;"","")</f>
        <v/>
      </c>
      <c r="M234" s="17">
        <f>IF(J234="","",IF(COUNTIF(Brand_Log!$A$2:$A$201,J234)&gt;0,"Y","N"))</f>
        <v/>
      </c>
      <c r="N234" s="17">
        <f>IF(OR(J234="",AND(LEFT(J234,6)="SAMPLE",Config!$B$19&lt;&gt;"Y")),"",IF(IFERROR(INDEX(Lists!$J$2:$J$15,MATCH(K234,Lists!$I$2:$I$15,0)),-1)=-1,"status '"&amp;K234&amp;"' is not a CONTRACTS status",IF(AND(K234="paid",COUNTIF(paid_brands!$AC$2:$AC$51,J234)=0),"status paid but no paid_brands row"&amp;IF(M234="N"," and no tracker row",""),IF(AND(IFERROR(INDEX(Lists!$J$2:$J$15,MATCH(K234,Lists!$I$2:$I$15,0)),-1)&gt;=6,M234="N"),"status "&amp;K234&amp;" but no tracker row",IF(AND(L234="Y",K234&lt;&gt;"do_not_contact"),"do_not_contact = Y but status is "&amp;K234,IF(AND(K234="do_not_contact",L234&lt;&gt;"Y"),"status do_not_contact but do_not_contact is not Y",""))))))</f>
        <v/>
      </c>
    </row>
    <row r="235">
      <c r="B235" s="17" t="n">
        <v>214</v>
      </c>
      <c r="C235" s="17">
        <f>IFERROR(INDEX(Clay_Offices!$A$2:$FZ$601,B235,$C$5)&amp;"","")</f>
        <v/>
      </c>
      <c r="D235" s="17">
        <f>IFERROR(INDEX(Clay_Offices!$A$2:$FZ$601,B235,$C$7)&amp;"","")</f>
        <v/>
      </c>
      <c r="E235" s="17">
        <f>IFERROR(INDEX(Clay_Offices!$A$2:$FZ$601,B235,$C$8)&amp;"","")</f>
        <v/>
      </c>
      <c r="F235" s="17">
        <f>IF(C235="","",IF(COUNTIF(Office_Log!$A$2:$A$201,C235)&gt;0,"Y","N"))</f>
        <v/>
      </c>
      <c r="G235" s="17">
        <f>IF(OR(C235="",AND(LEFT(C235,6)="SAMPLE",Config!$B$19&lt;&gt;"Y")),"",IF(IFERROR(INDEX(Lists!$J$2:$J$15,MATCH(D235,Lists!$I$2:$I$15,0)),-1)=-1,"status '"&amp;D235&amp;"' is not a CONTRACTS status",IF(AND(D235="signed",COUNTIF(signed_offices!$W$2:$W$51,C235)=0),"status signed but no signed_offices row"&amp;IF(F235="N"," and no tracker row",""),IF(AND(IFERROR(INDEX(Lists!$J$2:$J$15,MATCH(D235,Lists!$I$2:$I$15,0)),-1)&gt;=6,F235="N"),"status "&amp;D235&amp;" but no tracker row",IF(AND(E235="Y",D235&lt;&gt;"do_not_contact"),"do_not_contact = Y but status is "&amp;D235,IF(AND(D235="do_not_contact",E235&lt;&gt;"Y"),"status do_not_contact but do_not_contact is not Y",""))))))</f>
        <v/>
      </c>
      <c r="I235" s="17" t="n">
        <v>214</v>
      </c>
      <c r="J235" s="17">
        <f>IFERROR(INDEX(Clay_Brands!$A$2:$FZ$601,I235,$D$5)&amp;"","")</f>
        <v/>
      </c>
      <c r="K235" s="17">
        <f>IFERROR(INDEX(Clay_Brands!$A$2:$FZ$601,I235,$D$7)&amp;"","")</f>
        <v/>
      </c>
      <c r="L235" s="17">
        <f>IFERROR(INDEX(Clay_Brands!$A$2:$FZ$601,I235,$D$8)&amp;"","")</f>
        <v/>
      </c>
      <c r="M235" s="17">
        <f>IF(J235="","",IF(COUNTIF(Brand_Log!$A$2:$A$201,J235)&gt;0,"Y","N"))</f>
        <v/>
      </c>
      <c r="N235" s="17">
        <f>IF(OR(J235="",AND(LEFT(J235,6)="SAMPLE",Config!$B$19&lt;&gt;"Y")),"",IF(IFERROR(INDEX(Lists!$J$2:$J$15,MATCH(K235,Lists!$I$2:$I$15,0)),-1)=-1,"status '"&amp;K235&amp;"' is not a CONTRACTS status",IF(AND(K235="paid",COUNTIF(paid_brands!$AC$2:$AC$51,J235)=0),"status paid but no paid_brands row"&amp;IF(M235="N"," and no tracker row",""),IF(AND(IFERROR(INDEX(Lists!$J$2:$J$15,MATCH(K235,Lists!$I$2:$I$15,0)),-1)&gt;=6,M235="N"),"status "&amp;K235&amp;" but no tracker row",IF(AND(L235="Y",K235&lt;&gt;"do_not_contact"),"do_not_contact = Y but status is "&amp;K235,IF(AND(K235="do_not_contact",L235&lt;&gt;"Y"),"status do_not_contact but do_not_contact is not Y",""))))))</f>
        <v/>
      </c>
    </row>
    <row r="236">
      <c r="B236" s="17" t="n">
        <v>215</v>
      </c>
      <c r="C236" s="17">
        <f>IFERROR(INDEX(Clay_Offices!$A$2:$FZ$601,B236,$C$5)&amp;"","")</f>
        <v/>
      </c>
      <c r="D236" s="17">
        <f>IFERROR(INDEX(Clay_Offices!$A$2:$FZ$601,B236,$C$7)&amp;"","")</f>
        <v/>
      </c>
      <c r="E236" s="17">
        <f>IFERROR(INDEX(Clay_Offices!$A$2:$FZ$601,B236,$C$8)&amp;"","")</f>
        <v/>
      </c>
      <c r="F236" s="17">
        <f>IF(C236="","",IF(COUNTIF(Office_Log!$A$2:$A$201,C236)&gt;0,"Y","N"))</f>
        <v/>
      </c>
      <c r="G236" s="17">
        <f>IF(OR(C236="",AND(LEFT(C236,6)="SAMPLE",Config!$B$19&lt;&gt;"Y")),"",IF(IFERROR(INDEX(Lists!$J$2:$J$15,MATCH(D236,Lists!$I$2:$I$15,0)),-1)=-1,"status '"&amp;D236&amp;"' is not a CONTRACTS status",IF(AND(D236="signed",COUNTIF(signed_offices!$W$2:$W$51,C236)=0),"status signed but no signed_offices row"&amp;IF(F236="N"," and no tracker row",""),IF(AND(IFERROR(INDEX(Lists!$J$2:$J$15,MATCH(D236,Lists!$I$2:$I$15,0)),-1)&gt;=6,F236="N"),"status "&amp;D236&amp;" but no tracker row",IF(AND(E236="Y",D236&lt;&gt;"do_not_contact"),"do_not_contact = Y but status is "&amp;D236,IF(AND(D236="do_not_contact",E236&lt;&gt;"Y"),"status do_not_contact but do_not_contact is not Y",""))))))</f>
        <v/>
      </c>
      <c r="I236" s="17" t="n">
        <v>215</v>
      </c>
      <c r="J236" s="17">
        <f>IFERROR(INDEX(Clay_Brands!$A$2:$FZ$601,I236,$D$5)&amp;"","")</f>
        <v/>
      </c>
      <c r="K236" s="17">
        <f>IFERROR(INDEX(Clay_Brands!$A$2:$FZ$601,I236,$D$7)&amp;"","")</f>
        <v/>
      </c>
      <c r="L236" s="17">
        <f>IFERROR(INDEX(Clay_Brands!$A$2:$FZ$601,I236,$D$8)&amp;"","")</f>
        <v/>
      </c>
      <c r="M236" s="17">
        <f>IF(J236="","",IF(COUNTIF(Brand_Log!$A$2:$A$201,J236)&gt;0,"Y","N"))</f>
        <v/>
      </c>
      <c r="N236" s="17">
        <f>IF(OR(J236="",AND(LEFT(J236,6)="SAMPLE",Config!$B$19&lt;&gt;"Y")),"",IF(IFERROR(INDEX(Lists!$J$2:$J$15,MATCH(K236,Lists!$I$2:$I$15,0)),-1)=-1,"status '"&amp;K236&amp;"' is not a CONTRACTS status",IF(AND(K236="paid",COUNTIF(paid_brands!$AC$2:$AC$51,J236)=0),"status paid but no paid_brands row"&amp;IF(M236="N"," and no tracker row",""),IF(AND(IFERROR(INDEX(Lists!$J$2:$J$15,MATCH(K236,Lists!$I$2:$I$15,0)),-1)&gt;=6,M236="N"),"status "&amp;K236&amp;" but no tracker row",IF(AND(L236="Y",K236&lt;&gt;"do_not_contact"),"do_not_contact = Y but status is "&amp;K236,IF(AND(K236="do_not_contact",L236&lt;&gt;"Y"),"status do_not_contact but do_not_contact is not Y",""))))))</f>
        <v/>
      </c>
    </row>
    <row r="237">
      <c r="B237" s="17" t="n">
        <v>216</v>
      </c>
      <c r="C237" s="17">
        <f>IFERROR(INDEX(Clay_Offices!$A$2:$FZ$601,B237,$C$5)&amp;"","")</f>
        <v/>
      </c>
      <c r="D237" s="17">
        <f>IFERROR(INDEX(Clay_Offices!$A$2:$FZ$601,B237,$C$7)&amp;"","")</f>
        <v/>
      </c>
      <c r="E237" s="17">
        <f>IFERROR(INDEX(Clay_Offices!$A$2:$FZ$601,B237,$C$8)&amp;"","")</f>
        <v/>
      </c>
      <c r="F237" s="17">
        <f>IF(C237="","",IF(COUNTIF(Office_Log!$A$2:$A$201,C237)&gt;0,"Y","N"))</f>
        <v/>
      </c>
      <c r="G237" s="17">
        <f>IF(OR(C237="",AND(LEFT(C237,6)="SAMPLE",Config!$B$19&lt;&gt;"Y")),"",IF(IFERROR(INDEX(Lists!$J$2:$J$15,MATCH(D237,Lists!$I$2:$I$15,0)),-1)=-1,"status '"&amp;D237&amp;"' is not a CONTRACTS status",IF(AND(D237="signed",COUNTIF(signed_offices!$W$2:$W$51,C237)=0),"status signed but no signed_offices row"&amp;IF(F237="N"," and no tracker row",""),IF(AND(IFERROR(INDEX(Lists!$J$2:$J$15,MATCH(D237,Lists!$I$2:$I$15,0)),-1)&gt;=6,F237="N"),"status "&amp;D237&amp;" but no tracker row",IF(AND(E237="Y",D237&lt;&gt;"do_not_contact"),"do_not_contact = Y but status is "&amp;D237,IF(AND(D237="do_not_contact",E237&lt;&gt;"Y"),"status do_not_contact but do_not_contact is not Y",""))))))</f>
        <v/>
      </c>
      <c r="I237" s="17" t="n">
        <v>216</v>
      </c>
      <c r="J237" s="17">
        <f>IFERROR(INDEX(Clay_Brands!$A$2:$FZ$601,I237,$D$5)&amp;"","")</f>
        <v/>
      </c>
      <c r="K237" s="17">
        <f>IFERROR(INDEX(Clay_Brands!$A$2:$FZ$601,I237,$D$7)&amp;"","")</f>
        <v/>
      </c>
      <c r="L237" s="17">
        <f>IFERROR(INDEX(Clay_Brands!$A$2:$FZ$601,I237,$D$8)&amp;"","")</f>
        <v/>
      </c>
      <c r="M237" s="17">
        <f>IF(J237="","",IF(COUNTIF(Brand_Log!$A$2:$A$201,J237)&gt;0,"Y","N"))</f>
        <v/>
      </c>
      <c r="N237" s="17">
        <f>IF(OR(J237="",AND(LEFT(J237,6)="SAMPLE",Config!$B$19&lt;&gt;"Y")),"",IF(IFERROR(INDEX(Lists!$J$2:$J$15,MATCH(K237,Lists!$I$2:$I$15,0)),-1)=-1,"status '"&amp;K237&amp;"' is not a CONTRACTS status",IF(AND(K237="paid",COUNTIF(paid_brands!$AC$2:$AC$51,J237)=0),"status paid but no paid_brands row"&amp;IF(M237="N"," and no tracker row",""),IF(AND(IFERROR(INDEX(Lists!$J$2:$J$15,MATCH(K237,Lists!$I$2:$I$15,0)),-1)&gt;=6,M237="N"),"status "&amp;K237&amp;" but no tracker row",IF(AND(L237="Y",K237&lt;&gt;"do_not_contact"),"do_not_contact = Y but status is "&amp;K237,IF(AND(K237="do_not_contact",L237&lt;&gt;"Y"),"status do_not_contact but do_not_contact is not Y",""))))))</f>
        <v/>
      </c>
    </row>
    <row r="238">
      <c r="B238" s="17" t="n">
        <v>217</v>
      </c>
      <c r="C238" s="17">
        <f>IFERROR(INDEX(Clay_Offices!$A$2:$FZ$601,B238,$C$5)&amp;"","")</f>
        <v/>
      </c>
      <c r="D238" s="17">
        <f>IFERROR(INDEX(Clay_Offices!$A$2:$FZ$601,B238,$C$7)&amp;"","")</f>
        <v/>
      </c>
      <c r="E238" s="17">
        <f>IFERROR(INDEX(Clay_Offices!$A$2:$FZ$601,B238,$C$8)&amp;"","")</f>
        <v/>
      </c>
      <c r="F238" s="17">
        <f>IF(C238="","",IF(COUNTIF(Office_Log!$A$2:$A$201,C238)&gt;0,"Y","N"))</f>
        <v/>
      </c>
      <c r="G238" s="17">
        <f>IF(OR(C238="",AND(LEFT(C238,6)="SAMPLE",Config!$B$19&lt;&gt;"Y")),"",IF(IFERROR(INDEX(Lists!$J$2:$J$15,MATCH(D238,Lists!$I$2:$I$15,0)),-1)=-1,"status '"&amp;D238&amp;"' is not a CONTRACTS status",IF(AND(D238="signed",COUNTIF(signed_offices!$W$2:$W$51,C238)=0),"status signed but no signed_offices row"&amp;IF(F238="N"," and no tracker row",""),IF(AND(IFERROR(INDEX(Lists!$J$2:$J$15,MATCH(D238,Lists!$I$2:$I$15,0)),-1)&gt;=6,F238="N"),"status "&amp;D238&amp;" but no tracker row",IF(AND(E238="Y",D238&lt;&gt;"do_not_contact"),"do_not_contact = Y but status is "&amp;D238,IF(AND(D238="do_not_contact",E238&lt;&gt;"Y"),"status do_not_contact but do_not_contact is not Y",""))))))</f>
        <v/>
      </c>
      <c r="I238" s="17" t="n">
        <v>217</v>
      </c>
      <c r="J238" s="17">
        <f>IFERROR(INDEX(Clay_Brands!$A$2:$FZ$601,I238,$D$5)&amp;"","")</f>
        <v/>
      </c>
      <c r="K238" s="17">
        <f>IFERROR(INDEX(Clay_Brands!$A$2:$FZ$601,I238,$D$7)&amp;"","")</f>
        <v/>
      </c>
      <c r="L238" s="17">
        <f>IFERROR(INDEX(Clay_Brands!$A$2:$FZ$601,I238,$D$8)&amp;"","")</f>
        <v/>
      </c>
      <c r="M238" s="17">
        <f>IF(J238="","",IF(COUNTIF(Brand_Log!$A$2:$A$201,J238)&gt;0,"Y","N"))</f>
        <v/>
      </c>
      <c r="N238" s="17">
        <f>IF(OR(J238="",AND(LEFT(J238,6)="SAMPLE",Config!$B$19&lt;&gt;"Y")),"",IF(IFERROR(INDEX(Lists!$J$2:$J$15,MATCH(K238,Lists!$I$2:$I$15,0)),-1)=-1,"status '"&amp;K238&amp;"' is not a CONTRACTS status",IF(AND(K238="paid",COUNTIF(paid_brands!$AC$2:$AC$51,J238)=0),"status paid but no paid_brands row"&amp;IF(M238="N"," and no tracker row",""),IF(AND(IFERROR(INDEX(Lists!$J$2:$J$15,MATCH(K238,Lists!$I$2:$I$15,0)),-1)&gt;=6,M238="N"),"status "&amp;K238&amp;" but no tracker row",IF(AND(L238="Y",K238&lt;&gt;"do_not_contact"),"do_not_contact = Y but status is "&amp;K238,IF(AND(K238="do_not_contact",L238&lt;&gt;"Y"),"status do_not_contact but do_not_contact is not Y",""))))))</f>
        <v/>
      </c>
    </row>
    <row r="239">
      <c r="B239" s="17" t="n">
        <v>218</v>
      </c>
      <c r="C239" s="17">
        <f>IFERROR(INDEX(Clay_Offices!$A$2:$FZ$601,B239,$C$5)&amp;"","")</f>
        <v/>
      </c>
      <c r="D239" s="17">
        <f>IFERROR(INDEX(Clay_Offices!$A$2:$FZ$601,B239,$C$7)&amp;"","")</f>
        <v/>
      </c>
      <c r="E239" s="17">
        <f>IFERROR(INDEX(Clay_Offices!$A$2:$FZ$601,B239,$C$8)&amp;"","")</f>
        <v/>
      </c>
      <c r="F239" s="17">
        <f>IF(C239="","",IF(COUNTIF(Office_Log!$A$2:$A$201,C239)&gt;0,"Y","N"))</f>
        <v/>
      </c>
      <c r="G239" s="17">
        <f>IF(OR(C239="",AND(LEFT(C239,6)="SAMPLE",Config!$B$19&lt;&gt;"Y")),"",IF(IFERROR(INDEX(Lists!$J$2:$J$15,MATCH(D239,Lists!$I$2:$I$15,0)),-1)=-1,"status '"&amp;D239&amp;"' is not a CONTRACTS status",IF(AND(D239="signed",COUNTIF(signed_offices!$W$2:$W$51,C239)=0),"status signed but no signed_offices row"&amp;IF(F239="N"," and no tracker row",""),IF(AND(IFERROR(INDEX(Lists!$J$2:$J$15,MATCH(D239,Lists!$I$2:$I$15,0)),-1)&gt;=6,F239="N"),"status "&amp;D239&amp;" but no tracker row",IF(AND(E239="Y",D239&lt;&gt;"do_not_contact"),"do_not_contact = Y but status is "&amp;D239,IF(AND(D239="do_not_contact",E239&lt;&gt;"Y"),"status do_not_contact but do_not_contact is not Y",""))))))</f>
        <v/>
      </c>
      <c r="I239" s="17" t="n">
        <v>218</v>
      </c>
      <c r="J239" s="17">
        <f>IFERROR(INDEX(Clay_Brands!$A$2:$FZ$601,I239,$D$5)&amp;"","")</f>
        <v/>
      </c>
      <c r="K239" s="17">
        <f>IFERROR(INDEX(Clay_Brands!$A$2:$FZ$601,I239,$D$7)&amp;"","")</f>
        <v/>
      </c>
      <c r="L239" s="17">
        <f>IFERROR(INDEX(Clay_Brands!$A$2:$FZ$601,I239,$D$8)&amp;"","")</f>
        <v/>
      </c>
      <c r="M239" s="17">
        <f>IF(J239="","",IF(COUNTIF(Brand_Log!$A$2:$A$201,J239)&gt;0,"Y","N"))</f>
        <v/>
      </c>
      <c r="N239" s="17">
        <f>IF(OR(J239="",AND(LEFT(J239,6)="SAMPLE",Config!$B$19&lt;&gt;"Y")),"",IF(IFERROR(INDEX(Lists!$J$2:$J$15,MATCH(K239,Lists!$I$2:$I$15,0)),-1)=-1,"status '"&amp;K239&amp;"' is not a CONTRACTS status",IF(AND(K239="paid",COUNTIF(paid_brands!$AC$2:$AC$51,J239)=0),"status paid but no paid_brands row"&amp;IF(M239="N"," and no tracker row",""),IF(AND(IFERROR(INDEX(Lists!$J$2:$J$15,MATCH(K239,Lists!$I$2:$I$15,0)),-1)&gt;=6,M239="N"),"status "&amp;K239&amp;" but no tracker row",IF(AND(L239="Y",K239&lt;&gt;"do_not_contact"),"do_not_contact = Y but status is "&amp;K239,IF(AND(K239="do_not_contact",L239&lt;&gt;"Y"),"status do_not_contact but do_not_contact is not Y",""))))))</f>
        <v/>
      </c>
    </row>
    <row r="240">
      <c r="B240" s="17" t="n">
        <v>219</v>
      </c>
      <c r="C240" s="17">
        <f>IFERROR(INDEX(Clay_Offices!$A$2:$FZ$601,B240,$C$5)&amp;"","")</f>
        <v/>
      </c>
      <c r="D240" s="17">
        <f>IFERROR(INDEX(Clay_Offices!$A$2:$FZ$601,B240,$C$7)&amp;"","")</f>
        <v/>
      </c>
      <c r="E240" s="17">
        <f>IFERROR(INDEX(Clay_Offices!$A$2:$FZ$601,B240,$C$8)&amp;"","")</f>
        <v/>
      </c>
      <c r="F240" s="17">
        <f>IF(C240="","",IF(COUNTIF(Office_Log!$A$2:$A$201,C240)&gt;0,"Y","N"))</f>
        <v/>
      </c>
      <c r="G240" s="17">
        <f>IF(OR(C240="",AND(LEFT(C240,6)="SAMPLE",Config!$B$19&lt;&gt;"Y")),"",IF(IFERROR(INDEX(Lists!$J$2:$J$15,MATCH(D240,Lists!$I$2:$I$15,0)),-1)=-1,"status '"&amp;D240&amp;"' is not a CONTRACTS status",IF(AND(D240="signed",COUNTIF(signed_offices!$W$2:$W$51,C240)=0),"status signed but no signed_offices row"&amp;IF(F240="N"," and no tracker row",""),IF(AND(IFERROR(INDEX(Lists!$J$2:$J$15,MATCH(D240,Lists!$I$2:$I$15,0)),-1)&gt;=6,F240="N"),"status "&amp;D240&amp;" but no tracker row",IF(AND(E240="Y",D240&lt;&gt;"do_not_contact"),"do_not_contact = Y but status is "&amp;D240,IF(AND(D240="do_not_contact",E240&lt;&gt;"Y"),"status do_not_contact but do_not_contact is not Y",""))))))</f>
        <v/>
      </c>
      <c r="I240" s="17" t="n">
        <v>219</v>
      </c>
      <c r="J240" s="17">
        <f>IFERROR(INDEX(Clay_Brands!$A$2:$FZ$601,I240,$D$5)&amp;"","")</f>
        <v/>
      </c>
      <c r="K240" s="17">
        <f>IFERROR(INDEX(Clay_Brands!$A$2:$FZ$601,I240,$D$7)&amp;"","")</f>
        <v/>
      </c>
      <c r="L240" s="17">
        <f>IFERROR(INDEX(Clay_Brands!$A$2:$FZ$601,I240,$D$8)&amp;"","")</f>
        <v/>
      </c>
      <c r="M240" s="17">
        <f>IF(J240="","",IF(COUNTIF(Brand_Log!$A$2:$A$201,J240)&gt;0,"Y","N"))</f>
        <v/>
      </c>
      <c r="N240" s="17">
        <f>IF(OR(J240="",AND(LEFT(J240,6)="SAMPLE",Config!$B$19&lt;&gt;"Y")),"",IF(IFERROR(INDEX(Lists!$J$2:$J$15,MATCH(K240,Lists!$I$2:$I$15,0)),-1)=-1,"status '"&amp;K240&amp;"' is not a CONTRACTS status",IF(AND(K240="paid",COUNTIF(paid_brands!$AC$2:$AC$51,J240)=0),"status paid but no paid_brands row"&amp;IF(M240="N"," and no tracker row",""),IF(AND(IFERROR(INDEX(Lists!$J$2:$J$15,MATCH(K240,Lists!$I$2:$I$15,0)),-1)&gt;=6,M240="N"),"status "&amp;K240&amp;" but no tracker row",IF(AND(L240="Y",K240&lt;&gt;"do_not_contact"),"do_not_contact = Y but status is "&amp;K240,IF(AND(K240="do_not_contact",L240&lt;&gt;"Y"),"status do_not_contact but do_not_contact is not Y",""))))))</f>
        <v/>
      </c>
    </row>
    <row r="241">
      <c r="B241" s="17" t="n">
        <v>220</v>
      </c>
      <c r="C241" s="17">
        <f>IFERROR(INDEX(Clay_Offices!$A$2:$FZ$601,B241,$C$5)&amp;"","")</f>
        <v/>
      </c>
      <c r="D241" s="17">
        <f>IFERROR(INDEX(Clay_Offices!$A$2:$FZ$601,B241,$C$7)&amp;"","")</f>
        <v/>
      </c>
      <c r="E241" s="17">
        <f>IFERROR(INDEX(Clay_Offices!$A$2:$FZ$601,B241,$C$8)&amp;"","")</f>
        <v/>
      </c>
      <c r="F241" s="17">
        <f>IF(C241="","",IF(COUNTIF(Office_Log!$A$2:$A$201,C241)&gt;0,"Y","N"))</f>
        <v/>
      </c>
      <c r="G241" s="17">
        <f>IF(OR(C241="",AND(LEFT(C241,6)="SAMPLE",Config!$B$19&lt;&gt;"Y")),"",IF(IFERROR(INDEX(Lists!$J$2:$J$15,MATCH(D241,Lists!$I$2:$I$15,0)),-1)=-1,"status '"&amp;D241&amp;"' is not a CONTRACTS status",IF(AND(D241="signed",COUNTIF(signed_offices!$W$2:$W$51,C241)=0),"status signed but no signed_offices row"&amp;IF(F241="N"," and no tracker row",""),IF(AND(IFERROR(INDEX(Lists!$J$2:$J$15,MATCH(D241,Lists!$I$2:$I$15,0)),-1)&gt;=6,F241="N"),"status "&amp;D241&amp;" but no tracker row",IF(AND(E241="Y",D241&lt;&gt;"do_not_contact"),"do_not_contact = Y but status is "&amp;D241,IF(AND(D241="do_not_contact",E241&lt;&gt;"Y"),"status do_not_contact but do_not_contact is not Y",""))))))</f>
        <v/>
      </c>
      <c r="I241" s="17" t="n">
        <v>220</v>
      </c>
      <c r="J241" s="17">
        <f>IFERROR(INDEX(Clay_Brands!$A$2:$FZ$601,I241,$D$5)&amp;"","")</f>
        <v/>
      </c>
      <c r="K241" s="17">
        <f>IFERROR(INDEX(Clay_Brands!$A$2:$FZ$601,I241,$D$7)&amp;"","")</f>
        <v/>
      </c>
      <c r="L241" s="17">
        <f>IFERROR(INDEX(Clay_Brands!$A$2:$FZ$601,I241,$D$8)&amp;"","")</f>
        <v/>
      </c>
      <c r="M241" s="17">
        <f>IF(J241="","",IF(COUNTIF(Brand_Log!$A$2:$A$201,J241)&gt;0,"Y","N"))</f>
        <v/>
      </c>
      <c r="N241" s="17">
        <f>IF(OR(J241="",AND(LEFT(J241,6)="SAMPLE",Config!$B$19&lt;&gt;"Y")),"",IF(IFERROR(INDEX(Lists!$J$2:$J$15,MATCH(K241,Lists!$I$2:$I$15,0)),-1)=-1,"status '"&amp;K241&amp;"' is not a CONTRACTS status",IF(AND(K241="paid",COUNTIF(paid_brands!$AC$2:$AC$51,J241)=0),"status paid but no paid_brands row"&amp;IF(M241="N"," and no tracker row",""),IF(AND(IFERROR(INDEX(Lists!$J$2:$J$15,MATCH(K241,Lists!$I$2:$I$15,0)),-1)&gt;=6,M241="N"),"status "&amp;K241&amp;" but no tracker row",IF(AND(L241="Y",K241&lt;&gt;"do_not_contact"),"do_not_contact = Y but status is "&amp;K241,IF(AND(K241="do_not_contact",L241&lt;&gt;"Y"),"status do_not_contact but do_not_contact is not Y",""))))))</f>
        <v/>
      </c>
    </row>
    <row r="242">
      <c r="B242" s="17" t="n">
        <v>221</v>
      </c>
      <c r="C242" s="17">
        <f>IFERROR(INDEX(Clay_Offices!$A$2:$FZ$601,B242,$C$5)&amp;"","")</f>
        <v/>
      </c>
      <c r="D242" s="17">
        <f>IFERROR(INDEX(Clay_Offices!$A$2:$FZ$601,B242,$C$7)&amp;"","")</f>
        <v/>
      </c>
      <c r="E242" s="17">
        <f>IFERROR(INDEX(Clay_Offices!$A$2:$FZ$601,B242,$C$8)&amp;"","")</f>
        <v/>
      </c>
      <c r="F242" s="17">
        <f>IF(C242="","",IF(COUNTIF(Office_Log!$A$2:$A$201,C242)&gt;0,"Y","N"))</f>
        <v/>
      </c>
      <c r="G242" s="17">
        <f>IF(OR(C242="",AND(LEFT(C242,6)="SAMPLE",Config!$B$19&lt;&gt;"Y")),"",IF(IFERROR(INDEX(Lists!$J$2:$J$15,MATCH(D242,Lists!$I$2:$I$15,0)),-1)=-1,"status '"&amp;D242&amp;"' is not a CONTRACTS status",IF(AND(D242="signed",COUNTIF(signed_offices!$W$2:$W$51,C242)=0),"status signed but no signed_offices row"&amp;IF(F242="N"," and no tracker row",""),IF(AND(IFERROR(INDEX(Lists!$J$2:$J$15,MATCH(D242,Lists!$I$2:$I$15,0)),-1)&gt;=6,F242="N"),"status "&amp;D242&amp;" but no tracker row",IF(AND(E242="Y",D242&lt;&gt;"do_not_contact"),"do_not_contact = Y but status is "&amp;D242,IF(AND(D242="do_not_contact",E242&lt;&gt;"Y"),"status do_not_contact but do_not_contact is not Y",""))))))</f>
        <v/>
      </c>
      <c r="I242" s="17" t="n">
        <v>221</v>
      </c>
      <c r="J242" s="17">
        <f>IFERROR(INDEX(Clay_Brands!$A$2:$FZ$601,I242,$D$5)&amp;"","")</f>
        <v/>
      </c>
      <c r="K242" s="17">
        <f>IFERROR(INDEX(Clay_Brands!$A$2:$FZ$601,I242,$D$7)&amp;"","")</f>
        <v/>
      </c>
      <c r="L242" s="17">
        <f>IFERROR(INDEX(Clay_Brands!$A$2:$FZ$601,I242,$D$8)&amp;"","")</f>
        <v/>
      </c>
      <c r="M242" s="17">
        <f>IF(J242="","",IF(COUNTIF(Brand_Log!$A$2:$A$201,J242)&gt;0,"Y","N"))</f>
        <v/>
      </c>
      <c r="N242" s="17">
        <f>IF(OR(J242="",AND(LEFT(J242,6)="SAMPLE",Config!$B$19&lt;&gt;"Y")),"",IF(IFERROR(INDEX(Lists!$J$2:$J$15,MATCH(K242,Lists!$I$2:$I$15,0)),-1)=-1,"status '"&amp;K242&amp;"' is not a CONTRACTS status",IF(AND(K242="paid",COUNTIF(paid_brands!$AC$2:$AC$51,J242)=0),"status paid but no paid_brands row"&amp;IF(M242="N"," and no tracker row",""),IF(AND(IFERROR(INDEX(Lists!$J$2:$J$15,MATCH(K242,Lists!$I$2:$I$15,0)),-1)&gt;=6,M242="N"),"status "&amp;K242&amp;" but no tracker row",IF(AND(L242="Y",K242&lt;&gt;"do_not_contact"),"do_not_contact = Y but status is "&amp;K242,IF(AND(K242="do_not_contact",L242&lt;&gt;"Y"),"status do_not_contact but do_not_contact is not Y",""))))))</f>
        <v/>
      </c>
    </row>
    <row r="243">
      <c r="B243" s="17" t="n">
        <v>222</v>
      </c>
      <c r="C243" s="17">
        <f>IFERROR(INDEX(Clay_Offices!$A$2:$FZ$601,B243,$C$5)&amp;"","")</f>
        <v/>
      </c>
      <c r="D243" s="17">
        <f>IFERROR(INDEX(Clay_Offices!$A$2:$FZ$601,B243,$C$7)&amp;"","")</f>
        <v/>
      </c>
      <c r="E243" s="17">
        <f>IFERROR(INDEX(Clay_Offices!$A$2:$FZ$601,B243,$C$8)&amp;"","")</f>
        <v/>
      </c>
      <c r="F243" s="17">
        <f>IF(C243="","",IF(COUNTIF(Office_Log!$A$2:$A$201,C243)&gt;0,"Y","N"))</f>
        <v/>
      </c>
      <c r="G243" s="17">
        <f>IF(OR(C243="",AND(LEFT(C243,6)="SAMPLE",Config!$B$19&lt;&gt;"Y")),"",IF(IFERROR(INDEX(Lists!$J$2:$J$15,MATCH(D243,Lists!$I$2:$I$15,0)),-1)=-1,"status '"&amp;D243&amp;"' is not a CONTRACTS status",IF(AND(D243="signed",COUNTIF(signed_offices!$W$2:$W$51,C243)=0),"status signed but no signed_offices row"&amp;IF(F243="N"," and no tracker row",""),IF(AND(IFERROR(INDEX(Lists!$J$2:$J$15,MATCH(D243,Lists!$I$2:$I$15,0)),-1)&gt;=6,F243="N"),"status "&amp;D243&amp;" but no tracker row",IF(AND(E243="Y",D243&lt;&gt;"do_not_contact"),"do_not_contact = Y but status is "&amp;D243,IF(AND(D243="do_not_contact",E243&lt;&gt;"Y"),"status do_not_contact but do_not_contact is not Y",""))))))</f>
        <v/>
      </c>
      <c r="I243" s="17" t="n">
        <v>222</v>
      </c>
      <c r="J243" s="17">
        <f>IFERROR(INDEX(Clay_Brands!$A$2:$FZ$601,I243,$D$5)&amp;"","")</f>
        <v/>
      </c>
      <c r="K243" s="17">
        <f>IFERROR(INDEX(Clay_Brands!$A$2:$FZ$601,I243,$D$7)&amp;"","")</f>
        <v/>
      </c>
      <c r="L243" s="17">
        <f>IFERROR(INDEX(Clay_Brands!$A$2:$FZ$601,I243,$D$8)&amp;"","")</f>
        <v/>
      </c>
      <c r="M243" s="17">
        <f>IF(J243="","",IF(COUNTIF(Brand_Log!$A$2:$A$201,J243)&gt;0,"Y","N"))</f>
        <v/>
      </c>
      <c r="N243" s="17">
        <f>IF(OR(J243="",AND(LEFT(J243,6)="SAMPLE",Config!$B$19&lt;&gt;"Y")),"",IF(IFERROR(INDEX(Lists!$J$2:$J$15,MATCH(K243,Lists!$I$2:$I$15,0)),-1)=-1,"status '"&amp;K243&amp;"' is not a CONTRACTS status",IF(AND(K243="paid",COUNTIF(paid_brands!$AC$2:$AC$51,J243)=0),"status paid but no paid_brands row"&amp;IF(M243="N"," and no tracker row",""),IF(AND(IFERROR(INDEX(Lists!$J$2:$J$15,MATCH(K243,Lists!$I$2:$I$15,0)),-1)&gt;=6,M243="N"),"status "&amp;K243&amp;" but no tracker row",IF(AND(L243="Y",K243&lt;&gt;"do_not_contact"),"do_not_contact = Y but status is "&amp;K243,IF(AND(K243="do_not_contact",L243&lt;&gt;"Y"),"status do_not_contact but do_not_contact is not Y",""))))))</f>
        <v/>
      </c>
    </row>
    <row r="244">
      <c r="B244" s="17" t="n">
        <v>223</v>
      </c>
      <c r="C244" s="17">
        <f>IFERROR(INDEX(Clay_Offices!$A$2:$FZ$601,B244,$C$5)&amp;"","")</f>
        <v/>
      </c>
      <c r="D244" s="17">
        <f>IFERROR(INDEX(Clay_Offices!$A$2:$FZ$601,B244,$C$7)&amp;"","")</f>
        <v/>
      </c>
      <c r="E244" s="17">
        <f>IFERROR(INDEX(Clay_Offices!$A$2:$FZ$601,B244,$C$8)&amp;"","")</f>
        <v/>
      </c>
      <c r="F244" s="17">
        <f>IF(C244="","",IF(COUNTIF(Office_Log!$A$2:$A$201,C244)&gt;0,"Y","N"))</f>
        <v/>
      </c>
      <c r="G244" s="17">
        <f>IF(OR(C244="",AND(LEFT(C244,6)="SAMPLE",Config!$B$19&lt;&gt;"Y")),"",IF(IFERROR(INDEX(Lists!$J$2:$J$15,MATCH(D244,Lists!$I$2:$I$15,0)),-1)=-1,"status '"&amp;D244&amp;"' is not a CONTRACTS status",IF(AND(D244="signed",COUNTIF(signed_offices!$W$2:$W$51,C244)=0),"status signed but no signed_offices row"&amp;IF(F244="N"," and no tracker row",""),IF(AND(IFERROR(INDEX(Lists!$J$2:$J$15,MATCH(D244,Lists!$I$2:$I$15,0)),-1)&gt;=6,F244="N"),"status "&amp;D244&amp;" but no tracker row",IF(AND(E244="Y",D244&lt;&gt;"do_not_contact"),"do_not_contact = Y but status is "&amp;D244,IF(AND(D244="do_not_contact",E244&lt;&gt;"Y"),"status do_not_contact but do_not_contact is not Y",""))))))</f>
        <v/>
      </c>
      <c r="I244" s="17" t="n">
        <v>223</v>
      </c>
      <c r="J244" s="17">
        <f>IFERROR(INDEX(Clay_Brands!$A$2:$FZ$601,I244,$D$5)&amp;"","")</f>
        <v/>
      </c>
      <c r="K244" s="17">
        <f>IFERROR(INDEX(Clay_Brands!$A$2:$FZ$601,I244,$D$7)&amp;"","")</f>
        <v/>
      </c>
      <c r="L244" s="17">
        <f>IFERROR(INDEX(Clay_Brands!$A$2:$FZ$601,I244,$D$8)&amp;"","")</f>
        <v/>
      </c>
      <c r="M244" s="17">
        <f>IF(J244="","",IF(COUNTIF(Brand_Log!$A$2:$A$201,J244)&gt;0,"Y","N"))</f>
        <v/>
      </c>
      <c r="N244" s="17">
        <f>IF(OR(J244="",AND(LEFT(J244,6)="SAMPLE",Config!$B$19&lt;&gt;"Y")),"",IF(IFERROR(INDEX(Lists!$J$2:$J$15,MATCH(K244,Lists!$I$2:$I$15,0)),-1)=-1,"status '"&amp;K244&amp;"' is not a CONTRACTS status",IF(AND(K244="paid",COUNTIF(paid_brands!$AC$2:$AC$51,J244)=0),"status paid but no paid_brands row"&amp;IF(M244="N"," and no tracker row",""),IF(AND(IFERROR(INDEX(Lists!$J$2:$J$15,MATCH(K244,Lists!$I$2:$I$15,0)),-1)&gt;=6,M244="N"),"status "&amp;K244&amp;" but no tracker row",IF(AND(L244="Y",K244&lt;&gt;"do_not_contact"),"do_not_contact = Y but status is "&amp;K244,IF(AND(K244="do_not_contact",L244&lt;&gt;"Y"),"status do_not_contact but do_not_contact is not Y",""))))))</f>
        <v/>
      </c>
    </row>
    <row r="245">
      <c r="B245" s="17" t="n">
        <v>224</v>
      </c>
      <c r="C245" s="17">
        <f>IFERROR(INDEX(Clay_Offices!$A$2:$FZ$601,B245,$C$5)&amp;"","")</f>
        <v/>
      </c>
      <c r="D245" s="17">
        <f>IFERROR(INDEX(Clay_Offices!$A$2:$FZ$601,B245,$C$7)&amp;"","")</f>
        <v/>
      </c>
      <c r="E245" s="17">
        <f>IFERROR(INDEX(Clay_Offices!$A$2:$FZ$601,B245,$C$8)&amp;"","")</f>
        <v/>
      </c>
      <c r="F245" s="17">
        <f>IF(C245="","",IF(COUNTIF(Office_Log!$A$2:$A$201,C245)&gt;0,"Y","N"))</f>
        <v/>
      </c>
      <c r="G245" s="17">
        <f>IF(OR(C245="",AND(LEFT(C245,6)="SAMPLE",Config!$B$19&lt;&gt;"Y")),"",IF(IFERROR(INDEX(Lists!$J$2:$J$15,MATCH(D245,Lists!$I$2:$I$15,0)),-1)=-1,"status '"&amp;D245&amp;"' is not a CONTRACTS status",IF(AND(D245="signed",COUNTIF(signed_offices!$W$2:$W$51,C245)=0),"status signed but no signed_offices row"&amp;IF(F245="N"," and no tracker row",""),IF(AND(IFERROR(INDEX(Lists!$J$2:$J$15,MATCH(D245,Lists!$I$2:$I$15,0)),-1)&gt;=6,F245="N"),"status "&amp;D245&amp;" but no tracker row",IF(AND(E245="Y",D245&lt;&gt;"do_not_contact"),"do_not_contact = Y but status is "&amp;D245,IF(AND(D245="do_not_contact",E245&lt;&gt;"Y"),"status do_not_contact but do_not_contact is not Y",""))))))</f>
        <v/>
      </c>
      <c r="I245" s="17" t="n">
        <v>224</v>
      </c>
      <c r="J245" s="17">
        <f>IFERROR(INDEX(Clay_Brands!$A$2:$FZ$601,I245,$D$5)&amp;"","")</f>
        <v/>
      </c>
      <c r="K245" s="17">
        <f>IFERROR(INDEX(Clay_Brands!$A$2:$FZ$601,I245,$D$7)&amp;"","")</f>
        <v/>
      </c>
      <c r="L245" s="17">
        <f>IFERROR(INDEX(Clay_Brands!$A$2:$FZ$601,I245,$D$8)&amp;"","")</f>
        <v/>
      </c>
      <c r="M245" s="17">
        <f>IF(J245="","",IF(COUNTIF(Brand_Log!$A$2:$A$201,J245)&gt;0,"Y","N"))</f>
        <v/>
      </c>
      <c r="N245" s="17">
        <f>IF(OR(J245="",AND(LEFT(J245,6)="SAMPLE",Config!$B$19&lt;&gt;"Y")),"",IF(IFERROR(INDEX(Lists!$J$2:$J$15,MATCH(K245,Lists!$I$2:$I$15,0)),-1)=-1,"status '"&amp;K245&amp;"' is not a CONTRACTS status",IF(AND(K245="paid",COUNTIF(paid_brands!$AC$2:$AC$51,J245)=0),"status paid but no paid_brands row"&amp;IF(M245="N"," and no tracker row",""),IF(AND(IFERROR(INDEX(Lists!$J$2:$J$15,MATCH(K245,Lists!$I$2:$I$15,0)),-1)&gt;=6,M245="N"),"status "&amp;K245&amp;" but no tracker row",IF(AND(L245="Y",K245&lt;&gt;"do_not_contact"),"do_not_contact = Y but status is "&amp;K245,IF(AND(K245="do_not_contact",L245&lt;&gt;"Y"),"status do_not_contact but do_not_contact is not Y",""))))))</f>
        <v/>
      </c>
    </row>
    <row r="246">
      <c r="B246" s="17" t="n">
        <v>225</v>
      </c>
      <c r="C246" s="17">
        <f>IFERROR(INDEX(Clay_Offices!$A$2:$FZ$601,B246,$C$5)&amp;"","")</f>
        <v/>
      </c>
      <c r="D246" s="17">
        <f>IFERROR(INDEX(Clay_Offices!$A$2:$FZ$601,B246,$C$7)&amp;"","")</f>
        <v/>
      </c>
      <c r="E246" s="17">
        <f>IFERROR(INDEX(Clay_Offices!$A$2:$FZ$601,B246,$C$8)&amp;"","")</f>
        <v/>
      </c>
      <c r="F246" s="17">
        <f>IF(C246="","",IF(COUNTIF(Office_Log!$A$2:$A$201,C246)&gt;0,"Y","N"))</f>
        <v/>
      </c>
      <c r="G246" s="17">
        <f>IF(OR(C246="",AND(LEFT(C246,6)="SAMPLE",Config!$B$19&lt;&gt;"Y")),"",IF(IFERROR(INDEX(Lists!$J$2:$J$15,MATCH(D246,Lists!$I$2:$I$15,0)),-1)=-1,"status '"&amp;D246&amp;"' is not a CONTRACTS status",IF(AND(D246="signed",COUNTIF(signed_offices!$W$2:$W$51,C246)=0),"status signed but no signed_offices row"&amp;IF(F246="N"," and no tracker row",""),IF(AND(IFERROR(INDEX(Lists!$J$2:$J$15,MATCH(D246,Lists!$I$2:$I$15,0)),-1)&gt;=6,F246="N"),"status "&amp;D246&amp;" but no tracker row",IF(AND(E246="Y",D246&lt;&gt;"do_not_contact"),"do_not_contact = Y but status is "&amp;D246,IF(AND(D246="do_not_contact",E246&lt;&gt;"Y"),"status do_not_contact but do_not_contact is not Y",""))))))</f>
        <v/>
      </c>
      <c r="I246" s="17" t="n">
        <v>225</v>
      </c>
      <c r="J246" s="17">
        <f>IFERROR(INDEX(Clay_Brands!$A$2:$FZ$601,I246,$D$5)&amp;"","")</f>
        <v/>
      </c>
      <c r="K246" s="17">
        <f>IFERROR(INDEX(Clay_Brands!$A$2:$FZ$601,I246,$D$7)&amp;"","")</f>
        <v/>
      </c>
      <c r="L246" s="17">
        <f>IFERROR(INDEX(Clay_Brands!$A$2:$FZ$601,I246,$D$8)&amp;"","")</f>
        <v/>
      </c>
      <c r="M246" s="17">
        <f>IF(J246="","",IF(COUNTIF(Brand_Log!$A$2:$A$201,J246)&gt;0,"Y","N"))</f>
        <v/>
      </c>
      <c r="N246" s="17">
        <f>IF(OR(J246="",AND(LEFT(J246,6)="SAMPLE",Config!$B$19&lt;&gt;"Y")),"",IF(IFERROR(INDEX(Lists!$J$2:$J$15,MATCH(K246,Lists!$I$2:$I$15,0)),-1)=-1,"status '"&amp;K246&amp;"' is not a CONTRACTS status",IF(AND(K246="paid",COUNTIF(paid_brands!$AC$2:$AC$51,J246)=0),"status paid but no paid_brands row"&amp;IF(M246="N"," and no tracker row",""),IF(AND(IFERROR(INDEX(Lists!$J$2:$J$15,MATCH(K246,Lists!$I$2:$I$15,0)),-1)&gt;=6,M246="N"),"status "&amp;K246&amp;" but no tracker row",IF(AND(L246="Y",K246&lt;&gt;"do_not_contact"),"do_not_contact = Y but status is "&amp;K246,IF(AND(K246="do_not_contact",L246&lt;&gt;"Y"),"status do_not_contact but do_not_contact is not Y",""))))))</f>
        <v/>
      </c>
    </row>
    <row r="247">
      <c r="B247" s="17" t="n">
        <v>226</v>
      </c>
      <c r="C247" s="17">
        <f>IFERROR(INDEX(Clay_Offices!$A$2:$FZ$601,B247,$C$5)&amp;"","")</f>
        <v/>
      </c>
      <c r="D247" s="17">
        <f>IFERROR(INDEX(Clay_Offices!$A$2:$FZ$601,B247,$C$7)&amp;"","")</f>
        <v/>
      </c>
      <c r="E247" s="17">
        <f>IFERROR(INDEX(Clay_Offices!$A$2:$FZ$601,B247,$C$8)&amp;"","")</f>
        <v/>
      </c>
      <c r="F247" s="17">
        <f>IF(C247="","",IF(COUNTIF(Office_Log!$A$2:$A$201,C247)&gt;0,"Y","N"))</f>
        <v/>
      </c>
      <c r="G247" s="17">
        <f>IF(OR(C247="",AND(LEFT(C247,6)="SAMPLE",Config!$B$19&lt;&gt;"Y")),"",IF(IFERROR(INDEX(Lists!$J$2:$J$15,MATCH(D247,Lists!$I$2:$I$15,0)),-1)=-1,"status '"&amp;D247&amp;"' is not a CONTRACTS status",IF(AND(D247="signed",COUNTIF(signed_offices!$W$2:$W$51,C247)=0),"status signed but no signed_offices row"&amp;IF(F247="N"," and no tracker row",""),IF(AND(IFERROR(INDEX(Lists!$J$2:$J$15,MATCH(D247,Lists!$I$2:$I$15,0)),-1)&gt;=6,F247="N"),"status "&amp;D247&amp;" but no tracker row",IF(AND(E247="Y",D247&lt;&gt;"do_not_contact"),"do_not_contact = Y but status is "&amp;D247,IF(AND(D247="do_not_contact",E247&lt;&gt;"Y"),"status do_not_contact but do_not_contact is not Y",""))))))</f>
        <v/>
      </c>
      <c r="I247" s="17" t="n">
        <v>226</v>
      </c>
      <c r="J247" s="17">
        <f>IFERROR(INDEX(Clay_Brands!$A$2:$FZ$601,I247,$D$5)&amp;"","")</f>
        <v/>
      </c>
      <c r="K247" s="17">
        <f>IFERROR(INDEX(Clay_Brands!$A$2:$FZ$601,I247,$D$7)&amp;"","")</f>
        <v/>
      </c>
      <c r="L247" s="17">
        <f>IFERROR(INDEX(Clay_Brands!$A$2:$FZ$601,I247,$D$8)&amp;"","")</f>
        <v/>
      </c>
      <c r="M247" s="17">
        <f>IF(J247="","",IF(COUNTIF(Brand_Log!$A$2:$A$201,J247)&gt;0,"Y","N"))</f>
        <v/>
      </c>
      <c r="N247" s="17">
        <f>IF(OR(J247="",AND(LEFT(J247,6)="SAMPLE",Config!$B$19&lt;&gt;"Y")),"",IF(IFERROR(INDEX(Lists!$J$2:$J$15,MATCH(K247,Lists!$I$2:$I$15,0)),-1)=-1,"status '"&amp;K247&amp;"' is not a CONTRACTS status",IF(AND(K247="paid",COUNTIF(paid_brands!$AC$2:$AC$51,J247)=0),"status paid but no paid_brands row"&amp;IF(M247="N"," and no tracker row",""),IF(AND(IFERROR(INDEX(Lists!$J$2:$J$15,MATCH(K247,Lists!$I$2:$I$15,0)),-1)&gt;=6,M247="N"),"status "&amp;K247&amp;" but no tracker row",IF(AND(L247="Y",K247&lt;&gt;"do_not_contact"),"do_not_contact = Y but status is "&amp;K247,IF(AND(K247="do_not_contact",L247&lt;&gt;"Y"),"status do_not_contact but do_not_contact is not Y",""))))))</f>
        <v/>
      </c>
    </row>
    <row r="248">
      <c r="B248" s="17" t="n">
        <v>227</v>
      </c>
      <c r="C248" s="17">
        <f>IFERROR(INDEX(Clay_Offices!$A$2:$FZ$601,B248,$C$5)&amp;"","")</f>
        <v/>
      </c>
      <c r="D248" s="17">
        <f>IFERROR(INDEX(Clay_Offices!$A$2:$FZ$601,B248,$C$7)&amp;"","")</f>
        <v/>
      </c>
      <c r="E248" s="17">
        <f>IFERROR(INDEX(Clay_Offices!$A$2:$FZ$601,B248,$C$8)&amp;"","")</f>
        <v/>
      </c>
      <c r="F248" s="17">
        <f>IF(C248="","",IF(COUNTIF(Office_Log!$A$2:$A$201,C248)&gt;0,"Y","N"))</f>
        <v/>
      </c>
      <c r="G248" s="17">
        <f>IF(OR(C248="",AND(LEFT(C248,6)="SAMPLE",Config!$B$19&lt;&gt;"Y")),"",IF(IFERROR(INDEX(Lists!$J$2:$J$15,MATCH(D248,Lists!$I$2:$I$15,0)),-1)=-1,"status '"&amp;D248&amp;"' is not a CONTRACTS status",IF(AND(D248="signed",COUNTIF(signed_offices!$W$2:$W$51,C248)=0),"status signed but no signed_offices row"&amp;IF(F248="N"," and no tracker row",""),IF(AND(IFERROR(INDEX(Lists!$J$2:$J$15,MATCH(D248,Lists!$I$2:$I$15,0)),-1)&gt;=6,F248="N"),"status "&amp;D248&amp;" but no tracker row",IF(AND(E248="Y",D248&lt;&gt;"do_not_contact"),"do_not_contact = Y but status is "&amp;D248,IF(AND(D248="do_not_contact",E248&lt;&gt;"Y"),"status do_not_contact but do_not_contact is not Y",""))))))</f>
        <v/>
      </c>
      <c r="I248" s="17" t="n">
        <v>227</v>
      </c>
      <c r="J248" s="17">
        <f>IFERROR(INDEX(Clay_Brands!$A$2:$FZ$601,I248,$D$5)&amp;"","")</f>
        <v/>
      </c>
      <c r="K248" s="17">
        <f>IFERROR(INDEX(Clay_Brands!$A$2:$FZ$601,I248,$D$7)&amp;"","")</f>
        <v/>
      </c>
      <c r="L248" s="17">
        <f>IFERROR(INDEX(Clay_Brands!$A$2:$FZ$601,I248,$D$8)&amp;"","")</f>
        <v/>
      </c>
      <c r="M248" s="17">
        <f>IF(J248="","",IF(COUNTIF(Brand_Log!$A$2:$A$201,J248)&gt;0,"Y","N"))</f>
        <v/>
      </c>
      <c r="N248" s="17">
        <f>IF(OR(J248="",AND(LEFT(J248,6)="SAMPLE",Config!$B$19&lt;&gt;"Y")),"",IF(IFERROR(INDEX(Lists!$J$2:$J$15,MATCH(K248,Lists!$I$2:$I$15,0)),-1)=-1,"status '"&amp;K248&amp;"' is not a CONTRACTS status",IF(AND(K248="paid",COUNTIF(paid_brands!$AC$2:$AC$51,J248)=0),"status paid but no paid_brands row"&amp;IF(M248="N"," and no tracker row",""),IF(AND(IFERROR(INDEX(Lists!$J$2:$J$15,MATCH(K248,Lists!$I$2:$I$15,0)),-1)&gt;=6,M248="N"),"status "&amp;K248&amp;" but no tracker row",IF(AND(L248="Y",K248&lt;&gt;"do_not_contact"),"do_not_contact = Y but status is "&amp;K248,IF(AND(K248="do_not_contact",L248&lt;&gt;"Y"),"status do_not_contact but do_not_contact is not Y",""))))))</f>
        <v/>
      </c>
    </row>
    <row r="249">
      <c r="B249" s="17" t="n">
        <v>228</v>
      </c>
      <c r="C249" s="17">
        <f>IFERROR(INDEX(Clay_Offices!$A$2:$FZ$601,B249,$C$5)&amp;"","")</f>
        <v/>
      </c>
      <c r="D249" s="17">
        <f>IFERROR(INDEX(Clay_Offices!$A$2:$FZ$601,B249,$C$7)&amp;"","")</f>
        <v/>
      </c>
      <c r="E249" s="17">
        <f>IFERROR(INDEX(Clay_Offices!$A$2:$FZ$601,B249,$C$8)&amp;"","")</f>
        <v/>
      </c>
      <c r="F249" s="17">
        <f>IF(C249="","",IF(COUNTIF(Office_Log!$A$2:$A$201,C249)&gt;0,"Y","N"))</f>
        <v/>
      </c>
      <c r="G249" s="17">
        <f>IF(OR(C249="",AND(LEFT(C249,6)="SAMPLE",Config!$B$19&lt;&gt;"Y")),"",IF(IFERROR(INDEX(Lists!$J$2:$J$15,MATCH(D249,Lists!$I$2:$I$15,0)),-1)=-1,"status '"&amp;D249&amp;"' is not a CONTRACTS status",IF(AND(D249="signed",COUNTIF(signed_offices!$W$2:$W$51,C249)=0),"status signed but no signed_offices row"&amp;IF(F249="N"," and no tracker row",""),IF(AND(IFERROR(INDEX(Lists!$J$2:$J$15,MATCH(D249,Lists!$I$2:$I$15,0)),-1)&gt;=6,F249="N"),"status "&amp;D249&amp;" but no tracker row",IF(AND(E249="Y",D249&lt;&gt;"do_not_contact"),"do_not_contact = Y but status is "&amp;D249,IF(AND(D249="do_not_contact",E249&lt;&gt;"Y"),"status do_not_contact but do_not_contact is not Y",""))))))</f>
        <v/>
      </c>
      <c r="I249" s="17" t="n">
        <v>228</v>
      </c>
      <c r="J249" s="17">
        <f>IFERROR(INDEX(Clay_Brands!$A$2:$FZ$601,I249,$D$5)&amp;"","")</f>
        <v/>
      </c>
      <c r="K249" s="17">
        <f>IFERROR(INDEX(Clay_Brands!$A$2:$FZ$601,I249,$D$7)&amp;"","")</f>
        <v/>
      </c>
      <c r="L249" s="17">
        <f>IFERROR(INDEX(Clay_Brands!$A$2:$FZ$601,I249,$D$8)&amp;"","")</f>
        <v/>
      </c>
      <c r="M249" s="17">
        <f>IF(J249="","",IF(COUNTIF(Brand_Log!$A$2:$A$201,J249)&gt;0,"Y","N"))</f>
        <v/>
      </c>
      <c r="N249" s="17">
        <f>IF(OR(J249="",AND(LEFT(J249,6)="SAMPLE",Config!$B$19&lt;&gt;"Y")),"",IF(IFERROR(INDEX(Lists!$J$2:$J$15,MATCH(K249,Lists!$I$2:$I$15,0)),-1)=-1,"status '"&amp;K249&amp;"' is not a CONTRACTS status",IF(AND(K249="paid",COUNTIF(paid_brands!$AC$2:$AC$51,J249)=0),"status paid but no paid_brands row"&amp;IF(M249="N"," and no tracker row",""),IF(AND(IFERROR(INDEX(Lists!$J$2:$J$15,MATCH(K249,Lists!$I$2:$I$15,0)),-1)&gt;=6,M249="N"),"status "&amp;K249&amp;" but no tracker row",IF(AND(L249="Y",K249&lt;&gt;"do_not_contact"),"do_not_contact = Y but status is "&amp;K249,IF(AND(K249="do_not_contact",L249&lt;&gt;"Y"),"status do_not_contact but do_not_contact is not Y",""))))))</f>
        <v/>
      </c>
    </row>
    <row r="250">
      <c r="B250" s="17" t="n">
        <v>229</v>
      </c>
      <c r="C250" s="17">
        <f>IFERROR(INDEX(Clay_Offices!$A$2:$FZ$601,B250,$C$5)&amp;"","")</f>
        <v/>
      </c>
      <c r="D250" s="17">
        <f>IFERROR(INDEX(Clay_Offices!$A$2:$FZ$601,B250,$C$7)&amp;"","")</f>
        <v/>
      </c>
      <c r="E250" s="17">
        <f>IFERROR(INDEX(Clay_Offices!$A$2:$FZ$601,B250,$C$8)&amp;"","")</f>
        <v/>
      </c>
      <c r="F250" s="17">
        <f>IF(C250="","",IF(COUNTIF(Office_Log!$A$2:$A$201,C250)&gt;0,"Y","N"))</f>
        <v/>
      </c>
      <c r="G250" s="17">
        <f>IF(OR(C250="",AND(LEFT(C250,6)="SAMPLE",Config!$B$19&lt;&gt;"Y")),"",IF(IFERROR(INDEX(Lists!$J$2:$J$15,MATCH(D250,Lists!$I$2:$I$15,0)),-1)=-1,"status '"&amp;D250&amp;"' is not a CONTRACTS status",IF(AND(D250="signed",COUNTIF(signed_offices!$W$2:$W$51,C250)=0),"status signed but no signed_offices row"&amp;IF(F250="N"," and no tracker row",""),IF(AND(IFERROR(INDEX(Lists!$J$2:$J$15,MATCH(D250,Lists!$I$2:$I$15,0)),-1)&gt;=6,F250="N"),"status "&amp;D250&amp;" but no tracker row",IF(AND(E250="Y",D250&lt;&gt;"do_not_contact"),"do_not_contact = Y but status is "&amp;D250,IF(AND(D250="do_not_contact",E250&lt;&gt;"Y"),"status do_not_contact but do_not_contact is not Y",""))))))</f>
        <v/>
      </c>
      <c r="I250" s="17" t="n">
        <v>229</v>
      </c>
      <c r="J250" s="17">
        <f>IFERROR(INDEX(Clay_Brands!$A$2:$FZ$601,I250,$D$5)&amp;"","")</f>
        <v/>
      </c>
      <c r="K250" s="17">
        <f>IFERROR(INDEX(Clay_Brands!$A$2:$FZ$601,I250,$D$7)&amp;"","")</f>
        <v/>
      </c>
      <c r="L250" s="17">
        <f>IFERROR(INDEX(Clay_Brands!$A$2:$FZ$601,I250,$D$8)&amp;"","")</f>
        <v/>
      </c>
      <c r="M250" s="17">
        <f>IF(J250="","",IF(COUNTIF(Brand_Log!$A$2:$A$201,J250)&gt;0,"Y","N"))</f>
        <v/>
      </c>
      <c r="N250" s="17">
        <f>IF(OR(J250="",AND(LEFT(J250,6)="SAMPLE",Config!$B$19&lt;&gt;"Y")),"",IF(IFERROR(INDEX(Lists!$J$2:$J$15,MATCH(K250,Lists!$I$2:$I$15,0)),-1)=-1,"status '"&amp;K250&amp;"' is not a CONTRACTS status",IF(AND(K250="paid",COUNTIF(paid_brands!$AC$2:$AC$51,J250)=0),"status paid but no paid_brands row"&amp;IF(M250="N"," and no tracker row",""),IF(AND(IFERROR(INDEX(Lists!$J$2:$J$15,MATCH(K250,Lists!$I$2:$I$15,0)),-1)&gt;=6,M250="N"),"status "&amp;K250&amp;" but no tracker row",IF(AND(L250="Y",K250&lt;&gt;"do_not_contact"),"do_not_contact = Y but status is "&amp;K250,IF(AND(K250="do_not_contact",L250&lt;&gt;"Y"),"status do_not_contact but do_not_contact is not Y",""))))))</f>
        <v/>
      </c>
    </row>
    <row r="251">
      <c r="B251" s="17" t="n">
        <v>230</v>
      </c>
      <c r="C251" s="17">
        <f>IFERROR(INDEX(Clay_Offices!$A$2:$FZ$601,B251,$C$5)&amp;"","")</f>
        <v/>
      </c>
      <c r="D251" s="17">
        <f>IFERROR(INDEX(Clay_Offices!$A$2:$FZ$601,B251,$C$7)&amp;"","")</f>
        <v/>
      </c>
      <c r="E251" s="17">
        <f>IFERROR(INDEX(Clay_Offices!$A$2:$FZ$601,B251,$C$8)&amp;"","")</f>
        <v/>
      </c>
      <c r="F251" s="17">
        <f>IF(C251="","",IF(COUNTIF(Office_Log!$A$2:$A$201,C251)&gt;0,"Y","N"))</f>
        <v/>
      </c>
      <c r="G251" s="17">
        <f>IF(OR(C251="",AND(LEFT(C251,6)="SAMPLE",Config!$B$19&lt;&gt;"Y")),"",IF(IFERROR(INDEX(Lists!$J$2:$J$15,MATCH(D251,Lists!$I$2:$I$15,0)),-1)=-1,"status '"&amp;D251&amp;"' is not a CONTRACTS status",IF(AND(D251="signed",COUNTIF(signed_offices!$W$2:$W$51,C251)=0),"status signed but no signed_offices row"&amp;IF(F251="N"," and no tracker row",""),IF(AND(IFERROR(INDEX(Lists!$J$2:$J$15,MATCH(D251,Lists!$I$2:$I$15,0)),-1)&gt;=6,F251="N"),"status "&amp;D251&amp;" but no tracker row",IF(AND(E251="Y",D251&lt;&gt;"do_not_contact"),"do_not_contact = Y but status is "&amp;D251,IF(AND(D251="do_not_contact",E251&lt;&gt;"Y"),"status do_not_contact but do_not_contact is not Y",""))))))</f>
        <v/>
      </c>
      <c r="I251" s="17" t="n">
        <v>230</v>
      </c>
      <c r="J251" s="17">
        <f>IFERROR(INDEX(Clay_Brands!$A$2:$FZ$601,I251,$D$5)&amp;"","")</f>
        <v/>
      </c>
      <c r="K251" s="17">
        <f>IFERROR(INDEX(Clay_Brands!$A$2:$FZ$601,I251,$D$7)&amp;"","")</f>
        <v/>
      </c>
      <c r="L251" s="17">
        <f>IFERROR(INDEX(Clay_Brands!$A$2:$FZ$601,I251,$D$8)&amp;"","")</f>
        <v/>
      </c>
      <c r="M251" s="17">
        <f>IF(J251="","",IF(COUNTIF(Brand_Log!$A$2:$A$201,J251)&gt;0,"Y","N"))</f>
        <v/>
      </c>
      <c r="N251" s="17">
        <f>IF(OR(J251="",AND(LEFT(J251,6)="SAMPLE",Config!$B$19&lt;&gt;"Y")),"",IF(IFERROR(INDEX(Lists!$J$2:$J$15,MATCH(K251,Lists!$I$2:$I$15,0)),-1)=-1,"status '"&amp;K251&amp;"' is not a CONTRACTS status",IF(AND(K251="paid",COUNTIF(paid_brands!$AC$2:$AC$51,J251)=0),"status paid but no paid_brands row"&amp;IF(M251="N"," and no tracker row",""),IF(AND(IFERROR(INDEX(Lists!$J$2:$J$15,MATCH(K251,Lists!$I$2:$I$15,0)),-1)&gt;=6,M251="N"),"status "&amp;K251&amp;" but no tracker row",IF(AND(L251="Y",K251&lt;&gt;"do_not_contact"),"do_not_contact = Y but status is "&amp;K251,IF(AND(K251="do_not_contact",L251&lt;&gt;"Y"),"status do_not_contact but do_not_contact is not Y",""))))))</f>
        <v/>
      </c>
    </row>
    <row r="252">
      <c r="B252" s="17" t="n">
        <v>231</v>
      </c>
      <c r="C252" s="17">
        <f>IFERROR(INDEX(Clay_Offices!$A$2:$FZ$601,B252,$C$5)&amp;"","")</f>
        <v/>
      </c>
      <c r="D252" s="17">
        <f>IFERROR(INDEX(Clay_Offices!$A$2:$FZ$601,B252,$C$7)&amp;"","")</f>
        <v/>
      </c>
      <c r="E252" s="17">
        <f>IFERROR(INDEX(Clay_Offices!$A$2:$FZ$601,B252,$C$8)&amp;"","")</f>
        <v/>
      </c>
      <c r="F252" s="17">
        <f>IF(C252="","",IF(COUNTIF(Office_Log!$A$2:$A$201,C252)&gt;0,"Y","N"))</f>
        <v/>
      </c>
      <c r="G252" s="17">
        <f>IF(OR(C252="",AND(LEFT(C252,6)="SAMPLE",Config!$B$19&lt;&gt;"Y")),"",IF(IFERROR(INDEX(Lists!$J$2:$J$15,MATCH(D252,Lists!$I$2:$I$15,0)),-1)=-1,"status '"&amp;D252&amp;"' is not a CONTRACTS status",IF(AND(D252="signed",COUNTIF(signed_offices!$W$2:$W$51,C252)=0),"status signed but no signed_offices row"&amp;IF(F252="N"," and no tracker row",""),IF(AND(IFERROR(INDEX(Lists!$J$2:$J$15,MATCH(D252,Lists!$I$2:$I$15,0)),-1)&gt;=6,F252="N"),"status "&amp;D252&amp;" but no tracker row",IF(AND(E252="Y",D252&lt;&gt;"do_not_contact"),"do_not_contact = Y but status is "&amp;D252,IF(AND(D252="do_not_contact",E252&lt;&gt;"Y"),"status do_not_contact but do_not_contact is not Y",""))))))</f>
        <v/>
      </c>
      <c r="I252" s="17" t="n">
        <v>231</v>
      </c>
      <c r="J252" s="17">
        <f>IFERROR(INDEX(Clay_Brands!$A$2:$FZ$601,I252,$D$5)&amp;"","")</f>
        <v/>
      </c>
      <c r="K252" s="17">
        <f>IFERROR(INDEX(Clay_Brands!$A$2:$FZ$601,I252,$D$7)&amp;"","")</f>
        <v/>
      </c>
      <c r="L252" s="17">
        <f>IFERROR(INDEX(Clay_Brands!$A$2:$FZ$601,I252,$D$8)&amp;"","")</f>
        <v/>
      </c>
      <c r="M252" s="17">
        <f>IF(J252="","",IF(COUNTIF(Brand_Log!$A$2:$A$201,J252)&gt;0,"Y","N"))</f>
        <v/>
      </c>
      <c r="N252" s="17">
        <f>IF(OR(J252="",AND(LEFT(J252,6)="SAMPLE",Config!$B$19&lt;&gt;"Y")),"",IF(IFERROR(INDEX(Lists!$J$2:$J$15,MATCH(K252,Lists!$I$2:$I$15,0)),-1)=-1,"status '"&amp;K252&amp;"' is not a CONTRACTS status",IF(AND(K252="paid",COUNTIF(paid_brands!$AC$2:$AC$51,J252)=0),"status paid but no paid_brands row"&amp;IF(M252="N"," and no tracker row",""),IF(AND(IFERROR(INDEX(Lists!$J$2:$J$15,MATCH(K252,Lists!$I$2:$I$15,0)),-1)&gt;=6,M252="N"),"status "&amp;K252&amp;" but no tracker row",IF(AND(L252="Y",K252&lt;&gt;"do_not_contact"),"do_not_contact = Y but status is "&amp;K252,IF(AND(K252="do_not_contact",L252&lt;&gt;"Y"),"status do_not_contact but do_not_contact is not Y",""))))))</f>
        <v/>
      </c>
    </row>
    <row r="253">
      <c r="B253" s="17" t="n">
        <v>232</v>
      </c>
      <c r="C253" s="17">
        <f>IFERROR(INDEX(Clay_Offices!$A$2:$FZ$601,B253,$C$5)&amp;"","")</f>
        <v/>
      </c>
      <c r="D253" s="17">
        <f>IFERROR(INDEX(Clay_Offices!$A$2:$FZ$601,B253,$C$7)&amp;"","")</f>
        <v/>
      </c>
      <c r="E253" s="17">
        <f>IFERROR(INDEX(Clay_Offices!$A$2:$FZ$601,B253,$C$8)&amp;"","")</f>
        <v/>
      </c>
      <c r="F253" s="17">
        <f>IF(C253="","",IF(COUNTIF(Office_Log!$A$2:$A$201,C253)&gt;0,"Y","N"))</f>
        <v/>
      </c>
      <c r="G253" s="17">
        <f>IF(OR(C253="",AND(LEFT(C253,6)="SAMPLE",Config!$B$19&lt;&gt;"Y")),"",IF(IFERROR(INDEX(Lists!$J$2:$J$15,MATCH(D253,Lists!$I$2:$I$15,0)),-1)=-1,"status '"&amp;D253&amp;"' is not a CONTRACTS status",IF(AND(D253="signed",COUNTIF(signed_offices!$W$2:$W$51,C253)=0),"status signed but no signed_offices row"&amp;IF(F253="N"," and no tracker row",""),IF(AND(IFERROR(INDEX(Lists!$J$2:$J$15,MATCH(D253,Lists!$I$2:$I$15,0)),-1)&gt;=6,F253="N"),"status "&amp;D253&amp;" but no tracker row",IF(AND(E253="Y",D253&lt;&gt;"do_not_contact"),"do_not_contact = Y but status is "&amp;D253,IF(AND(D253="do_not_contact",E253&lt;&gt;"Y"),"status do_not_contact but do_not_contact is not Y",""))))))</f>
        <v/>
      </c>
      <c r="I253" s="17" t="n">
        <v>232</v>
      </c>
      <c r="J253" s="17">
        <f>IFERROR(INDEX(Clay_Brands!$A$2:$FZ$601,I253,$D$5)&amp;"","")</f>
        <v/>
      </c>
      <c r="K253" s="17">
        <f>IFERROR(INDEX(Clay_Brands!$A$2:$FZ$601,I253,$D$7)&amp;"","")</f>
        <v/>
      </c>
      <c r="L253" s="17">
        <f>IFERROR(INDEX(Clay_Brands!$A$2:$FZ$601,I253,$D$8)&amp;"","")</f>
        <v/>
      </c>
      <c r="M253" s="17">
        <f>IF(J253="","",IF(COUNTIF(Brand_Log!$A$2:$A$201,J253)&gt;0,"Y","N"))</f>
        <v/>
      </c>
      <c r="N253" s="17">
        <f>IF(OR(J253="",AND(LEFT(J253,6)="SAMPLE",Config!$B$19&lt;&gt;"Y")),"",IF(IFERROR(INDEX(Lists!$J$2:$J$15,MATCH(K253,Lists!$I$2:$I$15,0)),-1)=-1,"status '"&amp;K253&amp;"' is not a CONTRACTS status",IF(AND(K253="paid",COUNTIF(paid_brands!$AC$2:$AC$51,J253)=0),"status paid but no paid_brands row"&amp;IF(M253="N"," and no tracker row",""),IF(AND(IFERROR(INDEX(Lists!$J$2:$J$15,MATCH(K253,Lists!$I$2:$I$15,0)),-1)&gt;=6,M253="N"),"status "&amp;K253&amp;" but no tracker row",IF(AND(L253="Y",K253&lt;&gt;"do_not_contact"),"do_not_contact = Y but status is "&amp;K253,IF(AND(K253="do_not_contact",L253&lt;&gt;"Y"),"status do_not_contact but do_not_contact is not Y",""))))))</f>
        <v/>
      </c>
    </row>
    <row r="254">
      <c r="B254" s="17" t="n">
        <v>233</v>
      </c>
      <c r="C254" s="17">
        <f>IFERROR(INDEX(Clay_Offices!$A$2:$FZ$601,B254,$C$5)&amp;"","")</f>
        <v/>
      </c>
      <c r="D254" s="17">
        <f>IFERROR(INDEX(Clay_Offices!$A$2:$FZ$601,B254,$C$7)&amp;"","")</f>
        <v/>
      </c>
      <c r="E254" s="17">
        <f>IFERROR(INDEX(Clay_Offices!$A$2:$FZ$601,B254,$C$8)&amp;"","")</f>
        <v/>
      </c>
      <c r="F254" s="17">
        <f>IF(C254="","",IF(COUNTIF(Office_Log!$A$2:$A$201,C254)&gt;0,"Y","N"))</f>
        <v/>
      </c>
      <c r="G254" s="17">
        <f>IF(OR(C254="",AND(LEFT(C254,6)="SAMPLE",Config!$B$19&lt;&gt;"Y")),"",IF(IFERROR(INDEX(Lists!$J$2:$J$15,MATCH(D254,Lists!$I$2:$I$15,0)),-1)=-1,"status '"&amp;D254&amp;"' is not a CONTRACTS status",IF(AND(D254="signed",COUNTIF(signed_offices!$W$2:$W$51,C254)=0),"status signed but no signed_offices row"&amp;IF(F254="N"," and no tracker row",""),IF(AND(IFERROR(INDEX(Lists!$J$2:$J$15,MATCH(D254,Lists!$I$2:$I$15,0)),-1)&gt;=6,F254="N"),"status "&amp;D254&amp;" but no tracker row",IF(AND(E254="Y",D254&lt;&gt;"do_not_contact"),"do_not_contact = Y but status is "&amp;D254,IF(AND(D254="do_not_contact",E254&lt;&gt;"Y"),"status do_not_contact but do_not_contact is not Y",""))))))</f>
        <v/>
      </c>
      <c r="I254" s="17" t="n">
        <v>233</v>
      </c>
      <c r="J254" s="17">
        <f>IFERROR(INDEX(Clay_Brands!$A$2:$FZ$601,I254,$D$5)&amp;"","")</f>
        <v/>
      </c>
      <c r="K254" s="17">
        <f>IFERROR(INDEX(Clay_Brands!$A$2:$FZ$601,I254,$D$7)&amp;"","")</f>
        <v/>
      </c>
      <c r="L254" s="17">
        <f>IFERROR(INDEX(Clay_Brands!$A$2:$FZ$601,I254,$D$8)&amp;"","")</f>
        <v/>
      </c>
      <c r="M254" s="17">
        <f>IF(J254="","",IF(COUNTIF(Brand_Log!$A$2:$A$201,J254)&gt;0,"Y","N"))</f>
        <v/>
      </c>
      <c r="N254" s="17">
        <f>IF(OR(J254="",AND(LEFT(J254,6)="SAMPLE",Config!$B$19&lt;&gt;"Y")),"",IF(IFERROR(INDEX(Lists!$J$2:$J$15,MATCH(K254,Lists!$I$2:$I$15,0)),-1)=-1,"status '"&amp;K254&amp;"' is not a CONTRACTS status",IF(AND(K254="paid",COUNTIF(paid_brands!$AC$2:$AC$51,J254)=0),"status paid but no paid_brands row"&amp;IF(M254="N"," and no tracker row",""),IF(AND(IFERROR(INDEX(Lists!$J$2:$J$15,MATCH(K254,Lists!$I$2:$I$15,0)),-1)&gt;=6,M254="N"),"status "&amp;K254&amp;" but no tracker row",IF(AND(L254="Y",K254&lt;&gt;"do_not_contact"),"do_not_contact = Y but status is "&amp;K254,IF(AND(K254="do_not_contact",L254&lt;&gt;"Y"),"status do_not_contact but do_not_contact is not Y",""))))))</f>
        <v/>
      </c>
    </row>
    <row r="255">
      <c r="B255" s="17" t="n">
        <v>234</v>
      </c>
      <c r="C255" s="17">
        <f>IFERROR(INDEX(Clay_Offices!$A$2:$FZ$601,B255,$C$5)&amp;"","")</f>
        <v/>
      </c>
      <c r="D255" s="17">
        <f>IFERROR(INDEX(Clay_Offices!$A$2:$FZ$601,B255,$C$7)&amp;"","")</f>
        <v/>
      </c>
      <c r="E255" s="17">
        <f>IFERROR(INDEX(Clay_Offices!$A$2:$FZ$601,B255,$C$8)&amp;"","")</f>
        <v/>
      </c>
      <c r="F255" s="17">
        <f>IF(C255="","",IF(COUNTIF(Office_Log!$A$2:$A$201,C255)&gt;0,"Y","N"))</f>
        <v/>
      </c>
      <c r="G255" s="17">
        <f>IF(OR(C255="",AND(LEFT(C255,6)="SAMPLE",Config!$B$19&lt;&gt;"Y")),"",IF(IFERROR(INDEX(Lists!$J$2:$J$15,MATCH(D255,Lists!$I$2:$I$15,0)),-1)=-1,"status '"&amp;D255&amp;"' is not a CONTRACTS status",IF(AND(D255="signed",COUNTIF(signed_offices!$W$2:$W$51,C255)=0),"status signed but no signed_offices row"&amp;IF(F255="N"," and no tracker row",""),IF(AND(IFERROR(INDEX(Lists!$J$2:$J$15,MATCH(D255,Lists!$I$2:$I$15,0)),-1)&gt;=6,F255="N"),"status "&amp;D255&amp;" but no tracker row",IF(AND(E255="Y",D255&lt;&gt;"do_not_contact"),"do_not_contact = Y but status is "&amp;D255,IF(AND(D255="do_not_contact",E255&lt;&gt;"Y"),"status do_not_contact but do_not_contact is not Y",""))))))</f>
        <v/>
      </c>
      <c r="I255" s="17" t="n">
        <v>234</v>
      </c>
      <c r="J255" s="17">
        <f>IFERROR(INDEX(Clay_Brands!$A$2:$FZ$601,I255,$D$5)&amp;"","")</f>
        <v/>
      </c>
      <c r="K255" s="17">
        <f>IFERROR(INDEX(Clay_Brands!$A$2:$FZ$601,I255,$D$7)&amp;"","")</f>
        <v/>
      </c>
      <c r="L255" s="17">
        <f>IFERROR(INDEX(Clay_Brands!$A$2:$FZ$601,I255,$D$8)&amp;"","")</f>
        <v/>
      </c>
      <c r="M255" s="17">
        <f>IF(J255="","",IF(COUNTIF(Brand_Log!$A$2:$A$201,J255)&gt;0,"Y","N"))</f>
        <v/>
      </c>
      <c r="N255" s="17">
        <f>IF(OR(J255="",AND(LEFT(J255,6)="SAMPLE",Config!$B$19&lt;&gt;"Y")),"",IF(IFERROR(INDEX(Lists!$J$2:$J$15,MATCH(K255,Lists!$I$2:$I$15,0)),-1)=-1,"status '"&amp;K255&amp;"' is not a CONTRACTS status",IF(AND(K255="paid",COUNTIF(paid_brands!$AC$2:$AC$51,J255)=0),"status paid but no paid_brands row"&amp;IF(M255="N"," and no tracker row",""),IF(AND(IFERROR(INDEX(Lists!$J$2:$J$15,MATCH(K255,Lists!$I$2:$I$15,0)),-1)&gt;=6,M255="N"),"status "&amp;K255&amp;" but no tracker row",IF(AND(L255="Y",K255&lt;&gt;"do_not_contact"),"do_not_contact = Y but status is "&amp;K255,IF(AND(K255="do_not_contact",L255&lt;&gt;"Y"),"status do_not_contact but do_not_contact is not Y",""))))))</f>
        <v/>
      </c>
    </row>
    <row r="256">
      <c r="B256" s="17" t="n">
        <v>235</v>
      </c>
      <c r="C256" s="17">
        <f>IFERROR(INDEX(Clay_Offices!$A$2:$FZ$601,B256,$C$5)&amp;"","")</f>
        <v/>
      </c>
      <c r="D256" s="17">
        <f>IFERROR(INDEX(Clay_Offices!$A$2:$FZ$601,B256,$C$7)&amp;"","")</f>
        <v/>
      </c>
      <c r="E256" s="17">
        <f>IFERROR(INDEX(Clay_Offices!$A$2:$FZ$601,B256,$C$8)&amp;"","")</f>
        <v/>
      </c>
      <c r="F256" s="17">
        <f>IF(C256="","",IF(COUNTIF(Office_Log!$A$2:$A$201,C256)&gt;0,"Y","N"))</f>
        <v/>
      </c>
      <c r="G256" s="17">
        <f>IF(OR(C256="",AND(LEFT(C256,6)="SAMPLE",Config!$B$19&lt;&gt;"Y")),"",IF(IFERROR(INDEX(Lists!$J$2:$J$15,MATCH(D256,Lists!$I$2:$I$15,0)),-1)=-1,"status '"&amp;D256&amp;"' is not a CONTRACTS status",IF(AND(D256="signed",COUNTIF(signed_offices!$W$2:$W$51,C256)=0),"status signed but no signed_offices row"&amp;IF(F256="N"," and no tracker row",""),IF(AND(IFERROR(INDEX(Lists!$J$2:$J$15,MATCH(D256,Lists!$I$2:$I$15,0)),-1)&gt;=6,F256="N"),"status "&amp;D256&amp;" but no tracker row",IF(AND(E256="Y",D256&lt;&gt;"do_not_contact"),"do_not_contact = Y but status is "&amp;D256,IF(AND(D256="do_not_contact",E256&lt;&gt;"Y"),"status do_not_contact but do_not_contact is not Y",""))))))</f>
        <v/>
      </c>
      <c r="I256" s="17" t="n">
        <v>235</v>
      </c>
      <c r="J256" s="17">
        <f>IFERROR(INDEX(Clay_Brands!$A$2:$FZ$601,I256,$D$5)&amp;"","")</f>
        <v/>
      </c>
      <c r="K256" s="17">
        <f>IFERROR(INDEX(Clay_Brands!$A$2:$FZ$601,I256,$D$7)&amp;"","")</f>
        <v/>
      </c>
      <c r="L256" s="17">
        <f>IFERROR(INDEX(Clay_Brands!$A$2:$FZ$601,I256,$D$8)&amp;"","")</f>
        <v/>
      </c>
      <c r="M256" s="17">
        <f>IF(J256="","",IF(COUNTIF(Brand_Log!$A$2:$A$201,J256)&gt;0,"Y","N"))</f>
        <v/>
      </c>
      <c r="N256" s="17">
        <f>IF(OR(J256="",AND(LEFT(J256,6)="SAMPLE",Config!$B$19&lt;&gt;"Y")),"",IF(IFERROR(INDEX(Lists!$J$2:$J$15,MATCH(K256,Lists!$I$2:$I$15,0)),-1)=-1,"status '"&amp;K256&amp;"' is not a CONTRACTS status",IF(AND(K256="paid",COUNTIF(paid_brands!$AC$2:$AC$51,J256)=0),"status paid but no paid_brands row"&amp;IF(M256="N"," and no tracker row",""),IF(AND(IFERROR(INDEX(Lists!$J$2:$J$15,MATCH(K256,Lists!$I$2:$I$15,0)),-1)&gt;=6,M256="N"),"status "&amp;K256&amp;" but no tracker row",IF(AND(L256="Y",K256&lt;&gt;"do_not_contact"),"do_not_contact = Y but status is "&amp;K256,IF(AND(K256="do_not_contact",L256&lt;&gt;"Y"),"status do_not_contact but do_not_contact is not Y",""))))))</f>
        <v/>
      </c>
    </row>
    <row r="257">
      <c r="B257" s="17" t="n">
        <v>236</v>
      </c>
      <c r="C257" s="17">
        <f>IFERROR(INDEX(Clay_Offices!$A$2:$FZ$601,B257,$C$5)&amp;"","")</f>
        <v/>
      </c>
      <c r="D257" s="17">
        <f>IFERROR(INDEX(Clay_Offices!$A$2:$FZ$601,B257,$C$7)&amp;"","")</f>
        <v/>
      </c>
      <c r="E257" s="17">
        <f>IFERROR(INDEX(Clay_Offices!$A$2:$FZ$601,B257,$C$8)&amp;"","")</f>
        <v/>
      </c>
      <c r="F257" s="17">
        <f>IF(C257="","",IF(COUNTIF(Office_Log!$A$2:$A$201,C257)&gt;0,"Y","N"))</f>
        <v/>
      </c>
      <c r="G257" s="17">
        <f>IF(OR(C257="",AND(LEFT(C257,6)="SAMPLE",Config!$B$19&lt;&gt;"Y")),"",IF(IFERROR(INDEX(Lists!$J$2:$J$15,MATCH(D257,Lists!$I$2:$I$15,0)),-1)=-1,"status '"&amp;D257&amp;"' is not a CONTRACTS status",IF(AND(D257="signed",COUNTIF(signed_offices!$W$2:$W$51,C257)=0),"status signed but no signed_offices row"&amp;IF(F257="N"," and no tracker row",""),IF(AND(IFERROR(INDEX(Lists!$J$2:$J$15,MATCH(D257,Lists!$I$2:$I$15,0)),-1)&gt;=6,F257="N"),"status "&amp;D257&amp;" but no tracker row",IF(AND(E257="Y",D257&lt;&gt;"do_not_contact"),"do_not_contact = Y but status is "&amp;D257,IF(AND(D257="do_not_contact",E257&lt;&gt;"Y"),"status do_not_contact but do_not_contact is not Y",""))))))</f>
        <v/>
      </c>
      <c r="I257" s="17" t="n">
        <v>236</v>
      </c>
      <c r="J257" s="17">
        <f>IFERROR(INDEX(Clay_Brands!$A$2:$FZ$601,I257,$D$5)&amp;"","")</f>
        <v/>
      </c>
      <c r="K257" s="17">
        <f>IFERROR(INDEX(Clay_Brands!$A$2:$FZ$601,I257,$D$7)&amp;"","")</f>
        <v/>
      </c>
      <c r="L257" s="17">
        <f>IFERROR(INDEX(Clay_Brands!$A$2:$FZ$601,I257,$D$8)&amp;"","")</f>
        <v/>
      </c>
      <c r="M257" s="17">
        <f>IF(J257="","",IF(COUNTIF(Brand_Log!$A$2:$A$201,J257)&gt;0,"Y","N"))</f>
        <v/>
      </c>
      <c r="N257" s="17">
        <f>IF(OR(J257="",AND(LEFT(J257,6)="SAMPLE",Config!$B$19&lt;&gt;"Y")),"",IF(IFERROR(INDEX(Lists!$J$2:$J$15,MATCH(K257,Lists!$I$2:$I$15,0)),-1)=-1,"status '"&amp;K257&amp;"' is not a CONTRACTS status",IF(AND(K257="paid",COUNTIF(paid_brands!$AC$2:$AC$51,J257)=0),"status paid but no paid_brands row"&amp;IF(M257="N"," and no tracker row",""),IF(AND(IFERROR(INDEX(Lists!$J$2:$J$15,MATCH(K257,Lists!$I$2:$I$15,0)),-1)&gt;=6,M257="N"),"status "&amp;K257&amp;" but no tracker row",IF(AND(L257="Y",K257&lt;&gt;"do_not_contact"),"do_not_contact = Y but status is "&amp;K257,IF(AND(K257="do_not_contact",L257&lt;&gt;"Y"),"status do_not_contact but do_not_contact is not Y",""))))))</f>
        <v/>
      </c>
    </row>
    <row r="258">
      <c r="B258" s="17" t="n">
        <v>237</v>
      </c>
      <c r="C258" s="17">
        <f>IFERROR(INDEX(Clay_Offices!$A$2:$FZ$601,B258,$C$5)&amp;"","")</f>
        <v/>
      </c>
      <c r="D258" s="17">
        <f>IFERROR(INDEX(Clay_Offices!$A$2:$FZ$601,B258,$C$7)&amp;"","")</f>
        <v/>
      </c>
      <c r="E258" s="17">
        <f>IFERROR(INDEX(Clay_Offices!$A$2:$FZ$601,B258,$C$8)&amp;"","")</f>
        <v/>
      </c>
      <c r="F258" s="17">
        <f>IF(C258="","",IF(COUNTIF(Office_Log!$A$2:$A$201,C258)&gt;0,"Y","N"))</f>
        <v/>
      </c>
      <c r="G258" s="17">
        <f>IF(OR(C258="",AND(LEFT(C258,6)="SAMPLE",Config!$B$19&lt;&gt;"Y")),"",IF(IFERROR(INDEX(Lists!$J$2:$J$15,MATCH(D258,Lists!$I$2:$I$15,0)),-1)=-1,"status '"&amp;D258&amp;"' is not a CONTRACTS status",IF(AND(D258="signed",COUNTIF(signed_offices!$W$2:$W$51,C258)=0),"status signed but no signed_offices row"&amp;IF(F258="N"," and no tracker row",""),IF(AND(IFERROR(INDEX(Lists!$J$2:$J$15,MATCH(D258,Lists!$I$2:$I$15,0)),-1)&gt;=6,F258="N"),"status "&amp;D258&amp;" but no tracker row",IF(AND(E258="Y",D258&lt;&gt;"do_not_contact"),"do_not_contact = Y but status is "&amp;D258,IF(AND(D258="do_not_contact",E258&lt;&gt;"Y"),"status do_not_contact but do_not_contact is not Y",""))))))</f>
        <v/>
      </c>
      <c r="I258" s="17" t="n">
        <v>237</v>
      </c>
      <c r="J258" s="17">
        <f>IFERROR(INDEX(Clay_Brands!$A$2:$FZ$601,I258,$D$5)&amp;"","")</f>
        <v/>
      </c>
      <c r="K258" s="17">
        <f>IFERROR(INDEX(Clay_Brands!$A$2:$FZ$601,I258,$D$7)&amp;"","")</f>
        <v/>
      </c>
      <c r="L258" s="17">
        <f>IFERROR(INDEX(Clay_Brands!$A$2:$FZ$601,I258,$D$8)&amp;"","")</f>
        <v/>
      </c>
      <c r="M258" s="17">
        <f>IF(J258="","",IF(COUNTIF(Brand_Log!$A$2:$A$201,J258)&gt;0,"Y","N"))</f>
        <v/>
      </c>
      <c r="N258" s="17">
        <f>IF(OR(J258="",AND(LEFT(J258,6)="SAMPLE",Config!$B$19&lt;&gt;"Y")),"",IF(IFERROR(INDEX(Lists!$J$2:$J$15,MATCH(K258,Lists!$I$2:$I$15,0)),-1)=-1,"status '"&amp;K258&amp;"' is not a CONTRACTS status",IF(AND(K258="paid",COUNTIF(paid_brands!$AC$2:$AC$51,J258)=0),"status paid but no paid_brands row"&amp;IF(M258="N"," and no tracker row",""),IF(AND(IFERROR(INDEX(Lists!$J$2:$J$15,MATCH(K258,Lists!$I$2:$I$15,0)),-1)&gt;=6,M258="N"),"status "&amp;K258&amp;" but no tracker row",IF(AND(L258="Y",K258&lt;&gt;"do_not_contact"),"do_not_contact = Y but status is "&amp;K258,IF(AND(K258="do_not_contact",L258&lt;&gt;"Y"),"status do_not_contact but do_not_contact is not Y",""))))))</f>
        <v/>
      </c>
    </row>
    <row r="259">
      <c r="B259" s="17" t="n">
        <v>238</v>
      </c>
      <c r="C259" s="17">
        <f>IFERROR(INDEX(Clay_Offices!$A$2:$FZ$601,B259,$C$5)&amp;"","")</f>
        <v/>
      </c>
      <c r="D259" s="17">
        <f>IFERROR(INDEX(Clay_Offices!$A$2:$FZ$601,B259,$C$7)&amp;"","")</f>
        <v/>
      </c>
      <c r="E259" s="17">
        <f>IFERROR(INDEX(Clay_Offices!$A$2:$FZ$601,B259,$C$8)&amp;"","")</f>
        <v/>
      </c>
      <c r="F259" s="17">
        <f>IF(C259="","",IF(COUNTIF(Office_Log!$A$2:$A$201,C259)&gt;0,"Y","N"))</f>
        <v/>
      </c>
      <c r="G259" s="17">
        <f>IF(OR(C259="",AND(LEFT(C259,6)="SAMPLE",Config!$B$19&lt;&gt;"Y")),"",IF(IFERROR(INDEX(Lists!$J$2:$J$15,MATCH(D259,Lists!$I$2:$I$15,0)),-1)=-1,"status '"&amp;D259&amp;"' is not a CONTRACTS status",IF(AND(D259="signed",COUNTIF(signed_offices!$W$2:$W$51,C259)=0),"status signed but no signed_offices row"&amp;IF(F259="N"," and no tracker row",""),IF(AND(IFERROR(INDEX(Lists!$J$2:$J$15,MATCH(D259,Lists!$I$2:$I$15,0)),-1)&gt;=6,F259="N"),"status "&amp;D259&amp;" but no tracker row",IF(AND(E259="Y",D259&lt;&gt;"do_not_contact"),"do_not_contact = Y but status is "&amp;D259,IF(AND(D259="do_not_contact",E259&lt;&gt;"Y"),"status do_not_contact but do_not_contact is not Y",""))))))</f>
        <v/>
      </c>
      <c r="I259" s="17" t="n">
        <v>238</v>
      </c>
      <c r="J259" s="17">
        <f>IFERROR(INDEX(Clay_Brands!$A$2:$FZ$601,I259,$D$5)&amp;"","")</f>
        <v/>
      </c>
      <c r="K259" s="17">
        <f>IFERROR(INDEX(Clay_Brands!$A$2:$FZ$601,I259,$D$7)&amp;"","")</f>
        <v/>
      </c>
      <c r="L259" s="17">
        <f>IFERROR(INDEX(Clay_Brands!$A$2:$FZ$601,I259,$D$8)&amp;"","")</f>
        <v/>
      </c>
      <c r="M259" s="17">
        <f>IF(J259="","",IF(COUNTIF(Brand_Log!$A$2:$A$201,J259)&gt;0,"Y","N"))</f>
        <v/>
      </c>
      <c r="N259" s="17">
        <f>IF(OR(J259="",AND(LEFT(J259,6)="SAMPLE",Config!$B$19&lt;&gt;"Y")),"",IF(IFERROR(INDEX(Lists!$J$2:$J$15,MATCH(K259,Lists!$I$2:$I$15,0)),-1)=-1,"status '"&amp;K259&amp;"' is not a CONTRACTS status",IF(AND(K259="paid",COUNTIF(paid_brands!$AC$2:$AC$51,J259)=0),"status paid but no paid_brands row"&amp;IF(M259="N"," and no tracker row",""),IF(AND(IFERROR(INDEX(Lists!$J$2:$J$15,MATCH(K259,Lists!$I$2:$I$15,0)),-1)&gt;=6,M259="N"),"status "&amp;K259&amp;" but no tracker row",IF(AND(L259="Y",K259&lt;&gt;"do_not_contact"),"do_not_contact = Y but status is "&amp;K259,IF(AND(K259="do_not_contact",L259&lt;&gt;"Y"),"status do_not_contact but do_not_contact is not Y",""))))))</f>
        <v/>
      </c>
    </row>
    <row r="260">
      <c r="B260" s="17" t="n">
        <v>239</v>
      </c>
      <c r="C260" s="17">
        <f>IFERROR(INDEX(Clay_Offices!$A$2:$FZ$601,B260,$C$5)&amp;"","")</f>
        <v/>
      </c>
      <c r="D260" s="17">
        <f>IFERROR(INDEX(Clay_Offices!$A$2:$FZ$601,B260,$C$7)&amp;"","")</f>
        <v/>
      </c>
      <c r="E260" s="17">
        <f>IFERROR(INDEX(Clay_Offices!$A$2:$FZ$601,B260,$C$8)&amp;"","")</f>
        <v/>
      </c>
      <c r="F260" s="17">
        <f>IF(C260="","",IF(COUNTIF(Office_Log!$A$2:$A$201,C260)&gt;0,"Y","N"))</f>
        <v/>
      </c>
      <c r="G260" s="17">
        <f>IF(OR(C260="",AND(LEFT(C260,6)="SAMPLE",Config!$B$19&lt;&gt;"Y")),"",IF(IFERROR(INDEX(Lists!$J$2:$J$15,MATCH(D260,Lists!$I$2:$I$15,0)),-1)=-1,"status '"&amp;D260&amp;"' is not a CONTRACTS status",IF(AND(D260="signed",COUNTIF(signed_offices!$W$2:$W$51,C260)=0),"status signed but no signed_offices row"&amp;IF(F260="N"," and no tracker row",""),IF(AND(IFERROR(INDEX(Lists!$J$2:$J$15,MATCH(D260,Lists!$I$2:$I$15,0)),-1)&gt;=6,F260="N"),"status "&amp;D260&amp;" but no tracker row",IF(AND(E260="Y",D260&lt;&gt;"do_not_contact"),"do_not_contact = Y but status is "&amp;D260,IF(AND(D260="do_not_contact",E260&lt;&gt;"Y"),"status do_not_contact but do_not_contact is not Y",""))))))</f>
        <v/>
      </c>
      <c r="I260" s="17" t="n">
        <v>239</v>
      </c>
      <c r="J260" s="17">
        <f>IFERROR(INDEX(Clay_Brands!$A$2:$FZ$601,I260,$D$5)&amp;"","")</f>
        <v/>
      </c>
      <c r="K260" s="17">
        <f>IFERROR(INDEX(Clay_Brands!$A$2:$FZ$601,I260,$D$7)&amp;"","")</f>
        <v/>
      </c>
      <c r="L260" s="17">
        <f>IFERROR(INDEX(Clay_Brands!$A$2:$FZ$601,I260,$D$8)&amp;"","")</f>
        <v/>
      </c>
      <c r="M260" s="17">
        <f>IF(J260="","",IF(COUNTIF(Brand_Log!$A$2:$A$201,J260)&gt;0,"Y","N"))</f>
        <v/>
      </c>
      <c r="N260" s="17">
        <f>IF(OR(J260="",AND(LEFT(J260,6)="SAMPLE",Config!$B$19&lt;&gt;"Y")),"",IF(IFERROR(INDEX(Lists!$J$2:$J$15,MATCH(K260,Lists!$I$2:$I$15,0)),-1)=-1,"status '"&amp;K260&amp;"' is not a CONTRACTS status",IF(AND(K260="paid",COUNTIF(paid_brands!$AC$2:$AC$51,J260)=0),"status paid but no paid_brands row"&amp;IF(M260="N"," and no tracker row",""),IF(AND(IFERROR(INDEX(Lists!$J$2:$J$15,MATCH(K260,Lists!$I$2:$I$15,0)),-1)&gt;=6,M260="N"),"status "&amp;K260&amp;" but no tracker row",IF(AND(L260="Y",K260&lt;&gt;"do_not_contact"),"do_not_contact = Y but status is "&amp;K260,IF(AND(K260="do_not_contact",L260&lt;&gt;"Y"),"status do_not_contact but do_not_contact is not Y",""))))))</f>
        <v/>
      </c>
    </row>
    <row r="261">
      <c r="B261" s="17" t="n">
        <v>240</v>
      </c>
      <c r="C261" s="17">
        <f>IFERROR(INDEX(Clay_Offices!$A$2:$FZ$601,B261,$C$5)&amp;"","")</f>
        <v/>
      </c>
      <c r="D261" s="17">
        <f>IFERROR(INDEX(Clay_Offices!$A$2:$FZ$601,B261,$C$7)&amp;"","")</f>
        <v/>
      </c>
      <c r="E261" s="17">
        <f>IFERROR(INDEX(Clay_Offices!$A$2:$FZ$601,B261,$C$8)&amp;"","")</f>
        <v/>
      </c>
      <c r="F261" s="17">
        <f>IF(C261="","",IF(COUNTIF(Office_Log!$A$2:$A$201,C261)&gt;0,"Y","N"))</f>
        <v/>
      </c>
      <c r="G261" s="17">
        <f>IF(OR(C261="",AND(LEFT(C261,6)="SAMPLE",Config!$B$19&lt;&gt;"Y")),"",IF(IFERROR(INDEX(Lists!$J$2:$J$15,MATCH(D261,Lists!$I$2:$I$15,0)),-1)=-1,"status '"&amp;D261&amp;"' is not a CONTRACTS status",IF(AND(D261="signed",COUNTIF(signed_offices!$W$2:$W$51,C261)=0),"status signed but no signed_offices row"&amp;IF(F261="N"," and no tracker row",""),IF(AND(IFERROR(INDEX(Lists!$J$2:$J$15,MATCH(D261,Lists!$I$2:$I$15,0)),-1)&gt;=6,F261="N"),"status "&amp;D261&amp;" but no tracker row",IF(AND(E261="Y",D261&lt;&gt;"do_not_contact"),"do_not_contact = Y but status is "&amp;D261,IF(AND(D261="do_not_contact",E261&lt;&gt;"Y"),"status do_not_contact but do_not_contact is not Y",""))))))</f>
        <v/>
      </c>
      <c r="I261" s="17" t="n">
        <v>240</v>
      </c>
      <c r="J261" s="17">
        <f>IFERROR(INDEX(Clay_Brands!$A$2:$FZ$601,I261,$D$5)&amp;"","")</f>
        <v/>
      </c>
      <c r="K261" s="17">
        <f>IFERROR(INDEX(Clay_Brands!$A$2:$FZ$601,I261,$D$7)&amp;"","")</f>
        <v/>
      </c>
      <c r="L261" s="17">
        <f>IFERROR(INDEX(Clay_Brands!$A$2:$FZ$601,I261,$D$8)&amp;"","")</f>
        <v/>
      </c>
      <c r="M261" s="17">
        <f>IF(J261="","",IF(COUNTIF(Brand_Log!$A$2:$A$201,J261)&gt;0,"Y","N"))</f>
        <v/>
      </c>
      <c r="N261" s="17">
        <f>IF(OR(J261="",AND(LEFT(J261,6)="SAMPLE",Config!$B$19&lt;&gt;"Y")),"",IF(IFERROR(INDEX(Lists!$J$2:$J$15,MATCH(K261,Lists!$I$2:$I$15,0)),-1)=-1,"status '"&amp;K261&amp;"' is not a CONTRACTS status",IF(AND(K261="paid",COUNTIF(paid_brands!$AC$2:$AC$51,J261)=0),"status paid but no paid_brands row"&amp;IF(M261="N"," and no tracker row",""),IF(AND(IFERROR(INDEX(Lists!$J$2:$J$15,MATCH(K261,Lists!$I$2:$I$15,0)),-1)&gt;=6,M261="N"),"status "&amp;K261&amp;" but no tracker row",IF(AND(L261="Y",K261&lt;&gt;"do_not_contact"),"do_not_contact = Y but status is "&amp;K261,IF(AND(K261="do_not_contact",L261&lt;&gt;"Y"),"status do_not_contact but do_not_contact is not Y",""))))))</f>
        <v/>
      </c>
    </row>
    <row r="262">
      <c r="B262" s="17" t="n">
        <v>241</v>
      </c>
      <c r="C262" s="17">
        <f>IFERROR(INDEX(Clay_Offices!$A$2:$FZ$601,B262,$C$5)&amp;"","")</f>
        <v/>
      </c>
      <c r="D262" s="17">
        <f>IFERROR(INDEX(Clay_Offices!$A$2:$FZ$601,B262,$C$7)&amp;"","")</f>
        <v/>
      </c>
      <c r="E262" s="17">
        <f>IFERROR(INDEX(Clay_Offices!$A$2:$FZ$601,B262,$C$8)&amp;"","")</f>
        <v/>
      </c>
      <c r="F262" s="17">
        <f>IF(C262="","",IF(COUNTIF(Office_Log!$A$2:$A$201,C262)&gt;0,"Y","N"))</f>
        <v/>
      </c>
      <c r="G262" s="17">
        <f>IF(OR(C262="",AND(LEFT(C262,6)="SAMPLE",Config!$B$19&lt;&gt;"Y")),"",IF(IFERROR(INDEX(Lists!$J$2:$J$15,MATCH(D262,Lists!$I$2:$I$15,0)),-1)=-1,"status '"&amp;D262&amp;"' is not a CONTRACTS status",IF(AND(D262="signed",COUNTIF(signed_offices!$W$2:$W$51,C262)=0),"status signed but no signed_offices row"&amp;IF(F262="N"," and no tracker row",""),IF(AND(IFERROR(INDEX(Lists!$J$2:$J$15,MATCH(D262,Lists!$I$2:$I$15,0)),-1)&gt;=6,F262="N"),"status "&amp;D262&amp;" but no tracker row",IF(AND(E262="Y",D262&lt;&gt;"do_not_contact"),"do_not_contact = Y but status is "&amp;D262,IF(AND(D262="do_not_contact",E262&lt;&gt;"Y"),"status do_not_contact but do_not_contact is not Y",""))))))</f>
        <v/>
      </c>
      <c r="I262" s="17" t="n">
        <v>241</v>
      </c>
      <c r="J262" s="17">
        <f>IFERROR(INDEX(Clay_Brands!$A$2:$FZ$601,I262,$D$5)&amp;"","")</f>
        <v/>
      </c>
      <c r="K262" s="17">
        <f>IFERROR(INDEX(Clay_Brands!$A$2:$FZ$601,I262,$D$7)&amp;"","")</f>
        <v/>
      </c>
      <c r="L262" s="17">
        <f>IFERROR(INDEX(Clay_Brands!$A$2:$FZ$601,I262,$D$8)&amp;"","")</f>
        <v/>
      </c>
      <c r="M262" s="17">
        <f>IF(J262="","",IF(COUNTIF(Brand_Log!$A$2:$A$201,J262)&gt;0,"Y","N"))</f>
        <v/>
      </c>
      <c r="N262" s="17">
        <f>IF(OR(J262="",AND(LEFT(J262,6)="SAMPLE",Config!$B$19&lt;&gt;"Y")),"",IF(IFERROR(INDEX(Lists!$J$2:$J$15,MATCH(K262,Lists!$I$2:$I$15,0)),-1)=-1,"status '"&amp;K262&amp;"' is not a CONTRACTS status",IF(AND(K262="paid",COUNTIF(paid_brands!$AC$2:$AC$51,J262)=0),"status paid but no paid_brands row"&amp;IF(M262="N"," and no tracker row",""),IF(AND(IFERROR(INDEX(Lists!$J$2:$J$15,MATCH(K262,Lists!$I$2:$I$15,0)),-1)&gt;=6,M262="N"),"status "&amp;K262&amp;" but no tracker row",IF(AND(L262="Y",K262&lt;&gt;"do_not_contact"),"do_not_contact = Y but status is "&amp;K262,IF(AND(K262="do_not_contact",L262&lt;&gt;"Y"),"status do_not_contact but do_not_contact is not Y",""))))))</f>
        <v/>
      </c>
    </row>
    <row r="263">
      <c r="B263" s="17" t="n">
        <v>242</v>
      </c>
      <c r="C263" s="17">
        <f>IFERROR(INDEX(Clay_Offices!$A$2:$FZ$601,B263,$C$5)&amp;"","")</f>
        <v/>
      </c>
      <c r="D263" s="17">
        <f>IFERROR(INDEX(Clay_Offices!$A$2:$FZ$601,B263,$C$7)&amp;"","")</f>
        <v/>
      </c>
      <c r="E263" s="17">
        <f>IFERROR(INDEX(Clay_Offices!$A$2:$FZ$601,B263,$C$8)&amp;"","")</f>
        <v/>
      </c>
      <c r="F263" s="17">
        <f>IF(C263="","",IF(COUNTIF(Office_Log!$A$2:$A$201,C263)&gt;0,"Y","N"))</f>
        <v/>
      </c>
      <c r="G263" s="17">
        <f>IF(OR(C263="",AND(LEFT(C263,6)="SAMPLE",Config!$B$19&lt;&gt;"Y")),"",IF(IFERROR(INDEX(Lists!$J$2:$J$15,MATCH(D263,Lists!$I$2:$I$15,0)),-1)=-1,"status '"&amp;D263&amp;"' is not a CONTRACTS status",IF(AND(D263="signed",COUNTIF(signed_offices!$W$2:$W$51,C263)=0),"status signed but no signed_offices row"&amp;IF(F263="N"," and no tracker row",""),IF(AND(IFERROR(INDEX(Lists!$J$2:$J$15,MATCH(D263,Lists!$I$2:$I$15,0)),-1)&gt;=6,F263="N"),"status "&amp;D263&amp;" but no tracker row",IF(AND(E263="Y",D263&lt;&gt;"do_not_contact"),"do_not_contact = Y but status is "&amp;D263,IF(AND(D263="do_not_contact",E263&lt;&gt;"Y"),"status do_not_contact but do_not_contact is not Y",""))))))</f>
        <v/>
      </c>
      <c r="I263" s="17" t="n">
        <v>242</v>
      </c>
      <c r="J263" s="17">
        <f>IFERROR(INDEX(Clay_Brands!$A$2:$FZ$601,I263,$D$5)&amp;"","")</f>
        <v/>
      </c>
      <c r="K263" s="17">
        <f>IFERROR(INDEX(Clay_Brands!$A$2:$FZ$601,I263,$D$7)&amp;"","")</f>
        <v/>
      </c>
      <c r="L263" s="17">
        <f>IFERROR(INDEX(Clay_Brands!$A$2:$FZ$601,I263,$D$8)&amp;"","")</f>
        <v/>
      </c>
      <c r="M263" s="17">
        <f>IF(J263="","",IF(COUNTIF(Brand_Log!$A$2:$A$201,J263)&gt;0,"Y","N"))</f>
        <v/>
      </c>
      <c r="N263" s="17">
        <f>IF(OR(J263="",AND(LEFT(J263,6)="SAMPLE",Config!$B$19&lt;&gt;"Y")),"",IF(IFERROR(INDEX(Lists!$J$2:$J$15,MATCH(K263,Lists!$I$2:$I$15,0)),-1)=-1,"status '"&amp;K263&amp;"' is not a CONTRACTS status",IF(AND(K263="paid",COUNTIF(paid_brands!$AC$2:$AC$51,J263)=0),"status paid but no paid_brands row"&amp;IF(M263="N"," and no tracker row",""),IF(AND(IFERROR(INDEX(Lists!$J$2:$J$15,MATCH(K263,Lists!$I$2:$I$15,0)),-1)&gt;=6,M263="N"),"status "&amp;K263&amp;" but no tracker row",IF(AND(L263="Y",K263&lt;&gt;"do_not_contact"),"do_not_contact = Y but status is "&amp;K263,IF(AND(K263="do_not_contact",L263&lt;&gt;"Y"),"status do_not_contact but do_not_contact is not Y",""))))))</f>
        <v/>
      </c>
    </row>
    <row r="264">
      <c r="B264" s="17" t="n">
        <v>243</v>
      </c>
      <c r="C264" s="17">
        <f>IFERROR(INDEX(Clay_Offices!$A$2:$FZ$601,B264,$C$5)&amp;"","")</f>
        <v/>
      </c>
      <c r="D264" s="17">
        <f>IFERROR(INDEX(Clay_Offices!$A$2:$FZ$601,B264,$C$7)&amp;"","")</f>
        <v/>
      </c>
      <c r="E264" s="17">
        <f>IFERROR(INDEX(Clay_Offices!$A$2:$FZ$601,B264,$C$8)&amp;"","")</f>
        <v/>
      </c>
      <c r="F264" s="17">
        <f>IF(C264="","",IF(COUNTIF(Office_Log!$A$2:$A$201,C264)&gt;0,"Y","N"))</f>
        <v/>
      </c>
      <c r="G264" s="17">
        <f>IF(OR(C264="",AND(LEFT(C264,6)="SAMPLE",Config!$B$19&lt;&gt;"Y")),"",IF(IFERROR(INDEX(Lists!$J$2:$J$15,MATCH(D264,Lists!$I$2:$I$15,0)),-1)=-1,"status '"&amp;D264&amp;"' is not a CONTRACTS status",IF(AND(D264="signed",COUNTIF(signed_offices!$W$2:$W$51,C264)=0),"status signed but no signed_offices row"&amp;IF(F264="N"," and no tracker row",""),IF(AND(IFERROR(INDEX(Lists!$J$2:$J$15,MATCH(D264,Lists!$I$2:$I$15,0)),-1)&gt;=6,F264="N"),"status "&amp;D264&amp;" but no tracker row",IF(AND(E264="Y",D264&lt;&gt;"do_not_contact"),"do_not_contact = Y but status is "&amp;D264,IF(AND(D264="do_not_contact",E264&lt;&gt;"Y"),"status do_not_contact but do_not_contact is not Y",""))))))</f>
        <v/>
      </c>
      <c r="I264" s="17" t="n">
        <v>243</v>
      </c>
      <c r="J264" s="17">
        <f>IFERROR(INDEX(Clay_Brands!$A$2:$FZ$601,I264,$D$5)&amp;"","")</f>
        <v/>
      </c>
      <c r="K264" s="17">
        <f>IFERROR(INDEX(Clay_Brands!$A$2:$FZ$601,I264,$D$7)&amp;"","")</f>
        <v/>
      </c>
      <c r="L264" s="17">
        <f>IFERROR(INDEX(Clay_Brands!$A$2:$FZ$601,I264,$D$8)&amp;"","")</f>
        <v/>
      </c>
      <c r="M264" s="17">
        <f>IF(J264="","",IF(COUNTIF(Brand_Log!$A$2:$A$201,J264)&gt;0,"Y","N"))</f>
        <v/>
      </c>
      <c r="N264" s="17">
        <f>IF(OR(J264="",AND(LEFT(J264,6)="SAMPLE",Config!$B$19&lt;&gt;"Y")),"",IF(IFERROR(INDEX(Lists!$J$2:$J$15,MATCH(K264,Lists!$I$2:$I$15,0)),-1)=-1,"status '"&amp;K264&amp;"' is not a CONTRACTS status",IF(AND(K264="paid",COUNTIF(paid_brands!$AC$2:$AC$51,J264)=0),"status paid but no paid_brands row"&amp;IF(M264="N"," and no tracker row",""),IF(AND(IFERROR(INDEX(Lists!$J$2:$J$15,MATCH(K264,Lists!$I$2:$I$15,0)),-1)&gt;=6,M264="N"),"status "&amp;K264&amp;" but no tracker row",IF(AND(L264="Y",K264&lt;&gt;"do_not_contact"),"do_not_contact = Y but status is "&amp;K264,IF(AND(K264="do_not_contact",L264&lt;&gt;"Y"),"status do_not_contact but do_not_contact is not Y",""))))))</f>
        <v/>
      </c>
    </row>
    <row r="265">
      <c r="B265" s="17" t="n">
        <v>244</v>
      </c>
      <c r="C265" s="17">
        <f>IFERROR(INDEX(Clay_Offices!$A$2:$FZ$601,B265,$C$5)&amp;"","")</f>
        <v/>
      </c>
      <c r="D265" s="17">
        <f>IFERROR(INDEX(Clay_Offices!$A$2:$FZ$601,B265,$C$7)&amp;"","")</f>
        <v/>
      </c>
      <c r="E265" s="17">
        <f>IFERROR(INDEX(Clay_Offices!$A$2:$FZ$601,B265,$C$8)&amp;"","")</f>
        <v/>
      </c>
      <c r="F265" s="17">
        <f>IF(C265="","",IF(COUNTIF(Office_Log!$A$2:$A$201,C265)&gt;0,"Y","N"))</f>
        <v/>
      </c>
      <c r="G265" s="17">
        <f>IF(OR(C265="",AND(LEFT(C265,6)="SAMPLE",Config!$B$19&lt;&gt;"Y")),"",IF(IFERROR(INDEX(Lists!$J$2:$J$15,MATCH(D265,Lists!$I$2:$I$15,0)),-1)=-1,"status '"&amp;D265&amp;"' is not a CONTRACTS status",IF(AND(D265="signed",COUNTIF(signed_offices!$W$2:$W$51,C265)=0),"status signed but no signed_offices row"&amp;IF(F265="N"," and no tracker row",""),IF(AND(IFERROR(INDEX(Lists!$J$2:$J$15,MATCH(D265,Lists!$I$2:$I$15,0)),-1)&gt;=6,F265="N"),"status "&amp;D265&amp;" but no tracker row",IF(AND(E265="Y",D265&lt;&gt;"do_not_contact"),"do_not_contact = Y but status is "&amp;D265,IF(AND(D265="do_not_contact",E265&lt;&gt;"Y"),"status do_not_contact but do_not_contact is not Y",""))))))</f>
        <v/>
      </c>
      <c r="I265" s="17" t="n">
        <v>244</v>
      </c>
      <c r="J265" s="17">
        <f>IFERROR(INDEX(Clay_Brands!$A$2:$FZ$601,I265,$D$5)&amp;"","")</f>
        <v/>
      </c>
      <c r="K265" s="17">
        <f>IFERROR(INDEX(Clay_Brands!$A$2:$FZ$601,I265,$D$7)&amp;"","")</f>
        <v/>
      </c>
      <c r="L265" s="17">
        <f>IFERROR(INDEX(Clay_Brands!$A$2:$FZ$601,I265,$D$8)&amp;"","")</f>
        <v/>
      </c>
      <c r="M265" s="17">
        <f>IF(J265="","",IF(COUNTIF(Brand_Log!$A$2:$A$201,J265)&gt;0,"Y","N"))</f>
        <v/>
      </c>
      <c r="N265" s="17">
        <f>IF(OR(J265="",AND(LEFT(J265,6)="SAMPLE",Config!$B$19&lt;&gt;"Y")),"",IF(IFERROR(INDEX(Lists!$J$2:$J$15,MATCH(K265,Lists!$I$2:$I$15,0)),-1)=-1,"status '"&amp;K265&amp;"' is not a CONTRACTS status",IF(AND(K265="paid",COUNTIF(paid_brands!$AC$2:$AC$51,J265)=0),"status paid but no paid_brands row"&amp;IF(M265="N"," and no tracker row",""),IF(AND(IFERROR(INDEX(Lists!$J$2:$J$15,MATCH(K265,Lists!$I$2:$I$15,0)),-1)&gt;=6,M265="N"),"status "&amp;K265&amp;" but no tracker row",IF(AND(L265="Y",K265&lt;&gt;"do_not_contact"),"do_not_contact = Y but status is "&amp;K265,IF(AND(K265="do_not_contact",L265&lt;&gt;"Y"),"status do_not_contact but do_not_contact is not Y",""))))))</f>
        <v/>
      </c>
    </row>
    <row r="266">
      <c r="B266" s="17" t="n">
        <v>245</v>
      </c>
      <c r="C266" s="17">
        <f>IFERROR(INDEX(Clay_Offices!$A$2:$FZ$601,B266,$C$5)&amp;"","")</f>
        <v/>
      </c>
      <c r="D266" s="17">
        <f>IFERROR(INDEX(Clay_Offices!$A$2:$FZ$601,B266,$C$7)&amp;"","")</f>
        <v/>
      </c>
      <c r="E266" s="17">
        <f>IFERROR(INDEX(Clay_Offices!$A$2:$FZ$601,B266,$C$8)&amp;"","")</f>
        <v/>
      </c>
      <c r="F266" s="17">
        <f>IF(C266="","",IF(COUNTIF(Office_Log!$A$2:$A$201,C266)&gt;0,"Y","N"))</f>
        <v/>
      </c>
      <c r="G266" s="17">
        <f>IF(OR(C266="",AND(LEFT(C266,6)="SAMPLE",Config!$B$19&lt;&gt;"Y")),"",IF(IFERROR(INDEX(Lists!$J$2:$J$15,MATCH(D266,Lists!$I$2:$I$15,0)),-1)=-1,"status '"&amp;D266&amp;"' is not a CONTRACTS status",IF(AND(D266="signed",COUNTIF(signed_offices!$W$2:$W$51,C266)=0),"status signed but no signed_offices row"&amp;IF(F266="N"," and no tracker row",""),IF(AND(IFERROR(INDEX(Lists!$J$2:$J$15,MATCH(D266,Lists!$I$2:$I$15,0)),-1)&gt;=6,F266="N"),"status "&amp;D266&amp;" but no tracker row",IF(AND(E266="Y",D266&lt;&gt;"do_not_contact"),"do_not_contact = Y but status is "&amp;D266,IF(AND(D266="do_not_contact",E266&lt;&gt;"Y"),"status do_not_contact but do_not_contact is not Y",""))))))</f>
        <v/>
      </c>
      <c r="I266" s="17" t="n">
        <v>245</v>
      </c>
      <c r="J266" s="17">
        <f>IFERROR(INDEX(Clay_Brands!$A$2:$FZ$601,I266,$D$5)&amp;"","")</f>
        <v/>
      </c>
      <c r="K266" s="17">
        <f>IFERROR(INDEX(Clay_Brands!$A$2:$FZ$601,I266,$D$7)&amp;"","")</f>
        <v/>
      </c>
      <c r="L266" s="17">
        <f>IFERROR(INDEX(Clay_Brands!$A$2:$FZ$601,I266,$D$8)&amp;"","")</f>
        <v/>
      </c>
      <c r="M266" s="17">
        <f>IF(J266="","",IF(COUNTIF(Brand_Log!$A$2:$A$201,J266)&gt;0,"Y","N"))</f>
        <v/>
      </c>
      <c r="N266" s="17">
        <f>IF(OR(J266="",AND(LEFT(J266,6)="SAMPLE",Config!$B$19&lt;&gt;"Y")),"",IF(IFERROR(INDEX(Lists!$J$2:$J$15,MATCH(K266,Lists!$I$2:$I$15,0)),-1)=-1,"status '"&amp;K266&amp;"' is not a CONTRACTS status",IF(AND(K266="paid",COUNTIF(paid_brands!$AC$2:$AC$51,J266)=0),"status paid but no paid_brands row"&amp;IF(M266="N"," and no tracker row",""),IF(AND(IFERROR(INDEX(Lists!$J$2:$J$15,MATCH(K266,Lists!$I$2:$I$15,0)),-1)&gt;=6,M266="N"),"status "&amp;K266&amp;" but no tracker row",IF(AND(L266="Y",K266&lt;&gt;"do_not_contact"),"do_not_contact = Y but status is "&amp;K266,IF(AND(K266="do_not_contact",L266&lt;&gt;"Y"),"status do_not_contact but do_not_contact is not Y",""))))))</f>
        <v/>
      </c>
    </row>
    <row r="267">
      <c r="B267" s="17" t="n">
        <v>246</v>
      </c>
      <c r="C267" s="17">
        <f>IFERROR(INDEX(Clay_Offices!$A$2:$FZ$601,B267,$C$5)&amp;"","")</f>
        <v/>
      </c>
      <c r="D267" s="17">
        <f>IFERROR(INDEX(Clay_Offices!$A$2:$FZ$601,B267,$C$7)&amp;"","")</f>
        <v/>
      </c>
      <c r="E267" s="17">
        <f>IFERROR(INDEX(Clay_Offices!$A$2:$FZ$601,B267,$C$8)&amp;"","")</f>
        <v/>
      </c>
      <c r="F267" s="17">
        <f>IF(C267="","",IF(COUNTIF(Office_Log!$A$2:$A$201,C267)&gt;0,"Y","N"))</f>
        <v/>
      </c>
      <c r="G267" s="17">
        <f>IF(OR(C267="",AND(LEFT(C267,6)="SAMPLE",Config!$B$19&lt;&gt;"Y")),"",IF(IFERROR(INDEX(Lists!$J$2:$J$15,MATCH(D267,Lists!$I$2:$I$15,0)),-1)=-1,"status '"&amp;D267&amp;"' is not a CONTRACTS status",IF(AND(D267="signed",COUNTIF(signed_offices!$W$2:$W$51,C267)=0),"status signed but no signed_offices row"&amp;IF(F267="N"," and no tracker row",""),IF(AND(IFERROR(INDEX(Lists!$J$2:$J$15,MATCH(D267,Lists!$I$2:$I$15,0)),-1)&gt;=6,F267="N"),"status "&amp;D267&amp;" but no tracker row",IF(AND(E267="Y",D267&lt;&gt;"do_not_contact"),"do_not_contact = Y but status is "&amp;D267,IF(AND(D267="do_not_contact",E267&lt;&gt;"Y"),"status do_not_contact but do_not_contact is not Y",""))))))</f>
        <v/>
      </c>
      <c r="I267" s="17" t="n">
        <v>246</v>
      </c>
      <c r="J267" s="17">
        <f>IFERROR(INDEX(Clay_Brands!$A$2:$FZ$601,I267,$D$5)&amp;"","")</f>
        <v/>
      </c>
      <c r="K267" s="17">
        <f>IFERROR(INDEX(Clay_Brands!$A$2:$FZ$601,I267,$D$7)&amp;"","")</f>
        <v/>
      </c>
      <c r="L267" s="17">
        <f>IFERROR(INDEX(Clay_Brands!$A$2:$FZ$601,I267,$D$8)&amp;"","")</f>
        <v/>
      </c>
      <c r="M267" s="17">
        <f>IF(J267="","",IF(COUNTIF(Brand_Log!$A$2:$A$201,J267)&gt;0,"Y","N"))</f>
        <v/>
      </c>
      <c r="N267" s="17">
        <f>IF(OR(J267="",AND(LEFT(J267,6)="SAMPLE",Config!$B$19&lt;&gt;"Y")),"",IF(IFERROR(INDEX(Lists!$J$2:$J$15,MATCH(K267,Lists!$I$2:$I$15,0)),-1)=-1,"status '"&amp;K267&amp;"' is not a CONTRACTS status",IF(AND(K267="paid",COUNTIF(paid_brands!$AC$2:$AC$51,J267)=0),"status paid but no paid_brands row"&amp;IF(M267="N"," and no tracker row",""),IF(AND(IFERROR(INDEX(Lists!$J$2:$J$15,MATCH(K267,Lists!$I$2:$I$15,0)),-1)&gt;=6,M267="N"),"status "&amp;K267&amp;" but no tracker row",IF(AND(L267="Y",K267&lt;&gt;"do_not_contact"),"do_not_contact = Y but status is "&amp;K267,IF(AND(K267="do_not_contact",L267&lt;&gt;"Y"),"status do_not_contact but do_not_contact is not Y",""))))))</f>
        <v/>
      </c>
    </row>
    <row r="268">
      <c r="B268" s="17" t="n">
        <v>247</v>
      </c>
      <c r="C268" s="17">
        <f>IFERROR(INDEX(Clay_Offices!$A$2:$FZ$601,B268,$C$5)&amp;"","")</f>
        <v/>
      </c>
      <c r="D268" s="17">
        <f>IFERROR(INDEX(Clay_Offices!$A$2:$FZ$601,B268,$C$7)&amp;"","")</f>
        <v/>
      </c>
      <c r="E268" s="17">
        <f>IFERROR(INDEX(Clay_Offices!$A$2:$FZ$601,B268,$C$8)&amp;"","")</f>
        <v/>
      </c>
      <c r="F268" s="17">
        <f>IF(C268="","",IF(COUNTIF(Office_Log!$A$2:$A$201,C268)&gt;0,"Y","N"))</f>
        <v/>
      </c>
      <c r="G268" s="17">
        <f>IF(OR(C268="",AND(LEFT(C268,6)="SAMPLE",Config!$B$19&lt;&gt;"Y")),"",IF(IFERROR(INDEX(Lists!$J$2:$J$15,MATCH(D268,Lists!$I$2:$I$15,0)),-1)=-1,"status '"&amp;D268&amp;"' is not a CONTRACTS status",IF(AND(D268="signed",COUNTIF(signed_offices!$W$2:$W$51,C268)=0),"status signed but no signed_offices row"&amp;IF(F268="N"," and no tracker row",""),IF(AND(IFERROR(INDEX(Lists!$J$2:$J$15,MATCH(D268,Lists!$I$2:$I$15,0)),-1)&gt;=6,F268="N"),"status "&amp;D268&amp;" but no tracker row",IF(AND(E268="Y",D268&lt;&gt;"do_not_contact"),"do_not_contact = Y but status is "&amp;D268,IF(AND(D268="do_not_contact",E268&lt;&gt;"Y"),"status do_not_contact but do_not_contact is not Y",""))))))</f>
        <v/>
      </c>
      <c r="I268" s="17" t="n">
        <v>247</v>
      </c>
      <c r="J268" s="17">
        <f>IFERROR(INDEX(Clay_Brands!$A$2:$FZ$601,I268,$D$5)&amp;"","")</f>
        <v/>
      </c>
      <c r="K268" s="17">
        <f>IFERROR(INDEX(Clay_Brands!$A$2:$FZ$601,I268,$D$7)&amp;"","")</f>
        <v/>
      </c>
      <c r="L268" s="17">
        <f>IFERROR(INDEX(Clay_Brands!$A$2:$FZ$601,I268,$D$8)&amp;"","")</f>
        <v/>
      </c>
      <c r="M268" s="17">
        <f>IF(J268="","",IF(COUNTIF(Brand_Log!$A$2:$A$201,J268)&gt;0,"Y","N"))</f>
        <v/>
      </c>
      <c r="N268" s="17">
        <f>IF(OR(J268="",AND(LEFT(J268,6)="SAMPLE",Config!$B$19&lt;&gt;"Y")),"",IF(IFERROR(INDEX(Lists!$J$2:$J$15,MATCH(K268,Lists!$I$2:$I$15,0)),-1)=-1,"status '"&amp;K268&amp;"' is not a CONTRACTS status",IF(AND(K268="paid",COUNTIF(paid_brands!$AC$2:$AC$51,J268)=0),"status paid but no paid_brands row"&amp;IF(M268="N"," and no tracker row",""),IF(AND(IFERROR(INDEX(Lists!$J$2:$J$15,MATCH(K268,Lists!$I$2:$I$15,0)),-1)&gt;=6,M268="N"),"status "&amp;K268&amp;" but no tracker row",IF(AND(L268="Y",K268&lt;&gt;"do_not_contact"),"do_not_contact = Y but status is "&amp;K268,IF(AND(K268="do_not_contact",L268&lt;&gt;"Y"),"status do_not_contact but do_not_contact is not Y",""))))))</f>
        <v/>
      </c>
    </row>
    <row r="269">
      <c r="B269" s="17" t="n">
        <v>248</v>
      </c>
      <c r="C269" s="17">
        <f>IFERROR(INDEX(Clay_Offices!$A$2:$FZ$601,B269,$C$5)&amp;"","")</f>
        <v/>
      </c>
      <c r="D269" s="17">
        <f>IFERROR(INDEX(Clay_Offices!$A$2:$FZ$601,B269,$C$7)&amp;"","")</f>
        <v/>
      </c>
      <c r="E269" s="17">
        <f>IFERROR(INDEX(Clay_Offices!$A$2:$FZ$601,B269,$C$8)&amp;"","")</f>
        <v/>
      </c>
      <c r="F269" s="17">
        <f>IF(C269="","",IF(COUNTIF(Office_Log!$A$2:$A$201,C269)&gt;0,"Y","N"))</f>
        <v/>
      </c>
      <c r="G269" s="17">
        <f>IF(OR(C269="",AND(LEFT(C269,6)="SAMPLE",Config!$B$19&lt;&gt;"Y")),"",IF(IFERROR(INDEX(Lists!$J$2:$J$15,MATCH(D269,Lists!$I$2:$I$15,0)),-1)=-1,"status '"&amp;D269&amp;"' is not a CONTRACTS status",IF(AND(D269="signed",COUNTIF(signed_offices!$W$2:$W$51,C269)=0),"status signed but no signed_offices row"&amp;IF(F269="N"," and no tracker row",""),IF(AND(IFERROR(INDEX(Lists!$J$2:$J$15,MATCH(D269,Lists!$I$2:$I$15,0)),-1)&gt;=6,F269="N"),"status "&amp;D269&amp;" but no tracker row",IF(AND(E269="Y",D269&lt;&gt;"do_not_contact"),"do_not_contact = Y but status is "&amp;D269,IF(AND(D269="do_not_contact",E269&lt;&gt;"Y"),"status do_not_contact but do_not_contact is not Y",""))))))</f>
        <v/>
      </c>
      <c r="I269" s="17" t="n">
        <v>248</v>
      </c>
      <c r="J269" s="17">
        <f>IFERROR(INDEX(Clay_Brands!$A$2:$FZ$601,I269,$D$5)&amp;"","")</f>
        <v/>
      </c>
      <c r="K269" s="17">
        <f>IFERROR(INDEX(Clay_Brands!$A$2:$FZ$601,I269,$D$7)&amp;"","")</f>
        <v/>
      </c>
      <c r="L269" s="17">
        <f>IFERROR(INDEX(Clay_Brands!$A$2:$FZ$601,I269,$D$8)&amp;"","")</f>
        <v/>
      </c>
      <c r="M269" s="17">
        <f>IF(J269="","",IF(COUNTIF(Brand_Log!$A$2:$A$201,J269)&gt;0,"Y","N"))</f>
        <v/>
      </c>
      <c r="N269" s="17">
        <f>IF(OR(J269="",AND(LEFT(J269,6)="SAMPLE",Config!$B$19&lt;&gt;"Y")),"",IF(IFERROR(INDEX(Lists!$J$2:$J$15,MATCH(K269,Lists!$I$2:$I$15,0)),-1)=-1,"status '"&amp;K269&amp;"' is not a CONTRACTS status",IF(AND(K269="paid",COUNTIF(paid_brands!$AC$2:$AC$51,J269)=0),"status paid but no paid_brands row"&amp;IF(M269="N"," and no tracker row",""),IF(AND(IFERROR(INDEX(Lists!$J$2:$J$15,MATCH(K269,Lists!$I$2:$I$15,0)),-1)&gt;=6,M269="N"),"status "&amp;K269&amp;" but no tracker row",IF(AND(L269="Y",K269&lt;&gt;"do_not_contact"),"do_not_contact = Y but status is "&amp;K269,IF(AND(K269="do_not_contact",L269&lt;&gt;"Y"),"status do_not_contact but do_not_contact is not Y",""))))))</f>
        <v/>
      </c>
    </row>
    <row r="270">
      <c r="B270" s="17" t="n">
        <v>249</v>
      </c>
      <c r="C270" s="17">
        <f>IFERROR(INDEX(Clay_Offices!$A$2:$FZ$601,B270,$C$5)&amp;"","")</f>
        <v/>
      </c>
      <c r="D270" s="17">
        <f>IFERROR(INDEX(Clay_Offices!$A$2:$FZ$601,B270,$C$7)&amp;"","")</f>
        <v/>
      </c>
      <c r="E270" s="17">
        <f>IFERROR(INDEX(Clay_Offices!$A$2:$FZ$601,B270,$C$8)&amp;"","")</f>
        <v/>
      </c>
      <c r="F270" s="17">
        <f>IF(C270="","",IF(COUNTIF(Office_Log!$A$2:$A$201,C270)&gt;0,"Y","N"))</f>
        <v/>
      </c>
      <c r="G270" s="17">
        <f>IF(OR(C270="",AND(LEFT(C270,6)="SAMPLE",Config!$B$19&lt;&gt;"Y")),"",IF(IFERROR(INDEX(Lists!$J$2:$J$15,MATCH(D270,Lists!$I$2:$I$15,0)),-1)=-1,"status '"&amp;D270&amp;"' is not a CONTRACTS status",IF(AND(D270="signed",COUNTIF(signed_offices!$W$2:$W$51,C270)=0),"status signed but no signed_offices row"&amp;IF(F270="N"," and no tracker row",""),IF(AND(IFERROR(INDEX(Lists!$J$2:$J$15,MATCH(D270,Lists!$I$2:$I$15,0)),-1)&gt;=6,F270="N"),"status "&amp;D270&amp;" but no tracker row",IF(AND(E270="Y",D270&lt;&gt;"do_not_contact"),"do_not_contact = Y but status is "&amp;D270,IF(AND(D270="do_not_contact",E270&lt;&gt;"Y"),"status do_not_contact but do_not_contact is not Y",""))))))</f>
        <v/>
      </c>
      <c r="I270" s="17" t="n">
        <v>249</v>
      </c>
      <c r="J270" s="17">
        <f>IFERROR(INDEX(Clay_Brands!$A$2:$FZ$601,I270,$D$5)&amp;"","")</f>
        <v/>
      </c>
      <c r="K270" s="17">
        <f>IFERROR(INDEX(Clay_Brands!$A$2:$FZ$601,I270,$D$7)&amp;"","")</f>
        <v/>
      </c>
      <c r="L270" s="17">
        <f>IFERROR(INDEX(Clay_Brands!$A$2:$FZ$601,I270,$D$8)&amp;"","")</f>
        <v/>
      </c>
      <c r="M270" s="17">
        <f>IF(J270="","",IF(COUNTIF(Brand_Log!$A$2:$A$201,J270)&gt;0,"Y","N"))</f>
        <v/>
      </c>
      <c r="N270" s="17">
        <f>IF(OR(J270="",AND(LEFT(J270,6)="SAMPLE",Config!$B$19&lt;&gt;"Y")),"",IF(IFERROR(INDEX(Lists!$J$2:$J$15,MATCH(K270,Lists!$I$2:$I$15,0)),-1)=-1,"status '"&amp;K270&amp;"' is not a CONTRACTS status",IF(AND(K270="paid",COUNTIF(paid_brands!$AC$2:$AC$51,J270)=0),"status paid but no paid_brands row"&amp;IF(M270="N"," and no tracker row",""),IF(AND(IFERROR(INDEX(Lists!$J$2:$J$15,MATCH(K270,Lists!$I$2:$I$15,0)),-1)&gt;=6,M270="N"),"status "&amp;K270&amp;" but no tracker row",IF(AND(L270="Y",K270&lt;&gt;"do_not_contact"),"do_not_contact = Y but status is "&amp;K270,IF(AND(K270="do_not_contact",L270&lt;&gt;"Y"),"status do_not_contact but do_not_contact is not Y",""))))))</f>
        <v/>
      </c>
    </row>
    <row r="271">
      <c r="B271" s="17" t="n">
        <v>250</v>
      </c>
      <c r="C271" s="17">
        <f>IFERROR(INDEX(Clay_Offices!$A$2:$FZ$601,B271,$C$5)&amp;"","")</f>
        <v/>
      </c>
      <c r="D271" s="17">
        <f>IFERROR(INDEX(Clay_Offices!$A$2:$FZ$601,B271,$C$7)&amp;"","")</f>
        <v/>
      </c>
      <c r="E271" s="17">
        <f>IFERROR(INDEX(Clay_Offices!$A$2:$FZ$601,B271,$C$8)&amp;"","")</f>
        <v/>
      </c>
      <c r="F271" s="17">
        <f>IF(C271="","",IF(COUNTIF(Office_Log!$A$2:$A$201,C271)&gt;0,"Y","N"))</f>
        <v/>
      </c>
      <c r="G271" s="17">
        <f>IF(OR(C271="",AND(LEFT(C271,6)="SAMPLE",Config!$B$19&lt;&gt;"Y")),"",IF(IFERROR(INDEX(Lists!$J$2:$J$15,MATCH(D271,Lists!$I$2:$I$15,0)),-1)=-1,"status '"&amp;D271&amp;"' is not a CONTRACTS status",IF(AND(D271="signed",COUNTIF(signed_offices!$W$2:$W$51,C271)=0),"status signed but no signed_offices row"&amp;IF(F271="N"," and no tracker row",""),IF(AND(IFERROR(INDEX(Lists!$J$2:$J$15,MATCH(D271,Lists!$I$2:$I$15,0)),-1)&gt;=6,F271="N"),"status "&amp;D271&amp;" but no tracker row",IF(AND(E271="Y",D271&lt;&gt;"do_not_contact"),"do_not_contact = Y but status is "&amp;D271,IF(AND(D271="do_not_contact",E271&lt;&gt;"Y"),"status do_not_contact but do_not_contact is not Y",""))))))</f>
        <v/>
      </c>
      <c r="I271" s="17" t="n">
        <v>250</v>
      </c>
      <c r="J271" s="17">
        <f>IFERROR(INDEX(Clay_Brands!$A$2:$FZ$601,I271,$D$5)&amp;"","")</f>
        <v/>
      </c>
      <c r="K271" s="17">
        <f>IFERROR(INDEX(Clay_Brands!$A$2:$FZ$601,I271,$D$7)&amp;"","")</f>
        <v/>
      </c>
      <c r="L271" s="17">
        <f>IFERROR(INDEX(Clay_Brands!$A$2:$FZ$601,I271,$D$8)&amp;"","")</f>
        <v/>
      </c>
      <c r="M271" s="17">
        <f>IF(J271="","",IF(COUNTIF(Brand_Log!$A$2:$A$201,J271)&gt;0,"Y","N"))</f>
        <v/>
      </c>
      <c r="N271" s="17">
        <f>IF(OR(J271="",AND(LEFT(J271,6)="SAMPLE",Config!$B$19&lt;&gt;"Y")),"",IF(IFERROR(INDEX(Lists!$J$2:$J$15,MATCH(K271,Lists!$I$2:$I$15,0)),-1)=-1,"status '"&amp;K271&amp;"' is not a CONTRACTS status",IF(AND(K271="paid",COUNTIF(paid_brands!$AC$2:$AC$51,J271)=0),"status paid but no paid_brands row"&amp;IF(M271="N"," and no tracker row",""),IF(AND(IFERROR(INDEX(Lists!$J$2:$J$15,MATCH(K271,Lists!$I$2:$I$15,0)),-1)&gt;=6,M271="N"),"status "&amp;K271&amp;" but no tracker row",IF(AND(L271="Y",K271&lt;&gt;"do_not_contact"),"do_not_contact = Y but status is "&amp;K271,IF(AND(K271="do_not_contact",L271&lt;&gt;"Y"),"status do_not_contact but do_not_contact is not Y",""))))))</f>
        <v/>
      </c>
    </row>
    <row r="272">
      <c r="B272" s="17" t="n">
        <v>251</v>
      </c>
      <c r="C272" s="17">
        <f>IFERROR(INDEX(Clay_Offices!$A$2:$FZ$601,B272,$C$5)&amp;"","")</f>
        <v/>
      </c>
      <c r="D272" s="17">
        <f>IFERROR(INDEX(Clay_Offices!$A$2:$FZ$601,B272,$C$7)&amp;"","")</f>
        <v/>
      </c>
      <c r="E272" s="17">
        <f>IFERROR(INDEX(Clay_Offices!$A$2:$FZ$601,B272,$C$8)&amp;"","")</f>
        <v/>
      </c>
      <c r="F272" s="17">
        <f>IF(C272="","",IF(COUNTIF(Office_Log!$A$2:$A$201,C272)&gt;0,"Y","N"))</f>
        <v/>
      </c>
      <c r="G272" s="17">
        <f>IF(OR(C272="",AND(LEFT(C272,6)="SAMPLE",Config!$B$19&lt;&gt;"Y")),"",IF(IFERROR(INDEX(Lists!$J$2:$J$15,MATCH(D272,Lists!$I$2:$I$15,0)),-1)=-1,"status '"&amp;D272&amp;"' is not a CONTRACTS status",IF(AND(D272="signed",COUNTIF(signed_offices!$W$2:$W$51,C272)=0),"status signed but no signed_offices row"&amp;IF(F272="N"," and no tracker row",""),IF(AND(IFERROR(INDEX(Lists!$J$2:$J$15,MATCH(D272,Lists!$I$2:$I$15,0)),-1)&gt;=6,F272="N"),"status "&amp;D272&amp;" but no tracker row",IF(AND(E272="Y",D272&lt;&gt;"do_not_contact"),"do_not_contact = Y but status is "&amp;D272,IF(AND(D272="do_not_contact",E272&lt;&gt;"Y"),"status do_not_contact but do_not_contact is not Y",""))))))</f>
        <v/>
      </c>
      <c r="I272" s="17" t="n">
        <v>251</v>
      </c>
      <c r="J272" s="17">
        <f>IFERROR(INDEX(Clay_Brands!$A$2:$FZ$601,I272,$D$5)&amp;"","")</f>
        <v/>
      </c>
      <c r="K272" s="17">
        <f>IFERROR(INDEX(Clay_Brands!$A$2:$FZ$601,I272,$D$7)&amp;"","")</f>
        <v/>
      </c>
      <c r="L272" s="17">
        <f>IFERROR(INDEX(Clay_Brands!$A$2:$FZ$601,I272,$D$8)&amp;"","")</f>
        <v/>
      </c>
      <c r="M272" s="17">
        <f>IF(J272="","",IF(COUNTIF(Brand_Log!$A$2:$A$201,J272)&gt;0,"Y","N"))</f>
        <v/>
      </c>
      <c r="N272" s="17">
        <f>IF(OR(J272="",AND(LEFT(J272,6)="SAMPLE",Config!$B$19&lt;&gt;"Y")),"",IF(IFERROR(INDEX(Lists!$J$2:$J$15,MATCH(K272,Lists!$I$2:$I$15,0)),-1)=-1,"status '"&amp;K272&amp;"' is not a CONTRACTS status",IF(AND(K272="paid",COUNTIF(paid_brands!$AC$2:$AC$51,J272)=0),"status paid but no paid_brands row"&amp;IF(M272="N"," and no tracker row",""),IF(AND(IFERROR(INDEX(Lists!$J$2:$J$15,MATCH(K272,Lists!$I$2:$I$15,0)),-1)&gt;=6,M272="N"),"status "&amp;K272&amp;" but no tracker row",IF(AND(L272="Y",K272&lt;&gt;"do_not_contact"),"do_not_contact = Y but status is "&amp;K272,IF(AND(K272="do_not_contact",L272&lt;&gt;"Y"),"status do_not_contact but do_not_contact is not Y",""))))))</f>
        <v/>
      </c>
    </row>
    <row r="273">
      <c r="B273" s="17" t="n">
        <v>252</v>
      </c>
      <c r="C273" s="17">
        <f>IFERROR(INDEX(Clay_Offices!$A$2:$FZ$601,B273,$C$5)&amp;"","")</f>
        <v/>
      </c>
      <c r="D273" s="17">
        <f>IFERROR(INDEX(Clay_Offices!$A$2:$FZ$601,B273,$C$7)&amp;"","")</f>
        <v/>
      </c>
      <c r="E273" s="17">
        <f>IFERROR(INDEX(Clay_Offices!$A$2:$FZ$601,B273,$C$8)&amp;"","")</f>
        <v/>
      </c>
      <c r="F273" s="17">
        <f>IF(C273="","",IF(COUNTIF(Office_Log!$A$2:$A$201,C273)&gt;0,"Y","N"))</f>
        <v/>
      </c>
      <c r="G273" s="17">
        <f>IF(OR(C273="",AND(LEFT(C273,6)="SAMPLE",Config!$B$19&lt;&gt;"Y")),"",IF(IFERROR(INDEX(Lists!$J$2:$J$15,MATCH(D273,Lists!$I$2:$I$15,0)),-1)=-1,"status '"&amp;D273&amp;"' is not a CONTRACTS status",IF(AND(D273="signed",COUNTIF(signed_offices!$W$2:$W$51,C273)=0),"status signed but no signed_offices row"&amp;IF(F273="N"," and no tracker row",""),IF(AND(IFERROR(INDEX(Lists!$J$2:$J$15,MATCH(D273,Lists!$I$2:$I$15,0)),-1)&gt;=6,F273="N"),"status "&amp;D273&amp;" but no tracker row",IF(AND(E273="Y",D273&lt;&gt;"do_not_contact"),"do_not_contact = Y but status is "&amp;D273,IF(AND(D273="do_not_contact",E273&lt;&gt;"Y"),"status do_not_contact but do_not_contact is not Y",""))))))</f>
        <v/>
      </c>
      <c r="I273" s="17" t="n">
        <v>252</v>
      </c>
      <c r="J273" s="17">
        <f>IFERROR(INDEX(Clay_Brands!$A$2:$FZ$601,I273,$D$5)&amp;"","")</f>
        <v/>
      </c>
      <c r="K273" s="17">
        <f>IFERROR(INDEX(Clay_Brands!$A$2:$FZ$601,I273,$D$7)&amp;"","")</f>
        <v/>
      </c>
      <c r="L273" s="17">
        <f>IFERROR(INDEX(Clay_Brands!$A$2:$FZ$601,I273,$D$8)&amp;"","")</f>
        <v/>
      </c>
      <c r="M273" s="17">
        <f>IF(J273="","",IF(COUNTIF(Brand_Log!$A$2:$A$201,J273)&gt;0,"Y","N"))</f>
        <v/>
      </c>
      <c r="N273" s="17">
        <f>IF(OR(J273="",AND(LEFT(J273,6)="SAMPLE",Config!$B$19&lt;&gt;"Y")),"",IF(IFERROR(INDEX(Lists!$J$2:$J$15,MATCH(K273,Lists!$I$2:$I$15,0)),-1)=-1,"status '"&amp;K273&amp;"' is not a CONTRACTS status",IF(AND(K273="paid",COUNTIF(paid_brands!$AC$2:$AC$51,J273)=0),"status paid but no paid_brands row"&amp;IF(M273="N"," and no tracker row",""),IF(AND(IFERROR(INDEX(Lists!$J$2:$J$15,MATCH(K273,Lists!$I$2:$I$15,0)),-1)&gt;=6,M273="N"),"status "&amp;K273&amp;" but no tracker row",IF(AND(L273="Y",K273&lt;&gt;"do_not_contact"),"do_not_contact = Y but status is "&amp;K273,IF(AND(K273="do_not_contact",L273&lt;&gt;"Y"),"status do_not_contact but do_not_contact is not Y",""))))))</f>
        <v/>
      </c>
    </row>
    <row r="274">
      <c r="B274" s="17" t="n">
        <v>253</v>
      </c>
      <c r="C274" s="17">
        <f>IFERROR(INDEX(Clay_Offices!$A$2:$FZ$601,B274,$C$5)&amp;"","")</f>
        <v/>
      </c>
      <c r="D274" s="17">
        <f>IFERROR(INDEX(Clay_Offices!$A$2:$FZ$601,B274,$C$7)&amp;"","")</f>
        <v/>
      </c>
      <c r="E274" s="17">
        <f>IFERROR(INDEX(Clay_Offices!$A$2:$FZ$601,B274,$C$8)&amp;"","")</f>
        <v/>
      </c>
      <c r="F274" s="17">
        <f>IF(C274="","",IF(COUNTIF(Office_Log!$A$2:$A$201,C274)&gt;0,"Y","N"))</f>
        <v/>
      </c>
      <c r="G274" s="17">
        <f>IF(OR(C274="",AND(LEFT(C274,6)="SAMPLE",Config!$B$19&lt;&gt;"Y")),"",IF(IFERROR(INDEX(Lists!$J$2:$J$15,MATCH(D274,Lists!$I$2:$I$15,0)),-1)=-1,"status '"&amp;D274&amp;"' is not a CONTRACTS status",IF(AND(D274="signed",COUNTIF(signed_offices!$W$2:$W$51,C274)=0),"status signed but no signed_offices row"&amp;IF(F274="N"," and no tracker row",""),IF(AND(IFERROR(INDEX(Lists!$J$2:$J$15,MATCH(D274,Lists!$I$2:$I$15,0)),-1)&gt;=6,F274="N"),"status "&amp;D274&amp;" but no tracker row",IF(AND(E274="Y",D274&lt;&gt;"do_not_contact"),"do_not_contact = Y but status is "&amp;D274,IF(AND(D274="do_not_contact",E274&lt;&gt;"Y"),"status do_not_contact but do_not_contact is not Y",""))))))</f>
        <v/>
      </c>
      <c r="I274" s="17" t="n">
        <v>253</v>
      </c>
      <c r="J274" s="17">
        <f>IFERROR(INDEX(Clay_Brands!$A$2:$FZ$601,I274,$D$5)&amp;"","")</f>
        <v/>
      </c>
      <c r="K274" s="17">
        <f>IFERROR(INDEX(Clay_Brands!$A$2:$FZ$601,I274,$D$7)&amp;"","")</f>
        <v/>
      </c>
      <c r="L274" s="17">
        <f>IFERROR(INDEX(Clay_Brands!$A$2:$FZ$601,I274,$D$8)&amp;"","")</f>
        <v/>
      </c>
      <c r="M274" s="17">
        <f>IF(J274="","",IF(COUNTIF(Brand_Log!$A$2:$A$201,J274)&gt;0,"Y","N"))</f>
        <v/>
      </c>
      <c r="N274" s="17">
        <f>IF(OR(J274="",AND(LEFT(J274,6)="SAMPLE",Config!$B$19&lt;&gt;"Y")),"",IF(IFERROR(INDEX(Lists!$J$2:$J$15,MATCH(K274,Lists!$I$2:$I$15,0)),-1)=-1,"status '"&amp;K274&amp;"' is not a CONTRACTS status",IF(AND(K274="paid",COUNTIF(paid_brands!$AC$2:$AC$51,J274)=0),"status paid but no paid_brands row"&amp;IF(M274="N"," and no tracker row",""),IF(AND(IFERROR(INDEX(Lists!$J$2:$J$15,MATCH(K274,Lists!$I$2:$I$15,0)),-1)&gt;=6,M274="N"),"status "&amp;K274&amp;" but no tracker row",IF(AND(L274="Y",K274&lt;&gt;"do_not_contact"),"do_not_contact = Y but status is "&amp;K274,IF(AND(K274="do_not_contact",L274&lt;&gt;"Y"),"status do_not_contact but do_not_contact is not Y",""))))))</f>
        <v/>
      </c>
    </row>
    <row r="275">
      <c r="B275" s="17" t="n">
        <v>254</v>
      </c>
      <c r="C275" s="17">
        <f>IFERROR(INDEX(Clay_Offices!$A$2:$FZ$601,B275,$C$5)&amp;"","")</f>
        <v/>
      </c>
      <c r="D275" s="17">
        <f>IFERROR(INDEX(Clay_Offices!$A$2:$FZ$601,B275,$C$7)&amp;"","")</f>
        <v/>
      </c>
      <c r="E275" s="17">
        <f>IFERROR(INDEX(Clay_Offices!$A$2:$FZ$601,B275,$C$8)&amp;"","")</f>
        <v/>
      </c>
      <c r="F275" s="17">
        <f>IF(C275="","",IF(COUNTIF(Office_Log!$A$2:$A$201,C275)&gt;0,"Y","N"))</f>
        <v/>
      </c>
      <c r="G275" s="17">
        <f>IF(OR(C275="",AND(LEFT(C275,6)="SAMPLE",Config!$B$19&lt;&gt;"Y")),"",IF(IFERROR(INDEX(Lists!$J$2:$J$15,MATCH(D275,Lists!$I$2:$I$15,0)),-1)=-1,"status '"&amp;D275&amp;"' is not a CONTRACTS status",IF(AND(D275="signed",COUNTIF(signed_offices!$W$2:$W$51,C275)=0),"status signed but no signed_offices row"&amp;IF(F275="N"," and no tracker row",""),IF(AND(IFERROR(INDEX(Lists!$J$2:$J$15,MATCH(D275,Lists!$I$2:$I$15,0)),-1)&gt;=6,F275="N"),"status "&amp;D275&amp;" but no tracker row",IF(AND(E275="Y",D275&lt;&gt;"do_not_contact"),"do_not_contact = Y but status is "&amp;D275,IF(AND(D275="do_not_contact",E275&lt;&gt;"Y"),"status do_not_contact but do_not_contact is not Y",""))))))</f>
        <v/>
      </c>
      <c r="I275" s="17" t="n">
        <v>254</v>
      </c>
      <c r="J275" s="17">
        <f>IFERROR(INDEX(Clay_Brands!$A$2:$FZ$601,I275,$D$5)&amp;"","")</f>
        <v/>
      </c>
      <c r="K275" s="17">
        <f>IFERROR(INDEX(Clay_Brands!$A$2:$FZ$601,I275,$D$7)&amp;"","")</f>
        <v/>
      </c>
      <c r="L275" s="17">
        <f>IFERROR(INDEX(Clay_Brands!$A$2:$FZ$601,I275,$D$8)&amp;"","")</f>
        <v/>
      </c>
      <c r="M275" s="17">
        <f>IF(J275="","",IF(COUNTIF(Brand_Log!$A$2:$A$201,J275)&gt;0,"Y","N"))</f>
        <v/>
      </c>
      <c r="N275" s="17">
        <f>IF(OR(J275="",AND(LEFT(J275,6)="SAMPLE",Config!$B$19&lt;&gt;"Y")),"",IF(IFERROR(INDEX(Lists!$J$2:$J$15,MATCH(K275,Lists!$I$2:$I$15,0)),-1)=-1,"status '"&amp;K275&amp;"' is not a CONTRACTS status",IF(AND(K275="paid",COUNTIF(paid_brands!$AC$2:$AC$51,J275)=0),"status paid but no paid_brands row"&amp;IF(M275="N"," and no tracker row",""),IF(AND(IFERROR(INDEX(Lists!$J$2:$J$15,MATCH(K275,Lists!$I$2:$I$15,0)),-1)&gt;=6,M275="N"),"status "&amp;K275&amp;" but no tracker row",IF(AND(L275="Y",K275&lt;&gt;"do_not_contact"),"do_not_contact = Y but status is "&amp;K275,IF(AND(K275="do_not_contact",L275&lt;&gt;"Y"),"status do_not_contact but do_not_contact is not Y",""))))))</f>
        <v/>
      </c>
    </row>
    <row r="276">
      <c r="B276" s="17" t="n">
        <v>255</v>
      </c>
      <c r="C276" s="17">
        <f>IFERROR(INDEX(Clay_Offices!$A$2:$FZ$601,B276,$C$5)&amp;"","")</f>
        <v/>
      </c>
      <c r="D276" s="17">
        <f>IFERROR(INDEX(Clay_Offices!$A$2:$FZ$601,B276,$C$7)&amp;"","")</f>
        <v/>
      </c>
      <c r="E276" s="17">
        <f>IFERROR(INDEX(Clay_Offices!$A$2:$FZ$601,B276,$C$8)&amp;"","")</f>
        <v/>
      </c>
      <c r="F276" s="17">
        <f>IF(C276="","",IF(COUNTIF(Office_Log!$A$2:$A$201,C276)&gt;0,"Y","N"))</f>
        <v/>
      </c>
      <c r="G276" s="17">
        <f>IF(OR(C276="",AND(LEFT(C276,6)="SAMPLE",Config!$B$19&lt;&gt;"Y")),"",IF(IFERROR(INDEX(Lists!$J$2:$J$15,MATCH(D276,Lists!$I$2:$I$15,0)),-1)=-1,"status '"&amp;D276&amp;"' is not a CONTRACTS status",IF(AND(D276="signed",COUNTIF(signed_offices!$W$2:$W$51,C276)=0),"status signed but no signed_offices row"&amp;IF(F276="N"," and no tracker row",""),IF(AND(IFERROR(INDEX(Lists!$J$2:$J$15,MATCH(D276,Lists!$I$2:$I$15,0)),-1)&gt;=6,F276="N"),"status "&amp;D276&amp;" but no tracker row",IF(AND(E276="Y",D276&lt;&gt;"do_not_contact"),"do_not_contact = Y but status is "&amp;D276,IF(AND(D276="do_not_contact",E276&lt;&gt;"Y"),"status do_not_contact but do_not_contact is not Y",""))))))</f>
        <v/>
      </c>
      <c r="I276" s="17" t="n">
        <v>255</v>
      </c>
      <c r="J276" s="17">
        <f>IFERROR(INDEX(Clay_Brands!$A$2:$FZ$601,I276,$D$5)&amp;"","")</f>
        <v/>
      </c>
      <c r="K276" s="17">
        <f>IFERROR(INDEX(Clay_Brands!$A$2:$FZ$601,I276,$D$7)&amp;"","")</f>
        <v/>
      </c>
      <c r="L276" s="17">
        <f>IFERROR(INDEX(Clay_Brands!$A$2:$FZ$601,I276,$D$8)&amp;"","")</f>
        <v/>
      </c>
      <c r="M276" s="17">
        <f>IF(J276="","",IF(COUNTIF(Brand_Log!$A$2:$A$201,J276)&gt;0,"Y","N"))</f>
        <v/>
      </c>
      <c r="N276" s="17">
        <f>IF(OR(J276="",AND(LEFT(J276,6)="SAMPLE",Config!$B$19&lt;&gt;"Y")),"",IF(IFERROR(INDEX(Lists!$J$2:$J$15,MATCH(K276,Lists!$I$2:$I$15,0)),-1)=-1,"status '"&amp;K276&amp;"' is not a CONTRACTS status",IF(AND(K276="paid",COUNTIF(paid_brands!$AC$2:$AC$51,J276)=0),"status paid but no paid_brands row"&amp;IF(M276="N"," and no tracker row",""),IF(AND(IFERROR(INDEX(Lists!$J$2:$J$15,MATCH(K276,Lists!$I$2:$I$15,0)),-1)&gt;=6,M276="N"),"status "&amp;K276&amp;" but no tracker row",IF(AND(L276="Y",K276&lt;&gt;"do_not_contact"),"do_not_contact = Y but status is "&amp;K276,IF(AND(K276="do_not_contact",L276&lt;&gt;"Y"),"status do_not_contact but do_not_contact is not Y",""))))))</f>
        <v/>
      </c>
    </row>
    <row r="277">
      <c r="B277" s="17" t="n">
        <v>256</v>
      </c>
      <c r="C277" s="17">
        <f>IFERROR(INDEX(Clay_Offices!$A$2:$FZ$601,B277,$C$5)&amp;"","")</f>
        <v/>
      </c>
      <c r="D277" s="17">
        <f>IFERROR(INDEX(Clay_Offices!$A$2:$FZ$601,B277,$C$7)&amp;"","")</f>
        <v/>
      </c>
      <c r="E277" s="17">
        <f>IFERROR(INDEX(Clay_Offices!$A$2:$FZ$601,B277,$C$8)&amp;"","")</f>
        <v/>
      </c>
      <c r="F277" s="17">
        <f>IF(C277="","",IF(COUNTIF(Office_Log!$A$2:$A$201,C277)&gt;0,"Y","N"))</f>
        <v/>
      </c>
      <c r="G277" s="17">
        <f>IF(OR(C277="",AND(LEFT(C277,6)="SAMPLE",Config!$B$19&lt;&gt;"Y")),"",IF(IFERROR(INDEX(Lists!$J$2:$J$15,MATCH(D277,Lists!$I$2:$I$15,0)),-1)=-1,"status '"&amp;D277&amp;"' is not a CONTRACTS status",IF(AND(D277="signed",COUNTIF(signed_offices!$W$2:$W$51,C277)=0),"status signed but no signed_offices row"&amp;IF(F277="N"," and no tracker row",""),IF(AND(IFERROR(INDEX(Lists!$J$2:$J$15,MATCH(D277,Lists!$I$2:$I$15,0)),-1)&gt;=6,F277="N"),"status "&amp;D277&amp;" but no tracker row",IF(AND(E277="Y",D277&lt;&gt;"do_not_contact"),"do_not_contact = Y but status is "&amp;D277,IF(AND(D277="do_not_contact",E277&lt;&gt;"Y"),"status do_not_contact but do_not_contact is not Y",""))))))</f>
        <v/>
      </c>
      <c r="I277" s="17" t="n">
        <v>256</v>
      </c>
      <c r="J277" s="17">
        <f>IFERROR(INDEX(Clay_Brands!$A$2:$FZ$601,I277,$D$5)&amp;"","")</f>
        <v/>
      </c>
      <c r="K277" s="17">
        <f>IFERROR(INDEX(Clay_Brands!$A$2:$FZ$601,I277,$D$7)&amp;"","")</f>
        <v/>
      </c>
      <c r="L277" s="17">
        <f>IFERROR(INDEX(Clay_Brands!$A$2:$FZ$601,I277,$D$8)&amp;"","")</f>
        <v/>
      </c>
      <c r="M277" s="17">
        <f>IF(J277="","",IF(COUNTIF(Brand_Log!$A$2:$A$201,J277)&gt;0,"Y","N"))</f>
        <v/>
      </c>
      <c r="N277" s="17">
        <f>IF(OR(J277="",AND(LEFT(J277,6)="SAMPLE",Config!$B$19&lt;&gt;"Y")),"",IF(IFERROR(INDEX(Lists!$J$2:$J$15,MATCH(K277,Lists!$I$2:$I$15,0)),-1)=-1,"status '"&amp;K277&amp;"' is not a CONTRACTS status",IF(AND(K277="paid",COUNTIF(paid_brands!$AC$2:$AC$51,J277)=0),"status paid but no paid_brands row"&amp;IF(M277="N"," and no tracker row",""),IF(AND(IFERROR(INDEX(Lists!$J$2:$J$15,MATCH(K277,Lists!$I$2:$I$15,0)),-1)&gt;=6,M277="N"),"status "&amp;K277&amp;" but no tracker row",IF(AND(L277="Y",K277&lt;&gt;"do_not_contact"),"do_not_contact = Y but status is "&amp;K277,IF(AND(K277="do_not_contact",L277&lt;&gt;"Y"),"status do_not_contact but do_not_contact is not Y",""))))))</f>
        <v/>
      </c>
    </row>
    <row r="278">
      <c r="B278" s="17" t="n">
        <v>257</v>
      </c>
      <c r="C278" s="17">
        <f>IFERROR(INDEX(Clay_Offices!$A$2:$FZ$601,B278,$C$5)&amp;"","")</f>
        <v/>
      </c>
      <c r="D278" s="17">
        <f>IFERROR(INDEX(Clay_Offices!$A$2:$FZ$601,B278,$C$7)&amp;"","")</f>
        <v/>
      </c>
      <c r="E278" s="17">
        <f>IFERROR(INDEX(Clay_Offices!$A$2:$FZ$601,B278,$C$8)&amp;"","")</f>
        <v/>
      </c>
      <c r="F278" s="17">
        <f>IF(C278="","",IF(COUNTIF(Office_Log!$A$2:$A$201,C278)&gt;0,"Y","N"))</f>
        <v/>
      </c>
      <c r="G278" s="17">
        <f>IF(OR(C278="",AND(LEFT(C278,6)="SAMPLE",Config!$B$19&lt;&gt;"Y")),"",IF(IFERROR(INDEX(Lists!$J$2:$J$15,MATCH(D278,Lists!$I$2:$I$15,0)),-1)=-1,"status '"&amp;D278&amp;"' is not a CONTRACTS status",IF(AND(D278="signed",COUNTIF(signed_offices!$W$2:$W$51,C278)=0),"status signed but no signed_offices row"&amp;IF(F278="N"," and no tracker row",""),IF(AND(IFERROR(INDEX(Lists!$J$2:$J$15,MATCH(D278,Lists!$I$2:$I$15,0)),-1)&gt;=6,F278="N"),"status "&amp;D278&amp;" but no tracker row",IF(AND(E278="Y",D278&lt;&gt;"do_not_contact"),"do_not_contact = Y but status is "&amp;D278,IF(AND(D278="do_not_contact",E278&lt;&gt;"Y"),"status do_not_contact but do_not_contact is not Y",""))))))</f>
        <v/>
      </c>
      <c r="I278" s="17" t="n">
        <v>257</v>
      </c>
      <c r="J278" s="17">
        <f>IFERROR(INDEX(Clay_Brands!$A$2:$FZ$601,I278,$D$5)&amp;"","")</f>
        <v/>
      </c>
      <c r="K278" s="17">
        <f>IFERROR(INDEX(Clay_Brands!$A$2:$FZ$601,I278,$D$7)&amp;"","")</f>
        <v/>
      </c>
      <c r="L278" s="17">
        <f>IFERROR(INDEX(Clay_Brands!$A$2:$FZ$601,I278,$D$8)&amp;"","")</f>
        <v/>
      </c>
      <c r="M278" s="17">
        <f>IF(J278="","",IF(COUNTIF(Brand_Log!$A$2:$A$201,J278)&gt;0,"Y","N"))</f>
        <v/>
      </c>
      <c r="N278" s="17">
        <f>IF(OR(J278="",AND(LEFT(J278,6)="SAMPLE",Config!$B$19&lt;&gt;"Y")),"",IF(IFERROR(INDEX(Lists!$J$2:$J$15,MATCH(K278,Lists!$I$2:$I$15,0)),-1)=-1,"status '"&amp;K278&amp;"' is not a CONTRACTS status",IF(AND(K278="paid",COUNTIF(paid_brands!$AC$2:$AC$51,J278)=0),"status paid but no paid_brands row"&amp;IF(M278="N"," and no tracker row",""),IF(AND(IFERROR(INDEX(Lists!$J$2:$J$15,MATCH(K278,Lists!$I$2:$I$15,0)),-1)&gt;=6,M278="N"),"status "&amp;K278&amp;" but no tracker row",IF(AND(L278="Y",K278&lt;&gt;"do_not_contact"),"do_not_contact = Y but status is "&amp;K278,IF(AND(K278="do_not_contact",L278&lt;&gt;"Y"),"status do_not_contact but do_not_contact is not Y",""))))))</f>
        <v/>
      </c>
    </row>
    <row r="279">
      <c r="B279" s="17" t="n">
        <v>258</v>
      </c>
      <c r="C279" s="17">
        <f>IFERROR(INDEX(Clay_Offices!$A$2:$FZ$601,B279,$C$5)&amp;"","")</f>
        <v/>
      </c>
      <c r="D279" s="17">
        <f>IFERROR(INDEX(Clay_Offices!$A$2:$FZ$601,B279,$C$7)&amp;"","")</f>
        <v/>
      </c>
      <c r="E279" s="17">
        <f>IFERROR(INDEX(Clay_Offices!$A$2:$FZ$601,B279,$C$8)&amp;"","")</f>
        <v/>
      </c>
      <c r="F279" s="17">
        <f>IF(C279="","",IF(COUNTIF(Office_Log!$A$2:$A$201,C279)&gt;0,"Y","N"))</f>
        <v/>
      </c>
      <c r="G279" s="17">
        <f>IF(OR(C279="",AND(LEFT(C279,6)="SAMPLE",Config!$B$19&lt;&gt;"Y")),"",IF(IFERROR(INDEX(Lists!$J$2:$J$15,MATCH(D279,Lists!$I$2:$I$15,0)),-1)=-1,"status '"&amp;D279&amp;"' is not a CONTRACTS status",IF(AND(D279="signed",COUNTIF(signed_offices!$W$2:$W$51,C279)=0),"status signed but no signed_offices row"&amp;IF(F279="N"," and no tracker row",""),IF(AND(IFERROR(INDEX(Lists!$J$2:$J$15,MATCH(D279,Lists!$I$2:$I$15,0)),-1)&gt;=6,F279="N"),"status "&amp;D279&amp;" but no tracker row",IF(AND(E279="Y",D279&lt;&gt;"do_not_contact"),"do_not_contact = Y but status is "&amp;D279,IF(AND(D279="do_not_contact",E279&lt;&gt;"Y"),"status do_not_contact but do_not_contact is not Y",""))))))</f>
        <v/>
      </c>
      <c r="I279" s="17" t="n">
        <v>258</v>
      </c>
      <c r="J279" s="17">
        <f>IFERROR(INDEX(Clay_Brands!$A$2:$FZ$601,I279,$D$5)&amp;"","")</f>
        <v/>
      </c>
      <c r="K279" s="17">
        <f>IFERROR(INDEX(Clay_Brands!$A$2:$FZ$601,I279,$D$7)&amp;"","")</f>
        <v/>
      </c>
      <c r="L279" s="17">
        <f>IFERROR(INDEX(Clay_Brands!$A$2:$FZ$601,I279,$D$8)&amp;"","")</f>
        <v/>
      </c>
      <c r="M279" s="17">
        <f>IF(J279="","",IF(COUNTIF(Brand_Log!$A$2:$A$201,J279)&gt;0,"Y","N"))</f>
        <v/>
      </c>
      <c r="N279" s="17">
        <f>IF(OR(J279="",AND(LEFT(J279,6)="SAMPLE",Config!$B$19&lt;&gt;"Y")),"",IF(IFERROR(INDEX(Lists!$J$2:$J$15,MATCH(K279,Lists!$I$2:$I$15,0)),-1)=-1,"status '"&amp;K279&amp;"' is not a CONTRACTS status",IF(AND(K279="paid",COUNTIF(paid_brands!$AC$2:$AC$51,J279)=0),"status paid but no paid_brands row"&amp;IF(M279="N"," and no tracker row",""),IF(AND(IFERROR(INDEX(Lists!$J$2:$J$15,MATCH(K279,Lists!$I$2:$I$15,0)),-1)&gt;=6,M279="N"),"status "&amp;K279&amp;" but no tracker row",IF(AND(L279="Y",K279&lt;&gt;"do_not_contact"),"do_not_contact = Y but status is "&amp;K279,IF(AND(K279="do_not_contact",L279&lt;&gt;"Y"),"status do_not_contact but do_not_contact is not Y",""))))))</f>
        <v/>
      </c>
    </row>
    <row r="280">
      <c r="B280" s="17" t="n">
        <v>259</v>
      </c>
      <c r="C280" s="17">
        <f>IFERROR(INDEX(Clay_Offices!$A$2:$FZ$601,B280,$C$5)&amp;"","")</f>
        <v/>
      </c>
      <c r="D280" s="17">
        <f>IFERROR(INDEX(Clay_Offices!$A$2:$FZ$601,B280,$C$7)&amp;"","")</f>
        <v/>
      </c>
      <c r="E280" s="17">
        <f>IFERROR(INDEX(Clay_Offices!$A$2:$FZ$601,B280,$C$8)&amp;"","")</f>
        <v/>
      </c>
      <c r="F280" s="17">
        <f>IF(C280="","",IF(COUNTIF(Office_Log!$A$2:$A$201,C280)&gt;0,"Y","N"))</f>
        <v/>
      </c>
      <c r="G280" s="17">
        <f>IF(OR(C280="",AND(LEFT(C280,6)="SAMPLE",Config!$B$19&lt;&gt;"Y")),"",IF(IFERROR(INDEX(Lists!$J$2:$J$15,MATCH(D280,Lists!$I$2:$I$15,0)),-1)=-1,"status '"&amp;D280&amp;"' is not a CONTRACTS status",IF(AND(D280="signed",COUNTIF(signed_offices!$W$2:$W$51,C280)=0),"status signed but no signed_offices row"&amp;IF(F280="N"," and no tracker row",""),IF(AND(IFERROR(INDEX(Lists!$J$2:$J$15,MATCH(D280,Lists!$I$2:$I$15,0)),-1)&gt;=6,F280="N"),"status "&amp;D280&amp;" but no tracker row",IF(AND(E280="Y",D280&lt;&gt;"do_not_contact"),"do_not_contact = Y but status is "&amp;D280,IF(AND(D280="do_not_contact",E280&lt;&gt;"Y"),"status do_not_contact but do_not_contact is not Y",""))))))</f>
        <v/>
      </c>
      <c r="I280" s="17" t="n">
        <v>259</v>
      </c>
      <c r="J280" s="17">
        <f>IFERROR(INDEX(Clay_Brands!$A$2:$FZ$601,I280,$D$5)&amp;"","")</f>
        <v/>
      </c>
      <c r="K280" s="17">
        <f>IFERROR(INDEX(Clay_Brands!$A$2:$FZ$601,I280,$D$7)&amp;"","")</f>
        <v/>
      </c>
      <c r="L280" s="17">
        <f>IFERROR(INDEX(Clay_Brands!$A$2:$FZ$601,I280,$D$8)&amp;"","")</f>
        <v/>
      </c>
      <c r="M280" s="17">
        <f>IF(J280="","",IF(COUNTIF(Brand_Log!$A$2:$A$201,J280)&gt;0,"Y","N"))</f>
        <v/>
      </c>
      <c r="N280" s="17">
        <f>IF(OR(J280="",AND(LEFT(J280,6)="SAMPLE",Config!$B$19&lt;&gt;"Y")),"",IF(IFERROR(INDEX(Lists!$J$2:$J$15,MATCH(K280,Lists!$I$2:$I$15,0)),-1)=-1,"status '"&amp;K280&amp;"' is not a CONTRACTS status",IF(AND(K280="paid",COUNTIF(paid_brands!$AC$2:$AC$51,J280)=0),"status paid but no paid_brands row"&amp;IF(M280="N"," and no tracker row",""),IF(AND(IFERROR(INDEX(Lists!$J$2:$J$15,MATCH(K280,Lists!$I$2:$I$15,0)),-1)&gt;=6,M280="N"),"status "&amp;K280&amp;" but no tracker row",IF(AND(L280="Y",K280&lt;&gt;"do_not_contact"),"do_not_contact = Y but status is "&amp;K280,IF(AND(K280="do_not_contact",L280&lt;&gt;"Y"),"status do_not_contact but do_not_contact is not Y",""))))))</f>
        <v/>
      </c>
    </row>
    <row r="281">
      <c r="B281" s="17" t="n">
        <v>260</v>
      </c>
      <c r="C281" s="17">
        <f>IFERROR(INDEX(Clay_Offices!$A$2:$FZ$601,B281,$C$5)&amp;"","")</f>
        <v/>
      </c>
      <c r="D281" s="17">
        <f>IFERROR(INDEX(Clay_Offices!$A$2:$FZ$601,B281,$C$7)&amp;"","")</f>
        <v/>
      </c>
      <c r="E281" s="17">
        <f>IFERROR(INDEX(Clay_Offices!$A$2:$FZ$601,B281,$C$8)&amp;"","")</f>
        <v/>
      </c>
      <c r="F281" s="17">
        <f>IF(C281="","",IF(COUNTIF(Office_Log!$A$2:$A$201,C281)&gt;0,"Y","N"))</f>
        <v/>
      </c>
      <c r="G281" s="17">
        <f>IF(OR(C281="",AND(LEFT(C281,6)="SAMPLE",Config!$B$19&lt;&gt;"Y")),"",IF(IFERROR(INDEX(Lists!$J$2:$J$15,MATCH(D281,Lists!$I$2:$I$15,0)),-1)=-1,"status '"&amp;D281&amp;"' is not a CONTRACTS status",IF(AND(D281="signed",COUNTIF(signed_offices!$W$2:$W$51,C281)=0),"status signed but no signed_offices row"&amp;IF(F281="N"," and no tracker row",""),IF(AND(IFERROR(INDEX(Lists!$J$2:$J$15,MATCH(D281,Lists!$I$2:$I$15,0)),-1)&gt;=6,F281="N"),"status "&amp;D281&amp;" but no tracker row",IF(AND(E281="Y",D281&lt;&gt;"do_not_contact"),"do_not_contact = Y but status is "&amp;D281,IF(AND(D281="do_not_contact",E281&lt;&gt;"Y"),"status do_not_contact but do_not_contact is not Y",""))))))</f>
        <v/>
      </c>
      <c r="I281" s="17" t="n">
        <v>260</v>
      </c>
      <c r="J281" s="17">
        <f>IFERROR(INDEX(Clay_Brands!$A$2:$FZ$601,I281,$D$5)&amp;"","")</f>
        <v/>
      </c>
      <c r="K281" s="17">
        <f>IFERROR(INDEX(Clay_Brands!$A$2:$FZ$601,I281,$D$7)&amp;"","")</f>
        <v/>
      </c>
      <c r="L281" s="17">
        <f>IFERROR(INDEX(Clay_Brands!$A$2:$FZ$601,I281,$D$8)&amp;"","")</f>
        <v/>
      </c>
      <c r="M281" s="17">
        <f>IF(J281="","",IF(COUNTIF(Brand_Log!$A$2:$A$201,J281)&gt;0,"Y","N"))</f>
        <v/>
      </c>
      <c r="N281" s="17">
        <f>IF(OR(J281="",AND(LEFT(J281,6)="SAMPLE",Config!$B$19&lt;&gt;"Y")),"",IF(IFERROR(INDEX(Lists!$J$2:$J$15,MATCH(K281,Lists!$I$2:$I$15,0)),-1)=-1,"status '"&amp;K281&amp;"' is not a CONTRACTS status",IF(AND(K281="paid",COUNTIF(paid_brands!$AC$2:$AC$51,J281)=0),"status paid but no paid_brands row"&amp;IF(M281="N"," and no tracker row",""),IF(AND(IFERROR(INDEX(Lists!$J$2:$J$15,MATCH(K281,Lists!$I$2:$I$15,0)),-1)&gt;=6,M281="N"),"status "&amp;K281&amp;" but no tracker row",IF(AND(L281="Y",K281&lt;&gt;"do_not_contact"),"do_not_contact = Y but status is "&amp;K281,IF(AND(K281="do_not_contact",L281&lt;&gt;"Y"),"status do_not_contact but do_not_contact is not Y",""))))))</f>
        <v/>
      </c>
    </row>
    <row r="282">
      <c r="B282" s="17" t="n">
        <v>261</v>
      </c>
      <c r="C282" s="17">
        <f>IFERROR(INDEX(Clay_Offices!$A$2:$FZ$601,B282,$C$5)&amp;"","")</f>
        <v/>
      </c>
      <c r="D282" s="17">
        <f>IFERROR(INDEX(Clay_Offices!$A$2:$FZ$601,B282,$C$7)&amp;"","")</f>
        <v/>
      </c>
      <c r="E282" s="17">
        <f>IFERROR(INDEX(Clay_Offices!$A$2:$FZ$601,B282,$C$8)&amp;"","")</f>
        <v/>
      </c>
      <c r="F282" s="17">
        <f>IF(C282="","",IF(COUNTIF(Office_Log!$A$2:$A$201,C282)&gt;0,"Y","N"))</f>
        <v/>
      </c>
      <c r="G282" s="17">
        <f>IF(OR(C282="",AND(LEFT(C282,6)="SAMPLE",Config!$B$19&lt;&gt;"Y")),"",IF(IFERROR(INDEX(Lists!$J$2:$J$15,MATCH(D282,Lists!$I$2:$I$15,0)),-1)=-1,"status '"&amp;D282&amp;"' is not a CONTRACTS status",IF(AND(D282="signed",COUNTIF(signed_offices!$W$2:$W$51,C282)=0),"status signed but no signed_offices row"&amp;IF(F282="N"," and no tracker row",""),IF(AND(IFERROR(INDEX(Lists!$J$2:$J$15,MATCH(D282,Lists!$I$2:$I$15,0)),-1)&gt;=6,F282="N"),"status "&amp;D282&amp;" but no tracker row",IF(AND(E282="Y",D282&lt;&gt;"do_not_contact"),"do_not_contact = Y but status is "&amp;D282,IF(AND(D282="do_not_contact",E282&lt;&gt;"Y"),"status do_not_contact but do_not_contact is not Y",""))))))</f>
        <v/>
      </c>
      <c r="I282" s="17" t="n">
        <v>261</v>
      </c>
      <c r="J282" s="17">
        <f>IFERROR(INDEX(Clay_Brands!$A$2:$FZ$601,I282,$D$5)&amp;"","")</f>
        <v/>
      </c>
      <c r="K282" s="17">
        <f>IFERROR(INDEX(Clay_Brands!$A$2:$FZ$601,I282,$D$7)&amp;"","")</f>
        <v/>
      </c>
      <c r="L282" s="17">
        <f>IFERROR(INDEX(Clay_Brands!$A$2:$FZ$601,I282,$D$8)&amp;"","")</f>
        <v/>
      </c>
      <c r="M282" s="17">
        <f>IF(J282="","",IF(COUNTIF(Brand_Log!$A$2:$A$201,J282)&gt;0,"Y","N"))</f>
        <v/>
      </c>
      <c r="N282" s="17">
        <f>IF(OR(J282="",AND(LEFT(J282,6)="SAMPLE",Config!$B$19&lt;&gt;"Y")),"",IF(IFERROR(INDEX(Lists!$J$2:$J$15,MATCH(K282,Lists!$I$2:$I$15,0)),-1)=-1,"status '"&amp;K282&amp;"' is not a CONTRACTS status",IF(AND(K282="paid",COUNTIF(paid_brands!$AC$2:$AC$51,J282)=0),"status paid but no paid_brands row"&amp;IF(M282="N"," and no tracker row",""),IF(AND(IFERROR(INDEX(Lists!$J$2:$J$15,MATCH(K282,Lists!$I$2:$I$15,0)),-1)&gt;=6,M282="N"),"status "&amp;K282&amp;" but no tracker row",IF(AND(L282="Y",K282&lt;&gt;"do_not_contact"),"do_not_contact = Y but status is "&amp;K282,IF(AND(K282="do_not_contact",L282&lt;&gt;"Y"),"status do_not_contact but do_not_contact is not Y",""))))))</f>
        <v/>
      </c>
    </row>
    <row r="283">
      <c r="B283" s="17" t="n">
        <v>262</v>
      </c>
      <c r="C283" s="17">
        <f>IFERROR(INDEX(Clay_Offices!$A$2:$FZ$601,B283,$C$5)&amp;"","")</f>
        <v/>
      </c>
      <c r="D283" s="17">
        <f>IFERROR(INDEX(Clay_Offices!$A$2:$FZ$601,B283,$C$7)&amp;"","")</f>
        <v/>
      </c>
      <c r="E283" s="17">
        <f>IFERROR(INDEX(Clay_Offices!$A$2:$FZ$601,B283,$C$8)&amp;"","")</f>
        <v/>
      </c>
      <c r="F283" s="17">
        <f>IF(C283="","",IF(COUNTIF(Office_Log!$A$2:$A$201,C283)&gt;0,"Y","N"))</f>
        <v/>
      </c>
      <c r="G283" s="17">
        <f>IF(OR(C283="",AND(LEFT(C283,6)="SAMPLE",Config!$B$19&lt;&gt;"Y")),"",IF(IFERROR(INDEX(Lists!$J$2:$J$15,MATCH(D283,Lists!$I$2:$I$15,0)),-1)=-1,"status '"&amp;D283&amp;"' is not a CONTRACTS status",IF(AND(D283="signed",COUNTIF(signed_offices!$W$2:$W$51,C283)=0),"status signed but no signed_offices row"&amp;IF(F283="N"," and no tracker row",""),IF(AND(IFERROR(INDEX(Lists!$J$2:$J$15,MATCH(D283,Lists!$I$2:$I$15,0)),-1)&gt;=6,F283="N"),"status "&amp;D283&amp;" but no tracker row",IF(AND(E283="Y",D283&lt;&gt;"do_not_contact"),"do_not_contact = Y but status is "&amp;D283,IF(AND(D283="do_not_contact",E283&lt;&gt;"Y"),"status do_not_contact but do_not_contact is not Y",""))))))</f>
        <v/>
      </c>
      <c r="I283" s="17" t="n">
        <v>262</v>
      </c>
      <c r="J283" s="17">
        <f>IFERROR(INDEX(Clay_Brands!$A$2:$FZ$601,I283,$D$5)&amp;"","")</f>
        <v/>
      </c>
      <c r="K283" s="17">
        <f>IFERROR(INDEX(Clay_Brands!$A$2:$FZ$601,I283,$D$7)&amp;"","")</f>
        <v/>
      </c>
      <c r="L283" s="17">
        <f>IFERROR(INDEX(Clay_Brands!$A$2:$FZ$601,I283,$D$8)&amp;"","")</f>
        <v/>
      </c>
      <c r="M283" s="17">
        <f>IF(J283="","",IF(COUNTIF(Brand_Log!$A$2:$A$201,J283)&gt;0,"Y","N"))</f>
        <v/>
      </c>
      <c r="N283" s="17">
        <f>IF(OR(J283="",AND(LEFT(J283,6)="SAMPLE",Config!$B$19&lt;&gt;"Y")),"",IF(IFERROR(INDEX(Lists!$J$2:$J$15,MATCH(K283,Lists!$I$2:$I$15,0)),-1)=-1,"status '"&amp;K283&amp;"' is not a CONTRACTS status",IF(AND(K283="paid",COUNTIF(paid_brands!$AC$2:$AC$51,J283)=0),"status paid but no paid_brands row"&amp;IF(M283="N"," and no tracker row",""),IF(AND(IFERROR(INDEX(Lists!$J$2:$J$15,MATCH(K283,Lists!$I$2:$I$15,0)),-1)&gt;=6,M283="N"),"status "&amp;K283&amp;" but no tracker row",IF(AND(L283="Y",K283&lt;&gt;"do_not_contact"),"do_not_contact = Y but status is "&amp;K283,IF(AND(K283="do_not_contact",L283&lt;&gt;"Y"),"status do_not_contact but do_not_contact is not Y",""))))))</f>
        <v/>
      </c>
    </row>
    <row r="284">
      <c r="B284" s="17" t="n">
        <v>263</v>
      </c>
      <c r="C284" s="17">
        <f>IFERROR(INDEX(Clay_Offices!$A$2:$FZ$601,B284,$C$5)&amp;"","")</f>
        <v/>
      </c>
      <c r="D284" s="17">
        <f>IFERROR(INDEX(Clay_Offices!$A$2:$FZ$601,B284,$C$7)&amp;"","")</f>
        <v/>
      </c>
      <c r="E284" s="17">
        <f>IFERROR(INDEX(Clay_Offices!$A$2:$FZ$601,B284,$C$8)&amp;"","")</f>
        <v/>
      </c>
      <c r="F284" s="17">
        <f>IF(C284="","",IF(COUNTIF(Office_Log!$A$2:$A$201,C284)&gt;0,"Y","N"))</f>
        <v/>
      </c>
      <c r="G284" s="17">
        <f>IF(OR(C284="",AND(LEFT(C284,6)="SAMPLE",Config!$B$19&lt;&gt;"Y")),"",IF(IFERROR(INDEX(Lists!$J$2:$J$15,MATCH(D284,Lists!$I$2:$I$15,0)),-1)=-1,"status '"&amp;D284&amp;"' is not a CONTRACTS status",IF(AND(D284="signed",COUNTIF(signed_offices!$W$2:$W$51,C284)=0),"status signed but no signed_offices row"&amp;IF(F284="N"," and no tracker row",""),IF(AND(IFERROR(INDEX(Lists!$J$2:$J$15,MATCH(D284,Lists!$I$2:$I$15,0)),-1)&gt;=6,F284="N"),"status "&amp;D284&amp;" but no tracker row",IF(AND(E284="Y",D284&lt;&gt;"do_not_contact"),"do_not_contact = Y but status is "&amp;D284,IF(AND(D284="do_not_contact",E284&lt;&gt;"Y"),"status do_not_contact but do_not_contact is not Y",""))))))</f>
        <v/>
      </c>
      <c r="I284" s="17" t="n">
        <v>263</v>
      </c>
      <c r="J284" s="17">
        <f>IFERROR(INDEX(Clay_Brands!$A$2:$FZ$601,I284,$D$5)&amp;"","")</f>
        <v/>
      </c>
      <c r="K284" s="17">
        <f>IFERROR(INDEX(Clay_Brands!$A$2:$FZ$601,I284,$D$7)&amp;"","")</f>
        <v/>
      </c>
      <c r="L284" s="17">
        <f>IFERROR(INDEX(Clay_Brands!$A$2:$FZ$601,I284,$D$8)&amp;"","")</f>
        <v/>
      </c>
      <c r="M284" s="17">
        <f>IF(J284="","",IF(COUNTIF(Brand_Log!$A$2:$A$201,J284)&gt;0,"Y","N"))</f>
        <v/>
      </c>
      <c r="N284" s="17">
        <f>IF(OR(J284="",AND(LEFT(J284,6)="SAMPLE",Config!$B$19&lt;&gt;"Y")),"",IF(IFERROR(INDEX(Lists!$J$2:$J$15,MATCH(K284,Lists!$I$2:$I$15,0)),-1)=-1,"status '"&amp;K284&amp;"' is not a CONTRACTS status",IF(AND(K284="paid",COUNTIF(paid_brands!$AC$2:$AC$51,J284)=0),"status paid but no paid_brands row"&amp;IF(M284="N"," and no tracker row",""),IF(AND(IFERROR(INDEX(Lists!$J$2:$J$15,MATCH(K284,Lists!$I$2:$I$15,0)),-1)&gt;=6,M284="N"),"status "&amp;K284&amp;" but no tracker row",IF(AND(L284="Y",K284&lt;&gt;"do_not_contact"),"do_not_contact = Y but status is "&amp;K284,IF(AND(K284="do_not_contact",L284&lt;&gt;"Y"),"status do_not_contact but do_not_contact is not Y",""))))))</f>
        <v/>
      </c>
    </row>
    <row r="285">
      <c r="B285" s="17" t="n">
        <v>264</v>
      </c>
      <c r="C285" s="17">
        <f>IFERROR(INDEX(Clay_Offices!$A$2:$FZ$601,B285,$C$5)&amp;"","")</f>
        <v/>
      </c>
      <c r="D285" s="17">
        <f>IFERROR(INDEX(Clay_Offices!$A$2:$FZ$601,B285,$C$7)&amp;"","")</f>
        <v/>
      </c>
      <c r="E285" s="17">
        <f>IFERROR(INDEX(Clay_Offices!$A$2:$FZ$601,B285,$C$8)&amp;"","")</f>
        <v/>
      </c>
      <c r="F285" s="17">
        <f>IF(C285="","",IF(COUNTIF(Office_Log!$A$2:$A$201,C285)&gt;0,"Y","N"))</f>
        <v/>
      </c>
      <c r="G285" s="17">
        <f>IF(OR(C285="",AND(LEFT(C285,6)="SAMPLE",Config!$B$19&lt;&gt;"Y")),"",IF(IFERROR(INDEX(Lists!$J$2:$J$15,MATCH(D285,Lists!$I$2:$I$15,0)),-1)=-1,"status '"&amp;D285&amp;"' is not a CONTRACTS status",IF(AND(D285="signed",COUNTIF(signed_offices!$W$2:$W$51,C285)=0),"status signed but no signed_offices row"&amp;IF(F285="N"," and no tracker row",""),IF(AND(IFERROR(INDEX(Lists!$J$2:$J$15,MATCH(D285,Lists!$I$2:$I$15,0)),-1)&gt;=6,F285="N"),"status "&amp;D285&amp;" but no tracker row",IF(AND(E285="Y",D285&lt;&gt;"do_not_contact"),"do_not_contact = Y but status is "&amp;D285,IF(AND(D285="do_not_contact",E285&lt;&gt;"Y"),"status do_not_contact but do_not_contact is not Y",""))))))</f>
        <v/>
      </c>
      <c r="I285" s="17" t="n">
        <v>264</v>
      </c>
      <c r="J285" s="17">
        <f>IFERROR(INDEX(Clay_Brands!$A$2:$FZ$601,I285,$D$5)&amp;"","")</f>
        <v/>
      </c>
      <c r="K285" s="17">
        <f>IFERROR(INDEX(Clay_Brands!$A$2:$FZ$601,I285,$D$7)&amp;"","")</f>
        <v/>
      </c>
      <c r="L285" s="17">
        <f>IFERROR(INDEX(Clay_Brands!$A$2:$FZ$601,I285,$D$8)&amp;"","")</f>
        <v/>
      </c>
      <c r="M285" s="17">
        <f>IF(J285="","",IF(COUNTIF(Brand_Log!$A$2:$A$201,J285)&gt;0,"Y","N"))</f>
        <v/>
      </c>
      <c r="N285" s="17">
        <f>IF(OR(J285="",AND(LEFT(J285,6)="SAMPLE",Config!$B$19&lt;&gt;"Y")),"",IF(IFERROR(INDEX(Lists!$J$2:$J$15,MATCH(K285,Lists!$I$2:$I$15,0)),-1)=-1,"status '"&amp;K285&amp;"' is not a CONTRACTS status",IF(AND(K285="paid",COUNTIF(paid_brands!$AC$2:$AC$51,J285)=0),"status paid but no paid_brands row"&amp;IF(M285="N"," and no tracker row",""),IF(AND(IFERROR(INDEX(Lists!$J$2:$J$15,MATCH(K285,Lists!$I$2:$I$15,0)),-1)&gt;=6,M285="N"),"status "&amp;K285&amp;" but no tracker row",IF(AND(L285="Y",K285&lt;&gt;"do_not_contact"),"do_not_contact = Y but status is "&amp;K285,IF(AND(K285="do_not_contact",L285&lt;&gt;"Y"),"status do_not_contact but do_not_contact is not Y",""))))))</f>
        <v/>
      </c>
    </row>
    <row r="286">
      <c r="B286" s="17" t="n">
        <v>265</v>
      </c>
      <c r="C286" s="17">
        <f>IFERROR(INDEX(Clay_Offices!$A$2:$FZ$601,B286,$C$5)&amp;"","")</f>
        <v/>
      </c>
      <c r="D286" s="17">
        <f>IFERROR(INDEX(Clay_Offices!$A$2:$FZ$601,B286,$C$7)&amp;"","")</f>
        <v/>
      </c>
      <c r="E286" s="17">
        <f>IFERROR(INDEX(Clay_Offices!$A$2:$FZ$601,B286,$C$8)&amp;"","")</f>
        <v/>
      </c>
      <c r="F286" s="17">
        <f>IF(C286="","",IF(COUNTIF(Office_Log!$A$2:$A$201,C286)&gt;0,"Y","N"))</f>
        <v/>
      </c>
      <c r="G286" s="17">
        <f>IF(OR(C286="",AND(LEFT(C286,6)="SAMPLE",Config!$B$19&lt;&gt;"Y")),"",IF(IFERROR(INDEX(Lists!$J$2:$J$15,MATCH(D286,Lists!$I$2:$I$15,0)),-1)=-1,"status '"&amp;D286&amp;"' is not a CONTRACTS status",IF(AND(D286="signed",COUNTIF(signed_offices!$W$2:$W$51,C286)=0),"status signed but no signed_offices row"&amp;IF(F286="N"," and no tracker row",""),IF(AND(IFERROR(INDEX(Lists!$J$2:$J$15,MATCH(D286,Lists!$I$2:$I$15,0)),-1)&gt;=6,F286="N"),"status "&amp;D286&amp;" but no tracker row",IF(AND(E286="Y",D286&lt;&gt;"do_not_contact"),"do_not_contact = Y but status is "&amp;D286,IF(AND(D286="do_not_contact",E286&lt;&gt;"Y"),"status do_not_contact but do_not_contact is not Y",""))))))</f>
        <v/>
      </c>
      <c r="I286" s="17" t="n">
        <v>265</v>
      </c>
      <c r="J286" s="17">
        <f>IFERROR(INDEX(Clay_Brands!$A$2:$FZ$601,I286,$D$5)&amp;"","")</f>
        <v/>
      </c>
      <c r="K286" s="17">
        <f>IFERROR(INDEX(Clay_Brands!$A$2:$FZ$601,I286,$D$7)&amp;"","")</f>
        <v/>
      </c>
      <c r="L286" s="17">
        <f>IFERROR(INDEX(Clay_Brands!$A$2:$FZ$601,I286,$D$8)&amp;"","")</f>
        <v/>
      </c>
      <c r="M286" s="17">
        <f>IF(J286="","",IF(COUNTIF(Brand_Log!$A$2:$A$201,J286)&gt;0,"Y","N"))</f>
        <v/>
      </c>
      <c r="N286" s="17">
        <f>IF(OR(J286="",AND(LEFT(J286,6)="SAMPLE",Config!$B$19&lt;&gt;"Y")),"",IF(IFERROR(INDEX(Lists!$J$2:$J$15,MATCH(K286,Lists!$I$2:$I$15,0)),-1)=-1,"status '"&amp;K286&amp;"' is not a CONTRACTS status",IF(AND(K286="paid",COUNTIF(paid_brands!$AC$2:$AC$51,J286)=0),"status paid but no paid_brands row"&amp;IF(M286="N"," and no tracker row",""),IF(AND(IFERROR(INDEX(Lists!$J$2:$J$15,MATCH(K286,Lists!$I$2:$I$15,0)),-1)&gt;=6,M286="N"),"status "&amp;K286&amp;" but no tracker row",IF(AND(L286="Y",K286&lt;&gt;"do_not_contact"),"do_not_contact = Y but status is "&amp;K286,IF(AND(K286="do_not_contact",L286&lt;&gt;"Y"),"status do_not_contact but do_not_contact is not Y",""))))))</f>
        <v/>
      </c>
    </row>
    <row r="287">
      <c r="B287" s="17" t="n">
        <v>266</v>
      </c>
      <c r="C287" s="17">
        <f>IFERROR(INDEX(Clay_Offices!$A$2:$FZ$601,B287,$C$5)&amp;"","")</f>
        <v/>
      </c>
      <c r="D287" s="17">
        <f>IFERROR(INDEX(Clay_Offices!$A$2:$FZ$601,B287,$C$7)&amp;"","")</f>
        <v/>
      </c>
      <c r="E287" s="17">
        <f>IFERROR(INDEX(Clay_Offices!$A$2:$FZ$601,B287,$C$8)&amp;"","")</f>
        <v/>
      </c>
      <c r="F287" s="17">
        <f>IF(C287="","",IF(COUNTIF(Office_Log!$A$2:$A$201,C287)&gt;0,"Y","N"))</f>
        <v/>
      </c>
      <c r="G287" s="17">
        <f>IF(OR(C287="",AND(LEFT(C287,6)="SAMPLE",Config!$B$19&lt;&gt;"Y")),"",IF(IFERROR(INDEX(Lists!$J$2:$J$15,MATCH(D287,Lists!$I$2:$I$15,0)),-1)=-1,"status '"&amp;D287&amp;"' is not a CONTRACTS status",IF(AND(D287="signed",COUNTIF(signed_offices!$W$2:$W$51,C287)=0),"status signed but no signed_offices row"&amp;IF(F287="N"," and no tracker row",""),IF(AND(IFERROR(INDEX(Lists!$J$2:$J$15,MATCH(D287,Lists!$I$2:$I$15,0)),-1)&gt;=6,F287="N"),"status "&amp;D287&amp;" but no tracker row",IF(AND(E287="Y",D287&lt;&gt;"do_not_contact"),"do_not_contact = Y but status is "&amp;D287,IF(AND(D287="do_not_contact",E287&lt;&gt;"Y"),"status do_not_contact but do_not_contact is not Y",""))))))</f>
        <v/>
      </c>
      <c r="I287" s="17" t="n">
        <v>266</v>
      </c>
      <c r="J287" s="17">
        <f>IFERROR(INDEX(Clay_Brands!$A$2:$FZ$601,I287,$D$5)&amp;"","")</f>
        <v/>
      </c>
      <c r="K287" s="17">
        <f>IFERROR(INDEX(Clay_Brands!$A$2:$FZ$601,I287,$D$7)&amp;"","")</f>
        <v/>
      </c>
      <c r="L287" s="17">
        <f>IFERROR(INDEX(Clay_Brands!$A$2:$FZ$601,I287,$D$8)&amp;"","")</f>
        <v/>
      </c>
      <c r="M287" s="17">
        <f>IF(J287="","",IF(COUNTIF(Brand_Log!$A$2:$A$201,J287)&gt;0,"Y","N"))</f>
        <v/>
      </c>
      <c r="N287" s="17">
        <f>IF(OR(J287="",AND(LEFT(J287,6)="SAMPLE",Config!$B$19&lt;&gt;"Y")),"",IF(IFERROR(INDEX(Lists!$J$2:$J$15,MATCH(K287,Lists!$I$2:$I$15,0)),-1)=-1,"status '"&amp;K287&amp;"' is not a CONTRACTS status",IF(AND(K287="paid",COUNTIF(paid_brands!$AC$2:$AC$51,J287)=0),"status paid but no paid_brands row"&amp;IF(M287="N"," and no tracker row",""),IF(AND(IFERROR(INDEX(Lists!$J$2:$J$15,MATCH(K287,Lists!$I$2:$I$15,0)),-1)&gt;=6,M287="N"),"status "&amp;K287&amp;" but no tracker row",IF(AND(L287="Y",K287&lt;&gt;"do_not_contact"),"do_not_contact = Y but status is "&amp;K287,IF(AND(K287="do_not_contact",L287&lt;&gt;"Y"),"status do_not_contact but do_not_contact is not Y",""))))))</f>
        <v/>
      </c>
    </row>
    <row r="288">
      <c r="B288" s="17" t="n">
        <v>267</v>
      </c>
      <c r="C288" s="17">
        <f>IFERROR(INDEX(Clay_Offices!$A$2:$FZ$601,B288,$C$5)&amp;"","")</f>
        <v/>
      </c>
      <c r="D288" s="17">
        <f>IFERROR(INDEX(Clay_Offices!$A$2:$FZ$601,B288,$C$7)&amp;"","")</f>
        <v/>
      </c>
      <c r="E288" s="17">
        <f>IFERROR(INDEX(Clay_Offices!$A$2:$FZ$601,B288,$C$8)&amp;"","")</f>
        <v/>
      </c>
      <c r="F288" s="17">
        <f>IF(C288="","",IF(COUNTIF(Office_Log!$A$2:$A$201,C288)&gt;0,"Y","N"))</f>
        <v/>
      </c>
      <c r="G288" s="17">
        <f>IF(OR(C288="",AND(LEFT(C288,6)="SAMPLE",Config!$B$19&lt;&gt;"Y")),"",IF(IFERROR(INDEX(Lists!$J$2:$J$15,MATCH(D288,Lists!$I$2:$I$15,0)),-1)=-1,"status '"&amp;D288&amp;"' is not a CONTRACTS status",IF(AND(D288="signed",COUNTIF(signed_offices!$W$2:$W$51,C288)=0),"status signed but no signed_offices row"&amp;IF(F288="N"," and no tracker row",""),IF(AND(IFERROR(INDEX(Lists!$J$2:$J$15,MATCH(D288,Lists!$I$2:$I$15,0)),-1)&gt;=6,F288="N"),"status "&amp;D288&amp;" but no tracker row",IF(AND(E288="Y",D288&lt;&gt;"do_not_contact"),"do_not_contact = Y but status is "&amp;D288,IF(AND(D288="do_not_contact",E288&lt;&gt;"Y"),"status do_not_contact but do_not_contact is not Y",""))))))</f>
        <v/>
      </c>
      <c r="I288" s="17" t="n">
        <v>267</v>
      </c>
      <c r="J288" s="17">
        <f>IFERROR(INDEX(Clay_Brands!$A$2:$FZ$601,I288,$D$5)&amp;"","")</f>
        <v/>
      </c>
      <c r="K288" s="17">
        <f>IFERROR(INDEX(Clay_Brands!$A$2:$FZ$601,I288,$D$7)&amp;"","")</f>
        <v/>
      </c>
      <c r="L288" s="17">
        <f>IFERROR(INDEX(Clay_Brands!$A$2:$FZ$601,I288,$D$8)&amp;"","")</f>
        <v/>
      </c>
      <c r="M288" s="17">
        <f>IF(J288="","",IF(COUNTIF(Brand_Log!$A$2:$A$201,J288)&gt;0,"Y","N"))</f>
        <v/>
      </c>
      <c r="N288" s="17">
        <f>IF(OR(J288="",AND(LEFT(J288,6)="SAMPLE",Config!$B$19&lt;&gt;"Y")),"",IF(IFERROR(INDEX(Lists!$J$2:$J$15,MATCH(K288,Lists!$I$2:$I$15,0)),-1)=-1,"status '"&amp;K288&amp;"' is not a CONTRACTS status",IF(AND(K288="paid",COUNTIF(paid_brands!$AC$2:$AC$51,J288)=0),"status paid but no paid_brands row"&amp;IF(M288="N"," and no tracker row",""),IF(AND(IFERROR(INDEX(Lists!$J$2:$J$15,MATCH(K288,Lists!$I$2:$I$15,0)),-1)&gt;=6,M288="N"),"status "&amp;K288&amp;" but no tracker row",IF(AND(L288="Y",K288&lt;&gt;"do_not_contact"),"do_not_contact = Y but status is "&amp;K288,IF(AND(K288="do_not_contact",L288&lt;&gt;"Y"),"status do_not_contact but do_not_contact is not Y",""))))))</f>
        <v/>
      </c>
    </row>
    <row r="289">
      <c r="B289" s="17" t="n">
        <v>268</v>
      </c>
      <c r="C289" s="17">
        <f>IFERROR(INDEX(Clay_Offices!$A$2:$FZ$601,B289,$C$5)&amp;"","")</f>
        <v/>
      </c>
      <c r="D289" s="17">
        <f>IFERROR(INDEX(Clay_Offices!$A$2:$FZ$601,B289,$C$7)&amp;"","")</f>
        <v/>
      </c>
      <c r="E289" s="17">
        <f>IFERROR(INDEX(Clay_Offices!$A$2:$FZ$601,B289,$C$8)&amp;"","")</f>
        <v/>
      </c>
      <c r="F289" s="17">
        <f>IF(C289="","",IF(COUNTIF(Office_Log!$A$2:$A$201,C289)&gt;0,"Y","N"))</f>
        <v/>
      </c>
      <c r="G289" s="17">
        <f>IF(OR(C289="",AND(LEFT(C289,6)="SAMPLE",Config!$B$19&lt;&gt;"Y")),"",IF(IFERROR(INDEX(Lists!$J$2:$J$15,MATCH(D289,Lists!$I$2:$I$15,0)),-1)=-1,"status '"&amp;D289&amp;"' is not a CONTRACTS status",IF(AND(D289="signed",COUNTIF(signed_offices!$W$2:$W$51,C289)=0),"status signed but no signed_offices row"&amp;IF(F289="N"," and no tracker row",""),IF(AND(IFERROR(INDEX(Lists!$J$2:$J$15,MATCH(D289,Lists!$I$2:$I$15,0)),-1)&gt;=6,F289="N"),"status "&amp;D289&amp;" but no tracker row",IF(AND(E289="Y",D289&lt;&gt;"do_not_contact"),"do_not_contact = Y but status is "&amp;D289,IF(AND(D289="do_not_contact",E289&lt;&gt;"Y"),"status do_not_contact but do_not_contact is not Y",""))))))</f>
        <v/>
      </c>
      <c r="I289" s="17" t="n">
        <v>268</v>
      </c>
      <c r="J289" s="17">
        <f>IFERROR(INDEX(Clay_Brands!$A$2:$FZ$601,I289,$D$5)&amp;"","")</f>
        <v/>
      </c>
      <c r="K289" s="17">
        <f>IFERROR(INDEX(Clay_Brands!$A$2:$FZ$601,I289,$D$7)&amp;"","")</f>
        <v/>
      </c>
      <c r="L289" s="17">
        <f>IFERROR(INDEX(Clay_Brands!$A$2:$FZ$601,I289,$D$8)&amp;"","")</f>
        <v/>
      </c>
      <c r="M289" s="17">
        <f>IF(J289="","",IF(COUNTIF(Brand_Log!$A$2:$A$201,J289)&gt;0,"Y","N"))</f>
        <v/>
      </c>
      <c r="N289" s="17">
        <f>IF(OR(J289="",AND(LEFT(J289,6)="SAMPLE",Config!$B$19&lt;&gt;"Y")),"",IF(IFERROR(INDEX(Lists!$J$2:$J$15,MATCH(K289,Lists!$I$2:$I$15,0)),-1)=-1,"status '"&amp;K289&amp;"' is not a CONTRACTS status",IF(AND(K289="paid",COUNTIF(paid_brands!$AC$2:$AC$51,J289)=0),"status paid but no paid_brands row"&amp;IF(M289="N"," and no tracker row",""),IF(AND(IFERROR(INDEX(Lists!$J$2:$J$15,MATCH(K289,Lists!$I$2:$I$15,0)),-1)&gt;=6,M289="N"),"status "&amp;K289&amp;" but no tracker row",IF(AND(L289="Y",K289&lt;&gt;"do_not_contact"),"do_not_contact = Y but status is "&amp;K289,IF(AND(K289="do_not_contact",L289&lt;&gt;"Y"),"status do_not_contact but do_not_contact is not Y",""))))))</f>
        <v/>
      </c>
    </row>
    <row r="290">
      <c r="B290" s="17" t="n">
        <v>269</v>
      </c>
      <c r="C290" s="17">
        <f>IFERROR(INDEX(Clay_Offices!$A$2:$FZ$601,B290,$C$5)&amp;"","")</f>
        <v/>
      </c>
      <c r="D290" s="17">
        <f>IFERROR(INDEX(Clay_Offices!$A$2:$FZ$601,B290,$C$7)&amp;"","")</f>
        <v/>
      </c>
      <c r="E290" s="17">
        <f>IFERROR(INDEX(Clay_Offices!$A$2:$FZ$601,B290,$C$8)&amp;"","")</f>
        <v/>
      </c>
      <c r="F290" s="17">
        <f>IF(C290="","",IF(COUNTIF(Office_Log!$A$2:$A$201,C290)&gt;0,"Y","N"))</f>
        <v/>
      </c>
      <c r="G290" s="17">
        <f>IF(OR(C290="",AND(LEFT(C290,6)="SAMPLE",Config!$B$19&lt;&gt;"Y")),"",IF(IFERROR(INDEX(Lists!$J$2:$J$15,MATCH(D290,Lists!$I$2:$I$15,0)),-1)=-1,"status '"&amp;D290&amp;"' is not a CONTRACTS status",IF(AND(D290="signed",COUNTIF(signed_offices!$W$2:$W$51,C290)=0),"status signed but no signed_offices row"&amp;IF(F290="N"," and no tracker row",""),IF(AND(IFERROR(INDEX(Lists!$J$2:$J$15,MATCH(D290,Lists!$I$2:$I$15,0)),-1)&gt;=6,F290="N"),"status "&amp;D290&amp;" but no tracker row",IF(AND(E290="Y",D290&lt;&gt;"do_not_contact"),"do_not_contact = Y but status is "&amp;D290,IF(AND(D290="do_not_contact",E290&lt;&gt;"Y"),"status do_not_contact but do_not_contact is not Y",""))))))</f>
        <v/>
      </c>
      <c r="I290" s="17" t="n">
        <v>269</v>
      </c>
      <c r="J290" s="17">
        <f>IFERROR(INDEX(Clay_Brands!$A$2:$FZ$601,I290,$D$5)&amp;"","")</f>
        <v/>
      </c>
      <c r="K290" s="17">
        <f>IFERROR(INDEX(Clay_Brands!$A$2:$FZ$601,I290,$D$7)&amp;"","")</f>
        <v/>
      </c>
      <c r="L290" s="17">
        <f>IFERROR(INDEX(Clay_Brands!$A$2:$FZ$601,I290,$D$8)&amp;"","")</f>
        <v/>
      </c>
      <c r="M290" s="17">
        <f>IF(J290="","",IF(COUNTIF(Brand_Log!$A$2:$A$201,J290)&gt;0,"Y","N"))</f>
        <v/>
      </c>
      <c r="N290" s="17">
        <f>IF(OR(J290="",AND(LEFT(J290,6)="SAMPLE",Config!$B$19&lt;&gt;"Y")),"",IF(IFERROR(INDEX(Lists!$J$2:$J$15,MATCH(K290,Lists!$I$2:$I$15,0)),-1)=-1,"status '"&amp;K290&amp;"' is not a CONTRACTS status",IF(AND(K290="paid",COUNTIF(paid_brands!$AC$2:$AC$51,J290)=0),"status paid but no paid_brands row"&amp;IF(M290="N"," and no tracker row",""),IF(AND(IFERROR(INDEX(Lists!$J$2:$J$15,MATCH(K290,Lists!$I$2:$I$15,0)),-1)&gt;=6,M290="N"),"status "&amp;K290&amp;" but no tracker row",IF(AND(L290="Y",K290&lt;&gt;"do_not_contact"),"do_not_contact = Y but status is "&amp;K290,IF(AND(K290="do_not_contact",L290&lt;&gt;"Y"),"status do_not_contact but do_not_contact is not Y",""))))))</f>
        <v/>
      </c>
    </row>
    <row r="291">
      <c r="B291" s="17" t="n">
        <v>270</v>
      </c>
      <c r="C291" s="17">
        <f>IFERROR(INDEX(Clay_Offices!$A$2:$FZ$601,B291,$C$5)&amp;"","")</f>
        <v/>
      </c>
      <c r="D291" s="17">
        <f>IFERROR(INDEX(Clay_Offices!$A$2:$FZ$601,B291,$C$7)&amp;"","")</f>
        <v/>
      </c>
      <c r="E291" s="17">
        <f>IFERROR(INDEX(Clay_Offices!$A$2:$FZ$601,B291,$C$8)&amp;"","")</f>
        <v/>
      </c>
      <c r="F291" s="17">
        <f>IF(C291="","",IF(COUNTIF(Office_Log!$A$2:$A$201,C291)&gt;0,"Y","N"))</f>
        <v/>
      </c>
      <c r="G291" s="17">
        <f>IF(OR(C291="",AND(LEFT(C291,6)="SAMPLE",Config!$B$19&lt;&gt;"Y")),"",IF(IFERROR(INDEX(Lists!$J$2:$J$15,MATCH(D291,Lists!$I$2:$I$15,0)),-1)=-1,"status '"&amp;D291&amp;"' is not a CONTRACTS status",IF(AND(D291="signed",COUNTIF(signed_offices!$W$2:$W$51,C291)=0),"status signed but no signed_offices row"&amp;IF(F291="N"," and no tracker row",""),IF(AND(IFERROR(INDEX(Lists!$J$2:$J$15,MATCH(D291,Lists!$I$2:$I$15,0)),-1)&gt;=6,F291="N"),"status "&amp;D291&amp;" but no tracker row",IF(AND(E291="Y",D291&lt;&gt;"do_not_contact"),"do_not_contact = Y but status is "&amp;D291,IF(AND(D291="do_not_contact",E291&lt;&gt;"Y"),"status do_not_contact but do_not_contact is not Y",""))))))</f>
        <v/>
      </c>
      <c r="I291" s="17" t="n">
        <v>270</v>
      </c>
      <c r="J291" s="17">
        <f>IFERROR(INDEX(Clay_Brands!$A$2:$FZ$601,I291,$D$5)&amp;"","")</f>
        <v/>
      </c>
      <c r="K291" s="17">
        <f>IFERROR(INDEX(Clay_Brands!$A$2:$FZ$601,I291,$D$7)&amp;"","")</f>
        <v/>
      </c>
      <c r="L291" s="17">
        <f>IFERROR(INDEX(Clay_Brands!$A$2:$FZ$601,I291,$D$8)&amp;"","")</f>
        <v/>
      </c>
      <c r="M291" s="17">
        <f>IF(J291="","",IF(COUNTIF(Brand_Log!$A$2:$A$201,J291)&gt;0,"Y","N"))</f>
        <v/>
      </c>
      <c r="N291" s="17">
        <f>IF(OR(J291="",AND(LEFT(J291,6)="SAMPLE",Config!$B$19&lt;&gt;"Y")),"",IF(IFERROR(INDEX(Lists!$J$2:$J$15,MATCH(K291,Lists!$I$2:$I$15,0)),-1)=-1,"status '"&amp;K291&amp;"' is not a CONTRACTS status",IF(AND(K291="paid",COUNTIF(paid_brands!$AC$2:$AC$51,J291)=0),"status paid but no paid_brands row"&amp;IF(M291="N"," and no tracker row",""),IF(AND(IFERROR(INDEX(Lists!$J$2:$J$15,MATCH(K291,Lists!$I$2:$I$15,0)),-1)&gt;=6,M291="N"),"status "&amp;K291&amp;" but no tracker row",IF(AND(L291="Y",K291&lt;&gt;"do_not_contact"),"do_not_contact = Y but status is "&amp;K291,IF(AND(K291="do_not_contact",L291&lt;&gt;"Y"),"status do_not_contact but do_not_contact is not Y",""))))))</f>
        <v/>
      </c>
    </row>
    <row r="292">
      <c r="B292" s="17" t="n">
        <v>271</v>
      </c>
      <c r="C292" s="17">
        <f>IFERROR(INDEX(Clay_Offices!$A$2:$FZ$601,B292,$C$5)&amp;"","")</f>
        <v/>
      </c>
      <c r="D292" s="17">
        <f>IFERROR(INDEX(Clay_Offices!$A$2:$FZ$601,B292,$C$7)&amp;"","")</f>
        <v/>
      </c>
      <c r="E292" s="17">
        <f>IFERROR(INDEX(Clay_Offices!$A$2:$FZ$601,B292,$C$8)&amp;"","")</f>
        <v/>
      </c>
      <c r="F292" s="17">
        <f>IF(C292="","",IF(COUNTIF(Office_Log!$A$2:$A$201,C292)&gt;0,"Y","N"))</f>
        <v/>
      </c>
      <c r="G292" s="17">
        <f>IF(OR(C292="",AND(LEFT(C292,6)="SAMPLE",Config!$B$19&lt;&gt;"Y")),"",IF(IFERROR(INDEX(Lists!$J$2:$J$15,MATCH(D292,Lists!$I$2:$I$15,0)),-1)=-1,"status '"&amp;D292&amp;"' is not a CONTRACTS status",IF(AND(D292="signed",COUNTIF(signed_offices!$W$2:$W$51,C292)=0),"status signed but no signed_offices row"&amp;IF(F292="N"," and no tracker row",""),IF(AND(IFERROR(INDEX(Lists!$J$2:$J$15,MATCH(D292,Lists!$I$2:$I$15,0)),-1)&gt;=6,F292="N"),"status "&amp;D292&amp;" but no tracker row",IF(AND(E292="Y",D292&lt;&gt;"do_not_contact"),"do_not_contact = Y but status is "&amp;D292,IF(AND(D292="do_not_contact",E292&lt;&gt;"Y"),"status do_not_contact but do_not_contact is not Y",""))))))</f>
        <v/>
      </c>
      <c r="I292" s="17" t="n">
        <v>271</v>
      </c>
      <c r="J292" s="17">
        <f>IFERROR(INDEX(Clay_Brands!$A$2:$FZ$601,I292,$D$5)&amp;"","")</f>
        <v/>
      </c>
      <c r="K292" s="17">
        <f>IFERROR(INDEX(Clay_Brands!$A$2:$FZ$601,I292,$D$7)&amp;"","")</f>
        <v/>
      </c>
      <c r="L292" s="17">
        <f>IFERROR(INDEX(Clay_Brands!$A$2:$FZ$601,I292,$D$8)&amp;"","")</f>
        <v/>
      </c>
      <c r="M292" s="17">
        <f>IF(J292="","",IF(COUNTIF(Brand_Log!$A$2:$A$201,J292)&gt;0,"Y","N"))</f>
        <v/>
      </c>
      <c r="N292" s="17">
        <f>IF(OR(J292="",AND(LEFT(J292,6)="SAMPLE",Config!$B$19&lt;&gt;"Y")),"",IF(IFERROR(INDEX(Lists!$J$2:$J$15,MATCH(K292,Lists!$I$2:$I$15,0)),-1)=-1,"status '"&amp;K292&amp;"' is not a CONTRACTS status",IF(AND(K292="paid",COUNTIF(paid_brands!$AC$2:$AC$51,J292)=0),"status paid but no paid_brands row"&amp;IF(M292="N"," and no tracker row",""),IF(AND(IFERROR(INDEX(Lists!$J$2:$J$15,MATCH(K292,Lists!$I$2:$I$15,0)),-1)&gt;=6,M292="N"),"status "&amp;K292&amp;" but no tracker row",IF(AND(L292="Y",K292&lt;&gt;"do_not_contact"),"do_not_contact = Y but status is "&amp;K292,IF(AND(K292="do_not_contact",L292&lt;&gt;"Y"),"status do_not_contact but do_not_contact is not Y",""))))))</f>
        <v/>
      </c>
    </row>
    <row r="293">
      <c r="B293" s="17" t="n">
        <v>272</v>
      </c>
      <c r="C293" s="17">
        <f>IFERROR(INDEX(Clay_Offices!$A$2:$FZ$601,B293,$C$5)&amp;"","")</f>
        <v/>
      </c>
      <c r="D293" s="17">
        <f>IFERROR(INDEX(Clay_Offices!$A$2:$FZ$601,B293,$C$7)&amp;"","")</f>
        <v/>
      </c>
      <c r="E293" s="17">
        <f>IFERROR(INDEX(Clay_Offices!$A$2:$FZ$601,B293,$C$8)&amp;"","")</f>
        <v/>
      </c>
      <c r="F293" s="17">
        <f>IF(C293="","",IF(COUNTIF(Office_Log!$A$2:$A$201,C293)&gt;0,"Y","N"))</f>
        <v/>
      </c>
      <c r="G293" s="17">
        <f>IF(OR(C293="",AND(LEFT(C293,6)="SAMPLE",Config!$B$19&lt;&gt;"Y")),"",IF(IFERROR(INDEX(Lists!$J$2:$J$15,MATCH(D293,Lists!$I$2:$I$15,0)),-1)=-1,"status '"&amp;D293&amp;"' is not a CONTRACTS status",IF(AND(D293="signed",COUNTIF(signed_offices!$W$2:$W$51,C293)=0),"status signed but no signed_offices row"&amp;IF(F293="N"," and no tracker row",""),IF(AND(IFERROR(INDEX(Lists!$J$2:$J$15,MATCH(D293,Lists!$I$2:$I$15,0)),-1)&gt;=6,F293="N"),"status "&amp;D293&amp;" but no tracker row",IF(AND(E293="Y",D293&lt;&gt;"do_not_contact"),"do_not_contact = Y but status is "&amp;D293,IF(AND(D293="do_not_contact",E293&lt;&gt;"Y"),"status do_not_contact but do_not_contact is not Y",""))))))</f>
        <v/>
      </c>
      <c r="I293" s="17" t="n">
        <v>272</v>
      </c>
      <c r="J293" s="17">
        <f>IFERROR(INDEX(Clay_Brands!$A$2:$FZ$601,I293,$D$5)&amp;"","")</f>
        <v/>
      </c>
      <c r="K293" s="17">
        <f>IFERROR(INDEX(Clay_Brands!$A$2:$FZ$601,I293,$D$7)&amp;"","")</f>
        <v/>
      </c>
      <c r="L293" s="17">
        <f>IFERROR(INDEX(Clay_Brands!$A$2:$FZ$601,I293,$D$8)&amp;"","")</f>
        <v/>
      </c>
      <c r="M293" s="17">
        <f>IF(J293="","",IF(COUNTIF(Brand_Log!$A$2:$A$201,J293)&gt;0,"Y","N"))</f>
        <v/>
      </c>
      <c r="N293" s="17">
        <f>IF(OR(J293="",AND(LEFT(J293,6)="SAMPLE",Config!$B$19&lt;&gt;"Y")),"",IF(IFERROR(INDEX(Lists!$J$2:$J$15,MATCH(K293,Lists!$I$2:$I$15,0)),-1)=-1,"status '"&amp;K293&amp;"' is not a CONTRACTS status",IF(AND(K293="paid",COUNTIF(paid_brands!$AC$2:$AC$51,J293)=0),"status paid but no paid_brands row"&amp;IF(M293="N"," and no tracker row",""),IF(AND(IFERROR(INDEX(Lists!$J$2:$J$15,MATCH(K293,Lists!$I$2:$I$15,0)),-1)&gt;=6,M293="N"),"status "&amp;K293&amp;" but no tracker row",IF(AND(L293="Y",K293&lt;&gt;"do_not_contact"),"do_not_contact = Y but status is "&amp;K293,IF(AND(K293="do_not_contact",L293&lt;&gt;"Y"),"status do_not_contact but do_not_contact is not Y",""))))))</f>
        <v/>
      </c>
    </row>
    <row r="294">
      <c r="B294" s="17" t="n">
        <v>273</v>
      </c>
      <c r="C294" s="17">
        <f>IFERROR(INDEX(Clay_Offices!$A$2:$FZ$601,B294,$C$5)&amp;"","")</f>
        <v/>
      </c>
      <c r="D294" s="17">
        <f>IFERROR(INDEX(Clay_Offices!$A$2:$FZ$601,B294,$C$7)&amp;"","")</f>
        <v/>
      </c>
      <c r="E294" s="17">
        <f>IFERROR(INDEX(Clay_Offices!$A$2:$FZ$601,B294,$C$8)&amp;"","")</f>
        <v/>
      </c>
      <c r="F294" s="17">
        <f>IF(C294="","",IF(COUNTIF(Office_Log!$A$2:$A$201,C294)&gt;0,"Y","N"))</f>
        <v/>
      </c>
      <c r="G294" s="17">
        <f>IF(OR(C294="",AND(LEFT(C294,6)="SAMPLE",Config!$B$19&lt;&gt;"Y")),"",IF(IFERROR(INDEX(Lists!$J$2:$J$15,MATCH(D294,Lists!$I$2:$I$15,0)),-1)=-1,"status '"&amp;D294&amp;"' is not a CONTRACTS status",IF(AND(D294="signed",COUNTIF(signed_offices!$W$2:$W$51,C294)=0),"status signed but no signed_offices row"&amp;IF(F294="N"," and no tracker row",""),IF(AND(IFERROR(INDEX(Lists!$J$2:$J$15,MATCH(D294,Lists!$I$2:$I$15,0)),-1)&gt;=6,F294="N"),"status "&amp;D294&amp;" but no tracker row",IF(AND(E294="Y",D294&lt;&gt;"do_not_contact"),"do_not_contact = Y but status is "&amp;D294,IF(AND(D294="do_not_contact",E294&lt;&gt;"Y"),"status do_not_contact but do_not_contact is not Y",""))))))</f>
        <v/>
      </c>
      <c r="I294" s="17" t="n">
        <v>273</v>
      </c>
      <c r="J294" s="17">
        <f>IFERROR(INDEX(Clay_Brands!$A$2:$FZ$601,I294,$D$5)&amp;"","")</f>
        <v/>
      </c>
      <c r="K294" s="17">
        <f>IFERROR(INDEX(Clay_Brands!$A$2:$FZ$601,I294,$D$7)&amp;"","")</f>
        <v/>
      </c>
      <c r="L294" s="17">
        <f>IFERROR(INDEX(Clay_Brands!$A$2:$FZ$601,I294,$D$8)&amp;"","")</f>
        <v/>
      </c>
      <c r="M294" s="17">
        <f>IF(J294="","",IF(COUNTIF(Brand_Log!$A$2:$A$201,J294)&gt;0,"Y","N"))</f>
        <v/>
      </c>
      <c r="N294" s="17">
        <f>IF(OR(J294="",AND(LEFT(J294,6)="SAMPLE",Config!$B$19&lt;&gt;"Y")),"",IF(IFERROR(INDEX(Lists!$J$2:$J$15,MATCH(K294,Lists!$I$2:$I$15,0)),-1)=-1,"status '"&amp;K294&amp;"' is not a CONTRACTS status",IF(AND(K294="paid",COUNTIF(paid_brands!$AC$2:$AC$51,J294)=0),"status paid but no paid_brands row"&amp;IF(M294="N"," and no tracker row",""),IF(AND(IFERROR(INDEX(Lists!$J$2:$J$15,MATCH(K294,Lists!$I$2:$I$15,0)),-1)&gt;=6,M294="N"),"status "&amp;K294&amp;" but no tracker row",IF(AND(L294="Y",K294&lt;&gt;"do_not_contact"),"do_not_contact = Y but status is "&amp;K294,IF(AND(K294="do_not_contact",L294&lt;&gt;"Y"),"status do_not_contact but do_not_contact is not Y",""))))))</f>
        <v/>
      </c>
    </row>
    <row r="295">
      <c r="B295" s="17" t="n">
        <v>274</v>
      </c>
      <c r="C295" s="17">
        <f>IFERROR(INDEX(Clay_Offices!$A$2:$FZ$601,B295,$C$5)&amp;"","")</f>
        <v/>
      </c>
      <c r="D295" s="17">
        <f>IFERROR(INDEX(Clay_Offices!$A$2:$FZ$601,B295,$C$7)&amp;"","")</f>
        <v/>
      </c>
      <c r="E295" s="17">
        <f>IFERROR(INDEX(Clay_Offices!$A$2:$FZ$601,B295,$C$8)&amp;"","")</f>
        <v/>
      </c>
      <c r="F295" s="17">
        <f>IF(C295="","",IF(COUNTIF(Office_Log!$A$2:$A$201,C295)&gt;0,"Y","N"))</f>
        <v/>
      </c>
      <c r="G295" s="17">
        <f>IF(OR(C295="",AND(LEFT(C295,6)="SAMPLE",Config!$B$19&lt;&gt;"Y")),"",IF(IFERROR(INDEX(Lists!$J$2:$J$15,MATCH(D295,Lists!$I$2:$I$15,0)),-1)=-1,"status '"&amp;D295&amp;"' is not a CONTRACTS status",IF(AND(D295="signed",COUNTIF(signed_offices!$W$2:$W$51,C295)=0),"status signed but no signed_offices row"&amp;IF(F295="N"," and no tracker row",""),IF(AND(IFERROR(INDEX(Lists!$J$2:$J$15,MATCH(D295,Lists!$I$2:$I$15,0)),-1)&gt;=6,F295="N"),"status "&amp;D295&amp;" but no tracker row",IF(AND(E295="Y",D295&lt;&gt;"do_not_contact"),"do_not_contact = Y but status is "&amp;D295,IF(AND(D295="do_not_contact",E295&lt;&gt;"Y"),"status do_not_contact but do_not_contact is not Y",""))))))</f>
        <v/>
      </c>
      <c r="I295" s="17" t="n">
        <v>274</v>
      </c>
      <c r="J295" s="17">
        <f>IFERROR(INDEX(Clay_Brands!$A$2:$FZ$601,I295,$D$5)&amp;"","")</f>
        <v/>
      </c>
      <c r="K295" s="17">
        <f>IFERROR(INDEX(Clay_Brands!$A$2:$FZ$601,I295,$D$7)&amp;"","")</f>
        <v/>
      </c>
      <c r="L295" s="17">
        <f>IFERROR(INDEX(Clay_Brands!$A$2:$FZ$601,I295,$D$8)&amp;"","")</f>
        <v/>
      </c>
      <c r="M295" s="17">
        <f>IF(J295="","",IF(COUNTIF(Brand_Log!$A$2:$A$201,J295)&gt;0,"Y","N"))</f>
        <v/>
      </c>
      <c r="N295" s="17">
        <f>IF(OR(J295="",AND(LEFT(J295,6)="SAMPLE",Config!$B$19&lt;&gt;"Y")),"",IF(IFERROR(INDEX(Lists!$J$2:$J$15,MATCH(K295,Lists!$I$2:$I$15,0)),-1)=-1,"status '"&amp;K295&amp;"' is not a CONTRACTS status",IF(AND(K295="paid",COUNTIF(paid_brands!$AC$2:$AC$51,J295)=0),"status paid but no paid_brands row"&amp;IF(M295="N"," and no tracker row",""),IF(AND(IFERROR(INDEX(Lists!$J$2:$J$15,MATCH(K295,Lists!$I$2:$I$15,0)),-1)&gt;=6,M295="N"),"status "&amp;K295&amp;" but no tracker row",IF(AND(L295="Y",K295&lt;&gt;"do_not_contact"),"do_not_contact = Y but status is "&amp;K295,IF(AND(K295="do_not_contact",L295&lt;&gt;"Y"),"status do_not_contact but do_not_contact is not Y",""))))))</f>
        <v/>
      </c>
    </row>
    <row r="296">
      <c r="B296" s="17" t="n">
        <v>275</v>
      </c>
      <c r="C296" s="17">
        <f>IFERROR(INDEX(Clay_Offices!$A$2:$FZ$601,B296,$C$5)&amp;"","")</f>
        <v/>
      </c>
      <c r="D296" s="17">
        <f>IFERROR(INDEX(Clay_Offices!$A$2:$FZ$601,B296,$C$7)&amp;"","")</f>
        <v/>
      </c>
      <c r="E296" s="17">
        <f>IFERROR(INDEX(Clay_Offices!$A$2:$FZ$601,B296,$C$8)&amp;"","")</f>
        <v/>
      </c>
      <c r="F296" s="17">
        <f>IF(C296="","",IF(COUNTIF(Office_Log!$A$2:$A$201,C296)&gt;0,"Y","N"))</f>
        <v/>
      </c>
      <c r="G296" s="17">
        <f>IF(OR(C296="",AND(LEFT(C296,6)="SAMPLE",Config!$B$19&lt;&gt;"Y")),"",IF(IFERROR(INDEX(Lists!$J$2:$J$15,MATCH(D296,Lists!$I$2:$I$15,0)),-1)=-1,"status '"&amp;D296&amp;"' is not a CONTRACTS status",IF(AND(D296="signed",COUNTIF(signed_offices!$W$2:$W$51,C296)=0),"status signed but no signed_offices row"&amp;IF(F296="N"," and no tracker row",""),IF(AND(IFERROR(INDEX(Lists!$J$2:$J$15,MATCH(D296,Lists!$I$2:$I$15,0)),-1)&gt;=6,F296="N"),"status "&amp;D296&amp;" but no tracker row",IF(AND(E296="Y",D296&lt;&gt;"do_not_contact"),"do_not_contact = Y but status is "&amp;D296,IF(AND(D296="do_not_contact",E296&lt;&gt;"Y"),"status do_not_contact but do_not_contact is not Y",""))))))</f>
        <v/>
      </c>
      <c r="I296" s="17" t="n">
        <v>275</v>
      </c>
      <c r="J296" s="17">
        <f>IFERROR(INDEX(Clay_Brands!$A$2:$FZ$601,I296,$D$5)&amp;"","")</f>
        <v/>
      </c>
      <c r="K296" s="17">
        <f>IFERROR(INDEX(Clay_Brands!$A$2:$FZ$601,I296,$D$7)&amp;"","")</f>
        <v/>
      </c>
      <c r="L296" s="17">
        <f>IFERROR(INDEX(Clay_Brands!$A$2:$FZ$601,I296,$D$8)&amp;"","")</f>
        <v/>
      </c>
      <c r="M296" s="17">
        <f>IF(J296="","",IF(COUNTIF(Brand_Log!$A$2:$A$201,J296)&gt;0,"Y","N"))</f>
        <v/>
      </c>
      <c r="N296" s="17">
        <f>IF(OR(J296="",AND(LEFT(J296,6)="SAMPLE",Config!$B$19&lt;&gt;"Y")),"",IF(IFERROR(INDEX(Lists!$J$2:$J$15,MATCH(K296,Lists!$I$2:$I$15,0)),-1)=-1,"status '"&amp;K296&amp;"' is not a CONTRACTS status",IF(AND(K296="paid",COUNTIF(paid_brands!$AC$2:$AC$51,J296)=0),"status paid but no paid_brands row"&amp;IF(M296="N"," and no tracker row",""),IF(AND(IFERROR(INDEX(Lists!$J$2:$J$15,MATCH(K296,Lists!$I$2:$I$15,0)),-1)&gt;=6,M296="N"),"status "&amp;K296&amp;" but no tracker row",IF(AND(L296="Y",K296&lt;&gt;"do_not_contact"),"do_not_contact = Y but status is "&amp;K296,IF(AND(K296="do_not_contact",L296&lt;&gt;"Y"),"status do_not_contact but do_not_contact is not Y",""))))))</f>
        <v/>
      </c>
    </row>
    <row r="297">
      <c r="B297" s="17" t="n">
        <v>276</v>
      </c>
      <c r="C297" s="17">
        <f>IFERROR(INDEX(Clay_Offices!$A$2:$FZ$601,B297,$C$5)&amp;"","")</f>
        <v/>
      </c>
      <c r="D297" s="17">
        <f>IFERROR(INDEX(Clay_Offices!$A$2:$FZ$601,B297,$C$7)&amp;"","")</f>
        <v/>
      </c>
      <c r="E297" s="17">
        <f>IFERROR(INDEX(Clay_Offices!$A$2:$FZ$601,B297,$C$8)&amp;"","")</f>
        <v/>
      </c>
      <c r="F297" s="17">
        <f>IF(C297="","",IF(COUNTIF(Office_Log!$A$2:$A$201,C297)&gt;0,"Y","N"))</f>
        <v/>
      </c>
      <c r="G297" s="17">
        <f>IF(OR(C297="",AND(LEFT(C297,6)="SAMPLE",Config!$B$19&lt;&gt;"Y")),"",IF(IFERROR(INDEX(Lists!$J$2:$J$15,MATCH(D297,Lists!$I$2:$I$15,0)),-1)=-1,"status '"&amp;D297&amp;"' is not a CONTRACTS status",IF(AND(D297="signed",COUNTIF(signed_offices!$W$2:$W$51,C297)=0),"status signed but no signed_offices row"&amp;IF(F297="N"," and no tracker row",""),IF(AND(IFERROR(INDEX(Lists!$J$2:$J$15,MATCH(D297,Lists!$I$2:$I$15,0)),-1)&gt;=6,F297="N"),"status "&amp;D297&amp;" but no tracker row",IF(AND(E297="Y",D297&lt;&gt;"do_not_contact"),"do_not_contact = Y but status is "&amp;D297,IF(AND(D297="do_not_contact",E297&lt;&gt;"Y"),"status do_not_contact but do_not_contact is not Y",""))))))</f>
        <v/>
      </c>
      <c r="I297" s="17" t="n">
        <v>276</v>
      </c>
      <c r="J297" s="17">
        <f>IFERROR(INDEX(Clay_Brands!$A$2:$FZ$601,I297,$D$5)&amp;"","")</f>
        <v/>
      </c>
      <c r="K297" s="17">
        <f>IFERROR(INDEX(Clay_Brands!$A$2:$FZ$601,I297,$D$7)&amp;"","")</f>
        <v/>
      </c>
      <c r="L297" s="17">
        <f>IFERROR(INDEX(Clay_Brands!$A$2:$FZ$601,I297,$D$8)&amp;"","")</f>
        <v/>
      </c>
      <c r="M297" s="17">
        <f>IF(J297="","",IF(COUNTIF(Brand_Log!$A$2:$A$201,J297)&gt;0,"Y","N"))</f>
        <v/>
      </c>
      <c r="N297" s="17">
        <f>IF(OR(J297="",AND(LEFT(J297,6)="SAMPLE",Config!$B$19&lt;&gt;"Y")),"",IF(IFERROR(INDEX(Lists!$J$2:$J$15,MATCH(K297,Lists!$I$2:$I$15,0)),-1)=-1,"status '"&amp;K297&amp;"' is not a CONTRACTS status",IF(AND(K297="paid",COUNTIF(paid_brands!$AC$2:$AC$51,J297)=0),"status paid but no paid_brands row"&amp;IF(M297="N"," and no tracker row",""),IF(AND(IFERROR(INDEX(Lists!$J$2:$J$15,MATCH(K297,Lists!$I$2:$I$15,0)),-1)&gt;=6,M297="N"),"status "&amp;K297&amp;" but no tracker row",IF(AND(L297="Y",K297&lt;&gt;"do_not_contact"),"do_not_contact = Y but status is "&amp;K297,IF(AND(K297="do_not_contact",L297&lt;&gt;"Y"),"status do_not_contact but do_not_contact is not Y",""))))))</f>
        <v/>
      </c>
    </row>
    <row r="298">
      <c r="B298" s="17" t="n">
        <v>277</v>
      </c>
      <c r="C298" s="17">
        <f>IFERROR(INDEX(Clay_Offices!$A$2:$FZ$601,B298,$C$5)&amp;"","")</f>
        <v/>
      </c>
      <c r="D298" s="17">
        <f>IFERROR(INDEX(Clay_Offices!$A$2:$FZ$601,B298,$C$7)&amp;"","")</f>
        <v/>
      </c>
      <c r="E298" s="17">
        <f>IFERROR(INDEX(Clay_Offices!$A$2:$FZ$601,B298,$C$8)&amp;"","")</f>
        <v/>
      </c>
      <c r="F298" s="17">
        <f>IF(C298="","",IF(COUNTIF(Office_Log!$A$2:$A$201,C298)&gt;0,"Y","N"))</f>
        <v/>
      </c>
      <c r="G298" s="17">
        <f>IF(OR(C298="",AND(LEFT(C298,6)="SAMPLE",Config!$B$19&lt;&gt;"Y")),"",IF(IFERROR(INDEX(Lists!$J$2:$J$15,MATCH(D298,Lists!$I$2:$I$15,0)),-1)=-1,"status '"&amp;D298&amp;"' is not a CONTRACTS status",IF(AND(D298="signed",COUNTIF(signed_offices!$W$2:$W$51,C298)=0),"status signed but no signed_offices row"&amp;IF(F298="N"," and no tracker row",""),IF(AND(IFERROR(INDEX(Lists!$J$2:$J$15,MATCH(D298,Lists!$I$2:$I$15,0)),-1)&gt;=6,F298="N"),"status "&amp;D298&amp;" but no tracker row",IF(AND(E298="Y",D298&lt;&gt;"do_not_contact"),"do_not_contact = Y but status is "&amp;D298,IF(AND(D298="do_not_contact",E298&lt;&gt;"Y"),"status do_not_contact but do_not_contact is not Y",""))))))</f>
        <v/>
      </c>
      <c r="I298" s="17" t="n">
        <v>277</v>
      </c>
      <c r="J298" s="17">
        <f>IFERROR(INDEX(Clay_Brands!$A$2:$FZ$601,I298,$D$5)&amp;"","")</f>
        <v/>
      </c>
      <c r="K298" s="17">
        <f>IFERROR(INDEX(Clay_Brands!$A$2:$FZ$601,I298,$D$7)&amp;"","")</f>
        <v/>
      </c>
      <c r="L298" s="17">
        <f>IFERROR(INDEX(Clay_Brands!$A$2:$FZ$601,I298,$D$8)&amp;"","")</f>
        <v/>
      </c>
      <c r="M298" s="17">
        <f>IF(J298="","",IF(COUNTIF(Brand_Log!$A$2:$A$201,J298)&gt;0,"Y","N"))</f>
        <v/>
      </c>
      <c r="N298" s="17">
        <f>IF(OR(J298="",AND(LEFT(J298,6)="SAMPLE",Config!$B$19&lt;&gt;"Y")),"",IF(IFERROR(INDEX(Lists!$J$2:$J$15,MATCH(K298,Lists!$I$2:$I$15,0)),-1)=-1,"status '"&amp;K298&amp;"' is not a CONTRACTS status",IF(AND(K298="paid",COUNTIF(paid_brands!$AC$2:$AC$51,J298)=0),"status paid but no paid_brands row"&amp;IF(M298="N"," and no tracker row",""),IF(AND(IFERROR(INDEX(Lists!$J$2:$J$15,MATCH(K298,Lists!$I$2:$I$15,0)),-1)&gt;=6,M298="N"),"status "&amp;K298&amp;" but no tracker row",IF(AND(L298="Y",K298&lt;&gt;"do_not_contact"),"do_not_contact = Y but status is "&amp;K298,IF(AND(K298="do_not_contact",L298&lt;&gt;"Y"),"status do_not_contact but do_not_contact is not Y",""))))))</f>
        <v/>
      </c>
    </row>
    <row r="299">
      <c r="B299" s="17" t="n">
        <v>278</v>
      </c>
      <c r="C299" s="17">
        <f>IFERROR(INDEX(Clay_Offices!$A$2:$FZ$601,B299,$C$5)&amp;"","")</f>
        <v/>
      </c>
      <c r="D299" s="17">
        <f>IFERROR(INDEX(Clay_Offices!$A$2:$FZ$601,B299,$C$7)&amp;"","")</f>
        <v/>
      </c>
      <c r="E299" s="17">
        <f>IFERROR(INDEX(Clay_Offices!$A$2:$FZ$601,B299,$C$8)&amp;"","")</f>
        <v/>
      </c>
      <c r="F299" s="17">
        <f>IF(C299="","",IF(COUNTIF(Office_Log!$A$2:$A$201,C299)&gt;0,"Y","N"))</f>
        <v/>
      </c>
      <c r="G299" s="17">
        <f>IF(OR(C299="",AND(LEFT(C299,6)="SAMPLE",Config!$B$19&lt;&gt;"Y")),"",IF(IFERROR(INDEX(Lists!$J$2:$J$15,MATCH(D299,Lists!$I$2:$I$15,0)),-1)=-1,"status '"&amp;D299&amp;"' is not a CONTRACTS status",IF(AND(D299="signed",COUNTIF(signed_offices!$W$2:$W$51,C299)=0),"status signed but no signed_offices row"&amp;IF(F299="N"," and no tracker row",""),IF(AND(IFERROR(INDEX(Lists!$J$2:$J$15,MATCH(D299,Lists!$I$2:$I$15,0)),-1)&gt;=6,F299="N"),"status "&amp;D299&amp;" but no tracker row",IF(AND(E299="Y",D299&lt;&gt;"do_not_contact"),"do_not_contact = Y but status is "&amp;D299,IF(AND(D299="do_not_contact",E299&lt;&gt;"Y"),"status do_not_contact but do_not_contact is not Y",""))))))</f>
        <v/>
      </c>
      <c r="I299" s="17" t="n">
        <v>278</v>
      </c>
      <c r="J299" s="17">
        <f>IFERROR(INDEX(Clay_Brands!$A$2:$FZ$601,I299,$D$5)&amp;"","")</f>
        <v/>
      </c>
      <c r="K299" s="17">
        <f>IFERROR(INDEX(Clay_Brands!$A$2:$FZ$601,I299,$D$7)&amp;"","")</f>
        <v/>
      </c>
      <c r="L299" s="17">
        <f>IFERROR(INDEX(Clay_Brands!$A$2:$FZ$601,I299,$D$8)&amp;"","")</f>
        <v/>
      </c>
      <c r="M299" s="17">
        <f>IF(J299="","",IF(COUNTIF(Brand_Log!$A$2:$A$201,J299)&gt;0,"Y","N"))</f>
        <v/>
      </c>
      <c r="N299" s="17">
        <f>IF(OR(J299="",AND(LEFT(J299,6)="SAMPLE",Config!$B$19&lt;&gt;"Y")),"",IF(IFERROR(INDEX(Lists!$J$2:$J$15,MATCH(K299,Lists!$I$2:$I$15,0)),-1)=-1,"status '"&amp;K299&amp;"' is not a CONTRACTS status",IF(AND(K299="paid",COUNTIF(paid_brands!$AC$2:$AC$51,J299)=0),"status paid but no paid_brands row"&amp;IF(M299="N"," and no tracker row",""),IF(AND(IFERROR(INDEX(Lists!$J$2:$J$15,MATCH(K299,Lists!$I$2:$I$15,0)),-1)&gt;=6,M299="N"),"status "&amp;K299&amp;" but no tracker row",IF(AND(L299="Y",K299&lt;&gt;"do_not_contact"),"do_not_contact = Y but status is "&amp;K299,IF(AND(K299="do_not_contact",L299&lt;&gt;"Y"),"status do_not_contact but do_not_contact is not Y",""))))))</f>
        <v/>
      </c>
    </row>
    <row r="300">
      <c r="B300" s="17" t="n">
        <v>279</v>
      </c>
      <c r="C300" s="17">
        <f>IFERROR(INDEX(Clay_Offices!$A$2:$FZ$601,B300,$C$5)&amp;"","")</f>
        <v/>
      </c>
      <c r="D300" s="17">
        <f>IFERROR(INDEX(Clay_Offices!$A$2:$FZ$601,B300,$C$7)&amp;"","")</f>
        <v/>
      </c>
      <c r="E300" s="17">
        <f>IFERROR(INDEX(Clay_Offices!$A$2:$FZ$601,B300,$C$8)&amp;"","")</f>
        <v/>
      </c>
      <c r="F300" s="17">
        <f>IF(C300="","",IF(COUNTIF(Office_Log!$A$2:$A$201,C300)&gt;0,"Y","N"))</f>
        <v/>
      </c>
      <c r="G300" s="17">
        <f>IF(OR(C300="",AND(LEFT(C300,6)="SAMPLE",Config!$B$19&lt;&gt;"Y")),"",IF(IFERROR(INDEX(Lists!$J$2:$J$15,MATCH(D300,Lists!$I$2:$I$15,0)),-1)=-1,"status '"&amp;D300&amp;"' is not a CONTRACTS status",IF(AND(D300="signed",COUNTIF(signed_offices!$W$2:$W$51,C300)=0),"status signed but no signed_offices row"&amp;IF(F300="N"," and no tracker row",""),IF(AND(IFERROR(INDEX(Lists!$J$2:$J$15,MATCH(D300,Lists!$I$2:$I$15,0)),-1)&gt;=6,F300="N"),"status "&amp;D300&amp;" but no tracker row",IF(AND(E300="Y",D300&lt;&gt;"do_not_contact"),"do_not_contact = Y but status is "&amp;D300,IF(AND(D300="do_not_contact",E300&lt;&gt;"Y"),"status do_not_contact but do_not_contact is not Y",""))))))</f>
        <v/>
      </c>
      <c r="I300" s="17" t="n">
        <v>279</v>
      </c>
      <c r="J300" s="17">
        <f>IFERROR(INDEX(Clay_Brands!$A$2:$FZ$601,I300,$D$5)&amp;"","")</f>
        <v/>
      </c>
      <c r="K300" s="17">
        <f>IFERROR(INDEX(Clay_Brands!$A$2:$FZ$601,I300,$D$7)&amp;"","")</f>
        <v/>
      </c>
      <c r="L300" s="17">
        <f>IFERROR(INDEX(Clay_Brands!$A$2:$FZ$601,I300,$D$8)&amp;"","")</f>
        <v/>
      </c>
      <c r="M300" s="17">
        <f>IF(J300="","",IF(COUNTIF(Brand_Log!$A$2:$A$201,J300)&gt;0,"Y","N"))</f>
        <v/>
      </c>
      <c r="N300" s="17">
        <f>IF(OR(J300="",AND(LEFT(J300,6)="SAMPLE",Config!$B$19&lt;&gt;"Y")),"",IF(IFERROR(INDEX(Lists!$J$2:$J$15,MATCH(K300,Lists!$I$2:$I$15,0)),-1)=-1,"status '"&amp;K300&amp;"' is not a CONTRACTS status",IF(AND(K300="paid",COUNTIF(paid_brands!$AC$2:$AC$51,J300)=0),"status paid but no paid_brands row"&amp;IF(M300="N"," and no tracker row",""),IF(AND(IFERROR(INDEX(Lists!$J$2:$J$15,MATCH(K300,Lists!$I$2:$I$15,0)),-1)&gt;=6,M300="N"),"status "&amp;K300&amp;" but no tracker row",IF(AND(L300="Y",K300&lt;&gt;"do_not_contact"),"do_not_contact = Y but status is "&amp;K300,IF(AND(K300="do_not_contact",L300&lt;&gt;"Y"),"status do_not_contact but do_not_contact is not Y",""))))))</f>
        <v/>
      </c>
    </row>
    <row r="301">
      <c r="B301" s="17" t="n">
        <v>280</v>
      </c>
      <c r="C301" s="17">
        <f>IFERROR(INDEX(Clay_Offices!$A$2:$FZ$601,B301,$C$5)&amp;"","")</f>
        <v/>
      </c>
      <c r="D301" s="17">
        <f>IFERROR(INDEX(Clay_Offices!$A$2:$FZ$601,B301,$C$7)&amp;"","")</f>
        <v/>
      </c>
      <c r="E301" s="17">
        <f>IFERROR(INDEX(Clay_Offices!$A$2:$FZ$601,B301,$C$8)&amp;"","")</f>
        <v/>
      </c>
      <c r="F301" s="17">
        <f>IF(C301="","",IF(COUNTIF(Office_Log!$A$2:$A$201,C301)&gt;0,"Y","N"))</f>
        <v/>
      </c>
      <c r="G301" s="17">
        <f>IF(OR(C301="",AND(LEFT(C301,6)="SAMPLE",Config!$B$19&lt;&gt;"Y")),"",IF(IFERROR(INDEX(Lists!$J$2:$J$15,MATCH(D301,Lists!$I$2:$I$15,0)),-1)=-1,"status '"&amp;D301&amp;"' is not a CONTRACTS status",IF(AND(D301="signed",COUNTIF(signed_offices!$W$2:$W$51,C301)=0),"status signed but no signed_offices row"&amp;IF(F301="N"," and no tracker row",""),IF(AND(IFERROR(INDEX(Lists!$J$2:$J$15,MATCH(D301,Lists!$I$2:$I$15,0)),-1)&gt;=6,F301="N"),"status "&amp;D301&amp;" but no tracker row",IF(AND(E301="Y",D301&lt;&gt;"do_not_contact"),"do_not_contact = Y but status is "&amp;D301,IF(AND(D301="do_not_contact",E301&lt;&gt;"Y"),"status do_not_contact but do_not_contact is not Y",""))))))</f>
        <v/>
      </c>
      <c r="I301" s="17" t="n">
        <v>280</v>
      </c>
      <c r="J301" s="17">
        <f>IFERROR(INDEX(Clay_Brands!$A$2:$FZ$601,I301,$D$5)&amp;"","")</f>
        <v/>
      </c>
      <c r="K301" s="17">
        <f>IFERROR(INDEX(Clay_Brands!$A$2:$FZ$601,I301,$D$7)&amp;"","")</f>
        <v/>
      </c>
      <c r="L301" s="17">
        <f>IFERROR(INDEX(Clay_Brands!$A$2:$FZ$601,I301,$D$8)&amp;"","")</f>
        <v/>
      </c>
      <c r="M301" s="17">
        <f>IF(J301="","",IF(COUNTIF(Brand_Log!$A$2:$A$201,J301)&gt;0,"Y","N"))</f>
        <v/>
      </c>
      <c r="N301" s="17">
        <f>IF(OR(J301="",AND(LEFT(J301,6)="SAMPLE",Config!$B$19&lt;&gt;"Y")),"",IF(IFERROR(INDEX(Lists!$J$2:$J$15,MATCH(K301,Lists!$I$2:$I$15,0)),-1)=-1,"status '"&amp;K301&amp;"' is not a CONTRACTS status",IF(AND(K301="paid",COUNTIF(paid_brands!$AC$2:$AC$51,J301)=0),"status paid but no paid_brands row"&amp;IF(M301="N"," and no tracker row",""),IF(AND(IFERROR(INDEX(Lists!$J$2:$J$15,MATCH(K301,Lists!$I$2:$I$15,0)),-1)&gt;=6,M301="N"),"status "&amp;K301&amp;" but no tracker row",IF(AND(L301="Y",K301&lt;&gt;"do_not_contact"),"do_not_contact = Y but status is "&amp;K301,IF(AND(K301="do_not_contact",L301&lt;&gt;"Y"),"status do_not_contact but do_not_contact is not Y",""))))))</f>
        <v/>
      </c>
    </row>
    <row r="302">
      <c r="B302" s="17" t="n">
        <v>281</v>
      </c>
      <c r="C302" s="17">
        <f>IFERROR(INDEX(Clay_Offices!$A$2:$FZ$601,B302,$C$5)&amp;"","")</f>
        <v/>
      </c>
      <c r="D302" s="17">
        <f>IFERROR(INDEX(Clay_Offices!$A$2:$FZ$601,B302,$C$7)&amp;"","")</f>
        <v/>
      </c>
      <c r="E302" s="17">
        <f>IFERROR(INDEX(Clay_Offices!$A$2:$FZ$601,B302,$C$8)&amp;"","")</f>
        <v/>
      </c>
      <c r="F302" s="17">
        <f>IF(C302="","",IF(COUNTIF(Office_Log!$A$2:$A$201,C302)&gt;0,"Y","N"))</f>
        <v/>
      </c>
      <c r="G302" s="17">
        <f>IF(OR(C302="",AND(LEFT(C302,6)="SAMPLE",Config!$B$19&lt;&gt;"Y")),"",IF(IFERROR(INDEX(Lists!$J$2:$J$15,MATCH(D302,Lists!$I$2:$I$15,0)),-1)=-1,"status '"&amp;D302&amp;"' is not a CONTRACTS status",IF(AND(D302="signed",COUNTIF(signed_offices!$W$2:$W$51,C302)=0),"status signed but no signed_offices row"&amp;IF(F302="N"," and no tracker row",""),IF(AND(IFERROR(INDEX(Lists!$J$2:$J$15,MATCH(D302,Lists!$I$2:$I$15,0)),-1)&gt;=6,F302="N"),"status "&amp;D302&amp;" but no tracker row",IF(AND(E302="Y",D302&lt;&gt;"do_not_contact"),"do_not_contact = Y but status is "&amp;D302,IF(AND(D302="do_not_contact",E302&lt;&gt;"Y"),"status do_not_contact but do_not_contact is not Y",""))))))</f>
        <v/>
      </c>
      <c r="I302" s="17" t="n">
        <v>281</v>
      </c>
      <c r="J302" s="17">
        <f>IFERROR(INDEX(Clay_Brands!$A$2:$FZ$601,I302,$D$5)&amp;"","")</f>
        <v/>
      </c>
      <c r="K302" s="17">
        <f>IFERROR(INDEX(Clay_Brands!$A$2:$FZ$601,I302,$D$7)&amp;"","")</f>
        <v/>
      </c>
      <c r="L302" s="17">
        <f>IFERROR(INDEX(Clay_Brands!$A$2:$FZ$601,I302,$D$8)&amp;"","")</f>
        <v/>
      </c>
      <c r="M302" s="17">
        <f>IF(J302="","",IF(COUNTIF(Brand_Log!$A$2:$A$201,J302)&gt;0,"Y","N"))</f>
        <v/>
      </c>
      <c r="N302" s="17">
        <f>IF(OR(J302="",AND(LEFT(J302,6)="SAMPLE",Config!$B$19&lt;&gt;"Y")),"",IF(IFERROR(INDEX(Lists!$J$2:$J$15,MATCH(K302,Lists!$I$2:$I$15,0)),-1)=-1,"status '"&amp;K302&amp;"' is not a CONTRACTS status",IF(AND(K302="paid",COUNTIF(paid_brands!$AC$2:$AC$51,J302)=0),"status paid but no paid_brands row"&amp;IF(M302="N"," and no tracker row",""),IF(AND(IFERROR(INDEX(Lists!$J$2:$J$15,MATCH(K302,Lists!$I$2:$I$15,0)),-1)&gt;=6,M302="N"),"status "&amp;K302&amp;" but no tracker row",IF(AND(L302="Y",K302&lt;&gt;"do_not_contact"),"do_not_contact = Y but status is "&amp;K302,IF(AND(K302="do_not_contact",L302&lt;&gt;"Y"),"status do_not_contact but do_not_contact is not Y",""))))))</f>
        <v/>
      </c>
    </row>
    <row r="303">
      <c r="B303" s="17" t="n">
        <v>282</v>
      </c>
      <c r="C303" s="17">
        <f>IFERROR(INDEX(Clay_Offices!$A$2:$FZ$601,B303,$C$5)&amp;"","")</f>
        <v/>
      </c>
      <c r="D303" s="17">
        <f>IFERROR(INDEX(Clay_Offices!$A$2:$FZ$601,B303,$C$7)&amp;"","")</f>
        <v/>
      </c>
      <c r="E303" s="17">
        <f>IFERROR(INDEX(Clay_Offices!$A$2:$FZ$601,B303,$C$8)&amp;"","")</f>
        <v/>
      </c>
      <c r="F303" s="17">
        <f>IF(C303="","",IF(COUNTIF(Office_Log!$A$2:$A$201,C303)&gt;0,"Y","N"))</f>
        <v/>
      </c>
      <c r="G303" s="17">
        <f>IF(OR(C303="",AND(LEFT(C303,6)="SAMPLE",Config!$B$19&lt;&gt;"Y")),"",IF(IFERROR(INDEX(Lists!$J$2:$J$15,MATCH(D303,Lists!$I$2:$I$15,0)),-1)=-1,"status '"&amp;D303&amp;"' is not a CONTRACTS status",IF(AND(D303="signed",COUNTIF(signed_offices!$W$2:$W$51,C303)=0),"status signed but no signed_offices row"&amp;IF(F303="N"," and no tracker row",""),IF(AND(IFERROR(INDEX(Lists!$J$2:$J$15,MATCH(D303,Lists!$I$2:$I$15,0)),-1)&gt;=6,F303="N"),"status "&amp;D303&amp;" but no tracker row",IF(AND(E303="Y",D303&lt;&gt;"do_not_contact"),"do_not_contact = Y but status is "&amp;D303,IF(AND(D303="do_not_contact",E303&lt;&gt;"Y"),"status do_not_contact but do_not_contact is not Y",""))))))</f>
        <v/>
      </c>
      <c r="I303" s="17" t="n">
        <v>282</v>
      </c>
      <c r="J303" s="17">
        <f>IFERROR(INDEX(Clay_Brands!$A$2:$FZ$601,I303,$D$5)&amp;"","")</f>
        <v/>
      </c>
      <c r="K303" s="17">
        <f>IFERROR(INDEX(Clay_Brands!$A$2:$FZ$601,I303,$D$7)&amp;"","")</f>
        <v/>
      </c>
      <c r="L303" s="17">
        <f>IFERROR(INDEX(Clay_Brands!$A$2:$FZ$601,I303,$D$8)&amp;"","")</f>
        <v/>
      </c>
      <c r="M303" s="17">
        <f>IF(J303="","",IF(COUNTIF(Brand_Log!$A$2:$A$201,J303)&gt;0,"Y","N"))</f>
        <v/>
      </c>
      <c r="N303" s="17">
        <f>IF(OR(J303="",AND(LEFT(J303,6)="SAMPLE",Config!$B$19&lt;&gt;"Y")),"",IF(IFERROR(INDEX(Lists!$J$2:$J$15,MATCH(K303,Lists!$I$2:$I$15,0)),-1)=-1,"status '"&amp;K303&amp;"' is not a CONTRACTS status",IF(AND(K303="paid",COUNTIF(paid_brands!$AC$2:$AC$51,J303)=0),"status paid but no paid_brands row"&amp;IF(M303="N"," and no tracker row",""),IF(AND(IFERROR(INDEX(Lists!$J$2:$J$15,MATCH(K303,Lists!$I$2:$I$15,0)),-1)&gt;=6,M303="N"),"status "&amp;K303&amp;" but no tracker row",IF(AND(L303="Y",K303&lt;&gt;"do_not_contact"),"do_not_contact = Y but status is "&amp;K303,IF(AND(K303="do_not_contact",L303&lt;&gt;"Y"),"status do_not_contact but do_not_contact is not Y",""))))))</f>
        <v/>
      </c>
    </row>
    <row r="304">
      <c r="B304" s="17" t="n">
        <v>283</v>
      </c>
      <c r="C304" s="17">
        <f>IFERROR(INDEX(Clay_Offices!$A$2:$FZ$601,B304,$C$5)&amp;"","")</f>
        <v/>
      </c>
      <c r="D304" s="17">
        <f>IFERROR(INDEX(Clay_Offices!$A$2:$FZ$601,B304,$C$7)&amp;"","")</f>
        <v/>
      </c>
      <c r="E304" s="17">
        <f>IFERROR(INDEX(Clay_Offices!$A$2:$FZ$601,B304,$C$8)&amp;"","")</f>
        <v/>
      </c>
      <c r="F304" s="17">
        <f>IF(C304="","",IF(COUNTIF(Office_Log!$A$2:$A$201,C304)&gt;0,"Y","N"))</f>
        <v/>
      </c>
      <c r="G304" s="17">
        <f>IF(OR(C304="",AND(LEFT(C304,6)="SAMPLE",Config!$B$19&lt;&gt;"Y")),"",IF(IFERROR(INDEX(Lists!$J$2:$J$15,MATCH(D304,Lists!$I$2:$I$15,0)),-1)=-1,"status '"&amp;D304&amp;"' is not a CONTRACTS status",IF(AND(D304="signed",COUNTIF(signed_offices!$W$2:$W$51,C304)=0),"status signed but no signed_offices row"&amp;IF(F304="N"," and no tracker row",""),IF(AND(IFERROR(INDEX(Lists!$J$2:$J$15,MATCH(D304,Lists!$I$2:$I$15,0)),-1)&gt;=6,F304="N"),"status "&amp;D304&amp;" but no tracker row",IF(AND(E304="Y",D304&lt;&gt;"do_not_contact"),"do_not_contact = Y but status is "&amp;D304,IF(AND(D304="do_not_contact",E304&lt;&gt;"Y"),"status do_not_contact but do_not_contact is not Y",""))))))</f>
        <v/>
      </c>
      <c r="I304" s="17" t="n">
        <v>283</v>
      </c>
      <c r="J304" s="17">
        <f>IFERROR(INDEX(Clay_Brands!$A$2:$FZ$601,I304,$D$5)&amp;"","")</f>
        <v/>
      </c>
      <c r="K304" s="17">
        <f>IFERROR(INDEX(Clay_Brands!$A$2:$FZ$601,I304,$D$7)&amp;"","")</f>
        <v/>
      </c>
      <c r="L304" s="17">
        <f>IFERROR(INDEX(Clay_Brands!$A$2:$FZ$601,I304,$D$8)&amp;"","")</f>
        <v/>
      </c>
      <c r="M304" s="17">
        <f>IF(J304="","",IF(COUNTIF(Brand_Log!$A$2:$A$201,J304)&gt;0,"Y","N"))</f>
        <v/>
      </c>
      <c r="N304" s="17">
        <f>IF(OR(J304="",AND(LEFT(J304,6)="SAMPLE",Config!$B$19&lt;&gt;"Y")),"",IF(IFERROR(INDEX(Lists!$J$2:$J$15,MATCH(K304,Lists!$I$2:$I$15,0)),-1)=-1,"status '"&amp;K304&amp;"' is not a CONTRACTS status",IF(AND(K304="paid",COUNTIF(paid_brands!$AC$2:$AC$51,J304)=0),"status paid but no paid_brands row"&amp;IF(M304="N"," and no tracker row",""),IF(AND(IFERROR(INDEX(Lists!$J$2:$J$15,MATCH(K304,Lists!$I$2:$I$15,0)),-1)&gt;=6,M304="N"),"status "&amp;K304&amp;" but no tracker row",IF(AND(L304="Y",K304&lt;&gt;"do_not_contact"),"do_not_contact = Y but status is "&amp;K304,IF(AND(K304="do_not_contact",L304&lt;&gt;"Y"),"status do_not_contact but do_not_contact is not Y",""))))))</f>
        <v/>
      </c>
    </row>
    <row r="305">
      <c r="B305" s="17" t="n">
        <v>284</v>
      </c>
      <c r="C305" s="17">
        <f>IFERROR(INDEX(Clay_Offices!$A$2:$FZ$601,B305,$C$5)&amp;"","")</f>
        <v/>
      </c>
      <c r="D305" s="17">
        <f>IFERROR(INDEX(Clay_Offices!$A$2:$FZ$601,B305,$C$7)&amp;"","")</f>
        <v/>
      </c>
      <c r="E305" s="17">
        <f>IFERROR(INDEX(Clay_Offices!$A$2:$FZ$601,B305,$C$8)&amp;"","")</f>
        <v/>
      </c>
      <c r="F305" s="17">
        <f>IF(C305="","",IF(COUNTIF(Office_Log!$A$2:$A$201,C305)&gt;0,"Y","N"))</f>
        <v/>
      </c>
      <c r="G305" s="17">
        <f>IF(OR(C305="",AND(LEFT(C305,6)="SAMPLE",Config!$B$19&lt;&gt;"Y")),"",IF(IFERROR(INDEX(Lists!$J$2:$J$15,MATCH(D305,Lists!$I$2:$I$15,0)),-1)=-1,"status '"&amp;D305&amp;"' is not a CONTRACTS status",IF(AND(D305="signed",COUNTIF(signed_offices!$W$2:$W$51,C305)=0),"status signed but no signed_offices row"&amp;IF(F305="N"," and no tracker row",""),IF(AND(IFERROR(INDEX(Lists!$J$2:$J$15,MATCH(D305,Lists!$I$2:$I$15,0)),-1)&gt;=6,F305="N"),"status "&amp;D305&amp;" but no tracker row",IF(AND(E305="Y",D305&lt;&gt;"do_not_contact"),"do_not_contact = Y but status is "&amp;D305,IF(AND(D305="do_not_contact",E305&lt;&gt;"Y"),"status do_not_contact but do_not_contact is not Y",""))))))</f>
        <v/>
      </c>
      <c r="I305" s="17" t="n">
        <v>284</v>
      </c>
      <c r="J305" s="17">
        <f>IFERROR(INDEX(Clay_Brands!$A$2:$FZ$601,I305,$D$5)&amp;"","")</f>
        <v/>
      </c>
      <c r="K305" s="17">
        <f>IFERROR(INDEX(Clay_Brands!$A$2:$FZ$601,I305,$D$7)&amp;"","")</f>
        <v/>
      </c>
      <c r="L305" s="17">
        <f>IFERROR(INDEX(Clay_Brands!$A$2:$FZ$601,I305,$D$8)&amp;"","")</f>
        <v/>
      </c>
      <c r="M305" s="17">
        <f>IF(J305="","",IF(COUNTIF(Brand_Log!$A$2:$A$201,J305)&gt;0,"Y","N"))</f>
        <v/>
      </c>
      <c r="N305" s="17">
        <f>IF(OR(J305="",AND(LEFT(J305,6)="SAMPLE",Config!$B$19&lt;&gt;"Y")),"",IF(IFERROR(INDEX(Lists!$J$2:$J$15,MATCH(K305,Lists!$I$2:$I$15,0)),-1)=-1,"status '"&amp;K305&amp;"' is not a CONTRACTS status",IF(AND(K305="paid",COUNTIF(paid_brands!$AC$2:$AC$51,J305)=0),"status paid but no paid_brands row"&amp;IF(M305="N"," and no tracker row",""),IF(AND(IFERROR(INDEX(Lists!$J$2:$J$15,MATCH(K305,Lists!$I$2:$I$15,0)),-1)&gt;=6,M305="N"),"status "&amp;K305&amp;" but no tracker row",IF(AND(L305="Y",K305&lt;&gt;"do_not_contact"),"do_not_contact = Y but status is "&amp;K305,IF(AND(K305="do_not_contact",L305&lt;&gt;"Y"),"status do_not_contact but do_not_contact is not Y",""))))))</f>
        <v/>
      </c>
    </row>
    <row r="306">
      <c r="B306" s="17" t="n">
        <v>285</v>
      </c>
      <c r="C306" s="17">
        <f>IFERROR(INDEX(Clay_Offices!$A$2:$FZ$601,B306,$C$5)&amp;"","")</f>
        <v/>
      </c>
      <c r="D306" s="17">
        <f>IFERROR(INDEX(Clay_Offices!$A$2:$FZ$601,B306,$C$7)&amp;"","")</f>
        <v/>
      </c>
      <c r="E306" s="17">
        <f>IFERROR(INDEX(Clay_Offices!$A$2:$FZ$601,B306,$C$8)&amp;"","")</f>
        <v/>
      </c>
      <c r="F306" s="17">
        <f>IF(C306="","",IF(COUNTIF(Office_Log!$A$2:$A$201,C306)&gt;0,"Y","N"))</f>
        <v/>
      </c>
      <c r="G306" s="17">
        <f>IF(OR(C306="",AND(LEFT(C306,6)="SAMPLE",Config!$B$19&lt;&gt;"Y")),"",IF(IFERROR(INDEX(Lists!$J$2:$J$15,MATCH(D306,Lists!$I$2:$I$15,0)),-1)=-1,"status '"&amp;D306&amp;"' is not a CONTRACTS status",IF(AND(D306="signed",COUNTIF(signed_offices!$W$2:$W$51,C306)=0),"status signed but no signed_offices row"&amp;IF(F306="N"," and no tracker row",""),IF(AND(IFERROR(INDEX(Lists!$J$2:$J$15,MATCH(D306,Lists!$I$2:$I$15,0)),-1)&gt;=6,F306="N"),"status "&amp;D306&amp;" but no tracker row",IF(AND(E306="Y",D306&lt;&gt;"do_not_contact"),"do_not_contact = Y but status is "&amp;D306,IF(AND(D306="do_not_contact",E306&lt;&gt;"Y"),"status do_not_contact but do_not_contact is not Y",""))))))</f>
        <v/>
      </c>
      <c r="I306" s="17" t="n">
        <v>285</v>
      </c>
      <c r="J306" s="17">
        <f>IFERROR(INDEX(Clay_Brands!$A$2:$FZ$601,I306,$D$5)&amp;"","")</f>
        <v/>
      </c>
      <c r="K306" s="17">
        <f>IFERROR(INDEX(Clay_Brands!$A$2:$FZ$601,I306,$D$7)&amp;"","")</f>
        <v/>
      </c>
      <c r="L306" s="17">
        <f>IFERROR(INDEX(Clay_Brands!$A$2:$FZ$601,I306,$D$8)&amp;"","")</f>
        <v/>
      </c>
      <c r="M306" s="17">
        <f>IF(J306="","",IF(COUNTIF(Brand_Log!$A$2:$A$201,J306)&gt;0,"Y","N"))</f>
        <v/>
      </c>
      <c r="N306" s="17">
        <f>IF(OR(J306="",AND(LEFT(J306,6)="SAMPLE",Config!$B$19&lt;&gt;"Y")),"",IF(IFERROR(INDEX(Lists!$J$2:$J$15,MATCH(K306,Lists!$I$2:$I$15,0)),-1)=-1,"status '"&amp;K306&amp;"' is not a CONTRACTS status",IF(AND(K306="paid",COUNTIF(paid_brands!$AC$2:$AC$51,J306)=0),"status paid but no paid_brands row"&amp;IF(M306="N"," and no tracker row",""),IF(AND(IFERROR(INDEX(Lists!$J$2:$J$15,MATCH(K306,Lists!$I$2:$I$15,0)),-1)&gt;=6,M306="N"),"status "&amp;K306&amp;" but no tracker row",IF(AND(L306="Y",K306&lt;&gt;"do_not_contact"),"do_not_contact = Y but status is "&amp;K306,IF(AND(K306="do_not_contact",L306&lt;&gt;"Y"),"status do_not_contact but do_not_contact is not Y",""))))))</f>
        <v/>
      </c>
    </row>
    <row r="307">
      <c r="B307" s="17" t="n">
        <v>286</v>
      </c>
      <c r="C307" s="17">
        <f>IFERROR(INDEX(Clay_Offices!$A$2:$FZ$601,B307,$C$5)&amp;"","")</f>
        <v/>
      </c>
      <c r="D307" s="17">
        <f>IFERROR(INDEX(Clay_Offices!$A$2:$FZ$601,B307,$C$7)&amp;"","")</f>
        <v/>
      </c>
      <c r="E307" s="17">
        <f>IFERROR(INDEX(Clay_Offices!$A$2:$FZ$601,B307,$C$8)&amp;"","")</f>
        <v/>
      </c>
      <c r="F307" s="17">
        <f>IF(C307="","",IF(COUNTIF(Office_Log!$A$2:$A$201,C307)&gt;0,"Y","N"))</f>
        <v/>
      </c>
      <c r="G307" s="17">
        <f>IF(OR(C307="",AND(LEFT(C307,6)="SAMPLE",Config!$B$19&lt;&gt;"Y")),"",IF(IFERROR(INDEX(Lists!$J$2:$J$15,MATCH(D307,Lists!$I$2:$I$15,0)),-1)=-1,"status '"&amp;D307&amp;"' is not a CONTRACTS status",IF(AND(D307="signed",COUNTIF(signed_offices!$W$2:$W$51,C307)=0),"status signed but no signed_offices row"&amp;IF(F307="N"," and no tracker row",""),IF(AND(IFERROR(INDEX(Lists!$J$2:$J$15,MATCH(D307,Lists!$I$2:$I$15,0)),-1)&gt;=6,F307="N"),"status "&amp;D307&amp;" but no tracker row",IF(AND(E307="Y",D307&lt;&gt;"do_not_contact"),"do_not_contact = Y but status is "&amp;D307,IF(AND(D307="do_not_contact",E307&lt;&gt;"Y"),"status do_not_contact but do_not_contact is not Y",""))))))</f>
        <v/>
      </c>
      <c r="I307" s="17" t="n">
        <v>286</v>
      </c>
      <c r="J307" s="17">
        <f>IFERROR(INDEX(Clay_Brands!$A$2:$FZ$601,I307,$D$5)&amp;"","")</f>
        <v/>
      </c>
      <c r="K307" s="17">
        <f>IFERROR(INDEX(Clay_Brands!$A$2:$FZ$601,I307,$D$7)&amp;"","")</f>
        <v/>
      </c>
      <c r="L307" s="17">
        <f>IFERROR(INDEX(Clay_Brands!$A$2:$FZ$601,I307,$D$8)&amp;"","")</f>
        <v/>
      </c>
      <c r="M307" s="17">
        <f>IF(J307="","",IF(COUNTIF(Brand_Log!$A$2:$A$201,J307)&gt;0,"Y","N"))</f>
        <v/>
      </c>
      <c r="N307" s="17">
        <f>IF(OR(J307="",AND(LEFT(J307,6)="SAMPLE",Config!$B$19&lt;&gt;"Y")),"",IF(IFERROR(INDEX(Lists!$J$2:$J$15,MATCH(K307,Lists!$I$2:$I$15,0)),-1)=-1,"status '"&amp;K307&amp;"' is not a CONTRACTS status",IF(AND(K307="paid",COUNTIF(paid_brands!$AC$2:$AC$51,J307)=0),"status paid but no paid_brands row"&amp;IF(M307="N"," and no tracker row",""),IF(AND(IFERROR(INDEX(Lists!$J$2:$J$15,MATCH(K307,Lists!$I$2:$I$15,0)),-1)&gt;=6,M307="N"),"status "&amp;K307&amp;" but no tracker row",IF(AND(L307="Y",K307&lt;&gt;"do_not_contact"),"do_not_contact = Y but status is "&amp;K307,IF(AND(K307="do_not_contact",L307&lt;&gt;"Y"),"status do_not_contact but do_not_contact is not Y",""))))))</f>
        <v/>
      </c>
    </row>
    <row r="308">
      <c r="B308" s="17" t="n">
        <v>287</v>
      </c>
      <c r="C308" s="17">
        <f>IFERROR(INDEX(Clay_Offices!$A$2:$FZ$601,B308,$C$5)&amp;"","")</f>
        <v/>
      </c>
      <c r="D308" s="17">
        <f>IFERROR(INDEX(Clay_Offices!$A$2:$FZ$601,B308,$C$7)&amp;"","")</f>
        <v/>
      </c>
      <c r="E308" s="17">
        <f>IFERROR(INDEX(Clay_Offices!$A$2:$FZ$601,B308,$C$8)&amp;"","")</f>
        <v/>
      </c>
      <c r="F308" s="17">
        <f>IF(C308="","",IF(COUNTIF(Office_Log!$A$2:$A$201,C308)&gt;0,"Y","N"))</f>
        <v/>
      </c>
      <c r="G308" s="17">
        <f>IF(OR(C308="",AND(LEFT(C308,6)="SAMPLE",Config!$B$19&lt;&gt;"Y")),"",IF(IFERROR(INDEX(Lists!$J$2:$J$15,MATCH(D308,Lists!$I$2:$I$15,0)),-1)=-1,"status '"&amp;D308&amp;"' is not a CONTRACTS status",IF(AND(D308="signed",COUNTIF(signed_offices!$W$2:$W$51,C308)=0),"status signed but no signed_offices row"&amp;IF(F308="N"," and no tracker row",""),IF(AND(IFERROR(INDEX(Lists!$J$2:$J$15,MATCH(D308,Lists!$I$2:$I$15,0)),-1)&gt;=6,F308="N"),"status "&amp;D308&amp;" but no tracker row",IF(AND(E308="Y",D308&lt;&gt;"do_not_contact"),"do_not_contact = Y but status is "&amp;D308,IF(AND(D308="do_not_contact",E308&lt;&gt;"Y"),"status do_not_contact but do_not_contact is not Y",""))))))</f>
        <v/>
      </c>
      <c r="I308" s="17" t="n">
        <v>287</v>
      </c>
      <c r="J308" s="17">
        <f>IFERROR(INDEX(Clay_Brands!$A$2:$FZ$601,I308,$D$5)&amp;"","")</f>
        <v/>
      </c>
      <c r="K308" s="17">
        <f>IFERROR(INDEX(Clay_Brands!$A$2:$FZ$601,I308,$D$7)&amp;"","")</f>
        <v/>
      </c>
      <c r="L308" s="17">
        <f>IFERROR(INDEX(Clay_Brands!$A$2:$FZ$601,I308,$D$8)&amp;"","")</f>
        <v/>
      </c>
      <c r="M308" s="17">
        <f>IF(J308="","",IF(COUNTIF(Brand_Log!$A$2:$A$201,J308)&gt;0,"Y","N"))</f>
        <v/>
      </c>
      <c r="N308" s="17">
        <f>IF(OR(J308="",AND(LEFT(J308,6)="SAMPLE",Config!$B$19&lt;&gt;"Y")),"",IF(IFERROR(INDEX(Lists!$J$2:$J$15,MATCH(K308,Lists!$I$2:$I$15,0)),-1)=-1,"status '"&amp;K308&amp;"' is not a CONTRACTS status",IF(AND(K308="paid",COUNTIF(paid_brands!$AC$2:$AC$51,J308)=0),"status paid but no paid_brands row"&amp;IF(M308="N"," and no tracker row",""),IF(AND(IFERROR(INDEX(Lists!$J$2:$J$15,MATCH(K308,Lists!$I$2:$I$15,0)),-1)&gt;=6,M308="N"),"status "&amp;K308&amp;" but no tracker row",IF(AND(L308="Y",K308&lt;&gt;"do_not_contact"),"do_not_contact = Y but status is "&amp;K308,IF(AND(K308="do_not_contact",L308&lt;&gt;"Y"),"status do_not_contact but do_not_contact is not Y",""))))))</f>
        <v/>
      </c>
    </row>
    <row r="309">
      <c r="B309" s="17" t="n">
        <v>288</v>
      </c>
      <c r="C309" s="17">
        <f>IFERROR(INDEX(Clay_Offices!$A$2:$FZ$601,B309,$C$5)&amp;"","")</f>
        <v/>
      </c>
      <c r="D309" s="17">
        <f>IFERROR(INDEX(Clay_Offices!$A$2:$FZ$601,B309,$C$7)&amp;"","")</f>
        <v/>
      </c>
      <c r="E309" s="17">
        <f>IFERROR(INDEX(Clay_Offices!$A$2:$FZ$601,B309,$C$8)&amp;"","")</f>
        <v/>
      </c>
      <c r="F309" s="17">
        <f>IF(C309="","",IF(COUNTIF(Office_Log!$A$2:$A$201,C309)&gt;0,"Y","N"))</f>
        <v/>
      </c>
      <c r="G309" s="17">
        <f>IF(OR(C309="",AND(LEFT(C309,6)="SAMPLE",Config!$B$19&lt;&gt;"Y")),"",IF(IFERROR(INDEX(Lists!$J$2:$J$15,MATCH(D309,Lists!$I$2:$I$15,0)),-1)=-1,"status '"&amp;D309&amp;"' is not a CONTRACTS status",IF(AND(D309="signed",COUNTIF(signed_offices!$W$2:$W$51,C309)=0),"status signed but no signed_offices row"&amp;IF(F309="N"," and no tracker row",""),IF(AND(IFERROR(INDEX(Lists!$J$2:$J$15,MATCH(D309,Lists!$I$2:$I$15,0)),-1)&gt;=6,F309="N"),"status "&amp;D309&amp;" but no tracker row",IF(AND(E309="Y",D309&lt;&gt;"do_not_contact"),"do_not_contact = Y but status is "&amp;D309,IF(AND(D309="do_not_contact",E309&lt;&gt;"Y"),"status do_not_contact but do_not_contact is not Y",""))))))</f>
        <v/>
      </c>
      <c r="I309" s="17" t="n">
        <v>288</v>
      </c>
      <c r="J309" s="17">
        <f>IFERROR(INDEX(Clay_Brands!$A$2:$FZ$601,I309,$D$5)&amp;"","")</f>
        <v/>
      </c>
      <c r="K309" s="17">
        <f>IFERROR(INDEX(Clay_Brands!$A$2:$FZ$601,I309,$D$7)&amp;"","")</f>
        <v/>
      </c>
      <c r="L309" s="17">
        <f>IFERROR(INDEX(Clay_Brands!$A$2:$FZ$601,I309,$D$8)&amp;"","")</f>
        <v/>
      </c>
      <c r="M309" s="17">
        <f>IF(J309="","",IF(COUNTIF(Brand_Log!$A$2:$A$201,J309)&gt;0,"Y","N"))</f>
        <v/>
      </c>
      <c r="N309" s="17">
        <f>IF(OR(J309="",AND(LEFT(J309,6)="SAMPLE",Config!$B$19&lt;&gt;"Y")),"",IF(IFERROR(INDEX(Lists!$J$2:$J$15,MATCH(K309,Lists!$I$2:$I$15,0)),-1)=-1,"status '"&amp;K309&amp;"' is not a CONTRACTS status",IF(AND(K309="paid",COUNTIF(paid_brands!$AC$2:$AC$51,J309)=0),"status paid but no paid_brands row"&amp;IF(M309="N"," and no tracker row",""),IF(AND(IFERROR(INDEX(Lists!$J$2:$J$15,MATCH(K309,Lists!$I$2:$I$15,0)),-1)&gt;=6,M309="N"),"status "&amp;K309&amp;" but no tracker row",IF(AND(L309="Y",K309&lt;&gt;"do_not_contact"),"do_not_contact = Y but status is "&amp;K309,IF(AND(K309="do_not_contact",L309&lt;&gt;"Y"),"status do_not_contact but do_not_contact is not Y",""))))))</f>
        <v/>
      </c>
    </row>
    <row r="310">
      <c r="B310" s="17" t="n">
        <v>289</v>
      </c>
      <c r="C310" s="17">
        <f>IFERROR(INDEX(Clay_Offices!$A$2:$FZ$601,B310,$C$5)&amp;"","")</f>
        <v/>
      </c>
      <c r="D310" s="17">
        <f>IFERROR(INDEX(Clay_Offices!$A$2:$FZ$601,B310,$C$7)&amp;"","")</f>
        <v/>
      </c>
      <c r="E310" s="17">
        <f>IFERROR(INDEX(Clay_Offices!$A$2:$FZ$601,B310,$C$8)&amp;"","")</f>
        <v/>
      </c>
      <c r="F310" s="17">
        <f>IF(C310="","",IF(COUNTIF(Office_Log!$A$2:$A$201,C310)&gt;0,"Y","N"))</f>
        <v/>
      </c>
      <c r="G310" s="17">
        <f>IF(OR(C310="",AND(LEFT(C310,6)="SAMPLE",Config!$B$19&lt;&gt;"Y")),"",IF(IFERROR(INDEX(Lists!$J$2:$J$15,MATCH(D310,Lists!$I$2:$I$15,0)),-1)=-1,"status '"&amp;D310&amp;"' is not a CONTRACTS status",IF(AND(D310="signed",COUNTIF(signed_offices!$W$2:$W$51,C310)=0),"status signed but no signed_offices row"&amp;IF(F310="N"," and no tracker row",""),IF(AND(IFERROR(INDEX(Lists!$J$2:$J$15,MATCH(D310,Lists!$I$2:$I$15,0)),-1)&gt;=6,F310="N"),"status "&amp;D310&amp;" but no tracker row",IF(AND(E310="Y",D310&lt;&gt;"do_not_contact"),"do_not_contact = Y but status is "&amp;D310,IF(AND(D310="do_not_contact",E310&lt;&gt;"Y"),"status do_not_contact but do_not_contact is not Y",""))))))</f>
        <v/>
      </c>
      <c r="I310" s="17" t="n">
        <v>289</v>
      </c>
      <c r="J310" s="17">
        <f>IFERROR(INDEX(Clay_Brands!$A$2:$FZ$601,I310,$D$5)&amp;"","")</f>
        <v/>
      </c>
      <c r="K310" s="17">
        <f>IFERROR(INDEX(Clay_Brands!$A$2:$FZ$601,I310,$D$7)&amp;"","")</f>
        <v/>
      </c>
      <c r="L310" s="17">
        <f>IFERROR(INDEX(Clay_Brands!$A$2:$FZ$601,I310,$D$8)&amp;"","")</f>
        <v/>
      </c>
      <c r="M310" s="17">
        <f>IF(J310="","",IF(COUNTIF(Brand_Log!$A$2:$A$201,J310)&gt;0,"Y","N"))</f>
        <v/>
      </c>
      <c r="N310" s="17">
        <f>IF(OR(J310="",AND(LEFT(J310,6)="SAMPLE",Config!$B$19&lt;&gt;"Y")),"",IF(IFERROR(INDEX(Lists!$J$2:$J$15,MATCH(K310,Lists!$I$2:$I$15,0)),-1)=-1,"status '"&amp;K310&amp;"' is not a CONTRACTS status",IF(AND(K310="paid",COUNTIF(paid_brands!$AC$2:$AC$51,J310)=0),"status paid but no paid_brands row"&amp;IF(M310="N"," and no tracker row",""),IF(AND(IFERROR(INDEX(Lists!$J$2:$J$15,MATCH(K310,Lists!$I$2:$I$15,0)),-1)&gt;=6,M310="N"),"status "&amp;K310&amp;" but no tracker row",IF(AND(L310="Y",K310&lt;&gt;"do_not_contact"),"do_not_contact = Y but status is "&amp;K310,IF(AND(K310="do_not_contact",L310&lt;&gt;"Y"),"status do_not_contact but do_not_contact is not Y",""))))))</f>
        <v/>
      </c>
    </row>
    <row r="311">
      <c r="B311" s="17" t="n">
        <v>290</v>
      </c>
      <c r="C311" s="17">
        <f>IFERROR(INDEX(Clay_Offices!$A$2:$FZ$601,B311,$C$5)&amp;"","")</f>
        <v/>
      </c>
      <c r="D311" s="17">
        <f>IFERROR(INDEX(Clay_Offices!$A$2:$FZ$601,B311,$C$7)&amp;"","")</f>
        <v/>
      </c>
      <c r="E311" s="17">
        <f>IFERROR(INDEX(Clay_Offices!$A$2:$FZ$601,B311,$C$8)&amp;"","")</f>
        <v/>
      </c>
      <c r="F311" s="17">
        <f>IF(C311="","",IF(COUNTIF(Office_Log!$A$2:$A$201,C311)&gt;0,"Y","N"))</f>
        <v/>
      </c>
      <c r="G311" s="17">
        <f>IF(OR(C311="",AND(LEFT(C311,6)="SAMPLE",Config!$B$19&lt;&gt;"Y")),"",IF(IFERROR(INDEX(Lists!$J$2:$J$15,MATCH(D311,Lists!$I$2:$I$15,0)),-1)=-1,"status '"&amp;D311&amp;"' is not a CONTRACTS status",IF(AND(D311="signed",COUNTIF(signed_offices!$W$2:$W$51,C311)=0),"status signed but no signed_offices row"&amp;IF(F311="N"," and no tracker row",""),IF(AND(IFERROR(INDEX(Lists!$J$2:$J$15,MATCH(D311,Lists!$I$2:$I$15,0)),-1)&gt;=6,F311="N"),"status "&amp;D311&amp;" but no tracker row",IF(AND(E311="Y",D311&lt;&gt;"do_not_contact"),"do_not_contact = Y but status is "&amp;D311,IF(AND(D311="do_not_contact",E311&lt;&gt;"Y"),"status do_not_contact but do_not_contact is not Y",""))))))</f>
        <v/>
      </c>
      <c r="I311" s="17" t="n">
        <v>290</v>
      </c>
      <c r="J311" s="17">
        <f>IFERROR(INDEX(Clay_Brands!$A$2:$FZ$601,I311,$D$5)&amp;"","")</f>
        <v/>
      </c>
      <c r="K311" s="17">
        <f>IFERROR(INDEX(Clay_Brands!$A$2:$FZ$601,I311,$D$7)&amp;"","")</f>
        <v/>
      </c>
      <c r="L311" s="17">
        <f>IFERROR(INDEX(Clay_Brands!$A$2:$FZ$601,I311,$D$8)&amp;"","")</f>
        <v/>
      </c>
      <c r="M311" s="17">
        <f>IF(J311="","",IF(COUNTIF(Brand_Log!$A$2:$A$201,J311)&gt;0,"Y","N"))</f>
        <v/>
      </c>
      <c r="N311" s="17">
        <f>IF(OR(J311="",AND(LEFT(J311,6)="SAMPLE",Config!$B$19&lt;&gt;"Y")),"",IF(IFERROR(INDEX(Lists!$J$2:$J$15,MATCH(K311,Lists!$I$2:$I$15,0)),-1)=-1,"status '"&amp;K311&amp;"' is not a CONTRACTS status",IF(AND(K311="paid",COUNTIF(paid_brands!$AC$2:$AC$51,J311)=0),"status paid but no paid_brands row"&amp;IF(M311="N"," and no tracker row",""),IF(AND(IFERROR(INDEX(Lists!$J$2:$J$15,MATCH(K311,Lists!$I$2:$I$15,0)),-1)&gt;=6,M311="N"),"status "&amp;K311&amp;" but no tracker row",IF(AND(L311="Y",K311&lt;&gt;"do_not_contact"),"do_not_contact = Y but status is "&amp;K311,IF(AND(K311="do_not_contact",L311&lt;&gt;"Y"),"status do_not_contact but do_not_contact is not Y",""))))))</f>
        <v/>
      </c>
    </row>
    <row r="312">
      <c r="B312" s="17" t="n">
        <v>291</v>
      </c>
      <c r="C312" s="17">
        <f>IFERROR(INDEX(Clay_Offices!$A$2:$FZ$601,B312,$C$5)&amp;"","")</f>
        <v/>
      </c>
      <c r="D312" s="17">
        <f>IFERROR(INDEX(Clay_Offices!$A$2:$FZ$601,B312,$C$7)&amp;"","")</f>
        <v/>
      </c>
      <c r="E312" s="17">
        <f>IFERROR(INDEX(Clay_Offices!$A$2:$FZ$601,B312,$C$8)&amp;"","")</f>
        <v/>
      </c>
      <c r="F312" s="17">
        <f>IF(C312="","",IF(COUNTIF(Office_Log!$A$2:$A$201,C312)&gt;0,"Y","N"))</f>
        <v/>
      </c>
      <c r="G312" s="17">
        <f>IF(OR(C312="",AND(LEFT(C312,6)="SAMPLE",Config!$B$19&lt;&gt;"Y")),"",IF(IFERROR(INDEX(Lists!$J$2:$J$15,MATCH(D312,Lists!$I$2:$I$15,0)),-1)=-1,"status '"&amp;D312&amp;"' is not a CONTRACTS status",IF(AND(D312="signed",COUNTIF(signed_offices!$W$2:$W$51,C312)=0),"status signed but no signed_offices row"&amp;IF(F312="N"," and no tracker row",""),IF(AND(IFERROR(INDEX(Lists!$J$2:$J$15,MATCH(D312,Lists!$I$2:$I$15,0)),-1)&gt;=6,F312="N"),"status "&amp;D312&amp;" but no tracker row",IF(AND(E312="Y",D312&lt;&gt;"do_not_contact"),"do_not_contact = Y but status is "&amp;D312,IF(AND(D312="do_not_contact",E312&lt;&gt;"Y"),"status do_not_contact but do_not_contact is not Y",""))))))</f>
        <v/>
      </c>
      <c r="I312" s="17" t="n">
        <v>291</v>
      </c>
      <c r="J312" s="17">
        <f>IFERROR(INDEX(Clay_Brands!$A$2:$FZ$601,I312,$D$5)&amp;"","")</f>
        <v/>
      </c>
      <c r="K312" s="17">
        <f>IFERROR(INDEX(Clay_Brands!$A$2:$FZ$601,I312,$D$7)&amp;"","")</f>
        <v/>
      </c>
      <c r="L312" s="17">
        <f>IFERROR(INDEX(Clay_Brands!$A$2:$FZ$601,I312,$D$8)&amp;"","")</f>
        <v/>
      </c>
      <c r="M312" s="17">
        <f>IF(J312="","",IF(COUNTIF(Brand_Log!$A$2:$A$201,J312)&gt;0,"Y","N"))</f>
        <v/>
      </c>
      <c r="N312" s="17">
        <f>IF(OR(J312="",AND(LEFT(J312,6)="SAMPLE",Config!$B$19&lt;&gt;"Y")),"",IF(IFERROR(INDEX(Lists!$J$2:$J$15,MATCH(K312,Lists!$I$2:$I$15,0)),-1)=-1,"status '"&amp;K312&amp;"' is not a CONTRACTS status",IF(AND(K312="paid",COUNTIF(paid_brands!$AC$2:$AC$51,J312)=0),"status paid but no paid_brands row"&amp;IF(M312="N"," and no tracker row",""),IF(AND(IFERROR(INDEX(Lists!$J$2:$J$15,MATCH(K312,Lists!$I$2:$I$15,0)),-1)&gt;=6,M312="N"),"status "&amp;K312&amp;" but no tracker row",IF(AND(L312="Y",K312&lt;&gt;"do_not_contact"),"do_not_contact = Y but status is "&amp;K312,IF(AND(K312="do_not_contact",L312&lt;&gt;"Y"),"status do_not_contact but do_not_contact is not Y",""))))))</f>
        <v/>
      </c>
    </row>
    <row r="313">
      <c r="B313" s="17" t="n">
        <v>292</v>
      </c>
      <c r="C313" s="17">
        <f>IFERROR(INDEX(Clay_Offices!$A$2:$FZ$601,B313,$C$5)&amp;"","")</f>
        <v/>
      </c>
      <c r="D313" s="17">
        <f>IFERROR(INDEX(Clay_Offices!$A$2:$FZ$601,B313,$C$7)&amp;"","")</f>
        <v/>
      </c>
      <c r="E313" s="17">
        <f>IFERROR(INDEX(Clay_Offices!$A$2:$FZ$601,B313,$C$8)&amp;"","")</f>
        <v/>
      </c>
      <c r="F313" s="17">
        <f>IF(C313="","",IF(COUNTIF(Office_Log!$A$2:$A$201,C313)&gt;0,"Y","N"))</f>
        <v/>
      </c>
      <c r="G313" s="17">
        <f>IF(OR(C313="",AND(LEFT(C313,6)="SAMPLE",Config!$B$19&lt;&gt;"Y")),"",IF(IFERROR(INDEX(Lists!$J$2:$J$15,MATCH(D313,Lists!$I$2:$I$15,0)),-1)=-1,"status '"&amp;D313&amp;"' is not a CONTRACTS status",IF(AND(D313="signed",COUNTIF(signed_offices!$W$2:$W$51,C313)=0),"status signed but no signed_offices row"&amp;IF(F313="N"," and no tracker row",""),IF(AND(IFERROR(INDEX(Lists!$J$2:$J$15,MATCH(D313,Lists!$I$2:$I$15,0)),-1)&gt;=6,F313="N"),"status "&amp;D313&amp;" but no tracker row",IF(AND(E313="Y",D313&lt;&gt;"do_not_contact"),"do_not_contact = Y but status is "&amp;D313,IF(AND(D313="do_not_contact",E313&lt;&gt;"Y"),"status do_not_contact but do_not_contact is not Y",""))))))</f>
        <v/>
      </c>
      <c r="I313" s="17" t="n">
        <v>292</v>
      </c>
      <c r="J313" s="17">
        <f>IFERROR(INDEX(Clay_Brands!$A$2:$FZ$601,I313,$D$5)&amp;"","")</f>
        <v/>
      </c>
      <c r="K313" s="17">
        <f>IFERROR(INDEX(Clay_Brands!$A$2:$FZ$601,I313,$D$7)&amp;"","")</f>
        <v/>
      </c>
      <c r="L313" s="17">
        <f>IFERROR(INDEX(Clay_Brands!$A$2:$FZ$601,I313,$D$8)&amp;"","")</f>
        <v/>
      </c>
      <c r="M313" s="17">
        <f>IF(J313="","",IF(COUNTIF(Brand_Log!$A$2:$A$201,J313)&gt;0,"Y","N"))</f>
        <v/>
      </c>
      <c r="N313" s="17">
        <f>IF(OR(J313="",AND(LEFT(J313,6)="SAMPLE",Config!$B$19&lt;&gt;"Y")),"",IF(IFERROR(INDEX(Lists!$J$2:$J$15,MATCH(K313,Lists!$I$2:$I$15,0)),-1)=-1,"status '"&amp;K313&amp;"' is not a CONTRACTS status",IF(AND(K313="paid",COUNTIF(paid_brands!$AC$2:$AC$51,J313)=0),"status paid but no paid_brands row"&amp;IF(M313="N"," and no tracker row",""),IF(AND(IFERROR(INDEX(Lists!$J$2:$J$15,MATCH(K313,Lists!$I$2:$I$15,0)),-1)&gt;=6,M313="N"),"status "&amp;K313&amp;" but no tracker row",IF(AND(L313="Y",K313&lt;&gt;"do_not_contact"),"do_not_contact = Y but status is "&amp;K313,IF(AND(K313="do_not_contact",L313&lt;&gt;"Y"),"status do_not_contact but do_not_contact is not Y",""))))))</f>
        <v/>
      </c>
    </row>
    <row r="314">
      <c r="B314" s="17" t="n">
        <v>293</v>
      </c>
      <c r="C314" s="17">
        <f>IFERROR(INDEX(Clay_Offices!$A$2:$FZ$601,B314,$C$5)&amp;"","")</f>
        <v/>
      </c>
      <c r="D314" s="17">
        <f>IFERROR(INDEX(Clay_Offices!$A$2:$FZ$601,B314,$C$7)&amp;"","")</f>
        <v/>
      </c>
      <c r="E314" s="17">
        <f>IFERROR(INDEX(Clay_Offices!$A$2:$FZ$601,B314,$C$8)&amp;"","")</f>
        <v/>
      </c>
      <c r="F314" s="17">
        <f>IF(C314="","",IF(COUNTIF(Office_Log!$A$2:$A$201,C314)&gt;0,"Y","N"))</f>
        <v/>
      </c>
      <c r="G314" s="17">
        <f>IF(OR(C314="",AND(LEFT(C314,6)="SAMPLE",Config!$B$19&lt;&gt;"Y")),"",IF(IFERROR(INDEX(Lists!$J$2:$J$15,MATCH(D314,Lists!$I$2:$I$15,0)),-1)=-1,"status '"&amp;D314&amp;"' is not a CONTRACTS status",IF(AND(D314="signed",COUNTIF(signed_offices!$W$2:$W$51,C314)=0),"status signed but no signed_offices row"&amp;IF(F314="N"," and no tracker row",""),IF(AND(IFERROR(INDEX(Lists!$J$2:$J$15,MATCH(D314,Lists!$I$2:$I$15,0)),-1)&gt;=6,F314="N"),"status "&amp;D314&amp;" but no tracker row",IF(AND(E314="Y",D314&lt;&gt;"do_not_contact"),"do_not_contact = Y but status is "&amp;D314,IF(AND(D314="do_not_contact",E314&lt;&gt;"Y"),"status do_not_contact but do_not_contact is not Y",""))))))</f>
        <v/>
      </c>
      <c r="I314" s="17" t="n">
        <v>293</v>
      </c>
      <c r="J314" s="17">
        <f>IFERROR(INDEX(Clay_Brands!$A$2:$FZ$601,I314,$D$5)&amp;"","")</f>
        <v/>
      </c>
      <c r="K314" s="17">
        <f>IFERROR(INDEX(Clay_Brands!$A$2:$FZ$601,I314,$D$7)&amp;"","")</f>
        <v/>
      </c>
      <c r="L314" s="17">
        <f>IFERROR(INDEX(Clay_Brands!$A$2:$FZ$601,I314,$D$8)&amp;"","")</f>
        <v/>
      </c>
      <c r="M314" s="17">
        <f>IF(J314="","",IF(COUNTIF(Brand_Log!$A$2:$A$201,J314)&gt;0,"Y","N"))</f>
        <v/>
      </c>
      <c r="N314" s="17">
        <f>IF(OR(J314="",AND(LEFT(J314,6)="SAMPLE",Config!$B$19&lt;&gt;"Y")),"",IF(IFERROR(INDEX(Lists!$J$2:$J$15,MATCH(K314,Lists!$I$2:$I$15,0)),-1)=-1,"status '"&amp;K314&amp;"' is not a CONTRACTS status",IF(AND(K314="paid",COUNTIF(paid_brands!$AC$2:$AC$51,J314)=0),"status paid but no paid_brands row"&amp;IF(M314="N"," and no tracker row",""),IF(AND(IFERROR(INDEX(Lists!$J$2:$J$15,MATCH(K314,Lists!$I$2:$I$15,0)),-1)&gt;=6,M314="N"),"status "&amp;K314&amp;" but no tracker row",IF(AND(L314="Y",K314&lt;&gt;"do_not_contact"),"do_not_contact = Y but status is "&amp;K314,IF(AND(K314="do_not_contact",L314&lt;&gt;"Y"),"status do_not_contact but do_not_contact is not Y",""))))))</f>
        <v/>
      </c>
    </row>
    <row r="315">
      <c r="B315" s="17" t="n">
        <v>294</v>
      </c>
      <c r="C315" s="17">
        <f>IFERROR(INDEX(Clay_Offices!$A$2:$FZ$601,B315,$C$5)&amp;"","")</f>
        <v/>
      </c>
      <c r="D315" s="17">
        <f>IFERROR(INDEX(Clay_Offices!$A$2:$FZ$601,B315,$C$7)&amp;"","")</f>
        <v/>
      </c>
      <c r="E315" s="17">
        <f>IFERROR(INDEX(Clay_Offices!$A$2:$FZ$601,B315,$C$8)&amp;"","")</f>
        <v/>
      </c>
      <c r="F315" s="17">
        <f>IF(C315="","",IF(COUNTIF(Office_Log!$A$2:$A$201,C315)&gt;0,"Y","N"))</f>
        <v/>
      </c>
      <c r="G315" s="17">
        <f>IF(OR(C315="",AND(LEFT(C315,6)="SAMPLE",Config!$B$19&lt;&gt;"Y")),"",IF(IFERROR(INDEX(Lists!$J$2:$J$15,MATCH(D315,Lists!$I$2:$I$15,0)),-1)=-1,"status '"&amp;D315&amp;"' is not a CONTRACTS status",IF(AND(D315="signed",COUNTIF(signed_offices!$W$2:$W$51,C315)=0),"status signed but no signed_offices row"&amp;IF(F315="N"," and no tracker row",""),IF(AND(IFERROR(INDEX(Lists!$J$2:$J$15,MATCH(D315,Lists!$I$2:$I$15,0)),-1)&gt;=6,F315="N"),"status "&amp;D315&amp;" but no tracker row",IF(AND(E315="Y",D315&lt;&gt;"do_not_contact"),"do_not_contact = Y but status is "&amp;D315,IF(AND(D315="do_not_contact",E315&lt;&gt;"Y"),"status do_not_contact but do_not_contact is not Y",""))))))</f>
        <v/>
      </c>
      <c r="I315" s="17" t="n">
        <v>294</v>
      </c>
      <c r="J315" s="17">
        <f>IFERROR(INDEX(Clay_Brands!$A$2:$FZ$601,I315,$D$5)&amp;"","")</f>
        <v/>
      </c>
      <c r="K315" s="17">
        <f>IFERROR(INDEX(Clay_Brands!$A$2:$FZ$601,I315,$D$7)&amp;"","")</f>
        <v/>
      </c>
      <c r="L315" s="17">
        <f>IFERROR(INDEX(Clay_Brands!$A$2:$FZ$601,I315,$D$8)&amp;"","")</f>
        <v/>
      </c>
      <c r="M315" s="17">
        <f>IF(J315="","",IF(COUNTIF(Brand_Log!$A$2:$A$201,J315)&gt;0,"Y","N"))</f>
        <v/>
      </c>
      <c r="N315" s="17">
        <f>IF(OR(J315="",AND(LEFT(J315,6)="SAMPLE",Config!$B$19&lt;&gt;"Y")),"",IF(IFERROR(INDEX(Lists!$J$2:$J$15,MATCH(K315,Lists!$I$2:$I$15,0)),-1)=-1,"status '"&amp;K315&amp;"' is not a CONTRACTS status",IF(AND(K315="paid",COUNTIF(paid_brands!$AC$2:$AC$51,J315)=0),"status paid but no paid_brands row"&amp;IF(M315="N"," and no tracker row",""),IF(AND(IFERROR(INDEX(Lists!$J$2:$J$15,MATCH(K315,Lists!$I$2:$I$15,0)),-1)&gt;=6,M315="N"),"status "&amp;K315&amp;" but no tracker row",IF(AND(L315="Y",K315&lt;&gt;"do_not_contact"),"do_not_contact = Y but status is "&amp;K315,IF(AND(K315="do_not_contact",L315&lt;&gt;"Y"),"status do_not_contact but do_not_contact is not Y",""))))))</f>
        <v/>
      </c>
    </row>
    <row r="316">
      <c r="B316" s="17" t="n">
        <v>295</v>
      </c>
      <c r="C316" s="17">
        <f>IFERROR(INDEX(Clay_Offices!$A$2:$FZ$601,B316,$C$5)&amp;"","")</f>
        <v/>
      </c>
      <c r="D316" s="17">
        <f>IFERROR(INDEX(Clay_Offices!$A$2:$FZ$601,B316,$C$7)&amp;"","")</f>
        <v/>
      </c>
      <c r="E316" s="17">
        <f>IFERROR(INDEX(Clay_Offices!$A$2:$FZ$601,B316,$C$8)&amp;"","")</f>
        <v/>
      </c>
      <c r="F316" s="17">
        <f>IF(C316="","",IF(COUNTIF(Office_Log!$A$2:$A$201,C316)&gt;0,"Y","N"))</f>
        <v/>
      </c>
      <c r="G316" s="17">
        <f>IF(OR(C316="",AND(LEFT(C316,6)="SAMPLE",Config!$B$19&lt;&gt;"Y")),"",IF(IFERROR(INDEX(Lists!$J$2:$J$15,MATCH(D316,Lists!$I$2:$I$15,0)),-1)=-1,"status '"&amp;D316&amp;"' is not a CONTRACTS status",IF(AND(D316="signed",COUNTIF(signed_offices!$W$2:$W$51,C316)=0),"status signed but no signed_offices row"&amp;IF(F316="N"," and no tracker row",""),IF(AND(IFERROR(INDEX(Lists!$J$2:$J$15,MATCH(D316,Lists!$I$2:$I$15,0)),-1)&gt;=6,F316="N"),"status "&amp;D316&amp;" but no tracker row",IF(AND(E316="Y",D316&lt;&gt;"do_not_contact"),"do_not_contact = Y but status is "&amp;D316,IF(AND(D316="do_not_contact",E316&lt;&gt;"Y"),"status do_not_contact but do_not_contact is not Y",""))))))</f>
        <v/>
      </c>
      <c r="I316" s="17" t="n">
        <v>295</v>
      </c>
      <c r="J316" s="17">
        <f>IFERROR(INDEX(Clay_Brands!$A$2:$FZ$601,I316,$D$5)&amp;"","")</f>
        <v/>
      </c>
      <c r="K316" s="17">
        <f>IFERROR(INDEX(Clay_Brands!$A$2:$FZ$601,I316,$D$7)&amp;"","")</f>
        <v/>
      </c>
      <c r="L316" s="17">
        <f>IFERROR(INDEX(Clay_Brands!$A$2:$FZ$601,I316,$D$8)&amp;"","")</f>
        <v/>
      </c>
      <c r="M316" s="17">
        <f>IF(J316="","",IF(COUNTIF(Brand_Log!$A$2:$A$201,J316)&gt;0,"Y","N"))</f>
        <v/>
      </c>
      <c r="N316" s="17">
        <f>IF(OR(J316="",AND(LEFT(J316,6)="SAMPLE",Config!$B$19&lt;&gt;"Y")),"",IF(IFERROR(INDEX(Lists!$J$2:$J$15,MATCH(K316,Lists!$I$2:$I$15,0)),-1)=-1,"status '"&amp;K316&amp;"' is not a CONTRACTS status",IF(AND(K316="paid",COUNTIF(paid_brands!$AC$2:$AC$51,J316)=0),"status paid but no paid_brands row"&amp;IF(M316="N"," and no tracker row",""),IF(AND(IFERROR(INDEX(Lists!$J$2:$J$15,MATCH(K316,Lists!$I$2:$I$15,0)),-1)&gt;=6,M316="N"),"status "&amp;K316&amp;" but no tracker row",IF(AND(L316="Y",K316&lt;&gt;"do_not_contact"),"do_not_contact = Y but status is "&amp;K316,IF(AND(K316="do_not_contact",L316&lt;&gt;"Y"),"status do_not_contact but do_not_contact is not Y",""))))))</f>
        <v/>
      </c>
    </row>
    <row r="317">
      <c r="B317" s="17" t="n">
        <v>296</v>
      </c>
      <c r="C317" s="17">
        <f>IFERROR(INDEX(Clay_Offices!$A$2:$FZ$601,B317,$C$5)&amp;"","")</f>
        <v/>
      </c>
      <c r="D317" s="17">
        <f>IFERROR(INDEX(Clay_Offices!$A$2:$FZ$601,B317,$C$7)&amp;"","")</f>
        <v/>
      </c>
      <c r="E317" s="17">
        <f>IFERROR(INDEX(Clay_Offices!$A$2:$FZ$601,B317,$C$8)&amp;"","")</f>
        <v/>
      </c>
      <c r="F317" s="17">
        <f>IF(C317="","",IF(COUNTIF(Office_Log!$A$2:$A$201,C317)&gt;0,"Y","N"))</f>
        <v/>
      </c>
      <c r="G317" s="17">
        <f>IF(OR(C317="",AND(LEFT(C317,6)="SAMPLE",Config!$B$19&lt;&gt;"Y")),"",IF(IFERROR(INDEX(Lists!$J$2:$J$15,MATCH(D317,Lists!$I$2:$I$15,0)),-1)=-1,"status '"&amp;D317&amp;"' is not a CONTRACTS status",IF(AND(D317="signed",COUNTIF(signed_offices!$W$2:$W$51,C317)=0),"status signed but no signed_offices row"&amp;IF(F317="N"," and no tracker row",""),IF(AND(IFERROR(INDEX(Lists!$J$2:$J$15,MATCH(D317,Lists!$I$2:$I$15,0)),-1)&gt;=6,F317="N"),"status "&amp;D317&amp;" but no tracker row",IF(AND(E317="Y",D317&lt;&gt;"do_not_contact"),"do_not_contact = Y but status is "&amp;D317,IF(AND(D317="do_not_contact",E317&lt;&gt;"Y"),"status do_not_contact but do_not_contact is not Y",""))))))</f>
        <v/>
      </c>
      <c r="I317" s="17" t="n">
        <v>296</v>
      </c>
      <c r="J317" s="17">
        <f>IFERROR(INDEX(Clay_Brands!$A$2:$FZ$601,I317,$D$5)&amp;"","")</f>
        <v/>
      </c>
      <c r="K317" s="17">
        <f>IFERROR(INDEX(Clay_Brands!$A$2:$FZ$601,I317,$D$7)&amp;"","")</f>
        <v/>
      </c>
      <c r="L317" s="17">
        <f>IFERROR(INDEX(Clay_Brands!$A$2:$FZ$601,I317,$D$8)&amp;"","")</f>
        <v/>
      </c>
      <c r="M317" s="17">
        <f>IF(J317="","",IF(COUNTIF(Brand_Log!$A$2:$A$201,J317)&gt;0,"Y","N"))</f>
        <v/>
      </c>
      <c r="N317" s="17">
        <f>IF(OR(J317="",AND(LEFT(J317,6)="SAMPLE",Config!$B$19&lt;&gt;"Y")),"",IF(IFERROR(INDEX(Lists!$J$2:$J$15,MATCH(K317,Lists!$I$2:$I$15,0)),-1)=-1,"status '"&amp;K317&amp;"' is not a CONTRACTS status",IF(AND(K317="paid",COUNTIF(paid_brands!$AC$2:$AC$51,J317)=0),"status paid but no paid_brands row"&amp;IF(M317="N"," and no tracker row",""),IF(AND(IFERROR(INDEX(Lists!$J$2:$J$15,MATCH(K317,Lists!$I$2:$I$15,0)),-1)&gt;=6,M317="N"),"status "&amp;K317&amp;" but no tracker row",IF(AND(L317="Y",K317&lt;&gt;"do_not_contact"),"do_not_contact = Y but status is "&amp;K317,IF(AND(K317="do_not_contact",L317&lt;&gt;"Y"),"status do_not_contact but do_not_contact is not Y",""))))))</f>
        <v/>
      </c>
    </row>
    <row r="318">
      <c r="B318" s="17" t="n">
        <v>297</v>
      </c>
      <c r="C318" s="17">
        <f>IFERROR(INDEX(Clay_Offices!$A$2:$FZ$601,B318,$C$5)&amp;"","")</f>
        <v/>
      </c>
      <c r="D318" s="17">
        <f>IFERROR(INDEX(Clay_Offices!$A$2:$FZ$601,B318,$C$7)&amp;"","")</f>
        <v/>
      </c>
      <c r="E318" s="17">
        <f>IFERROR(INDEX(Clay_Offices!$A$2:$FZ$601,B318,$C$8)&amp;"","")</f>
        <v/>
      </c>
      <c r="F318" s="17">
        <f>IF(C318="","",IF(COUNTIF(Office_Log!$A$2:$A$201,C318)&gt;0,"Y","N"))</f>
        <v/>
      </c>
      <c r="G318" s="17">
        <f>IF(OR(C318="",AND(LEFT(C318,6)="SAMPLE",Config!$B$19&lt;&gt;"Y")),"",IF(IFERROR(INDEX(Lists!$J$2:$J$15,MATCH(D318,Lists!$I$2:$I$15,0)),-1)=-1,"status '"&amp;D318&amp;"' is not a CONTRACTS status",IF(AND(D318="signed",COUNTIF(signed_offices!$W$2:$W$51,C318)=0),"status signed but no signed_offices row"&amp;IF(F318="N"," and no tracker row",""),IF(AND(IFERROR(INDEX(Lists!$J$2:$J$15,MATCH(D318,Lists!$I$2:$I$15,0)),-1)&gt;=6,F318="N"),"status "&amp;D318&amp;" but no tracker row",IF(AND(E318="Y",D318&lt;&gt;"do_not_contact"),"do_not_contact = Y but status is "&amp;D318,IF(AND(D318="do_not_contact",E318&lt;&gt;"Y"),"status do_not_contact but do_not_contact is not Y",""))))))</f>
        <v/>
      </c>
      <c r="I318" s="17" t="n">
        <v>297</v>
      </c>
      <c r="J318" s="17">
        <f>IFERROR(INDEX(Clay_Brands!$A$2:$FZ$601,I318,$D$5)&amp;"","")</f>
        <v/>
      </c>
      <c r="K318" s="17">
        <f>IFERROR(INDEX(Clay_Brands!$A$2:$FZ$601,I318,$D$7)&amp;"","")</f>
        <v/>
      </c>
      <c r="L318" s="17">
        <f>IFERROR(INDEX(Clay_Brands!$A$2:$FZ$601,I318,$D$8)&amp;"","")</f>
        <v/>
      </c>
      <c r="M318" s="17">
        <f>IF(J318="","",IF(COUNTIF(Brand_Log!$A$2:$A$201,J318)&gt;0,"Y","N"))</f>
        <v/>
      </c>
      <c r="N318" s="17">
        <f>IF(OR(J318="",AND(LEFT(J318,6)="SAMPLE",Config!$B$19&lt;&gt;"Y")),"",IF(IFERROR(INDEX(Lists!$J$2:$J$15,MATCH(K318,Lists!$I$2:$I$15,0)),-1)=-1,"status '"&amp;K318&amp;"' is not a CONTRACTS status",IF(AND(K318="paid",COUNTIF(paid_brands!$AC$2:$AC$51,J318)=0),"status paid but no paid_brands row"&amp;IF(M318="N"," and no tracker row",""),IF(AND(IFERROR(INDEX(Lists!$J$2:$J$15,MATCH(K318,Lists!$I$2:$I$15,0)),-1)&gt;=6,M318="N"),"status "&amp;K318&amp;" but no tracker row",IF(AND(L318="Y",K318&lt;&gt;"do_not_contact"),"do_not_contact = Y but status is "&amp;K318,IF(AND(K318="do_not_contact",L318&lt;&gt;"Y"),"status do_not_contact but do_not_contact is not Y",""))))))</f>
        <v/>
      </c>
    </row>
    <row r="319">
      <c r="B319" s="17" t="n">
        <v>298</v>
      </c>
      <c r="C319" s="17">
        <f>IFERROR(INDEX(Clay_Offices!$A$2:$FZ$601,B319,$C$5)&amp;"","")</f>
        <v/>
      </c>
      <c r="D319" s="17">
        <f>IFERROR(INDEX(Clay_Offices!$A$2:$FZ$601,B319,$C$7)&amp;"","")</f>
        <v/>
      </c>
      <c r="E319" s="17">
        <f>IFERROR(INDEX(Clay_Offices!$A$2:$FZ$601,B319,$C$8)&amp;"","")</f>
        <v/>
      </c>
      <c r="F319" s="17">
        <f>IF(C319="","",IF(COUNTIF(Office_Log!$A$2:$A$201,C319)&gt;0,"Y","N"))</f>
        <v/>
      </c>
      <c r="G319" s="17">
        <f>IF(OR(C319="",AND(LEFT(C319,6)="SAMPLE",Config!$B$19&lt;&gt;"Y")),"",IF(IFERROR(INDEX(Lists!$J$2:$J$15,MATCH(D319,Lists!$I$2:$I$15,0)),-1)=-1,"status '"&amp;D319&amp;"' is not a CONTRACTS status",IF(AND(D319="signed",COUNTIF(signed_offices!$W$2:$W$51,C319)=0),"status signed but no signed_offices row"&amp;IF(F319="N"," and no tracker row",""),IF(AND(IFERROR(INDEX(Lists!$J$2:$J$15,MATCH(D319,Lists!$I$2:$I$15,0)),-1)&gt;=6,F319="N"),"status "&amp;D319&amp;" but no tracker row",IF(AND(E319="Y",D319&lt;&gt;"do_not_contact"),"do_not_contact = Y but status is "&amp;D319,IF(AND(D319="do_not_contact",E319&lt;&gt;"Y"),"status do_not_contact but do_not_contact is not Y",""))))))</f>
        <v/>
      </c>
      <c r="I319" s="17" t="n">
        <v>298</v>
      </c>
      <c r="J319" s="17">
        <f>IFERROR(INDEX(Clay_Brands!$A$2:$FZ$601,I319,$D$5)&amp;"","")</f>
        <v/>
      </c>
      <c r="K319" s="17">
        <f>IFERROR(INDEX(Clay_Brands!$A$2:$FZ$601,I319,$D$7)&amp;"","")</f>
        <v/>
      </c>
      <c r="L319" s="17">
        <f>IFERROR(INDEX(Clay_Brands!$A$2:$FZ$601,I319,$D$8)&amp;"","")</f>
        <v/>
      </c>
      <c r="M319" s="17">
        <f>IF(J319="","",IF(COUNTIF(Brand_Log!$A$2:$A$201,J319)&gt;0,"Y","N"))</f>
        <v/>
      </c>
      <c r="N319" s="17">
        <f>IF(OR(J319="",AND(LEFT(J319,6)="SAMPLE",Config!$B$19&lt;&gt;"Y")),"",IF(IFERROR(INDEX(Lists!$J$2:$J$15,MATCH(K319,Lists!$I$2:$I$15,0)),-1)=-1,"status '"&amp;K319&amp;"' is not a CONTRACTS status",IF(AND(K319="paid",COUNTIF(paid_brands!$AC$2:$AC$51,J319)=0),"status paid but no paid_brands row"&amp;IF(M319="N"," and no tracker row",""),IF(AND(IFERROR(INDEX(Lists!$J$2:$J$15,MATCH(K319,Lists!$I$2:$I$15,0)),-1)&gt;=6,M319="N"),"status "&amp;K319&amp;" but no tracker row",IF(AND(L319="Y",K319&lt;&gt;"do_not_contact"),"do_not_contact = Y but status is "&amp;K319,IF(AND(K319="do_not_contact",L319&lt;&gt;"Y"),"status do_not_contact but do_not_contact is not Y",""))))))</f>
        <v/>
      </c>
    </row>
    <row r="320">
      <c r="B320" s="17" t="n">
        <v>299</v>
      </c>
      <c r="C320" s="17">
        <f>IFERROR(INDEX(Clay_Offices!$A$2:$FZ$601,B320,$C$5)&amp;"","")</f>
        <v/>
      </c>
      <c r="D320" s="17">
        <f>IFERROR(INDEX(Clay_Offices!$A$2:$FZ$601,B320,$C$7)&amp;"","")</f>
        <v/>
      </c>
      <c r="E320" s="17">
        <f>IFERROR(INDEX(Clay_Offices!$A$2:$FZ$601,B320,$C$8)&amp;"","")</f>
        <v/>
      </c>
      <c r="F320" s="17">
        <f>IF(C320="","",IF(COUNTIF(Office_Log!$A$2:$A$201,C320)&gt;0,"Y","N"))</f>
        <v/>
      </c>
      <c r="G320" s="17">
        <f>IF(OR(C320="",AND(LEFT(C320,6)="SAMPLE",Config!$B$19&lt;&gt;"Y")),"",IF(IFERROR(INDEX(Lists!$J$2:$J$15,MATCH(D320,Lists!$I$2:$I$15,0)),-1)=-1,"status '"&amp;D320&amp;"' is not a CONTRACTS status",IF(AND(D320="signed",COUNTIF(signed_offices!$W$2:$W$51,C320)=0),"status signed but no signed_offices row"&amp;IF(F320="N"," and no tracker row",""),IF(AND(IFERROR(INDEX(Lists!$J$2:$J$15,MATCH(D320,Lists!$I$2:$I$15,0)),-1)&gt;=6,F320="N"),"status "&amp;D320&amp;" but no tracker row",IF(AND(E320="Y",D320&lt;&gt;"do_not_contact"),"do_not_contact = Y but status is "&amp;D320,IF(AND(D320="do_not_contact",E320&lt;&gt;"Y"),"status do_not_contact but do_not_contact is not Y",""))))))</f>
        <v/>
      </c>
      <c r="I320" s="17" t="n">
        <v>299</v>
      </c>
      <c r="J320" s="17">
        <f>IFERROR(INDEX(Clay_Brands!$A$2:$FZ$601,I320,$D$5)&amp;"","")</f>
        <v/>
      </c>
      <c r="K320" s="17">
        <f>IFERROR(INDEX(Clay_Brands!$A$2:$FZ$601,I320,$D$7)&amp;"","")</f>
        <v/>
      </c>
      <c r="L320" s="17">
        <f>IFERROR(INDEX(Clay_Brands!$A$2:$FZ$601,I320,$D$8)&amp;"","")</f>
        <v/>
      </c>
      <c r="M320" s="17">
        <f>IF(J320="","",IF(COUNTIF(Brand_Log!$A$2:$A$201,J320)&gt;0,"Y","N"))</f>
        <v/>
      </c>
      <c r="N320" s="17">
        <f>IF(OR(J320="",AND(LEFT(J320,6)="SAMPLE",Config!$B$19&lt;&gt;"Y")),"",IF(IFERROR(INDEX(Lists!$J$2:$J$15,MATCH(K320,Lists!$I$2:$I$15,0)),-1)=-1,"status '"&amp;K320&amp;"' is not a CONTRACTS status",IF(AND(K320="paid",COUNTIF(paid_brands!$AC$2:$AC$51,J320)=0),"status paid but no paid_brands row"&amp;IF(M320="N"," and no tracker row",""),IF(AND(IFERROR(INDEX(Lists!$J$2:$J$15,MATCH(K320,Lists!$I$2:$I$15,0)),-1)&gt;=6,M320="N"),"status "&amp;K320&amp;" but no tracker row",IF(AND(L320="Y",K320&lt;&gt;"do_not_contact"),"do_not_contact = Y but status is "&amp;K320,IF(AND(K320="do_not_contact",L320&lt;&gt;"Y"),"status do_not_contact but do_not_contact is not Y",""))))))</f>
        <v/>
      </c>
    </row>
    <row r="321">
      <c r="B321" s="17" t="n">
        <v>300</v>
      </c>
      <c r="C321" s="17">
        <f>IFERROR(INDEX(Clay_Offices!$A$2:$FZ$601,B321,$C$5)&amp;"","")</f>
        <v/>
      </c>
      <c r="D321" s="17">
        <f>IFERROR(INDEX(Clay_Offices!$A$2:$FZ$601,B321,$C$7)&amp;"","")</f>
        <v/>
      </c>
      <c r="E321" s="17">
        <f>IFERROR(INDEX(Clay_Offices!$A$2:$FZ$601,B321,$C$8)&amp;"","")</f>
        <v/>
      </c>
      <c r="F321" s="17">
        <f>IF(C321="","",IF(COUNTIF(Office_Log!$A$2:$A$201,C321)&gt;0,"Y","N"))</f>
        <v/>
      </c>
      <c r="G321" s="17">
        <f>IF(OR(C321="",AND(LEFT(C321,6)="SAMPLE",Config!$B$19&lt;&gt;"Y")),"",IF(IFERROR(INDEX(Lists!$J$2:$J$15,MATCH(D321,Lists!$I$2:$I$15,0)),-1)=-1,"status '"&amp;D321&amp;"' is not a CONTRACTS status",IF(AND(D321="signed",COUNTIF(signed_offices!$W$2:$W$51,C321)=0),"status signed but no signed_offices row"&amp;IF(F321="N"," and no tracker row",""),IF(AND(IFERROR(INDEX(Lists!$J$2:$J$15,MATCH(D321,Lists!$I$2:$I$15,0)),-1)&gt;=6,F321="N"),"status "&amp;D321&amp;" but no tracker row",IF(AND(E321="Y",D321&lt;&gt;"do_not_contact"),"do_not_contact = Y but status is "&amp;D321,IF(AND(D321="do_not_contact",E321&lt;&gt;"Y"),"status do_not_contact but do_not_contact is not Y",""))))))</f>
        <v/>
      </c>
      <c r="I321" s="17" t="n">
        <v>300</v>
      </c>
      <c r="J321" s="17">
        <f>IFERROR(INDEX(Clay_Brands!$A$2:$FZ$601,I321,$D$5)&amp;"","")</f>
        <v/>
      </c>
      <c r="K321" s="17">
        <f>IFERROR(INDEX(Clay_Brands!$A$2:$FZ$601,I321,$D$7)&amp;"","")</f>
        <v/>
      </c>
      <c r="L321" s="17">
        <f>IFERROR(INDEX(Clay_Brands!$A$2:$FZ$601,I321,$D$8)&amp;"","")</f>
        <v/>
      </c>
      <c r="M321" s="17">
        <f>IF(J321="","",IF(COUNTIF(Brand_Log!$A$2:$A$201,J321)&gt;0,"Y","N"))</f>
        <v/>
      </c>
      <c r="N321" s="17">
        <f>IF(OR(J321="",AND(LEFT(J321,6)="SAMPLE",Config!$B$19&lt;&gt;"Y")),"",IF(IFERROR(INDEX(Lists!$J$2:$J$15,MATCH(K321,Lists!$I$2:$I$15,0)),-1)=-1,"status '"&amp;K321&amp;"' is not a CONTRACTS status",IF(AND(K321="paid",COUNTIF(paid_brands!$AC$2:$AC$51,J321)=0),"status paid but no paid_brands row"&amp;IF(M321="N"," and no tracker row",""),IF(AND(IFERROR(INDEX(Lists!$J$2:$J$15,MATCH(K321,Lists!$I$2:$I$15,0)),-1)&gt;=6,M321="N"),"status "&amp;K321&amp;" but no tracker row",IF(AND(L321="Y",K321&lt;&gt;"do_not_contact"),"do_not_contact = Y but status is "&amp;K321,IF(AND(K321="do_not_contact",L321&lt;&gt;"Y"),"status do_not_contact but do_not_contact is not Y",""))))))</f>
        <v/>
      </c>
    </row>
    <row r="322">
      <c r="B322" s="17" t="n">
        <v>301</v>
      </c>
      <c r="C322" s="17">
        <f>IFERROR(INDEX(Clay_Offices!$A$2:$FZ$601,B322,$C$5)&amp;"","")</f>
        <v/>
      </c>
      <c r="D322" s="17">
        <f>IFERROR(INDEX(Clay_Offices!$A$2:$FZ$601,B322,$C$7)&amp;"","")</f>
        <v/>
      </c>
      <c r="E322" s="17">
        <f>IFERROR(INDEX(Clay_Offices!$A$2:$FZ$601,B322,$C$8)&amp;"","")</f>
        <v/>
      </c>
      <c r="F322" s="17">
        <f>IF(C322="","",IF(COUNTIF(Office_Log!$A$2:$A$201,C322)&gt;0,"Y","N"))</f>
        <v/>
      </c>
      <c r="G322" s="17">
        <f>IF(OR(C322="",AND(LEFT(C322,6)="SAMPLE",Config!$B$19&lt;&gt;"Y")),"",IF(IFERROR(INDEX(Lists!$J$2:$J$15,MATCH(D322,Lists!$I$2:$I$15,0)),-1)=-1,"status '"&amp;D322&amp;"' is not a CONTRACTS status",IF(AND(D322="signed",COUNTIF(signed_offices!$W$2:$W$51,C322)=0),"status signed but no signed_offices row"&amp;IF(F322="N"," and no tracker row",""),IF(AND(IFERROR(INDEX(Lists!$J$2:$J$15,MATCH(D322,Lists!$I$2:$I$15,0)),-1)&gt;=6,F322="N"),"status "&amp;D322&amp;" but no tracker row",IF(AND(E322="Y",D322&lt;&gt;"do_not_contact"),"do_not_contact = Y but status is "&amp;D322,IF(AND(D322="do_not_contact",E322&lt;&gt;"Y"),"status do_not_contact but do_not_contact is not Y",""))))))</f>
        <v/>
      </c>
      <c r="I322" s="17" t="n">
        <v>301</v>
      </c>
      <c r="J322" s="17">
        <f>IFERROR(INDEX(Clay_Brands!$A$2:$FZ$601,I322,$D$5)&amp;"","")</f>
        <v/>
      </c>
      <c r="K322" s="17">
        <f>IFERROR(INDEX(Clay_Brands!$A$2:$FZ$601,I322,$D$7)&amp;"","")</f>
        <v/>
      </c>
      <c r="L322" s="17">
        <f>IFERROR(INDEX(Clay_Brands!$A$2:$FZ$601,I322,$D$8)&amp;"","")</f>
        <v/>
      </c>
      <c r="M322" s="17">
        <f>IF(J322="","",IF(COUNTIF(Brand_Log!$A$2:$A$201,J322)&gt;0,"Y","N"))</f>
        <v/>
      </c>
      <c r="N322" s="17">
        <f>IF(OR(J322="",AND(LEFT(J322,6)="SAMPLE",Config!$B$19&lt;&gt;"Y")),"",IF(IFERROR(INDEX(Lists!$J$2:$J$15,MATCH(K322,Lists!$I$2:$I$15,0)),-1)=-1,"status '"&amp;K322&amp;"' is not a CONTRACTS status",IF(AND(K322="paid",COUNTIF(paid_brands!$AC$2:$AC$51,J322)=0),"status paid but no paid_brands row"&amp;IF(M322="N"," and no tracker row",""),IF(AND(IFERROR(INDEX(Lists!$J$2:$J$15,MATCH(K322,Lists!$I$2:$I$15,0)),-1)&gt;=6,M322="N"),"status "&amp;K322&amp;" but no tracker row",IF(AND(L322="Y",K322&lt;&gt;"do_not_contact"),"do_not_contact = Y but status is "&amp;K322,IF(AND(K322="do_not_contact",L322&lt;&gt;"Y"),"status do_not_contact but do_not_contact is not Y",""))))))</f>
        <v/>
      </c>
    </row>
    <row r="323">
      <c r="B323" s="17" t="n">
        <v>302</v>
      </c>
      <c r="C323" s="17">
        <f>IFERROR(INDEX(Clay_Offices!$A$2:$FZ$601,B323,$C$5)&amp;"","")</f>
        <v/>
      </c>
      <c r="D323" s="17">
        <f>IFERROR(INDEX(Clay_Offices!$A$2:$FZ$601,B323,$C$7)&amp;"","")</f>
        <v/>
      </c>
      <c r="E323" s="17">
        <f>IFERROR(INDEX(Clay_Offices!$A$2:$FZ$601,B323,$C$8)&amp;"","")</f>
        <v/>
      </c>
      <c r="F323" s="17">
        <f>IF(C323="","",IF(COUNTIF(Office_Log!$A$2:$A$201,C323)&gt;0,"Y","N"))</f>
        <v/>
      </c>
      <c r="G323" s="17">
        <f>IF(OR(C323="",AND(LEFT(C323,6)="SAMPLE",Config!$B$19&lt;&gt;"Y")),"",IF(IFERROR(INDEX(Lists!$J$2:$J$15,MATCH(D323,Lists!$I$2:$I$15,0)),-1)=-1,"status '"&amp;D323&amp;"' is not a CONTRACTS status",IF(AND(D323="signed",COUNTIF(signed_offices!$W$2:$W$51,C323)=0),"status signed but no signed_offices row"&amp;IF(F323="N"," and no tracker row",""),IF(AND(IFERROR(INDEX(Lists!$J$2:$J$15,MATCH(D323,Lists!$I$2:$I$15,0)),-1)&gt;=6,F323="N"),"status "&amp;D323&amp;" but no tracker row",IF(AND(E323="Y",D323&lt;&gt;"do_not_contact"),"do_not_contact = Y but status is "&amp;D323,IF(AND(D323="do_not_contact",E323&lt;&gt;"Y"),"status do_not_contact but do_not_contact is not Y",""))))))</f>
        <v/>
      </c>
      <c r="I323" s="17" t="n">
        <v>302</v>
      </c>
      <c r="J323" s="17">
        <f>IFERROR(INDEX(Clay_Brands!$A$2:$FZ$601,I323,$D$5)&amp;"","")</f>
        <v/>
      </c>
      <c r="K323" s="17">
        <f>IFERROR(INDEX(Clay_Brands!$A$2:$FZ$601,I323,$D$7)&amp;"","")</f>
        <v/>
      </c>
      <c r="L323" s="17">
        <f>IFERROR(INDEX(Clay_Brands!$A$2:$FZ$601,I323,$D$8)&amp;"","")</f>
        <v/>
      </c>
      <c r="M323" s="17">
        <f>IF(J323="","",IF(COUNTIF(Brand_Log!$A$2:$A$201,J323)&gt;0,"Y","N"))</f>
        <v/>
      </c>
      <c r="N323" s="17">
        <f>IF(OR(J323="",AND(LEFT(J323,6)="SAMPLE",Config!$B$19&lt;&gt;"Y")),"",IF(IFERROR(INDEX(Lists!$J$2:$J$15,MATCH(K323,Lists!$I$2:$I$15,0)),-1)=-1,"status '"&amp;K323&amp;"' is not a CONTRACTS status",IF(AND(K323="paid",COUNTIF(paid_brands!$AC$2:$AC$51,J323)=0),"status paid but no paid_brands row"&amp;IF(M323="N"," and no tracker row",""),IF(AND(IFERROR(INDEX(Lists!$J$2:$J$15,MATCH(K323,Lists!$I$2:$I$15,0)),-1)&gt;=6,M323="N"),"status "&amp;K323&amp;" but no tracker row",IF(AND(L323="Y",K323&lt;&gt;"do_not_contact"),"do_not_contact = Y but status is "&amp;K323,IF(AND(K323="do_not_contact",L323&lt;&gt;"Y"),"status do_not_contact but do_not_contact is not Y",""))))))</f>
        <v/>
      </c>
    </row>
    <row r="324">
      <c r="B324" s="17" t="n">
        <v>303</v>
      </c>
      <c r="C324" s="17">
        <f>IFERROR(INDEX(Clay_Offices!$A$2:$FZ$601,B324,$C$5)&amp;"","")</f>
        <v/>
      </c>
      <c r="D324" s="17">
        <f>IFERROR(INDEX(Clay_Offices!$A$2:$FZ$601,B324,$C$7)&amp;"","")</f>
        <v/>
      </c>
      <c r="E324" s="17">
        <f>IFERROR(INDEX(Clay_Offices!$A$2:$FZ$601,B324,$C$8)&amp;"","")</f>
        <v/>
      </c>
      <c r="F324" s="17">
        <f>IF(C324="","",IF(COUNTIF(Office_Log!$A$2:$A$201,C324)&gt;0,"Y","N"))</f>
        <v/>
      </c>
      <c r="G324" s="17">
        <f>IF(OR(C324="",AND(LEFT(C324,6)="SAMPLE",Config!$B$19&lt;&gt;"Y")),"",IF(IFERROR(INDEX(Lists!$J$2:$J$15,MATCH(D324,Lists!$I$2:$I$15,0)),-1)=-1,"status '"&amp;D324&amp;"' is not a CONTRACTS status",IF(AND(D324="signed",COUNTIF(signed_offices!$W$2:$W$51,C324)=0),"status signed but no signed_offices row"&amp;IF(F324="N"," and no tracker row",""),IF(AND(IFERROR(INDEX(Lists!$J$2:$J$15,MATCH(D324,Lists!$I$2:$I$15,0)),-1)&gt;=6,F324="N"),"status "&amp;D324&amp;" but no tracker row",IF(AND(E324="Y",D324&lt;&gt;"do_not_contact"),"do_not_contact = Y but status is "&amp;D324,IF(AND(D324="do_not_contact",E324&lt;&gt;"Y"),"status do_not_contact but do_not_contact is not Y",""))))))</f>
        <v/>
      </c>
      <c r="I324" s="17" t="n">
        <v>303</v>
      </c>
      <c r="J324" s="17">
        <f>IFERROR(INDEX(Clay_Brands!$A$2:$FZ$601,I324,$D$5)&amp;"","")</f>
        <v/>
      </c>
      <c r="K324" s="17">
        <f>IFERROR(INDEX(Clay_Brands!$A$2:$FZ$601,I324,$D$7)&amp;"","")</f>
        <v/>
      </c>
      <c r="L324" s="17">
        <f>IFERROR(INDEX(Clay_Brands!$A$2:$FZ$601,I324,$D$8)&amp;"","")</f>
        <v/>
      </c>
      <c r="M324" s="17">
        <f>IF(J324="","",IF(COUNTIF(Brand_Log!$A$2:$A$201,J324)&gt;0,"Y","N"))</f>
        <v/>
      </c>
      <c r="N324" s="17">
        <f>IF(OR(J324="",AND(LEFT(J324,6)="SAMPLE",Config!$B$19&lt;&gt;"Y")),"",IF(IFERROR(INDEX(Lists!$J$2:$J$15,MATCH(K324,Lists!$I$2:$I$15,0)),-1)=-1,"status '"&amp;K324&amp;"' is not a CONTRACTS status",IF(AND(K324="paid",COUNTIF(paid_brands!$AC$2:$AC$51,J324)=0),"status paid but no paid_brands row"&amp;IF(M324="N"," and no tracker row",""),IF(AND(IFERROR(INDEX(Lists!$J$2:$J$15,MATCH(K324,Lists!$I$2:$I$15,0)),-1)&gt;=6,M324="N"),"status "&amp;K324&amp;" but no tracker row",IF(AND(L324="Y",K324&lt;&gt;"do_not_contact"),"do_not_contact = Y but status is "&amp;K324,IF(AND(K324="do_not_contact",L324&lt;&gt;"Y"),"status do_not_contact but do_not_contact is not Y",""))))))</f>
        <v/>
      </c>
    </row>
    <row r="325">
      <c r="B325" s="17" t="n">
        <v>304</v>
      </c>
      <c r="C325" s="17">
        <f>IFERROR(INDEX(Clay_Offices!$A$2:$FZ$601,B325,$C$5)&amp;"","")</f>
        <v/>
      </c>
      <c r="D325" s="17">
        <f>IFERROR(INDEX(Clay_Offices!$A$2:$FZ$601,B325,$C$7)&amp;"","")</f>
        <v/>
      </c>
      <c r="E325" s="17">
        <f>IFERROR(INDEX(Clay_Offices!$A$2:$FZ$601,B325,$C$8)&amp;"","")</f>
        <v/>
      </c>
      <c r="F325" s="17">
        <f>IF(C325="","",IF(COUNTIF(Office_Log!$A$2:$A$201,C325)&gt;0,"Y","N"))</f>
        <v/>
      </c>
      <c r="G325" s="17">
        <f>IF(OR(C325="",AND(LEFT(C325,6)="SAMPLE",Config!$B$19&lt;&gt;"Y")),"",IF(IFERROR(INDEX(Lists!$J$2:$J$15,MATCH(D325,Lists!$I$2:$I$15,0)),-1)=-1,"status '"&amp;D325&amp;"' is not a CONTRACTS status",IF(AND(D325="signed",COUNTIF(signed_offices!$W$2:$W$51,C325)=0),"status signed but no signed_offices row"&amp;IF(F325="N"," and no tracker row",""),IF(AND(IFERROR(INDEX(Lists!$J$2:$J$15,MATCH(D325,Lists!$I$2:$I$15,0)),-1)&gt;=6,F325="N"),"status "&amp;D325&amp;" but no tracker row",IF(AND(E325="Y",D325&lt;&gt;"do_not_contact"),"do_not_contact = Y but status is "&amp;D325,IF(AND(D325="do_not_contact",E325&lt;&gt;"Y"),"status do_not_contact but do_not_contact is not Y",""))))))</f>
        <v/>
      </c>
      <c r="I325" s="17" t="n">
        <v>304</v>
      </c>
      <c r="J325" s="17">
        <f>IFERROR(INDEX(Clay_Brands!$A$2:$FZ$601,I325,$D$5)&amp;"","")</f>
        <v/>
      </c>
      <c r="K325" s="17">
        <f>IFERROR(INDEX(Clay_Brands!$A$2:$FZ$601,I325,$D$7)&amp;"","")</f>
        <v/>
      </c>
      <c r="L325" s="17">
        <f>IFERROR(INDEX(Clay_Brands!$A$2:$FZ$601,I325,$D$8)&amp;"","")</f>
        <v/>
      </c>
      <c r="M325" s="17">
        <f>IF(J325="","",IF(COUNTIF(Brand_Log!$A$2:$A$201,J325)&gt;0,"Y","N"))</f>
        <v/>
      </c>
      <c r="N325" s="17">
        <f>IF(OR(J325="",AND(LEFT(J325,6)="SAMPLE",Config!$B$19&lt;&gt;"Y")),"",IF(IFERROR(INDEX(Lists!$J$2:$J$15,MATCH(K325,Lists!$I$2:$I$15,0)),-1)=-1,"status '"&amp;K325&amp;"' is not a CONTRACTS status",IF(AND(K325="paid",COUNTIF(paid_brands!$AC$2:$AC$51,J325)=0),"status paid but no paid_brands row"&amp;IF(M325="N"," and no tracker row",""),IF(AND(IFERROR(INDEX(Lists!$J$2:$J$15,MATCH(K325,Lists!$I$2:$I$15,0)),-1)&gt;=6,M325="N"),"status "&amp;K325&amp;" but no tracker row",IF(AND(L325="Y",K325&lt;&gt;"do_not_contact"),"do_not_contact = Y but status is "&amp;K325,IF(AND(K325="do_not_contact",L325&lt;&gt;"Y"),"status do_not_contact but do_not_contact is not Y",""))))))</f>
        <v/>
      </c>
    </row>
    <row r="326">
      <c r="B326" s="17" t="n">
        <v>305</v>
      </c>
      <c r="C326" s="17">
        <f>IFERROR(INDEX(Clay_Offices!$A$2:$FZ$601,B326,$C$5)&amp;"","")</f>
        <v/>
      </c>
      <c r="D326" s="17">
        <f>IFERROR(INDEX(Clay_Offices!$A$2:$FZ$601,B326,$C$7)&amp;"","")</f>
        <v/>
      </c>
      <c r="E326" s="17">
        <f>IFERROR(INDEX(Clay_Offices!$A$2:$FZ$601,B326,$C$8)&amp;"","")</f>
        <v/>
      </c>
      <c r="F326" s="17">
        <f>IF(C326="","",IF(COUNTIF(Office_Log!$A$2:$A$201,C326)&gt;0,"Y","N"))</f>
        <v/>
      </c>
      <c r="G326" s="17">
        <f>IF(OR(C326="",AND(LEFT(C326,6)="SAMPLE",Config!$B$19&lt;&gt;"Y")),"",IF(IFERROR(INDEX(Lists!$J$2:$J$15,MATCH(D326,Lists!$I$2:$I$15,0)),-1)=-1,"status '"&amp;D326&amp;"' is not a CONTRACTS status",IF(AND(D326="signed",COUNTIF(signed_offices!$W$2:$W$51,C326)=0),"status signed but no signed_offices row"&amp;IF(F326="N"," and no tracker row",""),IF(AND(IFERROR(INDEX(Lists!$J$2:$J$15,MATCH(D326,Lists!$I$2:$I$15,0)),-1)&gt;=6,F326="N"),"status "&amp;D326&amp;" but no tracker row",IF(AND(E326="Y",D326&lt;&gt;"do_not_contact"),"do_not_contact = Y but status is "&amp;D326,IF(AND(D326="do_not_contact",E326&lt;&gt;"Y"),"status do_not_contact but do_not_contact is not Y",""))))))</f>
        <v/>
      </c>
      <c r="I326" s="17" t="n">
        <v>305</v>
      </c>
      <c r="J326" s="17">
        <f>IFERROR(INDEX(Clay_Brands!$A$2:$FZ$601,I326,$D$5)&amp;"","")</f>
        <v/>
      </c>
      <c r="K326" s="17">
        <f>IFERROR(INDEX(Clay_Brands!$A$2:$FZ$601,I326,$D$7)&amp;"","")</f>
        <v/>
      </c>
      <c r="L326" s="17">
        <f>IFERROR(INDEX(Clay_Brands!$A$2:$FZ$601,I326,$D$8)&amp;"","")</f>
        <v/>
      </c>
      <c r="M326" s="17">
        <f>IF(J326="","",IF(COUNTIF(Brand_Log!$A$2:$A$201,J326)&gt;0,"Y","N"))</f>
        <v/>
      </c>
      <c r="N326" s="17">
        <f>IF(OR(J326="",AND(LEFT(J326,6)="SAMPLE",Config!$B$19&lt;&gt;"Y")),"",IF(IFERROR(INDEX(Lists!$J$2:$J$15,MATCH(K326,Lists!$I$2:$I$15,0)),-1)=-1,"status '"&amp;K326&amp;"' is not a CONTRACTS status",IF(AND(K326="paid",COUNTIF(paid_brands!$AC$2:$AC$51,J326)=0),"status paid but no paid_brands row"&amp;IF(M326="N"," and no tracker row",""),IF(AND(IFERROR(INDEX(Lists!$J$2:$J$15,MATCH(K326,Lists!$I$2:$I$15,0)),-1)&gt;=6,M326="N"),"status "&amp;K326&amp;" but no tracker row",IF(AND(L326="Y",K326&lt;&gt;"do_not_contact"),"do_not_contact = Y but status is "&amp;K326,IF(AND(K326="do_not_contact",L326&lt;&gt;"Y"),"status do_not_contact but do_not_contact is not Y",""))))))</f>
        <v/>
      </c>
    </row>
    <row r="327">
      <c r="B327" s="17" t="n">
        <v>306</v>
      </c>
      <c r="C327" s="17">
        <f>IFERROR(INDEX(Clay_Offices!$A$2:$FZ$601,B327,$C$5)&amp;"","")</f>
        <v/>
      </c>
      <c r="D327" s="17">
        <f>IFERROR(INDEX(Clay_Offices!$A$2:$FZ$601,B327,$C$7)&amp;"","")</f>
        <v/>
      </c>
      <c r="E327" s="17">
        <f>IFERROR(INDEX(Clay_Offices!$A$2:$FZ$601,B327,$C$8)&amp;"","")</f>
        <v/>
      </c>
      <c r="F327" s="17">
        <f>IF(C327="","",IF(COUNTIF(Office_Log!$A$2:$A$201,C327)&gt;0,"Y","N"))</f>
        <v/>
      </c>
      <c r="G327" s="17">
        <f>IF(OR(C327="",AND(LEFT(C327,6)="SAMPLE",Config!$B$19&lt;&gt;"Y")),"",IF(IFERROR(INDEX(Lists!$J$2:$J$15,MATCH(D327,Lists!$I$2:$I$15,0)),-1)=-1,"status '"&amp;D327&amp;"' is not a CONTRACTS status",IF(AND(D327="signed",COUNTIF(signed_offices!$W$2:$W$51,C327)=0),"status signed but no signed_offices row"&amp;IF(F327="N"," and no tracker row",""),IF(AND(IFERROR(INDEX(Lists!$J$2:$J$15,MATCH(D327,Lists!$I$2:$I$15,0)),-1)&gt;=6,F327="N"),"status "&amp;D327&amp;" but no tracker row",IF(AND(E327="Y",D327&lt;&gt;"do_not_contact"),"do_not_contact = Y but status is "&amp;D327,IF(AND(D327="do_not_contact",E327&lt;&gt;"Y"),"status do_not_contact but do_not_contact is not Y",""))))))</f>
        <v/>
      </c>
      <c r="I327" s="17" t="n">
        <v>306</v>
      </c>
      <c r="J327" s="17">
        <f>IFERROR(INDEX(Clay_Brands!$A$2:$FZ$601,I327,$D$5)&amp;"","")</f>
        <v/>
      </c>
      <c r="K327" s="17">
        <f>IFERROR(INDEX(Clay_Brands!$A$2:$FZ$601,I327,$D$7)&amp;"","")</f>
        <v/>
      </c>
      <c r="L327" s="17">
        <f>IFERROR(INDEX(Clay_Brands!$A$2:$FZ$601,I327,$D$8)&amp;"","")</f>
        <v/>
      </c>
      <c r="M327" s="17">
        <f>IF(J327="","",IF(COUNTIF(Brand_Log!$A$2:$A$201,J327)&gt;0,"Y","N"))</f>
        <v/>
      </c>
      <c r="N327" s="17">
        <f>IF(OR(J327="",AND(LEFT(J327,6)="SAMPLE",Config!$B$19&lt;&gt;"Y")),"",IF(IFERROR(INDEX(Lists!$J$2:$J$15,MATCH(K327,Lists!$I$2:$I$15,0)),-1)=-1,"status '"&amp;K327&amp;"' is not a CONTRACTS status",IF(AND(K327="paid",COUNTIF(paid_brands!$AC$2:$AC$51,J327)=0),"status paid but no paid_brands row"&amp;IF(M327="N"," and no tracker row",""),IF(AND(IFERROR(INDEX(Lists!$J$2:$J$15,MATCH(K327,Lists!$I$2:$I$15,0)),-1)&gt;=6,M327="N"),"status "&amp;K327&amp;" but no tracker row",IF(AND(L327="Y",K327&lt;&gt;"do_not_contact"),"do_not_contact = Y but status is "&amp;K327,IF(AND(K327="do_not_contact",L327&lt;&gt;"Y"),"status do_not_contact but do_not_contact is not Y",""))))))</f>
        <v/>
      </c>
    </row>
    <row r="328">
      <c r="B328" s="17" t="n">
        <v>307</v>
      </c>
      <c r="C328" s="17">
        <f>IFERROR(INDEX(Clay_Offices!$A$2:$FZ$601,B328,$C$5)&amp;"","")</f>
        <v/>
      </c>
      <c r="D328" s="17">
        <f>IFERROR(INDEX(Clay_Offices!$A$2:$FZ$601,B328,$C$7)&amp;"","")</f>
        <v/>
      </c>
      <c r="E328" s="17">
        <f>IFERROR(INDEX(Clay_Offices!$A$2:$FZ$601,B328,$C$8)&amp;"","")</f>
        <v/>
      </c>
      <c r="F328" s="17">
        <f>IF(C328="","",IF(COUNTIF(Office_Log!$A$2:$A$201,C328)&gt;0,"Y","N"))</f>
        <v/>
      </c>
      <c r="G328" s="17">
        <f>IF(OR(C328="",AND(LEFT(C328,6)="SAMPLE",Config!$B$19&lt;&gt;"Y")),"",IF(IFERROR(INDEX(Lists!$J$2:$J$15,MATCH(D328,Lists!$I$2:$I$15,0)),-1)=-1,"status '"&amp;D328&amp;"' is not a CONTRACTS status",IF(AND(D328="signed",COUNTIF(signed_offices!$W$2:$W$51,C328)=0),"status signed but no signed_offices row"&amp;IF(F328="N"," and no tracker row",""),IF(AND(IFERROR(INDEX(Lists!$J$2:$J$15,MATCH(D328,Lists!$I$2:$I$15,0)),-1)&gt;=6,F328="N"),"status "&amp;D328&amp;" but no tracker row",IF(AND(E328="Y",D328&lt;&gt;"do_not_contact"),"do_not_contact = Y but status is "&amp;D328,IF(AND(D328="do_not_contact",E328&lt;&gt;"Y"),"status do_not_contact but do_not_contact is not Y",""))))))</f>
        <v/>
      </c>
      <c r="I328" s="17" t="n">
        <v>307</v>
      </c>
      <c r="J328" s="17">
        <f>IFERROR(INDEX(Clay_Brands!$A$2:$FZ$601,I328,$D$5)&amp;"","")</f>
        <v/>
      </c>
      <c r="K328" s="17">
        <f>IFERROR(INDEX(Clay_Brands!$A$2:$FZ$601,I328,$D$7)&amp;"","")</f>
        <v/>
      </c>
      <c r="L328" s="17">
        <f>IFERROR(INDEX(Clay_Brands!$A$2:$FZ$601,I328,$D$8)&amp;"","")</f>
        <v/>
      </c>
      <c r="M328" s="17">
        <f>IF(J328="","",IF(COUNTIF(Brand_Log!$A$2:$A$201,J328)&gt;0,"Y","N"))</f>
        <v/>
      </c>
      <c r="N328" s="17">
        <f>IF(OR(J328="",AND(LEFT(J328,6)="SAMPLE",Config!$B$19&lt;&gt;"Y")),"",IF(IFERROR(INDEX(Lists!$J$2:$J$15,MATCH(K328,Lists!$I$2:$I$15,0)),-1)=-1,"status '"&amp;K328&amp;"' is not a CONTRACTS status",IF(AND(K328="paid",COUNTIF(paid_brands!$AC$2:$AC$51,J328)=0),"status paid but no paid_brands row"&amp;IF(M328="N"," and no tracker row",""),IF(AND(IFERROR(INDEX(Lists!$J$2:$J$15,MATCH(K328,Lists!$I$2:$I$15,0)),-1)&gt;=6,M328="N"),"status "&amp;K328&amp;" but no tracker row",IF(AND(L328="Y",K328&lt;&gt;"do_not_contact"),"do_not_contact = Y but status is "&amp;K328,IF(AND(K328="do_not_contact",L328&lt;&gt;"Y"),"status do_not_contact but do_not_contact is not Y",""))))))</f>
        <v/>
      </c>
    </row>
    <row r="329">
      <c r="B329" s="17" t="n">
        <v>308</v>
      </c>
      <c r="C329" s="17">
        <f>IFERROR(INDEX(Clay_Offices!$A$2:$FZ$601,B329,$C$5)&amp;"","")</f>
        <v/>
      </c>
      <c r="D329" s="17">
        <f>IFERROR(INDEX(Clay_Offices!$A$2:$FZ$601,B329,$C$7)&amp;"","")</f>
        <v/>
      </c>
      <c r="E329" s="17">
        <f>IFERROR(INDEX(Clay_Offices!$A$2:$FZ$601,B329,$C$8)&amp;"","")</f>
        <v/>
      </c>
      <c r="F329" s="17">
        <f>IF(C329="","",IF(COUNTIF(Office_Log!$A$2:$A$201,C329)&gt;0,"Y","N"))</f>
        <v/>
      </c>
      <c r="G329" s="17">
        <f>IF(OR(C329="",AND(LEFT(C329,6)="SAMPLE",Config!$B$19&lt;&gt;"Y")),"",IF(IFERROR(INDEX(Lists!$J$2:$J$15,MATCH(D329,Lists!$I$2:$I$15,0)),-1)=-1,"status '"&amp;D329&amp;"' is not a CONTRACTS status",IF(AND(D329="signed",COUNTIF(signed_offices!$W$2:$W$51,C329)=0),"status signed but no signed_offices row"&amp;IF(F329="N"," and no tracker row",""),IF(AND(IFERROR(INDEX(Lists!$J$2:$J$15,MATCH(D329,Lists!$I$2:$I$15,0)),-1)&gt;=6,F329="N"),"status "&amp;D329&amp;" but no tracker row",IF(AND(E329="Y",D329&lt;&gt;"do_not_contact"),"do_not_contact = Y but status is "&amp;D329,IF(AND(D329="do_not_contact",E329&lt;&gt;"Y"),"status do_not_contact but do_not_contact is not Y",""))))))</f>
        <v/>
      </c>
      <c r="I329" s="17" t="n">
        <v>308</v>
      </c>
      <c r="J329" s="17">
        <f>IFERROR(INDEX(Clay_Brands!$A$2:$FZ$601,I329,$D$5)&amp;"","")</f>
        <v/>
      </c>
      <c r="K329" s="17">
        <f>IFERROR(INDEX(Clay_Brands!$A$2:$FZ$601,I329,$D$7)&amp;"","")</f>
        <v/>
      </c>
      <c r="L329" s="17">
        <f>IFERROR(INDEX(Clay_Brands!$A$2:$FZ$601,I329,$D$8)&amp;"","")</f>
        <v/>
      </c>
      <c r="M329" s="17">
        <f>IF(J329="","",IF(COUNTIF(Brand_Log!$A$2:$A$201,J329)&gt;0,"Y","N"))</f>
        <v/>
      </c>
      <c r="N329" s="17">
        <f>IF(OR(J329="",AND(LEFT(J329,6)="SAMPLE",Config!$B$19&lt;&gt;"Y")),"",IF(IFERROR(INDEX(Lists!$J$2:$J$15,MATCH(K329,Lists!$I$2:$I$15,0)),-1)=-1,"status '"&amp;K329&amp;"' is not a CONTRACTS status",IF(AND(K329="paid",COUNTIF(paid_brands!$AC$2:$AC$51,J329)=0),"status paid but no paid_brands row"&amp;IF(M329="N"," and no tracker row",""),IF(AND(IFERROR(INDEX(Lists!$J$2:$J$15,MATCH(K329,Lists!$I$2:$I$15,0)),-1)&gt;=6,M329="N"),"status "&amp;K329&amp;" but no tracker row",IF(AND(L329="Y",K329&lt;&gt;"do_not_contact"),"do_not_contact = Y but status is "&amp;K329,IF(AND(K329="do_not_contact",L329&lt;&gt;"Y"),"status do_not_contact but do_not_contact is not Y",""))))))</f>
        <v/>
      </c>
    </row>
    <row r="330">
      <c r="B330" s="17" t="n">
        <v>309</v>
      </c>
      <c r="C330" s="17">
        <f>IFERROR(INDEX(Clay_Offices!$A$2:$FZ$601,B330,$C$5)&amp;"","")</f>
        <v/>
      </c>
      <c r="D330" s="17">
        <f>IFERROR(INDEX(Clay_Offices!$A$2:$FZ$601,B330,$C$7)&amp;"","")</f>
        <v/>
      </c>
      <c r="E330" s="17">
        <f>IFERROR(INDEX(Clay_Offices!$A$2:$FZ$601,B330,$C$8)&amp;"","")</f>
        <v/>
      </c>
      <c r="F330" s="17">
        <f>IF(C330="","",IF(COUNTIF(Office_Log!$A$2:$A$201,C330)&gt;0,"Y","N"))</f>
        <v/>
      </c>
      <c r="G330" s="17">
        <f>IF(OR(C330="",AND(LEFT(C330,6)="SAMPLE",Config!$B$19&lt;&gt;"Y")),"",IF(IFERROR(INDEX(Lists!$J$2:$J$15,MATCH(D330,Lists!$I$2:$I$15,0)),-1)=-1,"status '"&amp;D330&amp;"' is not a CONTRACTS status",IF(AND(D330="signed",COUNTIF(signed_offices!$W$2:$W$51,C330)=0),"status signed but no signed_offices row"&amp;IF(F330="N"," and no tracker row",""),IF(AND(IFERROR(INDEX(Lists!$J$2:$J$15,MATCH(D330,Lists!$I$2:$I$15,0)),-1)&gt;=6,F330="N"),"status "&amp;D330&amp;" but no tracker row",IF(AND(E330="Y",D330&lt;&gt;"do_not_contact"),"do_not_contact = Y but status is "&amp;D330,IF(AND(D330="do_not_contact",E330&lt;&gt;"Y"),"status do_not_contact but do_not_contact is not Y",""))))))</f>
        <v/>
      </c>
      <c r="I330" s="17" t="n">
        <v>309</v>
      </c>
      <c r="J330" s="17">
        <f>IFERROR(INDEX(Clay_Brands!$A$2:$FZ$601,I330,$D$5)&amp;"","")</f>
        <v/>
      </c>
      <c r="K330" s="17">
        <f>IFERROR(INDEX(Clay_Brands!$A$2:$FZ$601,I330,$D$7)&amp;"","")</f>
        <v/>
      </c>
      <c r="L330" s="17">
        <f>IFERROR(INDEX(Clay_Brands!$A$2:$FZ$601,I330,$D$8)&amp;"","")</f>
        <v/>
      </c>
      <c r="M330" s="17">
        <f>IF(J330="","",IF(COUNTIF(Brand_Log!$A$2:$A$201,J330)&gt;0,"Y","N"))</f>
        <v/>
      </c>
      <c r="N330" s="17">
        <f>IF(OR(J330="",AND(LEFT(J330,6)="SAMPLE",Config!$B$19&lt;&gt;"Y")),"",IF(IFERROR(INDEX(Lists!$J$2:$J$15,MATCH(K330,Lists!$I$2:$I$15,0)),-1)=-1,"status '"&amp;K330&amp;"' is not a CONTRACTS status",IF(AND(K330="paid",COUNTIF(paid_brands!$AC$2:$AC$51,J330)=0),"status paid but no paid_brands row"&amp;IF(M330="N"," and no tracker row",""),IF(AND(IFERROR(INDEX(Lists!$J$2:$J$15,MATCH(K330,Lists!$I$2:$I$15,0)),-1)&gt;=6,M330="N"),"status "&amp;K330&amp;" but no tracker row",IF(AND(L330="Y",K330&lt;&gt;"do_not_contact"),"do_not_contact = Y but status is "&amp;K330,IF(AND(K330="do_not_contact",L330&lt;&gt;"Y"),"status do_not_contact but do_not_contact is not Y",""))))))</f>
        <v/>
      </c>
    </row>
    <row r="331">
      <c r="B331" s="17" t="n">
        <v>310</v>
      </c>
      <c r="C331" s="17">
        <f>IFERROR(INDEX(Clay_Offices!$A$2:$FZ$601,B331,$C$5)&amp;"","")</f>
        <v/>
      </c>
      <c r="D331" s="17">
        <f>IFERROR(INDEX(Clay_Offices!$A$2:$FZ$601,B331,$C$7)&amp;"","")</f>
        <v/>
      </c>
      <c r="E331" s="17">
        <f>IFERROR(INDEX(Clay_Offices!$A$2:$FZ$601,B331,$C$8)&amp;"","")</f>
        <v/>
      </c>
      <c r="F331" s="17">
        <f>IF(C331="","",IF(COUNTIF(Office_Log!$A$2:$A$201,C331)&gt;0,"Y","N"))</f>
        <v/>
      </c>
      <c r="G331" s="17">
        <f>IF(OR(C331="",AND(LEFT(C331,6)="SAMPLE",Config!$B$19&lt;&gt;"Y")),"",IF(IFERROR(INDEX(Lists!$J$2:$J$15,MATCH(D331,Lists!$I$2:$I$15,0)),-1)=-1,"status '"&amp;D331&amp;"' is not a CONTRACTS status",IF(AND(D331="signed",COUNTIF(signed_offices!$W$2:$W$51,C331)=0),"status signed but no signed_offices row"&amp;IF(F331="N"," and no tracker row",""),IF(AND(IFERROR(INDEX(Lists!$J$2:$J$15,MATCH(D331,Lists!$I$2:$I$15,0)),-1)&gt;=6,F331="N"),"status "&amp;D331&amp;" but no tracker row",IF(AND(E331="Y",D331&lt;&gt;"do_not_contact"),"do_not_contact = Y but status is "&amp;D331,IF(AND(D331="do_not_contact",E331&lt;&gt;"Y"),"status do_not_contact but do_not_contact is not Y",""))))))</f>
        <v/>
      </c>
      <c r="I331" s="17" t="n">
        <v>310</v>
      </c>
      <c r="J331" s="17">
        <f>IFERROR(INDEX(Clay_Brands!$A$2:$FZ$601,I331,$D$5)&amp;"","")</f>
        <v/>
      </c>
      <c r="K331" s="17">
        <f>IFERROR(INDEX(Clay_Brands!$A$2:$FZ$601,I331,$D$7)&amp;"","")</f>
        <v/>
      </c>
      <c r="L331" s="17">
        <f>IFERROR(INDEX(Clay_Brands!$A$2:$FZ$601,I331,$D$8)&amp;"","")</f>
        <v/>
      </c>
      <c r="M331" s="17">
        <f>IF(J331="","",IF(COUNTIF(Brand_Log!$A$2:$A$201,J331)&gt;0,"Y","N"))</f>
        <v/>
      </c>
      <c r="N331" s="17">
        <f>IF(OR(J331="",AND(LEFT(J331,6)="SAMPLE",Config!$B$19&lt;&gt;"Y")),"",IF(IFERROR(INDEX(Lists!$J$2:$J$15,MATCH(K331,Lists!$I$2:$I$15,0)),-1)=-1,"status '"&amp;K331&amp;"' is not a CONTRACTS status",IF(AND(K331="paid",COUNTIF(paid_brands!$AC$2:$AC$51,J331)=0),"status paid but no paid_brands row"&amp;IF(M331="N"," and no tracker row",""),IF(AND(IFERROR(INDEX(Lists!$J$2:$J$15,MATCH(K331,Lists!$I$2:$I$15,0)),-1)&gt;=6,M331="N"),"status "&amp;K331&amp;" but no tracker row",IF(AND(L331="Y",K331&lt;&gt;"do_not_contact"),"do_not_contact = Y but status is "&amp;K331,IF(AND(K331="do_not_contact",L331&lt;&gt;"Y"),"status do_not_contact but do_not_contact is not Y",""))))))</f>
        <v/>
      </c>
    </row>
    <row r="332">
      <c r="B332" s="17" t="n">
        <v>311</v>
      </c>
      <c r="C332" s="17">
        <f>IFERROR(INDEX(Clay_Offices!$A$2:$FZ$601,B332,$C$5)&amp;"","")</f>
        <v/>
      </c>
      <c r="D332" s="17">
        <f>IFERROR(INDEX(Clay_Offices!$A$2:$FZ$601,B332,$C$7)&amp;"","")</f>
        <v/>
      </c>
      <c r="E332" s="17">
        <f>IFERROR(INDEX(Clay_Offices!$A$2:$FZ$601,B332,$C$8)&amp;"","")</f>
        <v/>
      </c>
      <c r="F332" s="17">
        <f>IF(C332="","",IF(COUNTIF(Office_Log!$A$2:$A$201,C332)&gt;0,"Y","N"))</f>
        <v/>
      </c>
      <c r="G332" s="17">
        <f>IF(OR(C332="",AND(LEFT(C332,6)="SAMPLE",Config!$B$19&lt;&gt;"Y")),"",IF(IFERROR(INDEX(Lists!$J$2:$J$15,MATCH(D332,Lists!$I$2:$I$15,0)),-1)=-1,"status '"&amp;D332&amp;"' is not a CONTRACTS status",IF(AND(D332="signed",COUNTIF(signed_offices!$W$2:$W$51,C332)=0),"status signed but no signed_offices row"&amp;IF(F332="N"," and no tracker row",""),IF(AND(IFERROR(INDEX(Lists!$J$2:$J$15,MATCH(D332,Lists!$I$2:$I$15,0)),-1)&gt;=6,F332="N"),"status "&amp;D332&amp;" but no tracker row",IF(AND(E332="Y",D332&lt;&gt;"do_not_contact"),"do_not_contact = Y but status is "&amp;D332,IF(AND(D332="do_not_contact",E332&lt;&gt;"Y"),"status do_not_contact but do_not_contact is not Y",""))))))</f>
        <v/>
      </c>
      <c r="I332" s="17" t="n">
        <v>311</v>
      </c>
      <c r="J332" s="17">
        <f>IFERROR(INDEX(Clay_Brands!$A$2:$FZ$601,I332,$D$5)&amp;"","")</f>
        <v/>
      </c>
      <c r="K332" s="17">
        <f>IFERROR(INDEX(Clay_Brands!$A$2:$FZ$601,I332,$D$7)&amp;"","")</f>
        <v/>
      </c>
      <c r="L332" s="17">
        <f>IFERROR(INDEX(Clay_Brands!$A$2:$FZ$601,I332,$D$8)&amp;"","")</f>
        <v/>
      </c>
      <c r="M332" s="17">
        <f>IF(J332="","",IF(COUNTIF(Brand_Log!$A$2:$A$201,J332)&gt;0,"Y","N"))</f>
        <v/>
      </c>
      <c r="N332" s="17">
        <f>IF(OR(J332="",AND(LEFT(J332,6)="SAMPLE",Config!$B$19&lt;&gt;"Y")),"",IF(IFERROR(INDEX(Lists!$J$2:$J$15,MATCH(K332,Lists!$I$2:$I$15,0)),-1)=-1,"status '"&amp;K332&amp;"' is not a CONTRACTS status",IF(AND(K332="paid",COUNTIF(paid_brands!$AC$2:$AC$51,J332)=0),"status paid but no paid_brands row"&amp;IF(M332="N"," and no tracker row",""),IF(AND(IFERROR(INDEX(Lists!$J$2:$J$15,MATCH(K332,Lists!$I$2:$I$15,0)),-1)&gt;=6,M332="N"),"status "&amp;K332&amp;" but no tracker row",IF(AND(L332="Y",K332&lt;&gt;"do_not_contact"),"do_not_contact = Y but status is "&amp;K332,IF(AND(K332="do_not_contact",L332&lt;&gt;"Y"),"status do_not_contact but do_not_contact is not Y",""))))))</f>
        <v/>
      </c>
    </row>
    <row r="333">
      <c r="B333" s="17" t="n">
        <v>312</v>
      </c>
      <c r="C333" s="17">
        <f>IFERROR(INDEX(Clay_Offices!$A$2:$FZ$601,B333,$C$5)&amp;"","")</f>
        <v/>
      </c>
      <c r="D333" s="17">
        <f>IFERROR(INDEX(Clay_Offices!$A$2:$FZ$601,B333,$C$7)&amp;"","")</f>
        <v/>
      </c>
      <c r="E333" s="17">
        <f>IFERROR(INDEX(Clay_Offices!$A$2:$FZ$601,B333,$C$8)&amp;"","")</f>
        <v/>
      </c>
      <c r="F333" s="17">
        <f>IF(C333="","",IF(COUNTIF(Office_Log!$A$2:$A$201,C333)&gt;0,"Y","N"))</f>
        <v/>
      </c>
      <c r="G333" s="17">
        <f>IF(OR(C333="",AND(LEFT(C333,6)="SAMPLE",Config!$B$19&lt;&gt;"Y")),"",IF(IFERROR(INDEX(Lists!$J$2:$J$15,MATCH(D333,Lists!$I$2:$I$15,0)),-1)=-1,"status '"&amp;D333&amp;"' is not a CONTRACTS status",IF(AND(D333="signed",COUNTIF(signed_offices!$W$2:$W$51,C333)=0),"status signed but no signed_offices row"&amp;IF(F333="N"," and no tracker row",""),IF(AND(IFERROR(INDEX(Lists!$J$2:$J$15,MATCH(D333,Lists!$I$2:$I$15,0)),-1)&gt;=6,F333="N"),"status "&amp;D333&amp;" but no tracker row",IF(AND(E333="Y",D333&lt;&gt;"do_not_contact"),"do_not_contact = Y but status is "&amp;D333,IF(AND(D333="do_not_contact",E333&lt;&gt;"Y"),"status do_not_contact but do_not_contact is not Y",""))))))</f>
        <v/>
      </c>
      <c r="I333" s="17" t="n">
        <v>312</v>
      </c>
      <c r="J333" s="17">
        <f>IFERROR(INDEX(Clay_Brands!$A$2:$FZ$601,I333,$D$5)&amp;"","")</f>
        <v/>
      </c>
      <c r="K333" s="17">
        <f>IFERROR(INDEX(Clay_Brands!$A$2:$FZ$601,I333,$D$7)&amp;"","")</f>
        <v/>
      </c>
      <c r="L333" s="17">
        <f>IFERROR(INDEX(Clay_Brands!$A$2:$FZ$601,I333,$D$8)&amp;"","")</f>
        <v/>
      </c>
      <c r="M333" s="17">
        <f>IF(J333="","",IF(COUNTIF(Brand_Log!$A$2:$A$201,J333)&gt;0,"Y","N"))</f>
        <v/>
      </c>
      <c r="N333" s="17">
        <f>IF(OR(J333="",AND(LEFT(J333,6)="SAMPLE",Config!$B$19&lt;&gt;"Y")),"",IF(IFERROR(INDEX(Lists!$J$2:$J$15,MATCH(K333,Lists!$I$2:$I$15,0)),-1)=-1,"status '"&amp;K333&amp;"' is not a CONTRACTS status",IF(AND(K333="paid",COUNTIF(paid_brands!$AC$2:$AC$51,J333)=0),"status paid but no paid_brands row"&amp;IF(M333="N"," and no tracker row",""),IF(AND(IFERROR(INDEX(Lists!$J$2:$J$15,MATCH(K333,Lists!$I$2:$I$15,0)),-1)&gt;=6,M333="N"),"status "&amp;K333&amp;" but no tracker row",IF(AND(L333="Y",K333&lt;&gt;"do_not_contact"),"do_not_contact = Y but status is "&amp;K333,IF(AND(K333="do_not_contact",L333&lt;&gt;"Y"),"status do_not_contact but do_not_contact is not Y",""))))))</f>
        <v/>
      </c>
    </row>
    <row r="334">
      <c r="B334" s="17" t="n">
        <v>313</v>
      </c>
      <c r="C334" s="17">
        <f>IFERROR(INDEX(Clay_Offices!$A$2:$FZ$601,B334,$C$5)&amp;"","")</f>
        <v/>
      </c>
      <c r="D334" s="17">
        <f>IFERROR(INDEX(Clay_Offices!$A$2:$FZ$601,B334,$C$7)&amp;"","")</f>
        <v/>
      </c>
      <c r="E334" s="17">
        <f>IFERROR(INDEX(Clay_Offices!$A$2:$FZ$601,B334,$C$8)&amp;"","")</f>
        <v/>
      </c>
      <c r="F334" s="17">
        <f>IF(C334="","",IF(COUNTIF(Office_Log!$A$2:$A$201,C334)&gt;0,"Y","N"))</f>
        <v/>
      </c>
      <c r="G334" s="17">
        <f>IF(OR(C334="",AND(LEFT(C334,6)="SAMPLE",Config!$B$19&lt;&gt;"Y")),"",IF(IFERROR(INDEX(Lists!$J$2:$J$15,MATCH(D334,Lists!$I$2:$I$15,0)),-1)=-1,"status '"&amp;D334&amp;"' is not a CONTRACTS status",IF(AND(D334="signed",COUNTIF(signed_offices!$W$2:$W$51,C334)=0),"status signed but no signed_offices row"&amp;IF(F334="N"," and no tracker row",""),IF(AND(IFERROR(INDEX(Lists!$J$2:$J$15,MATCH(D334,Lists!$I$2:$I$15,0)),-1)&gt;=6,F334="N"),"status "&amp;D334&amp;" but no tracker row",IF(AND(E334="Y",D334&lt;&gt;"do_not_contact"),"do_not_contact = Y but status is "&amp;D334,IF(AND(D334="do_not_contact",E334&lt;&gt;"Y"),"status do_not_contact but do_not_contact is not Y",""))))))</f>
        <v/>
      </c>
      <c r="I334" s="17" t="n">
        <v>313</v>
      </c>
      <c r="J334" s="17">
        <f>IFERROR(INDEX(Clay_Brands!$A$2:$FZ$601,I334,$D$5)&amp;"","")</f>
        <v/>
      </c>
      <c r="K334" s="17">
        <f>IFERROR(INDEX(Clay_Brands!$A$2:$FZ$601,I334,$D$7)&amp;"","")</f>
        <v/>
      </c>
      <c r="L334" s="17">
        <f>IFERROR(INDEX(Clay_Brands!$A$2:$FZ$601,I334,$D$8)&amp;"","")</f>
        <v/>
      </c>
      <c r="M334" s="17">
        <f>IF(J334="","",IF(COUNTIF(Brand_Log!$A$2:$A$201,J334)&gt;0,"Y","N"))</f>
        <v/>
      </c>
      <c r="N334" s="17">
        <f>IF(OR(J334="",AND(LEFT(J334,6)="SAMPLE",Config!$B$19&lt;&gt;"Y")),"",IF(IFERROR(INDEX(Lists!$J$2:$J$15,MATCH(K334,Lists!$I$2:$I$15,0)),-1)=-1,"status '"&amp;K334&amp;"' is not a CONTRACTS status",IF(AND(K334="paid",COUNTIF(paid_brands!$AC$2:$AC$51,J334)=0),"status paid but no paid_brands row"&amp;IF(M334="N"," and no tracker row",""),IF(AND(IFERROR(INDEX(Lists!$J$2:$J$15,MATCH(K334,Lists!$I$2:$I$15,0)),-1)&gt;=6,M334="N"),"status "&amp;K334&amp;" but no tracker row",IF(AND(L334="Y",K334&lt;&gt;"do_not_contact"),"do_not_contact = Y but status is "&amp;K334,IF(AND(K334="do_not_contact",L334&lt;&gt;"Y"),"status do_not_contact but do_not_contact is not Y",""))))))</f>
        <v/>
      </c>
    </row>
    <row r="335">
      <c r="B335" s="17" t="n">
        <v>314</v>
      </c>
      <c r="C335" s="17">
        <f>IFERROR(INDEX(Clay_Offices!$A$2:$FZ$601,B335,$C$5)&amp;"","")</f>
        <v/>
      </c>
      <c r="D335" s="17">
        <f>IFERROR(INDEX(Clay_Offices!$A$2:$FZ$601,B335,$C$7)&amp;"","")</f>
        <v/>
      </c>
      <c r="E335" s="17">
        <f>IFERROR(INDEX(Clay_Offices!$A$2:$FZ$601,B335,$C$8)&amp;"","")</f>
        <v/>
      </c>
      <c r="F335" s="17">
        <f>IF(C335="","",IF(COUNTIF(Office_Log!$A$2:$A$201,C335)&gt;0,"Y","N"))</f>
        <v/>
      </c>
      <c r="G335" s="17">
        <f>IF(OR(C335="",AND(LEFT(C335,6)="SAMPLE",Config!$B$19&lt;&gt;"Y")),"",IF(IFERROR(INDEX(Lists!$J$2:$J$15,MATCH(D335,Lists!$I$2:$I$15,0)),-1)=-1,"status '"&amp;D335&amp;"' is not a CONTRACTS status",IF(AND(D335="signed",COUNTIF(signed_offices!$W$2:$W$51,C335)=0),"status signed but no signed_offices row"&amp;IF(F335="N"," and no tracker row",""),IF(AND(IFERROR(INDEX(Lists!$J$2:$J$15,MATCH(D335,Lists!$I$2:$I$15,0)),-1)&gt;=6,F335="N"),"status "&amp;D335&amp;" but no tracker row",IF(AND(E335="Y",D335&lt;&gt;"do_not_contact"),"do_not_contact = Y but status is "&amp;D335,IF(AND(D335="do_not_contact",E335&lt;&gt;"Y"),"status do_not_contact but do_not_contact is not Y",""))))))</f>
        <v/>
      </c>
      <c r="I335" s="17" t="n">
        <v>314</v>
      </c>
      <c r="J335" s="17">
        <f>IFERROR(INDEX(Clay_Brands!$A$2:$FZ$601,I335,$D$5)&amp;"","")</f>
        <v/>
      </c>
      <c r="K335" s="17">
        <f>IFERROR(INDEX(Clay_Brands!$A$2:$FZ$601,I335,$D$7)&amp;"","")</f>
        <v/>
      </c>
      <c r="L335" s="17">
        <f>IFERROR(INDEX(Clay_Brands!$A$2:$FZ$601,I335,$D$8)&amp;"","")</f>
        <v/>
      </c>
      <c r="M335" s="17">
        <f>IF(J335="","",IF(COUNTIF(Brand_Log!$A$2:$A$201,J335)&gt;0,"Y","N"))</f>
        <v/>
      </c>
      <c r="N335" s="17">
        <f>IF(OR(J335="",AND(LEFT(J335,6)="SAMPLE",Config!$B$19&lt;&gt;"Y")),"",IF(IFERROR(INDEX(Lists!$J$2:$J$15,MATCH(K335,Lists!$I$2:$I$15,0)),-1)=-1,"status '"&amp;K335&amp;"' is not a CONTRACTS status",IF(AND(K335="paid",COUNTIF(paid_brands!$AC$2:$AC$51,J335)=0),"status paid but no paid_brands row"&amp;IF(M335="N"," and no tracker row",""),IF(AND(IFERROR(INDEX(Lists!$J$2:$J$15,MATCH(K335,Lists!$I$2:$I$15,0)),-1)&gt;=6,M335="N"),"status "&amp;K335&amp;" but no tracker row",IF(AND(L335="Y",K335&lt;&gt;"do_not_contact"),"do_not_contact = Y but status is "&amp;K335,IF(AND(K335="do_not_contact",L335&lt;&gt;"Y"),"status do_not_contact but do_not_contact is not Y",""))))))</f>
        <v/>
      </c>
    </row>
    <row r="336">
      <c r="B336" s="17" t="n">
        <v>315</v>
      </c>
      <c r="C336" s="17">
        <f>IFERROR(INDEX(Clay_Offices!$A$2:$FZ$601,B336,$C$5)&amp;"","")</f>
        <v/>
      </c>
      <c r="D336" s="17">
        <f>IFERROR(INDEX(Clay_Offices!$A$2:$FZ$601,B336,$C$7)&amp;"","")</f>
        <v/>
      </c>
      <c r="E336" s="17">
        <f>IFERROR(INDEX(Clay_Offices!$A$2:$FZ$601,B336,$C$8)&amp;"","")</f>
        <v/>
      </c>
      <c r="F336" s="17">
        <f>IF(C336="","",IF(COUNTIF(Office_Log!$A$2:$A$201,C336)&gt;0,"Y","N"))</f>
        <v/>
      </c>
      <c r="G336" s="17">
        <f>IF(OR(C336="",AND(LEFT(C336,6)="SAMPLE",Config!$B$19&lt;&gt;"Y")),"",IF(IFERROR(INDEX(Lists!$J$2:$J$15,MATCH(D336,Lists!$I$2:$I$15,0)),-1)=-1,"status '"&amp;D336&amp;"' is not a CONTRACTS status",IF(AND(D336="signed",COUNTIF(signed_offices!$W$2:$W$51,C336)=0),"status signed but no signed_offices row"&amp;IF(F336="N"," and no tracker row",""),IF(AND(IFERROR(INDEX(Lists!$J$2:$J$15,MATCH(D336,Lists!$I$2:$I$15,0)),-1)&gt;=6,F336="N"),"status "&amp;D336&amp;" but no tracker row",IF(AND(E336="Y",D336&lt;&gt;"do_not_contact"),"do_not_contact = Y but status is "&amp;D336,IF(AND(D336="do_not_contact",E336&lt;&gt;"Y"),"status do_not_contact but do_not_contact is not Y",""))))))</f>
        <v/>
      </c>
      <c r="I336" s="17" t="n">
        <v>315</v>
      </c>
      <c r="J336" s="17">
        <f>IFERROR(INDEX(Clay_Brands!$A$2:$FZ$601,I336,$D$5)&amp;"","")</f>
        <v/>
      </c>
      <c r="K336" s="17">
        <f>IFERROR(INDEX(Clay_Brands!$A$2:$FZ$601,I336,$D$7)&amp;"","")</f>
        <v/>
      </c>
      <c r="L336" s="17">
        <f>IFERROR(INDEX(Clay_Brands!$A$2:$FZ$601,I336,$D$8)&amp;"","")</f>
        <v/>
      </c>
      <c r="M336" s="17">
        <f>IF(J336="","",IF(COUNTIF(Brand_Log!$A$2:$A$201,J336)&gt;0,"Y","N"))</f>
        <v/>
      </c>
      <c r="N336" s="17">
        <f>IF(OR(J336="",AND(LEFT(J336,6)="SAMPLE",Config!$B$19&lt;&gt;"Y")),"",IF(IFERROR(INDEX(Lists!$J$2:$J$15,MATCH(K336,Lists!$I$2:$I$15,0)),-1)=-1,"status '"&amp;K336&amp;"' is not a CONTRACTS status",IF(AND(K336="paid",COUNTIF(paid_brands!$AC$2:$AC$51,J336)=0),"status paid but no paid_brands row"&amp;IF(M336="N"," and no tracker row",""),IF(AND(IFERROR(INDEX(Lists!$J$2:$J$15,MATCH(K336,Lists!$I$2:$I$15,0)),-1)&gt;=6,M336="N"),"status "&amp;K336&amp;" but no tracker row",IF(AND(L336="Y",K336&lt;&gt;"do_not_contact"),"do_not_contact = Y but status is "&amp;K336,IF(AND(K336="do_not_contact",L336&lt;&gt;"Y"),"status do_not_contact but do_not_contact is not Y",""))))))</f>
        <v/>
      </c>
    </row>
    <row r="337">
      <c r="B337" s="17" t="n">
        <v>316</v>
      </c>
      <c r="C337" s="17">
        <f>IFERROR(INDEX(Clay_Offices!$A$2:$FZ$601,B337,$C$5)&amp;"","")</f>
        <v/>
      </c>
      <c r="D337" s="17">
        <f>IFERROR(INDEX(Clay_Offices!$A$2:$FZ$601,B337,$C$7)&amp;"","")</f>
        <v/>
      </c>
      <c r="E337" s="17">
        <f>IFERROR(INDEX(Clay_Offices!$A$2:$FZ$601,B337,$C$8)&amp;"","")</f>
        <v/>
      </c>
      <c r="F337" s="17">
        <f>IF(C337="","",IF(COUNTIF(Office_Log!$A$2:$A$201,C337)&gt;0,"Y","N"))</f>
        <v/>
      </c>
      <c r="G337" s="17">
        <f>IF(OR(C337="",AND(LEFT(C337,6)="SAMPLE",Config!$B$19&lt;&gt;"Y")),"",IF(IFERROR(INDEX(Lists!$J$2:$J$15,MATCH(D337,Lists!$I$2:$I$15,0)),-1)=-1,"status '"&amp;D337&amp;"' is not a CONTRACTS status",IF(AND(D337="signed",COUNTIF(signed_offices!$W$2:$W$51,C337)=0),"status signed but no signed_offices row"&amp;IF(F337="N"," and no tracker row",""),IF(AND(IFERROR(INDEX(Lists!$J$2:$J$15,MATCH(D337,Lists!$I$2:$I$15,0)),-1)&gt;=6,F337="N"),"status "&amp;D337&amp;" but no tracker row",IF(AND(E337="Y",D337&lt;&gt;"do_not_contact"),"do_not_contact = Y but status is "&amp;D337,IF(AND(D337="do_not_contact",E337&lt;&gt;"Y"),"status do_not_contact but do_not_contact is not Y",""))))))</f>
        <v/>
      </c>
      <c r="I337" s="17" t="n">
        <v>316</v>
      </c>
      <c r="J337" s="17">
        <f>IFERROR(INDEX(Clay_Brands!$A$2:$FZ$601,I337,$D$5)&amp;"","")</f>
        <v/>
      </c>
      <c r="K337" s="17">
        <f>IFERROR(INDEX(Clay_Brands!$A$2:$FZ$601,I337,$D$7)&amp;"","")</f>
        <v/>
      </c>
      <c r="L337" s="17">
        <f>IFERROR(INDEX(Clay_Brands!$A$2:$FZ$601,I337,$D$8)&amp;"","")</f>
        <v/>
      </c>
      <c r="M337" s="17">
        <f>IF(J337="","",IF(COUNTIF(Brand_Log!$A$2:$A$201,J337)&gt;0,"Y","N"))</f>
        <v/>
      </c>
      <c r="N337" s="17">
        <f>IF(OR(J337="",AND(LEFT(J337,6)="SAMPLE",Config!$B$19&lt;&gt;"Y")),"",IF(IFERROR(INDEX(Lists!$J$2:$J$15,MATCH(K337,Lists!$I$2:$I$15,0)),-1)=-1,"status '"&amp;K337&amp;"' is not a CONTRACTS status",IF(AND(K337="paid",COUNTIF(paid_brands!$AC$2:$AC$51,J337)=0),"status paid but no paid_brands row"&amp;IF(M337="N"," and no tracker row",""),IF(AND(IFERROR(INDEX(Lists!$J$2:$J$15,MATCH(K337,Lists!$I$2:$I$15,0)),-1)&gt;=6,M337="N"),"status "&amp;K337&amp;" but no tracker row",IF(AND(L337="Y",K337&lt;&gt;"do_not_contact"),"do_not_contact = Y but status is "&amp;K337,IF(AND(K337="do_not_contact",L337&lt;&gt;"Y"),"status do_not_contact but do_not_contact is not Y",""))))))</f>
        <v/>
      </c>
    </row>
    <row r="338">
      <c r="B338" s="17" t="n">
        <v>317</v>
      </c>
      <c r="C338" s="17">
        <f>IFERROR(INDEX(Clay_Offices!$A$2:$FZ$601,B338,$C$5)&amp;"","")</f>
        <v/>
      </c>
      <c r="D338" s="17">
        <f>IFERROR(INDEX(Clay_Offices!$A$2:$FZ$601,B338,$C$7)&amp;"","")</f>
        <v/>
      </c>
      <c r="E338" s="17">
        <f>IFERROR(INDEX(Clay_Offices!$A$2:$FZ$601,B338,$C$8)&amp;"","")</f>
        <v/>
      </c>
      <c r="F338" s="17">
        <f>IF(C338="","",IF(COUNTIF(Office_Log!$A$2:$A$201,C338)&gt;0,"Y","N"))</f>
        <v/>
      </c>
      <c r="G338" s="17">
        <f>IF(OR(C338="",AND(LEFT(C338,6)="SAMPLE",Config!$B$19&lt;&gt;"Y")),"",IF(IFERROR(INDEX(Lists!$J$2:$J$15,MATCH(D338,Lists!$I$2:$I$15,0)),-1)=-1,"status '"&amp;D338&amp;"' is not a CONTRACTS status",IF(AND(D338="signed",COUNTIF(signed_offices!$W$2:$W$51,C338)=0),"status signed but no signed_offices row"&amp;IF(F338="N"," and no tracker row",""),IF(AND(IFERROR(INDEX(Lists!$J$2:$J$15,MATCH(D338,Lists!$I$2:$I$15,0)),-1)&gt;=6,F338="N"),"status "&amp;D338&amp;" but no tracker row",IF(AND(E338="Y",D338&lt;&gt;"do_not_contact"),"do_not_contact = Y but status is "&amp;D338,IF(AND(D338="do_not_contact",E338&lt;&gt;"Y"),"status do_not_contact but do_not_contact is not Y",""))))))</f>
        <v/>
      </c>
      <c r="I338" s="17" t="n">
        <v>317</v>
      </c>
      <c r="J338" s="17">
        <f>IFERROR(INDEX(Clay_Brands!$A$2:$FZ$601,I338,$D$5)&amp;"","")</f>
        <v/>
      </c>
      <c r="K338" s="17">
        <f>IFERROR(INDEX(Clay_Brands!$A$2:$FZ$601,I338,$D$7)&amp;"","")</f>
        <v/>
      </c>
      <c r="L338" s="17">
        <f>IFERROR(INDEX(Clay_Brands!$A$2:$FZ$601,I338,$D$8)&amp;"","")</f>
        <v/>
      </c>
      <c r="M338" s="17">
        <f>IF(J338="","",IF(COUNTIF(Brand_Log!$A$2:$A$201,J338)&gt;0,"Y","N"))</f>
        <v/>
      </c>
      <c r="N338" s="17">
        <f>IF(OR(J338="",AND(LEFT(J338,6)="SAMPLE",Config!$B$19&lt;&gt;"Y")),"",IF(IFERROR(INDEX(Lists!$J$2:$J$15,MATCH(K338,Lists!$I$2:$I$15,0)),-1)=-1,"status '"&amp;K338&amp;"' is not a CONTRACTS status",IF(AND(K338="paid",COUNTIF(paid_brands!$AC$2:$AC$51,J338)=0),"status paid but no paid_brands row"&amp;IF(M338="N"," and no tracker row",""),IF(AND(IFERROR(INDEX(Lists!$J$2:$J$15,MATCH(K338,Lists!$I$2:$I$15,0)),-1)&gt;=6,M338="N"),"status "&amp;K338&amp;" but no tracker row",IF(AND(L338="Y",K338&lt;&gt;"do_not_contact"),"do_not_contact = Y but status is "&amp;K338,IF(AND(K338="do_not_contact",L338&lt;&gt;"Y"),"status do_not_contact but do_not_contact is not Y",""))))))</f>
        <v/>
      </c>
    </row>
    <row r="339">
      <c r="B339" s="17" t="n">
        <v>318</v>
      </c>
      <c r="C339" s="17">
        <f>IFERROR(INDEX(Clay_Offices!$A$2:$FZ$601,B339,$C$5)&amp;"","")</f>
        <v/>
      </c>
      <c r="D339" s="17">
        <f>IFERROR(INDEX(Clay_Offices!$A$2:$FZ$601,B339,$C$7)&amp;"","")</f>
        <v/>
      </c>
      <c r="E339" s="17">
        <f>IFERROR(INDEX(Clay_Offices!$A$2:$FZ$601,B339,$C$8)&amp;"","")</f>
        <v/>
      </c>
      <c r="F339" s="17">
        <f>IF(C339="","",IF(COUNTIF(Office_Log!$A$2:$A$201,C339)&gt;0,"Y","N"))</f>
        <v/>
      </c>
      <c r="G339" s="17">
        <f>IF(OR(C339="",AND(LEFT(C339,6)="SAMPLE",Config!$B$19&lt;&gt;"Y")),"",IF(IFERROR(INDEX(Lists!$J$2:$J$15,MATCH(D339,Lists!$I$2:$I$15,0)),-1)=-1,"status '"&amp;D339&amp;"' is not a CONTRACTS status",IF(AND(D339="signed",COUNTIF(signed_offices!$W$2:$W$51,C339)=0),"status signed but no signed_offices row"&amp;IF(F339="N"," and no tracker row",""),IF(AND(IFERROR(INDEX(Lists!$J$2:$J$15,MATCH(D339,Lists!$I$2:$I$15,0)),-1)&gt;=6,F339="N"),"status "&amp;D339&amp;" but no tracker row",IF(AND(E339="Y",D339&lt;&gt;"do_not_contact"),"do_not_contact = Y but status is "&amp;D339,IF(AND(D339="do_not_contact",E339&lt;&gt;"Y"),"status do_not_contact but do_not_contact is not Y",""))))))</f>
        <v/>
      </c>
      <c r="I339" s="17" t="n">
        <v>318</v>
      </c>
      <c r="J339" s="17">
        <f>IFERROR(INDEX(Clay_Brands!$A$2:$FZ$601,I339,$D$5)&amp;"","")</f>
        <v/>
      </c>
      <c r="K339" s="17">
        <f>IFERROR(INDEX(Clay_Brands!$A$2:$FZ$601,I339,$D$7)&amp;"","")</f>
        <v/>
      </c>
      <c r="L339" s="17">
        <f>IFERROR(INDEX(Clay_Brands!$A$2:$FZ$601,I339,$D$8)&amp;"","")</f>
        <v/>
      </c>
      <c r="M339" s="17">
        <f>IF(J339="","",IF(COUNTIF(Brand_Log!$A$2:$A$201,J339)&gt;0,"Y","N"))</f>
        <v/>
      </c>
      <c r="N339" s="17">
        <f>IF(OR(J339="",AND(LEFT(J339,6)="SAMPLE",Config!$B$19&lt;&gt;"Y")),"",IF(IFERROR(INDEX(Lists!$J$2:$J$15,MATCH(K339,Lists!$I$2:$I$15,0)),-1)=-1,"status '"&amp;K339&amp;"' is not a CONTRACTS status",IF(AND(K339="paid",COUNTIF(paid_brands!$AC$2:$AC$51,J339)=0),"status paid but no paid_brands row"&amp;IF(M339="N"," and no tracker row",""),IF(AND(IFERROR(INDEX(Lists!$J$2:$J$15,MATCH(K339,Lists!$I$2:$I$15,0)),-1)&gt;=6,M339="N"),"status "&amp;K339&amp;" but no tracker row",IF(AND(L339="Y",K339&lt;&gt;"do_not_contact"),"do_not_contact = Y but status is "&amp;K339,IF(AND(K339="do_not_contact",L339&lt;&gt;"Y"),"status do_not_contact but do_not_contact is not Y",""))))))</f>
        <v/>
      </c>
    </row>
    <row r="340">
      <c r="B340" s="17" t="n">
        <v>319</v>
      </c>
      <c r="C340" s="17">
        <f>IFERROR(INDEX(Clay_Offices!$A$2:$FZ$601,B340,$C$5)&amp;"","")</f>
        <v/>
      </c>
      <c r="D340" s="17">
        <f>IFERROR(INDEX(Clay_Offices!$A$2:$FZ$601,B340,$C$7)&amp;"","")</f>
        <v/>
      </c>
      <c r="E340" s="17">
        <f>IFERROR(INDEX(Clay_Offices!$A$2:$FZ$601,B340,$C$8)&amp;"","")</f>
        <v/>
      </c>
      <c r="F340" s="17">
        <f>IF(C340="","",IF(COUNTIF(Office_Log!$A$2:$A$201,C340)&gt;0,"Y","N"))</f>
        <v/>
      </c>
      <c r="G340" s="17">
        <f>IF(OR(C340="",AND(LEFT(C340,6)="SAMPLE",Config!$B$19&lt;&gt;"Y")),"",IF(IFERROR(INDEX(Lists!$J$2:$J$15,MATCH(D340,Lists!$I$2:$I$15,0)),-1)=-1,"status '"&amp;D340&amp;"' is not a CONTRACTS status",IF(AND(D340="signed",COUNTIF(signed_offices!$W$2:$W$51,C340)=0),"status signed but no signed_offices row"&amp;IF(F340="N"," and no tracker row",""),IF(AND(IFERROR(INDEX(Lists!$J$2:$J$15,MATCH(D340,Lists!$I$2:$I$15,0)),-1)&gt;=6,F340="N"),"status "&amp;D340&amp;" but no tracker row",IF(AND(E340="Y",D340&lt;&gt;"do_not_contact"),"do_not_contact = Y but status is "&amp;D340,IF(AND(D340="do_not_contact",E340&lt;&gt;"Y"),"status do_not_contact but do_not_contact is not Y",""))))))</f>
        <v/>
      </c>
      <c r="I340" s="17" t="n">
        <v>319</v>
      </c>
      <c r="J340" s="17">
        <f>IFERROR(INDEX(Clay_Brands!$A$2:$FZ$601,I340,$D$5)&amp;"","")</f>
        <v/>
      </c>
      <c r="K340" s="17">
        <f>IFERROR(INDEX(Clay_Brands!$A$2:$FZ$601,I340,$D$7)&amp;"","")</f>
        <v/>
      </c>
      <c r="L340" s="17">
        <f>IFERROR(INDEX(Clay_Brands!$A$2:$FZ$601,I340,$D$8)&amp;"","")</f>
        <v/>
      </c>
      <c r="M340" s="17">
        <f>IF(J340="","",IF(COUNTIF(Brand_Log!$A$2:$A$201,J340)&gt;0,"Y","N"))</f>
        <v/>
      </c>
      <c r="N340" s="17">
        <f>IF(OR(J340="",AND(LEFT(J340,6)="SAMPLE",Config!$B$19&lt;&gt;"Y")),"",IF(IFERROR(INDEX(Lists!$J$2:$J$15,MATCH(K340,Lists!$I$2:$I$15,0)),-1)=-1,"status '"&amp;K340&amp;"' is not a CONTRACTS status",IF(AND(K340="paid",COUNTIF(paid_brands!$AC$2:$AC$51,J340)=0),"status paid but no paid_brands row"&amp;IF(M340="N"," and no tracker row",""),IF(AND(IFERROR(INDEX(Lists!$J$2:$J$15,MATCH(K340,Lists!$I$2:$I$15,0)),-1)&gt;=6,M340="N"),"status "&amp;K340&amp;" but no tracker row",IF(AND(L340="Y",K340&lt;&gt;"do_not_contact"),"do_not_contact = Y but status is "&amp;K340,IF(AND(K340="do_not_contact",L340&lt;&gt;"Y"),"status do_not_contact but do_not_contact is not Y",""))))))</f>
        <v/>
      </c>
    </row>
    <row r="341">
      <c r="B341" s="17" t="n">
        <v>320</v>
      </c>
      <c r="C341" s="17">
        <f>IFERROR(INDEX(Clay_Offices!$A$2:$FZ$601,B341,$C$5)&amp;"","")</f>
        <v/>
      </c>
      <c r="D341" s="17">
        <f>IFERROR(INDEX(Clay_Offices!$A$2:$FZ$601,B341,$C$7)&amp;"","")</f>
        <v/>
      </c>
      <c r="E341" s="17">
        <f>IFERROR(INDEX(Clay_Offices!$A$2:$FZ$601,B341,$C$8)&amp;"","")</f>
        <v/>
      </c>
      <c r="F341" s="17">
        <f>IF(C341="","",IF(COUNTIF(Office_Log!$A$2:$A$201,C341)&gt;0,"Y","N"))</f>
        <v/>
      </c>
      <c r="G341" s="17">
        <f>IF(OR(C341="",AND(LEFT(C341,6)="SAMPLE",Config!$B$19&lt;&gt;"Y")),"",IF(IFERROR(INDEX(Lists!$J$2:$J$15,MATCH(D341,Lists!$I$2:$I$15,0)),-1)=-1,"status '"&amp;D341&amp;"' is not a CONTRACTS status",IF(AND(D341="signed",COUNTIF(signed_offices!$W$2:$W$51,C341)=0),"status signed but no signed_offices row"&amp;IF(F341="N"," and no tracker row",""),IF(AND(IFERROR(INDEX(Lists!$J$2:$J$15,MATCH(D341,Lists!$I$2:$I$15,0)),-1)&gt;=6,F341="N"),"status "&amp;D341&amp;" but no tracker row",IF(AND(E341="Y",D341&lt;&gt;"do_not_contact"),"do_not_contact = Y but status is "&amp;D341,IF(AND(D341="do_not_contact",E341&lt;&gt;"Y"),"status do_not_contact but do_not_contact is not Y",""))))))</f>
        <v/>
      </c>
      <c r="I341" s="17" t="n">
        <v>320</v>
      </c>
      <c r="J341" s="17">
        <f>IFERROR(INDEX(Clay_Brands!$A$2:$FZ$601,I341,$D$5)&amp;"","")</f>
        <v/>
      </c>
      <c r="K341" s="17">
        <f>IFERROR(INDEX(Clay_Brands!$A$2:$FZ$601,I341,$D$7)&amp;"","")</f>
        <v/>
      </c>
      <c r="L341" s="17">
        <f>IFERROR(INDEX(Clay_Brands!$A$2:$FZ$601,I341,$D$8)&amp;"","")</f>
        <v/>
      </c>
      <c r="M341" s="17">
        <f>IF(J341="","",IF(COUNTIF(Brand_Log!$A$2:$A$201,J341)&gt;0,"Y","N"))</f>
        <v/>
      </c>
      <c r="N341" s="17">
        <f>IF(OR(J341="",AND(LEFT(J341,6)="SAMPLE",Config!$B$19&lt;&gt;"Y")),"",IF(IFERROR(INDEX(Lists!$J$2:$J$15,MATCH(K341,Lists!$I$2:$I$15,0)),-1)=-1,"status '"&amp;K341&amp;"' is not a CONTRACTS status",IF(AND(K341="paid",COUNTIF(paid_brands!$AC$2:$AC$51,J341)=0),"status paid but no paid_brands row"&amp;IF(M341="N"," and no tracker row",""),IF(AND(IFERROR(INDEX(Lists!$J$2:$J$15,MATCH(K341,Lists!$I$2:$I$15,0)),-1)&gt;=6,M341="N"),"status "&amp;K341&amp;" but no tracker row",IF(AND(L341="Y",K341&lt;&gt;"do_not_contact"),"do_not_contact = Y but status is "&amp;K341,IF(AND(K341="do_not_contact",L341&lt;&gt;"Y"),"status do_not_contact but do_not_contact is not Y",""))))))</f>
        <v/>
      </c>
    </row>
    <row r="342">
      <c r="B342" s="17" t="n">
        <v>321</v>
      </c>
      <c r="C342" s="17">
        <f>IFERROR(INDEX(Clay_Offices!$A$2:$FZ$601,B342,$C$5)&amp;"","")</f>
        <v/>
      </c>
      <c r="D342" s="17">
        <f>IFERROR(INDEX(Clay_Offices!$A$2:$FZ$601,B342,$C$7)&amp;"","")</f>
        <v/>
      </c>
      <c r="E342" s="17">
        <f>IFERROR(INDEX(Clay_Offices!$A$2:$FZ$601,B342,$C$8)&amp;"","")</f>
        <v/>
      </c>
      <c r="F342" s="17">
        <f>IF(C342="","",IF(COUNTIF(Office_Log!$A$2:$A$201,C342)&gt;0,"Y","N"))</f>
        <v/>
      </c>
      <c r="G342" s="17">
        <f>IF(OR(C342="",AND(LEFT(C342,6)="SAMPLE",Config!$B$19&lt;&gt;"Y")),"",IF(IFERROR(INDEX(Lists!$J$2:$J$15,MATCH(D342,Lists!$I$2:$I$15,0)),-1)=-1,"status '"&amp;D342&amp;"' is not a CONTRACTS status",IF(AND(D342="signed",COUNTIF(signed_offices!$W$2:$W$51,C342)=0),"status signed but no signed_offices row"&amp;IF(F342="N"," and no tracker row",""),IF(AND(IFERROR(INDEX(Lists!$J$2:$J$15,MATCH(D342,Lists!$I$2:$I$15,0)),-1)&gt;=6,F342="N"),"status "&amp;D342&amp;" but no tracker row",IF(AND(E342="Y",D342&lt;&gt;"do_not_contact"),"do_not_contact = Y but status is "&amp;D342,IF(AND(D342="do_not_contact",E342&lt;&gt;"Y"),"status do_not_contact but do_not_contact is not Y",""))))))</f>
        <v/>
      </c>
      <c r="I342" s="17" t="n">
        <v>321</v>
      </c>
      <c r="J342" s="17">
        <f>IFERROR(INDEX(Clay_Brands!$A$2:$FZ$601,I342,$D$5)&amp;"","")</f>
        <v/>
      </c>
      <c r="K342" s="17">
        <f>IFERROR(INDEX(Clay_Brands!$A$2:$FZ$601,I342,$D$7)&amp;"","")</f>
        <v/>
      </c>
      <c r="L342" s="17">
        <f>IFERROR(INDEX(Clay_Brands!$A$2:$FZ$601,I342,$D$8)&amp;"","")</f>
        <v/>
      </c>
      <c r="M342" s="17">
        <f>IF(J342="","",IF(COUNTIF(Brand_Log!$A$2:$A$201,J342)&gt;0,"Y","N"))</f>
        <v/>
      </c>
      <c r="N342" s="17">
        <f>IF(OR(J342="",AND(LEFT(J342,6)="SAMPLE",Config!$B$19&lt;&gt;"Y")),"",IF(IFERROR(INDEX(Lists!$J$2:$J$15,MATCH(K342,Lists!$I$2:$I$15,0)),-1)=-1,"status '"&amp;K342&amp;"' is not a CONTRACTS status",IF(AND(K342="paid",COUNTIF(paid_brands!$AC$2:$AC$51,J342)=0),"status paid but no paid_brands row"&amp;IF(M342="N"," and no tracker row",""),IF(AND(IFERROR(INDEX(Lists!$J$2:$J$15,MATCH(K342,Lists!$I$2:$I$15,0)),-1)&gt;=6,M342="N"),"status "&amp;K342&amp;" but no tracker row",IF(AND(L342="Y",K342&lt;&gt;"do_not_contact"),"do_not_contact = Y but status is "&amp;K342,IF(AND(K342="do_not_contact",L342&lt;&gt;"Y"),"status do_not_contact but do_not_contact is not Y",""))))))</f>
        <v/>
      </c>
    </row>
    <row r="343">
      <c r="B343" s="17" t="n">
        <v>322</v>
      </c>
      <c r="C343" s="17">
        <f>IFERROR(INDEX(Clay_Offices!$A$2:$FZ$601,B343,$C$5)&amp;"","")</f>
        <v/>
      </c>
      <c r="D343" s="17">
        <f>IFERROR(INDEX(Clay_Offices!$A$2:$FZ$601,B343,$C$7)&amp;"","")</f>
        <v/>
      </c>
      <c r="E343" s="17">
        <f>IFERROR(INDEX(Clay_Offices!$A$2:$FZ$601,B343,$C$8)&amp;"","")</f>
        <v/>
      </c>
      <c r="F343" s="17">
        <f>IF(C343="","",IF(COUNTIF(Office_Log!$A$2:$A$201,C343)&gt;0,"Y","N"))</f>
        <v/>
      </c>
      <c r="G343" s="17">
        <f>IF(OR(C343="",AND(LEFT(C343,6)="SAMPLE",Config!$B$19&lt;&gt;"Y")),"",IF(IFERROR(INDEX(Lists!$J$2:$J$15,MATCH(D343,Lists!$I$2:$I$15,0)),-1)=-1,"status '"&amp;D343&amp;"' is not a CONTRACTS status",IF(AND(D343="signed",COUNTIF(signed_offices!$W$2:$W$51,C343)=0),"status signed but no signed_offices row"&amp;IF(F343="N"," and no tracker row",""),IF(AND(IFERROR(INDEX(Lists!$J$2:$J$15,MATCH(D343,Lists!$I$2:$I$15,0)),-1)&gt;=6,F343="N"),"status "&amp;D343&amp;" but no tracker row",IF(AND(E343="Y",D343&lt;&gt;"do_not_contact"),"do_not_contact = Y but status is "&amp;D343,IF(AND(D343="do_not_contact",E343&lt;&gt;"Y"),"status do_not_contact but do_not_contact is not Y",""))))))</f>
        <v/>
      </c>
      <c r="I343" s="17" t="n">
        <v>322</v>
      </c>
      <c r="J343" s="17">
        <f>IFERROR(INDEX(Clay_Brands!$A$2:$FZ$601,I343,$D$5)&amp;"","")</f>
        <v/>
      </c>
      <c r="K343" s="17">
        <f>IFERROR(INDEX(Clay_Brands!$A$2:$FZ$601,I343,$D$7)&amp;"","")</f>
        <v/>
      </c>
      <c r="L343" s="17">
        <f>IFERROR(INDEX(Clay_Brands!$A$2:$FZ$601,I343,$D$8)&amp;"","")</f>
        <v/>
      </c>
      <c r="M343" s="17">
        <f>IF(J343="","",IF(COUNTIF(Brand_Log!$A$2:$A$201,J343)&gt;0,"Y","N"))</f>
        <v/>
      </c>
      <c r="N343" s="17">
        <f>IF(OR(J343="",AND(LEFT(J343,6)="SAMPLE",Config!$B$19&lt;&gt;"Y")),"",IF(IFERROR(INDEX(Lists!$J$2:$J$15,MATCH(K343,Lists!$I$2:$I$15,0)),-1)=-1,"status '"&amp;K343&amp;"' is not a CONTRACTS status",IF(AND(K343="paid",COUNTIF(paid_brands!$AC$2:$AC$51,J343)=0),"status paid but no paid_brands row"&amp;IF(M343="N"," and no tracker row",""),IF(AND(IFERROR(INDEX(Lists!$J$2:$J$15,MATCH(K343,Lists!$I$2:$I$15,0)),-1)&gt;=6,M343="N"),"status "&amp;K343&amp;" but no tracker row",IF(AND(L343="Y",K343&lt;&gt;"do_not_contact"),"do_not_contact = Y but status is "&amp;K343,IF(AND(K343="do_not_contact",L343&lt;&gt;"Y"),"status do_not_contact but do_not_contact is not Y",""))))))</f>
        <v/>
      </c>
    </row>
    <row r="344">
      <c r="B344" s="17" t="n">
        <v>323</v>
      </c>
      <c r="C344" s="17">
        <f>IFERROR(INDEX(Clay_Offices!$A$2:$FZ$601,B344,$C$5)&amp;"","")</f>
        <v/>
      </c>
      <c r="D344" s="17">
        <f>IFERROR(INDEX(Clay_Offices!$A$2:$FZ$601,B344,$C$7)&amp;"","")</f>
        <v/>
      </c>
      <c r="E344" s="17">
        <f>IFERROR(INDEX(Clay_Offices!$A$2:$FZ$601,B344,$C$8)&amp;"","")</f>
        <v/>
      </c>
      <c r="F344" s="17">
        <f>IF(C344="","",IF(COUNTIF(Office_Log!$A$2:$A$201,C344)&gt;0,"Y","N"))</f>
        <v/>
      </c>
      <c r="G344" s="17">
        <f>IF(OR(C344="",AND(LEFT(C344,6)="SAMPLE",Config!$B$19&lt;&gt;"Y")),"",IF(IFERROR(INDEX(Lists!$J$2:$J$15,MATCH(D344,Lists!$I$2:$I$15,0)),-1)=-1,"status '"&amp;D344&amp;"' is not a CONTRACTS status",IF(AND(D344="signed",COUNTIF(signed_offices!$W$2:$W$51,C344)=0),"status signed but no signed_offices row"&amp;IF(F344="N"," and no tracker row",""),IF(AND(IFERROR(INDEX(Lists!$J$2:$J$15,MATCH(D344,Lists!$I$2:$I$15,0)),-1)&gt;=6,F344="N"),"status "&amp;D344&amp;" but no tracker row",IF(AND(E344="Y",D344&lt;&gt;"do_not_contact"),"do_not_contact = Y but status is "&amp;D344,IF(AND(D344="do_not_contact",E344&lt;&gt;"Y"),"status do_not_contact but do_not_contact is not Y",""))))))</f>
        <v/>
      </c>
      <c r="I344" s="17" t="n">
        <v>323</v>
      </c>
      <c r="J344" s="17">
        <f>IFERROR(INDEX(Clay_Brands!$A$2:$FZ$601,I344,$D$5)&amp;"","")</f>
        <v/>
      </c>
      <c r="K344" s="17">
        <f>IFERROR(INDEX(Clay_Brands!$A$2:$FZ$601,I344,$D$7)&amp;"","")</f>
        <v/>
      </c>
      <c r="L344" s="17">
        <f>IFERROR(INDEX(Clay_Brands!$A$2:$FZ$601,I344,$D$8)&amp;"","")</f>
        <v/>
      </c>
      <c r="M344" s="17">
        <f>IF(J344="","",IF(COUNTIF(Brand_Log!$A$2:$A$201,J344)&gt;0,"Y","N"))</f>
        <v/>
      </c>
      <c r="N344" s="17">
        <f>IF(OR(J344="",AND(LEFT(J344,6)="SAMPLE",Config!$B$19&lt;&gt;"Y")),"",IF(IFERROR(INDEX(Lists!$J$2:$J$15,MATCH(K344,Lists!$I$2:$I$15,0)),-1)=-1,"status '"&amp;K344&amp;"' is not a CONTRACTS status",IF(AND(K344="paid",COUNTIF(paid_brands!$AC$2:$AC$51,J344)=0),"status paid but no paid_brands row"&amp;IF(M344="N"," and no tracker row",""),IF(AND(IFERROR(INDEX(Lists!$J$2:$J$15,MATCH(K344,Lists!$I$2:$I$15,0)),-1)&gt;=6,M344="N"),"status "&amp;K344&amp;" but no tracker row",IF(AND(L344="Y",K344&lt;&gt;"do_not_contact"),"do_not_contact = Y but status is "&amp;K344,IF(AND(K344="do_not_contact",L344&lt;&gt;"Y"),"status do_not_contact but do_not_contact is not Y",""))))))</f>
        <v/>
      </c>
    </row>
    <row r="345">
      <c r="B345" s="17" t="n">
        <v>324</v>
      </c>
      <c r="C345" s="17">
        <f>IFERROR(INDEX(Clay_Offices!$A$2:$FZ$601,B345,$C$5)&amp;"","")</f>
        <v/>
      </c>
      <c r="D345" s="17">
        <f>IFERROR(INDEX(Clay_Offices!$A$2:$FZ$601,B345,$C$7)&amp;"","")</f>
        <v/>
      </c>
      <c r="E345" s="17">
        <f>IFERROR(INDEX(Clay_Offices!$A$2:$FZ$601,B345,$C$8)&amp;"","")</f>
        <v/>
      </c>
      <c r="F345" s="17">
        <f>IF(C345="","",IF(COUNTIF(Office_Log!$A$2:$A$201,C345)&gt;0,"Y","N"))</f>
        <v/>
      </c>
      <c r="G345" s="17">
        <f>IF(OR(C345="",AND(LEFT(C345,6)="SAMPLE",Config!$B$19&lt;&gt;"Y")),"",IF(IFERROR(INDEX(Lists!$J$2:$J$15,MATCH(D345,Lists!$I$2:$I$15,0)),-1)=-1,"status '"&amp;D345&amp;"' is not a CONTRACTS status",IF(AND(D345="signed",COUNTIF(signed_offices!$W$2:$W$51,C345)=0),"status signed but no signed_offices row"&amp;IF(F345="N"," and no tracker row",""),IF(AND(IFERROR(INDEX(Lists!$J$2:$J$15,MATCH(D345,Lists!$I$2:$I$15,0)),-1)&gt;=6,F345="N"),"status "&amp;D345&amp;" but no tracker row",IF(AND(E345="Y",D345&lt;&gt;"do_not_contact"),"do_not_contact = Y but status is "&amp;D345,IF(AND(D345="do_not_contact",E345&lt;&gt;"Y"),"status do_not_contact but do_not_contact is not Y",""))))))</f>
        <v/>
      </c>
      <c r="I345" s="17" t="n">
        <v>324</v>
      </c>
      <c r="J345" s="17">
        <f>IFERROR(INDEX(Clay_Brands!$A$2:$FZ$601,I345,$D$5)&amp;"","")</f>
        <v/>
      </c>
      <c r="K345" s="17">
        <f>IFERROR(INDEX(Clay_Brands!$A$2:$FZ$601,I345,$D$7)&amp;"","")</f>
        <v/>
      </c>
      <c r="L345" s="17">
        <f>IFERROR(INDEX(Clay_Brands!$A$2:$FZ$601,I345,$D$8)&amp;"","")</f>
        <v/>
      </c>
      <c r="M345" s="17">
        <f>IF(J345="","",IF(COUNTIF(Brand_Log!$A$2:$A$201,J345)&gt;0,"Y","N"))</f>
        <v/>
      </c>
      <c r="N345" s="17">
        <f>IF(OR(J345="",AND(LEFT(J345,6)="SAMPLE",Config!$B$19&lt;&gt;"Y")),"",IF(IFERROR(INDEX(Lists!$J$2:$J$15,MATCH(K345,Lists!$I$2:$I$15,0)),-1)=-1,"status '"&amp;K345&amp;"' is not a CONTRACTS status",IF(AND(K345="paid",COUNTIF(paid_brands!$AC$2:$AC$51,J345)=0),"status paid but no paid_brands row"&amp;IF(M345="N"," and no tracker row",""),IF(AND(IFERROR(INDEX(Lists!$J$2:$J$15,MATCH(K345,Lists!$I$2:$I$15,0)),-1)&gt;=6,M345="N"),"status "&amp;K345&amp;" but no tracker row",IF(AND(L345="Y",K345&lt;&gt;"do_not_contact"),"do_not_contact = Y but status is "&amp;K345,IF(AND(K345="do_not_contact",L345&lt;&gt;"Y"),"status do_not_contact but do_not_contact is not Y",""))))))</f>
        <v/>
      </c>
    </row>
    <row r="346">
      <c r="B346" s="17" t="n">
        <v>325</v>
      </c>
      <c r="C346" s="17">
        <f>IFERROR(INDEX(Clay_Offices!$A$2:$FZ$601,B346,$C$5)&amp;"","")</f>
        <v/>
      </c>
      <c r="D346" s="17">
        <f>IFERROR(INDEX(Clay_Offices!$A$2:$FZ$601,B346,$C$7)&amp;"","")</f>
        <v/>
      </c>
      <c r="E346" s="17">
        <f>IFERROR(INDEX(Clay_Offices!$A$2:$FZ$601,B346,$C$8)&amp;"","")</f>
        <v/>
      </c>
      <c r="F346" s="17">
        <f>IF(C346="","",IF(COUNTIF(Office_Log!$A$2:$A$201,C346)&gt;0,"Y","N"))</f>
        <v/>
      </c>
      <c r="G346" s="17">
        <f>IF(OR(C346="",AND(LEFT(C346,6)="SAMPLE",Config!$B$19&lt;&gt;"Y")),"",IF(IFERROR(INDEX(Lists!$J$2:$J$15,MATCH(D346,Lists!$I$2:$I$15,0)),-1)=-1,"status '"&amp;D346&amp;"' is not a CONTRACTS status",IF(AND(D346="signed",COUNTIF(signed_offices!$W$2:$W$51,C346)=0),"status signed but no signed_offices row"&amp;IF(F346="N"," and no tracker row",""),IF(AND(IFERROR(INDEX(Lists!$J$2:$J$15,MATCH(D346,Lists!$I$2:$I$15,0)),-1)&gt;=6,F346="N"),"status "&amp;D346&amp;" but no tracker row",IF(AND(E346="Y",D346&lt;&gt;"do_not_contact"),"do_not_contact = Y but status is "&amp;D346,IF(AND(D346="do_not_contact",E346&lt;&gt;"Y"),"status do_not_contact but do_not_contact is not Y",""))))))</f>
        <v/>
      </c>
      <c r="I346" s="17" t="n">
        <v>325</v>
      </c>
      <c r="J346" s="17">
        <f>IFERROR(INDEX(Clay_Brands!$A$2:$FZ$601,I346,$D$5)&amp;"","")</f>
        <v/>
      </c>
      <c r="K346" s="17">
        <f>IFERROR(INDEX(Clay_Brands!$A$2:$FZ$601,I346,$D$7)&amp;"","")</f>
        <v/>
      </c>
      <c r="L346" s="17">
        <f>IFERROR(INDEX(Clay_Brands!$A$2:$FZ$601,I346,$D$8)&amp;"","")</f>
        <v/>
      </c>
      <c r="M346" s="17">
        <f>IF(J346="","",IF(COUNTIF(Brand_Log!$A$2:$A$201,J346)&gt;0,"Y","N"))</f>
        <v/>
      </c>
      <c r="N346" s="17">
        <f>IF(OR(J346="",AND(LEFT(J346,6)="SAMPLE",Config!$B$19&lt;&gt;"Y")),"",IF(IFERROR(INDEX(Lists!$J$2:$J$15,MATCH(K346,Lists!$I$2:$I$15,0)),-1)=-1,"status '"&amp;K346&amp;"' is not a CONTRACTS status",IF(AND(K346="paid",COUNTIF(paid_brands!$AC$2:$AC$51,J346)=0),"status paid but no paid_brands row"&amp;IF(M346="N"," and no tracker row",""),IF(AND(IFERROR(INDEX(Lists!$J$2:$J$15,MATCH(K346,Lists!$I$2:$I$15,0)),-1)&gt;=6,M346="N"),"status "&amp;K346&amp;" but no tracker row",IF(AND(L346="Y",K346&lt;&gt;"do_not_contact"),"do_not_contact = Y but status is "&amp;K346,IF(AND(K346="do_not_contact",L346&lt;&gt;"Y"),"status do_not_contact but do_not_contact is not Y",""))))))</f>
        <v/>
      </c>
    </row>
    <row r="347">
      <c r="B347" s="17" t="n">
        <v>326</v>
      </c>
      <c r="C347" s="17">
        <f>IFERROR(INDEX(Clay_Offices!$A$2:$FZ$601,B347,$C$5)&amp;"","")</f>
        <v/>
      </c>
      <c r="D347" s="17">
        <f>IFERROR(INDEX(Clay_Offices!$A$2:$FZ$601,B347,$C$7)&amp;"","")</f>
        <v/>
      </c>
      <c r="E347" s="17">
        <f>IFERROR(INDEX(Clay_Offices!$A$2:$FZ$601,B347,$C$8)&amp;"","")</f>
        <v/>
      </c>
      <c r="F347" s="17">
        <f>IF(C347="","",IF(COUNTIF(Office_Log!$A$2:$A$201,C347)&gt;0,"Y","N"))</f>
        <v/>
      </c>
      <c r="G347" s="17">
        <f>IF(OR(C347="",AND(LEFT(C347,6)="SAMPLE",Config!$B$19&lt;&gt;"Y")),"",IF(IFERROR(INDEX(Lists!$J$2:$J$15,MATCH(D347,Lists!$I$2:$I$15,0)),-1)=-1,"status '"&amp;D347&amp;"' is not a CONTRACTS status",IF(AND(D347="signed",COUNTIF(signed_offices!$W$2:$W$51,C347)=0),"status signed but no signed_offices row"&amp;IF(F347="N"," and no tracker row",""),IF(AND(IFERROR(INDEX(Lists!$J$2:$J$15,MATCH(D347,Lists!$I$2:$I$15,0)),-1)&gt;=6,F347="N"),"status "&amp;D347&amp;" but no tracker row",IF(AND(E347="Y",D347&lt;&gt;"do_not_contact"),"do_not_contact = Y but status is "&amp;D347,IF(AND(D347="do_not_contact",E347&lt;&gt;"Y"),"status do_not_contact but do_not_contact is not Y",""))))))</f>
        <v/>
      </c>
      <c r="I347" s="17" t="n">
        <v>326</v>
      </c>
      <c r="J347" s="17">
        <f>IFERROR(INDEX(Clay_Brands!$A$2:$FZ$601,I347,$D$5)&amp;"","")</f>
        <v/>
      </c>
      <c r="K347" s="17">
        <f>IFERROR(INDEX(Clay_Brands!$A$2:$FZ$601,I347,$D$7)&amp;"","")</f>
        <v/>
      </c>
      <c r="L347" s="17">
        <f>IFERROR(INDEX(Clay_Brands!$A$2:$FZ$601,I347,$D$8)&amp;"","")</f>
        <v/>
      </c>
      <c r="M347" s="17">
        <f>IF(J347="","",IF(COUNTIF(Brand_Log!$A$2:$A$201,J347)&gt;0,"Y","N"))</f>
        <v/>
      </c>
      <c r="N347" s="17">
        <f>IF(OR(J347="",AND(LEFT(J347,6)="SAMPLE",Config!$B$19&lt;&gt;"Y")),"",IF(IFERROR(INDEX(Lists!$J$2:$J$15,MATCH(K347,Lists!$I$2:$I$15,0)),-1)=-1,"status '"&amp;K347&amp;"' is not a CONTRACTS status",IF(AND(K347="paid",COUNTIF(paid_brands!$AC$2:$AC$51,J347)=0),"status paid but no paid_brands row"&amp;IF(M347="N"," and no tracker row",""),IF(AND(IFERROR(INDEX(Lists!$J$2:$J$15,MATCH(K347,Lists!$I$2:$I$15,0)),-1)&gt;=6,M347="N"),"status "&amp;K347&amp;" but no tracker row",IF(AND(L347="Y",K347&lt;&gt;"do_not_contact"),"do_not_contact = Y but status is "&amp;K347,IF(AND(K347="do_not_contact",L347&lt;&gt;"Y"),"status do_not_contact but do_not_contact is not Y",""))))))</f>
        <v/>
      </c>
    </row>
    <row r="348">
      <c r="B348" s="17" t="n">
        <v>327</v>
      </c>
      <c r="C348" s="17">
        <f>IFERROR(INDEX(Clay_Offices!$A$2:$FZ$601,B348,$C$5)&amp;"","")</f>
        <v/>
      </c>
      <c r="D348" s="17">
        <f>IFERROR(INDEX(Clay_Offices!$A$2:$FZ$601,B348,$C$7)&amp;"","")</f>
        <v/>
      </c>
      <c r="E348" s="17">
        <f>IFERROR(INDEX(Clay_Offices!$A$2:$FZ$601,B348,$C$8)&amp;"","")</f>
        <v/>
      </c>
      <c r="F348" s="17">
        <f>IF(C348="","",IF(COUNTIF(Office_Log!$A$2:$A$201,C348)&gt;0,"Y","N"))</f>
        <v/>
      </c>
      <c r="G348" s="17">
        <f>IF(OR(C348="",AND(LEFT(C348,6)="SAMPLE",Config!$B$19&lt;&gt;"Y")),"",IF(IFERROR(INDEX(Lists!$J$2:$J$15,MATCH(D348,Lists!$I$2:$I$15,0)),-1)=-1,"status '"&amp;D348&amp;"' is not a CONTRACTS status",IF(AND(D348="signed",COUNTIF(signed_offices!$W$2:$W$51,C348)=0),"status signed but no signed_offices row"&amp;IF(F348="N"," and no tracker row",""),IF(AND(IFERROR(INDEX(Lists!$J$2:$J$15,MATCH(D348,Lists!$I$2:$I$15,0)),-1)&gt;=6,F348="N"),"status "&amp;D348&amp;" but no tracker row",IF(AND(E348="Y",D348&lt;&gt;"do_not_contact"),"do_not_contact = Y but status is "&amp;D348,IF(AND(D348="do_not_contact",E348&lt;&gt;"Y"),"status do_not_contact but do_not_contact is not Y",""))))))</f>
        <v/>
      </c>
      <c r="I348" s="17" t="n">
        <v>327</v>
      </c>
      <c r="J348" s="17">
        <f>IFERROR(INDEX(Clay_Brands!$A$2:$FZ$601,I348,$D$5)&amp;"","")</f>
        <v/>
      </c>
      <c r="K348" s="17">
        <f>IFERROR(INDEX(Clay_Brands!$A$2:$FZ$601,I348,$D$7)&amp;"","")</f>
        <v/>
      </c>
      <c r="L348" s="17">
        <f>IFERROR(INDEX(Clay_Brands!$A$2:$FZ$601,I348,$D$8)&amp;"","")</f>
        <v/>
      </c>
      <c r="M348" s="17">
        <f>IF(J348="","",IF(COUNTIF(Brand_Log!$A$2:$A$201,J348)&gt;0,"Y","N"))</f>
        <v/>
      </c>
      <c r="N348" s="17">
        <f>IF(OR(J348="",AND(LEFT(J348,6)="SAMPLE",Config!$B$19&lt;&gt;"Y")),"",IF(IFERROR(INDEX(Lists!$J$2:$J$15,MATCH(K348,Lists!$I$2:$I$15,0)),-1)=-1,"status '"&amp;K348&amp;"' is not a CONTRACTS status",IF(AND(K348="paid",COUNTIF(paid_brands!$AC$2:$AC$51,J348)=0),"status paid but no paid_brands row"&amp;IF(M348="N"," and no tracker row",""),IF(AND(IFERROR(INDEX(Lists!$J$2:$J$15,MATCH(K348,Lists!$I$2:$I$15,0)),-1)&gt;=6,M348="N"),"status "&amp;K348&amp;" but no tracker row",IF(AND(L348="Y",K348&lt;&gt;"do_not_contact"),"do_not_contact = Y but status is "&amp;K348,IF(AND(K348="do_not_contact",L348&lt;&gt;"Y"),"status do_not_contact but do_not_contact is not Y",""))))))</f>
        <v/>
      </c>
    </row>
    <row r="349">
      <c r="B349" s="17" t="n">
        <v>328</v>
      </c>
      <c r="C349" s="17">
        <f>IFERROR(INDEX(Clay_Offices!$A$2:$FZ$601,B349,$C$5)&amp;"","")</f>
        <v/>
      </c>
      <c r="D349" s="17">
        <f>IFERROR(INDEX(Clay_Offices!$A$2:$FZ$601,B349,$C$7)&amp;"","")</f>
        <v/>
      </c>
      <c r="E349" s="17">
        <f>IFERROR(INDEX(Clay_Offices!$A$2:$FZ$601,B349,$C$8)&amp;"","")</f>
        <v/>
      </c>
      <c r="F349" s="17">
        <f>IF(C349="","",IF(COUNTIF(Office_Log!$A$2:$A$201,C349)&gt;0,"Y","N"))</f>
        <v/>
      </c>
      <c r="G349" s="17">
        <f>IF(OR(C349="",AND(LEFT(C349,6)="SAMPLE",Config!$B$19&lt;&gt;"Y")),"",IF(IFERROR(INDEX(Lists!$J$2:$J$15,MATCH(D349,Lists!$I$2:$I$15,0)),-1)=-1,"status '"&amp;D349&amp;"' is not a CONTRACTS status",IF(AND(D349="signed",COUNTIF(signed_offices!$W$2:$W$51,C349)=0),"status signed but no signed_offices row"&amp;IF(F349="N"," and no tracker row",""),IF(AND(IFERROR(INDEX(Lists!$J$2:$J$15,MATCH(D349,Lists!$I$2:$I$15,0)),-1)&gt;=6,F349="N"),"status "&amp;D349&amp;" but no tracker row",IF(AND(E349="Y",D349&lt;&gt;"do_not_contact"),"do_not_contact = Y but status is "&amp;D349,IF(AND(D349="do_not_contact",E349&lt;&gt;"Y"),"status do_not_contact but do_not_contact is not Y",""))))))</f>
        <v/>
      </c>
      <c r="I349" s="17" t="n">
        <v>328</v>
      </c>
      <c r="J349" s="17">
        <f>IFERROR(INDEX(Clay_Brands!$A$2:$FZ$601,I349,$D$5)&amp;"","")</f>
        <v/>
      </c>
      <c r="K349" s="17">
        <f>IFERROR(INDEX(Clay_Brands!$A$2:$FZ$601,I349,$D$7)&amp;"","")</f>
        <v/>
      </c>
      <c r="L349" s="17">
        <f>IFERROR(INDEX(Clay_Brands!$A$2:$FZ$601,I349,$D$8)&amp;"","")</f>
        <v/>
      </c>
      <c r="M349" s="17">
        <f>IF(J349="","",IF(COUNTIF(Brand_Log!$A$2:$A$201,J349)&gt;0,"Y","N"))</f>
        <v/>
      </c>
      <c r="N349" s="17">
        <f>IF(OR(J349="",AND(LEFT(J349,6)="SAMPLE",Config!$B$19&lt;&gt;"Y")),"",IF(IFERROR(INDEX(Lists!$J$2:$J$15,MATCH(K349,Lists!$I$2:$I$15,0)),-1)=-1,"status '"&amp;K349&amp;"' is not a CONTRACTS status",IF(AND(K349="paid",COUNTIF(paid_brands!$AC$2:$AC$51,J349)=0),"status paid but no paid_brands row"&amp;IF(M349="N"," and no tracker row",""),IF(AND(IFERROR(INDEX(Lists!$J$2:$J$15,MATCH(K349,Lists!$I$2:$I$15,0)),-1)&gt;=6,M349="N"),"status "&amp;K349&amp;" but no tracker row",IF(AND(L349="Y",K349&lt;&gt;"do_not_contact"),"do_not_contact = Y but status is "&amp;K349,IF(AND(K349="do_not_contact",L349&lt;&gt;"Y"),"status do_not_contact but do_not_contact is not Y",""))))))</f>
        <v/>
      </c>
    </row>
    <row r="350">
      <c r="B350" s="17" t="n">
        <v>329</v>
      </c>
      <c r="C350" s="17">
        <f>IFERROR(INDEX(Clay_Offices!$A$2:$FZ$601,B350,$C$5)&amp;"","")</f>
        <v/>
      </c>
      <c r="D350" s="17">
        <f>IFERROR(INDEX(Clay_Offices!$A$2:$FZ$601,B350,$C$7)&amp;"","")</f>
        <v/>
      </c>
      <c r="E350" s="17">
        <f>IFERROR(INDEX(Clay_Offices!$A$2:$FZ$601,B350,$C$8)&amp;"","")</f>
        <v/>
      </c>
      <c r="F350" s="17">
        <f>IF(C350="","",IF(COUNTIF(Office_Log!$A$2:$A$201,C350)&gt;0,"Y","N"))</f>
        <v/>
      </c>
      <c r="G350" s="17">
        <f>IF(OR(C350="",AND(LEFT(C350,6)="SAMPLE",Config!$B$19&lt;&gt;"Y")),"",IF(IFERROR(INDEX(Lists!$J$2:$J$15,MATCH(D350,Lists!$I$2:$I$15,0)),-1)=-1,"status '"&amp;D350&amp;"' is not a CONTRACTS status",IF(AND(D350="signed",COUNTIF(signed_offices!$W$2:$W$51,C350)=0),"status signed but no signed_offices row"&amp;IF(F350="N"," and no tracker row",""),IF(AND(IFERROR(INDEX(Lists!$J$2:$J$15,MATCH(D350,Lists!$I$2:$I$15,0)),-1)&gt;=6,F350="N"),"status "&amp;D350&amp;" but no tracker row",IF(AND(E350="Y",D350&lt;&gt;"do_not_contact"),"do_not_contact = Y but status is "&amp;D350,IF(AND(D350="do_not_contact",E350&lt;&gt;"Y"),"status do_not_contact but do_not_contact is not Y",""))))))</f>
        <v/>
      </c>
      <c r="I350" s="17" t="n">
        <v>329</v>
      </c>
      <c r="J350" s="17">
        <f>IFERROR(INDEX(Clay_Brands!$A$2:$FZ$601,I350,$D$5)&amp;"","")</f>
        <v/>
      </c>
      <c r="K350" s="17">
        <f>IFERROR(INDEX(Clay_Brands!$A$2:$FZ$601,I350,$D$7)&amp;"","")</f>
        <v/>
      </c>
      <c r="L350" s="17">
        <f>IFERROR(INDEX(Clay_Brands!$A$2:$FZ$601,I350,$D$8)&amp;"","")</f>
        <v/>
      </c>
      <c r="M350" s="17">
        <f>IF(J350="","",IF(COUNTIF(Brand_Log!$A$2:$A$201,J350)&gt;0,"Y","N"))</f>
        <v/>
      </c>
      <c r="N350" s="17">
        <f>IF(OR(J350="",AND(LEFT(J350,6)="SAMPLE",Config!$B$19&lt;&gt;"Y")),"",IF(IFERROR(INDEX(Lists!$J$2:$J$15,MATCH(K350,Lists!$I$2:$I$15,0)),-1)=-1,"status '"&amp;K350&amp;"' is not a CONTRACTS status",IF(AND(K350="paid",COUNTIF(paid_brands!$AC$2:$AC$51,J350)=0),"status paid but no paid_brands row"&amp;IF(M350="N"," and no tracker row",""),IF(AND(IFERROR(INDEX(Lists!$J$2:$J$15,MATCH(K350,Lists!$I$2:$I$15,0)),-1)&gt;=6,M350="N"),"status "&amp;K350&amp;" but no tracker row",IF(AND(L350="Y",K350&lt;&gt;"do_not_contact"),"do_not_contact = Y but status is "&amp;K350,IF(AND(K350="do_not_contact",L350&lt;&gt;"Y"),"status do_not_contact but do_not_contact is not Y",""))))))</f>
        <v/>
      </c>
    </row>
    <row r="351">
      <c r="B351" s="17" t="n">
        <v>330</v>
      </c>
      <c r="C351" s="17">
        <f>IFERROR(INDEX(Clay_Offices!$A$2:$FZ$601,B351,$C$5)&amp;"","")</f>
        <v/>
      </c>
      <c r="D351" s="17">
        <f>IFERROR(INDEX(Clay_Offices!$A$2:$FZ$601,B351,$C$7)&amp;"","")</f>
        <v/>
      </c>
      <c r="E351" s="17">
        <f>IFERROR(INDEX(Clay_Offices!$A$2:$FZ$601,B351,$C$8)&amp;"","")</f>
        <v/>
      </c>
      <c r="F351" s="17">
        <f>IF(C351="","",IF(COUNTIF(Office_Log!$A$2:$A$201,C351)&gt;0,"Y","N"))</f>
        <v/>
      </c>
      <c r="G351" s="17">
        <f>IF(OR(C351="",AND(LEFT(C351,6)="SAMPLE",Config!$B$19&lt;&gt;"Y")),"",IF(IFERROR(INDEX(Lists!$J$2:$J$15,MATCH(D351,Lists!$I$2:$I$15,0)),-1)=-1,"status '"&amp;D351&amp;"' is not a CONTRACTS status",IF(AND(D351="signed",COUNTIF(signed_offices!$W$2:$W$51,C351)=0),"status signed but no signed_offices row"&amp;IF(F351="N"," and no tracker row",""),IF(AND(IFERROR(INDEX(Lists!$J$2:$J$15,MATCH(D351,Lists!$I$2:$I$15,0)),-1)&gt;=6,F351="N"),"status "&amp;D351&amp;" but no tracker row",IF(AND(E351="Y",D351&lt;&gt;"do_not_contact"),"do_not_contact = Y but status is "&amp;D351,IF(AND(D351="do_not_contact",E351&lt;&gt;"Y"),"status do_not_contact but do_not_contact is not Y",""))))))</f>
        <v/>
      </c>
      <c r="I351" s="17" t="n">
        <v>330</v>
      </c>
      <c r="J351" s="17">
        <f>IFERROR(INDEX(Clay_Brands!$A$2:$FZ$601,I351,$D$5)&amp;"","")</f>
        <v/>
      </c>
      <c r="K351" s="17">
        <f>IFERROR(INDEX(Clay_Brands!$A$2:$FZ$601,I351,$D$7)&amp;"","")</f>
        <v/>
      </c>
      <c r="L351" s="17">
        <f>IFERROR(INDEX(Clay_Brands!$A$2:$FZ$601,I351,$D$8)&amp;"","")</f>
        <v/>
      </c>
      <c r="M351" s="17">
        <f>IF(J351="","",IF(COUNTIF(Brand_Log!$A$2:$A$201,J351)&gt;0,"Y","N"))</f>
        <v/>
      </c>
      <c r="N351" s="17">
        <f>IF(OR(J351="",AND(LEFT(J351,6)="SAMPLE",Config!$B$19&lt;&gt;"Y")),"",IF(IFERROR(INDEX(Lists!$J$2:$J$15,MATCH(K351,Lists!$I$2:$I$15,0)),-1)=-1,"status '"&amp;K351&amp;"' is not a CONTRACTS status",IF(AND(K351="paid",COUNTIF(paid_brands!$AC$2:$AC$51,J351)=0),"status paid but no paid_brands row"&amp;IF(M351="N"," and no tracker row",""),IF(AND(IFERROR(INDEX(Lists!$J$2:$J$15,MATCH(K351,Lists!$I$2:$I$15,0)),-1)&gt;=6,M351="N"),"status "&amp;K351&amp;" but no tracker row",IF(AND(L351="Y",K351&lt;&gt;"do_not_contact"),"do_not_contact = Y but status is "&amp;K351,IF(AND(K351="do_not_contact",L351&lt;&gt;"Y"),"status do_not_contact but do_not_contact is not Y",""))))))</f>
        <v/>
      </c>
    </row>
    <row r="352">
      <c r="B352" s="17" t="n">
        <v>331</v>
      </c>
      <c r="C352" s="17">
        <f>IFERROR(INDEX(Clay_Offices!$A$2:$FZ$601,B352,$C$5)&amp;"","")</f>
        <v/>
      </c>
      <c r="D352" s="17">
        <f>IFERROR(INDEX(Clay_Offices!$A$2:$FZ$601,B352,$C$7)&amp;"","")</f>
        <v/>
      </c>
      <c r="E352" s="17">
        <f>IFERROR(INDEX(Clay_Offices!$A$2:$FZ$601,B352,$C$8)&amp;"","")</f>
        <v/>
      </c>
      <c r="F352" s="17">
        <f>IF(C352="","",IF(COUNTIF(Office_Log!$A$2:$A$201,C352)&gt;0,"Y","N"))</f>
        <v/>
      </c>
      <c r="G352" s="17">
        <f>IF(OR(C352="",AND(LEFT(C352,6)="SAMPLE",Config!$B$19&lt;&gt;"Y")),"",IF(IFERROR(INDEX(Lists!$J$2:$J$15,MATCH(D352,Lists!$I$2:$I$15,0)),-1)=-1,"status '"&amp;D352&amp;"' is not a CONTRACTS status",IF(AND(D352="signed",COUNTIF(signed_offices!$W$2:$W$51,C352)=0),"status signed but no signed_offices row"&amp;IF(F352="N"," and no tracker row",""),IF(AND(IFERROR(INDEX(Lists!$J$2:$J$15,MATCH(D352,Lists!$I$2:$I$15,0)),-1)&gt;=6,F352="N"),"status "&amp;D352&amp;" but no tracker row",IF(AND(E352="Y",D352&lt;&gt;"do_not_contact"),"do_not_contact = Y but status is "&amp;D352,IF(AND(D352="do_not_contact",E352&lt;&gt;"Y"),"status do_not_contact but do_not_contact is not Y",""))))))</f>
        <v/>
      </c>
      <c r="I352" s="17" t="n">
        <v>331</v>
      </c>
      <c r="J352" s="17">
        <f>IFERROR(INDEX(Clay_Brands!$A$2:$FZ$601,I352,$D$5)&amp;"","")</f>
        <v/>
      </c>
      <c r="K352" s="17">
        <f>IFERROR(INDEX(Clay_Brands!$A$2:$FZ$601,I352,$D$7)&amp;"","")</f>
        <v/>
      </c>
      <c r="L352" s="17">
        <f>IFERROR(INDEX(Clay_Brands!$A$2:$FZ$601,I352,$D$8)&amp;"","")</f>
        <v/>
      </c>
      <c r="M352" s="17">
        <f>IF(J352="","",IF(COUNTIF(Brand_Log!$A$2:$A$201,J352)&gt;0,"Y","N"))</f>
        <v/>
      </c>
      <c r="N352" s="17">
        <f>IF(OR(J352="",AND(LEFT(J352,6)="SAMPLE",Config!$B$19&lt;&gt;"Y")),"",IF(IFERROR(INDEX(Lists!$J$2:$J$15,MATCH(K352,Lists!$I$2:$I$15,0)),-1)=-1,"status '"&amp;K352&amp;"' is not a CONTRACTS status",IF(AND(K352="paid",COUNTIF(paid_brands!$AC$2:$AC$51,J352)=0),"status paid but no paid_brands row"&amp;IF(M352="N"," and no tracker row",""),IF(AND(IFERROR(INDEX(Lists!$J$2:$J$15,MATCH(K352,Lists!$I$2:$I$15,0)),-1)&gt;=6,M352="N"),"status "&amp;K352&amp;" but no tracker row",IF(AND(L352="Y",K352&lt;&gt;"do_not_contact"),"do_not_contact = Y but status is "&amp;K352,IF(AND(K352="do_not_contact",L352&lt;&gt;"Y"),"status do_not_contact but do_not_contact is not Y",""))))))</f>
        <v/>
      </c>
    </row>
    <row r="353">
      <c r="B353" s="17" t="n">
        <v>332</v>
      </c>
      <c r="C353" s="17">
        <f>IFERROR(INDEX(Clay_Offices!$A$2:$FZ$601,B353,$C$5)&amp;"","")</f>
        <v/>
      </c>
      <c r="D353" s="17">
        <f>IFERROR(INDEX(Clay_Offices!$A$2:$FZ$601,B353,$C$7)&amp;"","")</f>
        <v/>
      </c>
      <c r="E353" s="17">
        <f>IFERROR(INDEX(Clay_Offices!$A$2:$FZ$601,B353,$C$8)&amp;"","")</f>
        <v/>
      </c>
      <c r="F353" s="17">
        <f>IF(C353="","",IF(COUNTIF(Office_Log!$A$2:$A$201,C353)&gt;0,"Y","N"))</f>
        <v/>
      </c>
      <c r="G353" s="17">
        <f>IF(OR(C353="",AND(LEFT(C353,6)="SAMPLE",Config!$B$19&lt;&gt;"Y")),"",IF(IFERROR(INDEX(Lists!$J$2:$J$15,MATCH(D353,Lists!$I$2:$I$15,0)),-1)=-1,"status '"&amp;D353&amp;"' is not a CONTRACTS status",IF(AND(D353="signed",COUNTIF(signed_offices!$W$2:$W$51,C353)=0),"status signed but no signed_offices row"&amp;IF(F353="N"," and no tracker row",""),IF(AND(IFERROR(INDEX(Lists!$J$2:$J$15,MATCH(D353,Lists!$I$2:$I$15,0)),-1)&gt;=6,F353="N"),"status "&amp;D353&amp;" but no tracker row",IF(AND(E353="Y",D353&lt;&gt;"do_not_contact"),"do_not_contact = Y but status is "&amp;D353,IF(AND(D353="do_not_contact",E353&lt;&gt;"Y"),"status do_not_contact but do_not_contact is not Y",""))))))</f>
        <v/>
      </c>
      <c r="I353" s="17" t="n">
        <v>332</v>
      </c>
      <c r="J353" s="17">
        <f>IFERROR(INDEX(Clay_Brands!$A$2:$FZ$601,I353,$D$5)&amp;"","")</f>
        <v/>
      </c>
      <c r="K353" s="17">
        <f>IFERROR(INDEX(Clay_Brands!$A$2:$FZ$601,I353,$D$7)&amp;"","")</f>
        <v/>
      </c>
      <c r="L353" s="17">
        <f>IFERROR(INDEX(Clay_Brands!$A$2:$FZ$601,I353,$D$8)&amp;"","")</f>
        <v/>
      </c>
      <c r="M353" s="17">
        <f>IF(J353="","",IF(COUNTIF(Brand_Log!$A$2:$A$201,J353)&gt;0,"Y","N"))</f>
        <v/>
      </c>
      <c r="N353" s="17">
        <f>IF(OR(J353="",AND(LEFT(J353,6)="SAMPLE",Config!$B$19&lt;&gt;"Y")),"",IF(IFERROR(INDEX(Lists!$J$2:$J$15,MATCH(K353,Lists!$I$2:$I$15,0)),-1)=-1,"status '"&amp;K353&amp;"' is not a CONTRACTS status",IF(AND(K353="paid",COUNTIF(paid_brands!$AC$2:$AC$51,J353)=0),"status paid but no paid_brands row"&amp;IF(M353="N"," and no tracker row",""),IF(AND(IFERROR(INDEX(Lists!$J$2:$J$15,MATCH(K353,Lists!$I$2:$I$15,0)),-1)&gt;=6,M353="N"),"status "&amp;K353&amp;" but no tracker row",IF(AND(L353="Y",K353&lt;&gt;"do_not_contact"),"do_not_contact = Y but status is "&amp;K353,IF(AND(K353="do_not_contact",L353&lt;&gt;"Y"),"status do_not_contact but do_not_contact is not Y",""))))))</f>
        <v/>
      </c>
    </row>
    <row r="354">
      <c r="B354" s="17" t="n">
        <v>333</v>
      </c>
      <c r="C354" s="17">
        <f>IFERROR(INDEX(Clay_Offices!$A$2:$FZ$601,B354,$C$5)&amp;"","")</f>
        <v/>
      </c>
      <c r="D354" s="17">
        <f>IFERROR(INDEX(Clay_Offices!$A$2:$FZ$601,B354,$C$7)&amp;"","")</f>
        <v/>
      </c>
      <c r="E354" s="17">
        <f>IFERROR(INDEX(Clay_Offices!$A$2:$FZ$601,B354,$C$8)&amp;"","")</f>
        <v/>
      </c>
      <c r="F354" s="17">
        <f>IF(C354="","",IF(COUNTIF(Office_Log!$A$2:$A$201,C354)&gt;0,"Y","N"))</f>
        <v/>
      </c>
      <c r="G354" s="17">
        <f>IF(OR(C354="",AND(LEFT(C354,6)="SAMPLE",Config!$B$19&lt;&gt;"Y")),"",IF(IFERROR(INDEX(Lists!$J$2:$J$15,MATCH(D354,Lists!$I$2:$I$15,0)),-1)=-1,"status '"&amp;D354&amp;"' is not a CONTRACTS status",IF(AND(D354="signed",COUNTIF(signed_offices!$W$2:$W$51,C354)=0),"status signed but no signed_offices row"&amp;IF(F354="N"," and no tracker row",""),IF(AND(IFERROR(INDEX(Lists!$J$2:$J$15,MATCH(D354,Lists!$I$2:$I$15,0)),-1)&gt;=6,F354="N"),"status "&amp;D354&amp;" but no tracker row",IF(AND(E354="Y",D354&lt;&gt;"do_not_contact"),"do_not_contact = Y but status is "&amp;D354,IF(AND(D354="do_not_contact",E354&lt;&gt;"Y"),"status do_not_contact but do_not_contact is not Y",""))))))</f>
        <v/>
      </c>
      <c r="I354" s="17" t="n">
        <v>333</v>
      </c>
      <c r="J354" s="17">
        <f>IFERROR(INDEX(Clay_Brands!$A$2:$FZ$601,I354,$D$5)&amp;"","")</f>
        <v/>
      </c>
      <c r="K354" s="17">
        <f>IFERROR(INDEX(Clay_Brands!$A$2:$FZ$601,I354,$D$7)&amp;"","")</f>
        <v/>
      </c>
      <c r="L354" s="17">
        <f>IFERROR(INDEX(Clay_Brands!$A$2:$FZ$601,I354,$D$8)&amp;"","")</f>
        <v/>
      </c>
      <c r="M354" s="17">
        <f>IF(J354="","",IF(COUNTIF(Brand_Log!$A$2:$A$201,J354)&gt;0,"Y","N"))</f>
        <v/>
      </c>
      <c r="N354" s="17">
        <f>IF(OR(J354="",AND(LEFT(J354,6)="SAMPLE",Config!$B$19&lt;&gt;"Y")),"",IF(IFERROR(INDEX(Lists!$J$2:$J$15,MATCH(K354,Lists!$I$2:$I$15,0)),-1)=-1,"status '"&amp;K354&amp;"' is not a CONTRACTS status",IF(AND(K354="paid",COUNTIF(paid_brands!$AC$2:$AC$51,J354)=0),"status paid but no paid_brands row"&amp;IF(M354="N"," and no tracker row",""),IF(AND(IFERROR(INDEX(Lists!$J$2:$J$15,MATCH(K354,Lists!$I$2:$I$15,0)),-1)&gt;=6,M354="N"),"status "&amp;K354&amp;" but no tracker row",IF(AND(L354="Y",K354&lt;&gt;"do_not_contact"),"do_not_contact = Y but status is "&amp;K354,IF(AND(K354="do_not_contact",L354&lt;&gt;"Y"),"status do_not_contact but do_not_contact is not Y",""))))))</f>
        <v/>
      </c>
    </row>
    <row r="355">
      <c r="B355" s="17" t="n">
        <v>334</v>
      </c>
      <c r="C355" s="17">
        <f>IFERROR(INDEX(Clay_Offices!$A$2:$FZ$601,B355,$C$5)&amp;"","")</f>
        <v/>
      </c>
      <c r="D355" s="17">
        <f>IFERROR(INDEX(Clay_Offices!$A$2:$FZ$601,B355,$C$7)&amp;"","")</f>
        <v/>
      </c>
      <c r="E355" s="17">
        <f>IFERROR(INDEX(Clay_Offices!$A$2:$FZ$601,B355,$C$8)&amp;"","")</f>
        <v/>
      </c>
      <c r="F355" s="17">
        <f>IF(C355="","",IF(COUNTIF(Office_Log!$A$2:$A$201,C355)&gt;0,"Y","N"))</f>
        <v/>
      </c>
      <c r="G355" s="17">
        <f>IF(OR(C355="",AND(LEFT(C355,6)="SAMPLE",Config!$B$19&lt;&gt;"Y")),"",IF(IFERROR(INDEX(Lists!$J$2:$J$15,MATCH(D355,Lists!$I$2:$I$15,0)),-1)=-1,"status '"&amp;D355&amp;"' is not a CONTRACTS status",IF(AND(D355="signed",COUNTIF(signed_offices!$W$2:$W$51,C355)=0),"status signed but no signed_offices row"&amp;IF(F355="N"," and no tracker row",""),IF(AND(IFERROR(INDEX(Lists!$J$2:$J$15,MATCH(D355,Lists!$I$2:$I$15,0)),-1)&gt;=6,F355="N"),"status "&amp;D355&amp;" but no tracker row",IF(AND(E355="Y",D355&lt;&gt;"do_not_contact"),"do_not_contact = Y but status is "&amp;D355,IF(AND(D355="do_not_contact",E355&lt;&gt;"Y"),"status do_not_contact but do_not_contact is not Y",""))))))</f>
        <v/>
      </c>
      <c r="I355" s="17" t="n">
        <v>334</v>
      </c>
      <c r="J355" s="17">
        <f>IFERROR(INDEX(Clay_Brands!$A$2:$FZ$601,I355,$D$5)&amp;"","")</f>
        <v/>
      </c>
      <c r="K355" s="17">
        <f>IFERROR(INDEX(Clay_Brands!$A$2:$FZ$601,I355,$D$7)&amp;"","")</f>
        <v/>
      </c>
      <c r="L355" s="17">
        <f>IFERROR(INDEX(Clay_Brands!$A$2:$FZ$601,I355,$D$8)&amp;"","")</f>
        <v/>
      </c>
      <c r="M355" s="17">
        <f>IF(J355="","",IF(COUNTIF(Brand_Log!$A$2:$A$201,J355)&gt;0,"Y","N"))</f>
        <v/>
      </c>
      <c r="N355" s="17">
        <f>IF(OR(J355="",AND(LEFT(J355,6)="SAMPLE",Config!$B$19&lt;&gt;"Y")),"",IF(IFERROR(INDEX(Lists!$J$2:$J$15,MATCH(K355,Lists!$I$2:$I$15,0)),-1)=-1,"status '"&amp;K355&amp;"' is not a CONTRACTS status",IF(AND(K355="paid",COUNTIF(paid_brands!$AC$2:$AC$51,J355)=0),"status paid but no paid_brands row"&amp;IF(M355="N"," and no tracker row",""),IF(AND(IFERROR(INDEX(Lists!$J$2:$J$15,MATCH(K355,Lists!$I$2:$I$15,0)),-1)&gt;=6,M355="N"),"status "&amp;K355&amp;" but no tracker row",IF(AND(L355="Y",K355&lt;&gt;"do_not_contact"),"do_not_contact = Y but status is "&amp;K355,IF(AND(K355="do_not_contact",L355&lt;&gt;"Y"),"status do_not_contact but do_not_contact is not Y",""))))))</f>
        <v/>
      </c>
    </row>
    <row r="356">
      <c r="B356" s="17" t="n">
        <v>335</v>
      </c>
      <c r="C356" s="17">
        <f>IFERROR(INDEX(Clay_Offices!$A$2:$FZ$601,B356,$C$5)&amp;"","")</f>
        <v/>
      </c>
      <c r="D356" s="17">
        <f>IFERROR(INDEX(Clay_Offices!$A$2:$FZ$601,B356,$C$7)&amp;"","")</f>
        <v/>
      </c>
      <c r="E356" s="17">
        <f>IFERROR(INDEX(Clay_Offices!$A$2:$FZ$601,B356,$C$8)&amp;"","")</f>
        <v/>
      </c>
      <c r="F356" s="17">
        <f>IF(C356="","",IF(COUNTIF(Office_Log!$A$2:$A$201,C356)&gt;0,"Y","N"))</f>
        <v/>
      </c>
      <c r="G356" s="17">
        <f>IF(OR(C356="",AND(LEFT(C356,6)="SAMPLE",Config!$B$19&lt;&gt;"Y")),"",IF(IFERROR(INDEX(Lists!$J$2:$J$15,MATCH(D356,Lists!$I$2:$I$15,0)),-1)=-1,"status '"&amp;D356&amp;"' is not a CONTRACTS status",IF(AND(D356="signed",COUNTIF(signed_offices!$W$2:$W$51,C356)=0),"status signed but no signed_offices row"&amp;IF(F356="N"," and no tracker row",""),IF(AND(IFERROR(INDEX(Lists!$J$2:$J$15,MATCH(D356,Lists!$I$2:$I$15,0)),-1)&gt;=6,F356="N"),"status "&amp;D356&amp;" but no tracker row",IF(AND(E356="Y",D356&lt;&gt;"do_not_contact"),"do_not_contact = Y but status is "&amp;D356,IF(AND(D356="do_not_contact",E356&lt;&gt;"Y"),"status do_not_contact but do_not_contact is not Y",""))))))</f>
        <v/>
      </c>
      <c r="I356" s="17" t="n">
        <v>335</v>
      </c>
      <c r="J356" s="17">
        <f>IFERROR(INDEX(Clay_Brands!$A$2:$FZ$601,I356,$D$5)&amp;"","")</f>
        <v/>
      </c>
      <c r="K356" s="17">
        <f>IFERROR(INDEX(Clay_Brands!$A$2:$FZ$601,I356,$D$7)&amp;"","")</f>
        <v/>
      </c>
      <c r="L356" s="17">
        <f>IFERROR(INDEX(Clay_Brands!$A$2:$FZ$601,I356,$D$8)&amp;"","")</f>
        <v/>
      </c>
      <c r="M356" s="17">
        <f>IF(J356="","",IF(COUNTIF(Brand_Log!$A$2:$A$201,J356)&gt;0,"Y","N"))</f>
        <v/>
      </c>
      <c r="N356" s="17">
        <f>IF(OR(J356="",AND(LEFT(J356,6)="SAMPLE",Config!$B$19&lt;&gt;"Y")),"",IF(IFERROR(INDEX(Lists!$J$2:$J$15,MATCH(K356,Lists!$I$2:$I$15,0)),-1)=-1,"status '"&amp;K356&amp;"' is not a CONTRACTS status",IF(AND(K356="paid",COUNTIF(paid_brands!$AC$2:$AC$51,J356)=0),"status paid but no paid_brands row"&amp;IF(M356="N"," and no tracker row",""),IF(AND(IFERROR(INDEX(Lists!$J$2:$J$15,MATCH(K356,Lists!$I$2:$I$15,0)),-1)&gt;=6,M356="N"),"status "&amp;K356&amp;" but no tracker row",IF(AND(L356="Y",K356&lt;&gt;"do_not_contact"),"do_not_contact = Y but status is "&amp;K356,IF(AND(K356="do_not_contact",L356&lt;&gt;"Y"),"status do_not_contact but do_not_contact is not Y",""))))))</f>
        <v/>
      </c>
    </row>
    <row r="357">
      <c r="B357" s="17" t="n">
        <v>336</v>
      </c>
      <c r="C357" s="17">
        <f>IFERROR(INDEX(Clay_Offices!$A$2:$FZ$601,B357,$C$5)&amp;"","")</f>
        <v/>
      </c>
      <c r="D357" s="17">
        <f>IFERROR(INDEX(Clay_Offices!$A$2:$FZ$601,B357,$C$7)&amp;"","")</f>
        <v/>
      </c>
      <c r="E357" s="17">
        <f>IFERROR(INDEX(Clay_Offices!$A$2:$FZ$601,B357,$C$8)&amp;"","")</f>
        <v/>
      </c>
      <c r="F357" s="17">
        <f>IF(C357="","",IF(COUNTIF(Office_Log!$A$2:$A$201,C357)&gt;0,"Y","N"))</f>
        <v/>
      </c>
      <c r="G357" s="17">
        <f>IF(OR(C357="",AND(LEFT(C357,6)="SAMPLE",Config!$B$19&lt;&gt;"Y")),"",IF(IFERROR(INDEX(Lists!$J$2:$J$15,MATCH(D357,Lists!$I$2:$I$15,0)),-1)=-1,"status '"&amp;D357&amp;"' is not a CONTRACTS status",IF(AND(D357="signed",COUNTIF(signed_offices!$W$2:$W$51,C357)=0),"status signed but no signed_offices row"&amp;IF(F357="N"," and no tracker row",""),IF(AND(IFERROR(INDEX(Lists!$J$2:$J$15,MATCH(D357,Lists!$I$2:$I$15,0)),-1)&gt;=6,F357="N"),"status "&amp;D357&amp;" but no tracker row",IF(AND(E357="Y",D357&lt;&gt;"do_not_contact"),"do_not_contact = Y but status is "&amp;D357,IF(AND(D357="do_not_contact",E357&lt;&gt;"Y"),"status do_not_contact but do_not_contact is not Y",""))))))</f>
        <v/>
      </c>
      <c r="I357" s="17" t="n">
        <v>336</v>
      </c>
      <c r="J357" s="17">
        <f>IFERROR(INDEX(Clay_Brands!$A$2:$FZ$601,I357,$D$5)&amp;"","")</f>
        <v/>
      </c>
      <c r="K357" s="17">
        <f>IFERROR(INDEX(Clay_Brands!$A$2:$FZ$601,I357,$D$7)&amp;"","")</f>
        <v/>
      </c>
      <c r="L357" s="17">
        <f>IFERROR(INDEX(Clay_Brands!$A$2:$FZ$601,I357,$D$8)&amp;"","")</f>
        <v/>
      </c>
      <c r="M357" s="17">
        <f>IF(J357="","",IF(COUNTIF(Brand_Log!$A$2:$A$201,J357)&gt;0,"Y","N"))</f>
        <v/>
      </c>
      <c r="N357" s="17">
        <f>IF(OR(J357="",AND(LEFT(J357,6)="SAMPLE",Config!$B$19&lt;&gt;"Y")),"",IF(IFERROR(INDEX(Lists!$J$2:$J$15,MATCH(K357,Lists!$I$2:$I$15,0)),-1)=-1,"status '"&amp;K357&amp;"' is not a CONTRACTS status",IF(AND(K357="paid",COUNTIF(paid_brands!$AC$2:$AC$51,J357)=0),"status paid but no paid_brands row"&amp;IF(M357="N"," and no tracker row",""),IF(AND(IFERROR(INDEX(Lists!$J$2:$J$15,MATCH(K357,Lists!$I$2:$I$15,0)),-1)&gt;=6,M357="N"),"status "&amp;K357&amp;" but no tracker row",IF(AND(L357="Y",K357&lt;&gt;"do_not_contact"),"do_not_contact = Y but status is "&amp;K357,IF(AND(K357="do_not_contact",L357&lt;&gt;"Y"),"status do_not_contact but do_not_contact is not Y",""))))))</f>
        <v/>
      </c>
    </row>
    <row r="358">
      <c r="B358" s="17" t="n">
        <v>337</v>
      </c>
      <c r="C358" s="17">
        <f>IFERROR(INDEX(Clay_Offices!$A$2:$FZ$601,B358,$C$5)&amp;"","")</f>
        <v/>
      </c>
      <c r="D358" s="17">
        <f>IFERROR(INDEX(Clay_Offices!$A$2:$FZ$601,B358,$C$7)&amp;"","")</f>
        <v/>
      </c>
      <c r="E358" s="17">
        <f>IFERROR(INDEX(Clay_Offices!$A$2:$FZ$601,B358,$C$8)&amp;"","")</f>
        <v/>
      </c>
      <c r="F358" s="17">
        <f>IF(C358="","",IF(COUNTIF(Office_Log!$A$2:$A$201,C358)&gt;0,"Y","N"))</f>
        <v/>
      </c>
      <c r="G358" s="17">
        <f>IF(OR(C358="",AND(LEFT(C358,6)="SAMPLE",Config!$B$19&lt;&gt;"Y")),"",IF(IFERROR(INDEX(Lists!$J$2:$J$15,MATCH(D358,Lists!$I$2:$I$15,0)),-1)=-1,"status '"&amp;D358&amp;"' is not a CONTRACTS status",IF(AND(D358="signed",COUNTIF(signed_offices!$W$2:$W$51,C358)=0),"status signed but no signed_offices row"&amp;IF(F358="N"," and no tracker row",""),IF(AND(IFERROR(INDEX(Lists!$J$2:$J$15,MATCH(D358,Lists!$I$2:$I$15,0)),-1)&gt;=6,F358="N"),"status "&amp;D358&amp;" but no tracker row",IF(AND(E358="Y",D358&lt;&gt;"do_not_contact"),"do_not_contact = Y but status is "&amp;D358,IF(AND(D358="do_not_contact",E358&lt;&gt;"Y"),"status do_not_contact but do_not_contact is not Y",""))))))</f>
        <v/>
      </c>
      <c r="I358" s="17" t="n">
        <v>337</v>
      </c>
      <c r="J358" s="17">
        <f>IFERROR(INDEX(Clay_Brands!$A$2:$FZ$601,I358,$D$5)&amp;"","")</f>
        <v/>
      </c>
      <c r="K358" s="17">
        <f>IFERROR(INDEX(Clay_Brands!$A$2:$FZ$601,I358,$D$7)&amp;"","")</f>
        <v/>
      </c>
      <c r="L358" s="17">
        <f>IFERROR(INDEX(Clay_Brands!$A$2:$FZ$601,I358,$D$8)&amp;"","")</f>
        <v/>
      </c>
      <c r="M358" s="17">
        <f>IF(J358="","",IF(COUNTIF(Brand_Log!$A$2:$A$201,J358)&gt;0,"Y","N"))</f>
        <v/>
      </c>
      <c r="N358" s="17">
        <f>IF(OR(J358="",AND(LEFT(J358,6)="SAMPLE",Config!$B$19&lt;&gt;"Y")),"",IF(IFERROR(INDEX(Lists!$J$2:$J$15,MATCH(K358,Lists!$I$2:$I$15,0)),-1)=-1,"status '"&amp;K358&amp;"' is not a CONTRACTS status",IF(AND(K358="paid",COUNTIF(paid_brands!$AC$2:$AC$51,J358)=0),"status paid but no paid_brands row"&amp;IF(M358="N"," and no tracker row",""),IF(AND(IFERROR(INDEX(Lists!$J$2:$J$15,MATCH(K358,Lists!$I$2:$I$15,0)),-1)&gt;=6,M358="N"),"status "&amp;K358&amp;" but no tracker row",IF(AND(L358="Y",K358&lt;&gt;"do_not_contact"),"do_not_contact = Y but status is "&amp;K358,IF(AND(K358="do_not_contact",L358&lt;&gt;"Y"),"status do_not_contact but do_not_contact is not Y",""))))))</f>
        <v/>
      </c>
    </row>
    <row r="359">
      <c r="B359" s="17" t="n">
        <v>338</v>
      </c>
      <c r="C359" s="17">
        <f>IFERROR(INDEX(Clay_Offices!$A$2:$FZ$601,B359,$C$5)&amp;"","")</f>
        <v/>
      </c>
      <c r="D359" s="17">
        <f>IFERROR(INDEX(Clay_Offices!$A$2:$FZ$601,B359,$C$7)&amp;"","")</f>
        <v/>
      </c>
      <c r="E359" s="17">
        <f>IFERROR(INDEX(Clay_Offices!$A$2:$FZ$601,B359,$C$8)&amp;"","")</f>
        <v/>
      </c>
      <c r="F359" s="17">
        <f>IF(C359="","",IF(COUNTIF(Office_Log!$A$2:$A$201,C359)&gt;0,"Y","N"))</f>
        <v/>
      </c>
      <c r="G359" s="17">
        <f>IF(OR(C359="",AND(LEFT(C359,6)="SAMPLE",Config!$B$19&lt;&gt;"Y")),"",IF(IFERROR(INDEX(Lists!$J$2:$J$15,MATCH(D359,Lists!$I$2:$I$15,0)),-1)=-1,"status '"&amp;D359&amp;"' is not a CONTRACTS status",IF(AND(D359="signed",COUNTIF(signed_offices!$W$2:$W$51,C359)=0),"status signed but no signed_offices row"&amp;IF(F359="N"," and no tracker row",""),IF(AND(IFERROR(INDEX(Lists!$J$2:$J$15,MATCH(D359,Lists!$I$2:$I$15,0)),-1)&gt;=6,F359="N"),"status "&amp;D359&amp;" but no tracker row",IF(AND(E359="Y",D359&lt;&gt;"do_not_contact"),"do_not_contact = Y but status is "&amp;D359,IF(AND(D359="do_not_contact",E359&lt;&gt;"Y"),"status do_not_contact but do_not_contact is not Y",""))))))</f>
        <v/>
      </c>
      <c r="I359" s="17" t="n">
        <v>338</v>
      </c>
      <c r="J359" s="17">
        <f>IFERROR(INDEX(Clay_Brands!$A$2:$FZ$601,I359,$D$5)&amp;"","")</f>
        <v/>
      </c>
      <c r="K359" s="17">
        <f>IFERROR(INDEX(Clay_Brands!$A$2:$FZ$601,I359,$D$7)&amp;"","")</f>
        <v/>
      </c>
      <c r="L359" s="17">
        <f>IFERROR(INDEX(Clay_Brands!$A$2:$FZ$601,I359,$D$8)&amp;"","")</f>
        <v/>
      </c>
      <c r="M359" s="17">
        <f>IF(J359="","",IF(COUNTIF(Brand_Log!$A$2:$A$201,J359)&gt;0,"Y","N"))</f>
        <v/>
      </c>
      <c r="N359" s="17">
        <f>IF(OR(J359="",AND(LEFT(J359,6)="SAMPLE",Config!$B$19&lt;&gt;"Y")),"",IF(IFERROR(INDEX(Lists!$J$2:$J$15,MATCH(K359,Lists!$I$2:$I$15,0)),-1)=-1,"status '"&amp;K359&amp;"' is not a CONTRACTS status",IF(AND(K359="paid",COUNTIF(paid_brands!$AC$2:$AC$51,J359)=0),"status paid but no paid_brands row"&amp;IF(M359="N"," and no tracker row",""),IF(AND(IFERROR(INDEX(Lists!$J$2:$J$15,MATCH(K359,Lists!$I$2:$I$15,0)),-1)&gt;=6,M359="N"),"status "&amp;K359&amp;" but no tracker row",IF(AND(L359="Y",K359&lt;&gt;"do_not_contact"),"do_not_contact = Y but status is "&amp;K359,IF(AND(K359="do_not_contact",L359&lt;&gt;"Y"),"status do_not_contact but do_not_contact is not Y",""))))))</f>
        <v/>
      </c>
    </row>
    <row r="360">
      <c r="B360" s="17" t="n">
        <v>339</v>
      </c>
      <c r="C360" s="17">
        <f>IFERROR(INDEX(Clay_Offices!$A$2:$FZ$601,B360,$C$5)&amp;"","")</f>
        <v/>
      </c>
      <c r="D360" s="17">
        <f>IFERROR(INDEX(Clay_Offices!$A$2:$FZ$601,B360,$C$7)&amp;"","")</f>
        <v/>
      </c>
      <c r="E360" s="17">
        <f>IFERROR(INDEX(Clay_Offices!$A$2:$FZ$601,B360,$C$8)&amp;"","")</f>
        <v/>
      </c>
      <c r="F360" s="17">
        <f>IF(C360="","",IF(COUNTIF(Office_Log!$A$2:$A$201,C360)&gt;0,"Y","N"))</f>
        <v/>
      </c>
      <c r="G360" s="17">
        <f>IF(OR(C360="",AND(LEFT(C360,6)="SAMPLE",Config!$B$19&lt;&gt;"Y")),"",IF(IFERROR(INDEX(Lists!$J$2:$J$15,MATCH(D360,Lists!$I$2:$I$15,0)),-1)=-1,"status '"&amp;D360&amp;"' is not a CONTRACTS status",IF(AND(D360="signed",COUNTIF(signed_offices!$W$2:$W$51,C360)=0),"status signed but no signed_offices row"&amp;IF(F360="N"," and no tracker row",""),IF(AND(IFERROR(INDEX(Lists!$J$2:$J$15,MATCH(D360,Lists!$I$2:$I$15,0)),-1)&gt;=6,F360="N"),"status "&amp;D360&amp;" but no tracker row",IF(AND(E360="Y",D360&lt;&gt;"do_not_contact"),"do_not_contact = Y but status is "&amp;D360,IF(AND(D360="do_not_contact",E360&lt;&gt;"Y"),"status do_not_contact but do_not_contact is not Y",""))))))</f>
        <v/>
      </c>
      <c r="I360" s="17" t="n">
        <v>339</v>
      </c>
      <c r="J360" s="17">
        <f>IFERROR(INDEX(Clay_Brands!$A$2:$FZ$601,I360,$D$5)&amp;"","")</f>
        <v/>
      </c>
      <c r="K360" s="17">
        <f>IFERROR(INDEX(Clay_Brands!$A$2:$FZ$601,I360,$D$7)&amp;"","")</f>
        <v/>
      </c>
      <c r="L360" s="17">
        <f>IFERROR(INDEX(Clay_Brands!$A$2:$FZ$601,I360,$D$8)&amp;"","")</f>
        <v/>
      </c>
      <c r="M360" s="17">
        <f>IF(J360="","",IF(COUNTIF(Brand_Log!$A$2:$A$201,J360)&gt;0,"Y","N"))</f>
        <v/>
      </c>
      <c r="N360" s="17">
        <f>IF(OR(J360="",AND(LEFT(J360,6)="SAMPLE",Config!$B$19&lt;&gt;"Y")),"",IF(IFERROR(INDEX(Lists!$J$2:$J$15,MATCH(K360,Lists!$I$2:$I$15,0)),-1)=-1,"status '"&amp;K360&amp;"' is not a CONTRACTS status",IF(AND(K360="paid",COUNTIF(paid_brands!$AC$2:$AC$51,J360)=0),"status paid but no paid_brands row"&amp;IF(M360="N"," and no tracker row",""),IF(AND(IFERROR(INDEX(Lists!$J$2:$J$15,MATCH(K360,Lists!$I$2:$I$15,0)),-1)&gt;=6,M360="N"),"status "&amp;K360&amp;" but no tracker row",IF(AND(L360="Y",K360&lt;&gt;"do_not_contact"),"do_not_contact = Y but status is "&amp;K360,IF(AND(K360="do_not_contact",L360&lt;&gt;"Y"),"status do_not_contact but do_not_contact is not Y",""))))))</f>
        <v/>
      </c>
    </row>
    <row r="361">
      <c r="B361" s="17" t="n">
        <v>340</v>
      </c>
      <c r="C361" s="17">
        <f>IFERROR(INDEX(Clay_Offices!$A$2:$FZ$601,B361,$C$5)&amp;"","")</f>
        <v/>
      </c>
      <c r="D361" s="17">
        <f>IFERROR(INDEX(Clay_Offices!$A$2:$FZ$601,B361,$C$7)&amp;"","")</f>
        <v/>
      </c>
      <c r="E361" s="17">
        <f>IFERROR(INDEX(Clay_Offices!$A$2:$FZ$601,B361,$C$8)&amp;"","")</f>
        <v/>
      </c>
      <c r="F361" s="17">
        <f>IF(C361="","",IF(COUNTIF(Office_Log!$A$2:$A$201,C361)&gt;0,"Y","N"))</f>
        <v/>
      </c>
      <c r="G361" s="17">
        <f>IF(OR(C361="",AND(LEFT(C361,6)="SAMPLE",Config!$B$19&lt;&gt;"Y")),"",IF(IFERROR(INDEX(Lists!$J$2:$J$15,MATCH(D361,Lists!$I$2:$I$15,0)),-1)=-1,"status '"&amp;D361&amp;"' is not a CONTRACTS status",IF(AND(D361="signed",COUNTIF(signed_offices!$W$2:$W$51,C361)=0),"status signed but no signed_offices row"&amp;IF(F361="N"," and no tracker row",""),IF(AND(IFERROR(INDEX(Lists!$J$2:$J$15,MATCH(D361,Lists!$I$2:$I$15,0)),-1)&gt;=6,F361="N"),"status "&amp;D361&amp;" but no tracker row",IF(AND(E361="Y",D361&lt;&gt;"do_not_contact"),"do_not_contact = Y but status is "&amp;D361,IF(AND(D361="do_not_contact",E361&lt;&gt;"Y"),"status do_not_contact but do_not_contact is not Y",""))))))</f>
        <v/>
      </c>
      <c r="I361" s="17" t="n">
        <v>340</v>
      </c>
      <c r="J361" s="17">
        <f>IFERROR(INDEX(Clay_Brands!$A$2:$FZ$601,I361,$D$5)&amp;"","")</f>
        <v/>
      </c>
      <c r="K361" s="17">
        <f>IFERROR(INDEX(Clay_Brands!$A$2:$FZ$601,I361,$D$7)&amp;"","")</f>
        <v/>
      </c>
      <c r="L361" s="17">
        <f>IFERROR(INDEX(Clay_Brands!$A$2:$FZ$601,I361,$D$8)&amp;"","")</f>
        <v/>
      </c>
      <c r="M361" s="17">
        <f>IF(J361="","",IF(COUNTIF(Brand_Log!$A$2:$A$201,J361)&gt;0,"Y","N"))</f>
        <v/>
      </c>
      <c r="N361" s="17">
        <f>IF(OR(J361="",AND(LEFT(J361,6)="SAMPLE",Config!$B$19&lt;&gt;"Y")),"",IF(IFERROR(INDEX(Lists!$J$2:$J$15,MATCH(K361,Lists!$I$2:$I$15,0)),-1)=-1,"status '"&amp;K361&amp;"' is not a CONTRACTS status",IF(AND(K361="paid",COUNTIF(paid_brands!$AC$2:$AC$51,J361)=0),"status paid but no paid_brands row"&amp;IF(M361="N"," and no tracker row",""),IF(AND(IFERROR(INDEX(Lists!$J$2:$J$15,MATCH(K361,Lists!$I$2:$I$15,0)),-1)&gt;=6,M361="N"),"status "&amp;K361&amp;" but no tracker row",IF(AND(L361="Y",K361&lt;&gt;"do_not_contact"),"do_not_contact = Y but status is "&amp;K361,IF(AND(K361="do_not_contact",L361&lt;&gt;"Y"),"status do_not_contact but do_not_contact is not Y",""))))))</f>
        <v/>
      </c>
    </row>
    <row r="362">
      <c r="B362" s="17" t="n">
        <v>341</v>
      </c>
      <c r="C362" s="17">
        <f>IFERROR(INDEX(Clay_Offices!$A$2:$FZ$601,B362,$C$5)&amp;"","")</f>
        <v/>
      </c>
      <c r="D362" s="17">
        <f>IFERROR(INDEX(Clay_Offices!$A$2:$FZ$601,B362,$C$7)&amp;"","")</f>
        <v/>
      </c>
      <c r="E362" s="17">
        <f>IFERROR(INDEX(Clay_Offices!$A$2:$FZ$601,B362,$C$8)&amp;"","")</f>
        <v/>
      </c>
      <c r="F362" s="17">
        <f>IF(C362="","",IF(COUNTIF(Office_Log!$A$2:$A$201,C362)&gt;0,"Y","N"))</f>
        <v/>
      </c>
      <c r="G362" s="17">
        <f>IF(OR(C362="",AND(LEFT(C362,6)="SAMPLE",Config!$B$19&lt;&gt;"Y")),"",IF(IFERROR(INDEX(Lists!$J$2:$J$15,MATCH(D362,Lists!$I$2:$I$15,0)),-1)=-1,"status '"&amp;D362&amp;"' is not a CONTRACTS status",IF(AND(D362="signed",COUNTIF(signed_offices!$W$2:$W$51,C362)=0),"status signed but no signed_offices row"&amp;IF(F362="N"," and no tracker row",""),IF(AND(IFERROR(INDEX(Lists!$J$2:$J$15,MATCH(D362,Lists!$I$2:$I$15,0)),-1)&gt;=6,F362="N"),"status "&amp;D362&amp;" but no tracker row",IF(AND(E362="Y",D362&lt;&gt;"do_not_contact"),"do_not_contact = Y but status is "&amp;D362,IF(AND(D362="do_not_contact",E362&lt;&gt;"Y"),"status do_not_contact but do_not_contact is not Y",""))))))</f>
        <v/>
      </c>
      <c r="I362" s="17" t="n">
        <v>341</v>
      </c>
      <c r="J362" s="17">
        <f>IFERROR(INDEX(Clay_Brands!$A$2:$FZ$601,I362,$D$5)&amp;"","")</f>
        <v/>
      </c>
      <c r="K362" s="17">
        <f>IFERROR(INDEX(Clay_Brands!$A$2:$FZ$601,I362,$D$7)&amp;"","")</f>
        <v/>
      </c>
      <c r="L362" s="17">
        <f>IFERROR(INDEX(Clay_Brands!$A$2:$FZ$601,I362,$D$8)&amp;"","")</f>
        <v/>
      </c>
      <c r="M362" s="17">
        <f>IF(J362="","",IF(COUNTIF(Brand_Log!$A$2:$A$201,J362)&gt;0,"Y","N"))</f>
        <v/>
      </c>
      <c r="N362" s="17">
        <f>IF(OR(J362="",AND(LEFT(J362,6)="SAMPLE",Config!$B$19&lt;&gt;"Y")),"",IF(IFERROR(INDEX(Lists!$J$2:$J$15,MATCH(K362,Lists!$I$2:$I$15,0)),-1)=-1,"status '"&amp;K362&amp;"' is not a CONTRACTS status",IF(AND(K362="paid",COUNTIF(paid_brands!$AC$2:$AC$51,J362)=0),"status paid but no paid_brands row"&amp;IF(M362="N"," and no tracker row",""),IF(AND(IFERROR(INDEX(Lists!$J$2:$J$15,MATCH(K362,Lists!$I$2:$I$15,0)),-1)&gt;=6,M362="N"),"status "&amp;K362&amp;" but no tracker row",IF(AND(L362="Y",K362&lt;&gt;"do_not_contact"),"do_not_contact = Y but status is "&amp;K362,IF(AND(K362="do_not_contact",L362&lt;&gt;"Y"),"status do_not_contact but do_not_contact is not Y",""))))))</f>
        <v/>
      </c>
    </row>
    <row r="363">
      <c r="B363" s="17" t="n">
        <v>342</v>
      </c>
      <c r="C363" s="17">
        <f>IFERROR(INDEX(Clay_Offices!$A$2:$FZ$601,B363,$C$5)&amp;"","")</f>
        <v/>
      </c>
      <c r="D363" s="17">
        <f>IFERROR(INDEX(Clay_Offices!$A$2:$FZ$601,B363,$C$7)&amp;"","")</f>
        <v/>
      </c>
      <c r="E363" s="17">
        <f>IFERROR(INDEX(Clay_Offices!$A$2:$FZ$601,B363,$C$8)&amp;"","")</f>
        <v/>
      </c>
      <c r="F363" s="17">
        <f>IF(C363="","",IF(COUNTIF(Office_Log!$A$2:$A$201,C363)&gt;0,"Y","N"))</f>
        <v/>
      </c>
      <c r="G363" s="17">
        <f>IF(OR(C363="",AND(LEFT(C363,6)="SAMPLE",Config!$B$19&lt;&gt;"Y")),"",IF(IFERROR(INDEX(Lists!$J$2:$J$15,MATCH(D363,Lists!$I$2:$I$15,0)),-1)=-1,"status '"&amp;D363&amp;"' is not a CONTRACTS status",IF(AND(D363="signed",COUNTIF(signed_offices!$W$2:$W$51,C363)=0),"status signed but no signed_offices row"&amp;IF(F363="N"," and no tracker row",""),IF(AND(IFERROR(INDEX(Lists!$J$2:$J$15,MATCH(D363,Lists!$I$2:$I$15,0)),-1)&gt;=6,F363="N"),"status "&amp;D363&amp;" but no tracker row",IF(AND(E363="Y",D363&lt;&gt;"do_not_contact"),"do_not_contact = Y but status is "&amp;D363,IF(AND(D363="do_not_contact",E363&lt;&gt;"Y"),"status do_not_contact but do_not_contact is not Y",""))))))</f>
        <v/>
      </c>
      <c r="I363" s="17" t="n">
        <v>342</v>
      </c>
      <c r="J363" s="17">
        <f>IFERROR(INDEX(Clay_Brands!$A$2:$FZ$601,I363,$D$5)&amp;"","")</f>
        <v/>
      </c>
      <c r="K363" s="17">
        <f>IFERROR(INDEX(Clay_Brands!$A$2:$FZ$601,I363,$D$7)&amp;"","")</f>
        <v/>
      </c>
      <c r="L363" s="17">
        <f>IFERROR(INDEX(Clay_Brands!$A$2:$FZ$601,I363,$D$8)&amp;"","")</f>
        <v/>
      </c>
      <c r="M363" s="17">
        <f>IF(J363="","",IF(COUNTIF(Brand_Log!$A$2:$A$201,J363)&gt;0,"Y","N"))</f>
        <v/>
      </c>
      <c r="N363" s="17">
        <f>IF(OR(J363="",AND(LEFT(J363,6)="SAMPLE",Config!$B$19&lt;&gt;"Y")),"",IF(IFERROR(INDEX(Lists!$J$2:$J$15,MATCH(K363,Lists!$I$2:$I$15,0)),-1)=-1,"status '"&amp;K363&amp;"' is not a CONTRACTS status",IF(AND(K363="paid",COUNTIF(paid_brands!$AC$2:$AC$51,J363)=0),"status paid but no paid_brands row"&amp;IF(M363="N"," and no tracker row",""),IF(AND(IFERROR(INDEX(Lists!$J$2:$J$15,MATCH(K363,Lists!$I$2:$I$15,0)),-1)&gt;=6,M363="N"),"status "&amp;K363&amp;" but no tracker row",IF(AND(L363="Y",K363&lt;&gt;"do_not_contact"),"do_not_contact = Y but status is "&amp;K363,IF(AND(K363="do_not_contact",L363&lt;&gt;"Y"),"status do_not_contact but do_not_contact is not Y",""))))))</f>
        <v/>
      </c>
    </row>
    <row r="364">
      <c r="B364" s="17" t="n">
        <v>343</v>
      </c>
      <c r="C364" s="17">
        <f>IFERROR(INDEX(Clay_Offices!$A$2:$FZ$601,B364,$C$5)&amp;"","")</f>
        <v/>
      </c>
      <c r="D364" s="17">
        <f>IFERROR(INDEX(Clay_Offices!$A$2:$FZ$601,B364,$C$7)&amp;"","")</f>
        <v/>
      </c>
      <c r="E364" s="17">
        <f>IFERROR(INDEX(Clay_Offices!$A$2:$FZ$601,B364,$C$8)&amp;"","")</f>
        <v/>
      </c>
      <c r="F364" s="17">
        <f>IF(C364="","",IF(COUNTIF(Office_Log!$A$2:$A$201,C364)&gt;0,"Y","N"))</f>
        <v/>
      </c>
      <c r="G364" s="17">
        <f>IF(OR(C364="",AND(LEFT(C364,6)="SAMPLE",Config!$B$19&lt;&gt;"Y")),"",IF(IFERROR(INDEX(Lists!$J$2:$J$15,MATCH(D364,Lists!$I$2:$I$15,0)),-1)=-1,"status '"&amp;D364&amp;"' is not a CONTRACTS status",IF(AND(D364="signed",COUNTIF(signed_offices!$W$2:$W$51,C364)=0),"status signed but no signed_offices row"&amp;IF(F364="N"," and no tracker row",""),IF(AND(IFERROR(INDEX(Lists!$J$2:$J$15,MATCH(D364,Lists!$I$2:$I$15,0)),-1)&gt;=6,F364="N"),"status "&amp;D364&amp;" but no tracker row",IF(AND(E364="Y",D364&lt;&gt;"do_not_contact"),"do_not_contact = Y but status is "&amp;D364,IF(AND(D364="do_not_contact",E364&lt;&gt;"Y"),"status do_not_contact but do_not_contact is not Y",""))))))</f>
        <v/>
      </c>
      <c r="I364" s="17" t="n">
        <v>343</v>
      </c>
      <c r="J364" s="17">
        <f>IFERROR(INDEX(Clay_Brands!$A$2:$FZ$601,I364,$D$5)&amp;"","")</f>
        <v/>
      </c>
      <c r="K364" s="17">
        <f>IFERROR(INDEX(Clay_Brands!$A$2:$FZ$601,I364,$D$7)&amp;"","")</f>
        <v/>
      </c>
      <c r="L364" s="17">
        <f>IFERROR(INDEX(Clay_Brands!$A$2:$FZ$601,I364,$D$8)&amp;"","")</f>
        <v/>
      </c>
      <c r="M364" s="17">
        <f>IF(J364="","",IF(COUNTIF(Brand_Log!$A$2:$A$201,J364)&gt;0,"Y","N"))</f>
        <v/>
      </c>
      <c r="N364" s="17">
        <f>IF(OR(J364="",AND(LEFT(J364,6)="SAMPLE",Config!$B$19&lt;&gt;"Y")),"",IF(IFERROR(INDEX(Lists!$J$2:$J$15,MATCH(K364,Lists!$I$2:$I$15,0)),-1)=-1,"status '"&amp;K364&amp;"' is not a CONTRACTS status",IF(AND(K364="paid",COUNTIF(paid_brands!$AC$2:$AC$51,J364)=0),"status paid but no paid_brands row"&amp;IF(M364="N"," and no tracker row",""),IF(AND(IFERROR(INDEX(Lists!$J$2:$J$15,MATCH(K364,Lists!$I$2:$I$15,0)),-1)&gt;=6,M364="N"),"status "&amp;K364&amp;" but no tracker row",IF(AND(L364="Y",K364&lt;&gt;"do_not_contact"),"do_not_contact = Y but status is "&amp;K364,IF(AND(K364="do_not_contact",L364&lt;&gt;"Y"),"status do_not_contact but do_not_contact is not Y",""))))))</f>
        <v/>
      </c>
    </row>
    <row r="365">
      <c r="B365" s="17" t="n">
        <v>344</v>
      </c>
      <c r="C365" s="17">
        <f>IFERROR(INDEX(Clay_Offices!$A$2:$FZ$601,B365,$C$5)&amp;"","")</f>
        <v/>
      </c>
      <c r="D365" s="17">
        <f>IFERROR(INDEX(Clay_Offices!$A$2:$FZ$601,B365,$C$7)&amp;"","")</f>
        <v/>
      </c>
      <c r="E365" s="17">
        <f>IFERROR(INDEX(Clay_Offices!$A$2:$FZ$601,B365,$C$8)&amp;"","")</f>
        <v/>
      </c>
      <c r="F365" s="17">
        <f>IF(C365="","",IF(COUNTIF(Office_Log!$A$2:$A$201,C365)&gt;0,"Y","N"))</f>
        <v/>
      </c>
      <c r="G365" s="17">
        <f>IF(OR(C365="",AND(LEFT(C365,6)="SAMPLE",Config!$B$19&lt;&gt;"Y")),"",IF(IFERROR(INDEX(Lists!$J$2:$J$15,MATCH(D365,Lists!$I$2:$I$15,0)),-1)=-1,"status '"&amp;D365&amp;"' is not a CONTRACTS status",IF(AND(D365="signed",COUNTIF(signed_offices!$W$2:$W$51,C365)=0),"status signed but no signed_offices row"&amp;IF(F365="N"," and no tracker row",""),IF(AND(IFERROR(INDEX(Lists!$J$2:$J$15,MATCH(D365,Lists!$I$2:$I$15,0)),-1)&gt;=6,F365="N"),"status "&amp;D365&amp;" but no tracker row",IF(AND(E365="Y",D365&lt;&gt;"do_not_contact"),"do_not_contact = Y but status is "&amp;D365,IF(AND(D365="do_not_contact",E365&lt;&gt;"Y"),"status do_not_contact but do_not_contact is not Y",""))))))</f>
        <v/>
      </c>
      <c r="I365" s="17" t="n">
        <v>344</v>
      </c>
      <c r="J365" s="17">
        <f>IFERROR(INDEX(Clay_Brands!$A$2:$FZ$601,I365,$D$5)&amp;"","")</f>
        <v/>
      </c>
      <c r="K365" s="17">
        <f>IFERROR(INDEX(Clay_Brands!$A$2:$FZ$601,I365,$D$7)&amp;"","")</f>
        <v/>
      </c>
      <c r="L365" s="17">
        <f>IFERROR(INDEX(Clay_Brands!$A$2:$FZ$601,I365,$D$8)&amp;"","")</f>
        <v/>
      </c>
      <c r="M365" s="17">
        <f>IF(J365="","",IF(COUNTIF(Brand_Log!$A$2:$A$201,J365)&gt;0,"Y","N"))</f>
        <v/>
      </c>
      <c r="N365" s="17">
        <f>IF(OR(J365="",AND(LEFT(J365,6)="SAMPLE",Config!$B$19&lt;&gt;"Y")),"",IF(IFERROR(INDEX(Lists!$J$2:$J$15,MATCH(K365,Lists!$I$2:$I$15,0)),-1)=-1,"status '"&amp;K365&amp;"' is not a CONTRACTS status",IF(AND(K365="paid",COUNTIF(paid_brands!$AC$2:$AC$51,J365)=0),"status paid but no paid_brands row"&amp;IF(M365="N"," and no tracker row",""),IF(AND(IFERROR(INDEX(Lists!$J$2:$J$15,MATCH(K365,Lists!$I$2:$I$15,0)),-1)&gt;=6,M365="N"),"status "&amp;K365&amp;" but no tracker row",IF(AND(L365="Y",K365&lt;&gt;"do_not_contact"),"do_not_contact = Y but status is "&amp;K365,IF(AND(K365="do_not_contact",L365&lt;&gt;"Y"),"status do_not_contact but do_not_contact is not Y",""))))))</f>
        <v/>
      </c>
    </row>
    <row r="366">
      <c r="B366" s="17" t="n">
        <v>345</v>
      </c>
      <c r="C366" s="17">
        <f>IFERROR(INDEX(Clay_Offices!$A$2:$FZ$601,B366,$C$5)&amp;"","")</f>
        <v/>
      </c>
      <c r="D366" s="17">
        <f>IFERROR(INDEX(Clay_Offices!$A$2:$FZ$601,B366,$C$7)&amp;"","")</f>
        <v/>
      </c>
      <c r="E366" s="17">
        <f>IFERROR(INDEX(Clay_Offices!$A$2:$FZ$601,B366,$C$8)&amp;"","")</f>
        <v/>
      </c>
      <c r="F366" s="17">
        <f>IF(C366="","",IF(COUNTIF(Office_Log!$A$2:$A$201,C366)&gt;0,"Y","N"))</f>
        <v/>
      </c>
      <c r="G366" s="17">
        <f>IF(OR(C366="",AND(LEFT(C366,6)="SAMPLE",Config!$B$19&lt;&gt;"Y")),"",IF(IFERROR(INDEX(Lists!$J$2:$J$15,MATCH(D366,Lists!$I$2:$I$15,0)),-1)=-1,"status '"&amp;D366&amp;"' is not a CONTRACTS status",IF(AND(D366="signed",COUNTIF(signed_offices!$W$2:$W$51,C366)=0),"status signed but no signed_offices row"&amp;IF(F366="N"," and no tracker row",""),IF(AND(IFERROR(INDEX(Lists!$J$2:$J$15,MATCH(D366,Lists!$I$2:$I$15,0)),-1)&gt;=6,F366="N"),"status "&amp;D366&amp;" but no tracker row",IF(AND(E366="Y",D366&lt;&gt;"do_not_contact"),"do_not_contact = Y but status is "&amp;D366,IF(AND(D366="do_not_contact",E366&lt;&gt;"Y"),"status do_not_contact but do_not_contact is not Y",""))))))</f>
        <v/>
      </c>
      <c r="I366" s="17" t="n">
        <v>345</v>
      </c>
      <c r="J366" s="17">
        <f>IFERROR(INDEX(Clay_Brands!$A$2:$FZ$601,I366,$D$5)&amp;"","")</f>
        <v/>
      </c>
      <c r="K366" s="17">
        <f>IFERROR(INDEX(Clay_Brands!$A$2:$FZ$601,I366,$D$7)&amp;"","")</f>
        <v/>
      </c>
      <c r="L366" s="17">
        <f>IFERROR(INDEX(Clay_Brands!$A$2:$FZ$601,I366,$D$8)&amp;"","")</f>
        <v/>
      </c>
      <c r="M366" s="17">
        <f>IF(J366="","",IF(COUNTIF(Brand_Log!$A$2:$A$201,J366)&gt;0,"Y","N"))</f>
        <v/>
      </c>
      <c r="N366" s="17">
        <f>IF(OR(J366="",AND(LEFT(J366,6)="SAMPLE",Config!$B$19&lt;&gt;"Y")),"",IF(IFERROR(INDEX(Lists!$J$2:$J$15,MATCH(K366,Lists!$I$2:$I$15,0)),-1)=-1,"status '"&amp;K366&amp;"' is not a CONTRACTS status",IF(AND(K366="paid",COUNTIF(paid_brands!$AC$2:$AC$51,J366)=0),"status paid but no paid_brands row"&amp;IF(M366="N"," and no tracker row",""),IF(AND(IFERROR(INDEX(Lists!$J$2:$J$15,MATCH(K366,Lists!$I$2:$I$15,0)),-1)&gt;=6,M366="N"),"status "&amp;K366&amp;" but no tracker row",IF(AND(L366="Y",K366&lt;&gt;"do_not_contact"),"do_not_contact = Y but status is "&amp;K366,IF(AND(K366="do_not_contact",L366&lt;&gt;"Y"),"status do_not_contact but do_not_contact is not Y",""))))))</f>
        <v/>
      </c>
    </row>
    <row r="367">
      <c r="B367" s="17" t="n">
        <v>346</v>
      </c>
      <c r="C367" s="17">
        <f>IFERROR(INDEX(Clay_Offices!$A$2:$FZ$601,B367,$C$5)&amp;"","")</f>
        <v/>
      </c>
      <c r="D367" s="17">
        <f>IFERROR(INDEX(Clay_Offices!$A$2:$FZ$601,B367,$C$7)&amp;"","")</f>
        <v/>
      </c>
      <c r="E367" s="17">
        <f>IFERROR(INDEX(Clay_Offices!$A$2:$FZ$601,B367,$C$8)&amp;"","")</f>
        <v/>
      </c>
      <c r="F367" s="17">
        <f>IF(C367="","",IF(COUNTIF(Office_Log!$A$2:$A$201,C367)&gt;0,"Y","N"))</f>
        <v/>
      </c>
      <c r="G367" s="17">
        <f>IF(OR(C367="",AND(LEFT(C367,6)="SAMPLE",Config!$B$19&lt;&gt;"Y")),"",IF(IFERROR(INDEX(Lists!$J$2:$J$15,MATCH(D367,Lists!$I$2:$I$15,0)),-1)=-1,"status '"&amp;D367&amp;"' is not a CONTRACTS status",IF(AND(D367="signed",COUNTIF(signed_offices!$W$2:$W$51,C367)=0),"status signed but no signed_offices row"&amp;IF(F367="N"," and no tracker row",""),IF(AND(IFERROR(INDEX(Lists!$J$2:$J$15,MATCH(D367,Lists!$I$2:$I$15,0)),-1)&gt;=6,F367="N"),"status "&amp;D367&amp;" but no tracker row",IF(AND(E367="Y",D367&lt;&gt;"do_not_contact"),"do_not_contact = Y but status is "&amp;D367,IF(AND(D367="do_not_contact",E367&lt;&gt;"Y"),"status do_not_contact but do_not_contact is not Y",""))))))</f>
        <v/>
      </c>
      <c r="I367" s="17" t="n">
        <v>346</v>
      </c>
      <c r="J367" s="17">
        <f>IFERROR(INDEX(Clay_Brands!$A$2:$FZ$601,I367,$D$5)&amp;"","")</f>
        <v/>
      </c>
      <c r="K367" s="17">
        <f>IFERROR(INDEX(Clay_Brands!$A$2:$FZ$601,I367,$D$7)&amp;"","")</f>
        <v/>
      </c>
      <c r="L367" s="17">
        <f>IFERROR(INDEX(Clay_Brands!$A$2:$FZ$601,I367,$D$8)&amp;"","")</f>
        <v/>
      </c>
      <c r="M367" s="17">
        <f>IF(J367="","",IF(COUNTIF(Brand_Log!$A$2:$A$201,J367)&gt;0,"Y","N"))</f>
        <v/>
      </c>
      <c r="N367" s="17">
        <f>IF(OR(J367="",AND(LEFT(J367,6)="SAMPLE",Config!$B$19&lt;&gt;"Y")),"",IF(IFERROR(INDEX(Lists!$J$2:$J$15,MATCH(K367,Lists!$I$2:$I$15,0)),-1)=-1,"status '"&amp;K367&amp;"' is not a CONTRACTS status",IF(AND(K367="paid",COUNTIF(paid_brands!$AC$2:$AC$51,J367)=0),"status paid but no paid_brands row"&amp;IF(M367="N"," and no tracker row",""),IF(AND(IFERROR(INDEX(Lists!$J$2:$J$15,MATCH(K367,Lists!$I$2:$I$15,0)),-1)&gt;=6,M367="N"),"status "&amp;K367&amp;" but no tracker row",IF(AND(L367="Y",K367&lt;&gt;"do_not_contact"),"do_not_contact = Y but status is "&amp;K367,IF(AND(K367="do_not_contact",L367&lt;&gt;"Y"),"status do_not_contact but do_not_contact is not Y",""))))))</f>
        <v/>
      </c>
    </row>
    <row r="368">
      <c r="B368" s="17" t="n">
        <v>347</v>
      </c>
      <c r="C368" s="17">
        <f>IFERROR(INDEX(Clay_Offices!$A$2:$FZ$601,B368,$C$5)&amp;"","")</f>
        <v/>
      </c>
      <c r="D368" s="17">
        <f>IFERROR(INDEX(Clay_Offices!$A$2:$FZ$601,B368,$C$7)&amp;"","")</f>
        <v/>
      </c>
      <c r="E368" s="17">
        <f>IFERROR(INDEX(Clay_Offices!$A$2:$FZ$601,B368,$C$8)&amp;"","")</f>
        <v/>
      </c>
      <c r="F368" s="17">
        <f>IF(C368="","",IF(COUNTIF(Office_Log!$A$2:$A$201,C368)&gt;0,"Y","N"))</f>
        <v/>
      </c>
      <c r="G368" s="17">
        <f>IF(OR(C368="",AND(LEFT(C368,6)="SAMPLE",Config!$B$19&lt;&gt;"Y")),"",IF(IFERROR(INDEX(Lists!$J$2:$J$15,MATCH(D368,Lists!$I$2:$I$15,0)),-1)=-1,"status '"&amp;D368&amp;"' is not a CONTRACTS status",IF(AND(D368="signed",COUNTIF(signed_offices!$W$2:$W$51,C368)=0),"status signed but no signed_offices row"&amp;IF(F368="N"," and no tracker row",""),IF(AND(IFERROR(INDEX(Lists!$J$2:$J$15,MATCH(D368,Lists!$I$2:$I$15,0)),-1)&gt;=6,F368="N"),"status "&amp;D368&amp;" but no tracker row",IF(AND(E368="Y",D368&lt;&gt;"do_not_contact"),"do_not_contact = Y but status is "&amp;D368,IF(AND(D368="do_not_contact",E368&lt;&gt;"Y"),"status do_not_contact but do_not_contact is not Y",""))))))</f>
        <v/>
      </c>
      <c r="I368" s="17" t="n">
        <v>347</v>
      </c>
      <c r="J368" s="17">
        <f>IFERROR(INDEX(Clay_Brands!$A$2:$FZ$601,I368,$D$5)&amp;"","")</f>
        <v/>
      </c>
      <c r="K368" s="17">
        <f>IFERROR(INDEX(Clay_Brands!$A$2:$FZ$601,I368,$D$7)&amp;"","")</f>
        <v/>
      </c>
      <c r="L368" s="17">
        <f>IFERROR(INDEX(Clay_Brands!$A$2:$FZ$601,I368,$D$8)&amp;"","")</f>
        <v/>
      </c>
      <c r="M368" s="17">
        <f>IF(J368="","",IF(COUNTIF(Brand_Log!$A$2:$A$201,J368)&gt;0,"Y","N"))</f>
        <v/>
      </c>
      <c r="N368" s="17">
        <f>IF(OR(J368="",AND(LEFT(J368,6)="SAMPLE",Config!$B$19&lt;&gt;"Y")),"",IF(IFERROR(INDEX(Lists!$J$2:$J$15,MATCH(K368,Lists!$I$2:$I$15,0)),-1)=-1,"status '"&amp;K368&amp;"' is not a CONTRACTS status",IF(AND(K368="paid",COUNTIF(paid_brands!$AC$2:$AC$51,J368)=0),"status paid but no paid_brands row"&amp;IF(M368="N"," and no tracker row",""),IF(AND(IFERROR(INDEX(Lists!$J$2:$J$15,MATCH(K368,Lists!$I$2:$I$15,0)),-1)&gt;=6,M368="N"),"status "&amp;K368&amp;" but no tracker row",IF(AND(L368="Y",K368&lt;&gt;"do_not_contact"),"do_not_contact = Y but status is "&amp;K368,IF(AND(K368="do_not_contact",L368&lt;&gt;"Y"),"status do_not_contact but do_not_contact is not Y",""))))))</f>
        <v/>
      </c>
    </row>
    <row r="369">
      <c r="B369" s="17" t="n">
        <v>348</v>
      </c>
      <c r="C369" s="17">
        <f>IFERROR(INDEX(Clay_Offices!$A$2:$FZ$601,B369,$C$5)&amp;"","")</f>
        <v/>
      </c>
      <c r="D369" s="17">
        <f>IFERROR(INDEX(Clay_Offices!$A$2:$FZ$601,B369,$C$7)&amp;"","")</f>
        <v/>
      </c>
      <c r="E369" s="17">
        <f>IFERROR(INDEX(Clay_Offices!$A$2:$FZ$601,B369,$C$8)&amp;"","")</f>
        <v/>
      </c>
      <c r="F369" s="17">
        <f>IF(C369="","",IF(COUNTIF(Office_Log!$A$2:$A$201,C369)&gt;0,"Y","N"))</f>
        <v/>
      </c>
      <c r="G369" s="17">
        <f>IF(OR(C369="",AND(LEFT(C369,6)="SAMPLE",Config!$B$19&lt;&gt;"Y")),"",IF(IFERROR(INDEX(Lists!$J$2:$J$15,MATCH(D369,Lists!$I$2:$I$15,0)),-1)=-1,"status '"&amp;D369&amp;"' is not a CONTRACTS status",IF(AND(D369="signed",COUNTIF(signed_offices!$W$2:$W$51,C369)=0),"status signed but no signed_offices row"&amp;IF(F369="N"," and no tracker row",""),IF(AND(IFERROR(INDEX(Lists!$J$2:$J$15,MATCH(D369,Lists!$I$2:$I$15,0)),-1)&gt;=6,F369="N"),"status "&amp;D369&amp;" but no tracker row",IF(AND(E369="Y",D369&lt;&gt;"do_not_contact"),"do_not_contact = Y but status is "&amp;D369,IF(AND(D369="do_not_contact",E369&lt;&gt;"Y"),"status do_not_contact but do_not_contact is not Y",""))))))</f>
        <v/>
      </c>
      <c r="I369" s="17" t="n">
        <v>348</v>
      </c>
      <c r="J369" s="17">
        <f>IFERROR(INDEX(Clay_Brands!$A$2:$FZ$601,I369,$D$5)&amp;"","")</f>
        <v/>
      </c>
      <c r="K369" s="17">
        <f>IFERROR(INDEX(Clay_Brands!$A$2:$FZ$601,I369,$D$7)&amp;"","")</f>
        <v/>
      </c>
      <c r="L369" s="17">
        <f>IFERROR(INDEX(Clay_Brands!$A$2:$FZ$601,I369,$D$8)&amp;"","")</f>
        <v/>
      </c>
      <c r="M369" s="17">
        <f>IF(J369="","",IF(COUNTIF(Brand_Log!$A$2:$A$201,J369)&gt;0,"Y","N"))</f>
        <v/>
      </c>
      <c r="N369" s="17">
        <f>IF(OR(J369="",AND(LEFT(J369,6)="SAMPLE",Config!$B$19&lt;&gt;"Y")),"",IF(IFERROR(INDEX(Lists!$J$2:$J$15,MATCH(K369,Lists!$I$2:$I$15,0)),-1)=-1,"status '"&amp;K369&amp;"' is not a CONTRACTS status",IF(AND(K369="paid",COUNTIF(paid_brands!$AC$2:$AC$51,J369)=0),"status paid but no paid_brands row"&amp;IF(M369="N"," and no tracker row",""),IF(AND(IFERROR(INDEX(Lists!$J$2:$J$15,MATCH(K369,Lists!$I$2:$I$15,0)),-1)&gt;=6,M369="N"),"status "&amp;K369&amp;" but no tracker row",IF(AND(L369="Y",K369&lt;&gt;"do_not_contact"),"do_not_contact = Y but status is "&amp;K369,IF(AND(K369="do_not_contact",L369&lt;&gt;"Y"),"status do_not_contact but do_not_contact is not Y",""))))))</f>
        <v/>
      </c>
    </row>
    <row r="370">
      <c r="B370" s="17" t="n">
        <v>349</v>
      </c>
      <c r="C370" s="17">
        <f>IFERROR(INDEX(Clay_Offices!$A$2:$FZ$601,B370,$C$5)&amp;"","")</f>
        <v/>
      </c>
      <c r="D370" s="17">
        <f>IFERROR(INDEX(Clay_Offices!$A$2:$FZ$601,B370,$C$7)&amp;"","")</f>
        <v/>
      </c>
      <c r="E370" s="17">
        <f>IFERROR(INDEX(Clay_Offices!$A$2:$FZ$601,B370,$C$8)&amp;"","")</f>
        <v/>
      </c>
      <c r="F370" s="17">
        <f>IF(C370="","",IF(COUNTIF(Office_Log!$A$2:$A$201,C370)&gt;0,"Y","N"))</f>
        <v/>
      </c>
      <c r="G370" s="17">
        <f>IF(OR(C370="",AND(LEFT(C370,6)="SAMPLE",Config!$B$19&lt;&gt;"Y")),"",IF(IFERROR(INDEX(Lists!$J$2:$J$15,MATCH(D370,Lists!$I$2:$I$15,0)),-1)=-1,"status '"&amp;D370&amp;"' is not a CONTRACTS status",IF(AND(D370="signed",COUNTIF(signed_offices!$W$2:$W$51,C370)=0),"status signed but no signed_offices row"&amp;IF(F370="N"," and no tracker row",""),IF(AND(IFERROR(INDEX(Lists!$J$2:$J$15,MATCH(D370,Lists!$I$2:$I$15,0)),-1)&gt;=6,F370="N"),"status "&amp;D370&amp;" but no tracker row",IF(AND(E370="Y",D370&lt;&gt;"do_not_contact"),"do_not_contact = Y but status is "&amp;D370,IF(AND(D370="do_not_contact",E370&lt;&gt;"Y"),"status do_not_contact but do_not_contact is not Y",""))))))</f>
        <v/>
      </c>
      <c r="I370" s="17" t="n">
        <v>349</v>
      </c>
      <c r="J370" s="17">
        <f>IFERROR(INDEX(Clay_Brands!$A$2:$FZ$601,I370,$D$5)&amp;"","")</f>
        <v/>
      </c>
      <c r="K370" s="17">
        <f>IFERROR(INDEX(Clay_Brands!$A$2:$FZ$601,I370,$D$7)&amp;"","")</f>
        <v/>
      </c>
      <c r="L370" s="17">
        <f>IFERROR(INDEX(Clay_Brands!$A$2:$FZ$601,I370,$D$8)&amp;"","")</f>
        <v/>
      </c>
      <c r="M370" s="17">
        <f>IF(J370="","",IF(COUNTIF(Brand_Log!$A$2:$A$201,J370)&gt;0,"Y","N"))</f>
        <v/>
      </c>
      <c r="N370" s="17">
        <f>IF(OR(J370="",AND(LEFT(J370,6)="SAMPLE",Config!$B$19&lt;&gt;"Y")),"",IF(IFERROR(INDEX(Lists!$J$2:$J$15,MATCH(K370,Lists!$I$2:$I$15,0)),-1)=-1,"status '"&amp;K370&amp;"' is not a CONTRACTS status",IF(AND(K370="paid",COUNTIF(paid_brands!$AC$2:$AC$51,J370)=0),"status paid but no paid_brands row"&amp;IF(M370="N"," and no tracker row",""),IF(AND(IFERROR(INDEX(Lists!$J$2:$J$15,MATCH(K370,Lists!$I$2:$I$15,0)),-1)&gt;=6,M370="N"),"status "&amp;K370&amp;" but no tracker row",IF(AND(L370="Y",K370&lt;&gt;"do_not_contact"),"do_not_contact = Y but status is "&amp;K370,IF(AND(K370="do_not_contact",L370&lt;&gt;"Y"),"status do_not_contact but do_not_contact is not Y",""))))))</f>
        <v/>
      </c>
    </row>
    <row r="371">
      <c r="B371" s="17" t="n">
        <v>350</v>
      </c>
      <c r="C371" s="17">
        <f>IFERROR(INDEX(Clay_Offices!$A$2:$FZ$601,B371,$C$5)&amp;"","")</f>
        <v/>
      </c>
      <c r="D371" s="17">
        <f>IFERROR(INDEX(Clay_Offices!$A$2:$FZ$601,B371,$C$7)&amp;"","")</f>
        <v/>
      </c>
      <c r="E371" s="17">
        <f>IFERROR(INDEX(Clay_Offices!$A$2:$FZ$601,B371,$C$8)&amp;"","")</f>
        <v/>
      </c>
      <c r="F371" s="17">
        <f>IF(C371="","",IF(COUNTIF(Office_Log!$A$2:$A$201,C371)&gt;0,"Y","N"))</f>
        <v/>
      </c>
      <c r="G371" s="17">
        <f>IF(OR(C371="",AND(LEFT(C371,6)="SAMPLE",Config!$B$19&lt;&gt;"Y")),"",IF(IFERROR(INDEX(Lists!$J$2:$J$15,MATCH(D371,Lists!$I$2:$I$15,0)),-1)=-1,"status '"&amp;D371&amp;"' is not a CONTRACTS status",IF(AND(D371="signed",COUNTIF(signed_offices!$W$2:$W$51,C371)=0),"status signed but no signed_offices row"&amp;IF(F371="N"," and no tracker row",""),IF(AND(IFERROR(INDEX(Lists!$J$2:$J$15,MATCH(D371,Lists!$I$2:$I$15,0)),-1)&gt;=6,F371="N"),"status "&amp;D371&amp;" but no tracker row",IF(AND(E371="Y",D371&lt;&gt;"do_not_contact"),"do_not_contact = Y but status is "&amp;D371,IF(AND(D371="do_not_contact",E371&lt;&gt;"Y"),"status do_not_contact but do_not_contact is not Y",""))))))</f>
        <v/>
      </c>
      <c r="I371" s="17" t="n">
        <v>350</v>
      </c>
      <c r="J371" s="17">
        <f>IFERROR(INDEX(Clay_Brands!$A$2:$FZ$601,I371,$D$5)&amp;"","")</f>
        <v/>
      </c>
      <c r="K371" s="17">
        <f>IFERROR(INDEX(Clay_Brands!$A$2:$FZ$601,I371,$D$7)&amp;"","")</f>
        <v/>
      </c>
      <c r="L371" s="17">
        <f>IFERROR(INDEX(Clay_Brands!$A$2:$FZ$601,I371,$D$8)&amp;"","")</f>
        <v/>
      </c>
      <c r="M371" s="17">
        <f>IF(J371="","",IF(COUNTIF(Brand_Log!$A$2:$A$201,J371)&gt;0,"Y","N"))</f>
        <v/>
      </c>
      <c r="N371" s="17">
        <f>IF(OR(J371="",AND(LEFT(J371,6)="SAMPLE",Config!$B$19&lt;&gt;"Y")),"",IF(IFERROR(INDEX(Lists!$J$2:$J$15,MATCH(K371,Lists!$I$2:$I$15,0)),-1)=-1,"status '"&amp;K371&amp;"' is not a CONTRACTS status",IF(AND(K371="paid",COUNTIF(paid_brands!$AC$2:$AC$51,J371)=0),"status paid but no paid_brands row"&amp;IF(M371="N"," and no tracker row",""),IF(AND(IFERROR(INDEX(Lists!$J$2:$J$15,MATCH(K371,Lists!$I$2:$I$15,0)),-1)&gt;=6,M371="N"),"status "&amp;K371&amp;" but no tracker row",IF(AND(L371="Y",K371&lt;&gt;"do_not_contact"),"do_not_contact = Y but status is "&amp;K371,IF(AND(K371="do_not_contact",L371&lt;&gt;"Y"),"status do_not_contact but do_not_contact is not Y",""))))))</f>
        <v/>
      </c>
    </row>
    <row r="372">
      <c r="B372" s="17" t="n">
        <v>351</v>
      </c>
      <c r="C372" s="17">
        <f>IFERROR(INDEX(Clay_Offices!$A$2:$FZ$601,B372,$C$5)&amp;"","")</f>
        <v/>
      </c>
      <c r="D372" s="17">
        <f>IFERROR(INDEX(Clay_Offices!$A$2:$FZ$601,B372,$C$7)&amp;"","")</f>
        <v/>
      </c>
      <c r="E372" s="17">
        <f>IFERROR(INDEX(Clay_Offices!$A$2:$FZ$601,B372,$C$8)&amp;"","")</f>
        <v/>
      </c>
      <c r="F372" s="17">
        <f>IF(C372="","",IF(COUNTIF(Office_Log!$A$2:$A$201,C372)&gt;0,"Y","N"))</f>
        <v/>
      </c>
      <c r="G372" s="17">
        <f>IF(OR(C372="",AND(LEFT(C372,6)="SAMPLE",Config!$B$19&lt;&gt;"Y")),"",IF(IFERROR(INDEX(Lists!$J$2:$J$15,MATCH(D372,Lists!$I$2:$I$15,0)),-1)=-1,"status '"&amp;D372&amp;"' is not a CONTRACTS status",IF(AND(D372="signed",COUNTIF(signed_offices!$W$2:$W$51,C372)=0),"status signed but no signed_offices row"&amp;IF(F372="N"," and no tracker row",""),IF(AND(IFERROR(INDEX(Lists!$J$2:$J$15,MATCH(D372,Lists!$I$2:$I$15,0)),-1)&gt;=6,F372="N"),"status "&amp;D372&amp;" but no tracker row",IF(AND(E372="Y",D372&lt;&gt;"do_not_contact"),"do_not_contact = Y but status is "&amp;D372,IF(AND(D372="do_not_contact",E372&lt;&gt;"Y"),"status do_not_contact but do_not_contact is not Y",""))))))</f>
        <v/>
      </c>
      <c r="I372" s="17" t="n">
        <v>351</v>
      </c>
      <c r="J372" s="17">
        <f>IFERROR(INDEX(Clay_Brands!$A$2:$FZ$601,I372,$D$5)&amp;"","")</f>
        <v/>
      </c>
      <c r="K372" s="17">
        <f>IFERROR(INDEX(Clay_Brands!$A$2:$FZ$601,I372,$D$7)&amp;"","")</f>
        <v/>
      </c>
      <c r="L372" s="17">
        <f>IFERROR(INDEX(Clay_Brands!$A$2:$FZ$601,I372,$D$8)&amp;"","")</f>
        <v/>
      </c>
      <c r="M372" s="17">
        <f>IF(J372="","",IF(COUNTIF(Brand_Log!$A$2:$A$201,J372)&gt;0,"Y","N"))</f>
        <v/>
      </c>
      <c r="N372" s="17">
        <f>IF(OR(J372="",AND(LEFT(J372,6)="SAMPLE",Config!$B$19&lt;&gt;"Y")),"",IF(IFERROR(INDEX(Lists!$J$2:$J$15,MATCH(K372,Lists!$I$2:$I$15,0)),-1)=-1,"status '"&amp;K372&amp;"' is not a CONTRACTS status",IF(AND(K372="paid",COUNTIF(paid_brands!$AC$2:$AC$51,J372)=0),"status paid but no paid_brands row"&amp;IF(M372="N"," and no tracker row",""),IF(AND(IFERROR(INDEX(Lists!$J$2:$J$15,MATCH(K372,Lists!$I$2:$I$15,0)),-1)&gt;=6,M372="N"),"status "&amp;K372&amp;" but no tracker row",IF(AND(L372="Y",K372&lt;&gt;"do_not_contact"),"do_not_contact = Y but status is "&amp;K372,IF(AND(K372="do_not_contact",L372&lt;&gt;"Y"),"status do_not_contact but do_not_contact is not Y",""))))))</f>
        <v/>
      </c>
    </row>
    <row r="373">
      <c r="B373" s="17" t="n">
        <v>352</v>
      </c>
      <c r="C373" s="17">
        <f>IFERROR(INDEX(Clay_Offices!$A$2:$FZ$601,B373,$C$5)&amp;"","")</f>
        <v/>
      </c>
      <c r="D373" s="17">
        <f>IFERROR(INDEX(Clay_Offices!$A$2:$FZ$601,B373,$C$7)&amp;"","")</f>
        <v/>
      </c>
      <c r="E373" s="17">
        <f>IFERROR(INDEX(Clay_Offices!$A$2:$FZ$601,B373,$C$8)&amp;"","")</f>
        <v/>
      </c>
      <c r="F373" s="17">
        <f>IF(C373="","",IF(COUNTIF(Office_Log!$A$2:$A$201,C373)&gt;0,"Y","N"))</f>
        <v/>
      </c>
      <c r="G373" s="17">
        <f>IF(OR(C373="",AND(LEFT(C373,6)="SAMPLE",Config!$B$19&lt;&gt;"Y")),"",IF(IFERROR(INDEX(Lists!$J$2:$J$15,MATCH(D373,Lists!$I$2:$I$15,0)),-1)=-1,"status '"&amp;D373&amp;"' is not a CONTRACTS status",IF(AND(D373="signed",COUNTIF(signed_offices!$W$2:$W$51,C373)=0),"status signed but no signed_offices row"&amp;IF(F373="N"," and no tracker row",""),IF(AND(IFERROR(INDEX(Lists!$J$2:$J$15,MATCH(D373,Lists!$I$2:$I$15,0)),-1)&gt;=6,F373="N"),"status "&amp;D373&amp;" but no tracker row",IF(AND(E373="Y",D373&lt;&gt;"do_not_contact"),"do_not_contact = Y but status is "&amp;D373,IF(AND(D373="do_not_contact",E373&lt;&gt;"Y"),"status do_not_contact but do_not_contact is not Y",""))))))</f>
        <v/>
      </c>
      <c r="I373" s="17" t="n">
        <v>352</v>
      </c>
      <c r="J373" s="17">
        <f>IFERROR(INDEX(Clay_Brands!$A$2:$FZ$601,I373,$D$5)&amp;"","")</f>
        <v/>
      </c>
      <c r="K373" s="17">
        <f>IFERROR(INDEX(Clay_Brands!$A$2:$FZ$601,I373,$D$7)&amp;"","")</f>
        <v/>
      </c>
      <c r="L373" s="17">
        <f>IFERROR(INDEX(Clay_Brands!$A$2:$FZ$601,I373,$D$8)&amp;"","")</f>
        <v/>
      </c>
      <c r="M373" s="17">
        <f>IF(J373="","",IF(COUNTIF(Brand_Log!$A$2:$A$201,J373)&gt;0,"Y","N"))</f>
        <v/>
      </c>
      <c r="N373" s="17">
        <f>IF(OR(J373="",AND(LEFT(J373,6)="SAMPLE",Config!$B$19&lt;&gt;"Y")),"",IF(IFERROR(INDEX(Lists!$J$2:$J$15,MATCH(K373,Lists!$I$2:$I$15,0)),-1)=-1,"status '"&amp;K373&amp;"' is not a CONTRACTS status",IF(AND(K373="paid",COUNTIF(paid_brands!$AC$2:$AC$51,J373)=0),"status paid but no paid_brands row"&amp;IF(M373="N"," and no tracker row",""),IF(AND(IFERROR(INDEX(Lists!$J$2:$J$15,MATCH(K373,Lists!$I$2:$I$15,0)),-1)&gt;=6,M373="N"),"status "&amp;K373&amp;" but no tracker row",IF(AND(L373="Y",K373&lt;&gt;"do_not_contact"),"do_not_contact = Y but status is "&amp;K373,IF(AND(K373="do_not_contact",L373&lt;&gt;"Y"),"status do_not_contact but do_not_contact is not Y",""))))))</f>
        <v/>
      </c>
    </row>
    <row r="374">
      <c r="B374" s="17" t="n">
        <v>353</v>
      </c>
      <c r="C374" s="17">
        <f>IFERROR(INDEX(Clay_Offices!$A$2:$FZ$601,B374,$C$5)&amp;"","")</f>
        <v/>
      </c>
      <c r="D374" s="17">
        <f>IFERROR(INDEX(Clay_Offices!$A$2:$FZ$601,B374,$C$7)&amp;"","")</f>
        <v/>
      </c>
      <c r="E374" s="17">
        <f>IFERROR(INDEX(Clay_Offices!$A$2:$FZ$601,B374,$C$8)&amp;"","")</f>
        <v/>
      </c>
      <c r="F374" s="17">
        <f>IF(C374="","",IF(COUNTIF(Office_Log!$A$2:$A$201,C374)&gt;0,"Y","N"))</f>
        <v/>
      </c>
      <c r="G374" s="17">
        <f>IF(OR(C374="",AND(LEFT(C374,6)="SAMPLE",Config!$B$19&lt;&gt;"Y")),"",IF(IFERROR(INDEX(Lists!$J$2:$J$15,MATCH(D374,Lists!$I$2:$I$15,0)),-1)=-1,"status '"&amp;D374&amp;"' is not a CONTRACTS status",IF(AND(D374="signed",COUNTIF(signed_offices!$W$2:$W$51,C374)=0),"status signed but no signed_offices row"&amp;IF(F374="N"," and no tracker row",""),IF(AND(IFERROR(INDEX(Lists!$J$2:$J$15,MATCH(D374,Lists!$I$2:$I$15,0)),-1)&gt;=6,F374="N"),"status "&amp;D374&amp;" but no tracker row",IF(AND(E374="Y",D374&lt;&gt;"do_not_contact"),"do_not_contact = Y but status is "&amp;D374,IF(AND(D374="do_not_contact",E374&lt;&gt;"Y"),"status do_not_contact but do_not_contact is not Y",""))))))</f>
        <v/>
      </c>
      <c r="I374" s="17" t="n">
        <v>353</v>
      </c>
      <c r="J374" s="17">
        <f>IFERROR(INDEX(Clay_Brands!$A$2:$FZ$601,I374,$D$5)&amp;"","")</f>
        <v/>
      </c>
      <c r="K374" s="17">
        <f>IFERROR(INDEX(Clay_Brands!$A$2:$FZ$601,I374,$D$7)&amp;"","")</f>
        <v/>
      </c>
      <c r="L374" s="17">
        <f>IFERROR(INDEX(Clay_Brands!$A$2:$FZ$601,I374,$D$8)&amp;"","")</f>
        <v/>
      </c>
      <c r="M374" s="17">
        <f>IF(J374="","",IF(COUNTIF(Brand_Log!$A$2:$A$201,J374)&gt;0,"Y","N"))</f>
        <v/>
      </c>
      <c r="N374" s="17">
        <f>IF(OR(J374="",AND(LEFT(J374,6)="SAMPLE",Config!$B$19&lt;&gt;"Y")),"",IF(IFERROR(INDEX(Lists!$J$2:$J$15,MATCH(K374,Lists!$I$2:$I$15,0)),-1)=-1,"status '"&amp;K374&amp;"' is not a CONTRACTS status",IF(AND(K374="paid",COUNTIF(paid_brands!$AC$2:$AC$51,J374)=0),"status paid but no paid_brands row"&amp;IF(M374="N"," and no tracker row",""),IF(AND(IFERROR(INDEX(Lists!$J$2:$J$15,MATCH(K374,Lists!$I$2:$I$15,0)),-1)&gt;=6,M374="N"),"status "&amp;K374&amp;" but no tracker row",IF(AND(L374="Y",K374&lt;&gt;"do_not_contact"),"do_not_contact = Y but status is "&amp;K374,IF(AND(K374="do_not_contact",L374&lt;&gt;"Y"),"status do_not_contact but do_not_contact is not Y",""))))))</f>
        <v/>
      </c>
    </row>
    <row r="375">
      <c r="B375" s="17" t="n">
        <v>354</v>
      </c>
      <c r="C375" s="17">
        <f>IFERROR(INDEX(Clay_Offices!$A$2:$FZ$601,B375,$C$5)&amp;"","")</f>
        <v/>
      </c>
      <c r="D375" s="17">
        <f>IFERROR(INDEX(Clay_Offices!$A$2:$FZ$601,B375,$C$7)&amp;"","")</f>
        <v/>
      </c>
      <c r="E375" s="17">
        <f>IFERROR(INDEX(Clay_Offices!$A$2:$FZ$601,B375,$C$8)&amp;"","")</f>
        <v/>
      </c>
      <c r="F375" s="17">
        <f>IF(C375="","",IF(COUNTIF(Office_Log!$A$2:$A$201,C375)&gt;0,"Y","N"))</f>
        <v/>
      </c>
      <c r="G375" s="17">
        <f>IF(OR(C375="",AND(LEFT(C375,6)="SAMPLE",Config!$B$19&lt;&gt;"Y")),"",IF(IFERROR(INDEX(Lists!$J$2:$J$15,MATCH(D375,Lists!$I$2:$I$15,0)),-1)=-1,"status '"&amp;D375&amp;"' is not a CONTRACTS status",IF(AND(D375="signed",COUNTIF(signed_offices!$W$2:$W$51,C375)=0),"status signed but no signed_offices row"&amp;IF(F375="N"," and no tracker row",""),IF(AND(IFERROR(INDEX(Lists!$J$2:$J$15,MATCH(D375,Lists!$I$2:$I$15,0)),-1)&gt;=6,F375="N"),"status "&amp;D375&amp;" but no tracker row",IF(AND(E375="Y",D375&lt;&gt;"do_not_contact"),"do_not_contact = Y but status is "&amp;D375,IF(AND(D375="do_not_contact",E375&lt;&gt;"Y"),"status do_not_contact but do_not_contact is not Y",""))))))</f>
        <v/>
      </c>
      <c r="I375" s="17" t="n">
        <v>354</v>
      </c>
      <c r="J375" s="17">
        <f>IFERROR(INDEX(Clay_Brands!$A$2:$FZ$601,I375,$D$5)&amp;"","")</f>
        <v/>
      </c>
      <c r="K375" s="17">
        <f>IFERROR(INDEX(Clay_Brands!$A$2:$FZ$601,I375,$D$7)&amp;"","")</f>
        <v/>
      </c>
      <c r="L375" s="17">
        <f>IFERROR(INDEX(Clay_Brands!$A$2:$FZ$601,I375,$D$8)&amp;"","")</f>
        <v/>
      </c>
      <c r="M375" s="17">
        <f>IF(J375="","",IF(COUNTIF(Brand_Log!$A$2:$A$201,J375)&gt;0,"Y","N"))</f>
        <v/>
      </c>
      <c r="N375" s="17">
        <f>IF(OR(J375="",AND(LEFT(J375,6)="SAMPLE",Config!$B$19&lt;&gt;"Y")),"",IF(IFERROR(INDEX(Lists!$J$2:$J$15,MATCH(K375,Lists!$I$2:$I$15,0)),-1)=-1,"status '"&amp;K375&amp;"' is not a CONTRACTS status",IF(AND(K375="paid",COUNTIF(paid_brands!$AC$2:$AC$51,J375)=0),"status paid but no paid_brands row"&amp;IF(M375="N"," and no tracker row",""),IF(AND(IFERROR(INDEX(Lists!$J$2:$J$15,MATCH(K375,Lists!$I$2:$I$15,0)),-1)&gt;=6,M375="N"),"status "&amp;K375&amp;" but no tracker row",IF(AND(L375="Y",K375&lt;&gt;"do_not_contact"),"do_not_contact = Y but status is "&amp;K375,IF(AND(K375="do_not_contact",L375&lt;&gt;"Y"),"status do_not_contact but do_not_contact is not Y",""))))))</f>
        <v/>
      </c>
    </row>
    <row r="376">
      <c r="B376" s="17" t="n">
        <v>355</v>
      </c>
      <c r="C376" s="17">
        <f>IFERROR(INDEX(Clay_Offices!$A$2:$FZ$601,B376,$C$5)&amp;"","")</f>
        <v/>
      </c>
      <c r="D376" s="17">
        <f>IFERROR(INDEX(Clay_Offices!$A$2:$FZ$601,B376,$C$7)&amp;"","")</f>
        <v/>
      </c>
      <c r="E376" s="17">
        <f>IFERROR(INDEX(Clay_Offices!$A$2:$FZ$601,B376,$C$8)&amp;"","")</f>
        <v/>
      </c>
      <c r="F376" s="17">
        <f>IF(C376="","",IF(COUNTIF(Office_Log!$A$2:$A$201,C376)&gt;0,"Y","N"))</f>
        <v/>
      </c>
      <c r="G376" s="17">
        <f>IF(OR(C376="",AND(LEFT(C376,6)="SAMPLE",Config!$B$19&lt;&gt;"Y")),"",IF(IFERROR(INDEX(Lists!$J$2:$J$15,MATCH(D376,Lists!$I$2:$I$15,0)),-1)=-1,"status '"&amp;D376&amp;"' is not a CONTRACTS status",IF(AND(D376="signed",COUNTIF(signed_offices!$W$2:$W$51,C376)=0),"status signed but no signed_offices row"&amp;IF(F376="N"," and no tracker row",""),IF(AND(IFERROR(INDEX(Lists!$J$2:$J$15,MATCH(D376,Lists!$I$2:$I$15,0)),-1)&gt;=6,F376="N"),"status "&amp;D376&amp;" but no tracker row",IF(AND(E376="Y",D376&lt;&gt;"do_not_contact"),"do_not_contact = Y but status is "&amp;D376,IF(AND(D376="do_not_contact",E376&lt;&gt;"Y"),"status do_not_contact but do_not_contact is not Y",""))))))</f>
        <v/>
      </c>
      <c r="I376" s="17" t="n">
        <v>355</v>
      </c>
      <c r="J376" s="17">
        <f>IFERROR(INDEX(Clay_Brands!$A$2:$FZ$601,I376,$D$5)&amp;"","")</f>
        <v/>
      </c>
      <c r="K376" s="17">
        <f>IFERROR(INDEX(Clay_Brands!$A$2:$FZ$601,I376,$D$7)&amp;"","")</f>
        <v/>
      </c>
      <c r="L376" s="17">
        <f>IFERROR(INDEX(Clay_Brands!$A$2:$FZ$601,I376,$D$8)&amp;"","")</f>
        <v/>
      </c>
      <c r="M376" s="17">
        <f>IF(J376="","",IF(COUNTIF(Brand_Log!$A$2:$A$201,J376)&gt;0,"Y","N"))</f>
        <v/>
      </c>
      <c r="N376" s="17">
        <f>IF(OR(J376="",AND(LEFT(J376,6)="SAMPLE",Config!$B$19&lt;&gt;"Y")),"",IF(IFERROR(INDEX(Lists!$J$2:$J$15,MATCH(K376,Lists!$I$2:$I$15,0)),-1)=-1,"status '"&amp;K376&amp;"' is not a CONTRACTS status",IF(AND(K376="paid",COUNTIF(paid_brands!$AC$2:$AC$51,J376)=0),"status paid but no paid_brands row"&amp;IF(M376="N"," and no tracker row",""),IF(AND(IFERROR(INDEX(Lists!$J$2:$J$15,MATCH(K376,Lists!$I$2:$I$15,0)),-1)&gt;=6,M376="N"),"status "&amp;K376&amp;" but no tracker row",IF(AND(L376="Y",K376&lt;&gt;"do_not_contact"),"do_not_contact = Y but status is "&amp;K376,IF(AND(K376="do_not_contact",L376&lt;&gt;"Y"),"status do_not_contact but do_not_contact is not Y",""))))))</f>
        <v/>
      </c>
    </row>
    <row r="377">
      <c r="B377" s="17" t="n">
        <v>356</v>
      </c>
      <c r="C377" s="17">
        <f>IFERROR(INDEX(Clay_Offices!$A$2:$FZ$601,B377,$C$5)&amp;"","")</f>
        <v/>
      </c>
      <c r="D377" s="17">
        <f>IFERROR(INDEX(Clay_Offices!$A$2:$FZ$601,B377,$C$7)&amp;"","")</f>
        <v/>
      </c>
      <c r="E377" s="17">
        <f>IFERROR(INDEX(Clay_Offices!$A$2:$FZ$601,B377,$C$8)&amp;"","")</f>
        <v/>
      </c>
      <c r="F377" s="17">
        <f>IF(C377="","",IF(COUNTIF(Office_Log!$A$2:$A$201,C377)&gt;0,"Y","N"))</f>
        <v/>
      </c>
      <c r="G377" s="17">
        <f>IF(OR(C377="",AND(LEFT(C377,6)="SAMPLE",Config!$B$19&lt;&gt;"Y")),"",IF(IFERROR(INDEX(Lists!$J$2:$J$15,MATCH(D377,Lists!$I$2:$I$15,0)),-1)=-1,"status '"&amp;D377&amp;"' is not a CONTRACTS status",IF(AND(D377="signed",COUNTIF(signed_offices!$W$2:$W$51,C377)=0),"status signed but no signed_offices row"&amp;IF(F377="N"," and no tracker row",""),IF(AND(IFERROR(INDEX(Lists!$J$2:$J$15,MATCH(D377,Lists!$I$2:$I$15,0)),-1)&gt;=6,F377="N"),"status "&amp;D377&amp;" but no tracker row",IF(AND(E377="Y",D377&lt;&gt;"do_not_contact"),"do_not_contact = Y but status is "&amp;D377,IF(AND(D377="do_not_contact",E377&lt;&gt;"Y"),"status do_not_contact but do_not_contact is not Y",""))))))</f>
        <v/>
      </c>
      <c r="I377" s="17" t="n">
        <v>356</v>
      </c>
      <c r="J377" s="17">
        <f>IFERROR(INDEX(Clay_Brands!$A$2:$FZ$601,I377,$D$5)&amp;"","")</f>
        <v/>
      </c>
      <c r="K377" s="17">
        <f>IFERROR(INDEX(Clay_Brands!$A$2:$FZ$601,I377,$D$7)&amp;"","")</f>
        <v/>
      </c>
      <c r="L377" s="17">
        <f>IFERROR(INDEX(Clay_Brands!$A$2:$FZ$601,I377,$D$8)&amp;"","")</f>
        <v/>
      </c>
      <c r="M377" s="17">
        <f>IF(J377="","",IF(COUNTIF(Brand_Log!$A$2:$A$201,J377)&gt;0,"Y","N"))</f>
        <v/>
      </c>
      <c r="N377" s="17">
        <f>IF(OR(J377="",AND(LEFT(J377,6)="SAMPLE",Config!$B$19&lt;&gt;"Y")),"",IF(IFERROR(INDEX(Lists!$J$2:$J$15,MATCH(K377,Lists!$I$2:$I$15,0)),-1)=-1,"status '"&amp;K377&amp;"' is not a CONTRACTS status",IF(AND(K377="paid",COUNTIF(paid_brands!$AC$2:$AC$51,J377)=0),"status paid but no paid_brands row"&amp;IF(M377="N"," and no tracker row",""),IF(AND(IFERROR(INDEX(Lists!$J$2:$J$15,MATCH(K377,Lists!$I$2:$I$15,0)),-1)&gt;=6,M377="N"),"status "&amp;K377&amp;" but no tracker row",IF(AND(L377="Y",K377&lt;&gt;"do_not_contact"),"do_not_contact = Y but status is "&amp;K377,IF(AND(K377="do_not_contact",L377&lt;&gt;"Y"),"status do_not_contact but do_not_contact is not Y",""))))))</f>
        <v/>
      </c>
    </row>
    <row r="378">
      <c r="B378" s="17" t="n">
        <v>357</v>
      </c>
      <c r="C378" s="17">
        <f>IFERROR(INDEX(Clay_Offices!$A$2:$FZ$601,B378,$C$5)&amp;"","")</f>
        <v/>
      </c>
      <c r="D378" s="17">
        <f>IFERROR(INDEX(Clay_Offices!$A$2:$FZ$601,B378,$C$7)&amp;"","")</f>
        <v/>
      </c>
      <c r="E378" s="17">
        <f>IFERROR(INDEX(Clay_Offices!$A$2:$FZ$601,B378,$C$8)&amp;"","")</f>
        <v/>
      </c>
      <c r="F378" s="17">
        <f>IF(C378="","",IF(COUNTIF(Office_Log!$A$2:$A$201,C378)&gt;0,"Y","N"))</f>
        <v/>
      </c>
      <c r="G378" s="17">
        <f>IF(OR(C378="",AND(LEFT(C378,6)="SAMPLE",Config!$B$19&lt;&gt;"Y")),"",IF(IFERROR(INDEX(Lists!$J$2:$J$15,MATCH(D378,Lists!$I$2:$I$15,0)),-1)=-1,"status '"&amp;D378&amp;"' is not a CONTRACTS status",IF(AND(D378="signed",COUNTIF(signed_offices!$W$2:$W$51,C378)=0),"status signed but no signed_offices row"&amp;IF(F378="N"," and no tracker row",""),IF(AND(IFERROR(INDEX(Lists!$J$2:$J$15,MATCH(D378,Lists!$I$2:$I$15,0)),-1)&gt;=6,F378="N"),"status "&amp;D378&amp;" but no tracker row",IF(AND(E378="Y",D378&lt;&gt;"do_not_contact"),"do_not_contact = Y but status is "&amp;D378,IF(AND(D378="do_not_contact",E378&lt;&gt;"Y"),"status do_not_contact but do_not_contact is not Y",""))))))</f>
        <v/>
      </c>
      <c r="I378" s="17" t="n">
        <v>357</v>
      </c>
      <c r="J378" s="17">
        <f>IFERROR(INDEX(Clay_Brands!$A$2:$FZ$601,I378,$D$5)&amp;"","")</f>
        <v/>
      </c>
      <c r="K378" s="17">
        <f>IFERROR(INDEX(Clay_Brands!$A$2:$FZ$601,I378,$D$7)&amp;"","")</f>
        <v/>
      </c>
      <c r="L378" s="17">
        <f>IFERROR(INDEX(Clay_Brands!$A$2:$FZ$601,I378,$D$8)&amp;"","")</f>
        <v/>
      </c>
      <c r="M378" s="17">
        <f>IF(J378="","",IF(COUNTIF(Brand_Log!$A$2:$A$201,J378)&gt;0,"Y","N"))</f>
        <v/>
      </c>
      <c r="N378" s="17">
        <f>IF(OR(J378="",AND(LEFT(J378,6)="SAMPLE",Config!$B$19&lt;&gt;"Y")),"",IF(IFERROR(INDEX(Lists!$J$2:$J$15,MATCH(K378,Lists!$I$2:$I$15,0)),-1)=-1,"status '"&amp;K378&amp;"' is not a CONTRACTS status",IF(AND(K378="paid",COUNTIF(paid_brands!$AC$2:$AC$51,J378)=0),"status paid but no paid_brands row"&amp;IF(M378="N"," and no tracker row",""),IF(AND(IFERROR(INDEX(Lists!$J$2:$J$15,MATCH(K378,Lists!$I$2:$I$15,0)),-1)&gt;=6,M378="N"),"status "&amp;K378&amp;" but no tracker row",IF(AND(L378="Y",K378&lt;&gt;"do_not_contact"),"do_not_contact = Y but status is "&amp;K378,IF(AND(K378="do_not_contact",L378&lt;&gt;"Y"),"status do_not_contact but do_not_contact is not Y",""))))))</f>
        <v/>
      </c>
    </row>
    <row r="379">
      <c r="B379" s="17" t="n">
        <v>358</v>
      </c>
      <c r="C379" s="17">
        <f>IFERROR(INDEX(Clay_Offices!$A$2:$FZ$601,B379,$C$5)&amp;"","")</f>
        <v/>
      </c>
      <c r="D379" s="17">
        <f>IFERROR(INDEX(Clay_Offices!$A$2:$FZ$601,B379,$C$7)&amp;"","")</f>
        <v/>
      </c>
      <c r="E379" s="17">
        <f>IFERROR(INDEX(Clay_Offices!$A$2:$FZ$601,B379,$C$8)&amp;"","")</f>
        <v/>
      </c>
      <c r="F379" s="17">
        <f>IF(C379="","",IF(COUNTIF(Office_Log!$A$2:$A$201,C379)&gt;0,"Y","N"))</f>
        <v/>
      </c>
      <c r="G379" s="17">
        <f>IF(OR(C379="",AND(LEFT(C379,6)="SAMPLE",Config!$B$19&lt;&gt;"Y")),"",IF(IFERROR(INDEX(Lists!$J$2:$J$15,MATCH(D379,Lists!$I$2:$I$15,0)),-1)=-1,"status '"&amp;D379&amp;"' is not a CONTRACTS status",IF(AND(D379="signed",COUNTIF(signed_offices!$W$2:$W$51,C379)=0),"status signed but no signed_offices row"&amp;IF(F379="N"," and no tracker row",""),IF(AND(IFERROR(INDEX(Lists!$J$2:$J$15,MATCH(D379,Lists!$I$2:$I$15,0)),-1)&gt;=6,F379="N"),"status "&amp;D379&amp;" but no tracker row",IF(AND(E379="Y",D379&lt;&gt;"do_not_contact"),"do_not_contact = Y but status is "&amp;D379,IF(AND(D379="do_not_contact",E379&lt;&gt;"Y"),"status do_not_contact but do_not_contact is not Y",""))))))</f>
        <v/>
      </c>
      <c r="I379" s="17" t="n">
        <v>358</v>
      </c>
      <c r="J379" s="17">
        <f>IFERROR(INDEX(Clay_Brands!$A$2:$FZ$601,I379,$D$5)&amp;"","")</f>
        <v/>
      </c>
      <c r="K379" s="17">
        <f>IFERROR(INDEX(Clay_Brands!$A$2:$FZ$601,I379,$D$7)&amp;"","")</f>
        <v/>
      </c>
      <c r="L379" s="17">
        <f>IFERROR(INDEX(Clay_Brands!$A$2:$FZ$601,I379,$D$8)&amp;"","")</f>
        <v/>
      </c>
      <c r="M379" s="17">
        <f>IF(J379="","",IF(COUNTIF(Brand_Log!$A$2:$A$201,J379)&gt;0,"Y","N"))</f>
        <v/>
      </c>
      <c r="N379" s="17">
        <f>IF(OR(J379="",AND(LEFT(J379,6)="SAMPLE",Config!$B$19&lt;&gt;"Y")),"",IF(IFERROR(INDEX(Lists!$J$2:$J$15,MATCH(K379,Lists!$I$2:$I$15,0)),-1)=-1,"status '"&amp;K379&amp;"' is not a CONTRACTS status",IF(AND(K379="paid",COUNTIF(paid_brands!$AC$2:$AC$51,J379)=0),"status paid but no paid_brands row"&amp;IF(M379="N"," and no tracker row",""),IF(AND(IFERROR(INDEX(Lists!$J$2:$J$15,MATCH(K379,Lists!$I$2:$I$15,0)),-1)&gt;=6,M379="N"),"status "&amp;K379&amp;" but no tracker row",IF(AND(L379="Y",K379&lt;&gt;"do_not_contact"),"do_not_contact = Y but status is "&amp;K379,IF(AND(K379="do_not_contact",L379&lt;&gt;"Y"),"status do_not_contact but do_not_contact is not Y",""))))))</f>
        <v/>
      </c>
    </row>
    <row r="380">
      <c r="B380" s="17" t="n">
        <v>359</v>
      </c>
      <c r="C380" s="17">
        <f>IFERROR(INDEX(Clay_Offices!$A$2:$FZ$601,B380,$C$5)&amp;"","")</f>
        <v/>
      </c>
      <c r="D380" s="17">
        <f>IFERROR(INDEX(Clay_Offices!$A$2:$FZ$601,B380,$C$7)&amp;"","")</f>
        <v/>
      </c>
      <c r="E380" s="17">
        <f>IFERROR(INDEX(Clay_Offices!$A$2:$FZ$601,B380,$C$8)&amp;"","")</f>
        <v/>
      </c>
      <c r="F380" s="17">
        <f>IF(C380="","",IF(COUNTIF(Office_Log!$A$2:$A$201,C380)&gt;0,"Y","N"))</f>
        <v/>
      </c>
      <c r="G380" s="17">
        <f>IF(OR(C380="",AND(LEFT(C380,6)="SAMPLE",Config!$B$19&lt;&gt;"Y")),"",IF(IFERROR(INDEX(Lists!$J$2:$J$15,MATCH(D380,Lists!$I$2:$I$15,0)),-1)=-1,"status '"&amp;D380&amp;"' is not a CONTRACTS status",IF(AND(D380="signed",COUNTIF(signed_offices!$W$2:$W$51,C380)=0),"status signed but no signed_offices row"&amp;IF(F380="N"," and no tracker row",""),IF(AND(IFERROR(INDEX(Lists!$J$2:$J$15,MATCH(D380,Lists!$I$2:$I$15,0)),-1)&gt;=6,F380="N"),"status "&amp;D380&amp;" but no tracker row",IF(AND(E380="Y",D380&lt;&gt;"do_not_contact"),"do_not_contact = Y but status is "&amp;D380,IF(AND(D380="do_not_contact",E380&lt;&gt;"Y"),"status do_not_contact but do_not_contact is not Y",""))))))</f>
        <v/>
      </c>
      <c r="I380" s="17" t="n">
        <v>359</v>
      </c>
      <c r="J380" s="17">
        <f>IFERROR(INDEX(Clay_Brands!$A$2:$FZ$601,I380,$D$5)&amp;"","")</f>
        <v/>
      </c>
      <c r="K380" s="17">
        <f>IFERROR(INDEX(Clay_Brands!$A$2:$FZ$601,I380,$D$7)&amp;"","")</f>
        <v/>
      </c>
      <c r="L380" s="17">
        <f>IFERROR(INDEX(Clay_Brands!$A$2:$FZ$601,I380,$D$8)&amp;"","")</f>
        <v/>
      </c>
      <c r="M380" s="17">
        <f>IF(J380="","",IF(COUNTIF(Brand_Log!$A$2:$A$201,J380)&gt;0,"Y","N"))</f>
        <v/>
      </c>
      <c r="N380" s="17">
        <f>IF(OR(J380="",AND(LEFT(J380,6)="SAMPLE",Config!$B$19&lt;&gt;"Y")),"",IF(IFERROR(INDEX(Lists!$J$2:$J$15,MATCH(K380,Lists!$I$2:$I$15,0)),-1)=-1,"status '"&amp;K380&amp;"' is not a CONTRACTS status",IF(AND(K380="paid",COUNTIF(paid_brands!$AC$2:$AC$51,J380)=0),"status paid but no paid_brands row"&amp;IF(M380="N"," and no tracker row",""),IF(AND(IFERROR(INDEX(Lists!$J$2:$J$15,MATCH(K380,Lists!$I$2:$I$15,0)),-1)&gt;=6,M380="N"),"status "&amp;K380&amp;" but no tracker row",IF(AND(L380="Y",K380&lt;&gt;"do_not_contact"),"do_not_contact = Y but status is "&amp;K380,IF(AND(K380="do_not_contact",L380&lt;&gt;"Y"),"status do_not_contact but do_not_contact is not Y",""))))))</f>
        <v/>
      </c>
    </row>
    <row r="381">
      <c r="B381" s="17" t="n">
        <v>360</v>
      </c>
      <c r="C381" s="17">
        <f>IFERROR(INDEX(Clay_Offices!$A$2:$FZ$601,B381,$C$5)&amp;"","")</f>
        <v/>
      </c>
      <c r="D381" s="17">
        <f>IFERROR(INDEX(Clay_Offices!$A$2:$FZ$601,B381,$C$7)&amp;"","")</f>
        <v/>
      </c>
      <c r="E381" s="17">
        <f>IFERROR(INDEX(Clay_Offices!$A$2:$FZ$601,B381,$C$8)&amp;"","")</f>
        <v/>
      </c>
      <c r="F381" s="17">
        <f>IF(C381="","",IF(COUNTIF(Office_Log!$A$2:$A$201,C381)&gt;0,"Y","N"))</f>
        <v/>
      </c>
      <c r="G381" s="17">
        <f>IF(OR(C381="",AND(LEFT(C381,6)="SAMPLE",Config!$B$19&lt;&gt;"Y")),"",IF(IFERROR(INDEX(Lists!$J$2:$J$15,MATCH(D381,Lists!$I$2:$I$15,0)),-1)=-1,"status '"&amp;D381&amp;"' is not a CONTRACTS status",IF(AND(D381="signed",COUNTIF(signed_offices!$W$2:$W$51,C381)=0),"status signed but no signed_offices row"&amp;IF(F381="N"," and no tracker row",""),IF(AND(IFERROR(INDEX(Lists!$J$2:$J$15,MATCH(D381,Lists!$I$2:$I$15,0)),-1)&gt;=6,F381="N"),"status "&amp;D381&amp;" but no tracker row",IF(AND(E381="Y",D381&lt;&gt;"do_not_contact"),"do_not_contact = Y but status is "&amp;D381,IF(AND(D381="do_not_contact",E381&lt;&gt;"Y"),"status do_not_contact but do_not_contact is not Y",""))))))</f>
        <v/>
      </c>
      <c r="I381" s="17" t="n">
        <v>360</v>
      </c>
      <c r="J381" s="17">
        <f>IFERROR(INDEX(Clay_Brands!$A$2:$FZ$601,I381,$D$5)&amp;"","")</f>
        <v/>
      </c>
      <c r="K381" s="17">
        <f>IFERROR(INDEX(Clay_Brands!$A$2:$FZ$601,I381,$D$7)&amp;"","")</f>
        <v/>
      </c>
      <c r="L381" s="17">
        <f>IFERROR(INDEX(Clay_Brands!$A$2:$FZ$601,I381,$D$8)&amp;"","")</f>
        <v/>
      </c>
      <c r="M381" s="17">
        <f>IF(J381="","",IF(COUNTIF(Brand_Log!$A$2:$A$201,J381)&gt;0,"Y","N"))</f>
        <v/>
      </c>
      <c r="N381" s="17">
        <f>IF(OR(J381="",AND(LEFT(J381,6)="SAMPLE",Config!$B$19&lt;&gt;"Y")),"",IF(IFERROR(INDEX(Lists!$J$2:$J$15,MATCH(K381,Lists!$I$2:$I$15,0)),-1)=-1,"status '"&amp;K381&amp;"' is not a CONTRACTS status",IF(AND(K381="paid",COUNTIF(paid_brands!$AC$2:$AC$51,J381)=0),"status paid but no paid_brands row"&amp;IF(M381="N"," and no tracker row",""),IF(AND(IFERROR(INDEX(Lists!$J$2:$J$15,MATCH(K381,Lists!$I$2:$I$15,0)),-1)&gt;=6,M381="N"),"status "&amp;K381&amp;" but no tracker row",IF(AND(L381="Y",K381&lt;&gt;"do_not_contact"),"do_not_contact = Y but status is "&amp;K381,IF(AND(K381="do_not_contact",L381&lt;&gt;"Y"),"status do_not_contact but do_not_contact is not Y",""))))))</f>
        <v/>
      </c>
    </row>
    <row r="382">
      <c r="B382" s="17" t="n">
        <v>361</v>
      </c>
      <c r="C382" s="17">
        <f>IFERROR(INDEX(Clay_Offices!$A$2:$FZ$601,B382,$C$5)&amp;"","")</f>
        <v/>
      </c>
      <c r="D382" s="17">
        <f>IFERROR(INDEX(Clay_Offices!$A$2:$FZ$601,B382,$C$7)&amp;"","")</f>
        <v/>
      </c>
      <c r="E382" s="17">
        <f>IFERROR(INDEX(Clay_Offices!$A$2:$FZ$601,B382,$C$8)&amp;"","")</f>
        <v/>
      </c>
      <c r="F382" s="17">
        <f>IF(C382="","",IF(COUNTIF(Office_Log!$A$2:$A$201,C382)&gt;0,"Y","N"))</f>
        <v/>
      </c>
      <c r="G382" s="17">
        <f>IF(OR(C382="",AND(LEFT(C382,6)="SAMPLE",Config!$B$19&lt;&gt;"Y")),"",IF(IFERROR(INDEX(Lists!$J$2:$J$15,MATCH(D382,Lists!$I$2:$I$15,0)),-1)=-1,"status '"&amp;D382&amp;"' is not a CONTRACTS status",IF(AND(D382="signed",COUNTIF(signed_offices!$W$2:$W$51,C382)=0),"status signed but no signed_offices row"&amp;IF(F382="N"," and no tracker row",""),IF(AND(IFERROR(INDEX(Lists!$J$2:$J$15,MATCH(D382,Lists!$I$2:$I$15,0)),-1)&gt;=6,F382="N"),"status "&amp;D382&amp;" but no tracker row",IF(AND(E382="Y",D382&lt;&gt;"do_not_contact"),"do_not_contact = Y but status is "&amp;D382,IF(AND(D382="do_not_contact",E382&lt;&gt;"Y"),"status do_not_contact but do_not_contact is not Y",""))))))</f>
        <v/>
      </c>
      <c r="I382" s="17" t="n">
        <v>361</v>
      </c>
      <c r="J382" s="17">
        <f>IFERROR(INDEX(Clay_Brands!$A$2:$FZ$601,I382,$D$5)&amp;"","")</f>
        <v/>
      </c>
      <c r="K382" s="17">
        <f>IFERROR(INDEX(Clay_Brands!$A$2:$FZ$601,I382,$D$7)&amp;"","")</f>
        <v/>
      </c>
      <c r="L382" s="17">
        <f>IFERROR(INDEX(Clay_Brands!$A$2:$FZ$601,I382,$D$8)&amp;"","")</f>
        <v/>
      </c>
      <c r="M382" s="17">
        <f>IF(J382="","",IF(COUNTIF(Brand_Log!$A$2:$A$201,J382)&gt;0,"Y","N"))</f>
        <v/>
      </c>
      <c r="N382" s="17">
        <f>IF(OR(J382="",AND(LEFT(J382,6)="SAMPLE",Config!$B$19&lt;&gt;"Y")),"",IF(IFERROR(INDEX(Lists!$J$2:$J$15,MATCH(K382,Lists!$I$2:$I$15,0)),-1)=-1,"status '"&amp;K382&amp;"' is not a CONTRACTS status",IF(AND(K382="paid",COUNTIF(paid_brands!$AC$2:$AC$51,J382)=0),"status paid but no paid_brands row"&amp;IF(M382="N"," and no tracker row",""),IF(AND(IFERROR(INDEX(Lists!$J$2:$J$15,MATCH(K382,Lists!$I$2:$I$15,0)),-1)&gt;=6,M382="N"),"status "&amp;K382&amp;" but no tracker row",IF(AND(L382="Y",K382&lt;&gt;"do_not_contact"),"do_not_contact = Y but status is "&amp;K382,IF(AND(K382="do_not_contact",L382&lt;&gt;"Y"),"status do_not_contact but do_not_contact is not Y",""))))))</f>
        <v/>
      </c>
    </row>
    <row r="383">
      <c r="B383" s="17" t="n">
        <v>362</v>
      </c>
      <c r="C383" s="17">
        <f>IFERROR(INDEX(Clay_Offices!$A$2:$FZ$601,B383,$C$5)&amp;"","")</f>
        <v/>
      </c>
      <c r="D383" s="17">
        <f>IFERROR(INDEX(Clay_Offices!$A$2:$FZ$601,B383,$C$7)&amp;"","")</f>
        <v/>
      </c>
      <c r="E383" s="17">
        <f>IFERROR(INDEX(Clay_Offices!$A$2:$FZ$601,B383,$C$8)&amp;"","")</f>
        <v/>
      </c>
      <c r="F383" s="17">
        <f>IF(C383="","",IF(COUNTIF(Office_Log!$A$2:$A$201,C383)&gt;0,"Y","N"))</f>
        <v/>
      </c>
      <c r="G383" s="17">
        <f>IF(OR(C383="",AND(LEFT(C383,6)="SAMPLE",Config!$B$19&lt;&gt;"Y")),"",IF(IFERROR(INDEX(Lists!$J$2:$J$15,MATCH(D383,Lists!$I$2:$I$15,0)),-1)=-1,"status '"&amp;D383&amp;"' is not a CONTRACTS status",IF(AND(D383="signed",COUNTIF(signed_offices!$W$2:$W$51,C383)=0),"status signed but no signed_offices row"&amp;IF(F383="N"," and no tracker row",""),IF(AND(IFERROR(INDEX(Lists!$J$2:$J$15,MATCH(D383,Lists!$I$2:$I$15,0)),-1)&gt;=6,F383="N"),"status "&amp;D383&amp;" but no tracker row",IF(AND(E383="Y",D383&lt;&gt;"do_not_contact"),"do_not_contact = Y but status is "&amp;D383,IF(AND(D383="do_not_contact",E383&lt;&gt;"Y"),"status do_not_contact but do_not_contact is not Y",""))))))</f>
        <v/>
      </c>
      <c r="I383" s="17" t="n">
        <v>362</v>
      </c>
      <c r="J383" s="17">
        <f>IFERROR(INDEX(Clay_Brands!$A$2:$FZ$601,I383,$D$5)&amp;"","")</f>
        <v/>
      </c>
      <c r="K383" s="17">
        <f>IFERROR(INDEX(Clay_Brands!$A$2:$FZ$601,I383,$D$7)&amp;"","")</f>
        <v/>
      </c>
      <c r="L383" s="17">
        <f>IFERROR(INDEX(Clay_Brands!$A$2:$FZ$601,I383,$D$8)&amp;"","")</f>
        <v/>
      </c>
      <c r="M383" s="17">
        <f>IF(J383="","",IF(COUNTIF(Brand_Log!$A$2:$A$201,J383)&gt;0,"Y","N"))</f>
        <v/>
      </c>
      <c r="N383" s="17">
        <f>IF(OR(J383="",AND(LEFT(J383,6)="SAMPLE",Config!$B$19&lt;&gt;"Y")),"",IF(IFERROR(INDEX(Lists!$J$2:$J$15,MATCH(K383,Lists!$I$2:$I$15,0)),-1)=-1,"status '"&amp;K383&amp;"' is not a CONTRACTS status",IF(AND(K383="paid",COUNTIF(paid_brands!$AC$2:$AC$51,J383)=0),"status paid but no paid_brands row"&amp;IF(M383="N"," and no tracker row",""),IF(AND(IFERROR(INDEX(Lists!$J$2:$J$15,MATCH(K383,Lists!$I$2:$I$15,0)),-1)&gt;=6,M383="N"),"status "&amp;K383&amp;" but no tracker row",IF(AND(L383="Y",K383&lt;&gt;"do_not_contact"),"do_not_contact = Y but status is "&amp;K383,IF(AND(K383="do_not_contact",L383&lt;&gt;"Y"),"status do_not_contact but do_not_contact is not Y",""))))))</f>
        <v/>
      </c>
    </row>
    <row r="384">
      <c r="B384" s="17" t="n">
        <v>363</v>
      </c>
      <c r="C384" s="17">
        <f>IFERROR(INDEX(Clay_Offices!$A$2:$FZ$601,B384,$C$5)&amp;"","")</f>
        <v/>
      </c>
      <c r="D384" s="17">
        <f>IFERROR(INDEX(Clay_Offices!$A$2:$FZ$601,B384,$C$7)&amp;"","")</f>
        <v/>
      </c>
      <c r="E384" s="17">
        <f>IFERROR(INDEX(Clay_Offices!$A$2:$FZ$601,B384,$C$8)&amp;"","")</f>
        <v/>
      </c>
      <c r="F384" s="17">
        <f>IF(C384="","",IF(COUNTIF(Office_Log!$A$2:$A$201,C384)&gt;0,"Y","N"))</f>
        <v/>
      </c>
      <c r="G384" s="17">
        <f>IF(OR(C384="",AND(LEFT(C384,6)="SAMPLE",Config!$B$19&lt;&gt;"Y")),"",IF(IFERROR(INDEX(Lists!$J$2:$J$15,MATCH(D384,Lists!$I$2:$I$15,0)),-1)=-1,"status '"&amp;D384&amp;"' is not a CONTRACTS status",IF(AND(D384="signed",COUNTIF(signed_offices!$W$2:$W$51,C384)=0),"status signed but no signed_offices row"&amp;IF(F384="N"," and no tracker row",""),IF(AND(IFERROR(INDEX(Lists!$J$2:$J$15,MATCH(D384,Lists!$I$2:$I$15,0)),-1)&gt;=6,F384="N"),"status "&amp;D384&amp;" but no tracker row",IF(AND(E384="Y",D384&lt;&gt;"do_not_contact"),"do_not_contact = Y but status is "&amp;D384,IF(AND(D384="do_not_contact",E384&lt;&gt;"Y"),"status do_not_contact but do_not_contact is not Y",""))))))</f>
        <v/>
      </c>
      <c r="I384" s="17" t="n">
        <v>363</v>
      </c>
      <c r="J384" s="17">
        <f>IFERROR(INDEX(Clay_Brands!$A$2:$FZ$601,I384,$D$5)&amp;"","")</f>
        <v/>
      </c>
      <c r="K384" s="17">
        <f>IFERROR(INDEX(Clay_Brands!$A$2:$FZ$601,I384,$D$7)&amp;"","")</f>
        <v/>
      </c>
      <c r="L384" s="17">
        <f>IFERROR(INDEX(Clay_Brands!$A$2:$FZ$601,I384,$D$8)&amp;"","")</f>
        <v/>
      </c>
      <c r="M384" s="17">
        <f>IF(J384="","",IF(COUNTIF(Brand_Log!$A$2:$A$201,J384)&gt;0,"Y","N"))</f>
        <v/>
      </c>
      <c r="N384" s="17">
        <f>IF(OR(J384="",AND(LEFT(J384,6)="SAMPLE",Config!$B$19&lt;&gt;"Y")),"",IF(IFERROR(INDEX(Lists!$J$2:$J$15,MATCH(K384,Lists!$I$2:$I$15,0)),-1)=-1,"status '"&amp;K384&amp;"' is not a CONTRACTS status",IF(AND(K384="paid",COUNTIF(paid_brands!$AC$2:$AC$51,J384)=0),"status paid but no paid_brands row"&amp;IF(M384="N"," and no tracker row",""),IF(AND(IFERROR(INDEX(Lists!$J$2:$J$15,MATCH(K384,Lists!$I$2:$I$15,0)),-1)&gt;=6,M384="N"),"status "&amp;K384&amp;" but no tracker row",IF(AND(L384="Y",K384&lt;&gt;"do_not_contact"),"do_not_contact = Y but status is "&amp;K384,IF(AND(K384="do_not_contact",L384&lt;&gt;"Y"),"status do_not_contact but do_not_contact is not Y",""))))))</f>
        <v/>
      </c>
    </row>
    <row r="385">
      <c r="B385" s="17" t="n">
        <v>364</v>
      </c>
      <c r="C385" s="17">
        <f>IFERROR(INDEX(Clay_Offices!$A$2:$FZ$601,B385,$C$5)&amp;"","")</f>
        <v/>
      </c>
      <c r="D385" s="17">
        <f>IFERROR(INDEX(Clay_Offices!$A$2:$FZ$601,B385,$C$7)&amp;"","")</f>
        <v/>
      </c>
      <c r="E385" s="17">
        <f>IFERROR(INDEX(Clay_Offices!$A$2:$FZ$601,B385,$C$8)&amp;"","")</f>
        <v/>
      </c>
      <c r="F385" s="17">
        <f>IF(C385="","",IF(COUNTIF(Office_Log!$A$2:$A$201,C385)&gt;0,"Y","N"))</f>
        <v/>
      </c>
      <c r="G385" s="17">
        <f>IF(OR(C385="",AND(LEFT(C385,6)="SAMPLE",Config!$B$19&lt;&gt;"Y")),"",IF(IFERROR(INDEX(Lists!$J$2:$J$15,MATCH(D385,Lists!$I$2:$I$15,0)),-1)=-1,"status '"&amp;D385&amp;"' is not a CONTRACTS status",IF(AND(D385="signed",COUNTIF(signed_offices!$W$2:$W$51,C385)=0),"status signed but no signed_offices row"&amp;IF(F385="N"," and no tracker row",""),IF(AND(IFERROR(INDEX(Lists!$J$2:$J$15,MATCH(D385,Lists!$I$2:$I$15,0)),-1)&gt;=6,F385="N"),"status "&amp;D385&amp;" but no tracker row",IF(AND(E385="Y",D385&lt;&gt;"do_not_contact"),"do_not_contact = Y but status is "&amp;D385,IF(AND(D385="do_not_contact",E385&lt;&gt;"Y"),"status do_not_contact but do_not_contact is not Y",""))))))</f>
        <v/>
      </c>
      <c r="I385" s="17" t="n">
        <v>364</v>
      </c>
      <c r="J385" s="17">
        <f>IFERROR(INDEX(Clay_Brands!$A$2:$FZ$601,I385,$D$5)&amp;"","")</f>
        <v/>
      </c>
      <c r="K385" s="17">
        <f>IFERROR(INDEX(Clay_Brands!$A$2:$FZ$601,I385,$D$7)&amp;"","")</f>
        <v/>
      </c>
      <c r="L385" s="17">
        <f>IFERROR(INDEX(Clay_Brands!$A$2:$FZ$601,I385,$D$8)&amp;"","")</f>
        <v/>
      </c>
      <c r="M385" s="17">
        <f>IF(J385="","",IF(COUNTIF(Brand_Log!$A$2:$A$201,J385)&gt;0,"Y","N"))</f>
        <v/>
      </c>
      <c r="N385" s="17">
        <f>IF(OR(J385="",AND(LEFT(J385,6)="SAMPLE",Config!$B$19&lt;&gt;"Y")),"",IF(IFERROR(INDEX(Lists!$J$2:$J$15,MATCH(K385,Lists!$I$2:$I$15,0)),-1)=-1,"status '"&amp;K385&amp;"' is not a CONTRACTS status",IF(AND(K385="paid",COUNTIF(paid_brands!$AC$2:$AC$51,J385)=0),"status paid but no paid_brands row"&amp;IF(M385="N"," and no tracker row",""),IF(AND(IFERROR(INDEX(Lists!$J$2:$J$15,MATCH(K385,Lists!$I$2:$I$15,0)),-1)&gt;=6,M385="N"),"status "&amp;K385&amp;" but no tracker row",IF(AND(L385="Y",K385&lt;&gt;"do_not_contact"),"do_not_contact = Y but status is "&amp;K385,IF(AND(K385="do_not_contact",L385&lt;&gt;"Y"),"status do_not_contact but do_not_contact is not Y",""))))))</f>
        <v/>
      </c>
    </row>
    <row r="386">
      <c r="B386" s="17" t="n">
        <v>365</v>
      </c>
      <c r="C386" s="17">
        <f>IFERROR(INDEX(Clay_Offices!$A$2:$FZ$601,B386,$C$5)&amp;"","")</f>
        <v/>
      </c>
      <c r="D386" s="17">
        <f>IFERROR(INDEX(Clay_Offices!$A$2:$FZ$601,B386,$C$7)&amp;"","")</f>
        <v/>
      </c>
      <c r="E386" s="17">
        <f>IFERROR(INDEX(Clay_Offices!$A$2:$FZ$601,B386,$C$8)&amp;"","")</f>
        <v/>
      </c>
      <c r="F386" s="17">
        <f>IF(C386="","",IF(COUNTIF(Office_Log!$A$2:$A$201,C386)&gt;0,"Y","N"))</f>
        <v/>
      </c>
      <c r="G386" s="17">
        <f>IF(OR(C386="",AND(LEFT(C386,6)="SAMPLE",Config!$B$19&lt;&gt;"Y")),"",IF(IFERROR(INDEX(Lists!$J$2:$J$15,MATCH(D386,Lists!$I$2:$I$15,0)),-1)=-1,"status '"&amp;D386&amp;"' is not a CONTRACTS status",IF(AND(D386="signed",COUNTIF(signed_offices!$W$2:$W$51,C386)=0),"status signed but no signed_offices row"&amp;IF(F386="N"," and no tracker row",""),IF(AND(IFERROR(INDEX(Lists!$J$2:$J$15,MATCH(D386,Lists!$I$2:$I$15,0)),-1)&gt;=6,F386="N"),"status "&amp;D386&amp;" but no tracker row",IF(AND(E386="Y",D386&lt;&gt;"do_not_contact"),"do_not_contact = Y but status is "&amp;D386,IF(AND(D386="do_not_contact",E386&lt;&gt;"Y"),"status do_not_contact but do_not_contact is not Y",""))))))</f>
        <v/>
      </c>
      <c r="I386" s="17" t="n">
        <v>365</v>
      </c>
      <c r="J386" s="17">
        <f>IFERROR(INDEX(Clay_Brands!$A$2:$FZ$601,I386,$D$5)&amp;"","")</f>
        <v/>
      </c>
      <c r="K386" s="17">
        <f>IFERROR(INDEX(Clay_Brands!$A$2:$FZ$601,I386,$D$7)&amp;"","")</f>
        <v/>
      </c>
      <c r="L386" s="17">
        <f>IFERROR(INDEX(Clay_Brands!$A$2:$FZ$601,I386,$D$8)&amp;"","")</f>
        <v/>
      </c>
      <c r="M386" s="17">
        <f>IF(J386="","",IF(COUNTIF(Brand_Log!$A$2:$A$201,J386)&gt;0,"Y","N"))</f>
        <v/>
      </c>
      <c r="N386" s="17">
        <f>IF(OR(J386="",AND(LEFT(J386,6)="SAMPLE",Config!$B$19&lt;&gt;"Y")),"",IF(IFERROR(INDEX(Lists!$J$2:$J$15,MATCH(K386,Lists!$I$2:$I$15,0)),-1)=-1,"status '"&amp;K386&amp;"' is not a CONTRACTS status",IF(AND(K386="paid",COUNTIF(paid_brands!$AC$2:$AC$51,J386)=0),"status paid but no paid_brands row"&amp;IF(M386="N"," and no tracker row",""),IF(AND(IFERROR(INDEX(Lists!$J$2:$J$15,MATCH(K386,Lists!$I$2:$I$15,0)),-1)&gt;=6,M386="N"),"status "&amp;K386&amp;" but no tracker row",IF(AND(L386="Y",K386&lt;&gt;"do_not_contact"),"do_not_contact = Y but status is "&amp;K386,IF(AND(K386="do_not_contact",L386&lt;&gt;"Y"),"status do_not_contact but do_not_contact is not Y",""))))))</f>
        <v/>
      </c>
    </row>
    <row r="387">
      <c r="B387" s="17" t="n">
        <v>366</v>
      </c>
      <c r="C387" s="17">
        <f>IFERROR(INDEX(Clay_Offices!$A$2:$FZ$601,B387,$C$5)&amp;"","")</f>
        <v/>
      </c>
      <c r="D387" s="17">
        <f>IFERROR(INDEX(Clay_Offices!$A$2:$FZ$601,B387,$C$7)&amp;"","")</f>
        <v/>
      </c>
      <c r="E387" s="17">
        <f>IFERROR(INDEX(Clay_Offices!$A$2:$FZ$601,B387,$C$8)&amp;"","")</f>
        <v/>
      </c>
      <c r="F387" s="17">
        <f>IF(C387="","",IF(COUNTIF(Office_Log!$A$2:$A$201,C387)&gt;0,"Y","N"))</f>
        <v/>
      </c>
      <c r="G387" s="17">
        <f>IF(OR(C387="",AND(LEFT(C387,6)="SAMPLE",Config!$B$19&lt;&gt;"Y")),"",IF(IFERROR(INDEX(Lists!$J$2:$J$15,MATCH(D387,Lists!$I$2:$I$15,0)),-1)=-1,"status '"&amp;D387&amp;"' is not a CONTRACTS status",IF(AND(D387="signed",COUNTIF(signed_offices!$W$2:$W$51,C387)=0),"status signed but no signed_offices row"&amp;IF(F387="N"," and no tracker row",""),IF(AND(IFERROR(INDEX(Lists!$J$2:$J$15,MATCH(D387,Lists!$I$2:$I$15,0)),-1)&gt;=6,F387="N"),"status "&amp;D387&amp;" but no tracker row",IF(AND(E387="Y",D387&lt;&gt;"do_not_contact"),"do_not_contact = Y but status is "&amp;D387,IF(AND(D387="do_not_contact",E387&lt;&gt;"Y"),"status do_not_contact but do_not_contact is not Y",""))))))</f>
        <v/>
      </c>
      <c r="I387" s="17" t="n">
        <v>366</v>
      </c>
      <c r="J387" s="17">
        <f>IFERROR(INDEX(Clay_Brands!$A$2:$FZ$601,I387,$D$5)&amp;"","")</f>
        <v/>
      </c>
      <c r="K387" s="17">
        <f>IFERROR(INDEX(Clay_Brands!$A$2:$FZ$601,I387,$D$7)&amp;"","")</f>
        <v/>
      </c>
      <c r="L387" s="17">
        <f>IFERROR(INDEX(Clay_Brands!$A$2:$FZ$601,I387,$D$8)&amp;"","")</f>
        <v/>
      </c>
      <c r="M387" s="17">
        <f>IF(J387="","",IF(COUNTIF(Brand_Log!$A$2:$A$201,J387)&gt;0,"Y","N"))</f>
        <v/>
      </c>
      <c r="N387" s="17">
        <f>IF(OR(J387="",AND(LEFT(J387,6)="SAMPLE",Config!$B$19&lt;&gt;"Y")),"",IF(IFERROR(INDEX(Lists!$J$2:$J$15,MATCH(K387,Lists!$I$2:$I$15,0)),-1)=-1,"status '"&amp;K387&amp;"' is not a CONTRACTS status",IF(AND(K387="paid",COUNTIF(paid_brands!$AC$2:$AC$51,J387)=0),"status paid but no paid_brands row"&amp;IF(M387="N"," and no tracker row",""),IF(AND(IFERROR(INDEX(Lists!$J$2:$J$15,MATCH(K387,Lists!$I$2:$I$15,0)),-1)&gt;=6,M387="N"),"status "&amp;K387&amp;" but no tracker row",IF(AND(L387="Y",K387&lt;&gt;"do_not_contact"),"do_not_contact = Y but status is "&amp;K387,IF(AND(K387="do_not_contact",L387&lt;&gt;"Y"),"status do_not_contact but do_not_contact is not Y",""))))))</f>
        <v/>
      </c>
    </row>
    <row r="388">
      <c r="B388" s="17" t="n">
        <v>367</v>
      </c>
      <c r="C388" s="17">
        <f>IFERROR(INDEX(Clay_Offices!$A$2:$FZ$601,B388,$C$5)&amp;"","")</f>
        <v/>
      </c>
      <c r="D388" s="17">
        <f>IFERROR(INDEX(Clay_Offices!$A$2:$FZ$601,B388,$C$7)&amp;"","")</f>
        <v/>
      </c>
      <c r="E388" s="17">
        <f>IFERROR(INDEX(Clay_Offices!$A$2:$FZ$601,B388,$C$8)&amp;"","")</f>
        <v/>
      </c>
      <c r="F388" s="17">
        <f>IF(C388="","",IF(COUNTIF(Office_Log!$A$2:$A$201,C388)&gt;0,"Y","N"))</f>
        <v/>
      </c>
      <c r="G388" s="17">
        <f>IF(OR(C388="",AND(LEFT(C388,6)="SAMPLE",Config!$B$19&lt;&gt;"Y")),"",IF(IFERROR(INDEX(Lists!$J$2:$J$15,MATCH(D388,Lists!$I$2:$I$15,0)),-1)=-1,"status '"&amp;D388&amp;"' is not a CONTRACTS status",IF(AND(D388="signed",COUNTIF(signed_offices!$W$2:$W$51,C388)=0),"status signed but no signed_offices row"&amp;IF(F388="N"," and no tracker row",""),IF(AND(IFERROR(INDEX(Lists!$J$2:$J$15,MATCH(D388,Lists!$I$2:$I$15,0)),-1)&gt;=6,F388="N"),"status "&amp;D388&amp;" but no tracker row",IF(AND(E388="Y",D388&lt;&gt;"do_not_contact"),"do_not_contact = Y but status is "&amp;D388,IF(AND(D388="do_not_contact",E388&lt;&gt;"Y"),"status do_not_contact but do_not_contact is not Y",""))))))</f>
        <v/>
      </c>
      <c r="I388" s="17" t="n">
        <v>367</v>
      </c>
      <c r="J388" s="17">
        <f>IFERROR(INDEX(Clay_Brands!$A$2:$FZ$601,I388,$D$5)&amp;"","")</f>
        <v/>
      </c>
      <c r="K388" s="17">
        <f>IFERROR(INDEX(Clay_Brands!$A$2:$FZ$601,I388,$D$7)&amp;"","")</f>
        <v/>
      </c>
      <c r="L388" s="17">
        <f>IFERROR(INDEX(Clay_Brands!$A$2:$FZ$601,I388,$D$8)&amp;"","")</f>
        <v/>
      </c>
      <c r="M388" s="17">
        <f>IF(J388="","",IF(COUNTIF(Brand_Log!$A$2:$A$201,J388)&gt;0,"Y","N"))</f>
        <v/>
      </c>
      <c r="N388" s="17">
        <f>IF(OR(J388="",AND(LEFT(J388,6)="SAMPLE",Config!$B$19&lt;&gt;"Y")),"",IF(IFERROR(INDEX(Lists!$J$2:$J$15,MATCH(K388,Lists!$I$2:$I$15,0)),-1)=-1,"status '"&amp;K388&amp;"' is not a CONTRACTS status",IF(AND(K388="paid",COUNTIF(paid_brands!$AC$2:$AC$51,J388)=0),"status paid but no paid_brands row"&amp;IF(M388="N"," and no tracker row",""),IF(AND(IFERROR(INDEX(Lists!$J$2:$J$15,MATCH(K388,Lists!$I$2:$I$15,0)),-1)&gt;=6,M388="N"),"status "&amp;K388&amp;" but no tracker row",IF(AND(L388="Y",K388&lt;&gt;"do_not_contact"),"do_not_contact = Y but status is "&amp;K388,IF(AND(K388="do_not_contact",L388&lt;&gt;"Y"),"status do_not_contact but do_not_contact is not Y",""))))))</f>
        <v/>
      </c>
    </row>
    <row r="389">
      <c r="B389" s="17" t="n">
        <v>368</v>
      </c>
      <c r="C389" s="17">
        <f>IFERROR(INDEX(Clay_Offices!$A$2:$FZ$601,B389,$C$5)&amp;"","")</f>
        <v/>
      </c>
      <c r="D389" s="17">
        <f>IFERROR(INDEX(Clay_Offices!$A$2:$FZ$601,B389,$C$7)&amp;"","")</f>
        <v/>
      </c>
      <c r="E389" s="17">
        <f>IFERROR(INDEX(Clay_Offices!$A$2:$FZ$601,B389,$C$8)&amp;"","")</f>
        <v/>
      </c>
      <c r="F389" s="17">
        <f>IF(C389="","",IF(COUNTIF(Office_Log!$A$2:$A$201,C389)&gt;0,"Y","N"))</f>
        <v/>
      </c>
      <c r="G389" s="17">
        <f>IF(OR(C389="",AND(LEFT(C389,6)="SAMPLE",Config!$B$19&lt;&gt;"Y")),"",IF(IFERROR(INDEX(Lists!$J$2:$J$15,MATCH(D389,Lists!$I$2:$I$15,0)),-1)=-1,"status '"&amp;D389&amp;"' is not a CONTRACTS status",IF(AND(D389="signed",COUNTIF(signed_offices!$W$2:$W$51,C389)=0),"status signed but no signed_offices row"&amp;IF(F389="N"," and no tracker row",""),IF(AND(IFERROR(INDEX(Lists!$J$2:$J$15,MATCH(D389,Lists!$I$2:$I$15,0)),-1)&gt;=6,F389="N"),"status "&amp;D389&amp;" but no tracker row",IF(AND(E389="Y",D389&lt;&gt;"do_not_contact"),"do_not_contact = Y but status is "&amp;D389,IF(AND(D389="do_not_contact",E389&lt;&gt;"Y"),"status do_not_contact but do_not_contact is not Y",""))))))</f>
        <v/>
      </c>
      <c r="I389" s="17" t="n">
        <v>368</v>
      </c>
      <c r="J389" s="17">
        <f>IFERROR(INDEX(Clay_Brands!$A$2:$FZ$601,I389,$D$5)&amp;"","")</f>
        <v/>
      </c>
      <c r="K389" s="17">
        <f>IFERROR(INDEX(Clay_Brands!$A$2:$FZ$601,I389,$D$7)&amp;"","")</f>
        <v/>
      </c>
      <c r="L389" s="17">
        <f>IFERROR(INDEX(Clay_Brands!$A$2:$FZ$601,I389,$D$8)&amp;"","")</f>
        <v/>
      </c>
      <c r="M389" s="17">
        <f>IF(J389="","",IF(COUNTIF(Brand_Log!$A$2:$A$201,J389)&gt;0,"Y","N"))</f>
        <v/>
      </c>
      <c r="N389" s="17">
        <f>IF(OR(J389="",AND(LEFT(J389,6)="SAMPLE",Config!$B$19&lt;&gt;"Y")),"",IF(IFERROR(INDEX(Lists!$J$2:$J$15,MATCH(K389,Lists!$I$2:$I$15,0)),-1)=-1,"status '"&amp;K389&amp;"' is not a CONTRACTS status",IF(AND(K389="paid",COUNTIF(paid_brands!$AC$2:$AC$51,J389)=0),"status paid but no paid_brands row"&amp;IF(M389="N"," and no tracker row",""),IF(AND(IFERROR(INDEX(Lists!$J$2:$J$15,MATCH(K389,Lists!$I$2:$I$15,0)),-1)&gt;=6,M389="N"),"status "&amp;K389&amp;" but no tracker row",IF(AND(L389="Y",K389&lt;&gt;"do_not_contact"),"do_not_contact = Y but status is "&amp;K389,IF(AND(K389="do_not_contact",L389&lt;&gt;"Y"),"status do_not_contact but do_not_contact is not Y",""))))))</f>
        <v/>
      </c>
    </row>
    <row r="390">
      <c r="B390" s="17" t="n">
        <v>369</v>
      </c>
      <c r="C390" s="17">
        <f>IFERROR(INDEX(Clay_Offices!$A$2:$FZ$601,B390,$C$5)&amp;"","")</f>
        <v/>
      </c>
      <c r="D390" s="17">
        <f>IFERROR(INDEX(Clay_Offices!$A$2:$FZ$601,B390,$C$7)&amp;"","")</f>
        <v/>
      </c>
      <c r="E390" s="17">
        <f>IFERROR(INDEX(Clay_Offices!$A$2:$FZ$601,B390,$C$8)&amp;"","")</f>
        <v/>
      </c>
      <c r="F390" s="17">
        <f>IF(C390="","",IF(COUNTIF(Office_Log!$A$2:$A$201,C390)&gt;0,"Y","N"))</f>
        <v/>
      </c>
      <c r="G390" s="17">
        <f>IF(OR(C390="",AND(LEFT(C390,6)="SAMPLE",Config!$B$19&lt;&gt;"Y")),"",IF(IFERROR(INDEX(Lists!$J$2:$J$15,MATCH(D390,Lists!$I$2:$I$15,0)),-1)=-1,"status '"&amp;D390&amp;"' is not a CONTRACTS status",IF(AND(D390="signed",COUNTIF(signed_offices!$W$2:$W$51,C390)=0),"status signed but no signed_offices row"&amp;IF(F390="N"," and no tracker row",""),IF(AND(IFERROR(INDEX(Lists!$J$2:$J$15,MATCH(D390,Lists!$I$2:$I$15,0)),-1)&gt;=6,F390="N"),"status "&amp;D390&amp;" but no tracker row",IF(AND(E390="Y",D390&lt;&gt;"do_not_contact"),"do_not_contact = Y but status is "&amp;D390,IF(AND(D390="do_not_contact",E390&lt;&gt;"Y"),"status do_not_contact but do_not_contact is not Y",""))))))</f>
        <v/>
      </c>
      <c r="I390" s="17" t="n">
        <v>369</v>
      </c>
      <c r="J390" s="17">
        <f>IFERROR(INDEX(Clay_Brands!$A$2:$FZ$601,I390,$D$5)&amp;"","")</f>
        <v/>
      </c>
      <c r="K390" s="17">
        <f>IFERROR(INDEX(Clay_Brands!$A$2:$FZ$601,I390,$D$7)&amp;"","")</f>
        <v/>
      </c>
      <c r="L390" s="17">
        <f>IFERROR(INDEX(Clay_Brands!$A$2:$FZ$601,I390,$D$8)&amp;"","")</f>
        <v/>
      </c>
      <c r="M390" s="17">
        <f>IF(J390="","",IF(COUNTIF(Brand_Log!$A$2:$A$201,J390)&gt;0,"Y","N"))</f>
        <v/>
      </c>
      <c r="N390" s="17">
        <f>IF(OR(J390="",AND(LEFT(J390,6)="SAMPLE",Config!$B$19&lt;&gt;"Y")),"",IF(IFERROR(INDEX(Lists!$J$2:$J$15,MATCH(K390,Lists!$I$2:$I$15,0)),-1)=-1,"status '"&amp;K390&amp;"' is not a CONTRACTS status",IF(AND(K390="paid",COUNTIF(paid_brands!$AC$2:$AC$51,J390)=0),"status paid but no paid_brands row"&amp;IF(M390="N"," and no tracker row",""),IF(AND(IFERROR(INDEX(Lists!$J$2:$J$15,MATCH(K390,Lists!$I$2:$I$15,0)),-1)&gt;=6,M390="N"),"status "&amp;K390&amp;" but no tracker row",IF(AND(L390="Y",K390&lt;&gt;"do_not_contact"),"do_not_contact = Y but status is "&amp;K390,IF(AND(K390="do_not_contact",L390&lt;&gt;"Y"),"status do_not_contact but do_not_contact is not Y",""))))))</f>
        <v/>
      </c>
    </row>
    <row r="391">
      <c r="B391" s="17" t="n">
        <v>370</v>
      </c>
      <c r="C391" s="17">
        <f>IFERROR(INDEX(Clay_Offices!$A$2:$FZ$601,B391,$C$5)&amp;"","")</f>
        <v/>
      </c>
      <c r="D391" s="17">
        <f>IFERROR(INDEX(Clay_Offices!$A$2:$FZ$601,B391,$C$7)&amp;"","")</f>
        <v/>
      </c>
      <c r="E391" s="17">
        <f>IFERROR(INDEX(Clay_Offices!$A$2:$FZ$601,B391,$C$8)&amp;"","")</f>
        <v/>
      </c>
      <c r="F391" s="17">
        <f>IF(C391="","",IF(COUNTIF(Office_Log!$A$2:$A$201,C391)&gt;0,"Y","N"))</f>
        <v/>
      </c>
      <c r="G391" s="17">
        <f>IF(OR(C391="",AND(LEFT(C391,6)="SAMPLE",Config!$B$19&lt;&gt;"Y")),"",IF(IFERROR(INDEX(Lists!$J$2:$J$15,MATCH(D391,Lists!$I$2:$I$15,0)),-1)=-1,"status '"&amp;D391&amp;"' is not a CONTRACTS status",IF(AND(D391="signed",COUNTIF(signed_offices!$W$2:$W$51,C391)=0),"status signed but no signed_offices row"&amp;IF(F391="N"," and no tracker row",""),IF(AND(IFERROR(INDEX(Lists!$J$2:$J$15,MATCH(D391,Lists!$I$2:$I$15,0)),-1)&gt;=6,F391="N"),"status "&amp;D391&amp;" but no tracker row",IF(AND(E391="Y",D391&lt;&gt;"do_not_contact"),"do_not_contact = Y but status is "&amp;D391,IF(AND(D391="do_not_contact",E391&lt;&gt;"Y"),"status do_not_contact but do_not_contact is not Y",""))))))</f>
        <v/>
      </c>
      <c r="I391" s="17" t="n">
        <v>370</v>
      </c>
      <c r="J391" s="17">
        <f>IFERROR(INDEX(Clay_Brands!$A$2:$FZ$601,I391,$D$5)&amp;"","")</f>
        <v/>
      </c>
      <c r="K391" s="17">
        <f>IFERROR(INDEX(Clay_Brands!$A$2:$FZ$601,I391,$D$7)&amp;"","")</f>
        <v/>
      </c>
      <c r="L391" s="17">
        <f>IFERROR(INDEX(Clay_Brands!$A$2:$FZ$601,I391,$D$8)&amp;"","")</f>
        <v/>
      </c>
      <c r="M391" s="17">
        <f>IF(J391="","",IF(COUNTIF(Brand_Log!$A$2:$A$201,J391)&gt;0,"Y","N"))</f>
        <v/>
      </c>
      <c r="N391" s="17">
        <f>IF(OR(J391="",AND(LEFT(J391,6)="SAMPLE",Config!$B$19&lt;&gt;"Y")),"",IF(IFERROR(INDEX(Lists!$J$2:$J$15,MATCH(K391,Lists!$I$2:$I$15,0)),-1)=-1,"status '"&amp;K391&amp;"' is not a CONTRACTS status",IF(AND(K391="paid",COUNTIF(paid_brands!$AC$2:$AC$51,J391)=0),"status paid but no paid_brands row"&amp;IF(M391="N"," and no tracker row",""),IF(AND(IFERROR(INDEX(Lists!$J$2:$J$15,MATCH(K391,Lists!$I$2:$I$15,0)),-1)&gt;=6,M391="N"),"status "&amp;K391&amp;" but no tracker row",IF(AND(L391="Y",K391&lt;&gt;"do_not_contact"),"do_not_contact = Y but status is "&amp;K391,IF(AND(K391="do_not_contact",L391&lt;&gt;"Y"),"status do_not_contact but do_not_contact is not Y",""))))))</f>
        <v/>
      </c>
    </row>
    <row r="392">
      <c r="B392" s="17" t="n">
        <v>371</v>
      </c>
      <c r="C392" s="17">
        <f>IFERROR(INDEX(Clay_Offices!$A$2:$FZ$601,B392,$C$5)&amp;"","")</f>
        <v/>
      </c>
      <c r="D392" s="17">
        <f>IFERROR(INDEX(Clay_Offices!$A$2:$FZ$601,B392,$C$7)&amp;"","")</f>
        <v/>
      </c>
      <c r="E392" s="17">
        <f>IFERROR(INDEX(Clay_Offices!$A$2:$FZ$601,B392,$C$8)&amp;"","")</f>
        <v/>
      </c>
      <c r="F392" s="17">
        <f>IF(C392="","",IF(COUNTIF(Office_Log!$A$2:$A$201,C392)&gt;0,"Y","N"))</f>
        <v/>
      </c>
      <c r="G392" s="17">
        <f>IF(OR(C392="",AND(LEFT(C392,6)="SAMPLE",Config!$B$19&lt;&gt;"Y")),"",IF(IFERROR(INDEX(Lists!$J$2:$J$15,MATCH(D392,Lists!$I$2:$I$15,0)),-1)=-1,"status '"&amp;D392&amp;"' is not a CONTRACTS status",IF(AND(D392="signed",COUNTIF(signed_offices!$W$2:$W$51,C392)=0),"status signed but no signed_offices row"&amp;IF(F392="N"," and no tracker row",""),IF(AND(IFERROR(INDEX(Lists!$J$2:$J$15,MATCH(D392,Lists!$I$2:$I$15,0)),-1)&gt;=6,F392="N"),"status "&amp;D392&amp;" but no tracker row",IF(AND(E392="Y",D392&lt;&gt;"do_not_contact"),"do_not_contact = Y but status is "&amp;D392,IF(AND(D392="do_not_contact",E392&lt;&gt;"Y"),"status do_not_contact but do_not_contact is not Y",""))))))</f>
        <v/>
      </c>
      <c r="I392" s="17" t="n">
        <v>371</v>
      </c>
      <c r="J392" s="17">
        <f>IFERROR(INDEX(Clay_Brands!$A$2:$FZ$601,I392,$D$5)&amp;"","")</f>
        <v/>
      </c>
      <c r="K392" s="17">
        <f>IFERROR(INDEX(Clay_Brands!$A$2:$FZ$601,I392,$D$7)&amp;"","")</f>
        <v/>
      </c>
      <c r="L392" s="17">
        <f>IFERROR(INDEX(Clay_Brands!$A$2:$FZ$601,I392,$D$8)&amp;"","")</f>
        <v/>
      </c>
      <c r="M392" s="17">
        <f>IF(J392="","",IF(COUNTIF(Brand_Log!$A$2:$A$201,J392)&gt;0,"Y","N"))</f>
        <v/>
      </c>
      <c r="N392" s="17">
        <f>IF(OR(J392="",AND(LEFT(J392,6)="SAMPLE",Config!$B$19&lt;&gt;"Y")),"",IF(IFERROR(INDEX(Lists!$J$2:$J$15,MATCH(K392,Lists!$I$2:$I$15,0)),-1)=-1,"status '"&amp;K392&amp;"' is not a CONTRACTS status",IF(AND(K392="paid",COUNTIF(paid_brands!$AC$2:$AC$51,J392)=0),"status paid but no paid_brands row"&amp;IF(M392="N"," and no tracker row",""),IF(AND(IFERROR(INDEX(Lists!$J$2:$J$15,MATCH(K392,Lists!$I$2:$I$15,0)),-1)&gt;=6,M392="N"),"status "&amp;K392&amp;" but no tracker row",IF(AND(L392="Y",K392&lt;&gt;"do_not_contact"),"do_not_contact = Y but status is "&amp;K392,IF(AND(K392="do_not_contact",L392&lt;&gt;"Y"),"status do_not_contact but do_not_contact is not Y",""))))))</f>
        <v/>
      </c>
    </row>
    <row r="393">
      <c r="B393" s="17" t="n">
        <v>372</v>
      </c>
      <c r="C393" s="17">
        <f>IFERROR(INDEX(Clay_Offices!$A$2:$FZ$601,B393,$C$5)&amp;"","")</f>
        <v/>
      </c>
      <c r="D393" s="17">
        <f>IFERROR(INDEX(Clay_Offices!$A$2:$FZ$601,B393,$C$7)&amp;"","")</f>
        <v/>
      </c>
      <c r="E393" s="17">
        <f>IFERROR(INDEX(Clay_Offices!$A$2:$FZ$601,B393,$C$8)&amp;"","")</f>
        <v/>
      </c>
      <c r="F393" s="17">
        <f>IF(C393="","",IF(COUNTIF(Office_Log!$A$2:$A$201,C393)&gt;0,"Y","N"))</f>
        <v/>
      </c>
      <c r="G393" s="17">
        <f>IF(OR(C393="",AND(LEFT(C393,6)="SAMPLE",Config!$B$19&lt;&gt;"Y")),"",IF(IFERROR(INDEX(Lists!$J$2:$J$15,MATCH(D393,Lists!$I$2:$I$15,0)),-1)=-1,"status '"&amp;D393&amp;"' is not a CONTRACTS status",IF(AND(D393="signed",COUNTIF(signed_offices!$W$2:$W$51,C393)=0),"status signed but no signed_offices row"&amp;IF(F393="N"," and no tracker row",""),IF(AND(IFERROR(INDEX(Lists!$J$2:$J$15,MATCH(D393,Lists!$I$2:$I$15,0)),-1)&gt;=6,F393="N"),"status "&amp;D393&amp;" but no tracker row",IF(AND(E393="Y",D393&lt;&gt;"do_not_contact"),"do_not_contact = Y but status is "&amp;D393,IF(AND(D393="do_not_contact",E393&lt;&gt;"Y"),"status do_not_contact but do_not_contact is not Y",""))))))</f>
        <v/>
      </c>
      <c r="I393" s="17" t="n">
        <v>372</v>
      </c>
      <c r="J393" s="17">
        <f>IFERROR(INDEX(Clay_Brands!$A$2:$FZ$601,I393,$D$5)&amp;"","")</f>
        <v/>
      </c>
      <c r="K393" s="17">
        <f>IFERROR(INDEX(Clay_Brands!$A$2:$FZ$601,I393,$D$7)&amp;"","")</f>
        <v/>
      </c>
      <c r="L393" s="17">
        <f>IFERROR(INDEX(Clay_Brands!$A$2:$FZ$601,I393,$D$8)&amp;"","")</f>
        <v/>
      </c>
      <c r="M393" s="17">
        <f>IF(J393="","",IF(COUNTIF(Brand_Log!$A$2:$A$201,J393)&gt;0,"Y","N"))</f>
        <v/>
      </c>
      <c r="N393" s="17">
        <f>IF(OR(J393="",AND(LEFT(J393,6)="SAMPLE",Config!$B$19&lt;&gt;"Y")),"",IF(IFERROR(INDEX(Lists!$J$2:$J$15,MATCH(K393,Lists!$I$2:$I$15,0)),-1)=-1,"status '"&amp;K393&amp;"' is not a CONTRACTS status",IF(AND(K393="paid",COUNTIF(paid_brands!$AC$2:$AC$51,J393)=0),"status paid but no paid_brands row"&amp;IF(M393="N"," and no tracker row",""),IF(AND(IFERROR(INDEX(Lists!$J$2:$J$15,MATCH(K393,Lists!$I$2:$I$15,0)),-1)&gt;=6,M393="N"),"status "&amp;K393&amp;" but no tracker row",IF(AND(L393="Y",K393&lt;&gt;"do_not_contact"),"do_not_contact = Y but status is "&amp;K393,IF(AND(K393="do_not_contact",L393&lt;&gt;"Y"),"status do_not_contact but do_not_contact is not Y",""))))))</f>
        <v/>
      </c>
    </row>
    <row r="394">
      <c r="B394" s="17" t="n">
        <v>373</v>
      </c>
      <c r="C394" s="17">
        <f>IFERROR(INDEX(Clay_Offices!$A$2:$FZ$601,B394,$C$5)&amp;"","")</f>
        <v/>
      </c>
      <c r="D394" s="17">
        <f>IFERROR(INDEX(Clay_Offices!$A$2:$FZ$601,B394,$C$7)&amp;"","")</f>
        <v/>
      </c>
      <c r="E394" s="17">
        <f>IFERROR(INDEX(Clay_Offices!$A$2:$FZ$601,B394,$C$8)&amp;"","")</f>
        <v/>
      </c>
      <c r="F394" s="17">
        <f>IF(C394="","",IF(COUNTIF(Office_Log!$A$2:$A$201,C394)&gt;0,"Y","N"))</f>
        <v/>
      </c>
      <c r="G394" s="17">
        <f>IF(OR(C394="",AND(LEFT(C394,6)="SAMPLE",Config!$B$19&lt;&gt;"Y")),"",IF(IFERROR(INDEX(Lists!$J$2:$J$15,MATCH(D394,Lists!$I$2:$I$15,0)),-1)=-1,"status '"&amp;D394&amp;"' is not a CONTRACTS status",IF(AND(D394="signed",COUNTIF(signed_offices!$W$2:$W$51,C394)=0),"status signed but no signed_offices row"&amp;IF(F394="N"," and no tracker row",""),IF(AND(IFERROR(INDEX(Lists!$J$2:$J$15,MATCH(D394,Lists!$I$2:$I$15,0)),-1)&gt;=6,F394="N"),"status "&amp;D394&amp;" but no tracker row",IF(AND(E394="Y",D394&lt;&gt;"do_not_contact"),"do_not_contact = Y but status is "&amp;D394,IF(AND(D394="do_not_contact",E394&lt;&gt;"Y"),"status do_not_contact but do_not_contact is not Y",""))))))</f>
        <v/>
      </c>
      <c r="I394" s="17" t="n">
        <v>373</v>
      </c>
      <c r="J394" s="17">
        <f>IFERROR(INDEX(Clay_Brands!$A$2:$FZ$601,I394,$D$5)&amp;"","")</f>
        <v/>
      </c>
      <c r="K394" s="17">
        <f>IFERROR(INDEX(Clay_Brands!$A$2:$FZ$601,I394,$D$7)&amp;"","")</f>
        <v/>
      </c>
      <c r="L394" s="17">
        <f>IFERROR(INDEX(Clay_Brands!$A$2:$FZ$601,I394,$D$8)&amp;"","")</f>
        <v/>
      </c>
      <c r="M394" s="17">
        <f>IF(J394="","",IF(COUNTIF(Brand_Log!$A$2:$A$201,J394)&gt;0,"Y","N"))</f>
        <v/>
      </c>
      <c r="N394" s="17">
        <f>IF(OR(J394="",AND(LEFT(J394,6)="SAMPLE",Config!$B$19&lt;&gt;"Y")),"",IF(IFERROR(INDEX(Lists!$J$2:$J$15,MATCH(K394,Lists!$I$2:$I$15,0)),-1)=-1,"status '"&amp;K394&amp;"' is not a CONTRACTS status",IF(AND(K394="paid",COUNTIF(paid_brands!$AC$2:$AC$51,J394)=0),"status paid but no paid_brands row"&amp;IF(M394="N"," and no tracker row",""),IF(AND(IFERROR(INDEX(Lists!$J$2:$J$15,MATCH(K394,Lists!$I$2:$I$15,0)),-1)&gt;=6,M394="N"),"status "&amp;K394&amp;" but no tracker row",IF(AND(L394="Y",K394&lt;&gt;"do_not_contact"),"do_not_contact = Y but status is "&amp;K394,IF(AND(K394="do_not_contact",L394&lt;&gt;"Y"),"status do_not_contact but do_not_contact is not Y",""))))))</f>
        <v/>
      </c>
    </row>
    <row r="395">
      <c r="B395" s="17" t="n">
        <v>374</v>
      </c>
      <c r="C395" s="17">
        <f>IFERROR(INDEX(Clay_Offices!$A$2:$FZ$601,B395,$C$5)&amp;"","")</f>
        <v/>
      </c>
      <c r="D395" s="17">
        <f>IFERROR(INDEX(Clay_Offices!$A$2:$FZ$601,B395,$C$7)&amp;"","")</f>
        <v/>
      </c>
      <c r="E395" s="17">
        <f>IFERROR(INDEX(Clay_Offices!$A$2:$FZ$601,B395,$C$8)&amp;"","")</f>
        <v/>
      </c>
      <c r="F395" s="17">
        <f>IF(C395="","",IF(COUNTIF(Office_Log!$A$2:$A$201,C395)&gt;0,"Y","N"))</f>
        <v/>
      </c>
      <c r="G395" s="17">
        <f>IF(OR(C395="",AND(LEFT(C395,6)="SAMPLE",Config!$B$19&lt;&gt;"Y")),"",IF(IFERROR(INDEX(Lists!$J$2:$J$15,MATCH(D395,Lists!$I$2:$I$15,0)),-1)=-1,"status '"&amp;D395&amp;"' is not a CONTRACTS status",IF(AND(D395="signed",COUNTIF(signed_offices!$W$2:$W$51,C395)=0),"status signed but no signed_offices row"&amp;IF(F395="N"," and no tracker row",""),IF(AND(IFERROR(INDEX(Lists!$J$2:$J$15,MATCH(D395,Lists!$I$2:$I$15,0)),-1)&gt;=6,F395="N"),"status "&amp;D395&amp;" but no tracker row",IF(AND(E395="Y",D395&lt;&gt;"do_not_contact"),"do_not_contact = Y but status is "&amp;D395,IF(AND(D395="do_not_contact",E395&lt;&gt;"Y"),"status do_not_contact but do_not_contact is not Y",""))))))</f>
        <v/>
      </c>
      <c r="I395" s="17" t="n">
        <v>374</v>
      </c>
      <c r="J395" s="17">
        <f>IFERROR(INDEX(Clay_Brands!$A$2:$FZ$601,I395,$D$5)&amp;"","")</f>
        <v/>
      </c>
      <c r="K395" s="17">
        <f>IFERROR(INDEX(Clay_Brands!$A$2:$FZ$601,I395,$D$7)&amp;"","")</f>
        <v/>
      </c>
      <c r="L395" s="17">
        <f>IFERROR(INDEX(Clay_Brands!$A$2:$FZ$601,I395,$D$8)&amp;"","")</f>
        <v/>
      </c>
      <c r="M395" s="17">
        <f>IF(J395="","",IF(COUNTIF(Brand_Log!$A$2:$A$201,J395)&gt;0,"Y","N"))</f>
        <v/>
      </c>
      <c r="N395" s="17">
        <f>IF(OR(J395="",AND(LEFT(J395,6)="SAMPLE",Config!$B$19&lt;&gt;"Y")),"",IF(IFERROR(INDEX(Lists!$J$2:$J$15,MATCH(K395,Lists!$I$2:$I$15,0)),-1)=-1,"status '"&amp;K395&amp;"' is not a CONTRACTS status",IF(AND(K395="paid",COUNTIF(paid_brands!$AC$2:$AC$51,J395)=0),"status paid but no paid_brands row"&amp;IF(M395="N"," and no tracker row",""),IF(AND(IFERROR(INDEX(Lists!$J$2:$J$15,MATCH(K395,Lists!$I$2:$I$15,0)),-1)&gt;=6,M395="N"),"status "&amp;K395&amp;" but no tracker row",IF(AND(L395="Y",K395&lt;&gt;"do_not_contact"),"do_not_contact = Y but status is "&amp;K395,IF(AND(K395="do_not_contact",L395&lt;&gt;"Y"),"status do_not_contact but do_not_contact is not Y",""))))))</f>
        <v/>
      </c>
    </row>
    <row r="396">
      <c r="B396" s="17" t="n">
        <v>375</v>
      </c>
      <c r="C396" s="17">
        <f>IFERROR(INDEX(Clay_Offices!$A$2:$FZ$601,B396,$C$5)&amp;"","")</f>
        <v/>
      </c>
      <c r="D396" s="17">
        <f>IFERROR(INDEX(Clay_Offices!$A$2:$FZ$601,B396,$C$7)&amp;"","")</f>
        <v/>
      </c>
      <c r="E396" s="17">
        <f>IFERROR(INDEX(Clay_Offices!$A$2:$FZ$601,B396,$C$8)&amp;"","")</f>
        <v/>
      </c>
      <c r="F396" s="17">
        <f>IF(C396="","",IF(COUNTIF(Office_Log!$A$2:$A$201,C396)&gt;0,"Y","N"))</f>
        <v/>
      </c>
      <c r="G396" s="17">
        <f>IF(OR(C396="",AND(LEFT(C396,6)="SAMPLE",Config!$B$19&lt;&gt;"Y")),"",IF(IFERROR(INDEX(Lists!$J$2:$J$15,MATCH(D396,Lists!$I$2:$I$15,0)),-1)=-1,"status '"&amp;D396&amp;"' is not a CONTRACTS status",IF(AND(D396="signed",COUNTIF(signed_offices!$W$2:$W$51,C396)=0),"status signed but no signed_offices row"&amp;IF(F396="N"," and no tracker row",""),IF(AND(IFERROR(INDEX(Lists!$J$2:$J$15,MATCH(D396,Lists!$I$2:$I$15,0)),-1)&gt;=6,F396="N"),"status "&amp;D396&amp;" but no tracker row",IF(AND(E396="Y",D396&lt;&gt;"do_not_contact"),"do_not_contact = Y but status is "&amp;D396,IF(AND(D396="do_not_contact",E396&lt;&gt;"Y"),"status do_not_contact but do_not_contact is not Y",""))))))</f>
        <v/>
      </c>
      <c r="I396" s="17" t="n">
        <v>375</v>
      </c>
      <c r="J396" s="17">
        <f>IFERROR(INDEX(Clay_Brands!$A$2:$FZ$601,I396,$D$5)&amp;"","")</f>
        <v/>
      </c>
      <c r="K396" s="17">
        <f>IFERROR(INDEX(Clay_Brands!$A$2:$FZ$601,I396,$D$7)&amp;"","")</f>
        <v/>
      </c>
      <c r="L396" s="17">
        <f>IFERROR(INDEX(Clay_Brands!$A$2:$FZ$601,I396,$D$8)&amp;"","")</f>
        <v/>
      </c>
      <c r="M396" s="17">
        <f>IF(J396="","",IF(COUNTIF(Brand_Log!$A$2:$A$201,J396)&gt;0,"Y","N"))</f>
        <v/>
      </c>
      <c r="N396" s="17">
        <f>IF(OR(J396="",AND(LEFT(J396,6)="SAMPLE",Config!$B$19&lt;&gt;"Y")),"",IF(IFERROR(INDEX(Lists!$J$2:$J$15,MATCH(K396,Lists!$I$2:$I$15,0)),-1)=-1,"status '"&amp;K396&amp;"' is not a CONTRACTS status",IF(AND(K396="paid",COUNTIF(paid_brands!$AC$2:$AC$51,J396)=0),"status paid but no paid_brands row"&amp;IF(M396="N"," and no tracker row",""),IF(AND(IFERROR(INDEX(Lists!$J$2:$J$15,MATCH(K396,Lists!$I$2:$I$15,0)),-1)&gt;=6,M396="N"),"status "&amp;K396&amp;" but no tracker row",IF(AND(L396="Y",K396&lt;&gt;"do_not_contact"),"do_not_contact = Y but status is "&amp;K396,IF(AND(K396="do_not_contact",L396&lt;&gt;"Y"),"status do_not_contact but do_not_contact is not Y",""))))))</f>
        <v/>
      </c>
    </row>
    <row r="397">
      <c r="B397" s="17" t="n">
        <v>376</v>
      </c>
      <c r="C397" s="17">
        <f>IFERROR(INDEX(Clay_Offices!$A$2:$FZ$601,B397,$C$5)&amp;"","")</f>
        <v/>
      </c>
      <c r="D397" s="17">
        <f>IFERROR(INDEX(Clay_Offices!$A$2:$FZ$601,B397,$C$7)&amp;"","")</f>
        <v/>
      </c>
      <c r="E397" s="17">
        <f>IFERROR(INDEX(Clay_Offices!$A$2:$FZ$601,B397,$C$8)&amp;"","")</f>
        <v/>
      </c>
      <c r="F397" s="17">
        <f>IF(C397="","",IF(COUNTIF(Office_Log!$A$2:$A$201,C397)&gt;0,"Y","N"))</f>
        <v/>
      </c>
      <c r="G397" s="17">
        <f>IF(OR(C397="",AND(LEFT(C397,6)="SAMPLE",Config!$B$19&lt;&gt;"Y")),"",IF(IFERROR(INDEX(Lists!$J$2:$J$15,MATCH(D397,Lists!$I$2:$I$15,0)),-1)=-1,"status '"&amp;D397&amp;"' is not a CONTRACTS status",IF(AND(D397="signed",COUNTIF(signed_offices!$W$2:$W$51,C397)=0),"status signed but no signed_offices row"&amp;IF(F397="N"," and no tracker row",""),IF(AND(IFERROR(INDEX(Lists!$J$2:$J$15,MATCH(D397,Lists!$I$2:$I$15,0)),-1)&gt;=6,F397="N"),"status "&amp;D397&amp;" but no tracker row",IF(AND(E397="Y",D397&lt;&gt;"do_not_contact"),"do_not_contact = Y but status is "&amp;D397,IF(AND(D397="do_not_contact",E397&lt;&gt;"Y"),"status do_not_contact but do_not_contact is not Y",""))))))</f>
        <v/>
      </c>
      <c r="I397" s="17" t="n">
        <v>376</v>
      </c>
      <c r="J397" s="17">
        <f>IFERROR(INDEX(Clay_Brands!$A$2:$FZ$601,I397,$D$5)&amp;"","")</f>
        <v/>
      </c>
      <c r="K397" s="17">
        <f>IFERROR(INDEX(Clay_Brands!$A$2:$FZ$601,I397,$D$7)&amp;"","")</f>
        <v/>
      </c>
      <c r="L397" s="17">
        <f>IFERROR(INDEX(Clay_Brands!$A$2:$FZ$601,I397,$D$8)&amp;"","")</f>
        <v/>
      </c>
      <c r="M397" s="17">
        <f>IF(J397="","",IF(COUNTIF(Brand_Log!$A$2:$A$201,J397)&gt;0,"Y","N"))</f>
        <v/>
      </c>
      <c r="N397" s="17">
        <f>IF(OR(J397="",AND(LEFT(J397,6)="SAMPLE",Config!$B$19&lt;&gt;"Y")),"",IF(IFERROR(INDEX(Lists!$J$2:$J$15,MATCH(K397,Lists!$I$2:$I$15,0)),-1)=-1,"status '"&amp;K397&amp;"' is not a CONTRACTS status",IF(AND(K397="paid",COUNTIF(paid_brands!$AC$2:$AC$51,J397)=0),"status paid but no paid_brands row"&amp;IF(M397="N"," and no tracker row",""),IF(AND(IFERROR(INDEX(Lists!$J$2:$J$15,MATCH(K397,Lists!$I$2:$I$15,0)),-1)&gt;=6,M397="N"),"status "&amp;K397&amp;" but no tracker row",IF(AND(L397="Y",K397&lt;&gt;"do_not_contact"),"do_not_contact = Y but status is "&amp;K397,IF(AND(K397="do_not_contact",L397&lt;&gt;"Y"),"status do_not_contact but do_not_contact is not Y",""))))))</f>
        <v/>
      </c>
    </row>
    <row r="398">
      <c r="B398" s="17" t="n">
        <v>377</v>
      </c>
      <c r="C398" s="17">
        <f>IFERROR(INDEX(Clay_Offices!$A$2:$FZ$601,B398,$C$5)&amp;"","")</f>
        <v/>
      </c>
      <c r="D398" s="17">
        <f>IFERROR(INDEX(Clay_Offices!$A$2:$FZ$601,B398,$C$7)&amp;"","")</f>
        <v/>
      </c>
      <c r="E398" s="17">
        <f>IFERROR(INDEX(Clay_Offices!$A$2:$FZ$601,B398,$C$8)&amp;"","")</f>
        <v/>
      </c>
      <c r="F398" s="17">
        <f>IF(C398="","",IF(COUNTIF(Office_Log!$A$2:$A$201,C398)&gt;0,"Y","N"))</f>
        <v/>
      </c>
      <c r="G398" s="17">
        <f>IF(OR(C398="",AND(LEFT(C398,6)="SAMPLE",Config!$B$19&lt;&gt;"Y")),"",IF(IFERROR(INDEX(Lists!$J$2:$J$15,MATCH(D398,Lists!$I$2:$I$15,0)),-1)=-1,"status '"&amp;D398&amp;"' is not a CONTRACTS status",IF(AND(D398="signed",COUNTIF(signed_offices!$W$2:$W$51,C398)=0),"status signed but no signed_offices row"&amp;IF(F398="N"," and no tracker row",""),IF(AND(IFERROR(INDEX(Lists!$J$2:$J$15,MATCH(D398,Lists!$I$2:$I$15,0)),-1)&gt;=6,F398="N"),"status "&amp;D398&amp;" but no tracker row",IF(AND(E398="Y",D398&lt;&gt;"do_not_contact"),"do_not_contact = Y but status is "&amp;D398,IF(AND(D398="do_not_contact",E398&lt;&gt;"Y"),"status do_not_contact but do_not_contact is not Y",""))))))</f>
        <v/>
      </c>
      <c r="I398" s="17" t="n">
        <v>377</v>
      </c>
      <c r="J398" s="17">
        <f>IFERROR(INDEX(Clay_Brands!$A$2:$FZ$601,I398,$D$5)&amp;"","")</f>
        <v/>
      </c>
      <c r="K398" s="17">
        <f>IFERROR(INDEX(Clay_Brands!$A$2:$FZ$601,I398,$D$7)&amp;"","")</f>
        <v/>
      </c>
      <c r="L398" s="17">
        <f>IFERROR(INDEX(Clay_Brands!$A$2:$FZ$601,I398,$D$8)&amp;"","")</f>
        <v/>
      </c>
      <c r="M398" s="17">
        <f>IF(J398="","",IF(COUNTIF(Brand_Log!$A$2:$A$201,J398)&gt;0,"Y","N"))</f>
        <v/>
      </c>
      <c r="N398" s="17">
        <f>IF(OR(J398="",AND(LEFT(J398,6)="SAMPLE",Config!$B$19&lt;&gt;"Y")),"",IF(IFERROR(INDEX(Lists!$J$2:$J$15,MATCH(K398,Lists!$I$2:$I$15,0)),-1)=-1,"status '"&amp;K398&amp;"' is not a CONTRACTS status",IF(AND(K398="paid",COUNTIF(paid_brands!$AC$2:$AC$51,J398)=0),"status paid but no paid_brands row"&amp;IF(M398="N"," and no tracker row",""),IF(AND(IFERROR(INDEX(Lists!$J$2:$J$15,MATCH(K398,Lists!$I$2:$I$15,0)),-1)&gt;=6,M398="N"),"status "&amp;K398&amp;" but no tracker row",IF(AND(L398="Y",K398&lt;&gt;"do_not_contact"),"do_not_contact = Y but status is "&amp;K398,IF(AND(K398="do_not_contact",L398&lt;&gt;"Y"),"status do_not_contact but do_not_contact is not Y",""))))))</f>
        <v/>
      </c>
    </row>
    <row r="399">
      <c r="B399" s="17" t="n">
        <v>378</v>
      </c>
      <c r="C399" s="17">
        <f>IFERROR(INDEX(Clay_Offices!$A$2:$FZ$601,B399,$C$5)&amp;"","")</f>
        <v/>
      </c>
      <c r="D399" s="17">
        <f>IFERROR(INDEX(Clay_Offices!$A$2:$FZ$601,B399,$C$7)&amp;"","")</f>
        <v/>
      </c>
      <c r="E399" s="17">
        <f>IFERROR(INDEX(Clay_Offices!$A$2:$FZ$601,B399,$C$8)&amp;"","")</f>
        <v/>
      </c>
      <c r="F399" s="17">
        <f>IF(C399="","",IF(COUNTIF(Office_Log!$A$2:$A$201,C399)&gt;0,"Y","N"))</f>
        <v/>
      </c>
      <c r="G399" s="17">
        <f>IF(OR(C399="",AND(LEFT(C399,6)="SAMPLE",Config!$B$19&lt;&gt;"Y")),"",IF(IFERROR(INDEX(Lists!$J$2:$J$15,MATCH(D399,Lists!$I$2:$I$15,0)),-1)=-1,"status '"&amp;D399&amp;"' is not a CONTRACTS status",IF(AND(D399="signed",COUNTIF(signed_offices!$W$2:$W$51,C399)=0),"status signed but no signed_offices row"&amp;IF(F399="N"," and no tracker row",""),IF(AND(IFERROR(INDEX(Lists!$J$2:$J$15,MATCH(D399,Lists!$I$2:$I$15,0)),-1)&gt;=6,F399="N"),"status "&amp;D399&amp;" but no tracker row",IF(AND(E399="Y",D399&lt;&gt;"do_not_contact"),"do_not_contact = Y but status is "&amp;D399,IF(AND(D399="do_not_contact",E399&lt;&gt;"Y"),"status do_not_contact but do_not_contact is not Y",""))))))</f>
        <v/>
      </c>
      <c r="I399" s="17" t="n">
        <v>378</v>
      </c>
      <c r="J399" s="17">
        <f>IFERROR(INDEX(Clay_Brands!$A$2:$FZ$601,I399,$D$5)&amp;"","")</f>
        <v/>
      </c>
      <c r="K399" s="17">
        <f>IFERROR(INDEX(Clay_Brands!$A$2:$FZ$601,I399,$D$7)&amp;"","")</f>
        <v/>
      </c>
      <c r="L399" s="17">
        <f>IFERROR(INDEX(Clay_Brands!$A$2:$FZ$601,I399,$D$8)&amp;"","")</f>
        <v/>
      </c>
      <c r="M399" s="17">
        <f>IF(J399="","",IF(COUNTIF(Brand_Log!$A$2:$A$201,J399)&gt;0,"Y","N"))</f>
        <v/>
      </c>
      <c r="N399" s="17">
        <f>IF(OR(J399="",AND(LEFT(J399,6)="SAMPLE",Config!$B$19&lt;&gt;"Y")),"",IF(IFERROR(INDEX(Lists!$J$2:$J$15,MATCH(K399,Lists!$I$2:$I$15,0)),-1)=-1,"status '"&amp;K399&amp;"' is not a CONTRACTS status",IF(AND(K399="paid",COUNTIF(paid_brands!$AC$2:$AC$51,J399)=0),"status paid but no paid_brands row"&amp;IF(M399="N"," and no tracker row",""),IF(AND(IFERROR(INDEX(Lists!$J$2:$J$15,MATCH(K399,Lists!$I$2:$I$15,0)),-1)&gt;=6,M399="N"),"status "&amp;K399&amp;" but no tracker row",IF(AND(L399="Y",K399&lt;&gt;"do_not_contact"),"do_not_contact = Y but status is "&amp;K399,IF(AND(K399="do_not_contact",L399&lt;&gt;"Y"),"status do_not_contact but do_not_contact is not Y",""))))))</f>
        <v/>
      </c>
    </row>
    <row r="400">
      <c r="B400" s="17" t="n">
        <v>379</v>
      </c>
      <c r="C400" s="17">
        <f>IFERROR(INDEX(Clay_Offices!$A$2:$FZ$601,B400,$C$5)&amp;"","")</f>
        <v/>
      </c>
      <c r="D400" s="17">
        <f>IFERROR(INDEX(Clay_Offices!$A$2:$FZ$601,B400,$C$7)&amp;"","")</f>
        <v/>
      </c>
      <c r="E400" s="17">
        <f>IFERROR(INDEX(Clay_Offices!$A$2:$FZ$601,B400,$C$8)&amp;"","")</f>
        <v/>
      </c>
      <c r="F400" s="17">
        <f>IF(C400="","",IF(COUNTIF(Office_Log!$A$2:$A$201,C400)&gt;0,"Y","N"))</f>
        <v/>
      </c>
      <c r="G400" s="17">
        <f>IF(OR(C400="",AND(LEFT(C400,6)="SAMPLE",Config!$B$19&lt;&gt;"Y")),"",IF(IFERROR(INDEX(Lists!$J$2:$J$15,MATCH(D400,Lists!$I$2:$I$15,0)),-1)=-1,"status '"&amp;D400&amp;"' is not a CONTRACTS status",IF(AND(D400="signed",COUNTIF(signed_offices!$W$2:$W$51,C400)=0),"status signed but no signed_offices row"&amp;IF(F400="N"," and no tracker row",""),IF(AND(IFERROR(INDEX(Lists!$J$2:$J$15,MATCH(D400,Lists!$I$2:$I$15,0)),-1)&gt;=6,F400="N"),"status "&amp;D400&amp;" but no tracker row",IF(AND(E400="Y",D400&lt;&gt;"do_not_contact"),"do_not_contact = Y but status is "&amp;D400,IF(AND(D400="do_not_contact",E400&lt;&gt;"Y"),"status do_not_contact but do_not_contact is not Y",""))))))</f>
        <v/>
      </c>
      <c r="I400" s="17" t="n">
        <v>379</v>
      </c>
      <c r="J400" s="17">
        <f>IFERROR(INDEX(Clay_Brands!$A$2:$FZ$601,I400,$D$5)&amp;"","")</f>
        <v/>
      </c>
      <c r="K400" s="17">
        <f>IFERROR(INDEX(Clay_Brands!$A$2:$FZ$601,I400,$D$7)&amp;"","")</f>
        <v/>
      </c>
      <c r="L400" s="17">
        <f>IFERROR(INDEX(Clay_Brands!$A$2:$FZ$601,I400,$D$8)&amp;"","")</f>
        <v/>
      </c>
      <c r="M400" s="17">
        <f>IF(J400="","",IF(COUNTIF(Brand_Log!$A$2:$A$201,J400)&gt;0,"Y","N"))</f>
        <v/>
      </c>
      <c r="N400" s="17">
        <f>IF(OR(J400="",AND(LEFT(J400,6)="SAMPLE",Config!$B$19&lt;&gt;"Y")),"",IF(IFERROR(INDEX(Lists!$J$2:$J$15,MATCH(K400,Lists!$I$2:$I$15,0)),-1)=-1,"status '"&amp;K400&amp;"' is not a CONTRACTS status",IF(AND(K400="paid",COUNTIF(paid_brands!$AC$2:$AC$51,J400)=0),"status paid but no paid_brands row"&amp;IF(M400="N"," and no tracker row",""),IF(AND(IFERROR(INDEX(Lists!$J$2:$J$15,MATCH(K400,Lists!$I$2:$I$15,0)),-1)&gt;=6,M400="N"),"status "&amp;K400&amp;" but no tracker row",IF(AND(L400="Y",K400&lt;&gt;"do_not_contact"),"do_not_contact = Y but status is "&amp;K400,IF(AND(K400="do_not_contact",L400&lt;&gt;"Y"),"status do_not_contact but do_not_contact is not Y",""))))))</f>
        <v/>
      </c>
    </row>
    <row r="401">
      <c r="B401" s="17" t="n">
        <v>380</v>
      </c>
      <c r="C401" s="17">
        <f>IFERROR(INDEX(Clay_Offices!$A$2:$FZ$601,B401,$C$5)&amp;"","")</f>
        <v/>
      </c>
      <c r="D401" s="17">
        <f>IFERROR(INDEX(Clay_Offices!$A$2:$FZ$601,B401,$C$7)&amp;"","")</f>
        <v/>
      </c>
      <c r="E401" s="17">
        <f>IFERROR(INDEX(Clay_Offices!$A$2:$FZ$601,B401,$C$8)&amp;"","")</f>
        <v/>
      </c>
      <c r="F401" s="17">
        <f>IF(C401="","",IF(COUNTIF(Office_Log!$A$2:$A$201,C401)&gt;0,"Y","N"))</f>
        <v/>
      </c>
      <c r="G401" s="17">
        <f>IF(OR(C401="",AND(LEFT(C401,6)="SAMPLE",Config!$B$19&lt;&gt;"Y")),"",IF(IFERROR(INDEX(Lists!$J$2:$J$15,MATCH(D401,Lists!$I$2:$I$15,0)),-1)=-1,"status '"&amp;D401&amp;"' is not a CONTRACTS status",IF(AND(D401="signed",COUNTIF(signed_offices!$W$2:$W$51,C401)=0),"status signed but no signed_offices row"&amp;IF(F401="N"," and no tracker row",""),IF(AND(IFERROR(INDEX(Lists!$J$2:$J$15,MATCH(D401,Lists!$I$2:$I$15,0)),-1)&gt;=6,F401="N"),"status "&amp;D401&amp;" but no tracker row",IF(AND(E401="Y",D401&lt;&gt;"do_not_contact"),"do_not_contact = Y but status is "&amp;D401,IF(AND(D401="do_not_contact",E401&lt;&gt;"Y"),"status do_not_contact but do_not_contact is not Y",""))))))</f>
        <v/>
      </c>
      <c r="I401" s="17" t="n">
        <v>380</v>
      </c>
      <c r="J401" s="17">
        <f>IFERROR(INDEX(Clay_Brands!$A$2:$FZ$601,I401,$D$5)&amp;"","")</f>
        <v/>
      </c>
      <c r="K401" s="17">
        <f>IFERROR(INDEX(Clay_Brands!$A$2:$FZ$601,I401,$D$7)&amp;"","")</f>
        <v/>
      </c>
      <c r="L401" s="17">
        <f>IFERROR(INDEX(Clay_Brands!$A$2:$FZ$601,I401,$D$8)&amp;"","")</f>
        <v/>
      </c>
      <c r="M401" s="17">
        <f>IF(J401="","",IF(COUNTIF(Brand_Log!$A$2:$A$201,J401)&gt;0,"Y","N"))</f>
        <v/>
      </c>
      <c r="N401" s="17">
        <f>IF(OR(J401="",AND(LEFT(J401,6)="SAMPLE",Config!$B$19&lt;&gt;"Y")),"",IF(IFERROR(INDEX(Lists!$J$2:$J$15,MATCH(K401,Lists!$I$2:$I$15,0)),-1)=-1,"status '"&amp;K401&amp;"' is not a CONTRACTS status",IF(AND(K401="paid",COUNTIF(paid_brands!$AC$2:$AC$51,J401)=0),"status paid but no paid_brands row"&amp;IF(M401="N"," and no tracker row",""),IF(AND(IFERROR(INDEX(Lists!$J$2:$J$15,MATCH(K401,Lists!$I$2:$I$15,0)),-1)&gt;=6,M401="N"),"status "&amp;K401&amp;" but no tracker row",IF(AND(L401="Y",K401&lt;&gt;"do_not_contact"),"do_not_contact = Y but status is "&amp;K401,IF(AND(K401="do_not_contact",L401&lt;&gt;"Y"),"status do_not_contact but do_not_contact is not Y",""))))))</f>
        <v/>
      </c>
    </row>
    <row r="402">
      <c r="B402" s="17" t="n">
        <v>381</v>
      </c>
      <c r="C402" s="17">
        <f>IFERROR(INDEX(Clay_Offices!$A$2:$FZ$601,B402,$C$5)&amp;"","")</f>
        <v/>
      </c>
      <c r="D402" s="17">
        <f>IFERROR(INDEX(Clay_Offices!$A$2:$FZ$601,B402,$C$7)&amp;"","")</f>
        <v/>
      </c>
      <c r="E402" s="17">
        <f>IFERROR(INDEX(Clay_Offices!$A$2:$FZ$601,B402,$C$8)&amp;"","")</f>
        <v/>
      </c>
      <c r="F402" s="17">
        <f>IF(C402="","",IF(COUNTIF(Office_Log!$A$2:$A$201,C402)&gt;0,"Y","N"))</f>
        <v/>
      </c>
      <c r="G402" s="17">
        <f>IF(OR(C402="",AND(LEFT(C402,6)="SAMPLE",Config!$B$19&lt;&gt;"Y")),"",IF(IFERROR(INDEX(Lists!$J$2:$J$15,MATCH(D402,Lists!$I$2:$I$15,0)),-1)=-1,"status '"&amp;D402&amp;"' is not a CONTRACTS status",IF(AND(D402="signed",COUNTIF(signed_offices!$W$2:$W$51,C402)=0),"status signed but no signed_offices row"&amp;IF(F402="N"," and no tracker row",""),IF(AND(IFERROR(INDEX(Lists!$J$2:$J$15,MATCH(D402,Lists!$I$2:$I$15,0)),-1)&gt;=6,F402="N"),"status "&amp;D402&amp;" but no tracker row",IF(AND(E402="Y",D402&lt;&gt;"do_not_contact"),"do_not_contact = Y but status is "&amp;D402,IF(AND(D402="do_not_contact",E402&lt;&gt;"Y"),"status do_not_contact but do_not_contact is not Y",""))))))</f>
        <v/>
      </c>
      <c r="I402" s="17" t="n">
        <v>381</v>
      </c>
      <c r="J402" s="17">
        <f>IFERROR(INDEX(Clay_Brands!$A$2:$FZ$601,I402,$D$5)&amp;"","")</f>
        <v/>
      </c>
      <c r="K402" s="17">
        <f>IFERROR(INDEX(Clay_Brands!$A$2:$FZ$601,I402,$D$7)&amp;"","")</f>
        <v/>
      </c>
      <c r="L402" s="17">
        <f>IFERROR(INDEX(Clay_Brands!$A$2:$FZ$601,I402,$D$8)&amp;"","")</f>
        <v/>
      </c>
      <c r="M402" s="17">
        <f>IF(J402="","",IF(COUNTIF(Brand_Log!$A$2:$A$201,J402)&gt;0,"Y","N"))</f>
        <v/>
      </c>
      <c r="N402" s="17">
        <f>IF(OR(J402="",AND(LEFT(J402,6)="SAMPLE",Config!$B$19&lt;&gt;"Y")),"",IF(IFERROR(INDEX(Lists!$J$2:$J$15,MATCH(K402,Lists!$I$2:$I$15,0)),-1)=-1,"status '"&amp;K402&amp;"' is not a CONTRACTS status",IF(AND(K402="paid",COUNTIF(paid_brands!$AC$2:$AC$51,J402)=0),"status paid but no paid_brands row"&amp;IF(M402="N"," and no tracker row",""),IF(AND(IFERROR(INDEX(Lists!$J$2:$J$15,MATCH(K402,Lists!$I$2:$I$15,0)),-1)&gt;=6,M402="N"),"status "&amp;K402&amp;" but no tracker row",IF(AND(L402="Y",K402&lt;&gt;"do_not_contact"),"do_not_contact = Y but status is "&amp;K402,IF(AND(K402="do_not_contact",L402&lt;&gt;"Y"),"status do_not_contact but do_not_contact is not Y",""))))))</f>
        <v/>
      </c>
    </row>
    <row r="403">
      <c r="B403" s="17" t="n">
        <v>382</v>
      </c>
      <c r="C403" s="17">
        <f>IFERROR(INDEX(Clay_Offices!$A$2:$FZ$601,B403,$C$5)&amp;"","")</f>
        <v/>
      </c>
      <c r="D403" s="17">
        <f>IFERROR(INDEX(Clay_Offices!$A$2:$FZ$601,B403,$C$7)&amp;"","")</f>
        <v/>
      </c>
      <c r="E403" s="17">
        <f>IFERROR(INDEX(Clay_Offices!$A$2:$FZ$601,B403,$C$8)&amp;"","")</f>
        <v/>
      </c>
      <c r="F403" s="17">
        <f>IF(C403="","",IF(COUNTIF(Office_Log!$A$2:$A$201,C403)&gt;0,"Y","N"))</f>
        <v/>
      </c>
      <c r="G403" s="17">
        <f>IF(OR(C403="",AND(LEFT(C403,6)="SAMPLE",Config!$B$19&lt;&gt;"Y")),"",IF(IFERROR(INDEX(Lists!$J$2:$J$15,MATCH(D403,Lists!$I$2:$I$15,0)),-1)=-1,"status '"&amp;D403&amp;"' is not a CONTRACTS status",IF(AND(D403="signed",COUNTIF(signed_offices!$W$2:$W$51,C403)=0),"status signed but no signed_offices row"&amp;IF(F403="N"," and no tracker row",""),IF(AND(IFERROR(INDEX(Lists!$J$2:$J$15,MATCH(D403,Lists!$I$2:$I$15,0)),-1)&gt;=6,F403="N"),"status "&amp;D403&amp;" but no tracker row",IF(AND(E403="Y",D403&lt;&gt;"do_not_contact"),"do_not_contact = Y but status is "&amp;D403,IF(AND(D403="do_not_contact",E403&lt;&gt;"Y"),"status do_not_contact but do_not_contact is not Y",""))))))</f>
        <v/>
      </c>
      <c r="I403" s="17" t="n">
        <v>382</v>
      </c>
      <c r="J403" s="17">
        <f>IFERROR(INDEX(Clay_Brands!$A$2:$FZ$601,I403,$D$5)&amp;"","")</f>
        <v/>
      </c>
      <c r="K403" s="17">
        <f>IFERROR(INDEX(Clay_Brands!$A$2:$FZ$601,I403,$D$7)&amp;"","")</f>
        <v/>
      </c>
      <c r="L403" s="17">
        <f>IFERROR(INDEX(Clay_Brands!$A$2:$FZ$601,I403,$D$8)&amp;"","")</f>
        <v/>
      </c>
      <c r="M403" s="17">
        <f>IF(J403="","",IF(COUNTIF(Brand_Log!$A$2:$A$201,J403)&gt;0,"Y","N"))</f>
        <v/>
      </c>
      <c r="N403" s="17">
        <f>IF(OR(J403="",AND(LEFT(J403,6)="SAMPLE",Config!$B$19&lt;&gt;"Y")),"",IF(IFERROR(INDEX(Lists!$J$2:$J$15,MATCH(K403,Lists!$I$2:$I$15,0)),-1)=-1,"status '"&amp;K403&amp;"' is not a CONTRACTS status",IF(AND(K403="paid",COUNTIF(paid_brands!$AC$2:$AC$51,J403)=0),"status paid but no paid_brands row"&amp;IF(M403="N"," and no tracker row",""),IF(AND(IFERROR(INDEX(Lists!$J$2:$J$15,MATCH(K403,Lists!$I$2:$I$15,0)),-1)&gt;=6,M403="N"),"status "&amp;K403&amp;" but no tracker row",IF(AND(L403="Y",K403&lt;&gt;"do_not_contact"),"do_not_contact = Y but status is "&amp;K403,IF(AND(K403="do_not_contact",L403&lt;&gt;"Y"),"status do_not_contact but do_not_contact is not Y",""))))))</f>
        <v/>
      </c>
    </row>
    <row r="404">
      <c r="B404" s="17" t="n">
        <v>383</v>
      </c>
      <c r="C404" s="17">
        <f>IFERROR(INDEX(Clay_Offices!$A$2:$FZ$601,B404,$C$5)&amp;"","")</f>
        <v/>
      </c>
      <c r="D404" s="17">
        <f>IFERROR(INDEX(Clay_Offices!$A$2:$FZ$601,B404,$C$7)&amp;"","")</f>
        <v/>
      </c>
      <c r="E404" s="17">
        <f>IFERROR(INDEX(Clay_Offices!$A$2:$FZ$601,B404,$C$8)&amp;"","")</f>
        <v/>
      </c>
      <c r="F404" s="17">
        <f>IF(C404="","",IF(COUNTIF(Office_Log!$A$2:$A$201,C404)&gt;0,"Y","N"))</f>
        <v/>
      </c>
      <c r="G404" s="17">
        <f>IF(OR(C404="",AND(LEFT(C404,6)="SAMPLE",Config!$B$19&lt;&gt;"Y")),"",IF(IFERROR(INDEX(Lists!$J$2:$J$15,MATCH(D404,Lists!$I$2:$I$15,0)),-1)=-1,"status '"&amp;D404&amp;"' is not a CONTRACTS status",IF(AND(D404="signed",COUNTIF(signed_offices!$W$2:$W$51,C404)=0),"status signed but no signed_offices row"&amp;IF(F404="N"," and no tracker row",""),IF(AND(IFERROR(INDEX(Lists!$J$2:$J$15,MATCH(D404,Lists!$I$2:$I$15,0)),-1)&gt;=6,F404="N"),"status "&amp;D404&amp;" but no tracker row",IF(AND(E404="Y",D404&lt;&gt;"do_not_contact"),"do_not_contact = Y but status is "&amp;D404,IF(AND(D404="do_not_contact",E404&lt;&gt;"Y"),"status do_not_contact but do_not_contact is not Y",""))))))</f>
        <v/>
      </c>
      <c r="I404" s="17" t="n">
        <v>383</v>
      </c>
      <c r="J404" s="17">
        <f>IFERROR(INDEX(Clay_Brands!$A$2:$FZ$601,I404,$D$5)&amp;"","")</f>
        <v/>
      </c>
      <c r="K404" s="17">
        <f>IFERROR(INDEX(Clay_Brands!$A$2:$FZ$601,I404,$D$7)&amp;"","")</f>
        <v/>
      </c>
      <c r="L404" s="17">
        <f>IFERROR(INDEX(Clay_Brands!$A$2:$FZ$601,I404,$D$8)&amp;"","")</f>
        <v/>
      </c>
      <c r="M404" s="17">
        <f>IF(J404="","",IF(COUNTIF(Brand_Log!$A$2:$A$201,J404)&gt;0,"Y","N"))</f>
        <v/>
      </c>
      <c r="N404" s="17">
        <f>IF(OR(J404="",AND(LEFT(J404,6)="SAMPLE",Config!$B$19&lt;&gt;"Y")),"",IF(IFERROR(INDEX(Lists!$J$2:$J$15,MATCH(K404,Lists!$I$2:$I$15,0)),-1)=-1,"status '"&amp;K404&amp;"' is not a CONTRACTS status",IF(AND(K404="paid",COUNTIF(paid_brands!$AC$2:$AC$51,J404)=0),"status paid but no paid_brands row"&amp;IF(M404="N"," and no tracker row",""),IF(AND(IFERROR(INDEX(Lists!$J$2:$J$15,MATCH(K404,Lists!$I$2:$I$15,0)),-1)&gt;=6,M404="N"),"status "&amp;K404&amp;" but no tracker row",IF(AND(L404="Y",K404&lt;&gt;"do_not_contact"),"do_not_contact = Y but status is "&amp;K404,IF(AND(K404="do_not_contact",L404&lt;&gt;"Y"),"status do_not_contact but do_not_contact is not Y",""))))))</f>
        <v/>
      </c>
    </row>
    <row r="405">
      <c r="B405" s="17" t="n">
        <v>384</v>
      </c>
      <c r="C405" s="17">
        <f>IFERROR(INDEX(Clay_Offices!$A$2:$FZ$601,B405,$C$5)&amp;"","")</f>
        <v/>
      </c>
      <c r="D405" s="17">
        <f>IFERROR(INDEX(Clay_Offices!$A$2:$FZ$601,B405,$C$7)&amp;"","")</f>
        <v/>
      </c>
      <c r="E405" s="17">
        <f>IFERROR(INDEX(Clay_Offices!$A$2:$FZ$601,B405,$C$8)&amp;"","")</f>
        <v/>
      </c>
      <c r="F405" s="17">
        <f>IF(C405="","",IF(COUNTIF(Office_Log!$A$2:$A$201,C405)&gt;0,"Y","N"))</f>
        <v/>
      </c>
      <c r="G405" s="17">
        <f>IF(OR(C405="",AND(LEFT(C405,6)="SAMPLE",Config!$B$19&lt;&gt;"Y")),"",IF(IFERROR(INDEX(Lists!$J$2:$J$15,MATCH(D405,Lists!$I$2:$I$15,0)),-1)=-1,"status '"&amp;D405&amp;"' is not a CONTRACTS status",IF(AND(D405="signed",COUNTIF(signed_offices!$W$2:$W$51,C405)=0),"status signed but no signed_offices row"&amp;IF(F405="N"," and no tracker row",""),IF(AND(IFERROR(INDEX(Lists!$J$2:$J$15,MATCH(D405,Lists!$I$2:$I$15,0)),-1)&gt;=6,F405="N"),"status "&amp;D405&amp;" but no tracker row",IF(AND(E405="Y",D405&lt;&gt;"do_not_contact"),"do_not_contact = Y but status is "&amp;D405,IF(AND(D405="do_not_contact",E405&lt;&gt;"Y"),"status do_not_contact but do_not_contact is not Y",""))))))</f>
        <v/>
      </c>
      <c r="I405" s="17" t="n">
        <v>384</v>
      </c>
      <c r="J405" s="17">
        <f>IFERROR(INDEX(Clay_Brands!$A$2:$FZ$601,I405,$D$5)&amp;"","")</f>
        <v/>
      </c>
      <c r="K405" s="17">
        <f>IFERROR(INDEX(Clay_Brands!$A$2:$FZ$601,I405,$D$7)&amp;"","")</f>
        <v/>
      </c>
      <c r="L405" s="17">
        <f>IFERROR(INDEX(Clay_Brands!$A$2:$FZ$601,I405,$D$8)&amp;"","")</f>
        <v/>
      </c>
      <c r="M405" s="17">
        <f>IF(J405="","",IF(COUNTIF(Brand_Log!$A$2:$A$201,J405)&gt;0,"Y","N"))</f>
        <v/>
      </c>
      <c r="N405" s="17">
        <f>IF(OR(J405="",AND(LEFT(J405,6)="SAMPLE",Config!$B$19&lt;&gt;"Y")),"",IF(IFERROR(INDEX(Lists!$J$2:$J$15,MATCH(K405,Lists!$I$2:$I$15,0)),-1)=-1,"status '"&amp;K405&amp;"' is not a CONTRACTS status",IF(AND(K405="paid",COUNTIF(paid_brands!$AC$2:$AC$51,J405)=0),"status paid but no paid_brands row"&amp;IF(M405="N"," and no tracker row",""),IF(AND(IFERROR(INDEX(Lists!$J$2:$J$15,MATCH(K405,Lists!$I$2:$I$15,0)),-1)&gt;=6,M405="N"),"status "&amp;K405&amp;" but no tracker row",IF(AND(L405="Y",K405&lt;&gt;"do_not_contact"),"do_not_contact = Y but status is "&amp;K405,IF(AND(K405="do_not_contact",L405&lt;&gt;"Y"),"status do_not_contact but do_not_contact is not Y",""))))))</f>
        <v/>
      </c>
    </row>
    <row r="406">
      <c r="B406" s="17" t="n">
        <v>385</v>
      </c>
      <c r="C406" s="17">
        <f>IFERROR(INDEX(Clay_Offices!$A$2:$FZ$601,B406,$C$5)&amp;"","")</f>
        <v/>
      </c>
      <c r="D406" s="17">
        <f>IFERROR(INDEX(Clay_Offices!$A$2:$FZ$601,B406,$C$7)&amp;"","")</f>
        <v/>
      </c>
      <c r="E406" s="17">
        <f>IFERROR(INDEX(Clay_Offices!$A$2:$FZ$601,B406,$C$8)&amp;"","")</f>
        <v/>
      </c>
      <c r="F406" s="17">
        <f>IF(C406="","",IF(COUNTIF(Office_Log!$A$2:$A$201,C406)&gt;0,"Y","N"))</f>
        <v/>
      </c>
      <c r="G406" s="17">
        <f>IF(OR(C406="",AND(LEFT(C406,6)="SAMPLE",Config!$B$19&lt;&gt;"Y")),"",IF(IFERROR(INDEX(Lists!$J$2:$J$15,MATCH(D406,Lists!$I$2:$I$15,0)),-1)=-1,"status '"&amp;D406&amp;"' is not a CONTRACTS status",IF(AND(D406="signed",COUNTIF(signed_offices!$W$2:$W$51,C406)=0),"status signed but no signed_offices row"&amp;IF(F406="N"," and no tracker row",""),IF(AND(IFERROR(INDEX(Lists!$J$2:$J$15,MATCH(D406,Lists!$I$2:$I$15,0)),-1)&gt;=6,F406="N"),"status "&amp;D406&amp;" but no tracker row",IF(AND(E406="Y",D406&lt;&gt;"do_not_contact"),"do_not_contact = Y but status is "&amp;D406,IF(AND(D406="do_not_contact",E406&lt;&gt;"Y"),"status do_not_contact but do_not_contact is not Y",""))))))</f>
        <v/>
      </c>
      <c r="I406" s="17" t="n">
        <v>385</v>
      </c>
      <c r="J406" s="17">
        <f>IFERROR(INDEX(Clay_Brands!$A$2:$FZ$601,I406,$D$5)&amp;"","")</f>
        <v/>
      </c>
      <c r="K406" s="17">
        <f>IFERROR(INDEX(Clay_Brands!$A$2:$FZ$601,I406,$D$7)&amp;"","")</f>
        <v/>
      </c>
      <c r="L406" s="17">
        <f>IFERROR(INDEX(Clay_Brands!$A$2:$FZ$601,I406,$D$8)&amp;"","")</f>
        <v/>
      </c>
      <c r="M406" s="17">
        <f>IF(J406="","",IF(COUNTIF(Brand_Log!$A$2:$A$201,J406)&gt;0,"Y","N"))</f>
        <v/>
      </c>
      <c r="N406" s="17">
        <f>IF(OR(J406="",AND(LEFT(J406,6)="SAMPLE",Config!$B$19&lt;&gt;"Y")),"",IF(IFERROR(INDEX(Lists!$J$2:$J$15,MATCH(K406,Lists!$I$2:$I$15,0)),-1)=-1,"status '"&amp;K406&amp;"' is not a CONTRACTS status",IF(AND(K406="paid",COUNTIF(paid_brands!$AC$2:$AC$51,J406)=0),"status paid but no paid_brands row"&amp;IF(M406="N"," and no tracker row",""),IF(AND(IFERROR(INDEX(Lists!$J$2:$J$15,MATCH(K406,Lists!$I$2:$I$15,0)),-1)&gt;=6,M406="N"),"status "&amp;K406&amp;" but no tracker row",IF(AND(L406="Y",K406&lt;&gt;"do_not_contact"),"do_not_contact = Y but status is "&amp;K406,IF(AND(K406="do_not_contact",L406&lt;&gt;"Y"),"status do_not_contact but do_not_contact is not Y",""))))))</f>
        <v/>
      </c>
    </row>
    <row r="407">
      <c r="B407" s="17" t="n">
        <v>386</v>
      </c>
      <c r="C407" s="17">
        <f>IFERROR(INDEX(Clay_Offices!$A$2:$FZ$601,B407,$C$5)&amp;"","")</f>
        <v/>
      </c>
      <c r="D407" s="17">
        <f>IFERROR(INDEX(Clay_Offices!$A$2:$FZ$601,B407,$C$7)&amp;"","")</f>
        <v/>
      </c>
      <c r="E407" s="17">
        <f>IFERROR(INDEX(Clay_Offices!$A$2:$FZ$601,B407,$C$8)&amp;"","")</f>
        <v/>
      </c>
      <c r="F407" s="17">
        <f>IF(C407="","",IF(COUNTIF(Office_Log!$A$2:$A$201,C407)&gt;0,"Y","N"))</f>
        <v/>
      </c>
      <c r="G407" s="17">
        <f>IF(OR(C407="",AND(LEFT(C407,6)="SAMPLE",Config!$B$19&lt;&gt;"Y")),"",IF(IFERROR(INDEX(Lists!$J$2:$J$15,MATCH(D407,Lists!$I$2:$I$15,0)),-1)=-1,"status '"&amp;D407&amp;"' is not a CONTRACTS status",IF(AND(D407="signed",COUNTIF(signed_offices!$W$2:$W$51,C407)=0),"status signed but no signed_offices row"&amp;IF(F407="N"," and no tracker row",""),IF(AND(IFERROR(INDEX(Lists!$J$2:$J$15,MATCH(D407,Lists!$I$2:$I$15,0)),-1)&gt;=6,F407="N"),"status "&amp;D407&amp;" but no tracker row",IF(AND(E407="Y",D407&lt;&gt;"do_not_contact"),"do_not_contact = Y but status is "&amp;D407,IF(AND(D407="do_not_contact",E407&lt;&gt;"Y"),"status do_not_contact but do_not_contact is not Y",""))))))</f>
        <v/>
      </c>
      <c r="I407" s="17" t="n">
        <v>386</v>
      </c>
      <c r="J407" s="17">
        <f>IFERROR(INDEX(Clay_Brands!$A$2:$FZ$601,I407,$D$5)&amp;"","")</f>
        <v/>
      </c>
      <c r="K407" s="17">
        <f>IFERROR(INDEX(Clay_Brands!$A$2:$FZ$601,I407,$D$7)&amp;"","")</f>
        <v/>
      </c>
      <c r="L407" s="17">
        <f>IFERROR(INDEX(Clay_Brands!$A$2:$FZ$601,I407,$D$8)&amp;"","")</f>
        <v/>
      </c>
      <c r="M407" s="17">
        <f>IF(J407="","",IF(COUNTIF(Brand_Log!$A$2:$A$201,J407)&gt;0,"Y","N"))</f>
        <v/>
      </c>
      <c r="N407" s="17">
        <f>IF(OR(J407="",AND(LEFT(J407,6)="SAMPLE",Config!$B$19&lt;&gt;"Y")),"",IF(IFERROR(INDEX(Lists!$J$2:$J$15,MATCH(K407,Lists!$I$2:$I$15,0)),-1)=-1,"status '"&amp;K407&amp;"' is not a CONTRACTS status",IF(AND(K407="paid",COUNTIF(paid_brands!$AC$2:$AC$51,J407)=0),"status paid but no paid_brands row"&amp;IF(M407="N"," and no tracker row",""),IF(AND(IFERROR(INDEX(Lists!$J$2:$J$15,MATCH(K407,Lists!$I$2:$I$15,0)),-1)&gt;=6,M407="N"),"status "&amp;K407&amp;" but no tracker row",IF(AND(L407="Y",K407&lt;&gt;"do_not_contact"),"do_not_contact = Y but status is "&amp;K407,IF(AND(K407="do_not_contact",L407&lt;&gt;"Y"),"status do_not_contact but do_not_contact is not Y",""))))))</f>
        <v/>
      </c>
    </row>
    <row r="408">
      <c r="B408" s="17" t="n">
        <v>387</v>
      </c>
      <c r="C408" s="17">
        <f>IFERROR(INDEX(Clay_Offices!$A$2:$FZ$601,B408,$C$5)&amp;"","")</f>
        <v/>
      </c>
      <c r="D408" s="17">
        <f>IFERROR(INDEX(Clay_Offices!$A$2:$FZ$601,B408,$C$7)&amp;"","")</f>
        <v/>
      </c>
      <c r="E408" s="17">
        <f>IFERROR(INDEX(Clay_Offices!$A$2:$FZ$601,B408,$C$8)&amp;"","")</f>
        <v/>
      </c>
      <c r="F408" s="17">
        <f>IF(C408="","",IF(COUNTIF(Office_Log!$A$2:$A$201,C408)&gt;0,"Y","N"))</f>
        <v/>
      </c>
      <c r="G408" s="17">
        <f>IF(OR(C408="",AND(LEFT(C408,6)="SAMPLE",Config!$B$19&lt;&gt;"Y")),"",IF(IFERROR(INDEX(Lists!$J$2:$J$15,MATCH(D408,Lists!$I$2:$I$15,0)),-1)=-1,"status '"&amp;D408&amp;"' is not a CONTRACTS status",IF(AND(D408="signed",COUNTIF(signed_offices!$W$2:$W$51,C408)=0),"status signed but no signed_offices row"&amp;IF(F408="N"," and no tracker row",""),IF(AND(IFERROR(INDEX(Lists!$J$2:$J$15,MATCH(D408,Lists!$I$2:$I$15,0)),-1)&gt;=6,F408="N"),"status "&amp;D408&amp;" but no tracker row",IF(AND(E408="Y",D408&lt;&gt;"do_not_contact"),"do_not_contact = Y but status is "&amp;D408,IF(AND(D408="do_not_contact",E408&lt;&gt;"Y"),"status do_not_contact but do_not_contact is not Y",""))))))</f>
        <v/>
      </c>
      <c r="I408" s="17" t="n">
        <v>387</v>
      </c>
      <c r="J408" s="17">
        <f>IFERROR(INDEX(Clay_Brands!$A$2:$FZ$601,I408,$D$5)&amp;"","")</f>
        <v/>
      </c>
      <c r="K408" s="17">
        <f>IFERROR(INDEX(Clay_Brands!$A$2:$FZ$601,I408,$D$7)&amp;"","")</f>
        <v/>
      </c>
      <c r="L408" s="17">
        <f>IFERROR(INDEX(Clay_Brands!$A$2:$FZ$601,I408,$D$8)&amp;"","")</f>
        <v/>
      </c>
      <c r="M408" s="17">
        <f>IF(J408="","",IF(COUNTIF(Brand_Log!$A$2:$A$201,J408)&gt;0,"Y","N"))</f>
        <v/>
      </c>
      <c r="N408" s="17">
        <f>IF(OR(J408="",AND(LEFT(J408,6)="SAMPLE",Config!$B$19&lt;&gt;"Y")),"",IF(IFERROR(INDEX(Lists!$J$2:$J$15,MATCH(K408,Lists!$I$2:$I$15,0)),-1)=-1,"status '"&amp;K408&amp;"' is not a CONTRACTS status",IF(AND(K408="paid",COUNTIF(paid_brands!$AC$2:$AC$51,J408)=0),"status paid but no paid_brands row"&amp;IF(M408="N"," and no tracker row",""),IF(AND(IFERROR(INDEX(Lists!$J$2:$J$15,MATCH(K408,Lists!$I$2:$I$15,0)),-1)&gt;=6,M408="N"),"status "&amp;K408&amp;" but no tracker row",IF(AND(L408="Y",K408&lt;&gt;"do_not_contact"),"do_not_contact = Y but status is "&amp;K408,IF(AND(K408="do_not_contact",L408&lt;&gt;"Y"),"status do_not_contact but do_not_contact is not Y",""))))))</f>
        <v/>
      </c>
    </row>
    <row r="409">
      <c r="B409" s="17" t="n">
        <v>388</v>
      </c>
      <c r="C409" s="17">
        <f>IFERROR(INDEX(Clay_Offices!$A$2:$FZ$601,B409,$C$5)&amp;"","")</f>
        <v/>
      </c>
      <c r="D409" s="17">
        <f>IFERROR(INDEX(Clay_Offices!$A$2:$FZ$601,B409,$C$7)&amp;"","")</f>
        <v/>
      </c>
      <c r="E409" s="17">
        <f>IFERROR(INDEX(Clay_Offices!$A$2:$FZ$601,B409,$C$8)&amp;"","")</f>
        <v/>
      </c>
      <c r="F409" s="17">
        <f>IF(C409="","",IF(COUNTIF(Office_Log!$A$2:$A$201,C409)&gt;0,"Y","N"))</f>
        <v/>
      </c>
      <c r="G409" s="17">
        <f>IF(OR(C409="",AND(LEFT(C409,6)="SAMPLE",Config!$B$19&lt;&gt;"Y")),"",IF(IFERROR(INDEX(Lists!$J$2:$J$15,MATCH(D409,Lists!$I$2:$I$15,0)),-1)=-1,"status '"&amp;D409&amp;"' is not a CONTRACTS status",IF(AND(D409="signed",COUNTIF(signed_offices!$W$2:$W$51,C409)=0),"status signed but no signed_offices row"&amp;IF(F409="N"," and no tracker row",""),IF(AND(IFERROR(INDEX(Lists!$J$2:$J$15,MATCH(D409,Lists!$I$2:$I$15,0)),-1)&gt;=6,F409="N"),"status "&amp;D409&amp;" but no tracker row",IF(AND(E409="Y",D409&lt;&gt;"do_not_contact"),"do_not_contact = Y but status is "&amp;D409,IF(AND(D409="do_not_contact",E409&lt;&gt;"Y"),"status do_not_contact but do_not_contact is not Y",""))))))</f>
        <v/>
      </c>
      <c r="I409" s="17" t="n">
        <v>388</v>
      </c>
      <c r="J409" s="17">
        <f>IFERROR(INDEX(Clay_Brands!$A$2:$FZ$601,I409,$D$5)&amp;"","")</f>
        <v/>
      </c>
      <c r="K409" s="17">
        <f>IFERROR(INDEX(Clay_Brands!$A$2:$FZ$601,I409,$D$7)&amp;"","")</f>
        <v/>
      </c>
      <c r="L409" s="17">
        <f>IFERROR(INDEX(Clay_Brands!$A$2:$FZ$601,I409,$D$8)&amp;"","")</f>
        <v/>
      </c>
      <c r="M409" s="17">
        <f>IF(J409="","",IF(COUNTIF(Brand_Log!$A$2:$A$201,J409)&gt;0,"Y","N"))</f>
        <v/>
      </c>
      <c r="N409" s="17">
        <f>IF(OR(J409="",AND(LEFT(J409,6)="SAMPLE",Config!$B$19&lt;&gt;"Y")),"",IF(IFERROR(INDEX(Lists!$J$2:$J$15,MATCH(K409,Lists!$I$2:$I$15,0)),-1)=-1,"status '"&amp;K409&amp;"' is not a CONTRACTS status",IF(AND(K409="paid",COUNTIF(paid_brands!$AC$2:$AC$51,J409)=0),"status paid but no paid_brands row"&amp;IF(M409="N"," and no tracker row",""),IF(AND(IFERROR(INDEX(Lists!$J$2:$J$15,MATCH(K409,Lists!$I$2:$I$15,0)),-1)&gt;=6,M409="N"),"status "&amp;K409&amp;" but no tracker row",IF(AND(L409="Y",K409&lt;&gt;"do_not_contact"),"do_not_contact = Y but status is "&amp;K409,IF(AND(K409="do_not_contact",L409&lt;&gt;"Y"),"status do_not_contact but do_not_contact is not Y",""))))))</f>
        <v/>
      </c>
    </row>
    <row r="410">
      <c r="B410" s="17" t="n">
        <v>389</v>
      </c>
      <c r="C410" s="17">
        <f>IFERROR(INDEX(Clay_Offices!$A$2:$FZ$601,B410,$C$5)&amp;"","")</f>
        <v/>
      </c>
      <c r="D410" s="17">
        <f>IFERROR(INDEX(Clay_Offices!$A$2:$FZ$601,B410,$C$7)&amp;"","")</f>
        <v/>
      </c>
      <c r="E410" s="17">
        <f>IFERROR(INDEX(Clay_Offices!$A$2:$FZ$601,B410,$C$8)&amp;"","")</f>
        <v/>
      </c>
      <c r="F410" s="17">
        <f>IF(C410="","",IF(COUNTIF(Office_Log!$A$2:$A$201,C410)&gt;0,"Y","N"))</f>
        <v/>
      </c>
      <c r="G410" s="17">
        <f>IF(OR(C410="",AND(LEFT(C410,6)="SAMPLE",Config!$B$19&lt;&gt;"Y")),"",IF(IFERROR(INDEX(Lists!$J$2:$J$15,MATCH(D410,Lists!$I$2:$I$15,0)),-1)=-1,"status '"&amp;D410&amp;"' is not a CONTRACTS status",IF(AND(D410="signed",COUNTIF(signed_offices!$W$2:$W$51,C410)=0),"status signed but no signed_offices row"&amp;IF(F410="N"," and no tracker row",""),IF(AND(IFERROR(INDEX(Lists!$J$2:$J$15,MATCH(D410,Lists!$I$2:$I$15,0)),-1)&gt;=6,F410="N"),"status "&amp;D410&amp;" but no tracker row",IF(AND(E410="Y",D410&lt;&gt;"do_not_contact"),"do_not_contact = Y but status is "&amp;D410,IF(AND(D410="do_not_contact",E410&lt;&gt;"Y"),"status do_not_contact but do_not_contact is not Y",""))))))</f>
        <v/>
      </c>
      <c r="I410" s="17" t="n">
        <v>389</v>
      </c>
      <c r="J410" s="17">
        <f>IFERROR(INDEX(Clay_Brands!$A$2:$FZ$601,I410,$D$5)&amp;"","")</f>
        <v/>
      </c>
      <c r="K410" s="17">
        <f>IFERROR(INDEX(Clay_Brands!$A$2:$FZ$601,I410,$D$7)&amp;"","")</f>
        <v/>
      </c>
      <c r="L410" s="17">
        <f>IFERROR(INDEX(Clay_Brands!$A$2:$FZ$601,I410,$D$8)&amp;"","")</f>
        <v/>
      </c>
      <c r="M410" s="17">
        <f>IF(J410="","",IF(COUNTIF(Brand_Log!$A$2:$A$201,J410)&gt;0,"Y","N"))</f>
        <v/>
      </c>
      <c r="N410" s="17">
        <f>IF(OR(J410="",AND(LEFT(J410,6)="SAMPLE",Config!$B$19&lt;&gt;"Y")),"",IF(IFERROR(INDEX(Lists!$J$2:$J$15,MATCH(K410,Lists!$I$2:$I$15,0)),-1)=-1,"status '"&amp;K410&amp;"' is not a CONTRACTS status",IF(AND(K410="paid",COUNTIF(paid_brands!$AC$2:$AC$51,J410)=0),"status paid but no paid_brands row"&amp;IF(M410="N"," and no tracker row",""),IF(AND(IFERROR(INDEX(Lists!$J$2:$J$15,MATCH(K410,Lists!$I$2:$I$15,0)),-1)&gt;=6,M410="N"),"status "&amp;K410&amp;" but no tracker row",IF(AND(L410="Y",K410&lt;&gt;"do_not_contact"),"do_not_contact = Y but status is "&amp;K410,IF(AND(K410="do_not_contact",L410&lt;&gt;"Y"),"status do_not_contact but do_not_contact is not Y",""))))))</f>
        <v/>
      </c>
    </row>
    <row r="411">
      <c r="B411" s="17" t="n">
        <v>390</v>
      </c>
      <c r="C411" s="17">
        <f>IFERROR(INDEX(Clay_Offices!$A$2:$FZ$601,B411,$C$5)&amp;"","")</f>
        <v/>
      </c>
      <c r="D411" s="17">
        <f>IFERROR(INDEX(Clay_Offices!$A$2:$FZ$601,B411,$C$7)&amp;"","")</f>
        <v/>
      </c>
      <c r="E411" s="17">
        <f>IFERROR(INDEX(Clay_Offices!$A$2:$FZ$601,B411,$C$8)&amp;"","")</f>
        <v/>
      </c>
      <c r="F411" s="17">
        <f>IF(C411="","",IF(COUNTIF(Office_Log!$A$2:$A$201,C411)&gt;0,"Y","N"))</f>
        <v/>
      </c>
      <c r="G411" s="17">
        <f>IF(OR(C411="",AND(LEFT(C411,6)="SAMPLE",Config!$B$19&lt;&gt;"Y")),"",IF(IFERROR(INDEX(Lists!$J$2:$J$15,MATCH(D411,Lists!$I$2:$I$15,0)),-1)=-1,"status '"&amp;D411&amp;"' is not a CONTRACTS status",IF(AND(D411="signed",COUNTIF(signed_offices!$W$2:$W$51,C411)=0),"status signed but no signed_offices row"&amp;IF(F411="N"," and no tracker row",""),IF(AND(IFERROR(INDEX(Lists!$J$2:$J$15,MATCH(D411,Lists!$I$2:$I$15,0)),-1)&gt;=6,F411="N"),"status "&amp;D411&amp;" but no tracker row",IF(AND(E411="Y",D411&lt;&gt;"do_not_contact"),"do_not_contact = Y but status is "&amp;D411,IF(AND(D411="do_not_contact",E411&lt;&gt;"Y"),"status do_not_contact but do_not_contact is not Y",""))))))</f>
        <v/>
      </c>
      <c r="I411" s="17" t="n">
        <v>390</v>
      </c>
      <c r="J411" s="17">
        <f>IFERROR(INDEX(Clay_Brands!$A$2:$FZ$601,I411,$D$5)&amp;"","")</f>
        <v/>
      </c>
      <c r="K411" s="17">
        <f>IFERROR(INDEX(Clay_Brands!$A$2:$FZ$601,I411,$D$7)&amp;"","")</f>
        <v/>
      </c>
      <c r="L411" s="17">
        <f>IFERROR(INDEX(Clay_Brands!$A$2:$FZ$601,I411,$D$8)&amp;"","")</f>
        <v/>
      </c>
      <c r="M411" s="17">
        <f>IF(J411="","",IF(COUNTIF(Brand_Log!$A$2:$A$201,J411)&gt;0,"Y","N"))</f>
        <v/>
      </c>
      <c r="N411" s="17">
        <f>IF(OR(J411="",AND(LEFT(J411,6)="SAMPLE",Config!$B$19&lt;&gt;"Y")),"",IF(IFERROR(INDEX(Lists!$J$2:$J$15,MATCH(K411,Lists!$I$2:$I$15,0)),-1)=-1,"status '"&amp;K411&amp;"' is not a CONTRACTS status",IF(AND(K411="paid",COUNTIF(paid_brands!$AC$2:$AC$51,J411)=0),"status paid but no paid_brands row"&amp;IF(M411="N"," and no tracker row",""),IF(AND(IFERROR(INDEX(Lists!$J$2:$J$15,MATCH(K411,Lists!$I$2:$I$15,0)),-1)&gt;=6,M411="N"),"status "&amp;K411&amp;" but no tracker row",IF(AND(L411="Y",K411&lt;&gt;"do_not_contact"),"do_not_contact = Y but status is "&amp;K411,IF(AND(K411="do_not_contact",L411&lt;&gt;"Y"),"status do_not_contact but do_not_contact is not Y",""))))))</f>
        <v/>
      </c>
    </row>
    <row r="412">
      <c r="B412" s="17" t="n">
        <v>391</v>
      </c>
      <c r="C412" s="17">
        <f>IFERROR(INDEX(Clay_Offices!$A$2:$FZ$601,B412,$C$5)&amp;"","")</f>
        <v/>
      </c>
      <c r="D412" s="17">
        <f>IFERROR(INDEX(Clay_Offices!$A$2:$FZ$601,B412,$C$7)&amp;"","")</f>
        <v/>
      </c>
      <c r="E412" s="17">
        <f>IFERROR(INDEX(Clay_Offices!$A$2:$FZ$601,B412,$C$8)&amp;"","")</f>
        <v/>
      </c>
      <c r="F412" s="17">
        <f>IF(C412="","",IF(COUNTIF(Office_Log!$A$2:$A$201,C412)&gt;0,"Y","N"))</f>
        <v/>
      </c>
      <c r="G412" s="17">
        <f>IF(OR(C412="",AND(LEFT(C412,6)="SAMPLE",Config!$B$19&lt;&gt;"Y")),"",IF(IFERROR(INDEX(Lists!$J$2:$J$15,MATCH(D412,Lists!$I$2:$I$15,0)),-1)=-1,"status '"&amp;D412&amp;"' is not a CONTRACTS status",IF(AND(D412="signed",COUNTIF(signed_offices!$W$2:$W$51,C412)=0),"status signed but no signed_offices row"&amp;IF(F412="N"," and no tracker row",""),IF(AND(IFERROR(INDEX(Lists!$J$2:$J$15,MATCH(D412,Lists!$I$2:$I$15,0)),-1)&gt;=6,F412="N"),"status "&amp;D412&amp;" but no tracker row",IF(AND(E412="Y",D412&lt;&gt;"do_not_contact"),"do_not_contact = Y but status is "&amp;D412,IF(AND(D412="do_not_contact",E412&lt;&gt;"Y"),"status do_not_contact but do_not_contact is not Y",""))))))</f>
        <v/>
      </c>
      <c r="I412" s="17" t="n">
        <v>391</v>
      </c>
      <c r="J412" s="17">
        <f>IFERROR(INDEX(Clay_Brands!$A$2:$FZ$601,I412,$D$5)&amp;"","")</f>
        <v/>
      </c>
      <c r="K412" s="17">
        <f>IFERROR(INDEX(Clay_Brands!$A$2:$FZ$601,I412,$D$7)&amp;"","")</f>
        <v/>
      </c>
      <c r="L412" s="17">
        <f>IFERROR(INDEX(Clay_Brands!$A$2:$FZ$601,I412,$D$8)&amp;"","")</f>
        <v/>
      </c>
      <c r="M412" s="17">
        <f>IF(J412="","",IF(COUNTIF(Brand_Log!$A$2:$A$201,J412)&gt;0,"Y","N"))</f>
        <v/>
      </c>
      <c r="N412" s="17">
        <f>IF(OR(J412="",AND(LEFT(J412,6)="SAMPLE",Config!$B$19&lt;&gt;"Y")),"",IF(IFERROR(INDEX(Lists!$J$2:$J$15,MATCH(K412,Lists!$I$2:$I$15,0)),-1)=-1,"status '"&amp;K412&amp;"' is not a CONTRACTS status",IF(AND(K412="paid",COUNTIF(paid_brands!$AC$2:$AC$51,J412)=0),"status paid but no paid_brands row"&amp;IF(M412="N"," and no tracker row",""),IF(AND(IFERROR(INDEX(Lists!$J$2:$J$15,MATCH(K412,Lists!$I$2:$I$15,0)),-1)&gt;=6,M412="N"),"status "&amp;K412&amp;" but no tracker row",IF(AND(L412="Y",K412&lt;&gt;"do_not_contact"),"do_not_contact = Y but status is "&amp;K412,IF(AND(K412="do_not_contact",L412&lt;&gt;"Y"),"status do_not_contact but do_not_contact is not Y",""))))))</f>
        <v/>
      </c>
    </row>
    <row r="413">
      <c r="B413" s="17" t="n">
        <v>392</v>
      </c>
      <c r="C413" s="17">
        <f>IFERROR(INDEX(Clay_Offices!$A$2:$FZ$601,B413,$C$5)&amp;"","")</f>
        <v/>
      </c>
      <c r="D413" s="17">
        <f>IFERROR(INDEX(Clay_Offices!$A$2:$FZ$601,B413,$C$7)&amp;"","")</f>
        <v/>
      </c>
      <c r="E413" s="17">
        <f>IFERROR(INDEX(Clay_Offices!$A$2:$FZ$601,B413,$C$8)&amp;"","")</f>
        <v/>
      </c>
      <c r="F413" s="17">
        <f>IF(C413="","",IF(COUNTIF(Office_Log!$A$2:$A$201,C413)&gt;0,"Y","N"))</f>
        <v/>
      </c>
      <c r="G413" s="17">
        <f>IF(OR(C413="",AND(LEFT(C413,6)="SAMPLE",Config!$B$19&lt;&gt;"Y")),"",IF(IFERROR(INDEX(Lists!$J$2:$J$15,MATCH(D413,Lists!$I$2:$I$15,0)),-1)=-1,"status '"&amp;D413&amp;"' is not a CONTRACTS status",IF(AND(D413="signed",COUNTIF(signed_offices!$W$2:$W$51,C413)=0),"status signed but no signed_offices row"&amp;IF(F413="N"," and no tracker row",""),IF(AND(IFERROR(INDEX(Lists!$J$2:$J$15,MATCH(D413,Lists!$I$2:$I$15,0)),-1)&gt;=6,F413="N"),"status "&amp;D413&amp;" but no tracker row",IF(AND(E413="Y",D413&lt;&gt;"do_not_contact"),"do_not_contact = Y but status is "&amp;D413,IF(AND(D413="do_not_contact",E413&lt;&gt;"Y"),"status do_not_contact but do_not_contact is not Y",""))))))</f>
        <v/>
      </c>
      <c r="I413" s="17" t="n">
        <v>392</v>
      </c>
      <c r="J413" s="17">
        <f>IFERROR(INDEX(Clay_Brands!$A$2:$FZ$601,I413,$D$5)&amp;"","")</f>
        <v/>
      </c>
      <c r="K413" s="17">
        <f>IFERROR(INDEX(Clay_Brands!$A$2:$FZ$601,I413,$D$7)&amp;"","")</f>
        <v/>
      </c>
      <c r="L413" s="17">
        <f>IFERROR(INDEX(Clay_Brands!$A$2:$FZ$601,I413,$D$8)&amp;"","")</f>
        <v/>
      </c>
      <c r="M413" s="17">
        <f>IF(J413="","",IF(COUNTIF(Brand_Log!$A$2:$A$201,J413)&gt;0,"Y","N"))</f>
        <v/>
      </c>
      <c r="N413" s="17">
        <f>IF(OR(J413="",AND(LEFT(J413,6)="SAMPLE",Config!$B$19&lt;&gt;"Y")),"",IF(IFERROR(INDEX(Lists!$J$2:$J$15,MATCH(K413,Lists!$I$2:$I$15,0)),-1)=-1,"status '"&amp;K413&amp;"' is not a CONTRACTS status",IF(AND(K413="paid",COUNTIF(paid_brands!$AC$2:$AC$51,J413)=0),"status paid but no paid_brands row"&amp;IF(M413="N"," and no tracker row",""),IF(AND(IFERROR(INDEX(Lists!$J$2:$J$15,MATCH(K413,Lists!$I$2:$I$15,0)),-1)&gt;=6,M413="N"),"status "&amp;K413&amp;" but no tracker row",IF(AND(L413="Y",K413&lt;&gt;"do_not_contact"),"do_not_contact = Y but status is "&amp;K413,IF(AND(K413="do_not_contact",L413&lt;&gt;"Y"),"status do_not_contact but do_not_contact is not Y",""))))))</f>
        <v/>
      </c>
    </row>
    <row r="414">
      <c r="B414" s="17" t="n">
        <v>393</v>
      </c>
      <c r="C414" s="17">
        <f>IFERROR(INDEX(Clay_Offices!$A$2:$FZ$601,B414,$C$5)&amp;"","")</f>
        <v/>
      </c>
      <c r="D414" s="17">
        <f>IFERROR(INDEX(Clay_Offices!$A$2:$FZ$601,B414,$C$7)&amp;"","")</f>
        <v/>
      </c>
      <c r="E414" s="17">
        <f>IFERROR(INDEX(Clay_Offices!$A$2:$FZ$601,B414,$C$8)&amp;"","")</f>
        <v/>
      </c>
      <c r="F414" s="17">
        <f>IF(C414="","",IF(COUNTIF(Office_Log!$A$2:$A$201,C414)&gt;0,"Y","N"))</f>
        <v/>
      </c>
      <c r="G414" s="17">
        <f>IF(OR(C414="",AND(LEFT(C414,6)="SAMPLE",Config!$B$19&lt;&gt;"Y")),"",IF(IFERROR(INDEX(Lists!$J$2:$J$15,MATCH(D414,Lists!$I$2:$I$15,0)),-1)=-1,"status '"&amp;D414&amp;"' is not a CONTRACTS status",IF(AND(D414="signed",COUNTIF(signed_offices!$W$2:$W$51,C414)=0),"status signed but no signed_offices row"&amp;IF(F414="N"," and no tracker row",""),IF(AND(IFERROR(INDEX(Lists!$J$2:$J$15,MATCH(D414,Lists!$I$2:$I$15,0)),-1)&gt;=6,F414="N"),"status "&amp;D414&amp;" but no tracker row",IF(AND(E414="Y",D414&lt;&gt;"do_not_contact"),"do_not_contact = Y but status is "&amp;D414,IF(AND(D414="do_not_contact",E414&lt;&gt;"Y"),"status do_not_contact but do_not_contact is not Y",""))))))</f>
        <v/>
      </c>
      <c r="I414" s="17" t="n">
        <v>393</v>
      </c>
      <c r="J414" s="17">
        <f>IFERROR(INDEX(Clay_Brands!$A$2:$FZ$601,I414,$D$5)&amp;"","")</f>
        <v/>
      </c>
      <c r="K414" s="17">
        <f>IFERROR(INDEX(Clay_Brands!$A$2:$FZ$601,I414,$D$7)&amp;"","")</f>
        <v/>
      </c>
      <c r="L414" s="17">
        <f>IFERROR(INDEX(Clay_Brands!$A$2:$FZ$601,I414,$D$8)&amp;"","")</f>
        <v/>
      </c>
      <c r="M414" s="17">
        <f>IF(J414="","",IF(COUNTIF(Brand_Log!$A$2:$A$201,J414)&gt;0,"Y","N"))</f>
        <v/>
      </c>
      <c r="N414" s="17">
        <f>IF(OR(J414="",AND(LEFT(J414,6)="SAMPLE",Config!$B$19&lt;&gt;"Y")),"",IF(IFERROR(INDEX(Lists!$J$2:$J$15,MATCH(K414,Lists!$I$2:$I$15,0)),-1)=-1,"status '"&amp;K414&amp;"' is not a CONTRACTS status",IF(AND(K414="paid",COUNTIF(paid_brands!$AC$2:$AC$51,J414)=0),"status paid but no paid_brands row"&amp;IF(M414="N"," and no tracker row",""),IF(AND(IFERROR(INDEX(Lists!$J$2:$J$15,MATCH(K414,Lists!$I$2:$I$15,0)),-1)&gt;=6,M414="N"),"status "&amp;K414&amp;" but no tracker row",IF(AND(L414="Y",K414&lt;&gt;"do_not_contact"),"do_not_contact = Y but status is "&amp;K414,IF(AND(K414="do_not_contact",L414&lt;&gt;"Y"),"status do_not_contact but do_not_contact is not Y",""))))))</f>
        <v/>
      </c>
    </row>
    <row r="415">
      <c r="B415" s="17" t="n">
        <v>394</v>
      </c>
      <c r="C415" s="17">
        <f>IFERROR(INDEX(Clay_Offices!$A$2:$FZ$601,B415,$C$5)&amp;"","")</f>
        <v/>
      </c>
      <c r="D415" s="17">
        <f>IFERROR(INDEX(Clay_Offices!$A$2:$FZ$601,B415,$C$7)&amp;"","")</f>
        <v/>
      </c>
      <c r="E415" s="17">
        <f>IFERROR(INDEX(Clay_Offices!$A$2:$FZ$601,B415,$C$8)&amp;"","")</f>
        <v/>
      </c>
      <c r="F415" s="17">
        <f>IF(C415="","",IF(COUNTIF(Office_Log!$A$2:$A$201,C415)&gt;0,"Y","N"))</f>
        <v/>
      </c>
      <c r="G415" s="17">
        <f>IF(OR(C415="",AND(LEFT(C415,6)="SAMPLE",Config!$B$19&lt;&gt;"Y")),"",IF(IFERROR(INDEX(Lists!$J$2:$J$15,MATCH(D415,Lists!$I$2:$I$15,0)),-1)=-1,"status '"&amp;D415&amp;"' is not a CONTRACTS status",IF(AND(D415="signed",COUNTIF(signed_offices!$W$2:$W$51,C415)=0),"status signed but no signed_offices row"&amp;IF(F415="N"," and no tracker row",""),IF(AND(IFERROR(INDEX(Lists!$J$2:$J$15,MATCH(D415,Lists!$I$2:$I$15,0)),-1)&gt;=6,F415="N"),"status "&amp;D415&amp;" but no tracker row",IF(AND(E415="Y",D415&lt;&gt;"do_not_contact"),"do_not_contact = Y but status is "&amp;D415,IF(AND(D415="do_not_contact",E415&lt;&gt;"Y"),"status do_not_contact but do_not_contact is not Y",""))))))</f>
        <v/>
      </c>
      <c r="I415" s="17" t="n">
        <v>394</v>
      </c>
      <c r="J415" s="17">
        <f>IFERROR(INDEX(Clay_Brands!$A$2:$FZ$601,I415,$D$5)&amp;"","")</f>
        <v/>
      </c>
      <c r="K415" s="17">
        <f>IFERROR(INDEX(Clay_Brands!$A$2:$FZ$601,I415,$D$7)&amp;"","")</f>
        <v/>
      </c>
      <c r="L415" s="17">
        <f>IFERROR(INDEX(Clay_Brands!$A$2:$FZ$601,I415,$D$8)&amp;"","")</f>
        <v/>
      </c>
      <c r="M415" s="17">
        <f>IF(J415="","",IF(COUNTIF(Brand_Log!$A$2:$A$201,J415)&gt;0,"Y","N"))</f>
        <v/>
      </c>
      <c r="N415" s="17">
        <f>IF(OR(J415="",AND(LEFT(J415,6)="SAMPLE",Config!$B$19&lt;&gt;"Y")),"",IF(IFERROR(INDEX(Lists!$J$2:$J$15,MATCH(K415,Lists!$I$2:$I$15,0)),-1)=-1,"status '"&amp;K415&amp;"' is not a CONTRACTS status",IF(AND(K415="paid",COUNTIF(paid_brands!$AC$2:$AC$51,J415)=0),"status paid but no paid_brands row"&amp;IF(M415="N"," and no tracker row",""),IF(AND(IFERROR(INDEX(Lists!$J$2:$J$15,MATCH(K415,Lists!$I$2:$I$15,0)),-1)&gt;=6,M415="N"),"status "&amp;K415&amp;" but no tracker row",IF(AND(L415="Y",K415&lt;&gt;"do_not_contact"),"do_not_contact = Y but status is "&amp;K415,IF(AND(K415="do_not_contact",L415&lt;&gt;"Y"),"status do_not_contact but do_not_contact is not Y",""))))))</f>
        <v/>
      </c>
    </row>
    <row r="416">
      <c r="B416" s="17" t="n">
        <v>395</v>
      </c>
      <c r="C416" s="17">
        <f>IFERROR(INDEX(Clay_Offices!$A$2:$FZ$601,B416,$C$5)&amp;"","")</f>
        <v/>
      </c>
      <c r="D416" s="17">
        <f>IFERROR(INDEX(Clay_Offices!$A$2:$FZ$601,B416,$C$7)&amp;"","")</f>
        <v/>
      </c>
      <c r="E416" s="17">
        <f>IFERROR(INDEX(Clay_Offices!$A$2:$FZ$601,B416,$C$8)&amp;"","")</f>
        <v/>
      </c>
      <c r="F416" s="17">
        <f>IF(C416="","",IF(COUNTIF(Office_Log!$A$2:$A$201,C416)&gt;0,"Y","N"))</f>
        <v/>
      </c>
      <c r="G416" s="17">
        <f>IF(OR(C416="",AND(LEFT(C416,6)="SAMPLE",Config!$B$19&lt;&gt;"Y")),"",IF(IFERROR(INDEX(Lists!$J$2:$J$15,MATCH(D416,Lists!$I$2:$I$15,0)),-1)=-1,"status '"&amp;D416&amp;"' is not a CONTRACTS status",IF(AND(D416="signed",COUNTIF(signed_offices!$W$2:$W$51,C416)=0),"status signed but no signed_offices row"&amp;IF(F416="N"," and no tracker row",""),IF(AND(IFERROR(INDEX(Lists!$J$2:$J$15,MATCH(D416,Lists!$I$2:$I$15,0)),-1)&gt;=6,F416="N"),"status "&amp;D416&amp;" but no tracker row",IF(AND(E416="Y",D416&lt;&gt;"do_not_contact"),"do_not_contact = Y but status is "&amp;D416,IF(AND(D416="do_not_contact",E416&lt;&gt;"Y"),"status do_not_contact but do_not_contact is not Y",""))))))</f>
        <v/>
      </c>
      <c r="I416" s="17" t="n">
        <v>395</v>
      </c>
      <c r="J416" s="17">
        <f>IFERROR(INDEX(Clay_Brands!$A$2:$FZ$601,I416,$D$5)&amp;"","")</f>
        <v/>
      </c>
      <c r="K416" s="17">
        <f>IFERROR(INDEX(Clay_Brands!$A$2:$FZ$601,I416,$D$7)&amp;"","")</f>
        <v/>
      </c>
      <c r="L416" s="17">
        <f>IFERROR(INDEX(Clay_Brands!$A$2:$FZ$601,I416,$D$8)&amp;"","")</f>
        <v/>
      </c>
      <c r="M416" s="17">
        <f>IF(J416="","",IF(COUNTIF(Brand_Log!$A$2:$A$201,J416)&gt;0,"Y","N"))</f>
        <v/>
      </c>
      <c r="N416" s="17">
        <f>IF(OR(J416="",AND(LEFT(J416,6)="SAMPLE",Config!$B$19&lt;&gt;"Y")),"",IF(IFERROR(INDEX(Lists!$J$2:$J$15,MATCH(K416,Lists!$I$2:$I$15,0)),-1)=-1,"status '"&amp;K416&amp;"' is not a CONTRACTS status",IF(AND(K416="paid",COUNTIF(paid_brands!$AC$2:$AC$51,J416)=0),"status paid but no paid_brands row"&amp;IF(M416="N"," and no tracker row",""),IF(AND(IFERROR(INDEX(Lists!$J$2:$J$15,MATCH(K416,Lists!$I$2:$I$15,0)),-1)&gt;=6,M416="N"),"status "&amp;K416&amp;" but no tracker row",IF(AND(L416="Y",K416&lt;&gt;"do_not_contact"),"do_not_contact = Y but status is "&amp;K416,IF(AND(K416="do_not_contact",L416&lt;&gt;"Y"),"status do_not_contact but do_not_contact is not Y",""))))))</f>
        <v/>
      </c>
    </row>
    <row r="417">
      <c r="B417" s="17" t="n">
        <v>396</v>
      </c>
      <c r="C417" s="17">
        <f>IFERROR(INDEX(Clay_Offices!$A$2:$FZ$601,B417,$C$5)&amp;"","")</f>
        <v/>
      </c>
      <c r="D417" s="17">
        <f>IFERROR(INDEX(Clay_Offices!$A$2:$FZ$601,B417,$C$7)&amp;"","")</f>
        <v/>
      </c>
      <c r="E417" s="17">
        <f>IFERROR(INDEX(Clay_Offices!$A$2:$FZ$601,B417,$C$8)&amp;"","")</f>
        <v/>
      </c>
      <c r="F417" s="17">
        <f>IF(C417="","",IF(COUNTIF(Office_Log!$A$2:$A$201,C417)&gt;0,"Y","N"))</f>
        <v/>
      </c>
      <c r="G417" s="17">
        <f>IF(OR(C417="",AND(LEFT(C417,6)="SAMPLE",Config!$B$19&lt;&gt;"Y")),"",IF(IFERROR(INDEX(Lists!$J$2:$J$15,MATCH(D417,Lists!$I$2:$I$15,0)),-1)=-1,"status '"&amp;D417&amp;"' is not a CONTRACTS status",IF(AND(D417="signed",COUNTIF(signed_offices!$W$2:$W$51,C417)=0),"status signed but no signed_offices row"&amp;IF(F417="N"," and no tracker row",""),IF(AND(IFERROR(INDEX(Lists!$J$2:$J$15,MATCH(D417,Lists!$I$2:$I$15,0)),-1)&gt;=6,F417="N"),"status "&amp;D417&amp;" but no tracker row",IF(AND(E417="Y",D417&lt;&gt;"do_not_contact"),"do_not_contact = Y but status is "&amp;D417,IF(AND(D417="do_not_contact",E417&lt;&gt;"Y"),"status do_not_contact but do_not_contact is not Y",""))))))</f>
        <v/>
      </c>
      <c r="I417" s="17" t="n">
        <v>396</v>
      </c>
      <c r="J417" s="17">
        <f>IFERROR(INDEX(Clay_Brands!$A$2:$FZ$601,I417,$D$5)&amp;"","")</f>
        <v/>
      </c>
      <c r="K417" s="17">
        <f>IFERROR(INDEX(Clay_Brands!$A$2:$FZ$601,I417,$D$7)&amp;"","")</f>
        <v/>
      </c>
      <c r="L417" s="17">
        <f>IFERROR(INDEX(Clay_Brands!$A$2:$FZ$601,I417,$D$8)&amp;"","")</f>
        <v/>
      </c>
      <c r="M417" s="17">
        <f>IF(J417="","",IF(COUNTIF(Brand_Log!$A$2:$A$201,J417)&gt;0,"Y","N"))</f>
        <v/>
      </c>
      <c r="N417" s="17">
        <f>IF(OR(J417="",AND(LEFT(J417,6)="SAMPLE",Config!$B$19&lt;&gt;"Y")),"",IF(IFERROR(INDEX(Lists!$J$2:$J$15,MATCH(K417,Lists!$I$2:$I$15,0)),-1)=-1,"status '"&amp;K417&amp;"' is not a CONTRACTS status",IF(AND(K417="paid",COUNTIF(paid_brands!$AC$2:$AC$51,J417)=0),"status paid but no paid_brands row"&amp;IF(M417="N"," and no tracker row",""),IF(AND(IFERROR(INDEX(Lists!$J$2:$J$15,MATCH(K417,Lists!$I$2:$I$15,0)),-1)&gt;=6,M417="N"),"status "&amp;K417&amp;" but no tracker row",IF(AND(L417="Y",K417&lt;&gt;"do_not_contact"),"do_not_contact = Y but status is "&amp;K417,IF(AND(K417="do_not_contact",L417&lt;&gt;"Y"),"status do_not_contact but do_not_contact is not Y",""))))))</f>
        <v/>
      </c>
    </row>
    <row r="418">
      <c r="B418" s="17" t="n">
        <v>397</v>
      </c>
      <c r="C418" s="17">
        <f>IFERROR(INDEX(Clay_Offices!$A$2:$FZ$601,B418,$C$5)&amp;"","")</f>
        <v/>
      </c>
      <c r="D418" s="17">
        <f>IFERROR(INDEX(Clay_Offices!$A$2:$FZ$601,B418,$C$7)&amp;"","")</f>
        <v/>
      </c>
      <c r="E418" s="17">
        <f>IFERROR(INDEX(Clay_Offices!$A$2:$FZ$601,B418,$C$8)&amp;"","")</f>
        <v/>
      </c>
      <c r="F418" s="17">
        <f>IF(C418="","",IF(COUNTIF(Office_Log!$A$2:$A$201,C418)&gt;0,"Y","N"))</f>
        <v/>
      </c>
      <c r="G418" s="17">
        <f>IF(OR(C418="",AND(LEFT(C418,6)="SAMPLE",Config!$B$19&lt;&gt;"Y")),"",IF(IFERROR(INDEX(Lists!$J$2:$J$15,MATCH(D418,Lists!$I$2:$I$15,0)),-1)=-1,"status '"&amp;D418&amp;"' is not a CONTRACTS status",IF(AND(D418="signed",COUNTIF(signed_offices!$W$2:$W$51,C418)=0),"status signed but no signed_offices row"&amp;IF(F418="N"," and no tracker row",""),IF(AND(IFERROR(INDEX(Lists!$J$2:$J$15,MATCH(D418,Lists!$I$2:$I$15,0)),-1)&gt;=6,F418="N"),"status "&amp;D418&amp;" but no tracker row",IF(AND(E418="Y",D418&lt;&gt;"do_not_contact"),"do_not_contact = Y but status is "&amp;D418,IF(AND(D418="do_not_contact",E418&lt;&gt;"Y"),"status do_not_contact but do_not_contact is not Y",""))))))</f>
        <v/>
      </c>
      <c r="I418" s="17" t="n">
        <v>397</v>
      </c>
      <c r="J418" s="17">
        <f>IFERROR(INDEX(Clay_Brands!$A$2:$FZ$601,I418,$D$5)&amp;"","")</f>
        <v/>
      </c>
      <c r="K418" s="17">
        <f>IFERROR(INDEX(Clay_Brands!$A$2:$FZ$601,I418,$D$7)&amp;"","")</f>
        <v/>
      </c>
      <c r="L418" s="17">
        <f>IFERROR(INDEX(Clay_Brands!$A$2:$FZ$601,I418,$D$8)&amp;"","")</f>
        <v/>
      </c>
      <c r="M418" s="17">
        <f>IF(J418="","",IF(COUNTIF(Brand_Log!$A$2:$A$201,J418)&gt;0,"Y","N"))</f>
        <v/>
      </c>
      <c r="N418" s="17">
        <f>IF(OR(J418="",AND(LEFT(J418,6)="SAMPLE",Config!$B$19&lt;&gt;"Y")),"",IF(IFERROR(INDEX(Lists!$J$2:$J$15,MATCH(K418,Lists!$I$2:$I$15,0)),-1)=-1,"status '"&amp;K418&amp;"' is not a CONTRACTS status",IF(AND(K418="paid",COUNTIF(paid_brands!$AC$2:$AC$51,J418)=0),"status paid but no paid_brands row"&amp;IF(M418="N"," and no tracker row",""),IF(AND(IFERROR(INDEX(Lists!$J$2:$J$15,MATCH(K418,Lists!$I$2:$I$15,0)),-1)&gt;=6,M418="N"),"status "&amp;K418&amp;" but no tracker row",IF(AND(L418="Y",K418&lt;&gt;"do_not_contact"),"do_not_contact = Y but status is "&amp;K418,IF(AND(K418="do_not_contact",L418&lt;&gt;"Y"),"status do_not_contact but do_not_contact is not Y",""))))))</f>
        <v/>
      </c>
    </row>
    <row r="419">
      <c r="B419" s="17" t="n">
        <v>398</v>
      </c>
      <c r="C419" s="17">
        <f>IFERROR(INDEX(Clay_Offices!$A$2:$FZ$601,B419,$C$5)&amp;"","")</f>
        <v/>
      </c>
      <c r="D419" s="17">
        <f>IFERROR(INDEX(Clay_Offices!$A$2:$FZ$601,B419,$C$7)&amp;"","")</f>
        <v/>
      </c>
      <c r="E419" s="17">
        <f>IFERROR(INDEX(Clay_Offices!$A$2:$FZ$601,B419,$C$8)&amp;"","")</f>
        <v/>
      </c>
      <c r="F419" s="17">
        <f>IF(C419="","",IF(COUNTIF(Office_Log!$A$2:$A$201,C419)&gt;0,"Y","N"))</f>
        <v/>
      </c>
      <c r="G419" s="17">
        <f>IF(OR(C419="",AND(LEFT(C419,6)="SAMPLE",Config!$B$19&lt;&gt;"Y")),"",IF(IFERROR(INDEX(Lists!$J$2:$J$15,MATCH(D419,Lists!$I$2:$I$15,0)),-1)=-1,"status '"&amp;D419&amp;"' is not a CONTRACTS status",IF(AND(D419="signed",COUNTIF(signed_offices!$W$2:$W$51,C419)=0),"status signed but no signed_offices row"&amp;IF(F419="N"," and no tracker row",""),IF(AND(IFERROR(INDEX(Lists!$J$2:$J$15,MATCH(D419,Lists!$I$2:$I$15,0)),-1)&gt;=6,F419="N"),"status "&amp;D419&amp;" but no tracker row",IF(AND(E419="Y",D419&lt;&gt;"do_not_contact"),"do_not_contact = Y but status is "&amp;D419,IF(AND(D419="do_not_contact",E419&lt;&gt;"Y"),"status do_not_contact but do_not_contact is not Y",""))))))</f>
        <v/>
      </c>
      <c r="I419" s="17" t="n">
        <v>398</v>
      </c>
      <c r="J419" s="17">
        <f>IFERROR(INDEX(Clay_Brands!$A$2:$FZ$601,I419,$D$5)&amp;"","")</f>
        <v/>
      </c>
      <c r="K419" s="17">
        <f>IFERROR(INDEX(Clay_Brands!$A$2:$FZ$601,I419,$D$7)&amp;"","")</f>
        <v/>
      </c>
      <c r="L419" s="17">
        <f>IFERROR(INDEX(Clay_Brands!$A$2:$FZ$601,I419,$D$8)&amp;"","")</f>
        <v/>
      </c>
      <c r="M419" s="17">
        <f>IF(J419="","",IF(COUNTIF(Brand_Log!$A$2:$A$201,J419)&gt;0,"Y","N"))</f>
        <v/>
      </c>
      <c r="N419" s="17">
        <f>IF(OR(J419="",AND(LEFT(J419,6)="SAMPLE",Config!$B$19&lt;&gt;"Y")),"",IF(IFERROR(INDEX(Lists!$J$2:$J$15,MATCH(K419,Lists!$I$2:$I$15,0)),-1)=-1,"status '"&amp;K419&amp;"' is not a CONTRACTS status",IF(AND(K419="paid",COUNTIF(paid_brands!$AC$2:$AC$51,J419)=0),"status paid but no paid_brands row"&amp;IF(M419="N"," and no tracker row",""),IF(AND(IFERROR(INDEX(Lists!$J$2:$J$15,MATCH(K419,Lists!$I$2:$I$15,0)),-1)&gt;=6,M419="N"),"status "&amp;K419&amp;" but no tracker row",IF(AND(L419="Y",K419&lt;&gt;"do_not_contact"),"do_not_contact = Y but status is "&amp;K419,IF(AND(K419="do_not_contact",L419&lt;&gt;"Y"),"status do_not_contact but do_not_contact is not Y",""))))))</f>
        <v/>
      </c>
    </row>
    <row r="420">
      <c r="B420" s="17" t="n">
        <v>399</v>
      </c>
      <c r="C420" s="17">
        <f>IFERROR(INDEX(Clay_Offices!$A$2:$FZ$601,B420,$C$5)&amp;"","")</f>
        <v/>
      </c>
      <c r="D420" s="17">
        <f>IFERROR(INDEX(Clay_Offices!$A$2:$FZ$601,B420,$C$7)&amp;"","")</f>
        <v/>
      </c>
      <c r="E420" s="17">
        <f>IFERROR(INDEX(Clay_Offices!$A$2:$FZ$601,B420,$C$8)&amp;"","")</f>
        <v/>
      </c>
      <c r="F420" s="17">
        <f>IF(C420="","",IF(COUNTIF(Office_Log!$A$2:$A$201,C420)&gt;0,"Y","N"))</f>
        <v/>
      </c>
      <c r="G420" s="17">
        <f>IF(OR(C420="",AND(LEFT(C420,6)="SAMPLE",Config!$B$19&lt;&gt;"Y")),"",IF(IFERROR(INDEX(Lists!$J$2:$J$15,MATCH(D420,Lists!$I$2:$I$15,0)),-1)=-1,"status '"&amp;D420&amp;"' is not a CONTRACTS status",IF(AND(D420="signed",COUNTIF(signed_offices!$W$2:$W$51,C420)=0),"status signed but no signed_offices row"&amp;IF(F420="N"," and no tracker row",""),IF(AND(IFERROR(INDEX(Lists!$J$2:$J$15,MATCH(D420,Lists!$I$2:$I$15,0)),-1)&gt;=6,F420="N"),"status "&amp;D420&amp;" but no tracker row",IF(AND(E420="Y",D420&lt;&gt;"do_not_contact"),"do_not_contact = Y but status is "&amp;D420,IF(AND(D420="do_not_contact",E420&lt;&gt;"Y"),"status do_not_contact but do_not_contact is not Y",""))))))</f>
        <v/>
      </c>
      <c r="I420" s="17" t="n">
        <v>399</v>
      </c>
      <c r="J420" s="17">
        <f>IFERROR(INDEX(Clay_Brands!$A$2:$FZ$601,I420,$D$5)&amp;"","")</f>
        <v/>
      </c>
      <c r="K420" s="17">
        <f>IFERROR(INDEX(Clay_Brands!$A$2:$FZ$601,I420,$D$7)&amp;"","")</f>
        <v/>
      </c>
      <c r="L420" s="17">
        <f>IFERROR(INDEX(Clay_Brands!$A$2:$FZ$601,I420,$D$8)&amp;"","")</f>
        <v/>
      </c>
      <c r="M420" s="17">
        <f>IF(J420="","",IF(COUNTIF(Brand_Log!$A$2:$A$201,J420)&gt;0,"Y","N"))</f>
        <v/>
      </c>
      <c r="N420" s="17">
        <f>IF(OR(J420="",AND(LEFT(J420,6)="SAMPLE",Config!$B$19&lt;&gt;"Y")),"",IF(IFERROR(INDEX(Lists!$J$2:$J$15,MATCH(K420,Lists!$I$2:$I$15,0)),-1)=-1,"status '"&amp;K420&amp;"' is not a CONTRACTS status",IF(AND(K420="paid",COUNTIF(paid_brands!$AC$2:$AC$51,J420)=0),"status paid but no paid_brands row"&amp;IF(M420="N"," and no tracker row",""),IF(AND(IFERROR(INDEX(Lists!$J$2:$J$15,MATCH(K420,Lists!$I$2:$I$15,0)),-1)&gt;=6,M420="N"),"status "&amp;K420&amp;" but no tracker row",IF(AND(L420="Y",K420&lt;&gt;"do_not_contact"),"do_not_contact = Y but status is "&amp;K420,IF(AND(K420="do_not_contact",L420&lt;&gt;"Y"),"status do_not_contact but do_not_contact is not Y",""))))))</f>
        <v/>
      </c>
    </row>
    <row r="421">
      <c r="B421" s="17" t="n">
        <v>400</v>
      </c>
      <c r="C421" s="17">
        <f>IFERROR(INDEX(Clay_Offices!$A$2:$FZ$601,B421,$C$5)&amp;"","")</f>
        <v/>
      </c>
      <c r="D421" s="17">
        <f>IFERROR(INDEX(Clay_Offices!$A$2:$FZ$601,B421,$C$7)&amp;"","")</f>
        <v/>
      </c>
      <c r="E421" s="17">
        <f>IFERROR(INDEX(Clay_Offices!$A$2:$FZ$601,B421,$C$8)&amp;"","")</f>
        <v/>
      </c>
      <c r="F421" s="17">
        <f>IF(C421="","",IF(COUNTIF(Office_Log!$A$2:$A$201,C421)&gt;0,"Y","N"))</f>
        <v/>
      </c>
      <c r="G421" s="17">
        <f>IF(OR(C421="",AND(LEFT(C421,6)="SAMPLE",Config!$B$19&lt;&gt;"Y")),"",IF(IFERROR(INDEX(Lists!$J$2:$J$15,MATCH(D421,Lists!$I$2:$I$15,0)),-1)=-1,"status '"&amp;D421&amp;"' is not a CONTRACTS status",IF(AND(D421="signed",COUNTIF(signed_offices!$W$2:$W$51,C421)=0),"status signed but no signed_offices row"&amp;IF(F421="N"," and no tracker row",""),IF(AND(IFERROR(INDEX(Lists!$J$2:$J$15,MATCH(D421,Lists!$I$2:$I$15,0)),-1)&gt;=6,F421="N"),"status "&amp;D421&amp;" but no tracker row",IF(AND(E421="Y",D421&lt;&gt;"do_not_contact"),"do_not_contact = Y but status is "&amp;D421,IF(AND(D421="do_not_contact",E421&lt;&gt;"Y"),"status do_not_contact but do_not_contact is not Y",""))))))</f>
        <v/>
      </c>
      <c r="I421" s="17" t="n">
        <v>400</v>
      </c>
      <c r="J421" s="17">
        <f>IFERROR(INDEX(Clay_Brands!$A$2:$FZ$601,I421,$D$5)&amp;"","")</f>
        <v/>
      </c>
      <c r="K421" s="17">
        <f>IFERROR(INDEX(Clay_Brands!$A$2:$FZ$601,I421,$D$7)&amp;"","")</f>
        <v/>
      </c>
      <c r="L421" s="17">
        <f>IFERROR(INDEX(Clay_Brands!$A$2:$FZ$601,I421,$D$8)&amp;"","")</f>
        <v/>
      </c>
      <c r="M421" s="17">
        <f>IF(J421="","",IF(COUNTIF(Brand_Log!$A$2:$A$201,J421)&gt;0,"Y","N"))</f>
        <v/>
      </c>
      <c r="N421" s="17">
        <f>IF(OR(J421="",AND(LEFT(J421,6)="SAMPLE",Config!$B$19&lt;&gt;"Y")),"",IF(IFERROR(INDEX(Lists!$J$2:$J$15,MATCH(K421,Lists!$I$2:$I$15,0)),-1)=-1,"status '"&amp;K421&amp;"' is not a CONTRACTS status",IF(AND(K421="paid",COUNTIF(paid_brands!$AC$2:$AC$51,J421)=0),"status paid but no paid_brands row"&amp;IF(M421="N"," and no tracker row",""),IF(AND(IFERROR(INDEX(Lists!$J$2:$J$15,MATCH(K421,Lists!$I$2:$I$15,0)),-1)&gt;=6,M421="N"),"status "&amp;K421&amp;" but no tracker row",IF(AND(L421="Y",K421&lt;&gt;"do_not_contact"),"do_not_contact = Y but status is "&amp;K421,IF(AND(K421="do_not_contact",L421&lt;&gt;"Y"),"status do_not_contact but do_not_contact is not Y",""))))))</f>
        <v/>
      </c>
    </row>
    <row r="422">
      <c r="B422" s="17" t="n">
        <v>401</v>
      </c>
      <c r="C422" s="17">
        <f>IFERROR(INDEX(Clay_Offices!$A$2:$FZ$601,B422,$C$5)&amp;"","")</f>
        <v/>
      </c>
      <c r="D422" s="17">
        <f>IFERROR(INDEX(Clay_Offices!$A$2:$FZ$601,B422,$C$7)&amp;"","")</f>
        <v/>
      </c>
      <c r="E422" s="17">
        <f>IFERROR(INDEX(Clay_Offices!$A$2:$FZ$601,B422,$C$8)&amp;"","")</f>
        <v/>
      </c>
      <c r="F422" s="17">
        <f>IF(C422="","",IF(COUNTIF(Office_Log!$A$2:$A$201,C422)&gt;0,"Y","N"))</f>
        <v/>
      </c>
      <c r="G422" s="17">
        <f>IF(OR(C422="",AND(LEFT(C422,6)="SAMPLE",Config!$B$19&lt;&gt;"Y")),"",IF(IFERROR(INDEX(Lists!$J$2:$J$15,MATCH(D422,Lists!$I$2:$I$15,0)),-1)=-1,"status '"&amp;D422&amp;"' is not a CONTRACTS status",IF(AND(D422="signed",COUNTIF(signed_offices!$W$2:$W$51,C422)=0),"status signed but no signed_offices row"&amp;IF(F422="N"," and no tracker row",""),IF(AND(IFERROR(INDEX(Lists!$J$2:$J$15,MATCH(D422,Lists!$I$2:$I$15,0)),-1)&gt;=6,F422="N"),"status "&amp;D422&amp;" but no tracker row",IF(AND(E422="Y",D422&lt;&gt;"do_not_contact"),"do_not_contact = Y but status is "&amp;D422,IF(AND(D422="do_not_contact",E422&lt;&gt;"Y"),"status do_not_contact but do_not_contact is not Y",""))))))</f>
        <v/>
      </c>
      <c r="I422" s="17" t="n">
        <v>401</v>
      </c>
      <c r="J422" s="17">
        <f>IFERROR(INDEX(Clay_Brands!$A$2:$FZ$601,I422,$D$5)&amp;"","")</f>
        <v/>
      </c>
      <c r="K422" s="17">
        <f>IFERROR(INDEX(Clay_Brands!$A$2:$FZ$601,I422,$D$7)&amp;"","")</f>
        <v/>
      </c>
      <c r="L422" s="17">
        <f>IFERROR(INDEX(Clay_Brands!$A$2:$FZ$601,I422,$D$8)&amp;"","")</f>
        <v/>
      </c>
      <c r="M422" s="17">
        <f>IF(J422="","",IF(COUNTIF(Brand_Log!$A$2:$A$201,J422)&gt;0,"Y","N"))</f>
        <v/>
      </c>
      <c r="N422" s="17">
        <f>IF(OR(J422="",AND(LEFT(J422,6)="SAMPLE",Config!$B$19&lt;&gt;"Y")),"",IF(IFERROR(INDEX(Lists!$J$2:$J$15,MATCH(K422,Lists!$I$2:$I$15,0)),-1)=-1,"status '"&amp;K422&amp;"' is not a CONTRACTS status",IF(AND(K422="paid",COUNTIF(paid_brands!$AC$2:$AC$51,J422)=0),"status paid but no paid_brands row"&amp;IF(M422="N"," and no tracker row",""),IF(AND(IFERROR(INDEX(Lists!$J$2:$J$15,MATCH(K422,Lists!$I$2:$I$15,0)),-1)&gt;=6,M422="N"),"status "&amp;K422&amp;" but no tracker row",IF(AND(L422="Y",K422&lt;&gt;"do_not_contact"),"do_not_contact = Y but status is "&amp;K422,IF(AND(K422="do_not_contact",L422&lt;&gt;"Y"),"status do_not_contact but do_not_contact is not Y",""))))))</f>
        <v/>
      </c>
    </row>
    <row r="423">
      <c r="B423" s="17" t="n">
        <v>402</v>
      </c>
      <c r="C423" s="17">
        <f>IFERROR(INDEX(Clay_Offices!$A$2:$FZ$601,B423,$C$5)&amp;"","")</f>
        <v/>
      </c>
      <c r="D423" s="17">
        <f>IFERROR(INDEX(Clay_Offices!$A$2:$FZ$601,B423,$C$7)&amp;"","")</f>
        <v/>
      </c>
      <c r="E423" s="17">
        <f>IFERROR(INDEX(Clay_Offices!$A$2:$FZ$601,B423,$C$8)&amp;"","")</f>
        <v/>
      </c>
      <c r="F423" s="17">
        <f>IF(C423="","",IF(COUNTIF(Office_Log!$A$2:$A$201,C423)&gt;0,"Y","N"))</f>
        <v/>
      </c>
      <c r="G423" s="17">
        <f>IF(OR(C423="",AND(LEFT(C423,6)="SAMPLE",Config!$B$19&lt;&gt;"Y")),"",IF(IFERROR(INDEX(Lists!$J$2:$J$15,MATCH(D423,Lists!$I$2:$I$15,0)),-1)=-1,"status '"&amp;D423&amp;"' is not a CONTRACTS status",IF(AND(D423="signed",COUNTIF(signed_offices!$W$2:$W$51,C423)=0),"status signed but no signed_offices row"&amp;IF(F423="N"," and no tracker row",""),IF(AND(IFERROR(INDEX(Lists!$J$2:$J$15,MATCH(D423,Lists!$I$2:$I$15,0)),-1)&gt;=6,F423="N"),"status "&amp;D423&amp;" but no tracker row",IF(AND(E423="Y",D423&lt;&gt;"do_not_contact"),"do_not_contact = Y but status is "&amp;D423,IF(AND(D423="do_not_contact",E423&lt;&gt;"Y"),"status do_not_contact but do_not_contact is not Y",""))))))</f>
        <v/>
      </c>
      <c r="I423" s="17" t="n">
        <v>402</v>
      </c>
      <c r="J423" s="17">
        <f>IFERROR(INDEX(Clay_Brands!$A$2:$FZ$601,I423,$D$5)&amp;"","")</f>
        <v/>
      </c>
      <c r="K423" s="17">
        <f>IFERROR(INDEX(Clay_Brands!$A$2:$FZ$601,I423,$D$7)&amp;"","")</f>
        <v/>
      </c>
      <c r="L423" s="17">
        <f>IFERROR(INDEX(Clay_Brands!$A$2:$FZ$601,I423,$D$8)&amp;"","")</f>
        <v/>
      </c>
      <c r="M423" s="17">
        <f>IF(J423="","",IF(COUNTIF(Brand_Log!$A$2:$A$201,J423)&gt;0,"Y","N"))</f>
        <v/>
      </c>
      <c r="N423" s="17">
        <f>IF(OR(J423="",AND(LEFT(J423,6)="SAMPLE",Config!$B$19&lt;&gt;"Y")),"",IF(IFERROR(INDEX(Lists!$J$2:$J$15,MATCH(K423,Lists!$I$2:$I$15,0)),-1)=-1,"status '"&amp;K423&amp;"' is not a CONTRACTS status",IF(AND(K423="paid",COUNTIF(paid_brands!$AC$2:$AC$51,J423)=0),"status paid but no paid_brands row"&amp;IF(M423="N"," and no tracker row",""),IF(AND(IFERROR(INDEX(Lists!$J$2:$J$15,MATCH(K423,Lists!$I$2:$I$15,0)),-1)&gt;=6,M423="N"),"status "&amp;K423&amp;" but no tracker row",IF(AND(L423="Y",K423&lt;&gt;"do_not_contact"),"do_not_contact = Y but status is "&amp;K423,IF(AND(K423="do_not_contact",L423&lt;&gt;"Y"),"status do_not_contact but do_not_contact is not Y",""))))))</f>
        <v/>
      </c>
    </row>
    <row r="424">
      <c r="B424" s="17" t="n">
        <v>403</v>
      </c>
      <c r="C424" s="17">
        <f>IFERROR(INDEX(Clay_Offices!$A$2:$FZ$601,B424,$C$5)&amp;"","")</f>
        <v/>
      </c>
      <c r="D424" s="17">
        <f>IFERROR(INDEX(Clay_Offices!$A$2:$FZ$601,B424,$C$7)&amp;"","")</f>
        <v/>
      </c>
      <c r="E424" s="17">
        <f>IFERROR(INDEX(Clay_Offices!$A$2:$FZ$601,B424,$C$8)&amp;"","")</f>
        <v/>
      </c>
      <c r="F424" s="17">
        <f>IF(C424="","",IF(COUNTIF(Office_Log!$A$2:$A$201,C424)&gt;0,"Y","N"))</f>
        <v/>
      </c>
      <c r="G424" s="17">
        <f>IF(OR(C424="",AND(LEFT(C424,6)="SAMPLE",Config!$B$19&lt;&gt;"Y")),"",IF(IFERROR(INDEX(Lists!$J$2:$J$15,MATCH(D424,Lists!$I$2:$I$15,0)),-1)=-1,"status '"&amp;D424&amp;"' is not a CONTRACTS status",IF(AND(D424="signed",COUNTIF(signed_offices!$W$2:$W$51,C424)=0),"status signed but no signed_offices row"&amp;IF(F424="N"," and no tracker row",""),IF(AND(IFERROR(INDEX(Lists!$J$2:$J$15,MATCH(D424,Lists!$I$2:$I$15,0)),-1)&gt;=6,F424="N"),"status "&amp;D424&amp;" but no tracker row",IF(AND(E424="Y",D424&lt;&gt;"do_not_contact"),"do_not_contact = Y but status is "&amp;D424,IF(AND(D424="do_not_contact",E424&lt;&gt;"Y"),"status do_not_contact but do_not_contact is not Y",""))))))</f>
        <v/>
      </c>
      <c r="I424" s="17" t="n">
        <v>403</v>
      </c>
      <c r="J424" s="17">
        <f>IFERROR(INDEX(Clay_Brands!$A$2:$FZ$601,I424,$D$5)&amp;"","")</f>
        <v/>
      </c>
      <c r="K424" s="17">
        <f>IFERROR(INDEX(Clay_Brands!$A$2:$FZ$601,I424,$D$7)&amp;"","")</f>
        <v/>
      </c>
      <c r="L424" s="17">
        <f>IFERROR(INDEX(Clay_Brands!$A$2:$FZ$601,I424,$D$8)&amp;"","")</f>
        <v/>
      </c>
      <c r="M424" s="17">
        <f>IF(J424="","",IF(COUNTIF(Brand_Log!$A$2:$A$201,J424)&gt;0,"Y","N"))</f>
        <v/>
      </c>
      <c r="N424" s="17">
        <f>IF(OR(J424="",AND(LEFT(J424,6)="SAMPLE",Config!$B$19&lt;&gt;"Y")),"",IF(IFERROR(INDEX(Lists!$J$2:$J$15,MATCH(K424,Lists!$I$2:$I$15,0)),-1)=-1,"status '"&amp;K424&amp;"' is not a CONTRACTS status",IF(AND(K424="paid",COUNTIF(paid_brands!$AC$2:$AC$51,J424)=0),"status paid but no paid_brands row"&amp;IF(M424="N"," and no tracker row",""),IF(AND(IFERROR(INDEX(Lists!$J$2:$J$15,MATCH(K424,Lists!$I$2:$I$15,0)),-1)&gt;=6,M424="N"),"status "&amp;K424&amp;" but no tracker row",IF(AND(L424="Y",K424&lt;&gt;"do_not_contact"),"do_not_contact = Y but status is "&amp;K424,IF(AND(K424="do_not_contact",L424&lt;&gt;"Y"),"status do_not_contact but do_not_contact is not Y",""))))))</f>
        <v/>
      </c>
    </row>
    <row r="425">
      <c r="B425" s="17" t="n">
        <v>404</v>
      </c>
      <c r="C425" s="17">
        <f>IFERROR(INDEX(Clay_Offices!$A$2:$FZ$601,B425,$C$5)&amp;"","")</f>
        <v/>
      </c>
      <c r="D425" s="17">
        <f>IFERROR(INDEX(Clay_Offices!$A$2:$FZ$601,B425,$C$7)&amp;"","")</f>
        <v/>
      </c>
      <c r="E425" s="17">
        <f>IFERROR(INDEX(Clay_Offices!$A$2:$FZ$601,B425,$C$8)&amp;"","")</f>
        <v/>
      </c>
      <c r="F425" s="17">
        <f>IF(C425="","",IF(COUNTIF(Office_Log!$A$2:$A$201,C425)&gt;0,"Y","N"))</f>
        <v/>
      </c>
      <c r="G425" s="17">
        <f>IF(OR(C425="",AND(LEFT(C425,6)="SAMPLE",Config!$B$19&lt;&gt;"Y")),"",IF(IFERROR(INDEX(Lists!$J$2:$J$15,MATCH(D425,Lists!$I$2:$I$15,0)),-1)=-1,"status '"&amp;D425&amp;"' is not a CONTRACTS status",IF(AND(D425="signed",COUNTIF(signed_offices!$W$2:$W$51,C425)=0),"status signed but no signed_offices row"&amp;IF(F425="N"," and no tracker row",""),IF(AND(IFERROR(INDEX(Lists!$J$2:$J$15,MATCH(D425,Lists!$I$2:$I$15,0)),-1)&gt;=6,F425="N"),"status "&amp;D425&amp;" but no tracker row",IF(AND(E425="Y",D425&lt;&gt;"do_not_contact"),"do_not_contact = Y but status is "&amp;D425,IF(AND(D425="do_not_contact",E425&lt;&gt;"Y"),"status do_not_contact but do_not_contact is not Y",""))))))</f>
        <v/>
      </c>
      <c r="I425" s="17" t="n">
        <v>404</v>
      </c>
      <c r="J425" s="17">
        <f>IFERROR(INDEX(Clay_Brands!$A$2:$FZ$601,I425,$D$5)&amp;"","")</f>
        <v/>
      </c>
      <c r="K425" s="17">
        <f>IFERROR(INDEX(Clay_Brands!$A$2:$FZ$601,I425,$D$7)&amp;"","")</f>
        <v/>
      </c>
      <c r="L425" s="17">
        <f>IFERROR(INDEX(Clay_Brands!$A$2:$FZ$601,I425,$D$8)&amp;"","")</f>
        <v/>
      </c>
      <c r="M425" s="17">
        <f>IF(J425="","",IF(COUNTIF(Brand_Log!$A$2:$A$201,J425)&gt;0,"Y","N"))</f>
        <v/>
      </c>
      <c r="N425" s="17">
        <f>IF(OR(J425="",AND(LEFT(J425,6)="SAMPLE",Config!$B$19&lt;&gt;"Y")),"",IF(IFERROR(INDEX(Lists!$J$2:$J$15,MATCH(K425,Lists!$I$2:$I$15,0)),-1)=-1,"status '"&amp;K425&amp;"' is not a CONTRACTS status",IF(AND(K425="paid",COUNTIF(paid_brands!$AC$2:$AC$51,J425)=0),"status paid but no paid_brands row"&amp;IF(M425="N"," and no tracker row",""),IF(AND(IFERROR(INDEX(Lists!$J$2:$J$15,MATCH(K425,Lists!$I$2:$I$15,0)),-1)&gt;=6,M425="N"),"status "&amp;K425&amp;" but no tracker row",IF(AND(L425="Y",K425&lt;&gt;"do_not_contact"),"do_not_contact = Y but status is "&amp;K425,IF(AND(K425="do_not_contact",L425&lt;&gt;"Y"),"status do_not_contact but do_not_contact is not Y",""))))))</f>
        <v/>
      </c>
    </row>
    <row r="426">
      <c r="B426" s="17" t="n">
        <v>405</v>
      </c>
      <c r="C426" s="17">
        <f>IFERROR(INDEX(Clay_Offices!$A$2:$FZ$601,B426,$C$5)&amp;"","")</f>
        <v/>
      </c>
      <c r="D426" s="17">
        <f>IFERROR(INDEX(Clay_Offices!$A$2:$FZ$601,B426,$C$7)&amp;"","")</f>
        <v/>
      </c>
      <c r="E426" s="17">
        <f>IFERROR(INDEX(Clay_Offices!$A$2:$FZ$601,B426,$C$8)&amp;"","")</f>
        <v/>
      </c>
      <c r="F426" s="17">
        <f>IF(C426="","",IF(COUNTIF(Office_Log!$A$2:$A$201,C426)&gt;0,"Y","N"))</f>
        <v/>
      </c>
      <c r="G426" s="17">
        <f>IF(OR(C426="",AND(LEFT(C426,6)="SAMPLE",Config!$B$19&lt;&gt;"Y")),"",IF(IFERROR(INDEX(Lists!$J$2:$J$15,MATCH(D426,Lists!$I$2:$I$15,0)),-1)=-1,"status '"&amp;D426&amp;"' is not a CONTRACTS status",IF(AND(D426="signed",COUNTIF(signed_offices!$W$2:$W$51,C426)=0),"status signed but no signed_offices row"&amp;IF(F426="N"," and no tracker row",""),IF(AND(IFERROR(INDEX(Lists!$J$2:$J$15,MATCH(D426,Lists!$I$2:$I$15,0)),-1)&gt;=6,F426="N"),"status "&amp;D426&amp;" but no tracker row",IF(AND(E426="Y",D426&lt;&gt;"do_not_contact"),"do_not_contact = Y but status is "&amp;D426,IF(AND(D426="do_not_contact",E426&lt;&gt;"Y"),"status do_not_contact but do_not_contact is not Y",""))))))</f>
        <v/>
      </c>
      <c r="I426" s="17" t="n">
        <v>405</v>
      </c>
      <c r="J426" s="17">
        <f>IFERROR(INDEX(Clay_Brands!$A$2:$FZ$601,I426,$D$5)&amp;"","")</f>
        <v/>
      </c>
      <c r="K426" s="17">
        <f>IFERROR(INDEX(Clay_Brands!$A$2:$FZ$601,I426,$D$7)&amp;"","")</f>
        <v/>
      </c>
      <c r="L426" s="17">
        <f>IFERROR(INDEX(Clay_Brands!$A$2:$FZ$601,I426,$D$8)&amp;"","")</f>
        <v/>
      </c>
      <c r="M426" s="17">
        <f>IF(J426="","",IF(COUNTIF(Brand_Log!$A$2:$A$201,J426)&gt;0,"Y","N"))</f>
        <v/>
      </c>
      <c r="N426" s="17">
        <f>IF(OR(J426="",AND(LEFT(J426,6)="SAMPLE",Config!$B$19&lt;&gt;"Y")),"",IF(IFERROR(INDEX(Lists!$J$2:$J$15,MATCH(K426,Lists!$I$2:$I$15,0)),-1)=-1,"status '"&amp;K426&amp;"' is not a CONTRACTS status",IF(AND(K426="paid",COUNTIF(paid_brands!$AC$2:$AC$51,J426)=0),"status paid but no paid_brands row"&amp;IF(M426="N"," and no tracker row",""),IF(AND(IFERROR(INDEX(Lists!$J$2:$J$15,MATCH(K426,Lists!$I$2:$I$15,0)),-1)&gt;=6,M426="N"),"status "&amp;K426&amp;" but no tracker row",IF(AND(L426="Y",K426&lt;&gt;"do_not_contact"),"do_not_contact = Y but status is "&amp;K426,IF(AND(K426="do_not_contact",L426&lt;&gt;"Y"),"status do_not_contact but do_not_contact is not Y",""))))))</f>
        <v/>
      </c>
    </row>
    <row r="427">
      <c r="B427" s="17" t="n">
        <v>406</v>
      </c>
      <c r="C427" s="17">
        <f>IFERROR(INDEX(Clay_Offices!$A$2:$FZ$601,B427,$C$5)&amp;"","")</f>
        <v/>
      </c>
      <c r="D427" s="17">
        <f>IFERROR(INDEX(Clay_Offices!$A$2:$FZ$601,B427,$C$7)&amp;"","")</f>
        <v/>
      </c>
      <c r="E427" s="17">
        <f>IFERROR(INDEX(Clay_Offices!$A$2:$FZ$601,B427,$C$8)&amp;"","")</f>
        <v/>
      </c>
      <c r="F427" s="17">
        <f>IF(C427="","",IF(COUNTIF(Office_Log!$A$2:$A$201,C427)&gt;0,"Y","N"))</f>
        <v/>
      </c>
      <c r="G427" s="17">
        <f>IF(OR(C427="",AND(LEFT(C427,6)="SAMPLE",Config!$B$19&lt;&gt;"Y")),"",IF(IFERROR(INDEX(Lists!$J$2:$J$15,MATCH(D427,Lists!$I$2:$I$15,0)),-1)=-1,"status '"&amp;D427&amp;"' is not a CONTRACTS status",IF(AND(D427="signed",COUNTIF(signed_offices!$W$2:$W$51,C427)=0),"status signed but no signed_offices row"&amp;IF(F427="N"," and no tracker row",""),IF(AND(IFERROR(INDEX(Lists!$J$2:$J$15,MATCH(D427,Lists!$I$2:$I$15,0)),-1)&gt;=6,F427="N"),"status "&amp;D427&amp;" but no tracker row",IF(AND(E427="Y",D427&lt;&gt;"do_not_contact"),"do_not_contact = Y but status is "&amp;D427,IF(AND(D427="do_not_contact",E427&lt;&gt;"Y"),"status do_not_contact but do_not_contact is not Y",""))))))</f>
        <v/>
      </c>
      <c r="I427" s="17" t="n">
        <v>406</v>
      </c>
      <c r="J427" s="17">
        <f>IFERROR(INDEX(Clay_Brands!$A$2:$FZ$601,I427,$D$5)&amp;"","")</f>
        <v/>
      </c>
      <c r="K427" s="17">
        <f>IFERROR(INDEX(Clay_Brands!$A$2:$FZ$601,I427,$D$7)&amp;"","")</f>
        <v/>
      </c>
      <c r="L427" s="17">
        <f>IFERROR(INDEX(Clay_Brands!$A$2:$FZ$601,I427,$D$8)&amp;"","")</f>
        <v/>
      </c>
      <c r="M427" s="17">
        <f>IF(J427="","",IF(COUNTIF(Brand_Log!$A$2:$A$201,J427)&gt;0,"Y","N"))</f>
        <v/>
      </c>
      <c r="N427" s="17">
        <f>IF(OR(J427="",AND(LEFT(J427,6)="SAMPLE",Config!$B$19&lt;&gt;"Y")),"",IF(IFERROR(INDEX(Lists!$J$2:$J$15,MATCH(K427,Lists!$I$2:$I$15,0)),-1)=-1,"status '"&amp;K427&amp;"' is not a CONTRACTS status",IF(AND(K427="paid",COUNTIF(paid_brands!$AC$2:$AC$51,J427)=0),"status paid but no paid_brands row"&amp;IF(M427="N"," and no tracker row",""),IF(AND(IFERROR(INDEX(Lists!$J$2:$J$15,MATCH(K427,Lists!$I$2:$I$15,0)),-1)&gt;=6,M427="N"),"status "&amp;K427&amp;" but no tracker row",IF(AND(L427="Y",K427&lt;&gt;"do_not_contact"),"do_not_contact = Y but status is "&amp;K427,IF(AND(K427="do_not_contact",L427&lt;&gt;"Y"),"status do_not_contact but do_not_contact is not Y",""))))))</f>
        <v/>
      </c>
    </row>
    <row r="428">
      <c r="B428" s="17" t="n">
        <v>407</v>
      </c>
      <c r="C428" s="17">
        <f>IFERROR(INDEX(Clay_Offices!$A$2:$FZ$601,B428,$C$5)&amp;"","")</f>
        <v/>
      </c>
      <c r="D428" s="17">
        <f>IFERROR(INDEX(Clay_Offices!$A$2:$FZ$601,B428,$C$7)&amp;"","")</f>
        <v/>
      </c>
      <c r="E428" s="17">
        <f>IFERROR(INDEX(Clay_Offices!$A$2:$FZ$601,B428,$C$8)&amp;"","")</f>
        <v/>
      </c>
      <c r="F428" s="17">
        <f>IF(C428="","",IF(COUNTIF(Office_Log!$A$2:$A$201,C428)&gt;0,"Y","N"))</f>
        <v/>
      </c>
      <c r="G428" s="17">
        <f>IF(OR(C428="",AND(LEFT(C428,6)="SAMPLE",Config!$B$19&lt;&gt;"Y")),"",IF(IFERROR(INDEX(Lists!$J$2:$J$15,MATCH(D428,Lists!$I$2:$I$15,0)),-1)=-1,"status '"&amp;D428&amp;"' is not a CONTRACTS status",IF(AND(D428="signed",COUNTIF(signed_offices!$W$2:$W$51,C428)=0),"status signed but no signed_offices row"&amp;IF(F428="N"," and no tracker row",""),IF(AND(IFERROR(INDEX(Lists!$J$2:$J$15,MATCH(D428,Lists!$I$2:$I$15,0)),-1)&gt;=6,F428="N"),"status "&amp;D428&amp;" but no tracker row",IF(AND(E428="Y",D428&lt;&gt;"do_not_contact"),"do_not_contact = Y but status is "&amp;D428,IF(AND(D428="do_not_contact",E428&lt;&gt;"Y"),"status do_not_contact but do_not_contact is not Y",""))))))</f>
        <v/>
      </c>
      <c r="I428" s="17" t="n">
        <v>407</v>
      </c>
      <c r="J428" s="17">
        <f>IFERROR(INDEX(Clay_Brands!$A$2:$FZ$601,I428,$D$5)&amp;"","")</f>
        <v/>
      </c>
      <c r="K428" s="17">
        <f>IFERROR(INDEX(Clay_Brands!$A$2:$FZ$601,I428,$D$7)&amp;"","")</f>
        <v/>
      </c>
      <c r="L428" s="17">
        <f>IFERROR(INDEX(Clay_Brands!$A$2:$FZ$601,I428,$D$8)&amp;"","")</f>
        <v/>
      </c>
      <c r="M428" s="17">
        <f>IF(J428="","",IF(COUNTIF(Brand_Log!$A$2:$A$201,J428)&gt;0,"Y","N"))</f>
        <v/>
      </c>
      <c r="N428" s="17">
        <f>IF(OR(J428="",AND(LEFT(J428,6)="SAMPLE",Config!$B$19&lt;&gt;"Y")),"",IF(IFERROR(INDEX(Lists!$J$2:$J$15,MATCH(K428,Lists!$I$2:$I$15,0)),-1)=-1,"status '"&amp;K428&amp;"' is not a CONTRACTS status",IF(AND(K428="paid",COUNTIF(paid_brands!$AC$2:$AC$51,J428)=0),"status paid but no paid_brands row"&amp;IF(M428="N"," and no tracker row",""),IF(AND(IFERROR(INDEX(Lists!$J$2:$J$15,MATCH(K428,Lists!$I$2:$I$15,0)),-1)&gt;=6,M428="N"),"status "&amp;K428&amp;" but no tracker row",IF(AND(L428="Y",K428&lt;&gt;"do_not_contact"),"do_not_contact = Y but status is "&amp;K428,IF(AND(K428="do_not_contact",L428&lt;&gt;"Y"),"status do_not_contact but do_not_contact is not Y",""))))))</f>
        <v/>
      </c>
    </row>
    <row r="429">
      <c r="B429" s="17" t="n">
        <v>408</v>
      </c>
      <c r="C429" s="17">
        <f>IFERROR(INDEX(Clay_Offices!$A$2:$FZ$601,B429,$C$5)&amp;"","")</f>
        <v/>
      </c>
      <c r="D429" s="17">
        <f>IFERROR(INDEX(Clay_Offices!$A$2:$FZ$601,B429,$C$7)&amp;"","")</f>
        <v/>
      </c>
      <c r="E429" s="17">
        <f>IFERROR(INDEX(Clay_Offices!$A$2:$FZ$601,B429,$C$8)&amp;"","")</f>
        <v/>
      </c>
      <c r="F429" s="17">
        <f>IF(C429="","",IF(COUNTIF(Office_Log!$A$2:$A$201,C429)&gt;0,"Y","N"))</f>
        <v/>
      </c>
      <c r="G429" s="17">
        <f>IF(OR(C429="",AND(LEFT(C429,6)="SAMPLE",Config!$B$19&lt;&gt;"Y")),"",IF(IFERROR(INDEX(Lists!$J$2:$J$15,MATCH(D429,Lists!$I$2:$I$15,0)),-1)=-1,"status '"&amp;D429&amp;"' is not a CONTRACTS status",IF(AND(D429="signed",COUNTIF(signed_offices!$W$2:$W$51,C429)=0),"status signed but no signed_offices row"&amp;IF(F429="N"," and no tracker row",""),IF(AND(IFERROR(INDEX(Lists!$J$2:$J$15,MATCH(D429,Lists!$I$2:$I$15,0)),-1)&gt;=6,F429="N"),"status "&amp;D429&amp;" but no tracker row",IF(AND(E429="Y",D429&lt;&gt;"do_not_contact"),"do_not_contact = Y but status is "&amp;D429,IF(AND(D429="do_not_contact",E429&lt;&gt;"Y"),"status do_not_contact but do_not_contact is not Y",""))))))</f>
        <v/>
      </c>
      <c r="I429" s="17" t="n">
        <v>408</v>
      </c>
      <c r="J429" s="17">
        <f>IFERROR(INDEX(Clay_Brands!$A$2:$FZ$601,I429,$D$5)&amp;"","")</f>
        <v/>
      </c>
      <c r="K429" s="17">
        <f>IFERROR(INDEX(Clay_Brands!$A$2:$FZ$601,I429,$D$7)&amp;"","")</f>
        <v/>
      </c>
      <c r="L429" s="17">
        <f>IFERROR(INDEX(Clay_Brands!$A$2:$FZ$601,I429,$D$8)&amp;"","")</f>
        <v/>
      </c>
      <c r="M429" s="17">
        <f>IF(J429="","",IF(COUNTIF(Brand_Log!$A$2:$A$201,J429)&gt;0,"Y","N"))</f>
        <v/>
      </c>
      <c r="N429" s="17">
        <f>IF(OR(J429="",AND(LEFT(J429,6)="SAMPLE",Config!$B$19&lt;&gt;"Y")),"",IF(IFERROR(INDEX(Lists!$J$2:$J$15,MATCH(K429,Lists!$I$2:$I$15,0)),-1)=-1,"status '"&amp;K429&amp;"' is not a CONTRACTS status",IF(AND(K429="paid",COUNTIF(paid_brands!$AC$2:$AC$51,J429)=0),"status paid but no paid_brands row"&amp;IF(M429="N"," and no tracker row",""),IF(AND(IFERROR(INDEX(Lists!$J$2:$J$15,MATCH(K429,Lists!$I$2:$I$15,0)),-1)&gt;=6,M429="N"),"status "&amp;K429&amp;" but no tracker row",IF(AND(L429="Y",K429&lt;&gt;"do_not_contact"),"do_not_contact = Y but status is "&amp;K429,IF(AND(K429="do_not_contact",L429&lt;&gt;"Y"),"status do_not_contact but do_not_contact is not Y",""))))))</f>
        <v/>
      </c>
    </row>
    <row r="430">
      <c r="B430" s="17" t="n">
        <v>409</v>
      </c>
      <c r="C430" s="17">
        <f>IFERROR(INDEX(Clay_Offices!$A$2:$FZ$601,B430,$C$5)&amp;"","")</f>
        <v/>
      </c>
      <c r="D430" s="17">
        <f>IFERROR(INDEX(Clay_Offices!$A$2:$FZ$601,B430,$C$7)&amp;"","")</f>
        <v/>
      </c>
      <c r="E430" s="17">
        <f>IFERROR(INDEX(Clay_Offices!$A$2:$FZ$601,B430,$C$8)&amp;"","")</f>
        <v/>
      </c>
      <c r="F430" s="17">
        <f>IF(C430="","",IF(COUNTIF(Office_Log!$A$2:$A$201,C430)&gt;0,"Y","N"))</f>
        <v/>
      </c>
      <c r="G430" s="17">
        <f>IF(OR(C430="",AND(LEFT(C430,6)="SAMPLE",Config!$B$19&lt;&gt;"Y")),"",IF(IFERROR(INDEX(Lists!$J$2:$J$15,MATCH(D430,Lists!$I$2:$I$15,0)),-1)=-1,"status '"&amp;D430&amp;"' is not a CONTRACTS status",IF(AND(D430="signed",COUNTIF(signed_offices!$W$2:$W$51,C430)=0),"status signed but no signed_offices row"&amp;IF(F430="N"," and no tracker row",""),IF(AND(IFERROR(INDEX(Lists!$J$2:$J$15,MATCH(D430,Lists!$I$2:$I$15,0)),-1)&gt;=6,F430="N"),"status "&amp;D430&amp;" but no tracker row",IF(AND(E430="Y",D430&lt;&gt;"do_not_contact"),"do_not_contact = Y but status is "&amp;D430,IF(AND(D430="do_not_contact",E430&lt;&gt;"Y"),"status do_not_contact but do_not_contact is not Y",""))))))</f>
        <v/>
      </c>
      <c r="I430" s="17" t="n">
        <v>409</v>
      </c>
      <c r="J430" s="17">
        <f>IFERROR(INDEX(Clay_Brands!$A$2:$FZ$601,I430,$D$5)&amp;"","")</f>
        <v/>
      </c>
      <c r="K430" s="17">
        <f>IFERROR(INDEX(Clay_Brands!$A$2:$FZ$601,I430,$D$7)&amp;"","")</f>
        <v/>
      </c>
      <c r="L430" s="17">
        <f>IFERROR(INDEX(Clay_Brands!$A$2:$FZ$601,I430,$D$8)&amp;"","")</f>
        <v/>
      </c>
      <c r="M430" s="17">
        <f>IF(J430="","",IF(COUNTIF(Brand_Log!$A$2:$A$201,J430)&gt;0,"Y","N"))</f>
        <v/>
      </c>
      <c r="N430" s="17">
        <f>IF(OR(J430="",AND(LEFT(J430,6)="SAMPLE",Config!$B$19&lt;&gt;"Y")),"",IF(IFERROR(INDEX(Lists!$J$2:$J$15,MATCH(K430,Lists!$I$2:$I$15,0)),-1)=-1,"status '"&amp;K430&amp;"' is not a CONTRACTS status",IF(AND(K430="paid",COUNTIF(paid_brands!$AC$2:$AC$51,J430)=0),"status paid but no paid_brands row"&amp;IF(M430="N"," and no tracker row",""),IF(AND(IFERROR(INDEX(Lists!$J$2:$J$15,MATCH(K430,Lists!$I$2:$I$15,0)),-1)&gt;=6,M430="N"),"status "&amp;K430&amp;" but no tracker row",IF(AND(L430="Y",K430&lt;&gt;"do_not_contact"),"do_not_contact = Y but status is "&amp;K430,IF(AND(K430="do_not_contact",L430&lt;&gt;"Y"),"status do_not_contact but do_not_contact is not Y",""))))))</f>
        <v/>
      </c>
    </row>
    <row r="431">
      <c r="B431" s="17" t="n">
        <v>410</v>
      </c>
      <c r="C431" s="17">
        <f>IFERROR(INDEX(Clay_Offices!$A$2:$FZ$601,B431,$C$5)&amp;"","")</f>
        <v/>
      </c>
      <c r="D431" s="17">
        <f>IFERROR(INDEX(Clay_Offices!$A$2:$FZ$601,B431,$C$7)&amp;"","")</f>
        <v/>
      </c>
      <c r="E431" s="17">
        <f>IFERROR(INDEX(Clay_Offices!$A$2:$FZ$601,B431,$C$8)&amp;"","")</f>
        <v/>
      </c>
      <c r="F431" s="17">
        <f>IF(C431="","",IF(COUNTIF(Office_Log!$A$2:$A$201,C431)&gt;0,"Y","N"))</f>
        <v/>
      </c>
      <c r="G431" s="17">
        <f>IF(OR(C431="",AND(LEFT(C431,6)="SAMPLE",Config!$B$19&lt;&gt;"Y")),"",IF(IFERROR(INDEX(Lists!$J$2:$J$15,MATCH(D431,Lists!$I$2:$I$15,0)),-1)=-1,"status '"&amp;D431&amp;"' is not a CONTRACTS status",IF(AND(D431="signed",COUNTIF(signed_offices!$W$2:$W$51,C431)=0),"status signed but no signed_offices row"&amp;IF(F431="N"," and no tracker row",""),IF(AND(IFERROR(INDEX(Lists!$J$2:$J$15,MATCH(D431,Lists!$I$2:$I$15,0)),-1)&gt;=6,F431="N"),"status "&amp;D431&amp;" but no tracker row",IF(AND(E431="Y",D431&lt;&gt;"do_not_contact"),"do_not_contact = Y but status is "&amp;D431,IF(AND(D431="do_not_contact",E431&lt;&gt;"Y"),"status do_not_contact but do_not_contact is not Y",""))))))</f>
        <v/>
      </c>
      <c r="I431" s="17" t="n">
        <v>410</v>
      </c>
      <c r="J431" s="17">
        <f>IFERROR(INDEX(Clay_Brands!$A$2:$FZ$601,I431,$D$5)&amp;"","")</f>
        <v/>
      </c>
      <c r="K431" s="17">
        <f>IFERROR(INDEX(Clay_Brands!$A$2:$FZ$601,I431,$D$7)&amp;"","")</f>
        <v/>
      </c>
      <c r="L431" s="17">
        <f>IFERROR(INDEX(Clay_Brands!$A$2:$FZ$601,I431,$D$8)&amp;"","")</f>
        <v/>
      </c>
      <c r="M431" s="17">
        <f>IF(J431="","",IF(COUNTIF(Brand_Log!$A$2:$A$201,J431)&gt;0,"Y","N"))</f>
        <v/>
      </c>
      <c r="N431" s="17">
        <f>IF(OR(J431="",AND(LEFT(J431,6)="SAMPLE",Config!$B$19&lt;&gt;"Y")),"",IF(IFERROR(INDEX(Lists!$J$2:$J$15,MATCH(K431,Lists!$I$2:$I$15,0)),-1)=-1,"status '"&amp;K431&amp;"' is not a CONTRACTS status",IF(AND(K431="paid",COUNTIF(paid_brands!$AC$2:$AC$51,J431)=0),"status paid but no paid_brands row"&amp;IF(M431="N"," and no tracker row",""),IF(AND(IFERROR(INDEX(Lists!$J$2:$J$15,MATCH(K431,Lists!$I$2:$I$15,0)),-1)&gt;=6,M431="N"),"status "&amp;K431&amp;" but no tracker row",IF(AND(L431="Y",K431&lt;&gt;"do_not_contact"),"do_not_contact = Y but status is "&amp;K431,IF(AND(K431="do_not_contact",L431&lt;&gt;"Y"),"status do_not_contact but do_not_contact is not Y",""))))))</f>
        <v/>
      </c>
    </row>
    <row r="432">
      <c r="B432" s="17" t="n">
        <v>411</v>
      </c>
      <c r="C432" s="17">
        <f>IFERROR(INDEX(Clay_Offices!$A$2:$FZ$601,B432,$C$5)&amp;"","")</f>
        <v/>
      </c>
      <c r="D432" s="17">
        <f>IFERROR(INDEX(Clay_Offices!$A$2:$FZ$601,B432,$C$7)&amp;"","")</f>
        <v/>
      </c>
      <c r="E432" s="17">
        <f>IFERROR(INDEX(Clay_Offices!$A$2:$FZ$601,B432,$C$8)&amp;"","")</f>
        <v/>
      </c>
      <c r="F432" s="17">
        <f>IF(C432="","",IF(COUNTIF(Office_Log!$A$2:$A$201,C432)&gt;0,"Y","N"))</f>
        <v/>
      </c>
      <c r="G432" s="17">
        <f>IF(OR(C432="",AND(LEFT(C432,6)="SAMPLE",Config!$B$19&lt;&gt;"Y")),"",IF(IFERROR(INDEX(Lists!$J$2:$J$15,MATCH(D432,Lists!$I$2:$I$15,0)),-1)=-1,"status '"&amp;D432&amp;"' is not a CONTRACTS status",IF(AND(D432="signed",COUNTIF(signed_offices!$W$2:$W$51,C432)=0),"status signed but no signed_offices row"&amp;IF(F432="N"," and no tracker row",""),IF(AND(IFERROR(INDEX(Lists!$J$2:$J$15,MATCH(D432,Lists!$I$2:$I$15,0)),-1)&gt;=6,F432="N"),"status "&amp;D432&amp;" but no tracker row",IF(AND(E432="Y",D432&lt;&gt;"do_not_contact"),"do_not_contact = Y but status is "&amp;D432,IF(AND(D432="do_not_contact",E432&lt;&gt;"Y"),"status do_not_contact but do_not_contact is not Y",""))))))</f>
        <v/>
      </c>
      <c r="I432" s="17" t="n">
        <v>411</v>
      </c>
      <c r="J432" s="17">
        <f>IFERROR(INDEX(Clay_Brands!$A$2:$FZ$601,I432,$D$5)&amp;"","")</f>
        <v/>
      </c>
      <c r="K432" s="17">
        <f>IFERROR(INDEX(Clay_Brands!$A$2:$FZ$601,I432,$D$7)&amp;"","")</f>
        <v/>
      </c>
      <c r="L432" s="17">
        <f>IFERROR(INDEX(Clay_Brands!$A$2:$FZ$601,I432,$D$8)&amp;"","")</f>
        <v/>
      </c>
      <c r="M432" s="17">
        <f>IF(J432="","",IF(COUNTIF(Brand_Log!$A$2:$A$201,J432)&gt;0,"Y","N"))</f>
        <v/>
      </c>
      <c r="N432" s="17">
        <f>IF(OR(J432="",AND(LEFT(J432,6)="SAMPLE",Config!$B$19&lt;&gt;"Y")),"",IF(IFERROR(INDEX(Lists!$J$2:$J$15,MATCH(K432,Lists!$I$2:$I$15,0)),-1)=-1,"status '"&amp;K432&amp;"' is not a CONTRACTS status",IF(AND(K432="paid",COUNTIF(paid_brands!$AC$2:$AC$51,J432)=0),"status paid but no paid_brands row"&amp;IF(M432="N"," and no tracker row",""),IF(AND(IFERROR(INDEX(Lists!$J$2:$J$15,MATCH(K432,Lists!$I$2:$I$15,0)),-1)&gt;=6,M432="N"),"status "&amp;K432&amp;" but no tracker row",IF(AND(L432="Y",K432&lt;&gt;"do_not_contact"),"do_not_contact = Y but status is "&amp;K432,IF(AND(K432="do_not_contact",L432&lt;&gt;"Y"),"status do_not_contact but do_not_contact is not Y",""))))))</f>
        <v/>
      </c>
    </row>
    <row r="433">
      <c r="B433" s="17" t="n">
        <v>412</v>
      </c>
      <c r="C433" s="17">
        <f>IFERROR(INDEX(Clay_Offices!$A$2:$FZ$601,B433,$C$5)&amp;"","")</f>
        <v/>
      </c>
      <c r="D433" s="17">
        <f>IFERROR(INDEX(Clay_Offices!$A$2:$FZ$601,B433,$C$7)&amp;"","")</f>
        <v/>
      </c>
      <c r="E433" s="17">
        <f>IFERROR(INDEX(Clay_Offices!$A$2:$FZ$601,B433,$C$8)&amp;"","")</f>
        <v/>
      </c>
      <c r="F433" s="17">
        <f>IF(C433="","",IF(COUNTIF(Office_Log!$A$2:$A$201,C433)&gt;0,"Y","N"))</f>
        <v/>
      </c>
      <c r="G433" s="17">
        <f>IF(OR(C433="",AND(LEFT(C433,6)="SAMPLE",Config!$B$19&lt;&gt;"Y")),"",IF(IFERROR(INDEX(Lists!$J$2:$J$15,MATCH(D433,Lists!$I$2:$I$15,0)),-1)=-1,"status '"&amp;D433&amp;"' is not a CONTRACTS status",IF(AND(D433="signed",COUNTIF(signed_offices!$W$2:$W$51,C433)=0),"status signed but no signed_offices row"&amp;IF(F433="N"," and no tracker row",""),IF(AND(IFERROR(INDEX(Lists!$J$2:$J$15,MATCH(D433,Lists!$I$2:$I$15,0)),-1)&gt;=6,F433="N"),"status "&amp;D433&amp;" but no tracker row",IF(AND(E433="Y",D433&lt;&gt;"do_not_contact"),"do_not_contact = Y but status is "&amp;D433,IF(AND(D433="do_not_contact",E433&lt;&gt;"Y"),"status do_not_contact but do_not_contact is not Y",""))))))</f>
        <v/>
      </c>
      <c r="I433" s="17" t="n">
        <v>412</v>
      </c>
      <c r="J433" s="17">
        <f>IFERROR(INDEX(Clay_Brands!$A$2:$FZ$601,I433,$D$5)&amp;"","")</f>
        <v/>
      </c>
      <c r="K433" s="17">
        <f>IFERROR(INDEX(Clay_Brands!$A$2:$FZ$601,I433,$D$7)&amp;"","")</f>
        <v/>
      </c>
      <c r="L433" s="17">
        <f>IFERROR(INDEX(Clay_Brands!$A$2:$FZ$601,I433,$D$8)&amp;"","")</f>
        <v/>
      </c>
      <c r="M433" s="17">
        <f>IF(J433="","",IF(COUNTIF(Brand_Log!$A$2:$A$201,J433)&gt;0,"Y","N"))</f>
        <v/>
      </c>
      <c r="N433" s="17">
        <f>IF(OR(J433="",AND(LEFT(J433,6)="SAMPLE",Config!$B$19&lt;&gt;"Y")),"",IF(IFERROR(INDEX(Lists!$J$2:$J$15,MATCH(K433,Lists!$I$2:$I$15,0)),-1)=-1,"status '"&amp;K433&amp;"' is not a CONTRACTS status",IF(AND(K433="paid",COUNTIF(paid_brands!$AC$2:$AC$51,J433)=0),"status paid but no paid_brands row"&amp;IF(M433="N"," and no tracker row",""),IF(AND(IFERROR(INDEX(Lists!$J$2:$J$15,MATCH(K433,Lists!$I$2:$I$15,0)),-1)&gt;=6,M433="N"),"status "&amp;K433&amp;" but no tracker row",IF(AND(L433="Y",K433&lt;&gt;"do_not_contact"),"do_not_contact = Y but status is "&amp;K433,IF(AND(K433="do_not_contact",L433&lt;&gt;"Y"),"status do_not_contact but do_not_contact is not Y",""))))))</f>
        <v/>
      </c>
    </row>
    <row r="434">
      <c r="B434" s="17" t="n">
        <v>413</v>
      </c>
      <c r="C434" s="17">
        <f>IFERROR(INDEX(Clay_Offices!$A$2:$FZ$601,B434,$C$5)&amp;"","")</f>
        <v/>
      </c>
      <c r="D434" s="17">
        <f>IFERROR(INDEX(Clay_Offices!$A$2:$FZ$601,B434,$C$7)&amp;"","")</f>
        <v/>
      </c>
      <c r="E434" s="17">
        <f>IFERROR(INDEX(Clay_Offices!$A$2:$FZ$601,B434,$C$8)&amp;"","")</f>
        <v/>
      </c>
      <c r="F434" s="17">
        <f>IF(C434="","",IF(COUNTIF(Office_Log!$A$2:$A$201,C434)&gt;0,"Y","N"))</f>
        <v/>
      </c>
      <c r="G434" s="17">
        <f>IF(OR(C434="",AND(LEFT(C434,6)="SAMPLE",Config!$B$19&lt;&gt;"Y")),"",IF(IFERROR(INDEX(Lists!$J$2:$J$15,MATCH(D434,Lists!$I$2:$I$15,0)),-1)=-1,"status '"&amp;D434&amp;"' is not a CONTRACTS status",IF(AND(D434="signed",COUNTIF(signed_offices!$W$2:$W$51,C434)=0),"status signed but no signed_offices row"&amp;IF(F434="N"," and no tracker row",""),IF(AND(IFERROR(INDEX(Lists!$J$2:$J$15,MATCH(D434,Lists!$I$2:$I$15,0)),-1)&gt;=6,F434="N"),"status "&amp;D434&amp;" but no tracker row",IF(AND(E434="Y",D434&lt;&gt;"do_not_contact"),"do_not_contact = Y but status is "&amp;D434,IF(AND(D434="do_not_contact",E434&lt;&gt;"Y"),"status do_not_contact but do_not_contact is not Y",""))))))</f>
        <v/>
      </c>
      <c r="I434" s="17" t="n">
        <v>413</v>
      </c>
      <c r="J434" s="17">
        <f>IFERROR(INDEX(Clay_Brands!$A$2:$FZ$601,I434,$D$5)&amp;"","")</f>
        <v/>
      </c>
      <c r="K434" s="17">
        <f>IFERROR(INDEX(Clay_Brands!$A$2:$FZ$601,I434,$D$7)&amp;"","")</f>
        <v/>
      </c>
      <c r="L434" s="17">
        <f>IFERROR(INDEX(Clay_Brands!$A$2:$FZ$601,I434,$D$8)&amp;"","")</f>
        <v/>
      </c>
      <c r="M434" s="17">
        <f>IF(J434="","",IF(COUNTIF(Brand_Log!$A$2:$A$201,J434)&gt;0,"Y","N"))</f>
        <v/>
      </c>
      <c r="N434" s="17">
        <f>IF(OR(J434="",AND(LEFT(J434,6)="SAMPLE",Config!$B$19&lt;&gt;"Y")),"",IF(IFERROR(INDEX(Lists!$J$2:$J$15,MATCH(K434,Lists!$I$2:$I$15,0)),-1)=-1,"status '"&amp;K434&amp;"' is not a CONTRACTS status",IF(AND(K434="paid",COUNTIF(paid_brands!$AC$2:$AC$51,J434)=0),"status paid but no paid_brands row"&amp;IF(M434="N"," and no tracker row",""),IF(AND(IFERROR(INDEX(Lists!$J$2:$J$15,MATCH(K434,Lists!$I$2:$I$15,0)),-1)&gt;=6,M434="N"),"status "&amp;K434&amp;" but no tracker row",IF(AND(L434="Y",K434&lt;&gt;"do_not_contact"),"do_not_contact = Y but status is "&amp;K434,IF(AND(K434="do_not_contact",L434&lt;&gt;"Y"),"status do_not_contact but do_not_contact is not Y",""))))))</f>
        <v/>
      </c>
    </row>
    <row r="435">
      <c r="B435" s="17" t="n">
        <v>414</v>
      </c>
      <c r="C435" s="17">
        <f>IFERROR(INDEX(Clay_Offices!$A$2:$FZ$601,B435,$C$5)&amp;"","")</f>
        <v/>
      </c>
      <c r="D435" s="17">
        <f>IFERROR(INDEX(Clay_Offices!$A$2:$FZ$601,B435,$C$7)&amp;"","")</f>
        <v/>
      </c>
      <c r="E435" s="17">
        <f>IFERROR(INDEX(Clay_Offices!$A$2:$FZ$601,B435,$C$8)&amp;"","")</f>
        <v/>
      </c>
      <c r="F435" s="17">
        <f>IF(C435="","",IF(COUNTIF(Office_Log!$A$2:$A$201,C435)&gt;0,"Y","N"))</f>
        <v/>
      </c>
      <c r="G435" s="17">
        <f>IF(OR(C435="",AND(LEFT(C435,6)="SAMPLE",Config!$B$19&lt;&gt;"Y")),"",IF(IFERROR(INDEX(Lists!$J$2:$J$15,MATCH(D435,Lists!$I$2:$I$15,0)),-1)=-1,"status '"&amp;D435&amp;"' is not a CONTRACTS status",IF(AND(D435="signed",COUNTIF(signed_offices!$W$2:$W$51,C435)=0),"status signed but no signed_offices row"&amp;IF(F435="N"," and no tracker row",""),IF(AND(IFERROR(INDEX(Lists!$J$2:$J$15,MATCH(D435,Lists!$I$2:$I$15,0)),-1)&gt;=6,F435="N"),"status "&amp;D435&amp;" but no tracker row",IF(AND(E435="Y",D435&lt;&gt;"do_not_contact"),"do_not_contact = Y but status is "&amp;D435,IF(AND(D435="do_not_contact",E435&lt;&gt;"Y"),"status do_not_contact but do_not_contact is not Y",""))))))</f>
        <v/>
      </c>
      <c r="I435" s="17" t="n">
        <v>414</v>
      </c>
      <c r="J435" s="17">
        <f>IFERROR(INDEX(Clay_Brands!$A$2:$FZ$601,I435,$D$5)&amp;"","")</f>
        <v/>
      </c>
      <c r="K435" s="17">
        <f>IFERROR(INDEX(Clay_Brands!$A$2:$FZ$601,I435,$D$7)&amp;"","")</f>
        <v/>
      </c>
      <c r="L435" s="17">
        <f>IFERROR(INDEX(Clay_Brands!$A$2:$FZ$601,I435,$D$8)&amp;"","")</f>
        <v/>
      </c>
      <c r="M435" s="17">
        <f>IF(J435="","",IF(COUNTIF(Brand_Log!$A$2:$A$201,J435)&gt;0,"Y","N"))</f>
        <v/>
      </c>
      <c r="N435" s="17">
        <f>IF(OR(J435="",AND(LEFT(J435,6)="SAMPLE",Config!$B$19&lt;&gt;"Y")),"",IF(IFERROR(INDEX(Lists!$J$2:$J$15,MATCH(K435,Lists!$I$2:$I$15,0)),-1)=-1,"status '"&amp;K435&amp;"' is not a CONTRACTS status",IF(AND(K435="paid",COUNTIF(paid_brands!$AC$2:$AC$51,J435)=0),"status paid but no paid_brands row"&amp;IF(M435="N"," and no tracker row",""),IF(AND(IFERROR(INDEX(Lists!$J$2:$J$15,MATCH(K435,Lists!$I$2:$I$15,0)),-1)&gt;=6,M435="N"),"status "&amp;K435&amp;" but no tracker row",IF(AND(L435="Y",K435&lt;&gt;"do_not_contact"),"do_not_contact = Y but status is "&amp;K435,IF(AND(K435="do_not_contact",L435&lt;&gt;"Y"),"status do_not_contact but do_not_contact is not Y",""))))))</f>
        <v/>
      </c>
    </row>
    <row r="436">
      <c r="B436" s="17" t="n">
        <v>415</v>
      </c>
      <c r="C436" s="17">
        <f>IFERROR(INDEX(Clay_Offices!$A$2:$FZ$601,B436,$C$5)&amp;"","")</f>
        <v/>
      </c>
      <c r="D436" s="17">
        <f>IFERROR(INDEX(Clay_Offices!$A$2:$FZ$601,B436,$C$7)&amp;"","")</f>
        <v/>
      </c>
      <c r="E436" s="17">
        <f>IFERROR(INDEX(Clay_Offices!$A$2:$FZ$601,B436,$C$8)&amp;"","")</f>
        <v/>
      </c>
      <c r="F436" s="17">
        <f>IF(C436="","",IF(COUNTIF(Office_Log!$A$2:$A$201,C436)&gt;0,"Y","N"))</f>
        <v/>
      </c>
      <c r="G436" s="17">
        <f>IF(OR(C436="",AND(LEFT(C436,6)="SAMPLE",Config!$B$19&lt;&gt;"Y")),"",IF(IFERROR(INDEX(Lists!$J$2:$J$15,MATCH(D436,Lists!$I$2:$I$15,0)),-1)=-1,"status '"&amp;D436&amp;"' is not a CONTRACTS status",IF(AND(D436="signed",COUNTIF(signed_offices!$W$2:$W$51,C436)=0),"status signed but no signed_offices row"&amp;IF(F436="N"," and no tracker row",""),IF(AND(IFERROR(INDEX(Lists!$J$2:$J$15,MATCH(D436,Lists!$I$2:$I$15,0)),-1)&gt;=6,F436="N"),"status "&amp;D436&amp;" but no tracker row",IF(AND(E436="Y",D436&lt;&gt;"do_not_contact"),"do_not_contact = Y but status is "&amp;D436,IF(AND(D436="do_not_contact",E436&lt;&gt;"Y"),"status do_not_contact but do_not_contact is not Y",""))))))</f>
        <v/>
      </c>
      <c r="I436" s="17" t="n">
        <v>415</v>
      </c>
      <c r="J436" s="17">
        <f>IFERROR(INDEX(Clay_Brands!$A$2:$FZ$601,I436,$D$5)&amp;"","")</f>
        <v/>
      </c>
      <c r="K436" s="17">
        <f>IFERROR(INDEX(Clay_Brands!$A$2:$FZ$601,I436,$D$7)&amp;"","")</f>
        <v/>
      </c>
      <c r="L436" s="17">
        <f>IFERROR(INDEX(Clay_Brands!$A$2:$FZ$601,I436,$D$8)&amp;"","")</f>
        <v/>
      </c>
      <c r="M436" s="17">
        <f>IF(J436="","",IF(COUNTIF(Brand_Log!$A$2:$A$201,J436)&gt;0,"Y","N"))</f>
        <v/>
      </c>
      <c r="N436" s="17">
        <f>IF(OR(J436="",AND(LEFT(J436,6)="SAMPLE",Config!$B$19&lt;&gt;"Y")),"",IF(IFERROR(INDEX(Lists!$J$2:$J$15,MATCH(K436,Lists!$I$2:$I$15,0)),-1)=-1,"status '"&amp;K436&amp;"' is not a CONTRACTS status",IF(AND(K436="paid",COUNTIF(paid_brands!$AC$2:$AC$51,J436)=0),"status paid but no paid_brands row"&amp;IF(M436="N"," and no tracker row",""),IF(AND(IFERROR(INDEX(Lists!$J$2:$J$15,MATCH(K436,Lists!$I$2:$I$15,0)),-1)&gt;=6,M436="N"),"status "&amp;K436&amp;" but no tracker row",IF(AND(L436="Y",K436&lt;&gt;"do_not_contact"),"do_not_contact = Y but status is "&amp;K436,IF(AND(K436="do_not_contact",L436&lt;&gt;"Y"),"status do_not_contact but do_not_contact is not Y",""))))))</f>
        <v/>
      </c>
    </row>
    <row r="437">
      <c r="B437" s="17" t="n">
        <v>416</v>
      </c>
      <c r="C437" s="17">
        <f>IFERROR(INDEX(Clay_Offices!$A$2:$FZ$601,B437,$C$5)&amp;"","")</f>
        <v/>
      </c>
      <c r="D437" s="17">
        <f>IFERROR(INDEX(Clay_Offices!$A$2:$FZ$601,B437,$C$7)&amp;"","")</f>
        <v/>
      </c>
      <c r="E437" s="17">
        <f>IFERROR(INDEX(Clay_Offices!$A$2:$FZ$601,B437,$C$8)&amp;"","")</f>
        <v/>
      </c>
      <c r="F437" s="17">
        <f>IF(C437="","",IF(COUNTIF(Office_Log!$A$2:$A$201,C437)&gt;0,"Y","N"))</f>
        <v/>
      </c>
      <c r="G437" s="17">
        <f>IF(OR(C437="",AND(LEFT(C437,6)="SAMPLE",Config!$B$19&lt;&gt;"Y")),"",IF(IFERROR(INDEX(Lists!$J$2:$J$15,MATCH(D437,Lists!$I$2:$I$15,0)),-1)=-1,"status '"&amp;D437&amp;"' is not a CONTRACTS status",IF(AND(D437="signed",COUNTIF(signed_offices!$W$2:$W$51,C437)=0),"status signed but no signed_offices row"&amp;IF(F437="N"," and no tracker row",""),IF(AND(IFERROR(INDEX(Lists!$J$2:$J$15,MATCH(D437,Lists!$I$2:$I$15,0)),-1)&gt;=6,F437="N"),"status "&amp;D437&amp;" but no tracker row",IF(AND(E437="Y",D437&lt;&gt;"do_not_contact"),"do_not_contact = Y but status is "&amp;D437,IF(AND(D437="do_not_contact",E437&lt;&gt;"Y"),"status do_not_contact but do_not_contact is not Y",""))))))</f>
        <v/>
      </c>
      <c r="I437" s="17" t="n">
        <v>416</v>
      </c>
      <c r="J437" s="17">
        <f>IFERROR(INDEX(Clay_Brands!$A$2:$FZ$601,I437,$D$5)&amp;"","")</f>
        <v/>
      </c>
      <c r="K437" s="17">
        <f>IFERROR(INDEX(Clay_Brands!$A$2:$FZ$601,I437,$D$7)&amp;"","")</f>
        <v/>
      </c>
      <c r="L437" s="17">
        <f>IFERROR(INDEX(Clay_Brands!$A$2:$FZ$601,I437,$D$8)&amp;"","")</f>
        <v/>
      </c>
      <c r="M437" s="17">
        <f>IF(J437="","",IF(COUNTIF(Brand_Log!$A$2:$A$201,J437)&gt;0,"Y","N"))</f>
        <v/>
      </c>
      <c r="N437" s="17">
        <f>IF(OR(J437="",AND(LEFT(J437,6)="SAMPLE",Config!$B$19&lt;&gt;"Y")),"",IF(IFERROR(INDEX(Lists!$J$2:$J$15,MATCH(K437,Lists!$I$2:$I$15,0)),-1)=-1,"status '"&amp;K437&amp;"' is not a CONTRACTS status",IF(AND(K437="paid",COUNTIF(paid_brands!$AC$2:$AC$51,J437)=0),"status paid but no paid_brands row"&amp;IF(M437="N"," and no tracker row",""),IF(AND(IFERROR(INDEX(Lists!$J$2:$J$15,MATCH(K437,Lists!$I$2:$I$15,0)),-1)&gt;=6,M437="N"),"status "&amp;K437&amp;" but no tracker row",IF(AND(L437="Y",K437&lt;&gt;"do_not_contact"),"do_not_contact = Y but status is "&amp;K437,IF(AND(K437="do_not_contact",L437&lt;&gt;"Y"),"status do_not_contact but do_not_contact is not Y",""))))))</f>
        <v/>
      </c>
    </row>
    <row r="438">
      <c r="B438" s="17" t="n">
        <v>417</v>
      </c>
      <c r="C438" s="17">
        <f>IFERROR(INDEX(Clay_Offices!$A$2:$FZ$601,B438,$C$5)&amp;"","")</f>
        <v/>
      </c>
      <c r="D438" s="17">
        <f>IFERROR(INDEX(Clay_Offices!$A$2:$FZ$601,B438,$C$7)&amp;"","")</f>
        <v/>
      </c>
      <c r="E438" s="17">
        <f>IFERROR(INDEX(Clay_Offices!$A$2:$FZ$601,B438,$C$8)&amp;"","")</f>
        <v/>
      </c>
      <c r="F438" s="17">
        <f>IF(C438="","",IF(COUNTIF(Office_Log!$A$2:$A$201,C438)&gt;0,"Y","N"))</f>
        <v/>
      </c>
      <c r="G438" s="17">
        <f>IF(OR(C438="",AND(LEFT(C438,6)="SAMPLE",Config!$B$19&lt;&gt;"Y")),"",IF(IFERROR(INDEX(Lists!$J$2:$J$15,MATCH(D438,Lists!$I$2:$I$15,0)),-1)=-1,"status '"&amp;D438&amp;"' is not a CONTRACTS status",IF(AND(D438="signed",COUNTIF(signed_offices!$W$2:$W$51,C438)=0),"status signed but no signed_offices row"&amp;IF(F438="N"," and no tracker row",""),IF(AND(IFERROR(INDEX(Lists!$J$2:$J$15,MATCH(D438,Lists!$I$2:$I$15,0)),-1)&gt;=6,F438="N"),"status "&amp;D438&amp;" but no tracker row",IF(AND(E438="Y",D438&lt;&gt;"do_not_contact"),"do_not_contact = Y but status is "&amp;D438,IF(AND(D438="do_not_contact",E438&lt;&gt;"Y"),"status do_not_contact but do_not_contact is not Y",""))))))</f>
        <v/>
      </c>
      <c r="I438" s="17" t="n">
        <v>417</v>
      </c>
      <c r="J438" s="17">
        <f>IFERROR(INDEX(Clay_Brands!$A$2:$FZ$601,I438,$D$5)&amp;"","")</f>
        <v/>
      </c>
      <c r="K438" s="17">
        <f>IFERROR(INDEX(Clay_Brands!$A$2:$FZ$601,I438,$D$7)&amp;"","")</f>
        <v/>
      </c>
      <c r="L438" s="17">
        <f>IFERROR(INDEX(Clay_Brands!$A$2:$FZ$601,I438,$D$8)&amp;"","")</f>
        <v/>
      </c>
      <c r="M438" s="17">
        <f>IF(J438="","",IF(COUNTIF(Brand_Log!$A$2:$A$201,J438)&gt;0,"Y","N"))</f>
        <v/>
      </c>
      <c r="N438" s="17">
        <f>IF(OR(J438="",AND(LEFT(J438,6)="SAMPLE",Config!$B$19&lt;&gt;"Y")),"",IF(IFERROR(INDEX(Lists!$J$2:$J$15,MATCH(K438,Lists!$I$2:$I$15,0)),-1)=-1,"status '"&amp;K438&amp;"' is not a CONTRACTS status",IF(AND(K438="paid",COUNTIF(paid_brands!$AC$2:$AC$51,J438)=0),"status paid but no paid_brands row"&amp;IF(M438="N"," and no tracker row",""),IF(AND(IFERROR(INDEX(Lists!$J$2:$J$15,MATCH(K438,Lists!$I$2:$I$15,0)),-1)&gt;=6,M438="N"),"status "&amp;K438&amp;" but no tracker row",IF(AND(L438="Y",K438&lt;&gt;"do_not_contact"),"do_not_contact = Y but status is "&amp;K438,IF(AND(K438="do_not_contact",L438&lt;&gt;"Y"),"status do_not_contact but do_not_contact is not Y",""))))))</f>
        <v/>
      </c>
    </row>
    <row r="439">
      <c r="B439" s="17" t="n">
        <v>418</v>
      </c>
      <c r="C439" s="17">
        <f>IFERROR(INDEX(Clay_Offices!$A$2:$FZ$601,B439,$C$5)&amp;"","")</f>
        <v/>
      </c>
      <c r="D439" s="17">
        <f>IFERROR(INDEX(Clay_Offices!$A$2:$FZ$601,B439,$C$7)&amp;"","")</f>
        <v/>
      </c>
      <c r="E439" s="17">
        <f>IFERROR(INDEX(Clay_Offices!$A$2:$FZ$601,B439,$C$8)&amp;"","")</f>
        <v/>
      </c>
      <c r="F439" s="17">
        <f>IF(C439="","",IF(COUNTIF(Office_Log!$A$2:$A$201,C439)&gt;0,"Y","N"))</f>
        <v/>
      </c>
      <c r="G439" s="17">
        <f>IF(OR(C439="",AND(LEFT(C439,6)="SAMPLE",Config!$B$19&lt;&gt;"Y")),"",IF(IFERROR(INDEX(Lists!$J$2:$J$15,MATCH(D439,Lists!$I$2:$I$15,0)),-1)=-1,"status '"&amp;D439&amp;"' is not a CONTRACTS status",IF(AND(D439="signed",COUNTIF(signed_offices!$W$2:$W$51,C439)=0),"status signed but no signed_offices row"&amp;IF(F439="N"," and no tracker row",""),IF(AND(IFERROR(INDEX(Lists!$J$2:$J$15,MATCH(D439,Lists!$I$2:$I$15,0)),-1)&gt;=6,F439="N"),"status "&amp;D439&amp;" but no tracker row",IF(AND(E439="Y",D439&lt;&gt;"do_not_contact"),"do_not_contact = Y but status is "&amp;D439,IF(AND(D439="do_not_contact",E439&lt;&gt;"Y"),"status do_not_contact but do_not_contact is not Y",""))))))</f>
        <v/>
      </c>
      <c r="I439" s="17" t="n">
        <v>418</v>
      </c>
      <c r="J439" s="17">
        <f>IFERROR(INDEX(Clay_Brands!$A$2:$FZ$601,I439,$D$5)&amp;"","")</f>
        <v/>
      </c>
      <c r="K439" s="17">
        <f>IFERROR(INDEX(Clay_Brands!$A$2:$FZ$601,I439,$D$7)&amp;"","")</f>
        <v/>
      </c>
      <c r="L439" s="17">
        <f>IFERROR(INDEX(Clay_Brands!$A$2:$FZ$601,I439,$D$8)&amp;"","")</f>
        <v/>
      </c>
      <c r="M439" s="17">
        <f>IF(J439="","",IF(COUNTIF(Brand_Log!$A$2:$A$201,J439)&gt;0,"Y","N"))</f>
        <v/>
      </c>
      <c r="N439" s="17">
        <f>IF(OR(J439="",AND(LEFT(J439,6)="SAMPLE",Config!$B$19&lt;&gt;"Y")),"",IF(IFERROR(INDEX(Lists!$J$2:$J$15,MATCH(K439,Lists!$I$2:$I$15,0)),-1)=-1,"status '"&amp;K439&amp;"' is not a CONTRACTS status",IF(AND(K439="paid",COUNTIF(paid_brands!$AC$2:$AC$51,J439)=0),"status paid but no paid_brands row"&amp;IF(M439="N"," and no tracker row",""),IF(AND(IFERROR(INDEX(Lists!$J$2:$J$15,MATCH(K439,Lists!$I$2:$I$15,0)),-1)&gt;=6,M439="N"),"status "&amp;K439&amp;" but no tracker row",IF(AND(L439="Y",K439&lt;&gt;"do_not_contact"),"do_not_contact = Y but status is "&amp;K439,IF(AND(K439="do_not_contact",L439&lt;&gt;"Y"),"status do_not_contact but do_not_contact is not Y",""))))))</f>
        <v/>
      </c>
    </row>
    <row r="440">
      <c r="B440" s="17" t="n">
        <v>419</v>
      </c>
      <c r="C440" s="17">
        <f>IFERROR(INDEX(Clay_Offices!$A$2:$FZ$601,B440,$C$5)&amp;"","")</f>
        <v/>
      </c>
      <c r="D440" s="17">
        <f>IFERROR(INDEX(Clay_Offices!$A$2:$FZ$601,B440,$C$7)&amp;"","")</f>
        <v/>
      </c>
      <c r="E440" s="17">
        <f>IFERROR(INDEX(Clay_Offices!$A$2:$FZ$601,B440,$C$8)&amp;"","")</f>
        <v/>
      </c>
      <c r="F440" s="17">
        <f>IF(C440="","",IF(COUNTIF(Office_Log!$A$2:$A$201,C440)&gt;0,"Y","N"))</f>
        <v/>
      </c>
      <c r="G440" s="17">
        <f>IF(OR(C440="",AND(LEFT(C440,6)="SAMPLE",Config!$B$19&lt;&gt;"Y")),"",IF(IFERROR(INDEX(Lists!$J$2:$J$15,MATCH(D440,Lists!$I$2:$I$15,0)),-1)=-1,"status '"&amp;D440&amp;"' is not a CONTRACTS status",IF(AND(D440="signed",COUNTIF(signed_offices!$W$2:$W$51,C440)=0),"status signed but no signed_offices row"&amp;IF(F440="N"," and no tracker row",""),IF(AND(IFERROR(INDEX(Lists!$J$2:$J$15,MATCH(D440,Lists!$I$2:$I$15,0)),-1)&gt;=6,F440="N"),"status "&amp;D440&amp;" but no tracker row",IF(AND(E440="Y",D440&lt;&gt;"do_not_contact"),"do_not_contact = Y but status is "&amp;D440,IF(AND(D440="do_not_contact",E440&lt;&gt;"Y"),"status do_not_contact but do_not_contact is not Y",""))))))</f>
        <v/>
      </c>
      <c r="I440" s="17" t="n">
        <v>419</v>
      </c>
      <c r="J440" s="17">
        <f>IFERROR(INDEX(Clay_Brands!$A$2:$FZ$601,I440,$D$5)&amp;"","")</f>
        <v/>
      </c>
      <c r="K440" s="17">
        <f>IFERROR(INDEX(Clay_Brands!$A$2:$FZ$601,I440,$D$7)&amp;"","")</f>
        <v/>
      </c>
      <c r="L440" s="17">
        <f>IFERROR(INDEX(Clay_Brands!$A$2:$FZ$601,I440,$D$8)&amp;"","")</f>
        <v/>
      </c>
      <c r="M440" s="17">
        <f>IF(J440="","",IF(COUNTIF(Brand_Log!$A$2:$A$201,J440)&gt;0,"Y","N"))</f>
        <v/>
      </c>
      <c r="N440" s="17">
        <f>IF(OR(J440="",AND(LEFT(J440,6)="SAMPLE",Config!$B$19&lt;&gt;"Y")),"",IF(IFERROR(INDEX(Lists!$J$2:$J$15,MATCH(K440,Lists!$I$2:$I$15,0)),-1)=-1,"status '"&amp;K440&amp;"' is not a CONTRACTS status",IF(AND(K440="paid",COUNTIF(paid_brands!$AC$2:$AC$51,J440)=0),"status paid but no paid_brands row"&amp;IF(M440="N"," and no tracker row",""),IF(AND(IFERROR(INDEX(Lists!$J$2:$J$15,MATCH(K440,Lists!$I$2:$I$15,0)),-1)&gt;=6,M440="N"),"status "&amp;K440&amp;" but no tracker row",IF(AND(L440="Y",K440&lt;&gt;"do_not_contact"),"do_not_contact = Y but status is "&amp;K440,IF(AND(K440="do_not_contact",L440&lt;&gt;"Y"),"status do_not_contact but do_not_contact is not Y",""))))))</f>
        <v/>
      </c>
    </row>
    <row r="441">
      <c r="B441" s="17" t="n">
        <v>420</v>
      </c>
      <c r="C441" s="17">
        <f>IFERROR(INDEX(Clay_Offices!$A$2:$FZ$601,B441,$C$5)&amp;"","")</f>
        <v/>
      </c>
      <c r="D441" s="17">
        <f>IFERROR(INDEX(Clay_Offices!$A$2:$FZ$601,B441,$C$7)&amp;"","")</f>
        <v/>
      </c>
      <c r="E441" s="17">
        <f>IFERROR(INDEX(Clay_Offices!$A$2:$FZ$601,B441,$C$8)&amp;"","")</f>
        <v/>
      </c>
      <c r="F441" s="17">
        <f>IF(C441="","",IF(COUNTIF(Office_Log!$A$2:$A$201,C441)&gt;0,"Y","N"))</f>
        <v/>
      </c>
      <c r="G441" s="17">
        <f>IF(OR(C441="",AND(LEFT(C441,6)="SAMPLE",Config!$B$19&lt;&gt;"Y")),"",IF(IFERROR(INDEX(Lists!$J$2:$J$15,MATCH(D441,Lists!$I$2:$I$15,0)),-1)=-1,"status '"&amp;D441&amp;"' is not a CONTRACTS status",IF(AND(D441="signed",COUNTIF(signed_offices!$W$2:$W$51,C441)=0),"status signed but no signed_offices row"&amp;IF(F441="N"," and no tracker row",""),IF(AND(IFERROR(INDEX(Lists!$J$2:$J$15,MATCH(D441,Lists!$I$2:$I$15,0)),-1)&gt;=6,F441="N"),"status "&amp;D441&amp;" but no tracker row",IF(AND(E441="Y",D441&lt;&gt;"do_not_contact"),"do_not_contact = Y but status is "&amp;D441,IF(AND(D441="do_not_contact",E441&lt;&gt;"Y"),"status do_not_contact but do_not_contact is not Y",""))))))</f>
        <v/>
      </c>
      <c r="I441" s="17" t="n">
        <v>420</v>
      </c>
      <c r="J441" s="17">
        <f>IFERROR(INDEX(Clay_Brands!$A$2:$FZ$601,I441,$D$5)&amp;"","")</f>
        <v/>
      </c>
      <c r="K441" s="17">
        <f>IFERROR(INDEX(Clay_Brands!$A$2:$FZ$601,I441,$D$7)&amp;"","")</f>
        <v/>
      </c>
      <c r="L441" s="17">
        <f>IFERROR(INDEX(Clay_Brands!$A$2:$FZ$601,I441,$D$8)&amp;"","")</f>
        <v/>
      </c>
      <c r="M441" s="17">
        <f>IF(J441="","",IF(COUNTIF(Brand_Log!$A$2:$A$201,J441)&gt;0,"Y","N"))</f>
        <v/>
      </c>
      <c r="N441" s="17">
        <f>IF(OR(J441="",AND(LEFT(J441,6)="SAMPLE",Config!$B$19&lt;&gt;"Y")),"",IF(IFERROR(INDEX(Lists!$J$2:$J$15,MATCH(K441,Lists!$I$2:$I$15,0)),-1)=-1,"status '"&amp;K441&amp;"' is not a CONTRACTS status",IF(AND(K441="paid",COUNTIF(paid_brands!$AC$2:$AC$51,J441)=0),"status paid but no paid_brands row"&amp;IF(M441="N"," and no tracker row",""),IF(AND(IFERROR(INDEX(Lists!$J$2:$J$15,MATCH(K441,Lists!$I$2:$I$15,0)),-1)&gt;=6,M441="N"),"status "&amp;K441&amp;" but no tracker row",IF(AND(L441="Y",K441&lt;&gt;"do_not_contact"),"do_not_contact = Y but status is "&amp;K441,IF(AND(K441="do_not_contact",L441&lt;&gt;"Y"),"status do_not_contact but do_not_contact is not Y",""))))))</f>
        <v/>
      </c>
    </row>
    <row r="442">
      <c r="B442" s="17" t="n">
        <v>421</v>
      </c>
      <c r="C442" s="17">
        <f>IFERROR(INDEX(Clay_Offices!$A$2:$FZ$601,B442,$C$5)&amp;"","")</f>
        <v/>
      </c>
      <c r="D442" s="17">
        <f>IFERROR(INDEX(Clay_Offices!$A$2:$FZ$601,B442,$C$7)&amp;"","")</f>
        <v/>
      </c>
      <c r="E442" s="17">
        <f>IFERROR(INDEX(Clay_Offices!$A$2:$FZ$601,B442,$C$8)&amp;"","")</f>
        <v/>
      </c>
      <c r="F442" s="17">
        <f>IF(C442="","",IF(COUNTIF(Office_Log!$A$2:$A$201,C442)&gt;0,"Y","N"))</f>
        <v/>
      </c>
      <c r="G442" s="17">
        <f>IF(OR(C442="",AND(LEFT(C442,6)="SAMPLE",Config!$B$19&lt;&gt;"Y")),"",IF(IFERROR(INDEX(Lists!$J$2:$J$15,MATCH(D442,Lists!$I$2:$I$15,0)),-1)=-1,"status '"&amp;D442&amp;"' is not a CONTRACTS status",IF(AND(D442="signed",COUNTIF(signed_offices!$W$2:$W$51,C442)=0),"status signed but no signed_offices row"&amp;IF(F442="N"," and no tracker row",""),IF(AND(IFERROR(INDEX(Lists!$J$2:$J$15,MATCH(D442,Lists!$I$2:$I$15,0)),-1)&gt;=6,F442="N"),"status "&amp;D442&amp;" but no tracker row",IF(AND(E442="Y",D442&lt;&gt;"do_not_contact"),"do_not_contact = Y but status is "&amp;D442,IF(AND(D442="do_not_contact",E442&lt;&gt;"Y"),"status do_not_contact but do_not_contact is not Y",""))))))</f>
        <v/>
      </c>
      <c r="I442" s="17" t="n">
        <v>421</v>
      </c>
      <c r="J442" s="17">
        <f>IFERROR(INDEX(Clay_Brands!$A$2:$FZ$601,I442,$D$5)&amp;"","")</f>
        <v/>
      </c>
      <c r="K442" s="17">
        <f>IFERROR(INDEX(Clay_Brands!$A$2:$FZ$601,I442,$D$7)&amp;"","")</f>
        <v/>
      </c>
      <c r="L442" s="17">
        <f>IFERROR(INDEX(Clay_Brands!$A$2:$FZ$601,I442,$D$8)&amp;"","")</f>
        <v/>
      </c>
      <c r="M442" s="17">
        <f>IF(J442="","",IF(COUNTIF(Brand_Log!$A$2:$A$201,J442)&gt;0,"Y","N"))</f>
        <v/>
      </c>
      <c r="N442" s="17">
        <f>IF(OR(J442="",AND(LEFT(J442,6)="SAMPLE",Config!$B$19&lt;&gt;"Y")),"",IF(IFERROR(INDEX(Lists!$J$2:$J$15,MATCH(K442,Lists!$I$2:$I$15,0)),-1)=-1,"status '"&amp;K442&amp;"' is not a CONTRACTS status",IF(AND(K442="paid",COUNTIF(paid_brands!$AC$2:$AC$51,J442)=0),"status paid but no paid_brands row"&amp;IF(M442="N"," and no tracker row",""),IF(AND(IFERROR(INDEX(Lists!$J$2:$J$15,MATCH(K442,Lists!$I$2:$I$15,0)),-1)&gt;=6,M442="N"),"status "&amp;K442&amp;" but no tracker row",IF(AND(L442="Y",K442&lt;&gt;"do_not_contact"),"do_not_contact = Y but status is "&amp;K442,IF(AND(K442="do_not_contact",L442&lt;&gt;"Y"),"status do_not_contact but do_not_contact is not Y",""))))))</f>
        <v/>
      </c>
    </row>
    <row r="443">
      <c r="B443" s="17" t="n">
        <v>422</v>
      </c>
      <c r="C443" s="17">
        <f>IFERROR(INDEX(Clay_Offices!$A$2:$FZ$601,B443,$C$5)&amp;"","")</f>
        <v/>
      </c>
      <c r="D443" s="17">
        <f>IFERROR(INDEX(Clay_Offices!$A$2:$FZ$601,B443,$C$7)&amp;"","")</f>
        <v/>
      </c>
      <c r="E443" s="17">
        <f>IFERROR(INDEX(Clay_Offices!$A$2:$FZ$601,B443,$C$8)&amp;"","")</f>
        <v/>
      </c>
      <c r="F443" s="17">
        <f>IF(C443="","",IF(COUNTIF(Office_Log!$A$2:$A$201,C443)&gt;0,"Y","N"))</f>
        <v/>
      </c>
      <c r="G443" s="17">
        <f>IF(OR(C443="",AND(LEFT(C443,6)="SAMPLE",Config!$B$19&lt;&gt;"Y")),"",IF(IFERROR(INDEX(Lists!$J$2:$J$15,MATCH(D443,Lists!$I$2:$I$15,0)),-1)=-1,"status '"&amp;D443&amp;"' is not a CONTRACTS status",IF(AND(D443="signed",COUNTIF(signed_offices!$W$2:$W$51,C443)=0),"status signed but no signed_offices row"&amp;IF(F443="N"," and no tracker row",""),IF(AND(IFERROR(INDEX(Lists!$J$2:$J$15,MATCH(D443,Lists!$I$2:$I$15,0)),-1)&gt;=6,F443="N"),"status "&amp;D443&amp;" but no tracker row",IF(AND(E443="Y",D443&lt;&gt;"do_not_contact"),"do_not_contact = Y but status is "&amp;D443,IF(AND(D443="do_not_contact",E443&lt;&gt;"Y"),"status do_not_contact but do_not_contact is not Y",""))))))</f>
        <v/>
      </c>
      <c r="I443" s="17" t="n">
        <v>422</v>
      </c>
      <c r="J443" s="17">
        <f>IFERROR(INDEX(Clay_Brands!$A$2:$FZ$601,I443,$D$5)&amp;"","")</f>
        <v/>
      </c>
      <c r="K443" s="17">
        <f>IFERROR(INDEX(Clay_Brands!$A$2:$FZ$601,I443,$D$7)&amp;"","")</f>
        <v/>
      </c>
      <c r="L443" s="17">
        <f>IFERROR(INDEX(Clay_Brands!$A$2:$FZ$601,I443,$D$8)&amp;"","")</f>
        <v/>
      </c>
      <c r="M443" s="17">
        <f>IF(J443="","",IF(COUNTIF(Brand_Log!$A$2:$A$201,J443)&gt;0,"Y","N"))</f>
        <v/>
      </c>
      <c r="N443" s="17">
        <f>IF(OR(J443="",AND(LEFT(J443,6)="SAMPLE",Config!$B$19&lt;&gt;"Y")),"",IF(IFERROR(INDEX(Lists!$J$2:$J$15,MATCH(K443,Lists!$I$2:$I$15,0)),-1)=-1,"status '"&amp;K443&amp;"' is not a CONTRACTS status",IF(AND(K443="paid",COUNTIF(paid_brands!$AC$2:$AC$51,J443)=0),"status paid but no paid_brands row"&amp;IF(M443="N"," and no tracker row",""),IF(AND(IFERROR(INDEX(Lists!$J$2:$J$15,MATCH(K443,Lists!$I$2:$I$15,0)),-1)&gt;=6,M443="N"),"status "&amp;K443&amp;" but no tracker row",IF(AND(L443="Y",K443&lt;&gt;"do_not_contact"),"do_not_contact = Y but status is "&amp;K443,IF(AND(K443="do_not_contact",L443&lt;&gt;"Y"),"status do_not_contact but do_not_contact is not Y",""))))))</f>
        <v/>
      </c>
    </row>
    <row r="444">
      <c r="B444" s="17" t="n">
        <v>423</v>
      </c>
      <c r="C444" s="17">
        <f>IFERROR(INDEX(Clay_Offices!$A$2:$FZ$601,B444,$C$5)&amp;"","")</f>
        <v/>
      </c>
      <c r="D444" s="17">
        <f>IFERROR(INDEX(Clay_Offices!$A$2:$FZ$601,B444,$C$7)&amp;"","")</f>
        <v/>
      </c>
      <c r="E444" s="17">
        <f>IFERROR(INDEX(Clay_Offices!$A$2:$FZ$601,B444,$C$8)&amp;"","")</f>
        <v/>
      </c>
      <c r="F444" s="17">
        <f>IF(C444="","",IF(COUNTIF(Office_Log!$A$2:$A$201,C444)&gt;0,"Y","N"))</f>
        <v/>
      </c>
      <c r="G444" s="17">
        <f>IF(OR(C444="",AND(LEFT(C444,6)="SAMPLE",Config!$B$19&lt;&gt;"Y")),"",IF(IFERROR(INDEX(Lists!$J$2:$J$15,MATCH(D444,Lists!$I$2:$I$15,0)),-1)=-1,"status '"&amp;D444&amp;"' is not a CONTRACTS status",IF(AND(D444="signed",COUNTIF(signed_offices!$W$2:$W$51,C444)=0),"status signed but no signed_offices row"&amp;IF(F444="N"," and no tracker row",""),IF(AND(IFERROR(INDEX(Lists!$J$2:$J$15,MATCH(D444,Lists!$I$2:$I$15,0)),-1)&gt;=6,F444="N"),"status "&amp;D444&amp;" but no tracker row",IF(AND(E444="Y",D444&lt;&gt;"do_not_contact"),"do_not_contact = Y but status is "&amp;D444,IF(AND(D444="do_not_contact",E444&lt;&gt;"Y"),"status do_not_contact but do_not_contact is not Y",""))))))</f>
        <v/>
      </c>
      <c r="I444" s="17" t="n">
        <v>423</v>
      </c>
      <c r="J444" s="17">
        <f>IFERROR(INDEX(Clay_Brands!$A$2:$FZ$601,I444,$D$5)&amp;"","")</f>
        <v/>
      </c>
      <c r="K444" s="17">
        <f>IFERROR(INDEX(Clay_Brands!$A$2:$FZ$601,I444,$D$7)&amp;"","")</f>
        <v/>
      </c>
      <c r="L444" s="17">
        <f>IFERROR(INDEX(Clay_Brands!$A$2:$FZ$601,I444,$D$8)&amp;"","")</f>
        <v/>
      </c>
      <c r="M444" s="17">
        <f>IF(J444="","",IF(COUNTIF(Brand_Log!$A$2:$A$201,J444)&gt;0,"Y","N"))</f>
        <v/>
      </c>
      <c r="N444" s="17">
        <f>IF(OR(J444="",AND(LEFT(J444,6)="SAMPLE",Config!$B$19&lt;&gt;"Y")),"",IF(IFERROR(INDEX(Lists!$J$2:$J$15,MATCH(K444,Lists!$I$2:$I$15,0)),-1)=-1,"status '"&amp;K444&amp;"' is not a CONTRACTS status",IF(AND(K444="paid",COUNTIF(paid_brands!$AC$2:$AC$51,J444)=0),"status paid but no paid_brands row"&amp;IF(M444="N"," and no tracker row",""),IF(AND(IFERROR(INDEX(Lists!$J$2:$J$15,MATCH(K444,Lists!$I$2:$I$15,0)),-1)&gt;=6,M444="N"),"status "&amp;K444&amp;" but no tracker row",IF(AND(L444="Y",K444&lt;&gt;"do_not_contact"),"do_not_contact = Y but status is "&amp;K444,IF(AND(K444="do_not_contact",L444&lt;&gt;"Y"),"status do_not_contact but do_not_contact is not Y",""))))))</f>
        <v/>
      </c>
    </row>
    <row r="445">
      <c r="B445" s="17" t="n">
        <v>424</v>
      </c>
      <c r="C445" s="17">
        <f>IFERROR(INDEX(Clay_Offices!$A$2:$FZ$601,B445,$C$5)&amp;"","")</f>
        <v/>
      </c>
      <c r="D445" s="17">
        <f>IFERROR(INDEX(Clay_Offices!$A$2:$FZ$601,B445,$C$7)&amp;"","")</f>
        <v/>
      </c>
      <c r="E445" s="17">
        <f>IFERROR(INDEX(Clay_Offices!$A$2:$FZ$601,B445,$C$8)&amp;"","")</f>
        <v/>
      </c>
      <c r="F445" s="17">
        <f>IF(C445="","",IF(COUNTIF(Office_Log!$A$2:$A$201,C445)&gt;0,"Y","N"))</f>
        <v/>
      </c>
      <c r="G445" s="17">
        <f>IF(OR(C445="",AND(LEFT(C445,6)="SAMPLE",Config!$B$19&lt;&gt;"Y")),"",IF(IFERROR(INDEX(Lists!$J$2:$J$15,MATCH(D445,Lists!$I$2:$I$15,0)),-1)=-1,"status '"&amp;D445&amp;"' is not a CONTRACTS status",IF(AND(D445="signed",COUNTIF(signed_offices!$W$2:$W$51,C445)=0),"status signed but no signed_offices row"&amp;IF(F445="N"," and no tracker row",""),IF(AND(IFERROR(INDEX(Lists!$J$2:$J$15,MATCH(D445,Lists!$I$2:$I$15,0)),-1)&gt;=6,F445="N"),"status "&amp;D445&amp;" but no tracker row",IF(AND(E445="Y",D445&lt;&gt;"do_not_contact"),"do_not_contact = Y but status is "&amp;D445,IF(AND(D445="do_not_contact",E445&lt;&gt;"Y"),"status do_not_contact but do_not_contact is not Y",""))))))</f>
        <v/>
      </c>
      <c r="I445" s="17" t="n">
        <v>424</v>
      </c>
      <c r="J445" s="17">
        <f>IFERROR(INDEX(Clay_Brands!$A$2:$FZ$601,I445,$D$5)&amp;"","")</f>
        <v/>
      </c>
      <c r="K445" s="17">
        <f>IFERROR(INDEX(Clay_Brands!$A$2:$FZ$601,I445,$D$7)&amp;"","")</f>
        <v/>
      </c>
      <c r="L445" s="17">
        <f>IFERROR(INDEX(Clay_Brands!$A$2:$FZ$601,I445,$D$8)&amp;"","")</f>
        <v/>
      </c>
      <c r="M445" s="17">
        <f>IF(J445="","",IF(COUNTIF(Brand_Log!$A$2:$A$201,J445)&gt;0,"Y","N"))</f>
        <v/>
      </c>
      <c r="N445" s="17">
        <f>IF(OR(J445="",AND(LEFT(J445,6)="SAMPLE",Config!$B$19&lt;&gt;"Y")),"",IF(IFERROR(INDEX(Lists!$J$2:$J$15,MATCH(K445,Lists!$I$2:$I$15,0)),-1)=-1,"status '"&amp;K445&amp;"' is not a CONTRACTS status",IF(AND(K445="paid",COUNTIF(paid_brands!$AC$2:$AC$51,J445)=0),"status paid but no paid_brands row"&amp;IF(M445="N"," and no tracker row",""),IF(AND(IFERROR(INDEX(Lists!$J$2:$J$15,MATCH(K445,Lists!$I$2:$I$15,0)),-1)&gt;=6,M445="N"),"status "&amp;K445&amp;" but no tracker row",IF(AND(L445="Y",K445&lt;&gt;"do_not_contact"),"do_not_contact = Y but status is "&amp;K445,IF(AND(K445="do_not_contact",L445&lt;&gt;"Y"),"status do_not_contact but do_not_contact is not Y",""))))))</f>
        <v/>
      </c>
    </row>
    <row r="446">
      <c r="B446" s="17" t="n">
        <v>425</v>
      </c>
      <c r="C446" s="17">
        <f>IFERROR(INDEX(Clay_Offices!$A$2:$FZ$601,B446,$C$5)&amp;"","")</f>
        <v/>
      </c>
      <c r="D446" s="17">
        <f>IFERROR(INDEX(Clay_Offices!$A$2:$FZ$601,B446,$C$7)&amp;"","")</f>
        <v/>
      </c>
      <c r="E446" s="17">
        <f>IFERROR(INDEX(Clay_Offices!$A$2:$FZ$601,B446,$C$8)&amp;"","")</f>
        <v/>
      </c>
      <c r="F446" s="17">
        <f>IF(C446="","",IF(COUNTIF(Office_Log!$A$2:$A$201,C446)&gt;0,"Y","N"))</f>
        <v/>
      </c>
      <c r="G446" s="17">
        <f>IF(OR(C446="",AND(LEFT(C446,6)="SAMPLE",Config!$B$19&lt;&gt;"Y")),"",IF(IFERROR(INDEX(Lists!$J$2:$J$15,MATCH(D446,Lists!$I$2:$I$15,0)),-1)=-1,"status '"&amp;D446&amp;"' is not a CONTRACTS status",IF(AND(D446="signed",COUNTIF(signed_offices!$W$2:$W$51,C446)=0),"status signed but no signed_offices row"&amp;IF(F446="N"," and no tracker row",""),IF(AND(IFERROR(INDEX(Lists!$J$2:$J$15,MATCH(D446,Lists!$I$2:$I$15,0)),-1)&gt;=6,F446="N"),"status "&amp;D446&amp;" but no tracker row",IF(AND(E446="Y",D446&lt;&gt;"do_not_contact"),"do_not_contact = Y but status is "&amp;D446,IF(AND(D446="do_not_contact",E446&lt;&gt;"Y"),"status do_not_contact but do_not_contact is not Y",""))))))</f>
        <v/>
      </c>
      <c r="I446" s="17" t="n">
        <v>425</v>
      </c>
      <c r="J446" s="17">
        <f>IFERROR(INDEX(Clay_Brands!$A$2:$FZ$601,I446,$D$5)&amp;"","")</f>
        <v/>
      </c>
      <c r="K446" s="17">
        <f>IFERROR(INDEX(Clay_Brands!$A$2:$FZ$601,I446,$D$7)&amp;"","")</f>
        <v/>
      </c>
      <c r="L446" s="17">
        <f>IFERROR(INDEX(Clay_Brands!$A$2:$FZ$601,I446,$D$8)&amp;"","")</f>
        <v/>
      </c>
      <c r="M446" s="17">
        <f>IF(J446="","",IF(COUNTIF(Brand_Log!$A$2:$A$201,J446)&gt;0,"Y","N"))</f>
        <v/>
      </c>
      <c r="N446" s="17">
        <f>IF(OR(J446="",AND(LEFT(J446,6)="SAMPLE",Config!$B$19&lt;&gt;"Y")),"",IF(IFERROR(INDEX(Lists!$J$2:$J$15,MATCH(K446,Lists!$I$2:$I$15,0)),-1)=-1,"status '"&amp;K446&amp;"' is not a CONTRACTS status",IF(AND(K446="paid",COUNTIF(paid_brands!$AC$2:$AC$51,J446)=0),"status paid but no paid_brands row"&amp;IF(M446="N"," and no tracker row",""),IF(AND(IFERROR(INDEX(Lists!$J$2:$J$15,MATCH(K446,Lists!$I$2:$I$15,0)),-1)&gt;=6,M446="N"),"status "&amp;K446&amp;" but no tracker row",IF(AND(L446="Y",K446&lt;&gt;"do_not_contact"),"do_not_contact = Y but status is "&amp;K446,IF(AND(K446="do_not_contact",L446&lt;&gt;"Y"),"status do_not_contact but do_not_contact is not Y",""))))))</f>
        <v/>
      </c>
    </row>
    <row r="447">
      <c r="B447" s="17" t="n">
        <v>426</v>
      </c>
      <c r="C447" s="17">
        <f>IFERROR(INDEX(Clay_Offices!$A$2:$FZ$601,B447,$C$5)&amp;"","")</f>
        <v/>
      </c>
      <c r="D447" s="17">
        <f>IFERROR(INDEX(Clay_Offices!$A$2:$FZ$601,B447,$C$7)&amp;"","")</f>
        <v/>
      </c>
      <c r="E447" s="17">
        <f>IFERROR(INDEX(Clay_Offices!$A$2:$FZ$601,B447,$C$8)&amp;"","")</f>
        <v/>
      </c>
      <c r="F447" s="17">
        <f>IF(C447="","",IF(COUNTIF(Office_Log!$A$2:$A$201,C447)&gt;0,"Y","N"))</f>
        <v/>
      </c>
      <c r="G447" s="17">
        <f>IF(OR(C447="",AND(LEFT(C447,6)="SAMPLE",Config!$B$19&lt;&gt;"Y")),"",IF(IFERROR(INDEX(Lists!$J$2:$J$15,MATCH(D447,Lists!$I$2:$I$15,0)),-1)=-1,"status '"&amp;D447&amp;"' is not a CONTRACTS status",IF(AND(D447="signed",COUNTIF(signed_offices!$W$2:$W$51,C447)=0),"status signed but no signed_offices row"&amp;IF(F447="N"," and no tracker row",""),IF(AND(IFERROR(INDEX(Lists!$J$2:$J$15,MATCH(D447,Lists!$I$2:$I$15,0)),-1)&gt;=6,F447="N"),"status "&amp;D447&amp;" but no tracker row",IF(AND(E447="Y",D447&lt;&gt;"do_not_contact"),"do_not_contact = Y but status is "&amp;D447,IF(AND(D447="do_not_contact",E447&lt;&gt;"Y"),"status do_not_contact but do_not_contact is not Y",""))))))</f>
        <v/>
      </c>
      <c r="I447" s="17" t="n">
        <v>426</v>
      </c>
      <c r="J447" s="17">
        <f>IFERROR(INDEX(Clay_Brands!$A$2:$FZ$601,I447,$D$5)&amp;"","")</f>
        <v/>
      </c>
      <c r="K447" s="17">
        <f>IFERROR(INDEX(Clay_Brands!$A$2:$FZ$601,I447,$D$7)&amp;"","")</f>
        <v/>
      </c>
      <c r="L447" s="17">
        <f>IFERROR(INDEX(Clay_Brands!$A$2:$FZ$601,I447,$D$8)&amp;"","")</f>
        <v/>
      </c>
      <c r="M447" s="17">
        <f>IF(J447="","",IF(COUNTIF(Brand_Log!$A$2:$A$201,J447)&gt;0,"Y","N"))</f>
        <v/>
      </c>
      <c r="N447" s="17">
        <f>IF(OR(J447="",AND(LEFT(J447,6)="SAMPLE",Config!$B$19&lt;&gt;"Y")),"",IF(IFERROR(INDEX(Lists!$J$2:$J$15,MATCH(K447,Lists!$I$2:$I$15,0)),-1)=-1,"status '"&amp;K447&amp;"' is not a CONTRACTS status",IF(AND(K447="paid",COUNTIF(paid_brands!$AC$2:$AC$51,J447)=0),"status paid but no paid_brands row"&amp;IF(M447="N"," and no tracker row",""),IF(AND(IFERROR(INDEX(Lists!$J$2:$J$15,MATCH(K447,Lists!$I$2:$I$15,0)),-1)&gt;=6,M447="N"),"status "&amp;K447&amp;" but no tracker row",IF(AND(L447="Y",K447&lt;&gt;"do_not_contact"),"do_not_contact = Y but status is "&amp;K447,IF(AND(K447="do_not_contact",L447&lt;&gt;"Y"),"status do_not_contact but do_not_contact is not Y",""))))))</f>
        <v/>
      </c>
    </row>
    <row r="448">
      <c r="B448" s="17" t="n">
        <v>427</v>
      </c>
      <c r="C448" s="17">
        <f>IFERROR(INDEX(Clay_Offices!$A$2:$FZ$601,B448,$C$5)&amp;"","")</f>
        <v/>
      </c>
      <c r="D448" s="17">
        <f>IFERROR(INDEX(Clay_Offices!$A$2:$FZ$601,B448,$C$7)&amp;"","")</f>
        <v/>
      </c>
      <c r="E448" s="17">
        <f>IFERROR(INDEX(Clay_Offices!$A$2:$FZ$601,B448,$C$8)&amp;"","")</f>
        <v/>
      </c>
      <c r="F448" s="17">
        <f>IF(C448="","",IF(COUNTIF(Office_Log!$A$2:$A$201,C448)&gt;0,"Y","N"))</f>
        <v/>
      </c>
      <c r="G448" s="17">
        <f>IF(OR(C448="",AND(LEFT(C448,6)="SAMPLE",Config!$B$19&lt;&gt;"Y")),"",IF(IFERROR(INDEX(Lists!$J$2:$J$15,MATCH(D448,Lists!$I$2:$I$15,0)),-1)=-1,"status '"&amp;D448&amp;"' is not a CONTRACTS status",IF(AND(D448="signed",COUNTIF(signed_offices!$W$2:$W$51,C448)=0),"status signed but no signed_offices row"&amp;IF(F448="N"," and no tracker row",""),IF(AND(IFERROR(INDEX(Lists!$J$2:$J$15,MATCH(D448,Lists!$I$2:$I$15,0)),-1)&gt;=6,F448="N"),"status "&amp;D448&amp;" but no tracker row",IF(AND(E448="Y",D448&lt;&gt;"do_not_contact"),"do_not_contact = Y but status is "&amp;D448,IF(AND(D448="do_not_contact",E448&lt;&gt;"Y"),"status do_not_contact but do_not_contact is not Y",""))))))</f>
        <v/>
      </c>
      <c r="I448" s="17" t="n">
        <v>427</v>
      </c>
      <c r="J448" s="17">
        <f>IFERROR(INDEX(Clay_Brands!$A$2:$FZ$601,I448,$D$5)&amp;"","")</f>
        <v/>
      </c>
      <c r="K448" s="17">
        <f>IFERROR(INDEX(Clay_Brands!$A$2:$FZ$601,I448,$D$7)&amp;"","")</f>
        <v/>
      </c>
      <c r="L448" s="17">
        <f>IFERROR(INDEX(Clay_Brands!$A$2:$FZ$601,I448,$D$8)&amp;"","")</f>
        <v/>
      </c>
      <c r="M448" s="17">
        <f>IF(J448="","",IF(COUNTIF(Brand_Log!$A$2:$A$201,J448)&gt;0,"Y","N"))</f>
        <v/>
      </c>
      <c r="N448" s="17">
        <f>IF(OR(J448="",AND(LEFT(J448,6)="SAMPLE",Config!$B$19&lt;&gt;"Y")),"",IF(IFERROR(INDEX(Lists!$J$2:$J$15,MATCH(K448,Lists!$I$2:$I$15,0)),-1)=-1,"status '"&amp;K448&amp;"' is not a CONTRACTS status",IF(AND(K448="paid",COUNTIF(paid_brands!$AC$2:$AC$51,J448)=0),"status paid but no paid_brands row"&amp;IF(M448="N"," and no tracker row",""),IF(AND(IFERROR(INDEX(Lists!$J$2:$J$15,MATCH(K448,Lists!$I$2:$I$15,0)),-1)&gt;=6,M448="N"),"status "&amp;K448&amp;" but no tracker row",IF(AND(L448="Y",K448&lt;&gt;"do_not_contact"),"do_not_contact = Y but status is "&amp;K448,IF(AND(K448="do_not_contact",L448&lt;&gt;"Y"),"status do_not_contact but do_not_contact is not Y",""))))))</f>
        <v/>
      </c>
    </row>
    <row r="449">
      <c r="B449" s="17" t="n">
        <v>428</v>
      </c>
      <c r="C449" s="17">
        <f>IFERROR(INDEX(Clay_Offices!$A$2:$FZ$601,B449,$C$5)&amp;"","")</f>
        <v/>
      </c>
      <c r="D449" s="17">
        <f>IFERROR(INDEX(Clay_Offices!$A$2:$FZ$601,B449,$C$7)&amp;"","")</f>
        <v/>
      </c>
      <c r="E449" s="17">
        <f>IFERROR(INDEX(Clay_Offices!$A$2:$FZ$601,B449,$C$8)&amp;"","")</f>
        <v/>
      </c>
      <c r="F449" s="17">
        <f>IF(C449="","",IF(COUNTIF(Office_Log!$A$2:$A$201,C449)&gt;0,"Y","N"))</f>
        <v/>
      </c>
      <c r="G449" s="17">
        <f>IF(OR(C449="",AND(LEFT(C449,6)="SAMPLE",Config!$B$19&lt;&gt;"Y")),"",IF(IFERROR(INDEX(Lists!$J$2:$J$15,MATCH(D449,Lists!$I$2:$I$15,0)),-1)=-1,"status '"&amp;D449&amp;"' is not a CONTRACTS status",IF(AND(D449="signed",COUNTIF(signed_offices!$W$2:$W$51,C449)=0),"status signed but no signed_offices row"&amp;IF(F449="N"," and no tracker row",""),IF(AND(IFERROR(INDEX(Lists!$J$2:$J$15,MATCH(D449,Lists!$I$2:$I$15,0)),-1)&gt;=6,F449="N"),"status "&amp;D449&amp;" but no tracker row",IF(AND(E449="Y",D449&lt;&gt;"do_not_contact"),"do_not_contact = Y but status is "&amp;D449,IF(AND(D449="do_not_contact",E449&lt;&gt;"Y"),"status do_not_contact but do_not_contact is not Y",""))))))</f>
        <v/>
      </c>
      <c r="I449" s="17" t="n">
        <v>428</v>
      </c>
      <c r="J449" s="17">
        <f>IFERROR(INDEX(Clay_Brands!$A$2:$FZ$601,I449,$D$5)&amp;"","")</f>
        <v/>
      </c>
      <c r="K449" s="17">
        <f>IFERROR(INDEX(Clay_Brands!$A$2:$FZ$601,I449,$D$7)&amp;"","")</f>
        <v/>
      </c>
      <c r="L449" s="17">
        <f>IFERROR(INDEX(Clay_Brands!$A$2:$FZ$601,I449,$D$8)&amp;"","")</f>
        <v/>
      </c>
      <c r="M449" s="17">
        <f>IF(J449="","",IF(COUNTIF(Brand_Log!$A$2:$A$201,J449)&gt;0,"Y","N"))</f>
        <v/>
      </c>
      <c r="N449" s="17">
        <f>IF(OR(J449="",AND(LEFT(J449,6)="SAMPLE",Config!$B$19&lt;&gt;"Y")),"",IF(IFERROR(INDEX(Lists!$J$2:$J$15,MATCH(K449,Lists!$I$2:$I$15,0)),-1)=-1,"status '"&amp;K449&amp;"' is not a CONTRACTS status",IF(AND(K449="paid",COUNTIF(paid_brands!$AC$2:$AC$51,J449)=0),"status paid but no paid_brands row"&amp;IF(M449="N"," and no tracker row",""),IF(AND(IFERROR(INDEX(Lists!$J$2:$J$15,MATCH(K449,Lists!$I$2:$I$15,0)),-1)&gt;=6,M449="N"),"status "&amp;K449&amp;" but no tracker row",IF(AND(L449="Y",K449&lt;&gt;"do_not_contact"),"do_not_contact = Y but status is "&amp;K449,IF(AND(K449="do_not_contact",L449&lt;&gt;"Y"),"status do_not_contact but do_not_contact is not Y",""))))))</f>
        <v/>
      </c>
    </row>
    <row r="450">
      <c r="B450" s="17" t="n">
        <v>429</v>
      </c>
      <c r="C450" s="17">
        <f>IFERROR(INDEX(Clay_Offices!$A$2:$FZ$601,B450,$C$5)&amp;"","")</f>
        <v/>
      </c>
      <c r="D450" s="17">
        <f>IFERROR(INDEX(Clay_Offices!$A$2:$FZ$601,B450,$C$7)&amp;"","")</f>
        <v/>
      </c>
      <c r="E450" s="17">
        <f>IFERROR(INDEX(Clay_Offices!$A$2:$FZ$601,B450,$C$8)&amp;"","")</f>
        <v/>
      </c>
      <c r="F450" s="17">
        <f>IF(C450="","",IF(COUNTIF(Office_Log!$A$2:$A$201,C450)&gt;0,"Y","N"))</f>
        <v/>
      </c>
      <c r="G450" s="17">
        <f>IF(OR(C450="",AND(LEFT(C450,6)="SAMPLE",Config!$B$19&lt;&gt;"Y")),"",IF(IFERROR(INDEX(Lists!$J$2:$J$15,MATCH(D450,Lists!$I$2:$I$15,0)),-1)=-1,"status '"&amp;D450&amp;"' is not a CONTRACTS status",IF(AND(D450="signed",COUNTIF(signed_offices!$W$2:$W$51,C450)=0),"status signed but no signed_offices row"&amp;IF(F450="N"," and no tracker row",""),IF(AND(IFERROR(INDEX(Lists!$J$2:$J$15,MATCH(D450,Lists!$I$2:$I$15,0)),-1)&gt;=6,F450="N"),"status "&amp;D450&amp;" but no tracker row",IF(AND(E450="Y",D450&lt;&gt;"do_not_contact"),"do_not_contact = Y but status is "&amp;D450,IF(AND(D450="do_not_contact",E450&lt;&gt;"Y"),"status do_not_contact but do_not_contact is not Y",""))))))</f>
        <v/>
      </c>
      <c r="I450" s="17" t="n">
        <v>429</v>
      </c>
      <c r="J450" s="17">
        <f>IFERROR(INDEX(Clay_Brands!$A$2:$FZ$601,I450,$D$5)&amp;"","")</f>
        <v/>
      </c>
      <c r="K450" s="17">
        <f>IFERROR(INDEX(Clay_Brands!$A$2:$FZ$601,I450,$D$7)&amp;"","")</f>
        <v/>
      </c>
      <c r="L450" s="17">
        <f>IFERROR(INDEX(Clay_Brands!$A$2:$FZ$601,I450,$D$8)&amp;"","")</f>
        <v/>
      </c>
      <c r="M450" s="17">
        <f>IF(J450="","",IF(COUNTIF(Brand_Log!$A$2:$A$201,J450)&gt;0,"Y","N"))</f>
        <v/>
      </c>
      <c r="N450" s="17">
        <f>IF(OR(J450="",AND(LEFT(J450,6)="SAMPLE",Config!$B$19&lt;&gt;"Y")),"",IF(IFERROR(INDEX(Lists!$J$2:$J$15,MATCH(K450,Lists!$I$2:$I$15,0)),-1)=-1,"status '"&amp;K450&amp;"' is not a CONTRACTS status",IF(AND(K450="paid",COUNTIF(paid_brands!$AC$2:$AC$51,J450)=0),"status paid but no paid_brands row"&amp;IF(M450="N"," and no tracker row",""),IF(AND(IFERROR(INDEX(Lists!$J$2:$J$15,MATCH(K450,Lists!$I$2:$I$15,0)),-1)&gt;=6,M450="N"),"status "&amp;K450&amp;" but no tracker row",IF(AND(L450="Y",K450&lt;&gt;"do_not_contact"),"do_not_contact = Y but status is "&amp;K450,IF(AND(K450="do_not_contact",L450&lt;&gt;"Y"),"status do_not_contact but do_not_contact is not Y",""))))))</f>
        <v/>
      </c>
    </row>
    <row r="451">
      <c r="B451" s="17" t="n">
        <v>430</v>
      </c>
      <c r="C451" s="17">
        <f>IFERROR(INDEX(Clay_Offices!$A$2:$FZ$601,B451,$C$5)&amp;"","")</f>
        <v/>
      </c>
      <c r="D451" s="17">
        <f>IFERROR(INDEX(Clay_Offices!$A$2:$FZ$601,B451,$C$7)&amp;"","")</f>
        <v/>
      </c>
      <c r="E451" s="17">
        <f>IFERROR(INDEX(Clay_Offices!$A$2:$FZ$601,B451,$C$8)&amp;"","")</f>
        <v/>
      </c>
      <c r="F451" s="17">
        <f>IF(C451="","",IF(COUNTIF(Office_Log!$A$2:$A$201,C451)&gt;0,"Y","N"))</f>
        <v/>
      </c>
      <c r="G451" s="17">
        <f>IF(OR(C451="",AND(LEFT(C451,6)="SAMPLE",Config!$B$19&lt;&gt;"Y")),"",IF(IFERROR(INDEX(Lists!$J$2:$J$15,MATCH(D451,Lists!$I$2:$I$15,0)),-1)=-1,"status '"&amp;D451&amp;"' is not a CONTRACTS status",IF(AND(D451="signed",COUNTIF(signed_offices!$W$2:$W$51,C451)=0),"status signed but no signed_offices row"&amp;IF(F451="N"," and no tracker row",""),IF(AND(IFERROR(INDEX(Lists!$J$2:$J$15,MATCH(D451,Lists!$I$2:$I$15,0)),-1)&gt;=6,F451="N"),"status "&amp;D451&amp;" but no tracker row",IF(AND(E451="Y",D451&lt;&gt;"do_not_contact"),"do_not_contact = Y but status is "&amp;D451,IF(AND(D451="do_not_contact",E451&lt;&gt;"Y"),"status do_not_contact but do_not_contact is not Y",""))))))</f>
        <v/>
      </c>
      <c r="I451" s="17" t="n">
        <v>430</v>
      </c>
      <c r="J451" s="17">
        <f>IFERROR(INDEX(Clay_Brands!$A$2:$FZ$601,I451,$D$5)&amp;"","")</f>
        <v/>
      </c>
      <c r="K451" s="17">
        <f>IFERROR(INDEX(Clay_Brands!$A$2:$FZ$601,I451,$D$7)&amp;"","")</f>
        <v/>
      </c>
      <c r="L451" s="17">
        <f>IFERROR(INDEX(Clay_Brands!$A$2:$FZ$601,I451,$D$8)&amp;"","")</f>
        <v/>
      </c>
      <c r="M451" s="17">
        <f>IF(J451="","",IF(COUNTIF(Brand_Log!$A$2:$A$201,J451)&gt;0,"Y","N"))</f>
        <v/>
      </c>
      <c r="N451" s="17">
        <f>IF(OR(J451="",AND(LEFT(J451,6)="SAMPLE",Config!$B$19&lt;&gt;"Y")),"",IF(IFERROR(INDEX(Lists!$J$2:$J$15,MATCH(K451,Lists!$I$2:$I$15,0)),-1)=-1,"status '"&amp;K451&amp;"' is not a CONTRACTS status",IF(AND(K451="paid",COUNTIF(paid_brands!$AC$2:$AC$51,J451)=0),"status paid but no paid_brands row"&amp;IF(M451="N"," and no tracker row",""),IF(AND(IFERROR(INDEX(Lists!$J$2:$J$15,MATCH(K451,Lists!$I$2:$I$15,0)),-1)&gt;=6,M451="N"),"status "&amp;K451&amp;" but no tracker row",IF(AND(L451="Y",K451&lt;&gt;"do_not_contact"),"do_not_contact = Y but status is "&amp;K451,IF(AND(K451="do_not_contact",L451&lt;&gt;"Y"),"status do_not_contact but do_not_contact is not Y",""))))))</f>
        <v/>
      </c>
    </row>
    <row r="452">
      <c r="B452" s="17" t="n">
        <v>431</v>
      </c>
      <c r="C452" s="17">
        <f>IFERROR(INDEX(Clay_Offices!$A$2:$FZ$601,B452,$C$5)&amp;"","")</f>
        <v/>
      </c>
      <c r="D452" s="17">
        <f>IFERROR(INDEX(Clay_Offices!$A$2:$FZ$601,B452,$C$7)&amp;"","")</f>
        <v/>
      </c>
      <c r="E452" s="17">
        <f>IFERROR(INDEX(Clay_Offices!$A$2:$FZ$601,B452,$C$8)&amp;"","")</f>
        <v/>
      </c>
      <c r="F452" s="17">
        <f>IF(C452="","",IF(COUNTIF(Office_Log!$A$2:$A$201,C452)&gt;0,"Y","N"))</f>
        <v/>
      </c>
      <c r="G452" s="17">
        <f>IF(OR(C452="",AND(LEFT(C452,6)="SAMPLE",Config!$B$19&lt;&gt;"Y")),"",IF(IFERROR(INDEX(Lists!$J$2:$J$15,MATCH(D452,Lists!$I$2:$I$15,0)),-1)=-1,"status '"&amp;D452&amp;"' is not a CONTRACTS status",IF(AND(D452="signed",COUNTIF(signed_offices!$W$2:$W$51,C452)=0),"status signed but no signed_offices row"&amp;IF(F452="N"," and no tracker row",""),IF(AND(IFERROR(INDEX(Lists!$J$2:$J$15,MATCH(D452,Lists!$I$2:$I$15,0)),-1)&gt;=6,F452="N"),"status "&amp;D452&amp;" but no tracker row",IF(AND(E452="Y",D452&lt;&gt;"do_not_contact"),"do_not_contact = Y but status is "&amp;D452,IF(AND(D452="do_not_contact",E452&lt;&gt;"Y"),"status do_not_contact but do_not_contact is not Y",""))))))</f>
        <v/>
      </c>
      <c r="I452" s="17" t="n">
        <v>431</v>
      </c>
      <c r="J452" s="17">
        <f>IFERROR(INDEX(Clay_Brands!$A$2:$FZ$601,I452,$D$5)&amp;"","")</f>
        <v/>
      </c>
      <c r="K452" s="17">
        <f>IFERROR(INDEX(Clay_Brands!$A$2:$FZ$601,I452,$D$7)&amp;"","")</f>
        <v/>
      </c>
      <c r="L452" s="17">
        <f>IFERROR(INDEX(Clay_Brands!$A$2:$FZ$601,I452,$D$8)&amp;"","")</f>
        <v/>
      </c>
      <c r="M452" s="17">
        <f>IF(J452="","",IF(COUNTIF(Brand_Log!$A$2:$A$201,J452)&gt;0,"Y","N"))</f>
        <v/>
      </c>
      <c r="N452" s="17">
        <f>IF(OR(J452="",AND(LEFT(J452,6)="SAMPLE",Config!$B$19&lt;&gt;"Y")),"",IF(IFERROR(INDEX(Lists!$J$2:$J$15,MATCH(K452,Lists!$I$2:$I$15,0)),-1)=-1,"status '"&amp;K452&amp;"' is not a CONTRACTS status",IF(AND(K452="paid",COUNTIF(paid_brands!$AC$2:$AC$51,J452)=0),"status paid but no paid_brands row"&amp;IF(M452="N"," and no tracker row",""),IF(AND(IFERROR(INDEX(Lists!$J$2:$J$15,MATCH(K452,Lists!$I$2:$I$15,0)),-1)&gt;=6,M452="N"),"status "&amp;K452&amp;" but no tracker row",IF(AND(L452="Y",K452&lt;&gt;"do_not_contact"),"do_not_contact = Y but status is "&amp;K452,IF(AND(K452="do_not_contact",L452&lt;&gt;"Y"),"status do_not_contact but do_not_contact is not Y",""))))))</f>
        <v/>
      </c>
    </row>
    <row r="453">
      <c r="B453" s="17" t="n">
        <v>432</v>
      </c>
      <c r="C453" s="17">
        <f>IFERROR(INDEX(Clay_Offices!$A$2:$FZ$601,B453,$C$5)&amp;"","")</f>
        <v/>
      </c>
      <c r="D453" s="17">
        <f>IFERROR(INDEX(Clay_Offices!$A$2:$FZ$601,B453,$C$7)&amp;"","")</f>
        <v/>
      </c>
      <c r="E453" s="17">
        <f>IFERROR(INDEX(Clay_Offices!$A$2:$FZ$601,B453,$C$8)&amp;"","")</f>
        <v/>
      </c>
      <c r="F453" s="17">
        <f>IF(C453="","",IF(COUNTIF(Office_Log!$A$2:$A$201,C453)&gt;0,"Y","N"))</f>
        <v/>
      </c>
      <c r="G453" s="17">
        <f>IF(OR(C453="",AND(LEFT(C453,6)="SAMPLE",Config!$B$19&lt;&gt;"Y")),"",IF(IFERROR(INDEX(Lists!$J$2:$J$15,MATCH(D453,Lists!$I$2:$I$15,0)),-1)=-1,"status '"&amp;D453&amp;"' is not a CONTRACTS status",IF(AND(D453="signed",COUNTIF(signed_offices!$W$2:$W$51,C453)=0),"status signed but no signed_offices row"&amp;IF(F453="N"," and no tracker row",""),IF(AND(IFERROR(INDEX(Lists!$J$2:$J$15,MATCH(D453,Lists!$I$2:$I$15,0)),-1)&gt;=6,F453="N"),"status "&amp;D453&amp;" but no tracker row",IF(AND(E453="Y",D453&lt;&gt;"do_not_contact"),"do_not_contact = Y but status is "&amp;D453,IF(AND(D453="do_not_contact",E453&lt;&gt;"Y"),"status do_not_contact but do_not_contact is not Y",""))))))</f>
        <v/>
      </c>
      <c r="I453" s="17" t="n">
        <v>432</v>
      </c>
      <c r="J453" s="17">
        <f>IFERROR(INDEX(Clay_Brands!$A$2:$FZ$601,I453,$D$5)&amp;"","")</f>
        <v/>
      </c>
      <c r="K453" s="17">
        <f>IFERROR(INDEX(Clay_Brands!$A$2:$FZ$601,I453,$D$7)&amp;"","")</f>
        <v/>
      </c>
      <c r="L453" s="17">
        <f>IFERROR(INDEX(Clay_Brands!$A$2:$FZ$601,I453,$D$8)&amp;"","")</f>
        <v/>
      </c>
      <c r="M453" s="17">
        <f>IF(J453="","",IF(COUNTIF(Brand_Log!$A$2:$A$201,J453)&gt;0,"Y","N"))</f>
        <v/>
      </c>
      <c r="N453" s="17">
        <f>IF(OR(J453="",AND(LEFT(J453,6)="SAMPLE",Config!$B$19&lt;&gt;"Y")),"",IF(IFERROR(INDEX(Lists!$J$2:$J$15,MATCH(K453,Lists!$I$2:$I$15,0)),-1)=-1,"status '"&amp;K453&amp;"' is not a CONTRACTS status",IF(AND(K453="paid",COUNTIF(paid_brands!$AC$2:$AC$51,J453)=0),"status paid but no paid_brands row"&amp;IF(M453="N"," and no tracker row",""),IF(AND(IFERROR(INDEX(Lists!$J$2:$J$15,MATCH(K453,Lists!$I$2:$I$15,0)),-1)&gt;=6,M453="N"),"status "&amp;K453&amp;" but no tracker row",IF(AND(L453="Y",K453&lt;&gt;"do_not_contact"),"do_not_contact = Y but status is "&amp;K453,IF(AND(K453="do_not_contact",L453&lt;&gt;"Y"),"status do_not_contact but do_not_contact is not Y",""))))))</f>
        <v/>
      </c>
    </row>
    <row r="454">
      <c r="B454" s="17" t="n">
        <v>433</v>
      </c>
      <c r="C454" s="17">
        <f>IFERROR(INDEX(Clay_Offices!$A$2:$FZ$601,B454,$C$5)&amp;"","")</f>
        <v/>
      </c>
      <c r="D454" s="17">
        <f>IFERROR(INDEX(Clay_Offices!$A$2:$FZ$601,B454,$C$7)&amp;"","")</f>
        <v/>
      </c>
      <c r="E454" s="17">
        <f>IFERROR(INDEX(Clay_Offices!$A$2:$FZ$601,B454,$C$8)&amp;"","")</f>
        <v/>
      </c>
      <c r="F454" s="17">
        <f>IF(C454="","",IF(COUNTIF(Office_Log!$A$2:$A$201,C454)&gt;0,"Y","N"))</f>
        <v/>
      </c>
      <c r="G454" s="17">
        <f>IF(OR(C454="",AND(LEFT(C454,6)="SAMPLE",Config!$B$19&lt;&gt;"Y")),"",IF(IFERROR(INDEX(Lists!$J$2:$J$15,MATCH(D454,Lists!$I$2:$I$15,0)),-1)=-1,"status '"&amp;D454&amp;"' is not a CONTRACTS status",IF(AND(D454="signed",COUNTIF(signed_offices!$W$2:$W$51,C454)=0),"status signed but no signed_offices row"&amp;IF(F454="N"," and no tracker row",""),IF(AND(IFERROR(INDEX(Lists!$J$2:$J$15,MATCH(D454,Lists!$I$2:$I$15,0)),-1)&gt;=6,F454="N"),"status "&amp;D454&amp;" but no tracker row",IF(AND(E454="Y",D454&lt;&gt;"do_not_contact"),"do_not_contact = Y but status is "&amp;D454,IF(AND(D454="do_not_contact",E454&lt;&gt;"Y"),"status do_not_contact but do_not_contact is not Y",""))))))</f>
        <v/>
      </c>
      <c r="I454" s="17" t="n">
        <v>433</v>
      </c>
      <c r="J454" s="17">
        <f>IFERROR(INDEX(Clay_Brands!$A$2:$FZ$601,I454,$D$5)&amp;"","")</f>
        <v/>
      </c>
      <c r="K454" s="17">
        <f>IFERROR(INDEX(Clay_Brands!$A$2:$FZ$601,I454,$D$7)&amp;"","")</f>
        <v/>
      </c>
      <c r="L454" s="17">
        <f>IFERROR(INDEX(Clay_Brands!$A$2:$FZ$601,I454,$D$8)&amp;"","")</f>
        <v/>
      </c>
      <c r="M454" s="17">
        <f>IF(J454="","",IF(COUNTIF(Brand_Log!$A$2:$A$201,J454)&gt;0,"Y","N"))</f>
        <v/>
      </c>
      <c r="N454" s="17">
        <f>IF(OR(J454="",AND(LEFT(J454,6)="SAMPLE",Config!$B$19&lt;&gt;"Y")),"",IF(IFERROR(INDEX(Lists!$J$2:$J$15,MATCH(K454,Lists!$I$2:$I$15,0)),-1)=-1,"status '"&amp;K454&amp;"' is not a CONTRACTS status",IF(AND(K454="paid",COUNTIF(paid_brands!$AC$2:$AC$51,J454)=0),"status paid but no paid_brands row"&amp;IF(M454="N"," and no tracker row",""),IF(AND(IFERROR(INDEX(Lists!$J$2:$J$15,MATCH(K454,Lists!$I$2:$I$15,0)),-1)&gt;=6,M454="N"),"status "&amp;K454&amp;" but no tracker row",IF(AND(L454="Y",K454&lt;&gt;"do_not_contact"),"do_not_contact = Y but status is "&amp;K454,IF(AND(K454="do_not_contact",L454&lt;&gt;"Y"),"status do_not_contact but do_not_contact is not Y",""))))))</f>
        <v/>
      </c>
    </row>
    <row r="455">
      <c r="B455" s="17" t="n">
        <v>434</v>
      </c>
      <c r="C455" s="17">
        <f>IFERROR(INDEX(Clay_Offices!$A$2:$FZ$601,B455,$C$5)&amp;"","")</f>
        <v/>
      </c>
      <c r="D455" s="17">
        <f>IFERROR(INDEX(Clay_Offices!$A$2:$FZ$601,B455,$C$7)&amp;"","")</f>
        <v/>
      </c>
      <c r="E455" s="17">
        <f>IFERROR(INDEX(Clay_Offices!$A$2:$FZ$601,B455,$C$8)&amp;"","")</f>
        <v/>
      </c>
      <c r="F455" s="17">
        <f>IF(C455="","",IF(COUNTIF(Office_Log!$A$2:$A$201,C455)&gt;0,"Y","N"))</f>
        <v/>
      </c>
      <c r="G455" s="17">
        <f>IF(OR(C455="",AND(LEFT(C455,6)="SAMPLE",Config!$B$19&lt;&gt;"Y")),"",IF(IFERROR(INDEX(Lists!$J$2:$J$15,MATCH(D455,Lists!$I$2:$I$15,0)),-1)=-1,"status '"&amp;D455&amp;"' is not a CONTRACTS status",IF(AND(D455="signed",COUNTIF(signed_offices!$W$2:$W$51,C455)=0),"status signed but no signed_offices row"&amp;IF(F455="N"," and no tracker row",""),IF(AND(IFERROR(INDEX(Lists!$J$2:$J$15,MATCH(D455,Lists!$I$2:$I$15,0)),-1)&gt;=6,F455="N"),"status "&amp;D455&amp;" but no tracker row",IF(AND(E455="Y",D455&lt;&gt;"do_not_contact"),"do_not_contact = Y but status is "&amp;D455,IF(AND(D455="do_not_contact",E455&lt;&gt;"Y"),"status do_not_contact but do_not_contact is not Y",""))))))</f>
        <v/>
      </c>
      <c r="I455" s="17" t="n">
        <v>434</v>
      </c>
      <c r="J455" s="17">
        <f>IFERROR(INDEX(Clay_Brands!$A$2:$FZ$601,I455,$D$5)&amp;"","")</f>
        <v/>
      </c>
      <c r="K455" s="17">
        <f>IFERROR(INDEX(Clay_Brands!$A$2:$FZ$601,I455,$D$7)&amp;"","")</f>
        <v/>
      </c>
      <c r="L455" s="17">
        <f>IFERROR(INDEX(Clay_Brands!$A$2:$FZ$601,I455,$D$8)&amp;"","")</f>
        <v/>
      </c>
      <c r="M455" s="17">
        <f>IF(J455="","",IF(COUNTIF(Brand_Log!$A$2:$A$201,J455)&gt;0,"Y","N"))</f>
        <v/>
      </c>
      <c r="N455" s="17">
        <f>IF(OR(J455="",AND(LEFT(J455,6)="SAMPLE",Config!$B$19&lt;&gt;"Y")),"",IF(IFERROR(INDEX(Lists!$J$2:$J$15,MATCH(K455,Lists!$I$2:$I$15,0)),-1)=-1,"status '"&amp;K455&amp;"' is not a CONTRACTS status",IF(AND(K455="paid",COUNTIF(paid_brands!$AC$2:$AC$51,J455)=0),"status paid but no paid_brands row"&amp;IF(M455="N"," and no tracker row",""),IF(AND(IFERROR(INDEX(Lists!$J$2:$J$15,MATCH(K455,Lists!$I$2:$I$15,0)),-1)&gt;=6,M455="N"),"status "&amp;K455&amp;" but no tracker row",IF(AND(L455="Y",K455&lt;&gt;"do_not_contact"),"do_not_contact = Y but status is "&amp;K455,IF(AND(K455="do_not_contact",L455&lt;&gt;"Y"),"status do_not_contact but do_not_contact is not Y",""))))))</f>
        <v/>
      </c>
    </row>
    <row r="456">
      <c r="B456" s="17" t="n">
        <v>435</v>
      </c>
      <c r="C456" s="17">
        <f>IFERROR(INDEX(Clay_Offices!$A$2:$FZ$601,B456,$C$5)&amp;"","")</f>
        <v/>
      </c>
      <c r="D456" s="17">
        <f>IFERROR(INDEX(Clay_Offices!$A$2:$FZ$601,B456,$C$7)&amp;"","")</f>
        <v/>
      </c>
      <c r="E456" s="17">
        <f>IFERROR(INDEX(Clay_Offices!$A$2:$FZ$601,B456,$C$8)&amp;"","")</f>
        <v/>
      </c>
      <c r="F456" s="17">
        <f>IF(C456="","",IF(COUNTIF(Office_Log!$A$2:$A$201,C456)&gt;0,"Y","N"))</f>
        <v/>
      </c>
      <c r="G456" s="17">
        <f>IF(OR(C456="",AND(LEFT(C456,6)="SAMPLE",Config!$B$19&lt;&gt;"Y")),"",IF(IFERROR(INDEX(Lists!$J$2:$J$15,MATCH(D456,Lists!$I$2:$I$15,0)),-1)=-1,"status '"&amp;D456&amp;"' is not a CONTRACTS status",IF(AND(D456="signed",COUNTIF(signed_offices!$W$2:$W$51,C456)=0),"status signed but no signed_offices row"&amp;IF(F456="N"," and no tracker row",""),IF(AND(IFERROR(INDEX(Lists!$J$2:$J$15,MATCH(D456,Lists!$I$2:$I$15,0)),-1)&gt;=6,F456="N"),"status "&amp;D456&amp;" but no tracker row",IF(AND(E456="Y",D456&lt;&gt;"do_not_contact"),"do_not_contact = Y but status is "&amp;D456,IF(AND(D456="do_not_contact",E456&lt;&gt;"Y"),"status do_not_contact but do_not_contact is not Y",""))))))</f>
        <v/>
      </c>
      <c r="I456" s="17" t="n">
        <v>435</v>
      </c>
      <c r="J456" s="17">
        <f>IFERROR(INDEX(Clay_Brands!$A$2:$FZ$601,I456,$D$5)&amp;"","")</f>
        <v/>
      </c>
      <c r="K456" s="17">
        <f>IFERROR(INDEX(Clay_Brands!$A$2:$FZ$601,I456,$D$7)&amp;"","")</f>
        <v/>
      </c>
      <c r="L456" s="17">
        <f>IFERROR(INDEX(Clay_Brands!$A$2:$FZ$601,I456,$D$8)&amp;"","")</f>
        <v/>
      </c>
      <c r="M456" s="17">
        <f>IF(J456="","",IF(COUNTIF(Brand_Log!$A$2:$A$201,J456)&gt;0,"Y","N"))</f>
        <v/>
      </c>
      <c r="N456" s="17">
        <f>IF(OR(J456="",AND(LEFT(J456,6)="SAMPLE",Config!$B$19&lt;&gt;"Y")),"",IF(IFERROR(INDEX(Lists!$J$2:$J$15,MATCH(K456,Lists!$I$2:$I$15,0)),-1)=-1,"status '"&amp;K456&amp;"' is not a CONTRACTS status",IF(AND(K456="paid",COUNTIF(paid_brands!$AC$2:$AC$51,J456)=0),"status paid but no paid_brands row"&amp;IF(M456="N"," and no tracker row",""),IF(AND(IFERROR(INDEX(Lists!$J$2:$J$15,MATCH(K456,Lists!$I$2:$I$15,0)),-1)&gt;=6,M456="N"),"status "&amp;K456&amp;" but no tracker row",IF(AND(L456="Y",K456&lt;&gt;"do_not_contact"),"do_not_contact = Y but status is "&amp;K456,IF(AND(K456="do_not_contact",L456&lt;&gt;"Y"),"status do_not_contact but do_not_contact is not Y",""))))))</f>
        <v/>
      </c>
    </row>
    <row r="457">
      <c r="B457" s="17" t="n">
        <v>436</v>
      </c>
      <c r="C457" s="17">
        <f>IFERROR(INDEX(Clay_Offices!$A$2:$FZ$601,B457,$C$5)&amp;"","")</f>
        <v/>
      </c>
      <c r="D457" s="17">
        <f>IFERROR(INDEX(Clay_Offices!$A$2:$FZ$601,B457,$C$7)&amp;"","")</f>
        <v/>
      </c>
      <c r="E457" s="17">
        <f>IFERROR(INDEX(Clay_Offices!$A$2:$FZ$601,B457,$C$8)&amp;"","")</f>
        <v/>
      </c>
      <c r="F457" s="17">
        <f>IF(C457="","",IF(COUNTIF(Office_Log!$A$2:$A$201,C457)&gt;0,"Y","N"))</f>
        <v/>
      </c>
      <c r="G457" s="17">
        <f>IF(OR(C457="",AND(LEFT(C457,6)="SAMPLE",Config!$B$19&lt;&gt;"Y")),"",IF(IFERROR(INDEX(Lists!$J$2:$J$15,MATCH(D457,Lists!$I$2:$I$15,0)),-1)=-1,"status '"&amp;D457&amp;"' is not a CONTRACTS status",IF(AND(D457="signed",COUNTIF(signed_offices!$W$2:$W$51,C457)=0),"status signed but no signed_offices row"&amp;IF(F457="N"," and no tracker row",""),IF(AND(IFERROR(INDEX(Lists!$J$2:$J$15,MATCH(D457,Lists!$I$2:$I$15,0)),-1)&gt;=6,F457="N"),"status "&amp;D457&amp;" but no tracker row",IF(AND(E457="Y",D457&lt;&gt;"do_not_contact"),"do_not_contact = Y but status is "&amp;D457,IF(AND(D457="do_not_contact",E457&lt;&gt;"Y"),"status do_not_contact but do_not_contact is not Y",""))))))</f>
        <v/>
      </c>
      <c r="I457" s="17" t="n">
        <v>436</v>
      </c>
      <c r="J457" s="17">
        <f>IFERROR(INDEX(Clay_Brands!$A$2:$FZ$601,I457,$D$5)&amp;"","")</f>
        <v/>
      </c>
      <c r="K457" s="17">
        <f>IFERROR(INDEX(Clay_Brands!$A$2:$FZ$601,I457,$D$7)&amp;"","")</f>
        <v/>
      </c>
      <c r="L457" s="17">
        <f>IFERROR(INDEX(Clay_Brands!$A$2:$FZ$601,I457,$D$8)&amp;"","")</f>
        <v/>
      </c>
      <c r="M457" s="17">
        <f>IF(J457="","",IF(COUNTIF(Brand_Log!$A$2:$A$201,J457)&gt;0,"Y","N"))</f>
        <v/>
      </c>
      <c r="N457" s="17">
        <f>IF(OR(J457="",AND(LEFT(J457,6)="SAMPLE",Config!$B$19&lt;&gt;"Y")),"",IF(IFERROR(INDEX(Lists!$J$2:$J$15,MATCH(K457,Lists!$I$2:$I$15,0)),-1)=-1,"status '"&amp;K457&amp;"' is not a CONTRACTS status",IF(AND(K457="paid",COUNTIF(paid_brands!$AC$2:$AC$51,J457)=0),"status paid but no paid_brands row"&amp;IF(M457="N"," and no tracker row",""),IF(AND(IFERROR(INDEX(Lists!$J$2:$J$15,MATCH(K457,Lists!$I$2:$I$15,0)),-1)&gt;=6,M457="N"),"status "&amp;K457&amp;" but no tracker row",IF(AND(L457="Y",K457&lt;&gt;"do_not_contact"),"do_not_contact = Y but status is "&amp;K457,IF(AND(K457="do_not_contact",L457&lt;&gt;"Y"),"status do_not_contact but do_not_contact is not Y",""))))))</f>
        <v/>
      </c>
    </row>
    <row r="458">
      <c r="B458" s="17" t="n">
        <v>437</v>
      </c>
      <c r="C458" s="17">
        <f>IFERROR(INDEX(Clay_Offices!$A$2:$FZ$601,B458,$C$5)&amp;"","")</f>
        <v/>
      </c>
      <c r="D458" s="17">
        <f>IFERROR(INDEX(Clay_Offices!$A$2:$FZ$601,B458,$C$7)&amp;"","")</f>
        <v/>
      </c>
      <c r="E458" s="17">
        <f>IFERROR(INDEX(Clay_Offices!$A$2:$FZ$601,B458,$C$8)&amp;"","")</f>
        <v/>
      </c>
      <c r="F458" s="17">
        <f>IF(C458="","",IF(COUNTIF(Office_Log!$A$2:$A$201,C458)&gt;0,"Y","N"))</f>
        <v/>
      </c>
      <c r="G458" s="17">
        <f>IF(OR(C458="",AND(LEFT(C458,6)="SAMPLE",Config!$B$19&lt;&gt;"Y")),"",IF(IFERROR(INDEX(Lists!$J$2:$J$15,MATCH(D458,Lists!$I$2:$I$15,0)),-1)=-1,"status '"&amp;D458&amp;"' is not a CONTRACTS status",IF(AND(D458="signed",COUNTIF(signed_offices!$W$2:$W$51,C458)=0),"status signed but no signed_offices row"&amp;IF(F458="N"," and no tracker row",""),IF(AND(IFERROR(INDEX(Lists!$J$2:$J$15,MATCH(D458,Lists!$I$2:$I$15,0)),-1)&gt;=6,F458="N"),"status "&amp;D458&amp;" but no tracker row",IF(AND(E458="Y",D458&lt;&gt;"do_not_contact"),"do_not_contact = Y but status is "&amp;D458,IF(AND(D458="do_not_contact",E458&lt;&gt;"Y"),"status do_not_contact but do_not_contact is not Y",""))))))</f>
        <v/>
      </c>
      <c r="I458" s="17" t="n">
        <v>437</v>
      </c>
      <c r="J458" s="17">
        <f>IFERROR(INDEX(Clay_Brands!$A$2:$FZ$601,I458,$D$5)&amp;"","")</f>
        <v/>
      </c>
      <c r="K458" s="17">
        <f>IFERROR(INDEX(Clay_Brands!$A$2:$FZ$601,I458,$D$7)&amp;"","")</f>
        <v/>
      </c>
      <c r="L458" s="17">
        <f>IFERROR(INDEX(Clay_Brands!$A$2:$FZ$601,I458,$D$8)&amp;"","")</f>
        <v/>
      </c>
      <c r="M458" s="17">
        <f>IF(J458="","",IF(COUNTIF(Brand_Log!$A$2:$A$201,J458)&gt;0,"Y","N"))</f>
        <v/>
      </c>
      <c r="N458" s="17">
        <f>IF(OR(J458="",AND(LEFT(J458,6)="SAMPLE",Config!$B$19&lt;&gt;"Y")),"",IF(IFERROR(INDEX(Lists!$J$2:$J$15,MATCH(K458,Lists!$I$2:$I$15,0)),-1)=-1,"status '"&amp;K458&amp;"' is not a CONTRACTS status",IF(AND(K458="paid",COUNTIF(paid_brands!$AC$2:$AC$51,J458)=0),"status paid but no paid_brands row"&amp;IF(M458="N"," and no tracker row",""),IF(AND(IFERROR(INDEX(Lists!$J$2:$J$15,MATCH(K458,Lists!$I$2:$I$15,0)),-1)&gt;=6,M458="N"),"status "&amp;K458&amp;" but no tracker row",IF(AND(L458="Y",K458&lt;&gt;"do_not_contact"),"do_not_contact = Y but status is "&amp;K458,IF(AND(K458="do_not_contact",L458&lt;&gt;"Y"),"status do_not_contact but do_not_contact is not Y",""))))))</f>
        <v/>
      </c>
    </row>
    <row r="459">
      <c r="B459" s="17" t="n">
        <v>438</v>
      </c>
      <c r="C459" s="17">
        <f>IFERROR(INDEX(Clay_Offices!$A$2:$FZ$601,B459,$C$5)&amp;"","")</f>
        <v/>
      </c>
      <c r="D459" s="17">
        <f>IFERROR(INDEX(Clay_Offices!$A$2:$FZ$601,B459,$C$7)&amp;"","")</f>
        <v/>
      </c>
      <c r="E459" s="17">
        <f>IFERROR(INDEX(Clay_Offices!$A$2:$FZ$601,B459,$C$8)&amp;"","")</f>
        <v/>
      </c>
      <c r="F459" s="17">
        <f>IF(C459="","",IF(COUNTIF(Office_Log!$A$2:$A$201,C459)&gt;0,"Y","N"))</f>
        <v/>
      </c>
      <c r="G459" s="17">
        <f>IF(OR(C459="",AND(LEFT(C459,6)="SAMPLE",Config!$B$19&lt;&gt;"Y")),"",IF(IFERROR(INDEX(Lists!$J$2:$J$15,MATCH(D459,Lists!$I$2:$I$15,0)),-1)=-1,"status '"&amp;D459&amp;"' is not a CONTRACTS status",IF(AND(D459="signed",COUNTIF(signed_offices!$W$2:$W$51,C459)=0),"status signed but no signed_offices row"&amp;IF(F459="N"," and no tracker row",""),IF(AND(IFERROR(INDEX(Lists!$J$2:$J$15,MATCH(D459,Lists!$I$2:$I$15,0)),-1)&gt;=6,F459="N"),"status "&amp;D459&amp;" but no tracker row",IF(AND(E459="Y",D459&lt;&gt;"do_not_contact"),"do_not_contact = Y but status is "&amp;D459,IF(AND(D459="do_not_contact",E459&lt;&gt;"Y"),"status do_not_contact but do_not_contact is not Y",""))))))</f>
        <v/>
      </c>
      <c r="I459" s="17" t="n">
        <v>438</v>
      </c>
      <c r="J459" s="17">
        <f>IFERROR(INDEX(Clay_Brands!$A$2:$FZ$601,I459,$D$5)&amp;"","")</f>
        <v/>
      </c>
      <c r="K459" s="17">
        <f>IFERROR(INDEX(Clay_Brands!$A$2:$FZ$601,I459,$D$7)&amp;"","")</f>
        <v/>
      </c>
      <c r="L459" s="17">
        <f>IFERROR(INDEX(Clay_Brands!$A$2:$FZ$601,I459,$D$8)&amp;"","")</f>
        <v/>
      </c>
      <c r="M459" s="17">
        <f>IF(J459="","",IF(COUNTIF(Brand_Log!$A$2:$A$201,J459)&gt;0,"Y","N"))</f>
        <v/>
      </c>
      <c r="N459" s="17">
        <f>IF(OR(J459="",AND(LEFT(J459,6)="SAMPLE",Config!$B$19&lt;&gt;"Y")),"",IF(IFERROR(INDEX(Lists!$J$2:$J$15,MATCH(K459,Lists!$I$2:$I$15,0)),-1)=-1,"status '"&amp;K459&amp;"' is not a CONTRACTS status",IF(AND(K459="paid",COUNTIF(paid_brands!$AC$2:$AC$51,J459)=0),"status paid but no paid_brands row"&amp;IF(M459="N"," and no tracker row",""),IF(AND(IFERROR(INDEX(Lists!$J$2:$J$15,MATCH(K459,Lists!$I$2:$I$15,0)),-1)&gt;=6,M459="N"),"status "&amp;K459&amp;" but no tracker row",IF(AND(L459="Y",K459&lt;&gt;"do_not_contact"),"do_not_contact = Y but status is "&amp;K459,IF(AND(K459="do_not_contact",L459&lt;&gt;"Y"),"status do_not_contact but do_not_contact is not Y",""))))))</f>
        <v/>
      </c>
    </row>
    <row r="460">
      <c r="B460" s="17" t="n">
        <v>439</v>
      </c>
      <c r="C460" s="17">
        <f>IFERROR(INDEX(Clay_Offices!$A$2:$FZ$601,B460,$C$5)&amp;"","")</f>
        <v/>
      </c>
      <c r="D460" s="17">
        <f>IFERROR(INDEX(Clay_Offices!$A$2:$FZ$601,B460,$C$7)&amp;"","")</f>
        <v/>
      </c>
      <c r="E460" s="17">
        <f>IFERROR(INDEX(Clay_Offices!$A$2:$FZ$601,B460,$C$8)&amp;"","")</f>
        <v/>
      </c>
      <c r="F460" s="17">
        <f>IF(C460="","",IF(COUNTIF(Office_Log!$A$2:$A$201,C460)&gt;0,"Y","N"))</f>
        <v/>
      </c>
      <c r="G460" s="17">
        <f>IF(OR(C460="",AND(LEFT(C460,6)="SAMPLE",Config!$B$19&lt;&gt;"Y")),"",IF(IFERROR(INDEX(Lists!$J$2:$J$15,MATCH(D460,Lists!$I$2:$I$15,0)),-1)=-1,"status '"&amp;D460&amp;"' is not a CONTRACTS status",IF(AND(D460="signed",COUNTIF(signed_offices!$W$2:$W$51,C460)=0),"status signed but no signed_offices row"&amp;IF(F460="N"," and no tracker row",""),IF(AND(IFERROR(INDEX(Lists!$J$2:$J$15,MATCH(D460,Lists!$I$2:$I$15,0)),-1)&gt;=6,F460="N"),"status "&amp;D460&amp;" but no tracker row",IF(AND(E460="Y",D460&lt;&gt;"do_not_contact"),"do_not_contact = Y but status is "&amp;D460,IF(AND(D460="do_not_contact",E460&lt;&gt;"Y"),"status do_not_contact but do_not_contact is not Y",""))))))</f>
        <v/>
      </c>
      <c r="I460" s="17" t="n">
        <v>439</v>
      </c>
      <c r="J460" s="17">
        <f>IFERROR(INDEX(Clay_Brands!$A$2:$FZ$601,I460,$D$5)&amp;"","")</f>
        <v/>
      </c>
      <c r="K460" s="17">
        <f>IFERROR(INDEX(Clay_Brands!$A$2:$FZ$601,I460,$D$7)&amp;"","")</f>
        <v/>
      </c>
      <c r="L460" s="17">
        <f>IFERROR(INDEX(Clay_Brands!$A$2:$FZ$601,I460,$D$8)&amp;"","")</f>
        <v/>
      </c>
      <c r="M460" s="17">
        <f>IF(J460="","",IF(COUNTIF(Brand_Log!$A$2:$A$201,J460)&gt;0,"Y","N"))</f>
        <v/>
      </c>
      <c r="N460" s="17">
        <f>IF(OR(J460="",AND(LEFT(J460,6)="SAMPLE",Config!$B$19&lt;&gt;"Y")),"",IF(IFERROR(INDEX(Lists!$J$2:$J$15,MATCH(K460,Lists!$I$2:$I$15,0)),-1)=-1,"status '"&amp;K460&amp;"' is not a CONTRACTS status",IF(AND(K460="paid",COUNTIF(paid_brands!$AC$2:$AC$51,J460)=0),"status paid but no paid_brands row"&amp;IF(M460="N"," and no tracker row",""),IF(AND(IFERROR(INDEX(Lists!$J$2:$J$15,MATCH(K460,Lists!$I$2:$I$15,0)),-1)&gt;=6,M460="N"),"status "&amp;K460&amp;" but no tracker row",IF(AND(L460="Y",K460&lt;&gt;"do_not_contact"),"do_not_contact = Y but status is "&amp;K460,IF(AND(K460="do_not_contact",L460&lt;&gt;"Y"),"status do_not_contact but do_not_contact is not Y",""))))))</f>
        <v/>
      </c>
    </row>
    <row r="461">
      <c r="B461" s="17" t="n">
        <v>440</v>
      </c>
      <c r="C461" s="17">
        <f>IFERROR(INDEX(Clay_Offices!$A$2:$FZ$601,B461,$C$5)&amp;"","")</f>
        <v/>
      </c>
      <c r="D461" s="17">
        <f>IFERROR(INDEX(Clay_Offices!$A$2:$FZ$601,B461,$C$7)&amp;"","")</f>
        <v/>
      </c>
      <c r="E461" s="17">
        <f>IFERROR(INDEX(Clay_Offices!$A$2:$FZ$601,B461,$C$8)&amp;"","")</f>
        <v/>
      </c>
      <c r="F461" s="17">
        <f>IF(C461="","",IF(COUNTIF(Office_Log!$A$2:$A$201,C461)&gt;0,"Y","N"))</f>
        <v/>
      </c>
      <c r="G461" s="17">
        <f>IF(OR(C461="",AND(LEFT(C461,6)="SAMPLE",Config!$B$19&lt;&gt;"Y")),"",IF(IFERROR(INDEX(Lists!$J$2:$J$15,MATCH(D461,Lists!$I$2:$I$15,0)),-1)=-1,"status '"&amp;D461&amp;"' is not a CONTRACTS status",IF(AND(D461="signed",COUNTIF(signed_offices!$W$2:$W$51,C461)=0),"status signed but no signed_offices row"&amp;IF(F461="N"," and no tracker row",""),IF(AND(IFERROR(INDEX(Lists!$J$2:$J$15,MATCH(D461,Lists!$I$2:$I$15,0)),-1)&gt;=6,F461="N"),"status "&amp;D461&amp;" but no tracker row",IF(AND(E461="Y",D461&lt;&gt;"do_not_contact"),"do_not_contact = Y but status is "&amp;D461,IF(AND(D461="do_not_contact",E461&lt;&gt;"Y"),"status do_not_contact but do_not_contact is not Y",""))))))</f>
        <v/>
      </c>
      <c r="I461" s="17" t="n">
        <v>440</v>
      </c>
      <c r="J461" s="17">
        <f>IFERROR(INDEX(Clay_Brands!$A$2:$FZ$601,I461,$D$5)&amp;"","")</f>
        <v/>
      </c>
      <c r="K461" s="17">
        <f>IFERROR(INDEX(Clay_Brands!$A$2:$FZ$601,I461,$D$7)&amp;"","")</f>
        <v/>
      </c>
      <c r="L461" s="17">
        <f>IFERROR(INDEX(Clay_Brands!$A$2:$FZ$601,I461,$D$8)&amp;"","")</f>
        <v/>
      </c>
      <c r="M461" s="17">
        <f>IF(J461="","",IF(COUNTIF(Brand_Log!$A$2:$A$201,J461)&gt;0,"Y","N"))</f>
        <v/>
      </c>
      <c r="N461" s="17">
        <f>IF(OR(J461="",AND(LEFT(J461,6)="SAMPLE",Config!$B$19&lt;&gt;"Y")),"",IF(IFERROR(INDEX(Lists!$J$2:$J$15,MATCH(K461,Lists!$I$2:$I$15,0)),-1)=-1,"status '"&amp;K461&amp;"' is not a CONTRACTS status",IF(AND(K461="paid",COUNTIF(paid_brands!$AC$2:$AC$51,J461)=0),"status paid but no paid_brands row"&amp;IF(M461="N"," and no tracker row",""),IF(AND(IFERROR(INDEX(Lists!$J$2:$J$15,MATCH(K461,Lists!$I$2:$I$15,0)),-1)&gt;=6,M461="N"),"status "&amp;K461&amp;" but no tracker row",IF(AND(L461="Y",K461&lt;&gt;"do_not_contact"),"do_not_contact = Y but status is "&amp;K461,IF(AND(K461="do_not_contact",L461&lt;&gt;"Y"),"status do_not_contact but do_not_contact is not Y",""))))))</f>
        <v/>
      </c>
    </row>
    <row r="462">
      <c r="B462" s="17" t="n">
        <v>441</v>
      </c>
      <c r="C462" s="17">
        <f>IFERROR(INDEX(Clay_Offices!$A$2:$FZ$601,B462,$C$5)&amp;"","")</f>
        <v/>
      </c>
      <c r="D462" s="17">
        <f>IFERROR(INDEX(Clay_Offices!$A$2:$FZ$601,B462,$C$7)&amp;"","")</f>
        <v/>
      </c>
      <c r="E462" s="17">
        <f>IFERROR(INDEX(Clay_Offices!$A$2:$FZ$601,B462,$C$8)&amp;"","")</f>
        <v/>
      </c>
      <c r="F462" s="17">
        <f>IF(C462="","",IF(COUNTIF(Office_Log!$A$2:$A$201,C462)&gt;0,"Y","N"))</f>
        <v/>
      </c>
      <c r="G462" s="17">
        <f>IF(OR(C462="",AND(LEFT(C462,6)="SAMPLE",Config!$B$19&lt;&gt;"Y")),"",IF(IFERROR(INDEX(Lists!$J$2:$J$15,MATCH(D462,Lists!$I$2:$I$15,0)),-1)=-1,"status '"&amp;D462&amp;"' is not a CONTRACTS status",IF(AND(D462="signed",COUNTIF(signed_offices!$W$2:$W$51,C462)=0),"status signed but no signed_offices row"&amp;IF(F462="N"," and no tracker row",""),IF(AND(IFERROR(INDEX(Lists!$J$2:$J$15,MATCH(D462,Lists!$I$2:$I$15,0)),-1)&gt;=6,F462="N"),"status "&amp;D462&amp;" but no tracker row",IF(AND(E462="Y",D462&lt;&gt;"do_not_contact"),"do_not_contact = Y but status is "&amp;D462,IF(AND(D462="do_not_contact",E462&lt;&gt;"Y"),"status do_not_contact but do_not_contact is not Y",""))))))</f>
        <v/>
      </c>
      <c r="I462" s="17" t="n">
        <v>441</v>
      </c>
      <c r="J462" s="17">
        <f>IFERROR(INDEX(Clay_Brands!$A$2:$FZ$601,I462,$D$5)&amp;"","")</f>
        <v/>
      </c>
      <c r="K462" s="17">
        <f>IFERROR(INDEX(Clay_Brands!$A$2:$FZ$601,I462,$D$7)&amp;"","")</f>
        <v/>
      </c>
      <c r="L462" s="17">
        <f>IFERROR(INDEX(Clay_Brands!$A$2:$FZ$601,I462,$D$8)&amp;"","")</f>
        <v/>
      </c>
      <c r="M462" s="17">
        <f>IF(J462="","",IF(COUNTIF(Brand_Log!$A$2:$A$201,J462)&gt;0,"Y","N"))</f>
        <v/>
      </c>
      <c r="N462" s="17">
        <f>IF(OR(J462="",AND(LEFT(J462,6)="SAMPLE",Config!$B$19&lt;&gt;"Y")),"",IF(IFERROR(INDEX(Lists!$J$2:$J$15,MATCH(K462,Lists!$I$2:$I$15,0)),-1)=-1,"status '"&amp;K462&amp;"' is not a CONTRACTS status",IF(AND(K462="paid",COUNTIF(paid_brands!$AC$2:$AC$51,J462)=0),"status paid but no paid_brands row"&amp;IF(M462="N"," and no tracker row",""),IF(AND(IFERROR(INDEX(Lists!$J$2:$J$15,MATCH(K462,Lists!$I$2:$I$15,0)),-1)&gt;=6,M462="N"),"status "&amp;K462&amp;" but no tracker row",IF(AND(L462="Y",K462&lt;&gt;"do_not_contact"),"do_not_contact = Y but status is "&amp;K462,IF(AND(K462="do_not_contact",L462&lt;&gt;"Y"),"status do_not_contact but do_not_contact is not Y",""))))))</f>
        <v/>
      </c>
    </row>
    <row r="463">
      <c r="B463" s="17" t="n">
        <v>442</v>
      </c>
      <c r="C463" s="17">
        <f>IFERROR(INDEX(Clay_Offices!$A$2:$FZ$601,B463,$C$5)&amp;"","")</f>
        <v/>
      </c>
      <c r="D463" s="17">
        <f>IFERROR(INDEX(Clay_Offices!$A$2:$FZ$601,B463,$C$7)&amp;"","")</f>
        <v/>
      </c>
      <c r="E463" s="17">
        <f>IFERROR(INDEX(Clay_Offices!$A$2:$FZ$601,B463,$C$8)&amp;"","")</f>
        <v/>
      </c>
      <c r="F463" s="17">
        <f>IF(C463="","",IF(COUNTIF(Office_Log!$A$2:$A$201,C463)&gt;0,"Y","N"))</f>
        <v/>
      </c>
      <c r="G463" s="17">
        <f>IF(OR(C463="",AND(LEFT(C463,6)="SAMPLE",Config!$B$19&lt;&gt;"Y")),"",IF(IFERROR(INDEX(Lists!$J$2:$J$15,MATCH(D463,Lists!$I$2:$I$15,0)),-1)=-1,"status '"&amp;D463&amp;"' is not a CONTRACTS status",IF(AND(D463="signed",COUNTIF(signed_offices!$W$2:$W$51,C463)=0),"status signed but no signed_offices row"&amp;IF(F463="N"," and no tracker row",""),IF(AND(IFERROR(INDEX(Lists!$J$2:$J$15,MATCH(D463,Lists!$I$2:$I$15,0)),-1)&gt;=6,F463="N"),"status "&amp;D463&amp;" but no tracker row",IF(AND(E463="Y",D463&lt;&gt;"do_not_contact"),"do_not_contact = Y but status is "&amp;D463,IF(AND(D463="do_not_contact",E463&lt;&gt;"Y"),"status do_not_contact but do_not_contact is not Y",""))))))</f>
        <v/>
      </c>
      <c r="I463" s="17" t="n">
        <v>442</v>
      </c>
      <c r="J463" s="17">
        <f>IFERROR(INDEX(Clay_Brands!$A$2:$FZ$601,I463,$D$5)&amp;"","")</f>
        <v/>
      </c>
      <c r="K463" s="17">
        <f>IFERROR(INDEX(Clay_Brands!$A$2:$FZ$601,I463,$D$7)&amp;"","")</f>
        <v/>
      </c>
      <c r="L463" s="17">
        <f>IFERROR(INDEX(Clay_Brands!$A$2:$FZ$601,I463,$D$8)&amp;"","")</f>
        <v/>
      </c>
      <c r="M463" s="17">
        <f>IF(J463="","",IF(COUNTIF(Brand_Log!$A$2:$A$201,J463)&gt;0,"Y","N"))</f>
        <v/>
      </c>
      <c r="N463" s="17">
        <f>IF(OR(J463="",AND(LEFT(J463,6)="SAMPLE",Config!$B$19&lt;&gt;"Y")),"",IF(IFERROR(INDEX(Lists!$J$2:$J$15,MATCH(K463,Lists!$I$2:$I$15,0)),-1)=-1,"status '"&amp;K463&amp;"' is not a CONTRACTS status",IF(AND(K463="paid",COUNTIF(paid_brands!$AC$2:$AC$51,J463)=0),"status paid but no paid_brands row"&amp;IF(M463="N"," and no tracker row",""),IF(AND(IFERROR(INDEX(Lists!$J$2:$J$15,MATCH(K463,Lists!$I$2:$I$15,0)),-1)&gt;=6,M463="N"),"status "&amp;K463&amp;" but no tracker row",IF(AND(L463="Y",K463&lt;&gt;"do_not_contact"),"do_not_contact = Y but status is "&amp;K463,IF(AND(K463="do_not_contact",L463&lt;&gt;"Y"),"status do_not_contact but do_not_contact is not Y",""))))))</f>
        <v/>
      </c>
    </row>
    <row r="464">
      <c r="B464" s="17" t="n">
        <v>443</v>
      </c>
      <c r="C464" s="17">
        <f>IFERROR(INDEX(Clay_Offices!$A$2:$FZ$601,B464,$C$5)&amp;"","")</f>
        <v/>
      </c>
      <c r="D464" s="17">
        <f>IFERROR(INDEX(Clay_Offices!$A$2:$FZ$601,B464,$C$7)&amp;"","")</f>
        <v/>
      </c>
      <c r="E464" s="17">
        <f>IFERROR(INDEX(Clay_Offices!$A$2:$FZ$601,B464,$C$8)&amp;"","")</f>
        <v/>
      </c>
      <c r="F464" s="17">
        <f>IF(C464="","",IF(COUNTIF(Office_Log!$A$2:$A$201,C464)&gt;0,"Y","N"))</f>
        <v/>
      </c>
      <c r="G464" s="17">
        <f>IF(OR(C464="",AND(LEFT(C464,6)="SAMPLE",Config!$B$19&lt;&gt;"Y")),"",IF(IFERROR(INDEX(Lists!$J$2:$J$15,MATCH(D464,Lists!$I$2:$I$15,0)),-1)=-1,"status '"&amp;D464&amp;"' is not a CONTRACTS status",IF(AND(D464="signed",COUNTIF(signed_offices!$W$2:$W$51,C464)=0),"status signed but no signed_offices row"&amp;IF(F464="N"," and no tracker row",""),IF(AND(IFERROR(INDEX(Lists!$J$2:$J$15,MATCH(D464,Lists!$I$2:$I$15,0)),-1)&gt;=6,F464="N"),"status "&amp;D464&amp;" but no tracker row",IF(AND(E464="Y",D464&lt;&gt;"do_not_contact"),"do_not_contact = Y but status is "&amp;D464,IF(AND(D464="do_not_contact",E464&lt;&gt;"Y"),"status do_not_contact but do_not_contact is not Y",""))))))</f>
        <v/>
      </c>
      <c r="I464" s="17" t="n">
        <v>443</v>
      </c>
      <c r="J464" s="17">
        <f>IFERROR(INDEX(Clay_Brands!$A$2:$FZ$601,I464,$D$5)&amp;"","")</f>
        <v/>
      </c>
      <c r="K464" s="17">
        <f>IFERROR(INDEX(Clay_Brands!$A$2:$FZ$601,I464,$D$7)&amp;"","")</f>
        <v/>
      </c>
      <c r="L464" s="17">
        <f>IFERROR(INDEX(Clay_Brands!$A$2:$FZ$601,I464,$D$8)&amp;"","")</f>
        <v/>
      </c>
      <c r="M464" s="17">
        <f>IF(J464="","",IF(COUNTIF(Brand_Log!$A$2:$A$201,J464)&gt;0,"Y","N"))</f>
        <v/>
      </c>
      <c r="N464" s="17">
        <f>IF(OR(J464="",AND(LEFT(J464,6)="SAMPLE",Config!$B$19&lt;&gt;"Y")),"",IF(IFERROR(INDEX(Lists!$J$2:$J$15,MATCH(K464,Lists!$I$2:$I$15,0)),-1)=-1,"status '"&amp;K464&amp;"' is not a CONTRACTS status",IF(AND(K464="paid",COUNTIF(paid_brands!$AC$2:$AC$51,J464)=0),"status paid but no paid_brands row"&amp;IF(M464="N"," and no tracker row",""),IF(AND(IFERROR(INDEX(Lists!$J$2:$J$15,MATCH(K464,Lists!$I$2:$I$15,0)),-1)&gt;=6,M464="N"),"status "&amp;K464&amp;" but no tracker row",IF(AND(L464="Y",K464&lt;&gt;"do_not_contact"),"do_not_contact = Y but status is "&amp;K464,IF(AND(K464="do_not_contact",L464&lt;&gt;"Y"),"status do_not_contact but do_not_contact is not Y",""))))))</f>
        <v/>
      </c>
    </row>
    <row r="465">
      <c r="B465" s="17" t="n">
        <v>444</v>
      </c>
      <c r="C465" s="17">
        <f>IFERROR(INDEX(Clay_Offices!$A$2:$FZ$601,B465,$C$5)&amp;"","")</f>
        <v/>
      </c>
      <c r="D465" s="17">
        <f>IFERROR(INDEX(Clay_Offices!$A$2:$FZ$601,B465,$C$7)&amp;"","")</f>
        <v/>
      </c>
      <c r="E465" s="17">
        <f>IFERROR(INDEX(Clay_Offices!$A$2:$FZ$601,B465,$C$8)&amp;"","")</f>
        <v/>
      </c>
      <c r="F465" s="17">
        <f>IF(C465="","",IF(COUNTIF(Office_Log!$A$2:$A$201,C465)&gt;0,"Y","N"))</f>
        <v/>
      </c>
      <c r="G465" s="17">
        <f>IF(OR(C465="",AND(LEFT(C465,6)="SAMPLE",Config!$B$19&lt;&gt;"Y")),"",IF(IFERROR(INDEX(Lists!$J$2:$J$15,MATCH(D465,Lists!$I$2:$I$15,0)),-1)=-1,"status '"&amp;D465&amp;"' is not a CONTRACTS status",IF(AND(D465="signed",COUNTIF(signed_offices!$W$2:$W$51,C465)=0),"status signed but no signed_offices row"&amp;IF(F465="N"," and no tracker row",""),IF(AND(IFERROR(INDEX(Lists!$J$2:$J$15,MATCH(D465,Lists!$I$2:$I$15,0)),-1)&gt;=6,F465="N"),"status "&amp;D465&amp;" but no tracker row",IF(AND(E465="Y",D465&lt;&gt;"do_not_contact"),"do_not_contact = Y but status is "&amp;D465,IF(AND(D465="do_not_contact",E465&lt;&gt;"Y"),"status do_not_contact but do_not_contact is not Y",""))))))</f>
        <v/>
      </c>
      <c r="I465" s="17" t="n">
        <v>444</v>
      </c>
      <c r="J465" s="17">
        <f>IFERROR(INDEX(Clay_Brands!$A$2:$FZ$601,I465,$D$5)&amp;"","")</f>
        <v/>
      </c>
      <c r="K465" s="17">
        <f>IFERROR(INDEX(Clay_Brands!$A$2:$FZ$601,I465,$D$7)&amp;"","")</f>
        <v/>
      </c>
      <c r="L465" s="17">
        <f>IFERROR(INDEX(Clay_Brands!$A$2:$FZ$601,I465,$D$8)&amp;"","")</f>
        <v/>
      </c>
      <c r="M465" s="17">
        <f>IF(J465="","",IF(COUNTIF(Brand_Log!$A$2:$A$201,J465)&gt;0,"Y","N"))</f>
        <v/>
      </c>
      <c r="N465" s="17">
        <f>IF(OR(J465="",AND(LEFT(J465,6)="SAMPLE",Config!$B$19&lt;&gt;"Y")),"",IF(IFERROR(INDEX(Lists!$J$2:$J$15,MATCH(K465,Lists!$I$2:$I$15,0)),-1)=-1,"status '"&amp;K465&amp;"' is not a CONTRACTS status",IF(AND(K465="paid",COUNTIF(paid_brands!$AC$2:$AC$51,J465)=0),"status paid but no paid_brands row"&amp;IF(M465="N"," and no tracker row",""),IF(AND(IFERROR(INDEX(Lists!$J$2:$J$15,MATCH(K465,Lists!$I$2:$I$15,0)),-1)&gt;=6,M465="N"),"status "&amp;K465&amp;" but no tracker row",IF(AND(L465="Y",K465&lt;&gt;"do_not_contact"),"do_not_contact = Y but status is "&amp;K465,IF(AND(K465="do_not_contact",L465&lt;&gt;"Y"),"status do_not_contact but do_not_contact is not Y",""))))))</f>
        <v/>
      </c>
    </row>
    <row r="466">
      <c r="B466" s="17" t="n">
        <v>445</v>
      </c>
      <c r="C466" s="17">
        <f>IFERROR(INDEX(Clay_Offices!$A$2:$FZ$601,B466,$C$5)&amp;"","")</f>
        <v/>
      </c>
      <c r="D466" s="17">
        <f>IFERROR(INDEX(Clay_Offices!$A$2:$FZ$601,B466,$C$7)&amp;"","")</f>
        <v/>
      </c>
      <c r="E466" s="17">
        <f>IFERROR(INDEX(Clay_Offices!$A$2:$FZ$601,B466,$C$8)&amp;"","")</f>
        <v/>
      </c>
      <c r="F466" s="17">
        <f>IF(C466="","",IF(COUNTIF(Office_Log!$A$2:$A$201,C466)&gt;0,"Y","N"))</f>
        <v/>
      </c>
      <c r="G466" s="17">
        <f>IF(OR(C466="",AND(LEFT(C466,6)="SAMPLE",Config!$B$19&lt;&gt;"Y")),"",IF(IFERROR(INDEX(Lists!$J$2:$J$15,MATCH(D466,Lists!$I$2:$I$15,0)),-1)=-1,"status '"&amp;D466&amp;"' is not a CONTRACTS status",IF(AND(D466="signed",COUNTIF(signed_offices!$W$2:$W$51,C466)=0),"status signed but no signed_offices row"&amp;IF(F466="N"," and no tracker row",""),IF(AND(IFERROR(INDEX(Lists!$J$2:$J$15,MATCH(D466,Lists!$I$2:$I$15,0)),-1)&gt;=6,F466="N"),"status "&amp;D466&amp;" but no tracker row",IF(AND(E466="Y",D466&lt;&gt;"do_not_contact"),"do_not_contact = Y but status is "&amp;D466,IF(AND(D466="do_not_contact",E466&lt;&gt;"Y"),"status do_not_contact but do_not_contact is not Y",""))))))</f>
        <v/>
      </c>
      <c r="I466" s="17" t="n">
        <v>445</v>
      </c>
      <c r="J466" s="17">
        <f>IFERROR(INDEX(Clay_Brands!$A$2:$FZ$601,I466,$D$5)&amp;"","")</f>
        <v/>
      </c>
      <c r="K466" s="17">
        <f>IFERROR(INDEX(Clay_Brands!$A$2:$FZ$601,I466,$D$7)&amp;"","")</f>
        <v/>
      </c>
      <c r="L466" s="17">
        <f>IFERROR(INDEX(Clay_Brands!$A$2:$FZ$601,I466,$D$8)&amp;"","")</f>
        <v/>
      </c>
      <c r="M466" s="17">
        <f>IF(J466="","",IF(COUNTIF(Brand_Log!$A$2:$A$201,J466)&gt;0,"Y","N"))</f>
        <v/>
      </c>
      <c r="N466" s="17">
        <f>IF(OR(J466="",AND(LEFT(J466,6)="SAMPLE",Config!$B$19&lt;&gt;"Y")),"",IF(IFERROR(INDEX(Lists!$J$2:$J$15,MATCH(K466,Lists!$I$2:$I$15,0)),-1)=-1,"status '"&amp;K466&amp;"' is not a CONTRACTS status",IF(AND(K466="paid",COUNTIF(paid_brands!$AC$2:$AC$51,J466)=0),"status paid but no paid_brands row"&amp;IF(M466="N"," and no tracker row",""),IF(AND(IFERROR(INDEX(Lists!$J$2:$J$15,MATCH(K466,Lists!$I$2:$I$15,0)),-1)&gt;=6,M466="N"),"status "&amp;K466&amp;" but no tracker row",IF(AND(L466="Y",K466&lt;&gt;"do_not_contact"),"do_not_contact = Y but status is "&amp;K466,IF(AND(K466="do_not_contact",L466&lt;&gt;"Y"),"status do_not_contact but do_not_contact is not Y",""))))))</f>
        <v/>
      </c>
    </row>
    <row r="467">
      <c r="B467" s="17" t="n">
        <v>446</v>
      </c>
      <c r="C467" s="17">
        <f>IFERROR(INDEX(Clay_Offices!$A$2:$FZ$601,B467,$C$5)&amp;"","")</f>
        <v/>
      </c>
      <c r="D467" s="17">
        <f>IFERROR(INDEX(Clay_Offices!$A$2:$FZ$601,B467,$C$7)&amp;"","")</f>
        <v/>
      </c>
      <c r="E467" s="17">
        <f>IFERROR(INDEX(Clay_Offices!$A$2:$FZ$601,B467,$C$8)&amp;"","")</f>
        <v/>
      </c>
      <c r="F467" s="17">
        <f>IF(C467="","",IF(COUNTIF(Office_Log!$A$2:$A$201,C467)&gt;0,"Y","N"))</f>
        <v/>
      </c>
      <c r="G467" s="17">
        <f>IF(OR(C467="",AND(LEFT(C467,6)="SAMPLE",Config!$B$19&lt;&gt;"Y")),"",IF(IFERROR(INDEX(Lists!$J$2:$J$15,MATCH(D467,Lists!$I$2:$I$15,0)),-1)=-1,"status '"&amp;D467&amp;"' is not a CONTRACTS status",IF(AND(D467="signed",COUNTIF(signed_offices!$W$2:$W$51,C467)=0),"status signed but no signed_offices row"&amp;IF(F467="N"," and no tracker row",""),IF(AND(IFERROR(INDEX(Lists!$J$2:$J$15,MATCH(D467,Lists!$I$2:$I$15,0)),-1)&gt;=6,F467="N"),"status "&amp;D467&amp;" but no tracker row",IF(AND(E467="Y",D467&lt;&gt;"do_not_contact"),"do_not_contact = Y but status is "&amp;D467,IF(AND(D467="do_not_contact",E467&lt;&gt;"Y"),"status do_not_contact but do_not_contact is not Y",""))))))</f>
        <v/>
      </c>
      <c r="I467" s="17" t="n">
        <v>446</v>
      </c>
      <c r="J467" s="17">
        <f>IFERROR(INDEX(Clay_Brands!$A$2:$FZ$601,I467,$D$5)&amp;"","")</f>
        <v/>
      </c>
      <c r="K467" s="17">
        <f>IFERROR(INDEX(Clay_Brands!$A$2:$FZ$601,I467,$D$7)&amp;"","")</f>
        <v/>
      </c>
      <c r="L467" s="17">
        <f>IFERROR(INDEX(Clay_Brands!$A$2:$FZ$601,I467,$D$8)&amp;"","")</f>
        <v/>
      </c>
      <c r="M467" s="17">
        <f>IF(J467="","",IF(COUNTIF(Brand_Log!$A$2:$A$201,J467)&gt;0,"Y","N"))</f>
        <v/>
      </c>
      <c r="N467" s="17">
        <f>IF(OR(J467="",AND(LEFT(J467,6)="SAMPLE",Config!$B$19&lt;&gt;"Y")),"",IF(IFERROR(INDEX(Lists!$J$2:$J$15,MATCH(K467,Lists!$I$2:$I$15,0)),-1)=-1,"status '"&amp;K467&amp;"' is not a CONTRACTS status",IF(AND(K467="paid",COUNTIF(paid_brands!$AC$2:$AC$51,J467)=0),"status paid but no paid_brands row"&amp;IF(M467="N"," and no tracker row",""),IF(AND(IFERROR(INDEX(Lists!$J$2:$J$15,MATCH(K467,Lists!$I$2:$I$15,0)),-1)&gt;=6,M467="N"),"status "&amp;K467&amp;" but no tracker row",IF(AND(L467="Y",K467&lt;&gt;"do_not_contact"),"do_not_contact = Y but status is "&amp;K467,IF(AND(K467="do_not_contact",L467&lt;&gt;"Y"),"status do_not_contact but do_not_contact is not Y",""))))))</f>
        <v/>
      </c>
    </row>
    <row r="468">
      <c r="B468" s="17" t="n">
        <v>447</v>
      </c>
      <c r="C468" s="17">
        <f>IFERROR(INDEX(Clay_Offices!$A$2:$FZ$601,B468,$C$5)&amp;"","")</f>
        <v/>
      </c>
      <c r="D468" s="17">
        <f>IFERROR(INDEX(Clay_Offices!$A$2:$FZ$601,B468,$C$7)&amp;"","")</f>
        <v/>
      </c>
      <c r="E468" s="17">
        <f>IFERROR(INDEX(Clay_Offices!$A$2:$FZ$601,B468,$C$8)&amp;"","")</f>
        <v/>
      </c>
      <c r="F468" s="17">
        <f>IF(C468="","",IF(COUNTIF(Office_Log!$A$2:$A$201,C468)&gt;0,"Y","N"))</f>
        <v/>
      </c>
      <c r="G468" s="17">
        <f>IF(OR(C468="",AND(LEFT(C468,6)="SAMPLE",Config!$B$19&lt;&gt;"Y")),"",IF(IFERROR(INDEX(Lists!$J$2:$J$15,MATCH(D468,Lists!$I$2:$I$15,0)),-1)=-1,"status '"&amp;D468&amp;"' is not a CONTRACTS status",IF(AND(D468="signed",COUNTIF(signed_offices!$W$2:$W$51,C468)=0),"status signed but no signed_offices row"&amp;IF(F468="N"," and no tracker row",""),IF(AND(IFERROR(INDEX(Lists!$J$2:$J$15,MATCH(D468,Lists!$I$2:$I$15,0)),-1)&gt;=6,F468="N"),"status "&amp;D468&amp;" but no tracker row",IF(AND(E468="Y",D468&lt;&gt;"do_not_contact"),"do_not_contact = Y but status is "&amp;D468,IF(AND(D468="do_not_contact",E468&lt;&gt;"Y"),"status do_not_contact but do_not_contact is not Y",""))))))</f>
        <v/>
      </c>
      <c r="I468" s="17" t="n">
        <v>447</v>
      </c>
      <c r="J468" s="17">
        <f>IFERROR(INDEX(Clay_Brands!$A$2:$FZ$601,I468,$D$5)&amp;"","")</f>
        <v/>
      </c>
      <c r="K468" s="17">
        <f>IFERROR(INDEX(Clay_Brands!$A$2:$FZ$601,I468,$D$7)&amp;"","")</f>
        <v/>
      </c>
      <c r="L468" s="17">
        <f>IFERROR(INDEX(Clay_Brands!$A$2:$FZ$601,I468,$D$8)&amp;"","")</f>
        <v/>
      </c>
      <c r="M468" s="17">
        <f>IF(J468="","",IF(COUNTIF(Brand_Log!$A$2:$A$201,J468)&gt;0,"Y","N"))</f>
        <v/>
      </c>
      <c r="N468" s="17">
        <f>IF(OR(J468="",AND(LEFT(J468,6)="SAMPLE",Config!$B$19&lt;&gt;"Y")),"",IF(IFERROR(INDEX(Lists!$J$2:$J$15,MATCH(K468,Lists!$I$2:$I$15,0)),-1)=-1,"status '"&amp;K468&amp;"' is not a CONTRACTS status",IF(AND(K468="paid",COUNTIF(paid_brands!$AC$2:$AC$51,J468)=0),"status paid but no paid_brands row"&amp;IF(M468="N"," and no tracker row",""),IF(AND(IFERROR(INDEX(Lists!$J$2:$J$15,MATCH(K468,Lists!$I$2:$I$15,0)),-1)&gt;=6,M468="N"),"status "&amp;K468&amp;" but no tracker row",IF(AND(L468="Y",K468&lt;&gt;"do_not_contact"),"do_not_contact = Y but status is "&amp;K468,IF(AND(K468="do_not_contact",L468&lt;&gt;"Y"),"status do_not_contact but do_not_contact is not Y",""))))))</f>
        <v/>
      </c>
    </row>
    <row r="469">
      <c r="B469" s="17" t="n">
        <v>448</v>
      </c>
      <c r="C469" s="17">
        <f>IFERROR(INDEX(Clay_Offices!$A$2:$FZ$601,B469,$C$5)&amp;"","")</f>
        <v/>
      </c>
      <c r="D469" s="17">
        <f>IFERROR(INDEX(Clay_Offices!$A$2:$FZ$601,B469,$C$7)&amp;"","")</f>
        <v/>
      </c>
      <c r="E469" s="17">
        <f>IFERROR(INDEX(Clay_Offices!$A$2:$FZ$601,B469,$C$8)&amp;"","")</f>
        <v/>
      </c>
      <c r="F469" s="17">
        <f>IF(C469="","",IF(COUNTIF(Office_Log!$A$2:$A$201,C469)&gt;0,"Y","N"))</f>
        <v/>
      </c>
      <c r="G469" s="17">
        <f>IF(OR(C469="",AND(LEFT(C469,6)="SAMPLE",Config!$B$19&lt;&gt;"Y")),"",IF(IFERROR(INDEX(Lists!$J$2:$J$15,MATCH(D469,Lists!$I$2:$I$15,0)),-1)=-1,"status '"&amp;D469&amp;"' is not a CONTRACTS status",IF(AND(D469="signed",COUNTIF(signed_offices!$W$2:$W$51,C469)=0),"status signed but no signed_offices row"&amp;IF(F469="N"," and no tracker row",""),IF(AND(IFERROR(INDEX(Lists!$J$2:$J$15,MATCH(D469,Lists!$I$2:$I$15,0)),-1)&gt;=6,F469="N"),"status "&amp;D469&amp;" but no tracker row",IF(AND(E469="Y",D469&lt;&gt;"do_not_contact"),"do_not_contact = Y but status is "&amp;D469,IF(AND(D469="do_not_contact",E469&lt;&gt;"Y"),"status do_not_contact but do_not_contact is not Y",""))))))</f>
        <v/>
      </c>
      <c r="I469" s="17" t="n">
        <v>448</v>
      </c>
      <c r="J469" s="17">
        <f>IFERROR(INDEX(Clay_Brands!$A$2:$FZ$601,I469,$D$5)&amp;"","")</f>
        <v/>
      </c>
      <c r="K469" s="17">
        <f>IFERROR(INDEX(Clay_Brands!$A$2:$FZ$601,I469,$D$7)&amp;"","")</f>
        <v/>
      </c>
      <c r="L469" s="17">
        <f>IFERROR(INDEX(Clay_Brands!$A$2:$FZ$601,I469,$D$8)&amp;"","")</f>
        <v/>
      </c>
      <c r="M469" s="17">
        <f>IF(J469="","",IF(COUNTIF(Brand_Log!$A$2:$A$201,J469)&gt;0,"Y","N"))</f>
        <v/>
      </c>
      <c r="N469" s="17">
        <f>IF(OR(J469="",AND(LEFT(J469,6)="SAMPLE",Config!$B$19&lt;&gt;"Y")),"",IF(IFERROR(INDEX(Lists!$J$2:$J$15,MATCH(K469,Lists!$I$2:$I$15,0)),-1)=-1,"status '"&amp;K469&amp;"' is not a CONTRACTS status",IF(AND(K469="paid",COUNTIF(paid_brands!$AC$2:$AC$51,J469)=0),"status paid but no paid_brands row"&amp;IF(M469="N"," and no tracker row",""),IF(AND(IFERROR(INDEX(Lists!$J$2:$J$15,MATCH(K469,Lists!$I$2:$I$15,0)),-1)&gt;=6,M469="N"),"status "&amp;K469&amp;" but no tracker row",IF(AND(L469="Y",K469&lt;&gt;"do_not_contact"),"do_not_contact = Y but status is "&amp;K469,IF(AND(K469="do_not_contact",L469&lt;&gt;"Y"),"status do_not_contact but do_not_contact is not Y",""))))))</f>
        <v/>
      </c>
    </row>
    <row r="470">
      <c r="B470" s="17" t="n">
        <v>449</v>
      </c>
      <c r="C470" s="17">
        <f>IFERROR(INDEX(Clay_Offices!$A$2:$FZ$601,B470,$C$5)&amp;"","")</f>
        <v/>
      </c>
      <c r="D470" s="17">
        <f>IFERROR(INDEX(Clay_Offices!$A$2:$FZ$601,B470,$C$7)&amp;"","")</f>
        <v/>
      </c>
      <c r="E470" s="17">
        <f>IFERROR(INDEX(Clay_Offices!$A$2:$FZ$601,B470,$C$8)&amp;"","")</f>
        <v/>
      </c>
      <c r="F470" s="17">
        <f>IF(C470="","",IF(COUNTIF(Office_Log!$A$2:$A$201,C470)&gt;0,"Y","N"))</f>
        <v/>
      </c>
      <c r="G470" s="17">
        <f>IF(OR(C470="",AND(LEFT(C470,6)="SAMPLE",Config!$B$19&lt;&gt;"Y")),"",IF(IFERROR(INDEX(Lists!$J$2:$J$15,MATCH(D470,Lists!$I$2:$I$15,0)),-1)=-1,"status '"&amp;D470&amp;"' is not a CONTRACTS status",IF(AND(D470="signed",COUNTIF(signed_offices!$W$2:$W$51,C470)=0),"status signed but no signed_offices row"&amp;IF(F470="N"," and no tracker row",""),IF(AND(IFERROR(INDEX(Lists!$J$2:$J$15,MATCH(D470,Lists!$I$2:$I$15,0)),-1)&gt;=6,F470="N"),"status "&amp;D470&amp;" but no tracker row",IF(AND(E470="Y",D470&lt;&gt;"do_not_contact"),"do_not_contact = Y but status is "&amp;D470,IF(AND(D470="do_not_contact",E470&lt;&gt;"Y"),"status do_not_contact but do_not_contact is not Y",""))))))</f>
        <v/>
      </c>
      <c r="I470" s="17" t="n">
        <v>449</v>
      </c>
      <c r="J470" s="17">
        <f>IFERROR(INDEX(Clay_Brands!$A$2:$FZ$601,I470,$D$5)&amp;"","")</f>
        <v/>
      </c>
      <c r="K470" s="17">
        <f>IFERROR(INDEX(Clay_Brands!$A$2:$FZ$601,I470,$D$7)&amp;"","")</f>
        <v/>
      </c>
      <c r="L470" s="17">
        <f>IFERROR(INDEX(Clay_Brands!$A$2:$FZ$601,I470,$D$8)&amp;"","")</f>
        <v/>
      </c>
      <c r="M470" s="17">
        <f>IF(J470="","",IF(COUNTIF(Brand_Log!$A$2:$A$201,J470)&gt;0,"Y","N"))</f>
        <v/>
      </c>
      <c r="N470" s="17">
        <f>IF(OR(J470="",AND(LEFT(J470,6)="SAMPLE",Config!$B$19&lt;&gt;"Y")),"",IF(IFERROR(INDEX(Lists!$J$2:$J$15,MATCH(K470,Lists!$I$2:$I$15,0)),-1)=-1,"status '"&amp;K470&amp;"' is not a CONTRACTS status",IF(AND(K470="paid",COUNTIF(paid_brands!$AC$2:$AC$51,J470)=0),"status paid but no paid_brands row"&amp;IF(M470="N"," and no tracker row",""),IF(AND(IFERROR(INDEX(Lists!$J$2:$J$15,MATCH(K470,Lists!$I$2:$I$15,0)),-1)&gt;=6,M470="N"),"status "&amp;K470&amp;" but no tracker row",IF(AND(L470="Y",K470&lt;&gt;"do_not_contact"),"do_not_contact = Y but status is "&amp;K470,IF(AND(K470="do_not_contact",L470&lt;&gt;"Y"),"status do_not_contact but do_not_contact is not Y",""))))))</f>
        <v/>
      </c>
    </row>
    <row r="471">
      <c r="B471" s="17" t="n">
        <v>450</v>
      </c>
      <c r="C471" s="17">
        <f>IFERROR(INDEX(Clay_Offices!$A$2:$FZ$601,B471,$C$5)&amp;"","")</f>
        <v/>
      </c>
      <c r="D471" s="17">
        <f>IFERROR(INDEX(Clay_Offices!$A$2:$FZ$601,B471,$C$7)&amp;"","")</f>
        <v/>
      </c>
      <c r="E471" s="17">
        <f>IFERROR(INDEX(Clay_Offices!$A$2:$FZ$601,B471,$C$8)&amp;"","")</f>
        <v/>
      </c>
      <c r="F471" s="17">
        <f>IF(C471="","",IF(COUNTIF(Office_Log!$A$2:$A$201,C471)&gt;0,"Y","N"))</f>
        <v/>
      </c>
      <c r="G471" s="17">
        <f>IF(OR(C471="",AND(LEFT(C471,6)="SAMPLE",Config!$B$19&lt;&gt;"Y")),"",IF(IFERROR(INDEX(Lists!$J$2:$J$15,MATCH(D471,Lists!$I$2:$I$15,0)),-1)=-1,"status '"&amp;D471&amp;"' is not a CONTRACTS status",IF(AND(D471="signed",COUNTIF(signed_offices!$W$2:$W$51,C471)=0),"status signed but no signed_offices row"&amp;IF(F471="N"," and no tracker row",""),IF(AND(IFERROR(INDEX(Lists!$J$2:$J$15,MATCH(D471,Lists!$I$2:$I$15,0)),-1)&gt;=6,F471="N"),"status "&amp;D471&amp;" but no tracker row",IF(AND(E471="Y",D471&lt;&gt;"do_not_contact"),"do_not_contact = Y but status is "&amp;D471,IF(AND(D471="do_not_contact",E471&lt;&gt;"Y"),"status do_not_contact but do_not_contact is not Y",""))))))</f>
        <v/>
      </c>
      <c r="I471" s="17" t="n">
        <v>450</v>
      </c>
      <c r="J471" s="17">
        <f>IFERROR(INDEX(Clay_Brands!$A$2:$FZ$601,I471,$D$5)&amp;"","")</f>
        <v/>
      </c>
      <c r="K471" s="17">
        <f>IFERROR(INDEX(Clay_Brands!$A$2:$FZ$601,I471,$D$7)&amp;"","")</f>
        <v/>
      </c>
      <c r="L471" s="17">
        <f>IFERROR(INDEX(Clay_Brands!$A$2:$FZ$601,I471,$D$8)&amp;"","")</f>
        <v/>
      </c>
      <c r="M471" s="17">
        <f>IF(J471="","",IF(COUNTIF(Brand_Log!$A$2:$A$201,J471)&gt;0,"Y","N"))</f>
        <v/>
      </c>
      <c r="N471" s="17">
        <f>IF(OR(J471="",AND(LEFT(J471,6)="SAMPLE",Config!$B$19&lt;&gt;"Y")),"",IF(IFERROR(INDEX(Lists!$J$2:$J$15,MATCH(K471,Lists!$I$2:$I$15,0)),-1)=-1,"status '"&amp;K471&amp;"' is not a CONTRACTS status",IF(AND(K471="paid",COUNTIF(paid_brands!$AC$2:$AC$51,J471)=0),"status paid but no paid_brands row"&amp;IF(M471="N"," and no tracker row",""),IF(AND(IFERROR(INDEX(Lists!$J$2:$J$15,MATCH(K471,Lists!$I$2:$I$15,0)),-1)&gt;=6,M471="N"),"status "&amp;K471&amp;" but no tracker row",IF(AND(L471="Y",K471&lt;&gt;"do_not_contact"),"do_not_contact = Y but status is "&amp;K471,IF(AND(K471="do_not_contact",L471&lt;&gt;"Y"),"status do_not_contact but do_not_contact is not Y",""))))))</f>
        <v/>
      </c>
    </row>
    <row r="472">
      <c r="B472" s="17" t="n">
        <v>451</v>
      </c>
      <c r="C472" s="17">
        <f>IFERROR(INDEX(Clay_Offices!$A$2:$FZ$601,B472,$C$5)&amp;"","")</f>
        <v/>
      </c>
      <c r="D472" s="17">
        <f>IFERROR(INDEX(Clay_Offices!$A$2:$FZ$601,B472,$C$7)&amp;"","")</f>
        <v/>
      </c>
      <c r="E472" s="17">
        <f>IFERROR(INDEX(Clay_Offices!$A$2:$FZ$601,B472,$C$8)&amp;"","")</f>
        <v/>
      </c>
      <c r="F472" s="17">
        <f>IF(C472="","",IF(COUNTIF(Office_Log!$A$2:$A$201,C472)&gt;0,"Y","N"))</f>
        <v/>
      </c>
      <c r="G472" s="17">
        <f>IF(OR(C472="",AND(LEFT(C472,6)="SAMPLE",Config!$B$19&lt;&gt;"Y")),"",IF(IFERROR(INDEX(Lists!$J$2:$J$15,MATCH(D472,Lists!$I$2:$I$15,0)),-1)=-1,"status '"&amp;D472&amp;"' is not a CONTRACTS status",IF(AND(D472="signed",COUNTIF(signed_offices!$W$2:$W$51,C472)=0),"status signed but no signed_offices row"&amp;IF(F472="N"," and no tracker row",""),IF(AND(IFERROR(INDEX(Lists!$J$2:$J$15,MATCH(D472,Lists!$I$2:$I$15,0)),-1)&gt;=6,F472="N"),"status "&amp;D472&amp;" but no tracker row",IF(AND(E472="Y",D472&lt;&gt;"do_not_contact"),"do_not_contact = Y but status is "&amp;D472,IF(AND(D472="do_not_contact",E472&lt;&gt;"Y"),"status do_not_contact but do_not_contact is not Y",""))))))</f>
        <v/>
      </c>
      <c r="I472" s="17" t="n">
        <v>451</v>
      </c>
      <c r="J472" s="17">
        <f>IFERROR(INDEX(Clay_Brands!$A$2:$FZ$601,I472,$D$5)&amp;"","")</f>
        <v/>
      </c>
      <c r="K472" s="17">
        <f>IFERROR(INDEX(Clay_Brands!$A$2:$FZ$601,I472,$D$7)&amp;"","")</f>
        <v/>
      </c>
      <c r="L472" s="17">
        <f>IFERROR(INDEX(Clay_Brands!$A$2:$FZ$601,I472,$D$8)&amp;"","")</f>
        <v/>
      </c>
      <c r="M472" s="17">
        <f>IF(J472="","",IF(COUNTIF(Brand_Log!$A$2:$A$201,J472)&gt;0,"Y","N"))</f>
        <v/>
      </c>
      <c r="N472" s="17">
        <f>IF(OR(J472="",AND(LEFT(J472,6)="SAMPLE",Config!$B$19&lt;&gt;"Y")),"",IF(IFERROR(INDEX(Lists!$J$2:$J$15,MATCH(K472,Lists!$I$2:$I$15,0)),-1)=-1,"status '"&amp;K472&amp;"' is not a CONTRACTS status",IF(AND(K472="paid",COUNTIF(paid_brands!$AC$2:$AC$51,J472)=0),"status paid but no paid_brands row"&amp;IF(M472="N"," and no tracker row",""),IF(AND(IFERROR(INDEX(Lists!$J$2:$J$15,MATCH(K472,Lists!$I$2:$I$15,0)),-1)&gt;=6,M472="N"),"status "&amp;K472&amp;" but no tracker row",IF(AND(L472="Y",K472&lt;&gt;"do_not_contact"),"do_not_contact = Y but status is "&amp;K472,IF(AND(K472="do_not_contact",L472&lt;&gt;"Y"),"status do_not_contact but do_not_contact is not Y",""))))))</f>
        <v/>
      </c>
    </row>
    <row r="473">
      <c r="B473" s="17" t="n">
        <v>452</v>
      </c>
      <c r="C473" s="17">
        <f>IFERROR(INDEX(Clay_Offices!$A$2:$FZ$601,B473,$C$5)&amp;"","")</f>
        <v/>
      </c>
      <c r="D473" s="17">
        <f>IFERROR(INDEX(Clay_Offices!$A$2:$FZ$601,B473,$C$7)&amp;"","")</f>
        <v/>
      </c>
      <c r="E473" s="17">
        <f>IFERROR(INDEX(Clay_Offices!$A$2:$FZ$601,B473,$C$8)&amp;"","")</f>
        <v/>
      </c>
      <c r="F473" s="17">
        <f>IF(C473="","",IF(COUNTIF(Office_Log!$A$2:$A$201,C473)&gt;0,"Y","N"))</f>
        <v/>
      </c>
      <c r="G473" s="17">
        <f>IF(OR(C473="",AND(LEFT(C473,6)="SAMPLE",Config!$B$19&lt;&gt;"Y")),"",IF(IFERROR(INDEX(Lists!$J$2:$J$15,MATCH(D473,Lists!$I$2:$I$15,0)),-1)=-1,"status '"&amp;D473&amp;"' is not a CONTRACTS status",IF(AND(D473="signed",COUNTIF(signed_offices!$W$2:$W$51,C473)=0),"status signed but no signed_offices row"&amp;IF(F473="N"," and no tracker row",""),IF(AND(IFERROR(INDEX(Lists!$J$2:$J$15,MATCH(D473,Lists!$I$2:$I$15,0)),-1)&gt;=6,F473="N"),"status "&amp;D473&amp;" but no tracker row",IF(AND(E473="Y",D473&lt;&gt;"do_not_contact"),"do_not_contact = Y but status is "&amp;D473,IF(AND(D473="do_not_contact",E473&lt;&gt;"Y"),"status do_not_contact but do_not_contact is not Y",""))))))</f>
        <v/>
      </c>
      <c r="I473" s="17" t="n">
        <v>452</v>
      </c>
      <c r="J473" s="17">
        <f>IFERROR(INDEX(Clay_Brands!$A$2:$FZ$601,I473,$D$5)&amp;"","")</f>
        <v/>
      </c>
      <c r="K473" s="17">
        <f>IFERROR(INDEX(Clay_Brands!$A$2:$FZ$601,I473,$D$7)&amp;"","")</f>
        <v/>
      </c>
      <c r="L473" s="17">
        <f>IFERROR(INDEX(Clay_Brands!$A$2:$FZ$601,I473,$D$8)&amp;"","")</f>
        <v/>
      </c>
      <c r="M473" s="17">
        <f>IF(J473="","",IF(COUNTIF(Brand_Log!$A$2:$A$201,J473)&gt;0,"Y","N"))</f>
        <v/>
      </c>
      <c r="N473" s="17">
        <f>IF(OR(J473="",AND(LEFT(J473,6)="SAMPLE",Config!$B$19&lt;&gt;"Y")),"",IF(IFERROR(INDEX(Lists!$J$2:$J$15,MATCH(K473,Lists!$I$2:$I$15,0)),-1)=-1,"status '"&amp;K473&amp;"' is not a CONTRACTS status",IF(AND(K473="paid",COUNTIF(paid_brands!$AC$2:$AC$51,J473)=0),"status paid but no paid_brands row"&amp;IF(M473="N"," and no tracker row",""),IF(AND(IFERROR(INDEX(Lists!$J$2:$J$15,MATCH(K473,Lists!$I$2:$I$15,0)),-1)&gt;=6,M473="N"),"status "&amp;K473&amp;" but no tracker row",IF(AND(L473="Y",K473&lt;&gt;"do_not_contact"),"do_not_contact = Y but status is "&amp;K473,IF(AND(K473="do_not_contact",L473&lt;&gt;"Y"),"status do_not_contact but do_not_contact is not Y",""))))))</f>
        <v/>
      </c>
    </row>
    <row r="474">
      <c r="B474" s="17" t="n">
        <v>453</v>
      </c>
      <c r="C474" s="17">
        <f>IFERROR(INDEX(Clay_Offices!$A$2:$FZ$601,B474,$C$5)&amp;"","")</f>
        <v/>
      </c>
      <c r="D474" s="17">
        <f>IFERROR(INDEX(Clay_Offices!$A$2:$FZ$601,B474,$C$7)&amp;"","")</f>
        <v/>
      </c>
      <c r="E474" s="17">
        <f>IFERROR(INDEX(Clay_Offices!$A$2:$FZ$601,B474,$C$8)&amp;"","")</f>
        <v/>
      </c>
      <c r="F474" s="17">
        <f>IF(C474="","",IF(COUNTIF(Office_Log!$A$2:$A$201,C474)&gt;0,"Y","N"))</f>
        <v/>
      </c>
      <c r="G474" s="17">
        <f>IF(OR(C474="",AND(LEFT(C474,6)="SAMPLE",Config!$B$19&lt;&gt;"Y")),"",IF(IFERROR(INDEX(Lists!$J$2:$J$15,MATCH(D474,Lists!$I$2:$I$15,0)),-1)=-1,"status '"&amp;D474&amp;"' is not a CONTRACTS status",IF(AND(D474="signed",COUNTIF(signed_offices!$W$2:$W$51,C474)=0),"status signed but no signed_offices row"&amp;IF(F474="N"," and no tracker row",""),IF(AND(IFERROR(INDEX(Lists!$J$2:$J$15,MATCH(D474,Lists!$I$2:$I$15,0)),-1)&gt;=6,F474="N"),"status "&amp;D474&amp;" but no tracker row",IF(AND(E474="Y",D474&lt;&gt;"do_not_contact"),"do_not_contact = Y but status is "&amp;D474,IF(AND(D474="do_not_contact",E474&lt;&gt;"Y"),"status do_not_contact but do_not_contact is not Y",""))))))</f>
        <v/>
      </c>
      <c r="I474" s="17" t="n">
        <v>453</v>
      </c>
      <c r="J474" s="17">
        <f>IFERROR(INDEX(Clay_Brands!$A$2:$FZ$601,I474,$D$5)&amp;"","")</f>
        <v/>
      </c>
      <c r="K474" s="17">
        <f>IFERROR(INDEX(Clay_Brands!$A$2:$FZ$601,I474,$D$7)&amp;"","")</f>
        <v/>
      </c>
      <c r="L474" s="17">
        <f>IFERROR(INDEX(Clay_Brands!$A$2:$FZ$601,I474,$D$8)&amp;"","")</f>
        <v/>
      </c>
      <c r="M474" s="17">
        <f>IF(J474="","",IF(COUNTIF(Brand_Log!$A$2:$A$201,J474)&gt;0,"Y","N"))</f>
        <v/>
      </c>
      <c r="N474" s="17">
        <f>IF(OR(J474="",AND(LEFT(J474,6)="SAMPLE",Config!$B$19&lt;&gt;"Y")),"",IF(IFERROR(INDEX(Lists!$J$2:$J$15,MATCH(K474,Lists!$I$2:$I$15,0)),-1)=-1,"status '"&amp;K474&amp;"' is not a CONTRACTS status",IF(AND(K474="paid",COUNTIF(paid_brands!$AC$2:$AC$51,J474)=0),"status paid but no paid_brands row"&amp;IF(M474="N"," and no tracker row",""),IF(AND(IFERROR(INDEX(Lists!$J$2:$J$15,MATCH(K474,Lists!$I$2:$I$15,0)),-1)&gt;=6,M474="N"),"status "&amp;K474&amp;" but no tracker row",IF(AND(L474="Y",K474&lt;&gt;"do_not_contact"),"do_not_contact = Y but status is "&amp;K474,IF(AND(K474="do_not_contact",L474&lt;&gt;"Y"),"status do_not_contact but do_not_contact is not Y",""))))))</f>
        <v/>
      </c>
    </row>
    <row r="475">
      <c r="B475" s="17" t="n">
        <v>454</v>
      </c>
      <c r="C475" s="17">
        <f>IFERROR(INDEX(Clay_Offices!$A$2:$FZ$601,B475,$C$5)&amp;"","")</f>
        <v/>
      </c>
      <c r="D475" s="17">
        <f>IFERROR(INDEX(Clay_Offices!$A$2:$FZ$601,B475,$C$7)&amp;"","")</f>
        <v/>
      </c>
      <c r="E475" s="17">
        <f>IFERROR(INDEX(Clay_Offices!$A$2:$FZ$601,B475,$C$8)&amp;"","")</f>
        <v/>
      </c>
      <c r="F475" s="17">
        <f>IF(C475="","",IF(COUNTIF(Office_Log!$A$2:$A$201,C475)&gt;0,"Y","N"))</f>
        <v/>
      </c>
      <c r="G475" s="17">
        <f>IF(OR(C475="",AND(LEFT(C475,6)="SAMPLE",Config!$B$19&lt;&gt;"Y")),"",IF(IFERROR(INDEX(Lists!$J$2:$J$15,MATCH(D475,Lists!$I$2:$I$15,0)),-1)=-1,"status '"&amp;D475&amp;"' is not a CONTRACTS status",IF(AND(D475="signed",COUNTIF(signed_offices!$W$2:$W$51,C475)=0),"status signed but no signed_offices row"&amp;IF(F475="N"," and no tracker row",""),IF(AND(IFERROR(INDEX(Lists!$J$2:$J$15,MATCH(D475,Lists!$I$2:$I$15,0)),-1)&gt;=6,F475="N"),"status "&amp;D475&amp;" but no tracker row",IF(AND(E475="Y",D475&lt;&gt;"do_not_contact"),"do_not_contact = Y but status is "&amp;D475,IF(AND(D475="do_not_contact",E475&lt;&gt;"Y"),"status do_not_contact but do_not_contact is not Y",""))))))</f>
        <v/>
      </c>
      <c r="I475" s="17" t="n">
        <v>454</v>
      </c>
      <c r="J475" s="17">
        <f>IFERROR(INDEX(Clay_Brands!$A$2:$FZ$601,I475,$D$5)&amp;"","")</f>
        <v/>
      </c>
      <c r="K475" s="17">
        <f>IFERROR(INDEX(Clay_Brands!$A$2:$FZ$601,I475,$D$7)&amp;"","")</f>
        <v/>
      </c>
      <c r="L475" s="17">
        <f>IFERROR(INDEX(Clay_Brands!$A$2:$FZ$601,I475,$D$8)&amp;"","")</f>
        <v/>
      </c>
      <c r="M475" s="17">
        <f>IF(J475="","",IF(COUNTIF(Brand_Log!$A$2:$A$201,J475)&gt;0,"Y","N"))</f>
        <v/>
      </c>
      <c r="N475" s="17">
        <f>IF(OR(J475="",AND(LEFT(J475,6)="SAMPLE",Config!$B$19&lt;&gt;"Y")),"",IF(IFERROR(INDEX(Lists!$J$2:$J$15,MATCH(K475,Lists!$I$2:$I$15,0)),-1)=-1,"status '"&amp;K475&amp;"' is not a CONTRACTS status",IF(AND(K475="paid",COUNTIF(paid_brands!$AC$2:$AC$51,J475)=0),"status paid but no paid_brands row"&amp;IF(M475="N"," and no tracker row",""),IF(AND(IFERROR(INDEX(Lists!$J$2:$J$15,MATCH(K475,Lists!$I$2:$I$15,0)),-1)&gt;=6,M475="N"),"status "&amp;K475&amp;" but no tracker row",IF(AND(L475="Y",K475&lt;&gt;"do_not_contact"),"do_not_contact = Y but status is "&amp;K475,IF(AND(K475="do_not_contact",L475&lt;&gt;"Y"),"status do_not_contact but do_not_contact is not Y",""))))))</f>
        <v/>
      </c>
    </row>
    <row r="476">
      <c r="B476" s="17" t="n">
        <v>455</v>
      </c>
      <c r="C476" s="17">
        <f>IFERROR(INDEX(Clay_Offices!$A$2:$FZ$601,B476,$C$5)&amp;"","")</f>
        <v/>
      </c>
      <c r="D476" s="17">
        <f>IFERROR(INDEX(Clay_Offices!$A$2:$FZ$601,B476,$C$7)&amp;"","")</f>
        <v/>
      </c>
      <c r="E476" s="17">
        <f>IFERROR(INDEX(Clay_Offices!$A$2:$FZ$601,B476,$C$8)&amp;"","")</f>
        <v/>
      </c>
      <c r="F476" s="17">
        <f>IF(C476="","",IF(COUNTIF(Office_Log!$A$2:$A$201,C476)&gt;0,"Y","N"))</f>
        <v/>
      </c>
      <c r="G476" s="17">
        <f>IF(OR(C476="",AND(LEFT(C476,6)="SAMPLE",Config!$B$19&lt;&gt;"Y")),"",IF(IFERROR(INDEX(Lists!$J$2:$J$15,MATCH(D476,Lists!$I$2:$I$15,0)),-1)=-1,"status '"&amp;D476&amp;"' is not a CONTRACTS status",IF(AND(D476="signed",COUNTIF(signed_offices!$W$2:$W$51,C476)=0),"status signed but no signed_offices row"&amp;IF(F476="N"," and no tracker row",""),IF(AND(IFERROR(INDEX(Lists!$J$2:$J$15,MATCH(D476,Lists!$I$2:$I$15,0)),-1)&gt;=6,F476="N"),"status "&amp;D476&amp;" but no tracker row",IF(AND(E476="Y",D476&lt;&gt;"do_not_contact"),"do_not_contact = Y but status is "&amp;D476,IF(AND(D476="do_not_contact",E476&lt;&gt;"Y"),"status do_not_contact but do_not_contact is not Y",""))))))</f>
        <v/>
      </c>
      <c r="I476" s="17" t="n">
        <v>455</v>
      </c>
      <c r="J476" s="17">
        <f>IFERROR(INDEX(Clay_Brands!$A$2:$FZ$601,I476,$D$5)&amp;"","")</f>
        <v/>
      </c>
      <c r="K476" s="17">
        <f>IFERROR(INDEX(Clay_Brands!$A$2:$FZ$601,I476,$D$7)&amp;"","")</f>
        <v/>
      </c>
      <c r="L476" s="17">
        <f>IFERROR(INDEX(Clay_Brands!$A$2:$FZ$601,I476,$D$8)&amp;"","")</f>
        <v/>
      </c>
      <c r="M476" s="17">
        <f>IF(J476="","",IF(COUNTIF(Brand_Log!$A$2:$A$201,J476)&gt;0,"Y","N"))</f>
        <v/>
      </c>
      <c r="N476" s="17">
        <f>IF(OR(J476="",AND(LEFT(J476,6)="SAMPLE",Config!$B$19&lt;&gt;"Y")),"",IF(IFERROR(INDEX(Lists!$J$2:$J$15,MATCH(K476,Lists!$I$2:$I$15,0)),-1)=-1,"status '"&amp;K476&amp;"' is not a CONTRACTS status",IF(AND(K476="paid",COUNTIF(paid_brands!$AC$2:$AC$51,J476)=0),"status paid but no paid_brands row"&amp;IF(M476="N"," and no tracker row",""),IF(AND(IFERROR(INDEX(Lists!$J$2:$J$15,MATCH(K476,Lists!$I$2:$I$15,0)),-1)&gt;=6,M476="N"),"status "&amp;K476&amp;" but no tracker row",IF(AND(L476="Y",K476&lt;&gt;"do_not_contact"),"do_not_contact = Y but status is "&amp;K476,IF(AND(K476="do_not_contact",L476&lt;&gt;"Y"),"status do_not_contact but do_not_contact is not Y",""))))))</f>
        <v/>
      </c>
    </row>
    <row r="477">
      <c r="B477" s="17" t="n">
        <v>456</v>
      </c>
      <c r="C477" s="17">
        <f>IFERROR(INDEX(Clay_Offices!$A$2:$FZ$601,B477,$C$5)&amp;"","")</f>
        <v/>
      </c>
      <c r="D477" s="17">
        <f>IFERROR(INDEX(Clay_Offices!$A$2:$FZ$601,B477,$C$7)&amp;"","")</f>
        <v/>
      </c>
      <c r="E477" s="17">
        <f>IFERROR(INDEX(Clay_Offices!$A$2:$FZ$601,B477,$C$8)&amp;"","")</f>
        <v/>
      </c>
      <c r="F477" s="17">
        <f>IF(C477="","",IF(COUNTIF(Office_Log!$A$2:$A$201,C477)&gt;0,"Y","N"))</f>
        <v/>
      </c>
      <c r="G477" s="17">
        <f>IF(OR(C477="",AND(LEFT(C477,6)="SAMPLE",Config!$B$19&lt;&gt;"Y")),"",IF(IFERROR(INDEX(Lists!$J$2:$J$15,MATCH(D477,Lists!$I$2:$I$15,0)),-1)=-1,"status '"&amp;D477&amp;"' is not a CONTRACTS status",IF(AND(D477="signed",COUNTIF(signed_offices!$W$2:$W$51,C477)=0),"status signed but no signed_offices row"&amp;IF(F477="N"," and no tracker row",""),IF(AND(IFERROR(INDEX(Lists!$J$2:$J$15,MATCH(D477,Lists!$I$2:$I$15,0)),-1)&gt;=6,F477="N"),"status "&amp;D477&amp;" but no tracker row",IF(AND(E477="Y",D477&lt;&gt;"do_not_contact"),"do_not_contact = Y but status is "&amp;D477,IF(AND(D477="do_not_contact",E477&lt;&gt;"Y"),"status do_not_contact but do_not_contact is not Y",""))))))</f>
        <v/>
      </c>
      <c r="I477" s="17" t="n">
        <v>456</v>
      </c>
      <c r="J477" s="17">
        <f>IFERROR(INDEX(Clay_Brands!$A$2:$FZ$601,I477,$D$5)&amp;"","")</f>
        <v/>
      </c>
      <c r="K477" s="17">
        <f>IFERROR(INDEX(Clay_Brands!$A$2:$FZ$601,I477,$D$7)&amp;"","")</f>
        <v/>
      </c>
      <c r="L477" s="17">
        <f>IFERROR(INDEX(Clay_Brands!$A$2:$FZ$601,I477,$D$8)&amp;"","")</f>
        <v/>
      </c>
      <c r="M477" s="17">
        <f>IF(J477="","",IF(COUNTIF(Brand_Log!$A$2:$A$201,J477)&gt;0,"Y","N"))</f>
        <v/>
      </c>
      <c r="N477" s="17">
        <f>IF(OR(J477="",AND(LEFT(J477,6)="SAMPLE",Config!$B$19&lt;&gt;"Y")),"",IF(IFERROR(INDEX(Lists!$J$2:$J$15,MATCH(K477,Lists!$I$2:$I$15,0)),-1)=-1,"status '"&amp;K477&amp;"' is not a CONTRACTS status",IF(AND(K477="paid",COUNTIF(paid_brands!$AC$2:$AC$51,J477)=0),"status paid but no paid_brands row"&amp;IF(M477="N"," and no tracker row",""),IF(AND(IFERROR(INDEX(Lists!$J$2:$J$15,MATCH(K477,Lists!$I$2:$I$15,0)),-1)&gt;=6,M477="N"),"status "&amp;K477&amp;" but no tracker row",IF(AND(L477="Y",K477&lt;&gt;"do_not_contact"),"do_not_contact = Y but status is "&amp;K477,IF(AND(K477="do_not_contact",L477&lt;&gt;"Y"),"status do_not_contact but do_not_contact is not Y",""))))))</f>
        <v/>
      </c>
    </row>
    <row r="478">
      <c r="B478" s="17" t="n">
        <v>457</v>
      </c>
      <c r="C478" s="17">
        <f>IFERROR(INDEX(Clay_Offices!$A$2:$FZ$601,B478,$C$5)&amp;"","")</f>
        <v/>
      </c>
      <c r="D478" s="17">
        <f>IFERROR(INDEX(Clay_Offices!$A$2:$FZ$601,B478,$C$7)&amp;"","")</f>
        <v/>
      </c>
      <c r="E478" s="17">
        <f>IFERROR(INDEX(Clay_Offices!$A$2:$FZ$601,B478,$C$8)&amp;"","")</f>
        <v/>
      </c>
      <c r="F478" s="17">
        <f>IF(C478="","",IF(COUNTIF(Office_Log!$A$2:$A$201,C478)&gt;0,"Y","N"))</f>
        <v/>
      </c>
      <c r="G478" s="17">
        <f>IF(OR(C478="",AND(LEFT(C478,6)="SAMPLE",Config!$B$19&lt;&gt;"Y")),"",IF(IFERROR(INDEX(Lists!$J$2:$J$15,MATCH(D478,Lists!$I$2:$I$15,0)),-1)=-1,"status '"&amp;D478&amp;"' is not a CONTRACTS status",IF(AND(D478="signed",COUNTIF(signed_offices!$W$2:$W$51,C478)=0),"status signed but no signed_offices row"&amp;IF(F478="N"," and no tracker row",""),IF(AND(IFERROR(INDEX(Lists!$J$2:$J$15,MATCH(D478,Lists!$I$2:$I$15,0)),-1)&gt;=6,F478="N"),"status "&amp;D478&amp;" but no tracker row",IF(AND(E478="Y",D478&lt;&gt;"do_not_contact"),"do_not_contact = Y but status is "&amp;D478,IF(AND(D478="do_not_contact",E478&lt;&gt;"Y"),"status do_not_contact but do_not_contact is not Y",""))))))</f>
        <v/>
      </c>
      <c r="I478" s="17" t="n">
        <v>457</v>
      </c>
      <c r="J478" s="17">
        <f>IFERROR(INDEX(Clay_Brands!$A$2:$FZ$601,I478,$D$5)&amp;"","")</f>
        <v/>
      </c>
      <c r="K478" s="17">
        <f>IFERROR(INDEX(Clay_Brands!$A$2:$FZ$601,I478,$D$7)&amp;"","")</f>
        <v/>
      </c>
      <c r="L478" s="17">
        <f>IFERROR(INDEX(Clay_Brands!$A$2:$FZ$601,I478,$D$8)&amp;"","")</f>
        <v/>
      </c>
      <c r="M478" s="17">
        <f>IF(J478="","",IF(COUNTIF(Brand_Log!$A$2:$A$201,J478)&gt;0,"Y","N"))</f>
        <v/>
      </c>
      <c r="N478" s="17">
        <f>IF(OR(J478="",AND(LEFT(J478,6)="SAMPLE",Config!$B$19&lt;&gt;"Y")),"",IF(IFERROR(INDEX(Lists!$J$2:$J$15,MATCH(K478,Lists!$I$2:$I$15,0)),-1)=-1,"status '"&amp;K478&amp;"' is not a CONTRACTS status",IF(AND(K478="paid",COUNTIF(paid_brands!$AC$2:$AC$51,J478)=0),"status paid but no paid_brands row"&amp;IF(M478="N"," and no tracker row",""),IF(AND(IFERROR(INDEX(Lists!$J$2:$J$15,MATCH(K478,Lists!$I$2:$I$15,0)),-1)&gt;=6,M478="N"),"status "&amp;K478&amp;" but no tracker row",IF(AND(L478="Y",K478&lt;&gt;"do_not_contact"),"do_not_contact = Y but status is "&amp;K478,IF(AND(K478="do_not_contact",L478&lt;&gt;"Y"),"status do_not_contact but do_not_contact is not Y",""))))))</f>
        <v/>
      </c>
    </row>
    <row r="479">
      <c r="B479" s="17" t="n">
        <v>458</v>
      </c>
      <c r="C479" s="17">
        <f>IFERROR(INDEX(Clay_Offices!$A$2:$FZ$601,B479,$C$5)&amp;"","")</f>
        <v/>
      </c>
      <c r="D479" s="17">
        <f>IFERROR(INDEX(Clay_Offices!$A$2:$FZ$601,B479,$C$7)&amp;"","")</f>
        <v/>
      </c>
      <c r="E479" s="17">
        <f>IFERROR(INDEX(Clay_Offices!$A$2:$FZ$601,B479,$C$8)&amp;"","")</f>
        <v/>
      </c>
      <c r="F479" s="17">
        <f>IF(C479="","",IF(COUNTIF(Office_Log!$A$2:$A$201,C479)&gt;0,"Y","N"))</f>
        <v/>
      </c>
      <c r="G479" s="17">
        <f>IF(OR(C479="",AND(LEFT(C479,6)="SAMPLE",Config!$B$19&lt;&gt;"Y")),"",IF(IFERROR(INDEX(Lists!$J$2:$J$15,MATCH(D479,Lists!$I$2:$I$15,0)),-1)=-1,"status '"&amp;D479&amp;"' is not a CONTRACTS status",IF(AND(D479="signed",COUNTIF(signed_offices!$W$2:$W$51,C479)=0),"status signed but no signed_offices row"&amp;IF(F479="N"," and no tracker row",""),IF(AND(IFERROR(INDEX(Lists!$J$2:$J$15,MATCH(D479,Lists!$I$2:$I$15,0)),-1)&gt;=6,F479="N"),"status "&amp;D479&amp;" but no tracker row",IF(AND(E479="Y",D479&lt;&gt;"do_not_contact"),"do_not_contact = Y but status is "&amp;D479,IF(AND(D479="do_not_contact",E479&lt;&gt;"Y"),"status do_not_contact but do_not_contact is not Y",""))))))</f>
        <v/>
      </c>
      <c r="I479" s="17" t="n">
        <v>458</v>
      </c>
      <c r="J479" s="17">
        <f>IFERROR(INDEX(Clay_Brands!$A$2:$FZ$601,I479,$D$5)&amp;"","")</f>
        <v/>
      </c>
      <c r="K479" s="17">
        <f>IFERROR(INDEX(Clay_Brands!$A$2:$FZ$601,I479,$D$7)&amp;"","")</f>
        <v/>
      </c>
      <c r="L479" s="17">
        <f>IFERROR(INDEX(Clay_Brands!$A$2:$FZ$601,I479,$D$8)&amp;"","")</f>
        <v/>
      </c>
      <c r="M479" s="17">
        <f>IF(J479="","",IF(COUNTIF(Brand_Log!$A$2:$A$201,J479)&gt;0,"Y","N"))</f>
        <v/>
      </c>
      <c r="N479" s="17">
        <f>IF(OR(J479="",AND(LEFT(J479,6)="SAMPLE",Config!$B$19&lt;&gt;"Y")),"",IF(IFERROR(INDEX(Lists!$J$2:$J$15,MATCH(K479,Lists!$I$2:$I$15,0)),-1)=-1,"status '"&amp;K479&amp;"' is not a CONTRACTS status",IF(AND(K479="paid",COUNTIF(paid_brands!$AC$2:$AC$51,J479)=0),"status paid but no paid_brands row"&amp;IF(M479="N"," and no tracker row",""),IF(AND(IFERROR(INDEX(Lists!$J$2:$J$15,MATCH(K479,Lists!$I$2:$I$15,0)),-1)&gt;=6,M479="N"),"status "&amp;K479&amp;" but no tracker row",IF(AND(L479="Y",K479&lt;&gt;"do_not_contact"),"do_not_contact = Y but status is "&amp;K479,IF(AND(K479="do_not_contact",L479&lt;&gt;"Y"),"status do_not_contact but do_not_contact is not Y",""))))))</f>
        <v/>
      </c>
    </row>
    <row r="480">
      <c r="B480" s="17" t="n">
        <v>459</v>
      </c>
      <c r="C480" s="17">
        <f>IFERROR(INDEX(Clay_Offices!$A$2:$FZ$601,B480,$C$5)&amp;"","")</f>
        <v/>
      </c>
      <c r="D480" s="17">
        <f>IFERROR(INDEX(Clay_Offices!$A$2:$FZ$601,B480,$C$7)&amp;"","")</f>
        <v/>
      </c>
      <c r="E480" s="17">
        <f>IFERROR(INDEX(Clay_Offices!$A$2:$FZ$601,B480,$C$8)&amp;"","")</f>
        <v/>
      </c>
      <c r="F480" s="17">
        <f>IF(C480="","",IF(COUNTIF(Office_Log!$A$2:$A$201,C480)&gt;0,"Y","N"))</f>
        <v/>
      </c>
      <c r="G480" s="17">
        <f>IF(OR(C480="",AND(LEFT(C480,6)="SAMPLE",Config!$B$19&lt;&gt;"Y")),"",IF(IFERROR(INDEX(Lists!$J$2:$J$15,MATCH(D480,Lists!$I$2:$I$15,0)),-1)=-1,"status '"&amp;D480&amp;"' is not a CONTRACTS status",IF(AND(D480="signed",COUNTIF(signed_offices!$W$2:$W$51,C480)=0),"status signed but no signed_offices row"&amp;IF(F480="N"," and no tracker row",""),IF(AND(IFERROR(INDEX(Lists!$J$2:$J$15,MATCH(D480,Lists!$I$2:$I$15,0)),-1)&gt;=6,F480="N"),"status "&amp;D480&amp;" but no tracker row",IF(AND(E480="Y",D480&lt;&gt;"do_not_contact"),"do_not_contact = Y but status is "&amp;D480,IF(AND(D480="do_not_contact",E480&lt;&gt;"Y"),"status do_not_contact but do_not_contact is not Y",""))))))</f>
        <v/>
      </c>
      <c r="I480" s="17" t="n">
        <v>459</v>
      </c>
      <c r="J480" s="17">
        <f>IFERROR(INDEX(Clay_Brands!$A$2:$FZ$601,I480,$D$5)&amp;"","")</f>
        <v/>
      </c>
      <c r="K480" s="17">
        <f>IFERROR(INDEX(Clay_Brands!$A$2:$FZ$601,I480,$D$7)&amp;"","")</f>
        <v/>
      </c>
      <c r="L480" s="17">
        <f>IFERROR(INDEX(Clay_Brands!$A$2:$FZ$601,I480,$D$8)&amp;"","")</f>
        <v/>
      </c>
      <c r="M480" s="17">
        <f>IF(J480="","",IF(COUNTIF(Brand_Log!$A$2:$A$201,J480)&gt;0,"Y","N"))</f>
        <v/>
      </c>
      <c r="N480" s="17">
        <f>IF(OR(J480="",AND(LEFT(J480,6)="SAMPLE",Config!$B$19&lt;&gt;"Y")),"",IF(IFERROR(INDEX(Lists!$J$2:$J$15,MATCH(K480,Lists!$I$2:$I$15,0)),-1)=-1,"status '"&amp;K480&amp;"' is not a CONTRACTS status",IF(AND(K480="paid",COUNTIF(paid_brands!$AC$2:$AC$51,J480)=0),"status paid but no paid_brands row"&amp;IF(M480="N"," and no tracker row",""),IF(AND(IFERROR(INDEX(Lists!$J$2:$J$15,MATCH(K480,Lists!$I$2:$I$15,0)),-1)&gt;=6,M480="N"),"status "&amp;K480&amp;" but no tracker row",IF(AND(L480="Y",K480&lt;&gt;"do_not_contact"),"do_not_contact = Y but status is "&amp;K480,IF(AND(K480="do_not_contact",L480&lt;&gt;"Y"),"status do_not_contact but do_not_contact is not Y",""))))))</f>
        <v/>
      </c>
    </row>
    <row r="481">
      <c r="B481" s="17" t="n">
        <v>460</v>
      </c>
      <c r="C481" s="17">
        <f>IFERROR(INDEX(Clay_Offices!$A$2:$FZ$601,B481,$C$5)&amp;"","")</f>
        <v/>
      </c>
      <c r="D481" s="17">
        <f>IFERROR(INDEX(Clay_Offices!$A$2:$FZ$601,B481,$C$7)&amp;"","")</f>
        <v/>
      </c>
      <c r="E481" s="17">
        <f>IFERROR(INDEX(Clay_Offices!$A$2:$FZ$601,B481,$C$8)&amp;"","")</f>
        <v/>
      </c>
      <c r="F481" s="17">
        <f>IF(C481="","",IF(COUNTIF(Office_Log!$A$2:$A$201,C481)&gt;0,"Y","N"))</f>
        <v/>
      </c>
      <c r="G481" s="17">
        <f>IF(OR(C481="",AND(LEFT(C481,6)="SAMPLE",Config!$B$19&lt;&gt;"Y")),"",IF(IFERROR(INDEX(Lists!$J$2:$J$15,MATCH(D481,Lists!$I$2:$I$15,0)),-1)=-1,"status '"&amp;D481&amp;"' is not a CONTRACTS status",IF(AND(D481="signed",COUNTIF(signed_offices!$W$2:$W$51,C481)=0),"status signed but no signed_offices row"&amp;IF(F481="N"," and no tracker row",""),IF(AND(IFERROR(INDEX(Lists!$J$2:$J$15,MATCH(D481,Lists!$I$2:$I$15,0)),-1)&gt;=6,F481="N"),"status "&amp;D481&amp;" but no tracker row",IF(AND(E481="Y",D481&lt;&gt;"do_not_contact"),"do_not_contact = Y but status is "&amp;D481,IF(AND(D481="do_not_contact",E481&lt;&gt;"Y"),"status do_not_contact but do_not_contact is not Y",""))))))</f>
        <v/>
      </c>
      <c r="I481" s="17" t="n">
        <v>460</v>
      </c>
      <c r="J481" s="17">
        <f>IFERROR(INDEX(Clay_Brands!$A$2:$FZ$601,I481,$D$5)&amp;"","")</f>
        <v/>
      </c>
      <c r="K481" s="17">
        <f>IFERROR(INDEX(Clay_Brands!$A$2:$FZ$601,I481,$D$7)&amp;"","")</f>
        <v/>
      </c>
      <c r="L481" s="17">
        <f>IFERROR(INDEX(Clay_Brands!$A$2:$FZ$601,I481,$D$8)&amp;"","")</f>
        <v/>
      </c>
      <c r="M481" s="17">
        <f>IF(J481="","",IF(COUNTIF(Brand_Log!$A$2:$A$201,J481)&gt;0,"Y","N"))</f>
        <v/>
      </c>
      <c r="N481" s="17">
        <f>IF(OR(J481="",AND(LEFT(J481,6)="SAMPLE",Config!$B$19&lt;&gt;"Y")),"",IF(IFERROR(INDEX(Lists!$J$2:$J$15,MATCH(K481,Lists!$I$2:$I$15,0)),-1)=-1,"status '"&amp;K481&amp;"' is not a CONTRACTS status",IF(AND(K481="paid",COUNTIF(paid_brands!$AC$2:$AC$51,J481)=0),"status paid but no paid_brands row"&amp;IF(M481="N"," and no tracker row",""),IF(AND(IFERROR(INDEX(Lists!$J$2:$J$15,MATCH(K481,Lists!$I$2:$I$15,0)),-1)&gt;=6,M481="N"),"status "&amp;K481&amp;" but no tracker row",IF(AND(L481="Y",K481&lt;&gt;"do_not_contact"),"do_not_contact = Y but status is "&amp;K481,IF(AND(K481="do_not_contact",L481&lt;&gt;"Y"),"status do_not_contact but do_not_contact is not Y",""))))))</f>
        <v/>
      </c>
    </row>
    <row r="482">
      <c r="B482" s="17" t="n">
        <v>461</v>
      </c>
      <c r="C482" s="17">
        <f>IFERROR(INDEX(Clay_Offices!$A$2:$FZ$601,B482,$C$5)&amp;"","")</f>
        <v/>
      </c>
      <c r="D482" s="17">
        <f>IFERROR(INDEX(Clay_Offices!$A$2:$FZ$601,B482,$C$7)&amp;"","")</f>
        <v/>
      </c>
      <c r="E482" s="17">
        <f>IFERROR(INDEX(Clay_Offices!$A$2:$FZ$601,B482,$C$8)&amp;"","")</f>
        <v/>
      </c>
      <c r="F482" s="17">
        <f>IF(C482="","",IF(COUNTIF(Office_Log!$A$2:$A$201,C482)&gt;0,"Y","N"))</f>
        <v/>
      </c>
      <c r="G482" s="17">
        <f>IF(OR(C482="",AND(LEFT(C482,6)="SAMPLE",Config!$B$19&lt;&gt;"Y")),"",IF(IFERROR(INDEX(Lists!$J$2:$J$15,MATCH(D482,Lists!$I$2:$I$15,0)),-1)=-1,"status '"&amp;D482&amp;"' is not a CONTRACTS status",IF(AND(D482="signed",COUNTIF(signed_offices!$W$2:$W$51,C482)=0),"status signed but no signed_offices row"&amp;IF(F482="N"," and no tracker row",""),IF(AND(IFERROR(INDEX(Lists!$J$2:$J$15,MATCH(D482,Lists!$I$2:$I$15,0)),-1)&gt;=6,F482="N"),"status "&amp;D482&amp;" but no tracker row",IF(AND(E482="Y",D482&lt;&gt;"do_not_contact"),"do_not_contact = Y but status is "&amp;D482,IF(AND(D482="do_not_contact",E482&lt;&gt;"Y"),"status do_not_contact but do_not_contact is not Y",""))))))</f>
        <v/>
      </c>
      <c r="I482" s="17" t="n">
        <v>461</v>
      </c>
      <c r="J482" s="17">
        <f>IFERROR(INDEX(Clay_Brands!$A$2:$FZ$601,I482,$D$5)&amp;"","")</f>
        <v/>
      </c>
      <c r="K482" s="17">
        <f>IFERROR(INDEX(Clay_Brands!$A$2:$FZ$601,I482,$D$7)&amp;"","")</f>
        <v/>
      </c>
      <c r="L482" s="17">
        <f>IFERROR(INDEX(Clay_Brands!$A$2:$FZ$601,I482,$D$8)&amp;"","")</f>
        <v/>
      </c>
      <c r="M482" s="17">
        <f>IF(J482="","",IF(COUNTIF(Brand_Log!$A$2:$A$201,J482)&gt;0,"Y","N"))</f>
        <v/>
      </c>
      <c r="N482" s="17">
        <f>IF(OR(J482="",AND(LEFT(J482,6)="SAMPLE",Config!$B$19&lt;&gt;"Y")),"",IF(IFERROR(INDEX(Lists!$J$2:$J$15,MATCH(K482,Lists!$I$2:$I$15,0)),-1)=-1,"status '"&amp;K482&amp;"' is not a CONTRACTS status",IF(AND(K482="paid",COUNTIF(paid_brands!$AC$2:$AC$51,J482)=0),"status paid but no paid_brands row"&amp;IF(M482="N"," and no tracker row",""),IF(AND(IFERROR(INDEX(Lists!$J$2:$J$15,MATCH(K482,Lists!$I$2:$I$15,0)),-1)&gt;=6,M482="N"),"status "&amp;K482&amp;" but no tracker row",IF(AND(L482="Y",K482&lt;&gt;"do_not_contact"),"do_not_contact = Y but status is "&amp;K482,IF(AND(K482="do_not_contact",L482&lt;&gt;"Y"),"status do_not_contact but do_not_contact is not Y",""))))))</f>
        <v/>
      </c>
    </row>
    <row r="483">
      <c r="B483" s="17" t="n">
        <v>462</v>
      </c>
      <c r="C483" s="17">
        <f>IFERROR(INDEX(Clay_Offices!$A$2:$FZ$601,B483,$C$5)&amp;"","")</f>
        <v/>
      </c>
      <c r="D483" s="17">
        <f>IFERROR(INDEX(Clay_Offices!$A$2:$FZ$601,B483,$C$7)&amp;"","")</f>
        <v/>
      </c>
      <c r="E483" s="17">
        <f>IFERROR(INDEX(Clay_Offices!$A$2:$FZ$601,B483,$C$8)&amp;"","")</f>
        <v/>
      </c>
      <c r="F483" s="17">
        <f>IF(C483="","",IF(COUNTIF(Office_Log!$A$2:$A$201,C483)&gt;0,"Y","N"))</f>
        <v/>
      </c>
      <c r="G483" s="17">
        <f>IF(OR(C483="",AND(LEFT(C483,6)="SAMPLE",Config!$B$19&lt;&gt;"Y")),"",IF(IFERROR(INDEX(Lists!$J$2:$J$15,MATCH(D483,Lists!$I$2:$I$15,0)),-1)=-1,"status '"&amp;D483&amp;"' is not a CONTRACTS status",IF(AND(D483="signed",COUNTIF(signed_offices!$W$2:$W$51,C483)=0),"status signed but no signed_offices row"&amp;IF(F483="N"," and no tracker row",""),IF(AND(IFERROR(INDEX(Lists!$J$2:$J$15,MATCH(D483,Lists!$I$2:$I$15,0)),-1)&gt;=6,F483="N"),"status "&amp;D483&amp;" but no tracker row",IF(AND(E483="Y",D483&lt;&gt;"do_not_contact"),"do_not_contact = Y but status is "&amp;D483,IF(AND(D483="do_not_contact",E483&lt;&gt;"Y"),"status do_not_contact but do_not_contact is not Y",""))))))</f>
        <v/>
      </c>
      <c r="I483" s="17" t="n">
        <v>462</v>
      </c>
      <c r="J483" s="17">
        <f>IFERROR(INDEX(Clay_Brands!$A$2:$FZ$601,I483,$D$5)&amp;"","")</f>
        <v/>
      </c>
      <c r="K483" s="17">
        <f>IFERROR(INDEX(Clay_Brands!$A$2:$FZ$601,I483,$D$7)&amp;"","")</f>
        <v/>
      </c>
      <c r="L483" s="17">
        <f>IFERROR(INDEX(Clay_Brands!$A$2:$FZ$601,I483,$D$8)&amp;"","")</f>
        <v/>
      </c>
      <c r="M483" s="17">
        <f>IF(J483="","",IF(COUNTIF(Brand_Log!$A$2:$A$201,J483)&gt;0,"Y","N"))</f>
        <v/>
      </c>
      <c r="N483" s="17">
        <f>IF(OR(J483="",AND(LEFT(J483,6)="SAMPLE",Config!$B$19&lt;&gt;"Y")),"",IF(IFERROR(INDEX(Lists!$J$2:$J$15,MATCH(K483,Lists!$I$2:$I$15,0)),-1)=-1,"status '"&amp;K483&amp;"' is not a CONTRACTS status",IF(AND(K483="paid",COUNTIF(paid_brands!$AC$2:$AC$51,J483)=0),"status paid but no paid_brands row"&amp;IF(M483="N"," and no tracker row",""),IF(AND(IFERROR(INDEX(Lists!$J$2:$J$15,MATCH(K483,Lists!$I$2:$I$15,0)),-1)&gt;=6,M483="N"),"status "&amp;K483&amp;" but no tracker row",IF(AND(L483="Y",K483&lt;&gt;"do_not_contact"),"do_not_contact = Y but status is "&amp;K483,IF(AND(K483="do_not_contact",L483&lt;&gt;"Y"),"status do_not_contact but do_not_contact is not Y",""))))))</f>
        <v/>
      </c>
    </row>
    <row r="484">
      <c r="B484" s="17" t="n">
        <v>463</v>
      </c>
      <c r="C484" s="17">
        <f>IFERROR(INDEX(Clay_Offices!$A$2:$FZ$601,B484,$C$5)&amp;"","")</f>
        <v/>
      </c>
      <c r="D484" s="17">
        <f>IFERROR(INDEX(Clay_Offices!$A$2:$FZ$601,B484,$C$7)&amp;"","")</f>
        <v/>
      </c>
      <c r="E484" s="17">
        <f>IFERROR(INDEX(Clay_Offices!$A$2:$FZ$601,B484,$C$8)&amp;"","")</f>
        <v/>
      </c>
      <c r="F484" s="17">
        <f>IF(C484="","",IF(COUNTIF(Office_Log!$A$2:$A$201,C484)&gt;0,"Y","N"))</f>
        <v/>
      </c>
      <c r="G484" s="17">
        <f>IF(OR(C484="",AND(LEFT(C484,6)="SAMPLE",Config!$B$19&lt;&gt;"Y")),"",IF(IFERROR(INDEX(Lists!$J$2:$J$15,MATCH(D484,Lists!$I$2:$I$15,0)),-1)=-1,"status '"&amp;D484&amp;"' is not a CONTRACTS status",IF(AND(D484="signed",COUNTIF(signed_offices!$W$2:$W$51,C484)=0),"status signed but no signed_offices row"&amp;IF(F484="N"," and no tracker row",""),IF(AND(IFERROR(INDEX(Lists!$J$2:$J$15,MATCH(D484,Lists!$I$2:$I$15,0)),-1)&gt;=6,F484="N"),"status "&amp;D484&amp;" but no tracker row",IF(AND(E484="Y",D484&lt;&gt;"do_not_contact"),"do_not_contact = Y but status is "&amp;D484,IF(AND(D484="do_not_contact",E484&lt;&gt;"Y"),"status do_not_contact but do_not_contact is not Y",""))))))</f>
        <v/>
      </c>
      <c r="I484" s="17" t="n">
        <v>463</v>
      </c>
      <c r="J484" s="17">
        <f>IFERROR(INDEX(Clay_Brands!$A$2:$FZ$601,I484,$D$5)&amp;"","")</f>
        <v/>
      </c>
      <c r="K484" s="17">
        <f>IFERROR(INDEX(Clay_Brands!$A$2:$FZ$601,I484,$D$7)&amp;"","")</f>
        <v/>
      </c>
      <c r="L484" s="17">
        <f>IFERROR(INDEX(Clay_Brands!$A$2:$FZ$601,I484,$D$8)&amp;"","")</f>
        <v/>
      </c>
      <c r="M484" s="17">
        <f>IF(J484="","",IF(COUNTIF(Brand_Log!$A$2:$A$201,J484)&gt;0,"Y","N"))</f>
        <v/>
      </c>
      <c r="N484" s="17">
        <f>IF(OR(J484="",AND(LEFT(J484,6)="SAMPLE",Config!$B$19&lt;&gt;"Y")),"",IF(IFERROR(INDEX(Lists!$J$2:$J$15,MATCH(K484,Lists!$I$2:$I$15,0)),-1)=-1,"status '"&amp;K484&amp;"' is not a CONTRACTS status",IF(AND(K484="paid",COUNTIF(paid_brands!$AC$2:$AC$51,J484)=0),"status paid but no paid_brands row"&amp;IF(M484="N"," and no tracker row",""),IF(AND(IFERROR(INDEX(Lists!$J$2:$J$15,MATCH(K484,Lists!$I$2:$I$15,0)),-1)&gt;=6,M484="N"),"status "&amp;K484&amp;" but no tracker row",IF(AND(L484="Y",K484&lt;&gt;"do_not_contact"),"do_not_contact = Y but status is "&amp;K484,IF(AND(K484="do_not_contact",L484&lt;&gt;"Y"),"status do_not_contact but do_not_contact is not Y",""))))))</f>
        <v/>
      </c>
    </row>
    <row r="485">
      <c r="B485" s="17" t="n">
        <v>464</v>
      </c>
      <c r="C485" s="17">
        <f>IFERROR(INDEX(Clay_Offices!$A$2:$FZ$601,B485,$C$5)&amp;"","")</f>
        <v/>
      </c>
      <c r="D485" s="17">
        <f>IFERROR(INDEX(Clay_Offices!$A$2:$FZ$601,B485,$C$7)&amp;"","")</f>
        <v/>
      </c>
      <c r="E485" s="17">
        <f>IFERROR(INDEX(Clay_Offices!$A$2:$FZ$601,B485,$C$8)&amp;"","")</f>
        <v/>
      </c>
      <c r="F485" s="17">
        <f>IF(C485="","",IF(COUNTIF(Office_Log!$A$2:$A$201,C485)&gt;0,"Y","N"))</f>
        <v/>
      </c>
      <c r="G485" s="17">
        <f>IF(OR(C485="",AND(LEFT(C485,6)="SAMPLE",Config!$B$19&lt;&gt;"Y")),"",IF(IFERROR(INDEX(Lists!$J$2:$J$15,MATCH(D485,Lists!$I$2:$I$15,0)),-1)=-1,"status '"&amp;D485&amp;"' is not a CONTRACTS status",IF(AND(D485="signed",COUNTIF(signed_offices!$W$2:$W$51,C485)=0),"status signed but no signed_offices row"&amp;IF(F485="N"," and no tracker row",""),IF(AND(IFERROR(INDEX(Lists!$J$2:$J$15,MATCH(D485,Lists!$I$2:$I$15,0)),-1)&gt;=6,F485="N"),"status "&amp;D485&amp;" but no tracker row",IF(AND(E485="Y",D485&lt;&gt;"do_not_contact"),"do_not_contact = Y but status is "&amp;D485,IF(AND(D485="do_not_contact",E485&lt;&gt;"Y"),"status do_not_contact but do_not_contact is not Y",""))))))</f>
        <v/>
      </c>
      <c r="I485" s="17" t="n">
        <v>464</v>
      </c>
      <c r="J485" s="17">
        <f>IFERROR(INDEX(Clay_Brands!$A$2:$FZ$601,I485,$D$5)&amp;"","")</f>
        <v/>
      </c>
      <c r="K485" s="17">
        <f>IFERROR(INDEX(Clay_Brands!$A$2:$FZ$601,I485,$D$7)&amp;"","")</f>
        <v/>
      </c>
      <c r="L485" s="17">
        <f>IFERROR(INDEX(Clay_Brands!$A$2:$FZ$601,I485,$D$8)&amp;"","")</f>
        <v/>
      </c>
      <c r="M485" s="17">
        <f>IF(J485="","",IF(COUNTIF(Brand_Log!$A$2:$A$201,J485)&gt;0,"Y","N"))</f>
        <v/>
      </c>
      <c r="N485" s="17">
        <f>IF(OR(J485="",AND(LEFT(J485,6)="SAMPLE",Config!$B$19&lt;&gt;"Y")),"",IF(IFERROR(INDEX(Lists!$J$2:$J$15,MATCH(K485,Lists!$I$2:$I$15,0)),-1)=-1,"status '"&amp;K485&amp;"' is not a CONTRACTS status",IF(AND(K485="paid",COUNTIF(paid_brands!$AC$2:$AC$51,J485)=0),"status paid but no paid_brands row"&amp;IF(M485="N"," and no tracker row",""),IF(AND(IFERROR(INDEX(Lists!$J$2:$J$15,MATCH(K485,Lists!$I$2:$I$15,0)),-1)&gt;=6,M485="N"),"status "&amp;K485&amp;" but no tracker row",IF(AND(L485="Y",K485&lt;&gt;"do_not_contact"),"do_not_contact = Y but status is "&amp;K485,IF(AND(K485="do_not_contact",L485&lt;&gt;"Y"),"status do_not_contact but do_not_contact is not Y",""))))))</f>
        <v/>
      </c>
    </row>
    <row r="486">
      <c r="B486" s="17" t="n">
        <v>465</v>
      </c>
      <c r="C486" s="17">
        <f>IFERROR(INDEX(Clay_Offices!$A$2:$FZ$601,B486,$C$5)&amp;"","")</f>
        <v/>
      </c>
      <c r="D486" s="17">
        <f>IFERROR(INDEX(Clay_Offices!$A$2:$FZ$601,B486,$C$7)&amp;"","")</f>
        <v/>
      </c>
      <c r="E486" s="17">
        <f>IFERROR(INDEX(Clay_Offices!$A$2:$FZ$601,B486,$C$8)&amp;"","")</f>
        <v/>
      </c>
      <c r="F486" s="17">
        <f>IF(C486="","",IF(COUNTIF(Office_Log!$A$2:$A$201,C486)&gt;0,"Y","N"))</f>
        <v/>
      </c>
      <c r="G486" s="17">
        <f>IF(OR(C486="",AND(LEFT(C486,6)="SAMPLE",Config!$B$19&lt;&gt;"Y")),"",IF(IFERROR(INDEX(Lists!$J$2:$J$15,MATCH(D486,Lists!$I$2:$I$15,0)),-1)=-1,"status '"&amp;D486&amp;"' is not a CONTRACTS status",IF(AND(D486="signed",COUNTIF(signed_offices!$W$2:$W$51,C486)=0),"status signed but no signed_offices row"&amp;IF(F486="N"," and no tracker row",""),IF(AND(IFERROR(INDEX(Lists!$J$2:$J$15,MATCH(D486,Lists!$I$2:$I$15,0)),-1)&gt;=6,F486="N"),"status "&amp;D486&amp;" but no tracker row",IF(AND(E486="Y",D486&lt;&gt;"do_not_contact"),"do_not_contact = Y but status is "&amp;D486,IF(AND(D486="do_not_contact",E486&lt;&gt;"Y"),"status do_not_contact but do_not_contact is not Y",""))))))</f>
        <v/>
      </c>
      <c r="I486" s="17" t="n">
        <v>465</v>
      </c>
      <c r="J486" s="17">
        <f>IFERROR(INDEX(Clay_Brands!$A$2:$FZ$601,I486,$D$5)&amp;"","")</f>
        <v/>
      </c>
      <c r="K486" s="17">
        <f>IFERROR(INDEX(Clay_Brands!$A$2:$FZ$601,I486,$D$7)&amp;"","")</f>
        <v/>
      </c>
      <c r="L486" s="17">
        <f>IFERROR(INDEX(Clay_Brands!$A$2:$FZ$601,I486,$D$8)&amp;"","")</f>
        <v/>
      </c>
      <c r="M486" s="17">
        <f>IF(J486="","",IF(COUNTIF(Brand_Log!$A$2:$A$201,J486)&gt;0,"Y","N"))</f>
        <v/>
      </c>
      <c r="N486" s="17">
        <f>IF(OR(J486="",AND(LEFT(J486,6)="SAMPLE",Config!$B$19&lt;&gt;"Y")),"",IF(IFERROR(INDEX(Lists!$J$2:$J$15,MATCH(K486,Lists!$I$2:$I$15,0)),-1)=-1,"status '"&amp;K486&amp;"' is not a CONTRACTS status",IF(AND(K486="paid",COUNTIF(paid_brands!$AC$2:$AC$51,J486)=0),"status paid but no paid_brands row"&amp;IF(M486="N"," and no tracker row",""),IF(AND(IFERROR(INDEX(Lists!$J$2:$J$15,MATCH(K486,Lists!$I$2:$I$15,0)),-1)&gt;=6,M486="N"),"status "&amp;K486&amp;" but no tracker row",IF(AND(L486="Y",K486&lt;&gt;"do_not_contact"),"do_not_contact = Y but status is "&amp;K486,IF(AND(K486="do_not_contact",L486&lt;&gt;"Y"),"status do_not_contact but do_not_contact is not Y",""))))))</f>
        <v/>
      </c>
    </row>
    <row r="487">
      <c r="B487" s="17" t="n">
        <v>466</v>
      </c>
      <c r="C487" s="17">
        <f>IFERROR(INDEX(Clay_Offices!$A$2:$FZ$601,B487,$C$5)&amp;"","")</f>
        <v/>
      </c>
      <c r="D487" s="17">
        <f>IFERROR(INDEX(Clay_Offices!$A$2:$FZ$601,B487,$C$7)&amp;"","")</f>
        <v/>
      </c>
      <c r="E487" s="17">
        <f>IFERROR(INDEX(Clay_Offices!$A$2:$FZ$601,B487,$C$8)&amp;"","")</f>
        <v/>
      </c>
      <c r="F487" s="17">
        <f>IF(C487="","",IF(COUNTIF(Office_Log!$A$2:$A$201,C487)&gt;0,"Y","N"))</f>
        <v/>
      </c>
      <c r="G487" s="17">
        <f>IF(OR(C487="",AND(LEFT(C487,6)="SAMPLE",Config!$B$19&lt;&gt;"Y")),"",IF(IFERROR(INDEX(Lists!$J$2:$J$15,MATCH(D487,Lists!$I$2:$I$15,0)),-1)=-1,"status '"&amp;D487&amp;"' is not a CONTRACTS status",IF(AND(D487="signed",COUNTIF(signed_offices!$W$2:$W$51,C487)=0),"status signed but no signed_offices row"&amp;IF(F487="N"," and no tracker row",""),IF(AND(IFERROR(INDEX(Lists!$J$2:$J$15,MATCH(D487,Lists!$I$2:$I$15,0)),-1)&gt;=6,F487="N"),"status "&amp;D487&amp;" but no tracker row",IF(AND(E487="Y",D487&lt;&gt;"do_not_contact"),"do_not_contact = Y but status is "&amp;D487,IF(AND(D487="do_not_contact",E487&lt;&gt;"Y"),"status do_not_contact but do_not_contact is not Y",""))))))</f>
        <v/>
      </c>
      <c r="I487" s="17" t="n">
        <v>466</v>
      </c>
      <c r="J487" s="17">
        <f>IFERROR(INDEX(Clay_Brands!$A$2:$FZ$601,I487,$D$5)&amp;"","")</f>
        <v/>
      </c>
      <c r="K487" s="17">
        <f>IFERROR(INDEX(Clay_Brands!$A$2:$FZ$601,I487,$D$7)&amp;"","")</f>
        <v/>
      </c>
      <c r="L487" s="17">
        <f>IFERROR(INDEX(Clay_Brands!$A$2:$FZ$601,I487,$D$8)&amp;"","")</f>
        <v/>
      </c>
      <c r="M487" s="17">
        <f>IF(J487="","",IF(COUNTIF(Brand_Log!$A$2:$A$201,J487)&gt;0,"Y","N"))</f>
        <v/>
      </c>
      <c r="N487" s="17">
        <f>IF(OR(J487="",AND(LEFT(J487,6)="SAMPLE",Config!$B$19&lt;&gt;"Y")),"",IF(IFERROR(INDEX(Lists!$J$2:$J$15,MATCH(K487,Lists!$I$2:$I$15,0)),-1)=-1,"status '"&amp;K487&amp;"' is not a CONTRACTS status",IF(AND(K487="paid",COUNTIF(paid_brands!$AC$2:$AC$51,J487)=0),"status paid but no paid_brands row"&amp;IF(M487="N"," and no tracker row",""),IF(AND(IFERROR(INDEX(Lists!$J$2:$J$15,MATCH(K487,Lists!$I$2:$I$15,0)),-1)&gt;=6,M487="N"),"status "&amp;K487&amp;" but no tracker row",IF(AND(L487="Y",K487&lt;&gt;"do_not_contact"),"do_not_contact = Y but status is "&amp;K487,IF(AND(K487="do_not_contact",L487&lt;&gt;"Y"),"status do_not_contact but do_not_contact is not Y",""))))))</f>
        <v/>
      </c>
    </row>
    <row r="488">
      <c r="B488" s="17" t="n">
        <v>467</v>
      </c>
      <c r="C488" s="17">
        <f>IFERROR(INDEX(Clay_Offices!$A$2:$FZ$601,B488,$C$5)&amp;"","")</f>
        <v/>
      </c>
      <c r="D488" s="17">
        <f>IFERROR(INDEX(Clay_Offices!$A$2:$FZ$601,B488,$C$7)&amp;"","")</f>
        <v/>
      </c>
      <c r="E488" s="17">
        <f>IFERROR(INDEX(Clay_Offices!$A$2:$FZ$601,B488,$C$8)&amp;"","")</f>
        <v/>
      </c>
      <c r="F488" s="17">
        <f>IF(C488="","",IF(COUNTIF(Office_Log!$A$2:$A$201,C488)&gt;0,"Y","N"))</f>
        <v/>
      </c>
      <c r="G488" s="17">
        <f>IF(OR(C488="",AND(LEFT(C488,6)="SAMPLE",Config!$B$19&lt;&gt;"Y")),"",IF(IFERROR(INDEX(Lists!$J$2:$J$15,MATCH(D488,Lists!$I$2:$I$15,0)),-1)=-1,"status '"&amp;D488&amp;"' is not a CONTRACTS status",IF(AND(D488="signed",COUNTIF(signed_offices!$W$2:$W$51,C488)=0),"status signed but no signed_offices row"&amp;IF(F488="N"," and no tracker row",""),IF(AND(IFERROR(INDEX(Lists!$J$2:$J$15,MATCH(D488,Lists!$I$2:$I$15,0)),-1)&gt;=6,F488="N"),"status "&amp;D488&amp;" but no tracker row",IF(AND(E488="Y",D488&lt;&gt;"do_not_contact"),"do_not_contact = Y but status is "&amp;D488,IF(AND(D488="do_not_contact",E488&lt;&gt;"Y"),"status do_not_contact but do_not_contact is not Y",""))))))</f>
        <v/>
      </c>
      <c r="I488" s="17" t="n">
        <v>467</v>
      </c>
      <c r="J488" s="17">
        <f>IFERROR(INDEX(Clay_Brands!$A$2:$FZ$601,I488,$D$5)&amp;"","")</f>
        <v/>
      </c>
      <c r="K488" s="17">
        <f>IFERROR(INDEX(Clay_Brands!$A$2:$FZ$601,I488,$D$7)&amp;"","")</f>
        <v/>
      </c>
      <c r="L488" s="17">
        <f>IFERROR(INDEX(Clay_Brands!$A$2:$FZ$601,I488,$D$8)&amp;"","")</f>
        <v/>
      </c>
      <c r="M488" s="17">
        <f>IF(J488="","",IF(COUNTIF(Brand_Log!$A$2:$A$201,J488)&gt;0,"Y","N"))</f>
        <v/>
      </c>
      <c r="N488" s="17">
        <f>IF(OR(J488="",AND(LEFT(J488,6)="SAMPLE",Config!$B$19&lt;&gt;"Y")),"",IF(IFERROR(INDEX(Lists!$J$2:$J$15,MATCH(K488,Lists!$I$2:$I$15,0)),-1)=-1,"status '"&amp;K488&amp;"' is not a CONTRACTS status",IF(AND(K488="paid",COUNTIF(paid_brands!$AC$2:$AC$51,J488)=0),"status paid but no paid_brands row"&amp;IF(M488="N"," and no tracker row",""),IF(AND(IFERROR(INDEX(Lists!$J$2:$J$15,MATCH(K488,Lists!$I$2:$I$15,0)),-1)&gt;=6,M488="N"),"status "&amp;K488&amp;" but no tracker row",IF(AND(L488="Y",K488&lt;&gt;"do_not_contact"),"do_not_contact = Y but status is "&amp;K488,IF(AND(K488="do_not_contact",L488&lt;&gt;"Y"),"status do_not_contact but do_not_contact is not Y",""))))))</f>
        <v/>
      </c>
    </row>
    <row r="489">
      <c r="B489" s="17" t="n">
        <v>468</v>
      </c>
      <c r="C489" s="17">
        <f>IFERROR(INDEX(Clay_Offices!$A$2:$FZ$601,B489,$C$5)&amp;"","")</f>
        <v/>
      </c>
      <c r="D489" s="17">
        <f>IFERROR(INDEX(Clay_Offices!$A$2:$FZ$601,B489,$C$7)&amp;"","")</f>
        <v/>
      </c>
      <c r="E489" s="17">
        <f>IFERROR(INDEX(Clay_Offices!$A$2:$FZ$601,B489,$C$8)&amp;"","")</f>
        <v/>
      </c>
      <c r="F489" s="17">
        <f>IF(C489="","",IF(COUNTIF(Office_Log!$A$2:$A$201,C489)&gt;0,"Y","N"))</f>
        <v/>
      </c>
      <c r="G489" s="17">
        <f>IF(OR(C489="",AND(LEFT(C489,6)="SAMPLE",Config!$B$19&lt;&gt;"Y")),"",IF(IFERROR(INDEX(Lists!$J$2:$J$15,MATCH(D489,Lists!$I$2:$I$15,0)),-1)=-1,"status '"&amp;D489&amp;"' is not a CONTRACTS status",IF(AND(D489="signed",COUNTIF(signed_offices!$W$2:$W$51,C489)=0),"status signed but no signed_offices row"&amp;IF(F489="N"," and no tracker row",""),IF(AND(IFERROR(INDEX(Lists!$J$2:$J$15,MATCH(D489,Lists!$I$2:$I$15,0)),-1)&gt;=6,F489="N"),"status "&amp;D489&amp;" but no tracker row",IF(AND(E489="Y",D489&lt;&gt;"do_not_contact"),"do_not_contact = Y but status is "&amp;D489,IF(AND(D489="do_not_contact",E489&lt;&gt;"Y"),"status do_not_contact but do_not_contact is not Y",""))))))</f>
        <v/>
      </c>
      <c r="I489" s="17" t="n">
        <v>468</v>
      </c>
      <c r="J489" s="17">
        <f>IFERROR(INDEX(Clay_Brands!$A$2:$FZ$601,I489,$D$5)&amp;"","")</f>
        <v/>
      </c>
      <c r="K489" s="17">
        <f>IFERROR(INDEX(Clay_Brands!$A$2:$FZ$601,I489,$D$7)&amp;"","")</f>
        <v/>
      </c>
      <c r="L489" s="17">
        <f>IFERROR(INDEX(Clay_Brands!$A$2:$FZ$601,I489,$D$8)&amp;"","")</f>
        <v/>
      </c>
      <c r="M489" s="17">
        <f>IF(J489="","",IF(COUNTIF(Brand_Log!$A$2:$A$201,J489)&gt;0,"Y","N"))</f>
        <v/>
      </c>
      <c r="N489" s="17">
        <f>IF(OR(J489="",AND(LEFT(J489,6)="SAMPLE",Config!$B$19&lt;&gt;"Y")),"",IF(IFERROR(INDEX(Lists!$J$2:$J$15,MATCH(K489,Lists!$I$2:$I$15,0)),-1)=-1,"status '"&amp;K489&amp;"' is not a CONTRACTS status",IF(AND(K489="paid",COUNTIF(paid_brands!$AC$2:$AC$51,J489)=0),"status paid but no paid_brands row"&amp;IF(M489="N"," and no tracker row",""),IF(AND(IFERROR(INDEX(Lists!$J$2:$J$15,MATCH(K489,Lists!$I$2:$I$15,0)),-1)&gt;=6,M489="N"),"status "&amp;K489&amp;" but no tracker row",IF(AND(L489="Y",K489&lt;&gt;"do_not_contact"),"do_not_contact = Y but status is "&amp;K489,IF(AND(K489="do_not_contact",L489&lt;&gt;"Y"),"status do_not_contact but do_not_contact is not Y",""))))))</f>
        <v/>
      </c>
    </row>
    <row r="490">
      <c r="B490" s="17" t="n">
        <v>469</v>
      </c>
      <c r="C490" s="17">
        <f>IFERROR(INDEX(Clay_Offices!$A$2:$FZ$601,B490,$C$5)&amp;"","")</f>
        <v/>
      </c>
      <c r="D490" s="17">
        <f>IFERROR(INDEX(Clay_Offices!$A$2:$FZ$601,B490,$C$7)&amp;"","")</f>
        <v/>
      </c>
      <c r="E490" s="17">
        <f>IFERROR(INDEX(Clay_Offices!$A$2:$FZ$601,B490,$C$8)&amp;"","")</f>
        <v/>
      </c>
      <c r="F490" s="17">
        <f>IF(C490="","",IF(COUNTIF(Office_Log!$A$2:$A$201,C490)&gt;0,"Y","N"))</f>
        <v/>
      </c>
      <c r="G490" s="17">
        <f>IF(OR(C490="",AND(LEFT(C490,6)="SAMPLE",Config!$B$19&lt;&gt;"Y")),"",IF(IFERROR(INDEX(Lists!$J$2:$J$15,MATCH(D490,Lists!$I$2:$I$15,0)),-1)=-1,"status '"&amp;D490&amp;"' is not a CONTRACTS status",IF(AND(D490="signed",COUNTIF(signed_offices!$W$2:$W$51,C490)=0),"status signed but no signed_offices row"&amp;IF(F490="N"," and no tracker row",""),IF(AND(IFERROR(INDEX(Lists!$J$2:$J$15,MATCH(D490,Lists!$I$2:$I$15,0)),-1)&gt;=6,F490="N"),"status "&amp;D490&amp;" but no tracker row",IF(AND(E490="Y",D490&lt;&gt;"do_not_contact"),"do_not_contact = Y but status is "&amp;D490,IF(AND(D490="do_not_contact",E490&lt;&gt;"Y"),"status do_not_contact but do_not_contact is not Y",""))))))</f>
        <v/>
      </c>
      <c r="I490" s="17" t="n">
        <v>469</v>
      </c>
      <c r="J490" s="17">
        <f>IFERROR(INDEX(Clay_Brands!$A$2:$FZ$601,I490,$D$5)&amp;"","")</f>
        <v/>
      </c>
      <c r="K490" s="17">
        <f>IFERROR(INDEX(Clay_Brands!$A$2:$FZ$601,I490,$D$7)&amp;"","")</f>
        <v/>
      </c>
      <c r="L490" s="17">
        <f>IFERROR(INDEX(Clay_Brands!$A$2:$FZ$601,I490,$D$8)&amp;"","")</f>
        <v/>
      </c>
      <c r="M490" s="17">
        <f>IF(J490="","",IF(COUNTIF(Brand_Log!$A$2:$A$201,J490)&gt;0,"Y","N"))</f>
        <v/>
      </c>
      <c r="N490" s="17">
        <f>IF(OR(J490="",AND(LEFT(J490,6)="SAMPLE",Config!$B$19&lt;&gt;"Y")),"",IF(IFERROR(INDEX(Lists!$J$2:$J$15,MATCH(K490,Lists!$I$2:$I$15,0)),-1)=-1,"status '"&amp;K490&amp;"' is not a CONTRACTS status",IF(AND(K490="paid",COUNTIF(paid_brands!$AC$2:$AC$51,J490)=0),"status paid but no paid_brands row"&amp;IF(M490="N"," and no tracker row",""),IF(AND(IFERROR(INDEX(Lists!$J$2:$J$15,MATCH(K490,Lists!$I$2:$I$15,0)),-1)&gt;=6,M490="N"),"status "&amp;K490&amp;" but no tracker row",IF(AND(L490="Y",K490&lt;&gt;"do_not_contact"),"do_not_contact = Y but status is "&amp;K490,IF(AND(K490="do_not_contact",L490&lt;&gt;"Y"),"status do_not_contact but do_not_contact is not Y",""))))))</f>
        <v/>
      </c>
    </row>
    <row r="491">
      <c r="B491" s="17" t="n">
        <v>470</v>
      </c>
      <c r="C491" s="17">
        <f>IFERROR(INDEX(Clay_Offices!$A$2:$FZ$601,B491,$C$5)&amp;"","")</f>
        <v/>
      </c>
      <c r="D491" s="17">
        <f>IFERROR(INDEX(Clay_Offices!$A$2:$FZ$601,B491,$C$7)&amp;"","")</f>
        <v/>
      </c>
      <c r="E491" s="17">
        <f>IFERROR(INDEX(Clay_Offices!$A$2:$FZ$601,B491,$C$8)&amp;"","")</f>
        <v/>
      </c>
      <c r="F491" s="17">
        <f>IF(C491="","",IF(COUNTIF(Office_Log!$A$2:$A$201,C491)&gt;0,"Y","N"))</f>
        <v/>
      </c>
      <c r="G491" s="17">
        <f>IF(OR(C491="",AND(LEFT(C491,6)="SAMPLE",Config!$B$19&lt;&gt;"Y")),"",IF(IFERROR(INDEX(Lists!$J$2:$J$15,MATCH(D491,Lists!$I$2:$I$15,0)),-1)=-1,"status '"&amp;D491&amp;"' is not a CONTRACTS status",IF(AND(D491="signed",COUNTIF(signed_offices!$W$2:$W$51,C491)=0),"status signed but no signed_offices row"&amp;IF(F491="N"," and no tracker row",""),IF(AND(IFERROR(INDEX(Lists!$J$2:$J$15,MATCH(D491,Lists!$I$2:$I$15,0)),-1)&gt;=6,F491="N"),"status "&amp;D491&amp;" but no tracker row",IF(AND(E491="Y",D491&lt;&gt;"do_not_contact"),"do_not_contact = Y but status is "&amp;D491,IF(AND(D491="do_not_contact",E491&lt;&gt;"Y"),"status do_not_contact but do_not_contact is not Y",""))))))</f>
        <v/>
      </c>
      <c r="I491" s="17" t="n">
        <v>470</v>
      </c>
      <c r="J491" s="17">
        <f>IFERROR(INDEX(Clay_Brands!$A$2:$FZ$601,I491,$D$5)&amp;"","")</f>
        <v/>
      </c>
      <c r="K491" s="17">
        <f>IFERROR(INDEX(Clay_Brands!$A$2:$FZ$601,I491,$D$7)&amp;"","")</f>
        <v/>
      </c>
      <c r="L491" s="17">
        <f>IFERROR(INDEX(Clay_Brands!$A$2:$FZ$601,I491,$D$8)&amp;"","")</f>
        <v/>
      </c>
      <c r="M491" s="17">
        <f>IF(J491="","",IF(COUNTIF(Brand_Log!$A$2:$A$201,J491)&gt;0,"Y","N"))</f>
        <v/>
      </c>
      <c r="N491" s="17">
        <f>IF(OR(J491="",AND(LEFT(J491,6)="SAMPLE",Config!$B$19&lt;&gt;"Y")),"",IF(IFERROR(INDEX(Lists!$J$2:$J$15,MATCH(K491,Lists!$I$2:$I$15,0)),-1)=-1,"status '"&amp;K491&amp;"' is not a CONTRACTS status",IF(AND(K491="paid",COUNTIF(paid_brands!$AC$2:$AC$51,J491)=0),"status paid but no paid_brands row"&amp;IF(M491="N"," and no tracker row",""),IF(AND(IFERROR(INDEX(Lists!$J$2:$J$15,MATCH(K491,Lists!$I$2:$I$15,0)),-1)&gt;=6,M491="N"),"status "&amp;K491&amp;" but no tracker row",IF(AND(L491="Y",K491&lt;&gt;"do_not_contact"),"do_not_contact = Y but status is "&amp;K491,IF(AND(K491="do_not_contact",L491&lt;&gt;"Y"),"status do_not_contact but do_not_contact is not Y",""))))))</f>
        <v/>
      </c>
    </row>
    <row r="492">
      <c r="B492" s="17" t="n">
        <v>471</v>
      </c>
      <c r="C492" s="17">
        <f>IFERROR(INDEX(Clay_Offices!$A$2:$FZ$601,B492,$C$5)&amp;"","")</f>
        <v/>
      </c>
      <c r="D492" s="17">
        <f>IFERROR(INDEX(Clay_Offices!$A$2:$FZ$601,B492,$C$7)&amp;"","")</f>
        <v/>
      </c>
      <c r="E492" s="17">
        <f>IFERROR(INDEX(Clay_Offices!$A$2:$FZ$601,B492,$C$8)&amp;"","")</f>
        <v/>
      </c>
      <c r="F492" s="17">
        <f>IF(C492="","",IF(COUNTIF(Office_Log!$A$2:$A$201,C492)&gt;0,"Y","N"))</f>
        <v/>
      </c>
      <c r="G492" s="17">
        <f>IF(OR(C492="",AND(LEFT(C492,6)="SAMPLE",Config!$B$19&lt;&gt;"Y")),"",IF(IFERROR(INDEX(Lists!$J$2:$J$15,MATCH(D492,Lists!$I$2:$I$15,0)),-1)=-1,"status '"&amp;D492&amp;"' is not a CONTRACTS status",IF(AND(D492="signed",COUNTIF(signed_offices!$W$2:$W$51,C492)=0),"status signed but no signed_offices row"&amp;IF(F492="N"," and no tracker row",""),IF(AND(IFERROR(INDEX(Lists!$J$2:$J$15,MATCH(D492,Lists!$I$2:$I$15,0)),-1)&gt;=6,F492="N"),"status "&amp;D492&amp;" but no tracker row",IF(AND(E492="Y",D492&lt;&gt;"do_not_contact"),"do_not_contact = Y but status is "&amp;D492,IF(AND(D492="do_not_contact",E492&lt;&gt;"Y"),"status do_not_contact but do_not_contact is not Y",""))))))</f>
        <v/>
      </c>
      <c r="I492" s="17" t="n">
        <v>471</v>
      </c>
      <c r="J492" s="17">
        <f>IFERROR(INDEX(Clay_Brands!$A$2:$FZ$601,I492,$D$5)&amp;"","")</f>
        <v/>
      </c>
      <c r="K492" s="17">
        <f>IFERROR(INDEX(Clay_Brands!$A$2:$FZ$601,I492,$D$7)&amp;"","")</f>
        <v/>
      </c>
      <c r="L492" s="17">
        <f>IFERROR(INDEX(Clay_Brands!$A$2:$FZ$601,I492,$D$8)&amp;"","")</f>
        <v/>
      </c>
      <c r="M492" s="17">
        <f>IF(J492="","",IF(COUNTIF(Brand_Log!$A$2:$A$201,J492)&gt;0,"Y","N"))</f>
        <v/>
      </c>
      <c r="N492" s="17">
        <f>IF(OR(J492="",AND(LEFT(J492,6)="SAMPLE",Config!$B$19&lt;&gt;"Y")),"",IF(IFERROR(INDEX(Lists!$J$2:$J$15,MATCH(K492,Lists!$I$2:$I$15,0)),-1)=-1,"status '"&amp;K492&amp;"' is not a CONTRACTS status",IF(AND(K492="paid",COUNTIF(paid_brands!$AC$2:$AC$51,J492)=0),"status paid but no paid_brands row"&amp;IF(M492="N"," and no tracker row",""),IF(AND(IFERROR(INDEX(Lists!$J$2:$J$15,MATCH(K492,Lists!$I$2:$I$15,0)),-1)&gt;=6,M492="N"),"status "&amp;K492&amp;" but no tracker row",IF(AND(L492="Y",K492&lt;&gt;"do_not_contact"),"do_not_contact = Y but status is "&amp;K492,IF(AND(K492="do_not_contact",L492&lt;&gt;"Y"),"status do_not_contact but do_not_contact is not Y",""))))))</f>
        <v/>
      </c>
    </row>
    <row r="493">
      <c r="B493" s="17" t="n">
        <v>472</v>
      </c>
      <c r="C493" s="17">
        <f>IFERROR(INDEX(Clay_Offices!$A$2:$FZ$601,B493,$C$5)&amp;"","")</f>
        <v/>
      </c>
      <c r="D493" s="17">
        <f>IFERROR(INDEX(Clay_Offices!$A$2:$FZ$601,B493,$C$7)&amp;"","")</f>
        <v/>
      </c>
      <c r="E493" s="17">
        <f>IFERROR(INDEX(Clay_Offices!$A$2:$FZ$601,B493,$C$8)&amp;"","")</f>
        <v/>
      </c>
      <c r="F493" s="17">
        <f>IF(C493="","",IF(COUNTIF(Office_Log!$A$2:$A$201,C493)&gt;0,"Y","N"))</f>
        <v/>
      </c>
      <c r="G493" s="17">
        <f>IF(OR(C493="",AND(LEFT(C493,6)="SAMPLE",Config!$B$19&lt;&gt;"Y")),"",IF(IFERROR(INDEX(Lists!$J$2:$J$15,MATCH(D493,Lists!$I$2:$I$15,0)),-1)=-1,"status '"&amp;D493&amp;"' is not a CONTRACTS status",IF(AND(D493="signed",COUNTIF(signed_offices!$W$2:$W$51,C493)=0),"status signed but no signed_offices row"&amp;IF(F493="N"," and no tracker row",""),IF(AND(IFERROR(INDEX(Lists!$J$2:$J$15,MATCH(D493,Lists!$I$2:$I$15,0)),-1)&gt;=6,F493="N"),"status "&amp;D493&amp;" but no tracker row",IF(AND(E493="Y",D493&lt;&gt;"do_not_contact"),"do_not_contact = Y but status is "&amp;D493,IF(AND(D493="do_not_contact",E493&lt;&gt;"Y"),"status do_not_contact but do_not_contact is not Y",""))))))</f>
        <v/>
      </c>
      <c r="I493" s="17" t="n">
        <v>472</v>
      </c>
      <c r="J493" s="17">
        <f>IFERROR(INDEX(Clay_Brands!$A$2:$FZ$601,I493,$D$5)&amp;"","")</f>
        <v/>
      </c>
      <c r="K493" s="17">
        <f>IFERROR(INDEX(Clay_Brands!$A$2:$FZ$601,I493,$D$7)&amp;"","")</f>
        <v/>
      </c>
      <c r="L493" s="17">
        <f>IFERROR(INDEX(Clay_Brands!$A$2:$FZ$601,I493,$D$8)&amp;"","")</f>
        <v/>
      </c>
      <c r="M493" s="17">
        <f>IF(J493="","",IF(COUNTIF(Brand_Log!$A$2:$A$201,J493)&gt;0,"Y","N"))</f>
        <v/>
      </c>
      <c r="N493" s="17">
        <f>IF(OR(J493="",AND(LEFT(J493,6)="SAMPLE",Config!$B$19&lt;&gt;"Y")),"",IF(IFERROR(INDEX(Lists!$J$2:$J$15,MATCH(K493,Lists!$I$2:$I$15,0)),-1)=-1,"status '"&amp;K493&amp;"' is not a CONTRACTS status",IF(AND(K493="paid",COUNTIF(paid_brands!$AC$2:$AC$51,J493)=0),"status paid but no paid_brands row"&amp;IF(M493="N"," and no tracker row",""),IF(AND(IFERROR(INDEX(Lists!$J$2:$J$15,MATCH(K493,Lists!$I$2:$I$15,0)),-1)&gt;=6,M493="N"),"status "&amp;K493&amp;" but no tracker row",IF(AND(L493="Y",K493&lt;&gt;"do_not_contact"),"do_not_contact = Y but status is "&amp;K493,IF(AND(K493="do_not_contact",L493&lt;&gt;"Y"),"status do_not_contact but do_not_contact is not Y",""))))))</f>
        <v/>
      </c>
    </row>
    <row r="494">
      <c r="B494" s="17" t="n">
        <v>473</v>
      </c>
      <c r="C494" s="17">
        <f>IFERROR(INDEX(Clay_Offices!$A$2:$FZ$601,B494,$C$5)&amp;"","")</f>
        <v/>
      </c>
      <c r="D494" s="17">
        <f>IFERROR(INDEX(Clay_Offices!$A$2:$FZ$601,B494,$C$7)&amp;"","")</f>
        <v/>
      </c>
      <c r="E494" s="17">
        <f>IFERROR(INDEX(Clay_Offices!$A$2:$FZ$601,B494,$C$8)&amp;"","")</f>
        <v/>
      </c>
      <c r="F494" s="17">
        <f>IF(C494="","",IF(COUNTIF(Office_Log!$A$2:$A$201,C494)&gt;0,"Y","N"))</f>
        <v/>
      </c>
      <c r="G494" s="17">
        <f>IF(OR(C494="",AND(LEFT(C494,6)="SAMPLE",Config!$B$19&lt;&gt;"Y")),"",IF(IFERROR(INDEX(Lists!$J$2:$J$15,MATCH(D494,Lists!$I$2:$I$15,0)),-1)=-1,"status '"&amp;D494&amp;"' is not a CONTRACTS status",IF(AND(D494="signed",COUNTIF(signed_offices!$W$2:$W$51,C494)=0),"status signed but no signed_offices row"&amp;IF(F494="N"," and no tracker row",""),IF(AND(IFERROR(INDEX(Lists!$J$2:$J$15,MATCH(D494,Lists!$I$2:$I$15,0)),-1)&gt;=6,F494="N"),"status "&amp;D494&amp;" but no tracker row",IF(AND(E494="Y",D494&lt;&gt;"do_not_contact"),"do_not_contact = Y but status is "&amp;D494,IF(AND(D494="do_not_contact",E494&lt;&gt;"Y"),"status do_not_contact but do_not_contact is not Y",""))))))</f>
        <v/>
      </c>
      <c r="I494" s="17" t="n">
        <v>473</v>
      </c>
      <c r="J494" s="17">
        <f>IFERROR(INDEX(Clay_Brands!$A$2:$FZ$601,I494,$D$5)&amp;"","")</f>
        <v/>
      </c>
      <c r="K494" s="17">
        <f>IFERROR(INDEX(Clay_Brands!$A$2:$FZ$601,I494,$D$7)&amp;"","")</f>
        <v/>
      </c>
      <c r="L494" s="17">
        <f>IFERROR(INDEX(Clay_Brands!$A$2:$FZ$601,I494,$D$8)&amp;"","")</f>
        <v/>
      </c>
      <c r="M494" s="17">
        <f>IF(J494="","",IF(COUNTIF(Brand_Log!$A$2:$A$201,J494)&gt;0,"Y","N"))</f>
        <v/>
      </c>
      <c r="N494" s="17">
        <f>IF(OR(J494="",AND(LEFT(J494,6)="SAMPLE",Config!$B$19&lt;&gt;"Y")),"",IF(IFERROR(INDEX(Lists!$J$2:$J$15,MATCH(K494,Lists!$I$2:$I$15,0)),-1)=-1,"status '"&amp;K494&amp;"' is not a CONTRACTS status",IF(AND(K494="paid",COUNTIF(paid_brands!$AC$2:$AC$51,J494)=0),"status paid but no paid_brands row"&amp;IF(M494="N"," and no tracker row",""),IF(AND(IFERROR(INDEX(Lists!$J$2:$J$15,MATCH(K494,Lists!$I$2:$I$15,0)),-1)&gt;=6,M494="N"),"status "&amp;K494&amp;" but no tracker row",IF(AND(L494="Y",K494&lt;&gt;"do_not_contact"),"do_not_contact = Y but status is "&amp;K494,IF(AND(K494="do_not_contact",L494&lt;&gt;"Y"),"status do_not_contact but do_not_contact is not Y",""))))))</f>
        <v/>
      </c>
    </row>
    <row r="495">
      <c r="B495" s="17" t="n">
        <v>474</v>
      </c>
      <c r="C495" s="17">
        <f>IFERROR(INDEX(Clay_Offices!$A$2:$FZ$601,B495,$C$5)&amp;"","")</f>
        <v/>
      </c>
      <c r="D495" s="17">
        <f>IFERROR(INDEX(Clay_Offices!$A$2:$FZ$601,B495,$C$7)&amp;"","")</f>
        <v/>
      </c>
      <c r="E495" s="17">
        <f>IFERROR(INDEX(Clay_Offices!$A$2:$FZ$601,B495,$C$8)&amp;"","")</f>
        <v/>
      </c>
      <c r="F495" s="17">
        <f>IF(C495="","",IF(COUNTIF(Office_Log!$A$2:$A$201,C495)&gt;0,"Y","N"))</f>
        <v/>
      </c>
      <c r="G495" s="17">
        <f>IF(OR(C495="",AND(LEFT(C495,6)="SAMPLE",Config!$B$19&lt;&gt;"Y")),"",IF(IFERROR(INDEX(Lists!$J$2:$J$15,MATCH(D495,Lists!$I$2:$I$15,0)),-1)=-1,"status '"&amp;D495&amp;"' is not a CONTRACTS status",IF(AND(D495="signed",COUNTIF(signed_offices!$W$2:$W$51,C495)=0),"status signed but no signed_offices row"&amp;IF(F495="N"," and no tracker row",""),IF(AND(IFERROR(INDEX(Lists!$J$2:$J$15,MATCH(D495,Lists!$I$2:$I$15,0)),-1)&gt;=6,F495="N"),"status "&amp;D495&amp;" but no tracker row",IF(AND(E495="Y",D495&lt;&gt;"do_not_contact"),"do_not_contact = Y but status is "&amp;D495,IF(AND(D495="do_not_contact",E495&lt;&gt;"Y"),"status do_not_contact but do_not_contact is not Y",""))))))</f>
        <v/>
      </c>
      <c r="I495" s="17" t="n">
        <v>474</v>
      </c>
      <c r="J495" s="17">
        <f>IFERROR(INDEX(Clay_Brands!$A$2:$FZ$601,I495,$D$5)&amp;"","")</f>
        <v/>
      </c>
      <c r="K495" s="17">
        <f>IFERROR(INDEX(Clay_Brands!$A$2:$FZ$601,I495,$D$7)&amp;"","")</f>
        <v/>
      </c>
      <c r="L495" s="17">
        <f>IFERROR(INDEX(Clay_Brands!$A$2:$FZ$601,I495,$D$8)&amp;"","")</f>
        <v/>
      </c>
      <c r="M495" s="17">
        <f>IF(J495="","",IF(COUNTIF(Brand_Log!$A$2:$A$201,J495)&gt;0,"Y","N"))</f>
        <v/>
      </c>
      <c r="N495" s="17">
        <f>IF(OR(J495="",AND(LEFT(J495,6)="SAMPLE",Config!$B$19&lt;&gt;"Y")),"",IF(IFERROR(INDEX(Lists!$J$2:$J$15,MATCH(K495,Lists!$I$2:$I$15,0)),-1)=-1,"status '"&amp;K495&amp;"' is not a CONTRACTS status",IF(AND(K495="paid",COUNTIF(paid_brands!$AC$2:$AC$51,J495)=0),"status paid but no paid_brands row"&amp;IF(M495="N"," and no tracker row",""),IF(AND(IFERROR(INDEX(Lists!$J$2:$J$15,MATCH(K495,Lists!$I$2:$I$15,0)),-1)&gt;=6,M495="N"),"status "&amp;K495&amp;" but no tracker row",IF(AND(L495="Y",K495&lt;&gt;"do_not_contact"),"do_not_contact = Y but status is "&amp;K495,IF(AND(K495="do_not_contact",L495&lt;&gt;"Y"),"status do_not_contact but do_not_contact is not Y",""))))))</f>
        <v/>
      </c>
    </row>
    <row r="496">
      <c r="B496" s="17" t="n">
        <v>475</v>
      </c>
      <c r="C496" s="17">
        <f>IFERROR(INDEX(Clay_Offices!$A$2:$FZ$601,B496,$C$5)&amp;"","")</f>
        <v/>
      </c>
      <c r="D496" s="17">
        <f>IFERROR(INDEX(Clay_Offices!$A$2:$FZ$601,B496,$C$7)&amp;"","")</f>
        <v/>
      </c>
      <c r="E496" s="17">
        <f>IFERROR(INDEX(Clay_Offices!$A$2:$FZ$601,B496,$C$8)&amp;"","")</f>
        <v/>
      </c>
      <c r="F496" s="17">
        <f>IF(C496="","",IF(COUNTIF(Office_Log!$A$2:$A$201,C496)&gt;0,"Y","N"))</f>
        <v/>
      </c>
      <c r="G496" s="17">
        <f>IF(OR(C496="",AND(LEFT(C496,6)="SAMPLE",Config!$B$19&lt;&gt;"Y")),"",IF(IFERROR(INDEX(Lists!$J$2:$J$15,MATCH(D496,Lists!$I$2:$I$15,0)),-1)=-1,"status '"&amp;D496&amp;"' is not a CONTRACTS status",IF(AND(D496="signed",COUNTIF(signed_offices!$W$2:$W$51,C496)=0),"status signed but no signed_offices row"&amp;IF(F496="N"," and no tracker row",""),IF(AND(IFERROR(INDEX(Lists!$J$2:$J$15,MATCH(D496,Lists!$I$2:$I$15,0)),-1)&gt;=6,F496="N"),"status "&amp;D496&amp;" but no tracker row",IF(AND(E496="Y",D496&lt;&gt;"do_not_contact"),"do_not_contact = Y but status is "&amp;D496,IF(AND(D496="do_not_contact",E496&lt;&gt;"Y"),"status do_not_contact but do_not_contact is not Y",""))))))</f>
        <v/>
      </c>
      <c r="I496" s="17" t="n">
        <v>475</v>
      </c>
      <c r="J496" s="17">
        <f>IFERROR(INDEX(Clay_Brands!$A$2:$FZ$601,I496,$D$5)&amp;"","")</f>
        <v/>
      </c>
      <c r="K496" s="17">
        <f>IFERROR(INDEX(Clay_Brands!$A$2:$FZ$601,I496,$D$7)&amp;"","")</f>
        <v/>
      </c>
      <c r="L496" s="17">
        <f>IFERROR(INDEX(Clay_Brands!$A$2:$FZ$601,I496,$D$8)&amp;"","")</f>
        <v/>
      </c>
      <c r="M496" s="17">
        <f>IF(J496="","",IF(COUNTIF(Brand_Log!$A$2:$A$201,J496)&gt;0,"Y","N"))</f>
        <v/>
      </c>
      <c r="N496" s="17">
        <f>IF(OR(J496="",AND(LEFT(J496,6)="SAMPLE",Config!$B$19&lt;&gt;"Y")),"",IF(IFERROR(INDEX(Lists!$J$2:$J$15,MATCH(K496,Lists!$I$2:$I$15,0)),-1)=-1,"status '"&amp;K496&amp;"' is not a CONTRACTS status",IF(AND(K496="paid",COUNTIF(paid_brands!$AC$2:$AC$51,J496)=0),"status paid but no paid_brands row"&amp;IF(M496="N"," and no tracker row",""),IF(AND(IFERROR(INDEX(Lists!$J$2:$J$15,MATCH(K496,Lists!$I$2:$I$15,0)),-1)&gt;=6,M496="N"),"status "&amp;K496&amp;" but no tracker row",IF(AND(L496="Y",K496&lt;&gt;"do_not_contact"),"do_not_contact = Y but status is "&amp;K496,IF(AND(K496="do_not_contact",L496&lt;&gt;"Y"),"status do_not_contact but do_not_contact is not Y",""))))))</f>
        <v/>
      </c>
    </row>
    <row r="497">
      <c r="B497" s="17" t="n">
        <v>476</v>
      </c>
      <c r="C497" s="17">
        <f>IFERROR(INDEX(Clay_Offices!$A$2:$FZ$601,B497,$C$5)&amp;"","")</f>
        <v/>
      </c>
      <c r="D497" s="17">
        <f>IFERROR(INDEX(Clay_Offices!$A$2:$FZ$601,B497,$C$7)&amp;"","")</f>
        <v/>
      </c>
      <c r="E497" s="17">
        <f>IFERROR(INDEX(Clay_Offices!$A$2:$FZ$601,B497,$C$8)&amp;"","")</f>
        <v/>
      </c>
      <c r="F497" s="17">
        <f>IF(C497="","",IF(COUNTIF(Office_Log!$A$2:$A$201,C497)&gt;0,"Y","N"))</f>
        <v/>
      </c>
      <c r="G497" s="17">
        <f>IF(OR(C497="",AND(LEFT(C497,6)="SAMPLE",Config!$B$19&lt;&gt;"Y")),"",IF(IFERROR(INDEX(Lists!$J$2:$J$15,MATCH(D497,Lists!$I$2:$I$15,0)),-1)=-1,"status '"&amp;D497&amp;"' is not a CONTRACTS status",IF(AND(D497="signed",COUNTIF(signed_offices!$W$2:$W$51,C497)=0),"status signed but no signed_offices row"&amp;IF(F497="N"," and no tracker row",""),IF(AND(IFERROR(INDEX(Lists!$J$2:$J$15,MATCH(D497,Lists!$I$2:$I$15,0)),-1)&gt;=6,F497="N"),"status "&amp;D497&amp;" but no tracker row",IF(AND(E497="Y",D497&lt;&gt;"do_not_contact"),"do_not_contact = Y but status is "&amp;D497,IF(AND(D497="do_not_contact",E497&lt;&gt;"Y"),"status do_not_contact but do_not_contact is not Y",""))))))</f>
        <v/>
      </c>
      <c r="I497" s="17" t="n">
        <v>476</v>
      </c>
      <c r="J497" s="17">
        <f>IFERROR(INDEX(Clay_Brands!$A$2:$FZ$601,I497,$D$5)&amp;"","")</f>
        <v/>
      </c>
      <c r="K497" s="17">
        <f>IFERROR(INDEX(Clay_Brands!$A$2:$FZ$601,I497,$D$7)&amp;"","")</f>
        <v/>
      </c>
      <c r="L497" s="17">
        <f>IFERROR(INDEX(Clay_Brands!$A$2:$FZ$601,I497,$D$8)&amp;"","")</f>
        <v/>
      </c>
      <c r="M497" s="17">
        <f>IF(J497="","",IF(COUNTIF(Brand_Log!$A$2:$A$201,J497)&gt;0,"Y","N"))</f>
        <v/>
      </c>
      <c r="N497" s="17">
        <f>IF(OR(J497="",AND(LEFT(J497,6)="SAMPLE",Config!$B$19&lt;&gt;"Y")),"",IF(IFERROR(INDEX(Lists!$J$2:$J$15,MATCH(K497,Lists!$I$2:$I$15,0)),-1)=-1,"status '"&amp;K497&amp;"' is not a CONTRACTS status",IF(AND(K497="paid",COUNTIF(paid_brands!$AC$2:$AC$51,J497)=0),"status paid but no paid_brands row"&amp;IF(M497="N"," and no tracker row",""),IF(AND(IFERROR(INDEX(Lists!$J$2:$J$15,MATCH(K497,Lists!$I$2:$I$15,0)),-1)&gt;=6,M497="N"),"status "&amp;K497&amp;" but no tracker row",IF(AND(L497="Y",K497&lt;&gt;"do_not_contact"),"do_not_contact = Y but status is "&amp;K497,IF(AND(K497="do_not_contact",L497&lt;&gt;"Y"),"status do_not_contact but do_not_contact is not Y",""))))))</f>
        <v/>
      </c>
    </row>
    <row r="498">
      <c r="B498" s="17" t="n">
        <v>477</v>
      </c>
      <c r="C498" s="17">
        <f>IFERROR(INDEX(Clay_Offices!$A$2:$FZ$601,B498,$C$5)&amp;"","")</f>
        <v/>
      </c>
      <c r="D498" s="17">
        <f>IFERROR(INDEX(Clay_Offices!$A$2:$FZ$601,B498,$C$7)&amp;"","")</f>
        <v/>
      </c>
      <c r="E498" s="17">
        <f>IFERROR(INDEX(Clay_Offices!$A$2:$FZ$601,B498,$C$8)&amp;"","")</f>
        <v/>
      </c>
      <c r="F498" s="17">
        <f>IF(C498="","",IF(COUNTIF(Office_Log!$A$2:$A$201,C498)&gt;0,"Y","N"))</f>
        <v/>
      </c>
      <c r="G498" s="17">
        <f>IF(OR(C498="",AND(LEFT(C498,6)="SAMPLE",Config!$B$19&lt;&gt;"Y")),"",IF(IFERROR(INDEX(Lists!$J$2:$J$15,MATCH(D498,Lists!$I$2:$I$15,0)),-1)=-1,"status '"&amp;D498&amp;"' is not a CONTRACTS status",IF(AND(D498="signed",COUNTIF(signed_offices!$W$2:$W$51,C498)=0),"status signed but no signed_offices row"&amp;IF(F498="N"," and no tracker row",""),IF(AND(IFERROR(INDEX(Lists!$J$2:$J$15,MATCH(D498,Lists!$I$2:$I$15,0)),-1)&gt;=6,F498="N"),"status "&amp;D498&amp;" but no tracker row",IF(AND(E498="Y",D498&lt;&gt;"do_not_contact"),"do_not_contact = Y but status is "&amp;D498,IF(AND(D498="do_not_contact",E498&lt;&gt;"Y"),"status do_not_contact but do_not_contact is not Y",""))))))</f>
        <v/>
      </c>
      <c r="I498" s="17" t="n">
        <v>477</v>
      </c>
      <c r="J498" s="17">
        <f>IFERROR(INDEX(Clay_Brands!$A$2:$FZ$601,I498,$D$5)&amp;"","")</f>
        <v/>
      </c>
      <c r="K498" s="17">
        <f>IFERROR(INDEX(Clay_Brands!$A$2:$FZ$601,I498,$D$7)&amp;"","")</f>
        <v/>
      </c>
      <c r="L498" s="17">
        <f>IFERROR(INDEX(Clay_Brands!$A$2:$FZ$601,I498,$D$8)&amp;"","")</f>
        <v/>
      </c>
      <c r="M498" s="17">
        <f>IF(J498="","",IF(COUNTIF(Brand_Log!$A$2:$A$201,J498)&gt;0,"Y","N"))</f>
        <v/>
      </c>
      <c r="N498" s="17">
        <f>IF(OR(J498="",AND(LEFT(J498,6)="SAMPLE",Config!$B$19&lt;&gt;"Y")),"",IF(IFERROR(INDEX(Lists!$J$2:$J$15,MATCH(K498,Lists!$I$2:$I$15,0)),-1)=-1,"status '"&amp;K498&amp;"' is not a CONTRACTS status",IF(AND(K498="paid",COUNTIF(paid_brands!$AC$2:$AC$51,J498)=0),"status paid but no paid_brands row"&amp;IF(M498="N"," and no tracker row",""),IF(AND(IFERROR(INDEX(Lists!$J$2:$J$15,MATCH(K498,Lists!$I$2:$I$15,0)),-1)&gt;=6,M498="N"),"status "&amp;K498&amp;" but no tracker row",IF(AND(L498="Y",K498&lt;&gt;"do_not_contact"),"do_not_contact = Y but status is "&amp;K498,IF(AND(K498="do_not_contact",L498&lt;&gt;"Y"),"status do_not_contact but do_not_contact is not Y",""))))))</f>
        <v/>
      </c>
    </row>
    <row r="499">
      <c r="B499" s="17" t="n">
        <v>478</v>
      </c>
      <c r="C499" s="17">
        <f>IFERROR(INDEX(Clay_Offices!$A$2:$FZ$601,B499,$C$5)&amp;"","")</f>
        <v/>
      </c>
      <c r="D499" s="17">
        <f>IFERROR(INDEX(Clay_Offices!$A$2:$FZ$601,B499,$C$7)&amp;"","")</f>
        <v/>
      </c>
      <c r="E499" s="17">
        <f>IFERROR(INDEX(Clay_Offices!$A$2:$FZ$601,B499,$C$8)&amp;"","")</f>
        <v/>
      </c>
      <c r="F499" s="17">
        <f>IF(C499="","",IF(COUNTIF(Office_Log!$A$2:$A$201,C499)&gt;0,"Y","N"))</f>
        <v/>
      </c>
      <c r="G499" s="17">
        <f>IF(OR(C499="",AND(LEFT(C499,6)="SAMPLE",Config!$B$19&lt;&gt;"Y")),"",IF(IFERROR(INDEX(Lists!$J$2:$J$15,MATCH(D499,Lists!$I$2:$I$15,0)),-1)=-1,"status '"&amp;D499&amp;"' is not a CONTRACTS status",IF(AND(D499="signed",COUNTIF(signed_offices!$W$2:$W$51,C499)=0),"status signed but no signed_offices row"&amp;IF(F499="N"," and no tracker row",""),IF(AND(IFERROR(INDEX(Lists!$J$2:$J$15,MATCH(D499,Lists!$I$2:$I$15,0)),-1)&gt;=6,F499="N"),"status "&amp;D499&amp;" but no tracker row",IF(AND(E499="Y",D499&lt;&gt;"do_not_contact"),"do_not_contact = Y but status is "&amp;D499,IF(AND(D499="do_not_contact",E499&lt;&gt;"Y"),"status do_not_contact but do_not_contact is not Y",""))))))</f>
        <v/>
      </c>
      <c r="I499" s="17" t="n">
        <v>478</v>
      </c>
      <c r="J499" s="17">
        <f>IFERROR(INDEX(Clay_Brands!$A$2:$FZ$601,I499,$D$5)&amp;"","")</f>
        <v/>
      </c>
      <c r="K499" s="17">
        <f>IFERROR(INDEX(Clay_Brands!$A$2:$FZ$601,I499,$D$7)&amp;"","")</f>
        <v/>
      </c>
      <c r="L499" s="17">
        <f>IFERROR(INDEX(Clay_Brands!$A$2:$FZ$601,I499,$D$8)&amp;"","")</f>
        <v/>
      </c>
      <c r="M499" s="17">
        <f>IF(J499="","",IF(COUNTIF(Brand_Log!$A$2:$A$201,J499)&gt;0,"Y","N"))</f>
        <v/>
      </c>
      <c r="N499" s="17">
        <f>IF(OR(J499="",AND(LEFT(J499,6)="SAMPLE",Config!$B$19&lt;&gt;"Y")),"",IF(IFERROR(INDEX(Lists!$J$2:$J$15,MATCH(K499,Lists!$I$2:$I$15,0)),-1)=-1,"status '"&amp;K499&amp;"' is not a CONTRACTS status",IF(AND(K499="paid",COUNTIF(paid_brands!$AC$2:$AC$51,J499)=0),"status paid but no paid_brands row"&amp;IF(M499="N"," and no tracker row",""),IF(AND(IFERROR(INDEX(Lists!$J$2:$J$15,MATCH(K499,Lists!$I$2:$I$15,0)),-1)&gt;=6,M499="N"),"status "&amp;K499&amp;" but no tracker row",IF(AND(L499="Y",K499&lt;&gt;"do_not_contact"),"do_not_contact = Y but status is "&amp;K499,IF(AND(K499="do_not_contact",L499&lt;&gt;"Y"),"status do_not_contact but do_not_contact is not Y",""))))))</f>
        <v/>
      </c>
    </row>
    <row r="500">
      <c r="B500" s="17" t="n">
        <v>479</v>
      </c>
      <c r="C500" s="17">
        <f>IFERROR(INDEX(Clay_Offices!$A$2:$FZ$601,B500,$C$5)&amp;"","")</f>
        <v/>
      </c>
      <c r="D500" s="17">
        <f>IFERROR(INDEX(Clay_Offices!$A$2:$FZ$601,B500,$C$7)&amp;"","")</f>
        <v/>
      </c>
      <c r="E500" s="17">
        <f>IFERROR(INDEX(Clay_Offices!$A$2:$FZ$601,B500,$C$8)&amp;"","")</f>
        <v/>
      </c>
      <c r="F500" s="17">
        <f>IF(C500="","",IF(COUNTIF(Office_Log!$A$2:$A$201,C500)&gt;0,"Y","N"))</f>
        <v/>
      </c>
      <c r="G500" s="17">
        <f>IF(OR(C500="",AND(LEFT(C500,6)="SAMPLE",Config!$B$19&lt;&gt;"Y")),"",IF(IFERROR(INDEX(Lists!$J$2:$J$15,MATCH(D500,Lists!$I$2:$I$15,0)),-1)=-1,"status '"&amp;D500&amp;"' is not a CONTRACTS status",IF(AND(D500="signed",COUNTIF(signed_offices!$W$2:$W$51,C500)=0),"status signed but no signed_offices row"&amp;IF(F500="N"," and no tracker row",""),IF(AND(IFERROR(INDEX(Lists!$J$2:$J$15,MATCH(D500,Lists!$I$2:$I$15,0)),-1)&gt;=6,F500="N"),"status "&amp;D500&amp;" but no tracker row",IF(AND(E500="Y",D500&lt;&gt;"do_not_contact"),"do_not_contact = Y but status is "&amp;D500,IF(AND(D500="do_not_contact",E500&lt;&gt;"Y"),"status do_not_contact but do_not_contact is not Y",""))))))</f>
        <v/>
      </c>
      <c r="I500" s="17" t="n">
        <v>479</v>
      </c>
      <c r="J500" s="17">
        <f>IFERROR(INDEX(Clay_Brands!$A$2:$FZ$601,I500,$D$5)&amp;"","")</f>
        <v/>
      </c>
      <c r="K500" s="17">
        <f>IFERROR(INDEX(Clay_Brands!$A$2:$FZ$601,I500,$D$7)&amp;"","")</f>
        <v/>
      </c>
      <c r="L500" s="17">
        <f>IFERROR(INDEX(Clay_Brands!$A$2:$FZ$601,I500,$D$8)&amp;"","")</f>
        <v/>
      </c>
      <c r="M500" s="17">
        <f>IF(J500="","",IF(COUNTIF(Brand_Log!$A$2:$A$201,J500)&gt;0,"Y","N"))</f>
        <v/>
      </c>
      <c r="N500" s="17">
        <f>IF(OR(J500="",AND(LEFT(J500,6)="SAMPLE",Config!$B$19&lt;&gt;"Y")),"",IF(IFERROR(INDEX(Lists!$J$2:$J$15,MATCH(K500,Lists!$I$2:$I$15,0)),-1)=-1,"status '"&amp;K500&amp;"' is not a CONTRACTS status",IF(AND(K500="paid",COUNTIF(paid_brands!$AC$2:$AC$51,J500)=0),"status paid but no paid_brands row"&amp;IF(M500="N"," and no tracker row",""),IF(AND(IFERROR(INDEX(Lists!$J$2:$J$15,MATCH(K500,Lists!$I$2:$I$15,0)),-1)&gt;=6,M500="N"),"status "&amp;K500&amp;" but no tracker row",IF(AND(L500="Y",K500&lt;&gt;"do_not_contact"),"do_not_contact = Y but status is "&amp;K500,IF(AND(K500="do_not_contact",L500&lt;&gt;"Y"),"status do_not_contact but do_not_contact is not Y",""))))))</f>
        <v/>
      </c>
    </row>
    <row r="501">
      <c r="B501" s="17" t="n">
        <v>480</v>
      </c>
      <c r="C501" s="17">
        <f>IFERROR(INDEX(Clay_Offices!$A$2:$FZ$601,B501,$C$5)&amp;"","")</f>
        <v/>
      </c>
      <c r="D501" s="17">
        <f>IFERROR(INDEX(Clay_Offices!$A$2:$FZ$601,B501,$C$7)&amp;"","")</f>
        <v/>
      </c>
      <c r="E501" s="17">
        <f>IFERROR(INDEX(Clay_Offices!$A$2:$FZ$601,B501,$C$8)&amp;"","")</f>
        <v/>
      </c>
      <c r="F501" s="17">
        <f>IF(C501="","",IF(COUNTIF(Office_Log!$A$2:$A$201,C501)&gt;0,"Y","N"))</f>
        <v/>
      </c>
      <c r="G501" s="17">
        <f>IF(OR(C501="",AND(LEFT(C501,6)="SAMPLE",Config!$B$19&lt;&gt;"Y")),"",IF(IFERROR(INDEX(Lists!$J$2:$J$15,MATCH(D501,Lists!$I$2:$I$15,0)),-1)=-1,"status '"&amp;D501&amp;"' is not a CONTRACTS status",IF(AND(D501="signed",COUNTIF(signed_offices!$W$2:$W$51,C501)=0),"status signed but no signed_offices row"&amp;IF(F501="N"," and no tracker row",""),IF(AND(IFERROR(INDEX(Lists!$J$2:$J$15,MATCH(D501,Lists!$I$2:$I$15,0)),-1)&gt;=6,F501="N"),"status "&amp;D501&amp;" but no tracker row",IF(AND(E501="Y",D501&lt;&gt;"do_not_contact"),"do_not_contact = Y but status is "&amp;D501,IF(AND(D501="do_not_contact",E501&lt;&gt;"Y"),"status do_not_contact but do_not_contact is not Y",""))))))</f>
        <v/>
      </c>
      <c r="I501" s="17" t="n">
        <v>480</v>
      </c>
      <c r="J501" s="17">
        <f>IFERROR(INDEX(Clay_Brands!$A$2:$FZ$601,I501,$D$5)&amp;"","")</f>
        <v/>
      </c>
      <c r="K501" s="17">
        <f>IFERROR(INDEX(Clay_Brands!$A$2:$FZ$601,I501,$D$7)&amp;"","")</f>
        <v/>
      </c>
      <c r="L501" s="17">
        <f>IFERROR(INDEX(Clay_Brands!$A$2:$FZ$601,I501,$D$8)&amp;"","")</f>
        <v/>
      </c>
      <c r="M501" s="17">
        <f>IF(J501="","",IF(COUNTIF(Brand_Log!$A$2:$A$201,J501)&gt;0,"Y","N"))</f>
        <v/>
      </c>
      <c r="N501" s="17">
        <f>IF(OR(J501="",AND(LEFT(J501,6)="SAMPLE",Config!$B$19&lt;&gt;"Y")),"",IF(IFERROR(INDEX(Lists!$J$2:$J$15,MATCH(K501,Lists!$I$2:$I$15,0)),-1)=-1,"status '"&amp;K501&amp;"' is not a CONTRACTS status",IF(AND(K501="paid",COUNTIF(paid_brands!$AC$2:$AC$51,J501)=0),"status paid but no paid_brands row"&amp;IF(M501="N"," and no tracker row",""),IF(AND(IFERROR(INDEX(Lists!$J$2:$J$15,MATCH(K501,Lists!$I$2:$I$15,0)),-1)&gt;=6,M501="N"),"status "&amp;K501&amp;" but no tracker row",IF(AND(L501="Y",K501&lt;&gt;"do_not_contact"),"do_not_contact = Y but status is "&amp;K501,IF(AND(K501="do_not_contact",L501&lt;&gt;"Y"),"status do_not_contact but do_not_contact is not Y",""))))))</f>
        <v/>
      </c>
    </row>
    <row r="502">
      <c r="B502" s="17" t="n">
        <v>481</v>
      </c>
      <c r="C502" s="17">
        <f>IFERROR(INDEX(Clay_Offices!$A$2:$FZ$601,B502,$C$5)&amp;"","")</f>
        <v/>
      </c>
      <c r="D502" s="17">
        <f>IFERROR(INDEX(Clay_Offices!$A$2:$FZ$601,B502,$C$7)&amp;"","")</f>
        <v/>
      </c>
      <c r="E502" s="17">
        <f>IFERROR(INDEX(Clay_Offices!$A$2:$FZ$601,B502,$C$8)&amp;"","")</f>
        <v/>
      </c>
      <c r="F502" s="17">
        <f>IF(C502="","",IF(COUNTIF(Office_Log!$A$2:$A$201,C502)&gt;0,"Y","N"))</f>
        <v/>
      </c>
      <c r="G502" s="17">
        <f>IF(OR(C502="",AND(LEFT(C502,6)="SAMPLE",Config!$B$19&lt;&gt;"Y")),"",IF(IFERROR(INDEX(Lists!$J$2:$J$15,MATCH(D502,Lists!$I$2:$I$15,0)),-1)=-1,"status '"&amp;D502&amp;"' is not a CONTRACTS status",IF(AND(D502="signed",COUNTIF(signed_offices!$W$2:$W$51,C502)=0),"status signed but no signed_offices row"&amp;IF(F502="N"," and no tracker row",""),IF(AND(IFERROR(INDEX(Lists!$J$2:$J$15,MATCH(D502,Lists!$I$2:$I$15,0)),-1)&gt;=6,F502="N"),"status "&amp;D502&amp;" but no tracker row",IF(AND(E502="Y",D502&lt;&gt;"do_not_contact"),"do_not_contact = Y but status is "&amp;D502,IF(AND(D502="do_not_contact",E502&lt;&gt;"Y"),"status do_not_contact but do_not_contact is not Y",""))))))</f>
        <v/>
      </c>
      <c r="I502" s="17" t="n">
        <v>481</v>
      </c>
      <c r="J502" s="17">
        <f>IFERROR(INDEX(Clay_Brands!$A$2:$FZ$601,I502,$D$5)&amp;"","")</f>
        <v/>
      </c>
      <c r="K502" s="17">
        <f>IFERROR(INDEX(Clay_Brands!$A$2:$FZ$601,I502,$D$7)&amp;"","")</f>
        <v/>
      </c>
      <c r="L502" s="17">
        <f>IFERROR(INDEX(Clay_Brands!$A$2:$FZ$601,I502,$D$8)&amp;"","")</f>
        <v/>
      </c>
      <c r="M502" s="17">
        <f>IF(J502="","",IF(COUNTIF(Brand_Log!$A$2:$A$201,J502)&gt;0,"Y","N"))</f>
        <v/>
      </c>
      <c r="N502" s="17">
        <f>IF(OR(J502="",AND(LEFT(J502,6)="SAMPLE",Config!$B$19&lt;&gt;"Y")),"",IF(IFERROR(INDEX(Lists!$J$2:$J$15,MATCH(K502,Lists!$I$2:$I$15,0)),-1)=-1,"status '"&amp;K502&amp;"' is not a CONTRACTS status",IF(AND(K502="paid",COUNTIF(paid_brands!$AC$2:$AC$51,J502)=0),"status paid but no paid_brands row"&amp;IF(M502="N"," and no tracker row",""),IF(AND(IFERROR(INDEX(Lists!$J$2:$J$15,MATCH(K502,Lists!$I$2:$I$15,0)),-1)&gt;=6,M502="N"),"status "&amp;K502&amp;" but no tracker row",IF(AND(L502="Y",K502&lt;&gt;"do_not_contact"),"do_not_contact = Y but status is "&amp;K502,IF(AND(K502="do_not_contact",L502&lt;&gt;"Y"),"status do_not_contact but do_not_contact is not Y",""))))))</f>
        <v/>
      </c>
    </row>
    <row r="503">
      <c r="B503" s="17" t="n">
        <v>482</v>
      </c>
      <c r="C503" s="17">
        <f>IFERROR(INDEX(Clay_Offices!$A$2:$FZ$601,B503,$C$5)&amp;"","")</f>
        <v/>
      </c>
      <c r="D503" s="17">
        <f>IFERROR(INDEX(Clay_Offices!$A$2:$FZ$601,B503,$C$7)&amp;"","")</f>
        <v/>
      </c>
      <c r="E503" s="17">
        <f>IFERROR(INDEX(Clay_Offices!$A$2:$FZ$601,B503,$C$8)&amp;"","")</f>
        <v/>
      </c>
      <c r="F503" s="17">
        <f>IF(C503="","",IF(COUNTIF(Office_Log!$A$2:$A$201,C503)&gt;0,"Y","N"))</f>
        <v/>
      </c>
      <c r="G503" s="17">
        <f>IF(OR(C503="",AND(LEFT(C503,6)="SAMPLE",Config!$B$19&lt;&gt;"Y")),"",IF(IFERROR(INDEX(Lists!$J$2:$J$15,MATCH(D503,Lists!$I$2:$I$15,0)),-1)=-1,"status '"&amp;D503&amp;"' is not a CONTRACTS status",IF(AND(D503="signed",COUNTIF(signed_offices!$W$2:$W$51,C503)=0),"status signed but no signed_offices row"&amp;IF(F503="N"," and no tracker row",""),IF(AND(IFERROR(INDEX(Lists!$J$2:$J$15,MATCH(D503,Lists!$I$2:$I$15,0)),-1)&gt;=6,F503="N"),"status "&amp;D503&amp;" but no tracker row",IF(AND(E503="Y",D503&lt;&gt;"do_not_contact"),"do_not_contact = Y but status is "&amp;D503,IF(AND(D503="do_not_contact",E503&lt;&gt;"Y"),"status do_not_contact but do_not_contact is not Y",""))))))</f>
        <v/>
      </c>
      <c r="I503" s="17" t="n">
        <v>482</v>
      </c>
      <c r="J503" s="17">
        <f>IFERROR(INDEX(Clay_Brands!$A$2:$FZ$601,I503,$D$5)&amp;"","")</f>
        <v/>
      </c>
      <c r="K503" s="17">
        <f>IFERROR(INDEX(Clay_Brands!$A$2:$FZ$601,I503,$D$7)&amp;"","")</f>
        <v/>
      </c>
      <c r="L503" s="17">
        <f>IFERROR(INDEX(Clay_Brands!$A$2:$FZ$601,I503,$D$8)&amp;"","")</f>
        <v/>
      </c>
      <c r="M503" s="17">
        <f>IF(J503="","",IF(COUNTIF(Brand_Log!$A$2:$A$201,J503)&gt;0,"Y","N"))</f>
        <v/>
      </c>
      <c r="N503" s="17">
        <f>IF(OR(J503="",AND(LEFT(J503,6)="SAMPLE",Config!$B$19&lt;&gt;"Y")),"",IF(IFERROR(INDEX(Lists!$J$2:$J$15,MATCH(K503,Lists!$I$2:$I$15,0)),-1)=-1,"status '"&amp;K503&amp;"' is not a CONTRACTS status",IF(AND(K503="paid",COUNTIF(paid_brands!$AC$2:$AC$51,J503)=0),"status paid but no paid_brands row"&amp;IF(M503="N"," and no tracker row",""),IF(AND(IFERROR(INDEX(Lists!$J$2:$J$15,MATCH(K503,Lists!$I$2:$I$15,0)),-1)&gt;=6,M503="N"),"status "&amp;K503&amp;" but no tracker row",IF(AND(L503="Y",K503&lt;&gt;"do_not_contact"),"do_not_contact = Y but status is "&amp;K503,IF(AND(K503="do_not_contact",L503&lt;&gt;"Y"),"status do_not_contact but do_not_contact is not Y",""))))))</f>
        <v/>
      </c>
    </row>
    <row r="504">
      <c r="B504" s="17" t="n">
        <v>483</v>
      </c>
      <c r="C504" s="17">
        <f>IFERROR(INDEX(Clay_Offices!$A$2:$FZ$601,B504,$C$5)&amp;"","")</f>
        <v/>
      </c>
      <c r="D504" s="17">
        <f>IFERROR(INDEX(Clay_Offices!$A$2:$FZ$601,B504,$C$7)&amp;"","")</f>
        <v/>
      </c>
      <c r="E504" s="17">
        <f>IFERROR(INDEX(Clay_Offices!$A$2:$FZ$601,B504,$C$8)&amp;"","")</f>
        <v/>
      </c>
      <c r="F504" s="17">
        <f>IF(C504="","",IF(COUNTIF(Office_Log!$A$2:$A$201,C504)&gt;0,"Y","N"))</f>
        <v/>
      </c>
      <c r="G504" s="17">
        <f>IF(OR(C504="",AND(LEFT(C504,6)="SAMPLE",Config!$B$19&lt;&gt;"Y")),"",IF(IFERROR(INDEX(Lists!$J$2:$J$15,MATCH(D504,Lists!$I$2:$I$15,0)),-1)=-1,"status '"&amp;D504&amp;"' is not a CONTRACTS status",IF(AND(D504="signed",COUNTIF(signed_offices!$W$2:$W$51,C504)=0),"status signed but no signed_offices row"&amp;IF(F504="N"," and no tracker row",""),IF(AND(IFERROR(INDEX(Lists!$J$2:$J$15,MATCH(D504,Lists!$I$2:$I$15,0)),-1)&gt;=6,F504="N"),"status "&amp;D504&amp;" but no tracker row",IF(AND(E504="Y",D504&lt;&gt;"do_not_contact"),"do_not_contact = Y but status is "&amp;D504,IF(AND(D504="do_not_contact",E504&lt;&gt;"Y"),"status do_not_contact but do_not_contact is not Y",""))))))</f>
        <v/>
      </c>
      <c r="I504" s="17" t="n">
        <v>483</v>
      </c>
      <c r="J504" s="17">
        <f>IFERROR(INDEX(Clay_Brands!$A$2:$FZ$601,I504,$D$5)&amp;"","")</f>
        <v/>
      </c>
      <c r="K504" s="17">
        <f>IFERROR(INDEX(Clay_Brands!$A$2:$FZ$601,I504,$D$7)&amp;"","")</f>
        <v/>
      </c>
      <c r="L504" s="17">
        <f>IFERROR(INDEX(Clay_Brands!$A$2:$FZ$601,I504,$D$8)&amp;"","")</f>
        <v/>
      </c>
      <c r="M504" s="17">
        <f>IF(J504="","",IF(COUNTIF(Brand_Log!$A$2:$A$201,J504)&gt;0,"Y","N"))</f>
        <v/>
      </c>
      <c r="N504" s="17">
        <f>IF(OR(J504="",AND(LEFT(J504,6)="SAMPLE",Config!$B$19&lt;&gt;"Y")),"",IF(IFERROR(INDEX(Lists!$J$2:$J$15,MATCH(K504,Lists!$I$2:$I$15,0)),-1)=-1,"status '"&amp;K504&amp;"' is not a CONTRACTS status",IF(AND(K504="paid",COUNTIF(paid_brands!$AC$2:$AC$51,J504)=0),"status paid but no paid_brands row"&amp;IF(M504="N"," and no tracker row",""),IF(AND(IFERROR(INDEX(Lists!$J$2:$J$15,MATCH(K504,Lists!$I$2:$I$15,0)),-1)&gt;=6,M504="N"),"status "&amp;K504&amp;" but no tracker row",IF(AND(L504="Y",K504&lt;&gt;"do_not_contact"),"do_not_contact = Y but status is "&amp;K504,IF(AND(K504="do_not_contact",L504&lt;&gt;"Y"),"status do_not_contact but do_not_contact is not Y",""))))))</f>
        <v/>
      </c>
    </row>
    <row r="505">
      <c r="B505" s="17" t="n">
        <v>484</v>
      </c>
      <c r="C505" s="17">
        <f>IFERROR(INDEX(Clay_Offices!$A$2:$FZ$601,B505,$C$5)&amp;"","")</f>
        <v/>
      </c>
      <c r="D505" s="17">
        <f>IFERROR(INDEX(Clay_Offices!$A$2:$FZ$601,B505,$C$7)&amp;"","")</f>
        <v/>
      </c>
      <c r="E505" s="17">
        <f>IFERROR(INDEX(Clay_Offices!$A$2:$FZ$601,B505,$C$8)&amp;"","")</f>
        <v/>
      </c>
      <c r="F505" s="17">
        <f>IF(C505="","",IF(COUNTIF(Office_Log!$A$2:$A$201,C505)&gt;0,"Y","N"))</f>
        <v/>
      </c>
      <c r="G505" s="17">
        <f>IF(OR(C505="",AND(LEFT(C505,6)="SAMPLE",Config!$B$19&lt;&gt;"Y")),"",IF(IFERROR(INDEX(Lists!$J$2:$J$15,MATCH(D505,Lists!$I$2:$I$15,0)),-1)=-1,"status '"&amp;D505&amp;"' is not a CONTRACTS status",IF(AND(D505="signed",COUNTIF(signed_offices!$W$2:$W$51,C505)=0),"status signed but no signed_offices row"&amp;IF(F505="N"," and no tracker row",""),IF(AND(IFERROR(INDEX(Lists!$J$2:$J$15,MATCH(D505,Lists!$I$2:$I$15,0)),-1)&gt;=6,F505="N"),"status "&amp;D505&amp;" but no tracker row",IF(AND(E505="Y",D505&lt;&gt;"do_not_contact"),"do_not_contact = Y but status is "&amp;D505,IF(AND(D505="do_not_contact",E505&lt;&gt;"Y"),"status do_not_contact but do_not_contact is not Y",""))))))</f>
        <v/>
      </c>
      <c r="I505" s="17" t="n">
        <v>484</v>
      </c>
      <c r="J505" s="17">
        <f>IFERROR(INDEX(Clay_Brands!$A$2:$FZ$601,I505,$D$5)&amp;"","")</f>
        <v/>
      </c>
      <c r="K505" s="17">
        <f>IFERROR(INDEX(Clay_Brands!$A$2:$FZ$601,I505,$D$7)&amp;"","")</f>
        <v/>
      </c>
      <c r="L505" s="17">
        <f>IFERROR(INDEX(Clay_Brands!$A$2:$FZ$601,I505,$D$8)&amp;"","")</f>
        <v/>
      </c>
      <c r="M505" s="17">
        <f>IF(J505="","",IF(COUNTIF(Brand_Log!$A$2:$A$201,J505)&gt;0,"Y","N"))</f>
        <v/>
      </c>
      <c r="N505" s="17">
        <f>IF(OR(J505="",AND(LEFT(J505,6)="SAMPLE",Config!$B$19&lt;&gt;"Y")),"",IF(IFERROR(INDEX(Lists!$J$2:$J$15,MATCH(K505,Lists!$I$2:$I$15,0)),-1)=-1,"status '"&amp;K505&amp;"' is not a CONTRACTS status",IF(AND(K505="paid",COUNTIF(paid_brands!$AC$2:$AC$51,J505)=0),"status paid but no paid_brands row"&amp;IF(M505="N"," and no tracker row",""),IF(AND(IFERROR(INDEX(Lists!$J$2:$J$15,MATCH(K505,Lists!$I$2:$I$15,0)),-1)&gt;=6,M505="N"),"status "&amp;K505&amp;" but no tracker row",IF(AND(L505="Y",K505&lt;&gt;"do_not_contact"),"do_not_contact = Y but status is "&amp;K505,IF(AND(K505="do_not_contact",L505&lt;&gt;"Y"),"status do_not_contact but do_not_contact is not Y",""))))))</f>
        <v/>
      </c>
    </row>
    <row r="506">
      <c r="B506" s="17" t="n">
        <v>485</v>
      </c>
      <c r="C506" s="17">
        <f>IFERROR(INDEX(Clay_Offices!$A$2:$FZ$601,B506,$C$5)&amp;"","")</f>
        <v/>
      </c>
      <c r="D506" s="17">
        <f>IFERROR(INDEX(Clay_Offices!$A$2:$FZ$601,B506,$C$7)&amp;"","")</f>
        <v/>
      </c>
      <c r="E506" s="17">
        <f>IFERROR(INDEX(Clay_Offices!$A$2:$FZ$601,B506,$C$8)&amp;"","")</f>
        <v/>
      </c>
      <c r="F506" s="17">
        <f>IF(C506="","",IF(COUNTIF(Office_Log!$A$2:$A$201,C506)&gt;0,"Y","N"))</f>
        <v/>
      </c>
      <c r="G506" s="17">
        <f>IF(OR(C506="",AND(LEFT(C506,6)="SAMPLE",Config!$B$19&lt;&gt;"Y")),"",IF(IFERROR(INDEX(Lists!$J$2:$J$15,MATCH(D506,Lists!$I$2:$I$15,0)),-1)=-1,"status '"&amp;D506&amp;"' is not a CONTRACTS status",IF(AND(D506="signed",COUNTIF(signed_offices!$W$2:$W$51,C506)=0),"status signed but no signed_offices row"&amp;IF(F506="N"," and no tracker row",""),IF(AND(IFERROR(INDEX(Lists!$J$2:$J$15,MATCH(D506,Lists!$I$2:$I$15,0)),-1)&gt;=6,F506="N"),"status "&amp;D506&amp;" but no tracker row",IF(AND(E506="Y",D506&lt;&gt;"do_not_contact"),"do_not_contact = Y but status is "&amp;D506,IF(AND(D506="do_not_contact",E506&lt;&gt;"Y"),"status do_not_contact but do_not_contact is not Y",""))))))</f>
        <v/>
      </c>
      <c r="I506" s="17" t="n">
        <v>485</v>
      </c>
      <c r="J506" s="17">
        <f>IFERROR(INDEX(Clay_Brands!$A$2:$FZ$601,I506,$D$5)&amp;"","")</f>
        <v/>
      </c>
      <c r="K506" s="17">
        <f>IFERROR(INDEX(Clay_Brands!$A$2:$FZ$601,I506,$D$7)&amp;"","")</f>
        <v/>
      </c>
      <c r="L506" s="17">
        <f>IFERROR(INDEX(Clay_Brands!$A$2:$FZ$601,I506,$D$8)&amp;"","")</f>
        <v/>
      </c>
      <c r="M506" s="17">
        <f>IF(J506="","",IF(COUNTIF(Brand_Log!$A$2:$A$201,J506)&gt;0,"Y","N"))</f>
        <v/>
      </c>
      <c r="N506" s="17">
        <f>IF(OR(J506="",AND(LEFT(J506,6)="SAMPLE",Config!$B$19&lt;&gt;"Y")),"",IF(IFERROR(INDEX(Lists!$J$2:$J$15,MATCH(K506,Lists!$I$2:$I$15,0)),-1)=-1,"status '"&amp;K506&amp;"' is not a CONTRACTS status",IF(AND(K506="paid",COUNTIF(paid_brands!$AC$2:$AC$51,J506)=0),"status paid but no paid_brands row"&amp;IF(M506="N"," and no tracker row",""),IF(AND(IFERROR(INDEX(Lists!$J$2:$J$15,MATCH(K506,Lists!$I$2:$I$15,0)),-1)&gt;=6,M506="N"),"status "&amp;K506&amp;" but no tracker row",IF(AND(L506="Y",K506&lt;&gt;"do_not_contact"),"do_not_contact = Y but status is "&amp;K506,IF(AND(K506="do_not_contact",L506&lt;&gt;"Y"),"status do_not_contact but do_not_contact is not Y",""))))))</f>
        <v/>
      </c>
    </row>
    <row r="507">
      <c r="B507" s="17" t="n">
        <v>486</v>
      </c>
      <c r="C507" s="17">
        <f>IFERROR(INDEX(Clay_Offices!$A$2:$FZ$601,B507,$C$5)&amp;"","")</f>
        <v/>
      </c>
      <c r="D507" s="17">
        <f>IFERROR(INDEX(Clay_Offices!$A$2:$FZ$601,B507,$C$7)&amp;"","")</f>
        <v/>
      </c>
      <c r="E507" s="17">
        <f>IFERROR(INDEX(Clay_Offices!$A$2:$FZ$601,B507,$C$8)&amp;"","")</f>
        <v/>
      </c>
      <c r="F507" s="17">
        <f>IF(C507="","",IF(COUNTIF(Office_Log!$A$2:$A$201,C507)&gt;0,"Y","N"))</f>
        <v/>
      </c>
      <c r="G507" s="17">
        <f>IF(OR(C507="",AND(LEFT(C507,6)="SAMPLE",Config!$B$19&lt;&gt;"Y")),"",IF(IFERROR(INDEX(Lists!$J$2:$J$15,MATCH(D507,Lists!$I$2:$I$15,0)),-1)=-1,"status '"&amp;D507&amp;"' is not a CONTRACTS status",IF(AND(D507="signed",COUNTIF(signed_offices!$W$2:$W$51,C507)=0),"status signed but no signed_offices row"&amp;IF(F507="N"," and no tracker row",""),IF(AND(IFERROR(INDEX(Lists!$J$2:$J$15,MATCH(D507,Lists!$I$2:$I$15,0)),-1)&gt;=6,F507="N"),"status "&amp;D507&amp;" but no tracker row",IF(AND(E507="Y",D507&lt;&gt;"do_not_contact"),"do_not_contact = Y but status is "&amp;D507,IF(AND(D507="do_not_contact",E507&lt;&gt;"Y"),"status do_not_contact but do_not_contact is not Y",""))))))</f>
        <v/>
      </c>
      <c r="I507" s="17" t="n">
        <v>486</v>
      </c>
      <c r="J507" s="17">
        <f>IFERROR(INDEX(Clay_Brands!$A$2:$FZ$601,I507,$D$5)&amp;"","")</f>
        <v/>
      </c>
      <c r="K507" s="17">
        <f>IFERROR(INDEX(Clay_Brands!$A$2:$FZ$601,I507,$D$7)&amp;"","")</f>
        <v/>
      </c>
      <c r="L507" s="17">
        <f>IFERROR(INDEX(Clay_Brands!$A$2:$FZ$601,I507,$D$8)&amp;"","")</f>
        <v/>
      </c>
      <c r="M507" s="17">
        <f>IF(J507="","",IF(COUNTIF(Brand_Log!$A$2:$A$201,J507)&gt;0,"Y","N"))</f>
        <v/>
      </c>
      <c r="N507" s="17">
        <f>IF(OR(J507="",AND(LEFT(J507,6)="SAMPLE",Config!$B$19&lt;&gt;"Y")),"",IF(IFERROR(INDEX(Lists!$J$2:$J$15,MATCH(K507,Lists!$I$2:$I$15,0)),-1)=-1,"status '"&amp;K507&amp;"' is not a CONTRACTS status",IF(AND(K507="paid",COUNTIF(paid_brands!$AC$2:$AC$51,J507)=0),"status paid but no paid_brands row"&amp;IF(M507="N"," and no tracker row",""),IF(AND(IFERROR(INDEX(Lists!$J$2:$J$15,MATCH(K507,Lists!$I$2:$I$15,0)),-1)&gt;=6,M507="N"),"status "&amp;K507&amp;" but no tracker row",IF(AND(L507="Y",K507&lt;&gt;"do_not_contact"),"do_not_contact = Y but status is "&amp;K507,IF(AND(K507="do_not_contact",L507&lt;&gt;"Y"),"status do_not_contact but do_not_contact is not Y",""))))))</f>
        <v/>
      </c>
    </row>
    <row r="508">
      <c r="B508" s="17" t="n">
        <v>487</v>
      </c>
      <c r="C508" s="17">
        <f>IFERROR(INDEX(Clay_Offices!$A$2:$FZ$601,B508,$C$5)&amp;"","")</f>
        <v/>
      </c>
      <c r="D508" s="17">
        <f>IFERROR(INDEX(Clay_Offices!$A$2:$FZ$601,B508,$C$7)&amp;"","")</f>
        <v/>
      </c>
      <c r="E508" s="17">
        <f>IFERROR(INDEX(Clay_Offices!$A$2:$FZ$601,B508,$C$8)&amp;"","")</f>
        <v/>
      </c>
      <c r="F508" s="17">
        <f>IF(C508="","",IF(COUNTIF(Office_Log!$A$2:$A$201,C508)&gt;0,"Y","N"))</f>
        <v/>
      </c>
      <c r="G508" s="17">
        <f>IF(OR(C508="",AND(LEFT(C508,6)="SAMPLE",Config!$B$19&lt;&gt;"Y")),"",IF(IFERROR(INDEX(Lists!$J$2:$J$15,MATCH(D508,Lists!$I$2:$I$15,0)),-1)=-1,"status '"&amp;D508&amp;"' is not a CONTRACTS status",IF(AND(D508="signed",COUNTIF(signed_offices!$W$2:$W$51,C508)=0),"status signed but no signed_offices row"&amp;IF(F508="N"," and no tracker row",""),IF(AND(IFERROR(INDEX(Lists!$J$2:$J$15,MATCH(D508,Lists!$I$2:$I$15,0)),-1)&gt;=6,F508="N"),"status "&amp;D508&amp;" but no tracker row",IF(AND(E508="Y",D508&lt;&gt;"do_not_contact"),"do_not_contact = Y but status is "&amp;D508,IF(AND(D508="do_not_contact",E508&lt;&gt;"Y"),"status do_not_contact but do_not_contact is not Y",""))))))</f>
        <v/>
      </c>
      <c r="I508" s="17" t="n">
        <v>487</v>
      </c>
      <c r="J508" s="17">
        <f>IFERROR(INDEX(Clay_Brands!$A$2:$FZ$601,I508,$D$5)&amp;"","")</f>
        <v/>
      </c>
      <c r="K508" s="17">
        <f>IFERROR(INDEX(Clay_Brands!$A$2:$FZ$601,I508,$D$7)&amp;"","")</f>
        <v/>
      </c>
      <c r="L508" s="17">
        <f>IFERROR(INDEX(Clay_Brands!$A$2:$FZ$601,I508,$D$8)&amp;"","")</f>
        <v/>
      </c>
      <c r="M508" s="17">
        <f>IF(J508="","",IF(COUNTIF(Brand_Log!$A$2:$A$201,J508)&gt;0,"Y","N"))</f>
        <v/>
      </c>
      <c r="N508" s="17">
        <f>IF(OR(J508="",AND(LEFT(J508,6)="SAMPLE",Config!$B$19&lt;&gt;"Y")),"",IF(IFERROR(INDEX(Lists!$J$2:$J$15,MATCH(K508,Lists!$I$2:$I$15,0)),-1)=-1,"status '"&amp;K508&amp;"' is not a CONTRACTS status",IF(AND(K508="paid",COUNTIF(paid_brands!$AC$2:$AC$51,J508)=0),"status paid but no paid_brands row"&amp;IF(M508="N"," and no tracker row",""),IF(AND(IFERROR(INDEX(Lists!$J$2:$J$15,MATCH(K508,Lists!$I$2:$I$15,0)),-1)&gt;=6,M508="N"),"status "&amp;K508&amp;" but no tracker row",IF(AND(L508="Y",K508&lt;&gt;"do_not_contact"),"do_not_contact = Y but status is "&amp;K508,IF(AND(K508="do_not_contact",L508&lt;&gt;"Y"),"status do_not_contact but do_not_contact is not Y",""))))))</f>
        <v/>
      </c>
    </row>
    <row r="509">
      <c r="B509" s="17" t="n">
        <v>488</v>
      </c>
      <c r="C509" s="17">
        <f>IFERROR(INDEX(Clay_Offices!$A$2:$FZ$601,B509,$C$5)&amp;"","")</f>
        <v/>
      </c>
      <c r="D509" s="17">
        <f>IFERROR(INDEX(Clay_Offices!$A$2:$FZ$601,B509,$C$7)&amp;"","")</f>
        <v/>
      </c>
      <c r="E509" s="17">
        <f>IFERROR(INDEX(Clay_Offices!$A$2:$FZ$601,B509,$C$8)&amp;"","")</f>
        <v/>
      </c>
      <c r="F509" s="17">
        <f>IF(C509="","",IF(COUNTIF(Office_Log!$A$2:$A$201,C509)&gt;0,"Y","N"))</f>
        <v/>
      </c>
      <c r="G509" s="17">
        <f>IF(OR(C509="",AND(LEFT(C509,6)="SAMPLE",Config!$B$19&lt;&gt;"Y")),"",IF(IFERROR(INDEX(Lists!$J$2:$J$15,MATCH(D509,Lists!$I$2:$I$15,0)),-1)=-1,"status '"&amp;D509&amp;"' is not a CONTRACTS status",IF(AND(D509="signed",COUNTIF(signed_offices!$W$2:$W$51,C509)=0),"status signed but no signed_offices row"&amp;IF(F509="N"," and no tracker row",""),IF(AND(IFERROR(INDEX(Lists!$J$2:$J$15,MATCH(D509,Lists!$I$2:$I$15,0)),-1)&gt;=6,F509="N"),"status "&amp;D509&amp;" but no tracker row",IF(AND(E509="Y",D509&lt;&gt;"do_not_contact"),"do_not_contact = Y but status is "&amp;D509,IF(AND(D509="do_not_contact",E509&lt;&gt;"Y"),"status do_not_contact but do_not_contact is not Y",""))))))</f>
        <v/>
      </c>
      <c r="I509" s="17" t="n">
        <v>488</v>
      </c>
      <c r="J509" s="17">
        <f>IFERROR(INDEX(Clay_Brands!$A$2:$FZ$601,I509,$D$5)&amp;"","")</f>
        <v/>
      </c>
      <c r="K509" s="17">
        <f>IFERROR(INDEX(Clay_Brands!$A$2:$FZ$601,I509,$D$7)&amp;"","")</f>
        <v/>
      </c>
      <c r="L509" s="17">
        <f>IFERROR(INDEX(Clay_Brands!$A$2:$FZ$601,I509,$D$8)&amp;"","")</f>
        <v/>
      </c>
      <c r="M509" s="17">
        <f>IF(J509="","",IF(COUNTIF(Brand_Log!$A$2:$A$201,J509)&gt;0,"Y","N"))</f>
        <v/>
      </c>
      <c r="N509" s="17">
        <f>IF(OR(J509="",AND(LEFT(J509,6)="SAMPLE",Config!$B$19&lt;&gt;"Y")),"",IF(IFERROR(INDEX(Lists!$J$2:$J$15,MATCH(K509,Lists!$I$2:$I$15,0)),-1)=-1,"status '"&amp;K509&amp;"' is not a CONTRACTS status",IF(AND(K509="paid",COUNTIF(paid_brands!$AC$2:$AC$51,J509)=0),"status paid but no paid_brands row"&amp;IF(M509="N"," and no tracker row",""),IF(AND(IFERROR(INDEX(Lists!$J$2:$J$15,MATCH(K509,Lists!$I$2:$I$15,0)),-1)&gt;=6,M509="N"),"status "&amp;K509&amp;" but no tracker row",IF(AND(L509="Y",K509&lt;&gt;"do_not_contact"),"do_not_contact = Y but status is "&amp;K509,IF(AND(K509="do_not_contact",L509&lt;&gt;"Y"),"status do_not_contact but do_not_contact is not Y",""))))))</f>
        <v/>
      </c>
    </row>
    <row r="510">
      <c r="B510" s="17" t="n">
        <v>489</v>
      </c>
      <c r="C510" s="17">
        <f>IFERROR(INDEX(Clay_Offices!$A$2:$FZ$601,B510,$C$5)&amp;"","")</f>
        <v/>
      </c>
      <c r="D510" s="17">
        <f>IFERROR(INDEX(Clay_Offices!$A$2:$FZ$601,B510,$C$7)&amp;"","")</f>
        <v/>
      </c>
      <c r="E510" s="17">
        <f>IFERROR(INDEX(Clay_Offices!$A$2:$FZ$601,B510,$C$8)&amp;"","")</f>
        <v/>
      </c>
      <c r="F510" s="17">
        <f>IF(C510="","",IF(COUNTIF(Office_Log!$A$2:$A$201,C510)&gt;0,"Y","N"))</f>
        <v/>
      </c>
      <c r="G510" s="17">
        <f>IF(OR(C510="",AND(LEFT(C510,6)="SAMPLE",Config!$B$19&lt;&gt;"Y")),"",IF(IFERROR(INDEX(Lists!$J$2:$J$15,MATCH(D510,Lists!$I$2:$I$15,0)),-1)=-1,"status '"&amp;D510&amp;"' is not a CONTRACTS status",IF(AND(D510="signed",COUNTIF(signed_offices!$W$2:$W$51,C510)=0),"status signed but no signed_offices row"&amp;IF(F510="N"," and no tracker row",""),IF(AND(IFERROR(INDEX(Lists!$J$2:$J$15,MATCH(D510,Lists!$I$2:$I$15,0)),-1)&gt;=6,F510="N"),"status "&amp;D510&amp;" but no tracker row",IF(AND(E510="Y",D510&lt;&gt;"do_not_contact"),"do_not_contact = Y but status is "&amp;D510,IF(AND(D510="do_not_contact",E510&lt;&gt;"Y"),"status do_not_contact but do_not_contact is not Y",""))))))</f>
        <v/>
      </c>
      <c r="I510" s="17" t="n">
        <v>489</v>
      </c>
      <c r="J510" s="17">
        <f>IFERROR(INDEX(Clay_Brands!$A$2:$FZ$601,I510,$D$5)&amp;"","")</f>
        <v/>
      </c>
      <c r="K510" s="17">
        <f>IFERROR(INDEX(Clay_Brands!$A$2:$FZ$601,I510,$D$7)&amp;"","")</f>
        <v/>
      </c>
      <c r="L510" s="17">
        <f>IFERROR(INDEX(Clay_Brands!$A$2:$FZ$601,I510,$D$8)&amp;"","")</f>
        <v/>
      </c>
      <c r="M510" s="17">
        <f>IF(J510="","",IF(COUNTIF(Brand_Log!$A$2:$A$201,J510)&gt;0,"Y","N"))</f>
        <v/>
      </c>
      <c r="N510" s="17">
        <f>IF(OR(J510="",AND(LEFT(J510,6)="SAMPLE",Config!$B$19&lt;&gt;"Y")),"",IF(IFERROR(INDEX(Lists!$J$2:$J$15,MATCH(K510,Lists!$I$2:$I$15,0)),-1)=-1,"status '"&amp;K510&amp;"' is not a CONTRACTS status",IF(AND(K510="paid",COUNTIF(paid_brands!$AC$2:$AC$51,J510)=0),"status paid but no paid_brands row"&amp;IF(M510="N"," and no tracker row",""),IF(AND(IFERROR(INDEX(Lists!$J$2:$J$15,MATCH(K510,Lists!$I$2:$I$15,0)),-1)&gt;=6,M510="N"),"status "&amp;K510&amp;" but no tracker row",IF(AND(L510="Y",K510&lt;&gt;"do_not_contact"),"do_not_contact = Y but status is "&amp;K510,IF(AND(K510="do_not_contact",L510&lt;&gt;"Y"),"status do_not_contact but do_not_contact is not Y",""))))))</f>
        <v/>
      </c>
    </row>
    <row r="511">
      <c r="B511" s="17" t="n">
        <v>490</v>
      </c>
      <c r="C511" s="17">
        <f>IFERROR(INDEX(Clay_Offices!$A$2:$FZ$601,B511,$C$5)&amp;"","")</f>
        <v/>
      </c>
      <c r="D511" s="17">
        <f>IFERROR(INDEX(Clay_Offices!$A$2:$FZ$601,B511,$C$7)&amp;"","")</f>
        <v/>
      </c>
      <c r="E511" s="17">
        <f>IFERROR(INDEX(Clay_Offices!$A$2:$FZ$601,B511,$C$8)&amp;"","")</f>
        <v/>
      </c>
      <c r="F511" s="17">
        <f>IF(C511="","",IF(COUNTIF(Office_Log!$A$2:$A$201,C511)&gt;0,"Y","N"))</f>
        <v/>
      </c>
      <c r="G511" s="17">
        <f>IF(OR(C511="",AND(LEFT(C511,6)="SAMPLE",Config!$B$19&lt;&gt;"Y")),"",IF(IFERROR(INDEX(Lists!$J$2:$J$15,MATCH(D511,Lists!$I$2:$I$15,0)),-1)=-1,"status '"&amp;D511&amp;"' is not a CONTRACTS status",IF(AND(D511="signed",COUNTIF(signed_offices!$W$2:$W$51,C511)=0),"status signed but no signed_offices row"&amp;IF(F511="N"," and no tracker row",""),IF(AND(IFERROR(INDEX(Lists!$J$2:$J$15,MATCH(D511,Lists!$I$2:$I$15,0)),-1)&gt;=6,F511="N"),"status "&amp;D511&amp;" but no tracker row",IF(AND(E511="Y",D511&lt;&gt;"do_not_contact"),"do_not_contact = Y but status is "&amp;D511,IF(AND(D511="do_not_contact",E511&lt;&gt;"Y"),"status do_not_contact but do_not_contact is not Y",""))))))</f>
        <v/>
      </c>
      <c r="I511" s="17" t="n">
        <v>490</v>
      </c>
      <c r="J511" s="17">
        <f>IFERROR(INDEX(Clay_Brands!$A$2:$FZ$601,I511,$D$5)&amp;"","")</f>
        <v/>
      </c>
      <c r="K511" s="17">
        <f>IFERROR(INDEX(Clay_Brands!$A$2:$FZ$601,I511,$D$7)&amp;"","")</f>
        <v/>
      </c>
      <c r="L511" s="17">
        <f>IFERROR(INDEX(Clay_Brands!$A$2:$FZ$601,I511,$D$8)&amp;"","")</f>
        <v/>
      </c>
      <c r="M511" s="17">
        <f>IF(J511="","",IF(COUNTIF(Brand_Log!$A$2:$A$201,J511)&gt;0,"Y","N"))</f>
        <v/>
      </c>
      <c r="N511" s="17">
        <f>IF(OR(J511="",AND(LEFT(J511,6)="SAMPLE",Config!$B$19&lt;&gt;"Y")),"",IF(IFERROR(INDEX(Lists!$J$2:$J$15,MATCH(K511,Lists!$I$2:$I$15,0)),-1)=-1,"status '"&amp;K511&amp;"' is not a CONTRACTS status",IF(AND(K511="paid",COUNTIF(paid_brands!$AC$2:$AC$51,J511)=0),"status paid but no paid_brands row"&amp;IF(M511="N"," and no tracker row",""),IF(AND(IFERROR(INDEX(Lists!$J$2:$J$15,MATCH(K511,Lists!$I$2:$I$15,0)),-1)&gt;=6,M511="N"),"status "&amp;K511&amp;" but no tracker row",IF(AND(L511="Y",K511&lt;&gt;"do_not_contact"),"do_not_contact = Y but status is "&amp;K511,IF(AND(K511="do_not_contact",L511&lt;&gt;"Y"),"status do_not_contact but do_not_contact is not Y",""))))))</f>
        <v/>
      </c>
    </row>
    <row r="512">
      <c r="B512" s="17" t="n">
        <v>491</v>
      </c>
      <c r="C512" s="17">
        <f>IFERROR(INDEX(Clay_Offices!$A$2:$FZ$601,B512,$C$5)&amp;"","")</f>
        <v/>
      </c>
      <c r="D512" s="17">
        <f>IFERROR(INDEX(Clay_Offices!$A$2:$FZ$601,B512,$C$7)&amp;"","")</f>
        <v/>
      </c>
      <c r="E512" s="17">
        <f>IFERROR(INDEX(Clay_Offices!$A$2:$FZ$601,B512,$C$8)&amp;"","")</f>
        <v/>
      </c>
      <c r="F512" s="17">
        <f>IF(C512="","",IF(COUNTIF(Office_Log!$A$2:$A$201,C512)&gt;0,"Y","N"))</f>
        <v/>
      </c>
      <c r="G512" s="17">
        <f>IF(OR(C512="",AND(LEFT(C512,6)="SAMPLE",Config!$B$19&lt;&gt;"Y")),"",IF(IFERROR(INDEX(Lists!$J$2:$J$15,MATCH(D512,Lists!$I$2:$I$15,0)),-1)=-1,"status '"&amp;D512&amp;"' is not a CONTRACTS status",IF(AND(D512="signed",COUNTIF(signed_offices!$W$2:$W$51,C512)=0),"status signed but no signed_offices row"&amp;IF(F512="N"," and no tracker row",""),IF(AND(IFERROR(INDEX(Lists!$J$2:$J$15,MATCH(D512,Lists!$I$2:$I$15,0)),-1)&gt;=6,F512="N"),"status "&amp;D512&amp;" but no tracker row",IF(AND(E512="Y",D512&lt;&gt;"do_not_contact"),"do_not_contact = Y but status is "&amp;D512,IF(AND(D512="do_not_contact",E512&lt;&gt;"Y"),"status do_not_contact but do_not_contact is not Y",""))))))</f>
        <v/>
      </c>
      <c r="I512" s="17" t="n">
        <v>491</v>
      </c>
      <c r="J512" s="17">
        <f>IFERROR(INDEX(Clay_Brands!$A$2:$FZ$601,I512,$D$5)&amp;"","")</f>
        <v/>
      </c>
      <c r="K512" s="17">
        <f>IFERROR(INDEX(Clay_Brands!$A$2:$FZ$601,I512,$D$7)&amp;"","")</f>
        <v/>
      </c>
      <c r="L512" s="17">
        <f>IFERROR(INDEX(Clay_Brands!$A$2:$FZ$601,I512,$D$8)&amp;"","")</f>
        <v/>
      </c>
      <c r="M512" s="17">
        <f>IF(J512="","",IF(COUNTIF(Brand_Log!$A$2:$A$201,J512)&gt;0,"Y","N"))</f>
        <v/>
      </c>
      <c r="N512" s="17">
        <f>IF(OR(J512="",AND(LEFT(J512,6)="SAMPLE",Config!$B$19&lt;&gt;"Y")),"",IF(IFERROR(INDEX(Lists!$J$2:$J$15,MATCH(K512,Lists!$I$2:$I$15,0)),-1)=-1,"status '"&amp;K512&amp;"' is not a CONTRACTS status",IF(AND(K512="paid",COUNTIF(paid_brands!$AC$2:$AC$51,J512)=0),"status paid but no paid_brands row"&amp;IF(M512="N"," and no tracker row",""),IF(AND(IFERROR(INDEX(Lists!$J$2:$J$15,MATCH(K512,Lists!$I$2:$I$15,0)),-1)&gt;=6,M512="N"),"status "&amp;K512&amp;" but no tracker row",IF(AND(L512="Y",K512&lt;&gt;"do_not_contact"),"do_not_contact = Y but status is "&amp;K512,IF(AND(K512="do_not_contact",L512&lt;&gt;"Y"),"status do_not_contact but do_not_contact is not Y",""))))))</f>
        <v/>
      </c>
    </row>
    <row r="513">
      <c r="B513" s="17" t="n">
        <v>492</v>
      </c>
      <c r="C513" s="17">
        <f>IFERROR(INDEX(Clay_Offices!$A$2:$FZ$601,B513,$C$5)&amp;"","")</f>
        <v/>
      </c>
      <c r="D513" s="17">
        <f>IFERROR(INDEX(Clay_Offices!$A$2:$FZ$601,B513,$C$7)&amp;"","")</f>
        <v/>
      </c>
      <c r="E513" s="17">
        <f>IFERROR(INDEX(Clay_Offices!$A$2:$FZ$601,B513,$C$8)&amp;"","")</f>
        <v/>
      </c>
      <c r="F513" s="17">
        <f>IF(C513="","",IF(COUNTIF(Office_Log!$A$2:$A$201,C513)&gt;0,"Y","N"))</f>
        <v/>
      </c>
      <c r="G513" s="17">
        <f>IF(OR(C513="",AND(LEFT(C513,6)="SAMPLE",Config!$B$19&lt;&gt;"Y")),"",IF(IFERROR(INDEX(Lists!$J$2:$J$15,MATCH(D513,Lists!$I$2:$I$15,0)),-1)=-1,"status '"&amp;D513&amp;"' is not a CONTRACTS status",IF(AND(D513="signed",COUNTIF(signed_offices!$W$2:$W$51,C513)=0),"status signed but no signed_offices row"&amp;IF(F513="N"," and no tracker row",""),IF(AND(IFERROR(INDEX(Lists!$J$2:$J$15,MATCH(D513,Lists!$I$2:$I$15,0)),-1)&gt;=6,F513="N"),"status "&amp;D513&amp;" but no tracker row",IF(AND(E513="Y",D513&lt;&gt;"do_not_contact"),"do_not_contact = Y but status is "&amp;D513,IF(AND(D513="do_not_contact",E513&lt;&gt;"Y"),"status do_not_contact but do_not_contact is not Y",""))))))</f>
        <v/>
      </c>
      <c r="I513" s="17" t="n">
        <v>492</v>
      </c>
      <c r="J513" s="17">
        <f>IFERROR(INDEX(Clay_Brands!$A$2:$FZ$601,I513,$D$5)&amp;"","")</f>
        <v/>
      </c>
      <c r="K513" s="17">
        <f>IFERROR(INDEX(Clay_Brands!$A$2:$FZ$601,I513,$D$7)&amp;"","")</f>
        <v/>
      </c>
      <c r="L513" s="17">
        <f>IFERROR(INDEX(Clay_Brands!$A$2:$FZ$601,I513,$D$8)&amp;"","")</f>
        <v/>
      </c>
      <c r="M513" s="17">
        <f>IF(J513="","",IF(COUNTIF(Brand_Log!$A$2:$A$201,J513)&gt;0,"Y","N"))</f>
        <v/>
      </c>
      <c r="N513" s="17">
        <f>IF(OR(J513="",AND(LEFT(J513,6)="SAMPLE",Config!$B$19&lt;&gt;"Y")),"",IF(IFERROR(INDEX(Lists!$J$2:$J$15,MATCH(K513,Lists!$I$2:$I$15,0)),-1)=-1,"status '"&amp;K513&amp;"' is not a CONTRACTS status",IF(AND(K513="paid",COUNTIF(paid_brands!$AC$2:$AC$51,J513)=0),"status paid but no paid_brands row"&amp;IF(M513="N"," and no tracker row",""),IF(AND(IFERROR(INDEX(Lists!$J$2:$J$15,MATCH(K513,Lists!$I$2:$I$15,0)),-1)&gt;=6,M513="N"),"status "&amp;K513&amp;" but no tracker row",IF(AND(L513="Y",K513&lt;&gt;"do_not_contact"),"do_not_contact = Y but status is "&amp;K513,IF(AND(K513="do_not_contact",L513&lt;&gt;"Y"),"status do_not_contact but do_not_contact is not Y",""))))))</f>
        <v/>
      </c>
    </row>
    <row r="514">
      <c r="B514" s="17" t="n">
        <v>493</v>
      </c>
      <c r="C514" s="17">
        <f>IFERROR(INDEX(Clay_Offices!$A$2:$FZ$601,B514,$C$5)&amp;"","")</f>
        <v/>
      </c>
      <c r="D514" s="17">
        <f>IFERROR(INDEX(Clay_Offices!$A$2:$FZ$601,B514,$C$7)&amp;"","")</f>
        <v/>
      </c>
      <c r="E514" s="17">
        <f>IFERROR(INDEX(Clay_Offices!$A$2:$FZ$601,B514,$C$8)&amp;"","")</f>
        <v/>
      </c>
      <c r="F514" s="17">
        <f>IF(C514="","",IF(COUNTIF(Office_Log!$A$2:$A$201,C514)&gt;0,"Y","N"))</f>
        <v/>
      </c>
      <c r="G514" s="17">
        <f>IF(OR(C514="",AND(LEFT(C514,6)="SAMPLE",Config!$B$19&lt;&gt;"Y")),"",IF(IFERROR(INDEX(Lists!$J$2:$J$15,MATCH(D514,Lists!$I$2:$I$15,0)),-1)=-1,"status '"&amp;D514&amp;"' is not a CONTRACTS status",IF(AND(D514="signed",COUNTIF(signed_offices!$W$2:$W$51,C514)=0),"status signed but no signed_offices row"&amp;IF(F514="N"," and no tracker row",""),IF(AND(IFERROR(INDEX(Lists!$J$2:$J$15,MATCH(D514,Lists!$I$2:$I$15,0)),-1)&gt;=6,F514="N"),"status "&amp;D514&amp;" but no tracker row",IF(AND(E514="Y",D514&lt;&gt;"do_not_contact"),"do_not_contact = Y but status is "&amp;D514,IF(AND(D514="do_not_contact",E514&lt;&gt;"Y"),"status do_not_contact but do_not_contact is not Y",""))))))</f>
        <v/>
      </c>
      <c r="I514" s="17" t="n">
        <v>493</v>
      </c>
      <c r="J514" s="17">
        <f>IFERROR(INDEX(Clay_Brands!$A$2:$FZ$601,I514,$D$5)&amp;"","")</f>
        <v/>
      </c>
      <c r="K514" s="17">
        <f>IFERROR(INDEX(Clay_Brands!$A$2:$FZ$601,I514,$D$7)&amp;"","")</f>
        <v/>
      </c>
      <c r="L514" s="17">
        <f>IFERROR(INDEX(Clay_Brands!$A$2:$FZ$601,I514,$D$8)&amp;"","")</f>
        <v/>
      </c>
      <c r="M514" s="17">
        <f>IF(J514="","",IF(COUNTIF(Brand_Log!$A$2:$A$201,J514)&gt;0,"Y","N"))</f>
        <v/>
      </c>
      <c r="N514" s="17">
        <f>IF(OR(J514="",AND(LEFT(J514,6)="SAMPLE",Config!$B$19&lt;&gt;"Y")),"",IF(IFERROR(INDEX(Lists!$J$2:$J$15,MATCH(K514,Lists!$I$2:$I$15,0)),-1)=-1,"status '"&amp;K514&amp;"' is not a CONTRACTS status",IF(AND(K514="paid",COUNTIF(paid_brands!$AC$2:$AC$51,J514)=0),"status paid but no paid_brands row"&amp;IF(M514="N"," and no tracker row",""),IF(AND(IFERROR(INDEX(Lists!$J$2:$J$15,MATCH(K514,Lists!$I$2:$I$15,0)),-1)&gt;=6,M514="N"),"status "&amp;K514&amp;" but no tracker row",IF(AND(L514="Y",K514&lt;&gt;"do_not_contact"),"do_not_contact = Y but status is "&amp;K514,IF(AND(K514="do_not_contact",L514&lt;&gt;"Y"),"status do_not_contact but do_not_contact is not Y",""))))))</f>
        <v/>
      </c>
    </row>
    <row r="515">
      <c r="B515" s="17" t="n">
        <v>494</v>
      </c>
      <c r="C515" s="17">
        <f>IFERROR(INDEX(Clay_Offices!$A$2:$FZ$601,B515,$C$5)&amp;"","")</f>
        <v/>
      </c>
      <c r="D515" s="17">
        <f>IFERROR(INDEX(Clay_Offices!$A$2:$FZ$601,B515,$C$7)&amp;"","")</f>
        <v/>
      </c>
      <c r="E515" s="17">
        <f>IFERROR(INDEX(Clay_Offices!$A$2:$FZ$601,B515,$C$8)&amp;"","")</f>
        <v/>
      </c>
      <c r="F515" s="17">
        <f>IF(C515="","",IF(COUNTIF(Office_Log!$A$2:$A$201,C515)&gt;0,"Y","N"))</f>
        <v/>
      </c>
      <c r="G515" s="17">
        <f>IF(OR(C515="",AND(LEFT(C515,6)="SAMPLE",Config!$B$19&lt;&gt;"Y")),"",IF(IFERROR(INDEX(Lists!$J$2:$J$15,MATCH(D515,Lists!$I$2:$I$15,0)),-1)=-1,"status '"&amp;D515&amp;"' is not a CONTRACTS status",IF(AND(D515="signed",COUNTIF(signed_offices!$W$2:$W$51,C515)=0),"status signed but no signed_offices row"&amp;IF(F515="N"," and no tracker row",""),IF(AND(IFERROR(INDEX(Lists!$J$2:$J$15,MATCH(D515,Lists!$I$2:$I$15,0)),-1)&gt;=6,F515="N"),"status "&amp;D515&amp;" but no tracker row",IF(AND(E515="Y",D515&lt;&gt;"do_not_contact"),"do_not_contact = Y but status is "&amp;D515,IF(AND(D515="do_not_contact",E515&lt;&gt;"Y"),"status do_not_contact but do_not_contact is not Y",""))))))</f>
        <v/>
      </c>
      <c r="I515" s="17" t="n">
        <v>494</v>
      </c>
      <c r="J515" s="17">
        <f>IFERROR(INDEX(Clay_Brands!$A$2:$FZ$601,I515,$D$5)&amp;"","")</f>
        <v/>
      </c>
      <c r="K515" s="17">
        <f>IFERROR(INDEX(Clay_Brands!$A$2:$FZ$601,I515,$D$7)&amp;"","")</f>
        <v/>
      </c>
      <c r="L515" s="17">
        <f>IFERROR(INDEX(Clay_Brands!$A$2:$FZ$601,I515,$D$8)&amp;"","")</f>
        <v/>
      </c>
      <c r="M515" s="17">
        <f>IF(J515="","",IF(COUNTIF(Brand_Log!$A$2:$A$201,J515)&gt;0,"Y","N"))</f>
        <v/>
      </c>
      <c r="N515" s="17">
        <f>IF(OR(J515="",AND(LEFT(J515,6)="SAMPLE",Config!$B$19&lt;&gt;"Y")),"",IF(IFERROR(INDEX(Lists!$J$2:$J$15,MATCH(K515,Lists!$I$2:$I$15,0)),-1)=-1,"status '"&amp;K515&amp;"' is not a CONTRACTS status",IF(AND(K515="paid",COUNTIF(paid_brands!$AC$2:$AC$51,J515)=0),"status paid but no paid_brands row"&amp;IF(M515="N"," and no tracker row",""),IF(AND(IFERROR(INDEX(Lists!$J$2:$J$15,MATCH(K515,Lists!$I$2:$I$15,0)),-1)&gt;=6,M515="N"),"status "&amp;K515&amp;" but no tracker row",IF(AND(L515="Y",K515&lt;&gt;"do_not_contact"),"do_not_contact = Y but status is "&amp;K515,IF(AND(K515="do_not_contact",L515&lt;&gt;"Y"),"status do_not_contact but do_not_contact is not Y",""))))))</f>
        <v/>
      </c>
    </row>
    <row r="516">
      <c r="B516" s="17" t="n">
        <v>495</v>
      </c>
      <c r="C516" s="17">
        <f>IFERROR(INDEX(Clay_Offices!$A$2:$FZ$601,B516,$C$5)&amp;"","")</f>
        <v/>
      </c>
      <c r="D516" s="17">
        <f>IFERROR(INDEX(Clay_Offices!$A$2:$FZ$601,B516,$C$7)&amp;"","")</f>
        <v/>
      </c>
      <c r="E516" s="17">
        <f>IFERROR(INDEX(Clay_Offices!$A$2:$FZ$601,B516,$C$8)&amp;"","")</f>
        <v/>
      </c>
      <c r="F516" s="17">
        <f>IF(C516="","",IF(COUNTIF(Office_Log!$A$2:$A$201,C516)&gt;0,"Y","N"))</f>
        <v/>
      </c>
      <c r="G516" s="17">
        <f>IF(OR(C516="",AND(LEFT(C516,6)="SAMPLE",Config!$B$19&lt;&gt;"Y")),"",IF(IFERROR(INDEX(Lists!$J$2:$J$15,MATCH(D516,Lists!$I$2:$I$15,0)),-1)=-1,"status '"&amp;D516&amp;"' is not a CONTRACTS status",IF(AND(D516="signed",COUNTIF(signed_offices!$W$2:$W$51,C516)=0),"status signed but no signed_offices row"&amp;IF(F516="N"," and no tracker row",""),IF(AND(IFERROR(INDEX(Lists!$J$2:$J$15,MATCH(D516,Lists!$I$2:$I$15,0)),-1)&gt;=6,F516="N"),"status "&amp;D516&amp;" but no tracker row",IF(AND(E516="Y",D516&lt;&gt;"do_not_contact"),"do_not_contact = Y but status is "&amp;D516,IF(AND(D516="do_not_contact",E516&lt;&gt;"Y"),"status do_not_contact but do_not_contact is not Y",""))))))</f>
        <v/>
      </c>
      <c r="I516" s="17" t="n">
        <v>495</v>
      </c>
      <c r="J516" s="17">
        <f>IFERROR(INDEX(Clay_Brands!$A$2:$FZ$601,I516,$D$5)&amp;"","")</f>
        <v/>
      </c>
      <c r="K516" s="17">
        <f>IFERROR(INDEX(Clay_Brands!$A$2:$FZ$601,I516,$D$7)&amp;"","")</f>
        <v/>
      </c>
      <c r="L516" s="17">
        <f>IFERROR(INDEX(Clay_Brands!$A$2:$FZ$601,I516,$D$8)&amp;"","")</f>
        <v/>
      </c>
      <c r="M516" s="17">
        <f>IF(J516="","",IF(COUNTIF(Brand_Log!$A$2:$A$201,J516)&gt;0,"Y","N"))</f>
        <v/>
      </c>
      <c r="N516" s="17">
        <f>IF(OR(J516="",AND(LEFT(J516,6)="SAMPLE",Config!$B$19&lt;&gt;"Y")),"",IF(IFERROR(INDEX(Lists!$J$2:$J$15,MATCH(K516,Lists!$I$2:$I$15,0)),-1)=-1,"status '"&amp;K516&amp;"' is not a CONTRACTS status",IF(AND(K516="paid",COUNTIF(paid_brands!$AC$2:$AC$51,J516)=0),"status paid but no paid_brands row"&amp;IF(M516="N"," and no tracker row",""),IF(AND(IFERROR(INDEX(Lists!$J$2:$J$15,MATCH(K516,Lists!$I$2:$I$15,0)),-1)&gt;=6,M516="N"),"status "&amp;K516&amp;" but no tracker row",IF(AND(L516="Y",K516&lt;&gt;"do_not_contact"),"do_not_contact = Y but status is "&amp;K516,IF(AND(K516="do_not_contact",L516&lt;&gt;"Y"),"status do_not_contact but do_not_contact is not Y",""))))))</f>
        <v/>
      </c>
    </row>
    <row r="517">
      <c r="B517" s="17" t="n">
        <v>496</v>
      </c>
      <c r="C517" s="17">
        <f>IFERROR(INDEX(Clay_Offices!$A$2:$FZ$601,B517,$C$5)&amp;"","")</f>
        <v/>
      </c>
      <c r="D517" s="17">
        <f>IFERROR(INDEX(Clay_Offices!$A$2:$FZ$601,B517,$C$7)&amp;"","")</f>
        <v/>
      </c>
      <c r="E517" s="17">
        <f>IFERROR(INDEX(Clay_Offices!$A$2:$FZ$601,B517,$C$8)&amp;"","")</f>
        <v/>
      </c>
      <c r="F517" s="17">
        <f>IF(C517="","",IF(COUNTIF(Office_Log!$A$2:$A$201,C517)&gt;0,"Y","N"))</f>
        <v/>
      </c>
      <c r="G517" s="17">
        <f>IF(OR(C517="",AND(LEFT(C517,6)="SAMPLE",Config!$B$19&lt;&gt;"Y")),"",IF(IFERROR(INDEX(Lists!$J$2:$J$15,MATCH(D517,Lists!$I$2:$I$15,0)),-1)=-1,"status '"&amp;D517&amp;"' is not a CONTRACTS status",IF(AND(D517="signed",COUNTIF(signed_offices!$W$2:$W$51,C517)=0),"status signed but no signed_offices row"&amp;IF(F517="N"," and no tracker row",""),IF(AND(IFERROR(INDEX(Lists!$J$2:$J$15,MATCH(D517,Lists!$I$2:$I$15,0)),-1)&gt;=6,F517="N"),"status "&amp;D517&amp;" but no tracker row",IF(AND(E517="Y",D517&lt;&gt;"do_not_contact"),"do_not_contact = Y but status is "&amp;D517,IF(AND(D517="do_not_contact",E517&lt;&gt;"Y"),"status do_not_contact but do_not_contact is not Y",""))))))</f>
        <v/>
      </c>
      <c r="I517" s="17" t="n">
        <v>496</v>
      </c>
      <c r="J517" s="17">
        <f>IFERROR(INDEX(Clay_Brands!$A$2:$FZ$601,I517,$D$5)&amp;"","")</f>
        <v/>
      </c>
      <c r="K517" s="17">
        <f>IFERROR(INDEX(Clay_Brands!$A$2:$FZ$601,I517,$D$7)&amp;"","")</f>
        <v/>
      </c>
      <c r="L517" s="17">
        <f>IFERROR(INDEX(Clay_Brands!$A$2:$FZ$601,I517,$D$8)&amp;"","")</f>
        <v/>
      </c>
      <c r="M517" s="17">
        <f>IF(J517="","",IF(COUNTIF(Brand_Log!$A$2:$A$201,J517)&gt;0,"Y","N"))</f>
        <v/>
      </c>
      <c r="N517" s="17">
        <f>IF(OR(J517="",AND(LEFT(J517,6)="SAMPLE",Config!$B$19&lt;&gt;"Y")),"",IF(IFERROR(INDEX(Lists!$J$2:$J$15,MATCH(K517,Lists!$I$2:$I$15,0)),-1)=-1,"status '"&amp;K517&amp;"' is not a CONTRACTS status",IF(AND(K517="paid",COUNTIF(paid_brands!$AC$2:$AC$51,J517)=0),"status paid but no paid_brands row"&amp;IF(M517="N"," and no tracker row",""),IF(AND(IFERROR(INDEX(Lists!$J$2:$J$15,MATCH(K517,Lists!$I$2:$I$15,0)),-1)&gt;=6,M517="N"),"status "&amp;K517&amp;" but no tracker row",IF(AND(L517="Y",K517&lt;&gt;"do_not_contact"),"do_not_contact = Y but status is "&amp;K517,IF(AND(K517="do_not_contact",L517&lt;&gt;"Y"),"status do_not_contact but do_not_contact is not Y",""))))))</f>
        <v/>
      </c>
    </row>
    <row r="518">
      <c r="B518" s="17" t="n">
        <v>497</v>
      </c>
      <c r="C518" s="17">
        <f>IFERROR(INDEX(Clay_Offices!$A$2:$FZ$601,B518,$C$5)&amp;"","")</f>
        <v/>
      </c>
      <c r="D518" s="17">
        <f>IFERROR(INDEX(Clay_Offices!$A$2:$FZ$601,B518,$C$7)&amp;"","")</f>
        <v/>
      </c>
      <c r="E518" s="17">
        <f>IFERROR(INDEX(Clay_Offices!$A$2:$FZ$601,B518,$C$8)&amp;"","")</f>
        <v/>
      </c>
      <c r="F518" s="17">
        <f>IF(C518="","",IF(COUNTIF(Office_Log!$A$2:$A$201,C518)&gt;0,"Y","N"))</f>
        <v/>
      </c>
      <c r="G518" s="17">
        <f>IF(OR(C518="",AND(LEFT(C518,6)="SAMPLE",Config!$B$19&lt;&gt;"Y")),"",IF(IFERROR(INDEX(Lists!$J$2:$J$15,MATCH(D518,Lists!$I$2:$I$15,0)),-1)=-1,"status '"&amp;D518&amp;"' is not a CONTRACTS status",IF(AND(D518="signed",COUNTIF(signed_offices!$W$2:$W$51,C518)=0),"status signed but no signed_offices row"&amp;IF(F518="N"," and no tracker row",""),IF(AND(IFERROR(INDEX(Lists!$J$2:$J$15,MATCH(D518,Lists!$I$2:$I$15,0)),-1)&gt;=6,F518="N"),"status "&amp;D518&amp;" but no tracker row",IF(AND(E518="Y",D518&lt;&gt;"do_not_contact"),"do_not_contact = Y but status is "&amp;D518,IF(AND(D518="do_not_contact",E518&lt;&gt;"Y"),"status do_not_contact but do_not_contact is not Y",""))))))</f>
        <v/>
      </c>
      <c r="I518" s="17" t="n">
        <v>497</v>
      </c>
      <c r="J518" s="17">
        <f>IFERROR(INDEX(Clay_Brands!$A$2:$FZ$601,I518,$D$5)&amp;"","")</f>
        <v/>
      </c>
      <c r="K518" s="17">
        <f>IFERROR(INDEX(Clay_Brands!$A$2:$FZ$601,I518,$D$7)&amp;"","")</f>
        <v/>
      </c>
      <c r="L518" s="17">
        <f>IFERROR(INDEX(Clay_Brands!$A$2:$FZ$601,I518,$D$8)&amp;"","")</f>
        <v/>
      </c>
      <c r="M518" s="17">
        <f>IF(J518="","",IF(COUNTIF(Brand_Log!$A$2:$A$201,J518)&gt;0,"Y","N"))</f>
        <v/>
      </c>
      <c r="N518" s="17">
        <f>IF(OR(J518="",AND(LEFT(J518,6)="SAMPLE",Config!$B$19&lt;&gt;"Y")),"",IF(IFERROR(INDEX(Lists!$J$2:$J$15,MATCH(K518,Lists!$I$2:$I$15,0)),-1)=-1,"status '"&amp;K518&amp;"' is not a CONTRACTS status",IF(AND(K518="paid",COUNTIF(paid_brands!$AC$2:$AC$51,J518)=0),"status paid but no paid_brands row"&amp;IF(M518="N"," and no tracker row",""),IF(AND(IFERROR(INDEX(Lists!$J$2:$J$15,MATCH(K518,Lists!$I$2:$I$15,0)),-1)&gt;=6,M518="N"),"status "&amp;K518&amp;" but no tracker row",IF(AND(L518="Y",K518&lt;&gt;"do_not_contact"),"do_not_contact = Y but status is "&amp;K518,IF(AND(K518="do_not_contact",L518&lt;&gt;"Y"),"status do_not_contact but do_not_contact is not Y",""))))))</f>
        <v/>
      </c>
    </row>
    <row r="519">
      <c r="B519" s="17" t="n">
        <v>498</v>
      </c>
      <c r="C519" s="17">
        <f>IFERROR(INDEX(Clay_Offices!$A$2:$FZ$601,B519,$C$5)&amp;"","")</f>
        <v/>
      </c>
      <c r="D519" s="17">
        <f>IFERROR(INDEX(Clay_Offices!$A$2:$FZ$601,B519,$C$7)&amp;"","")</f>
        <v/>
      </c>
      <c r="E519" s="17">
        <f>IFERROR(INDEX(Clay_Offices!$A$2:$FZ$601,B519,$C$8)&amp;"","")</f>
        <v/>
      </c>
      <c r="F519" s="17">
        <f>IF(C519="","",IF(COUNTIF(Office_Log!$A$2:$A$201,C519)&gt;0,"Y","N"))</f>
        <v/>
      </c>
      <c r="G519" s="17">
        <f>IF(OR(C519="",AND(LEFT(C519,6)="SAMPLE",Config!$B$19&lt;&gt;"Y")),"",IF(IFERROR(INDEX(Lists!$J$2:$J$15,MATCH(D519,Lists!$I$2:$I$15,0)),-1)=-1,"status '"&amp;D519&amp;"' is not a CONTRACTS status",IF(AND(D519="signed",COUNTIF(signed_offices!$W$2:$W$51,C519)=0),"status signed but no signed_offices row"&amp;IF(F519="N"," and no tracker row",""),IF(AND(IFERROR(INDEX(Lists!$J$2:$J$15,MATCH(D519,Lists!$I$2:$I$15,0)),-1)&gt;=6,F519="N"),"status "&amp;D519&amp;" but no tracker row",IF(AND(E519="Y",D519&lt;&gt;"do_not_contact"),"do_not_contact = Y but status is "&amp;D519,IF(AND(D519="do_not_contact",E519&lt;&gt;"Y"),"status do_not_contact but do_not_contact is not Y",""))))))</f>
        <v/>
      </c>
      <c r="I519" s="17" t="n">
        <v>498</v>
      </c>
      <c r="J519" s="17">
        <f>IFERROR(INDEX(Clay_Brands!$A$2:$FZ$601,I519,$D$5)&amp;"","")</f>
        <v/>
      </c>
      <c r="K519" s="17">
        <f>IFERROR(INDEX(Clay_Brands!$A$2:$FZ$601,I519,$D$7)&amp;"","")</f>
        <v/>
      </c>
      <c r="L519" s="17">
        <f>IFERROR(INDEX(Clay_Brands!$A$2:$FZ$601,I519,$D$8)&amp;"","")</f>
        <v/>
      </c>
      <c r="M519" s="17">
        <f>IF(J519="","",IF(COUNTIF(Brand_Log!$A$2:$A$201,J519)&gt;0,"Y","N"))</f>
        <v/>
      </c>
      <c r="N519" s="17">
        <f>IF(OR(J519="",AND(LEFT(J519,6)="SAMPLE",Config!$B$19&lt;&gt;"Y")),"",IF(IFERROR(INDEX(Lists!$J$2:$J$15,MATCH(K519,Lists!$I$2:$I$15,0)),-1)=-1,"status '"&amp;K519&amp;"' is not a CONTRACTS status",IF(AND(K519="paid",COUNTIF(paid_brands!$AC$2:$AC$51,J519)=0),"status paid but no paid_brands row"&amp;IF(M519="N"," and no tracker row",""),IF(AND(IFERROR(INDEX(Lists!$J$2:$J$15,MATCH(K519,Lists!$I$2:$I$15,0)),-1)&gt;=6,M519="N"),"status "&amp;K519&amp;" but no tracker row",IF(AND(L519="Y",K519&lt;&gt;"do_not_contact"),"do_not_contact = Y but status is "&amp;K519,IF(AND(K519="do_not_contact",L519&lt;&gt;"Y"),"status do_not_contact but do_not_contact is not Y",""))))))</f>
        <v/>
      </c>
    </row>
    <row r="520">
      <c r="B520" s="17" t="n">
        <v>499</v>
      </c>
      <c r="C520" s="17">
        <f>IFERROR(INDEX(Clay_Offices!$A$2:$FZ$601,B520,$C$5)&amp;"","")</f>
        <v/>
      </c>
      <c r="D520" s="17">
        <f>IFERROR(INDEX(Clay_Offices!$A$2:$FZ$601,B520,$C$7)&amp;"","")</f>
        <v/>
      </c>
      <c r="E520" s="17">
        <f>IFERROR(INDEX(Clay_Offices!$A$2:$FZ$601,B520,$C$8)&amp;"","")</f>
        <v/>
      </c>
      <c r="F520" s="17">
        <f>IF(C520="","",IF(COUNTIF(Office_Log!$A$2:$A$201,C520)&gt;0,"Y","N"))</f>
        <v/>
      </c>
      <c r="G520" s="17">
        <f>IF(OR(C520="",AND(LEFT(C520,6)="SAMPLE",Config!$B$19&lt;&gt;"Y")),"",IF(IFERROR(INDEX(Lists!$J$2:$J$15,MATCH(D520,Lists!$I$2:$I$15,0)),-1)=-1,"status '"&amp;D520&amp;"' is not a CONTRACTS status",IF(AND(D520="signed",COUNTIF(signed_offices!$W$2:$W$51,C520)=0),"status signed but no signed_offices row"&amp;IF(F520="N"," and no tracker row",""),IF(AND(IFERROR(INDEX(Lists!$J$2:$J$15,MATCH(D520,Lists!$I$2:$I$15,0)),-1)&gt;=6,F520="N"),"status "&amp;D520&amp;" but no tracker row",IF(AND(E520="Y",D520&lt;&gt;"do_not_contact"),"do_not_contact = Y but status is "&amp;D520,IF(AND(D520="do_not_contact",E520&lt;&gt;"Y"),"status do_not_contact but do_not_contact is not Y",""))))))</f>
        <v/>
      </c>
      <c r="I520" s="17" t="n">
        <v>499</v>
      </c>
      <c r="J520" s="17">
        <f>IFERROR(INDEX(Clay_Brands!$A$2:$FZ$601,I520,$D$5)&amp;"","")</f>
        <v/>
      </c>
      <c r="K520" s="17">
        <f>IFERROR(INDEX(Clay_Brands!$A$2:$FZ$601,I520,$D$7)&amp;"","")</f>
        <v/>
      </c>
      <c r="L520" s="17">
        <f>IFERROR(INDEX(Clay_Brands!$A$2:$FZ$601,I520,$D$8)&amp;"","")</f>
        <v/>
      </c>
      <c r="M520" s="17">
        <f>IF(J520="","",IF(COUNTIF(Brand_Log!$A$2:$A$201,J520)&gt;0,"Y","N"))</f>
        <v/>
      </c>
      <c r="N520" s="17">
        <f>IF(OR(J520="",AND(LEFT(J520,6)="SAMPLE",Config!$B$19&lt;&gt;"Y")),"",IF(IFERROR(INDEX(Lists!$J$2:$J$15,MATCH(K520,Lists!$I$2:$I$15,0)),-1)=-1,"status '"&amp;K520&amp;"' is not a CONTRACTS status",IF(AND(K520="paid",COUNTIF(paid_brands!$AC$2:$AC$51,J520)=0),"status paid but no paid_brands row"&amp;IF(M520="N"," and no tracker row",""),IF(AND(IFERROR(INDEX(Lists!$J$2:$J$15,MATCH(K520,Lists!$I$2:$I$15,0)),-1)&gt;=6,M520="N"),"status "&amp;K520&amp;" but no tracker row",IF(AND(L520="Y",K520&lt;&gt;"do_not_contact"),"do_not_contact = Y but status is "&amp;K520,IF(AND(K520="do_not_contact",L520&lt;&gt;"Y"),"status do_not_contact but do_not_contact is not Y",""))))))</f>
        <v/>
      </c>
    </row>
    <row r="521">
      <c r="B521" s="17" t="n">
        <v>500</v>
      </c>
      <c r="C521" s="17">
        <f>IFERROR(INDEX(Clay_Offices!$A$2:$FZ$601,B521,$C$5)&amp;"","")</f>
        <v/>
      </c>
      <c r="D521" s="17">
        <f>IFERROR(INDEX(Clay_Offices!$A$2:$FZ$601,B521,$C$7)&amp;"","")</f>
        <v/>
      </c>
      <c r="E521" s="17">
        <f>IFERROR(INDEX(Clay_Offices!$A$2:$FZ$601,B521,$C$8)&amp;"","")</f>
        <v/>
      </c>
      <c r="F521" s="17">
        <f>IF(C521="","",IF(COUNTIF(Office_Log!$A$2:$A$201,C521)&gt;0,"Y","N"))</f>
        <v/>
      </c>
      <c r="G521" s="17">
        <f>IF(OR(C521="",AND(LEFT(C521,6)="SAMPLE",Config!$B$19&lt;&gt;"Y")),"",IF(IFERROR(INDEX(Lists!$J$2:$J$15,MATCH(D521,Lists!$I$2:$I$15,0)),-1)=-1,"status '"&amp;D521&amp;"' is not a CONTRACTS status",IF(AND(D521="signed",COUNTIF(signed_offices!$W$2:$W$51,C521)=0),"status signed but no signed_offices row"&amp;IF(F521="N"," and no tracker row",""),IF(AND(IFERROR(INDEX(Lists!$J$2:$J$15,MATCH(D521,Lists!$I$2:$I$15,0)),-1)&gt;=6,F521="N"),"status "&amp;D521&amp;" but no tracker row",IF(AND(E521="Y",D521&lt;&gt;"do_not_contact"),"do_not_contact = Y but status is "&amp;D521,IF(AND(D521="do_not_contact",E521&lt;&gt;"Y"),"status do_not_contact but do_not_contact is not Y",""))))))</f>
        <v/>
      </c>
      <c r="I521" s="17" t="n">
        <v>500</v>
      </c>
      <c r="J521" s="17">
        <f>IFERROR(INDEX(Clay_Brands!$A$2:$FZ$601,I521,$D$5)&amp;"","")</f>
        <v/>
      </c>
      <c r="K521" s="17">
        <f>IFERROR(INDEX(Clay_Brands!$A$2:$FZ$601,I521,$D$7)&amp;"","")</f>
        <v/>
      </c>
      <c r="L521" s="17">
        <f>IFERROR(INDEX(Clay_Brands!$A$2:$FZ$601,I521,$D$8)&amp;"","")</f>
        <v/>
      </c>
      <c r="M521" s="17">
        <f>IF(J521="","",IF(COUNTIF(Brand_Log!$A$2:$A$201,J521)&gt;0,"Y","N"))</f>
        <v/>
      </c>
      <c r="N521" s="17">
        <f>IF(OR(J521="",AND(LEFT(J521,6)="SAMPLE",Config!$B$19&lt;&gt;"Y")),"",IF(IFERROR(INDEX(Lists!$J$2:$J$15,MATCH(K521,Lists!$I$2:$I$15,0)),-1)=-1,"status '"&amp;K521&amp;"' is not a CONTRACTS status",IF(AND(K521="paid",COUNTIF(paid_brands!$AC$2:$AC$51,J521)=0),"status paid but no paid_brands row"&amp;IF(M521="N"," and no tracker row",""),IF(AND(IFERROR(INDEX(Lists!$J$2:$J$15,MATCH(K521,Lists!$I$2:$I$15,0)),-1)&gt;=6,M521="N"),"status "&amp;K521&amp;" but no tracker row",IF(AND(L521="Y",K521&lt;&gt;"do_not_contact"),"do_not_contact = Y but status is "&amp;K521,IF(AND(K521="do_not_contact",L521&lt;&gt;"Y"),"status do_not_contact but do_not_contact is not Y",""))))))</f>
        <v/>
      </c>
    </row>
    <row r="522">
      <c r="B522" s="17" t="n">
        <v>501</v>
      </c>
      <c r="C522" s="17">
        <f>IFERROR(INDEX(Clay_Offices!$A$2:$FZ$601,B522,$C$5)&amp;"","")</f>
        <v/>
      </c>
      <c r="D522" s="17">
        <f>IFERROR(INDEX(Clay_Offices!$A$2:$FZ$601,B522,$C$7)&amp;"","")</f>
        <v/>
      </c>
      <c r="E522" s="17">
        <f>IFERROR(INDEX(Clay_Offices!$A$2:$FZ$601,B522,$C$8)&amp;"","")</f>
        <v/>
      </c>
      <c r="F522" s="17">
        <f>IF(C522="","",IF(COUNTIF(Office_Log!$A$2:$A$201,C522)&gt;0,"Y","N"))</f>
        <v/>
      </c>
      <c r="G522" s="17">
        <f>IF(OR(C522="",AND(LEFT(C522,6)="SAMPLE",Config!$B$19&lt;&gt;"Y")),"",IF(IFERROR(INDEX(Lists!$J$2:$J$15,MATCH(D522,Lists!$I$2:$I$15,0)),-1)=-1,"status '"&amp;D522&amp;"' is not a CONTRACTS status",IF(AND(D522="signed",COUNTIF(signed_offices!$W$2:$W$51,C522)=0),"status signed but no signed_offices row"&amp;IF(F522="N"," and no tracker row",""),IF(AND(IFERROR(INDEX(Lists!$J$2:$J$15,MATCH(D522,Lists!$I$2:$I$15,0)),-1)&gt;=6,F522="N"),"status "&amp;D522&amp;" but no tracker row",IF(AND(E522="Y",D522&lt;&gt;"do_not_contact"),"do_not_contact = Y but status is "&amp;D522,IF(AND(D522="do_not_contact",E522&lt;&gt;"Y"),"status do_not_contact but do_not_contact is not Y",""))))))</f>
        <v/>
      </c>
      <c r="I522" s="17" t="n">
        <v>501</v>
      </c>
      <c r="J522" s="17">
        <f>IFERROR(INDEX(Clay_Brands!$A$2:$FZ$601,I522,$D$5)&amp;"","")</f>
        <v/>
      </c>
      <c r="K522" s="17">
        <f>IFERROR(INDEX(Clay_Brands!$A$2:$FZ$601,I522,$D$7)&amp;"","")</f>
        <v/>
      </c>
      <c r="L522" s="17">
        <f>IFERROR(INDEX(Clay_Brands!$A$2:$FZ$601,I522,$D$8)&amp;"","")</f>
        <v/>
      </c>
      <c r="M522" s="17">
        <f>IF(J522="","",IF(COUNTIF(Brand_Log!$A$2:$A$201,J522)&gt;0,"Y","N"))</f>
        <v/>
      </c>
      <c r="N522" s="17">
        <f>IF(OR(J522="",AND(LEFT(J522,6)="SAMPLE",Config!$B$19&lt;&gt;"Y")),"",IF(IFERROR(INDEX(Lists!$J$2:$J$15,MATCH(K522,Lists!$I$2:$I$15,0)),-1)=-1,"status '"&amp;K522&amp;"' is not a CONTRACTS status",IF(AND(K522="paid",COUNTIF(paid_brands!$AC$2:$AC$51,J522)=0),"status paid but no paid_brands row"&amp;IF(M522="N"," and no tracker row",""),IF(AND(IFERROR(INDEX(Lists!$J$2:$J$15,MATCH(K522,Lists!$I$2:$I$15,0)),-1)&gt;=6,M522="N"),"status "&amp;K522&amp;" but no tracker row",IF(AND(L522="Y",K522&lt;&gt;"do_not_contact"),"do_not_contact = Y but status is "&amp;K522,IF(AND(K522="do_not_contact",L522&lt;&gt;"Y"),"status do_not_contact but do_not_contact is not Y",""))))))</f>
        <v/>
      </c>
    </row>
    <row r="523">
      <c r="B523" s="17" t="n">
        <v>502</v>
      </c>
      <c r="C523" s="17">
        <f>IFERROR(INDEX(Clay_Offices!$A$2:$FZ$601,B523,$C$5)&amp;"","")</f>
        <v/>
      </c>
      <c r="D523" s="17">
        <f>IFERROR(INDEX(Clay_Offices!$A$2:$FZ$601,B523,$C$7)&amp;"","")</f>
        <v/>
      </c>
      <c r="E523" s="17">
        <f>IFERROR(INDEX(Clay_Offices!$A$2:$FZ$601,B523,$C$8)&amp;"","")</f>
        <v/>
      </c>
      <c r="F523" s="17">
        <f>IF(C523="","",IF(COUNTIF(Office_Log!$A$2:$A$201,C523)&gt;0,"Y","N"))</f>
        <v/>
      </c>
      <c r="G523" s="17">
        <f>IF(OR(C523="",AND(LEFT(C523,6)="SAMPLE",Config!$B$19&lt;&gt;"Y")),"",IF(IFERROR(INDEX(Lists!$J$2:$J$15,MATCH(D523,Lists!$I$2:$I$15,0)),-1)=-1,"status '"&amp;D523&amp;"' is not a CONTRACTS status",IF(AND(D523="signed",COUNTIF(signed_offices!$W$2:$W$51,C523)=0),"status signed but no signed_offices row"&amp;IF(F523="N"," and no tracker row",""),IF(AND(IFERROR(INDEX(Lists!$J$2:$J$15,MATCH(D523,Lists!$I$2:$I$15,0)),-1)&gt;=6,F523="N"),"status "&amp;D523&amp;" but no tracker row",IF(AND(E523="Y",D523&lt;&gt;"do_not_contact"),"do_not_contact = Y but status is "&amp;D523,IF(AND(D523="do_not_contact",E523&lt;&gt;"Y"),"status do_not_contact but do_not_contact is not Y",""))))))</f>
        <v/>
      </c>
      <c r="I523" s="17" t="n">
        <v>502</v>
      </c>
      <c r="J523" s="17">
        <f>IFERROR(INDEX(Clay_Brands!$A$2:$FZ$601,I523,$D$5)&amp;"","")</f>
        <v/>
      </c>
      <c r="K523" s="17">
        <f>IFERROR(INDEX(Clay_Brands!$A$2:$FZ$601,I523,$D$7)&amp;"","")</f>
        <v/>
      </c>
      <c r="L523" s="17">
        <f>IFERROR(INDEX(Clay_Brands!$A$2:$FZ$601,I523,$D$8)&amp;"","")</f>
        <v/>
      </c>
      <c r="M523" s="17">
        <f>IF(J523="","",IF(COUNTIF(Brand_Log!$A$2:$A$201,J523)&gt;0,"Y","N"))</f>
        <v/>
      </c>
      <c r="N523" s="17">
        <f>IF(OR(J523="",AND(LEFT(J523,6)="SAMPLE",Config!$B$19&lt;&gt;"Y")),"",IF(IFERROR(INDEX(Lists!$J$2:$J$15,MATCH(K523,Lists!$I$2:$I$15,0)),-1)=-1,"status '"&amp;K523&amp;"' is not a CONTRACTS status",IF(AND(K523="paid",COUNTIF(paid_brands!$AC$2:$AC$51,J523)=0),"status paid but no paid_brands row"&amp;IF(M523="N"," and no tracker row",""),IF(AND(IFERROR(INDEX(Lists!$J$2:$J$15,MATCH(K523,Lists!$I$2:$I$15,0)),-1)&gt;=6,M523="N"),"status "&amp;K523&amp;" but no tracker row",IF(AND(L523="Y",K523&lt;&gt;"do_not_contact"),"do_not_contact = Y but status is "&amp;K523,IF(AND(K523="do_not_contact",L523&lt;&gt;"Y"),"status do_not_contact but do_not_contact is not Y",""))))))</f>
        <v/>
      </c>
    </row>
    <row r="524">
      <c r="B524" s="17" t="n">
        <v>503</v>
      </c>
      <c r="C524" s="17">
        <f>IFERROR(INDEX(Clay_Offices!$A$2:$FZ$601,B524,$C$5)&amp;"","")</f>
        <v/>
      </c>
      <c r="D524" s="17">
        <f>IFERROR(INDEX(Clay_Offices!$A$2:$FZ$601,B524,$C$7)&amp;"","")</f>
        <v/>
      </c>
      <c r="E524" s="17">
        <f>IFERROR(INDEX(Clay_Offices!$A$2:$FZ$601,B524,$C$8)&amp;"","")</f>
        <v/>
      </c>
      <c r="F524" s="17">
        <f>IF(C524="","",IF(COUNTIF(Office_Log!$A$2:$A$201,C524)&gt;0,"Y","N"))</f>
        <v/>
      </c>
      <c r="G524" s="17">
        <f>IF(OR(C524="",AND(LEFT(C524,6)="SAMPLE",Config!$B$19&lt;&gt;"Y")),"",IF(IFERROR(INDEX(Lists!$J$2:$J$15,MATCH(D524,Lists!$I$2:$I$15,0)),-1)=-1,"status '"&amp;D524&amp;"' is not a CONTRACTS status",IF(AND(D524="signed",COUNTIF(signed_offices!$W$2:$W$51,C524)=0),"status signed but no signed_offices row"&amp;IF(F524="N"," and no tracker row",""),IF(AND(IFERROR(INDEX(Lists!$J$2:$J$15,MATCH(D524,Lists!$I$2:$I$15,0)),-1)&gt;=6,F524="N"),"status "&amp;D524&amp;" but no tracker row",IF(AND(E524="Y",D524&lt;&gt;"do_not_contact"),"do_not_contact = Y but status is "&amp;D524,IF(AND(D524="do_not_contact",E524&lt;&gt;"Y"),"status do_not_contact but do_not_contact is not Y",""))))))</f>
        <v/>
      </c>
      <c r="I524" s="17" t="n">
        <v>503</v>
      </c>
      <c r="J524" s="17">
        <f>IFERROR(INDEX(Clay_Brands!$A$2:$FZ$601,I524,$D$5)&amp;"","")</f>
        <v/>
      </c>
      <c r="K524" s="17">
        <f>IFERROR(INDEX(Clay_Brands!$A$2:$FZ$601,I524,$D$7)&amp;"","")</f>
        <v/>
      </c>
      <c r="L524" s="17">
        <f>IFERROR(INDEX(Clay_Brands!$A$2:$FZ$601,I524,$D$8)&amp;"","")</f>
        <v/>
      </c>
      <c r="M524" s="17">
        <f>IF(J524="","",IF(COUNTIF(Brand_Log!$A$2:$A$201,J524)&gt;0,"Y","N"))</f>
        <v/>
      </c>
      <c r="N524" s="17">
        <f>IF(OR(J524="",AND(LEFT(J524,6)="SAMPLE",Config!$B$19&lt;&gt;"Y")),"",IF(IFERROR(INDEX(Lists!$J$2:$J$15,MATCH(K524,Lists!$I$2:$I$15,0)),-1)=-1,"status '"&amp;K524&amp;"' is not a CONTRACTS status",IF(AND(K524="paid",COUNTIF(paid_brands!$AC$2:$AC$51,J524)=0),"status paid but no paid_brands row"&amp;IF(M524="N"," and no tracker row",""),IF(AND(IFERROR(INDEX(Lists!$J$2:$J$15,MATCH(K524,Lists!$I$2:$I$15,0)),-1)&gt;=6,M524="N"),"status "&amp;K524&amp;" but no tracker row",IF(AND(L524="Y",K524&lt;&gt;"do_not_contact"),"do_not_contact = Y but status is "&amp;K524,IF(AND(K524="do_not_contact",L524&lt;&gt;"Y"),"status do_not_contact but do_not_contact is not Y",""))))))</f>
        <v/>
      </c>
    </row>
    <row r="525">
      <c r="B525" s="17" t="n">
        <v>504</v>
      </c>
      <c r="C525" s="17">
        <f>IFERROR(INDEX(Clay_Offices!$A$2:$FZ$601,B525,$C$5)&amp;"","")</f>
        <v/>
      </c>
      <c r="D525" s="17">
        <f>IFERROR(INDEX(Clay_Offices!$A$2:$FZ$601,B525,$C$7)&amp;"","")</f>
        <v/>
      </c>
      <c r="E525" s="17">
        <f>IFERROR(INDEX(Clay_Offices!$A$2:$FZ$601,B525,$C$8)&amp;"","")</f>
        <v/>
      </c>
      <c r="F525" s="17">
        <f>IF(C525="","",IF(COUNTIF(Office_Log!$A$2:$A$201,C525)&gt;0,"Y","N"))</f>
        <v/>
      </c>
      <c r="G525" s="17">
        <f>IF(OR(C525="",AND(LEFT(C525,6)="SAMPLE",Config!$B$19&lt;&gt;"Y")),"",IF(IFERROR(INDEX(Lists!$J$2:$J$15,MATCH(D525,Lists!$I$2:$I$15,0)),-1)=-1,"status '"&amp;D525&amp;"' is not a CONTRACTS status",IF(AND(D525="signed",COUNTIF(signed_offices!$W$2:$W$51,C525)=0),"status signed but no signed_offices row"&amp;IF(F525="N"," and no tracker row",""),IF(AND(IFERROR(INDEX(Lists!$J$2:$J$15,MATCH(D525,Lists!$I$2:$I$15,0)),-1)&gt;=6,F525="N"),"status "&amp;D525&amp;" but no tracker row",IF(AND(E525="Y",D525&lt;&gt;"do_not_contact"),"do_not_contact = Y but status is "&amp;D525,IF(AND(D525="do_not_contact",E525&lt;&gt;"Y"),"status do_not_contact but do_not_contact is not Y",""))))))</f>
        <v/>
      </c>
      <c r="I525" s="17" t="n">
        <v>504</v>
      </c>
      <c r="J525" s="17">
        <f>IFERROR(INDEX(Clay_Brands!$A$2:$FZ$601,I525,$D$5)&amp;"","")</f>
        <v/>
      </c>
      <c r="K525" s="17">
        <f>IFERROR(INDEX(Clay_Brands!$A$2:$FZ$601,I525,$D$7)&amp;"","")</f>
        <v/>
      </c>
      <c r="L525" s="17">
        <f>IFERROR(INDEX(Clay_Brands!$A$2:$FZ$601,I525,$D$8)&amp;"","")</f>
        <v/>
      </c>
      <c r="M525" s="17">
        <f>IF(J525="","",IF(COUNTIF(Brand_Log!$A$2:$A$201,J525)&gt;0,"Y","N"))</f>
        <v/>
      </c>
      <c r="N525" s="17">
        <f>IF(OR(J525="",AND(LEFT(J525,6)="SAMPLE",Config!$B$19&lt;&gt;"Y")),"",IF(IFERROR(INDEX(Lists!$J$2:$J$15,MATCH(K525,Lists!$I$2:$I$15,0)),-1)=-1,"status '"&amp;K525&amp;"' is not a CONTRACTS status",IF(AND(K525="paid",COUNTIF(paid_brands!$AC$2:$AC$51,J525)=0),"status paid but no paid_brands row"&amp;IF(M525="N"," and no tracker row",""),IF(AND(IFERROR(INDEX(Lists!$J$2:$J$15,MATCH(K525,Lists!$I$2:$I$15,0)),-1)&gt;=6,M525="N"),"status "&amp;K525&amp;" but no tracker row",IF(AND(L525="Y",K525&lt;&gt;"do_not_contact"),"do_not_contact = Y but status is "&amp;K525,IF(AND(K525="do_not_contact",L525&lt;&gt;"Y"),"status do_not_contact but do_not_contact is not Y",""))))))</f>
        <v/>
      </c>
    </row>
    <row r="526">
      <c r="B526" s="17" t="n">
        <v>505</v>
      </c>
      <c r="C526" s="17">
        <f>IFERROR(INDEX(Clay_Offices!$A$2:$FZ$601,B526,$C$5)&amp;"","")</f>
        <v/>
      </c>
      <c r="D526" s="17">
        <f>IFERROR(INDEX(Clay_Offices!$A$2:$FZ$601,B526,$C$7)&amp;"","")</f>
        <v/>
      </c>
      <c r="E526" s="17">
        <f>IFERROR(INDEX(Clay_Offices!$A$2:$FZ$601,B526,$C$8)&amp;"","")</f>
        <v/>
      </c>
      <c r="F526" s="17">
        <f>IF(C526="","",IF(COUNTIF(Office_Log!$A$2:$A$201,C526)&gt;0,"Y","N"))</f>
        <v/>
      </c>
      <c r="G526" s="17">
        <f>IF(OR(C526="",AND(LEFT(C526,6)="SAMPLE",Config!$B$19&lt;&gt;"Y")),"",IF(IFERROR(INDEX(Lists!$J$2:$J$15,MATCH(D526,Lists!$I$2:$I$15,0)),-1)=-1,"status '"&amp;D526&amp;"' is not a CONTRACTS status",IF(AND(D526="signed",COUNTIF(signed_offices!$W$2:$W$51,C526)=0),"status signed but no signed_offices row"&amp;IF(F526="N"," and no tracker row",""),IF(AND(IFERROR(INDEX(Lists!$J$2:$J$15,MATCH(D526,Lists!$I$2:$I$15,0)),-1)&gt;=6,F526="N"),"status "&amp;D526&amp;" but no tracker row",IF(AND(E526="Y",D526&lt;&gt;"do_not_contact"),"do_not_contact = Y but status is "&amp;D526,IF(AND(D526="do_not_contact",E526&lt;&gt;"Y"),"status do_not_contact but do_not_contact is not Y",""))))))</f>
        <v/>
      </c>
      <c r="I526" s="17" t="n">
        <v>505</v>
      </c>
      <c r="J526" s="17">
        <f>IFERROR(INDEX(Clay_Brands!$A$2:$FZ$601,I526,$D$5)&amp;"","")</f>
        <v/>
      </c>
      <c r="K526" s="17">
        <f>IFERROR(INDEX(Clay_Brands!$A$2:$FZ$601,I526,$D$7)&amp;"","")</f>
        <v/>
      </c>
      <c r="L526" s="17">
        <f>IFERROR(INDEX(Clay_Brands!$A$2:$FZ$601,I526,$D$8)&amp;"","")</f>
        <v/>
      </c>
      <c r="M526" s="17">
        <f>IF(J526="","",IF(COUNTIF(Brand_Log!$A$2:$A$201,J526)&gt;0,"Y","N"))</f>
        <v/>
      </c>
      <c r="N526" s="17">
        <f>IF(OR(J526="",AND(LEFT(J526,6)="SAMPLE",Config!$B$19&lt;&gt;"Y")),"",IF(IFERROR(INDEX(Lists!$J$2:$J$15,MATCH(K526,Lists!$I$2:$I$15,0)),-1)=-1,"status '"&amp;K526&amp;"' is not a CONTRACTS status",IF(AND(K526="paid",COUNTIF(paid_brands!$AC$2:$AC$51,J526)=0),"status paid but no paid_brands row"&amp;IF(M526="N"," and no tracker row",""),IF(AND(IFERROR(INDEX(Lists!$J$2:$J$15,MATCH(K526,Lists!$I$2:$I$15,0)),-1)&gt;=6,M526="N"),"status "&amp;K526&amp;" but no tracker row",IF(AND(L526="Y",K526&lt;&gt;"do_not_contact"),"do_not_contact = Y but status is "&amp;K526,IF(AND(K526="do_not_contact",L526&lt;&gt;"Y"),"status do_not_contact but do_not_contact is not Y",""))))))</f>
        <v/>
      </c>
    </row>
    <row r="527">
      <c r="B527" s="17" t="n">
        <v>506</v>
      </c>
      <c r="C527" s="17">
        <f>IFERROR(INDEX(Clay_Offices!$A$2:$FZ$601,B527,$C$5)&amp;"","")</f>
        <v/>
      </c>
      <c r="D527" s="17">
        <f>IFERROR(INDEX(Clay_Offices!$A$2:$FZ$601,B527,$C$7)&amp;"","")</f>
        <v/>
      </c>
      <c r="E527" s="17">
        <f>IFERROR(INDEX(Clay_Offices!$A$2:$FZ$601,B527,$C$8)&amp;"","")</f>
        <v/>
      </c>
      <c r="F527" s="17">
        <f>IF(C527="","",IF(COUNTIF(Office_Log!$A$2:$A$201,C527)&gt;0,"Y","N"))</f>
        <v/>
      </c>
      <c r="G527" s="17">
        <f>IF(OR(C527="",AND(LEFT(C527,6)="SAMPLE",Config!$B$19&lt;&gt;"Y")),"",IF(IFERROR(INDEX(Lists!$J$2:$J$15,MATCH(D527,Lists!$I$2:$I$15,0)),-1)=-1,"status '"&amp;D527&amp;"' is not a CONTRACTS status",IF(AND(D527="signed",COUNTIF(signed_offices!$W$2:$W$51,C527)=0),"status signed but no signed_offices row"&amp;IF(F527="N"," and no tracker row",""),IF(AND(IFERROR(INDEX(Lists!$J$2:$J$15,MATCH(D527,Lists!$I$2:$I$15,0)),-1)&gt;=6,F527="N"),"status "&amp;D527&amp;" but no tracker row",IF(AND(E527="Y",D527&lt;&gt;"do_not_contact"),"do_not_contact = Y but status is "&amp;D527,IF(AND(D527="do_not_contact",E527&lt;&gt;"Y"),"status do_not_contact but do_not_contact is not Y",""))))))</f>
        <v/>
      </c>
      <c r="I527" s="17" t="n">
        <v>506</v>
      </c>
      <c r="J527" s="17">
        <f>IFERROR(INDEX(Clay_Brands!$A$2:$FZ$601,I527,$D$5)&amp;"","")</f>
        <v/>
      </c>
      <c r="K527" s="17">
        <f>IFERROR(INDEX(Clay_Brands!$A$2:$FZ$601,I527,$D$7)&amp;"","")</f>
        <v/>
      </c>
      <c r="L527" s="17">
        <f>IFERROR(INDEX(Clay_Brands!$A$2:$FZ$601,I527,$D$8)&amp;"","")</f>
        <v/>
      </c>
      <c r="M527" s="17">
        <f>IF(J527="","",IF(COUNTIF(Brand_Log!$A$2:$A$201,J527)&gt;0,"Y","N"))</f>
        <v/>
      </c>
      <c r="N527" s="17">
        <f>IF(OR(J527="",AND(LEFT(J527,6)="SAMPLE",Config!$B$19&lt;&gt;"Y")),"",IF(IFERROR(INDEX(Lists!$J$2:$J$15,MATCH(K527,Lists!$I$2:$I$15,0)),-1)=-1,"status '"&amp;K527&amp;"' is not a CONTRACTS status",IF(AND(K527="paid",COUNTIF(paid_brands!$AC$2:$AC$51,J527)=0),"status paid but no paid_brands row"&amp;IF(M527="N"," and no tracker row",""),IF(AND(IFERROR(INDEX(Lists!$J$2:$J$15,MATCH(K527,Lists!$I$2:$I$15,0)),-1)&gt;=6,M527="N"),"status "&amp;K527&amp;" but no tracker row",IF(AND(L527="Y",K527&lt;&gt;"do_not_contact"),"do_not_contact = Y but status is "&amp;K527,IF(AND(K527="do_not_contact",L527&lt;&gt;"Y"),"status do_not_contact but do_not_contact is not Y",""))))))</f>
        <v/>
      </c>
    </row>
    <row r="528">
      <c r="B528" s="17" t="n">
        <v>507</v>
      </c>
      <c r="C528" s="17">
        <f>IFERROR(INDEX(Clay_Offices!$A$2:$FZ$601,B528,$C$5)&amp;"","")</f>
        <v/>
      </c>
      <c r="D528" s="17">
        <f>IFERROR(INDEX(Clay_Offices!$A$2:$FZ$601,B528,$C$7)&amp;"","")</f>
        <v/>
      </c>
      <c r="E528" s="17">
        <f>IFERROR(INDEX(Clay_Offices!$A$2:$FZ$601,B528,$C$8)&amp;"","")</f>
        <v/>
      </c>
      <c r="F528" s="17">
        <f>IF(C528="","",IF(COUNTIF(Office_Log!$A$2:$A$201,C528)&gt;0,"Y","N"))</f>
        <v/>
      </c>
      <c r="G528" s="17">
        <f>IF(OR(C528="",AND(LEFT(C528,6)="SAMPLE",Config!$B$19&lt;&gt;"Y")),"",IF(IFERROR(INDEX(Lists!$J$2:$J$15,MATCH(D528,Lists!$I$2:$I$15,0)),-1)=-1,"status '"&amp;D528&amp;"' is not a CONTRACTS status",IF(AND(D528="signed",COUNTIF(signed_offices!$W$2:$W$51,C528)=0),"status signed but no signed_offices row"&amp;IF(F528="N"," and no tracker row",""),IF(AND(IFERROR(INDEX(Lists!$J$2:$J$15,MATCH(D528,Lists!$I$2:$I$15,0)),-1)&gt;=6,F528="N"),"status "&amp;D528&amp;" but no tracker row",IF(AND(E528="Y",D528&lt;&gt;"do_not_contact"),"do_not_contact = Y but status is "&amp;D528,IF(AND(D528="do_not_contact",E528&lt;&gt;"Y"),"status do_not_contact but do_not_contact is not Y",""))))))</f>
        <v/>
      </c>
      <c r="I528" s="17" t="n">
        <v>507</v>
      </c>
      <c r="J528" s="17">
        <f>IFERROR(INDEX(Clay_Brands!$A$2:$FZ$601,I528,$D$5)&amp;"","")</f>
        <v/>
      </c>
      <c r="K528" s="17">
        <f>IFERROR(INDEX(Clay_Brands!$A$2:$FZ$601,I528,$D$7)&amp;"","")</f>
        <v/>
      </c>
      <c r="L528" s="17">
        <f>IFERROR(INDEX(Clay_Brands!$A$2:$FZ$601,I528,$D$8)&amp;"","")</f>
        <v/>
      </c>
      <c r="M528" s="17">
        <f>IF(J528="","",IF(COUNTIF(Brand_Log!$A$2:$A$201,J528)&gt;0,"Y","N"))</f>
        <v/>
      </c>
      <c r="N528" s="17">
        <f>IF(OR(J528="",AND(LEFT(J528,6)="SAMPLE",Config!$B$19&lt;&gt;"Y")),"",IF(IFERROR(INDEX(Lists!$J$2:$J$15,MATCH(K528,Lists!$I$2:$I$15,0)),-1)=-1,"status '"&amp;K528&amp;"' is not a CONTRACTS status",IF(AND(K528="paid",COUNTIF(paid_brands!$AC$2:$AC$51,J528)=0),"status paid but no paid_brands row"&amp;IF(M528="N"," and no tracker row",""),IF(AND(IFERROR(INDEX(Lists!$J$2:$J$15,MATCH(K528,Lists!$I$2:$I$15,0)),-1)&gt;=6,M528="N"),"status "&amp;K528&amp;" but no tracker row",IF(AND(L528="Y",K528&lt;&gt;"do_not_contact"),"do_not_contact = Y but status is "&amp;K528,IF(AND(K528="do_not_contact",L528&lt;&gt;"Y"),"status do_not_contact but do_not_contact is not Y",""))))))</f>
        <v/>
      </c>
    </row>
    <row r="529">
      <c r="B529" s="17" t="n">
        <v>508</v>
      </c>
      <c r="C529" s="17">
        <f>IFERROR(INDEX(Clay_Offices!$A$2:$FZ$601,B529,$C$5)&amp;"","")</f>
        <v/>
      </c>
      <c r="D529" s="17">
        <f>IFERROR(INDEX(Clay_Offices!$A$2:$FZ$601,B529,$C$7)&amp;"","")</f>
        <v/>
      </c>
      <c r="E529" s="17">
        <f>IFERROR(INDEX(Clay_Offices!$A$2:$FZ$601,B529,$C$8)&amp;"","")</f>
        <v/>
      </c>
      <c r="F529" s="17">
        <f>IF(C529="","",IF(COUNTIF(Office_Log!$A$2:$A$201,C529)&gt;0,"Y","N"))</f>
        <v/>
      </c>
      <c r="G529" s="17">
        <f>IF(OR(C529="",AND(LEFT(C529,6)="SAMPLE",Config!$B$19&lt;&gt;"Y")),"",IF(IFERROR(INDEX(Lists!$J$2:$J$15,MATCH(D529,Lists!$I$2:$I$15,0)),-1)=-1,"status '"&amp;D529&amp;"' is not a CONTRACTS status",IF(AND(D529="signed",COUNTIF(signed_offices!$W$2:$W$51,C529)=0),"status signed but no signed_offices row"&amp;IF(F529="N"," and no tracker row",""),IF(AND(IFERROR(INDEX(Lists!$J$2:$J$15,MATCH(D529,Lists!$I$2:$I$15,0)),-1)&gt;=6,F529="N"),"status "&amp;D529&amp;" but no tracker row",IF(AND(E529="Y",D529&lt;&gt;"do_not_contact"),"do_not_contact = Y but status is "&amp;D529,IF(AND(D529="do_not_contact",E529&lt;&gt;"Y"),"status do_not_contact but do_not_contact is not Y",""))))))</f>
        <v/>
      </c>
      <c r="I529" s="17" t="n">
        <v>508</v>
      </c>
      <c r="J529" s="17">
        <f>IFERROR(INDEX(Clay_Brands!$A$2:$FZ$601,I529,$D$5)&amp;"","")</f>
        <v/>
      </c>
      <c r="K529" s="17">
        <f>IFERROR(INDEX(Clay_Brands!$A$2:$FZ$601,I529,$D$7)&amp;"","")</f>
        <v/>
      </c>
      <c r="L529" s="17">
        <f>IFERROR(INDEX(Clay_Brands!$A$2:$FZ$601,I529,$D$8)&amp;"","")</f>
        <v/>
      </c>
      <c r="M529" s="17">
        <f>IF(J529="","",IF(COUNTIF(Brand_Log!$A$2:$A$201,J529)&gt;0,"Y","N"))</f>
        <v/>
      </c>
      <c r="N529" s="17">
        <f>IF(OR(J529="",AND(LEFT(J529,6)="SAMPLE",Config!$B$19&lt;&gt;"Y")),"",IF(IFERROR(INDEX(Lists!$J$2:$J$15,MATCH(K529,Lists!$I$2:$I$15,0)),-1)=-1,"status '"&amp;K529&amp;"' is not a CONTRACTS status",IF(AND(K529="paid",COUNTIF(paid_brands!$AC$2:$AC$51,J529)=0),"status paid but no paid_brands row"&amp;IF(M529="N"," and no tracker row",""),IF(AND(IFERROR(INDEX(Lists!$J$2:$J$15,MATCH(K529,Lists!$I$2:$I$15,0)),-1)&gt;=6,M529="N"),"status "&amp;K529&amp;" but no tracker row",IF(AND(L529="Y",K529&lt;&gt;"do_not_contact"),"do_not_contact = Y but status is "&amp;K529,IF(AND(K529="do_not_contact",L529&lt;&gt;"Y"),"status do_not_contact but do_not_contact is not Y",""))))))</f>
        <v/>
      </c>
    </row>
    <row r="530">
      <c r="B530" s="17" t="n">
        <v>509</v>
      </c>
      <c r="C530" s="17">
        <f>IFERROR(INDEX(Clay_Offices!$A$2:$FZ$601,B530,$C$5)&amp;"","")</f>
        <v/>
      </c>
      <c r="D530" s="17">
        <f>IFERROR(INDEX(Clay_Offices!$A$2:$FZ$601,B530,$C$7)&amp;"","")</f>
        <v/>
      </c>
      <c r="E530" s="17">
        <f>IFERROR(INDEX(Clay_Offices!$A$2:$FZ$601,B530,$C$8)&amp;"","")</f>
        <v/>
      </c>
      <c r="F530" s="17">
        <f>IF(C530="","",IF(COUNTIF(Office_Log!$A$2:$A$201,C530)&gt;0,"Y","N"))</f>
        <v/>
      </c>
      <c r="G530" s="17">
        <f>IF(OR(C530="",AND(LEFT(C530,6)="SAMPLE",Config!$B$19&lt;&gt;"Y")),"",IF(IFERROR(INDEX(Lists!$J$2:$J$15,MATCH(D530,Lists!$I$2:$I$15,0)),-1)=-1,"status '"&amp;D530&amp;"' is not a CONTRACTS status",IF(AND(D530="signed",COUNTIF(signed_offices!$W$2:$W$51,C530)=0),"status signed but no signed_offices row"&amp;IF(F530="N"," and no tracker row",""),IF(AND(IFERROR(INDEX(Lists!$J$2:$J$15,MATCH(D530,Lists!$I$2:$I$15,0)),-1)&gt;=6,F530="N"),"status "&amp;D530&amp;" but no tracker row",IF(AND(E530="Y",D530&lt;&gt;"do_not_contact"),"do_not_contact = Y but status is "&amp;D530,IF(AND(D530="do_not_contact",E530&lt;&gt;"Y"),"status do_not_contact but do_not_contact is not Y",""))))))</f>
        <v/>
      </c>
      <c r="I530" s="17" t="n">
        <v>509</v>
      </c>
      <c r="J530" s="17">
        <f>IFERROR(INDEX(Clay_Brands!$A$2:$FZ$601,I530,$D$5)&amp;"","")</f>
        <v/>
      </c>
      <c r="K530" s="17">
        <f>IFERROR(INDEX(Clay_Brands!$A$2:$FZ$601,I530,$D$7)&amp;"","")</f>
        <v/>
      </c>
      <c r="L530" s="17">
        <f>IFERROR(INDEX(Clay_Brands!$A$2:$FZ$601,I530,$D$8)&amp;"","")</f>
        <v/>
      </c>
      <c r="M530" s="17">
        <f>IF(J530="","",IF(COUNTIF(Brand_Log!$A$2:$A$201,J530)&gt;0,"Y","N"))</f>
        <v/>
      </c>
      <c r="N530" s="17">
        <f>IF(OR(J530="",AND(LEFT(J530,6)="SAMPLE",Config!$B$19&lt;&gt;"Y")),"",IF(IFERROR(INDEX(Lists!$J$2:$J$15,MATCH(K530,Lists!$I$2:$I$15,0)),-1)=-1,"status '"&amp;K530&amp;"' is not a CONTRACTS status",IF(AND(K530="paid",COUNTIF(paid_brands!$AC$2:$AC$51,J530)=0),"status paid but no paid_brands row"&amp;IF(M530="N"," and no tracker row",""),IF(AND(IFERROR(INDEX(Lists!$J$2:$J$15,MATCH(K530,Lists!$I$2:$I$15,0)),-1)&gt;=6,M530="N"),"status "&amp;K530&amp;" but no tracker row",IF(AND(L530="Y",K530&lt;&gt;"do_not_contact"),"do_not_contact = Y but status is "&amp;K530,IF(AND(K530="do_not_contact",L530&lt;&gt;"Y"),"status do_not_contact but do_not_contact is not Y",""))))))</f>
        <v/>
      </c>
    </row>
    <row r="531">
      <c r="B531" s="17" t="n">
        <v>510</v>
      </c>
      <c r="C531" s="17">
        <f>IFERROR(INDEX(Clay_Offices!$A$2:$FZ$601,B531,$C$5)&amp;"","")</f>
        <v/>
      </c>
      <c r="D531" s="17">
        <f>IFERROR(INDEX(Clay_Offices!$A$2:$FZ$601,B531,$C$7)&amp;"","")</f>
        <v/>
      </c>
      <c r="E531" s="17">
        <f>IFERROR(INDEX(Clay_Offices!$A$2:$FZ$601,B531,$C$8)&amp;"","")</f>
        <v/>
      </c>
      <c r="F531" s="17">
        <f>IF(C531="","",IF(COUNTIF(Office_Log!$A$2:$A$201,C531)&gt;0,"Y","N"))</f>
        <v/>
      </c>
      <c r="G531" s="17">
        <f>IF(OR(C531="",AND(LEFT(C531,6)="SAMPLE",Config!$B$19&lt;&gt;"Y")),"",IF(IFERROR(INDEX(Lists!$J$2:$J$15,MATCH(D531,Lists!$I$2:$I$15,0)),-1)=-1,"status '"&amp;D531&amp;"' is not a CONTRACTS status",IF(AND(D531="signed",COUNTIF(signed_offices!$W$2:$W$51,C531)=0),"status signed but no signed_offices row"&amp;IF(F531="N"," and no tracker row",""),IF(AND(IFERROR(INDEX(Lists!$J$2:$J$15,MATCH(D531,Lists!$I$2:$I$15,0)),-1)&gt;=6,F531="N"),"status "&amp;D531&amp;" but no tracker row",IF(AND(E531="Y",D531&lt;&gt;"do_not_contact"),"do_not_contact = Y but status is "&amp;D531,IF(AND(D531="do_not_contact",E531&lt;&gt;"Y"),"status do_not_contact but do_not_contact is not Y",""))))))</f>
        <v/>
      </c>
      <c r="I531" s="17" t="n">
        <v>510</v>
      </c>
      <c r="J531" s="17">
        <f>IFERROR(INDEX(Clay_Brands!$A$2:$FZ$601,I531,$D$5)&amp;"","")</f>
        <v/>
      </c>
      <c r="K531" s="17">
        <f>IFERROR(INDEX(Clay_Brands!$A$2:$FZ$601,I531,$D$7)&amp;"","")</f>
        <v/>
      </c>
      <c r="L531" s="17">
        <f>IFERROR(INDEX(Clay_Brands!$A$2:$FZ$601,I531,$D$8)&amp;"","")</f>
        <v/>
      </c>
      <c r="M531" s="17">
        <f>IF(J531="","",IF(COUNTIF(Brand_Log!$A$2:$A$201,J531)&gt;0,"Y","N"))</f>
        <v/>
      </c>
      <c r="N531" s="17">
        <f>IF(OR(J531="",AND(LEFT(J531,6)="SAMPLE",Config!$B$19&lt;&gt;"Y")),"",IF(IFERROR(INDEX(Lists!$J$2:$J$15,MATCH(K531,Lists!$I$2:$I$15,0)),-1)=-1,"status '"&amp;K531&amp;"' is not a CONTRACTS status",IF(AND(K531="paid",COUNTIF(paid_brands!$AC$2:$AC$51,J531)=0),"status paid but no paid_brands row"&amp;IF(M531="N"," and no tracker row",""),IF(AND(IFERROR(INDEX(Lists!$J$2:$J$15,MATCH(K531,Lists!$I$2:$I$15,0)),-1)&gt;=6,M531="N"),"status "&amp;K531&amp;" but no tracker row",IF(AND(L531="Y",K531&lt;&gt;"do_not_contact"),"do_not_contact = Y but status is "&amp;K531,IF(AND(K531="do_not_contact",L531&lt;&gt;"Y"),"status do_not_contact but do_not_contact is not Y",""))))))</f>
        <v/>
      </c>
    </row>
    <row r="532">
      <c r="B532" s="17" t="n">
        <v>511</v>
      </c>
      <c r="C532" s="17">
        <f>IFERROR(INDEX(Clay_Offices!$A$2:$FZ$601,B532,$C$5)&amp;"","")</f>
        <v/>
      </c>
      <c r="D532" s="17">
        <f>IFERROR(INDEX(Clay_Offices!$A$2:$FZ$601,B532,$C$7)&amp;"","")</f>
        <v/>
      </c>
      <c r="E532" s="17">
        <f>IFERROR(INDEX(Clay_Offices!$A$2:$FZ$601,B532,$C$8)&amp;"","")</f>
        <v/>
      </c>
      <c r="F532" s="17">
        <f>IF(C532="","",IF(COUNTIF(Office_Log!$A$2:$A$201,C532)&gt;0,"Y","N"))</f>
        <v/>
      </c>
      <c r="G532" s="17">
        <f>IF(OR(C532="",AND(LEFT(C532,6)="SAMPLE",Config!$B$19&lt;&gt;"Y")),"",IF(IFERROR(INDEX(Lists!$J$2:$J$15,MATCH(D532,Lists!$I$2:$I$15,0)),-1)=-1,"status '"&amp;D532&amp;"' is not a CONTRACTS status",IF(AND(D532="signed",COUNTIF(signed_offices!$W$2:$W$51,C532)=0),"status signed but no signed_offices row"&amp;IF(F532="N"," and no tracker row",""),IF(AND(IFERROR(INDEX(Lists!$J$2:$J$15,MATCH(D532,Lists!$I$2:$I$15,0)),-1)&gt;=6,F532="N"),"status "&amp;D532&amp;" but no tracker row",IF(AND(E532="Y",D532&lt;&gt;"do_not_contact"),"do_not_contact = Y but status is "&amp;D532,IF(AND(D532="do_not_contact",E532&lt;&gt;"Y"),"status do_not_contact but do_not_contact is not Y",""))))))</f>
        <v/>
      </c>
      <c r="I532" s="17" t="n">
        <v>511</v>
      </c>
      <c r="J532" s="17">
        <f>IFERROR(INDEX(Clay_Brands!$A$2:$FZ$601,I532,$D$5)&amp;"","")</f>
        <v/>
      </c>
      <c r="K532" s="17">
        <f>IFERROR(INDEX(Clay_Brands!$A$2:$FZ$601,I532,$D$7)&amp;"","")</f>
        <v/>
      </c>
      <c r="L532" s="17">
        <f>IFERROR(INDEX(Clay_Brands!$A$2:$FZ$601,I532,$D$8)&amp;"","")</f>
        <v/>
      </c>
      <c r="M532" s="17">
        <f>IF(J532="","",IF(COUNTIF(Brand_Log!$A$2:$A$201,J532)&gt;0,"Y","N"))</f>
        <v/>
      </c>
      <c r="N532" s="17">
        <f>IF(OR(J532="",AND(LEFT(J532,6)="SAMPLE",Config!$B$19&lt;&gt;"Y")),"",IF(IFERROR(INDEX(Lists!$J$2:$J$15,MATCH(K532,Lists!$I$2:$I$15,0)),-1)=-1,"status '"&amp;K532&amp;"' is not a CONTRACTS status",IF(AND(K532="paid",COUNTIF(paid_brands!$AC$2:$AC$51,J532)=0),"status paid but no paid_brands row"&amp;IF(M532="N"," and no tracker row",""),IF(AND(IFERROR(INDEX(Lists!$J$2:$J$15,MATCH(K532,Lists!$I$2:$I$15,0)),-1)&gt;=6,M532="N"),"status "&amp;K532&amp;" but no tracker row",IF(AND(L532="Y",K532&lt;&gt;"do_not_contact"),"do_not_contact = Y but status is "&amp;K532,IF(AND(K532="do_not_contact",L532&lt;&gt;"Y"),"status do_not_contact but do_not_contact is not Y",""))))))</f>
        <v/>
      </c>
    </row>
    <row r="533">
      <c r="B533" s="17" t="n">
        <v>512</v>
      </c>
      <c r="C533" s="17">
        <f>IFERROR(INDEX(Clay_Offices!$A$2:$FZ$601,B533,$C$5)&amp;"","")</f>
        <v/>
      </c>
      <c r="D533" s="17">
        <f>IFERROR(INDEX(Clay_Offices!$A$2:$FZ$601,B533,$C$7)&amp;"","")</f>
        <v/>
      </c>
      <c r="E533" s="17">
        <f>IFERROR(INDEX(Clay_Offices!$A$2:$FZ$601,B533,$C$8)&amp;"","")</f>
        <v/>
      </c>
      <c r="F533" s="17">
        <f>IF(C533="","",IF(COUNTIF(Office_Log!$A$2:$A$201,C533)&gt;0,"Y","N"))</f>
        <v/>
      </c>
      <c r="G533" s="17">
        <f>IF(OR(C533="",AND(LEFT(C533,6)="SAMPLE",Config!$B$19&lt;&gt;"Y")),"",IF(IFERROR(INDEX(Lists!$J$2:$J$15,MATCH(D533,Lists!$I$2:$I$15,0)),-1)=-1,"status '"&amp;D533&amp;"' is not a CONTRACTS status",IF(AND(D533="signed",COUNTIF(signed_offices!$W$2:$W$51,C533)=0),"status signed but no signed_offices row"&amp;IF(F533="N"," and no tracker row",""),IF(AND(IFERROR(INDEX(Lists!$J$2:$J$15,MATCH(D533,Lists!$I$2:$I$15,0)),-1)&gt;=6,F533="N"),"status "&amp;D533&amp;" but no tracker row",IF(AND(E533="Y",D533&lt;&gt;"do_not_contact"),"do_not_contact = Y but status is "&amp;D533,IF(AND(D533="do_not_contact",E533&lt;&gt;"Y"),"status do_not_contact but do_not_contact is not Y",""))))))</f>
        <v/>
      </c>
      <c r="I533" s="17" t="n">
        <v>512</v>
      </c>
      <c r="J533" s="17">
        <f>IFERROR(INDEX(Clay_Brands!$A$2:$FZ$601,I533,$D$5)&amp;"","")</f>
        <v/>
      </c>
      <c r="K533" s="17">
        <f>IFERROR(INDEX(Clay_Brands!$A$2:$FZ$601,I533,$D$7)&amp;"","")</f>
        <v/>
      </c>
      <c r="L533" s="17">
        <f>IFERROR(INDEX(Clay_Brands!$A$2:$FZ$601,I533,$D$8)&amp;"","")</f>
        <v/>
      </c>
      <c r="M533" s="17">
        <f>IF(J533="","",IF(COUNTIF(Brand_Log!$A$2:$A$201,J533)&gt;0,"Y","N"))</f>
        <v/>
      </c>
      <c r="N533" s="17">
        <f>IF(OR(J533="",AND(LEFT(J533,6)="SAMPLE",Config!$B$19&lt;&gt;"Y")),"",IF(IFERROR(INDEX(Lists!$J$2:$J$15,MATCH(K533,Lists!$I$2:$I$15,0)),-1)=-1,"status '"&amp;K533&amp;"' is not a CONTRACTS status",IF(AND(K533="paid",COUNTIF(paid_brands!$AC$2:$AC$51,J533)=0),"status paid but no paid_brands row"&amp;IF(M533="N"," and no tracker row",""),IF(AND(IFERROR(INDEX(Lists!$J$2:$J$15,MATCH(K533,Lists!$I$2:$I$15,0)),-1)&gt;=6,M533="N"),"status "&amp;K533&amp;" but no tracker row",IF(AND(L533="Y",K533&lt;&gt;"do_not_contact"),"do_not_contact = Y but status is "&amp;K533,IF(AND(K533="do_not_contact",L533&lt;&gt;"Y"),"status do_not_contact but do_not_contact is not Y",""))))))</f>
        <v/>
      </c>
    </row>
    <row r="534">
      <c r="B534" s="17" t="n">
        <v>513</v>
      </c>
      <c r="C534" s="17">
        <f>IFERROR(INDEX(Clay_Offices!$A$2:$FZ$601,B534,$C$5)&amp;"","")</f>
        <v/>
      </c>
      <c r="D534" s="17">
        <f>IFERROR(INDEX(Clay_Offices!$A$2:$FZ$601,B534,$C$7)&amp;"","")</f>
        <v/>
      </c>
      <c r="E534" s="17">
        <f>IFERROR(INDEX(Clay_Offices!$A$2:$FZ$601,B534,$C$8)&amp;"","")</f>
        <v/>
      </c>
      <c r="F534" s="17">
        <f>IF(C534="","",IF(COUNTIF(Office_Log!$A$2:$A$201,C534)&gt;0,"Y","N"))</f>
        <v/>
      </c>
      <c r="G534" s="17">
        <f>IF(OR(C534="",AND(LEFT(C534,6)="SAMPLE",Config!$B$19&lt;&gt;"Y")),"",IF(IFERROR(INDEX(Lists!$J$2:$J$15,MATCH(D534,Lists!$I$2:$I$15,0)),-1)=-1,"status '"&amp;D534&amp;"' is not a CONTRACTS status",IF(AND(D534="signed",COUNTIF(signed_offices!$W$2:$W$51,C534)=0),"status signed but no signed_offices row"&amp;IF(F534="N"," and no tracker row",""),IF(AND(IFERROR(INDEX(Lists!$J$2:$J$15,MATCH(D534,Lists!$I$2:$I$15,0)),-1)&gt;=6,F534="N"),"status "&amp;D534&amp;" but no tracker row",IF(AND(E534="Y",D534&lt;&gt;"do_not_contact"),"do_not_contact = Y but status is "&amp;D534,IF(AND(D534="do_not_contact",E534&lt;&gt;"Y"),"status do_not_contact but do_not_contact is not Y",""))))))</f>
        <v/>
      </c>
      <c r="I534" s="17" t="n">
        <v>513</v>
      </c>
      <c r="J534" s="17">
        <f>IFERROR(INDEX(Clay_Brands!$A$2:$FZ$601,I534,$D$5)&amp;"","")</f>
        <v/>
      </c>
      <c r="K534" s="17">
        <f>IFERROR(INDEX(Clay_Brands!$A$2:$FZ$601,I534,$D$7)&amp;"","")</f>
        <v/>
      </c>
      <c r="L534" s="17">
        <f>IFERROR(INDEX(Clay_Brands!$A$2:$FZ$601,I534,$D$8)&amp;"","")</f>
        <v/>
      </c>
      <c r="M534" s="17">
        <f>IF(J534="","",IF(COUNTIF(Brand_Log!$A$2:$A$201,J534)&gt;0,"Y","N"))</f>
        <v/>
      </c>
      <c r="N534" s="17">
        <f>IF(OR(J534="",AND(LEFT(J534,6)="SAMPLE",Config!$B$19&lt;&gt;"Y")),"",IF(IFERROR(INDEX(Lists!$J$2:$J$15,MATCH(K534,Lists!$I$2:$I$15,0)),-1)=-1,"status '"&amp;K534&amp;"' is not a CONTRACTS status",IF(AND(K534="paid",COUNTIF(paid_brands!$AC$2:$AC$51,J534)=0),"status paid but no paid_brands row"&amp;IF(M534="N"," and no tracker row",""),IF(AND(IFERROR(INDEX(Lists!$J$2:$J$15,MATCH(K534,Lists!$I$2:$I$15,0)),-1)&gt;=6,M534="N"),"status "&amp;K534&amp;" but no tracker row",IF(AND(L534="Y",K534&lt;&gt;"do_not_contact"),"do_not_contact = Y but status is "&amp;K534,IF(AND(K534="do_not_contact",L534&lt;&gt;"Y"),"status do_not_contact but do_not_contact is not Y",""))))))</f>
        <v/>
      </c>
    </row>
    <row r="535">
      <c r="B535" s="17" t="n">
        <v>514</v>
      </c>
      <c r="C535" s="17">
        <f>IFERROR(INDEX(Clay_Offices!$A$2:$FZ$601,B535,$C$5)&amp;"","")</f>
        <v/>
      </c>
      <c r="D535" s="17">
        <f>IFERROR(INDEX(Clay_Offices!$A$2:$FZ$601,B535,$C$7)&amp;"","")</f>
        <v/>
      </c>
      <c r="E535" s="17">
        <f>IFERROR(INDEX(Clay_Offices!$A$2:$FZ$601,B535,$C$8)&amp;"","")</f>
        <v/>
      </c>
      <c r="F535" s="17">
        <f>IF(C535="","",IF(COUNTIF(Office_Log!$A$2:$A$201,C535)&gt;0,"Y","N"))</f>
        <v/>
      </c>
      <c r="G535" s="17">
        <f>IF(OR(C535="",AND(LEFT(C535,6)="SAMPLE",Config!$B$19&lt;&gt;"Y")),"",IF(IFERROR(INDEX(Lists!$J$2:$J$15,MATCH(D535,Lists!$I$2:$I$15,0)),-1)=-1,"status '"&amp;D535&amp;"' is not a CONTRACTS status",IF(AND(D535="signed",COUNTIF(signed_offices!$W$2:$W$51,C535)=0),"status signed but no signed_offices row"&amp;IF(F535="N"," and no tracker row",""),IF(AND(IFERROR(INDEX(Lists!$J$2:$J$15,MATCH(D535,Lists!$I$2:$I$15,0)),-1)&gt;=6,F535="N"),"status "&amp;D535&amp;" but no tracker row",IF(AND(E535="Y",D535&lt;&gt;"do_not_contact"),"do_not_contact = Y but status is "&amp;D535,IF(AND(D535="do_not_contact",E535&lt;&gt;"Y"),"status do_not_contact but do_not_contact is not Y",""))))))</f>
        <v/>
      </c>
      <c r="I535" s="17" t="n">
        <v>514</v>
      </c>
      <c r="J535" s="17">
        <f>IFERROR(INDEX(Clay_Brands!$A$2:$FZ$601,I535,$D$5)&amp;"","")</f>
        <v/>
      </c>
      <c r="K535" s="17">
        <f>IFERROR(INDEX(Clay_Brands!$A$2:$FZ$601,I535,$D$7)&amp;"","")</f>
        <v/>
      </c>
      <c r="L535" s="17">
        <f>IFERROR(INDEX(Clay_Brands!$A$2:$FZ$601,I535,$D$8)&amp;"","")</f>
        <v/>
      </c>
      <c r="M535" s="17">
        <f>IF(J535="","",IF(COUNTIF(Brand_Log!$A$2:$A$201,J535)&gt;0,"Y","N"))</f>
        <v/>
      </c>
      <c r="N535" s="17">
        <f>IF(OR(J535="",AND(LEFT(J535,6)="SAMPLE",Config!$B$19&lt;&gt;"Y")),"",IF(IFERROR(INDEX(Lists!$J$2:$J$15,MATCH(K535,Lists!$I$2:$I$15,0)),-1)=-1,"status '"&amp;K535&amp;"' is not a CONTRACTS status",IF(AND(K535="paid",COUNTIF(paid_brands!$AC$2:$AC$51,J535)=0),"status paid but no paid_brands row"&amp;IF(M535="N"," and no tracker row",""),IF(AND(IFERROR(INDEX(Lists!$J$2:$J$15,MATCH(K535,Lists!$I$2:$I$15,0)),-1)&gt;=6,M535="N"),"status "&amp;K535&amp;" but no tracker row",IF(AND(L535="Y",K535&lt;&gt;"do_not_contact"),"do_not_contact = Y but status is "&amp;K535,IF(AND(K535="do_not_contact",L535&lt;&gt;"Y"),"status do_not_contact but do_not_contact is not Y",""))))))</f>
        <v/>
      </c>
    </row>
    <row r="536">
      <c r="B536" s="17" t="n">
        <v>515</v>
      </c>
      <c r="C536" s="17">
        <f>IFERROR(INDEX(Clay_Offices!$A$2:$FZ$601,B536,$C$5)&amp;"","")</f>
        <v/>
      </c>
      <c r="D536" s="17">
        <f>IFERROR(INDEX(Clay_Offices!$A$2:$FZ$601,B536,$C$7)&amp;"","")</f>
        <v/>
      </c>
      <c r="E536" s="17">
        <f>IFERROR(INDEX(Clay_Offices!$A$2:$FZ$601,B536,$C$8)&amp;"","")</f>
        <v/>
      </c>
      <c r="F536" s="17">
        <f>IF(C536="","",IF(COUNTIF(Office_Log!$A$2:$A$201,C536)&gt;0,"Y","N"))</f>
        <v/>
      </c>
      <c r="G536" s="17">
        <f>IF(OR(C536="",AND(LEFT(C536,6)="SAMPLE",Config!$B$19&lt;&gt;"Y")),"",IF(IFERROR(INDEX(Lists!$J$2:$J$15,MATCH(D536,Lists!$I$2:$I$15,0)),-1)=-1,"status '"&amp;D536&amp;"' is not a CONTRACTS status",IF(AND(D536="signed",COUNTIF(signed_offices!$W$2:$W$51,C536)=0),"status signed but no signed_offices row"&amp;IF(F536="N"," and no tracker row",""),IF(AND(IFERROR(INDEX(Lists!$J$2:$J$15,MATCH(D536,Lists!$I$2:$I$15,0)),-1)&gt;=6,F536="N"),"status "&amp;D536&amp;" but no tracker row",IF(AND(E536="Y",D536&lt;&gt;"do_not_contact"),"do_not_contact = Y but status is "&amp;D536,IF(AND(D536="do_not_contact",E536&lt;&gt;"Y"),"status do_not_contact but do_not_contact is not Y",""))))))</f>
        <v/>
      </c>
      <c r="I536" s="17" t="n">
        <v>515</v>
      </c>
      <c r="J536" s="17">
        <f>IFERROR(INDEX(Clay_Brands!$A$2:$FZ$601,I536,$D$5)&amp;"","")</f>
        <v/>
      </c>
      <c r="K536" s="17">
        <f>IFERROR(INDEX(Clay_Brands!$A$2:$FZ$601,I536,$D$7)&amp;"","")</f>
        <v/>
      </c>
      <c r="L536" s="17">
        <f>IFERROR(INDEX(Clay_Brands!$A$2:$FZ$601,I536,$D$8)&amp;"","")</f>
        <v/>
      </c>
      <c r="M536" s="17">
        <f>IF(J536="","",IF(COUNTIF(Brand_Log!$A$2:$A$201,J536)&gt;0,"Y","N"))</f>
        <v/>
      </c>
      <c r="N536" s="17">
        <f>IF(OR(J536="",AND(LEFT(J536,6)="SAMPLE",Config!$B$19&lt;&gt;"Y")),"",IF(IFERROR(INDEX(Lists!$J$2:$J$15,MATCH(K536,Lists!$I$2:$I$15,0)),-1)=-1,"status '"&amp;K536&amp;"' is not a CONTRACTS status",IF(AND(K536="paid",COUNTIF(paid_brands!$AC$2:$AC$51,J536)=0),"status paid but no paid_brands row"&amp;IF(M536="N"," and no tracker row",""),IF(AND(IFERROR(INDEX(Lists!$J$2:$J$15,MATCH(K536,Lists!$I$2:$I$15,0)),-1)&gt;=6,M536="N"),"status "&amp;K536&amp;" but no tracker row",IF(AND(L536="Y",K536&lt;&gt;"do_not_contact"),"do_not_contact = Y but status is "&amp;K536,IF(AND(K536="do_not_contact",L536&lt;&gt;"Y"),"status do_not_contact but do_not_contact is not Y",""))))))</f>
        <v/>
      </c>
    </row>
    <row r="537">
      <c r="B537" s="17" t="n">
        <v>516</v>
      </c>
      <c r="C537" s="17">
        <f>IFERROR(INDEX(Clay_Offices!$A$2:$FZ$601,B537,$C$5)&amp;"","")</f>
        <v/>
      </c>
      <c r="D537" s="17">
        <f>IFERROR(INDEX(Clay_Offices!$A$2:$FZ$601,B537,$C$7)&amp;"","")</f>
        <v/>
      </c>
      <c r="E537" s="17">
        <f>IFERROR(INDEX(Clay_Offices!$A$2:$FZ$601,B537,$C$8)&amp;"","")</f>
        <v/>
      </c>
      <c r="F537" s="17">
        <f>IF(C537="","",IF(COUNTIF(Office_Log!$A$2:$A$201,C537)&gt;0,"Y","N"))</f>
        <v/>
      </c>
      <c r="G537" s="17">
        <f>IF(OR(C537="",AND(LEFT(C537,6)="SAMPLE",Config!$B$19&lt;&gt;"Y")),"",IF(IFERROR(INDEX(Lists!$J$2:$J$15,MATCH(D537,Lists!$I$2:$I$15,0)),-1)=-1,"status '"&amp;D537&amp;"' is not a CONTRACTS status",IF(AND(D537="signed",COUNTIF(signed_offices!$W$2:$W$51,C537)=0),"status signed but no signed_offices row"&amp;IF(F537="N"," and no tracker row",""),IF(AND(IFERROR(INDEX(Lists!$J$2:$J$15,MATCH(D537,Lists!$I$2:$I$15,0)),-1)&gt;=6,F537="N"),"status "&amp;D537&amp;" but no tracker row",IF(AND(E537="Y",D537&lt;&gt;"do_not_contact"),"do_not_contact = Y but status is "&amp;D537,IF(AND(D537="do_not_contact",E537&lt;&gt;"Y"),"status do_not_contact but do_not_contact is not Y",""))))))</f>
        <v/>
      </c>
      <c r="I537" s="17" t="n">
        <v>516</v>
      </c>
      <c r="J537" s="17">
        <f>IFERROR(INDEX(Clay_Brands!$A$2:$FZ$601,I537,$D$5)&amp;"","")</f>
        <v/>
      </c>
      <c r="K537" s="17">
        <f>IFERROR(INDEX(Clay_Brands!$A$2:$FZ$601,I537,$D$7)&amp;"","")</f>
        <v/>
      </c>
      <c r="L537" s="17">
        <f>IFERROR(INDEX(Clay_Brands!$A$2:$FZ$601,I537,$D$8)&amp;"","")</f>
        <v/>
      </c>
      <c r="M537" s="17">
        <f>IF(J537="","",IF(COUNTIF(Brand_Log!$A$2:$A$201,J537)&gt;0,"Y","N"))</f>
        <v/>
      </c>
      <c r="N537" s="17">
        <f>IF(OR(J537="",AND(LEFT(J537,6)="SAMPLE",Config!$B$19&lt;&gt;"Y")),"",IF(IFERROR(INDEX(Lists!$J$2:$J$15,MATCH(K537,Lists!$I$2:$I$15,0)),-1)=-1,"status '"&amp;K537&amp;"' is not a CONTRACTS status",IF(AND(K537="paid",COUNTIF(paid_brands!$AC$2:$AC$51,J537)=0),"status paid but no paid_brands row"&amp;IF(M537="N"," and no tracker row",""),IF(AND(IFERROR(INDEX(Lists!$J$2:$J$15,MATCH(K537,Lists!$I$2:$I$15,0)),-1)&gt;=6,M537="N"),"status "&amp;K537&amp;" but no tracker row",IF(AND(L537="Y",K537&lt;&gt;"do_not_contact"),"do_not_contact = Y but status is "&amp;K537,IF(AND(K537="do_not_contact",L537&lt;&gt;"Y"),"status do_not_contact but do_not_contact is not Y",""))))))</f>
        <v/>
      </c>
    </row>
    <row r="538">
      <c r="B538" s="17" t="n">
        <v>517</v>
      </c>
      <c r="C538" s="17">
        <f>IFERROR(INDEX(Clay_Offices!$A$2:$FZ$601,B538,$C$5)&amp;"","")</f>
        <v/>
      </c>
      <c r="D538" s="17">
        <f>IFERROR(INDEX(Clay_Offices!$A$2:$FZ$601,B538,$C$7)&amp;"","")</f>
        <v/>
      </c>
      <c r="E538" s="17">
        <f>IFERROR(INDEX(Clay_Offices!$A$2:$FZ$601,B538,$C$8)&amp;"","")</f>
        <v/>
      </c>
      <c r="F538" s="17">
        <f>IF(C538="","",IF(COUNTIF(Office_Log!$A$2:$A$201,C538)&gt;0,"Y","N"))</f>
        <v/>
      </c>
      <c r="G538" s="17">
        <f>IF(OR(C538="",AND(LEFT(C538,6)="SAMPLE",Config!$B$19&lt;&gt;"Y")),"",IF(IFERROR(INDEX(Lists!$J$2:$J$15,MATCH(D538,Lists!$I$2:$I$15,0)),-1)=-1,"status '"&amp;D538&amp;"' is not a CONTRACTS status",IF(AND(D538="signed",COUNTIF(signed_offices!$W$2:$W$51,C538)=0),"status signed but no signed_offices row"&amp;IF(F538="N"," and no tracker row",""),IF(AND(IFERROR(INDEX(Lists!$J$2:$J$15,MATCH(D538,Lists!$I$2:$I$15,0)),-1)&gt;=6,F538="N"),"status "&amp;D538&amp;" but no tracker row",IF(AND(E538="Y",D538&lt;&gt;"do_not_contact"),"do_not_contact = Y but status is "&amp;D538,IF(AND(D538="do_not_contact",E538&lt;&gt;"Y"),"status do_not_contact but do_not_contact is not Y",""))))))</f>
        <v/>
      </c>
      <c r="I538" s="17" t="n">
        <v>517</v>
      </c>
      <c r="J538" s="17">
        <f>IFERROR(INDEX(Clay_Brands!$A$2:$FZ$601,I538,$D$5)&amp;"","")</f>
        <v/>
      </c>
      <c r="K538" s="17">
        <f>IFERROR(INDEX(Clay_Brands!$A$2:$FZ$601,I538,$D$7)&amp;"","")</f>
        <v/>
      </c>
      <c r="L538" s="17">
        <f>IFERROR(INDEX(Clay_Brands!$A$2:$FZ$601,I538,$D$8)&amp;"","")</f>
        <v/>
      </c>
      <c r="M538" s="17">
        <f>IF(J538="","",IF(COUNTIF(Brand_Log!$A$2:$A$201,J538)&gt;0,"Y","N"))</f>
        <v/>
      </c>
      <c r="N538" s="17">
        <f>IF(OR(J538="",AND(LEFT(J538,6)="SAMPLE",Config!$B$19&lt;&gt;"Y")),"",IF(IFERROR(INDEX(Lists!$J$2:$J$15,MATCH(K538,Lists!$I$2:$I$15,0)),-1)=-1,"status '"&amp;K538&amp;"' is not a CONTRACTS status",IF(AND(K538="paid",COUNTIF(paid_brands!$AC$2:$AC$51,J538)=0),"status paid but no paid_brands row"&amp;IF(M538="N"," and no tracker row",""),IF(AND(IFERROR(INDEX(Lists!$J$2:$J$15,MATCH(K538,Lists!$I$2:$I$15,0)),-1)&gt;=6,M538="N"),"status "&amp;K538&amp;" but no tracker row",IF(AND(L538="Y",K538&lt;&gt;"do_not_contact"),"do_not_contact = Y but status is "&amp;K538,IF(AND(K538="do_not_contact",L538&lt;&gt;"Y"),"status do_not_contact but do_not_contact is not Y",""))))))</f>
        <v/>
      </c>
    </row>
    <row r="539">
      <c r="B539" s="17" t="n">
        <v>518</v>
      </c>
      <c r="C539" s="17">
        <f>IFERROR(INDEX(Clay_Offices!$A$2:$FZ$601,B539,$C$5)&amp;"","")</f>
        <v/>
      </c>
      <c r="D539" s="17">
        <f>IFERROR(INDEX(Clay_Offices!$A$2:$FZ$601,B539,$C$7)&amp;"","")</f>
        <v/>
      </c>
      <c r="E539" s="17">
        <f>IFERROR(INDEX(Clay_Offices!$A$2:$FZ$601,B539,$C$8)&amp;"","")</f>
        <v/>
      </c>
      <c r="F539" s="17">
        <f>IF(C539="","",IF(COUNTIF(Office_Log!$A$2:$A$201,C539)&gt;0,"Y","N"))</f>
        <v/>
      </c>
      <c r="G539" s="17">
        <f>IF(OR(C539="",AND(LEFT(C539,6)="SAMPLE",Config!$B$19&lt;&gt;"Y")),"",IF(IFERROR(INDEX(Lists!$J$2:$J$15,MATCH(D539,Lists!$I$2:$I$15,0)),-1)=-1,"status '"&amp;D539&amp;"' is not a CONTRACTS status",IF(AND(D539="signed",COUNTIF(signed_offices!$W$2:$W$51,C539)=0),"status signed but no signed_offices row"&amp;IF(F539="N"," and no tracker row",""),IF(AND(IFERROR(INDEX(Lists!$J$2:$J$15,MATCH(D539,Lists!$I$2:$I$15,0)),-1)&gt;=6,F539="N"),"status "&amp;D539&amp;" but no tracker row",IF(AND(E539="Y",D539&lt;&gt;"do_not_contact"),"do_not_contact = Y but status is "&amp;D539,IF(AND(D539="do_not_contact",E539&lt;&gt;"Y"),"status do_not_contact but do_not_contact is not Y",""))))))</f>
        <v/>
      </c>
      <c r="I539" s="17" t="n">
        <v>518</v>
      </c>
      <c r="J539" s="17">
        <f>IFERROR(INDEX(Clay_Brands!$A$2:$FZ$601,I539,$D$5)&amp;"","")</f>
        <v/>
      </c>
      <c r="K539" s="17">
        <f>IFERROR(INDEX(Clay_Brands!$A$2:$FZ$601,I539,$D$7)&amp;"","")</f>
        <v/>
      </c>
      <c r="L539" s="17">
        <f>IFERROR(INDEX(Clay_Brands!$A$2:$FZ$601,I539,$D$8)&amp;"","")</f>
        <v/>
      </c>
      <c r="M539" s="17">
        <f>IF(J539="","",IF(COUNTIF(Brand_Log!$A$2:$A$201,J539)&gt;0,"Y","N"))</f>
        <v/>
      </c>
      <c r="N539" s="17">
        <f>IF(OR(J539="",AND(LEFT(J539,6)="SAMPLE",Config!$B$19&lt;&gt;"Y")),"",IF(IFERROR(INDEX(Lists!$J$2:$J$15,MATCH(K539,Lists!$I$2:$I$15,0)),-1)=-1,"status '"&amp;K539&amp;"' is not a CONTRACTS status",IF(AND(K539="paid",COUNTIF(paid_brands!$AC$2:$AC$51,J539)=0),"status paid but no paid_brands row"&amp;IF(M539="N"," and no tracker row",""),IF(AND(IFERROR(INDEX(Lists!$J$2:$J$15,MATCH(K539,Lists!$I$2:$I$15,0)),-1)&gt;=6,M539="N"),"status "&amp;K539&amp;" but no tracker row",IF(AND(L539="Y",K539&lt;&gt;"do_not_contact"),"do_not_contact = Y but status is "&amp;K539,IF(AND(K539="do_not_contact",L539&lt;&gt;"Y"),"status do_not_contact but do_not_contact is not Y",""))))))</f>
        <v/>
      </c>
    </row>
    <row r="540">
      <c r="B540" s="17" t="n">
        <v>519</v>
      </c>
      <c r="C540" s="17">
        <f>IFERROR(INDEX(Clay_Offices!$A$2:$FZ$601,B540,$C$5)&amp;"","")</f>
        <v/>
      </c>
      <c r="D540" s="17">
        <f>IFERROR(INDEX(Clay_Offices!$A$2:$FZ$601,B540,$C$7)&amp;"","")</f>
        <v/>
      </c>
      <c r="E540" s="17">
        <f>IFERROR(INDEX(Clay_Offices!$A$2:$FZ$601,B540,$C$8)&amp;"","")</f>
        <v/>
      </c>
      <c r="F540" s="17">
        <f>IF(C540="","",IF(COUNTIF(Office_Log!$A$2:$A$201,C540)&gt;0,"Y","N"))</f>
        <v/>
      </c>
      <c r="G540" s="17">
        <f>IF(OR(C540="",AND(LEFT(C540,6)="SAMPLE",Config!$B$19&lt;&gt;"Y")),"",IF(IFERROR(INDEX(Lists!$J$2:$J$15,MATCH(D540,Lists!$I$2:$I$15,0)),-1)=-1,"status '"&amp;D540&amp;"' is not a CONTRACTS status",IF(AND(D540="signed",COUNTIF(signed_offices!$W$2:$W$51,C540)=0),"status signed but no signed_offices row"&amp;IF(F540="N"," and no tracker row",""),IF(AND(IFERROR(INDEX(Lists!$J$2:$J$15,MATCH(D540,Lists!$I$2:$I$15,0)),-1)&gt;=6,F540="N"),"status "&amp;D540&amp;" but no tracker row",IF(AND(E540="Y",D540&lt;&gt;"do_not_contact"),"do_not_contact = Y but status is "&amp;D540,IF(AND(D540="do_not_contact",E540&lt;&gt;"Y"),"status do_not_contact but do_not_contact is not Y",""))))))</f>
        <v/>
      </c>
      <c r="I540" s="17" t="n">
        <v>519</v>
      </c>
      <c r="J540" s="17">
        <f>IFERROR(INDEX(Clay_Brands!$A$2:$FZ$601,I540,$D$5)&amp;"","")</f>
        <v/>
      </c>
      <c r="K540" s="17">
        <f>IFERROR(INDEX(Clay_Brands!$A$2:$FZ$601,I540,$D$7)&amp;"","")</f>
        <v/>
      </c>
      <c r="L540" s="17">
        <f>IFERROR(INDEX(Clay_Brands!$A$2:$FZ$601,I540,$D$8)&amp;"","")</f>
        <v/>
      </c>
      <c r="M540" s="17">
        <f>IF(J540="","",IF(COUNTIF(Brand_Log!$A$2:$A$201,J540)&gt;0,"Y","N"))</f>
        <v/>
      </c>
      <c r="N540" s="17">
        <f>IF(OR(J540="",AND(LEFT(J540,6)="SAMPLE",Config!$B$19&lt;&gt;"Y")),"",IF(IFERROR(INDEX(Lists!$J$2:$J$15,MATCH(K540,Lists!$I$2:$I$15,0)),-1)=-1,"status '"&amp;K540&amp;"' is not a CONTRACTS status",IF(AND(K540="paid",COUNTIF(paid_brands!$AC$2:$AC$51,J540)=0),"status paid but no paid_brands row"&amp;IF(M540="N"," and no tracker row",""),IF(AND(IFERROR(INDEX(Lists!$J$2:$J$15,MATCH(K540,Lists!$I$2:$I$15,0)),-1)&gt;=6,M540="N"),"status "&amp;K540&amp;" but no tracker row",IF(AND(L540="Y",K540&lt;&gt;"do_not_contact"),"do_not_contact = Y but status is "&amp;K540,IF(AND(K540="do_not_contact",L540&lt;&gt;"Y"),"status do_not_contact but do_not_contact is not Y",""))))))</f>
        <v/>
      </c>
    </row>
    <row r="541">
      <c r="B541" s="17" t="n">
        <v>520</v>
      </c>
      <c r="C541" s="17">
        <f>IFERROR(INDEX(Clay_Offices!$A$2:$FZ$601,B541,$C$5)&amp;"","")</f>
        <v/>
      </c>
      <c r="D541" s="17">
        <f>IFERROR(INDEX(Clay_Offices!$A$2:$FZ$601,B541,$C$7)&amp;"","")</f>
        <v/>
      </c>
      <c r="E541" s="17">
        <f>IFERROR(INDEX(Clay_Offices!$A$2:$FZ$601,B541,$C$8)&amp;"","")</f>
        <v/>
      </c>
      <c r="F541" s="17">
        <f>IF(C541="","",IF(COUNTIF(Office_Log!$A$2:$A$201,C541)&gt;0,"Y","N"))</f>
        <v/>
      </c>
      <c r="G541" s="17">
        <f>IF(OR(C541="",AND(LEFT(C541,6)="SAMPLE",Config!$B$19&lt;&gt;"Y")),"",IF(IFERROR(INDEX(Lists!$J$2:$J$15,MATCH(D541,Lists!$I$2:$I$15,0)),-1)=-1,"status '"&amp;D541&amp;"' is not a CONTRACTS status",IF(AND(D541="signed",COUNTIF(signed_offices!$W$2:$W$51,C541)=0),"status signed but no signed_offices row"&amp;IF(F541="N"," and no tracker row",""),IF(AND(IFERROR(INDEX(Lists!$J$2:$J$15,MATCH(D541,Lists!$I$2:$I$15,0)),-1)&gt;=6,F541="N"),"status "&amp;D541&amp;" but no tracker row",IF(AND(E541="Y",D541&lt;&gt;"do_not_contact"),"do_not_contact = Y but status is "&amp;D541,IF(AND(D541="do_not_contact",E541&lt;&gt;"Y"),"status do_not_contact but do_not_contact is not Y",""))))))</f>
        <v/>
      </c>
      <c r="I541" s="17" t="n">
        <v>520</v>
      </c>
      <c r="J541" s="17">
        <f>IFERROR(INDEX(Clay_Brands!$A$2:$FZ$601,I541,$D$5)&amp;"","")</f>
        <v/>
      </c>
      <c r="K541" s="17">
        <f>IFERROR(INDEX(Clay_Brands!$A$2:$FZ$601,I541,$D$7)&amp;"","")</f>
        <v/>
      </c>
      <c r="L541" s="17">
        <f>IFERROR(INDEX(Clay_Brands!$A$2:$FZ$601,I541,$D$8)&amp;"","")</f>
        <v/>
      </c>
      <c r="M541" s="17">
        <f>IF(J541="","",IF(COUNTIF(Brand_Log!$A$2:$A$201,J541)&gt;0,"Y","N"))</f>
        <v/>
      </c>
      <c r="N541" s="17">
        <f>IF(OR(J541="",AND(LEFT(J541,6)="SAMPLE",Config!$B$19&lt;&gt;"Y")),"",IF(IFERROR(INDEX(Lists!$J$2:$J$15,MATCH(K541,Lists!$I$2:$I$15,0)),-1)=-1,"status '"&amp;K541&amp;"' is not a CONTRACTS status",IF(AND(K541="paid",COUNTIF(paid_brands!$AC$2:$AC$51,J541)=0),"status paid but no paid_brands row"&amp;IF(M541="N"," and no tracker row",""),IF(AND(IFERROR(INDEX(Lists!$J$2:$J$15,MATCH(K541,Lists!$I$2:$I$15,0)),-1)&gt;=6,M541="N"),"status "&amp;K541&amp;" but no tracker row",IF(AND(L541="Y",K541&lt;&gt;"do_not_contact"),"do_not_contact = Y but status is "&amp;K541,IF(AND(K541="do_not_contact",L541&lt;&gt;"Y"),"status do_not_contact but do_not_contact is not Y",""))))))</f>
        <v/>
      </c>
    </row>
    <row r="542">
      <c r="B542" s="17" t="n">
        <v>521</v>
      </c>
      <c r="C542" s="17">
        <f>IFERROR(INDEX(Clay_Offices!$A$2:$FZ$601,B542,$C$5)&amp;"","")</f>
        <v/>
      </c>
      <c r="D542" s="17">
        <f>IFERROR(INDEX(Clay_Offices!$A$2:$FZ$601,B542,$C$7)&amp;"","")</f>
        <v/>
      </c>
      <c r="E542" s="17">
        <f>IFERROR(INDEX(Clay_Offices!$A$2:$FZ$601,B542,$C$8)&amp;"","")</f>
        <v/>
      </c>
      <c r="F542" s="17">
        <f>IF(C542="","",IF(COUNTIF(Office_Log!$A$2:$A$201,C542)&gt;0,"Y","N"))</f>
        <v/>
      </c>
      <c r="G542" s="17">
        <f>IF(OR(C542="",AND(LEFT(C542,6)="SAMPLE",Config!$B$19&lt;&gt;"Y")),"",IF(IFERROR(INDEX(Lists!$J$2:$J$15,MATCH(D542,Lists!$I$2:$I$15,0)),-1)=-1,"status '"&amp;D542&amp;"' is not a CONTRACTS status",IF(AND(D542="signed",COUNTIF(signed_offices!$W$2:$W$51,C542)=0),"status signed but no signed_offices row"&amp;IF(F542="N"," and no tracker row",""),IF(AND(IFERROR(INDEX(Lists!$J$2:$J$15,MATCH(D542,Lists!$I$2:$I$15,0)),-1)&gt;=6,F542="N"),"status "&amp;D542&amp;" but no tracker row",IF(AND(E542="Y",D542&lt;&gt;"do_not_contact"),"do_not_contact = Y but status is "&amp;D542,IF(AND(D542="do_not_contact",E542&lt;&gt;"Y"),"status do_not_contact but do_not_contact is not Y",""))))))</f>
        <v/>
      </c>
      <c r="I542" s="17" t="n">
        <v>521</v>
      </c>
      <c r="J542" s="17">
        <f>IFERROR(INDEX(Clay_Brands!$A$2:$FZ$601,I542,$D$5)&amp;"","")</f>
        <v/>
      </c>
      <c r="K542" s="17">
        <f>IFERROR(INDEX(Clay_Brands!$A$2:$FZ$601,I542,$D$7)&amp;"","")</f>
        <v/>
      </c>
      <c r="L542" s="17">
        <f>IFERROR(INDEX(Clay_Brands!$A$2:$FZ$601,I542,$D$8)&amp;"","")</f>
        <v/>
      </c>
      <c r="M542" s="17">
        <f>IF(J542="","",IF(COUNTIF(Brand_Log!$A$2:$A$201,J542)&gt;0,"Y","N"))</f>
        <v/>
      </c>
      <c r="N542" s="17">
        <f>IF(OR(J542="",AND(LEFT(J542,6)="SAMPLE",Config!$B$19&lt;&gt;"Y")),"",IF(IFERROR(INDEX(Lists!$J$2:$J$15,MATCH(K542,Lists!$I$2:$I$15,0)),-1)=-1,"status '"&amp;K542&amp;"' is not a CONTRACTS status",IF(AND(K542="paid",COUNTIF(paid_brands!$AC$2:$AC$51,J542)=0),"status paid but no paid_brands row"&amp;IF(M542="N"," and no tracker row",""),IF(AND(IFERROR(INDEX(Lists!$J$2:$J$15,MATCH(K542,Lists!$I$2:$I$15,0)),-1)&gt;=6,M542="N"),"status "&amp;K542&amp;" but no tracker row",IF(AND(L542="Y",K542&lt;&gt;"do_not_contact"),"do_not_contact = Y but status is "&amp;K542,IF(AND(K542="do_not_contact",L542&lt;&gt;"Y"),"status do_not_contact but do_not_contact is not Y",""))))))</f>
        <v/>
      </c>
    </row>
    <row r="543">
      <c r="B543" s="17" t="n">
        <v>522</v>
      </c>
      <c r="C543" s="17">
        <f>IFERROR(INDEX(Clay_Offices!$A$2:$FZ$601,B543,$C$5)&amp;"","")</f>
        <v/>
      </c>
      <c r="D543" s="17">
        <f>IFERROR(INDEX(Clay_Offices!$A$2:$FZ$601,B543,$C$7)&amp;"","")</f>
        <v/>
      </c>
      <c r="E543" s="17">
        <f>IFERROR(INDEX(Clay_Offices!$A$2:$FZ$601,B543,$C$8)&amp;"","")</f>
        <v/>
      </c>
      <c r="F543" s="17">
        <f>IF(C543="","",IF(COUNTIF(Office_Log!$A$2:$A$201,C543)&gt;0,"Y","N"))</f>
        <v/>
      </c>
      <c r="G543" s="17">
        <f>IF(OR(C543="",AND(LEFT(C543,6)="SAMPLE",Config!$B$19&lt;&gt;"Y")),"",IF(IFERROR(INDEX(Lists!$J$2:$J$15,MATCH(D543,Lists!$I$2:$I$15,0)),-1)=-1,"status '"&amp;D543&amp;"' is not a CONTRACTS status",IF(AND(D543="signed",COUNTIF(signed_offices!$W$2:$W$51,C543)=0),"status signed but no signed_offices row"&amp;IF(F543="N"," and no tracker row",""),IF(AND(IFERROR(INDEX(Lists!$J$2:$J$15,MATCH(D543,Lists!$I$2:$I$15,0)),-1)&gt;=6,F543="N"),"status "&amp;D543&amp;" but no tracker row",IF(AND(E543="Y",D543&lt;&gt;"do_not_contact"),"do_not_contact = Y but status is "&amp;D543,IF(AND(D543="do_not_contact",E543&lt;&gt;"Y"),"status do_not_contact but do_not_contact is not Y",""))))))</f>
        <v/>
      </c>
      <c r="I543" s="17" t="n">
        <v>522</v>
      </c>
      <c r="J543" s="17">
        <f>IFERROR(INDEX(Clay_Brands!$A$2:$FZ$601,I543,$D$5)&amp;"","")</f>
        <v/>
      </c>
      <c r="K543" s="17">
        <f>IFERROR(INDEX(Clay_Brands!$A$2:$FZ$601,I543,$D$7)&amp;"","")</f>
        <v/>
      </c>
      <c r="L543" s="17">
        <f>IFERROR(INDEX(Clay_Brands!$A$2:$FZ$601,I543,$D$8)&amp;"","")</f>
        <v/>
      </c>
      <c r="M543" s="17">
        <f>IF(J543="","",IF(COUNTIF(Brand_Log!$A$2:$A$201,J543)&gt;0,"Y","N"))</f>
        <v/>
      </c>
      <c r="N543" s="17">
        <f>IF(OR(J543="",AND(LEFT(J543,6)="SAMPLE",Config!$B$19&lt;&gt;"Y")),"",IF(IFERROR(INDEX(Lists!$J$2:$J$15,MATCH(K543,Lists!$I$2:$I$15,0)),-1)=-1,"status '"&amp;K543&amp;"' is not a CONTRACTS status",IF(AND(K543="paid",COUNTIF(paid_brands!$AC$2:$AC$51,J543)=0),"status paid but no paid_brands row"&amp;IF(M543="N"," and no tracker row",""),IF(AND(IFERROR(INDEX(Lists!$J$2:$J$15,MATCH(K543,Lists!$I$2:$I$15,0)),-1)&gt;=6,M543="N"),"status "&amp;K543&amp;" but no tracker row",IF(AND(L543="Y",K543&lt;&gt;"do_not_contact"),"do_not_contact = Y but status is "&amp;K543,IF(AND(K543="do_not_contact",L543&lt;&gt;"Y"),"status do_not_contact but do_not_contact is not Y",""))))))</f>
        <v/>
      </c>
    </row>
    <row r="544">
      <c r="B544" s="17" t="n">
        <v>523</v>
      </c>
      <c r="C544" s="17">
        <f>IFERROR(INDEX(Clay_Offices!$A$2:$FZ$601,B544,$C$5)&amp;"","")</f>
        <v/>
      </c>
      <c r="D544" s="17">
        <f>IFERROR(INDEX(Clay_Offices!$A$2:$FZ$601,B544,$C$7)&amp;"","")</f>
        <v/>
      </c>
      <c r="E544" s="17">
        <f>IFERROR(INDEX(Clay_Offices!$A$2:$FZ$601,B544,$C$8)&amp;"","")</f>
        <v/>
      </c>
      <c r="F544" s="17">
        <f>IF(C544="","",IF(COUNTIF(Office_Log!$A$2:$A$201,C544)&gt;0,"Y","N"))</f>
        <v/>
      </c>
      <c r="G544" s="17">
        <f>IF(OR(C544="",AND(LEFT(C544,6)="SAMPLE",Config!$B$19&lt;&gt;"Y")),"",IF(IFERROR(INDEX(Lists!$J$2:$J$15,MATCH(D544,Lists!$I$2:$I$15,0)),-1)=-1,"status '"&amp;D544&amp;"' is not a CONTRACTS status",IF(AND(D544="signed",COUNTIF(signed_offices!$W$2:$W$51,C544)=0),"status signed but no signed_offices row"&amp;IF(F544="N"," and no tracker row",""),IF(AND(IFERROR(INDEX(Lists!$J$2:$J$15,MATCH(D544,Lists!$I$2:$I$15,0)),-1)&gt;=6,F544="N"),"status "&amp;D544&amp;" but no tracker row",IF(AND(E544="Y",D544&lt;&gt;"do_not_contact"),"do_not_contact = Y but status is "&amp;D544,IF(AND(D544="do_not_contact",E544&lt;&gt;"Y"),"status do_not_contact but do_not_contact is not Y",""))))))</f>
        <v/>
      </c>
      <c r="I544" s="17" t="n">
        <v>523</v>
      </c>
      <c r="J544" s="17">
        <f>IFERROR(INDEX(Clay_Brands!$A$2:$FZ$601,I544,$D$5)&amp;"","")</f>
        <v/>
      </c>
      <c r="K544" s="17">
        <f>IFERROR(INDEX(Clay_Brands!$A$2:$FZ$601,I544,$D$7)&amp;"","")</f>
        <v/>
      </c>
      <c r="L544" s="17">
        <f>IFERROR(INDEX(Clay_Brands!$A$2:$FZ$601,I544,$D$8)&amp;"","")</f>
        <v/>
      </c>
      <c r="M544" s="17">
        <f>IF(J544="","",IF(COUNTIF(Brand_Log!$A$2:$A$201,J544)&gt;0,"Y","N"))</f>
        <v/>
      </c>
      <c r="N544" s="17">
        <f>IF(OR(J544="",AND(LEFT(J544,6)="SAMPLE",Config!$B$19&lt;&gt;"Y")),"",IF(IFERROR(INDEX(Lists!$J$2:$J$15,MATCH(K544,Lists!$I$2:$I$15,0)),-1)=-1,"status '"&amp;K544&amp;"' is not a CONTRACTS status",IF(AND(K544="paid",COUNTIF(paid_brands!$AC$2:$AC$51,J544)=0),"status paid but no paid_brands row"&amp;IF(M544="N"," and no tracker row",""),IF(AND(IFERROR(INDEX(Lists!$J$2:$J$15,MATCH(K544,Lists!$I$2:$I$15,0)),-1)&gt;=6,M544="N"),"status "&amp;K544&amp;" but no tracker row",IF(AND(L544="Y",K544&lt;&gt;"do_not_contact"),"do_not_contact = Y but status is "&amp;K544,IF(AND(K544="do_not_contact",L544&lt;&gt;"Y"),"status do_not_contact but do_not_contact is not Y",""))))))</f>
        <v/>
      </c>
    </row>
    <row r="545">
      <c r="B545" s="17" t="n">
        <v>524</v>
      </c>
      <c r="C545" s="17">
        <f>IFERROR(INDEX(Clay_Offices!$A$2:$FZ$601,B545,$C$5)&amp;"","")</f>
        <v/>
      </c>
      <c r="D545" s="17">
        <f>IFERROR(INDEX(Clay_Offices!$A$2:$FZ$601,B545,$C$7)&amp;"","")</f>
        <v/>
      </c>
      <c r="E545" s="17">
        <f>IFERROR(INDEX(Clay_Offices!$A$2:$FZ$601,B545,$C$8)&amp;"","")</f>
        <v/>
      </c>
      <c r="F545" s="17">
        <f>IF(C545="","",IF(COUNTIF(Office_Log!$A$2:$A$201,C545)&gt;0,"Y","N"))</f>
        <v/>
      </c>
      <c r="G545" s="17">
        <f>IF(OR(C545="",AND(LEFT(C545,6)="SAMPLE",Config!$B$19&lt;&gt;"Y")),"",IF(IFERROR(INDEX(Lists!$J$2:$J$15,MATCH(D545,Lists!$I$2:$I$15,0)),-1)=-1,"status '"&amp;D545&amp;"' is not a CONTRACTS status",IF(AND(D545="signed",COUNTIF(signed_offices!$W$2:$W$51,C545)=0),"status signed but no signed_offices row"&amp;IF(F545="N"," and no tracker row",""),IF(AND(IFERROR(INDEX(Lists!$J$2:$J$15,MATCH(D545,Lists!$I$2:$I$15,0)),-1)&gt;=6,F545="N"),"status "&amp;D545&amp;" but no tracker row",IF(AND(E545="Y",D545&lt;&gt;"do_not_contact"),"do_not_contact = Y but status is "&amp;D545,IF(AND(D545="do_not_contact",E545&lt;&gt;"Y"),"status do_not_contact but do_not_contact is not Y",""))))))</f>
        <v/>
      </c>
      <c r="I545" s="17" t="n">
        <v>524</v>
      </c>
      <c r="J545" s="17">
        <f>IFERROR(INDEX(Clay_Brands!$A$2:$FZ$601,I545,$D$5)&amp;"","")</f>
        <v/>
      </c>
      <c r="K545" s="17">
        <f>IFERROR(INDEX(Clay_Brands!$A$2:$FZ$601,I545,$D$7)&amp;"","")</f>
        <v/>
      </c>
      <c r="L545" s="17">
        <f>IFERROR(INDEX(Clay_Brands!$A$2:$FZ$601,I545,$D$8)&amp;"","")</f>
        <v/>
      </c>
      <c r="M545" s="17">
        <f>IF(J545="","",IF(COUNTIF(Brand_Log!$A$2:$A$201,J545)&gt;0,"Y","N"))</f>
        <v/>
      </c>
      <c r="N545" s="17">
        <f>IF(OR(J545="",AND(LEFT(J545,6)="SAMPLE",Config!$B$19&lt;&gt;"Y")),"",IF(IFERROR(INDEX(Lists!$J$2:$J$15,MATCH(K545,Lists!$I$2:$I$15,0)),-1)=-1,"status '"&amp;K545&amp;"' is not a CONTRACTS status",IF(AND(K545="paid",COUNTIF(paid_brands!$AC$2:$AC$51,J545)=0),"status paid but no paid_brands row"&amp;IF(M545="N"," and no tracker row",""),IF(AND(IFERROR(INDEX(Lists!$J$2:$J$15,MATCH(K545,Lists!$I$2:$I$15,0)),-1)&gt;=6,M545="N"),"status "&amp;K545&amp;" but no tracker row",IF(AND(L545="Y",K545&lt;&gt;"do_not_contact"),"do_not_contact = Y but status is "&amp;K545,IF(AND(K545="do_not_contact",L545&lt;&gt;"Y"),"status do_not_contact but do_not_contact is not Y",""))))))</f>
        <v/>
      </c>
    </row>
    <row r="546">
      <c r="B546" s="17" t="n">
        <v>525</v>
      </c>
      <c r="C546" s="17">
        <f>IFERROR(INDEX(Clay_Offices!$A$2:$FZ$601,B546,$C$5)&amp;"","")</f>
        <v/>
      </c>
      <c r="D546" s="17">
        <f>IFERROR(INDEX(Clay_Offices!$A$2:$FZ$601,B546,$C$7)&amp;"","")</f>
        <v/>
      </c>
      <c r="E546" s="17">
        <f>IFERROR(INDEX(Clay_Offices!$A$2:$FZ$601,B546,$C$8)&amp;"","")</f>
        <v/>
      </c>
      <c r="F546" s="17">
        <f>IF(C546="","",IF(COUNTIF(Office_Log!$A$2:$A$201,C546)&gt;0,"Y","N"))</f>
        <v/>
      </c>
      <c r="G546" s="17">
        <f>IF(OR(C546="",AND(LEFT(C546,6)="SAMPLE",Config!$B$19&lt;&gt;"Y")),"",IF(IFERROR(INDEX(Lists!$J$2:$J$15,MATCH(D546,Lists!$I$2:$I$15,0)),-1)=-1,"status '"&amp;D546&amp;"' is not a CONTRACTS status",IF(AND(D546="signed",COUNTIF(signed_offices!$W$2:$W$51,C546)=0),"status signed but no signed_offices row"&amp;IF(F546="N"," and no tracker row",""),IF(AND(IFERROR(INDEX(Lists!$J$2:$J$15,MATCH(D546,Lists!$I$2:$I$15,0)),-1)&gt;=6,F546="N"),"status "&amp;D546&amp;" but no tracker row",IF(AND(E546="Y",D546&lt;&gt;"do_not_contact"),"do_not_contact = Y but status is "&amp;D546,IF(AND(D546="do_not_contact",E546&lt;&gt;"Y"),"status do_not_contact but do_not_contact is not Y",""))))))</f>
        <v/>
      </c>
      <c r="I546" s="17" t="n">
        <v>525</v>
      </c>
      <c r="J546" s="17">
        <f>IFERROR(INDEX(Clay_Brands!$A$2:$FZ$601,I546,$D$5)&amp;"","")</f>
        <v/>
      </c>
      <c r="K546" s="17">
        <f>IFERROR(INDEX(Clay_Brands!$A$2:$FZ$601,I546,$D$7)&amp;"","")</f>
        <v/>
      </c>
      <c r="L546" s="17">
        <f>IFERROR(INDEX(Clay_Brands!$A$2:$FZ$601,I546,$D$8)&amp;"","")</f>
        <v/>
      </c>
      <c r="M546" s="17">
        <f>IF(J546="","",IF(COUNTIF(Brand_Log!$A$2:$A$201,J546)&gt;0,"Y","N"))</f>
        <v/>
      </c>
      <c r="N546" s="17">
        <f>IF(OR(J546="",AND(LEFT(J546,6)="SAMPLE",Config!$B$19&lt;&gt;"Y")),"",IF(IFERROR(INDEX(Lists!$J$2:$J$15,MATCH(K546,Lists!$I$2:$I$15,0)),-1)=-1,"status '"&amp;K546&amp;"' is not a CONTRACTS status",IF(AND(K546="paid",COUNTIF(paid_brands!$AC$2:$AC$51,J546)=0),"status paid but no paid_brands row"&amp;IF(M546="N"," and no tracker row",""),IF(AND(IFERROR(INDEX(Lists!$J$2:$J$15,MATCH(K546,Lists!$I$2:$I$15,0)),-1)&gt;=6,M546="N"),"status "&amp;K546&amp;" but no tracker row",IF(AND(L546="Y",K546&lt;&gt;"do_not_contact"),"do_not_contact = Y but status is "&amp;K546,IF(AND(K546="do_not_contact",L546&lt;&gt;"Y"),"status do_not_contact but do_not_contact is not Y",""))))))</f>
        <v/>
      </c>
    </row>
    <row r="547">
      <c r="B547" s="17" t="n">
        <v>526</v>
      </c>
      <c r="C547" s="17">
        <f>IFERROR(INDEX(Clay_Offices!$A$2:$FZ$601,B547,$C$5)&amp;"","")</f>
        <v/>
      </c>
      <c r="D547" s="17">
        <f>IFERROR(INDEX(Clay_Offices!$A$2:$FZ$601,B547,$C$7)&amp;"","")</f>
        <v/>
      </c>
      <c r="E547" s="17">
        <f>IFERROR(INDEX(Clay_Offices!$A$2:$FZ$601,B547,$C$8)&amp;"","")</f>
        <v/>
      </c>
      <c r="F547" s="17">
        <f>IF(C547="","",IF(COUNTIF(Office_Log!$A$2:$A$201,C547)&gt;0,"Y","N"))</f>
        <v/>
      </c>
      <c r="G547" s="17">
        <f>IF(OR(C547="",AND(LEFT(C547,6)="SAMPLE",Config!$B$19&lt;&gt;"Y")),"",IF(IFERROR(INDEX(Lists!$J$2:$J$15,MATCH(D547,Lists!$I$2:$I$15,0)),-1)=-1,"status '"&amp;D547&amp;"' is not a CONTRACTS status",IF(AND(D547="signed",COUNTIF(signed_offices!$W$2:$W$51,C547)=0),"status signed but no signed_offices row"&amp;IF(F547="N"," and no tracker row",""),IF(AND(IFERROR(INDEX(Lists!$J$2:$J$15,MATCH(D547,Lists!$I$2:$I$15,0)),-1)&gt;=6,F547="N"),"status "&amp;D547&amp;" but no tracker row",IF(AND(E547="Y",D547&lt;&gt;"do_not_contact"),"do_not_contact = Y but status is "&amp;D547,IF(AND(D547="do_not_contact",E547&lt;&gt;"Y"),"status do_not_contact but do_not_contact is not Y",""))))))</f>
        <v/>
      </c>
      <c r="I547" s="17" t="n">
        <v>526</v>
      </c>
      <c r="J547" s="17">
        <f>IFERROR(INDEX(Clay_Brands!$A$2:$FZ$601,I547,$D$5)&amp;"","")</f>
        <v/>
      </c>
      <c r="K547" s="17">
        <f>IFERROR(INDEX(Clay_Brands!$A$2:$FZ$601,I547,$D$7)&amp;"","")</f>
        <v/>
      </c>
      <c r="L547" s="17">
        <f>IFERROR(INDEX(Clay_Brands!$A$2:$FZ$601,I547,$D$8)&amp;"","")</f>
        <v/>
      </c>
      <c r="M547" s="17">
        <f>IF(J547="","",IF(COUNTIF(Brand_Log!$A$2:$A$201,J547)&gt;0,"Y","N"))</f>
        <v/>
      </c>
      <c r="N547" s="17">
        <f>IF(OR(J547="",AND(LEFT(J547,6)="SAMPLE",Config!$B$19&lt;&gt;"Y")),"",IF(IFERROR(INDEX(Lists!$J$2:$J$15,MATCH(K547,Lists!$I$2:$I$15,0)),-1)=-1,"status '"&amp;K547&amp;"' is not a CONTRACTS status",IF(AND(K547="paid",COUNTIF(paid_brands!$AC$2:$AC$51,J547)=0),"status paid but no paid_brands row"&amp;IF(M547="N"," and no tracker row",""),IF(AND(IFERROR(INDEX(Lists!$J$2:$J$15,MATCH(K547,Lists!$I$2:$I$15,0)),-1)&gt;=6,M547="N"),"status "&amp;K547&amp;" but no tracker row",IF(AND(L547="Y",K547&lt;&gt;"do_not_contact"),"do_not_contact = Y but status is "&amp;K547,IF(AND(K547="do_not_contact",L547&lt;&gt;"Y"),"status do_not_contact but do_not_contact is not Y",""))))))</f>
        <v/>
      </c>
    </row>
    <row r="548">
      <c r="B548" s="17" t="n">
        <v>527</v>
      </c>
      <c r="C548" s="17">
        <f>IFERROR(INDEX(Clay_Offices!$A$2:$FZ$601,B548,$C$5)&amp;"","")</f>
        <v/>
      </c>
      <c r="D548" s="17">
        <f>IFERROR(INDEX(Clay_Offices!$A$2:$FZ$601,B548,$C$7)&amp;"","")</f>
        <v/>
      </c>
      <c r="E548" s="17">
        <f>IFERROR(INDEX(Clay_Offices!$A$2:$FZ$601,B548,$C$8)&amp;"","")</f>
        <v/>
      </c>
      <c r="F548" s="17">
        <f>IF(C548="","",IF(COUNTIF(Office_Log!$A$2:$A$201,C548)&gt;0,"Y","N"))</f>
        <v/>
      </c>
      <c r="G548" s="17">
        <f>IF(OR(C548="",AND(LEFT(C548,6)="SAMPLE",Config!$B$19&lt;&gt;"Y")),"",IF(IFERROR(INDEX(Lists!$J$2:$J$15,MATCH(D548,Lists!$I$2:$I$15,0)),-1)=-1,"status '"&amp;D548&amp;"' is not a CONTRACTS status",IF(AND(D548="signed",COUNTIF(signed_offices!$W$2:$W$51,C548)=0),"status signed but no signed_offices row"&amp;IF(F548="N"," and no tracker row",""),IF(AND(IFERROR(INDEX(Lists!$J$2:$J$15,MATCH(D548,Lists!$I$2:$I$15,0)),-1)&gt;=6,F548="N"),"status "&amp;D548&amp;" but no tracker row",IF(AND(E548="Y",D548&lt;&gt;"do_not_contact"),"do_not_contact = Y but status is "&amp;D548,IF(AND(D548="do_not_contact",E548&lt;&gt;"Y"),"status do_not_contact but do_not_contact is not Y",""))))))</f>
        <v/>
      </c>
      <c r="I548" s="17" t="n">
        <v>527</v>
      </c>
      <c r="J548" s="17">
        <f>IFERROR(INDEX(Clay_Brands!$A$2:$FZ$601,I548,$D$5)&amp;"","")</f>
        <v/>
      </c>
      <c r="K548" s="17">
        <f>IFERROR(INDEX(Clay_Brands!$A$2:$FZ$601,I548,$D$7)&amp;"","")</f>
        <v/>
      </c>
      <c r="L548" s="17">
        <f>IFERROR(INDEX(Clay_Brands!$A$2:$FZ$601,I548,$D$8)&amp;"","")</f>
        <v/>
      </c>
      <c r="M548" s="17">
        <f>IF(J548="","",IF(COUNTIF(Brand_Log!$A$2:$A$201,J548)&gt;0,"Y","N"))</f>
        <v/>
      </c>
      <c r="N548" s="17">
        <f>IF(OR(J548="",AND(LEFT(J548,6)="SAMPLE",Config!$B$19&lt;&gt;"Y")),"",IF(IFERROR(INDEX(Lists!$J$2:$J$15,MATCH(K548,Lists!$I$2:$I$15,0)),-1)=-1,"status '"&amp;K548&amp;"' is not a CONTRACTS status",IF(AND(K548="paid",COUNTIF(paid_brands!$AC$2:$AC$51,J548)=0),"status paid but no paid_brands row"&amp;IF(M548="N"," and no tracker row",""),IF(AND(IFERROR(INDEX(Lists!$J$2:$J$15,MATCH(K548,Lists!$I$2:$I$15,0)),-1)&gt;=6,M548="N"),"status "&amp;K548&amp;" but no tracker row",IF(AND(L548="Y",K548&lt;&gt;"do_not_contact"),"do_not_contact = Y but status is "&amp;K548,IF(AND(K548="do_not_contact",L548&lt;&gt;"Y"),"status do_not_contact but do_not_contact is not Y",""))))))</f>
        <v/>
      </c>
    </row>
    <row r="549">
      <c r="B549" s="17" t="n">
        <v>528</v>
      </c>
      <c r="C549" s="17">
        <f>IFERROR(INDEX(Clay_Offices!$A$2:$FZ$601,B549,$C$5)&amp;"","")</f>
        <v/>
      </c>
      <c r="D549" s="17">
        <f>IFERROR(INDEX(Clay_Offices!$A$2:$FZ$601,B549,$C$7)&amp;"","")</f>
        <v/>
      </c>
      <c r="E549" s="17">
        <f>IFERROR(INDEX(Clay_Offices!$A$2:$FZ$601,B549,$C$8)&amp;"","")</f>
        <v/>
      </c>
      <c r="F549" s="17">
        <f>IF(C549="","",IF(COUNTIF(Office_Log!$A$2:$A$201,C549)&gt;0,"Y","N"))</f>
        <v/>
      </c>
      <c r="G549" s="17">
        <f>IF(OR(C549="",AND(LEFT(C549,6)="SAMPLE",Config!$B$19&lt;&gt;"Y")),"",IF(IFERROR(INDEX(Lists!$J$2:$J$15,MATCH(D549,Lists!$I$2:$I$15,0)),-1)=-1,"status '"&amp;D549&amp;"' is not a CONTRACTS status",IF(AND(D549="signed",COUNTIF(signed_offices!$W$2:$W$51,C549)=0),"status signed but no signed_offices row"&amp;IF(F549="N"," and no tracker row",""),IF(AND(IFERROR(INDEX(Lists!$J$2:$J$15,MATCH(D549,Lists!$I$2:$I$15,0)),-1)&gt;=6,F549="N"),"status "&amp;D549&amp;" but no tracker row",IF(AND(E549="Y",D549&lt;&gt;"do_not_contact"),"do_not_contact = Y but status is "&amp;D549,IF(AND(D549="do_not_contact",E549&lt;&gt;"Y"),"status do_not_contact but do_not_contact is not Y",""))))))</f>
        <v/>
      </c>
      <c r="I549" s="17" t="n">
        <v>528</v>
      </c>
      <c r="J549" s="17">
        <f>IFERROR(INDEX(Clay_Brands!$A$2:$FZ$601,I549,$D$5)&amp;"","")</f>
        <v/>
      </c>
      <c r="K549" s="17">
        <f>IFERROR(INDEX(Clay_Brands!$A$2:$FZ$601,I549,$D$7)&amp;"","")</f>
        <v/>
      </c>
      <c r="L549" s="17">
        <f>IFERROR(INDEX(Clay_Brands!$A$2:$FZ$601,I549,$D$8)&amp;"","")</f>
        <v/>
      </c>
      <c r="M549" s="17">
        <f>IF(J549="","",IF(COUNTIF(Brand_Log!$A$2:$A$201,J549)&gt;0,"Y","N"))</f>
        <v/>
      </c>
      <c r="N549" s="17">
        <f>IF(OR(J549="",AND(LEFT(J549,6)="SAMPLE",Config!$B$19&lt;&gt;"Y")),"",IF(IFERROR(INDEX(Lists!$J$2:$J$15,MATCH(K549,Lists!$I$2:$I$15,0)),-1)=-1,"status '"&amp;K549&amp;"' is not a CONTRACTS status",IF(AND(K549="paid",COUNTIF(paid_brands!$AC$2:$AC$51,J549)=0),"status paid but no paid_brands row"&amp;IF(M549="N"," and no tracker row",""),IF(AND(IFERROR(INDEX(Lists!$J$2:$J$15,MATCH(K549,Lists!$I$2:$I$15,0)),-1)&gt;=6,M549="N"),"status "&amp;K549&amp;" but no tracker row",IF(AND(L549="Y",K549&lt;&gt;"do_not_contact"),"do_not_contact = Y but status is "&amp;K549,IF(AND(K549="do_not_contact",L549&lt;&gt;"Y"),"status do_not_contact but do_not_contact is not Y",""))))))</f>
        <v/>
      </c>
    </row>
    <row r="550">
      <c r="B550" s="17" t="n">
        <v>529</v>
      </c>
      <c r="C550" s="17">
        <f>IFERROR(INDEX(Clay_Offices!$A$2:$FZ$601,B550,$C$5)&amp;"","")</f>
        <v/>
      </c>
      <c r="D550" s="17">
        <f>IFERROR(INDEX(Clay_Offices!$A$2:$FZ$601,B550,$C$7)&amp;"","")</f>
        <v/>
      </c>
      <c r="E550" s="17">
        <f>IFERROR(INDEX(Clay_Offices!$A$2:$FZ$601,B550,$C$8)&amp;"","")</f>
        <v/>
      </c>
      <c r="F550" s="17">
        <f>IF(C550="","",IF(COUNTIF(Office_Log!$A$2:$A$201,C550)&gt;0,"Y","N"))</f>
        <v/>
      </c>
      <c r="G550" s="17">
        <f>IF(OR(C550="",AND(LEFT(C550,6)="SAMPLE",Config!$B$19&lt;&gt;"Y")),"",IF(IFERROR(INDEX(Lists!$J$2:$J$15,MATCH(D550,Lists!$I$2:$I$15,0)),-1)=-1,"status '"&amp;D550&amp;"' is not a CONTRACTS status",IF(AND(D550="signed",COUNTIF(signed_offices!$W$2:$W$51,C550)=0),"status signed but no signed_offices row"&amp;IF(F550="N"," and no tracker row",""),IF(AND(IFERROR(INDEX(Lists!$J$2:$J$15,MATCH(D550,Lists!$I$2:$I$15,0)),-1)&gt;=6,F550="N"),"status "&amp;D550&amp;" but no tracker row",IF(AND(E550="Y",D550&lt;&gt;"do_not_contact"),"do_not_contact = Y but status is "&amp;D550,IF(AND(D550="do_not_contact",E550&lt;&gt;"Y"),"status do_not_contact but do_not_contact is not Y",""))))))</f>
        <v/>
      </c>
      <c r="I550" s="17" t="n">
        <v>529</v>
      </c>
      <c r="J550" s="17">
        <f>IFERROR(INDEX(Clay_Brands!$A$2:$FZ$601,I550,$D$5)&amp;"","")</f>
        <v/>
      </c>
      <c r="K550" s="17">
        <f>IFERROR(INDEX(Clay_Brands!$A$2:$FZ$601,I550,$D$7)&amp;"","")</f>
        <v/>
      </c>
      <c r="L550" s="17">
        <f>IFERROR(INDEX(Clay_Brands!$A$2:$FZ$601,I550,$D$8)&amp;"","")</f>
        <v/>
      </c>
      <c r="M550" s="17">
        <f>IF(J550="","",IF(COUNTIF(Brand_Log!$A$2:$A$201,J550)&gt;0,"Y","N"))</f>
        <v/>
      </c>
      <c r="N550" s="17">
        <f>IF(OR(J550="",AND(LEFT(J550,6)="SAMPLE",Config!$B$19&lt;&gt;"Y")),"",IF(IFERROR(INDEX(Lists!$J$2:$J$15,MATCH(K550,Lists!$I$2:$I$15,0)),-1)=-1,"status '"&amp;K550&amp;"' is not a CONTRACTS status",IF(AND(K550="paid",COUNTIF(paid_brands!$AC$2:$AC$51,J550)=0),"status paid but no paid_brands row"&amp;IF(M550="N"," and no tracker row",""),IF(AND(IFERROR(INDEX(Lists!$J$2:$J$15,MATCH(K550,Lists!$I$2:$I$15,0)),-1)&gt;=6,M550="N"),"status "&amp;K550&amp;" but no tracker row",IF(AND(L550="Y",K550&lt;&gt;"do_not_contact"),"do_not_contact = Y but status is "&amp;K550,IF(AND(K550="do_not_contact",L550&lt;&gt;"Y"),"status do_not_contact but do_not_contact is not Y",""))))))</f>
        <v/>
      </c>
    </row>
    <row r="551">
      <c r="B551" s="17" t="n">
        <v>530</v>
      </c>
      <c r="C551" s="17">
        <f>IFERROR(INDEX(Clay_Offices!$A$2:$FZ$601,B551,$C$5)&amp;"","")</f>
        <v/>
      </c>
      <c r="D551" s="17">
        <f>IFERROR(INDEX(Clay_Offices!$A$2:$FZ$601,B551,$C$7)&amp;"","")</f>
        <v/>
      </c>
      <c r="E551" s="17">
        <f>IFERROR(INDEX(Clay_Offices!$A$2:$FZ$601,B551,$C$8)&amp;"","")</f>
        <v/>
      </c>
      <c r="F551" s="17">
        <f>IF(C551="","",IF(COUNTIF(Office_Log!$A$2:$A$201,C551)&gt;0,"Y","N"))</f>
        <v/>
      </c>
      <c r="G551" s="17">
        <f>IF(OR(C551="",AND(LEFT(C551,6)="SAMPLE",Config!$B$19&lt;&gt;"Y")),"",IF(IFERROR(INDEX(Lists!$J$2:$J$15,MATCH(D551,Lists!$I$2:$I$15,0)),-1)=-1,"status '"&amp;D551&amp;"' is not a CONTRACTS status",IF(AND(D551="signed",COUNTIF(signed_offices!$W$2:$W$51,C551)=0),"status signed but no signed_offices row"&amp;IF(F551="N"," and no tracker row",""),IF(AND(IFERROR(INDEX(Lists!$J$2:$J$15,MATCH(D551,Lists!$I$2:$I$15,0)),-1)&gt;=6,F551="N"),"status "&amp;D551&amp;" but no tracker row",IF(AND(E551="Y",D551&lt;&gt;"do_not_contact"),"do_not_contact = Y but status is "&amp;D551,IF(AND(D551="do_not_contact",E551&lt;&gt;"Y"),"status do_not_contact but do_not_contact is not Y",""))))))</f>
        <v/>
      </c>
      <c r="I551" s="17" t="n">
        <v>530</v>
      </c>
      <c r="J551" s="17">
        <f>IFERROR(INDEX(Clay_Brands!$A$2:$FZ$601,I551,$D$5)&amp;"","")</f>
        <v/>
      </c>
      <c r="K551" s="17">
        <f>IFERROR(INDEX(Clay_Brands!$A$2:$FZ$601,I551,$D$7)&amp;"","")</f>
        <v/>
      </c>
      <c r="L551" s="17">
        <f>IFERROR(INDEX(Clay_Brands!$A$2:$FZ$601,I551,$D$8)&amp;"","")</f>
        <v/>
      </c>
      <c r="M551" s="17">
        <f>IF(J551="","",IF(COUNTIF(Brand_Log!$A$2:$A$201,J551)&gt;0,"Y","N"))</f>
        <v/>
      </c>
      <c r="N551" s="17">
        <f>IF(OR(J551="",AND(LEFT(J551,6)="SAMPLE",Config!$B$19&lt;&gt;"Y")),"",IF(IFERROR(INDEX(Lists!$J$2:$J$15,MATCH(K551,Lists!$I$2:$I$15,0)),-1)=-1,"status '"&amp;K551&amp;"' is not a CONTRACTS status",IF(AND(K551="paid",COUNTIF(paid_brands!$AC$2:$AC$51,J551)=0),"status paid but no paid_brands row"&amp;IF(M551="N"," and no tracker row",""),IF(AND(IFERROR(INDEX(Lists!$J$2:$J$15,MATCH(K551,Lists!$I$2:$I$15,0)),-1)&gt;=6,M551="N"),"status "&amp;K551&amp;" but no tracker row",IF(AND(L551="Y",K551&lt;&gt;"do_not_contact"),"do_not_contact = Y but status is "&amp;K551,IF(AND(K551="do_not_contact",L551&lt;&gt;"Y"),"status do_not_contact but do_not_contact is not Y",""))))))</f>
        <v/>
      </c>
    </row>
    <row r="552">
      <c r="B552" s="17" t="n">
        <v>531</v>
      </c>
      <c r="C552" s="17">
        <f>IFERROR(INDEX(Clay_Offices!$A$2:$FZ$601,B552,$C$5)&amp;"","")</f>
        <v/>
      </c>
      <c r="D552" s="17">
        <f>IFERROR(INDEX(Clay_Offices!$A$2:$FZ$601,B552,$C$7)&amp;"","")</f>
        <v/>
      </c>
      <c r="E552" s="17">
        <f>IFERROR(INDEX(Clay_Offices!$A$2:$FZ$601,B552,$C$8)&amp;"","")</f>
        <v/>
      </c>
      <c r="F552" s="17">
        <f>IF(C552="","",IF(COUNTIF(Office_Log!$A$2:$A$201,C552)&gt;0,"Y","N"))</f>
        <v/>
      </c>
      <c r="G552" s="17">
        <f>IF(OR(C552="",AND(LEFT(C552,6)="SAMPLE",Config!$B$19&lt;&gt;"Y")),"",IF(IFERROR(INDEX(Lists!$J$2:$J$15,MATCH(D552,Lists!$I$2:$I$15,0)),-1)=-1,"status '"&amp;D552&amp;"' is not a CONTRACTS status",IF(AND(D552="signed",COUNTIF(signed_offices!$W$2:$W$51,C552)=0),"status signed but no signed_offices row"&amp;IF(F552="N"," and no tracker row",""),IF(AND(IFERROR(INDEX(Lists!$J$2:$J$15,MATCH(D552,Lists!$I$2:$I$15,0)),-1)&gt;=6,F552="N"),"status "&amp;D552&amp;" but no tracker row",IF(AND(E552="Y",D552&lt;&gt;"do_not_contact"),"do_not_contact = Y but status is "&amp;D552,IF(AND(D552="do_not_contact",E552&lt;&gt;"Y"),"status do_not_contact but do_not_contact is not Y",""))))))</f>
        <v/>
      </c>
      <c r="I552" s="17" t="n">
        <v>531</v>
      </c>
      <c r="J552" s="17">
        <f>IFERROR(INDEX(Clay_Brands!$A$2:$FZ$601,I552,$D$5)&amp;"","")</f>
        <v/>
      </c>
      <c r="K552" s="17">
        <f>IFERROR(INDEX(Clay_Brands!$A$2:$FZ$601,I552,$D$7)&amp;"","")</f>
        <v/>
      </c>
      <c r="L552" s="17">
        <f>IFERROR(INDEX(Clay_Brands!$A$2:$FZ$601,I552,$D$8)&amp;"","")</f>
        <v/>
      </c>
      <c r="M552" s="17">
        <f>IF(J552="","",IF(COUNTIF(Brand_Log!$A$2:$A$201,J552)&gt;0,"Y","N"))</f>
        <v/>
      </c>
      <c r="N552" s="17">
        <f>IF(OR(J552="",AND(LEFT(J552,6)="SAMPLE",Config!$B$19&lt;&gt;"Y")),"",IF(IFERROR(INDEX(Lists!$J$2:$J$15,MATCH(K552,Lists!$I$2:$I$15,0)),-1)=-1,"status '"&amp;K552&amp;"' is not a CONTRACTS status",IF(AND(K552="paid",COUNTIF(paid_brands!$AC$2:$AC$51,J552)=0),"status paid but no paid_brands row"&amp;IF(M552="N"," and no tracker row",""),IF(AND(IFERROR(INDEX(Lists!$J$2:$J$15,MATCH(K552,Lists!$I$2:$I$15,0)),-1)&gt;=6,M552="N"),"status "&amp;K552&amp;" but no tracker row",IF(AND(L552="Y",K552&lt;&gt;"do_not_contact"),"do_not_contact = Y but status is "&amp;K552,IF(AND(K552="do_not_contact",L552&lt;&gt;"Y"),"status do_not_contact but do_not_contact is not Y",""))))))</f>
        <v/>
      </c>
    </row>
    <row r="553">
      <c r="B553" s="17" t="n">
        <v>532</v>
      </c>
      <c r="C553" s="17">
        <f>IFERROR(INDEX(Clay_Offices!$A$2:$FZ$601,B553,$C$5)&amp;"","")</f>
        <v/>
      </c>
      <c r="D553" s="17">
        <f>IFERROR(INDEX(Clay_Offices!$A$2:$FZ$601,B553,$C$7)&amp;"","")</f>
        <v/>
      </c>
      <c r="E553" s="17">
        <f>IFERROR(INDEX(Clay_Offices!$A$2:$FZ$601,B553,$C$8)&amp;"","")</f>
        <v/>
      </c>
      <c r="F553" s="17">
        <f>IF(C553="","",IF(COUNTIF(Office_Log!$A$2:$A$201,C553)&gt;0,"Y","N"))</f>
        <v/>
      </c>
      <c r="G553" s="17">
        <f>IF(OR(C553="",AND(LEFT(C553,6)="SAMPLE",Config!$B$19&lt;&gt;"Y")),"",IF(IFERROR(INDEX(Lists!$J$2:$J$15,MATCH(D553,Lists!$I$2:$I$15,0)),-1)=-1,"status '"&amp;D553&amp;"' is not a CONTRACTS status",IF(AND(D553="signed",COUNTIF(signed_offices!$W$2:$W$51,C553)=0),"status signed but no signed_offices row"&amp;IF(F553="N"," and no tracker row",""),IF(AND(IFERROR(INDEX(Lists!$J$2:$J$15,MATCH(D553,Lists!$I$2:$I$15,0)),-1)&gt;=6,F553="N"),"status "&amp;D553&amp;" but no tracker row",IF(AND(E553="Y",D553&lt;&gt;"do_not_contact"),"do_not_contact = Y but status is "&amp;D553,IF(AND(D553="do_not_contact",E553&lt;&gt;"Y"),"status do_not_contact but do_not_contact is not Y",""))))))</f>
        <v/>
      </c>
      <c r="I553" s="17" t="n">
        <v>532</v>
      </c>
      <c r="J553" s="17">
        <f>IFERROR(INDEX(Clay_Brands!$A$2:$FZ$601,I553,$D$5)&amp;"","")</f>
        <v/>
      </c>
      <c r="K553" s="17">
        <f>IFERROR(INDEX(Clay_Brands!$A$2:$FZ$601,I553,$D$7)&amp;"","")</f>
        <v/>
      </c>
      <c r="L553" s="17">
        <f>IFERROR(INDEX(Clay_Brands!$A$2:$FZ$601,I553,$D$8)&amp;"","")</f>
        <v/>
      </c>
      <c r="M553" s="17">
        <f>IF(J553="","",IF(COUNTIF(Brand_Log!$A$2:$A$201,J553)&gt;0,"Y","N"))</f>
        <v/>
      </c>
      <c r="N553" s="17">
        <f>IF(OR(J553="",AND(LEFT(J553,6)="SAMPLE",Config!$B$19&lt;&gt;"Y")),"",IF(IFERROR(INDEX(Lists!$J$2:$J$15,MATCH(K553,Lists!$I$2:$I$15,0)),-1)=-1,"status '"&amp;K553&amp;"' is not a CONTRACTS status",IF(AND(K553="paid",COUNTIF(paid_brands!$AC$2:$AC$51,J553)=0),"status paid but no paid_brands row"&amp;IF(M553="N"," and no tracker row",""),IF(AND(IFERROR(INDEX(Lists!$J$2:$J$15,MATCH(K553,Lists!$I$2:$I$15,0)),-1)&gt;=6,M553="N"),"status "&amp;K553&amp;" but no tracker row",IF(AND(L553="Y",K553&lt;&gt;"do_not_contact"),"do_not_contact = Y but status is "&amp;K553,IF(AND(K553="do_not_contact",L553&lt;&gt;"Y"),"status do_not_contact but do_not_contact is not Y",""))))))</f>
        <v/>
      </c>
    </row>
    <row r="554">
      <c r="B554" s="17" t="n">
        <v>533</v>
      </c>
      <c r="C554" s="17">
        <f>IFERROR(INDEX(Clay_Offices!$A$2:$FZ$601,B554,$C$5)&amp;"","")</f>
        <v/>
      </c>
      <c r="D554" s="17">
        <f>IFERROR(INDEX(Clay_Offices!$A$2:$FZ$601,B554,$C$7)&amp;"","")</f>
        <v/>
      </c>
      <c r="E554" s="17">
        <f>IFERROR(INDEX(Clay_Offices!$A$2:$FZ$601,B554,$C$8)&amp;"","")</f>
        <v/>
      </c>
      <c r="F554" s="17">
        <f>IF(C554="","",IF(COUNTIF(Office_Log!$A$2:$A$201,C554)&gt;0,"Y","N"))</f>
        <v/>
      </c>
      <c r="G554" s="17">
        <f>IF(OR(C554="",AND(LEFT(C554,6)="SAMPLE",Config!$B$19&lt;&gt;"Y")),"",IF(IFERROR(INDEX(Lists!$J$2:$J$15,MATCH(D554,Lists!$I$2:$I$15,0)),-1)=-1,"status '"&amp;D554&amp;"' is not a CONTRACTS status",IF(AND(D554="signed",COUNTIF(signed_offices!$W$2:$W$51,C554)=0),"status signed but no signed_offices row"&amp;IF(F554="N"," and no tracker row",""),IF(AND(IFERROR(INDEX(Lists!$J$2:$J$15,MATCH(D554,Lists!$I$2:$I$15,0)),-1)&gt;=6,F554="N"),"status "&amp;D554&amp;" but no tracker row",IF(AND(E554="Y",D554&lt;&gt;"do_not_contact"),"do_not_contact = Y but status is "&amp;D554,IF(AND(D554="do_not_contact",E554&lt;&gt;"Y"),"status do_not_contact but do_not_contact is not Y",""))))))</f>
        <v/>
      </c>
      <c r="I554" s="17" t="n">
        <v>533</v>
      </c>
      <c r="J554" s="17">
        <f>IFERROR(INDEX(Clay_Brands!$A$2:$FZ$601,I554,$D$5)&amp;"","")</f>
        <v/>
      </c>
      <c r="K554" s="17">
        <f>IFERROR(INDEX(Clay_Brands!$A$2:$FZ$601,I554,$D$7)&amp;"","")</f>
        <v/>
      </c>
      <c r="L554" s="17">
        <f>IFERROR(INDEX(Clay_Brands!$A$2:$FZ$601,I554,$D$8)&amp;"","")</f>
        <v/>
      </c>
      <c r="M554" s="17">
        <f>IF(J554="","",IF(COUNTIF(Brand_Log!$A$2:$A$201,J554)&gt;0,"Y","N"))</f>
        <v/>
      </c>
      <c r="N554" s="17">
        <f>IF(OR(J554="",AND(LEFT(J554,6)="SAMPLE",Config!$B$19&lt;&gt;"Y")),"",IF(IFERROR(INDEX(Lists!$J$2:$J$15,MATCH(K554,Lists!$I$2:$I$15,0)),-1)=-1,"status '"&amp;K554&amp;"' is not a CONTRACTS status",IF(AND(K554="paid",COUNTIF(paid_brands!$AC$2:$AC$51,J554)=0),"status paid but no paid_brands row"&amp;IF(M554="N"," and no tracker row",""),IF(AND(IFERROR(INDEX(Lists!$J$2:$J$15,MATCH(K554,Lists!$I$2:$I$15,0)),-1)&gt;=6,M554="N"),"status "&amp;K554&amp;" but no tracker row",IF(AND(L554="Y",K554&lt;&gt;"do_not_contact"),"do_not_contact = Y but status is "&amp;K554,IF(AND(K554="do_not_contact",L554&lt;&gt;"Y"),"status do_not_contact but do_not_contact is not Y",""))))))</f>
        <v/>
      </c>
    </row>
    <row r="555">
      <c r="B555" s="17" t="n">
        <v>534</v>
      </c>
      <c r="C555" s="17">
        <f>IFERROR(INDEX(Clay_Offices!$A$2:$FZ$601,B555,$C$5)&amp;"","")</f>
        <v/>
      </c>
      <c r="D555" s="17">
        <f>IFERROR(INDEX(Clay_Offices!$A$2:$FZ$601,B555,$C$7)&amp;"","")</f>
        <v/>
      </c>
      <c r="E555" s="17">
        <f>IFERROR(INDEX(Clay_Offices!$A$2:$FZ$601,B555,$C$8)&amp;"","")</f>
        <v/>
      </c>
      <c r="F555" s="17">
        <f>IF(C555="","",IF(COUNTIF(Office_Log!$A$2:$A$201,C555)&gt;0,"Y","N"))</f>
        <v/>
      </c>
      <c r="G555" s="17">
        <f>IF(OR(C555="",AND(LEFT(C555,6)="SAMPLE",Config!$B$19&lt;&gt;"Y")),"",IF(IFERROR(INDEX(Lists!$J$2:$J$15,MATCH(D555,Lists!$I$2:$I$15,0)),-1)=-1,"status '"&amp;D555&amp;"' is not a CONTRACTS status",IF(AND(D555="signed",COUNTIF(signed_offices!$W$2:$W$51,C555)=0),"status signed but no signed_offices row"&amp;IF(F555="N"," and no tracker row",""),IF(AND(IFERROR(INDEX(Lists!$J$2:$J$15,MATCH(D555,Lists!$I$2:$I$15,0)),-1)&gt;=6,F555="N"),"status "&amp;D555&amp;" but no tracker row",IF(AND(E555="Y",D555&lt;&gt;"do_not_contact"),"do_not_contact = Y but status is "&amp;D555,IF(AND(D555="do_not_contact",E555&lt;&gt;"Y"),"status do_not_contact but do_not_contact is not Y",""))))))</f>
        <v/>
      </c>
      <c r="I555" s="17" t="n">
        <v>534</v>
      </c>
      <c r="J555" s="17">
        <f>IFERROR(INDEX(Clay_Brands!$A$2:$FZ$601,I555,$D$5)&amp;"","")</f>
        <v/>
      </c>
      <c r="K555" s="17">
        <f>IFERROR(INDEX(Clay_Brands!$A$2:$FZ$601,I555,$D$7)&amp;"","")</f>
        <v/>
      </c>
      <c r="L555" s="17">
        <f>IFERROR(INDEX(Clay_Brands!$A$2:$FZ$601,I555,$D$8)&amp;"","")</f>
        <v/>
      </c>
      <c r="M555" s="17">
        <f>IF(J555="","",IF(COUNTIF(Brand_Log!$A$2:$A$201,J555)&gt;0,"Y","N"))</f>
        <v/>
      </c>
      <c r="N555" s="17">
        <f>IF(OR(J555="",AND(LEFT(J555,6)="SAMPLE",Config!$B$19&lt;&gt;"Y")),"",IF(IFERROR(INDEX(Lists!$J$2:$J$15,MATCH(K555,Lists!$I$2:$I$15,0)),-1)=-1,"status '"&amp;K555&amp;"' is not a CONTRACTS status",IF(AND(K555="paid",COUNTIF(paid_brands!$AC$2:$AC$51,J555)=0),"status paid but no paid_brands row"&amp;IF(M555="N"," and no tracker row",""),IF(AND(IFERROR(INDEX(Lists!$J$2:$J$15,MATCH(K555,Lists!$I$2:$I$15,0)),-1)&gt;=6,M555="N"),"status "&amp;K555&amp;" but no tracker row",IF(AND(L555="Y",K555&lt;&gt;"do_not_contact"),"do_not_contact = Y but status is "&amp;K555,IF(AND(K555="do_not_contact",L555&lt;&gt;"Y"),"status do_not_contact but do_not_contact is not Y",""))))))</f>
        <v/>
      </c>
    </row>
    <row r="556">
      <c r="B556" s="17" t="n">
        <v>535</v>
      </c>
      <c r="C556" s="17">
        <f>IFERROR(INDEX(Clay_Offices!$A$2:$FZ$601,B556,$C$5)&amp;"","")</f>
        <v/>
      </c>
      <c r="D556" s="17">
        <f>IFERROR(INDEX(Clay_Offices!$A$2:$FZ$601,B556,$C$7)&amp;"","")</f>
        <v/>
      </c>
      <c r="E556" s="17">
        <f>IFERROR(INDEX(Clay_Offices!$A$2:$FZ$601,B556,$C$8)&amp;"","")</f>
        <v/>
      </c>
      <c r="F556" s="17">
        <f>IF(C556="","",IF(COUNTIF(Office_Log!$A$2:$A$201,C556)&gt;0,"Y","N"))</f>
        <v/>
      </c>
      <c r="G556" s="17">
        <f>IF(OR(C556="",AND(LEFT(C556,6)="SAMPLE",Config!$B$19&lt;&gt;"Y")),"",IF(IFERROR(INDEX(Lists!$J$2:$J$15,MATCH(D556,Lists!$I$2:$I$15,0)),-1)=-1,"status '"&amp;D556&amp;"' is not a CONTRACTS status",IF(AND(D556="signed",COUNTIF(signed_offices!$W$2:$W$51,C556)=0),"status signed but no signed_offices row"&amp;IF(F556="N"," and no tracker row",""),IF(AND(IFERROR(INDEX(Lists!$J$2:$J$15,MATCH(D556,Lists!$I$2:$I$15,0)),-1)&gt;=6,F556="N"),"status "&amp;D556&amp;" but no tracker row",IF(AND(E556="Y",D556&lt;&gt;"do_not_contact"),"do_not_contact = Y but status is "&amp;D556,IF(AND(D556="do_not_contact",E556&lt;&gt;"Y"),"status do_not_contact but do_not_contact is not Y",""))))))</f>
        <v/>
      </c>
      <c r="I556" s="17" t="n">
        <v>535</v>
      </c>
      <c r="J556" s="17">
        <f>IFERROR(INDEX(Clay_Brands!$A$2:$FZ$601,I556,$D$5)&amp;"","")</f>
        <v/>
      </c>
      <c r="K556" s="17">
        <f>IFERROR(INDEX(Clay_Brands!$A$2:$FZ$601,I556,$D$7)&amp;"","")</f>
        <v/>
      </c>
      <c r="L556" s="17">
        <f>IFERROR(INDEX(Clay_Brands!$A$2:$FZ$601,I556,$D$8)&amp;"","")</f>
        <v/>
      </c>
      <c r="M556" s="17">
        <f>IF(J556="","",IF(COUNTIF(Brand_Log!$A$2:$A$201,J556)&gt;0,"Y","N"))</f>
        <v/>
      </c>
      <c r="N556" s="17">
        <f>IF(OR(J556="",AND(LEFT(J556,6)="SAMPLE",Config!$B$19&lt;&gt;"Y")),"",IF(IFERROR(INDEX(Lists!$J$2:$J$15,MATCH(K556,Lists!$I$2:$I$15,0)),-1)=-1,"status '"&amp;K556&amp;"' is not a CONTRACTS status",IF(AND(K556="paid",COUNTIF(paid_brands!$AC$2:$AC$51,J556)=0),"status paid but no paid_brands row"&amp;IF(M556="N"," and no tracker row",""),IF(AND(IFERROR(INDEX(Lists!$J$2:$J$15,MATCH(K556,Lists!$I$2:$I$15,0)),-1)&gt;=6,M556="N"),"status "&amp;K556&amp;" but no tracker row",IF(AND(L556="Y",K556&lt;&gt;"do_not_contact"),"do_not_contact = Y but status is "&amp;K556,IF(AND(K556="do_not_contact",L556&lt;&gt;"Y"),"status do_not_contact but do_not_contact is not Y",""))))))</f>
        <v/>
      </c>
    </row>
    <row r="557">
      <c r="B557" s="17" t="n">
        <v>536</v>
      </c>
      <c r="C557" s="17">
        <f>IFERROR(INDEX(Clay_Offices!$A$2:$FZ$601,B557,$C$5)&amp;"","")</f>
        <v/>
      </c>
      <c r="D557" s="17">
        <f>IFERROR(INDEX(Clay_Offices!$A$2:$FZ$601,B557,$C$7)&amp;"","")</f>
        <v/>
      </c>
      <c r="E557" s="17">
        <f>IFERROR(INDEX(Clay_Offices!$A$2:$FZ$601,B557,$C$8)&amp;"","")</f>
        <v/>
      </c>
      <c r="F557" s="17">
        <f>IF(C557="","",IF(COUNTIF(Office_Log!$A$2:$A$201,C557)&gt;0,"Y","N"))</f>
        <v/>
      </c>
      <c r="G557" s="17">
        <f>IF(OR(C557="",AND(LEFT(C557,6)="SAMPLE",Config!$B$19&lt;&gt;"Y")),"",IF(IFERROR(INDEX(Lists!$J$2:$J$15,MATCH(D557,Lists!$I$2:$I$15,0)),-1)=-1,"status '"&amp;D557&amp;"' is not a CONTRACTS status",IF(AND(D557="signed",COUNTIF(signed_offices!$W$2:$W$51,C557)=0),"status signed but no signed_offices row"&amp;IF(F557="N"," and no tracker row",""),IF(AND(IFERROR(INDEX(Lists!$J$2:$J$15,MATCH(D557,Lists!$I$2:$I$15,0)),-1)&gt;=6,F557="N"),"status "&amp;D557&amp;" but no tracker row",IF(AND(E557="Y",D557&lt;&gt;"do_not_contact"),"do_not_contact = Y but status is "&amp;D557,IF(AND(D557="do_not_contact",E557&lt;&gt;"Y"),"status do_not_contact but do_not_contact is not Y",""))))))</f>
        <v/>
      </c>
      <c r="I557" s="17" t="n">
        <v>536</v>
      </c>
      <c r="J557" s="17">
        <f>IFERROR(INDEX(Clay_Brands!$A$2:$FZ$601,I557,$D$5)&amp;"","")</f>
        <v/>
      </c>
      <c r="K557" s="17">
        <f>IFERROR(INDEX(Clay_Brands!$A$2:$FZ$601,I557,$D$7)&amp;"","")</f>
        <v/>
      </c>
      <c r="L557" s="17">
        <f>IFERROR(INDEX(Clay_Brands!$A$2:$FZ$601,I557,$D$8)&amp;"","")</f>
        <v/>
      </c>
      <c r="M557" s="17">
        <f>IF(J557="","",IF(COUNTIF(Brand_Log!$A$2:$A$201,J557)&gt;0,"Y","N"))</f>
        <v/>
      </c>
      <c r="N557" s="17">
        <f>IF(OR(J557="",AND(LEFT(J557,6)="SAMPLE",Config!$B$19&lt;&gt;"Y")),"",IF(IFERROR(INDEX(Lists!$J$2:$J$15,MATCH(K557,Lists!$I$2:$I$15,0)),-1)=-1,"status '"&amp;K557&amp;"' is not a CONTRACTS status",IF(AND(K557="paid",COUNTIF(paid_brands!$AC$2:$AC$51,J557)=0),"status paid but no paid_brands row"&amp;IF(M557="N"," and no tracker row",""),IF(AND(IFERROR(INDEX(Lists!$J$2:$J$15,MATCH(K557,Lists!$I$2:$I$15,0)),-1)&gt;=6,M557="N"),"status "&amp;K557&amp;" but no tracker row",IF(AND(L557="Y",K557&lt;&gt;"do_not_contact"),"do_not_contact = Y but status is "&amp;K557,IF(AND(K557="do_not_contact",L557&lt;&gt;"Y"),"status do_not_contact but do_not_contact is not Y",""))))))</f>
        <v/>
      </c>
    </row>
    <row r="558">
      <c r="B558" s="17" t="n">
        <v>537</v>
      </c>
      <c r="C558" s="17">
        <f>IFERROR(INDEX(Clay_Offices!$A$2:$FZ$601,B558,$C$5)&amp;"","")</f>
        <v/>
      </c>
      <c r="D558" s="17">
        <f>IFERROR(INDEX(Clay_Offices!$A$2:$FZ$601,B558,$C$7)&amp;"","")</f>
        <v/>
      </c>
      <c r="E558" s="17">
        <f>IFERROR(INDEX(Clay_Offices!$A$2:$FZ$601,B558,$C$8)&amp;"","")</f>
        <v/>
      </c>
      <c r="F558" s="17">
        <f>IF(C558="","",IF(COUNTIF(Office_Log!$A$2:$A$201,C558)&gt;0,"Y","N"))</f>
        <v/>
      </c>
      <c r="G558" s="17">
        <f>IF(OR(C558="",AND(LEFT(C558,6)="SAMPLE",Config!$B$19&lt;&gt;"Y")),"",IF(IFERROR(INDEX(Lists!$J$2:$J$15,MATCH(D558,Lists!$I$2:$I$15,0)),-1)=-1,"status '"&amp;D558&amp;"' is not a CONTRACTS status",IF(AND(D558="signed",COUNTIF(signed_offices!$W$2:$W$51,C558)=0),"status signed but no signed_offices row"&amp;IF(F558="N"," and no tracker row",""),IF(AND(IFERROR(INDEX(Lists!$J$2:$J$15,MATCH(D558,Lists!$I$2:$I$15,0)),-1)&gt;=6,F558="N"),"status "&amp;D558&amp;" but no tracker row",IF(AND(E558="Y",D558&lt;&gt;"do_not_contact"),"do_not_contact = Y but status is "&amp;D558,IF(AND(D558="do_not_contact",E558&lt;&gt;"Y"),"status do_not_contact but do_not_contact is not Y",""))))))</f>
        <v/>
      </c>
      <c r="I558" s="17" t="n">
        <v>537</v>
      </c>
      <c r="J558" s="17">
        <f>IFERROR(INDEX(Clay_Brands!$A$2:$FZ$601,I558,$D$5)&amp;"","")</f>
        <v/>
      </c>
      <c r="K558" s="17">
        <f>IFERROR(INDEX(Clay_Brands!$A$2:$FZ$601,I558,$D$7)&amp;"","")</f>
        <v/>
      </c>
      <c r="L558" s="17">
        <f>IFERROR(INDEX(Clay_Brands!$A$2:$FZ$601,I558,$D$8)&amp;"","")</f>
        <v/>
      </c>
      <c r="M558" s="17">
        <f>IF(J558="","",IF(COUNTIF(Brand_Log!$A$2:$A$201,J558)&gt;0,"Y","N"))</f>
        <v/>
      </c>
      <c r="N558" s="17">
        <f>IF(OR(J558="",AND(LEFT(J558,6)="SAMPLE",Config!$B$19&lt;&gt;"Y")),"",IF(IFERROR(INDEX(Lists!$J$2:$J$15,MATCH(K558,Lists!$I$2:$I$15,0)),-1)=-1,"status '"&amp;K558&amp;"' is not a CONTRACTS status",IF(AND(K558="paid",COUNTIF(paid_brands!$AC$2:$AC$51,J558)=0),"status paid but no paid_brands row"&amp;IF(M558="N"," and no tracker row",""),IF(AND(IFERROR(INDEX(Lists!$J$2:$J$15,MATCH(K558,Lists!$I$2:$I$15,0)),-1)&gt;=6,M558="N"),"status "&amp;K558&amp;" but no tracker row",IF(AND(L558="Y",K558&lt;&gt;"do_not_contact"),"do_not_contact = Y but status is "&amp;K558,IF(AND(K558="do_not_contact",L558&lt;&gt;"Y"),"status do_not_contact but do_not_contact is not Y",""))))))</f>
        <v/>
      </c>
    </row>
    <row r="559">
      <c r="B559" s="17" t="n">
        <v>538</v>
      </c>
      <c r="C559" s="17">
        <f>IFERROR(INDEX(Clay_Offices!$A$2:$FZ$601,B559,$C$5)&amp;"","")</f>
        <v/>
      </c>
      <c r="D559" s="17">
        <f>IFERROR(INDEX(Clay_Offices!$A$2:$FZ$601,B559,$C$7)&amp;"","")</f>
        <v/>
      </c>
      <c r="E559" s="17">
        <f>IFERROR(INDEX(Clay_Offices!$A$2:$FZ$601,B559,$C$8)&amp;"","")</f>
        <v/>
      </c>
      <c r="F559" s="17">
        <f>IF(C559="","",IF(COUNTIF(Office_Log!$A$2:$A$201,C559)&gt;0,"Y","N"))</f>
        <v/>
      </c>
      <c r="G559" s="17">
        <f>IF(OR(C559="",AND(LEFT(C559,6)="SAMPLE",Config!$B$19&lt;&gt;"Y")),"",IF(IFERROR(INDEX(Lists!$J$2:$J$15,MATCH(D559,Lists!$I$2:$I$15,0)),-1)=-1,"status '"&amp;D559&amp;"' is not a CONTRACTS status",IF(AND(D559="signed",COUNTIF(signed_offices!$W$2:$W$51,C559)=0),"status signed but no signed_offices row"&amp;IF(F559="N"," and no tracker row",""),IF(AND(IFERROR(INDEX(Lists!$J$2:$J$15,MATCH(D559,Lists!$I$2:$I$15,0)),-1)&gt;=6,F559="N"),"status "&amp;D559&amp;" but no tracker row",IF(AND(E559="Y",D559&lt;&gt;"do_not_contact"),"do_not_contact = Y but status is "&amp;D559,IF(AND(D559="do_not_contact",E559&lt;&gt;"Y"),"status do_not_contact but do_not_contact is not Y",""))))))</f>
        <v/>
      </c>
      <c r="I559" s="17" t="n">
        <v>538</v>
      </c>
      <c r="J559" s="17">
        <f>IFERROR(INDEX(Clay_Brands!$A$2:$FZ$601,I559,$D$5)&amp;"","")</f>
        <v/>
      </c>
      <c r="K559" s="17">
        <f>IFERROR(INDEX(Clay_Brands!$A$2:$FZ$601,I559,$D$7)&amp;"","")</f>
        <v/>
      </c>
      <c r="L559" s="17">
        <f>IFERROR(INDEX(Clay_Brands!$A$2:$FZ$601,I559,$D$8)&amp;"","")</f>
        <v/>
      </c>
      <c r="M559" s="17">
        <f>IF(J559="","",IF(COUNTIF(Brand_Log!$A$2:$A$201,J559)&gt;0,"Y","N"))</f>
        <v/>
      </c>
      <c r="N559" s="17">
        <f>IF(OR(J559="",AND(LEFT(J559,6)="SAMPLE",Config!$B$19&lt;&gt;"Y")),"",IF(IFERROR(INDEX(Lists!$J$2:$J$15,MATCH(K559,Lists!$I$2:$I$15,0)),-1)=-1,"status '"&amp;K559&amp;"' is not a CONTRACTS status",IF(AND(K559="paid",COUNTIF(paid_brands!$AC$2:$AC$51,J559)=0),"status paid but no paid_brands row"&amp;IF(M559="N"," and no tracker row",""),IF(AND(IFERROR(INDEX(Lists!$J$2:$J$15,MATCH(K559,Lists!$I$2:$I$15,0)),-1)&gt;=6,M559="N"),"status "&amp;K559&amp;" but no tracker row",IF(AND(L559="Y",K559&lt;&gt;"do_not_contact"),"do_not_contact = Y but status is "&amp;K559,IF(AND(K559="do_not_contact",L559&lt;&gt;"Y"),"status do_not_contact but do_not_contact is not Y",""))))))</f>
        <v/>
      </c>
    </row>
    <row r="560">
      <c r="B560" s="17" t="n">
        <v>539</v>
      </c>
      <c r="C560" s="17">
        <f>IFERROR(INDEX(Clay_Offices!$A$2:$FZ$601,B560,$C$5)&amp;"","")</f>
        <v/>
      </c>
      <c r="D560" s="17">
        <f>IFERROR(INDEX(Clay_Offices!$A$2:$FZ$601,B560,$C$7)&amp;"","")</f>
        <v/>
      </c>
      <c r="E560" s="17">
        <f>IFERROR(INDEX(Clay_Offices!$A$2:$FZ$601,B560,$C$8)&amp;"","")</f>
        <v/>
      </c>
      <c r="F560" s="17">
        <f>IF(C560="","",IF(COUNTIF(Office_Log!$A$2:$A$201,C560)&gt;0,"Y","N"))</f>
        <v/>
      </c>
      <c r="G560" s="17">
        <f>IF(OR(C560="",AND(LEFT(C560,6)="SAMPLE",Config!$B$19&lt;&gt;"Y")),"",IF(IFERROR(INDEX(Lists!$J$2:$J$15,MATCH(D560,Lists!$I$2:$I$15,0)),-1)=-1,"status '"&amp;D560&amp;"' is not a CONTRACTS status",IF(AND(D560="signed",COUNTIF(signed_offices!$W$2:$W$51,C560)=0),"status signed but no signed_offices row"&amp;IF(F560="N"," and no tracker row",""),IF(AND(IFERROR(INDEX(Lists!$J$2:$J$15,MATCH(D560,Lists!$I$2:$I$15,0)),-1)&gt;=6,F560="N"),"status "&amp;D560&amp;" but no tracker row",IF(AND(E560="Y",D560&lt;&gt;"do_not_contact"),"do_not_contact = Y but status is "&amp;D560,IF(AND(D560="do_not_contact",E560&lt;&gt;"Y"),"status do_not_contact but do_not_contact is not Y",""))))))</f>
        <v/>
      </c>
      <c r="I560" s="17" t="n">
        <v>539</v>
      </c>
      <c r="J560" s="17">
        <f>IFERROR(INDEX(Clay_Brands!$A$2:$FZ$601,I560,$D$5)&amp;"","")</f>
        <v/>
      </c>
      <c r="K560" s="17">
        <f>IFERROR(INDEX(Clay_Brands!$A$2:$FZ$601,I560,$D$7)&amp;"","")</f>
        <v/>
      </c>
      <c r="L560" s="17">
        <f>IFERROR(INDEX(Clay_Brands!$A$2:$FZ$601,I560,$D$8)&amp;"","")</f>
        <v/>
      </c>
      <c r="M560" s="17">
        <f>IF(J560="","",IF(COUNTIF(Brand_Log!$A$2:$A$201,J560)&gt;0,"Y","N"))</f>
        <v/>
      </c>
      <c r="N560" s="17">
        <f>IF(OR(J560="",AND(LEFT(J560,6)="SAMPLE",Config!$B$19&lt;&gt;"Y")),"",IF(IFERROR(INDEX(Lists!$J$2:$J$15,MATCH(K560,Lists!$I$2:$I$15,0)),-1)=-1,"status '"&amp;K560&amp;"' is not a CONTRACTS status",IF(AND(K560="paid",COUNTIF(paid_brands!$AC$2:$AC$51,J560)=0),"status paid but no paid_brands row"&amp;IF(M560="N"," and no tracker row",""),IF(AND(IFERROR(INDEX(Lists!$J$2:$J$15,MATCH(K560,Lists!$I$2:$I$15,0)),-1)&gt;=6,M560="N"),"status "&amp;K560&amp;" but no tracker row",IF(AND(L560="Y",K560&lt;&gt;"do_not_contact"),"do_not_contact = Y but status is "&amp;K560,IF(AND(K560="do_not_contact",L560&lt;&gt;"Y"),"status do_not_contact but do_not_contact is not Y",""))))))</f>
        <v/>
      </c>
    </row>
    <row r="561">
      <c r="B561" s="17" t="n">
        <v>540</v>
      </c>
      <c r="C561" s="17">
        <f>IFERROR(INDEX(Clay_Offices!$A$2:$FZ$601,B561,$C$5)&amp;"","")</f>
        <v/>
      </c>
      <c r="D561" s="17">
        <f>IFERROR(INDEX(Clay_Offices!$A$2:$FZ$601,B561,$C$7)&amp;"","")</f>
        <v/>
      </c>
      <c r="E561" s="17">
        <f>IFERROR(INDEX(Clay_Offices!$A$2:$FZ$601,B561,$C$8)&amp;"","")</f>
        <v/>
      </c>
      <c r="F561" s="17">
        <f>IF(C561="","",IF(COUNTIF(Office_Log!$A$2:$A$201,C561)&gt;0,"Y","N"))</f>
        <v/>
      </c>
      <c r="G561" s="17">
        <f>IF(OR(C561="",AND(LEFT(C561,6)="SAMPLE",Config!$B$19&lt;&gt;"Y")),"",IF(IFERROR(INDEX(Lists!$J$2:$J$15,MATCH(D561,Lists!$I$2:$I$15,0)),-1)=-1,"status '"&amp;D561&amp;"' is not a CONTRACTS status",IF(AND(D561="signed",COUNTIF(signed_offices!$W$2:$W$51,C561)=0),"status signed but no signed_offices row"&amp;IF(F561="N"," and no tracker row",""),IF(AND(IFERROR(INDEX(Lists!$J$2:$J$15,MATCH(D561,Lists!$I$2:$I$15,0)),-1)&gt;=6,F561="N"),"status "&amp;D561&amp;" but no tracker row",IF(AND(E561="Y",D561&lt;&gt;"do_not_contact"),"do_not_contact = Y but status is "&amp;D561,IF(AND(D561="do_not_contact",E561&lt;&gt;"Y"),"status do_not_contact but do_not_contact is not Y",""))))))</f>
        <v/>
      </c>
      <c r="I561" s="17" t="n">
        <v>540</v>
      </c>
      <c r="J561" s="17">
        <f>IFERROR(INDEX(Clay_Brands!$A$2:$FZ$601,I561,$D$5)&amp;"","")</f>
        <v/>
      </c>
      <c r="K561" s="17">
        <f>IFERROR(INDEX(Clay_Brands!$A$2:$FZ$601,I561,$D$7)&amp;"","")</f>
        <v/>
      </c>
      <c r="L561" s="17">
        <f>IFERROR(INDEX(Clay_Brands!$A$2:$FZ$601,I561,$D$8)&amp;"","")</f>
        <v/>
      </c>
      <c r="M561" s="17">
        <f>IF(J561="","",IF(COUNTIF(Brand_Log!$A$2:$A$201,J561)&gt;0,"Y","N"))</f>
        <v/>
      </c>
      <c r="N561" s="17">
        <f>IF(OR(J561="",AND(LEFT(J561,6)="SAMPLE",Config!$B$19&lt;&gt;"Y")),"",IF(IFERROR(INDEX(Lists!$J$2:$J$15,MATCH(K561,Lists!$I$2:$I$15,0)),-1)=-1,"status '"&amp;K561&amp;"' is not a CONTRACTS status",IF(AND(K561="paid",COUNTIF(paid_brands!$AC$2:$AC$51,J561)=0),"status paid but no paid_brands row"&amp;IF(M561="N"," and no tracker row",""),IF(AND(IFERROR(INDEX(Lists!$J$2:$J$15,MATCH(K561,Lists!$I$2:$I$15,0)),-1)&gt;=6,M561="N"),"status "&amp;K561&amp;" but no tracker row",IF(AND(L561="Y",K561&lt;&gt;"do_not_contact"),"do_not_contact = Y but status is "&amp;K561,IF(AND(K561="do_not_contact",L561&lt;&gt;"Y"),"status do_not_contact but do_not_contact is not Y",""))))))</f>
        <v/>
      </c>
    </row>
    <row r="562">
      <c r="B562" s="17" t="n">
        <v>541</v>
      </c>
      <c r="C562" s="17">
        <f>IFERROR(INDEX(Clay_Offices!$A$2:$FZ$601,B562,$C$5)&amp;"","")</f>
        <v/>
      </c>
      <c r="D562" s="17">
        <f>IFERROR(INDEX(Clay_Offices!$A$2:$FZ$601,B562,$C$7)&amp;"","")</f>
        <v/>
      </c>
      <c r="E562" s="17">
        <f>IFERROR(INDEX(Clay_Offices!$A$2:$FZ$601,B562,$C$8)&amp;"","")</f>
        <v/>
      </c>
      <c r="F562" s="17">
        <f>IF(C562="","",IF(COUNTIF(Office_Log!$A$2:$A$201,C562)&gt;0,"Y","N"))</f>
        <v/>
      </c>
      <c r="G562" s="17">
        <f>IF(OR(C562="",AND(LEFT(C562,6)="SAMPLE",Config!$B$19&lt;&gt;"Y")),"",IF(IFERROR(INDEX(Lists!$J$2:$J$15,MATCH(D562,Lists!$I$2:$I$15,0)),-1)=-1,"status '"&amp;D562&amp;"' is not a CONTRACTS status",IF(AND(D562="signed",COUNTIF(signed_offices!$W$2:$W$51,C562)=0),"status signed but no signed_offices row"&amp;IF(F562="N"," and no tracker row",""),IF(AND(IFERROR(INDEX(Lists!$J$2:$J$15,MATCH(D562,Lists!$I$2:$I$15,0)),-1)&gt;=6,F562="N"),"status "&amp;D562&amp;" but no tracker row",IF(AND(E562="Y",D562&lt;&gt;"do_not_contact"),"do_not_contact = Y but status is "&amp;D562,IF(AND(D562="do_not_contact",E562&lt;&gt;"Y"),"status do_not_contact but do_not_contact is not Y",""))))))</f>
        <v/>
      </c>
      <c r="I562" s="17" t="n">
        <v>541</v>
      </c>
      <c r="J562" s="17">
        <f>IFERROR(INDEX(Clay_Brands!$A$2:$FZ$601,I562,$D$5)&amp;"","")</f>
        <v/>
      </c>
      <c r="K562" s="17">
        <f>IFERROR(INDEX(Clay_Brands!$A$2:$FZ$601,I562,$D$7)&amp;"","")</f>
        <v/>
      </c>
      <c r="L562" s="17">
        <f>IFERROR(INDEX(Clay_Brands!$A$2:$FZ$601,I562,$D$8)&amp;"","")</f>
        <v/>
      </c>
      <c r="M562" s="17">
        <f>IF(J562="","",IF(COUNTIF(Brand_Log!$A$2:$A$201,J562)&gt;0,"Y","N"))</f>
        <v/>
      </c>
      <c r="N562" s="17">
        <f>IF(OR(J562="",AND(LEFT(J562,6)="SAMPLE",Config!$B$19&lt;&gt;"Y")),"",IF(IFERROR(INDEX(Lists!$J$2:$J$15,MATCH(K562,Lists!$I$2:$I$15,0)),-1)=-1,"status '"&amp;K562&amp;"' is not a CONTRACTS status",IF(AND(K562="paid",COUNTIF(paid_brands!$AC$2:$AC$51,J562)=0),"status paid but no paid_brands row"&amp;IF(M562="N"," and no tracker row",""),IF(AND(IFERROR(INDEX(Lists!$J$2:$J$15,MATCH(K562,Lists!$I$2:$I$15,0)),-1)&gt;=6,M562="N"),"status "&amp;K562&amp;" but no tracker row",IF(AND(L562="Y",K562&lt;&gt;"do_not_contact"),"do_not_contact = Y but status is "&amp;K562,IF(AND(K562="do_not_contact",L562&lt;&gt;"Y"),"status do_not_contact but do_not_contact is not Y",""))))))</f>
        <v/>
      </c>
    </row>
    <row r="563">
      <c r="B563" s="17" t="n">
        <v>542</v>
      </c>
      <c r="C563" s="17">
        <f>IFERROR(INDEX(Clay_Offices!$A$2:$FZ$601,B563,$C$5)&amp;"","")</f>
        <v/>
      </c>
      <c r="D563" s="17">
        <f>IFERROR(INDEX(Clay_Offices!$A$2:$FZ$601,B563,$C$7)&amp;"","")</f>
        <v/>
      </c>
      <c r="E563" s="17">
        <f>IFERROR(INDEX(Clay_Offices!$A$2:$FZ$601,B563,$C$8)&amp;"","")</f>
        <v/>
      </c>
      <c r="F563" s="17">
        <f>IF(C563="","",IF(COUNTIF(Office_Log!$A$2:$A$201,C563)&gt;0,"Y","N"))</f>
        <v/>
      </c>
      <c r="G563" s="17">
        <f>IF(OR(C563="",AND(LEFT(C563,6)="SAMPLE",Config!$B$19&lt;&gt;"Y")),"",IF(IFERROR(INDEX(Lists!$J$2:$J$15,MATCH(D563,Lists!$I$2:$I$15,0)),-1)=-1,"status '"&amp;D563&amp;"' is not a CONTRACTS status",IF(AND(D563="signed",COUNTIF(signed_offices!$W$2:$W$51,C563)=0),"status signed but no signed_offices row"&amp;IF(F563="N"," and no tracker row",""),IF(AND(IFERROR(INDEX(Lists!$J$2:$J$15,MATCH(D563,Lists!$I$2:$I$15,0)),-1)&gt;=6,F563="N"),"status "&amp;D563&amp;" but no tracker row",IF(AND(E563="Y",D563&lt;&gt;"do_not_contact"),"do_not_contact = Y but status is "&amp;D563,IF(AND(D563="do_not_contact",E563&lt;&gt;"Y"),"status do_not_contact but do_not_contact is not Y",""))))))</f>
        <v/>
      </c>
      <c r="I563" s="17" t="n">
        <v>542</v>
      </c>
      <c r="J563" s="17">
        <f>IFERROR(INDEX(Clay_Brands!$A$2:$FZ$601,I563,$D$5)&amp;"","")</f>
        <v/>
      </c>
      <c r="K563" s="17">
        <f>IFERROR(INDEX(Clay_Brands!$A$2:$FZ$601,I563,$D$7)&amp;"","")</f>
        <v/>
      </c>
      <c r="L563" s="17">
        <f>IFERROR(INDEX(Clay_Brands!$A$2:$FZ$601,I563,$D$8)&amp;"","")</f>
        <v/>
      </c>
      <c r="M563" s="17">
        <f>IF(J563="","",IF(COUNTIF(Brand_Log!$A$2:$A$201,J563)&gt;0,"Y","N"))</f>
        <v/>
      </c>
      <c r="N563" s="17">
        <f>IF(OR(J563="",AND(LEFT(J563,6)="SAMPLE",Config!$B$19&lt;&gt;"Y")),"",IF(IFERROR(INDEX(Lists!$J$2:$J$15,MATCH(K563,Lists!$I$2:$I$15,0)),-1)=-1,"status '"&amp;K563&amp;"' is not a CONTRACTS status",IF(AND(K563="paid",COUNTIF(paid_brands!$AC$2:$AC$51,J563)=0),"status paid but no paid_brands row"&amp;IF(M563="N"," and no tracker row",""),IF(AND(IFERROR(INDEX(Lists!$J$2:$J$15,MATCH(K563,Lists!$I$2:$I$15,0)),-1)&gt;=6,M563="N"),"status "&amp;K563&amp;" but no tracker row",IF(AND(L563="Y",K563&lt;&gt;"do_not_contact"),"do_not_contact = Y but status is "&amp;K563,IF(AND(K563="do_not_contact",L563&lt;&gt;"Y"),"status do_not_contact but do_not_contact is not Y",""))))))</f>
        <v/>
      </c>
    </row>
    <row r="564">
      <c r="B564" s="17" t="n">
        <v>543</v>
      </c>
      <c r="C564" s="17">
        <f>IFERROR(INDEX(Clay_Offices!$A$2:$FZ$601,B564,$C$5)&amp;"","")</f>
        <v/>
      </c>
      <c r="D564" s="17">
        <f>IFERROR(INDEX(Clay_Offices!$A$2:$FZ$601,B564,$C$7)&amp;"","")</f>
        <v/>
      </c>
      <c r="E564" s="17">
        <f>IFERROR(INDEX(Clay_Offices!$A$2:$FZ$601,B564,$C$8)&amp;"","")</f>
        <v/>
      </c>
      <c r="F564" s="17">
        <f>IF(C564="","",IF(COUNTIF(Office_Log!$A$2:$A$201,C564)&gt;0,"Y","N"))</f>
        <v/>
      </c>
      <c r="G564" s="17">
        <f>IF(OR(C564="",AND(LEFT(C564,6)="SAMPLE",Config!$B$19&lt;&gt;"Y")),"",IF(IFERROR(INDEX(Lists!$J$2:$J$15,MATCH(D564,Lists!$I$2:$I$15,0)),-1)=-1,"status '"&amp;D564&amp;"' is not a CONTRACTS status",IF(AND(D564="signed",COUNTIF(signed_offices!$W$2:$W$51,C564)=0),"status signed but no signed_offices row"&amp;IF(F564="N"," and no tracker row",""),IF(AND(IFERROR(INDEX(Lists!$J$2:$J$15,MATCH(D564,Lists!$I$2:$I$15,0)),-1)&gt;=6,F564="N"),"status "&amp;D564&amp;" but no tracker row",IF(AND(E564="Y",D564&lt;&gt;"do_not_contact"),"do_not_contact = Y but status is "&amp;D564,IF(AND(D564="do_not_contact",E564&lt;&gt;"Y"),"status do_not_contact but do_not_contact is not Y",""))))))</f>
        <v/>
      </c>
      <c r="I564" s="17" t="n">
        <v>543</v>
      </c>
      <c r="J564" s="17">
        <f>IFERROR(INDEX(Clay_Brands!$A$2:$FZ$601,I564,$D$5)&amp;"","")</f>
        <v/>
      </c>
      <c r="K564" s="17">
        <f>IFERROR(INDEX(Clay_Brands!$A$2:$FZ$601,I564,$D$7)&amp;"","")</f>
        <v/>
      </c>
      <c r="L564" s="17">
        <f>IFERROR(INDEX(Clay_Brands!$A$2:$FZ$601,I564,$D$8)&amp;"","")</f>
        <v/>
      </c>
      <c r="M564" s="17">
        <f>IF(J564="","",IF(COUNTIF(Brand_Log!$A$2:$A$201,J564)&gt;0,"Y","N"))</f>
        <v/>
      </c>
      <c r="N564" s="17">
        <f>IF(OR(J564="",AND(LEFT(J564,6)="SAMPLE",Config!$B$19&lt;&gt;"Y")),"",IF(IFERROR(INDEX(Lists!$J$2:$J$15,MATCH(K564,Lists!$I$2:$I$15,0)),-1)=-1,"status '"&amp;K564&amp;"' is not a CONTRACTS status",IF(AND(K564="paid",COUNTIF(paid_brands!$AC$2:$AC$51,J564)=0),"status paid but no paid_brands row"&amp;IF(M564="N"," and no tracker row",""),IF(AND(IFERROR(INDEX(Lists!$J$2:$J$15,MATCH(K564,Lists!$I$2:$I$15,0)),-1)&gt;=6,M564="N"),"status "&amp;K564&amp;" but no tracker row",IF(AND(L564="Y",K564&lt;&gt;"do_not_contact"),"do_not_contact = Y but status is "&amp;K564,IF(AND(K564="do_not_contact",L564&lt;&gt;"Y"),"status do_not_contact but do_not_contact is not Y",""))))))</f>
        <v/>
      </c>
    </row>
    <row r="565">
      <c r="B565" s="17" t="n">
        <v>544</v>
      </c>
      <c r="C565" s="17">
        <f>IFERROR(INDEX(Clay_Offices!$A$2:$FZ$601,B565,$C$5)&amp;"","")</f>
        <v/>
      </c>
      <c r="D565" s="17">
        <f>IFERROR(INDEX(Clay_Offices!$A$2:$FZ$601,B565,$C$7)&amp;"","")</f>
        <v/>
      </c>
      <c r="E565" s="17">
        <f>IFERROR(INDEX(Clay_Offices!$A$2:$FZ$601,B565,$C$8)&amp;"","")</f>
        <v/>
      </c>
      <c r="F565" s="17">
        <f>IF(C565="","",IF(COUNTIF(Office_Log!$A$2:$A$201,C565)&gt;0,"Y","N"))</f>
        <v/>
      </c>
      <c r="G565" s="17">
        <f>IF(OR(C565="",AND(LEFT(C565,6)="SAMPLE",Config!$B$19&lt;&gt;"Y")),"",IF(IFERROR(INDEX(Lists!$J$2:$J$15,MATCH(D565,Lists!$I$2:$I$15,0)),-1)=-1,"status '"&amp;D565&amp;"' is not a CONTRACTS status",IF(AND(D565="signed",COUNTIF(signed_offices!$W$2:$W$51,C565)=0),"status signed but no signed_offices row"&amp;IF(F565="N"," and no tracker row",""),IF(AND(IFERROR(INDEX(Lists!$J$2:$J$15,MATCH(D565,Lists!$I$2:$I$15,0)),-1)&gt;=6,F565="N"),"status "&amp;D565&amp;" but no tracker row",IF(AND(E565="Y",D565&lt;&gt;"do_not_contact"),"do_not_contact = Y but status is "&amp;D565,IF(AND(D565="do_not_contact",E565&lt;&gt;"Y"),"status do_not_contact but do_not_contact is not Y",""))))))</f>
        <v/>
      </c>
      <c r="I565" s="17" t="n">
        <v>544</v>
      </c>
      <c r="J565" s="17">
        <f>IFERROR(INDEX(Clay_Brands!$A$2:$FZ$601,I565,$D$5)&amp;"","")</f>
        <v/>
      </c>
      <c r="K565" s="17">
        <f>IFERROR(INDEX(Clay_Brands!$A$2:$FZ$601,I565,$D$7)&amp;"","")</f>
        <v/>
      </c>
      <c r="L565" s="17">
        <f>IFERROR(INDEX(Clay_Brands!$A$2:$FZ$601,I565,$D$8)&amp;"","")</f>
        <v/>
      </c>
      <c r="M565" s="17">
        <f>IF(J565="","",IF(COUNTIF(Brand_Log!$A$2:$A$201,J565)&gt;0,"Y","N"))</f>
        <v/>
      </c>
      <c r="N565" s="17">
        <f>IF(OR(J565="",AND(LEFT(J565,6)="SAMPLE",Config!$B$19&lt;&gt;"Y")),"",IF(IFERROR(INDEX(Lists!$J$2:$J$15,MATCH(K565,Lists!$I$2:$I$15,0)),-1)=-1,"status '"&amp;K565&amp;"' is not a CONTRACTS status",IF(AND(K565="paid",COUNTIF(paid_brands!$AC$2:$AC$51,J565)=0),"status paid but no paid_brands row"&amp;IF(M565="N"," and no tracker row",""),IF(AND(IFERROR(INDEX(Lists!$J$2:$J$15,MATCH(K565,Lists!$I$2:$I$15,0)),-1)&gt;=6,M565="N"),"status "&amp;K565&amp;" but no tracker row",IF(AND(L565="Y",K565&lt;&gt;"do_not_contact"),"do_not_contact = Y but status is "&amp;K565,IF(AND(K565="do_not_contact",L565&lt;&gt;"Y"),"status do_not_contact but do_not_contact is not Y",""))))))</f>
        <v/>
      </c>
    </row>
    <row r="566">
      <c r="B566" s="17" t="n">
        <v>545</v>
      </c>
      <c r="C566" s="17">
        <f>IFERROR(INDEX(Clay_Offices!$A$2:$FZ$601,B566,$C$5)&amp;"","")</f>
        <v/>
      </c>
      <c r="D566" s="17">
        <f>IFERROR(INDEX(Clay_Offices!$A$2:$FZ$601,B566,$C$7)&amp;"","")</f>
        <v/>
      </c>
      <c r="E566" s="17">
        <f>IFERROR(INDEX(Clay_Offices!$A$2:$FZ$601,B566,$C$8)&amp;"","")</f>
        <v/>
      </c>
      <c r="F566" s="17">
        <f>IF(C566="","",IF(COUNTIF(Office_Log!$A$2:$A$201,C566)&gt;0,"Y","N"))</f>
        <v/>
      </c>
      <c r="G566" s="17">
        <f>IF(OR(C566="",AND(LEFT(C566,6)="SAMPLE",Config!$B$19&lt;&gt;"Y")),"",IF(IFERROR(INDEX(Lists!$J$2:$J$15,MATCH(D566,Lists!$I$2:$I$15,0)),-1)=-1,"status '"&amp;D566&amp;"' is not a CONTRACTS status",IF(AND(D566="signed",COUNTIF(signed_offices!$W$2:$W$51,C566)=0),"status signed but no signed_offices row"&amp;IF(F566="N"," and no tracker row",""),IF(AND(IFERROR(INDEX(Lists!$J$2:$J$15,MATCH(D566,Lists!$I$2:$I$15,0)),-1)&gt;=6,F566="N"),"status "&amp;D566&amp;" but no tracker row",IF(AND(E566="Y",D566&lt;&gt;"do_not_contact"),"do_not_contact = Y but status is "&amp;D566,IF(AND(D566="do_not_contact",E566&lt;&gt;"Y"),"status do_not_contact but do_not_contact is not Y",""))))))</f>
        <v/>
      </c>
      <c r="I566" s="17" t="n">
        <v>545</v>
      </c>
      <c r="J566" s="17">
        <f>IFERROR(INDEX(Clay_Brands!$A$2:$FZ$601,I566,$D$5)&amp;"","")</f>
        <v/>
      </c>
      <c r="K566" s="17">
        <f>IFERROR(INDEX(Clay_Brands!$A$2:$FZ$601,I566,$D$7)&amp;"","")</f>
        <v/>
      </c>
      <c r="L566" s="17">
        <f>IFERROR(INDEX(Clay_Brands!$A$2:$FZ$601,I566,$D$8)&amp;"","")</f>
        <v/>
      </c>
      <c r="M566" s="17">
        <f>IF(J566="","",IF(COUNTIF(Brand_Log!$A$2:$A$201,J566)&gt;0,"Y","N"))</f>
        <v/>
      </c>
      <c r="N566" s="17">
        <f>IF(OR(J566="",AND(LEFT(J566,6)="SAMPLE",Config!$B$19&lt;&gt;"Y")),"",IF(IFERROR(INDEX(Lists!$J$2:$J$15,MATCH(K566,Lists!$I$2:$I$15,0)),-1)=-1,"status '"&amp;K566&amp;"' is not a CONTRACTS status",IF(AND(K566="paid",COUNTIF(paid_brands!$AC$2:$AC$51,J566)=0),"status paid but no paid_brands row"&amp;IF(M566="N"," and no tracker row",""),IF(AND(IFERROR(INDEX(Lists!$J$2:$J$15,MATCH(K566,Lists!$I$2:$I$15,0)),-1)&gt;=6,M566="N"),"status "&amp;K566&amp;" but no tracker row",IF(AND(L566="Y",K566&lt;&gt;"do_not_contact"),"do_not_contact = Y but status is "&amp;K566,IF(AND(K566="do_not_contact",L566&lt;&gt;"Y"),"status do_not_contact but do_not_contact is not Y",""))))))</f>
        <v/>
      </c>
    </row>
    <row r="567">
      <c r="B567" s="17" t="n">
        <v>546</v>
      </c>
      <c r="C567" s="17">
        <f>IFERROR(INDEX(Clay_Offices!$A$2:$FZ$601,B567,$C$5)&amp;"","")</f>
        <v/>
      </c>
      <c r="D567" s="17">
        <f>IFERROR(INDEX(Clay_Offices!$A$2:$FZ$601,B567,$C$7)&amp;"","")</f>
        <v/>
      </c>
      <c r="E567" s="17">
        <f>IFERROR(INDEX(Clay_Offices!$A$2:$FZ$601,B567,$C$8)&amp;"","")</f>
        <v/>
      </c>
      <c r="F567" s="17">
        <f>IF(C567="","",IF(COUNTIF(Office_Log!$A$2:$A$201,C567)&gt;0,"Y","N"))</f>
        <v/>
      </c>
      <c r="G567" s="17">
        <f>IF(OR(C567="",AND(LEFT(C567,6)="SAMPLE",Config!$B$19&lt;&gt;"Y")),"",IF(IFERROR(INDEX(Lists!$J$2:$J$15,MATCH(D567,Lists!$I$2:$I$15,0)),-1)=-1,"status '"&amp;D567&amp;"' is not a CONTRACTS status",IF(AND(D567="signed",COUNTIF(signed_offices!$W$2:$W$51,C567)=0),"status signed but no signed_offices row"&amp;IF(F567="N"," and no tracker row",""),IF(AND(IFERROR(INDEX(Lists!$J$2:$J$15,MATCH(D567,Lists!$I$2:$I$15,0)),-1)&gt;=6,F567="N"),"status "&amp;D567&amp;" but no tracker row",IF(AND(E567="Y",D567&lt;&gt;"do_not_contact"),"do_not_contact = Y but status is "&amp;D567,IF(AND(D567="do_not_contact",E567&lt;&gt;"Y"),"status do_not_contact but do_not_contact is not Y",""))))))</f>
        <v/>
      </c>
      <c r="I567" s="17" t="n">
        <v>546</v>
      </c>
      <c r="J567" s="17">
        <f>IFERROR(INDEX(Clay_Brands!$A$2:$FZ$601,I567,$D$5)&amp;"","")</f>
        <v/>
      </c>
      <c r="K567" s="17">
        <f>IFERROR(INDEX(Clay_Brands!$A$2:$FZ$601,I567,$D$7)&amp;"","")</f>
        <v/>
      </c>
      <c r="L567" s="17">
        <f>IFERROR(INDEX(Clay_Brands!$A$2:$FZ$601,I567,$D$8)&amp;"","")</f>
        <v/>
      </c>
      <c r="M567" s="17">
        <f>IF(J567="","",IF(COUNTIF(Brand_Log!$A$2:$A$201,J567)&gt;0,"Y","N"))</f>
        <v/>
      </c>
      <c r="N567" s="17">
        <f>IF(OR(J567="",AND(LEFT(J567,6)="SAMPLE",Config!$B$19&lt;&gt;"Y")),"",IF(IFERROR(INDEX(Lists!$J$2:$J$15,MATCH(K567,Lists!$I$2:$I$15,0)),-1)=-1,"status '"&amp;K567&amp;"' is not a CONTRACTS status",IF(AND(K567="paid",COUNTIF(paid_brands!$AC$2:$AC$51,J567)=0),"status paid but no paid_brands row"&amp;IF(M567="N"," and no tracker row",""),IF(AND(IFERROR(INDEX(Lists!$J$2:$J$15,MATCH(K567,Lists!$I$2:$I$15,0)),-1)&gt;=6,M567="N"),"status "&amp;K567&amp;" but no tracker row",IF(AND(L567="Y",K567&lt;&gt;"do_not_contact"),"do_not_contact = Y but status is "&amp;K567,IF(AND(K567="do_not_contact",L567&lt;&gt;"Y"),"status do_not_contact but do_not_contact is not Y",""))))))</f>
        <v/>
      </c>
    </row>
    <row r="568">
      <c r="B568" s="17" t="n">
        <v>547</v>
      </c>
      <c r="C568" s="17">
        <f>IFERROR(INDEX(Clay_Offices!$A$2:$FZ$601,B568,$C$5)&amp;"","")</f>
        <v/>
      </c>
      <c r="D568" s="17">
        <f>IFERROR(INDEX(Clay_Offices!$A$2:$FZ$601,B568,$C$7)&amp;"","")</f>
        <v/>
      </c>
      <c r="E568" s="17">
        <f>IFERROR(INDEX(Clay_Offices!$A$2:$FZ$601,B568,$C$8)&amp;"","")</f>
        <v/>
      </c>
      <c r="F568" s="17">
        <f>IF(C568="","",IF(COUNTIF(Office_Log!$A$2:$A$201,C568)&gt;0,"Y","N"))</f>
        <v/>
      </c>
      <c r="G568" s="17">
        <f>IF(OR(C568="",AND(LEFT(C568,6)="SAMPLE",Config!$B$19&lt;&gt;"Y")),"",IF(IFERROR(INDEX(Lists!$J$2:$J$15,MATCH(D568,Lists!$I$2:$I$15,0)),-1)=-1,"status '"&amp;D568&amp;"' is not a CONTRACTS status",IF(AND(D568="signed",COUNTIF(signed_offices!$W$2:$W$51,C568)=0),"status signed but no signed_offices row"&amp;IF(F568="N"," and no tracker row",""),IF(AND(IFERROR(INDEX(Lists!$J$2:$J$15,MATCH(D568,Lists!$I$2:$I$15,0)),-1)&gt;=6,F568="N"),"status "&amp;D568&amp;" but no tracker row",IF(AND(E568="Y",D568&lt;&gt;"do_not_contact"),"do_not_contact = Y but status is "&amp;D568,IF(AND(D568="do_not_contact",E568&lt;&gt;"Y"),"status do_not_contact but do_not_contact is not Y",""))))))</f>
        <v/>
      </c>
      <c r="I568" s="17" t="n">
        <v>547</v>
      </c>
      <c r="J568" s="17">
        <f>IFERROR(INDEX(Clay_Brands!$A$2:$FZ$601,I568,$D$5)&amp;"","")</f>
        <v/>
      </c>
      <c r="K568" s="17">
        <f>IFERROR(INDEX(Clay_Brands!$A$2:$FZ$601,I568,$D$7)&amp;"","")</f>
        <v/>
      </c>
      <c r="L568" s="17">
        <f>IFERROR(INDEX(Clay_Brands!$A$2:$FZ$601,I568,$D$8)&amp;"","")</f>
        <v/>
      </c>
      <c r="M568" s="17">
        <f>IF(J568="","",IF(COUNTIF(Brand_Log!$A$2:$A$201,J568)&gt;0,"Y","N"))</f>
        <v/>
      </c>
      <c r="N568" s="17">
        <f>IF(OR(J568="",AND(LEFT(J568,6)="SAMPLE",Config!$B$19&lt;&gt;"Y")),"",IF(IFERROR(INDEX(Lists!$J$2:$J$15,MATCH(K568,Lists!$I$2:$I$15,0)),-1)=-1,"status '"&amp;K568&amp;"' is not a CONTRACTS status",IF(AND(K568="paid",COUNTIF(paid_brands!$AC$2:$AC$51,J568)=0),"status paid but no paid_brands row"&amp;IF(M568="N"," and no tracker row",""),IF(AND(IFERROR(INDEX(Lists!$J$2:$J$15,MATCH(K568,Lists!$I$2:$I$15,0)),-1)&gt;=6,M568="N"),"status "&amp;K568&amp;" but no tracker row",IF(AND(L568="Y",K568&lt;&gt;"do_not_contact"),"do_not_contact = Y but status is "&amp;K568,IF(AND(K568="do_not_contact",L568&lt;&gt;"Y"),"status do_not_contact but do_not_contact is not Y",""))))))</f>
        <v/>
      </c>
    </row>
    <row r="569">
      <c r="B569" s="17" t="n">
        <v>548</v>
      </c>
      <c r="C569" s="17">
        <f>IFERROR(INDEX(Clay_Offices!$A$2:$FZ$601,B569,$C$5)&amp;"","")</f>
        <v/>
      </c>
      <c r="D569" s="17">
        <f>IFERROR(INDEX(Clay_Offices!$A$2:$FZ$601,B569,$C$7)&amp;"","")</f>
        <v/>
      </c>
      <c r="E569" s="17">
        <f>IFERROR(INDEX(Clay_Offices!$A$2:$FZ$601,B569,$C$8)&amp;"","")</f>
        <v/>
      </c>
      <c r="F569" s="17">
        <f>IF(C569="","",IF(COUNTIF(Office_Log!$A$2:$A$201,C569)&gt;0,"Y","N"))</f>
        <v/>
      </c>
      <c r="G569" s="17">
        <f>IF(OR(C569="",AND(LEFT(C569,6)="SAMPLE",Config!$B$19&lt;&gt;"Y")),"",IF(IFERROR(INDEX(Lists!$J$2:$J$15,MATCH(D569,Lists!$I$2:$I$15,0)),-1)=-1,"status '"&amp;D569&amp;"' is not a CONTRACTS status",IF(AND(D569="signed",COUNTIF(signed_offices!$W$2:$W$51,C569)=0),"status signed but no signed_offices row"&amp;IF(F569="N"," and no tracker row",""),IF(AND(IFERROR(INDEX(Lists!$J$2:$J$15,MATCH(D569,Lists!$I$2:$I$15,0)),-1)&gt;=6,F569="N"),"status "&amp;D569&amp;" but no tracker row",IF(AND(E569="Y",D569&lt;&gt;"do_not_contact"),"do_not_contact = Y but status is "&amp;D569,IF(AND(D569="do_not_contact",E569&lt;&gt;"Y"),"status do_not_contact but do_not_contact is not Y",""))))))</f>
        <v/>
      </c>
      <c r="I569" s="17" t="n">
        <v>548</v>
      </c>
      <c r="J569" s="17">
        <f>IFERROR(INDEX(Clay_Brands!$A$2:$FZ$601,I569,$D$5)&amp;"","")</f>
        <v/>
      </c>
      <c r="K569" s="17">
        <f>IFERROR(INDEX(Clay_Brands!$A$2:$FZ$601,I569,$D$7)&amp;"","")</f>
        <v/>
      </c>
      <c r="L569" s="17">
        <f>IFERROR(INDEX(Clay_Brands!$A$2:$FZ$601,I569,$D$8)&amp;"","")</f>
        <v/>
      </c>
      <c r="M569" s="17">
        <f>IF(J569="","",IF(COUNTIF(Brand_Log!$A$2:$A$201,J569)&gt;0,"Y","N"))</f>
        <v/>
      </c>
      <c r="N569" s="17">
        <f>IF(OR(J569="",AND(LEFT(J569,6)="SAMPLE",Config!$B$19&lt;&gt;"Y")),"",IF(IFERROR(INDEX(Lists!$J$2:$J$15,MATCH(K569,Lists!$I$2:$I$15,0)),-1)=-1,"status '"&amp;K569&amp;"' is not a CONTRACTS status",IF(AND(K569="paid",COUNTIF(paid_brands!$AC$2:$AC$51,J569)=0),"status paid but no paid_brands row"&amp;IF(M569="N"," and no tracker row",""),IF(AND(IFERROR(INDEX(Lists!$J$2:$J$15,MATCH(K569,Lists!$I$2:$I$15,0)),-1)&gt;=6,M569="N"),"status "&amp;K569&amp;" but no tracker row",IF(AND(L569="Y",K569&lt;&gt;"do_not_contact"),"do_not_contact = Y but status is "&amp;K569,IF(AND(K569="do_not_contact",L569&lt;&gt;"Y"),"status do_not_contact but do_not_contact is not Y",""))))))</f>
        <v/>
      </c>
    </row>
    <row r="570">
      <c r="B570" s="17" t="n">
        <v>549</v>
      </c>
      <c r="C570" s="17">
        <f>IFERROR(INDEX(Clay_Offices!$A$2:$FZ$601,B570,$C$5)&amp;"","")</f>
        <v/>
      </c>
      <c r="D570" s="17">
        <f>IFERROR(INDEX(Clay_Offices!$A$2:$FZ$601,B570,$C$7)&amp;"","")</f>
        <v/>
      </c>
      <c r="E570" s="17">
        <f>IFERROR(INDEX(Clay_Offices!$A$2:$FZ$601,B570,$C$8)&amp;"","")</f>
        <v/>
      </c>
      <c r="F570" s="17">
        <f>IF(C570="","",IF(COUNTIF(Office_Log!$A$2:$A$201,C570)&gt;0,"Y","N"))</f>
        <v/>
      </c>
      <c r="G570" s="17">
        <f>IF(OR(C570="",AND(LEFT(C570,6)="SAMPLE",Config!$B$19&lt;&gt;"Y")),"",IF(IFERROR(INDEX(Lists!$J$2:$J$15,MATCH(D570,Lists!$I$2:$I$15,0)),-1)=-1,"status '"&amp;D570&amp;"' is not a CONTRACTS status",IF(AND(D570="signed",COUNTIF(signed_offices!$W$2:$W$51,C570)=0),"status signed but no signed_offices row"&amp;IF(F570="N"," and no tracker row",""),IF(AND(IFERROR(INDEX(Lists!$J$2:$J$15,MATCH(D570,Lists!$I$2:$I$15,0)),-1)&gt;=6,F570="N"),"status "&amp;D570&amp;" but no tracker row",IF(AND(E570="Y",D570&lt;&gt;"do_not_contact"),"do_not_contact = Y but status is "&amp;D570,IF(AND(D570="do_not_contact",E570&lt;&gt;"Y"),"status do_not_contact but do_not_contact is not Y",""))))))</f>
        <v/>
      </c>
      <c r="I570" s="17" t="n">
        <v>549</v>
      </c>
      <c r="J570" s="17">
        <f>IFERROR(INDEX(Clay_Brands!$A$2:$FZ$601,I570,$D$5)&amp;"","")</f>
        <v/>
      </c>
      <c r="K570" s="17">
        <f>IFERROR(INDEX(Clay_Brands!$A$2:$FZ$601,I570,$D$7)&amp;"","")</f>
        <v/>
      </c>
      <c r="L570" s="17">
        <f>IFERROR(INDEX(Clay_Brands!$A$2:$FZ$601,I570,$D$8)&amp;"","")</f>
        <v/>
      </c>
      <c r="M570" s="17">
        <f>IF(J570="","",IF(COUNTIF(Brand_Log!$A$2:$A$201,J570)&gt;0,"Y","N"))</f>
        <v/>
      </c>
      <c r="N570" s="17">
        <f>IF(OR(J570="",AND(LEFT(J570,6)="SAMPLE",Config!$B$19&lt;&gt;"Y")),"",IF(IFERROR(INDEX(Lists!$J$2:$J$15,MATCH(K570,Lists!$I$2:$I$15,0)),-1)=-1,"status '"&amp;K570&amp;"' is not a CONTRACTS status",IF(AND(K570="paid",COUNTIF(paid_brands!$AC$2:$AC$51,J570)=0),"status paid but no paid_brands row"&amp;IF(M570="N"," and no tracker row",""),IF(AND(IFERROR(INDEX(Lists!$J$2:$J$15,MATCH(K570,Lists!$I$2:$I$15,0)),-1)&gt;=6,M570="N"),"status "&amp;K570&amp;" but no tracker row",IF(AND(L570="Y",K570&lt;&gt;"do_not_contact"),"do_not_contact = Y but status is "&amp;K570,IF(AND(K570="do_not_contact",L570&lt;&gt;"Y"),"status do_not_contact but do_not_contact is not Y",""))))))</f>
        <v/>
      </c>
    </row>
    <row r="571">
      <c r="B571" s="17" t="n">
        <v>550</v>
      </c>
      <c r="C571" s="17">
        <f>IFERROR(INDEX(Clay_Offices!$A$2:$FZ$601,B571,$C$5)&amp;"","")</f>
        <v/>
      </c>
      <c r="D571" s="17">
        <f>IFERROR(INDEX(Clay_Offices!$A$2:$FZ$601,B571,$C$7)&amp;"","")</f>
        <v/>
      </c>
      <c r="E571" s="17">
        <f>IFERROR(INDEX(Clay_Offices!$A$2:$FZ$601,B571,$C$8)&amp;"","")</f>
        <v/>
      </c>
      <c r="F571" s="17">
        <f>IF(C571="","",IF(COUNTIF(Office_Log!$A$2:$A$201,C571)&gt;0,"Y","N"))</f>
        <v/>
      </c>
      <c r="G571" s="17">
        <f>IF(OR(C571="",AND(LEFT(C571,6)="SAMPLE",Config!$B$19&lt;&gt;"Y")),"",IF(IFERROR(INDEX(Lists!$J$2:$J$15,MATCH(D571,Lists!$I$2:$I$15,0)),-1)=-1,"status '"&amp;D571&amp;"' is not a CONTRACTS status",IF(AND(D571="signed",COUNTIF(signed_offices!$W$2:$W$51,C571)=0),"status signed but no signed_offices row"&amp;IF(F571="N"," and no tracker row",""),IF(AND(IFERROR(INDEX(Lists!$J$2:$J$15,MATCH(D571,Lists!$I$2:$I$15,0)),-1)&gt;=6,F571="N"),"status "&amp;D571&amp;" but no tracker row",IF(AND(E571="Y",D571&lt;&gt;"do_not_contact"),"do_not_contact = Y but status is "&amp;D571,IF(AND(D571="do_not_contact",E571&lt;&gt;"Y"),"status do_not_contact but do_not_contact is not Y",""))))))</f>
        <v/>
      </c>
      <c r="I571" s="17" t="n">
        <v>550</v>
      </c>
      <c r="J571" s="17">
        <f>IFERROR(INDEX(Clay_Brands!$A$2:$FZ$601,I571,$D$5)&amp;"","")</f>
        <v/>
      </c>
      <c r="K571" s="17">
        <f>IFERROR(INDEX(Clay_Brands!$A$2:$FZ$601,I571,$D$7)&amp;"","")</f>
        <v/>
      </c>
      <c r="L571" s="17">
        <f>IFERROR(INDEX(Clay_Brands!$A$2:$FZ$601,I571,$D$8)&amp;"","")</f>
        <v/>
      </c>
      <c r="M571" s="17">
        <f>IF(J571="","",IF(COUNTIF(Brand_Log!$A$2:$A$201,J571)&gt;0,"Y","N"))</f>
        <v/>
      </c>
      <c r="N571" s="17">
        <f>IF(OR(J571="",AND(LEFT(J571,6)="SAMPLE",Config!$B$19&lt;&gt;"Y")),"",IF(IFERROR(INDEX(Lists!$J$2:$J$15,MATCH(K571,Lists!$I$2:$I$15,0)),-1)=-1,"status '"&amp;K571&amp;"' is not a CONTRACTS status",IF(AND(K571="paid",COUNTIF(paid_brands!$AC$2:$AC$51,J571)=0),"status paid but no paid_brands row"&amp;IF(M571="N"," and no tracker row",""),IF(AND(IFERROR(INDEX(Lists!$J$2:$J$15,MATCH(K571,Lists!$I$2:$I$15,0)),-1)&gt;=6,M571="N"),"status "&amp;K571&amp;" but no tracker row",IF(AND(L571="Y",K571&lt;&gt;"do_not_contact"),"do_not_contact = Y but status is "&amp;K571,IF(AND(K571="do_not_contact",L571&lt;&gt;"Y"),"status do_not_contact but do_not_contact is not Y",""))))))</f>
        <v/>
      </c>
    </row>
    <row r="572">
      <c r="B572" s="17" t="n">
        <v>551</v>
      </c>
      <c r="C572" s="17">
        <f>IFERROR(INDEX(Clay_Offices!$A$2:$FZ$601,B572,$C$5)&amp;"","")</f>
        <v/>
      </c>
      <c r="D572" s="17">
        <f>IFERROR(INDEX(Clay_Offices!$A$2:$FZ$601,B572,$C$7)&amp;"","")</f>
        <v/>
      </c>
      <c r="E572" s="17">
        <f>IFERROR(INDEX(Clay_Offices!$A$2:$FZ$601,B572,$C$8)&amp;"","")</f>
        <v/>
      </c>
      <c r="F572" s="17">
        <f>IF(C572="","",IF(COUNTIF(Office_Log!$A$2:$A$201,C572)&gt;0,"Y","N"))</f>
        <v/>
      </c>
      <c r="G572" s="17">
        <f>IF(OR(C572="",AND(LEFT(C572,6)="SAMPLE",Config!$B$19&lt;&gt;"Y")),"",IF(IFERROR(INDEX(Lists!$J$2:$J$15,MATCH(D572,Lists!$I$2:$I$15,0)),-1)=-1,"status '"&amp;D572&amp;"' is not a CONTRACTS status",IF(AND(D572="signed",COUNTIF(signed_offices!$W$2:$W$51,C572)=0),"status signed but no signed_offices row"&amp;IF(F572="N"," and no tracker row",""),IF(AND(IFERROR(INDEX(Lists!$J$2:$J$15,MATCH(D572,Lists!$I$2:$I$15,0)),-1)&gt;=6,F572="N"),"status "&amp;D572&amp;" but no tracker row",IF(AND(E572="Y",D572&lt;&gt;"do_not_contact"),"do_not_contact = Y but status is "&amp;D572,IF(AND(D572="do_not_contact",E572&lt;&gt;"Y"),"status do_not_contact but do_not_contact is not Y",""))))))</f>
        <v/>
      </c>
      <c r="I572" s="17" t="n">
        <v>551</v>
      </c>
      <c r="J572" s="17">
        <f>IFERROR(INDEX(Clay_Brands!$A$2:$FZ$601,I572,$D$5)&amp;"","")</f>
        <v/>
      </c>
      <c r="K572" s="17">
        <f>IFERROR(INDEX(Clay_Brands!$A$2:$FZ$601,I572,$D$7)&amp;"","")</f>
        <v/>
      </c>
      <c r="L572" s="17">
        <f>IFERROR(INDEX(Clay_Brands!$A$2:$FZ$601,I572,$D$8)&amp;"","")</f>
        <v/>
      </c>
      <c r="M572" s="17">
        <f>IF(J572="","",IF(COUNTIF(Brand_Log!$A$2:$A$201,J572)&gt;0,"Y","N"))</f>
        <v/>
      </c>
      <c r="N572" s="17">
        <f>IF(OR(J572="",AND(LEFT(J572,6)="SAMPLE",Config!$B$19&lt;&gt;"Y")),"",IF(IFERROR(INDEX(Lists!$J$2:$J$15,MATCH(K572,Lists!$I$2:$I$15,0)),-1)=-1,"status '"&amp;K572&amp;"' is not a CONTRACTS status",IF(AND(K572="paid",COUNTIF(paid_brands!$AC$2:$AC$51,J572)=0),"status paid but no paid_brands row"&amp;IF(M572="N"," and no tracker row",""),IF(AND(IFERROR(INDEX(Lists!$J$2:$J$15,MATCH(K572,Lists!$I$2:$I$15,0)),-1)&gt;=6,M572="N"),"status "&amp;K572&amp;" but no tracker row",IF(AND(L572="Y",K572&lt;&gt;"do_not_contact"),"do_not_contact = Y but status is "&amp;K572,IF(AND(K572="do_not_contact",L572&lt;&gt;"Y"),"status do_not_contact but do_not_contact is not Y",""))))))</f>
        <v/>
      </c>
    </row>
    <row r="573">
      <c r="B573" s="17" t="n">
        <v>552</v>
      </c>
      <c r="C573" s="17">
        <f>IFERROR(INDEX(Clay_Offices!$A$2:$FZ$601,B573,$C$5)&amp;"","")</f>
        <v/>
      </c>
      <c r="D573" s="17">
        <f>IFERROR(INDEX(Clay_Offices!$A$2:$FZ$601,B573,$C$7)&amp;"","")</f>
        <v/>
      </c>
      <c r="E573" s="17">
        <f>IFERROR(INDEX(Clay_Offices!$A$2:$FZ$601,B573,$C$8)&amp;"","")</f>
        <v/>
      </c>
      <c r="F573" s="17">
        <f>IF(C573="","",IF(COUNTIF(Office_Log!$A$2:$A$201,C573)&gt;0,"Y","N"))</f>
        <v/>
      </c>
      <c r="G573" s="17">
        <f>IF(OR(C573="",AND(LEFT(C573,6)="SAMPLE",Config!$B$19&lt;&gt;"Y")),"",IF(IFERROR(INDEX(Lists!$J$2:$J$15,MATCH(D573,Lists!$I$2:$I$15,0)),-1)=-1,"status '"&amp;D573&amp;"' is not a CONTRACTS status",IF(AND(D573="signed",COUNTIF(signed_offices!$W$2:$W$51,C573)=0),"status signed but no signed_offices row"&amp;IF(F573="N"," and no tracker row",""),IF(AND(IFERROR(INDEX(Lists!$J$2:$J$15,MATCH(D573,Lists!$I$2:$I$15,0)),-1)&gt;=6,F573="N"),"status "&amp;D573&amp;" but no tracker row",IF(AND(E573="Y",D573&lt;&gt;"do_not_contact"),"do_not_contact = Y but status is "&amp;D573,IF(AND(D573="do_not_contact",E573&lt;&gt;"Y"),"status do_not_contact but do_not_contact is not Y",""))))))</f>
        <v/>
      </c>
      <c r="I573" s="17" t="n">
        <v>552</v>
      </c>
      <c r="J573" s="17">
        <f>IFERROR(INDEX(Clay_Brands!$A$2:$FZ$601,I573,$D$5)&amp;"","")</f>
        <v/>
      </c>
      <c r="K573" s="17">
        <f>IFERROR(INDEX(Clay_Brands!$A$2:$FZ$601,I573,$D$7)&amp;"","")</f>
        <v/>
      </c>
      <c r="L573" s="17">
        <f>IFERROR(INDEX(Clay_Brands!$A$2:$FZ$601,I573,$D$8)&amp;"","")</f>
        <v/>
      </c>
      <c r="M573" s="17">
        <f>IF(J573="","",IF(COUNTIF(Brand_Log!$A$2:$A$201,J573)&gt;0,"Y","N"))</f>
        <v/>
      </c>
      <c r="N573" s="17">
        <f>IF(OR(J573="",AND(LEFT(J573,6)="SAMPLE",Config!$B$19&lt;&gt;"Y")),"",IF(IFERROR(INDEX(Lists!$J$2:$J$15,MATCH(K573,Lists!$I$2:$I$15,0)),-1)=-1,"status '"&amp;K573&amp;"' is not a CONTRACTS status",IF(AND(K573="paid",COUNTIF(paid_brands!$AC$2:$AC$51,J573)=0),"status paid but no paid_brands row"&amp;IF(M573="N"," and no tracker row",""),IF(AND(IFERROR(INDEX(Lists!$J$2:$J$15,MATCH(K573,Lists!$I$2:$I$15,0)),-1)&gt;=6,M573="N"),"status "&amp;K573&amp;" but no tracker row",IF(AND(L573="Y",K573&lt;&gt;"do_not_contact"),"do_not_contact = Y but status is "&amp;K573,IF(AND(K573="do_not_contact",L573&lt;&gt;"Y"),"status do_not_contact but do_not_contact is not Y",""))))))</f>
        <v/>
      </c>
    </row>
    <row r="574">
      <c r="B574" s="17" t="n">
        <v>553</v>
      </c>
      <c r="C574" s="17">
        <f>IFERROR(INDEX(Clay_Offices!$A$2:$FZ$601,B574,$C$5)&amp;"","")</f>
        <v/>
      </c>
      <c r="D574" s="17">
        <f>IFERROR(INDEX(Clay_Offices!$A$2:$FZ$601,B574,$C$7)&amp;"","")</f>
        <v/>
      </c>
      <c r="E574" s="17">
        <f>IFERROR(INDEX(Clay_Offices!$A$2:$FZ$601,B574,$C$8)&amp;"","")</f>
        <v/>
      </c>
      <c r="F574" s="17">
        <f>IF(C574="","",IF(COUNTIF(Office_Log!$A$2:$A$201,C574)&gt;0,"Y","N"))</f>
        <v/>
      </c>
      <c r="G574" s="17">
        <f>IF(OR(C574="",AND(LEFT(C574,6)="SAMPLE",Config!$B$19&lt;&gt;"Y")),"",IF(IFERROR(INDEX(Lists!$J$2:$J$15,MATCH(D574,Lists!$I$2:$I$15,0)),-1)=-1,"status '"&amp;D574&amp;"' is not a CONTRACTS status",IF(AND(D574="signed",COUNTIF(signed_offices!$W$2:$W$51,C574)=0),"status signed but no signed_offices row"&amp;IF(F574="N"," and no tracker row",""),IF(AND(IFERROR(INDEX(Lists!$J$2:$J$15,MATCH(D574,Lists!$I$2:$I$15,0)),-1)&gt;=6,F574="N"),"status "&amp;D574&amp;" but no tracker row",IF(AND(E574="Y",D574&lt;&gt;"do_not_contact"),"do_not_contact = Y but status is "&amp;D574,IF(AND(D574="do_not_contact",E574&lt;&gt;"Y"),"status do_not_contact but do_not_contact is not Y",""))))))</f>
        <v/>
      </c>
      <c r="I574" s="17" t="n">
        <v>553</v>
      </c>
      <c r="J574" s="17">
        <f>IFERROR(INDEX(Clay_Brands!$A$2:$FZ$601,I574,$D$5)&amp;"","")</f>
        <v/>
      </c>
      <c r="K574" s="17">
        <f>IFERROR(INDEX(Clay_Brands!$A$2:$FZ$601,I574,$D$7)&amp;"","")</f>
        <v/>
      </c>
      <c r="L574" s="17">
        <f>IFERROR(INDEX(Clay_Brands!$A$2:$FZ$601,I574,$D$8)&amp;"","")</f>
        <v/>
      </c>
      <c r="M574" s="17">
        <f>IF(J574="","",IF(COUNTIF(Brand_Log!$A$2:$A$201,J574)&gt;0,"Y","N"))</f>
        <v/>
      </c>
      <c r="N574" s="17">
        <f>IF(OR(J574="",AND(LEFT(J574,6)="SAMPLE",Config!$B$19&lt;&gt;"Y")),"",IF(IFERROR(INDEX(Lists!$J$2:$J$15,MATCH(K574,Lists!$I$2:$I$15,0)),-1)=-1,"status '"&amp;K574&amp;"' is not a CONTRACTS status",IF(AND(K574="paid",COUNTIF(paid_brands!$AC$2:$AC$51,J574)=0),"status paid but no paid_brands row"&amp;IF(M574="N"," and no tracker row",""),IF(AND(IFERROR(INDEX(Lists!$J$2:$J$15,MATCH(K574,Lists!$I$2:$I$15,0)),-1)&gt;=6,M574="N"),"status "&amp;K574&amp;" but no tracker row",IF(AND(L574="Y",K574&lt;&gt;"do_not_contact"),"do_not_contact = Y but status is "&amp;K574,IF(AND(K574="do_not_contact",L574&lt;&gt;"Y"),"status do_not_contact but do_not_contact is not Y",""))))))</f>
        <v/>
      </c>
    </row>
    <row r="575">
      <c r="B575" s="17" t="n">
        <v>554</v>
      </c>
      <c r="C575" s="17">
        <f>IFERROR(INDEX(Clay_Offices!$A$2:$FZ$601,B575,$C$5)&amp;"","")</f>
        <v/>
      </c>
      <c r="D575" s="17">
        <f>IFERROR(INDEX(Clay_Offices!$A$2:$FZ$601,B575,$C$7)&amp;"","")</f>
        <v/>
      </c>
      <c r="E575" s="17">
        <f>IFERROR(INDEX(Clay_Offices!$A$2:$FZ$601,B575,$C$8)&amp;"","")</f>
        <v/>
      </c>
      <c r="F575" s="17">
        <f>IF(C575="","",IF(COUNTIF(Office_Log!$A$2:$A$201,C575)&gt;0,"Y","N"))</f>
        <v/>
      </c>
      <c r="G575" s="17">
        <f>IF(OR(C575="",AND(LEFT(C575,6)="SAMPLE",Config!$B$19&lt;&gt;"Y")),"",IF(IFERROR(INDEX(Lists!$J$2:$J$15,MATCH(D575,Lists!$I$2:$I$15,0)),-1)=-1,"status '"&amp;D575&amp;"' is not a CONTRACTS status",IF(AND(D575="signed",COUNTIF(signed_offices!$W$2:$W$51,C575)=0),"status signed but no signed_offices row"&amp;IF(F575="N"," and no tracker row",""),IF(AND(IFERROR(INDEX(Lists!$J$2:$J$15,MATCH(D575,Lists!$I$2:$I$15,0)),-1)&gt;=6,F575="N"),"status "&amp;D575&amp;" but no tracker row",IF(AND(E575="Y",D575&lt;&gt;"do_not_contact"),"do_not_contact = Y but status is "&amp;D575,IF(AND(D575="do_not_contact",E575&lt;&gt;"Y"),"status do_not_contact but do_not_contact is not Y",""))))))</f>
        <v/>
      </c>
      <c r="I575" s="17" t="n">
        <v>554</v>
      </c>
      <c r="J575" s="17">
        <f>IFERROR(INDEX(Clay_Brands!$A$2:$FZ$601,I575,$D$5)&amp;"","")</f>
        <v/>
      </c>
      <c r="K575" s="17">
        <f>IFERROR(INDEX(Clay_Brands!$A$2:$FZ$601,I575,$D$7)&amp;"","")</f>
        <v/>
      </c>
      <c r="L575" s="17">
        <f>IFERROR(INDEX(Clay_Brands!$A$2:$FZ$601,I575,$D$8)&amp;"","")</f>
        <v/>
      </c>
      <c r="M575" s="17">
        <f>IF(J575="","",IF(COUNTIF(Brand_Log!$A$2:$A$201,J575)&gt;0,"Y","N"))</f>
        <v/>
      </c>
      <c r="N575" s="17">
        <f>IF(OR(J575="",AND(LEFT(J575,6)="SAMPLE",Config!$B$19&lt;&gt;"Y")),"",IF(IFERROR(INDEX(Lists!$J$2:$J$15,MATCH(K575,Lists!$I$2:$I$15,0)),-1)=-1,"status '"&amp;K575&amp;"' is not a CONTRACTS status",IF(AND(K575="paid",COUNTIF(paid_brands!$AC$2:$AC$51,J575)=0),"status paid but no paid_brands row"&amp;IF(M575="N"," and no tracker row",""),IF(AND(IFERROR(INDEX(Lists!$J$2:$J$15,MATCH(K575,Lists!$I$2:$I$15,0)),-1)&gt;=6,M575="N"),"status "&amp;K575&amp;" but no tracker row",IF(AND(L575="Y",K575&lt;&gt;"do_not_contact"),"do_not_contact = Y but status is "&amp;K575,IF(AND(K575="do_not_contact",L575&lt;&gt;"Y"),"status do_not_contact but do_not_contact is not Y",""))))))</f>
        <v/>
      </c>
    </row>
    <row r="576">
      <c r="B576" s="17" t="n">
        <v>555</v>
      </c>
      <c r="C576" s="17">
        <f>IFERROR(INDEX(Clay_Offices!$A$2:$FZ$601,B576,$C$5)&amp;"","")</f>
        <v/>
      </c>
      <c r="D576" s="17">
        <f>IFERROR(INDEX(Clay_Offices!$A$2:$FZ$601,B576,$C$7)&amp;"","")</f>
        <v/>
      </c>
      <c r="E576" s="17">
        <f>IFERROR(INDEX(Clay_Offices!$A$2:$FZ$601,B576,$C$8)&amp;"","")</f>
        <v/>
      </c>
      <c r="F576" s="17">
        <f>IF(C576="","",IF(COUNTIF(Office_Log!$A$2:$A$201,C576)&gt;0,"Y","N"))</f>
        <v/>
      </c>
      <c r="G576" s="17">
        <f>IF(OR(C576="",AND(LEFT(C576,6)="SAMPLE",Config!$B$19&lt;&gt;"Y")),"",IF(IFERROR(INDEX(Lists!$J$2:$J$15,MATCH(D576,Lists!$I$2:$I$15,0)),-1)=-1,"status '"&amp;D576&amp;"' is not a CONTRACTS status",IF(AND(D576="signed",COUNTIF(signed_offices!$W$2:$W$51,C576)=0),"status signed but no signed_offices row"&amp;IF(F576="N"," and no tracker row",""),IF(AND(IFERROR(INDEX(Lists!$J$2:$J$15,MATCH(D576,Lists!$I$2:$I$15,0)),-1)&gt;=6,F576="N"),"status "&amp;D576&amp;" but no tracker row",IF(AND(E576="Y",D576&lt;&gt;"do_not_contact"),"do_not_contact = Y but status is "&amp;D576,IF(AND(D576="do_not_contact",E576&lt;&gt;"Y"),"status do_not_contact but do_not_contact is not Y",""))))))</f>
        <v/>
      </c>
      <c r="I576" s="17" t="n">
        <v>555</v>
      </c>
      <c r="J576" s="17">
        <f>IFERROR(INDEX(Clay_Brands!$A$2:$FZ$601,I576,$D$5)&amp;"","")</f>
        <v/>
      </c>
      <c r="K576" s="17">
        <f>IFERROR(INDEX(Clay_Brands!$A$2:$FZ$601,I576,$D$7)&amp;"","")</f>
        <v/>
      </c>
      <c r="L576" s="17">
        <f>IFERROR(INDEX(Clay_Brands!$A$2:$FZ$601,I576,$D$8)&amp;"","")</f>
        <v/>
      </c>
      <c r="M576" s="17">
        <f>IF(J576="","",IF(COUNTIF(Brand_Log!$A$2:$A$201,J576)&gt;0,"Y","N"))</f>
        <v/>
      </c>
      <c r="N576" s="17">
        <f>IF(OR(J576="",AND(LEFT(J576,6)="SAMPLE",Config!$B$19&lt;&gt;"Y")),"",IF(IFERROR(INDEX(Lists!$J$2:$J$15,MATCH(K576,Lists!$I$2:$I$15,0)),-1)=-1,"status '"&amp;K576&amp;"' is not a CONTRACTS status",IF(AND(K576="paid",COUNTIF(paid_brands!$AC$2:$AC$51,J576)=0),"status paid but no paid_brands row"&amp;IF(M576="N"," and no tracker row",""),IF(AND(IFERROR(INDEX(Lists!$J$2:$J$15,MATCH(K576,Lists!$I$2:$I$15,0)),-1)&gt;=6,M576="N"),"status "&amp;K576&amp;" but no tracker row",IF(AND(L576="Y",K576&lt;&gt;"do_not_contact"),"do_not_contact = Y but status is "&amp;K576,IF(AND(K576="do_not_contact",L576&lt;&gt;"Y"),"status do_not_contact but do_not_contact is not Y",""))))))</f>
        <v/>
      </c>
    </row>
    <row r="577">
      <c r="B577" s="17" t="n">
        <v>556</v>
      </c>
      <c r="C577" s="17">
        <f>IFERROR(INDEX(Clay_Offices!$A$2:$FZ$601,B577,$C$5)&amp;"","")</f>
        <v/>
      </c>
      <c r="D577" s="17">
        <f>IFERROR(INDEX(Clay_Offices!$A$2:$FZ$601,B577,$C$7)&amp;"","")</f>
        <v/>
      </c>
      <c r="E577" s="17">
        <f>IFERROR(INDEX(Clay_Offices!$A$2:$FZ$601,B577,$C$8)&amp;"","")</f>
        <v/>
      </c>
      <c r="F577" s="17">
        <f>IF(C577="","",IF(COUNTIF(Office_Log!$A$2:$A$201,C577)&gt;0,"Y","N"))</f>
        <v/>
      </c>
      <c r="G577" s="17">
        <f>IF(OR(C577="",AND(LEFT(C577,6)="SAMPLE",Config!$B$19&lt;&gt;"Y")),"",IF(IFERROR(INDEX(Lists!$J$2:$J$15,MATCH(D577,Lists!$I$2:$I$15,0)),-1)=-1,"status '"&amp;D577&amp;"' is not a CONTRACTS status",IF(AND(D577="signed",COUNTIF(signed_offices!$W$2:$W$51,C577)=0),"status signed but no signed_offices row"&amp;IF(F577="N"," and no tracker row",""),IF(AND(IFERROR(INDEX(Lists!$J$2:$J$15,MATCH(D577,Lists!$I$2:$I$15,0)),-1)&gt;=6,F577="N"),"status "&amp;D577&amp;" but no tracker row",IF(AND(E577="Y",D577&lt;&gt;"do_not_contact"),"do_not_contact = Y but status is "&amp;D577,IF(AND(D577="do_not_contact",E577&lt;&gt;"Y"),"status do_not_contact but do_not_contact is not Y",""))))))</f>
        <v/>
      </c>
      <c r="I577" s="17" t="n">
        <v>556</v>
      </c>
      <c r="J577" s="17">
        <f>IFERROR(INDEX(Clay_Brands!$A$2:$FZ$601,I577,$D$5)&amp;"","")</f>
        <v/>
      </c>
      <c r="K577" s="17">
        <f>IFERROR(INDEX(Clay_Brands!$A$2:$FZ$601,I577,$D$7)&amp;"","")</f>
        <v/>
      </c>
      <c r="L577" s="17">
        <f>IFERROR(INDEX(Clay_Brands!$A$2:$FZ$601,I577,$D$8)&amp;"","")</f>
        <v/>
      </c>
      <c r="M577" s="17">
        <f>IF(J577="","",IF(COUNTIF(Brand_Log!$A$2:$A$201,J577)&gt;0,"Y","N"))</f>
        <v/>
      </c>
      <c r="N577" s="17">
        <f>IF(OR(J577="",AND(LEFT(J577,6)="SAMPLE",Config!$B$19&lt;&gt;"Y")),"",IF(IFERROR(INDEX(Lists!$J$2:$J$15,MATCH(K577,Lists!$I$2:$I$15,0)),-1)=-1,"status '"&amp;K577&amp;"' is not a CONTRACTS status",IF(AND(K577="paid",COUNTIF(paid_brands!$AC$2:$AC$51,J577)=0),"status paid but no paid_brands row"&amp;IF(M577="N"," and no tracker row",""),IF(AND(IFERROR(INDEX(Lists!$J$2:$J$15,MATCH(K577,Lists!$I$2:$I$15,0)),-1)&gt;=6,M577="N"),"status "&amp;K577&amp;" but no tracker row",IF(AND(L577="Y",K577&lt;&gt;"do_not_contact"),"do_not_contact = Y but status is "&amp;K577,IF(AND(K577="do_not_contact",L577&lt;&gt;"Y"),"status do_not_contact but do_not_contact is not Y",""))))))</f>
        <v/>
      </c>
    </row>
    <row r="578">
      <c r="B578" s="17" t="n">
        <v>557</v>
      </c>
      <c r="C578" s="17">
        <f>IFERROR(INDEX(Clay_Offices!$A$2:$FZ$601,B578,$C$5)&amp;"","")</f>
        <v/>
      </c>
      <c r="D578" s="17">
        <f>IFERROR(INDEX(Clay_Offices!$A$2:$FZ$601,B578,$C$7)&amp;"","")</f>
        <v/>
      </c>
      <c r="E578" s="17">
        <f>IFERROR(INDEX(Clay_Offices!$A$2:$FZ$601,B578,$C$8)&amp;"","")</f>
        <v/>
      </c>
      <c r="F578" s="17">
        <f>IF(C578="","",IF(COUNTIF(Office_Log!$A$2:$A$201,C578)&gt;0,"Y","N"))</f>
        <v/>
      </c>
      <c r="G578" s="17">
        <f>IF(OR(C578="",AND(LEFT(C578,6)="SAMPLE",Config!$B$19&lt;&gt;"Y")),"",IF(IFERROR(INDEX(Lists!$J$2:$J$15,MATCH(D578,Lists!$I$2:$I$15,0)),-1)=-1,"status '"&amp;D578&amp;"' is not a CONTRACTS status",IF(AND(D578="signed",COUNTIF(signed_offices!$W$2:$W$51,C578)=0),"status signed but no signed_offices row"&amp;IF(F578="N"," and no tracker row",""),IF(AND(IFERROR(INDEX(Lists!$J$2:$J$15,MATCH(D578,Lists!$I$2:$I$15,0)),-1)&gt;=6,F578="N"),"status "&amp;D578&amp;" but no tracker row",IF(AND(E578="Y",D578&lt;&gt;"do_not_contact"),"do_not_contact = Y but status is "&amp;D578,IF(AND(D578="do_not_contact",E578&lt;&gt;"Y"),"status do_not_contact but do_not_contact is not Y",""))))))</f>
        <v/>
      </c>
      <c r="I578" s="17" t="n">
        <v>557</v>
      </c>
      <c r="J578" s="17">
        <f>IFERROR(INDEX(Clay_Brands!$A$2:$FZ$601,I578,$D$5)&amp;"","")</f>
        <v/>
      </c>
      <c r="K578" s="17">
        <f>IFERROR(INDEX(Clay_Brands!$A$2:$FZ$601,I578,$D$7)&amp;"","")</f>
        <v/>
      </c>
      <c r="L578" s="17">
        <f>IFERROR(INDEX(Clay_Brands!$A$2:$FZ$601,I578,$D$8)&amp;"","")</f>
        <v/>
      </c>
      <c r="M578" s="17">
        <f>IF(J578="","",IF(COUNTIF(Brand_Log!$A$2:$A$201,J578)&gt;0,"Y","N"))</f>
        <v/>
      </c>
      <c r="N578" s="17">
        <f>IF(OR(J578="",AND(LEFT(J578,6)="SAMPLE",Config!$B$19&lt;&gt;"Y")),"",IF(IFERROR(INDEX(Lists!$J$2:$J$15,MATCH(K578,Lists!$I$2:$I$15,0)),-1)=-1,"status '"&amp;K578&amp;"' is not a CONTRACTS status",IF(AND(K578="paid",COUNTIF(paid_brands!$AC$2:$AC$51,J578)=0),"status paid but no paid_brands row"&amp;IF(M578="N"," and no tracker row",""),IF(AND(IFERROR(INDEX(Lists!$J$2:$J$15,MATCH(K578,Lists!$I$2:$I$15,0)),-1)&gt;=6,M578="N"),"status "&amp;K578&amp;" but no tracker row",IF(AND(L578="Y",K578&lt;&gt;"do_not_contact"),"do_not_contact = Y but status is "&amp;K578,IF(AND(K578="do_not_contact",L578&lt;&gt;"Y"),"status do_not_contact but do_not_contact is not Y",""))))))</f>
        <v/>
      </c>
    </row>
    <row r="579">
      <c r="B579" s="17" t="n">
        <v>558</v>
      </c>
      <c r="C579" s="17">
        <f>IFERROR(INDEX(Clay_Offices!$A$2:$FZ$601,B579,$C$5)&amp;"","")</f>
        <v/>
      </c>
      <c r="D579" s="17">
        <f>IFERROR(INDEX(Clay_Offices!$A$2:$FZ$601,B579,$C$7)&amp;"","")</f>
        <v/>
      </c>
      <c r="E579" s="17">
        <f>IFERROR(INDEX(Clay_Offices!$A$2:$FZ$601,B579,$C$8)&amp;"","")</f>
        <v/>
      </c>
      <c r="F579" s="17">
        <f>IF(C579="","",IF(COUNTIF(Office_Log!$A$2:$A$201,C579)&gt;0,"Y","N"))</f>
        <v/>
      </c>
      <c r="G579" s="17">
        <f>IF(OR(C579="",AND(LEFT(C579,6)="SAMPLE",Config!$B$19&lt;&gt;"Y")),"",IF(IFERROR(INDEX(Lists!$J$2:$J$15,MATCH(D579,Lists!$I$2:$I$15,0)),-1)=-1,"status '"&amp;D579&amp;"' is not a CONTRACTS status",IF(AND(D579="signed",COUNTIF(signed_offices!$W$2:$W$51,C579)=0),"status signed but no signed_offices row"&amp;IF(F579="N"," and no tracker row",""),IF(AND(IFERROR(INDEX(Lists!$J$2:$J$15,MATCH(D579,Lists!$I$2:$I$15,0)),-1)&gt;=6,F579="N"),"status "&amp;D579&amp;" but no tracker row",IF(AND(E579="Y",D579&lt;&gt;"do_not_contact"),"do_not_contact = Y but status is "&amp;D579,IF(AND(D579="do_not_contact",E579&lt;&gt;"Y"),"status do_not_contact but do_not_contact is not Y",""))))))</f>
        <v/>
      </c>
      <c r="I579" s="17" t="n">
        <v>558</v>
      </c>
      <c r="J579" s="17">
        <f>IFERROR(INDEX(Clay_Brands!$A$2:$FZ$601,I579,$D$5)&amp;"","")</f>
        <v/>
      </c>
      <c r="K579" s="17">
        <f>IFERROR(INDEX(Clay_Brands!$A$2:$FZ$601,I579,$D$7)&amp;"","")</f>
        <v/>
      </c>
      <c r="L579" s="17">
        <f>IFERROR(INDEX(Clay_Brands!$A$2:$FZ$601,I579,$D$8)&amp;"","")</f>
        <v/>
      </c>
      <c r="M579" s="17">
        <f>IF(J579="","",IF(COUNTIF(Brand_Log!$A$2:$A$201,J579)&gt;0,"Y","N"))</f>
        <v/>
      </c>
      <c r="N579" s="17">
        <f>IF(OR(J579="",AND(LEFT(J579,6)="SAMPLE",Config!$B$19&lt;&gt;"Y")),"",IF(IFERROR(INDEX(Lists!$J$2:$J$15,MATCH(K579,Lists!$I$2:$I$15,0)),-1)=-1,"status '"&amp;K579&amp;"' is not a CONTRACTS status",IF(AND(K579="paid",COUNTIF(paid_brands!$AC$2:$AC$51,J579)=0),"status paid but no paid_brands row"&amp;IF(M579="N"," and no tracker row",""),IF(AND(IFERROR(INDEX(Lists!$J$2:$J$15,MATCH(K579,Lists!$I$2:$I$15,0)),-1)&gt;=6,M579="N"),"status "&amp;K579&amp;" but no tracker row",IF(AND(L579="Y",K579&lt;&gt;"do_not_contact"),"do_not_contact = Y but status is "&amp;K579,IF(AND(K579="do_not_contact",L579&lt;&gt;"Y"),"status do_not_contact but do_not_contact is not Y",""))))))</f>
        <v/>
      </c>
    </row>
    <row r="580">
      <c r="B580" s="17" t="n">
        <v>559</v>
      </c>
      <c r="C580" s="17">
        <f>IFERROR(INDEX(Clay_Offices!$A$2:$FZ$601,B580,$C$5)&amp;"","")</f>
        <v/>
      </c>
      <c r="D580" s="17">
        <f>IFERROR(INDEX(Clay_Offices!$A$2:$FZ$601,B580,$C$7)&amp;"","")</f>
        <v/>
      </c>
      <c r="E580" s="17">
        <f>IFERROR(INDEX(Clay_Offices!$A$2:$FZ$601,B580,$C$8)&amp;"","")</f>
        <v/>
      </c>
      <c r="F580" s="17">
        <f>IF(C580="","",IF(COUNTIF(Office_Log!$A$2:$A$201,C580)&gt;0,"Y","N"))</f>
        <v/>
      </c>
      <c r="G580" s="17">
        <f>IF(OR(C580="",AND(LEFT(C580,6)="SAMPLE",Config!$B$19&lt;&gt;"Y")),"",IF(IFERROR(INDEX(Lists!$J$2:$J$15,MATCH(D580,Lists!$I$2:$I$15,0)),-1)=-1,"status '"&amp;D580&amp;"' is not a CONTRACTS status",IF(AND(D580="signed",COUNTIF(signed_offices!$W$2:$W$51,C580)=0),"status signed but no signed_offices row"&amp;IF(F580="N"," and no tracker row",""),IF(AND(IFERROR(INDEX(Lists!$J$2:$J$15,MATCH(D580,Lists!$I$2:$I$15,0)),-1)&gt;=6,F580="N"),"status "&amp;D580&amp;" but no tracker row",IF(AND(E580="Y",D580&lt;&gt;"do_not_contact"),"do_not_contact = Y but status is "&amp;D580,IF(AND(D580="do_not_contact",E580&lt;&gt;"Y"),"status do_not_contact but do_not_contact is not Y",""))))))</f>
        <v/>
      </c>
      <c r="I580" s="17" t="n">
        <v>559</v>
      </c>
      <c r="J580" s="17">
        <f>IFERROR(INDEX(Clay_Brands!$A$2:$FZ$601,I580,$D$5)&amp;"","")</f>
        <v/>
      </c>
      <c r="K580" s="17">
        <f>IFERROR(INDEX(Clay_Brands!$A$2:$FZ$601,I580,$D$7)&amp;"","")</f>
        <v/>
      </c>
      <c r="L580" s="17">
        <f>IFERROR(INDEX(Clay_Brands!$A$2:$FZ$601,I580,$D$8)&amp;"","")</f>
        <v/>
      </c>
      <c r="M580" s="17">
        <f>IF(J580="","",IF(COUNTIF(Brand_Log!$A$2:$A$201,J580)&gt;0,"Y","N"))</f>
        <v/>
      </c>
      <c r="N580" s="17">
        <f>IF(OR(J580="",AND(LEFT(J580,6)="SAMPLE",Config!$B$19&lt;&gt;"Y")),"",IF(IFERROR(INDEX(Lists!$J$2:$J$15,MATCH(K580,Lists!$I$2:$I$15,0)),-1)=-1,"status '"&amp;K580&amp;"' is not a CONTRACTS status",IF(AND(K580="paid",COUNTIF(paid_brands!$AC$2:$AC$51,J580)=0),"status paid but no paid_brands row"&amp;IF(M580="N"," and no tracker row",""),IF(AND(IFERROR(INDEX(Lists!$J$2:$J$15,MATCH(K580,Lists!$I$2:$I$15,0)),-1)&gt;=6,M580="N"),"status "&amp;K580&amp;" but no tracker row",IF(AND(L580="Y",K580&lt;&gt;"do_not_contact"),"do_not_contact = Y but status is "&amp;K580,IF(AND(K580="do_not_contact",L580&lt;&gt;"Y"),"status do_not_contact but do_not_contact is not Y",""))))))</f>
        <v/>
      </c>
    </row>
    <row r="581">
      <c r="B581" s="17" t="n">
        <v>560</v>
      </c>
      <c r="C581" s="17">
        <f>IFERROR(INDEX(Clay_Offices!$A$2:$FZ$601,B581,$C$5)&amp;"","")</f>
        <v/>
      </c>
      <c r="D581" s="17">
        <f>IFERROR(INDEX(Clay_Offices!$A$2:$FZ$601,B581,$C$7)&amp;"","")</f>
        <v/>
      </c>
      <c r="E581" s="17">
        <f>IFERROR(INDEX(Clay_Offices!$A$2:$FZ$601,B581,$C$8)&amp;"","")</f>
        <v/>
      </c>
      <c r="F581" s="17">
        <f>IF(C581="","",IF(COUNTIF(Office_Log!$A$2:$A$201,C581)&gt;0,"Y","N"))</f>
        <v/>
      </c>
      <c r="G581" s="17">
        <f>IF(OR(C581="",AND(LEFT(C581,6)="SAMPLE",Config!$B$19&lt;&gt;"Y")),"",IF(IFERROR(INDEX(Lists!$J$2:$J$15,MATCH(D581,Lists!$I$2:$I$15,0)),-1)=-1,"status '"&amp;D581&amp;"' is not a CONTRACTS status",IF(AND(D581="signed",COUNTIF(signed_offices!$W$2:$W$51,C581)=0),"status signed but no signed_offices row"&amp;IF(F581="N"," and no tracker row",""),IF(AND(IFERROR(INDEX(Lists!$J$2:$J$15,MATCH(D581,Lists!$I$2:$I$15,0)),-1)&gt;=6,F581="N"),"status "&amp;D581&amp;" but no tracker row",IF(AND(E581="Y",D581&lt;&gt;"do_not_contact"),"do_not_contact = Y but status is "&amp;D581,IF(AND(D581="do_not_contact",E581&lt;&gt;"Y"),"status do_not_contact but do_not_contact is not Y",""))))))</f>
        <v/>
      </c>
      <c r="I581" s="17" t="n">
        <v>560</v>
      </c>
      <c r="J581" s="17">
        <f>IFERROR(INDEX(Clay_Brands!$A$2:$FZ$601,I581,$D$5)&amp;"","")</f>
        <v/>
      </c>
      <c r="K581" s="17">
        <f>IFERROR(INDEX(Clay_Brands!$A$2:$FZ$601,I581,$D$7)&amp;"","")</f>
        <v/>
      </c>
      <c r="L581" s="17">
        <f>IFERROR(INDEX(Clay_Brands!$A$2:$FZ$601,I581,$D$8)&amp;"","")</f>
        <v/>
      </c>
      <c r="M581" s="17">
        <f>IF(J581="","",IF(COUNTIF(Brand_Log!$A$2:$A$201,J581)&gt;0,"Y","N"))</f>
        <v/>
      </c>
      <c r="N581" s="17">
        <f>IF(OR(J581="",AND(LEFT(J581,6)="SAMPLE",Config!$B$19&lt;&gt;"Y")),"",IF(IFERROR(INDEX(Lists!$J$2:$J$15,MATCH(K581,Lists!$I$2:$I$15,0)),-1)=-1,"status '"&amp;K581&amp;"' is not a CONTRACTS status",IF(AND(K581="paid",COUNTIF(paid_brands!$AC$2:$AC$51,J581)=0),"status paid but no paid_brands row"&amp;IF(M581="N"," and no tracker row",""),IF(AND(IFERROR(INDEX(Lists!$J$2:$J$15,MATCH(K581,Lists!$I$2:$I$15,0)),-1)&gt;=6,M581="N"),"status "&amp;K581&amp;" but no tracker row",IF(AND(L581="Y",K581&lt;&gt;"do_not_contact"),"do_not_contact = Y but status is "&amp;K581,IF(AND(K581="do_not_contact",L581&lt;&gt;"Y"),"status do_not_contact but do_not_contact is not Y",""))))))</f>
        <v/>
      </c>
    </row>
    <row r="582">
      <c r="B582" s="17" t="n">
        <v>561</v>
      </c>
      <c r="C582" s="17">
        <f>IFERROR(INDEX(Clay_Offices!$A$2:$FZ$601,B582,$C$5)&amp;"","")</f>
        <v/>
      </c>
      <c r="D582" s="17">
        <f>IFERROR(INDEX(Clay_Offices!$A$2:$FZ$601,B582,$C$7)&amp;"","")</f>
        <v/>
      </c>
      <c r="E582" s="17">
        <f>IFERROR(INDEX(Clay_Offices!$A$2:$FZ$601,B582,$C$8)&amp;"","")</f>
        <v/>
      </c>
      <c r="F582" s="17">
        <f>IF(C582="","",IF(COUNTIF(Office_Log!$A$2:$A$201,C582)&gt;0,"Y","N"))</f>
        <v/>
      </c>
      <c r="G582" s="17">
        <f>IF(OR(C582="",AND(LEFT(C582,6)="SAMPLE",Config!$B$19&lt;&gt;"Y")),"",IF(IFERROR(INDEX(Lists!$J$2:$J$15,MATCH(D582,Lists!$I$2:$I$15,0)),-1)=-1,"status '"&amp;D582&amp;"' is not a CONTRACTS status",IF(AND(D582="signed",COUNTIF(signed_offices!$W$2:$W$51,C582)=0),"status signed but no signed_offices row"&amp;IF(F582="N"," and no tracker row",""),IF(AND(IFERROR(INDEX(Lists!$J$2:$J$15,MATCH(D582,Lists!$I$2:$I$15,0)),-1)&gt;=6,F582="N"),"status "&amp;D582&amp;" but no tracker row",IF(AND(E582="Y",D582&lt;&gt;"do_not_contact"),"do_not_contact = Y but status is "&amp;D582,IF(AND(D582="do_not_contact",E582&lt;&gt;"Y"),"status do_not_contact but do_not_contact is not Y",""))))))</f>
        <v/>
      </c>
      <c r="I582" s="17" t="n">
        <v>561</v>
      </c>
      <c r="J582" s="17">
        <f>IFERROR(INDEX(Clay_Brands!$A$2:$FZ$601,I582,$D$5)&amp;"","")</f>
        <v/>
      </c>
      <c r="K582" s="17">
        <f>IFERROR(INDEX(Clay_Brands!$A$2:$FZ$601,I582,$D$7)&amp;"","")</f>
        <v/>
      </c>
      <c r="L582" s="17">
        <f>IFERROR(INDEX(Clay_Brands!$A$2:$FZ$601,I582,$D$8)&amp;"","")</f>
        <v/>
      </c>
      <c r="M582" s="17">
        <f>IF(J582="","",IF(COUNTIF(Brand_Log!$A$2:$A$201,J582)&gt;0,"Y","N"))</f>
        <v/>
      </c>
      <c r="N582" s="17">
        <f>IF(OR(J582="",AND(LEFT(J582,6)="SAMPLE",Config!$B$19&lt;&gt;"Y")),"",IF(IFERROR(INDEX(Lists!$J$2:$J$15,MATCH(K582,Lists!$I$2:$I$15,0)),-1)=-1,"status '"&amp;K582&amp;"' is not a CONTRACTS status",IF(AND(K582="paid",COUNTIF(paid_brands!$AC$2:$AC$51,J582)=0),"status paid but no paid_brands row"&amp;IF(M582="N"," and no tracker row",""),IF(AND(IFERROR(INDEX(Lists!$J$2:$J$15,MATCH(K582,Lists!$I$2:$I$15,0)),-1)&gt;=6,M582="N"),"status "&amp;K582&amp;" but no tracker row",IF(AND(L582="Y",K582&lt;&gt;"do_not_contact"),"do_not_contact = Y but status is "&amp;K582,IF(AND(K582="do_not_contact",L582&lt;&gt;"Y"),"status do_not_contact but do_not_contact is not Y",""))))))</f>
        <v/>
      </c>
    </row>
    <row r="583">
      <c r="B583" s="17" t="n">
        <v>562</v>
      </c>
      <c r="C583" s="17">
        <f>IFERROR(INDEX(Clay_Offices!$A$2:$FZ$601,B583,$C$5)&amp;"","")</f>
        <v/>
      </c>
      <c r="D583" s="17">
        <f>IFERROR(INDEX(Clay_Offices!$A$2:$FZ$601,B583,$C$7)&amp;"","")</f>
        <v/>
      </c>
      <c r="E583" s="17">
        <f>IFERROR(INDEX(Clay_Offices!$A$2:$FZ$601,B583,$C$8)&amp;"","")</f>
        <v/>
      </c>
      <c r="F583" s="17">
        <f>IF(C583="","",IF(COUNTIF(Office_Log!$A$2:$A$201,C583)&gt;0,"Y","N"))</f>
        <v/>
      </c>
      <c r="G583" s="17">
        <f>IF(OR(C583="",AND(LEFT(C583,6)="SAMPLE",Config!$B$19&lt;&gt;"Y")),"",IF(IFERROR(INDEX(Lists!$J$2:$J$15,MATCH(D583,Lists!$I$2:$I$15,0)),-1)=-1,"status '"&amp;D583&amp;"' is not a CONTRACTS status",IF(AND(D583="signed",COUNTIF(signed_offices!$W$2:$W$51,C583)=0),"status signed but no signed_offices row"&amp;IF(F583="N"," and no tracker row",""),IF(AND(IFERROR(INDEX(Lists!$J$2:$J$15,MATCH(D583,Lists!$I$2:$I$15,0)),-1)&gt;=6,F583="N"),"status "&amp;D583&amp;" but no tracker row",IF(AND(E583="Y",D583&lt;&gt;"do_not_contact"),"do_not_contact = Y but status is "&amp;D583,IF(AND(D583="do_not_contact",E583&lt;&gt;"Y"),"status do_not_contact but do_not_contact is not Y",""))))))</f>
        <v/>
      </c>
      <c r="I583" s="17" t="n">
        <v>562</v>
      </c>
      <c r="J583" s="17">
        <f>IFERROR(INDEX(Clay_Brands!$A$2:$FZ$601,I583,$D$5)&amp;"","")</f>
        <v/>
      </c>
      <c r="K583" s="17">
        <f>IFERROR(INDEX(Clay_Brands!$A$2:$FZ$601,I583,$D$7)&amp;"","")</f>
        <v/>
      </c>
      <c r="L583" s="17">
        <f>IFERROR(INDEX(Clay_Brands!$A$2:$FZ$601,I583,$D$8)&amp;"","")</f>
        <v/>
      </c>
      <c r="M583" s="17">
        <f>IF(J583="","",IF(COUNTIF(Brand_Log!$A$2:$A$201,J583)&gt;0,"Y","N"))</f>
        <v/>
      </c>
      <c r="N583" s="17">
        <f>IF(OR(J583="",AND(LEFT(J583,6)="SAMPLE",Config!$B$19&lt;&gt;"Y")),"",IF(IFERROR(INDEX(Lists!$J$2:$J$15,MATCH(K583,Lists!$I$2:$I$15,0)),-1)=-1,"status '"&amp;K583&amp;"' is not a CONTRACTS status",IF(AND(K583="paid",COUNTIF(paid_brands!$AC$2:$AC$51,J583)=0),"status paid but no paid_brands row"&amp;IF(M583="N"," and no tracker row",""),IF(AND(IFERROR(INDEX(Lists!$J$2:$J$15,MATCH(K583,Lists!$I$2:$I$15,0)),-1)&gt;=6,M583="N"),"status "&amp;K583&amp;" but no tracker row",IF(AND(L583="Y",K583&lt;&gt;"do_not_contact"),"do_not_contact = Y but status is "&amp;K583,IF(AND(K583="do_not_contact",L583&lt;&gt;"Y"),"status do_not_contact but do_not_contact is not Y",""))))))</f>
        <v/>
      </c>
    </row>
    <row r="584">
      <c r="B584" s="17" t="n">
        <v>563</v>
      </c>
      <c r="C584" s="17">
        <f>IFERROR(INDEX(Clay_Offices!$A$2:$FZ$601,B584,$C$5)&amp;"","")</f>
        <v/>
      </c>
      <c r="D584" s="17">
        <f>IFERROR(INDEX(Clay_Offices!$A$2:$FZ$601,B584,$C$7)&amp;"","")</f>
        <v/>
      </c>
      <c r="E584" s="17">
        <f>IFERROR(INDEX(Clay_Offices!$A$2:$FZ$601,B584,$C$8)&amp;"","")</f>
        <v/>
      </c>
      <c r="F584" s="17">
        <f>IF(C584="","",IF(COUNTIF(Office_Log!$A$2:$A$201,C584)&gt;0,"Y","N"))</f>
        <v/>
      </c>
      <c r="G584" s="17">
        <f>IF(OR(C584="",AND(LEFT(C584,6)="SAMPLE",Config!$B$19&lt;&gt;"Y")),"",IF(IFERROR(INDEX(Lists!$J$2:$J$15,MATCH(D584,Lists!$I$2:$I$15,0)),-1)=-1,"status '"&amp;D584&amp;"' is not a CONTRACTS status",IF(AND(D584="signed",COUNTIF(signed_offices!$W$2:$W$51,C584)=0),"status signed but no signed_offices row"&amp;IF(F584="N"," and no tracker row",""),IF(AND(IFERROR(INDEX(Lists!$J$2:$J$15,MATCH(D584,Lists!$I$2:$I$15,0)),-1)&gt;=6,F584="N"),"status "&amp;D584&amp;" but no tracker row",IF(AND(E584="Y",D584&lt;&gt;"do_not_contact"),"do_not_contact = Y but status is "&amp;D584,IF(AND(D584="do_not_contact",E584&lt;&gt;"Y"),"status do_not_contact but do_not_contact is not Y",""))))))</f>
        <v/>
      </c>
      <c r="I584" s="17" t="n">
        <v>563</v>
      </c>
      <c r="J584" s="17">
        <f>IFERROR(INDEX(Clay_Brands!$A$2:$FZ$601,I584,$D$5)&amp;"","")</f>
        <v/>
      </c>
      <c r="K584" s="17">
        <f>IFERROR(INDEX(Clay_Brands!$A$2:$FZ$601,I584,$D$7)&amp;"","")</f>
        <v/>
      </c>
      <c r="L584" s="17">
        <f>IFERROR(INDEX(Clay_Brands!$A$2:$FZ$601,I584,$D$8)&amp;"","")</f>
        <v/>
      </c>
      <c r="M584" s="17">
        <f>IF(J584="","",IF(COUNTIF(Brand_Log!$A$2:$A$201,J584)&gt;0,"Y","N"))</f>
        <v/>
      </c>
      <c r="N584" s="17">
        <f>IF(OR(J584="",AND(LEFT(J584,6)="SAMPLE",Config!$B$19&lt;&gt;"Y")),"",IF(IFERROR(INDEX(Lists!$J$2:$J$15,MATCH(K584,Lists!$I$2:$I$15,0)),-1)=-1,"status '"&amp;K584&amp;"' is not a CONTRACTS status",IF(AND(K584="paid",COUNTIF(paid_brands!$AC$2:$AC$51,J584)=0),"status paid but no paid_brands row"&amp;IF(M584="N"," and no tracker row",""),IF(AND(IFERROR(INDEX(Lists!$J$2:$J$15,MATCH(K584,Lists!$I$2:$I$15,0)),-1)&gt;=6,M584="N"),"status "&amp;K584&amp;" but no tracker row",IF(AND(L584="Y",K584&lt;&gt;"do_not_contact"),"do_not_contact = Y but status is "&amp;K584,IF(AND(K584="do_not_contact",L584&lt;&gt;"Y"),"status do_not_contact but do_not_contact is not Y",""))))))</f>
        <v/>
      </c>
    </row>
    <row r="585">
      <c r="B585" s="17" t="n">
        <v>564</v>
      </c>
      <c r="C585" s="17">
        <f>IFERROR(INDEX(Clay_Offices!$A$2:$FZ$601,B585,$C$5)&amp;"","")</f>
        <v/>
      </c>
      <c r="D585" s="17">
        <f>IFERROR(INDEX(Clay_Offices!$A$2:$FZ$601,B585,$C$7)&amp;"","")</f>
        <v/>
      </c>
      <c r="E585" s="17">
        <f>IFERROR(INDEX(Clay_Offices!$A$2:$FZ$601,B585,$C$8)&amp;"","")</f>
        <v/>
      </c>
      <c r="F585" s="17">
        <f>IF(C585="","",IF(COUNTIF(Office_Log!$A$2:$A$201,C585)&gt;0,"Y","N"))</f>
        <v/>
      </c>
      <c r="G585" s="17">
        <f>IF(OR(C585="",AND(LEFT(C585,6)="SAMPLE",Config!$B$19&lt;&gt;"Y")),"",IF(IFERROR(INDEX(Lists!$J$2:$J$15,MATCH(D585,Lists!$I$2:$I$15,0)),-1)=-1,"status '"&amp;D585&amp;"' is not a CONTRACTS status",IF(AND(D585="signed",COUNTIF(signed_offices!$W$2:$W$51,C585)=0),"status signed but no signed_offices row"&amp;IF(F585="N"," and no tracker row",""),IF(AND(IFERROR(INDEX(Lists!$J$2:$J$15,MATCH(D585,Lists!$I$2:$I$15,0)),-1)&gt;=6,F585="N"),"status "&amp;D585&amp;" but no tracker row",IF(AND(E585="Y",D585&lt;&gt;"do_not_contact"),"do_not_contact = Y but status is "&amp;D585,IF(AND(D585="do_not_contact",E585&lt;&gt;"Y"),"status do_not_contact but do_not_contact is not Y",""))))))</f>
        <v/>
      </c>
      <c r="I585" s="17" t="n">
        <v>564</v>
      </c>
      <c r="J585" s="17">
        <f>IFERROR(INDEX(Clay_Brands!$A$2:$FZ$601,I585,$D$5)&amp;"","")</f>
        <v/>
      </c>
      <c r="K585" s="17">
        <f>IFERROR(INDEX(Clay_Brands!$A$2:$FZ$601,I585,$D$7)&amp;"","")</f>
        <v/>
      </c>
      <c r="L585" s="17">
        <f>IFERROR(INDEX(Clay_Brands!$A$2:$FZ$601,I585,$D$8)&amp;"","")</f>
        <v/>
      </c>
      <c r="M585" s="17">
        <f>IF(J585="","",IF(COUNTIF(Brand_Log!$A$2:$A$201,J585)&gt;0,"Y","N"))</f>
        <v/>
      </c>
      <c r="N585" s="17">
        <f>IF(OR(J585="",AND(LEFT(J585,6)="SAMPLE",Config!$B$19&lt;&gt;"Y")),"",IF(IFERROR(INDEX(Lists!$J$2:$J$15,MATCH(K585,Lists!$I$2:$I$15,0)),-1)=-1,"status '"&amp;K585&amp;"' is not a CONTRACTS status",IF(AND(K585="paid",COUNTIF(paid_brands!$AC$2:$AC$51,J585)=0),"status paid but no paid_brands row"&amp;IF(M585="N"," and no tracker row",""),IF(AND(IFERROR(INDEX(Lists!$J$2:$J$15,MATCH(K585,Lists!$I$2:$I$15,0)),-1)&gt;=6,M585="N"),"status "&amp;K585&amp;" but no tracker row",IF(AND(L585="Y",K585&lt;&gt;"do_not_contact"),"do_not_contact = Y but status is "&amp;K585,IF(AND(K585="do_not_contact",L585&lt;&gt;"Y"),"status do_not_contact but do_not_contact is not Y",""))))))</f>
        <v/>
      </c>
    </row>
    <row r="586">
      <c r="B586" s="17" t="n">
        <v>565</v>
      </c>
      <c r="C586" s="17">
        <f>IFERROR(INDEX(Clay_Offices!$A$2:$FZ$601,B586,$C$5)&amp;"","")</f>
        <v/>
      </c>
      <c r="D586" s="17">
        <f>IFERROR(INDEX(Clay_Offices!$A$2:$FZ$601,B586,$C$7)&amp;"","")</f>
        <v/>
      </c>
      <c r="E586" s="17">
        <f>IFERROR(INDEX(Clay_Offices!$A$2:$FZ$601,B586,$C$8)&amp;"","")</f>
        <v/>
      </c>
      <c r="F586" s="17">
        <f>IF(C586="","",IF(COUNTIF(Office_Log!$A$2:$A$201,C586)&gt;0,"Y","N"))</f>
        <v/>
      </c>
      <c r="G586" s="17">
        <f>IF(OR(C586="",AND(LEFT(C586,6)="SAMPLE",Config!$B$19&lt;&gt;"Y")),"",IF(IFERROR(INDEX(Lists!$J$2:$J$15,MATCH(D586,Lists!$I$2:$I$15,0)),-1)=-1,"status '"&amp;D586&amp;"' is not a CONTRACTS status",IF(AND(D586="signed",COUNTIF(signed_offices!$W$2:$W$51,C586)=0),"status signed but no signed_offices row"&amp;IF(F586="N"," and no tracker row",""),IF(AND(IFERROR(INDEX(Lists!$J$2:$J$15,MATCH(D586,Lists!$I$2:$I$15,0)),-1)&gt;=6,F586="N"),"status "&amp;D586&amp;" but no tracker row",IF(AND(E586="Y",D586&lt;&gt;"do_not_contact"),"do_not_contact = Y but status is "&amp;D586,IF(AND(D586="do_not_contact",E586&lt;&gt;"Y"),"status do_not_contact but do_not_contact is not Y",""))))))</f>
        <v/>
      </c>
      <c r="I586" s="17" t="n">
        <v>565</v>
      </c>
      <c r="J586" s="17">
        <f>IFERROR(INDEX(Clay_Brands!$A$2:$FZ$601,I586,$D$5)&amp;"","")</f>
        <v/>
      </c>
      <c r="K586" s="17">
        <f>IFERROR(INDEX(Clay_Brands!$A$2:$FZ$601,I586,$D$7)&amp;"","")</f>
        <v/>
      </c>
      <c r="L586" s="17">
        <f>IFERROR(INDEX(Clay_Brands!$A$2:$FZ$601,I586,$D$8)&amp;"","")</f>
        <v/>
      </c>
      <c r="M586" s="17">
        <f>IF(J586="","",IF(COUNTIF(Brand_Log!$A$2:$A$201,J586)&gt;0,"Y","N"))</f>
        <v/>
      </c>
      <c r="N586" s="17">
        <f>IF(OR(J586="",AND(LEFT(J586,6)="SAMPLE",Config!$B$19&lt;&gt;"Y")),"",IF(IFERROR(INDEX(Lists!$J$2:$J$15,MATCH(K586,Lists!$I$2:$I$15,0)),-1)=-1,"status '"&amp;K586&amp;"' is not a CONTRACTS status",IF(AND(K586="paid",COUNTIF(paid_brands!$AC$2:$AC$51,J586)=0),"status paid but no paid_brands row"&amp;IF(M586="N"," and no tracker row",""),IF(AND(IFERROR(INDEX(Lists!$J$2:$J$15,MATCH(K586,Lists!$I$2:$I$15,0)),-1)&gt;=6,M586="N"),"status "&amp;K586&amp;" but no tracker row",IF(AND(L586="Y",K586&lt;&gt;"do_not_contact"),"do_not_contact = Y but status is "&amp;K586,IF(AND(K586="do_not_contact",L586&lt;&gt;"Y"),"status do_not_contact but do_not_contact is not Y",""))))))</f>
        <v/>
      </c>
    </row>
    <row r="587">
      <c r="B587" s="17" t="n">
        <v>566</v>
      </c>
      <c r="C587" s="17">
        <f>IFERROR(INDEX(Clay_Offices!$A$2:$FZ$601,B587,$C$5)&amp;"","")</f>
        <v/>
      </c>
      <c r="D587" s="17">
        <f>IFERROR(INDEX(Clay_Offices!$A$2:$FZ$601,B587,$C$7)&amp;"","")</f>
        <v/>
      </c>
      <c r="E587" s="17">
        <f>IFERROR(INDEX(Clay_Offices!$A$2:$FZ$601,B587,$C$8)&amp;"","")</f>
        <v/>
      </c>
      <c r="F587" s="17">
        <f>IF(C587="","",IF(COUNTIF(Office_Log!$A$2:$A$201,C587)&gt;0,"Y","N"))</f>
        <v/>
      </c>
      <c r="G587" s="17">
        <f>IF(OR(C587="",AND(LEFT(C587,6)="SAMPLE",Config!$B$19&lt;&gt;"Y")),"",IF(IFERROR(INDEX(Lists!$J$2:$J$15,MATCH(D587,Lists!$I$2:$I$15,0)),-1)=-1,"status '"&amp;D587&amp;"' is not a CONTRACTS status",IF(AND(D587="signed",COUNTIF(signed_offices!$W$2:$W$51,C587)=0),"status signed but no signed_offices row"&amp;IF(F587="N"," and no tracker row",""),IF(AND(IFERROR(INDEX(Lists!$J$2:$J$15,MATCH(D587,Lists!$I$2:$I$15,0)),-1)&gt;=6,F587="N"),"status "&amp;D587&amp;" but no tracker row",IF(AND(E587="Y",D587&lt;&gt;"do_not_contact"),"do_not_contact = Y but status is "&amp;D587,IF(AND(D587="do_not_contact",E587&lt;&gt;"Y"),"status do_not_contact but do_not_contact is not Y",""))))))</f>
        <v/>
      </c>
      <c r="I587" s="17" t="n">
        <v>566</v>
      </c>
      <c r="J587" s="17">
        <f>IFERROR(INDEX(Clay_Brands!$A$2:$FZ$601,I587,$D$5)&amp;"","")</f>
        <v/>
      </c>
      <c r="K587" s="17">
        <f>IFERROR(INDEX(Clay_Brands!$A$2:$FZ$601,I587,$D$7)&amp;"","")</f>
        <v/>
      </c>
      <c r="L587" s="17">
        <f>IFERROR(INDEX(Clay_Brands!$A$2:$FZ$601,I587,$D$8)&amp;"","")</f>
        <v/>
      </c>
      <c r="M587" s="17">
        <f>IF(J587="","",IF(COUNTIF(Brand_Log!$A$2:$A$201,J587)&gt;0,"Y","N"))</f>
        <v/>
      </c>
      <c r="N587" s="17">
        <f>IF(OR(J587="",AND(LEFT(J587,6)="SAMPLE",Config!$B$19&lt;&gt;"Y")),"",IF(IFERROR(INDEX(Lists!$J$2:$J$15,MATCH(K587,Lists!$I$2:$I$15,0)),-1)=-1,"status '"&amp;K587&amp;"' is not a CONTRACTS status",IF(AND(K587="paid",COUNTIF(paid_brands!$AC$2:$AC$51,J587)=0),"status paid but no paid_brands row"&amp;IF(M587="N"," and no tracker row",""),IF(AND(IFERROR(INDEX(Lists!$J$2:$J$15,MATCH(K587,Lists!$I$2:$I$15,0)),-1)&gt;=6,M587="N"),"status "&amp;K587&amp;" but no tracker row",IF(AND(L587="Y",K587&lt;&gt;"do_not_contact"),"do_not_contact = Y but status is "&amp;K587,IF(AND(K587="do_not_contact",L587&lt;&gt;"Y"),"status do_not_contact but do_not_contact is not Y",""))))))</f>
        <v/>
      </c>
    </row>
    <row r="588">
      <c r="B588" s="17" t="n">
        <v>567</v>
      </c>
      <c r="C588" s="17">
        <f>IFERROR(INDEX(Clay_Offices!$A$2:$FZ$601,B588,$C$5)&amp;"","")</f>
        <v/>
      </c>
      <c r="D588" s="17">
        <f>IFERROR(INDEX(Clay_Offices!$A$2:$FZ$601,B588,$C$7)&amp;"","")</f>
        <v/>
      </c>
      <c r="E588" s="17">
        <f>IFERROR(INDEX(Clay_Offices!$A$2:$FZ$601,B588,$C$8)&amp;"","")</f>
        <v/>
      </c>
      <c r="F588" s="17">
        <f>IF(C588="","",IF(COUNTIF(Office_Log!$A$2:$A$201,C588)&gt;0,"Y","N"))</f>
        <v/>
      </c>
      <c r="G588" s="17">
        <f>IF(OR(C588="",AND(LEFT(C588,6)="SAMPLE",Config!$B$19&lt;&gt;"Y")),"",IF(IFERROR(INDEX(Lists!$J$2:$J$15,MATCH(D588,Lists!$I$2:$I$15,0)),-1)=-1,"status '"&amp;D588&amp;"' is not a CONTRACTS status",IF(AND(D588="signed",COUNTIF(signed_offices!$W$2:$W$51,C588)=0),"status signed but no signed_offices row"&amp;IF(F588="N"," and no tracker row",""),IF(AND(IFERROR(INDEX(Lists!$J$2:$J$15,MATCH(D588,Lists!$I$2:$I$15,0)),-1)&gt;=6,F588="N"),"status "&amp;D588&amp;" but no tracker row",IF(AND(E588="Y",D588&lt;&gt;"do_not_contact"),"do_not_contact = Y but status is "&amp;D588,IF(AND(D588="do_not_contact",E588&lt;&gt;"Y"),"status do_not_contact but do_not_contact is not Y",""))))))</f>
        <v/>
      </c>
      <c r="I588" s="17" t="n">
        <v>567</v>
      </c>
      <c r="J588" s="17">
        <f>IFERROR(INDEX(Clay_Brands!$A$2:$FZ$601,I588,$D$5)&amp;"","")</f>
        <v/>
      </c>
      <c r="K588" s="17">
        <f>IFERROR(INDEX(Clay_Brands!$A$2:$FZ$601,I588,$D$7)&amp;"","")</f>
        <v/>
      </c>
      <c r="L588" s="17">
        <f>IFERROR(INDEX(Clay_Brands!$A$2:$FZ$601,I588,$D$8)&amp;"","")</f>
        <v/>
      </c>
      <c r="M588" s="17">
        <f>IF(J588="","",IF(COUNTIF(Brand_Log!$A$2:$A$201,J588)&gt;0,"Y","N"))</f>
        <v/>
      </c>
      <c r="N588" s="17">
        <f>IF(OR(J588="",AND(LEFT(J588,6)="SAMPLE",Config!$B$19&lt;&gt;"Y")),"",IF(IFERROR(INDEX(Lists!$J$2:$J$15,MATCH(K588,Lists!$I$2:$I$15,0)),-1)=-1,"status '"&amp;K588&amp;"' is not a CONTRACTS status",IF(AND(K588="paid",COUNTIF(paid_brands!$AC$2:$AC$51,J588)=0),"status paid but no paid_brands row"&amp;IF(M588="N"," and no tracker row",""),IF(AND(IFERROR(INDEX(Lists!$J$2:$J$15,MATCH(K588,Lists!$I$2:$I$15,0)),-1)&gt;=6,M588="N"),"status "&amp;K588&amp;" but no tracker row",IF(AND(L588="Y",K588&lt;&gt;"do_not_contact"),"do_not_contact = Y but status is "&amp;K588,IF(AND(K588="do_not_contact",L588&lt;&gt;"Y"),"status do_not_contact but do_not_contact is not Y",""))))))</f>
        <v/>
      </c>
    </row>
    <row r="589">
      <c r="B589" s="17" t="n">
        <v>568</v>
      </c>
      <c r="C589" s="17">
        <f>IFERROR(INDEX(Clay_Offices!$A$2:$FZ$601,B589,$C$5)&amp;"","")</f>
        <v/>
      </c>
      <c r="D589" s="17">
        <f>IFERROR(INDEX(Clay_Offices!$A$2:$FZ$601,B589,$C$7)&amp;"","")</f>
        <v/>
      </c>
      <c r="E589" s="17">
        <f>IFERROR(INDEX(Clay_Offices!$A$2:$FZ$601,B589,$C$8)&amp;"","")</f>
        <v/>
      </c>
      <c r="F589" s="17">
        <f>IF(C589="","",IF(COUNTIF(Office_Log!$A$2:$A$201,C589)&gt;0,"Y","N"))</f>
        <v/>
      </c>
      <c r="G589" s="17">
        <f>IF(OR(C589="",AND(LEFT(C589,6)="SAMPLE",Config!$B$19&lt;&gt;"Y")),"",IF(IFERROR(INDEX(Lists!$J$2:$J$15,MATCH(D589,Lists!$I$2:$I$15,0)),-1)=-1,"status '"&amp;D589&amp;"' is not a CONTRACTS status",IF(AND(D589="signed",COUNTIF(signed_offices!$W$2:$W$51,C589)=0),"status signed but no signed_offices row"&amp;IF(F589="N"," and no tracker row",""),IF(AND(IFERROR(INDEX(Lists!$J$2:$J$15,MATCH(D589,Lists!$I$2:$I$15,0)),-1)&gt;=6,F589="N"),"status "&amp;D589&amp;" but no tracker row",IF(AND(E589="Y",D589&lt;&gt;"do_not_contact"),"do_not_contact = Y but status is "&amp;D589,IF(AND(D589="do_not_contact",E589&lt;&gt;"Y"),"status do_not_contact but do_not_contact is not Y",""))))))</f>
        <v/>
      </c>
      <c r="I589" s="17" t="n">
        <v>568</v>
      </c>
      <c r="J589" s="17">
        <f>IFERROR(INDEX(Clay_Brands!$A$2:$FZ$601,I589,$D$5)&amp;"","")</f>
        <v/>
      </c>
      <c r="K589" s="17">
        <f>IFERROR(INDEX(Clay_Brands!$A$2:$FZ$601,I589,$D$7)&amp;"","")</f>
        <v/>
      </c>
      <c r="L589" s="17">
        <f>IFERROR(INDEX(Clay_Brands!$A$2:$FZ$601,I589,$D$8)&amp;"","")</f>
        <v/>
      </c>
      <c r="M589" s="17">
        <f>IF(J589="","",IF(COUNTIF(Brand_Log!$A$2:$A$201,J589)&gt;0,"Y","N"))</f>
        <v/>
      </c>
      <c r="N589" s="17">
        <f>IF(OR(J589="",AND(LEFT(J589,6)="SAMPLE",Config!$B$19&lt;&gt;"Y")),"",IF(IFERROR(INDEX(Lists!$J$2:$J$15,MATCH(K589,Lists!$I$2:$I$15,0)),-1)=-1,"status '"&amp;K589&amp;"' is not a CONTRACTS status",IF(AND(K589="paid",COUNTIF(paid_brands!$AC$2:$AC$51,J589)=0),"status paid but no paid_brands row"&amp;IF(M589="N"," and no tracker row",""),IF(AND(IFERROR(INDEX(Lists!$J$2:$J$15,MATCH(K589,Lists!$I$2:$I$15,0)),-1)&gt;=6,M589="N"),"status "&amp;K589&amp;" but no tracker row",IF(AND(L589="Y",K589&lt;&gt;"do_not_contact"),"do_not_contact = Y but status is "&amp;K589,IF(AND(K589="do_not_contact",L589&lt;&gt;"Y"),"status do_not_contact but do_not_contact is not Y",""))))))</f>
        <v/>
      </c>
    </row>
    <row r="590">
      <c r="B590" s="17" t="n">
        <v>569</v>
      </c>
      <c r="C590" s="17">
        <f>IFERROR(INDEX(Clay_Offices!$A$2:$FZ$601,B590,$C$5)&amp;"","")</f>
        <v/>
      </c>
      <c r="D590" s="17">
        <f>IFERROR(INDEX(Clay_Offices!$A$2:$FZ$601,B590,$C$7)&amp;"","")</f>
        <v/>
      </c>
      <c r="E590" s="17">
        <f>IFERROR(INDEX(Clay_Offices!$A$2:$FZ$601,B590,$C$8)&amp;"","")</f>
        <v/>
      </c>
      <c r="F590" s="17">
        <f>IF(C590="","",IF(COUNTIF(Office_Log!$A$2:$A$201,C590)&gt;0,"Y","N"))</f>
        <v/>
      </c>
      <c r="G590" s="17">
        <f>IF(OR(C590="",AND(LEFT(C590,6)="SAMPLE",Config!$B$19&lt;&gt;"Y")),"",IF(IFERROR(INDEX(Lists!$J$2:$J$15,MATCH(D590,Lists!$I$2:$I$15,0)),-1)=-1,"status '"&amp;D590&amp;"' is not a CONTRACTS status",IF(AND(D590="signed",COUNTIF(signed_offices!$W$2:$W$51,C590)=0),"status signed but no signed_offices row"&amp;IF(F590="N"," and no tracker row",""),IF(AND(IFERROR(INDEX(Lists!$J$2:$J$15,MATCH(D590,Lists!$I$2:$I$15,0)),-1)&gt;=6,F590="N"),"status "&amp;D590&amp;" but no tracker row",IF(AND(E590="Y",D590&lt;&gt;"do_not_contact"),"do_not_contact = Y but status is "&amp;D590,IF(AND(D590="do_not_contact",E590&lt;&gt;"Y"),"status do_not_contact but do_not_contact is not Y",""))))))</f>
        <v/>
      </c>
      <c r="I590" s="17" t="n">
        <v>569</v>
      </c>
      <c r="J590" s="17">
        <f>IFERROR(INDEX(Clay_Brands!$A$2:$FZ$601,I590,$D$5)&amp;"","")</f>
        <v/>
      </c>
      <c r="K590" s="17">
        <f>IFERROR(INDEX(Clay_Brands!$A$2:$FZ$601,I590,$D$7)&amp;"","")</f>
        <v/>
      </c>
      <c r="L590" s="17">
        <f>IFERROR(INDEX(Clay_Brands!$A$2:$FZ$601,I590,$D$8)&amp;"","")</f>
        <v/>
      </c>
      <c r="M590" s="17">
        <f>IF(J590="","",IF(COUNTIF(Brand_Log!$A$2:$A$201,J590)&gt;0,"Y","N"))</f>
        <v/>
      </c>
      <c r="N590" s="17">
        <f>IF(OR(J590="",AND(LEFT(J590,6)="SAMPLE",Config!$B$19&lt;&gt;"Y")),"",IF(IFERROR(INDEX(Lists!$J$2:$J$15,MATCH(K590,Lists!$I$2:$I$15,0)),-1)=-1,"status '"&amp;K590&amp;"' is not a CONTRACTS status",IF(AND(K590="paid",COUNTIF(paid_brands!$AC$2:$AC$51,J590)=0),"status paid but no paid_brands row"&amp;IF(M590="N"," and no tracker row",""),IF(AND(IFERROR(INDEX(Lists!$J$2:$J$15,MATCH(K590,Lists!$I$2:$I$15,0)),-1)&gt;=6,M590="N"),"status "&amp;K590&amp;" but no tracker row",IF(AND(L590="Y",K590&lt;&gt;"do_not_contact"),"do_not_contact = Y but status is "&amp;K590,IF(AND(K590="do_not_contact",L590&lt;&gt;"Y"),"status do_not_contact but do_not_contact is not Y",""))))))</f>
        <v/>
      </c>
    </row>
    <row r="591">
      <c r="B591" s="17" t="n">
        <v>570</v>
      </c>
      <c r="C591" s="17">
        <f>IFERROR(INDEX(Clay_Offices!$A$2:$FZ$601,B591,$C$5)&amp;"","")</f>
        <v/>
      </c>
      <c r="D591" s="17">
        <f>IFERROR(INDEX(Clay_Offices!$A$2:$FZ$601,B591,$C$7)&amp;"","")</f>
        <v/>
      </c>
      <c r="E591" s="17">
        <f>IFERROR(INDEX(Clay_Offices!$A$2:$FZ$601,B591,$C$8)&amp;"","")</f>
        <v/>
      </c>
      <c r="F591" s="17">
        <f>IF(C591="","",IF(COUNTIF(Office_Log!$A$2:$A$201,C591)&gt;0,"Y","N"))</f>
        <v/>
      </c>
      <c r="G591" s="17">
        <f>IF(OR(C591="",AND(LEFT(C591,6)="SAMPLE",Config!$B$19&lt;&gt;"Y")),"",IF(IFERROR(INDEX(Lists!$J$2:$J$15,MATCH(D591,Lists!$I$2:$I$15,0)),-1)=-1,"status '"&amp;D591&amp;"' is not a CONTRACTS status",IF(AND(D591="signed",COUNTIF(signed_offices!$W$2:$W$51,C591)=0),"status signed but no signed_offices row"&amp;IF(F591="N"," and no tracker row",""),IF(AND(IFERROR(INDEX(Lists!$J$2:$J$15,MATCH(D591,Lists!$I$2:$I$15,0)),-1)&gt;=6,F591="N"),"status "&amp;D591&amp;" but no tracker row",IF(AND(E591="Y",D591&lt;&gt;"do_not_contact"),"do_not_contact = Y but status is "&amp;D591,IF(AND(D591="do_not_contact",E591&lt;&gt;"Y"),"status do_not_contact but do_not_contact is not Y",""))))))</f>
        <v/>
      </c>
      <c r="I591" s="17" t="n">
        <v>570</v>
      </c>
      <c r="J591" s="17">
        <f>IFERROR(INDEX(Clay_Brands!$A$2:$FZ$601,I591,$D$5)&amp;"","")</f>
        <v/>
      </c>
      <c r="K591" s="17">
        <f>IFERROR(INDEX(Clay_Brands!$A$2:$FZ$601,I591,$D$7)&amp;"","")</f>
        <v/>
      </c>
      <c r="L591" s="17">
        <f>IFERROR(INDEX(Clay_Brands!$A$2:$FZ$601,I591,$D$8)&amp;"","")</f>
        <v/>
      </c>
      <c r="M591" s="17">
        <f>IF(J591="","",IF(COUNTIF(Brand_Log!$A$2:$A$201,J591)&gt;0,"Y","N"))</f>
        <v/>
      </c>
      <c r="N591" s="17">
        <f>IF(OR(J591="",AND(LEFT(J591,6)="SAMPLE",Config!$B$19&lt;&gt;"Y")),"",IF(IFERROR(INDEX(Lists!$J$2:$J$15,MATCH(K591,Lists!$I$2:$I$15,0)),-1)=-1,"status '"&amp;K591&amp;"' is not a CONTRACTS status",IF(AND(K591="paid",COUNTIF(paid_brands!$AC$2:$AC$51,J591)=0),"status paid but no paid_brands row"&amp;IF(M591="N"," and no tracker row",""),IF(AND(IFERROR(INDEX(Lists!$J$2:$J$15,MATCH(K591,Lists!$I$2:$I$15,0)),-1)&gt;=6,M591="N"),"status "&amp;K591&amp;" but no tracker row",IF(AND(L591="Y",K591&lt;&gt;"do_not_contact"),"do_not_contact = Y but status is "&amp;K591,IF(AND(K591="do_not_contact",L591&lt;&gt;"Y"),"status do_not_contact but do_not_contact is not Y",""))))))</f>
        <v/>
      </c>
    </row>
    <row r="592">
      <c r="B592" s="17" t="n">
        <v>571</v>
      </c>
      <c r="C592" s="17">
        <f>IFERROR(INDEX(Clay_Offices!$A$2:$FZ$601,B592,$C$5)&amp;"","")</f>
        <v/>
      </c>
      <c r="D592" s="17">
        <f>IFERROR(INDEX(Clay_Offices!$A$2:$FZ$601,B592,$C$7)&amp;"","")</f>
        <v/>
      </c>
      <c r="E592" s="17">
        <f>IFERROR(INDEX(Clay_Offices!$A$2:$FZ$601,B592,$C$8)&amp;"","")</f>
        <v/>
      </c>
      <c r="F592" s="17">
        <f>IF(C592="","",IF(COUNTIF(Office_Log!$A$2:$A$201,C592)&gt;0,"Y","N"))</f>
        <v/>
      </c>
      <c r="G592" s="17">
        <f>IF(OR(C592="",AND(LEFT(C592,6)="SAMPLE",Config!$B$19&lt;&gt;"Y")),"",IF(IFERROR(INDEX(Lists!$J$2:$J$15,MATCH(D592,Lists!$I$2:$I$15,0)),-1)=-1,"status '"&amp;D592&amp;"' is not a CONTRACTS status",IF(AND(D592="signed",COUNTIF(signed_offices!$W$2:$W$51,C592)=0),"status signed but no signed_offices row"&amp;IF(F592="N"," and no tracker row",""),IF(AND(IFERROR(INDEX(Lists!$J$2:$J$15,MATCH(D592,Lists!$I$2:$I$15,0)),-1)&gt;=6,F592="N"),"status "&amp;D592&amp;" but no tracker row",IF(AND(E592="Y",D592&lt;&gt;"do_not_contact"),"do_not_contact = Y but status is "&amp;D592,IF(AND(D592="do_not_contact",E592&lt;&gt;"Y"),"status do_not_contact but do_not_contact is not Y",""))))))</f>
        <v/>
      </c>
      <c r="I592" s="17" t="n">
        <v>571</v>
      </c>
      <c r="J592" s="17">
        <f>IFERROR(INDEX(Clay_Brands!$A$2:$FZ$601,I592,$D$5)&amp;"","")</f>
        <v/>
      </c>
      <c r="K592" s="17">
        <f>IFERROR(INDEX(Clay_Brands!$A$2:$FZ$601,I592,$D$7)&amp;"","")</f>
        <v/>
      </c>
      <c r="L592" s="17">
        <f>IFERROR(INDEX(Clay_Brands!$A$2:$FZ$601,I592,$D$8)&amp;"","")</f>
        <v/>
      </c>
      <c r="M592" s="17">
        <f>IF(J592="","",IF(COUNTIF(Brand_Log!$A$2:$A$201,J592)&gt;0,"Y","N"))</f>
        <v/>
      </c>
      <c r="N592" s="17">
        <f>IF(OR(J592="",AND(LEFT(J592,6)="SAMPLE",Config!$B$19&lt;&gt;"Y")),"",IF(IFERROR(INDEX(Lists!$J$2:$J$15,MATCH(K592,Lists!$I$2:$I$15,0)),-1)=-1,"status '"&amp;K592&amp;"' is not a CONTRACTS status",IF(AND(K592="paid",COUNTIF(paid_brands!$AC$2:$AC$51,J592)=0),"status paid but no paid_brands row"&amp;IF(M592="N"," and no tracker row",""),IF(AND(IFERROR(INDEX(Lists!$J$2:$J$15,MATCH(K592,Lists!$I$2:$I$15,0)),-1)&gt;=6,M592="N"),"status "&amp;K592&amp;" but no tracker row",IF(AND(L592="Y",K592&lt;&gt;"do_not_contact"),"do_not_contact = Y but status is "&amp;K592,IF(AND(K592="do_not_contact",L592&lt;&gt;"Y"),"status do_not_contact but do_not_contact is not Y",""))))))</f>
        <v/>
      </c>
    </row>
    <row r="593">
      <c r="B593" s="17" t="n">
        <v>572</v>
      </c>
      <c r="C593" s="17">
        <f>IFERROR(INDEX(Clay_Offices!$A$2:$FZ$601,B593,$C$5)&amp;"","")</f>
        <v/>
      </c>
      <c r="D593" s="17">
        <f>IFERROR(INDEX(Clay_Offices!$A$2:$FZ$601,B593,$C$7)&amp;"","")</f>
        <v/>
      </c>
      <c r="E593" s="17">
        <f>IFERROR(INDEX(Clay_Offices!$A$2:$FZ$601,B593,$C$8)&amp;"","")</f>
        <v/>
      </c>
      <c r="F593" s="17">
        <f>IF(C593="","",IF(COUNTIF(Office_Log!$A$2:$A$201,C593)&gt;0,"Y","N"))</f>
        <v/>
      </c>
      <c r="G593" s="17">
        <f>IF(OR(C593="",AND(LEFT(C593,6)="SAMPLE",Config!$B$19&lt;&gt;"Y")),"",IF(IFERROR(INDEX(Lists!$J$2:$J$15,MATCH(D593,Lists!$I$2:$I$15,0)),-1)=-1,"status '"&amp;D593&amp;"' is not a CONTRACTS status",IF(AND(D593="signed",COUNTIF(signed_offices!$W$2:$W$51,C593)=0),"status signed but no signed_offices row"&amp;IF(F593="N"," and no tracker row",""),IF(AND(IFERROR(INDEX(Lists!$J$2:$J$15,MATCH(D593,Lists!$I$2:$I$15,0)),-1)&gt;=6,F593="N"),"status "&amp;D593&amp;" but no tracker row",IF(AND(E593="Y",D593&lt;&gt;"do_not_contact"),"do_not_contact = Y but status is "&amp;D593,IF(AND(D593="do_not_contact",E593&lt;&gt;"Y"),"status do_not_contact but do_not_contact is not Y",""))))))</f>
        <v/>
      </c>
      <c r="I593" s="17" t="n">
        <v>572</v>
      </c>
      <c r="J593" s="17">
        <f>IFERROR(INDEX(Clay_Brands!$A$2:$FZ$601,I593,$D$5)&amp;"","")</f>
        <v/>
      </c>
      <c r="K593" s="17">
        <f>IFERROR(INDEX(Clay_Brands!$A$2:$FZ$601,I593,$D$7)&amp;"","")</f>
        <v/>
      </c>
      <c r="L593" s="17">
        <f>IFERROR(INDEX(Clay_Brands!$A$2:$FZ$601,I593,$D$8)&amp;"","")</f>
        <v/>
      </c>
      <c r="M593" s="17">
        <f>IF(J593="","",IF(COUNTIF(Brand_Log!$A$2:$A$201,J593)&gt;0,"Y","N"))</f>
        <v/>
      </c>
      <c r="N593" s="17">
        <f>IF(OR(J593="",AND(LEFT(J593,6)="SAMPLE",Config!$B$19&lt;&gt;"Y")),"",IF(IFERROR(INDEX(Lists!$J$2:$J$15,MATCH(K593,Lists!$I$2:$I$15,0)),-1)=-1,"status '"&amp;K593&amp;"' is not a CONTRACTS status",IF(AND(K593="paid",COUNTIF(paid_brands!$AC$2:$AC$51,J593)=0),"status paid but no paid_brands row"&amp;IF(M593="N"," and no tracker row",""),IF(AND(IFERROR(INDEX(Lists!$J$2:$J$15,MATCH(K593,Lists!$I$2:$I$15,0)),-1)&gt;=6,M593="N"),"status "&amp;K593&amp;" but no tracker row",IF(AND(L593="Y",K593&lt;&gt;"do_not_contact"),"do_not_contact = Y but status is "&amp;K593,IF(AND(K593="do_not_contact",L593&lt;&gt;"Y"),"status do_not_contact but do_not_contact is not Y",""))))))</f>
        <v/>
      </c>
    </row>
    <row r="594">
      <c r="B594" s="17" t="n">
        <v>573</v>
      </c>
      <c r="C594" s="17">
        <f>IFERROR(INDEX(Clay_Offices!$A$2:$FZ$601,B594,$C$5)&amp;"","")</f>
        <v/>
      </c>
      <c r="D594" s="17">
        <f>IFERROR(INDEX(Clay_Offices!$A$2:$FZ$601,B594,$C$7)&amp;"","")</f>
        <v/>
      </c>
      <c r="E594" s="17">
        <f>IFERROR(INDEX(Clay_Offices!$A$2:$FZ$601,B594,$C$8)&amp;"","")</f>
        <v/>
      </c>
      <c r="F594" s="17">
        <f>IF(C594="","",IF(COUNTIF(Office_Log!$A$2:$A$201,C594)&gt;0,"Y","N"))</f>
        <v/>
      </c>
      <c r="G594" s="17">
        <f>IF(OR(C594="",AND(LEFT(C594,6)="SAMPLE",Config!$B$19&lt;&gt;"Y")),"",IF(IFERROR(INDEX(Lists!$J$2:$J$15,MATCH(D594,Lists!$I$2:$I$15,0)),-1)=-1,"status '"&amp;D594&amp;"' is not a CONTRACTS status",IF(AND(D594="signed",COUNTIF(signed_offices!$W$2:$W$51,C594)=0),"status signed but no signed_offices row"&amp;IF(F594="N"," and no tracker row",""),IF(AND(IFERROR(INDEX(Lists!$J$2:$J$15,MATCH(D594,Lists!$I$2:$I$15,0)),-1)&gt;=6,F594="N"),"status "&amp;D594&amp;" but no tracker row",IF(AND(E594="Y",D594&lt;&gt;"do_not_contact"),"do_not_contact = Y but status is "&amp;D594,IF(AND(D594="do_not_contact",E594&lt;&gt;"Y"),"status do_not_contact but do_not_contact is not Y",""))))))</f>
        <v/>
      </c>
      <c r="I594" s="17" t="n">
        <v>573</v>
      </c>
      <c r="J594" s="17">
        <f>IFERROR(INDEX(Clay_Brands!$A$2:$FZ$601,I594,$D$5)&amp;"","")</f>
        <v/>
      </c>
      <c r="K594" s="17">
        <f>IFERROR(INDEX(Clay_Brands!$A$2:$FZ$601,I594,$D$7)&amp;"","")</f>
        <v/>
      </c>
      <c r="L594" s="17">
        <f>IFERROR(INDEX(Clay_Brands!$A$2:$FZ$601,I594,$D$8)&amp;"","")</f>
        <v/>
      </c>
      <c r="M594" s="17">
        <f>IF(J594="","",IF(COUNTIF(Brand_Log!$A$2:$A$201,J594)&gt;0,"Y","N"))</f>
        <v/>
      </c>
      <c r="N594" s="17">
        <f>IF(OR(J594="",AND(LEFT(J594,6)="SAMPLE",Config!$B$19&lt;&gt;"Y")),"",IF(IFERROR(INDEX(Lists!$J$2:$J$15,MATCH(K594,Lists!$I$2:$I$15,0)),-1)=-1,"status '"&amp;K594&amp;"' is not a CONTRACTS status",IF(AND(K594="paid",COUNTIF(paid_brands!$AC$2:$AC$51,J594)=0),"status paid but no paid_brands row"&amp;IF(M594="N"," and no tracker row",""),IF(AND(IFERROR(INDEX(Lists!$J$2:$J$15,MATCH(K594,Lists!$I$2:$I$15,0)),-1)&gt;=6,M594="N"),"status "&amp;K594&amp;" but no tracker row",IF(AND(L594="Y",K594&lt;&gt;"do_not_contact"),"do_not_contact = Y but status is "&amp;K594,IF(AND(K594="do_not_contact",L594&lt;&gt;"Y"),"status do_not_contact but do_not_contact is not Y",""))))))</f>
        <v/>
      </c>
    </row>
    <row r="595">
      <c r="B595" s="17" t="n">
        <v>574</v>
      </c>
      <c r="C595" s="17">
        <f>IFERROR(INDEX(Clay_Offices!$A$2:$FZ$601,B595,$C$5)&amp;"","")</f>
        <v/>
      </c>
      <c r="D595" s="17">
        <f>IFERROR(INDEX(Clay_Offices!$A$2:$FZ$601,B595,$C$7)&amp;"","")</f>
        <v/>
      </c>
      <c r="E595" s="17">
        <f>IFERROR(INDEX(Clay_Offices!$A$2:$FZ$601,B595,$C$8)&amp;"","")</f>
        <v/>
      </c>
      <c r="F595" s="17">
        <f>IF(C595="","",IF(COUNTIF(Office_Log!$A$2:$A$201,C595)&gt;0,"Y","N"))</f>
        <v/>
      </c>
      <c r="G595" s="17">
        <f>IF(OR(C595="",AND(LEFT(C595,6)="SAMPLE",Config!$B$19&lt;&gt;"Y")),"",IF(IFERROR(INDEX(Lists!$J$2:$J$15,MATCH(D595,Lists!$I$2:$I$15,0)),-1)=-1,"status '"&amp;D595&amp;"' is not a CONTRACTS status",IF(AND(D595="signed",COUNTIF(signed_offices!$W$2:$W$51,C595)=0),"status signed but no signed_offices row"&amp;IF(F595="N"," and no tracker row",""),IF(AND(IFERROR(INDEX(Lists!$J$2:$J$15,MATCH(D595,Lists!$I$2:$I$15,0)),-1)&gt;=6,F595="N"),"status "&amp;D595&amp;" but no tracker row",IF(AND(E595="Y",D595&lt;&gt;"do_not_contact"),"do_not_contact = Y but status is "&amp;D595,IF(AND(D595="do_not_contact",E595&lt;&gt;"Y"),"status do_not_contact but do_not_contact is not Y",""))))))</f>
        <v/>
      </c>
      <c r="I595" s="17" t="n">
        <v>574</v>
      </c>
      <c r="J595" s="17">
        <f>IFERROR(INDEX(Clay_Brands!$A$2:$FZ$601,I595,$D$5)&amp;"","")</f>
        <v/>
      </c>
      <c r="K595" s="17">
        <f>IFERROR(INDEX(Clay_Brands!$A$2:$FZ$601,I595,$D$7)&amp;"","")</f>
        <v/>
      </c>
      <c r="L595" s="17">
        <f>IFERROR(INDEX(Clay_Brands!$A$2:$FZ$601,I595,$D$8)&amp;"","")</f>
        <v/>
      </c>
      <c r="M595" s="17">
        <f>IF(J595="","",IF(COUNTIF(Brand_Log!$A$2:$A$201,J595)&gt;0,"Y","N"))</f>
        <v/>
      </c>
      <c r="N595" s="17">
        <f>IF(OR(J595="",AND(LEFT(J595,6)="SAMPLE",Config!$B$19&lt;&gt;"Y")),"",IF(IFERROR(INDEX(Lists!$J$2:$J$15,MATCH(K595,Lists!$I$2:$I$15,0)),-1)=-1,"status '"&amp;K595&amp;"' is not a CONTRACTS status",IF(AND(K595="paid",COUNTIF(paid_brands!$AC$2:$AC$51,J595)=0),"status paid but no paid_brands row"&amp;IF(M595="N"," and no tracker row",""),IF(AND(IFERROR(INDEX(Lists!$J$2:$J$15,MATCH(K595,Lists!$I$2:$I$15,0)),-1)&gt;=6,M595="N"),"status "&amp;K595&amp;" but no tracker row",IF(AND(L595="Y",K595&lt;&gt;"do_not_contact"),"do_not_contact = Y but status is "&amp;K595,IF(AND(K595="do_not_contact",L595&lt;&gt;"Y"),"status do_not_contact but do_not_contact is not Y",""))))))</f>
        <v/>
      </c>
    </row>
    <row r="596">
      <c r="B596" s="17" t="n">
        <v>575</v>
      </c>
      <c r="C596" s="17">
        <f>IFERROR(INDEX(Clay_Offices!$A$2:$FZ$601,B596,$C$5)&amp;"","")</f>
        <v/>
      </c>
      <c r="D596" s="17">
        <f>IFERROR(INDEX(Clay_Offices!$A$2:$FZ$601,B596,$C$7)&amp;"","")</f>
        <v/>
      </c>
      <c r="E596" s="17">
        <f>IFERROR(INDEX(Clay_Offices!$A$2:$FZ$601,B596,$C$8)&amp;"","")</f>
        <v/>
      </c>
      <c r="F596" s="17">
        <f>IF(C596="","",IF(COUNTIF(Office_Log!$A$2:$A$201,C596)&gt;0,"Y","N"))</f>
        <v/>
      </c>
      <c r="G596" s="17">
        <f>IF(OR(C596="",AND(LEFT(C596,6)="SAMPLE",Config!$B$19&lt;&gt;"Y")),"",IF(IFERROR(INDEX(Lists!$J$2:$J$15,MATCH(D596,Lists!$I$2:$I$15,0)),-1)=-1,"status '"&amp;D596&amp;"' is not a CONTRACTS status",IF(AND(D596="signed",COUNTIF(signed_offices!$W$2:$W$51,C596)=0),"status signed but no signed_offices row"&amp;IF(F596="N"," and no tracker row",""),IF(AND(IFERROR(INDEX(Lists!$J$2:$J$15,MATCH(D596,Lists!$I$2:$I$15,0)),-1)&gt;=6,F596="N"),"status "&amp;D596&amp;" but no tracker row",IF(AND(E596="Y",D596&lt;&gt;"do_not_contact"),"do_not_contact = Y but status is "&amp;D596,IF(AND(D596="do_not_contact",E596&lt;&gt;"Y"),"status do_not_contact but do_not_contact is not Y",""))))))</f>
        <v/>
      </c>
      <c r="I596" s="17" t="n">
        <v>575</v>
      </c>
      <c r="J596" s="17">
        <f>IFERROR(INDEX(Clay_Brands!$A$2:$FZ$601,I596,$D$5)&amp;"","")</f>
        <v/>
      </c>
      <c r="K596" s="17">
        <f>IFERROR(INDEX(Clay_Brands!$A$2:$FZ$601,I596,$D$7)&amp;"","")</f>
        <v/>
      </c>
      <c r="L596" s="17">
        <f>IFERROR(INDEX(Clay_Brands!$A$2:$FZ$601,I596,$D$8)&amp;"","")</f>
        <v/>
      </c>
      <c r="M596" s="17">
        <f>IF(J596="","",IF(COUNTIF(Brand_Log!$A$2:$A$201,J596)&gt;0,"Y","N"))</f>
        <v/>
      </c>
      <c r="N596" s="17">
        <f>IF(OR(J596="",AND(LEFT(J596,6)="SAMPLE",Config!$B$19&lt;&gt;"Y")),"",IF(IFERROR(INDEX(Lists!$J$2:$J$15,MATCH(K596,Lists!$I$2:$I$15,0)),-1)=-1,"status '"&amp;K596&amp;"' is not a CONTRACTS status",IF(AND(K596="paid",COUNTIF(paid_brands!$AC$2:$AC$51,J596)=0),"status paid but no paid_brands row"&amp;IF(M596="N"," and no tracker row",""),IF(AND(IFERROR(INDEX(Lists!$J$2:$J$15,MATCH(K596,Lists!$I$2:$I$15,0)),-1)&gt;=6,M596="N"),"status "&amp;K596&amp;" but no tracker row",IF(AND(L596="Y",K596&lt;&gt;"do_not_contact"),"do_not_contact = Y but status is "&amp;K596,IF(AND(K596="do_not_contact",L596&lt;&gt;"Y"),"status do_not_contact but do_not_contact is not Y",""))))))</f>
        <v/>
      </c>
    </row>
    <row r="597">
      <c r="B597" s="17" t="n">
        <v>576</v>
      </c>
      <c r="C597" s="17">
        <f>IFERROR(INDEX(Clay_Offices!$A$2:$FZ$601,B597,$C$5)&amp;"","")</f>
        <v/>
      </c>
      <c r="D597" s="17">
        <f>IFERROR(INDEX(Clay_Offices!$A$2:$FZ$601,B597,$C$7)&amp;"","")</f>
        <v/>
      </c>
      <c r="E597" s="17">
        <f>IFERROR(INDEX(Clay_Offices!$A$2:$FZ$601,B597,$C$8)&amp;"","")</f>
        <v/>
      </c>
      <c r="F597" s="17">
        <f>IF(C597="","",IF(COUNTIF(Office_Log!$A$2:$A$201,C597)&gt;0,"Y","N"))</f>
        <v/>
      </c>
      <c r="G597" s="17">
        <f>IF(OR(C597="",AND(LEFT(C597,6)="SAMPLE",Config!$B$19&lt;&gt;"Y")),"",IF(IFERROR(INDEX(Lists!$J$2:$J$15,MATCH(D597,Lists!$I$2:$I$15,0)),-1)=-1,"status '"&amp;D597&amp;"' is not a CONTRACTS status",IF(AND(D597="signed",COUNTIF(signed_offices!$W$2:$W$51,C597)=0),"status signed but no signed_offices row"&amp;IF(F597="N"," and no tracker row",""),IF(AND(IFERROR(INDEX(Lists!$J$2:$J$15,MATCH(D597,Lists!$I$2:$I$15,0)),-1)&gt;=6,F597="N"),"status "&amp;D597&amp;" but no tracker row",IF(AND(E597="Y",D597&lt;&gt;"do_not_contact"),"do_not_contact = Y but status is "&amp;D597,IF(AND(D597="do_not_contact",E597&lt;&gt;"Y"),"status do_not_contact but do_not_contact is not Y",""))))))</f>
        <v/>
      </c>
      <c r="I597" s="17" t="n">
        <v>576</v>
      </c>
      <c r="J597" s="17">
        <f>IFERROR(INDEX(Clay_Brands!$A$2:$FZ$601,I597,$D$5)&amp;"","")</f>
        <v/>
      </c>
      <c r="K597" s="17">
        <f>IFERROR(INDEX(Clay_Brands!$A$2:$FZ$601,I597,$D$7)&amp;"","")</f>
        <v/>
      </c>
      <c r="L597" s="17">
        <f>IFERROR(INDEX(Clay_Brands!$A$2:$FZ$601,I597,$D$8)&amp;"","")</f>
        <v/>
      </c>
      <c r="M597" s="17">
        <f>IF(J597="","",IF(COUNTIF(Brand_Log!$A$2:$A$201,J597)&gt;0,"Y","N"))</f>
        <v/>
      </c>
      <c r="N597" s="17">
        <f>IF(OR(J597="",AND(LEFT(J597,6)="SAMPLE",Config!$B$19&lt;&gt;"Y")),"",IF(IFERROR(INDEX(Lists!$J$2:$J$15,MATCH(K597,Lists!$I$2:$I$15,0)),-1)=-1,"status '"&amp;K597&amp;"' is not a CONTRACTS status",IF(AND(K597="paid",COUNTIF(paid_brands!$AC$2:$AC$51,J597)=0),"status paid but no paid_brands row"&amp;IF(M597="N"," and no tracker row",""),IF(AND(IFERROR(INDEX(Lists!$J$2:$J$15,MATCH(K597,Lists!$I$2:$I$15,0)),-1)&gt;=6,M597="N"),"status "&amp;K597&amp;" but no tracker row",IF(AND(L597="Y",K597&lt;&gt;"do_not_contact"),"do_not_contact = Y but status is "&amp;K597,IF(AND(K597="do_not_contact",L597&lt;&gt;"Y"),"status do_not_contact but do_not_contact is not Y",""))))))</f>
        <v/>
      </c>
    </row>
    <row r="598">
      <c r="B598" s="17" t="n">
        <v>577</v>
      </c>
      <c r="C598" s="17">
        <f>IFERROR(INDEX(Clay_Offices!$A$2:$FZ$601,B598,$C$5)&amp;"","")</f>
        <v/>
      </c>
      <c r="D598" s="17">
        <f>IFERROR(INDEX(Clay_Offices!$A$2:$FZ$601,B598,$C$7)&amp;"","")</f>
        <v/>
      </c>
      <c r="E598" s="17">
        <f>IFERROR(INDEX(Clay_Offices!$A$2:$FZ$601,B598,$C$8)&amp;"","")</f>
        <v/>
      </c>
      <c r="F598" s="17">
        <f>IF(C598="","",IF(COUNTIF(Office_Log!$A$2:$A$201,C598)&gt;0,"Y","N"))</f>
        <v/>
      </c>
      <c r="G598" s="17">
        <f>IF(OR(C598="",AND(LEFT(C598,6)="SAMPLE",Config!$B$19&lt;&gt;"Y")),"",IF(IFERROR(INDEX(Lists!$J$2:$J$15,MATCH(D598,Lists!$I$2:$I$15,0)),-1)=-1,"status '"&amp;D598&amp;"' is not a CONTRACTS status",IF(AND(D598="signed",COUNTIF(signed_offices!$W$2:$W$51,C598)=0),"status signed but no signed_offices row"&amp;IF(F598="N"," and no tracker row",""),IF(AND(IFERROR(INDEX(Lists!$J$2:$J$15,MATCH(D598,Lists!$I$2:$I$15,0)),-1)&gt;=6,F598="N"),"status "&amp;D598&amp;" but no tracker row",IF(AND(E598="Y",D598&lt;&gt;"do_not_contact"),"do_not_contact = Y but status is "&amp;D598,IF(AND(D598="do_not_contact",E598&lt;&gt;"Y"),"status do_not_contact but do_not_contact is not Y",""))))))</f>
        <v/>
      </c>
      <c r="I598" s="17" t="n">
        <v>577</v>
      </c>
      <c r="J598" s="17">
        <f>IFERROR(INDEX(Clay_Brands!$A$2:$FZ$601,I598,$D$5)&amp;"","")</f>
        <v/>
      </c>
      <c r="K598" s="17">
        <f>IFERROR(INDEX(Clay_Brands!$A$2:$FZ$601,I598,$D$7)&amp;"","")</f>
        <v/>
      </c>
      <c r="L598" s="17">
        <f>IFERROR(INDEX(Clay_Brands!$A$2:$FZ$601,I598,$D$8)&amp;"","")</f>
        <v/>
      </c>
      <c r="M598" s="17">
        <f>IF(J598="","",IF(COUNTIF(Brand_Log!$A$2:$A$201,J598)&gt;0,"Y","N"))</f>
        <v/>
      </c>
      <c r="N598" s="17">
        <f>IF(OR(J598="",AND(LEFT(J598,6)="SAMPLE",Config!$B$19&lt;&gt;"Y")),"",IF(IFERROR(INDEX(Lists!$J$2:$J$15,MATCH(K598,Lists!$I$2:$I$15,0)),-1)=-1,"status '"&amp;K598&amp;"' is not a CONTRACTS status",IF(AND(K598="paid",COUNTIF(paid_brands!$AC$2:$AC$51,J598)=0),"status paid but no paid_brands row"&amp;IF(M598="N"," and no tracker row",""),IF(AND(IFERROR(INDEX(Lists!$J$2:$J$15,MATCH(K598,Lists!$I$2:$I$15,0)),-1)&gt;=6,M598="N"),"status "&amp;K598&amp;" but no tracker row",IF(AND(L598="Y",K598&lt;&gt;"do_not_contact"),"do_not_contact = Y but status is "&amp;K598,IF(AND(K598="do_not_contact",L598&lt;&gt;"Y"),"status do_not_contact but do_not_contact is not Y",""))))))</f>
        <v/>
      </c>
    </row>
    <row r="599">
      <c r="B599" s="17" t="n">
        <v>578</v>
      </c>
      <c r="C599" s="17">
        <f>IFERROR(INDEX(Clay_Offices!$A$2:$FZ$601,B599,$C$5)&amp;"","")</f>
        <v/>
      </c>
      <c r="D599" s="17">
        <f>IFERROR(INDEX(Clay_Offices!$A$2:$FZ$601,B599,$C$7)&amp;"","")</f>
        <v/>
      </c>
      <c r="E599" s="17">
        <f>IFERROR(INDEX(Clay_Offices!$A$2:$FZ$601,B599,$C$8)&amp;"","")</f>
        <v/>
      </c>
      <c r="F599" s="17">
        <f>IF(C599="","",IF(COUNTIF(Office_Log!$A$2:$A$201,C599)&gt;0,"Y","N"))</f>
        <v/>
      </c>
      <c r="G599" s="17">
        <f>IF(OR(C599="",AND(LEFT(C599,6)="SAMPLE",Config!$B$19&lt;&gt;"Y")),"",IF(IFERROR(INDEX(Lists!$J$2:$J$15,MATCH(D599,Lists!$I$2:$I$15,0)),-1)=-1,"status '"&amp;D599&amp;"' is not a CONTRACTS status",IF(AND(D599="signed",COUNTIF(signed_offices!$W$2:$W$51,C599)=0),"status signed but no signed_offices row"&amp;IF(F599="N"," and no tracker row",""),IF(AND(IFERROR(INDEX(Lists!$J$2:$J$15,MATCH(D599,Lists!$I$2:$I$15,0)),-1)&gt;=6,F599="N"),"status "&amp;D599&amp;" but no tracker row",IF(AND(E599="Y",D599&lt;&gt;"do_not_contact"),"do_not_contact = Y but status is "&amp;D599,IF(AND(D599="do_not_contact",E599&lt;&gt;"Y"),"status do_not_contact but do_not_contact is not Y",""))))))</f>
        <v/>
      </c>
      <c r="I599" s="17" t="n">
        <v>578</v>
      </c>
      <c r="J599" s="17">
        <f>IFERROR(INDEX(Clay_Brands!$A$2:$FZ$601,I599,$D$5)&amp;"","")</f>
        <v/>
      </c>
      <c r="K599" s="17">
        <f>IFERROR(INDEX(Clay_Brands!$A$2:$FZ$601,I599,$D$7)&amp;"","")</f>
        <v/>
      </c>
      <c r="L599" s="17">
        <f>IFERROR(INDEX(Clay_Brands!$A$2:$FZ$601,I599,$D$8)&amp;"","")</f>
        <v/>
      </c>
      <c r="M599" s="17">
        <f>IF(J599="","",IF(COUNTIF(Brand_Log!$A$2:$A$201,J599)&gt;0,"Y","N"))</f>
        <v/>
      </c>
      <c r="N599" s="17">
        <f>IF(OR(J599="",AND(LEFT(J599,6)="SAMPLE",Config!$B$19&lt;&gt;"Y")),"",IF(IFERROR(INDEX(Lists!$J$2:$J$15,MATCH(K599,Lists!$I$2:$I$15,0)),-1)=-1,"status '"&amp;K599&amp;"' is not a CONTRACTS status",IF(AND(K599="paid",COUNTIF(paid_brands!$AC$2:$AC$51,J599)=0),"status paid but no paid_brands row"&amp;IF(M599="N"," and no tracker row",""),IF(AND(IFERROR(INDEX(Lists!$J$2:$J$15,MATCH(K599,Lists!$I$2:$I$15,0)),-1)&gt;=6,M599="N"),"status "&amp;K599&amp;" but no tracker row",IF(AND(L599="Y",K599&lt;&gt;"do_not_contact"),"do_not_contact = Y but status is "&amp;K599,IF(AND(K599="do_not_contact",L599&lt;&gt;"Y"),"status do_not_contact but do_not_contact is not Y",""))))))</f>
        <v/>
      </c>
    </row>
    <row r="600">
      <c r="B600" s="17" t="n">
        <v>579</v>
      </c>
      <c r="C600" s="17">
        <f>IFERROR(INDEX(Clay_Offices!$A$2:$FZ$601,B600,$C$5)&amp;"","")</f>
        <v/>
      </c>
      <c r="D600" s="17">
        <f>IFERROR(INDEX(Clay_Offices!$A$2:$FZ$601,B600,$C$7)&amp;"","")</f>
        <v/>
      </c>
      <c r="E600" s="17">
        <f>IFERROR(INDEX(Clay_Offices!$A$2:$FZ$601,B600,$C$8)&amp;"","")</f>
        <v/>
      </c>
      <c r="F600" s="17">
        <f>IF(C600="","",IF(COUNTIF(Office_Log!$A$2:$A$201,C600)&gt;0,"Y","N"))</f>
        <v/>
      </c>
      <c r="G600" s="17">
        <f>IF(OR(C600="",AND(LEFT(C600,6)="SAMPLE",Config!$B$19&lt;&gt;"Y")),"",IF(IFERROR(INDEX(Lists!$J$2:$J$15,MATCH(D600,Lists!$I$2:$I$15,0)),-1)=-1,"status '"&amp;D600&amp;"' is not a CONTRACTS status",IF(AND(D600="signed",COUNTIF(signed_offices!$W$2:$W$51,C600)=0),"status signed but no signed_offices row"&amp;IF(F600="N"," and no tracker row",""),IF(AND(IFERROR(INDEX(Lists!$J$2:$J$15,MATCH(D600,Lists!$I$2:$I$15,0)),-1)&gt;=6,F600="N"),"status "&amp;D600&amp;" but no tracker row",IF(AND(E600="Y",D600&lt;&gt;"do_not_contact"),"do_not_contact = Y but status is "&amp;D600,IF(AND(D600="do_not_contact",E600&lt;&gt;"Y"),"status do_not_contact but do_not_contact is not Y",""))))))</f>
        <v/>
      </c>
      <c r="I600" s="17" t="n">
        <v>579</v>
      </c>
      <c r="J600" s="17">
        <f>IFERROR(INDEX(Clay_Brands!$A$2:$FZ$601,I600,$D$5)&amp;"","")</f>
        <v/>
      </c>
      <c r="K600" s="17">
        <f>IFERROR(INDEX(Clay_Brands!$A$2:$FZ$601,I600,$D$7)&amp;"","")</f>
        <v/>
      </c>
      <c r="L600" s="17">
        <f>IFERROR(INDEX(Clay_Brands!$A$2:$FZ$601,I600,$D$8)&amp;"","")</f>
        <v/>
      </c>
      <c r="M600" s="17">
        <f>IF(J600="","",IF(COUNTIF(Brand_Log!$A$2:$A$201,J600)&gt;0,"Y","N"))</f>
        <v/>
      </c>
      <c r="N600" s="17">
        <f>IF(OR(J600="",AND(LEFT(J600,6)="SAMPLE",Config!$B$19&lt;&gt;"Y")),"",IF(IFERROR(INDEX(Lists!$J$2:$J$15,MATCH(K600,Lists!$I$2:$I$15,0)),-1)=-1,"status '"&amp;K600&amp;"' is not a CONTRACTS status",IF(AND(K600="paid",COUNTIF(paid_brands!$AC$2:$AC$51,J600)=0),"status paid but no paid_brands row"&amp;IF(M600="N"," and no tracker row",""),IF(AND(IFERROR(INDEX(Lists!$J$2:$J$15,MATCH(K600,Lists!$I$2:$I$15,0)),-1)&gt;=6,M600="N"),"status "&amp;K600&amp;" but no tracker row",IF(AND(L600="Y",K600&lt;&gt;"do_not_contact"),"do_not_contact = Y but status is "&amp;K600,IF(AND(K600="do_not_contact",L600&lt;&gt;"Y"),"status do_not_contact but do_not_contact is not Y",""))))))</f>
        <v/>
      </c>
    </row>
    <row r="601">
      <c r="B601" s="17" t="n">
        <v>580</v>
      </c>
      <c r="C601" s="17">
        <f>IFERROR(INDEX(Clay_Offices!$A$2:$FZ$601,B601,$C$5)&amp;"","")</f>
        <v/>
      </c>
      <c r="D601" s="17">
        <f>IFERROR(INDEX(Clay_Offices!$A$2:$FZ$601,B601,$C$7)&amp;"","")</f>
        <v/>
      </c>
      <c r="E601" s="17">
        <f>IFERROR(INDEX(Clay_Offices!$A$2:$FZ$601,B601,$C$8)&amp;"","")</f>
        <v/>
      </c>
      <c r="F601" s="17">
        <f>IF(C601="","",IF(COUNTIF(Office_Log!$A$2:$A$201,C601)&gt;0,"Y","N"))</f>
        <v/>
      </c>
      <c r="G601" s="17">
        <f>IF(OR(C601="",AND(LEFT(C601,6)="SAMPLE",Config!$B$19&lt;&gt;"Y")),"",IF(IFERROR(INDEX(Lists!$J$2:$J$15,MATCH(D601,Lists!$I$2:$I$15,0)),-1)=-1,"status '"&amp;D601&amp;"' is not a CONTRACTS status",IF(AND(D601="signed",COUNTIF(signed_offices!$W$2:$W$51,C601)=0),"status signed but no signed_offices row"&amp;IF(F601="N"," and no tracker row",""),IF(AND(IFERROR(INDEX(Lists!$J$2:$J$15,MATCH(D601,Lists!$I$2:$I$15,0)),-1)&gt;=6,F601="N"),"status "&amp;D601&amp;" but no tracker row",IF(AND(E601="Y",D601&lt;&gt;"do_not_contact"),"do_not_contact = Y but status is "&amp;D601,IF(AND(D601="do_not_contact",E601&lt;&gt;"Y"),"status do_not_contact but do_not_contact is not Y",""))))))</f>
        <v/>
      </c>
      <c r="I601" s="17" t="n">
        <v>580</v>
      </c>
      <c r="J601" s="17">
        <f>IFERROR(INDEX(Clay_Brands!$A$2:$FZ$601,I601,$D$5)&amp;"","")</f>
        <v/>
      </c>
      <c r="K601" s="17">
        <f>IFERROR(INDEX(Clay_Brands!$A$2:$FZ$601,I601,$D$7)&amp;"","")</f>
        <v/>
      </c>
      <c r="L601" s="17">
        <f>IFERROR(INDEX(Clay_Brands!$A$2:$FZ$601,I601,$D$8)&amp;"","")</f>
        <v/>
      </c>
      <c r="M601" s="17">
        <f>IF(J601="","",IF(COUNTIF(Brand_Log!$A$2:$A$201,J601)&gt;0,"Y","N"))</f>
        <v/>
      </c>
      <c r="N601" s="17">
        <f>IF(OR(J601="",AND(LEFT(J601,6)="SAMPLE",Config!$B$19&lt;&gt;"Y")),"",IF(IFERROR(INDEX(Lists!$J$2:$J$15,MATCH(K601,Lists!$I$2:$I$15,0)),-1)=-1,"status '"&amp;K601&amp;"' is not a CONTRACTS status",IF(AND(K601="paid",COUNTIF(paid_brands!$AC$2:$AC$51,J601)=0),"status paid but no paid_brands row"&amp;IF(M601="N"," and no tracker row",""),IF(AND(IFERROR(INDEX(Lists!$J$2:$J$15,MATCH(K601,Lists!$I$2:$I$15,0)),-1)&gt;=6,M601="N"),"status "&amp;K601&amp;" but no tracker row",IF(AND(L601="Y",K601&lt;&gt;"do_not_contact"),"do_not_contact = Y but status is "&amp;K601,IF(AND(K601="do_not_contact",L601&lt;&gt;"Y"),"status do_not_contact but do_not_contact is not Y",""))))))</f>
        <v/>
      </c>
    </row>
    <row r="602">
      <c r="B602" s="17" t="n">
        <v>581</v>
      </c>
      <c r="C602" s="17">
        <f>IFERROR(INDEX(Clay_Offices!$A$2:$FZ$601,B602,$C$5)&amp;"","")</f>
        <v/>
      </c>
      <c r="D602" s="17">
        <f>IFERROR(INDEX(Clay_Offices!$A$2:$FZ$601,B602,$C$7)&amp;"","")</f>
        <v/>
      </c>
      <c r="E602" s="17">
        <f>IFERROR(INDEX(Clay_Offices!$A$2:$FZ$601,B602,$C$8)&amp;"","")</f>
        <v/>
      </c>
      <c r="F602" s="17">
        <f>IF(C602="","",IF(COUNTIF(Office_Log!$A$2:$A$201,C602)&gt;0,"Y","N"))</f>
        <v/>
      </c>
      <c r="G602" s="17">
        <f>IF(OR(C602="",AND(LEFT(C602,6)="SAMPLE",Config!$B$19&lt;&gt;"Y")),"",IF(IFERROR(INDEX(Lists!$J$2:$J$15,MATCH(D602,Lists!$I$2:$I$15,0)),-1)=-1,"status '"&amp;D602&amp;"' is not a CONTRACTS status",IF(AND(D602="signed",COUNTIF(signed_offices!$W$2:$W$51,C602)=0),"status signed but no signed_offices row"&amp;IF(F602="N"," and no tracker row",""),IF(AND(IFERROR(INDEX(Lists!$J$2:$J$15,MATCH(D602,Lists!$I$2:$I$15,0)),-1)&gt;=6,F602="N"),"status "&amp;D602&amp;" but no tracker row",IF(AND(E602="Y",D602&lt;&gt;"do_not_contact"),"do_not_contact = Y but status is "&amp;D602,IF(AND(D602="do_not_contact",E602&lt;&gt;"Y"),"status do_not_contact but do_not_contact is not Y",""))))))</f>
        <v/>
      </c>
      <c r="I602" s="17" t="n">
        <v>581</v>
      </c>
      <c r="J602" s="17">
        <f>IFERROR(INDEX(Clay_Brands!$A$2:$FZ$601,I602,$D$5)&amp;"","")</f>
        <v/>
      </c>
      <c r="K602" s="17">
        <f>IFERROR(INDEX(Clay_Brands!$A$2:$FZ$601,I602,$D$7)&amp;"","")</f>
        <v/>
      </c>
      <c r="L602" s="17">
        <f>IFERROR(INDEX(Clay_Brands!$A$2:$FZ$601,I602,$D$8)&amp;"","")</f>
        <v/>
      </c>
      <c r="M602" s="17">
        <f>IF(J602="","",IF(COUNTIF(Brand_Log!$A$2:$A$201,J602)&gt;0,"Y","N"))</f>
        <v/>
      </c>
      <c r="N602" s="17">
        <f>IF(OR(J602="",AND(LEFT(J602,6)="SAMPLE",Config!$B$19&lt;&gt;"Y")),"",IF(IFERROR(INDEX(Lists!$J$2:$J$15,MATCH(K602,Lists!$I$2:$I$15,0)),-1)=-1,"status '"&amp;K602&amp;"' is not a CONTRACTS status",IF(AND(K602="paid",COUNTIF(paid_brands!$AC$2:$AC$51,J602)=0),"status paid but no paid_brands row"&amp;IF(M602="N"," and no tracker row",""),IF(AND(IFERROR(INDEX(Lists!$J$2:$J$15,MATCH(K602,Lists!$I$2:$I$15,0)),-1)&gt;=6,M602="N"),"status "&amp;K602&amp;" but no tracker row",IF(AND(L602="Y",K602&lt;&gt;"do_not_contact"),"do_not_contact = Y but status is "&amp;K602,IF(AND(K602="do_not_contact",L602&lt;&gt;"Y"),"status do_not_contact but do_not_contact is not Y",""))))))</f>
        <v/>
      </c>
    </row>
    <row r="603">
      <c r="B603" s="17" t="n">
        <v>582</v>
      </c>
      <c r="C603" s="17">
        <f>IFERROR(INDEX(Clay_Offices!$A$2:$FZ$601,B603,$C$5)&amp;"","")</f>
        <v/>
      </c>
      <c r="D603" s="17">
        <f>IFERROR(INDEX(Clay_Offices!$A$2:$FZ$601,B603,$C$7)&amp;"","")</f>
        <v/>
      </c>
      <c r="E603" s="17">
        <f>IFERROR(INDEX(Clay_Offices!$A$2:$FZ$601,B603,$C$8)&amp;"","")</f>
        <v/>
      </c>
      <c r="F603" s="17">
        <f>IF(C603="","",IF(COUNTIF(Office_Log!$A$2:$A$201,C603)&gt;0,"Y","N"))</f>
        <v/>
      </c>
      <c r="G603" s="17">
        <f>IF(OR(C603="",AND(LEFT(C603,6)="SAMPLE",Config!$B$19&lt;&gt;"Y")),"",IF(IFERROR(INDEX(Lists!$J$2:$J$15,MATCH(D603,Lists!$I$2:$I$15,0)),-1)=-1,"status '"&amp;D603&amp;"' is not a CONTRACTS status",IF(AND(D603="signed",COUNTIF(signed_offices!$W$2:$W$51,C603)=0),"status signed but no signed_offices row"&amp;IF(F603="N"," and no tracker row",""),IF(AND(IFERROR(INDEX(Lists!$J$2:$J$15,MATCH(D603,Lists!$I$2:$I$15,0)),-1)&gt;=6,F603="N"),"status "&amp;D603&amp;" but no tracker row",IF(AND(E603="Y",D603&lt;&gt;"do_not_contact"),"do_not_contact = Y but status is "&amp;D603,IF(AND(D603="do_not_contact",E603&lt;&gt;"Y"),"status do_not_contact but do_not_contact is not Y",""))))))</f>
        <v/>
      </c>
      <c r="I603" s="17" t="n">
        <v>582</v>
      </c>
      <c r="J603" s="17">
        <f>IFERROR(INDEX(Clay_Brands!$A$2:$FZ$601,I603,$D$5)&amp;"","")</f>
        <v/>
      </c>
      <c r="K603" s="17">
        <f>IFERROR(INDEX(Clay_Brands!$A$2:$FZ$601,I603,$D$7)&amp;"","")</f>
        <v/>
      </c>
      <c r="L603" s="17">
        <f>IFERROR(INDEX(Clay_Brands!$A$2:$FZ$601,I603,$D$8)&amp;"","")</f>
        <v/>
      </c>
      <c r="M603" s="17">
        <f>IF(J603="","",IF(COUNTIF(Brand_Log!$A$2:$A$201,J603)&gt;0,"Y","N"))</f>
        <v/>
      </c>
      <c r="N603" s="17">
        <f>IF(OR(J603="",AND(LEFT(J603,6)="SAMPLE",Config!$B$19&lt;&gt;"Y")),"",IF(IFERROR(INDEX(Lists!$J$2:$J$15,MATCH(K603,Lists!$I$2:$I$15,0)),-1)=-1,"status '"&amp;K603&amp;"' is not a CONTRACTS status",IF(AND(K603="paid",COUNTIF(paid_brands!$AC$2:$AC$51,J603)=0),"status paid but no paid_brands row"&amp;IF(M603="N"," and no tracker row",""),IF(AND(IFERROR(INDEX(Lists!$J$2:$J$15,MATCH(K603,Lists!$I$2:$I$15,0)),-1)&gt;=6,M603="N"),"status "&amp;K603&amp;" but no tracker row",IF(AND(L603="Y",K603&lt;&gt;"do_not_contact"),"do_not_contact = Y but status is "&amp;K603,IF(AND(K603="do_not_contact",L603&lt;&gt;"Y"),"status do_not_contact but do_not_contact is not Y",""))))))</f>
        <v/>
      </c>
    </row>
    <row r="604">
      <c r="B604" s="17" t="n">
        <v>583</v>
      </c>
      <c r="C604" s="17">
        <f>IFERROR(INDEX(Clay_Offices!$A$2:$FZ$601,B604,$C$5)&amp;"","")</f>
        <v/>
      </c>
      <c r="D604" s="17">
        <f>IFERROR(INDEX(Clay_Offices!$A$2:$FZ$601,B604,$C$7)&amp;"","")</f>
        <v/>
      </c>
      <c r="E604" s="17">
        <f>IFERROR(INDEX(Clay_Offices!$A$2:$FZ$601,B604,$C$8)&amp;"","")</f>
        <v/>
      </c>
      <c r="F604" s="17">
        <f>IF(C604="","",IF(COUNTIF(Office_Log!$A$2:$A$201,C604)&gt;0,"Y","N"))</f>
        <v/>
      </c>
      <c r="G604" s="17">
        <f>IF(OR(C604="",AND(LEFT(C604,6)="SAMPLE",Config!$B$19&lt;&gt;"Y")),"",IF(IFERROR(INDEX(Lists!$J$2:$J$15,MATCH(D604,Lists!$I$2:$I$15,0)),-1)=-1,"status '"&amp;D604&amp;"' is not a CONTRACTS status",IF(AND(D604="signed",COUNTIF(signed_offices!$W$2:$W$51,C604)=0),"status signed but no signed_offices row"&amp;IF(F604="N"," and no tracker row",""),IF(AND(IFERROR(INDEX(Lists!$J$2:$J$15,MATCH(D604,Lists!$I$2:$I$15,0)),-1)&gt;=6,F604="N"),"status "&amp;D604&amp;" but no tracker row",IF(AND(E604="Y",D604&lt;&gt;"do_not_contact"),"do_not_contact = Y but status is "&amp;D604,IF(AND(D604="do_not_contact",E604&lt;&gt;"Y"),"status do_not_contact but do_not_contact is not Y",""))))))</f>
        <v/>
      </c>
      <c r="I604" s="17" t="n">
        <v>583</v>
      </c>
      <c r="J604" s="17">
        <f>IFERROR(INDEX(Clay_Brands!$A$2:$FZ$601,I604,$D$5)&amp;"","")</f>
        <v/>
      </c>
      <c r="K604" s="17">
        <f>IFERROR(INDEX(Clay_Brands!$A$2:$FZ$601,I604,$D$7)&amp;"","")</f>
        <v/>
      </c>
      <c r="L604" s="17">
        <f>IFERROR(INDEX(Clay_Brands!$A$2:$FZ$601,I604,$D$8)&amp;"","")</f>
        <v/>
      </c>
      <c r="M604" s="17">
        <f>IF(J604="","",IF(COUNTIF(Brand_Log!$A$2:$A$201,J604)&gt;0,"Y","N"))</f>
        <v/>
      </c>
      <c r="N604" s="17">
        <f>IF(OR(J604="",AND(LEFT(J604,6)="SAMPLE",Config!$B$19&lt;&gt;"Y")),"",IF(IFERROR(INDEX(Lists!$J$2:$J$15,MATCH(K604,Lists!$I$2:$I$15,0)),-1)=-1,"status '"&amp;K604&amp;"' is not a CONTRACTS status",IF(AND(K604="paid",COUNTIF(paid_brands!$AC$2:$AC$51,J604)=0),"status paid but no paid_brands row"&amp;IF(M604="N"," and no tracker row",""),IF(AND(IFERROR(INDEX(Lists!$J$2:$J$15,MATCH(K604,Lists!$I$2:$I$15,0)),-1)&gt;=6,M604="N"),"status "&amp;K604&amp;" but no tracker row",IF(AND(L604="Y",K604&lt;&gt;"do_not_contact"),"do_not_contact = Y but status is "&amp;K604,IF(AND(K604="do_not_contact",L604&lt;&gt;"Y"),"status do_not_contact but do_not_contact is not Y",""))))))</f>
        <v/>
      </c>
    </row>
    <row r="605">
      <c r="B605" s="17" t="n">
        <v>584</v>
      </c>
      <c r="C605" s="17">
        <f>IFERROR(INDEX(Clay_Offices!$A$2:$FZ$601,B605,$C$5)&amp;"","")</f>
        <v/>
      </c>
      <c r="D605" s="17">
        <f>IFERROR(INDEX(Clay_Offices!$A$2:$FZ$601,B605,$C$7)&amp;"","")</f>
        <v/>
      </c>
      <c r="E605" s="17">
        <f>IFERROR(INDEX(Clay_Offices!$A$2:$FZ$601,B605,$C$8)&amp;"","")</f>
        <v/>
      </c>
      <c r="F605" s="17">
        <f>IF(C605="","",IF(COUNTIF(Office_Log!$A$2:$A$201,C605)&gt;0,"Y","N"))</f>
        <v/>
      </c>
      <c r="G605" s="17">
        <f>IF(OR(C605="",AND(LEFT(C605,6)="SAMPLE",Config!$B$19&lt;&gt;"Y")),"",IF(IFERROR(INDEX(Lists!$J$2:$J$15,MATCH(D605,Lists!$I$2:$I$15,0)),-1)=-1,"status '"&amp;D605&amp;"' is not a CONTRACTS status",IF(AND(D605="signed",COUNTIF(signed_offices!$W$2:$W$51,C605)=0),"status signed but no signed_offices row"&amp;IF(F605="N"," and no tracker row",""),IF(AND(IFERROR(INDEX(Lists!$J$2:$J$15,MATCH(D605,Lists!$I$2:$I$15,0)),-1)&gt;=6,F605="N"),"status "&amp;D605&amp;" but no tracker row",IF(AND(E605="Y",D605&lt;&gt;"do_not_contact"),"do_not_contact = Y but status is "&amp;D605,IF(AND(D605="do_not_contact",E605&lt;&gt;"Y"),"status do_not_contact but do_not_contact is not Y",""))))))</f>
        <v/>
      </c>
      <c r="I605" s="17" t="n">
        <v>584</v>
      </c>
      <c r="J605" s="17">
        <f>IFERROR(INDEX(Clay_Brands!$A$2:$FZ$601,I605,$D$5)&amp;"","")</f>
        <v/>
      </c>
      <c r="K605" s="17">
        <f>IFERROR(INDEX(Clay_Brands!$A$2:$FZ$601,I605,$D$7)&amp;"","")</f>
        <v/>
      </c>
      <c r="L605" s="17">
        <f>IFERROR(INDEX(Clay_Brands!$A$2:$FZ$601,I605,$D$8)&amp;"","")</f>
        <v/>
      </c>
      <c r="M605" s="17">
        <f>IF(J605="","",IF(COUNTIF(Brand_Log!$A$2:$A$201,J605)&gt;0,"Y","N"))</f>
        <v/>
      </c>
      <c r="N605" s="17">
        <f>IF(OR(J605="",AND(LEFT(J605,6)="SAMPLE",Config!$B$19&lt;&gt;"Y")),"",IF(IFERROR(INDEX(Lists!$J$2:$J$15,MATCH(K605,Lists!$I$2:$I$15,0)),-1)=-1,"status '"&amp;K605&amp;"' is not a CONTRACTS status",IF(AND(K605="paid",COUNTIF(paid_brands!$AC$2:$AC$51,J605)=0),"status paid but no paid_brands row"&amp;IF(M605="N"," and no tracker row",""),IF(AND(IFERROR(INDEX(Lists!$J$2:$J$15,MATCH(K605,Lists!$I$2:$I$15,0)),-1)&gt;=6,M605="N"),"status "&amp;K605&amp;" but no tracker row",IF(AND(L605="Y",K605&lt;&gt;"do_not_contact"),"do_not_contact = Y but status is "&amp;K605,IF(AND(K605="do_not_contact",L605&lt;&gt;"Y"),"status do_not_contact but do_not_contact is not Y",""))))))</f>
        <v/>
      </c>
    </row>
    <row r="606">
      <c r="B606" s="17" t="n">
        <v>585</v>
      </c>
      <c r="C606" s="17">
        <f>IFERROR(INDEX(Clay_Offices!$A$2:$FZ$601,B606,$C$5)&amp;"","")</f>
        <v/>
      </c>
      <c r="D606" s="17">
        <f>IFERROR(INDEX(Clay_Offices!$A$2:$FZ$601,B606,$C$7)&amp;"","")</f>
        <v/>
      </c>
      <c r="E606" s="17">
        <f>IFERROR(INDEX(Clay_Offices!$A$2:$FZ$601,B606,$C$8)&amp;"","")</f>
        <v/>
      </c>
      <c r="F606" s="17">
        <f>IF(C606="","",IF(COUNTIF(Office_Log!$A$2:$A$201,C606)&gt;0,"Y","N"))</f>
        <v/>
      </c>
      <c r="G606" s="17">
        <f>IF(OR(C606="",AND(LEFT(C606,6)="SAMPLE",Config!$B$19&lt;&gt;"Y")),"",IF(IFERROR(INDEX(Lists!$J$2:$J$15,MATCH(D606,Lists!$I$2:$I$15,0)),-1)=-1,"status '"&amp;D606&amp;"' is not a CONTRACTS status",IF(AND(D606="signed",COUNTIF(signed_offices!$W$2:$W$51,C606)=0),"status signed but no signed_offices row"&amp;IF(F606="N"," and no tracker row",""),IF(AND(IFERROR(INDEX(Lists!$J$2:$J$15,MATCH(D606,Lists!$I$2:$I$15,0)),-1)&gt;=6,F606="N"),"status "&amp;D606&amp;" but no tracker row",IF(AND(E606="Y",D606&lt;&gt;"do_not_contact"),"do_not_contact = Y but status is "&amp;D606,IF(AND(D606="do_not_contact",E606&lt;&gt;"Y"),"status do_not_contact but do_not_contact is not Y",""))))))</f>
        <v/>
      </c>
      <c r="I606" s="17" t="n">
        <v>585</v>
      </c>
      <c r="J606" s="17">
        <f>IFERROR(INDEX(Clay_Brands!$A$2:$FZ$601,I606,$D$5)&amp;"","")</f>
        <v/>
      </c>
      <c r="K606" s="17">
        <f>IFERROR(INDEX(Clay_Brands!$A$2:$FZ$601,I606,$D$7)&amp;"","")</f>
        <v/>
      </c>
      <c r="L606" s="17">
        <f>IFERROR(INDEX(Clay_Brands!$A$2:$FZ$601,I606,$D$8)&amp;"","")</f>
        <v/>
      </c>
      <c r="M606" s="17">
        <f>IF(J606="","",IF(COUNTIF(Brand_Log!$A$2:$A$201,J606)&gt;0,"Y","N"))</f>
        <v/>
      </c>
      <c r="N606" s="17">
        <f>IF(OR(J606="",AND(LEFT(J606,6)="SAMPLE",Config!$B$19&lt;&gt;"Y")),"",IF(IFERROR(INDEX(Lists!$J$2:$J$15,MATCH(K606,Lists!$I$2:$I$15,0)),-1)=-1,"status '"&amp;K606&amp;"' is not a CONTRACTS status",IF(AND(K606="paid",COUNTIF(paid_brands!$AC$2:$AC$51,J606)=0),"status paid but no paid_brands row"&amp;IF(M606="N"," and no tracker row",""),IF(AND(IFERROR(INDEX(Lists!$J$2:$J$15,MATCH(K606,Lists!$I$2:$I$15,0)),-1)&gt;=6,M606="N"),"status "&amp;K606&amp;" but no tracker row",IF(AND(L606="Y",K606&lt;&gt;"do_not_contact"),"do_not_contact = Y but status is "&amp;K606,IF(AND(K606="do_not_contact",L606&lt;&gt;"Y"),"status do_not_contact but do_not_contact is not Y",""))))))</f>
        <v/>
      </c>
    </row>
    <row r="607">
      <c r="B607" s="17" t="n">
        <v>586</v>
      </c>
      <c r="C607" s="17">
        <f>IFERROR(INDEX(Clay_Offices!$A$2:$FZ$601,B607,$C$5)&amp;"","")</f>
        <v/>
      </c>
      <c r="D607" s="17">
        <f>IFERROR(INDEX(Clay_Offices!$A$2:$FZ$601,B607,$C$7)&amp;"","")</f>
        <v/>
      </c>
      <c r="E607" s="17">
        <f>IFERROR(INDEX(Clay_Offices!$A$2:$FZ$601,B607,$C$8)&amp;"","")</f>
        <v/>
      </c>
      <c r="F607" s="17">
        <f>IF(C607="","",IF(COUNTIF(Office_Log!$A$2:$A$201,C607)&gt;0,"Y","N"))</f>
        <v/>
      </c>
      <c r="G607" s="17">
        <f>IF(OR(C607="",AND(LEFT(C607,6)="SAMPLE",Config!$B$19&lt;&gt;"Y")),"",IF(IFERROR(INDEX(Lists!$J$2:$J$15,MATCH(D607,Lists!$I$2:$I$15,0)),-1)=-1,"status '"&amp;D607&amp;"' is not a CONTRACTS status",IF(AND(D607="signed",COUNTIF(signed_offices!$W$2:$W$51,C607)=0),"status signed but no signed_offices row"&amp;IF(F607="N"," and no tracker row",""),IF(AND(IFERROR(INDEX(Lists!$J$2:$J$15,MATCH(D607,Lists!$I$2:$I$15,0)),-1)&gt;=6,F607="N"),"status "&amp;D607&amp;" but no tracker row",IF(AND(E607="Y",D607&lt;&gt;"do_not_contact"),"do_not_contact = Y but status is "&amp;D607,IF(AND(D607="do_not_contact",E607&lt;&gt;"Y"),"status do_not_contact but do_not_contact is not Y",""))))))</f>
        <v/>
      </c>
      <c r="I607" s="17" t="n">
        <v>586</v>
      </c>
      <c r="J607" s="17">
        <f>IFERROR(INDEX(Clay_Brands!$A$2:$FZ$601,I607,$D$5)&amp;"","")</f>
        <v/>
      </c>
      <c r="K607" s="17">
        <f>IFERROR(INDEX(Clay_Brands!$A$2:$FZ$601,I607,$D$7)&amp;"","")</f>
        <v/>
      </c>
      <c r="L607" s="17">
        <f>IFERROR(INDEX(Clay_Brands!$A$2:$FZ$601,I607,$D$8)&amp;"","")</f>
        <v/>
      </c>
      <c r="M607" s="17">
        <f>IF(J607="","",IF(COUNTIF(Brand_Log!$A$2:$A$201,J607)&gt;0,"Y","N"))</f>
        <v/>
      </c>
      <c r="N607" s="17">
        <f>IF(OR(J607="",AND(LEFT(J607,6)="SAMPLE",Config!$B$19&lt;&gt;"Y")),"",IF(IFERROR(INDEX(Lists!$J$2:$J$15,MATCH(K607,Lists!$I$2:$I$15,0)),-1)=-1,"status '"&amp;K607&amp;"' is not a CONTRACTS status",IF(AND(K607="paid",COUNTIF(paid_brands!$AC$2:$AC$51,J607)=0),"status paid but no paid_brands row"&amp;IF(M607="N"," and no tracker row",""),IF(AND(IFERROR(INDEX(Lists!$J$2:$J$15,MATCH(K607,Lists!$I$2:$I$15,0)),-1)&gt;=6,M607="N"),"status "&amp;K607&amp;" but no tracker row",IF(AND(L607="Y",K607&lt;&gt;"do_not_contact"),"do_not_contact = Y but status is "&amp;K607,IF(AND(K607="do_not_contact",L607&lt;&gt;"Y"),"status do_not_contact but do_not_contact is not Y",""))))))</f>
        <v/>
      </c>
    </row>
    <row r="608">
      <c r="B608" s="17" t="n">
        <v>587</v>
      </c>
      <c r="C608" s="17">
        <f>IFERROR(INDEX(Clay_Offices!$A$2:$FZ$601,B608,$C$5)&amp;"","")</f>
        <v/>
      </c>
      <c r="D608" s="17">
        <f>IFERROR(INDEX(Clay_Offices!$A$2:$FZ$601,B608,$C$7)&amp;"","")</f>
        <v/>
      </c>
      <c r="E608" s="17">
        <f>IFERROR(INDEX(Clay_Offices!$A$2:$FZ$601,B608,$C$8)&amp;"","")</f>
        <v/>
      </c>
      <c r="F608" s="17">
        <f>IF(C608="","",IF(COUNTIF(Office_Log!$A$2:$A$201,C608)&gt;0,"Y","N"))</f>
        <v/>
      </c>
      <c r="G608" s="17">
        <f>IF(OR(C608="",AND(LEFT(C608,6)="SAMPLE",Config!$B$19&lt;&gt;"Y")),"",IF(IFERROR(INDEX(Lists!$J$2:$J$15,MATCH(D608,Lists!$I$2:$I$15,0)),-1)=-1,"status '"&amp;D608&amp;"' is not a CONTRACTS status",IF(AND(D608="signed",COUNTIF(signed_offices!$W$2:$W$51,C608)=0),"status signed but no signed_offices row"&amp;IF(F608="N"," and no tracker row",""),IF(AND(IFERROR(INDEX(Lists!$J$2:$J$15,MATCH(D608,Lists!$I$2:$I$15,0)),-1)&gt;=6,F608="N"),"status "&amp;D608&amp;" but no tracker row",IF(AND(E608="Y",D608&lt;&gt;"do_not_contact"),"do_not_contact = Y but status is "&amp;D608,IF(AND(D608="do_not_contact",E608&lt;&gt;"Y"),"status do_not_contact but do_not_contact is not Y",""))))))</f>
        <v/>
      </c>
      <c r="I608" s="17" t="n">
        <v>587</v>
      </c>
      <c r="J608" s="17">
        <f>IFERROR(INDEX(Clay_Brands!$A$2:$FZ$601,I608,$D$5)&amp;"","")</f>
        <v/>
      </c>
      <c r="K608" s="17">
        <f>IFERROR(INDEX(Clay_Brands!$A$2:$FZ$601,I608,$D$7)&amp;"","")</f>
        <v/>
      </c>
      <c r="L608" s="17">
        <f>IFERROR(INDEX(Clay_Brands!$A$2:$FZ$601,I608,$D$8)&amp;"","")</f>
        <v/>
      </c>
      <c r="M608" s="17">
        <f>IF(J608="","",IF(COUNTIF(Brand_Log!$A$2:$A$201,J608)&gt;0,"Y","N"))</f>
        <v/>
      </c>
      <c r="N608" s="17">
        <f>IF(OR(J608="",AND(LEFT(J608,6)="SAMPLE",Config!$B$19&lt;&gt;"Y")),"",IF(IFERROR(INDEX(Lists!$J$2:$J$15,MATCH(K608,Lists!$I$2:$I$15,0)),-1)=-1,"status '"&amp;K608&amp;"' is not a CONTRACTS status",IF(AND(K608="paid",COUNTIF(paid_brands!$AC$2:$AC$51,J608)=0),"status paid but no paid_brands row"&amp;IF(M608="N"," and no tracker row",""),IF(AND(IFERROR(INDEX(Lists!$J$2:$J$15,MATCH(K608,Lists!$I$2:$I$15,0)),-1)&gt;=6,M608="N"),"status "&amp;K608&amp;" but no tracker row",IF(AND(L608="Y",K608&lt;&gt;"do_not_contact"),"do_not_contact = Y but status is "&amp;K608,IF(AND(K608="do_not_contact",L608&lt;&gt;"Y"),"status do_not_contact but do_not_contact is not Y",""))))))</f>
        <v/>
      </c>
    </row>
    <row r="609">
      <c r="B609" s="17" t="n">
        <v>588</v>
      </c>
      <c r="C609" s="17">
        <f>IFERROR(INDEX(Clay_Offices!$A$2:$FZ$601,B609,$C$5)&amp;"","")</f>
        <v/>
      </c>
      <c r="D609" s="17">
        <f>IFERROR(INDEX(Clay_Offices!$A$2:$FZ$601,B609,$C$7)&amp;"","")</f>
        <v/>
      </c>
      <c r="E609" s="17">
        <f>IFERROR(INDEX(Clay_Offices!$A$2:$FZ$601,B609,$C$8)&amp;"","")</f>
        <v/>
      </c>
      <c r="F609" s="17">
        <f>IF(C609="","",IF(COUNTIF(Office_Log!$A$2:$A$201,C609)&gt;0,"Y","N"))</f>
        <v/>
      </c>
      <c r="G609" s="17">
        <f>IF(OR(C609="",AND(LEFT(C609,6)="SAMPLE",Config!$B$19&lt;&gt;"Y")),"",IF(IFERROR(INDEX(Lists!$J$2:$J$15,MATCH(D609,Lists!$I$2:$I$15,0)),-1)=-1,"status '"&amp;D609&amp;"' is not a CONTRACTS status",IF(AND(D609="signed",COUNTIF(signed_offices!$W$2:$W$51,C609)=0),"status signed but no signed_offices row"&amp;IF(F609="N"," and no tracker row",""),IF(AND(IFERROR(INDEX(Lists!$J$2:$J$15,MATCH(D609,Lists!$I$2:$I$15,0)),-1)&gt;=6,F609="N"),"status "&amp;D609&amp;" but no tracker row",IF(AND(E609="Y",D609&lt;&gt;"do_not_contact"),"do_not_contact = Y but status is "&amp;D609,IF(AND(D609="do_not_contact",E609&lt;&gt;"Y"),"status do_not_contact but do_not_contact is not Y",""))))))</f>
        <v/>
      </c>
      <c r="I609" s="17" t="n">
        <v>588</v>
      </c>
      <c r="J609" s="17">
        <f>IFERROR(INDEX(Clay_Brands!$A$2:$FZ$601,I609,$D$5)&amp;"","")</f>
        <v/>
      </c>
      <c r="K609" s="17">
        <f>IFERROR(INDEX(Clay_Brands!$A$2:$FZ$601,I609,$D$7)&amp;"","")</f>
        <v/>
      </c>
      <c r="L609" s="17">
        <f>IFERROR(INDEX(Clay_Brands!$A$2:$FZ$601,I609,$D$8)&amp;"","")</f>
        <v/>
      </c>
      <c r="M609" s="17">
        <f>IF(J609="","",IF(COUNTIF(Brand_Log!$A$2:$A$201,J609)&gt;0,"Y","N"))</f>
        <v/>
      </c>
      <c r="N609" s="17">
        <f>IF(OR(J609="",AND(LEFT(J609,6)="SAMPLE",Config!$B$19&lt;&gt;"Y")),"",IF(IFERROR(INDEX(Lists!$J$2:$J$15,MATCH(K609,Lists!$I$2:$I$15,0)),-1)=-1,"status '"&amp;K609&amp;"' is not a CONTRACTS status",IF(AND(K609="paid",COUNTIF(paid_brands!$AC$2:$AC$51,J609)=0),"status paid but no paid_brands row"&amp;IF(M609="N"," and no tracker row",""),IF(AND(IFERROR(INDEX(Lists!$J$2:$J$15,MATCH(K609,Lists!$I$2:$I$15,0)),-1)&gt;=6,M609="N"),"status "&amp;K609&amp;" but no tracker row",IF(AND(L609="Y",K609&lt;&gt;"do_not_contact"),"do_not_contact = Y but status is "&amp;K609,IF(AND(K609="do_not_contact",L609&lt;&gt;"Y"),"status do_not_contact but do_not_contact is not Y",""))))))</f>
        <v/>
      </c>
    </row>
    <row r="610">
      <c r="B610" s="17" t="n">
        <v>589</v>
      </c>
      <c r="C610" s="17">
        <f>IFERROR(INDEX(Clay_Offices!$A$2:$FZ$601,B610,$C$5)&amp;"","")</f>
        <v/>
      </c>
      <c r="D610" s="17">
        <f>IFERROR(INDEX(Clay_Offices!$A$2:$FZ$601,B610,$C$7)&amp;"","")</f>
        <v/>
      </c>
      <c r="E610" s="17">
        <f>IFERROR(INDEX(Clay_Offices!$A$2:$FZ$601,B610,$C$8)&amp;"","")</f>
        <v/>
      </c>
      <c r="F610" s="17">
        <f>IF(C610="","",IF(COUNTIF(Office_Log!$A$2:$A$201,C610)&gt;0,"Y","N"))</f>
        <v/>
      </c>
      <c r="G610" s="17">
        <f>IF(OR(C610="",AND(LEFT(C610,6)="SAMPLE",Config!$B$19&lt;&gt;"Y")),"",IF(IFERROR(INDEX(Lists!$J$2:$J$15,MATCH(D610,Lists!$I$2:$I$15,0)),-1)=-1,"status '"&amp;D610&amp;"' is not a CONTRACTS status",IF(AND(D610="signed",COUNTIF(signed_offices!$W$2:$W$51,C610)=0),"status signed but no signed_offices row"&amp;IF(F610="N"," and no tracker row",""),IF(AND(IFERROR(INDEX(Lists!$J$2:$J$15,MATCH(D610,Lists!$I$2:$I$15,0)),-1)&gt;=6,F610="N"),"status "&amp;D610&amp;" but no tracker row",IF(AND(E610="Y",D610&lt;&gt;"do_not_contact"),"do_not_contact = Y but status is "&amp;D610,IF(AND(D610="do_not_contact",E610&lt;&gt;"Y"),"status do_not_contact but do_not_contact is not Y",""))))))</f>
        <v/>
      </c>
      <c r="I610" s="17" t="n">
        <v>589</v>
      </c>
      <c r="J610" s="17">
        <f>IFERROR(INDEX(Clay_Brands!$A$2:$FZ$601,I610,$D$5)&amp;"","")</f>
        <v/>
      </c>
      <c r="K610" s="17">
        <f>IFERROR(INDEX(Clay_Brands!$A$2:$FZ$601,I610,$D$7)&amp;"","")</f>
        <v/>
      </c>
      <c r="L610" s="17">
        <f>IFERROR(INDEX(Clay_Brands!$A$2:$FZ$601,I610,$D$8)&amp;"","")</f>
        <v/>
      </c>
      <c r="M610" s="17">
        <f>IF(J610="","",IF(COUNTIF(Brand_Log!$A$2:$A$201,J610)&gt;0,"Y","N"))</f>
        <v/>
      </c>
      <c r="N610" s="17">
        <f>IF(OR(J610="",AND(LEFT(J610,6)="SAMPLE",Config!$B$19&lt;&gt;"Y")),"",IF(IFERROR(INDEX(Lists!$J$2:$J$15,MATCH(K610,Lists!$I$2:$I$15,0)),-1)=-1,"status '"&amp;K610&amp;"' is not a CONTRACTS status",IF(AND(K610="paid",COUNTIF(paid_brands!$AC$2:$AC$51,J610)=0),"status paid but no paid_brands row"&amp;IF(M610="N"," and no tracker row",""),IF(AND(IFERROR(INDEX(Lists!$J$2:$J$15,MATCH(K610,Lists!$I$2:$I$15,0)),-1)&gt;=6,M610="N"),"status "&amp;K610&amp;" but no tracker row",IF(AND(L610="Y",K610&lt;&gt;"do_not_contact"),"do_not_contact = Y but status is "&amp;K610,IF(AND(K610="do_not_contact",L610&lt;&gt;"Y"),"status do_not_contact but do_not_contact is not Y",""))))))</f>
        <v/>
      </c>
    </row>
    <row r="611">
      <c r="B611" s="17" t="n">
        <v>590</v>
      </c>
      <c r="C611" s="17">
        <f>IFERROR(INDEX(Clay_Offices!$A$2:$FZ$601,B611,$C$5)&amp;"","")</f>
        <v/>
      </c>
      <c r="D611" s="17">
        <f>IFERROR(INDEX(Clay_Offices!$A$2:$FZ$601,B611,$C$7)&amp;"","")</f>
        <v/>
      </c>
      <c r="E611" s="17">
        <f>IFERROR(INDEX(Clay_Offices!$A$2:$FZ$601,B611,$C$8)&amp;"","")</f>
        <v/>
      </c>
      <c r="F611" s="17">
        <f>IF(C611="","",IF(COUNTIF(Office_Log!$A$2:$A$201,C611)&gt;0,"Y","N"))</f>
        <v/>
      </c>
      <c r="G611" s="17">
        <f>IF(OR(C611="",AND(LEFT(C611,6)="SAMPLE",Config!$B$19&lt;&gt;"Y")),"",IF(IFERROR(INDEX(Lists!$J$2:$J$15,MATCH(D611,Lists!$I$2:$I$15,0)),-1)=-1,"status '"&amp;D611&amp;"' is not a CONTRACTS status",IF(AND(D611="signed",COUNTIF(signed_offices!$W$2:$W$51,C611)=0),"status signed but no signed_offices row"&amp;IF(F611="N"," and no tracker row",""),IF(AND(IFERROR(INDEX(Lists!$J$2:$J$15,MATCH(D611,Lists!$I$2:$I$15,0)),-1)&gt;=6,F611="N"),"status "&amp;D611&amp;" but no tracker row",IF(AND(E611="Y",D611&lt;&gt;"do_not_contact"),"do_not_contact = Y but status is "&amp;D611,IF(AND(D611="do_not_contact",E611&lt;&gt;"Y"),"status do_not_contact but do_not_contact is not Y",""))))))</f>
        <v/>
      </c>
      <c r="I611" s="17" t="n">
        <v>590</v>
      </c>
      <c r="J611" s="17">
        <f>IFERROR(INDEX(Clay_Brands!$A$2:$FZ$601,I611,$D$5)&amp;"","")</f>
        <v/>
      </c>
      <c r="K611" s="17">
        <f>IFERROR(INDEX(Clay_Brands!$A$2:$FZ$601,I611,$D$7)&amp;"","")</f>
        <v/>
      </c>
      <c r="L611" s="17">
        <f>IFERROR(INDEX(Clay_Brands!$A$2:$FZ$601,I611,$D$8)&amp;"","")</f>
        <v/>
      </c>
      <c r="M611" s="17">
        <f>IF(J611="","",IF(COUNTIF(Brand_Log!$A$2:$A$201,J611)&gt;0,"Y","N"))</f>
        <v/>
      </c>
      <c r="N611" s="17">
        <f>IF(OR(J611="",AND(LEFT(J611,6)="SAMPLE",Config!$B$19&lt;&gt;"Y")),"",IF(IFERROR(INDEX(Lists!$J$2:$J$15,MATCH(K611,Lists!$I$2:$I$15,0)),-1)=-1,"status '"&amp;K611&amp;"' is not a CONTRACTS status",IF(AND(K611="paid",COUNTIF(paid_brands!$AC$2:$AC$51,J611)=0),"status paid but no paid_brands row"&amp;IF(M611="N"," and no tracker row",""),IF(AND(IFERROR(INDEX(Lists!$J$2:$J$15,MATCH(K611,Lists!$I$2:$I$15,0)),-1)&gt;=6,M611="N"),"status "&amp;K611&amp;" but no tracker row",IF(AND(L611="Y",K611&lt;&gt;"do_not_contact"),"do_not_contact = Y but status is "&amp;K611,IF(AND(K611="do_not_contact",L611&lt;&gt;"Y"),"status do_not_contact but do_not_contact is not Y",""))))))</f>
        <v/>
      </c>
    </row>
    <row r="612">
      <c r="B612" s="17" t="n">
        <v>591</v>
      </c>
      <c r="C612" s="17">
        <f>IFERROR(INDEX(Clay_Offices!$A$2:$FZ$601,B612,$C$5)&amp;"","")</f>
        <v/>
      </c>
      <c r="D612" s="17">
        <f>IFERROR(INDEX(Clay_Offices!$A$2:$FZ$601,B612,$C$7)&amp;"","")</f>
        <v/>
      </c>
      <c r="E612" s="17">
        <f>IFERROR(INDEX(Clay_Offices!$A$2:$FZ$601,B612,$C$8)&amp;"","")</f>
        <v/>
      </c>
      <c r="F612" s="17">
        <f>IF(C612="","",IF(COUNTIF(Office_Log!$A$2:$A$201,C612)&gt;0,"Y","N"))</f>
        <v/>
      </c>
      <c r="G612" s="17">
        <f>IF(OR(C612="",AND(LEFT(C612,6)="SAMPLE",Config!$B$19&lt;&gt;"Y")),"",IF(IFERROR(INDEX(Lists!$J$2:$J$15,MATCH(D612,Lists!$I$2:$I$15,0)),-1)=-1,"status '"&amp;D612&amp;"' is not a CONTRACTS status",IF(AND(D612="signed",COUNTIF(signed_offices!$W$2:$W$51,C612)=0),"status signed but no signed_offices row"&amp;IF(F612="N"," and no tracker row",""),IF(AND(IFERROR(INDEX(Lists!$J$2:$J$15,MATCH(D612,Lists!$I$2:$I$15,0)),-1)&gt;=6,F612="N"),"status "&amp;D612&amp;" but no tracker row",IF(AND(E612="Y",D612&lt;&gt;"do_not_contact"),"do_not_contact = Y but status is "&amp;D612,IF(AND(D612="do_not_contact",E612&lt;&gt;"Y"),"status do_not_contact but do_not_contact is not Y",""))))))</f>
        <v/>
      </c>
      <c r="I612" s="17" t="n">
        <v>591</v>
      </c>
      <c r="J612" s="17">
        <f>IFERROR(INDEX(Clay_Brands!$A$2:$FZ$601,I612,$D$5)&amp;"","")</f>
        <v/>
      </c>
      <c r="K612" s="17">
        <f>IFERROR(INDEX(Clay_Brands!$A$2:$FZ$601,I612,$D$7)&amp;"","")</f>
        <v/>
      </c>
      <c r="L612" s="17">
        <f>IFERROR(INDEX(Clay_Brands!$A$2:$FZ$601,I612,$D$8)&amp;"","")</f>
        <v/>
      </c>
      <c r="M612" s="17">
        <f>IF(J612="","",IF(COUNTIF(Brand_Log!$A$2:$A$201,J612)&gt;0,"Y","N"))</f>
        <v/>
      </c>
      <c r="N612" s="17">
        <f>IF(OR(J612="",AND(LEFT(J612,6)="SAMPLE",Config!$B$19&lt;&gt;"Y")),"",IF(IFERROR(INDEX(Lists!$J$2:$J$15,MATCH(K612,Lists!$I$2:$I$15,0)),-1)=-1,"status '"&amp;K612&amp;"' is not a CONTRACTS status",IF(AND(K612="paid",COUNTIF(paid_brands!$AC$2:$AC$51,J612)=0),"status paid but no paid_brands row"&amp;IF(M612="N"," and no tracker row",""),IF(AND(IFERROR(INDEX(Lists!$J$2:$J$15,MATCH(K612,Lists!$I$2:$I$15,0)),-1)&gt;=6,M612="N"),"status "&amp;K612&amp;" but no tracker row",IF(AND(L612="Y",K612&lt;&gt;"do_not_contact"),"do_not_contact = Y but status is "&amp;K612,IF(AND(K612="do_not_contact",L612&lt;&gt;"Y"),"status do_not_contact but do_not_contact is not Y",""))))))</f>
        <v/>
      </c>
    </row>
    <row r="613">
      <c r="B613" s="17" t="n">
        <v>592</v>
      </c>
      <c r="C613" s="17">
        <f>IFERROR(INDEX(Clay_Offices!$A$2:$FZ$601,B613,$C$5)&amp;"","")</f>
        <v/>
      </c>
      <c r="D613" s="17">
        <f>IFERROR(INDEX(Clay_Offices!$A$2:$FZ$601,B613,$C$7)&amp;"","")</f>
        <v/>
      </c>
      <c r="E613" s="17">
        <f>IFERROR(INDEX(Clay_Offices!$A$2:$FZ$601,B613,$C$8)&amp;"","")</f>
        <v/>
      </c>
      <c r="F613" s="17">
        <f>IF(C613="","",IF(COUNTIF(Office_Log!$A$2:$A$201,C613)&gt;0,"Y","N"))</f>
        <v/>
      </c>
      <c r="G613" s="17">
        <f>IF(OR(C613="",AND(LEFT(C613,6)="SAMPLE",Config!$B$19&lt;&gt;"Y")),"",IF(IFERROR(INDEX(Lists!$J$2:$J$15,MATCH(D613,Lists!$I$2:$I$15,0)),-1)=-1,"status '"&amp;D613&amp;"' is not a CONTRACTS status",IF(AND(D613="signed",COUNTIF(signed_offices!$W$2:$W$51,C613)=0),"status signed but no signed_offices row"&amp;IF(F613="N"," and no tracker row",""),IF(AND(IFERROR(INDEX(Lists!$J$2:$J$15,MATCH(D613,Lists!$I$2:$I$15,0)),-1)&gt;=6,F613="N"),"status "&amp;D613&amp;" but no tracker row",IF(AND(E613="Y",D613&lt;&gt;"do_not_contact"),"do_not_contact = Y but status is "&amp;D613,IF(AND(D613="do_not_contact",E613&lt;&gt;"Y"),"status do_not_contact but do_not_contact is not Y",""))))))</f>
        <v/>
      </c>
      <c r="I613" s="17" t="n">
        <v>592</v>
      </c>
      <c r="J613" s="17">
        <f>IFERROR(INDEX(Clay_Brands!$A$2:$FZ$601,I613,$D$5)&amp;"","")</f>
        <v/>
      </c>
      <c r="K613" s="17">
        <f>IFERROR(INDEX(Clay_Brands!$A$2:$FZ$601,I613,$D$7)&amp;"","")</f>
        <v/>
      </c>
      <c r="L613" s="17">
        <f>IFERROR(INDEX(Clay_Brands!$A$2:$FZ$601,I613,$D$8)&amp;"","")</f>
        <v/>
      </c>
      <c r="M613" s="17">
        <f>IF(J613="","",IF(COUNTIF(Brand_Log!$A$2:$A$201,J613)&gt;0,"Y","N"))</f>
        <v/>
      </c>
      <c r="N613" s="17">
        <f>IF(OR(J613="",AND(LEFT(J613,6)="SAMPLE",Config!$B$19&lt;&gt;"Y")),"",IF(IFERROR(INDEX(Lists!$J$2:$J$15,MATCH(K613,Lists!$I$2:$I$15,0)),-1)=-1,"status '"&amp;K613&amp;"' is not a CONTRACTS status",IF(AND(K613="paid",COUNTIF(paid_brands!$AC$2:$AC$51,J613)=0),"status paid but no paid_brands row"&amp;IF(M613="N"," and no tracker row",""),IF(AND(IFERROR(INDEX(Lists!$J$2:$J$15,MATCH(K613,Lists!$I$2:$I$15,0)),-1)&gt;=6,M613="N"),"status "&amp;K613&amp;" but no tracker row",IF(AND(L613="Y",K613&lt;&gt;"do_not_contact"),"do_not_contact = Y but status is "&amp;K613,IF(AND(K613="do_not_contact",L613&lt;&gt;"Y"),"status do_not_contact but do_not_contact is not Y",""))))))</f>
        <v/>
      </c>
    </row>
    <row r="614">
      <c r="B614" s="17" t="n">
        <v>593</v>
      </c>
      <c r="C614" s="17">
        <f>IFERROR(INDEX(Clay_Offices!$A$2:$FZ$601,B614,$C$5)&amp;"","")</f>
        <v/>
      </c>
      <c r="D614" s="17">
        <f>IFERROR(INDEX(Clay_Offices!$A$2:$FZ$601,B614,$C$7)&amp;"","")</f>
        <v/>
      </c>
      <c r="E614" s="17">
        <f>IFERROR(INDEX(Clay_Offices!$A$2:$FZ$601,B614,$C$8)&amp;"","")</f>
        <v/>
      </c>
      <c r="F614" s="17">
        <f>IF(C614="","",IF(COUNTIF(Office_Log!$A$2:$A$201,C614)&gt;0,"Y","N"))</f>
        <v/>
      </c>
      <c r="G614" s="17">
        <f>IF(OR(C614="",AND(LEFT(C614,6)="SAMPLE",Config!$B$19&lt;&gt;"Y")),"",IF(IFERROR(INDEX(Lists!$J$2:$J$15,MATCH(D614,Lists!$I$2:$I$15,0)),-1)=-1,"status '"&amp;D614&amp;"' is not a CONTRACTS status",IF(AND(D614="signed",COUNTIF(signed_offices!$W$2:$W$51,C614)=0),"status signed but no signed_offices row"&amp;IF(F614="N"," and no tracker row",""),IF(AND(IFERROR(INDEX(Lists!$J$2:$J$15,MATCH(D614,Lists!$I$2:$I$15,0)),-1)&gt;=6,F614="N"),"status "&amp;D614&amp;" but no tracker row",IF(AND(E614="Y",D614&lt;&gt;"do_not_contact"),"do_not_contact = Y but status is "&amp;D614,IF(AND(D614="do_not_contact",E614&lt;&gt;"Y"),"status do_not_contact but do_not_contact is not Y",""))))))</f>
        <v/>
      </c>
      <c r="I614" s="17" t="n">
        <v>593</v>
      </c>
      <c r="J614" s="17">
        <f>IFERROR(INDEX(Clay_Brands!$A$2:$FZ$601,I614,$D$5)&amp;"","")</f>
        <v/>
      </c>
      <c r="K614" s="17">
        <f>IFERROR(INDEX(Clay_Brands!$A$2:$FZ$601,I614,$D$7)&amp;"","")</f>
        <v/>
      </c>
      <c r="L614" s="17">
        <f>IFERROR(INDEX(Clay_Brands!$A$2:$FZ$601,I614,$D$8)&amp;"","")</f>
        <v/>
      </c>
      <c r="M614" s="17">
        <f>IF(J614="","",IF(COUNTIF(Brand_Log!$A$2:$A$201,J614)&gt;0,"Y","N"))</f>
        <v/>
      </c>
      <c r="N614" s="17">
        <f>IF(OR(J614="",AND(LEFT(J614,6)="SAMPLE",Config!$B$19&lt;&gt;"Y")),"",IF(IFERROR(INDEX(Lists!$J$2:$J$15,MATCH(K614,Lists!$I$2:$I$15,0)),-1)=-1,"status '"&amp;K614&amp;"' is not a CONTRACTS status",IF(AND(K614="paid",COUNTIF(paid_brands!$AC$2:$AC$51,J614)=0),"status paid but no paid_brands row"&amp;IF(M614="N"," and no tracker row",""),IF(AND(IFERROR(INDEX(Lists!$J$2:$J$15,MATCH(K614,Lists!$I$2:$I$15,0)),-1)&gt;=6,M614="N"),"status "&amp;K614&amp;" but no tracker row",IF(AND(L614="Y",K614&lt;&gt;"do_not_contact"),"do_not_contact = Y but status is "&amp;K614,IF(AND(K614="do_not_contact",L614&lt;&gt;"Y"),"status do_not_contact but do_not_contact is not Y",""))))))</f>
        <v/>
      </c>
    </row>
    <row r="615">
      <c r="B615" s="17" t="n">
        <v>594</v>
      </c>
      <c r="C615" s="17">
        <f>IFERROR(INDEX(Clay_Offices!$A$2:$FZ$601,B615,$C$5)&amp;"","")</f>
        <v/>
      </c>
      <c r="D615" s="17">
        <f>IFERROR(INDEX(Clay_Offices!$A$2:$FZ$601,B615,$C$7)&amp;"","")</f>
        <v/>
      </c>
      <c r="E615" s="17">
        <f>IFERROR(INDEX(Clay_Offices!$A$2:$FZ$601,B615,$C$8)&amp;"","")</f>
        <v/>
      </c>
      <c r="F615" s="17">
        <f>IF(C615="","",IF(COUNTIF(Office_Log!$A$2:$A$201,C615)&gt;0,"Y","N"))</f>
        <v/>
      </c>
      <c r="G615" s="17">
        <f>IF(OR(C615="",AND(LEFT(C615,6)="SAMPLE",Config!$B$19&lt;&gt;"Y")),"",IF(IFERROR(INDEX(Lists!$J$2:$J$15,MATCH(D615,Lists!$I$2:$I$15,0)),-1)=-1,"status '"&amp;D615&amp;"' is not a CONTRACTS status",IF(AND(D615="signed",COUNTIF(signed_offices!$W$2:$W$51,C615)=0),"status signed but no signed_offices row"&amp;IF(F615="N"," and no tracker row",""),IF(AND(IFERROR(INDEX(Lists!$J$2:$J$15,MATCH(D615,Lists!$I$2:$I$15,0)),-1)&gt;=6,F615="N"),"status "&amp;D615&amp;" but no tracker row",IF(AND(E615="Y",D615&lt;&gt;"do_not_contact"),"do_not_contact = Y but status is "&amp;D615,IF(AND(D615="do_not_contact",E615&lt;&gt;"Y"),"status do_not_contact but do_not_contact is not Y",""))))))</f>
        <v/>
      </c>
      <c r="I615" s="17" t="n">
        <v>594</v>
      </c>
      <c r="J615" s="17">
        <f>IFERROR(INDEX(Clay_Brands!$A$2:$FZ$601,I615,$D$5)&amp;"","")</f>
        <v/>
      </c>
      <c r="K615" s="17">
        <f>IFERROR(INDEX(Clay_Brands!$A$2:$FZ$601,I615,$D$7)&amp;"","")</f>
        <v/>
      </c>
      <c r="L615" s="17">
        <f>IFERROR(INDEX(Clay_Brands!$A$2:$FZ$601,I615,$D$8)&amp;"","")</f>
        <v/>
      </c>
      <c r="M615" s="17">
        <f>IF(J615="","",IF(COUNTIF(Brand_Log!$A$2:$A$201,J615)&gt;0,"Y","N"))</f>
        <v/>
      </c>
      <c r="N615" s="17">
        <f>IF(OR(J615="",AND(LEFT(J615,6)="SAMPLE",Config!$B$19&lt;&gt;"Y")),"",IF(IFERROR(INDEX(Lists!$J$2:$J$15,MATCH(K615,Lists!$I$2:$I$15,0)),-1)=-1,"status '"&amp;K615&amp;"' is not a CONTRACTS status",IF(AND(K615="paid",COUNTIF(paid_brands!$AC$2:$AC$51,J615)=0),"status paid but no paid_brands row"&amp;IF(M615="N"," and no tracker row",""),IF(AND(IFERROR(INDEX(Lists!$J$2:$J$15,MATCH(K615,Lists!$I$2:$I$15,0)),-1)&gt;=6,M615="N"),"status "&amp;K615&amp;" but no tracker row",IF(AND(L615="Y",K615&lt;&gt;"do_not_contact"),"do_not_contact = Y but status is "&amp;K615,IF(AND(K615="do_not_contact",L615&lt;&gt;"Y"),"status do_not_contact but do_not_contact is not Y",""))))))</f>
        <v/>
      </c>
    </row>
    <row r="616">
      <c r="B616" s="17" t="n">
        <v>595</v>
      </c>
      <c r="C616" s="17">
        <f>IFERROR(INDEX(Clay_Offices!$A$2:$FZ$601,B616,$C$5)&amp;"","")</f>
        <v/>
      </c>
      <c r="D616" s="17">
        <f>IFERROR(INDEX(Clay_Offices!$A$2:$FZ$601,B616,$C$7)&amp;"","")</f>
        <v/>
      </c>
      <c r="E616" s="17">
        <f>IFERROR(INDEX(Clay_Offices!$A$2:$FZ$601,B616,$C$8)&amp;"","")</f>
        <v/>
      </c>
      <c r="F616" s="17">
        <f>IF(C616="","",IF(COUNTIF(Office_Log!$A$2:$A$201,C616)&gt;0,"Y","N"))</f>
        <v/>
      </c>
      <c r="G616" s="17">
        <f>IF(OR(C616="",AND(LEFT(C616,6)="SAMPLE",Config!$B$19&lt;&gt;"Y")),"",IF(IFERROR(INDEX(Lists!$J$2:$J$15,MATCH(D616,Lists!$I$2:$I$15,0)),-1)=-1,"status '"&amp;D616&amp;"' is not a CONTRACTS status",IF(AND(D616="signed",COUNTIF(signed_offices!$W$2:$W$51,C616)=0),"status signed but no signed_offices row"&amp;IF(F616="N"," and no tracker row",""),IF(AND(IFERROR(INDEX(Lists!$J$2:$J$15,MATCH(D616,Lists!$I$2:$I$15,0)),-1)&gt;=6,F616="N"),"status "&amp;D616&amp;" but no tracker row",IF(AND(E616="Y",D616&lt;&gt;"do_not_contact"),"do_not_contact = Y but status is "&amp;D616,IF(AND(D616="do_not_contact",E616&lt;&gt;"Y"),"status do_not_contact but do_not_contact is not Y",""))))))</f>
        <v/>
      </c>
      <c r="I616" s="17" t="n">
        <v>595</v>
      </c>
      <c r="J616" s="17">
        <f>IFERROR(INDEX(Clay_Brands!$A$2:$FZ$601,I616,$D$5)&amp;"","")</f>
        <v/>
      </c>
      <c r="K616" s="17">
        <f>IFERROR(INDEX(Clay_Brands!$A$2:$FZ$601,I616,$D$7)&amp;"","")</f>
        <v/>
      </c>
      <c r="L616" s="17">
        <f>IFERROR(INDEX(Clay_Brands!$A$2:$FZ$601,I616,$D$8)&amp;"","")</f>
        <v/>
      </c>
      <c r="M616" s="17">
        <f>IF(J616="","",IF(COUNTIF(Brand_Log!$A$2:$A$201,J616)&gt;0,"Y","N"))</f>
        <v/>
      </c>
      <c r="N616" s="17">
        <f>IF(OR(J616="",AND(LEFT(J616,6)="SAMPLE",Config!$B$19&lt;&gt;"Y")),"",IF(IFERROR(INDEX(Lists!$J$2:$J$15,MATCH(K616,Lists!$I$2:$I$15,0)),-1)=-1,"status '"&amp;K616&amp;"' is not a CONTRACTS status",IF(AND(K616="paid",COUNTIF(paid_brands!$AC$2:$AC$51,J616)=0),"status paid but no paid_brands row"&amp;IF(M616="N"," and no tracker row",""),IF(AND(IFERROR(INDEX(Lists!$J$2:$J$15,MATCH(K616,Lists!$I$2:$I$15,0)),-1)&gt;=6,M616="N"),"status "&amp;K616&amp;" but no tracker row",IF(AND(L616="Y",K616&lt;&gt;"do_not_contact"),"do_not_contact = Y but status is "&amp;K616,IF(AND(K616="do_not_contact",L616&lt;&gt;"Y"),"status do_not_contact but do_not_contact is not Y",""))))))</f>
        <v/>
      </c>
    </row>
    <row r="617">
      <c r="B617" s="17" t="n">
        <v>596</v>
      </c>
      <c r="C617" s="17">
        <f>IFERROR(INDEX(Clay_Offices!$A$2:$FZ$601,B617,$C$5)&amp;"","")</f>
        <v/>
      </c>
      <c r="D617" s="17">
        <f>IFERROR(INDEX(Clay_Offices!$A$2:$FZ$601,B617,$C$7)&amp;"","")</f>
        <v/>
      </c>
      <c r="E617" s="17">
        <f>IFERROR(INDEX(Clay_Offices!$A$2:$FZ$601,B617,$C$8)&amp;"","")</f>
        <v/>
      </c>
      <c r="F617" s="17">
        <f>IF(C617="","",IF(COUNTIF(Office_Log!$A$2:$A$201,C617)&gt;0,"Y","N"))</f>
        <v/>
      </c>
      <c r="G617" s="17">
        <f>IF(OR(C617="",AND(LEFT(C617,6)="SAMPLE",Config!$B$19&lt;&gt;"Y")),"",IF(IFERROR(INDEX(Lists!$J$2:$J$15,MATCH(D617,Lists!$I$2:$I$15,0)),-1)=-1,"status '"&amp;D617&amp;"' is not a CONTRACTS status",IF(AND(D617="signed",COUNTIF(signed_offices!$W$2:$W$51,C617)=0),"status signed but no signed_offices row"&amp;IF(F617="N"," and no tracker row",""),IF(AND(IFERROR(INDEX(Lists!$J$2:$J$15,MATCH(D617,Lists!$I$2:$I$15,0)),-1)&gt;=6,F617="N"),"status "&amp;D617&amp;" but no tracker row",IF(AND(E617="Y",D617&lt;&gt;"do_not_contact"),"do_not_contact = Y but status is "&amp;D617,IF(AND(D617="do_not_contact",E617&lt;&gt;"Y"),"status do_not_contact but do_not_contact is not Y",""))))))</f>
        <v/>
      </c>
      <c r="I617" s="17" t="n">
        <v>596</v>
      </c>
      <c r="J617" s="17">
        <f>IFERROR(INDEX(Clay_Brands!$A$2:$FZ$601,I617,$D$5)&amp;"","")</f>
        <v/>
      </c>
      <c r="K617" s="17">
        <f>IFERROR(INDEX(Clay_Brands!$A$2:$FZ$601,I617,$D$7)&amp;"","")</f>
        <v/>
      </c>
      <c r="L617" s="17">
        <f>IFERROR(INDEX(Clay_Brands!$A$2:$FZ$601,I617,$D$8)&amp;"","")</f>
        <v/>
      </c>
      <c r="M617" s="17">
        <f>IF(J617="","",IF(COUNTIF(Brand_Log!$A$2:$A$201,J617)&gt;0,"Y","N"))</f>
        <v/>
      </c>
      <c r="N617" s="17">
        <f>IF(OR(J617="",AND(LEFT(J617,6)="SAMPLE",Config!$B$19&lt;&gt;"Y")),"",IF(IFERROR(INDEX(Lists!$J$2:$J$15,MATCH(K617,Lists!$I$2:$I$15,0)),-1)=-1,"status '"&amp;K617&amp;"' is not a CONTRACTS status",IF(AND(K617="paid",COUNTIF(paid_brands!$AC$2:$AC$51,J617)=0),"status paid but no paid_brands row"&amp;IF(M617="N"," and no tracker row",""),IF(AND(IFERROR(INDEX(Lists!$J$2:$J$15,MATCH(K617,Lists!$I$2:$I$15,0)),-1)&gt;=6,M617="N"),"status "&amp;K617&amp;" but no tracker row",IF(AND(L617="Y",K617&lt;&gt;"do_not_contact"),"do_not_contact = Y but status is "&amp;K617,IF(AND(K617="do_not_contact",L617&lt;&gt;"Y"),"status do_not_contact but do_not_contact is not Y",""))))))</f>
        <v/>
      </c>
    </row>
    <row r="618">
      <c r="B618" s="17" t="n">
        <v>597</v>
      </c>
      <c r="C618" s="17">
        <f>IFERROR(INDEX(Clay_Offices!$A$2:$FZ$601,B618,$C$5)&amp;"","")</f>
        <v/>
      </c>
      <c r="D618" s="17">
        <f>IFERROR(INDEX(Clay_Offices!$A$2:$FZ$601,B618,$C$7)&amp;"","")</f>
        <v/>
      </c>
      <c r="E618" s="17">
        <f>IFERROR(INDEX(Clay_Offices!$A$2:$FZ$601,B618,$C$8)&amp;"","")</f>
        <v/>
      </c>
      <c r="F618" s="17">
        <f>IF(C618="","",IF(COUNTIF(Office_Log!$A$2:$A$201,C618)&gt;0,"Y","N"))</f>
        <v/>
      </c>
      <c r="G618" s="17">
        <f>IF(OR(C618="",AND(LEFT(C618,6)="SAMPLE",Config!$B$19&lt;&gt;"Y")),"",IF(IFERROR(INDEX(Lists!$J$2:$J$15,MATCH(D618,Lists!$I$2:$I$15,0)),-1)=-1,"status '"&amp;D618&amp;"' is not a CONTRACTS status",IF(AND(D618="signed",COUNTIF(signed_offices!$W$2:$W$51,C618)=0),"status signed but no signed_offices row"&amp;IF(F618="N"," and no tracker row",""),IF(AND(IFERROR(INDEX(Lists!$J$2:$J$15,MATCH(D618,Lists!$I$2:$I$15,0)),-1)&gt;=6,F618="N"),"status "&amp;D618&amp;" but no tracker row",IF(AND(E618="Y",D618&lt;&gt;"do_not_contact"),"do_not_contact = Y but status is "&amp;D618,IF(AND(D618="do_not_contact",E618&lt;&gt;"Y"),"status do_not_contact but do_not_contact is not Y",""))))))</f>
        <v/>
      </c>
      <c r="I618" s="17" t="n">
        <v>597</v>
      </c>
      <c r="J618" s="17">
        <f>IFERROR(INDEX(Clay_Brands!$A$2:$FZ$601,I618,$D$5)&amp;"","")</f>
        <v/>
      </c>
      <c r="K618" s="17">
        <f>IFERROR(INDEX(Clay_Brands!$A$2:$FZ$601,I618,$D$7)&amp;"","")</f>
        <v/>
      </c>
      <c r="L618" s="17">
        <f>IFERROR(INDEX(Clay_Brands!$A$2:$FZ$601,I618,$D$8)&amp;"","")</f>
        <v/>
      </c>
      <c r="M618" s="17">
        <f>IF(J618="","",IF(COUNTIF(Brand_Log!$A$2:$A$201,J618)&gt;0,"Y","N"))</f>
        <v/>
      </c>
      <c r="N618" s="17">
        <f>IF(OR(J618="",AND(LEFT(J618,6)="SAMPLE",Config!$B$19&lt;&gt;"Y")),"",IF(IFERROR(INDEX(Lists!$J$2:$J$15,MATCH(K618,Lists!$I$2:$I$15,0)),-1)=-1,"status '"&amp;K618&amp;"' is not a CONTRACTS status",IF(AND(K618="paid",COUNTIF(paid_brands!$AC$2:$AC$51,J618)=0),"status paid but no paid_brands row"&amp;IF(M618="N"," and no tracker row",""),IF(AND(IFERROR(INDEX(Lists!$J$2:$J$15,MATCH(K618,Lists!$I$2:$I$15,0)),-1)&gt;=6,M618="N"),"status "&amp;K618&amp;" but no tracker row",IF(AND(L618="Y",K618&lt;&gt;"do_not_contact"),"do_not_contact = Y but status is "&amp;K618,IF(AND(K618="do_not_contact",L618&lt;&gt;"Y"),"status do_not_contact but do_not_contact is not Y",""))))))</f>
        <v/>
      </c>
    </row>
    <row r="619">
      <c r="B619" s="17" t="n">
        <v>598</v>
      </c>
      <c r="C619" s="17">
        <f>IFERROR(INDEX(Clay_Offices!$A$2:$FZ$601,B619,$C$5)&amp;"","")</f>
        <v/>
      </c>
      <c r="D619" s="17">
        <f>IFERROR(INDEX(Clay_Offices!$A$2:$FZ$601,B619,$C$7)&amp;"","")</f>
        <v/>
      </c>
      <c r="E619" s="17">
        <f>IFERROR(INDEX(Clay_Offices!$A$2:$FZ$601,B619,$C$8)&amp;"","")</f>
        <v/>
      </c>
      <c r="F619" s="17">
        <f>IF(C619="","",IF(COUNTIF(Office_Log!$A$2:$A$201,C619)&gt;0,"Y","N"))</f>
        <v/>
      </c>
      <c r="G619" s="17">
        <f>IF(OR(C619="",AND(LEFT(C619,6)="SAMPLE",Config!$B$19&lt;&gt;"Y")),"",IF(IFERROR(INDEX(Lists!$J$2:$J$15,MATCH(D619,Lists!$I$2:$I$15,0)),-1)=-1,"status '"&amp;D619&amp;"' is not a CONTRACTS status",IF(AND(D619="signed",COUNTIF(signed_offices!$W$2:$W$51,C619)=0),"status signed but no signed_offices row"&amp;IF(F619="N"," and no tracker row",""),IF(AND(IFERROR(INDEX(Lists!$J$2:$J$15,MATCH(D619,Lists!$I$2:$I$15,0)),-1)&gt;=6,F619="N"),"status "&amp;D619&amp;" but no tracker row",IF(AND(E619="Y",D619&lt;&gt;"do_not_contact"),"do_not_contact = Y but status is "&amp;D619,IF(AND(D619="do_not_contact",E619&lt;&gt;"Y"),"status do_not_contact but do_not_contact is not Y",""))))))</f>
        <v/>
      </c>
      <c r="I619" s="17" t="n">
        <v>598</v>
      </c>
      <c r="J619" s="17">
        <f>IFERROR(INDEX(Clay_Brands!$A$2:$FZ$601,I619,$D$5)&amp;"","")</f>
        <v/>
      </c>
      <c r="K619" s="17">
        <f>IFERROR(INDEX(Clay_Brands!$A$2:$FZ$601,I619,$D$7)&amp;"","")</f>
        <v/>
      </c>
      <c r="L619" s="17">
        <f>IFERROR(INDEX(Clay_Brands!$A$2:$FZ$601,I619,$D$8)&amp;"","")</f>
        <v/>
      </c>
      <c r="M619" s="17">
        <f>IF(J619="","",IF(COUNTIF(Brand_Log!$A$2:$A$201,J619)&gt;0,"Y","N"))</f>
        <v/>
      </c>
      <c r="N619" s="17">
        <f>IF(OR(J619="",AND(LEFT(J619,6)="SAMPLE",Config!$B$19&lt;&gt;"Y")),"",IF(IFERROR(INDEX(Lists!$J$2:$J$15,MATCH(K619,Lists!$I$2:$I$15,0)),-1)=-1,"status '"&amp;K619&amp;"' is not a CONTRACTS status",IF(AND(K619="paid",COUNTIF(paid_brands!$AC$2:$AC$51,J619)=0),"status paid but no paid_brands row"&amp;IF(M619="N"," and no tracker row",""),IF(AND(IFERROR(INDEX(Lists!$J$2:$J$15,MATCH(K619,Lists!$I$2:$I$15,0)),-1)&gt;=6,M619="N"),"status "&amp;K619&amp;" but no tracker row",IF(AND(L619="Y",K619&lt;&gt;"do_not_contact"),"do_not_contact = Y but status is "&amp;K619,IF(AND(K619="do_not_contact",L619&lt;&gt;"Y"),"status do_not_contact but do_not_contact is not Y",""))))))</f>
        <v/>
      </c>
    </row>
    <row r="620">
      <c r="B620" s="17" t="n">
        <v>599</v>
      </c>
      <c r="C620" s="17">
        <f>IFERROR(INDEX(Clay_Offices!$A$2:$FZ$601,B620,$C$5)&amp;"","")</f>
        <v/>
      </c>
      <c r="D620" s="17">
        <f>IFERROR(INDEX(Clay_Offices!$A$2:$FZ$601,B620,$C$7)&amp;"","")</f>
        <v/>
      </c>
      <c r="E620" s="17">
        <f>IFERROR(INDEX(Clay_Offices!$A$2:$FZ$601,B620,$C$8)&amp;"","")</f>
        <v/>
      </c>
      <c r="F620" s="17">
        <f>IF(C620="","",IF(COUNTIF(Office_Log!$A$2:$A$201,C620)&gt;0,"Y","N"))</f>
        <v/>
      </c>
      <c r="G620" s="17">
        <f>IF(OR(C620="",AND(LEFT(C620,6)="SAMPLE",Config!$B$19&lt;&gt;"Y")),"",IF(IFERROR(INDEX(Lists!$J$2:$J$15,MATCH(D620,Lists!$I$2:$I$15,0)),-1)=-1,"status '"&amp;D620&amp;"' is not a CONTRACTS status",IF(AND(D620="signed",COUNTIF(signed_offices!$W$2:$W$51,C620)=0),"status signed but no signed_offices row"&amp;IF(F620="N"," and no tracker row",""),IF(AND(IFERROR(INDEX(Lists!$J$2:$J$15,MATCH(D620,Lists!$I$2:$I$15,0)),-1)&gt;=6,F620="N"),"status "&amp;D620&amp;" but no tracker row",IF(AND(E620="Y",D620&lt;&gt;"do_not_contact"),"do_not_contact = Y but status is "&amp;D620,IF(AND(D620="do_not_contact",E620&lt;&gt;"Y"),"status do_not_contact but do_not_contact is not Y",""))))))</f>
        <v/>
      </c>
      <c r="I620" s="17" t="n">
        <v>599</v>
      </c>
      <c r="J620" s="17">
        <f>IFERROR(INDEX(Clay_Brands!$A$2:$FZ$601,I620,$D$5)&amp;"","")</f>
        <v/>
      </c>
      <c r="K620" s="17">
        <f>IFERROR(INDEX(Clay_Brands!$A$2:$FZ$601,I620,$D$7)&amp;"","")</f>
        <v/>
      </c>
      <c r="L620" s="17">
        <f>IFERROR(INDEX(Clay_Brands!$A$2:$FZ$601,I620,$D$8)&amp;"","")</f>
        <v/>
      </c>
      <c r="M620" s="17">
        <f>IF(J620="","",IF(COUNTIF(Brand_Log!$A$2:$A$201,J620)&gt;0,"Y","N"))</f>
        <v/>
      </c>
      <c r="N620" s="17">
        <f>IF(OR(J620="",AND(LEFT(J620,6)="SAMPLE",Config!$B$19&lt;&gt;"Y")),"",IF(IFERROR(INDEX(Lists!$J$2:$J$15,MATCH(K620,Lists!$I$2:$I$15,0)),-1)=-1,"status '"&amp;K620&amp;"' is not a CONTRACTS status",IF(AND(K620="paid",COUNTIF(paid_brands!$AC$2:$AC$51,J620)=0),"status paid but no paid_brands row"&amp;IF(M620="N"," and no tracker row",""),IF(AND(IFERROR(INDEX(Lists!$J$2:$J$15,MATCH(K620,Lists!$I$2:$I$15,0)),-1)&gt;=6,M620="N"),"status "&amp;K620&amp;" but no tracker row",IF(AND(L620="Y",K620&lt;&gt;"do_not_contact"),"do_not_contact = Y but status is "&amp;K620,IF(AND(K620="do_not_contact",L620&lt;&gt;"Y"),"status do_not_contact but do_not_contact is not Y",""))))))</f>
        <v/>
      </c>
    </row>
    <row r="621">
      <c r="B621" s="17" t="n">
        <v>600</v>
      </c>
      <c r="C621" s="17">
        <f>IFERROR(INDEX(Clay_Offices!$A$2:$FZ$601,B621,$C$5)&amp;"","")</f>
        <v/>
      </c>
      <c r="D621" s="17">
        <f>IFERROR(INDEX(Clay_Offices!$A$2:$FZ$601,B621,$C$7)&amp;"","")</f>
        <v/>
      </c>
      <c r="E621" s="17">
        <f>IFERROR(INDEX(Clay_Offices!$A$2:$FZ$601,B621,$C$8)&amp;"","")</f>
        <v/>
      </c>
      <c r="F621" s="17">
        <f>IF(C621="","",IF(COUNTIF(Office_Log!$A$2:$A$201,C621)&gt;0,"Y","N"))</f>
        <v/>
      </c>
      <c r="G621" s="17">
        <f>IF(OR(C621="",AND(LEFT(C621,6)="SAMPLE",Config!$B$19&lt;&gt;"Y")),"",IF(IFERROR(INDEX(Lists!$J$2:$J$15,MATCH(D621,Lists!$I$2:$I$15,0)),-1)=-1,"status '"&amp;D621&amp;"' is not a CONTRACTS status",IF(AND(D621="signed",COUNTIF(signed_offices!$W$2:$W$51,C621)=0),"status signed but no signed_offices row"&amp;IF(F621="N"," and no tracker row",""),IF(AND(IFERROR(INDEX(Lists!$J$2:$J$15,MATCH(D621,Lists!$I$2:$I$15,0)),-1)&gt;=6,F621="N"),"status "&amp;D621&amp;" but no tracker row",IF(AND(E621="Y",D621&lt;&gt;"do_not_contact"),"do_not_contact = Y but status is "&amp;D621,IF(AND(D621="do_not_contact",E621&lt;&gt;"Y"),"status do_not_contact but do_not_contact is not Y",""))))))</f>
        <v/>
      </c>
      <c r="I621" s="17" t="n">
        <v>600</v>
      </c>
      <c r="J621" s="17">
        <f>IFERROR(INDEX(Clay_Brands!$A$2:$FZ$601,I621,$D$5)&amp;"","")</f>
        <v/>
      </c>
      <c r="K621" s="17">
        <f>IFERROR(INDEX(Clay_Brands!$A$2:$FZ$601,I621,$D$7)&amp;"","")</f>
        <v/>
      </c>
      <c r="L621" s="17">
        <f>IFERROR(INDEX(Clay_Brands!$A$2:$FZ$601,I621,$D$8)&amp;"","")</f>
        <v/>
      </c>
      <c r="M621" s="17">
        <f>IF(J621="","",IF(COUNTIF(Brand_Log!$A$2:$A$201,J621)&gt;0,"Y","N"))</f>
        <v/>
      </c>
      <c r="N621" s="17">
        <f>IF(OR(J621="",AND(LEFT(J621,6)="SAMPLE",Config!$B$19&lt;&gt;"Y")),"",IF(IFERROR(INDEX(Lists!$J$2:$J$15,MATCH(K621,Lists!$I$2:$I$15,0)),-1)=-1,"status '"&amp;K621&amp;"' is not a CONTRACTS status",IF(AND(K621="paid",COUNTIF(paid_brands!$AC$2:$AC$51,J621)=0),"status paid but no paid_brands row"&amp;IF(M621="N"," and no tracker row",""),IF(AND(IFERROR(INDEX(Lists!$J$2:$J$15,MATCH(K621,Lists!$I$2:$I$15,0)),-1)&gt;=6,M621="N"),"status "&amp;K621&amp;" but no tracker row",IF(AND(L621="Y",K621&lt;&gt;"do_not_contact"),"do_not_contact = Y but status is "&amp;K621,IF(AND(K621="do_not_contact",L621&lt;&gt;"Y"),"status do_not_contact but do_not_contact is not Y",""))))))</f>
        <v/>
      </c>
    </row>
  </sheetData>
  <conditionalFormatting sqref="G22:G621">
    <cfRule type="expression" priority="1" dxfId="2">
      <formula>LEN(G22)&gt;0</formula>
    </cfRule>
  </conditionalFormatting>
  <conditionalFormatting sqref="N22:N621">
    <cfRule type="expression" priority="2" dxfId="2">
      <formula>LEN(N22)&gt;0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20" customWidth="1" min="4" max="4"/>
    <col width="16" customWidth="1" min="5" max="5"/>
    <col width="10" customWidth="1" min="6" max="6"/>
    <col width="30" customWidth="1" min="7" max="7"/>
    <col width="9" customWidth="1" min="8" max="8"/>
    <col width="30" customWidth="1" min="9" max="9"/>
  </cols>
  <sheetData>
    <row r="1">
      <c r="A1" s="7" t="inlineStr">
        <is>
          <t>date</t>
        </is>
      </c>
      <c r="B1" s="7" t="inlineStr">
        <is>
          <t>side</t>
        </is>
      </c>
      <c r="C1" s="7" t="inlineStr">
        <is>
          <t>org_id</t>
        </is>
      </c>
      <c r="D1" s="7" t="inlineStr">
        <is>
          <t>org_name</t>
        </is>
      </c>
      <c r="E1" s="7" t="inlineStr">
        <is>
          <t>event</t>
        </is>
      </c>
      <c r="F1" s="7" t="inlineStr">
        <is>
          <t>value_number</t>
        </is>
      </c>
      <c r="G1" s="7" t="inlineStr">
        <is>
          <t>value_text</t>
        </is>
      </c>
      <c r="H1" s="7" t="inlineStr">
        <is>
          <t>controls_budget</t>
        </is>
      </c>
      <c r="I1" s="7" t="inlineStr">
        <is>
          <t>notes</t>
        </is>
      </c>
    </row>
    <row r="2">
      <c r="A2" s="22">
        <f>IF(Pipeline_Sort!$C2="","",INDEX(Pipeline_Calc!$B$2:$B$5251,Pipeline_Sort!$C2))</f>
        <v/>
      </c>
      <c r="B2">
        <f>IF(Pipeline_Sort!$C2="","",INDEX(Pipeline_Calc!$C$2:$C$5251,Pipeline_Sort!$C2))</f>
        <v/>
      </c>
      <c r="C2">
        <f>IF(Pipeline_Sort!$C2="","",INDEX(Pipeline_Calc!$D$2:$D$5251,Pipeline_Sort!$C2))</f>
        <v/>
      </c>
      <c r="D2">
        <f>IF(Pipeline_Sort!$C2="","",INDEX(Pipeline_Calc!$E$2:$E$5251,Pipeline_Sort!$C2))</f>
        <v/>
      </c>
      <c r="E2">
        <f>IF(Pipeline_Sort!$C2="","",INDEX(Pipeline_Calc!$F$2:$F$5251,Pipeline_Sort!$C2))</f>
        <v/>
      </c>
      <c r="F2">
        <f>IF(Pipeline_Sort!$C2="","",INDEX(Pipeline_Calc!$G$2:$G$5251,Pipeline_Sort!$C2))</f>
        <v/>
      </c>
      <c r="G2">
        <f>IF(Pipeline_Sort!$C2="","",INDEX(Pipeline_Calc!$H$2:$H$5251,Pipeline_Sort!$C2))</f>
        <v/>
      </c>
      <c r="H2">
        <f>IF(Pipeline_Sort!$C2="","",INDEX(Pipeline_Calc!$I$2:$I$5251,Pipeline_Sort!$C2))</f>
        <v/>
      </c>
      <c r="I2">
        <f>IF(Pipeline_Sort!$C2="","",INDEX(Pipeline_Calc!$J$2:$J$5251,Pipeline_Sort!$C2))</f>
        <v/>
      </c>
    </row>
    <row r="3">
      <c r="A3" s="22">
        <f>IF(Pipeline_Sort!$C3="","",INDEX(Pipeline_Calc!$B$2:$B$5251,Pipeline_Sort!$C3))</f>
        <v/>
      </c>
      <c r="B3">
        <f>IF(Pipeline_Sort!$C3="","",INDEX(Pipeline_Calc!$C$2:$C$5251,Pipeline_Sort!$C3))</f>
        <v/>
      </c>
      <c r="C3">
        <f>IF(Pipeline_Sort!$C3="","",INDEX(Pipeline_Calc!$D$2:$D$5251,Pipeline_Sort!$C3))</f>
        <v/>
      </c>
      <c r="D3">
        <f>IF(Pipeline_Sort!$C3="","",INDEX(Pipeline_Calc!$E$2:$E$5251,Pipeline_Sort!$C3))</f>
        <v/>
      </c>
      <c r="E3">
        <f>IF(Pipeline_Sort!$C3="","",INDEX(Pipeline_Calc!$F$2:$F$5251,Pipeline_Sort!$C3))</f>
        <v/>
      </c>
      <c r="F3">
        <f>IF(Pipeline_Sort!$C3="","",INDEX(Pipeline_Calc!$G$2:$G$5251,Pipeline_Sort!$C3))</f>
        <v/>
      </c>
      <c r="G3">
        <f>IF(Pipeline_Sort!$C3="","",INDEX(Pipeline_Calc!$H$2:$H$5251,Pipeline_Sort!$C3))</f>
        <v/>
      </c>
      <c r="H3">
        <f>IF(Pipeline_Sort!$C3="","",INDEX(Pipeline_Calc!$I$2:$I$5251,Pipeline_Sort!$C3))</f>
        <v/>
      </c>
      <c r="I3">
        <f>IF(Pipeline_Sort!$C3="","",INDEX(Pipeline_Calc!$J$2:$J$5251,Pipeline_Sort!$C3))</f>
        <v/>
      </c>
    </row>
    <row r="4">
      <c r="A4" s="22">
        <f>IF(Pipeline_Sort!$C4="","",INDEX(Pipeline_Calc!$B$2:$B$5251,Pipeline_Sort!$C4))</f>
        <v/>
      </c>
      <c r="B4">
        <f>IF(Pipeline_Sort!$C4="","",INDEX(Pipeline_Calc!$C$2:$C$5251,Pipeline_Sort!$C4))</f>
        <v/>
      </c>
      <c r="C4">
        <f>IF(Pipeline_Sort!$C4="","",INDEX(Pipeline_Calc!$D$2:$D$5251,Pipeline_Sort!$C4))</f>
        <v/>
      </c>
      <c r="D4">
        <f>IF(Pipeline_Sort!$C4="","",INDEX(Pipeline_Calc!$E$2:$E$5251,Pipeline_Sort!$C4))</f>
        <v/>
      </c>
      <c r="E4">
        <f>IF(Pipeline_Sort!$C4="","",INDEX(Pipeline_Calc!$F$2:$F$5251,Pipeline_Sort!$C4))</f>
        <v/>
      </c>
      <c r="F4">
        <f>IF(Pipeline_Sort!$C4="","",INDEX(Pipeline_Calc!$G$2:$G$5251,Pipeline_Sort!$C4))</f>
        <v/>
      </c>
      <c r="G4">
        <f>IF(Pipeline_Sort!$C4="","",INDEX(Pipeline_Calc!$H$2:$H$5251,Pipeline_Sort!$C4))</f>
        <v/>
      </c>
      <c r="H4">
        <f>IF(Pipeline_Sort!$C4="","",INDEX(Pipeline_Calc!$I$2:$I$5251,Pipeline_Sort!$C4))</f>
        <v/>
      </c>
      <c r="I4">
        <f>IF(Pipeline_Sort!$C4="","",INDEX(Pipeline_Calc!$J$2:$J$5251,Pipeline_Sort!$C4))</f>
        <v/>
      </c>
    </row>
    <row r="5">
      <c r="A5" s="22">
        <f>IF(Pipeline_Sort!$C5="","",INDEX(Pipeline_Calc!$B$2:$B$5251,Pipeline_Sort!$C5))</f>
        <v/>
      </c>
      <c r="B5">
        <f>IF(Pipeline_Sort!$C5="","",INDEX(Pipeline_Calc!$C$2:$C$5251,Pipeline_Sort!$C5))</f>
        <v/>
      </c>
      <c r="C5">
        <f>IF(Pipeline_Sort!$C5="","",INDEX(Pipeline_Calc!$D$2:$D$5251,Pipeline_Sort!$C5))</f>
        <v/>
      </c>
      <c r="D5">
        <f>IF(Pipeline_Sort!$C5="","",INDEX(Pipeline_Calc!$E$2:$E$5251,Pipeline_Sort!$C5))</f>
        <v/>
      </c>
      <c r="E5">
        <f>IF(Pipeline_Sort!$C5="","",INDEX(Pipeline_Calc!$F$2:$F$5251,Pipeline_Sort!$C5))</f>
        <v/>
      </c>
      <c r="F5">
        <f>IF(Pipeline_Sort!$C5="","",INDEX(Pipeline_Calc!$G$2:$G$5251,Pipeline_Sort!$C5))</f>
        <v/>
      </c>
      <c r="G5">
        <f>IF(Pipeline_Sort!$C5="","",INDEX(Pipeline_Calc!$H$2:$H$5251,Pipeline_Sort!$C5))</f>
        <v/>
      </c>
      <c r="H5">
        <f>IF(Pipeline_Sort!$C5="","",INDEX(Pipeline_Calc!$I$2:$I$5251,Pipeline_Sort!$C5))</f>
        <v/>
      </c>
      <c r="I5">
        <f>IF(Pipeline_Sort!$C5="","",INDEX(Pipeline_Calc!$J$2:$J$5251,Pipeline_Sort!$C5))</f>
        <v/>
      </c>
    </row>
    <row r="6">
      <c r="A6" s="22">
        <f>IF(Pipeline_Sort!$C6="","",INDEX(Pipeline_Calc!$B$2:$B$5251,Pipeline_Sort!$C6))</f>
        <v/>
      </c>
      <c r="B6">
        <f>IF(Pipeline_Sort!$C6="","",INDEX(Pipeline_Calc!$C$2:$C$5251,Pipeline_Sort!$C6))</f>
        <v/>
      </c>
      <c r="C6">
        <f>IF(Pipeline_Sort!$C6="","",INDEX(Pipeline_Calc!$D$2:$D$5251,Pipeline_Sort!$C6))</f>
        <v/>
      </c>
      <c r="D6">
        <f>IF(Pipeline_Sort!$C6="","",INDEX(Pipeline_Calc!$E$2:$E$5251,Pipeline_Sort!$C6))</f>
        <v/>
      </c>
      <c r="E6">
        <f>IF(Pipeline_Sort!$C6="","",INDEX(Pipeline_Calc!$F$2:$F$5251,Pipeline_Sort!$C6))</f>
        <v/>
      </c>
      <c r="F6">
        <f>IF(Pipeline_Sort!$C6="","",INDEX(Pipeline_Calc!$G$2:$G$5251,Pipeline_Sort!$C6))</f>
        <v/>
      </c>
      <c r="G6">
        <f>IF(Pipeline_Sort!$C6="","",INDEX(Pipeline_Calc!$H$2:$H$5251,Pipeline_Sort!$C6))</f>
        <v/>
      </c>
      <c r="H6">
        <f>IF(Pipeline_Sort!$C6="","",INDEX(Pipeline_Calc!$I$2:$I$5251,Pipeline_Sort!$C6))</f>
        <v/>
      </c>
      <c r="I6">
        <f>IF(Pipeline_Sort!$C6="","",INDEX(Pipeline_Calc!$J$2:$J$5251,Pipeline_Sort!$C6))</f>
        <v/>
      </c>
    </row>
    <row r="7">
      <c r="A7" s="22">
        <f>IF(Pipeline_Sort!$C7="","",INDEX(Pipeline_Calc!$B$2:$B$5251,Pipeline_Sort!$C7))</f>
        <v/>
      </c>
      <c r="B7">
        <f>IF(Pipeline_Sort!$C7="","",INDEX(Pipeline_Calc!$C$2:$C$5251,Pipeline_Sort!$C7))</f>
        <v/>
      </c>
      <c r="C7">
        <f>IF(Pipeline_Sort!$C7="","",INDEX(Pipeline_Calc!$D$2:$D$5251,Pipeline_Sort!$C7))</f>
        <v/>
      </c>
      <c r="D7">
        <f>IF(Pipeline_Sort!$C7="","",INDEX(Pipeline_Calc!$E$2:$E$5251,Pipeline_Sort!$C7))</f>
        <v/>
      </c>
      <c r="E7">
        <f>IF(Pipeline_Sort!$C7="","",INDEX(Pipeline_Calc!$F$2:$F$5251,Pipeline_Sort!$C7))</f>
        <v/>
      </c>
      <c r="F7">
        <f>IF(Pipeline_Sort!$C7="","",INDEX(Pipeline_Calc!$G$2:$G$5251,Pipeline_Sort!$C7))</f>
        <v/>
      </c>
      <c r="G7">
        <f>IF(Pipeline_Sort!$C7="","",INDEX(Pipeline_Calc!$H$2:$H$5251,Pipeline_Sort!$C7))</f>
        <v/>
      </c>
      <c r="H7">
        <f>IF(Pipeline_Sort!$C7="","",INDEX(Pipeline_Calc!$I$2:$I$5251,Pipeline_Sort!$C7))</f>
        <v/>
      </c>
      <c r="I7">
        <f>IF(Pipeline_Sort!$C7="","",INDEX(Pipeline_Calc!$J$2:$J$5251,Pipeline_Sort!$C7))</f>
        <v/>
      </c>
    </row>
    <row r="8">
      <c r="A8" s="22">
        <f>IF(Pipeline_Sort!$C8="","",INDEX(Pipeline_Calc!$B$2:$B$5251,Pipeline_Sort!$C8))</f>
        <v/>
      </c>
      <c r="B8">
        <f>IF(Pipeline_Sort!$C8="","",INDEX(Pipeline_Calc!$C$2:$C$5251,Pipeline_Sort!$C8))</f>
        <v/>
      </c>
      <c r="C8">
        <f>IF(Pipeline_Sort!$C8="","",INDEX(Pipeline_Calc!$D$2:$D$5251,Pipeline_Sort!$C8))</f>
        <v/>
      </c>
      <c r="D8">
        <f>IF(Pipeline_Sort!$C8="","",INDEX(Pipeline_Calc!$E$2:$E$5251,Pipeline_Sort!$C8))</f>
        <v/>
      </c>
      <c r="E8">
        <f>IF(Pipeline_Sort!$C8="","",INDEX(Pipeline_Calc!$F$2:$F$5251,Pipeline_Sort!$C8))</f>
        <v/>
      </c>
      <c r="F8">
        <f>IF(Pipeline_Sort!$C8="","",INDEX(Pipeline_Calc!$G$2:$G$5251,Pipeline_Sort!$C8))</f>
        <v/>
      </c>
      <c r="G8">
        <f>IF(Pipeline_Sort!$C8="","",INDEX(Pipeline_Calc!$H$2:$H$5251,Pipeline_Sort!$C8))</f>
        <v/>
      </c>
      <c r="H8">
        <f>IF(Pipeline_Sort!$C8="","",INDEX(Pipeline_Calc!$I$2:$I$5251,Pipeline_Sort!$C8))</f>
        <v/>
      </c>
      <c r="I8">
        <f>IF(Pipeline_Sort!$C8="","",INDEX(Pipeline_Calc!$J$2:$J$5251,Pipeline_Sort!$C8))</f>
        <v/>
      </c>
    </row>
    <row r="9">
      <c r="A9" s="22">
        <f>IF(Pipeline_Sort!$C9="","",INDEX(Pipeline_Calc!$B$2:$B$5251,Pipeline_Sort!$C9))</f>
        <v/>
      </c>
      <c r="B9">
        <f>IF(Pipeline_Sort!$C9="","",INDEX(Pipeline_Calc!$C$2:$C$5251,Pipeline_Sort!$C9))</f>
        <v/>
      </c>
      <c r="C9">
        <f>IF(Pipeline_Sort!$C9="","",INDEX(Pipeline_Calc!$D$2:$D$5251,Pipeline_Sort!$C9))</f>
        <v/>
      </c>
      <c r="D9">
        <f>IF(Pipeline_Sort!$C9="","",INDEX(Pipeline_Calc!$E$2:$E$5251,Pipeline_Sort!$C9))</f>
        <v/>
      </c>
      <c r="E9">
        <f>IF(Pipeline_Sort!$C9="","",INDEX(Pipeline_Calc!$F$2:$F$5251,Pipeline_Sort!$C9))</f>
        <v/>
      </c>
      <c r="F9">
        <f>IF(Pipeline_Sort!$C9="","",INDEX(Pipeline_Calc!$G$2:$G$5251,Pipeline_Sort!$C9))</f>
        <v/>
      </c>
      <c r="G9">
        <f>IF(Pipeline_Sort!$C9="","",INDEX(Pipeline_Calc!$H$2:$H$5251,Pipeline_Sort!$C9))</f>
        <v/>
      </c>
      <c r="H9">
        <f>IF(Pipeline_Sort!$C9="","",INDEX(Pipeline_Calc!$I$2:$I$5251,Pipeline_Sort!$C9))</f>
        <v/>
      </c>
      <c r="I9">
        <f>IF(Pipeline_Sort!$C9="","",INDEX(Pipeline_Calc!$J$2:$J$5251,Pipeline_Sort!$C9))</f>
        <v/>
      </c>
    </row>
    <row r="10">
      <c r="A10" s="22">
        <f>IF(Pipeline_Sort!$C10="","",INDEX(Pipeline_Calc!$B$2:$B$5251,Pipeline_Sort!$C10))</f>
        <v/>
      </c>
      <c r="B10">
        <f>IF(Pipeline_Sort!$C10="","",INDEX(Pipeline_Calc!$C$2:$C$5251,Pipeline_Sort!$C10))</f>
        <v/>
      </c>
      <c r="C10">
        <f>IF(Pipeline_Sort!$C10="","",INDEX(Pipeline_Calc!$D$2:$D$5251,Pipeline_Sort!$C10))</f>
        <v/>
      </c>
      <c r="D10">
        <f>IF(Pipeline_Sort!$C10="","",INDEX(Pipeline_Calc!$E$2:$E$5251,Pipeline_Sort!$C10))</f>
        <v/>
      </c>
      <c r="E10">
        <f>IF(Pipeline_Sort!$C10="","",INDEX(Pipeline_Calc!$F$2:$F$5251,Pipeline_Sort!$C10))</f>
        <v/>
      </c>
      <c r="F10">
        <f>IF(Pipeline_Sort!$C10="","",INDEX(Pipeline_Calc!$G$2:$G$5251,Pipeline_Sort!$C10))</f>
        <v/>
      </c>
      <c r="G10">
        <f>IF(Pipeline_Sort!$C10="","",INDEX(Pipeline_Calc!$H$2:$H$5251,Pipeline_Sort!$C10))</f>
        <v/>
      </c>
      <c r="H10">
        <f>IF(Pipeline_Sort!$C10="","",INDEX(Pipeline_Calc!$I$2:$I$5251,Pipeline_Sort!$C10))</f>
        <v/>
      </c>
      <c r="I10">
        <f>IF(Pipeline_Sort!$C10="","",INDEX(Pipeline_Calc!$J$2:$J$5251,Pipeline_Sort!$C10))</f>
        <v/>
      </c>
    </row>
    <row r="11">
      <c r="A11" s="22">
        <f>IF(Pipeline_Sort!$C11="","",INDEX(Pipeline_Calc!$B$2:$B$5251,Pipeline_Sort!$C11))</f>
        <v/>
      </c>
      <c r="B11">
        <f>IF(Pipeline_Sort!$C11="","",INDEX(Pipeline_Calc!$C$2:$C$5251,Pipeline_Sort!$C11))</f>
        <v/>
      </c>
      <c r="C11">
        <f>IF(Pipeline_Sort!$C11="","",INDEX(Pipeline_Calc!$D$2:$D$5251,Pipeline_Sort!$C11))</f>
        <v/>
      </c>
      <c r="D11">
        <f>IF(Pipeline_Sort!$C11="","",INDEX(Pipeline_Calc!$E$2:$E$5251,Pipeline_Sort!$C11))</f>
        <v/>
      </c>
      <c r="E11">
        <f>IF(Pipeline_Sort!$C11="","",INDEX(Pipeline_Calc!$F$2:$F$5251,Pipeline_Sort!$C11))</f>
        <v/>
      </c>
      <c r="F11">
        <f>IF(Pipeline_Sort!$C11="","",INDEX(Pipeline_Calc!$G$2:$G$5251,Pipeline_Sort!$C11))</f>
        <v/>
      </c>
      <c r="G11">
        <f>IF(Pipeline_Sort!$C11="","",INDEX(Pipeline_Calc!$H$2:$H$5251,Pipeline_Sort!$C11))</f>
        <v/>
      </c>
      <c r="H11">
        <f>IF(Pipeline_Sort!$C11="","",INDEX(Pipeline_Calc!$I$2:$I$5251,Pipeline_Sort!$C11))</f>
        <v/>
      </c>
      <c r="I11">
        <f>IF(Pipeline_Sort!$C11="","",INDEX(Pipeline_Calc!$J$2:$J$5251,Pipeline_Sort!$C11))</f>
        <v/>
      </c>
    </row>
    <row r="12">
      <c r="A12" s="22">
        <f>IF(Pipeline_Sort!$C12="","",INDEX(Pipeline_Calc!$B$2:$B$5251,Pipeline_Sort!$C12))</f>
        <v/>
      </c>
      <c r="B12">
        <f>IF(Pipeline_Sort!$C12="","",INDEX(Pipeline_Calc!$C$2:$C$5251,Pipeline_Sort!$C12))</f>
        <v/>
      </c>
      <c r="C12">
        <f>IF(Pipeline_Sort!$C12="","",INDEX(Pipeline_Calc!$D$2:$D$5251,Pipeline_Sort!$C12))</f>
        <v/>
      </c>
      <c r="D12">
        <f>IF(Pipeline_Sort!$C12="","",INDEX(Pipeline_Calc!$E$2:$E$5251,Pipeline_Sort!$C12))</f>
        <v/>
      </c>
      <c r="E12">
        <f>IF(Pipeline_Sort!$C12="","",INDEX(Pipeline_Calc!$F$2:$F$5251,Pipeline_Sort!$C12))</f>
        <v/>
      </c>
      <c r="F12">
        <f>IF(Pipeline_Sort!$C12="","",INDEX(Pipeline_Calc!$G$2:$G$5251,Pipeline_Sort!$C12))</f>
        <v/>
      </c>
      <c r="G12">
        <f>IF(Pipeline_Sort!$C12="","",INDEX(Pipeline_Calc!$H$2:$H$5251,Pipeline_Sort!$C12))</f>
        <v/>
      </c>
      <c r="H12">
        <f>IF(Pipeline_Sort!$C12="","",INDEX(Pipeline_Calc!$I$2:$I$5251,Pipeline_Sort!$C12))</f>
        <v/>
      </c>
      <c r="I12">
        <f>IF(Pipeline_Sort!$C12="","",INDEX(Pipeline_Calc!$J$2:$J$5251,Pipeline_Sort!$C12))</f>
        <v/>
      </c>
    </row>
    <row r="13">
      <c r="A13" s="22">
        <f>IF(Pipeline_Sort!$C13="","",INDEX(Pipeline_Calc!$B$2:$B$5251,Pipeline_Sort!$C13))</f>
        <v/>
      </c>
      <c r="B13">
        <f>IF(Pipeline_Sort!$C13="","",INDEX(Pipeline_Calc!$C$2:$C$5251,Pipeline_Sort!$C13))</f>
        <v/>
      </c>
      <c r="C13">
        <f>IF(Pipeline_Sort!$C13="","",INDEX(Pipeline_Calc!$D$2:$D$5251,Pipeline_Sort!$C13))</f>
        <v/>
      </c>
      <c r="D13">
        <f>IF(Pipeline_Sort!$C13="","",INDEX(Pipeline_Calc!$E$2:$E$5251,Pipeline_Sort!$C13))</f>
        <v/>
      </c>
      <c r="E13">
        <f>IF(Pipeline_Sort!$C13="","",INDEX(Pipeline_Calc!$F$2:$F$5251,Pipeline_Sort!$C13))</f>
        <v/>
      </c>
      <c r="F13">
        <f>IF(Pipeline_Sort!$C13="","",INDEX(Pipeline_Calc!$G$2:$G$5251,Pipeline_Sort!$C13))</f>
        <v/>
      </c>
      <c r="G13">
        <f>IF(Pipeline_Sort!$C13="","",INDEX(Pipeline_Calc!$H$2:$H$5251,Pipeline_Sort!$C13))</f>
        <v/>
      </c>
      <c r="H13">
        <f>IF(Pipeline_Sort!$C13="","",INDEX(Pipeline_Calc!$I$2:$I$5251,Pipeline_Sort!$C13))</f>
        <v/>
      </c>
      <c r="I13">
        <f>IF(Pipeline_Sort!$C13="","",INDEX(Pipeline_Calc!$J$2:$J$5251,Pipeline_Sort!$C13))</f>
        <v/>
      </c>
    </row>
    <row r="14">
      <c r="A14" s="22">
        <f>IF(Pipeline_Sort!$C14="","",INDEX(Pipeline_Calc!$B$2:$B$5251,Pipeline_Sort!$C14))</f>
        <v/>
      </c>
      <c r="B14">
        <f>IF(Pipeline_Sort!$C14="","",INDEX(Pipeline_Calc!$C$2:$C$5251,Pipeline_Sort!$C14))</f>
        <v/>
      </c>
      <c r="C14">
        <f>IF(Pipeline_Sort!$C14="","",INDEX(Pipeline_Calc!$D$2:$D$5251,Pipeline_Sort!$C14))</f>
        <v/>
      </c>
      <c r="D14">
        <f>IF(Pipeline_Sort!$C14="","",INDEX(Pipeline_Calc!$E$2:$E$5251,Pipeline_Sort!$C14))</f>
        <v/>
      </c>
      <c r="E14">
        <f>IF(Pipeline_Sort!$C14="","",INDEX(Pipeline_Calc!$F$2:$F$5251,Pipeline_Sort!$C14))</f>
        <v/>
      </c>
      <c r="F14">
        <f>IF(Pipeline_Sort!$C14="","",INDEX(Pipeline_Calc!$G$2:$G$5251,Pipeline_Sort!$C14))</f>
        <v/>
      </c>
      <c r="G14">
        <f>IF(Pipeline_Sort!$C14="","",INDEX(Pipeline_Calc!$H$2:$H$5251,Pipeline_Sort!$C14))</f>
        <v/>
      </c>
      <c r="H14">
        <f>IF(Pipeline_Sort!$C14="","",INDEX(Pipeline_Calc!$I$2:$I$5251,Pipeline_Sort!$C14))</f>
        <v/>
      </c>
      <c r="I14">
        <f>IF(Pipeline_Sort!$C14="","",INDEX(Pipeline_Calc!$J$2:$J$5251,Pipeline_Sort!$C14))</f>
        <v/>
      </c>
    </row>
    <row r="15">
      <c r="A15" s="22">
        <f>IF(Pipeline_Sort!$C15="","",INDEX(Pipeline_Calc!$B$2:$B$5251,Pipeline_Sort!$C15))</f>
        <v/>
      </c>
      <c r="B15">
        <f>IF(Pipeline_Sort!$C15="","",INDEX(Pipeline_Calc!$C$2:$C$5251,Pipeline_Sort!$C15))</f>
        <v/>
      </c>
      <c r="C15">
        <f>IF(Pipeline_Sort!$C15="","",INDEX(Pipeline_Calc!$D$2:$D$5251,Pipeline_Sort!$C15))</f>
        <v/>
      </c>
      <c r="D15">
        <f>IF(Pipeline_Sort!$C15="","",INDEX(Pipeline_Calc!$E$2:$E$5251,Pipeline_Sort!$C15))</f>
        <v/>
      </c>
      <c r="E15">
        <f>IF(Pipeline_Sort!$C15="","",INDEX(Pipeline_Calc!$F$2:$F$5251,Pipeline_Sort!$C15))</f>
        <v/>
      </c>
      <c r="F15">
        <f>IF(Pipeline_Sort!$C15="","",INDEX(Pipeline_Calc!$G$2:$G$5251,Pipeline_Sort!$C15))</f>
        <v/>
      </c>
      <c r="G15">
        <f>IF(Pipeline_Sort!$C15="","",INDEX(Pipeline_Calc!$H$2:$H$5251,Pipeline_Sort!$C15))</f>
        <v/>
      </c>
      <c r="H15">
        <f>IF(Pipeline_Sort!$C15="","",INDEX(Pipeline_Calc!$I$2:$I$5251,Pipeline_Sort!$C15))</f>
        <v/>
      </c>
      <c r="I15">
        <f>IF(Pipeline_Sort!$C15="","",INDEX(Pipeline_Calc!$J$2:$J$5251,Pipeline_Sort!$C15))</f>
        <v/>
      </c>
    </row>
    <row r="16">
      <c r="A16" s="22">
        <f>IF(Pipeline_Sort!$C16="","",INDEX(Pipeline_Calc!$B$2:$B$5251,Pipeline_Sort!$C16))</f>
        <v/>
      </c>
      <c r="B16">
        <f>IF(Pipeline_Sort!$C16="","",INDEX(Pipeline_Calc!$C$2:$C$5251,Pipeline_Sort!$C16))</f>
        <v/>
      </c>
      <c r="C16">
        <f>IF(Pipeline_Sort!$C16="","",INDEX(Pipeline_Calc!$D$2:$D$5251,Pipeline_Sort!$C16))</f>
        <v/>
      </c>
      <c r="D16">
        <f>IF(Pipeline_Sort!$C16="","",INDEX(Pipeline_Calc!$E$2:$E$5251,Pipeline_Sort!$C16))</f>
        <v/>
      </c>
      <c r="E16">
        <f>IF(Pipeline_Sort!$C16="","",INDEX(Pipeline_Calc!$F$2:$F$5251,Pipeline_Sort!$C16))</f>
        <v/>
      </c>
      <c r="F16">
        <f>IF(Pipeline_Sort!$C16="","",INDEX(Pipeline_Calc!$G$2:$G$5251,Pipeline_Sort!$C16))</f>
        <v/>
      </c>
      <c r="G16">
        <f>IF(Pipeline_Sort!$C16="","",INDEX(Pipeline_Calc!$H$2:$H$5251,Pipeline_Sort!$C16))</f>
        <v/>
      </c>
      <c r="H16">
        <f>IF(Pipeline_Sort!$C16="","",INDEX(Pipeline_Calc!$I$2:$I$5251,Pipeline_Sort!$C16))</f>
        <v/>
      </c>
      <c r="I16">
        <f>IF(Pipeline_Sort!$C16="","",INDEX(Pipeline_Calc!$J$2:$J$5251,Pipeline_Sort!$C16))</f>
        <v/>
      </c>
    </row>
    <row r="17">
      <c r="A17" s="22">
        <f>IF(Pipeline_Sort!$C17="","",INDEX(Pipeline_Calc!$B$2:$B$5251,Pipeline_Sort!$C17))</f>
        <v/>
      </c>
      <c r="B17">
        <f>IF(Pipeline_Sort!$C17="","",INDEX(Pipeline_Calc!$C$2:$C$5251,Pipeline_Sort!$C17))</f>
        <v/>
      </c>
      <c r="C17">
        <f>IF(Pipeline_Sort!$C17="","",INDEX(Pipeline_Calc!$D$2:$D$5251,Pipeline_Sort!$C17))</f>
        <v/>
      </c>
      <c r="D17">
        <f>IF(Pipeline_Sort!$C17="","",INDEX(Pipeline_Calc!$E$2:$E$5251,Pipeline_Sort!$C17))</f>
        <v/>
      </c>
      <c r="E17">
        <f>IF(Pipeline_Sort!$C17="","",INDEX(Pipeline_Calc!$F$2:$F$5251,Pipeline_Sort!$C17))</f>
        <v/>
      </c>
      <c r="F17">
        <f>IF(Pipeline_Sort!$C17="","",INDEX(Pipeline_Calc!$G$2:$G$5251,Pipeline_Sort!$C17))</f>
        <v/>
      </c>
      <c r="G17">
        <f>IF(Pipeline_Sort!$C17="","",INDEX(Pipeline_Calc!$H$2:$H$5251,Pipeline_Sort!$C17))</f>
        <v/>
      </c>
      <c r="H17">
        <f>IF(Pipeline_Sort!$C17="","",INDEX(Pipeline_Calc!$I$2:$I$5251,Pipeline_Sort!$C17))</f>
        <v/>
      </c>
      <c r="I17">
        <f>IF(Pipeline_Sort!$C17="","",INDEX(Pipeline_Calc!$J$2:$J$5251,Pipeline_Sort!$C17))</f>
        <v/>
      </c>
    </row>
    <row r="18">
      <c r="A18" s="22">
        <f>IF(Pipeline_Sort!$C18="","",INDEX(Pipeline_Calc!$B$2:$B$5251,Pipeline_Sort!$C18))</f>
        <v/>
      </c>
      <c r="B18">
        <f>IF(Pipeline_Sort!$C18="","",INDEX(Pipeline_Calc!$C$2:$C$5251,Pipeline_Sort!$C18))</f>
        <v/>
      </c>
      <c r="C18">
        <f>IF(Pipeline_Sort!$C18="","",INDEX(Pipeline_Calc!$D$2:$D$5251,Pipeline_Sort!$C18))</f>
        <v/>
      </c>
      <c r="D18">
        <f>IF(Pipeline_Sort!$C18="","",INDEX(Pipeline_Calc!$E$2:$E$5251,Pipeline_Sort!$C18))</f>
        <v/>
      </c>
      <c r="E18">
        <f>IF(Pipeline_Sort!$C18="","",INDEX(Pipeline_Calc!$F$2:$F$5251,Pipeline_Sort!$C18))</f>
        <v/>
      </c>
      <c r="F18">
        <f>IF(Pipeline_Sort!$C18="","",INDEX(Pipeline_Calc!$G$2:$G$5251,Pipeline_Sort!$C18))</f>
        <v/>
      </c>
      <c r="G18">
        <f>IF(Pipeline_Sort!$C18="","",INDEX(Pipeline_Calc!$H$2:$H$5251,Pipeline_Sort!$C18))</f>
        <v/>
      </c>
      <c r="H18">
        <f>IF(Pipeline_Sort!$C18="","",INDEX(Pipeline_Calc!$I$2:$I$5251,Pipeline_Sort!$C18))</f>
        <v/>
      </c>
      <c r="I18">
        <f>IF(Pipeline_Sort!$C18="","",INDEX(Pipeline_Calc!$J$2:$J$5251,Pipeline_Sort!$C18))</f>
        <v/>
      </c>
    </row>
    <row r="19">
      <c r="A19" s="22">
        <f>IF(Pipeline_Sort!$C19="","",INDEX(Pipeline_Calc!$B$2:$B$5251,Pipeline_Sort!$C19))</f>
        <v/>
      </c>
      <c r="B19">
        <f>IF(Pipeline_Sort!$C19="","",INDEX(Pipeline_Calc!$C$2:$C$5251,Pipeline_Sort!$C19))</f>
        <v/>
      </c>
      <c r="C19">
        <f>IF(Pipeline_Sort!$C19="","",INDEX(Pipeline_Calc!$D$2:$D$5251,Pipeline_Sort!$C19))</f>
        <v/>
      </c>
      <c r="D19">
        <f>IF(Pipeline_Sort!$C19="","",INDEX(Pipeline_Calc!$E$2:$E$5251,Pipeline_Sort!$C19))</f>
        <v/>
      </c>
      <c r="E19">
        <f>IF(Pipeline_Sort!$C19="","",INDEX(Pipeline_Calc!$F$2:$F$5251,Pipeline_Sort!$C19))</f>
        <v/>
      </c>
      <c r="F19">
        <f>IF(Pipeline_Sort!$C19="","",INDEX(Pipeline_Calc!$G$2:$G$5251,Pipeline_Sort!$C19))</f>
        <v/>
      </c>
      <c r="G19">
        <f>IF(Pipeline_Sort!$C19="","",INDEX(Pipeline_Calc!$H$2:$H$5251,Pipeline_Sort!$C19))</f>
        <v/>
      </c>
      <c r="H19">
        <f>IF(Pipeline_Sort!$C19="","",INDEX(Pipeline_Calc!$I$2:$I$5251,Pipeline_Sort!$C19))</f>
        <v/>
      </c>
      <c r="I19">
        <f>IF(Pipeline_Sort!$C19="","",INDEX(Pipeline_Calc!$J$2:$J$5251,Pipeline_Sort!$C19))</f>
        <v/>
      </c>
    </row>
    <row r="20">
      <c r="A20" s="22">
        <f>IF(Pipeline_Sort!$C20="","",INDEX(Pipeline_Calc!$B$2:$B$5251,Pipeline_Sort!$C20))</f>
        <v/>
      </c>
      <c r="B20">
        <f>IF(Pipeline_Sort!$C20="","",INDEX(Pipeline_Calc!$C$2:$C$5251,Pipeline_Sort!$C20))</f>
        <v/>
      </c>
      <c r="C20">
        <f>IF(Pipeline_Sort!$C20="","",INDEX(Pipeline_Calc!$D$2:$D$5251,Pipeline_Sort!$C20))</f>
        <v/>
      </c>
      <c r="D20">
        <f>IF(Pipeline_Sort!$C20="","",INDEX(Pipeline_Calc!$E$2:$E$5251,Pipeline_Sort!$C20))</f>
        <v/>
      </c>
      <c r="E20">
        <f>IF(Pipeline_Sort!$C20="","",INDEX(Pipeline_Calc!$F$2:$F$5251,Pipeline_Sort!$C20))</f>
        <v/>
      </c>
      <c r="F20">
        <f>IF(Pipeline_Sort!$C20="","",INDEX(Pipeline_Calc!$G$2:$G$5251,Pipeline_Sort!$C20))</f>
        <v/>
      </c>
      <c r="G20">
        <f>IF(Pipeline_Sort!$C20="","",INDEX(Pipeline_Calc!$H$2:$H$5251,Pipeline_Sort!$C20))</f>
        <v/>
      </c>
      <c r="H20">
        <f>IF(Pipeline_Sort!$C20="","",INDEX(Pipeline_Calc!$I$2:$I$5251,Pipeline_Sort!$C20))</f>
        <v/>
      </c>
      <c r="I20">
        <f>IF(Pipeline_Sort!$C20="","",INDEX(Pipeline_Calc!$J$2:$J$5251,Pipeline_Sort!$C20))</f>
        <v/>
      </c>
    </row>
    <row r="21">
      <c r="A21" s="22">
        <f>IF(Pipeline_Sort!$C21="","",INDEX(Pipeline_Calc!$B$2:$B$5251,Pipeline_Sort!$C21))</f>
        <v/>
      </c>
      <c r="B21">
        <f>IF(Pipeline_Sort!$C21="","",INDEX(Pipeline_Calc!$C$2:$C$5251,Pipeline_Sort!$C21))</f>
        <v/>
      </c>
      <c r="C21">
        <f>IF(Pipeline_Sort!$C21="","",INDEX(Pipeline_Calc!$D$2:$D$5251,Pipeline_Sort!$C21))</f>
        <v/>
      </c>
      <c r="D21">
        <f>IF(Pipeline_Sort!$C21="","",INDEX(Pipeline_Calc!$E$2:$E$5251,Pipeline_Sort!$C21))</f>
        <v/>
      </c>
      <c r="E21">
        <f>IF(Pipeline_Sort!$C21="","",INDEX(Pipeline_Calc!$F$2:$F$5251,Pipeline_Sort!$C21))</f>
        <v/>
      </c>
      <c r="F21">
        <f>IF(Pipeline_Sort!$C21="","",INDEX(Pipeline_Calc!$G$2:$G$5251,Pipeline_Sort!$C21))</f>
        <v/>
      </c>
      <c r="G21">
        <f>IF(Pipeline_Sort!$C21="","",INDEX(Pipeline_Calc!$H$2:$H$5251,Pipeline_Sort!$C21))</f>
        <v/>
      </c>
      <c r="H21">
        <f>IF(Pipeline_Sort!$C21="","",INDEX(Pipeline_Calc!$I$2:$I$5251,Pipeline_Sort!$C21))</f>
        <v/>
      </c>
      <c r="I21">
        <f>IF(Pipeline_Sort!$C21="","",INDEX(Pipeline_Calc!$J$2:$J$5251,Pipeline_Sort!$C21))</f>
        <v/>
      </c>
    </row>
    <row r="22">
      <c r="A22" s="22">
        <f>IF(Pipeline_Sort!$C22="","",INDEX(Pipeline_Calc!$B$2:$B$5251,Pipeline_Sort!$C22))</f>
        <v/>
      </c>
      <c r="B22">
        <f>IF(Pipeline_Sort!$C22="","",INDEX(Pipeline_Calc!$C$2:$C$5251,Pipeline_Sort!$C22))</f>
        <v/>
      </c>
      <c r="C22">
        <f>IF(Pipeline_Sort!$C22="","",INDEX(Pipeline_Calc!$D$2:$D$5251,Pipeline_Sort!$C22))</f>
        <v/>
      </c>
      <c r="D22">
        <f>IF(Pipeline_Sort!$C22="","",INDEX(Pipeline_Calc!$E$2:$E$5251,Pipeline_Sort!$C22))</f>
        <v/>
      </c>
      <c r="E22">
        <f>IF(Pipeline_Sort!$C22="","",INDEX(Pipeline_Calc!$F$2:$F$5251,Pipeline_Sort!$C22))</f>
        <v/>
      </c>
      <c r="F22">
        <f>IF(Pipeline_Sort!$C22="","",INDEX(Pipeline_Calc!$G$2:$G$5251,Pipeline_Sort!$C22))</f>
        <v/>
      </c>
      <c r="G22">
        <f>IF(Pipeline_Sort!$C22="","",INDEX(Pipeline_Calc!$H$2:$H$5251,Pipeline_Sort!$C22))</f>
        <v/>
      </c>
      <c r="H22">
        <f>IF(Pipeline_Sort!$C22="","",INDEX(Pipeline_Calc!$I$2:$I$5251,Pipeline_Sort!$C22))</f>
        <v/>
      </c>
      <c r="I22">
        <f>IF(Pipeline_Sort!$C22="","",INDEX(Pipeline_Calc!$J$2:$J$5251,Pipeline_Sort!$C22))</f>
        <v/>
      </c>
    </row>
    <row r="23">
      <c r="A23" s="22">
        <f>IF(Pipeline_Sort!$C23="","",INDEX(Pipeline_Calc!$B$2:$B$5251,Pipeline_Sort!$C23))</f>
        <v/>
      </c>
      <c r="B23">
        <f>IF(Pipeline_Sort!$C23="","",INDEX(Pipeline_Calc!$C$2:$C$5251,Pipeline_Sort!$C23))</f>
        <v/>
      </c>
      <c r="C23">
        <f>IF(Pipeline_Sort!$C23="","",INDEX(Pipeline_Calc!$D$2:$D$5251,Pipeline_Sort!$C23))</f>
        <v/>
      </c>
      <c r="D23">
        <f>IF(Pipeline_Sort!$C23="","",INDEX(Pipeline_Calc!$E$2:$E$5251,Pipeline_Sort!$C23))</f>
        <v/>
      </c>
      <c r="E23">
        <f>IF(Pipeline_Sort!$C23="","",INDEX(Pipeline_Calc!$F$2:$F$5251,Pipeline_Sort!$C23))</f>
        <v/>
      </c>
      <c r="F23">
        <f>IF(Pipeline_Sort!$C23="","",INDEX(Pipeline_Calc!$G$2:$G$5251,Pipeline_Sort!$C23))</f>
        <v/>
      </c>
      <c r="G23">
        <f>IF(Pipeline_Sort!$C23="","",INDEX(Pipeline_Calc!$H$2:$H$5251,Pipeline_Sort!$C23))</f>
        <v/>
      </c>
      <c r="H23">
        <f>IF(Pipeline_Sort!$C23="","",INDEX(Pipeline_Calc!$I$2:$I$5251,Pipeline_Sort!$C23))</f>
        <v/>
      </c>
      <c r="I23">
        <f>IF(Pipeline_Sort!$C23="","",INDEX(Pipeline_Calc!$J$2:$J$5251,Pipeline_Sort!$C23))</f>
        <v/>
      </c>
    </row>
    <row r="24">
      <c r="A24" s="22">
        <f>IF(Pipeline_Sort!$C24="","",INDEX(Pipeline_Calc!$B$2:$B$5251,Pipeline_Sort!$C24))</f>
        <v/>
      </c>
      <c r="B24">
        <f>IF(Pipeline_Sort!$C24="","",INDEX(Pipeline_Calc!$C$2:$C$5251,Pipeline_Sort!$C24))</f>
        <v/>
      </c>
      <c r="C24">
        <f>IF(Pipeline_Sort!$C24="","",INDEX(Pipeline_Calc!$D$2:$D$5251,Pipeline_Sort!$C24))</f>
        <v/>
      </c>
      <c r="D24">
        <f>IF(Pipeline_Sort!$C24="","",INDEX(Pipeline_Calc!$E$2:$E$5251,Pipeline_Sort!$C24))</f>
        <v/>
      </c>
      <c r="E24">
        <f>IF(Pipeline_Sort!$C24="","",INDEX(Pipeline_Calc!$F$2:$F$5251,Pipeline_Sort!$C24))</f>
        <v/>
      </c>
      <c r="F24">
        <f>IF(Pipeline_Sort!$C24="","",INDEX(Pipeline_Calc!$G$2:$G$5251,Pipeline_Sort!$C24))</f>
        <v/>
      </c>
      <c r="G24">
        <f>IF(Pipeline_Sort!$C24="","",INDEX(Pipeline_Calc!$H$2:$H$5251,Pipeline_Sort!$C24))</f>
        <v/>
      </c>
      <c r="H24">
        <f>IF(Pipeline_Sort!$C24="","",INDEX(Pipeline_Calc!$I$2:$I$5251,Pipeline_Sort!$C24))</f>
        <v/>
      </c>
      <c r="I24">
        <f>IF(Pipeline_Sort!$C24="","",INDEX(Pipeline_Calc!$J$2:$J$5251,Pipeline_Sort!$C24))</f>
        <v/>
      </c>
    </row>
    <row r="25">
      <c r="A25" s="22">
        <f>IF(Pipeline_Sort!$C25="","",INDEX(Pipeline_Calc!$B$2:$B$5251,Pipeline_Sort!$C25))</f>
        <v/>
      </c>
      <c r="B25">
        <f>IF(Pipeline_Sort!$C25="","",INDEX(Pipeline_Calc!$C$2:$C$5251,Pipeline_Sort!$C25))</f>
        <v/>
      </c>
      <c r="C25">
        <f>IF(Pipeline_Sort!$C25="","",INDEX(Pipeline_Calc!$D$2:$D$5251,Pipeline_Sort!$C25))</f>
        <v/>
      </c>
      <c r="D25">
        <f>IF(Pipeline_Sort!$C25="","",INDEX(Pipeline_Calc!$E$2:$E$5251,Pipeline_Sort!$C25))</f>
        <v/>
      </c>
      <c r="E25">
        <f>IF(Pipeline_Sort!$C25="","",INDEX(Pipeline_Calc!$F$2:$F$5251,Pipeline_Sort!$C25))</f>
        <v/>
      </c>
      <c r="F25">
        <f>IF(Pipeline_Sort!$C25="","",INDEX(Pipeline_Calc!$G$2:$G$5251,Pipeline_Sort!$C25))</f>
        <v/>
      </c>
      <c r="G25">
        <f>IF(Pipeline_Sort!$C25="","",INDEX(Pipeline_Calc!$H$2:$H$5251,Pipeline_Sort!$C25))</f>
        <v/>
      </c>
      <c r="H25">
        <f>IF(Pipeline_Sort!$C25="","",INDEX(Pipeline_Calc!$I$2:$I$5251,Pipeline_Sort!$C25))</f>
        <v/>
      </c>
      <c r="I25">
        <f>IF(Pipeline_Sort!$C25="","",INDEX(Pipeline_Calc!$J$2:$J$5251,Pipeline_Sort!$C25))</f>
        <v/>
      </c>
    </row>
    <row r="26">
      <c r="A26" s="22">
        <f>IF(Pipeline_Sort!$C26="","",INDEX(Pipeline_Calc!$B$2:$B$5251,Pipeline_Sort!$C26))</f>
        <v/>
      </c>
      <c r="B26">
        <f>IF(Pipeline_Sort!$C26="","",INDEX(Pipeline_Calc!$C$2:$C$5251,Pipeline_Sort!$C26))</f>
        <v/>
      </c>
      <c r="C26">
        <f>IF(Pipeline_Sort!$C26="","",INDEX(Pipeline_Calc!$D$2:$D$5251,Pipeline_Sort!$C26))</f>
        <v/>
      </c>
      <c r="D26">
        <f>IF(Pipeline_Sort!$C26="","",INDEX(Pipeline_Calc!$E$2:$E$5251,Pipeline_Sort!$C26))</f>
        <v/>
      </c>
      <c r="E26">
        <f>IF(Pipeline_Sort!$C26="","",INDEX(Pipeline_Calc!$F$2:$F$5251,Pipeline_Sort!$C26))</f>
        <v/>
      </c>
      <c r="F26">
        <f>IF(Pipeline_Sort!$C26="","",INDEX(Pipeline_Calc!$G$2:$G$5251,Pipeline_Sort!$C26))</f>
        <v/>
      </c>
      <c r="G26">
        <f>IF(Pipeline_Sort!$C26="","",INDEX(Pipeline_Calc!$H$2:$H$5251,Pipeline_Sort!$C26))</f>
        <v/>
      </c>
      <c r="H26">
        <f>IF(Pipeline_Sort!$C26="","",INDEX(Pipeline_Calc!$I$2:$I$5251,Pipeline_Sort!$C26))</f>
        <v/>
      </c>
      <c r="I26">
        <f>IF(Pipeline_Sort!$C26="","",INDEX(Pipeline_Calc!$J$2:$J$5251,Pipeline_Sort!$C26))</f>
        <v/>
      </c>
    </row>
    <row r="27">
      <c r="A27" s="22">
        <f>IF(Pipeline_Sort!$C27="","",INDEX(Pipeline_Calc!$B$2:$B$5251,Pipeline_Sort!$C27))</f>
        <v/>
      </c>
      <c r="B27">
        <f>IF(Pipeline_Sort!$C27="","",INDEX(Pipeline_Calc!$C$2:$C$5251,Pipeline_Sort!$C27))</f>
        <v/>
      </c>
      <c r="C27">
        <f>IF(Pipeline_Sort!$C27="","",INDEX(Pipeline_Calc!$D$2:$D$5251,Pipeline_Sort!$C27))</f>
        <v/>
      </c>
      <c r="D27">
        <f>IF(Pipeline_Sort!$C27="","",INDEX(Pipeline_Calc!$E$2:$E$5251,Pipeline_Sort!$C27))</f>
        <v/>
      </c>
      <c r="E27">
        <f>IF(Pipeline_Sort!$C27="","",INDEX(Pipeline_Calc!$F$2:$F$5251,Pipeline_Sort!$C27))</f>
        <v/>
      </c>
      <c r="F27">
        <f>IF(Pipeline_Sort!$C27="","",INDEX(Pipeline_Calc!$G$2:$G$5251,Pipeline_Sort!$C27))</f>
        <v/>
      </c>
      <c r="G27">
        <f>IF(Pipeline_Sort!$C27="","",INDEX(Pipeline_Calc!$H$2:$H$5251,Pipeline_Sort!$C27))</f>
        <v/>
      </c>
      <c r="H27">
        <f>IF(Pipeline_Sort!$C27="","",INDEX(Pipeline_Calc!$I$2:$I$5251,Pipeline_Sort!$C27))</f>
        <v/>
      </c>
      <c r="I27">
        <f>IF(Pipeline_Sort!$C27="","",INDEX(Pipeline_Calc!$J$2:$J$5251,Pipeline_Sort!$C27))</f>
        <v/>
      </c>
    </row>
    <row r="28">
      <c r="A28" s="22">
        <f>IF(Pipeline_Sort!$C28="","",INDEX(Pipeline_Calc!$B$2:$B$5251,Pipeline_Sort!$C28))</f>
        <v/>
      </c>
      <c r="B28">
        <f>IF(Pipeline_Sort!$C28="","",INDEX(Pipeline_Calc!$C$2:$C$5251,Pipeline_Sort!$C28))</f>
        <v/>
      </c>
      <c r="C28">
        <f>IF(Pipeline_Sort!$C28="","",INDEX(Pipeline_Calc!$D$2:$D$5251,Pipeline_Sort!$C28))</f>
        <v/>
      </c>
      <c r="D28">
        <f>IF(Pipeline_Sort!$C28="","",INDEX(Pipeline_Calc!$E$2:$E$5251,Pipeline_Sort!$C28))</f>
        <v/>
      </c>
      <c r="E28">
        <f>IF(Pipeline_Sort!$C28="","",INDEX(Pipeline_Calc!$F$2:$F$5251,Pipeline_Sort!$C28))</f>
        <v/>
      </c>
      <c r="F28">
        <f>IF(Pipeline_Sort!$C28="","",INDEX(Pipeline_Calc!$G$2:$G$5251,Pipeline_Sort!$C28))</f>
        <v/>
      </c>
      <c r="G28">
        <f>IF(Pipeline_Sort!$C28="","",INDEX(Pipeline_Calc!$H$2:$H$5251,Pipeline_Sort!$C28))</f>
        <v/>
      </c>
      <c r="H28">
        <f>IF(Pipeline_Sort!$C28="","",INDEX(Pipeline_Calc!$I$2:$I$5251,Pipeline_Sort!$C28))</f>
        <v/>
      </c>
      <c r="I28">
        <f>IF(Pipeline_Sort!$C28="","",INDEX(Pipeline_Calc!$J$2:$J$5251,Pipeline_Sort!$C28))</f>
        <v/>
      </c>
    </row>
    <row r="29">
      <c r="A29" s="22">
        <f>IF(Pipeline_Sort!$C29="","",INDEX(Pipeline_Calc!$B$2:$B$5251,Pipeline_Sort!$C29))</f>
        <v/>
      </c>
      <c r="B29">
        <f>IF(Pipeline_Sort!$C29="","",INDEX(Pipeline_Calc!$C$2:$C$5251,Pipeline_Sort!$C29))</f>
        <v/>
      </c>
      <c r="C29">
        <f>IF(Pipeline_Sort!$C29="","",INDEX(Pipeline_Calc!$D$2:$D$5251,Pipeline_Sort!$C29))</f>
        <v/>
      </c>
      <c r="D29">
        <f>IF(Pipeline_Sort!$C29="","",INDEX(Pipeline_Calc!$E$2:$E$5251,Pipeline_Sort!$C29))</f>
        <v/>
      </c>
      <c r="E29">
        <f>IF(Pipeline_Sort!$C29="","",INDEX(Pipeline_Calc!$F$2:$F$5251,Pipeline_Sort!$C29))</f>
        <v/>
      </c>
      <c r="F29">
        <f>IF(Pipeline_Sort!$C29="","",INDEX(Pipeline_Calc!$G$2:$G$5251,Pipeline_Sort!$C29))</f>
        <v/>
      </c>
      <c r="G29">
        <f>IF(Pipeline_Sort!$C29="","",INDEX(Pipeline_Calc!$H$2:$H$5251,Pipeline_Sort!$C29))</f>
        <v/>
      </c>
      <c r="H29">
        <f>IF(Pipeline_Sort!$C29="","",INDEX(Pipeline_Calc!$I$2:$I$5251,Pipeline_Sort!$C29))</f>
        <v/>
      </c>
      <c r="I29">
        <f>IF(Pipeline_Sort!$C29="","",INDEX(Pipeline_Calc!$J$2:$J$5251,Pipeline_Sort!$C29))</f>
        <v/>
      </c>
    </row>
    <row r="30">
      <c r="A30" s="22">
        <f>IF(Pipeline_Sort!$C30="","",INDEX(Pipeline_Calc!$B$2:$B$5251,Pipeline_Sort!$C30))</f>
        <v/>
      </c>
      <c r="B30">
        <f>IF(Pipeline_Sort!$C30="","",INDEX(Pipeline_Calc!$C$2:$C$5251,Pipeline_Sort!$C30))</f>
        <v/>
      </c>
      <c r="C30">
        <f>IF(Pipeline_Sort!$C30="","",INDEX(Pipeline_Calc!$D$2:$D$5251,Pipeline_Sort!$C30))</f>
        <v/>
      </c>
      <c r="D30">
        <f>IF(Pipeline_Sort!$C30="","",INDEX(Pipeline_Calc!$E$2:$E$5251,Pipeline_Sort!$C30))</f>
        <v/>
      </c>
      <c r="E30">
        <f>IF(Pipeline_Sort!$C30="","",INDEX(Pipeline_Calc!$F$2:$F$5251,Pipeline_Sort!$C30))</f>
        <v/>
      </c>
      <c r="F30">
        <f>IF(Pipeline_Sort!$C30="","",INDEX(Pipeline_Calc!$G$2:$G$5251,Pipeline_Sort!$C30))</f>
        <v/>
      </c>
      <c r="G30">
        <f>IF(Pipeline_Sort!$C30="","",INDEX(Pipeline_Calc!$H$2:$H$5251,Pipeline_Sort!$C30))</f>
        <v/>
      </c>
      <c r="H30">
        <f>IF(Pipeline_Sort!$C30="","",INDEX(Pipeline_Calc!$I$2:$I$5251,Pipeline_Sort!$C30))</f>
        <v/>
      </c>
      <c r="I30">
        <f>IF(Pipeline_Sort!$C30="","",INDEX(Pipeline_Calc!$J$2:$J$5251,Pipeline_Sort!$C30))</f>
        <v/>
      </c>
    </row>
    <row r="31">
      <c r="A31" s="22">
        <f>IF(Pipeline_Sort!$C31="","",INDEX(Pipeline_Calc!$B$2:$B$5251,Pipeline_Sort!$C31))</f>
        <v/>
      </c>
      <c r="B31">
        <f>IF(Pipeline_Sort!$C31="","",INDEX(Pipeline_Calc!$C$2:$C$5251,Pipeline_Sort!$C31))</f>
        <v/>
      </c>
      <c r="C31">
        <f>IF(Pipeline_Sort!$C31="","",INDEX(Pipeline_Calc!$D$2:$D$5251,Pipeline_Sort!$C31))</f>
        <v/>
      </c>
      <c r="D31">
        <f>IF(Pipeline_Sort!$C31="","",INDEX(Pipeline_Calc!$E$2:$E$5251,Pipeline_Sort!$C31))</f>
        <v/>
      </c>
      <c r="E31">
        <f>IF(Pipeline_Sort!$C31="","",INDEX(Pipeline_Calc!$F$2:$F$5251,Pipeline_Sort!$C31))</f>
        <v/>
      </c>
      <c r="F31">
        <f>IF(Pipeline_Sort!$C31="","",INDEX(Pipeline_Calc!$G$2:$G$5251,Pipeline_Sort!$C31))</f>
        <v/>
      </c>
      <c r="G31">
        <f>IF(Pipeline_Sort!$C31="","",INDEX(Pipeline_Calc!$H$2:$H$5251,Pipeline_Sort!$C31))</f>
        <v/>
      </c>
      <c r="H31">
        <f>IF(Pipeline_Sort!$C31="","",INDEX(Pipeline_Calc!$I$2:$I$5251,Pipeline_Sort!$C31))</f>
        <v/>
      </c>
      <c r="I31">
        <f>IF(Pipeline_Sort!$C31="","",INDEX(Pipeline_Calc!$J$2:$J$5251,Pipeline_Sort!$C31))</f>
        <v/>
      </c>
    </row>
    <row r="32">
      <c r="A32" s="22">
        <f>IF(Pipeline_Sort!$C32="","",INDEX(Pipeline_Calc!$B$2:$B$5251,Pipeline_Sort!$C32))</f>
        <v/>
      </c>
      <c r="B32">
        <f>IF(Pipeline_Sort!$C32="","",INDEX(Pipeline_Calc!$C$2:$C$5251,Pipeline_Sort!$C32))</f>
        <v/>
      </c>
      <c r="C32">
        <f>IF(Pipeline_Sort!$C32="","",INDEX(Pipeline_Calc!$D$2:$D$5251,Pipeline_Sort!$C32))</f>
        <v/>
      </c>
      <c r="D32">
        <f>IF(Pipeline_Sort!$C32="","",INDEX(Pipeline_Calc!$E$2:$E$5251,Pipeline_Sort!$C32))</f>
        <v/>
      </c>
      <c r="E32">
        <f>IF(Pipeline_Sort!$C32="","",INDEX(Pipeline_Calc!$F$2:$F$5251,Pipeline_Sort!$C32))</f>
        <v/>
      </c>
      <c r="F32">
        <f>IF(Pipeline_Sort!$C32="","",INDEX(Pipeline_Calc!$G$2:$G$5251,Pipeline_Sort!$C32))</f>
        <v/>
      </c>
      <c r="G32">
        <f>IF(Pipeline_Sort!$C32="","",INDEX(Pipeline_Calc!$H$2:$H$5251,Pipeline_Sort!$C32))</f>
        <v/>
      </c>
      <c r="H32">
        <f>IF(Pipeline_Sort!$C32="","",INDEX(Pipeline_Calc!$I$2:$I$5251,Pipeline_Sort!$C32))</f>
        <v/>
      </c>
      <c r="I32">
        <f>IF(Pipeline_Sort!$C32="","",INDEX(Pipeline_Calc!$J$2:$J$5251,Pipeline_Sort!$C32))</f>
        <v/>
      </c>
    </row>
    <row r="33">
      <c r="A33" s="22">
        <f>IF(Pipeline_Sort!$C33="","",INDEX(Pipeline_Calc!$B$2:$B$5251,Pipeline_Sort!$C33))</f>
        <v/>
      </c>
      <c r="B33">
        <f>IF(Pipeline_Sort!$C33="","",INDEX(Pipeline_Calc!$C$2:$C$5251,Pipeline_Sort!$C33))</f>
        <v/>
      </c>
      <c r="C33">
        <f>IF(Pipeline_Sort!$C33="","",INDEX(Pipeline_Calc!$D$2:$D$5251,Pipeline_Sort!$C33))</f>
        <v/>
      </c>
      <c r="D33">
        <f>IF(Pipeline_Sort!$C33="","",INDEX(Pipeline_Calc!$E$2:$E$5251,Pipeline_Sort!$C33))</f>
        <v/>
      </c>
      <c r="E33">
        <f>IF(Pipeline_Sort!$C33="","",INDEX(Pipeline_Calc!$F$2:$F$5251,Pipeline_Sort!$C33))</f>
        <v/>
      </c>
      <c r="F33">
        <f>IF(Pipeline_Sort!$C33="","",INDEX(Pipeline_Calc!$G$2:$G$5251,Pipeline_Sort!$C33))</f>
        <v/>
      </c>
      <c r="G33">
        <f>IF(Pipeline_Sort!$C33="","",INDEX(Pipeline_Calc!$H$2:$H$5251,Pipeline_Sort!$C33))</f>
        <v/>
      </c>
      <c r="H33">
        <f>IF(Pipeline_Sort!$C33="","",INDEX(Pipeline_Calc!$I$2:$I$5251,Pipeline_Sort!$C33))</f>
        <v/>
      </c>
      <c r="I33">
        <f>IF(Pipeline_Sort!$C33="","",INDEX(Pipeline_Calc!$J$2:$J$5251,Pipeline_Sort!$C33))</f>
        <v/>
      </c>
    </row>
    <row r="34">
      <c r="A34" s="22">
        <f>IF(Pipeline_Sort!$C34="","",INDEX(Pipeline_Calc!$B$2:$B$5251,Pipeline_Sort!$C34))</f>
        <v/>
      </c>
      <c r="B34">
        <f>IF(Pipeline_Sort!$C34="","",INDEX(Pipeline_Calc!$C$2:$C$5251,Pipeline_Sort!$C34))</f>
        <v/>
      </c>
      <c r="C34">
        <f>IF(Pipeline_Sort!$C34="","",INDEX(Pipeline_Calc!$D$2:$D$5251,Pipeline_Sort!$C34))</f>
        <v/>
      </c>
      <c r="D34">
        <f>IF(Pipeline_Sort!$C34="","",INDEX(Pipeline_Calc!$E$2:$E$5251,Pipeline_Sort!$C34))</f>
        <v/>
      </c>
      <c r="E34">
        <f>IF(Pipeline_Sort!$C34="","",INDEX(Pipeline_Calc!$F$2:$F$5251,Pipeline_Sort!$C34))</f>
        <v/>
      </c>
      <c r="F34">
        <f>IF(Pipeline_Sort!$C34="","",INDEX(Pipeline_Calc!$G$2:$G$5251,Pipeline_Sort!$C34))</f>
        <v/>
      </c>
      <c r="G34">
        <f>IF(Pipeline_Sort!$C34="","",INDEX(Pipeline_Calc!$H$2:$H$5251,Pipeline_Sort!$C34))</f>
        <v/>
      </c>
      <c r="H34">
        <f>IF(Pipeline_Sort!$C34="","",INDEX(Pipeline_Calc!$I$2:$I$5251,Pipeline_Sort!$C34))</f>
        <v/>
      </c>
      <c r="I34">
        <f>IF(Pipeline_Sort!$C34="","",INDEX(Pipeline_Calc!$J$2:$J$5251,Pipeline_Sort!$C34))</f>
        <v/>
      </c>
    </row>
    <row r="35">
      <c r="A35" s="22">
        <f>IF(Pipeline_Sort!$C35="","",INDEX(Pipeline_Calc!$B$2:$B$5251,Pipeline_Sort!$C35))</f>
        <v/>
      </c>
      <c r="B35">
        <f>IF(Pipeline_Sort!$C35="","",INDEX(Pipeline_Calc!$C$2:$C$5251,Pipeline_Sort!$C35))</f>
        <v/>
      </c>
      <c r="C35">
        <f>IF(Pipeline_Sort!$C35="","",INDEX(Pipeline_Calc!$D$2:$D$5251,Pipeline_Sort!$C35))</f>
        <v/>
      </c>
      <c r="D35">
        <f>IF(Pipeline_Sort!$C35="","",INDEX(Pipeline_Calc!$E$2:$E$5251,Pipeline_Sort!$C35))</f>
        <v/>
      </c>
      <c r="E35">
        <f>IF(Pipeline_Sort!$C35="","",INDEX(Pipeline_Calc!$F$2:$F$5251,Pipeline_Sort!$C35))</f>
        <v/>
      </c>
      <c r="F35">
        <f>IF(Pipeline_Sort!$C35="","",INDEX(Pipeline_Calc!$G$2:$G$5251,Pipeline_Sort!$C35))</f>
        <v/>
      </c>
      <c r="G35">
        <f>IF(Pipeline_Sort!$C35="","",INDEX(Pipeline_Calc!$H$2:$H$5251,Pipeline_Sort!$C35))</f>
        <v/>
      </c>
      <c r="H35">
        <f>IF(Pipeline_Sort!$C35="","",INDEX(Pipeline_Calc!$I$2:$I$5251,Pipeline_Sort!$C35))</f>
        <v/>
      </c>
      <c r="I35">
        <f>IF(Pipeline_Sort!$C35="","",INDEX(Pipeline_Calc!$J$2:$J$5251,Pipeline_Sort!$C35))</f>
        <v/>
      </c>
    </row>
    <row r="36">
      <c r="A36" s="22">
        <f>IF(Pipeline_Sort!$C36="","",INDEX(Pipeline_Calc!$B$2:$B$5251,Pipeline_Sort!$C36))</f>
        <v/>
      </c>
      <c r="B36">
        <f>IF(Pipeline_Sort!$C36="","",INDEX(Pipeline_Calc!$C$2:$C$5251,Pipeline_Sort!$C36))</f>
        <v/>
      </c>
      <c r="C36">
        <f>IF(Pipeline_Sort!$C36="","",INDEX(Pipeline_Calc!$D$2:$D$5251,Pipeline_Sort!$C36))</f>
        <v/>
      </c>
      <c r="D36">
        <f>IF(Pipeline_Sort!$C36="","",INDEX(Pipeline_Calc!$E$2:$E$5251,Pipeline_Sort!$C36))</f>
        <v/>
      </c>
      <c r="E36">
        <f>IF(Pipeline_Sort!$C36="","",INDEX(Pipeline_Calc!$F$2:$F$5251,Pipeline_Sort!$C36))</f>
        <v/>
      </c>
      <c r="F36">
        <f>IF(Pipeline_Sort!$C36="","",INDEX(Pipeline_Calc!$G$2:$G$5251,Pipeline_Sort!$C36))</f>
        <v/>
      </c>
      <c r="G36">
        <f>IF(Pipeline_Sort!$C36="","",INDEX(Pipeline_Calc!$H$2:$H$5251,Pipeline_Sort!$C36))</f>
        <v/>
      </c>
      <c r="H36">
        <f>IF(Pipeline_Sort!$C36="","",INDEX(Pipeline_Calc!$I$2:$I$5251,Pipeline_Sort!$C36))</f>
        <v/>
      </c>
      <c r="I36">
        <f>IF(Pipeline_Sort!$C36="","",INDEX(Pipeline_Calc!$J$2:$J$5251,Pipeline_Sort!$C36))</f>
        <v/>
      </c>
    </row>
    <row r="37">
      <c r="A37" s="22">
        <f>IF(Pipeline_Sort!$C37="","",INDEX(Pipeline_Calc!$B$2:$B$5251,Pipeline_Sort!$C37))</f>
        <v/>
      </c>
      <c r="B37">
        <f>IF(Pipeline_Sort!$C37="","",INDEX(Pipeline_Calc!$C$2:$C$5251,Pipeline_Sort!$C37))</f>
        <v/>
      </c>
      <c r="C37">
        <f>IF(Pipeline_Sort!$C37="","",INDEX(Pipeline_Calc!$D$2:$D$5251,Pipeline_Sort!$C37))</f>
        <v/>
      </c>
      <c r="D37">
        <f>IF(Pipeline_Sort!$C37="","",INDEX(Pipeline_Calc!$E$2:$E$5251,Pipeline_Sort!$C37))</f>
        <v/>
      </c>
      <c r="E37">
        <f>IF(Pipeline_Sort!$C37="","",INDEX(Pipeline_Calc!$F$2:$F$5251,Pipeline_Sort!$C37))</f>
        <v/>
      </c>
      <c r="F37">
        <f>IF(Pipeline_Sort!$C37="","",INDEX(Pipeline_Calc!$G$2:$G$5251,Pipeline_Sort!$C37))</f>
        <v/>
      </c>
      <c r="G37">
        <f>IF(Pipeline_Sort!$C37="","",INDEX(Pipeline_Calc!$H$2:$H$5251,Pipeline_Sort!$C37))</f>
        <v/>
      </c>
      <c r="H37">
        <f>IF(Pipeline_Sort!$C37="","",INDEX(Pipeline_Calc!$I$2:$I$5251,Pipeline_Sort!$C37))</f>
        <v/>
      </c>
      <c r="I37">
        <f>IF(Pipeline_Sort!$C37="","",INDEX(Pipeline_Calc!$J$2:$J$5251,Pipeline_Sort!$C37))</f>
        <v/>
      </c>
    </row>
    <row r="38">
      <c r="A38" s="22">
        <f>IF(Pipeline_Sort!$C38="","",INDEX(Pipeline_Calc!$B$2:$B$5251,Pipeline_Sort!$C38))</f>
        <v/>
      </c>
      <c r="B38">
        <f>IF(Pipeline_Sort!$C38="","",INDEX(Pipeline_Calc!$C$2:$C$5251,Pipeline_Sort!$C38))</f>
        <v/>
      </c>
      <c r="C38">
        <f>IF(Pipeline_Sort!$C38="","",INDEX(Pipeline_Calc!$D$2:$D$5251,Pipeline_Sort!$C38))</f>
        <v/>
      </c>
      <c r="D38">
        <f>IF(Pipeline_Sort!$C38="","",INDEX(Pipeline_Calc!$E$2:$E$5251,Pipeline_Sort!$C38))</f>
        <v/>
      </c>
      <c r="E38">
        <f>IF(Pipeline_Sort!$C38="","",INDEX(Pipeline_Calc!$F$2:$F$5251,Pipeline_Sort!$C38))</f>
        <v/>
      </c>
      <c r="F38">
        <f>IF(Pipeline_Sort!$C38="","",INDEX(Pipeline_Calc!$G$2:$G$5251,Pipeline_Sort!$C38))</f>
        <v/>
      </c>
      <c r="G38">
        <f>IF(Pipeline_Sort!$C38="","",INDEX(Pipeline_Calc!$H$2:$H$5251,Pipeline_Sort!$C38))</f>
        <v/>
      </c>
      <c r="H38">
        <f>IF(Pipeline_Sort!$C38="","",INDEX(Pipeline_Calc!$I$2:$I$5251,Pipeline_Sort!$C38))</f>
        <v/>
      </c>
      <c r="I38">
        <f>IF(Pipeline_Sort!$C38="","",INDEX(Pipeline_Calc!$J$2:$J$5251,Pipeline_Sort!$C38))</f>
        <v/>
      </c>
    </row>
    <row r="39">
      <c r="A39" s="22">
        <f>IF(Pipeline_Sort!$C39="","",INDEX(Pipeline_Calc!$B$2:$B$5251,Pipeline_Sort!$C39))</f>
        <v/>
      </c>
      <c r="B39">
        <f>IF(Pipeline_Sort!$C39="","",INDEX(Pipeline_Calc!$C$2:$C$5251,Pipeline_Sort!$C39))</f>
        <v/>
      </c>
      <c r="C39">
        <f>IF(Pipeline_Sort!$C39="","",INDEX(Pipeline_Calc!$D$2:$D$5251,Pipeline_Sort!$C39))</f>
        <v/>
      </c>
      <c r="D39">
        <f>IF(Pipeline_Sort!$C39="","",INDEX(Pipeline_Calc!$E$2:$E$5251,Pipeline_Sort!$C39))</f>
        <v/>
      </c>
      <c r="E39">
        <f>IF(Pipeline_Sort!$C39="","",INDEX(Pipeline_Calc!$F$2:$F$5251,Pipeline_Sort!$C39))</f>
        <v/>
      </c>
      <c r="F39">
        <f>IF(Pipeline_Sort!$C39="","",INDEX(Pipeline_Calc!$G$2:$G$5251,Pipeline_Sort!$C39))</f>
        <v/>
      </c>
      <c r="G39">
        <f>IF(Pipeline_Sort!$C39="","",INDEX(Pipeline_Calc!$H$2:$H$5251,Pipeline_Sort!$C39))</f>
        <v/>
      </c>
      <c r="H39">
        <f>IF(Pipeline_Sort!$C39="","",INDEX(Pipeline_Calc!$I$2:$I$5251,Pipeline_Sort!$C39))</f>
        <v/>
      </c>
      <c r="I39">
        <f>IF(Pipeline_Sort!$C39="","",INDEX(Pipeline_Calc!$J$2:$J$5251,Pipeline_Sort!$C39))</f>
        <v/>
      </c>
    </row>
    <row r="40">
      <c r="A40" s="22">
        <f>IF(Pipeline_Sort!$C40="","",INDEX(Pipeline_Calc!$B$2:$B$5251,Pipeline_Sort!$C40))</f>
        <v/>
      </c>
      <c r="B40">
        <f>IF(Pipeline_Sort!$C40="","",INDEX(Pipeline_Calc!$C$2:$C$5251,Pipeline_Sort!$C40))</f>
        <v/>
      </c>
      <c r="C40">
        <f>IF(Pipeline_Sort!$C40="","",INDEX(Pipeline_Calc!$D$2:$D$5251,Pipeline_Sort!$C40))</f>
        <v/>
      </c>
      <c r="D40">
        <f>IF(Pipeline_Sort!$C40="","",INDEX(Pipeline_Calc!$E$2:$E$5251,Pipeline_Sort!$C40))</f>
        <v/>
      </c>
      <c r="E40">
        <f>IF(Pipeline_Sort!$C40="","",INDEX(Pipeline_Calc!$F$2:$F$5251,Pipeline_Sort!$C40))</f>
        <v/>
      </c>
      <c r="F40">
        <f>IF(Pipeline_Sort!$C40="","",INDEX(Pipeline_Calc!$G$2:$G$5251,Pipeline_Sort!$C40))</f>
        <v/>
      </c>
      <c r="G40">
        <f>IF(Pipeline_Sort!$C40="","",INDEX(Pipeline_Calc!$H$2:$H$5251,Pipeline_Sort!$C40))</f>
        <v/>
      </c>
      <c r="H40">
        <f>IF(Pipeline_Sort!$C40="","",INDEX(Pipeline_Calc!$I$2:$I$5251,Pipeline_Sort!$C40))</f>
        <v/>
      </c>
      <c r="I40">
        <f>IF(Pipeline_Sort!$C40="","",INDEX(Pipeline_Calc!$J$2:$J$5251,Pipeline_Sort!$C40))</f>
        <v/>
      </c>
    </row>
    <row r="41">
      <c r="A41" s="22">
        <f>IF(Pipeline_Sort!$C41="","",INDEX(Pipeline_Calc!$B$2:$B$5251,Pipeline_Sort!$C41))</f>
        <v/>
      </c>
      <c r="B41">
        <f>IF(Pipeline_Sort!$C41="","",INDEX(Pipeline_Calc!$C$2:$C$5251,Pipeline_Sort!$C41))</f>
        <v/>
      </c>
      <c r="C41">
        <f>IF(Pipeline_Sort!$C41="","",INDEX(Pipeline_Calc!$D$2:$D$5251,Pipeline_Sort!$C41))</f>
        <v/>
      </c>
      <c r="D41">
        <f>IF(Pipeline_Sort!$C41="","",INDEX(Pipeline_Calc!$E$2:$E$5251,Pipeline_Sort!$C41))</f>
        <v/>
      </c>
      <c r="E41">
        <f>IF(Pipeline_Sort!$C41="","",INDEX(Pipeline_Calc!$F$2:$F$5251,Pipeline_Sort!$C41))</f>
        <v/>
      </c>
      <c r="F41">
        <f>IF(Pipeline_Sort!$C41="","",INDEX(Pipeline_Calc!$G$2:$G$5251,Pipeline_Sort!$C41))</f>
        <v/>
      </c>
      <c r="G41">
        <f>IF(Pipeline_Sort!$C41="","",INDEX(Pipeline_Calc!$H$2:$H$5251,Pipeline_Sort!$C41))</f>
        <v/>
      </c>
      <c r="H41">
        <f>IF(Pipeline_Sort!$C41="","",INDEX(Pipeline_Calc!$I$2:$I$5251,Pipeline_Sort!$C41))</f>
        <v/>
      </c>
      <c r="I41">
        <f>IF(Pipeline_Sort!$C41="","",INDEX(Pipeline_Calc!$J$2:$J$5251,Pipeline_Sort!$C41))</f>
        <v/>
      </c>
    </row>
    <row r="42">
      <c r="A42" s="22">
        <f>IF(Pipeline_Sort!$C42="","",INDEX(Pipeline_Calc!$B$2:$B$5251,Pipeline_Sort!$C42))</f>
        <v/>
      </c>
      <c r="B42">
        <f>IF(Pipeline_Sort!$C42="","",INDEX(Pipeline_Calc!$C$2:$C$5251,Pipeline_Sort!$C42))</f>
        <v/>
      </c>
      <c r="C42">
        <f>IF(Pipeline_Sort!$C42="","",INDEX(Pipeline_Calc!$D$2:$D$5251,Pipeline_Sort!$C42))</f>
        <v/>
      </c>
      <c r="D42">
        <f>IF(Pipeline_Sort!$C42="","",INDEX(Pipeline_Calc!$E$2:$E$5251,Pipeline_Sort!$C42))</f>
        <v/>
      </c>
      <c r="E42">
        <f>IF(Pipeline_Sort!$C42="","",INDEX(Pipeline_Calc!$F$2:$F$5251,Pipeline_Sort!$C42))</f>
        <v/>
      </c>
      <c r="F42">
        <f>IF(Pipeline_Sort!$C42="","",INDEX(Pipeline_Calc!$G$2:$G$5251,Pipeline_Sort!$C42))</f>
        <v/>
      </c>
      <c r="G42">
        <f>IF(Pipeline_Sort!$C42="","",INDEX(Pipeline_Calc!$H$2:$H$5251,Pipeline_Sort!$C42))</f>
        <v/>
      </c>
      <c r="H42">
        <f>IF(Pipeline_Sort!$C42="","",INDEX(Pipeline_Calc!$I$2:$I$5251,Pipeline_Sort!$C42))</f>
        <v/>
      </c>
      <c r="I42">
        <f>IF(Pipeline_Sort!$C42="","",INDEX(Pipeline_Calc!$J$2:$J$5251,Pipeline_Sort!$C42))</f>
        <v/>
      </c>
    </row>
    <row r="43">
      <c r="A43" s="22">
        <f>IF(Pipeline_Sort!$C43="","",INDEX(Pipeline_Calc!$B$2:$B$5251,Pipeline_Sort!$C43))</f>
        <v/>
      </c>
      <c r="B43">
        <f>IF(Pipeline_Sort!$C43="","",INDEX(Pipeline_Calc!$C$2:$C$5251,Pipeline_Sort!$C43))</f>
        <v/>
      </c>
      <c r="C43">
        <f>IF(Pipeline_Sort!$C43="","",INDEX(Pipeline_Calc!$D$2:$D$5251,Pipeline_Sort!$C43))</f>
        <v/>
      </c>
      <c r="D43">
        <f>IF(Pipeline_Sort!$C43="","",INDEX(Pipeline_Calc!$E$2:$E$5251,Pipeline_Sort!$C43))</f>
        <v/>
      </c>
      <c r="E43">
        <f>IF(Pipeline_Sort!$C43="","",INDEX(Pipeline_Calc!$F$2:$F$5251,Pipeline_Sort!$C43))</f>
        <v/>
      </c>
      <c r="F43">
        <f>IF(Pipeline_Sort!$C43="","",INDEX(Pipeline_Calc!$G$2:$G$5251,Pipeline_Sort!$C43))</f>
        <v/>
      </c>
      <c r="G43">
        <f>IF(Pipeline_Sort!$C43="","",INDEX(Pipeline_Calc!$H$2:$H$5251,Pipeline_Sort!$C43))</f>
        <v/>
      </c>
      <c r="H43">
        <f>IF(Pipeline_Sort!$C43="","",INDEX(Pipeline_Calc!$I$2:$I$5251,Pipeline_Sort!$C43))</f>
        <v/>
      </c>
      <c r="I43">
        <f>IF(Pipeline_Sort!$C43="","",INDEX(Pipeline_Calc!$J$2:$J$5251,Pipeline_Sort!$C43))</f>
        <v/>
      </c>
    </row>
    <row r="44">
      <c r="A44" s="22">
        <f>IF(Pipeline_Sort!$C44="","",INDEX(Pipeline_Calc!$B$2:$B$5251,Pipeline_Sort!$C44))</f>
        <v/>
      </c>
      <c r="B44">
        <f>IF(Pipeline_Sort!$C44="","",INDEX(Pipeline_Calc!$C$2:$C$5251,Pipeline_Sort!$C44))</f>
        <v/>
      </c>
      <c r="C44">
        <f>IF(Pipeline_Sort!$C44="","",INDEX(Pipeline_Calc!$D$2:$D$5251,Pipeline_Sort!$C44))</f>
        <v/>
      </c>
      <c r="D44">
        <f>IF(Pipeline_Sort!$C44="","",INDEX(Pipeline_Calc!$E$2:$E$5251,Pipeline_Sort!$C44))</f>
        <v/>
      </c>
      <c r="E44">
        <f>IF(Pipeline_Sort!$C44="","",INDEX(Pipeline_Calc!$F$2:$F$5251,Pipeline_Sort!$C44))</f>
        <v/>
      </c>
      <c r="F44">
        <f>IF(Pipeline_Sort!$C44="","",INDEX(Pipeline_Calc!$G$2:$G$5251,Pipeline_Sort!$C44))</f>
        <v/>
      </c>
      <c r="G44">
        <f>IF(Pipeline_Sort!$C44="","",INDEX(Pipeline_Calc!$H$2:$H$5251,Pipeline_Sort!$C44))</f>
        <v/>
      </c>
      <c r="H44">
        <f>IF(Pipeline_Sort!$C44="","",INDEX(Pipeline_Calc!$I$2:$I$5251,Pipeline_Sort!$C44))</f>
        <v/>
      </c>
      <c r="I44">
        <f>IF(Pipeline_Sort!$C44="","",INDEX(Pipeline_Calc!$J$2:$J$5251,Pipeline_Sort!$C44))</f>
        <v/>
      </c>
    </row>
    <row r="45">
      <c r="A45" s="22">
        <f>IF(Pipeline_Sort!$C45="","",INDEX(Pipeline_Calc!$B$2:$B$5251,Pipeline_Sort!$C45))</f>
        <v/>
      </c>
      <c r="B45">
        <f>IF(Pipeline_Sort!$C45="","",INDEX(Pipeline_Calc!$C$2:$C$5251,Pipeline_Sort!$C45))</f>
        <v/>
      </c>
      <c r="C45">
        <f>IF(Pipeline_Sort!$C45="","",INDEX(Pipeline_Calc!$D$2:$D$5251,Pipeline_Sort!$C45))</f>
        <v/>
      </c>
      <c r="D45">
        <f>IF(Pipeline_Sort!$C45="","",INDEX(Pipeline_Calc!$E$2:$E$5251,Pipeline_Sort!$C45))</f>
        <v/>
      </c>
      <c r="E45">
        <f>IF(Pipeline_Sort!$C45="","",INDEX(Pipeline_Calc!$F$2:$F$5251,Pipeline_Sort!$C45))</f>
        <v/>
      </c>
      <c r="F45">
        <f>IF(Pipeline_Sort!$C45="","",INDEX(Pipeline_Calc!$G$2:$G$5251,Pipeline_Sort!$C45))</f>
        <v/>
      </c>
      <c r="G45">
        <f>IF(Pipeline_Sort!$C45="","",INDEX(Pipeline_Calc!$H$2:$H$5251,Pipeline_Sort!$C45))</f>
        <v/>
      </c>
      <c r="H45">
        <f>IF(Pipeline_Sort!$C45="","",INDEX(Pipeline_Calc!$I$2:$I$5251,Pipeline_Sort!$C45))</f>
        <v/>
      </c>
      <c r="I45">
        <f>IF(Pipeline_Sort!$C45="","",INDEX(Pipeline_Calc!$J$2:$J$5251,Pipeline_Sort!$C45))</f>
        <v/>
      </c>
    </row>
    <row r="46">
      <c r="A46" s="22">
        <f>IF(Pipeline_Sort!$C46="","",INDEX(Pipeline_Calc!$B$2:$B$5251,Pipeline_Sort!$C46))</f>
        <v/>
      </c>
      <c r="B46">
        <f>IF(Pipeline_Sort!$C46="","",INDEX(Pipeline_Calc!$C$2:$C$5251,Pipeline_Sort!$C46))</f>
        <v/>
      </c>
      <c r="C46">
        <f>IF(Pipeline_Sort!$C46="","",INDEX(Pipeline_Calc!$D$2:$D$5251,Pipeline_Sort!$C46))</f>
        <v/>
      </c>
      <c r="D46">
        <f>IF(Pipeline_Sort!$C46="","",INDEX(Pipeline_Calc!$E$2:$E$5251,Pipeline_Sort!$C46))</f>
        <v/>
      </c>
      <c r="E46">
        <f>IF(Pipeline_Sort!$C46="","",INDEX(Pipeline_Calc!$F$2:$F$5251,Pipeline_Sort!$C46))</f>
        <v/>
      </c>
      <c r="F46">
        <f>IF(Pipeline_Sort!$C46="","",INDEX(Pipeline_Calc!$G$2:$G$5251,Pipeline_Sort!$C46))</f>
        <v/>
      </c>
      <c r="G46">
        <f>IF(Pipeline_Sort!$C46="","",INDEX(Pipeline_Calc!$H$2:$H$5251,Pipeline_Sort!$C46))</f>
        <v/>
      </c>
      <c r="H46">
        <f>IF(Pipeline_Sort!$C46="","",INDEX(Pipeline_Calc!$I$2:$I$5251,Pipeline_Sort!$C46))</f>
        <v/>
      </c>
      <c r="I46">
        <f>IF(Pipeline_Sort!$C46="","",INDEX(Pipeline_Calc!$J$2:$J$5251,Pipeline_Sort!$C46))</f>
        <v/>
      </c>
    </row>
    <row r="47">
      <c r="A47" s="22">
        <f>IF(Pipeline_Sort!$C47="","",INDEX(Pipeline_Calc!$B$2:$B$5251,Pipeline_Sort!$C47))</f>
        <v/>
      </c>
      <c r="B47">
        <f>IF(Pipeline_Sort!$C47="","",INDEX(Pipeline_Calc!$C$2:$C$5251,Pipeline_Sort!$C47))</f>
        <v/>
      </c>
      <c r="C47">
        <f>IF(Pipeline_Sort!$C47="","",INDEX(Pipeline_Calc!$D$2:$D$5251,Pipeline_Sort!$C47))</f>
        <v/>
      </c>
      <c r="D47">
        <f>IF(Pipeline_Sort!$C47="","",INDEX(Pipeline_Calc!$E$2:$E$5251,Pipeline_Sort!$C47))</f>
        <v/>
      </c>
      <c r="E47">
        <f>IF(Pipeline_Sort!$C47="","",INDEX(Pipeline_Calc!$F$2:$F$5251,Pipeline_Sort!$C47))</f>
        <v/>
      </c>
      <c r="F47">
        <f>IF(Pipeline_Sort!$C47="","",INDEX(Pipeline_Calc!$G$2:$G$5251,Pipeline_Sort!$C47))</f>
        <v/>
      </c>
      <c r="G47">
        <f>IF(Pipeline_Sort!$C47="","",INDEX(Pipeline_Calc!$H$2:$H$5251,Pipeline_Sort!$C47))</f>
        <v/>
      </c>
      <c r="H47">
        <f>IF(Pipeline_Sort!$C47="","",INDEX(Pipeline_Calc!$I$2:$I$5251,Pipeline_Sort!$C47))</f>
        <v/>
      </c>
      <c r="I47">
        <f>IF(Pipeline_Sort!$C47="","",INDEX(Pipeline_Calc!$J$2:$J$5251,Pipeline_Sort!$C47))</f>
        <v/>
      </c>
    </row>
    <row r="48">
      <c r="A48" s="22">
        <f>IF(Pipeline_Sort!$C48="","",INDEX(Pipeline_Calc!$B$2:$B$5251,Pipeline_Sort!$C48))</f>
        <v/>
      </c>
      <c r="B48">
        <f>IF(Pipeline_Sort!$C48="","",INDEX(Pipeline_Calc!$C$2:$C$5251,Pipeline_Sort!$C48))</f>
        <v/>
      </c>
      <c r="C48">
        <f>IF(Pipeline_Sort!$C48="","",INDEX(Pipeline_Calc!$D$2:$D$5251,Pipeline_Sort!$C48))</f>
        <v/>
      </c>
      <c r="D48">
        <f>IF(Pipeline_Sort!$C48="","",INDEX(Pipeline_Calc!$E$2:$E$5251,Pipeline_Sort!$C48))</f>
        <v/>
      </c>
      <c r="E48">
        <f>IF(Pipeline_Sort!$C48="","",INDEX(Pipeline_Calc!$F$2:$F$5251,Pipeline_Sort!$C48))</f>
        <v/>
      </c>
      <c r="F48">
        <f>IF(Pipeline_Sort!$C48="","",INDEX(Pipeline_Calc!$G$2:$G$5251,Pipeline_Sort!$C48))</f>
        <v/>
      </c>
      <c r="G48">
        <f>IF(Pipeline_Sort!$C48="","",INDEX(Pipeline_Calc!$H$2:$H$5251,Pipeline_Sort!$C48))</f>
        <v/>
      </c>
      <c r="H48">
        <f>IF(Pipeline_Sort!$C48="","",INDEX(Pipeline_Calc!$I$2:$I$5251,Pipeline_Sort!$C48))</f>
        <v/>
      </c>
      <c r="I48">
        <f>IF(Pipeline_Sort!$C48="","",INDEX(Pipeline_Calc!$J$2:$J$5251,Pipeline_Sort!$C48))</f>
        <v/>
      </c>
    </row>
    <row r="49">
      <c r="A49" s="22">
        <f>IF(Pipeline_Sort!$C49="","",INDEX(Pipeline_Calc!$B$2:$B$5251,Pipeline_Sort!$C49))</f>
        <v/>
      </c>
      <c r="B49">
        <f>IF(Pipeline_Sort!$C49="","",INDEX(Pipeline_Calc!$C$2:$C$5251,Pipeline_Sort!$C49))</f>
        <v/>
      </c>
      <c r="C49">
        <f>IF(Pipeline_Sort!$C49="","",INDEX(Pipeline_Calc!$D$2:$D$5251,Pipeline_Sort!$C49))</f>
        <v/>
      </c>
      <c r="D49">
        <f>IF(Pipeline_Sort!$C49="","",INDEX(Pipeline_Calc!$E$2:$E$5251,Pipeline_Sort!$C49))</f>
        <v/>
      </c>
      <c r="E49">
        <f>IF(Pipeline_Sort!$C49="","",INDEX(Pipeline_Calc!$F$2:$F$5251,Pipeline_Sort!$C49))</f>
        <v/>
      </c>
      <c r="F49">
        <f>IF(Pipeline_Sort!$C49="","",INDEX(Pipeline_Calc!$G$2:$G$5251,Pipeline_Sort!$C49))</f>
        <v/>
      </c>
      <c r="G49">
        <f>IF(Pipeline_Sort!$C49="","",INDEX(Pipeline_Calc!$H$2:$H$5251,Pipeline_Sort!$C49))</f>
        <v/>
      </c>
      <c r="H49">
        <f>IF(Pipeline_Sort!$C49="","",INDEX(Pipeline_Calc!$I$2:$I$5251,Pipeline_Sort!$C49))</f>
        <v/>
      </c>
      <c r="I49">
        <f>IF(Pipeline_Sort!$C49="","",INDEX(Pipeline_Calc!$J$2:$J$5251,Pipeline_Sort!$C49))</f>
        <v/>
      </c>
    </row>
    <row r="50">
      <c r="A50" s="22">
        <f>IF(Pipeline_Sort!$C50="","",INDEX(Pipeline_Calc!$B$2:$B$5251,Pipeline_Sort!$C50))</f>
        <v/>
      </c>
      <c r="B50">
        <f>IF(Pipeline_Sort!$C50="","",INDEX(Pipeline_Calc!$C$2:$C$5251,Pipeline_Sort!$C50))</f>
        <v/>
      </c>
      <c r="C50">
        <f>IF(Pipeline_Sort!$C50="","",INDEX(Pipeline_Calc!$D$2:$D$5251,Pipeline_Sort!$C50))</f>
        <v/>
      </c>
      <c r="D50">
        <f>IF(Pipeline_Sort!$C50="","",INDEX(Pipeline_Calc!$E$2:$E$5251,Pipeline_Sort!$C50))</f>
        <v/>
      </c>
      <c r="E50">
        <f>IF(Pipeline_Sort!$C50="","",INDEX(Pipeline_Calc!$F$2:$F$5251,Pipeline_Sort!$C50))</f>
        <v/>
      </c>
      <c r="F50">
        <f>IF(Pipeline_Sort!$C50="","",INDEX(Pipeline_Calc!$G$2:$G$5251,Pipeline_Sort!$C50))</f>
        <v/>
      </c>
      <c r="G50">
        <f>IF(Pipeline_Sort!$C50="","",INDEX(Pipeline_Calc!$H$2:$H$5251,Pipeline_Sort!$C50))</f>
        <v/>
      </c>
      <c r="H50">
        <f>IF(Pipeline_Sort!$C50="","",INDEX(Pipeline_Calc!$I$2:$I$5251,Pipeline_Sort!$C50))</f>
        <v/>
      </c>
      <c r="I50">
        <f>IF(Pipeline_Sort!$C50="","",INDEX(Pipeline_Calc!$J$2:$J$5251,Pipeline_Sort!$C50))</f>
        <v/>
      </c>
    </row>
    <row r="51">
      <c r="A51" s="22">
        <f>IF(Pipeline_Sort!$C51="","",INDEX(Pipeline_Calc!$B$2:$B$5251,Pipeline_Sort!$C51))</f>
        <v/>
      </c>
      <c r="B51">
        <f>IF(Pipeline_Sort!$C51="","",INDEX(Pipeline_Calc!$C$2:$C$5251,Pipeline_Sort!$C51))</f>
        <v/>
      </c>
      <c r="C51">
        <f>IF(Pipeline_Sort!$C51="","",INDEX(Pipeline_Calc!$D$2:$D$5251,Pipeline_Sort!$C51))</f>
        <v/>
      </c>
      <c r="D51">
        <f>IF(Pipeline_Sort!$C51="","",INDEX(Pipeline_Calc!$E$2:$E$5251,Pipeline_Sort!$C51))</f>
        <v/>
      </c>
      <c r="E51">
        <f>IF(Pipeline_Sort!$C51="","",INDEX(Pipeline_Calc!$F$2:$F$5251,Pipeline_Sort!$C51))</f>
        <v/>
      </c>
      <c r="F51">
        <f>IF(Pipeline_Sort!$C51="","",INDEX(Pipeline_Calc!$G$2:$G$5251,Pipeline_Sort!$C51))</f>
        <v/>
      </c>
      <c r="G51">
        <f>IF(Pipeline_Sort!$C51="","",INDEX(Pipeline_Calc!$H$2:$H$5251,Pipeline_Sort!$C51))</f>
        <v/>
      </c>
      <c r="H51">
        <f>IF(Pipeline_Sort!$C51="","",INDEX(Pipeline_Calc!$I$2:$I$5251,Pipeline_Sort!$C51))</f>
        <v/>
      </c>
      <c r="I51">
        <f>IF(Pipeline_Sort!$C51="","",INDEX(Pipeline_Calc!$J$2:$J$5251,Pipeline_Sort!$C51))</f>
        <v/>
      </c>
    </row>
    <row r="52">
      <c r="A52" s="22">
        <f>IF(Pipeline_Sort!$C52="","",INDEX(Pipeline_Calc!$B$2:$B$5251,Pipeline_Sort!$C52))</f>
        <v/>
      </c>
      <c r="B52">
        <f>IF(Pipeline_Sort!$C52="","",INDEX(Pipeline_Calc!$C$2:$C$5251,Pipeline_Sort!$C52))</f>
        <v/>
      </c>
      <c r="C52">
        <f>IF(Pipeline_Sort!$C52="","",INDEX(Pipeline_Calc!$D$2:$D$5251,Pipeline_Sort!$C52))</f>
        <v/>
      </c>
      <c r="D52">
        <f>IF(Pipeline_Sort!$C52="","",INDEX(Pipeline_Calc!$E$2:$E$5251,Pipeline_Sort!$C52))</f>
        <v/>
      </c>
      <c r="E52">
        <f>IF(Pipeline_Sort!$C52="","",INDEX(Pipeline_Calc!$F$2:$F$5251,Pipeline_Sort!$C52))</f>
        <v/>
      </c>
      <c r="F52">
        <f>IF(Pipeline_Sort!$C52="","",INDEX(Pipeline_Calc!$G$2:$G$5251,Pipeline_Sort!$C52))</f>
        <v/>
      </c>
      <c r="G52">
        <f>IF(Pipeline_Sort!$C52="","",INDEX(Pipeline_Calc!$H$2:$H$5251,Pipeline_Sort!$C52))</f>
        <v/>
      </c>
      <c r="H52">
        <f>IF(Pipeline_Sort!$C52="","",INDEX(Pipeline_Calc!$I$2:$I$5251,Pipeline_Sort!$C52))</f>
        <v/>
      </c>
      <c r="I52">
        <f>IF(Pipeline_Sort!$C52="","",INDEX(Pipeline_Calc!$J$2:$J$5251,Pipeline_Sort!$C52))</f>
        <v/>
      </c>
    </row>
    <row r="53">
      <c r="A53" s="22">
        <f>IF(Pipeline_Sort!$C53="","",INDEX(Pipeline_Calc!$B$2:$B$5251,Pipeline_Sort!$C53))</f>
        <v/>
      </c>
      <c r="B53">
        <f>IF(Pipeline_Sort!$C53="","",INDEX(Pipeline_Calc!$C$2:$C$5251,Pipeline_Sort!$C53))</f>
        <v/>
      </c>
      <c r="C53">
        <f>IF(Pipeline_Sort!$C53="","",INDEX(Pipeline_Calc!$D$2:$D$5251,Pipeline_Sort!$C53))</f>
        <v/>
      </c>
      <c r="D53">
        <f>IF(Pipeline_Sort!$C53="","",INDEX(Pipeline_Calc!$E$2:$E$5251,Pipeline_Sort!$C53))</f>
        <v/>
      </c>
      <c r="E53">
        <f>IF(Pipeline_Sort!$C53="","",INDEX(Pipeline_Calc!$F$2:$F$5251,Pipeline_Sort!$C53))</f>
        <v/>
      </c>
      <c r="F53">
        <f>IF(Pipeline_Sort!$C53="","",INDEX(Pipeline_Calc!$G$2:$G$5251,Pipeline_Sort!$C53))</f>
        <v/>
      </c>
      <c r="G53">
        <f>IF(Pipeline_Sort!$C53="","",INDEX(Pipeline_Calc!$H$2:$H$5251,Pipeline_Sort!$C53))</f>
        <v/>
      </c>
      <c r="H53">
        <f>IF(Pipeline_Sort!$C53="","",INDEX(Pipeline_Calc!$I$2:$I$5251,Pipeline_Sort!$C53))</f>
        <v/>
      </c>
      <c r="I53">
        <f>IF(Pipeline_Sort!$C53="","",INDEX(Pipeline_Calc!$J$2:$J$5251,Pipeline_Sort!$C53))</f>
        <v/>
      </c>
    </row>
    <row r="54">
      <c r="A54" s="22">
        <f>IF(Pipeline_Sort!$C54="","",INDEX(Pipeline_Calc!$B$2:$B$5251,Pipeline_Sort!$C54))</f>
        <v/>
      </c>
      <c r="B54">
        <f>IF(Pipeline_Sort!$C54="","",INDEX(Pipeline_Calc!$C$2:$C$5251,Pipeline_Sort!$C54))</f>
        <v/>
      </c>
      <c r="C54">
        <f>IF(Pipeline_Sort!$C54="","",INDEX(Pipeline_Calc!$D$2:$D$5251,Pipeline_Sort!$C54))</f>
        <v/>
      </c>
      <c r="D54">
        <f>IF(Pipeline_Sort!$C54="","",INDEX(Pipeline_Calc!$E$2:$E$5251,Pipeline_Sort!$C54))</f>
        <v/>
      </c>
      <c r="E54">
        <f>IF(Pipeline_Sort!$C54="","",INDEX(Pipeline_Calc!$F$2:$F$5251,Pipeline_Sort!$C54))</f>
        <v/>
      </c>
      <c r="F54">
        <f>IF(Pipeline_Sort!$C54="","",INDEX(Pipeline_Calc!$G$2:$G$5251,Pipeline_Sort!$C54))</f>
        <v/>
      </c>
      <c r="G54">
        <f>IF(Pipeline_Sort!$C54="","",INDEX(Pipeline_Calc!$H$2:$H$5251,Pipeline_Sort!$C54))</f>
        <v/>
      </c>
      <c r="H54">
        <f>IF(Pipeline_Sort!$C54="","",INDEX(Pipeline_Calc!$I$2:$I$5251,Pipeline_Sort!$C54))</f>
        <v/>
      </c>
      <c r="I54">
        <f>IF(Pipeline_Sort!$C54="","",INDEX(Pipeline_Calc!$J$2:$J$5251,Pipeline_Sort!$C54))</f>
        <v/>
      </c>
    </row>
    <row r="55">
      <c r="A55" s="22">
        <f>IF(Pipeline_Sort!$C55="","",INDEX(Pipeline_Calc!$B$2:$B$5251,Pipeline_Sort!$C55))</f>
        <v/>
      </c>
      <c r="B55">
        <f>IF(Pipeline_Sort!$C55="","",INDEX(Pipeline_Calc!$C$2:$C$5251,Pipeline_Sort!$C55))</f>
        <v/>
      </c>
      <c r="C55">
        <f>IF(Pipeline_Sort!$C55="","",INDEX(Pipeline_Calc!$D$2:$D$5251,Pipeline_Sort!$C55))</f>
        <v/>
      </c>
      <c r="D55">
        <f>IF(Pipeline_Sort!$C55="","",INDEX(Pipeline_Calc!$E$2:$E$5251,Pipeline_Sort!$C55))</f>
        <v/>
      </c>
      <c r="E55">
        <f>IF(Pipeline_Sort!$C55="","",INDEX(Pipeline_Calc!$F$2:$F$5251,Pipeline_Sort!$C55))</f>
        <v/>
      </c>
      <c r="F55">
        <f>IF(Pipeline_Sort!$C55="","",INDEX(Pipeline_Calc!$G$2:$G$5251,Pipeline_Sort!$C55))</f>
        <v/>
      </c>
      <c r="G55">
        <f>IF(Pipeline_Sort!$C55="","",INDEX(Pipeline_Calc!$H$2:$H$5251,Pipeline_Sort!$C55))</f>
        <v/>
      </c>
      <c r="H55">
        <f>IF(Pipeline_Sort!$C55="","",INDEX(Pipeline_Calc!$I$2:$I$5251,Pipeline_Sort!$C55))</f>
        <v/>
      </c>
      <c r="I55">
        <f>IF(Pipeline_Sort!$C55="","",INDEX(Pipeline_Calc!$J$2:$J$5251,Pipeline_Sort!$C55))</f>
        <v/>
      </c>
    </row>
    <row r="56">
      <c r="A56" s="22">
        <f>IF(Pipeline_Sort!$C56="","",INDEX(Pipeline_Calc!$B$2:$B$5251,Pipeline_Sort!$C56))</f>
        <v/>
      </c>
      <c r="B56">
        <f>IF(Pipeline_Sort!$C56="","",INDEX(Pipeline_Calc!$C$2:$C$5251,Pipeline_Sort!$C56))</f>
        <v/>
      </c>
      <c r="C56">
        <f>IF(Pipeline_Sort!$C56="","",INDEX(Pipeline_Calc!$D$2:$D$5251,Pipeline_Sort!$C56))</f>
        <v/>
      </c>
      <c r="D56">
        <f>IF(Pipeline_Sort!$C56="","",INDEX(Pipeline_Calc!$E$2:$E$5251,Pipeline_Sort!$C56))</f>
        <v/>
      </c>
      <c r="E56">
        <f>IF(Pipeline_Sort!$C56="","",INDEX(Pipeline_Calc!$F$2:$F$5251,Pipeline_Sort!$C56))</f>
        <v/>
      </c>
      <c r="F56">
        <f>IF(Pipeline_Sort!$C56="","",INDEX(Pipeline_Calc!$G$2:$G$5251,Pipeline_Sort!$C56))</f>
        <v/>
      </c>
      <c r="G56">
        <f>IF(Pipeline_Sort!$C56="","",INDEX(Pipeline_Calc!$H$2:$H$5251,Pipeline_Sort!$C56))</f>
        <v/>
      </c>
      <c r="H56">
        <f>IF(Pipeline_Sort!$C56="","",INDEX(Pipeline_Calc!$I$2:$I$5251,Pipeline_Sort!$C56))</f>
        <v/>
      </c>
      <c r="I56">
        <f>IF(Pipeline_Sort!$C56="","",INDEX(Pipeline_Calc!$J$2:$J$5251,Pipeline_Sort!$C56))</f>
        <v/>
      </c>
    </row>
    <row r="57">
      <c r="A57" s="22">
        <f>IF(Pipeline_Sort!$C57="","",INDEX(Pipeline_Calc!$B$2:$B$5251,Pipeline_Sort!$C57))</f>
        <v/>
      </c>
      <c r="B57">
        <f>IF(Pipeline_Sort!$C57="","",INDEX(Pipeline_Calc!$C$2:$C$5251,Pipeline_Sort!$C57))</f>
        <v/>
      </c>
      <c r="C57">
        <f>IF(Pipeline_Sort!$C57="","",INDEX(Pipeline_Calc!$D$2:$D$5251,Pipeline_Sort!$C57))</f>
        <v/>
      </c>
      <c r="D57">
        <f>IF(Pipeline_Sort!$C57="","",INDEX(Pipeline_Calc!$E$2:$E$5251,Pipeline_Sort!$C57))</f>
        <v/>
      </c>
      <c r="E57">
        <f>IF(Pipeline_Sort!$C57="","",INDEX(Pipeline_Calc!$F$2:$F$5251,Pipeline_Sort!$C57))</f>
        <v/>
      </c>
      <c r="F57">
        <f>IF(Pipeline_Sort!$C57="","",INDEX(Pipeline_Calc!$G$2:$G$5251,Pipeline_Sort!$C57))</f>
        <v/>
      </c>
      <c r="G57">
        <f>IF(Pipeline_Sort!$C57="","",INDEX(Pipeline_Calc!$H$2:$H$5251,Pipeline_Sort!$C57))</f>
        <v/>
      </c>
      <c r="H57">
        <f>IF(Pipeline_Sort!$C57="","",INDEX(Pipeline_Calc!$I$2:$I$5251,Pipeline_Sort!$C57))</f>
        <v/>
      </c>
      <c r="I57">
        <f>IF(Pipeline_Sort!$C57="","",INDEX(Pipeline_Calc!$J$2:$J$5251,Pipeline_Sort!$C57))</f>
        <v/>
      </c>
    </row>
    <row r="58">
      <c r="A58" s="22">
        <f>IF(Pipeline_Sort!$C58="","",INDEX(Pipeline_Calc!$B$2:$B$5251,Pipeline_Sort!$C58))</f>
        <v/>
      </c>
      <c r="B58">
        <f>IF(Pipeline_Sort!$C58="","",INDEX(Pipeline_Calc!$C$2:$C$5251,Pipeline_Sort!$C58))</f>
        <v/>
      </c>
      <c r="C58">
        <f>IF(Pipeline_Sort!$C58="","",INDEX(Pipeline_Calc!$D$2:$D$5251,Pipeline_Sort!$C58))</f>
        <v/>
      </c>
      <c r="D58">
        <f>IF(Pipeline_Sort!$C58="","",INDEX(Pipeline_Calc!$E$2:$E$5251,Pipeline_Sort!$C58))</f>
        <v/>
      </c>
      <c r="E58">
        <f>IF(Pipeline_Sort!$C58="","",INDEX(Pipeline_Calc!$F$2:$F$5251,Pipeline_Sort!$C58))</f>
        <v/>
      </c>
      <c r="F58">
        <f>IF(Pipeline_Sort!$C58="","",INDEX(Pipeline_Calc!$G$2:$G$5251,Pipeline_Sort!$C58))</f>
        <v/>
      </c>
      <c r="G58">
        <f>IF(Pipeline_Sort!$C58="","",INDEX(Pipeline_Calc!$H$2:$H$5251,Pipeline_Sort!$C58))</f>
        <v/>
      </c>
      <c r="H58">
        <f>IF(Pipeline_Sort!$C58="","",INDEX(Pipeline_Calc!$I$2:$I$5251,Pipeline_Sort!$C58))</f>
        <v/>
      </c>
      <c r="I58">
        <f>IF(Pipeline_Sort!$C58="","",INDEX(Pipeline_Calc!$J$2:$J$5251,Pipeline_Sort!$C58))</f>
        <v/>
      </c>
    </row>
    <row r="59">
      <c r="A59" s="22">
        <f>IF(Pipeline_Sort!$C59="","",INDEX(Pipeline_Calc!$B$2:$B$5251,Pipeline_Sort!$C59))</f>
        <v/>
      </c>
      <c r="B59">
        <f>IF(Pipeline_Sort!$C59="","",INDEX(Pipeline_Calc!$C$2:$C$5251,Pipeline_Sort!$C59))</f>
        <v/>
      </c>
      <c r="C59">
        <f>IF(Pipeline_Sort!$C59="","",INDEX(Pipeline_Calc!$D$2:$D$5251,Pipeline_Sort!$C59))</f>
        <v/>
      </c>
      <c r="D59">
        <f>IF(Pipeline_Sort!$C59="","",INDEX(Pipeline_Calc!$E$2:$E$5251,Pipeline_Sort!$C59))</f>
        <v/>
      </c>
      <c r="E59">
        <f>IF(Pipeline_Sort!$C59="","",INDEX(Pipeline_Calc!$F$2:$F$5251,Pipeline_Sort!$C59))</f>
        <v/>
      </c>
      <c r="F59">
        <f>IF(Pipeline_Sort!$C59="","",INDEX(Pipeline_Calc!$G$2:$G$5251,Pipeline_Sort!$C59))</f>
        <v/>
      </c>
      <c r="G59">
        <f>IF(Pipeline_Sort!$C59="","",INDEX(Pipeline_Calc!$H$2:$H$5251,Pipeline_Sort!$C59))</f>
        <v/>
      </c>
      <c r="H59">
        <f>IF(Pipeline_Sort!$C59="","",INDEX(Pipeline_Calc!$I$2:$I$5251,Pipeline_Sort!$C59))</f>
        <v/>
      </c>
      <c r="I59">
        <f>IF(Pipeline_Sort!$C59="","",INDEX(Pipeline_Calc!$J$2:$J$5251,Pipeline_Sort!$C59))</f>
        <v/>
      </c>
    </row>
    <row r="60">
      <c r="A60" s="22">
        <f>IF(Pipeline_Sort!$C60="","",INDEX(Pipeline_Calc!$B$2:$B$5251,Pipeline_Sort!$C60))</f>
        <v/>
      </c>
      <c r="B60">
        <f>IF(Pipeline_Sort!$C60="","",INDEX(Pipeline_Calc!$C$2:$C$5251,Pipeline_Sort!$C60))</f>
        <v/>
      </c>
      <c r="C60">
        <f>IF(Pipeline_Sort!$C60="","",INDEX(Pipeline_Calc!$D$2:$D$5251,Pipeline_Sort!$C60))</f>
        <v/>
      </c>
      <c r="D60">
        <f>IF(Pipeline_Sort!$C60="","",INDEX(Pipeline_Calc!$E$2:$E$5251,Pipeline_Sort!$C60))</f>
        <v/>
      </c>
      <c r="E60">
        <f>IF(Pipeline_Sort!$C60="","",INDEX(Pipeline_Calc!$F$2:$F$5251,Pipeline_Sort!$C60))</f>
        <v/>
      </c>
      <c r="F60">
        <f>IF(Pipeline_Sort!$C60="","",INDEX(Pipeline_Calc!$G$2:$G$5251,Pipeline_Sort!$C60))</f>
        <v/>
      </c>
      <c r="G60">
        <f>IF(Pipeline_Sort!$C60="","",INDEX(Pipeline_Calc!$H$2:$H$5251,Pipeline_Sort!$C60))</f>
        <v/>
      </c>
      <c r="H60">
        <f>IF(Pipeline_Sort!$C60="","",INDEX(Pipeline_Calc!$I$2:$I$5251,Pipeline_Sort!$C60))</f>
        <v/>
      </c>
      <c r="I60">
        <f>IF(Pipeline_Sort!$C60="","",INDEX(Pipeline_Calc!$J$2:$J$5251,Pipeline_Sort!$C60))</f>
        <v/>
      </c>
    </row>
    <row r="61">
      <c r="A61" s="22">
        <f>IF(Pipeline_Sort!$C61="","",INDEX(Pipeline_Calc!$B$2:$B$5251,Pipeline_Sort!$C61))</f>
        <v/>
      </c>
      <c r="B61">
        <f>IF(Pipeline_Sort!$C61="","",INDEX(Pipeline_Calc!$C$2:$C$5251,Pipeline_Sort!$C61))</f>
        <v/>
      </c>
      <c r="C61">
        <f>IF(Pipeline_Sort!$C61="","",INDEX(Pipeline_Calc!$D$2:$D$5251,Pipeline_Sort!$C61))</f>
        <v/>
      </c>
      <c r="D61">
        <f>IF(Pipeline_Sort!$C61="","",INDEX(Pipeline_Calc!$E$2:$E$5251,Pipeline_Sort!$C61))</f>
        <v/>
      </c>
      <c r="E61">
        <f>IF(Pipeline_Sort!$C61="","",INDEX(Pipeline_Calc!$F$2:$F$5251,Pipeline_Sort!$C61))</f>
        <v/>
      </c>
      <c r="F61">
        <f>IF(Pipeline_Sort!$C61="","",INDEX(Pipeline_Calc!$G$2:$G$5251,Pipeline_Sort!$C61))</f>
        <v/>
      </c>
      <c r="G61">
        <f>IF(Pipeline_Sort!$C61="","",INDEX(Pipeline_Calc!$H$2:$H$5251,Pipeline_Sort!$C61))</f>
        <v/>
      </c>
      <c r="H61">
        <f>IF(Pipeline_Sort!$C61="","",INDEX(Pipeline_Calc!$I$2:$I$5251,Pipeline_Sort!$C61))</f>
        <v/>
      </c>
      <c r="I61">
        <f>IF(Pipeline_Sort!$C61="","",INDEX(Pipeline_Calc!$J$2:$J$5251,Pipeline_Sort!$C61))</f>
        <v/>
      </c>
    </row>
    <row r="62">
      <c r="A62" s="22">
        <f>IF(Pipeline_Sort!$C62="","",INDEX(Pipeline_Calc!$B$2:$B$5251,Pipeline_Sort!$C62))</f>
        <v/>
      </c>
      <c r="B62">
        <f>IF(Pipeline_Sort!$C62="","",INDEX(Pipeline_Calc!$C$2:$C$5251,Pipeline_Sort!$C62))</f>
        <v/>
      </c>
      <c r="C62">
        <f>IF(Pipeline_Sort!$C62="","",INDEX(Pipeline_Calc!$D$2:$D$5251,Pipeline_Sort!$C62))</f>
        <v/>
      </c>
      <c r="D62">
        <f>IF(Pipeline_Sort!$C62="","",INDEX(Pipeline_Calc!$E$2:$E$5251,Pipeline_Sort!$C62))</f>
        <v/>
      </c>
      <c r="E62">
        <f>IF(Pipeline_Sort!$C62="","",INDEX(Pipeline_Calc!$F$2:$F$5251,Pipeline_Sort!$C62))</f>
        <v/>
      </c>
      <c r="F62">
        <f>IF(Pipeline_Sort!$C62="","",INDEX(Pipeline_Calc!$G$2:$G$5251,Pipeline_Sort!$C62))</f>
        <v/>
      </c>
      <c r="G62">
        <f>IF(Pipeline_Sort!$C62="","",INDEX(Pipeline_Calc!$H$2:$H$5251,Pipeline_Sort!$C62))</f>
        <v/>
      </c>
      <c r="H62">
        <f>IF(Pipeline_Sort!$C62="","",INDEX(Pipeline_Calc!$I$2:$I$5251,Pipeline_Sort!$C62))</f>
        <v/>
      </c>
      <c r="I62">
        <f>IF(Pipeline_Sort!$C62="","",INDEX(Pipeline_Calc!$J$2:$J$5251,Pipeline_Sort!$C62))</f>
        <v/>
      </c>
    </row>
    <row r="63">
      <c r="A63" s="22">
        <f>IF(Pipeline_Sort!$C63="","",INDEX(Pipeline_Calc!$B$2:$B$5251,Pipeline_Sort!$C63))</f>
        <v/>
      </c>
      <c r="B63">
        <f>IF(Pipeline_Sort!$C63="","",INDEX(Pipeline_Calc!$C$2:$C$5251,Pipeline_Sort!$C63))</f>
        <v/>
      </c>
      <c r="C63">
        <f>IF(Pipeline_Sort!$C63="","",INDEX(Pipeline_Calc!$D$2:$D$5251,Pipeline_Sort!$C63))</f>
        <v/>
      </c>
      <c r="D63">
        <f>IF(Pipeline_Sort!$C63="","",INDEX(Pipeline_Calc!$E$2:$E$5251,Pipeline_Sort!$C63))</f>
        <v/>
      </c>
      <c r="E63">
        <f>IF(Pipeline_Sort!$C63="","",INDEX(Pipeline_Calc!$F$2:$F$5251,Pipeline_Sort!$C63))</f>
        <v/>
      </c>
      <c r="F63">
        <f>IF(Pipeline_Sort!$C63="","",INDEX(Pipeline_Calc!$G$2:$G$5251,Pipeline_Sort!$C63))</f>
        <v/>
      </c>
      <c r="G63">
        <f>IF(Pipeline_Sort!$C63="","",INDEX(Pipeline_Calc!$H$2:$H$5251,Pipeline_Sort!$C63))</f>
        <v/>
      </c>
      <c r="H63">
        <f>IF(Pipeline_Sort!$C63="","",INDEX(Pipeline_Calc!$I$2:$I$5251,Pipeline_Sort!$C63))</f>
        <v/>
      </c>
      <c r="I63">
        <f>IF(Pipeline_Sort!$C63="","",INDEX(Pipeline_Calc!$J$2:$J$5251,Pipeline_Sort!$C63))</f>
        <v/>
      </c>
    </row>
    <row r="64">
      <c r="A64" s="22">
        <f>IF(Pipeline_Sort!$C64="","",INDEX(Pipeline_Calc!$B$2:$B$5251,Pipeline_Sort!$C64))</f>
        <v/>
      </c>
      <c r="B64">
        <f>IF(Pipeline_Sort!$C64="","",INDEX(Pipeline_Calc!$C$2:$C$5251,Pipeline_Sort!$C64))</f>
        <v/>
      </c>
      <c r="C64">
        <f>IF(Pipeline_Sort!$C64="","",INDEX(Pipeline_Calc!$D$2:$D$5251,Pipeline_Sort!$C64))</f>
        <v/>
      </c>
      <c r="D64">
        <f>IF(Pipeline_Sort!$C64="","",INDEX(Pipeline_Calc!$E$2:$E$5251,Pipeline_Sort!$C64))</f>
        <v/>
      </c>
      <c r="E64">
        <f>IF(Pipeline_Sort!$C64="","",INDEX(Pipeline_Calc!$F$2:$F$5251,Pipeline_Sort!$C64))</f>
        <v/>
      </c>
      <c r="F64">
        <f>IF(Pipeline_Sort!$C64="","",INDEX(Pipeline_Calc!$G$2:$G$5251,Pipeline_Sort!$C64))</f>
        <v/>
      </c>
      <c r="G64">
        <f>IF(Pipeline_Sort!$C64="","",INDEX(Pipeline_Calc!$H$2:$H$5251,Pipeline_Sort!$C64))</f>
        <v/>
      </c>
      <c r="H64">
        <f>IF(Pipeline_Sort!$C64="","",INDEX(Pipeline_Calc!$I$2:$I$5251,Pipeline_Sort!$C64))</f>
        <v/>
      </c>
      <c r="I64">
        <f>IF(Pipeline_Sort!$C64="","",INDEX(Pipeline_Calc!$J$2:$J$5251,Pipeline_Sort!$C64))</f>
        <v/>
      </c>
    </row>
    <row r="65">
      <c r="A65" s="22">
        <f>IF(Pipeline_Sort!$C65="","",INDEX(Pipeline_Calc!$B$2:$B$5251,Pipeline_Sort!$C65))</f>
        <v/>
      </c>
      <c r="B65">
        <f>IF(Pipeline_Sort!$C65="","",INDEX(Pipeline_Calc!$C$2:$C$5251,Pipeline_Sort!$C65))</f>
        <v/>
      </c>
      <c r="C65">
        <f>IF(Pipeline_Sort!$C65="","",INDEX(Pipeline_Calc!$D$2:$D$5251,Pipeline_Sort!$C65))</f>
        <v/>
      </c>
      <c r="D65">
        <f>IF(Pipeline_Sort!$C65="","",INDEX(Pipeline_Calc!$E$2:$E$5251,Pipeline_Sort!$C65))</f>
        <v/>
      </c>
      <c r="E65">
        <f>IF(Pipeline_Sort!$C65="","",INDEX(Pipeline_Calc!$F$2:$F$5251,Pipeline_Sort!$C65))</f>
        <v/>
      </c>
      <c r="F65">
        <f>IF(Pipeline_Sort!$C65="","",INDEX(Pipeline_Calc!$G$2:$G$5251,Pipeline_Sort!$C65))</f>
        <v/>
      </c>
      <c r="G65">
        <f>IF(Pipeline_Sort!$C65="","",INDEX(Pipeline_Calc!$H$2:$H$5251,Pipeline_Sort!$C65))</f>
        <v/>
      </c>
      <c r="H65">
        <f>IF(Pipeline_Sort!$C65="","",INDEX(Pipeline_Calc!$I$2:$I$5251,Pipeline_Sort!$C65))</f>
        <v/>
      </c>
      <c r="I65">
        <f>IF(Pipeline_Sort!$C65="","",INDEX(Pipeline_Calc!$J$2:$J$5251,Pipeline_Sort!$C65))</f>
        <v/>
      </c>
    </row>
    <row r="66">
      <c r="A66" s="22">
        <f>IF(Pipeline_Sort!$C66="","",INDEX(Pipeline_Calc!$B$2:$B$5251,Pipeline_Sort!$C66))</f>
        <v/>
      </c>
      <c r="B66">
        <f>IF(Pipeline_Sort!$C66="","",INDEX(Pipeline_Calc!$C$2:$C$5251,Pipeline_Sort!$C66))</f>
        <v/>
      </c>
      <c r="C66">
        <f>IF(Pipeline_Sort!$C66="","",INDEX(Pipeline_Calc!$D$2:$D$5251,Pipeline_Sort!$C66))</f>
        <v/>
      </c>
      <c r="D66">
        <f>IF(Pipeline_Sort!$C66="","",INDEX(Pipeline_Calc!$E$2:$E$5251,Pipeline_Sort!$C66))</f>
        <v/>
      </c>
      <c r="E66">
        <f>IF(Pipeline_Sort!$C66="","",INDEX(Pipeline_Calc!$F$2:$F$5251,Pipeline_Sort!$C66))</f>
        <v/>
      </c>
      <c r="F66">
        <f>IF(Pipeline_Sort!$C66="","",INDEX(Pipeline_Calc!$G$2:$G$5251,Pipeline_Sort!$C66))</f>
        <v/>
      </c>
      <c r="G66">
        <f>IF(Pipeline_Sort!$C66="","",INDEX(Pipeline_Calc!$H$2:$H$5251,Pipeline_Sort!$C66))</f>
        <v/>
      </c>
      <c r="H66">
        <f>IF(Pipeline_Sort!$C66="","",INDEX(Pipeline_Calc!$I$2:$I$5251,Pipeline_Sort!$C66))</f>
        <v/>
      </c>
      <c r="I66">
        <f>IF(Pipeline_Sort!$C66="","",INDEX(Pipeline_Calc!$J$2:$J$5251,Pipeline_Sort!$C66))</f>
        <v/>
      </c>
    </row>
    <row r="67">
      <c r="A67" s="22">
        <f>IF(Pipeline_Sort!$C67="","",INDEX(Pipeline_Calc!$B$2:$B$5251,Pipeline_Sort!$C67))</f>
        <v/>
      </c>
      <c r="B67">
        <f>IF(Pipeline_Sort!$C67="","",INDEX(Pipeline_Calc!$C$2:$C$5251,Pipeline_Sort!$C67))</f>
        <v/>
      </c>
      <c r="C67">
        <f>IF(Pipeline_Sort!$C67="","",INDEX(Pipeline_Calc!$D$2:$D$5251,Pipeline_Sort!$C67))</f>
        <v/>
      </c>
      <c r="D67">
        <f>IF(Pipeline_Sort!$C67="","",INDEX(Pipeline_Calc!$E$2:$E$5251,Pipeline_Sort!$C67))</f>
        <v/>
      </c>
      <c r="E67">
        <f>IF(Pipeline_Sort!$C67="","",INDEX(Pipeline_Calc!$F$2:$F$5251,Pipeline_Sort!$C67))</f>
        <v/>
      </c>
      <c r="F67">
        <f>IF(Pipeline_Sort!$C67="","",INDEX(Pipeline_Calc!$G$2:$G$5251,Pipeline_Sort!$C67))</f>
        <v/>
      </c>
      <c r="G67">
        <f>IF(Pipeline_Sort!$C67="","",INDEX(Pipeline_Calc!$H$2:$H$5251,Pipeline_Sort!$C67))</f>
        <v/>
      </c>
      <c r="H67">
        <f>IF(Pipeline_Sort!$C67="","",INDEX(Pipeline_Calc!$I$2:$I$5251,Pipeline_Sort!$C67))</f>
        <v/>
      </c>
      <c r="I67">
        <f>IF(Pipeline_Sort!$C67="","",INDEX(Pipeline_Calc!$J$2:$J$5251,Pipeline_Sort!$C67))</f>
        <v/>
      </c>
    </row>
    <row r="68">
      <c r="A68" s="22">
        <f>IF(Pipeline_Sort!$C68="","",INDEX(Pipeline_Calc!$B$2:$B$5251,Pipeline_Sort!$C68))</f>
        <v/>
      </c>
      <c r="B68">
        <f>IF(Pipeline_Sort!$C68="","",INDEX(Pipeline_Calc!$C$2:$C$5251,Pipeline_Sort!$C68))</f>
        <v/>
      </c>
      <c r="C68">
        <f>IF(Pipeline_Sort!$C68="","",INDEX(Pipeline_Calc!$D$2:$D$5251,Pipeline_Sort!$C68))</f>
        <v/>
      </c>
      <c r="D68">
        <f>IF(Pipeline_Sort!$C68="","",INDEX(Pipeline_Calc!$E$2:$E$5251,Pipeline_Sort!$C68))</f>
        <v/>
      </c>
      <c r="E68">
        <f>IF(Pipeline_Sort!$C68="","",INDEX(Pipeline_Calc!$F$2:$F$5251,Pipeline_Sort!$C68))</f>
        <v/>
      </c>
      <c r="F68">
        <f>IF(Pipeline_Sort!$C68="","",INDEX(Pipeline_Calc!$G$2:$G$5251,Pipeline_Sort!$C68))</f>
        <v/>
      </c>
      <c r="G68">
        <f>IF(Pipeline_Sort!$C68="","",INDEX(Pipeline_Calc!$H$2:$H$5251,Pipeline_Sort!$C68))</f>
        <v/>
      </c>
      <c r="H68">
        <f>IF(Pipeline_Sort!$C68="","",INDEX(Pipeline_Calc!$I$2:$I$5251,Pipeline_Sort!$C68))</f>
        <v/>
      </c>
      <c r="I68">
        <f>IF(Pipeline_Sort!$C68="","",INDEX(Pipeline_Calc!$J$2:$J$5251,Pipeline_Sort!$C68))</f>
        <v/>
      </c>
    </row>
    <row r="69">
      <c r="A69" s="22">
        <f>IF(Pipeline_Sort!$C69="","",INDEX(Pipeline_Calc!$B$2:$B$5251,Pipeline_Sort!$C69))</f>
        <v/>
      </c>
      <c r="B69">
        <f>IF(Pipeline_Sort!$C69="","",INDEX(Pipeline_Calc!$C$2:$C$5251,Pipeline_Sort!$C69))</f>
        <v/>
      </c>
      <c r="C69">
        <f>IF(Pipeline_Sort!$C69="","",INDEX(Pipeline_Calc!$D$2:$D$5251,Pipeline_Sort!$C69))</f>
        <v/>
      </c>
      <c r="D69">
        <f>IF(Pipeline_Sort!$C69="","",INDEX(Pipeline_Calc!$E$2:$E$5251,Pipeline_Sort!$C69))</f>
        <v/>
      </c>
      <c r="E69">
        <f>IF(Pipeline_Sort!$C69="","",INDEX(Pipeline_Calc!$F$2:$F$5251,Pipeline_Sort!$C69))</f>
        <v/>
      </c>
      <c r="F69">
        <f>IF(Pipeline_Sort!$C69="","",INDEX(Pipeline_Calc!$G$2:$G$5251,Pipeline_Sort!$C69))</f>
        <v/>
      </c>
      <c r="G69">
        <f>IF(Pipeline_Sort!$C69="","",INDEX(Pipeline_Calc!$H$2:$H$5251,Pipeline_Sort!$C69))</f>
        <v/>
      </c>
      <c r="H69">
        <f>IF(Pipeline_Sort!$C69="","",INDEX(Pipeline_Calc!$I$2:$I$5251,Pipeline_Sort!$C69))</f>
        <v/>
      </c>
      <c r="I69">
        <f>IF(Pipeline_Sort!$C69="","",INDEX(Pipeline_Calc!$J$2:$J$5251,Pipeline_Sort!$C69))</f>
        <v/>
      </c>
    </row>
    <row r="70">
      <c r="A70" s="22">
        <f>IF(Pipeline_Sort!$C70="","",INDEX(Pipeline_Calc!$B$2:$B$5251,Pipeline_Sort!$C70))</f>
        <v/>
      </c>
      <c r="B70">
        <f>IF(Pipeline_Sort!$C70="","",INDEX(Pipeline_Calc!$C$2:$C$5251,Pipeline_Sort!$C70))</f>
        <v/>
      </c>
      <c r="C70">
        <f>IF(Pipeline_Sort!$C70="","",INDEX(Pipeline_Calc!$D$2:$D$5251,Pipeline_Sort!$C70))</f>
        <v/>
      </c>
      <c r="D70">
        <f>IF(Pipeline_Sort!$C70="","",INDEX(Pipeline_Calc!$E$2:$E$5251,Pipeline_Sort!$C70))</f>
        <v/>
      </c>
      <c r="E70">
        <f>IF(Pipeline_Sort!$C70="","",INDEX(Pipeline_Calc!$F$2:$F$5251,Pipeline_Sort!$C70))</f>
        <v/>
      </c>
      <c r="F70">
        <f>IF(Pipeline_Sort!$C70="","",INDEX(Pipeline_Calc!$G$2:$G$5251,Pipeline_Sort!$C70))</f>
        <v/>
      </c>
      <c r="G70">
        <f>IF(Pipeline_Sort!$C70="","",INDEX(Pipeline_Calc!$H$2:$H$5251,Pipeline_Sort!$C70))</f>
        <v/>
      </c>
      <c r="H70">
        <f>IF(Pipeline_Sort!$C70="","",INDEX(Pipeline_Calc!$I$2:$I$5251,Pipeline_Sort!$C70))</f>
        <v/>
      </c>
      <c r="I70">
        <f>IF(Pipeline_Sort!$C70="","",INDEX(Pipeline_Calc!$J$2:$J$5251,Pipeline_Sort!$C70))</f>
        <v/>
      </c>
    </row>
    <row r="71">
      <c r="A71" s="22">
        <f>IF(Pipeline_Sort!$C71="","",INDEX(Pipeline_Calc!$B$2:$B$5251,Pipeline_Sort!$C71))</f>
        <v/>
      </c>
      <c r="B71">
        <f>IF(Pipeline_Sort!$C71="","",INDEX(Pipeline_Calc!$C$2:$C$5251,Pipeline_Sort!$C71))</f>
        <v/>
      </c>
      <c r="C71">
        <f>IF(Pipeline_Sort!$C71="","",INDEX(Pipeline_Calc!$D$2:$D$5251,Pipeline_Sort!$C71))</f>
        <v/>
      </c>
      <c r="D71">
        <f>IF(Pipeline_Sort!$C71="","",INDEX(Pipeline_Calc!$E$2:$E$5251,Pipeline_Sort!$C71))</f>
        <v/>
      </c>
      <c r="E71">
        <f>IF(Pipeline_Sort!$C71="","",INDEX(Pipeline_Calc!$F$2:$F$5251,Pipeline_Sort!$C71))</f>
        <v/>
      </c>
      <c r="F71">
        <f>IF(Pipeline_Sort!$C71="","",INDEX(Pipeline_Calc!$G$2:$G$5251,Pipeline_Sort!$C71))</f>
        <v/>
      </c>
      <c r="G71">
        <f>IF(Pipeline_Sort!$C71="","",INDEX(Pipeline_Calc!$H$2:$H$5251,Pipeline_Sort!$C71))</f>
        <v/>
      </c>
      <c r="H71">
        <f>IF(Pipeline_Sort!$C71="","",INDEX(Pipeline_Calc!$I$2:$I$5251,Pipeline_Sort!$C71))</f>
        <v/>
      </c>
      <c r="I71">
        <f>IF(Pipeline_Sort!$C71="","",INDEX(Pipeline_Calc!$J$2:$J$5251,Pipeline_Sort!$C71))</f>
        <v/>
      </c>
    </row>
    <row r="72">
      <c r="A72" s="22">
        <f>IF(Pipeline_Sort!$C72="","",INDEX(Pipeline_Calc!$B$2:$B$5251,Pipeline_Sort!$C72))</f>
        <v/>
      </c>
      <c r="B72">
        <f>IF(Pipeline_Sort!$C72="","",INDEX(Pipeline_Calc!$C$2:$C$5251,Pipeline_Sort!$C72))</f>
        <v/>
      </c>
      <c r="C72">
        <f>IF(Pipeline_Sort!$C72="","",INDEX(Pipeline_Calc!$D$2:$D$5251,Pipeline_Sort!$C72))</f>
        <v/>
      </c>
      <c r="D72">
        <f>IF(Pipeline_Sort!$C72="","",INDEX(Pipeline_Calc!$E$2:$E$5251,Pipeline_Sort!$C72))</f>
        <v/>
      </c>
      <c r="E72">
        <f>IF(Pipeline_Sort!$C72="","",INDEX(Pipeline_Calc!$F$2:$F$5251,Pipeline_Sort!$C72))</f>
        <v/>
      </c>
      <c r="F72">
        <f>IF(Pipeline_Sort!$C72="","",INDEX(Pipeline_Calc!$G$2:$G$5251,Pipeline_Sort!$C72))</f>
        <v/>
      </c>
      <c r="G72">
        <f>IF(Pipeline_Sort!$C72="","",INDEX(Pipeline_Calc!$H$2:$H$5251,Pipeline_Sort!$C72))</f>
        <v/>
      </c>
      <c r="H72">
        <f>IF(Pipeline_Sort!$C72="","",INDEX(Pipeline_Calc!$I$2:$I$5251,Pipeline_Sort!$C72))</f>
        <v/>
      </c>
      <c r="I72">
        <f>IF(Pipeline_Sort!$C72="","",INDEX(Pipeline_Calc!$J$2:$J$5251,Pipeline_Sort!$C72))</f>
        <v/>
      </c>
    </row>
    <row r="73">
      <c r="A73" s="22">
        <f>IF(Pipeline_Sort!$C73="","",INDEX(Pipeline_Calc!$B$2:$B$5251,Pipeline_Sort!$C73))</f>
        <v/>
      </c>
      <c r="B73">
        <f>IF(Pipeline_Sort!$C73="","",INDEX(Pipeline_Calc!$C$2:$C$5251,Pipeline_Sort!$C73))</f>
        <v/>
      </c>
      <c r="C73">
        <f>IF(Pipeline_Sort!$C73="","",INDEX(Pipeline_Calc!$D$2:$D$5251,Pipeline_Sort!$C73))</f>
        <v/>
      </c>
      <c r="D73">
        <f>IF(Pipeline_Sort!$C73="","",INDEX(Pipeline_Calc!$E$2:$E$5251,Pipeline_Sort!$C73))</f>
        <v/>
      </c>
      <c r="E73">
        <f>IF(Pipeline_Sort!$C73="","",INDEX(Pipeline_Calc!$F$2:$F$5251,Pipeline_Sort!$C73))</f>
        <v/>
      </c>
      <c r="F73">
        <f>IF(Pipeline_Sort!$C73="","",INDEX(Pipeline_Calc!$G$2:$G$5251,Pipeline_Sort!$C73))</f>
        <v/>
      </c>
      <c r="G73">
        <f>IF(Pipeline_Sort!$C73="","",INDEX(Pipeline_Calc!$H$2:$H$5251,Pipeline_Sort!$C73))</f>
        <v/>
      </c>
      <c r="H73">
        <f>IF(Pipeline_Sort!$C73="","",INDEX(Pipeline_Calc!$I$2:$I$5251,Pipeline_Sort!$C73))</f>
        <v/>
      </c>
      <c r="I73">
        <f>IF(Pipeline_Sort!$C73="","",INDEX(Pipeline_Calc!$J$2:$J$5251,Pipeline_Sort!$C73))</f>
        <v/>
      </c>
    </row>
    <row r="74">
      <c r="A74" s="22">
        <f>IF(Pipeline_Sort!$C74="","",INDEX(Pipeline_Calc!$B$2:$B$5251,Pipeline_Sort!$C74))</f>
        <v/>
      </c>
      <c r="B74">
        <f>IF(Pipeline_Sort!$C74="","",INDEX(Pipeline_Calc!$C$2:$C$5251,Pipeline_Sort!$C74))</f>
        <v/>
      </c>
      <c r="C74">
        <f>IF(Pipeline_Sort!$C74="","",INDEX(Pipeline_Calc!$D$2:$D$5251,Pipeline_Sort!$C74))</f>
        <v/>
      </c>
      <c r="D74">
        <f>IF(Pipeline_Sort!$C74="","",INDEX(Pipeline_Calc!$E$2:$E$5251,Pipeline_Sort!$C74))</f>
        <v/>
      </c>
      <c r="E74">
        <f>IF(Pipeline_Sort!$C74="","",INDEX(Pipeline_Calc!$F$2:$F$5251,Pipeline_Sort!$C74))</f>
        <v/>
      </c>
      <c r="F74">
        <f>IF(Pipeline_Sort!$C74="","",INDEX(Pipeline_Calc!$G$2:$G$5251,Pipeline_Sort!$C74))</f>
        <v/>
      </c>
      <c r="G74">
        <f>IF(Pipeline_Sort!$C74="","",INDEX(Pipeline_Calc!$H$2:$H$5251,Pipeline_Sort!$C74))</f>
        <v/>
      </c>
      <c r="H74">
        <f>IF(Pipeline_Sort!$C74="","",INDEX(Pipeline_Calc!$I$2:$I$5251,Pipeline_Sort!$C74))</f>
        <v/>
      </c>
      <c r="I74">
        <f>IF(Pipeline_Sort!$C74="","",INDEX(Pipeline_Calc!$J$2:$J$5251,Pipeline_Sort!$C74))</f>
        <v/>
      </c>
    </row>
    <row r="75">
      <c r="A75" s="22">
        <f>IF(Pipeline_Sort!$C75="","",INDEX(Pipeline_Calc!$B$2:$B$5251,Pipeline_Sort!$C75))</f>
        <v/>
      </c>
      <c r="B75">
        <f>IF(Pipeline_Sort!$C75="","",INDEX(Pipeline_Calc!$C$2:$C$5251,Pipeline_Sort!$C75))</f>
        <v/>
      </c>
      <c r="C75">
        <f>IF(Pipeline_Sort!$C75="","",INDEX(Pipeline_Calc!$D$2:$D$5251,Pipeline_Sort!$C75))</f>
        <v/>
      </c>
      <c r="D75">
        <f>IF(Pipeline_Sort!$C75="","",INDEX(Pipeline_Calc!$E$2:$E$5251,Pipeline_Sort!$C75))</f>
        <v/>
      </c>
      <c r="E75">
        <f>IF(Pipeline_Sort!$C75="","",INDEX(Pipeline_Calc!$F$2:$F$5251,Pipeline_Sort!$C75))</f>
        <v/>
      </c>
      <c r="F75">
        <f>IF(Pipeline_Sort!$C75="","",INDEX(Pipeline_Calc!$G$2:$G$5251,Pipeline_Sort!$C75))</f>
        <v/>
      </c>
      <c r="G75">
        <f>IF(Pipeline_Sort!$C75="","",INDEX(Pipeline_Calc!$H$2:$H$5251,Pipeline_Sort!$C75))</f>
        <v/>
      </c>
      <c r="H75">
        <f>IF(Pipeline_Sort!$C75="","",INDEX(Pipeline_Calc!$I$2:$I$5251,Pipeline_Sort!$C75))</f>
        <v/>
      </c>
      <c r="I75">
        <f>IF(Pipeline_Sort!$C75="","",INDEX(Pipeline_Calc!$J$2:$J$5251,Pipeline_Sort!$C75))</f>
        <v/>
      </c>
    </row>
    <row r="76">
      <c r="A76" s="22">
        <f>IF(Pipeline_Sort!$C76="","",INDEX(Pipeline_Calc!$B$2:$B$5251,Pipeline_Sort!$C76))</f>
        <v/>
      </c>
      <c r="B76">
        <f>IF(Pipeline_Sort!$C76="","",INDEX(Pipeline_Calc!$C$2:$C$5251,Pipeline_Sort!$C76))</f>
        <v/>
      </c>
      <c r="C76">
        <f>IF(Pipeline_Sort!$C76="","",INDEX(Pipeline_Calc!$D$2:$D$5251,Pipeline_Sort!$C76))</f>
        <v/>
      </c>
      <c r="D76">
        <f>IF(Pipeline_Sort!$C76="","",INDEX(Pipeline_Calc!$E$2:$E$5251,Pipeline_Sort!$C76))</f>
        <v/>
      </c>
      <c r="E76">
        <f>IF(Pipeline_Sort!$C76="","",INDEX(Pipeline_Calc!$F$2:$F$5251,Pipeline_Sort!$C76))</f>
        <v/>
      </c>
      <c r="F76">
        <f>IF(Pipeline_Sort!$C76="","",INDEX(Pipeline_Calc!$G$2:$G$5251,Pipeline_Sort!$C76))</f>
        <v/>
      </c>
      <c r="G76">
        <f>IF(Pipeline_Sort!$C76="","",INDEX(Pipeline_Calc!$H$2:$H$5251,Pipeline_Sort!$C76))</f>
        <v/>
      </c>
      <c r="H76">
        <f>IF(Pipeline_Sort!$C76="","",INDEX(Pipeline_Calc!$I$2:$I$5251,Pipeline_Sort!$C76))</f>
        <v/>
      </c>
      <c r="I76">
        <f>IF(Pipeline_Sort!$C76="","",INDEX(Pipeline_Calc!$J$2:$J$5251,Pipeline_Sort!$C76))</f>
        <v/>
      </c>
    </row>
    <row r="77">
      <c r="A77" s="22">
        <f>IF(Pipeline_Sort!$C77="","",INDEX(Pipeline_Calc!$B$2:$B$5251,Pipeline_Sort!$C77))</f>
        <v/>
      </c>
      <c r="B77">
        <f>IF(Pipeline_Sort!$C77="","",INDEX(Pipeline_Calc!$C$2:$C$5251,Pipeline_Sort!$C77))</f>
        <v/>
      </c>
      <c r="C77">
        <f>IF(Pipeline_Sort!$C77="","",INDEX(Pipeline_Calc!$D$2:$D$5251,Pipeline_Sort!$C77))</f>
        <v/>
      </c>
      <c r="D77">
        <f>IF(Pipeline_Sort!$C77="","",INDEX(Pipeline_Calc!$E$2:$E$5251,Pipeline_Sort!$C77))</f>
        <v/>
      </c>
      <c r="E77">
        <f>IF(Pipeline_Sort!$C77="","",INDEX(Pipeline_Calc!$F$2:$F$5251,Pipeline_Sort!$C77))</f>
        <v/>
      </c>
      <c r="F77">
        <f>IF(Pipeline_Sort!$C77="","",INDEX(Pipeline_Calc!$G$2:$G$5251,Pipeline_Sort!$C77))</f>
        <v/>
      </c>
      <c r="G77">
        <f>IF(Pipeline_Sort!$C77="","",INDEX(Pipeline_Calc!$H$2:$H$5251,Pipeline_Sort!$C77))</f>
        <v/>
      </c>
      <c r="H77">
        <f>IF(Pipeline_Sort!$C77="","",INDEX(Pipeline_Calc!$I$2:$I$5251,Pipeline_Sort!$C77))</f>
        <v/>
      </c>
      <c r="I77">
        <f>IF(Pipeline_Sort!$C77="","",INDEX(Pipeline_Calc!$J$2:$J$5251,Pipeline_Sort!$C77))</f>
        <v/>
      </c>
    </row>
    <row r="78">
      <c r="A78" s="22">
        <f>IF(Pipeline_Sort!$C78="","",INDEX(Pipeline_Calc!$B$2:$B$5251,Pipeline_Sort!$C78))</f>
        <v/>
      </c>
      <c r="B78">
        <f>IF(Pipeline_Sort!$C78="","",INDEX(Pipeline_Calc!$C$2:$C$5251,Pipeline_Sort!$C78))</f>
        <v/>
      </c>
      <c r="C78">
        <f>IF(Pipeline_Sort!$C78="","",INDEX(Pipeline_Calc!$D$2:$D$5251,Pipeline_Sort!$C78))</f>
        <v/>
      </c>
      <c r="D78">
        <f>IF(Pipeline_Sort!$C78="","",INDEX(Pipeline_Calc!$E$2:$E$5251,Pipeline_Sort!$C78))</f>
        <v/>
      </c>
      <c r="E78">
        <f>IF(Pipeline_Sort!$C78="","",INDEX(Pipeline_Calc!$F$2:$F$5251,Pipeline_Sort!$C78))</f>
        <v/>
      </c>
      <c r="F78">
        <f>IF(Pipeline_Sort!$C78="","",INDEX(Pipeline_Calc!$G$2:$G$5251,Pipeline_Sort!$C78))</f>
        <v/>
      </c>
      <c r="G78">
        <f>IF(Pipeline_Sort!$C78="","",INDEX(Pipeline_Calc!$H$2:$H$5251,Pipeline_Sort!$C78))</f>
        <v/>
      </c>
      <c r="H78">
        <f>IF(Pipeline_Sort!$C78="","",INDEX(Pipeline_Calc!$I$2:$I$5251,Pipeline_Sort!$C78))</f>
        <v/>
      </c>
      <c r="I78">
        <f>IF(Pipeline_Sort!$C78="","",INDEX(Pipeline_Calc!$J$2:$J$5251,Pipeline_Sort!$C78))</f>
        <v/>
      </c>
    </row>
    <row r="79">
      <c r="A79" s="22">
        <f>IF(Pipeline_Sort!$C79="","",INDEX(Pipeline_Calc!$B$2:$B$5251,Pipeline_Sort!$C79))</f>
        <v/>
      </c>
      <c r="B79">
        <f>IF(Pipeline_Sort!$C79="","",INDEX(Pipeline_Calc!$C$2:$C$5251,Pipeline_Sort!$C79))</f>
        <v/>
      </c>
      <c r="C79">
        <f>IF(Pipeline_Sort!$C79="","",INDEX(Pipeline_Calc!$D$2:$D$5251,Pipeline_Sort!$C79))</f>
        <v/>
      </c>
      <c r="D79">
        <f>IF(Pipeline_Sort!$C79="","",INDEX(Pipeline_Calc!$E$2:$E$5251,Pipeline_Sort!$C79))</f>
        <v/>
      </c>
      <c r="E79">
        <f>IF(Pipeline_Sort!$C79="","",INDEX(Pipeline_Calc!$F$2:$F$5251,Pipeline_Sort!$C79))</f>
        <v/>
      </c>
      <c r="F79">
        <f>IF(Pipeline_Sort!$C79="","",INDEX(Pipeline_Calc!$G$2:$G$5251,Pipeline_Sort!$C79))</f>
        <v/>
      </c>
      <c r="G79">
        <f>IF(Pipeline_Sort!$C79="","",INDEX(Pipeline_Calc!$H$2:$H$5251,Pipeline_Sort!$C79))</f>
        <v/>
      </c>
      <c r="H79">
        <f>IF(Pipeline_Sort!$C79="","",INDEX(Pipeline_Calc!$I$2:$I$5251,Pipeline_Sort!$C79))</f>
        <v/>
      </c>
      <c r="I79">
        <f>IF(Pipeline_Sort!$C79="","",INDEX(Pipeline_Calc!$J$2:$J$5251,Pipeline_Sort!$C79))</f>
        <v/>
      </c>
    </row>
    <row r="80">
      <c r="A80" s="22">
        <f>IF(Pipeline_Sort!$C80="","",INDEX(Pipeline_Calc!$B$2:$B$5251,Pipeline_Sort!$C80))</f>
        <v/>
      </c>
      <c r="B80">
        <f>IF(Pipeline_Sort!$C80="","",INDEX(Pipeline_Calc!$C$2:$C$5251,Pipeline_Sort!$C80))</f>
        <v/>
      </c>
      <c r="C80">
        <f>IF(Pipeline_Sort!$C80="","",INDEX(Pipeline_Calc!$D$2:$D$5251,Pipeline_Sort!$C80))</f>
        <v/>
      </c>
      <c r="D80">
        <f>IF(Pipeline_Sort!$C80="","",INDEX(Pipeline_Calc!$E$2:$E$5251,Pipeline_Sort!$C80))</f>
        <v/>
      </c>
      <c r="E80">
        <f>IF(Pipeline_Sort!$C80="","",INDEX(Pipeline_Calc!$F$2:$F$5251,Pipeline_Sort!$C80))</f>
        <v/>
      </c>
      <c r="F80">
        <f>IF(Pipeline_Sort!$C80="","",INDEX(Pipeline_Calc!$G$2:$G$5251,Pipeline_Sort!$C80))</f>
        <v/>
      </c>
      <c r="G80">
        <f>IF(Pipeline_Sort!$C80="","",INDEX(Pipeline_Calc!$H$2:$H$5251,Pipeline_Sort!$C80))</f>
        <v/>
      </c>
      <c r="H80">
        <f>IF(Pipeline_Sort!$C80="","",INDEX(Pipeline_Calc!$I$2:$I$5251,Pipeline_Sort!$C80))</f>
        <v/>
      </c>
      <c r="I80">
        <f>IF(Pipeline_Sort!$C80="","",INDEX(Pipeline_Calc!$J$2:$J$5251,Pipeline_Sort!$C80))</f>
        <v/>
      </c>
    </row>
    <row r="81">
      <c r="A81" s="22">
        <f>IF(Pipeline_Sort!$C81="","",INDEX(Pipeline_Calc!$B$2:$B$5251,Pipeline_Sort!$C81))</f>
        <v/>
      </c>
      <c r="B81">
        <f>IF(Pipeline_Sort!$C81="","",INDEX(Pipeline_Calc!$C$2:$C$5251,Pipeline_Sort!$C81))</f>
        <v/>
      </c>
      <c r="C81">
        <f>IF(Pipeline_Sort!$C81="","",INDEX(Pipeline_Calc!$D$2:$D$5251,Pipeline_Sort!$C81))</f>
        <v/>
      </c>
      <c r="D81">
        <f>IF(Pipeline_Sort!$C81="","",INDEX(Pipeline_Calc!$E$2:$E$5251,Pipeline_Sort!$C81))</f>
        <v/>
      </c>
      <c r="E81">
        <f>IF(Pipeline_Sort!$C81="","",INDEX(Pipeline_Calc!$F$2:$F$5251,Pipeline_Sort!$C81))</f>
        <v/>
      </c>
      <c r="F81">
        <f>IF(Pipeline_Sort!$C81="","",INDEX(Pipeline_Calc!$G$2:$G$5251,Pipeline_Sort!$C81))</f>
        <v/>
      </c>
      <c r="G81">
        <f>IF(Pipeline_Sort!$C81="","",INDEX(Pipeline_Calc!$H$2:$H$5251,Pipeline_Sort!$C81))</f>
        <v/>
      </c>
      <c r="H81">
        <f>IF(Pipeline_Sort!$C81="","",INDEX(Pipeline_Calc!$I$2:$I$5251,Pipeline_Sort!$C81))</f>
        <v/>
      </c>
      <c r="I81">
        <f>IF(Pipeline_Sort!$C81="","",INDEX(Pipeline_Calc!$J$2:$J$5251,Pipeline_Sort!$C81))</f>
        <v/>
      </c>
    </row>
    <row r="82">
      <c r="A82" s="22">
        <f>IF(Pipeline_Sort!$C82="","",INDEX(Pipeline_Calc!$B$2:$B$5251,Pipeline_Sort!$C82))</f>
        <v/>
      </c>
      <c r="B82">
        <f>IF(Pipeline_Sort!$C82="","",INDEX(Pipeline_Calc!$C$2:$C$5251,Pipeline_Sort!$C82))</f>
        <v/>
      </c>
      <c r="C82">
        <f>IF(Pipeline_Sort!$C82="","",INDEX(Pipeline_Calc!$D$2:$D$5251,Pipeline_Sort!$C82))</f>
        <v/>
      </c>
      <c r="D82">
        <f>IF(Pipeline_Sort!$C82="","",INDEX(Pipeline_Calc!$E$2:$E$5251,Pipeline_Sort!$C82))</f>
        <v/>
      </c>
      <c r="E82">
        <f>IF(Pipeline_Sort!$C82="","",INDEX(Pipeline_Calc!$F$2:$F$5251,Pipeline_Sort!$C82))</f>
        <v/>
      </c>
      <c r="F82">
        <f>IF(Pipeline_Sort!$C82="","",INDEX(Pipeline_Calc!$G$2:$G$5251,Pipeline_Sort!$C82))</f>
        <v/>
      </c>
      <c r="G82">
        <f>IF(Pipeline_Sort!$C82="","",INDEX(Pipeline_Calc!$H$2:$H$5251,Pipeline_Sort!$C82))</f>
        <v/>
      </c>
      <c r="H82">
        <f>IF(Pipeline_Sort!$C82="","",INDEX(Pipeline_Calc!$I$2:$I$5251,Pipeline_Sort!$C82))</f>
        <v/>
      </c>
      <c r="I82">
        <f>IF(Pipeline_Sort!$C82="","",INDEX(Pipeline_Calc!$J$2:$J$5251,Pipeline_Sort!$C82))</f>
        <v/>
      </c>
    </row>
    <row r="83">
      <c r="A83" s="22">
        <f>IF(Pipeline_Sort!$C83="","",INDEX(Pipeline_Calc!$B$2:$B$5251,Pipeline_Sort!$C83))</f>
        <v/>
      </c>
      <c r="B83">
        <f>IF(Pipeline_Sort!$C83="","",INDEX(Pipeline_Calc!$C$2:$C$5251,Pipeline_Sort!$C83))</f>
        <v/>
      </c>
      <c r="C83">
        <f>IF(Pipeline_Sort!$C83="","",INDEX(Pipeline_Calc!$D$2:$D$5251,Pipeline_Sort!$C83))</f>
        <v/>
      </c>
      <c r="D83">
        <f>IF(Pipeline_Sort!$C83="","",INDEX(Pipeline_Calc!$E$2:$E$5251,Pipeline_Sort!$C83))</f>
        <v/>
      </c>
      <c r="E83">
        <f>IF(Pipeline_Sort!$C83="","",INDEX(Pipeline_Calc!$F$2:$F$5251,Pipeline_Sort!$C83))</f>
        <v/>
      </c>
      <c r="F83">
        <f>IF(Pipeline_Sort!$C83="","",INDEX(Pipeline_Calc!$G$2:$G$5251,Pipeline_Sort!$C83))</f>
        <v/>
      </c>
      <c r="G83">
        <f>IF(Pipeline_Sort!$C83="","",INDEX(Pipeline_Calc!$H$2:$H$5251,Pipeline_Sort!$C83))</f>
        <v/>
      </c>
      <c r="H83">
        <f>IF(Pipeline_Sort!$C83="","",INDEX(Pipeline_Calc!$I$2:$I$5251,Pipeline_Sort!$C83))</f>
        <v/>
      </c>
      <c r="I83">
        <f>IF(Pipeline_Sort!$C83="","",INDEX(Pipeline_Calc!$J$2:$J$5251,Pipeline_Sort!$C83))</f>
        <v/>
      </c>
    </row>
    <row r="84">
      <c r="A84" s="22">
        <f>IF(Pipeline_Sort!$C84="","",INDEX(Pipeline_Calc!$B$2:$B$5251,Pipeline_Sort!$C84))</f>
        <v/>
      </c>
      <c r="B84">
        <f>IF(Pipeline_Sort!$C84="","",INDEX(Pipeline_Calc!$C$2:$C$5251,Pipeline_Sort!$C84))</f>
        <v/>
      </c>
      <c r="C84">
        <f>IF(Pipeline_Sort!$C84="","",INDEX(Pipeline_Calc!$D$2:$D$5251,Pipeline_Sort!$C84))</f>
        <v/>
      </c>
      <c r="D84">
        <f>IF(Pipeline_Sort!$C84="","",INDEX(Pipeline_Calc!$E$2:$E$5251,Pipeline_Sort!$C84))</f>
        <v/>
      </c>
      <c r="E84">
        <f>IF(Pipeline_Sort!$C84="","",INDEX(Pipeline_Calc!$F$2:$F$5251,Pipeline_Sort!$C84))</f>
        <v/>
      </c>
      <c r="F84">
        <f>IF(Pipeline_Sort!$C84="","",INDEX(Pipeline_Calc!$G$2:$G$5251,Pipeline_Sort!$C84))</f>
        <v/>
      </c>
      <c r="G84">
        <f>IF(Pipeline_Sort!$C84="","",INDEX(Pipeline_Calc!$H$2:$H$5251,Pipeline_Sort!$C84))</f>
        <v/>
      </c>
      <c r="H84">
        <f>IF(Pipeline_Sort!$C84="","",INDEX(Pipeline_Calc!$I$2:$I$5251,Pipeline_Sort!$C84))</f>
        <v/>
      </c>
      <c r="I84">
        <f>IF(Pipeline_Sort!$C84="","",INDEX(Pipeline_Calc!$J$2:$J$5251,Pipeline_Sort!$C84))</f>
        <v/>
      </c>
    </row>
    <row r="85">
      <c r="A85" s="22">
        <f>IF(Pipeline_Sort!$C85="","",INDEX(Pipeline_Calc!$B$2:$B$5251,Pipeline_Sort!$C85))</f>
        <v/>
      </c>
      <c r="B85">
        <f>IF(Pipeline_Sort!$C85="","",INDEX(Pipeline_Calc!$C$2:$C$5251,Pipeline_Sort!$C85))</f>
        <v/>
      </c>
      <c r="C85">
        <f>IF(Pipeline_Sort!$C85="","",INDEX(Pipeline_Calc!$D$2:$D$5251,Pipeline_Sort!$C85))</f>
        <v/>
      </c>
      <c r="D85">
        <f>IF(Pipeline_Sort!$C85="","",INDEX(Pipeline_Calc!$E$2:$E$5251,Pipeline_Sort!$C85))</f>
        <v/>
      </c>
      <c r="E85">
        <f>IF(Pipeline_Sort!$C85="","",INDEX(Pipeline_Calc!$F$2:$F$5251,Pipeline_Sort!$C85))</f>
        <v/>
      </c>
      <c r="F85">
        <f>IF(Pipeline_Sort!$C85="","",INDEX(Pipeline_Calc!$G$2:$G$5251,Pipeline_Sort!$C85))</f>
        <v/>
      </c>
      <c r="G85">
        <f>IF(Pipeline_Sort!$C85="","",INDEX(Pipeline_Calc!$H$2:$H$5251,Pipeline_Sort!$C85))</f>
        <v/>
      </c>
      <c r="H85">
        <f>IF(Pipeline_Sort!$C85="","",INDEX(Pipeline_Calc!$I$2:$I$5251,Pipeline_Sort!$C85))</f>
        <v/>
      </c>
      <c r="I85">
        <f>IF(Pipeline_Sort!$C85="","",INDEX(Pipeline_Calc!$J$2:$J$5251,Pipeline_Sort!$C85))</f>
        <v/>
      </c>
    </row>
    <row r="86">
      <c r="A86" s="22">
        <f>IF(Pipeline_Sort!$C86="","",INDEX(Pipeline_Calc!$B$2:$B$5251,Pipeline_Sort!$C86))</f>
        <v/>
      </c>
      <c r="B86">
        <f>IF(Pipeline_Sort!$C86="","",INDEX(Pipeline_Calc!$C$2:$C$5251,Pipeline_Sort!$C86))</f>
        <v/>
      </c>
      <c r="C86">
        <f>IF(Pipeline_Sort!$C86="","",INDEX(Pipeline_Calc!$D$2:$D$5251,Pipeline_Sort!$C86))</f>
        <v/>
      </c>
      <c r="D86">
        <f>IF(Pipeline_Sort!$C86="","",INDEX(Pipeline_Calc!$E$2:$E$5251,Pipeline_Sort!$C86))</f>
        <v/>
      </c>
      <c r="E86">
        <f>IF(Pipeline_Sort!$C86="","",INDEX(Pipeline_Calc!$F$2:$F$5251,Pipeline_Sort!$C86))</f>
        <v/>
      </c>
      <c r="F86">
        <f>IF(Pipeline_Sort!$C86="","",INDEX(Pipeline_Calc!$G$2:$G$5251,Pipeline_Sort!$C86))</f>
        <v/>
      </c>
      <c r="G86">
        <f>IF(Pipeline_Sort!$C86="","",INDEX(Pipeline_Calc!$H$2:$H$5251,Pipeline_Sort!$C86))</f>
        <v/>
      </c>
      <c r="H86">
        <f>IF(Pipeline_Sort!$C86="","",INDEX(Pipeline_Calc!$I$2:$I$5251,Pipeline_Sort!$C86))</f>
        <v/>
      </c>
      <c r="I86">
        <f>IF(Pipeline_Sort!$C86="","",INDEX(Pipeline_Calc!$J$2:$J$5251,Pipeline_Sort!$C86))</f>
        <v/>
      </c>
    </row>
    <row r="87">
      <c r="A87" s="22">
        <f>IF(Pipeline_Sort!$C87="","",INDEX(Pipeline_Calc!$B$2:$B$5251,Pipeline_Sort!$C87))</f>
        <v/>
      </c>
      <c r="B87">
        <f>IF(Pipeline_Sort!$C87="","",INDEX(Pipeline_Calc!$C$2:$C$5251,Pipeline_Sort!$C87))</f>
        <v/>
      </c>
      <c r="C87">
        <f>IF(Pipeline_Sort!$C87="","",INDEX(Pipeline_Calc!$D$2:$D$5251,Pipeline_Sort!$C87))</f>
        <v/>
      </c>
      <c r="D87">
        <f>IF(Pipeline_Sort!$C87="","",INDEX(Pipeline_Calc!$E$2:$E$5251,Pipeline_Sort!$C87))</f>
        <v/>
      </c>
      <c r="E87">
        <f>IF(Pipeline_Sort!$C87="","",INDEX(Pipeline_Calc!$F$2:$F$5251,Pipeline_Sort!$C87))</f>
        <v/>
      </c>
      <c r="F87">
        <f>IF(Pipeline_Sort!$C87="","",INDEX(Pipeline_Calc!$G$2:$G$5251,Pipeline_Sort!$C87))</f>
        <v/>
      </c>
      <c r="G87">
        <f>IF(Pipeline_Sort!$C87="","",INDEX(Pipeline_Calc!$H$2:$H$5251,Pipeline_Sort!$C87))</f>
        <v/>
      </c>
      <c r="H87">
        <f>IF(Pipeline_Sort!$C87="","",INDEX(Pipeline_Calc!$I$2:$I$5251,Pipeline_Sort!$C87))</f>
        <v/>
      </c>
      <c r="I87">
        <f>IF(Pipeline_Sort!$C87="","",INDEX(Pipeline_Calc!$J$2:$J$5251,Pipeline_Sort!$C87))</f>
        <v/>
      </c>
    </row>
    <row r="88">
      <c r="A88" s="22">
        <f>IF(Pipeline_Sort!$C88="","",INDEX(Pipeline_Calc!$B$2:$B$5251,Pipeline_Sort!$C88))</f>
        <v/>
      </c>
      <c r="B88">
        <f>IF(Pipeline_Sort!$C88="","",INDEX(Pipeline_Calc!$C$2:$C$5251,Pipeline_Sort!$C88))</f>
        <v/>
      </c>
      <c r="C88">
        <f>IF(Pipeline_Sort!$C88="","",INDEX(Pipeline_Calc!$D$2:$D$5251,Pipeline_Sort!$C88))</f>
        <v/>
      </c>
      <c r="D88">
        <f>IF(Pipeline_Sort!$C88="","",INDEX(Pipeline_Calc!$E$2:$E$5251,Pipeline_Sort!$C88))</f>
        <v/>
      </c>
      <c r="E88">
        <f>IF(Pipeline_Sort!$C88="","",INDEX(Pipeline_Calc!$F$2:$F$5251,Pipeline_Sort!$C88))</f>
        <v/>
      </c>
      <c r="F88">
        <f>IF(Pipeline_Sort!$C88="","",INDEX(Pipeline_Calc!$G$2:$G$5251,Pipeline_Sort!$C88))</f>
        <v/>
      </c>
      <c r="G88">
        <f>IF(Pipeline_Sort!$C88="","",INDEX(Pipeline_Calc!$H$2:$H$5251,Pipeline_Sort!$C88))</f>
        <v/>
      </c>
      <c r="H88">
        <f>IF(Pipeline_Sort!$C88="","",INDEX(Pipeline_Calc!$I$2:$I$5251,Pipeline_Sort!$C88))</f>
        <v/>
      </c>
      <c r="I88">
        <f>IF(Pipeline_Sort!$C88="","",INDEX(Pipeline_Calc!$J$2:$J$5251,Pipeline_Sort!$C88))</f>
        <v/>
      </c>
    </row>
    <row r="89">
      <c r="A89" s="22">
        <f>IF(Pipeline_Sort!$C89="","",INDEX(Pipeline_Calc!$B$2:$B$5251,Pipeline_Sort!$C89))</f>
        <v/>
      </c>
      <c r="B89">
        <f>IF(Pipeline_Sort!$C89="","",INDEX(Pipeline_Calc!$C$2:$C$5251,Pipeline_Sort!$C89))</f>
        <v/>
      </c>
      <c r="C89">
        <f>IF(Pipeline_Sort!$C89="","",INDEX(Pipeline_Calc!$D$2:$D$5251,Pipeline_Sort!$C89))</f>
        <v/>
      </c>
      <c r="D89">
        <f>IF(Pipeline_Sort!$C89="","",INDEX(Pipeline_Calc!$E$2:$E$5251,Pipeline_Sort!$C89))</f>
        <v/>
      </c>
      <c r="E89">
        <f>IF(Pipeline_Sort!$C89="","",INDEX(Pipeline_Calc!$F$2:$F$5251,Pipeline_Sort!$C89))</f>
        <v/>
      </c>
      <c r="F89">
        <f>IF(Pipeline_Sort!$C89="","",INDEX(Pipeline_Calc!$G$2:$G$5251,Pipeline_Sort!$C89))</f>
        <v/>
      </c>
      <c r="G89">
        <f>IF(Pipeline_Sort!$C89="","",INDEX(Pipeline_Calc!$H$2:$H$5251,Pipeline_Sort!$C89))</f>
        <v/>
      </c>
      <c r="H89">
        <f>IF(Pipeline_Sort!$C89="","",INDEX(Pipeline_Calc!$I$2:$I$5251,Pipeline_Sort!$C89))</f>
        <v/>
      </c>
      <c r="I89">
        <f>IF(Pipeline_Sort!$C89="","",INDEX(Pipeline_Calc!$J$2:$J$5251,Pipeline_Sort!$C89))</f>
        <v/>
      </c>
    </row>
    <row r="90">
      <c r="A90" s="22">
        <f>IF(Pipeline_Sort!$C90="","",INDEX(Pipeline_Calc!$B$2:$B$5251,Pipeline_Sort!$C90))</f>
        <v/>
      </c>
      <c r="B90">
        <f>IF(Pipeline_Sort!$C90="","",INDEX(Pipeline_Calc!$C$2:$C$5251,Pipeline_Sort!$C90))</f>
        <v/>
      </c>
      <c r="C90">
        <f>IF(Pipeline_Sort!$C90="","",INDEX(Pipeline_Calc!$D$2:$D$5251,Pipeline_Sort!$C90))</f>
        <v/>
      </c>
      <c r="D90">
        <f>IF(Pipeline_Sort!$C90="","",INDEX(Pipeline_Calc!$E$2:$E$5251,Pipeline_Sort!$C90))</f>
        <v/>
      </c>
      <c r="E90">
        <f>IF(Pipeline_Sort!$C90="","",INDEX(Pipeline_Calc!$F$2:$F$5251,Pipeline_Sort!$C90))</f>
        <v/>
      </c>
      <c r="F90">
        <f>IF(Pipeline_Sort!$C90="","",INDEX(Pipeline_Calc!$G$2:$G$5251,Pipeline_Sort!$C90))</f>
        <v/>
      </c>
      <c r="G90">
        <f>IF(Pipeline_Sort!$C90="","",INDEX(Pipeline_Calc!$H$2:$H$5251,Pipeline_Sort!$C90))</f>
        <v/>
      </c>
      <c r="H90">
        <f>IF(Pipeline_Sort!$C90="","",INDEX(Pipeline_Calc!$I$2:$I$5251,Pipeline_Sort!$C90))</f>
        <v/>
      </c>
      <c r="I90">
        <f>IF(Pipeline_Sort!$C90="","",INDEX(Pipeline_Calc!$J$2:$J$5251,Pipeline_Sort!$C90))</f>
        <v/>
      </c>
    </row>
    <row r="91">
      <c r="A91" s="22">
        <f>IF(Pipeline_Sort!$C91="","",INDEX(Pipeline_Calc!$B$2:$B$5251,Pipeline_Sort!$C91))</f>
        <v/>
      </c>
      <c r="B91">
        <f>IF(Pipeline_Sort!$C91="","",INDEX(Pipeline_Calc!$C$2:$C$5251,Pipeline_Sort!$C91))</f>
        <v/>
      </c>
      <c r="C91">
        <f>IF(Pipeline_Sort!$C91="","",INDEX(Pipeline_Calc!$D$2:$D$5251,Pipeline_Sort!$C91))</f>
        <v/>
      </c>
      <c r="D91">
        <f>IF(Pipeline_Sort!$C91="","",INDEX(Pipeline_Calc!$E$2:$E$5251,Pipeline_Sort!$C91))</f>
        <v/>
      </c>
      <c r="E91">
        <f>IF(Pipeline_Sort!$C91="","",INDEX(Pipeline_Calc!$F$2:$F$5251,Pipeline_Sort!$C91))</f>
        <v/>
      </c>
      <c r="F91">
        <f>IF(Pipeline_Sort!$C91="","",INDEX(Pipeline_Calc!$G$2:$G$5251,Pipeline_Sort!$C91))</f>
        <v/>
      </c>
      <c r="G91">
        <f>IF(Pipeline_Sort!$C91="","",INDEX(Pipeline_Calc!$H$2:$H$5251,Pipeline_Sort!$C91))</f>
        <v/>
      </c>
      <c r="H91">
        <f>IF(Pipeline_Sort!$C91="","",INDEX(Pipeline_Calc!$I$2:$I$5251,Pipeline_Sort!$C91))</f>
        <v/>
      </c>
      <c r="I91">
        <f>IF(Pipeline_Sort!$C91="","",INDEX(Pipeline_Calc!$J$2:$J$5251,Pipeline_Sort!$C91))</f>
        <v/>
      </c>
    </row>
    <row r="92">
      <c r="A92" s="22">
        <f>IF(Pipeline_Sort!$C92="","",INDEX(Pipeline_Calc!$B$2:$B$5251,Pipeline_Sort!$C92))</f>
        <v/>
      </c>
      <c r="B92">
        <f>IF(Pipeline_Sort!$C92="","",INDEX(Pipeline_Calc!$C$2:$C$5251,Pipeline_Sort!$C92))</f>
        <v/>
      </c>
      <c r="C92">
        <f>IF(Pipeline_Sort!$C92="","",INDEX(Pipeline_Calc!$D$2:$D$5251,Pipeline_Sort!$C92))</f>
        <v/>
      </c>
      <c r="D92">
        <f>IF(Pipeline_Sort!$C92="","",INDEX(Pipeline_Calc!$E$2:$E$5251,Pipeline_Sort!$C92))</f>
        <v/>
      </c>
      <c r="E92">
        <f>IF(Pipeline_Sort!$C92="","",INDEX(Pipeline_Calc!$F$2:$F$5251,Pipeline_Sort!$C92))</f>
        <v/>
      </c>
      <c r="F92">
        <f>IF(Pipeline_Sort!$C92="","",INDEX(Pipeline_Calc!$G$2:$G$5251,Pipeline_Sort!$C92))</f>
        <v/>
      </c>
      <c r="G92">
        <f>IF(Pipeline_Sort!$C92="","",INDEX(Pipeline_Calc!$H$2:$H$5251,Pipeline_Sort!$C92))</f>
        <v/>
      </c>
      <c r="H92">
        <f>IF(Pipeline_Sort!$C92="","",INDEX(Pipeline_Calc!$I$2:$I$5251,Pipeline_Sort!$C92))</f>
        <v/>
      </c>
      <c r="I92">
        <f>IF(Pipeline_Sort!$C92="","",INDEX(Pipeline_Calc!$J$2:$J$5251,Pipeline_Sort!$C92))</f>
        <v/>
      </c>
    </row>
    <row r="93">
      <c r="A93" s="22">
        <f>IF(Pipeline_Sort!$C93="","",INDEX(Pipeline_Calc!$B$2:$B$5251,Pipeline_Sort!$C93))</f>
        <v/>
      </c>
      <c r="B93">
        <f>IF(Pipeline_Sort!$C93="","",INDEX(Pipeline_Calc!$C$2:$C$5251,Pipeline_Sort!$C93))</f>
        <v/>
      </c>
      <c r="C93">
        <f>IF(Pipeline_Sort!$C93="","",INDEX(Pipeline_Calc!$D$2:$D$5251,Pipeline_Sort!$C93))</f>
        <v/>
      </c>
      <c r="D93">
        <f>IF(Pipeline_Sort!$C93="","",INDEX(Pipeline_Calc!$E$2:$E$5251,Pipeline_Sort!$C93))</f>
        <v/>
      </c>
      <c r="E93">
        <f>IF(Pipeline_Sort!$C93="","",INDEX(Pipeline_Calc!$F$2:$F$5251,Pipeline_Sort!$C93))</f>
        <v/>
      </c>
      <c r="F93">
        <f>IF(Pipeline_Sort!$C93="","",INDEX(Pipeline_Calc!$G$2:$G$5251,Pipeline_Sort!$C93))</f>
        <v/>
      </c>
      <c r="G93">
        <f>IF(Pipeline_Sort!$C93="","",INDEX(Pipeline_Calc!$H$2:$H$5251,Pipeline_Sort!$C93))</f>
        <v/>
      </c>
      <c r="H93">
        <f>IF(Pipeline_Sort!$C93="","",INDEX(Pipeline_Calc!$I$2:$I$5251,Pipeline_Sort!$C93))</f>
        <v/>
      </c>
      <c r="I93">
        <f>IF(Pipeline_Sort!$C93="","",INDEX(Pipeline_Calc!$J$2:$J$5251,Pipeline_Sort!$C93))</f>
        <v/>
      </c>
    </row>
    <row r="94">
      <c r="A94" s="22">
        <f>IF(Pipeline_Sort!$C94="","",INDEX(Pipeline_Calc!$B$2:$B$5251,Pipeline_Sort!$C94))</f>
        <v/>
      </c>
      <c r="B94">
        <f>IF(Pipeline_Sort!$C94="","",INDEX(Pipeline_Calc!$C$2:$C$5251,Pipeline_Sort!$C94))</f>
        <v/>
      </c>
      <c r="C94">
        <f>IF(Pipeline_Sort!$C94="","",INDEX(Pipeline_Calc!$D$2:$D$5251,Pipeline_Sort!$C94))</f>
        <v/>
      </c>
      <c r="D94">
        <f>IF(Pipeline_Sort!$C94="","",INDEX(Pipeline_Calc!$E$2:$E$5251,Pipeline_Sort!$C94))</f>
        <v/>
      </c>
      <c r="E94">
        <f>IF(Pipeline_Sort!$C94="","",INDEX(Pipeline_Calc!$F$2:$F$5251,Pipeline_Sort!$C94))</f>
        <v/>
      </c>
      <c r="F94">
        <f>IF(Pipeline_Sort!$C94="","",INDEX(Pipeline_Calc!$G$2:$G$5251,Pipeline_Sort!$C94))</f>
        <v/>
      </c>
      <c r="G94">
        <f>IF(Pipeline_Sort!$C94="","",INDEX(Pipeline_Calc!$H$2:$H$5251,Pipeline_Sort!$C94))</f>
        <v/>
      </c>
      <c r="H94">
        <f>IF(Pipeline_Sort!$C94="","",INDEX(Pipeline_Calc!$I$2:$I$5251,Pipeline_Sort!$C94))</f>
        <v/>
      </c>
      <c r="I94">
        <f>IF(Pipeline_Sort!$C94="","",INDEX(Pipeline_Calc!$J$2:$J$5251,Pipeline_Sort!$C94))</f>
        <v/>
      </c>
    </row>
    <row r="95">
      <c r="A95" s="22">
        <f>IF(Pipeline_Sort!$C95="","",INDEX(Pipeline_Calc!$B$2:$B$5251,Pipeline_Sort!$C95))</f>
        <v/>
      </c>
      <c r="B95">
        <f>IF(Pipeline_Sort!$C95="","",INDEX(Pipeline_Calc!$C$2:$C$5251,Pipeline_Sort!$C95))</f>
        <v/>
      </c>
      <c r="C95">
        <f>IF(Pipeline_Sort!$C95="","",INDEX(Pipeline_Calc!$D$2:$D$5251,Pipeline_Sort!$C95))</f>
        <v/>
      </c>
      <c r="D95">
        <f>IF(Pipeline_Sort!$C95="","",INDEX(Pipeline_Calc!$E$2:$E$5251,Pipeline_Sort!$C95))</f>
        <v/>
      </c>
      <c r="E95">
        <f>IF(Pipeline_Sort!$C95="","",INDEX(Pipeline_Calc!$F$2:$F$5251,Pipeline_Sort!$C95))</f>
        <v/>
      </c>
      <c r="F95">
        <f>IF(Pipeline_Sort!$C95="","",INDEX(Pipeline_Calc!$G$2:$G$5251,Pipeline_Sort!$C95))</f>
        <v/>
      </c>
      <c r="G95">
        <f>IF(Pipeline_Sort!$C95="","",INDEX(Pipeline_Calc!$H$2:$H$5251,Pipeline_Sort!$C95))</f>
        <v/>
      </c>
      <c r="H95">
        <f>IF(Pipeline_Sort!$C95="","",INDEX(Pipeline_Calc!$I$2:$I$5251,Pipeline_Sort!$C95))</f>
        <v/>
      </c>
      <c r="I95">
        <f>IF(Pipeline_Sort!$C95="","",INDEX(Pipeline_Calc!$J$2:$J$5251,Pipeline_Sort!$C95))</f>
        <v/>
      </c>
    </row>
    <row r="96">
      <c r="A96" s="22">
        <f>IF(Pipeline_Sort!$C96="","",INDEX(Pipeline_Calc!$B$2:$B$5251,Pipeline_Sort!$C96))</f>
        <v/>
      </c>
      <c r="B96">
        <f>IF(Pipeline_Sort!$C96="","",INDEX(Pipeline_Calc!$C$2:$C$5251,Pipeline_Sort!$C96))</f>
        <v/>
      </c>
      <c r="C96">
        <f>IF(Pipeline_Sort!$C96="","",INDEX(Pipeline_Calc!$D$2:$D$5251,Pipeline_Sort!$C96))</f>
        <v/>
      </c>
      <c r="D96">
        <f>IF(Pipeline_Sort!$C96="","",INDEX(Pipeline_Calc!$E$2:$E$5251,Pipeline_Sort!$C96))</f>
        <v/>
      </c>
      <c r="E96">
        <f>IF(Pipeline_Sort!$C96="","",INDEX(Pipeline_Calc!$F$2:$F$5251,Pipeline_Sort!$C96))</f>
        <v/>
      </c>
      <c r="F96">
        <f>IF(Pipeline_Sort!$C96="","",INDEX(Pipeline_Calc!$G$2:$G$5251,Pipeline_Sort!$C96))</f>
        <v/>
      </c>
      <c r="G96">
        <f>IF(Pipeline_Sort!$C96="","",INDEX(Pipeline_Calc!$H$2:$H$5251,Pipeline_Sort!$C96))</f>
        <v/>
      </c>
      <c r="H96">
        <f>IF(Pipeline_Sort!$C96="","",INDEX(Pipeline_Calc!$I$2:$I$5251,Pipeline_Sort!$C96))</f>
        <v/>
      </c>
      <c r="I96">
        <f>IF(Pipeline_Sort!$C96="","",INDEX(Pipeline_Calc!$J$2:$J$5251,Pipeline_Sort!$C96))</f>
        <v/>
      </c>
    </row>
    <row r="97">
      <c r="A97" s="22">
        <f>IF(Pipeline_Sort!$C97="","",INDEX(Pipeline_Calc!$B$2:$B$5251,Pipeline_Sort!$C97))</f>
        <v/>
      </c>
      <c r="B97">
        <f>IF(Pipeline_Sort!$C97="","",INDEX(Pipeline_Calc!$C$2:$C$5251,Pipeline_Sort!$C97))</f>
        <v/>
      </c>
      <c r="C97">
        <f>IF(Pipeline_Sort!$C97="","",INDEX(Pipeline_Calc!$D$2:$D$5251,Pipeline_Sort!$C97))</f>
        <v/>
      </c>
      <c r="D97">
        <f>IF(Pipeline_Sort!$C97="","",INDEX(Pipeline_Calc!$E$2:$E$5251,Pipeline_Sort!$C97))</f>
        <v/>
      </c>
      <c r="E97">
        <f>IF(Pipeline_Sort!$C97="","",INDEX(Pipeline_Calc!$F$2:$F$5251,Pipeline_Sort!$C97))</f>
        <v/>
      </c>
      <c r="F97">
        <f>IF(Pipeline_Sort!$C97="","",INDEX(Pipeline_Calc!$G$2:$G$5251,Pipeline_Sort!$C97))</f>
        <v/>
      </c>
      <c r="G97">
        <f>IF(Pipeline_Sort!$C97="","",INDEX(Pipeline_Calc!$H$2:$H$5251,Pipeline_Sort!$C97))</f>
        <v/>
      </c>
      <c r="H97">
        <f>IF(Pipeline_Sort!$C97="","",INDEX(Pipeline_Calc!$I$2:$I$5251,Pipeline_Sort!$C97))</f>
        <v/>
      </c>
      <c r="I97">
        <f>IF(Pipeline_Sort!$C97="","",INDEX(Pipeline_Calc!$J$2:$J$5251,Pipeline_Sort!$C97))</f>
        <v/>
      </c>
    </row>
    <row r="98">
      <c r="A98" s="22">
        <f>IF(Pipeline_Sort!$C98="","",INDEX(Pipeline_Calc!$B$2:$B$5251,Pipeline_Sort!$C98))</f>
        <v/>
      </c>
      <c r="B98">
        <f>IF(Pipeline_Sort!$C98="","",INDEX(Pipeline_Calc!$C$2:$C$5251,Pipeline_Sort!$C98))</f>
        <v/>
      </c>
      <c r="C98">
        <f>IF(Pipeline_Sort!$C98="","",INDEX(Pipeline_Calc!$D$2:$D$5251,Pipeline_Sort!$C98))</f>
        <v/>
      </c>
      <c r="D98">
        <f>IF(Pipeline_Sort!$C98="","",INDEX(Pipeline_Calc!$E$2:$E$5251,Pipeline_Sort!$C98))</f>
        <v/>
      </c>
      <c r="E98">
        <f>IF(Pipeline_Sort!$C98="","",INDEX(Pipeline_Calc!$F$2:$F$5251,Pipeline_Sort!$C98))</f>
        <v/>
      </c>
      <c r="F98">
        <f>IF(Pipeline_Sort!$C98="","",INDEX(Pipeline_Calc!$G$2:$G$5251,Pipeline_Sort!$C98))</f>
        <v/>
      </c>
      <c r="G98">
        <f>IF(Pipeline_Sort!$C98="","",INDEX(Pipeline_Calc!$H$2:$H$5251,Pipeline_Sort!$C98))</f>
        <v/>
      </c>
      <c r="H98">
        <f>IF(Pipeline_Sort!$C98="","",INDEX(Pipeline_Calc!$I$2:$I$5251,Pipeline_Sort!$C98))</f>
        <v/>
      </c>
      <c r="I98">
        <f>IF(Pipeline_Sort!$C98="","",INDEX(Pipeline_Calc!$J$2:$J$5251,Pipeline_Sort!$C98))</f>
        <v/>
      </c>
    </row>
    <row r="99">
      <c r="A99" s="22">
        <f>IF(Pipeline_Sort!$C99="","",INDEX(Pipeline_Calc!$B$2:$B$5251,Pipeline_Sort!$C99))</f>
        <v/>
      </c>
      <c r="B99">
        <f>IF(Pipeline_Sort!$C99="","",INDEX(Pipeline_Calc!$C$2:$C$5251,Pipeline_Sort!$C99))</f>
        <v/>
      </c>
      <c r="C99">
        <f>IF(Pipeline_Sort!$C99="","",INDEX(Pipeline_Calc!$D$2:$D$5251,Pipeline_Sort!$C99))</f>
        <v/>
      </c>
      <c r="D99">
        <f>IF(Pipeline_Sort!$C99="","",INDEX(Pipeline_Calc!$E$2:$E$5251,Pipeline_Sort!$C99))</f>
        <v/>
      </c>
      <c r="E99">
        <f>IF(Pipeline_Sort!$C99="","",INDEX(Pipeline_Calc!$F$2:$F$5251,Pipeline_Sort!$C99))</f>
        <v/>
      </c>
      <c r="F99">
        <f>IF(Pipeline_Sort!$C99="","",INDEX(Pipeline_Calc!$G$2:$G$5251,Pipeline_Sort!$C99))</f>
        <v/>
      </c>
      <c r="G99">
        <f>IF(Pipeline_Sort!$C99="","",INDEX(Pipeline_Calc!$H$2:$H$5251,Pipeline_Sort!$C99))</f>
        <v/>
      </c>
      <c r="H99">
        <f>IF(Pipeline_Sort!$C99="","",INDEX(Pipeline_Calc!$I$2:$I$5251,Pipeline_Sort!$C99))</f>
        <v/>
      </c>
      <c r="I99">
        <f>IF(Pipeline_Sort!$C99="","",INDEX(Pipeline_Calc!$J$2:$J$5251,Pipeline_Sort!$C99))</f>
        <v/>
      </c>
    </row>
    <row r="100">
      <c r="A100" s="22">
        <f>IF(Pipeline_Sort!$C100="","",INDEX(Pipeline_Calc!$B$2:$B$5251,Pipeline_Sort!$C100))</f>
        <v/>
      </c>
      <c r="B100">
        <f>IF(Pipeline_Sort!$C100="","",INDEX(Pipeline_Calc!$C$2:$C$5251,Pipeline_Sort!$C100))</f>
        <v/>
      </c>
      <c r="C100">
        <f>IF(Pipeline_Sort!$C100="","",INDEX(Pipeline_Calc!$D$2:$D$5251,Pipeline_Sort!$C100))</f>
        <v/>
      </c>
      <c r="D100">
        <f>IF(Pipeline_Sort!$C100="","",INDEX(Pipeline_Calc!$E$2:$E$5251,Pipeline_Sort!$C100))</f>
        <v/>
      </c>
      <c r="E100">
        <f>IF(Pipeline_Sort!$C100="","",INDEX(Pipeline_Calc!$F$2:$F$5251,Pipeline_Sort!$C100))</f>
        <v/>
      </c>
      <c r="F100">
        <f>IF(Pipeline_Sort!$C100="","",INDEX(Pipeline_Calc!$G$2:$G$5251,Pipeline_Sort!$C100))</f>
        <v/>
      </c>
      <c r="G100">
        <f>IF(Pipeline_Sort!$C100="","",INDEX(Pipeline_Calc!$H$2:$H$5251,Pipeline_Sort!$C100))</f>
        <v/>
      </c>
      <c r="H100">
        <f>IF(Pipeline_Sort!$C100="","",INDEX(Pipeline_Calc!$I$2:$I$5251,Pipeline_Sort!$C100))</f>
        <v/>
      </c>
      <c r="I100">
        <f>IF(Pipeline_Sort!$C100="","",INDEX(Pipeline_Calc!$J$2:$J$5251,Pipeline_Sort!$C100))</f>
        <v/>
      </c>
    </row>
    <row r="101">
      <c r="A101" s="22">
        <f>IF(Pipeline_Sort!$C101="","",INDEX(Pipeline_Calc!$B$2:$B$5251,Pipeline_Sort!$C101))</f>
        <v/>
      </c>
      <c r="B101">
        <f>IF(Pipeline_Sort!$C101="","",INDEX(Pipeline_Calc!$C$2:$C$5251,Pipeline_Sort!$C101))</f>
        <v/>
      </c>
      <c r="C101">
        <f>IF(Pipeline_Sort!$C101="","",INDEX(Pipeline_Calc!$D$2:$D$5251,Pipeline_Sort!$C101))</f>
        <v/>
      </c>
      <c r="D101">
        <f>IF(Pipeline_Sort!$C101="","",INDEX(Pipeline_Calc!$E$2:$E$5251,Pipeline_Sort!$C101))</f>
        <v/>
      </c>
      <c r="E101">
        <f>IF(Pipeline_Sort!$C101="","",INDEX(Pipeline_Calc!$F$2:$F$5251,Pipeline_Sort!$C101))</f>
        <v/>
      </c>
      <c r="F101">
        <f>IF(Pipeline_Sort!$C101="","",INDEX(Pipeline_Calc!$G$2:$G$5251,Pipeline_Sort!$C101))</f>
        <v/>
      </c>
      <c r="G101">
        <f>IF(Pipeline_Sort!$C101="","",INDEX(Pipeline_Calc!$H$2:$H$5251,Pipeline_Sort!$C101))</f>
        <v/>
      </c>
      <c r="H101">
        <f>IF(Pipeline_Sort!$C101="","",INDEX(Pipeline_Calc!$I$2:$I$5251,Pipeline_Sort!$C101))</f>
        <v/>
      </c>
      <c r="I101">
        <f>IF(Pipeline_Sort!$C101="","",INDEX(Pipeline_Calc!$J$2:$J$5251,Pipeline_Sort!$C101))</f>
        <v/>
      </c>
    </row>
    <row r="102">
      <c r="A102" s="22">
        <f>IF(Pipeline_Sort!$C102="","",INDEX(Pipeline_Calc!$B$2:$B$5251,Pipeline_Sort!$C102))</f>
        <v/>
      </c>
      <c r="B102">
        <f>IF(Pipeline_Sort!$C102="","",INDEX(Pipeline_Calc!$C$2:$C$5251,Pipeline_Sort!$C102))</f>
        <v/>
      </c>
      <c r="C102">
        <f>IF(Pipeline_Sort!$C102="","",INDEX(Pipeline_Calc!$D$2:$D$5251,Pipeline_Sort!$C102))</f>
        <v/>
      </c>
      <c r="D102">
        <f>IF(Pipeline_Sort!$C102="","",INDEX(Pipeline_Calc!$E$2:$E$5251,Pipeline_Sort!$C102))</f>
        <v/>
      </c>
      <c r="E102">
        <f>IF(Pipeline_Sort!$C102="","",INDEX(Pipeline_Calc!$F$2:$F$5251,Pipeline_Sort!$C102))</f>
        <v/>
      </c>
      <c r="F102">
        <f>IF(Pipeline_Sort!$C102="","",INDEX(Pipeline_Calc!$G$2:$G$5251,Pipeline_Sort!$C102))</f>
        <v/>
      </c>
      <c r="G102">
        <f>IF(Pipeline_Sort!$C102="","",INDEX(Pipeline_Calc!$H$2:$H$5251,Pipeline_Sort!$C102))</f>
        <v/>
      </c>
      <c r="H102">
        <f>IF(Pipeline_Sort!$C102="","",INDEX(Pipeline_Calc!$I$2:$I$5251,Pipeline_Sort!$C102))</f>
        <v/>
      </c>
      <c r="I102">
        <f>IF(Pipeline_Sort!$C102="","",INDEX(Pipeline_Calc!$J$2:$J$5251,Pipeline_Sort!$C102))</f>
        <v/>
      </c>
    </row>
    <row r="103">
      <c r="A103" s="22">
        <f>IF(Pipeline_Sort!$C103="","",INDEX(Pipeline_Calc!$B$2:$B$5251,Pipeline_Sort!$C103))</f>
        <v/>
      </c>
      <c r="B103">
        <f>IF(Pipeline_Sort!$C103="","",INDEX(Pipeline_Calc!$C$2:$C$5251,Pipeline_Sort!$C103))</f>
        <v/>
      </c>
      <c r="C103">
        <f>IF(Pipeline_Sort!$C103="","",INDEX(Pipeline_Calc!$D$2:$D$5251,Pipeline_Sort!$C103))</f>
        <v/>
      </c>
      <c r="D103">
        <f>IF(Pipeline_Sort!$C103="","",INDEX(Pipeline_Calc!$E$2:$E$5251,Pipeline_Sort!$C103))</f>
        <v/>
      </c>
      <c r="E103">
        <f>IF(Pipeline_Sort!$C103="","",INDEX(Pipeline_Calc!$F$2:$F$5251,Pipeline_Sort!$C103))</f>
        <v/>
      </c>
      <c r="F103">
        <f>IF(Pipeline_Sort!$C103="","",INDEX(Pipeline_Calc!$G$2:$G$5251,Pipeline_Sort!$C103))</f>
        <v/>
      </c>
      <c r="G103">
        <f>IF(Pipeline_Sort!$C103="","",INDEX(Pipeline_Calc!$H$2:$H$5251,Pipeline_Sort!$C103))</f>
        <v/>
      </c>
      <c r="H103">
        <f>IF(Pipeline_Sort!$C103="","",INDEX(Pipeline_Calc!$I$2:$I$5251,Pipeline_Sort!$C103))</f>
        <v/>
      </c>
      <c r="I103">
        <f>IF(Pipeline_Sort!$C103="","",INDEX(Pipeline_Calc!$J$2:$J$5251,Pipeline_Sort!$C103))</f>
        <v/>
      </c>
    </row>
    <row r="104">
      <c r="A104" s="22">
        <f>IF(Pipeline_Sort!$C104="","",INDEX(Pipeline_Calc!$B$2:$B$5251,Pipeline_Sort!$C104))</f>
        <v/>
      </c>
      <c r="B104">
        <f>IF(Pipeline_Sort!$C104="","",INDEX(Pipeline_Calc!$C$2:$C$5251,Pipeline_Sort!$C104))</f>
        <v/>
      </c>
      <c r="C104">
        <f>IF(Pipeline_Sort!$C104="","",INDEX(Pipeline_Calc!$D$2:$D$5251,Pipeline_Sort!$C104))</f>
        <v/>
      </c>
      <c r="D104">
        <f>IF(Pipeline_Sort!$C104="","",INDEX(Pipeline_Calc!$E$2:$E$5251,Pipeline_Sort!$C104))</f>
        <v/>
      </c>
      <c r="E104">
        <f>IF(Pipeline_Sort!$C104="","",INDEX(Pipeline_Calc!$F$2:$F$5251,Pipeline_Sort!$C104))</f>
        <v/>
      </c>
      <c r="F104">
        <f>IF(Pipeline_Sort!$C104="","",INDEX(Pipeline_Calc!$G$2:$G$5251,Pipeline_Sort!$C104))</f>
        <v/>
      </c>
      <c r="G104">
        <f>IF(Pipeline_Sort!$C104="","",INDEX(Pipeline_Calc!$H$2:$H$5251,Pipeline_Sort!$C104))</f>
        <v/>
      </c>
      <c r="H104">
        <f>IF(Pipeline_Sort!$C104="","",INDEX(Pipeline_Calc!$I$2:$I$5251,Pipeline_Sort!$C104))</f>
        <v/>
      </c>
      <c r="I104">
        <f>IF(Pipeline_Sort!$C104="","",INDEX(Pipeline_Calc!$J$2:$J$5251,Pipeline_Sort!$C104))</f>
        <v/>
      </c>
    </row>
    <row r="105">
      <c r="A105" s="22">
        <f>IF(Pipeline_Sort!$C105="","",INDEX(Pipeline_Calc!$B$2:$B$5251,Pipeline_Sort!$C105))</f>
        <v/>
      </c>
      <c r="B105">
        <f>IF(Pipeline_Sort!$C105="","",INDEX(Pipeline_Calc!$C$2:$C$5251,Pipeline_Sort!$C105))</f>
        <v/>
      </c>
      <c r="C105">
        <f>IF(Pipeline_Sort!$C105="","",INDEX(Pipeline_Calc!$D$2:$D$5251,Pipeline_Sort!$C105))</f>
        <v/>
      </c>
      <c r="D105">
        <f>IF(Pipeline_Sort!$C105="","",INDEX(Pipeline_Calc!$E$2:$E$5251,Pipeline_Sort!$C105))</f>
        <v/>
      </c>
      <c r="E105">
        <f>IF(Pipeline_Sort!$C105="","",INDEX(Pipeline_Calc!$F$2:$F$5251,Pipeline_Sort!$C105))</f>
        <v/>
      </c>
      <c r="F105">
        <f>IF(Pipeline_Sort!$C105="","",INDEX(Pipeline_Calc!$G$2:$G$5251,Pipeline_Sort!$C105))</f>
        <v/>
      </c>
      <c r="G105">
        <f>IF(Pipeline_Sort!$C105="","",INDEX(Pipeline_Calc!$H$2:$H$5251,Pipeline_Sort!$C105))</f>
        <v/>
      </c>
      <c r="H105">
        <f>IF(Pipeline_Sort!$C105="","",INDEX(Pipeline_Calc!$I$2:$I$5251,Pipeline_Sort!$C105))</f>
        <v/>
      </c>
      <c r="I105">
        <f>IF(Pipeline_Sort!$C105="","",INDEX(Pipeline_Calc!$J$2:$J$5251,Pipeline_Sort!$C105))</f>
        <v/>
      </c>
    </row>
    <row r="106">
      <c r="A106" s="22">
        <f>IF(Pipeline_Sort!$C106="","",INDEX(Pipeline_Calc!$B$2:$B$5251,Pipeline_Sort!$C106))</f>
        <v/>
      </c>
      <c r="B106">
        <f>IF(Pipeline_Sort!$C106="","",INDEX(Pipeline_Calc!$C$2:$C$5251,Pipeline_Sort!$C106))</f>
        <v/>
      </c>
      <c r="C106">
        <f>IF(Pipeline_Sort!$C106="","",INDEX(Pipeline_Calc!$D$2:$D$5251,Pipeline_Sort!$C106))</f>
        <v/>
      </c>
      <c r="D106">
        <f>IF(Pipeline_Sort!$C106="","",INDEX(Pipeline_Calc!$E$2:$E$5251,Pipeline_Sort!$C106))</f>
        <v/>
      </c>
      <c r="E106">
        <f>IF(Pipeline_Sort!$C106="","",INDEX(Pipeline_Calc!$F$2:$F$5251,Pipeline_Sort!$C106))</f>
        <v/>
      </c>
      <c r="F106">
        <f>IF(Pipeline_Sort!$C106="","",INDEX(Pipeline_Calc!$G$2:$G$5251,Pipeline_Sort!$C106))</f>
        <v/>
      </c>
      <c r="G106">
        <f>IF(Pipeline_Sort!$C106="","",INDEX(Pipeline_Calc!$H$2:$H$5251,Pipeline_Sort!$C106))</f>
        <v/>
      </c>
      <c r="H106">
        <f>IF(Pipeline_Sort!$C106="","",INDEX(Pipeline_Calc!$I$2:$I$5251,Pipeline_Sort!$C106))</f>
        <v/>
      </c>
      <c r="I106">
        <f>IF(Pipeline_Sort!$C106="","",INDEX(Pipeline_Calc!$J$2:$J$5251,Pipeline_Sort!$C106))</f>
        <v/>
      </c>
    </row>
    <row r="107">
      <c r="A107" s="22">
        <f>IF(Pipeline_Sort!$C107="","",INDEX(Pipeline_Calc!$B$2:$B$5251,Pipeline_Sort!$C107))</f>
        <v/>
      </c>
      <c r="B107">
        <f>IF(Pipeline_Sort!$C107="","",INDEX(Pipeline_Calc!$C$2:$C$5251,Pipeline_Sort!$C107))</f>
        <v/>
      </c>
      <c r="C107">
        <f>IF(Pipeline_Sort!$C107="","",INDEX(Pipeline_Calc!$D$2:$D$5251,Pipeline_Sort!$C107))</f>
        <v/>
      </c>
      <c r="D107">
        <f>IF(Pipeline_Sort!$C107="","",INDEX(Pipeline_Calc!$E$2:$E$5251,Pipeline_Sort!$C107))</f>
        <v/>
      </c>
      <c r="E107">
        <f>IF(Pipeline_Sort!$C107="","",INDEX(Pipeline_Calc!$F$2:$F$5251,Pipeline_Sort!$C107))</f>
        <v/>
      </c>
      <c r="F107">
        <f>IF(Pipeline_Sort!$C107="","",INDEX(Pipeline_Calc!$G$2:$G$5251,Pipeline_Sort!$C107))</f>
        <v/>
      </c>
      <c r="G107">
        <f>IF(Pipeline_Sort!$C107="","",INDEX(Pipeline_Calc!$H$2:$H$5251,Pipeline_Sort!$C107))</f>
        <v/>
      </c>
      <c r="H107">
        <f>IF(Pipeline_Sort!$C107="","",INDEX(Pipeline_Calc!$I$2:$I$5251,Pipeline_Sort!$C107))</f>
        <v/>
      </c>
      <c r="I107">
        <f>IF(Pipeline_Sort!$C107="","",INDEX(Pipeline_Calc!$J$2:$J$5251,Pipeline_Sort!$C107))</f>
        <v/>
      </c>
    </row>
    <row r="108">
      <c r="A108" s="22">
        <f>IF(Pipeline_Sort!$C108="","",INDEX(Pipeline_Calc!$B$2:$B$5251,Pipeline_Sort!$C108))</f>
        <v/>
      </c>
      <c r="B108">
        <f>IF(Pipeline_Sort!$C108="","",INDEX(Pipeline_Calc!$C$2:$C$5251,Pipeline_Sort!$C108))</f>
        <v/>
      </c>
      <c r="C108">
        <f>IF(Pipeline_Sort!$C108="","",INDEX(Pipeline_Calc!$D$2:$D$5251,Pipeline_Sort!$C108))</f>
        <v/>
      </c>
      <c r="D108">
        <f>IF(Pipeline_Sort!$C108="","",INDEX(Pipeline_Calc!$E$2:$E$5251,Pipeline_Sort!$C108))</f>
        <v/>
      </c>
      <c r="E108">
        <f>IF(Pipeline_Sort!$C108="","",INDEX(Pipeline_Calc!$F$2:$F$5251,Pipeline_Sort!$C108))</f>
        <v/>
      </c>
      <c r="F108">
        <f>IF(Pipeline_Sort!$C108="","",INDEX(Pipeline_Calc!$G$2:$G$5251,Pipeline_Sort!$C108))</f>
        <v/>
      </c>
      <c r="G108">
        <f>IF(Pipeline_Sort!$C108="","",INDEX(Pipeline_Calc!$H$2:$H$5251,Pipeline_Sort!$C108))</f>
        <v/>
      </c>
      <c r="H108">
        <f>IF(Pipeline_Sort!$C108="","",INDEX(Pipeline_Calc!$I$2:$I$5251,Pipeline_Sort!$C108))</f>
        <v/>
      </c>
      <c r="I108">
        <f>IF(Pipeline_Sort!$C108="","",INDEX(Pipeline_Calc!$J$2:$J$5251,Pipeline_Sort!$C108))</f>
        <v/>
      </c>
    </row>
    <row r="109">
      <c r="A109" s="22">
        <f>IF(Pipeline_Sort!$C109="","",INDEX(Pipeline_Calc!$B$2:$B$5251,Pipeline_Sort!$C109))</f>
        <v/>
      </c>
      <c r="B109">
        <f>IF(Pipeline_Sort!$C109="","",INDEX(Pipeline_Calc!$C$2:$C$5251,Pipeline_Sort!$C109))</f>
        <v/>
      </c>
      <c r="C109">
        <f>IF(Pipeline_Sort!$C109="","",INDEX(Pipeline_Calc!$D$2:$D$5251,Pipeline_Sort!$C109))</f>
        <v/>
      </c>
      <c r="D109">
        <f>IF(Pipeline_Sort!$C109="","",INDEX(Pipeline_Calc!$E$2:$E$5251,Pipeline_Sort!$C109))</f>
        <v/>
      </c>
      <c r="E109">
        <f>IF(Pipeline_Sort!$C109="","",INDEX(Pipeline_Calc!$F$2:$F$5251,Pipeline_Sort!$C109))</f>
        <v/>
      </c>
      <c r="F109">
        <f>IF(Pipeline_Sort!$C109="","",INDEX(Pipeline_Calc!$G$2:$G$5251,Pipeline_Sort!$C109))</f>
        <v/>
      </c>
      <c r="G109">
        <f>IF(Pipeline_Sort!$C109="","",INDEX(Pipeline_Calc!$H$2:$H$5251,Pipeline_Sort!$C109))</f>
        <v/>
      </c>
      <c r="H109">
        <f>IF(Pipeline_Sort!$C109="","",INDEX(Pipeline_Calc!$I$2:$I$5251,Pipeline_Sort!$C109))</f>
        <v/>
      </c>
      <c r="I109">
        <f>IF(Pipeline_Sort!$C109="","",INDEX(Pipeline_Calc!$J$2:$J$5251,Pipeline_Sort!$C109))</f>
        <v/>
      </c>
    </row>
    <row r="110">
      <c r="A110" s="22">
        <f>IF(Pipeline_Sort!$C110="","",INDEX(Pipeline_Calc!$B$2:$B$5251,Pipeline_Sort!$C110))</f>
        <v/>
      </c>
      <c r="B110">
        <f>IF(Pipeline_Sort!$C110="","",INDEX(Pipeline_Calc!$C$2:$C$5251,Pipeline_Sort!$C110))</f>
        <v/>
      </c>
      <c r="C110">
        <f>IF(Pipeline_Sort!$C110="","",INDEX(Pipeline_Calc!$D$2:$D$5251,Pipeline_Sort!$C110))</f>
        <v/>
      </c>
      <c r="D110">
        <f>IF(Pipeline_Sort!$C110="","",INDEX(Pipeline_Calc!$E$2:$E$5251,Pipeline_Sort!$C110))</f>
        <v/>
      </c>
      <c r="E110">
        <f>IF(Pipeline_Sort!$C110="","",INDEX(Pipeline_Calc!$F$2:$F$5251,Pipeline_Sort!$C110))</f>
        <v/>
      </c>
      <c r="F110">
        <f>IF(Pipeline_Sort!$C110="","",INDEX(Pipeline_Calc!$G$2:$G$5251,Pipeline_Sort!$C110))</f>
        <v/>
      </c>
      <c r="G110">
        <f>IF(Pipeline_Sort!$C110="","",INDEX(Pipeline_Calc!$H$2:$H$5251,Pipeline_Sort!$C110))</f>
        <v/>
      </c>
      <c r="H110">
        <f>IF(Pipeline_Sort!$C110="","",INDEX(Pipeline_Calc!$I$2:$I$5251,Pipeline_Sort!$C110))</f>
        <v/>
      </c>
      <c r="I110">
        <f>IF(Pipeline_Sort!$C110="","",INDEX(Pipeline_Calc!$J$2:$J$5251,Pipeline_Sort!$C110))</f>
        <v/>
      </c>
    </row>
    <row r="111">
      <c r="A111" s="22">
        <f>IF(Pipeline_Sort!$C111="","",INDEX(Pipeline_Calc!$B$2:$B$5251,Pipeline_Sort!$C111))</f>
        <v/>
      </c>
      <c r="B111">
        <f>IF(Pipeline_Sort!$C111="","",INDEX(Pipeline_Calc!$C$2:$C$5251,Pipeline_Sort!$C111))</f>
        <v/>
      </c>
      <c r="C111">
        <f>IF(Pipeline_Sort!$C111="","",INDEX(Pipeline_Calc!$D$2:$D$5251,Pipeline_Sort!$C111))</f>
        <v/>
      </c>
      <c r="D111">
        <f>IF(Pipeline_Sort!$C111="","",INDEX(Pipeline_Calc!$E$2:$E$5251,Pipeline_Sort!$C111))</f>
        <v/>
      </c>
      <c r="E111">
        <f>IF(Pipeline_Sort!$C111="","",INDEX(Pipeline_Calc!$F$2:$F$5251,Pipeline_Sort!$C111))</f>
        <v/>
      </c>
      <c r="F111">
        <f>IF(Pipeline_Sort!$C111="","",INDEX(Pipeline_Calc!$G$2:$G$5251,Pipeline_Sort!$C111))</f>
        <v/>
      </c>
      <c r="G111">
        <f>IF(Pipeline_Sort!$C111="","",INDEX(Pipeline_Calc!$H$2:$H$5251,Pipeline_Sort!$C111))</f>
        <v/>
      </c>
      <c r="H111">
        <f>IF(Pipeline_Sort!$C111="","",INDEX(Pipeline_Calc!$I$2:$I$5251,Pipeline_Sort!$C111))</f>
        <v/>
      </c>
      <c r="I111">
        <f>IF(Pipeline_Sort!$C111="","",INDEX(Pipeline_Calc!$J$2:$J$5251,Pipeline_Sort!$C111))</f>
        <v/>
      </c>
    </row>
    <row r="112">
      <c r="A112" s="22">
        <f>IF(Pipeline_Sort!$C112="","",INDEX(Pipeline_Calc!$B$2:$B$5251,Pipeline_Sort!$C112))</f>
        <v/>
      </c>
      <c r="B112">
        <f>IF(Pipeline_Sort!$C112="","",INDEX(Pipeline_Calc!$C$2:$C$5251,Pipeline_Sort!$C112))</f>
        <v/>
      </c>
      <c r="C112">
        <f>IF(Pipeline_Sort!$C112="","",INDEX(Pipeline_Calc!$D$2:$D$5251,Pipeline_Sort!$C112))</f>
        <v/>
      </c>
      <c r="D112">
        <f>IF(Pipeline_Sort!$C112="","",INDEX(Pipeline_Calc!$E$2:$E$5251,Pipeline_Sort!$C112))</f>
        <v/>
      </c>
      <c r="E112">
        <f>IF(Pipeline_Sort!$C112="","",INDEX(Pipeline_Calc!$F$2:$F$5251,Pipeline_Sort!$C112))</f>
        <v/>
      </c>
      <c r="F112">
        <f>IF(Pipeline_Sort!$C112="","",INDEX(Pipeline_Calc!$G$2:$G$5251,Pipeline_Sort!$C112))</f>
        <v/>
      </c>
      <c r="G112">
        <f>IF(Pipeline_Sort!$C112="","",INDEX(Pipeline_Calc!$H$2:$H$5251,Pipeline_Sort!$C112))</f>
        <v/>
      </c>
      <c r="H112">
        <f>IF(Pipeline_Sort!$C112="","",INDEX(Pipeline_Calc!$I$2:$I$5251,Pipeline_Sort!$C112))</f>
        <v/>
      </c>
      <c r="I112">
        <f>IF(Pipeline_Sort!$C112="","",INDEX(Pipeline_Calc!$J$2:$J$5251,Pipeline_Sort!$C112))</f>
        <v/>
      </c>
    </row>
    <row r="113">
      <c r="A113" s="22">
        <f>IF(Pipeline_Sort!$C113="","",INDEX(Pipeline_Calc!$B$2:$B$5251,Pipeline_Sort!$C113))</f>
        <v/>
      </c>
      <c r="B113">
        <f>IF(Pipeline_Sort!$C113="","",INDEX(Pipeline_Calc!$C$2:$C$5251,Pipeline_Sort!$C113))</f>
        <v/>
      </c>
      <c r="C113">
        <f>IF(Pipeline_Sort!$C113="","",INDEX(Pipeline_Calc!$D$2:$D$5251,Pipeline_Sort!$C113))</f>
        <v/>
      </c>
      <c r="D113">
        <f>IF(Pipeline_Sort!$C113="","",INDEX(Pipeline_Calc!$E$2:$E$5251,Pipeline_Sort!$C113))</f>
        <v/>
      </c>
      <c r="E113">
        <f>IF(Pipeline_Sort!$C113="","",INDEX(Pipeline_Calc!$F$2:$F$5251,Pipeline_Sort!$C113))</f>
        <v/>
      </c>
      <c r="F113">
        <f>IF(Pipeline_Sort!$C113="","",INDEX(Pipeline_Calc!$G$2:$G$5251,Pipeline_Sort!$C113))</f>
        <v/>
      </c>
      <c r="G113">
        <f>IF(Pipeline_Sort!$C113="","",INDEX(Pipeline_Calc!$H$2:$H$5251,Pipeline_Sort!$C113))</f>
        <v/>
      </c>
      <c r="H113">
        <f>IF(Pipeline_Sort!$C113="","",INDEX(Pipeline_Calc!$I$2:$I$5251,Pipeline_Sort!$C113))</f>
        <v/>
      </c>
      <c r="I113">
        <f>IF(Pipeline_Sort!$C113="","",INDEX(Pipeline_Calc!$J$2:$J$5251,Pipeline_Sort!$C113))</f>
        <v/>
      </c>
    </row>
    <row r="114">
      <c r="A114" s="22">
        <f>IF(Pipeline_Sort!$C114="","",INDEX(Pipeline_Calc!$B$2:$B$5251,Pipeline_Sort!$C114))</f>
        <v/>
      </c>
      <c r="B114">
        <f>IF(Pipeline_Sort!$C114="","",INDEX(Pipeline_Calc!$C$2:$C$5251,Pipeline_Sort!$C114))</f>
        <v/>
      </c>
      <c r="C114">
        <f>IF(Pipeline_Sort!$C114="","",INDEX(Pipeline_Calc!$D$2:$D$5251,Pipeline_Sort!$C114))</f>
        <v/>
      </c>
      <c r="D114">
        <f>IF(Pipeline_Sort!$C114="","",INDEX(Pipeline_Calc!$E$2:$E$5251,Pipeline_Sort!$C114))</f>
        <v/>
      </c>
      <c r="E114">
        <f>IF(Pipeline_Sort!$C114="","",INDEX(Pipeline_Calc!$F$2:$F$5251,Pipeline_Sort!$C114))</f>
        <v/>
      </c>
      <c r="F114">
        <f>IF(Pipeline_Sort!$C114="","",INDEX(Pipeline_Calc!$G$2:$G$5251,Pipeline_Sort!$C114))</f>
        <v/>
      </c>
      <c r="G114">
        <f>IF(Pipeline_Sort!$C114="","",INDEX(Pipeline_Calc!$H$2:$H$5251,Pipeline_Sort!$C114))</f>
        <v/>
      </c>
      <c r="H114">
        <f>IF(Pipeline_Sort!$C114="","",INDEX(Pipeline_Calc!$I$2:$I$5251,Pipeline_Sort!$C114))</f>
        <v/>
      </c>
      <c r="I114">
        <f>IF(Pipeline_Sort!$C114="","",INDEX(Pipeline_Calc!$J$2:$J$5251,Pipeline_Sort!$C114))</f>
        <v/>
      </c>
    </row>
    <row r="115">
      <c r="A115" s="22">
        <f>IF(Pipeline_Sort!$C115="","",INDEX(Pipeline_Calc!$B$2:$B$5251,Pipeline_Sort!$C115))</f>
        <v/>
      </c>
      <c r="B115">
        <f>IF(Pipeline_Sort!$C115="","",INDEX(Pipeline_Calc!$C$2:$C$5251,Pipeline_Sort!$C115))</f>
        <v/>
      </c>
      <c r="C115">
        <f>IF(Pipeline_Sort!$C115="","",INDEX(Pipeline_Calc!$D$2:$D$5251,Pipeline_Sort!$C115))</f>
        <v/>
      </c>
      <c r="D115">
        <f>IF(Pipeline_Sort!$C115="","",INDEX(Pipeline_Calc!$E$2:$E$5251,Pipeline_Sort!$C115))</f>
        <v/>
      </c>
      <c r="E115">
        <f>IF(Pipeline_Sort!$C115="","",INDEX(Pipeline_Calc!$F$2:$F$5251,Pipeline_Sort!$C115))</f>
        <v/>
      </c>
      <c r="F115">
        <f>IF(Pipeline_Sort!$C115="","",INDEX(Pipeline_Calc!$G$2:$G$5251,Pipeline_Sort!$C115))</f>
        <v/>
      </c>
      <c r="G115">
        <f>IF(Pipeline_Sort!$C115="","",INDEX(Pipeline_Calc!$H$2:$H$5251,Pipeline_Sort!$C115))</f>
        <v/>
      </c>
      <c r="H115">
        <f>IF(Pipeline_Sort!$C115="","",INDEX(Pipeline_Calc!$I$2:$I$5251,Pipeline_Sort!$C115))</f>
        <v/>
      </c>
      <c r="I115">
        <f>IF(Pipeline_Sort!$C115="","",INDEX(Pipeline_Calc!$J$2:$J$5251,Pipeline_Sort!$C115))</f>
        <v/>
      </c>
    </row>
    <row r="116">
      <c r="A116" s="22">
        <f>IF(Pipeline_Sort!$C116="","",INDEX(Pipeline_Calc!$B$2:$B$5251,Pipeline_Sort!$C116))</f>
        <v/>
      </c>
      <c r="B116">
        <f>IF(Pipeline_Sort!$C116="","",INDEX(Pipeline_Calc!$C$2:$C$5251,Pipeline_Sort!$C116))</f>
        <v/>
      </c>
      <c r="C116">
        <f>IF(Pipeline_Sort!$C116="","",INDEX(Pipeline_Calc!$D$2:$D$5251,Pipeline_Sort!$C116))</f>
        <v/>
      </c>
      <c r="D116">
        <f>IF(Pipeline_Sort!$C116="","",INDEX(Pipeline_Calc!$E$2:$E$5251,Pipeline_Sort!$C116))</f>
        <v/>
      </c>
      <c r="E116">
        <f>IF(Pipeline_Sort!$C116="","",INDEX(Pipeline_Calc!$F$2:$F$5251,Pipeline_Sort!$C116))</f>
        <v/>
      </c>
      <c r="F116">
        <f>IF(Pipeline_Sort!$C116="","",INDEX(Pipeline_Calc!$G$2:$G$5251,Pipeline_Sort!$C116))</f>
        <v/>
      </c>
      <c r="G116">
        <f>IF(Pipeline_Sort!$C116="","",INDEX(Pipeline_Calc!$H$2:$H$5251,Pipeline_Sort!$C116))</f>
        <v/>
      </c>
      <c r="H116">
        <f>IF(Pipeline_Sort!$C116="","",INDEX(Pipeline_Calc!$I$2:$I$5251,Pipeline_Sort!$C116))</f>
        <v/>
      </c>
      <c r="I116">
        <f>IF(Pipeline_Sort!$C116="","",INDEX(Pipeline_Calc!$J$2:$J$5251,Pipeline_Sort!$C116))</f>
        <v/>
      </c>
    </row>
    <row r="117">
      <c r="A117" s="22">
        <f>IF(Pipeline_Sort!$C117="","",INDEX(Pipeline_Calc!$B$2:$B$5251,Pipeline_Sort!$C117))</f>
        <v/>
      </c>
      <c r="B117">
        <f>IF(Pipeline_Sort!$C117="","",INDEX(Pipeline_Calc!$C$2:$C$5251,Pipeline_Sort!$C117))</f>
        <v/>
      </c>
      <c r="C117">
        <f>IF(Pipeline_Sort!$C117="","",INDEX(Pipeline_Calc!$D$2:$D$5251,Pipeline_Sort!$C117))</f>
        <v/>
      </c>
      <c r="D117">
        <f>IF(Pipeline_Sort!$C117="","",INDEX(Pipeline_Calc!$E$2:$E$5251,Pipeline_Sort!$C117))</f>
        <v/>
      </c>
      <c r="E117">
        <f>IF(Pipeline_Sort!$C117="","",INDEX(Pipeline_Calc!$F$2:$F$5251,Pipeline_Sort!$C117))</f>
        <v/>
      </c>
      <c r="F117">
        <f>IF(Pipeline_Sort!$C117="","",INDEX(Pipeline_Calc!$G$2:$G$5251,Pipeline_Sort!$C117))</f>
        <v/>
      </c>
      <c r="G117">
        <f>IF(Pipeline_Sort!$C117="","",INDEX(Pipeline_Calc!$H$2:$H$5251,Pipeline_Sort!$C117))</f>
        <v/>
      </c>
      <c r="H117">
        <f>IF(Pipeline_Sort!$C117="","",INDEX(Pipeline_Calc!$I$2:$I$5251,Pipeline_Sort!$C117))</f>
        <v/>
      </c>
      <c r="I117">
        <f>IF(Pipeline_Sort!$C117="","",INDEX(Pipeline_Calc!$J$2:$J$5251,Pipeline_Sort!$C117))</f>
        <v/>
      </c>
    </row>
    <row r="118">
      <c r="A118" s="22">
        <f>IF(Pipeline_Sort!$C118="","",INDEX(Pipeline_Calc!$B$2:$B$5251,Pipeline_Sort!$C118))</f>
        <v/>
      </c>
      <c r="B118">
        <f>IF(Pipeline_Sort!$C118="","",INDEX(Pipeline_Calc!$C$2:$C$5251,Pipeline_Sort!$C118))</f>
        <v/>
      </c>
      <c r="C118">
        <f>IF(Pipeline_Sort!$C118="","",INDEX(Pipeline_Calc!$D$2:$D$5251,Pipeline_Sort!$C118))</f>
        <v/>
      </c>
      <c r="D118">
        <f>IF(Pipeline_Sort!$C118="","",INDEX(Pipeline_Calc!$E$2:$E$5251,Pipeline_Sort!$C118))</f>
        <v/>
      </c>
      <c r="E118">
        <f>IF(Pipeline_Sort!$C118="","",INDEX(Pipeline_Calc!$F$2:$F$5251,Pipeline_Sort!$C118))</f>
        <v/>
      </c>
      <c r="F118">
        <f>IF(Pipeline_Sort!$C118="","",INDEX(Pipeline_Calc!$G$2:$G$5251,Pipeline_Sort!$C118))</f>
        <v/>
      </c>
      <c r="G118">
        <f>IF(Pipeline_Sort!$C118="","",INDEX(Pipeline_Calc!$H$2:$H$5251,Pipeline_Sort!$C118))</f>
        <v/>
      </c>
      <c r="H118">
        <f>IF(Pipeline_Sort!$C118="","",INDEX(Pipeline_Calc!$I$2:$I$5251,Pipeline_Sort!$C118))</f>
        <v/>
      </c>
      <c r="I118">
        <f>IF(Pipeline_Sort!$C118="","",INDEX(Pipeline_Calc!$J$2:$J$5251,Pipeline_Sort!$C118))</f>
        <v/>
      </c>
    </row>
    <row r="119">
      <c r="A119" s="22">
        <f>IF(Pipeline_Sort!$C119="","",INDEX(Pipeline_Calc!$B$2:$B$5251,Pipeline_Sort!$C119))</f>
        <v/>
      </c>
      <c r="B119">
        <f>IF(Pipeline_Sort!$C119="","",INDEX(Pipeline_Calc!$C$2:$C$5251,Pipeline_Sort!$C119))</f>
        <v/>
      </c>
      <c r="C119">
        <f>IF(Pipeline_Sort!$C119="","",INDEX(Pipeline_Calc!$D$2:$D$5251,Pipeline_Sort!$C119))</f>
        <v/>
      </c>
      <c r="D119">
        <f>IF(Pipeline_Sort!$C119="","",INDEX(Pipeline_Calc!$E$2:$E$5251,Pipeline_Sort!$C119))</f>
        <v/>
      </c>
      <c r="E119">
        <f>IF(Pipeline_Sort!$C119="","",INDEX(Pipeline_Calc!$F$2:$F$5251,Pipeline_Sort!$C119))</f>
        <v/>
      </c>
      <c r="F119">
        <f>IF(Pipeline_Sort!$C119="","",INDEX(Pipeline_Calc!$G$2:$G$5251,Pipeline_Sort!$C119))</f>
        <v/>
      </c>
      <c r="G119">
        <f>IF(Pipeline_Sort!$C119="","",INDEX(Pipeline_Calc!$H$2:$H$5251,Pipeline_Sort!$C119))</f>
        <v/>
      </c>
      <c r="H119">
        <f>IF(Pipeline_Sort!$C119="","",INDEX(Pipeline_Calc!$I$2:$I$5251,Pipeline_Sort!$C119))</f>
        <v/>
      </c>
      <c r="I119">
        <f>IF(Pipeline_Sort!$C119="","",INDEX(Pipeline_Calc!$J$2:$J$5251,Pipeline_Sort!$C119))</f>
        <v/>
      </c>
    </row>
    <row r="120">
      <c r="A120" s="22">
        <f>IF(Pipeline_Sort!$C120="","",INDEX(Pipeline_Calc!$B$2:$B$5251,Pipeline_Sort!$C120))</f>
        <v/>
      </c>
      <c r="B120">
        <f>IF(Pipeline_Sort!$C120="","",INDEX(Pipeline_Calc!$C$2:$C$5251,Pipeline_Sort!$C120))</f>
        <v/>
      </c>
      <c r="C120">
        <f>IF(Pipeline_Sort!$C120="","",INDEX(Pipeline_Calc!$D$2:$D$5251,Pipeline_Sort!$C120))</f>
        <v/>
      </c>
      <c r="D120">
        <f>IF(Pipeline_Sort!$C120="","",INDEX(Pipeline_Calc!$E$2:$E$5251,Pipeline_Sort!$C120))</f>
        <v/>
      </c>
      <c r="E120">
        <f>IF(Pipeline_Sort!$C120="","",INDEX(Pipeline_Calc!$F$2:$F$5251,Pipeline_Sort!$C120))</f>
        <v/>
      </c>
      <c r="F120">
        <f>IF(Pipeline_Sort!$C120="","",INDEX(Pipeline_Calc!$G$2:$G$5251,Pipeline_Sort!$C120))</f>
        <v/>
      </c>
      <c r="G120">
        <f>IF(Pipeline_Sort!$C120="","",INDEX(Pipeline_Calc!$H$2:$H$5251,Pipeline_Sort!$C120))</f>
        <v/>
      </c>
      <c r="H120">
        <f>IF(Pipeline_Sort!$C120="","",INDEX(Pipeline_Calc!$I$2:$I$5251,Pipeline_Sort!$C120))</f>
        <v/>
      </c>
      <c r="I120">
        <f>IF(Pipeline_Sort!$C120="","",INDEX(Pipeline_Calc!$J$2:$J$5251,Pipeline_Sort!$C120))</f>
        <v/>
      </c>
    </row>
    <row r="121">
      <c r="A121" s="22">
        <f>IF(Pipeline_Sort!$C121="","",INDEX(Pipeline_Calc!$B$2:$B$5251,Pipeline_Sort!$C121))</f>
        <v/>
      </c>
      <c r="B121">
        <f>IF(Pipeline_Sort!$C121="","",INDEX(Pipeline_Calc!$C$2:$C$5251,Pipeline_Sort!$C121))</f>
        <v/>
      </c>
      <c r="C121">
        <f>IF(Pipeline_Sort!$C121="","",INDEX(Pipeline_Calc!$D$2:$D$5251,Pipeline_Sort!$C121))</f>
        <v/>
      </c>
      <c r="D121">
        <f>IF(Pipeline_Sort!$C121="","",INDEX(Pipeline_Calc!$E$2:$E$5251,Pipeline_Sort!$C121))</f>
        <v/>
      </c>
      <c r="E121">
        <f>IF(Pipeline_Sort!$C121="","",INDEX(Pipeline_Calc!$F$2:$F$5251,Pipeline_Sort!$C121))</f>
        <v/>
      </c>
      <c r="F121">
        <f>IF(Pipeline_Sort!$C121="","",INDEX(Pipeline_Calc!$G$2:$G$5251,Pipeline_Sort!$C121))</f>
        <v/>
      </c>
      <c r="G121">
        <f>IF(Pipeline_Sort!$C121="","",INDEX(Pipeline_Calc!$H$2:$H$5251,Pipeline_Sort!$C121))</f>
        <v/>
      </c>
      <c r="H121">
        <f>IF(Pipeline_Sort!$C121="","",INDEX(Pipeline_Calc!$I$2:$I$5251,Pipeline_Sort!$C121))</f>
        <v/>
      </c>
      <c r="I121">
        <f>IF(Pipeline_Sort!$C121="","",INDEX(Pipeline_Calc!$J$2:$J$5251,Pipeline_Sort!$C121))</f>
        <v/>
      </c>
    </row>
    <row r="122">
      <c r="A122" s="22">
        <f>IF(Pipeline_Sort!$C122="","",INDEX(Pipeline_Calc!$B$2:$B$5251,Pipeline_Sort!$C122))</f>
        <v/>
      </c>
      <c r="B122">
        <f>IF(Pipeline_Sort!$C122="","",INDEX(Pipeline_Calc!$C$2:$C$5251,Pipeline_Sort!$C122))</f>
        <v/>
      </c>
      <c r="C122">
        <f>IF(Pipeline_Sort!$C122="","",INDEX(Pipeline_Calc!$D$2:$D$5251,Pipeline_Sort!$C122))</f>
        <v/>
      </c>
      <c r="D122">
        <f>IF(Pipeline_Sort!$C122="","",INDEX(Pipeline_Calc!$E$2:$E$5251,Pipeline_Sort!$C122))</f>
        <v/>
      </c>
      <c r="E122">
        <f>IF(Pipeline_Sort!$C122="","",INDEX(Pipeline_Calc!$F$2:$F$5251,Pipeline_Sort!$C122))</f>
        <v/>
      </c>
      <c r="F122">
        <f>IF(Pipeline_Sort!$C122="","",INDEX(Pipeline_Calc!$G$2:$G$5251,Pipeline_Sort!$C122))</f>
        <v/>
      </c>
      <c r="G122">
        <f>IF(Pipeline_Sort!$C122="","",INDEX(Pipeline_Calc!$H$2:$H$5251,Pipeline_Sort!$C122))</f>
        <v/>
      </c>
      <c r="H122">
        <f>IF(Pipeline_Sort!$C122="","",INDEX(Pipeline_Calc!$I$2:$I$5251,Pipeline_Sort!$C122))</f>
        <v/>
      </c>
      <c r="I122">
        <f>IF(Pipeline_Sort!$C122="","",INDEX(Pipeline_Calc!$J$2:$J$5251,Pipeline_Sort!$C122))</f>
        <v/>
      </c>
    </row>
    <row r="123">
      <c r="A123" s="22">
        <f>IF(Pipeline_Sort!$C123="","",INDEX(Pipeline_Calc!$B$2:$B$5251,Pipeline_Sort!$C123))</f>
        <v/>
      </c>
      <c r="B123">
        <f>IF(Pipeline_Sort!$C123="","",INDEX(Pipeline_Calc!$C$2:$C$5251,Pipeline_Sort!$C123))</f>
        <v/>
      </c>
      <c r="C123">
        <f>IF(Pipeline_Sort!$C123="","",INDEX(Pipeline_Calc!$D$2:$D$5251,Pipeline_Sort!$C123))</f>
        <v/>
      </c>
      <c r="D123">
        <f>IF(Pipeline_Sort!$C123="","",INDEX(Pipeline_Calc!$E$2:$E$5251,Pipeline_Sort!$C123))</f>
        <v/>
      </c>
      <c r="E123">
        <f>IF(Pipeline_Sort!$C123="","",INDEX(Pipeline_Calc!$F$2:$F$5251,Pipeline_Sort!$C123))</f>
        <v/>
      </c>
      <c r="F123">
        <f>IF(Pipeline_Sort!$C123="","",INDEX(Pipeline_Calc!$G$2:$G$5251,Pipeline_Sort!$C123))</f>
        <v/>
      </c>
      <c r="G123">
        <f>IF(Pipeline_Sort!$C123="","",INDEX(Pipeline_Calc!$H$2:$H$5251,Pipeline_Sort!$C123))</f>
        <v/>
      </c>
      <c r="H123">
        <f>IF(Pipeline_Sort!$C123="","",INDEX(Pipeline_Calc!$I$2:$I$5251,Pipeline_Sort!$C123))</f>
        <v/>
      </c>
      <c r="I123">
        <f>IF(Pipeline_Sort!$C123="","",INDEX(Pipeline_Calc!$J$2:$J$5251,Pipeline_Sort!$C123))</f>
        <v/>
      </c>
    </row>
    <row r="124">
      <c r="A124" s="22">
        <f>IF(Pipeline_Sort!$C124="","",INDEX(Pipeline_Calc!$B$2:$B$5251,Pipeline_Sort!$C124))</f>
        <v/>
      </c>
      <c r="B124">
        <f>IF(Pipeline_Sort!$C124="","",INDEX(Pipeline_Calc!$C$2:$C$5251,Pipeline_Sort!$C124))</f>
        <v/>
      </c>
      <c r="C124">
        <f>IF(Pipeline_Sort!$C124="","",INDEX(Pipeline_Calc!$D$2:$D$5251,Pipeline_Sort!$C124))</f>
        <v/>
      </c>
      <c r="D124">
        <f>IF(Pipeline_Sort!$C124="","",INDEX(Pipeline_Calc!$E$2:$E$5251,Pipeline_Sort!$C124))</f>
        <v/>
      </c>
      <c r="E124">
        <f>IF(Pipeline_Sort!$C124="","",INDEX(Pipeline_Calc!$F$2:$F$5251,Pipeline_Sort!$C124))</f>
        <v/>
      </c>
      <c r="F124">
        <f>IF(Pipeline_Sort!$C124="","",INDEX(Pipeline_Calc!$G$2:$G$5251,Pipeline_Sort!$C124))</f>
        <v/>
      </c>
      <c r="G124">
        <f>IF(Pipeline_Sort!$C124="","",INDEX(Pipeline_Calc!$H$2:$H$5251,Pipeline_Sort!$C124))</f>
        <v/>
      </c>
      <c r="H124">
        <f>IF(Pipeline_Sort!$C124="","",INDEX(Pipeline_Calc!$I$2:$I$5251,Pipeline_Sort!$C124))</f>
        <v/>
      </c>
      <c r="I124">
        <f>IF(Pipeline_Sort!$C124="","",INDEX(Pipeline_Calc!$J$2:$J$5251,Pipeline_Sort!$C124))</f>
        <v/>
      </c>
    </row>
    <row r="125">
      <c r="A125" s="22">
        <f>IF(Pipeline_Sort!$C125="","",INDEX(Pipeline_Calc!$B$2:$B$5251,Pipeline_Sort!$C125))</f>
        <v/>
      </c>
      <c r="B125">
        <f>IF(Pipeline_Sort!$C125="","",INDEX(Pipeline_Calc!$C$2:$C$5251,Pipeline_Sort!$C125))</f>
        <v/>
      </c>
      <c r="C125">
        <f>IF(Pipeline_Sort!$C125="","",INDEX(Pipeline_Calc!$D$2:$D$5251,Pipeline_Sort!$C125))</f>
        <v/>
      </c>
      <c r="D125">
        <f>IF(Pipeline_Sort!$C125="","",INDEX(Pipeline_Calc!$E$2:$E$5251,Pipeline_Sort!$C125))</f>
        <v/>
      </c>
      <c r="E125">
        <f>IF(Pipeline_Sort!$C125="","",INDEX(Pipeline_Calc!$F$2:$F$5251,Pipeline_Sort!$C125))</f>
        <v/>
      </c>
      <c r="F125">
        <f>IF(Pipeline_Sort!$C125="","",INDEX(Pipeline_Calc!$G$2:$G$5251,Pipeline_Sort!$C125))</f>
        <v/>
      </c>
      <c r="G125">
        <f>IF(Pipeline_Sort!$C125="","",INDEX(Pipeline_Calc!$H$2:$H$5251,Pipeline_Sort!$C125))</f>
        <v/>
      </c>
      <c r="H125">
        <f>IF(Pipeline_Sort!$C125="","",INDEX(Pipeline_Calc!$I$2:$I$5251,Pipeline_Sort!$C125))</f>
        <v/>
      </c>
      <c r="I125">
        <f>IF(Pipeline_Sort!$C125="","",INDEX(Pipeline_Calc!$J$2:$J$5251,Pipeline_Sort!$C125))</f>
        <v/>
      </c>
    </row>
    <row r="126">
      <c r="A126" s="22">
        <f>IF(Pipeline_Sort!$C126="","",INDEX(Pipeline_Calc!$B$2:$B$5251,Pipeline_Sort!$C126))</f>
        <v/>
      </c>
      <c r="B126">
        <f>IF(Pipeline_Sort!$C126="","",INDEX(Pipeline_Calc!$C$2:$C$5251,Pipeline_Sort!$C126))</f>
        <v/>
      </c>
      <c r="C126">
        <f>IF(Pipeline_Sort!$C126="","",INDEX(Pipeline_Calc!$D$2:$D$5251,Pipeline_Sort!$C126))</f>
        <v/>
      </c>
      <c r="D126">
        <f>IF(Pipeline_Sort!$C126="","",INDEX(Pipeline_Calc!$E$2:$E$5251,Pipeline_Sort!$C126))</f>
        <v/>
      </c>
      <c r="E126">
        <f>IF(Pipeline_Sort!$C126="","",INDEX(Pipeline_Calc!$F$2:$F$5251,Pipeline_Sort!$C126))</f>
        <v/>
      </c>
      <c r="F126">
        <f>IF(Pipeline_Sort!$C126="","",INDEX(Pipeline_Calc!$G$2:$G$5251,Pipeline_Sort!$C126))</f>
        <v/>
      </c>
      <c r="G126">
        <f>IF(Pipeline_Sort!$C126="","",INDEX(Pipeline_Calc!$H$2:$H$5251,Pipeline_Sort!$C126))</f>
        <v/>
      </c>
      <c r="H126">
        <f>IF(Pipeline_Sort!$C126="","",INDEX(Pipeline_Calc!$I$2:$I$5251,Pipeline_Sort!$C126))</f>
        <v/>
      </c>
      <c r="I126">
        <f>IF(Pipeline_Sort!$C126="","",INDEX(Pipeline_Calc!$J$2:$J$5251,Pipeline_Sort!$C126))</f>
        <v/>
      </c>
    </row>
    <row r="127">
      <c r="A127" s="22">
        <f>IF(Pipeline_Sort!$C127="","",INDEX(Pipeline_Calc!$B$2:$B$5251,Pipeline_Sort!$C127))</f>
        <v/>
      </c>
      <c r="B127">
        <f>IF(Pipeline_Sort!$C127="","",INDEX(Pipeline_Calc!$C$2:$C$5251,Pipeline_Sort!$C127))</f>
        <v/>
      </c>
      <c r="C127">
        <f>IF(Pipeline_Sort!$C127="","",INDEX(Pipeline_Calc!$D$2:$D$5251,Pipeline_Sort!$C127))</f>
        <v/>
      </c>
      <c r="D127">
        <f>IF(Pipeline_Sort!$C127="","",INDEX(Pipeline_Calc!$E$2:$E$5251,Pipeline_Sort!$C127))</f>
        <v/>
      </c>
      <c r="E127">
        <f>IF(Pipeline_Sort!$C127="","",INDEX(Pipeline_Calc!$F$2:$F$5251,Pipeline_Sort!$C127))</f>
        <v/>
      </c>
      <c r="F127">
        <f>IF(Pipeline_Sort!$C127="","",INDEX(Pipeline_Calc!$G$2:$G$5251,Pipeline_Sort!$C127))</f>
        <v/>
      </c>
      <c r="G127">
        <f>IF(Pipeline_Sort!$C127="","",INDEX(Pipeline_Calc!$H$2:$H$5251,Pipeline_Sort!$C127))</f>
        <v/>
      </c>
      <c r="H127">
        <f>IF(Pipeline_Sort!$C127="","",INDEX(Pipeline_Calc!$I$2:$I$5251,Pipeline_Sort!$C127))</f>
        <v/>
      </c>
      <c r="I127">
        <f>IF(Pipeline_Sort!$C127="","",INDEX(Pipeline_Calc!$J$2:$J$5251,Pipeline_Sort!$C127))</f>
        <v/>
      </c>
    </row>
    <row r="128">
      <c r="A128" s="22">
        <f>IF(Pipeline_Sort!$C128="","",INDEX(Pipeline_Calc!$B$2:$B$5251,Pipeline_Sort!$C128))</f>
        <v/>
      </c>
      <c r="B128">
        <f>IF(Pipeline_Sort!$C128="","",INDEX(Pipeline_Calc!$C$2:$C$5251,Pipeline_Sort!$C128))</f>
        <v/>
      </c>
      <c r="C128">
        <f>IF(Pipeline_Sort!$C128="","",INDEX(Pipeline_Calc!$D$2:$D$5251,Pipeline_Sort!$C128))</f>
        <v/>
      </c>
      <c r="D128">
        <f>IF(Pipeline_Sort!$C128="","",INDEX(Pipeline_Calc!$E$2:$E$5251,Pipeline_Sort!$C128))</f>
        <v/>
      </c>
      <c r="E128">
        <f>IF(Pipeline_Sort!$C128="","",INDEX(Pipeline_Calc!$F$2:$F$5251,Pipeline_Sort!$C128))</f>
        <v/>
      </c>
      <c r="F128">
        <f>IF(Pipeline_Sort!$C128="","",INDEX(Pipeline_Calc!$G$2:$G$5251,Pipeline_Sort!$C128))</f>
        <v/>
      </c>
      <c r="G128">
        <f>IF(Pipeline_Sort!$C128="","",INDEX(Pipeline_Calc!$H$2:$H$5251,Pipeline_Sort!$C128))</f>
        <v/>
      </c>
      <c r="H128">
        <f>IF(Pipeline_Sort!$C128="","",INDEX(Pipeline_Calc!$I$2:$I$5251,Pipeline_Sort!$C128))</f>
        <v/>
      </c>
      <c r="I128">
        <f>IF(Pipeline_Sort!$C128="","",INDEX(Pipeline_Calc!$J$2:$J$5251,Pipeline_Sort!$C128))</f>
        <v/>
      </c>
    </row>
    <row r="129">
      <c r="A129" s="22">
        <f>IF(Pipeline_Sort!$C129="","",INDEX(Pipeline_Calc!$B$2:$B$5251,Pipeline_Sort!$C129))</f>
        <v/>
      </c>
      <c r="B129">
        <f>IF(Pipeline_Sort!$C129="","",INDEX(Pipeline_Calc!$C$2:$C$5251,Pipeline_Sort!$C129))</f>
        <v/>
      </c>
      <c r="C129">
        <f>IF(Pipeline_Sort!$C129="","",INDEX(Pipeline_Calc!$D$2:$D$5251,Pipeline_Sort!$C129))</f>
        <v/>
      </c>
      <c r="D129">
        <f>IF(Pipeline_Sort!$C129="","",INDEX(Pipeline_Calc!$E$2:$E$5251,Pipeline_Sort!$C129))</f>
        <v/>
      </c>
      <c r="E129">
        <f>IF(Pipeline_Sort!$C129="","",INDEX(Pipeline_Calc!$F$2:$F$5251,Pipeline_Sort!$C129))</f>
        <v/>
      </c>
      <c r="F129">
        <f>IF(Pipeline_Sort!$C129="","",INDEX(Pipeline_Calc!$G$2:$G$5251,Pipeline_Sort!$C129))</f>
        <v/>
      </c>
      <c r="G129">
        <f>IF(Pipeline_Sort!$C129="","",INDEX(Pipeline_Calc!$H$2:$H$5251,Pipeline_Sort!$C129))</f>
        <v/>
      </c>
      <c r="H129">
        <f>IF(Pipeline_Sort!$C129="","",INDEX(Pipeline_Calc!$I$2:$I$5251,Pipeline_Sort!$C129))</f>
        <v/>
      </c>
      <c r="I129">
        <f>IF(Pipeline_Sort!$C129="","",INDEX(Pipeline_Calc!$J$2:$J$5251,Pipeline_Sort!$C129))</f>
        <v/>
      </c>
    </row>
    <row r="130">
      <c r="A130" s="22">
        <f>IF(Pipeline_Sort!$C130="","",INDEX(Pipeline_Calc!$B$2:$B$5251,Pipeline_Sort!$C130))</f>
        <v/>
      </c>
      <c r="B130">
        <f>IF(Pipeline_Sort!$C130="","",INDEX(Pipeline_Calc!$C$2:$C$5251,Pipeline_Sort!$C130))</f>
        <v/>
      </c>
      <c r="C130">
        <f>IF(Pipeline_Sort!$C130="","",INDEX(Pipeline_Calc!$D$2:$D$5251,Pipeline_Sort!$C130))</f>
        <v/>
      </c>
      <c r="D130">
        <f>IF(Pipeline_Sort!$C130="","",INDEX(Pipeline_Calc!$E$2:$E$5251,Pipeline_Sort!$C130))</f>
        <v/>
      </c>
      <c r="E130">
        <f>IF(Pipeline_Sort!$C130="","",INDEX(Pipeline_Calc!$F$2:$F$5251,Pipeline_Sort!$C130))</f>
        <v/>
      </c>
      <c r="F130">
        <f>IF(Pipeline_Sort!$C130="","",INDEX(Pipeline_Calc!$G$2:$G$5251,Pipeline_Sort!$C130))</f>
        <v/>
      </c>
      <c r="G130">
        <f>IF(Pipeline_Sort!$C130="","",INDEX(Pipeline_Calc!$H$2:$H$5251,Pipeline_Sort!$C130))</f>
        <v/>
      </c>
      <c r="H130">
        <f>IF(Pipeline_Sort!$C130="","",INDEX(Pipeline_Calc!$I$2:$I$5251,Pipeline_Sort!$C130))</f>
        <v/>
      </c>
      <c r="I130">
        <f>IF(Pipeline_Sort!$C130="","",INDEX(Pipeline_Calc!$J$2:$J$5251,Pipeline_Sort!$C130))</f>
        <v/>
      </c>
    </row>
    <row r="131">
      <c r="A131" s="22">
        <f>IF(Pipeline_Sort!$C131="","",INDEX(Pipeline_Calc!$B$2:$B$5251,Pipeline_Sort!$C131))</f>
        <v/>
      </c>
      <c r="B131">
        <f>IF(Pipeline_Sort!$C131="","",INDEX(Pipeline_Calc!$C$2:$C$5251,Pipeline_Sort!$C131))</f>
        <v/>
      </c>
      <c r="C131">
        <f>IF(Pipeline_Sort!$C131="","",INDEX(Pipeline_Calc!$D$2:$D$5251,Pipeline_Sort!$C131))</f>
        <v/>
      </c>
      <c r="D131">
        <f>IF(Pipeline_Sort!$C131="","",INDEX(Pipeline_Calc!$E$2:$E$5251,Pipeline_Sort!$C131))</f>
        <v/>
      </c>
      <c r="E131">
        <f>IF(Pipeline_Sort!$C131="","",INDEX(Pipeline_Calc!$F$2:$F$5251,Pipeline_Sort!$C131))</f>
        <v/>
      </c>
      <c r="F131">
        <f>IF(Pipeline_Sort!$C131="","",INDEX(Pipeline_Calc!$G$2:$G$5251,Pipeline_Sort!$C131))</f>
        <v/>
      </c>
      <c r="G131">
        <f>IF(Pipeline_Sort!$C131="","",INDEX(Pipeline_Calc!$H$2:$H$5251,Pipeline_Sort!$C131))</f>
        <v/>
      </c>
      <c r="H131">
        <f>IF(Pipeline_Sort!$C131="","",INDEX(Pipeline_Calc!$I$2:$I$5251,Pipeline_Sort!$C131))</f>
        <v/>
      </c>
      <c r="I131">
        <f>IF(Pipeline_Sort!$C131="","",INDEX(Pipeline_Calc!$J$2:$J$5251,Pipeline_Sort!$C131))</f>
        <v/>
      </c>
    </row>
    <row r="132">
      <c r="A132" s="22">
        <f>IF(Pipeline_Sort!$C132="","",INDEX(Pipeline_Calc!$B$2:$B$5251,Pipeline_Sort!$C132))</f>
        <v/>
      </c>
      <c r="B132">
        <f>IF(Pipeline_Sort!$C132="","",INDEX(Pipeline_Calc!$C$2:$C$5251,Pipeline_Sort!$C132))</f>
        <v/>
      </c>
      <c r="C132">
        <f>IF(Pipeline_Sort!$C132="","",INDEX(Pipeline_Calc!$D$2:$D$5251,Pipeline_Sort!$C132))</f>
        <v/>
      </c>
      <c r="D132">
        <f>IF(Pipeline_Sort!$C132="","",INDEX(Pipeline_Calc!$E$2:$E$5251,Pipeline_Sort!$C132))</f>
        <v/>
      </c>
      <c r="E132">
        <f>IF(Pipeline_Sort!$C132="","",INDEX(Pipeline_Calc!$F$2:$F$5251,Pipeline_Sort!$C132))</f>
        <v/>
      </c>
      <c r="F132">
        <f>IF(Pipeline_Sort!$C132="","",INDEX(Pipeline_Calc!$G$2:$G$5251,Pipeline_Sort!$C132))</f>
        <v/>
      </c>
      <c r="G132">
        <f>IF(Pipeline_Sort!$C132="","",INDEX(Pipeline_Calc!$H$2:$H$5251,Pipeline_Sort!$C132))</f>
        <v/>
      </c>
      <c r="H132">
        <f>IF(Pipeline_Sort!$C132="","",INDEX(Pipeline_Calc!$I$2:$I$5251,Pipeline_Sort!$C132))</f>
        <v/>
      </c>
      <c r="I132">
        <f>IF(Pipeline_Sort!$C132="","",INDEX(Pipeline_Calc!$J$2:$J$5251,Pipeline_Sort!$C132))</f>
        <v/>
      </c>
    </row>
    <row r="133">
      <c r="A133" s="22">
        <f>IF(Pipeline_Sort!$C133="","",INDEX(Pipeline_Calc!$B$2:$B$5251,Pipeline_Sort!$C133))</f>
        <v/>
      </c>
      <c r="B133">
        <f>IF(Pipeline_Sort!$C133="","",INDEX(Pipeline_Calc!$C$2:$C$5251,Pipeline_Sort!$C133))</f>
        <v/>
      </c>
      <c r="C133">
        <f>IF(Pipeline_Sort!$C133="","",INDEX(Pipeline_Calc!$D$2:$D$5251,Pipeline_Sort!$C133))</f>
        <v/>
      </c>
      <c r="D133">
        <f>IF(Pipeline_Sort!$C133="","",INDEX(Pipeline_Calc!$E$2:$E$5251,Pipeline_Sort!$C133))</f>
        <v/>
      </c>
      <c r="E133">
        <f>IF(Pipeline_Sort!$C133="","",INDEX(Pipeline_Calc!$F$2:$F$5251,Pipeline_Sort!$C133))</f>
        <v/>
      </c>
      <c r="F133">
        <f>IF(Pipeline_Sort!$C133="","",INDEX(Pipeline_Calc!$G$2:$G$5251,Pipeline_Sort!$C133))</f>
        <v/>
      </c>
      <c r="G133">
        <f>IF(Pipeline_Sort!$C133="","",INDEX(Pipeline_Calc!$H$2:$H$5251,Pipeline_Sort!$C133))</f>
        <v/>
      </c>
      <c r="H133">
        <f>IF(Pipeline_Sort!$C133="","",INDEX(Pipeline_Calc!$I$2:$I$5251,Pipeline_Sort!$C133))</f>
        <v/>
      </c>
      <c r="I133">
        <f>IF(Pipeline_Sort!$C133="","",INDEX(Pipeline_Calc!$J$2:$J$5251,Pipeline_Sort!$C133))</f>
        <v/>
      </c>
    </row>
    <row r="134">
      <c r="A134" s="22">
        <f>IF(Pipeline_Sort!$C134="","",INDEX(Pipeline_Calc!$B$2:$B$5251,Pipeline_Sort!$C134))</f>
        <v/>
      </c>
      <c r="B134">
        <f>IF(Pipeline_Sort!$C134="","",INDEX(Pipeline_Calc!$C$2:$C$5251,Pipeline_Sort!$C134))</f>
        <v/>
      </c>
      <c r="C134">
        <f>IF(Pipeline_Sort!$C134="","",INDEX(Pipeline_Calc!$D$2:$D$5251,Pipeline_Sort!$C134))</f>
        <v/>
      </c>
      <c r="D134">
        <f>IF(Pipeline_Sort!$C134="","",INDEX(Pipeline_Calc!$E$2:$E$5251,Pipeline_Sort!$C134))</f>
        <v/>
      </c>
      <c r="E134">
        <f>IF(Pipeline_Sort!$C134="","",INDEX(Pipeline_Calc!$F$2:$F$5251,Pipeline_Sort!$C134))</f>
        <v/>
      </c>
      <c r="F134">
        <f>IF(Pipeline_Sort!$C134="","",INDEX(Pipeline_Calc!$G$2:$G$5251,Pipeline_Sort!$C134))</f>
        <v/>
      </c>
      <c r="G134">
        <f>IF(Pipeline_Sort!$C134="","",INDEX(Pipeline_Calc!$H$2:$H$5251,Pipeline_Sort!$C134))</f>
        <v/>
      </c>
      <c r="H134">
        <f>IF(Pipeline_Sort!$C134="","",INDEX(Pipeline_Calc!$I$2:$I$5251,Pipeline_Sort!$C134))</f>
        <v/>
      </c>
      <c r="I134">
        <f>IF(Pipeline_Sort!$C134="","",INDEX(Pipeline_Calc!$J$2:$J$5251,Pipeline_Sort!$C134))</f>
        <v/>
      </c>
    </row>
    <row r="135">
      <c r="A135" s="22">
        <f>IF(Pipeline_Sort!$C135="","",INDEX(Pipeline_Calc!$B$2:$B$5251,Pipeline_Sort!$C135))</f>
        <v/>
      </c>
      <c r="B135">
        <f>IF(Pipeline_Sort!$C135="","",INDEX(Pipeline_Calc!$C$2:$C$5251,Pipeline_Sort!$C135))</f>
        <v/>
      </c>
      <c r="C135">
        <f>IF(Pipeline_Sort!$C135="","",INDEX(Pipeline_Calc!$D$2:$D$5251,Pipeline_Sort!$C135))</f>
        <v/>
      </c>
      <c r="D135">
        <f>IF(Pipeline_Sort!$C135="","",INDEX(Pipeline_Calc!$E$2:$E$5251,Pipeline_Sort!$C135))</f>
        <v/>
      </c>
      <c r="E135">
        <f>IF(Pipeline_Sort!$C135="","",INDEX(Pipeline_Calc!$F$2:$F$5251,Pipeline_Sort!$C135))</f>
        <v/>
      </c>
      <c r="F135">
        <f>IF(Pipeline_Sort!$C135="","",INDEX(Pipeline_Calc!$G$2:$G$5251,Pipeline_Sort!$C135))</f>
        <v/>
      </c>
      <c r="G135">
        <f>IF(Pipeline_Sort!$C135="","",INDEX(Pipeline_Calc!$H$2:$H$5251,Pipeline_Sort!$C135))</f>
        <v/>
      </c>
      <c r="H135">
        <f>IF(Pipeline_Sort!$C135="","",INDEX(Pipeline_Calc!$I$2:$I$5251,Pipeline_Sort!$C135))</f>
        <v/>
      </c>
      <c r="I135">
        <f>IF(Pipeline_Sort!$C135="","",INDEX(Pipeline_Calc!$J$2:$J$5251,Pipeline_Sort!$C135))</f>
        <v/>
      </c>
    </row>
    <row r="136">
      <c r="A136" s="22">
        <f>IF(Pipeline_Sort!$C136="","",INDEX(Pipeline_Calc!$B$2:$B$5251,Pipeline_Sort!$C136))</f>
        <v/>
      </c>
      <c r="B136">
        <f>IF(Pipeline_Sort!$C136="","",INDEX(Pipeline_Calc!$C$2:$C$5251,Pipeline_Sort!$C136))</f>
        <v/>
      </c>
      <c r="C136">
        <f>IF(Pipeline_Sort!$C136="","",INDEX(Pipeline_Calc!$D$2:$D$5251,Pipeline_Sort!$C136))</f>
        <v/>
      </c>
      <c r="D136">
        <f>IF(Pipeline_Sort!$C136="","",INDEX(Pipeline_Calc!$E$2:$E$5251,Pipeline_Sort!$C136))</f>
        <v/>
      </c>
      <c r="E136">
        <f>IF(Pipeline_Sort!$C136="","",INDEX(Pipeline_Calc!$F$2:$F$5251,Pipeline_Sort!$C136))</f>
        <v/>
      </c>
      <c r="F136">
        <f>IF(Pipeline_Sort!$C136="","",INDEX(Pipeline_Calc!$G$2:$G$5251,Pipeline_Sort!$C136))</f>
        <v/>
      </c>
      <c r="G136">
        <f>IF(Pipeline_Sort!$C136="","",INDEX(Pipeline_Calc!$H$2:$H$5251,Pipeline_Sort!$C136))</f>
        <v/>
      </c>
      <c r="H136">
        <f>IF(Pipeline_Sort!$C136="","",INDEX(Pipeline_Calc!$I$2:$I$5251,Pipeline_Sort!$C136))</f>
        <v/>
      </c>
      <c r="I136">
        <f>IF(Pipeline_Sort!$C136="","",INDEX(Pipeline_Calc!$J$2:$J$5251,Pipeline_Sort!$C136))</f>
        <v/>
      </c>
    </row>
    <row r="137">
      <c r="A137" s="22">
        <f>IF(Pipeline_Sort!$C137="","",INDEX(Pipeline_Calc!$B$2:$B$5251,Pipeline_Sort!$C137))</f>
        <v/>
      </c>
      <c r="B137">
        <f>IF(Pipeline_Sort!$C137="","",INDEX(Pipeline_Calc!$C$2:$C$5251,Pipeline_Sort!$C137))</f>
        <v/>
      </c>
      <c r="C137">
        <f>IF(Pipeline_Sort!$C137="","",INDEX(Pipeline_Calc!$D$2:$D$5251,Pipeline_Sort!$C137))</f>
        <v/>
      </c>
      <c r="D137">
        <f>IF(Pipeline_Sort!$C137="","",INDEX(Pipeline_Calc!$E$2:$E$5251,Pipeline_Sort!$C137))</f>
        <v/>
      </c>
      <c r="E137">
        <f>IF(Pipeline_Sort!$C137="","",INDEX(Pipeline_Calc!$F$2:$F$5251,Pipeline_Sort!$C137))</f>
        <v/>
      </c>
      <c r="F137">
        <f>IF(Pipeline_Sort!$C137="","",INDEX(Pipeline_Calc!$G$2:$G$5251,Pipeline_Sort!$C137))</f>
        <v/>
      </c>
      <c r="G137">
        <f>IF(Pipeline_Sort!$C137="","",INDEX(Pipeline_Calc!$H$2:$H$5251,Pipeline_Sort!$C137))</f>
        <v/>
      </c>
      <c r="H137">
        <f>IF(Pipeline_Sort!$C137="","",INDEX(Pipeline_Calc!$I$2:$I$5251,Pipeline_Sort!$C137))</f>
        <v/>
      </c>
      <c r="I137">
        <f>IF(Pipeline_Sort!$C137="","",INDEX(Pipeline_Calc!$J$2:$J$5251,Pipeline_Sort!$C137))</f>
        <v/>
      </c>
    </row>
    <row r="138">
      <c r="A138" s="22">
        <f>IF(Pipeline_Sort!$C138="","",INDEX(Pipeline_Calc!$B$2:$B$5251,Pipeline_Sort!$C138))</f>
        <v/>
      </c>
      <c r="B138">
        <f>IF(Pipeline_Sort!$C138="","",INDEX(Pipeline_Calc!$C$2:$C$5251,Pipeline_Sort!$C138))</f>
        <v/>
      </c>
      <c r="C138">
        <f>IF(Pipeline_Sort!$C138="","",INDEX(Pipeline_Calc!$D$2:$D$5251,Pipeline_Sort!$C138))</f>
        <v/>
      </c>
      <c r="D138">
        <f>IF(Pipeline_Sort!$C138="","",INDEX(Pipeline_Calc!$E$2:$E$5251,Pipeline_Sort!$C138))</f>
        <v/>
      </c>
      <c r="E138">
        <f>IF(Pipeline_Sort!$C138="","",INDEX(Pipeline_Calc!$F$2:$F$5251,Pipeline_Sort!$C138))</f>
        <v/>
      </c>
      <c r="F138">
        <f>IF(Pipeline_Sort!$C138="","",INDEX(Pipeline_Calc!$G$2:$G$5251,Pipeline_Sort!$C138))</f>
        <v/>
      </c>
      <c r="G138">
        <f>IF(Pipeline_Sort!$C138="","",INDEX(Pipeline_Calc!$H$2:$H$5251,Pipeline_Sort!$C138))</f>
        <v/>
      </c>
      <c r="H138">
        <f>IF(Pipeline_Sort!$C138="","",INDEX(Pipeline_Calc!$I$2:$I$5251,Pipeline_Sort!$C138))</f>
        <v/>
      </c>
      <c r="I138">
        <f>IF(Pipeline_Sort!$C138="","",INDEX(Pipeline_Calc!$J$2:$J$5251,Pipeline_Sort!$C138))</f>
        <v/>
      </c>
    </row>
    <row r="139">
      <c r="A139" s="22">
        <f>IF(Pipeline_Sort!$C139="","",INDEX(Pipeline_Calc!$B$2:$B$5251,Pipeline_Sort!$C139))</f>
        <v/>
      </c>
      <c r="B139">
        <f>IF(Pipeline_Sort!$C139="","",INDEX(Pipeline_Calc!$C$2:$C$5251,Pipeline_Sort!$C139))</f>
        <v/>
      </c>
      <c r="C139">
        <f>IF(Pipeline_Sort!$C139="","",INDEX(Pipeline_Calc!$D$2:$D$5251,Pipeline_Sort!$C139))</f>
        <v/>
      </c>
      <c r="D139">
        <f>IF(Pipeline_Sort!$C139="","",INDEX(Pipeline_Calc!$E$2:$E$5251,Pipeline_Sort!$C139))</f>
        <v/>
      </c>
      <c r="E139">
        <f>IF(Pipeline_Sort!$C139="","",INDEX(Pipeline_Calc!$F$2:$F$5251,Pipeline_Sort!$C139))</f>
        <v/>
      </c>
      <c r="F139">
        <f>IF(Pipeline_Sort!$C139="","",INDEX(Pipeline_Calc!$G$2:$G$5251,Pipeline_Sort!$C139))</f>
        <v/>
      </c>
      <c r="G139">
        <f>IF(Pipeline_Sort!$C139="","",INDEX(Pipeline_Calc!$H$2:$H$5251,Pipeline_Sort!$C139))</f>
        <v/>
      </c>
      <c r="H139">
        <f>IF(Pipeline_Sort!$C139="","",INDEX(Pipeline_Calc!$I$2:$I$5251,Pipeline_Sort!$C139))</f>
        <v/>
      </c>
      <c r="I139">
        <f>IF(Pipeline_Sort!$C139="","",INDEX(Pipeline_Calc!$J$2:$J$5251,Pipeline_Sort!$C139))</f>
        <v/>
      </c>
    </row>
    <row r="140">
      <c r="A140" s="22">
        <f>IF(Pipeline_Sort!$C140="","",INDEX(Pipeline_Calc!$B$2:$B$5251,Pipeline_Sort!$C140))</f>
        <v/>
      </c>
      <c r="B140">
        <f>IF(Pipeline_Sort!$C140="","",INDEX(Pipeline_Calc!$C$2:$C$5251,Pipeline_Sort!$C140))</f>
        <v/>
      </c>
      <c r="C140">
        <f>IF(Pipeline_Sort!$C140="","",INDEX(Pipeline_Calc!$D$2:$D$5251,Pipeline_Sort!$C140))</f>
        <v/>
      </c>
      <c r="D140">
        <f>IF(Pipeline_Sort!$C140="","",INDEX(Pipeline_Calc!$E$2:$E$5251,Pipeline_Sort!$C140))</f>
        <v/>
      </c>
      <c r="E140">
        <f>IF(Pipeline_Sort!$C140="","",INDEX(Pipeline_Calc!$F$2:$F$5251,Pipeline_Sort!$C140))</f>
        <v/>
      </c>
      <c r="F140">
        <f>IF(Pipeline_Sort!$C140="","",INDEX(Pipeline_Calc!$G$2:$G$5251,Pipeline_Sort!$C140))</f>
        <v/>
      </c>
      <c r="G140">
        <f>IF(Pipeline_Sort!$C140="","",INDEX(Pipeline_Calc!$H$2:$H$5251,Pipeline_Sort!$C140))</f>
        <v/>
      </c>
      <c r="H140">
        <f>IF(Pipeline_Sort!$C140="","",INDEX(Pipeline_Calc!$I$2:$I$5251,Pipeline_Sort!$C140))</f>
        <v/>
      </c>
      <c r="I140">
        <f>IF(Pipeline_Sort!$C140="","",INDEX(Pipeline_Calc!$J$2:$J$5251,Pipeline_Sort!$C140))</f>
        <v/>
      </c>
    </row>
    <row r="141">
      <c r="A141" s="22">
        <f>IF(Pipeline_Sort!$C141="","",INDEX(Pipeline_Calc!$B$2:$B$5251,Pipeline_Sort!$C141))</f>
        <v/>
      </c>
      <c r="B141">
        <f>IF(Pipeline_Sort!$C141="","",INDEX(Pipeline_Calc!$C$2:$C$5251,Pipeline_Sort!$C141))</f>
        <v/>
      </c>
      <c r="C141">
        <f>IF(Pipeline_Sort!$C141="","",INDEX(Pipeline_Calc!$D$2:$D$5251,Pipeline_Sort!$C141))</f>
        <v/>
      </c>
      <c r="D141">
        <f>IF(Pipeline_Sort!$C141="","",INDEX(Pipeline_Calc!$E$2:$E$5251,Pipeline_Sort!$C141))</f>
        <v/>
      </c>
      <c r="E141">
        <f>IF(Pipeline_Sort!$C141="","",INDEX(Pipeline_Calc!$F$2:$F$5251,Pipeline_Sort!$C141))</f>
        <v/>
      </c>
      <c r="F141">
        <f>IF(Pipeline_Sort!$C141="","",INDEX(Pipeline_Calc!$G$2:$G$5251,Pipeline_Sort!$C141))</f>
        <v/>
      </c>
      <c r="G141">
        <f>IF(Pipeline_Sort!$C141="","",INDEX(Pipeline_Calc!$H$2:$H$5251,Pipeline_Sort!$C141))</f>
        <v/>
      </c>
      <c r="H141">
        <f>IF(Pipeline_Sort!$C141="","",INDEX(Pipeline_Calc!$I$2:$I$5251,Pipeline_Sort!$C141))</f>
        <v/>
      </c>
      <c r="I141">
        <f>IF(Pipeline_Sort!$C141="","",INDEX(Pipeline_Calc!$J$2:$J$5251,Pipeline_Sort!$C141))</f>
        <v/>
      </c>
    </row>
    <row r="142">
      <c r="A142" s="22">
        <f>IF(Pipeline_Sort!$C142="","",INDEX(Pipeline_Calc!$B$2:$B$5251,Pipeline_Sort!$C142))</f>
        <v/>
      </c>
      <c r="B142">
        <f>IF(Pipeline_Sort!$C142="","",INDEX(Pipeline_Calc!$C$2:$C$5251,Pipeline_Sort!$C142))</f>
        <v/>
      </c>
      <c r="C142">
        <f>IF(Pipeline_Sort!$C142="","",INDEX(Pipeline_Calc!$D$2:$D$5251,Pipeline_Sort!$C142))</f>
        <v/>
      </c>
      <c r="D142">
        <f>IF(Pipeline_Sort!$C142="","",INDEX(Pipeline_Calc!$E$2:$E$5251,Pipeline_Sort!$C142))</f>
        <v/>
      </c>
      <c r="E142">
        <f>IF(Pipeline_Sort!$C142="","",INDEX(Pipeline_Calc!$F$2:$F$5251,Pipeline_Sort!$C142))</f>
        <v/>
      </c>
      <c r="F142">
        <f>IF(Pipeline_Sort!$C142="","",INDEX(Pipeline_Calc!$G$2:$G$5251,Pipeline_Sort!$C142))</f>
        <v/>
      </c>
      <c r="G142">
        <f>IF(Pipeline_Sort!$C142="","",INDEX(Pipeline_Calc!$H$2:$H$5251,Pipeline_Sort!$C142))</f>
        <v/>
      </c>
      <c r="H142">
        <f>IF(Pipeline_Sort!$C142="","",INDEX(Pipeline_Calc!$I$2:$I$5251,Pipeline_Sort!$C142))</f>
        <v/>
      </c>
      <c r="I142">
        <f>IF(Pipeline_Sort!$C142="","",INDEX(Pipeline_Calc!$J$2:$J$5251,Pipeline_Sort!$C142))</f>
        <v/>
      </c>
    </row>
    <row r="143">
      <c r="A143" s="22">
        <f>IF(Pipeline_Sort!$C143="","",INDEX(Pipeline_Calc!$B$2:$B$5251,Pipeline_Sort!$C143))</f>
        <v/>
      </c>
      <c r="B143">
        <f>IF(Pipeline_Sort!$C143="","",INDEX(Pipeline_Calc!$C$2:$C$5251,Pipeline_Sort!$C143))</f>
        <v/>
      </c>
      <c r="C143">
        <f>IF(Pipeline_Sort!$C143="","",INDEX(Pipeline_Calc!$D$2:$D$5251,Pipeline_Sort!$C143))</f>
        <v/>
      </c>
      <c r="D143">
        <f>IF(Pipeline_Sort!$C143="","",INDEX(Pipeline_Calc!$E$2:$E$5251,Pipeline_Sort!$C143))</f>
        <v/>
      </c>
      <c r="E143">
        <f>IF(Pipeline_Sort!$C143="","",INDEX(Pipeline_Calc!$F$2:$F$5251,Pipeline_Sort!$C143))</f>
        <v/>
      </c>
      <c r="F143">
        <f>IF(Pipeline_Sort!$C143="","",INDEX(Pipeline_Calc!$G$2:$G$5251,Pipeline_Sort!$C143))</f>
        <v/>
      </c>
      <c r="G143">
        <f>IF(Pipeline_Sort!$C143="","",INDEX(Pipeline_Calc!$H$2:$H$5251,Pipeline_Sort!$C143))</f>
        <v/>
      </c>
      <c r="H143">
        <f>IF(Pipeline_Sort!$C143="","",INDEX(Pipeline_Calc!$I$2:$I$5251,Pipeline_Sort!$C143))</f>
        <v/>
      </c>
      <c r="I143">
        <f>IF(Pipeline_Sort!$C143="","",INDEX(Pipeline_Calc!$J$2:$J$5251,Pipeline_Sort!$C143))</f>
        <v/>
      </c>
    </row>
    <row r="144">
      <c r="A144" s="22">
        <f>IF(Pipeline_Sort!$C144="","",INDEX(Pipeline_Calc!$B$2:$B$5251,Pipeline_Sort!$C144))</f>
        <v/>
      </c>
      <c r="B144">
        <f>IF(Pipeline_Sort!$C144="","",INDEX(Pipeline_Calc!$C$2:$C$5251,Pipeline_Sort!$C144))</f>
        <v/>
      </c>
      <c r="C144">
        <f>IF(Pipeline_Sort!$C144="","",INDEX(Pipeline_Calc!$D$2:$D$5251,Pipeline_Sort!$C144))</f>
        <v/>
      </c>
      <c r="D144">
        <f>IF(Pipeline_Sort!$C144="","",INDEX(Pipeline_Calc!$E$2:$E$5251,Pipeline_Sort!$C144))</f>
        <v/>
      </c>
      <c r="E144">
        <f>IF(Pipeline_Sort!$C144="","",INDEX(Pipeline_Calc!$F$2:$F$5251,Pipeline_Sort!$C144))</f>
        <v/>
      </c>
      <c r="F144">
        <f>IF(Pipeline_Sort!$C144="","",INDEX(Pipeline_Calc!$G$2:$G$5251,Pipeline_Sort!$C144))</f>
        <v/>
      </c>
      <c r="G144">
        <f>IF(Pipeline_Sort!$C144="","",INDEX(Pipeline_Calc!$H$2:$H$5251,Pipeline_Sort!$C144))</f>
        <v/>
      </c>
      <c r="H144">
        <f>IF(Pipeline_Sort!$C144="","",INDEX(Pipeline_Calc!$I$2:$I$5251,Pipeline_Sort!$C144))</f>
        <v/>
      </c>
      <c r="I144">
        <f>IF(Pipeline_Sort!$C144="","",INDEX(Pipeline_Calc!$J$2:$J$5251,Pipeline_Sort!$C144))</f>
        <v/>
      </c>
    </row>
    <row r="145">
      <c r="A145" s="22">
        <f>IF(Pipeline_Sort!$C145="","",INDEX(Pipeline_Calc!$B$2:$B$5251,Pipeline_Sort!$C145))</f>
        <v/>
      </c>
      <c r="B145">
        <f>IF(Pipeline_Sort!$C145="","",INDEX(Pipeline_Calc!$C$2:$C$5251,Pipeline_Sort!$C145))</f>
        <v/>
      </c>
      <c r="C145">
        <f>IF(Pipeline_Sort!$C145="","",INDEX(Pipeline_Calc!$D$2:$D$5251,Pipeline_Sort!$C145))</f>
        <v/>
      </c>
      <c r="D145">
        <f>IF(Pipeline_Sort!$C145="","",INDEX(Pipeline_Calc!$E$2:$E$5251,Pipeline_Sort!$C145))</f>
        <v/>
      </c>
      <c r="E145">
        <f>IF(Pipeline_Sort!$C145="","",INDEX(Pipeline_Calc!$F$2:$F$5251,Pipeline_Sort!$C145))</f>
        <v/>
      </c>
      <c r="F145">
        <f>IF(Pipeline_Sort!$C145="","",INDEX(Pipeline_Calc!$G$2:$G$5251,Pipeline_Sort!$C145))</f>
        <v/>
      </c>
      <c r="G145">
        <f>IF(Pipeline_Sort!$C145="","",INDEX(Pipeline_Calc!$H$2:$H$5251,Pipeline_Sort!$C145))</f>
        <v/>
      </c>
      <c r="H145">
        <f>IF(Pipeline_Sort!$C145="","",INDEX(Pipeline_Calc!$I$2:$I$5251,Pipeline_Sort!$C145))</f>
        <v/>
      </c>
      <c r="I145">
        <f>IF(Pipeline_Sort!$C145="","",INDEX(Pipeline_Calc!$J$2:$J$5251,Pipeline_Sort!$C145))</f>
        <v/>
      </c>
    </row>
    <row r="146">
      <c r="A146" s="22">
        <f>IF(Pipeline_Sort!$C146="","",INDEX(Pipeline_Calc!$B$2:$B$5251,Pipeline_Sort!$C146))</f>
        <v/>
      </c>
      <c r="B146">
        <f>IF(Pipeline_Sort!$C146="","",INDEX(Pipeline_Calc!$C$2:$C$5251,Pipeline_Sort!$C146))</f>
        <v/>
      </c>
      <c r="C146">
        <f>IF(Pipeline_Sort!$C146="","",INDEX(Pipeline_Calc!$D$2:$D$5251,Pipeline_Sort!$C146))</f>
        <v/>
      </c>
      <c r="D146">
        <f>IF(Pipeline_Sort!$C146="","",INDEX(Pipeline_Calc!$E$2:$E$5251,Pipeline_Sort!$C146))</f>
        <v/>
      </c>
      <c r="E146">
        <f>IF(Pipeline_Sort!$C146="","",INDEX(Pipeline_Calc!$F$2:$F$5251,Pipeline_Sort!$C146))</f>
        <v/>
      </c>
      <c r="F146">
        <f>IF(Pipeline_Sort!$C146="","",INDEX(Pipeline_Calc!$G$2:$G$5251,Pipeline_Sort!$C146))</f>
        <v/>
      </c>
      <c r="G146">
        <f>IF(Pipeline_Sort!$C146="","",INDEX(Pipeline_Calc!$H$2:$H$5251,Pipeline_Sort!$C146))</f>
        <v/>
      </c>
      <c r="H146">
        <f>IF(Pipeline_Sort!$C146="","",INDEX(Pipeline_Calc!$I$2:$I$5251,Pipeline_Sort!$C146))</f>
        <v/>
      </c>
      <c r="I146">
        <f>IF(Pipeline_Sort!$C146="","",INDEX(Pipeline_Calc!$J$2:$J$5251,Pipeline_Sort!$C146))</f>
        <v/>
      </c>
    </row>
    <row r="147">
      <c r="A147" s="22">
        <f>IF(Pipeline_Sort!$C147="","",INDEX(Pipeline_Calc!$B$2:$B$5251,Pipeline_Sort!$C147))</f>
        <v/>
      </c>
      <c r="B147">
        <f>IF(Pipeline_Sort!$C147="","",INDEX(Pipeline_Calc!$C$2:$C$5251,Pipeline_Sort!$C147))</f>
        <v/>
      </c>
      <c r="C147">
        <f>IF(Pipeline_Sort!$C147="","",INDEX(Pipeline_Calc!$D$2:$D$5251,Pipeline_Sort!$C147))</f>
        <v/>
      </c>
      <c r="D147">
        <f>IF(Pipeline_Sort!$C147="","",INDEX(Pipeline_Calc!$E$2:$E$5251,Pipeline_Sort!$C147))</f>
        <v/>
      </c>
      <c r="E147">
        <f>IF(Pipeline_Sort!$C147="","",INDEX(Pipeline_Calc!$F$2:$F$5251,Pipeline_Sort!$C147))</f>
        <v/>
      </c>
      <c r="F147">
        <f>IF(Pipeline_Sort!$C147="","",INDEX(Pipeline_Calc!$G$2:$G$5251,Pipeline_Sort!$C147))</f>
        <v/>
      </c>
      <c r="G147">
        <f>IF(Pipeline_Sort!$C147="","",INDEX(Pipeline_Calc!$H$2:$H$5251,Pipeline_Sort!$C147))</f>
        <v/>
      </c>
      <c r="H147">
        <f>IF(Pipeline_Sort!$C147="","",INDEX(Pipeline_Calc!$I$2:$I$5251,Pipeline_Sort!$C147))</f>
        <v/>
      </c>
      <c r="I147">
        <f>IF(Pipeline_Sort!$C147="","",INDEX(Pipeline_Calc!$J$2:$J$5251,Pipeline_Sort!$C147))</f>
        <v/>
      </c>
    </row>
    <row r="148">
      <c r="A148" s="22">
        <f>IF(Pipeline_Sort!$C148="","",INDEX(Pipeline_Calc!$B$2:$B$5251,Pipeline_Sort!$C148))</f>
        <v/>
      </c>
      <c r="B148">
        <f>IF(Pipeline_Sort!$C148="","",INDEX(Pipeline_Calc!$C$2:$C$5251,Pipeline_Sort!$C148))</f>
        <v/>
      </c>
      <c r="C148">
        <f>IF(Pipeline_Sort!$C148="","",INDEX(Pipeline_Calc!$D$2:$D$5251,Pipeline_Sort!$C148))</f>
        <v/>
      </c>
      <c r="D148">
        <f>IF(Pipeline_Sort!$C148="","",INDEX(Pipeline_Calc!$E$2:$E$5251,Pipeline_Sort!$C148))</f>
        <v/>
      </c>
      <c r="E148">
        <f>IF(Pipeline_Sort!$C148="","",INDEX(Pipeline_Calc!$F$2:$F$5251,Pipeline_Sort!$C148))</f>
        <v/>
      </c>
      <c r="F148">
        <f>IF(Pipeline_Sort!$C148="","",INDEX(Pipeline_Calc!$G$2:$G$5251,Pipeline_Sort!$C148))</f>
        <v/>
      </c>
      <c r="G148">
        <f>IF(Pipeline_Sort!$C148="","",INDEX(Pipeline_Calc!$H$2:$H$5251,Pipeline_Sort!$C148))</f>
        <v/>
      </c>
      <c r="H148">
        <f>IF(Pipeline_Sort!$C148="","",INDEX(Pipeline_Calc!$I$2:$I$5251,Pipeline_Sort!$C148))</f>
        <v/>
      </c>
      <c r="I148">
        <f>IF(Pipeline_Sort!$C148="","",INDEX(Pipeline_Calc!$J$2:$J$5251,Pipeline_Sort!$C148))</f>
        <v/>
      </c>
    </row>
    <row r="149">
      <c r="A149" s="22">
        <f>IF(Pipeline_Sort!$C149="","",INDEX(Pipeline_Calc!$B$2:$B$5251,Pipeline_Sort!$C149))</f>
        <v/>
      </c>
      <c r="B149">
        <f>IF(Pipeline_Sort!$C149="","",INDEX(Pipeline_Calc!$C$2:$C$5251,Pipeline_Sort!$C149))</f>
        <v/>
      </c>
      <c r="C149">
        <f>IF(Pipeline_Sort!$C149="","",INDEX(Pipeline_Calc!$D$2:$D$5251,Pipeline_Sort!$C149))</f>
        <v/>
      </c>
      <c r="D149">
        <f>IF(Pipeline_Sort!$C149="","",INDEX(Pipeline_Calc!$E$2:$E$5251,Pipeline_Sort!$C149))</f>
        <v/>
      </c>
      <c r="E149">
        <f>IF(Pipeline_Sort!$C149="","",INDEX(Pipeline_Calc!$F$2:$F$5251,Pipeline_Sort!$C149))</f>
        <v/>
      </c>
      <c r="F149">
        <f>IF(Pipeline_Sort!$C149="","",INDEX(Pipeline_Calc!$G$2:$G$5251,Pipeline_Sort!$C149))</f>
        <v/>
      </c>
      <c r="G149">
        <f>IF(Pipeline_Sort!$C149="","",INDEX(Pipeline_Calc!$H$2:$H$5251,Pipeline_Sort!$C149))</f>
        <v/>
      </c>
      <c r="H149">
        <f>IF(Pipeline_Sort!$C149="","",INDEX(Pipeline_Calc!$I$2:$I$5251,Pipeline_Sort!$C149))</f>
        <v/>
      </c>
      <c r="I149">
        <f>IF(Pipeline_Sort!$C149="","",INDEX(Pipeline_Calc!$J$2:$J$5251,Pipeline_Sort!$C149))</f>
        <v/>
      </c>
    </row>
    <row r="150">
      <c r="A150" s="22">
        <f>IF(Pipeline_Sort!$C150="","",INDEX(Pipeline_Calc!$B$2:$B$5251,Pipeline_Sort!$C150))</f>
        <v/>
      </c>
      <c r="B150">
        <f>IF(Pipeline_Sort!$C150="","",INDEX(Pipeline_Calc!$C$2:$C$5251,Pipeline_Sort!$C150))</f>
        <v/>
      </c>
      <c r="C150">
        <f>IF(Pipeline_Sort!$C150="","",INDEX(Pipeline_Calc!$D$2:$D$5251,Pipeline_Sort!$C150))</f>
        <v/>
      </c>
      <c r="D150">
        <f>IF(Pipeline_Sort!$C150="","",INDEX(Pipeline_Calc!$E$2:$E$5251,Pipeline_Sort!$C150))</f>
        <v/>
      </c>
      <c r="E150">
        <f>IF(Pipeline_Sort!$C150="","",INDEX(Pipeline_Calc!$F$2:$F$5251,Pipeline_Sort!$C150))</f>
        <v/>
      </c>
      <c r="F150">
        <f>IF(Pipeline_Sort!$C150="","",INDEX(Pipeline_Calc!$G$2:$G$5251,Pipeline_Sort!$C150))</f>
        <v/>
      </c>
      <c r="G150">
        <f>IF(Pipeline_Sort!$C150="","",INDEX(Pipeline_Calc!$H$2:$H$5251,Pipeline_Sort!$C150))</f>
        <v/>
      </c>
      <c r="H150">
        <f>IF(Pipeline_Sort!$C150="","",INDEX(Pipeline_Calc!$I$2:$I$5251,Pipeline_Sort!$C150))</f>
        <v/>
      </c>
      <c r="I150">
        <f>IF(Pipeline_Sort!$C150="","",INDEX(Pipeline_Calc!$J$2:$J$5251,Pipeline_Sort!$C150))</f>
        <v/>
      </c>
    </row>
    <row r="151">
      <c r="A151" s="22">
        <f>IF(Pipeline_Sort!$C151="","",INDEX(Pipeline_Calc!$B$2:$B$5251,Pipeline_Sort!$C151))</f>
        <v/>
      </c>
      <c r="B151">
        <f>IF(Pipeline_Sort!$C151="","",INDEX(Pipeline_Calc!$C$2:$C$5251,Pipeline_Sort!$C151))</f>
        <v/>
      </c>
      <c r="C151">
        <f>IF(Pipeline_Sort!$C151="","",INDEX(Pipeline_Calc!$D$2:$D$5251,Pipeline_Sort!$C151))</f>
        <v/>
      </c>
      <c r="D151">
        <f>IF(Pipeline_Sort!$C151="","",INDEX(Pipeline_Calc!$E$2:$E$5251,Pipeline_Sort!$C151))</f>
        <v/>
      </c>
      <c r="E151">
        <f>IF(Pipeline_Sort!$C151="","",INDEX(Pipeline_Calc!$F$2:$F$5251,Pipeline_Sort!$C151))</f>
        <v/>
      </c>
      <c r="F151">
        <f>IF(Pipeline_Sort!$C151="","",INDEX(Pipeline_Calc!$G$2:$G$5251,Pipeline_Sort!$C151))</f>
        <v/>
      </c>
      <c r="G151">
        <f>IF(Pipeline_Sort!$C151="","",INDEX(Pipeline_Calc!$H$2:$H$5251,Pipeline_Sort!$C151))</f>
        <v/>
      </c>
      <c r="H151">
        <f>IF(Pipeline_Sort!$C151="","",INDEX(Pipeline_Calc!$I$2:$I$5251,Pipeline_Sort!$C151))</f>
        <v/>
      </c>
      <c r="I151">
        <f>IF(Pipeline_Sort!$C151="","",INDEX(Pipeline_Calc!$J$2:$J$5251,Pipeline_Sort!$C151))</f>
        <v/>
      </c>
    </row>
    <row r="152">
      <c r="A152" s="22">
        <f>IF(Pipeline_Sort!$C152="","",INDEX(Pipeline_Calc!$B$2:$B$5251,Pipeline_Sort!$C152))</f>
        <v/>
      </c>
      <c r="B152">
        <f>IF(Pipeline_Sort!$C152="","",INDEX(Pipeline_Calc!$C$2:$C$5251,Pipeline_Sort!$C152))</f>
        <v/>
      </c>
      <c r="C152">
        <f>IF(Pipeline_Sort!$C152="","",INDEX(Pipeline_Calc!$D$2:$D$5251,Pipeline_Sort!$C152))</f>
        <v/>
      </c>
      <c r="D152">
        <f>IF(Pipeline_Sort!$C152="","",INDEX(Pipeline_Calc!$E$2:$E$5251,Pipeline_Sort!$C152))</f>
        <v/>
      </c>
      <c r="E152">
        <f>IF(Pipeline_Sort!$C152="","",INDEX(Pipeline_Calc!$F$2:$F$5251,Pipeline_Sort!$C152))</f>
        <v/>
      </c>
      <c r="F152">
        <f>IF(Pipeline_Sort!$C152="","",INDEX(Pipeline_Calc!$G$2:$G$5251,Pipeline_Sort!$C152))</f>
        <v/>
      </c>
      <c r="G152">
        <f>IF(Pipeline_Sort!$C152="","",INDEX(Pipeline_Calc!$H$2:$H$5251,Pipeline_Sort!$C152))</f>
        <v/>
      </c>
      <c r="H152">
        <f>IF(Pipeline_Sort!$C152="","",INDEX(Pipeline_Calc!$I$2:$I$5251,Pipeline_Sort!$C152))</f>
        <v/>
      </c>
      <c r="I152">
        <f>IF(Pipeline_Sort!$C152="","",INDEX(Pipeline_Calc!$J$2:$J$5251,Pipeline_Sort!$C152))</f>
        <v/>
      </c>
    </row>
    <row r="153">
      <c r="A153" s="22">
        <f>IF(Pipeline_Sort!$C153="","",INDEX(Pipeline_Calc!$B$2:$B$5251,Pipeline_Sort!$C153))</f>
        <v/>
      </c>
      <c r="B153">
        <f>IF(Pipeline_Sort!$C153="","",INDEX(Pipeline_Calc!$C$2:$C$5251,Pipeline_Sort!$C153))</f>
        <v/>
      </c>
      <c r="C153">
        <f>IF(Pipeline_Sort!$C153="","",INDEX(Pipeline_Calc!$D$2:$D$5251,Pipeline_Sort!$C153))</f>
        <v/>
      </c>
      <c r="D153">
        <f>IF(Pipeline_Sort!$C153="","",INDEX(Pipeline_Calc!$E$2:$E$5251,Pipeline_Sort!$C153))</f>
        <v/>
      </c>
      <c r="E153">
        <f>IF(Pipeline_Sort!$C153="","",INDEX(Pipeline_Calc!$F$2:$F$5251,Pipeline_Sort!$C153))</f>
        <v/>
      </c>
      <c r="F153">
        <f>IF(Pipeline_Sort!$C153="","",INDEX(Pipeline_Calc!$G$2:$G$5251,Pipeline_Sort!$C153))</f>
        <v/>
      </c>
      <c r="G153">
        <f>IF(Pipeline_Sort!$C153="","",INDEX(Pipeline_Calc!$H$2:$H$5251,Pipeline_Sort!$C153))</f>
        <v/>
      </c>
      <c r="H153">
        <f>IF(Pipeline_Sort!$C153="","",INDEX(Pipeline_Calc!$I$2:$I$5251,Pipeline_Sort!$C153))</f>
        <v/>
      </c>
      <c r="I153">
        <f>IF(Pipeline_Sort!$C153="","",INDEX(Pipeline_Calc!$J$2:$J$5251,Pipeline_Sort!$C153))</f>
        <v/>
      </c>
    </row>
    <row r="154">
      <c r="A154" s="22">
        <f>IF(Pipeline_Sort!$C154="","",INDEX(Pipeline_Calc!$B$2:$B$5251,Pipeline_Sort!$C154))</f>
        <v/>
      </c>
      <c r="B154">
        <f>IF(Pipeline_Sort!$C154="","",INDEX(Pipeline_Calc!$C$2:$C$5251,Pipeline_Sort!$C154))</f>
        <v/>
      </c>
      <c r="C154">
        <f>IF(Pipeline_Sort!$C154="","",INDEX(Pipeline_Calc!$D$2:$D$5251,Pipeline_Sort!$C154))</f>
        <v/>
      </c>
      <c r="D154">
        <f>IF(Pipeline_Sort!$C154="","",INDEX(Pipeline_Calc!$E$2:$E$5251,Pipeline_Sort!$C154))</f>
        <v/>
      </c>
      <c r="E154">
        <f>IF(Pipeline_Sort!$C154="","",INDEX(Pipeline_Calc!$F$2:$F$5251,Pipeline_Sort!$C154))</f>
        <v/>
      </c>
      <c r="F154">
        <f>IF(Pipeline_Sort!$C154="","",INDEX(Pipeline_Calc!$G$2:$G$5251,Pipeline_Sort!$C154))</f>
        <v/>
      </c>
      <c r="G154">
        <f>IF(Pipeline_Sort!$C154="","",INDEX(Pipeline_Calc!$H$2:$H$5251,Pipeline_Sort!$C154))</f>
        <v/>
      </c>
      <c r="H154">
        <f>IF(Pipeline_Sort!$C154="","",INDEX(Pipeline_Calc!$I$2:$I$5251,Pipeline_Sort!$C154))</f>
        <v/>
      </c>
      <c r="I154">
        <f>IF(Pipeline_Sort!$C154="","",INDEX(Pipeline_Calc!$J$2:$J$5251,Pipeline_Sort!$C154))</f>
        <v/>
      </c>
    </row>
    <row r="155">
      <c r="A155" s="22">
        <f>IF(Pipeline_Sort!$C155="","",INDEX(Pipeline_Calc!$B$2:$B$5251,Pipeline_Sort!$C155))</f>
        <v/>
      </c>
      <c r="B155">
        <f>IF(Pipeline_Sort!$C155="","",INDEX(Pipeline_Calc!$C$2:$C$5251,Pipeline_Sort!$C155))</f>
        <v/>
      </c>
      <c r="C155">
        <f>IF(Pipeline_Sort!$C155="","",INDEX(Pipeline_Calc!$D$2:$D$5251,Pipeline_Sort!$C155))</f>
        <v/>
      </c>
      <c r="D155">
        <f>IF(Pipeline_Sort!$C155="","",INDEX(Pipeline_Calc!$E$2:$E$5251,Pipeline_Sort!$C155))</f>
        <v/>
      </c>
      <c r="E155">
        <f>IF(Pipeline_Sort!$C155="","",INDEX(Pipeline_Calc!$F$2:$F$5251,Pipeline_Sort!$C155))</f>
        <v/>
      </c>
      <c r="F155">
        <f>IF(Pipeline_Sort!$C155="","",INDEX(Pipeline_Calc!$G$2:$G$5251,Pipeline_Sort!$C155))</f>
        <v/>
      </c>
      <c r="G155">
        <f>IF(Pipeline_Sort!$C155="","",INDEX(Pipeline_Calc!$H$2:$H$5251,Pipeline_Sort!$C155))</f>
        <v/>
      </c>
      <c r="H155">
        <f>IF(Pipeline_Sort!$C155="","",INDEX(Pipeline_Calc!$I$2:$I$5251,Pipeline_Sort!$C155))</f>
        <v/>
      </c>
      <c r="I155">
        <f>IF(Pipeline_Sort!$C155="","",INDEX(Pipeline_Calc!$J$2:$J$5251,Pipeline_Sort!$C155))</f>
        <v/>
      </c>
    </row>
    <row r="156">
      <c r="A156" s="22">
        <f>IF(Pipeline_Sort!$C156="","",INDEX(Pipeline_Calc!$B$2:$B$5251,Pipeline_Sort!$C156))</f>
        <v/>
      </c>
      <c r="B156">
        <f>IF(Pipeline_Sort!$C156="","",INDEX(Pipeline_Calc!$C$2:$C$5251,Pipeline_Sort!$C156))</f>
        <v/>
      </c>
      <c r="C156">
        <f>IF(Pipeline_Sort!$C156="","",INDEX(Pipeline_Calc!$D$2:$D$5251,Pipeline_Sort!$C156))</f>
        <v/>
      </c>
      <c r="D156">
        <f>IF(Pipeline_Sort!$C156="","",INDEX(Pipeline_Calc!$E$2:$E$5251,Pipeline_Sort!$C156))</f>
        <v/>
      </c>
      <c r="E156">
        <f>IF(Pipeline_Sort!$C156="","",INDEX(Pipeline_Calc!$F$2:$F$5251,Pipeline_Sort!$C156))</f>
        <v/>
      </c>
      <c r="F156">
        <f>IF(Pipeline_Sort!$C156="","",INDEX(Pipeline_Calc!$G$2:$G$5251,Pipeline_Sort!$C156))</f>
        <v/>
      </c>
      <c r="G156">
        <f>IF(Pipeline_Sort!$C156="","",INDEX(Pipeline_Calc!$H$2:$H$5251,Pipeline_Sort!$C156))</f>
        <v/>
      </c>
      <c r="H156">
        <f>IF(Pipeline_Sort!$C156="","",INDEX(Pipeline_Calc!$I$2:$I$5251,Pipeline_Sort!$C156))</f>
        <v/>
      </c>
      <c r="I156">
        <f>IF(Pipeline_Sort!$C156="","",INDEX(Pipeline_Calc!$J$2:$J$5251,Pipeline_Sort!$C156))</f>
        <v/>
      </c>
    </row>
    <row r="157">
      <c r="A157" s="22">
        <f>IF(Pipeline_Sort!$C157="","",INDEX(Pipeline_Calc!$B$2:$B$5251,Pipeline_Sort!$C157))</f>
        <v/>
      </c>
      <c r="B157">
        <f>IF(Pipeline_Sort!$C157="","",INDEX(Pipeline_Calc!$C$2:$C$5251,Pipeline_Sort!$C157))</f>
        <v/>
      </c>
      <c r="C157">
        <f>IF(Pipeline_Sort!$C157="","",INDEX(Pipeline_Calc!$D$2:$D$5251,Pipeline_Sort!$C157))</f>
        <v/>
      </c>
      <c r="D157">
        <f>IF(Pipeline_Sort!$C157="","",INDEX(Pipeline_Calc!$E$2:$E$5251,Pipeline_Sort!$C157))</f>
        <v/>
      </c>
      <c r="E157">
        <f>IF(Pipeline_Sort!$C157="","",INDEX(Pipeline_Calc!$F$2:$F$5251,Pipeline_Sort!$C157))</f>
        <v/>
      </c>
      <c r="F157">
        <f>IF(Pipeline_Sort!$C157="","",INDEX(Pipeline_Calc!$G$2:$G$5251,Pipeline_Sort!$C157))</f>
        <v/>
      </c>
      <c r="G157">
        <f>IF(Pipeline_Sort!$C157="","",INDEX(Pipeline_Calc!$H$2:$H$5251,Pipeline_Sort!$C157))</f>
        <v/>
      </c>
      <c r="H157">
        <f>IF(Pipeline_Sort!$C157="","",INDEX(Pipeline_Calc!$I$2:$I$5251,Pipeline_Sort!$C157))</f>
        <v/>
      </c>
      <c r="I157">
        <f>IF(Pipeline_Sort!$C157="","",INDEX(Pipeline_Calc!$J$2:$J$5251,Pipeline_Sort!$C157))</f>
        <v/>
      </c>
    </row>
    <row r="158">
      <c r="A158" s="22">
        <f>IF(Pipeline_Sort!$C158="","",INDEX(Pipeline_Calc!$B$2:$B$5251,Pipeline_Sort!$C158))</f>
        <v/>
      </c>
      <c r="B158">
        <f>IF(Pipeline_Sort!$C158="","",INDEX(Pipeline_Calc!$C$2:$C$5251,Pipeline_Sort!$C158))</f>
        <v/>
      </c>
      <c r="C158">
        <f>IF(Pipeline_Sort!$C158="","",INDEX(Pipeline_Calc!$D$2:$D$5251,Pipeline_Sort!$C158))</f>
        <v/>
      </c>
      <c r="D158">
        <f>IF(Pipeline_Sort!$C158="","",INDEX(Pipeline_Calc!$E$2:$E$5251,Pipeline_Sort!$C158))</f>
        <v/>
      </c>
      <c r="E158">
        <f>IF(Pipeline_Sort!$C158="","",INDEX(Pipeline_Calc!$F$2:$F$5251,Pipeline_Sort!$C158))</f>
        <v/>
      </c>
      <c r="F158">
        <f>IF(Pipeline_Sort!$C158="","",INDEX(Pipeline_Calc!$G$2:$G$5251,Pipeline_Sort!$C158))</f>
        <v/>
      </c>
      <c r="G158">
        <f>IF(Pipeline_Sort!$C158="","",INDEX(Pipeline_Calc!$H$2:$H$5251,Pipeline_Sort!$C158))</f>
        <v/>
      </c>
      <c r="H158">
        <f>IF(Pipeline_Sort!$C158="","",INDEX(Pipeline_Calc!$I$2:$I$5251,Pipeline_Sort!$C158))</f>
        <v/>
      </c>
      <c r="I158">
        <f>IF(Pipeline_Sort!$C158="","",INDEX(Pipeline_Calc!$J$2:$J$5251,Pipeline_Sort!$C158))</f>
        <v/>
      </c>
    </row>
    <row r="159">
      <c r="A159" s="22">
        <f>IF(Pipeline_Sort!$C159="","",INDEX(Pipeline_Calc!$B$2:$B$5251,Pipeline_Sort!$C159))</f>
        <v/>
      </c>
      <c r="B159">
        <f>IF(Pipeline_Sort!$C159="","",INDEX(Pipeline_Calc!$C$2:$C$5251,Pipeline_Sort!$C159))</f>
        <v/>
      </c>
      <c r="C159">
        <f>IF(Pipeline_Sort!$C159="","",INDEX(Pipeline_Calc!$D$2:$D$5251,Pipeline_Sort!$C159))</f>
        <v/>
      </c>
      <c r="D159">
        <f>IF(Pipeline_Sort!$C159="","",INDEX(Pipeline_Calc!$E$2:$E$5251,Pipeline_Sort!$C159))</f>
        <v/>
      </c>
      <c r="E159">
        <f>IF(Pipeline_Sort!$C159="","",INDEX(Pipeline_Calc!$F$2:$F$5251,Pipeline_Sort!$C159))</f>
        <v/>
      </c>
      <c r="F159">
        <f>IF(Pipeline_Sort!$C159="","",INDEX(Pipeline_Calc!$G$2:$G$5251,Pipeline_Sort!$C159))</f>
        <v/>
      </c>
      <c r="G159">
        <f>IF(Pipeline_Sort!$C159="","",INDEX(Pipeline_Calc!$H$2:$H$5251,Pipeline_Sort!$C159))</f>
        <v/>
      </c>
      <c r="H159">
        <f>IF(Pipeline_Sort!$C159="","",INDEX(Pipeline_Calc!$I$2:$I$5251,Pipeline_Sort!$C159))</f>
        <v/>
      </c>
      <c r="I159">
        <f>IF(Pipeline_Sort!$C159="","",INDEX(Pipeline_Calc!$J$2:$J$5251,Pipeline_Sort!$C159))</f>
        <v/>
      </c>
    </row>
    <row r="160">
      <c r="A160" s="22">
        <f>IF(Pipeline_Sort!$C160="","",INDEX(Pipeline_Calc!$B$2:$B$5251,Pipeline_Sort!$C160))</f>
        <v/>
      </c>
      <c r="B160">
        <f>IF(Pipeline_Sort!$C160="","",INDEX(Pipeline_Calc!$C$2:$C$5251,Pipeline_Sort!$C160))</f>
        <v/>
      </c>
      <c r="C160">
        <f>IF(Pipeline_Sort!$C160="","",INDEX(Pipeline_Calc!$D$2:$D$5251,Pipeline_Sort!$C160))</f>
        <v/>
      </c>
      <c r="D160">
        <f>IF(Pipeline_Sort!$C160="","",INDEX(Pipeline_Calc!$E$2:$E$5251,Pipeline_Sort!$C160))</f>
        <v/>
      </c>
      <c r="E160">
        <f>IF(Pipeline_Sort!$C160="","",INDEX(Pipeline_Calc!$F$2:$F$5251,Pipeline_Sort!$C160))</f>
        <v/>
      </c>
      <c r="F160">
        <f>IF(Pipeline_Sort!$C160="","",INDEX(Pipeline_Calc!$G$2:$G$5251,Pipeline_Sort!$C160))</f>
        <v/>
      </c>
      <c r="G160">
        <f>IF(Pipeline_Sort!$C160="","",INDEX(Pipeline_Calc!$H$2:$H$5251,Pipeline_Sort!$C160))</f>
        <v/>
      </c>
      <c r="H160">
        <f>IF(Pipeline_Sort!$C160="","",INDEX(Pipeline_Calc!$I$2:$I$5251,Pipeline_Sort!$C160))</f>
        <v/>
      </c>
      <c r="I160">
        <f>IF(Pipeline_Sort!$C160="","",INDEX(Pipeline_Calc!$J$2:$J$5251,Pipeline_Sort!$C160))</f>
        <v/>
      </c>
    </row>
    <row r="161">
      <c r="A161" s="22">
        <f>IF(Pipeline_Sort!$C161="","",INDEX(Pipeline_Calc!$B$2:$B$5251,Pipeline_Sort!$C161))</f>
        <v/>
      </c>
      <c r="B161">
        <f>IF(Pipeline_Sort!$C161="","",INDEX(Pipeline_Calc!$C$2:$C$5251,Pipeline_Sort!$C161))</f>
        <v/>
      </c>
      <c r="C161">
        <f>IF(Pipeline_Sort!$C161="","",INDEX(Pipeline_Calc!$D$2:$D$5251,Pipeline_Sort!$C161))</f>
        <v/>
      </c>
      <c r="D161">
        <f>IF(Pipeline_Sort!$C161="","",INDEX(Pipeline_Calc!$E$2:$E$5251,Pipeline_Sort!$C161))</f>
        <v/>
      </c>
      <c r="E161">
        <f>IF(Pipeline_Sort!$C161="","",INDEX(Pipeline_Calc!$F$2:$F$5251,Pipeline_Sort!$C161))</f>
        <v/>
      </c>
      <c r="F161">
        <f>IF(Pipeline_Sort!$C161="","",INDEX(Pipeline_Calc!$G$2:$G$5251,Pipeline_Sort!$C161))</f>
        <v/>
      </c>
      <c r="G161">
        <f>IF(Pipeline_Sort!$C161="","",INDEX(Pipeline_Calc!$H$2:$H$5251,Pipeline_Sort!$C161))</f>
        <v/>
      </c>
      <c r="H161">
        <f>IF(Pipeline_Sort!$C161="","",INDEX(Pipeline_Calc!$I$2:$I$5251,Pipeline_Sort!$C161))</f>
        <v/>
      </c>
      <c r="I161">
        <f>IF(Pipeline_Sort!$C161="","",INDEX(Pipeline_Calc!$J$2:$J$5251,Pipeline_Sort!$C161))</f>
        <v/>
      </c>
    </row>
    <row r="162">
      <c r="A162" s="22">
        <f>IF(Pipeline_Sort!$C162="","",INDEX(Pipeline_Calc!$B$2:$B$5251,Pipeline_Sort!$C162))</f>
        <v/>
      </c>
      <c r="B162">
        <f>IF(Pipeline_Sort!$C162="","",INDEX(Pipeline_Calc!$C$2:$C$5251,Pipeline_Sort!$C162))</f>
        <v/>
      </c>
      <c r="C162">
        <f>IF(Pipeline_Sort!$C162="","",INDEX(Pipeline_Calc!$D$2:$D$5251,Pipeline_Sort!$C162))</f>
        <v/>
      </c>
      <c r="D162">
        <f>IF(Pipeline_Sort!$C162="","",INDEX(Pipeline_Calc!$E$2:$E$5251,Pipeline_Sort!$C162))</f>
        <v/>
      </c>
      <c r="E162">
        <f>IF(Pipeline_Sort!$C162="","",INDEX(Pipeline_Calc!$F$2:$F$5251,Pipeline_Sort!$C162))</f>
        <v/>
      </c>
      <c r="F162">
        <f>IF(Pipeline_Sort!$C162="","",INDEX(Pipeline_Calc!$G$2:$G$5251,Pipeline_Sort!$C162))</f>
        <v/>
      </c>
      <c r="G162">
        <f>IF(Pipeline_Sort!$C162="","",INDEX(Pipeline_Calc!$H$2:$H$5251,Pipeline_Sort!$C162))</f>
        <v/>
      </c>
      <c r="H162">
        <f>IF(Pipeline_Sort!$C162="","",INDEX(Pipeline_Calc!$I$2:$I$5251,Pipeline_Sort!$C162))</f>
        <v/>
      </c>
      <c r="I162">
        <f>IF(Pipeline_Sort!$C162="","",INDEX(Pipeline_Calc!$J$2:$J$5251,Pipeline_Sort!$C162))</f>
        <v/>
      </c>
    </row>
    <row r="163">
      <c r="A163" s="22">
        <f>IF(Pipeline_Sort!$C163="","",INDEX(Pipeline_Calc!$B$2:$B$5251,Pipeline_Sort!$C163))</f>
        <v/>
      </c>
      <c r="B163">
        <f>IF(Pipeline_Sort!$C163="","",INDEX(Pipeline_Calc!$C$2:$C$5251,Pipeline_Sort!$C163))</f>
        <v/>
      </c>
      <c r="C163">
        <f>IF(Pipeline_Sort!$C163="","",INDEX(Pipeline_Calc!$D$2:$D$5251,Pipeline_Sort!$C163))</f>
        <v/>
      </c>
      <c r="D163">
        <f>IF(Pipeline_Sort!$C163="","",INDEX(Pipeline_Calc!$E$2:$E$5251,Pipeline_Sort!$C163))</f>
        <v/>
      </c>
      <c r="E163">
        <f>IF(Pipeline_Sort!$C163="","",INDEX(Pipeline_Calc!$F$2:$F$5251,Pipeline_Sort!$C163))</f>
        <v/>
      </c>
      <c r="F163">
        <f>IF(Pipeline_Sort!$C163="","",INDEX(Pipeline_Calc!$G$2:$G$5251,Pipeline_Sort!$C163))</f>
        <v/>
      </c>
      <c r="G163">
        <f>IF(Pipeline_Sort!$C163="","",INDEX(Pipeline_Calc!$H$2:$H$5251,Pipeline_Sort!$C163))</f>
        <v/>
      </c>
      <c r="H163">
        <f>IF(Pipeline_Sort!$C163="","",INDEX(Pipeline_Calc!$I$2:$I$5251,Pipeline_Sort!$C163))</f>
        <v/>
      </c>
      <c r="I163">
        <f>IF(Pipeline_Sort!$C163="","",INDEX(Pipeline_Calc!$J$2:$J$5251,Pipeline_Sort!$C163))</f>
        <v/>
      </c>
    </row>
    <row r="164">
      <c r="A164" s="22">
        <f>IF(Pipeline_Sort!$C164="","",INDEX(Pipeline_Calc!$B$2:$B$5251,Pipeline_Sort!$C164))</f>
        <v/>
      </c>
      <c r="B164">
        <f>IF(Pipeline_Sort!$C164="","",INDEX(Pipeline_Calc!$C$2:$C$5251,Pipeline_Sort!$C164))</f>
        <v/>
      </c>
      <c r="C164">
        <f>IF(Pipeline_Sort!$C164="","",INDEX(Pipeline_Calc!$D$2:$D$5251,Pipeline_Sort!$C164))</f>
        <v/>
      </c>
      <c r="D164">
        <f>IF(Pipeline_Sort!$C164="","",INDEX(Pipeline_Calc!$E$2:$E$5251,Pipeline_Sort!$C164))</f>
        <v/>
      </c>
      <c r="E164">
        <f>IF(Pipeline_Sort!$C164="","",INDEX(Pipeline_Calc!$F$2:$F$5251,Pipeline_Sort!$C164))</f>
        <v/>
      </c>
      <c r="F164">
        <f>IF(Pipeline_Sort!$C164="","",INDEX(Pipeline_Calc!$G$2:$G$5251,Pipeline_Sort!$C164))</f>
        <v/>
      </c>
      <c r="G164">
        <f>IF(Pipeline_Sort!$C164="","",INDEX(Pipeline_Calc!$H$2:$H$5251,Pipeline_Sort!$C164))</f>
        <v/>
      </c>
      <c r="H164">
        <f>IF(Pipeline_Sort!$C164="","",INDEX(Pipeline_Calc!$I$2:$I$5251,Pipeline_Sort!$C164))</f>
        <v/>
      </c>
      <c r="I164">
        <f>IF(Pipeline_Sort!$C164="","",INDEX(Pipeline_Calc!$J$2:$J$5251,Pipeline_Sort!$C164))</f>
        <v/>
      </c>
    </row>
    <row r="165">
      <c r="A165" s="22">
        <f>IF(Pipeline_Sort!$C165="","",INDEX(Pipeline_Calc!$B$2:$B$5251,Pipeline_Sort!$C165))</f>
        <v/>
      </c>
      <c r="B165">
        <f>IF(Pipeline_Sort!$C165="","",INDEX(Pipeline_Calc!$C$2:$C$5251,Pipeline_Sort!$C165))</f>
        <v/>
      </c>
      <c r="C165">
        <f>IF(Pipeline_Sort!$C165="","",INDEX(Pipeline_Calc!$D$2:$D$5251,Pipeline_Sort!$C165))</f>
        <v/>
      </c>
      <c r="D165">
        <f>IF(Pipeline_Sort!$C165="","",INDEX(Pipeline_Calc!$E$2:$E$5251,Pipeline_Sort!$C165))</f>
        <v/>
      </c>
      <c r="E165">
        <f>IF(Pipeline_Sort!$C165="","",INDEX(Pipeline_Calc!$F$2:$F$5251,Pipeline_Sort!$C165))</f>
        <v/>
      </c>
      <c r="F165">
        <f>IF(Pipeline_Sort!$C165="","",INDEX(Pipeline_Calc!$G$2:$G$5251,Pipeline_Sort!$C165))</f>
        <v/>
      </c>
      <c r="G165">
        <f>IF(Pipeline_Sort!$C165="","",INDEX(Pipeline_Calc!$H$2:$H$5251,Pipeline_Sort!$C165))</f>
        <v/>
      </c>
      <c r="H165">
        <f>IF(Pipeline_Sort!$C165="","",INDEX(Pipeline_Calc!$I$2:$I$5251,Pipeline_Sort!$C165))</f>
        <v/>
      </c>
      <c r="I165">
        <f>IF(Pipeline_Sort!$C165="","",INDEX(Pipeline_Calc!$J$2:$J$5251,Pipeline_Sort!$C165))</f>
        <v/>
      </c>
    </row>
    <row r="166">
      <c r="A166" s="22">
        <f>IF(Pipeline_Sort!$C166="","",INDEX(Pipeline_Calc!$B$2:$B$5251,Pipeline_Sort!$C166))</f>
        <v/>
      </c>
      <c r="B166">
        <f>IF(Pipeline_Sort!$C166="","",INDEX(Pipeline_Calc!$C$2:$C$5251,Pipeline_Sort!$C166))</f>
        <v/>
      </c>
      <c r="C166">
        <f>IF(Pipeline_Sort!$C166="","",INDEX(Pipeline_Calc!$D$2:$D$5251,Pipeline_Sort!$C166))</f>
        <v/>
      </c>
      <c r="D166">
        <f>IF(Pipeline_Sort!$C166="","",INDEX(Pipeline_Calc!$E$2:$E$5251,Pipeline_Sort!$C166))</f>
        <v/>
      </c>
      <c r="E166">
        <f>IF(Pipeline_Sort!$C166="","",INDEX(Pipeline_Calc!$F$2:$F$5251,Pipeline_Sort!$C166))</f>
        <v/>
      </c>
      <c r="F166">
        <f>IF(Pipeline_Sort!$C166="","",INDEX(Pipeline_Calc!$G$2:$G$5251,Pipeline_Sort!$C166))</f>
        <v/>
      </c>
      <c r="G166">
        <f>IF(Pipeline_Sort!$C166="","",INDEX(Pipeline_Calc!$H$2:$H$5251,Pipeline_Sort!$C166))</f>
        <v/>
      </c>
      <c r="H166">
        <f>IF(Pipeline_Sort!$C166="","",INDEX(Pipeline_Calc!$I$2:$I$5251,Pipeline_Sort!$C166))</f>
        <v/>
      </c>
      <c r="I166">
        <f>IF(Pipeline_Sort!$C166="","",INDEX(Pipeline_Calc!$J$2:$J$5251,Pipeline_Sort!$C166))</f>
        <v/>
      </c>
    </row>
    <row r="167">
      <c r="A167" s="22">
        <f>IF(Pipeline_Sort!$C167="","",INDEX(Pipeline_Calc!$B$2:$B$5251,Pipeline_Sort!$C167))</f>
        <v/>
      </c>
      <c r="B167">
        <f>IF(Pipeline_Sort!$C167="","",INDEX(Pipeline_Calc!$C$2:$C$5251,Pipeline_Sort!$C167))</f>
        <v/>
      </c>
      <c r="C167">
        <f>IF(Pipeline_Sort!$C167="","",INDEX(Pipeline_Calc!$D$2:$D$5251,Pipeline_Sort!$C167))</f>
        <v/>
      </c>
      <c r="D167">
        <f>IF(Pipeline_Sort!$C167="","",INDEX(Pipeline_Calc!$E$2:$E$5251,Pipeline_Sort!$C167))</f>
        <v/>
      </c>
      <c r="E167">
        <f>IF(Pipeline_Sort!$C167="","",INDEX(Pipeline_Calc!$F$2:$F$5251,Pipeline_Sort!$C167))</f>
        <v/>
      </c>
      <c r="F167">
        <f>IF(Pipeline_Sort!$C167="","",INDEX(Pipeline_Calc!$G$2:$G$5251,Pipeline_Sort!$C167))</f>
        <v/>
      </c>
      <c r="G167">
        <f>IF(Pipeline_Sort!$C167="","",INDEX(Pipeline_Calc!$H$2:$H$5251,Pipeline_Sort!$C167))</f>
        <v/>
      </c>
      <c r="H167">
        <f>IF(Pipeline_Sort!$C167="","",INDEX(Pipeline_Calc!$I$2:$I$5251,Pipeline_Sort!$C167))</f>
        <v/>
      </c>
      <c r="I167">
        <f>IF(Pipeline_Sort!$C167="","",INDEX(Pipeline_Calc!$J$2:$J$5251,Pipeline_Sort!$C167))</f>
        <v/>
      </c>
    </row>
    <row r="168">
      <c r="A168" s="22">
        <f>IF(Pipeline_Sort!$C168="","",INDEX(Pipeline_Calc!$B$2:$B$5251,Pipeline_Sort!$C168))</f>
        <v/>
      </c>
      <c r="B168">
        <f>IF(Pipeline_Sort!$C168="","",INDEX(Pipeline_Calc!$C$2:$C$5251,Pipeline_Sort!$C168))</f>
        <v/>
      </c>
      <c r="C168">
        <f>IF(Pipeline_Sort!$C168="","",INDEX(Pipeline_Calc!$D$2:$D$5251,Pipeline_Sort!$C168))</f>
        <v/>
      </c>
      <c r="D168">
        <f>IF(Pipeline_Sort!$C168="","",INDEX(Pipeline_Calc!$E$2:$E$5251,Pipeline_Sort!$C168))</f>
        <v/>
      </c>
      <c r="E168">
        <f>IF(Pipeline_Sort!$C168="","",INDEX(Pipeline_Calc!$F$2:$F$5251,Pipeline_Sort!$C168))</f>
        <v/>
      </c>
      <c r="F168">
        <f>IF(Pipeline_Sort!$C168="","",INDEX(Pipeline_Calc!$G$2:$G$5251,Pipeline_Sort!$C168))</f>
        <v/>
      </c>
      <c r="G168">
        <f>IF(Pipeline_Sort!$C168="","",INDEX(Pipeline_Calc!$H$2:$H$5251,Pipeline_Sort!$C168))</f>
        <v/>
      </c>
      <c r="H168">
        <f>IF(Pipeline_Sort!$C168="","",INDEX(Pipeline_Calc!$I$2:$I$5251,Pipeline_Sort!$C168))</f>
        <v/>
      </c>
      <c r="I168">
        <f>IF(Pipeline_Sort!$C168="","",INDEX(Pipeline_Calc!$J$2:$J$5251,Pipeline_Sort!$C168))</f>
        <v/>
      </c>
    </row>
    <row r="169">
      <c r="A169" s="22">
        <f>IF(Pipeline_Sort!$C169="","",INDEX(Pipeline_Calc!$B$2:$B$5251,Pipeline_Sort!$C169))</f>
        <v/>
      </c>
      <c r="B169">
        <f>IF(Pipeline_Sort!$C169="","",INDEX(Pipeline_Calc!$C$2:$C$5251,Pipeline_Sort!$C169))</f>
        <v/>
      </c>
      <c r="C169">
        <f>IF(Pipeline_Sort!$C169="","",INDEX(Pipeline_Calc!$D$2:$D$5251,Pipeline_Sort!$C169))</f>
        <v/>
      </c>
      <c r="D169">
        <f>IF(Pipeline_Sort!$C169="","",INDEX(Pipeline_Calc!$E$2:$E$5251,Pipeline_Sort!$C169))</f>
        <v/>
      </c>
      <c r="E169">
        <f>IF(Pipeline_Sort!$C169="","",INDEX(Pipeline_Calc!$F$2:$F$5251,Pipeline_Sort!$C169))</f>
        <v/>
      </c>
      <c r="F169">
        <f>IF(Pipeline_Sort!$C169="","",INDEX(Pipeline_Calc!$G$2:$G$5251,Pipeline_Sort!$C169))</f>
        <v/>
      </c>
      <c r="G169">
        <f>IF(Pipeline_Sort!$C169="","",INDEX(Pipeline_Calc!$H$2:$H$5251,Pipeline_Sort!$C169))</f>
        <v/>
      </c>
      <c r="H169">
        <f>IF(Pipeline_Sort!$C169="","",INDEX(Pipeline_Calc!$I$2:$I$5251,Pipeline_Sort!$C169))</f>
        <v/>
      </c>
      <c r="I169">
        <f>IF(Pipeline_Sort!$C169="","",INDEX(Pipeline_Calc!$J$2:$J$5251,Pipeline_Sort!$C169))</f>
        <v/>
      </c>
    </row>
    <row r="170">
      <c r="A170" s="22">
        <f>IF(Pipeline_Sort!$C170="","",INDEX(Pipeline_Calc!$B$2:$B$5251,Pipeline_Sort!$C170))</f>
        <v/>
      </c>
      <c r="B170">
        <f>IF(Pipeline_Sort!$C170="","",INDEX(Pipeline_Calc!$C$2:$C$5251,Pipeline_Sort!$C170))</f>
        <v/>
      </c>
      <c r="C170">
        <f>IF(Pipeline_Sort!$C170="","",INDEX(Pipeline_Calc!$D$2:$D$5251,Pipeline_Sort!$C170))</f>
        <v/>
      </c>
      <c r="D170">
        <f>IF(Pipeline_Sort!$C170="","",INDEX(Pipeline_Calc!$E$2:$E$5251,Pipeline_Sort!$C170))</f>
        <v/>
      </c>
      <c r="E170">
        <f>IF(Pipeline_Sort!$C170="","",INDEX(Pipeline_Calc!$F$2:$F$5251,Pipeline_Sort!$C170))</f>
        <v/>
      </c>
      <c r="F170">
        <f>IF(Pipeline_Sort!$C170="","",INDEX(Pipeline_Calc!$G$2:$G$5251,Pipeline_Sort!$C170))</f>
        <v/>
      </c>
      <c r="G170">
        <f>IF(Pipeline_Sort!$C170="","",INDEX(Pipeline_Calc!$H$2:$H$5251,Pipeline_Sort!$C170))</f>
        <v/>
      </c>
      <c r="H170">
        <f>IF(Pipeline_Sort!$C170="","",INDEX(Pipeline_Calc!$I$2:$I$5251,Pipeline_Sort!$C170))</f>
        <v/>
      </c>
      <c r="I170">
        <f>IF(Pipeline_Sort!$C170="","",INDEX(Pipeline_Calc!$J$2:$J$5251,Pipeline_Sort!$C170))</f>
        <v/>
      </c>
    </row>
    <row r="171">
      <c r="A171" s="22">
        <f>IF(Pipeline_Sort!$C171="","",INDEX(Pipeline_Calc!$B$2:$B$5251,Pipeline_Sort!$C171))</f>
        <v/>
      </c>
      <c r="B171">
        <f>IF(Pipeline_Sort!$C171="","",INDEX(Pipeline_Calc!$C$2:$C$5251,Pipeline_Sort!$C171))</f>
        <v/>
      </c>
      <c r="C171">
        <f>IF(Pipeline_Sort!$C171="","",INDEX(Pipeline_Calc!$D$2:$D$5251,Pipeline_Sort!$C171))</f>
        <v/>
      </c>
      <c r="D171">
        <f>IF(Pipeline_Sort!$C171="","",INDEX(Pipeline_Calc!$E$2:$E$5251,Pipeline_Sort!$C171))</f>
        <v/>
      </c>
      <c r="E171">
        <f>IF(Pipeline_Sort!$C171="","",INDEX(Pipeline_Calc!$F$2:$F$5251,Pipeline_Sort!$C171))</f>
        <v/>
      </c>
      <c r="F171">
        <f>IF(Pipeline_Sort!$C171="","",INDEX(Pipeline_Calc!$G$2:$G$5251,Pipeline_Sort!$C171))</f>
        <v/>
      </c>
      <c r="G171">
        <f>IF(Pipeline_Sort!$C171="","",INDEX(Pipeline_Calc!$H$2:$H$5251,Pipeline_Sort!$C171))</f>
        <v/>
      </c>
      <c r="H171">
        <f>IF(Pipeline_Sort!$C171="","",INDEX(Pipeline_Calc!$I$2:$I$5251,Pipeline_Sort!$C171))</f>
        <v/>
      </c>
      <c r="I171">
        <f>IF(Pipeline_Sort!$C171="","",INDEX(Pipeline_Calc!$J$2:$J$5251,Pipeline_Sort!$C171))</f>
        <v/>
      </c>
    </row>
    <row r="172">
      <c r="A172" s="22">
        <f>IF(Pipeline_Sort!$C172="","",INDEX(Pipeline_Calc!$B$2:$B$5251,Pipeline_Sort!$C172))</f>
        <v/>
      </c>
      <c r="B172">
        <f>IF(Pipeline_Sort!$C172="","",INDEX(Pipeline_Calc!$C$2:$C$5251,Pipeline_Sort!$C172))</f>
        <v/>
      </c>
      <c r="C172">
        <f>IF(Pipeline_Sort!$C172="","",INDEX(Pipeline_Calc!$D$2:$D$5251,Pipeline_Sort!$C172))</f>
        <v/>
      </c>
      <c r="D172">
        <f>IF(Pipeline_Sort!$C172="","",INDEX(Pipeline_Calc!$E$2:$E$5251,Pipeline_Sort!$C172))</f>
        <v/>
      </c>
      <c r="E172">
        <f>IF(Pipeline_Sort!$C172="","",INDEX(Pipeline_Calc!$F$2:$F$5251,Pipeline_Sort!$C172))</f>
        <v/>
      </c>
      <c r="F172">
        <f>IF(Pipeline_Sort!$C172="","",INDEX(Pipeline_Calc!$G$2:$G$5251,Pipeline_Sort!$C172))</f>
        <v/>
      </c>
      <c r="G172">
        <f>IF(Pipeline_Sort!$C172="","",INDEX(Pipeline_Calc!$H$2:$H$5251,Pipeline_Sort!$C172))</f>
        <v/>
      </c>
      <c r="H172">
        <f>IF(Pipeline_Sort!$C172="","",INDEX(Pipeline_Calc!$I$2:$I$5251,Pipeline_Sort!$C172))</f>
        <v/>
      </c>
      <c r="I172">
        <f>IF(Pipeline_Sort!$C172="","",INDEX(Pipeline_Calc!$J$2:$J$5251,Pipeline_Sort!$C172))</f>
        <v/>
      </c>
    </row>
    <row r="173">
      <c r="A173" s="22">
        <f>IF(Pipeline_Sort!$C173="","",INDEX(Pipeline_Calc!$B$2:$B$5251,Pipeline_Sort!$C173))</f>
        <v/>
      </c>
      <c r="B173">
        <f>IF(Pipeline_Sort!$C173="","",INDEX(Pipeline_Calc!$C$2:$C$5251,Pipeline_Sort!$C173))</f>
        <v/>
      </c>
      <c r="C173">
        <f>IF(Pipeline_Sort!$C173="","",INDEX(Pipeline_Calc!$D$2:$D$5251,Pipeline_Sort!$C173))</f>
        <v/>
      </c>
      <c r="D173">
        <f>IF(Pipeline_Sort!$C173="","",INDEX(Pipeline_Calc!$E$2:$E$5251,Pipeline_Sort!$C173))</f>
        <v/>
      </c>
      <c r="E173">
        <f>IF(Pipeline_Sort!$C173="","",INDEX(Pipeline_Calc!$F$2:$F$5251,Pipeline_Sort!$C173))</f>
        <v/>
      </c>
      <c r="F173">
        <f>IF(Pipeline_Sort!$C173="","",INDEX(Pipeline_Calc!$G$2:$G$5251,Pipeline_Sort!$C173))</f>
        <v/>
      </c>
      <c r="G173">
        <f>IF(Pipeline_Sort!$C173="","",INDEX(Pipeline_Calc!$H$2:$H$5251,Pipeline_Sort!$C173))</f>
        <v/>
      </c>
      <c r="H173">
        <f>IF(Pipeline_Sort!$C173="","",INDEX(Pipeline_Calc!$I$2:$I$5251,Pipeline_Sort!$C173))</f>
        <v/>
      </c>
      <c r="I173">
        <f>IF(Pipeline_Sort!$C173="","",INDEX(Pipeline_Calc!$J$2:$J$5251,Pipeline_Sort!$C173))</f>
        <v/>
      </c>
    </row>
    <row r="174">
      <c r="A174" s="22">
        <f>IF(Pipeline_Sort!$C174="","",INDEX(Pipeline_Calc!$B$2:$B$5251,Pipeline_Sort!$C174))</f>
        <v/>
      </c>
      <c r="B174">
        <f>IF(Pipeline_Sort!$C174="","",INDEX(Pipeline_Calc!$C$2:$C$5251,Pipeline_Sort!$C174))</f>
        <v/>
      </c>
      <c r="C174">
        <f>IF(Pipeline_Sort!$C174="","",INDEX(Pipeline_Calc!$D$2:$D$5251,Pipeline_Sort!$C174))</f>
        <v/>
      </c>
      <c r="D174">
        <f>IF(Pipeline_Sort!$C174="","",INDEX(Pipeline_Calc!$E$2:$E$5251,Pipeline_Sort!$C174))</f>
        <v/>
      </c>
      <c r="E174">
        <f>IF(Pipeline_Sort!$C174="","",INDEX(Pipeline_Calc!$F$2:$F$5251,Pipeline_Sort!$C174))</f>
        <v/>
      </c>
      <c r="F174">
        <f>IF(Pipeline_Sort!$C174="","",INDEX(Pipeline_Calc!$G$2:$G$5251,Pipeline_Sort!$C174))</f>
        <v/>
      </c>
      <c r="G174">
        <f>IF(Pipeline_Sort!$C174="","",INDEX(Pipeline_Calc!$H$2:$H$5251,Pipeline_Sort!$C174))</f>
        <v/>
      </c>
      <c r="H174">
        <f>IF(Pipeline_Sort!$C174="","",INDEX(Pipeline_Calc!$I$2:$I$5251,Pipeline_Sort!$C174))</f>
        <v/>
      </c>
      <c r="I174">
        <f>IF(Pipeline_Sort!$C174="","",INDEX(Pipeline_Calc!$J$2:$J$5251,Pipeline_Sort!$C174))</f>
        <v/>
      </c>
    </row>
    <row r="175">
      <c r="A175" s="22">
        <f>IF(Pipeline_Sort!$C175="","",INDEX(Pipeline_Calc!$B$2:$B$5251,Pipeline_Sort!$C175))</f>
        <v/>
      </c>
      <c r="B175">
        <f>IF(Pipeline_Sort!$C175="","",INDEX(Pipeline_Calc!$C$2:$C$5251,Pipeline_Sort!$C175))</f>
        <v/>
      </c>
      <c r="C175">
        <f>IF(Pipeline_Sort!$C175="","",INDEX(Pipeline_Calc!$D$2:$D$5251,Pipeline_Sort!$C175))</f>
        <v/>
      </c>
      <c r="D175">
        <f>IF(Pipeline_Sort!$C175="","",INDEX(Pipeline_Calc!$E$2:$E$5251,Pipeline_Sort!$C175))</f>
        <v/>
      </c>
      <c r="E175">
        <f>IF(Pipeline_Sort!$C175="","",INDEX(Pipeline_Calc!$F$2:$F$5251,Pipeline_Sort!$C175))</f>
        <v/>
      </c>
      <c r="F175">
        <f>IF(Pipeline_Sort!$C175="","",INDEX(Pipeline_Calc!$G$2:$G$5251,Pipeline_Sort!$C175))</f>
        <v/>
      </c>
      <c r="G175">
        <f>IF(Pipeline_Sort!$C175="","",INDEX(Pipeline_Calc!$H$2:$H$5251,Pipeline_Sort!$C175))</f>
        <v/>
      </c>
      <c r="H175">
        <f>IF(Pipeline_Sort!$C175="","",INDEX(Pipeline_Calc!$I$2:$I$5251,Pipeline_Sort!$C175))</f>
        <v/>
      </c>
      <c r="I175">
        <f>IF(Pipeline_Sort!$C175="","",INDEX(Pipeline_Calc!$J$2:$J$5251,Pipeline_Sort!$C175))</f>
        <v/>
      </c>
    </row>
    <row r="176">
      <c r="A176" s="22">
        <f>IF(Pipeline_Sort!$C176="","",INDEX(Pipeline_Calc!$B$2:$B$5251,Pipeline_Sort!$C176))</f>
        <v/>
      </c>
      <c r="B176">
        <f>IF(Pipeline_Sort!$C176="","",INDEX(Pipeline_Calc!$C$2:$C$5251,Pipeline_Sort!$C176))</f>
        <v/>
      </c>
      <c r="C176">
        <f>IF(Pipeline_Sort!$C176="","",INDEX(Pipeline_Calc!$D$2:$D$5251,Pipeline_Sort!$C176))</f>
        <v/>
      </c>
      <c r="D176">
        <f>IF(Pipeline_Sort!$C176="","",INDEX(Pipeline_Calc!$E$2:$E$5251,Pipeline_Sort!$C176))</f>
        <v/>
      </c>
      <c r="E176">
        <f>IF(Pipeline_Sort!$C176="","",INDEX(Pipeline_Calc!$F$2:$F$5251,Pipeline_Sort!$C176))</f>
        <v/>
      </c>
      <c r="F176">
        <f>IF(Pipeline_Sort!$C176="","",INDEX(Pipeline_Calc!$G$2:$G$5251,Pipeline_Sort!$C176))</f>
        <v/>
      </c>
      <c r="G176">
        <f>IF(Pipeline_Sort!$C176="","",INDEX(Pipeline_Calc!$H$2:$H$5251,Pipeline_Sort!$C176))</f>
        <v/>
      </c>
      <c r="H176">
        <f>IF(Pipeline_Sort!$C176="","",INDEX(Pipeline_Calc!$I$2:$I$5251,Pipeline_Sort!$C176))</f>
        <v/>
      </c>
      <c r="I176">
        <f>IF(Pipeline_Sort!$C176="","",INDEX(Pipeline_Calc!$J$2:$J$5251,Pipeline_Sort!$C176))</f>
        <v/>
      </c>
    </row>
    <row r="177">
      <c r="A177" s="22">
        <f>IF(Pipeline_Sort!$C177="","",INDEX(Pipeline_Calc!$B$2:$B$5251,Pipeline_Sort!$C177))</f>
        <v/>
      </c>
      <c r="B177">
        <f>IF(Pipeline_Sort!$C177="","",INDEX(Pipeline_Calc!$C$2:$C$5251,Pipeline_Sort!$C177))</f>
        <v/>
      </c>
      <c r="C177">
        <f>IF(Pipeline_Sort!$C177="","",INDEX(Pipeline_Calc!$D$2:$D$5251,Pipeline_Sort!$C177))</f>
        <v/>
      </c>
      <c r="D177">
        <f>IF(Pipeline_Sort!$C177="","",INDEX(Pipeline_Calc!$E$2:$E$5251,Pipeline_Sort!$C177))</f>
        <v/>
      </c>
      <c r="E177">
        <f>IF(Pipeline_Sort!$C177="","",INDEX(Pipeline_Calc!$F$2:$F$5251,Pipeline_Sort!$C177))</f>
        <v/>
      </c>
      <c r="F177">
        <f>IF(Pipeline_Sort!$C177="","",INDEX(Pipeline_Calc!$G$2:$G$5251,Pipeline_Sort!$C177))</f>
        <v/>
      </c>
      <c r="G177">
        <f>IF(Pipeline_Sort!$C177="","",INDEX(Pipeline_Calc!$H$2:$H$5251,Pipeline_Sort!$C177))</f>
        <v/>
      </c>
      <c r="H177">
        <f>IF(Pipeline_Sort!$C177="","",INDEX(Pipeline_Calc!$I$2:$I$5251,Pipeline_Sort!$C177))</f>
        <v/>
      </c>
      <c r="I177">
        <f>IF(Pipeline_Sort!$C177="","",INDEX(Pipeline_Calc!$J$2:$J$5251,Pipeline_Sort!$C177))</f>
        <v/>
      </c>
    </row>
    <row r="178">
      <c r="A178" s="22">
        <f>IF(Pipeline_Sort!$C178="","",INDEX(Pipeline_Calc!$B$2:$B$5251,Pipeline_Sort!$C178))</f>
        <v/>
      </c>
      <c r="B178">
        <f>IF(Pipeline_Sort!$C178="","",INDEX(Pipeline_Calc!$C$2:$C$5251,Pipeline_Sort!$C178))</f>
        <v/>
      </c>
      <c r="C178">
        <f>IF(Pipeline_Sort!$C178="","",INDEX(Pipeline_Calc!$D$2:$D$5251,Pipeline_Sort!$C178))</f>
        <v/>
      </c>
      <c r="D178">
        <f>IF(Pipeline_Sort!$C178="","",INDEX(Pipeline_Calc!$E$2:$E$5251,Pipeline_Sort!$C178))</f>
        <v/>
      </c>
      <c r="E178">
        <f>IF(Pipeline_Sort!$C178="","",INDEX(Pipeline_Calc!$F$2:$F$5251,Pipeline_Sort!$C178))</f>
        <v/>
      </c>
      <c r="F178">
        <f>IF(Pipeline_Sort!$C178="","",INDEX(Pipeline_Calc!$G$2:$G$5251,Pipeline_Sort!$C178))</f>
        <v/>
      </c>
      <c r="G178">
        <f>IF(Pipeline_Sort!$C178="","",INDEX(Pipeline_Calc!$H$2:$H$5251,Pipeline_Sort!$C178))</f>
        <v/>
      </c>
      <c r="H178">
        <f>IF(Pipeline_Sort!$C178="","",INDEX(Pipeline_Calc!$I$2:$I$5251,Pipeline_Sort!$C178))</f>
        <v/>
      </c>
      <c r="I178">
        <f>IF(Pipeline_Sort!$C178="","",INDEX(Pipeline_Calc!$J$2:$J$5251,Pipeline_Sort!$C178))</f>
        <v/>
      </c>
    </row>
    <row r="179">
      <c r="A179" s="22">
        <f>IF(Pipeline_Sort!$C179="","",INDEX(Pipeline_Calc!$B$2:$B$5251,Pipeline_Sort!$C179))</f>
        <v/>
      </c>
      <c r="B179">
        <f>IF(Pipeline_Sort!$C179="","",INDEX(Pipeline_Calc!$C$2:$C$5251,Pipeline_Sort!$C179))</f>
        <v/>
      </c>
      <c r="C179">
        <f>IF(Pipeline_Sort!$C179="","",INDEX(Pipeline_Calc!$D$2:$D$5251,Pipeline_Sort!$C179))</f>
        <v/>
      </c>
      <c r="D179">
        <f>IF(Pipeline_Sort!$C179="","",INDEX(Pipeline_Calc!$E$2:$E$5251,Pipeline_Sort!$C179))</f>
        <v/>
      </c>
      <c r="E179">
        <f>IF(Pipeline_Sort!$C179="","",INDEX(Pipeline_Calc!$F$2:$F$5251,Pipeline_Sort!$C179))</f>
        <v/>
      </c>
      <c r="F179">
        <f>IF(Pipeline_Sort!$C179="","",INDEX(Pipeline_Calc!$G$2:$G$5251,Pipeline_Sort!$C179))</f>
        <v/>
      </c>
      <c r="G179">
        <f>IF(Pipeline_Sort!$C179="","",INDEX(Pipeline_Calc!$H$2:$H$5251,Pipeline_Sort!$C179))</f>
        <v/>
      </c>
      <c r="H179">
        <f>IF(Pipeline_Sort!$C179="","",INDEX(Pipeline_Calc!$I$2:$I$5251,Pipeline_Sort!$C179))</f>
        <v/>
      </c>
      <c r="I179">
        <f>IF(Pipeline_Sort!$C179="","",INDEX(Pipeline_Calc!$J$2:$J$5251,Pipeline_Sort!$C179))</f>
        <v/>
      </c>
    </row>
    <row r="180">
      <c r="A180" s="22">
        <f>IF(Pipeline_Sort!$C180="","",INDEX(Pipeline_Calc!$B$2:$B$5251,Pipeline_Sort!$C180))</f>
        <v/>
      </c>
      <c r="B180">
        <f>IF(Pipeline_Sort!$C180="","",INDEX(Pipeline_Calc!$C$2:$C$5251,Pipeline_Sort!$C180))</f>
        <v/>
      </c>
      <c r="C180">
        <f>IF(Pipeline_Sort!$C180="","",INDEX(Pipeline_Calc!$D$2:$D$5251,Pipeline_Sort!$C180))</f>
        <v/>
      </c>
      <c r="D180">
        <f>IF(Pipeline_Sort!$C180="","",INDEX(Pipeline_Calc!$E$2:$E$5251,Pipeline_Sort!$C180))</f>
        <v/>
      </c>
      <c r="E180">
        <f>IF(Pipeline_Sort!$C180="","",INDEX(Pipeline_Calc!$F$2:$F$5251,Pipeline_Sort!$C180))</f>
        <v/>
      </c>
      <c r="F180">
        <f>IF(Pipeline_Sort!$C180="","",INDEX(Pipeline_Calc!$G$2:$G$5251,Pipeline_Sort!$C180))</f>
        <v/>
      </c>
      <c r="G180">
        <f>IF(Pipeline_Sort!$C180="","",INDEX(Pipeline_Calc!$H$2:$H$5251,Pipeline_Sort!$C180))</f>
        <v/>
      </c>
      <c r="H180">
        <f>IF(Pipeline_Sort!$C180="","",INDEX(Pipeline_Calc!$I$2:$I$5251,Pipeline_Sort!$C180))</f>
        <v/>
      </c>
      <c r="I180">
        <f>IF(Pipeline_Sort!$C180="","",INDEX(Pipeline_Calc!$J$2:$J$5251,Pipeline_Sort!$C180))</f>
        <v/>
      </c>
    </row>
    <row r="181">
      <c r="A181" s="22">
        <f>IF(Pipeline_Sort!$C181="","",INDEX(Pipeline_Calc!$B$2:$B$5251,Pipeline_Sort!$C181))</f>
        <v/>
      </c>
      <c r="B181">
        <f>IF(Pipeline_Sort!$C181="","",INDEX(Pipeline_Calc!$C$2:$C$5251,Pipeline_Sort!$C181))</f>
        <v/>
      </c>
      <c r="C181">
        <f>IF(Pipeline_Sort!$C181="","",INDEX(Pipeline_Calc!$D$2:$D$5251,Pipeline_Sort!$C181))</f>
        <v/>
      </c>
      <c r="D181">
        <f>IF(Pipeline_Sort!$C181="","",INDEX(Pipeline_Calc!$E$2:$E$5251,Pipeline_Sort!$C181))</f>
        <v/>
      </c>
      <c r="E181">
        <f>IF(Pipeline_Sort!$C181="","",INDEX(Pipeline_Calc!$F$2:$F$5251,Pipeline_Sort!$C181))</f>
        <v/>
      </c>
      <c r="F181">
        <f>IF(Pipeline_Sort!$C181="","",INDEX(Pipeline_Calc!$G$2:$G$5251,Pipeline_Sort!$C181))</f>
        <v/>
      </c>
      <c r="G181">
        <f>IF(Pipeline_Sort!$C181="","",INDEX(Pipeline_Calc!$H$2:$H$5251,Pipeline_Sort!$C181))</f>
        <v/>
      </c>
      <c r="H181">
        <f>IF(Pipeline_Sort!$C181="","",INDEX(Pipeline_Calc!$I$2:$I$5251,Pipeline_Sort!$C181))</f>
        <v/>
      </c>
      <c r="I181">
        <f>IF(Pipeline_Sort!$C181="","",INDEX(Pipeline_Calc!$J$2:$J$5251,Pipeline_Sort!$C181))</f>
        <v/>
      </c>
    </row>
    <row r="182">
      <c r="A182" s="22">
        <f>IF(Pipeline_Sort!$C182="","",INDEX(Pipeline_Calc!$B$2:$B$5251,Pipeline_Sort!$C182))</f>
        <v/>
      </c>
      <c r="B182">
        <f>IF(Pipeline_Sort!$C182="","",INDEX(Pipeline_Calc!$C$2:$C$5251,Pipeline_Sort!$C182))</f>
        <v/>
      </c>
      <c r="C182">
        <f>IF(Pipeline_Sort!$C182="","",INDEX(Pipeline_Calc!$D$2:$D$5251,Pipeline_Sort!$C182))</f>
        <v/>
      </c>
      <c r="D182">
        <f>IF(Pipeline_Sort!$C182="","",INDEX(Pipeline_Calc!$E$2:$E$5251,Pipeline_Sort!$C182))</f>
        <v/>
      </c>
      <c r="E182">
        <f>IF(Pipeline_Sort!$C182="","",INDEX(Pipeline_Calc!$F$2:$F$5251,Pipeline_Sort!$C182))</f>
        <v/>
      </c>
      <c r="F182">
        <f>IF(Pipeline_Sort!$C182="","",INDEX(Pipeline_Calc!$G$2:$G$5251,Pipeline_Sort!$C182))</f>
        <v/>
      </c>
      <c r="G182">
        <f>IF(Pipeline_Sort!$C182="","",INDEX(Pipeline_Calc!$H$2:$H$5251,Pipeline_Sort!$C182))</f>
        <v/>
      </c>
      <c r="H182">
        <f>IF(Pipeline_Sort!$C182="","",INDEX(Pipeline_Calc!$I$2:$I$5251,Pipeline_Sort!$C182))</f>
        <v/>
      </c>
      <c r="I182">
        <f>IF(Pipeline_Sort!$C182="","",INDEX(Pipeline_Calc!$J$2:$J$5251,Pipeline_Sort!$C182))</f>
        <v/>
      </c>
    </row>
    <row r="183">
      <c r="A183" s="22">
        <f>IF(Pipeline_Sort!$C183="","",INDEX(Pipeline_Calc!$B$2:$B$5251,Pipeline_Sort!$C183))</f>
        <v/>
      </c>
      <c r="B183">
        <f>IF(Pipeline_Sort!$C183="","",INDEX(Pipeline_Calc!$C$2:$C$5251,Pipeline_Sort!$C183))</f>
        <v/>
      </c>
      <c r="C183">
        <f>IF(Pipeline_Sort!$C183="","",INDEX(Pipeline_Calc!$D$2:$D$5251,Pipeline_Sort!$C183))</f>
        <v/>
      </c>
      <c r="D183">
        <f>IF(Pipeline_Sort!$C183="","",INDEX(Pipeline_Calc!$E$2:$E$5251,Pipeline_Sort!$C183))</f>
        <v/>
      </c>
      <c r="E183">
        <f>IF(Pipeline_Sort!$C183="","",INDEX(Pipeline_Calc!$F$2:$F$5251,Pipeline_Sort!$C183))</f>
        <v/>
      </c>
      <c r="F183">
        <f>IF(Pipeline_Sort!$C183="","",INDEX(Pipeline_Calc!$G$2:$G$5251,Pipeline_Sort!$C183))</f>
        <v/>
      </c>
      <c r="G183">
        <f>IF(Pipeline_Sort!$C183="","",INDEX(Pipeline_Calc!$H$2:$H$5251,Pipeline_Sort!$C183))</f>
        <v/>
      </c>
      <c r="H183">
        <f>IF(Pipeline_Sort!$C183="","",INDEX(Pipeline_Calc!$I$2:$I$5251,Pipeline_Sort!$C183))</f>
        <v/>
      </c>
      <c r="I183">
        <f>IF(Pipeline_Sort!$C183="","",INDEX(Pipeline_Calc!$J$2:$J$5251,Pipeline_Sort!$C183))</f>
        <v/>
      </c>
    </row>
    <row r="184">
      <c r="A184" s="22">
        <f>IF(Pipeline_Sort!$C184="","",INDEX(Pipeline_Calc!$B$2:$B$5251,Pipeline_Sort!$C184))</f>
        <v/>
      </c>
      <c r="B184">
        <f>IF(Pipeline_Sort!$C184="","",INDEX(Pipeline_Calc!$C$2:$C$5251,Pipeline_Sort!$C184))</f>
        <v/>
      </c>
      <c r="C184">
        <f>IF(Pipeline_Sort!$C184="","",INDEX(Pipeline_Calc!$D$2:$D$5251,Pipeline_Sort!$C184))</f>
        <v/>
      </c>
      <c r="D184">
        <f>IF(Pipeline_Sort!$C184="","",INDEX(Pipeline_Calc!$E$2:$E$5251,Pipeline_Sort!$C184))</f>
        <v/>
      </c>
      <c r="E184">
        <f>IF(Pipeline_Sort!$C184="","",INDEX(Pipeline_Calc!$F$2:$F$5251,Pipeline_Sort!$C184))</f>
        <v/>
      </c>
      <c r="F184">
        <f>IF(Pipeline_Sort!$C184="","",INDEX(Pipeline_Calc!$G$2:$G$5251,Pipeline_Sort!$C184))</f>
        <v/>
      </c>
      <c r="G184">
        <f>IF(Pipeline_Sort!$C184="","",INDEX(Pipeline_Calc!$H$2:$H$5251,Pipeline_Sort!$C184))</f>
        <v/>
      </c>
      <c r="H184">
        <f>IF(Pipeline_Sort!$C184="","",INDEX(Pipeline_Calc!$I$2:$I$5251,Pipeline_Sort!$C184))</f>
        <v/>
      </c>
      <c r="I184">
        <f>IF(Pipeline_Sort!$C184="","",INDEX(Pipeline_Calc!$J$2:$J$5251,Pipeline_Sort!$C184))</f>
        <v/>
      </c>
    </row>
    <row r="185">
      <c r="A185" s="22">
        <f>IF(Pipeline_Sort!$C185="","",INDEX(Pipeline_Calc!$B$2:$B$5251,Pipeline_Sort!$C185))</f>
        <v/>
      </c>
      <c r="B185">
        <f>IF(Pipeline_Sort!$C185="","",INDEX(Pipeline_Calc!$C$2:$C$5251,Pipeline_Sort!$C185))</f>
        <v/>
      </c>
      <c r="C185">
        <f>IF(Pipeline_Sort!$C185="","",INDEX(Pipeline_Calc!$D$2:$D$5251,Pipeline_Sort!$C185))</f>
        <v/>
      </c>
      <c r="D185">
        <f>IF(Pipeline_Sort!$C185="","",INDEX(Pipeline_Calc!$E$2:$E$5251,Pipeline_Sort!$C185))</f>
        <v/>
      </c>
      <c r="E185">
        <f>IF(Pipeline_Sort!$C185="","",INDEX(Pipeline_Calc!$F$2:$F$5251,Pipeline_Sort!$C185))</f>
        <v/>
      </c>
      <c r="F185">
        <f>IF(Pipeline_Sort!$C185="","",INDEX(Pipeline_Calc!$G$2:$G$5251,Pipeline_Sort!$C185))</f>
        <v/>
      </c>
      <c r="G185">
        <f>IF(Pipeline_Sort!$C185="","",INDEX(Pipeline_Calc!$H$2:$H$5251,Pipeline_Sort!$C185))</f>
        <v/>
      </c>
      <c r="H185">
        <f>IF(Pipeline_Sort!$C185="","",INDEX(Pipeline_Calc!$I$2:$I$5251,Pipeline_Sort!$C185))</f>
        <v/>
      </c>
      <c r="I185">
        <f>IF(Pipeline_Sort!$C185="","",INDEX(Pipeline_Calc!$J$2:$J$5251,Pipeline_Sort!$C185))</f>
        <v/>
      </c>
    </row>
    <row r="186">
      <c r="A186" s="22">
        <f>IF(Pipeline_Sort!$C186="","",INDEX(Pipeline_Calc!$B$2:$B$5251,Pipeline_Sort!$C186))</f>
        <v/>
      </c>
      <c r="B186">
        <f>IF(Pipeline_Sort!$C186="","",INDEX(Pipeline_Calc!$C$2:$C$5251,Pipeline_Sort!$C186))</f>
        <v/>
      </c>
      <c r="C186">
        <f>IF(Pipeline_Sort!$C186="","",INDEX(Pipeline_Calc!$D$2:$D$5251,Pipeline_Sort!$C186))</f>
        <v/>
      </c>
      <c r="D186">
        <f>IF(Pipeline_Sort!$C186="","",INDEX(Pipeline_Calc!$E$2:$E$5251,Pipeline_Sort!$C186))</f>
        <v/>
      </c>
      <c r="E186">
        <f>IF(Pipeline_Sort!$C186="","",INDEX(Pipeline_Calc!$F$2:$F$5251,Pipeline_Sort!$C186))</f>
        <v/>
      </c>
      <c r="F186">
        <f>IF(Pipeline_Sort!$C186="","",INDEX(Pipeline_Calc!$G$2:$G$5251,Pipeline_Sort!$C186))</f>
        <v/>
      </c>
      <c r="G186">
        <f>IF(Pipeline_Sort!$C186="","",INDEX(Pipeline_Calc!$H$2:$H$5251,Pipeline_Sort!$C186))</f>
        <v/>
      </c>
      <c r="H186">
        <f>IF(Pipeline_Sort!$C186="","",INDEX(Pipeline_Calc!$I$2:$I$5251,Pipeline_Sort!$C186))</f>
        <v/>
      </c>
      <c r="I186">
        <f>IF(Pipeline_Sort!$C186="","",INDEX(Pipeline_Calc!$J$2:$J$5251,Pipeline_Sort!$C186))</f>
        <v/>
      </c>
    </row>
    <row r="187">
      <c r="A187" s="22">
        <f>IF(Pipeline_Sort!$C187="","",INDEX(Pipeline_Calc!$B$2:$B$5251,Pipeline_Sort!$C187))</f>
        <v/>
      </c>
      <c r="B187">
        <f>IF(Pipeline_Sort!$C187="","",INDEX(Pipeline_Calc!$C$2:$C$5251,Pipeline_Sort!$C187))</f>
        <v/>
      </c>
      <c r="C187">
        <f>IF(Pipeline_Sort!$C187="","",INDEX(Pipeline_Calc!$D$2:$D$5251,Pipeline_Sort!$C187))</f>
        <v/>
      </c>
      <c r="D187">
        <f>IF(Pipeline_Sort!$C187="","",INDEX(Pipeline_Calc!$E$2:$E$5251,Pipeline_Sort!$C187))</f>
        <v/>
      </c>
      <c r="E187">
        <f>IF(Pipeline_Sort!$C187="","",INDEX(Pipeline_Calc!$F$2:$F$5251,Pipeline_Sort!$C187))</f>
        <v/>
      </c>
      <c r="F187">
        <f>IF(Pipeline_Sort!$C187="","",INDEX(Pipeline_Calc!$G$2:$G$5251,Pipeline_Sort!$C187))</f>
        <v/>
      </c>
      <c r="G187">
        <f>IF(Pipeline_Sort!$C187="","",INDEX(Pipeline_Calc!$H$2:$H$5251,Pipeline_Sort!$C187))</f>
        <v/>
      </c>
      <c r="H187">
        <f>IF(Pipeline_Sort!$C187="","",INDEX(Pipeline_Calc!$I$2:$I$5251,Pipeline_Sort!$C187))</f>
        <v/>
      </c>
      <c r="I187">
        <f>IF(Pipeline_Sort!$C187="","",INDEX(Pipeline_Calc!$J$2:$J$5251,Pipeline_Sort!$C187))</f>
        <v/>
      </c>
    </row>
    <row r="188">
      <c r="A188" s="22">
        <f>IF(Pipeline_Sort!$C188="","",INDEX(Pipeline_Calc!$B$2:$B$5251,Pipeline_Sort!$C188))</f>
        <v/>
      </c>
      <c r="B188">
        <f>IF(Pipeline_Sort!$C188="","",INDEX(Pipeline_Calc!$C$2:$C$5251,Pipeline_Sort!$C188))</f>
        <v/>
      </c>
      <c r="C188">
        <f>IF(Pipeline_Sort!$C188="","",INDEX(Pipeline_Calc!$D$2:$D$5251,Pipeline_Sort!$C188))</f>
        <v/>
      </c>
      <c r="D188">
        <f>IF(Pipeline_Sort!$C188="","",INDEX(Pipeline_Calc!$E$2:$E$5251,Pipeline_Sort!$C188))</f>
        <v/>
      </c>
      <c r="E188">
        <f>IF(Pipeline_Sort!$C188="","",INDEX(Pipeline_Calc!$F$2:$F$5251,Pipeline_Sort!$C188))</f>
        <v/>
      </c>
      <c r="F188">
        <f>IF(Pipeline_Sort!$C188="","",INDEX(Pipeline_Calc!$G$2:$G$5251,Pipeline_Sort!$C188))</f>
        <v/>
      </c>
      <c r="G188">
        <f>IF(Pipeline_Sort!$C188="","",INDEX(Pipeline_Calc!$H$2:$H$5251,Pipeline_Sort!$C188))</f>
        <v/>
      </c>
      <c r="H188">
        <f>IF(Pipeline_Sort!$C188="","",INDEX(Pipeline_Calc!$I$2:$I$5251,Pipeline_Sort!$C188))</f>
        <v/>
      </c>
      <c r="I188">
        <f>IF(Pipeline_Sort!$C188="","",INDEX(Pipeline_Calc!$J$2:$J$5251,Pipeline_Sort!$C188))</f>
        <v/>
      </c>
    </row>
    <row r="189">
      <c r="A189" s="22">
        <f>IF(Pipeline_Sort!$C189="","",INDEX(Pipeline_Calc!$B$2:$B$5251,Pipeline_Sort!$C189))</f>
        <v/>
      </c>
      <c r="B189">
        <f>IF(Pipeline_Sort!$C189="","",INDEX(Pipeline_Calc!$C$2:$C$5251,Pipeline_Sort!$C189))</f>
        <v/>
      </c>
      <c r="C189">
        <f>IF(Pipeline_Sort!$C189="","",INDEX(Pipeline_Calc!$D$2:$D$5251,Pipeline_Sort!$C189))</f>
        <v/>
      </c>
      <c r="D189">
        <f>IF(Pipeline_Sort!$C189="","",INDEX(Pipeline_Calc!$E$2:$E$5251,Pipeline_Sort!$C189))</f>
        <v/>
      </c>
      <c r="E189">
        <f>IF(Pipeline_Sort!$C189="","",INDEX(Pipeline_Calc!$F$2:$F$5251,Pipeline_Sort!$C189))</f>
        <v/>
      </c>
      <c r="F189">
        <f>IF(Pipeline_Sort!$C189="","",INDEX(Pipeline_Calc!$G$2:$G$5251,Pipeline_Sort!$C189))</f>
        <v/>
      </c>
      <c r="G189">
        <f>IF(Pipeline_Sort!$C189="","",INDEX(Pipeline_Calc!$H$2:$H$5251,Pipeline_Sort!$C189))</f>
        <v/>
      </c>
      <c r="H189">
        <f>IF(Pipeline_Sort!$C189="","",INDEX(Pipeline_Calc!$I$2:$I$5251,Pipeline_Sort!$C189))</f>
        <v/>
      </c>
      <c r="I189">
        <f>IF(Pipeline_Sort!$C189="","",INDEX(Pipeline_Calc!$J$2:$J$5251,Pipeline_Sort!$C189))</f>
        <v/>
      </c>
    </row>
    <row r="190">
      <c r="A190" s="22">
        <f>IF(Pipeline_Sort!$C190="","",INDEX(Pipeline_Calc!$B$2:$B$5251,Pipeline_Sort!$C190))</f>
        <v/>
      </c>
      <c r="B190">
        <f>IF(Pipeline_Sort!$C190="","",INDEX(Pipeline_Calc!$C$2:$C$5251,Pipeline_Sort!$C190))</f>
        <v/>
      </c>
      <c r="C190">
        <f>IF(Pipeline_Sort!$C190="","",INDEX(Pipeline_Calc!$D$2:$D$5251,Pipeline_Sort!$C190))</f>
        <v/>
      </c>
      <c r="D190">
        <f>IF(Pipeline_Sort!$C190="","",INDEX(Pipeline_Calc!$E$2:$E$5251,Pipeline_Sort!$C190))</f>
        <v/>
      </c>
      <c r="E190">
        <f>IF(Pipeline_Sort!$C190="","",INDEX(Pipeline_Calc!$F$2:$F$5251,Pipeline_Sort!$C190))</f>
        <v/>
      </c>
      <c r="F190">
        <f>IF(Pipeline_Sort!$C190="","",INDEX(Pipeline_Calc!$G$2:$G$5251,Pipeline_Sort!$C190))</f>
        <v/>
      </c>
      <c r="G190">
        <f>IF(Pipeline_Sort!$C190="","",INDEX(Pipeline_Calc!$H$2:$H$5251,Pipeline_Sort!$C190))</f>
        <v/>
      </c>
      <c r="H190">
        <f>IF(Pipeline_Sort!$C190="","",INDEX(Pipeline_Calc!$I$2:$I$5251,Pipeline_Sort!$C190))</f>
        <v/>
      </c>
      <c r="I190">
        <f>IF(Pipeline_Sort!$C190="","",INDEX(Pipeline_Calc!$J$2:$J$5251,Pipeline_Sort!$C190))</f>
        <v/>
      </c>
    </row>
    <row r="191">
      <c r="A191" s="22">
        <f>IF(Pipeline_Sort!$C191="","",INDEX(Pipeline_Calc!$B$2:$B$5251,Pipeline_Sort!$C191))</f>
        <v/>
      </c>
      <c r="B191">
        <f>IF(Pipeline_Sort!$C191="","",INDEX(Pipeline_Calc!$C$2:$C$5251,Pipeline_Sort!$C191))</f>
        <v/>
      </c>
      <c r="C191">
        <f>IF(Pipeline_Sort!$C191="","",INDEX(Pipeline_Calc!$D$2:$D$5251,Pipeline_Sort!$C191))</f>
        <v/>
      </c>
      <c r="D191">
        <f>IF(Pipeline_Sort!$C191="","",INDEX(Pipeline_Calc!$E$2:$E$5251,Pipeline_Sort!$C191))</f>
        <v/>
      </c>
      <c r="E191">
        <f>IF(Pipeline_Sort!$C191="","",INDEX(Pipeline_Calc!$F$2:$F$5251,Pipeline_Sort!$C191))</f>
        <v/>
      </c>
      <c r="F191">
        <f>IF(Pipeline_Sort!$C191="","",INDEX(Pipeline_Calc!$G$2:$G$5251,Pipeline_Sort!$C191))</f>
        <v/>
      </c>
      <c r="G191">
        <f>IF(Pipeline_Sort!$C191="","",INDEX(Pipeline_Calc!$H$2:$H$5251,Pipeline_Sort!$C191))</f>
        <v/>
      </c>
      <c r="H191">
        <f>IF(Pipeline_Sort!$C191="","",INDEX(Pipeline_Calc!$I$2:$I$5251,Pipeline_Sort!$C191))</f>
        <v/>
      </c>
      <c r="I191">
        <f>IF(Pipeline_Sort!$C191="","",INDEX(Pipeline_Calc!$J$2:$J$5251,Pipeline_Sort!$C191))</f>
        <v/>
      </c>
    </row>
    <row r="192">
      <c r="A192" s="22">
        <f>IF(Pipeline_Sort!$C192="","",INDEX(Pipeline_Calc!$B$2:$B$5251,Pipeline_Sort!$C192))</f>
        <v/>
      </c>
      <c r="B192">
        <f>IF(Pipeline_Sort!$C192="","",INDEX(Pipeline_Calc!$C$2:$C$5251,Pipeline_Sort!$C192))</f>
        <v/>
      </c>
      <c r="C192">
        <f>IF(Pipeline_Sort!$C192="","",INDEX(Pipeline_Calc!$D$2:$D$5251,Pipeline_Sort!$C192))</f>
        <v/>
      </c>
      <c r="D192">
        <f>IF(Pipeline_Sort!$C192="","",INDEX(Pipeline_Calc!$E$2:$E$5251,Pipeline_Sort!$C192))</f>
        <v/>
      </c>
      <c r="E192">
        <f>IF(Pipeline_Sort!$C192="","",INDEX(Pipeline_Calc!$F$2:$F$5251,Pipeline_Sort!$C192))</f>
        <v/>
      </c>
      <c r="F192">
        <f>IF(Pipeline_Sort!$C192="","",INDEX(Pipeline_Calc!$G$2:$G$5251,Pipeline_Sort!$C192))</f>
        <v/>
      </c>
      <c r="G192">
        <f>IF(Pipeline_Sort!$C192="","",INDEX(Pipeline_Calc!$H$2:$H$5251,Pipeline_Sort!$C192))</f>
        <v/>
      </c>
      <c r="H192">
        <f>IF(Pipeline_Sort!$C192="","",INDEX(Pipeline_Calc!$I$2:$I$5251,Pipeline_Sort!$C192))</f>
        <v/>
      </c>
      <c r="I192">
        <f>IF(Pipeline_Sort!$C192="","",INDEX(Pipeline_Calc!$J$2:$J$5251,Pipeline_Sort!$C192))</f>
        <v/>
      </c>
    </row>
    <row r="193">
      <c r="A193" s="22">
        <f>IF(Pipeline_Sort!$C193="","",INDEX(Pipeline_Calc!$B$2:$B$5251,Pipeline_Sort!$C193))</f>
        <v/>
      </c>
      <c r="B193">
        <f>IF(Pipeline_Sort!$C193="","",INDEX(Pipeline_Calc!$C$2:$C$5251,Pipeline_Sort!$C193))</f>
        <v/>
      </c>
      <c r="C193">
        <f>IF(Pipeline_Sort!$C193="","",INDEX(Pipeline_Calc!$D$2:$D$5251,Pipeline_Sort!$C193))</f>
        <v/>
      </c>
      <c r="D193">
        <f>IF(Pipeline_Sort!$C193="","",INDEX(Pipeline_Calc!$E$2:$E$5251,Pipeline_Sort!$C193))</f>
        <v/>
      </c>
      <c r="E193">
        <f>IF(Pipeline_Sort!$C193="","",INDEX(Pipeline_Calc!$F$2:$F$5251,Pipeline_Sort!$C193))</f>
        <v/>
      </c>
      <c r="F193">
        <f>IF(Pipeline_Sort!$C193="","",INDEX(Pipeline_Calc!$G$2:$G$5251,Pipeline_Sort!$C193))</f>
        <v/>
      </c>
      <c r="G193">
        <f>IF(Pipeline_Sort!$C193="","",INDEX(Pipeline_Calc!$H$2:$H$5251,Pipeline_Sort!$C193))</f>
        <v/>
      </c>
      <c r="H193">
        <f>IF(Pipeline_Sort!$C193="","",INDEX(Pipeline_Calc!$I$2:$I$5251,Pipeline_Sort!$C193))</f>
        <v/>
      </c>
      <c r="I193">
        <f>IF(Pipeline_Sort!$C193="","",INDEX(Pipeline_Calc!$J$2:$J$5251,Pipeline_Sort!$C193))</f>
        <v/>
      </c>
    </row>
    <row r="194">
      <c r="A194" s="22">
        <f>IF(Pipeline_Sort!$C194="","",INDEX(Pipeline_Calc!$B$2:$B$5251,Pipeline_Sort!$C194))</f>
        <v/>
      </c>
      <c r="B194">
        <f>IF(Pipeline_Sort!$C194="","",INDEX(Pipeline_Calc!$C$2:$C$5251,Pipeline_Sort!$C194))</f>
        <v/>
      </c>
      <c r="C194">
        <f>IF(Pipeline_Sort!$C194="","",INDEX(Pipeline_Calc!$D$2:$D$5251,Pipeline_Sort!$C194))</f>
        <v/>
      </c>
      <c r="D194">
        <f>IF(Pipeline_Sort!$C194="","",INDEX(Pipeline_Calc!$E$2:$E$5251,Pipeline_Sort!$C194))</f>
        <v/>
      </c>
      <c r="E194">
        <f>IF(Pipeline_Sort!$C194="","",INDEX(Pipeline_Calc!$F$2:$F$5251,Pipeline_Sort!$C194))</f>
        <v/>
      </c>
      <c r="F194">
        <f>IF(Pipeline_Sort!$C194="","",INDEX(Pipeline_Calc!$G$2:$G$5251,Pipeline_Sort!$C194))</f>
        <v/>
      </c>
      <c r="G194">
        <f>IF(Pipeline_Sort!$C194="","",INDEX(Pipeline_Calc!$H$2:$H$5251,Pipeline_Sort!$C194))</f>
        <v/>
      </c>
      <c r="H194">
        <f>IF(Pipeline_Sort!$C194="","",INDEX(Pipeline_Calc!$I$2:$I$5251,Pipeline_Sort!$C194))</f>
        <v/>
      </c>
      <c r="I194">
        <f>IF(Pipeline_Sort!$C194="","",INDEX(Pipeline_Calc!$J$2:$J$5251,Pipeline_Sort!$C194))</f>
        <v/>
      </c>
    </row>
    <row r="195">
      <c r="A195" s="22">
        <f>IF(Pipeline_Sort!$C195="","",INDEX(Pipeline_Calc!$B$2:$B$5251,Pipeline_Sort!$C195))</f>
        <v/>
      </c>
      <c r="B195">
        <f>IF(Pipeline_Sort!$C195="","",INDEX(Pipeline_Calc!$C$2:$C$5251,Pipeline_Sort!$C195))</f>
        <v/>
      </c>
      <c r="C195">
        <f>IF(Pipeline_Sort!$C195="","",INDEX(Pipeline_Calc!$D$2:$D$5251,Pipeline_Sort!$C195))</f>
        <v/>
      </c>
      <c r="D195">
        <f>IF(Pipeline_Sort!$C195="","",INDEX(Pipeline_Calc!$E$2:$E$5251,Pipeline_Sort!$C195))</f>
        <v/>
      </c>
      <c r="E195">
        <f>IF(Pipeline_Sort!$C195="","",INDEX(Pipeline_Calc!$F$2:$F$5251,Pipeline_Sort!$C195))</f>
        <v/>
      </c>
      <c r="F195">
        <f>IF(Pipeline_Sort!$C195="","",INDEX(Pipeline_Calc!$G$2:$G$5251,Pipeline_Sort!$C195))</f>
        <v/>
      </c>
      <c r="G195">
        <f>IF(Pipeline_Sort!$C195="","",INDEX(Pipeline_Calc!$H$2:$H$5251,Pipeline_Sort!$C195))</f>
        <v/>
      </c>
      <c r="H195">
        <f>IF(Pipeline_Sort!$C195="","",INDEX(Pipeline_Calc!$I$2:$I$5251,Pipeline_Sort!$C195))</f>
        <v/>
      </c>
      <c r="I195">
        <f>IF(Pipeline_Sort!$C195="","",INDEX(Pipeline_Calc!$J$2:$J$5251,Pipeline_Sort!$C195))</f>
        <v/>
      </c>
    </row>
    <row r="196">
      <c r="A196" s="22">
        <f>IF(Pipeline_Sort!$C196="","",INDEX(Pipeline_Calc!$B$2:$B$5251,Pipeline_Sort!$C196))</f>
        <v/>
      </c>
      <c r="B196">
        <f>IF(Pipeline_Sort!$C196="","",INDEX(Pipeline_Calc!$C$2:$C$5251,Pipeline_Sort!$C196))</f>
        <v/>
      </c>
      <c r="C196">
        <f>IF(Pipeline_Sort!$C196="","",INDEX(Pipeline_Calc!$D$2:$D$5251,Pipeline_Sort!$C196))</f>
        <v/>
      </c>
      <c r="D196">
        <f>IF(Pipeline_Sort!$C196="","",INDEX(Pipeline_Calc!$E$2:$E$5251,Pipeline_Sort!$C196))</f>
        <v/>
      </c>
      <c r="E196">
        <f>IF(Pipeline_Sort!$C196="","",INDEX(Pipeline_Calc!$F$2:$F$5251,Pipeline_Sort!$C196))</f>
        <v/>
      </c>
      <c r="F196">
        <f>IF(Pipeline_Sort!$C196="","",INDEX(Pipeline_Calc!$G$2:$G$5251,Pipeline_Sort!$C196))</f>
        <v/>
      </c>
      <c r="G196">
        <f>IF(Pipeline_Sort!$C196="","",INDEX(Pipeline_Calc!$H$2:$H$5251,Pipeline_Sort!$C196))</f>
        <v/>
      </c>
      <c r="H196">
        <f>IF(Pipeline_Sort!$C196="","",INDEX(Pipeline_Calc!$I$2:$I$5251,Pipeline_Sort!$C196))</f>
        <v/>
      </c>
      <c r="I196">
        <f>IF(Pipeline_Sort!$C196="","",INDEX(Pipeline_Calc!$J$2:$J$5251,Pipeline_Sort!$C196))</f>
        <v/>
      </c>
    </row>
    <row r="197">
      <c r="A197" s="22">
        <f>IF(Pipeline_Sort!$C197="","",INDEX(Pipeline_Calc!$B$2:$B$5251,Pipeline_Sort!$C197))</f>
        <v/>
      </c>
      <c r="B197">
        <f>IF(Pipeline_Sort!$C197="","",INDEX(Pipeline_Calc!$C$2:$C$5251,Pipeline_Sort!$C197))</f>
        <v/>
      </c>
      <c r="C197">
        <f>IF(Pipeline_Sort!$C197="","",INDEX(Pipeline_Calc!$D$2:$D$5251,Pipeline_Sort!$C197))</f>
        <v/>
      </c>
      <c r="D197">
        <f>IF(Pipeline_Sort!$C197="","",INDEX(Pipeline_Calc!$E$2:$E$5251,Pipeline_Sort!$C197))</f>
        <v/>
      </c>
      <c r="E197">
        <f>IF(Pipeline_Sort!$C197="","",INDEX(Pipeline_Calc!$F$2:$F$5251,Pipeline_Sort!$C197))</f>
        <v/>
      </c>
      <c r="F197">
        <f>IF(Pipeline_Sort!$C197="","",INDEX(Pipeline_Calc!$G$2:$G$5251,Pipeline_Sort!$C197))</f>
        <v/>
      </c>
      <c r="G197">
        <f>IF(Pipeline_Sort!$C197="","",INDEX(Pipeline_Calc!$H$2:$H$5251,Pipeline_Sort!$C197))</f>
        <v/>
      </c>
      <c r="H197">
        <f>IF(Pipeline_Sort!$C197="","",INDEX(Pipeline_Calc!$I$2:$I$5251,Pipeline_Sort!$C197))</f>
        <v/>
      </c>
      <c r="I197">
        <f>IF(Pipeline_Sort!$C197="","",INDEX(Pipeline_Calc!$J$2:$J$5251,Pipeline_Sort!$C197))</f>
        <v/>
      </c>
    </row>
    <row r="198">
      <c r="A198" s="22">
        <f>IF(Pipeline_Sort!$C198="","",INDEX(Pipeline_Calc!$B$2:$B$5251,Pipeline_Sort!$C198))</f>
        <v/>
      </c>
      <c r="B198">
        <f>IF(Pipeline_Sort!$C198="","",INDEX(Pipeline_Calc!$C$2:$C$5251,Pipeline_Sort!$C198))</f>
        <v/>
      </c>
      <c r="C198">
        <f>IF(Pipeline_Sort!$C198="","",INDEX(Pipeline_Calc!$D$2:$D$5251,Pipeline_Sort!$C198))</f>
        <v/>
      </c>
      <c r="D198">
        <f>IF(Pipeline_Sort!$C198="","",INDEX(Pipeline_Calc!$E$2:$E$5251,Pipeline_Sort!$C198))</f>
        <v/>
      </c>
      <c r="E198">
        <f>IF(Pipeline_Sort!$C198="","",INDEX(Pipeline_Calc!$F$2:$F$5251,Pipeline_Sort!$C198))</f>
        <v/>
      </c>
      <c r="F198">
        <f>IF(Pipeline_Sort!$C198="","",INDEX(Pipeline_Calc!$G$2:$G$5251,Pipeline_Sort!$C198))</f>
        <v/>
      </c>
      <c r="G198">
        <f>IF(Pipeline_Sort!$C198="","",INDEX(Pipeline_Calc!$H$2:$H$5251,Pipeline_Sort!$C198))</f>
        <v/>
      </c>
      <c r="H198">
        <f>IF(Pipeline_Sort!$C198="","",INDEX(Pipeline_Calc!$I$2:$I$5251,Pipeline_Sort!$C198))</f>
        <v/>
      </c>
      <c r="I198">
        <f>IF(Pipeline_Sort!$C198="","",INDEX(Pipeline_Calc!$J$2:$J$5251,Pipeline_Sort!$C198))</f>
        <v/>
      </c>
    </row>
    <row r="199">
      <c r="A199" s="22">
        <f>IF(Pipeline_Sort!$C199="","",INDEX(Pipeline_Calc!$B$2:$B$5251,Pipeline_Sort!$C199))</f>
        <v/>
      </c>
      <c r="B199">
        <f>IF(Pipeline_Sort!$C199="","",INDEX(Pipeline_Calc!$C$2:$C$5251,Pipeline_Sort!$C199))</f>
        <v/>
      </c>
      <c r="C199">
        <f>IF(Pipeline_Sort!$C199="","",INDEX(Pipeline_Calc!$D$2:$D$5251,Pipeline_Sort!$C199))</f>
        <v/>
      </c>
      <c r="D199">
        <f>IF(Pipeline_Sort!$C199="","",INDEX(Pipeline_Calc!$E$2:$E$5251,Pipeline_Sort!$C199))</f>
        <v/>
      </c>
      <c r="E199">
        <f>IF(Pipeline_Sort!$C199="","",INDEX(Pipeline_Calc!$F$2:$F$5251,Pipeline_Sort!$C199))</f>
        <v/>
      </c>
      <c r="F199">
        <f>IF(Pipeline_Sort!$C199="","",INDEX(Pipeline_Calc!$G$2:$G$5251,Pipeline_Sort!$C199))</f>
        <v/>
      </c>
      <c r="G199">
        <f>IF(Pipeline_Sort!$C199="","",INDEX(Pipeline_Calc!$H$2:$H$5251,Pipeline_Sort!$C199))</f>
        <v/>
      </c>
      <c r="H199">
        <f>IF(Pipeline_Sort!$C199="","",INDEX(Pipeline_Calc!$I$2:$I$5251,Pipeline_Sort!$C199))</f>
        <v/>
      </c>
      <c r="I199">
        <f>IF(Pipeline_Sort!$C199="","",INDEX(Pipeline_Calc!$J$2:$J$5251,Pipeline_Sort!$C199))</f>
        <v/>
      </c>
    </row>
    <row r="200">
      <c r="A200" s="22">
        <f>IF(Pipeline_Sort!$C200="","",INDEX(Pipeline_Calc!$B$2:$B$5251,Pipeline_Sort!$C200))</f>
        <v/>
      </c>
      <c r="B200">
        <f>IF(Pipeline_Sort!$C200="","",INDEX(Pipeline_Calc!$C$2:$C$5251,Pipeline_Sort!$C200))</f>
        <v/>
      </c>
      <c r="C200">
        <f>IF(Pipeline_Sort!$C200="","",INDEX(Pipeline_Calc!$D$2:$D$5251,Pipeline_Sort!$C200))</f>
        <v/>
      </c>
      <c r="D200">
        <f>IF(Pipeline_Sort!$C200="","",INDEX(Pipeline_Calc!$E$2:$E$5251,Pipeline_Sort!$C200))</f>
        <v/>
      </c>
      <c r="E200">
        <f>IF(Pipeline_Sort!$C200="","",INDEX(Pipeline_Calc!$F$2:$F$5251,Pipeline_Sort!$C200))</f>
        <v/>
      </c>
      <c r="F200">
        <f>IF(Pipeline_Sort!$C200="","",INDEX(Pipeline_Calc!$G$2:$G$5251,Pipeline_Sort!$C200))</f>
        <v/>
      </c>
      <c r="G200">
        <f>IF(Pipeline_Sort!$C200="","",INDEX(Pipeline_Calc!$H$2:$H$5251,Pipeline_Sort!$C200))</f>
        <v/>
      </c>
      <c r="H200">
        <f>IF(Pipeline_Sort!$C200="","",INDEX(Pipeline_Calc!$I$2:$I$5251,Pipeline_Sort!$C200))</f>
        <v/>
      </c>
      <c r="I200">
        <f>IF(Pipeline_Sort!$C200="","",INDEX(Pipeline_Calc!$J$2:$J$5251,Pipeline_Sort!$C200))</f>
        <v/>
      </c>
    </row>
    <row r="201">
      <c r="A201" s="22">
        <f>IF(Pipeline_Sort!$C201="","",INDEX(Pipeline_Calc!$B$2:$B$5251,Pipeline_Sort!$C201))</f>
        <v/>
      </c>
      <c r="B201">
        <f>IF(Pipeline_Sort!$C201="","",INDEX(Pipeline_Calc!$C$2:$C$5251,Pipeline_Sort!$C201))</f>
        <v/>
      </c>
      <c r="C201">
        <f>IF(Pipeline_Sort!$C201="","",INDEX(Pipeline_Calc!$D$2:$D$5251,Pipeline_Sort!$C201))</f>
        <v/>
      </c>
      <c r="D201">
        <f>IF(Pipeline_Sort!$C201="","",INDEX(Pipeline_Calc!$E$2:$E$5251,Pipeline_Sort!$C201))</f>
        <v/>
      </c>
      <c r="E201">
        <f>IF(Pipeline_Sort!$C201="","",INDEX(Pipeline_Calc!$F$2:$F$5251,Pipeline_Sort!$C201))</f>
        <v/>
      </c>
      <c r="F201">
        <f>IF(Pipeline_Sort!$C201="","",INDEX(Pipeline_Calc!$G$2:$G$5251,Pipeline_Sort!$C201))</f>
        <v/>
      </c>
      <c r="G201">
        <f>IF(Pipeline_Sort!$C201="","",INDEX(Pipeline_Calc!$H$2:$H$5251,Pipeline_Sort!$C201))</f>
        <v/>
      </c>
      <c r="H201">
        <f>IF(Pipeline_Sort!$C201="","",INDEX(Pipeline_Calc!$I$2:$I$5251,Pipeline_Sort!$C201))</f>
        <v/>
      </c>
      <c r="I201">
        <f>IF(Pipeline_Sort!$C201="","",INDEX(Pipeline_Calc!$J$2:$J$5251,Pipeline_Sort!$C201))</f>
        <v/>
      </c>
    </row>
    <row r="202">
      <c r="A202" s="22">
        <f>IF(Pipeline_Sort!$C202="","",INDEX(Pipeline_Calc!$B$2:$B$5251,Pipeline_Sort!$C202))</f>
        <v/>
      </c>
      <c r="B202">
        <f>IF(Pipeline_Sort!$C202="","",INDEX(Pipeline_Calc!$C$2:$C$5251,Pipeline_Sort!$C202))</f>
        <v/>
      </c>
      <c r="C202">
        <f>IF(Pipeline_Sort!$C202="","",INDEX(Pipeline_Calc!$D$2:$D$5251,Pipeline_Sort!$C202))</f>
        <v/>
      </c>
      <c r="D202">
        <f>IF(Pipeline_Sort!$C202="","",INDEX(Pipeline_Calc!$E$2:$E$5251,Pipeline_Sort!$C202))</f>
        <v/>
      </c>
      <c r="E202">
        <f>IF(Pipeline_Sort!$C202="","",INDEX(Pipeline_Calc!$F$2:$F$5251,Pipeline_Sort!$C202))</f>
        <v/>
      </c>
      <c r="F202">
        <f>IF(Pipeline_Sort!$C202="","",INDEX(Pipeline_Calc!$G$2:$G$5251,Pipeline_Sort!$C202))</f>
        <v/>
      </c>
      <c r="G202">
        <f>IF(Pipeline_Sort!$C202="","",INDEX(Pipeline_Calc!$H$2:$H$5251,Pipeline_Sort!$C202))</f>
        <v/>
      </c>
      <c r="H202">
        <f>IF(Pipeline_Sort!$C202="","",INDEX(Pipeline_Calc!$I$2:$I$5251,Pipeline_Sort!$C202))</f>
        <v/>
      </c>
      <c r="I202">
        <f>IF(Pipeline_Sort!$C202="","",INDEX(Pipeline_Calc!$J$2:$J$5251,Pipeline_Sort!$C202))</f>
        <v/>
      </c>
    </row>
    <row r="203">
      <c r="A203" s="22">
        <f>IF(Pipeline_Sort!$C203="","",INDEX(Pipeline_Calc!$B$2:$B$5251,Pipeline_Sort!$C203))</f>
        <v/>
      </c>
      <c r="B203">
        <f>IF(Pipeline_Sort!$C203="","",INDEX(Pipeline_Calc!$C$2:$C$5251,Pipeline_Sort!$C203))</f>
        <v/>
      </c>
      <c r="C203">
        <f>IF(Pipeline_Sort!$C203="","",INDEX(Pipeline_Calc!$D$2:$D$5251,Pipeline_Sort!$C203))</f>
        <v/>
      </c>
      <c r="D203">
        <f>IF(Pipeline_Sort!$C203="","",INDEX(Pipeline_Calc!$E$2:$E$5251,Pipeline_Sort!$C203))</f>
        <v/>
      </c>
      <c r="E203">
        <f>IF(Pipeline_Sort!$C203="","",INDEX(Pipeline_Calc!$F$2:$F$5251,Pipeline_Sort!$C203))</f>
        <v/>
      </c>
      <c r="F203">
        <f>IF(Pipeline_Sort!$C203="","",INDEX(Pipeline_Calc!$G$2:$G$5251,Pipeline_Sort!$C203))</f>
        <v/>
      </c>
      <c r="G203">
        <f>IF(Pipeline_Sort!$C203="","",INDEX(Pipeline_Calc!$H$2:$H$5251,Pipeline_Sort!$C203))</f>
        <v/>
      </c>
      <c r="H203">
        <f>IF(Pipeline_Sort!$C203="","",INDEX(Pipeline_Calc!$I$2:$I$5251,Pipeline_Sort!$C203))</f>
        <v/>
      </c>
      <c r="I203">
        <f>IF(Pipeline_Sort!$C203="","",INDEX(Pipeline_Calc!$J$2:$J$5251,Pipeline_Sort!$C203))</f>
        <v/>
      </c>
    </row>
    <row r="204">
      <c r="A204" s="22">
        <f>IF(Pipeline_Sort!$C204="","",INDEX(Pipeline_Calc!$B$2:$B$5251,Pipeline_Sort!$C204))</f>
        <v/>
      </c>
      <c r="B204">
        <f>IF(Pipeline_Sort!$C204="","",INDEX(Pipeline_Calc!$C$2:$C$5251,Pipeline_Sort!$C204))</f>
        <v/>
      </c>
      <c r="C204">
        <f>IF(Pipeline_Sort!$C204="","",INDEX(Pipeline_Calc!$D$2:$D$5251,Pipeline_Sort!$C204))</f>
        <v/>
      </c>
      <c r="D204">
        <f>IF(Pipeline_Sort!$C204="","",INDEX(Pipeline_Calc!$E$2:$E$5251,Pipeline_Sort!$C204))</f>
        <v/>
      </c>
      <c r="E204">
        <f>IF(Pipeline_Sort!$C204="","",INDEX(Pipeline_Calc!$F$2:$F$5251,Pipeline_Sort!$C204))</f>
        <v/>
      </c>
      <c r="F204">
        <f>IF(Pipeline_Sort!$C204="","",INDEX(Pipeline_Calc!$G$2:$G$5251,Pipeline_Sort!$C204))</f>
        <v/>
      </c>
      <c r="G204">
        <f>IF(Pipeline_Sort!$C204="","",INDEX(Pipeline_Calc!$H$2:$H$5251,Pipeline_Sort!$C204))</f>
        <v/>
      </c>
      <c r="H204">
        <f>IF(Pipeline_Sort!$C204="","",INDEX(Pipeline_Calc!$I$2:$I$5251,Pipeline_Sort!$C204))</f>
        <v/>
      </c>
      <c r="I204">
        <f>IF(Pipeline_Sort!$C204="","",INDEX(Pipeline_Calc!$J$2:$J$5251,Pipeline_Sort!$C204))</f>
        <v/>
      </c>
    </row>
    <row r="205">
      <c r="A205" s="22">
        <f>IF(Pipeline_Sort!$C205="","",INDEX(Pipeline_Calc!$B$2:$B$5251,Pipeline_Sort!$C205))</f>
        <v/>
      </c>
      <c r="B205">
        <f>IF(Pipeline_Sort!$C205="","",INDEX(Pipeline_Calc!$C$2:$C$5251,Pipeline_Sort!$C205))</f>
        <v/>
      </c>
      <c r="C205">
        <f>IF(Pipeline_Sort!$C205="","",INDEX(Pipeline_Calc!$D$2:$D$5251,Pipeline_Sort!$C205))</f>
        <v/>
      </c>
      <c r="D205">
        <f>IF(Pipeline_Sort!$C205="","",INDEX(Pipeline_Calc!$E$2:$E$5251,Pipeline_Sort!$C205))</f>
        <v/>
      </c>
      <c r="E205">
        <f>IF(Pipeline_Sort!$C205="","",INDEX(Pipeline_Calc!$F$2:$F$5251,Pipeline_Sort!$C205))</f>
        <v/>
      </c>
      <c r="F205">
        <f>IF(Pipeline_Sort!$C205="","",INDEX(Pipeline_Calc!$G$2:$G$5251,Pipeline_Sort!$C205))</f>
        <v/>
      </c>
      <c r="G205">
        <f>IF(Pipeline_Sort!$C205="","",INDEX(Pipeline_Calc!$H$2:$H$5251,Pipeline_Sort!$C205))</f>
        <v/>
      </c>
      <c r="H205">
        <f>IF(Pipeline_Sort!$C205="","",INDEX(Pipeline_Calc!$I$2:$I$5251,Pipeline_Sort!$C205))</f>
        <v/>
      </c>
      <c r="I205">
        <f>IF(Pipeline_Sort!$C205="","",INDEX(Pipeline_Calc!$J$2:$J$5251,Pipeline_Sort!$C205))</f>
        <v/>
      </c>
    </row>
    <row r="206">
      <c r="A206" s="22">
        <f>IF(Pipeline_Sort!$C206="","",INDEX(Pipeline_Calc!$B$2:$B$5251,Pipeline_Sort!$C206))</f>
        <v/>
      </c>
      <c r="B206">
        <f>IF(Pipeline_Sort!$C206="","",INDEX(Pipeline_Calc!$C$2:$C$5251,Pipeline_Sort!$C206))</f>
        <v/>
      </c>
      <c r="C206">
        <f>IF(Pipeline_Sort!$C206="","",INDEX(Pipeline_Calc!$D$2:$D$5251,Pipeline_Sort!$C206))</f>
        <v/>
      </c>
      <c r="D206">
        <f>IF(Pipeline_Sort!$C206="","",INDEX(Pipeline_Calc!$E$2:$E$5251,Pipeline_Sort!$C206))</f>
        <v/>
      </c>
      <c r="E206">
        <f>IF(Pipeline_Sort!$C206="","",INDEX(Pipeline_Calc!$F$2:$F$5251,Pipeline_Sort!$C206))</f>
        <v/>
      </c>
      <c r="F206">
        <f>IF(Pipeline_Sort!$C206="","",INDEX(Pipeline_Calc!$G$2:$G$5251,Pipeline_Sort!$C206))</f>
        <v/>
      </c>
      <c r="G206">
        <f>IF(Pipeline_Sort!$C206="","",INDEX(Pipeline_Calc!$H$2:$H$5251,Pipeline_Sort!$C206))</f>
        <v/>
      </c>
      <c r="H206">
        <f>IF(Pipeline_Sort!$C206="","",INDEX(Pipeline_Calc!$I$2:$I$5251,Pipeline_Sort!$C206))</f>
        <v/>
      </c>
      <c r="I206">
        <f>IF(Pipeline_Sort!$C206="","",INDEX(Pipeline_Calc!$J$2:$J$5251,Pipeline_Sort!$C206))</f>
        <v/>
      </c>
    </row>
    <row r="207">
      <c r="A207" s="22">
        <f>IF(Pipeline_Sort!$C207="","",INDEX(Pipeline_Calc!$B$2:$B$5251,Pipeline_Sort!$C207))</f>
        <v/>
      </c>
      <c r="B207">
        <f>IF(Pipeline_Sort!$C207="","",INDEX(Pipeline_Calc!$C$2:$C$5251,Pipeline_Sort!$C207))</f>
        <v/>
      </c>
      <c r="C207">
        <f>IF(Pipeline_Sort!$C207="","",INDEX(Pipeline_Calc!$D$2:$D$5251,Pipeline_Sort!$C207))</f>
        <v/>
      </c>
      <c r="D207">
        <f>IF(Pipeline_Sort!$C207="","",INDEX(Pipeline_Calc!$E$2:$E$5251,Pipeline_Sort!$C207))</f>
        <v/>
      </c>
      <c r="E207">
        <f>IF(Pipeline_Sort!$C207="","",INDEX(Pipeline_Calc!$F$2:$F$5251,Pipeline_Sort!$C207))</f>
        <v/>
      </c>
      <c r="F207">
        <f>IF(Pipeline_Sort!$C207="","",INDEX(Pipeline_Calc!$G$2:$G$5251,Pipeline_Sort!$C207))</f>
        <v/>
      </c>
      <c r="G207">
        <f>IF(Pipeline_Sort!$C207="","",INDEX(Pipeline_Calc!$H$2:$H$5251,Pipeline_Sort!$C207))</f>
        <v/>
      </c>
      <c r="H207">
        <f>IF(Pipeline_Sort!$C207="","",INDEX(Pipeline_Calc!$I$2:$I$5251,Pipeline_Sort!$C207))</f>
        <v/>
      </c>
      <c r="I207">
        <f>IF(Pipeline_Sort!$C207="","",INDEX(Pipeline_Calc!$J$2:$J$5251,Pipeline_Sort!$C207))</f>
        <v/>
      </c>
    </row>
    <row r="208">
      <c r="A208" s="22">
        <f>IF(Pipeline_Sort!$C208="","",INDEX(Pipeline_Calc!$B$2:$B$5251,Pipeline_Sort!$C208))</f>
        <v/>
      </c>
      <c r="B208">
        <f>IF(Pipeline_Sort!$C208="","",INDEX(Pipeline_Calc!$C$2:$C$5251,Pipeline_Sort!$C208))</f>
        <v/>
      </c>
      <c r="C208">
        <f>IF(Pipeline_Sort!$C208="","",INDEX(Pipeline_Calc!$D$2:$D$5251,Pipeline_Sort!$C208))</f>
        <v/>
      </c>
      <c r="D208">
        <f>IF(Pipeline_Sort!$C208="","",INDEX(Pipeline_Calc!$E$2:$E$5251,Pipeline_Sort!$C208))</f>
        <v/>
      </c>
      <c r="E208">
        <f>IF(Pipeline_Sort!$C208="","",INDEX(Pipeline_Calc!$F$2:$F$5251,Pipeline_Sort!$C208))</f>
        <v/>
      </c>
      <c r="F208">
        <f>IF(Pipeline_Sort!$C208="","",INDEX(Pipeline_Calc!$G$2:$G$5251,Pipeline_Sort!$C208))</f>
        <v/>
      </c>
      <c r="G208">
        <f>IF(Pipeline_Sort!$C208="","",INDEX(Pipeline_Calc!$H$2:$H$5251,Pipeline_Sort!$C208))</f>
        <v/>
      </c>
      <c r="H208">
        <f>IF(Pipeline_Sort!$C208="","",INDEX(Pipeline_Calc!$I$2:$I$5251,Pipeline_Sort!$C208))</f>
        <v/>
      </c>
      <c r="I208">
        <f>IF(Pipeline_Sort!$C208="","",INDEX(Pipeline_Calc!$J$2:$J$5251,Pipeline_Sort!$C208))</f>
        <v/>
      </c>
    </row>
    <row r="209">
      <c r="A209" s="22">
        <f>IF(Pipeline_Sort!$C209="","",INDEX(Pipeline_Calc!$B$2:$B$5251,Pipeline_Sort!$C209))</f>
        <v/>
      </c>
      <c r="B209">
        <f>IF(Pipeline_Sort!$C209="","",INDEX(Pipeline_Calc!$C$2:$C$5251,Pipeline_Sort!$C209))</f>
        <v/>
      </c>
      <c r="C209">
        <f>IF(Pipeline_Sort!$C209="","",INDEX(Pipeline_Calc!$D$2:$D$5251,Pipeline_Sort!$C209))</f>
        <v/>
      </c>
      <c r="D209">
        <f>IF(Pipeline_Sort!$C209="","",INDEX(Pipeline_Calc!$E$2:$E$5251,Pipeline_Sort!$C209))</f>
        <v/>
      </c>
      <c r="E209">
        <f>IF(Pipeline_Sort!$C209="","",INDEX(Pipeline_Calc!$F$2:$F$5251,Pipeline_Sort!$C209))</f>
        <v/>
      </c>
      <c r="F209">
        <f>IF(Pipeline_Sort!$C209="","",INDEX(Pipeline_Calc!$G$2:$G$5251,Pipeline_Sort!$C209))</f>
        <v/>
      </c>
      <c r="G209">
        <f>IF(Pipeline_Sort!$C209="","",INDEX(Pipeline_Calc!$H$2:$H$5251,Pipeline_Sort!$C209))</f>
        <v/>
      </c>
      <c r="H209">
        <f>IF(Pipeline_Sort!$C209="","",INDEX(Pipeline_Calc!$I$2:$I$5251,Pipeline_Sort!$C209))</f>
        <v/>
      </c>
      <c r="I209">
        <f>IF(Pipeline_Sort!$C209="","",INDEX(Pipeline_Calc!$J$2:$J$5251,Pipeline_Sort!$C209))</f>
        <v/>
      </c>
    </row>
    <row r="210">
      <c r="A210" s="22">
        <f>IF(Pipeline_Sort!$C210="","",INDEX(Pipeline_Calc!$B$2:$B$5251,Pipeline_Sort!$C210))</f>
        <v/>
      </c>
      <c r="B210">
        <f>IF(Pipeline_Sort!$C210="","",INDEX(Pipeline_Calc!$C$2:$C$5251,Pipeline_Sort!$C210))</f>
        <v/>
      </c>
      <c r="C210">
        <f>IF(Pipeline_Sort!$C210="","",INDEX(Pipeline_Calc!$D$2:$D$5251,Pipeline_Sort!$C210))</f>
        <v/>
      </c>
      <c r="D210">
        <f>IF(Pipeline_Sort!$C210="","",INDEX(Pipeline_Calc!$E$2:$E$5251,Pipeline_Sort!$C210))</f>
        <v/>
      </c>
      <c r="E210">
        <f>IF(Pipeline_Sort!$C210="","",INDEX(Pipeline_Calc!$F$2:$F$5251,Pipeline_Sort!$C210))</f>
        <v/>
      </c>
      <c r="F210">
        <f>IF(Pipeline_Sort!$C210="","",INDEX(Pipeline_Calc!$G$2:$G$5251,Pipeline_Sort!$C210))</f>
        <v/>
      </c>
      <c r="G210">
        <f>IF(Pipeline_Sort!$C210="","",INDEX(Pipeline_Calc!$H$2:$H$5251,Pipeline_Sort!$C210))</f>
        <v/>
      </c>
      <c r="H210">
        <f>IF(Pipeline_Sort!$C210="","",INDEX(Pipeline_Calc!$I$2:$I$5251,Pipeline_Sort!$C210))</f>
        <v/>
      </c>
      <c r="I210">
        <f>IF(Pipeline_Sort!$C210="","",INDEX(Pipeline_Calc!$J$2:$J$5251,Pipeline_Sort!$C210))</f>
        <v/>
      </c>
    </row>
    <row r="211">
      <c r="A211" s="22">
        <f>IF(Pipeline_Sort!$C211="","",INDEX(Pipeline_Calc!$B$2:$B$5251,Pipeline_Sort!$C211))</f>
        <v/>
      </c>
      <c r="B211">
        <f>IF(Pipeline_Sort!$C211="","",INDEX(Pipeline_Calc!$C$2:$C$5251,Pipeline_Sort!$C211))</f>
        <v/>
      </c>
      <c r="C211">
        <f>IF(Pipeline_Sort!$C211="","",INDEX(Pipeline_Calc!$D$2:$D$5251,Pipeline_Sort!$C211))</f>
        <v/>
      </c>
      <c r="D211">
        <f>IF(Pipeline_Sort!$C211="","",INDEX(Pipeline_Calc!$E$2:$E$5251,Pipeline_Sort!$C211))</f>
        <v/>
      </c>
      <c r="E211">
        <f>IF(Pipeline_Sort!$C211="","",INDEX(Pipeline_Calc!$F$2:$F$5251,Pipeline_Sort!$C211))</f>
        <v/>
      </c>
      <c r="F211">
        <f>IF(Pipeline_Sort!$C211="","",INDEX(Pipeline_Calc!$G$2:$G$5251,Pipeline_Sort!$C211))</f>
        <v/>
      </c>
      <c r="G211">
        <f>IF(Pipeline_Sort!$C211="","",INDEX(Pipeline_Calc!$H$2:$H$5251,Pipeline_Sort!$C211))</f>
        <v/>
      </c>
      <c r="H211">
        <f>IF(Pipeline_Sort!$C211="","",INDEX(Pipeline_Calc!$I$2:$I$5251,Pipeline_Sort!$C211))</f>
        <v/>
      </c>
      <c r="I211">
        <f>IF(Pipeline_Sort!$C211="","",INDEX(Pipeline_Calc!$J$2:$J$5251,Pipeline_Sort!$C211))</f>
        <v/>
      </c>
    </row>
    <row r="212">
      <c r="A212" s="22">
        <f>IF(Pipeline_Sort!$C212="","",INDEX(Pipeline_Calc!$B$2:$B$5251,Pipeline_Sort!$C212))</f>
        <v/>
      </c>
      <c r="B212">
        <f>IF(Pipeline_Sort!$C212="","",INDEX(Pipeline_Calc!$C$2:$C$5251,Pipeline_Sort!$C212))</f>
        <v/>
      </c>
      <c r="C212">
        <f>IF(Pipeline_Sort!$C212="","",INDEX(Pipeline_Calc!$D$2:$D$5251,Pipeline_Sort!$C212))</f>
        <v/>
      </c>
      <c r="D212">
        <f>IF(Pipeline_Sort!$C212="","",INDEX(Pipeline_Calc!$E$2:$E$5251,Pipeline_Sort!$C212))</f>
        <v/>
      </c>
      <c r="E212">
        <f>IF(Pipeline_Sort!$C212="","",INDEX(Pipeline_Calc!$F$2:$F$5251,Pipeline_Sort!$C212))</f>
        <v/>
      </c>
      <c r="F212">
        <f>IF(Pipeline_Sort!$C212="","",INDEX(Pipeline_Calc!$G$2:$G$5251,Pipeline_Sort!$C212))</f>
        <v/>
      </c>
      <c r="G212">
        <f>IF(Pipeline_Sort!$C212="","",INDEX(Pipeline_Calc!$H$2:$H$5251,Pipeline_Sort!$C212))</f>
        <v/>
      </c>
      <c r="H212">
        <f>IF(Pipeline_Sort!$C212="","",INDEX(Pipeline_Calc!$I$2:$I$5251,Pipeline_Sort!$C212))</f>
        <v/>
      </c>
      <c r="I212">
        <f>IF(Pipeline_Sort!$C212="","",INDEX(Pipeline_Calc!$J$2:$J$5251,Pipeline_Sort!$C212))</f>
        <v/>
      </c>
    </row>
    <row r="213">
      <c r="A213" s="22">
        <f>IF(Pipeline_Sort!$C213="","",INDEX(Pipeline_Calc!$B$2:$B$5251,Pipeline_Sort!$C213))</f>
        <v/>
      </c>
      <c r="B213">
        <f>IF(Pipeline_Sort!$C213="","",INDEX(Pipeline_Calc!$C$2:$C$5251,Pipeline_Sort!$C213))</f>
        <v/>
      </c>
      <c r="C213">
        <f>IF(Pipeline_Sort!$C213="","",INDEX(Pipeline_Calc!$D$2:$D$5251,Pipeline_Sort!$C213))</f>
        <v/>
      </c>
      <c r="D213">
        <f>IF(Pipeline_Sort!$C213="","",INDEX(Pipeline_Calc!$E$2:$E$5251,Pipeline_Sort!$C213))</f>
        <v/>
      </c>
      <c r="E213">
        <f>IF(Pipeline_Sort!$C213="","",INDEX(Pipeline_Calc!$F$2:$F$5251,Pipeline_Sort!$C213))</f>
        <v/>
      </c>
      <c r="F213">
        <f>IF(Pipeline_Sort!$C213="","",INDEX(Pipeline_Calc!$G$2:$G$5251,Pipeline_Sort!$C213))</f>
        <v/>
      </c>
      <c r="G213">
        <f>IF(Pipeline_Sort!$C213="","",INDEX(Pipeline_Calc!$H$2:$H$5251,Pipeline_Sort!$C213))</f>
        <v/>
      </c>
      <c r="H213">
        <f>IF(Pipeline_Sort!$C213="","",INDEX(Pipeline_Calc!$I$2:$I$5251,Pipeline_Sort!$C213))</f>
        <v/>
      </c>
      <c r="I213">
        <f>IF(Pipeline_Sort!$C213="","",INDEX(Pipeline_Calc!$J$2:$J$5251,Pipeline_Sort!$C213))</f>
        <v/>
      </c>
    </row>
    <row r="214">
      <c r="A214" s="22">
        <f>IF(Pipeline_Sort!$C214="","",INDEX(Pipeline_Calc!$B$2:$B$5251,Pipeline_Sort!$C214))</f>
        <v/>
      </c>
      <c r="B214">
        <f>IF(Pipeline_Sort!$C214="","",INDEX(Pipeline_Calc!$C$2:$C$5251,Pipeline_Sort!$C214))</f>
        <v/>
      </c>
      <c r="C214">
        <f>IF(Pipeline_Sort!$C214="","",INDEX(Pipeline_Calc!$D$2:$D$5251,Pipeline_Sort!$C214))</f>
        <v/>
      </c>
      <c r="D214">
        <f>IF(Pipeline_Sort!$C214="","",INDEX(Pipeline_Calc!$E$2:$E$5251,Pipeline_Sort!$C214))</f>
        <v/>
      </c>
      <c r="E214">
        <f>IF(Pipeline_Sort!$C214="","",INDEX(Pipeline_Calc!$F$2:$F$5251,Pipeline_Sort!$C214))</f>
        <v/>
      </c>
      <c r="F214">
        <f>IF(Pipeline_Sort!$C214="","",INDEX(Pipeline_Calc!$G$2:$G$5251,Pipeline_Sort!$C214))</f>
        <v/>
      </c>
      <c r="G214">
        <f>IF(Pipeline_Sort!$C214="","",INDEX(Pipeline_Calc!$H$2:$H$5251,Pipeline_Sort!$C214))</f>
        <v/>
      </c>
      <c r="H214">
        <f>IF(Pipeline_Sort!$C214="","",INDEX(Pipeline_Calc!$I$2:$I$5251,Pipeline_Sort!$C214))</f>
        <v/>
      </c>
      <c r="I214">
        <f>IF(Pipeline_Sort!$C214="","",INDEX(Pipeline_Calc!$J$2:$J$5251,Pipeline_Sort!$C214))</f>
        <v/>
      </c>
    </row>
    <row r="215">
      <c r="A215" s="22">
        <f>IF(Pipeline_Sort!$C215="","",INDEX(Pipeline_Calc!$B$2:$B$5251,Pipeline_Sort!$C215))</f>
        <v/>
      </c>
      <c r="B215">
        <f>IF(Pipeline_Sort!$C215="","",INDEX(Pipeline_Calc!$C$2:$C$5251,Pipeline_Sort!$C215))</f>
        <v/>
      </c>
      <c r="C215">
        <f>IF(Pipeline_Sort!$C215="","",INDEX(Pipeline_Calc!$D$2:$D$5251,Pipeline_Sort!$C215))</f>
        <v/>
      </c>
      <c r="D215">
        <f>IF(Pipeline_Sort!$C215="","",INDEX(Pipeline_Calc!$E$2:$E$5251,Pipeline_Sort!$C215))</f>
        <v/>
      </c>
      <c r="E215">
        <f>IF(Pipeline_Sort!$C215="","",INDEX(Pipeline_Calc!$F$2:$F$5251,Pipeline_Sort!$C215))</f>
        <v/>
      </c>
      <c r="F215">
        <f>IF(Pipeline_Sort!$C215="","",INDEX(Pipeline_Calc!$G$2:$G$5251,Pipeline_Sort!$C215))</f>
        <v/>
      </c>
      <c r="G215">
        <f>IF(Pipeline_Sort!$C215="","",INDEX(Pipeline_Calc!$H$2:$H$5251,Pipeline_Sort!$C215))</f>
        <v/>
      </c>
      <c r="H215">
        <f>IF(Pipeline_Sort!$C215="","",INDEX(Pipeline_Calc!$I$2:$I$5251,Pipeline_Sort!$C215))</f>
        <v/>
      </c>
      <c r="I215">
        <f>IF(Pipeline_Sort!$C215="","",INDEX(Pipeline_Calc!$J$2:$J$5251,Pipeline_Sort!$C215))</f>
        <v/>
      </c>
    </row>
    <row r="216">
      <c r="A216" s="22">
        <f>IF(Pipeline_Sort!$C216="","",INDEX(Pipeline_Calc!$B$2:$B$5251,Pipeline_Sort!$C216))</f>
        <v/>
      </c>
      <c r="B216">
        <f>IF(Pipeline_Sort!$C216="","",INDEX(Pipeline_Calc!$C$2:$C$5251,Pipeline_Sort!$C216))</f>
        <v/>
      </c>
      <c r="C216">
        <f>IF(Pipeline_Sort!$C216="","",INDEX(Pipeline_Calc!$D$2:$D$5251,Pipeline_Sort!$C216))</f>
        <v/>
      </c>
      <c r="D216">
        <f>IF(Pipeline_Sort!$C216="","",INDEX(Pipeline_Calc!$E$2:$E$5251,Pipeline_Sort!$C216))</f>
        <v/>
      </c>
      <c r="E216">
        <f>IF(Pipeline_Sort!$C216="","",INDEX(Pipeline_Calc!$F$2:$F$5251,Pipeline_Sort!$C216))</f>
        <v/>
      </c>
      <c r="F216">
        <f>IF(Pipeline_Sort!$C216="","",INDEX(Pipeline_Calc!$G$2:$G$5251,Pipeline_Sort!$C216))</f>
        <v/>
      </c>
      <c r="G216">
        <f>IF(Pipeline_Sort!$C216="","",INDEX(Pipeline_Calc!$H$2:$H$5251,Pipeline_Sort!$C216))</f>
        <v/>
      </c>
      <c r="H216">
        <f>IF(Pipeline_Sort!$C216="","",INDEX(Pipeline_Calc!$I$2:$I$5251,Pipeline_Sort!$C216))</f>
        <v/>
      </c>
      <c r="I216">
        <f>IF(Pipeline_Sort!$C216="","",INDEX(Pipeline_Calc!$J$2:$J$5251,Pipeline_Sort!$C216))</f>
        <v/>
      </c>
    </row>
    <row r="217">
      <c r="A217" s="22">
        <f>IF(Pipeline_Sort!$C217="","",INDEX(Pipeline_Calc!$B$2:$B$5251,Pipeline_Sort!$C217))</f>
        <v/>
      </c>
      <c r="B217">
        <f>IF(Pipeline_Sort!$C217="","",INDEX(Pipeline_Calc!$C$2:$C$5251,Pipeline_Sort!$C217))</f>
        <v/>
      </c>
      <c r="C217">
        <f>IF(Pipeline_Sort!$C217="","",INDEX(Pipeline_Calc!$D$2:$D$5251,Pipeline_Sort!$C217))</f>
        <v/>
      </c>
      <c r="D217">
        <f>IF(Pipeline_Sort!$C217="","",INDEX(Pipeline_Calc!$E$2:$E$5251,Pipeline_Sort!$C217))</f>
        <v/>
      </c>
      <c r="E217">
        <f>IF(Pipeline_Sort!$C217="","",INDEX(Pipeline_Calc!$F$2:$F$5251,Pipeline_Sort!$C217))</f>
        <v/>
      </c>
      <c r="F217">
        <f>IF(Pipeline_Sort!$C217="","",INDEX(Pipeline_Calc!$G$2:$G$5251,Pipeline_Sort!$C217))</f>
        <v/>
      </c>
      <c r="G217">
        <f>IF(Pipeline_Sort!$C217="","",INDEX(Pipeline_Calc!$H$2:$H$5251,Pipeline_Sort!$C217))</f>
        <v/>
      </c>
      <c r="H217">
        <f>IF(Pipeline_Sort!$C217="","",INDEX(Pipeline_Calc!$I$2:$I$5251,Pipeline_Sort!$C217))</f>
        <v/>
      </c>
      <c r="I217">
        <f>IF(Pipeline_Sort!$C217="","",INDEX(Pipeline_Calc!$J$2:$J$5251,Pipeline_Sort!$C217))</f>
        <v/>
      </c>
    </row>
    <row r="218">
      <c r="A218" s="22">
        <f>IF(Pipeline_Sort!$C218="","",INDEX(Pipeline_Calc!$B$2:$B$5251,Pipeline_Sort!$C218))</f>
        <v/>
      </c>
      <c r="B218">
        <f>IF(Pipeline_Sort!$C218="","",INDEX(Pipeline_Calc!$C$2:$C$5251,Pipeline_Sort!$C218))</f>
        <v/>
      </c>
      <c r="C218">
        <f>IF(Pipeline_Sort!$C218="","",INDEX(Pipeline_Calc!$D$2:$D$5251,Pipeline_Sort!$C218))</f>
        <v/>
      </c>
      <c r="D218">
        <f>IF(Pipeline_Sort!$C218="","",INDEX(Pipeline_Calc!$E$2:$E$5251,Pipeline_Sort!$C218))</f>
        <v/>
      </c>
      <c r="E218">
        <f>IF(Pipeline_Sort!$C218="","",INDEX(Pipeline_Calc!$F$2:$F$5251,Pipeline_Sort!$C218))</f>
        <v/>
      </c>
      <c r="F218">
        <f>IF(Pipeline_Sort!$C218="","",INDEX(Pipeline_Calc!$G$2:$G$5251,Pipeline_Sort!$C218))</f>
        <v/>
      </c>
      <c r="G218">
        <f>IF(Pipeline_Sort!$C218="","",INDEX(Pipeline_Calc!$H$2:$H$5251,Pipeline_Sort!$C218))</f>
        <v/>
      </c>
      <c r="H218">
        <f>IF(Pipeline_Sort!$C218="","",INDEX(Pipeline_Calc!$I$2:$I$5251,Pipeline_Sort!$C218))</f>
        <v/>
      </c>
      <c r="I218">
        <f>IF(Pipeline_Sort!$C218="","",INDEX(Pipeline_Calc!$J$2:$J$5251,Pipeline_Sort!$C218))</f>
        <v/>
      </c>
    </row>
    <row r="219">
      <c r="A219" s="22">
        <f>IF(Pipeline_Sort!$C219="","",INDEX(Pipeline_Calc!$B$2:$B$5251,Pipeline_Sort!$C219))</f>
        <v/>
      </c>
      <c r="B219">
        <f>IF(Pipeline_Sort!$C219="","",INDEX(Pipeline_Calc!$C$2:$C$5251,Pipeline_Sort!$C219))</f>
        <v/>
      </c>
      <c r="C219">
        <f>IF(Pipeline_Sort!$C219="","",INDEX(Pipeline_Calc!$D$2:$D$5251,Pipeline_Sort!$C219))</f>
        <v/>
      </c>
      <c r="D219">
        <f>IF(Pipeline_Sort!$C219="","",INDEX(Pipeline_Calc!$E$2:$E$5251,Pipeline_Sort!$C219))</f>
        <v/>
      </c>
      <c r="E219">
        <f>IF(Pipeline_Sort!$C219="","",INDEX(Pipeline_Calc!$F$2:$F$5251,Pipeline_Sort!$C219))</f>
        <v/>
      </c>
      <c r="F219">
        <f>IF(Pipeline_Sort!$C219="","",INDEX(Pipeline_Calc!$G$2:$G$5251,Pipeline_Sort!$C219))</f>
        <v/>
      </c>
      <c r="G219">
        <f>IF(Pipeline_Sort!$C219="","",INDEX(Pipeline_Calc!$H$2:$H$5251,Pipeline_Sort!$C219))</f>
        <v/>
      </c>
      <c r="H219">
        <f>IF(Pipeline_Sort!$C219="","",INDEX(Pipeline_Calc!$I$2:$I$5251,Pipeline_Sort!$C219))</f>
        <v/>
      </c>
      <c r="I219">
        <f>IF(Pipeline_Sort!$C219="","",INDEX(Pipeline_Calc!$J$2:$J$5251,Pipeline_Sort!$C219))</f>
        <v/>
      </c>
    </row>
    <row r="220">
      <c r="A220" s="22">
        <f>IF(Pipeline_Sort!$C220="","",INDEX(Pipeline_Calc!$B$2:$B$5251,Pipeline_Sort!$C220))</f>
        <v/>
      </c>
      <c r="B220">
        <f>IF(Pipeline_Sort!$C220="","",INDEX(Pipeline_Calc!$C$2:$C$5251,Pipeline_Sort!$C220))</f>
        <v/>
      </c>
      <c r="C220">
        <f>IF(Pipeline_Sort!$C220="","",INDEX(Pipeline_Calc!$D$2:$D$5251,Pipeline_Sort!$C220))</f>
        <v/>
      </c>
      <c r="D220">
        <f>IF(Pipeline_Sort!$C220="","",INDEX(Pipeline_Calc!$E$2:$E$5251,Pipeline_Sort!$C220))</f>
        <v/>
      </c>
      <c r="E220">
        <f>IF(Pipeline_Sort!$C220="","",INDEX(Pipeline_Calc!$F$2:$F$5251,Pipeline_Sort!$C220))</f>
        <v/>
      </c>
      <c r="F220">
        <f>IF(Pipeline_Sort!$C220="","",INDEX(Pipeline_Calc!$G$2:$G$5251,Pipeline_Sort!$C220))</f>
        <v/>
      </c>
      <c r="G220">
        <f>IF(Pipeline_Sort!$C220="","",INDEX(Pipeline_Calc!$H$2:$H$5251,Pipeline_Sort!$C220))</f>
        <v/>
      </c>
      <c r="H220">
        <f>IF(Pipeline_Sort!$C220="","",INDEX(Pipeline_Calc!$I$2:$I$5251,Pipeline_Sort!$C220))</f>
        <v/>
      </c>
      <c r="I220">
        <f>IF(Pipeline_Sort!$C220="","",INDEX(Pipeline_Calc!$J$2:$J$5251,Pipeline_Sort!$C220))</f>
        <v/>
      </c>
    </row>
    <row r="221">
      <c r="A221" s="22">
        <f>IF(Pipeline_Sort!$C221="","",INDEX(Pipeline_Calc!$B$2:$B$5251,Pipeline_Sort!$C221))</f>
        <v/>
      </c>
      <c r="B221">
        <f>IF(Pipeline_Sort!$C221="","",INDEX(Pipeline_Calc!$C$2:$C$5251,Pipeline_Sort!$C221))</f>
        <v/>
      </c>
      <c r="C221">
        <f>IF(Pipeline_Sort!$C221="","",INDEX(Pipeline_Calc!$D$2:$D$5251,Pipeline_Sort!$C221))</f>
        <v/>
      </c>
      <c r="D221">
        <f>IF(Pipeline_Sort!$C221="","",INDEX(Pipeline_Calc!$E$2:$E$5251,Pipeline_Sort!$C221))</f>
        <v/>
      </c>
      <c r="E221">
        <f>IF(Pipeline_Sort!$C221="","",INDEX(Pipeline_Calc!$F$2:$F$5251,Pipeline_Sort!$C221))</f>
        <v/>
      </c>
      <c r="F221">
        <f>IF(Pipeline_Sort!$C221="","",INDEX(Pipeline_Calc!$G$2:$G$5251,Pipeline_Sort!$C221))</f>
        <v/>
      </c>
      <c r="G221">
        <f>IF(Pipeline_Sort!$C221="","",INDEX(Pipeline_Calc!$H$2:$H$5251,Pipeline_Sort!$C221))</f>
        <v/>
      </c>
      <c r="H221">
        <f>IF(Pipeline_Sort!$C221="","",INDEX(Pipeline_Calc!$I$2:$I$5251,Pipeline_Sort!$C221))</f>
        <v/>
      </c>
      <c r="I221">
        <f>IF(Pipeline_Sort!$C221="","",INDEX(Pipeline_Calc!$J$2:$J$5251,Pipeline_Sort!$C221))</f>
        <v/>
      </c>
    </row>
    <row r="222">
      <c r="A222" s="22">
        <f>IF(Pipeline_Sort!$C222="","",INDEX(Pipeline_Calc!$B$2:$B$5251,Pipeline_Sort!$C222))</f>
        <v/>
      </c>
      <c r="B222">
        <f>IF(Pipeline_Sort!$C222="","",INDEX(Pipeline_Calc!$C$2:$C$5251,Pipeline_Sort!$C222))</f>
        <v/>
      </c>
      <c r="C222">
        <f>IF(Pipeline_Sort!$C222="","",INDEX(Pipeline_Calc!$D$2:$D$5251,Pipeline_Sort!$C222))</f>
        <v/>
      </c>
      <c r="D222">
        <f>IF(Pipeline_Sort!$C222="","",INDEX(Pipeline_Calc!$E$2:$E$5251,Pipeline_Sort!$C222))</f>
        <v/>
      </c>
      <c r="E222">
        <f>IF(Pipeline_Sort!$C222="","",INDEX(Pipeline_Calc!$F$2:$F$5251,Pipeline_Sort!$C222))</f>
        <v/>
      </c>
      <c r="F222">
        <f>IF(Pipeline_Sort!$C222="","",INDEX(Pipeline_Calc!$G$2:$G$5251,Pipeline_Sort!$C222))</f>
        <v/>
      </c>
      <c r="G222">
        <f>IF(Pipeline_Sort!$C222="","",INDEX(Pipeline_Calc!$H$2:$H$5251,Pipeline_Sort!$C222))</f>
        <v/>
      </c>
      <c r="H222">
        <f>IF(Pipeline_Sort!$C222="","",INDEX(Pipeline_Calc!$I$2:$I$5251,Pipeline_Sort!$C222))</f>
        <v/>
      </c>
      <c r="I222">
        <f>IF(Pipeline_Sort!$C222="","",INDEX(Pipeline_Calc!$J$2:$J$5251,Pipeline_Sort!$C222))</f>
        <v/>
      </c>
    </row>
    <row r="223">
      <c r="A223" s="22">
        <f>IF(Pipeline_Sort!$C223="","",INDEX(Pipeline_Calc!$B$2:$B$5251,Pipeline_Sort!$C223))</f>
        <v/>
      </c>
      <c r="B223">
        <f>IF(Pipeline_Sort!$C223="","",INDEX(Pipeline_Calc!$C$2:$C$5251,Pipeline_Sort!$C223))</f>
        <v/>
      </c>
      <c r="C223">
        <f>IF(Pipeline_Sort!$C223="","",INDEX(Pipeline_Calc!$D$2:$D$5251,Pipeline_Sort!$C223))</f>
        <v/>
      </c>
      <c r="D223">
        <f>IF(Pipeline_Sort!$C223="","",INDEX(Pipeline_Calc!$E$2:$E$5251,Pipeline_Sort!$C223))</f>
        <v/>
      </c>
      <c r="E223">
        <f>IF(Pipeline_Sort!$C223="","",INDEX(Pipeline_Calc!$F$2:$F$5251,Pipeline_Sort!$C223))</f>
        <v/>
      </c>
      <c r="F223">
        <f>IF(Pipeline_Sort!$C223="","",INDEX(Pipeline_Calc!$G$2:$G$5251,Pipeline_Sort!$C223))</f>
        <v/>
      </c>
      <c r="G223">
        <f>IF(Pipeline_Sort!$C223="","",INDEX(Pipeline_Calc!$H$2:$H$5251,Pipeline_Sort!$C223))</f>
        <v/>
      </c>
      <c r="H223">
        <f>IF(Pipeline_Sort!$C223="","",INDEX(Pipeline_Calc!$I$2:$I$5251,Pipeline_Sort!$C223))</f>
        <v/>
      </c>
      <c r="I223">
        <f>IF(Pipeline_Sort!$C223="","",INDEX(Pipeline_Calc!$J$2:$J$5251,Pipeline_Sort!$C223))</f>
        <v/>
      </c>
    </row>
    <row r="224">
      <c r="A224" s="22">
        <f>IF(Pipeline_Sort!$C224="","",INDEX(Pipeline_Calc!$B$2:$B$5251,Pipeline_Sort!$C224))</f>
        <v/>
      </c>
      <c r="B224">
        <f>IF(Pipeline_Sort!$C224="","",INDEX(Pipeline_Calc!$C$2:$C$5251,Pipeline_Sort!$C224))</f>
        <v/>
      </c>
      <c r="C224">
        <f>IF(Pipeline_Sort!$C224="","",INDEX(Pipeline_Calc!$D$2:$D$5251,Pipeline_Sort!$C224))</f>
        <v/>
      </c>
      <c r="D224">
        <f>IF(Pipeline_Sort!$C224="","",INDEX(Pipeline_Calc!$E$2:$E$5251,Pipeline_Sort!$C224))</f>
        <v/>
      </c>
      <c r="E224">
        <f>IF(Pipeline_Sort!$C224="","",INDEX(Pipeline_Calc!$F$2:$F$5251,Pipeline_Sort!$C224))</f>
        <v/>
      </c>
      <c r="F224">
        <f>IF(Pipeline_Sort!$C224="","",INDEX(Pipeline_Calc!$G$2:$G$5251,Pipeline_Sort!$C224))</f>
        <v/>
      </c>
      <c r="G224">
        <f>IF(Pipeline_Sort!$C224="","",INDEX(Pipeline_Calc!$H$2:$H$5251,Pipeline_Sort!$C224))</f>
        <v/>
      </c>
      <c r="H224">
        <f>IF(Pipeline_Sort!$C224="","",INDEX(Pipeline_Calc!$I$2:$I$5251,Pipeline_Sort!$C224))</f>
        <v/>
      </c>
      <c r="I224">
        <f>IF(Pipeline_Sort!$C224="","",INDEX(Pipeline_Calc!$J$2:$J$5251,Pipeline_Sort!$C224))</f>
        <v/>
      </c>
    </row>
    <row r="225">
      <c r="A225" s="22">
        <f>IF(Pipeline_Sort!$C225="","",INDEX(Pipeline_Calc!$B$2:$B$5251,Pipeline_Sort!$C225))</f>
        <v/>
      </c>
      <c r="B225">
        <f>IF(Pipeline_Sort!$C225="","",INDEX(Pipeline_Calc!$C$2:$C$5251,Pipeline_Sort!$C225))</f>
        <v/>
      </c>
      <c r="C225">
        <f>IF(Pipeline_Sort!$C225="","",INDEX(Pipeline_Calc!$D$2:$D$5251,Pipeline_Sort!$C225))</f>
        <v/>
      </c>
      <c r="D225">
        <f>IF(Pipeline_Sort!$C225="","",INDEX(Pipeline_Calc!$E$2:$E$5251,Pipeline_Sort!$C225))</f>
        <v/>
      </c>
      <c r="E225">
        <f>IF(Pipeline_Sort!$C225="","",INDEX(Pipeline_Calc!$F$2:$F$5251,Pipeline_Sort!$C225))</f>
        <v/>
      </c>
      <c r="F225">
        <f>IF(Pipeline_Sort!$C225="","",INDEX(Pipeline_Calc!$G$2:$G$5251,Pipeline_Sort!$C225))</f>
        <v/>
      </c>
      <c r="G225">
        <f>IF(Pipeline_Sort!$C225="","",INDEX(Pipeline_Calc!$H$2:$H$5251,Pipeline_Sort!$C225))</f>
        <v/>
      </c>
      <c r="H225">
        <f>IF(Pipeline_Sort!$C225="","",INDEX(Pipeline_Calc!$I$2:$I$5251,Pipeline_Sort!$C225))</f>
        <v/>
      </c>
      <c r="I225">
        <f>IF(Pipeline_Sort!$C225="","",INDEX(Pipeline_Calc!$J$2:$J$5251,Pipeline_Sort!$C225))</f>
        <v/>
      </c>
    </row>
    <row r="226">
      <c r="A226" s="22">
        <f>IF(Pipeline_Sort!$C226="","",INDEX(Pipeline_Calc!$B$2:$B$5251,Pipeline_Sort!$C226))</f>
        <v/>
      </c>
      <c r="B226">
        <f>IF(Pipeline_Sort!$C226="","",INDEX(Pipeline_Calc!$C$2:$C$5251,Pipeline_Sort!$C226))</f>
        <v/>
      </c>
      <c r="C226">
        <f>IF(Pipeline_Sort!$C226="","",INDEX(Pipeline_Calc!$D$2:$D$5251,Pipeline_Sort!$C226))</f>
        <v/>
      </c>
      <c r="D226">
        <f>IF(Pipeline_Sort!$C226="","",INDEX(Pipeline_Calc!$E$2:$E$5251,Pipeline_Sort!$C226))</f>
        <v/>
      </c>
      <c r="E226">
        <f>IF(Pipeline_Sort!$C226="","",INDEX(Pipeline_Calc!$F$2:$F$5251,Pipeline_Sort!$C226))</f>
        <v/>
      </c>
      <c r="F226">
        <f>IF(Pipeline_Sort!$C226="","",INDEX(Pipeline_Calc!$G$2:$G$5251,Pipeline_Sort!$C226))</f>
        <v/>
      </c>
      <c r="G226">
        <f>IF(Pipeline_Sort!$C226="","",INDEX(Pipeline_Calc!$H$2:$H$5251,Pipeline_Sort!$C226))</f>
        <v/>
      </c>
      <c r="H226">
        <f>IF(Pipeline_Sort!$C226="","",INDEX(Pipeline_Calc!$I$2:$I$5251,Pipeline_Sort!$C226))</f>
        <v/>
      </c>
      <c r="I226">
        <f>IF(Pipeline_Sort!$C226="","",INDEX(Pipeline_Calc!$J$2:$J$5251,Pipeline_Sort!$C226))</f>
        <v/>
      </c>
    </row>
    <row r="227">
      <c r="A227" s="22">
        <f>IF(Pipeline_Sort!$C227="","",INDEX(Pipeline_Calc!$B$2:$B$5251,Pipeline_Sort!$C227))</f>
        <v/>
      </c>
      <c r="B227">
        <f>IF(Pipeline_Sort!$C227="","",INDEX(Pipeline_Calc!$C$2:$C$5251,Pipeline_Sort!$C227))</f>
        <v/>
      </c>
      <c r="C227">
        <f>IF(Pipeline_Sort!$C227="","",INDEX(Pipeline_Calc!$D$2:$D$5251,Pipeline_Sort!$C227))</f>
        <v/>
      </c>
      <c r="D227">
        <f>IF(Pipeline_Sort!$C227="","",INDEX(Pipeline_Calc!$E$2:$E$5251,Pipeline_Sort!$C227))</f>
        <v/>
      </c>
      <c r="E227">
        <f>IF(Pipeline_Sort!$C227="","",INDEX(Pipeline_Calc!$F$2:$F$5251,Pipeline_Sort!$C227))</f>
        <v/>
      </c>
      <c r="F227">
        <f>IF(Pipeline_Sort!$C227="","",INDEX(Pipeline_Calc!$G$2:$G$5251,Pipeline_Sort!$C227))</f>
        <v/>
      </c>
      <c r="G227">
        <f>IF(Pipeline_Sort!$C227="","",INDEX(Pipeline_Calc!$H$2:$H$5251,Pipeline_Sort!$C227))</f>
        <v/>
      </c>
      <c r="H227">
        <f>IF(Pipeline_Sort!$C227="","",INDEX(Pipeline_Calc!$I$2:$I$5251,Pipeline_Sort!$C227))</f>
        <v/>
      </c>
      <c r="I227">
        <f>IF(Pipeline_Sort!$C227="","",INDEX(Pipeline_Calc!$J$2:$J$5251,Pipeline_Sort!$C227))</f>
        <v/>
      </c>
    </row>
    <row r="228">
      <c r="A228" s="22">
        <f>IF(Pipeline_Sort!$C228="","",INDEX(Pipeline_Calc!$B$2:$B$5251,Pipeline_Sort!$C228))</f>
        <v/>
      </c>
      <c r="B228">
        <f>IF(Pipeline_Sort!$C228="","",INDEX(Pipeline_Calc!$C$2:$C$5251,Pipeline_Sort!$C228))</f>
        <v/>
      </c>
      <c r="C228">
        <f>IF(Pipeline_Sort!$C228="","",INDEX(Pipeline_Calc!$D$2:$D$5251,Pipeline_Sort!$C228))</f>
        <v/>
      </c>
      <c r="D228">
        <f>IF(Pipeline_Sort!$C228="","",INDEX(Pipeline_Calc!$E$2:$E$5251,Pipeline_Sort!$C228))</f>
        <v/>
      </c>
      <c r="E228">
        <f>IF(Pipeline_Sort!$C228="","",INDEX(Pipeline_Calc!$F$2:$F$5251,Pipeline_Sort!$C228))</f>
        <v/>
      </c>
      <c r="F228">
        <f>IF(Pipeline_Sort!$C228="","",INDEX(Pipeline_Calc!$G$2:$G$5251,Pipeline_Sort!$C228))</f>
        <v/>
      </c>
      <c r="G228">
        <f>IF(Pipeline_Sort!$C228="","",INDEX(Pipeline_Calc!$H$2:$H$5251,Pipeline_Sort!$C228))</f>
        <v/>
      </c>
      <c r="H228">
        <f>IF(Pipeline_Sort!$C228="","",INDEX(Pipeline_Calc!$I$2:$I$5251,Pipeline_Sort!$C228))</f>
        <v/>
      </c>
      <c r="I228">
        <f>IF(Pipeline_Sort!$C228="","",INDEX(Pipeline_Calc!$J$2:$J$5251,Pipeline_Sort!$C228))</f>
        <v/>
      </c>
    </row>
    <row r="229">
      <c r="A229" s="22">
        <f>IF(Pipeline_Sort!$C229="","",INDEX(Pipeline_Calc!$B$2:$B$5251,Pipeline_Sort!$C229))</f>
        <v/>
      </c>
      <c r="B229">
        <f>IF(Pipeline_Sort!$C229="","",INDEX(Pipeline_Calc!$C$2:$C$5251,Pipeline_Sort!$C229))</f>
        <v/>
      </c>
      <c r="C229">
        <f>IF(Pipeline_Sort!$C229="","",INDEX(Pipeline_Calc!$D$2:$D$5251,Pipeline_Sort!$C229))</f>
        <v/>
      </c>
      <c r="D229">
        <f>IF(Pipeline_Sort!$C229="","",INDEX(Pipeline_Calc!$E$2:$E$5251,Pipeline_Sort!$C229))</f>
        <v/>
      </c>
      <c r="E229">
        <f>IF(Pipeline_Sort!$C229="","",INDEX(Pipeline_Calc!$F$2:$F$5251,Pipeline_Sort!$C229))</f>
        <v/>
      </c>
      <c r="F229">
        <f>IF(Pipeline_Sort!$C229="","",INDEX(Pipeline_Calc!$G$2:$G$5251,Pipeline_Sort!$C229))</f>
        <v/>
      </c>
      <c r="G229">
        <f>IF(Pipeline_Sort!$C229="","",INDEX(Pipeline_Calc!$H$2:$H$5251,Pipeline_Sort!$C229))</f>
        <v/>
      </c>
      <c r="H229">
        <f>IF(Pipeline_Sort!$C229="","",INDEX(Pipeline_Calc!$I$2:$I$5251,Pipeline_Sort!$C229))</f>
        <v/>
      </c>
      <c r="I229">
        <f>IF(Pipeline_Sort!$C229="","",INDEX(Pipeline_Calc!$J$2:$J$5251,Pipeline_Sort!$C229))</f>
        <v/>
      </c>
    </row>
    <row r="230">
      <c r="A230" s="22">
        <f>IF(Pipeline_Sort!$C230="","",INDEX(Pipeline_Calc!$B$2:$B$5251,Pipeline_Sort!$C230))</f>
        <v/>
      </c>
      <c r="B230">
        <f>IF(Pipeline_Sort!$C230="","",INDEX(Pipeline_Calc!$C$2:$C$5251,Pipeline_Sort!$C230))</f>
        <v/>
      </c>
      <c r="C230">
        <f>IF(Pipeline_Sort!$C230="","",INDEX(Pipeline_Calc!$D$2:$D$5251,Pipeline_Sort!$C230))</f>
        <v/>
      </c>
      <c r="D230">
        <f>IF(Pipeline_Sort!$C230="","",INDEX(Pipeline_Calc!$E$2:$E$5251,Pipeline_Sort!$C230))</f>
        <v/>
      </c>
      <c r="E230">
        <f>IF(Pipeline_Sort!$C230="","",INDEX(Pipeline_Calc!$F$2:$F$5251,Pipeline_Sort!$C230))</f>
        <v/>
      </c>
      <c r="F230">
        <f>IF(Pipeline_Sort!$C230="","",INDEX(Pipeline_Calc!$G$2:$G$5251,Pipeline_Sort!$C230))</f>
        <v/>
      </c>
      <c r="G230">
        <f>IF(Pipeline_Sort!$C230="","",INDEX(Pipeline_Calc!$H$2:$H$5251,Pipeline_Sort!$C230))</f>
        <v/>
      </c>
      <c r="H230">
        <f>IF(Pipeline_Sort!$C230="","",INDEX(Pipeline_Calc!$I$2:$I$5251,Pipeline_Sort!$C230))</f>
        <v/>
      </c>
      <c r="I230">
        <f>IF(Pipeline_Sort!$C230="","",INDEX(Pipeline_Calc!$J$2:$J$5251,Pipeline_Sort!$C230))</f>
        <v/>
      </c>
    </row>
    <row r="231">
      <c r="A231" s="22">
        <f>IF(Pipeline_Sort!$C231="","",INDEX(Pipeline_Calc!$B$2:$B$5251,Pipeline_Sort!$C231))</f>
        <v/>
      </c>
      <c r="B231">
        <f>IF(Pipeline_Sort!$C231="","",INDEX(Pipeline_Calc!$C$2:$C$5251,Pipeline_Sort!$C231))</f>
        <v/>
      </c>
      <c r="C231">
        <f>IF(Pipeline_Sort!$C231="","",INDEX(Pipeline_Calc!$D$2:$D$5251,Pipeline_Sort!$C231))</f>
        <v/>
      </c>
      <c r="D231">
        <f>IF(Pipeline_Sort!$C231="","",INDEX(Pipeline_Calc!$E$2:$E$5251,Pipeline_Sort!$C231))</f>
        <v/>
      </c>
      <c r="E231">
        <f>IF(Pipeline_Sort!$C231="","",INDEX(Pipeline_Calc!$F$2:$F$5251,Pipeline_Sort!$C231))</f>
        <v/>
      </c>
      <c r="F231">
        <f>IF(Pipeline_Sort!$C231="","",INDEX(Pipeline_Calc!$G$2:$G$5251,Pipeline_Sort!$C231))</f>
        <v/>
      </c>
      <c r="G231">
        <f>IF(Pipeline_Sort!$C231="","",INDEX(Pipeline_Calc!$H$2:$H$5251,Pipeline_Sort!$C231))</f>
        <v/>
      </c>
      <c r="H231">
        <f>IF(Pipeline_Sort!$C231="","",INDEX(Pipeline_Calc!$I$2:$I$5251,Pipeline_Sort!$C231))</f>
        <v/>
      </c>
      <c r="I231">
        <f>IF(Pipeline_Sort!$C231="","",INDEX(Pipeline_Calc!$J$2:$J$5251,Pipeline_Sort!$C231))</f>
        <v/>
      </c>
    </row>
    <row r="232">
      <c r="A232" s="22">
        <f>IF(Pipeline_Sort!$C232="","",INDEX(Pipeline_Calc!$B$2:$B$5251,Pipeline_Sort!$C232))</f>
        <v/>
      </c>
      <c r="B232">
        <f>IF(Pipeline_Sort!$C232="","",INDEX(Pipeline_Calc!$C$2:$C$5251,Pipeline_Sort!$C232))</f>
        <v/>
      </c>
      <c r="C232">
        <f>IF(Pipeline_Sort!$C232="","",INDEX(Pipeline_Calc!$D$2:$D$5251,Pipeline_Sort!$C232))</f>
        <v/>
      </c>
      <c r="D232">
        <f>IF(Pipeline_Sort!$C232="","",INDEX(Pipeline_Calc!$E$2:$E$5251,Pipeline_Sort!$C232))</f>
        <v/>
      </c>
      <c r="E232">
        <f>IF(Pipeline_Sort!$C232="","",INDEX(Pipeline_Calc!$F$2:$F$5251,Pipeline_Sort!$C232))</f>
        <v/>
      </c>
      <c r="F232">
        <f>IF(Pipeline_Sort!$C232="","",INDEX(Pipeline_Calc!$G$2:$G$5251,Pipeline_Sort!$C232))</f>
        <v/>
      </c>
      <c r="G232">
        <f>IF(Pipeline_Sort!$C232="","",INDEX(Pipeline_Calc!$H$2:$H$5251,Pipeline_Sort!$C232))</f>
        <v/>
      </c>
      <c r="H232">
        <f>IF(Pipeline_Sort!$C232="","",INDEX(Pipeline_Calc!$I$2:$I$5251,Pipeline_Sort!$C232))</f>
        <v/>
      </c>
      <c r="I232">
        <f>IF(Pipeline_Sort!$C232="","",INDEX(Pipeline_Calc!$J$2:$J$5251,Pipeline_Sort!$C232))</f>
        <v/>
      </c>
    </row>
    <row r="233">
      <c r="A233" s="22">
        <f>IF(Pipeline_Sort!$C233="","",INDEX(Pipeline_Calc!$B$2:$B$5251,Pipeline_Sort!$C233))</f>
        <v/>
      </c>
      <c r="B233">
        <f>IF(Pipeline_Sort!$C233="","",INDEX(Pipeline_Calc!$C$2:$C$5251,Pipeline_Sort!$C233))</f>
        <v/>
      </c>
      <c r="C233">
        <f>IF(Pipeline_Sort!$C233="","",INDEX(Pipeline_Calc!$D$2:$D$5251,Pipeline_Sort!$C233))</f>
        <v/>
      </c>
      <c r="D233">
        <f>IF(Pipeline_Sort!$C233="","",INDEX(Pipeline_Calc!$E$2:$E$5251,Pipeline_Sort!$C233))</f>
        <v/>
      </c>
      <c r="E233">
        <f>IF(Pipeline_Sort!$C233="","",INDEX(Pipeline_Calc!$F$2:$F$5251,Pipeline_Sort!$C233))</f>
        <v/>
      </c>
      <c r="F233">
        <f>IF(Pipeline_Sort!$C233="","",INDEX(Pipeline_Calc!$G$2:$G$5251,Pipeline_Sort!$C233))</f>
        <v/>
      </c>
      <c r="G233">
        <f>IF(Pipeline_Sort!$C233="","",INDEX(Pipeline_Calc!$H$2:$H$5251,Pipeline_Sort!$C233))</f>
        <v/>
      </c>
      <c r="H233">
        <f>IF(Pipeline_Sort!$C233="","",INDEX(Pipeline_Calc!$I$2:$I$5251,Pipeline_Sort!$C233))</f>
        <v/>
      </c>
      <c r="I233">
        <f>IF(Pipeline_Sort!$C233="","",INDEX(Pipeline_Calc!$J$2:$J$5251,Pipeline_Sort!$C233))</f>
        <v/>
      </c>
    </row>
    <row r="234">
      <c r="A234" s="22">
        <f>IF(Pipeline_Sort!$C234="","",INDEX(Pipeline_Calc!$B$2:$B$5251,Pipeline_Sort!$C234))</f>
        <v/>
      </c>
      <c r="B234">
        <f>IF(Pipeline_Sort!$C234="","",INDEX(Pipeline_Calc!$C$2:$C$5251,Pipeline_Sort!$C234))</f>
        <v/>
      </c>
      <c r="C234">
        <f>IF(Pipeline_Sort!$C234="","",INDEX(Pipeline_Calc!$D$2:$D$5251,Pipeline_Sort!$C234))</f>
        <v/>
      </c>
      <c r="D234">
        <f>IF(Pipeline_Sort!$C234="","",INDEX(Pipeline_Calc!$E$2:$E$5251,Pipeline_Sort!$C234))</f>
        <v/>
      </c>
      <c r="E234">
        <f>IF(Pipeline_Sort!$C234="","",INDEX(Pipeline_Calc!$F$2:$F$5251,Pipeline_Sort!$C234))</f>
        <v/>
      </c>
      <c r="F234">
        <f>IF(Pipeline_Sort!$C234="","",INDEX(Pipeline_Calc!$G$2:$G$5251,Pipeline_Sort!$C234))</f>
        <v/>
      </c>
      <c r="G234">
        <f>IF(Pipeline_Sort!$C234="","",INDEX(Pipeline_Calc!$H$2:$H$5251,Pipeline_Sort!$C234))</f>
        <v/>
      </c>
      <c r="H234">
        <f>IF(Pipeline_Sort!$C234="","",INDEX(Pipeline_Calc!$I$2:$I$5251,Pipeline_Sort!$C234))</f>
        <v/>
      </c>
      <c r="I234">
        <f>IF(Pipeline_Sort!$C234="","",INDEX(Pipeline_Calc!$J$2:$J$5251,Pipeline_Sort!$C234))</f>
        <v/>
      </c>
    </row>
    <row r="235">
      <c r="A235" s="22">
        <f>IF(Pipeline_Sort!$C235="","",INDEX(Pipeline_Calc!$B$2:$B$5251,Pipeline_Sort!$C235))</f>
        <v/>
      </c>
      <c r="B235">
        <f>IF(Pipeline_Sort!$C235="","",INDEX(Pipeline_Calc!$C$2:$C$5251,Pipeline_Sort!$C235))</f>
        <v/>
      </c>
      <c r="C235">
        <f>IF(Pipeline_Sort!$C235="","",INDEX(Pipeline_Calc!$D$2:$D$5251,Pipeline_Sort!$C235))</f>
        <v/>
      </c>
      <c r="D235">
        <f>IF(Pipeline_Sort!$C235="","",INDEX(Pipeline_Calc!$E$2:$E$5251,Pipeline_Sort!$C235))</f>
        <v/>
      </c>
      <c r="E235">
        <f>IF(Pipeline_Sort!$C235="","",INDEX(Pipeline_Calc!$F$2:$F$5251,Pipeline_Sort!$C235))</f>
        <v/>
      </c>
      <c r="F235">
        <f>IF(Pipeline_Sort!$C235="","",INDEX(Pipeline_Calc!$G$2:$G$5251,Pipeline_Sort!$C235))</f>
        <v/>
      </c>
      <c r="G235">
        <f>IF(Pipeline_Sort!$C235="","",INDEX(Pipeline_Calc!$H$2:$H$5251,Pipeline_Sort!$C235))</f>
        <v/>
      </c>
      <c r="H235">
        <f>IF(Pipeline_Sort!$C235="","",INDEX(Pipeline_Calc!$I$2:$I$5251,Pipeline_Sort!$C235))</f>
        <v/>
      </c>
      <c r="I235">
        <f>IF(Pipeline_Sort!$C235="","",INDEX(Pipeline_Calc!$J$2:$J$5251,Pipeline_Sort!$C235))</f>
        <v/>
      </c>
    </row>
    <row r="236">
      <c r="A236" s="22">
        <f>IF(Pipeline_Sort!$C236="","",INDEX(Pipeline_Calc!$B$2:$B$5251,Pipeline_Sort!$C236))</f>
        <v/>
      </c>
      <c r="B236">
        <f>IF(Pipeline_Sort!$C236="","",INDEX(Pipeline_Calc!$C$2:$C$5251,Pipeline_Sort!$C236))</f>
        <v/>
      </c>
      <c r="C236">
        <f>IF(Pipeline_Sort!$C236="","",INDEX(Pipeline_Calc!$D$2:$D$5251,Pipeline_Sort!$C236))</f>
        <v/>
      </c>
      <c r="D236">
        <f>IF(Pipeline_Sort!$C236="","",INDEX(Pipeline_Calc!$E$2:$E$5251,Pipeline_Sort!$C236))</f>
        <v/>
      </c>
      <c r="E236">
        <f>IF(Pipeline_Sort!$C236="","",INDEX(Pipeline_Calc!$F$2:$F$5251,Pipeline_Sort!$C236))</f>
        <v/>
      </c>
      <c r="F236">
        <f>IF(Pipeline_Sort!$C236="","",INDEX(Pipeline_Calc!$G$2:$G$5251,Pipeline_Sort!$C236))</f>
        <v/>
      </c>
      <c r="G236">
        <f>IF(Pipeline_Sort!$C236="","",INDEX(Pipeline_Calc!$H$2:$H$5251,Pipeline_Sort!$C236))</f>
        <v/>
      </c>
      <c r="H236">
        <f>IF(Pipeline_Sort!$C236="","",INDEX(Pipeline_Calc!$I$2:$I$5251,Pipeline_Sort!$C236))</f>
        <v/>
      </c>
      <c r="I236">
        <f>IF(Pipeline_Sort!$C236="","",INDEX(Pipeline_Calc!$J$2:$J$5251,Pipeline_Sort!$C236))</f>
        <v/>
      </c>
    </row>
    <row r="237">
      <c r="A237" s="22">
        <f>IF(Pipeline_Sort!$C237="","",INDEX(Pipeline_Calc!$B$2:$B$5251,Pipeline_Sort!$C237))</f>
        <v/>
      </c>
      <c r="B237">
        <f>IF(Pipeline_Sort!$C237="","",INDEX(Pipeline_Calc!$C$2:$C$5251,Pipeline_Sort!$C237))</f>
        <v/>
      </c>
      <c r="C237">
        <f>IF(Pipeline_Sort!$C237="","",INDEX(Pipeline_Calc!$D$2:$D$5251,Pipeline_Sort!$C237))</f>
        <v/>
      </c>
      <c r="D237">
        <f>IF(Pipeline_Sort!$C237="","",INDEX(Pipeline_Calc!$E$2:$E$5251,Pipeline_Sort!$C237))</f>
        <v/>
      </c>
      <c r="E237">
        <f>IF(Pipeline_Sort!$C237="","",INDEX(Pipeline_Calc!$F$2:$F$5251,Pipeline_Sort!$C237))</f>
        <v/>
      </c>
      <c r="F237">
        <f>IF(Pipeline_Sort!$C237="","",INDEX(Pipeline_Calc!$G$2:$G$5251,Pipeline_Sort!$C237))</f>
        <v/>
      </c>
      <c r="G237">
        <f>IF(Pipeline_Sort!$C237="","",INDEX(Pipeline_Calc!$H$2:$H$5251,Pipeline_Sort!$C237))</f>
        <v/>
      </c>
      <c r="H237">
        <f>IF(Pipeline_Sort!$C237="","",INDEX(Pipeline_Calc!$I$2:$I$5251,Pipeline_Sort!$C237))</f>
        <v/>
      </c>
      <c r="I237">
        <f>IF(Pipeline_Sort!$C237="","",INDEX(Pipeline_Calc!$J$2:$J$5251,Pipeline_Sort!$C237))</f>
        <v/>
      </c>
    </row>
    <row r="238">
      <c r="A238" s="22">
        <f>IF(Pipeline_Sort!$C238="","",INDEX(Pipeline_Calc!$B$2:$B$5251,Pipeline_Sort!$C238))</f>
        <v/>
      </c>
      <c r="B238">
        <f>IF(Pipeline_Sort!$C238="","",INDEX(Pipeline_Calc!$C$2:$C$5251,Pipeline_Sort!$C238))</f>
        <v/>
      </c>
      <c r="C238">
        <f>IF(Pipeline_Sort!$C238="","",INDEX(Pipeline_Calc!$D$2:$D$5251,Pipeline_Sort!$C238))</f>
        <v/>
      </c>
      <c r="D238">
        <f>IF(Pipeline_Sort!$C238="","",INDEX(Pipeline_Calc!$E$2:$E$5251,Pipeline_Sort!$C238))</f>
        <v/>
      </c>
      <c r="E238">
        <f>IF(Pipeline_Sort!$C238="","",INDEX(Pipeline_Calc!$F$2:$F$5251,Pipeline_Sort!$C238))</f>
        <v/>
      </c>
      <c r="F238">
        <f>IF(Pipeline_Sort!$C238="","",INDEX(Pipeline_Calc!$G$2:$G$5251,Pipeline_Sort!$C238))</f>
        <v/>
      </c>
      <c r="G238">
        <f>IF(Pipeline_Sort!$C238="","",INDEX(Pipeline_Calc!$H$2:$H$5251,Pipeline_Sort!$C238))</f>
        <v/>
      </c>
      <c r="H238">
        <f>IF(Pipeline_Sort!$C238="","",INDEX(Pipeline_Calc!$I$2:$I$5251,Pipeline_Sort!$C238))</f>
        <v/>
      </c>
      <c r="I238">
        <f>IF(Pipeline_Sort!$C238="","",INDEX(Pipeline_Calc!$J$2:$J$5251,Pipeline_Sort!$C238))</f>
        <v/>
      </c>
    </row>
    <row r="239">
      <c r="A239" s="22">
        <f>IF(Pipeline_Sort!$C239="","",INDEX(Pipeline_Calc!$B$2:$B$5251,Pipeline_Sort!$C239))</f>
        <v/>
      </c>
      <c r="B239">
        <f>IF(Pipeline_Sort!$C239="","",INDEX(Pipeline_Calc!$C$2:$C$5251,Pipeline_Sort!$C239))</f>
        <v/>
      </c>
      <c r="C239">
        <f>IF(Pipeline_Sort!$C239="","",INDEX(Pipeline_Calc!$D$2:$D$5251,Pipeline_Sort!$C239))</f>
        <v/>
      </c>
      <c r="D239">
        <f>IF(Pipeline_Sort!$C239="","",INDEX(Pipeline_Calc!$E$2:$E$5251,Pipeline_Sort!$C239))</f>
        <v/>
      </c>
      <c r="E239">
        <f>IF(Pipeline_Sort!$C239="","",INDEX(Pipeline_Calc!$F$2:$F$5251,Pipeline_Sort!$C239))</f>
        <v/>
      </c>
      <c r="F239">
        <f>IF(Pipeline_Sort!$C239="","",INDEX(Pipeline_Calc!$G$2:$G$5251,Pipeline_Sort!$C239))</f>
        <v/>
      </c>
      <c r="G239">
        <f>IF(Pipeline_Sort!$C239="","",INDEX(Pipeline_Calc!$H$2:$H$5251,Pipeline_Sort!$C239))</f>
        <v/>
      </c>
      <c r="H239">
        <f>IF(Pipeline_Sort!$C239="","",INDEX(Pipeline_Calc!$I$2:$I$5251,Pipeline_Sort!$C239))</f>
        <v/>
      </c>
      <c r="I239">
        <f>IF(Pipeline_Sort!$C239="","",INDEX(Pipeline_Calc!$J$2:$J$5251,Pipeline_Sort!$C239))</f>
        <v/>
      </c>
    </row>
    <row r="240">
      <c r="A240" s="22">
        <f>IF(Pipeline_Sort!$C240="","",INDEX(Pipeline_Calc!$B$2:$B$5251,Pipeline_Sort!$C240))</f>
        <v/>
      </c>
      <c r="B240">
        <f>IF(Pipeline_Sort!$C240="","",INDEX(Pipeline_Calc!$C$2:$C$5251,Pipeline_Sort!$C240))</f>
        <v/>
      </c>
      <c r="C240">
        <f>IF(Pipeline_Sort!$C240="","",INDEX(Pipeline_Calc!$D$2:$D$5251,Pipeline_Sort!$C240))</f>
        <v/>
      </c>
      <c r="D240">
        <f>IF(Pipeline_Sort!$C240="","",INDEX(Pipeline_Calc!$E$2:$E$5251,Pipeline_Sort!$C240))</f>
        <v/>
      </c>
      <c r="E240">
        <f>IF(Pipeline_Sort!$C240="","",INDEX(Pipeline_Calc!$F$2:$F$5251,Pipeline_Sort!$C240))</f>
        <v/>
      </c>
      <c r="F240">
        <f>IF(Pipeline_Sort!$C240="","",INDEX(Pipeline_Calc!$G$2:$G$5251,Pipeline_Sort!$C240))</f>
        <v/>
      </c>
      <c r="G240">
        <f>IF(Pipeline_Sort!$C240="","",INDEX(Pipeline_Calc!$H$2:$H$5251,Pipeline_Sort!$C240))</f>
        <v/>
      </c>
      <c r="H240">
        <f>IF(Pipeline_Sort!$C240="","",INDEX(Pipeline_Calc!$I$2:$I$5251,Pipeline_Sort!$C240))</f>
        <v/>
      </c>
      <c r="I240">
        <f>IF(Pipeline_Sort!$C240="","",INDEX(Pipeline_Calc!$J$2:$J$5251,Pipeline_Sort!$C240))</f>
        <v/>
      </c>
    </row>
    <row r="241">
      <c r="A241" s="22">
        <f>IF(Pipeline_Sort!$C241="","",INDEX(Pipeline_Calc!$B$2:$B$5251,Pipeline_Sort!$C241))</f>
        <v/>
      </c>
      <c r="B241">
        <f>IF(Pipeline_Sort!$C241="","",INDEX(Pipeline_Calc!$C$2:$C$5251,Pipeline_Sort!$C241))</f>
        <v/>
      </c>
      <c r="C241">
        <f>IF(Pipeline_Sort!$C241="","",INDEX(Pipeline_Calc!$D$2:$D$5251,Pipeline_Sort!$C241))</f>
        <v/>
      </c>
      <c r="D241">
        <f>IF(Pipeline_Sort!$C241="","",INDEX(Pipeline_Calc!$E$2:$E$5251,Pipeline_Sort!$C241))</f>
        <v/>
      </c>
      <c r="E241">
        <f>IF(Pipeline_Sort!$C241="","",INDEX(Pipeline_Calc!$F$2:$F$5251,Pipeline_Sort!$C241))</f>
        <v/>
      </c>
      <c r="F241">
        <f>IF(Pipeline_Sort!$C241="","",INDEX(Pipeline_Calc!$G$2:$G$5251,Pipeline_Sort!$C241))</f>
        <v/>
      </c>
      <c r="G241">
        <f>IF(Pipeline_Sort!$C241="","",INDEX(Pipeline_Calc!$H$2:$H$5251,Pipeline_Sort!$C241))</f>
        <v/>
      </c>
      <c r="H241">
        <f>IF(Pipeline_Sort!$C241="","",INDEX(Pipeline_Calc!$I$2:$I$5251,Pipeline_Sort!$C241))</f>
        <v/>
      </c>
      <c r="I241">
        <f>IF(Pipeline_Sort!$C241="","",INDEX(Pipeline_Calc!$J$2:$J$5251,Pipeline_Sort!$C241))</f>
        <v/>
      </c>
    </row>
    <row r="242">
      <c r="A242" s="22">
        <f>IF(Pipeline_Sort!$C242="","",INDEX(Pipeline_Calc!$B$2:$B$5251,Pipeline_Sort!$C242))</f>
        <v/>
      </c>
      <c r="B242">
        <f>IF(Pipeline_Sort!$C242="","",INDEX(Pipeline_Calc!$C$2:$C$5251,Pipeline_Sort!$C242))</f>
        <v/>
      </c>
      <c r="C242">
        <f>IF(Pipeline_Sort!$C242="","",INDEX(Pipeline_Calc!$D$2:$D$5251,Pipeline_Sort!$C242))</f>
        <v/>
      </c>
      <c r="D242">
        <f>IF(Pipeline_Sort!$C242="","",INDEX(Pipeline_Calc!$E$2:$E$5251,Pipeline_Sort!$C242))</f>
        <v/>
      </c>
      <c r="E242">
        <f>IF(Pipeline_Sort!$C242="","",INDEX(Pipeline_Calc!$F$2:$F$5251,Pipeline_Sort!$C242))</f>
        <v/>
      </c>
      <c r="F242">
        <f>IF(Pipeline_Sort!$C242="","",INDEX(Pipeline_Calc!$G$2:$G$5251,Pipeline_Sort!$C242))</f>
        <v/>
      </c>
      <c r="G242">
        <f>IF(Pipeline_Sort!$C242="","",INDEX(Pipeline_Calc!$H$2:$H$5251,Pipeline_Sort!$C242))</f>
        <v/>
      </c>
      <c r="H242">
        <f>IF(Pipeline_Sort!$C242="","",INDEX(Pipeline_Calc!$I$2:$I$5251,Pipeline_Sort!$C242))</f>
        <v/>
      </c>
      <c r="I242">
        <f>IF(Pipeline_Sort!$C242="","",INDEX(Pipeline_Calc!$J$2:$J$5251,Pipeline_Sort!$C242))</f>
        <v/>
      </c>
    </row>
    <row r="243">
      <c r="A243" s="22">
        <f>IF(Pipeline_Sort!$C243="","",INDEX(Pipeline_Calc!$B$2:$B$5251,Pipeline_Sort!$C243))</f>
        <v/>
      </c>
      <c r="B243">
        <f>IF(Pipeline_Sort!$C243="","",INDEX(Pipeline_Calc!$C$2:$C$5251,Pipeline_Sort!$C243))</f>
        <v/>
      </c>
      <c r="C243">
        <f>IF(Pipeline_Sort!$C243="","",INDEX(Pipeline_Calc!$D$2:$D$5251,Pipeline_Sort!$C243))</f>
        <v/>
      </c>
      <c r="D243">
        <f>IF(Pipeline_Sort!$C243="","",INDEX(Pipeline_Calc!$E$2:$E$5251,Pipeline_Sort!$C243))</f>
        <v/>
      </c>
      <c r="E243">
        <f>IF(Pipeline_Sort!$C243="","",INDEX(Pipeline_Calc!$F$2:$F$5251,Pipeline_Sort!$C243))</f>
        <v/>
      </c>
      <c r="F243">
        <f>IF(Pipeline_Sort!$C243="","",INDEX(Pipeline_Calc!$G$2:$G$5251,Pipeline_Sort!$C243))</f>
        <v/>
      </c>
      <c r="G243">
        <f>IF(Pipeline_Sort!$C243="","",INDEX(Pipeline_Calc!$H$2:$H$5251,Pipeline_Sort!$C243))</f>
        <v/>
      </c>
      <c r="H243">
        <f>IF(Pipeline_Sort!$C243="","",INDEX(Pipeline_Calc!$I$2:$I$5251,Pipeline_Sort!$C243))</f>
        <v/>
      </c>
      <c r="I243">
        <f>IF(Pipeline_Sort!$C243="","",INDEX(Pipeline_Calc!$J$2:$J$5251,Pipeline_Sort!$C243))</f>
        <v/>
      </c>
    </row>
    <row r="244">
      <c r="A244" s="22">
        <f>IF(Pipeline_Sort!$C244="","",INDEX(Pipeline_Calc!$B$2:$B$5251,Pipeline_Sort!$C244))</f>
        <v/>
      </c>
      <c r="B244">
        <f>IF(Pipeline_Sort!$C244="","",INDEX(Pipeline_Calc!$C$2:$C$5251,Pipeline_Sort!$C244))</f>
        <v/>
      </c>
      <c r="C244">
        <f>IF(Pipeline_Sort!$C244="","",INDEX(Pipeline_Calc!$D$2:$D$5251,Pipeline_Sort!$C244))</f>
        <v/>
      </c>
      <c r="D244">
        <f>IF(Pipeline_Sort!$C244="","",INDEX(Pipeline_Calc!$E$2:$E$5251,Pipeline_Sort!$C244))</f>
        <v/>
      </c>
      <c r="E244">
        <f>IF(Pipeline_Sort!$C244="","",INDEX(Pipeline_Calc!$F$2:$F$5251,Pipeline_Sort!$C244))</f>
        <v/>
      </c>
      <c r="F244">
        <f>IF(Pipeline_Sort!$C244="","",INDEX(Pipeline_Calc!$G$2:$G$5251,Pipeline_Sort!$C244))</f>
        <v/>
      </c>
      <c r="G244">
        <f>IF(Pipeline_Sort!$C244="","",INDEX(Pipeline_Calc!$H$2:$H$5251,Pipeline_Sort!$C244))</f>
        <v/>
      </c>
      <c r="H244">
        <f>IF(Pipeline_Sort!$C244="","",INDEX(Pipeline_Calc!$I$2:$I$5251,Pipeline_Sort!$C244))</f>
        <v/>
      </c>
      <c r="I244">
        <f>IF(Pipeline_Sort!$C244="","",INDEX(Pipeline_Calc!$J$2:$J$5251,Pipeline_Sort!$C244))</f>
        <v/>
      </c>
    </row>
    <row r="245">
      <c r="A245" s="22">
        <f>IF(Pipeline_Sort!$C245="","",INDEX(Pipeline_Calc!$B$2:$B$5251,Pipeline_Sort!$C245))</f>
        <v/>
      </c>
      <c r="B245">
        <f>IF(Pipeline_Sort!$C245="","",INDEX(Pipeline_Calc!$C$2:$C$5251,Pipeline_Sort!$C245))</f>
        <v/>
      </c>
      <c r="C245">
        <f>IF(Pipeline_Sort!$C245="","",INDEX(Pipeline_Calc!$D$2:$D$5251,Pipeline_Sort!$C245))</f>
        <v/>
      </c>
      <c r="D245">
        <f>IF(Pipeline_Sort!$C245="","",INDEX(Pipeline_Calc!$E$2:$E$5251,Pipeline_Sort!$C245))</f>
        <v/>
      </c>
      <c r="E245">
        <f>IF(Pipeline_Sort!$C245="","",INDEX(Pipeline_Calc!$F$2:$F$5251,Pipeline_Sort!$C245))</f>
        <v/>
      </c>
      <c r="F245">
        <f>IF(Pipeline_Sort!$C245="","",INDEX(Pipeline_Calc!$G$2:$G$5251,Pipeline_Sort!$C245))</f>
        <v/>
      </c>
      <c r="G245">
        <f>IF(Pipeline_Sort!$C245="","",INDEX(Pipeline_Calc!$H$2:$H$5251,Pipeline_Sort!$C245))</f>
        <v/>
      </c>
      <c r="H245">
        <f>IF(Pipeline_Sort!$C245="","",INDEX(Pipeline_Calc!$I$2:$I$5251,Pipeline_Sort!$C245))</f>
        <v/>
      </c>
      <c r="I245">
        <f>IF(Pipeline_Sort!$C245="","",INDEX(Pipeline_Calc!$J$2:$J$5251,Pipeline_Sort!$C245))</f>
        <v/>
      </c>
    </row>
    <row r="246">
      <c r="A246" s="22">
        <f>IF(Pipeline_Sort!$C246="","",INDEX(Pipeline_Calc!$B$2:$B$5251,Pipeline_Sort!$C246))</f>
        <v/>
      </c>
      <c r="B246">
        <f>IF(Pipeline_Sort!$C246="","",INDEX(Pipeline_Calc!$C$2:$C$5251,Pipeline_Sort!$C246))</f>
        <v/>
      </c>
      <c r="C246">
        <f>IF(Pipeline_Sort!$C246="","",INDEX(Pipeline_Calc!$D$2:$D$5251,Pipeline_Sort!$C246))</f>
        <v/>
      </c>
      <c r="D246">
        <f>IF(Pipeline_Sort!$C246="","",INDEX(Pipeline_Calc!$E$2:$E$5251,Pipeline_Sort!$C246))</f>
        <v/>
      </c>
      <c r="E246">
        <f>IF(Pipeline_Sort!$C246="","",INDEX(Pipeline_Calc!$F$2:$F$5251,Pipeline_Sort!$C246))</f>
        <v/>
      </c>
      <c r="F246">
        <f>IF(Pipeline_Sort!$C246="","",INDEX(Pipeline_Calc!$G$2:$G$5251,Pipeline_Sort!$C246))</f>
        <v/>
      </c>
      <c r="G246">
        <f>IF(Pipeline_Sort!$C246="","",INDEX(Pipeline_Calc!$H$2:$H$5251,Pipeline_Sort!$C246))</f>
        <v/>
      </c>
      <c r="H246">
        <f>IF(Pipeline_Sort!$C246="","",INDEX(Pipeline_Calc!$I$2:$I$5251,Pipeline_Sort!$C246))</f>
        <v/>
      </c>
      <c r="I246">
        <f>IF(Pipeline_Sort!$C246="","",INDEX(Pipeline_Calc!$J$2:$J$5251,Pipeline_Sort!$C246))</f>
        <v/>
      </c>
    </row>
    <row r="247">
      <c r="A247" s="22">
        <f>IF(Pipeline_Sort!$C247="","",INDEX(Pipeline_Calc!$B$2:$B$5251,Pipeline_Sort!$C247))</f>
        <v/>
      </c>
      <c r="B247">
        <f>IF(Pipeline_Sort!$C247="","",INDEX(Pipeline_Calc!$C$2:$C$5251,Pipeline_Sort!$C247))</f>
        <v/>
      </c>
      <c r="C247">
        <f>IF(Pipeline_Sort!$C247="","",INDEX(Pipeline_Calc!$D$2:$D$5251,Pipeline_Sort!$C247))</f>
        <v/>
      </c>
      <c r="D247">
        <f>IF(Pipeline_Sort!$C247="","",INDEX(Pipeline_Calc!$E$2:$E$5251,Pipeline_Sort!$C247))</f>
        <v/>
      </c>
      <c r="E247">
        <f>IF(Pipeline_Sort!$C247="","",INDEX(Pipeline_Calc!$F$2:$F$5251,Pipeline_Sort!$C247))</f>
        <v/>
      </c>
      <c r="F247">
        <f>IF(Pipeline_Sort!$C247="","",INDEX(Pipeline_Calc!$G$2:$G$5251,Pipeline_Sort!$C247))</f>
        <v/>
      </c>
      <c r="G247">
        <f>IF(Pipeline_Sort!$C247="","",INDEX(Pipeline_Calc!$H$2:$H$5251,Pipeline_Sort!$C247))</f>
        <v/>
      </c>
      <c r="H247">
        <f>IF(Pipeline_Sort!$C247="","",INDEX(Pipeline_Calc!$I$2:$I$5251,Pipeline_Sort!$C247))</f>
        <v/>
      </c>
      <c r="I247">
        <f>IF(Pipeline_Sort!$C247="","",INDEX(Pipeline_Calc!$J$2:$J$5251,Pipeline_Sort!$C247))</f>
        <v/>
      </c>
    </row>
    <row r="248">
      <c r="A248" s="22">
        <f>IF(Pipeline_Sort!$C248="","",INDEX(Pipeline_Calc!$B$2:$B$5251,Pipeline_Sort!$C248))</f>
        <v/>
      </c>
      <c r="B248">
        <f>IF(Pipeline_Sort!$C248="","",INDEX(Pipeline_Calc!$C$2:$C$5251,Pipeline_Sort!$C248))</f>
        <v/>
      </c>
      <c r="C248">
        <f>IF(Pipeline_Sort!$C248="","",INDEX(Pipeline_Calc!$D$2:$D$5251,Pipeline_Sort!$C248))</f>
        <v/>
      </c>
      <c r="D248">
        <f>IF(Pipeline_Sort!$C248="","",INDEX(Pipeline_Calc!$E$2:$E$5251,Pipeline_Sort!$C248))</f>
        <v/>
      </c>
      <c r="E248">
        <f>IF(Pipeline_Sort!$C248="","",INDEX(Pipeline_Calc!$F$2:$F$5251,Pipeline_Sort!$C248))</f>
        <v/>
      </c>
      <c r="F248">
        <f>IF(Pipeline_Sort!$C248="","",INDEX(Pipeline_Calc!$G$2:$G$5251,Pipeline_Sort!$C248))</f>
        <v/>
      </c>
      <c r="G248">
        <f>IF(Pipeline_Sort!$C248="","",INDEX(Pipeline_Calc!$H$2:$H$5251,Pipeline_Sort!$C248))</f>
        <v/>
      </c>
      <c r="H248">
        <f>IF(Pipeline_Sort!$C248="","",INDEX(Pipeline_Calc!$I$2:$I$5251,Pipeline_Sort!$C248))</f>
        <v/>
      </c>
      <c r="I248">
        <f>IF(Pipeline_Sort!$C248="","",INDEX(Pipeline_Calc!$J$2:$J$5251,Pipeline_Sort!$C248))</f>
        <v/>
      </c>
    </row>
    <row r="249">
      <c r="A249" s="22">
        <f>IF(Pipeline_Sort!$C249="","",INDEX(Pipeline_Calc!$B$2:$B$5251,Pipeline_Sort!$C249))</f>
        <v/>
      </c>
      <c r="B249">
        <f>IF(Pipeline_Sort!$C249="","",INDEX(Pipeline_Calc!$C$2:$C$5251,Pipeline_Sort!$C249))</f>
        <v/>
      </c>
      <c r="C249">
        <f>IF(Pipeline_Sort!$C249="","",INDEX(Pipeline_Calc!$D$2:$D$5251,Pipeline_Sort!$C249))</f>
        <v/>
      </c>
      <c r="D249">
        <f>IF(Pipeline_Sort!$C249="","",INDEX(Pipeline_Calc!$E$2:$E$5251,Pipeline_Sort!$C249))</f>
        <v/>
      </c>
      <c r="E249">
        <f>IF(Pipeline_Sort!$C249="","",INDEX(Pipeline_Calc!$F$2:$F$5251,Pipeline_Sort!$C249))</f>
        <v/>
      </c>
      <c r="F249">
        <f>IF(Pipeline_Sort!$C249="","",INDEX(Pipeline_Calc!$G$2:$G$5251,Pipeline_Sort!$C249))</f>
        <v/>
      </c>
      <c r="G249">
        <f>IF(Pipeline_Sort!$C249="","",INDEX(Pipeline_Calc!$H$2:$H$5251,Pipeline_Sort!$C249))</f>
        <v/>
      </c>
      <c r="H249">
        <f>IF(Pipeline_Sort!$C249="","",INDEX(Pipeline_Calc!$I$2:$I$5251,Pipeline_Sort!$C249))</f>
        <v/>
      </c>
      <c r="I249">
        <f>IF(Pipeline_Sort!$C249="","",INDEX(Pipeline_Calc!$J$2:$J$5251,Pipeline_Sort!$C249))</f>
        <v/>
      </c>
    </row>
    <row r="250">
      <c r="A250" s="22">
        <f>IF(Pipeline_Sort!$C250="","",INDEX(Pipeline_Calc!$B$2:$B$5251,Pipeline_Sort!$C250))</f>
        <v/>
      </c>
      <c r="B250">
        <f>IF(Pipeline_Sort!$C250="","",INDEX(Pipeline_Calc!$C$2:$C$5251,Pipeline_Sort!$C250))</f>
        <v/>
      </c>
      <c r="C250">
        <f>IF(Pipeline_Sort!$C250="","",INDEX(Pipeline_Calc!$D$2:$D$5251,Pipeline_Sort!$C250))</f>
        <v/>
      </c>
      <c r="D250">
        <f>IF(Pipeline_Sort!$C250="","",INDEX(Pipeline_Calc!$E$2:$E$5251,Pipeline_Sort!$C250))</f>
        <v/>
      </c>
      <c r="E250">
        <f>IF(Pipeline_Sort!$C250="","",INDEX(Pipeline_Calc!$F$2:$F$5251,Pipeline_Sort!$C250))</f>
        <v/>
      </c>
      <c r="F250">
        <f>IF(Pipeline_Sort!$C250="","",INDEX(Pipeline_Calc!$G$2:$G$5251,Pipeline_Sort!$C250))</f>
        <v/>
      </c>
      <c r="G250">
        <f>IF(Pipeline_Sort!$C250="","",INDEX(Pipeline_Calc!$H$2:$H$5251,Pipeline_Sort!$C250))</f>
        <v/>
      </c>
      <c r="H250">
        <f>IF(Pipeline_Sort!$C250="","",INDEX(Pipeline_Calc!$I$2:$I$5251,Pipeline_Sort!$C250))</f>
        <v/>
      </c>
      <c r="I250">
        <f>IF(Pipeline_Sort!$C250="","",INDEX(Pipeline_Calc!$J$2:$J$5251,Pipeline_Sort!$C250))</f>
        <v/>
      </c>
    </row>
    <row r="251">
      <c r="A251" s="22">
        <f>IF(Pipeline_Sort!$C251="","",INDEX(Pipeline_Calc!$B$2:$B$5251,Pipeline_Sort!$C251))</f>
        <v/>
      </c>
      <c r="B251">
        <f>IF(Pipeline_Sort!$C251="","",INDEX(Pipeline_Calc!$C$2:$C$5251,Pipeline_Sort!$C251))</f>
        <v/>
      </c>
      <c r="C251">
        <f>IF(Pipeline_Sort!$C251="","",INDEX(Pipeline_Calc!$D$2:$D$5251,Pipeline_Sort!$C251))</f>
        <v/>
      </c>
      <c r="D251">
        <f>IF(Pipeline_Sort!$C251="","",INDEX(Pipeline_Calc!$E$2:$E$5251,Pipeline_Sort!$C251))</f>
        <v/>
      </c>
      <c r="E251">
        <f>IF(Pipeline_Sort!$C251="","",INDEX(Pipeline_Calc!$F$2:$F$5251,Pipeline_Sort!$C251))</f>
        <v/>
      </c>
      <c r="F251">
        <f>IF(Pipeline_Sort!$C251="","",INDEX(Pipeline_Calc!$G$2:$G$5251,Pipeline_Sort!$C251))</f>
        <v/>
      </c>
      <c r="G251">
        <f>IF(Pipeline_Sort!$C251="","",INDEX(Pipeline_Calc!$H$2:$H$5251,Pipeline_Sort!$C251))</f>
        <v/>
      </c>
      <c r="H251">
        <f>IF(Pipeline_Sort!$C251="","",INDEX(Pipeline_Calc!$I$2:$I$5251,Pipeline_Sort!$C251))</f>
        <v/>
      </c>
      <c r="I251">
        <f>IF(Pipeline_Sort!$C251="","",INDEX(Pipeline_Calc!$J$2:$J$5251,Pipeline_Sort!$C251))</f>
        <v/>
      </c>
    </row>
    <row r="252">
      <c r="A252" s="22">
        <f>IF(Pipeline_Sort!$C252="","",INDEX(Pipeline_Calc!$B$2:$B$5251,Pipeline_Sort!$C252))</f>
        <v/>
      </c>
      <c r="B252">
        <f>IF(Pipeline_Sort!$C252="","",INDEX(Pipeline_Calc!$C$2:$C$5251,Pipeline_Sort!$C252))</f>
        <v/>
      </c>
      <c r="C252">
        <f>IF(Pipeline_Sort!$C252="","",INDEX(Pipeline_Calc!$D$2:$D$5251,Pipeline_Sort!$C252))</f>
        <v/>
      </c>
      <c r="D252">
        <f>IF(Pipeline_Sort!$C252="","",INDEX(Pipeline_Calc!$E$2:$E$5251,Pipeline_Sort!$C252))</f>
        <v/>
      </c>
      <c r="E252">
        <f>IF(Pipeline_Sort!$C252="","",INDEX(Pipeline_Calc!$F$2:$F$5251,Pipeline_Sort!$C252))</f>
        <v/>
      </c>
      <c r="F252">
        <f>IF(Pipeline_Sort!$C252="","",INDEX(Pipeline_Calc!$G$2:$G$5251,Pipeline_Sort!$C252))</f>
        <v/>
      </c>
      <c r="G252">
        <f>IF(Pipeline_Sort!$C252="","",INDEX(Pipeline_Calc!$H$2:$H$5251,Pipeline_Sort!$C252))</f>
        <v/>
      </c>
      <c r="H252">
        <f>IF(Pipeline_Sort!$C252="","",INDEX(Pipeline_Calc!$I$2:$I$5251,Pipeline_Sort!$C252))</f>
        <v/>
      </c>
      <c r="I252">
        <f>IF(Pipeline_Sort!$C252="","",INDEX(Pipeline_Calc!$J$2:$J$5251,Pipeline_Sort!$C252))</f>
        <v/>
      </c>
    </row>
    <row r="253">
      <c r="A253" s="22">
        <f>IF(Pipeline_Sort!$C253="","",INDEX(Pipeline_Calc!$B$2:$B$5251,Pipeline_Sort!$C253))</f>
        <v/>
      </c>
      <c r="B253">
        <f>IF(Pipeline_Sort!$C253="","",INDEX(Pipeline_Calc!$C$2:$C$5251,Pipeline_Sort!$C253))</f>
        <v/>
      </c>
      <c r="C253">
        <f>IF(Pipeline_Sort!$C253="","",INDEX(Pipeline_Calc!$D$2:$D$5251,Pipeline_Sort!$C253))</f>
        <v/>
      </c>
      <c r="D253">
        <f>IF(Pipeline_Sort!$C253="","",INDEX(Pipeline_Calc!$E$2:$E$5251,Pipeline_Sort!$C253))</f>
        <v/>
      </c>
      <c r="E253">
        <f>IF(Pipeline_Sort!$C253="","",INDEX(Pipeline_Calc!$F$2:$F$5251,Pipeline_Sort!$C253))</f>
        <v/>
      </c>
      <c r="F253">
        <f>IF(Pipeline_Sort!$C253="","",INDEX(Pipeline_Calc!$G$2:$G$5251,Pipeline_Sort!$C253))</f>
        <v/>
      </c>
      <c r="G253">
        <f>IF(Pipeline_Sort!$C253="","",INDEX(Pipeline_Calc!$H$2:$H$5251,Pipeline_Sort!$C253))</f>
        <v/>
      </c>
      <c r="H253">
        <f>IF(Pipeline_Sort!$C253="","",INDEX(Pipeline_Calc!$I$2:$I$5251,Pipeline_Sort!$C253))</f>
        <v/>
      </c>
      <c r="I253">
        <f>IF(Pipeline_Sort!$C253="","",INDEX(Pipeline_Calc!$J$2:$J$5251,Pipeline_Sort!$C253))</f>
        <v/>
      </c>
    </row>
    <row r="254">
      <c r="A254" s="22">
        <f>IF(Pipeline_Sort!$C254="","",INDEX(Pipeline_Calc!$B$2:$B$5251,Pipeline_Sort!$C254))</f>
        <v/>
      </c>
      <c r="B254">
        <f>IF(Pipeline_Sort!$C254="","",INDEX(Pipeline_Calc!$C$2:$C$5251,Pipeline_Sort!$C254))</f>
        <v/>
      </c>
      <c r="C254">
        <f>IF(Pipeline_Sort!$C254="","",INDEX(Pipeline_Calc!$D$2:$D$5251,Pipeline_Sort!$C254))</f>
        <v/>
      </c>
      <c r="D254">
        <f>IF(Pipeline_Sort!$C254="","",INDEX(Pipeline_Calc!$E$2:$E$5251,Pipeline_Sort!$C254))</f>
        <v/>
      </c>
      <c r="E254">
        <f>IF(Pipeline_Sort!$C254="","",INDEX(Pipeline_Calc!$F$2:$F$5251,Pipeline_Sort!$C254))</f>
        <v/>
      </c>
      <c r="F254">
        <f>IF(Pipeline_Sort!$C254="","",INDEX(Pipeline_Calc!$G$2:$G$5251,Pipeline_Sort!$C254))</f>
        <v/>
      </c>
      <c r="G254">
        <f>IF(Pipeline_Sort!$C254="","",INDEX(Pipeline_Calc!$H$2:$H$5251,Pipeline_Sort!$C254))</f>
        <v/>
      </c>
      <c r="H254">
        <f>IF(Pipeline_Sort!$C254="","",INDEX(Pipeline_Calc!$I$2:$I$5251,Pipeline_Sort!$C254))</f>
        <v/>
      </c>
      <c r="I254">
        <f>IF(Pipeline_Sort!$C254="","",INDEX(Pipeline_Calc!$J$2:$J$5251,Pipeline_Sort!$C254))</f>
        <v/>
      </c>
    </row>
    <row r="255">
      <c r="A255" s="22">
        <f>IF(Pipeline_Sort!$C255="","",INDEX(Pipeline_Calc!$B$2:$B$5251,Pipeline_Sort!$C255))</f>
        <v/>
      </c>
      <c r="B255">
        <f>IF(Pipeline_Sort!$C255="","",INDEX(Pipeline_Calc!$C$2:$C$5251,Pipeline_Sort!$C255))</f>
        <v/>
      </c>
      <c r="C255">
        <f>IF(Pipeline_Sort!$C255="","",INDEX(Pipeline_Calc!$D$2:$D$5251,Pipeline_Sort!$C255))</f>
        <v/>
      </c>
      <c r="D255">
        <f>IF(Pipeline_Sort!$C255="","",INDEX(Pipeline_Calc!$E$2:$E$5251,Pipeline_Sort!$C255))</f>
        <v/>
      </c>
      <c r="E255">
        <f>IF(Pipeline_Sort!$C255="","",INDEX(Pipeline_Calc!$F$2:$F$5251,Pipeline_Sort!$C255))</f>
        <v/>
      </c>
      <c r="F255">
        <f>IF(Pipeline_Sort!$C255="","",INDEX(Pipeline_Calc!$G$2:$G$5251,Pipeline_Sort!$C255))</f>
        <v/>
      </c>
      <c r="G255">
        <f>IF(Pipeline_Sort!$C255="","",INDEX(Pipeline_Calc!$H$2:$H$5251,Pipeline_Sort!$C255))</f>
        <v/>
      </c>
      <c r="H255">
        <f>IF(Pipeline_Sort!$C255="","",INDEX(Pipeline_Calc!$I$2:$I$5251,Pipeline_Sort!$C255))</f>
        <v/>
      </c>
      <c r="I255">
        <f>IF(Pipeline_Sort!$C255="","",INDEX(Pipeline_Calc!$J$2:$J$5251,Pipeline_Sort!$C255))</f>
        <v/>
      </c>
    </row>
    <row r="256">
      <c r="A256" s="22">
        <f>IF(Pipeline_Sort!$C256="","",INDEX(Pipeline_Calc!$B$2:$B$5251,Pipeline_Sort!$C256))</f>
        <v/>
      </c>
      <c r="B256">
        <f>IF(Pipeline_Sort!$C256="","",INDEX(Pipeline_Calc!$C$2:$C$5251,Pipeline_Sort!$C256))</f>
        <v/>
      </c>
      <c r="C256">
        <f>IF(Pipeline_Sort!$C256="","",INDEX(Pipeline_Calc!$D$2:$D$5251,Pipeline_Sort!$C256))</f>
        <v/>
      </c>
      <c r="D256">
        <f>IF(Pipeline_Sort!$C256="","",INDEX(Pipeline_Calc!$E$2:$E$5251,Pipeline_Sort!$C256))</f>
        <v/>
      </c>
      <c r="E256">
        <f>IF(Pipeline_Sort!$C256="","",INDEX(Pipeline_Calc!$F$2:$F$5251,Pipeline_Sort!$C256))</f>
        <v/>
      </c>
      <c r="F256">
        <f>IF(Pipeline_Sort!$C256="","",INDEX(Pipeline_Calc!$G$2:$G$5251,Pipeline_Sort!$C256))</f>
        <v/>
      </c>
      <c r="G256">
        <f>IF(Pipeline_Sort!$C256="","",INDEX(Pipeline_Calc!$H$2:$H$5251,Pipeline_Sort!$C256))</f>
        <v/>
      </c>
      <c r="H256">
        <f>IF(Pipeline_Sort!$C256="","",INDEX(Pipeline_Calc!$I$2:$I$5251,Pipeline_Sort!$C256))</f>
        <v/>
      </c>
      <c r="I256">
        <f>IF(Pipeline_Sort!$C256="","",INDEX(Pipeline_Calc!$J$2:$J$5251,Pipeline_Sort!$C256))</f>
        <v/>
      </c>
    </row>
    <row r="257">
      <c r="A257" s="22">
        <f>IF(Pipeline_Sort!$C257="","",INDEX(Pipeline_Calc!$B$2:$B$5251,Pipeline_Sort!$C257))</f>
        <v/>
      </c>
      <c r="B257">
        <f>IF(Pipeline_Sort!$C257="","",INDEX(Pipeline_Calc!$C$2:$C$5251,Pipeline_Sort!$C257))</f>
        <v/>
      </c>
      <c r="C257">
        <f>IF(Pipeline_Sort!$C257="","",INDEX(Pipeline_Calc!$D$2:$D$5251,Pipeline_Sort!$C257))</f>
        <v/>
      </c>
      <c r="D257">
        <f>IF(Pipeline_Sort!$C257="","",INDEX(Pipeline_Calc!$E$2:$E$5251,Pipeline_Sort!$C257))</f>
        <v/>
      </c>
      <c r="E257">
        <f>IF(Pipeline_Sort!$C257="","",INDEX(Pipeline_Calc!$F$2:$F$5251,Pipeline_Sort!$C257))</f>
        <v/>
      </c>
      <c r="F257">
        <f>IF(Pipeline_Sort!$C257="","",INDEX(Pipeline_Calc!$G$2:$G$5251,Pipeline_Sort!$C257))</f>
        <v/>
      </c>
      <c r="G257">
        <f>IF(Pipeline_Sort!$C257="","",INDEX(Pipeline_Calc!$H$2:$H$5251,Pipeline_Sort!$C257))</f>
        <v/>
      </c>
      <c r="H257">
        <f>IF(Pipeline_Sort!$C257="","",INDEX(Pipeline_Calc!$I$2:$I$5251,Pipeline_Sort!$C257))</f>
        <v/>
      </c>
      <c r="I257">
        <f>IF(Pipeline_Sort!$C257="","",INDEX(Pipeline_Calc!$J$2:$J$5251,Pipeline_Sort!$C257))</f>
        <v/>
      </c>
    </row>
    <row r="258">
      <c r="A258" s="22">
        <f>IF(Pipeline_Sort!$C258="","",INDEX(Pipeline_Calc!$B$2:$B$5251,Pipeline_Sort!$C258))</f>
        <v/>
      </c>
      <c r="B258">
        <f>IF(Pipeline_Sort!$C258="","",INDEX(Pipeline_Calc!$C$2:$C$5251,Pipeline_Sort!$C258))</f>
        <v/>
      </c>
      <c r="C258">
        <f>IF(Pipeline_Sort!$C258="","",INDEX(Pipeline_Calc!$D$2:$D$5251,Pipeline_Sort!$C258))</f>
        <v/>
      </c>
      <c r="D258">
        <f>IF(Pipeline_Sort!$C258="","",INDEX(Pipeline_Calc!$E$2:$E$5251,Pipeline_Sort!$C258))</f>
        <v/>
      </c>
      <c r="E258">
        <f>IF(Pipeline_Sort!$C258="","",INDEX(Pipeline_Calc!$F$2:$F$5251,Pipeline_Sort!$C258))</f>
        <v/>
      </c>
      <c r="F258">
        <f>IF(Pipeline_Sort!$C258="","",INDEX(Pipeline_Calc!$G$2:$G$5251,Pipeline_Sort!$C258))</f>
        <v/>
      </c>
      <c r="G258">
        <f>IF(Pipeline_Sort!$C258="","",INDEX(Pipeline_Calc!$H$2:$H$5251,Pipeline_Sort!$C258))</f>
        <v/>
      </c>
      <c r="H258">
        <f>IF(Pipeline_Sort!$C258="","",INDEX(Pipeline_Calc!$I$2:$I$5251,Pipeline_Sort!$C258))</f>
        <v/>
      </c>
      <c r="I258">
        <f>IF(Pipeline_Sort!$C258="","",INDEX(Pipeline_Calc!$J$2:$J$5251,Pipeline_Sort!$C258))</f>
        <v/>
      </c>
    </row>
    <row r="259">
      <c r="A259" s="22">
        <f>IF(Pipeline_Sort!$C259="","",INDEX(Pipeline_Calc!$B$2:$B$5251,Pipeline_Sort!$C259))</f>
        <v/>
      </c>
      <c r="B259">
        <f>IF(Pipeline_Sort!$C259="","",INDEX(Pipeline_Calc!$C$2:$C$5251,Pipeline_Sort!$C259))</f>
        <v/>
      </c>
      <c r="C259">
        <f>IF(Pipeline_Sort!$C259="","",INDEX(Pipeline_Calc!$D$2:$D$5251,Pipeline_Sort!$C259))</f>
        <v/>
      </c>
      <c r="D259">
        <f>IF(Pipeline_Sort!$C259="","",INDEX(Pipeline_Calc!$E$2:$E$5251,Pipeline_Sort!$C259))</f>
        <v/>
      </c>
      <c r="E259">
        <f>IF(Pipeline_Sort!$C259="","",INDEX(Pipeline_Calc!$F$2:$F$5251,Pipeline_Sort!$C259))</f>
        <v/>
      </c>
      <c r="F259">
        <f>IF(Pipeline_Sort!$C259="","",INDEX(Pipeline_Calc!$G$2:$G$5251,Pipeline_Sort!$C259))</f>
        <v/>
      </c>
      <c r="G259">
        <f>IF(Pipeline_Sort!$C259="","",INDEX(Pipeline_Calc!$H$2:$H$5251,Pipeline_Sort!$C259))</f>
        <v/>
      </c>
      <c r="H259">
        <f>IF(Pipeline_Sort!$C259="","",INDEX(Pipeline_Calc!$I$2:$I$5251,Pipeline_Sort!$C259))</f>
        <v/>
      </c>
      <c r="I259">
        <f>IF(Pipeline_Sort!$C259="","",INDEX(Pipeline_Calc!$J$2:$J$5251,Pipeline_Sort!$C259))</f>
        <v/>
      </c>
    </row>
    <row r="260">
      <c r="A260" s="22">
        <f>IF(Pipeline_Sort!$C260="","",INDEX(Pipeline_Calc!$B$2:$B$5251,Pipeline_Sort!$C260))</f>
        <v/>
      </c>
      <c r="B260">
        <f>IF(Pipeline_Sort!$C260="","",INDEX(Pipeline_Calc!$C$2:$C$5251,Pipeline_Sort!$C260))</f>
        <v/>
      </c>
      <c r="C260">
        <f>IF(Pipeline_Sort!$C260="","",INDEX(Pipeline_Calc!$D$2:$D$5251,Pipeline_Sort!$C260))</f>
        <v/>
      </c>
      <c r="D260">
        <f>IF(Pipeline_Sort!$C260="","",INDEX(Pipeline_Calc!$E$2:$E$5251,Pipeline_Sort!$C260))</f>
        <v/>
      </c>
      <c r="E260">
        <f>IF(Pipeline_Sort!$C260="","",INDEX(Pipeline_Calc!$F$2:$F$5251,Pipeline_Sort!$C260))</f>
        <v/>
      </c>
      <c r="F260">
        <f>IF(Pipeline_Sort!$C260="","",INDEX(Pipeline_Calc!$G$2:$G$5251,Pipeline_Sort!$C260))</f>
        <v/>
      </c>
      <c r="G260">
        <f>IF(Pipeline_Sort!$C260="","",INDEX(Pipeline_Calc!$H$2:$H$5251,Pipeline_Sort!$C260))</f>
        <v/>
      </c>
      <c r="H260">
        <f>IF(Pipeline_Sort!$C260="","",INDEX(Pipeline_Calc!$I$2:$I$5251,Pipeline_Sort!$C260))</f>
        <v/>
      </c>
      <c r="I260">
        <f>IF(Pipeline_Sort!$C260="","",INDEX(Pipeline_Calc!$J$2:$J$5251,Pipeline_Sort!$C260))</f>
        <v/>
      </c>
    </row>
    <row r="261">
      <c r="A261" s="22">
        <f>IF(Pipeline_Sort!$C261="","",INDEX(Pipeline_Calc!$B$2:$B$5251,Pipeline_Sort!$C261))</f>
        <v/>
      </c>
      <c r="B261">
        <f>IF(Pipeline_Sort!$C261="","",INDEX(Pipeline_Calc!$C$2:$C$5251,Pipeline_Sort!$C261))</f>
        <v/>
      </c>
      <c r="C261">
        <f>IF(Pipeline_Sort!$C261="","",INDEX(Pipeline_Calc!$D$2:$D$5251,Pipeline_Sort!$C261))</f>
        <v/>
      </c>
      <c r="D261">
        <f>IF(Pipeline_Sort!$C261="","",INDEX(Pipeline_Calc!$E$2:$E$5251,Pipeline_Sort!$C261))</f>
        <v/>
      </c>
      <c r="E261">
        <f>IF(Pipeline_Sort!$C261="","",INDEX(Pipeline_Calc!$F$2:$F$5251,Pipeline_Sort!$C261))</f>
        <v/>
      </c>
      <c r="F261">
        <f>IF(Pipeline_Sort!$C261="","",INDEX(Pipeline_Calc!$G$2:$G$5251,Pipeline_Sort!$C261))</f>
        <v/>
      </c>
      <c r="G261">
        <f>IF(Pipeline_Sort!$C261="","",INDEX(Pipeline_Calc!$H$2:$H$5251,Pipeline_Sort!$C261))</f>
        <v/>
      </c>
      <c r="H261">
        <f>IF(Pipeline_Sort!$C261="","",INDEX(Pipeline_Calc!$I$2:$I$5251,Pipeline_Sort!$C261))</f>
        <v/>
      </c>
      <c r="I261">
        <f>IF(Pipeline_Sort!$C261="","",INDEX(Pipeline_Calc!$J$2:$J$5251,Pipeline_Sort!$C261))</f>
        <v/>
      </c>
    </row>
    <row r="262">
      <c r="A262" s="22">
        <f>IF(Pipeline_Sort!$C262="","",INDEX(Pipeline_Calc!$B$2:$B$5251,Pipeline_Sort!$C262))</f>
        <v/>
      </c>
      <c r="B262">
        <f>IF(Pipeline_Sort!$C262="","",INDEX(Pipeline_Calc!$C$2:$C$5251,Pipeline_Sort!$C262))</f>
        <v/>
      </c>
      <c r="C262">
        <f>IF(Pipeline_Sort!$C262="","",INDEX(Pipeline_Calc!$D$2:$D$5251,Pipeline_Sort!$C262))</f>
        <v/>
      </c>
      <c r="D262">
        <f>IF(Pipeline_Sort!$C262="","",INDEX(Pipeline_Calc!$E$2:$E$5251,Pipeline_Sort!$C262))</f>
        <v/>
      </c>
      <c r="E262">
        <f>IF(Pipeline_Sort!$C262="","",INDEX(Pipeline_Calc!$F$2:$F$5251,Pipeline_Sort!$C262))</f>
        <v/>
      </c>
      <c r="F262">
        <f>IF(Pipeline_Sort!$C262="","",INDEX(Pipeline_Calc!$G$2:$G$5251,Pipeline_Sort!$C262))</f>
        <v/>
      </c>
      <c r="G262">
        <f>IF(Pipeline_Sort!$C262="","",INDEX(Pipeline_Calc!$H$2:$H$5251,Pipeline_Sort!$C262))</f>
        <v/>
      </c>
      <c r="H262">
        <f>IF(Pipeline_Sort!$C262="","",INDEX(Pipeline_Calc!$I$2:$I$5251,Pipeline_Sort!$C262))</f>
        <v/>
      </c>
      <c r="I262">
        <f>IF(Pipeline_Sort!$C262="","",INDEX(Pipeline_Calc!$J$2:$J$5251,Pipeline_Sort!$C262))</f>
        <v/>
      </c>
    </row>
    <row r="263">
      <c r="A263" s="22">
        <f>IF(Pipeline_Sort!$C263="","",INDEX(Pipeline_Calc!$B$2:$B$5251,Pipeline_Sort!$C263))</f>
        <v/>
      </c>
      <c r="B263">
        <f>IF(Pipeline_Sort!$C263="","",INDEX(Pipeline_Calc!$C$2:$C$5251,Pipeline_Sort!$C263))</f>
        <v/>
      </c>
      <c r="C263">
        <f>IF(Pipeline_Sort!$C263="","",INDEX(Pipeline_Calc!$D$2:$D$5251,Pipeline_Sort!$C263))</f>
        <v/>
      </c>
      <c r="D263">
        <f>IF(Pipeline_Sort!$C263="","",INDEX(Pipeline_Calc!$E$2:$E$5251,Pipeline_Sort!$C263))</f>
        <v/>
      </c>
      <c r="E263">
        <f>IF(Pipeline_Sort!$C263="","",INDEX(Pipeline_Calc!$F$2:$F$5251,Pipeline_Sort!$C263))</f>
        <v/>
      </c>
      <c r="F263">
        <f>IF(Pipeline_Sort!$C263="","",INDEX(Pipeline_Calc!$G$2:$G$5251,Pipeline_Sort!$C263))</f>
        <v/>
      </c>
      <c r="G263">
        <f>IF(Pipeline_Sort!$C263="","",INDEX(Pipeline_Calc!$H$2:$H$5251,Pipeline_Sort!$C263))</f>
        <v/>
      </c>
      <c r="H263">
        <f>IF(Pipeline_Sort!$C263="","",INDEX(Pipeline_Calc!$I$2:$I$5251,Pipeline_Sort!$C263))</f>
        <v/>
      </c>
      <c r="I263">
        <f>IF(Pipeline_Sort!$C263="","",INDEX(Pipeline_Calc!$J$2:$J$5251,Pipeline_Sort!$C263))</f>
        <v/>
      </c>
    </row>
    <row r="264">
      <c r="A264" s="22">
        <f>IF(Pipeline_Sort!$C264="","",INDEX(Pipeline_Calc!$B$2:$B$5251,Pipeline_Sort!$C264))</f>
        <v/>
      </c>
      <c r="B264">
        <f>IF(Pipeline_Sort!$C264="","",INDEX(Pipeline_Calc!$C$2:$C$5251,Pipeline_Sort!$C264))</f>
        <v/>
      </c>
      <c r="C264">
        <f>IF(Pipeline_Sort!$C264="","",INDEX(Pipeline_Calc!$D$2:$D$5251,Pipeline_Sort!$C264))</f>
        <v/>
      </c>
      <c r="D264">
        <f>IF(Pipeline_Sort!$C264="","",INDEX(Pipeline_Calc!$E$2:$E$5251,Pipeline_Sort!$C264))</f>
        <v/>
      </c>
      <c r="E264">
        <f>IF(Pipeline_Sort!$C264="","",INDEX(Pipeline_Calc!$F$2:$F$5251,Pipeline_Sort!$C264))</f>
        <v/>
      </c>
      <c r="F264">
        <f>IF(Pipeline_Sort!$C264="","",INDEX(Pipeline_Calc!$G$2:$G$5251,Pipeline_Sort!$C264))</f>
        <v/>
      </c>
      <c r="G264">
        <f>IF(Pipeline_Sort!$C264="","",INDEX(Pipeline_Calc!$H$2:$H$5251,Pipeline_Sort!$C264))</f>
        <v/>
      </c>
      <c r="H264">
        <f>IF(Pipeline_Sort!$C264="","",INDEX(Pipeline_Calc!$I$2:$I$5251,Pipeline_Sort!$C264))</f>
        <v/>
      </c>
      <c r="I264">
        <f>IF(Pipeline_Sort!$C264="","",INDEX(Pipeline_Calc!$J$2:$J$5251,Pipeline_Sort!$C264))</f>
        <v/>
      </c>
    </row>
    <row r="265">
      <c r="A265" s="22">
        <f>IF(Pipeline_Sort!$C265="","",INDEX(Pipeline_Calc!$B$2:$B$5251,Pipeline_Sort!$C265))</f>
        <v/>
      </c>
      <c r="B265">
        <f>IF(Pipeline_Sort!$C265="","",INDEX(Pipeline_Calc!$C$2:$C$5251,Pipeline_Sort!$C265))</f>
        <v/>
      </c>
      <c r="C265">
        <f>IF(Pipeline_Sort!$C265="","",INDEX(Pipeline_Calc!$D$2:$D$5251,Pipeline_Sort!$C265))</f>
        <v/>
      </c>
      <c r="D265">
        <f>IF(Pipeline_Sort!$C265="","",INDEX(Pipeline_Calc!$E$2:$E$5251,Pipeline_Sort!$C265))</f>
        <v/>
      </c>
      <c r="E265">
        <f>IF(Pipeline_Sort!$C265="","",INDEX(Pipeline_Calc!$F$2:$F$5251,Pipeline_Sort!$C265))</f>
        <v/>
      </c>
      <c r="F265">
        <f>IF(Pipeline_Sort!$C265="","",INDEX(Pipeline_Calc!$G$2:$G$5251,Pipeline_Sort!$C265))</f>
        <v/>
      </c>
      <c r="G265">
        <f>IF(Pipeline_Sort!$C265="","",INDEX(Pipeline_Calc!$H$2:$H$5251,Pipeline_Sort!$C265))</f>
        <v/>
      </c>
      <c r="H265">
        <f>IF(Pipeline_Sort!$C265="","",INDEX(Pipeline_Calc!$I$2:$I$5251,Pipeline_Sort!$C265))</f>
        <v/>
      </c>
      <c r="I265">
        <f>IF(Pipeline_Sort!$C265="","",INDEX(Pipeline_Calc!$J$2:$J$5251,Pipeline_Sort!$C265))</f>
        <v/>
      </c>
    </row>
    <row r="266">
      <c r="A266" s="22">
        <f>IF(Pipeline_Sort!$C266="","",INDEX(Pipeline_Calc!$B$2:$B$5251,Pipeline_Sort!$C266))</f>
        <v/>
      </c>
      <c r="B266">
        <f>IF(Pipeline_Sort!$C266="","",INDEX(Pipeline_Calc!$C$2:$C$5251,Pipeline_Sort!$C266))</f>
        <v/>
      </c>
      <c r="C266">
        <f>IF(Pipeline_Sort!$C266="","",INDEX(Pipeline_Calc!$D$2:$D$5251,Pipeline_Sort!$C266))</f>
        <v/>
      </c>
      <c r="D266">
        <f>IF(Pipeline_Sort!$C266="","",INDEX(Pipeline_Calc!$E$2:$E$5251,Pipeline_Sort!$C266))</f>
        <v/>
      </c>
      <c r="E266">
        <f>IF(Pipeline_Sort!$C266="","",INDEX(Pipeline_Calc!$F$2:$F$5251,Pipeline_Sort!$C266))</f>
        <v/>
      </c>
      <c r="F266">
        <f>IF(Pipeline_Sort!$C266="","",INDEX(Pipeline_Calc!$G$2:$G$5251,Pipeline_Sort!$C266))</f>
        <v/>
      </c>
      <c r="G266">
        <f>IF(Pipeline_Sort!$C266="","",INDEX(Pipeline_Calc!$H$2:$H$5251,Pipeline_Sort!$C266))</f>
        <v/>
      </c>
      <c r="H266">
        <f>IF(Pipeline_Sort!$C266="","",INDEX(Pipeline_Calc!$I$2:$I$5251,Pipeline_Sort!$C266))</f>
        <v/>
      </c>
      <c r="I266">
        <f>IF(Pipeline_Sort!$C266="","",INDEX(Pipeline_Calc!$J$2:$J$5251,Pipeline_Sort!$C266))</f>
        <v/>
      </c>
    </row>
    <row r="267">
      <c r="A267" s="22">
        <f>IF(Pipeline_Sort!$C267="","",INDEX(Pipeline_Calc!$B$2:$B$5251,Pipeline_Sort!$C267))</f>
        <v/>
      </c>
      <c r="B267">
        <f>IF(Pipeline_Sort!$C267="","",INDEX(Pipeline_Calc!$C$2:$C$5251,Pipeline_Sort!$C267))</f>
        <v/>
      </c>
      <c r="C267">
        <f>IF(Pipeline_Sort!$C267="","",INDEX(Pipeline_Calc!$D$2:$D$5251,Pipeline_Sort!$C267))</f>
        <v/>
      </c>
      <c r="D267">
        <f>IF(Pipeline_Sort!$C267="","",INDEX(Pipeline_Calc!$E$2:$E$5251,Pipeline_Sort!$C267))</f>
        <v/>
      </c>
      <c r="E267">
        <f>IF(Pipeline_Sort!$C267="","",INDEX(Pipeline_Calc!$F$2:$F$5251,Pipeline_Sort!$C267))</f>
        <v/>
      </c>
      <c r="F267">
        <f>IF(Pipeline_Sort!$C267="","",INDEX(Pipeline_Calc!$G$2:$G$5251,Pipeline_Sort!$C267))</f>
        <v/>
      </c>
      <c r="G267">
        <f>IF(Pipeline_Sort!$C267="","",INDEX(Pipeline_Calc!$H$2:$H$5251,Pipeline_Sort!$C267))</f>
        <v/>
      </c>
      <c r="H267">
        <f>IF(Pipeline_Sort!$C267="","",INDEX(Pipeline_Calc!$I$2:$I$5251,Pipeline_Sort!$C267))</f>
        <v/>
      </c>
      <c r="I267">
        <f>IF(Pipeline_Sort!$C267="","",INDEX(Pipeline_Calc!$J$2:$J$5251,Pipeline_Sort!$C267))</f>
        <v/>
      </c>
    </row>
    <row r="268">
      <c r="A268" s="22">
        <f>IF(Pipeline_Sort!$C268="","",INDEX(Pipeline_Calc!$B$2:$B$5251,Pipeline_Sort!$C268))</f>
        <v/>
      </c>
      <c r="B268">
        <f>IF(Pipeline_Sort!$C268="","",INDEX(Pipeline_Calc!$C$2:$C$5251,Pipeline_Sort!$C268))</f>
        <v/>
      </c>
      <c r="C268">
        <f>IF(Pipeline_Sort!$C268="","",INDEX(Pipeline_Calc!$D$2:$D$5251,Pipeline_Sort!$C268))</f>
        <v/>
      </c>
      <c r="D268">
        <f>IF(Pipeline_Sort!$C268="","",INDEX(Pipeline_Calc!$E$2:$E$5251,Pipeline_Sort!$C268))</f>
        <v/>
      </c>
      <c r="E268">
        <f>IF(Pipeline_Sort!$C268="","",INDEX(Pipeline_Calc!$F$2:$F$5251,Pipeline_Sort!$C268))</f>
        <v/>
      </c>
      <c r="F268">
        <f>IF(Pipeline_Sort!$C268="","",INDEX(Pipeline_Calc!$G$2:$G$5251,Pipeline_Sort!$C268))</f>
        <v/>
      </c>
      <c r="G268">
        <f>IF(Pipeline_Sort!$C268="","",INDEX(Pipeline_Calc!$H$2:$H$5251,Pipeline_Sort!$C268))</f>
        <v/>
      </c>
      <c r="H268">
        <f>IF(Pipeline_Sort!$C268="","",INDEX(Pipeline_Calc!$I$2:$I$5251,Pipeline_Sort!$C268))</f>
        <v/>
      </c>
      <c r="I268">
        <f>IF(Pipeline_Sort!$C268="","",INDEX(Pipeline_Calc!$J$2:$J$5251,Pipeline_Sort!$C268))</f>
        <v/>
      </c>
    </row>
    <row r="269">
      <c r="A269" s="22">
        <f>IF(Pipeline_Sort!$C269="","",INDEX(Pipeline_Calc!$B$2:$B$5251,Pipeline_Sort!$C269))</f>
        <v/>
      </c>
      <c r="B269">
        <f>IF(Pipeline_Sort!$C269="","",INDEX(Pipeline_Calc!$C$2:$C$5251,Pipeline_Sort!$C269))</f>
        <v/>
      </c>
      <c r="C269">
        <f>IF(Pipeline_Sort!$C269="","",INDEX(Pipeline_Calc!$D$2:$D$5251,Pipeline_Sort!$C269))</f>
        <v/>
      </c>
      <c r="D269">
        <f>IF(Pipeline_Sort!$C269="","",INDEX(Pipeline_Calc!$E$2:$E$5251,Pipeline_Sort!$C269))</f>
        <v/>
      </c>
      <c r="E269">
        <f>IF(Pipeline_Sort!$C269="","",INDEX(Pipeline_Calc!$F$2:$F$5251,Pipeline_Sort!$C269))</f>
        <v/>
      </c>
      <c r="F269">
        <f>IF(Pipeline_Sort!$C269="","",INDEX(Pipeline_Calc!$G$2:$G$5251,Pipeline_Sort!$C269))</f>
        <v/>
      </c>
      <c r="G269">
        <f>IF(Pipeline_Sort!$C269="","",INDEX(Pipeline_Calc!$H$2:$H$5251,Pipeline_Sort!$C269))</f>
        <v/>
      </c>
      <c r="H269">
        <f>IF(Pipeline_Sort!$C269="","",INDEX(Pipeline_Calc!$I$2:$I$5251,Pipeline_Sort!$C269))</f>
        <v/>
      </c>
      <c r="I269">
        <f>IF(Pipeline_Sort!$C269="","",INDEX(Pipeline_Calc!$J$2:$J$5251,Pipeline_Sort!$C269))</f>
        <v/>
      </c>
    </row>
    <row r="270">
      <c r="A270" s="22">
        <f>IF(Pipeline_Sort!$C270="","",INDEX(Pipeline_Calc!$B$2:$B$5251,Pipeline_Sort!$C270))</f>
        <v/>
      </c>
      <c r="B270">
        <f>IF(Pipeline_Sort!$C270="","",INDEX(Pipeline_Calc!$C$2:$C$5251,Pipeline_Sort!$C270))</f>
        <v/>
      </c>
      <c r="C270">
        <f>IF(Pipeline_Sort!$C270="","",INDEX(Pipeline_Calc!$D$2:$D$5251,Pipeline_Sort!$C270))</f>
        <v/>
      </c>
      <c r="D270">
        <f>IF(Pipeline_Sort!$C270="","",INDEX(Pipeline_Calc!$E$2:$E$5251,Pipeline_Sort!$C270))</f>
        <v/>
      </c>
      <c r="E270">
        <f>IF(Pipeline_Sort!$C270="","",INDEX(Pipeline_Calc!$F$2:$F$5251,Pipeline_Sort!$C270))</f>
        <v/>
      </c>
      <c r="F270">
        <f>IF(Pipeline_Sort!$C270="","",INDEX(Pipeline_Calc!$G$2:$G$5251,Pipeline_Sort!$C270))</f>
        <v/>
      </c>
      <c r="G270">
        <f>IF(Pipeline_Sort!$C270="","",INDEX(Pipeline_Calc!$H$2:$H$5251,Pipeline_Sort!$C270))</f>
        <v/>
      </c>
      <c r="H270">
        <f>IF(Pipeline_Sort!$C270="","",INDEX(Pipeline_Calc!$I$2:$I$5251,Pipeline_Sort!$C270))</f>
        <v/>
      </c>
      <c r="I270">
        <f>IF(Pipeline_Sort!$C270="","",INDEX(Pipeline_Calc!$J$2:$J$5251,Pipeline_Sort!$C270))</f>
        <v/>
      </c>
    </row>
    <row r="271">
      <c r="A271" s="22">
        <f>IF(Pipeline_Sort!$C271="","",INDEX(Pipeline_Calc!$B$2:$B$5251,Pipeline_Sort!$C271))</f>
        <v/>
      </c>
      <c r="B271">
        <f>IF(Pipeline_Sort!$C271="","",INDEX(Pipeline_Calc!$C$2:$C$5251,Pipeline_Sort!$C271))</f>
        <v/>
      </c>
      <c r="C271">
        <f>IF(Pipeline_Sort!$C271="","",INDEX(Pipeline_Calc!$D$2:$D$5251,Pipeline_Sort!$C271))</f>
        <v/>
      </c>
      <c r="D271">
        <f>IF(Pipeline_Sort!$C271="","",INDEX(Pipeline_Calc!$E$2:$E$5251,Pipeline_Sort!$C271))</f>
        <v/>
      </c>
      <c r="E271">
        <f>IF(Pipeline_Sort!$C271="","",INDEX(Pipeline_Calc!$F$2:$F$5251,Pipeline_Sort!$C271))</f>
        <v/>
      </c>
      <c r="F271">
        <f>IF(Pipeline_Sort!$C271="","",INDEX(Pipeline_Calc!$G$2:$G$5251,Pipeline_Sort!$C271))</f>
        <v/>
      </c>
      <c r="G271">
        <f>IF(Pipeline_Sort!$C271="","",INDEX(Pipeline_Calc!$H$2:$H$5251,Pipeline_Sort!$C271))</f>
        <v/>
      </c>
      <c r="H271">
        <f>IF(Pipeline_Sort!$C271="","",INDEX(Pipeline_Calc!$I$2:$I$5251,Pipeline_Sort!$C271))</f>
        <v/>
      </c>
      <c r="I271">
        <f>IF(Pipeline_Sort!$C271="","",INDEX(Pipeline_Calc!$J$2:$J$5251,Pipeline_Sort!$C271))</f>
        <v/>
      </c>
    </row>
    <row r="272">
      <c r="A272" s="22">
        <f>IF(Pipeline_Sort!$C272="","",INDEX(Pipeline_Calc!$B$2:$B$5251,Pipeline_Sort!$C272))</f>
        <v/>
      </c>
      <c r="B272">
        <f>IF(Pipeline_Sort!$C272="","",INDEX(Pipeline_Calc!$C$2:$C$5251,Pipeline_Sort!$C272))</f>
        <v/>
      </c>
      <c r="C272">
        <f>IF(Pipeline_Sort!$C272="","",INDEX(Pipeline_Calc!$D$2:$D$5251,Pipeline_Sort!$C272))</f>
        <v/>
      </c>
      <c r="D272">
        <f>IF(Pipeline_Sort!$C272="","",INDEX(Pipeline_Calc!$E$2:$E$5251,Pipeline_Sort!$C272))</f>
        <v/>
      </c>
      <c r="E272">
        <f>IF(Pipeline_Sort!$C272="","",INDEX(Pipeline_Calc!$F$2:$F$5251,Pipeline_Sort!$C272))</f>
        <v/>
      </c>
      <c r="F272">
        <f>IF(Pipeline_Sort!$C272="","",INDEX(Pipeline_Calc!$G$2:$G$5251,Pipeline_Sort!$C272))</f>
        <v/>
      </c>
      <c r="G272">
        <f>IF(Pipeline_Sort!$C272="","",INDEX(Pipeline_Calc!$H$2:$H$5251,Pipeline_Sort!$C272))</f>
        <v/>
      </c>
      <c r="H272">
        <f>IF(Pipeline_Sort!$C272="","",INDEX(Pipeline_Calc!$I$2:$I$5251,Pipeline_Sort!$C272))</f>
        <v/>
      </c>
      <c r="I272">
        <f>IF(Pipeline_Sort!$C272="","",INDEX(Pipeline_Calc!$J$2:$J$5251,Pipeline_Sort!$C272))</f>
        <v/>
      </c>
    </row>
    <row r="273">
      <c r="A273" s="22">
        <f>IF(Pipeline_Sort!$C273="","",INDEX(Pipeline_Calc!$B$2:$B$5251,Pipeline_Sort!$C273))</f>
        <v/>
      </c>
      <c r="B273">
        <f>IF(Pipeline_Sort!$C273="","",INDEX(Pipeline_Calc!$C$2:$C$5251,Pipeline_Sort!$C273))</f>
        <v/>
      </c>
      <c r="C273">
        <f>IF(Pipeline_Sort!$C273="","",INDEX(Pipeline_Calc!$D$2:$D$5251,Pipeline_Sort!$C273))</f>
        <v/>
      </c>
      <c r="D273">
        <f>IF(Pipeline_Sort!$C273="","",INDEX(Pipeline_Calc!$E$2:$E$5251,Pipeline_Sort!$C273))</f>
        <v/>
      </c>
      <c r="E273">
        <f>IF(Pipeline_Sort!$C273="","",INDEX(Pipeline_Calc!$F$2:$F$5251,Pipeline_Sort!$C273))</f>
        <v/>
      </c>
      <c r="F273">
        <f>IF(Pipeline_Sort!$C273="","",INDEX(Pipeline_Calc!$G$2:$G$5251,Pipeline_Sort!$C273))</f>
        <v/>
      </c>
      <c r="G273">
        <f>IF(Pipeline_Sort!$C273="","",INDEX(Pipeline_Calc!$H$2:$H$5251,Pipeline_Sort!$C273))</f>
        <v/>
      </c>
      <c r="H273">
        <f>IF(Pipeline_Sort!$C273="","",INDEX(Pipeline_Calc!$I$2:$I$5251,Pipeline_Sort!$C273))</f>
        <v/>
      </c>
      <c r="I273">
        <f>IF(Pipeline_Sort!$C273="","",INDEX(Pipeline_Calc!$J$2:$J$5251,Pipeline_Sort!$C273))</f>
        <v/>
      </c>
    </row>
    <row r="274">
      <c r="A274" s="22">
        <f>IF(Pipeline_Sort!$C274="","",INDEX(Pipeline_Calc!$B$2:$B$5251,Pipeline_Sort!$C274))</f>
        <v/>
      </c>
      <c r="B274">
        <f>IF(Pipeline_Sort!$C274="","",INDEX(Pipeline_Calc!$C$2:$C$5251,Pipeline_Sort!$C274))</f>
        <v/>
      </c>
      <c r="C274">
        <f>IF(Pipeline_Sort!$C274="","",INDEX(Pipeline_Calc!$D$2:$D$5251,Pipeline_Sort!$C274))</f>
        <v/>
      </c>
      <c r="D274">
        <f>IF(Pipeline_Sort!$C274="","",INDEX(Pipeline_Calc!$E$2:$E$5251,Pipeline_Sort!$C274))</f>
        <v/>
      </c>
      <c r="E274">
        <f>IF(Pipeline_Sort!$C274="","",INDEX(Pipeline_Calc!$F$2:$F$5251,Pipeline_Sort!$C274))</f>
        <v/>
      </c>
      <c r="F274">
        <f>IF(Pipeline_Sort!$C274="","",INDEX(Pipeline_Calc!$G$2:$G$5251,Pipeline_Sort!$C274))</f>
        <v/>
      </c>
      <c r="G274">
        <f>IF(Pipeline_Sort!$C274="","",INDEX(Pipeline_Calc!$H$2:$H$5251,Pipeline_Sort!$C274))</f>
        <v/>
      </c>
      <c r="H274">
        <f>IF(Pipeline_Sort!$C274="","",INDEX(Pipeline_Calc!$I$2:$I$5251,Pipeline_Sort!$C274))</f>
        <v/>
      </c>
      <c r="I274">
        <f>IF(Pipeline_Sort!$C274="","",INDEX(Pipeline_Calc!$J$2:$J$5251,Pipeline_Sort!$C274))</f>
        <v/>
      </c>
    </row>
    <row r="275">
      <c r="A275" s="22">
        <f>IF(Pipeline_Sort!$C275="","",INDEX(Pipeline_Calc!$B$2:$B$5251,Pipeline_Sort!$C275))</f>
        <v/>
      </c>
      <c r="B275">
        <f>IF(Pipeline_Sort!$C275="","",INDEX(Pipeline_Calc!$C$2:$C$5251,Pipeline_Sort!$C275))</f>
        <v/>
      </c>
      <c r="C275">
        <f>IF(Pipeline_Sort!$C275="","",INDEX(Pipeline_Calc!$D$2:$D$5251,Pipeline_Sort!$C275))</f>
        <v/>
      </c>
      <c r="D275">
        <f>IF(Pipeline_Sort!$C275="","",INDEX(Pipeline_Calc!$E$2:$E$5251,Pipeline_Sort!$C275))</f>
        <v/>
      </c>
      <c r="E275">
        <f>IF(Pipeline_Sort!$C275="","",INDEX(Pipeline_Calc!$F$2:$F$5251,Pipeline_Sort!$C275))</f>
        <v/>
      </c>
      <c r="F275">
        <f>IF(Pipeline_Sort!$C275="","",INDEX(Pipeline_Calc!$G$2:$G$5251,Pipeline_Sort!$C275))</f>
        <v/>
      </c>
      <c r="G275">
        <f>IF(Pipeline_Sort!$C275="","",INDEX(Pipeline_Calc!$H$2:$H$5251,Pipeline_Sort!$C275))</f>
        <v/>
      </c>
      <c r="H275">
        <f>IF(Pipeline_Sort!$C275="","",INDEX(Pipeline_Calc!$I$2:$I$5251,Pipeline_Sort!$C275))</f>
        <v/>
      </c>
      <c r="I275">
        <f>IF(Pipeline_Sort!$C275="","",INDEX(Pipeline_Calc!$J$2:$J$5251,Pipeline_Sort!$C275))</f>
        <v/>
      </c>
    </row>
    <row r="276">
      <c r="A276" s="22">
        <f>IF(Pipeline_Sort!$C276="","",INDEX(Pipeline_Calc!$B$2:$B$5251,Pipeline_Sort!$C276))</f>
        <v/>
      </c>
      <c r="B276">
        <f>IF(Pipeline_Sort!$C276="","",INDEX(Pipeline_Calc!$C$2:$C$5251,Pipeline_Sort!$C276))</f>
        <v/>
      </c>
      <c r="C276">
        <f>IF(Pipeline_Sort!$C276="","",INDEX(Pipeline_Calc!$D$2:$D$5251,Pipeline_Sort!$C276))</f>
        <v/>
      </c>
      <c r="D276">
        <f>IF(Pipeline_Sort!$C276="","",INDEX(Pipeline_Calc!$E$2:$E$5251,Pipeline_Sort!$C276))</f>
        <v/>
      </c>
      <c r="E276">
        <f>IF(Pipeline_Sort!$C276="","",INDEX(Pipeline_Calc!$F$2:$F$5251,Pipeline_Sort!$C276))</f>
        <v/>
      </c>
      <c r="F276">
        <f>IF(Pipeline_Sort!$C276="","",INDEX(Pipeline_Calc!$G$2:$G$5251,Pipeline_Sort!$C276))</f>
        <v/>
      </c>
      <c r="G276">
        <f>IF(Pipeline_Sort!$C276="","",INDEX(Pipeline_Calc!$H$2:$H$5251,Pipeline_Sort!$C276))</f>
        <v/>
      </c>
      <c r="H276">
        <f>IF(Pipeline_Sort!$C276="","",INDEX(Pipeline_Calc!$I$2:$I$5251,Pipeline_Sort!$C276))</f>
        <v/>
      </c>
      <c r="I276">
        <f>IF(Pipeline_Sort!$C276="","",INDEX(Pipeline_Calc!$J$2:$J$5251,Pipeline_Sort!$C276))</f>
        <v/>
      </c>
    </row>
    <row r="277">
      <c r="A277" s="22">
        <f>IF(Pipeline_Sort!$C277="","",INDEX(Pipeline_Calc!$B$2:$B$5251,Pipeline_Sort!$C277))</f>
        <v/>
      </c>
      <c r="B277">
        <f>IF(Pipeline_Sort!$C277="","",INDEX(Pipeline_Calc!$C$2:$C$5251,Pipeline_Sort!$C277))</f>
        <v/>
      </c>
      <c r="C277">
        <f>IF(Pipeline_Sort!$C277="","",INDEX(Pipeline_Calc!$D$2:$D$5251,Pipeline_Sort!$C277))</f>
        <v/>
      </c>
      <c r="D277">
        <f>IF(Pipeline_Sort!$C277="","",INDEX(Pipeline_Calc!$E$2:$E$5251,Pipeline_Sort!$C277))</f>
        <v/>
      </c>
      <c r="E277">
        <f>IF(Pipeline_Sort!$C277="","",INDEX(Pipeline_Calc!$F$2:$F$5251,Pipeline_Sort!$C277))</f>
        <v/>
      </c>
      <c r="F277">
        <f>IF(Pipeline_Sort!$C277="","",INDEX(Pipeline_Calc!$G$2:$G$5251,Pipeline_Sort!$C277))</f>
        <v/>
      </c>
      <c r="G277">
        <f>IF(Pipeline_Sort!$C277="","",INDEX(Pipeline_Calc!$H$2:$H$5251,Pipeline_Sort!$C277))</f>
        <v/>
      </c>
      <c r="H277">
        <f>IF(Pipeline_Sort!$C277="","",INDEX(Pipeline_Calc!$I$2:$I$5251,Pipeline_Sort!$C277))</f>
        <v/>
      </c>
      <c r="I277">
        <f>IF(Pipeline_Sort!$C277="","",INDEX(Pipeline_Calc!$J$2:$J$5251,Pipeline_Sort!$C277))</f>
        <v/>
      </c>
    </row>
    <row r="278">
      <c r="A278" s="22">
        <f>IF(Pipeline_Sort!$C278="","",INDEX(Pipeline_Calc!$B$2:$B$5251,Pipeline_Sort!$C278))</f>
        <v/>
      </c>
      <c r="B278">
        <f>IF(Pipeline_Sort!$C278="","",INDEX(Pipeline_Calc!$C$2:$C$5251,Pipeline_Sort!$C278))</f>
        <v/>
      </c>
      <c r="C278">
        <f>IF(Pipeline_Sort!$C278="","",INDEX(Pipeline_Calc!$D$2:$D$5251,Pipeline_Sort!$C278))</f>
        <v/>
      </c>
      <c r="D278">
        <f>IF(Pipeline_Sort!$C278="","",INDEX(Pipeline_Calc!$E$2:$E$5251,Pipeline_Sort!$C278))</f>
        <v/>
      </c>
      <c r="E278">
        <f>IF(Pipeline_Sort!$C278="","",INDEX(Pipeline_Calc!$F$2:$F$5251,Pipeline_Sort!$C278))</f>
        <v/>
      </c>
      <c r="F278">
        <f>IF(Pipeline_Sort!$C278="","",INDEX(Pipeline_Calc!$G$2:$G$5251,Pipeline_Sort!$C278))</f>
        <v/>
      </c>
      <c r="G278">
        <f>IF(Pipeline_Sort!$C278="","",INDEX(Pipeline_Calc!$H$2:$H$5251,Pipeline_Sort!$C278))</f>
        <v/>
      </c>
      <c r="H278">
        <f>IF(Pipeline_Sort!$C278="","",INDEX(Pipeline_Calc!$I$2:$I$5251,Pipeline_Sort!$C278))</f>
        <v/>
      </c>
      <c r="I278">
        <f>IF(Pipeline_Sort!$C278="","",INDEX(Pipeline_Calc!$J$2:$J$5251,Pipeline_Sort!$C278))</f>
        <v/>
      </c>
    </row>
    <row r="279">
      <c r="A279" s="22">
        <f>IF(Pipeline_Sort!$C279="","",INDEX(Pipeline_Calc!$B$2:$B$5251,Pipeline_Sort!$C279))</f>
        <v/>
      </c>
      <c r="B279">
        <f>IF(Pipeline_Sort!$C279="","",INDEX(Pipeline_Calc!$C$2:$C$5251,Pipeline_Sort!$C279))</f>
        <v/>
      </c>
      <c r="C279">
        <f>IF(Pipeline_Sort!$C279="","",INDEX(Pipeline_Calc!$D$2:$D$5251,Pipeline_Sort!$C279))</f>
        <v/>
      </c>
      <c r="D279">
        <f>IF(Pipeline_Sort!$C279="","",INDEX(Pipeline_Calc!$E$2:$E$5251,Pipeline_Sort!$C279))</f>
        <v/>
      </c>
      <c r="E279">
        <f>IF(Pipeline_Sort!$C279="","",INDEX(Pipeline_Calc!$F$2:$F$5251,Pipeline_Sort!$C279))</f>
        <v/>
      </c>
      <c r="F279">
        <f>IF(Pipeline_Sort!$C279="","",INDEX(Pipeline_Calc!$G$2:$G$5251,Pipeline_Sort!$C279))</f>
        <v/>
      </c>
      <c r="G279">
        <f>IF(Pipeline_Sort!$C279="","",INDEX(Pipeline_Calc!$H$2:$H$5251,Pipeline_Sort!$C279))</f>
        <v/>
      </c>
      <c r="H279">
        <f>IF(Pipeline_Sort!$C279="","",INDEX(Pipeline_Calc!$I$2:$I$5251,Pipeline_Sort!$C279))</f>
        <v/>
      </c>
      <c r="I279">
        <f>IF(Pipeline_Sort!$C279="","",INDEX(Pipeline_Calc!$J$2:$J$5251,Pipeline_Sort!$C279))</f>
        <v/>
      </c>
    </row>
    <row r="280">
      <c r="A280" s="22">
        <f>IF(Pipeline_Sort!$C280="","",INDEX(Pipeline_Calc!$B$2:$B$5251,Pipeline_Sort!$C280))</f>
        <v/>
      </c>
      <c r="B280">
        <f>IF(Pipeline_Sort!$C280="","",INDEX(Pipeline_Calc!$C$2:$C$5251,Pipeline_Sort!$C280))</f>
        <v/>
      </c>
      <c r="C280">
        <f>IF(Pipeline_Sort!$C280="","",INDEX(Pipeline_Calc!$D$2:$D$5251,Pipeline_Sort!$C280))</f>
        <v/>
      </c>
      <c r="D280">
        <f>IF(Pipeline_Sort!$C280="","",INDEX(Pipeline_Calc!$E$2:$E$5251,Pipeline_Sort!$C280))</f>
        <v/>
      </c>
      <c r="E280">
        <f>IF(Pipeline_Sort!$C280="","",INDEX(Pipeline_Calc!$F$2:$F$5251,Pipeline_Sort!$C280))</f>
        <v/>
      </c>
      <c r="F280">
        <f>IF(Pipeline_Sort!$C280="","",INDEX(Pipeline_Calc!$G$2:$G$5251,Pipeline_Sort!$C280))</f>
        <v/>
      </c>
      <c r="G280">
        <f>IF(Pipeline_Sort!$C280="","",INDEX(Pipeline_Calc!$H$2:$H$5251,Pipeline_Sort!$C280))</f>
        <v/>
      </c>
      <c r="H280">
        <f>IF(Pipeline_Sort!$C280="","",INDEX(Pipeline_Calc!$I$2:$I$5251,Pipeline_Sort!$C280))</f>
        <v/>
      </c>
      <c r="I280">
        <f>IF(Pipeline_Sort!$C280="","",INDEX(Pipeline_Calc!$J$2:$J$5251,Pipeline_Sort!$C280))</f>
        <v/>
      </c>
    </row>
    <row r="281">
      <c r="A281" s="22">
        <f>IF(Pipeline_Sort!$C281="","",INDEX(Pipeline_Calc!$B$2:$B$5251,Pipeline_Sort!$C281))</f>
        <v/>
      </c>
      <c r="B281">
        <f>IF(Pipeline_Sort!$C281="","",INDEX(Pipeline_Calc!$C$2:$C$5251,Pipeline_Sort!$C281))</f>
        <v/>
      </c>
      <c r="C281">
        <f>IF(Pipeline_Sort!$C281="","",INDEX(Pipeline_Calc!$D$2:$D$5251,Pipeline_Sort!$C281))</f>
        <v/>
      </c>
      <c r="D281">
        <f>IF(Pipeline_Sort!$C281="","",INDEX(Pipeline_Calc!$E$2:$E$5251,Pipeline_Sort!$C281))</f>
        <v/>
      </c>
      <c r="E281">
        <f>IF(Pipeline_Sort!$C281="","",INDEX(Pipeline_Calc!$F$2:$F$5251,Pipeline_Sort!$C281))</f>
        <v/>
      </c>
      <c r="F281">
        <f>IF(Pipeline_Sort!$C281="","",INDEX(Pipeline_Calc!$G$2:$G$5251,Pipeline_Sort!$C281))</f>
        <v/>
      </c>
      <c r="G281">
        <f>IF(Pipeline_Sort!$C281="","",INDEX(Pipeline_Calc!$H$2:$H$5251,Pipeline_Sort!$C281))</f>
        <v/>
      </c>
      <c r="H281">
        <f>IF(Pipeline_Sort!$C281="","",INDEX(Pipeline_Calc!$I$2:$I$5251,Pipeline_Sort!$C281))</f>
        <v/>
      </c>
      <c r="I281">
        <f>IF(Pipeline_Sort!$C281="","",INDEX(Pipeline_Calc!$J$2:$J$5251,Pipeline_Sort!$C281))</f>
        <v/>
      </c>
    </row>
    <row r="282">
      <c r="A282" s="22">
        <f>IF(Pipeline_Sort!$C282="","",INDEX(Pipeline_Calc!$B$2:$B$5251,Pipeline_Sort!$C282))</f>
        <v/>
      </c>
      <c r="B282">
        <f>IF(Pipeline_Sort!$C282="","",INDEX(Pipeline_Calc!$C$2:$C$5251,Pipeline_Sort!$C282))</f>
        <v/>
      </c>
      <c r="C282">
        <f>IF(Pipeline_Sort!$C282="","",INDEX(Pipeline_Calc!$D$2:$D$5251,Pipeline_Sort!$C282))</f>
        <v/>
      </c>
      <c r="D282">
        <f>IF(Pipeline_Sort!$C282="","",INDEX(Pipeline_Calc!$E$2:$E$5251,Pipeline_Sort!$C282))</f>
        <v/>
      </c>
      <c r="E282">
        <f>IF(Pipeline_Sort!$C282="","",INDEX(Pipeline_Calc!$F$2:$F$5251,Pipeline_Sort!$C282))</f>
        <v/>
      </c>
      <c r="F282">
        <f>IF(Pipeline_Sort!$C282="","",INDEX(Pipeline_Calc!$G$2:$G$5251,Pipeline_Sort!$C282))</f>
        <v/>
      </c>
      <c r="G282">
        <f>IF(Pipeline_Sort!$C282="","",INDEX(Pipeline_Calc!$H$2:$H$5251,Pipeline_Sort!$C282))</f>
        <v/>
      </c>
      <c r="H282">
        <f>IF(Pipeline_Sort!$C282="","",INDEX(Pipeline_Calc!$I$2:$I$5251,Pipeline_Sort!$C282))</f>
        <v/>
      </c>
      <c r="I282">
        <f>IF(Pipeline_Sort!$C282="","",INDEX(Pipeline_Calc!$J$2:$J$5251,Pipeline_Sort!$C282))</f>
        <v/>
      </c>
    </row>
    <row r="283">
      <c r="A283" s="22">
        <f>IF(Pipeline_Sort!$C283="","",INDEX(Pipeline_Calc!$B$2:$B$5251,Pipeline_Sort!$C283))</f>
        <v/>
      </c>
      <c r="B283">
        <f>IF(Pipeline_Sort!$C283="","",INDEX(Pipeline_Calc!$C$2:$C$5251,Pipeline_Sort!$C283))</f>
        <v/>
      </c>
      <c r="C283">
        <f>IF(Pipeline_Sort!$C283="","",INDEX(Pipeline_Calc!$D$2:$D$5251,Pipeline_Sort!$C283))</f>
        <v/>
      </c>
      <c r="D283">
        <f>IF(Pipeline_Sort!$C283="","",INDEX(Pipeline_Calc!$E$2:$E$5251,Pipeline_Sort!$C283))</f>
        <v/>
      </c>
      <c r="E283">
        <f>IF(Pipeline_Sort!$C283="","",INDEX(Pipeline_Calc!$F$2:$F$5251,Pipeline_Sort!$C283))</f>
        <v/>
      </c>
      <c r="F283">
        <f>IF(Pipeline_Sort!$C283="","",INDEX(Pipeline_Calc!$G$2:$G$5251,Pipeline_Sort!$C283))</f>
        <v/>
      </c>
      <c r="G283">
        <f>IF(Pipeline_Sort!$C283="","",INDEX(Pipeline_Calc!$H$2:$H$5251,Pipeline_Sort!$C283))</f>
        <v/>
      </c>
      <c r="H283">
        <f>IF(Pipeline_Sort!$C283="","",INDEX(Pipeline_Calc!$I$2:$I$5251,Pipeline_Sort!$C283))</f>
        <v/>
      </c>
      <c r="I283">
        <f>IF(Pipeline_Sort!$C283="","",INDEX(Pipeline_Calc!$J$2:$J$5251,Pipeline_Sort!$C283))</f>
        <v/>
      </c>
    </row>
    <row r="284">
      <c r="A284" s="22">
        <f>IF(Pipeline_Sort!$C284="","",INDEX(Pipeline_Calc!$B$2:$B$5251,Pipeline_Sort!$C284))</f>
        <v/>
      </c>
      <c r="B284">
        <f>IF(Pipeline_Sort!$C284="","",INDEX(Pipeline_Calc!$C$2:$C$5251,Pipeline_Sort!$C284))</f>
        <v/>
      </c>
      <c r="C284">
        <f>IF(Pipeline_Sort!$C284="","",INDEX(Pipeline_Calc!$D$2:$D$5251,Pipeline_Sort!$C284))</f>
        <v/>
      </c>
      <c r="D284">
        <f>IF(Pipeline_Sort!$C284="","",INDEX(Pipeline_Calc!$E$2:$E$5251,Pipeline_Sort!$C284))</f>
        <v/>
      </c>
      <c r="E284">
        <f>IF(Pipeline_Sort!$C284="","",INDEX(Pipeline_Calc!$F$2:$F$5251,Pipeline_Sort!$C284))</f>
        <v/>
      </c>
      <c r="F284">
        <f>IF(Pipeline_Sort!$C284="","",INDEX(Pipeline_Calc!$G$2:$G$5251,Pipeline_Sort!$C284))</f>
        <v/>
      </c>
      <c r="G284">
        <f>IF(Pipeline_Sort!$C284="","",INDEX(Pipeline_Calc!$H$2:$H$5251,Pipeline_Sort!$C284))</f>
        <v/>
      </c>
      <c r="H284">
        <f>IF(Pipeline_Sort!$C284="","",INDEX(Pipeline_Calc!$I$2:$I$5251,Pipeline_Sort!$C284))</f>
        <v/>
      </c>
      <c r="I284">
        <f>IF(Pipeline_Sort!$C284="","",INDEX(Pipeline_Calc!$J$2:$J$5251,Pipeline_Sort!$C284))</f>
        <v/>
      </c>
    </row>
    <row r="285">
      <c r="A285" s="22">
        <f>IF(Pipeline_Sort!$C285="","",INDEX(Pipeline_Calc!$B$2:$B$5251,Pipeline_Sort!$C285))</f>
        <v/>
      </c>
      <c r="B285">
        <f>IF(Pipeline_Sort!$C285="","",INDEX(Pipeline_Calc!$C$2:$C$5251,Pipeline_Sort!$C285))</f>
        <v/>
      </c>
      <c r="C285">
        <f>IF(Pipeline_Sort!$C285="","",INDEX(Pipeline_Calc!$D$2:$D$5251,Pipeline_Sort!$C285))</f>
        <v/>
      </c>
      <c r="D285">
        <f>IF(Pipeline_Sort!$C285="","",INDEX(Pipeline_Calc!$E$2:$E$5251,Pipeline_Sort!$C285))</f>
        <v/>
      </c>
      <c r="E285">
        <f>IF(Pipeline_Sort!$C285="","",INDEX(Pipeline_Calc!$F$2:$F$5251,Pipeline_Sort!$C285))</f>
        <v/>
      </c>
      <c r="F285">
        <f>IF(Pipeline_Sort!$C285="","",INDEX(Pipeline_Calc!$G$2:$G$5251,Pipeline_Sort!$C285))</f>
        <v/>
      </c>
      <c r="G285">
        <f>IF(Pipeline_Sort!$C285="","",INDEX(Pipeline_Calc!$H$2:$H$5251,Pipeline_Sort!$C285))</f>
        <v/>
      </c>
      <c r="H285">
        <f>IF(Pipeline_Sort!$C285="","",INDEX(Pipeline_Calc!$I$2:$I$5251,Pipeline_Sort!$C285))</f>
        <v/>
      </c>
      <c r="I285">
        <f>IF(Pipeline_Sort!$C285="","",INDEX(Pipeline_Calc!$J$2:$J$5251,Pipeline_Sort!$C285))</f>
        <v/>
      </c>
    </row>
    <row r="286">
      <c r="A286" s="22">
        <f>IF(Pipeline_Sort!$C286="","",INDEX(Pipeline_Calc!$B$2:$B$5251,Pipeline_Sort!$C286))</f>
        <v/>
      </c>
      <c r="B286">
        <f>IF(Pipeline_Sort!$C286="","",INDEX(Pipeline_Calc!$C$2:$C$5251,Pipeline_Sort!$C286))</f>
        <v/>
      </c>
      <c r="C286">
        <f>IF(Pipeline_Sort!$C286="","",INDEX(Pipeline_Calc!$D$2:$D$5251,Pipeline_Sort!$C286))</f>
        <v/>
      </c>
      <c r="D286">
        <f>IF(Pipeline_Sort!$C286="","",INDEX(Pipeline_Calc!$E$2:$E$5251,Pipeline_Sort!$C286))</f>
        <v/>
      </c>
      <c r="E286">
        <f>IF(Pipeline_Sort!$C286="","",INDEX(Pipeline_Calc!$F$2:$F$5251,Pipeline_Sort!$C286))</f>
        <v/>
      </c>
      <c r="F286">
        <f>IF(Pipeline_Sort!$C286="","",INDEX(Pipeline_Calc!$G$2:$G$5251,Pipeline_Sort!$C286))</f>
        <v/>
      </c>
      <c r="G286">
        <f>IF(Pipeline_Sort!$C286="","",INDEX(Pipeline_Calc!$H$2:$H$5251,Pipeline_Sort!$C286))</f>
        <v/>
      </c>
      <c r="H286">
        <f>IF(Pipeline_Sort!$C286="","",INDEX(Pipeline_Calc!$I$2:$I$5251,Pipeline_Sort!$C286))</f>
        <v/>
      </c>
      <c r="I286">
        <f>IF(Pipeline_Sort!$C286="","",INDEX(Pipeline_Calc!$J$2:$J$5251,Pipeline_Sort!$C286))</f>
        <v/>
      </c>
    </row>
    <row r="287">
      <c r="A287" s="22">
        <f>IF(Pipeline_Sort!$C287="","",INDEX(Pipeline_Calc!$B$2:$B$5251,Pipeline_Sort!$C287))</f>
        <v/>
      </c>
      <c r="B287">
        <f>IF(Pipeline_Sort!$C287="","",INDEX(Pipeline_Calc!$C$2:$C$5251,Pipeline_Sort!$C287))</f>
        <v/>
      </c>
      <c r="C287">
        <f>IF(Pipeline_Sort!$C287="","",INDEX(Pipeline_Calc!$D$2:$D$5251,Pipeline_Sort!$C287))</f>
        <v/>
      </c>
      <c r="D287">
        <f>IF(Pipeline_Sort!$C287="","",INDEX(Pipeline_Calc!$E$2:$E$5251,Pipeline_Sort!$C287))</f>
        <v/>
      </c>
      <c r="E287">
        <f>IF(Pipeline_Sort!$C287="","",INDEX(Pipeline_Calc!$F$2:$F$5251,Pipeline_Sort!$C287))</f>
        <v/>
      </c>
      <c r="F287">
        <f>IF(Pipeline_Sort!$C287="","",INDEX(Pipeline_Calc!$G$2:$G$5251,Pipeline_Sort!$C287))</f>
        <v/>
      </c>
      <c r="G287">
        <f>IF(Pipeline_Sort!$C287="","",INDEX(Pipeline_Calc!$H$2:$H$5251,Pipeline_Sort!$C287))</f>
        <v/>
      </c>
      <c r="H287">
        <f>IF(Pipeline_Sort!$C287="","",INDEX(Pipeline_Calc!$I$2:$I$5251,Pipeline_Sort!$C287))</f>
        <v/>
      </c>
      <c r="I287">
        <f>IF(Pipeline_Sort!$C287="","",INDEX(Pipeline_Calc!$J$2:$J$5251,Pipeline_Sort!$C287))</f>
        <v/>
      </c>
    </row>
    <row r="288">
      <c r="A288" s="22">
        <f>IF(Pipeline_Sort!$C288="","",INDEX(Pipeline_Calc!$B$2:$B$5251,Pipeline_Sort!$C288))</f>
        <v/>
      </c>
      <c r="B288">
        <f>IF(Pipeline_Sort!$C288="","",INDEX(Pipeline_Calc!$C$2:$C$5251,Pipeline_Sort!$C288))</f>
        <v/>
      </c>
      <c r="C288">
        <f>IF(Pipeline_Sort!$C288="","",INDEX(Pipeline_Calc!$D$2:$D$5251,Pipeline_Sort!$C288))</f>
        <v/>
      </c>
      <c r="D288">
        <f>IF(Pipeline_Sort!$C288="","",INDEX(Pipeline_Calc!$E$2:$E$5251,Pipeline_Sort!$C288))</f>
        <v/>
      </c>
      <c r="E288">
        <f>IF(Pipeline_Sort!$C288="","",INDEX(Pipeline_Calc!$F$2:$F$5251,Pipeline_Sort!$C288))</f>
        <v/>
      </c>
      <c r="F288">
        <f>IF(Pipeline_Sort!$C288="","",INDEX(Pipeline_Calc!$G$2:$G$5251,Pipeline_Sort!$C288))</f>
        <v/>
      </c>
      <c r="G288">
        <f>IF(Pipeline_Sort!$C288="","",INDEX(Pipeline_Calc!$H$2:$H$5251,Pipeline_Sort!$C288))</f>
        <v/>
      </c>
      <c r="H288">
        <f>IF(Pipeline_Sort!$C288="","",INDEX(Pipeline_Calc!$I$2:$I$5251,Pipeline_Sort!$C288))</f>
        <v/>
      </c>
      <c r="I288">
        <f>IF(Pipeline_Sort!$C288="","",INDEX(Pipeline_Calc!$J$2:$J$5251,Pipeline_Sort!$C288))</f>
        <v/>
      </c>
    </row>
    <row r="289">
      <c r="A289" s="22">
        <f>IF(Pipeline_Sort!$C289="","",INDEX(Pipeline_Calc!$B$2:$B$5251,Pipeline_Sort!$C289))</f>
        <v/>
      </c>
      <c r="B289">
        <f>IF(Pipeline_Sort!$C289="","",INDEX(Pipeline_Calc!$C$2:$C$5251,Pipeline_Sort!$C289))</f>
        <v/>
      </c>
      <c r="C289">
        <f>IF(Pipeline_Sort!$C289="","",INDEX(Pipeline_Calc!$D$2:$D$5251,Pipeline_Sort!$C289))</f>
        <v/>
      </c>
      <c r="D289">
        <f>IF(Pipeline_Sort!$C289="","",INDEX(Pipeline_Calc!$E$2:$E$5251,Pipeline_Sort!$C289))</f>
        <v/>
      </c>
      <c r="E289">
        <f>IF(Pipeline_Sort!$C289="","",INDEX(Pipeline_Calc!$F$2:$F$5251,Pipeline_Sort!$C289))</f>
        <v/>
      </c>
      <c r="F289">
        <f>IF(Pipeline_Sort!$C289="","",INDEX(Pipeline_Calc!$G$2:$G$5251,Pipeline_Sort!$C289))</f>
        <v/>
      </c>
      <c r="G289">
        <f>IF(Pipeline_Sort!$C289="","",INDEX(Pipeline_Calc!$H$2:$H$5251,Pipeline_Sort!$C289))</f>
        <v/>
      </c>
      <c r="H289">
        <f>IF(Pipeline_Sort!$C289="","",INDEX(Pipeline_Calc!$I$2:$I$5251,Pipeline_Sort!$C289))</f>
        <v/>
      </c>
      <c r="I289">
        <f>IF(Pipeline_Sort!$C289="","",INDEX(Pipeline_Calc!$J$2:$J$5251,Pipeline_Sort!$C289))</f>
        <v/>
      </c>
    </row>
    <row r="290">
      <c r="A290" s="22">
        <f>IF(Pipeline_Sort!$C290="","",INDEX(Pipeline_Calc!$B$2:$B$5251,Pipeline_Sort!$C290))</f>
        <v/>
      </c>
      <c r="B290">
        <f>IF(Pipeline_Sort!$C290="","",INDEX(Pipeline_Calc!$C$2:$C$5251,Pipeline_Sort!$C290))</f>
        <v/>
      </c>
      <c r="C290">
        <f>IF(Pipeline_Sort!$C290="","",INDEX(Pipeline_Calc!$D$2:$D$5251,Pipeline_Sort!$C290))</f>
        <v/>
      </c>
      <c r="D290">
        <f>IF(Pipeline_Sort!$C290="","",INDEX(Pipeline_Calc!$E$2:$E$5251,Pipeline_Sort!$C290))</f>
        <v/>
      </c>
      <c r="E290">
        <f>IF(Pipeline_Sort!$C290="","",INDEX(Pipeline_Calc!$F$2:$F$5251,Pipeline_Sort!$C290))</f>
        <v/>
      </c>
      <c r="F290">
        <f>IF(Pipeline_Sort!$C290="","",INDEX(Pipeline_Calc!$G$2:$G$5251,Pipeline_Sort!$C290))</f>
        <v/>
      </c>
      <c r="G290">
        <f>IF(Pipeline_Sort!$C290="","",INDEX(Pipeline_Calc!$H$2:$H$5251,Pipeline_Sort!$C290))</f>
        <v/>
      </c>
      <c r="H290">
        <f>IF(Pipeline_Sort!$C290="","",INDEX(Pipeline_Calc!$I$2:$I$5251,Pipeline_Sort!$C290))</f>
        <v/>
      </c>
      <c r="I290">
        <f>IF(Pipeline_Sort!$C290="","",INDEX(Pipeline_Calc!$J$2:$J$5251,Pipeline_Sort!$C290))</f>
        <v/>
      </c>
    </row>
    <row r="291">
      <c r="A291" s="22">
        <f>IF(Pipeline_Sort!$C291="","",INDEX(Pipeline_Calc!$B$2:$B$5251,Pipeline_Sort!$C291))</f>
        <v/>
      </c>
      <c r="B291">
        <f>IF(Pipeline_Sort!$C291="","",INDEX(Pipeline_Calc!$C$2:$C$5251,Pipeline_Sort!$C291))</f>
        <v/>
      </c>
      <c r="C291">
        <f>IF(Pipeline_Sort!$C291="","",INDEX(Pipeline_Calc!$D$2:$D$5251,Pipeline_Sort!$C291))</f>
        <v/>
      </c>
      <c r="D291">
        <f>IF(Pipeline_Sort!$C291="","",INDEX(Pipeline_Calc!$E$2:$E$5251,Pipeline_Sort!$C291))</f>
        <v/>
      </c>
      <c r="E291">
        <f>IF(Pipeline_Sort!$C291="","",INDEX(Pipeline_Calc!$F$2:$F$5251,Pipeline_Sort!$C291))</f>
        <v/>
      </c>
      <c r="F291">
        <f>IF(Pipeline_Sort!$C291="","",INDEX(Pipeline_Calc!$G$2:$G$5251,Pipeline_Sort!$C291))</f>
        <v/>
      </c>
      <c r="G291">
        <f>IF(Pipeline_Sort!$C291="","",INDEX(Pipeline_Calc!$H$2:$H$5251,Pipeline_Sort!$C291))</f>
        <v/>
      </c>
      <c r="H291">
        <f>IF(Pipeline_Sort!$C291="","",INDEX(Pipeline_Calc!$I$2:$I$5251,Pipeline_Sort!$C291))</f>
        <v/>
      </c>
      <c r="I291">
        <f>IF(Pipeline_Sort!$C291="","",INDEX(Pipeline_Calc!$J$2:$J$5251,Pipeline_Sort!$C291))</f>
        <v/>
      </c>
    </row>
    <row r="292">
      <c r="A292" s="22">
        <f>IF(Pipeline_Sort!$C292="","",INDEX(Pipeline_Calc!$B$2:$B$5251,Pipeline_Sort!$C292))</f>
        <v/>
      </c>
      <c r="B292">
        <f>IF(Pipeline_Sort!$C292="","",INDEX(Pipeline_Calc!$C$2:$C$5251,Pipeline_Sort!$C292))</f>
        <v/>
      </c>
      <c r="C292">
        <f>IF(Pipeline_Sort!$C292="","",INDEX(Pipeline_Calc!$D$2:$D$5251,Pipeline_Sort!$C292))</f>
        <v/>
      </c>
      <c r="D292">
        <f>IF(Pipeline_Sort!$C292="","",INDEX(Pipeline_Calc!$E$2:$E$5251,Pipeline_Sort!$C292))</f>
        <v/>
      </c>
      <c r="E292">
        <f>IF(Pipeline_Sort!$C292="","",INDEX(Pipeline_Calc!$F$2:$F$5251,Pipeline_Sort!$C292))</f>
        <v/>
      </c>
      <c r="F292">
        <f>IF(Pipeline_Sort!$C292="","",INDEX(Pipeline_Calc!$G$2:$G$5251,Pipeline_Sort!$C292))</f>
        <v/>
      </c>
      <c r="G292">
        <f>IF(Pipeline_Sort!$C292="","",INDEX(Pipeline_Calc!$H$2:$H$5251,Pipeline_Sort!$C292))</f>
        <v/>
      </c>
      <c r="H292">
        <f>IF(Pipeline_Sort!$C292="","",INDEX(Pipeline_Calc!$I$2:$I$5251,Pipeline_Sort!$C292))</f>
        <v/>
      </c>
      <c r="I292">
        <f>IF(Pipeline_Sort!$C292="","",INDEX(Pipeline_Calc!$J$2:$J$5251,Pipeline_Sort!$C292))</f>
        <v/>
      </c>
    </row>
    <row r="293">
      <c r="A293" s="22">
        <f>IF(Pipeline_Sort!$C293="","",INDEX(Pipeline_Calc!$B$2:$B$5251,Pipeline_Sort!$C293))</f>
        <v/>
      </c>
      <c r="B293">
        <f>IF(Pipeline_Sort!$C293="","",INDEX(Pipeline_Calc!$C$2:$C$5251,Pipeline_Sort!$C293))</f>
        <v/>
      </c>
      <c r="C293">
        <f>IF(Pipeline_Sort!$C293="","",INDEX(Pipeline_Calc!$D$2:$D$5251,Pipeline_Sort!$C293))</f>
        <v/>
      </c>
      <c r="D293">
        <f>IF(Pipeline_Sort!$C293="","",INDEX(Pipeline_Calc!$E$2:$E$5251,Pipeline_Sort!$C293))</f>
        <v/>
      </c>
      <c r="E293">
        <f>IF(Pipeline_Sort!$C293="","",INDEX(Pipeline_Calc!$F$2:$F$5251,Pipeline_Sort!$C293))</f>
        <v/>
      </c>
      <c r="F293">
        <f>IF(Pipeline_Sort!$C293="","",INDEX(Pipeline_Calc!$G$2:$G$5251,Pipeline_Sort!$C293))</f>
        <v/>
      </c>
      <c r="G293">
        <f>IF(Pipeline_Sort!$C293="","",INDEX(Pipeline_Calc!$H$2:$H$5251,Pipeline_Sort!$C293))</f>
        <v/>
      </c>
      <c r="H293">
        <f>IF(Pipeline_Sort!$C293="","",INDEX(Pipeline_Calc!$I$2:$I$5251,Pipeline_Sort!$C293))</f>
        <v/>
      </c>
      <c r="I293">
        <f>IF(Pipeline_Sort!$C293="","",INDEX(Pipeline_Calc!$J$2:$J$5251,Pipeline_Sort!$C293))</f>
        <v/>
      </c>
    </row>
    <row r="294">
      <c r="A294" s="22">
        <f>IF(Pipeline_Sort!$C294="","",INDEX(Pipeline_Calc!$B$2:$B$5251,Pipeline_Sort!$C294))</f>
        <v/>
      </c>
      <c r="B294">
        <f>IF(Pipeline_Sort!$C294="","",INDEX(Pipeline_Calc!$C$2:$C$5251,Pipeline_Sort!$C294))</f>
        <v/>
      </c>
      <c r="C294">
        <f>IF(Pipeline_Sort!$C294="","",INDEX(Pipeline_Calc!$D$2:$D$5251,Pipeline_Sort!$C294))</f>
        <v/>
      </c>
      <c r="D294">
        <f>IF(Pipeline_Sort!$C294="","",INDEX(Pipeline_Calc!$E$2:$E$5251,Pipeline_Sort!$C294))</f>
        <v/>
      </c>
      <c r="E294">
        <f>IF(Pipeline_Sort!$C294="","",INDEX(Pipeline_Calc!$F$2:$F$5251,Pipeline_Sort!$C294))</f>
        <v/>
      </c>
      <c r="F294">
        <f>IF(Pipeline_Sort!$C294="","",INDEX(Pipeline_Calc!$G$2:$G$5251,Pipeline_Sort!$C294))</f>
        <v/>
      </c>
      <c r="G294">
        <f>IF(Pipeline_Sort!$C294="","",INDEX(Pipeline_Calc!$H$2:$H$5251,Pipeline_Sort!$C294))</f>
        <v/>
      </c>
      <c r="H294">
        <f>IF(Pipeline_Sort!$C294="","",INDEX(Pipeline_Calc!$I$2:$I$5251,Pipeline_Sort!$C294))</f>
        <v/>
      </c>
      <c r="I294">
        <f>IF(Pipeline_Sort!$C294="","",INDEX(Pipeline_Calc!$J$2:$J$5251,Pipeline_Sort!$C294))</f>
        <v/>
      </c>
    </row>
    <row r="295">
      <c r="A295" s="22">
        <f>IF(Pipeline_Sort!$C295="","",INDEX(Pipeline_Calc!$B$2:$B$5251,Pipeline_Sort!$C295))</f>
        <v/>
      </c>
      <c r="B295">
        <f>IF(Pipeline_Sort!$C295="","",INDEX(Pipeline_Calc!$C$2:$C$5251,Pipeline_Sort!$C295))</f>
        <v/>
      </c>
      <c r="C295">
        <f>IF(Pipeline_Sort!$C295="","",INDEX(Pipeline_Calc!$D$2:$D$5251,Pipeline_Sort!$C295))</f>
        <v/>
      </c>
      <c r="D295">
        <f>IF(Pipeline_Sort!$C295="","",INDEX(Pipeline_Calc!$E$2:$E$5251,Pipeline_Sort!$C295))</f>
        <v/>
      </c>
      <c r="E295">
        <f>IF(Pipeline_Sort!$C295="","",INDEX(Pipeline_Calc!$F$2:$F$5251,Pipeline_Sort!$C295))</f>
        <v/>
      </c>
      <c r="F295">
        <f>IF(Pipeline_Sort!$C295="","",INDEX(Pipeline_Calc!$G$2:$G$5251,Pipeline_Sort!$C295))</f>
        <v/>
      </c>
      <c r="G295">
        <f>IF(Pipeline_Sort!$C295="","",INDEX(Pipeline_Calc!$H$2:$H$5251,Pipeline_Sort!$C295))</f>
        <v/>
      </c>
      <c r="H295">
        <f>IF(Pipeline_Sort!$C295="","",INDEX(Pipeline_Calc!$I$2:$I$5251,Pipeline_Sort!$C295))</f>
        <v/>
      </c>
      <c r="I295">
        <f>IF(Pipeline_Sort!$C295="","",INDEX(Pipeline_Calc!$J$2:$J$5251,Pipeline_Sort!$C295))</f>
        <v/>
      </c>
    </row>
    <row r="296">
      <c r="A296" s="22">
        <f>IF(Pipeline_Sort!$C296="","",INDEX(Pipeline_Calc!$B$2:$B$5251,Pipeline_Sort!$C296))</f>
        <v/>
      </c>
      <c r="B296">
        <f>IF(Pipeline_Sort!$C296="","",INDEX(Pipeline_Calc!$C$2:$C$5251,Pipeline_Sort!$C296))</f>
        <v/>
      </c>
      <c r="C296">
        <f>IF(Pipeline_Sort!$C296="","",INDEX(Pipeline_Calc!$D$2:$D$5251,Pipeline_Sort!$C296))</f>
        <v/>
      </c>
      <c r="D296">
        <f>IF(Pipeline_Sort!$C296="","",INDEX(Pipeline_Calc!$E$2:$E$5251,Pipeline_Sort!$C296))</f>
        <v/>
      </c>
      <c r="E296">
        <f>IF(Pipeline_Sort!$C296="","",INDEX(Pipeline_Calc!$F$2:$F$5251,Pipeline_Sort!$C296))</f>
        <v/>
      </c>
      <c r="F296">
        <f>IF(Pipeline_Sort!$C296="","",INDEX(Pipeline_Calc!$G$2:$G$5251,Pipeline_Sort!$C296))</f>
        <v/>
      </c>
      <c r="G296">
        <f>IF(Pipeline_Sort!$C296="","",INDEX(Pipeline_Calc!$H$2:$H$5251,Pipeline_Sort!$C296))</f>
        <v/>
      </c>
      <c r="H296">
        <f>IF(Pipeline_Sort!$C296="","",INDEX(Pipeline_Calc!$I$2:$I$5251,Pipeline_Sort!$C296))</f>
        <v/>
      </c>
      <c r="I296">
        <f>IF(Pipeline_Sort!$C296="","",INDEX(Pipeline_Calc!$J$2:$J$5251,Pipeline_Sort!$C296))</f>
        <v/>
      </c>
    </row>
    <row r="297">
      <c r="A297" s="22">
        <f>IF(Pipeline_Sort!$C297="","",INDEX(Pipeline_Calc!$B$2:$B$5251,Pipeline_Sort!$C297))</f>
        <v/>
      </c>
      <c r="B297">
        <f>IF(Pipeline_Sort!$C297="","",INDEX(Pipeline_Calc!$C$2:$C$5251,Pipeline_Sort!$C297))</f>
        <v/>
      </c>
      <c r="C297">
        <f>IF(Pipeline_Sort!$C297="","",INDEX(Pipeline_Calc!$D$2:$D$5251,Pipeline_Sort!$C297))</f>
        <v/>
      </c>
      <c r="D297">
        <f>IF(Pipeline_Sort!$C297="","",INDEX(Pipeline_Calc!$E$2:$E$5251,Pipeline_Sort!$C297))</f>
        <v/>
      </c>
      <c r="E297">
        <f>IF(Pipeline_Sort!$C297="","",INDEX(Pipeline_Calc!$F$2:$F$5251,Pipeline_Sort!$C297))</f>
        <v/>
      </c>
      <c r="F297">
        <f>IF(Pipeline_Sort!$C297="","",INDEX(Pipeline_Calc!$G$2:$G$5251,Pipeline_Sort!$C297))</f>
        <v/>
      </c>
      <c r="G297">
        <f>IF(Pipeline_Sort!$C297="","",INDEX(Pipeline_Calc!$H$2:$H$5251,Pipeline_Sort!$C297))</f>
        <v/>
      </c>
      <c r="H297">
        <f>IF(Pipeline_Sort!$C297="","",INDEX(Pipeline_Calc!$I$2:$I$5251,Pipeline_Sort!$C297))</f>
        <v/>
      </c>
      <c r="I297">
        <f>IF(Pipeline_Sort!$C297="","",INDEX(Pipeline_Calc!$J$2:$J$5251,Pipeline_Sort!$C297))</f>
        <v/>
      </c>
    </row>
    <row r="298">
      <c r="A298" s="22">
        <f>IF(Pipeline_Sort!$C298="","",INDEX(Pipeline_Calc!$B$2:$B$5251,Pipeline_Sort!$C298))</f>
        <v/>
      </c>
      <c r="B298">
        <f>IF(Pipeline_Sort!$C298="","",INDEX(Pipeline_Calc!$C$2:$C$5251,Pipeline_Sort!$C298))</f>
        <v/>
      </c>
      <c r="C298">
        <f>IF(Pipeline_Sort!$C298="","",INDEX(Pipeline_Calc!$D$2:$D$5251,Pipeline_Sort!$C298))</f>
        <v/>
      </c>
      <c r="D298">
        <f>IF(Pipeline_Sort!$C298="","",INDEX(Pipeline_Calc!$E$2:$E$5251,Pipeline_Sort!$C298))</f>
        <v/>
      </c>
      <c r="E298">
        <f>IF(Pipeline_Sort!$C298="","",INDEX(Pipeline_Calc!$F$2:$F$5251,Pipeline_Sort!$C298))</f>
        <v/>
      </c>
      <c r="F298">
        <f>IF(Pipeline_Sort!$C298="","",INDEX(Pipeline_Calc!$G$2:$G$5251,Pipeline_Sort!$C298))</f>
        <v/>
      </c>
      <c r="G298">
        <f>IF(Pipeline_Sort!$C298="","",INDEX(Pipeline_Calc!$H$2:$H$5251,Pipeline_Sort!$C298))</f>
        <v/>
      </c>
      <c r="H298">
        <f>IF(Pipeline_Sort!$C298="","",INDEX(Pipeline_Calc!$I$2:$I$5251,Pipeline_Sort!$C298))</f>
        <v/>
      </c>
      <c r="I298">
        <f>IF(Pipeline_Sort!$C298="","",INDEX(Pipeline_Calc!$J$2:$J$5251,Pipeline_Sort!$C298))</f>
        <v/>
      </c>
    </row>
    <row r="299">
      <c r="A299" s="22">
        <f>IF(Pipeline_Sort!$C299="","",INDEX(Pipeline_Calc!$B$2:$B$5251,Pipeline_Sort!$C299))</f>
        <v/>
      </c>
      <c r="B299">
        <f>IF(Pipeline_Sort!$C299="","",INDEX(Pipeline_Calc!$C$2:$C$5251,Pipeline_Sort!$C299))</f>
        <v/>
      </c>
      <c r="C299">
        <f>IF(Pipeline_Sort!$C299="","",INDEX(Pipeline_Calc!$D$2:$D$5251,Pipeline_Sort!$C299))</f>
        <v/>
      </c>
      <c r="D299">
        <f>IF(Pipeline_Sort!$C299="","",INDEX(Pipeline_Calc!$E$2:$E$5251,Pipeline_Sort!$C299))</f>
        <v/>
      </c>
      <c r="E299">
        <f>IF(Pipeline_Sort!$C299="","",INDEX(Pipeline_Calc!$F$2:$F$5251,Pipeline_Sort!$C299))</f>
        <v/>
      </c>
      <c r="F299">
        <f>IF(Pipeline_Sort!$C299="","",INDEX(Pipeline_Calc!$G$2:$G$5251,Pipeline_Sort!$C299))</f>
        <v/>
      </c>
      <c r="G299">
        <f>IF(Pipeline_Sort!$C299="","",INDEX(Pipeline_Calc!$H$2:$H$5251,Pipeline_Sort!$C299))</f>
        <v/>
      </c>
      <c r="H299">
        <f>IF(Pipeline_Sort!$C299="","",INDEX(Pipeline_Calc!$I$2:$I$5251,Pipeline_Sort!$C299))</f>
        <v/>
      </c>
      <c r="I299">
        <f>IF(Pipeline_Sort!$C299="","",INDEX(Pipeline_Calc!$J$2:$J$5251,Pipeline_Sort!$C299))</f>
        <v/>
      </c>
    </row>
    <row r="300">
      <c r="A300" s="22">
        <f>IF(Pipeline_Sort!$C300="","",INDEX(Pipeline_Calc!$B$2:$B$5251,Pipeline_Sort!$C300))</f>
        <v/>
      </c>
      <c r="B300">
        <f>IF(Pipeline_Sort!$C300="","",INDEX(Pipeline_Calc!$C$2:$C$5251,Pipeline_Sort!$C300))</f>
        <v/>
      </c>
      <c r="C300">
        <f>IF(Pipeline_Sort!$C300="","",INDEX(Pipeline_Calc!$D$2:$D$5251,Pipeline_Sort!$C300))</f>
        <v/>
      </c>
      <c r="D300">
        <f>IF(Pipeline_Sort!$C300="","",INDEX(Pipeline_Calc!$E$2:$E$5251,Pipeline_Sort!$C300))</f>
        <v/>
      </c>
      <c r="E300">
        <f>IF(Pipeline_Sort!$C300="","",INDEX(Pipeline_Calc!$F$2:$F$5251,Pipeline_Sort!$C300))</f>
        <v/>
      </c>
      <c r="F300">
        <f>IF(Pipeline_Sort!$C300="","",INDEX(Pipeline_Calc!$G$2:$G$5251,Pipeline_Sort!$C300))</f>
        <v/>
      </c>
      <c r="G300">
        <f>IF(Pipeline_Sort!$C300="","",INDEX(Pipeline_Calc!$H$2:$H$5251,Pipeline_Sort!$C300))</f>
        <v/>
      </c>
      <c r="H300">
        <f>IF(Pipeline_Sort!$C300="","",INDEX(Pipeline_Calc!$I$2:$I$5251,Pipeline_Sort!$C300))</f>
        <v/>
      </c>
      <c r="I300">
        <f>IF(Pipeline_Sort!$C300="","",INDEX(Pipeline_Calc!$J$2:$J$5251,Pipeline_Sort!$C300))</f>
        <v/>
      </c>
    </row>
    <row r="301">
      <c r="A301" s="22">
        <f>IF(Pipeline_Sort!$C301="","",INDEX(Pipeline_Calc!$B$2:$B$5251,Pipeline_Sort!$C301))</f>
        <v/>
      </c>
      <c r="B301">
        <f>IF(Pipeline_Sort!$C301="","",INDEX(Pipeline_Calc!$C$2:$C$5251,Pipeline_Sort!$C301))</f>
        <v/>
      </c>
      <c r="C301">
        <f>IF(Pipeline_Sort!$C301="","",INDEX(Pipeline_Calc!$D$2:$D$5251,Pipeline_Sort!$C301))</f>
        <v/>
      </c>
      <c r="D301">
        <f>IF(Pipeline_Sort!$C301="","",INDEX(Pipeline_Calc!$E$2:$E$5251,Pipeline_Sort!$C301))</f>
        <v/>
      </c>
      <c r="E301">
        <f>IF(Pipeline_Sort!$C301="","",INDEX(Pipeline_Calc!$F$2:$F$5251,Pipeline_Sort!$C301))</f>
        <v/>
      </c>
      <c r="F301">
        <f>IF(Pipeline_Sort!$C301="","",INDEX(Pipeline_Calc!$G$2:$G$5251,Pipeline_Sort!$C301))</f>
        <v/>
      </c>
      <c r="G301">
        <f>IF(Pipeline_Sort!$C301="","",INDEX(Pipeline_Calc!$H$2:$H$5251,Pipeline_Sort!$C301))</f>
        <v/>
      </c>
      <c r="H301">
        <f>IF(Pipeline_Sort!$C301="","",INDEX(Pipeline_Calc!$I$2:$I$5251,Pipeline_Sort!$C301))</f>
        <v/>
      </c>
      <c r="I301">
        <f>IF(Pipeline_Sort!$C301="","",INDEX(Pipeline_Calc!$J$2:$J$5251,Pipeline_Sort!$C301))</f>
        <v/>
      </c>
    </row>
    <row r="302">
      <c r="A302" s="22">
        <f>IF(Pipeline_Sort!$C302="","",INDEX(Pipeline_Calc!$B$2:$B$5251,Pipeline_Sort!$C302))</f>
        <v/>
      </c>
      <c r="B302">
        <f>IF(Pipeline_Sort!$C302="","",INDEX(Pipeline_Calc!$C$2:$C$5251,Pipeline_Sort!$C302))</f>
        <v/>
      </c>
      <c r="C302">
        <f>IF(Pipeline_Sort!$C302="","",INDEX(Pipeline_Calc!$D$2:$D$5251,Pipeline_Sort!$C302))</f>
        <v/>
      </c>
      <c r="D302">
        <f>IF(Pipeline_Sort!$C302="","",INDEX(Pipeline_Calc!$E$2:$E$5251,Pipeline_Sort!$C302))</f>
        <v/>
      </c>
      <c r="E302">
        <f>IF(Pipeline_Sort!$C302="","",INDEX(Pipeline_Calc!$F$2:$F$5251,Pipeline_Sort!$C302))</f>
        <v/>
      </c>
      <c r="F302">
        <f>IF(Pipeline_Sort!$C302="","",INDEX(Pipeline_Calc!$G$2:$G$5251,Pipeline_Sort!$C302))</f>
        <v/>
      </c>
      <c r="G302">
        <f>IF(Pipeline_Sort!$C302="","",INDEX(Pipeline_Calc!$H$2:$H$5251,Pipeline_Sort!$C302))</f>
        <v/>
      </c>
      <c r="H302">
        <f>IF(Pipeline_Sort!$C302="","",INDEX(Pipeline_Calc!$I$2:$I$5251,Pipeline_Sort!$C302))</f>
        <v/>
      </c>
      <c r="I302">
        <f>IF(Pipeline_Sort!$C302="","",INDEX(Pipeline_Calc!$J$2:$J$5251,Pipeline_Sort!$C302))</f>
        <v/>
      </c>
    </row>
    <row r="303">
      <c r="A303" s="22">
        <f>IF(Pipeline_Sort!$C303="","",INDEX(Pipeline_Calc!$B$2:$B$5251,Pipeline_Sort!$C303))</f>
        <v/>
      </c>
      <c r="B303">
        <f>IF(Pipeline_Sort!$C303="","",INDEX(Pipeline_Calc!$C$2:$C$5251,Pipeline_Sort!$C303))</f>
        <v/>
      </c>
      <c r="C303">
        <f>IF(Pipeline_Sort!$C303="","",INDEX(Pipeline_Calc!$D$2:$D$5251,Pipeline_Sort!$C303))</f>
        <v/>
      </c>
      <c r="D303">
        <f>IF(Pipeline_Sort!$C303="","",INDEX(Pipeline_Calc!$E$2:$E$5251,Pipeline_Sort!$C303))</f>
        <v/>
      </c>
      <c r="E303">
        <f>IF(Pipeline_Sort!$C303="","",INDEX(Pipeline_Calc!$F$2:$F$5251,Pipeline_Sort!$C303))</f>
        <v/>
      </c>
      <c r="F303">
        <f>IF(Pipeline_Sort!$C303="","",INDEX(Pipeline_Calc!$G$2:$G$5251,Pipeline_Sort!$C303))</f>
        <v/>
      </c>
      <c r="G303">
        <f>IF(Pipeline_Sort!$C303="","",INDEX(Pipeline_Calc!$H$2:$H$5251,Pipeline_Sort!$C303))</f>
        <v/>
      </c>
      <c r="H303">
        <f>IF(Pipeline_Sort!$C303="","",INDEX(Pipeline_Calc!$I$2:$I$5251,Pipeline_Sort!$C303))</f>
        <v/>
      </c>
      <c r="I303">
        <f>IF(Pipeline_Sort!$C303="","",INDEX(Pipeline_Calc!$J$2:$J$5251,Pipeline_Sort!$C303))</f>
        <v/>
      </c>
    </row>
    <row r="304">
      <c r="A304" s="22">
        <f>IF(Pipeline_Sort!$C304="","",INDEX(Pipeline_Calc!$B$2:$B$5251,Pipeline_Sort!$C304))</f>
        <v/>
      </c>
      <c r="B304">
        <f>IF(Pipeline_Sort!$C304="","",INDEX(Pipeline_Calc!$C$2:$C$5251,Pipeline_Sort!$C304))</f>
        <v/>
      </c>
      <c r="C304">
        <f>IF(Pipeline_Sort!$C304="","",INDEX(Pipeline_Calc!$D$2:$D$5251,Pipeline_Sort!$C304))</f>
        <v/>
      </c>
      <c r="D304">
        <f>IF(Pipeline_Sort!$C304="","",INDEX(Pipeline_Calc!$E$2:$E$5251,Pipeline_Sort!$C304))</f>
        <v/>
      </c>
      <c r="E304">
        <f>IF(Pipeline_Sort!$C304="","",INDEX(Pipeline_Calc!$F$2:$F$5251,Pipeline_Sort!$C304))</f>
        <v/>
      </c>
      <c r="F304">
        <f>IF(Pipeline_Sort!$C304="","",INDEX(Pipeline_Calc!$G$2:$G$5251,Pipeline_Sort!$C304))</f>
        <v/>
      </c>
      <c r="G304">
        <f>IF(Pipeline_Sort!$C304="","",INDEX(Pipeline_Calc!$H$2:$H$5251,Pipeline_Sort!$C304))</f>
        <v/>
      </c>
      <c r="H304">
        <f>IF(Pipeline_Sort!$C304="","",INDEX(Pipeline_Calc!$I$2:$I$5251,Pipeline_Sort!$C304))</f>
        <v/>
      </c>
      <c r="I304">
        <f>IF(Pipeline_Sort!$C304="","",INDEX(Pipeline_Calc!$J$2:$J$5251,Pipeline_Sort!$C304))</f>
        <v/>
      </c>
    </row>
    <row r="305">
      <c r="A305" s="22">
        <f>IF(Pipeline_Sort!$C305="","",INDEX(Pipeline_Calc!$B$2:$B$5251,Pipeline_Sort!$C305))</f>
        <v/>
      </c>
      <c r="B305">
        <f>IF(Pipeline_Sort!$C305="","",INDEX(Pipeline_Calc!$C$2:$C$5251,Pipeline_Sort!$C305))</f>
        <v/>
      </c>
      <c r="C305">
        <f>IF(Pipeline_Sort!$C305="","",INDEX(Pipeline_Calc!$D$2:$D$5251,Pipeline_Sort!$C305))</f>
        <v/>
      </c>
      <c r="D305">
        <f>IF(Pipeline_Sort!$C305="","",INDEX(Pipeline_Calc!$E$2:$E$5251,Pipeline_Sort!$C305))</f>
        <v/>
      </c>
      <c r="E305">
        <f>IF(Pipeline_Sort!$C305="","",INDEX(Pipeline_Calc!$F$2:$F$5251,Pipeline_Sort!$C305))</f>
        <v/>
      </c>
      <c r="F305">
        <f>IF(Pipeline_Sort!$C305="","",INDEX(Pipeline_Calc!$G$2:$G$5251,Pipeline_Sort!$C305))</f>
        <v/>
      </c>
      <c r="G305">
        <f>IF(Pipeline_Sort!$C305="","",INDEX(Pipeline_Calc!$H$2:$H$5251,Pipeline_Sort!$C305))</f>
        <v/>
      </c>
      <c r="H305">
        <f>IF(Pipeline_Sort!$C305="","",INDEX(Pipeline_Calc!$I$2:$I$5251,Pipeline_Sort!$C305))</f>
        <v/>
      </c>
      <c r="I305">
        <f>IF(Pipeline_Sort!$C305="","",INDEX(Pipeline_Calc!$J$2:$J$5251,Pipeline_Sort!$C305))</f>
        <v/>
      </c>
    </row>
    <row r="306">
      <c r="A306" s="22">
        <f>IF(Pipeline_Sort!$C306="","",INDEX(Pipeline_Calc!$B$2:$B$5251,Pipeline_Sort!$C306))</f>
        <v/>
      </c>
      <c r="B306">
        <f>IF(Pipeline_Sort!$C306="","",INDEX(Pipeline_Calc!$C$2:$C$5251,Pipeline_Sort!$C306))</f>
        <v/>
      </c>
      <c r="C306">
        <f>IF(Pipeline_Sort!$C306="","",INDEX(Pipeline_Calc!$D$2:$D$5251,Pipeline_Sort!$C306))</f>
        <v/>
      </c>
      <c r="D306">
        <f>IF(Pipeline_Sort!$C306="","",INDEX(Pipeline_Calc!$E$2:$E$5251,Pipeline_Sort!$C306))</f>
        <v/>
      </c>
      <c r="E306">
        <f>IF(Pipeline_Sort!$C306="","",INDEX(Pipeline_Calc!$F$2:$F$5251,Pipeline_Sort!$C306))</f>
        <v/>
      </c>
      <c r="F306">
        <f>IF(Pipeline_Sort!$C306="","",INDEX(Pipeline_Calc!$G$2:$G$5251,Pipeline_Sort!$C306))</f>
        <v/>
      </c>
      <c r="G306">
        <f>IF(Pipeline_Sort!$C306="","",INDEX(Pipeline_Calc!$H$2:$H$5251,Pipeline_Sort!$C306))</f>
        <v/>
      </c>
      <c r="H306">
        <f>IF(Pipeline_Sort!$C306="","",INDEX(Pipeline_Calc!$I$2:$I$5251,Pipeline_Sort!$C306))</f>
        <v/>
      </c>
      <c r="I306">
        <f>IF(Pipeline_Sort!$C306="","",INDEX(Pipeline_Calc!$J$2:$J$5251,Pipeline_Sort!$C306))</f>
        <v/>
      </c>
    </row>
    <row r="307">
      <c r="A307" s="22">
        <f>IF(Pipeline_Sort!$C307="","",INDEX(Pipeline_Calc!$B$2:$B$5251,Pipeline_Sort!$C307))</f>
        <v/>
      </c>
      <c r="B307">
        <f>IF(Pipeline_Sort!$C307="","",INDEX(Pipeline_Calc!$C$2:$C$5251,Pipeline_Sort!$C307))</f>
        <v/>
      </c>
      <c r="C307">
        <f>IF(Pipeline_Sort!$C307="","",INDEX(Pipeline_Calc!$D$2:$D$5251,Pipeline_Sort!$C307))</f>
        <v/>
      </c>
      <c r="D307">
        <f>IF(Pipeline_Sort!$C307="","",INDEX(Pipeline_Calc!$E$2:$E$5251,Pipeline_Sort!$C307))</f>
        <v/>
      </c>
      <c r="E307">
        <f>IF(Pipeline_Sort!$C307="","",INDEX(Pipeline_Calc!$F$2:$F$5251,Pipeline_Sort!$C307))</f>
        <v/>
      </c>
      <c r="F307">
        <f>IF(Pipeline_Sort!$C307="","",INDEX(Pipeline_Calc!$G$2:$G$5251,Pipeline_Sort!$C307))</f>
        <v/>
      </c>
      <c r="G307">
        <f>IF(Pipeline_Sort!$C307="","",INDEX(Pipeline_Calc!$H$2:$H$5251,Pipeline_Sort!$C307))</f>
        <v/>
      </c>
      <c r="H307">
        <f>IF(Pipeline_Sort!$C307="","",INDEX(Pipeline_Calc!$I$2:$I$5251,Pipeline_Sort!$C307))</f>
        <v/>
      </c>
      <c r="I307">
        <f>IF(Pipeline_Sort!$C307="","",INDEX(Pipeline_Calc!$J$2:$J$5251,Pipeline_Sort!$C307))</f>
        <v/>
      </c>
    </row>
    <row r="308">
      <c r="A308" s="22">
        <f>IF(Pipeline_Sort!$C308="","",INDEX(Pipeline_Calc!$B$2:$B$5251,Pipeline_Sort!$C308))</f>
        <v/>
      </c>
      <c r="B308">
        <f>IF(Pipeline_Sort!$C308="","",INDEX(Pipeline_Calc!$C$2:$C$5251,Pipeline_Sort!$C308))</f>
        <v/>
      </c>
      <c r="C308">
        <f>IF(Pipeline_Sort!$C308="","",INDEX(Pipeline_Calc!$D$2:$D$5251,Pipeline_Sort!$C308))</f>
        <v/>
      </c>
      <c r="D308">
        <f>IF(Pipeline_Sort!$C308="","",INDEX(Pipeline_Calc!$E$2:$E$5251,Pipeline_Sort!$C308))</f>
        <v/>
      </c>
      <c r="E308">
        <f>IF(Pipeline_Sort!$C308="","",INDEX(Pipeline_Calc!$F$2:$F$5251,Pipeline_Sort!$C308))</f>
        <v/>
      </c>
      <c r="F308">
        <f>IF(Pipeline_Sort!$C308="","",INDEX(Pipeline_Calc!$G$2:$G$5251,Pipeline_Sort!$C308))</f>
        <v/>
      </c>
      <c r="G308">
        <f>IF(Pipeline_Sort!$C308="","",INDEX(Pipeline_Calc!$H$2:$H$5251,Pipeline_Sort!$C308))</f>
        <v/>
      </c>
      <c r="H308">
        <f>IF(Pipeline_Sort!$C308="","",INDEX(Pipeline_Calc!$I$2:$I$5251,Pipeline_Sort!$C308))</f>
        <v/>
      </c>
      <c r="I308">
        <f>IF(Pipeline_Sort!$C308="","",INDEX(Pipeline_Calc!$J$2:$J$5251,Pipeline_Sort!$C308))</f>
        <v/>
      </c>
    </row>
    <row r="309">
      <c r="A309" s="22">
        <f>IF(Pipeline_Sort!$C309="","",INDEX(Pipeline_Calc!$B$2:$B$5251,Pipeline_Sort!$C309))</f>
        <v/>
      </c>
      <c r="B309">
        <f>IF(Pipeline_Sort!$C309="","",INDEX(Pipeline_Calc!$C$2:$C$5251,Pipeline_Sort!$C309))</f>
        <v/>
      </c>
      <c r="C309">
        <f>IF(Pipeline_Sort!$C309="","",INDEX(Pipeline_Calc!$D$2:$D$5251,Pipeline_Sort!$C309))</f>
        <v/>
      </c>
      <c r="D309">
        <f>IF(Pipeline_Sort!$C309="","",INDEX(Pipeline_Calc!$E$2:$E$5251,Pipeline_Sort!$C309))</f>
        <v/>
      </c>
      <c r="E309">
        <f>IF(Pipeline_Sort!$C309="","",INDEX(Pipeline_Calc!$F$2:$F$5251,Pipeline_Sort!$C309))</f>
        <v/>
      </c>
      <c r="F309">
        <f>IF(Pipeline_Sort!$C309="","",INDEX(Pipeline_Calc!$G$2:$G$5251,Pipeline_Sort!$C309))</f>
        <v/>
      </c>
      <c r="G309">
        <f>IF(Pipeline_Sort!$C309="","",INDEX(Pipeline_Calc!$H$2:$H$5251,Pipeline_Sort!$C309))</f>
        <v/>
      </c>
      <c r="H309">
        <f>IF(Pipeline_Sort!$C309="","",INDEX(Pipeline_Calc!$I$2:$I$5251,Pipeline_Sort!$C309))</f>
        <v/>
      </c>
      <c r="I309">
        <f>IF(Pipeline_Sort!$C309="","",INDEX(Pipeline_Calc!$J$2:$J$5251,Pipeline_Sort!$C309))</f>
        <v/>
      </c>
    </row>
    <row r="310">
      <c r="A310" s="22">
        <f>IF(Pipeline_Sort!$C310="","",INDEX(Pipeline_Calc!$B$2:$B$5251,Pipeline_Sort!$C310))</f>
        <v/>
      </c>
      <c r="B310">
        <f>IF(Pipeline_Sort!$C310="","",INDEX(Pipeline_Calc!$C$2:$C$5251,Pipeline_Sort!$C310))</f>
        <v/>
      </c>
      <c r="C310">
        <f>IF(Pipeline_Sort!$C310="","",INDEX(Pipeline_Calc!$D$2:$D$5251,Pipeline_Sort!$C310))</f>
        <v/>
      </c>
      <c r="D310">
        <f>IF(Pipeline_Sort!$C310="","",INDEX(Pipeline_Calc!$E$2:$E$5251,Pipeline_Sort!$C310))</f>
        <v/>
      </c>
      <c r="E310">
        <f>IF(Pipeline_Sort!$C310="","",INDEX(Pipeline_Calc!$F$2:$F$5251,Pipeline_Sort!$C310))</f>
        <v/>
      </c>
      <c r="F310">
        <f>IF(Pipeline_Sort!$C310="","",INDEX(Pipeline_Calc!$G$2:$G$5251,Pipeline_Sort!$C310))</f>
        <v/>
      </c>
      <c r="G310">
        <f>IF(Pipeline_Sort!$C310="","",INDEX(Pipeline_Calc!$H$2:$H$5251,Pipeline_Sort!$C310))</f>
        <v/>
      </c>
      <c r="H310">
        <f>IF(Pipeline_Sort!$C310="","",INDEX(Pipeline_Calc!$I$2:$I$5251,Pipeline_Sort!$C310))</f>
        <v/>
      </c>
      <c r="I310">
        <f>IF(Pipeline_Sort!$C310="","",INDEX(Pipeline_Calc!$J$2:$J$5251,Pipeline_Sort!$C310))</f>
        <v/>
      </c>
    </row>
    <row r="311">
      <c r="A311" s="22">
        <f>IF(Pipeline_Sort!$C311="","",INDEX(Pipeline_Calc!$B$2:$B$5251,Pipeline_Sort!$C311))</f>
        <v/>
      </c>
      <c r="B311">
        <f>IF(Pipeline_Sort!$C311="","",INDEX(Pipeline_Calc!$C$2:$C$5251,Pipeline_Sort!$C311))</f>
        <v/>
      </c>
      <c r="C311">
        <f>IF(Pipeline_Sort!$C311="","",INDEX(Pipeline_Calc!$D$2:$D$5251,Pipeline_Sort!$C311))</f>
        <v/>
      </c>
      <c r="D311">
        <f>IF(Pipeline_Sort!$C311="","",INDEX(Pipeline_Calc!$E$2:$E$5251,Pipeline_Sort!$C311))</f>
        <v/>
      </c>
      <c r="E311">
        <f>IF(Pipeline_Sort!$C311="","",INDEX(Pipeline_Calc!$F$2:$F$5251,Pipeline_Sort!$C311))</f>
        <v/>
      </c>
      <c r="F311">
        <f>IF(Pipeline_Sort!$C311="","",INDEX(Pipeline_Calc!$G$2:$G$5251,Pipeline_Sort!$C311))</f>
        <v/>
      </c>
      <c r="G311">
        <f>IF(Pipeline_Sort!$C311="","",INDEX(Pipeline_Calc!$H$2:$H$5251,Pipeline_Sort!$C311))</f>
        <v/>
      </c>
      <c r="H311">
        <f>IF(Pipeline_Sort!$C311="","",INDEX(Pipeline_Calc!$I$2:$I$5251,Pipeline_Sort!$C311))</f>
        <v/>
      </c>
      <c r="I311">
        <f>IF(Pipeline_Sort!$C311="","",INDEX(Pipeline_Calc!$J$2:$J$5251,Pipeline_Sort!$C311))</f>
        <v/>
      </c>
    </row>
    <row r="312">
      <c r="A312" s="22">
        <f>IF(Pipeline_Sort!$C312="","",INDEX(Pipeline_Calc!$B$2:$B$5251,Pipeline_Sort!$C312))</f>
        <v/>
      </c>
      <c r="B312">
        <f>IF(Pipeline_Sort!$C312="","",INDEX(Pipeline_Calc!$C$2:$C$5251,Pipeline_Sort!$C312))</f>
        <v/>
      </c>
      <c r="C312">
        <f>IF(Pipeline_Sort!$C312="","",INDEX(Pipeline_Calc!$D$2:$D$5251,Pipeline_Sort!$C312))</f>
        <v/>
      </c>
      <c r="D312">
        <f>IF(Pipeline_Sort!$C312="","",INDEX(Pipeline_Calc!$E$2:$E$5251,Pipeline_Sort!$C312))</f>
        <v/>
      </c>
      <c r="E312">
        <f>IF(Pipeline_Sort!$C312="","",INDEX(Pipeline_Calc!$F$2:$F$5251,Pipeline_Sort!$C312))</f>
        <v/>
      </c>
      <c r="F312">
        <f>IF(Pipeline_Sort!$C312="","",INDEX(Pipeline_Calc!$G$2:$G$5251,Pipeline_Sort!$C312))</f>
        <v/>
      </c>
      <c r="G312">
        <f>IF(Pipeline_Sort!$C312="","",INDEX(Pipeline_Calc!$H$2:$H$5251,Pipeline_Sort!$C312))</f>
        <v/>
      </c>
      <c r="H312">
        <f>IF(Pipeline_Sort!$C312="","",INDEX(Pipeline_Calc!$I$2:$I$5251,Pipeline_Sort!$C312))</f>
        <v/>
      </c>
      <c r="I312">
        <f>IF(Pipeline_Sort!$C312="","",INDEX(Pipeline_Calc!$J$2:$J$5251,Pipeline_Sort!$C312))</f>
        <v/>
      </c>
    </row>
    <row r="313">
      <c r="A313" s="22">
        <f>IF(Pipeline_Sort!$C313="","",INDEX(Pipeline_Calc!$B$2:$B$5251,Pipeline_Sort!$C313))</f>
        <v/>
      </c>
      <c r="B313">
        <f>IF(Pipeline_Sort!$C313="","",INDEX(Pipeline_Calc!$C$2:$C$5251,Pipeline_Sort!$C313))</f>
        <v/>
      </c>
      <c r="C313">
        <f>IF(Pipeline_Sort!$C313="","",INDEX(Pipeline_Calc!$D$2:$D$5251,Pipeline_Sort!$C313))</f>
        <v/>
      </c>
      <c r="D313">
        <f>IF(Pipeline_Sort!$C313="","",INDEX(Pipeline_Calc!$E$2:$E$5251,Pipeline_Sort!$C313))</f>
        <v/>
      </c>
      <c r="E313">
        <f>IF(Pipeline_Sort!$C313="","",INDEX(Pipeline_Calc!$F$2:$F$5251,Pipeline_Sort!$C313))</f>
        <v/>
      </c>
      <c r="F313">
        <f>IF(Pipeline_Sort!$C313="","",INDEX(Pipeline_Calc!$G$2:$G$5251,Pipeline_Sort!$C313))</f>
        <v/>
      </c>
      <c r="G313">
        <f>IF(Pipeline_Sort!$C313="","",INDEX(Pipeline_Calc!$H$2:$H$5251,Pipeline_Sort!$C313))</f>
        <v/>
      </c>
      <c r="H313">
        <f>IF(Pipeline_Sort!$C313="","",INDEX(Pipeline_Calc!$I$2:$I$5251,Pipeline_Sort!$C313))</f>
        <v/>
      </c>
      <c r="I313">
        <f>IF(Pipeline_Sort!$C313="","",INDEX(Pipeline_Calc!$J$2:$J$5251,Pipeline_Sort!$C313))</f>
        <v/>
      </c>
    </row>
    <row r="314">
      <c r="A314" s="22">
        <f>IF(Pipeline_Sort!$C314="","",INDEX(Pipeline_Calc!$B$2:$B$5251,Pipeline_Sort!$C314))</f>
        <v/>
      </c>
      <c r="B314">
        <f>IF(Pipeline_Sort!$C314="","",INDEX(Pipeline_Calc!$C$2:$C$5251,Pipeline_Sort!$C314))</f>
        <v/>
      </c>
      <c r="C314">
        <f>IF(Pipeline_Sort!$C314="","",INDEX(Pipeline_Calc!$D$2:$D$5251,Pipeline_Sort!$C314))</f>
        <v/>
      </c>
      <c r="D314">
        <f>IF(Pipeline_Sort!$C314="","",INDEX(Pipeline_Calc!$E$2:$E$5251,Pipeline_Sort!$C314))</f>
        <v/>
      </c>
      <c r="E314">
        <f>IF(Pipeline_Sort!$C314="","",INDEX(Pipeline_Calc!$F$2:$F$5251,Pipeline_Sort!$C314))</f>
        <v/>
      </c>
      <c r="F314">
        <f>IF(Pipeline_Sort!$C314="","",INDEX(Pipeline_Calc!$G$2:$G$5251,Pipeline_Sort!$C314))</f>
        <v/>
      </c>
      <c r="G314">
        <f>IF(Pipeline_Sort!$C314="","",INDEX(Pipeline_Calc!$H$2:$H$5251,Pipeline_Sort!$C314))</f>
        <v/>
      </c>
      <c r="H314">
        <f>IF(Pipeline_Sort!$C314="","",INDEX(Pipeline_Calc!$I$2:$I$5251,Pipeline_Sort!$C314))</f>
        <v/>
      </c>
      <c r="I314">
        <f>IF(Pipeline_Sort!$C314="","",INDEX(Pipeline_Calc!$J$2:$J$5251,Pipeline_Sort!$C314))</f>
        <v/>
      </c>
    </row>
    <row r="315">
      <c r="A315" s="22">
        <f>IF(Pipeline_Sort!$C315="","",INDEX(Pipeline_Calc!$B$2:$B$5251,Pipeline_Sort!$C315))</f>
        <v/>
      </c>
      <c r="B315">
        <f>IF(Pipeline_Sort!$C315="","",INDEX(Pipeline_Calc!$C$2:$C$5251,Pipeline_Sort!$C315))</f>
        <v/>
      </c>
      <c r="C315">
        <f>IF(Pipeline_Sort!$C315="","",INDEX(Pipeline_Calc!$D$2:$D$5251,Pipeline_Sort!$C315))</f>
        <v/>
      </c>
      <c r="D315">
        <f>IF(Pipeline_Sort!$C315="","",INDEX(Pipeline_Calc!$E$2:$E$5251,Pipeline_Sort!$C315))</f>
        <v/>
      </c>
      <c r="E315">
        <f>IF(Pipeline_Sort!$C315="","",INDEX(Pipeline_Calc!$F$2:$F$5251,Pipeline_Sort!$C315))</f>
        <v/>
      </c>
      <c r="F315">
        <f>IF(Pipeline_Sort!$C315="","",INDEX(Pipeline_Calc!$G$2:$G$5251,Pipeline_Sort!$C315))</f>
        <v/>
      </c>
      <c r="G315">
        <f>IF(Pipeline_Sort!$C315="","",INDEX(Pipeline_Calc!$H$2:$H$5251,Pipeline_Sort!$C315))</f>
        <v/>
      </c>
      <c r="H315">
        <f>IF(Pipeline_Sort!$C315="","",INDEX(Pipeline_Calc!$I$2:$I$5251,Pipeline_Sort!$C315))</f>
        <v/>
      </c>
      <c r="I315">
        <f>IF(Pipeline_Sort!$C315="","",INDEX(Pipeline_Calc!$J$2:$J$5251,Pipeline_Sort!$C315))</f>
        <v/>
      </c>
    </row>
    <row r="316">
      <c r="A316" s="22">
        <f>IF(Pipeline_Sort!$C316="","",INDEX(Pipeline_Calc!$B$2:$B$5251,Pipeline_Sort!$C316))</f>
        <v/>
      </c>
      <c r="B316">
        <f>IF(Pipeline_Sort!$C316="","",INDEX(Pipeline_Calc!$C$2:$C$5251,Pipeline_Sort!$C316))</f>
        <v/>
      </c>
      <c r="C316">
        <f>IF(Pipeline_Sort!$C316="","",INDEX(Pipeline_Calc!$D$2:$D$5251,Pipeline_Sort!$C316))</f>
        <v/>
      </c>
      <c r="D316">
        <f>IF(Pipeline_Sort!$C316="","",INDEX(Pipeline_Calc!$E$2:$E$5251,Pipeline_Sort!$C316))</f>
        <v/>
      </c>
      <c r="E316">
        <f>IF(Pipeline_Sort!$C316="","",INDEX(Pipeline_Calc!$F$2:$F$5251,Pipeline_Sort!$C316))</f>
        <v/>
      </c>
      <c r="F316">
        <f>IF(Pipeline_Sort!$C316="","",INDEX(Pipeline_Calc!$G$2:$G$5251,Pipeline_Sort!$C316))</f>
        <v/>
      </c>
      <c r="G316">
        <f>IF(Pipeline_Sort!$C316="","",INDEX(Pipeline_Calc!$H$2:$H$5251,Pipeline_Sort!$C316))</f>
        <v/>
      </c>
      <c r="H316">
        <f>IF(Pipeline_Sort!$C316="","",INDEX(Pipeline_Calc!$I$2:$I$5251,Pipeline_Sort!$C316))</f>
        <v/>
      </c>
      <c r="I316">
        <f>IF(Pipeline_Sort!$C316="","",INDEX(Pipeline_Calc!$J$2:$J$5251,Pipeline_Sort!$C316))</f>
        <v/>
      </c>
    </row>
    <row r="317">
      <c r="A317" s="22">
        <f>IF(Pipeline_Sort!$C317="","",INDEX(Pipeline_Calc!$B$2:$B$5251,Pipeline_Sort!$C317))</f>
        <v/>
      </c>
      <c r="B317">
        <f>IF(Pipeline_Sort!$C317="","",INDEX(Pipeline_Calc!$C$2:$C$5251,Pipeline_Sort!$C317))</f>
        <v/>
      </c>
      <c r="C317">
        <f>IF(Pipeline_Sort!$C317="","",INDEX(Pipeline_Calc!$D$2:$D$5251,Pipeline_Sort!$C317))</f>
        <v/>
      </c>
      <c r="D317">
        <f>IF(Pipeline_Sort!$C317="","",INDEX(Pipeline_Calc!$E$2:$E$5251,Pipeline_Sort!$C317))</f>
        <v/>
      </c>
      <c r="E317">
        <f>IF(Pipeline_Sort!$C317="","",INDEX(Pipeline_Calc!$F$2:$F$5251,Pipeline_Sort!$C317))</f>
        <v/>
      </c>
      <c r="F317">
        <f>IF(Pipeline_Sort!$C317="","",INDEX(Pipeline_Calc!$G$2:$G$5251,Pipeline_Sort!$C317))</f>
        <v/>
      </c>
      <c r="G317">
        <f>IF(Pipeline_Sort!$C317="","",INDEX(Pipeline_Calc!$H$2:$H$5251,Pipeline_Sort!$C317))</f>
        <v/>
      </c>
      <c r="H317">
        <f>IF(Pipeline_Sort!$C317="","",INDEX(Pipeline_Calc!$I$2:$I$5251,Pipeline_Sort!$C317))</f>
        <v/>
      </c>
      <c r="I317">
        <f>IF(Pipeline_Sort!$C317="","",INDEX(Pipeline_Calc!$J$2:$J$5251,Pipeline_Sort!$C317))</f>
        <v/>
      </c>
    </row>
    <row r="318">
      <c r="A318" s="22">
        <f>IF(Pipeline_Sort!$C318="","",INDEX(Pipeline_Calc!$B$2:$B$5251,Pipeline_Sort!$C318))</f>
        <v/>
      </c>
      <c r="B318">
        <f>IF(Pipeline_Sort!$C318="","",INDEX(Pipeline_Calc!$C$2:$C$5251,Pipeline_Sort!$C318))</f>
        <v/>
      </c>
      <c r="C318">
        <f>IF(Pipeline_Sort!$C318="","",INDEX(Pipeline_Calc!$D$2:$D$5251,Pipeline_Sort!$C318))</f>
        <v/>
      </c>
      <c r="D318">
        <f>IF(Pipeline_Sort!$C318="","",INDEX(Pipeline_Calc!$E$2:$E$5251,Pipeline_Sort!$C318))</f>
        <v/>
      </c>
      <c r="E318">
        <f>IF(Pipeline_Sort!$C318="","",INDEX(Pipeline_Calc!$F$2:$F$5251,Pipeline_Sort!$C318))</f>
        <v/>
      </c>
      <c r="F318">
        <f>IF(Pipeline_Sort!$C318="","",INDEX(Pipeline_Calc!$G$2:$G$5251,Pipeline_Sort!$C318))</f>
        <v/>
      </c>
      <c r="G318">
        <f>IF(Pipeline_Sort!$C318="","",INDEX(Pipeline_Calc!$H$2:$H$5251,Pipeline_Sort!$C318))</f>
        <v/>
      </c>
      <c r="H318">
        <f>IF(Pipeline_Sort!$C318="","",INDEX(Pipeline_Calc!$I$2:$I$5251,Pipeline_Sort!$C318))</f>
        <v/>
      </c>
      <c r="I318">
        <f>IF(Pipeline_Sort!$C318="","",INDEX(Pipeline_Calc!$J$2:$J$5251,Pipeline_Sort!$C318))</f>
        <v/>
      </c>
    </row>
    <row r="319">
      <c r="A319" s="22">
        <f>IF(Pipeline_Sort!$C319="","",INDEX(Pipeline_Calc!$B$2:$B$5251,Pipeline_Sort!$C319))</f>
        <v/>
      </c>
      <c r="B319">
        <f>IF(Pipeline_Sort!$C319="","",INDEX(Pipeline_Calc!$C$2:$C$5251,Pipeline_Sort!$C319))</f>
        <v/>
      </c>
      <c r="C319">
        <f>IF(Pipeline_Sort!$C319="","",INDEX(Pipeline_Calc!$D$2:$D$5251,Pipeline_Sort!$C319))</f>
        <v/>
      </c>
      <c r="D319">
        <f>IF(Pipeline_Sort!$C319="","",INDEX(Pipeline_Calc!$E$2:$E$5251,Pipeline_Sort!$C319))</f>
        <v/>
      </c>
      <c r="E319">
        <f>IF(Pipeline_Sort!$C319="","",INDEX(Pipeline_Calc!$F$2:$F$5251,Pipeline_Sort!$C319))</f>
        <v/>
      </c>
      <c r="F319">
        <f>IF(Pipeline_Sort!$C319="","",INDEX(Pipeline_Calc!$G$2:$G$5251,Pipeline_Sort!$C319))</f>
        <v/>
      </c>
      <c r="G319">
        <f>IF(Pipeline_Sort!$C319="","",INDEX(Pipeline_Calc!$H$2:$H$5251,Pipeline_Sort!$C319))</f>
        <v/>
      </c>
      <c r="H319">
        <f>IF(Pipeline_Sort!$C319="","",INDEX(Pipeline_Calc!$I$2:$I$5251,Pipeline_Sort!$C319))</f>
        <v/>
      </c>
      <c r="I319">
        <f>IF(Pipeline_Sort!$C319="","",INDEX(Pipeline_Calc!$J$2:$J$5251,Pipeline_Sort!$C319))</f>
        <v/>
      </c>
    </row>
    <row r="320">
      <c r="A320" s="22">
        <f>IF(Pipeline_Sort!$C320="","",INDEX(Pipeline_Calc!$B$2:$B$5251,Pipeline_Sort!$C320))</f>
        <v/>
      </c>
      <c r="B320">
        <f>IF(Pipeline_Sort!$C320="","",INDEX(Pipeline_Calc!$C$2:$C$5251,Pipeline_Sort!$C320))</f>
        <v/>
      </c>
      <c r="C320">
        <f>IF(Pipeline_Sort!$C320="","",INDEX(Pipeline_Calc!$D$2:$D$5251,Pipeline_Sort!$C320))</f>
        <v/>
      </c>
      <c r="D320">
        <f>IF(Pipeline_Sort!$C320="","",INDEX(Pipeline_Calc!$E$2:$E$5251,Pipeline_Sort!$C320))</f>
        <v/>
      </c>
      <c r="E320">
        <f>IF(Pipeline_Sort!$C320="","",INDEX(Pipeline_Calc!$F$2:$F$5251,Pipeline_Sort!$C320))</f>
        <v/>
      </c>
      <c r="F320">
        <f>IF(Pipeline_Sort!$C320="","",INDEX(Pipeline_Calc!$G$2:$G$5251,Pipeline_Sort!$C320))</f>
        <v/>
      </c>
      <c r="G320">
        <f>IF(Pipeline_Sort!$C320="","",INDEX(Pipeline_Calc!$H$2:$H$5251,Pipeline_Sort!$C320))</f>
        <v/>
      </c>
      <c r="H320">
        <f>IF(Pipeline_Sort!$C320="","",INDEX(Pipeline_Calc!$I$2:$I$5251,Pipeline_Sort!$C320))</f>
        <v/>
      </c>
      <c r="I320">
        <f>IF(Pipeline_Sort!$C320="","",INDEX(Pipeline_Calc!$J$2:$J$5251,Pipeline_Sort!$C320))</f>
        <v/>
      </c>
    </row>
    <row r="321">
      <c r="A321" s="22">
        <f>IF(Pipeline_Sort!$C321="","",INDEX(Pipeline_Calc!$B$2:$B$5251,Pipeline_Sort!$C321))</f>
        <v/>
      </c>
      <c r="B321">
        <f>IF(Pipeline_Sort!$C321="","",INDEX(Pipeline_Calc!$C$2:$C$5251,Pipeline_Sort!$C321))</f>
        <v/>
      </c>
      <c r="C321">
        <f>IF(Pipeline_Sort!$C321="","",INDEX(Pipeline_Calc!$D$2:$D$5251,Pipeline_Sort!$C321))</f>
        <v/>
      </c>
      <c r="D321">
        <f>IF(Pipeline_Sort!$C321="","",INDEX(Pipeline_Calc!$E$2:$E$5251,Pipeline_Sort!$C321))</f>
        <v/>
      </c>
      <c r="E321">
        <f>IF(Pipeline_Sort!$C321="","",INDEX(Pipeline_Calc!$F$2:$F$5251,Pipeline_Sort!$C321))</f>
        <v/>
      </c>
      <c r="F321">
        <f>IF(Pipeline_Sort!$C321="","",INDEX(Pipeline_Calc!$G$2:$G$5251,Pipeline_Sort!$C321))</f>
        <v/>
      </c>
      <c r="G321">
        <f>IF(Pipeline_Sort!$C321="","",INDEX(Pipeline_Calc!$H$2:$H$5251,Pipeline_Sort!$C321))</f>
        <v/>
      </c>
      <c r="H321">
        <f>IF(Pipeline_Sort!$C321="","",INDEX(Pipeline_Calc!$I$2:$I$5251,Pipeline_Sort!$C321))</f>
        <v/>
      </c>
      <c r="I321">
        <f>IF(Pipeline_Sort!$C321="","",INDEX(Pipeline_Calc!$J$2:$J$5251,Pipeline_Sort!$C321))</f>
        <v/>
      </c>
    </row>
    <row r="322">
      <c r="A322" s="22">
        <f>IF(Pipeline_Sort!$C322="","",INDEX(Pipeline_Calc!$B$2:$B$5251,Pipeline_Sort!$C322))</f>
        <v/>
      </c>
      <c r="B322">
        <f>IF(Pipeline_Sort!$C322="","",INDEX(Pipeline_Calc!$C$2:$C$5251,Pipeline_Sort!$C322))</f>
        <v/>
      </c>
      <c r="C322">
        <f>IF(Pipeline_Sort!$C322="","",INDEX(Pipeline_Calc!$D$2:$D$5251,Pipeline_Sort!$C322))</f>
        <v/>
      </c>
      <c r="D322">
        <f>IF(Pipeline_Sort!$C322="","",INDEX(Pipeline_Calc!$E$2:$E$5251,Pipeline_Sort!$C322))</f>
        <v/>
      </c>
      <c r="E322">
        <f>IF(Pipeline_Sort!$C322="","",INDEX(Pipeline_Calc!$F$2:$F$5251,Pipeline_Sort!$C322))</f>
        <v/>
      </c>
      <c r="F322">
        <f>IF(Pipeline_Sort!$C322="","",INDEX(Pipeline_Calc!$G$2:$G$5251,Pipeline_Sort!$C322))</f>
        <v/>
      </c>
      <c r="G322">
        <f>IF(Pipeline_Sort!$C322="","",INDEX(Pipeline_Calc!$H$2:$H$5251,Pipeline_Sort!$C322))</f>
        <v/>
      </c>
      <c r="H322">
        <f>IF(Pipeline_Sort!$C322="","",INDEX(Pipeline_Calc!$I$2:$I$5251,Pipeline_Sort!$C322))</f>
        <v/>
      </c>
      <c r="I322">
        <f>IF(Pipeline_Sort!$C322="","",INDEX(Pipeline_Calc!$J$2:$J$5251,Pipeline_Sort!$C322))</f>
        <v/>
      </c>
    </row>
    <row r="323">
      <c r="A323" s="22">
        <f>IF(Pipeline_Sort!$C323="","",INDEX(Pipeline_Calc!$B$2:$B$5251,Pipeline_Sort!$C323))</f>
        <v/>
      </c>
      <c r="B323">
        <f>IF(Pipeline_Sort!$C323="","",INDEX(Pipeline_Calc!$C$2:$C$5251,Pipeline_Sort!$C323))</f>
        <v/>
      </c>
      <c r="C323">
        <f>IF(Pipeline_Sort!$C323="","",INDEX(Pipeline_Calc!$D$2:$D$5251,Pipeline_Sort!$C323))</f>
        <v/>
      </c>
      <c r="D323">
        <f>IF(Pipeline_Sort!$C323="","",INDEX(Pipeline_Calc!$E$2:$E$5251,Pipeline_Sort!$C323))</f>
        <v/>
      </c>
      <c r="E323">
        <f>IF(Pipeline_Sort!$C323="","",INDEX(Pipeline_Calc!$F$2:$F$5251,Pipeline_Sort!$C323))</f>
        <v/>
      </c>
      <c r="F323">
        <f>IF(Pipeline_Sort!$C323="","",INDEX(Pipeline_Calc!$G$2:$G$5251,Pipeline_Sort!$C323))</f>
        <v/>
      </c>
      <c r="G323">
        <f>IF(Pipeline_Sort!$C323="","",INDEX(Pipeline_Calc!$H$2:$H$5251,Pipeline_Sort!$C323))</f>
        <v/>
      </c>
      <c r="H323">
        <f>IF(Pipeline_Sort!$C323="","",INDEX(Pipeline_Calc!$I$2:$I$5251,Pipeline_Sort!$C323))</f>
        <v/>
      </c>
      <c r="I323">
        <f>IF(Pipeline_Sort!$C323="","",INDEX(Pipeline_Calc!$J$2:$J$5251,Pipeline_Sort!$C323))</f>
        <v/>
      </c>
    </row>
    <row r="324">
      <c r="A324" s="22">
        <f>IF(Pipeline_Sort!$C324="","",INDEX(Pipeline_Calc!$B$2:$B$5251,Pipeline_Sort!$C324))</f>
        <v/>
      </c>
      <c r="B324">
        <f>IF(Pipeline_Sort!$C324="","",INDEX(Pipeline_Calc!$C$2:$C$5251,Pipeline_Sort!$C324))</f>
        <v/>
      </c>
      <c r="C324">
        <f>IF(Pipeline_Sort!$C324="","",INDEX(Pipeline_Calc!$D$2:$D$5251,Pipeline_Sort!$C324))</f>
        <v/>
      </c>
      <c r="D324">
        <f>IF(Pipeline_Sort!$C324="","",INDEX(Pipeline_Calc!$E$2:$E$5251,Pipeline_Sort!$C324))</f>
        <v/>
      </c>
      <c r="E324">
        <f>IF(Pipeline_Sort!$C324="","",INDEX(Pipeline_Calc!$F$2:$F$5251,Pipeline_Sort!$C324))</f>
        <v/>
      </c>
      <c r="F324">
        <f>IF(Pipeline_Sort!$C324="","",INDEX(Pipeline_Calc!$G$2:$G$5251,Pipeline_Sort!$C324))</f>
        <v/>
      </c>
      <c r="G324">
        <f>IF(Pipeline_Sort!$C324="","",INDEX(Pipeline_Calc!$H$2:$H$5251,Pipeline_Sort!$C324))</f>
        <v/>
      </c>
      <c r="H324">
        <f>IF(Pipeline_Sort!$C324="","",INDEX(Pipeline_Calc!$I$2:$I$5251,Pipeline_Sort!$C324))</f>
        <v/>
      </c>
      <c r="I324">
        <f>IF(Pipeline_Sort!$C324="","",INDEX(Pipeline_Calc!$J$2:$J$5251,Pipeline_Sort!$C324))</f>
        <v/>
      </c>
    </row>
    <row r="325">
      <c r="A325" s="22">
        <f>IF(Pipeline_Sort!$C325="","",INDEX(Pipeline_Calc!$B$2:$B$5251,Pipeline_Sort!$C325))</f>
        <v/>
      </c>
      <c r="B325">
        <f>IF(Pipeline_Sort!$C325="","",INDEX(Pipeline_Calc!$C$2:$C$5251,Pipeline_Sort!$C325))</f>
        <v/>
      </c>
      <c r="C325">
        <f>IF(Pipeline_Sort!$C325="","",INDEX(Pipeline_Calc!$D$2:$D$5251,Pipeline_Sort!$C325))</f>
        <v/>
      </c>
      <c r="D325">
        <f>IF(Pipeline_Sort!$C325="","",INDEX(Pipeline_Calc!$E$2:$E$5251,Pipeline_Sort!$C325))</f>
        <v/>
      </c>
      <c r="E325">
        <f>IF(Pipeline_Sort!$C325="","",INDEX(Pipeline_Calc!$F$2:$F$5251,Pipeline_Sort!$C325))</f>
        <v/>
      </c>
      <c r="F325">
        <f>IF(Pipeline_Sort!$C325="","",INDEX(Pipeline_Calc!$G$2:$G$5251,Pipeline_Sort!$C325))</f>
        <v/>
      </c>
      <c r="G325">
        <f>IF(Pipeline_Sort!$C325="","",INDEX(Pipeline_Calc!$H$2:$H$5251,Pipeline_Sort!$C325))</f>
        <v/>
      </c>
      <c r="H325">
        <f>IF(Pipeline_Sort!$C325="","",INDEX(Pipeline_Calc!$I$2:$I$5251,Pipeline_Sort!$C325))</f>
        <v/>
      </c>
      <c r="I325">
        <f>IF(Pipeline_Sort!$C325="","",INDEX(Pipeline_Calc!$J$2:$J$5251,Pipeline_Sort!$C325))</f>
        <v/>
      </c>
    </row>
    <row r="326">
      <c r="A326" s="22">
        <f>IF(Pipeline_Sort!$C326="","",INDEX(Pipeline_Calc!$B$2:$B$5251,Pipeline_Sort!$C326))</f>
        <v/>
      </c>
      <c r="B326">
        <f>IF(Pipeline_Sort!$C326="","",INDEX(Pipeline_Calc!$C$2:$C$5251,Pipeline_Sort!$C326))</f>
        <v/>
      </c>
      <c r="C326">
        <f>IF(Pipeline_Sort!$C326="","",INDEX(Pipeline_Calc!$D$2:$D$5251,Pipeline_Sort!$C326))</f>
        <v/>
      </c>
      <c r="D326">
        <f>IF(Pipeline_Sort!$C326="","",INDEX(Pipeline_Calc!$E$2:$E$5251,Pipeline_Sort!$C326))</f>
        <v/>
      </c>
      <c r="E326">
        <f>IF(Pipeline_Sort!$C326="","",INDEX(Pipeline_Calc!$F$2:$F$5251,Pipeline_Sort!$C326))</f>
        <v/>
      </c>
      <c r="F326">
        <f>IF(Pipeline_Sort!$C326="","",INDEX(Pipeline_Calc!$G$2:$G$5251,Pipeline_Sort!$C326))</f>
        <v/>
      </c>
      <c r="G326">
        <f>IF(Pipeline_Sort!$C326="","",INDEX(Pipeline_Calc!$H$2:$H$5251,Pipeline_Sort!$C326))</f>
        <v/>
      </c>
      <c r="H326">
        <f>IF(Pipeline_Sort!$C326="","",INDEX(Pipeline_Calc!$I$2:$I$5251,Pipeline_Sort!$C326))</f>
        <v/>
      </c>
      <c r="I326">
        <f>IF(Pipeline_Sort!$C326="","",INDEX(Pipeline_Calc!$J$2:$J$5251,Pipeline_Sort!$C326))</f>
        <v/>
      </c>
    </row>
    <row r="327">
      <c r="A327" s="22">
        <f>IF(Pipeline_Sort!$C327="","",INDEX(Pipeline_Calc!$B$2:$B$5251,Pipeline_Sort!$C327))</f>
        <v/>
      </c>
      <c r="B327">
        <f>IF(Pipeline_Sort!$C327="","",INDEX(Pipeline_Calc!$C$2:$C$5251,Pipeline_Sort!$C327))</f>
        <v/>
      </c>
      <c r="C327">
        <f>IF(Pipeline_Sort!$C327="","",INDEX(Pipeline_Calc!$D$2:$D$5251,Pipeline_Sort!$C327))</f>
        <v/>
      </c>
      <c r="D327">
        <f>IF(Pipeline_Sort!$C327="","",INDEX(Pipeline_Calc!$E$2:$E$5251,Pipeline_Sort!$C327))</f>
        <v/>
      </c>
      <c r="E327">
        <f>IF(Pipeline_Sort!$C327="","",INDEX(Pipeline_Calc!$F$2:$F$5251,Pipeline_Sort!$C327))</f>
        <v/>
      </c>
      <c r="F327">
        <f>IF(Pipeline_Sort!$C327="","",INDEX(Pipeline_Calc!$G$2:$G$5251,Pipeline_Sort!$C327))</f>
        <v/>
      </c>
      <c r="G327">
        <f>IF(Pipeline_Sort!$C327="","",INDEX(Pipeline_Calc!$H$2:$H$5251,Pipeline_Sort!$C327))</f>
        <v/>
      </c>
      <c r="H327">
        <f>IF(Pipeline_Sort!$C327="","",INDEX(Pipeline_Calc!$I$2:$I$5251,Pipeline_Sort!$C327))</f>
        <v/>
      </c>
      <c r="I327">
        <f>IF(Pipeline_Sort!$C327="","",INDEX(Pipeline_Calc!$J$2:$J$5251,Pipeline_Sort!$C327))</f>
        <v/>
      </c>
    </row>
    <row r="328">
      <c r="A328" s="22">
        <f>IF(Pipeline_Sort!$C328="","",INDEX(Pipeline_Calc!$B$2:$B$5251,Pipeline_Sort!$C328))</f>
        <v/>
      </c>
      <c r="B328">
        <f>IF(Pipeline_Sort!$C328="","",INDEX(Pipeline_Calc!$C$2:$C$5251,Pipeline_Sort!$C328))</f>
        <v/>
      </c>
      <c r="C328">
        <f>IF(Pipeline_Sort!$C328="","",INDEX(Pipeline_Calc!$D$2:$D$5251,Pipeline_Sort!$C328))</f>
        <v/>
      </c>
      <c r="D328">
        <f>IF(Pipeline_Sort!$C328="","",INDEX(Pipeline_Calc!$E$2:$E$5251,Pipeline_Sort!$C328))</f>
        <v/>
      </c>
      <c r="E328">
        <f>IF(Pipeline_Sort!$C328="","",INDEX(Pipeline_Calc!$F$2:$F$5251,Pipeline_Sort!$C328))</f>
        <v/>
      </c>
      <c r="F328">
        <f>IF(Pipeline_Sort!$C328="","",INDEX(Pipeline_Calc!$G$2:$G$5251,Pipeline_Sort!$C328))</f>
        <v/>
      </c>
      <c r="G328">
        <f>IF(Pipeline_Sort!$C328="","",INDEX(Pipeline_Calc!$H$2:$H$5251,Pipeline_Sort!$C328))</f>
        <v/>
      </c>
      <c r="H328">
        <f>IF(Pipeline_Sort!$C328="","",INDEX(Pipeline_Calc!$I$2:$I$5251,Pipeline_Sort!$C328))</f>
        <v/>
      </c>
      <c r="I328">
        <f>IF(Pipeline_Sort!$C328="","",INDEX(Pipeline_Calc!$J$2:$J$5251,Pipeline_Sort!$C328))</f>
        <v/>
      </c>
    </row>
    <row r="329">
      <c r="A329" s="22">
        <f>IF(Pipeline_Sort!$C329="","",INDEX(Pipeline_Calc!$B$2:$B$5251,Pipeline_Sort!$C329))</f>
        <v/>
      </c>
      <c r="B329">
        <f>IF(Pipeline_Sort!$C329="","",INDEX(Pipeline_Calc!$C$2:$C$5251,Pipeline_Sort!$C329))</f>
        <v/>
      </c>
      <c r="C329">
        <f>IF(Pipeline_Sort!$C329="","",INDEX(Pipeline_Calc!$D$2:$D$5251,Pipeline_Sort!$C329))</f>
        <v/>
      </c>
      <c r="D329">
        <f>IF(Pipeline_Sort!$C329="","",INDEX(Pipeline_Calc!$E$2:$E$5251,Pipeline_Sort!$C329))</f>
        <v/>
      </c>
      <c r="E329">
        <f>IF(Pipeline_Sort!$C329="","",INDEX(Pipeline_Calc!$F$2:$F$5251,Pipeline_Sort!$C329))</f>
        <v/>
      </c>
      <c r="F329">
        <f>IF(Pipeline_Sort!$C329="","",INDEX(Pipeline_Calc!$G$2:$G$5251,Pipeline_Sort!$C329))</f>
        <v/>
      </c>
      <c r="G329">
        <f>IF(Pipeline_Sort!$C329="","",INDEX(Pipeline_Calc!$H$2:$H$5251,Pipeline_Sort!$C329))</f>
        <v/>
      </c>
      <c r="H329">
        <f>IF(Pipeline_Sort!$C329="","",INDEX(Pipeline_Calc!$I$2:$I$5251,Pipeline_Sort!$C329))</f>
        <v/>
      </c>
      <c r="I329">
        <f>IF(Pipeline_Sort!$C329="","",INDEX(Pipeline_Calc!$J$2:$J$5251,Pipeline_Sort!$C329))</f>
        <v/>
      </c>
    </row>
    <row r="330">
      <c r="A330" s="22">
        <f>IF(Pipeline_Sort!$C330="","",INDEX(Pipeline_Calc!$B$2:$B$5251,Pipeline_Sort!$C330))</f>
        <v/>
      </c>
      <c r="B330">
        <f>IF(Pipeline_Sort!$C330="","",INDEX(Pipeline_Calc!$C$2:$C$5251,Pipeline_Sort!$C330))</f>
        <v/>
      </c>
      <c r="C330">
        <f>IF(Pipeline_Sort!$C330="","",INDEX(Pipeline_Calc!$D$2:$D$5251,Pipeline_Sort!$C330))</f>
        <v/>
      </c>
      <c r="D330">
        <f>IF(Pipeline_Sort!$C330="","",INDEX(Pipeline_Calc!$E$2:$E$5251,Pipeline_Sort!$C330))</f>
        <v/>
      </c>
      <c r="E330">
        <f>IF(Pipeline_Sort!$C330="","",INDEX(Pipeline_Calc!$F$2:$F$5251,Pipeline_Sort!$C330))</f>
        <v/>
      </c>
      <c r="F330">
        <f>IF(Pipeline_Sort!$C330="","",INDEX(Pipeline_Calc!$G$2:$G$5251,Pipeline_Sort!$C330))</f>
        <v/>
      </c>
      <c r="G330">
        <f>IF(Pipeline_Sort!$C330="","",INDEX(Pipeline_Calc!$H$2:$H$5251,Pipeline_Sort!$C330))</f>
        <v/>
      </c>
      <c r="H330">
        <f>IF(Pipeline_Sort!$C330="","",INDEX(Pipeline_Calc!$I$2:$I$5251,Pipeline_Sort!$C330))</f>
        <v/>
      </c>
      <c r="I330">
        <f>IF(Pipeline_Sort!$C330="","",INDEX(Pipeline_Calc!$J$2:$J$5251,Pipeline_Sort!$C330))</f>
        <v/>
      </c>
    </row>
    <row r="331">
      <c r="A331" s="22">
        <f>IF(Pipeline_Sort!$C331="","",INDEX(Pipeline_Calc!$B$2:$B$5251,Pipeline_Sort!$C331))</f>
        <v/>
      </c>
      <c r="B331">
        <f>IF(Pipeline_Sort!$C331="","",INDEX(Pipeline_Calc!$C$2:$C$5251,Pipeline_Sort!$C331))</f>
        <v/>
      </c>
      <c r="C331">
        <f>IF(Pipeline_Sort!$C331="","",INDEX(Pipeline_Calc!$D$2:$D$5251,Pipeline_Sort!$C331))</f>
        <v/>
      </c>
      <c r="D331">
        <f>IF(Pipeline_Sort!$C331="","",INDEX(Pipeline_Calc!$E$2:$E$5251,Pipeline_Sort!$C331))</f>
        <v/>
      </c>
      <c r="E331">
        <f>IF(Pipeline_Sort!$C331="","",INDEX(Pipeline_Calc!$F$2:$F$5251,Pipeline_Sort!$C331))</f>
        <v/>
      </c>
      <c r="F331">
        <f>IF(Pipeline_Sort!$C331="","",INDEX(Pipeline_Calc!$G$2:$G$5251,Pipeline_Sort!$C331))</f>
        <v/>
      </c>
      <c r="G331">
        <f>IF(Pipeline_Sort!$C331="","",INDEX(Pipeline_Calc!$H$2:$H$5251,Pipeline_Sort!$C331))</f>
        <v/>
      </c>
      <c r="H331">
        <f>IF(Pipeline_Sort!$C331="","",INDEX(Pipeline_Calc!$I$2:$I$5251,Pipeline_Sort!$C331))</f>
        <v/>
      </c>
      <c r="I331">
        <f>IF(Pipeline_Sort!$C331="","",INDEX(Pipeline_Calc!$J$2:$J$5251,Pipeline_Sort!$C331))</f>
        <v/>
      </c>
    </row>
    <row r="332">
      <c r="A332" s="22">
        <f>IF(Pipeline_Sort!$C332="","",INDEX(Pipeline_Calc!$B$2:$B$5251,Pipeline_Sort!$C332))</f>
        <v/>
      </c>
      <c r="B332">
        <f>IF(Pipeline_Sort!$C332="","",INDEX(Pipeline_Calc!$C$2:$C$5251,Pipeline_Sort!$C332))</f>
        <v/>
      </c>
      <c r="C332">
        <f>IF(Pipeline_Sort!$C332="","",INDEX(Pipeline_Calc!$D$2:$D$5251,Pipeline_Sort!$C332))</f>
        <v/>
      </c>
      <c r="D332">
        <f>IF(Pipeline_Sort!$C332="","",INDEX(Pipeline_Calc!$E$2:$E$5251,Pipeline_Sort!$C332))</f>
        <v/>
      </c>
      <c r="E332">
        <f>IF(Pipeline_Sort!$C332="","",INDEX(Pipeline_Calc!$F$2:$F$5251,Pipeline_Sort!$C332))</f>
        <v/>
      </c>
      <c r="F332">
        <f>IF(Pipeline_Sort!$C332="","",INDEX(Pipeline_Calc!$G$2:$G$5251,Pipeline_Sort!$C332))</f>
        <v/>
      </c>
      <c r="G332">
        <f>IF(Pipeline_Sort!$C332="","",INDEX(Pipeline_Calc!$H$2:$H$5251,Pipeline_Sort!$C332))</f>
        <v/>
      </c>
      <c r="H332">
        <f>IF(Pipeline_Sort!$C332="","",INDEX(Pipeline_Calc!$I$2:$I$5251,Pipeline_Sort!$C332))</f>
        <v/>
      </c>
      <c r="I332">
        <f>IF(Pipeline_Sort!$C332="","",INDEX(Pipeline_Calc!$J$2:$J$5251,Pipeline_Sort!$C332))</f>
        <v/>
      </c>
    </row>
    <row r="333">
      <c r="A333" s="22">
        <f>IF(Pipeline_Sort!$C333="","",INDEX(Pipeline_Calc!$B$2:$B$5251,Pipeline_Sort!$C333))</f>
        <v/>
      </c>
      <c r="B333">
        <f>IF(Pipeline_Sort!$C333="","",INDEX(Pipeline_Calc!$C$2:$C$5251,Pipeline_Sort!$C333))</f>
        <v/>
      </c>
      <c r="C333">
        <f>IF(Pipeline_Sort!$C333="","",INDEX(Pipeline_Calc!$D$2:$D$5251,Pipeline_Sort!$C333))</f>
        <v/>
      </c>
      <c r="D333">
        <f>IF(Pipeline_Sort!$C333="","",INDEX(Pipeline_Calc!$E$2:$E$5251,Pipeline_Sort!$C333))</f>
        <v/>
      </c>
      <c r="E333">
        <f>IF(Pipeline_Sort!$C333="","",INDEX(Pipeline_Calc!$F$2:$F$5251,Pipeline_Sort!$C333))</f>
        <v/>
      </c>
      <c r="F333">
        <f>IF(Pipeline_Sort!$C333="","",INDEX(Pipeline_Calc!$G$2:$G$5251,Pipeline_Sort!$C333))</f>
        <v/>
      </c>
      <c r="G333">
        <f>IF(Pipeline_Sort!$C333="","",INDEX(Pipeline_Calc!$H$2:$H$5251,Pipeline_Sort!$C333))</f>
        <v/>
      </c>
      <c r="H333">
        <f>IF(Pipeline_Sort!$C333="","",INDEX(Pipeline_Calc!$I$2:$I$5251,Pipeline_Sort!$C333))</f>
        <v/>
      </c>
      <c r="I333">
        <f>IF(Pipeline_Sort!$C333="","",INDEX(Pipeline_Calc!$J$2:$J$5251,Pipeline_Sort!$C333))</f>
        <v/>
      </c>
    </row>
    <row r="334">
      <c r="A334" s="22">
        <f>IF(Pipeline_Sort!$C334="","",INDEX(Pipeline_Calc!$B$2:$B$5251,Pipeline_Sort!$C334))</f>
        <v/>
      </c>
      <c r="B334">
        <f>IF(Pipeline_Sort!$C334="","",INDEX(Pipeline_Calc!$C$2:$C$5251,Pipeline_Sort!$C334))</f>
        <v/>
      </c>
      <c r="C334">
        <f>IF(Pipeline_Sort!$C334="","",INDEX(Pipeline_Calc!$D$2:$D$5251,Pipeline_Sort!$C334))</f>
        <v/>
      </c>
      <c r="D334">
        <f>IF(Pipeline_Sort!$C334="","",INDEX(Pipeline_Calc!$E$2:$E$5251,Pipeline_Sort!$C334))</f>
        <v/>
      </c>
      <c r="E334">
        <f>IF(Pipeline_Sort!$C334="","",INDEX(Pipeline_Calc!$F$2:$F$5251,Pipeline_Sort!$C334))</f>
        <v/>
      </c>
      <c r="F334">
        <f>IF(Pipeline_Sort!$C334="","",INDEX(Pipeline_Calc!$G$2:$G$5251,Pipeline_Sort!$C334))</f>
        <v/>
      </c>
      <c r="G334">
        <f>IF(Pipeline_Sort!$C334="","",INDEX(Pipeline_Calc!$H$2:$H$5251,Pipeline_Sort!$C334))</f>
        <v/>
      </c>
      <c r="H334">
        <f>IF(Pipeline_Sort!$C334="","",INDEX(Pipeline_Calc!$I$2:$I$5251,Pipeline_Sort!$C334))</f>
        <v/>
      </c>
      <c r="I334">
        <f>IF(Pipeline_Sort!$C334="","",INDEX(Pipeline_Calc!$J$2:$J$5251,Pipeline_Sort!$C334))</f>
        <v/>
      </c>
    </row>
    <row r="335">
      <c r="A335" s="22">
        <f>IF(Pipeline_Sort!$C335="","",INDEX(Pipeline_Calc!$B$2:$B$5251,Pipeline_Sort!$C335))</f>
        <v/>
      </c>
      <c r="B335">
        <f>IF(Pipeline_Sort!$C335="","",INDEX(Pipeline_Calc!$C$2:$C$5251,Pipeline_Sort!$C335))</f>
        <v/>
      </c>
      <c r="C335">
        <f>IF(Pipeline_Sort!$C335="","",INDEX(Pipeline_Calc!$D$2:$D$5251,Pipeline_Sort!$C335))</f>
        <v/>
      </c>
      <c r="D335">
        <f>IF(Pipeline_Sort!$C335="","",INDEX(Pipeline_Calc!$E$2:$E$5251,Pipeline_Sort!$C335))</f>
        <v/>
      </c>
      <c r="E335">
        <f>IF(Pipeline_Sort!$C335="","",INDEX(Pipeline_Calc!$F$2:$F$5251,Pipeline_Sort!$C335))</f>
        <v/>
      </c>
      <c r="F335">
        <f>IF(Pipeline_Sort!$C335="","",INDEX(Pipeline_Calc!$G$2:$G$5251,Pipeline_Sort!$C335))</f>
        <v/>
      </c>
      <c r="G335">
        <f>IF(Pipeline_Sort!$C335="","",INDEX(Pipeline_Calc!$H$2:$H$5251,Pipeline_Sort!$C335))</f>
        <v/>
      </c>
      <c r="H335">
        <f>IF(Pipeline_Sort!$C335="","",INDEX(Pipeline_Calc!$I$2:$I$5251,Pipeline_Sort!$C335))</f>
        <v/>
      </c>
      <c r="I335">
        <f>IF(Pipeline_Sort!$C335="","",INDEX(Pipeline_Calc!$J$2:$J$5251,Pipeline_Sort!$C335))</f>
        <v/>
      </c>
    </row>
    <row r="336">
      <c r="A336" s="22">
        <f>IF(Pipeline_Sort!$C336="","",INDEX(Pipeline_Calc!$B$2:$B$5251,Pipeline_Sort!$C336))</f>
        <v/>
      </c>
      <c r="B336">
        <f>IF(Pipeline_Sort!$C336="","",INDEX(Pipeline_Calc!$C$2:$C$5251,Pipeline_Sort!$C336))</f>
        <v/>
      </c>
      <c r="C336">
        <f>IF(Pipeline_Sort!$C336="","",INDEX(Pipeline_Calc!$D$2:$D$5251,Pipeline_Sort!$C336))</f>
        <v/>
      </c>
      <c r="D336">
        <f>IF(Pipeline_Sort!$C336="","",INDEX(Pipeline_Calc!$E$2:$E$5251,Pipeline_Sort!$C336))</f>
        <v/>
      </c>
      <c r="E336">
        <f>IF(Pipeline_Sort!$C336="","",INDEX(Pipeline_Calc!$F$2:$F$5251,Pipeline_Sort!$C336))</f>
        <v/>
      </c>
      <c r="F336">
        <f>IF(Pipeline_Sort!$C336="","",INDEX(Pipeline_Calc!$G$2:$G$5251,Pipeline_Sort!$C336))</f>
        <v/>
      </c>
      <c r="G336">
        <f>IF(Pipeline_Sort!$C336="","",INDEX(Pipeline_Calc!$H$2:$H$5251,Pipeline_Sort!$C336))</f>
        <v/>
      </c>
      <c r="H336">
        <f>IF(Pipeline_Sort!$C336="","",INDEX(Pipeline_Calc!$I$2:$I$5251,Pipeline_Sort!$C336))</f>
        <v/>
      </c>
      <c r="I336">
        <f>IF(Pipeline_Sort!$C336="","",INDEX(Pipeline_Calc!$J$2:$J$5251,Pipeline_Sort!$C336))</f>
        <v/>
      </c>
    </row>
    <row r="337">
      <c r="A337" s="22">
        <f>IF(Pipeline_Sort!$C337="","",INDEX(Pipeline_Calc!$B$2:$B$5251,Pipeline_Sort!$C337))</f>
        <v/>
      </c>
      <c r="B337">
        <f>IF(Pipeline_Sort!$C337="","",INDEX(Pipeline_Calc!$C$2:$C$5251,Pipeline_Sort!$C337))</f>
        <v/>
      </c>
      <c r="C337">
        <f>IF(Pipeline_Sort!$C337="","",INDEX(Pipeline_Calc!$D$2:$D$5251,Pipeline_Sort!$C337))</f>
        <v/>
      </c>
      <c r="D337">
        <f>IF(Pipeline_Sort!$C337="","",INDEX(Pipeline_Calc!$E$2:$E$5251,Pipeline_Sort!$C337))</f>
        <v/>
      </c>
      <c r="E337">
        <f>IF(Pipeline_Sort!$C337="","",INDEX(Pipeline_Calc!$F$2:$F$5251,Pipeline_Sort!$C337))</f>
        <v/>
      </c>
      <c r="F337">
        <f>IF(Pipeline_Sort!$C337="","",INDEX(Pipeline_Calc!$G$2:$G$5251,Pipeline_Sort!$C337))</f>
        <v/>
      </c>
      <c r="G337">
        <f>IF(Pipeline_Sort!$C337="","",INDEX(Pipeline_Calc!$H$2:$H$5251,Pipeline_Sort!$C337))</f>
        <v/>
      </c>
      <c r="H337">
        <f>IF(Pipeline_Sort!$C337="","",INDEX(Pipeline_Calc!$I$2:$I$5251,Pipeline_Sort!$C337))</f>
        <v/>
      </c>
      <c r="I337">
        <f>IF(Pipeline_Sort!$C337="","",INDEX(Pipeline_Calc!$J$2:$J$5251,Pipeline_Sort!$C337))</f>
        <v/>
      </c>
    </row>
    <row r="338">
      <c r="A338" s="22">
        <f>IF(Pipeline_Sort!$C338="","",INDEX(Pipeline_Calc!$B$2:$B$5251,Pipeline_Sort!$C338))</f>
        <v/>
      </c>
      <c r="B338">
        <f>IF(Pipeline_Sort!$C338="","",INDEX(Pipeline_Calc!$C$2:$C$5251,Pipeline_Sort!$C338))</f>
        <v/>
      </c>
      <c r="C338">
        <f>IF(Pipeline_Sort!$C338="","",INDEX(Pipeline_Calc!$D$2:$D$5251,Pipeline_Sort!$C338))</f>
        <v/>
      </c>
      <c r="D338">
        <f>IF(Pipeline_Sort!$C338="","",INDEX(Pipeline_Calc!$E$2:$E$5251,Pipeline_Sort!$C338))</f>
        <v/>
      </c>
      <c r="E338">
        <f>IF(Pipeline_Sort!$C338="","",INDEX(Pipeline_Calc!$F$2:$F$5251,Pipeline_Sort!$C338))</f>
        <v/>
      </c>
      <c r="F338">
        <f>IF(Pipeline_Sort!$C338="","",INDEX(Pipeline_Calc!$G$2:$G$5251,Pipeline_Sort!$C338))</f>
        <v/>
      </c>
      <c r="G338">
        <f>IF(Pipeline_Sort!$C338="","",INDEX(Pipeline_Calc!$H$2:$H$5251,Pipeline_Sort!$C338))</f>
        <v/>
      </c>
      <c r="H338">
        <f>IF(Pipeline_Sort!$C338="","",INDEX(Pipeline_Calc!$I$2:$I$5251,Pipeline_Sort!$C338))</f>
        <v/>
      </c>
      <c r="I338">
        <f>IF(Pipeline_Sort!$C338="","",INDEX(Pipeline_Calc!$J$2:$J$5251,Pipeline_Sort!$C338))</f>
        <v/>
      </c>
    </row>
    <row r="339">
      <c r="A339" s="22">
        <f>IF(Pipeline_Sort!$C339="","",INDEX(Pipeline_Calc!$B$2:$B$5251,Pipeline_Sort!$C339))</f>
        <v/>
      </c>
      <c r="B339">
        <f>IF(Pipeline_Sort!$C339="","",INDEX(Pipeline_Calc!$C$2:$C$5251,Pipeline_Sort!$C339))</f>
        <v/>
      </c>
      <c r="C339">
        <f>IF(Pipeline_Sort!$C339="","",INDEX(Pipeline_Calc!$D$2:$D$5251,Pipeline_Sort!$C339))</f>
        <v/>
      </c>
      <c r="D339">
        <f>IF(Pipeline_Sort!$C339="","",INDEX(Pipeline_Calc!$E$2:$E$5251,Pipeline_Sort!$C339))</f>
        <v/>
      </c>
      <c r="E339">
        <f>IF(Pipeline_Sort!$C339="","",INDEX(Pipeline_Calc!$F$2:$F$5251,Pipeline_Sort!$C339))</f>
        <v/>
      </c>
      <c r="F339">
        <f>IF(Pipeline_Sort!$C339="","",INDEX(Pipeline_Calc!$G$2:$G$5251,Pipeline_Sort!$C339))</f>
        <v/>
      </c>
      <c r="G339">
        <f>IF(Pipeline_Sort!$C339="","",INDEX(Pipeline_Calc!$H$2:$H$5251,Pipeline_Sort!$C339))</f>
        <v/>
      </c>
      <c r="H339">
        <f>IF(Pipeline_Sort!$C339="","",INDEX(Pipeline_Calc!$I$2:$I$5251,Pipeline_Sort!$C339))</f>
        <v/>
      </c>
      <c r="I339">
        <f>IF(Pipeline_Sort!$C339="","",INDEX(Pipeline_Calc!$J$2:$J$5251,Pipeline_Sort!$C339))</f>
        <v/>
      </c>
    </row>
    <row r="340">
      <c r="A340" s="22">
        <f>IF(Pipeline_Sort!$C340="","",INDEX(Pipeline_Calc!$B$2:$B$5251,Pipeline_Sort!$C340))</f>
        <v/>
      </c>
      <c r="B340">
        <f>IF(Pipeline_Sort!$C340="","",INDEX(Pipeline_Calc!$C$2:$C$5251,Pipeline_Sort!$C340))</f>
        <v/>
      </c>
      <c r="C340">
        <f>IF(Pipeline_Sort!$C340="","",INDEX(Pipeline_Calc!$D$2:$D$5251,Pipeline_Sort!$C340))</f>
        <v/>
      </c>
      <c r="D340">
        <f>IF(Pipeline_Sort!$C340="","",INDEX(Pipeline_Calc!$E$2:$E$5251,Pipeline_Sort!$C340))</f>
        <v/>
      </c>
      <c r="E340">
        <f>IF(Pipeline_Sort!$C340="","",INDEX(Pipeline_Calc!$F$2:$F$5251,Pipeline_Sort!$C340))</f>
        <v/>
      </c>
      <c r="F340">
        <f>IF(Pipeline_Sort!$C340="","",INDEX(Pipeline_Calc!$G$2:$G$5251,Pipeline_Sort!$C340))</f>
        <v/>
      </c>
      <c r="G340">
        <f>IF(Pipeline_Sort!$C340="","",INDEX(Pipeline_Calc!$H$2:$H$5251,Pipeline_Sort!$C340))</f>
        <v/>
      </c>
      <c r="H340">
        <f>IF(Pipeline_Sort!$C340="","",INDEX(Pipeline_Calc!$I$2:$I$5251,Pipeline_Sort!$C340))</f>
        <v/>
      </c>
      <c r="I340">
        <f>IF(Pipeline_Sort!$C340="","",INDEX(Pipeline_Calc!$J$2:$J$5251,Pipeline_Sort!$C340))</f>
        <v/>
      </c>
    </row>
    <row r="341">
      <c r="A341" s="22">
        <f>IF(Pipeline_Sort!$C341="","",INDEX(Pipeline_Calc!$B$2:$B$5251,Pipeline_Sort!$C341))</f>
        <v/>
      </c>
      <c r="B341">
        <f>IF(Pipeline_Sort!$C341="","",INDEX(Pipeline_Calc!$C$2:$C$5251,Pipeline_Sort!$C341))</f>
        <v/>
      </c>
      <c r="C341">
        <f>IF(Pipeline_Sort!$C341="","",INDEX(Pipeline_Calc!$D$2:$D$5251,Pipeline_Sort!$C341))</f>
        <v/>
      </c>
      <c r="D341">
        <f>IF(Pipeline_Sort!$C341="","",INDEX(Pipeline_Calc!$E$2:$E$5251,Pipeline_Sort!$C341))</f>
        <v/>
      </c>
      <c r="E341">
        <f>IF(Pipeline_Sort!$C341="","",INDEX(Pipeline_Calc!$F$2:$F$5251,Pipeline_Sort!$C341))</f>
        <v/>
      </c>
      <c r="F341">
        <f>IF(Pipeline_Sort!$C341="","",INDEX(Pipeline_Calc!$G$2:$G$5251,Pipeline_Sort!$C341))</f>
        <v/>
      </c>
      <c r="G341">
        <f>IF(Pipeline_Sort!$C341="","",INDEX(Pipeline_Calc!$H$2:$H$5251,Pipeline_Sort!$C341))</f>
        <v/>
      </c>
      <c r="H341">
        <f>IF(Pipeline_Sort!$C341="","",INDEX(Pipeline_Calc!$I$2:$I$5251,Pipeline_Sort!$C341))</f>
        <v/>
      </c>
      <c r="I341">
        <f>IF(Pipeline_Sort!$C341="","",INDEX(Pipeline_Calc!$J$2:$J$5251,Pipeline_Sort!$C341))</f>
        <v/>
      </c>
    </row>
    <row r="342">
      <c r="A342" s="22">
        <f>IF(Pipeline_Sort!$C342="","",INDEX(Pipeline_Calc!$B$2:$B$5251,Pipeline_Sort!$C342))</f>
        <v/>
      </c>
      <c r="B342">
        <f>IF(Pipeline_Sort!$C342="","",INDEX(Pipeline_Calc!$C$2:$C$5251,Pipeline_Sort!$C342))</f>
        <v/>
      </c>
      <c r="C342">
        <f>IF(Pipeline_Sort!$C342="","",INDEX(Pipeline_Calc!$D$2:$D$5251,Pipeline_Sort!$C342))</f>
        <v/>
      </c>
      <c r="D342">
        <f>IF(Pipeline_Sort!$C342="","",INDEX(Pipeline_Calc!$E$2:$E$5251,Pipeline_Sort!$C342))</f>
        <v/>
      </c>
      <c r="E342">
        <f>IF(Pipeline_Sort!$C342="","",INDEX(Pipeline_Calc!$F$2:$F$5251,Pipeline_Sort!$C342))</f>
        <v/>
      </c>
      <c r="F342">
        <f>IF(Pipeline_Sort!$C342="","",INDEX(Pipeline_Calc!$G$2:$G$5251,Pipeline_Sort!$C342))</f>
        <v/>
      </c>
      <c r="G342">
        <f>IF(Pipeline_Sort!$C342="","",INDEX(Pipeline_Calc!$H$2:$H$5251,Pipeline_Sort!$C342))</f>
        <v/>
      </c>
      <c r="H342">
        <f>IF(Pipeline_Sort!$C342="","",INDEX(Pipeline_Calc!$I$2:$I$5251,Pipeline_Sort!$C342))</f>
        <v/>
      </c>
      <c r="I342">
        <f>IF(Pipeline_Sort!$C342="","",INDEX(Pipeline_Calc!$J$2:$J$5251,Pipeline_Sort!$C342))</f>
        <v/>
      </c>
    </row>
    <row r="343">
      <c r="A343" s="22">
        <f>IF(Pipeline_Sort!$C343="","",INDEX(Pipeline_Calc!$B$2:$B$5251,Pipeline_Sort!$C343))</f>
        <v/>
      </c>
      <c r="B343">
        <f>IF(Pipeline_Sort!$C343="","",INDEX(Pipeline_Calc!$C$2:$C$5251,Pipeline_Sort!$C343))</f>
        <v/>
      </c>
      <c r="C343">
        <f>IF(Pipeline_Sort!$C343="","",INDEX(Pipeline_Calc!$D$2:$D$5251,Pipeline_Sort!$C343))</f>
        <v/>
      </c>
      <c r="D343">
        <f>IF(Pipeline_Sort!$C343="","",INDEX(Pipeline_Calc!$E$2:$E$5251,Pipeline_Sort!$C343))</f>
        <v/>
      </c>
      <c r="E343">
        <f>IF(Pipeline_Sort!$C343="","",INDEX(Pipeline_Calc!$F$2:$F$5251,Pipeline_Sort!$C343))</f>
        <v/>
      </c>
      <c r="F343">
        <f>IF(Pipeline_Sort!$C343="","",INDEX(Pipeline_Calc!$G$2:$G$5251,Pipeline_Sort!$C343))</f>
        <v/>
      </c>
      <c r="G343">
        <f>IF(Pipeline_Sort!$C343="","",INDEX(Pipeline_Calc!$H$2:$H$5251,Pipeline_Sort!$C343))</f>
        <v/>
      </c>
      <c r="H343">
        <f>IF(Pipeline_Sort!$C343="","",INDEX(Pipeline_Calc!$I$2:$I$5251,Pipeline_Sort!$C343))</f>
        <v/>
      </c>
      <c r="I343">
        <f>IF(Pipeline_Sort!$C343="","",INDEX(Pipeline_Calc!$J$2:$J$5251,Pipeline_Sort!$C343))</f>
        <v/>
      </c>
    </row>
    <row r="344">
      <c r="A344" s="22">
        <f>IF(Pipeline_Sort!$C344="","",INDEX(Pipeline_Calc!$B$2:$B$5251,Pipeline_Sort!$C344))</f>
        <v/>
      </c>
      <c r="B344">
        <f>IF(Pipeline_Sort!$C344="","",INDEX(Pipeline_Calc!$C$2:$C$5251,Pipeline_Sort!$C344))</f>
        <v/>
      </c>
      <c r="C344">
        <f>IF(Pipeline_Sort!$C344="","",INDEX(Pipeline_Calc!$D$2:$D$5251,Pipeline_Sort!$C344))</f>
        <v/>
      </c>
      <c r="D344">
        <f>IF(Pipeline_Sort!$C344="","",INDEX(Pipeline_Calc!$E$2:$E$5251,Pipeline_Sort!$C344))</f>
        <v/>
      </c>
      <c r="E344">
        <f>IF(Pipeline_Sort!$C344="","",INDEX(Pipeline_Calc!$F$2:$F$5251,Pipeline_Sort!$C344))</f>
        <v/>
      </c>
      <c r="F344">
        <f>IF(Pipeline_Sort!$C344="","",INDEX(Pipeline_Calc!$G$2:$G$5251,Pipeline_Sort!$C344))</f>
        <v/>
      </c>
      <c r="G344">
        <f>IF(Pipeline_Sort!$C344="","",INDEX(Pipeline_Calc!$H$2:$H$5251,Pipeline_Sort!$C344))</f>
        <v/>
      </c>
      <c r="H344">
        <f>IF(Pipeline_Sort!$C344="","",INDEX(Pipeline_Calc!$I$2:$I$5251,Pipeline_Sort!$C344))</f>
        <v/>
      </c>
      <c r="I344">
        <f>IF(Pipeline_Sort!$C344="","",INDEX(Pipeline_Calc!$J$2:$J$5251,Pipeline_Sort!$C344))</f>
        <v/>
      </c>
    </row>
    <row r="345">
      <c r="A345" s="22">
        <f>IF(Pipeline_Sort!$C345="","",INDEX(Pipeline_Calc!$B$2:$B$5251,Pipeline_Sort!$C345))</f>
        <v/>
      </c>
      <c r="B345">
        <f>IF(Pipeline_Sort!$C345="","",INDEX(Pipeline_Calc!$C$2:$C$5251,Pipeline_Sort!$C345))</f>
        <v/>
      </c>
      <c r="C345">
        <f>IF(Pipeline_Sort!$C345="","",INDEX(Pipeline_Calc!$D$2:$D$5251,Pipeline_Sort!$C345))</f>
        <v/>
      </c>
      <c r="D345">
        <f>IF(Pipeline_Sort!$C345="","",INDEX(Pipeline_Calc!$E$2:$E$5251,Pipeline_Sort!$C345))</f>
        <v/>
      </c>
      <c r="E345">
        <f>IF(Pipeline_Sort!$C345="","",INDEX(Pipeline_Calc!$F$2:$F$5251,Pipeline_Sort!$C345))</f>
        <v/>
      </c>
      <c r="F345">
        <f>IF(Pipeline_Sort!$C345="","",INDEX(Pipeline_Calc!$G$2:$G$5251,Pipeline_Sort!$C345))</f>
        <v/>
      </c>
      <c r="G345">
        <f>IF(Pipeline_Sort!$C345="","",INDEX(Pipeline_Calc!$H$2:$H$5251,Pipeline_Sort!$C345))</f>
        <v/>
      </c>
      <c r="H345">
        <f>IF(Pipeline_Sort!$C345="","",INDEX(Pipeline_Calc!$I$2:$I$5251,Pipeline_Sort!$C345))</f>
        <v/>
      </c>
      <c r="I345">
        <f>IF(Pipeline_Sort!$C345="","",INDEX(Pipeline_Calc!$J$2:$J$5251,Pipeline_Sort!$C345))</f>
        <v/>
      </c>
    </row>
    <row r="346">
      <c r="A346" s="22">
        <f>IF(Pipeline_Sort!$C346="","",INDEX(Pipeline_Calc!$B$2:$B$5251,Pipeline_Sort!$C346))</f>
        <v/>
      </c>
      <c r="B346">
        <f>IF(Pipeline_Sort!$C346="","",INDEX(Pipeline_Calc!$C$2:$C$5251,Pipeline_Sort!$C346))</f>
        <v/>
      </c>
      <c r="C346">
        <f>IF(Pipeline_Sort!$C346="","",INDEX(Pipeline_Calc!$D$2:$D$5251,Pipeline_Sort!$C346))</f>
        <v/>
      </c>
      <c r="D346">
        <f>IF(Pipeline_Sort!$C346="","",INDEX(Pipeline_Calc!$E$2:$E$5251,Pipeline_Sort!$C346))</f>
        <v/>
      </c>
      <c r="E346">
        <f>IF(Pipeline_Sort!$C346="","",INDEX(Pipeline_Calc!$F$2:$F$5251,Pipeline_Sort!$C346))</f>
        <v/>
      </c>
      <c r="F346">
        <f>IF(Pipeline_Sort!$C346="","",INDEX(Pipeline_Calc!$G$2:$G$5251,Pipeline_Sort!$C346))</f>
        <v/>
      </c>
      <c r="G346">
        <f>IF(Pipeline_Sort!$C346="","",INDEX(Pipeline_Calc!$H$2:$H$5251,Pipeline_Sort!$C346))</f>
        <v/>
      </c>
      <c r="H346">
        <f>IF(Pipeline_Sort!$C346="","",INDEX(Pipeline_Calc!$I$2:$I$5251,Pipeline_Sort!$C346))</f>
        <v/>
      </c>
      <c r="I346">
        <f>IF(Pipeline_Sort!$C346="","",INDEX(Pipeline_Calc!$J$2:$J$5251,Pipeline_Sort!$C346))</f>
        <v/>
      </c>
    </row>
    <row r="347">
      <c r="A347" s="22">
        <f>IF(Pipeline_Sort!$C347="","",INDEX(Pipeline_Calc!$B$2:$B$5251,Pipeline_Sort!$C347))</f>
        <v/>
      </c>
      <c r="B347">
        <f>IF(Pipeline_Sort!$C347="","",INDEX(Pipeline_Calc!$C$2:$C$5251,Pipeline_Sort!$C347))</f>
        <v/>
      </c>
      <c r="C347">
        <f>IF(Pipeline_Sort!$C347="","",INDEX(Pipeline_Calc!$D$2:$D$5251,Pipeline_Sort!$C347))</f>
        <v/>
      </c>
      <c r="D347">
        <f>IF(Pipeline_Sort!$C347="","",INDEX(Pipeline_Calc!$E$2:$E$5251,Pipeline_Sort!$C347))</f>
        <v/>
      </c>
      <c r="E347">
        <f>IF(Pipeline_Sort!$C347="","",INDEX(Pipeline_Calc!$F$2:$F$5251,Pipeline_Sort!$C347))</f>
        <v/>
      </c>
      <c r="F347">
        <f>IF(Pipeline_Sort!$C347="","",INDEX(Pipeline_Calc!$G$2:$G$5251,Pipeline_Sort!$C347))</f>
        <v/>
      </c>
      <c r="G347">
        <f>IF(Pipeline_Sort!$C347="","",INDEX(Pipeline_Calc!$H$2:$H$5251,Pipeline_Sort!$C347))</f>
        <v/>
      </c>
      <c r="H347">
        <f>IF(Pipeline_Sort!$C347="","",INDEX(Pipeline_Calc!$I$2:$I$5251,Pipeline_Sort!$C347))</f>
        <v/>
      </c>
      <c r="I347">
        <f>IF(Pipeline_Sort!$C347="","",INDEX(Pipeline_Calc!$J$2:$J$5251,Pipeline_Sort!$C347))</f>
        <v/>
      </c>
    </row>
    <row r="348">
      <c r="A348" s="22">
        <f>IF(Pipeline_Sort!$C348="","",INDEX(Pipeline_Calc!$B$2:$B$5251,Pipeline_Sort!$C348))</f>
        <v/>
      </c>
      <c r="B348">
        <f>IF(Pipeline_Sort!$C348="","",INDEX(Pipeline_Calc!$C$2:$C$5251,Pipeline_Sort!$C348))</f>
        <v/>
      </c>
      <c r="C348">
        <f>IF(Pipeline_Sort!$C348="","",INDEX(Pipeline_Calc!$D$2:$D$5251,Pipeline_Sort!$C348))</f>
        <v/>
      </c>
      <c r="D348">
        <f>IF(Pipeline_Sort!$C348="","",INDEX(Pipeline_Calc!$E$2:$E$5251,Pipeline_Sort!$C348))</f>
        <v/>
      </c>
      <c r="E348">
        <f>IF(Pipeline_Sort!$C348="","",INDEX(Pipeline_Calc!$F$2:$F$5251,Pipeline_Sort!$C348))</f>
        <v/>
      </c>
      <c r="F348">
        <f>IF(Pipeline_Sort!$C348="","",INDEX(Pipeline_Calc!$G$2:$G$5251,Pipeline_Sort!$C348))</f>
        <v/>
      </c>
      <c r="G348">
        <f>IF(Pipeline_Sort!$C348="","",INDEX(Pipeline_Calc!$H$2:$H$5251,Pipeline_Sort!$C348))</f>
        <v/>
      </c>
      <c r="H348">
        <f>IF(Pipeline_Sort!$C348="","",INDEX(Pipeline_Calc!$I$2:$I$5251,Pipeline_Sort!$C348))</f>
        <v/>
      </c>
      <c r="I348">
        <f>IF(Pipeline_Sort!$C348="","",INDEX(Pipeline_Calc!$J$2:$J$5251,Pipeline_Sort!$C348))</f>
        <v/>
      </c>
    </row>
    <row r="349">
      <c r="A349" s="22">
        <f>IF(Pipeline_Sort!$C349="","",INDEX(Pipeline_Calc!$B$2:$B$5251,Pipeline_Sort!$C349))</f>
        <v/>
      </c>
      <c r="B349">
        <f>IF(Pipeline_Sort!$C349="","",INDEX(Pipeline_Calc!$C$2:$C$5251,Pipeline_Sort!$C349))</f>
        <v/>
      </c>
      <c r="C349">
        <f>IF(Pipeline_Sort!$C349="","",INDEX(Pipeline_Calc!$D$2:$D$5251,Pipeline_Sort!$C349))</f>
        <v/>
      </c>
      <c r="D349">
        <f>IF(Pipeline_Sort!$C349="","",INDEX(Pipeline_Calc!$E$2:$E$5251,Pipeline_Sort!$C349))</f>
        <v/>
      </c>
      <c r="E349">
        <f>IF(Pipeline_Sort!$C349="","",INDEX(Pipeline_Calc!$F$2:$F$5251,Pipeline_Sort!$C349))</f>
        <v/>
      </c>
      <c r="F349">
        <f>IF(Pipeline_Sort!$C349="","",INDEX(Pipeline_Calc!$G$2:$G$5251,Pipeline_Sort!$C349))</f>
        <v/>
      </c>
      <c r="G349">
        <f>IF(Pipeline_Sort!$C349="","",INDEX(Pipeline_Calc!$H$2:$H$5251,Pipeline_Sort!$C349))</f>
        <v/>
      </c>
      <c r="H349">
        <f>IF(Pipeline_Sort!$C349="","",INDEX(Pipeline_Calc!$I$2:$I$5251,Pipeline_Sort!$C349))</f>
        <v/>
      </c>
      <c r="I349">
        <f>IF(Pipeline_Sort!$C349="","",INDEX(Pipeline_Calc!$J$2:$J$5251,Pipeline_Sort!$C349))</f>
        <v/>
      </c>
    </row>
    <row r="350">
      <c r="A350" s="22">
        <f>IF(Pipeline_Sort!$C350="","",INDEX(Pipeline_Calc!$B$2:$B$5251,Pipeline_Sort!$C350))</f>
        <v/>
      </c>
      <c r="B350">
        <f>IF(Pipeline_Sort!$C350="","",INDEX(Pipeline_Calc!$C$2:$C$5251,Pipeline_Sort!$C350))</f>
        <v/>
      </c>
      <c r="C350">
        <f>IF(Pipeline_Sort!$C350="","",INDEX(Pipeline_Calc!$D$2:$D$5251,Pipeline_Sort!$C350))</f>
        <v/>
      </c>
      <c r="D350">
        <f>IF(Pipeline_Sort!$C350="","",INDEX(Pipeline_Calc!$E$2:$E$5251,Pipeline_Sort!$C350))</f>
        <v/>
      </c>
      <c r="E350">
        <f>IF(Pipeline_Sort!$C350="","",INDEX(Pipeline_Calc!$F$2:$F$5251,Pipeline_Sort!$C350))</f>
        <v/>
      </c>
      <c r="F350">
        <f>IF(Pipeline_Sort!$C350="","",INDEX(Pipeline_Calc!$G$2:$G$5251,Pipeline_Sort!$C350))</f>
        <v/>
      </c>
      <c r="G350">
        <f>IF(Pipeline_Sort!$C350="","",INDEX(Pipeline_Calc!$H$2:$H$5251,Pipeline_Sort!$C350))</f>
        <v/>
      </c>
      <c r="H350">
        <f>IF(Pipeline_Sort!$C350="","",INDEX(Pipeline_Calc!$I$2:$I$5251,Pipeline_Sort!$C350))</f>
        <v/>
      </c>
      <c r="I350">
        <f>IF(Pipeline_Sort!$C350="","",INDEX(Pipeline_Calc!$J$2:$J$5251,Pipeline_Sort!$C350))</f>
        <v/>
      </c>
    </row>
    <row r="351">
      <c r="A351" s="22">
        <f>IF(Pipeline_Sort!$C351="","",INDEX(Pipeline_Calc!$B$2:$B$5251,Pipeline_Sort!$C351))</f>
        <v/>
      </c>
      <c r="B351">
        <f>IF(Pipeline_Sort!$C351="","",INDEX(Pipeline_Calc!$C$2:$C$5251,Pipeline_Sort!$C351))</f>
        <v/>
      </c>
      <c r="C351">
        <f>IF(Pipeline_Sort!$C351="","",INDEX(Pipeline_Calc!$D$2:$D$5251,Pipeline_Sort!$C351))</f>
        <v/>
      </c>
      <c r="D351">
        <f>IF(Pipeline_Sort!$C351="","",INDEX(Pipeline_Calc!$E$2:$E$5251,Pipeline_Sort!$C351))</f>
        <v/>
      </c>
      <c r="E351">
        <f>IF(Pipeline_Sort!$C351="","",INDEX(Pipeline_Calc!$F$2:$F$5251,Pipeline_Sort!$C351))</f>
        <v/>
      </c>
      <c r="F351">
        <f>IF(Pipeline_Sort!$C351="","",INDEX(Pipeline_Calc!$G$2:$G$5251,Pipeline_Sort!$C351))</f>
        <v/>
      </c>
      <c r="G351">
        <f>IF(Pipeline_Sort!$C351="","",INDEX(Pipeline_Calc!$H$2:$H$5251,Pipeline_Sort!$C351))</f>
        <v/>
      </c>
      <c r="H351">
        <f>IF(Pipeline_Sort!$C351="","",INDEX(Pipeline_Calc!$I$2:$I$5251,Pipeline_Sort!$C351))</f>
        <v/>
      </c>
      <c r="I351">
        <f>IF(Pipeline_Sort!$C351="","",INDEX(Pipeline_Calc!$J$2:$J$5251,Pipeline_Sort!$C351))</f>
        <v/>
      </c>
    </row>
    <row r="352">
      <c r="A352" s="22">
        <f>IF(Pipeline_Sort!$C352="","",INDEX(Pipeline_Calc!$B$2:$B$5251,Pipeline_Sort!$C352))</f>
        <v/>
      </c>
      <c r="B352">
        <f>IF(Pipeline_Sort!$C352="","",INDEX(Pipeline_Calc!$C$2:$C$5251,Pipeline_Sort!$C352))</f>
        <v/>
      </c>
      <c r="C352">
        <f>IF(Pipeline_Sort!$C352="","",INDEX(Pipeline_Calc!$D$2:$D$5251,Pipeline_Sort!$C352))</f>
        <v/>
      </c>
      <c r="D352">
        <f>IF(Pipeline_Sort!$C352="","",INDEX(Pipeline_Calc!$E$2:$E$5251,Pipeline_Sort!$C352))</f>
        <v/>
      </c>
      <c r="E352">
        <f>IF(Pipeline_Sort!$C352="","",INDEX(Pipeline_Calc!$F$2:$F$5251,Pipeline_Sort!$C352))</f>
        <v/>
      </c>
      <c r="F352">
        <f>IF(Pipeline_Sort!$C352="","",INDEX(Pipeline_Calc!$G$2:$G$5251,Pipeline_Sort!$C352))</f>
        <v/>
      </c>
      <c r="G352">
        <f>IF(Pipeline_Sort!$C352="","",INDEX(Pipeline_Calc!$H$2:$H$5251,Pipeline_Sort!$C352))</f>
        <v/>
      </c>
      <c r="H352">
        <f>IF(Pipeline_Sort!$C352="","",INDEX(Pipeline_Calc!$I$2:$I$5251,Pipeline_Sort!$C352))</f>
        <v/>
      </c>
      <c r="I352">
        <f>IF(Pipeline_Sort!$C352="","",INDEX(Pipeline_Calc!$J$2:$J$5251,Pipeline_Sort!$C352))</f>
        <v/>
      </c>
    </row>
    <row r="353">
      <c r="A353" s="22">
        <f>IF(Pipeline_Sort!$C353="","",INDEX(Pipeline_Calc!$B$2:$B$5251,Pipeline_Sort!$C353))</f>
        <v/>
      </c>
      <c r="B353">
        <f>IF(Pipeline_Sort!$C353="","",INDEX(Pipeline_Calc!$C$2:$C$5251,Pipeline_Sort!$C353))</f>
        <v/>
      </c>
      <c r="C353">
        <f>IF(Pipeline_Sort!$C353="","",INDEX(Pipeline_Calc!$D$2:$D$5251,Pipeline_Sort!$C353))</f>
        <v/>
      </c>
      <c r="D353">
        <f>IF(Pipeline_Sort!$C353="","",INDEX(Pipeline_Calc!$E$2:$E$5251,Pipeline_Sort!$C353))</f>
        <v/>
      </c>
      <c r="E353">
        <f>IF(Pipeline_Sort!$C353="","",INDEX(Pipeline_Calc!$F$2:$F$5251,Pipeline_Sort!$C353))</f>
        <v/>
      </c>
      <c r="F353">
        <f>IF(Pipeline_Sort!$C353="","",INDEX(Pipeline_Calc!$G$2:$G$5251,Pipeline_Sort!$C353))</f>
        <v/>
      </c>
      <c r="G353">
        <f>IF(Pipeline_Sort!$C353="","",INDEX(Pipeline_Calc!$H$2:$H$5251,Pipeline_Sort!$C353))</f>
        <v/>
      </c>
      <c r="H353">
        <f>IF(Pipeline_Sort!$C353="","",INDEX(Pipeline_Calc!$I$2:$I$5251,Pipeline_Sort!$C353))</f>
        <v/>
      </c>
      <c r="I353">
        <f>IF(Pipeline_Sort!$C353="","",INDEX(Pipeline_Calc!$J$2:$J$5251,Pipeline_Sort!$C353))</f>
        <v/>
      </c>
    </row>
    <row r="354">
      <c r="A354" s="22">
        <f>IF(Pipeline_Sort!$C354="","",INDEX(Pipeline_Calc!$B$2:$B$5251,Pipeline_Sort!$C354))</f>
        <v/>
      </c>
      <c r="B354">
        <f>IF(Pipeline_Sort!$C354="","",INDEX(Pipeline_Calc!$C$2:$C$5251,Pipeline_Sort!$C354))</f>
        <v/>
      </c>
      <c r="C354">
        <f>IF(Pipeline_Sort!$C354="","",INDEX(Pipeline_Calc!$D$2:$D$5251,Pipeline_Sort!$C354))</f>
        <v/>
      </c>
      <c r="D354">
        <f>IF(Pipeline_Sort!$C354="","",INDEX(Pipeline_Calc!$E$2:$E$5251,Pipeline_Sort!$C354))</f>
        <v/>
      </c>
      <c r="E354">
        <f>IF(Pipeline_Sort!$C354="","",INDEX(Pipeline_Calc!$F$2:$F$5251,Pipeline_Sort!$C354))</f>
        <v/>
      </c>
      <c r="F354">
        <f>IF(Pipeline_Sort!$C354="","",INDEX(Pipeline_Calc!$G$2:$G$5251,Pipeline_Sort!$C354))</f>
        <v/>
      </c>
      <c r="G354">
        <f>IF(Pipeline_Sort!$C354="","",INDEX(Pipeline_Calc!$H$2:$H$5251,Pipeline_Sort!$C354))</f>
        <v/>
      </c>
      <c r="H354">
        <f>IF(Pipeline_Sort!$C354="","",INDEX(Pipeline_Calc!$I$2:$I$5251,Pipeline_Sort!$C354))</f>
        <v/>
      </c>
      <c r="I354">
        <f>IF(Pipeline_Sort!$C354="","",INDEX(Pipeline_Calc!$J$2:$J$5251,Pipeline_Sort!$C354))</f>
        <v/>
      </c>
    </row>
    <row r="355">
      <c r="A355" s="22">
        <f>IF(Pipeline_Sort!$C355="","",INDEX(Pipeline_Calc!$B$2:$B$5251,Pipeline_Sort!$C355))</f>
        <v/>
      </c>
      <c r="B355">
        <f>IF(Pipeline_Sort!$C355="","",INDEX(Pipeline_Calc!$C$2:$C$5251,Pipeline_Sort!$C355))</f>
        <v/>
      </c>
      <c r="C355">
        <f>IF(Pipeline_Sort!$C355="","",INDEX(Pipeline_Calc!$D$2:$D$5251,Pipeline_Sort!$C355))</f>
        <v/>
      </c>
      <c r="D355">
        <f>IF(Pipeline_Sort!$C355="","",INDEX(Pipeline_Calc!$E$2:$E$5251,Pipeline_Sort!$C355))</f>
        <v/>
      </c>
      <c r="E355">
        <f>IF(Pipeline_Sort!$C355="","",INDEX(Pipeline_Calc!$F$2:$F$5251,Pipeline_Sort!$C355))</f>
        <v/>
      </c>
      <c r="F355">
        <f>IF(Pipeline_Sort!$C355="","",INDEX(Pipeline_Calc!$G$2:$G$5251,Pipeline_Sort!$C355))</f>
        <v/>
      </c>
      <c r="G355">
        <f>IF(Pipeline_Sort!$C355="","",INDEX(Pipeline_Calc!$H$2:$H$5251,Pipeline_Sort!$C355))</f>
        <v/>
      </c>
      <c r="H355">
        <f>IF(Pipeline_Sort!$C355="","",INDEX(Pipeline_Calc!$I$2:$I$5251,Pipeline_Sort!$C355))</f>
        <v/>
      </c>
      <c r="I355">
        <f>IF(Pipeline_Sort!$C355="","",INDEX(Pipeline_Calc!$J$2:$J$5251,Pipeline_Sort!$C355))</f>
        <v/>
      </c>
    </row>
    <row r="356">
      <c r="A356" s="22">
        <f>IF(Pipeline_Sort!$C356="","",INDEX(Pipeline_Calc!$B$2:$B$5251,Pipeline_Sort!$C356))</f>
        <v/>
      </c>
      <c r="B356">
        <f>IF(Pipeline_Sort!$C356="","",INDEX(Pipeline_Calc!$C$2:$C$5251,Pipeline_Sort!$C356))</f>
        <v/>
      </c>
      <c r="C356">
        <f>IF(Pipeline_Sort!$C356="","",INDEX(Pipeline_Calc!$D$2:$D$5251,Pipeline_Sort!$C356))</f>
        <v/>
      </c>
      <c r="D356">
        <f>IF(Pipeline_Sort!$C356="","",INDEX(Pipeline_Calc!$E$2:$E$5251,Pipeline_Sort!$C356))</f>
        <v/>
      </c>
      <c r="E356">
        <f>IF(Pipeline_Sort!$C356="","",INDEX(Pipeline_Calc!$F$2:$F$5251,Pipeline_Sort!$C356))</f>
        <v/>
      </c>
      <c r="F356">
        <f>IF(Pipeline_Sort!$C356="","",INDEX(Pipeline_Calc!$G$2:$G$5251,Pipeline_Sort!$C356))</f>
        <v/>
      </c>
      <c r="G356">
        <f>IF(Pipeline_Sort!$C356="","",INDEX(Pipeline_Calc!$H$2:$H$5251,Pipeline_Sort!$C356))</f>
        <v/>
      </c>
      <c r="H356">
        <f>IF(Pipeline_Sort!$C356="","",INDEX(Pipeline_Calc!$I$2:$I$5251,Pipeline_Sort!$C356))</f>
        <v/>
      </c>
      <c r="I356">
        <f>IF(Pipeline_Sort!$C356="","",INDEX(Pipeline_Calc!$J$2:$J$5251,Pipeline_Sort!$C356))</f>
        <v/>
      </c>
    </row>
    <row r="357">
      <c r="A357" s="22">
        <f>IF(Pipeline_Sort!$C357="","",INDEX(Pipeline_Calc!$B$2:$B$5251,Pipeline_Sort!$C357))</f>
        <v/>
      </c>
      <c r="B357">
        <f>IF(Pipeline_Sort!$C357="","",INDEX(Pipeline_Calc!$C$2:$C$5251,Pipeline_Sort!$C357))</f>
        <v/>
      </c>
      <c r="C357">
        <f>IF(Pipeline_Sort!$C357="","",INDEX(Pipeline_Calc!$D$2:$D$5251,Pipeline_Sort!$C357))</f>
        <v/>
      </c>
      <c r="D357">
        <f>IF(Pipeline_Sort!$C357="","",INDEX(Pipeline_Calc!$E$2:$E$5251,Pipeline_Sort!$C357))</f>
        <v/>
      </c>
      <c r="E357">
        <f>IF(Pipeline_Sort!$C357="","",INDEX(Pipeline_Calc!$F$2:$F$5251,Pipeline_Sort!$C357))</f>
        <v/>
      </c>
      <c r="F357">
        <f>IF(Pipeline_Sort!$C357="","",INDEX(Pipeline_Calc!$G$2:$G$5251,Pipeline_Sort!$C357))</f>
        <v/>
      </c>
      <c r="G357">
        <f>IF(Pipeline_Sort!$C357="","",INDEX(Pipeline_Calc!$H$2:$H$5251,Pipeline_Sort!$C357))</f>
        <v/>
      </c>
      <c r="H357">
        <f>IF(Pipeline_Sort!$C357="","",INDEX(Pipeline_Calc!$I$2:$I$5251,Pipeline_Sort!$C357))</f>
        <v/>
      </c>
      <c r="I357">
        <f>IF(Pipeline_Sort!$C357="","",INDEX(Pipeline_Calc!$J$2:$J$5251,Pipeline_Sort!$C357))</f>
        <v/>
      </c>
    </row>
    <row r="358">
      <c r="A358" s="22">
        <f>IF(Pipeline_Sort!$C358="","",INDEX(Pipeline_Calc!$B$2:$B$5251,Pipeline_Sort!$C358))</f>
        <v/>
      </c>
      <c r="B358">
        <f>IF(Pipeline_Sort!$C358="","",INDEX(Pipeline_Calc!$C$2:$C$5251,Pipeline_Sort!$C358))</f>
        <v/>
      </c>
      <c r="C358">
        <f>IF(Pipeline_Sort!$C358="","",INDEX(Pipeline_Calc!$D$2:$D$5251,Pipeline_Sort!$C358))</f>
        <v/>
      </c>
      <c r="D358">
        <f>IF(Pipeline_Sort!$C358="","",INDEX(Pipeline_Calc!$E$2:$E$5251,Pipeline_Sort!$C358))</f>
        <v/>
      </c>
      <c r="E358">
        <f>IF(Pipeline_Sort!$C358="","",INDEX(Pipeline_Calc!$F$2:$F$5251,Pipeline_Sort!$C358))</f>
        <v/>
      </c>
      <c r="F358">
        <f>IF(Pipeline_Sort!$C358="","",INDEX(Pipeline_Calc!$G$2:$G$5251,Pipeline_Sort!$C358))</f>
        <v/>
      </c>
      <c r="G358">
        <f>IF(Pipeline_Sort!$C358="","",INDEX(Pipeline_Calc!$H$2:$H$5251,Pipeline_Sort!$C358))</f>
        <v/>
      </c>
      <c r="H358">
        <f>IF(Pipeline_Sort!$C358="","",INDEX(Pipeline_Calc!$I$2:$I$5251,Pipeline_Sort!$C358))</f>
        <v/>
      </c>
      <c r="I358">
        <f>IF(Pipeline_Sort!$C358="","",INDEX(Pipeline_Calc!$J$2:$J$5251,Pipeline_Sort!$C358))</f>
        <v/>
      </c>
    </row>
    <row r="359">
      <c r="A359" s="22">
        <f>IF(Pipeline_Sort!$C359="","",INDEX(Pipeline_Calc!$B$2:$B$5251,Pipeline_Sort!$C359))</f>
        <v/>
      </c>
      <c r="B359">
        <f>IF(Pipeline_Sort!$C359="","",INDEX(Pipeline_Calc!$C$2:$C$5251,Pipeline_Sort!$C359))</f>
        <v/>
      </c>
      <c r="C359">
        <f>IF(Pipeline_Sort!$C359="","",INDEX(Pipeline_Calc!$D$2:$D$5251,Pipeline_Sort!$C359))</f>
        <v/>
      </c>
      <c r="D359">
        <f>IF(Pipeline_Sort!$C359="","",INDEX(Pipeline_Calc!$E$2:$E$5251,Pipeline_Sort!$C359))</f>
        <v/>
      </c>
      <c r="E359">
        <f>IF(Pipeline_Sort!$C359="","",INDEX(Pipeline_Calc!$F$2:$F$5251,Pipeline_Sort!$C359))</f>
        <v/>
      </c>
      <c r="F359">
        <f>IF(Pipeline_Sort!$C359="","",INDEX(Pipeline_Calc!$G$2:$G$5251,Pipeline_Sort!$C359))</f>
        <v/>
      </c>
      <c r="G359">
        <f>IF(Pipeline_Sort!$C359="","",INDEX(Pipeline_Calc!$H$2:$H$5251,Pipeline_Sort!$C359))</f>
        <v/>
      </c>
      <c r="H359">
        <f>IF(Pipeline_Sort!$C359="","",INDEX(Pipeline_Calc!$I$2:$I$5251,Pipeline_Sort!$C359))</f>
        <v/>
      </c>
      <c r="I359">
        <f>IF(Pipeline_Sort!$C359="","",INDEX(Pipeline_Calc!$J$2:$J$5251,Pipeline_Sort!$C359))</f>
        <v/>
      </c>
    </row>
    <row r="360">
      <c r="A360" s="22">
        <f>IF(Pipeline_Sort!$C360="","",INDEX(Pipeline_Calc!$B$2:$B$5251,Pipeline_Sort!$C360))</f>
        <v/>
      </c>
      <c r="B360">
        <f>IF(Pipeline_Sort!$C360="","",INDEX(Pipeline_Calc!$C$2:$C$5251,Pipeline_Sort!$C360))</f>
        <v/>
      </c>
      <c r="C360">
        <f>IF(Pipeline_Sort!$C360="","",INDEX(Pipeline_Calc!$D$2:$D$5251,Pipeline_Sort!$C360))</f>
        <v/>
      </c>
      <c r="D360">
        <f>IF(Pipeline_Sort!$C360="","",INDEX(Pipeline_Calc!$E$2:$E$5251,Pipeline_Sort!$C360))</f>
        <v/>
      </c>
      <c r="E360">
        <f>IF(Pipeline_Sort!$C360="","",INDEX(Pipeline_Calc!$F$2:$F$5251,Pipeline_Sort!$C360))</f>
        <v/>
      </c>
      <c r="F360">
        <f>IF(Pipeline_Sort!$C360="","",INDEX(Pipeline_Calc!$G$2:$G$5251,Pipeline_Sort!$C360))</f>
        <v/>
      </c>
      <c r="G360">
        <f>IF(Pipeline_Sort!$C360="","",INDEX(Pipeline_Calc!$H$2:$H$5251,Pipeline_Sort!$C360))</f>
        <v/>
      </c>
      <c r="H360">
        <f>IF(Pipeline_Sort!$C360="","",INDEX(Pipeline_Calc!$I$2:$I$5251,Pipeline_Sort!$C360))</f>
        <v/>
      </c>
      <c r="I360">
        <f>IF(Pipeline_Sort!$C360="","",INDEX(Pipeline_Calc!$J$2:$J$5251,Pipeline_Sort!$C360))</f>
        <v/>
      </c>
    </row>
    <row r="361">
      <c r="A361" s="22">
        <f>IF(Pipeline_Sort!$C361="","",INDEX(Pipeline_Calc!$B$2:$B$5251,Pipeline_Sort!$C361))</f>
        <v/>
      </c>
      <c r="B361">
        <f>IF(Pipeline_Sort!$C361="","",INDEX(Pipeline_Calc!$C$2:$C$5251,Pipeline_Sort!$C361))</f>
        <v/>
      </c>
      <c r="C361">
        <f>IF(Pipeline_Sort!$C361="","",INDEX(Pipeline_Calc!$D$2:$D$5251,Pipeline_Sort!$C361))</f>
        <v/>
      </c>
      <c r="D361">
        <f>IF(Pipeline_Sort!$C361="","",INDEX(Pipeline_Calc!$E$2:$E$5251,Pipeline_Sort!$C361))</f>
        <v/>
      </c>
      <c r="E361">
        <f>IF(Pipeline_Sort!$C361="","",INDEX(Pipeline_Calc!$F$2:$F$5251,Pipeline_Sort!$C361))</f>
        <v/>
      </c>
      <c r="F361">
        <f>IF(Pipeline_Sort!$C361="","",INDEX(Pipeline_Calc!$G$2:$G$5251,Pipeline_Sort!$C361))</f>
        <v/>
      </c>
      <c r="G361">
        <f>IF(Pipeline_Sort!$C361="","",INDEX(Pipeline_Calc!$H$2:$H$5251,Pipeline_Sort!$C361))</f>
        <v/>
      </c>
      <c r="H361">
        <f>IF(Pipeline_Sort!$C361="","",INDEX(Pipeline_Calc!$I$2:$I$5251,Pipeline_Sort!$C361))</f>
        <v/>
      </c>
      <c r="I361">
        <f>IF(Pipeline_Sort!$C361="","",INDEX(Pipeline_Calc!$J$2:$J$5251,Pipeline_Sort!$C361))</f>
        <v/>
      </c>
    </row>
    <row r="362">
      <c r="A362" s="22">
        <f>IF(Pipeline_Sort!$C362="","",INDEX(Pipeline_Calc!$B$2:$B$5251,Pipeline_Sort!$C362))</f>
        <v/>
      </c>
      <c r="B362">
        <f>IF(Pipeline_Sort!$C362="","",INDEX(Pipeline_Calc!$C$2:$C$5251,Pipeline_Sort!$C362))</f>
        <v/>
      </c>
      <c r="C362">
        <f>IF(Pipeline_Sort!$C362="","",INDEX(Pipeline_Calc!$D$2:$D$5251,Pipeline_Sort!$C362))</f>
        <v/>
      </c>
      <c r="D362">
        <f>IF(Pipeline_Sort!$C362="","",INDEX(Pipeline_Calc!$E$2:$E$5251,Pipeline_Sort!$C362))</f>
        <v/>
      </c>
      <c r="E362">
        <f>IF(Pipeline_Sort!$C362="","",INDEX(Pipeline_Calc!$F$2:$F$5251,Pipeline_Sort!$C362))</f>
        <v/>
      </c>
      <c r="F362">
        <f>IF(Pipeline_Sort!$C362="","",INDEX(Pipeline_Calc!$G$2:$G$5251,Pipeline_Sort!$C362))</f>
        <v/>
      </c>
      <c r="G362">
        <f>IF(Pipeline_Sort!$C362="","",INDEX(Pipeline_Calc!$H$2:$H$5251,Pipeline_Sort!$C362))</f>
        <v/>
      </c>
      <c r="H362">
        <f>IF(Pipeline_Sort!$C362="","",INDEX(Pipeline_Calc!$I$2:$I$5251,Pipeline_Sort!$C362))</f>
        <v/>
      </c>
      <c r="I362">
        <f>IF(Pipeline_Sort!$C362="","",INDEX(Pipeline_Calc!$J$2:$J$5251,Pipeline_Sort!$C362))</f>
        <v/>
      </c>
    </row>
    <row r="363">
      <c r="A363" s="22">
        <f>IF(Pipeline_Sort!$C363="","",INDEX(Pipeline_Calc!$B$2:$B$5251,Pipeline_Sort!$C363))</f>
        <v/>
      </c>
      <c r="B363">
        <f>IF(Pipeline_Sort!$C363="","",INDEX(Pipeline_Calc!$C$2:$C$5251,Pipeline_Sort!$C363))</f>
        <v/>
      </c>
      <c r="C363">
        <f>IF(Pipeline_Sort!$C363="","",INDEX(Pipeline_Calc!$D$2:$D$5251,Pipeline_Sort!$C363))</f>
        <v/>
      </c>
      <c r="D363">
        <f>IF(Pipeline_Sort!$C363="","",INDEX(Pipeline_Calc!$E$2:$E$5251,Pipeline_Sort!$C363))</f>
        <v/>
      </c>
      <c r="E363">
        <f>IF(Pipeline_Sort!$C363="","",INDEX(Pipeline_Calc!$F$2:$F$5251,Pipeline_Sort!$C363))</f>
        <v/>
      </c>
      <c r="F363">
        <f>IF(Pipeline_Sort!$C363="","",INDEX(Pipeline_Calc!$G$2:$G$5251,Pipeline_Sort!$C363))</f>
        <v/>
      </c>
      <c r="G363">
        <f>IF(Pipeline_Sort!$C363="","",INDEX(Pipeline_Calc!$H$2:$H$5251,Pipeline_Sort!$C363))</f>
        <v/>
      </c>
      <c r="H363">
        <f>IF(Pipeline_Sort!$C363="","",INDEX(Pipeline_Calc!$I$2:$I$5251,Pipeline_Sort!$C363))</f>
        <v/>
      </c>
      <c r="I363">
        <f>IF(Pipeline_Sort!$C363="","",INDEX(Pipeline_Calc!$J$2:$J$5251,Pipeline_Sort!$C363))</f>
        <v/>
      </c>
    </row>
    <row r="364">
      <c r="A364" s="22">
        <f>IF(Pipeline_Sort!$C364="","",INDEX(Pipeline_Calc!$B$2:$B$5251,Pipeline_Sort!$C364))</f>
        <v/>
      </c>
      <c r="B364">
        <f>IF(Pipeline_Sort!$C364="","",INDEX(Pipeline_Calc!$C$2:$C$5251,Pipeline_Sort!$C364))</f>
        <v/>
      </c>
      <c r="C364">
        <f>IF(Pipeline_Sort!$C364="","",INDEX(Pipeline_Calc!$D$2:$D$5251,Pipeline_Sort!$C364))</f>
        <v/>
      </c>
      <c r="D364">
        <f>IF(Pipeline_Sort!$C364="","",INDEX(Pipeline_Calc!$E$2:$E$5251,Pipeline_Sort!$C364))</f>
        <v/>
      </c>
      <c r="E364">
        <f>IF(Pipeline_Sort!$C364="","",INDEX(Pipeline_Calc!$F$2:$F$5251,Pipeline_Sort!$C364))</f>
        <v/>
      </c>
      <c r="F364">
        <f>IF(Pipeline_Sort!$C364="","",INDEX(Pipeline_Calc!$G$2:$G$5251,Pipeline_Sort!$C364))</f>
        <v/>
      </c>
      <c r="G364">
        <f>IF(Pipeline_Sort!$C364="","",INDEX(Pipeline_Calc!$H$2:$H$5251,Pipeline_Sort!$C364))</f>
        <v/>
      </c>
      <c r="H364">
        <f>IF(Pipeline_Sort!$C364="","",INDEX(Pipeline_Calc!$I$2:$I$5251,Pipeline_Sort!$C364))</f>
        <v/>
      </c>
      <c r="I364">
        <f>IF(Pipeline_Sort!$C364="","",INDEX(Pipeline_Calc!$J$2:$J$5251,Pipeline_Sort!$C364))</f>
        <v/>
      </c>
    </row>
    <row r="365">
      <c r="A365" s="22">
        <f>IF(Pipeline_Sort!$C365="","",INDEX(Pipeline_Calc!$B$2:$B$5251,Pipeline_Sort!$C365))</f>
        <v/>
      </c>
      <c r="B365">
        <f>IF(Pipeline_Sort!$C365="","",INDEX(Pipeline_Calc!$C$2:$C$5251,Pipeline_Sort!$C365))</f>
        <v/>
      </c>
      <c r="C365">
        <f>IF(Pipeline_Sort!$C365="","",INDEX(Pipeline_Calc!$D$2:$D$5251,Pipeline_Sort!$C365))</f>
        <v/>
      </c>
      <c r="D365">
        <f>IF(Pipeline_Sort!$C365="","",INDEX(Pipeline_Calc!$E$2:$E$5251,Pipeline_Sort!$C365))</f>
        <v/>
      </c>
      <c r="E365">
        <f>IF(Pipeline_Sort!$C365="","",INDEX(Pipeline_Calc!$F$2:$F$5251,Pipeline_Sort!$C365))</f>
        <v/>
      </c>
      <c r="F365">
        <f>IF(Pipeline_Sort!$C365="","",INDEX(Pipeline_Calc!$G$2:$G$5251,Pipeline_Sort!$C365))</f>
        <v/>
      </c>
      <c r="G365">
        <f>IF(Pipeline_Sort!$C365="","",INDEX(Pipeline_Calc!$H$2:$H$5251,Pipeline_Sort!$C365))</f>
        <v/>
      </c>
      <c r="H365">
        <f>IF(Pipeline_Sort!$C365="","",INDEX(Pipeline_Calc!$I$2:$I$5251,Pipeline_Sort!$C365))</f>
        <v/>
      </c>
      <c r="I365">
        <f>IF(Pipeline_Sort!$C365="","",INDEX(Pipeline_Calc!$J$2:$J$5251,Pipeline_Sort!$C365))</f>
        <v/>
      </c>
    </row>
    <row r="366">
      <c r="A366" s="22">
        <f>IF(Pipeline_Sort!$C366="","",INDEX(Pipeline_Calc!$B$2:$B$5251,Pipeline_Sort!$C366))</f>
        <v/>
      </c>
      <c r="B366">
        <f>IF(Pipeline_Sort!$C366="","",INDEX(Pipeline_Calc!$C$2:$C$5251,Pipeline_Sort!$C366))</f>
        <v/>
      </c>
      <c r="C366">
        <f>IF(Pipeline_Sort!$C366="","",INDEX(Pipeline_Calc!$D$2:$D$5251,Pipeline_Sort!$C366))</f>
        <v/>
      </c>
      <c r="D366">
        <f>IF(Pipeline_Sort!$C366="","",INDEX(Pipeline_Calc!$E$2:$E$5251,Pipeline_Sort!$C366))</f>
        <v/>
      </c>
      <c r="E366">
        <f>IF(Pipeline_Sort!$C366="","",INDEX(Pipeline_Calc!$F$2:$F$5251,Pipeline_Sort!$C366))</f>
        <v/>
      </c>
      <c r="F366">
        <f>IF(Pipeline_Sort!$C366="","",INDEX(Pipeline_Calc!$G$2:$G$5251,Pipeline_Sort!$C366))</f>
        <v/>
      </c>
      <c r="G366">
        <f>IF(Pipeline_Sort!$C366="","",INDEX(Pipeline_Calc!$H$2:$H$5251,Pipeline_Sort!$C366))</f>
        <v/>
      </c>
      <c r="H366">
        <f>IF(Pipeline_Sort!$C366="","",INDEX(Pipeline_Calc!$I$2:$I$5251,Pipeline_Sort!$C366))</f>
        <v/>
      </c>
      <c r="I366">
        <f>IF(Pipeline_Sort!$C366="","",INDEX(Pipeline_Calc!$J$2:$J$5251,Pipeline_Sort!$C366))</f>
        <v/>
      </c>
    </row>
    <row r="367">
      <c r="A367" s="22">
        <f>IF(Pipeline_Sort!$C367="","",INDEX(Pipeline_Calc!$B$2:$B$5251,Pipeline_Sort!$C367))</f>
        <v/>
      </c>
      <c r="B367">
        <f>IF(Pipeline_Sort!$C367="","",INDEX(Pipeline_Calc!$C$2:$C$5251,Pipeline_Sort!$C367))</f>
        <v/>
      </c>
      <c r="C367">
        <f>IF(Pipeline_Sort!$C367="","",INDEX(Pipeline_Calc!$D$2:$D$5251,Pipeline_Sort!$C367))</f>
        <v/>
      </c>
      <c r="D367">
        <f>IF(Pipeline_Sort!$C367="","",INDEX(Pipeline_Calc!$E$2:$E$5251,Pipeline_Sort!$C367))</f>
        <v/>
      </c>
      <c r="E367">
        <f>IF(Pipeline_Sort!$C367="","",INDEX(Pipeline_Calc!$F$2:$F$5251,Pipeline_Sort!$C367))</f>
        <v/>
      </c>
      <c r="F367">
        <f>IF(Pipeline_Sort!$C367="","",INDEX(Pipeline_Calc!$G$2:$G$5251,Pipeline_Sort!$C367))</f>
        <v/>
      </c>
      <c r="G367">
        <f>IF(Pipeline_Sort!$C367="","",INDEX(Pipeline_Calc!$H$2:$H$5251,Pipeline_Sort!$C367))</f>
        <v/>
      </c>
      <c r="H367">
        <f>IF(Pipeline_Sort!$C367="","",INDEX(Pipeline_Calc!$I$2:$I$5251,Pipeline_Sort!$C367))</f>
        <v/>
      </c>
      <c r="I367">
        <f>IF(Pipeline_Sort!$C367="","",INDEX(Pipeline_Calc!$J$2:$J$5251,Pipeline_Sort!$C367))</f>
        <v/>
      </c>
    </row>
    <row r="368">
      <c r="A368" s="22">
        <f>IF(Pipeline_Sort!$C368="","",INDEX(Pipeline_Calc!$B$2:$B$5251,Pipeline_Sort!$C368))</f>
        <v/>
      </c>
      <c r="B368">
        <f>IF(Pipeline_Sort!$C368="","",INDEX(Pipeline_Calc!$C$2:$C$5251,Pipeline_Sort!$C368))</f>
        <v/>
      </c>
      <c r="C368">
        <f>IF(Pipeline_Sort!$C368="","",INDEX(Pipeline_Calc!$D$2:$D$5251,Pipeline_Sort!$C368))</f>
        <v/>
      </c>
      <c r="D368">
        <f>IF(Pipeline_Sort!$C368="","",INDEX(Pipeline_Calc!$E$2:$E$5251,Pipeline_Sort!$C368))</f>
        <v/>
      </c>
      <c r="E368">
        <f>IF(Pipeline_Sort!$C368="","",INDEX(Pipeline_Calc!$F$2:$F$5251,Pipeline_Sort!$C368))</f>
        <v/>
      </c>
      <c r="F368">
        <f>IF(Pipeline_Sort!$C368="","",INDEX(Pipeline_Calc!$G$2:$G$5251,Pipeline_Sort!$C368))</f>
        <v/>
      </c>
      <c r="G368">
        <f>IF(Pipeline_Sort!$C368="","",INDEX(Pipeline_Calc!$H$2:$H$5251,Pipeline_Sort!$C368))</f>
        <v/>
      </c>
      <c r="H368">
        <f>IF(Pipeline_Sort!$C368="","",INDEX(Pipeline_Calc!$I$2:$I$5251,Pipeline_Sort!$C368))</f>
        <v/>
      </c>
      <c r="I368">
        <f>IF(Pipeline_Sort!$C368="","",INDEX(Pipeline_Calc!$J$2:$J$5251,Pipeline_Sort!$C368))</f>
        <v/>
      </c>
    </row>
    <row r="369">
      <c r="A369" s="22">
        <f>IF(Pipeline_Sort!$C369="","",INDEX(Pipeline_Calc!$B$2:$B$5251,Pipeline_Sort!$C369))</f>
        <v/>
      </c>
      <c r="B369">
        <f>IF(Pipeline_Sort!$C369="","",INDEX(Pipeline_Calc!$C$2:$C$5251,Pipeline_Sort!$C369))</f>
        <v/>
      </c>
      <c r="C369">
        <f>IF(Pipeline_Sort!$C369="","",INDEX(Pipeline_Calc!$D$2:$D$5251,Pipeline_Sort!$C369))</f>
        <v/>
      </c>
      <c r="D369">
        <f>IF(Pipeline_Sort!$C369="","",INDEX(Pipeline_Calc!$E$2:$E$5251,Pipeline_Sort!$C369))</f>
        <v/>
      </c>
      <c r="E369">
        <f>IF(Pipeline_Sort!$C369="","",INDEX(Pipeline_Calc!$F$2:$F$5251,Pipeline_Sort!$C369))</f>
        <v/>
      </c>
      <c r="F369">
        <f>IF(Pipeline_Sort!$C369="","",INDEX(Pipeline_Calc!$G$2:$G$5251,Pipeline_Sort!$C369))</f>
        <v/>
      </c>
      <c r="G369">
        <f>IF(Pipeline_Sort!$C369="","",INDEX(Pipeline_Calc!$H$2:$H$5251,Pipeline_Sort!$C369))</f>
        <v/>
      </c>
      <c r="H369">
        <f>IF(Pipeline_Sort!$C369="","",INDEX(Pipeline_Calc!$I$2:$I$5251,Pipeline_Sort!$C369))</f>
        <v/>
      </c>
      <c r="I369">
        <f>IF(Pipeline_Sort!$C369="","",INDEX(Pipeline_Calc!$J$2:$J$5251,Pipeline_Sort!$C369))</f>
        <v/>
      </c>
    </row>
    <row r="370">
      <c r="A370" s="22">
        <f>IF(Pipeline_Sort!$C370="","",INDEX(Pipeline_Calc!$B$2:$B$5251,Pipeline_Sort!$C370))</f>
        <v/>
      </c>
      <c r="B370">
        <f>IF(Pipeline_Sort!$C370="","",INDEX(Pipeline_Calc!$C$2:$C$5251,Pipeline_Sort!$C370))</f>
        <v/>
      </c>
      <c r="C370">
        <f>IF(Pipeline_Sort!$C370="","",INDEX(Pipeline_Calc!$D$2:$D$5251,Pipeline_Sort!$C370))</f>
        <v/>
      </c>
      <c r="D370">
        <f>IF(Pipeline_Sort!$C370="","",INDEX(Pipeline_Calc!$E$2:$E$5251,Pipeline_Sort!$C370))</f>
        <v/>
      </c>
      <c r="E370">
        <f>IF(Pipeline_Sort!$C370="","",INDEX(Pipeline_Calc!$F$2:$F$5251,Pipeline_Sort!$C370))</f>
        <v/>
      </c>
      <c r="F370">
        <f>IF(Pipeline_Sort!$C370="","",INDEX(Pipeline_Calc!$G$2:$G$5251,Pipeline_Sort!$C370))</f>
        <v/>
      </c>
      <c r="G370">
        <f>IF(Pipeline_Sort!$C370="","",INDEX(Pipeline_Calc!$H$2:$H$5251,Pipeline_Sort!$C370))</f>
        <v/>
      </c>
      <c r="H370">
        <f>IF(Pipeline_Sort!$C370="","",INDEX(Pipeline_Calc!$I$2:$I$5251,Pipeline_Sort!$C370))</f>
        <v/>
      </c>
      <c r="I370">
        <f>IF(Pipeline_Sort!$C370="","",INDEX(Pipeline_Calc!$J$2:$J$5251,Pipeline_Sort!$C370))</f>
        <v/>
      </c>
    </row>
    <row r="371">
      <c r="A371" s="22">
        <f>IF(Pipeline_Sort!$C371="","",INDEX(Pipeline_Calc!$B$2:$B$5251,Pipeline_Sort!$C371))</f>
        <v/>
      </c>
      <c r="B371">
        <f>IF(Pipeline_Sort!$C371="","",INDEX(Pipeline_Calc!$C$2:$C$5251,Pipeline_Sort!$C371))</f>
        <v/>
      </c>
      <c r="C371">
        <f>IF(Pipeline_Sort!$C371="","",INDEX(Pipeline_Calc!$D$2:$D$5251,Pipeline_Sort!$C371))</f>
        <v/>
      </c>
      <c r="D371">
        <f>IF(Pipeline_Sort!$C371="","",INDEX(Pipeline_Calc!$E$2:$E$5251,Pipeline_Sort!$C371))</f>
        <v/>
      </c>
      <c r="E371">
        <f>IF(Pipeline_Sort!$C371="","",INDEX(Pipeline_Calc!$F$2:$F$5251,Pipeline_Sort!$C371))</f>
        <v/>
      </c>
      <c r="F371">
        <f>IF(Pipeline_Sort!$C371="","",INDEX(Pipeline_Calc!$G$2:$G$5251,Pipeline_Sort!$C371))</f>
        <v/>
      </c>
      <c r="G371">
        <f>IF(Pipeline_Sort!$C371="","",INDEX(Pipeline_Calc!$H$2:$H$5251,Pipeline_Sort!$C371))</f>
        <v/>
      </c>
      <c r="H371">
        <f>IF(Pipeline_Sort!$C371="","",INDEX(Pipeline_Calc!$I$2:$I$5251,Pipeline_Sort!$C371))</f>
        <v/>
      </c>
      <c r="I371">
        <f>IF(Pipeline_Sort!$C371="","",INDEX(Pipeline_Calc!$J$2:$J$5251,Pipeline_Sort!$C371))</f>
        <v/>
      </c>
    </row>
    <row r="372">
      <c r="A372" s="22">
        <f>IF(Pipeline_Sort!$C372="","",INDEX(Pipeline_Calc!$B$2:$B$5251,Pipeline_Sort!$C372))</f>
        <v/>
      </c>
      <c r="B372">
        <f>IF(Pipeline_Sort!$C372="","",INDEX(Pipeline_Calc!$C$2:$C$5251,Pipeline_Sort!$C372))</f>
        <v/>
      </c>
      <c r="C372">
        <f>IF(Pipeline_Sort!$C372="","",INDEX(Pipeline_Calc!$D$2:$D$5251,Pipeline_Sort!$C372))</f>
        <v/>
      </c>
      <c r="D372">
        <f>IF(Pipeline_Sort!$C372="","",INDEX(Pipeline_Calc!$E$2:$E$5251,Pipeline_Sort!$C372))</f>
        <v/>
      </c>
      <c r="E372">
        <f>IF(Pipeline_Sort!$C372="","",INDEX(Pipeline_Calc!$F$2:$F$5251,Pipeline_Sort!$C372))</f>
        <v/>
      </c>
      <c r="F372">
        <f>IF(Pipeline_Sort!$C372="","",INDEX(Pipeline_Calc!$G$2:$G$5251,Pipeline_Sort!$C372))</f>
        <v/>
      </c>
      <c r="G372">
        <f>IF(Pipeline_Sort!$C372="","",INDEX(Pipeline_Calc!$H$2:$H$5251,Pipeline_Sort!$C372))</f>
        <v/>
      </c>
      <c r="H372">
        <f>IF(Pipeline_Sort!$C372="","",INDEX(Pipeline_Calc!$I$2:$I$5251,Pipeline_Sort!$C372))</f>
        <v/>
      </c>
      <c r="I372">
        <f>IF(Pipeline_Sort!$C372="","",INDEX(Pipeline_Calc!$J$2:$J$5251,Pipeline_Sort!$C372))</f>
        <v/>
      </c>
    </row>
    <row r="373">
      <c r="A373" s="22">
        <f>IF(Pipeline_Sort!$C373="","",INDEX(Pipeline_Calc!$B$2:$B$5251,Pipeline_Sort!$C373))</f>
        <v/>
      </c>
      <c r="B373">
        <f>IF(Pipeline_Sort!$C373="","",INDEX(Pipeline_Calc!$C$2:$C$5251,Pipeline_Sort!$C373))</f>
        <v/>
      </c>
      <c r="C373">
        <f>IF(Pipeline_Sort!$C373="","",INDEX(Pipeline_Calc!$D$2:$D$5251,Pipeline_Sort!$C373))</f>
        <v/>
      </c>
      <c r="D373">
        <f>IF(Pipeline_Sort!$C373="","",INDEX(Pipeline_Calc!$E$2:$E$5251,Pipeline_Sort!$C373))</f>
        <v/>
      </c>
      <c r="E373">
        <f>IF(Pipeline_Sort!$C373="","",INDEX(Pipeline_Calc!$F$2:$F$5251,Pipeline_Sort!$C373))</f>
        <v/>
      </c>
      <c r="F373">
        <f>IF(Pipeline_Sort!$C373="","",INDEX(Pipeline_Calc!$G$2:$G$5251,Pipeline_Sort!$C373))</f>
        <v/>
      </c>
      <c r="G373">
        <f>IF(Pipeline_Sort!$C373="","",INDEX(Pipeline_Calc!$H$2:$H$5251,Pipeline_Sort!$C373))</f>
        <v/>
      </c>
      <c r="H373">
        <f>IF(Pipeline_Sort!$C373="","",INDEX(Pipeline_Calc!$I$2:$I$5251,Pipeline_Sort!$C373))</f>
        <v/>
      </c>
      <c r="I373">
        <f>IF(Pipeline_Sort!$C373="","",INDEX(Pipeline_Calc!$J$2:$J$5251,Pipeline_Sort!$C373))</f>
        <v/>
      </c>
    </row>
    <row r="374">
      <c r="A374" s="22">
        <f>IF(Pipeline_Sort!$C374="","",INDEX(Pipeline_Calc!$B$2:$B$5251,Pipeline_Sort!$C374))</f>
        <v/>
      </c>
      <c r="B374">
        <f>IF(Pipeline_Sort!$C374="","",INDEX(Pipeline_Calc!$C$2:$C$5251,Pipeline_Sort!$C374))</f>
        <v/>
      </c>
      <c r="C374">
        <f>IF(Pipeline_Sort!$C374="","",INDEX(Pipeline_Calc!$D$2:$D$5251,Pipeline_Sort!$C374))</f>
        <v/>
      </c>
      <c r="D374">
        <f>IF(Pipeline_Sort!$C374="","",INDEX(Pipeline_Calc!$E$2:$E$5251,Pipeline_Sort!$C374))</f>
        <v/>
      </c>
      <c r="E374">
        <f>IF(Pipeline_Sort!$C374="","",INDEX(Pipeline_Calc!$F$2:$F$5251,Pipeline_Sort!$C374))</f>
        <v/>
      </c>
      <c r="F374">
        <f>IF(Pipeline_Sort!$C374="","",INDEX(Pipeline_Calc!$G$2:$G$5251,Pipeline_Sort!$C374))</f>
        <v/>
      </c>
      <c r="G374">
        <f>IF(Pipeline_Sort!$C374="","",INDEX(Pipeline_Calc!$H$2:$H$5251,Pipeline_Sort!$C374))</f>
        <v/>
      </c>
      <c r="H374">
        <f>IF(Pipeline_Sort!$C374="","",INDEX(Pipeline_Calc!$I$2:$I$5251,Pipeline_Sort!$C374))</f>
        <v/>
      </c>
      <c r="I374">
        <f>IF(Pipeline_Sort!$C374="","",INDEX(Pipeline_Calc!$J$2:$J$5251,Pipeline_Sort!$C374))</f>
        <v/>
      </c>
    </row>
    <row r="375">
      <c r="A375" s="22">
        <f>IF(Pipeline_Sort!$C375="","",INDEX(Pipeline_Calc!$B$2:$B$5251,Pipeline_Sort!$C375))</f>
        <v/>
      </c>
      <c r="B375">
        <f>IF(Pipeline_Sort!$C375="","",INDEX(Pipeline_Calc!$C$2:$C$5251,Pipeline_Sort!$C375))</f>
        <v/>
      </c>
      <c r="C375">
        <f>IF(Pipeline_Sort!$C375="","",INDEX(Pipeline_Calc!$D$2:$D$5251,Pipeline_Sort!$C375))</f>
        <v/>
      </c>
      <c r="D375">
        <f>IF(Pipeline_Sort!$C375="","",INDEX(Pipeline_Calc!$E$2:$E$5251,Pipeline_Sort!$C375))</f>
        <v/>
      </c>
      <c r="E375">
        <f>IF(Pipeline_Sort!$C375="","",INDEX(Pipeline_Calc!$F$2:$F$5251,Pipeline_Sort!$C375))</f>
        <v/>
      </c>
      <c r="F375">
        <f>IF(Pipeline_Sort!$C375="","",INDEX(Pipeline_Calc!$G$2:$G$5251,Pipeline_Sort!$C375))</f>
        <v/>
      </c>
      <c r="G375">
        <f>IF(Pipeline_Sort!$C375="","",INDEX(Pipeline_Calc!$H$2:$H$5251,Pipeline_Sort!$C375))</f>
        <v/>
      </c>
      <c r="H375">
        <f>IF(Pipeline_Sort!$C375="","",INDEX(Pipeline_Calc!$I$2:$I$5251,Pipeline_Sort!$C375))</f>
        <v/>
      </c>
      <c r="I375">
        <f>IF(Pipeline_Sort!$C375="","",INDEX(Pipeline_Calc!$J$2:$J$5251,Pipeline_Sort!$C375))</f>
        <v/>
      </c>
    </row>
    <row r="376">
      <c r="A376" s="22">
        <f>IF(Pipeline_Sort!$C376="","",INDEX(Pipeline_Calc!$B$2:$B$5251,Pipeline_Sort!$C376))</f>
        <v/>
      </c>
      <c r="B376">
        <f>IF(Pipeline_Sort!$C376="","",INDEX(Pipeline_Calc!$C$2:$C$5251,Pipeline_Sort!$C376))</f>
        <v/>
      </c>
      <c r="C376">
        <f>IF(Pipeline_Sort!$C376="","",INDEX(Pipeline_Calc!$D$2:$D$5251,Pipeline_Sort!$C376))</f>
        <v/>
      </c>
      <c r="D376">
        <f>IF(Pipeline_Sort!$C376="","",INDEX(Pipeline_Calc!$E$2:$E$5251,Pipeline_Sort!$C376))</f>
        <v/>
      </c>
      <c r="E376">
        <f>IF(Pipeline_Sort!$C376="","",INDEX(Pipeline_Calc!$F$2:$F$5251,Pipeline_Sort!$C376))</f>
        <v/>
      </c>
      <c r="F376">
        <f>IF(Pipeline_Sort!$C376="","",INDEX(Pipeline_Calc!$G$2:$G$5251,Pipeline_Sort!$C376))</f>
        <v/>
      </c>
      <c r="G376">
        <f>IF(Pipeline_Sort!$C376="","",INDEX(Pipeline_Calc!$H$2:$H$5251,Pipeline_Sort!$C376))</f>
        <v/>
      </c>
      <c r="H376">
        <f>IF(Pipeline_Sort!$C376="","",INDEX(Pipeline_Calc!$I$2:$I$5251,Pipeline_Sort!$C376))</f>
        <v/>
      </c>
      <c r="I376">
        <f>IF(Pipeline_Sort!$C376="","",INDEX(Pipeline_Calc!$J$2:$J$5251,Pipeline_Sort!$C376))</f>
        <v/>
      </c>
    </row>
    <row r="377">
      <c r="A377" s="22">
        <f>IF(Pipeline_Sort!$C377="","",INDEX(Pipeline_Calc!$B$2:$B$5251,Pipeline_Sort!$C377))</f>
        <v/>
      </c>
      <c r="B377">
        <f>IF(Pipeline_Sort!$C377="","",INDEX(Pipeline_Calc!$C$2:$C$5251,Pipeline_Sort!$C377))</f>
        <v/>
      </c>
      <c r="C377">
        <f>IF(Pipeline_Sort!$C377="","",INDEX(Pipeline_Calc!$D$2:$D$5251,Pipeline_Sort!$C377))</f>
        <v/>
      </c>
      <c r="D377">
        <f>IF(Pipeline_Sort!$C377="","",INDEX(Pipeline_Calc!$E$2:$E$5251,Pipeline_Sort!$C377))</f>
        <v/>
      </c>
      <c r="E377">
        <f>IF(Pipeline_Sort!$C377="","",INDEX(Pipeline_Calc!$F$2:$F$5251,Pipeline_Sort!$C377))</f>
        <v/>
      </c>
      <c r="F377">
        <f>IF(Pipeline_Sort!$C377="","",INDEX(Pipeline_Calc!$G$2:$G$5251,Pipeline_Sort!$C377))</f>
        <v/>
      </c>
      <c r="G377">
        <f>IF(Pipeline_Sort!$C377="","",INDEX(Pipeline_Calc!$H$2:$H$5251,Pipeline_Sort!$C377))</f>
        <v/>
      </c>
      <c r="H377">
        <f>IF(Pipeline_Sort!$C377="","",INDEX(Pipeline_Calc!$I$2:$I$5251,Pipeline_Sort!$C377))</f>
        <v/>
      </c>
      <c r="I377">
        <f>IF(Pipeline_Sort!$C377="","",INDEX(Pipeline_Calc!$J$2:$J$5251,Pipeline_Sort!$C377))</f>
        <v/>
      </c>
    </row>
    <row r="378">
      <c r="A378" s="22">
        <f>IF(Pipeline_Sort!$C378="","",INDEX(Pipeline_Calc!$B$2:$B$5251,Pipeline_Sort!$C378))</f>
        <v/>
      </c>
      <c r="B378">
        <f>IF(Pipeline_Sort!$C378="","",INDEX(Pipeline_Calc!$C$2:$C$5251,Pipeline_Sort!$C378))</f>
        <v/>
      </c>
      <c r="C378">
        <f>IF(Pipeline_Sort!$C378="","",INDEX(Pipeline_Calc!$D$2:$D$5251,Pipeline_Sort!$C378))</f>
        <v/>
      </c>
      <c r="D378">
        <f>IF(Pipeline_Sort!$C378="","",INDEX(Pipeline_Calc!$E$2:$E$5251,Pipeline_Sort!$C378))</f>
        <v/>
      </c>
      <c r="E378">
        <f>IF(Pipeline_Sort!$C378="","",INDEX(Pipeline_Calc!$F$2:$F$5251,Pipeline_Sort!$C378))</f>
        <v/>
      </c>
      <c r="F378">
        <f>IF(Pipeline_Sort!$C378="","",INDEX(Pipeline_Calc!$G$2:$G$5251,Pipeline_Sort!$C378))</f>
        <v/>
      </c>
      <c r="G378">
        <f>IF(Pipeline_Sort!$C378="","",INDEX(Pipeline_Calc!$H$2:$H$5251,Pipeline_Sort!$C378))</f>
        <v/>
      </c>
      <c r="H378">
        <f>IF(Pipeline_Sort!$C378="","",INDEX(Pipeline_Calc!$I$2:$I$5251,Pipeline_Sort!$C378))</f>
        <v/>
      </c>
      <c r="I378">
        <f>IF(Pipeline_Sort!$C378="","",INDEX(Pipeline_Calc!$J$2:$J$5251,Pipeline_Sort!$C378))</f>
        <v/>
      </c>
    </row>
    <row r="379">
      <c r="A379" s="22">
        <f>IF(Pipeline_Sort!$C379="","",INDEX(Pipeline_Calc!$B$2:$B$5251,Pipeline_Sort!$C379))</f>
        <v/>
      </c>
      <c r="B379">
        <f>IF(Pipeline_Sort!$C379="","",INDEX(Pipeline_Calc!$C$2:$C$5251,Pipeline_Sort!$C379))</f>
        <v/>
      </c>
      <c r="C379">
        <f>IF(Pipeline_Sort!$C379="","",INDEX(Pipeline_Calc!$D$2:$D$5251,Pipeline_Sort!$C379))</f>
        <v/>
      </c>
      <c r="D379">
        <f>IF(Pipeline_Sort!$C379="","",INDEX(Pipeline_Calc!$E$2:$E$5251,Pipeline_Sort!$C379))</f>
        <v/>
      </c>
      <c r="E379">
        <f>IF(Pipeline_Sort!$C379="","",INDEX(Pipeline_Calc!$F$2:$F$5251,Pipeline_Sort!$C379))</f>
        <v/>
      </c>
      <c r="F379">
        <f>IF(Pipeline_Sort!$C379="","",INDEX(Pipeline_Calc!$G$2:$G$5251,Pipeline_Sort!$C379))</f>
        <v/>
      </c>
      <c r="G379">
        <f>IF(Pipeline_Sort!$C379="","",INDEX(Pipeline_Calc!$H$2:$H$5251,Pipeline_Sort!$C379))</f>
        <v/>
      </c>
      <c r="H379">
        <f>IF(Pipeline_Sort!$C379="","",INDEX(Pipeline_Calc!$I$2:$I$5251,Pipeline_Sort!$C379))</f>
        <v/>
      </c>
      <c r="I379">
        <f>IF(Pipeline_Sort!$C379="","",INDEX(Pipeline_Calc!$J$2:$J$5251,Pipeline_Sort!$C379))</f>
        <v/>
      </c>
    </row>
    <row r="380">
      <c r="A380" s="22">
        <f>IF(Pipeline_Sort!$C380="","",INDEX(Pipeline_Calc!$B$2:$B$5251,Pipeline_Sort!$C380))</f>
        <v/>
      </c>
      <c r="B380">
        <f>IF(Pipeline_Sort!$C380="","",INDEX(Pipeline_Calc!$C$2:$C$5251,Pipeline_Sort!$C380))</f>
        <v/>
      </c>
      <c r="C380">
        <f>IF(Pipeline_Sort!$C380="","",INDEX(Pipeline_Calc!$D$2:$D$5251,Pipeline_Sort!$C380))</f>
        <v/>
      </c>
      <c r="D380">
        <f>IF(Pipeline_Sort!$C380="","",INDEX(Pipeline_Calc!$E$2:$E$5251,Pipeline_Sort!$C380))</f>
        <v/>
      </c>
      <c r="E380">
        <f>IF(Pipeline_Sort!$C380="","",INDEX(Pipeline_Calc!$F$2:$F$5251,Pipeline_Sort!$C380))</f>
        <v/>
      </c>
      <c r="F380">
        <f>IF(Pipeline_Sort!$C380="","",INDEX(Pipeline_Calc!$G$2:$G$5251,Pipeline_Sort!$C380))</f>
        <v/>
      </c>
      <c r="G380">
        <f>IF(Pipeline_Sort!$C380="","",INDEX(Pipeline_Calc!$H$2:$H$5251,Pipeline_Sort!$C380))</f>
        <v/>
      </c>
      <c r="H380">
        <f>IF(Pipeline_Sort!$C380="","",INDEX(Pipeline_Calc!$I$2:$I$5251,Pipeline_Sort!$C380))</f>
        <v/>
      </c>
      <c r="I380">
        <f>IF(Pipeline_Sort!$C380="","",INDEX(Pipeline_Calc!$J$2:$J$5251,Pipeline_Sort!$C380))</f>
        <v/>
      </c>
    </row>
    <row r="381">
      <c r="A381" s="22">
        <f>IF(Pipeline_Sort!$C381="","",INDEX(Pipeline_Calc!$B$2:$B$5251,Pipeline_Sort!$C381))</f>
        <v/>
      </c>
      <c r="B381">
        <f>IF(Pipeline_Sort!$C381="","",INDEX(Pipeline_Calc!$C$2:$C$5251,Pipeline_Sort!$C381))</f>
        <v/>
      </c>
      <c r="C381">
        <f>IF(Pipeline_Sort!$C381="","",INDEX(Pipeline_Calc!$D$2:$D$5251,Pipeline_Sort!$C381))</f>
        <v/>
      </c>
      <c r="D381">
        <f>IF(Pipeline_Sort!$C381="","",INDEX(Pipeline_Calc!$E$2:$E$5251,Pipeline_Sort!$C381))</f>
        <v/>
      </c>
      <c r="E381">
        <f>IF(Pipeline_Sort!$C381="","",INDEX(Pipeline_Calc!$F$2:$F$5251,Pipeline_Sort!$C381))</f>
        <v/>
      </c>
      <c r="F381">
        <f>IF(Pipeline_Sort!$C381="","",INDEX(Pipeline_Calc!$G$2:$G$5251,Pipeline_Sort!$C381))</f>
        <v/>
      </c>
      <c r="G381">
        <f>IF(Pipeline_Sort!$C381="","",INDEX(Pipeline_Calc!$H$2:$H$5251,Pipeline_Sort!$C381))</f>
        <v/>
      </c>
      <c r="H381">
        <f>IF(Pipeline_Sort!$C381="","",INDEX(Pipeline_Calc!$I$2:$I$5251,Pipeline_Sort!$C381))</f>
        <v/>
      </c>
      <c r="I381">
        <f>IF(Pipeline_Sort!$C381="","",INDEX(Pipeline_Calc!$J$2:$J$5251,Pipeline_Sort!$C381))</f>
        <v/>
      </c>
    </row>
    <row r="382">
      <c r="A382" s="22">
        <f>IF(Pipeline_Sort!$C382="","",INDEX(Pipeline_Calc!$B$2:$B$5251,Pipeline_Sort!$C382))</f>
        <v/>
      </c>
      <c r="B382">
        <f>IF(Pipeline_Sort!$C382="","",INDEX(Pipeline_Calc!$C$2:$C$5251,Pipeline_Sort!$C382))</f>
        <v/>
      </c>
      <c r="C382">
        <f>IF(Pipeline_Sort!$C382="","",INDEX(Pipeline_Calc!$D$2:$D$5251,Pipeline_Sort!$C382))</f>
        <v/>
      </c>
      <c r="D382">
        <f>IF(Pipeline_Sort!$C382="","",INDEX(Pipeline_Calc!$E$2:$E$5251,Pipeline_Sort!$C382))</f>
        <v/>
      </c>
      <c r="E382">
        <f>IF(Pipeline_Sort!$C382="","",INDEX(Pipeline_Calc!$F$2:$F$5251,Pipeline_Sort!$C382))</f>
        <v/>
      </c>
      <c r="F382">
        <f>IF(Pipeline_Sort!$C382="","",INDEX(Pipeline_Calc!$G$2:$G$5251,Pipeline_Sort!$C382))</f>
        <v/>
      </c>
      <c r="G382">
        <f>IF(Pipeline_Sort!$C382="","",INDEX(Pipeline_Calc!$H$2:$H$5251,Pipeline_Sort!$C382))</f>
        <v/>
      </c>
      <c r="H382">
        <f>IF(Pipeline_Sort!$C382="","",INDEX(Pipeline_Calc!$I$2:$I$5251,Pipeline_Sort!$C382))</f>
        <v/>
      </c>
      <c r="I382">
        <f>IF(Pipeline_Sort!$C382="","",INDEX(Pipeline_Calc!$J$2:$J$5251,Pipeline_Sort!$C382))</f>
        <v/>
      </c>
    </row>
    <row r="383">
      <c r="A383" s="22">
        <f>IF(Pipeline_Sort!$C383="","",INDEX(Pipeline_Calc!$B$2:$B$5251,Pipeline_Sort!$C383))</f>
        <v/>
      </c>
      <c r="B383">
        <f>IF(Pipeline_Sort!$C383="","",INDEX(Pipeline_Calc!$C$2:$C$5251,Pipeline_Sort!$C383))</f>
        <v/>
      </c>
      <c r="C383">
        <f>IF(Pipeline_Sort!$C383="","",INDEX(Pipeline_Calc!$D$2:$D$5251,Pipeline_Sort!$C383))</f>
        <v/>
      </c>
      <c r="D383">
        <f>IF(Pipeline_Sort!$C383="","",INDEX(Pipeline_Calc!$E$2:$E$5251,Pipeline_Sort!$C383))</f>
        <v/>
      </c>
      <c r="E383">
        <f>IF(Pipeline_Sort!$C383="","",INDEX(Pipeline_Calc!$F$2:$F$5251,Pipeline_Sort!$C383))</f>
        <v/>
      </c>
      <c r="F383">
        <f>IF(Pipeline_Sort!$C383="","",INDEX(Pipeline_Calc!$G$2:$G$5251,Pipeline_Sort!$C383))</f>
        <v/>
      </c>
      <c r="G383">
        <f>IF(Pipeline_Sort!$C383="","",INDEX(Pipeline_Calc!$H$2:$H$5251,Pipeline_Sort!$C383))</f>
        <v/>
      </c>
      <c r="H383">
        <f>IF(Pipeline_Sort!$C383="","",INDEX(Pipeline_Calc!$I$2:$I$5251,Pipeline_Sort!$C383))</f>
        <v/>
      </c>
      <c r="I383">
        <f>IF(Pipeline_Sort!$C383="","",INDEX(Pipeline_Calc!$J$2:$J$5251,Pipeline_Sort!$C383))</f>
        <v/>
      </c>
    </row>
    <row r="384">
      <c r="A384" s="22">
        <f>IF(Pipeline_Sort!$C384="","",INDEX(Pipeline_Calc!$B$2:$B$5251,Pipeline_Sort!$C384))</f>
        <v/>
      </c>
      <c r="B384">
        <f>IF(Pipeline_Sort!$C384="","",INDEX(Pipeline_Calc!$C$2:$C$5251,Pipeline_Sort!$C384))</f>
        <v/>
      </c>
      <c r="C384">
        <f>IF(Pipeline_Sort!$C384="","",INDEX(Pipeline_Calc!$D$2:$D$5251,Pipeline_Sort!$C384))</f>
        <v/>
      </c>
      <c r="D384">
        <f>IF(Pipeline_Sort!$C384="","",INDEX(Pipeline_Calc!$E$2:$E$5251,Pipeline_Sort!$C384))</f>
        <v/>
      </c>
      <c r="E384">
        <f>IF(Pipeline_Sort!$C384="","",INDEX(Pipeline_Calc!$F$2:$F$5251,Pipeline_Sort!$C384))</f>
        <v/>
      </c>
      <c r="F384">
        <f>IF(Pipeline_Sort!$C384="","",INDEX(Pipeline_Calc!$G$2:$G$5251,Pipeline_Sort!$C384))</f>
        <v/>
      </c>
      <c r="G384">
        <f>IF(Pipeline_Sort!$C384="","",INDEX(Pipeline_Calc!$H$2:$H$5251,Pipeline_Sort!$C384))</f>
        <v/>
      </c>
      <c r="H384">
        <f>IF(Pipeline_Sort!$C384="","",INDEX(Pipeline_Calc!$I$2:$I$5251,Pipeline_Sort!$C384))</f>
        <v/>
      </c>
      <c r="I384">
        <f>IF(Pipeline_Sort!$C384="","",INDEX(Pipeline_Calc!$J$2:$J$5251,Pipeline_Sort!$C384))</f>
        <v/>
      </c>
    </row>
    <row r="385">
      <c r="A385" s="22">
        <f>IF(Pipeline_Sort!$C385="","",INDEX(Pipeline_Calc!$B$2:$B$5251,Pipeline_Sort!$C385))</f>
        <v/>
      </c>
      <c r="B385">
        <f>IF(Pipeline_Sort!$C385="","",INDEX(Pipeline_Calc!$C$2:$C$5251,Pipeline_Sort!$C385))</f>
        <v/>
      </c>
      <c r="C385">
        <f>IF(Pipeline_Sort!$C385="","",INDEX(Pipeline_Calc!$D$2:$D$5251,Pipeline_Sort!$C385))</f>
        <v/>
      </c>
      <c r="D385">
        <f>IF(Pipeline_Sort!$C385="","",INDEX(Pipeline_Calc!$E$2:$E$5251,Pipeline_Sort!$C385))</f>
        <v/>
      </c>
      <c r="E385">
        <f>IF(Pipeline_Sort!$C385="","",INDEX(Pipeline_Calc!$F$2:$F$5251,Pipeline_Sort!$C385))</f>
        <v/>
      </c>
      <c r="F385">
        <f>IF(Pipeline_Sort!$C385="","",INDEX(Pipeline_Calc!$G$2:$G$5251,Pipeline_Sort!$C385))</f>
        <v/>
      </c>
      <c r="G385">
        <f>IF(Pipeline_Sort!$C385="","",INDEX(Pipeline_Calc!$H$2:$H$5251,Pipeline_Sort!$C385))</f>
        <v/>
      </c>
      <c r="H385">
        <f>IF(Pipeline_Sort!$C385="","",INDEX(Pipeline_Calc!$I$2:$I$5251,Pipeline_Sort!$C385))</f>
        <v/>
      </c>
      <c r="I385">
        <f>IF(Pipeline_Sort!$C385="","",INDEX(Pipeline_Calc!$J$2:$J$5251,Pipeline_Sort!$C385))</f>
        <v/>
      </c>
    </row>
    <row r="386">
      <c r="A386" s="22">
        <f>IF(Pipeline_Sort!$C386="","",INDEX(Pipeline_Calc!$B$2:$B$5251,Pipeline_Sort!$C386))</f>
        <v/>
      </c>
      <c r="B386">
        <f>IF(Pipeline_Sort!$C386="","",INDEX(Pipeline_Calc!$C$2:$C$5251,Pipeline_Sort!$C386))</f>
        <v/>
      </c>
      <c r="C386">
        <f>IF(Pipeline_Sort!$C386="","",INDEX(Pipeline_Calc!$D$2:$D$5251,Pipeline_Sort!$C386))</f>
        <v/>
      </c>
      <c r="D386">
        <f>IF(Pipeline_Sort!$C386="","",INDEX(Pipeline_Calc!$E$2:$E$5251,Pipeline_Sort!$C386))</f>
        <v/>
      </c>
      <c r="E386">
        <f>IF(Pipeline_Sort!$C386="","",INDEX(Pipeline_Calc!$F$2:$F$5251,Pipeline_Sort!$C386))</f>
        <v/>
      </c>
      <c r="F386">
        <f>IF(Pipeline_Sort!$C386="","",INDEX(Pipeline_Calc!$G$2:$G$5251,Pipeline_Sort!$C386))</f>
        <v/>
      </c>
      <c r="G386">
        <f>IF(Pipeline_Sort!$C386="","",INDEX(Pipeline_Calc!$H$2:$H$5251,Pipeline_Sort!$C386))</f>
        <v/>
      </c>
      <c r="H386">
        <f>IF(Pipeline_Sort!$C386="","",INDEX(Pipeline_Calc!$I$2:$I$5251,Pipeline_Sort!$C386))</f>
        <v/>
      </c>
      <c r="I386">
        <f>IF(Pipeline_Sort!$C386="","",INDEX(Pipeline_Calc!$J$2:$J$5251,Pipeline_Sort!$C386))</f>
        <v/>
      </c>
    </row>
    <row r="387">
      <c r="A387" s="22">
        <f>IF(Pipeline_Sort!$C387="","",INDEX(Pipeline_Calc!$B$2:$B$5251,Pipeline_Sort!$C387))</f>
        <v/>
      </c>
      <c r="B387">
        <f>IF(Pipeline_Sort!$C387="","",INDEX(Pipeline_Calc!$C$2:$C$5251,Pipeline_Sort!$C387))</f>
        <v/>
      </c>
      <c r="C387">
        <f>IF(Pipeline_Sort!$C387="","",INDEX(Pipeline_Calc!$D$2:$D$5251,Pipeline_Sort!$C387))</f>
        <v/>
      </c>
      <c r="D387">
        <f>IF(Pipeline_Sort!$C387="","",INDEX(Pipeline_Calc!$E$2:$E$5251,Pipeline_Sort!$C387))</f>
        <v/>
      </c>
      <c r="E387">
        <f>IF(Pipeline_Sort!$C387="","",INDEX(Pipeline_Calc!$F$2:$F$5251,Pipeline_Sort!$C387))</f>
        <v/>
      </c>
      <c r="F387">
        <f>IF(Pipeline_Sort!$C387="","",INDEX(Pipeline_Calc!$G$2:$G$5251,Pipeline_Sort!$C387))</f>
        <v/>
      </c>
      <c r="G387">
        <f>IF(Pipeline_Sort!$C387="","",INDEX(Pipeline_Calc!$H$2:$H$5251,Pipeline_Sort!$C387))</f>
        <v/>
      </c>
      <c r="H387">
        <f>IF(Pipeline_Sort!$C387="","",INDEX(Pipeline_Calc!$I$2:$I$5251,Pipeline_Sort!$C387))</f>
        <v/>
      </c>
      <c r="I387">
        <f>IF(Pipeline_Sort!$C387="","",INDEX(Pipeline_Calc!$J$2:$J$5251,Pipeline_Sort!$C387))</f>
        <v/>
      </c>
    </row>
    <row r="388">
      <c r="A388" s="22">
        <f>IF(Pipeline_Sort!$C388="","",INDEX(Pipeline_Calc!$B$2:$B$5251,Pipeline_Sort!$C388))</f>
        <v/>
      </c>
      <c r="B388">
        <f>IF(Pipeline_Sort!$C388="","",INDEX(Pipeline_Calc!$C$2:$C$5251,Pipeline_Sort!$C388))</f>
        <v/>
      </c>
      <c r="C388">
        <f>IF(Pipeline_Sort!$C388="","",INDEX(Pipeline_Calc!$D$2:$D$5251,Pipeline_Sort!$C388))</f>
        <v/>
      </c>
      <c r="D388">
        <f>IF(Pipeline_Sort!$C388="","",INDEX(Pipeline_Calc!$E$2:$E$5251,Pipeline_Sort!$C388))</f>
        <v/>
      </c>
      <c r="E388">
        <f>IF(Pipeline_Sort!$C388="","",INDEX(Pipeline_Calc!$F$2:$F$5251,Pipeline_Sort!$C388))</f>
        <v/>
      </c>
      <c r="F388">
        <f>IF(Pipeline_Sort!$C388="","",INDEX(Pipeline_Calc!$G$2:$G$5251,Pipeline_Sort!$C388))</f>
        <v/>
      </c>
      <c r="G388">
        <f>IF(Pipeline_Sort!$C388="","",INDEX(Pipeline_Calc!$H$2:$H$5251,Pipeline_Sort!$C388))</f>
        <v/>
      </c>
      <c r="H388">
        <f>IF(Pipeline_Sort!$C388="","",INDEX(Pipeline_Calc!$I$2:$I$5251,Pipeline_Sort!$C388))</f>
        <v/>
      </c>
      <c r="I388">
        <f>IF(Pipeline_Sort!$C388="","",INDEX(Pipeline_Calc!$J$2:$J$5251,Pipeline_Sort!$C388))</f>
        <v/>
      </c>
    </row>
    <row r="389">
      <c r="A389" s="22">
        <f>IF(Pipeline_Sort!$C389="","",INDEX(Pipeline_Calc!$B$2:$B$5251,Pipeline_Sort!$C389))</f>
        <v/>
      </c>
      <c r="B389">
        <f>IF(Pipeline_Sort!$C389="","",INDEX(Pipeline_Calc!$C$2:$C$5251,Pipeline_Sort!$C389))</f>
        <v/>
      </c>
      <c r="C389">
        <f>IF(Pipeline_Sort!$C389="","",INDEX(Pipeline_Calc!$D$2:$D$5251,Pipeline_Sort!$C389))</f>
        <v/>
      </c>
      <c r="D389">
        <f>IF(Pipeline_Sort!$C389="","",INDEX(Pipeline_Calc!$E$2:$E$5251,Pipeline_Sort!$C389))</f>
        <v/>
      </c>
      <c r="E389">
        <f>IF(Pipeline_Sort!$C389="","",INDEX(Pipeline_Calc!$F$2:$F$5251,Pipeline_Sort!$C389))</f>
        <v/>
      </c>
      <c r="F389">
        <f>IF(Pipeline_Sort!$C389="","",INDEX(Pipeline_Calc!$G$2:$G$5251,Pipeline_Sort!$C389))</f>
        <v/>
      </c>
      <c r="G389">
        <f>IF(Pipeline_Sort!$C389="","",INDEX(Pipeline_Calc!$H$2:$H$5251,Pipeline_Sort!$C389))</f>
        <v/>
      </c>
      <c r="H389">
        <f>IF(Pipeline_Sort!$C389="","",INDEX(Pipeline_Calc!$I$2:$I$5251,Pipeline_Sort!$C389))</f>
        <v/>
      </c>
      <c r="I389">
        <f>IF(Pipeline_Sort!$C389="","",INDEX(Pipeline_Calc!$J$2:$J$5251,Pipeline_Sort!$C389))</f>
        <v/>
      </c>
    </row>
    <row r="390">
      <c r="A390" s="22">
        <f>IF(Pipeline_Sort!$C390="","",INDEX(Pipeline_Calc!$B$2:$B$5251,Pipeline_Sort!$C390))</f>
        <v/>
      </c>
      <c r="B390">
        <f>IF(Pipeline_Sort!$C390="","",INDEX(Pipeline_Calc!$C$2:$C$5251,Pipeline_Sort!$C390))</f>
        <v/>
      </c>
      <c r="C390">
        <f>IF(Pipeline_Sort!$C390="","",INDEX(Pipeline_Calc!$D$2:$D$5251,Pipeline_Sort!$C390))</f>
        <v/>
      </c>
      <c r="D390">
        <f>IF(Pipeline_Sort!$C390="","",INDEX(Pipeline_Calc!$E$2:$E$5251,Pipeline_Sort!$C390))</f>
        <v/>
      </c>
      <c r="E390">
        <f>IF(Pipeline_Sort!$C390="","",INDEX(Pipeline_Calc!$F$2:$F$5251,Pipeline_Sort!$C390))</f>
        <v/>
      </c>
      <c r="F390">
        <f>IF(Pipeline_Sort!$C390="","",INDEX(Pipeline_Calc!$G$2:$G$5251,Pipeline_Sort!$C390))</f>
        <v/>
      </c>
      <c r="G390">
        <f>IF(Pipeline_Sort!$C390="","",INDEX(Pipeline_Calc!$H$2:$H$5251,Pipeline_Sort!$C390))</f>
        <v/>
      </c>
      <c r="H390">
        <f>IF(Pipeline_Sort!$C390="","",INDEX(Pipeline_Calc!$I$2:$I$5251,Pipeline_Sort!$C390))</f>
        <v/>
      </c>
      <c r="I390">
        <f>IF(Pipeline_Sort!$C390="","",INDEX(Pipeline_Calc!$J$2:$J$5251,Pipeline_Sort!$C390))</f>
        <v/>
      </c>
    </row>
    <row r="391">
      <c r="A391" s="22">
        <f>IF(Pipeline_Sort!$C391="","",INDEX(Pipeline_Calc!$B$2:$B$5251,Pipeline_Sort!$C391))</f>
        <v/>
      </c>
      <c r="B391">
        <f>IF(Pipeline_Sort!$C391="","",INDEX(Pipeline_Calc!$C$2:$C$5251,Pipeline_Sort!$C391))</f>
        <v/>
      </c>
      <c r="C391">
        <f>IF(Pipeline_Sort!$C391="","",INDEX(Pipeline_Calc!$D$2:$D$5251,Pipeline_Sort!$C391))</f>
        <v/>
      </c>
      <c r="D391">
        <f>IF(Pipeline_Sort!$C391="","",INDEX(Pipeline_Calc!$E$2:$E$5251,Pipeline_Sort!$C391))</f>
        <v/>
      </c>
      <c r="E391">
        <f>IF(Pipeline_Sort!$C391="","",INDEX(Pipeline_Calc!$F$2:$F$5251,Pipeline_Sort!$C391))</f>
        <v/>
      </c>
      <c r="F391">
        <f>IF(Pipeline_Sort!$C391="","",INDEX(Pipeline_Calc!$G$2:$G$5251,Pipeline_Sort!$C391))</f>
        <v/>
      </c>
      <c r="G391">
        <f>IF(Pipeline_Sort!$C391="","",INDEX(Pipeline_Calc!$H$2:$H$5251,Pipeline_Sort!$C391))</f>
        <v/>
      </c>
      <c r="H391">
        <f>IF(Pipeline_Sort!$C391="","",INDEX(Pipeline_Calc!$I$2:$I$5251,Pipeline_Sort!$C391))</f>
        <v/>
      </c>
      <c r="I391">
        <f>IF(Pipeline_Sort!$C391="","",INDEX(Pipeline_Calc!$J$2:$J$5251,Pipeline_Sort!$C391))</f>
        <v/>
      </c>
    </row>
    <row r="392">
      <c r="A392" s="22">
        <f>IF(Pipeline_Sort!$C392="","",INDEX(Pipeline_Calc!$B$2:$B$5251,Pipeline_Sort!$C392))</f>
        <v/>
      </c>
      <c r="B392">
        <f>IF(Pipeline_Sort!$C392="","",INDEX(Pipeline_Calc!$C$2:$C$5251,Pipeline_Sort!$C392))</f>
        <v/>
      </c>
      <c r="C392">
        <f>IF(Pipeline_Sort!$C392="","",INDEX(Pipeline_Calc!$D$2:$D$5251,Pipeline_Sort!$C392))</f>
        <v/>
      </c>
      <c r="D392">
        <f>IF(Pipeline_Sort!$C392="","",INDEX(Pipeline_Calc!$E$2:$E$5251,Pipeline_Sort!$C392))</f>
        <v/>
      </c>
      <c r="E392">
        <f>IF(Pipeline_Sort!$C392="","",INDEX(Pipeline_Calc!$F$2:$F$5251,Pipeline_Sort!$C392))</f>
        <v/>
      </c>
      <c r="F392">
        <f>IF(Pipeline_Sort!$C392="","",INDEX(Pipeline_Calc!$G$2:$G$5251,Pipeline_Sort!$C392))</f>
        <v/>
      </c>
      <c r="G392">
        <f>IF(Pipeline_Sort!$C392="","",INDEX(Pipeline_Calc!$H$2:$H$5251,Pipeline_Sort!$C392))</f>
        <v/>
      </c>
      <c r="H392">
        <f>IF(Pipeline_Sort!$C392="","",INDEX(Pipeline_Calc!$I$2:$I$5251,Pipeline_Sort!$C392))</f>
        <v/>
      </c>
      <c r="I392">
        <f>IF(Pipeline_Sort!$C392="","",INDEX(Pipeline_Calc!$J$2:$J$5251,Pipeline_Sort!$C392))</f>
        <v/>
      </c>
    </row>
    <row r="393">
      <c r="A393" s="22">
        <f>IF(Pipeline_Sort!$C393="","",INDEX(Pipeline_Calc!$B$2:$B$5251,Pipeline_Sort!$C393))</f>
        <v/>
      </c>
      <c r="B393">
        <f>IF(Pipeline_Sort!$C393="","",INDEX(Pipeline_Calc!$C$2:$C$5251,Pipeline_Sort!$C393))</f>
        <v/>
      </c>
      <c r="C393">
        <f>IF(Pipeline_Sort!$C393="","",INDEX(Pipeline_Calc!$D$2:$D$5251,Pipeline_Sort!$C393))</f>
        <v/>
      </c>
      <c r="D393">
        <f>IF(Pipeline_Sort!$C393="","",INDEX(Pipeline_Calc!$E$2:$E$5251,Pipeline_Sort!$C393))</f>
        <v/>
      </c>
      <c r="E393">
        <f>IF(Pipeline_Sort!$C393="","",INDEX(Pipeline_Calc!$F$2:$F$5251,Pipeline_Sort!$C393))</f>
        <v/>
      </c>
      <c r="F393">
        <f>IF(Pipeline_Sort!$C393="","",INDEX(Pipeline_Calc!$G$2:$G$5251,Pipeline_Sort!$C393))</f>
        <v/>
      </c>
      <c r="G393">
        <f>IF(Pipeline_Sort!$C393="","",INDEX(Pipeline_Calc!$H$2:$H$5251,Pipeline_Sort!$C393))</f>
        <v/>
      </c>
      <c r="H393">
        <f>IF(Pipeline_Sort!$C393="","",INDEX(Pipeline_Calc!$I$2:$I$5251,Pipeline_Sort!$C393))</f>
        <v/>
      </c>
      <c r="I393">
        <f>IF(Pipeline_Sort!$C393="","",INDEX(Pipeline_Calc!$J$2:$J$5251,Pipeline_Sort!$C393))</f>
        <v/>
      </c>
    </row>
    <row r="394">
      <c r="A394" s="22">
        <f>IF(Pipeline_Sort!$C394="","",INDEX(Pipeline_Calc!$B$2:$B$5251,Pipeline_Sort!$C394))</f>
        <v/>
      </c>
      <c r="B394">
        <f>IF(Pipeline_Sort!$C394="","",INDEX(Pipeline_Calc!$C$2:$C$5251,Pipeline_Sort!$C394))</f>
        <v/>
      </c>
      <c r="C394">
        <f>IF(Pipeline_Sort!$C394="","",INDEX(Pipeline_Calc!$D$2:$D$5251,Pipeline_Sort!$C394))</f>
        <v/>
      </c>
      <c r="D394">
        <f>IF(Pipeline_Sort!$C394="","",INDEX(Pipeline_Calc!$E$2:$E$5251,Pipeline_Sort!$C394))</f>
        <v/>
      </c>
      <c r="E394">
        <f>IF(Pipeline_Sort!$C394="","",INDEX(Pipeline_Calc!$F$2:$F$5251,Pipeline_Sort!$C394))</f>
        <v/>
      </c>
      <c r="F394">
        <f>IF(Pipeline_Sort!$C394="","",INDEX(Pipeline_Calc!$G$2:$G$5251,Pipeline_Sort!$C394))</f>
        <v/>
      </c>
      <c r="G394">
        <f>IF(Pipeline_Sort!$C394="","",INDEX(Pipeline_Calc!$H$2:$H$5251,Pipeline_Sort!$C394))</f>
        <v/>
      </c>
      <c r="H394">
        <f>IF(Pipeline_Sort!$C394="","",INDEX(Pipeline_Calc!$I$2:$I$5251,Pipeline_Sort!$C394))</f>
        <v/>
      </c>
      <c r="I394">
        <f>IF(Pipeline_Sort!$C394="","",INDEX(Pipeline_Calc!$J$2:$J$5251,Pipeline_Sort!$C394))</f>
        <v/>
      </c>
    </row>
    <row r="395">
      <c r="A395" s="22">
        <f>IF(Pipeline_Sort!$C395="","",INDEX(Pipeline_Calc!$B$2:$B$5251,Pipeline_Sort!$C395))</f>
        <v/>
      </c>
      <c r="B395">
        <f>IF(Pipeline_Sort!$C395="","",INDEX(Pipeline_Calc!$C$2:$C$5251,Pipeline_Sort!$C395))</f>
        <v/>
      </c>
      <c r="C395">
        <f>IF(Pipeline_Sort!$C395="","",INDEX(Pipeline_Calc!$D$2:$D$5251,Pipeline_Sort!$C395))</f>
        <v/>
      </c>
      <c r="D395">
        <f>IF(Pipeline_Sort!$C395="","",INDEX(Pipeline_Calc!$E$2:$E$5251,Pipeline_Sort!$C395))</f>
        <v/>
      </c>
      <c r="E395">
        <f>IF(Pipeline_Sort!$C395="","",INDEX(Pipeline_Calc!$F$2:$F$5251,Pipeline_Sort!$C395))</f>
        <v/>
      </c>
      <c r="F395">
        <f>IF(Pipeline_Sort!$C395="","",INDEX(Pipeline_Calc!$G$2:$G$5251,Pipeline_Sort!$C395))</f>
        <v/>
      </c>
      <c r="G395">
        <f>IF(Pipeline_Sort!$C395="","",INDEX(Pipeline_Calc!$H$2:$H$5251,Pipeline_Sort!$C395))</f>
        <v/>
      </c>
      <c r="H395">
        <f>IF(Pipeline_Sort!$C395="","",INDEX(Pipeline_Calc!$I$2:$I$5251,Pipeline_Sort!$C395))</f>
        <v/>
      </c>
      <c r="I395">
        <f>IF(Pipeline_Sort!$C395="","",INDEX(Pipeline_Calc!$J$2:$J$5251,Pipeline_Sort!$C395))</f>
        <v/>
      </c>
    </row>
    <row r="396">
      <c r="A396" s="22">
        <f>IF(Pipeline_Sort!$C396="","",INDEX(Pipeline_Calc!$B$2:$B$5251,Pipeline_Sort!$C396))</f>
        <v/>
      </c>
      <c r="B396">
        <f>IF(Pipeline_Sort!$C396="","",INDEX(Pipeline_Calc!$C$2:$C$5251,Pipeline_Sort!$C396))</f>
        <v/>
      </c>
      <c r="C396">
        <f>IF(Pipeline_Sort!$C396="","",INDEX(Pipeline_Calc!$D$2:$D$5251,Pipeline_Sort!$C396))</f>
        <v/>
      </c>
      <c r="D396">
        <f>IF(Pipeline_Sort!$C396="","",INDEX(Pipeline_Calc!$E$2:$E$5251,Pipeline_Sort!$C396))</f>
        <v/>
      </c>
      <c r="E396">
        <f>IF(Pipeline_Sort!$C396="","",INDEX(Pipeline_Calc!$F$2:$F$5251,Pipeline_Sort!$C396))</f>
        <v/>
      </c>
      <c r="F396">
        <f>IF(Pipeline_Sort!$C396="","",INDEX(Pipeline_Calc!$G$2:$G$5251,Pipeline_Sort!$C396))</f>
        <v/>
      </c>
      <c r="G396">
        <f>IF(Pipeline_Sort!$C396="","",INDEX(Pipeline_Calc!$H$2:$H$5251,Pipeline_Sort!$C396))</f>
        <v/>
      </c>
      <c r="H396">
        <f>IF(Pipeline_Sort!$C396="","",INDEX(Pipeline_Calc!$I$2:$I$5251,Pipeline_Sort!$C396))</f>
        <v/>
      </c>
      <c r="I396">
        <f>IF(Pipeline_Sort!$C396="","",INDEX(Pipeline_Calc!$J$2:$J$5251,Pipeline_Sort!$C396))</f>
        <v/>
      </c>
    </row>
    <row r="397">
      <c r="A397" s="22">
        <f>IF(Pipeline_Sort!$C397="","",INDEX(Pipeline_Calc!$B$2:$B$5251,Pipeline_Sort!$C397))</f>
        <v/>
      </c>
      <c r="B397">
        <f>IF(Pipeline_Sort!$C397="","",INDEX(Pipeline_Calc!$C$2:$C$5251,Pipeline_Sort!$C397))</f>
        <v/>
      </c>
      <c r="C397">
        <f>IF(Pipeline_Sort!$C397="","",INDEX(Pipeline_Calc!$D$2:$D$5251,Pipeline_Sort!$C397))</f>
        <v/>
      </c>
      <c r="D397">
        <f>IF(Pipeline_Sort!$C397="","",INDEX(Pipeline_Calc!$E$2:$E$5251,Pipeline_Sort!$C397))</f>
        <v/>
      </c>
      <c r="E397">
        <f>IF(Pipeline_Sort!$C397="","",INDEX(Pipeline_Calc!$F$2:$F$5251,Pipeline_Sort!$C397))</f>
        <v/>
      </c>
      <c r="F397">
        <f>IF(Pipeline_Sort!$C397="","",INDEX(Pipeline_Calc!$G$2:$G$5251,Pipeline_Sort!$C397))</f>
        <v/>
      </c>
      <c r="G397">
        <f>IF(Pipeline_Sort!$C397="","",INDEX(Pipeline_Calc!$H$2:$H$5251,Pipeline_Sort!$C397))</f>
        <v/>
      </c>
      <c r="H397">
        <f>IF(Pipeline_Sort!$C397="","",INDEX(Pipeline_Calc!$I$2:$I$5251,Pipeline_Sort!$C397))</f>
        <v/>
      </c>
      <c r="I397">
        <f>IF(Pipeline_Sort!$C397="","",INDEX(Pipeline_Calc!$J$2:$J$5251,Pipeline_Sort!$C397))</f>
        <v/>
      </c>
    </row>
    <row r="398">
      <c r="A398" s="22">
        <f>IF(Pipeline_Sort!$C398="","",INDEX(Pipeline_Calc!$B$2:$B$5251,Pipeline_Sort!$C398))</f>
        <v/>
      </c>
      <c r="B398">
        <f>IF(Pipeline_Sort!$C398="","",INDEX(Pipeline_Calc!$C$2:$C$5251,Pipeline_Sort!$C398))</f>
        <v/>
      </c>
      <c r="C398">
        <f>IF(Pipeline_Sort!$C398="","",INDEX(Pipeline_Calc!$D$2:$D$5251,Pipeline_Sort!$C398))</f>
        <v/>
      </c>
      <c r="D398">
        <f>IF(Pipeline_Sort!$C398="","",INDEX(Pipeline_Calc!$E$2:$E$5251,Pipeline_Sort!$C398))</f>
        <v/>
      </c>
      <c r="E398">
        <f>IF(Pipeline_Sort!$C398="","",INDEX(Pipeline_Calc!$F$2:$F$5251,Pipeline_Sort!$C398))</f>
        <v/>
      </c>
      <c r="F398">
        <f>IF(Pipeline_Sort!$C398="","",INDEX(Pipeline_Calc!$G$2:$G$5251,Pipeline_Sort!$C398))</f>
        <v/>
      </c>
      <c r="G398">
        <f>IF(Pipeline_Sort!$C398="","",INDEX(Pipeline_Calc!$H$2:$H$5251,Pipeline_Sort!$C398))</f>
        <v/>
      </c>
      <c r="H398">
        <f>IF(Pipeline_Sort!$C398="","",INDEX(Pipeline_Calc!$I$2:$I$5251,Pipeline_Sort!$C398))</f>
        <v/>
      </c>
      <c r="I398">
        <f>IF(Pipeline_Sort!$C398="","",INDEX(Pipeline_Calc!$J$2:$J$5251,Pipeline_Sort!$C398))</f>
        <v/>
      </c>
    </row>
    <row r="399">
      <c r="A399" s="22">
        <f>IF(Pipeline_Sort!$C399="","",INDEX(Pipeline_Calc!$B$2:$B$5251,Pipeline_Sort!$C399))</f>
        <v/>
      </c>
      <c r="B399">
        <f>IF(Pipeline_Sort!$C399="","",INDEX(Pipeline_Calc!$C$2:$C$5251,Pipeline_Sort!$C399))</f>
        <v/>
      </c>
      <c r="C399">
        <f>IF(Pipeline_Sort!$C399="","",INDEX(Pipeline_Calc!$D$2:$D$5251,Pipeline_Sort!$C399))</f>
        <v/>
      </c>
      <c r="D399">
        <f>IF(Pipeline_Sort!$C399="","",INDEX(Pipeline_Calc!$E$2:$E$5251,Pipeline_Sort!$C399))</f>
        <v/>
      </c>
      <c r="E399">
        <f>IF(Pipeline_Sort!$C399="","",INDEX(Pipeline_Calc!$F$2:$F$5251,Pipeline_Sort!$C399))</f>
        <v/>
      </c>
      <c r="F399">
        <f>IF(Pipeline_Sort!$C399="","",INDEX(Pipeline_Calc!$G$2:$G$5251,Pipeline_Sort!$C399))</f>
        <v/>
      </c>
      <c r="G399">
        <f>IF(Pipeline_Sort!$C399="","",INDEX(Pipeline_Calc!$H$2:$H$5251,Pipeline_Sort!$C399))</f>
        <v/>
      </c>
      <c r="H399">
        <f>IF(Pipeline_Sort!$C399="","",INDEX(Pipeline_Calc!$I$2:$I$5251,Pipeline_Sort!$C399))</f>
        <v/>
      </c>
      <c r="I399">
        <f>IF(Pipeline_Sort!$C399="","",INDEX(Pipeline_Calc!$J$2:$J$5251,Pipeline_Sort!$C399))</f>
        <v/>
      </c>
    </row>
    <row r="400">
      <c r="A400" s="22">
        <f>IF(Pipeline_Sort!$C400="","",INDEX(Pipeline_Calc!$B$2:$B$5251,Pipeline_Sort!$C400))</f>
        <v/>
      </c>
      <c r="B400">
        <f>IF(Pipeline_Sort!$C400="","",INDEX(Pipeline_Calc!$C$2:$C$5251,Pipeline_Sort!$C400))</f>
        <v/>
      </c>
      <c r="C400">
        <f>IF(Pipeline_Sort!$C400="","",INDEX(Pipeline_Calc!$D$2:$D$5251,Pipeline_Sort!$C400))</f>
        <v/>
      </c>
      <c r="D400">
        <f>IF(Pipeline_Sort!$C400="","",INDEX(Pipeline_Calc!$E$2:$E$5251,Pipeline_Sort!$C400))</f>
        <v/>
      </c>
      <c r="E400">
        <f>IF(Pipeline_Sort!$C400="","",INDEX(Pipeline_Calc!$F$2:$F$5251,Pipeline_Sort!$C400))</f>
        <v/>
      </c>
      <c r="F400">
        <f>IF(Pipeline_Sort!$C400="","",INDEX(Pipeline_Calc!$G$2:$G$5251,Pipeline_Sort!$C400))</f>
        <v/>
      </c>
      <c r="G400">
        <f>IF(Pipeline_Sort!$C400="","",INDEX(Pipeline_Calc!$H$2:$H$5251,Pipeline_Sort!$C400))</f>
        <v/>
      </c>
      <c r="H400">
        <f>IF(Pipeline_Sort!$C400="","",INDEX(Pipeline_Calc!$I$2:$I$5251,Pipeline_Sort!$C400))</f>
        <v/>
      </c>
      <c r="I400">
        <f>IF(Pipeline_Sort!$C400="","",INDEX(Pipeline_Calc!$J$2:$J$5251,Pipeline_Sort!$C400))</f>
        <v/>
      </c>
    </row>
    <row r="401">
      <c r="A401" s="22">
        <f>IF(Pipeline_Sort!$C401="","",INDEX(Pipeline_Calc!$B$2:$B$5251,Pipeline_Sort!$C401))</f>
        <v/>
      </c>
      <c r="B401">
        <f>IF(Pipeline_Sort!$C401="","",INDEX(Pipeline_Calc!$C$2:$C$5251,Pipeline_Sort!$C401))</f>
        <v/>
      </c>
      <c r="C401">
        <f>IF(Pipeline_Sort!$C401="","",INDEX(Pipeline_Calc!$D$2:$D$5251,Pipeline_Sort!$C401))</f>
        <v/>
      </c>
      <c r="D401">
        <f>IF(Pipeline_Sort!$C401="","",INDEX(Pipeline_Calc!$E$2:$E$5251,Pipeline_Sort!$C401))</f>
        <v/>
      </c>
      <c r="E401">
        <f>IF(Pipeline_Sort!$C401="","",INDEX(Pipeline_Calc!$F$2:$F$5251,Pipeline_Sort!$C401))</f>
        <v/>
      </c>
      <c r="F401">
        <f>IF(Pipeline_Sort!$C401="","",INDEX(Pipeline_Calc!$G$2:$G$5251,Pipeline_Sort!$C401))</f>
        <v/>
      </c>
      <c r="G401">
        <f>IF(Pipeline_Sort!$C401="","",INDEX(Pipeline_Calc!$H$2:$H$5251,Pipeline_Sort!$C401))</f>
        <v/>
      </c>
      <c r="H401">
        <f>IF(Pipeline_Sort!$C401="","",INDEX(Pipeline_Calc!$I$2:$I$5251,Pipeline_Sort!$C401))</f>
        <v/>
      </c>
      <c r="I401">
        <f>IF(Pipeline_Sort!$C401="","",INDEX(Pipeline_Calc!$J$2:$J$5251,Pipeline_Sort!$C401))</f>
        <v/>
      </c>
    </row>
    <row r="402">
      <c r="A402" s="22">
        <f>IF(Pipeline_Sort!$C402="","",INDEX(Pipeline_Calc!$B$2:$B$5251,Pipeline_Sort!$C402))</f>
        <v/>
      </c>
      <c r="B402">
        <f>IF(Pipeline_Sort!$C402="","",INDEX(Pipeline_Calc!$C$2:$C$5251,Pipeline_Sort!$C402))</f>
        <v/>
      </c>
      <c r="C402">
        <f>IF(Pipeline_Sort!$C402="","",INDEX(Pipeline_Calc!$D$2:$D$5251,Pipeline_Sort!$C402))</f>
        <v/>
      </c>
      <c r="D402">
        <f>IF(Pipeline_Sort!$C402="","",INDEX(Pipeline_Calc!$E$2:$E$5251,Pipeline_Sort!$C402))</f>
        <v/>
      </c>
      <c r="E402">
        <f>IF(Pipeline_Sort!$C402="","",INDEX(Pipeline_Calc!$F$2:$F$5251,Pipeline_Sort!$C402))</f>
        <v/>
      </c>
      <c r="F402">
        <f>IF(Pipeline_Sort!$C402="","",INDEX(Pipeline_Calc!$G$2:$G$5251,Pipeline_Sort!$C402))</f>
        <v/>
      </c>
      <c r="G402">
        <f>IF(Pipeline_Sort!$C402="","",INDEX(Pipeline_Calc!$H$2:$H$5251,Pipeline_Sort!$C402))</f>
        <v/>
      </c>
      <c r="H402">
        <f>IF(Pipeline_Sort!$C402="","",INDEX(Pipeline_Calc!$I$2:$I$5251,Pipeline_Sort!$C402))</f>
        <v/>
      </c>
      <c r="I402">
        <f>IF(Pipeline_Sort!$C402="","",INDEX(Pipeline_Calc!$J$2:$J$5251,Pipeline_Sort!$C402))</f>
        <v/>
      </c>
    </row>
    <row r="403">
      <c r="A403" s="22">
        <f>IF(Pipeline_Sort!$C403="","",INDEX(Pipeline_Calc!$B$2:$B$5251,Pipeline_Sort!$C403))</f>
        <v/>
      </c>
      <c r="B403">
        <f>IF(Pipeline_Sort!$C403="","",INDEX(Pipeline_Calc!$C$2:$C$5251,Pipeline_Sort!$C403))</f>
        <v/>
      </c>
      <c r="C403">
        <f>IF(Pipeline_Sort!$C403="","",INDEX(Pipeline_Calc!$D$2:$D$5251,Pipeline_Sort!$C403))</f>
        <v/>
      </c>
      <c r="D403">
        <f>IF(Pipeline_Sort!$C403="","",INDEX(Pipeline_Calc!$E$2:$E$5251,Pipeline_Sort!$C403))</f>
        <v/>
      </c>
      <c r="E403">
        <f>IF(Pipeline_Sort!$C403="","",INDEX(Pipeline_Calc!$F$2:$F$5251,Pipeline_Sort!$C403))</f>
        <v/>
      </c>
      <c r="F403">
        <f>IF(Pipeline_Sort!$C403="","",INDEX(Pipeline_Calc!$G$2:$G$5251,Pipeline_Sort!$C403))</f>
        <v/>
      </c>
      <c r="G403">
        <f>IF(Pipeline_Sort!$C403="","",INDEX(Pipeline_Calc!$H$2:$H$5251,Pipeline_Sort!$C403))</f>
        <v/>
      </c>
      <c r="H403">
        <f>IF(Pipeline_Sort!$C403="","",INDEX(Pipeline_Calc!$I$2:$I$5251,Pipeline_Sort!$C403))</f>
        <v/>
      </c>
      <c r="I403">
        <f>IF(Pipeline_Sort!$C403="","",INDEX(Pipeline_Calc!$J$2:$J$5251,Pipeline_Sort!$C403))</f>
        <v/>
      </c>
    </row>
    <row r="404">
      <c r="A404" s="22">
        <f>IF(Pipeline_Sort!$C404="","",INDEX(Pipeline_Calc!$B$2:$B$5251,Pipeline_Sort!$C404))</f>
        <v/>
      </c>
      <c r="B404">
        <f>IF(Pipeline_Sort!$C404="","",INDEX(Pipeline_Calc!$C$2:$C$5251,Pipeline_Sort!$C404))</f>
        <v/>
      </c>
      <c r="C404">
        <f>IF(Pipeline_Sort!$C404="","",INDEX(Pipeline_Calc!$D$2:$D$5251,Pipeline_Sort!$C404))</f>
        <v/>
      </c>
      <c r="D404">
        <f>IF(Pipeline_Sort!$C404="","",INDEX(Pipeline_Calc!$E$2:$E$5251,Pipeline_Sort!$C404))</f>
        <v/>
      </c>
      <c r="E404">
        <f>IF(Pipeline_Sort!$C404="","",INDEX(Pipeline_Calc!$F$2:$F$5251,Pipeline_Sort!$C404))</f>
        <v/>
      </c>
      <c r="F404">
        <f>IF(Pipeline_Sort!$C404="","",INDEX(Pipeline_Calc!$G$2:$G$5251,Pipeline_Sort!$C404))</f>
        <v/>
      </c>
      <c r="G404">
        <f>IF(Pipeline_Sort!$C404="","",INDEX(Pipeline_Calc!$H$2:$H$5251,Pipeline_Sort!$C404))</f>
        <v/>
      </c>
      <c r="H404">
        <f>IF(Pipeline_Sort!$C404="","",INDEX(Pipeline_Calc!$I$2:$I$5251,Pipeline_Sort!$C404))</f>
        <v/>
      </c>
      <c r="I404">
        <f>IF(Pipeline_Sort!$C404="","",INDEX(Pipeline_Calc!$J$2:$J$5251,Pipeline_Sort!$C404))</f>
        <v/>
      </c>
    </row>
    <row r="405">
      <c r="A405" s="22">
        <f>IF(Pipeline_Sort!$C405="","",INDEX(Pipeline_Calc!$B$2:$B$5251,Pipeline_Sort!$C405))</f>
        <v/>
      </c>
      <c r="B405">
        <f>IF(Pipeline_Sort!$C405="","",INDEX(Pipeline_Calc!$C$2:$C$5251,Pipeline_Sort!$C405))</f>
        <v/>
      </c>
      <c r="C405">
        <f>IF(Pipeline_Sort!$C405="","",INDEX(Pipeline_Calc!$D$2:$D$5251,Pipeline_Sort!$C405))</f>
        <v/>
      </c>
      <c r="D405">
        <f>IF(Pipeline_Sort!$C405="","",INDEX(Pipeline_Calc!$E$2:$E$5251,Pipeline_Sort!$C405))</f>
        <v/>
      </c>
      <c r="E405">
        <f>IF(Pipeline_Sort!$C405="","",INDEX(Pipeline_Calc!$F$2:$F$5251,Pipeline_Sort!$C405))</f>
        <v/>
      </c>
      <c r="F405">
        <f>IF(Pipeline_Sort!$C405="","",INDEX(Pipeline_Calc!$G$2:$G$5251,Pipeline_Sort!$C405))</f>
        <v/>
      </c>
      <c r="G405">
        <f>IF(Pipeline_Sort!$C405="","",INDEX(Pipeline_Calc!$H$2:$H$5251,Pipeline_Sort!$C405))</f>
        <v/>
      </c>
      <c r="H405">
        <f>IF(Pipeline_Sort!$C405="","",INDEX(Pipeline_Calc!$I$2:$I$5251,Pipeline_Sort!$C405))</f>
        <v/>
      </c>
      <c r="I405">
        <f>IF(Pipeline_Sort!$C405="","",INDEX(Pipeline_Calc!$J$2:$J$5251,Pipeline_Sort!$C405))</f>
        <v/>
      </c>
    </row>
    <row r="406">
      <c r="A406" s="22">
        <f>IF(Pipeline_Sort!$C406="","",INDEX(Pipeline_Calc!$B$2:$B$5251,Pipeline_Sort!$C406))</f>
        <v/>
      </c>
      <c r="B406">
        <f>IF(Pipeline_Sort!$C406="","",INDEX(Pipeline_Calc!$C$2:$C$5251,Pipeline_Sort!$C406))</f>
        <v/>
      </c>
      <c r="C406">
        <f>IF(Pipeline_Sort!$C406="","",INDEX(Pipeline_Calc!$D$2:$D$5251,Pipeline_Sort!$C406))</f>
        <v/>
      </c>
      <c r="D406">
        <f>IF(Pipeline_Sort!$C406="","",INDEX(Pipeline_Calc!$E$2:$E$5251,Pipeline_Sort!$C406))</f>
        <v/>
      </c>
      <c r="E406">
        <f>IF(Pipeline_Sort!$C406="","",INDEX(Pipeline_Calc!$F$2:$F$5251,Pipeline_Sort!$C406))</f>
        <v/>
      </c>
      <c r="F406">
        <f>IF(Pipeline_Sort!$C406="","",INDEX(Pipeline_Calc!$G$2:$G$5251,Pipeline_Sort!$C406))</f>
        <v/>
      </c>
      <c r="G406">
        <f>IF(Pipeline_Sort!$C406="","",INDEX(Pipeline_Calc!$H$2:$H$5251,Pipeline_Sort!$C406))</f>
        <v/>
      </c>
      <c r="H406">
        <f>IF(Pipeline_Sort!$C406="","",INDEX(Pipeline_Calc!$I$2:$I$5251,Pipeline_Sort!$C406))</f>
        <v/>
      </c>
      <c r="I406">
        <f>IF(Pipeline_Sort!$C406="","",INDEX(Pipeline_Calc!$J$2:$J$5251,Pipeline_Sort!$C406))</f>
        <v/>
      </c>
    </row>
    <row r="407">
      <c r="A407" s="22">
        <f>IF(Pipeline_Sort!$C407="","",INDEX(Pipeline_Calc!$B$2:$B$5251,Pipeline_Sort!$C407))</f>
        <v/>
      </c>
      <c r="B407">
        <f>IF(Pipeline_Sort!$C407="","",INDEX(Pipeline_Calc!$C$2:$C$5251,Pipeline_Sort!$C407))</f>
        <v/>
      </c>
      <c r="C407">
        <f>IF(Pipeline_Sort!$C407="","",INDEX(Pipeline_Calc!$D$2:$D$5251,Pipeline_Sort!$C407))</f>
        <v/>
      </c>
      <c r="D407">
        <f>IF(Pipeline_Sort!$C407="","",INDEX(Pipeline_Calc!$E$2:$E$5251,Pipeline_Sort!$C407))</f>
        <v/>
      </c>
      <c r="E407">
        <f>IF(Pipeline_Sort!$C407="","",INDEX(Pipeline_Calc!$F$2:$F$5251,Pipeline_Sort!$C407))</f>
        <v/>
      </c>
      <c r="F407">
        <f>IF(Pipeline_Sort!$C407="","",INDEX(Pipeline_Calc!$G$2:$G$5251,Pipeline_Sort!$C407))</f>
        <v/>
      </c>
      <c r="G407">
        <f>IF(Pipeline_Sort!$C407="","",INDEX(Pipeline_Calc!$H$2:$H$5251,Pipeline_Sort!$C407))</f>
        <v/>
      </c>
      <c r="H407">
        <f>IF(Pipeline_Sort!$C407="","",INDEX(Pipeline_Calc!$I$2:$I$5251,Pipeline_Sort!$C407))</f>
        <v/>
      </c>
      <c r="I407">
        <f>IF(Pipeline_Sort!$C407="","",INDEX(Pipeline_Calc!$J$2:$J$5251,Pipeline_Sort!$C407))</f>
        <v/>
      </c>
    </row>
    <row r="408">
      <c r="A408" s="22">
        <f>IF(Pipeline_Sort!$C408="","",INDEX(Pipeline_Calc!$B$2:$B$5251,Pipeline_Sort!$C408))</f>
        <v/>
      </c>
      <c r="B408">
        <f>IF(Pipeline_Sort!$C408="","",INDEX(Pipeline_Calc!$C$2:$C$5251,Pipeline_Sort!$C408))</f>
        <v/>
      </c>
      <c r="C408">
        <f>IF(Pipeline_Sort!$C408="","",INDEX(Pipeline_Calc!$D$2:$D$5251,Pipeline_Sort!$C408))</f>
        <v/>
      </c>
      <c r="D408">
        <f>IF(Pipeline_Sort!$C408="","",INDEX(Pipeline_Calc!$E$2:$E$5251,Pipeline_Sort!$C408))</f>
        <v/>
      </c>
      <c r="E408">
        <f>IF(Pipeline_Sort!$C408="","",INDEX(Pipeline_Calc!$F$2:$F$5251,Pipeline_Sort!$C408))</f>
        <v/>
      </c>
      <c r="F408">
        <f>IF(Pipeline_Sort!$C408="","",INDEX(Pipeline_Calc!$G$2:$G$5251,Pipeline_Sort!$C408))</f>
        <v/>
      </c>
      <c r="G408">
        <f>IF(Pipeline_Sort!$C408="","",INDEX(Pipeline_Calc!$H$2:$H$5251,Pipeline_Sort!$C408))</f>
        <v/>
      </c>
      <c r="H408">
        <f>IF(Pipeline_Sort!$C408="","",INDEX(Pipeline_Calc!$I$2:$I$5251,Pipeline_Sort!$C408))</f>
        <v/>
      </c>
      <c r="I408">
        <f>IF(Pipeline_Sort!$C408="","",INDEX(Pipeline_Calc!$J$2:$J$5251,Pipeline_Sort!$C408))</f>
        <v/>
      </c>
    </row>
    <row r="409">
      <c r="A409" s="22">
        <f>IF(Pipeline_Sort!$C409="","",INDEX(Pipeline_Calc!$B$2:$B$5251,Pipeline_Sort!$C409))</f>
        <v/>
      </c>
      <c r="B409">
        <f>IF(Pipeline_Sort!$C409="","",INDEX(Pipeline_Calc!$C$2:$C$5251,Pipeline_Sort!$C409))</f>
        <v/>
      </c>
      <c r="C409">
        <f>IF(Pipeline_Sort!$C409="","",INDEX(Pipeline_Calc!$D$2:$D$5251,Pipeline_Sort!$C409))</f>
        <v/>
      </c>
      <c r="D409">
        <f>IF(Pipeline_Sort!$C409="","",INDEX(Pipeline_Calc!$E$2:$E$5251,Pipeline_Sort!$C409))</f>
        <v/>
      </c>
      <c r="E409">
        <f>IF(Pipeline_Sort!$C409="","",INDEX(Pipeline_Calc!$F$2:$F$5251,Pipeline_Sort!$C409))</f>
        <v/>
      </c>
      <c r="F409">
        <f>IF(Pipeline_Sort!$C409="","",INDEX(Pipeline_Calc!$G$2:$G$5251,Pipeline_Sort!$C409))</f>
        <v/>
      </c>
      <c r="G409">
        <f>IF(Pipeline_Sort!$C409="","",INDEX(Pipeline_Calc!$H$2:$H$5251,Pipeline_Sort!$C409))</f>
        <v/>
      </c>
      <c r="H409">
        <f>IF(Pipeline_Sort!$C409="","",INDEX(Pipeline_Calc!$I$2:$I$5251,Pipeline_Sort!$C409))</f>
        <v/>
      </c>
      <c r="I409">
        <f>IF(Pipeline_Sort!$C409="","",INDEX(Pipeline_Calc!$J$2:$J$5251,Pipeline_Sort!$C409))</f>
        <v/>
      </c>
    </row>
    <row r="410">
      <c r="A410" s="22">
        <f>IF(Pipeline_Sort!$C410="","",INDEX(Pipeline_Calc!$B$2:$B$5251,Pipeline_Sort!$C410))</f>
        <v/>
      </c>
      <c r="B410">
        <f>IF(Pipeline_Sort!$C410="","",INDEX(Pipeline_Calc!$C$2:$C$5251,Pipeline_Sort!$C410))</f>
        <v/>
      </c>
      <c r="C410">
        <f>IF(Pipeline_Sort!$C410="","",INDEX(Pipeline_Calc!$D$2:$D$5251,Pipeline_Sort!$C410))</f>
        <v/>
      </c>
      <c r="D410">
        <f>IF(Pipeline_Sort!$C410="","",INDEX(Pipeline_Calc!$E$2:$E$5251,Pipeline_Sort!$C410))</f>
        <v/>
      </c>
      <c r="E410">
        <f>IF(Pipeline_Sort!$C410="","",INDEX(Pipeline_Calc!$F$2:$F$5251,Pipeline_Sort!$C410))</f>
        <v/>
      </c>
      <c r="F410">
        <f>IF(Pipeline_Sort!$C410="","",INDEX(Pipeline_Calc!$G$2:$G$5251,Pipeline_Sort!$C410))</f>
        <v/>
      </c>
      <c r="G410">
        <f>IF(Pipeline_Sort!$C410="","",INDEX(Pipeline_Calc!$H$2:$H$5251,Pipeline_Sort!$C410))</f>
        <v/>
      </c>
      <c r="H410">
        <f>IF(Pipeline_Sort!$C410="","",INDEX(Pipeline_Calc!$I$2:$I$5251,Pipeline_Sort!$C410))</f>
        <v/>
      </c>
      <c r="I410">
        <f>IF(Pipeline_Sort!$C410="","",INDEX(Pipeline_Calc!$J$2:$J$5251,Pipeline_Sort!$C410))</f>
        <v/>
      </c>
    </row>
    <row r="411">
      <c r="A411" s="22">
        <f>IF(Pipeline_Sort!$C411="","",INDEX(Pipeline_Calc!$B$2:$B$5251,Pipeline_Sort!$C411))</f>
        <v/>
      </c>
      <c r="B411">
        <f>IF(Pipeline_Sort!$C411="","",INDEX(Pipeline_Calc!$C$2:$C$5251,Pipeline_Sort!$C411))</f>
        <v/>
      </c>
      <c r="C411">
        <f>IF(Pipeline_Sort!$C411="","",INDEX(Pipeline_Calc!$D$2:$D$5251,Pipeline_Sort!$C411))</f>
        <v/>
      </c>
      <c r="D411">
        <f>IF(Pipeline_Sort!$C411="","",INDEX(Pipeline_Calc!$E$2:$E$5251,Pipeline_Sort!$C411))</f>
        <v/>
      </c>
      <c r="E411">
        <f>IF(Pipeline_Sort!$C411="","",INDEX(Pipeline_Calc!$F$2:$F$5251,Pipeline_Sort!$C411))</f>
        <v/>
      </c>
      <c r="F411">
        <f>IF(Pipeline_Sort!$C411="","",INDEX(Pipeline_Calc!$G$2:$G$5251,Pipeline_Sort!$C411))</f>
        <v/>
      </c>
      <c r="G411">
        <f>IF(Pipeline_Sort!$C411="","",INDEX(Pipeline_Calc!$H$2:$H$5251,Pipeline_Sort!$C411))</f>
        <v/>
      </c>
      <c r="H411">
        <f>IF(Pipeline_Sort!$C411="","",INDEX(Pipeline_Calc!$I$2:$I$5251,Pipeline_Sort!$C411))</f>
        <v/>
      </c>
      <c r="I411">
        <f>IF(Pipeline_Sort!$C411="","",INDEX(Pipeline_Calc!$J$2:$J$5251,Pipeline_Sort!$C411))</f>
        <v/>
      </c>
    </row>
    <row r="412">
      <c r="A412" s="22">
        <f>IF(Pipeline_Sort!$C412="","",INDEX(Pipeline_Calc!$B$2:$B$5251,Pipeline_Sort!$C412))</f>
        <v/>
      </c>
      <c r="B412">
        <f>IF(Pipeline_Sort!$C412="","",INDEX(Pipeline_Calc!$C$2:$C$5251,Pipeline_Sort!$C412))</f>
        <v/>
      </c>
      <c r="C412">
        <f>IF(Pipeline_Sort!$C412="","",INDEX(Pipeline_Calc!$D$2:$D$5251,Pipeline_Sort!$C412))</f>
        <v/>
      </c>
      <c r="D412">
        <f>IF(Pipeline_Sort!$C412="","",INDEX(Pipeline_Calc!$E$2:$E$5251,Pipeline_Sort!$C412))</f>
        <v/>
      </c>
      <c r="E412">
        <f>IF(Pipeline_Sort!$C412="","",INDEX(Pipeline_Calc!$F$2:$F$5251,Pipeline_Sort!$C412))</f>
        <v/>
      </c>
      <c r="F412">
        <f>IF(Pipeline_Sort!$C412="","",INDEX(Pipeline_Calc!$G$2:$G$5251,Pipeline_Sort!$C412))</f>
        <v/>
      </c>
      <c r="G412">
        <f>IF(Pipeline_Sort!$C412="","",INDEX(Pipeline_Calc!$H$2:$H$5251,Pipeline_Sort!$C412))</f>
        <v/>
      </c>
      <c r="H412">
        <f>IF(Pipeline_Sort!$C412="","",INDEX(Pipeline_Calc!$I$2:$I$5251,Pipeline_Sort!$C412))</f>
        <v/>
      </c>
      <c r="I412">
        <f>IF(Pipeline_Sort!$C412="","",INDEX(Pipeline_Calc!$J$2:$J$5251,Pipeline_Sort!$C412))</f>
        <v/>
      </c>
    </row>
    <row r="413">
      <c r="A413" s="22">
        <f>IF(Pipeline_Sort!$C413="","",INDEX(Pipeline_Calc!$B$2:$B$5251,Pipeline_Sort!$C413))</f>
        <v/>
      </c>
      <c r="B413">
        <f>IF(Pipeline_Sort!$C413="","",INDEX(Pipeline_Calc!$C$2:$C$5251,Pipeline_Sort!$C413))</f>
        <v/>
      </c>
      <c r="C413">
        <f>IF(Pipeline_Sort!$C413="","",INDEX(Pipeline_Calc!$D$2:$D$5251,Pipeline_Sort!$C413))</f>
        <v/>
      </c>
      <c r="D413">
        <f>IF(Pipeline_Sort!$C413="","",INDEX(Pipeline_Calc!$E$2:$E$5251,Pipeline_Sort!$C413))</f>
        <v/>
      </c>
      <c r="E413">
        <f>IF(Pipeline_Sort!$C413="","",INDEX(Pipeline_Calc!$F$2:$F$5251,Pipeline_Sort!$C413))</f>
        <v/>
      </c>
      <c r="F413">
        <f>IF(Pipeline_Sort!$C413="","",INDEX(Pipeline_Calc!$G$2:$G$5251,Pipeline_Sort!$C413))</f>
        <v/>
      </c>
      <c r="G413">
        <f>IF(Pipeline_Sort!$C413="","",INDEX(Pipeline_Calc!$H$2:$H$5251,Pipeline_Sort!$C413))</f>
        <v/>
      </c>
      <c r="H413">
        <f>IF(Pipeline_Sort!$C413="","",INDEX(Pipeline_Calc!$I$2:$I$5251,Pipeline_Sort!$C413))</f>
        <v/>
      </c>
      <c r="I413">
        <f>IF(Pipeline_Sort!$C413="","",INDEX(Pipeline_Calc!$J$2:$J$5251,Pipeline_Sort!$C413))</f>
        <v/>
      </c>
    </row>
    <row r="414">
      <c r="A414" s="22">
        <f>IF(Pipeline_Sort!$C414="","",INDEX(Pipeline_Calc!$B$2:$B$5251,Pipeline_Sort!$C414))</f>
        <v/>
      </c>
      <c r="B414">
        <f>IF(Pipeline_Sort!$C414="","",INDEX(Pipeline_Calc!$C$2:$C$5251,Pipeline_Sort!$C414))</f>
        <v/>
      </c>
      <c r="C414">
        <f>IF(Pipeline_Sort!$C414="","",INDEX(Pipeline_Calc!$D$2:$D$5251,Pipeline_Sort!$C414))</f>
        <v/>
      </c>
      <c r="D414">
        <f>IF(Pipeline_Sort!$C414="","",INDEX(Pipeline_Calc!$E$2:$E$5251,Pipeline_Sort!$C414))</f>
        <v/>
      </c>
      <c r="E414">
        <f>IF(Pipeline_Sort!$C414="","",INDEX(Pipeline_Calc!$F$2:$F$5251,Pipeline_Sort!$C414))</f>
        <v/>
      </c>
      <c r="F414">
        <f>IF(Pipeline_Sort!$C414="","",INDEX(Pipeline_Calc!$G$2:$G$5251,Pipeline_Sort!$C414))</f>
        <v/>
      </c>
      <c r="G414">
        <f>IF(Pipeline_Sort!$C414="","",INDEX(Pipeline_Calc!$H$2:$H$5251,Pipeline_Sort!$C414))</f>
        <v/>
      </c>
      <c r="H414">
        <f>IF(Pipeline_Sort!$C414="","",INDEX(Pipeline_Calc!$I$2:$I$5251,Pipeline_Sort!$C414))</f>
        <v/>
      </c>
      <c r="I414">
        <f>IF(Pipeline_Sort!$C414="","",INDEX(Pipeline_Calc!$J$2:$J$5251,Pipeline_Sort!$C414))</f>
        <v/>
      </c>
    </row>
    <row r="415">
      <c r="A415" s="22">
        <f>IF(Pipeline_Sort!$C415="","",INDEX(Pipeline_Calc!$B$2:$B$5251,Pipeline_Sort!$C415))</f>
        <v/>
      </c>
      <c r="B415">
        <f>IF(Pipeline_Sort!$C415="","",INDEX(Pipeline_Calc!$C$2:$C$5251,Pipeline_Sort!$C415))</f>
        <v/>
      </c>
      <c r="C415">
        <f>IF(Pipeline_Sort!$C415="","",INDEX(Pipeline_Calc!$D$2:$D$5251,Pipeline_Sort!$C415))</f>
        <v/>
      </c>
      <c r="D415">
        <f>IF(Pipeline_Sort!$C415="","",INDEX(Pipeline_Calc!$E$2:$E$5251,Pipeline_Sort!$C415))</f>
        <v/>
      </c>
      <c r="E415">
        <f>IF(Pipeline_Sort!$C415="","",INDEX(Pipeline_Calc!$F$2:$F$5251,Pipeline_Sort!$C415))</f>
        <v/>
      </c>
      <c r="F415">
        <f>IF(Pipeline_Sort!$C415="","",INDEX(Pipeline_Calc!$G$2:$G$5251,Pipeline_Sort!$C415))</f>
        <v/>
      </c>
      <c r="G415">
        <f>IF(Pipeline_Sort!$C415="","",INDEX(Pipeline_Calc!$H$2:$H$5251,Pipeline_Sort!$C415))</f>
        <v/>
      </c>
      <c r="H415">
        <f>IF(Pipeline_Sort!$C415="","",INDEX(Pipeline_Calc!$I$2:$I$5251,Pipeline_Sort!$C415))</f>
        <v/>
      </c>
      <c r="I415">
        <f>IF(Pipeline_Sort!$C415="","",INDEX(Pipeline_Calc!$J$2:$J$5251,Pipeline_Sort!$C415))</f>
        <v/>
      </c>
    </row>
    <row r="416">
      <c r="A416" s="22">
        <f>IF(Pipeline_Sort!$C416="","",INDEX(Pipeline_Calc!$B$2:$B$5251,Pipeline_Sort!$C416))</f>
        <v/>
      </c>
      <c r="B416">
        <f>IF(Pipeline_Sort!$C416="","",INDEX(Pipeline_Calc!$C$2:$C$5251,Pipeline_Sort!$C416))</f>
        <v/>
      </c>
      <c r="C416">
        <f>IF(Pipeline_Sort!$C416="","",INDEX(Pipeline_Calc!$D$2:$D$5251,Pipeline_Sort!$C416))</f>
        <v/>
      </c>
      <c r="D416">
        <f>IF(Pipeline_Sort!$C416="","",INDEX(Pipeline_Calc!$E$2:$E$5251,Pipeline_Sort!$C416))</f>
        <v/>
      </c>
      <c r="E416">
        <f>IF(Pipeline_Sort!$C416="","",INDEX(Pipeline_Calc!$F$2:$F$5251,Pipeline_Sort!$C416))</f>
        <v/>
      </c>
      <c r="F416">
        <f>IF(Pipeline_Sort!$C416="","",INDEX(Pipeline_Calc!$G$2:$G$5251,Pipeline_Sort!$C416))</f>
        <v/>
      </c>
      <c r="G416">
        <f>IF(Pipeline_Sort!$C416="","",INDEX(Pipeline_Calc!$H$2:$H$5251,Pipeline_Sort!$C416))</f>
        <v/>
      </c>
      <c r="H416">
        <f>IF(Pipeline_Sort!$C416="","",INDEX(Pipeline_Calc!$I$2:$I$5251,Pipeline_Sort!$C416))</f>
        <v/>
      </c>
      <c r="I416">
        <f>IF(Pipeline_Sort!$C416="","",INDEX(Pipeline_Calc!$J$2:$J$5251,Pipeline_Sort!$C416))</f>
        <v/>
      </c>
    </row>
    <row r="417">
      <c r="A417" s="22">
        <f>IF(Pipeline_Sort!$C417="","",INDEX(Pipeline_Calc!$B$2:$B$5251,Pipeline_Sort!$C417))</f>
        <v/>
      </c>
      <c r="B417">
        <f>IF(Pipeline_Sort!$C417="","",INDEX(Pipeline_Calc!$C$2:$C$5251,Pipeline_Sort!$C417))</f>
        <v/>
      </c>
      <c r="C417">
        <f>IF(Pipeline_Sort!$C417="","",INDEX(Pipeline_Calc!$D$2:$D$5251,Pipeline_Sort!$C417))</f>
        <v/>
      </c>
      <c r="D417">
        <f>IF(Pipeline_Sort!$C417="","",INDEX(Pipeline_Calc!$E$2:$E$5251,Pipeline_Sort!$C417))</f>
        <v/>
      </c>
      <c r="E417">
        <f>IF(Pipeline_Sort!$C417="","",INDEX(Pipeline_Calc!$F$2:$F$5251,Pipeline_Sort!$C417))</f>
        <v/>
      </c>
      <c r="F417">
        <f>IF(Pipeline_Sort!$C417="","",INDEX(Pipeline_Calc!$G$2:$G$5251,Pipeline_Sort!$C417))</f>
        <v/>
      </c>
      <c r="G417">
        <f>IF(Pipeline_Sort!$C417="","",INDEX(Pipeline_Calc!$H$2:$H$5251,Pipeline_Sort!$C417))</f>
        <v/>
      </c>
      <c r="H417">
        <f>IF(Pipeline_Sort!$C417="","",INDEX(Pipeline_Calc!$I$2:$I$5251,Pipeline_Sort!$C417))</f>
        <v/>
      </c>
      <c r="I417">
        <f>IF(Pipeline_Sort!$C417="","",INDEX(Pipeline_Calc!$J$2:$J$5251,Pipeline_Sort!$C417))</f>
        <v/>
      </c>
    </row>
    <row r="418">
      <c r="A418" s="22">
        <f>IF(Pipeline_Sort!$C418="","",INDEX(Pipeline_Calc!$B$2:$B$5251,Pipeline_Sort!$C418))</f>
        <v/>
      </c>
      <c r="B418">
        <f>IF(Pipeline_Sort!$C418="","",INDEX(Pipeline_Calc!$C$2:$C$5251,Pipeline_Sort!$C418))</f>
        <v/>
      </c>
      <c r="C418">
        <f>IF(Pipeline_Sort!$C418="","",INDEX(Pipeline_Calc!$D$2:$D$5251,Pipeline_Sort!$C418))</f>
        <v/>
      </c>
      <c r="D418">
        <f>IF(Pipeline_Sort!$C418="","",INDEX(Pipeline_Calc!$E$2:$E$5251,Pipeline_Sort!$C418))</f>
        <v/>
      </c>
      <c r="E418">
        <f>IF(Pipeline_Sort!$C418="","",INDEX(Pipeline_Calc!$F$2:$F$5251,Pipeline_Sort!$C418))</f>
        <v/>
      </c>
      <c r="F418">
        <f>IF(Pipeline_Sort!$C418="","",INDEX(Pipeline_Calc!$G$2:$G$5251,Pipeline_Sort!$C418))</f>
        <v/>
      </c>
      <c r="G418">
        <f>IF(Pipeline_Sort!$C418="","",INDEX(Pipeline_Calc!$H$2:$H$5251,Pipeline_Sort!$C418))</f>
        <v/>
      </c>
      <c r="H418">
        <f>IF(Pipeline_Sort!$C418="","",INDEX(Pipeline_Calc!$I$2:$I$5251,Pipeline_Sort!$C418))</f>
        <v/>
      </c>
      <c r="I418">
        <f>IF(Pipeline_Sort!$C418="","",INDEX(Pipeline_Calc!$J$2:$J$5251,Pipeline_Sort!$C418))</f>
        <v/>
      </c>
    </row>
    <row r="419">
      <c r="A419" s="22">
        <f>IF(Pipeline_Sort!$C419="","",INDEX(Pipeline_Calc!$B$2:$B$5251,Pipeline_Sort!$C419))</f>
        <v/>
      </c>
      <c r="B419">
        <f>IF(Pipeline_Sort!$C419="","",INDEX(Pipeline_Calc!$C$2:$C$5251,Pipeline_Sort!$C419))</f>
        <v/>
      </c>
      <c r="C419">
        <f>IF(Pipeline_Sort!$C419="","",INDEX(Pipeline_Calc!$D$2:$D$5251,Pipeline_Sort!$C419))</f>
        <v/>
      </c>
      <c r="D419">
        <f>IF(Pipeline_Sort!$C419="","",INDEX(Pipeline_Calc!$E$2:$E$5251,Pipeline_Sort!$C419))</f>
        <v/>
      </c>
      <c r="E419">
        <f>IF(Pipeline_Sort!$C419="","",INDEX(Pipeline_Calc!$F$2:$F$5251,Pipeline_Sort!$C419))</f>
        <v/>
      </c>
      <c r="F419">
        <f>IF(Pipeline_Sort!$C419="","",INDEX(Pipeline_Calc!$G$2:$G$5251,Pipeline_Sort!$C419))</f>
        <v/>
      </c>
      <c r="G419">
        <f>IF(Pipeline_Sort!$C419="","",INDEX(Pipeline_Calc!$H$2:$H$5251,Pipeline_Sort!$C419))</f>
        <v/>
      </c>
      <c r="H419">
        <f>IF(Pipeline_Sort!$C419="","",INDEX(Pipeline_Calc!$I$2:$I$5251,Pipeline_Sort!$C419))</f>
        <v/>
      </c>
      <c r="I419">
        <f>IF(Pipeline_Sort!$C419="","",INDEX(Pipeline_Calc!$J$2:$J$5251,Pipeline_Sort!$C419))</f>
        <v/>
      </c>
    </row>
    <row r="420">
      <c r="A420" s="22">
        <f>IF(Pipeline_Sort!$C420="","",INDEX(Pipeline_Calc!$B$2:$B$5251,Pipeline_Sort!$C420))</f>
        <v/>
      </c>
      <c r="B420">
        <f>IF(Pipeline_Sort!$C420="","",INDEX(Pipeline_Calc!$C$2:$C$5251,Pipeline_Sort!$C420))</f>
        <v/>
      </c>
      <c r="C420">
        <f>IF(Pipeline_Sort!$C420="","",INDEX(Pipeline_Calc!$D$2:$D$5251,Pipeline_Sort!$C420))</f>
        <v/>
      </c>
      <c r="D420">
        <f>IF(Pipeline_Sort!$C420="","",INDEX(Pipeline_Calc!$E$2:$E$5251,Pipeline_Sort!$C420))</f>
        <v/>
      </c>
      <c r="E420">
        <f>IF(Pipeline_Sort!$C420="","",INDEX(Pipeline_Calc!$F$2:$F$5251,Pipeline_Sort!$C420))</f>
        <v/>
      </c>
      <c r="F420">
        <f>IF(Pipeline_Sort!$C420="","",INDEX(Pipeline_Calc!$G$2:$G$5251,Pipeline_Sort!$C420))</f>
        <v/>
      </c>
      <c r="G420">
        <f>IF(Pipeline_Sort!$C420="","",INDEX(Pipeline_Calc!$H$2:$H$5251,Pipeline_Sort!$C420))</f>
        <v/>
      </c>
      <c r="H420">
        <f>IF(Pipeline_Sort!$C420="","",INDEX(Pipeline_Calc!$I$2:$I$5251,Pipeline_Sort!$C420))</f>
        <v/>
      </c>
      <c r="I420">
        <f>IF(Pipeline_Sort!$C420="","",INDEX(Pipeline_Calc!$J$2:$J$5251,Pipeline_Sort!$C420))</f>
        <v/>
      </c>
    </row>
    <row r="421">
      <c r="A421" s="22">
        <f>IF(Pipeline_Sort!$C421="","",INDEX(Pipeline_Calc!$B$2:$B$5251,Pipeline_Sort!$C421))</f>
        <v/>
      </c>
      <c r="B421">
        <f>IF(Pipeline_Sort!$C421="","",INDEX(Pipeline_Calc!$C$2:$C$5251,Pipeline_Sort!$C421))</f>
        <v/>
      </c>
      <c r="C421">
        <f>IF(Pipeline_Sort!$C421="","",INDEX(Pipeline_Calc!$D$2:$D$5251,Pipeline_Sort!$C421))</f>
        <v/>
      </c>
      <c r="D421">
        <f>IF(Pipeline_Sort!$C421="","",INDEX(Pipeline_Calc!$E$2:$E$5251,Pipeline_Sort!$C421))</f>
        <v/>
      </c>
      <c r="E421">
        <f>IF(Pipeline_Sort!$C421="","",INDEX(Pipeline_Calc!$F$2:$F$5251,Pipeline_Sort!$C421))</f>
        <v/>
      </c>
      <c r="F421">
        <f>IF(Pipeline_Sort!$C421="","",INDEX(Pipeline_Calc!$G$2:$G$5251,Pipeline_Sort!$C421))</f>
        <v/>
      </c>
      <c r="G421">
        <f>IF(Pipeline_Sort!$C421="","",INDEX(Pipeline_Calc!$H$2:$H$5251,Pipeline_Sort!$C421))</f>
        <v/>
      </c>
      <c r="H421">
        <f>IF(Pipeline_Sort!$C421="","",INDEX(Pipeline_Calc!$I$2:$I$5251,Pipeline_Sort!$C421))</f>
        <v/>
      </c>
      <c r="I421">
        <f>IF(Pipeline_Sort!$C421="","",INDEX(Pipeline_Calc!$J$2:$J$5251,Pipeline_Sort!$C421))</f>
        <v/>
      </c>
    </row>
    <row r="422">
      <c r="A422" s="22">
        <f>IF(Pipeline_Sort!$C422="","",INDEX(Pipeline_Calc!$B$2:$B$5251,Pipeline_Sort!$C422))</f>
        <v/>
      </c>
      <c r="B422">
        <f>IF(Pipeline_Sort!$C422="","",INDEX(Pipeline_Calc!$C$2:$C$5251,Pipeline_Sort!$C422))</f>
        <v/>
      </c>
      <c r="C422">
        <f>IF(Pipeline_Sort!$C422="","",INDEX(Pipeline_Calc!$D$2:$D$5251,Pipeline_Sort!$C422))</f>
        <v/>
      </c>
      <c r="D422">
        <f>IF(Pipeline_Sort!$C422="","",INDEX(Pipeline_Calc!$E$2:$E$5251,Pipeline_Sort!$C422))</f>
        <v/>
      </c>
      <c r="E422">
        <f>IF(Pipeline_Sort!$C422="","",INDEX(Pipeline_Calc!$F$2:$F$5251,Pipeline_Sort!$C422))</f>
        <v/>
      </c>
      <c r="F422">
        <f>IF(Pipeline_Sort!$C422="","",INDEX(Pipeline_Calc!$G$2:$G$5251,Pipeline_Sort!$C422))</f>
        <v/>
      </c>
      <c r="G422">
        <f>IF(Pipeline_Sort!$C422="","",INDEX(Pipeline_Calc!$H$2:$H$5251,Pipeline_Sort!$C422))</f>
        <v/>
      </c>
      <c r="H422">
        <f>IF(Pipeline_Sort!$C422="","",INDEX(Pipeline_Calc!$I$2:$I$5251,Pipeline_Sort!$C422))</f>
        <v/>
      </c>
      <c r="I422">
        <f>IF(Pipeline_Sort!$C422="","",INDEX(Pipeline_Calc!$J$2:$J$5251,Pipeline_Sort!$C422))</f>
        <v/>
      </c>
    </row>
    <row r="423">
      <c r="A423" s="22">
        <f>IF(Pipeline_Sort!$C423="","",INDEX(Pipeline_Calc!$B$2:$B$5251,Pipeline_Sort!$C423))</f>
        <v/>
      </c>
      <c r="B423">
        <f>IF(Pipeline_Sort!$C423="","",INDEX(Pipeline_Calc!$C$2:$C$5251,Pipeline_Sort!$C423))</f>
        <v/>
      </c>
      <c r="C423">
        <f>IF(Pipeline_Sort!$C423="","",INDEX(Pipeline_Calc!$D$2:$D$5251,Pipeline_Sort!$C423))</f>
        <v/>
      </c>
      <c r="D423">
        <f>IF(Pipeline_Sort!$C423="","",INDEX(Pipeline_Calc!$E$2:$E$5251,Pipeline_Sort!$C423))</f>
        <v/>
      </c>
      <c r="E423">
        <f>IF(Pipeline_Sort!$C423="","",INDEX(Pipeline_Calc!$F$2:$F$5251,Pipeline_Sort!$C423))</f>
        <v/>
      </c>
      <c r="F423">
        <f>IF(Pipeline_Sort!$C423="","",INDEX(Pipeline_Calc!$G$2:$G$5251,Pipeline_Sort!$C423))</f>
        <v/>
      </c>
      <c r="G423">
        <f>IF(Pipeline_Sort!$C423="","",INDEX(Pipeline_Calc!$H$2:$H$5251,Pipeline_Sort!$C423))</f>
        <v/>
      </c>
      <c r="H423">
        <f>IF(Pipeline_Sort!$C423="","",INDEX(Pipeline_Calc!$I$2:$I$5251,Pipeline_Sort!$C423))</f>
        <v/>
      </c>
      <c r="I423">
        <f>IF(Pipeline_Sort!$C423="","",INDEX(Pipeline_Calc!$J$2:$J$5251,Pipeline_Sort!$C423))</f>
        <v/>
      </c>
    </row>
    <row r="424">
      <c r="A424" s="22">
        <f>IF(Pipeline_Sort!$C424="","",INDEX(Pipeline_Calc!$B$2:$B$5251,Pipeline_Sort!$C424))</f>
        <v/>
      </c>
      <c r="B424">
        <f>IF(Pipeline_Sort!$C424="","",INDEX(Pipeline_Calc!$C$2:$C$5251,Pipeline_Sort!$C424))</f>
        <v/>
      </c>
      <c r="C424">
        <f>IF(Pipeline_Sort!$C424="","",INDEX(Pipeline_Calc!$D$2:$D$5251,Pipeline_Sort!$C424))</f>
        <v/>
      </c>
      <c r="D424">
        <f>IF(Pipeline_Sort!$C424="","",INDEX(Pipeline_Calc!$E$2:$E$5251,Pipeline_Sort!$C424))</f>
        <v/>
      </c>
      <c r="E424">
        <f>IF(Pipeline_Sort!$C424="","",INDEX(Pipeline_Calc!$F$2:$F$5251,Pipeline_Sort!$C424))</f>
        <v/>
      </c>
      <c r="F424">
        <f>IF(Pipeline_Sort!$C424="","",INDEX(Pipeline_Calc!$G$2:$G$5251,Pipeline_Sort!$C424))</f>
        <v/>
      </c>
      <c r="G424">
        <f>IF(Pipeline_Sort!$C424="","",INDEX(Pipeline_Calc!$H$2:$H$5251,Pipeline_Sort!$C424))</f>
        <v/>
      </c>
      <c r="H424">
        <f>IF(Pipeline_Sort!$C424="","",INDEX(Pipeline_Calc!$I$2:$I$5251,Pipeline_Sort!$C424))</f>
        <v/>
      </c>
      <c r="I424">
        <f>IF(Pipeline_Sort!$C424="","",INDEX(Pipeline_Calc!$J$2:$J$5251,Pipeline_Sort!$C424))</f>
        <v/>
      </c>
    </row>
    <row r="425">
      <c r="A425" s="22">
        <f>IF(Pipeline_Sort!$C425="","",INDEX(Pipeline_Calc!$B$2:$B$5251,Pipeline_Sort!$C425))</f>
        <v/>
      </c>
      <c r="B425">
        <f>IF(Pipeline_Sort!$C425="","",INDEX(Pipeline_Calc!$C$2:$C$5251,Pipeline_Sort!$C425))</f>
        <v/>
      </c>
      <c r="C425">
        <f>IF(Pipeline_Sort!$C425="","",INDEX(Pipeline_Calc!$D$2:$D$5251,Pipeline_Sort!$C425))</f>
        <v/>
      </c>
      <c r="D425">
        <f>IF(Pipeline_Sort!$C425="","",INDEX(Pipeline_Calc!$E$2:$E$5251,Pipeline_Sort!$C425))</f>
        <v/>
      </c>
      <c r="E425">
        <f>IF(Pipeline_Sort!$C425="","",INDEX(Pipeline_Calc!$F$2:$F$5251,Pipeline_Sort!$C425))</f>
        <v/>
      </c>
      <c r="F425">
        <f>IF(Pipeline_Sort!$C425="","",INDEX(Pipeline_Calc!$G$2:$G$5251,Pipeline_Sort!$C425))</f>
        <v/>
      </c>
      <c r="G425">
        <f>IF(Pipeline_Sort!$C425="","",INDEX(Pipeline_Calc!$H$2:$H$5251,Pipeline_Sort!$C425))</f>
        <v/>
      </c>
      <c r="H425">
        <f>IF(Pipeline_Sort!$C425="","",INDEX(Pipeline_Calc!$I$2:$I$5251,Pipeline_Sort!$C425))</f>
        <v/>
      </c>
      <c r="I425">
        <f>IF(Pipeline_Sort!$C425="","",INDEX(Pipeline_Calc!$J$2:$J$5251,Pipeline_Sort!$C425))</f>
        <v/>
      </c>
    </row>
    <row r="426">
      <c r="A426" s="22">
        <f>IF(Pipeline_Sort!$C426="","",INDEX(Pipeline_Calc!$B$2:$B$5251,Pipeline_Sort!$C426))</f>
        <v/>
      </c>
      <c r="B426">
        <f>IF(Pipeline_Sort!$C426="","",INDEX(Pipeline_Calc!$C$2:$C$5251,Pipeline_Sort!$C426))</f>
        <v/>
      </c>
      <c r="C426">
        <f>IF(Pipeline_Sort!$C426="","",INDEX(Pipeline_Calc!$D$2:$D$5251,Pipeline_Sort!$C426))</f>
        <v/>
      </c>
      <c r="D426">
        <f>IF(Pipeline_Sort!$C426="","",INDEX(Pipeline_Calc!$E$2:$E$5251,Pipeline_Sort!$C426))</f>
        <v/>
      </c>
      <c r="E426">
        <f>IF(Pipeline_Sort!$C426="","",INDEX(Pipeline_Calc!$F$2:$F$5251,Pipeline_Sort!$C426))</f>
        <v/>
      </c>
      <c r="F426">
        <f>IF(Pipeline_Sort!$C426="","",INDEX(Pipeline_Calc!$G$2:$G$5251,Pipeline_Sort!$C426))</f>
        <v/>
      </c>
      <c r="G426">
        <f>IF(Pipeline_Sort!$C426="","",INDEX(Pipeline_Calc!$H$2:$H$5251,Pipeline_Sort!$C426))</f>
        <v/>
      </c>
      <c r="H426">
        <f>IF(Pipeline_Sort!$C426="","",INDEX(Pipeline_Calc!$I$2:$I$5251,Pipeline_Sort!$C426))</f>
        <v/>
      </c>
      <c r="I426">
        <f>IF(Pipeline_Sort!$C426="","",INDEX(Pipeline_Calc!$J$2:$J$5251,Pipeline_Sort!$C426))</f>
        <v/>
      </c>
    </row>
    <row r="427">
      <c r="A427" s="22">
        <f>IF(Pipeline_Sort!$C427="","",INDEX(Pipeline_Calc!$B$2:$B$5251,Pipeline_Sort!$C427))</f>
        <v/>
      </c>
      <c r="B427">
        <f>IF(Pipeline_Sort!$C427="","",INDEX(Pipeline_Calc!$C$2:$C$5251,Pipeline_Sort!$C427))</f>
        <v/>
      </c>
      <c r="C427">
        <f>IF(Pipeline_Sort!$C427="","",INDEX(Pipeline_Calc!$D$2:$D$5251,Pipeline_Sort!$C427))</f>
        <v/>
      </c>
      <c r="D427">
        <f>IF(Pipeline_Sort!$C427="","",INDEX(Pipeline_Calc!$E$2:$E$5251,Pipeline_Sort!$C427))</f>
        <v/>
      </c>
      <c r="E427">
        <f>IF(Pipeline_Sort!$C427="","",INDEX(Pipeline_Calc!$F$2:$F$5251,Pipeline_Sort!$C427))</f>
        <v/>
      </c>
      <c r="F427">
        <f>IF(Pipeline_Sort!$C427="","",INDEX(Pipeline_Calc!$G$2:$G$5251,Pipeline_Sort!$C427))</f>
        <v/>
      </c>
      <c r="G427">
        <f>IF(Pipeline_Sort!$C427="","",INDEX(Pipeline_Calc!$H$2:$H$5251,Pipeline_Sort!$C427))</f>
        <v/>
      </c>
      <c r="H427">
        <f>IF(Pipeline_Sort!$C427="","",INDEX(Pipeline_Calc!$I$2:$I$5251,Pipeline_Sort!$C427))</f>
        <v/>
      </c>
      <c r="I427">
        <f>IF(Pipeline_Sort!$C427="","",INDEX(Pipeline_Calc!$J$2:$J$5251,Pipeline_Sort!$C427))</f>
        <v/>
      </c>
    </row>
    <row r="428">
      <c r="A428" s="22">
        <f>IF(Pipeline_Sort!$C428="","",INDEX(Pipeline_Calc!$B$2:$B$5251,Pipeline_Sort!$C428))</f>
        <v/>
      </c>
      <c r="B428">
        <f>IF(Pipeline_Sort!$C428="","",INDEX(Pipeline_Calc!$C$2:$C$5251,Pipeline_Sort!$C428))</f>
        <v/>
      </c>
      <c r="C428">
        <f>IF(Pipeline_Sort!$C428="","",INDEX(Pipeline_Calc!$D$2:$D$5251,Pipeline_Sort!$C428))</f>
        <v/>
      </c>
      <c r="D428">
        <f>IF(Pipeline_Sort!$C428="","",INDEX(Pipeline_Calc!$E$2:$E$5251,Pipeline_Sort!$C428))</f>
        <v/>
      </c>
      <c r="E428">
        <f>IF(Pipeline_Sort!$C428="","",INDEX(Pipeline_Calc!$F$2:$F$5251,Pipeline_Sort!$C428))</f>
        <v/>
      </c>
      <c r="F428">
        <f>IF(Pipeline_Sort!$C428="","",INDEX(Pipeline_Calc!$G$2:$G$5251,Pipeline_Sort!$C428))</f>
        <v/>
      </c>
      <c r="G428">
        <f>IF(Pipeline_Sort!$C428="","",INDEX(Pipeline_Calc!$H$2:$H$5251,Pipeline_Sort!$C428))</f>
        <v/>
      </c>
      <c r="H428">
        <f>IF(Pipeline_Sort!$C428="","",INDEX(Pipeline_Calc!$I$2:$I$5251,Pipeline_Sort!$C428))</f>
        <v/>
      </c>
      <c r="I428">
        <f>IF(Pipeline_Sort!$C428="","",INDEX(Pipeline_Calc!$J$2:$J$5251,Pipeline_Sort!$C428))</f>
        <v/>
      </c>
    </row>
    <row r="429">
      <c r="A429" s="22">
        <f>IF(Pipeline_Sort!$C429="","",INDEX(Pipeline_Calc!$B$2:$B$5251,Pipeline_Sort!$C429))</f>
        <v/>
      </c>
      <c r="B429">
        <f>IF(Pipeline_Sort!$C429="","",INDEX(Pipeline_Calc!$C$2:$C$5251,Pipeline_Sort!$C429))</f>
        <v/>
      </c>
      <c r="C429">
        <f>IF(Pipeline_Sort!$C429="","",INDEX(Pipeline_Calc!$D$2:$D$5251,Pipeline_Sort!$C429))</f>
        <v/>
      </c>
      <c r="D429">
        <f>IF(Pipeline_Sort!$C429="","",INDEX(Pipeline_Calc!$E$2:$E$5251,Pipeline_Sort!$C429))</f>
        <v/>
      </c>
      <c r="E429">
        <f>IF(Pipeline_Sort!$C429="","",INDEX(Pipeline_Calc!$F$2:$F$5251,Pipeline_Sort!$C429))</f>
        <v/>
      </c>
      <c r="F429">
        <f>IF(Pipeline_Sort!$C429="","",INDEX(Pipeline_Calc!$G$2:$G$5251,Pipeline_Sort!$C429))</f>
        <v/>
      </c>
      <c r="G429">
        <f>IF(Pipeline_Sort!$C429="","",INDEX(Pipeline_Calc!$H$2:$H$5251,Pipeline_Sort!$C429))</f>
        <v/>
      </c>
      <c r="H429">
        <f>IF(Pipeline_Sort!$C429="","",INDEX(Pipeline_Calc!$I$2:$I$5251,Pipeline_Sort!$C429))</f>
        <v/>
      </c>
      <c r="I429">
        <f>IF(Pipeline_Sort!$C429="","",INDEX(Pipeline_Calc!$J$2:$J$5251,Pipeline_Sort!$C429))</f>
        <v/>
      </c>
    </row>
    <row r="430">
      <c r="A430" s="22">
        <f>IF(Pipeline_Sort!$C430="","",INDEX(Pipeline_Calc!$B$2:$B$5251,Pipeline_Sort!$C430))</f>
        <v/>
      </c>
      <c r="B430">
        <f>IF(Pipeline_Sort!$C430="","",INDEX(Pipeline_Calc!$C$2:$C$5251,Pipeline_Sort!$C430))</f>
        <v/>
      </c>
      <c r="C430">
        <f>IF(Pipeline_Sort!$C430="","",INDEX(Pipeline_Calc!$D$2:$D$5251,Pipeline_Sort!$C430))</f>
        <v/>
      </c>
      <c r="D430">
        <f>IF(Pipeline_Sort!$C430="","",INDEX(Pipeline_Calc!$E$2:$E$5251,Pipeline_Sort!$C430))</f>
        <v/>
      </c>
      <c r="E430">
        <f>IF(Pipeline_Sort!$C430="","",INDEX(Pipeline_Calc!$F$2:$F$5251,Pipeline_Sort!$C430))</f>
        <v/>
      </c>
      <c r="F430">
        <f>IF(Pipeline_Sort!$C430="","",INDEX(Pipeline_Calc!$G$2:$G$5251,Pipeline_Sort!$C430))</f>
        <v/>
      </c>
      <c r="G430">
        <f>IF(Pipeline_Sort!$C430="","",INDEX(Pipeline_Calc!$H$2:$H$5251,Pipeline_Sort!$C430))</f>
        <v/>
      </c>
      <c r="H430">
        <f>IF(Pipeline_Sort!$C430="","",INDEX(Pipeline_Calc!$I$2:$I$5251,Pipeline_Sort!$C430))</f>
        <v/>
      </c>
      <c r="I430">
        <f>IF(Pipeline_Sort!$C430="","",INDEX(Pipeline_Calc!$J$2:$J$5251,Pipeline_Sort!$C430))</f>
        <v/>
      </c>
    </row>
    <row r="431">
      <c r="A431" s="22">
        <f>IF(Pipeline_Sort!$C431="","",INDEX(Pipeline_Calc!$B$2:$B$5251,Pipeline_Sort!$C431))</f>
        <v/>
      </c>
      <c r="B431">
        <f>IF(Pipeline_Sort!$C431="","",INDEX(Pipeline_Calc!$C$2:$C$5251,Pipeline_Sort!$C431))</f>
        <v/>
      </c>
      <c r="C431">
        <f>IF(Pipeline_Sort!$C431="","",INDEX(Pipeline_Calc!$D$2:$D$5251,Pipeline_Sort!$C431))</f>
        <v/>
      </c>
      <c r="D431">
        <f>IF(Pipeline_Sort!$C431="","",INDEX(Pipeline_Calc!$E$2:$E$5251,Pipeline_Sort!$C431))</f>
        <v/>
      </c>
      <c r="E431">
        <f>IF(Pipeline_Sort!$C431="","",INDEX(Pipeline_Calc!$F$2:$F$5251,Pipeline_Sort!$C431))</f>
        <v/>
      </c>
      <c r="F431">
        <f>IF(Pipeline_Sort!$C431="","",INDEX(Pipeline_Calc!$G$2:$G$5251,Pipeline_Sort!$C431))</f>
        <v/>
      </c>
      <c r="G431">
        <f>IF(Pipeline_Sort!$C431="","",INDEX(Pipeline_Calc!$H$2:$H$5251,Pipeline_Sort!$C431))</f>
        <v/>
      </c>
      <c r="H431">
        <f>IF(Pipeline_Sort!$C431="","",INDEX(Pipeline_Calc!$I$2:$I$5251,Pipeline_Sort!$C431))</f>
        <v/>
      </c>
      <c r="I431">
        <f>IF(Pipeline_Sort!$C431="","",INDEX(Pipeline_Calc!$J$2:$J$5251,Pipeline_Sort!$C431))</f>
        <v/>
      </c>
    </row>
    <row r="432">
      <c r="A432" s="22">
        <f>IF(Pipeline_Sort!$C432="","",INDEX(Pipeline_Calc!$B$2:$B$5251,Pipeline_Sort!$C432))</f>
        <v/>
      </c>
      <c r="B432">
        <f>IF(Pipeline_Sort!$C432="","",INDEX(Pipeline_Calc!$C$2:$C$5251,Pipeline_Sort!$C432))</f>
        <v/>
      </c>
      <c r="C432">
        <f>IF(Pipeline_Sort!$C432="","",INDEX(Pipeline_Calc!$D$2:$D$5251,Pipeline_Sort!$C432))</f>
        <v/>
      </c>
      <c r="D432">
        <f>IF(Pipeline_Sort!$C432="","",INDEX(Pipeline_Calc!$E$2:$E$5251,Pipeline_Sort!$C432))</f>
        <v/>
      </c>
      <c r="E432">
        <f>IF(Pipeline_Sort!$C432="","",INDEX(Pipeline_Calc!$F$2:$F$5251,Pipeline_Sort!$C432))</f>
        <v/>
      </c>
      <c r="F432">
        <f>IF(Pipeline_Sort!$C432="","",INDEX(Pipeline_Calc!$G$2:$G$5251,Pipeline_Sort!$C432))</f>
        <v/>
      </c>
      <c r="G432">
        <f>IF(Pipeline_Sort!$C432="","",INDEX(Pipeline_Calc!$H$2:$H$5251,Pipeline_Sort!$C432))</f>
        <v/>
      </c>
      <c r="H432">
        <f>IF(Pipeline_Sort!$C432="","",INDEX(Pipeline_Calc!$I$2:$I$5251,Pipeline_Sort!$C432))</f>
        <v/>
      </c>
      <c r="I432">
        <f>IF(Pipeline_Sort!$C432="","",INDEX(Pipeline_Calc!$J$2:$J$5251,Pipeline_Sort!$C432))</f>
        <v/>
      </c>
    </row>
    <row r="433">
      <c r="A433" s="22">
        <f>IF(Pipeline_Sort!$C433="","",INDEX(Pipeline_Calc!$B$2:$B$5251,Pipeline_Sort!$C433))</f>
        <v/>
      </c>
      <c r="B433">
        <f>IF(Pipeline_Sort!$C433="","",INDEX(Pipeline_Calc!$C$2:$C$5251,Pipeline_Sort!$C433))</f>
        <v/>
      </c>
      <c r="C433">
        <f>IF(Pipeline_Sort!$C433="","",INDEX(Pipeline_Calc!$D$2:$D$5251,Pipeline_Sort!$C433))</f>
        <v/>
      </c>
      <c r="D433">
        <f>IF(Pipeline_Sort!$C433="","",INDEX(Pipeline_Calc!$E$2:$E$5251,Pipeline_Sort!$C433))</f>
        <v/>
      </c>
      <c r="E433">
        <f>IF(Pipeline_Sort!$C433="","",INDEX(Pipeline_Calc!$F$2:$F$5251,Pipeline_Sort!$C433))</f>
        <v/>
      </c>
      <c r="F433">
        <f>IF(Pipeline_Sort!$C433="","",INDEX(Pipeline_Calc!$G$2:$G$5251,Pipeline_Sort!$C433))</f>
        <v/>
      </c>
      <c r="G433">
        <f>IF(Pipeline_Sort!$C433="","",INDEX(Pipeline_Calc!$H$2:$H$5251,Pipeline_Sort!$C433))</f>
        <v/>
      </c>
      <c r="H433">
        <f>IF(Pipeline_Sort!$C433="","",INDEX(Pipeline_Calc!$I$2:$I$5251,Pipeline_Sort!$C433))</f>
        <v/>
      </c>
      <c r="I433">
        <f>IF(Pipeline_Sort!$C433="","",INDEX(Pipeline_Calc!$J$2:$J$5251,Pipeline_Sort!$C433))</f>
        <v/>
      </c>
    </row>
    <row r="434">
      <c r="A434" s="22">
        <f>IF(Pipeline_Sort!$C434="","",INDEX(Pipeline_Calc!$B$2:$B$5251,Pipeline_Sort!$C434))</f>
        <v/>
      </c>
      <c r="B434">
        <f>IF(Pipeline_Sort!$C434="","",INDEX(Pipeline_Calc!$C$2:$C$5251,Pipeline_Sort!$C434))</f>
        <v/>
      </c>
      <c r="C434">
        <f>IF(Pipeline_Sort!$C434="","",INDEX(Pipeline_Calc!$D$2:$D$5251,Pipeline_Sort!$C434))</f>
        <v/>
      </c>
      <c r="D434">
        <f>IF(Pipeline_Sort!$C434="","",INDEX(Pipeline_Calc!$E$2:$E$5251,Pipeline_Sort!$C434))</f>
        <v/>
      </c>
      <c r="E434">
        <f>IF(Pipeline_Sort!$C434="","",INDEX(Pipeline_Calc!$F$2:$F$5251,Pipeline_Sort!$C434))</f>
        <v/>
      </c>
      <c r="F434">
        <f>IF(Pipeline_Sort!$C434="","",INDEX(Pipeline_Calc!$G$2:$G$5251,Pipeline_Sort!$C434))</f>
        <v/>
      </c>
      <c r="G434">
        <f>IF(Pipeline_Sort!$C434="","",INDEX(Pipeline_Calc!$H$2:$H$5251,Pipeline_Sort!$C434))</f>
        <v/>
      </c>
      <c r="H434">
        <f>IF(Pipeline_Sort!$C434="","",INDEX(Pipeline_Calc!$I$2:$I$5251,Pipeline_Sort!$C434))</f>
        <v/>
      </c>
      <c r="I434">
        <f>IF(Pipeline_Sort!$C434="","",INDEX(Pipeline_Calc!$J$2:$J$5251,Pipeline_Sort!$C434))</f>
        <v/>
      </c>
    </row>
    <row r="435">
      <c r="A435" s="22">
        <f>IF(Pipeline_Sort!$C435="","",INDEX(Pipeline_Calc!$B$2:$B$5251,Pipeline_Sort!$C435))</f>
        <v/>
      </c>
      <c r="B435">
        <f>IF(Pipeline_Sort!$C435="","",INDEX(Pipeline_Calc!$C$2:$C$5251,Pipeline_Sort!$C435))</f>
        <v/>
      </c>
      <c r="C435">
        <f>IF(Pipeline_Sort!$C435="","",INDEX(Pipeline_Calc!$D$2:$D$5251,Pipeline_Sort!$C435))</f>
        <v/>
      </c>
      <c r="D435">
        <f>IF(Pipeline_Sort!$C435="","",INDEX(Pipeline_Calc!$E$2:$E$5251,Pipeline_Sort!$C435))</f>
        <v/>
      </c>
      <c r="E435">
        <f>IF(Pipeline_Sort!$C435="","",INDEX(Pipeline_Calc!$F$2:$F$5251,Pipeline_Sort!$C435))</f>
        <v/>
      </c>
      <c r="F435">
        <f>IF(Pipeline_Sort!$C435="","",INDEX(Pipeline_Calc!$G$2:$G$5251,Pipeline_Sort!$C435))</f>
        <v/>
      </c>
      <c r="G435">
        <f>IF(Pipeline_Sort!$C435="","",INDEX(Pipeline_Calc!$H$2:$H$5251,Pipeline_Sort!$C435))</f>
        <v/>
      </c>
      <c r="H435">
        <f>IF(Pipeline_Sort!$C435="","",INDEX(Pipeline_Calc!$I$2:$I$5251,Pipeline_Sort!$C435))</f>
        <v/>
      </c>
      <c r="I435">
        <f>IF(Pipeline_Sort!$C435="","",INDEX(Pipeline_Calc!$J$2:$J$5251,Pipeline_Sort!$C435))</f>
        <v/>
      </c>
    </row>
    <row r="436">
      <c r="A436" s="22">
        <f>IF(Pipeline_Sort!$C436="","",INDEX(Pipeline_Calc!$B$2:$B$5251,Pipeline_Sort!$C436))</f>
        <v/>
      </c>
      <c r="B436">
        <f>IF(Pipeline_Sort!$C436="","",INDEX(Pipeline_Calc!$C$2:$C$5251,Pipeline_Sort!$C436))</f>
        <v/>
      </c>
      <c r="C436">
        <f>IF(Pipeline_Sort!$C436="","",INDEX(Pipeline_Calc!$D$2:$D$5251,Pipeline_Sort!$C436))</f>
        <v/>
      </c>
      <c r="D436">
        <f>IF(Pipeline_Sort!$C436="","",INDEX(Pipeline_Calc!$E$2:$E$5251,Pipeline_Sort!$C436))</f>
        <v/>
      </c>
      <c r="E436">
        <f>IF(Pipeline_Sort!$C436="","",INDEX(Pipeline_Calc!$F$2:$F$5251,Pipeline_Sort!$C436))</f>
        <v/>
      </c>
      <c r="F436">
        <f>IF(Pipeline_Sort!$C436="","",INDEX(Pipeline_Calc!$G$2:$G$5251,Pipeline_Sort!$C436))</f>
        <v/>
      </c>
      <c r="G436">
        <f>IF(Pipeline_Sort!$C436="","",INDEX(Pipeline_Calc!$H$2:$H$5251,Pipeline_Sort!$C436))</f>
        <v/>
      </c>
      <c r="H436">
        <f>IF(Pipeline_Sort!$C436="","",INDEX(Pipeline_Calc!$I$2:$I$5251,Pipeline_Sort!$C436))</f>
        <v/>
      </c>
      <c r="I436">
        <f>IF(Pipeline_Sort!$C436="","",INDEX(Pipeline_Calc!$J$2:$J$5251,Pipeline_Sort!$C436))</f>
        <v/>
      </c>
    </row>
    <row r="437">
      <c r="A437" s="22">
        <f>IF(Pipeline_Sort!$C437="","",INDEX(Pipeline_Calc!$B$2:$B$5251,Pipeline_Sort!$C437))</f>
        <v/>
      </c>
      <c r="B437">
        <f>IF(Pipeline_Sort!$C437="","",INDEX(Pipeline_Calc!$C$2:$C$5251,Pipeline_Sort!$C437))</f>
        <v/>
      </c>
      <c r="C437">
        <f>IF(Pipeline_Sort!$C437="","",INDEX(Pipeline_Calc!$D$2:$D$5251,Pipeline_Sort!$C437))</f>
        <v/>
      </c>
      <c r="D437">
        <f>IF(Pipeline_Sort!$C437="","",INDEX(Pipeline_Calc!$E$2:$E$5251,Pipeline_Sort!$C437))</f>
        <v/>
      </c>
      <c r="E437">
        <f>IF(Pipeline_Sort!$C437="","",INDEX(Pipeline_Calc!$F$2:$F$5251,Pipeline_Sort!$C437))</f>
        <v/>
      </c>
      <c r="F437">
        <f>IF(Pipeline_Sort!$C437="","",INDEX(Pipeline_Calc!$G$2:$G$5251,Pipeline_Sort!$C437))</f>
        <v/>
      </c>
      <c r="G437">
        <f>IF(Pipeline_Sort!$C437="","",INDEX(Pipeline_Calc!$H$2:$H$5251,Pipeline_Sort!$C437))</f>
        <v/>
      </c>
      <c r="H437">
        <f>IF(Pipeline_Sort!$C437="","",INDEX(Pipeline_Calc!$I$2:$I$5251,Pipeline_Sort!$C437))</f>
        <v/>
      </c>
      <c r="I437">
        <f>IF(Pipeline_Sort!$C437="","",INDEX(Pipeline_Calc!$J$2:$J$5251,Pipeline_Sort!$C437))</f>
        <v/>
      </c>
    </row>
    <row r="438">
      <c r="A438" s="22">
        <f>IF(Pipeline_Sort!$C438="","",INDEX(Pipeline_Calc!$B$2:$B$5251,Pipeline_Sort!$C438))</f>
        <v/>
      </c>
      <c r="B438">
        <f>IF(Pipeline_Sort!$C438="","",INDEX(Pipeline_Calc!$C$2:$C$5251,Pipeline_Sort!$C438))</f>
        <v/>
      </c>
      <c r="C438">
        <f>IF(Pipeline_Sort!$C438="","",INDEX(Pipeline_Calc!$D$2:$D$5251,Pipeline_Sort!$C438))</f>
        <v/>
      </c>
      <c r="D438">
        <f>IF(Pipeline_Sort!$C438="","",INDEX(Pipeline_Calc!$E$2:$E$5251,Pipeline_Sort!$C438))</f>
        <v/>
      </c>
      <c r="E438">
        <f>IF(Pipeline_Sort!$C438="","",INDEX(Pipeline_Calc!$F$2:$F$5251,Pipeline_Sort!$C438))</f>
        <v/>
      </c>
      <c r="F438">
        <f>IF(Pipeline_Sort!$C438="","",INDEX(Pipeline_Calc!$G$2:$G$5251,Pipeline_Sort!$C438))</f>
        <v/>
      </c>
      <c r="G438">
        <f>IF(Pipeline_Sort!$C438="","",INDEX(Pipeline_Calc!$H$2:$H$5251,Pipeline_Sort!$C438))</f>
        <v/>
      </c>
      <c r="H438">
        <f>IF(Pipeline_Sort!$C438="","",INDEX(Pipeline_Calc!$I$2:$I$5251,Pipeline_Sort!$C438))</f>
        <v/>
      </c>
      <c r="I438">
        <f>IF(Pipeline_Sort!$C438="","",INDEX(Pipeline_Calc!$J$2:$J$5251,Pipeline_Sort!$C438))</f>
        <v/>
      </c>
    </row>
    <row r="439">
      <c r="A439" s="22">
        <f>IF(Pipeline_Sort!$C439="","",INDEX(Pipeline_Calc!$B$2:$B$5251,Pipeline_Sort!$C439))</f>
        <v/>
      </c>
      <c r="B439">
        <f>IF(Pipeline_Sort!$C439="","",INDEX(Pipeline_Calc!$C$2:$C$5251,Pipeline_Sort!$C439))</f>
        <v/>
      </c>
      <c r="C439">
        <f>IF(Pipeline_Sort!$C439="","",INDEX(Pipeline_Calc!$D$2:$D$5251,Pipeline_Sort!$C439))</f>
        <v/>
      </c>
      <c r="D439">
        <f>IF(Pipeline_Sort!$C439="","",INDEX(Pipeline_Calc!$E$2:$E$5251,Pipeline_Sort!$C439))</f>
        <v/>
      </c>
      <c r="E439">
        <f>IF(Pipeline_Sort!$C439="","",INDEX(Pipeline_Calc!$F$2:$F$5251,Pipeline_Sort!$C439))</f>
        <v/>
      </c>
      <c r="F439">
        <f>IF(Pipeline_Sort!$C439="","",INDEX(Pipeline_Calc!$G$2:$G$5251,Pipeline_Sort!$C439))</f>
        <v/>
      </c>
      <c r="G439">
        <f>IF(Pipeline_Sort!$C439="","",INDEX(Pipeline_Calc!$H$2:$H$5251,Pipeline_Sort!$C439))</f>
        <v/>
      </c>
      <c r="H439">
        <f>IF(Pipeline_Sort!$C439="","",INDEX(Pipeline_Calc!$I$2:$I$5251,Pipeline_Sort!$C439))</f>
        <v/>
      </c>
      <c r="I439">
        <f>IF(Pipeline_Sort!$C439="","",INDEX(Pipeline_Calc!$J$2:$J$5251,Pipeline_Sort!$C439))</f>
        <v/>
      </c>
    </row>
    <row r="440">
      <c r="A440" s="22">
        <f>IF(Pipeline_Sort!$C440="","",INDEX(Pipeline_Calc!$B$2:$B$5251,Pipeline_Sort!$C440))</f>
        <v/>
      </c>
      <c r="B440">
        <f>IF(Pipeline_Sort!$C440="","",INDEX(Pipeline_Calc!$C$2:$C$5251,Pipeline_Sort!$C440))</f>
        <v/>
      </c>
      <c r="C440">
        <f>IF(Pipeline_Sort!$C440="","",INDEX(Pipeline_Calc!$D$2:$D$5251,Pipeline_Sort!$C440))</f>
        <v/>
      </c>
      <c r="D440">
        <f>IF(Pipeline_Sort!$C440="","",INDEX(Pipeline_Calc!$E$2:$E$5251,Pipeline_Sort!$C440))</f>
        <v/>
      </c>
      <c r="E440">
        <f>IF(Pipeline_Sort!$C440="","",INDEX(Pipeline_Calc!$F$2:$F$5251,Pipeline_Sort!$C440))</f>
        <v/>
      </c>
      <c r="F440">
        <f>IF(Pipeline_Sort!$C440="","",INDEX(Pipeline_Calc!$G$2:$G$5251,Pipeline_Sort!$C440))</f>
        <v/>
      </c>
      <c r="G440">
        <f>IF(Pipeline_Sort!$C440="","",INDEX(Pipeline_Calc!$H$2:$H$5251,Pipeline_Sort!$C440))</f>
        <v/>
      </c>
      <c r="H440">
        <f>IF(Pipeline_Sort!$C440="","",INDEX(Pipeline_Calc!$I$2:$I$5251,Pipeline_Sort!$C440))</f>
        <v/>
      </c>
      <c r="I440">
        <f>IF(Pipeline_Sort!$C440="","",INDEX(Pipeline_Calc!$J$2:$J$5251,Pipeline_Sort!$C440))</f>
        <v/>
      </c>
    </row>
    <row r="441">
      <c r="A441" s="22">
        <f>IF(Pipeline_Sort!$C441="","",INDEX(Pipeline_Calc!$B$2:$B$5251,Pipeline_Sort!$C441))</f>
        <v/>
      </c>
      <c r="B441">
        <f>IF(Pipeline_Sort!$C441="","",INDEX(Pipeline_Calc!$C$2:$C$5251,Pipeline_Sort!$C441))</f>
        <v/>
      </c>
      <c r="C441">
        <f>IF(Pipeline_Sort!$C441="","",INDEX(Pipeline_Calc!$D$2:$D$5251,Pipeline_Sort!$C441))</f>
        <v/>
      </c>
      <c r="D441">
        <f>IF(Pipeline_Sort!$C441="","",INDEX(Pipeline_Calc!$E$2:$E$5251,Pipeline_Sort!$C441))</f>
        <v/>
      </c>
      <c r="E441">
        <f>IF(Pipeline_Sort!$C441="","",INDEX(Pipeline_Calc!$F$2:$F$5251,Pipeline_Sort!$C441))</f>
        <v/>
      </c>
      <c r="F441">
        <f>IF(Pipeline_Sort!$C441="","",INDEX(Pipeline_Calc!$G$2:$G$5251,Pipeline_Sort!$C441))</f>
        <v/>
      </c>
      <c r="G441">
        <f>IF(Pipeline_Sort!$C441="","",INDEX(Pipeline_Calc!$H$2:$H$5251,Pipeline_Sort!$C441))</f>
        <v/>
      </c>
      <c r="H441">
        <f>IF(Pipeline_Sort!$C441="","",INDEX(Pipeline_Calc!$I$2:$I$5251,Pipeline_Sort!$C441))</f>
        <v/>
      </c>
      <c r="I441">
        <f>IF(Pipeline_Sort!$C441="","",INDEX(Pipeline_Calc!$J$2:$J$5251,Pipeline_Sort!$C441))</f>
        <v/>
      </c>
    </row>
    <row r="442">
      <c r="A442" s="22">
        <f>IF(Pipeline_Sort!$C442="","",INDEX(Pipeline_Calc!$B$2:$B$5251,Pipeline_Sort!$C442))</f>
        <v/>
      </c>
      <c r="B442">
        <f>IF(Pipeline_Sort!$C442="","",INDEX(Pipeline_Calc!$C$2:$C$5251,Pipeline_Sort!$C442))</f>
        <v/>
      </c>
      <c r="C442">
        <f>IF(Pipeline_Sort!$C442="","",INDEX(Pipeline_Calc!$D$2:$D$5251,Pipeline_Sort!$C442))</f>
        <v/>
      </c>
      <c r="D442">
        <f>IF(Pipeline_Sort!$C442="","",INDEX(Pipeline_Calc!$E$2:$E$5251,Pipeline_Sort!$C442))</f>
        <v/>
      </c>
      <c r="E442">
        <f>IF(Pipeline_Sort!$C442="","",INDEX(Pipeline_Calc!$F$2:$F$5251,Pipeline_Sort!$C442))</f>
        <v/>
      </c>
      <c r="F442">
        <f>IF(Pipeline_Sort!$C442="","",INDEX(Pipeline_Calc!$G$2:$G$5251,Pipeline_Sort!$C442))</f>
        <v/>
      </c>
      <c r="G442">
        <f>IF(Pipeline_Sort!$C442="","",INDEX(Pipeline_Calc!$H$2:$H$5251,Pipeline_Sort!$C442))</f>
        <v/>
      </c>
      <c r="H442">
        <f>IF(Pipeline_Sort!$C442="","",INDEX(Pipeline_Calc!$I$2:$I$5251,Pipeline_Sort!$C442))</f>
        <v/>
      </c>
      <c r="I442">
        <f>IF(Pipeline_Sort!$C442="","",INDEX(Pipeline_Calc!$J$2:$J$5251,Pipeline_Sort!$C442))</f>
        <v/>
      </c>
    </row>
    <row r="443">
      <c r="A443" s="22">
        <f>IF(Pipeline_Sort!$C443="","",INDEX(Pipeline_Calc!$B$2:$B$5251,Pipeline_Sort!$C443))</f>
        <v/>
      </c>
      <c r="B443">
        <f>IF(Pipeline_Sort!$C443="","",INDEX(Pipeline_Calc!$C$2:$C$5251,Pipeline_Sort!$C443))</f>
        <v/>
      </c>
      <c r="C443">
        <f>IF(Pipeline_Sort!$C443="","",INDEX(Pipeline_Calc!$D$2:$D$5251,Pipeline_Sort!$C443))</f>
        <v/>
      </c>
      <c r="D443">
        <f>IF(Pipeline_Sort!$C443="","",INDEX(Pipeline_Calc!$E$2:$E$5251,Pipeline_Sort!$C443))</f>
        <v/>
      </c>
      <c r="E443">
        <f>IF(Pipeline_Sort!$C443="","",INDEX(Pipeline_Calc!$F$2:$F$5251,Pipeline_Sort!$C443))</f>
        <v/>
      </c>
      <c r="F443">
        <f>IF(Pipeline_Sort!$C443="","",INDEX(Pipeline_Calc!$G$2:$G$5251,Pipeline_Sort!$C443))</f>
        <v/>
      </c>
      <c r="G443">
        <f>IF(Pipeline_Sort!$C443="","",INDEX(Pipeline_Calc!$H$2:$H$5251,Pipeline_Sort!$C443))</f>
        <v/>
      </c>
      <c r="H443">
        <f>IF(Pipeline_Sort!$C443="","",INDEX(Pipeline_Calc!$I$2:$I$5251,Pipeline_Sort!$C443))</f>
        <v/>
      </c>
      <c r="I443">
        <f>IF(Pipeline_Sort!$C443="","",INDEX(Pipeline_Calc!$J$2:$J$5251,Pipeline_Sort!$C443))</f>
        <v/>
      </c>
    </row>
    <row r="444">
      <c r="A444" s="22">
        <f>IF(Pipeline_Sort!$C444="","",INDEX(Pipeline_Calc!$B$2:$B$5251,Pipeline_Sort!$C444))</f>
        <v/>
      </c>
      <c r="B444">
        <f>IF(Pipeline_Sort!$C444="","",INDEX(Pipeline_Calc!$C$2:$C$5251,Pipeline_Sort!$C444))</f>
        <v/>
      </c>
      <c r="C444">
        <f>IF(Pipeline_Sort!$C444="","",INDEX(Pipeline_Calc!$D$2:$D$5251,Pipeline_Sort!$C444))</f>
        <v/>
      </c>
      <c r="D444">
        <f>IF(Pipeline_Sort!$C444="","",INDEX(Pipeline_Calc!$E$2:$E$5251,Pipeline_Sort!$C444))</f>
        <v/>
      </c>
      <c r="E444">
        <f>IF(Pipeline_Sort!$C444="","",INDEX(Pipeline_Calc!$F$2:$F$5251,Pipeline_Sort!$C444))</f>
        <v/>
      </c>
      <c r="F444">
        <f>IF(Pipeline_Sort!$C444="","",INDEX(Pipeline_Calc!$G$2:$G$5251,Pipeline_Sort!$C444))</f>
        <v/>
      </c>
      <c r="G444">
        <f>IF(Pipeline_Sort!$C444="","",INDEX(Pipeline_Calc!$H$2:$H$5251,Pipeline_Sort!$C444))</f>
        <v/>
      </c>
      <c r="H444">
        <f>IF(Pipeline_Sort!$C444="","",INDEX(Pipeline_Calc!$I$2:$I$5251,Pipeline_Sort!$C444))</f>
        <v/>
      </c>
      <c r="I444">
        <f>IF(Pipeline_Sort!$C444="","",INDEX(Pipeline_Calc!$J$2:$J$5251,Pipeline_Sort!$C444))</f>
        <v/>
      </c>
    </row>
    <row r="445">
      <c r="A445" s="22">
        <f>IF(Pipeline_Sort!$C445="","",INDEX(Pipeline_Calc!$B$2:$B$5251,Pipeline_Sort!$C445))</f>
        <v/>
      </c>
      <c r="B445">
        <f>IF(Pipeline_Sort!$C445="","",INDEX(Pipeline_Calc!$C$2:$C$5251,Pipeline_Sort!$C445))</f>
        <v/>
      </c>
      <c r="C445">
        <f>IF(Pipeline_Sort!$C445="","",INDEX(Pipeline_Calc!$D$2:$D$5251,Pipeline_Sort!$C445))</f>
        <v/>
      </c>
      <c r="D445">
        <f>IF(Pipeline_Sort!$C445="","",INDEX(Pipeline_Calc!$E$2:$E$5251,Pipeline_Sort!$C445))</f>
        <v/>
      </c>
      <c r="E445">
        <f>IF(Pipeline_Sort!$C445="","",INDEX(Pipeline_Calc!$F$2:$F$5251,Pipeline_Sort!$C445))</f>
        <v/>
      </c>
      <c r="F445">
        <f>IF(Pipeline_Sort!$C445="","",INDEX(Pipeline_Calc!$G$2:$G$5251,Pipeline_Sort!$C445))</f>
        <v/>
      </c>
      <c r="G445">
        <f>IF(Pipeline_Sort!$C445="","",INDEX(Pipeline_Calc!$H$2:$H$5251,Pipeline_Sort!$C445))</f>
        <v/>
      </c>
      <c r="H445">
        <f>IF(Pipeline_Sort!$C445="","",INDEX(Pipeline_Calc!$I$2:$I$5251,Pipeline_Sort!$C445))</f>
        <v/>
      </c>
      <c r="I445">
        <f>IF(Pipeline_Sort!$C445="","",INDEX(Pipeline_Calc!$J$2:$J$5251,Pipeline_Sort!$C445))</f>
        <v/>
      </c>
    </row>
    <row r="446">
      <c r="A446" s="22">
        <f>IF(Pipeline_Sort!$C446="","",INDEX(Pipeline_Calc!$B$2:$B$5251,Pipeline_Sort!$C446))</f>
        <v/>
      </c>
      <c r="B446">
        <f>IF(Pipeline_Sort!$C446="","",INDEX(Pipeline_Calc!$C$2:$C$5251,Pipeline_Sort!$C446))</f>
        <v/>
      </c>
      <c r="C446">
        <f>IF(Pipeline_Sort!$C446="","",INDEX(Pipeline_Calc!$D$2:$D$5251,Pipeline_Sort!$C446))</f>
        <v/>
      </c>
      <c r="D446">
        <f>IF(Pipeline_Sort!$C446="","",INDEX(Pipeline_Calc!$E$2:$E$5251,Pipeline_Sort!$C446))</f>
        <v/>
      </c>
      <c r="E446">
        <f>IF(Pipeline_Sort!$C446="","",INDEX(Pipeline_Calc!$F$2:$F$5251,Pipeline_Sort!$C446))</f>
        <v/>
      </c>
      <c r="F446">
        <f>IF(Pipeline_Sort!$C446="","",INDEX(Pipeline_Calc!$G$2:$G$5251,Pipeline_Sort!$C446))</f>
        <v/>
      </c>
      <c r="G446">
        <f>IF(Pipeline_Sort!$C446="","",INDEX(Pipeline_Calc!$H$2:$H$5251,Pipeline_Sort!$C446))</f>
        <v/>
      </c>
      <c r="H446">
        <f>IF(Pipeline_Sort!$C446="","",INDEX(Pipeline_Calc!$I$2:$I$5251,Pipeline_Sort!$C446))</f>
        <v/>
      </c>
      <c r="I446">
        <f>IF(Pipeline_Sort!$C446="","",INDEX(Pipeline_Calc!$J$2:$J$5251,Pipeline_Sort!$C446))</f>
        <v/>
      </c>
    </row>
    <row r="447">
      <c r="A447" s="22">
        <f>IF(Pipeline_Sort!$C447="","",INDEX(Pipeline_Calc!$B$2:$B$5251,Pipeline_Sort!$C447))</f>
        <v/>
      </c>
      <c r="B447">
        <f>IF(Pipeline_Sort!$C447="","",INDEX(Pipeline_Calc!$C$2:$C$5251,Pipeline_Sort!$C447))</f>
        <v/>
      </c>
      <c r="C447">
        <f>IF(Pipeline_Sort!$C447="","",INDEX(Pipeline_Calc!$D$2:$D$5251,Pipeline_Sort!$C447))</f>
        <v/>
      </c>
      <c r="D447">
        <f>IF(Pipeline_Sort!$C447="","",INDEX(Pipeline_Calc!$E$2:$E$5251,Pipeline_Sort!$C447))</f>
        <v/>
      </c>
      <c r="E447">
        <f>IF(Pipeline_Sort!$C447="","",INDEX(Pipeline_Calc!$F$2:$F$5251,Pipeline_Sort!$C447))</f>
        <v/>
      </c>
      <c r="F447">
        <f>IF(Pipeline_Sort!$C447="","",INDEX(Pipeline_Calc!$G$2:$G$5251,Pipeline_Sort!$C447))</f>
        <v/>
      </c>
      <c r="G447">
        <f>IF(Pipeline_Sort!$C447="","",INDEX(Pipeline_Calc!$H$2:$H$5251,Pipeline_Sort!$C447))</f>
        <v/>
      </c>
      <c r="H447">
        <f>IF(Pipeline_Sort!$C447="","",INDEX(Pipeline_Calc!$I$2:$I$5251,Pipeline_Sort!$C447))</f>
        <v/>
      </c>
      <c r="I447">
        <f>IF(Pipeline_Sort!$C447="","",INDEX(Pipeline_Calc!$J$2:$J$5251,Pipeline_Sort!$C447))</f>
        <v/>
      </c>
    </row>
    <row r="448">
      <c r="A448" s="22">
        <f>IF(Pipeline_Sort!$C448="","",INDEX(Pipeline_Calc!$B$2:$B$5251,Pipeline_Sort!$C448))</f>
        <v/>
      </c>
      <c r="B448">
        <f>IF(Pipeline_Sort!$C448="","",INDEX(Pipeline_Calc!$C$2:$C$5251,Pipeline_Sort!$C448))</f>
        <v/>
      </c>
      <c r="C448">
        <f>IF(Pipeline_Sort!$C448="","",INDEX(Pipeline_Calc!$D$2:$D$5251,Pipeline_Sort!$C448))</f>
        <v/>
      </c>
      <c r="D448">
        <f>IF(Pipeline_Sort!$C448="","",INDEX(Pipeline_Calc!$E$2:$E$5251,Pipeline_Sort!$C448))</f>
        <v/>
      </c>
      <c r="E448">
        <f>IF(Pipeline_Sort!$C448="","",INDEX(Pipeline_Calc!$F$2:$F$5251,Pipeline_Sort!$C448))</f>
        <v/>
      </c>
      <c r="F448">
        <f>IF(Pipeline_Sort!$C448="","",INDEX(Pipeline_Calc!$G$2:$G$5251,Pipeline_Sort!$C448))</f>
        <v/>
      </c>
      <c r="G448">
        <f>IF(Pipeline_Sort!$C448="","",INDEX(Pipeline_Calc!$H$2:$H$5251,Pipeline_Sort!$C448))</f>
        <v/>
      </c>
      <c r="H448">
        <f>IF(Pipeline_Sort!$C448="","",INDEX(Pipeline_Calc!$I$2:$I$5251,Pipeline_Sort!$C448))</f>
        <v/>
      </c>
      <c r="I448">
        <f>IF(Pipeline_Sort!$C448="","",INDEX(Pipeline_Calc!$J$2:$J$5251,Pipeline_Sort!$C448))</f>
        <v/>
      </c>
    </row>
    <row r="449">
      <c r="A449" s="22">
        <f>IF(Pipeline_Sort!$C449="","",INDEX(Pipeline_Calc!$B$2:$B$5251,Pipeline_Sort!$C449))</f>
        <v/>
      </c>
      <c r="B449">
        <f>IF(Pipeline_Sort!$C449="","",INDEX(Pipeline_Calc!$C$2:$C$5251,Pipeline_Sort!$C449))</f>
        <v/>
      </c>
      <c r="C449">
        <f>IF(Pipeline_Sort!$C449="","",INDEX(Pipeline_Calc!$D$2:$D$5251,Pipeline_Sort!$C449))</f>
        <v/>
      </c>
      <c r="D449">
        <f>IF(Pipeline_Sort!$C449="","",INDEX(Pipeline_Calc!$E$2:$E$5251,Pipeline_Sort!$C449))</f>
        <v/>
      </c>
      <c r="E449">
        <f>IF(Pipeline_Sort!$C449="","",INDEX(Pipeline_Calc!$F$2:$F$5251,Pipeline_Sort!$C449))</f>
        <v/>
      </c>
      <c r="F449">
        <f>IF(Pipeline_Sort!$C449="","",INDEX(Pipeline_Calc!$G$2:$G$5251,Pipeline_Sort!$C449))</f>
        <v/>
      </c>
      <c r="G449">
        <f>IF(Pipeline_Sort!$C449="","",INDEX(Pipeline_Calc!$H$2:$H$5251,Pipeline_Sort!$C449))</f>
        <v/>
      </c>
      <c r="H449">
        <f>IF(Pipeline_Sort!$C449="","",INDEX(Pipeline_Calc!$I$2:$I$5251,Pipeline_Sort!$C449))</f>
        <v/>
      </c>
      <c r="I449">
        <f>IF(Pipeline_Sort!$C449="","",INDEX(Pipeline_Calc!$J$2:$J$5251,Pipeline_Sort!$C449))</f>
        <v/>
      </c>
    </row>
    <row r="450">
      <c r="A450" s="22">
        <f>IF(Pipeline_Sort!$C450="","",INDEX(Pipeline_Calc!$B$2:$B$5251,Pipeline_Sort!$C450))</f>
        <v/>
      </c>
      <c r="B450">
        <f>IF(Pipeline_Sort!$C450="","",INDEX(Pipeline_Calc!$C$2:$C$5251,Pipeline_Sort!$C450))</f>
        <v/>
      </c>
      <c r="C450">
        <f>IF(Pipeline_Sort!$C450="","",INDEX(Pipeline_Calc!$D$2:$D$5251,Pipeline_Sort!$C450))</f>
        <v/>
      </c>
      <c r="D450">
        <f>IF(Pipeline_Sort!$C450="","",INDEX(Pipeline_Calc!$E$2:$E$5251,Pipeline_Sort!$C450))</f>
        <v/>
      </c>
      <c r="E450">
        <f>IF(Pipeline_Sort!$C450="","",INDEX(Pipeline_Calc!$F$2:$F$5251,Pipeline_Sort!$C450))</f>
        <v/>
      </c>
      <c r="F450">
        <f>IF(Pipeline_Sort!$C450="","",INDEX(Pipeline_Calc!$G$2:$G$5251,Pipeline_Sort!$C450))</f>
        <v/>
      </c>
      <c r="G450">
        <f>IF(Pipeline_Sort!$C450="","",INDEX(Pipeline_Calc!$H$2:$H$5251,Pipeline_Sort!$C450))</f>
        <v/>
      </c>
      <c r="H450">
        <f>IF(Pipeline_Sort!$C450="","",INDEX(Pipeline_Calc!$I$2:$I$5251,Pipeline_Sort!$C450))</f>
        <v/>
      </c>
      <c r="I450">
        <f>IF(Pipeline_Sort!$C450="","",INDEX(Pipeline_Calc!$J$2:$J$5251,Pipeline_Sort!$C450))</f>
        <v/>
      </c>
    </row>
    <row r="451">
      <c r="A451" s="22">
        <f>IF(Pipeline_Sort!$C451="","",INDEX(Pipeline_Calc!$B$2:$B$5251,Pipeline_Sort!$C451))</f>
        <v/>
      </c>
      <c r="B451">
        <f>IF(Pipeline_Sort!$C451="","",INDEX(Pipeline_Calc!$C$2:$C$5251,Pipeline_Sort!$C451))</f>
        <v/>
      </c>
      <c r="C451">
        <f>IF(Pipeline_Sort!$C451="","",INDEX(Pipeline_Calc!$D$2:$D$5251,Pipeline_Sort!$C451))</f>
        <v/>
      </c>
      <c r="D451">
        <f>IF(Pipeline_Sort!$C451="","",INDEX(Pipeline_Calc!$E$2:$E$5251,Pipeline_Sort!$C451))</f>
        <v/>
      </c>
      <c r="E451">
        <f>IF(Pipeline_Sort!$C451="","",INDEX(Pipeline_Calc!$F$2:$F$5251,Pipeline_Sort!$C451))</f>
        <v/>
      </c>
      <c r="F451">
        <f>IF(Pipeline_Sort!$C451="","",INDEX(Pipeline_Calc!$G$2:$G$5251,Pipeline_Sort!$C451))</f>
        <v/>
      </c>
      <c r="G451">
        <f>IF(Pipeline_Sort!$C451="","",INDEX(Pipeline_Calc!$H$2:$H$5251,Pipeline_Sort!$C451))</f>
        <v/>
      </c>
      <c r="H451">
        <f>IF(Pipeline_Sort!$C451="","",INDEX(Pipeline_Calc!$I$2:$I$5251,Pipeline_Sort!$C451))</f>
        <v/>
      </c>
      <c r="I451">
        <f>IF(Pipeline_Sort!$C451="","",INDEX(Pipeline_Calc!$J$2:$J$5251,Pipeline_Sort!$C451))</f>
        <v/>
      </c>
    </row>
    <row r="452">
      <c r="A452" s="22">
        <f>IF(Pipeline_Sort!$C452="","",INDEX(Pipeline_Calc!$B$2:$B$5251,Pipeline_Sort!$C452))</f>
        <v/>
      </c>
      <c r="B452">
        <f>IF(Pipeline_Sort!$C452="","",INDEX(Pipeline_Calc!$C$2:$C$5251,Pipeline_Sort!$C452))</f>
        <v/>
      </c>
      <c r="C452">
        <f>IF(Pipeline_Sort!$C452="","",INDEX(Pipeline_Calc!$D$2:$D$5251,Pipeline_Sort!$C452))</f>
        <v/>
      </c>
      <c r="D452">
        <f>IF(Pipeline_Sort!$C452="","",INDEX(Pipeline_Calc!$E$2:$E$5251,Pipeline_Sort!$C452))</f>
        <v/>
      </c>
      <c r="E452">
        <f>IF(Pipeline_Sort!$C452="","",INDEX(Pipeline_Calc!$F$2:$F$5251,Pipeline_Sort!$C452))</f>
        <v/>
      </c>
      <c r="F452">
        <f>IF(Pipeline_Sort!$C452="","",INDEX(Pipeline_Calc!$G$2:$G$5251,Pipeline_Sort!$C452))</f>
        <v/>
      </c>
      <c r="G452">
        <f>IF(Pipeline_Sort!$C452="","",INDEX(Pipeline_Calc!$H$2:$H$5251,Pipeline_Sort!$C452))</f>
        <v/>
      </c>
      <c r="H452">
        <f>IF(Pipeline_Sort!$C452="","",INDEX(Pipeline_Calc!$I$2:$I$5251,Pipeline_Sort!$C452))</f>
        <v/>
      </c>
      <c r="I452">
        <f>IF(Pipeline_Sort!$C452="","",INDEX(Pipeline_Calc!$J$2:$J$5251,Pipeline_Sort!$C452))</f>
        <v/>
      </c>
    </row>
    <row r="453">
      <c r="A453" s="22">
        <f>IF(Pipeline_Sort!$C453="","",INDEX(Pipeline_Calc!$B$2:$B$5251,Pipeline_Sort!$C453))</f>
        <v/>
      </c>
      <c r="B453">
        <f>IF(Pipeline_Sort!$C453="","",INDEX(Pipeline_Calc!$C$2:$C$5251,Pipeline_Sort!$C453))</f>
        <v/>
      </c>
      <c r="C453">
        <f>IF(Pipeline_Sort!$C453="","",INDEX(Pipeline_Calc!$D$2:$D$5251,Pipeline_Sort!$C453))</f>
        <v/>
      </c>
      <c r="D453">
        <f>IF(Pipeline_Sort!$C453="","",INDEX(Pipeline_Calc!$E$2:$E$5251,Pipeline_Sort!$C453))</f>
        <v/>
      </c>
      <c r="E453">
        <f>IF(Pipeline_Sort!$C453="","",INDEX(Pipeline_Calc!$F$2:$F$5251,Pipeline_Sort!$C453))</f>
        <v/>
      </c>
      <c r="F453">
        <f>IF(Pipeline_Sort!$C453="","",INDEX(Pipeline_Calc!$G$2:$G$5251,Pipeline_Sort!$C453))</f>
        <v/>
      </c>
      <c r="G453">
        <f>IF(Pipeline_Sort!$C453="","",INDEX(Pipeline_Calc!$H$2:$H$5251,Pipeline_Sort!$C453))</f>
        <v/>
      </c>
      <c r="H453">
        <f>IF(Pipeline_Sort!$C453="","",INDEX(Pipeline_Calc!$I$2:$I$5251,Pipeline_Sort!$C453))</f>
        <v/>
      </c>
      <c r="I453">
        <f>IF(Pipeline_Sort!$C453="","",INDEX(Pipeline_Calc!$J$2:$J$5251,Pipeline_Sort!$C453))</f>
        <v/>
      </c>
    </row>
    <row r="454">
      <c r="A454" s="22">
        <f>IF(Pipeline_Sort!$C454="","",INDEX(Pipeline_Calc!$B$2:$B$5251,Pipeline_Sort!$C454))</f>
        <v/>
      </c>
      <c r="B454">
        <f>IF(Pipeline_Sort!$C454="","",INDEX(Pipeline_Calc!$C$2:$C$5251,Pipeline_Sort!$C454))</f>
        <v/>
      </c>
      <c r="C454">
        <f>IF(Pipeline_Sort!$C454="","",INDEX(Pipeline_Calc!$D$2:$D$5251,Pipeline_Sort!$C454))</f>
        <v/>
      </c>
      <c r="D454">
        <f>IF(Pipeline_Sort!$C454="","",INDEX(Pipeline_Calc!$E$2:$E$5251,Pipeline_Sort!$C454))</f>
        <v/>
      </c>
      <c r="E454">
        <f>IF(Pipeline_Sort!$C454="","",INDEX(Pipeline_Calc!$F$2:$F$5251,Pipeline_Sort!$C454))</f>
        <v/>
      </c>
      <c r="F454">
        <f>IF(Pipeline_Sort!$C454="","",INDEX(Pipeline_Calc!$G$2:$G$5251,Pipeline_Sort!$C454))</f>
        <v/>
      </c>
      <c r="G454">
        <f>IF(Pipeline_Sort!$C454="","",INDEX(Pipeline_Calc!$H$2:$H$5251,Pipeline_Sort!$C454))</f>
        <v/>
      </c>
      <c r="H454">
        <f>IF(Pipeline_Sort!$C454="","",INDEX(Pipeline_Calc!$I$2:$I$5251,Pipeline_Sort!$C454))</f>
        <v/>
      </c>
      <c r="I454">
        <f>IF(Pipeline_Sort!$C454="","",INDEX(Pipeline_Calc!$J$2:$J$5251,Pipeline_Sort!$C454))</f>
        <v/>
      </c>
    </row>
    <row r="455">
      <c r="A455" s="22">
        <f>IF(Pipeline_Sort!$C455="","",INDEX(Pipeline_Calc!$B$2:$B$5251,Pipeline_Sort!$C455))</f>
        <v/>
      </c>
      <c r="B455">
        <f>IF(Pipeline_Sort!$C455="","",INDEX(Pipeline_Calc!$C$2:$C$5251,Pipeline_Sort!$C455))</f>
        <v/>
      </c>
      <c r="C455">
        <f>IF(Pipeline_Sort!$C455="","",INDEX(Pipeline_Calc!$D$2:$D$5251,Pipeline_Sort!$C455))</f>
        <v/>
      </c>
      <c r="D455">
        <f>IF(Pipeline_Sort!$C455="","",INDEX(Pipeline_Calc!$E$2:$E$5251,Pipeline_Sort!$C455))</f>
        <v/>
      </c>
      <c r="E455">
        <f>IF(Pipeline_Sort!$C455="","",INDEX(Pipeline_Calc!$F$2:$F$5251,Pipeline_Sort!$C455))</f>
        <v/>
      </c>
      <c r="F455">
        <f>IF(Pipeline_Sort!$C455="","",INDEX(Pipeline_Calc!$G$2:$G$5251,Pipeline_Sort!$C455))</f>
        <v/>
      </c>
      <c r="G455">
        <f>IF(Pipeline_Sort!$C455="","",INDEX(Pipeline_Calc!$H$2:$H$5251,Pipeline_Sort!$C455))</f>
        <v/>
      </c>
      <c r="H455">
        <f>IF(Pipeline_Sort!$C455="","",INDEX(Pipeline_Calc!$I$2:$I$5251,Pipeline_Sort!$C455))</f>
        <v/>
      </c>
      <c r="I455">
        <f>IF(Pipeline_Sort!$C455="","",INDEX(Pipeline_Calc!$J$2:$J$5251,Pipeline_Sort!$C455))</f>
        <v/>
      </c>
    </row>
    <row r="456">
      <c r="A456" s="22">
        <f>IF(Pipeline_Sort!$C456="","",INDEX(Pipeline_Calc!$B$2:$B$5251,Pipeline_Sort!$C456))</f>
        <v/>
      </c>
      <c r="B456">
        <f>IF(Pipeline_Sort!$C456="","",INDEX(Pipeline_Calc!$C$2:$C$5251,Pipeline_Sort!$C456))</f>
        <v/>
      </c>
      <c r="C456">
        <f>IF(Pipeline_Sort!$C456="","",INDEX(Pipeline_Calc!$D$2:$D$5251,Pipeline_Sort!$C456))</f>
        <v/>
      </c>
      <c r="D456">
        <f>IF(Pipeline_Sort!$C456="","",INDEX(Pipeline_Calc!$E$2:$E$5251,Pipeline_Sort!$C456))</f>
        <v/>
      </c>
      <c r="E456">
        <f>IF(Pipeline_Sort!$C456="","",INDEX(Pipeline_Calc!$F$2:$F$5251,Pipeline_Sort!$C456))</f>
        <v/>
      </c>
      <c r="F456">
        <f>IF(Pipeline_Sort!$C456="","",INDEX(Pipeline_Calc!$G$2:$G$5251,Pipeline_Sort!$C456))</f>
        <v/>
      </c>
      <c r="G456">
        <f>IF(Pipeline_Sort!$C456="","",INDEX(Pipeline_Calc!$H$2:$H$5251,Pipeline_Sort!$C456))</f>
        <v/>
      </c>
      <c r="H456">
        <f>IF(Pipeline_Sort!$C456="","",INDEX(Pipeline_Calc!$I$2:$I$5251,Pipeline_Sort!$C456))</f>
        <v/>
      </c>
      <c r="I456">
        <f>IF(Pipeline_Sort!$C456="","",INDEX(Pipeline_Calc!$J$2:$J$5251,Pipeline_Sort!$C456))</f>
        <v/>
      </c>
    </row>
    <row r="457">
      <c r="A457" s="22">
        <f>IF(Pipeline_Sort!$C457="","",INDEX(Pipeline_Calc!$B$2:$B$5251,Pipeline_Sort!$C457))</f>
        <v/>
      </c>
      <c r="B457">
        <f>IF(Pipeline_Sort!$C457="","",INDEX(Pipeline_Calc!$C$2:$C$5251,Pipeline_Sort!$C457))</f>
        <v/>
      </c>
      <c r="C457">
        <f>IF(Pipeline_Sort!$C457="","",INDEX(Pipeline_Calc!$D$2:$D$5251,Pipeline_Sort!$C457))</f>
        <v/>
      </c>
      <c r="D457">
        <f>IF(Pipeline_Sort!$C457="","",INDEX(Pipeline_Calc!$E$2:$E$5251,Pipeline_Sort!$C457))</f>
        <v/>
      </c>
      <c r="E457">
        <f>IF(Pipeline_Sort!$C457="","",INDEX(Pipeline_Calc!$F$2:$F$5251,Pipeline_Sort!$C457))</f>
        <v/>
      </c>
      <c r="F457">
        <f>IF(Pipeline_Sort!$C457="","",INDEX(Pipeline_Calc!$G$2:$G$5251,Pipeline_Sort!$C457))</f>
        <v/>
      </c>
      <c r="G457">
        <f>IF(Pipeline_Sort!$C457="","",INDEX(Pipeline_Calc!$H$2:$H$5251,Pipeline_Sort!$C457))</f>
        <v/>
      </c>
      <c r="H457">
        <f>IF(Pipeline_Sort!$C457="","",INDEX(Pipeline_Calc!$I$2:$I$5251,Pipeline_Sort!$C457))</f>
        <v/>
      </c>
      <c r="I457">
        <f>IF(Pipeline_Sort!$C457="","",INDEX(Pipeline_Calc!$J$2:$J$5251,Pipeline_Sort!$C457))</f>
        <v/>
      </c>
    </row>
    <row r="458">
      <c r="A458" s="22">
        <f>IF(Pipeline_Sort!$C458="","",INDEX(Pipeline_Calc!$B$2:$B$5251,Pipeline_Sort!$C458))</f>
        <v/>
      </c>
      <c r="B458">
        <f>IF(Pipeline_Sort!$C458="","",INDEX(Pipeline_Calc!$C$2:$C$5251,Pipeline_Sort!$C458))</f>
        <v/>
      </c>
      <c r="C458">
        <f>IF(Pipeline_Sort!$C458="","",INDEX(Pipeline_Calc!$D$2:$D$5251,Pipeline_Sort!$C458))</f>
        <v/>
      </c>
      <c r="D458">
        <f>IF(Pipeline_Sort!$C458="","",INDEX(Pipeline_Calc!$E$2:$E$5251,Pipeline_Sort!$C458))</f>
        <v/>
      </c>
      <c r="E458">
        <f>IF(Pipeline_Sort!$C458="","",INDEX(Pipeline_Calc!$F$2:$F$5251,Pipeline_Sort!$C458))</f>
        <v/>
      </c>
      <c r="F458">
        <f>IF(Pipeline_Sort!$C458="","",INDEX(Pipeline_Calc!$G$2:$G$5251,Pipeline_Sort!$C458))</f>
        <v/>
      </c>
      <c r="G458">
        <f>IF(Pipeline_Sort!$C458="","",INDEX(Pipeline_Calc!$H$2:$H$5251,Pipeline_Sort!$C458))</f>
        <v/>
      </c>
      <c r="H458">
        <f>IF(Pipeline_Sort!$C458="","",INDEX(Pipeline_Calc!$I$2:$I$5251,Pipeline_Sort!$C458))</f>
        <v/>
      </c>
      <c r="I458">
        <f>IF(Pipeline_Sort!$C458="","",INDEX(Pipeline_Calc!$J$2:$J$5251,Pipeline_Sort!$C458))</f>
        <v/>
      </c>
    </row>
    <row r="459">
      <c r="A459" s="22">
        <f>IF(Pipeline_Sort!$C459="","",INDEX(Pipeline_Calc!$B$2:$B$5251,Pipeline_Sort!$C459))</f>
        <v/>
      </c>
      <c r="B459">
        <f>IF(Pipeline_Sort!$C459="","",INDEX(Pipeline_Calc!$C$2:$C$5251,Pipeline_Sort!$C459))</f>
        <v/>
      </c>
      <c r="C459">
        <f>IF(Pipeline_Sort!$C459="","",INDEX(Pipeline_Calc!$D$2:$D$5251,Pipeline_Sort!$C459))</f>
        <v/>
      </c>
      <c r="D459">
        <f>IF(Pipeline_Sort!$C459="","",INDEX(Pipeline_Calc!$E$2:$E$5251,Pipeline_Sort!$C459))</f>
        <v/>
      </c>
      <c r="E459">
        <f>IF(Pipeline_Sort!$C459="","",INDEX(Pipeline_Calc!$F$2:$F$5251,Pipeline_Sort!$C459))</f>
        <v/>
      </c>
      <c r="F459">
        <f>IF(Pipeline_Sort!$C459="","",INDEX(Pipeline_Calc!$G$2:$G$5251,Pipeline_Sort!$C459))</f>
        <v/>
      </c>
      <c r="G459">
        <f>IF(Pipeline_Sort!$C459="","",INDEX(Pipeline_Calc!$H$2:$H$5251,Pipeline_Sort!$C459))</f>
        <v/>
      </c>
      <c r="H459">
        <f>IF(Pipeline_Sort!$C459="","",INDEX(Pipeline_Calc!$I$2:$I$5251,Pipeline_Sort!$C459))</f>
        <v/>
      </c>
      <c r="I459">
        <f>IF(Pipeline_Sort!$C459="","",INDEX(Pipeline_Calc!$J$2:$J$5251,Pipeline_Sort!$C459))</f>
        <v/>
      </c>
    </row>
    <row r="460">
      <c r="A460" s="22">
        <f>IF(Pipeline_Sort!$C460="","",INDEX(Pipeline_Calc!$B$2:$B$5251,Pipeline_Sort!$C460))</f>
        <v/>
      </c>
      <c r="B460">
        <f>IF(Pipeline_Sort!$C460="","",INDEX(Pipeline_Calc!$C$2:$C$5251,Pipeline_Sort!$C460))</f>
        <v/>
      </c>
      <c r="C460">
        <f>IF(Pipeline_Sort!$C460="","",INDEX(Pipeline_Calc!$D$2:$D$5251,Pipeline_Sort!$C460))</f>
        <v/>
      </c>
      <c r="D460">
        <f>IF(Pipeline_Sort!$C460="","",INDEX(Pipeline_Calc!$E$2:$E$5251,Pipeline_Sort!$C460))</f>
        <v/>
      </c>
      <c r="E460">
        <f>IF(Pipeline_Sort!$C460="","",INDEX(Pipeline_Calc!$F$2:$F$5251,Pipeline_Sort!$C460))</f>
        <v/>
      </c>
      <c r="F460">
        <f>IF(Pipeline_Sort!$C460="","",INDEX(Pipeline_Calc!$G$2:$G$5251,Pipeline_Sort!$C460))</f>
        <v/>
      </c>
      <c r="G460">
        <f>IF(Pipeline_Sort!$C460="","",INDEX(Pipeline_Calc!$H$2:$H$5251,Pipeline_Sort!$C460))</f>
        <v/>
      </c>
      <c r="H460">
        <f>IF(Pipeline_Sort!$C460="","",INDEX(Pipeline_Calc!$I$2:$I$5251,Pipeline_Sort!$C460))</f>
        <v/>
      </c>
      <c r="I460">
        <f>IF(Pipeline_Sort!$C460="","",INDEX(Pipeline_Calc!$J$2:$J$5251,Pipeline_Sort!$C460))</f>
        <v/>
      </c>
    </row>
    <row r="461">
      <c r="A461" s="22">
        <f>IF(Pipeline_Sort!$C461="","",INDEX(Pipeline_Calc!$B$2:$B$5251,Pipeline_Sort!$C461))</f>
        <v/>
      </c>
      <c r="B461">
        <f>IF(Pipeline_Sort!$C461="","",INDEX(Pipeline_Calc!$C$2:$C$5251,Pipeline_Sort!$C461))</f>
        <v/>
      </c>
      <c r="C461">
        <f>IF(Pipeline_Sort!$C461="","",INDEX(Pipeline_Calc!$D$2:$D$5251,Pipeline_Sort!$C461))</f>
        <v/>
      </c>
      <c r="D461">
        <f>IF(Pipeline_Sort!$C461="","",INDEX(Pipeline_Calc!$E$2:$E$5251,Pipeline_Sort!$C461))</f>
        <v/>
      </c>
      <c r="E461">
        <f>IF(Pipeline_Sort!$C461="","",INDEX(Pipeline_Calc!$F$2:$F$5251,Pipeline_Sort!$C461))</f>
        <v/>
      </c>
      <c r="F461">
        <f>IF(Pipeline_Sort!$C461="","",INDEX(Pipeline_Calc!$G$2:$G$5251,Pipeline_Sort!$C461))</f>
        <v/>
      </c>
      <c r="G461">
        <f>IF(Pipeline_Sort!$C461="","",INDEX(Pipeline_Calc!$H$2:$H$5251,Pipeline_Sort!$C461))</f>
        <v/>
      </c>
      <c r="H461">
        <f>IF(Pipeline_Sort!$C461="","",INDEX(Pipeline_Calc!$I$2:$I$5251,Pipeline_Sort!$C461))</f>
        <v/>
      </c>
      <c r="I461">
        <f>IF(Pipeline_Sort!$C461="","",INDEX(Pipeline_Calc!$J$2:$J$5251,Pipeline_Sort!$C461))</f>
        <v/>
      </c>
    </row>
    <row r="462">
      <c r="A462" s="22">
        <f>IF(Pipeline_Sort!$C462="","",INDEX(Pipeline_Calc!$B$2:$B$5251,Pipeline_Sort!$C462))</f>
        <v/>
      </c>
      <c r="B462">
        <f>IF(Pipeline_Sort!$C462="","",INDEX(Pipeline_Calc!$C$2:$C$5251,Pipeline_Sort!$C462))</f>
        <v/>
      </c>
      <c r="C462">
        <f>IF(Pipeline_Sort!$C462="","",INDEX(Pipeline_Calc!$D$2:$D$5251,Pipeline_Sort!$C462))</f>
        <v/>
      </c>
      <c r="D462">
        <f>IF(Pipeline_Sort!$C462="","",INDEX(Pipeline_Calc!$E$2:$E$5251,Pipeline_Sort!$C462))</f>
        <v/>
      </c>
      <c r="E462">
        <f>IF(Pipeline_Sort!$C462="","",INDEX(Pipeline_Calc!$F$2:$F$5251,Pipeline_Sort!$C462))</f>
        <v/>
      </c>
      <c r="F462">
        <f>IF(Pipeline_Sort!$C462="","",INDEX(Pipeline_Calc!$G$2:$G$5251,Pipeline_Sort!$C462))</f>
        <v/>
      </c>
      <c r="G462">
        <f>IF(Pipeline_Sort!$C462="","",INDEX(Pipeline_Calc!$H$2:$H$5251,Pipeline_Sort!$C462))</f>
        <v/>
      </c>
      <c r="H462">
        <f>IF(Pipeline_Sort!$C462="","",INDEX(Pipeline_Calc!$I$2:$I$5251,Pipeline_Sort!$C462))</f>
        <v/>
      </c>
      <c r="I462">
        <f>IF(Pipeline_Sort!$C462="","",INDEX(Pipeline_Calc!$J$2:$J$5251,Pipeline_Sort!$C462))</f>
        <v/>
      </c>
    </row>
    <row r="463">
      <c r="A463" s="22">
        <f>IF(Pipeline_Sort!$C463="","",INDEX(Pipeline_Calc!$B$2:$B$5251,Pipeline_Sort!$C463))</f>
        <v/>
      </c>
      <c r="B463">
        <f>IF(Pipeline_Sort!$C463="","",INDEX(Pipeline_Calc!$C$2:$C$5251,Pipeline_Sort!$C463))</f>
        <v/>
      </c>
      <c r="C463">
        <f>IF(Pipeline_Sort!$C463="","",INDEX(Pipeline_Calc!$D$2:$D$5251,Pipeline_Sort!$C463))</f>
        <v/>
      </c>
      <c r="D463">
        <f>IF(Pipeline_Sort!$C463="","",INDEX(Pipeline_Calc!$E$2:$E$5251,Pipeline_Sort!$C463))</f>
        <v/>
      </c>
      <c r="E463">
        <f>IF(Pipeline_Sort!$C463="","",INDEX(Pipeline_Calc!$F$2:$F$5251,Pipeline_Sort!$C463))</f>
        <v/>
      </c>
      <c r="F463">
        <f>IF(Pipeline_Sort!$C463="","",INDEX(Pipeline_Calc!$G$2:$G$5251,Pipeline_Sort!$C463))</f>
        <v/>
      </c>
      <c r="G463">
        <f>IF(Pipeline_Sort!$C463="","",INDEX(Pipeline_Calc!$H$2:$H$5251,Pipeline_Sort!$C463))</f>
        <v/>
      </c>
      <c r="H463">
        <f>IF(Pipeline_Sort!$C463="","",INDEX(Pipeline_Calc!$I$2:$I$5251,Pipeline_Sort!$C463))</f>
        <v/>
      </c>
      <c r="I463">
        <f>IF(Pipeline_Sort!$C463="","",INDEX(Pipeline_Calc!$J$2:$J$5251,Pipeline_Sort!$C463))</f>
        <v/>
      </c>
    </row>
    <row r="464">
      <c r="A464" s="22">
        <f>IF(Pipeline_Sort!$C464="","",INDEX(Pipeline_Calc!$B$2:$B$5251,Pipeline_Sort!$C464))</f>
        <v/>
      </c>
      <c r="B464">
        <f>IF(Pipeline_Sort!$C464="","",INDEX(Pipeline_Calc!$C$2:$C$5251,Pipeline_Sort!$C464))</f>
        <v/>
      </c>
      <c r="C464">
        <f>IF(Pipeline_Sort!$C464="","",INDEX(Pipeline_Calc!$D$2:$D$5251,Pipeline_Sort!$C464))</f>
        <v/>
      </c>
      <c r="D464">
        <f>IF(Pipeline_Sort!$C464="","",INDEX(Pipeline_Calc!$E$2:$E$5251,Pipeline_Sort!$C464))</f>
        <v/>
      </c>
      <c r="E464">
        <f>IF(Pipeline_Sort!$C464="","",INDEX(Pipeline_Calc!$F$2:$F$5251,Pipeline_Sort!$C464))</f>
        <v/>
      </c>
      <c r="F464">
        <f>IF(Pipeline_Sort!$C464="","",INDEX(Pipeline_Calc!$G$2:$G$5251,Pipeline_Sort!$C464))</f>
        <v/>
      </c>
      <c r="G464">
        <f>IF(Pipeline_Sort!$C464="","",INDEX(Pipeline_Calc!$H$2:$H$5251,Pipeline_Sort!$C464))</f>
        <v/>
      </c>
      <c r="H464">
        <f>IF(Pipeline_Sort!$C464="","",INDEX(Pipeline_Calc!$I$2:$I$5251,Pipeline_Sort!$C464))</f>
        <v/>
      </c>
      <c r="I464">
        <f>IF(Pipeline_Sort!$C464="","",INDEX(Pipeline_Calc!$J$2:$J$5251,Pipeline_Sort!$C464))</f>
        <v/>
      </c>
    </row>
    <row r="465">
      <c r="A465" s="22">
        <f>IF(Pipeline_Sort!$C465="","",INDEX(Pipeline_Calc!$B$2:$B$5251,Pipeline_Sort!$C465))</f>
        <v/>
      </c>
      <c r="B465">
        <f>IF(Pipeline_Sort!$C465="","",INDEX(Pipeline_Calc!$C$2:$C$5251,Pipeline_Sort!$C465))</f>
        <v/>
      </c>
      <c r="C465">
        <f>IF(Pipeline_Sort!$C465="","",INDEX(Pipeline_Calc!$D$2:$D$5251,Pipeline_Sort!$C465))</f>
        <v/>
      </c>
      <c r="D465">
        <f>IF(Pipeline_Sort!$C465="","",INDEX(Pipeline_Calc!$E$2:$E$5251,Pipeline_Sort!$C465))</f>
        <v/>
      </c>
      <c r="E465">
        <f>IF(Pipeline_Sort!$C465="","",INDEX(Pipeline_Calc!$F$2:$F$5251,Pipeline_Sort!$C465))</f>
        <v/>
      </c>
      <c r="F465">
        <f>IF(Pipeline_Sort!$C465="","",INDEX(Pipeline_Calc!$G$2:$G$5251,Pipeline_Sort!$C465))</f>
        <v/>
      </c>
      <c r="G465">
        <f>IF(Pipeline_Sort!$C465="","",INDEX(Pipeline_Calc!$H$2:$H$5251,Pipeline_Sort!$C465))</f>
        <v/>
      </c>
      <c r="H465">
        <f>IF(Pipeline_Sort!$C465="","",INDEX(Pipeline_Calc!$I$2:$I$5251,Pipeline_Sort!$C465))</f>
        <v/>
      </c>
      <c r="I465">
        <f>IF(Pipeline_Sort!$C465="","",INDEX(Pipeline_Calc!$J$2:$J$5251,Pipeline_Sort!$C465))</f>
        <v/>
      </c>
    </row>
    <row r="466">
      <c r="A466" s="22">
        <f>IF(Pipeline_Sort!$C466="","",INDEX(Pipeline_Calc!$B$2:$B$5251,Pipeline_Sort!$C466))</f>
        <v/>
      </c>
      <c r="B466">
        <f>IF(Pipeline_Sort!$C466="","",INDEX(Pipeline_Calc!$C$2:$C$5251,Pipeline_Sort!$C466))</f>
        <v/>
      </c>
      <c r="C466">
        <f>IF(Pipeline_Sort!$C466="","",INDEX(Pipeline_Calc!$D$2:$D$5251,Pipeline_Sort!$C466))</f>
        <v/>
      </c>
      <c r="D466">
        <f>IF(Pipeline_Sort!$C466="","",INDEX(Pipeline_Calc!$E$2:$E$5251,Pipeline_Sort!$C466))</f>
        <v/>
      </c>
      <c r="E466">
        <f>IF(Pipeline_Sort!$C466="","",INDEX(Pipeline_Calc!$F$2:$F$5251,Pipeline_Sort!$C466))</f>
        <v/>
      </c>
      <c r="F466">
        <f>IF(Pipeline_Sort!$C466="","",INDEX(Pipeline_Calc!$G$2:$G$5251,Pipeline_Sort!$C466))</f>
        <v/>
      </c>
      <c r="G466">
        <f>IF(Pipeline_Sort!$C466="","",INDEX(Pipeline_Calc!$H$2:$H$5251,Pipeline_Sort!$C466))</f>
        <v/>
      </c>
      <c r="H466">
        <f>IF(Pipeline_Sort!$C466="","",INDEX(Pipeline_Calc!$I$2:$I$5251,Pipeline_Sort!$C466))</f>
        <v/>
      </c>
      <c r="I466">
        <f>IF(Pipeline_Sort!$C466="","",INDEX(Pipeline_Calc!$J$2:$J$5251,Pipeline_Sort!$C466))</f>
        <v/>
      </c>
    </row>
    <row r="467">
      <c r="A467" s="22">
        <f>IF(Pipeline_Sort!$C467="","",INDEX(Pipeline_Calc!$B$2:$B$5251,Pipeline_Sort!$C467))</f>
        <v/>
      </c>
      <c r="B467">
        <f>IF(Pipeline_Sort!$C467="","",INDEX(Pipeline_Calc!$C$2:$C$5251,Pipeline_Sort!$C467))</f>
        <v/>
      </c>
      <c r="C467">
        <f>IF(Pipeline_Sort!$C467="","",INDEX(Pipeline_Calc!$D$2:$D$5251,Pipeline_Sort!$C467))</f>
        <v/>
      </c>
      <c r="D467">
        <f>IF(Pipeline_Sort!$C467="","",INDEX(Pipeline_Calc!$E$2:$E$5251,Pipeline_Sort!$C467))</f>
        <v/>
      </c>
      <c r="E467">
        <f>IF(Pipeline_Sort!$C467="","",INDEX(Pipeline_Calc!$F$2:$F$5251,Pipeline_Sort!$C467))</f>
        <v/>
      </c>
      <c r="F467">
        <f>IF(Pipeline_Sort!$C467="","",INDEX(Pipeline_Calc!$G$2:$G$5251,Pipeline_Sort!$C467))</f>
        <v/>
      </c>
      <c r="G467">
        <f>IF(Pipeline_Sort!$C467="","",INDEX(Pipeline_Calc!$H$2:$H$5251,Pipeline_Sort!$C467))</f>
        <v/>
      </c>
      <c r="H467">
        <f>IF(Pipeline_Sort!$C467="","",INDEX(Pipeline_Calc!$I$2:$I$5251,Pipeline_Sort!$C467))</f>
        <v/>
      </c>
      <c r="I467">
        <f>IF(Pipeline_Sort!$C467="","",INDEX(Pipeline_Calc!$J$2:$J$5251,Pipeline_Sort!$C467))</f>
        <v/>
      </c>
    </row>
    <row r="468">
      <c r="A468" s="22">
        <f>IF(Pipeline_Sort!$C468="","",INDEX(Pipeline_Calc!$B$2:$B$5251,Pipeline_Sort!$C468))</f>
        <v/>
      </c>
      <c r="B468">
        <f>IF(Pipeline_Sort!$C468="","",INDEX(Pipeline_Calc!$C$2:$C$5251,Pipeline_Sort!$C468))</f>
        <v/>
      </c>
      <c r="C468">
        <f>IF(Pipeline_Sort!$C468="","",INDEX(Pipeline_Calc!$D$2:$D$5251,Pipeline_Sort!$C468))</f>
        <v/>
      </c>
      <c r="D468">
        <f>IF(Pipeline_Sort!$C468="","",INDEX(Pipeline_Calc!$E$2:$E$5251,Pipeline_Sort!$C468))</f>
        <v/>
      </c>
      <c r="E468">
        <f>IF(Pipeline_Sort!$C468="","",INDEX(Pipeline_Calc!$F$2:$F$5251,Pipeline_Sort!$C468))</f>
        <v/>
      </c>
      <c r="F468">
        <f>IF(Pipeline_Sort!$C468="","",INDEX(Pipeline_Calc!$G$2:$G$5251,Pipeline_Sort!$C468))</f>
        <v/>
      </c>
      <c r="G468">
        <f>IF(Pipeline_Sort!$C468="","",INDEX(Pipeline_Calc!$H$2:$H$5251,Pipeline_Sort!$C468))</f>
        <v/>
      </c>
      <c r="H468">
        <f>IF(Pipeline_Sort!$C468="","",INDEX(Pipeline_Calc!$I$2:$I$5251,Pipeline_Sort!$C468))</f>
        <v/>
      </c>
      <c r="I468">
        <f>IF(Pipeline_Sort!$C468="","",INDEX(Pipeline_Calc!$J$2:$J$5251,Pipeline_Sort!$C468))</f>
        <v/>
      </c>
    </row>
    <row r="469">
      <c r="A469" s="22">
        <f>IF(Pipeline_Sort!$C469="","",INDEX(Pipeline_Calc!$B$2:$B$5251,Pipeline_Sort!$C469))</f>
        <v/>
      </c>
      <c r="B469">
        <f>IF(Pipeline_Sort!$C469="","",INDEX(Pipeline_Calc!$C$2:$C$5251,Pipeline_Sort!$C469))</f>
        <v/>
      </c>
      <c r="C469">
        <f>IF(Pipeline_Sort!$C469="","",INDEX(Pipeline_Calc!$D$2:$D$5251,Pipeline_Sort!$C469))</f>
        <v/>
      </c>
      <c r="D469">
        <f>IF(Pipeline_Sort!$C469="","",INDEX(Pipeline_Calc!$E$2:$E$5251,Pipeline_Sort!$C469))</f>
        <v/>
      </c>
      <c r="E469">
        <f>IF(Pipeline_Sort!$C469="","",INDEX(Pipeline_Calc!$F$2:$F$5251,Pipeline_Sort!$C469))</f>
        <v/>
      </c>
      <c r="F469">
        <f>IF(Pipeline_Sort!$C469="","",INDEX(Pipeline_Calc!$G$2:$G$5251,Pipeline_Sort!$C469))</f>
        <v/>
      </c>
      <c r="G469">
        <f>IF(Pipeline_Sort!$C469="","",INDEX(Pipeline_Calc!$H$2:$H$5251,Pipeline_Sort!$C469))</f>
        <v/>
      </c>
      <c r="H469">
        <f>IF(Pipeline_Sort!$C469="","",INDEX(Pipeline_Calc!$I$2:$I$5251,Pipeline_Sort!$C469))</f>
        <v/>
      </c>
      <c r="I469">
        <f>IF(Pipeline_Sort!$C469="","",INDEX(Pipeline_Calc!$J$2:$J$5251,Pipeline_Sort!$C469))</f>
        <v/>
      </c>
    </row>
    <row r="470">
      <c r="A470" s="22">
        <f>IF(Pipeline_Sort!$C470="","",INDEX(Pipeline_Calc!$B$2:$B$5251,Pipeline_Sort!$C470))</f>
        <v/>
      </c>
      <c r="B470">
        <f>IF(Pipeline_Sort!$C470="","",INDEX(Pipeline_Calc!$C$2:$C$5251,Pipeline_Sort!$C470))</f>
        <v/>
      </c>
      <c r="C470">
        <f>IF(Pipeline_Sort!$C470="","",INDEX(Pipeline_Calc!$D$2:$D$5251,Pipeline_Sort!$C470))</f>
        <v/>
      </c>
      <c r="D470">
        <f>IF(Pipeline_Sort!$C470="","",INDEX(Pipeline_Calc!$E$2:$E$5251,Pipeline_Sort!$C470))</f>
        <v/>
      </c>
      <c r="E470">
        <f>IF(Pipeline_Sort!$C470="","",INDEX(Pipeline_Calc!$F$2:$F$5251,Pipeline_Sort!$C470))</f>
        <v/>
      </c>
      <c r="F470">
        <f>IF(Pipeline_Sort!$C470="","",INDEX(Pipeline_Calc!$G$2:$G$5251,Pipeline_Sort!$C470))</f>
        <v/>
      </c>
      <c r="G470">
        <f>IF(Pipeline_Sort!$C470="","",INDEX(Pipeline_Calc!$H$2:$H$5251,Pipeline_Sort!$C470))</f>
        <v/>
      </c>
      <c r="H470">
        <f>IF(Pipeline_Sort!$C470="","",INDEX(Pipeline_Calc!$I$2:$I$5251,Pipeline_Sort!$C470))</f>
        <v/>
      </c>
      <c r="I470">
        <f>IF(Pipeline_Sort!$C470="","",INDEX(Pipeline_Calc!$J$2:$J$5251,Pipeline_Sort!$C470))</f>
        <v/>
      </c>
    </row>
    <row r="471">
      <c r="A471" s="22">
        <f>IF(Pipeline_Sort!$C471="","",INDEX(Pipeline_Calc!$B$2:$B$5251,Pipeline_Sort!$C471))</f>
        <v/>
      </c>
      <c r="B471">
        <f>IF(Pipeline_Sort!$C471="","",INDEX(Pipeline_Calc!$C$2:$C$5251,Pipeline_Sort!$C471))</f>
        <v/>
      </c>
      <c r="C471">
        <f>IF(Pipeline_Sort!$C471="","",INDEX(Pipeline_Calc!$D$2:$D$5251,Pipeline_Sort!$C471))</f>
        <v/>
      </c>
      <c r="D471">
        <f>IF(Pipeline_Sort!$C471="","",INDEX(Pipeline_Calc!$E$2:$E$5251,Pipeline_Sort!$C471))</f>
        <v/>
      </c>
      <c r="E471">
        <f>IF(Pipeline_Sort!$C471="","",INDEX(Pipeline_Calc!$F$2:$F$5251,Pipeline_Sort!$C471))</f>
        <v/>
      </c>
      <c r="F471">
        <f>IF(Pipeline_Sort!$C471="","",INDEX(Pipeline_Calc!$G$2:$G$5251,Pipeline_Sort!$C471))</f>
        <v/>
      </c>
      <c r="G471">
        <f>IF(Pipeline_Sort!$C471="","",INDEX(Pipeline_Calc!$H$2:$H$5251,Pipeline_Sort!$C471))</f>
        <v/>
      </c>
      <c r="H471">
        <f>IF(Pipeline_Sort!$C471="","",INDEX(Pipeline_Calc!$I$2:$I$5251,Pipeline_Sort!$C471))</f>
        <v/>
      </c>
      <c r="I471">
        <f>IF(Pipeline_Sort!$C471="","",INDEX(Pipeline_Calc!$J$2:$J$5251,Pipeline_Sort!$C471))</f>
        <v/>
      </c>
    </row>
    <row r="472">
      <c r="A472" s="22">
        <f>IF(Pipeline_Sort!$C472="","",INDEX(Pipeline_Calc!$B$2:$B$5251,Pipeline_Sort!$C472))</f>
        <v/>
      </c>
      <c r="B472">
        <f>IF(Pipeline_Sort!$C472="","",INDEX(Pipeline_Calc!$C$2:$C$5251,Pipeline_Sort!$C472))</f>
        <v/>
      </c>
      <c r="C472">
        <f>IF(Pipeline_Sort!$C472="","",INDEX(Pipeline_Calc!$D$2:$D$5251,Pipeline_Sort!$C472))</f>
        <v/>
      </c>
      <c r="D472">
        <f>IF(Pipeline_Sort!$C472="","",INDEX(Pipeline_Calc!$E$2:$E$5251,Pipeline_Sort!$C472))</f>
        <v/>
      </c>
      <c r="E472">
        <f>IF(Pipeline_Sort!$C472="","",INDEX(Pipeline_Calc!$F$2:$F$5251,Pipeline_Sort!$C472))</f>
        <v/>
      </c>
      <c r="F472">
        <f>IF(Pipeline_Sort!$C472="","",INDEX(Pipeline_Calc!$G$2:$G$5251,Pipeline_Sort!$C472))</f>
        <v/>
      </c>
      <c r="G472">
        <f>IF(Pipeline_Sort!$C472="","",INDEX(Pipeline_Calc!$H$2:$H$5251,Pipeline_Sort!$C472))</f>
        <v/>
      </c>
      <c r="H472">
        <f>IF(Pipeline_Sort!$C472="","",INDEX(Pipeline_Calc!$I$2:$I$5251,Pipeline_Sort!$C472))</f>
        <v/>
      </c>
      <c r="I472">
        <f>IF(Pipeline_Sort!$C472="","",INDEX(Pipeline_Calc!$J$2:$J$5251,Pipeline_Sort!$C472))</f>
        <v/>
      </c>
    </row>
    <row r="473">
      <c r="A473" s="22">
        <f>IF(Pipeline_Sort!$C473="","",INDEX(Pipeline_Calc!$B$2:$B$5251,Pipeline_Sort!$C473))</f>
        <v/>
      </c>
      <c r="B473">
        <f>IF(Pipeline_Sort!$C473="","",INDEX(Pipeline_Calc!$C$2:$C$5251,Pipeline_Sort!$C473))</f>
        <v/>
      </c>
      <c r="C473">
        <f>IF(Pipeline_Sort!$C473="","",INDEX(Pipeline_Calc!$D$2:$D$5251,Pipeline_Sort!$C473))</f>
        <v/>
      </c>
      <c r="D473">
        <f>IF(Pipeline_Sort!$C473="","",INDEX(Pipeline_Calc!$E$2:$E$5251,Pipeline_Sort!$C473))</f>
        <v/>
      </c>
      <c r="E473">
        <f>IF(Pipeline_Sort!$C473="","",INDEX(Pipeline_Calc!$F$2:$F$5251,Pipeline_Sort!$C473))</f>
        <v/>
      </c>
      <c r="F473">
        <f>IF(Pipeline_Sort!$C473="","",INDEX(Pipeline_Calc!$G$2:$G$5251,Pipeline_Sort!$C473))</f>
        <v/>
      </c>
      <c r="G473">
        <f>IF(Pipeline_Sort!$C473="","",INDEX(Pipeline_Calc!$H$2:$H$5251,Pipeline_Sort!$C473))</f>
        <v/>
      </c>
      <c r="H473">
        <f>IF(Pipeline_Sort!$C473="","",INDEX(Pipeline_Calc!$I$2:$I$5251,Pipeline_Sort!$C473))</f>
        <v/>
      </c>
      <c r="I473">
        <f>IF(Pipeline_Sort!$C473="","",INDEX(Pipeline_Calc!$J$2:$J$5251,Pipeline_Sort!$C473))</f>
        <v/>
      </c>
    </row>
    <row r="474">
      <c r="A474" s="22">
        <f>IF(Pipeline_Sort!$C474="","",INDEX(Pipeline_Calc!$B$2:$B$5251,Pipeline_Sort!$C474))</f>
        <v/>
      </c>
      <c r="B474">
        <f>IF(Pipeline_Sort!$C474="","",INDEX(Pipeline_Calc!$C$2:$C$5251,Pipeline_Sort!$C474))</f>
        <v/>
      </c>
      <c r="C474">
        <f>IF(Pipeline_Sort!$C474="","",INDEX(Pipeline_Calc!$D$2:$D$5251,Pipeline_Sort!$C474))</f>
        <v/>
      </c>
      <c r="D474">
        <f>IF(Pipeline_Sort!$C474="","",INDEX(Pipeline_Calc!$E$2:$E$5251,Pipeline_Sort!$C474))</f>
        <v/>
      </c>
      <c r="E474">
        <f>IF(Pipeline_Sort!$C474="","",INDEX(Pipeline_Calc!$F$2:$F$5251,Pipeline_Sort!$C474))</f>
        <v/>
      </c>
      <c r="F474">
        <f>IF(Pipeline_Sort!$C474="","",INDEX(Pipeline_Calc!$G$2:$G$5251,Pipeline_Sort!$C474))</f>
        <v/>
      </c>
      <c r="G474">
        <f>IF(Pipeline_Sort!$C474="","",INDEX(Pipeline_Calc!$H$2:$H$5251,Pipeline_Sort!$C474))</f>
        <v/>
      </c>
      <c r="H474">
        <f>IF(Pipeline_Sort!$C474="","",INDEX(Pipeline_Calc!$I$2:$I$5251,Pipeline_Sort!$C474))</f>
        <v/>
      </c>
      <c r="I474">
        <f>IF(Pipeline_Sort!$C474="","",INDEX(Pipeline_Calc!$J$2:$J$5251,Pipeline_Sort!$C474))</f>
        <v/>
      </c>
    </row>
    <row r="475">
      <c r="A475" s="22">
        <f>IF(Pipeline_Sort!$C475="","",INDEX(Pipeline_Calc!$B$2:$B$5251,Pipeline_Sort!$C475))</f>
        <v/>
      </c>
      <c r="B475">
        <f>IF(Pipeline_Sort!$C475="","",INDEX(Pipeline_Calc!$C$2:$C$5251,Pipeline_Sort!$C475))</f>
        <v/>
      </c>
      <c r="C475">
        <f>IF(Pipeline_Sort!$C475="","",INDEX(Pipeline_Calc!$D$2:$D$5251,Pipeline_Sort!$C475))</f>
        <v/>
      </c>
      <c r="D475">
        <f>IF(Pipeline_Sort!$C475="","",INDEX(Pipeline_Calc!$E$2:$E$5251,Pipeline_Sort!$C475))</f>
        <v/>
      </c>
      <c r="E475">
        <f>IF(Pipeline_Sort!$C475="","",INDEX(Pipeline_Calc!$F$2:$F$5251,Pipeline_Sort!$C475))</f>
        <v/>
      </c>
      <c r="F475">
        <f>IF(Pipeline_Sort!$C475="","",INDEX(Pipeline_Calc!$G$2:$G$5251,Pipeline_Sort!$C475))</f>
        <v/>
      </c>
      <c r="G475">
        <f>IF(Pipeline_Sort!$C475="","",INDEX(Pipeline_Calc!$H$2:$H$5251,Pipeline_Sort!$C475))</f>
        <v/>
      </c>
      <c r="H475">
        <f>IF(Pipeline_Sort!$C475="","",INDEX(Pipeline_Calc!$I$2:$I$5251,Pipeline_Sort!$C475))</f>
        <v/>
      </c>
      <c r="I475">
        <f>IF(Pipeline_Sort!$C475="","",INDEX(Pipeline_Calc!$J$2:$J$5251,Pipeline_Sort!$C475))</f>
        <v/>
      </c>
    </row>
    <row r="476">
      <c r="A476" s="22">
        <f>IF(Pipeline_Sort!$C476="","",INDEX(Pipeline_Calc!$B$2:$B$5251,Pipeline_Sort!$C476))</f>
        <v/>
      </c>
      <c r="B476">
        <f>IF(Pipeline_Sort!$C476="","",INDEX(Pipeline_Calc!$C$2:$C$5251,Pipeline_Sort!$C476))</f>
        <v/>
      </c>
      <c r="C476">
        <f>IF(Pipeline_Sort!$C476="","",INDEX(Pipeline_Calc!$D$2:$D$5251,Pipeline_Sort!$C476))</f>
        <v/>
      </c>
      <c r="D476">
        <f>IF(Pipeline_Sort!$C476="","",INDEX(Pipeline_Calc!$E$2:$E$5251,Pipeline_Sort!$C476))</f>
        <v/>
      </c>
      <c r="E476">
        <f>IF(Pipeline_Sort!$C476="","",INDEX(Pipeline_Calc!$F$2:$F$5251,Pipeline_Sort!$C476))</f>
        <v/>
      </c>
      <c r="F476">
        <f>IF(Pipeline_Sort!$C476="","",INDEX(Pipeline_Calc!$G$2:$G$5251,Pipeline_Sort!$C476))</f>
        <v/>
      </c>
      <c r="G476">
        <f>IF(Pipeline_Sort!$C476="","",INDEX(Pipeline_Calc!$H$2:$H$5251,Pipeline_Sort!$C476))</f>
        <v/>
      </c>
      <c r="H476">
        <f>IF(Pipeline_Sort!$C476="","",INDEX(Pipeline_Calc!$I$2:$I$5251,Pipeline_Sort!$C476))</f>
        <v/>
      </c>
      <c r="I476">
        <f>IF(Pipeline_Sort!$C476="","",INDEX(Pipeline_Calc!$J$2:$J$5251,Pipeline_Sort!$C476))</f>
        <v/>
      </c>
    </row>
    <row r="477">
      <c r="A477" s="22">
        <f>IF(Pipeline_Sort!$C477="","",INDEX(Pipeline_Calc!$B$2:$B$5251,Pipeline_Sort!$C477))</f>
        <v/>
      </c>
      <c r="B477">
        <f>IF(Pipeline_Sort!$C477="","",INDEX(Pipeline_Calc!$C$2:$C$5251,Pipeline_Sort!$C477))</f>
        <v/>
      </c>
      <c r="C477">
        <f>IF(Pipeline_Sort!$C477="","",INDEX(Pipeline_Calc!$D$2:$D$5251,Pipeline_Sort!$C477))</f>
        <v/>
      </c>
      <c r="D477">
        <f>IF(Pipeline_Sort!$C477="","",INDEX(Pipeline_Calc!$E$2:$E$5251,Pipeline_Sort!$C477))</f>
        <v/>
      </c>
      <c r="E477">
        <f>IF(Pipeline_Sort!$C477="","",INDEX(Pipeline_Calc!$F$2:$F$5251,Pipeline_Sort!$C477))</f>
        <v/>
      </c>
      <c r="F477">
        <f>IF(Pipeline_Sort!$C477="","",INDEX(Pipeline_Calc!$G$2:$G$5251,Pipeline_Sort!$C477))</f>
        <v/>
      </c>
      <c r="G477">
        <f>IF(Pipeline_Sort!$C477="","",INDEX(Pipeline_Calc!$H$2:$H$5251,Pipeline_Sort!$C477))</f>
        <v/>
      </c>
      <c r="H477">
        <f>IF(Pipeline_Sort!$C477="","",INDEX(Pipeline_Calc!$I$2:$I$5251,Pipeline_Sort!$C477))</f>
        <v/>
      </c>
      <c r="I477">
        <f>IF(Pipeline_Sort!$C477="","",INDEX(Pipeline_Calc!$J$2:$J$5251,Pipeline_Sort!$C477))</f>
        <v/>
      </c>
    </row>
    <row r="478">
      <c r="A478" s="22">
        <f>IF(Pipeline_Sort!$C478="","",INDEX(Pipeline_Calc!$B$2:$B$5251,Pipeline_Sort!$C478))</f>
        <v/>
      </c>
      <c r="B478">
        <f>IF(Pipeline_Sort!$C478="","",INDEX(Pipeline_Calc!$C$2:$C$5251,Pipeline_Sort!$C478))</f>
        <v/>
      </c>
      <c r="C478">
        <f>IF(Pipeline_Sort!$C478="","",INDEX(Pipeline_Calc!$D$2:$D$5251,Pipeline_Sort!$C478))</f>
        <v/>
      </c>
      <c r="D478">
        <f>IF(Pipeline_Sort!$C478="","",INDEX(Pipeline_Calc!$E$2:$E$5251,Pipeline_Sort!$C478))</f>
        <v/>
      </c>
      <c r="E478">
        <f>IF(Pipeline_Sort!$C478="","",INDEX(Pipeline_Calc!$F$2:$F$5251,Pipeline_Sort!$C478))</f>
        <v/>
      </c>
      <c r="F478">
        <f>IF(Pipeline_Sort!$C478="","",INDEX(Pipeline_Calc!$G$2:$G$5251,Pipeline_Sort!$C478))</f>
        <v/>
      </c>
      <c r="G478">
        <f>IF(Pipeline_Sort!$C478="","",INDEX(Pipeline_Calc!$H$2:$H$5251,Pipeline_Sort!$C478))</f>
        <v/>
      </c>
      <c r="H478">
        <f>IF(Pipeline_Sort!$C478="","",INDEX(Pipeline_Calc!$I$2:$I$5251,Pipeline_Sort!$C478))</f>
        <v/>
      </c>
      <c r="I478">
        <f>IF(Pipeline_Sort!$C478="","",INDEX(Pipeline_Calc!$J$2:$J$5251,Pipeline_Sort!$C478))</f>
        <v/>
      </c>
    </row>
    <row r="479">
      <c r="A479" s="22">
        <f>IF(Pipeline_Sort!$C479="","",INDEX(Pipeline_Calc!$B$2:$B$5251,Pipeline_Sort!$C479))</f>
        <v/>
      </c>
      <c r="B479">
        <f>IF(Pipeline_Sort!$C479="","",INDEX(Pipeline_Calc!$C$2:$C$5251,Pipeline_Sort!$C479))</f>
        <v/>
      </c>
      <c r="C479">
        <f>IF(Pipeline_Sort!$C479="","",INDEX(Pipeline_Calc!$D$2:$D$5251,Pipeline_Sort!$C479))</f>
        <v/>
      </c>
      <c r="D479">
        <f>IF(Pipeline_Sort!$C479="","",INDEX(Pipeline_Calc!$E$2:$E$5251,Pipeline_Sort!$C479))</f>
        <v/>
      </c>
      <c r="E479">
        <f>IF(Pipeline_Sort!$C479="","",INDEX(Pipeline_Calc!$F$2:$F$5251,Pipeline_Sort!$C479))</f>
        <v/>
      </c>
      <c r="F479">
        <f>IF(Pipeline_Sort!$C479="","",INDEX(Pipeline_Calc!$G$2:$G$5251,Pipeline_Sort!$C479))</f>
        <v/>
      </c>
      <c r="G479">
        <f>IF(Pipeline_Sort!$C479="","",INDEX(Pipeline_Calc!$H$2:$H$5251,Pipeline_Sort!$C479))</f>
        <v/>
      </c>
      <c r="H479">
        <f>IF(Pipeline_Sort!$C479="","",INDEX(Pipeline_Calc!$I$2:$I$5251,Pipeline_Sort!$C479))</f>
        <v/>
      </c>
      <c r="I479">
        <f>IF(Pipeline_Sort!$C479="","",INDEX(Pipeline_Calc!$J$2:$J$5251,Pipeline_Sort!$C479))</f>
        <v/>
      </c>
    </row>
    <row r="480">
      <c r="A480" s="22">
        <f>IF(Pipeline_Sort!$C480="","",INDEX(Pipeline_Calc!$B$2:$B$5251,Pipeline_Sort!$C480))</f>
        <v/>
      </c>
      <c r="B480">
        <f>IF(Pipeline_Sort!$C480="","",INDEX(Pipeline_Calc!$C$2:$C$5251,Pipeline_Sort!$C480))</f>
        <v/>
      </c>
      <c r="C480">
        <f>IF(Pipeline_Sort!$C480="","",INDEX(Pipeline_Calc!$D$2:$D$5251,Pipeline_Sort!$C480))</f>
        <v/>
      </c>
      <c r="D480">
        <f>IF(Pipeline_Sort!$C480="","",INDEX(Pipeline_Calc!$E$2:$E$5251,Pipeline_Sort!$C480))</f>
        <v/>
      </c>
      <c r="E480">
        <f>IF(Pipeline_Sort!$C480="","",INDEX(Pipeline_Calc!$F$2:$F$5251,Pipeline_Sort!$C480))</f>
        <v/>
      </c>
      <c r="F480">
        <f>IF(Pipeline_Sort!$C480="","",INDEX(Pipeline_Calc!$G$2:$G$5251,Pipeline_Sort!$C480))</f>
        <v/>
      </c>
      <c r="G480">
        <f>IF(Pipeline_Sort!$C480="","",INDEX(Pipeline_Calc!$H$2:$H$5251,Pipeline_Sort!$C480))</f>
        <v/>
      </c>
      <c r="H480">
        <f>IF(Pipeline_Sort!$C480="","",INDEX(Pipeline_Calc!$I$2:$I$5251,Pipeline_Sort!$C480))</f>
        <v/>
      </c>
      <c r="I480">
        <f>IF(Pipeline_Sort!$C480="","",INDEX(Pipeline_Calc!$J$2:$J$5251,Pipeline_Sort!$C480))</f>
        <v/>
      </c>
    </row>
    <row r="481">
      <c r="A481" s="22">
        <f>IF(Pipeline_Sort!$C481="","",INDEX(Pipeline_Calc!$B$2:$B$5251,Pipeline_Sort!$C481))</f>
        <v/>
      </c>
      <c r="B481">
        <f>IF(Pipeline_Sort!$C481="","",INDEX(Pipeline_Calc!$C$2:$C$5251,Pipeline_Sort!$C481))</f>
        <v/>
      </c>
      <c r="C481">
        <f>IF(Pipeline_Sort!$C481="","",INDEX(Pipeline_Calc!$D$2:$D$5251,Pipeline_Sort!$C481))</f>
        <v/>
      </c>
      <c r="D481">
        <f>IF(Pipeline_Sort!$C481="","",INDEX(Pipeline_Calc!$E$2:$E$5251,Pipeline_Sort!$C481))</f>
        <v/>
      </c>
      <c r="E481">
        <f>IF(Pipeline_Sort!$C481="","",INDEX(Pipeline_Calc!$F$2:$F$5251,Pipeline_Sort!$C481))</f>
        <v/>
      </c>
      <c r="F481">
        <f>IF(Pipeline_Sort!$C481="","",INDEX(Pipeline_Calc!$G$2:$G$5251,Pipeline_Sort!$C481))</f>
        <v/>
      </c>
      <c r="G481">
        <f>IF(Pipeline_Sort!$C481="","",INDEX(Pipeline_Calc!$H$2:$H$5251,Pipeline_Sort!$C481))</f>
        <v/>
      </c>
      <c r="H481">
        <f>IF(Pipeline_Sort!$C481="","",INDEX(Pipeline_Calc!$I$2:$I$5251,Pipeline_Sort!$C481))</f>
        <v/>
      </c>
      <c r="I481">
        <f>IF(Pipeline_Sort!$C481="","",INDEX(Pipeline_Calc!$J$2:$J$5251,Pipeline_Sort!$C481))</f>
        <v/>
      </c>
    </row>
    <row r="482">
      <c r="A482" s="22">
        <f>IF(Pipeline_Sort!$C482="","",INDEX(Pipeline_Calc!$B$2:$B$5251,Pipeline_Sort!$C482))</f>
        <v/>
      </c>
      <c r="B482">
        <f>IF(Pipeline_Sort!$C482="","",INDEX(Pipeline_Calc!$C$2:$C$5251,Pipeline_Sort!$C482))</f>
        <v/>
      </c>
      <c r="C482">
        <f>IF(Pipeline_Sort!$C482="","",INDEX(Pipeline_Calc!$D$2:$D$5251,Pipeline_Sort!$C482))</f>
        <v/>
      </c>
      <c r="D482">
        <f>IF(Pipeline_Sort!$C482="","",INDEX(Pipeline_Calc!$E$2:$E$5251,Pipeline_Sort!$C482))</f>
        <v/>
      </c>
      <c r="E482">
        <f>IF(Pipeline_Sort!$C482="","",INDEX(Pipeline_Calc!$F$2:$F$5251,Pipeline_Sort!$C482))</f>
        <v/>
      </c>
      <c r="F482">
        <f>IF(Pipeline_Sort!$C482="","",INDEX(Pipeline_Calc!$G$2:$G$5251,Pipeline_Sort!$C482))</f>
        <v/>
      </c>
      <c r="G482">
        <f>IF(Pipeline_Sort!$C482="","",INDEX(Pipeline_Calc!$H$2:$H$5251,Pipeline_Sort!$C482))</f>
        <v/>
      </c>
      <c r="H482">
        <f>IF(Pipeline_Sort!$C482="","",INDEX(Pipeline_Calc!$I$2:$I$5251,Pipeline_Sort!$C482))</f>
        <v/>
      </c>
      <c r="I482">
        <f>IF(Pipeline_Sort!$C482="","",INDEX(Pipeline_Calc!$J$2:$J$5251,Pipeline_Sort!$C482))</f>
        <v/>
      </c>
    </row>
    <row r="483">
      <c r="A483" s="22">
        <f>IF(Pipeline_Sort!$C483="","",INDEX(Pipeline_Calc!$B$2:$B$5251,Pipeline_Sort!$C483))</f>
        <v/>
      </c>
      <c r="B483">
        <f>IF(Pipeline_Sort!$C483="","",INDEX(Pipeline_Calc!$C$2:$C$5251,Pipeline_Sort!$C483))</f>
        <v/>
      </c>
      <c r="C483">
        <f>IF(Pipeline_Sort!$C483="","",INDEX(Pipeline_Calc!$D$2:$D$5251,Pipeline_Sort!$C483))</f>
        <v/>
      </c>
      <c r="D483">
        <f>IF(Pipeline_Sort!$C483="","",INDEX(Pipeline_Calc!$E$2:$E$5251,Pipeline_Sort!$C483))</f>
        <v/>
      </c>
      <c r="E483">
        <f>IF(Pipeline_Sort!$C483="","",INDEX(Pipeline_Calc!$F$2:$F$5251,Pipeline_Sort!$C483))</f>
        <v/>
      </c>
      <c r="F483">
        <f>IF(Pipeline_Sort!$C483="","",INDEX(Pipeline_Calc!$G$2:$G$5251,Pipeline_Sort!$C483))</f>
        <v/>
      </c>
      <c r="G483">
        <f>IF(Pipeline_Sort!$C483="","",INDEX(Pipeline_Calc!$H$2:$H$5251,Pipeline_Sort!$C483))</f>
        <v/>
      </c>
      <c r="H483">
        <f>IF(Pipeline_Sort!$C483="","",INDEX(Pipeline_Calc!$I$2:$I$5251,Pipeline_Sort!$C483))</f>
        <v/>
      </c>
      <c r="I483">
        <f>IF(Pipeline_Sort!$C483="","",INDEX(Pipeline_Calc!$J$2:$J$5251,Pipeline_Sort!$C483))</f>
        <v/>
      </c>
    </row>
    <row r="484">
      <c r="A484" s="22">
        <f>IF(Pipeline_Sort!$C484="","",INDEX(Pipeline_Calc!$B$2:$B$5251,Pipeline_Sort!$C484))</f>
        <v/>
      </c>
      <c r="B484">
        <f>IF(Pipeline_Sort!$C484="","",INDEX(Pipeline_Calc!$C$2:$C$5251,Pipeline_Sort!$C484))</f>
        <v/>
      </c>
      <c r="C484">
        <f>IF(Pipeline_Sort!$C484="","",INDEX(Pipeline_Calc!$D$2:$D$5251,Pipeline_Sort!$C484))</f>
        <v/>
      </c>
      <c r="D484">
        <f>IF(Pipeline_Sort!$C484="","",INDEX(Pipeline_Calc!$E$2:$E$5251,Pipeline_Sort!$C484))</f>
        <v/>
      </c>
      <c r="E484">
        <f>IF(Pipeline_Sort!$C484="","",INDEX(Pipeline_Calc!$F$2:$F$5251,Pipeline_Sort!$C484))</f>
        <v/>
      </c>
      <c r="F484">
        <f>IF(Pipeline_Sort!$C484="","",INDEX(Pipeline_Calc!$G$2:$G$5251,Pipeline_Sort!$C484))</f>
        <v/>
      </c>
      <c r="G484">
        <f>IF(Pipeline_Sort!$C484="","",INDEX(Pipeline_Calc!$H$2:$H$5251,Pipeline_Sort!$C484))</f>
        <v/>
      </c>
      <c r="H484">
        <f>IF(Pipeline_Sort!$C484="","",INDEX(Pipeline_Calc!$I$2:$I$5251,Pipeline_Sort!$C484))</f>
        <v/>
      </c>
      <c r="I484">
        <f>IF(Pipeline_Sort!$C484="","",INDEX(Pipeline_Calc!$J$2:$J$5251,Pipeline_Sort!$C484))</f>
        <v/>
      </c>
    </row>
    <row r="485">
      <c r="A485" s="22">
        <f>IF(Pipeline_Sort!$C485="","",INDEX(Pipeline_Calc!$B$2:$B$5251,Pipeline_Sort!$C485))</f>
        <v/>
      </c>
      <c r="B485">
        <f>IF(Pipeline_Sort!$C485="","",INDEX(Pipeline_Calc!$C$2:$C$5251,Pipeline_Sort!$C485))</f>
        <v/>
      </c>
      <c r="C485">
        <f>IF(Pipeline_Sort!$C485="","",INDEX(Pipeline_Calc!$D$2:$D$5251,Pipeline_Sort!$C485))</f>
        <v/>
      </c>
      <c r="D485">
        <f>IF(Pipeline_Sort!$C485="","",INDEX(Pipeline_Calc!$E$2:$E$5251,Pipeline_Sort!$C485))</f>
        <v/>
      </c>
      <c r="E485">
        <f>IF(Pipeline_Sort!$C485="","",INDEX(Pipeline_Calc!$F$2:$F$5251,Pipeline_Sort!$C485))</f>
        <v/>
      </c>
      <c r="F485">
        <f>IF(Pipeline_Sort!$C485="","",INDEX(Pipeline_Calc!$G$2:$G$5251,Pipeline_Sort!$C485))</f>
        <v/>
      </c>
      <c r="G485">
        <f>IF(Pipeline_Sort!$C485="","",INDEX(Pipeline_Calc!$H$2:$H$5251,Pipeline_Sort!$C485))</f>
        <v/>
      </c>
      <c r="H485">
        <f>IF(Pipeline_Sort!$C485="","",INDEX(Pipeline_Calc!$I$2:$I$5251,Pipeline_Sort!$C485))</f>
        <v/>
      </c>
      <c r="I485">
        <f>IF(Pipeline_Sort!$C485="","",INDEX(Pipeline_Calc!$J$2:$J$5251,Pipeline_Sort!$C485))</f>
        <v/>
      </c>
    </row>
    <row r="486">
      <c r="A486" s="22">
        <f>IF(Pipeline_Sort!$C486="","",INDEX(Pipeline_Calc!$B$2:$B$5251,Pipeline_Sort!$C486))</f>
        <v/>
      </c>
      <c r="B486">
        <f>IF(Pipeline_Sort!$C486="","",INDEX(Pipeline_Calc!$C$2:$C$5251,Pipeline_Sort!$C486))</f>
        <v/>
      </c>
      <c r="C486">
        <f>IF(Pipeline_Sort!$C486="","",INDEX(Pipeline_Calc!$D$2:$D$5251,Pipeline_Sort!$C486))</f>
        <v/>
      </c>
      <c r="D486">
        <f>IF(Pipeline_Sort!$C486="","",INDEX(Pipeline_Calc!$E$2:$E$5251,Pipeline_Sort!$C486))</f>
        <v/>
      </c>
      <c r="E486">
        <f>IF(Pipeline_Sort!$C486="","",INDEX(Pipeline_Calc!$F$2:$F$5251,Pipeline_Sort!$C486))</f>
        <v/>
      </c>
      <c r="F486">
        <f>IF(Pipeline_Sort!$C486="","",INDEX(Pipeline_Calc!$G$2:$G$5251,Pipeline_Sort!$C486))</f>
        <v/>
      </c>
      <c r="G486">
        <f>IF(Pipeline_Sort!$C486="","",INDEX(Pipeline_Calc!$H$2:$H$5251,Pipeline_Sort!$C486))</f>
        <v/>
      </c>
      <c r="H486">
        <f>IF(Pipeline_Sort!$C486="","",INDEX(Pipeline_Calc!$I$2:$I$5251,Pipeline_Sort!$C486))</f>
        <v/>
      </c>
      <c r="I486">
        <f>IF(Pipeline_Sort!$C486="","",INDEX(Pipeline_Calc!$J$2:$J$5251,Pipeline_Sort!$C486))</f>
        <v/>
      </c>
    </row>
    <row r="487">
      <c r="A487" s="22">
        <f>IF(Pipeline_Sort!$C487="","",INDEX(Pipeline_Calc!$B$2:$B$5251,Pipeline_Sort!$C487))</f>
        <v/>
      </c>
      <c r="B487">
        <f>IF(Pipeline_Sort!$C487="","",INDEX(Pipeline_Calc!$C$2:$C$5251,Pipeline_Sort!$C487))</f>
        <v/>
      </c>
      <c r="C487">
        <f>IF(Pipeline_Sort!$C487="","",INDEX(Pipeline_Calc!$D$2:$D$5251,Pipeline_Sort!$C487))</f>
        <v/>
      </c>
      <c r="D487">
        <f>IF(Pipeline_Sort!$C487="","",INDEX(Pipeline_Calc!$E$2:$E$5251,Pipeline_Sort!$C487))</f>
        <v/>
      </c>
      <c r="E487">
        <f>IF(Pipeline_Sort!$C487="","",INDEX(Pipeline_Calc!$F$2:$F$5251,Pipeline_Sort!$C487))</f>
        <v/>
      </c>
      <c r="F487">
        <f>IF(Pipeline_Sort!$C487="","",INDEX(Pipeline_Calc!$G$2:$G$5251,Pipeline_Sort!$C487))</f>
        <v/>
      </c>
      <c r="G487">
        <f>IF(Pipeline_Sort!$C487="","",INDEX(Pipeline_Calc!$H$2:$H$5251,Pipeline_Sort!$C487))</f>
        <v/>
      </c>
      <c r="H487">
        <f>IF(Pipeline_Sort!$C487="","",INDEX(Pipeline_Calc!$I$2:$I$5251,Pipeline_Sort!$C487))</f>
        <v/>
      </c>
      <c r="I487">
        <f>IF(Pipeline_Sort!$C487="","",INDEX(Pipeline_Calc!$J$2:$J$5251,Pipeline_Sort!$C487))</f>
        <v/>
      </c>
    </row>
    <row r="488">
      <c r="A488" s="22">
        <f>IF(Pipeline_Sort!$C488="","",INDEX(Pipeline_Calc!$B$2:$B$5251,Pipeline_Sort!$C488))</f>
        <v/>
      </c>
      <c r="B488">
        <f>IF(Pipeline_Sort!$C488="","",INDEX(Pipeline_Calc!$C$2:$C$5251,Pipeline_Sort!$C488))</f>
        <v/>
      </c>
      <c r="C488">
        <f>IF(Pipeline_Sort!$C488="","",INDEX(Pipeline_Calc!$D$2:$D$5251,Pipeline_Sort!$C488))</f>
        <v/>
      </c>
      <c r="D488">
        <f>IF(Pipeline_Sort!$C488="","",INDEX(Pipeline_Calc!$E$2:$E$5251,Pipeline_Sort!$C488))</f>
        <v/>
      </c>
      <c r="E488">
        <f>IF(Pipeline_Sort!$C488="","",INDEX(Pipeline_Calc!$F$2:$F$5251,Pipeline_Sort!$C488))</f>
        <v/>
      </c>
      <c r="F488">
        <f>IF(Pipeline_Sort!$C488="","",INDEX(Pipeline_Calc!$G$2:$G$5251,Pipeline_Sort!$C488))</f>
        <v/>
      </c>
      <c r="G488">
        <f>IF(Pipeline_Sort!$C488="","",INDEX(Pipeline_Calc!$H$2:$H$5251,Pipeline_Sort!$C488))</f>
        <v/>
      </c>
      <c r="H488">
        <f>IF(Pipeline_Sort!$C488="","",INDEX(Pipeline_Calc!$I$2:$I$5251,Pipeline_Sort!$C488))</f>
        <v/>
      </c>
      <c r="I488">
        <f>IF(Pipeline_Sort!$C488="","",INDEX(Pipeline_Calc!$J$2:$J$5251,Pipeline_Sort!$C488))</f>
        <v/>
      </c>
    </row>
    <row r="489">
      <c r="A489" s="22">
        <f>IF(Pipeline_Sort!$C489="","",INDEX(Pipeline_Calc!$B$2:$B$5251,Pipeline_Sort!$C489))</f>
        <v/>
      </c>
      <c r="B489">
        <f>IF(Pipeline_Sort!$C489="","",INDEX(Pipeline_Calc!$C$2:$C$5251,Pipeline_Sort!$C489))</f>
        <v/>
      </c>
      <c r="C489">
        <f>IF(Pipeline_Sort!$C489="","",INDEX(Pipeline_Calc!$D$2:$D$5251,Pipeline_Sort!$C489))</f>
        <v/>
      </c>
      <c r="D489">
        <f>IF(Pipeline_Sort!$C489="","",INDEX(Pipeline_Calc!$E$2:$E$5251,Pipeline_Sort!$C489))</f>
        <v/>
      </c>
      <c r="E489">
        <f>IF(Pipeline_Sort!$C489="","",INDEX(Pipeline_Calc!$F$2:$F$5251,Pipeline_Sort!$C489))</f>
        <v/>
      </c>
      <c r="F489">
        <f>IF(Pipeline_Sort!$C489="","",INDEX(Pipeline_Calc!$G$2:$G$5251,Pipeline_Sort!$C489))</f>
        <v/>
      </c>
      <c r="G489">
        <f>IF(Pipeline_Sort!$C489="","",INDEX(Pipeline_Calc!$H$2:$H$5251,Pipeline_Sort!$C489))</f>
        <v/>
      </c>
      <c r="H489">
        <f>IF(Pipeline_Sort!$C489="","",INDEX(Pipeline_Calc!$I$2:$I$5251,Pipeline_Sort!$C489))</f>
        <v/>
      </c>
      <c r="I489">
        <f>IF(Pipeline_Sort!$C489="","",INDEX(Pipeline_Calc!$J$2:$J$5251,Pipeline_Sort!$C489))</f>
        <v/>
      </c>
    </row>
    <row r="490">
      <c r="A490" s="22">
        <f>IF(Pipeline_Sort!$C490="","",INDEX(Pipeline_Calc!$B$2:$B$5251,Pipeline_Sort!$C490))</f>
        <v/>
      </c>
      <c r="B490">
        <f>IF(Pipeline_Sort!$C490="","",INDEX(Pipeline_Calc!$C$2:$C$5251,Pipeline_Sort!$C490))</f>
        <v/>
      </c>
      <c r="C490">
        <f>IF(Pipeline_Sort!$C490="","",INDEX(Pipeline_Calc!$D$2:$D$5251,Pipeline_Sort!$C490))</f>
        <v/>
      </c>
      <c r="D490">
        <f>IF(Pipeline_Sort!$C490="","",INDEX(Pipeline_Calc!$E$2:$E$5251,Pipeline_Sort!$C490))</f>
        <v/>
      </c>
      <c r="E490">
        <f>IF(Pipeline_Sort!$C490="","",INDEX(Pipeline_Calc!$F$2:$F$5251,Pipeline_Sort!$C490))</f>
        <v/>
      </c>
      <c r="F490">
        <f>IF(Pipeline_Sort!$C490="","",INDEX(Pipeline_Calc!$G$2:$G$5251,Pipeline_Sort!$C490))</f>
        <v/>
      </c>
      <c r="G490">
        <f>IF(Pipeline_Sort!$C490="","",INDEX(Pipeline_Calc!$H$2:$H$5251,Pipeline_Sort!$C490))</f>
        <v/>
      </c>
      <c r="H490">
        <f>IF(Pipeline_Sort!$C490="","",INDEX(Pipeline_Calc!$I$2:$I$5251,Pipeline_Sort!$C490))</f>
        <v/>
      </c>
      <c r="I490">
        <f>IF(Pipeline_Sort!$C490="","",INDEX(Pipeline_Calc!$J$2:$J$5251,Pipeline_Sort!$C490))</f>
        <v/>
      </c>
    </row>
    <row r="491">
      <c r="A491" s="22">
        <f>IF(Pipeline_Sort!$C491="","",INDEX(Pipeline_Calc!$B$2:$B$5251,Pipeline_Sort!$C491))</f>
        <v/>
      </c>
      <c r="B491">
        <f>IF(Pipeline_Sort!$C491="","",INDEX(Pipeline_Calc!$C$2:$C$5251,Pipeline_Sort!$C491))</f>
        <v/>
      </c>
      <c r="C491">
        <f>IF(Pipeline_Sort!$C491="","",INDEX(Pipeline_Calc!$D$2:$D$5251,Pipeline_Sort!$C491))</f>
        <v/>
      </c>
      <c r="D491">
        <f>IF(Pipeline_Sort!$C491="","",INDEX(Pipeline_Calc!$E$2:$E$5251,Pipeline_Sort!$C491))</f>
        <v/>
      </c>
      <c r="E491">
        <f>IF(Pipeline_Sort!$C491="","",INDEX(Pipeline_Calc!$F$2:$F$5251,Pipeline_Sort!$C491))</f>
        <v/>
      </c>
      <c r="F491">
        <f>IF(Pipeline_Sort!$C491="","",INDEX(Pipeline_Calc!$G$2:$G$5251,Pipeline_Sort!$C491))</f>
        <v/>
      </c>
      <c r="G491">
        <f>IF(Pipeline_Sort!$C491="","",INDEX(Pipeline_Calc!$H$2:$H$5251,Pipeline_Sort!$C491))</f>
        <v/>
      </c>
      <c r="H491">
        <f>IF(Pipeline_Sort!$C491="","",INDEX(Pipeline_Calc!$I$2:$I$5251,Pipeline_Sort!$C491))</f>
        <v/>
      </c>
      <c r="I491">
        <f>IF(Pipeline_Sort!$C491="","",INDEX(Pipeline_Calc!$J$2:$J$5251,Pipeline_Sort!$C491))</f>
        <v/>
      </c>
    </row>
    <row r="492">
      <c r="A492" s="22">
        <f>IF(Pipeline_Sort!$C492="","",INDEX(Pipeline_Calc!$B$2:$B$5251,Pipeline_Sort!$C492))</f>
        <v/>
      </c>
      <c r="B492">
        <f>IF(Pipeline_Sort!$C492="","",INDEX(Pipeline_Calc!$C$2:$C$5251,Pipeline_Sort!$C492))</f>
        <v/>
      </c>
      <c r="C492">
        <f>IF(Pipeline_Sort!$C492="","",INDEX(Pipeline_Calc!$D$2:$D$5251,Pipeline_Sort!$C492))</f>
        <v/>
      </c>
      <c r="D492">
        <f>IF(Pipeline_Sort!$C492="","",INDEX(Pipeline_Calc!$E$2:$E$5251,Pipeline_Sort!$C492))</f>
        <v/>
      </c>
      <c r="E492">
        <f>IF(Pipeline_Sort!$C492="","",INDEX(Pipeline_Calc!$F$2:$F$5251,Pipeline_Sort!$C492))</f>
        <v/>
      </c>
      <c r="F492">
        <f>IF(Pipeline_Sort!$C492="","",INDEX(Pipeline_Calc!$G$2:$G$5251,Pipeline_Sort!$C492))</f>
        <v/>
      </c>
      <c r="G492">
        <f>IF(Pipeline_Sort!$C492="","",INDEX(Pipeline_Calc!$H$2:$H$5251,Pipeline_Sort!$C492))</f>
        <v/>
      </c>
      <c r="H492">
        <f>IF(Pipeline_Sort!$C492="","",INDEX(Pipeline_Calc!$I$2:$I$5251,Pipeline_Sort!$C492))</f>
        <v/>
      </c>
      <c r="I492">
        <f>IF(Pipeline_Sort!$C492="","",INDEX(Pipeline_Calc!$J$2:$J$5251,Pipeline_Sort!$C492))</f>
        <v/>
      </c>
    </row>
    <row r="493">
      <c r="A493" s="22">
        <f>IF(Pipeline_Sort!$C493="","",INDEX(Pipeline_Calc!$B$2:$B$5251,Pipeline_Sort!$C493))</f>
        <v/>
      </c>
      <c r="B493">
        <f>IF(Pipeline_Sort!$C493="","",INDEX(Pipeline_Calc!$C$2:$C$5251,Pipeline_Sort!$C493))</f>
        <v/>
      </c>
      <c r="C493">
        <f>IF(Pipeline_Sort!$C493="","",INDEX(Pipeline_Calc!$D$2:$D$5251,Pipeline_Sort!$C493))</f>
        <v/>
      </c>
      <c r="D493">
        <f>IF(Pipeline_Sort!$C493="","",INDEX(Pipeline_Calc!$E$2:$E$5251,Pipeline_Sort!$C493))</f>
        <v/>
      </c>
      <c r="E493">
        <f>IF(Pipeline_Sort!$C493="","",INDEX(Pipeline_Calc!$F$2:$F$5251,Pipeline_Sort!$C493))</f>
        <v/>
      </c>
      <c r="F493">
        <f>IF(Pipeline_Sort!$C493="","",INDEX(Pipeline_Calc!$G$2:$G$5251,Pipeline_Sort!$C493))</f>
        <v/>
      </c>
      <c r="G493">
        <f>IF(Pipeline_Sort!$C493="","",INDEX(Pipeline_Calc!$H$2:$H$5251,Pipeline_Sort!$C493))</f>
        <v/>
      </c>
      <c r="H493">
        <f>IF(Pipeline_Sort!$C493="","",INDEX(Pipeline_Calc!$I$2:$I$5251,Pipeline_Sort!$C493))</f>
        <v/>
      </c>
      <c r="I493">
        <f>IF(Pipeline_Sort!$C493="","",INDEX(Pipeline_Calc!$J$2:$J$5251,Pipeline_Sort!$C493))</f>
        <v/>
      </c>
    </row>
    <row r="494">
      <c r="A494" s="22">
        <f>IF(Pipeline_Sort!$C494="","",INDEX(Pipeline_Calc!$B$2:$B$5251,Pipeline_Sort!$C494))</f>
        <v/>
      </c>
      <c r="B494">
        <f>IF(Pipeline_Sort!$C494="","",INDEX(Pipeline_Calc!$C$2:$C$5251,Pipeline_Sort!$C494))</f>
        <v/>
      </c>
      <c r="C494">
        <f>IF(Pipeline_Sort!$C494="","",INDEX(Pipeline_Calc!$D$2:$D$5251,Pipeline_Sort!$C494))</f>
        <v/>
      </c>
      <c r="D494">
        <f>IF(Pipeline_Sort!$C494="","",INDEX(Pipeline_Calc!$E$2:$E$5251,Pipeline_Sort!$C494))</f>
        <v/>
      </c>
      <c r="E494">
        <f>IF(Pipeline_Sort!$C494="","",INDEX(Pipeline_Calc!$F$2:$F$5251,Pipeline_Sort!$C494))</f>
        <v/>
      </c>
      <c r="F494">
        <f>IF(Pipeline_Sort!$C494="","",INDEX(Pipeline_Calc!$G$2:$G$5251,Pipeline_Sort!$C494))</f>
        <v/>
      </c>
      <c r="G494">
        <f>IF(Pipeline_Sort!$C494="","",INDEX(Pipeline_Calc!$H$2:$H$5251,Pipeline_Sort!$C494))</f>
        <v/>
      </c>
      <c r="H494">
        <f>IF(Pipeline_Sort!$C494="","",INDEX(Pipeline_Calc!$I$2:$I$5251,Pipeline_Sort!$C494))</f>
        <v/>
      </c>
      <c r="I494">
        <f>IF(Pipeline_Sort!$C494="","",INDEX(Pipeline_Calc!$J$2:$J$5251,Pipeline_Sort!$C494))</f>
        <v/>
      </c>
    </row>
    <row r="495">
      <c r="A495" s="22">
        <f>IF(Pipeline_Sort!$C495="","",INDEX(Pipeline_Calc!$B$2:$B$5251,Pipeline_Sort!$C495))</f>
        <v/>
      </c>
      <c r="B495">
        <f>IF(Pipeline_Sort!$C495="","",INDEX(Pipeline_Calc!$C$2:$C$5251,Pipeline_Sort!$C495))</f>
        <v/>
      </c>
      <c r="C495">
        <f>IF(Pipeline_Sort!$C495="","",INDEX(Pipeline_Calc!$D$2:$D$5251,Pipeline_Sort!$C495))</f>
        <v/>
      </c>
      <c r="D495">
        <f>IF(Pipeline_Sort!$C495="","",INDEX(Pipeline_Calc!$E$2:$E$5251,Pipeline_Sort!$C495))</f>
        <v/>
      </c>
      <c r="E495">
        <f>IF(Pipeline_Sort!$C495="","",INDEX(Pipeline_Calc!$F$2:$F$5251,Pipeline_Sort!$C495))</f>
        <v/>
      </c>
      <c r="F495">
        <f>IF(Pipeline_Sort!$C495="","",INDEX(Pipeline_Calc!$G$2:$G$5251,Pipeline_Sort!$C495))</f>
        <v/>
      </c>
      <c r="G495">
        <f>IF(Pipeline_Sort!$C495="","",INDEX(Pipeline_Calc!$H$2:$H$5251,Pipeline_Sort!$C495))</f>
        <v/>
      </c>
      <c r="H495">
        <f>IF(Pipeline_Sort!$C495="","",INDEX(Pipeline_Calc!$I$2:$I$5251,Pipeline_Sort!$C495))</f>
        <v/>
      </c>
      <c r="I495">
        <f>IF(Pipeline_Sort!$C495="","",INDEX(Pipeline_Calc!$J$2:$J$5251,Pipeline_Sort!$C495))</f>
        <v/>
      </c>
    </row>
    <row r="496">
      <c r="A496" s="22">
        <f>IF(Pipeline_Sort!$C496="","",INDEX(Pipeline_Calc!$B$2:$B$5251,Pipeline_Sort!$C496))</f>
        <v/>
      </c>
      <c r="B496">
        <f>IF(Pipeline_Sort!$C496="","",INDEX(Pipeline_Calc!$C$2:$C$5251,Pipeline_Sort!$C496))</f>
        <v/>
      </c>
      <c r="C496">
        <f>IF(Pipeline_Sort!$C496="","",INDEX(Pipeline_Calc!$D$2:$D$5251,Pipeline_Sort!$C496))</f>
        <v/>
      </c>
      <c r="D496">
        <f>IF(Pipeline_Sort!$C496="","",INDEX(Pipeline_Calc!$E$2:$E$5251,Pipeline_Sort!$C496))</f>
        <v/>
      </c>
      <c r="E496">
        <f>IF(Pipeline_Sort!$C496="","",INDEX(Pipeline_Calc!$F$2:$F$5251,Pipeline_Sort!$C496))</f>
        <v/>
      </c>
      <c r="F496">
        <f>IF(Pipeline_Sort!$C496="","",INDEX(Pipeline_Calc!$G$2:$G$5251,Pipeline_Sort!$C496))</f>
        <v/>
      </c>
      <c r="G496">
        <f>IF(Pipeline_Sort!$C496="","",INDEX(Pipeline_Calc!$H$2:$H$5251,Pipeline_Sort!$C496))</f>
        <v/>
      </c>
      <c r="H496">
        <f>IF(Pipeline_Sort!$C496="","",INDEX(Pipeline_Calc!$I$2:$I$5251,Pipeline_Sort!$C496))</f>
        <v/>
      </c>
      <c r="I496">
        <f>IF(Pipeline_Sort!$C496="","",INDEX(Pipeline_Calc!$J$2:$J$5251,Pipeline_Sort!$C496))</f>
        <v/>
      </c>
    </row>
    <row r="497">
      <c r="A497" s="22">
        <f>IF(Pipeline_Sort!$C497="","",INDEX(Pipeline_Calc!$B$2:$B$5251,Pipeline_Sort!$C497))</f>
        <v/>
      </c>
      <c r="B497">
        <f>IF(Pipeline_Sort!$C497="","",INDEX(Pipeline_Calc!$C$2:$C$5251,Pipeline_Sort!$C497))</f>
        <v/>
      </c>
      <c r="C497">
        <f>IF(Pipeline_Sort!$C497="","",INDEX(Pipeline_Calc!$D$2:$D$5251,Pipeline_Sort!$C497))</f>
        <v/>
      </c>
      <c r="D497">
        <f>IF(Pipeline_Sort!$C497="","",INDEX(Pipeline_Calc!$E$2:$E$5251,Pipeline_Sort!$C497))</f>
        <v/>
      </c>
      <c r="E497">
        <f>IF(Pipeline_Sort!$C497="","",INDEX(Pipeline_Calc!$F$2:$F$5251,Pipeline_Sort!$C497))</f>
        <v/>
      </c>
      <c r="F497">
        <f>IF(Pipeline_Sort!$C497="","",INDEX(Pipeline_Calc!$G$2:$G$5251,Pipeline_Sort!$C497))</f>
        <v/>
      </c>
      <c r="G497">
        <f>IF(Pipeline_Sort!$C497="","",INDEX(Pipeline_Calc!$H$2:$H$5251,Pipeline_Sort!$C497))</f>
        <v/>
      </c>
      <c r="H497">
        <f>IF(Pipeline_Sort!$C497="","",INDEX(Pipeline_Calc!$I$2:$I$5251,Pipeline_Sort!$C497))</f>
        <v/>
      </c>
      <c r="I497">
        <f>IF(Pipeline_Sort!$C497="","",INDEX(Pipeline_Calc!$J$2:$J$5251,Pipeline_Sort!$C497))</f>
        <v/>
      </c>
    </row>
    <row r="498">
      <c r="A498" s="22">
        <f>IF(Pipeline_Sort!$C498="","",INDEX(Pipeline_Calc!$B$2:$B$5251,Pipeline_Sort!$C498))</f>
        <v/>
      </c>
      <c r="B498">
        <f>IF(Pipeline_Sort!$C498="","",INDEX(Pipeline_Calc!$C$2:$C$5251,Pipeline_Sort!$C498))</f>
        <v/>
      </c>
      <c r="C498">
        <f>IF(Pipeline_Sort!$C498="","",INDEX(Pipeline_Calc!$D$2:$D$5251,Pipeline_Sort!$C498))</f>
        <v/>
      </c>
      <c r="D498">
        <f>IF(Pipeline_Sort!$C498="","",INDEX(Pipeline_Calc!$E$2:$E$5251,Pipeline_Sort!$C498))</f>
        <v/>
      </c>
      <c r="E498">
        <f>IF(Pipeline_Sort!$C498="","",INDEX(Pipeline_Calc!$F$2:$F$5251,Pipeline_Sort!$C498))</f>
        <v/>
      </c>
      <c r="F498">
        <f>IF(Pipeline_Sort!$C498="","",INDEX(Pipeline_Calc!$G$2:$G$5251,Pipeline_Sort!$C498))</f>
        <v/>
      </c>
      <c r="G498">
        <f>IF(Pipeline_Sort!$C498="","",INDEX(Pipeline_Calc!$H$2:$H$5251,Pipeline_Sort!$C498))</f>
        <v/>
      </c>
      <c r="H498">
        <f>IF(Pipeline_Sort!$C498="","",INDEX(Pipeline_Calc!$I$2:$I$5251,Pipeline_Sort!$C498))</f>
        <v/>
      </c>
      <c r="I498">
        <f>IF(Pipeline_Sort!$C498="","",INDEX(Pipeline_Calc!$J$2:$J$5251,Pipeline_Sort!$C498))</f>
        <v/>
      </c>
    </row>
    <row r="499">
      <c r="A499" s="22">
        <f>IF(Pipeline_Sort!$C499="","",INDEX(Pipeline_Calc!$B$2:$B$5251,Pipeline_Sort!$C499))</f>
        <v/>
      </c>
      <c r="B499">
        <f>IF(Pipeline_Sort!$C499="","",INDEX(Pipeline_Calc!$C$2:$C$5251,Pipeline_Sort!$C499))</f>
        <v/>
      </c>
      <c r="C499">
        <f>IF(Pipeline_Sort!$C499="","",INDEX(Pipeline_Calc!$D$2:$D$5251,Pipeline_Sort!$C499))</f>
        <v/>
      </c>
      <c r="D499">
        <f>IF(Pipeline_Sort!$C499="","",INDEX(Pipeline_Calc!$E$2:$E$5251,Pipeline_Sort!$C499))</f>
        <v/>
      </c>
      <c r="E499">
        <f>IF(Pipeline_Sort!$C499="","",INDEX(Pipeline_Calc!$F$2:$F$5251,Pipeline_Sort!$C499))</f>
        <v/>
      </c>
      <c r="F499">
        <f>IF(Pipeline_Sort!$C499="","",INDEX(Pipeline_Calc!$G$2:$G$5251,Pipeline_Sort!$C499))</f>
        <v/>
      </c>
      <c r="G499">
        <f>IF(Pipeline_Sort!$C499="","",INDEX(Pipeline_Calc!$H$2:$H$5251,Pipeline_Sort!$C499))</f>
        <v/>
      </c>
      <c r="H499">
        <f>IF(Pipeline_Sort!$C499="","",INDEX(Pipeline_Calc!$I$2:$I$5251,Pipeline_Sort!$C499))</f>
        <v/>
      </c>
      <c r="I499">
        <f>IF(Pipeline_Sort!$C499="","",INDEX(Pipeline_Calc!$J$2:$J$5251,Pipeline_Sort!$C499))</f>
        <v/>
      </c>
    </row>
    <row r="500">
      <c r="A500" s="22">
        <f>IF(Pipeline_Sort!$C500="","",INDEX(Pipeline_Calc!$B$2:$B$5251,Pipeline_Sort!$C500))</f>
        <v/>
      </c>
      <c r="B500">
        <f>IF(Pipeline_Sort!$C500="","",INDEX(Pipeline_Calc!$C$2:$C$5251,Pipeline_Sort!$C500))</f>
        <v/>
      </c>
      <c r="C500">
        <f>IF(Pipeline_Sort!$C500="","",INDEX(Pipeline_Calc!$D$2:$D$5251,Pipeline_Sort!$C500))</f>
        <v/>
      </c>
      <c r="D500">
        <f>IF(Pipeline_Sort!$C500="","",INDEX(Pipeline_Calc!$E$2:$E$5251,Pipeline_Sort!$C500))</f>
        <v/>
      </c>
      <c r="E500">
        <f>IF(Pipeline_Sort!$C500="","",INDEX(Pipeline_Calc!$F$2:$F$5251,Pipeline_Sort!$C500))</f>
        <v/>
      </c>
      <c r="F500">
        <f>IF(Pipeline_Sort!$C500="","",INDEX(Pipeline_Calc!$G$2:$G$5251,Pipeline_Sort!$C500))</f>
        <v/>
      </c>
      <c r="G500">
        <f>IF(Pipeline_Sort!$C500="","",INDEX(Pipeline_Calc!$H$2:$H$5251,Pipeline_Sort!$C500))</f>
        <v/>
      </c>
      <c r="H500">
        <f>IF(Pipeline_Sort!$C500="","",INDEX(Pipeline_Calc!$I$2:$I$5251,Pipeline_Sort!$C500))</f>
        <v/>
      </c>
      <c r="I500">
        <f>IF(Pipeline_Sort!$C500="","",INDEX(Pipeline_Calc!$J$2:$J$5251,Pipeline_Sort!$C500))</f>
        <v/>
      </c>
    </row>
    <row r="501">
      <c r="A501" s="22">
        <f>IF(Pipeline_Sort!$C501="","",INDEX(Pipeline_Calc!$B$2:$B$5251,Pipeline_Sort!$C501))</f>
        <v/>
      </c>
      <c r="B501">
        <f>IF(Pipeline_Sort!$C501="","",INDEX(Pipeline_Calc!$C$2:$C$5251,Pipeline_Sort!$C501))</f>
        <v/>
      </c>
      <c r="C501">
        <f>IF(Pipeline_Sort!$C501="","",INDEX(Pipeline_Calc!$D$2:$D$5251,Pipeline_Sort!$C501))</f>
        <v/>
      </c>
      <c r="D501">
        <f>IF(Pipeline_Sort!$C501="","",INDEX(Pipeline_Calc!$E$2:$E$5251,Pipeline_Sort!$C501))</f>
        <v/>
      </c>
      <c r="E501">
        <f>IF(Pipeline_Sort!$C501="","",INDEX(Pipeline_Calc!$F$2:$F$5251,Pipeline_Sort!$C501))</f>
        <v/>
      </c>
      <c r="F501">
        <f>IF(Pipeline_Sort!$C501="","",INDEX(Pipeline_Calc!$G$2:$G$5251,Pipeline_Sort!$C501))</f>
        <v/>
      </c>
      <c r="G501">
        <f>IF(Pipeline_Sort!$C501="","",INDEX(Pipeline_Calc!$H$2:$H$5251,Pipeline_Sort!$C501))</f>
        <v/>
      </c>
      <c r="H501">
        <f>IF(Pipeline_Sort!$C501="","",INDEX(Pipeline_Calc!$I$2:$I$5251,Pipeline_Sort!$C501))</f>
        <v/>
      </c>
      <c r="I501">
        <f>IF(Pipeline_Sort!$C501="","",INDEX(Pipeline_Calc!$J$2:$J$5251,Pipeline_Sort!$C501))</f>
        <v/>
      </c>
    </row>
    <row r="502">
      <c r="A502" s="22">
        <f>IF(Pipeline_Sort!$C502="","",INDEX(Pipeline_Calc!$B$2:$B$5251,Pipeline_Sort!$C502))</f>
        <v/>
      </c>
      <c r="B502">
        <f>IF(Pipeline_Sort!$C502="","",INDEX(Pipeline_Calc!$C$2:$C$5251,Pipeline_Sort!$C502))</f>
        <v/>
      </c>
      <c r="C502">
        <f>IF(Pipeline_Sort!$C502="","",INDEX(Pipeline_Calc!$D$2:$D$5251,Pipeline_Sort!$C502))</f>
        <v/>
      </c>
      <c r="D502">
        <f>IF(Pipeline_Sort!$C502="","",INDEX(Pipeline_Calc!$E$2:$E$5251,Pipeline_Sort!$C502))</f>
        <v/>
      </c>
      <c r="E502">
        <f>IF(Pipeline_Sort!$C502="","",INDEX(Pipeline_Calc!$F$2:$F$5251,Pipeline_Sort!$C502))</f>
        <v/>
      </c>
      <c r="F502">
        <f>IF(Pipeline_Sort!$C502="","",INDEX(Pipeline_Calc!$G$2:$G$5251,Pipeline_Sort!$C502))</f>
        <v/>
      </c>
      <c r="G502">
        <f>IF(Pipeline_Sort!$C502="","",INDEX(Pipeline_Calc!$H$2:$H$5251,Pipeline_Sort!$C502))</f>
        <v/>
      </c>
      <c r="H502">
        <f>IF(Pipeline_Sort!$C502="","",INDEX(Pipeline_Calc!$I$2:$I$5251,Pipeline_Sort!$C502))</f>
        <v/>
      </c>
      <c r="I502">
        <f>IF(Pipeline_Sort!$C502="","",INDEX(Pipeline_Calc!$J$2:$J$5251,Pipeline_Sort!$C502))</f>
        <v/>
      </c>
    </row>
    <row r="503">
      <c r="A503" s="22">
        <f>IF(Pipeline_Sort!$C503="","",INDEX(Pipeline_Calc!$B$2:$B$5251,Pipeline_Sort!$C503))</f>
        <v/>
      </c>
      <c r="B503">
        <f>IF(Pipeline_Sort!$C503="","",INDEX(Pipeline_Calc!$C$2:$C$5251,Pipeline_Sort!$C503))</f>
        <v/>
      </c>
      <c r="C503">
        <f>IF(Pipeline_Sort!$C503="","",INDEX(Pipeline_Calc!$D$2:$D$5251,Pipeline_Sort!$C503))</f>
        <v/>
      </c>
      <c r="D503">
        <f>IF(Pipeline_Sort!$C503="","",INDEX(Pipeline_Calc!$E$2:$E$5251,Pipeline_Sort!$C503))</f>
        <v/>
      </c>
      <c r="E503">
        <f>IF(Pipeline_Sort!$C503="","",INDEX(Pipeline_Calc!$F$2:$F$5251,Pipeline_Sort!$C503))</f>
        <v/>
      </c>
      <c r="F503">
        <f>IF(Pipeline_Sort!$C503="","",INDEX(Pipeline_Calc!$G$2:$G$5251,Pipeline_Sort!$C503))</f>
        <v/>
      </c>
      <c r="G503">
        <f>IF(Pipeline_Sort!$C503="","",INDEX(Pipeline_Calc!$H$2:$H$5251,Pipeline_Sort!$C503))</f>
        <v/>
      </c>
      <c r="H503">
        <f>IF(Pipeline_Sort!$C503="","",INDEX(Pipeline_Calc!$I$2:$I$5251,Pipeline_Sort!$C503))</f>
        <v/>
      </c>
      <c r="I503">
        <f>IF(Pipeline_Sort!$C503="","",INDEX(Pipeline_Calc!$J$2:$J$5251,Pipeline_Sort!$C503))</f>
        <v/>
      </c>
    </row>
    <row r="504">
      <c r="A504" s="22">
        <f>IF(Pipeline_Sort!$C504="","",INDEX(Pipeline_Calc!$B$2:$B$5251,Pipeline_Sort!$C504))</f>
        <v/>
      </c>
      <c r="B504">
        <f>IF(Pipeline_Sort!$C504="","",INDEX(Pipeline_Calc!$C$2:$C$5251,Pipeline_Sort!$C504))</f>
        <v/>
      </c>
      <c r="C504">
        <f>IF(Pipeline_Sort!$C504="","",INDEX(Pipeline_Calc!$D$2:$D$5251,Pipeline_Sort!$C504))</f>
        <v/>
      </c>
      <c r="D504">
        <f>IF(Pipeline_Sort!$C504="","",INDEX(Pipeline_Calc!$E$2:$E$5251,Pipeline_Sort!$C504))</f>
        <v/>
      </c>
      <c r="E504">
        <f>IF(Pipeline_Sort!$C504="","",INDEX(Pipeline_Calc!$F$2:$F$5251,Pipeline_Sort!$C504))</f>
        <v/>
      </c>
      <c r="F504">
        <f>IF(Pipeline_Sort!$C504="","",INDEX(Pipeline_Calc!$G$2:$G$5251,Pipeline_Sort!$C504))</f>
        <v/>
      </c>
      <c r="G504">
        <f>IF(Pipeline_Sort!$C504="","",INDEX(Pipeline_Calc!$H$2:$H$5251,Pipeline_Sort!$C504))</f>
        <v/>
      </c>
      <c r="H504">
        <f>IF(Pipeline_Sort!$C504="","",INDEX(Pipeline_Calc!$I$2:$I$5251,Pipeline_Sort!$C504))</f>
        <v/>
      </c>
      <c r="I504">
        <f>IF(Pipeline_Sort!$C504="","",INDEX(Pipeline_Calc!$J$2:$J$5251,Pipeline_Sort!$C504))</f>
        <v/>
      </c>
    </row>
    <row r="505">
      <c r="A505" s="22">
        <f>IF(Pipeline_Sort!$C505="","",INDEX(Pipeline_Calc!$B$2:$B$5251,Pipeline_Sort!$C505))</f>
        <v/>
      </c>
      <c r="B505">
        <f>IF(Pipeline_Sort!$C505="","",INDEX(Pipeline_Calc!$C$2:$C$5251,Pipeline_Sort!$C505))</f>
        <v/>
      </c>
      <c r="C505">
        <f>IF(Pipeline_Sort!$C505="","",INDEX(Pipeline_Calc!$D$2:$D$5251,Pipeline_Sort!$C505))</f>
        <v/>
      </c>
      <c r="D505">
        <f>IF(Pipeline_Sort!$C505="","",INDEX(Pipeline_Calc!$E$2:$E$5251,Pipeline_Sort!$C505))</f>
        <v/>
      </c>
      <c r="E505">
        <f>IF(Pipeline_Sort!$C505="","",INDEX(Pipeline_Calc!$F$2:$F$5251,Pipeline_Sort!$C505))</f>
        <v/>
      </c>
      <c r="F505">
        <f>IF(Pipeline_Sort!$C505="","",INDEX(Pipeline_Calc!$G$2:$G$5251,Pipeline_Sort!$C505))</f>
        <v/>
      </c>
      <c r="G505">
        <f>IF(Pipeline_Sort!$C505="","",INDEX(Pipeline_Calc!$H$2:$H$5251,Pipeline_Sort!$C505))</f>
        <v/>
      </c>
      <c r="H505">
        <f>IF(Pipeline_Sort!$C505="","",INDEX(Pipeline_Calc!$I$2:$I$5251,Pipeline_Sort!$C505))</f>
        <v/>
      </c>
      <c r="I505">
        <f>IF(Pipeline_Sort!$C505="","",INDEX(Pipeline_Calc!$J$2:$J$5251,Pipeline_Sort!$C505))</f>
        <v/>
      </c>
    </row>
    <row r="506">
      <c r="A506" s="22">
        <f>IF(Pipeline_Sort!$C506="","",INDEX(Pipeline_Calc!$B$2:$B$5251,Pipeline_Sort!$C506))</f>
        <v/>
      </c>
      <c r="B506">
        <f>IF(Pipeline_Sort!$C506="","",INDEX(Pipeline_Calc!$C$2:$C$5251,Pipeline_Sort!$C506))</f>
        <v/>
      </c>
      <c r="C506">
        <f>IF(Pipeline_Sort!$C506="","",INDEX(Pipeline_Calc!$D$2:$D$5251,Pipeline_Sort!$C506))</f>
        <v/>
      </c>
      <c r="D506">
        <f>IF(Pipeline_Sort!$C506="","",INDEX(Pipeline_Calc!$E$2:$E$5251,Pipeline_Sort!$C506))</f>
        <v/>
      </c>
      <c r="E506">
        <f>IF(Pipeline_Sort!$C506="","",INDEX(Pipeline_Calc!$F$2:$F$5251,Pipeline_Sort!$C506))</f>
        <v/>
      </c>
      <c r="F506">
        <f>IF(Pipeline_Sort!$C506="","",INDEX(Pipeline_Calc!$G$2:$G$5251,Pipeline_Sort!$C506))</f>
        <v/>
      </c>
      <c r="G506">
        <f>IF(Pipeline_Sort!$C506="","",INDEX(Pipeline_Calc!$H$2:$H$5251,Pipeline_Sort!$C506))</f>
        <v/>
      </c>
      <c r="H506">
        <f>IF(Pipeline_Sort!$C506="","",INDEX(Pipeline_Calc!$I$2:$I$5251,Pipeline_Sort!$C506))</f>
        <v/>
      </c>
      <c r="I506">
        <f>IF(Pipeline_Sort!$C506="","",INDEX(Pipeline_Calc!$J$2:$J$5251,Pipeline_Sort!$C506))</f>
        <v/>
      </c>
    </row>
    <row r="507">
      <c r="A507" s="22">
        <f>IF(Pipeline_Sort!$C507="","",INDEX(Pipeline_Calc!$B$2:$B$5251,Pipeline_Sort!$C507))</f>
        <v/>
      </c>
      <c r="B507">
        <f>IF(Pipeline_Sort!$C507="","",INDEX(Pipeline_Calc!$C$2:$C$5251,Pipeline_Sort!$C507))</f>
        <v/>
      </c>
      <c r="C507">
        <f>IF(Pipeline_Sort!$C507="","",INDEX(Pipeline_Calc!$D$2:$D$5251,Pipeline_Sort!$C507))</f>
        <v/>
      </c>
      <c r="D507">
        <f>IF(Pipeline_Sort!$C507="","",INDEX(Pipeline_Calc!$E$2:$E$5251,Pipeline_Sort!$C507))</f>
        <v/>
      </c>
      <c r="E507">
        <f>IF(Pipeline_Sort!$C507="","",INDEX(Pipeline_Calc!$F$2:$F$5251,Pipeline_Sort!$C507))</f>
        <v/>
      </c>
      <c r="F507">
        <f>IF(Pipeline_Sort!$C507="","",INDEX(Pipeline_Calc!$G$2:$G$5251,Pipeline_Sort!$C507))</f>
        <v/>
      </c>
      <c r="G507">
        <f>IF(Pipeline_Sort!$C507="","",INDEX(Pipeline_Calc!$H$2:$H$5251,Pipeline_Sort!$C507))</f>
        <v/>
      </c>
      <c r="H507">
        <f>IF(Pipeline_Sort!$C507="","",INDEX(Pipeline_Calc!$I$2:$I$5251,Pipeline_Sort!$C507))</f>
        <v/>
      </c>
      <c r="I507">
        <f>IF(Pipeline_Sort!$C507="","",INDEX(Pipeline_Calc!$J$2:$J$5251,Pipeline_Sort!$C507))</f>
        <v/>
      </c>
    </row>
    <row r="508">
      <c r="A508" s="22">
        <f>IF(Pipeline_Sort!$C508="","",INDEX(Pipeline_Calc!$B$2:$B$5251,Pipeline_Sort!$C508))</f>
        <v/>
      </c>
      <c r="B508">
        <f>IF(Pipeline_Sort!$C508="","",INDEX(Pipeline_Calc!$C$2:$C$5251,Pipeline_Sort!$C508))</f>
        <v/>
      </c>
      <c r="C508">
        <f>IF(Pipeline_Sort!$C508="","",INDEX(Pipeline_Calc!$D$2:$D$5251,Pipeline_Sort!$C508))</f>
        <v/>
      </c>
      <c r="D508">
        <f>IF(Pipeline_Sort!$C508="","",INDEX(Pipeline_Calc!$E$2:$E$5251,Pipeline_Sort!$C508))</f>
        <v/>
      </c>
      <c r="E508">
        <f>IF(Pipeline_Sort!$C508="","",INDEX(Pipeline_Calc!$F$2:$F$5251,Pipeline_Sort!$C508))</f>
        <v/>
      </c>
      <c r="F508">
        <f>IF(Pipeline_Sort!$C508="","",INDEX(Pipeline_Calc!$G$2:$G$5251,Pipeline_Sort!$C508))</f>
        <v/>
      </c>
      <c r="G508">
        <f>IF(Pipeline_Sort!$C508="","",INDEX(Pipeline_Calc!$H$2:$H$5251,Pipeline_Sort!$C508))</f>
        <v/>
      </c>
      <c r="H508">
        <f>IF(Pipeline_Sort!$C508="","",INDEX(Pipeline_Calc!$I$2:$I$5251,Pipeline_Sort!$C508))</f>
        <v/>
      </c>
      <c r="I508">
        <f>IF(Pipeline_Sort!$C508="","",INDEX(Pipeline_Calc!$J$2:$J$5251,Pipeline_Sort!$C508))</f>
        <v/>
      </c>
    </row>
    <row r="509">
      <c r="A509" s="22">
        <f>IF(Pipeline_Sort!$C509="","",INDEX(Pipeline_Calc!$B$2:$B$5251,Pipeline_Sort!$C509))</f>
        <v/>
      </c>
      <c r="B509">
        <f>IF(Pipeline_Sort!$C509="","",INDEX(Pipeline_Calc!$C$2:$C$5251,Pipeline_Sort!$C509))</f>
        <v/>
      </c>
      <c r="C509">
        <f>IF(Pipeline_Sort!$C509="","",INDEX(Pipeline_Calc!$D$2:$D$5251,Pipeline_Sort!$C509))</f>
        <v/>
      </c>
      <c r="D509">
        <f>IF(Pipeline_Sort!$C509="","",INDEX(Pipeline_Calc!$E$2:$E$5251,Pipeline_Sort!$C509))</f>
        <v/>
      </c>
      <c r="E509">
        <f>IF(Pipeline_Sort!$C509="","",INDEX(Pipeline_Calc!$F$2:$F$5251,Pipeline_Sort!$C509))</f>
        <v/>
      </c>
      <c r="F509">
        <f>IF(Pipeline_Sort!$C509="","",INDEX(Pipeline_Calc!$G$2:$G$5251,Pipeline_Sort!$C509))</f>
        <v/>
      </c>
      <c r="G509">
        <f>IF(Pipeline_Sort!$C509="","",INDEX(Pipeline_Calc!$H$2:$H$5251,Pipeline_Sort!$C509))</f>
        <v/>
      </c>
      <c r="H509">
        <f>IF(Pipeline_Sort!$C509="","",INDEX(Pipeline_Calc!$I$2:$I$5251,Pipeline_Sort!$C509))</f>
        <v/>
      </c>
      <c r="I509">
        <f>IF(Pipeline_Sort!$C509="","",INDEX(Pipeline_Calc!$J$2:$J$5251,Pipeline_Sort!$C509))</f>
        <v/>
      </c>
    </row>
    <row r="510">
      <c r="A510" s="22">
        <f>IF(Pipeline_Sort!$C510="","",INDEX(Pipeline_Calc!$B$2:$B$5251,Pipeline_Sort!$C510))</f>
        <v/>
      </c>
      <c r="B510">
        <f>IF(Pipeline_Sort!$C510="","",INDEX(Pipeline_Calc!$C$2:$C$5251,Pipeline_Sort!$C510))</f>
        <v/>
      </c>
      <c r="C510">
        <f>IF(Pipeline_Sort!$C510="","",INDEX(Pipeline_Calc!$D$2:$D$5251,Pipeline_Sort!$C510))</f>
        <v/>
      </c>
      <c r="D510">
        <f>IF(Pipeline_Sort!$C510="","",INDEX(Pipeline_Calc!$E$2:$E$5251,Pipeline_Sort!$C510))</f>
        <v/>
      </c>
      <c r="E510">
        <f>IF(Pipeline_Sort!$C510="","",INDEX(Pipeline_Calc!$F$2:$F$5251,Pipeline_Sort!$C510))</f>
        <v/>
      </c>
      <c r="F510">
        <f>IF(Pipeline_Sort!$C510="","",INDEX(Pipeline_Calc!$G$2:$G$5251,Pipeline_Sort!$C510))</f>
        <v/>
      </c>
      <c r="G510">
        <f>IF(Pipeline_Sort!$C510="","",INDEX(Pipeline_Calc!$H$2:$H$5251,Pipeline_Sort!$C510))</f>
        <v/>
      </c>
      <c r="H510">
        <f>IF(Pipeline_Sort!$C510="","",INDEX(Pipeline_Calc!$I$2:$I$5251,Pipeline_Sort!$C510))</f>
        <v/>
      </c>
      <c r="I510">
        <f>IF(Pipeline_Sort!$C510="","",INDEX(Pipeline_Calc!$J$2:$J$5251,Pipeline_Sort!$C510))</f>
        <v/>
      </c>
    </row>
    <row r="511">
      <c r="A511" s="22">
        <f>IF(Pipeline_Sort!$C511="","",INDEX(Pipeline_Calc!$B$2:$B$5251,Pipeline_Sort!$C511))</f>
        <v/>
      </c>
      <c r="B511">
        <f>IF(Pipeline_Sort!$C511="","",INDEX(Pipeline_Calc!$C$2:$C$5251,Pipeline_Sort!$C511))</f>
        <v/>
      </c>
      <c r="C511">
        <f>IF(Pipeline_Sort!$C511="","",INDEX(Pipeline_Calc!$D$2:$D$5251,Pipeline_Sort!$C511))</f>
        <v/>
      </c>
      <c r="D511">
        <f>IF(Pipeline_Sort!$C511="","",INDEX(Pipeline_Calc!$E$2:$E$5251,Pipeline_Sort!$C511))</f>
        <v/>
      </c>
      <c r="E511">
        <f>IF(Pipeline_Sort!$C511="","",INDEX(Pipeline_Calc!$F$2:$F$5251,Pipeline_Sort!$C511))</f>
        <v/>
      </c>
      <c r="F511">
        <f>IF(Pipeline_Sort!$C511="","",INDEX(Pipeline_Calc!$G$2:$G$5251,Pipeline_Sort!$C511))</f>
        <v/>
      </c>
      <c r="G511">
        <f>IF(Pipeline_Sort!$C511="","",INDEX(Pipeline_Calc!$H$2:$H$5251,Pipeline_Sort!$C511))</f>
        <v/>
      </c>
      <c r="H511">
        <f>IF(Pipeline_Sort!$C511="","",INDEX(Pipeline_Calc!$I$2:$I$5251,Pipeline_Sort!$C511))</f>
        <v/>
      </c>
      <c r="I511">
        <f>IF(Pipeline_Sort!$C511="","",INDEX(Pipeline_Calc!$J$2:$J$5251,Pipeline_Sort!$C511))</f>
        <v/>
      </c>
    </row>
    <row r="512">
      <c r="A512" s="22">
        <f>IF(Pipeline_Sort!$C512="","",INDEX(Pipeline_Calc!$B$2:$B$5251,Pipeline_Sort!$C512))</f>
        <v/>
      </c>
      <c r="B512">
        <f>IF(Pipeline_Sort!$C512="","",INDEX(Pipeline_Calc!$C$2:$C$5251,Pipeline_Sort!$C512))</f>
        <v/>
      </c>
      <c r="C512">
        <f>IF(Pipeline_Sort!$C512="","",INDEX(Pipeline_Calc!$D$2:$D$5251,Pipeline_Sort!$C512))</f>
        <v/>
      </c>
      <c r="D512">
        <f>IF(Pipeline_Sort!$C512="","",INDEX(Pipeline_Calc!$E$2:$E$5251,Pipeline_Sort!$C512))</f>
        <v/>
      </c>
      <c r="E512">
        <f>IF(Pipeline_Sort!$C512="","",INDEX(Pipeline_Calc!$F$2:$F$5251,Pipeline_Sort!$C512))</f>
        <v/>
      </c>
      <c r="F512">
        <f>IF(Pipeline_Sort!$C512="","",INDEX(Pipeline_Calc!$G$2:$G$5251,Pipeline_Sort!$C512))</f>
        <v/>
      </c>
      <c r="G512">
        <f>IF(Pipeline_Sort!$C512="","",INDEX(Pipeline_Calc!$H$2:$H$5251,Pipeline_Sort!$C512))</f>
        <v/>
      </c>
      <c r="H512">
        <f>IF(Pipeline_Sort!$C512="","",INDEX(Pipeline_Calc!$I$2:$I$5251,Pipeline_Sort!$C512))</f>
        <v/>
      </c>
      <c r="I512">
        <f>IF(Pipeline_Sort!$C512="","",INDEX(Pipeline_Calc!$J$2:$J$5251,Pipeline_Sort!$C512))</f>
        <v/>
      </c>
    </row>
    <row r="513">
      <c r="A513" s="22">
        <f>IF(Pipeline_Sort!$C513="","",INDEX(Pipeline_Calc!$B$2:$B$5251,Pipeline_Sort!$C513))</f>
        <v/>
      </c>
      <c r="B513">
        <f>IF(Pipeline_Sort!$C513="","",INDEX(Pipeline_Calc!$C$2:$C$5251,Pipeline_Sort!$C513))</f>
        <v/>
      </c>
      <c r="C513">
        <f>IF(Pipeline_Sort!$C513="","",INDEX(Pipeline_Calc!$D$2:$D$5251,Pipeline_Sort!$C513))</f>
        <v/>
      </c>
      <c r="D513">
        <f>IF(Pipeline_Sort!$C513="","",INDEX(Pipeline_Calc!$E$2:$E$5251,Pipeline_Sort!$C513))</f>
        <v/>
      </c>
      <c r="E513">
        <f>IF(Pipeline_Sort!$C513="","",INDEX(Pipeline_Calc!$F$2:$F$5251,Pipeline_Sort!$C513))</f>
        <v/>
      </c>
      <c r="F513">
        <f>IF(Pipeline_Sort!$C513="","",INDEX(Pipeline_Calc!$G$2:$G$5251,Pipeline_Sort!$C513))</f>
        <v/>
      </c>
      <c r="G513">
        <f>IF(Pipeline_Sort!$C513="","",INDEX(Pipeline_Calc!$H$2:$H$5251,Pipeline_Sort!$C513))</f>
        <v/>
      </c>
      <c r="H513">
        <f>IF(Pipeline_Sort!$C513="","",INDEX(Pipeline_Calc!$I$2:$I$5251,Pipeline_Sort!$C513))</f>
        <v/>
      </c>
      <c r="I513">
        <f>IF(Pipeline_Sort!$C513="","",INDEX(Pipeline_Calc!$J$2:$J$5251,Pipeline_Sort!$C513))</f>
        <v/>
      </c>
    </row>
    <row r="514">
      <c r="A514" s="22">
        <f>IF(Pipeline_Sort!$C514="","",INDEX(Pipeline_Calc!$B$2:$B$5251,Pipeline_Sort!$C514))</f>
        <v/>
      </c>
      <c r="B514">
        <f>IF(Pipeline_Sort!$C514="","",INDEX(Pipeline_Calc!$C$2:$C$5251,Pipeline_Sort!$C514))</f>
        <v/>
      </c>
      <c r="C514">
        <f>IF(Pipeline_Sort!$C514="","",INDEX(Pipeline_Calc!$D$2:$D$5251,Pipeline_Sort!$C514))</f>
        <v/>
      </c>
      <c r="D514">
        <f>IF(Pipeline_Sort!$C514="","",INDEX(Pipeline_Calc!$E$2:$E$5251,Pipeline_Sort!$C514))</f>
        <v/>
      </c>
      <c r="E514">
        <f>IF(Pipeline_Sort!$C514="","",INDEX(Pipeline_Calc!$F$2:$F$5251,Pipeline_Sort!$C514))</f>
        <v/>
      </c>
      <c r="F514">
        <f>IF(Pipeline_Sort!$C514="","",INDEX(Pipeline_Calc!$G$2:$G$5251,Pipeline_Sort!$C514))</f>
        <v/>
      </c>
      <c r="G514">
        <f>IF(Pipeline_Sort!$C514="","",INDEX(Pipeline_Calc!$H$2:$H$5251,Pipeline_Sort!$C514))</f>
        <v/>
      </c>
      <c r="H514">
        <f>IF(Pipeline_Sort!$C514="","",INDEX(Pipeline_Calc!$I$2:$I$5251,Pipeline_Sort!$C514))</f>
        <v/>
      </c>
      <c r="I514">
        <f>IF(Pipeline_Sort!$C514="","",INDEX(Pipeline_Calc!$J$2:$J$5251,Pipeline_Sort!$C514))</f>
        <v/>
      </c>
    </row>
    <row r="515">
      <c r="A515" s="22">
        <f>IF(Pipeline_Sort!$C515="","",INDEX(Pipeline_Calc!$B$2:$B$5251,Pipeline_Sort!$C515))</f>
        <v/>
      </c>
      <c r="B515">
        <f>IF(Pipeline_Sort!$C515="","",INDEX(Pipeline_Calc!$C$2:$C$5251,Pipeline_Sort!$C515))</f>
        <v/>
      </c>
      <c r="C515">
        <f>IF(Pipeline_Sort!$C515="","",INDEX(Pipeline_Calc!$D$2:$D$5251,Pipeline_Sort!$C515))</f>
        <v/>
      </c>
      <c r="D515">
        <f>IF(Pipeline_Sort!$C515="","",INDEX(Pipeline_Calc!$E$2:$E$5251,Pipeline_Sort!$C515))</f>
        <v/>
      </c>
      <c r="E515">
        <f>IF(Pipeline_Sort!$C515="","",INDEX(Pipeline_Calc!$F$2:$F$5251,Pipeline_Sort!$C515))</f>
        <v/>
      </c>
      <c r="F515">
        <f>IF(Pipeline_Sort!$C515="","",INDEX(Pipeline_Calc!$G$2:$G$5251,Pipeline_Sort!$C515))</f>
        <v/>
      </c>
      <c r="G515">
        <f>IF(Pipeline_Sort!$C515="","",INDEX(Pipeline_Calc!$H$2:$H$5251,Pipeline_Sort!$C515))</f>
        <v/>
      </c>
      <c r="H515">
        <f>IF(Pipeline_Sort!$C515="","",INDEX(Pipeline_Calc!$I$2:$I$5251,Pipeline_Sort!$C515))</f>
        <v/>
      </c>
      <c r="I515">
        <f>IF(Pipeline_Sort!$C515="","",INDEX(Pipeline_Calc!$J$2:$J$5251,Pipeline_Sort!$C515))</f>
        <v/>
      </c>
    </row>
    <row r="516">
      <c r="A516" s="22">
        <f>IF(Pipeline_Sort!$C516="","",INDEX(Pipeline_Calc!$B$2:$B$5251,Pipeline_Sort!$C516))</f>
        <v/>
      </c>
      <c r="B516">
        <f>IF(Pipeline_Sort!$C516="","",INDEX(Pipeline_Calc!$C$2:$C$5251,Pipeline_Sort!$C516))</f>
        <v/>
      </c>
      <c r="C516">
        <f>IF(Pipeline_Sort!$C516="","",INDEX(Pipeline_Calc!$D$2:$D$5251,Pipeline_Sort!$C516))</f>
        <v/>
      </c>
      <c r="D516">
        <f>IF(Pipeline_Sort!$C516="","",INDEX(Pipeline_Calc!$E$2:$E$5251,Pipeline_Sort!$C516))</f>
        <v/>
      </c>
      <c r="E516">
        <f>IF(Pipeline_Sort!$C516="","",INDEX(Pipeline_Calc!$F$2:$F$5251,Pipeline_Sort!$C516))</f>
        <v/>
      </c>
      <c r="F516">
        <f>IF(Pipeline_Sort!$C516="","",INDEX(Pipeline_Calc!$G$2:$G$5251,Pipeline_Sort!$C516))</f>
        <v/>
      </c>
      <c r="G516">
        <f>IF(Pipeline_Sort!$C516="","",INDEX(Pipeline_Calc!$H$2:$H$5251,Pipeline_Sort!$C516))</f>
        <v/>
      </c>
      <c r="H516">
        <f>IF(Pipeline_Sort!$C516="","",INDEX(Pipeline_Calc!$I$2:$I$5251,Pipeline_Sort!$C516))</f>
        <v/>
      </c>
      <c r="I516">
        <f>IF(Pipeline_Sort!$C516="","",INDEX(Pipeline_Calc!$J$2:$J$5251,Pipeline_Sort!$C516))</f>
        <v/>
      </c>
    </row>
    <row r="517">
      <c r="A517" s="22">
        <f>IF(Pipeline_Sort!$C517="","",INDEX(Pipeline_Calc!$B$2:$B$5251,Pipeline_Sort!$C517))</f>
        <v/>
      </c>
      <c r="B517">
        <f>IF(Pipeline_Sort!$C517="","",INDEX(Pipeline_Calc!$C$2:$C$5251,Pipeline_Sort!$C517))</f>
        <v/>
      </c>
      <c r="C517">
        <f>IF(Pipeline_Sort!$C517="","",INDEX(Pipeline_Calc!$D$2:$D$5251,Pipeline_Sort!$C517))</f>
        <v/>
      </c>
      <c r="D517">
        <f>IF(Pipeline_Sort!$C517="","",INDEX(Pipeline_Calc!$E$2:$E$5251,Pipeline_Sort!$C517))</f>
        <v/>
      </c>
      <c r="E517">
        <f>IF(Pipeline_Sort!$C517="","",INDEX(Pipeline_Calc!$F$2:$F$5251,Pipeline_Sort!$C517))</f>
        <v/>
      </c>
      <c r="F517">
        <f>IF(Pipeline_Sort!$C517="","",INDEX(Pipeline_Calc!$G$2:$G$5251,Pipeline_Sort!$C517))</f>
        <v/>
      </c>
      <c r="G517">
        <f>IF(Pipeline_Sort!$C517="","",INDEX(Pipeline_Calc!$H$2:$H$5251,Pipeline_Sort!$C517))</f>
        <v/>
      </c>
      <c r="H517">
        <f>IF(Pipeline_Sort!$C517="","",INDEX(Pipeline_Calc!$I$2:$I$5251,Pipeline_Sort!$C517))</f>
        <v/>
      </c>
      <c r="I517">
        <f>IF(Pipeline_Sort!$C517="","",INDEX(Pipeline_Calc!$J$2:$J$5251,Pipeline_Sort!$C517))</f>
        <v/>
      </c>
    </row>
    <row r="518">
      <c r="A518" s="22">
        <f>IF(Pipeline_Sort!$C518="","",INDEX(Pipeline_Calc!$B$2:$B$5251,Pipeline_Sort!$C518))</f>
        <v/>
      </c>
      <c r="B518">
        <f>IF(Pipeline_Sort!$C518="","",INDEX(Pipeline_Calc!$C$2:$C$5251,Pipeline_Sort!$C518))</f>
        <v/>
      </c>
      <c r="C518">
        <f>IF(Pipeline_Sort!$C518="","",INDEX(Pipeline_Calc!$D$2:$D$5251,Pipeline_Sort!$C518))</f>
        <v/>
      </c>
      <c r="D518">
        <f>IF(Pipeline_Sort!$C518="","",INDEX(Pipeline_Calc!$E$2:$E$5251,Pipeline_Sort!$C518))</f>
        <v/>
      </c>
      <c r="E518">
        <f>IF(Pipeline_Sort!$C518="","",INDEX(Pipeline_Calc!$F$2:$F$5251,Pipeline_Sort!$C518))</f>
        <v/>
      </c>
      <c r="F518">
        <f>IF(Pipeline_Sort!$C518="","",INDEX(Pipeline_Calc!$G$2:$G$5251,Pipeline_Sort!$C518))</f>
        <v/>
      </c>
      <c r="G518">
        <f>IF(Pipeline_Sort!$C518="","",INDEX(Pipeline_Calc!$H$2:$H$5251,Pipeline_Sort!$C518))</f>
        <v/>
      </c>
      <c r="H518">
        <f>IF(Pipeline_Sort!$C518="","",INDEX(Pipeline_Calc!$I$2:$I$5251,Pipeline_Sort!$C518))</f>
        <v/>
      </c>
      <c r="I518">
        <f>IF(Pipeline_Sort!$C518="","",INDEX(Pipeline_Calc!$J$2:$J$5251,Pipeline_Sort!$C518))</f>
        <v/>
      </c>
    </row>
    <row r="519">
      <c r="A519" s="22">
        <f>IF(Pipeline_Sort!$C519="","",INDEX(Pipeline_Calc!$B$2:$B$5251,Pipeline_Sort!$C519))</f>
        <v/>
      </c>
      <c r="B519">
        <f>IF(Pipeline_Sort!$C519="","",INDEX(Pipeline_Calc!$C$2:$C$5251,Pipeline_Sort!$C519))</f>
        <v/>
      </c>
      <c r="C519">
        <f>IF(Pipeline_Sort!$C519="","",INDEX(Pipeline_Calc!$D$2:$D$5251,Pipeline_Sort!$C519))</f>
        <v/>
      </c>
      <c r="D519">
        <f>IF(Pipeline_Sort!$C519="","",INDEX(Pipeline_Calc!$E$2:$E$5251,Pipeline_Sort!$C519))</f>
        <v/>
      </c>
      <c r="E519">
        <f>IF(Pipeline_Sort!$C519="","",INDEX(Pipeline_Calc!$F$2:$F$5251,Pipeline_Sort!$C519))</f>
        <v/>
      </c>
      <c r="F519">
        <f>IF(Pipeline_Sort!$C519="","",INDEX(Pipeline_Calc!$G$2:$G$5251,Pipeline_Sort!$C519))</f>
        <v/>
      </c>
      <c r="G519">
        <f>IF(Pipeline_Sort!$C519="","",INDEX(Pipeline_Calc!$H$2:$H$5251,Pipeline_Sort!$C519))</f>
        <v/>
      </c>
      <c r="H519">
        <f>IF(Pipeline_Sort!$C519="","",INDEX(Pipeline_Calc!$I$2:$I$5251,Pipeline_Sort!$C519))</f>
        <v/>
      </c>
      <c r="I519">
        <f>IF(Pipeline_Sort!$C519="","",INDEX(Pipeline_Calc!$J$2:$J$5251,Pipeline_Sort!$C519))</f>
        <v/>
      </c>
    </row>
    <row r="520">
      <c r="A520" s="22">
        <f>IF(Pipeline_Sort!$C520="","",INDEX(Pipeline_Calc!$B$2:$B$5251,Pipeline_Sort!$C520))</f>
        <v/>
      </c>
      <c r="B520">
        <f>IF(Pipeline_Sort!$C520="","",INDEX(Pipeline_Calc!$C$2:$C$5251,Pipeline_Sort!$C520))</f>
        <v/>
      </c>
      <c r="C520">
        <f>IF(Pipeline_Sort!$C520="","",INDEX(Pipeline_Calc!$D$2:$D$5251,Pipeline_Sort!$C520))</f>
        <v/>
      </c>
      <c r="D520">
        <f>IF(Pipeline_Sort!$C520="","",INDEX(Pipeline_Calc!$E$2:$E$5251,Pipeline_Sort!$C520))</f>
        <v/>
      </c>
      <c r="E520">
        <f>IF(Pipeline_Sort!$C520="","",INDEX(Pipeline_Calc!$F$2:$F$5251,Pipeline_Sort!$C520))</f>
        <v/>
      </c>
      <c r="F520">
        <f>IF(Pipeline_Sort!$C520="","",INDEX(Pipeline_Calc!$G$2:$G$5251,Pipeline_Sort!$C520))</f>
        <v/>
      </c>
      <c r="G520">
        <f>IF(Pipeline_Sort!$C520="","",INDEX(Pipeline_Calc!$H$2:$H$5251,Pipeline_Sort!$C520))</f>
        <v/>
      </c>
      <c r="H520">
        <f>IF(Pipeline_Sort!$C520="","",INDEX(Pipeline_Calc!$I$2:$I$5251,Pipeline_Sort!$C520))</f>
        <v/>
      </c>
      <c r="I520">
        <f>IF(Pipeline_Sort!$C520="","",INDEX(Pipeline_Calc!$J$2:$J$5251,Pipeline_Sort!$C520))</f>
        <v/>
      </c>
    </row>
    <row r="521">
      <c r="A521" s="22">
        <f>IF(Pipeline_Sort!$C521="","",INDEX(Pipeline_Calc!$B$2:$B$5251,Pipeline_Sort!$C521))</f>
        <v/>
      </c>
      <c r="B521">
        <f>IF(Pipeline_Sort!$C521="","",INDEX(Pipeline_Calc!$C$2:$C$5251,Pipeline_Sort!$C521))</f>
        <v/>
      </c>
      <c r="C521">
        <f>IF(Pipeline_Sort!$C521="","",INDEX(Pipeline_Calc!$D$2:$D$5251,Pipeline_Sort!$C521))</f>
        <v/>
      </c>
      <c r="D521">
        <f>IF(Pipeline_Sort!$C521="","",INDEX(Pipeline_Calc!$E$2:$E$5251,Pipeline_Sort!$C521))</f>
        <v/>
      </c>
      <c r="E521">
        <f>IF(Pipeline_Sort!$C521="","",INDEX(Pipeline_Calc!$F$2:$F$5251,Pipeline_Sort!$C521))</f>
        <v/>
      </c>
      <c r="F521">
        <f>IF(Pipeline_Sort!$C521="","",INDEX(Pipeline_Calc!$G$2:$G$5251,Pipeline_Sort!$C521))</f>
        <v/>
      </c>
      <c r="G521">
        <f>IF(Pipeline_Sort!$C521="","",INDEX(Pipeline_Calc!$H$2:$H$5251,Pipeline_Sort!$C521))</f>
        <v/>
      </c>
      <c r="H521">
        <f>IF(Pipeline_Sort!$C521="","",INDEX(Pipeline_Calc!$I$2:$I$5251,Pipeline_Sort!$C521))</f>
        <v/>
      </c>
      <c r="I521">
        <f>IF(Pipeline_Sort!$C521="","",INDEX(Pipeline_Calc!$J$2:$J$5251,Pipeline_Sort!$C521))</f>
        <v/>
      </c>
    </row>
    <row r="522">
      <c r="A522" s="22">
        <f>IF(Pipeline_Sort!$C522="","",INDEX(Pipeline_Calc!$B$2:$B$5251,Pipeline_Sort!$C522))</f>
        <v/>
      </c>
      <c r="B522">
        <f>IF(Pipeline_Sort!$C522="","",INDEX(Pipeline_Calc!$C$2:$C$5251,Pipeline_Sort!$C522))</f>
        <v/>
      </c>
      <c r="C522">
        <f>IF(Pipeline_Sort!$C522="","",INDEX(Pipeline_Calc!$D$2:$D$5251,Pipeline_Sort!$C522))</f>
        <v/>
      </c>
      <c r="D522">
        <f>IF(Pipeline_Sort!$C522="","",INDEX(Pipeline_Calc!$E$2:$E$5251,Pipeline_Sort!$C522))</f>
        <v/>
      </c>
      <c r="E522">
        <f>IF(Pipeline_Sort!$C522="","",INDEX(Pipeline_Calc!$F$2:$F$5251,Pipeline_Sort!$C522))</f>
        <v/>
      </c>
      <c r="F522">
        <f>IF(Pipeline_Sort!$C522="","",INDEX(Pipeline_Calc!$G$2:$G$5251,Pipeline_Sort!$C522))</f>
        <v/>
      </c>
      <c r="G522">
        <f>IF(Pipeline_Sort!$C522="","",INDEX(Pipeline_Calc!$H$2:$H$5251,Pipeline_Sort!$C522))</f>
        <v/>
      </c>
      <c r="H522">
        <f>IF(Pipeline_Sort!$C522="","",INDEX(Pipeline_Calc!$I$2:$I$5251,Pipeline_Sort!$C522))</f>
        <v/>
      </c>
      <c r="I522">
        <f>IF(Pipeline_Sort!$C522="","",INDEX(Pipeline_Calc!$J$2:$J$5251,Pipeline_Sort!$C522))</f>
        <v/>
      </c>
    </row>
    <row r="523">
      <c r="A523" s="22">
        <f>IF(Pipeline_Sort!$C523="","",INDEX(Pipeline_Calc!$B$2:$B$5251,Pipeline_Sort!$C523))</f>
        <v/>
      </c>
      <c r="B523">
        <f>IF(Pipeline_Sort!$C523="","",INDEX(Pipeline_Calc!$C$2:$C$5251,Pipeline_Sort!$C523))</f>
        <v/>
      </c>
      <c r="C523">
        <f>IF(Pipeline_Sort!$C523="","",INDEX(Pipeline_Calc!$D$2:$D$5251,Pipeline_Sort!$C523))</f>
        <v/>
      </c>
      <c r="D523">
        <f>IF(Pipeline_Sort!$C523="","",INDEX(Pipeline_Calc!$E$2:$E$5251,Pipeline_Sort!$C523))</f>
        <v/>
      </c>
      <c r="E523">
        <f>IF(Pipeline_Sort!$C523="","",INDEX(Pipeline_Calc!$F$2:$F$5251,Pipeline_Sort!$C523))</f>
        <v/>
      </c>
      <c r="F523">
        <f>IF(Pipeline_Sort!$C523="","",INDEX(Pipeline_Calc!$G$2:$G$5251,Pipeline_Sort!$C523))</f>
        <v/>
      </c>
      <c r="G523">
        <f>IF(Pipeline_Sort!$C523="","",INDEX(Pipeline_Calc!$H$2:$H$5251,Pipeline_Sort!$C523))</f>
        <v/>
      </c>
      <c r="H523">
        <f>IF(Pipeline_Sort!$C523="","",INDEX(Pipeline_Calc!$I$2:$I$5251,Pipeline_Sort!$C523))</f>
        <v/>
      </c>
      <c r="I523">
        <f>IF(Pipeline_Sort!$C523="","",INDEX(Pipeline_Calc!$J$2:$J$5251,Pipeline_Sort!$C523))</f>
        <v/>
      </c>
    </row>
    <row r="524">
      <c r="A524" s="22">
        <f>IF(Pipeline_Sort!$C524="","",INDEX(Pipeline_Calc!$B$2:$B$5251,Pipeline_Sort!$C524))</f>
        <v/>
      </c>
      <c r="B524">
        <f>IF(Pipeline_Sort!$C524="","",INDEX(Pipeline_Calc!$C$2:$C$5251,Pipeline_Sort!$C524))</f>
        <v/>
      </c>
      <c r="C524">
        <f>IF(Pipeline_Sort!$C524="","",INDEX(Pipeline_Calc!$D$2:$D$5251,Pipeline_Sort!$C524))</f>
        <v/>
      </c>
      <c r="D524">
        <f>IF(Pipeline_Sort!$C524="","",INDEX(Pipeline_Calc!$E$2:$E$5251,Pipeline_Sort!$C524))</f>
        <v/>
      </c>
      <c r="E524">
        <f>IF(Pipeline_Sort!$C524="","",INDEX(Pipeline_Calc!$F$2:$F$5251,Pipeline_Sort!$C524))</f>
        <v/>
      </c>
      <c r="F524">
        <f>IF(Pipeline_Sort!$C524="","",INDEX(Pipeline_Calc!$G$2:$G$5251,Pipeline_Sort!$C524))</f>
        <v/>
      </c>
      <c r="G524">
        <f>IF(Pipeline_Sort!$C524="","",INDEX(Pipeline_Calc!$H$2:$H$5251,Pipeline_Sort!$C524))</f>
        <v/>
      </c>
      <c r="H524">
        <f>IF(Pipeline_Sort!$C524="","",INDEX(Pipeline_Calc!$I$2:$I$5251,Pipeline_Sort!$C524))</f>
        <v/>
      </c>
      <c r="I524">
        <f>IF(Pipeline_Sort!$C524="","",INDEX(Pipeline_Calc!$J$2:$J$5251,Pipeline_Sort!$C524))</f>
        <v/>
      </c>
    </row>
    <row r="525">
      <c r="A525" s="22">
        <f>IF(Pipeline_Sort!$C525="","",INDEX(Pipeline_Calc!$B$2:$B$5251,Pipeline_Sort!$C525))</f>
        <v/>
      </c>
      <c r="B525">
        <f>IF(Pipeline_Sort!$C525="","",INDEX(Pipeline_Calc!$C$2:$C$5251,Pipeline_Sort!$C525))</f>
        <v/>
      </c>
      <c r="C525">
        <f>IF(Pipeline_Sort!$C525="","",INDEX(Pipeline_Calc!$D$2:$D$5251,Pipeline_Sort!$C525))</f>
        <v/>
      </c>
      <c r="D525">
        <f>IF(Pipeline_Sort!$C525="","",INDEX(Pipeline_Calc!$E$2:$E$5251,Pipeline_Sort!$C525))</f>
        <v/>
      </c>
      <c r="E525">
        <f>IF(Pipeline_Sort!$C525="","",INDEX(Pipeline_Calc!$F$2:$F$5251,Pipeline_Sort!$C525))</f>
        <v/>
      </c>
      <c r="F525">
        <f>IF(Pipeline_Sort!$C525="","",INDEX(Pipeline_Calc!$G$2:$G$5251,Pipeline_Sort!$C525))</f>
        <v/>
      </c>
      <c r="G525">
        <f>IF(Pipeline_Sort!$C525="","",INDEX(Pipeline_Calc!$H$2:$H$5251,Pipeline_Sort!$C525))</f>
        <v/>
      </c>
      <c r="H525">
        <f>IF(Pipeline_Sort!$C525="","",INDEX(Pipeline_Calc!$I$2:$I$5251,Pipeline_Sort!$C525))</f>
        <v/>
      </c>
      <c r="I525">
        <f>IF(Pipeline_Sort!$C525="","",INDEX(Pipeline_Calc!$J$2:$J$5251,Pipeline_Sort!$C525))</f>
        <v/>
      </c>
    </row>
    <row r="526">
      <c r="A526" s="22">
        <f>IF(Pipeline_Sort!$C526="","",INDEX(Pipeline_Calc!$B$2:$B$5251,Pipeline_Sort!$C526))</f>
        <v/>
      </c>
      <c r="B526">
        <f>IF(Pipeline_Sort!$C526="","",INDEX(Pipeline_Calc!$C$2:$C$5251,Pipeline_Sort!$C526))</f>
        <v/>
      </c>
      <c r="C526">
        <f>IF(Pipeline_Sort!$C526="","",INDEX(Pipeline_Calc!$D$2:$D$5251,Pipeline_Sort!$C526))</f>
        <v/>
      </c>
      <c r="D526">
        <f>IF(Pipeline_Sort!$C526="","",INDEX(Pipeline_Calc!$E$2:$E$5251,Pipeline_Sort!$C526))</f>
        <v/>
      </c>
      <c r="E526">
        <f>IF(Pipeline_Sort!$C526="","",INDEX(Pipeline_Calc!$F$2:$F$5251,Pipeline_Sort!$C526))</f>
        <v/>
      </c>
      <c r="F526">
        <f>IF(Pipeline_Sort!$C526="","",INDEX(Pipeline_Calc!$G$2:$G$5251,Pipeline_Sort!$C526))</f>
        <v/>
      </c>
      <c r="G526">
        <f>IF(Pipeline_Sort!$C526="","",INDEX(Pipeline_Calc!$H$2:$H$5251,Pipeline_Sort!$C526))</f>
        <v/>
      </c>
      <c r="H526">
        <f>IF(Pipeline_Sort!$C526="","",INDEX(Pipeline_Calc!$I$2:$I$5251,Pipeline_Sort!$C526))</f>
        <v/>
      </c>
      <c r="I526">
        <f>IF(Pipeline_Sort!$C526="","",INDEX(Pipeline_Calc!$J$2:$J$5251,Pipeline_Sort!$C526))</f>
        <v/>
      </c>
    </row>
    <row r="527">
      <c r="A527" s="22">
        <f>IF(Pipeline_Sort!$C527="","",INDEX(Pipeline_Calc!$B$2:$B$5251,Pipeline_Sort!$C527))</f>
        <v/>
      </c>
      <c r="B527">
        <f>IF(Pipeline_Sort!$C527="","",INDEX(Pipeline_Calc!$C$2:$C$5251,Pipeline_Sort!$C527))</f>
        <v/>
      </c>
      <c r="C527">
        <f>IF(Pipeline_Sort!$C527="","",INDEX(Pipeline_Calc!$D$2:$D$5251,Pipeline_Sort!$C527))</f>
        <v/>
      </c>
      <c r="D527">
        <f>IF(Pipeline_Sort!$C527="","",INDEX(Pipeline_Calc!$E$2:$E$5251,Pipeline_Sort!$C527))</f>
        <v/>
      </c>
      <c r="E527">
        <f>IF(Pipeline_Sort!$C527="","",INDEX(Pipeline_Calc!$F$2:$F$5251,Pipeline_Sort!$C527))</f>
        <v/>
      </c>
      <c r="F527">
        <f>IF(Pipeline_Sort!$C527="","",INDEX(Pipeline_Calc!$G$2:$G$5251,Pipeline_Sort!$C527))</f>
        <v/>
      </c>
      <c r="G527">
        <f>IF(Pipeline_Sort!$C527="","",INDEX(Pipeline_Calc!$H$2:$H$5251,Pipeline_Sort!$C527))</f>
        <v/>
      </c>
      <c r="H527">
        <f>IF(Pipeline_Sort!$C527="","",INDEX(Pipeline_Calc!$I$2:$I$5251,Pipeline_Sort!$C527))</f>
        <v/>
      </c>
      <c r="I527">
        <f>IF(Pipeline_Sort!$C527="","",INDEX(Pipeline_Calc!$J$2:$J$5251,Pipeline_Sort!$C527))</f>
        <v/>
      </c>
    </row>
    <row r="528">
      <c r="A528" s="22">
        <f>IF(Pipeline_Sort!$C528="","",INDEX(Pipeline_Calc!$B$2:$B$5251,Pipeline_Sort!$C528))</f>
        <v/>
      </c>
      <c r="B528">
        <f>IF(Pipeline_Sort!$C528="","",INDEX(Pipeline_Calc!$C$2:$C$5251,Pipeline_Sort!$C528))</f>
        <v/>
      </c>
      <c r="C528">
        <f>IF(Pipeline_Sort!$C528="","",INDEX(Pipeline_Calc!$D$2:$D$5251,Pipeline_Sort!$C528))</f>
        <v/>
      </c>
      <c r="D528">
        <f>IF(Pipeline_Sort!$C528="","",INDEX(Pipeline_Calc!$E$2:$E$5251,Pipeline_Sort!$C528))</f>
        <v/>
      </c>
      <c r="E528">
        <f>IF(Pipeline_Sort!$C528="","",INDEX(Pipeline_Calc!$F$2:$F$5251,Pipeline_Sort!$C528))</f>
        <v/>
      </c>
      <c r="F528">
        <f>IF(Pipeline_Sort!$C528="","",INDEX(Pipeline_Calc!$G$2:$G$5251,Pipeline_Sort!$C528))</f>
        <v/>
      </c>
      <c r="G528">
        <f>IF(Pipeline_Sort!$C528="","",INDEX(Pipeline_Calc!$H$2:$H$5251,Pipeline_Sort!$C528))</f>
        <v/>
      </c>
      <c r="H528">
        <f>IF(Pipeline_Sort!$C528="","",INDEX(Pipeline_Calc!$I$2:$I$5251,Pipeline_Sort!$C528))</f>
        <v/>
      </c>
      <c r="I528">
        <f>IF(Pipeline_Sort!$C528="","",INDEX(Pipeline_Calc!$J$2:$J$5251,Pipeline_Sort!$C528))</f>
        <v/>
      </c>
    </row>
    <row r="529">
      <c r="A529" s="22">
        <f>IF(Pipeline_Sort!$C529="","",INDEX(Pipeline_Calc!$B$2:$B$5251,Pipeline_Sort!$C529))</f>
        <v/>
      </c>
      <c r="B529">
        <f>IF(Pipeline_Sort!$C529="","",INDEX(Pipeline_Calc!$C$2:$C$5251,Pipeline_Sort!$C529))</f>
        <v/>
      </c>
      <c r="C529">
        <f>IF(Pipeline_Sort!$C529="","",INDEX(Pipeline_Calc!$D$2:$D$5251,Pipeline_Sort!$C529))</f>
        <v/>
      </c>
      <c r="D529">
        <f>IF(Pipeline_Sort!$C529="","",INDEX(Pipeline_Calc!$E$2:$E$5251,Pipeline_Sort!$C529))</f>
        <v/>
      </c>
      <c r="E529">
        <f>IF(Pipeline_Sort!$C529="","",INDEX(Pipeline_Calc!$F$2:$F$5251,Pipeline_Sort!$C529))</f>
        <v/>
      </c>
      <c r="F529">
        <f>IF(Pipeline_Sort!$C529="","",INDEX(Pipeline_Calc!$G$2:$G$5251,Pipeline_Sort!$C529))</f>
        <v/>
      </c>
      <c r="G529">
        <f>IF(Pipeline_Sort!$C529="","",INDEX(Pipeline_Calc!$H$2:$H$5251,Pipeline_Sort!$C529))</f>
        <v/>
      </c>
      <c r="H529">
        <f>IF(Pipeline_Sort!$C529="","",INDEX(Pipeline_Calc!$I$2:$I$5251,Pipeline_Sort!$C529))</f>
        <v/>
      </c>
      <c r="I529">
        <f>IF(Pipeline_Sort!$C529="","",INDEX(Pipeline_Calc!$J$2:$J$5251,Pipeline_Sort!$C529))</f>
        <v/>
      </c>
    </row>
    <row r="530">
      <c r="A530" s="22">
        <f>IF(Pipeline_Sort!$C530="","",INDEX(Pipeline_Calc!$B$2:$B$5251,Pipeline_Sort!$C530))</f>
        <v/>
      </c>
      <c r="B530">
        <f>IF(Pipeline_Sort!$C530="","",INDEX(Pipeline_Calc!$C$2:$C$5251,Pipeline_Sort!$C530))</f>
        <v/>
      </c>
      <c r="C530">
        <f>IF(Pipeline_Sort!$C530="","",INDEX(Pipeline_Calc!$D$2:$D$5251,Pipeline_Sort!$C530))</f>
        <v/>
      </c>
      <c r="D530">
        <f>IF(Pipeline_Sort!$C530="","",INDEX(Pipeline_Calc!$E$2:$E$5251,Pipeline_Sort!$C530))</f>
        <v/>
      </c>
      <c r="E530">
        <f>IF(Pipeline_Sort!$C530="","",INDEX(Pipeline_Calc!$F$2:$F$5251,Pipeline_Sort!$C530))</f>
        <v/>
      </c>
      <c r="F530">
        <f>IF(Pipeline_Sort!$C530="","",INDEX(Pipeline_Calc!$G$2:$G$5251,Pipeline_Sort!$C530))</f>
        <v/>
      </c>
      <c r="G530">
        <f>IF(Pipeline_Sort!$C530="","",INDEX(Pipeline_Calc!$H$2:$H$5251,Pipeline_Sort!$C530))</f>
        <v/>
      </c>
      <c r="H530">
        <f>IF(Pipeline_Sort!$C530="","",INDEX(Pipeline_Calc!$I$2:$I$5251,Pipeline_Sort!$C530))</f>
        <v/>
      </c>
      <c r="I530">
        <f>IF(Pipeline_Sort!$C530="","",INDEX(Pipeline_Calc!$J$2:$J$5251,Pipeline_Sort!$C530))</f>
        <v/>
      </c>
    </row>
    <row r="531">
      <c r="A531" s="22">
        <f>IF(Pipeline_Sort!$C531="","",INDEX(Pipeline_Calc!$B$2:$B$5251,Pipeline_Sort!$C531))</f>
        <v/>
      </c>
      <c r="B531">
        <f>IF(Pipeline_Sort!$C531="","",INDEX(Pipeline_Calc!$C$2:$C$5251,Pipeline_Sort!$C531))</f>
        <v/>
      </c>
      <c r="C531">
        <f>IF(Pipeline_Sort!$C531="","",INDEX(Pipeline_Calc!$D$2:$D$5251,Pipeline_Sort!$C531))</f>
        <v/>
      </c>
      <c r="D531">
        <f>IF(Pipeline_Sort!$C531="","",INDEX(Pipeline_Calc!$E$2:$E$5251,Pipeline_Sort!$C531))</f>
        <v/>
      </c>
      <c r="E531">
        <f>IF(Pipeline_Sort!$C531="","",INDEX(Pipeline_Calc!$F$2:$F$5251,Pipeline_Sort!$C531))</f>
        <v/>
      </c>
      <c r="F531">
        <f>IF(Pipeline_Sort!$C531="","",INDEX(Pipeline_Calc!$G$2:$G$5251,Pipeline_Sort!$C531))</f>
        <v/>
      </c>
      <c r="G531">
        <f>IF(Pipeline_Sort!$C531="","",INDEX(Pipeline_Calc!$H$2:$H$5251,Pipeline_Sort!$C531))</f>
        <v/>
      </c>
      <c r="H531">
        <f>IF(Pipeline_Sort!$C531="","",INDEX(Pipeline_Calc!$I$2:$I$5251,Pipeline_Sort!$C531))</f>
        <v/>
      </c>
      <c r="I531">
        <f>IF(Pipeline_Sort!$C531="","",INDEX(Pipeline_Calc!$J$2:$J$5251,Pipeline_Sort!$C531))</f>
        <v/>
      </c>
    </row>
    <row r="532">
      <c r="A532" s="22">
        <f>IF(Pipeline_Sort!$C532="","",INDEX(Pipeline_Calc!$B$2:$B$5251,Pipeline_Sort!$C532))</f>
        <v/>
      </c>
      <c r="B532">
        <f>IF(Pipeline_Sort!$C532="","",INDEX(Pipeline_Calc!$C$2:$C$5251,Pipeline_Sort!$C532))</f>
        <v/>
      </c>
      <c r="C532">
        <f>IF(Pipeline_Sort!$C532="","",INDEX(Pipeline_Calc!$D$2:$D$5251,Pipeline_Sort!$C532))</f>
        <v/>
      </c>
      <c r="D532">
        <f>IF(Pipeline_Sort!$C532="","",INDEX(Pipeline_Calc!$E$2:$E$5251,Pipeline_Sort!$C532))</f>
        <v/>
      </c>
      <c r="E532">
        <f>IF(Pipeline_Sort!$C532="","",INDEX(Pipeline_Calc!$F$2:$F$5251,Pipeline_Sort!$C532))</f>
        <v/>
      </c>
      <c r="F532">
        <f>IF(Pipeline_Sort!$C532="","",INDEX(Pipeline_Calc!$G$2:$G$5251,Pipeline_Sort!$C532))</f>
        <v/>
      </c>
      <c r="G532">
        <f>IF(Pipeline_Sort!$C532="","",INDEX(Pipeline_Calc!$H$2:$H$5251,Pipeline_Sort!$C532))</f>
        <v/>
      </c>
      <c r="H532">
        <f>IF(Pipeline_Sort!$C532="","",INDEX(Pipeline_Calc!$I$2:$I$5251,Pipeline_Sort!$C532))</f>
        <v/>
      </c>
      <c r="I532">
        <f>IF(Pipeline_Sort!$C532="","",INDEX(Pipeline_Calc!$J$2:$J$5251,Pipeline_Sort!$C532))</f>
        <v/>
      </c>
    </row>
    <row r="533">
      <c r="A533" s="22">
        <f>IF(Pipeline_Sort!$C533="","",INDEX(Pipeline_Calc!$B$2:$B$5251,Pipeline_Sort!$C533))</f>
        <v/>
      </c>
      <c r="B533">
        <f>IF(Pipeline_Sort!$C533="","",INDEX(Pipeline_Calc!$C$2:$C$5251,Pipeline_Sort!$C533))</f>
        <v/>
      </c>
      <c r="C533">
        <f>IF(Pipeline_Sort!$C533="","",INDEX(Pipeline_Calc!$D$2:$D$5251,Pipeline_Sort!$C533))</f>
        <v/>
      </c>
      <c r="D533">
        <f>IF(Pipeline_Sort!$C533="","",INDEX(Pipeline_Calc!$E$2:$E$5251,Pipeline_Sort!$C533))</f>
        <v/>
      </c>
      <c r="E533">
        <f>IF(Pipeline_Sort!$C533="","",INDEX(Pipeline_Calc!$F$2:$F$5251,Pipeline_Sort!$C533))</f>
        <v/>
      </c>
      <c r="F533">
        <f>IF(Pipeline_Sort!$C533="","",INDEX(Pipeline_Calc!$G$2:$G$5251,Pipeline_Sort!$C533))</f>
        <v/>
      </c>
      <c r="G533">
        <f>IF(Pipeline_Sort!$C533="","",INDEX(Pipeline_Calc!$H$2:$H$5251,Pipeline_Sort!$C533))</f>
        <v/>
      </c>
      <c r="H533">
        <f>IF(Pipeline_Sort!$C533="","",INDEX(Pipeline_Calc!$I$2:$I$5251,Pipeline_Sort!$C533))</f>
        <v/>
      </c>
      <c r="I533">
        <f>IF(Pipeline_Sort!$C533="","",INDEX(Pipeline_Calc!$J$2:$J$5251,Pipeline_Sort!$C533))</f>
        <v/>
      </c>
    </row>
    <row r="534">
      <c r="A534" s="22">
        <f>IF(Pipeline_Sort!$C534="","",INDEX(Pipeline_Calc!$B$2:$B$5251,Pipeline_Sort!$C534))</f>
        <v/>
      </c>
      <c r="B534">
        <f>IF(Pipeline_Sort!$C534="","",INDEX(Pipeline_Calc!$C$2:$C$5251,Pipeline_Sort!$C534))</f>
        <v/>
      </c>
      <c r="C534">
        <f>IF(Pipeline_Sort!$C534="","",INDEX(Pipeline_Calc!$D$2:$D$5251,Pipeline_Sort!$C534))</f>
        <v/>
      </c>
      <c r="D534">
        <f>IF(Pipeline_Sort!$C534="","",INDEX(Pipeline_Calc!$E$2:$E$5251,Pipeline_Sort!$C534))</f>
        <v/>
      </c>
      <c r="E534">
        <f>IF(Pipeline_Sort!$C534="","",INDEX(Pipeline_Calc!$F$2:$F$5251,Pipeline_Sort!$C534))</f>
        <v/>
      </c>
      <c r="F534">
        <f>IF(Pipeline_Sort!$C534="","",INDEX(Pipeline_Calc!$G$2:$G$5251,Pipeline_Sort!$C534))</f>
        <v/>
      </c>
      <c r="G534">
        <f>IF(Pipeline_Sort!$C534="","",INDEX(Pipeline_Calc!$H$2:$H$5251,Pipeline_Sort!$C534))</f>
        <v/>
      </c>
      <c r="H534">
        <f>IF(Pipeline_Sort!$C534="","",INDEX(Pipeline_Calc!$I$2:$I$5251,Pipeline_Sort!$C534))</f>
        <v/>
      </c>
      <c r="I534">
        <f>IF(Pipeline_Sort!$C534="","",INDEX(Pipeline_Calc!$J$2:$J$5251,Pipeline_Sort!$C534))</f>
        <v/>
      </c>
    </row>
    <row r="535">
      <c r="A535" s="22">
        <f>IF(Pipeline_Sort!$C535="","",INDEX(Pipeline_Calc!$B$2:$B$5251,Pipeline_Sort!$C535))</f>
        <v/>
      </c>
      <c r="B535">
        <f>IF(Pipeline_Sort!$C535="","",INDEX(Pipeline_Calc!$C$2:$C$5251,Pipeline_Sort!$C535))</f>
        <v/>
      </c>
      <c r="C535">
        <f>IF(Pipeline_Sort!$C535="","",INDEX(Pipeline_Calc!$D$2:$D$5251,Pipeline_Sort!$C535))</f>
        <v/>
      </c>
      <c r="D535">
        <f>IF(Pipeline_Sort!$C535="","",INDEX(Pipeline_Calc!$E$2:$E$5251,Pipeline_Sort!$C535))</f>
        <v/>
      </c>
      <c r="E535">
        <f>IF(Pipeline_Sort!$C535="","",INDEX(Pipeline_Calc!$F$2:$F$5251,Pipeline_Sort!$C535))</f>
        <v/>
      </c>
      <c r="F535">
        <f>IF(Pipeline_Sort!$C535="","",INDEX(Pipeline_Calc!$G$2:$G$5251,Pipeline_Sort!$C535))</f>
        <v/>
      </c>
      <c r="G535">
        <f>IF(Pipeline_Sort!$C535="","",INDEX(Pipeline_Calc!$H$2:$H$5251,Pipeline_Sort!$C535))</f>
        <v/>
      </c>
      <c r="H535">
        <f>IF(Pipeline_Sort!$C535="","",INDEX(Pipeline_Calc!$I$2:$I$5251,Pipeline_Sort!$C535))</f>
        <v/>
      </c>
      <c r="I535">
        <f>IF(Pipeline_Sort!$C535="","",INDEX(Pipeline_Calc!$J$2:$J$5251,Pipeline_Sort!$C535))</f>
        <v/>
      </c>
    </row>
    <row r="536">
      <c r="A536" s="22">
        <f>IF(Pipeline_Sort!$C536="","",INDEX(Pipeline_Calc!$B$2:$B$5251,Pipeline_Sort!$C536))</f>
        <v/>
      </c>
      <c r="B536">
        <f>IF(Pipeline_Sort!$C536="","",INDEX(Pipeline_Calc!$C$2:$C$5251,Pipeline_Sort!$C536))</f>
        <v/>
      </c>
      <c r="C536">
        <f>IF(Pipeline_Sort!$C536="","",INDEX(Pipeline_Calc!$D$2:$D$5251,Pipeline_Sort!$C536))</f>
        <v/>
      </c>
      <c r="D536">
        <f>IF(Pipeline_Sort!$C536="","",INDEX(Pipeline_Calc!$E$2:$E$5251,Pipeline_Sort!$C536))</f>
        <v/>
      </c>
      <c r="E536">
        <f>IF(Pipeline_Sort!$C536="","",INDEX(Pipeline_Calc!$F$2:$F$5251,Pipeline_Sort!$C536))</f>
        <v/>
      </c>
      <c r="F536">
        <f>IF(Pipeline_Sort!$C536="","",INDEX(Pipeline_Calc!$G$2:$G$5251,Pipeline_Sort!$C536))</f>
        <v/>
      </c>
      <c r="G536">
        <f>IF(Pipeline_Sort!$C536="","",INDEX(Pipeline_Calc!$H$2:$H$5251,Pipeline_Sort!$C536))</f>
        <v/>
      </c>
      <c r="H536">
        <f>IF(Pipeline_Sort!$C536="","",INDEX(Pipeline_Calc!$I$2:$I$5251,Pipeline_Sort!$C536))</f>
        <v/>
      </c>
      <c r="I536">
        <f>IF(Pipeline_Sort!$C536="","",INDEX(Pipeline_Calc!$J$2:$J$5251,Pipeline_Sort!$C536))</f>
        <v/>
      </c>
    </row>
    <row r="537">
      <c r="A537" s="22">
        <f>IF(Pipeline_Sort!$C537="","",INDEX(Pipeline_Calc!$B$2:$B$5251,Pipeline_Sort!$C537))</f>
        <v/>
      </c>
      <c r="B537">
        <f>IF(Pipeline_Sort!$C537="","",INDEX(Pipeline_Calc!$C$2:$C$5251,Pipeline_Sort!$C537))</f>
        <v/>
      </c>
      <c r="C537">
        <f>IF(Pipeline_Sort!$C537="","",INDEX(Pipeline_Calc!$D$2:$D$5251,Pipeline_Sort!$C537))</f>
        <v/>
      </c>
      <c r="D537">
        <f>IF(Pipeline_Sort!$C537="","",INDEX(Pipeline_Calc!$E$2:$E$5251,Pipeline_Sort!$C537))</f>
        <v/>
      </c>
      <c r="E537">
        <f>IF(Pipeline_Sort!$C537="","",INDEX(Pipeline_Calc!$F$2:$F$5251,Pipeline_Sort!$C537))</f>
        <v/>
      </c>
      <c r="F537">
        <f>IF(Pipeline_Sort!$C537="","",INDEX(Pipeline_Calc!$G$2:$G$5251,Pipeline_Sort!$C537))</f>
        <v/>
      </c>
      <c r="G537">
        <f>IF(Pipeline_Sort!$C537="","",INDEX(Pipeline_Calc!$H$2:$H$5251,Pipeline_Sort!$C537))</f>
        <v/>
      </c>
      <c r="H537">
        <f>IF(Pipeline_Sort!$C537="","",INDEX(Pipeline_Calc!$I$2:$I$5251,Pipeline_Sort!$C537))</f>
        <v/>
      </c>
      <c r="I537">
        <f>IF(Pipeline_Sort!$C537="","",INDEX(Pipeline_Calc!$J$2:$J$5251,Pipeline_Sort!$C537))</f>
        <v/>
      </c>
    </row>
    <row r="538">
      <c r="A538" s="22">
        <f>IF(Pipeline_Sort!$C538="","",INDEX(Pipeline_Calc!$B$2:$B$5251,Pipeline_Sort!$C538))</f>
        <v/>
      </c>
      <c r="B538">
        <f>IF(Pipeline_Sort!$C538="","",INDEX(Pipeline_Calc!$C$2:$C$5251,Pipeline_Sort!$C538))</f>
        <v/>
      </c>
      <c r="C538">
        <f>IF(Pipeline_Sort!$C538="","",INDEX(Pipeline_Calc!$D$2:$D$5251,Pipeline_Sort!$C538))</f>
        <v/>
      </c>
      <c r="D538">
        <f>IF(Pipeline_Sort!$C538="","",INDEX(Pipeline_Calc!$E$2:$E$5251,Pipeline_Sort!$C538))</f>
        <v/>
      </c>
      <c r="E538">
        <f>IF(Pipeline_Sort!$C538="","",INDEX(Pipeline_Calc!$F$2:$F$5251,Pipeline_Sort!$C538))</f>
        <v/>
      </c>
      <c r="F538">
        <f>IF(Pipeline_Sort!$C538="","",INDEX(Pipeline_Calc!$G$2:$G$5251,Pipeline_Sort!$C538))</f>
        <v/>
      </c>
      <c r="G538">
        <f>IF(Pipeline_Sort!$C538="","",INDEX(Pipeline_Calc!$H$2:$H$5251,Pipeline_Sort!$C538))</f>
        <v/>
      </c>
      <c r="H538">
        <f>IF(Pipeline_Sort!$C538="","",INDEX(Pipeline_Calc!$I$2:$I$5251,Pipeline_Sort!$C538))</f>
        <v/>
      </c>
      <c r="I538">
        <f>IF(Pipeline_Sort!$C538="","",INDEX(Pipeline_Calc!$J$2:$J$5251,Pipeline_Sort!$C538))</f>
        <v/>
      </c>
    </row>
    <row r="539">
      <c r="A539" s="22">
        <f>IF(Pipeline_Sort!$C539="","",INDEX(Pipeline_Calc!$B$2:$B$5251,Pipeline_Sort!$C539))</f>
        <v/>
      </c>
      <c r="B539">
        <f>IF(Pipeline_Sort!$C539="","",INDEX(Pipeline_Calc!$C$2:$C$5251,Pipeline_Sort!$C539))</f>
        <v/>
      </c>
      <c r="C539">
        <f>IF(Pipeline_Sort!$C539="","",INDEX(Pipeline_Calc!$D$2:$D$5251,Pipeline_Sort!$C539))</f>
        <v/>
      </c>
      <c r="D539">
        <f>IF(Pipeline_Sort!$C539="","",INDEX(Pipeline_Calc!$E$2:$E$5251,Pipeline_Sort!$C539))</f>
        <v/>
      </c>
      <c r="E539">
        <f>IF(Pipeline_Sort!$C539="","",INDEX(Pipeline_Calc!$F$2:$F$5251,Pipeline_Sort!$C539))</f>
        <v/>
      </c>
      <c r="F539">
        <f>IF(Pipeline_Sort!$C539="","",INDEX(Pipeline_Calc!$G$2:$G$5251,Pipeline_Sort!$C539))</f>
        <v/>
      </c>
      <c r="G539">
        <f>IF(Pipeline_Sort!$C539="","",INDEX(Pipeline_Calc!$H$2:$H$5251,Pipeline_Sort!$C539))</f>
        <v/>
      </c>
      <c r="H539">
        <f>IF(Pipeline_Sort!$C539="","",INDEX(Pipeline_Calc!$I$2:$I$5251,Pipeline_Sort!$C539))</f>
        <v/>
      </c>
      <c r="I539">
        <f>IF(Pipeline_Sort!$C539="","",INDEX(Pipeline_Calc!$J$2:$J$5251,Pipeline_Sort!$C539))</f>
        <v/>
      </c>
    </row>
    <row r="540">
      <c r="A540" s="22">
        <f>IF(Pipeline_Sort!$C540="","",INDEX(Pipeline_Calc!$B$2:$B$5251,Pipeline_Sort!$C540))</f>
        <v/>
      </c>
      <c r="B540">
        <f>IF(Pipeline_Sort!$C540="","",INDEX(Pipeline_Calc!$C$2:$C$5251,Pipeline_Sort!$C540))</f>
        <v/>
      </c>
      <c r="C540">
        <f>IF(Pipeline_Sort!$C540="","",INDEX(Pipeline_Calc!$D$2:$D$5251,Pipeline_Sort!$C540))</f>
        <v/>
      </c>
      <c r="D540">
        <f>IF(Pipeline_Sort!$C540="","",INDEX(Pipeline_Calc!$E$2:$E$5251,Pipeline_Sort!$C540))</f>
        <v/>
      </c>
      <c r="E540">
        <f>IF(Pipeline_Sort!$C540="","",INDEX(Pipeline_Calc!$F$2:$F$5251,Pipeline_Sort!$C540))</f>
        <v/>
      </c>
      <c r="F540">
        <f>IF(Pipeline_Sort!$C540="","",INDEX(Pipeline_Calc!$G$2:$G$5251,Pipeline_Sort!$C540))</f>
        <v/>
      </c>
      <c r="G540">
        <f>IF(Pipeline_Sort!$C540="","",INDEX(Pipeline_Calc!$H$2:$H$5251,Pipeline_Sort!$C540))</f>
        <v/>
      </c>
      <c r="H540">
        <f>IF(Pipeline_Sort!$C540="","",INDEX(Pipeline_Calc!$I$2:$I$5251,Pipeline_Sort!$C540))</f>
        <v/>
      </c>
      <c r="I540">
        <f>IF(Pipeline_Sort!$C540="","",INDEX(Pipeline_Calc!$J$2:$J$5251,Pipeline_Sort!$C540))</f>
        <v/>
      </c>
    </row>
    <row r="541">
      <c r="A541" s="22">
        <f>IF(Pipeline_Sort!$C541="","",INDEX(Pipeline_Calc!$B$2:$B$5251,Pipeline_Sort!$C541))</f>
        <v/>
      </c>
      <c r="B541">
        <f>IF(Pipeline_Sort!$C541="","",INDEX(Pipeline_Calc!$C$2:$C$5251,Pipeline_Sort!$C541))</f>
        <v/>
      </c>
      <c r="C541">
        <f>IF(Pipeline_Sort!$C541="","",INDEX(Pipeline_Calc!$D$2:$D$5251,Pipeline_Sort!$C541))</f>
        <v/>
      </c>
      <c r="D541">
        <f>IF(Pipeline_Sort!$C541="","",INDEX(Pipeline_Calc!$E$2:$E$5251,Pipeline_Sort!$C541))</f>
        <v/>
      </c>
      <c r="E541">
        <f>IF(Pipeline_Sort!$C541="","",INDEX(Pipeline_Calc!$F$2:$F$5251,Pipeline_Sort!$C541))</f>
        <v/>
      </c>
      <c r="F541">
        <f>IF(Pipeline_Sort!$C541="","",INDEX(Pipeline_Calc!$G$2:$G$5251,Pipeline_Sort!$C541))</f>
        <v/>
      </c>
      <c r="G541">
        <f>IF(Pipeline_Sort!$C541="","",INDEX(Pipeline_Calc!$H$2:$H$5251,Pipeline_Sort!$C541))</f>
        <v/>
      </c>
      <c r="H541">
        <f>IF(Pipeline_Sort!$C541="","",INDEX(Pipeline_Calc!$I$2:$I$5251,Pipeline_Sort!$C541))</f>
        <v/>
      </c>
      <c r="I541">
        <f>IF(Pipeline_Sort!$C541="","",INDEX(Pipeline_Calc!$J$2:$J$5251,Pipeline_Sort!$C541))</f>
        <v/>
      </c>
    </row>
    <row r="542">
      <c r="A542" s="22">
        <f>IF(Pipeline_Sort!$C542="","",INDEX(Pipeline_Calc!$B$2:$B$5251,Pipeline_Sort!$C542))</f>
        <v/>
      </c>
      <c r="B542">
        <f>IF(Pipeline_Sort!$C542="","",INDEX(Pipeline_Calc!$C$2:$C$5251,Pipeline_Sort!$C542))</f>
        <v/>
      </c>
      <c r="C542">
        <f>IF(Pipeline_Sort!$C542="","",INDEX(Pipeline_Calc!$D$2:$D$5251,Pipeline_Sort!$C542))</f>
        <v/>
      </c>
      <c r="D542">
        <f>IF(Pipeline_Sort!$C542="","",INDEX(Pipeline_Calc!$E$2:$E$5251,Pipeline_Sort!$C542))</f>
        <v/>
      </c>
      <c r="E542">
        <f>IF(Pipeline_Sort!$C542="","",INDEX(Pipeline_Calc!$F$2:$F$5251,Pipeline_Sort!$C542))</f>
        <v/>
      </c>
      <c r="F542">
        <f>IF(Pipeline_Sort!$C542="","",INDEX(Pipeline_Calc!$G$2:$G$5251,Pipeline_Sort!$C542))</f>
        <v/>
      </c>
      <c r="G542">
        <f>IF(Pipeline_Sort!$C542="","",INDEX(Pipeline_Calc!$H$2:$H$5251,Pipeline_Sort!$C542))</f>
        <v/>
      </c>
      <c r="H542">
        <f>IF(Pipeline_Sort!$C542="","",INDEX(Pipeline_Calc!$I$2:$I$5251,Pipeline_Sort!$C542))</f>
        <v/>
      </c>
      <c r="I542">
        <f>IF(Pipeline_Sort!$C542="","",INDEX(Pipeline_Calc!$J$2:$J$5251,Pipeline_Sort!$C542))</f>
        <v/>
      </c>
    </row>
    <row r="543">
      <c r="A543" s="22">
        <f>IF(Pipeline_Sort!$C543="","",INDEX(Pipeline_Calc!$B$2:$B$5251,Pipeline_Sort!$C543))</f>
        <v/>
      </c>
      <c r="B543">
        <f>IF(Pipeline_Sort!$C543="","",INDEX(Pipeline_Calc!$C$2:$C$5251,Pipeline_Sort!$C543))</f>
        <v/>
      </c>
      <c r="C543">
        <f>IF(Pipeline_Sort!$C543="","",INDEX(Pipeline_Calc!$D$2:$D$5251,Pipeline_Sort!$C543))</f>
        <v/>
      </c>
      <c r="D543">
        <f>IF(Pipeline_Sort!$C543="","",INDEX(Pipeline_Calc!$E$2:$E$5251,Pipeline_Sort!$C543))</f>
        <v/>
      </c>
      <c r="E543">
        <f>IF(Pipeline_Sort!$C543="","",INDEX(Pipeline_Calc!$F$2:$F$5251,Pipeline_Sort!$C543))</f>
        <v/>
      </c>
      <c r="F543">
        <f>IF(Pipeline_Sort!$C543="","",INDEX(Pipeline_Calc!$G$2:$G$5251,Pipeline_Sort!$C543))</f>
        <v/>
      </c>
      <c r="G543">
        <f>IF(Pipeline_Sort!$C543="","",INDEX(Pipeline_Calc!$H$2:$H$5251,Pipeline_Sort!$C543))</f>
        <v/>
      </c>
      <c r="H543">
        <f>IF(Pipeline_Sort!$C543="","",INDEX(Pipeline_Calc!$I$2:$I$5251,Pipeline_Sort!$C543))</f>
        <v/>
      </c>
      <c r="I543">
        <f>IF(Pipeline_Sort!$C543="","",INDEX(Pipeline_Calc!$J$2:$J$5251,Pipeline_Sort!$C543))</f>
        <v/>
      </c>
    </row>
    <row r="544">
      <c r="A544" s="22">
        <f>IF(Pipeline_Sort!$C544="","",INDEX(Pipeline_Calc!$B$2:$B$5251,Pipeline_Sort!$C544))</f>
        <v/>
      </c>
      <c r="B544">
        <f>IF(Pipeline_Sort!$C544="","",INDEX(Pipeline_Calc!$C$2:$C$5251,Pipeline_Sort!$C544))</f>
        <v/>
      </c>
      <c r="C544">
        <f>IF(Pipeline_Sort!$C544="","",INDEX(Pipeline_Calc!$D$2:$D$5251,Pipeline_Sort!$C544))</f>
        <v/>
      </c>
      <c r="D544">
        <f>IF(Pipeline_Sort!$C544="","",INDEX(Pipeline_Calc!$E$2:$E$5251,Pipeline_Sort!$C544))</f>
        <v/>
      </c>
      <c r="E544">
        <f>IF(Pipeline_Sort!$C544="","",INDEX(Pipeline_Calc!$F$2:$F$5251,Pipeline_Sort!$C544))</f>
        <v/>
      </c>
      <c r="F544">
        <f>IF(Pipeline_Sort!$C544="","",INDEX(Pipeline_Calc!$G$2:$G$5251,Pipeline_Sort!$C544))</f>
        <v/>
      </c>
      <c r="G544">
        <f>IF(Pipeline_Sort!$C544="","",INDEX(Pipeline_Calc!$H$2:$H$5251,Pipeline_Sort!$C544))</f>
        <v/>
      </c>
      <c r="H544">
        <f>IF(Pipeline_Sort!$C544="","",INDEX(Pipeline_Calc!$I$2:$I$5251,Pipeline_Sort!$C544))</f>
        <v/>
      </c>
      <c r="I544">
        <f>IF(Pipeline_Sort!$C544="","",INDEX(Pipeline_Calc!$J$2:$J$5251,Pipeline_Sort!$C544))</f>
        <v/>
      </c>
    </row>
    <row r="545">
      <c r="A545" s="22">
        <f>IF(Pipeline_Sort!$C545="","",INDEX(Pipeline_Calc!$B$2:$B$5251,Pipeline_Sort!$C545))</f>
        <v/>
      </c>
      <c r="B545">
        <f>IF(Pipeline_Sort!$C545="","",INDEX(Pipeline_Calc!$C$2:$C$5251,Pipeline_Sort!$C545))</f>
        <v/>
      </c>
      <c r="C545">
        <f>IF(Pipeline_Sort!$C545="","",INDEX(Pipeline_Calc!$D$2:$D$5251,Pipeline_Sort!$C545))</f>
        <v/>
      </c>
      <c r="D545">
        <f>IF(Pipeline_Sort!$C545="","",INDEX(Pipeline_Calc!$E$2:$E$5251,Pipeline_Sort!$C545))</f>
        <v/>
      </c>
      <c r="E545">
        <f>IF(Pipeline_Sort!$C545="","",INDEX(Pipeline_Calc!$F$2:$F$5251,Pipeline_Sort!$C545))</f>
        <v/>
      </c>
      <c r="F545">
        <f>IF(Pipeline_Sort!$C545="","",INDEX(Pipeline_Calc!$G$2:$G$5251,Pipeline_Sort!$C545))</f>
        <v/>
      </c>
      <c r="G545">
        <f>IF(Pipeline_Sort!$C545="","",INDEX(Pipeline_Calc!$H$2:$H$5251,Pipeline_Sort!$C545))</f>
        <v/>
      </c>
      <c r="H545">
        <f>IF(Pipeline_Sort!$C545="","",INDEX(Pipeline_Calc!$I$2:$I$5251,Pipeline_Sort!$C545))</f>
        <v/>
      </c>
      <c r="I545">
        <f>IF(Pipeline_Sort!$C545="","",INDEX(Pipeline_Calc!$J$2:$J$5251,Pipeline_Sort!$C545))</f>
        <v/>
      </c>
    </row>
    <row r="546">
      <c r="A546" s="22">
        <f>IF(Pipeline_Sort!$C546="","",INDEX(Pipeline_Calc!$B$2:$B$5251,Pipeline_Sort!$C546))</f>
        <v/>
      </c>
      <c r="B546">
        <f>IF(Pipeline_Sort!$C546="","",INDEX(Pipeline_Calc!$C$2:$C$5251,Pipeline_Sort!$C546))</f>
        <v/>
      </c>
      <c r="C546">
        <f>IF(Pipeline_Sort!$C546="","",INDEX(Pipeline_Calc!$D$2:$D$5251,Pipeline_Sort!$C546))</f>
        <v/>
      </c>
      <c r="D546">
        <f>IF(Pipeline_Sort!$C546="","",INDEX(Pipeline_Calc!$E$2:$E$5251,Pipeline_Sort!$C546))</f>
        <v/>
      </c>
      <c r="E546">
        <f>IF(Pipeline_Sort!$C546="","",INDEX(Pipeline_Calc!$F$2:$F$5251,Pipeline_Sort!$C546))</f>
        <v/>
      </c>
      <c r="F546">
        <f>IF(Pipeline_Sort!$C546="","",INDEX(Pipeline_Calc!$G$2:$G$5251,Pipeline_Sort!$C546))</f>
        <v/>
      </c>
      <c r="G546">
        <f>IF(Pipeline_Sort!$C546="","",INDEX(Pipeline_Calc!$H$2:$H$5251,Pipeline_Sort!$C546))</f>
        <v/>
      </c>
      <c r="H546">
        <f>IF(Pipeline_Sort!$C546="","",INDEX(Pipeline_Calc!$I$2:$I$5251,Pipeline_Sort!$C546))</f>
        <v/>
      </c>
      <c r="I546">
        <f>IF(Pipeline_Sort!$C546="","",INDEX(Pipeline_Calc!$J$2:$J$5251,Pipeline_Sort!$C546))</f>
        <v/>
      </c>
    </row>
    <row r="547">
      <c r="A547" s="22">
        <f>IF(Pipeline_Sort!$C547="","",INDEX(Pipeline_Calc!$B$2:$B$5251,Pipeline_Sort!$C547))</f>
        <v/>
      </c>
      <c r="B547">
        <f>IF(Pipeline_Sort!$C547="","",INDEX(Pipeline_Calc!$C$2:$C$5251,Pipeline_Sort!$C547))</f>
        <v/>
      </c>
      <c r="C547">
        <f>IF(Pipeline_Sort!$C547="","",INDEX(Pipeline_Calc!$D$2:$D$5251,Pipeline_Sort!$C547))</f>
        <v/>
      </c>
      <c r="D547">
        <f>IF(Pipeline_Sort!$C547="","",INDEX(Pipeline_Calc!$E$2:$E$5251,Pipeline_Sort!$C547))</f>
        <v/>
      </c>
      <c r="E547">
        <f>IF(Pipeline_Sort!$C547="","",INDEX(Pipeline_Calc!$F$2:$F$5251,Pipeline_Sort!$C547))</f>
        <v/>
      </c>
      <c r="F547">
        <f>IF(Pipeline_Sort!$C547="","",INDEX(Pipeline_Calc!$G$2:$G$5251,Pipeline_Sort!$C547))</f>
        <v/>
      </c>
      <c r="G547">
        <f>IF(Pipeline_Sort!$C547="","",INDEX(Pipeline_Calc!$H$2:$H$5251,Pipeline_Sort!$C547))</f>
        <v/>
      </c>
      <c r="H547">
        <f>IF(Pipeline_Sort!$C547="","",INDEX(Pipeline_Calc!$I$2:$I$5251,Pipeline_Sort!$C547))</f>
        <v/>
      </c>
      <c r="I547">
        <f>IF(Pipeline_Sort!$C547="","",INDEX(Pipeline_Calc!$J$2:$J$5251,Pipeline_Sort!$C547))</f>
        <v/>
      </c>
    </row>
    <row r="548">
      <c r="A548" s="22">
        <f>IF(Pipeline_Sort!$C548="","",INDEX(Pipeline_Calc!$B$2:$B$5251,Pipeline_Sort!$C548))</f>
        <v/>
      </c>
      <c r="B548">
        <f>IF(Pipeline_Sort!$C548="","",INDEX(Pipeline_Calc!$C$2:$C$5251,Pipeline_Sort!$C548))</f>
        <v/>
      </c>
      <c r="C548">
        <f>IF(Pipeline_Sort!$C548="","",INDEX(Pipeline_Calc!$D$2:$D$5251,Pipeline_Sort!$C548))</f>
        <v/>
      </c>
      <c r="D548">
        <f>IF(Pipeline_Sort!$C548="","",INDEX(Pipeline_Calc!$E$2:$E$5251,Pipeline_Sort!$C548))</f>
        <v/>
      </c>
      <c r="E548">
        <f>IF(Pipeline_Sort!$C548="","",INDEX(Pipeline_Calc!$F$2:$F$5251,Pipeline_Sort!$C548))</f>
        <v/>
      </c>
      <c r="F548">
        <f>IF(Pipeline_Sort!$C548="","",INDEX(Pipeline_Calc!$G$2:$G$5251,Pipeline_Sort!$C548))</f>
        <v/>
      </c>
      <c r="G548">
        <f>IF(Pipeline_Sort!$C548="","",INDEX(Pipeline_Calc!$H$2:$H$5251,Pipeline_Sort!$C548))</f>
        <v/>
      </c>
      <c r="H548">
        <f>IF(Pipeline_Sort!$C548="","",INDEX(Pipeline_Calc!$I$2:$I$5251,Pipeline_Sort!$C548))</f>
        <v/>
      </c>
      <c r="I548">
        <f>IF(Pipeline_Sort!$C548="","",INDEX(Pipeline_Calc!$J$2:$J$5251,Pipeline_Sort!$C548))</f>
        <v/>
      </c>
    </row>
    <row r="549">
      <c r="A549" s="22">
        <f>IF(Pipeline_Sort!$C549="","",INDEX(Pipeline_Calc!$B$2:$B$5251,Pipeline_Sort!$C549))</f>
        <v/>
      </c>
      <c r="B549">
        <f>IF(Pipeline_Sort!$C549="","",INDEX(Pipeline_Calc!$C$2:$C$5251,Pipeline_Sort!$C549))</f>
        <v/>
      </c>
      <c r="C549">
        <f>IF(Pipeline_Sort!$C549="","",INDEX(Pipeline_Calc!$D$2:$D$5251,Pipeline_Sort!$C549))</f>
        <v/>
      </c>
      <c r="D549">
        <f>IF(Pipeline_Sort!$C549="","",INDEX(Pipeline_Calc!$E$2:$E$5251,Pipeline_Sort!$C549))</f>
        <v/>
      </c>
      <c r="E549">
        <f>IF(Pipeline_Sort!$C549="","",INDEX(Pipeline_Calc!$F$2:$F$5251,Pipeline_Sort!$C549))</f>
        <v/>
      </c>
      <c r="F549">
        <f>IF(Pipeline_Sort!$C549="","",INDEX(Pipeline_Calc!$G$2:$G$5251,Pipeline_Sort!$C549))</f>
        <v/>
      </c>
      <c r="G549">
        <f>IF(Pipeline_Sort!$C549="","",INDEX(Pipeline_Calc!$H$2:$H$5251,Pipeline_Sort!$C549))</f>
        <v/>
      </c>
      <c r="H549">
        <f>IF(Pipeline_Sort!$C549="","",INDEX(Pipeline_Calc!$I$2:$I$5251,Pipeline_Sort!$C549))</f>
        <v/>
      </c>
      <c r="I549">
        <f>IF(Pipeline_Sort!$C549="","",INDEX(Pipeline_Calc!$J$2:$J$5251,Pipeline_Sort!$C549))</f>
        <v/>
      </c>
    </row>
    <row r="550">
      <c r="A550" s="22">
        <f>IF(Pipeline_Sort!$C550="","",INDEX(Pipeline_Calc!$B$2:$B$5251,Pipeline_Sort!$C550))</f>
        <v/>
      </c>
      <c r="B550">
        <f>IF(Pipeline_Sort!$C550="","",INDEX(Pipeline_Calc!$C$2:$C$5251,Pipeline_Sort!$C550))</f>
        <v/>
      </c>
      <c r="C550">
        <f>IF(Pipeline_Sort!$C550="","",INDEX(Pipeline_Calc!$D$2:$D$5251,Pipeline_Sort!$C550))</f>
        <v/>
      </c>
      <c r="D550">
        <f>IF(Pipeline_Sort!$C550="","",INDEX(Pipeline_Calc!$E$2:$E$5251,Pipeline_Sort!$C550))</f>
        <v/>
      </c>
      <c r="E550">
        <f>IF(Pipeline_Sort!$C550="","",INDEX(Pipeline_Calc!$F$2:$F$5251,Pipeline_Sort!$C550))</f>
        <v/>
      </c>
      <c r="F550">
        <f>IF(Pipeline_Sort!$C550="","",INDEX(Pipeline_Calc!$G$2:$G$5251,Pipeline_Sort!$C550))</f>
        <v/>
      </c>
      <c r="G550">
        <f>IF(Pipeline_Sort!$C550="","",INDEX(Pipeline_Calc!$H$2:$H$5251,Pipeline_Sort!$C550))</f>
        <v/>
      </c>
      <c r="H550">
        <f>IF(Pipeline_Sort!$C550="","",INDEX(Pipeline_Calc!$I$2:$I$5251,Pipeline_Sort!$C550))</f>
        <v/>
      </c>
      <c r="I550">
        <f>IF(Pipeline_Sort!$C550="","",INDEX(Pipeline_Calc!$J$2:$J$5251,Pipeline_Sort!$C550))</f>
        <v/>
      </c>
    </row>
    <row r="551">
      <c r="A551" s="22">
        <f>IF(Pipeline_Sort!$C551="","",INDEX(Pipeline_Calc!$B$2:$B$5251,Pipeline_Sort!$C551))</f>
        <v/>
      </c>
      <c r="B551">
        <f>IF(Pipeline_Sort!$C551="","",INDEX(Pipeline_Calc!$C$2:$C$5251,Pipeline_Sort!$C551))</f>
        <v/>
      </c>
      <c r="C551">
        <f>IF(Pipeline_Sort!$C551="","",INDEX(Pipeline_Calc!$D$2:$D$5251,Pipeline_Sort!$C551))</f>
        <v/>
      </c>
      <c r="D551">
        <f>IF(Pipeline_Sort!$C551="","",INDEX(Pipeline_Calc!$E$2:$E$5251,Pipeline_Sort!$C551))</f>
        <v/>
      </c>
      <c r="E551">
        <f>IF(Pipeline_Sort!$C551="","",INDEX(Pipeline_Calc!$F$2:$F$5251,Pipeline_Sort!$C551))</f>
        <v/>
      </c>
      <c r="F551">
        <f>IF(Pipeline_Sort!$C551="","",INDEX(Pipeline_Calc!$G$2:$G$5251,Pipeline_Sort!$C551))</f>
        <v/>
      </c>
      <c r="G551">
        <f>IF(Pipeline_Sort!$C551="","",INDEX(Pipeline_Calc!$H$2:$H$5251,Pipeline_Sort!$C551))</f>
        <v/>
      </c>
      <c r="H551">
        <f>IF(Pipeline_Sort!$C551="","",INDEX(Pipeline_Calc!$I$2:$I$5251,Pipeline_Sort!$C551))</f>
        <v/>
      </c>
      <c r="I551">
        <f>IF(Pipeline_Sort!$C551="","",INDEX(Pipeline_Calc!$J$2:$J$5251,Pipeline_Sort!$C551))</f>
        <v/>
      </c>
    </row>
    <row r="552">
      <c r="A552" s="22">
        <f>IF(Pipeline_Sort!$C552="","",INDEX(Pipeline_Calc!$B$2:$B$5251,Pipeline_Sort!$C552))</f>
        <v/>
      </c>
      <c r="B552">
        <f>IF(Pipeline_Sort!$C552="","",INDEX(Pipeline_Calc!$C$2:$C$5251,Pipeline_Sort!$C552))</f>
        <v/>
      </c>
      <c r="C552">
        <f>IF(Pipeline_Sort!$C552="","",INDEX(Pipeline_Calc!$D$2:$D$5251,Pipeline_Sort!$C552))</f>
        <v/>
      </c>
      <c r="D552">
        <f>IF(Pipeline_Sort!$C552="","",INDEX(Pipeline_Calc!$E$2:$E$5251,Pipeline_Sort!$C552))</f>
        <v/>
      </c>
      <c r="E552">
        <f>IF(Pipeline_Sort!$C552="","",INDEX(Pipeline_Calc!$F$2:$F$5251,Pipeline_Sort!$C552))</f>
        <v/>
      </c>
      <c r="F552">
        <f>IF(Pipeline_Sort!$C552="","",INDEX(Pipeline_Calc!$G$2:$G$5251,Pipeline_Sort!$C552))</f>
        <v/>
      </c>
      <c r="G552">
        <f>IF(Pipeline_Sort!$C552="","",INDEX(Pipeline_Calc!$H$2:$H$5251,Pipeline_Sort!$C552))</f>
        <v/>
      </c>
      <c r="H552">
        <f>IF(Pipeline_Sort!$C552="","",INDEX(Pipeline_Calc!$I$2:$I$5251,Pipeline_Sort!$C552))</f>
        <v/>
      </c>
      <c r="I552">
        <f>IF(Pipeline_Sort!$C552="","",INDEX(Pipeline_Calc!$J$2:$J$5251,Pipeline_Sort!$C552))</f>
        <v/>
      </c>
    </row>
    <row r="553">
      <c r="A553" s="22">
        <f>IF(Pipeline_Sort!$C553="","",INDEX(Pipeline_Calc!$B$2:$B$5251,Pipeline_Sort!$C553))</f>
        <v/>
      </c>
      <c r="B553">
        <f>IF(Pipeline_Sort!$C553="","",INDEX(Pipeline_Calc!$C$2:$C$5251,Pipeline_Sort!$C553))</f>
        <v/>
      </c>
      <c r="C553">
        <f>IF(Pipeline_Sort!$C553="","",INDEX(Pipeline_Calc!$D$2:$D$5251,Pipeline_Sort!$C553))</f>
        <v/>
      </c>
      <c r="D553">
        <f>IF(Pipeline_Sort!$C553="","",INDEX(Pipeline_Calc!$E$2:$E$5251,Pipeline_Sort!$C553))</f>
        <v/>
      </c>
      <c r="E553">
        <f>IF(Pipeline_Sort!$C553="","",INDEX(Pipeline_Calc!$F$2:$F$5251,Pipeline_Sort!$C553))</f>
        <v/>
      </c>
      <c r="F553">
        <f>IF(Pipeline_Sort!$C553="","",INDEX(Pipeline_Calc!$G$2:$G$5251,Pipeline_Sort!$C553))</f>
        <v/>
      </c>
      <c r="G553">
        <f>IF(Pipeline_Sort!$C553="","",INDEX(Pipeline_Calc!$H$2:$H$5251,Pipeline_Sort!$C553))</f>
        <v/>
      </c>
      <c r="H553">
        <f>IF(Pipeline_Sort!$C553="","",INDEX(Pipeline_Calc!$I$2:$I$5251,Pipeline_Sort!$C553))</f>
        <v/>
      </c>
      <c r="I553">
        <f>IF(Pipeline_Sort!$C553="","",INDEX(Pipeline_Calc!$J$2:$J$5251,Pipeline_Sort!$C553))</f>
        <v/>
      </c>
    </row>
    <row r="554">
      <c r="A554" s="22">
        <f>IF(Pipeline_Sort!$C554="","",INDEX(Pipeline_Calc!$B$2:$B$5251,Pipeline_Sort!$C554))</f>
        <v/>
      </c>
      <c r="B554">
        <f>IF(Pipeline_Sort!$C554="","",INDEX(Pipeline_Calc!$C$2:$C$5251,Pipeline_Sort!$C554))</f>
        <v/>
      </c>
      <c r="C554">
        <f>IF(Pipeline_Sort!$C554="","",INDEX(Pipeline_Calc!$D$2:$D$5251,Pipeline_Sort!$C554))</f>
        <v/>
      </c>
      <c r="D554">
        <f>IF(Pipeline_Sort!$C554="","",INDEX(Pipeline_Calc!$E$2:$E$5251,Pipeline_Sort!$C554))</f>
        <v/>
      </c>
      <c r="E554">
        <f>IF(Pipeline_Sort!$C554="","",INDEX(Pipeline_Calc!$F$2:$F$5251,Pipeline_Sort!$C554))</f>
        <v/>
      </c>
      <c r="F554">
        <f>IF(Pipeline_Sort!$C554="","",INDEX(Pipeline_Calc!$G$2:$G$5251,Pipeline_Sort!$C554))</f>
        <v/>
      </c>
      <c r="G554">
        <f>IF(Pipeline_Sort!$C554="","",INDEX(Pipeline_Calc!$H$2:$H$5251,Pipeline_Sort!$C554))</f>
        <v/>
      </c>
      <c r="H554">
        <f>IF(Pipeline_Sort!$C554="","",INDEX(Pipeline_Calc!$I$2:$I$5251,Pipeline_Sort!$C554))</f>
        <v/>
      </c>
      <c r="I554">
        <f>IF(Pipeline_Sort!$C554="","",INDEX(Pipeline_Calc!$J$2:$J$5251,Pipeline_Sort!$C554))</f>
        <v/>
      </c>
    </row>
    <row r="555">
      <c r="A555" s="22">
        <f>IF(Pipeline_Sort!$C555="","",INDEX(Pipeline_Calc!$B$2:$B$5251,Pipeline_Sort!$C555))</f>
        <v/>
      </c>
      <c r="B555">
        <f>IF(Pipeline_Sort!$C555="","",INDEX(Pipeline_Calc!$C$2:$C$5251,Pipeline_Sort!$C555))</f>
        <v/>
      </c>
      <c r="C555">
        <f>IF(Pipeline_Sort!$C555="","",INDEX(Pipeline_Calc!$D$2:$D$5251,Pipeline_Sort!$C555))</f>
        <v/>
      </c>
      <c r="D555">
        <f>IF(Pipeline_Sort!$C555="","",INDEX(Pipeline_Calc!$E$2:$E$5251,Pipeline_Sort!$C555))</f>
        <v/>
      </c>
      <c r="E555">
        <f>IF(Pipeline_Sort!$C555="","",INDEX(Pipeline_Calc!$F$2:$F$5251,Pipeline_Sort!$C555))</f>
        <v/>
      </c>
      <c r="F555">
        <f>IF(Pipeline_Sort!$C555="","",INDEX(Pipeline_Calc!$G$2:$G$5251,Pipeline_Sort!$C555))</f>
        <v/>
      </c>
      <c r="G555">
        <f>IF(Pipeline_Sort!$C555="","",INDEX(Pipeline_Calc!$H$2:$H$5251,Pipeline_Sort!$C555))</f>
        <v/>
      </c>
      <c r="H555">
        <f>IF(Pipeline_Sort!$C555="","",INDEX(Pipeline_Calc!$I$2:$I$5251,Pipeline_Sort!$C555))</f>
        <v/>
      </c>
      <c r="I555">
        <f>IF(Pipeline_Sort!$C555="","",INDEX(Pipeline_Calc!$J$2:$J$5251,Pipeline_Sort!$C555))</f>
        <v/>
      </c>
    </row>
    <row r="556">
      <c r="A556" s="22">
        <f>IF(Pipeline_Sort!$C556="","",INDEX(Pipeline_Calc!$B$2:$B$5251,Pipeline_Sort!$C556))</f>
        <v/>
      </c>
      <c r="B556">
        <f>IF(Pipeline_Sort!$C556="","",INDEX(Pipeline_Calc!$C$2:$C$5251,Pipeline_Sort!$C556))</f>
        <v/>
      </c>
      <c r="C556">
        <f>IF(Pipeline_Sort!$C556="","",INDEX(Pipeline_Calc!$D$2:$D$5251,Pipeline_Sort!$C556))</f>
        <v/>
      </c>
      <c r="D556">
        <f>IF(Pipeline_Sort!$C556="","",INDEX(Pipeline_Calc!$E$2:$E$5251,Pipeline_Sort!$C556))</f>
        <v/>
      </c>
      <c r="E556">
        <f>IF(Pipeline_Sort!$C556="","",INDEX(Pipeline_Calc!$F$2:$F$5251,Pipeline_Sort!$C556))</f>
        <v/>
      </c>
      <c r="F556">
        <f>IF(Pipeline_Sort!$C556="","",INDEX(Pipeline_Calc!$G$2:$G$5251,Pipeline_Sort!$C556))</f>
        <v/>
      </c>
      <c r="G556">
        <f>IF(Pipeline_Sort!$C556="","",INDEX(Pipeline_Calc!$H$2:$H$5251,Pipeline_Sort!$C556))</f>
        <v/>
      </c>
      <c r="H556">
        <f>IF(Pipeline_Sort!$C556="","",INDEX(Pipeline_Calc!$I$2:$I$5251,Pipeline_Sort!$C556))</f>
        <v/>
      </c>
      <c r="I556">
        <f>IF(Pipeline_Sort!$C556="","",INDEX(Pipeline_Calc!$J$2:$J$5251,Pipeline_Sort!$C556))</f>
        <v/>
      </c>
    </row>
    <row r="557">
      <c r="A557" s="22">
        <f>IF(Pipeline_Sort!$C557="","",INDEX(Pipeline_Calc!$B$2:$B$5251,Pipeline_Sort!$C557))</f>
        <v/>
      </c>
      <c r="B557">
        <f>IF(Pipeline_Sort!$C557="","",INDEX(Pipeline_Calc!$C$2:$C$5251,Pipeline_Sort!$C557))</f>
        <v/>
      </c>
      <c r="C557">
        <f>IF(Pipeline_Sort!$C557="","",INDEX(Pipeline_Calc!$D$2:$D$5251,Pipeline_Sort!$C557))</f>
        <v/>
      </c>
      <c r="D557">
        <f>IF(Pipeline_Sort!$C557="","",INDEX(Pipeline_Calc!$E$2:$E$5251,Pipeline_Sort!$C557))</f>
        <v/>
      </c>
      <c r="E557">
        <f>IF(Pipeline_Sort!$C557="","",INDEX(Pipeline_Calc!$F$2:$F$5251,Pipeline_Sort!$C557))</f>
        <v/>
      </c>
      <c r="F557">
        <f>IF(Pipeline_Sort!$C557="","",INDEX(Pipeline_Calc!$G$2:$G$5251,Pipeline_Sort!$C557))</f>
        <v/>
      </c>
      <c r="G557">
        <f>IF(Pipeline_Sort!$C557="","",INDEX(Pipeline_Calc!$H$2:$H$5251,Pipeline_Sort!$C557))</f>
        <v/>
      </c>
      <c r="H557">
        <f>IF(Pipeline_Sort!$C557="","",INDEX(Pipeline_Calc!$I$2:$I$5251,Pipeline_Sort!$C557))</f>
        <v/>
      </c>
      <c r="I557">
        <f>IF(Pipeline_Sort!$C557="","",INDEX(Pipeline_Calc!$J$2:$J$5251,Pipeline_Sort!$C557))</f>
        <v/>
      </c>
    </row>
    <row r="558">
      <c r="A558" s="22">
        <f>IF(Pipeline_Sort!$C558="","",INDEX(Pipeline_Calc!$B$2:$B$5251,Pipeline_Sort!$C558))</f>
        <v/>
      </c>
      <c r="B558">
        <f>IF(Pipeline_Sort!$C558="","",INDEX(Pipeline_Calc!$C$2:$C$5251,Pipeline_Sort!$C558))</f>
        <v/>
      </c>
      <c r="C558">
        <f>IF(Pipeline_Sort!$C558="","",INDEX(Pipeline_Calc!$D$2:$D$5251,Pipeline_Sort!$C558))</f>
        <v/>
      </c>
      <c r="D558">
        <f>IF(Pipeline_Sort!$C558="","",INDEX(Pipeline_Calc!$E$2:$E$5251,Pipeline_Sort!$C558))</f>
        <v/>
      </c>
      <c r="E558">
        <f>IF(Pipeline_Sort!$C558="","",INDEX(Pipeline_Calc!$F$2:$F$5251,Pipeline_Sort!$C558))</f>
        <v/>
      </c>
      <c r="F558">
        <f>IF(Pipeline_Sort!$C558="","",INDEX(Pipeline_Calc!$G$2:$G$5251,Pipeline_Sort!$C558))</f>
        <v/>
      </c>
      <c r="G558">
        <f>IF(Pipeline_Sort!$C558="","",INDEX(Pipeline_Calc!$H$2:$H$5251,Pipeline_Sort!$C558))</f>
        <v/>
      </c>
      <c r="H558">
        <f>IF(Pipeline_Sort!$C558="","",INDEX(Pipeline_Calc!$I$2:$I$5251,Pipeline_Sort!$C558))</f>
        <v/>
      </c>
      <c r="I558">
        <f>IF(Pipeline_Sort!$C558="","",INDEX(Pipeline_Calc!$J$2:$J$5251,Pipeline_Sort!$C558))</f>
        <v/>
      </c>
    </row>
    <row r="559">
      <c r="A559" s="22">
        <f>IF(Pipeline_Sort!$C559="","",INDEX(Pipeline_Calc!$B$2:$B$5251,Pipeline_Sort!$C559))</f>
        <v/>
      </c>
      <c r="B559">
        <f>IF(Pipeline_Sort!$C559="","",INDEX(Pipeline_Calc!$C$2:$C$5251,Pipeline_Sort!$C559))</f>
        <v/>
      </c>
      <c r="C559">
        <f>IF(Pipeline_Sort!$C559="","",INDEX(Pipeline_Calc!$D$2:$D$5251,Pipeline_Sort!$C559))</f>
        <v/>
      </c>
      <c r="D559">
        <f>IF(Pipeline_Sort!$C559="","",INDEX(Pipeline_Calc!$E$2:$E$5251,Pipeline_Sort!$C559))</f>
        <v/>
      </c>
      <c r="E559">
        <f>IF(Pipeline_Sort!$C559="","",INDEX(Pipeline_Calc!$F$2:$F$5251,Pipeline_Sort!$C559))</f>
        <v/>
      </c>
      <c r="F559">
        <f>IF(Pipeline_Sort!$C559="","",INDEX(Pipeline_Calc!$G$2:$G$5251,Pipeline_Sort!$C559))</f>
        <v/>
      </c>
      <c r="G559">
        <f>IF(Pipeline_Sort!$C559="","",INDEX(Pipeline_Calc!$H$2:$H$5251,Pipeline_Sort!$C559))</f>
        <v/>
      </c>
      <c r="H559">
        <f>IF(Pipeline_Sort!$C559="","",INDEX(Pipeline_Calc!$I$2:$I$5251,Pipeline_Sort!$C559))</f>
        <v/>
      </c>
      <c r="I559">
        <f>IF(Pipeline_Sort!$C559="","",INDEX(Pipeline_Calc!$J$2:$J$5251,Pipeline_Sort!$C559))</f>
        <v/>
      </c>
    </row>
    <row r="560">
      <c r="A560" s="22">
        <f>IF(Pipeline_Sort!$C560="","",INDEX(Pipeline_Calc!$B$2:$B$5251,Pipeline_Sort!$C560))</f>
        <v/>
      </c>
      <c r="B560">
        <f>IF(Pipeline_Sort!$C560="","",INDEX(Pipeline_Calc!$C$2:$C$5251,Pipeline_Sort!$C560))</f>
        <v/>
      </c>
      <c r="C560">
        <f>IF(Pipeline_Sort!$C560="","",INDEX(Pipeline_Calc!$D$2:$D$5251,Pipeline_Sort!$C560))</f>
        <v/>
      </c>
      <c r="D560">
        <f>IF(Pipeline_Sort!$C560="","",INDEX(Pipeline_Calc!$E$2:$E$5251,Pipeline_Sort!$C560))</f>
        <v/>
      </c>
      <c r="E560">
        <f>IF(Pipeline_Sort!$C560="","",INDEX(Pipeline_Calc!$F$2:$F$5251,Pipeline_Sort!$C560))</f>
        <v/>
      </c>
      <c r="F560">
        <f>IF(Pipeline_Sort!$C560="","",INDEX(Pipeline_Calc!$G$2:$G$5251,Pipeline_Sort!$C560))</f>
        <v/>
      </c>
      <c r="G560">
        <f>IF(Pipeline_Sort!$C560="","",INDEX(Pipeline_Calc!$H$2:$H$5251,Pipeline_Sort!$C560))</f>
        <v/>
      </c>
      <c r="H560">
        <f>IF(Pipeline_Sort!$C560="","",INDEX(Pipeline_Calc!$I$2:$I$5251,Pipeline_Sort!$C560))</f>
        <v/>
      </c>
      <c r="I560">
        <f>IF(Pipeline_Sort!$C560="","",INDEX(Pipeline_Calc!$J$2:$J$5251,Pipeline_Sort!$C560))</f>
        <v/>
      </c>
    </row>
    <row r="561">
      <c r="A561" s="22">
        <f>IF(Pipeline_Sort!$C561="","",INDEX(Pipeline_Calc!$B$2:$B$5251,Pipeline_Sort!$C561))</f>
        <v/>
      </c>
      <c r="B561">
        <f>IF(Pipeline_Sort!$C561="","",INDEX(Pipeline_Calc!$C$2:$C$5251,Pipeline_Sort!$C561))</f>
        <v/>
      </c>
      <c r="C561">
        <f>IF(Pipeline_Sort!$C561="","",INDEX(Pipeline_Calc!$D$2:$D$5251,Pipeline_Sort!$C561))</f>
        <v/>
      </c>
      <c r="D561">
        <f>IF(Pipeline_Sort!$C561="","",INDEX(Pipeline_Calc!$E$2:$E$5251,Pipeline_Sort!$C561))</f>
        <v/>
      </c>
      <c r="E561">
        <f>IF(Pipeline_Sort!$C561="","",INDEX(Pipeline_Calc!$F$2:$F$5251,Pipeline_Sort!$C561))</f>
        <v/>
      </c>
      <c r="F561">
        <f>IF(Pipeline_Sort!$C561="","",INDEX(Pipeline_Calc!$G$2:$G$5251,Pipeline_Sort!$C561))</f>
        <v/>
      </c>
      <c r="G561">
        <f>IF(Pipeline_Sort!$C561="","",INDEX(Pipeline_Calc!$H$2:$H$5251,Pipeline_Sort!$C561))</f>
        <v/>
      </c>
      <c r="H561">
        <f>IF(Pipeline_Sort!$C561="","",INDEX(Pipeline_Calc!$I$2:$I$5251,Pipeline_Sort!$C561))</f>
        <v/>
      </c>
      <c r="I561">
        <f>IF(Pipeline_Sort!$C561="","",INDEX(Pipeline_Calc!$J$2:$J$5251,Pipeline_Sort!$C561))</f>
        <v/>
      </c>
    </row>
    <row r="562">
      <c r="A562" s="22">
        <f>IF(Pipeline_Sort!$C562="","",INDEX(Pipeline_Calc!$B$2:$B$5251,Pipeline_Sort!$C562))</f>
        <v/>
      </c>
      <c r="B562">
        <f>IF(Pipeline_Sort!$C562="","",INDEX(Pipeline_Calc!$C$2:$C$5251,Pipeline_Sort!$C562))</f>
        <v/>
      </c>
      <c r="C562">
        <f>IF(Pipeline_Sort!$C562="","",INDEX(Pipeline_Calc!$D$2:$D$5251,Pipeline_Sort!$C562))</f>
        <v/>
      </c>
      <c r="D562">
        <f>IF(Pipeline_Sort!$C562="","",INDEX(Pipeline_Calc!$E$2:$E$5251,Pipeline_Sort!$C562))</f>
        <v/>
      </c>
      <c r="E562">
        <f>IF(Pipeline_Sort!$C562="","",INDEX(Pipeline_Calc!$F$2:$F$5251,Pipeline_Sort!$C562))</f>
        <v/>
      </c>
      <c r="F562">
        <f>IF(Pipeline_Sort!$C562="","",INDEX(Pipeline_Calc!$G$2:$G$5251,Pipeline_Sort!$C562))</f>
        <v/>
      </c>
      <c r="G562">
        <f>IF(Pipeline_Sort!$C562="","",INDEX(Pipeline_Calc!$H$2:$H$5251,Pipeline_Sort!$C562))</f>
        <v/>
      </c>
      <c r="H562">
        <f>IF(Pipeline_Sort!$C562="","",INDEX(Pipeline_Calc!$I$2:$I$5251,Pipeline_Sort!$C562))</f>
        <v/>
      </c>
      <c r="I562">
        <f>IF(Pipeline_Sort!$C562="","",INDEX(Pipeline_Calc!$J$2:$J$5251,Pipeline_Sort!$C562))</f>
        <v/>
      </c>
    </row>
    <row r="563">
      <c r="A563" s="22">
        <f>IF(Pipeline_Sort!$C563="","",INDEX(Pipeline_Calc!$B$2:$B$5251,Pipeline_Sort!$C563))</f>
        <v/>
      </c>
      <c r="B563">
        <f>IF(Pipeline_Sort!$C563="","",INDEX(Pipeline_Calc!$C$2:$C$5251,Pipeline_Sort!$C563))</f>
        <v/>
      </c>
      <c r="C563">
        <f>IF(Pipeline_Sort!$C563="","",INDEX(Pipeline_Calc!$D$2:$D$5251,Pipeline_Sort!$C563))</f>
        <v/>
      </c>
      <c r="D563">
        <f>IF(Pipeline_Sort!$C563="","",INDEX(Pipeline_Calc!$E$2:$E$5251,Pipeline_Sort!$C563))</f>
        <v/>
      </c>
      <c r="E563">
        <f>IF(Pipeline_Sort!$C563="","",INDEX(Pipeline_Calc!$F$2:$F$5251,Pipeline_Sort!$C563))</f>
        <v/>
      </c>
      <c r="F563">
        <f>IF(Pipeline_Sort!$C563="","",INDEX(Pipeline_Calc!$G$2:$G$5251,Pipeline_Sort!$C563))</f>
        <v/>
      </c>
      <c r="G563">
        <f>IF(Pipeline_Sort!$C563="","",INDEX(Pipeline_Calc!$H$2:$H$5251,Pipeline_Sort!$C563))</f>
        <v/>
      </c>
      <c r="H563">
        <f>IF(Pipeline_Sort!$C563="","",INDEX(Pipeline_Calc!$I$2:$I$5251,Pipeline_Sort!$C563))</f>
        <v/>
      </c>
      <c r="I563">
        <f>IF(Pipeline_Sort!$C563="","",INDEX(Pipeline_Calc!$J$2:$J$5251,Pipeline_Sort!$C563))</f>
        <v/>
      </c>
    </row>
    <row r="564">
      <c r="A564" s="22">
        <f>IF(Pipeline_Sort!$C564="","",INDEX(Pipeline_Calc!$B$2:$B$5251,Pipeline_Sort!$C564))</f>
        <v/>
      </c>
      <c r="B564">
        <f>IF(Pipeline_Sort!$C564="","",INDEX(Pipeline_Calc!$C$2:$C$5251,Pipeline_Sort!$C564))</f>
        <v/>
      </c>
      <c r="C564">
        <f>IF(Pipeline_Sort!$C564="","",INDEX(Pipeline_Calc!$D$2:$D$5251,Pipeline_Sort!$C564))</f>
        <v/>
      </c>
      <c r="D564">
        <f>IF(Pipeline_Sort!$C564="","",INDEX(Pipeline_Calc!$E$2:$E$5251,Pipeline_Sort!$C564))</f>
        <v/>
      </c>
      <c r="E564">
        <f>IF(Pipeline_Sort!$C564="","",INDEX(Pipeline_Calc!$F$2:$F$5251,Pipeline_Sort!$C564))</f>
        <v/>
      </c>
      <c r="F564">
        <f>IF(Pipeline_Sort!$C564="","",INDEX(Pipeline_Calc!$G$2:$G$5251,Pipeline_Sort!$C564))</f>
        <v/>
      </c>
      <c r="G564">
        <f>IF(Pipeline_Sort!$C564="","",INDEX(Pipeline_Calc!$H$2:$H$5251,Pipeline_Sort!$C564))</f>
        <v/>
      </c>
      <c r="H564">
        <f>IF(Pipeline_Sort!$C564="","",INDEX(Pipeline_Calc!$I$2:$I$5251,Pipeline_Sort!$C564))</f>
        <v/>
      </c>
      <c r="I564">
        <f>IF(Pipeline_Sort!$C564="","",INDEX(Pipeline_Calc!$J$2:$J$5251,Pipeline_Sort!$C564))</f>
        <v/>
      </c>
    </row>
    <row r="565">
      <c r="A565" s="22">
        <f>IF(Pipeline_Sort!$C565="","",INDEX(Pipeline_Calc!$B$2:$B$5251,Pipeline_Sort!$C565))</f>
        <v/>
      </c>
      <c r="B565">
        <f>IF(Pipeline_Sort!$C565="","",INDEX(Pipeline_Calc!$C$2:$C$5251,Pipeline_Sort!$C565))</f>
        <v/>
      </c>
      <c r="C565">
        <f>IF(Pipeline_Sort!$C565="","",INDEX(Pipeline_Calc!$D$2:$D$5251,Pipeline_Sort!$C565))</f>
        <v/>
      </c>
      <c r="D565">
        <f>IF(Pipeline_Sort!$C565="","",INDEX(Pipeline_Calc!$E$2:$E$5251,Pipeline_Sort!$C565))</f>
        <v/>
      </c>
      <c r="E565">
        <f>IF(Pipeline_Sort!$C565="","",INDEX(Pipeline_Calc!$F$2:$F$5251,Pipeline_Sort!$C565))</f>
        <v/>
      </c>
      <c r="F565">
        <f>IF(Pipeline_Sort!$C565="","",INDEX(Pipeline_Calc!$G$2:$G$5251,Pipeline_Sort!$C565))</f>
        <v/>
      </c>
      <c r="G565">
        <f>IF(Pipeline_Sort!$C565="","",INDEX(Pipeline_Calc!$H$2:$H$5251,Pipeline_Sort!$C565))</f>
        <v/>
      </c>
      <c r="H565">
        <f>IF(Pipeline_Sort!$C565="","",INDEX(Pipeline_Calc!$I$2:$I$5251,Pipeline_Sort!$C565))</f>
        <v/>
      </c>
      <c r="I565">
        <f>IF(Pipeline_Sort!$C565="","",INDEX(Pipeline_Calc!$J$2:$J$5251,Pipeline_Sort!$C565))</f>
        <v/>
      </c>
    </row>
    <row r="566">
      <c r="A566" s="22">
        <f>IF(Pipeline_Sort!$C566="","",INDEX(Pipeline_Calc!$B$2:$B$5251,Pipeline_Sort!$C566))</f>
        <v/>
      </c>
      <c r="B566">
        <f>IF(Pipeline_Sort!$C566="","",INDEX(Pipeline_Calc!$C$2:$C$5251,Pipeline_Sort!$C566))</f>
        <v/>
      </c>
      <c r="C566">
        <f>IF(Pipeline_Sort!$C566="","",INDEX(Pipeline_Calc!$D$2:$D$5251,Pipeline_Sort!$C566))</f>
        <v/>
      </c>
      <c r="D566">
        <f>IF(Pipeline_Sort!$C566="","",INDEX(Pipeline_Calc!$E$2:$E$5251,Pipeline_Sort!$C566))</f>
        <v/>
      </c>
      <c r="E566">
        <f>IF(Pipeline_Sort!$C566="","",INDEX(Pipeline_Calc!$F$2:$F$5251,Pipeline_Sort!$C566))</f>
        <v/>
      </c>
      <c r="F566">
        <f>IF(Pipeline_Sort!$C566="","",INDEX(Pipeline_Calc!$G$2:$G$5251,Pipeline_Sort!$C566))</f>
        <v/>
      </c>
      <c r="G566">
        <f>IF(Pipeline_Sort!$C566="","",INDEX(Pipeline_Calc!$H$2:$H$5251,Pipeline_Sort!$C566))</f>
        <v/>
      </c>
      <c r="H566">
        <f>IF(Pipeline_Sort!$C566="","",INDEX(Pipeline_Calc!$I$2:$I$5251,Pipeline_Sort!$C566))</f>
        <v/>
      </c>
      <c r="I566">
        <f>IF(Pipeline_Sort!$C566="","",INDEX(Pipeline_Calc!$J$2:$J$5251,Pipeline_Sort!$C566))</f>
        <v/>
      </c>
    </row>
    <row r="567">
      <c r="A567" s="22">
        <f>IF(Pipeline_Sort!$C567="","",INDEX(Pipeline_Calc!$B$2:$B$5251,Pipeline_Sort!$C567))</f>
        <v/>
      </c>
      <c r="B567">
        <f>IF(Pipeline_Sort!$C567="","",INDEX(Pipeline_Calc!$C$2:$C$5251,Pipeline_Sort!$C567))</f>
        <v/>
      </c>
      <c r="C567">
        <f>IF(Pipeline_Sort!$C567="","",INDEX(Pipeline_Calc!$D$2:$D$5251,Pipeline_Sort!$C567))</f>
        <v/>
      </c>
      <c r="D567">
        <f>IF(Pipeline_Sort!$C567="","",INDEX(Pipeline_Calc!$E$2:$E$5251,Pipeline_Sort!$C567))</f>
        <v/>
      </c>
      <c r="E567">
        <f>IF(Pipeline_Sort!$C567="","",INDEX(Pipeline_Calc!$F$2:$F$5251,Pipeline_Sort!$C567))</f>
        <v/>
      </c>
      <c r="F567">
        <f>IF(Pipeline_Sort!$C567="","",INDEX(Pipeline_Calc!$G$2:$G$5251,Pipeline_Sort!$C567))</f>
        <v/>
      </c>
      <c r="G567">
        <f>IF(Pipeline_Sort!$C567="","",INDEX(Pipeline_Calc!$H$2:$H$5251,Pipeline_Sort!$C567))</f>
        <v/>
      </c>
      <c r="H567">
        <f>IF(Pipeline_Sort!$C567="","",INDEX(Pipeline_Calc!$I$2:$I$5251,Pipeline_Sort!$C567))</f>
        <v/>
      </c>
      <c r="I567">
        <f>IF(Pipeline_Sort!$C567="","",INDEX(Pipeline_Calc!$J$2:$J$5251,Pipeline_Sort!$C567))</f>
        <v/>
      </c>
    </row>
    <row r="568">
      <c r="A568" s="22">
        <f>IF(Pipeline_Sort!$C568="","",INDEX(Pipeline_Calc!$B$2:$B$5251,Pipeline_Sort!$C568))</f>
        <v/>
      </c>
      <c r="B568">
        <f>IF(Pipeline_Sort!$C568="","",INDEX(Pipeline_Calc!$C$2:$C$5251,Pipeline_Sort!$C568))</f>
        <v/>
      </c>
      <c r="C568">
        <f>IF(Pipeline_Sort!$C568="","",INDEX(Pipeline_Calc!$D$2:$D$5251,Pipeline_Sort!$C568))</f>
        <v/>
      </c>
      <c r="D568">
        <f>IF(Pipeline_Sort!$C568="","",INDEX(Pipeline_Calc!$E$2:$E$5251,Pipeline_Sort!$C568))</f>
        <v/>
      </c>
      <c r="E568">
        <f>IF(Pipeline_Sort!$C568="","",INDEX(Pipeline_Calc!$F$2:$F$5251,Pipeline_Sort!$C568))</f>
        <v/>
      </c>
      <c r="F568">
        <f>IF(Pipeline_Sort!$C568="","",INDEX(Pipeline_Calc!$G$2:$G$5251,Pipeline_Sort!$C568))</f>
        <v/>
      </c>
      <c r="G568">
        <f>IF(Pipeline_Sort!$C568="","",INDEX(Pipeline_Calc!$H$2:$H$5251,Pipeline_Sort!$C568))</f>
        <v/>
      </c>
      <c r="H568">
        <f>IF(Pipeline_Sort!$C568="","",INDEX(Pipeline_Calc!$I$2:$I$5251,Pipeline_Sort!$C568))</f>
        <v/>
      </c>
      <c r="I568">
        <f>IF(Pipeline_Sort!$C568="","",INDEX(Pipeline_Calc!$J$2:$J$5251,Pipeline_Sort!$C568))</f>
        <v/>
      </c>
    </row>
    <row r="569">
      <c r="A569" s="22">
        <f>IF(Pipeline_Sort!$C569="","",INDEX(Pipeline_Calc!$B$2:$B$5251,Pipeline_Sort!$C569))</f>
        <v/>
      </c>
      <c r="B569">
        <f>IF(Pipeline_Sort!$C569="","",INDEX(Pipeline_Calc!$C$2:$C$5251,Pipeline_Sort!$C569))</f>
        <v/>
      </c>
      <c r="C569">
        <f>IF(Pipeline_Sort!$C569="","",INDEX(Pipeline_Calc!$D$2:$D$5251,Pipeline_Sort!$C569))</f>
        <v/>
      </c>
      <c r="D569">
        <f>IF(Pipeline_Sort!$C569="","",INDEX(Pipeline_Calc!$E$2:$E$5251,Pipeline_Sort!$C569))</f>
        <v/>
      </c>
      <c r="E569">
        <f>IF(Pipeline_Sort!$C569="","",INDEX(Pipeline_Calc!$F$2:$F$5251,Pipeline_Sort!$C569))</f>
        <v/>
      </c>
      <c r="F569">
        <f>IF(Pipeline_Sort!$C569="","",INDEX(Pipeline_Calc!$G$2:$G$5251,Pipeline_Sort!$C569))</f>
        <v/>
      </c>
      <c r="G569">
        <f>IF(Pipeline_Sort!$C569="","",INDEX(Pipeline_Calc!$H$2:$H$5251,Pipeline_Sort!$C569))</f>
        <v/>
      </c>
      <c r="H569">
        <f>IF(Pipeline_Sort!$C569="","",INDEX(Pipeline_Calc!$I$2:$I$5251,Pipeline_Sort!$C569))</f>
        <v/>
      </c>
      <c r="I569">
        <f>IF(Pipeline_Sort!$C569="","",INDEX(Pipeline_Calc!$J$2:$J$5251,Pipeline_Sort!$C569))</f>
        <v/>
      </c>
    </row>
    <row r="570">
      <c r="A570" s="22">
        <f>IF(Pipeline_Sort!$C570="","",INDEX(Pipeline_Calc!$B$2:$B$5251,Pipeline_Sort!$C570))</f>
        <v/>
      </c>
      <c r="B570">
        <f>IF(Pipeline_Sort!$C570="","",INDEX(Pipeline_Calc!$C$2:$C$5251,Pipeline_Sort!$C570))</f>
        <v/>
      </c>
      <c r="C570">
        <f>IF(Pipeline_Sort!$C570="","",INDEX(Pipeline_Calc!$D$2:$D$5251,Pipeline_Sort!$C570))</f>
        <v/>
      </c>
      <c r="D570">
        <f>IF(Pipeline_Sort!$C570="","",INDEX(Pipeline_Calc!$E$2:$E$5251,Pipeline_Sort!$C570))</f>
        <v/>
      </c>
      <c r="E570">
        <f>IF(Pipeline_Sort!$C570="","",INDEX(Pipeline_Calc!$F$2:$F$5251,Pipeline_Sort!$C570))</f>
        <v/>
      </c>
      <c r="F570">
        <f>IF(Pipeline_Sort!$C570="","",INDEX(Pipeline_Calc!$G$2:$G$5251,Pipeline_Sort!$C570))</f>
        <v/>
      </c>
      <c r="G570">
        <f>IF(Pipeline_Sort!$C570="","",INDEX(Pipeline_Calc!$H$2:$H$5251,Pipeline_Sort!$C570))</f>
        <v/>
      </c>
      <c r="H570">
        <f>IF(Pipeline_Sort!$C570="","",INDEX(Pipeline_Calc!$I$2:$I$5251,Pipeline_Sort!$C570))</f>
        <v/>
      </c>
      <c r="I570">
        <f>IF(Pipeline_Sort!$C570="","",INDEX(Pipeline_Calc!$J$2:$J$5251,Pipeline_Sort!$C570))</f>
        <v/>
      </c>
    </row>
    <row r="571">
      <c r="A571" s="22">
        <f>IF(Pipeline_Sort!$C571="","",INDEX(Pipeline_Calc!$B$2:$B$5251,Pipeline_Sort!$C571))</f>
        <v/>
      </c>
      <c r="B571">
        <f>IF(Pipeline_Sort!$C571="","",INDEX(Pipeline_Calc!$C$2:$C$5251,Pipeline_Sort!$C571))</f>
        <v/>
      </c>
      <c r="C571">
        <f>IF(Pipeline_Sort!$C571="","",INDEX(Pipeline_Calc!$D$2:$D$5251,Pipeline_Sort!$C571))</f>
        <v/>
      </c>
      <c r="D571">
        <f>IF(Pipeline_Sort!$C571="","",INDEX(Pipeline_Calc!$E$2:$E$5251,Pipeline_Sort!$C571))</f>
        <v/>
      </c>
      <c r="E571">
        <f>IF(Pipeline_Sort!$C571="","",INDEX(Pipeline_Calc!$F$2:$F$5251,Pipeline_Sort!$C571))</f>
        <v/>
      </c>
      <c r="F571">
        <f>IF(Pipeline_Sort!$C571="","",INDEX(Pipeline_Calc!$G$2:$G$5251,Pipeline_Sort!$C571))</f>
        <v/>
      </c>
      <c r="G571">
        <f>IF(Pipeline_Sort!$C571="","",INDEX(Pipeline_Calc!$H$2:$H$5251,Pipeline_Sort!$C571))</f>
        <v/>
      </c>
      <c r="H571">
        <f>IF(Pipeline_Sort!$C571="","",INDEX(Pipeline_Calc!$I$2:$I$5251,Pipeline_Sort!$C571))</f>
        <v/>
      </c>
      <c r="I571">
        <f>IF(Pipeline_Sort!$C571="","",INDEX(Pipeline_Calc!$J$2:$J$5251,Pipeline_Sort!$C571))</f>
        <v/>
      </c>
    </row>
    <row r="572">
      <c r="A572" s="22">
        <f>IF(Pipeline_Sort!$C572="","",INDEX(Pipeline_Calc!$B$2:$B$5251,Pipeline_Sort!$C572))</f>
        <v/>
      </c>
      <c r="B572">
        <f>IF(Pipeline_Sort!$C572="","",INDEX(Pipeline_Calc!$C$2:$C$5251,Pipeline_Sort!$C572))</f>
        <v/>
      </c>
      <c r="C572">
        <f>IF(Pipeline_Sort!$C572="","",INDEX(Pipeline_Calc!$D$2:$D$5251,Pipeline_Sort!$C572))</f>
        <v/>
      </c>
      <c r="D572">
        <f>IF(Pipeline_Sort!$C572="","",INDEX(Pipeline_Calc!$E$2:$E$5251,Pipeline_Sort!$C572))</f>
        <v/>
      </c>
      <c r="E572">
        <f>IF(Pipeline_Sort!$C572="","",INDEX(Pipeline_Calc!$F$2:$F$5251,Pipeline_Sort!$C572))</f>
        <v/>
      </c>
      <c r="F572">
        <f>IF(Pipeline_Sort!$C572="","",INDEX(Pipeline_Calc!$G$2:$G$5251,Pipeline_Sort!$C572))</f>
        <v/>
      </c>
      <c r="G572">
        <f>IF(Pipeline_Sort!$C572="","",INDEX(Pipeline_Calc!$H$2:$H$5251,Pipeline_Sort!$C572))</f>
        <v/>
      </c>
      <c r="H572">
        <f>IF(Pipeline_Sort!$C572="","",INDEX(Pipeline_Calc!$I$2:$I$5251,Pipeline_Sort!$C572))</f>
        <v/>
      </c>
      <c r="I572">
        <f>IF(Pipeline_Sort!$C572="","",INDEX(Pipeline_Calc!$J$2:$J$5251,Pipeline_Sort!$C572))</f>
        <v/>
      </c>
    </row>
    <row r="573">
      <c r="A573" s="22">
        <f>IF(Pipeline_Sort!$C573="","",INDEX(Pipeline_Calc!$B$2:$B$5251,Pipeline_Sort!$C573))</f>
        <v/>
      </c>
      <c r="B573">
        <f>IF(Pipeline_Sort!$C573="","",INDEX(Pipeline_Calc!$C$2:$C$5251,Pipeline_Sort!$C573))</f>
        <v/>
      </c>
      <c r="C573">
        <f>IF(Pipeline_Sort!$C573="","",INDEX(Pipeline_Calc!$D$2:$D$5251,Pipeline_Sort!$C573))</f>
        <v/>
      </c>
      <c r="D573">
        <f>IF(Pipeline_Sort!$C573="","",INDEX(Pipeline_Calc!$E$2:$E$5251,Pipeline_Sort!$C573))</f>
        <v/>
      </c>
      <c r="E573">
        <f>IF(Pipeline_Sort!$C573="","",INDEX(Pipeline_Calc!$F$2:$F$5251,Pipeline_Sort!$C573))</f>
        <v/>
      </c>
      <c r="F573">
        <f>IF(Pipeline_Sort!$C573="","",INDEX(Pipeline_Calc!$G$2:$G$5251,Pipeline_Sort!$C573))</f>
        <v/>
      </c>
      <c r="G573">
        <f>IF(Pipeline_Sort!$C573="","",INDEX(Pipeline_Calc!$H$2:$H$5251,Pipeline_Sort!$C573))</f>
        <v/>
      </c>
      <c r="H573">
        <f>IF(Pipeline_Sort!$C573="","",INDEX(Pipeline_Calc!$I$2:$I$5251,Pipeline_Sort!$C573))</f>
        <v/>
      </c>
      <c r="I573">
        <f>IF(Pipeline_Sort!$C573="","",INDEX(Pipeline_Calc!$J$2:$J$5251,Pipeline_Sort!$C573))</f>
        <v/>
      </c>
    </row>
    <row r="574">
      <c r="A574" s="22">
        <f>IF(Pipeline_Sort!$C574="","",INDEX(Pipeline_Calc!$B$2:$B$5251,Pipeline_Sort!$C574))</f>
        <v/>
      </c>
      <c r="B574">
        <f>IF(Pipeline_Sort!$C574="","",INDEX(Pipeline_Calc!$C$2:$C$5251,Pipeline_Sort!$C574))</f>
        <v/>
      </c>
      <c r="C574">
        <f>IF(Pipeline_Sort!$C574="","",INDEX(Pipeline_Calc!$D$2:$D$5251,Pipeline_Sort!$C574))</f>
        <v/>
      </c>
      <c r="D574">
        <f>IF(Pipeline_Sort!$C574="","",INDEX(Pipeline_Calc!$E$2:$E$5251,Pipeline_Sort!$C574))</f>
        <v/>
      </c>
      <c r="E574">
        <f>IF(Pipeline_Sort!$C574="","",INDEX(Pipeline_Calc!$F$2:$F$5251,Pipeline_Sort!$C574))</f>
        <v/>
      </c>
      <c r="F574">
        <f>IF(Pipeline_Sort!$C574="","",INDEX(Pipeline_Calc!$G$2:$G$5251,Pipeline_Sort!$C574))</f>
        <v/>
      </c>
      <c r="G574">
        <f>IF(Pipeline_Sort!$C574="","",INDEX(Pipeline_Calc!$H$2:$H$5251,Pipeline_Sort!$C574))</f>
        <v/>
      </c>
      <c r="H574">
        <f>IF(Pipeline_Sort!$C574="","",INDEX(Pipeline_Calc!$I$2:$I$5251,Pipeline_Sort!$C574))</f>
        <v/>
      </c>
      <c r="I574">
        <f>IF(Pipeline_Sort!$C574="","",INDEX(Pipeline_Calc!$J$2:$J$5251,Pipeline_Sort!$C574))</f>
        <v/>
      </c>
    </row>
    <row r="575">
      <c r="A575" s="22">
        <f>IF(Pipeline_Sort!$C575="","",INDEX(Pipeline_Calc!$B$2:$B$5251,Pipeline_Sort!$C575))</f>
        <v/>
      </c>
      <c r="B575">
        <f>IF(Pipeline_Sort!$C575="","",INDEX(Pipeline_Calc!$C$2:$C$5251,Pipeline_Sort!$C575))</f>
        <v/>
      </c>
      <c r="C575">
        <f>IF(Pipeline_Sort!$C575="","",INDEX(Pipeline_Calc!$D$2:$D$5251,Pipeline_Sort!$C575))</f>
        <v/>
      </c>
      <c r="D575">
        <f>IF(Pipeline_Sort!$C575="","",INDEX(Pipeline_Calc!$E$2:$E$5251,Pipeline_Sort!$C575))</f>
        <v/>
      </c>
      <c r="E575">
        <f>IF(Pipeline_Sort!$C575="","",INDEX(Pipeline_Calc!$F$2:$F$5251,Pipeline_Sort!$C575))</f>
        <v/>
      </c>
      <c r="F575">
        <f>IF(Pipeline_Sort!$C575="","",INDEX(Pipeline_Calc!$G$2:$G$5251,Pipeline_Sort!$C575))</f>
        <v/>
      </c>
      <c r="G575">
        <f>IF(Pipeline_Sort!$C575="","",INDEX(Pipeline_Calc!$H$2:$H$5251,Pipeline_Sort!$C575))</f>
        <v/>
      </c>
      <c r="H575">
        <f>IF(Pipeline_Sort!$C575="","",INDEX(Pipeline_Calc!$I$2:$I$5251,Pipeline_Sort!$C575))</f>
        <v/>
      </c>
      <c r="I575">
        <f>IF(Pipeline_Sort!$C575="","",INDEX(Pipeline_Calc!$J$2:$J$5251,Pipeline_Sort!$C575))</f>
        <v/>
      </c>
    </row>
    <row r="576">
      <c r="A576" s="22">
        <f>IF(Pipeline_Sort!$C576="","",INDEX(Pipeline_Calc!$B$2:$B$5251,Pipeline_Sort!$C576))</f>
        <v/>
      </c>
      <c r="B576">
        <f>IF(Pipeline_Sort!$C576="","",INDEX(Pipeline_Calc!$C$2:$C$5251,Pipeline_Sort!$C576))</f>
        <v/>
      </c>
      <c r="C576">
        <f>IF(Pipeline_Sort!$C576="","",INDEX(Pipeline_Calc!$D$2:$D$5251,Pipeline_Sort!$C576))</f>
        <v/>
      </c>
      <c r="D576">
        <f>IF(Pipeline_Sort!$C576="","",INDEX(Pipeline_Calc!$E$2:$E$5251,Pipeline_Sort!$C576))</f>
        <v/>
      </c>
      <c r="E576">
        <f>IF(Pipeline_Sort!$C576="","",INDEX(Pipeline_Calc!$F$2:$F$5251,Pipeline_Sort!$C576))</f>
        <v/>
      </c>
      <c r="F576">
        <f>IF(Pipeline_Sort!$C576="","",INDEX(Pipeline_Calc!$G$2:$G$5251,Pipeline_Sort!$C576))</f>
        <v/>
      </c>
      <c r="G576">
        <f>IF(Pipeline_Sort!$C576="","",INDEX(Pipeline_Calc!$H$2:$H$5251,Pipeline_Sort!$C576))</f>
        <v/>
      </c>
      <c r="H576">
        <f>IF(Pipeline_Sort!$C576="","",INDEX(Pipeline_Calc!$I$2:$I$5251,Pipeline_Sort!$C576))</f>
        <v/>
      </c>
      <c r="I576">
        <f>IF(Pipeline_Sort!$C576="","",INDEX(Pipeline_Calc!$J$2:$J$5251,Pipeline_Sort!$C576))</f>
        <v/>
      </c>
    </row>
    <row r="577">
      <c r="A577" s="22">
        <f>IF(Pipeline_Sort!$C577="","",INDEX(Pipeline_Calc!$B$2:$B$5251,Pipeline_Sort!$C577))</f>
        <v/>
      </c>
      <c r="B577">
        <f>IF(Pipeline_Sort!$C577="","",INDEX(Pipeline_Calc!$C$2:$C$5251,Pipeline_Sort!$C577))</f>
        <v/>
      </c>
      <c r="C577">
        <f>IF(Pipeline_Sort!$C577="","",INDEX(Pipeline_Calc!$D$2:$D$5251,Pipeline_Sort!$C577))</f>
        <v/>
      </c>
      <c r="D577">
        <f>IF(Pipeline_Sort!$C577="","",INDEX(Pipeline_Calc!$E$2:$E$5251,Pipeline_Sort!$C577))</f>
        <v/>
      </c>
      <c r="E577">
        <f>IF(Pipeline_Sort!$C577="","",INDEX(Pipeline_Calc!$F$2:$F$5251,Pipeline_Sort!$C577))</f>
        <v/>
      </c>
      <c r="F577">
        <f>IF(Pipeline_Sort!$C577="","",INDEX(Pipeline_Calc!$G$2:$G$5251,Pipeline_Sort!$C577))</f>
        <v/>
      </c>
      <c r="G577">
        <f>IF(Pipeline_Sort!$C577="","",INDEX(Pipeline_Calc!$H$2:$H$5251,Pipeline_Sort!$C577))</f>
        <v/>
      </c>
      <c r="H577">
        <f>IF(Pipeline_Sort!$C577="","",INDEX(Pipeline_Calc!$I$2:$I$5251,Pipeline_Sort!$C577))</f>
        <v/>
      </c>
      <c r="I577">
        <f>IF(Pipeline_Sort!$C577="","",INDEX(Pipeline_Calc!$J$2:$J$5251,Pipeline_Sort!$C577))</f>
        <v/>
      </c>
    </row>
    <row r="578">
      <c r="A578" s="22">
        <f>IF(Pipeline_Sort!$C578="","",INDEX(Pipeline_Calc!$B$2:$B$5251,Pipeline_Sort!$C578))</f>
        <v/>
      </c>
      <c r="B578">
        <f>IF(Pipeline_Sort!$C578="","",INDEX(Pipeline_Calc!$C$2:$C$5251,Pipeline_Sort!$C578))</f>
        <v/>
      </c>
      <c r="C578">
        <f>IF(Pipeline_Sort!$C578="","",INDEX(Pipeline_Calc!$D$2:$D$5251,Pipeline_Sort!$C578))</f>
        <v/>
      </c>
      <c r="D578">
        <f>IF(Pipeline_Sort!$C578="","",INDEX(Pipeline_Calc!$E$2:$E$5251,Pipeline_Sort!$C578))</f>
        <v/>
      </c>
      <c r="E578">
        <f>IF(Pipeline_Sort!$C578="","",INDEX(Pipeline_Calc!$F$2:$F$5251,Pipeline_Sort!$C578))</f>
        <v/>
      </c>
      <c r="F578">
        <f>IF(Pipeline_Sort!$C578="","",INDEX(Pipeline_Calc!$G$2:$G$5251,Pipeline_Sort!$C578))</f>
        <v/>
      </c>
      <c r="G578">
        <f>IF(Pipeline_Sort!$C578="","",INDEX(Pipeline_Calc!$H$2:$H$5251,Pipeline_Sort!$C578))</f>
        <v/>
      </c>
      <c r="H578">
        <f>IF(Pipeline_Sort!$C578="","",INDEX(Pipeline_Calc!$I$2:$I$5251,Pipeline_Sort!$C578))</f>
        <v/>
      </c>
      <c r="I578">
        <f>IF(Pipeline_Sort!$C578="","",INDEX(Pipeline_Calc!$J$2:$J$5251,Pipeline_Sort!$C578))</f>
        <v/>
      </c>
    </row>
    <row r="579">
      <c r="A579" s="22">
        <f>IF(Pipeline_Sort!$C579="","",INDEX(Pipeline_Calc!$B$2:$B$5251,Pipeline_Sort!$C579))</f>
        <v/>
      </c>
      <c r="B579">
        <f>IF(Pipeline_Sort!$C579="","",INDEX(Pipeline_Calc!$C$2:$C$5251,Pipeline_Sort!$C579))</f>
        <v/>
      </c>
      <c r="C579">
        <f>IF(Pipeline_Sort!$C579="","",INDEX(Pipeline_Calc!$D$2:$D$5251,Pipeline_Sort!$C579))</f>
        <v/>
      </c>
      <c r="D579">
        <f>IF(Pipeline_Sort!$C579="","",INDEX(Pipeline_Calc!$E$2:$E$5251,Pipeline_Sort!$C579))</f>
        <v/>
      </c>
      <c r="E579">
        <f>IF(Pipeline_Sort!$C579="","",INDEX(Pipeline_Calc!$F$2:$F$5251,Pipeline_Sort!$C579))</f>
        <v/>
      </c>
      <c r="F579">
        <f>IF(Pipeline_Sort!$C579="","",INDEX(Pipeline_Calc!$G$2:$G$5251,Pipeline_Sort!$C579))</f>
        <v/>
      </c>
      <c r="G579">
        <f>IF(Pipeline_Sort!$C579="","",INDEX(Pipeline_Calc!$H$2:$H$5251,Pipeline_Sort!$C579))</f>
        <v/>
      </c>
      <c r="H579">
        <f>IF(Pipeline_Sort!$C579="","",INDEX(Pipeline_Calc!$I$2:$I$5251,Pipeline_Sort!$C579))</f>
        <v/>
      </c>
      <c r="I579">
        <f>IF(Pipeline_Sort!$C579="","",INDEX(Pipeline_Calc!$J$2:$J$5251,Pipeline_Sort!$C579))</f>
        <v/>
      </c>
    </row>
    <row r="580">
      <c r="A580" s="22">
        <f>IF(Pipeline_Sort!$C580="","",INDEX(Pipeline_Calc!$B$2:$B$5251,Pipeline_Sort!$C580))</f>
        <v/>
      </c>
      <c r="B580">
        <f>IF(Pipeline_Sort!$C580="","",INDEX(Pipeline_Calc!$C$2:$C$5251,Pipeline_Sort!$C580))</f>
        <v/>
      </c>
      <c r="C580">
        <f>IF(Pipeline_Sort!$C580="","",INDEX(Pipeline_Calc!$D$2:$D$5251,Pipeline_Sort!$C580))</f>
        <v/>
      </c>
      <c r="D580">
        <f>IF(Pipeline_Sort!$C580="","",INDEX(Pipeline_Calc!$E$2:$E$5251,Pipeline_Sort!$C580))</f>
        <v/>
      </c>
      <c r="E580">
        <f>IF(Pipeline_Sort!$C580="","",INDEX(Pipeline_Calc!$F$2:$F$5251,Pipeline_Sort!$C580))</f>
        <v/>
      </c>
      <c r="F580">
        <f>IF(Pipeline_Sort!$C580="","",INDEX(Pipeline_Calc!$G$2:$G$5251,Pipeline_Sort!$C580))</f>
        <v/>
      </c>
      <c r="G580">
        <f>IF(Pipeline_Sort!$C580="","",INDEX(Pipeline_Calc!$H$2:$H$5251,Pipeline_Sort!$C580))</f>
        <v/>
      </c>
      <c r="H580">
        <f>IF(Pipeline_Sort!$C580="","",INDEX(Pipeline_Calc!$I$2:$I$5251,Pipeline_Sort!$C580))</f>
        <v/>
      </c>
      <c r="I580">
        <f>IF(Pipeline_Sort!$C580="","",INDEX(Pipeline_Calc!$J$2:$J$5251,Pipeline_Sort!$C580))</f>
        <v/>
      </c>
    </row>
    <row r="581">
      <c r="A581" s="22">
        <f>IF(Pipeline_Sort!$C581="","",INDEX(Pipeline_Calc!$B$2:$B$5251,Pipeline_Sort!$C581))</f>
        <v/>
      </c>
      <c r="B581">
        <f>IF(Pipeline_Sort!$C581="","",INDEX(Pipeline_Calc!$C$2:$C$5251,Pipeline_Sort!$C581))</f>
        <v/>
      </c>
      <c r="C581">
        <f>IF(Pipeline_Sort!$C581="","",INDEX(Pipeline_Calc!$D$2:$D$5251,Pipeline_Sort!$C581))</f>
        <v/>
      </c>
      <c r="D581">
        <f>IF(Pipeline_Sort!$C581="","",INDEX(Pipeline_Calc!$E$2:$E$5251,Pipeline_Sort!$C581))</f>
        <v/>
      </c>
      <c r="E581">
        <f>IF(Pipeline_Sort!$C581="","",INDEX(Pipeline_Calc!$F$2:$F$5251,Pipeline_Sort!$C581))</f>
        <v/>
      </c>
      <c r="F581">
        <f>IF(Pipeline_Sort!$C581="","",INDEX(Pipeline_Calc!$G$2:$G$5251,Pipeline_Sort!$C581))</f>
        <v/>
      </c>
      <c r="G581">
        <f>IF(Pipeline_Sort!$C581="","",INDEX(Pipeline_Calc!$H$2:$H$5251,Pipeline_Sort!$C581))</f>
        <v/>
      </c>
      <c r="H581">
        <f>IF(Pipeline_Sort!$C581="","",INDEX(Pipeline_Calc!$I$2:$I$5251,Pipeline_Sort!$C581))</f>
        <v/>
      </c>
      <c r="I581">
        <f>IF(Pipeline_Sort!$C581="","",INDEX(Pipeline_Calc!$J$2:$J$5251,Pipeline_Sort!$C581))</f>
        <v/>
      </c>
    </row>
    <row r="582">
      <c r="A582" s="22">
        <f>IF(Pipeline_Sort!$C582="","",INDEX(Pipeline_Calc!$B$2:$B$5251,Pipeline_Sort!$C582))</f>
        <v/>
      </c>
      <c r="B582">
        <f>IF(Pipeline_Sort!$C582="","",INDEX(Pipeline_Calc!$C$2:$C$5251,Pipeline_Sort!$C582))</f>
        <v/>
      </c>
      <c r="C582">
        <f>IF(Pipeline_Sort!$C582="","",INDEX(Pipeline_Calc!$D$2:$D$5251,Pipeline_Sort!$C582))</f>
        <v/>
      </c>
      <c r="D582">
        <f>IF(Pipeline_Sort!$C582="","",INDEX(Pipeline_Calc!$E$2:$E$5251,Pipeline_Sort!$C582))</f>
        <v/>
      </c>
      <c r="E582">
        <f>IF(Pipeline_Sort!$C582="","",INDEX(Pipeline_Calc!$F$2:$F$5251,Pipeline_Sort!$C582))</f>
        <v/>
      </c>
      <c r="F582">
        <f>IF(Pipeline_Sort!$C582="","",INDEX(Pipeline_Calc!$G$2:$G$5251,Pipeline_Sort!$C582))</f>
        <v/>
      </c>
      <c r="G582">
        <f>IF(Pipeline_Sort!$C582="","",INDEX(Pipeline_Calc!$H$2:$H$5251,Pipeline_Sort!$C582))</f>
        <v/>
      </c>
      <c r="H582">
        <f>IF(Pipeline_Sort!$C582="","",INDEX(Pipeline_Calc!$I$2:$I$5251,Pipeline_Sort!$C582))</f>
        <v/>
      </c>
      <c r="I582">
        <f>IF(Pipeline_Sort!$C582="","",INDEX(Pipeline_Calc!$J$2:$J$5251,Pipeline_Sort!$C582))</f>
        <v/>
      </c>
    </row>
    <row r="583">
      <c r="A583" s="22">
        <f>IF(Pipeline_Sort!$C583="","",INDEX(Pipeline_Calc!$B$2:$B$5251,Pipeline_Sort!$C583))</f>
        <v/>
      </c>
      <c r="B583">
        <f>IF(Pipeline_Sort!$C583="","",INDEX(Pipeline_Calc!$C$2:$C$5251,Pipeline_Sort!$C583))</f>
        <v/>
      </c>
      <c r="C583">
        <f>IF(Pipeline_Sort!$C583="","",INDEX(Pipeline_Calc!$D$2:$D$5251,Pipeline_Sort!$C583))</f>
        <v/>
      </c>
      <c r="D583">
        <f>IF(Pipeline_Sort!$C583="","",INDEX(Pipeline_Calc!$E$2:$E$5251,Pipeline_Sort!$C583))</f>
        <v/>
      </c>
      <c r="E583">
        <f>IF(Pipeline_Sort!$C583="","",INDEX(Pipeline_Calc!$F$2:$F$5251,Pipeline_Sort!$C583))</f>
        <v/>
      </c>
      <c r="F583">
        <f>IF(Pipeline_Sort!$C583="","",INDEX(Pipeline_Calc!$G$2:$G$5251,Pipeline_Sort!$C583))</f>
        <v/>
      </c>
      <c r="G583">
        <f>IF(Pipeline_Sort!$C583="","",INDEX(Pipeline_Calc!$H$2:$H$5251,Pipeline_Sort!$C583))</f>
        <v/>
      </c>
      <c r="H583">
        <f>IF(Pipeline_Sort!$C583="","",INDEX(Pipeline_Calc!$I$2:$I$5251,Pipeline_Sort!$C583))</f>
        <v/>
      </c>
      <c r="I583">
        <f>IF(Pipeline_Sort!$C583="","",INDEX(Pipeline_Calc!$J$2:$J$5251,Pipeline_Sort!$C583))</f>
        <v/>
      </c>
    </row>
    <row r="584">
      <c r="A584" s="22">
        <f>IF(Pipeline_Sort!$C584="","",INDEX(Pipeline_Calc!$B$2:$B$5251,Pipeline_Sort!$C584))</f>
        <v/>
      </c>
      <c r="B584">
        <f>IF(Pipeline_Sort!$C584="","",INDEX(Pipeline_Calc!$C$2:$C$5251,Pipeline_Sort!$C584))</f>
        <v/>
      </c>
      <c r="C584">
        <f>IF(Pipeline_Sort!$C584="","",INDEX(Pipeline_Calc!$D$2:$D$5251,Pipeline_Sort!$C584))</f>
        <v/>
      </c>
      <c r="D584">
        <f>IF(Pipeline_Sort!$C584="","",INDEX(Pipeline_Calc!$E$2:$E$5251,Pipeline_Sort!$C584))</f>
        <v/>
      </c>
      <c r="E584">
        <f>IF(Pipeline_Sort!$C584="","",INDEX(Pipeline_Calc!$F$2:$F$5251,Pipeline_Sort!$C584))</f>
        <v/>
      </c>
      <c r="F584">
        <f>IF(Pipeline_Sort!$C584="","",INDEX(Pipeline_Calc!$G$2:$G$5251,Pipeline_Sort!$C584))</f>
        <v/>
      </c>
      <c r="G584">
        <f>IF(Pipeline_Sort!$C584="","",INDEX(Pipeline_Calc!$H$2:$H$5251,Pipeline_Sort!$C584))</f>
        <v/>
      </c>
      <c r="H584">
        <f>IF(Pipeline_Sort!$C584="","",INDEX(Pipeline_Calc!$I$2:$I$5251,Pipeline_Sort!$C584))</f>
        <v/>
      </c>
      <c r="I584">
        <f>IF(Pipeline_Sort!$C584="","",INDEX(Pipeline_Calc!$J$2:$J$5251,Pipeline_Sort!$C584))</f>
        <v/>
      </c>
    </row>
    <row r="585">
      <c r="A585" s="22">
        <f>IF(Pipeline_Sort!$C585="","",INDEX(Pipeline_Calc!$B$2:$B$5251,Pipeline_Sort!$C585))</f>
        <v/>
      </c>
      <c r="B585">
        <f>IF(Pipeline_Sort!$C585="","",INDEX(Pipeline_Calc!$C$2:$C$5251,Pipeline_Sort!$C585))</f>
        <v/>
      </c>
      <c r="C585">
        <f>IF(Pipeline_Sort!$C585="","",INDEX(Pipeline_Calc!$D$2:$D$5251,Pipeline_Sort!$C585))</f>
        <v/>
      </c>
      <c r="D585">
        <f>IF(Pipeline_Sort!$C585="","",INDEX(Pipeline_Calc!$E$2:$E$5251,Pipeline_Sort!$C585))</f>
        <v/>
      </c>
      <c r="E585">
        <f>IF(Pipeline_Sort!$C585="","",INDEX(Pipeline_Calc!$F$2:$F$5251,Pipeline_Sort!$C585))</f>
        <v/>
      </c>
      <c r="F585">
        <f>IF(Pipeline_Sort!$C585="","",INDEX(Pipeline_Calc!$G$2:$G$5251,Pipeline_Sort!$C585))</f>
        <v/>
      </c>
      <c r="G585">
        <f>IF(Pipeline_Sort!$C585="","",INDEX(Pipeline_Calc!$H$2:$H$5251,Pipeline_Sort!$C585))</f>
        <v/>
      </c>
      <c r="H585">
        <f>IF(Pipeline_Sort!$C585="","",INDEX(Pipeline_Calc!$I$2:$I$5251,Pipeline_Sort!$C585))</f>
        <v/>
      </c>
      <c r="I585">
        <f>IF(Pipeline_Sort!$C585="","",INDEX(Pipeline_Calc!$J$2:$J$5251,Pipeline_Sort!$C585))</f>
        <v/>
      </c>
    </row>
    <row r="586">
      <c r="A586" s="22">
        <f>IF(Pipeline_Sort!$C586="","",INDEX(Pipeline_Calc!$B$2:$B$5251,Pipeline_Sort!$C586))</f>
        <v/>
      </c>
      <c r="B586">
        <f>IF(Pipeline_Sort!$C586="","",INDEX(Pipeline_Calc!$C$2:$C$5251,Pipeline_Sort!$C586))</f>
        <v/>
      </c>
      <c r="C586">
        <f>IF(Pipeline_Sort!$C586="","",INDEX(Pipeline_Calc!$D$2:$D$5251,Pipeline_Sort!$C586))</f>
        <v/>
      </c>
      <c r="D586">
        <f>IF(Pipeline_Sort!$C586="","",INDEX(Pipeline_Calc!$E$2:$E$5251,Pipeline_Sort!$C586))</f>
        <v/>
      </c>
      <c r="E586">
        <f>IF(Pipeline_Sort!$C586="","",INDEX(Pipeline_Calc!$F$2:$F$5251,Pipeline_Sort!$C586))</f>
        <v/>
      </c>
      <c r="F586">
        <f>IF(Pipeline_Sort!$C586="","",INDEX(Pipeline_Calc!$G$2:$G$5251,Pipeline_Sort!$C586))</f>
        <v/>
      </c>
      <c r="G586">
        <f>IF(Pipeline_Sort!$C586="","",INDEX(Pipeline_Calc!$H$2:$H$5251,Pipeline_Sort!$C586))</f>
        <v/>
      </c>
      <c r="H586">
        <f>IF(Pipeline_Sort!$C586="","",INDEX(Pipeline_Calc!$I$2:$I$5251,Pipeline_Sort!$C586))</f>
        <v/>
      </c>
      <c r="I586">
        <f>IF(Pipeline_Sort!$C586="","",INDEX(Pipeline_Calc!$J$2:$J$5251,Pipeline_Sort!$C586))</f>
        <v/>
      </c>
    </row>
    <row r="587">
      <c r="A587" s="22">
        <f>IF(Pipeline_Sort!$C587="","",INDEX(Pipeline_Calc!$B$2:$B$5251,Pipeline_Sort!$C587))</f>
        <v/>
      </c>
      <c r="B587">
        <f>IF(Pipeline_Sort!$C587="","",INDEX(Pipeline_Calc!$C$2:$C$5251,Pipeline_Sort!$C587))</f>
        <v/>
      </c>
      <c r="C587">
        <f>IF(Pipeline_Sort!$C587="","",INDEX(Pipeline_Calc!$D$2:$D$5251,Pipeline_Sort!$C587))</f>
        <v/>
      </c>
      <c r="D587">
        <f>IF(Pipeline_Sort!$C587="","",INDEX(Pipeline_Calc!$E$2:$E$5251,Pipeline_Sort!$C587))</f>
        <v/>
      </c>
      <c r="E587">
        <f>IF(Pipeline_Sort!$C587="","",INDEX(Pipeline_Calc!$F$2:$F$5251,Pipeline_Sort!$C587))</f>
        <v/>
      </c>
      <c r="F587">
        <f>IF(Pipeline_Sort!$C587="","",INDEX(Pipeline_Calc!$G$2:$G$5251,Pipeline_Sort!$C587))</f>
        <v/>
      </c>
      <c r="G587">
        <f>IF(Pipeline_Sort!$C587="","",INDEX(Pipeline_Calc!$H$2:$H$5251,Pipeline_Sort!$C587))</f>
        <v/>
      </c>
      <c r="H587">
        <f>IF(Pipeline_Sort!$C587="","",INDEX(Pipeline_Calc!$I$2:$I$5251,Pipeline_Sort!$C587))</f>
        <v/>
      </c>
      <c r="I587">
        <f>IF(Pipeline_Sort!$C587="","",INDEX(Pipeline_Calc!$J$2:$J$5251,Pipeline_Sort!$C587))</f>
        <v/>
      </c>
    </row>
    <row r="588">
      <c r="A588" s="22">
        <f>IF(Pipeline_Sort!$C588="","",INDEX(Pipeline_Calc!$B$2:$B$5251,Pipeline_Sort!$C588))</f>
        <v/>
      </c>
      <c r="B588">
        <f>IF(Pipeline_Sort!$C588="","",INDEX(Pipeline_Calc!$C$2:$C$5251,Pipeline_Sort!$C588))</f>
        <v/>
      </c>
      <c r="C588">
        <f>IF(Pipeline_Sort!$C588="","",INDEX(Pipeline_Calc!$D$2:$D$5251,Pipeline_Sort!$C588))</f>
        <v/>
      </c>
      <c r="D588">
        <f>IF(Pipeline_Sort!$C588="","",INDEX(Pipeline_Calc!$E$2:$E$5251,Pipeline_Sort!$C588))</f>
        <v/>
      </c>
      <c r="E588">
        <f>IF(Pipeline_Sort!$C588="","",INDEX(Pipeline_Calc!$F$2:$F$5251,Pipeline_Sort!$C588))</f>
        <v/>
      </c>
      <c r="F588">
        <f>IF(Pipeline_Sort!$C588="","",INDEX(Pipeline_Calc!$G$2:$G$5251,Pipeline_Sort!$C588))</f>
        <v/>
      </c>
      <c r="G588">
        <f>IF(Pipeline_Sort!$C588="","",INDEX(Pipeline_Calc!$H$2:$H$5251,Pipeline_Sort!$C588))</f>
        <v/>
      </c>
      <c r="H588">
        <f>IF(Pipeline_Sort!$C588="","",INDEX(Pipeline_Calc!$I$2:$I$5251,Pipeline_Sort!$C588))</f>
        <v/>
      </c>
      <c r="I588">
        <f>IF(Pipeline_Sort!$C588="","",INDEX(Pipeline_Calc!$J$2:$J$5251,Pipeline_Sort!$C588))</f>
        <v/>
      </c>
    </row>
    <row r="589">
      <c r="A589" s="22">
        <f>IF(Pipeline_Sort!$C589="","",INDEX(Pipeline_Calc!$B$2:$B$5251,Pipeline_Sort!$C589))</f>
        <v/>
      </c>
      <c r="B589">
        <f>IF(Pipeline_Sort!$C589="","",INDEX(Pipeline_Calc!$C$2:$C$5251,Pipeline_Sort!$C589))</f>
        <v/>
      </c>
      <c r="C589">
        <f>IF(Pipeline_Sort!$C589="","",INDEX(Pipeline_Calc!$D$2:$D$5251,Pipeline_Sort!$C589))</f>
        <v/>
      </c>
      <c r="D589">
        <f>IF(Pipeline_Sort!$C589="","",INDEX(Pipeline_Calc!$E$2:$E$5251,Pipeline_Sort!$C589))</f>
        <v/>
      </c>
      <c r="E589">
        <f>IF(Pipeline_Sort!$C589="","",INDEX(Pipeline_Calc!$F$2:$F$5251,Pipeline_Sort!$C589))</f>
        <v/>
      </c>
      <c r="F589">
        <f>IF(Pipeline_Sort!$C589="","",INDEX(Pipeline_Calc!$G$2:$G$5251,Pipeline_Sort!$C589))</f>
        <v/>
      </c>
      <c r="G589">
        <f>IF(Pipeline_Sort!$C589="","",INDEX(Pipeline_Calc!$H$2:$H$5251,Pipeline_Sort!$C589))</f>
        <v/>
      </c>
      <c r="H589">
        <f>IF(Pipeline_Sort!$C589="","",INDEX(Pipeline_Calc!$I$2:$I$5251,Pipeline_Sort!$C589))</f>
        <v/>
      </c>
      <c r="I589">
        <f>IF(Pipeline_Sort!$C589="","",INDEX(Pipeline_Calc!$J$2:$J$5251,Pipeline_Sort!$C589))</f>
        <v/>
      </c>
    </row>
    <row r="590">
      <c r="A590" s="22">
        <f>IF(Pipeline_Sort!$C590="","",INDEX(Pipeline_Calc!$B$2:$B$5251,Pipeline_Sort!$C590))</f>
        <v/>
      </c>
      <c r="B590">
        <f>IF(Pipeline_Sort!$C590="","",INDEX(Pipeline_Calc!$C$2:$C$5251,Pipeline_Sort!$C590))</f>
        <v/>
      </c>
      <c r="C590">
        <f>IF(Pipeline_Sort!$C590="","",INDEX(Pipeline_Calc!$D$2:$D$5251,Pipeline_Sort!$C590))</f>
        <v/>
      </c>
      <c r="D590">
        <f>IF(Pipeline_Sort!$C590="","",INDEX(Pipeline_Calc!$E$2:$E$5251,Pipeline_Sort!$C590))</f>
        <v/>
      </c>
      <c r="E590">
        <f>IF(Pipeline_Sort!$C590="","",INDEX(Pipeline_Calc!$F$2:$F$5251,Pipeline_Sort!$C590))</f>
        <v/>
      </c>
      <c r="F590">
        <f>IF(Pipeline_Sort!$C590="","",INDEX(Pipeline_Calc!$G$2:$G$5251,Pipeline_Sort!$C590))</f>
        <v/>
      </c>
      <c r="G590">
        <f>IF(Pipeline_Sort!$C590="","",INDEX(Pipeline_Calc!$H$2:$H$5251,Pipeline_Sort!$C590))</f>
        <v/>
      </c>
      <c r="H590">
        <f>IF(Pipeline_Sort!$C590="","",INDEX(Pipeline_Calc!$I$2:$I$5251,Pipeline_Sort!$C590))</f>
        <v/>
      </c>
      <c r="I590">
        <f>IF(Pipeline_Sort!$C590="","",INDEX(Pipeline_Calc!$J$2:$J$5251,Pipeline_Sort!$C590))</f>
        <v/>
      </c>
    </row>
    <row r="591">
      <c r="A591" s="22">
        <f>IF(Pipeline_Sort!$C591="","",INDEX(Pipeline_Calc!$B$2:$B$5251,Pipeline_Sort!$C591))</f>
        <v/>
      </c>
      <c r="B591">
        <f>IF(Pipeline_Sort!$C591="","",INDEX(Pipeline_Calc!$C$2:$C$5251,Pipeline_Sort!$C591))</f>
        <v/>
      </c>
      <c r="C591">
        <f>IF(Pipeline_Sort!$C591="","",INDEX(Pipeline_Calc!$D$2:$D$5251,Pipeline_Sort!$C591))</f>
        <v/>
      </c>
      <c r="D591">
        <f>IF(Pipeline_Sort!$C591="","",INDEX(Pipeline_Calc!$E$2:$E$5251,Pipeline_Sort!$C591))</f>
        <v/>
      </c>
      <c r="E591">
        <f>IF(Pipeline_Sort!$C591="","",INDEX(Pipeline_Calc!$F$2:$F$5251,Pipeline_Sort!$C591))</f>
        <v/>
      </c>
      <c r="F591">
        <f>IF(Pipeline_Sort!$C591="","",INDEX(Pipeline_Calc!$G$2:$G$5251,Pipeline_Sort!$C591))</f>
        <v/>
      </c>
      <c r="G591">
        <f>IF(Pipeline_Sort!$C591="","",INDEX(Pipeline_Calc!$H$2:$H$5251,Pipeline_Sort!$C591))</f>
        <v/>
      </c>
      <c r="H591">
        <f>IF(Pipeline_Sort!$C591="","",INDEX(Pipeline_Calc!$I$2:$I$5251,Pipeline_Sort!$C591))</f>
        <v/>
      </c>
      <c r="I591">
        <f>IF(Pipeline_Sort!$C591="","",INDEX(Pipeline_Calc!$J$2:$J$5251,Pipeline_Sort!$C591))</f>
        <v/>
      </c>
    </row>
    <row r="592">
      <c r="A592" s="22">
        <f>IF(Pipeline_Sort!$C592="","",INDEX(Pipeline_Calc!$B$2:$B$5251,Pipeline_Sort!$C592))</f>
        <v/>
      </c>
      <c r="B592">
        <f>IF(Pipeline_Sort!$C592="","",INDEX(Pipeline_Calc!$C$2:$C$5251,Pipeline_Sort!$C592))</f>
        <v/>
      </c>
      <c r="C592">
        <f>IF(Pipeline_Sort!$C592="","",INDEX(Pipeline_Calc!$D$2:$D$5251,Pipeline_Sort!$C592))</f>
        <v/>
      </c>
      <c r="D592">
        <f>IF(Pipeline_Sort!$C592="","",INDEX(Pipeline_Calc!$E$2:$E$5251,Pipeline_Sort!$C592))</f>
        <v/>
      </c>
      <c r="E592">
        <f>IF(Pipeline_Sort!$C592="","",INDEX(Pipeline_Calc!$F$2:$F$5251,Pipeline_Sort!$C592))</f>
        <v/>
      </c>
      <c r="F592">
        <f>IF(Pipeline_Sort!$C592="","",INDEX(Pipeline_Calc!$G$2:$G$5251,Pipeline_Sort!$C592))</f>
        <v/>
      </c>
      <c r="G592">
        <f>IF(Pipeline_Sort!$C592="","",INDEX(Pipeline_Calc!$H$2:$H$5251,Pipeline_Sort!$C592))</f>
        <v/>
      </c>
      <c r="H592">
        <f>IF(Pipeline_Sort!$C592="","",INDEX(Pipeline_Calc!$I$2:$I$5251,Pipeline_Sort!$C592))</f>
        <v/>
      </c>
      <c r="I592">
        <f>IF(Pipeline_Sort!$C592="","",INDEX(Pipeline_Calc!$J$2:$J$5251,Pipeline_Sort!$C592))</f>
        <v/>
      </c>
    </row>
    <row r="593">
      <c r="A593" s="22">
        <f>IF(Pipeline_Sort!$C593="","",INDEX(Pipeline_Calc!$B$2:$B$5251,Pipeline_Sort!$C593))</f>
        <v/>
      </c>
      <c r="B593">
        <f>IF(Pipeline_Sort!$C593="","",INDEX(Pipeline_Calc!$C$2:$C$5251,Pipeline_Sort!$C593))</f>
        <v/>
      </c>
      <c r="C593">
        <f>IF(Pipeline_Sort!$C593="","",INDEX(Pipeline_Calc!$D$2:$D$5251,Pipeline_Sort!$C593))</f>
        <v/>
      </c>
      <c r="D593">
        <f>IF(Pipeline_Sort!$C593="","",INDEX(Pipeline_Calc!$E$2:$E$5251,Pipeline_Sort!$C593))</f>
        <v/>
      </c>
      <c r="E593">
        <f>IF(Pipeline_Sort!$C593="","",INDEX(Pipeline_Calc!$F$2:$F$5251,Pipeline_Sort!$C593))</f>
        <v/>
      </c>
      <c r="F593">
        <f>IF(Pipeline_Sort!$C593="","",INDEX(Pipeline_Calc!$G$2:$G$5251,Pipeline_Sort!$C593))</f>
        <v/>
      </c>
      <c r="G593">
        <f>IF(Pipeline_Sort!$C593="","",INDEX(Pipeline_Calc!$H$2:$H$5251,Pipeline_Sort!$C593))</f>
        <v/>
      </c>
      <c r="H593">
        <f>IF(Pipeline_Sort!$C593="","",INDEX(Pipeline_Calc!$I$2:$I$5251,Pipeline_Sort!$C593))</f>
        <v/>
      </c>
      <c r="I593">
        <f>IF(Pipeline_Sort!$C593="","",INDEX(Pipeline_Calc!$J$2:$J$5251,Pipeline_Sort!$C593))</f>
        <v/>
      </c>
    </row>
    <row r="594">
      <c r="A594" s="22">
        <f>IF(Pipeline_Sort!$C594="","",INDEX(Pipeline_Calc!$B$2:$B$5251,Pipeline_Sort!$C594))</f>
        <v/>
      </c>
      <c r="B594">
        <f>IF(Pipeline_Sort!$C594="","",INDEX(Pipeline_Calc!$C$2:$C$5251,Pipeline_Sort!$C594))</f>
        <v/>
      </c>
      <c r="C594">
        <f>IF(Pipeline_Sort!$C594="","",INDEX(Pipeline_Calc!$D$2:$D$5251,Pipeline_Sort!$C594))</f>
        <v/>
      </c>
      <c r="D594">
        <f>IF(Pipeline_Sort!$C594="","",INDEX(Pipeline_Calc!$E$2:$E$5251,Pipeline_Sort!$C594))</f>
        <v/>
      </c>
      <c r="E594">
        <f>IF(Pipeline_Sort!$C594="","",INDEX(Pipeline_Calc!$F$2:$F$5251,Pipeline_Sort!$C594))</f>
        <v/>
      </c>
      <c r="F594">
        <f>IF(Pipeline_Sort!$C594="","",INDEX(Pipeline_Calc!$G$2:$G$5251,Pipeline_Sort!$C594))</f>
        <v/>
      </c>
      <c r="G594">
        <f>IF(Pipeline_Sort!$C594="","",INDEX(Pipeline_Calc!$H$2:$H$5251,Pipeline_Sort!$C594))</f>
        <v/>
      </c>
      <c r="H594">
        <f>IF(Pipeline_Sort!$C594="","",INDEX(Pipeline_Calc!$I$2:$I$5251,Pipeline_Sort!$C594))</f>
        <v/>
      </c>
      <c r="I594">
        <f>IF(Pipeline_Sort!$C594="","",INDEX(Pipeline_Calc!$J$2:$J$5251,Pipeline_Sort!$C594))</f>
        <v/>
      </c>
    </row>
    <row r="595">
      <c r="A595" s="22">
        <f>IF(Pipeline_Sort!$C595="","",INDEX(Pipeline_Calc!$B$2:$B$5251,Pipeline_Sort!$C595))</f>
        <v/>
      </c>
      <c r="B595">
        <f>IF(Pipeline_Sort!$C595="","",INDEX(Pipeline_Calc!$C$2:$C$5251,Pipeline_Sort!$C595))</f>
        <v/>
      </c>
      <c r="C595">
        <f>IF(Pipeline_Sort!$C595="","",INDEX(Pipeline_Calc!$D$2:$D$5251,Pipeline_Sort!$C595))</f>
        <v/>
      </c>
      <c r="D595">
        <f>IF(Pipeline_Sort!$C595="","",INDEX(Pipeline_Calc!$E$2:$E$5251,Pipeline_Sort!$C595))</f>
        <v/>
      </c>
      <c r="E595">
        <f>IF(Pipeline_Sort!$C595="","",INDEX(Pipeline_Calc!$F$2:$F$5251,Pipeline_Sort!$C595))</f>
        <v/>
      </c>
      <c r="F595">
        <f>IF(Pipeline_Sort!$C595="","",INDEX(Pipeline_Calc!$G$2:$G$5251,Pipeline_Sort!$C595))</f>
        <v/>
      </c>
      <c r="G595">
        <f>IF(Pipeline_Sort!$C595="","",INDEX(Pipeline_Calc!$H$2:$H$5251,Pipeline_Sort!$C595))</f>
        <v/>
      </c>
      <c r="H595">
        <f>IF(Pipeline_Sort!$C595="","",INDEX(Pipeline_Calc!$I$2:$I$5251,Pipeline_Sort!$C595))</f>
        <v/>
      </c>
      <c r="I595">
        <f>IF(Pipeline_Sort!$C595="","",INDEX(Pipeline_Calc!$J$2:$J$5251,Pipeline_Sort!$C595))</f>
        <v/>
      </c>
    </row>
    <row r="596">
      <c r="A596" s="22">
        <f>IF(Pipeline_Sort!$C596="","",INDEX(Pipeline_Calc!$B$2:$B$5251,Pipeline_Sort!$C596))</f>
        <v/>
      </c>
      <c r="B596">
        <f>IF(Pipeline_Sort!$C596="","",INDEX(Pipeline_Calc!$C$2:$C$5251,Pipeline_Sort!$C596))</f>
        <v/>
      </c>
      <c r="C596">
        <f>IF(Pipeline_Sort!$C596="","",INDEX(Pipeline_Calc!$D$2:$D$5251,Pipeline_Sort!$C596))</f>
        <v/>
      </c>
      <c r="D596">
        <f>IF(Pipeline_Sort!$C596="","",INDEX(Pipeline_Calc!$E$2:$E$5251,Pipeline_Sort!$C596))</f>
        <v/>
      </c>
      <c r="E596">
        <f>IF(Pipeline_Sort!$C596="","",INDEX(Pipeline_Calc!$F$2:$F$5251,Pipeline_Sort!$C596))</f>
        <v/>
      </c>
      <c r="F596">
        <f>IF(Pipeline_Sort!$C596="","",INDEX(Pipeline_Calc!$G$2:$G$5251,Pipeline_Sort!$C596))</f>
        <v/>
      </c>
      <c r="G596">
        <f>IF(Pipeline_Sort!$C596="","",INDEX(Pipeline_Calc!$H$2:$H$5251,Pipeline_Sort!$C596))</f>
        <v/>
      </c>
      <c r="H596">
        <f>IF(Pipeline_Sort!$C596="","",INDEX(Pipeline_Calc!$I$2:$I$5251,Pipeline_Sort!$C596))</f>
        <v/>
      </c>
      <c r="I596">
        <f>IF(Pipeline_Sort!$C596="","",INDEX(Pipeline_Calc!$J$2:$J$5251,Pipeline_Sort!$C596))</f>
        <v/>
      </c>
    </row>
    <row r="597">
      <c r="A597" s="22">
        <f>IF(Pipeline_Sort!$C597="","",INDEX(Pipeline_Calc!$B$2:$B$5251,Pipeline_Sort!$C597))</f>
        <v/>
      </c>
      <c r="B597">
        <f>IF(Pipeline_Sort!$C597="","",INDEX(Pipeline_Calc!$C$2:$C$5251,Pipeline_Sort!$C597))</f>
        <v/>
      </c>
      <c r="C597">
        <f>IF(Pipeline_Sort!$C597="","",INDEX(Pipeline_Calc!$D$2:$D$5251,Pipeline_Sort!$C597))</f>
        <v/>
      </c>
      <c r="D597">
        <f>IF(Pipeline_Sort!$C597="","",INDEX(Pipeline_Calc!$E$2:$E$5251,Pipeline_Sort!$C597))</f>
        <v/>
      </c>
      <c r="E597">
        <f>IF(Pipeline_Sort!$C597="","",INDEX(Pipeline_Calc!$F$2:$F$5251,Pipeline_Sort!$C597))</f>
        <v/>
      </c>
      <c r="F597">
        <f>IF(Pipeline_Sort!$C597="","",INDEX(Pipeline_Calc!$G$2:$G$5251,Pipeline_Sort!$C597))</f>
        <v/>
      </c>
      <c r="G597">
        <f>IF(Pipeline_Sort!$C597="","",INDEX(Pipeline_Calc!$H$2:$H$5251,Pipeline_Sort!$C597))</f>
        <v/>
      </c>
      <c r="H597">
        <f>IF(Pipeline_Sort!$C597="","",INDEX(Pipeline_Calc!$I$2:$I$5251,Pipeline_Sort!$C597))</f>
        <v/>
      </c>
      <c r="I597">
        <f>IF(Pipeline_Sort!$C597="","",INDEX(Pipeline_Calc!$J$2:$J$5251,Pipeline_Sort!$C597))</f>
        <v/>
      </c>
    </row>
    <row r="598">
      <c r="A598" s="22">
        <f>IF(Pipeline_Sort!$C598="","",INDEX(Pipeline_Calc!$B$2:$B$5251,Pipeline_Sort!$C598))</f>
        <v/>
      </c>
      <c r="B598">
        <f>IF(Pipeline_Sort!$C598="","",INDEX(Pipeline_Calc!$C$2:$C$5251,Pipeline_Sort!$C598))</f>
        <v/>
      </c>
      <c r="C598">
        <f>IF(Pipeline_Sort!$C598="","",INDEX(Pipeline_Calc!$D$2:$D$5251,Pipeline_Sort!$C598))</f>
        <v/>
      </c>
      <c r="D598">
        <f>IF(Pipeline_Sort!$C598="","",INDEX(Pipeline_Calc!$E$2:$E$5251,Pipeline_Sort!$C598))</f>
        <v/>
      </c>
      <c r="E598">
        <f>IF(Pipeline_Sort!$C598="","",INDEX(Pipeline_Calc!$F$2:$F$5251,Pipeline_Sort!$C598))</f>
        <v/>
      </c>
      <c r="F598">
        <f>IF(Pipeline_Sort!$C598="","",INDEX(Pipeline_Calc!$G$2:$G$5251,Pipeline_Sort!$C598))</f>
        <v/>
      </c>
      <c r="G598">
        <f>IF(Pipeline_Sort!$C598="","",INDEX(Pipeline_Calc!$H$2:$H$5251,Pipeline_Sort!$C598))</f>
        <v/>
      </c>
      <c r="H598">
        <f>IF(Pipeline_Sort!$C598="","",INDEX(Pipeline_Calc!$I$2:$I$5251,Pipeline_Sort!$C598))</f>
        <v/>
      </c>
      <c r="I598">
        <f>IF(Pipeline_Sort!$C598="","",INDEX(Pipeline_Calc!$J$2:$J$5251,Pipeline_Sort!$C598))</f>
        <v/>
      </c>
    </row>
    <row r="599">
      <c r="A599" s="22">
        <f>IF(Pipeline_Sort!$C599="","",INDEX(Pipeline_Calc!$B$2:$B$5251,Pipeline_Sort!$C599))</f>
        <v/>
      </c>
      <c r="B599">
        <f>IF(Pipeline_Sort!$C599="","",INDEX(Pipeline_Calc!$C$2:$C$5251,Pipeline_Sort!$C599))</f>
        <v/>
      </c>
      <c r="C599">
        <f>IF(Pipeline_Sort!$C599="","",INDEX(Pipeline_Calc!$D$2:$D$5251,Pipeline_Sort!$C599))</f>
        <v/>
      </c>
      <c r="D599">
        <f>IF(Pipeline_Sort!$C599="","",INDEX(Pipeline_Calc!$E$2:$E$5251,Pipeline_Sort!$C599))</f>
        <v/>
      </c>
      <c r="E599">
        <f>IF(Pipeline_Sort!$C599="","",INDEX(Pipeline_Calc!$F$2:$F$5251,Pipeline_Sort!$C599))</f>
        <v/>
      </c>
      <c r="F599">
        <f>IF(Pipeline_Sort!$C599="","",INDEX(Pipeline_Calc!$G$2:$G$5251,Pipeline_Sort!$C599))</f>
        <v/>
      </c>
      <c r="G599">
        <f>IF(Pipeline_Sort!$C599="","",INDEX(Pipeline_Calc!$H$2:$H$5251,Pipeline_Sort!$C599))</f>
        <v/>
      </c>
      <c r="H599">
        <f>IF(Pipeline_Sort!$C599="","",INDEX(Pipeline_Calc!$I$2:$I$5251,Pipeline_Sort!$C599))</f>
        <v/>
      </c>
      <c r="I599">
        <f>IF(Pipeline_Sort!$C599="","",INDEX(Pipeline_Calc!$J$2:$J$5251,Pipeline_Sort!$C599))</f>
        <v/>
      </c>
    </row>
    <row r="600">
      <c r="A600" s="22">
        <f>IF(Pipeline_Sort!$C600="","",INDEX(Pipeline_Calc!$B$2:$B$5251,Pipeline_Sort!$C600))</f>
        <v/>
      </c>
      <c r="B600">
        <f>IF(Pipeline_Sort!$C600="","",INDEX(Pipeline_Calc!$C$2:$C$5251,Pipeline_Sort!$C600))</f>
        <v/>
      </c>
      <c r="C600">
        <f>IF(Pipeline_Sort!$C600="","",INDEX(Pipeline_Calc!$D$2:$D$5251,Pipeline_Sort!$C600))</f>
        <v/>
      </c>
      <c r="D600">
        <f>IF(Pipeline_Sort!$C600="","",INDEX(Pipeline_Calc!$E$2:$E$5251,Pipeline_Sort!$C600))</f>
        <v/>
      </c>
      <c r="E600">
        <f>IF(Pipeline_Sort!$C600="","",INDEX(Pipeline_Calc!$F$2:$F$5251,Pipeline_Sort!$C600))</f>
        <v/>
      </c>
      <c r="F600">
        <f>IF(Pipeline_Sort!$C600="","",INDEX(Pipeline_Calc!$G$2:$G$5251,Pipeline_Sort!$C600))</f>
        <v/>
      </c>
      <c r="G600">
        <f>IF(Pipeline_Sort!$C600="","",INDEX(Pipeline_Calc!$H$2:$H$5251,Pipeline_Sort!$C600))</f>
        <v/>
      </c>
      <c r="H600">
        <f>IF(Pipeline_Sort!$C600="","",INDEX(Pipeline_Calc!$I$2:$I$5251,Pipeline_Sort!$C600))</f>
        <v/>
      </c>
      <c r="I600">
        <f>IF(Pipeline_Sort!$C600="","",INDEX(Pipeline_Calc!$J$2:$J$5251,Pipeline_Sort!$C600))</f>
        <v/>
      </c>
    </row>
    <row r="601">
      <c r="A601" s="22">
        <f>IF(Pipeline_Sort!$C601="","",INDEX(Pipeline_Calc!$B$2:$B$5251,Pipeline_Sort!$C601))</f>
        <v/>
      </c>
      <c r="B601">
        <f>IF(Pipeline_Sort!$C601="","",INDEX(Pipeline_Calc!$C$2:$C$5251,Pipeline_Sort!$C601))</f>
        <v/>
      </c>
      <c r="C601">
        <f>IF(Pipeline_Sort!$C601="","",INDEX(Pipeline_Calc!$D$2:$D$5251,Pipeline_Sort!$C601))</f>
        <v/>
      </c>
      <c r="D601">
        <f>IF(Pipeline_Sort!$C601="","",INDEX(Pipeline_Calc!$E$2:$E$5251,Pipeline_Sort!$C601))</f>
        <v/>
      </c>
      <c r="E601">
        <f>IF(Pipeline_Sort!$C601="","",INDEX(Pipeline_Calc!$F$2:$F$5251,Pipeline_Sort!$C601))</f>
        <v/>
      </c>
      <c r="F601">
        <f>IF(Pipeline_Sort!$C601="","",INDEX(Pipeline_Calc!$G$2:$G$5251,Pipeline_Sort!$C601))</f>
        <v/>
      </c>
      <c r="G601">
        <f>IF(Pipeline_Sort!$C601="","",INDEX(Pipeline_Calc!$H$2:$H$5251,Pipeline_Sort!$C601))</f>
        <v/>
      </c>
      <c r="H601">
        <f>IF(Pipeline_Sort!$C601="","",INDEX(Pipeline_Calc!$I$2:$I$5251,Pipeline_Sort!$C601))</f>
        <v/>
      </c>
      <c r="I601">
        <f>IF(Pipeline_Sort!$C601="","",INDEX(Pipeline_Calc!$J$2:$J$5251,Pipeline_Sort!$C601))</f>
        <v/>
      </c>
    </row>
    <row r="602">
      <c r="A602" s="22">
        <f>IF(Pipeline_Sort!$C602="","",INDEX(Pipeline_Calc!$B$2:$B$5251,Pipeline_Sort!$C602))</f>
        <v/>
      </c>
      <c r="B602">
        <f>IF(Pipeline_Sort!$C602="","",INDEX(Pipeline_Calc!$C$2:$C$5251,Pipeline_Sort!$C602))</f>
        <v/>
      </c>
      <c r="C602">
        <f>IF(Pipeline_Sort!$C602="","",INDEX(Pipeline_Calc!$D$2:$D$5251,Pipeline_Sort!$C602))</f>
        <v/>
      </c>
      <c r="D602">
        <f>IF(Pipeline_Sort!$C602="","",INDEX(Pipeline_Calc!$E$2:$E$5251,Pipeline_Sort!$C602))</f>
        <v/>
      </c>
      <c r="E602">
        <f>IF(Pipeline_Sort!$C602="","",INDEX(Pipeline_Calc!$F$2:$F$5251,Pipeline_Sort!$C602))</f>
        <v/>
      </c>
      <c r="F602">
        <f>IF(Pipeline_Sort!$C602="","",INDEX(Pipeline_Calc!$G$2:$G$5251,Pipeline_Sort!$C602))</f>
        <v/>
      </c>
      <c r="G602">
        <f>IF(Pipeline_Sort!$C602="","",INDEX(Pipeline_Calc!$H$2:$H$5251,Pipeline_Sort!$C602))</f>
        <v/>
      </c>
      <c r="H602">
        <f>IF(Pipeline_Sort!$C602="","",INDEX(Pipeline_Calc!$I$2:$I$5251,Pipeline_Sort!$C602))</f>
        <v/>
      </c>
      <c r="I602">
        <f>IF(Pipeline_Sort!$C602="","",INDEX(Pipeline_Calc!$J$2:$J$5251,Pipeline_Sort!$C602))</f>
        <v/>
      </c>
    </row>
    <row r="603">
      <c r="A603" s="22">
        <f>IF(Pipeline_Sort!$C603="","",INDEX(Pipeline_Calc!$B$2:$B$5251,Pipeline_Sort!$C603))</f>
        <v/>
      </c>
      <c r="B603">
        <f>IF(Pipeline_Sort!$C603="","",INDEX(Pipeline_Calc!$C$2:$C$5251,Pipeline_Sort!$C603))</f>
        <v/>
      </c>
      <c r="C603">
        <f>IF(Pipeline_Sort!$C603="","",INDEX(Pipeline_Calc!$D$2:$D$5251,Pipeline_Sort!$C603))</f>
        <v/>
      </c>
      <c r="D603">
        <f>IF(Pipeline_Sort!$C603="","",INDEX(Pipeline_Calc!$E$2:$E$5251,Pipeline_Sort!$C603))</f>
        <v/>
      </c>
      <c r="E603">
        <f>IF(Pipeline_Sort!$C603="","",INDEX(Pipeline_Calc!$F$2:$F$5251,Pipeline_Sort!$C603))</f>
        <v/>
      </c>
      <c r="F603">
        <f>IF(Pipeline_Sort!$C603="","",INDEX(Pipeline_Calc!$G$2:$G$5251,Pipeline_Sort!$C603))</f>
        <v/>
      </c>
      <c r="G603">
        <f>IF(Pipeline_Sort!$C603="","",INDEX(Pipeline_Calc!$H$2:$H$5251,Pipeline_Sort!$C603))</f>
        <v/>
      </c>
      <c r="H603">
        <f>IF(Pipeline_Sort!$C603="","",INDEX(Pipeline_Calc!$I$2:$I$5251,Pipeline_Sort!$C603))</f>
        <v/>
      </c>
      <c r="I603">
        <f>IF(Pipeline_Sort!$C603="","",INDEX(Pipeline_Calc!$J$2:$J$5251,Pipeline_Sort!$C603))</f>
        <v/>
      </c>
    </row>
    <row r="604">
      <c r="A604" s="22">
        <f>IF(Pipeline_Sort!$C604="","",INDEX(Pipeline_Calc!$B$2:$B$5251,Pipeline_Sort!$C604))</f>
        <v/>
      </c>
      <c r="B604">
        <f>IF(Pipeline_Sort!$C604="","",INDEX(Pipeline_Calc!$C$2:$C$5251,Pipeline_Sort!$C604))</f>
        <v/>
      </c>
      <c r="C604">
        <f>IF(Pipeline_Sort!$C604="","",INDEX(Pipeline_Calc!$D$2:$D$5251,Pipeline_Sort!$C604))</f>
        <v/>
      </c>
      <c r="D604">
        <f>IF(Pipeline_Sort!$C604="","",INDEX(Pipeline_Calc!$E$2:$E$5251,Pipeline_Sort!$C604))</f>
        <v/>
      </c>
      <c r="E604">
        <f>IF(Pipeline_Sort!$C604="","",INDEX(Pipeline_Calc!$F$2:$F$5251,Pipeline_Sort!$C604))</f>
        <v/>
      </c>
      <c r="F604">
        <f>IF(Pipeline_Sort!$C604="","",INDEX(Pipeline_Calc!$G$2:$G$5251,Pipeline_Sort!$C604))</f>
        <v/>
      </c>
      <c r="G604">
        <f>IF(Pipeline_Sort!$C604="","",INDEX(Pipeline_Calc!$H$2:$H$5251,Pipeline_Sort!$C604))</f>
        <v/>
      </c>
      <c r="H604">
        <f>IF(Pipeline_Sort!$C604="","",INDEX(Pipeline_Calc!$I$2:$I$5251,Pipeline_Sort!$C604))</f>
        <v/>
      </c>
      <c r="I604">
        <f>IF(Pipeline_Sort!$C604="","",INDEX(Pipeline_Calc!$J$2:$J$5251,Pipeline_Sort!$C604))</f>
        <v/>
      </c>
    </row>
    <row r="605">
      <c r="A605" s="22">
        <f>IF(Pipeline_Sort!$C605="","",INDEX(Pipeline_Calc!$B$2:$B$5251,Pipeline_Sort!$C605))</f>
        <v/>
      </c>
      <c r="B605">
        <f>IF(Pipeline_Sort!$C605="","",INDEX(Pipeline_Calc!$C$2:$C$5251,Pipeline_Sort!$C605))</f>
        <v/>
      </c>
      <c r="C605">
        <f>IF(Pipeline_Sort!$C605="","",INDEX(Pipeline_Calc!$D$2:$D$5251,Pipeline_Sort!$C605))</f>
        <v/>
      </c>
      <c r="D605">
        <f>IF(Pipeline_Sort!$C605="","",INDEX(Pipeline_Calc!$E$2:$E$5251,Pipeline_Sort!$C605))</f>
        <v/>
      </c>
      <c r="E605">
        <f>IF(Pipeline_Sort!$C605="","",INDEX(Pipeline_Calc!$F$2:$F$5251,Pipeline_Sort!$C605))</f>
        <v/>
      </c>
      <c r="F605">
        <f>IF(Pipeline_Sort!$C605="","",INDEX(Pipeline_Calc!$G$2:$G$5251,Pipeline_Sort!$C605))</f>
        <v/>
      </c>
      <c r="G605">
        <f>IF(Pipeline_Sort!$C605="","",INDEX(Pipeline_Calc!$H$2:$H$5251,Pipeline_Sort!$C605))</f>
        <v/>
      </c>
      <c r="H605">
        <f>IF(Pipeline_Sort!$C605="","",INDEX(Pipeline_Calc!$I$2:$I$5251,Pipeline_Sort!$C605))</f>
        <v/>
      </c>
      <c r="I605">
        <f>IF(Pipeline_Sort!$C605="","",INDEX(Pipeline_Calc!$J$2:$J$5251,Pipeline_Sort!$C605))</f>
        <v/>
      </c>
    </row>
    <row r="606">
      <c r="A606" s="22">
        <f>IF(Pipeline_Sort!$C606="","",INDEX(Pipeline_Calc!$B$2:$B$5251,Pipeline_Sort!$C606))</f>
        <v/>
      </c>
      <c r="B606">
        <f>IF(Pipeline_Sort!$C606="","",INDEX(Pipeline_Calc!$C$2:$C$5251,Pipeline_Sort!$C606))</f>
        <v/>
      </c>
      <c r="C606">
        <f>IF(Pipeline_Sort!$C606="","",INDEX(Pipeline_Calc!$D$2:$D$5251,Pipeline_Sort!$C606))</f>
        <v/>
      </c>
      <c r="D606">
        <f>IF(Pipeline_Sort!$C606="","",INDEX(Pipeline_Calc!$E$2:$E$5251,Pipeline_Sort!$C606))</f>
        <v/>
      </c>
      <c r="E606">
        <f>IF(Pipeline_Sort!$C606="","",INDEX(Pipeline_Calc!$F$2:$F$5251,Pipeline_Sort!$C606))</f>
        <v/>
      </c>
      <c r="F606">
        <f>IF(Pipeline_Sort!$C606="","",INDEX(Pipeline_Calc!$G$2:$G$5251,Pipeline_Sort!$C606))</f>
        <v/>
      </c>
      <c r="G606">
        <f>IF(Pipeline_Sort!$C606="","",INDEX(Pipeline_Calc!$H$2:$H$5251,Pipeline_Sort!$C606))</f>
        <v/>
      </c>
      <c r="H606">
        <f>IF(Pipeline_Sort!$C606="","",INDEX(Pipeline_Calc!$I$2:$I$5251,Pipeline_Sort!$C606))</f>
        <v/>
      </c>
      <c r="I606">
        <f>IF(Pipeline_Sort!$C606="","",INDEX(Pipeline_Calc!$J$2:$J$5251,Pipeline_Sort!$C606))</f>
        <v/>
      </c>
    </row>
    <row r="607">
      <c r="A607" s="22">
        <f>IF(Pipeline_Sort!$C607="","",INDEX(Pipeline_Calc!$B$2:$B$5251,Pipeline_Sort!$C607))</f>
        <v/>
      </c>
      <c r="B607">
        <f>IF(Pipeline_Sort!$C607="","",INDEX(Pipeline_Calc!$C$2:$C$5251,Pipeline_Sort!$C607))</f>
        <v/>
      </c>
      <c r="C607">
        <f>IF(Pipeline_Sort!$C607="","",INDEX(Pipeline_Calc!$D$2:$D$5251,Pipeline_Sort!$C607))</f>
        <v/>
      </c>
      <c r="D607">
        <f>IF(Pipeline_Sort!$C607="","",INDEX(Pipeline_Calc!$E$2:$E$5251,Pipeline_Sort!$C607))</f>
        <v/>
      </c>
      <c r="E607">
        <f>IF(Pipeline_Sort!$C607="","",INDEX(Pipeline_Calc!$F$2:$F$5251,Pipeline_Sort!$C607))</f>
        <v/>
      </c>
      <c r="F607">
        <f>IF(Pipeline_Sort!$C607="","",INDEX(Pipeline_Calc!$G$2:$G$5251,Pipeline_Sort!$C607))</f>
        <v/>
      </c>
      <c r="G607">
        <f>IF(Pipeline_Sort!$C607="","",INDEX(Pipeline_Calc!$H$2:$H$5251,Pipeline_Sort!$C607))</f>
        <v/>
      </c>
      <c r="H607">
        <f>IF(Pipeline_Sort!$C607="","",INDEX(Pipeline_Calc!$I$2:$I$5251,Pipeline_Sort!$C607))</f>
        <v/>
      </c>
      <c r="I607">
        <f>IF(Pipeline_Sort!$C607="","",INDEX(Pipeline_Calc!$J$2:$J$5251,Pipeline_Sort!$C607))</f>
        <v/>
      </c>
    </row>
    <row r="608">
      <c r="A608" s="22">
        <f>IF(Pipeline_Sort!$C608="","",INDEX(Pipeline_Calc!$B$2:$B$5251,Pipeline_Sort!$C608))</f>
        <v/>
      </c>
      <c r="B608">
        <f>IF(Pipeline_Sort!$C608="","",INDEX(Pipeline_Calc!$C$2:$C$5251,Pipeline_Sort!$C608))</f>
        <v/>
      </c>
      <c r="C608">
        <f>IF(Pipeline_Sort!$C608="","",INDEX(Pipeline_Calc!$D$2:$D$5251,Pipeline_Sort!$C608))</f>
        <v/>
      </c>
      <c r="D608">
        <f>IF(Pipeline_Sort!$C608="","",INDEX(Pipeline_Calc!$E$2:$E$5251,Pipeline_Sort!$C608))</f>
        <v/>
      </c>
      <c r="E608">
        <f>IF(Pipeline_Sort!$C608="","",INDEX(Pipeline_Calc!$F$2:$F$5251,Pipeline_Sort!$C608))</f>
        <v/>
      </c>
      <c r="F608">
        <f>IF(Pipeline_Sort!$C608="","",INDEX(Pipeline_Calc!$G$2:$G$5251,Pipeline_Sort!$C608))</f>
        <v/>
      </c>
      <c r="G608">
        <f>IF(Pipeline_Sort!$C608="","",INDEX(Pipeline_Calc!$H$2:$H$5251,Pipeline_Sort!$C608))</f>
        <v/>
      </c>
      <c r="H608">
        <f>IF(Pipeline_Sort!$C608="","",INDEX(Pipeline_Calc!$I$2:$I$5251,Pipeline_Sort!$C608))</f>
        <v/>
      </c>
      <c r="I608">
        <f>IF(Pipeline_Sort!$C608="","",INDEX(Pipeline_Calc!$J$2:$J$5251,Pipeline_Sort!$C608))</f>
        <v/>
      </c>
    </row>
    <row r="609">
      <c r="A609" s="22">
        <f>IF(Pipeline_Sort!$C609="","",INDEX(Pipeline_Calc!$B$2:$B$5251,Pipeline_Sort!$C609))</f>
        <v/>
      </c>
      <c r="B609">
        <f>IF(Pipeline_Sort!$C609="","",INDEX(Pipeline_Calc!$C$2:$C$5251,Pipeline_Sort!$C609))</f>
        <v/>
      </c>
      <c r="C609">
        <f>IF(Pipeline_Sort!$C609="","",INDEX(Pipeline_Calc!$D$2:$D$5251,Pipeline_Sort!$C609))</f>
        <v/>
      </c>
      <c r="D609">
        <f>IF(Pipeline_Sort!$C609="","",INDEX(Pipeline_Calc!$E$2:$E$5251,Pipeline_Sort!$C609))</f>
        <v/>
      </c>
      <c r="E609">
        <f>IF(Pipeline_Sort!$C609="","",INDEX(Pipeline_Calc!$F$2:$F$5251,Pipeline_Sort!$C609))</f>
        <v/>
      </c>
      <c r="F609">
        <f>IF(Pipeline_Sort!$C609="","",INDEX(Pipeline_Calc!$G$2:$G$5251,Pipeline_Sort!$C609))</f>
        <v/>
      </c>
      <c r="G609">
        <f>IF(Pipeline_Sort!$C609="","",INDEX(Pipeline_Calc!$H$2:$H$5251,Pipeline_Sort!$C609))</f>
        <v/>
      </c>
      <c r="H609">
        <f>IF(Pipeline_Sort!$C609="","",INDEX(Pipeline_Calc!$I$2:$I$5251,Pipeline_Sort!$C609))</f>
        <v/>
      </c>
      <c r="I609">
        <f>IF(Pipeline_Sort!$C609="","",INDEX(Pipeline_Calc!$J$2:$J$5251,Pipeline_Sort!$C609))</f>
        <v/>
      </c>
    </row>
    <row r="610">
      <c r="A610" s="22">
        <f>IF(Pipeline_Sort!$C610="","",INDEX(Pipeline_Calc!$B$2:$B$5251,Pipeline_Sort!$C610))</f>
        <v/>
      </c>
      <c r="B610">
        <f>IF(Pipeline_Sort!$C610="","",INDEX(Pipeline_Calc!$C$2:$C$5251,Pipeline_Sort!$C610))</f>
        <v/>
      </c>
      <c r="C610">
        <f>IF(Pipeline_Sort!$C610="","",INDEX(Pipeline_Calc!$D$2:$D$5251,Pipeline_Sort!$C610))</f>
        <v/>
      </c>
      <c r="D610">
        <f>IF(Pipeline_Sort!$C610="","",INDEX(Pipeline_Calc!$E$2:$E$5251,Pipeline_Sort!$C610))</f>
        <v/>
      </c>
      <c r="E610">
        <f>IF(Pipeline_Sort!$C610="","",INDEX(Pipeline_Calc!$F$2:$F$5251,Pipeline_Sort!$C610))</f>
        <v/>
      </c>
      <c r="F610">
        <f>IF(Pipeline_Sort!$C610="","",INDEX(Pipeline_Calc!$G$2:$G$5251,Pipeline_Sort!$C610))</f>
        <v/>
      </c>
      <c r="G610">
        <f>IF(Pipeline_Sort!$C610="","",INDEX(Pipeline_Calc!$H$2:$H$5251,Pipeline_Sort!$C610))</f>
        <v/>
      </c>
      <c r="H610">
        <f>IF(Pipeline_Sort!$C610="","",INDEX(Pipeline_Calc!$I$2:$I$5251,Pipeline_Sort!$C610))</f>
        <v/>
      </c>
      <c r="I610">
        <f>IF(Pipeline_Sort!$C610="","",INDEX(Pipeline_Calc!$J$2:$J$5251,Pipeline_Sort!$C610))</f>
        <v/>
      </c>
    </row>
    <row r="611">
      <c r="A611" s="22">
        <f>IF(Pipeline_Sort!$C611="","",INDEX(Pipeline_Calc!$B$2:$B$5251,Pipeline_Sort!$C611))</f>
        <v/>
      </c>
      <c r="B611">
        <f>IF(Pipeline_Sort!$C611="","",INDEX(Pipeline_Calc!$C$2:$C$5251,Pipeline_Sort!$C611))</f>
        <v/>
      </c>
      <c r="C611">
        <f>IF(Pipeline_Sort!$C611="","",INDEX(Pipeline_Calc!$D$2:$D$5251,Pipeline_Sort!$C611))</f>
        <v/>
      </c>
      <c r="D611">
        <f>IF(Pipeline_Sort!$C611="","",INDEX(Pipeline_Calc!$E$2:$E$5251,Pipeline_Sort!$C611))</f>
        <v/>
      </c>
      <c r="E611">
        <f>IF(Pipeline_Sort!$C611="","",INDEX(Pipeline_Calc!$F$2:$F$5251,Pipeline_Sort!$C611))</f>
        <v/>
      </c>
      <c r="F611">
        <f>IF(Pipeline_Sort!$C611="","",INDEX(Pipeline_Calc!$G$2:$G$5251,Pipeline_Sort!$C611))</f>
        <v/>
      </c>
      <c r="G611">
        <f>IF(Pipeline_Sort!$C611="","",INDEX(Pipeline_Calc!$H$2:$H$5251,Pipeline_Sort!$C611))</f>
        <v/>
      </c>
      <c r="H611">
        <f>IF(Pipeline_Sort!$C611="","",INDEX(Pipeline_Calc!$I$2:$I$5251,Pipeline_Sort!$C611))</f>
        <v/>
      </c>
      <c r="I611">
        <f>IF(Pipeline_Sort!$C611="","",INDEX(Pipeline_Calc!$J$2:$J$5251,Pipeline_Sort!$C611))</f>
        <v/>
      </c>
    </row>
    <row r="612">
      <c r="A612" s="22">
        <f>IF(Pipeline_Sort!$C612="","",INDEX(Pipeline_Calc!$B$2:$B$5251,Pipeline_Sort!$C612))</f>
        <v/>
      </c>
      <c r="B612">
        <f>IF(Pipeline_Sort!$C612="","",INDEX(Pipeline_Calc!$C$2:$C$5251,Pipeline_Sort!$C612))</f>
        <v/>
      </c>
      <c r="C612">
        <f>IF(Pipeline_Sort!$C612="","",INDEX(Pipeline_Calc!$D$2:$D$5251,Pipeline_Sort!$C612))</f>
        <v/>
      </c>
      <c r="D612">
        <f>IF(Pipeline_Sort!$C612="","",INDEX(Pipeline_Calc!$E$2:$E$5251,Pipeline_Sort!$C612))</f>
        <v/>
      </c>
      <c r="E612">
        <f>IF(Pipeline_Sort!$C612="","",INDEX(Pipeline_Calc!$F$2:$F$5251,Pipeline_Sort!$C612))</f>
        <v/>
      </c>
      <c r="F612">
        <f>IF(Pipeline_Sort!$C612="","",INDEX(Pipeline_Calc!$G$2:$G$5251,Pipeline_Sort!$C612))</f>
        <v/>
      </c>
      <c r="G612">
        <f>IF(Pipeline_Sort!$C612="","",INDEX(Pipeline_Calc!$H$2:$H$5251,Pipeline_Sort!$C612))</f>
        <v/>
      </c>
      <c r="H612">
        <f>IF(Pipeline_Sort!$C612="","",INDEX(Pipeline_Calc!$I$2:$I$5251,Pipeline_Sort!$C612))</f>
        <v/>
      </c>
      <c r="I612">
        <f>IF(Pipeline_Sort!$C612="","",INDEX(Pipeline_Calc!$J$2:$J$5251,Pipeline_Sort!$C612))</f>
        <v/>
      </c>
    </row>
    <row r="613">
      <c r="A613" s="22">
        <f>IF(Pipeline_Sort!$C613="","",INDEX(Pipeline_Calc!$B$2:$B$5251,Pipeline_Sort!$C613))</f>
        <v/>
      </c>
      <c r="B613">
        <f>IF(Pipeline_Sort!$C613="","",INDEX(Pipeline_Calc!$C$2:$C$5251,Pipeline_Sort!$C613))</f>
        <v/>
      </c>
      <c r="C613">
        <f>IF(Pipeline_Sort!$C613="","",INDEX(Pipeline_Calc!$D$2:$D$5251,Pipeline_Sort!$C613))</f>
        <v/>
      </c>
      <c r="D613">
        <f>IF(Pipeline_Sort!$C613="","",INDEX(Pipeline_Calc!$E$2:$E$5251,Pipeline_Sort!$C613))</f>
        <v/>
      </c>
      <c r="E613">
        <f>IF(Pipeline_Sort!$C613="","",INDEX(Pipeline_Calc!$F$2:$F$5251,Pipeline_Sort!$C613))</f>
        <v/>
      </c>
      <c r="F613">
        <f>IF(Pipeline_Sort!$C613="","",INDEX(Pipeline_Calc!$G$2:$G$5251,Pipeline_Sort!$C613))</f>
        <v/>
      </c>
      <c r="G613">
        <f>IF(Pipeline_Sort!$C613="","",INDEX(Pipeline_Calc!$H$2:$H$5251,Pipeline_Sort!$C613))</f>
        <v/>
      </c>
      <c r="H613">
        <f>IF(Pipeline_Sort!$C613="","",INDEX(Pipeline_Calc!$I$2:$I$5251,Pipeline_Sort!$C613))</f>
        <v/>
      </c>
      <c r="I613">
        <f>IF(Pipeline_Sort!$C613="","",INDEX(Pipeline_Calc!$J$2:$J$5251,Pipeline_Sort!$C613))</f>
        <v/>
      </c>
    </row>
    <row r="614">
      <c r="A614" s="22">
        <f>IF(Pipeline_Sort!$C614="","",INDEX(Pipeline_Calc!$B$2:$B$5251,Pipeline_Sort!$C614))</f>
        <v/>
      </c>
      <c r="B614">
        <f>IF(Pipeline_Sort!$C614="","",INDEX(Pipeline_Calc!$C$2:$C$5251,Pipeline_Sort!$C614))</f>
        <v/>
      </c>
      <c r="C614">
        <f>IF(Pipeline_Sort!$C614="","",INDEX(Pipeline_Calc!$D$2:$D$5251,Pipeline_Sort!$C614))</f>
        <v/>
      </c>
      <c r="D614">
        <f>IF(Pipeline_Sort!$C614="","",INDEX(Pipeline_Calc!$E$2:$E$5251,Pipeline_Sort!$C614))</f>
        <v/>
      </c>
      <c r="E614">
        <f>IF(Pipeline_Sort!$C614="","",INDEX(Pipeline_Calc!$F$2:$F$5251,Pipeline_Sort!$C614))</f>
        <v/>
      </c>
      <c r="F614">
        <f>IF(Pipeline_Sort!$C614="","",INDEX(Pipeline_Calc!$G$2:$G$5251,Pipeline_Sort!$C614))</f>
        <v/>
      </c>
      <c r="G614">
        <f>IF(Pipeline_Sort!$C614="","",INDEX(Pipeline_Calc!$H$2:$H$5251,Pipeline_Sort!$C614))</f>
        <v/>
      </c>
      <c r="H614">
        <f>IF(Pipeline_Sort!$C614="","",INDEX(Pipeline_Calc!$I$2:$I$5251,Pipeline_Sort!$C614))</f>
        <v/>
      </c>
      <c r="I614">
        <f>IF(Pipeline_Sort!$C614="","",INDEX(Pipeline_Calc!$J$2:$J$5251,Pipeline_Sort!$C614))</f>
        <v/>
      </c>
    </row>
    <row r="615">
      <c r="A615" s="22">
        <f>IF(Pipeline_Sort!$C615="","",INDEX(Pipeline_Calc!$B$2:$B$5251,Pipeline_Sort!$C615))</f>
        <v/>
      </c>
      <c r="B615">
        <f>IF(Pipeline_Sort!$C615="","",INDEX(Pipeline_Calc!$C$2:$C$5251,Pipeline_Sort!$C615))</f>
        <v/>
      </c>
      <c r="C615">
        <f>IF(Pipeline_Sort!$C615="","",INDEX(Pipeline_Calc!$D$2:$D$5251,Pipeline_Sort!$C615))</f>
        <v/>
      </c>
      <c r="D615">
        <f>IF(Pipeline_Sort!$C615="","",INDEX(Pipeline_Calc!$E$2:$E$5251,Pipeline_Sort!$C615))</f>
        <v/>
      </c>
      <c r="E615">
        <f>IF(Pipeline_Sort!$C615="","",INDEX(Pipeline_Calc!$F$2:$F$5251,Pipeline_Sort!$C615))</f>
        <v/>
      </c>
      <c r="F615">
        <f>IF(Pipeline_Sort!$C615="","",INDEX(Pipeline_Calc!$G$2:$G$5251,Pipeline_Sort!$C615))</f>
        <v/>
      </c>
      <c r="G615">
        <f>IF(Pipeline_Sort!$C615="","",INDEX(Pipeline_Calc!$H$2:$H$5251,Pipeline_Sort!$C615))</f>
        <v/>
      </c>
      <c r="H615">
        <f>IF(Pipeline_Sort!$C615="","",INDEX(Pipeline_Calc!$I$2:$I$5251,Pipeline_Sort!$C615))</f>
        <v/>
      </c>
      <c r="I615">
        <f>IF(Pipeline_Sort!$C615="","",INDEX(Pipeline_Calc!$J$2:$J$5251,Pipeline_Sort!$C615))</f>
        <v/>
      </c>
    </row>
    <row r="616">
      <c r="A616" s="22">
        <f>IF(Pipeline_Sort!$C616="","",INDEX(Pipeline_Calc!$B$2:$B$5251,Pipeline_Sort!$C616))</f>
        <v/>
      </c>
      <c r="B616">
        <f>IF(Pipeline_Sort!$C616="","",INDEX(Pipeline_Calc!$C$2:$C$5251,Pipeline_Sort!$C616))</f>
        <v/>
      </c>
      <c r="C616">
        <f>IF(Pipeline_Sort!$C616="","",INDEX(Pipeline_Calc!$D$2:$D$5251,Pipeline_Sort!$C616))</f>
        <v/>
      </c>
      <c r="D616">
        <f>IF(Pipeline_Sort!$C616="","",INDEX(Pipeline_Calc!$E$2:$E$5251,Pipeline_Sort!$C616))</f>
        <v/>
      </c>
      <c r="E616">
        <f>IF(Pipeline_Sort!$C616="","",INDEX(Pipeline_Calc!$F$2:$F$5251,Pipeline_Sort!$C616))</f>
        <v/>
      </c>
      <c r="F616">
        <f>IF(Pipeline_Sort!$C616="","",INDEX(Pipeline_Calc!$G$2:$G$5251,Pipeline_Sort!$C616))</f>
        <v/>
      </c>
      <c r="G616">
        <f>IF(Pipeline_Sort!$C616="","",INDEX(Pipeline_Calc!$H$2:$H$5251,Pipeline_Sort!$C616))</f>
        <v/>
      </c>
      <c r="H616">
        <f>IF(Pipeline_Sort!$C616="","",INDEX(Pipeline_Calc!$I$2:$I$5251,Pipeline_Sort!$C616))</f>
        <v/>
      </c>
      <c r="I616">
        <f>IF(Pipeline_Sort!$C616="","",INDEX(Pipeline_Calc!$J$2:$J$5251,Pipeline_Sort!$C616))</f>
        <v/>
      </c>
    </row>
    <row r="617">
      <c r="A617" s="22">
        <f>IF(Pipeline_Sort!$C617="","",INDEX(Pipeline_Calc!$B$2:$B$5251,Pipeline_Sort!$C617))</f>
        <v/>
      </c>
      <c r="B617">
        <f>IF(Pipeline_Sort!$C617="","",INDEX(Pipeline_Calc!$C$2:$C$5251,Pipeline_Sort!$C617))</f>
        <v/>
      </c>
      <c r="C617">
        <f>IF(Pipeline_Sort!$C617="","",INDEX(Pipeline_Calc!$D$2:$D$5251,Pipeline_Sort!$C617))</f>
        <v/>
      </c>
      <c r="D617">
        <f>IF(Pipeline_Sort!$C617="","",INDEX(Pipeline_Calc!$E$2:$E$5251,Pipeline_Sort!$C617))</f>
        <v/>
      </c>
      <c r="E617">
        <f>IF(Pipeline_Sort!$C617="","",INDEX(Pipeline_Calc!$F$2:$F$5251,Pipeline_Sort!$C617))</f>
        <v/>
      </c>
      <c r="F617">
        <f>IF(Pipeline_Sort!$C617="","",INDEX(Pipeline_Calc!$G$2:$G$5251,Pipeline_Sort!$C617))</f>
        <v/>
      </c>
      <c r="G617">
        <f>IF(Pipeline_Sort!$C617="","",INDEX(Pipeline_Calc!$H$2:$H$5251,Pipeline_Sort!$C617))</f>
        <v/>
      </c>
      <c r="H617">
        <f>IF(Pipeline_Sort!$C617="","",INDEX(Pipeline_Calc!$I$2:$I$5251,Pipeline_Sort!$C617))</f>
        <v/>
      </c>
      <c r="I617">
        <f>IF(Pipeline_Sort!$C617="","",INDEX(Pipeline_Calc!$J$2:$J$5251,Pipeline_Sort!$C617))</f>
        <v/>
      </c>
    </row>
    <row r="618">
      <c r="A618" s="22">
        <f>IF(Pipeline_Sort!$C618="","",INDEX(Pipeline_Calc!$B$2:$B$5251,Pipeline_Sort!$C618))</f>
        <v/>
      </c>
      <c r="B618">
        <f>IF(Pipeline_Sort!$C618="","",INDEX(Pipeline_Calc!$C$2:$C$5251,Pipeline_Sort!$C618))</f>
        <v/>
      </c>
      <c r="C618">
        <f>IF(Pipeline_Sort!$C618="","",INDEX(Pipeline_Calc!$D$2:$D$5251,Pipeline_Sort!$C618))</f>
        <v/>
      </c>
      <c r="D618">
        <f>IF(Pipeline_Sort!$C618="","",INDEX(Pipeline_Calc!$E$2:$E$5251,Pipeline_Sort!$C618))</f>
        <v/>
      </c>
      <c r="E618">
        <f>IF(Pipeline_Sort!$C618="","",INDEX(Pipeline_Calc!$F$2:$F$5251,Pipeline_Sort!$C618))</f>
        <v/>
      </c>
      <c r="F618">
        <f>IF(Pipeline_Sort!$C618="","",INDEX(Pipeline_Calc!$G$2:$G$5251,Pipeline_Sort!$C618))</f>
        <v/>
      </c>
      <c r="G618">
        <f>IF(Pipeline_Sort!$C618="","",INDEX(Pipeline_Calc!$H$2:$H$5251,Pipeline_Sort!$C618))</f>
        <v/>
      </c>
      <c r="H618">
        <f>IF(Pipeline_Sort!$C618="","",INDEX(Pipeline_Calc!$I$2:$I$5251,Pipeline_Sort!$C618))</f>
        <v/>
      </c>
      <c r="I618">
        <f>IF(Pipeline_Sort!$C618="","",INDEX(Pipeline_Calc!$J$2:$J$5251,Pipeline_Sort!$C618))</f>
        <v/>
      </c>
    </row>
    <row r="619">
      <c r="A619" s="22">
        <f>IF(Pipeline_Sort!$C619="","",INDEX(Pipeline_Calc!$B$2:$B$5251,Pipeline_Sort!$C619))</f>
        <v/>
      </c>
      <c r="B619">
        <f>IF(Pipeline_Sort!$C619="","",INDEX(Pipeline_Calc!$C$2:$C$5251,Pipeline_Sort!$C619))</f>
        <v/>
      </c>
      <c r="C619">
        <f>IF(Pipeline_Sort!$C619="","",INDEX(Pipeline_Calc!$D$2:$D$5251,Pipeline_Sort!$C619))</f>
        <v/>
      </c>
      <c r="D619">
        <f>IF(Pipeline_Sort!$C619="","",INDEX(Pipeline_Calc!$E$2:$E$5251,Pipeline_Sort!$C619))</f>
        <v/>
      </c>
      <c r="E619">
        <f>IF(Pipeline_Sort!$C619="","",INDEX(Pipeline_Calc!$F$2:$F$5251,Pipeline_Sort!$C619))</f>
        <v/>
      </c>
      <c r="F619">
        <f>IF(Pipeline_Sort!$C619="","",INDEX(Pipeline_Calc!$G$2:$G$5251,Pipeline_Sort!$C619))</f>
        <v/>
      </c>
      <c r="G619">
        <f>IF(Pipeline_Sort!$C619="","",INDEX(Pipeline_Calc!$H$2:$H$5251,Pipeline_Sort!$C619))</f>
        <v/>
      </c>
      <c r="H619">
        <f>IF(Pipeline_Sort!$C619="","",INDEX(Pipeline_Calc!$I$2:$I$5251,Pipeline_Sort!$C619))</f>
        <v/>
      </c>
      <c r="I619">
        <f>IF(Pipeline_Sort!$C619="","",INDEX(Pipeline_Calc!$J$2:$J$5251,Pipeline_Sort!$C619))</f>
        <v/>
      </c>
    </row>
    <row r="620">
      <c r="A620" s="22">
        <f>IF(Pipeline_Sort!$C620="","",INDEX(Pipeline_Calc!$B$2:$B$5251,Pipeline_Sort!$C620))</f>
        <v/>
      </c>
      <c r="B620">
        <f>IF(Pipeline_Sort!$C620="","",INDEX(Pipeline_Calc!$C$2:$C$5251,Pipeline_Sort!$C620))</f>
        <v/>
      </c>
      <c r="C620">
        <f>IF(Pipeline_Sort!$C620="","",INDEX(Pipeline_Calc!$D$2:$D$5251,Pipeline_Sort!$C620))</f>
        <v/>
      </c>
      <c r="D620">
        <f>IF(Pipeline_Sort!$C620="","",INDEX(Pipeline_Calc!$E$2:$E$5251,Pipeline_Sort!$C620))</f>
        <v/>
      </c>
      <c r="E620">
        <f>IF(Pipeline_Sort!$C620="","",INDEX(Pipeline_Calc!$F$2:$F$5251,Pipeline_Sort!$C620))</f>
        <v/>
      </c>
      <c r="F620">
        <f>IF(Pipeline_Sort!$C620="","",INDEX(Pipeline_Calc!$G$2:$G$5251,Pipeline_Sort!$C620))</f>
        <v/>
      </c>
      <c r="G620">
        <f>IF(Pipeline_Sort!$C620="","",INDEX(Pipeline_Calc!$H$2:$H$5251,Pipeline_Sort!$C620))</f>
        <v/>
      </c>
      <c r="H620">
        <f>IF(Pipeline_Sort!$C620="","",INDEX(Pipeline_Calc!$I$2:$I$5251,Pipeline_Sort!$C620))</f>
        <v/>
      </c>
      <c r="I620">
        <f>IF(Pipeline_Sort!$C620="","",INDEX(Pipeline_Calc!$J$2:$J$5251,Pipeline_Sort!$C620))</f>
        <v/>
      </c>
    </row>
    <row r="621">
      <c r="A621" s="22">
        <f>IF(Pipeline_Sort!$C621="","",INDEX(Pipeline_Calc!$B$2:$B$5251,Pipeline_Sort!$C621))</f>
        <v/>
      </c>
      <c r="B621">
        <f>IF(Pipeline_Sort!$C621="","",INDEX(Pipeline_Calc!$C$2:$C$5251,Pipeline_Sort!$C621))</f>
        <v/>
      </c>
      <c r="C621">
        <f>IF(Pipeline_Sort!$C621="","",INDEX(Pipeline_Calc!$D$2:$D$5251,Pipeline_Sort!$C621))</f>
        <v/>
      </c>
      <c r="D621">
        <f>IF(Pipeline_Sort!$C621="","",INDEX(Pipeline_Calc!$E$2:$E$5251,Pipeline_Sort!$C621))</f>
        <v/>
      </c>
      <c r="E621">
        <f>IF(Pipeline_Sort!$C621="","",INDEX(Pipeline_Calc!$F$2:$F$5251,Pipeline_Sort!$C621))</f>
        <v/>
      </c>
      <c r="F621">
        <f>IF(Pipeline_Sort!$C621="","",INDEX(Pipeline_Calc!$G$2:$G$5251,Pipeline_Sort!$C621))</f>
        <v/>
      </c>
      <c r="G621">
        <f>IF(Pipeline_Sort!$C621="","",INDEX(Pipeline_Calc!$H$2:$H$5251,Pipeline_Sort!$C621))</f>
        <v/>
      </c>
      <c r="H621">
        <f>IF(Pipeline_Sort!$C621="","",INDEX(Pipeline_Calc!$I$2:$I$5251,Pipeline_Sort!$C621))</f>
        <v/>
      </c>
      <c r="I621">
        <f>IF(Pipeline_Sort!$C621="","",INDEX(Pipeline_Calc!$J$2:$J$5251,Pipeline_Sort!$C621))</f>
        <v/>
      </c>
    </row>
    <row r="622">
      <c r="A622" s="22">
        <f>IF(Pipeline_Sort!$C622="","",INDEX(Pipeline_Calc!$B$2:$B$5251,Pipeline_Sort!$C622))</f>
        <v/>
      </c>
      <c r="B622">
        <f>IF(Pipeline_Sort!$C622="","",INDEX(Pipeline_Calc!$C$2:$C$5251,Pipeline_Sort!$C622))</f>
        <v/>
      </c>
      <c r="C622">
        <f>IF(Pipeline_Sort!$C622="","",INDEX(Pipeline_Calc!$D$2:$D$5251,Pipeline_Sort!$C622))</f>
        <v/>
      </c>
      <c r="D622">
        <f>IF(Pipeline_Sort!$C622="","",INDEX(Pipeline_Calc!$E$2:$E$5251,Pipeline_Sort!$C622))</f>
        <v/>
      </c>
      <c r="E622">
        <f>IF(Pipeline_Sort!$C622="","",INDEX(Pipeline_Calc!$F$2:$F$5251,Pipeline_Sort!$C622))</f>
        <v/>
      </c>
      <c r="F622">
        <f>IF(Pipeline_Sort!$C622="","",INDEX(Pipeline_Calc!$G$2:$G$5251,Pipeline_Sort!$C622))</f>
        <v/>
      </c>
      <c r="G622">
        <f>IF(Pipeline_Sort!$C622="","",INDEX(Pipeline_Calc!$H$2:$H$5251,Pipeline_Sort!$C622))</f>
        <v/>
      </c>
      <c r="H622">
        <f>IF(Pipeline_Sort!$C622="","",INDEX(Pipeline_Calc!$I$2:$I$5251,Pipeline_Sort!$C622))</f>
        <v/>
      </c>
      <c r="I622">
        <f>IF(Pipeline_Sort!$C622="","",INDEX(Pipeline_Calc!$J$2:$J$5251,Pipeline_Sort!$C622))</f>
        <v/>
      </c>
    </row>
    <row r="623">
      <c r="A623" s="22">
        <f>IF(Pipeline_Sort!$C623="","",INDEX(Pipeline_Calc!$B$2:$B$5251,Pipeline_Sort!$C623))</f>
        <v/>
      </c>
      <c r="B623">
        <f>IF(Pipeline_Sort!$C623="","",INDEX(Pipeline_Calc!$C$2:$C$5251,Pipeline_Sort!$C623))</f>
        <v/>
      </c>
      <c r="C623">
        <f>IF(Pipeline_Sort!$C623="","",INDEX(Pipeline_Calc!$D$2:$D$5251,Pipeline_Sort!$C623))</f>
        <v/>
      </c>
      <c r="D623">
        <f>IF(Pipeline_Sort!$C623="","",INDEX(Pipeline_Calc!$E$2:$E$5251,Pipeline_Sort!$C623))</f>
        <v/>
      </c>
      <c r="E623">
        <f>IF(Pipeline_Sort!$C623="","",INDEX(Pipeline_Calc!$F$2:$F$5251,Pipeline_Sort!$C623))</f>
        <v/>
      </c>
      <c r="F623">
        <f>IF(Pipeline_Sort!$C623="","",INDEX(Pipeline_Calc!$G$2:$G$5251,Pipeline_Sort!$C623))</f>
        <v/>
      </c>
      <c r="G623">
        <f>IF(Pipeline_Sort!$C623="","",INDEX(Pipeline_Calc!$H$2:$H$5251,Pipeline_Sort!$C623))</f>
        <v/>
      </c>
      <c r="H623">
        <f>IF(Pipeline_Sort!$C623="","",INDEX(Pipeline_Calc!$I$2:$I$5251,Pipeline_Sort!$C623))</f>
        <v/>
      </c>
      <c r="I623">
        <f>IF(Pipeline_Sort!$C623="","",INDEX(Pipeline_Calc!$J$2:$J$5251,Pipeline_Sort!$C623))</f>
        <v/>
      </c>
    </row>
    <row r="624">
      <c r="A624" s="22">
        <f>IF(Pipeline_Sort!$C624="","",INDEX(Pipeline_Calc!$B$2:$B$5251,Pipeline_Sort!$C624))</f>
        <v/>
      </c>
      <c r="B624">
        <f>IF(Pipeline_Sort!$C624="","",INDEX(Pipeline_Calc!$C$2:$C$5251,Pipeline_Sort!$C624))</f>
        <v/>
      </c>
      <c r="C624">
        <f>IF(Pipeline_Sort!$C624="","",INDEX(Pipeline_Calc!$D$2:$D$5251,Pipeline_Sort!$C624))</f>
        <v/>
      </c>
      <c r="D624">
        <f>IF(Pipeline_Sort!$C624="","",INDEX(Pipeline_Calc!$E$2:$E$5251,Pipeline_Sort!$C624))</f>
        <v/>
      </c>
      <c r="E624">
        <f>IF(Pipeline_Sort!$C624="","",INDEX(Pipeline_Calc!$F$2:$F$5251,Pipeline_Sort!$C624))</f>
        <v/>
      </c>
      <c r="F624">
        <f>IF(Pipeline_Sort!$C624="","",INDEX(Pipeline_Calc!$G$2:$G$5251,Pipeline_Sort!$C624))</f>
        <v/>
      </c>
      <c r="G624">
        <f>IF(Pipeline_Sort!$C624="","",INDEX(Pipeline_Calc!$H$2:$H$5251,Pipeline_Sort!$C624))</f>
        <v/>
      </c>
      <c r="H624">
        <f>IF(Pipeline_Sort!$C624="","",INDEX(Pipeline_Calc!$I$2:$I$5251,Pipeline_Sort!$C624))</f>
        <v/>
      </c>
      <c r="I624">
        <f>IF(Pipeline_Sort!$C624="","",INDEX(Pipeline_Calc!$J$2:$J$5251,Pipeline_Sort!$C624))</f>
        <v/>
      </c>
    </row>
    <row r="625">
      <c r="A625" s="22">
        <f>IF(Pipeline_Sort!$C625="","",INDEX(Pipeline_Calc!$B$2:$B$5251,Pipeline_Sort!$C625))</f>
        <v/>
      </c>
      <c r="B625">
        <f>IF(Pipeline_Sort!$C625="","",INDEX(Pipeline_Calc!$C$2:$C$5251,Pipeline_Sort!$C625))</f>
        <v/>
      </c>
      <c r="C625">
        <f>IF(Pipeline_Sort!$C625="","",INDEX(Pipeline_Calc!$D$2:$D$5251,Pipeline_Sort!$C625))</f>
        <v/>
      </c>
      <c r="D625">
        <f>IF(Pipeline_Sort!$C625="","",INDEX(Pipeline_Calc!$E$2:$E$5251,Pipeline_Sort!$C625))</f>
        <v/>
      </c>
      <c r="E625">
        <f>IF(Pipeline_Sort!$C625="","",INDEX(Pipeline_Calc!$F$2:$F$5251,Pipeline_Sort!$C625))</f>
        <v/>
      </c>
      <c r="F625">
        <f>IF(Pipeline_Sort!$C625="","",INDEX(Pipeline_Calc!$G$2:$G$5251,Pipeline_Sort!$C625))</f>
        <v/>
      </c>
      <c r="G625">
        <f>IF(Pipeline_Sort!$C625="","",INDEX(Pipeline_Calc!$H$2:$H$5251,Pipeline_Sort!$C625))</f>
        <v/>
      </c>
      <c r="H625">
        <f>IF(Pipeline_Sort!$C625="","",INDEX(Pipeline_Calc!$I$2:$I$5251,Pipeline_Sort!$C625))</f>
        <v/>
      </c>
      <c r="I625">
        <f>IF(Pipeline_Sort!$C625="","",INDEX(Pipeline_Calc!$J$2:$J$5251,Pipeline_Sort!$C625))</f>
        <v/>
      </c>
    </row>
    <row r="626">
      <c r="A626" s="22">
        <f>IF(Pipeline_Sort!$C626="","",INDEX(Pipeline_Calc!$B$2:$B$5251,Pipeline_Sort!$C626))</f>
        <v/>
      </c>
      <c r="B626">
        <f>IF(Pipeline_Sort!$C626="","",INDEX(Pipeline_Calc!$C$2:$C$5251,Pipeline_Sort!$C626))</f>
        <v/>
      </c>
      <c r="C626">
        <f>IF(Pipeline_Sort!$C626="","",INDEX(Pipeline_Calc!$D$2:$D$5251,Pipeline_Sort!$C626))</f>
        <v/>
      </c>
      <c r="D626">
        <f>IF(Pipeline_Sort!$C626="","",INDEX(Pipeline_Calc!$E$2:$E$5251,Pipeline_Sort!$C626))</f>
        <v/>
      </c>
      <c r="E626">
        <f>IF(Pipeline_Sort!$C626="","",INDEX(Pipeline_Calc!$F$2:$F$5251,Pipeline_Sort!$C626))</f>
        <v/>
      </c>
      <c r="F626">
        <f>IF(Pipeline_Sort!$C626="","",INDEX(Pipeline_Calc!$G$2:$G$5251,Pipeline_Sort!$C626))</f>
        <v/>
      </c>
      <c r="G626">
        <f>IF(Pipeline_Sort!$C626="","",INDEX(Pipeline_Calc!$H$2:$H$5251,Pipeline_Sort!$C626))</f>
        <v/>
      </c>
      <c r="H626">
        <f>IF(Pipeline_Sort!$C626="","",INDEX(Pipeline_Calc!$I$2:$I$5251,Pipeline_Sort!$C626))</f>
        <v/>
      </c>
      <c r="I626">
        <f>IF(Pipeline_Sort!$C626="","",INDEX(Pipeline_Calc!$J$2:$J$5251,Pipeline_Sort!$C626))</f>
        <v/>
      </c>
    </row>
    <row r="627">
      <c r="A627" s="22">
        <f>IF(Pipeline_Sort!$C627="","",INDEX(Pipeline_Calc!$B$2:$B$5251,Pipeline_Sort!$C627))</f>
        <v/>
      </c>
      <c r="B627">
        <f>IF(Pipeline_Sort!$C627="","",INDEX(Pipeline_Calc!$C$2:$C$5251,Pipeline_Sort!$C627))</f>
        <v/>
      </c>
      <c r="C627">
        <f>IF(Pipeline_Sort!$C627="","",INDEX(Pipeline_Calc!$D$2:$D$5251,Pipeline_Sort!$C627))</f>
        <v/>
      </c>
      <c r="D627">
        <f>IF(Pipeline_Sort!$C627="","",INDEX(Pipeline_Calc!$E$2:$E$5251,Pipeline_Sort!$C627))</f>
        <v/>
      </c>
      <c r="E627">
        <f>IF(Pipeline_Sort!$C627="","",INDEX(Pipeline_Calc!$F$2:$F$5251,Pipeline_Sort!$C627))</f>
        <v/>
      </c>
      <c r="F627">
        <f>IF(Pipeline_Sort!$C627="","",INDEX(Pipeline_Calc!$G$2:$G$5251,Pipeline_Sort!$C627))</f>
        <v/>
      </c>
      <c r="G627">
        <f>IF(Pipeline_Sort!$C627="","",INDEX(Pipeline_Calc!$H$2:$H$5251,Pipeline_Sort!$C627))</f>
        <v/>
      </c>
      <c r="H627">
        <f>IF(Pipeline_Sort!$C627="","",INDEX(Pipeline_Calc!$I$2:$I$5251,Pipeline_Sort!$C627))</f>
        <v/>
      </c>
      <c r="I627">
        <f>IF(Pipeline_Sort!$C627="","",INDEX(Pipeline_Calc!$J$2:$J$5251,Pipeline_Sort!$C627))</f>
        <v/>
      </c>
    </row>
    <row r="628">
      <c r="A628" s="22">
        <f>IF(Pipeline_Sort!$C628="","",INDEX(Pipeline_Calc!$B$2:$B$5251,Pipeline_Sort!$C628))</f>
        <v/>
      </c>
      <c r="B628">
        <f>IF(Pipeline_Sort!$C628="","",INDEX(Pipeline_Calc!$C$2:$C$5251,Pipeline_Sort!$C628))</f>
        <v/>
      </c>
      <c r="C628">
        <f>IF(Pipeline_Sort!$C628="","",INDEX(Pipeline_Calc!$D$2:$D$5251,Pipeline_Sort!$C628))</f>
        <v/>
      </c>
      <c r="D628">
        <f>IF(Pipeline_Sort!$C628="","",INDEX(Pipeline_Calc!$E$2:$E$5251,Pipeline_Sort!$C628))</f>
        <v/>
      </c>
      <c r="E628">
        <f>IF(Pipeline_Sort!$C628="","",INDEX(Pipeline_Calc!$F$2:$F$5251,Pipeline_Sort!$C628))</f>
        <v/>
      </c>
      <c r="F628">
        <f>IF(Pipeline_Sort!$C628="","",INDEX(Pipeline_Calc!$G$2:$G$5251,Pipeline_Sort!$C628))</f>
        <v/>
      </c>
      <c r="G628">
        <f>IF(Pipeline_Sort!$C628="","",INDEX(Pipeline_Calc!$H$2:$H$5251,Pipeline_Sort!$C628))</f>
        <v/>
      </c>
      <c r="H628">
        <f>IF(Pipeline_Sort!$C628="","",INDEX(Pipeline_Calc!$I$2:$I$5251,Pipeline_Sort!$C628))</f>
        <v/>
      </c>
      <c r="I628">
        <f>IF(Pipeline_Sort!$C628="","",INDEX(Pipeline_Calc!$J$2:$J$5251,Pipeline_Sort!$C628))</f>
        <v/>
      </c>
    </row>
    <row r="629">
      <c r="A629" s="22">
        <f>IF(Pipeline_Sort!$C629="","",INDEX(Pipeline_Calc!$B$2:$B$5251,Pipeline_Sort!$C629))</f>
        <v/>
      </c>
      <c r="B629">
        <f>IF(Pipeline_Sort!$C629="","",INDEX(Pipeline_Calc!$C$2:$C$5251,Pipeline_Sort!$C629))</f>
        <v/>
      </c>
      <c r="C629">
        <f>IF(Pipeline_Sort!$C629="","",INDEX(Pipeline_Calc!$D$2:$D$5251,Pipeline_Sort!$C629))</f>
        <v/>
      </c>
      <c r="D629">
        <f>IF(Pipeline_Sort!$C629="","",INDEX(Pipeline_Calc!$E$2:$E$5251,Pipeline_Sort!$C629))</f>
        <v/>
      </c>
      <c r="E629">
        <f>IF(Pipeline_Sort!$C629="","",INDEX(Pipeline_Calc!$F$2:$F$5251,Pipeline_Sort!$C629))</f>
        <v/>
      </c>
      <c r="F629">
        <f>IF(Pipeline_Sort!$C629="","",INDEX(Pipeline_Calc!$G$2:$G$5251,Pipeline_Sort!$C629))</f>
        <v/>
      </c>
      <c r="G629">
        <f>IF(Pipeline_Sort!$C629="","",INDEX(Pipeline_Calc!$H$2:$H$5251,Pipeline_Sort!$C629))</f>
        <v/>
      </c>
      <c r="H629">
        <f>IF(Pipeline_Sort!$C629="","",INDEX(Pipeline_Calc!$I$2:$I$5251,Pipeline_Sort!$C629))</f>
        <v/>
      </c>
      <c r="I629">
        <f>IF(Pipeline_Sort!$C629="","",INDEX(Pipeline_Calc!$J$2:$J$5251,Pipeline_Sort!$C629))</f>
        <v/>
      </c>
    </row>
    <row r="630">
      <c r="A630" s="22">
        <f>IF(Pipeline_Sort!$C630="","",INDEX(Pipeline_Calc!$B$2:$B$5251,Pipeline_Sort!$C630))</f>
        <v/>
      </c>
      <c r="B630">
        <f>IF(Pipeline_Sort!$C630="","",INDEX(Pipeline_Calc!$C$2:$C$5251,Pipeline_Sort!$C630))</f>
        <v/>
      </c>
      <c r="C630">
        <f>IF(Pipeline_Sort!$C630="","",INDEX(Pipeline_Calc!$D$2:$D$5251,Pipeline_Sort!$C630))</f>
        <v/>
      </c>
      <c r="D630">
        <f>IF(Pipeline_Sort!$C630="","",INDEX(Pipeline_Calc!$E$2:$E$5251,Pipeline_Sort!$C630))</f>
        <v/>
      </c>
      <c r="E630">
        <f>IF(Pipeline_Sort!$C630="","",INDEX(Pipeline_Calc!$F$2:$F$5251,Pipeline_Sort!$C630))</f>
        <v/>
      </c>
      <c r="F630">
        <f>IF(Pipeline_Sort!$C630="","",INDEX(Pipeline_Calc!$G$2:$G$5251,Pipeline_Sort!$C630))</f>
        <v/>
      </c>
      <c r="G630">
        <f>IF(Pipeline_Sort!$C630="","",INDEX(Pipeline_Calc!$H$2:$H$5251,Pipeline_Sort!$C630))</f>
        <v/>
      </c>
      <c r="H630">
        <f>IF(Pipeline_Sort!$C630="","",INDEX(Pipeline_Calc!$I$2:$I$5251,Pipeline_Sort!$C630))</f>
        <v/>
      </c>
      <c r="I630">
        <f>IF(Pipeline_Sort!$C630="","",INDEX(Pipeline_Calc!$J$2:$J$5251,Pipeline_Sort!$C630))</f>
        <v/>
      </c>
    </row>
    <row r="631">
      <c r="A631" s="22">
        <f>IF(Pipeline_Sort!$C631="","",INDEX(Pipeline_Calc!$B$2:$B$5251,Pipeline_Sort!$C631))</f>
        <v/>
      </c>
      <c r="B631">
        <f>IF(Pipeline_Sort!$C631="","",INDEX(Pipeline_Calc!$C$2:$C$5251,Pipeline_Sort!$C631))</f>
        <v/>
      </c>
      <c r="C631">
        <f>IF(Pipeline_Sort!$C631="","",INDEX(Pipeline_Calc!$D$2:$D$5251,Pipeline_Sort!$C631))</f>
        <v/>
      </c>
      <c r="D631">
        <f>IF(Pipeline_Sort!$C631="","",INDEX(Pipeline_Calc!$E$2:$E$5251,Pipeline_Sort!$C631))</f>
        <v/>
      </c>
      <c r="E631">
        <f>IF(Pipeline_Sort!$C631="","",INDEX(Pipeline_Calc!$F$2:$F$5251,Pipeline_Sort!$C631))</f>
        <v/>
      </c>
      <c r="F631">
        <f>IF(Pipeline_Sort!$C631="","",INDEX(Pipeline_Calc!$G$2:$G$5251,Pipeline_Sort!$C631))</f>
        <v/>
      </c>
      <c r="G631">
        <f>IF(Pipeline_Sort!$C631="","",INDEX(Pipeline_Calc!$H$2:$H$5251,Pipeline_Sort!$C631))</f>
        <v/>
      </c>
      <c r="H631">
        <f>IF(Pipeline_Sort!$C631="","",INDEX(Pipeline_Calc!$I$2:$I$5251,Pipeline_Sort!$C631))</f>
        <v/>
      </c>
      <c r="I631">
        <f>IF(Pipeline_Sort!$C631="","",INDEX(Pipeline_Calc!$J$2:$J$5251,Pipeline_Sort!$C631))</f>
        <v/>
      </c>
    </row>
    <row r="632">
      <c r="A632" s="22">
        <f>IF(Pipeline_Sort!$C632="","",INDEX(Pipeline_Calc!$B$2:$B$5251,Pipeline_Sort!$C632))</f>
        <v/>
      </c>
      <c r="B632">
        <f>IF(Pipeline_Sort!$C632="","",INDEX(Pipeline_Calc!$C$2:$C$5251,Pipeline_Sort!$C632))</f>
        <v/>
      </c>
      <c r="C632">
        <f>IF(Pipeline_Sort!$C632="","",INDEX(Pipeline_Calc!$D$2:$D$5251,Pipeline_Sort!$C632))</f>
        <v/>
      </c>
      <c r="D632">
        <f>IF(Pipeline_Sort!$C632="","",INDEX(Pipeline_Calc!$E$2:$E$5251,Pipeline_Sort!$C632))</f>
        <v/>
      </c>
      <c r="E632">
        <f>IF(Pipeline_Sort!$C632="","",INDEX(Pipeline_Calc!$F$2:$F$5251,Pipeline_Sort!$C632))</f>
        <v/>
      </c>
      <c r="F632">
        <f>IF(Pipeline_Sort!$C632="","",INDEX(Pipeline_Calc!$G$2:$G$5251,Pipeline_Sort!$C632))</f>
        <v/>
      </c>
      <c r="G632">
        <f>IF(Pipeline_Sort!$C632="","",INDEX(Pipeline_Calc!$H$2:$H$5251,Pipeline_Sort!$C632))</f>
        <v/>
      </c>
      <c r="H632">
        <f>IF(Pipeline_Sort!$C632="","",INDEX(Pipeline_Calc!$I$2:$I$5251,Pipeline_Sort!$C632))</f>
        <v/>
      </c>
      <c r="I632">
        <f>IF(Pipeline_Sort!$C632="","",INDEX(Pipeline_Calc!$J$2:$J$5251,Pipeline_Sort!$C632))</f>
        <v/>
      </c>
    </row>
    <row r="633">
      <c r="A633" s="22">
        <f>IF(Pipeline_Sort!$C633="","",INDEX(Pipeline_Calc!$B$2:$B$5251,Pipeline_Sort!$C633))</f>
        <v/>
      </c>
      <c r="B633">
        <f>IF(Pipeline_Sort!$C633="","",INDEX(Pipeline_Calc!$C$2:$C$5251,Pipeline_Sort!$C633))</f>
        <v/>
      </c>
      <c r="C633">
        <f>IF(Pipeline_Sort!$C633="","",INDEX(Pipeline_Calc!$D$2:$D$5251,Pipeline_Sort!$C633))</f>
        <v/>
      </c>
      <c r="D633">
        <f>IF(Pipeline_Sort!$C633="","",INDEX(Pipeline_Calc!$E$2:$E$5251,Pipeline_Sort!$C633))</f>
        <v/>
      </c>
      <c r="E633">
        <f>IF(Pipeline_Sort!$C633="","",INDEX(Pipeline_Calc!$F$2:$F$5251,Pipeline_Sort!$C633))</f>
        <v/>
      </c>
      <c r="F633">
        <f>IF(Pipeline_Sort!$C633="","",INDEX(Pipeline_Calc!$G$2:$G$5251,Pipeline_Sort!$C633))</f>
        <v/>
      </c>
      <c r="G633">
        <f>IF(Pipeline_Sort!$C633="","",INDEX(Pipeline_Calc!$H$2:$H$5251,Pipeline_Sort!$C633))</f>
        <v/>
      </c>
      <c r="H633">
        <f>IF(Pipeline_Sort!$C633="","",INDEX(Pipeline_Calc!$I$2:$I$5251,Pipeline_Sort!$C633))</f>
        <v/>
      </c>
      <c r="I633">
        <f>IF(Pipeline_Sort!$C633="","",INDEX(Pipeline_Calc!$J$2:$J$5251,Pipeline_Sort!$C633))</f>
        <v/>
      </c>
    </row>
    <row r="634">
      <c r="A634" s="22">
        <f>IF(Pipeline_Sort!$C634="","",INDEX(Pipeline_Calc!$B$2:$B$5251,Pipeline_Sort!$C634))</f>
        <v/>
      </c>
      <c r="B634">
        <f>IF(Pipeline_Sort!$C634="","",INDEX(Pipeline_Calc!$C$2:$C$5251,Pipeline_Sort!$C634))</f>
        <v/>
      </c>
      <c r="C634">
        <f>IF(Pipeline_Sort!$C634="","",INDEX(Pipeline_Calc!$D$2:$D$5251,Pipeline_Sort!$C634))</f>
        <v/>
      </c>
      <c r="D634">
        <f>IF(Pipeline_Sort!$C634="","",INDEX(Pipeline_Calc!$E$2:$E$5251,Pipeline_Sort!$C634))</f>
        <v/>
      </c>
      <c r="E634">
        <f>IF(Pipeline_Sort!$C634="","",INDEX(Pipeline_Calc!$F$2:$F$5251,Pipeline_Sort!$C634))</f>
        <v/>
      </c>
      <c r="F634">
        <f>IF(Pipeline_Sort!$C634="","",INDEX(Pipeline_Calc!$G$2:$G$5251,Pipeline_Sort!$C634))</f>
        <v/>
      </c>
      <c r="G634">
        <f>IF(Pipeline_Sort!$C634="","",INDEX(Pipeline_Calc!$H$2:$H$5251,Pipeline_Sort!$C634))</f>
        <v/>
      </c>
      <c r="H634">
        <f>IF(Pipeline_Sort!$C634="","",INDEX(Pipeline_Calc!$I$2:$I$5251,Pipeline_Sort!$C634))</f>
        <v/>
      </c>
      <c r="I634">
        <f>IF(Pipeline_Sort!$C634="","",INDEX(Pipeline_Calc!$J$2:$J$5251,Pipeline_Sort!$C634))</f>
        <v/>
      </c>
    </row>
    <row r="635">
      <c r="A635" s="22">
        <f>IF(Pipeline_Sort!$C635="","",INDEX(Pipeline_Calc!$B$2:$B$5251,Pipeline_Sort!$C635))</f>
        <v/>
      </c>
      <c r="B635">
        <f>IF(Pipeline_Sort!$C635="","",INDEX(Pipeline_Calc!$C$2:$C$5251,Pipeline_Sort!$C635))</f>
        <v/>
      </c>
      <c r="C635">
        <f>IF(Pipeline_Sort!$C635="","",INDEX(Pipeline_Calc!$D$2:$D$5251,Pipeline_Sort!$C635))</f>
        <v/>
      </c>
      <c r="D635">
        <f>IF(Pipeline_Sort!$C635="","",INDEX(Pipeline_Calc!$E$2:$E$5251,Pipeline_Sort!$C635))</f>
        <v/>
      </c>
      <c r="E635">
        <f>IF(Pipeline_Sort!$C635="","",INDEX(Pipeline_Calc!$F$2:$F$5251,Pipeline_Sort!$C635))</f>
        <v/>
      </c>
      <c r="F635">
        <f>IF(Pipeline_Sort!$C635="","",INDEX(Pipeline_Calc!$G$2:$G$5251,Pipeline_Sort!$C635))</f>
        <v/>
      </c>
      <c r="G635">
        <f>IF(Pipeline_Sort!$C635="","",INDEX(Pipeline_Calc!$H$2:$H$5251,Pipeline_Sort!$C635))</f>
        <v/>
      </c>
      <c r="H635">
        <f>IF(Pipeline_Sort!$C635="","",INDEX(Pipeline_Calc!$I$2:$I$5251,Pipeline_Sort!$C635))</f>
        <v/>
      </c>
      <c r="I635">
        <f>IF(Pipeline_Sort!$C635="","",INDEX(Pipeline_Calc!$J$2:$J$5251,Pipeline_Sort!$C635))</f>
        <v/>
      </c>
    </row>
    <row r="636">
      <c r="A636" s="22">
        <f>IF(Pipeline_Sort!$C636="","",INDEX(Pipeline_Calc!$B$2:$B$5251,Pipeline_Sort!$C636))</f>
        <v/>
      </c>
      <c r="B636">
        <f>IF(Pipeline_Sort!$C636="","",INDEX(Pipeline_Calc!$C$2:$C$5251,Pipeline_Sort!$C636))</f>
        <v/>
      </c>
      <c r="C636">
        <f>IF(Pipeline_Sort!$C636="","",INDEX(Pipeline_Calc!$D$2:$D$5251,Pipeline_Sort!$C636))</f>
        <v/>
      </c>
      <c r="D636">
        <f>IF(Pipeline_Sort!$C636="","",INDEX(Pipeline_Calc!$E$2:$E$5251,Pipeline_Sort!$C636))</f>
        <v/>
      </c>
      <c r="E636">
        <f>IF(Pipeline_Sort!$C636="","",INDEX(Pipeline_Calc!$F$2:$F$5251,Pipeline_Sort!$C636))</f>
        <v/>
      </c>
      <c r="F636">
        <f>IF(Pipeline_Sort!$C636="","",INDEX(Pipeline_Calc!$G$2:$G$5251,Pipeline_Sort!$C636))</f>
        <v/>
      </c>
      <c r="G636">
        <f>IF(Pipeline_Sort!$C636="","",INDEX(Pipeline_Calc!$H$2:$H$5251,Pipeline_Sort!$C636))</f>
        <v/>
      </c>
      <c r="H636">
        <f>IF(Pipeline_Sort!$C636="","",INDEX(Pipeline_Calc!$I$2:$I$5251,Pipeline_Sort!$C636))</f>
        <v/>
      </c>
      <c r="I636">
        <f>IF(Pipeline_Sort!$C636="","",INDEX(Pipeline_Calc!$J$2:$J$5251,Pipeline_Sort!$C636))</f>
        <v/>
      </c>
    </row>
    <row r="637">
      <c r="A637" s="22">
        <f>IF(Pipeline_Sort!$C637="","",INDEX(Pipeline_Calc!$B$2:$B$5251,Pipeline_Sort!$C637))</f>
        <v/>
      </c>
      <c r="B637">
        <f>IF(Pipeline_Sort!$C637="","",INDEX(Pipeline_Calc!$C$2:$C$5251,Pipeline_Sort!$C637))</f>
        <v/>
      </c>
      <c r="C637">
        <f>IF(Pipeline_Sort!$C637="","",INDEX(Pipeline_Calc!$D$2:$D$5251,Pipeline_Sort!$C637))</f>
        <v/>
      </c>
      <c r="D637">
        <f>IF(Pipeline_Sort!$C637="","",INDEX(Pipeline_Calc!$E$2:$E$5251,Pipeline_Sort!$C637))</f>
        <v/>
      </c>
      <c r="E637">
        <f>IF(Pipeline_Sort!$C637="","",INDEX(Pipeline_Calc!$F$2:$F$5251,Pipeline_Sort!$C637))</f>
        <v/>
      </c>
      <c r="F637">
        <f>IF(Pipeline_Sort!$C637="","",INDEX(Pipeline_Calc!$G$2:$G$5251,Pipeline_Sort!$C637))</f>
        <v/>
      </c>
      <c r="G637">
        <f>IF(Pipeline_Sort!$C637="","",INDEX(Pipeline_Calc!$H$2:$H$5251,Pipeline_Sort!$C637))</f>
        <v/>
      </c>
      <c r="H637">
        <f>IF(Pipeline_Sort!$C637="","",INDEX(Pipeline_Calc!$I$2:$I$5251,Pipeline_Sort!$C637))</f>
        <v/>
      </c>
      <c r="I637">
        <f>IF(Pipeline_Sort!$C637="","",INDEX(Pipeline_Calc!$J$2:$J$5251,Pipeline_Sort!$C637))</f>
        <v/>
      </c>
    </row>
    <row r="638">
      <c r="A638" s="22">
        <f>IF(Pipeline_Sort!$C638="","",INDEX(Pipeline_Calc!$B$2:$B$5251,Pipeline_Sort!$C638))</f>
        <v/>
      </c>
      <c r="B638">
        <f>IF(Pipeline_Sort!$C638="","",INDEX(Pipeline_Calc!$C$2:$C$5251,Pipeline_Sort!$C638))</f>
        <v/>
      </c>
      <c r="C638">
        <f>IF(Pipeline_Sort!$C638="","",INDEX(Pipeline_Calc!$D$2:$D$5251,Pipeline_Sort!$C638))</f>
        <v/>
      </c>
      <c r="D638">
        <f>IF(Pipeline_Sort!$C638="","",INDEX(Pipeline_Calc!$E$2:$E$5251,Pipeline_Sort!$C638))</f>
        <v/>
      </c>
      <c r="E638">
        <f>IF(Pipeline_Sort!$C638="","",INDEX(Pipeline_Calc!$F$2:$F$5251,Pipeline_Sort!$C638))</f>
        <v/>
      </c>
      <c r="F638">
        <f>IF(Pipeline_Sort!$C638="","",INDEX(Pipeline_Calc!$G$2:$G$5251,Pipeline_Sort!$C638))</f>
        <v/>
      </c>
      <c r="G638">
        <f>IF(Pipeline_Sort!$C638="","",INDEX(Pipeline_Calc!$H$2:$H$5251,Pipeline_Sort!$C638))</f>
        <v/>
      </c>
      <c r="H638">
        <f>IF(Pipeline_Sort!$C638="","",INDEX(Pipeline_Calc!$I$2:$I$5251,Pipeline_Sort!$C638))</f>
        <v/>
      </c>
      <c r="I638">
        <f>IF(Pipeline_Sort!$C638="","",INDEX(Pipeline_Calc!$J$2:$J$5251,Pipeline_Sort!$C638))</f>
        <v/>
      </c>
    </row>
    <row r="639">
      <c r="A639" s="22">
        <f>IF(Pipeline_Sort!$C639="","",INDEX(Pipeline_Calc!$B$2:$B$5251,Pipeline_Sort!$C639))</f>
        <v/>
      </c>
      <c r="B639">
        <f>IF(Pipeline_Sort!$C639="","",INDEX(Pipeline_Calc!$C$2:$C$5251,Pipeline_Sort!$C639))</f>
        <v/>
      </c>
      <c r="C639">
        <f>IF(Pipeline_Sort!$C639="","",INDEX(Pipeline_Calc!$D$2:$D$5251,Pipeline_Sort!$C639))</f>
        <v/>
      </c>
      <c r="D639">
        <f>IF(Pipeline_Sort!$C639="","",INDEX(Pipeline_Calc!$E$2:$E$5251,Pipeline_Sort!$C639))</f>
        <v/>
      </c>
      <c r="E639">
        <f>IF(Pipeline_Sort!$C639="","",INDEX(Pipeline_Calc!$F$2:$F$5251,Pipeline_Sort!$C639))</f>
        <v/>
      </c>
      <c r="F639">
        <f>IF(Pipeline_Sort!$C639="","",INDEX(Pipeline_Calc!$G$2:$G$5251,Pipeline_Sort!$C639))</f>
        <v/>
      </c>
      <c r="G639">
        <f>IF(Pipeline_Sort!$C639="","",INDEX(Pipeline_Calc!$H$2:$H$5251,Pipeline_Sort!$C639))</f>
        <v/>
      </c>
      <c r="H639">
        <f>IF(Pipeline_Sort!$C639="","",INDEX(Pipeline_Calc!$I$2:$I$5251,Pipeline_Sort!$C639))</f>
        <v/>
      </c>
      <c r="I639">
        <f>IF(Pipeline_Sort!$C639="","",INDEX(Pipeline_Calc!$J$2:$J$5251,Pipeline_Sort!$C639))</f>
        <v/>
      </c>
    </row>
    <row r="640">
      <c r="A640" s="22">
        <f>IF(Pipeline_Sort!$C640="","",INDEX(Pipeline_Calc!$B$2:$B$5251,Pipeline_Sort!$C640))</f>
        <v/>
      </c>
      <c r="B640">
        <f>IF(Pipeline_Sort!$C640="","",INDEX(Pipeline_Calc!$C$2:$C$5251,Pipeline_Sort!$C640))</f>
        <v/>
      </c>
      <c r="C640">
        <f>IF(Pipeline_Sort!$C640="","",INDEX(Pipeline_Calc!$D$2:$D$5251,Pipeline_Sort!$C640))</f>
        <v/>
      </c>
      <c r="D640">
        <f>IF(Pipeline_Sort!$C640="","",INDEX(Pipeline_Calc!$E$2:$E$5251,Pipeline_Sort!$C640))</f>
        <v/>
      </c>
      <c r="E640">
        <f>IF(Pipeline_Sort!$C640="","",INDEX(Pipeline_Calc!$F$2:$F$5251,Pipeline_Sort!$C640))</f>
        <v/>
      </c>
      <c r="F640">
        <f>IF(Pipeline_Sort!$C640="","",INDEX(Pipeline_Calc!$G$2:$G$5251,Pipeline_Sort!$C640))</f>
        <v/>
      </c>
      <c r="G640">
        <f>IF(Pipeline_Sort!$C640="","",INDEX(Pipeline_Calc!$H$2:$H$5251,Pipeline_Sort!$C640))</f>
        <v/>
      </c>
      <c r="H640">
        <f>IF(Pipeline_Sort!$C640="","",INDEX(Pipeline_Calc!$I$2:$I$5251,Pipeline_Sort!$C640))</f>
        <v/>
      </c>
      <c r="I640">
        <f>IF(Pipeline_Sort!$C640="","",INDEX(Pipeline_Calc!$J$2:$J$5251,Pipeline_Sort!$C640))</f>
        <v/>
      </c>
    </row>
    <row r="641">
      <c r="A641" s="22">
        <f>IF(Pipeline_Sort!$C641="","",INDEX(Pipeline_Calc!$B$2:$B$5251,Pipeline_Sort!$C641))</f>
        <v/>
      </c>
      <c r="B641">
        <f>IF(Pipeline_Sort!$C641="","",INDEX(Pipeline_Calc!$C$2:$C$5251,Pipeline_Sort!$C641))</f>
        <v/>
      </c>
      <c r="C641">
        <f>IF(Pipeline_Sort!$C641="","",INDEX(Pipeline_Calc!$D$2:$D$5251,Pipeline_Sort!$C641))</f>
        <v/>
      </c>
      <c r="D641">
        <f>IF(Pipeline_Sort!$C641="","",INDEX(Pipeline_Calc!$E$2:$E$5251,Pipeline_Sort!$C641))</f>
        <v/>
      </c>
      <c r="E641">
        <f>IF(Pipeline_Sort!$C641="","",INDEX(Pipeline_Calc!$F$2:$F$5251,Pipeline_Sort!$C641))</f>
        <v/>
      </c>
      <c r="F641">
        <f>IF(Pipeline_Sort!$C641="","",INDEX(Pipeline_Calc!$G$2:$G$5251,Pipeline_Sort!$C641))</f>
        <v/>
      </c>
      <c r="G641">
        <f>IF(Pipeline_Sort!$C641="","",INDEX(Pipeline_Calc!$H$2:$H$5251,Pipeline_Sort!$C641))</f>
        <v/>
      </c>
      <c r="H641">
        <f>IF(Pipeline_Sort!$C641="","",INDEX(Pipeline_Calc!$I$2:$I$5251,Pipeline_Sort!$C641))</f>
        <v/>
      </c>
      <c r="I641">
        <f>IF(Pipeline_Sort!$C641="","",INDEX(Pipeline_Calc!$J$2:$J$5251,Pipeline_Sort!$C641))</f>
        <v/>
      </c>
    </row>
    <row r="642">
      <c r="A642" s="22">
        <f>IF(Pipeline_Sort!$C642="","",INDEX(Pipeline_Calc!$B$2:$B$5251,Pipeline_Sort!$C642))</f>
        <v/>
      </c>
      <c r="B642">
        <f>IF(Pipeline_Sort!$C642="","",INDEX(Pipeline_Calc!$C$2:$C$5251,Pipeline_Sort!$C642))</f>
        <v/>
      </c>
      <c r="C642">
        <f>IF(Pipeline_Sort!$C642="","",INDEX(Pipeline_Calc!$D$2:$D$5251,Pipeline_Sort!$C642))</f>
        <v/>
      </c>
      <c r="D642">
        <f>IF(Pipeline_Sort!$C642="","",INDEX(Pipeline_Calc!$E$2:$E$5251,Pipeline_Sort!$C642))</f>
        <v/>
      </c>
      <c r="E642">
        <f>IF(Pipeline_Sort!$C642="","",INDEX(Pipeline_Calc!$F$2:$F$5251,Pipeline_Sort!$C642))</f>
        <v/>
      </c>
      <c r="F642">
        <f>IF(Pipeline_Sort!$C642="","",INDEX(Pipeline_Calc!$G$2:$G$5251,Pipeline_Sort!$C642))</f>
        <v/>
      </c>
      <c r="G642">
        <f>IF(Pipeline_Sort!$C642="","",INDEX(Pipeline_Calc!$H$2:$H$5251,Pipeline_Sort!$C642))</f>
        <v/>
      </c>
      <c r="H642">
        <f>IF(Pipeline_Sort!$C642="","",INDEX(Pipeline_Calc!$I$2:$I$5251,Pipeline_Sort!$C642))</f>
        <v/>
      </c>
      <c r="I642">
        <f>IF(Pipeline_Sort!$C642="","",INDEX(Pipeline_Calc!$J$2:$J$5251,Pipeline_Sort!$C642))</f>
        <v/>
      </c>
    </row>
    <row r="643">
      <c r="A643" s="22">
        <f>IF(Pipeline_Sort!$C643="","",INDEX(Pipeline_Calc!$B$2:$B$5251,Pipeline_Sort!$C643))</f>
        <v/>
      </c>
      <c r="B643">
        <f>IF(Pipeline_Sort!$C643="","",INDEX(Pipeline_Calc!$C$2:$C$5251,Pipeline_Sort!$C643))</f>
        <v/>
      </c>
      <c r="C643">
        <f>IF(Pipeline_Sort!$C643="","",INDEX(Pipeline_Calc!$D$2:$D$5251,Pipeline_Sort!$C643))</f>
        <v/>
      </c>
      <c r="D643">
        <f>IF(Pipeline_Sort!$C643="","",INDEX(Pipeline_Calc!$E$2:$E$5251,Pipeline_Sort!$C643))</f>
        <v/>
      </c>
      <c r="E643">
        <f>IF(Pipeline_Sort!$C643="","",INDEX(Pipeline_Calc!$F$2:$F$5251,Pipeline_Sort!$C643))</f>
        <v/>
      </c>
      <c r="F643">
        <f>IF(Pipeline_Sort!$C643="","",INDEX(Pipeline_Calc!$G$2:$G$5251,Pipeline_Sort!$C643))</f>
        <v/>
      </c>
      <c r="G643">
        <f>IF(Pipeline_Sort!$C643="","",INDEX(Pipeline_Calc!$H$2:$H$5251,Pipeline_Sort!$C643))</f>
        <v/>
      </c>
      <c r="H643">
        <f>IF(Pipeline_Sort!$C643="","",INDEX(Pipeline_Calc!$I$2:$I$5251,Pipeline_Sort!$C643))</f>
        <v/>
      </c>
      <c r="I643">
        <f>IF(Pipeline_Sort!$C643="","",INDEX(Pipeline_Calc!$J$2:$J$5251,Pipeline_Sort!$C643))</f>
        <v/>
      </c>
    </row>
    <row r="644">
      <c r="A644" s="22">
        <f>IF(Pipeline_Sort!$C644="","",INDEX(Pipeline_Calc!$B$2:$B$5251,Pipeline_Sort!$C644))</f>
        <v/>
      </c>
      <c r="B644">
        <f>IF(Pipeline_Sort!$C644="","",INDEX(Pipeline_Calc!$C$2:$C$5251,Pipeline_Sort!$C644))</f>
        <v/>
      </c>
      <c r="C644">
        <f>IF(Pipeline_Sort!$C644="","",INDEX(Pipeline_Calc!$D$2:$D$5251,Pipeline_Sort!$C644))</f>
        <v/>
      </c>
      <c r="D644">
        <f>IF(Pipeline_Sort!$C644="","",INDEX(Pipeline_Calc!$E$2:$E$5251,Pipeline_Sort!$C644))</f>
        <v/>
      </c>
      <c r="E644">
        <f>IF(Pipeline_Sort!$C644="","",INDEX(Pipeline_Calc!$F$2:$F$5251,Pipeline_Sort!$C644))</f>
        <v/>
      </c>
      <c r="F644">
        <f>IF(Pipeline_Sort!$C644="","",INDEX(Pipeline_Calc!$G$2:$G$5251,Pipeline_Sort!$C644))</f>
        <v/>
      </c>
      <c r="G644">
        <f>IF(Pipeline_Sort!$C644="","",INDEX(Pipeline_Calc!$H$2:$H$5251,Pipeline_Sort!$C644))</f>
        <v/>
      </c>
      <c r="H644">
        <f>IF(Pipeline_Sort!$C644="","",INDEX(Pipeline_Calc!$I$2:$I$5251,Pipeline_Sort!$C644))</f>
        <v/>
      </c>
      <c r="I644">
        <f>IF(Pipeline_Sort!$C644="","",INDEX(Pipeline_Calc!$J$2:$J$5251,Pipeline_Sort!$C644))</f>
        <v/>
      </c>
    </row>
    <row r="645">
      <c r="A645" s="22">
        <f>IF(Pipeline_Sort!$C645="","",INDEX(Pipeline_Calc!$B$2:$B$5251,Pipeline_Sort!$C645))</f>
        <v/>
      </c>
      <c r="B645">
        <f>IF(Pipeline_Sort!$C645="","",INDEX(Pipeline_Calc!$C$2:$C$5251,Pipeline_Sort!$C645))</f>
        <v/>
      </c>
      <c r="C645">
        <f>IF(Pipeline_Sort!$C645="","",INDEX(Pipeline_Calc!$D$2:$D$5251,Pipeline_Sort!$C645))</f>
        <v/>
      </c>
      <c r="D645">
        <f>IF(Pipeline_Sort!$C645="","",INDEX(Pipeline_Calc!$E$2:$E$5251,Pipeline_Sort!$C645))</f>
        <v/>
      </c>
      <c r="E645">
        <f>IF(Pipeline_Sort!$C645="","",INDEX(Pipeline_Calc!$F$2:$F$5251,Pipeline_Sort!$C645))</f>
        <v/>
      </c>
      <c r="F645">
        <f>IF(Pipeline_Sort!$C645="","",INDEX(Pipeline_Calc!$G$2:$G$5251,Pipeline_Sort!$C645))</f>
        <v/>
      </c>
      <c r="G645">
        <f>IF(Pipeline_Sort!$C645="","",INDEX(Pipeline_Calc!$H$2:$H$5251,Pipeline_Sort!$C645))</f>
        <v/>
      </c>
      <c r="H645">
        <f>IF(Pipeline_Sort!$C645="","",INDEX(Pipeline_Calc!$I$2:$I$5251,Pipeline_Sort!$C645))</f>
        <v/>
      </c>
      <c r="I645">
        <f>IF(Pipeline_Sort!$C645="","",INDEX(Pipeline_Calc!$J$2:$J$5251,Pipeline_Sort!$C645))</f>
        <v/>
      </c>
    </row>
    <row r="646">
      <c r="A646" s="22">
        <f>IF(Pipeline_Sort!$C646="","",INDEX(Pipeline_Calc!$B$2:$B$5251,Pipeline_Sort!$C646))</f>
        <v/>
      </c>
      <c r="B646">
        <f>IF(Pipeline_Sort!$C646="","",INDEX(Pipeline_Calc!$C$2:$C$5251,Pipeline_Sort!$C646))</f>
        <v/>
      </c>
      <c r="C646">
        <f>IF(Pipeline_Sort!$C646="","",INDEX(Pipeline_Calc!$D$2:$D$5251,Pipeline_Sort!$C646))</f>
        <v/>
      </c>
      <c r="D646">
        <f>IF(Pipeline_Sort!$C646="","",INDEX(Pipeline_Calc!$E$2:$E$5251,Pipeline_Sort!$C646))</f>
        <v/>
      </c>
      <c r="E646">
        <f>IF(Pipeline_Sort!$C646="","",INDEX(Pipeline_Calc!$F$2:$F$5251,Pipeline_Sort!$C646))</f>
        <v/>
      </c>
      <c r="F646">
        <f>IF(Pipeline_Sort!$C646="","",INDEX(Pipeline_Calc!$G$2:$G$5251,Pipeline_Sort!$C646))</f>
        <v/>
      </c>
      <c r="G646">
        <f>IF(Pipeline_Sort!$C646="","",INDEX(Pipeline_Calc!$H$2:$H$5251,Pipeline_Sort!$C646))</f>
        <v/>
      </c>
      <c r="H646">
        <f>IF(Pipeline_Sort!$C646="","",INDEX(Pipeline_Calc!$I$2:$I$5251,Pipeline_Sort!$C646))</f>
        <v/>
      </c>
      <c r="I646">
        <f>IF(Pipeline_Sort!$C646="","",INDEX(Pipeline_Calc!$J$2:$J$5251,Pipeline_Sort!$C646))</f>
        <v/>
      </c>
    </row>
    <row r="647">
      <c r="A647" s="22">
        <f>IF(Pipeline_Sort!$C647="","",INDEX(Pipeline_Calc!$B$2:$B$5251,Pipeline_Sort!$C647))</f>
        <v/>
      </c>
      <c r="B647">
        <f>IF(Pipeline_Sort!$C647="","",INDEX(Pipeline_Calc!$C$2:$C$5251,Pipeline_Sort!$C647))</f>
        <v/>
      </c>
      <c r="C647">
        <f>IF(Pipeline_Sort!$C647="","",INDEX(Pipeline_Calc!$D$2:$D$5251,Pipeline_Sort!$C647))</f>
        <v/>
      </c>
      <c r="D647">
        <f>IF(Pipeline_Sort!$C647="","",INDEX(Pipeline_Calc!$E$2:$E$5251,Pipeline_Sort!$C647))</f>
        <v/>
      </c>
      <c r="E647">
        <f>IF(Pipeline_Sort!$C647="","",INDEX(Pipeline_Calc!$F$2:$F$5251,Pipeline_Sort!$C647))</f>
        <v/>
      </c>
      <c r="F647">
        <f>IF(Pipeline_Sort!$C647="","",INDEX(Pipeline_Calc!$G$2:$G$5251,Pipeline_Sort!$C647))</f>
        <v/>
      </c>
      <c r="G647">
        <f>IF(Pipeline_Sort!$C647="","",INDEX(Pipeline_Calc!$H$2:$H$5251,Pipeline_Sort!$C647))</f>
        <v/>
      </c>
      <c r="H647">
        <f>IF(Pipeline_Sort!$C647="","",INDEX(Pipeline_Calc!$I$2:$I$5251,Pipeline_Sort!$C647))</f>
        <v/>
      </c>
      <c r="I647">
        <f>IF(Pipeline_Sort!$C647="","",INDEX(Pipeline_Calc!$J$2:$J$5251,Pipeline_Sort!$C647))</f>
        <v/>
      </c>
    </row>
    <row r="648">
      <c r="A648" s="22">
        <f>IF(Pipeline_Sort!$C648="","",INDEX(Pipeline_Calc!$B$2:$B$5251,Pipeline_Sort!$C648))</f>
        <v/>
      </c>
      <c r="B648">
        <f>IF(Pipeline_Sort!$C648="","",INDEX(Pipeline_Calc!$C$2:$C$5251,Pipeline_Sort!$C648))</f>
        <v/>
      </c>
      <c r="C648">
        <f>IF(Pipeline_Sort!$C648="","",INDEX(Pipeline_Calc!$D$2:$D$5251,Pipeline_Sort!$C648))</f>
        <v/>
      </c>
      <c r="D648">
        <f>IF(Pipeline_Sort!$C648="","",INDEX(Pipeline_Calc!$E$2:$E$5251,Pipeline_Sort!$C648))</f>
        <v/>
      </c>
      <c r="E648">
        <f>IF(Pipeline_Sort!$C648="","",INDEX(Pipeline_Calc!$F$2:$F$5251,Pipeline_Sort!$C648))</f>
        <v/>
      </c>
      <c r="F648">
        <f>IF(Pipeline_Sort!$C648="","",INDEX(Pipeline_Calc!$G$2:$G$5251,Pipeline_Sort!$C648))</f>
        <v/>
      </c>
      <c r="G648">
        <f>IF(Pipeline_Sort!$C648="","",INDEX(Pipeline_Calc!$H$2:$H$5251,Pipeline_Sort!$C648))</f>
        <v/>
      </c>
      <c r="H648">
        <f>IF(Pipeline_Sort!$C648="","",INDEX(Pipeline_Calc!$I$2:$I$5251,Pipeline_Sort!$C648))</f>
        <v/>
      </c>
      <c r="I648">
        <f>IF(Pipeline_Sort!$C648="","",INDEX(Pipeline_Calc!$J$2:$J$5251,Pipeline_Sort!$C648))</f>
        <v/>
      </c>
    </row>
    <row r="649">
      <c r="A649" s="22">
        <f>IF(Pipeline_Sort!$C649="","",INDEX(Pipeline_Calc!$B$2:$B$5251,Pipeline_Sort!$C649))</f>
        <v/>
      </c>
      <c r="B649">
        <f>IF(Pipeline_Sort!$C649="","",INDEX(Pipeline_Calc!$C$2:$C$5251,Pipeline_Sort!$C649))</f>
        <v/>
      </c>
      <c r="C649">
        <f>IF(Pipeline_Sort!$C649="","",INDEX(Pipeline_Calc!$D$2:$D$5251,Pipeline_Sort!$C649))</f>
        <v/>
      </c>
      <c r="D649">
        <f>IF(Pipeline_Sort!$C649="","",INDEX(Pipeline_Calc!$E$2:$E$5251,Pipeline_Sort!$C649))</f>
        <v/>
      </c>
      <c r="E649">
        <f>IF(Pipeline_Sort!$C649="","",INDEX(Pipeline_Calc!$F$2:$F$5251,Pipeline_Sort!$C649))</f>
        <v/>
      </c>
      <c r="F649">
        <f>IF(Pipeline_Sort!$C649="","",INDEX(Pipeline_Calc!$G$2:$G$5251,Pipeline_Sort!$C649))</f>
        <v/>
      </c>
      <c r="G649">
        <f>IF(Pipeline_Sort!$C649="","",INDEX(Pipeline_Calc!$H$2:$H$5251,Pipeline_Sort!$C649))</f>
        <v/>
      </c>
      <c r="H649">
        <f>IF(Pipeline_Sort!$C649="","",INDEX(Pipeline_Calc!$I$2:$I$5251,Pipeline_Sort!$C649))</f>
        <v/>
      </c>
      <c r="I649">
        <f>IF(Pipeline_Sort!$C649="","",INDEX(Pipeline_Calc!$J$2:$J$5251,Pipeline_Sort!$C649))</f>
        <v/>
      </c>
    </row>
    <row r="650">
      <c r="A650" s="22">
        <f>IF(Pipeline_Sort!$C650="","",INDEX(Pipeline_Calc!$B$2:$B$5251,Pipeline_Sort!$C650))</f>
        <v/>
      </c>
      <c r="B650">
        <f>IF(Pipeline_Sort!$C650="","",INDEX(Pipeline_Calc!$C$2:$C$5251,Pipeline_Sort!$C650))</f>
        <v/>
      </c>
      <c r="C650">
        <f>IF(Pipeline_Sort!$C650="","",INDEX(Pipeline_Calc!$D$2:$D$5251,Pipeline_Sort!$C650))</f>
        <v/>
      </c>
      <c r="D650">
        <f>IF(Pipeline_Sort!$C650="","",INDEX(Pipeline_Calc!$E$2:$E$5251,Pipeline_Sort!$C650))</f>
        <v/>
      </c>
      <c r="E650">
        <f>IF(Pipeline_Sort!$C650="","",INDEX(Pipeline_Calc!$F$2:$F$5251,Pipeline_Sort!$C650))</f>
        <v/>
      </c>
      <c r="F650">
        <f>IF(Pipeline_Sort!$C650="","",INDEX(Pipeline_Calc!$G$2:$G$5251,Pipeline_Sort!$C650))</f>
        <v/>
      </c>
      <c r="G650">
        <f>IF(Pipeline_Sort!$C650="","",INDEX(Pipeline_Calc!$H$2:$H$5251,Pipeline_Sort!$C650))</f>
        <v/>
      </c>
      <c r="H650">
        <f>IF(Pipeline_Sort!$C650="","",INDEX(Pipeline_Calc!$I$2:$I$5251,Pipeline_Sort!$C650))</f>
        <v/>
      </c>
      <c r="I650">
        <f>IF(Pipeline_Sort!$C650="","",INDEX(Pipeline_Calc!$J$2:$J$5251,Pipeline_Sort!$C650))</f>
        <v/>
      </c>
    </row>
    <row r="651">
      <c r="A651" s="22">
        <f>IF(Pipeline_Sort!$C651="","",INDEX(Pipeline_Calc!$B$2:$B$5251,Pipeline_Sort!$C651))</f>
        <v/>
      </c>
      <c r="B651">
        <f>IF(Pipeline_Sort!$C651="","",INDEX(Pipeline_Calc!$C$2:$C$5251,Pipeline_Sort!$C651))</f>
        <v/>
      </c>
      <c r="C651">
        <f>IF(Pipeline_Sort!$C651="","",INDEX(Pipeline_Calc!$D$2:$D$5251,Pipeline_Sort!$C651))</f>
        <v/>
      </c>
      <c r="D651">
        <f>IF(Pipeline_Sort!$C651="","",INDEX(Pipeline_Calc!$E$2:$E$5251,Pipeline_Sort!$C651))</f>
        <v/>
      </c>
      <c r="E651">
        <f>IF(Pipeline_Sort!$C651="","",INDEX(Pipeline_Calc!$F$2:$F$5251,Pipeline_Sort!$C651))</f>
        <v/>
      </c>
      <c r="F651">
        <f>IF(Pipeline_Sort!$C651="","",INDEX(Pipeline_Calc!$G$2:$G$5251,Pipeline_Sort!$C651))</f>
        <v/>
      </c>
      <c r="G651">
        <f>IF(Pipeline_Sort!$C651="","",INDEX(Pipeline_Calc!$H$2:$H$5251,Pipeline_Sort!$C651))</f>
        <v/>
      </c>
      <c r="H651">
        <f>IF(Pipeline_Sort!$C651="","",INDEX(Pipeline_Calc!$I$2:$I$5251,Pipeline_Sort!$C651))</f>
        <v/>
      </c>
      <c r="I651">
        <f>IF(Pipeline_Sort!$C651="","",INDEX(Pipeline_Calc!$J$2:$J$5251,Pipeline_Sort!$C651))</f>
        <v/>
      </c>
    </row>
    <row r="652">
      <c r="A652" s="22">
        <f>IF(Pipeline_Sort!$C652="","",INDEX(Pipeline_Calc!$B$2:$B$5251,Pipeline_Sort!$C652))</f>
        <v/>
      </c>
      <c r="B652">
        <f>IF(Pipeline_Sort!$C652="","",INDEX(Pipeline_Calc!$C$2:$C$5251,Pipeline_Sort!$C652))</f>
        <v/>
      </c>
      <c r="C652">
        <f>IF(Pipeline_Sort!$C652="","",INDEX(Pipeline_Calc!$D$2:$D$5251,Pipeline_Sort!$C652))</f>
        <v/>
      </c>
      <c r="D652">
        <f>IF(Pipeline_Sort!$C652="","",INDEX(Pipeline_Calc!$E$2:$E$5251,Pipeline_Sort!$C652))</f>
        <v/>
      </c>
      <c r="E652">
        <f>IF(Pipeline_Sort!$C652="","",INDEX(Pipeline_Calc!$F$2:$F$5251,Pipeline_Sort!$C652))</f>
        <v/>
      </c>
      <c r="F652">
        <f>IF(Pipeline_Sort!$C652="","",INDEX(Pipeline_Calc!$G$2:$G$5251,Pipeline_Sort!$C652))</f>
        <v/>
      </c>
      <c r="G652">
        <f>IF(Pipeline_Sort!$C652="","",INDEX(Pipeline_Calc!$H$2:$H$5251,Pipeline_Sort!$C652))</f>
        <v/>
      </c>
      <c r="H652">
        <f>IF(Pipeline_Sort!$C652="","",INDEX(Pipeline_Calc!$I$2:$I$5251,Pipeline_Sort!$C652))</f>
        <v/>
      </c>
      <c r="I652">
        <f>IF(Pipeline_Sort!$C652="","",INDEX(Pipeline_Calc!$J$2:$J$5251,Pipeline_Sort!$C652))</f>
        <v/>
      </c>
    </row>
    <row r="653">
      <c r="A653" s="22">
        <f>IF(Pipeline_Sort!$C653="","",INDEX(Pipeline_Calc!$B$2:$B$5251,Pipeline_Sort!$C653))</f>
        <v/>
      </c>
      <c r="B653">
        <f>IF(Pipeline_Sort!$C653="","",INDEX(Pipeline_Calc!$C$2:$C$5251,Pipeline_Sort!$C653))</f>
        <v/>
      </c>
      <c r="C653">
        <f>IF(Pipeline_Sort!$C653="","",INDEX(Pipeline_Calc!$D$2:$D$5251,Pipeline_Sort!$C653))</f>
        <v/>
      </c>
      <c r="D653">
        <f>IF(Pipeline_Sort!$C653="","",INDEX(Pipeline_Calc!$E$2:$E$5251,Pipeline_Sort!$C653))</f>
        <v/>
      </c>
      <c r="E653">
        <f>IF(Pipeline_Sort!$C653="","",INDEX(Pipeline_Calc!$F$2:$F$5251,Pipeline_Sort!$C653))</f>
        <v/>
      </c>
      <c r="F653">
        <f>IF(Pipeline_Sort!$C653="","",INDEX(Pipeline_Calc!$G$2:$G$5251,Pipeline_Sort!$C653))</f>
        <v/>
      </c>
      <c r="G653">
        <f>IF(Pipeline_Sort!$C653="","",INDEX(Pipeline_Calc!$H$2:$H$5251,Pipeline_Sort!$C653))</f>
        <v/>
      </c>
      <c r="H653">
        <f>IF(Pipeline_Sort!$C653="","",INDEX(Pipeline_Calc!$I$2:$I$5251,Pipeline_Sort!$C653))</f>
        <v/>
      </c>
      <c r="I653">
        <f>IF(Pipeline_Sort!$C653="","",INDEX(Pipeline_Calc!$J$2:$J$5251,Pipeline_Sort!$C653))</f>
        <v/>
      </c>
    </row>
    <row r="654">
      <c r="A654" s="22">
        <f>IF(Pipeline_Sort!$C654="","",INDEX(Pipeline_Calc!$B$2:$B$5251,Pipeline_Sort!$C654))</f>
        <v/>
      </c>
      <c r="B654">
        <f>IF(Pipeline_Sort!$C654="","",INDEX(Pipeline_Calc!$C$2:$C$5251,Pipeline_Sort!$C654))</f>
        <v/>
      </c>
      <c r="C654">
        <f>IF(Pipeline_Sort!$C654="","",INDEX(Pipeline_Calc!$D$2:$D$5251,Pipeline_Sort!$C654))</f>
        <v/>
      </c>
      <c r="D654">
        <f>IF(Pipeline_Sort!$C654="","",INDEX(Pipeline_Calc!$E$2:$E$5251,Pipeline_Sort!$C654))</f>
        <v/>
      </c>
      <c r="E654">
        <f>IF(Pipeline_Sort!$C654="","",INDEX(Pipeline_Calc!$F$2:$F$5251,Pipeline_Sort!$C654))</f>
        <v/>
      </c>
      <c r="F654">
        <f>IF(Pipeline_Sort!$C654="","",INDEX(Pipeline_Calc!$G$2:$G$5251,Pipeline_Sort!$C654))</f>
        <v/>
      </c>
      <c r="G654">
        <f>IF(Pipeline_Sort!$C654="","",INDEX(Pipeline_Calc!$H$2:$H$5251,Pipeline_Sort!$C654))</f>
        <v/>
      </c>
      <c r="H654">
        <f>IF(Pipeline_Sort!$C654="","",INDEX(Pipeline_Calc!$I$2:$I$5251,Pipeline_Sort!$C654))</f>
        <v/>
      </c>
      <c r="I654">
        <f>IF(Pipeline_Sort!$C654="","",INDEX(Pipeline_Calc!$J$2:$J$5251,Pipeline_Sort!$C654))</f>
        <v/>
      </c>
    </row>
    <row r="655">
      <c r="A655" s="22">
        <f>IF(Pipeline_Sort!$C655="","",INDEX(Pipeline_Calc!$B$2:$B$5251,Pipeline_Sort!$C655))</f>
        <v/>
      </c>
      <c r="B655">
        <f>IF(Pipeline_Sort!$C655="","",INDEX(Pipeline_Calc!$C$2:$C$5251,Pipeline_Sort!$C655))</f>
        <v/>
      </c>
      <c r="C655">
        <f>IF(Pipeline_Sort!$C655="","",INDEX(Pipeline_Calc!$D$2:$D$5251,Pipeline_Sort!$C655))</f>
        <v/>
      </c>
      <c r="D655">
        <f>IF(Pipeline_Sort!$C655="","",INDEX(Pipeline_Calc!$E$2:$E$5251,Pipeline_Sort!$C655))</f>
        <v/>
      </c>
      <c r="E655">
        <f>IF(Pipeline_Sort!$C655="","",INDEX(Pipeline_Calc!$F$2:$F$5251,Pipeline_Sort!$C655))</f>
        <v/>
      </c>
      <c r="F655">
        <f>IF(Pipeline_Sort!$C655="","",INDEX(Pipeline_Calc!$G$2:$G$5251,Pipeline_Sort!$C655))</f>
        <v/>
      </c>
      <c r="G655">
        <f>IF(Pipeline_Sort!$C655="","",INDEX(Pipeline_Calc!$H$2:$H$5251,Pipeline_Sort!$C655))</f>
        <v/>
      </c>
      <c r="H655">
        <f>IF(Pipeline_Sort!$C655="","",INDEX(Pipeline_Calc!$I$2:$I$5251,Pipeline_Sort!$C655))</f>
        <v/>
      </c>
      <c r="I655">
        <f>IF(Pipeline_Sort!$C655="","",INDEX(Pipeline_Calc!$J$2:$J$5251,Pipeline_Sort!$C655))</f>
        <v/>
      </c>
    </row>
    <row r="656">
      <c r="A656" s="22">
        <f>IF(Pipeline_Sort!$C656="","",INDEX(Pipeline_Calc!$B$2:$B$5251,Pipeline_Sort!$C656))</f>
        <v/>
      </c>
      <c r="B656">
        <f>IF(Pipeline_Sort!$C656="","",INDEX(Pipeline_Calc!$C$2:$C$5251,Pipeline_Sort!$C656))</f>
        <v/>
      </c>
      <c r="C656">
        <f>IF(Pipeline_Sort!$C656="","",INDEX(Pipeline_Calc!$D$2:$D$5251,Pipeline_Sort!$C656))</f>
        <v/>
      </c>
      <c r="D656">
        <f>IF(Pipeline_Sort!$C656="","",INDEX(Pipeline_Calc!$E$2:$E$5251,Pipeline_Sort!$C656))</f>
        <v/>
      </c>
      <c r="E656">
        <f>IF(Pipeline_Sort!$C656="","",INDEX(Pipeline_Calc!$F$2:$F$5251,Pipeline_Sort!$C656))</f>
        <v/>
      </c>
      <c r="F656">
        <f>IF(Pipeline_Sort!$C656="","",INDEX(Pipeline_Calc!$G$2:$G$5251,Pipeline_Sort!$C656))</f>
        <v/>
      </c>
      <c r="G656">
        <f>IF(Pipeline_Sort!$C656="","",INDEX(Pipeline_Calc!$H$2:$H$5251,Pipeline_Sort!$C656))</f>
        <v/>
      </c>
      <c r="H656">
        <f>IF(Pipeline_Sort!$C656="","",INDEX(Pipeline_Calc!$I$2:$I$5251,Pipeline_Sort!$C656))</f>
        <v/>
      </c>
      <c r="I656">
        <f>IF(Pipeline_Sort!$C656="","",INDEX(Pipeline_Calc!$J$2:$J$5251,Pipeline_Sort!$C656))</f>
        <v/>
      </c>
    </row>
    <row r="657">
      <c r="A657" s="22">
        <f>IF(Pipeline_Sort!$C657="","",INDEX(Pipeline_Calc!$B$2:$B$5251,Pipeline_Sort!$C657))</f>
        <v/>
      </c>
      <c r="B657">
        <f>IF(Pipeline_Sort!$C657="","",INDEX(Pipeline_Calc!$C$2:$C$5251,Pipeline_Sort!$C657))</f>
        <v/>
      </c>
      <c r="C657">
        <f>IF(Pipeline_Sort!$C657="","",INDEX(Pipeline_Calc!$D$2:$D$5251,Pipeline_Sort!$C657))</f>
        <v/>
      </c>
      <c r="D657">
        <f>IF(Pipeline_Sort!$C657="","",INDEX(Pipeline_Calc!$E$2:$E$5251,Pipeline_Sort!$C657))</f>
        <v/>
      </c>
      <c r="E657">
        <f>IF(Pipeline_Sort!$C657="","",INDEX(Pipeline_Calc!$F$2:$F$5251,Pipeline_Sort!$C657))</f>
        <v/>
      </c>
      <c r="F657">
        <f>IF(Pipeline_Sort!$C657="","",INDEX(Pipeline_Calc!$G$2:$G$5251,Pipeline_Sort!$C657))</f>
        <v/>
      </c>
      <c r="G657">
        <f>IF(Pipeline_Sort!$C657="","",INDEX(Pipeline_Calc!$H$2:$H$5251,Pipeline_Sort!$C657))</f>
        <v/>
      </c>
      <c r="H657">
        <f>IF(Pipeline_Sort!$C657="","",INDEX(Pipeline_Calc!$I$2:$I$5251,Pipeline_Sort!$C657))</f>
        <v/>
      </c>
      <c r="I657">
        <f>IF(Pipeline_Sort!$C657="","",INDEX(Pipeline_Calc!$J$2:$J$5251,Pipeline_Sort!$C657))</f>
        <v/>
      </c>
    </row>
    <row r="658">
      <c r="A658" s="22">
        <f>IF(Pipeline_Sort!$C658="","",INDEX(Pipeline_Calc!$B$2:$B$5251,Pipeline_Sort!$C658))</f>
        <v/>
      </c>
      <c r="B658">
        <f>IF(Pipeline_Sort!$C658="","",INDEX(Pipeline_Calc!$C$2:$C$5251,Pipeline_Sort!$C658))</f>
        <v/>
      </c>
      <c r="C658">
        <f>IF(Pipeline_Sort!$C658="","",INDEX(Pipeline_Calc!$D$2:$D$5251,Pipeline_Sort!$C658))</f>
        <v/>
      </c>
      <c r="D658">
        <f>IF(Pipeline_Sort!$C658="","",INDEX(Pipeline_Calc!$E$2:$E$5251,Pipeline_Sort!$C658))</f>
        <v/>
      </c>
      <c r="E658">
        <f>IF(Pipeline_Sort!$C658="","",INDEX(Pipeline_Calc!$F$2:$F$5251,Pipeline_Sort!$C658))</f>
        <v/>
      </c>
      <c r="F658">
        <f>IF(Pipeline_Sort!$C658="","",INDEX(Pipeline_Calc!$G$2:$G$5251,Pipeline_Sort!$C658))</f>
        <v/>
      </c>
      <c r="G658">
        <f>IF(Pipeline_Sort!$C658="","",INDEX(Pipeline_Calc!$H$2:$H$5251,Pipeline_Sort!$C658))</f>
        <v/>
      </c>
      <c r="H658">
        <f>IF(Pipeline_Sort!$C658="","",INDEX(Pipeline_Calc!$I$2:$I$5251,Pipeline_Sort!$C658))</f>
        <v/>
      </c>
      <c r="I658">
        <f>IF(Pipeline_Sort!$C658="","",INDEX(Pipeline_Calc!$J$2:$J$5251,Pipeline_Sort!$C658))</f>
        <v/>
      </c>
    </row>
    <row r="659">
      <c r="A659" s="22">
        <f>IF(Pipeline_Sort!$C659="","",INDEX(Pipeline_Calc!$B$2:$B$5251,Pipeline_Sort!$C659))</f>
        <v/>
      </c>
      <c r="B659">
        <f>IF(Pipeline_Sort!$C659="","",INDEX(Pipeline_Calc!$C$2:$C$5251,Pipeline_Sort!$C659))</f>
        <v/>
      </c>
      <c r="C659">
        <f>IF(Pipeline_Sort!$C659="","",INDEX(Pipeline_Calc!$D$2:$D$5251,Pipeline_Sort!$C659))</f>
        <v/>
      </c>
      <c r="D659">
        <f>IF(Pipeline_Sort!$C659="","",INDEX(Pipeline_Calc!$E$2:$E$5251,Pipeline_Sort!$C659))</f>
        <v/>
      </c>
      <c r="E659">
        <f>IF(Pipeline_Sort!$C659="","",INDEX(Pipeline_Calc!$F$2:$F$5251,Pipeline_Sort!$C659))</f>
        <v/>
      </c>
      <c r="F659">
        <f>IF(Pipeline_Sort!$C659="","",INDEX(Pipeline_Calc!$G$2:$G$5251,Pipeline_Sort!$C659))</f>
        <v/>
      </c>
      <c r="G659">
        <f>IF(Pipeline_Sort!$C659="","",INDEX(Pipeline_Calc!$H$2:$H$5251,Pipeline_Sort!$C659))</f>
        <v/>
      </c>
      <c r="H659">
        <f>IF(Pipeline_Sort!$C659="","",INDEX(Pipeline_Calc!$I$2:$I$5251,Pipeline_Sort!$C659))</f>
        <v/>
      </c>
      <c r="I659">
        <f>IF(Pipeline_Sort!$C659="","",INDEX(Pipeline_Calc!$J$2:$J$5251,Pipeline_Sort!$C659))</f>
        <v/>
      </c>
    </row>
    <row r="660">
      <c r="A660" s="22">
        <f>IF(Pipeline_Sort!$C660="","",INDEX(Pipeline_Calc!$B$2:$B$5251,Pipeline_Sort!$C660))</f>
        <v/>
      </c>
      <c r="B660">
        <f>IF(Pipeline_Sort!$C660="","",INDEX(Pipeline_Calc!$C$2:$C$5251,Pipeline_Sort!$C660))</f>
        <v/>
      </c>
      <c r="C660">
        <f>IF(Pipeline_Sort!$C660="","",INDEX(Pipeline_Calc!$D$2:$D$5251,Pipeline_Sort!$C660))</f>
        <v/>
      </c>
      <c r="D660">
        <f>IF(Pipeline_Sort!$C660="","",INDEX(Pipeline_Calc!$E$2:$E$5251,Pipeline_Sort!$C660))</f>
        <v/>
      </c>
      <c r="E660">
        <f>IF(Pipeline_Sort!$C660="","",INDEX(Pipeline_Calc!$F$2:$F$5251,Pipeline_Sort!$C660))</f>
        <v/>
      </c>
      <c r="F660">
        <f>IF(Pipeline_Sort!$C660="","",INDEX(Pipeline_Calc!$G$2:$G$5251,Pipeline_Sort!$C660))</f>
        <v/>
      </c>
      <c r="G660">
        <f>IF(Pipeline_Sort!$C660="","",INDEX(Pipeline_Calc!$H$2:$H$5251,Pipeline_Sort!$C660))</f>
        <v/>
      </c>
      <c r="H660">
        <f>IF(Pipeline_Sort!$C660="","",INDEX(Pipeline_Calc!$I$2:$I$5251,Pipeline_Sort!$C660))</f>
        <v/>
      </c>
      <c r="I660">
        <f>IF(Pipeline_Sort!$C660="","",INDEX(Pipeline_Calc!$J$2:$J$5251,Pipeline_Sort!$C660))</f>
        <v/>
      </c>
    </row>
    <row r="661">
      <c r="A661" s="22">
        <f>IF(Pipeline_Sort!$C661="","",INDEX(Pipeline_Calc!$B$2:$B$5251,Pipeline_Sort!$C661))</f>
        <v/>
      </c>
      <c r="B661">
        <f>IF(Pipeline_Sort!$C661="","",INDEX(Pipeline_Calc!$C$2:$C$5251,Pipeline_Sort!$C661))</f>
        <v/>
      </c>
      <c r="C661">
        <f>IF(Pipeline_Sort!$C661="","",INDEX(Pipeline_Calc!$D$2:$D$5251,Pipeline_Sort!$C661))</f>
        <v/>
      </c>
      <c r="D661">
        <f>IF(Pipeline_Sort!$C661="","",INDEX(Pipeline_Calc!$E$2:$E$5251,Pipeline_Sort!$C661))</f>
        <v/>
      </c>
      <c r="E661">
        <f>IF(Pipeline_Sort!$C661="","",INDEX(Pipeline_Calc!$F$2:$F$5251,Pipeline_Sort!$C661))</f>
        <v/>
      </c>
      <c r="F661">
        <f>IF(Pipeline_Sort!$C661="","",INDEX(Pipeline_Calc!$G$2:$G$5251,Pipeline_Sort!$C661))</f>
        <v/>
      </c>
      <c r="G661">
        <f>IF(Pipeline_Sort!$C661="","",INDEX(Pipeline_Calc!$H$2:$H$5251,Pipeline_Sort!$C661))</f>
        <v/>
      </c>
      <c r="H661">
        <f>IF(Pipeline_Sort!$C661="","",INDEX(Pipeline_Calc!$I$2:$I$5251,Pipeline_Sort!$C661))</f>
        <v/>
      </c>
      <c r="I661">
        <f>IF(Pipeline_Sort!$C661="","",INDEX(Pipeline_Calc!$J$2:$J$5251,Pipeline_Sort!$C661))</f>
        <v/>
      </c>
    </row>
    <row r="662">
      <c r="A662" s="22">
        <f>IF(Pipeline_Sort!$C662="","",INDEX(Pipeline_Calc!$B$2:$B$5251,Pipeline_Sort!$C662))</f>
        <v/>
      </c>
      <c r="B662">
        <f>IF(Pipeline_Sort!$C662="","",INDEX(Pipeline_Calc!$C$2:$C$5251,Pipeline_Sort!$C662))</f>
        <v/>
      </c>
      <c r="C662">
        <f>IF(Pipeline_Sort!$C662="","",INDEX(Pipeline_Calc!$D$2:$D$5251,Pipeline_Sort!$C662))</f>
        <v/>
      </c>
      <c r="D662">
        <f>IF(Pipeline_Sort!$C662="","",INDEX(Pipeline_Calc!$E$2:$E$5251,Pipeline_Sort!$C662))</f>
        <v/>
      </c>
      <c r="E662">
        <f>IF(Pipeline_Sort!$C662="","",INDEX(Pipeline_Calc!$F$2:$F$5251,Pipeline_Sort!$C662))</f>
        <v/>
      </c>
      <c r="F662">
        <f>IF(Pipeline_Sort!$C662="","",INDEX(Pipeline_Calc!$G$2:$G$5251,Pipeline_Sort!$C662))</f>
        <v/>
      </c>
      <c r="G662">
        <f>IF(Pipeline_Sort!$C662="","",INDEX(Pipeline_Calc!$H$2:$H$5251,Pipeline_Sort!$C662))</f>
        <v/>
      </c>
      <c r="H662">
        <f>IF(Pipeline_Sort!$C662="","",INDEX(Pipeline_Calc!$I$2:$I$5251,Pipeline_Sort!$C662))</f>
        <v/>
      </c>
      <c r="I662">
        <f>IF(Pipeline_Sort!$C662="","",INDEX(Pipeline_Calc!$J$2:$J$5251,Pipeline_Sort!$C662))</f>
        <v/>
      </c>
    </row>
    <row r="663">
      <c r="A663" s="22">
        <f>IF(Pipeline_Sort!$C663="","",INDEX(Pipeline_Calc!$B$2:$B$5251,Pipeline_Sort!$C663))</f>
        <v/>
      </c>
      <c r="B663">
        <f>IF(Pipeline_Sort!$C663="","",INDEX(Pipeline_Calc!$C$2:$C$5251,Pipeline_Sort!$C663))</f>
        <v/>
      </c>
      <c r="C663">
        <f>IF(Pipeline_Sort!$C663="","",INDEX(Pipeline_Calc!$D$2:$D$5251,Pipeline_Sort!$C663))</f>
        <v/>
      </c>
      <c r="D663">
        <f>IF(Pipeline_Sort!$C663="","",INDEX(Pipeline_Calc!$E$2:$E$5251,Pipeline_Sort!$C663))</f>
        <v/>
      </c>
      <c r="E663">
        <f>IF(Pipeline_Sort!$C663="","",INDEX(Pipeline_Calc!$F$2:$F$5251,Pipeline_Sort!$C663))</f>
        <v/>
      </c>
      <c r="F663">
        <f>IF(Pipeline_Sort!$C663="","",INDEX(Pipeline_Calc!$G$2:$G$5251,Pipeline_Sort!$C663))</f>
        <v/>
      </c>
      <c r="G663">
        <f>IF(Pipeline_Sort!$C663="","",INDEX(Pipeline_Calc!$H$2:$H$5251,Pipeline_Sort!$C663))</f>
        <v/>
      </c>
      <c r="H663">
        <f>IF(Pipeline_Sort!$C663="","",INDEX(Pipeline_Calc!$I$2:$I$5251,Pipeline_Sort!$C663))</f>
        <v/>
      </c>
      <c r="I663">
        <f>IF(Pipeline_Sort!$C663="","",INDEX(Pipeline_Calc!$J$2:$J$5251,Pipeline_Sort!$C663))</f>
        <v/>
      </c>
    </row>
    <row r="664">
      <c r="A664" s="22">
        <f>IF(Pipeline_Sort!$C664="","",INDEX(Pipeline_Calc!$B$2:$B$5251,Pipeline_Sort!$C664))</f>
        <v/>
      </c>
      <c r="B664">
        <f>IF(Pipeline_Sort!$C664="","",INDEX(Pipeline_Calc!$C$2:$C$5251,Pipeline_Sort!$C664))</f>
        <v/>
      </c>
      <c r="C664">
        <f>IF(Pipeline_Sort!$C664="","",INDEX(Pipeline_Calc!$D$2:$D$5251,Pipeline_Sort!$C664))</f>
        <v/>
      </c>
      <c r="D664">
        <f>IF(Pipeline_Sort!$C664="","",INDEX(Pipeline_Calc!$E$2:$E$5251,Pipeline_Sort!$C664))</f>
        <v/>
      </c>
      <c r="E664">
        <f>IF(Pipeline_Sort!$C664="","",INDEX(Pipeline_Calc!$F$2:$F$5251,Pipeline_Sort!$C664))</f>
        <v/>
      </c>
      <c r="F664">
        <f>IF(Pipeline_Sort!$C664="","",INDEX(Pipeline_Calc!$G$2:$G$5251,Pipeline_Sort!$C664))</f>
        <v/>
      </c>
      <c r="G664">
        <f>IF(Pipeline_Sort!$C664="","",INDEX(Pipeline_Calc!$H$2:$H$5251,Pipeline_Sort!$C664))</f>
        <v/>
      </c>
      <c r="H664">
        <f>IF(Pipeline_Sort!$C664="","",INDEX(Pipeline_Calc!$I$2:$I$5251,Pipeline_Sort!$C664))</f>
        <v/>
      </c>
      <c r="I664">
        <f>IF(Pipeline_Sort!$C664="","",INDEX(Pipeline_Calc!$J$2:$J$5251,Pipeline_Sort!$C664))</f>
        <v/>
      </c>
    </row>
    <row r="665">
      <c r="A665" s="22">
        <f>IF(Pipeline_Sort!$C665="","",INDEX(Pipeline_Calc!$B$2:$B$5251,Pipeline_Sort!$C665))</f>
        <v/>
      </c>
      <c r="B665">
        <f>IF(Pipeline_Sort!$C665="","",INDEX(Pipeline_Calc!$C$2:$C$5251,Pipeline_Sort!$C665))</f>
        <v/>
      </c>
      <c r="C665">
        <f>IF(Pipeline_Sort!$C665="","",INDEX(Pipeline_Calc!$D$2:$D$5251,Pipeline_Sort!$C665))</f>
        <v/>
      </c>
      <c r="D665">
        <f>IF(Pipeline_Sort!$C665="","",INDEX(Pipeline_Calc!$E$2:$E$5251,Pipeline_Sort!$C665))</f>
        <v/>
      </c>
      <c r="E665">
        <f>IF(Pipeline_Sort!$C665="","",INDEX(Pipeline_Calc!$F$2:$F$5251,Pipeline_Sort!$C665))</f>
        <v/>
      </c>
      <c r="F665">
        <f>IF(Pipeline_Sort!$C665="","",INDEX(Pipeline_Calc!$G$2:$G$5251,Pipeline_Sort!$C665))</f>
        <v/>
      </c>
      <c r="G665">
        <f>IF(Pipeline_Sort!$C665="","",INDEX(Pipeline_Calc!$H$2:$H$5251,Pipeline_Sort!$C665))</f>
        <v/>
      </c>
      <c r="H665">
        <f>IF(Pipeline_Sort!$C665="","",INDEX(Pipeline_Calc!$I$2:$I$5251,Pipeline_Sort!$C665))</f>
        <v/>
      </c>
      <c r="I665">
        <f>IF(Pipeline_Sort!$C665="","",INDEX(Pipeline_Calc!$J$2:$J$5251,Pipeline_Sort!$C665))</f>
        <v/>
      </c>
    </row>
    <row r="666">
      <c r="A666" s="22">
        <f>IF(Pipeline_Sort!$C666="","",INDEX(Pipeline_Calc!$B$2:$B$5251,Pipeline_Sort!$C666))</f>
        <v/>
      </c>
      <c r="B666">
        <f>IF(Pipeline_Sort!$C666="","",INDEX(Pipeline_Calc!$C$2:$C$5251,Pipeline_Sort!$C666))</f>
        <v/>
      </c>
      <c r="C666">
        <f>IF(Pipeline_Sort!$C666="","",INDEX(Pipeline_Calc!$D$2:$D$5251,Pipeline_Sort!$C666))</f>
        <v/>
      </c>
      <c r="D666">
        <f>IF(Pipeline_Sort!$C666="","",INDEX(Pipeline_Calc!$E$2:$E$5251,Pipeline_Sort!$C666))</f>
        <v/>
      </c>
      <c r="E666">
        <f>IF(Pipeline_Sort!$C666="","",INDEX(Pipeline_Calc!$F$2:$F$5251,Pipeline_Sort!$C666))</f>
        <v/>
      </c>
      <c r="F666">
        <f>IF(Pipeline_Sort!$C666="","",INDEX(Pipeline_Calc!$G$2:$G$5251,Pipeline_Sort!$C666))</f>
        <v/>
      </c>
      <c r="G666">
        <f>IF(Pipeline_Sort!$C666="","",INDEX(Pipeline_Calc!$H$2:$H$5251,Pipeline_Sort!$C666))</f>
        <v/>
      </c>
      <c r="H666">
        <f>IF(Pipeline_Sort!$C666="","",INDEX(Pipeline_Calc!$I$2:$I$5251,Pipeline_Sort!$C666))</f>
        <v/>
      </c>
      <c r="I666">
        <f>IF(Pipeline_Sort!$C666="","",INDEX(Pipeline_Calc!$J$2:$J$5251,Pipeline_Sort!$C666))</f>
        <v/>
      </c>
    </row>
    <row r="667">
      <c r="A667" s="22">
        <f>IF(Pipeline_Sort!$C667="","",INDEX(Pipeline_Calc!$B$2:$B$5251,Pipeline_Sort!$C667))</f>
        <v/>
      </c>
      <c r="B667">
        <f>IF(Pipeline_Sort!$C667="","",INDEX(Pipeline_Calc!$C$2:$C$5251,Pipeline_Sort!$C667))</f>
        <v/>
      </c>
      <c r="C667">
        <f>IF(Pipeline_Sort!$C667="","",INDEX(Pipeline_Calc!$D$2:$D$5251,Pipeline_Sort!$C667))</f>
        <v/>
      </c>
      <c r="D667">
        <f>IF(Pipeline_Sort!$C667="","",INDEX(Pipeline_Calc!$E$2:$E$5251,Pipeline_Sort!$C667))</f>
        <v/>
      </c>
      <c r="E667">
        <f>IF(Pipeline_Sort!$C667="","",INDEX(Pipeline_Calc!$F$2:$F$5251,Pipeline_Sort!$C667))</f>
        <v/>
      </c>
      <c r="F667">
        <f>IF(Pipeline_Sort!$C667="","",INDEX(Pipeline_Calc!$G$2:$G$5251,Pipeline_Sort!$C667))</f>
        <v/>
      </c>
      <c r="G667">
        <f>IF(Pipeline_Sort!$C667="","",INDEX(Pipeline_Calc!$H$2:$H$5251,Pipeline_Sort!$C667))</f>
        <v/>
      </c>
      <c r="H667">
        <f>IF(Pipeline_Sort!$C667="","",INDEX(Pipeline_Calc!$I$2:$I$5251,Pipeline_Sort!$C667))</f>
        <v/>
      </c>
      <c r="I667">
        <f>IF(Pipeline_Sort!$C667="","",INDEX(Pipeline_Calc!$J$2:$J$5251,Pipeline_Sort!$C667))</f>
        <v/>
      </c>
    </row>
    <row r="668">
      <c r="A668" s="22">
        <f>IF(Pipeline_Sort!$C668="","",INDEX(Pipeline_Calc!$B$2:$B$5251,Pipeline_Sort!$C668))</f>
        <v/>
      </c>
      <c r="B668">
        <f>IF(Pipeline_Sort!$C668="","",INDEX(Pipeline_Calc!$C$2:$C$5251,Pipeline_Sort!$C668))</f>
        <v/>
      </c>
      <c r="C668">
        <f>IF(Pipeline_Sort!$C668="","",INDEX(Pipeline_Calc!$D$2:$D$5251,Pipeline_Sort!$C668))</f>
        <v/>
      </c>
      <c r="D668">
        <f>IF(Pipeline_Sort!$C668="","",INDEX(Pipeline_Calc!$E$2:$E$5251,Pipeline_Sort!$C668))</f>
        <v/>
      </c>
      <c r="E668">
        <f>IF(Pipeline_Sort!$C668="","",INDEX(Pipeline_Calc!$F$2:$F$5251,Pipeline_Sort!$C668))</f>
        <v/>
      </c>
      <c r="F668">
        <f>IF(Pipeline_Sort!$C668="","",INDEX(Pipeline_Calc!$G$2:$G$5251,Pipeline_Sort!$C668))</f>
        <v/>
      </c>
      <c r="G668">
        <f>IF(Pipeline_Sort!$C668="","",INDEX(Pipeline_Calc!$H$2:$H$5251,Pipeline_Sort!$C668))</f>
        <v/>
      </c>
      <c r="H668">
        <f>IF(Pipeline_Sort!$C668="","",INDEX(Pipeline_Calc!$I$2:$I$5251,Pipeline_Sort!$C668))</f>
        <v/>
      </c>
      <c r="I668">
        <f>IF(Pipeline_Sort!$C668="","",INDEX(Pipeline_Calc!$J$2:$J$5251,Pipeline_Sort!$C668))</f>
        <v/>
      </c>
    </row>
    <row r="669">
      <c r="A669" s="22">
        <f>IF(Pipeline_Sort!$C669="","",INDEX(Pipeline_Calc!$B$2:$B$5251,Pipeline_Sort!$C669))</f>
        <v/>
      </c>
      <c r="B669">
        <f>IF(Pipeline_Sort!$C669="","",INDEX(Pipeline_Calc!$C$2:$C$5251,Pipeline_Sort!$C669))</f>
        <v/>
      </c>
      <c r="C669">
        <f>IF(Pipeline_Sort!$C669="","",INDEX(Pipeline_Calc!$D$2:$D$5251,Pipeline_Sort!$C669))</f>
        <v/>
      </c>
      <c r="D669">
        <f>IF(Pipeline_Sort!$C669="","",INDEX(Pipeline_Calc!$E$2:$E$5251,Pipeline_Sort!$C669))</f>
        <v/>
      </c>
      <c r="E669">
        <f>IF(Pipeline_Sort!$C669="","",INDEX(Pipeline_Calc!$F$2:$F$5251,Pipeline_Sort!$C669))</f>
        <v/>
      </c>
      <c r="F669">
        <f>IF(Pipeline_Sort!$C669="","",INDEX(Pipeline_Calc!$G$2:$G$5251,Pipeline_Sort!$C669))</f>
        <v/>
      </c>
      <c r="G669">
        <f>IF(Pipeline_Sort!$C669="","",INDEX(Pipeline_Calc!$H$2:$H$5251,Pipeline_Sort!$C669))</f>
        <v/>
      </c>
      <c r="H669">
        <f>IF(Pipeline_Sort!$C669="","",INDEX(Pipeline_Calc!$I$2:$I$5251,Pipeline_Sort!$C669))</f>
        <v/>
      </c>
      <c r="I669">
        <f>IF(Pipeline_Sort!$C669="","",INDEX(Pipeline_Calc!$J$2:$J$5251,Pipeline_Sort!$C669))</f>
        <v/>
      </c>
    </row>
    <row r="670">
      <c r="A670" s="22">
        <f>IF(Pipeline_Sort!$C670="","",INDEX(Pipeline_Calc!$B$2:$B$5251,Pipeline_Sort!$C670))</f>
        <v/>
      </c>
      <c r="B670">
        <f>IF(Pipeline_Sort!$C670="","",INDEX(Pipeline_Calc!$C$2:$C$5251,Pipeline_Sort!$C670))</f>
        <v/>
      </c>
      <c r="C670">
        <f>IF(Pipeline_Sort!$C670="","",INDEX(Pipeline_Calc!$D$2:$D$5251,Pipeline_Sort!$C670))</f>
        <v/>
      </c>
      <c r="D670">
        <f>IF(Pipeline_Sort!$C670="","",INDEX(Pipeline_Calc!$E$2:$E$5251,Pipeline_Sort!$C670))</f>
        <v/>
      </c>
      <c r="E670">
        <f>IF(Pipeline_Sort!$C670="","",INDEX(Pipeline_Calc!$F$2:$F$5251,Pipeline_Sort!$C670))</f>
        <v/>
      </c>
      <c r="F670">
        <f>IF(Pipeline_Sort!$C670="","",INDEX(Pipeline_Calc!$G$2:$G$5251,Pipeline_Sort!$C670))</f>
        <v/>
      </c>
      <c r="G670">
        <f>IF(Pipeline_Sort!$C670="","",INDEX(Pipeline_Calc!$H$2:$H$5251,Pipeline_Sort!$C670))</f>
        <v/>
      </c>
      <c r="H670">
        <f>IF(Pipeline_Sort!$C670="","",INDEX(Pipeline_Calc!$I$2:$I$5251,Pipeline_Sort!$C670))</f>
        <v/>
      </c>
      <c r="I670">
        <f>IF(Pipeline_Sort!$C670="","",INDEX(Pipeline_Calc!$J$2:$J$5251,Pipeline_Sort!$C670))</f>
        <v/>
      </c>
    </row>
    <row r="671">
      <c r="A671" s="22">
        <f>IF(Pipeline_Sort!$C671="","",INDEX(Pipeline_Calc!$B$2:$B$5251,Pipeline_Sort!$C671))</f>
        <v/>
      </c>
      <c r="B671">
        <f>IF(Pipeline_Sort!$C671="","",INDEX(Pipeline_Calc!$C$2:$C$5251,Pipeline_Sort!$C671))</f>
        <v/>
      </c>
      <c r="C671">
        <f>IF(Pipeline_Sort!$C671="","",INDEX(Pipeline_Calc!$D$2:$D$5251,Pipeline_Sort!$C671))</f>
        <v/>
      </c>
      <c r="D671">
        <f>IF(Pipeline_Sort!$C671="","",INDEX(Pipeline_Calc!$E$2:$E$5251,Pipeline_Sort!$C671))</f>
        <v/>
      </c>
      <c r="E671">
        <f>IF(Pipeline_Sort!$C671="","",INDEX(Pipeline_Calc!$F$2:$F$5251,Pipeline_Sort!$C671))</f>
        <v/>
      </c>
      <c r="F671">
        <f>IF(Pipeline_Sort!$C671="","",INDEX(Pipeline_Calc!$G$2:$G$5251,Pipeline_Sort!$C671))</f>
        <v/>
      </c>
      <c r="G671">
        <f>IF(Pipeline_Sort!$C671="","",INDEX(Pipeline_Calc!$H$2:$H$5251,Pipeline_Sort!$C671))</f>
        <v/>
      </c>
      <c r="H671">
        <f>IF(Pipeline_Sort!$C671="","",INDEX(Pipeline_Calc!$I$2:$I$5251,Pipeline_Sort!$C671))</f>
        <v/>
      </c>
      <c r="I671">
        <f>IF(Pipeline_Sort!$C671="","",INDEX(Pipeline_Calc!$J$2:$J$5251,Pipeline_Sort!$C671))</f>
        <v/>
      </c>
    </row>
    <row r="672">
      <c r="A672" s="22">
        <f>IF(Pipeline_Sort!$C672="","",INDEX(Pipeline_Calc!$B$2:$B$5251,Pipeline_Sort!$C672))</f>
        <v/>
      </c>
      <c r="B672">
        <f>IF(Pipeline_Sort!$C672="","",INDEX(Pipeline_Calc!$C$2:$C$5251,Pipeline_Sort!$C672))</f>
        <v/>
      </c>
      <c r="C672">
        <f>IF(Pipeline_Sort!$C672="","",INDEX(Pipeline_Calc!$D$2:$D$5251,Pipeline_Sort!$C672))</f>
        <v/>
      </c>
      <c r="D672">
        <f>IF(Pipeline_Sort!$C672="","",INDEX(Pipeline_Calc!$E$2:$E$5251,Pipeline_Sort!$C672))</f>
        <v/>
      </c>
      <c r="E672">
        <f>IF(Pipeline_Sort!$C672="","",INDEX(Pipeline_Calc!$F$2:$F$5251,Pipeline_Sort!$C672))</f>
        <v/>
      </c>
      <c r="F672">
        <f>IF(Pipeline_Sort!$C672="","",INDEX(Pipeline_Calc!$G$2:$G$5251,Pipeline_Sort!$C672))</f>
        <v/>
      </c>
      <c r="G672">
        <f>IF(Pipeline_Sort!$C672="","",INDEX(Pipeline_Calc!$H$2:$H$5251,Pipeline_Sort!$C672))</f>
        <v/>
      </c>
      <c r="H672">
        <f>IF(Pipeline_Sort!$C672="","",INDEX(Pipeline_Calc!$I$2:$I$5251,Pipeline_Sort!$C672))</f>
        <v/>
      </c>
      <c r="I672">
        <f>IF(Pipeline_Sort!$C672="","",INDEX(Pipeline_Calc!$J$2:$J$5251,Pipeline_Sort!$C672))</f>
        <v/>
      </c>
    </row>
    <row r="673">
      <c r="A673" s="22">
        <f>IF(Pipeline_Sort!$C673="","",INDEX(Pipeline_Calc!$B$2:$B$5251,Pipeline_Sort!$C673))</f>
        <v/>
      </c>
      <c r="B673">
        <f>IF(Pipeline_Sort!$C673="","",INDEX(Pipeline_Calc!$C$2:$C$5251,Pipeline_Sort!$C673))</f>
        <v/>
      </c>
      <c r="C673">
        <f>IF(Pipeline_Sort!$C673="","",INDEX(Pipeline_Calc!$D$2:$D$5251,Pipeline_Sort!$C673))</f>
        <v/>
      </c>
      <c r="D673">
        <f>IF(Pipeline_Sort!$C673="","",INDEX(Pipeline_Calc!$E$2:$E$5251,Pipeline_Sort!$C673))</f>
        <v/>
      </c>
      <c r="E673">
        <f>IF(Pipeline_Sort!$C673="","",INDEX(Pipeline_Calc!$F$2:$F$5251,Pipeline_Sort!$C673))</f>
        <v/>
      </c>
      <c r="F673">
        <f>IF(Pipeline_Sort!$C673="","",INDEX(Pipeline_Calc!$G$2:$G$5251,Pipeline_Sort!$C673))</f>
        <v/>
      </c>
      <c r="G673">
        <f>IF(Pipeline_Sort!$C673="","",INDEX(Pipeline_Calc!$H$2:$H$5251,Pipeline_Sort!$C673))</f>
        <v/>
      </c>
      <c r="H673">
        <f>IF(Pipeline_Sort!$C673="","",INDEX(Pipeline_Calc!$I$2:$I$5251,Pipeline_Sort!$C673))</f>
        <v/>
      </c>
      <c r="I673">
        <f>IF(Pipeline_Sort!$C673="","",INDEX(Pipeline_Calc!$J$2:$J$5251,Pipeline_Sort!$C673))</f>
        <v/>
      </c>
    </row>
    <row r="674">
      <c r="A674" s="22">
        <f>IF(Pipeline_Sort!$C674="","",INDEX(Pipeline_Calc!$B$2:$B$5251,Pipeline_Sort!$C674))</f>
        <v/>
      </c>
      <c r="B674">
        <f>IF(Pipeline_Sort!$C674="","",INDEX(Pipeline_Calc!$C$2:$C$5251,Pipeline_Sort!$C674))</f>
        <v/>
      </c>
      <c r="C674">
        <f>IF(Pipeline_Sort!$C674="","",INDEX(Pipeline_Calc!$D$2:$D$5251,Pipeline_Sort!$C674))</f>
        <v/>
      </c>
      <c r="D674">
        <f>IF(Pipeline_Sort!$C674="","",INDEX(Pipeline_Calc!$E$2:$E$5251,Pipeline_Sort!$C674))</f>
        <v/>
      </c>
      <c r="E674">
        <f>IF(Pipeline_Sort!$C674="","",INDEX(Pipeline_Calc!$F$2:$F$5251,Pipeline_Sort!$C674))</f>
        <v/>
      </c>
      <c r="F674">
        <f>IF(Pipeline_Sort!$C674="","",INDEX(Pipeline_Calc!$G$2:$G$5251,Pipeline_Sort!$C674))</f>
        <v/>
      </c>
      <c r="G674">
        <f>IF(Pipeline_Sort!$C674="","",INDEX(Pipeline_Calc!$H$2:$H$5251,Pipeline_Sort!$C674))</f>
        <v/>
      </c>
      <c r="H674">
        <f>IF(Pipeline_Sort!$C674="","",INDEX(Pipeline_Calc!$I$2:$I$5251,Pipeline_Sort!$C674))</f>
        <v/>
      </c>
      <c r="I674">
        <f>IF(Pipeline_Sort!$C674="","",INDEX(Pipeline_Calc!$J$2:$J$5251,Pipeline_Sort!$C674))</f>
        <v/>
      </c>
    </row>
    <row r="675">
      <c r="A675" s="22">
        <f>IF(Pipeline_Sort!$C675="","",INDEX(Pipeline_Calc!$B$2:$B$5251,Pipeline_Sort!$C675))</f>
        <v/>
      </c>
      <c r="B675">
        <f>IF(Pipeline_Sort!$C675="","",INDEX(Pipeline_Calc!$C$2:$C$5251,Pipeline_Sort!$C675))</f>
        <v/>
      </c>
      <c r="C675">
        <f>IF(Pipeline_Sort!$C675="","",INDEX(Pipeline_Calc!$D$2:$D$5251,Pipeline_Sort!$C675))</f>
        <v/>
      </c>
      <c r="D675">
        <f>IF(Pipeline_Sort!$C675="","",INDEX(Pipeline_Calc!$E$2:$E$5251,Pipeline_Sort!$C675))</f>
        <v/>
      </c>
      <c r="E675">
        <f>IF(Pipeline_Sort!$C675="","",INDEX(Pipeline_Calc!$F$2:$F$5251,Pipeline_Sort!$C675))</f>
        <v/>
      </c>
      <c r="F675">
        <f>IF(Pipeline_Sort!$C675="","",INDEX(Pipeline_Calc!$G$2:$G$5251,Pipeline_Sort!$C675))</f>
        <v/>
      </c>
      <c r="G675">
        <f>IF(Pipeline_Sort!$C675="","",INDEX(Pipeline_Calc!$H$2:$H$5251,Pipeline_Sort!$C675))</f>
        <v/>
      </c>
      <c r="H675">
        <f>IF(Pipeline_Sort!$C675="","",INDEX(Pipeline_Calc!$I$2:$I$5251,Pipeline_Sort!$C675))</f>
        <v/>
      </c>
      <c r="I675">
        <f>IF(Pipeline_Sort!$C675="","",INDEX(Pipeline_Calc!$J$2:$J$5251,Pipeline_Sort!$C675))</f>
        <v/>
      </c>
    </row>
    <row r="676">
      <c r="A676" s="22">
        <f>IF(Pipeline_Sort!$C676="","",INDEX(Pipeline_Calc!$B$2:$B$5251,Pipeline_Sort!$C676))</f>
        <v/>
      </c>
      <c r="B676">
        <f>IF(Pipeline_Sort!$C676="","",INDEX(Pipeline_Calc!$C$2:$C$5251,Pipeline_Sort!$C676))</f>
        <v/>
      </c>
      <c r="C676">
        <f>IF(Pipeline_Sort!$C676="","",INDEX(Pipeline_Calc!$D$2:$D$5251,Pipeline_Sort!$C676))</f>
        <v/>
      </c>
      <c r="D676">
        <f>IF(Pipeline_Sort!$C676="","",INDEX(Pipeline_Calc!$E$2:$E$5251,Pipeline_Sort!$C676))</f>
        <v/>
      </c>
      <c r="E676">
        <f>IF(Pipeline_Sort!$C676="","",INDEX(Pipeline_Calc!$F$2:$F$5251,Pipeline_Sort!$C676))</f>
        <v/>
      </c>
      <c r="F676">
        <f>IF(Pipeline_Sort!$C676="","",INDEX(Pipeline_Calc!$G$2:$G$5251,Pipeline_Sort!$C676))</f>
        <v/>
      </c>
      <c r="G676">
        <f>IF(Pipeline_Sort!$C676="","",INDEX(Pipeline_Calc!$H$2:$H$5251,Pipeline_Sort!$C676))</f>
        <v/>
      </c>
      <c r="H676">
        <f>IF(Pipeline_Sort!$C676="","",INDEX(Pipeline_Calc!$I$2:$I$5251,Pipeline_Sort!$C676))</f>
        <v/>
      </c>
      <c r="I676">
        <f>IF(Pipeline_Sort!$C676="","",INDEX(Pipeline_Calc!$J$2:$J$5251,Pipeline_Sort!$C676))</f>
        <v/>
      </c>
    </row>
    <row r="677">
      <c r="A677" s="22">
        <f>IF(Pipeline_Sort!$C677="","",INDEX(Pipeline_Calc!$B$2:$B$5251,Pipeline_Sort!$C677))</f>
        <v/>
      </c>
      <c r="B677">
        <f>IF(Pipeline_Sort!$C677="","",INDEX(Pipeline_Calc!$C$2:$C$5251,Pipeline_Sort!$C677))</f>
        <v/>
      </c>
      <c r="C677">
        <f>IF(Pipeline_Sort!$C677="","",INDEX(Pipeline_Calc!$D$2:$D$5251,Pipeline_Sort!$C677))</f>
        <v/>
      </c>
      <c r="D677">
        <f>IF(Pipeline_Sort!$C677="","",INDEX(Pipeline_Calc!$E$2:$E$5251,Pipeline_Sort!$C677))</f>
        <v/>
      </c>
      <c r="E677">
        <f>IF(Pipeline_Sort!$C677="","",INDEX(Pipeline_Calc!$F$2:$F$5251,Pipeline_Sort!$C677))</f>
        <v/>
      </c>
      <c r="F677">
        <f>IF(Pipeline_Sort!$C677="","",INDEX(Pipeline_Calc!$G$2:$G$5251,Pipeline_Sort!$C677))</f>
        <v/>
      </c>
      <c r="G677">
        <f>IF(Pipeline_Sort!$C677="","",INDEX(Pipeline_Calc!$H$2:$H$5251,Pipeline_Sort!$C677))</f>
        <v/>
      </c>
      <c r="H677">
        <f>IF(Pipeline_Sort!$C677="","",INDEX(Pipeline_Calc!$I$2:$I$5251,Pipeline_Sort!$C677))</f>
        <v/>
      </c>
      <c r="I677">
        <f>IF(Pipeline_Sort!$C677="","",INDEX(Pipeline_Calc!$J$2:$J$5251,Pipeline_Sort!$C677))</f>
        <v/>
      </c>
    </row>
    <row r="678">
      <c r="A678" s="22">
        <f>IF(Pipeline_Sort!$C678="","",INDEX(Pipeline_Calc!$B$2:$B$5251,Pipeline_Sort!$C678))</f>
        <v/>
      </c>
      <c r="B678">
        <f>IF(Pipeline_Sort!$C678="","",INDEX(Pipeline_Calc!$C$2:$C$5251,Pipeline_Sort!$C678))</f>
        <v/>
      </c>
      <c r="C678">
        <f>IF(Pipeline_Sort!$C678="","",INDEX(Pipeline_Calc!$D$2:$D$5251,Pipeline_Sort!$C678))</f>
        <v/>
      </c>
      <c r="D678">
        <f>IF(Pipeline_Sort!$C678="","",INDEX(Pipeline_Calc!$E$2:$E$5251,Pipeline_Sort!$C678))</f>
        <v/>
      </c>
      <c r="E678">
        <f>IF(Pipeline_Sort!$C678="","",INDEX(Pipeline_Calc!$F$2:$F$5251,Pipeline_Sort!$C678))</f>
        <v/>
      </c>
      <c r="F678">
        <f>IF(Pipeline_Sort!$C678="","",INDEX(Pipeline_Calc!$G$2:$G$5251,Pipeline_Sort!$C678))</f>
        <v/>
      </c>
      <c r="G678">
        <f>IF(Pipeline_Sort!$C678="","",INDEX(Pipeline_Calc!$H$2:$H$5251,Pipeline_Sort!$C678))</f>
        <v/>
      </c>
      <c r="H678">
        <f>IF(Pipeline_Sort!$C678="","",INDEX(Pipeline_Calc!$I$2:$I$5251,Pipeline_Sort!$C678))</f>
        <v/>
      </c>
      <c r="I678">
        <f>IF(Pipeline_Sort!$C678="","",INDEX(Pipeline_Calc!$J$2:$J$5251,Pipeline_Sort!$C678))</f>
        <v/>
      </c>
    </row>
    <row r="679">
      <c r="A679" s="22">
        <f>IF(Pipeline_Sort!$C679="","",INDEX(Pipeline_Calc!$B$2:$B$5251,Pipeline_Sort!$C679))</f>
        <v/>
      </c>
      <c r="B679">
        <f>IF(Pipeline_Sort!$C679="","",INDEX(Pipeline_Calc!$C$2:$C$5251,Pipeline_Sort!$C679))</f>
        <v/>
      </c>
      <c r="C679">
        <f>IF(Pipeline_Sort!$C679="","",INDEX(Pipeline_Calc!$D$2:$D$5251,Pipeline_Sort!$C679))</f>
        <v/>
      </c>
      <c r="D679">
        <f>IF(Pipeline_Sort!$C679="","",INDEX(Pipeline_Calc!$E$2:$E$5251,Pipeline_Sort!$C679))</f>
        <v/>
      </c>
      <c r="E679">
        <f>IF(Pipeline_Sort!$C679="","",INDEX(Pipeline_Calc!$F$2:$F$5251,Pipeline_Sort!$C679))</f>
        <v/>
      </c>
      <c r="F679">
        <f>IF(Pipeline_Sort!$C679="","",INDEX(Pipeline_Calc!$G$2:$G$5251,Pipeline_Sort!$C679))</f>
        <v/>
      </c>
      <c r="G679">
        <f>IF(Pipeline_Sort!$C679="","",INDEX(Pipeline_Calc!$H$2:$H$5251,Pipeline_Sort!$C679))</f>
        <v/>
      </c>
      <c r="H679">
        <f>IF(Pipeline_Sort!$C679="","",INDEX(Pipeline_Calc!$I$2:$I$5251,Pipeline_Sort!$C679))</f>
        <v/>
      </c>
      <c r="I679">
        <f>IF(Pipeline_Sort!$C679="","",INDEX(Pipeline_Calc!$J$2:$J$5251,Pipeline_Sort!$C679))</f>
        <v/>
      </c>
    </row>
    <row r="680">
      <c r="A680" s="22">
        <f>IF(Pipeline_Sort!$C680="","",INDEX(Pipeline_Calc!$B$2:$B$5251,Pipeline_Sort!$C680))</f>
        <v/>
      </c>
      <c r="B680">
        <f>IF(Pipeline_Sort!$C680="","",INDEX(Pipeline_Calc!$C$2:$C$5251,Pipeline_Sort!$C680))</f>
        <v/>
      </c>
      <c r="C680">
        <f>IF(Pipeline_Sort!$C680="","",INDEX(Pipeline_Calc!$D$2:$D$5251,Pipeline_Sort!$C680))</f>
        <v/>
      </c>
      <c r="D680">
        <f>IF(Pipeline_Sort!$C680="","",INDEX(Pipeline_Calc!$E$2:$E$5251,Pipeline_Sort!$C680))</f>
        <v/>
      </c>
      <c r="E680">
        <f>IF(Pipeline_Sort!$C680="","",INDEX(Pipeline_Calc!$F$2:$F$5251,Pipeline_Sort!$C680))</f>
        <v/>
      </c>
      <c r="F680">
        <f>IF(Pipeline_Sort!$C680="","",INDEX(Pipeline_Calc!$G$2:$G$5251,Pipeline_Sort!$C680))</f>
        <v/>
      </c>
      <c r="G680">
        <f>IF(Pipeline_Sort!$C680="","",INDEX(Pipeline_Calc!$H$2:$H$5251,Pipeline_Sort!$C680))</f>
        <v/>
      </c>
      <c r="H680">
        <f>IF(Pipeline_Sort!$C680="","",INDEX(Pipeline_Calc!$I$2:$I$5251,Pipeline_Sort!$C680))</f>
        <v/>
      </c>
      <c r="I680">
        <f>IF(Pipeline_Sort!$C680="","",INDEX(Pipeline_Calc!$J$2:$J$5251,Pipeline_Sort!$C680))</f>
        <v/>
      </c>
    </row>
    <row r="681">
      <c r="A681" s="22">
        <f>IF(Pipeline_Sort!$C681="","",INDEX(Pipeline_Calc!$B$2:$B$5251,Pipeline_Sort!$C681))</f>
        <v/>
      </c>
      <c r="B681">
        <f>IF(Pipeline_Sort!$C681="","",INDEX(Pipeline_Calc!$C$2:$C$5251,Pipeline_Sort!$C681))</f>
        <v/>
      </c>
      <c r="C681">
        <f>IF(Pipeline_Sort!$C681="","",INDEX(Pipeline_Calc!$D$2:$D$5251,Pipeline_Sort!$C681))</f>
        <v/>
      </c>
      <c r="D681">
        <f>IF(Pipeline_Sort!$C681="","",INDEX(Pipeline_Calc!$E$2:$E$5251,Pipeline_Sort!$C681))</f>
        <v/>
      </c>
      <c r="E681">
        <f>IF(Pipeline_Sort!$C681="","",INDEX(Pipeline_Calc!$F$2:$F$5251,Pipeline_Sort!$C681))</f>
        <v/>
      </c>
      <c r="F681">
        <f>IF(Pipeline_Sort!$C681="","",INDEX(Pipeline_Calc!$G$2:$G$5251,Pipeline_Sort!$C681))</f>
        <v/>
      </c>
      <c r="G681">
        <f>IF(Pipeline_Sort!$C681="","",INDEX(Pipeline_Calc!$H$2:$H$5251,Pipeline_Sort!$C681))</f>
        <v/>
      </c>
      <c r="H681">
        <f>IF(Pipeline_Sort!$C681="","",INDEX(Pipeline_Calc!$I$2:$I$5251,Pipeline_Sort!$C681))</f>
        <v/>
      </c>
      <c r="I681">
        <f>IF(Pipeline_Sort!$C681="","",INDEX(Pipeline_Calc!$J$2:$J$5251,Pipeline_Sort!$C681))</f>
        <v/>
      </c>
    </row>
    <row r="682">
      <c r="A682" s="22">
        <f>IF(Pipeline_Sort!$C682="","",INDEX(Pipeline_Calc!$B$2:$B$5251,Pipeline_Sort!$C682))</f>
        <v/>
      </c>
      <c r="B682">
        <f>IF(Pipeline_Sort!$C682="","",INDEX(Pipeline_Calc!$C$2:$C$5251,Pipeline_Sort!$C682))</f>
        <v/>
      </c>
      <c r="C682">
        <f>IF(Pipeline_Sort!$C682="","",INDEX(Pipeline_Calc!$D$2:$D$5251,Pipeline_Sort!$C682))</f>
        <v/>
      </c>
      <c r="D682">
        <f>IF(Pipeline_Sort!$C682="","",INDEX(Pipeline_Calc!$E$2:$E$5251,Pipeline_Sort!$C682))</f>
        <v/>
      </c>
      <c r="E682">
        <f>IF(Pipeline_Sort!$C682="","",INDEX(Pipeline_Calc!$F$2:$F$5251,Pipeline_Sort!$C682))</f>
        <v/>
      </c>
      <c r="F682">
        <f>IF(Pipeline_Sort!$C682="","",INDEX(Pipeline_Calc!$G$2:$G$5251,Pipeline_Sort!$C682))</f>
        <v/>
      </c>
      <c r="G682">
        <f>IF(Pipeline_Sort!$C682="","",INDEX(Pipeline_Calc!$H$2:$H$5251,Pipeline_Sort!$C682))</f>
        <v/>
      </c>
      <c r="H682">
        <f>IF(Pipeline_Sort!$C682="","",INDEX(Pipeline_Calc!$I$2:$I$5251,Pipeline_Sort!$C682))</f>
        <v/>
      </c>
      <c r="I682">
        <f>IF(Pipeline_Sort!$C682="","",INDEX(Pipeline_Calc!$J$2:$J$5251,Pipeline_Sort!$C682))</f>
        <v/>
      </c>
    </row>
    <row r="683">
      <c r="A683" s="22">
        <f>IF(Pipeline_Sort!$C683="","",INDEX(Pipeline_Calc!$B$2:$B$5251,Pipeline_Sort!$C683))</f>
        <v/>
      </c>
      <c r="B683">
        <f>IF(Pipeline_Sort!$C683="","",INDEX(Pipeline_Calc!$C$2:$C$5251,Pipeline_Sort!$C683))</f>
        <v/>
      </c>
      <c r="C683">
        <f>IF(Pipeline_Sort!$C683="","",INDEX(Pipeline_Calc!$D$2:$D$5251,Pipeline_Sort!$C683))</f>
        <v/>
      </c>
      <c r="D683">
        <f>IF(Pipeline_Sort!$C683="","",INDEX(Pipeline_Calc!$E$2:$E$5251,Pipeline_Sort!$C683))</f>
        <v/>
      </c>
      <c r="E683">
        <f>IF(Pipeline_Sort!$C683="","",INDEX(Pipeline_Calc!$F$2:$F$5251,Pipeline_Sort!$C683))</f>
        <v/>
      </c>
      <c r="F683">
        <f>IF(Pipeline_Sort!$C683="","",INDEX(Pipeline_Calc!$G$2:$G$5251,Pipeline_Sort!$C683))</f>
        <v/>
      </c>
      <c r="G683">
        <f>IF(Pipeline_Sort!$C683="","",INDEX(Pipeline_Calc!$H$2:$H$5251,Pipeline_Sort!$C683))</f>
        <v/>
      </c>
      <c r="H683">
        <f>IF(Pipeline_Sort!$C683="","",INDEX(Pipeline_Calc!$I$2:$I$5251,Pipeline_Sort!$C683))</f>
        <v/>
      </c>
      <c r="I683">
        <f>IF(Pipeline_Sort!$C683="","",INDEX(Pipeline_Calc!$J$2:$J$5251,Pipeline_Sort!$C683))</f>
        <v/>
      </c>
    </row>
    <row r="684">
      <c r="A684" s="22">
        <f>IF(Pipeline_Sort!$C684="","",INDEX(Pipeline_Calc!$B$2:$B$5251,Pipeline_Sort!$C684))</f>
        <v/>
      </c>
      <c r="B684">
        <f>IF(Pipeline_Sort!$C684="","",INDEX(Pipeline_Calc!$C$2:$C$5251,Pipeline_Sort!$C684))</f>
        <v/>
      </c>
      <c r="C684">
        <f>IF(Pipeline_Sort!$C684="","",INDEX(Pipeline_Calc!$D$2:$D$5251,Pipeline_Sort!$C684))</f>
        <v/>
      </c>
      <c r="D684">
        <f>IF(Pipeline_Sort!$C684="","",INDEX(Pipeline_Calc!$E$2:$E$5251,Pipeline_Sort!$C684))</f>
        <v/>
      </c>
      <c r="E684">
        <f>IF(Pipeline_Sort!$C684="","",INDEX(Pipeline_Calc!$F$2:$F$5251,Pipeline_Sort!$C684))</f>
        <v/>
      </c>
      <c r="F684">
        <f>IF(Pipeline_Sort!$C684="","",INDEX(Pipeline_Calc!$G$2:$G$5251,Pipeline_Sort!$C684))</f>
        <v/>
      </c>
      <c r="G684">
        <f>IF(Pipeline_Sort!$C684="","",INDEX(Pipeline_Calc!$H$2:$H$5251,Pipeline_Sort!$C684))</f>
        <v/>
      </c>
      <c r="H684">
        <f>IF(Pipeline_Sort!$C684="","",INDEX(Pipeline_Calc!$I$2:$I$5251,Pipeline_Sort!$C684))</f>
        <v/>
      </c>
      <c r="I684">
        <f>IF(Pipeline_Sort!$C684="","",INDEX(Pipeline_Calc!$J$2:$J$5251,Pipeline_Sort!$C684))</f>
        <v/>
      </c>
    </row>
    <row r="685">
      <c r="A685" s="22">
        <f>IF(Pipeline_Sort!$C685="","",INDEX(Pipeline_Calc!$B$2:$B$5251,Pipeline_Sort!$C685))</f>
        <v/>
      </c>
      <c r="B685">
        <f>IF(Pipeline_Sort!$C685="","",INDEX(Pipeline_Calc!$C$2:$C$5251,Pipeline_Sort!$C685))</f>
        <v/>
      </c>
      <c r="C685">
        <f>IF(Pipeline_Sort!$C685="","",INDEX(Pipeline_Calc!$D$2:$D$5251,Pipeline_Sort!$C685))</f>
        <v/>
      </c>
      <c r="D685">
        <f>IF(Pipeline_Sort!$C685="","",INDEX(Pipeline_Calc!$E$2:$E$5251,Pipeline_Sort!$C685))</f>
        <v/>
      </c>
      <c r="E685">
        <f>IF(Pipeline_Sort!$C685="","",INDEX(Pipeline_Calc!$F$2:$F$5251,Pipeline_Sort!$C685))</f>
        <v/>
      </c>
      <c r="F685">
        <f>IF(Pipeline_Sort!$C685="","",INDEX(Pipeline_Calc!$G$2:$G$5251,Pipeline_Sort!$C685))</f>
        <v/>
      </c>
      <c r="G685">
        <f>IF(Pipeline_Sort!$C685="","",INDEX(Pipeline_Calc!$H$2:$H$5251,Pipeline_Sort!$C685))</f>
        <v/>
      </c>
      <c r="H685">
        <f>IF(Pipeline_Sort!$C685="","",INDEX(Pipeline_Calc!$I$2:$I$5251,Pipeline_Sort!$C685))</f>
        <v/>
      </c>
      <c r="I685">
        <f>IF(Pipeline_Sort!$C685="","",INDEX(Pipeline_Calc!$J$2:$J$5251,Pipeline_Sort!$C685))</f>
        <v/>
      </c>
    </row>
    <row r="686">
      <c r="A686" s="22">
        <f>IF(Pipeline_Sort!$C686="","",INDEX(Pipeline_Calc!$B$2:$B$5251,Pipeline_Sort!$C686))</f>
        <v/>
      </c>
      <c r="B686">
        <f>IF(Pipeline_Sort!$C686="","",INDEX(Pipeline_Calc!$C$2:$C$5251,Pipeline_Sort!$C686))</f>
        <v/>
      </c>
      <c r="C686">
        <f>IF(Pipeline_Sort!$C686="","",INDEX(Pipeline_Calc!$D$2:$D$5251,Pipeline_Sort!$C686))</f>
        <v/>
      </c>
      <c r="D686">
        <f>IF(Pipeline_Sort!$C686="","",INDEX(Pipeline_Calc!$E$2:$E$5251,Pipeline_Sort!$C686))</f>
        <v/>
      </c>
      <c r="E686">
        <f>IF(Pipeline_Sort!$C686="","",INDEX(Pipeline_Calc!$F$2:$F$5251,Pipeline_Sort!$C686))</f>
        <v/>
      </c>
      <c r="F686">
        <f>IF(Pipeline_Sort!$C686="","",INDEX(Pipeline_Calc!$G$2:$G$5251,Pipeline_Sort!$C686))</f>
        <v/>
      </c>
      <c r="G686">
        <f>IF(Pipeline_Sort!$C686="","",INDEX(Pipeline_Calc!$H$2:$H$5251,Pipeline_Sort!$C686))</f>
        <v/>
      </c>
      <c r="H686">
        <f>IF(Pipeline_Sort!$C686="","",INDEX(Pipeline_Calc!$I$2:$I$5251,Pipeline_Sort!$C686))</f>
        <v/>
      </c>
      <c r="I686">
        <f>IF(Pipeline_Sort!$C686="","",INDEX(Pipeline_Calc!$J$2:$J$5251,Pipeline_Sort!$C686))</f>
        <v/>
      </c>
    </row>
    <row r="687">
      <c r="A687" s="22">
        <f>IF(Pipeline_Sort!$C687="","",INDEX(Pipeline_Calc!$B$2:$B$5251,Pipeline_Sort!$C687))</f>
        <v/>
      </c>
      <c r="B687">
        <f>IF(Pipeline_Sort!$C687="","",INDEX(Pipeline_Calc!$C$2:$C$5251,Pipeline_Sort!$C687))</f>
        <v/>
      </c>
      <c r="C687">
        <f>IF(Pipeline_Sort!$C687="","",INDEX(Pipeline_Calc!$D$2:$D$5251,Pipeline_Sort!$C687))</f>
        <v/>
      </c>
      <c r="D687">
        <f>IF(Pipeline_Sort!$C687="","",INDEX(Pipeline_Calc!$E$2:$E$5251,Pipeline_Sort!$C687))</f>
        <v/>
      </c>
      <c r="E687">
        <f>IF(Pipeline_Sort!$C687="","",INDEX(Pipeline_Calc!$F$2:$F$5251,Pipeline_Sort!$C687))</f>
        <v/>
      </c>
      <c r="F687">
        <f>IF(Pipeline_Sort!$C687="","",INDEX(Pipeline_Calc!$G$2:$G$5251,Pipeline_Sort!$C687))</f>
        <v/>
      </c>
      <c r="G687">
        <f>IF(Pipeline_Sort!$C687="","",INDEX(Pipeline_Calc!$H$2:$H$5251,Pipeline_Sort!$C687))</f>
        <v/>
      </c>
      <c r="H687">
        <f>IF(Pipeline_Sort!$C687="","",INDEX(Pipeline_Calc!$I$2:$I$5251,Pipeline_Sort!$C687))</f>
        <v/>
      </c>
      <c r="I687">
        <f>IF(Pipeline_Sort!$C687="","",INDEX(Pipeline_Calc!$J$2:$J$5251,Pipeline_Sort!$C687))</f>
        <v/>
      </c>
    </row>
    <row r="688">
      <c r="A688" s="22">
        <f>IF(Pipeline_Sort!$C688="","",INDEX(Pipeline_Calc!$B$2:$B$5251,Pipeline_Sort!$C688))</f>
        <v/>
      </c>
      <c r="B688">
        <f>IF(Pipeline_Sort!$C688="","",INDEX(Pipeline_Calc!$C$2:$C$5251,Pipeline_Sort!$C688))</f>
        <v/>
      </c>
      <c r="C688">
        <f>IF(Pipeline_Sort!$C688="","",INDEX(Pipeline_Calc!$D$2:$D$5251,Pipeline_Sort!$C688))</f>
        <v/>
      </c>
      <c r="D688">
        <f>IF(Pipeline_Sort!$C688="","",INDEX(Pipeline_Calc!$E$2:$E$5251,Pipeline_Sort!$C688))</f>
        <v/>
      </c>
      <c r="E688">
        <f>IF(Pipeline_Sort!$C688="","",INDEX(Pipeline_Calc!$F$2:$F$5251,Pipeline_Sort!$C688))</f>
        <v/>
      </c>
      <c r="F688">
        <f>IF(Pipeline_Sort!$C688="","",INDEX(Pipeline_Calc!$G$2:$G$5251,Pipeline_Sort!$C688))</f>
        <v/>
      </c>
      <c r="G688">
        <f>IF(Pipeline_Sort!$C688="","",INDEX(Pipeline_Calc!$H$2:$H$5251,Pipeline_Sort!$C688))</f>
        <v/>
      </c>
      <c r="H688">
        <f>IF(Pipeline_Sort!$C688="","",INDEX(Pipeline_Calc!$I$2:$I$5251,Pipeline_Sort!$C688))</f>
        <v/>
      </c>
      <c r="I688">
        <f>IF(Pipeline_Sort!$C688="","",INDEX(Pipeline_Calc!$J$2:$J$5251,Pipeline_Sort!$C688))</f>
        <v/>
      </c>
    </row>
    <row r="689">
      <c r="A689" s="22">
        <f>IF(Pipeline_Sort!$C689="","",INDEX(Pipeline_Calc!$B$2:$B$5251,Pipeline_Sort!$C689))</f>
        <v/>
      </c>
      <c r="B689">
        <f>IF(Pipeline_Sort!$C689="","",INDEX(Pipeline_Calc!$C$2:$C$5251,Pipeline_Sort!$C689))</f>
        <v/>
      </c>
      <c r="C689">
        <f>IF(Pipeline_Sort!$C689="","",INDEX(Pipeline_Calc!$D$2:$D$5251,Pipeline_Sort!$C689))</f>
        <v/>
      </c>
      <c r="D689">
        <f>IF(Pipeline_Sort!$C689="","",INDEX(Pipeline_Calc!$E$2:$E$5251,Pipeline_Sort!$C689))</f>
        <v/>
      </c>
      <c r="E689">
        <f>IF(Pipeline_Sort!$C689="","",INDEX(Pipeline_Calc!$F$2:$F$5251,Pipeline_Sort!$C689))</f>
        <v/>
      </c>
      <c r="F689">
        <f>IF(Pipeline_Sort!$C689="","",INDEX(Pipeline_Calc!$G$2:$G$5251,Pipeline_Sort!$C689))</f>
        <v/>
      </c>
      <c r="G689">
        <f>IF(Pipeline_Sort!$C689="","",INDEX(Pipeline_Calc!$H$2:$H$5251,Pipeline_Sort!$C689))</f>
        <v/>
      </c>
      <c r="H689">
        <f>IF(Pipeline_Sort!$C689="","",INDEX(Pipeline_Calc!$I$2:$I$5251,Pipeline_Sort!$C689))</f>
        <v/>
      </c>
      <c r="I689">
        <f>IF(Pipeline_Sort!$C689="","",INDEX(Pipeline_Calc!$J$2:$J$5251,Pipeline_Sort!$C689))</f>
        <v/>
      </c>
    </row>
    <row r="690">
      <c r="A690" s="22">
        <f>IF(Pipeline_Sort!$C690="","",INDEX(Pipeline_Calc!$B$2:$B$5251,Pipeline_Sort!$C690))</f>
        <v/>
      </c>
      <c r="B690">
        <f>IF(Pipeline_Sort!$C690="","",INDEX(Pipeline_Calc!$C$2:$C$5251,Pipeline_Sort!$C690))</f>
        <v/>
      </c>
      <c r="C690">
        <f>IF(Pipeline_Sort!$C690="","",INDEX(Pipeline_Calc!$D$2:$D$5251,Pipeline_Sort!$C690))</f>
        <v/>
      </c>
      <c r="D690">
        <f>IF(Pipeline_Sort!$C690="","",INDEX(Pipeline_Calc!$E$2:$E$5251,Pipeline_Sort!$C690))</f>
        <v/>
      </c>
      <c r="E690">
        <f>IF(Pipeline_Sort!$C690="","",INDEX(Pipeline_Calc!$F$2:$F$5251,Pipeline_Sort!$C690))</f>
        <v/>
      </c>
      <c r="F690">
        <f>IF(Pipeline_Sort!$C690="","",INDEX(Pipeline_Calc!$G$2:$G$5251,Pipeline_Sort!$C690))</f>
        <v/>
      </c>
      <c r="G690">
        <f>IF(Pipeline_Sort!$C690="","",INDEX(Pipeline_Calc!$H$2:$H$5251,Pipeline_Sort!$C690))</f>
        <v/>
      </c>
      <c r="H690">
        <f>IF(Pipeline_Sort!$C690="","",INDEX(Pipeline_Calc!$I$2:$I$5251,Pipeline_Sort!$C690))</f>
        <v/>
      </c>
      <c r="I690">
        <f>IF(Pipeline_Sort!$C690="","",INDEX(Pipeline_Calc!$J$2:$J$5251,Pipeline_Sort!$C690))</f>
        <v/>
      </c>
    </row>
    <row r="691">
      <c r="A691" s="22">
        <f>IF(Pipeline_Sort!$C691="","",INDEX(Pipeline_Calc!$B$2:$B$5251,Pipeline_Sort!$C691))</f>
        <v/>
      </c>
      <c r="B691">
        <f>IF(Pipeline_Sort!$C691="","",INDEX(Pipeline_Calc!$C$2:$C$5251,Pipeline_Sort!$C691))</f>
        <v/>
      </c>
      <c r="C691">
        <f>IF(Pipeline_Sort!$C691="","",INDEX(Pipeline_Calc!$D$2:$D$5251,Pipeline_Sort!$C691))</f>
        <v/>
      </c>
      <c r="D691">
        <f>IF(Pipeline_Sort!$C691="","",INDEX(Pipeline_Calc!$E$2:$E$5251,Pipeline_Sort!$C691))</f>
        <v/>
      </c>
      <c r="E691">
        <f>IF(Pipeline_Sort!$C691="","",INDEX(Pipeline_Calc!$F$2:$F$5251,Pipeline_Sort!$C691))</f>
        <v/>
      </c>
      <c r="F691">
        <f>IF(Pipeline_Sort!$C691="","",INDEX(Pipeline_Calc!$G$2:$G$5251,Pipeline_Sort!$C691))</f>
        <v/>
      </c>
      <c r="G691">
        <f>IF(Pipeline_Sort!$C691="","",INDEX(Pipeline_Calc!$H$2:$H$5251,Pipeline_Sort!$C691))</f>
        <v/>
      </c>
      <c r="H691">
        <f>IF(Pipeline_Sort!$C691="","",INDEX(Pipeline_Calc!$I$2:$I$5251,Pipeline_Sort!$C691))</f>
        <v/>
      </c>
      <c r="I691">
        <f>IF(Pipeline_Sort!$C691="","",INDEX(Pipeline_Calc!$J$2:$J$5251,Pipeline_Sort!$C691))</f>
        <v/>
      </c>
    </row>
    <row r="692">
      <c r="A692" s="22">
        <f>IF(Pipeline_Sort!$C692="","",INDEX(Pipeline_Calc!$B$2:$B$5251,Pipeline_Sort!$C692))</f>
        <v/>
      </c>
      <c r="B692">
        <f>IF(Pipeline_Sort!$C692="","",INDEX(Pipeline_Calc!$C$2:$C$5251,Pipeline_Sort!$C692))</f>
        <v/>
      </c>
      <c r="C692">
        <f>IF(Pipeline_Sort!$C692="","",INDEX(Pipeline_Calc!$D$2:$D$5251,Pipeline_Sort!$C692))</f>
        <v/>
      </c>
      <c r="D692">
        <f>IF(Pipeline_Sort!$C692="","",INDEX(Pipeline_Calc!$E$2:$E$5251,Pipeline_Sort!$C692))</f>
        <v/>
      </c>
      <c r="E692">
        <f>IF(Pipeline_Sort!$C692="","",INDEX(Pipeline_Calc!$F$2:$F$5251,Pipeline_Sort!$C692))</f>
        <v/>
      </c>
      <c r="F692">
        <f>IF(Pipeline_Sort!$C692="","",INDEX(Pipeline_Calc!$G$2:$G$5251,Pipeline_Sort!$C692))</f>
        <v/>
      </c>
      <c r="G692">
        <f>IF(Pipeline_Sort!$C692="","",INDEX(Pipeline_Calc!$H$2:$H$5251,Pipeline_Sort!$C692))</f>
        <v/>
      </c>
      <c r="H692">
        <f>IF(Pipeline_Sort!$C692="","",INDEX(Pipeline_Calc!$I$2:$I$5251,Pipeline_Sort!$C692))</f>
        <v/>
      </c>
      <c r="I692">
        <f>IF(Pipeline_Sort!$C692="","",INDEX(Pipeline_Calc!$J$2:$J$5251,Pipeline_Sort!$C692))</f>
        <v/>
      </c>
    </row>
    <row r="693">
      <c r="A693" s="22">
        <f>IF(Pipeline_Sort!$C693="","",INDEX(Pipeline_Calc!$B$2:$B$5251,Pipeline_Sort!$C693))</f>
        <v/>
      </c>
      <c r="B693">
        <f>IF(Pipeline_Sort!$C693="","",INDEX(Pipeline_Calc!$C$2:$C$5251,Pipeline_Sort!$C693))</f>
        <v/>
      </c>
      <c r="C693">
        <f>IF(Pipeline_Sort!$C693="","",INDEX(Pipeline_Calc!$D$2:$D$5251,Pipeline_Sort!$C693))</f>
        <v/>
      </c>
      <c r="D693">
        <f>IF(Pipeline_Sort!$C693="","",INDEX(Pipeline_Calc!$E$2:$E$5251,Pipeline_Sort!$C693))</f>
        <v/>
      </c>
      <c r="E693">
        <f>IF(Pipeline_Sort!$C693="","",INDEX(Pipeline_Calc!$F$2:$F$5251,Pipeline_Sort!$C693))</f>
        <v/>
      </c>
      <c r="F693">
        <f>IF(Pipeline_Sort!$C693="","",INDEX(Pipeline_Calc!$G$2:$G$5251,Pipeline_Sort!$C693))</f>
        <v/>
      </c>
      <c r="G693">
        <f>IF(Pipeline_Sort!$C693="","",INDEX(Pipeline_Calc!$H$2:$H$5251,Pipeline_Sort!$C693))</f>
        <v/>
      </c>
      <c r="H693">
        <f>IF(Pipeline_Sort!$C693="","",INDEX(Pipeline_Calc!$I$2:$I$5251,Pipeline_Sort!$C693))</f>
        <v/>
      </c>
      <c r="I693">
        <f>IF(Pipeline_Sort!$C693="","",INDEX(Pipeline_Calc!$J$2:$J$5251,Pipeline_Sort!$C693))</f>
        <v/>
      </c>
    </row>
    <row r="694">
      <c r="A694" s="22">
        <f>IF(Pipeline_Sort!$C694="","",INDEX(Pipeline_Calc!$B$2:$B$5251,Pipeline_Sort!$C694))</f>
        <v/>
      </c>
      <c r="B694">
        <f>IF(Pipeline_Sort!$C694="","",INDEX(Pipeline_Calc!$C$2:$C$5251,Pipeline_Sort!$C694))</f>
        <v/>
      </c>
      <c r="C694">
        <f>IF(Pipeline_Sort!$C694="","",INDEX(Pipeline_Calc!$D$2:$D$5251,Pipeline_Sort!$C694))</f>
        <v/>
      </c>
      <c r="D694">
        <f>IF(Pipeline_Sort!$C694="","",INDEX(Pipeline_Calc!$E$2:$E$5251,Pipeline_Sort!$C694))</f>
        <v/>
      </c>
      <c r="E694">
        <f>IF(Pipeline_Sort!$C694="","",INDEX(Pipeline_Calc!$F$2:$F$5251,Pipeline_Sort!$C694))</f>
        <v/>
      </c>
      <c r="F694">
        <f>IF(Pipeline_Sort!$C694="","",INDEX(Pipeline_Calc!$G$2:$G$5251,Pipeline_Sort!$C694))</f>
        <v/>
      </c>
      <c r="G694">
        <f>IF(Pipeline_Sort!$C694="","",INDEX(Pipeline_Calc!$H$2:$H$5251,Pipeline_Sort!$C694))</f>
        <v/>
      </c>
      <c r="H694">
        <f>IF(Pipeline_Sort!$C694="","",INDEX(Pipeline_Calc!$I$2:$I$5251,Pipeline_Sort!$C694))</f>
        <v/>
      </c>
      <c r="I694">
        <f>IF(Pipeline_Sort!$C694="","",INDEX(Pipeline_Calc!$J$2:$J$5251,Pipeline_Sort!$C694))</f>
        <v/>
      </c>
    </row>
    <row r="695">
      <c r="A695" s="22">
        <f>IF(Pipeline_Sort!$C695="","",INDEX(Pipeline_Calc!$B$2:$B$5251,Pipeline_Sort!$C695))</f>
        <v/>
      </c>
      <c r="B695">
        <f>IF(Pipeline_Sort!$C695="","",INDEX(Pipeline_Calc!$C$2:$C$5251,Pipeline_Sort!$C695))</f>
        <v/>
      </c>
      <c r="C695">
        <f>IF(Pipeline_Sort!$C695="","",INDEX(Pipeline_Calc!$D$2:$D$5251,Pipeline_Sort!$C695))</f>
        <v/>
      </c>
      <c r="D695">
        <f>IF(Pipeline_Sort!$C695="","",INDEX(Pipeline_Calc!$E$2:$E$5251,Pipeline_Sort!$C695))</f>
        <v/>
      </c>
      <c r="E695">
        <f>IF(Pipeline_Sort!$C695="","",INDEX(Pipeline_Calc!$F$2:$F$5251,Pipeline_Sort!$C695))</f>
        <v/>
      </c>
      <c r="F695">
        <f>IF(Pipeline_Sort!$C695="","",INDEX(Pipeline_Calc!$G$2:$G$5251,Pipeline_Sort!$C695))</f>
        <v/>
      </c>
      <c r="G695">
        <f>IF(Pipeline_Sort!$C695="","",INDEX(Pipeline_Calc!$H$2:$H$5251,Pipeline_Sort!$C695))</f>
        <v/>
      </c>
      <c r="H695">
        <f>IF(Pipeline_Sort!$C695="","",INDEX(Pipeline_Calc!$I$2:$I$5251,Pipeline_Sort!$C695))</f>
        <v/>
      </c>
      <c r="I695">
        <f>IF(Pipeline_Sort!$C695="","",INDEX(Pipeline_Calc!$J$2:$J$5251,Pipeline_Sort!$C695))</f>
        <v/>
      </c>
    </row>
    <row r="696">
      <c r="A696" s="22">
        <f>IF(Pipeline_Sort!$C696="","",INDEX(Pipeline_Calc!$B$2:$B$5251,Pipeline_Sort!$C696))</f>
        <v/>
      </c>
      <c r="B696">
        <f>IF(Pipeline_Sort!$C696="","",INDEX(Pipeline_Calc!$C$2:$C$5251,Pipeline_Sort!$C696))</f>
        <v/>
      </c>
      <c r="C696">
        <f>IF(Pipeline_Sort!$C696="","",INDEX(Pipeline_Calc!$D$2:$D$5251,Pipeline_Sort!$C696))</f>
        <v/>
      </c>
      <c r="D696">
        <f>IF(Pipeline_Sort!$C696="","",INDEX(Pipeline_Calc!$E$2:$E$5251,Pipeline_Sort!$C696))</f>
        <v/>
      </c>
      <c r="E696">
        <f>IF(Pipeline_Sort!$C696="","",INDEX(Pipeline_Calc!$F$2:$F$5251,Pipeline_Sort!$C696))</f>
        <v/>
      </c>
      <c r="F696">
        <f>IF(Pipeline_Sort!$C696="","",INDEX(Pipeline_Calc!$G$2:$G$5251,Pipeline_Sort!$C696))</f>
        <v/>
      </c>
      <c r="G696">
        <f>IF(Pipeline_Sort!$C696="","",INDEX(Pipeline_Calc!$H$2:$H$5251,Pipeline_Sort!$C696))</f>
        <v/>
      </c>
      <c r="H696">
        <f>IF(Pipeline_Sort!$C696="","",INDEX(Pipeline_Calc!$I$2:$I$5251,Pipeline_Sort!$C696))</f>
        <v/>
      </c>
      <c r="I696">
        <f>IF(Pipeline_Sort!$C696="","",INDEX(Pipeline_Calc!$J$2:$J$5251,Pipeline_Sort!$C696))</f>
        <v/>
      </c>
    </row>
    <row r="697">
      <c r="A697" s="22">
        <f>IF(Pipeline_Sort!$C697="","",INDEX(Pipeline_Calc!$B$2:$B$5251,Pipeline_Sort!$C697))</f>
        <v/>
      </c>
      <c r="B697">
        <f>IF(Pipeline_Sort!$C697="","",INDEX(Pipeline_Calc!$C$2:$C$5251,Pipeline_Sort!$C697))</f>
        <v/>
      </c>
      <c r="C697">
        <f>IF(Pipeline_Sort!$C697="","",INDEX(Pipeline_Calc!$D$2:$D$5251,Pipeline_Sort!$C697))</f>
        <v/>
      </c>
      <c r="D697">
        <f>IF(Pipeline_Sort!$C697="","",INDEX(Pipeline_Calc!$E$2:$E$5251,Pipeline_Sort!$C697))</f>
        <v/>
      </c>
      <c r="E697">
        <f>IF(Pipeline_Sort!$C697="","",INDEX(Pipeline_Calc!$F$2:$F$5251,Pipeline_Sort!$C697))</f>
        <v/>
      </c>
      <c r="F697">
        <f>IF(Pipeline_Sort!$C697="","",INDEX(Pipeline_Calc!$G$2:$G$5251,Pipeline_Sort!$C697))</f>
        <v/>
      </c>
      <c r="G697">
        <f>IF(Pipeline_Sort!$C697="","",INDEX(Pipeline_Calc!$H$2:$H$5251,Pipeline_Sort!$C697))</f>
        <v/>
      </c>
      <c r="H697">
        <f>IF(Pipeline_Sort!$C697="","",INDEX(Pipeline_Calc!$I$2:$I$5251,Pipeline_Sort!$C697))</f>
        <v/>
      </c>
      <c r="I697">
        <f>IF(Pipeline_Sort!$C697="","",INDEX(Pipeline_Calc!$J$2:$J$5251,Pipeline_Sort!$C697))</f>
        <v/>
      </c>
    </row>
    <row r="698">
      <c r="A698" s="22">
        <f>IF(Pipeline_Sort!$C698="","",INDEX(Pipeline_Calc!$B$2:$B$5251,Pipeline_Sort!$C698))</f>
        <v/>
      </c>
      <c r="B698">
        <f>IF(Pipeline_Sort!$C698="","",INDEX(Pipeline_Calc!$C$2:$C$5251,Pipeline_Sort!$C698))</f>
        <v/>
      </c>
      <c r="C698">
        <f>IF(Pipeline_Sort!$C698="","",INDEX(Pipeline_Calc!$D$2:$D$5251,Pipeline_Sort!$C698))</f>
        <v/>
      </c>
      <c r="D698">
        <f>IF(Pipeline_Sort!$C698="","",INDEX(Pipeline_Calc!$E$2:$E$5251,Pipeline_Sort!$C698))</f>
        <v/>
      </c>
      <c r="E698">
        <f>IF(Pipeline_Sort!$C698="","",INDEX(Pipeline_Calc!$F$2:$F$5251,Pipeline_Sort!$C698))</f>
        <v/>
      </c>
      <c r="F698">
        <f>IF(Pipeline_Sort!$C698="","",INDEX(Pipeline_Calc!$G$2:$G$5251,Pipeline_Sort!$C698))</f>
        <v/>
      </c>
      <c r="G698">
        <f>IF(Pipeline_Sort!$C698="","",INDEX(Pipeline_Calc!$H$2:$H$5251,Pipeline_Sort!$C698))</f>
        <v/>
      </c>
      <c r="H698">
        <f>IF(Pipeline_Sort!$C698="","",INDEX(Pipeline_Calc!$I$2:$I$5251,Pipeline_Sort!$C698))</f>
        <v/>
      </c>
      <c r="I698">
        <f>IF(Pipeline_Sort!$C698="","",INDEX(Pipeline_Calc!$J$2:$J$5251,Pipeline_Sort!$C698))</f>
        <v/>
      </c>
    </row>
    <row r="699">
      <c r="A699" s="22">
        <f>IF(Pipeline_Sort!$C699="","",INDEX(Pipeline_Calc!$B$2:$B$5251,Pipeline_Sort!$C699))</f>
        <v/>
      </c>
      <c r="B699">
        <f>IF(Pipeline_Sort!$C699="","",INDEX(Pipeline_Calc!$C$2:$C$5251,Pipeline_Sort!$C699))</f>
        <v/>
      </c>
      <c r="C699">
        <f>IF(Pipeline_Sort!$C699="","",INDEX(Pipeline_Calc!$D$2:$D$5251,Pipeline_Sort!$C699))</f>
        <v/>
      </c>
      <c r="D699">
        <f>IF(Pipeline_Sort!$C699="","",INDEX(Pipeline_Calc!$E$2:$E$5251,Pipeline_Sort!$C699))</f>
        <v/>
      </c>
      <c r="E699">
        <f>IF(Pipeline_Sort!$C699="","",INDEX(Pipeline_Calc!$F$2:$F$5251,Pipeline_Sort!$C699))</f>
        <v/>
      </c>
      <c r="F699">
        <f>IF(Pipeline_Sort!$C699="","",INDEX(Pipeline_Calc!$G$2:$G$5251,Pipeline_Sort!$C699))</f>
        <v/>
      </c>
      <c r="G699">
        <f>IF(Pipeline_Sort!$C699="","",INDEX(Pipeline_Calc!$H$2:$H$5251,Pipeline_Sort!$C699))</f>
        <v/>
      </c>
      <c r="H699">
        <f>IF(Pipeline_Sort!$C699="","",INDEX(Pipeline_Calc!$I$2:$I$5251,Pipeline_Sort!$C699))</f>
        <v/>
      </c>
      <c r="I699">
        <f>IF(Pipeline_Sort!$C699="","",INDEX(Pipeline_Calc!$J$2:$J$5251,Pipeline_Sort!$C699))</f>
        <v/>
      </c>
    </row>
    <row r="700">
      <c r="A700" s="22">
        <f>IF(Pipeline_Sort!$C700="","",INDEX(Pipeline_Calc!$B$2:$B$5251,Pipeline_Sort!$C700))</f>
        <v/>
      </c>
      <c r="B700">
        <f>IF(Pipeline_Sort!$C700="","",INDEX(Pipeline_Calc!$C$2:$C$5251,Pipeline_Sort!$C700))</f>
        <v/>
      </c>
      <c r="C700">
        <f>IF(Pipeline_Sort!$C700="","",INDEX(Pipeline_Calc!$D$2:$D$5251,Pipeline_Sort!$C700))</f>
        <v/>
      </c>
      <c r="D700">
        <f>IF(Pipeline_Sort!$C700="","",INDEX(Pipeline_Calc!$E$2:$E$5251,Pipeline_Sort!$C700))</f>
        <v/>
      </c>
      <c r="E700">
        <f>IF(Pipeline_Sort!$C700="","",INDEX(Pipeline_Calc!$F$2:$F$5251,Pipeline_Sort!$C700))</f>
        <v/>
      </c>
      <c r="F700">
        <f>IF(Pipeline_Sort!$C700="","",INDEX(Pipeline_Calc!$G$2:$G$5251,Pipeline_Sort!$C700))</f>
        <v/>
      </c>
      <c r="G700">
        <f>IF(Pipeline_Sort!$C700="","",INDEX(Pipeline_Calc!$H$2:$H$5251,Pipeline_Sort!$C700))</f>
        <v/>
      </c>
      <c r="H700">
        <f>IF(Pipeline_Sort!$C700="","",INDEX(Pipeline_Calc!$I$2:$I$5251,Pipeline_Sort!$C700))</f>
        <v/>
      </c>
      <c r="I700">
        <f>IF(Pipeline_Sort!$C700="","",INDEX(Pipeline_Calc!$J$2:$J$5251,Pipeline_Sort!$C700))</f>
        <v/>
      </c>
    </row>
    <row r="701">
      <c r="A701" s="22">
        <f>IF(Pipeline_Sort!$C701="","",INDEX(Pipeline_Calc!$B$2:$B$5251,Pipeline_Sort!$C701))</f>
        <v/>
      </c>
      <c r="B701">
        <f>IF(Pipeline_Sort!$C701="","",INDEX(Pipeline_Calc!$C$2:$C$5251,Pipeline_Sort!$C701))</f>
        <v/>
      </c>
      <c r="C701">
        <f>IF(Pipeline_Sort!$C701="","",INDEX(Pipeline_Calc!$D$2:$D$5251,Pipeline_Sort!$C701))</f>
        <v/>
      </c>
      <c r="D701">
        <f>IF(Pipeline_Sort!$C701="","",INDEX(Pipeline_Calc!$E$2:$E$5251,Pipeline_Sort!$C701))</f>
        <v/>
      </c>
      <c r="E701">
        <f>IF(Pipeline_Sort!$C701="","",INDEX(Pipeline_Calc!$F$2:$F$5251,Pipeline_Sort!$C701))</f>
        <v/>
      </c>
      <c r="F701">
        <f>IF(Pipeline_Sort!$C701="","",INDEX(Pipeline_Calc!$G$2:$G$5251,Pipeline_Sort!$C701))</f>
        <v/>
      </c>
      <c r="G701">
        <f>IF(Pipeline_Sort!$C701="","",INDEX(Pipeline_Calc!$H$2:$H$5251,Pipeline_Sort!$C701))</f>
        <v/>
      </c>
      <c r="H701">
        <f>IF(Pipeline_Sort!$C701="","",INDEX(Pipeline_Calc!$I$2:$I$5251,Pipeline_Sort!$C701))</f>
        <v/>
      </c>
      <c r="I701">
        <f>IF(Pipeline_Sort!$C701="","",INDEX(Pipeline_Calc!$J$2:$J$5251,Pipeline_Sort!$C701))</f>
        <v/>
      </c>
    </row>
    <row r="702">
      <c r="A702" s="22">
        <f>IF(Pipeline_Sort!$C702="","",INDEX(Pipeline_Calc!$B$2:$B$5251,Pipeline_Sort!$C702))</f>
        <v/>
      </c>
      <c r="B702">
        <f>IF(Pipeline_Sort!$C702="","",INDEX(Pipeline_Calc!$C$2:$C$5251,Pipeline_Sort!$C702))</f>
        <v/>
      </c>
      <c r="C702">
        <f>IF(Pipeline_Sort!$C702="","",INDEX(Pipeline_Calc!$D$2:$D$5251,Pipeline_Sort!$C702))</f>
        <v/>
      </c>
      <c r="D702">
        <f>IF(Pipeline_Sort!$C702="","",INDEX(Pipeline_Calc!$E$2:$E$5251,Pipeline_Sort!$C702))</f>
        <v/>
      </c>
      <c r="E702">
        <f>IF(Pipeline_Sort!$C702="","",INDEX(Pipeline_Calc!$F$2:$F$5251,Pipeline_Sort!$C702))</f>
        <v/>
      </c>
      <c r="F702">
        <f>IF(Pipeline_Sort!$C702="","",INDEX(Pipeline_Calc!$G$2:$G$5251,Pipeline_Sort!$C702))</f>
        <v/>
      </c>
      <c r="G702">
        <f>IF(Pipeline_Sort!$C702="","",INDEX(Pipeline_Calc!$H$2:$H$5251,Pipeline_Sort!$C702))</f>
        <v/>
      </c>
      <c r="H702">
        <f>IF(Pipeline_Sort!$C702="","",INDEX(Pipeline_Calc!$I$2:$I$5251,Pipeline_Sort!$C702))</f>
        <v/>
      </c>
      <c r="I702">
        <f>IF(Pipeline_Sort!$C702="","",INDEX(Pipeline_Calc!$J$2:$J$5251,Pipeline_Sort!$C702))</f>
        <v/>
      </c>
    </row>
    <row r="703">
      <c r="A703" s="22">
        <f>IF(Pipeline_Sort!$C703="","",INDEX(Pipeline_Calc!$B$2:$B$5251,Pipeline_Sort!$C703))</f>
        <v/>
      </c>
      <c r="B703">
        <f>IF(Pipeline_Sort!$C703="","",INDEX(Pipeline_Calc!$C$2:$C$5251,Pipeline_Sort!$C703))</f>
        <v/>
      </c>
      <c r="C703">
        <f>IF(Pipeline_Sort!$C703="","",INDEX(Pipeline_Calc!$D$2:$D$5251,Pipeline_Sort!$C703))</f>
        <v/>
      </c>
      <c r="D703">
        <f>IF(Pipeline_Sort!$C703="","",INDEX(Pipeline_Calc!$E$2:$E$5251,Pipeline_Sort!$C703))</f>
        <v/>
      </c>
      <c r="E703">
        <f>IF(Pipeline_Sort!$C703="","",INDEX(Pipeline_Calc!$F$2:$F$5251,Pipeline_Sort!$C703))</f>
        <v/>
      </c>
      <c r="F703">
        <f>IF(Pipeline_Sort!$C703="","",INDEX(Pipeline_Calc!$G$2:$G$5251,Pipeline_Sort!$C703))</f>
        <v/>
      </c>
      <c r="G703">
        <f>IF(Pipeline_Sort!$C703="","",INDEX(Pipeline_Calc!$H$2:$H$5251,Pipeline_Sort!$C703))</f>
        <v/>
      </c>
      <c r="H703">
        <f>IF(Pipeline_Sort!$C703="","",INDEX(Pipeline_Calc!$I$2:$I$5251,Pipeline_Sort!$C703))</f>
        <v/>
      </c>
      <c r="I703">
        <f>IF(Pipeline_Sort!$C703="","",INDEX(Pipeline_Calc!$J$2:$J$5251,Pipeline_Sort!$C703))</f>
        <v/>
      </c>
    </row>
    <row r="704">
      <c r="A704" s="22">
        <f>IF(Pipeline_Sort!$C704="","",INDEX(Pipeline_Calc!$B$2:$B$5251,Pipeline_Sort!$C704))</f>
        <v/>
      </c>
      <c r="B704">
        <f>IF(Pipeline_Sort!$C704="","",INDEX(Pipeline_Calc!$C$2:$C$5251,Pipeline_Sort!$C704))</f>
        <v/>
      </c>
      <c r="C704">
        <f>IF(Pipeline_Sort!$C704="","",INDEX(Pipeline_Calc!$D$2:$D$5251,Pipeline_Sort!$C704))</f>
        <v/>
      </c>
      <c r="D704">
        <f>IF(Pipeline_Sort!$C704="","",INDEX(Pipeline_Calc!$E$2:$E$5251,Pipeline_Sort!$C704))</f>
        <v/>
      </c>
      <c r="E704">
        <f>IF(Pipeline_Sort!$C704="","",INDEX(Pipeline_Calc!$F$2:$F$5251,Pipeline_Sort!$C704))</f>
        <v/>
      </c>
      <c r="F704">
        <f>IF(Pipeline_Sort!$C704="","",INDEX(Pipeline_Calc!$G$2:$G$5251,Pipeline_Sort!$C704))</f>
        <v/>
      </c>
      <c r="G704">
        <f>IF(Pipeline_Sort!$C704="","",INDEX(Pipeline_Calc!$H$2:$H$5251,Pipeline_Sort!$C704))</f>
        <v/>
      </c>
      <c r="H704">
        <f>IF(Pipeline_Sort!$C704="","",INDEX(Pipeline_Calc!$I$2:$I$5251,Pipeline_Sort!$C704))</f>
        <v/>
      </c>
      <c r="I704">
        <f>IF(Pipeline_Sort!$C704="","",INDEX(Pipeline_Calc!$J$2:$J$5251,Pipeline_Sort!$C704))</f>
        <v/>
      </c>
    </row>
    <row r="705">
      <c r="A705" s="22">
        <f>IF(Pipeline_Sort!$C705="","",INDEX(Pipeline_Calc!$B$2:$B$5251,Pipeline_Sort!$C705))</f>
        <v/>
      </c>
      <c r="B705">
        <f>IF(Pipeline_Sort!$C705="","",INDEX(Pipeline_Calc!$C$2:$C$5251,Pipeline_Sort!$C705))</f>
        <v/>
      </c>
      <c r="C705">
        <f>IF(Pipeline_Sort!$C705="","",INDEX(Pipeline_Calc!$D$2:$D$5251,Pipeline_Sort!$C705))</f>
        <v/>
      </c>
      <c r="D705">
        <f>IF(Pipeline_Sort!$C705="","",INDEX(Pipeline_Calc!$E$2:$E$5251,Pipeline_Sort!$C705))</f>
        <v/>
      </c>
      <c r="E705">
        <f>IF(Pipeline_Sort!$C705="","",INDEX(Pipeline_Calc!$F$2:$F$5251,Pipeline_Sort!$C705))</f>
        <v/>
      </c>
      <c r="F705">
        <f>IF(Pipeline_Sort!$C705="","",INDEX(Pipeline_Calc!$G$2:$G$5251,Pipeline_Sort!$C705))</f>
        <v/>
      </c>
      <c r="G705">
        <f>IF(Pipeline_Sort!$C705="","",INDEX(Pipeline_Calc!$H$2:$H$5251,Pipeline_Sort!$C705))</f>
        <v/>
      </c>
      <c r="H705">
        <f>IF(Pipeline_Sort!$C705="","",INDEX(Pipeline_Calc!$I$2:$I$5251,Pipeline_Sort!$C705))</f>
        <v/>
      </c>
      <c r="I705">
        <f>IF(Pipeline_Sort!$C705="","",INDEX(Pipeline_Calc!$J$2:$J$5251,Pipeline_Sort!$C705))</f>
        <v/>
      </c>
    </row>
    <row r="706">
      <c r="A706" s="22">
        <f>IF(Pipeline_Sort!$C706="","",INDEX(Pipeline_Calc!$B$2:$B$5251,Pipeline_Sort!$C706))</f>
        <v/>
      </c>
      <c r="B706">
        <f>IF(Pipeline_Sort!$C706="","",INDEX(Pipeline_Calc!$C$2:$C$5251,Pipeline_Sort!$C706))</f>
        <v/>
      </c>
      <c r="C706">
        <f>IF(Pipeline_Sort!$C706="","",INDEX(Pipeline_Calc!$D$2:$D$5251,Pipeline_Sort!$C706))</f>
        <v/>
      </c>
      <c r="D706">
        <f>IF(Pipeline_Sort!$C706="","",INDEX(Pipeline_Calc!$E$2:$E$5251,Pipeline_Sort!$C706))</f>
        <v/>
      </c>
      <c r="E706">
        <f>IF(Pipeline_Sort!$C706="","",INDEX(Pipeline_Calc!$F$2:$F$5251,Pipeline_Sort!$C706))</f>
        <v/>
      </c>
      <c r="F706">
        <f>IF(Pipeline_Sort!$C706="","",INDEX(Pipeline_Calc!$G$2:$G$5251,Pipeline_Sort!$C706))</f>
        <v/>
      </c>
      <c r="G706">
        <f>IF(Pipeline_Sort!$C706="","",INDEX(Pipeline_Calc!$H$2:$H$5251,Pipeline_Sort!$C706))</f>
        <v/>
      </c>
      <c r="H706">
        <f>IF(Pipeline_Sort!$C706="","",INDEX(Pipeline_Calc!$I$2:$I$5251,Pipeline_Sort!$C706))</f>
        <v/>
      </c>
      <c r="I706">
        <f>IF(Pipeline_Sort!$C706="","",INDEX(Pipeline_Calc!$J$2:$J$5251,Pipeline_Sort!$C706))</f>
        <v/>
      </c>
    </row>
    <row r="707">
      <c r="A707" s="22">
        <f>IF(Pipeline_Sort!$C707="","",INDEX(Pipeline_Calc!$B$2:$B$5251,Pipeline_Sort!$C707))</f>
        <v/>
      </c>
      <c r="B707">
        <f>IF(Pipeline_Sort!$C707="","",INDEX(Pipeline_Calc!$C$2:$C$5251,Pipeline_Sort!$C707))</f>
        <v/>
      </c>
      <c r="C707">
        <f>IF(Pipeline_Sort!$C707="","",INDEX(Pipeline_Calc!$D$2:$D$5251,Pipeline_Sort!$C707))</f>
        <v/>
      </c>
      <c r="D707">
        <f>IF(Pipeline_Sort!$C707="","",INDEX(Pipeline_Calc!$E$2:$E$5251,Pipeline_Sort!$C707))</f>
        <v/>
      </c>
      <c r="E707">
        <f>IF(Pipeline_Sort!$C707="","",INDEX(Pipeline_Calc!$F$2:$F$5251,Pipeline_Sort!$C707))</f>
        <v/>
      </c>
      <c r="F707">
        <f>IF(Pipeline_Sort!$C707="","",INDEX(Pipeline_Calc!$G$2:$G$5251,Pipeline_Sort!$C707))</f>
        <v/>
      </c>
      <c r="G707">
        <f>IF(Pipeline_Sort!$C707="","",INDEX(Pipeline_Calc!$H$2:$H$5251,Pipeline_Sort!$C707))</f>
        <v/>
      </c>
      <c r="H707">
        <f>IF(Pipeline_Sort!$C707="","",INDEX(Pipeline_Calc!$I$2:$I$5251,Pipeline_Sort!$C707))</f>
        <v/>
      </c>
      <c r="I707">
        <f>IF(Pipeline_Sort!$C707="","",INDEX(Pipeline_Calc!$J$2:$J$5251,Pipeline_Sort!$C707))</f>
        <v/>
      </c>
    </row>
    <row r="708">
      <c r="A708" s="22">
        <f>IF(Pipeline_Sort!$C708="","",INDEX(Pipeline_Calc!$B$2:$B$5251,Pipeline_Sort!$C708))</f>
        <v/>
      </c>
      <c r="B708">
        <f>IF(Pipeline_Sort!$C708="","",INDEX(Pipeline_Calc!$C$2:$C$5251,Pipeline_Sort!$C708))</f>
        <v/>
      </c>
      <c r="C708">
        <f>IF(Pipeline_Sort!$C708="","",INDEX(Pipeline_Calc!$D$2:$D$5251,Pipeline_Sort!$C708))</f>
        <v/>
      </c>
      <c r="D708">
        <f>IF(Pipeline_Sort!$C708="","",INDEX(Pipeline_Calc!$E$2:$E$5251,Pipeline_Sort!$C708))</f>
        <v/>
      </c>
      <c r="E708">
        <f>IF(Pipeline_Sort!$C708="","",INDEX(Pipeline_Calc!$F$2:$F$5251,Pipeline_Sort!$C708))</f>
        <v/>
      </c>
      <c r="F708">
        <f>IF(Pipeline_Sort!$C708="","",INDEX(Pipeline_Calc!$G$2:$G$5251,Pipeline_Sort!$C708))</f>
        <v/>
      </c>
      <c r="G708">
        <f>IF(Pipeline_Sort!$C708="","",INDEX(Pipeline_Calc!$H$2:$H$5251,Pipeline_Sort!$C708))</f>
        <v/>
      </c>
      <c r="H708">
        <f>IF(Pipeline_Sort!$C708="","",INDEX(Pipeline_Calc!$I$2:$I$5251,Pipeline_Sort!$C708))</f>
        <v/>
      </c>
      <c r="I708">
        <f>IF(Pipeline_Sort!$C708="","",INDEX(Pipeline_Calc!$J$2:$J$5251,Pipeline_Sort!$C708))</f>
        <v/>
      </c>
    </row>
    <row r="709">
      <c r="A709" s="22">
        <f>IF(Pipeline_Sort!$C709="","",INDEX(Pipeline_Calc!$B$2:$B$5251,Pipeline_Sort!$C709))</f>
        <v/>
      </c>
      <c r="B709">
        <f>IF(Pipeline_Sort!$C709="","",INDEX(Pipeline_Calc!$C$2:$C$5251,Pipeline_Sort!$C709))</f>
        <v/>
      </c>
      <c r="C709">
        <f>IF(Pipeline_Sort!$C709="","",INDEX(Pipeline_Calc!$D$2:$D$5251,Pipeline_Sort!$C709))</f>
        <v/>
      </c>
      <c r="D709">
        <f>IF(Pipeline_Sort!$C709="","",INDEX(Pipeline_Calc!$E$2:$E$5251,Pipeline_Sort!$C709))</f>
        <v/>
      </c>
      <c r="E709">
        <f>IF(Pipeline_Sort!$C709="","",INDEX(Pipeline_Calc!$F$2:$F$5251,Pipeline_Sort!$C709))</f>
        <v/>
      </c>
      <c r="F709">
        <f>IF(Pipeline_Sort!$C709="","",INDEX(Pipeline_Calc!$G$2:$G$5251,Pipeline_Sort!$C709))</f>
        <v/>
      </c>
      <c r="G709">
        <f>IF(Pipeline_Sort!$C709="","",INDEX(Pipeline_Calc!$H$2:$H$5251,Pipeline_Sort!$C709))</f>
        <v/>
      </c>
      <c r="H709">
        <f>IF(Pipeline_Sort!$C709="","",INDEX(Pipeline_Calc!$I$2:$I$5251,Pipeline_Sort!$C709))</f>
        <v/>
      </c>
      <c r="I709">
        <f>IF(Pipeline_Sort!$C709="","",INDEX(Pipeline_Calc!$J$2:$J$5251,Pipeline_Sort!$C709))</f>
        <v/>
      </c>
    </row>
    <row r="710">
      <c r="A710" s="22">
        <f>IF(Pipeline_Sort!$C710="","",INDEX(Pipeline_Calc!$B$2:$B$5251,Pipeline_Sort!$C710))</f>
        <v/>
      </c>
      <c r="B710">
        <f>IF(Pipeline_Sort!$C710="","",INDEX(Pipeline_Calc!$C$2:$C$5251,Pipeline_Sort!$C710))</f>
        <v/>
      </c>
      <c r="C710">
        <f>IF(Pipeline_Sort!$C710="","",INDEX(Pipeline_Calc!$D$2:$D$5251,Pipeline_Sort!$C710))</f>
        <v/>
      </c>
      <c r="D710">
        <f>IF(Pipeline_Sort!$C710="","",INDEX(Pipeline_Calc!$E$2:$E$5251,Pipeline_Sort!$C710))</f>
        <v/>
      </c>
      <c r="E710">
        <f>IF(Pipeline_Sort!$C710="","",INDEX(Pipeline_Calc!$F$2:$F$5251,Pipeline_Sort!$C710))</f>
        <v/>
      </c>
      <c r="F710">
        <f>IF(Pipeline_Sort!$C710="","",INDEX(Pipeline_Calc!$G$2:$G$5251,Pipeline_Sort!$C710))</f>
        <v/>
      </c>
      <c r="G710">
        <f>IF(Pipeline_Sort!$C710="","",INDEX(Pipeline_Calc!$H$2:$H$5251,Pipeline_Sort!$C710))</f>
        <v/>
      </c>
      <c r="H710">
        <f>IF(Pipeline_Sort!$C710="","",INDEX(Pipeline_Calc!$I$2:$I$5251,Pipeline_Sort!$C710))</f>
        <v/>
      </c>
      <c r="I710">
        <f>IF(Pipeline_Sort!$C710="","",INDEX(Pipeline_Calc!$J$2:$J$5251,Pipeline_Sort!$C710))</f>
        <v/>
      </c>
    </row>
    <row r="711">
      <c r="A711" s="22">
        <f>IF(Pipeline_Sort!$C711="","",INDEX(Pipeline_Calc!$B$2:$B$5251,Pipeline_Sort!$C711))</f>
        <v/>
      </c>
      <c r="B711">
        <f>IF(Pipeline_Sort!$C711="","",INDEX(Pipeline_Calc!$C$2:$C$5251,Pipeline_Sort!$C711))</f>
        <v/>
      </c>
      <c r="C711">
        <f>IF(Pipeline_Sort!$C711="","",INDEX(Pipeline_Calc!$D$2:$D$5251,Pipeline_Sort!$C711))</f>
        <v/>
      </c>
      <c r="D711">
        <f>IF(Pipeline_Sort!$C711="","",INDEX(Pipeline_Calc!$E$2:$E$5251,Pipeline_Sort!$C711))</f>
        <v/>
      </c>
      <c r="E711">
        <f>IF(Pipeline_Sort!$C711="","",INDEX(Pipeline_Calc!$F$2:$F$5251,Pipeline_Sort!$C711))</f>
        <v/>
      </c>
      <c r="F711">
        <f>IF(Pipeline_Sort!$C711="","",INDEX(Pipeline_Calc!$G$2:$G$5251,Pipeline_Sort!$C711))</f>
        <v/>
      </c>
      <c r="G711">
        <f>IF(Pipeline_Sort!$C711="","",INDEX(Pipeline_Calc!$H$2:$H$5251,Pipeline_Sort!$C711))</f>
        <v/>
      </c>
      <c r="H711">
        <f>IF(Pipeline_Sort!$C711="","",INDEX(Pipeline_Calc!$I$2:$I$5251,Pipeline_Sort!$C711))</f>
        <v/>
      </c>
      <c r="I711">
        <f>IF(Pipeline_Sort!$C711="","",INDEX(Pipeline_Calc!$J$2:$J$5251,Pipeline_Sort!$C711))</f>
        <v/>
      </c>
    </row>
    <row r="712">
      <c r="A712" s="22">
        <f>IF(Pipeline_Sort!$C712="","",INDEX(Pipeline_Calc!$B$2:$B$5251,Pipeline_Sort!$C712))</f>
        <v/>
      </c>
      <c r="B712">
        <f>IF(Pipeline_Sort!$C712="","",INDEX(Pipeline_Calc!$C$2:$C$5251,Pipeline_Sort!$C712))</f>
        <v/>
      </c>
      <c r="C712">
        <f>IF(Pipeline_Sort!$C712="","",INDEX(Pipeline_Calc!$D$2:$D$5251,Pipeline_Sort!$C712))</f>
        <v/>
      </c>
      <c r="D712">
        <f>IF(Pipeline_Sort!$C712="","",INDEX(Pipeline_Calc!$E$2:$E$5251,Pipeline_Sort!$C712))</f>
        <v/>
      </c>
      <c r="E712">
        <f>IF(Pipeline_Sort!$C712="","",INDEX(Pipeline_Calc!$F$2:$F$5251,Pipeline_Sort!$C712))</f>
        <v/>
      </c>
      <c r="F712">
        <f>IF(Pipeline_Sort!$C712="","",INDEX(Pipeline_Calc!$G$2:$G$5251,Pipeline_Sort!$C712))</f>
        <v/>
      </c>
      <c r="G712">
        <f>IF(Pipeline_Sort!$C712="","",INDEX(Pipeline_Calc!$H$2:$H$5251,Pipeline_Sort!$C712))</f>
        <v/>
      </c>
      <c r="H712">
        <f>IF(Pipeline_Sort!$C712="","",INDEX(Pipeline_Calc!$I$2:$I$5251,Pipeline_Sort!$C712))</f>
        <v/>
      </c>
      <c r="I712">
        <f>IF(Pipeline_Sort!$C712="","",INDEX(Pipeline_Calc!$J$2:$J$5251,Pipeline_Sort!$C712))</f>
        <v/>
      </c>
    </row>
    <row r="713">
      <c r="A713" s="22">
        <f>IF(Pipeline_Sort!$C713="","",INDEX(Pipeline_Calc!$B$2:$B$5251,Pipeline_Sort!$C713))</f>
        <v/>
      </c>
      <c r="B713">
        <f>IF(Pipeline_Sort!$C713="","",INDEX(Pipeline_Calc!$C$2:$C$5251,Pipeline_Sort!$C713))</f>
        <v/>
      </c>
      <c r="C713">
        <f>IF(Pipeline_Sort!$C713="","",INDEX(Pipeline_Calc!$D$2:$D$5251,Pipeline_Sort!$C713))</f>
        <v/>
      </c>
      <c r="D713">
        <f>IF(Pipeline_Sort!$C713="","",INDEX(Pipeline_Calc!$E$2:$E$5251,Pipeline_Sort!$C713))</f>
        <v/>
      </c>
      <c r="E713">
        <f>IF(Pipeline_Sort!$C713="","",INDEX(Pipeline_Calc!$F$2:$F$5251,Pipeline_Sort!$C713))</f>
        <v/>
      </c>
      <c r="F713">
        <f>IF(Pipeline_Sort!$C713="","",INDEX(Pipeline_Calc!$G$2:$G$5251,Pipeline_Sort!$C713))</f>
        <v/>
      </c>
      <c r="G713">
        <f>IF(Pipeline_Sort!$C713="","",INDEX(Pipeline_Calc!$H$2:$H$5251,Pipeline_Sort!$C713))</f>
        <v/>
      </c>
      <c r="H713">
        <f>IF(Pipeline_Sort!$C713="","",INDEX(Pipeline_Calc!$I$2:$I$5251,Pipeline_Sort!$C713))</f>
        <v/>
      </c>
      <c r="I713">
        <f>IF(Pipeline_Sort!$C713="","",INDEX(Pipeline_Calc!$J$2:$J$5251,Pipeline_Sort!$C713))</f>
        <v/>
      </c>
    </row>
    <row r="714">
      <c r="A714" s="22">
        <f>IF(Pipeline_Sort!$C714="","",INDEX(Pipeline_Calc!$B$2:$B$5251,Pipeline_Sort!$C714))</f>
        <v/>
      </c>
      <c r="B714">
        <f>IF(Pipeline_Sort!$C714="","",INDEX(Pipeline_Calc!$C$2:$C$5251,Pipeline_Sort!$C714))</f>
        <v/>
      </c>
      <c r="C714">
        <f>IF(Pipeline_Sort!$C714="","",INDEX(Pipeline_Calc!$D$2:$D$5251,Pipeline_Sort!$C714))</f>
        <v/>
      </c>
      <c r="D714">
        <f>IF(Pipeline_Sort!$C714="","",INDEX(Pipeline_Calc!$E$2:$E$5251,Pipeline_Sort!$C714))</f>
        <v/>
      </c>
      <c r="E714">
        <f>IF(Pipeline_Sort!$C714="","",INDEX(Pipeline_Calc!$F$2:$F$5251,Pipeline_Sort!$C714))</f>
        <v/>
      </c>
      <c r="F714">
        <f>IF(Pipeline_Sort!$C714="","",INDEX(Pipeline_Calc!$G$2:$G$5251,Pipeline_Sort!$C714))</f>
        <v/>
      </c>
      <c r="G714">
        <f>IF(Pipeline_Sort!$C714="","",INDEX(Pipeline_Calc!$H$2:$H$5251,Pipeline_Sort!$C714))</f>
        <v/>
      </c>
      <c r="H714">
        <f>IF(Pipeline_Sort!$C714="","",INDEX(Pipeline_Calc!$I$2:$I$5251,Pipeline_Sort!$C714))</f>
        <v/>
      </c>
      <c r="I714">
        <f>IF(Pipeline_Sort!$C714="","",INDEX(Pipeline_Calc!$J$2:$J$5251,Pipeline_Sort!$C714))</f>
        <v/>
      </c>
    </row>
    <row r="715">
      <c r="A715" s="22">
        <f>IF(Pipeline_Sort!$C715="","",INDEX(Pipeline_Calc!$B$2:$B$5251,Pipeline_Sort!$C715))</f>
        <v/>
      </c>
      <c r="B715">
        <f>IF(Pipeline_Sort!$C715="","",INDEX(Pipeline_Calc!$C$2:$C$5251,Pipeline_Sort!$C715))</f>
        <v/>
      </c>
      <c r="C715">
        <f>IF(Pipeline_Sort!$C715="","",INDEX(Pipeline_Calc!$D$2:$D$5251,Pipeline_Sort!$C715))</f>
        <v/>
      </c>
      <c r="D715">
        <f>IF(Pipeline_Sort!$C715="","",INDEX(Pipeline_Calc!$E$2:$E$5251,Pipeline_Sort!$C715))</f>
        <v/>
      </c>
      <c r="E715">
        <f>IF(Pipeline_Sort!$C715="","",INDEX(Pipeline_Calc!$F$2:$F$5251,Pipeline_Sort!$C715))</f>
        <v/>
      </c>
      <c r="F715">
        <f>IF(Pipeline_Sort!$C715="","",INDEX(Pipeline_Calc!$G$2:$G$5251,Pipeline_Sort!$C715))</f>
        <v/>
      </c>
      <c r="G715">
        <f>IF(Pipeline_Sort!$C715="","",INDEX(Pipeline_Calc!$H$2:$H$5251,Pipeline_Sort!$C715))</f>
        <v/>
      </c>
      <c r="H715">
        <f>IF(Pipeline_Sort!$C715="","",INDEX(Pipeline_Calc!$I$2:$I$5251,Pipeline_Sort!$C715))</f>
        <v/>
      </c>
      <c r="I715">
        <f>IF(Pipeline_Sort!$C715="","",INDEX(Pipeline_Calc!$J$2:$J$5251,Pipeline_Sort!$C715))</f>
        <v/>
      </c>
    </row>
    <row r="716">
      <c r="A716" s="22">
        <f>IF(Pipeline_Sort!$C716="","",INDEX(Pipeline_Calc!$B$2:$B$5251,Pipeline_Sort!$C716))</f>
        <v/>
      </c>
      <c r="B716">
        <f>IF(Pipeline_Sort!$C716="","",INDEX(Pipeline_Calc!$C$2:$C$5251,Pipeline_Sort!$C716))</f>
        <v/>
      </c>
      <c r="C716">
        <f>IF(Pipeline_Sort!$C716="","",INDEX(Pipeline_Calc!$D$2:$D$5251,Pipeline_Sort!$C716))</f>
        <v/>
      </c>
      <c r="D716">
        <f>IF(Pipeline_Sort!$C716="","",INDEX(Pipeline_Calc!$E$2:$E$5251,Pipeline_Sort!$C716))</f>
        <v/>
      </c>
      <c r="E716">
        <f>IF(Pipeline_Sort!$C716="","",INDEX(Pipeline_Calc!$F$2:$F$5251,Pipeline_Sort!$C716))</f>
        <v/>
      </c>
      <c r="F716">
        <f>IF(Pipeline_Sort!$C716="","",INDEX(Pipeline_Calc!$G$2:$G$5251,Pipeline_Sort!$C716))</f>
        <v/>
      </c>
      <c r="G716">
        <f>IF(Pipeline_Sort!$C716="","",INDEX(Pipeline_Calc!$H$2:$H$5251,Pipeline_Sort!$C716))</f>
        <v/>
      </c>
      <c r="H716">
        <f>IF(Pipeline_Sort!$C716="","",INDEX(Pipeline_Calc!$I$2:$I$5251,Pipeline_Sort!$C716))</f>
        <v/>
      </c>
      <c r="I716">
        <f>IF(Pipeline_Sort!$C716="","",INDEX(Pipeline_Calc!$J$2:$J$5251,Pipeline_Sort!$C716))</f>
        <v/>
      </c>
    </row>
    <row r="717">
      <c r="A717" s="22">
        <f>IF(Pipeline_Sort!$C717="","",INDEX(Pipeline_Calc!$B$2:$B$5251,Pipeline_Sort!$C717))</f>
        <v/>
      </c>
      <c r="B717">
        <f>IF(Pipeline_Sort!$C717="","",INDEX(Pipeline_Calc!$C$2:$C$5251,Pipeline_Sort!$C717))</f>
        <v/>
      </c>
      <c r="C717">
        <f>IF(Pipeline_Sort!$C717="","",INDEX(Pipeline_Calc!$D$2:$D$5251,Pipeline_Sort!$C717))</f>
        <v/>
      </c>
      <c r="D717">
        <f>IF(Pipeline_Sort!$C717="","",INDEX(Pipeline_Calc!$E$2:$E$5251,Pipeline_Sort!$C717))</f>
        <v/>
      </c>
      <c r="E717">
        <f>IF(Pipeline_Sort!$C717="","",INDEX(Pipeline_Calc!$F$2:$F$5251,Pipeline_Sort!$C717))</f>
        <v/>
      </c>
      <c r="F717">
        <f>IF(Pipeline_Sort!$C717="","",INDEX(Pipeline_Calc!$G$2:$G$5251,Pipeline_Sort!$C717))</f>
        <v/>
      </c>
      <c r="G717">
        <f>IF(Pipeline_Sort!$C717="","",INDEX(Pipeline_Calc!$H$2:$H$5251,Pipeline_Sort!$C717))</f>
        <v/>
      </c>
      <c r="H717">
        <f>IF(Pipeline_Sort!$C717="","",INDEX(Pipeline_Calc!$I$2:$I$5251,Pipeline_Sort!$C717))</f>
        <v/>
      </c>
      <c r="I717">
        <f>IF(Pipeline_Sort!$C717="","",INDEX(Pipeline_Calc!$J$2:$J$5251,Pipeline_Sort!$C717))</f>
        <v/>
      </c>
    </row>
    <row r="718">
      <c r="A718" s="22">
        <f>IF(Pipeline_Sort!$C718="","",INDEX(Pipeline_Calc!$B$2:$B$5251,Pipeline_Sort!$C718))</f>
        <v/>
      </c>
      <c r="B718">
        <f>IF(Pipeline_Sort!$C718="","",INDEX(Pipeline_Calc!$C$2:$C$5251,Pipeline_Sort!$C718))</f>
        <v/>
      </c>
      <c r="C718">
        <f>IF(Pipeline_Sort!$C718="","",INDEX(Pipeline_Calc!$D$2:$D$5251,Pipeline_Sort!$C718))</f>
        <v/>
      </c>
      <c r="D718">
        <f>IF(Pipeline_Sort!$C718="","",INDEX(Pipeline_Calc!$E$2:$E$5251,Pipeline_Sort!$C718))</f>
        <v/>
      </c>
      <c r="E718">
        <f>IF(Pipeline_Sort!$C718="","",INDEX(Pipeline_Calc!$F$2:$F$5251,Pipeline_Sort!$C718))</f>
        <v/>
      </c>
      <c r="F718">
        <f>IF(Pipeline_Sort!$C718="","",INDEX(Pipeline_Calc!$G$2:$G$5251,Pipeline_Sort!$C718))</f>
        <v/>
      </c>
      <c r="G718">
        <f>IF(Pipeline_Sort!$C718="","",INDEX(Pipeline_Calc!$H$2:$H$5251,Pipeline_Sort!$C718))</f>
        <v/>
      </c>
      <c r="H718">
        <f>IF(Pipeline_Sort!$C718="","",INDEX(Pipeline_Calc!$I$2:$I$5251,Pipeline_Sort!$C718))</f>
        <v/>
      </c>
      <c r="I718">
        <f>IF(Pipeline_Sort!$C718="","",INDEX(Pipeline_Calc!$J$2:$J$5251,Pipeline_Sort!$C718))</f>
        <v/>
      </c>
    </row>
    <row r="719">
      <c r="A719" s="22">
        <f>IF(Pipeline_Sort!$C719="","",INDEX(Pipeline_Calc!$B$2:$B$5251,Pipeline_Sort!$C719))</f>
        <v/>
      </c>
      <c r="B719">
        <f>IF(Pipeline_Sort!$C719="","",INDEX(Pipeline_Calc!$C$2:$C$5251,Pipeline_Sort!$C719))</f>
        <v/>
      </c>
      <c r="C719">
        <f>IF(Pipeline_Sort!$C719="","",INDEX(Pipeline_Calc!$D$2:$D$5251,Pipeline_Sort!$C719))</f>
        <v/>
      </c>
      <c r="D719">
        <f>IF(Pipeline_Sort!$C719="","",INDEX(Pipeline_Calc!$E$2:$E$5251,Pipeline_Sort!$C719))</f>
        <v/>
      </c>
      <c r="E719">
        <f>IF(Pipeline_Sort!$C719="","",INDEX(Pipeline_Calc!$F$2:$F$5251,Pipeline_Sort!$C719))</f>
        <v/>
      </c>
      <c r="F719">
        <f>IF(Pipeline_Sort!$C719="","",INDEX(Pipeline_Calc!$G$2:$G$5251,Pipeline_Sort!$C719))</f>
        <v/>
      </c>
      <c r="G719">
        <f>IF(Pipeline_Sort!$C719="","",INDEX(Pipeline_Calc!$H$2:$H$5251,Pipeline_Sort!$C719))</f>
        <v/>
      </c>
      <c r="H719">
        <f>IF(Pipeline_Sort!$C719="","",INDEX(Pipeline_Calc!$I$2:$I$5251,Pipeline_Sort!$C719))</f>
        <v/>
      </c>
      <c r="I719">
        <f>IF(Pipeline_Sort!$C719="","",INDEX(Pipeline_Calc!$J$2:$J$5251,Pipeline_Sort!$C719))</f>
        <v/>
      </c>
    </row>
    <row r="720">
      <c r="A720" s="22">
        <f>IF(Pipeline_Sort!$C720="","",INDEX(Pipeline_Calc!$B$2:$B$5251,Pipeline_Sort!$C720))</f>
        <v/>
      </c>
      <c r="B720">
        <f>IF(Pipeline_Sort!$C720="","",INDEX(Pipeline_Calc!$C$2:$C$5251,Pipeline_Sort!$C720))</f>
        <v/>
      </c>
      <c r="C720">
        <f>IF(Pipeline_Sort!$C720="","",INDEX(Pipeline_Calc!$D$2:$D$5251,Pipeline_Sort!$C720))</f>
        <v/>
      </c>
      <c r="D720">
        <f>IF(Pipeline_Sort!$C720="","",INDEX(Pipeline_Calc!$E$2:$E$5251,Pipeline_Sort!$C720))</f>
        <v/>
      </c>
      <c r="E720">
        <f>IF(Pipeline_Sort!$C720="","",INDEX(Pipeline_Calc!$F$2:$F$5251,Pipeline_Sort!$C720))</f>
        <v/>
      </c>
      <c r="F720">
        <f>IF(Pipeline_Sort!$C720="","",INDEX(Pipeline_Calc!$G$2:$G$5251,Pipeline_Sort!$C720))</f>
        <v/>
      </c>
      <c r="G720">
        <f>IF(Pipeline_Sort!$C720="","",INDEX(Pipeline_Calc!$H$2:$H$5251,Pipeline_Sort!$C720))</f>
        <v/>
      </c>
      <c r="H720">
        <f>IF(Pipeline_Sort!$C720="","",INDEX(Pipeline_Calc!$I$2:$I$5251,Pipeline_Sort!$C720))</f>
        <v/>
      </c>
      <c r="I720">
        <f>IF(Pipeline_Sort!$C720="","",INDEX(Pipeline_Calc!$J$2:$J$5251,Pipeline_Sort!$C720))</f>
        <v/>
      </c>
    </row>
    <row r="721">
      <c r="A721" s="22">
        <f>IF(Pipeline_Sort!$C721="","",INDEX(Pipeline_Calc!$B$2:$B$5251,Pipeline_Sort!$C721))</f>
        <v/>
      </c>
      <c r="B721">
        <f>IF(Pipeline_Sort!$C721="","",INDEX(Pipeline_Calc!$C$2:$C$5251,Pipeline_Sort!$C721))</f>
        <v/>
      </c>
      <c r="C721">
        <f>IF(Pipeline_Sort!$C721="","",INDEX(Pipeline_Calc!$D$2:$D$5251,Pipeline_Sort!$C721))</f>
        <v/>
      </c>
      <c r="D721">
        <f>IF(Pipeline_Sort!$C721="","",INDEX(Pipeline_Calc!$E$2:$E$5251,Pipeline_Sort!$C721))</f>
        <v/>
      </c>
      <c r="E721">
        <f>IF(Pipeline_Sort!$C721="","",INDEX(Pipeline_Calc!$F$2:$F$5251,Pipeline_Sort!$C721))</f>
        <v/>
      </c>
      <c r="F721">
        <f>IF(Pipeline_Sort!$C721="","",INDEX(Pipeline_Calc!$G$2:$G$5251,Pipeline_Sort!$C721))</f>
        <v/>
      </c>
      <c r="G721">
        <f>IF(Pipeline_Sort!$C721="","",INDEX(Pipeline_Calc!$H$2:$H$5251,Pipeline_Sort!$C721))</f>
        <v/>
      </c>
      <c r="H721">
        <f>IF(Pipeline_Sort!$C721="","",INDEX(Pipeline_Calc!$I$2:$I$5251,Pipeline_Sort!$C721))</f>
        <v/>
      </c>
      <c r="I721">
        <f>IF(Pipeline_Sort!$C721="","",INDEX(Pipeline_Calc!$J$2:$J$5251,Pipeline_Sort!$C721))</f>
        <v/>
      </c>
    </row>
    <row r="722">
      <c r="A722" s="22">
        <f>IF(Pipeline_Sort!$C722="","",INDEX(Pipeline_Calc!$B$2:$B$5251,Pipeline_Sort!$C722))</f>
        <v/>
      </c>
      <c r="B722">
        <f>IF(Pipeline_Sort!$C722="","",INDEX(Pipeline_Calc!$C$2:$C$5251,Pipeline_Sort!$C722))</f>
        <v/>
      </c>
      <c r="C722">
        <f>IF(Pipeline_Sort!$C722="","",INDEX(Pipeline_Calc!$D$2:$D$5251,Pipeline_Sort!$C722))</f>
        <v/>
      </c>
      <c r="D722">
        <f>IF(Pipeline_Sort!$C722="","",INDEX(Pipeline_Calc!$E$2:$E$5251,Pipeline_Sort!$C722))</f>
        <v/>
      </c>
      <c r="E722">
        <f>IF(Pipeline_Sort!$C722="","",INDEX(Pipeline_Calc!$F$2:$F$5251,Pipeline_Sort!$C722))</f>
        <v/>
      </c>
      <c r="F722">
        <f>IF(Pipeline_Sort!$C722="","",INDEX(Pipeline_Calc!$G$2:$G$5251,Pipeline_Sort!$C722))</f>
        <v/>
      </c>
      <c r="G722">
        <f>IF(Pipeline_Sort!$C722="","",INDEX(Pipeline_Calc!$H$2:$H$5251,Pipeline_Sort!$C722))</f>
        <v/>
      </c>
      <c r="H722">
        <f>IF(Pipeline_Sort!$C722="","",INDEX(Pipeline_Calc!$I$2:$I$5251,Pipeline_Sort!$C722))</f>
        <v/>
      </c>
      <c r="I722">
        <f>IF(Pipeline_Sort!$C722="","",INDEX(Pipeline_Calc!$J$2:$J$5251,Pipeline_Sort!$C722))</f>
        <v/>
      </c>
    </row>
    <row r="723">
      <c r="A723" s="22">
        <f>IF(Pipeline_Sort!$C723="","",INDEX(Pipeline_Calc!$B$2:$B$5251,Pipeline_Sort!$C723))</f>
        <v/>
      </c>
      <c r="B723">
        <f>IF(Pipeline_Sort!$C723="","",INDEX(Pipeline_Calc!$C$2:$C$5251,Pipeline_Sort!$C723))</f>
        <v/>
      </c>
      <c r="C723">
        <f>IF(Pipeline_Sort!$C723="","",INDEX(Pipeline_Calc!$D$2:$D$5251,Pipeline_Sort!$C723))</f>
        <v/>
      </c>
      <c r="D723">
        <f>IF(Pipeline_Sort!$C723="","",INDEX(Pipeline_Calc!$E$2:$E$5251,Pipeline_Sort!$C723))</f>
        <v/>
      </c>
      <c r="E723">
        <f>IF(Pipeline_Sort!$C723="","",INDEX(Pipeline_Calc!$F$2:$F$5251,Pipeline_Sort!$C723))</f>
        <v/>
      </c>
      <c r="F723">
        <f>IF(Pipeline_Sort!$C723="","",INDEX(Pipeline_Calc!$G$2:$G$5251,Pipeline_Sort!$C723))</f>
        <v/>
      </c>
      <c r="G723">
        <f>IF(Pipeline_Sort!$C723="","",INDEX(Pipeline_Calc!$H$2:$H$5251,Pipeline_Sort!$C723))</f>
        <v/>
      </c>
      <c r="H723">
        <f>IF(Pipeline_Sort!$C723="","",INDEX(Pipeline_Calc!$I$2:$I$5251,Pipeline_Sort!$C723))</f>
        <v/>
      </c>
      <c r="I723">
        <f>IF(Pipeline_Sort!$C723="","",INDEX(Pipeline_Calc!$J$2:$J$5251,Pipeline_Sort!$C723))</f>
        <v/>
      </c>
    </row>
    <row r="724">
      <c r="A724" s="22">
        <f>IF(Pipeline_Sort!$C724="","",INDEX(Pipeline_Calc!$B$2:$B$5251,Pipeline_Sort!$C724))</f>
        <v/>
      </c>
      <c r="B724">
        <f>IF(Pipeline_Sort!$C724="","",INDEX(Pipeline_Calc!$C$2:$C$5251,Pipeline_Sort!$C724))</f>
        <v/>
      </c>
      <c r="C724">
        <f>IF(Pipeline_Sort!$C724="","",INDEX(Pipeline_Calc!$D$2:$D$5251,Pipeline_Sort!$C724))</f>
        <v/>
      </c>
      <c r="D724">
        <f>IF(Pipeline_Sort!$C724="","",INDEX(Pipeline_Calc!$E$2:$E$5251,Pipeline_Sort!$C724))</f>
        <v/>
      </c>
      <c r="E724">
        <f>IF(Pipeline_Sort!$C724="","",INDEX(Pipeline_Calc!$F$2:$F$5251,Pipeline_Sort!$C724))</f>
        <v/>
      </c>
      <c r="F724">
        <f>IF(Pipeline_Sort!$C724="","",INDEX(Pipeline_Calc!$G$2:$G$5251,Pipeline_Sort!$C724))</f>
        <v/>
      </c>
      <c r="G724">
        <f>IF(Pipeline_Sort!$C724="","",INDEX(Pipeline_Calc!$H$2:$H$5251,Pipeline_Sort!$C724))</f>
        <v/>
      </c>
      <c r="H724">
        <f>IF(Pipeline_Sort!$C724="","",INDEX(Pipeline_Calc!$I$2:$I$5251,Pipeline_Sort!$C724))</f>
        <v/>
      </c>
      <c r="I724">
        <f>IF(Pipeline_Sort!$C724="","",INDEX(Pipeline_Calc!$J$2:$J$5251,Pipeline_Sort!$C724))</f>
        <v/>
      </c>
    </row>
    <row r="725">
      <c r="A725" s="22">
        <f>IF(Pipeline_Sort!$C725="","",INDEX(Pipeline_Calc!$B$2:$B$5251,Pipeline_Sort!$C725))</f>
        <v/>
      </c>
      <c r="B725">
        <f>IF(Pipeline_Sort!$C725="","",INDEX(Pipeline_Calc!$C$2:$C$5251,Pipeline_Sort!$C725))</f>
        <v/>
      </c>
      <c r="C725">
        <f>IF(Pipeline_Sort!$C725="","",INDEX(Pipeline_Calc!$D$2:$D$5251,Pipeline_Sort!$C725))</f>
        <v/>
      </c>
      <c r="D725">
        <f>IF(Pipeline_Sort!$C725="","",INDEX(Pipeline_Calc!$E$2:$E$5251,Pipeline_Sort!$C725))</f>
        <v/>
      </c>
      <c r="E725">
        <f>IF(Pipeline_Sort!$C725="","",INDEX(Pipeline_Calc!$F$2:$F$5251,Pipeline_Sort!$C725))</f>
        <v/>
      </c>
      <c r="F725">
        <f>IF(Pipeline_Sort!$C725="","",INDEX(Pipeline_Calc!$G$2:$G$5251,Pipeline_Sort!$C725))</f>
        <v/>
      </c>
      <c r="G725">
        <f>IF(Pipeline_Sort!$C725="","",INDEX(Pipeline_Calc!$H$2:$H$5251,Pipeline_Sort!$C725))</f>
        <v/>
      </c>
      <c r="H725">
        <f>IF(Pipeline_Sort!$C725="","",INDEX(Pipeline_Calc!$I$2:$I$5251,Pipeline_Sort!$C725))</f>
        <v/>
      </c>
      <c r="I725">
        <f>IF(Pipeline_Sort!$C725="","",INDEX(Pipeline_Calc!$J$2:$J$5251,Pipeline_Sort!$C725))</f>
        <v/>
      </c>
    </row>
    <row r="726">
      <c r="A726" s="22">
        <f>IF(Pipeline_Sort!$C726="","",INDEX(Pipeline_Calc!$B$2:$B$5251,Pipeline_Sort!$C726))</f>
        <v/>
      </c>
      <c r="B726">
        <f>IF(Pipeline_Sort!$C726="","",INDEX(Pipeline_Calc!$C$2:$C$5251,Pipeline_Sort!$C726))</f>
        <v/>
      </c>
      <c r="C726">
        <f>IF(Pipeline_Sort!$C726="","",INDEX(Pipeline_Calc!$D$2:$D$5251,Pipeline_Sort!$C726))</f>
        <v/>
      </c>
      <c r="D726">
        <f>IF(Pipeline_Sort!$C726="","",INDEX(Pipeline_Calc!$E$2:$E$5251,Pipeline_Sort!$C726))</f>
        <v/>
      </c>
      <c r="E726">
        <f>IF(Pipeline_Sort!$C726="","",INDEX(Pipeline_Calc!$F$2:$F$5251,Pipeline_Sort!$C726))</f>
        <v/>
      </c>
      <c r="F726">
        <f>IF(Pipeline_Sort!$C726="","",INDEX(Pipeline_Calc!$G$2:$G$5251,Pipeline_Sort!$C726))</f>
        <v/>
      </c>
      <c r="G726">
        <f>IF(Pipeline_Sort!$C726="","",INDEX(Pipeline_Calc!$H$2:$H$5251,Pipeline_Sort!$C726))</f>
        <v/>
      </c>
      <c r="H726">
        <f>IF(Pipeline_Sort!$C726="","",INDEX(Pipeline_Calc!$I$2:$I$5251,Pipeline_Sort!$C726))</f>
        <v/>
      </c>
      <c r="I726">
        <f>IF(Pipeline_Sort!$C726="","",INDEX(Pipeline_Calc!$J$2:$J$5251,Pipeline_Sort!$C726))</f>
        <v/>
      </c>
    </row>
    <row r="727">
      <c r="A727" s="22">
        <f>IF(Pipeline_Sort!$C727="","",INDEX(Pipeline_Calc!$B$2:$B$5251,Pipeline_Sort!$C727))</f>
        <v/>
      </c>
      <c r="B727">
        <f>IF(Pipeline_Sort!$C727="","",INDEX(Pipeline_Calc!$C$2:$C$5251,Pipeline_Sort!$C727))</f>
        <v/>
      </c>
      <c r="C727">
        <f>IF(Pipeline_Sort!$C727="","",INDEX(Pipeline_Calc!$D$2:$D$5251,Pipeline_Sort!$C727))</f>
        <v/>
      </c>
      <c r="D727">
        <f>IF(Pipeline_Sort!$C727="","",INDEX(Pipeline_Calc!$E$2:$E$5251,Pipeline_Sort!$C727))</f>
        <v/>
      </c>
      <c r="E727">
        <f>IF(Pipeline_Sort!$C727="","",INDEX(Pipeline_Calc!$F$2:$F$5251,Pipeline_Sort!$C727))</f>
        <v/>
      </c>
      <c r="F727">
        <f>IF(Pipeline_Sort!$C727="","",INDEX(Pipeline_Calc!$G$2:$G$5251,Pipeline_Sort!$C727))</f>
        <v/>
      </c>
      <c r="G727">
        <f>IF(Pipeline_Sort!$C727="","",INDEX(Pipeline_Calc!$H$2:$H$5251,Pipeline_Sort!$C727))</f>
        <v/>
      </c>
      <c r="H727">
        <f>IF(Pipeline_Sort!$C727="","",INDEX(Pipeline_Calc!$I$2:$I$5251,Pipeline_Sort!$C727))</f>
        <v/>
      </c>
      <c r="I727">
        <f>IF(Pipeline_Sort!$C727="","",INDEX(Pipeline_Calc!$J$2:$J$5251,Pipeline_Sort!$C727))</f>
        <v/>
      </c>
    </row>
    <row r="728">
      <c r="A728" s="22">
        <f>IF(Pipeline_Sort!$C728="","",INDEX(Pipeline_Calc!$B$2:$B$5251,Pipeline_Sort!$C728))</f>
        <v/>
      </c>
      <c r="B728">
        <f>IF(Pipeline_Sort!$C728="","",INDEX(Pipeline_Calc!$C$2:$C$5251,Pipeline_Sort!$C728))</f>
        <v/>
      </c>
      <c r="C728">
        <f>IF(Pipeline_Sort!$C728="","",INDEX(Pipeline_Calc!$D$2:$D$5251,Pipeline_Sort!$C728))</f>
        <v/>
      </c>
      <c r="D728">
        <f>IF(Pipeline_Sort!$C728="","",INDEX(Pipeline_Calc!$E$2:$E$5251,Pipeline_Sort!$C728))</f>
        <v/>
      </c>
      <c r="E728">
        <f>IF(Pipeline_Sort!$C728="","",INDEX(Pipeline_Calc!$F$2:$F$5251,Pipeline_Sort!$C728))</f>
        <v/>
      </c>
      <c r="F728">
        <f>IF(Pipeline_Sort!$C728="","",INDEX(Pipeline_Calc!$G$2:$G$5251,Pipeline_Sort!$C728))</f>
        <v/>
      </c>
      <c r="G728">
        <f>IF(Pipeline_Sort!$C728="","",INDEX(Pipeline_Calc!$H$2:$H$5251,Pipeline_Sort!$C728))</f>
        <v/>
      </c>
      <c r="H728">
        <f>IF(Pipeline_Sort!$C728="","",INDEX(Pipeline_Calc!$I$2:$I$5251,Pipeline_Sort!$C728))</f>
        <v/>
      </c>
      <c r="I728">
        <f>IF(Pipeline_Sort!$C728="","",INDEX(Pipeline_Calc!$J$2:$J$5251,Pipeline_Sort!$C728))</f>
        <v/>
      </c>
    </row>
    <row r="729">
      <c r="A729" s="22">
        <f>IF(Pipeline_Sort!$C729="","",INDEX(Pipeline_Calc!$B$2:$B$5251,Pipeline_Sort!$C729))</f>
        <v/>
      </c>
      <c r="B729">
        <f>IF(Pipeline_Sort!$C729="","",INDEX(Pipeline_Calc!$C$2:$C$5251,Pipeline_Sort!$C729))</f>
        <v/>
      </c>
      <c r="C729">
        <f>IF(Pipeline_Sort!$C729="","",INDEX(Pipeline_Calc!$D$2:$D$5251,Pipeline_Sort!$C729))</f>
        <v/>
      </c>
      <c r="D729">
        <f>IF(Pipeline_Sort!$C729="","",INDEX(Pipeline_Calc!$E$2:$E$5251,Pipeline_Sort!$C729))</f>
        <v/>
      </c>
      <c r="E729">
        <f>IF(Pipeline_Sort!$C729="","",INDEX(Pipeline_Calc!$F$2:$F$5251,Pipeline_Sort!$C729))</f>
        <v/>
      </c>
      <c r="F729">
        <f>IF(Pipeline_Sort!$C729="","",INDEX(Pipeline_Calc!$G$2:$G$5251,Pipeline_Sort!$C729))</f>
        <v/>
      </c>
      <c r="G729">
        <f>IF(Pipeline_Sort!$C729="","",INDEX(Pipeline_Calc!$H$2:$H$5251,Pipeline_Sort!$C729))</f>
        <v/>
      </c>
      <c r="H729">
        <f>IF(Pipeline_Sort!$C729="","",INDEX(Pipeline_Calc!$I$2:$I$5251,Pipeline_Sort!$C729))</f>
        <v/>
      </c>
      <c r="I729">
        <f>IF(Pipeline_Sort!$C729="","",INDEX(Pipeline_Calc!$J$2:$J$5251,Pipeline_Sort!$C729))</f>
        <v/>
      </c>
    </row>
    <row r="730">
      <c r="A730" s="22">
        <f>IF(Pipeline_Sort!$C730="","",INDEX(Pipeline_Calc!$B$2:$B$5251,Pipeline_Sort!$C730))</f>
        <v/>
      </c>
      <c r="B730">
        <f>IF(Pipeline_Sort!$C730="","",INDEX(Pipeline_Calc!$C$2:$C$5251,Pipeline_Sort!$C730))</f>
        <v/>
      </c>
      <c r="C730">
        <f>IF(Pipeline_Sort!$C730="","",INDEX(Pipeline_Calc!$D$2:$D$5251,Pipeline_Sort!$C730))</f>
        <v/>
      </c>
      <c r="D730">
        <f>IF(Pipeline_Sort!$C730="","",INDEX(Pipeline_Calc!$E$2:$E$5251,Pipeline_Sort!$C730))</f>
        <v/>
      </c>
      <c r="E730">
        <f>IF(Pipeline_Sort!$C730="","",INDEX(Pipeline_Calc!$F$2:$F$5251,Pipeline_Sort!$C730))</f>
        <v/>
      </c>
      <c r="F730">
        <f>IF(Pipeline_Sort!$C730="","",INDEX(Pipeline_Calc!$G$2:$G$5251,Pipeline_Sort!$C730))</f>
        <v/>
      </c>
      <c r="G730">
        <f>IF(Pipeline_Sort!$C730="","",INDEX(Pipeline_Calc!$H$2:$H$5251,Pipeline_Sort!$C730))</f>
        <v/>
      </c>
      <c r="H730">
        <f>IF(Pipeline_Sort!$C730="","",INDEX(Pipeline_Calc!$I$2:$I$5251,Pipeline_Sort!$C730))</f>
        <v/>
      </c>
      <c r="I730">
        <f>IF(Pipeline_Sort!$C730="","",INDEX(Pipeline_Calc!$J$2:$J$5251,Pipeline_Sort!$C730))</f>
        <v/>
      </c>
    </row>
    <row r="731">
      <c r="A731" s="22">
        <f>IF(Pipeline_Sort!$C731="","",INDEX(Pipeline_Calc!$B$2:$B$5251,Pipeline_Sort!$C731))</f>
        <v/>
      </c>
      <c r="B731">
        <f>IF(Pipeline_Sort!$C731="","",INDEX(Pipeline_Calc!$C$2:$C$5251,Pipeline_Sort!$C731))</f>
        <v/>
      </c>
      <c r="C731">
        <f>IF(Pipeline_Sort!$C731="","",INDEX(Pipeline_Calc!$D$2:$D$5251,Pipeline_Sort!$C731))</f>
        <v/>
      </c>
      <c r="D731">
        <f>IF(Pipeline_Sort!$C731="","",INDEX(Pipeline_Calc!$E$2:$E$5251,Pipeline_Sort!$C731))</f>
        <v/>
      </c>
      <c r="E731">
        <f>IF(Pipeline_Sort!$C731="","",INDEX(Pipeline_Calc!$F$2:$F$5251,Pipeline_Sort!$C731))</f>
        <v/>
      </c>
      <c r="F731">
        <f>IF(Pipeline_Sort!$C731="","",INDEX(Pipeline_Calc!$G$2:$G$5251,Pipeline_Sort!$C731))</f>
        <v/>
      </c>
      <c r="G731">
        <f>IF(Pipeline_Sort!$C731="","",INDEX(Pipeline_Calc!$H$2:$H$5251,Pipeline_Sort!$C731))</f>
        <v/>
      </c>
      <c r="H731">
        <f>IF(Pipeline_Sort!$C731="","",INDEX(Pipeline_Calc!$I$2:$I$5251,Pipeline_Sort!$C731))</f>
        <v/>
      </c>
      <c r="I731">
        <f>IF(Pipeline_Sort!$C731="","",INDEX(Pipeline_Calc!$J$2:$J$5251,Pipeline_Sort!$C731))</f>
        <v/>
      </c>
    </row>
    <row r="732">
      <c r="A732" s="22">
        <f>IF(Pipeline_Sort!$C732="","",INDEX(Pipeline_Calc!$B$2:$B$5251,Pipeline_Sort!$C732))</f>
        <v/>
      </c>
      <c r="B732">
        <f>IF(Pipeline_Sort!$C732="","",INDEX(Pipeline_Calc!$C$2:$C$5251,Pipeline_Sort!$C732))</f>
        <v/>
      </c>
      <c r="C732">
        <f>IF(Pipeline_Sort!$C732="","",INDEX(Pipeline_Calc!$D$2:$D$5251,Pipeline_Sort!$C732))</f>
        <v/>
      </c>
      <c r="D732">
        <f>IF(Pipeline_Sort!$C732="","",INDEX(Pipeline_Calc!$E$2:$E$5251,Pipeline_Sort!$C732))</f>
        <v/>
      </c>
      <c r="E732">
        <f>IF(Pipeline_Sort!$C732="","",INDEX(Pipeline_Calc!$F$2:$F$5251,Pipeline_Sort!$C732))</f>
        <v/>
      </c>
      <c r="F732">
        <f>IF(Pipeline_Sort!$C732="","",INDEX(Pipeline_Calc!$G$2:$G$5251,Pipeline_Sort!$C732))</f>
        <v/>
      </c>
      <c r="G732">
        <f>IF(Pipeline_Sort!$C732="","",INDEX(Pipeline_Calc!$H$2:$H$5251,Pipeline_Sort!$C732))</f>
        <v/>
      </c>
      <c r="H732">
        <f>IF(Pipeline_Sort!$C732="","",INDEX(Pipeline_Calc!$I$2:$I$5251,Pipeline_Sort!$C732))</f>
        <v/>
      </c>
      <c r="I732">
        <f>IF(Pipeline_Sort!$C732="","",INDEX(Pipeline_Calc!$J$2:$J$5251,Pipeline_Sort!$C732))</f>
        <v/>
      </c>
    </row>
    <row r="733">
      <c r="A733" s="22">
        <f>IF(Pipeline_Sort!$C733="","",INDEX(Pipeline_Calc!$B$2:$B$5251,Pipeline_Sort!$C733))</f>
        <v/>
      </c>
      <c r="B733">
        <f>IF(Pipeline_Sort!$C733="","",INDEX(Pipeline_Calc!$C$2:$C$5251,Pipeline_Sort!$C733))</f>
        <v/>
      </c>
      <c r="C733">
        <f>IF(Pipeline_Sort!$C733="","",INDEX(Pipeline_Calc!$D$2:$D$5251,Pipeline_Sort!$C733))</f>
        <v/>
      </c>
      <c r="D733">
        <f>IF(Pipeline_Sort!$C733="","",INDEX(Pipeline_Calc!$E$2:$E$5251,Pipeline_Sort!$C733))</f>
        <v/>
      </c>
      <c r="E733">
        <f>IF(Pipeline_Sort!$C733="","",INDEX(Pipeline_Calc!$F$2:$F$5251,Pipeline_Sort!$C733))</f>
        <v/>
      </c>
      <c r="F733">
        <f>IF(Pipeline_Sort!$C733="","",INDEX(Pipeline_Calc!$G$2:$G$5251,Pipeline_Sort!$C733))</f>
        <v/>
      </c>
      <c r="G733">
        <f>IF(Pipeline_Sort!$C733="","",INDEX(Pipeline_Calc!$H$2:$H$5251,Pipeline_Sort!$C733))</f>
        <v/>
      </c>
      <c r="H733">
        <f>IF(Pipeline_Sort!$C733="","",INDEX(Pipeline_Calc!$I$2:$I$5251,Pipeline_Sort!$C733))</f>
        <v/>
      </c>
      <c r="I733">
        <f>IF(Pipeline_Sort!$C733="","",INDEX(Pipeline_Calc!$J$2:$J$5251,Pipeline_Sort!$C733))</f>
        <v/>
      </c>
    </row>
    <row r="734">
      <c r="A734" s="22">
        <f>IF(Pipeline_Sort!$C734="","",INDEX(Pipeline_Calc!$B$2:$B$5251,Pipeline_Sort!$C734))</f>
        <v/>
      </c>
      <c r="B734">
        <f>IF(Pipeline_Sort!$C734="","",INDEX(Pipeline_Calc!$C$2:$C$5251,Pipeline_Sort!$C734))</f>
        <v/>
      </c>
      <c r="C734">
        <f>IF(Pipeline_Sort!$C734="","",INDEX(Pipeline_Calc!$D$2:$D$5251,Pipeline_Sort!$C734))</f>
        <v/>
      </c>
      <c r="D734">
        <f>IF(Pipeline_Sort!$C734="","",INDEX(Pipeline_Calc!$E$2:$E$5251,Pipeline_Sort!$C734))</f>
        <v/>
      </c>
      <c r="E734">
        <f>IF(Pipeline_Sort!$C734="","",INDEX(Pipeline_Calc!$F$2:$F$5251,Pipeline_Sort!$C734))</f>
        <v/>
      </c>
      <c r="F734">
        <f>IF(Pipeline_Sort!$C734="","",INDEX(Pipeline_Calc!$G$2:$G$5251,Pipeline_Sort!$C734))</f>
        <v/>
      </c>
      <c r="G734">
        <f>IF(Pipeline_Sort!$C734="","",INDEX(Pipeline_Calc!$H$2:$H$5251,Pipeline_Sort!$C734))</f>
        <v/>
      </c>
      <c r="H734">
        <f>IF(Pipeline_Sort!$C734="","",INDEX(Pipeline_Calc!$I$2:$I$5251,Pipeline_Sort!$C734))</f>
        <v/>
      </c>
      <c r="I734">
        <f>IF(Pipeline_Sort!$C734="","",INDEX(Pipeline_Calc!$J$2:$J$5251,Pipeline_Sort!$C734))</f>
        <v/>
      </c>
    </row>
    <row r="735">
      <c r="A735" s="22">
        <f>IF(Pipeline_Sort!$C735="","",INDEX(Pipeline_Calc!$B$2:$B$5251,Pipeline_Sort!$C735))</f>
        <v/>
      </c>
      <c r="B735">
        <f>IF(Pipeline_Sort!$C735="","",INDEX(Pipeline_Calc!$C$2:$C$5251,Pipeline_Sort!$C735))</f>
        <v/>
      </c>
      <c r="C735">
        <f>IF(Pipeline_Sort!$C735="","",INDEX(Pipeline_Calc!$D$2:$D$5251,Pipeline_Sort!$C735))</f>
        <v/>
      </c>
      <c r="D735">
        <f>IF(Pipeline_Sort!$C735="","",INDEX(Pipeline_Calc!$E$2:$E$5251,Pipeline_Sort!$C735))</f>
        <v/>
      </c>
      <c r="E735">
        <f>IF(Pipeline_Sort!$C735="","",INDEX(Pipeline_Calc!$F$2:$F$5251,Pipeline_Sort!$C735))</f>
        <v/>
      </c>
      <c r="F735">
        <f>IF(Pipeline_Sort!$C735="","",INDEX(Pipeline_Calc!$G$2:$G$5251,Pipeline_Sort!$C735))</f>
        <v/>
      </c>
      <c r="G735">
        <f>IF(Pipeline_Sort!$C735="","",INDEX(Pipeline_Calc!$H$2:$H$5251,Pipeline_Sort!$C735))</f>
        <v/>
      </c>
      <c r="H735">
        <f>IF(Pipeline_Sort!$C735="","",INDEX(Pipeline_Calc!$I$2:$I$5251,Pipeline_Sort!$C735))</f>
        <v/>
      </c>
      <c r="I735">
        <f>IF(Pipeline_Sort!$C735="","",INDEX(Pipeline_Calc!$J$2:$J$5251,Pipeline_Sort!$C735))</f>
        <v/>
      </c>
    </row>
    <row r="736">
      <c r="A736" s="22">
        <f>IF(Pipeline_Sort!$C736="","",INDEX(Pipeline_Calc!$B$2:$B$5251,Pipeline_Sort!$C736))</f>
        <v/>
      </c>
      <c r="B736">
        <f>IF(Pipeline_Sort!$C736="","",INDEX(Pipeline_Calc!$C$2:$C$5251,Pipeline_Sort!$C736))</f>
        <v/>
      </c>
      <c r="C736">
        <f>IF(Pipeline_Sort!$C736="","",INDEX(Pipeline_Calc!$D$2:$D$5251,Pipeline_Sort!$C736))</f>
        <v/>
      </c>
      <c r="D736">
        <f>IF(Pipeline_Sort!$C736="","",INDEX(Pipeline_Calc!$E$2:$E$5251,Pipeline_Sort!$C736))</f>
        <v/>
      </c>
      <c r="E736">
        <f>IF(Pipeline_Sort!$C736="","",INDEX(Pipeline_Calc!$F$2:$F$5251,Pipeline_Sort!$C736))</f>
        <v/>
      </c>
      <c r="F736">
        <f>IF(Pipeline_Sort!$C736="","",INDEX(Pipeline_Calc!$G$2:$G$5251,Pipeline_Sort!$C736))</f>
        <v/>
      </c>
      <c r="G736">
        <f>IF(Pipeline_Sort!$C736="","",INDEX(Pipeline_Calc!$H$2:$H$5251,Pipeline_Sort!$C736))</f>
        <v/>
      </c>
      <c r="H736">
        <f>IF(Pipeline_Sort!$C736="","",INDEX(Pipeline_Calc!$I$2:$I$5251,Pipeline_Sort!$C736))</f>
        <v/>
      </c>
      <c r="I736">
        <f>IF(Pipeline_Sort!$C736="","",INDEX(Pipeline_Calc!$J$2:$J$5251,Pipeline_Sort!$C736))</f>
        <v/>
      </c>
    </row>
    <row r="737">
      <c r="A737" s="22">
        <f>IF(Pipeline_Sort!$C737="","",INDEX(Pipeline_Calc!$B$2:$B$5251,Pipeline_Sort!$C737))</f>
        <v/>
      </c>
      <c r="B737">
        <f>IF(Pipeline_Sort!$C737="","",INDEX(Pipeline_Calc!$C$2:$C$5251,Pipeline_Sort!$C737))</f>
        <v/>
      </c>
      <c r="C737">
        <f>IF(Pipeline_Sort!$C737="","",INDEX(Pipeline_Calc!$D$2:$D$5251,Pipeline_Sort!$C737))</f>
        <v/>
      </c>
      <c r="D737">
        <f>IF(Pipeline_Sort!$C737="","",INDEX(Pipeline_Calc!$E$2:$E$5251,Pipeline_Sort!$C737))</f>
        <v/>
      </c>
      <c r="E737">
        <f>IF(Pipeline_Sort!$C737="","",INDEX(Pipeline_Calc!$F$2:$F$5251,Pipeline_Sort!$C737))</f>
        <v/>
      </c>
      <c r="F737">
        <f>IF(Pipeline_Sort!$C737="","",INDEX(Pipeline_Calc!$G$2:$G$5251,Pipeline_Sort!$C737))</f>
        <v/>
      </c>
      <c r="G737">
        <f>IF(Pipeline_Sort!$C737="","",INDEX(Pipeline_Calc!$H$2:$H$5251,Pipeline_Sort!$C737))</f>
        <v/>
      </c>
      <c r="H737">
        <f>IF(Pipeline_Sort!$C737="","",INDEX(Pipeline_Calc!$I$2:$I$5251,Pipeline_Sort!$C737))</f>
        <v/>
      </c>
      <c r="I737">
        <f>IF(Pipeline_Sort!$C737="","",INDEX(Pipeline_Calc!$J$2:$J$5251,Pipeline_Sort!$C737))</f>
        <v/>
      </c>
    </row>
    <row r="738">
      <c r="A738" s="22">
        <f>IF(Pipeline_Sort!$C738="","",INDEX(Pipeline_Calc!$B$2:$B$5251,Pipeline_Sort!$C738))</f>
        <v/>
      </c>
      <c r="B738">
        <f>IF(Pipeline_Sort!$C738="","",INDEX(Pipeline_Calc!$C$2:$C$5251,Pipeline_Sort!$C738))</f>
        <v/>
      </c>
      <c r="C738">
        <f>IF(Pipeline_Sort!$C738="","",INDEX(Pipeline_Calc!$D$2:$D$5251,Pipeline_Sort!$C738))</f>
        <v/>
      </c>
      <c r="D738">
        <f>IF(Pipeline_Sort!$C738="","",INDEX(Pipeline_Calc!$E$2:$E$5251,Pipeline_Sort!$C738))</f>
        <v/>
      </c>
      <c r="E738">
        <f>IF(Pipeline_Sort!$C738="","",INDEX(Pipeline_Calc!$F$2:$F$5251,Pipeline_Sort!$C738))</f>
        <v/>
      </c>
      <c r="F738">
        <f>IF(Pipeline_Sort!$C738="","",INDEX(Pipeline_Calc!$G$2:$G$5251,Pipeline_Sort!$C738))</f>
        <v/>
      </c>
      <c r="G738">
        <f>IF(Pipeline_Sort!$C738="","",INDEX(Pipeline_Calc!$H$2:$H$5251,Pipeline_Sort!$C738))</f>
        <v/>
      </c>
      <c r="H738">
        <f>IF(Pipeline_Sort!$C738="","",INDEX(Pipeline_Calc!$I$2:$I$5251,Pipeline_Sort!$C738))</f>
        <v/>
      </c>
      <c r="I738">
        <f>IF(Pipeline_Sort!$C738="","",INDEX(Pipeline_Calc!$J$2:$J$5251,Pipeline_Sort!$C738))</f>
        <v/>
      </c>
    </row>
    <row r="739">
      <c r="A739" s="22">
        <f>IF(Pipeline_Sort!$C739="","",INDEX(Pipeline_Calc!$B$2:$B$5251,Pipeline_Sort!$C739))</f>
        <v/>
      </c>
      <c r="B739">
        <f>IF(Pipeline_Sort!$C739="","",INDEX(Pipeline_Calc!$C$2:$C$5251,Pipeline_Sort!$C739))</f>
        <v/>
      </c>
      <c r="C739">
        <f>IF(Pipeline_Sort!$C739="","",INDEX(Pipeline_Calc!$D$2:$D$5251,Pipeline_Sort!$C739))</f>
        <v/>
      </c>
      <c r="D739">
        <f>IF(Pipeline_Sort!$C739="","",INDEX(Pipeline_Calc!$E$2:$E$5251,Pipeline_Sort!$C739))</f>
        <v/>
      </c>
      <c r="E739">
        <f>IF(Pipeline_Sort!$C739="","",INDEX(Pipeline_Calc!$F$2:$F$5251,Pipeline_Sort!$C739))</f>
        <v/>
      </c>
      <c r="F739">
        <f>IF(Pipeline_Sort!$C739="","",INDEX(Pipeline_Calc!$G$2:$G$5251,Pipeline_Sort!$C739))</f>
        <v/>
      </c>
      <c r="G739">
        <f>IF(Pipeline_Sort!$C739="","",INDEX(Pipeline_Calc!$H$2:$H$5251,Pipeline_Sort!$C739))</f>
        <v/>
      </c>
      <c r="H739">
        <f>IF(Pipeline_Sort!$C739="","",INDEX(Pipeline_Calc!$I$2:$I$5251,Pipeline_Sort!$C739))</f>
        <v/>
      </c>
      <c r="I739">
        <f>IF(Pipeline_Sort!$C739="","",INDEX(Pipeline_Calc!$J$2:$J$5251,Pipeline_Sort!$C739))</f>
        <v/>
      </c>
    </row>
    <row r="740">
      <c r="A740" s="22">
        <f>IF(Pipeline_Sort!$C740="","",INDEX(Pipeline_Calc!$B$2:$B$5251,Pipeline_Sort!$C740))</f>
        <v/>
      </c>
      <c r="B740">
        <f>IF(Pipeline_Sort!$C740="","",INDEX(Pipeline_Calc!$C$2:$C$5251,Pipeline_Sort!$C740))</f>
        <v/>
      </c>
      <c r="C740">
        <f>IF(Pipeline_Sort!$C740="","",INDEX(Pipeline_Calc!$D$2:$D$5251,Pipeline_Sort!$C740))</f>
        <v/>
      </c>
      <c r="D740">
        <f>IF(Pipeline_Sort!$C740="","",INDEX(Pipeline_Calc!$E$2:$E$5251,Pipeline_Sort!$C740))</f>
        <v/>
      </c>
      <c r="E740">
        <f>IF(Pipeline_Sort!$C740="","",INDEX(Pipeline_Calc!$F$2:$F$5251,Pipeline_Sort!$C740))</f>
        <v/>
      </c>
      <c r="F740">
        <f>IF(Pipeline_Sort!$C740="","",INDEX(Pipeline_Calc!$G$2:$G$5251,Pipeline_Sort!$C740))</f>
        <v/>
      </c>
      <c r="G740">
        <f>IF(Pipeline_Sort!$C740="","",INDEX(Pipeline_Calc!$H$2:$H$5251,Pipeline_Sort!$C740))</f>
        <v/>
      </c>
      <c r="H740">
        <f>IF(Pipeline_Sort!$C740="","",INDEX(Pipeline_Calc!$I$2:$I$5251,Pipeline_Sort!$C740))</f>
        <v/>
      </c>
      <c r="I740">
        <f>IF(Pipeline_Sort!$C740="","",INDEX(Pipeline_Calc!$J$2:$J$5251,Pipeline_Sort!$C740))</f>
        <v/>
      </c>
    </row>
    <row r="741">
      <c r="A741" s="22">
        <f>IF(Pipeline_Sort!$C741="","",INDEX(Pipeline_Calc!$B$2:$B$5251,Pipeline_Sort!$C741))</f>
        <v/>
      </c>
      <c r="B741">
        <f>IF(Pipeline_Sort!$C741="","",INDEX(Pipeline_Calc!$C$2:$C$5251,Pipeline_Sort!$C741))</f>
        <v/>
      </c>
      <c r="C741">
        <f>IF(Pipeline_Sort!$C741="","",INDEX(Pipeline_Calc!$D$2:$D$5251,Pipeline_Sort!$C741))</f>
        <v/>
      </c>
      <c r="D741">
        <f>IF(Pipeline_Sort!$C741="","",INDEX(Pipeline_Calc!$E$2:$E$5251,Pipeline_Sort!$C741))</f>
        <v/>
      </c>
      <c r="E741">
        <f>IF(Pipeline_Sort!$C741="","",INDEX(Pipeline_Calc!$F$2:$F$5251,Pipeline_Sort!$C741))</f>
        <v/>
      </c>
      <c r="F741">
        <f>IF(Pipeline_Sort!$C741="","",INDEX(Pipeline_Calc!$G$2:$G$5251,Pipeline_Sort!$C741))</f>
        <v/>
      </c>
      <c r="G741">
        <f>IF(Pipeline_Sort!$C741="","",INDEX(Pipeline_Calc!$H$2:$H$5251,Pipeline_Sort!$C741))</f>
        <v/>
      </c>
      <c r="H741">
        <f>IF(Pipeline_Sort!$C741="","",INDEX(Pipeline_Calc!$I$2:$I$5251,Pipeline_Sort!$C741))</f>
        <v/>
      </c>
      <c r="I741">
        <f>IF(Pipeline_Sort!$C741="","",INDEX(Pipeline_Calc!$J$2:$J$5251,Pipeline_Sort!$C741))</f>
        <v/>
      </c>
    </row>
    <row r="742">
      <c r="A742" s="22">
        <f>IF(Pipeline_Sort!$C742="","",INDEX(Pipeline_Calc!$B$2:$B$5251,Pipeline_Sort!$C742))</f>
        <v/>
      </c>
      <c r="B742">
        <f>IF(Pipeline_Sort!$C742="","",INDEX(Pipeline_Calc!$C$2:$C$5251,Pipeline_Sort!$C742))</f>
        <v/>
      </c>
      <c r="C742">
        <f>IF(Pipeline_Sort!$C742="","",INDEX(Pipeline_Calc!$D$2:$D$5251,Pipeline_Sort!$C742))</f>
        <v/>
      </c>
      <c r="D742">
        <f>IF(Pipeline_Sort!$C742="","",INDEX(Pipeline_Calc!$E$2:$E$5251,Pipeline_Sort!$C742))</f>
        <v/>
      </c>
      <c r="E742">
        <f>IF(Pipeline_Sort!$C742="","",INDEX(Pipeline_Calc!$F$2:$F$5251,Pipeline_Sort!$C742))</f>
        <v/>
      </c>
      <c r="F742">
        <f>IF(Pipeline_Sort!$C742="","",INDEX(Pipeline_Calc!$G$2:$G$5251,Pipeline_Sort!$C742))</f>
        <v/>
      </c>
      <c r="G742">
        <f>IF(Pipeline_Sort!$C742="","",INDEX(Pipeline_Calc!$H$2:$H$5251,Pipeline_Sort!$C742))</f>
        <v/>
      </c>
      <c r="H742">
        <f>IF(Pipeline_Sort!$C742="","",INDEX(Pipeline_Calc!$I$2:$I$5251,Pipeline_Sort!$C742))</f>
        <v/>
      </c>
      <c r="I742">
        <f>IF(Pipeline_Sort!$C742="","",INDEX(Pipeline_Calc!$J$2:$J$5251,Pipeline_Sort!$C742))</f>
        <v/>
      </c>
    </row>
    <row r="743">
      <c r="A743" s="22">
        <f>IF(Pipeline_Sort!$C743="","",INDEX(Pipeline_Calc!$B$2:$B$5251,Pipeline_Sort!$C743))</f>
        <v/>
      </c>
      <c r="B743">
        <f>IF(Pipeline_Sort!$C743="","",INDEX(Pipeline_Calc!$C$2:$C$5251,Pipeline_Sort!$C743))</f>
        <v/>
      </c>
      <c r="C743">
        <f>IF(Pipeline_Sort!$C743="","",INDEX(Pipeline_Calc!$D$2:$D$5251,Pipeline_Sort!$C743))</f>
        <v/>
      </c>
      <c r="D743">
        <f>IF(Pipeline_Sort!$C743="","",INDEX(Pipeline_Calc!$E$2:$E$5251,Pipeline_Sort!$C743))</f>
        <v/>
      </c>
      <c r="E743">
        <f>IF(Pipeline_Sort!$C743="","",INDEX(Pipeline_Calc!$F$2:$F$5251,Pipeline_Sort!$C743))</f>
        <v/>
      </c>
      <c r="F743">
        <f>IF(Pipeline_Sort!$C743="","",INDEX(Pipeline_Calc!$G$2:$G$5251,Pipeline_Sort!$C743))</f>
        <v/>
      </c>
      <c r="G743">
        <f>IF(Pipeline_Sort!$C743="","",INDEX(Pipeline_Calc!$H$2:$H$5251,Pipeline_Sort!$C743))</f>
        <v/>
      </c>
      <c r="H743">
        <f>IF(Pipeline_Sort!$C743="","",INDEX(Pipeline_Calc!$I$2:$I$5251,Pipeline_Sort!$C743))</f>
        <v/>
      </c>
      <c r="I743">
        <f>IF(Pipeline_Sort!$C743="","",INDEX(Pipeline_Calc!$J$2:$J$5251,Pipeline_Sort!$C743))</f>
        <v/>
      </c>
    </row>
    <row r="744">
      <c r="A744" s="22">
        <f>IF(Pipeline_Sort!$C744="","",INDEX(Pipeline_Calc!$B$2:$B$5251,Pipeline_Sort!$C744))</f>
        <v/>
      </c>
      <c r="B744">
        <f>IF(Pipeline_Sort!$C744="","",INDEX(Pipeline_Calc!$C$2:$C$5251,Pipeline_Sort!$C744))</f>
        <v/>
      </c>
      <c r="C744">
        <f>IF(Pipeline_Sort!$C744="","",INDEX(Pipeline_Calc!$D$2:$D$5251,Pipeline_Sort!$C744))</f>
        <v/>
      </c>
      <c r="D744">
        <f>IF(Pipeline_Sort!$C744="","",INDEX(Pipeline_Calc!$E$2:$E$5251,Pipeline_Sort!$C744))</f>
        <v/>
      </c>
      <c r="E744">
        <f>IF(Pipeline_Sort!$C744="","",INDEX(Pipeline_Calc!$F$2:$F$5251,Pipeline_Sort!$C744))</f>
        <v/>
      </c>
      <c r="F744">
        <f>IF(Pipeline_Sort!$C744="","",INDEX(Pipeline_Calc!$G$2:$G$5251,Pipeline_Sort!$C744))</f>
        <v/>
      </c>
      <c r="G744">
        <f>IF(Pipeline_Sort!$C744="","",INDEX(Pipeline_Calc!$H$2:$H$5251,Pipeline_Sort!$C744))</f>
        <v/>
      </c>
      <c r="H744">
        <f>IF(Pipeline_Sort!$C744="","",INDEX(Pipeline_Calc!$I$2:$I$5251,Pipeline_Sort!$C744))</f>
        <v/>
      </c>
      <c r="I744">
        <f>IF(Pipeline_Sort!$C744="","",INDEX(Pipeline_Calc!$J$2:$J$5251,Pipeline_Sort!$C744))</f>
        <v/>
      </c>
    </row>
    <row r="745">
      <c r="A745" s="22">
        <f>IF(Pipeline_Sort!$C745="","",INDEX(Pipeline_Calc!$B$2:$B$5251,Pipeline_Sort!$C745))</f>
        <v/>
      </c>
      <c r="B745">
        <f>IF(Pipeline_Sort!$C745="","",INDEX(Pipeline_Calc!$C$2:$C$5251,Pipeline_Sort!$C745))</f>
        <v/>
      </c>
      <c r="C745">
        <f>IF(Pipeline_Sort!$C745="","",INDEX(Pipeline_Calc!$D$2:$D$5251,Pipeline_Sort!$C745))</f>
        <v/>
      </c>
      <c r="D745">
        <f>IF(Pipeline_Sort!$C745="","",INDEX(Pipeline_Calc!$E$2:$E$5251,Pipeline_Sort!$C745))</f>
        <v/>
      </c>
      <c r="E745">
        <f>IF(Pipeline_Sort!$C745="","",INDEX(Pipeline_Calc!$F$2:$F$5251,Pipeline_Sort!$C745))</f>
        <v/>
      </c>
      <c r="F745">
        <f>IF(Pipeline_Sort!$C745="","",INDEX(Pipeline_Calc!$G$2:$G$5251,Pipeline_Sort!$C745))</f>
        <v/>
      </c>
      <c r="G745">
        <f>IF(Pipeline_Sort!$C745="","",INDEX(Pipeline_Calc!$H$2:$H$5251,Pipeline_Sort!$C745))</f>
        <v/>
      </c>
      <c r="H745">
        <f>IF(Pipeline_Sort!$C745="","",INDEX(Pipeline_Calc!$I$2:$I$5251,Pipeline_Sort!$C745))</f>
        <v/>
      </c>
      <c r="I745">
        <f>IF(Pipeline_Sort!$C745="","",INDEX(Pipeline_Calc!$J$2:$J$5251,Pipeline_Sort!$C745))</f>
        <v/>
      </c>
    </row>
    <row r="746">
      <c r="A746" s="22">
        <f>IF(Pipeline_Sort!$C746="","",INDEX(Pipeline_Calc!$B$2:$B$5251,Pipeline_Sort!$C746))</f>
        <v/>
      </c>
      <c r="B746">
        <f>IF(Pipeline_Sort!$C746="","",INDEX(Pipeline_Calc!$C$2:$C$5251,Pipeline_Sort!$C746))</f>
        <v/>
      </c>
      <c r="C746">
        <f>IF(Pipeline_Sort!$C746="","",INDEX(Pipeline_Calc!$D$2:$D$5251,Pipeline_Sort!$C746))</f>
        <v/>
      </c>
      <c r="D746">
        <f>IF(Pipeline_Sort!$C746="","",INDEX(Pipeline_Calc!$E$2:$E$5251,Pipeline_Sort!$C746))</f>
        <v/>
      </c>
      <c r="E746">
        <f>IF(Pipeline_Sort!$C746="","",INDEX(Pipeline_Calc!$F$2:$F$5251,Pipeline_Sort!$C746))</f>
        <v/>
      </c>
      <c r="F746">
        <f>IF(Pipeline_Sort!$C746="","",INDEX(Pipeline_Calc!$G$2:$G$5251,Pipeline_Sort!$C746))</f>
        <v/>
      </c>
      <c r="G746">
        <f>IF(Pipeline_Sort!$C746="","",INDEX(Pipeline_Calc!$H$2:$H$5251,Pipeline_Sort!$C746))</f>
        <v/>
      </c>
      <c r="H746">
        <f>IF(Pipeline_Sort!$C746="","",INDEX(Pipeline_Calc!$I$2:$I$5251,Pipeline_Sort!$C746))</f>
        <v/>
      </c>
      <c r="I746">
        <f>IF(Pipeline_Sort!$C746="","",INDEX(Pipeline_Calc!$J$2:$J$5251,Pipeline_Sort!$C746))</f>
        <v/>
      </c>
    </row>
    <row r="747">
      <c r="A747" s="22">
        <f>IF(Pipeline_Sort!$C747="","",INDEX(Pipeline_Calc!$B$2:$B$5251,Pipeline_Sort!$C747))</f>
        <v/>
      </c>
      <c r="B747">
        <f>IF(Pipeline_Sort!$C747="","",INDEX(Pipeline_Calc!$C$2:$C$5251,Pipeline_Sort!$C747))</f>
        <v/>
      </c>
      <c r="C747">
        <f>IF(Pipeline_Sort!$C747="","",INDEX(Pipeline_Calc!$D$2:$D$5251,Pipeline_Sort!$C747))</f>
        <v/>
      </c>
      <c r="D747">
        <f>IF(Pipeline_Sort!$C747="","",INDEX(Pipeline_Calc!$E$2:$E$5251,Pipeline_Sort!$C747))</f>
        <v/>
      </c>
      <c r="E747">
        <f>IF(Pipeline_Sort!$C747="","",INDEX(Pipeline_Calc!$F$2:$F$5251,Pipeline_Sort!$C747))</f>
        <v/>
      </c>
      <c r="F747">
        <f>IF(Pipeline_Sort!$C747="","",INDEX(Pipeline_Calc!$G$2:$G$5251,Pipeline_Sort!$C747))</f>
        <v/>
      </c>
      <c r="G747">
        <f>IF(Pipeline_Sort!$C747="","",INDEX(Pipeline_Calc!$H$2:$H$5251,Pipeline_Sort!$C747))</f>
        <v/>
      </c>
      <c r="H747">
        <f>IF(Pipeline_Sort!$C747="","",INDEX(Pipeline_Calc!$I$2:$I$5251,Pipeline_Sort!$C747))</f>
        <v/>
      </c>
      <c r="I747">
        <f>IF(Pipeline_Sort!$C747="","",INDEX(Pipeline_Calc!$J$2:$J$5251,Pipeline_Sort!$C747))</f>
        <v/>
      </c>
    </row>
    <row r="748">
      <c r="A748" s="22">
        <f>IF(Pipeline_Sort!$C748="","",INDEX(Pipeline_Calc!$B$2:$B$5251,Pipeline_Sort!$C748))</f>
        <v/>
      </c>
      <c r="B748">
        <f>IF(Pipeline_Sort!$C748="","",INDEX(Pipeline_Calc!$C$2:$C$5251,Pipeline_Sort!$C748))</f>
        <v/>
      </c>
      <c r="C748">
        <f>IF(Pipeline_Sort!$C748="","",INDEX(Pipeline_Calc!$D$2:$D$5251,Pipeline_Sort!$C748))</f>
        <v/>
      </c>
      <c r="D748">
        <f>IF(Pipeline_Sort!$C748="","",INDEX(Pipeline_Calc!$E$2:$E$5251,Pipeline_Sort!$C748))</f>
        <v/>
      </c>
      <c r="E748">
        <f>IF(Pipeline_Sort!$C748="","",INDEX(Pipeline_Calc!$F$2:$F$5251,Pipeline_Sort!$C748))</f>
        <v/>
      </c>
      <c r="F748">
        <f>IF(Pipeline_Sort!$C748="","",INDEX(Pipeline_Calc!$G$2:$G$5251,Pipeline_Sort!$C748))</f>
        <v/>
      </c>
      <c r="G748">
        <f>IF(Pipeline_Sort!$C748="","",INDEX(Pipeline_Calc!$H$2:$H$5251,Pipeline_Sort!$C748))</f>
        <v/>
      </c>
      <c r="H748">
        <f>IF(Pipeline_Sort!$C748="","",INDEX(Pipeline_Calc!$I$2:$I$5251,Pipeline_Sort!$C748))</f>
        <v/>
      </c>
      <c r="I748">
        <f>IF(Pipeline_Sort!$C748="","",INDEX(Pipeline_Calc!$J$2:$J$5251,Pipeline_Sort!$C748))</f>
        <v/>
      </c>
    </row>
    <row r="749">
      <c r="A749" s="22">
        <f>IF(Pipeline_Sort!$C749="","",INDEX(Pipeline_Calc!$B$2:$B$5251,Pipeline_Sort!$C749))</f>
        <v/>
      </c>
      <c r="B749">
        <f>IF(Pipeline_Sort!$C749="","",INDEX(Pipeline_Calc!$C$2:$C$5251,Pipeline_Sort!$C749))</f>
        <v/>
      </c>
      <c r="C749">
        <f>IF(Pipeline_Sort!$C749="","",INDEX(Pipeline_Calc!$D$2:$D$5251,Pipeline_Sort!$C749))</f>
        <v/>
      </c>
      <c r="D749">
        <f>IF(Pipeline_Sort!$C749="","",INDEX(Pipeline_Calc!$E$2:$E$5251,Pipeline_Sort!$C749))</f>
        <v/>
      </c>
      <c r="E749">
        <f>IF(Pipeline_Sort!$C749="","",INDEX(Pipeline_Calc!$F$2:$F$5251,Pipeline_Sort!$C749))</f>
        <v/>
      </c>
      <c r="F749">
        <f>IF(Pipeline_Sort!$C749="","",INDEX(Pipeline_Calc!$G$2:$G$5251,Pipeline_Sort!$C749))</f>
        <v/>
      </c>
      <c r="G749">
        <f>IF(Pipeline_Sort!$C749="","",INDEX(Pipeline_Calc!$H$2:$H$5251,Pipeline_Sort!$C749))</f>
        <v/>
      </c>
      <c r="H749">
        <f>IF(Pipeline_Sort!$C749="","",INDEX(Pipeline_Calc!$I$2:$I$5251,Pipeline_Sort!$C749))</f>
        <v/>
      </c>
      <c r="I749">
        <f>IF(Pipeline_Sort!$C749="","",INDEX(Pipeline_Calc!$J$2:$J$5251,Pipeline_Sort!$C749))</f>
        <v/>
      </c>
    </row>
    <row r="750">
      <c r="A750" s="22">
        <f>IF(Pipeline_Sort!$C750="","",INDEX(Pipeline_Calc!$B$2:$B$5251,Pipeline_Sort!$C750))</f>
        <v/>
      </c>
      <c r="B750">
        <f>IF(Pipeline_Sort!$C750="","",INDEX(Pipeline_Calc!$C$2:$C$5251,Pipeline_Sort!$C750))</f>
        <v/>
      </c>
      <c r="C750">
        <f>IF(Pipeline_Sort!$C750="","",INDEX(Pipeline_Calc!$D$2:$D$5251,Pipeline_Sort!$C750))</f>
        <v/>
      </c>
      <c r="D750">
        <f>IF(Pipeline_Sort!$C750="","",INDEX(Pipeline_Calc!$E$2:$E$5251,Pipeline_Sort!$C750))</f>
        <v/>
      </c>
      <c r="E750">
        <f>IF(Pipeline_Sort!$C750="","",INDEX(Pipeline_Calc!$F$2:$F$5251,Pipeline_Sort!$C750))</f>
        <v/>
      </c>
      <c r="F750">
        <f>IF(Pipeline_Sort!$C750="","",INDEX(Pipeline_Calc!$G$2:$G$5251,Pipeline_Sort!$C750))</f>
        <v/>
      </c>
      <c r="G750">
        <f>IF(Pipeline_Sort!$C750="","",INDEX(Pipeline_Calc!$H$2:$H$5251,Pipeline_Sort!$C750))</f>
        <v/>
      </c>
      <c r="H750">
        <f>IF(Pipeline_Sort!$C750="","",INDEX(Pipeline_Calc!$I$2:$I$5251,Pipeline_Sort!$C750))</f>
        <v/>
      </c>
      <c r="I750">
        <f>IF(Pipeline_Sort!$C750="","",INDEX(Pipeline_Calc!$J$2:$J$5251,Pipeline_Sort!$C750))</f>
        <v/>
      </c>
    </row>
    <row r="751">
      <c r="A751" s="22">
        <f>IF(Pipeline_Sort!$C751="","",INDEX(Pipeline_Calc!$B$2:$B$5251,Pipeline_Sort!$C751))</f>
        <v/>
      </c>
      <c r="B751">
        <f>IF(Pipeline_Sort!$C751="","",INDEX(Pipeline_Calc!$C$2:$C$5251,Pipeline_Sort!$C751))</f>
        <v/>
      </c>
      <c r="C751">
        <f>IF(Pipeline_Sort!$C751="","",INDEX(Pipeline_Calc!$D$2:$D$5251,Pipeline_Sort!$C751))</f>
        <v/>
      </c>
      <c r="D751">
        <f>IF(Pipeline_Sort!$C751="","",INDEX(Pipeline_Calc!$E$2:$E$5251,Pipeline_Sort!$C751))</f>
        <v/>
      </c>
      <c r="E751">
        <f>IF(Pipeline_Sort!$C751="","",INDEX(Pipeline_Calc!$F$2:$F$5251,Pipeline_Sort!$C751))</f>
        <v/>
      </c>
      <c r="F751">
        <f>IF(Pipeline_Sort!$C751="","",INDEX(Pipeline_Calc!$G$2:$G$5251,Pipeline_Sort!$C751))</f>
        <v/>
      </c>
      <c r="G751">
        <f>IF(Pipeline_Sort!$C751="","",INDEX(Pipeline_Calc!$H$2:$H$5251,Pipeline_Sort!$C751))</f>
        <v/>
      </c>
      <c r="H751">
        <f>IF(Pipeline_Sort!$C751="","",INDEX(Pipeline_Calc!$I$2:$I$5251,Pipeline_Sort!$C751))</f>
        <v/>
      </c>
      <c r="I751">
        <f>IF(Pipeline_Sort!$C751="","",INDEX(Pipeline_Calc!$J$2:$J$5251,Pipeline_Sort!$C751))</f>
        <v/>
      </c>
    </row>
    <row r="752">
      <c r="A752" s="22">
        <f>IF(Pipeline_Sort!$C752="","",INDEX(Pipeline_Calc!$B$2:$B$5251,Pipeline_Sort!$C752))</f>
        <v/>
      </c>
      <c r="B752">
        <f>IF(Pipeline_Sort!$C752="","",INDEX(Pipeline_Calc!$C$2:$C$5251,Pipeline_Sort!$C752))</f>
        <v/>
      </c>
      <c r="C752">
        <f>IF(Pipeline_Sort!$C752="","",INDEX(Pipeline_Calc!$D$2:$D$5251,Pipeline_Sort!$C752))</f>
        <v/>
      </c>
      <c r="D752">
        <f>IF(Pipeline_Sort!$C752="","",INDEX(Pipeline_Calc!$E$2:$E$5251,Pipeline_Sort!$C752))</f>
        <v/>
      </c>
      <c r="E752">
        <f>IF(Pipeline_Sort!$C752="","",INDEX(Pipeline_Calc!$F$2:$F$5251,Pipeline_Sort!$C752))</f>
        <v/>
      </c>
      <c r="F752">
        <f>IF(Pipeline_Sort!$C752="","",INDEX(Pipeline_Calc!$G$2:$G$5251,Pipeline_Sort!$C752))</f>
        <v/>
      </c>
      <c r="G752">
        <f>IF(Pipeline_Sort!$C752="","",INDEX(Pipeline_Calc!$H$2:$H$5251,Pipeline_Sort!$C752))</f>
        <v/>
      </c>
      <c r="H752">
        <f>IF(Pipeline_Sort!$C752="","",INDEX(Pipeline_Calc!$I$2:$I$5251,Pipeline_Sort!$C752))</f>
        <v/>
      </c>
      <c r="I752">
        <f>IF(Pipeline_Sort!$C752="","",INDEX(Pipeline_Calc!$J$2:$J$5251,Pipeline_Sort!$C752))</f>
        <v/>
      </c>
    </row>
    <row r="753">
      <c r="A753" s="22">
        <f>IF(Pipeline_Sort!$C753="","",INDEX(Pipeline_Calc!$B$2:$B$5251,Pipeline_Sort!$C753))</f>
        <v/>
      </c>
      <c r="B753">
        <f>IF(Pipeline_Sort!$C753="","",INDEX(Pipeline_Calc!$C$2:$C$5251,Pipeline_Sort!$C753))</f>
        <v/>
      </c>
      <c r="C753">
        <f>IF(Pipeline_Sort!$C753="","",INDEX(Pipeline_Calc!$D$2:$D$5251,Pipeline_Sort!$C753))</f>
        <v/>
      </c>
      <c r="D753">
        <f>IF(Pipeline_Sort!$C753="","",INDEX(Pipeline_Calc!$E$2:$E$5251,Pipeline_Sort!$C753))</f>
        <v/>
      </c>
      <c r="E753">
        <f>IF(Pipeline_Sort!$C753="","",INDEX(Pipeline_Calc!$F$2:$F$5251,Pipeline_Sort!$C753))</f>
        <v/>
      </c>
      <c r="F753">
        <f>IF(Pipeline_Sort!$C753="","",INDEX(Pipeline_Calc!$G$2:$G$5251,Pipeline_Sort!$C753))</f>
        <v/>
      </c>
      <c r="G753">
        <f>IF(Pipeline_Sort!$C753="","",INDEX(Pipeline_Calc!$H$2:$H$5251,Pipeline_Sort!$C753))</f>
        <v/>
      </c>
      <c r="H753">
        <f>IF(Pipeline_Sort!$C753="","",INDEX(Pipeline_Calc!$I$2:$I$5251,Pipeline_Sort!$C753))</f>
        <v/>
      </c>
      <c r="I753">
        <f>IF(Pipeline_Sort!$C753="","",INDEX(Pipeline_Calc!$J$2:$J$5251,Pipeline_Sort!$C753))</f>
        <v/>
      </c>
    </row>
    <row r="754">
      <c r="A754" s="22">
        <f>IF(Pipeline_Sort!$C754="","",INDEX(Pipeline_Calc!$B$2:$B$5251,Pipeline_Sort!$C754))</f>
        <v/>
      </c>
      <c r="B754">
        <f>IF(Pipeline_Sort!$C754="","",INDEX(Pipeline_Calc!$C$2:$C$5251,Pipeline_Sort!$C754))</f>
        <v/>
      </c>
      <c r="C754">
        <f>IF(Pipeline_Sort!$C754="","",INDEX(Pipeline_Calc!$D$2:$D$5251,Pipeline_Sort!$C754))</f>
        <v/>
      </c>
      <c r="D754">
        <f>IF(Pipeline_Sort!$C754="","",INDEX(Pipeline_Calc!$E$2:$E$5251,Pipeline_Sort!$C754))</f>
        <v/>
      </c>
      <c r="E754">
        <f>IF(Pipeline_Sort!$C754="","",INDEX(Pipeline_Calc!$F$2:$F$5251,Pipeline_Sort!$C754))</f>
        <v/>
      </c>
      <c r="F754">
        <f>IF(Pipeline_Sort!$C754="","",INDEX(Pipeline_Calc!$G$2:$G$5251,Pipeline_Sort!$C754))</f>
        <v/>
      </c>
      <c r="G754">
        <f>IF(Pipeline_Sort!$C754="","",INDEX(Pipeline_Calc!$H$2:$H$5251,Pipeline_Sort!$C754))</f>
        <v/>
      </c>
      <c r="H754">
        <f>IF(Pipeline_Sort!$C754="","",INDEX(Pipeline_Calc!$I$2:$I$5251,Pipeline_Sort!$C754))</f>
        <v/>
      </c>
      <c r="I754">
        <f>IF(Pipeline_Sort!$C754="","",INDEX(Pipeline_Calc!$J$2:$J$5251,Pipeline_Sort!$C754))</f>
        <v/>
      </c>
    </row>
    <row r="755">
      <c r="A755" s="22">
        <f>IF(Pipeline_Sort!$C755="","",INDEX(Pipeline_Calc!$B$2:$B$5251,Pipeline_Sort!$C755))</f>
        <v/>
      </c>
      <c r="B755">
        <f>IF(Pipeline_Sort!$C755="","",INDEX(Pipeline_Calc!$C$2:$C$5251,Pipeline_Sort!$C755))</f>
        <v/>
      </c>
      <c r="C755">
        <f>IF(Pipeline_Sort!$C755="","",INDEX(Pipeline_Calc!$D$2:$D$5251,Pipeline_Sort!$C755))</f>
        <v/>
      </c>
      <c r="D755">
        <f>IF(Pipeline_Sort!$C755="","",INDEX(Pipeline_Calc!$E$2:$E$5251,Pipeline_Sort!$C755))</f>
        <v/>
      </c>
      <c r="E755">
        <f>IF(Pipeline_Sort!$C755="","",INDEX(Pipeline_Calc!$F$2:$F$5251,Pipeline_Sort!$C755))</f>
        <v/>
      </c>
      <c r="F755">
        <f>IF(Pipeline_Sort!$C755="","",INDEX(Pipeline_Calc!$G$2:$G$5251,Pipeline_Sort!$C755))</f>
        <v/>
      </c>
      <c r="G755">
        <f>IF(Pipeline_Sort!$C755="","",INDEX(Pipeline_Calc!$H$2:$H$5251,Pipeline_Sort!$C755))</f>
        <v/>
      </c>
      <c r="H755">
        <f>IF(Pipeline_Sort!$C755="","",INDEX(Pipeline_Calc!$I$2:$I$5251,Pipeline_Sort!$C755))</f>
        <v/>
      </c>
      <c r="I755">
        <f>IF(Pipeline_Sort!$C755="","",INDEX(Pipeline_Calc!$J$2:$J$5251,Pipeline_Sort!$C755))</f>
        <v/>
      </c>
    </row>
    <row r="756">
      <c r="A756" s="22">
        <f>IF(Pipeline_Sort!$C756="","",INDEX(Pipeline_Calc!$B$2:$B$5251,Pipeline_Sort!$C756))</f>
        <v/>
      </c>
      <c r="B756">
        <f>IF(Pipeline_Sort!$C756="","",INDEX(Pipeline_Calc!$C$2:$C$5251,Pipeline_Sort!$C756))</f>
        <v/>
      </c>
      <c r="C756">
        <f>IF(Pipeline_Sort!$C756="","",INDEX(Pipeline_Calc!$D$2:$D$5251,Pipeline_Sort!$C756))</f>
        <v/>
      </c>
      <c r="D756">
        <f>IF(Pipeline_Sort!$C756="","",INDEX(Pipeline_Calc!$E$2:$E$5251,Pipeline_Sort!$C756))</f>
        <v/>
      </c>
      <c r="E756">
        <f>IF(Pipeline_Sort!$C756="","",INDEX(Pipeline_Calc!$F$2:$F$5251,Pipeline_Sort!$C756))</f>
        <v/>
      </c>
      <c r="F756">
        <f>IF(Pipeline_Sort!$C756="","",INDEX(Pipeline_Calc!$G$2:$G$5251,Pipeline_Sort!$C756))</f>
        <v/>
      </c>
      <c r="G756">
        <f>IF(Pipeline_Sort!$C756="","",INDEX(Pipeline_Calc!$H$2:$H$5251,Pipeline_Sort!$C756))</f>
        <v/>
      </c>
      <c r="H756">
        <f>IF(Pipeline_Sort!$C756="","",INDEX(Pipeline_Calc!$I$2:$I$5251,Pipeline_Sort!$C756))</f>
        <v/>
      </c>
      <c r="I756">
        <f>IF(Pipeline_Sort!$C756="","",INDEX(Pipeline_Calc!$J$2:$J$5251,Pipeline_Sort!$C756))</f>
        <v/>
      </c>
    </row>
    <row r="757">
      <c r="A757" s="22">
        <f>IF(Pipeline_Sort!$C757="","",INDEX(Pipeline_Calc!$B$2:$B$5251,Pipeline_Sort!$C757))</f>
        <v/>
      </c>
      <c r="B757">
        <f>IF(Pipeline_Sort!$C757="","",INDEX(Pipeline_Calc!$C$2:$C$5251,Pipeline_Sort!$C757))</f>
        <v/>
      </c>
      <c r="C757">
        <f>IF(Pipeline_Sort!$C757="","",INDEX(Pipeline_Calc!$D$2:$D$5251,Pipeline_Sort!$C757))</f>
        <v/>
      </c>
      <c r="D757">
        <f>IF(Pipeline_Sort!$C757="","",INDEX(Pipeline_Calc!$E$2:$E$5251,Pipeline_Sort!$C757))</f>
        <v/>
      </c>
      <c r="E757">
        <f>IF(Pipeline_Sort!$C757="","",INDEX(Pipeline_Calc!$F$2:$F$5251,Pipeline_Sort!$C757))</f>
        <v/>
      </c>
      <c r="F757">
        <f>IF(Pipeline_Sort!$C757="","",INDEX(Pipeline_Calc!$G$2:$G$5251,Pipeline_Sort!$C757))</f>
        <v/>
      </c>
      <c r="G757">
        <f>IF(Pipeline_Sort!$C757="","",INDEX(Pipeline_Calc!$H$2:$H$5251,Pipeline_Sort!$C757))</f>
        <v/>
      </c>
      <c r="H757">
        <f>IF(Pipeline_Sort!$C757="","",INDEX(Pipeline_Calc!$I$2:$I$5251,Pipeline_Sort!$C757))</f>
        <v/>
      </c>
      <c r="I757">
        <f>IF(Pipeline_Sort!$C757="","",INDEX(Pipeline_Calc!$J$2:$J$5251,Pipeline_Sort!$C757))</f>
        <v/>
      </c>
    </row>
    <row r="758">
      <c r="A758" s="22">
        <f>IF(Pipeline_Sort!$C758="","",INDEX(Pipeline_Calc!$B$2:$B$5251,Pipeline_Sort!$C758))</f>
        <v/>
      </c>
      <c r="B758">
        <f>IF(Pipeline_Sort!$C758="","",INDEX(Pipeline_Calc!$C$2:$C$5251,Pipeline_Sort!$C758))</f>
        <v/>
      </c>
      <c r="C758">
        <f>IF(Pipeline_Sort!$C758="","",INDEX(Pipeline_Calc!$D$2:$D$5251,Pipeline_Sort!$C758))</f>
        <v/>
      </c>
      <c r="D758">
        <f>IF(Pipeline_Sort!$C758="","",INDEX(Pipeline_Calc!$E$2:$E$5251,Pipeline_Sort!$C758))</f>
        <v/>
      </c>
      <c r="E758">
        <f>IF(Pipeline_Sort!$C758="","",INDEX(Pipeline_Calc!$F$2:$F$5251,Pipeline_Sort!$C758))</f>
        <v/>
      </c>
      <c r="F758">
        <f>IF(Pipeline_Sort!$C758="","",INDEX(Pipeline_Calc!$G$2:$G$5251,Pipeline_Sort!$C758))</f>
        <v/>
      </c>
      <c r="G758">
        <f>IF(Pipeline_Sort!$C758="","",INDEX(Pipeline_Calc!$H$2:$H$5251,Pipeline_Sort!$C758))</f>
        <v/>
      </c>
      <c r="H758">
        <f>IF(Pipeline_Sort!$C758="","",INDEX(Pipeline_Calc!$I$2:$I$5251,Pipeline_Sort!$C758))</f>
        <v/>
      </c>
      <c r="I758">
        <f>IF(Pipeline_Sort!$C758="","",INDEX(Pipeline_Calc!$J$2:$J$5251,Pipeline_Sort!$C758))</f>
        <v/>
      </c>
    </row>
    <row r="759">
      <c r="A759" s="22">
        <f>IF(Pipeline_Sort!$C759="","",INDEX(Pipeline_Calc!$B$2:$B$5251,Pipeline_Sort!$C759))</f>
        <v/>
      </c>
      <c r="B759">
        <f>IF(Pipeline_Sort!$C759="","",INDEX(Pipeline_Calc!$C$2:$C$5251,Pipeline_Sort!$C759))</f>
        <v/>
      </c>
      <c r="C759">
        <f>IF(Pipeline_Sort!$C759="","",INDEX(Pipeline_Calc!$D$2:$D$5251,Pipeline_Sort!$C759))</f>
        <v/>
      </c>
      <c r="D759">
        <f>IF(Pipeline_Sort!$C759="","",INDEX(Pipeline_Calc!$E$2:$E$5251,Pipeline_Sort!$C759))</f>
        <v/>
      </c>
      <c r="E759">
        <f>IF(Pipeline_Sort!$C759="","",INDEX(Pipeline_Calc!$F$2:$F$5251,Pipeline_Sort!$C759))</f>
        <v/>
      </c>
      <c r="F759">
        <f>IF(Pipeline_Sort!$C759="","",INDEX(Pipeline_Calc!$G$2:$G$5251,Pipeline_Sort!$C759))</f>
        <v/>
      </c>
      <c r="G759">
        <f>IF(Pipeline_Sort!$C759="","",INDEX(Pipeline_Calc!$H$2:$H$5251,Pipeline_Sort!$C759))</f>
        <v/>
      </c>
      <c r="H759">
        <f>IF(Pipeline_Sort!$C759="","",INDEX(Pipeline_Calc!$I$2:$I$5251,Pipeline_Sort!$C759))</f>
        <v/>
      </c>
      <c r="I759">
        <f>IF(Pipeline_Sort!$C759="","",INDEX(Pipeline_Calc!$J$2:$J$5251,Pipeline_Sort!$C759))</f>
        <v/>
      </c>
    </row>
    <row r="760">
      <c r="A760" s="22">
        <f>IF(Pipeline_Sort!$C760="","",INDEX(Pipeline_Calc!$B$2:$B$5251,Pipeline_Sort!$C760))</f>
        <v/>
      </c>
      <c r="B760">
        <f>IF(Pipeline_Sort!$C760="","",INDEX(Pipeline_Calc!$C$2:$C$5251,Pipeline_Sort!$C760))</f>
        <v/>
      </c>
      <c r="C760">
        <f>IF(Pipeline_Sort!$C760="","",INDEX(Pipeline_Calc!$D$2:$D$5251,Pipeline_Sort!$C760))</f>
        <v/>
      </c>
      <c r="D760">
        <f>IF(Pipeline_Sort!$C760="","",INDEX(Pipeline_Calc!$E$2:$E$5251,Pipeline_Sort!$C760))</f>
        <v/>
      </c>
      <c r="E760">
        <f>IF(Pipeline_Sort!$C760="","",INDEX(Pipeline_Calc!$F$2:$F$5251,Pipeline_Sort!$C760))</f>
        <v/>
      </c>
      <c r="F760">
        <f>IF(Pipeline_Sort!$C760="","",INDEX(Pipeline_Calc!$G$2:$G$5251,Pipeline_Sort!$C760))</f>
        <v/>
      </c>
      <c r="G760">
        <f>IF(Pipeline_Sort!$C760="","",INDEX(Pipeline_Calc!$H$2:$H$5251,Pipeline_Sort!$C760))</f>
        <v/>
      </c>
      <c r="H760">
        <f>IF(Pipeline_Sort!$C760="","",INDEX(Pipeline_Calc!$I$2:$I$5251,Pipeline_Sort!$C760))</f>
        <v/>
      </c>
      <c r="I760">
        <f>IF(Pipeline_Sort!$C760="","",INDEX(Pipeline_Calc!$J$2:$J$5251,Pipeline_Sort!$C760))</f>
        <v/>
      </c>
    </row>
    <row r="761">
      <c r="A761" s="22">
        <f>IF(Pipeline_Sort!$C761="","",INDEX(Pipeline_Calc!$B$2:$B$5251,Pipeline_Sort!$C761))</f>
        <v/>
      </c>
      <c r="B761">
        <f>IF(Pipeline_Sort!$C761="","",INDEX(Pipeline_Calc!$C$2:$C$5251,Pipeline_Sort!$C761))</f>
        <v/>
      </c>
      <c r="C761">
        <f>IF(Pipeline_Sort!$C761="","",INDEX(Pipeline_Calc!$D$2:$D$5251,Pipeline_Sort!$C761))</f>
        <v/>
      </c>
      <c r="D761">
        <f>IF(Pipeline_Sort!$C761="","",INDEX(Pipeline_Calc!$E$2:$E$5251,Pipeline_Sort!$C761))</f>
        <v/>
      </c>
      <c r="E761">
        <f>IF(Pipeline_Sort!$C761="","",INDEX(Pipeline_Calc!$F$2:$F$5251,Pipeline_Sort!$C761))</f>
        <v/>
      </c>
      <c r="F761">
        <f>IF(Pipeline_Sort!$C761="","",INDEX(Pipeline_Calc!$G$2:$G$5251,Pipeline_Sort!$C761))</f>
        <v/>
      </c>
      <c r="G761">
        <f>IF(Pipeline_Sort!$C761="","",INDEX(Pipeline_Calc!$H$2:$H$5251,Pipeline_Sort!$C761))</f>
        <v/>
      </c>
      <c r="H761">
        <f>IF(Pipeline_Sort!$C761="","",INDEX(Pipeline_Calc!$I$2:$I$5251,Pipeline_Sort!$C761))</f>
        <v/>
      </c>
      <c r="I761">
        <f>IF(Pipeline_Sort!$C761="","",INDEX(Pipeline_Calc!$J$2:$J$5251,Pipeline_Sort!$C761))</f>
        <v/>
      </c>
    </row>
    <row r="762">
      <c r="A762" s="22">
        <f>IF(Pipeline_Sort!$C762="","",INDEX(Pipeline_Calc!$B$2:$B$5251,Pipeline_Sort!$C762))</f>
        <v/>
      </c>
      <c r="B762">
        <f>IF(Pipeline_Sort!$C762="","",INDEX(Pipeline_Calc!$C$2:$C$5251,Pipeline_Sort!$C762))</f>
        <v/>
      </c>
      <c r="C762">
        <f>IF(Pipeline_Sort!$C762="","",INDEX(Pipeline_Calc!$D$2:$D$5251,Pipeline_Sort!$C762))</f>
        <v/>
      </c>
      <c r="D762">
        <f>IF(Pipeline_Sort!$C762="","",INDEX(Pipeline_Calc!$E$2:$E$5251,Pipeline_Sort!$C762))</f>
        <v/>
      </c>
      <c r="E762">
        <f>IF(Pipeline_Sort!$C762="","",INDEX(Pipeline_Calc!$F$2:$F$5251,Pipeline_Sort!$C762))</f>
        <v/>
      </c>
      <c r="F762">
        <f>IF(Pipeline_Sort!$C762="","",INDEX(Pipeline_Calc!$G$2:$G$5251,Pipeline_Sort!$C762))</f>
        <v/>
      </c>
      <c r="G762">
        <f>IF(Pipeline_Sort!$C762="","",INDEX(Pipeline_Calc!$H$2:$H$5251,Pipeline_Sort!$C762))</f>
        <v/>
      </c>
      <c r="H762">
        <f>IF(Pipeline_Sort!$C762="","",INDEX(Pipeline_Calc!$I$2:$I$5251,Pipeline_Sort!$C762))</f>
        <v/>
      </c>
      <c r="I762">
        <f>IF(Pipeline_Sort!$C762="","",INDEX(Pipeline_Calc!$J$2:$J$5251,Pipeline_Sort!$C762))</f>
        <v/>
      </c>
    </row>
    <row r="763">
      <c r="A763" s="22">
        <f>IF(Pipeline_Sort!$C763="","",INDEX(Pipeline_Calc!$B$2:$B$5251,Pipeline_Sort!$C763))</f>
        <v/>
      </c>
      <c r="B763">
        <f>IF(Pipeline_Sort!$C763="","",INDEX(Pipeline_Calc!$C$2:$C$5251,Pipeline_Sort!$C763))</f>
        <v/>
      </c>
      <c r="C763">
        <f>IF(Pipeline_Sort!$C763="","",INDEX(Pipeline_Calc!$D$2:$D$5251,Pipeline_Sort!$C763))</f>
        <v/>
      </c>
      <c r="D763">
        <f>IF(Pipeline_Sort!$C763="","",INDEX(Pipeline_Calc!$E$2:$E$5251,Pipeline_Sort!$C763))</f>
        <v/>
      </c>
      <c r="E763">
        <f>IF(Pipeline_Sort!$C763="","",INDEX(Pipeline_Calc!$F$2:$F$5251,Pipeline_Sort!$C763))</f>
        <v/>
      </c>
      <c r="F763">
        <f>IF(Pipeline_Sort!$C763="","",INDEX(Pipeline_Calc!$G$2:$G$5251,Pipeline_Sort!$C763))</f>
        <v/>
      </c>
      <c r="G763">
        <f>IF(Pipeline_Sort!$C763="","",INDEX(Pipeline_Calc!$H$2:$H$5251,Pipeline_Sort!$C763))</f>
        <v/>
      </c>
      <c r="H763">
        <f>IF(Pipeline_Sort!$C763="","",INDEX(Pipeline_Calc!$I$2:$I$5251,Pipeline_Sort!$C763))</f>
        <v/>
      </c>
      <c r="I763">
        <f>IF(Pipeline_Sort!$C763="","",INDEX(Pipeline_Calc!$J$2:$J$5251,Pipeline_Sort!$C763))</f>
        <v/>
      </c>
    </row>
    <row r="764">
      <c r="A764" s="22">
        <f>IF(Pipeline_Sort!$C764="","",INDEX(Pipeline_Calc!$B$2:$B$5251,Pipeline_Sort!$C764))</f>
        <v/>
      </c>
      <c r="B764">
        <f>IF(Pipeline_Sort!$C764="","",INDEX(Pipeline_Calc!$C$2:$C$5251,Pipeline_Sort!$C764))</f>
        <v/>
      </c>
      <c r="C764">
        <f>IF(Pipeline_Sort!$C764="","",INDEX(Pipeline_Calc!$D$2:$D$5251,Pipeline_Sort!$C764))</f>
        <v/>
      </c>
      <c r="D764">
        <f>IF(Pipeline_Sort!$C764="","",INDEX(Pipeline_Calc!$E$2:$E$5251,Pipeline_Sort!$C764))</f>
        <v/>
      </c>
      <c r="E764">
        <f>IF(Pipeline_Sort!$C764="","",INDEX(Pipeline_Calc!$F$2:$F$5251,Pipeline_Sort!$C764))</f>
        <v/>
      </c>
      <c r="F764">
        <f>IF(Pipeline_Sort!$C764="","",INDEX(Pipeline_Calc!$G$2:$G$5251,Pipeline_Sort!$C764))</f>
        <v/>
      </c>
      <c r="G764">
        <f>IF(Pipeline_Sort!$C764="","",INDEX(Pipeline_Calc!$H$2:$H$5251,Pipeline_Sort!$C764))</f>
        <v/>
      </c>
      <c r="H764">
        <f>IF(Pipeline_Sort!$C764="","",INDEX(Pipeline_Calc!$I$2:$I$5251,Pipeline_Sort!$C764))</f>
        <v/>
      </c>
      <c r="I764">
        <f>IF(Pipeline_Sort!$C764="","",INDEX(Pipeline_Calc!$J$2:$J$5251,Pipeline_Sort!$C764))</f>
        <v/>
      </c>
    </row>
    <row r="765">
      <c r="A765" s="22">
        <f>IF(Pipeline_Sort!$C765="","",INDEX(Pipeline_Calc!$B$2:$B$5251,Pipeline_Sort!$C765))</f>
        <v/>
      </c>
      <c r="B765">
        <f>IF(Pipeline_Sort!$C765="","",INDEX(Pipeline_Calc!$C$2:$C$5251,Pipeline_Sort!$C765))</f>
        <v/>
      </c>
      <c r="C765">
        <f>IF(Pipeline_Sort!$C765="","",INDEX(Pipeline_Calc!$D$2:$D$5251,Pipeline_Sort!$C765))</f>
        <v/>
      </c>
      <c r="D765">
        <f>IF(Pipeline_Sort!$C765="","",INDEX(Pipeline_Calc!$E$2:$E$5251,Pipeline_Sort!$C765))</f>
        <v/>
      </c>
      <c r="E765">
        <f>IF(Pipeline_Sort!$C765="","",INDEX(Pipeline_Calc!$F$2:$F$5251,Pipeline_Sort!$C765))</f>
        <v/>
      </c>
      <c r="F765">
        <f>IF(Pipeline_Sort!$C765="","",INDEX(Pipeline_Calc!$G$2:$G$5251,Pipeline_Sort!$C765))</f>
        <v/>
      </c>
      <c r="G765">
        <f>IF(Pipeline_Sort!$C765="","",INDEX(Pipeline_Calc!$H$2:$H$5251,Pipeline_Sort!$C765))</f>
        <v/>
      </c>
      <c r="H765">
        <f>IF(Pipeline_Sort!$C765="","",INDEX(Pipeline_Calc!$I$2:$I$5251,Pipeline_Sort!$C765))</f>
        <v/>
      </c>
      <c r="I765">
        <f>IF(Pipeline_Sort!$C765="","",INDEX(Pipeline_Calc!$J$2:$J$5251,Pipeline_Sort!$C765))</f>
        <v/>
      </c>
    </row>
    <row r="766">
      <c r="A766" s="22">
        <f>IF(Pipeline_Sort!$C766="","",INDEX(Pipeline_Calc!$B$2:$B$5251,Pipeline_Sort!$C766))</f>
        <v/>
      </c>
      <c r="B766">
        <f>IF(Pipeline_Sort!$C766="","",INDEX(Pipeline_Calc!$C$2:$C$5251,Pipeline_Sort!$C766))</f>
        <v/>
      </c>
      <c r="C766">
        <f>IF(Pipeline_Sort!$C766="","",INDEX(Pipeline_Calc!$D$2:$D$5251,Pipeline_Sort!$C766))</f>
        <v/>
      </c>
      <c r="D766">
        <f>IF(Pipeline_Sort!$C766="","",INDEX(Pipeline_Calc!$E$2:$E$5251,Pipeline_Sort!$C766))</f>
        <v/>
      </c>
      <c r="E766">
        <f>IF(Pipeline_Sort!$C766="","",INDEX(Pipeline_Calc!$F$2:$F$5251,Pipeline_Sort!$C766))</f>
        <v/>
      </c>
      <c r="F766">
        <f>IF(Pipeline_Sort!$C766="","",INDEX(Pipeline_Calc!$G$2:$G$5251,Pipeline_Sort!$C766))</f>
        <v/>
      </c>
      <c r="G766">
        <f>IF(Pipeline_Sort!$C766="","",INDEX(Pipeline_Calc!$H$2:$H$5251,Pipeline_Sort!$C766))</f>
        <v/>
      </c>
      <c r="H766">
        <f>IF(Pipeline_Sort!$C766="","",INDEX(Pipeline_Calc!$I$2:$I$5251,Pipeline_Sort!$C766))</f>
        <v/>
      </c>
      <c r="I766">
        <f>IF(Pipeline_Sort!$C766="","",INDEX(Pipeline_Calc!$J$2:$J$5251,Pipeline_Sort!$C766))</f>
        <v/>
      </c>
    </row>
    <row r="767">
      <c r="A767" s="22">
        <f>IF(Pipeline_Sort!$C767="","",INDEX(Pipeline_Calc!$B$2:$B$5251,Pipeline_Sort!$C767))</f>
        <v/>
      </c>
      <c r="B767">
        <f>IF(Pipeline_Sort!$C767="","",INDEX(Pipeline_Calc!$C$2:$C$5251,Pipeline_Sort!$C767))</f>
        <v/>
      </c>
      <c r="C767">
        <f>IF(Pipeline_Sort!$C767="","",INDEX(Pipeline_Calc!$D$2:$D$5251,Pipeline_Sort!$C767))</f>
        <v/>
      </c>
      <c r="D767">
        <f>IF(Pipeline_Sort!$C767="","",INDEX(Pipeline_Calc!$E$2:$E$5251,Pipeline_Sort!$C767))</f>
        <v/>
      </c>
      <c r="E767">
        <f>IF(Pipeline_Sort!$C767="","",INDEX(Pipeline_Calc!$F$2:$F$5251,Pipeline_Sort!$C767))</f>
        <v/>
      </c>
      <c r="F767">
        <f>IF(Pipeline_Sort!$C767="","",INDEX(Pipeline_Calc!$G$2:$G$5251,Pipeline_Sort!$C767))</f>
        <v/>
      </c>
      <c r="G767">
        <f>IF(Pipeline_Sort!$C767="","",INDEX(Pipeline_Calc!$H$2:$H$5251,Pipeline_Sort!$C767))</f>
        <v/>
      </c>
      <c r="H767">
        <f>IF(Pipeline_Sort!$C767="","",INDEX(Pipeline_Calc!$I$2:$I$5251,Pipeline_Sort!$C767))</f>
        <v/>
      </c>
      <c r="I767">
        <f>IF(Pipeline_Sort!$C767="","",INDEX(Pipeline_Calc!$J$2:$J$5251,Pipeline_Sort!$C767))</f>
        <v/>
      </c>
    </row>
    <row r="768">
      <c r="A768" s="22">
        <f>IF(Pipeline_Sort!$C768="","",INDEX(Pipeline_Calc!$B$2:$B$5251,Pipeline_Sort!$C768))</f>
        <v/>
      </c>
      <c r="B768">
        <f>IF(Pipeline_Sort!$C768="","",INDEX(Pipeline_Calc!$C$2:$C$5251,Pipeline_Sort!$C768))</f>
        <v/>
      </c>
      <c r="C768">
        <f>IF(Pipeline_Sort!$C768="","",INDEX(Pipeline_Calc!$D$2:$D$5251,Pipeline_Sort!$C768))</f>
        <v/>
      </c>
      <c r="D768">
        <f>IF(Pipeline_Sort!$C768="","",INDEX(Pipeline_Calc!$E$2:$E$5251,Pipeline_Sort!$C768))</f>
        <v/>
      </c>
      <c r="E768">
        <f>IF(Pipeline_Sort!$C768="","",INDEX(Pipeline_Calc!$F$2:$F$5251,Pipeline_Sort!$C768))</f>
        <v/>
      </c>
      <c r="F768">
        <f>IF(Pipeline_Sort!$C768="","",INDEX(Pipeline_Calc!$G$2:$G$5251,Pipeline_Sort!$C768))</f>
        <v/>
      </c>
      <c r="G768">
        <f>IF(Pipeline_Sort!$C768="","",INDEX(Pipeline_Calc!$H$2:$H$5251,Pipeline_Sort!$C768))</f>
        <v/>
      </c>
      <c r="H768">
        <f>IF(Pipeline_Sort!$C768="","",INDEX(Pipeline_Calc!$I$2:$I$5251,Pipeline_Sort!$C768))</f>
        <v/>
      </c>
      <c r="I768">
        <f>IF(Pipeline_Sort!$C768="","",INDEX(Pipeline_Calc!$J$2:$J$5251,Pipeline_Sort!$C768))</f>
        <v/>
      </c>
    </row>
    <row r="769">
      <c r="A769" s="22">
        <f>IF(Pipeline_Sort!$C769="","",INDEX(Pipeline_Calc!$B$2:$B$5251,Pipeline_Sort!$C769))</f>
        <v/>
      </c>
      <c r="B769">
        <f>IF(Pipeline_Sort!$C769="","",INDEX(Pipeline_Calc!$C$2:$C$5251,Pipeline_Sort!$C769))</f>
        <v/>
      </c>
      <c r="C769">
        <f>IF(Pipeline_Sort!$C769="","",INDEX(Pipeline_Calc!$D$2:$D$5251,Pipeline_Sort!$C769))</f>
        <v/>
      </c>
      <c r="D769">
        <f>IF(Pipeline_Sort!$C769="","",INDEX(Pipeline_Calc!$E$2:$E$5251,Pipeline_Sort!$C769))</f>
        <v/>
      </c>
      <c r="E769">
        <f>IF(Pipeline_Sort!$C769="","",INDEX(Pipeline_Calc!$F$2:$F$5251,Pipeline_Sort!$C769))</f>
        <v/>
      </c>
      <c r="F769">
        <f>IF(Pipeline_Sort!$C769="","",INDEX(Pipeline_Calc!$G$2:$G$5251,Pipeline_Sort!$C769))</f>
        <v/>
      </c>
      <c r="G769">
        <f>IF(Pipeline_Sort!$C769="","",INDEX(Pipeline_Calc!$H$2:$H$5251,Pipeline_Sort!$C769))</f>
        <v/>
      </c>
      <c r="H769">
        <f>IF(Pipeline_Sort!$C769="","",INDEX(Pipeline_Calc!$I$2:$I$5251,Pipeline_Sort!$C769))</f>
        <v/>
      </c>
      <c r="I769">
        <f>IF(Pipeline_Sort!$C769="","",INDEX(Pipeline_Calc!$J$2:$J$5251,Pipeline_Sort!$C769))</f>
        <v/>
      </c>
    </row>
    <row r="770">
      <c r="A770" s="22">
        <f>IF(Pipeline_Sort!$C770="","",INDEX(Pipeline_Calc!$B$2:$B$5251,Pipeline_Sort!$C770))</f>
        <v/>
      </c>
      <c r="B770">
        <f>IF(Pipeline_Sort!$C770="","",INDEX(Pipeline_Calc!$C$2:$C$5251,Pipeline_Sort!$C770))</f>
        <v/>
      </c>
      <c r="C770">
        <f>IF(Pipeline_Sort!$C770="","",INDEX(Pipeline_Calc!$D$2:$D$5251,Pipeline_Sort!$C770))</f>
        <v/>
      </c>
      <c r="D770">
        <f>IF(Pipeline_Sort!$C770="","",INDEX(Pipeline_Calc!$E$2:$E$5251,Pipeline_Sort!$C770))</f>
        <v/>
      </c>
      <c r="E770">
        <f>IF(Pipeline_Sort!$C770="","",INDEX(Pipeline_Calc!$F$2:$F$5251,Pipeline_Sort!$C770))</f>
        <v/>
      </c>
      <c r="F770">
        <f>IF(Pipeline_Sort!$C770="","",INDEX(Pipeline_Calc!$G$2:$G$5251,Pipeline_Sort!$C770))</f>
        <v/>
      </c>
      <c r="G770">
        <f>IF(Pipeline_Sort!$C770="","",INDEX(Pipeline_Calc!$H$2:$H$5251,Pipeline_Sort!$C770))</f>
        <v/>
      </c>
      <c r="H770">
        <f>IF(Pipeline_Sort!$C770="","",INDEX(Pipeline_Calc!$I$2:$I$5251,Pipeline_Sort!$C770))</f>
        <v/>
      </c>
      <c r="I770">
        <f>IF(Pipeline_Sort!$C770="","",INDEX(Pipeline_Calc!$J$2:$J$5251,Pipeline_Sort!$C770))</f>
        <v/>
      </c>
    </row>
    <row r="771">
      <c r="A771" s="22">
        <f>IF(Pipeline_Sort!$C771="","",INDEX(Pipeline_Calc!$B$2:$B$5251,Pipeline_Sort!$C771))</f>
        <v/>
      </c>
      <c r="B771">
        <f>IF(Pipeline_Sort!$C771="","",INDEX(Pipeline_Calc!$C$2:$C$5251,Pipeline_Sort!$C771))</f>
        <v/>
      </c>
      <c r="C771">
        <f>IF(Pipeline_Sort!$C771="","",INDEX(Pipeline_Calc!$D$2:$D$5251,Pipeline_Sort!$C771))</f>
        <v/>
      </c>
      <c r="D771">
        <f>IF(Pipeline_Sort!$C771="","",INDEX(Pipeline_Calc!$E$2:$E$5251,Pipeline_Sort!$C771))</f>
        <v/>
      </c>
      <c r="E771">
        <f>IF(Pipeline_Sort!$C771="","",INDEX(Pipeline_Calc!$F$2:$F$5251,Pipeline_Sort!$C771))</f>
        <v/>
      </c>
      <c r="F771">
        <f>IF(Pipeline_Sort!$C771="","",INDEX(Pipeline_Calc!$G$2:$G$5251,Pipeline_Sort!$C771))</f>
        <v/>
      </c>
      <c r="G771">
        <f>IF(Pipeline_Sort!$C771="","",INDEX(Pipeline_Calc!$H$2:$H$5251,Pipeline_Sort!$C771))</f>
        <v/>
      </c>
      <c r="H771">
        <f>IF(Pipeline_Sort!$C771="","",INDEX(Pipeline_Calc!$I$2:$I$5251,Pipeline_Sort!$C771))</f>
        <v/>
      </c>
      <c r="I771">
        <f>IF(Pipeline_Sort!$C771="","",INDEX(Pipeline_Calc!$J$2:$J$5251,Pipeline_Sort!$C771))</f>
        <v/>
      </c>
    </row>
    <row r="772">
      <c r="A772" s="22">
        <f>IF(Pipeline_Sort!$C772="","",INDEX(Pipeline_Calc!$B$2:$B$5251,Pipeline_Sort!$C772))</f>
        <v/>
      </c>
      <c r="B772">
        <f>IF(Pipeline_Sort!$C772="","",INDEX(Pipeline_Calc!$C$2:$C$5251,Pipeline_Sort!$C772))</f>
        <v/>
      </c>
      <c r="C772">
        <f>IF(Pipeline_Sort!$C772="","",INDEX(Pipeline_Calc!$D$2:$D$5251,Pipeline_Sort!$C772))</f>
        <v/>
      </c>
      <c r="D772">
        <f>IF(Pipeline_Sort!$C772="","",INDEX(Pipeline_Calc!$E$2:$E$5251,Pipeline_Sort!$C772))</f>
        <v/>
      </c>
      <c r="E772">
        <f>IF(Pipeline_Sort!$C772="","",INDEX(Pipeline_Calc!$F$2:$F$5251,Pipeline_Sort!$C772))</f>
        <v/>
      </c>
      <c r="F772">
        <f>IF(Pipeline_Sort!$C772="","",INDEX(Pipeline_Calc!$G$2:$G$5251,Pipeline_Sort!$C772))</f>
        <v/>
      </c>
      <c r="G772">
        <f>IF(Pipeline_Sort!$C772="","",INDEX(Pipeline_Calc!$H$2:$H$5251,Pipeline_Sort!$C772))</f>
        <v/>
      </c>
      <c r="H772">
        <f>IF(Pipeline_Sort!$C772="","",INDEX(Pipeline_Calc!$I$2:$I$5251,Pipeline_Sort!$C772))</f>
        <v/>
      </c>
      <c r="I772">
        <f>IF(Pipeline_Sort!$C772="","",INDEX(Pipeline_Calc!$J$2:$J$5251,Pipeline_Sort!$C772))</f>
        <v/>
      </c>
    </row>
    <row r="773">
      <c r="A773" s="22">
        <f>IF(Pipeline_Sort!$C773="","",INDEX(Pipeline_Calc!$B$2:$B$5251,Pipeline_Sort!$C773))</f>
        <v/>
      </c>
      <c r="B773">
        <f>IF(Pipeline_Sort!$C773="","",INDEX(Pipeline_Calc!$C$2:$C$5251,Pipeline_Sort!$C773))</f>
        <v/>
      </c>
      <c r="C773">
        <f>IF(Pipeline_Sort!$C773="","",INDEX(Pipeline_Calc!$D$2:$D$5251,Pipeline_Sort!$C773))</f>
        <v/>
      </c>
      <c r="D773">
        <f>IF(Pipeline_Sort!$C773="","",INDEX(Pipeline_Calc!$E$2:$E$5251,Pipeline_Sort!$C773))</f>
        <v/>
      </c>
      <c r="E773">
        <f>IF(Pipeline_Sort!$C773="","",INDEX(Pipeline_Calc!$F$2:$F$5251,Pipeline_Sort!$C773))</f>
        <v/>
      </c>
      <c r="F773">
        <f>IF(Pipeline_Sort!$C773="","",INDEX(Pipeline_Calc!$G$2:$G$5251,Pipeline_Sort!$C773))</f>
        <v/>
      </c>
      <c r="G773">
        <f>IF(Pipeline_Sort!$C773="","",INDEX(Pipeline_Calc!$H$2:$H$5251,Pipeline_Sort!$C773))</f>
        <v/>
      </c>
      <c r="H773">
        <f>IF(Pipeline_Sort!$C773="","",INDEX(Pipeline_Calc!$I$2:$I$5251,Pipeline_Sort!$C773))</f>
        <v/>
      </c>
      <c r="I773">
        <f>IF(Pipeline_Sort!$C773="","",INDEX(Pipeline_Calc!$J$2:$J$5251,Pipeline_Sort!$C773))</f>
        <v/>
      </c>
    </row>
    <row r="774">
      <c r="A774" s="22">
        <f>IF(Pipeline_Sort!$C774="","",INDEX(Pipeline_Calc!$B$2:$B$5251,Pipeline_Sort!$C774))</f>
        <v/>
      </c>
      <c r="B774">
        <f>IF(Pipeline_Sort!$C774="","",INDEX(Pipeline_Calc!$C$2:$C$5251,Pipeline_Sort!$C774))</f>
        <v/>
      </c>
      <c r="C774">
        <f>IF(Pipeline_Sort!$C774="","",INDEX(Pipeline_Calc!$D$2:$D$5251,Pipeline_Sort!$C774))</f>
        <v/>
      </c>
      <c r="D774">
        <f>IF(Pipeline_Sort!$C774="","",INDEX(Pipeline_Calc!$E$2:$E$5251,Pipeline_Sort!$C774))</f>
        <v/>
      </c>
      <c r="E774">
        <f>IF(Pipeline_Sort!$C774="","",INDEX(Pipeline_Calc!$F$2:$F$5251,Pipeline_Sort!$C774))</f>
        <v/>
      </c>
      <c r="F774">
        <f>IF(Pipeline_Sort!$C774="","",INDEX(Pipeline_Calc!$G$2:$G$5251,Pipeline_Sort!$C774))</f>
        <v/>
      </c>
      <c r="G774">
        <f>IF(Pipeline_Sort!$C774="","",INDEX(Pipeline_Calc!$H$2:$H$5251,Pipeline_Sort!$C774))</f>
        <v/>
      </c>
      <c r="H774">
        <f>IF(Pipeline_Sort!$C774="","",INDEX(Pipeline_Calc!$I$2:$I$5251,Pipeline_Sort!$C774))</f>
        <v/>
      </c>
      <c r="I774">
        <f>IF(Pipeline_Sort!$C774="","",INDEX(Pipeline_Calc!$J$2:$J$5251,Pipeline_Sort!$C774))</f>
        <v/>
      </c>
    </row>
    <row r="775">
      <c r="A775" s="22">
        <f>IF(Pipeline_Sort!$C775="","",INDEX(Pipeline_Calc!$B$2:$B$5251,Pipeline_Sort!$C775))</f>
        <v/>
      </c>
      <c r="B775">
        <f>IF(Pipeline_Sort!$C775="","",INDEX(Pipeline_Calc!$C$2:$C$5251,Pipeline_Sort!$C775))</f>
        <v/>
      </c>
      <c r="C775">
        <f>IF(Pipeline_Sort!$C775="","",INDEX(Pipeline_Calc!$D$2:$D$5251,Pipeline_Sort!$C775))</f>
        <v/>
      </c>
      <c r="D775">
        <f>IF(Pipeline_Sort!$C775="","",INDEX(Pipeline_Calc!$E$2:$E$5251,Pipeline_Sort!$C775))</f>
        <v/>
      </c>
      <c r="E775">
        <f>IF(Pipeline_Sort!$C775="","",INDEX(Pipeline_Calc!$F$2:$F$5251,Pipeline_Sort!$C775))</f>
        <v/>
      </c>
      <c r="F775">
        <f>IF(Pipeline_Sort!$C775="","",INDEX(Pipeline_Calc!$G$2:$G$5251,Pipeline_Sort!$C775))</f>
        <v/>
      </c>
      <c r="G775">
        <f>IF(Pipeline_Sort!$C775="","",INDEX(Pipeline_Calc!$H$2:$H$5251,Pipeline_Sort!$C775))</f>
        <v/>
      </c>
      <c r="H775">
        <f>IF(Pipeline_Sort!$C775="","",INDEX(Pipeline_Calc!$I$2:$I$5251,Pipeline_Sort!$C775))</f>
        <v/>
      </c>
      <c r="I775">
        <f>IF(Pipeline_Sort!$C775="","",INDEX(Pipeline_Calc!$J$2:$J$5251,Pipeline_Sort!$C775))</f>
        <v/>
      </c>
    </row>
    <row r="776">
      <c r="A776" s="22">
        <f>IF(Pipeline_Sort!$C776="","",INDEX(Pipeline_Calc!$B$2:$B$5251,Pipeline_Sort!$C776))</f>
        <v/>
      </c>
      <c r="B776">
        <f>IF(Pipeline_Sort!$C776="","",INDEX(Pipeline_Calc!$C$2:$C$5251,Pipeline_Sort!$C776))</f>
        <v/>
      </c>
      <c r="C776">
        <f>IF(Pipeline_Sort!$C776="","",INDEX(Pipeline_Calc!$D$2:$D$5251,Pipeline_Sort!$C776))</f>
        <v/>
      </c>
      <c r="D776">
        <f>IF(Pipeline_Sort!$C776="","",INDEX(Pipeline_Calc!$E$2:$E$5251,Pipeline_Sort!$C776))</f>
        <v/>
      </c>
      <c r="E776">
        <f>IF(Pipeline_Sort!$C776="","",INDEX(Pipeline_Calc!$F$2:$F$5251,Pipeline_Sort!$C776))</f>
        <v/>
      </c>
      <c r="F776">
        <f>IF(Pipeline_Sort!$C776="","",INDEX(Pipeline_Calc!$G$2:$G$5251,Pipeline_Sort!$C776))</f>
        <v/>
      </c>
      <c r="G776">
        <f>IF(Pipeline_Sort!$C776="","",INDEX(Pipeline_Calc!$H$2:$H$5251,Pipeline_Sort!$C776))</f>
        <v/>
      </c>
      <c r="H776">
        <f>IF(Pipeline_Sort!$C776="","",INDEX(Pipeline_Calc!$I$2:$I$5251,Pipeline_Sort!$C776))</f>
        <v/>
      </c>
      <c r="I776">
        <f>IF(Pipeline_Sort!$C776="","",INDEX(Pipeline_Calc!$J$2:$J$5251,Pipeline_Sort!$C776))</f>
        <v/>
      </c>
    </row>
    <row r="777">
      <c r="A777" s="22">
        <f>IF(Pipeline_Sort!$C777="","",INDEX(Pipeline_Calc!$B$2:$B$5251,Pipeline_Sort!$C777))</f>
        <v/>
      </c>
      <c r="B777">
        <f>IF(Pipeline_Sort!$C777="","",INDEX(Pipeline_Calc!$C$2:$C$5251,Pipeline_Sort!$C777))</f>
        <v/>
      </c>
      <c r="C777">
        <f>IF(Pipeline_Sort!$C777="","",INDEX(Pipeline_Calc!$D$2:$D$5251,Pipeline_Sort!$C777))</f>
        <v/>
      </c>
      <c r="D777">
        <f>IF(Pipeline_Sort!$C777="","",INDEX(Pipeline_Calc!$E$2:$E$5251,Pipeline_Sort!$C777))</f>
        <v/>
      </c>
      <c r="E777">
        <f>IF(Pipeline_Sort!$C777="","",INDEX(Pipeline_Calc!$F$2:$F$5251,Pipeline_Sort!$C777))</f>
        <v/>
      </c>
      <c r="F777">
        <f>IF(Pipeline_Sort!$C777="","",INDEX(Pipeline_Calc!$G$2:$G$5251,Pipeline_Sort!$C777))</f>
        <v/>
      </c>
      <c r="G777">
        <f>IF(Pipeline_Sort!$C777="","",INDEX(Pipeline_Calc!$H$2:$H$5251,Pipeline_Sort!$C777))</f>
        <v/>
      </c>
      <c r="H777">
        <f>IF(Pipeline_Sort!$C777="","",INDEX(Pipeline_Calc!$I$2:$I$5251,Pipeline_Sort!$C777))</f>
        <v/>
      </c>
      <c r="I777">
        <f>IF(Pipeline_Sort!$C777="","",INDEX(Pipeline_Calc!$J$2:$J$5251,Pipeline_Sort!$C777))</f>
        <v/>
      </c>
    </row>
    <row r="778">
      <c r="A778" s="22">
        <f>IF(Pipeline_Sort!$C778="","",INDEX(Pipeline_Calc!$B$2:$B$5251,Pipeline_Sort!$C778))</f>
        <v/>
      </c>
      <c r="B778">
        <f>IF(Pipeline_Sort!$C778="","",INDEX(Pipeline_Calc!$C$2:$C$5251,Pipeline_Sort!$C778))</f>
        <v/>
      </c>
      <c r="C778">
        <f>IF(Pipeline_Sort!$C778="","",INDEX(Pipeline_Calc!$D$2:$D$5251,Pipeline_Sort!$C778))</f>
        <v/>
      </c>
      <c r="D778">
        <f>IF(Pipeline_Sort!$C778="","",INDEX(Pipeline_Calc!$E$2:$E$5251,Pipeline_Sort!$C778))</f>
        <v/>
      </c>
      <c r="E778">
        <f>IF(Pipeline_Sort!$C778="","",INDEX(Pipeline_Calc!$F$2:$F$5251,Pipeline_Sort!$C778))</f>
        <v/>
      </c>
      <c r="F778">
        <f>IF(Pipeline_Sort!$C778="","",INDEX(Pipeline_Calc!$G$2:$G$5251,Pipeline_Sort!$C778))</f>
        <v/>
      </c>
      <c r="G778">
        <f>IF(Pipeline_Sort!$C778="","",INDEX(Pipeline_Calc!$H$2:$H$5251,Pipeline_Sort!$C778))</f>
        <v/>
      </c>
      <c r="H778">
        <f>IF(Pipeline_Sort!$C778="","",INDEX(Pipeline_Calc!$I$2:$I$5251,Pipeline_Sort!$C778))</f>
        <v/>
      </c>
      <c r="I778">
        <f>IF(Pipeline_Sort!$C778="","",INDEX(Pipeline_Calc!$J$2:$J$5251,Pipeline_Sort!$C778))</f>
        <v/>
      </c>
    </row>
    <row r="779">
      <c r="A779" s="22">
        <f>IF(Pipeline_Sort!$C779="","",INDEX(Pipeline_Calc!$B$2:$B$5251,Pipeline_Sort!$C779))</f>
        <v/>
      </c>
      <c r="B779">
        <f>IF(Pipeline_Sort!$C779="","",INDEX(Pipeline_Calc!$C$2:$C$5251,Pipeline_Sort!$C779))</f>
        <v/>
      </c>
      <c r="C779">
        <f>IF(Pipeline_Sort!$C779="","",INDEX(Pipeline_Calc!$D$2:$D$5251,Pipeline_Sort!$C779))</f>
        <v/>
      </c>
      <c r="D779">
        <f>IF(Pipeline_Sort!$C779="","",INDEX(Pipeline_Calc!$E$2:$E$5251,Pipeline_Sort!$C779))</f>
        <v/>
      </c>
      <c r="E779">
        <f>IF(Pipeline_Sort!$C779="","",INDEX(Pipeline_Calc!$F$2:$F$5251,Pipeline_Sort!$C779))</f>
        <v/>
      </c>
      <c r="F779">
        <f>IF(Pipeline_Sort!$C779="","",INDEX(Pipeline_Calc!$G$2:$G$5251,Pipeline_Sort!$C779))</f>
        <v/>
      </c>
      <c r="G779">
        <f>IF(Pipeline_Sort!$C779="","",INDEX(Pipeline_Calc!$H$2:$H$5251,Pipeline_Sort!$C779))</f>
        <v/>
      </c>
      <c r="H779">
        <f>IF(Pipeline_Sort!$C779="","",INDEX(Pipeline_Calc!$I$2:$I$5251,Pipeline_Sort!$C779))</f>
        <v/>
      </c>
      <c r="I779">
        <f>IF(Pipeline_Sort!$C779="","",INDEX(Pipeline_Calc!$J$2:$J$5251,Pipeline_Sort!$C779))</f>
        <v/>
      </c>
    </row>
    <row r="780">
      <c r="A780" s="22">
        <f>IF(Pipeline_Sort!$C780="","",INDEX(Pipeline_Calc!$B$2:$B$5251,Pipeline_Sort!$C780))</f>
        <v/>
      </c>
      <c r="B780">
        <f>IF(Pipeline_Sort!$C780="","",INDEX(Pipeline_Calc!$C$2:$C$5251,Pipeline_Sort!$C780))</f>
        <v/>
      </c>
      <c r="C780">
        <f>IF(Pipeline_Sort!$C780="","",INDEX(Pipeline_Calc!$D$2:$D$5251,Pipeline_Sort!$C780))</f>
        <v/>
      </c>
      <c r="D780">
        <f>IF(Pipeline_Sort!$C780="","",INDEX(Pipeline_Calc!$E$2:$E$5251,Pipeline_Sort!$C780))</f>
        <v/>
      </c>
      <c r="E780">
        <f>IF(Pipeline_Sort!$C780="","",INDEX(Pipeline_Calc!$F$2:$F$5251,Pipeline_Sort!$C780))</f>
        <v/>
      </c>
      <c r="F780">
        <f>IF(Pipeline_Sort!$C780="","",INDEX(Pipeline_Calc!$G$2:$G$5251,Pipeline_Sort!$C780))</f>
        <v/>
      </c>
      <c r="G780">
        <f>IF(Pipeline_Sort!$C780="","",INDEX(Pipeline_Calc!$H$2:$H$5251,Pipeline_Sort!$C780))</f>
        <v/>
      </c>
      <c r="H780">
        <f>IF(Pipeline_Sort!$C780="","",INDEX(Pipeline_Calc!$I$2:$I$5251,Pipeline_Sort!$C780))</f>
        <v/>
      </c>
      <c r="I780">
        <f>IF(Pipeline_Sort!$C780="","",INDEX(Pipeline_Calc!$J$2:$J$5251,Pipeline_Sort!$C780))</f>
        <v/>
      </c>
    </row>
    <row r="781">
      <c r="A781" s="22">
        <f>IF(Pipeline_Sort!$C781="","",INDEX(Pipeline_Calc!$B$2:$B$5251,Pipeline_Sort!$C781))</f>
        <v/>
      </c>
      <c r="B781">
        <f>IF(Pipeline_Sort!$C781="","",INDEX(Pipeline_Calc!$C$2:$C$5251,Pipeline_Sort!$C781))</f>
        <v/>
      </c>
      <c r="C781">
        <f>IF(Pipeline_Sort!$C781="","",INDEX(Pipeline_Calc!$D$2:$D$5251,Pipeline_Sort!$C781))</f>
        <v/>
      </c>
      <c r="D781">
        <f>IF(Pipeline_Sort!$C781="","",INDEX(Pipeline_Calc!$E$2:$E$5251,Pipeline_Sort!$C781))</f>
        <v/>
      </c>
      <c r="E781">
        <f>IF(Pipeline_Sort!$C781="","",INDEX(Pipeline_Calc!$F$2:$F$5251,Pipeline_Sort!$C781))</f>
        <v/>
      </c>
      <c r="F781">
        <f>IF(Pipeline_Sort!$C781="","",INDEX(Pipeline_Calc!$G$2:$G$5251,Pipeline_Sort!$C781))</f>
        <v/>
      </c>
      <c r="G781">
        <f>IF(Pipeline_Sort!$C781="","",INDEX(Pipeline_Calc!$H$2:$H$5251,Pipeline_Sort!$C781))</f>
        <v/>
      </c>
      <c r="H781">
        <f>IF(Pipeline_Sort!$C781="","",INDEX(Pipeline_Calc!$I$2:$I$5251,Pipeline_Sort!$C781))</f>
        <v/>
      </c>
      <c r="I781">
        <f>IF(Pipeline_Sort!$C781="","",INDEX(Pipeline_Calc!$J$2:$J$5251,Pipeline_Sort!$C781))</f>
        <v/>
      </c>
    </row>
    <row r="782">
      <c r="A782" s="22">
        <f>IF(Pipeline_Sort!$C782="","",INDEX(Pipeline_Calc!$B$2:$B$5251,Pipeline_Sort!$C782))</f>
        <v/>
      </c>
      <c r="B782">
        <f>IF(Pipeline_Sort!$C782="","",INDEX(Pipeline_Calc!$C$2:$C$5251,Pipeline_Sort!$C782))</f>
        <v/>
      </c>
      <c r="C782">
        <f>IF(Pipeline_Sort!$C782="","",INDEX(Pipeline_Calc!$D$2:$D$5251,Pipeline_Sort!$C782))</f>
        <v/>
      </c>
      <c r="D782">
        <f>IF(Pipeline_Sort!$C782="","",INDEX(Pipeline_Calc!$E$2:$E$5251,Pipeline_Sort!$C782))</f>
        <v/>
      </c>
      <c r="E782">
        <f>IF(Pipeline_Sort!$C782="","",INDEX(Pipeline_Calc!$F$2:$F$5251,Pipeline_Sort!$C782))</f>
        <v/>
      </c>
      <c r="F782">
        <f>IF(Pipeline_Sort!$C782="","",INDEX(Pipeline_Calc!$G$2:$G$5251,Pipeline_Sort!$C782))</f>
        <v/>
      </c>
      <c r="G782">
        <f>IF(Pipeline_Sort!$C782="","",INDEX(Pipeline_Calc!$H$2:$H$5251,Pipeline_Sort!$C782))</f>
        <v/>
      </c>
      <c r="H782">
        <f>IF(Pipeline_Sort!$C782="","",INDEX(Pipeline_Calc!$I$2:$I$5251,Pipeline_Sort!$C782))</f>
        <v/>
      </c>
      <c r="I782">
        <f>IF(Pipeline_Sort!$C782="","",INDEX(Pipeline_Calc!$J$2:$J$5251,Pipeline_Sort!$C782))</f>
        <v/>
      </c>
    </row>
    <row r="783">
      <c r="A783" s="22">
        <f>IF(Pipeline_Sort!$C783="","",INDEX(Pipeline_Calc!$B$2:$B$5251,Pipeline_Sort!$C783))</f>
        <v/>
      </c>
      <c r="B783">
        <f>IF(Pipeline_Sort!$C783="","",INDEX(Pipeline_Calc!$C$2:$C$5251,Pipeline_Sort!$C783))</f>
        <v/>
      </c>
      <c r="C783">
        <f>IF(Pipeline_Sort!$C783="","",INDEX(Pipeline_Calc!$D$2:$D$5251,Pipeline_Sort!$C783))</f>
        <v/>
      </c>
      <c r="D783">
        <f>IF(Pipeline_Sort!$C783="","",INDEX(Pipeline_Calc!$E$2:$E$5251,Pipeline_Sort!$C783))</f>
        <v/>
      </c>
      <c r="E783">
        <f>IF(Pipeline_Sort!$C783="","",INDEX(Pipeline_Calc!$F$2:$F$5251,Pipeline_Sort!$C783))</f>
        <v/>
      </c>
      <c r="F783">
        <f>IF(Pipeline_Sort!$C783="","",INDEX(Pipeline_Calc!$G$2:$G$5251,Pipeline_Sort!$C783))</f>
        <v/>
      </c>
      <c r="G783">
        <f>IF(Pipeline_Sort!$C783="","",INDEX(Pipeline_Calc!$H$2:$H$5251,Pipeline_Sort!$C783))</f>
        <v/>
      </c>
      <c r="H783">
        <f>IF(Pipeline_Sort!$C783="","",INDEX(Pipeline_Calc!$I$2:$I$5251,Pipeline_Sort!$C783))</f>
        <v/>
      </c>
      <c r="I783">
        <f>IF(Pipeline_Sort!$C783="","",INDEX(Pipeline_Calc!$J$2:$J$5251,Pipeline_Sort!$C783))</f>
        <v/>
      </c>
    </row>
    <row r="784">
      <c r="A784" s="22">
        <f>IF(Pipeline_Sort!$C784="","",INDEX(Pipeline_Calc!$B$2:$B$5251,Pipeline_Sort!$C784))</f>
        <v/>
      </c>
      <c r="B784">
        <f>IF(Pipeline_Sort!$C784="","",INDEX(Pipeline_Calc!$C$2:$C$5251,Pipeline_Sort!$C784))</f>
        <v/>
      </c>
      <c r="C784">
        <f>IF(Pipeline_Sort!$C784="","",INDEX(Pipeline_Calc!$D$2:$D$5251,Pipeline_Sort!$C784))</f>
        <v/>
      </c>
      <c r="D784">
        <f>IF(Pipeline_Sort!$C784="","",INDEX(Pipeline_Calc!$E$2:$E$5251,Pipeline_Sort!$C784))</f>
        <v/>
      </c>
      <c r="E784">
        <f>IF(Pipeline_Sort!$C784="","",INDEX(Pipeline_Calc!$F$2:$F$5251,Pipeline_Sort!$C784))</f>
        <v/>
      </c>
      <c r="F784">
        <f>IF(Pipeline_Sort!$C784="","",INDEX(Pipeline_Calc!$G$2:$G$5251,Pipeline_Sort!$C784))</f>
        <v/>
      </c>
      <c r="G784">
        <f>IF(Pipeline_Sort!$C784="","",INDEX(Pipeline_Calc!$H$2:$H$5251,Pipeline_Sort!$C784))</f>
        <v/>
      </c>
      <c r="H784">
        <f>IF(Pipeline_Sort!$C784="","",INDEX(Pipeline_Calc!$I$2:$I$5251,Pipeline_Sort!$C784))</f>
        <v/>
      </c>
      <c r="I784">
        <f>IF(Pipeline_Sort!$C784="","",INDEX(Pipeline_Calc!$J$2:$J$5251,Pipeline_Sort!$C784))</f>
        <v/>
      </c>
    </row>
    <row r="785">
      <c r="A785" s="22">
        <f>IF(Pipeline_Sort!$C785="","",INDEX(Pipeline_Calc!$B$2:$B$5251,Pipeline_Sort!$C785))</f>
        <v/>
      </c>
      <c r="B785">
        <f>IF(Pipeline_Sort!$C785="","",INDEX(Pipeline_Calc!$C$2:$C$5251,Pipeline_Sort!$C785))</f>
        <v/>
      </c>
      <c r="C785">
        <f>IF(Pipeline_Sort!$C785="","",INDEX(Pipeline_Calc!$D$2:$D$5251,Pipeline_Sort!$C785))</f>
        <v/>
      </c>
      <c r="D785">
        <f>IF(Pipeline_Sort!$C785="","",INDEX(Pipeline_Calc!$E$2:$E$5251,Pipeline_Sort!$C785))</f>
        <v/>
      </c>
      <c r="E785">
        <f>IF(Pipeline_Sort!$C785="","",INDEX(Pipeline_Calc!$F$2:$F$5251,Pipeline_Sort!$C785))</f>
        <v/>
      </c>
      <c r="F785">
        <f>IF(Pipeline_Sort!$C785="","",INDEX(Pipeline_Calc!$G$2:$G$5251,Pipeline_Sort!$C785))</f>
        <v/>
      </c>
      <c r="G785">
        <f>IF(Pipeline_Sort!$C785="","",INDEX(Pipeline_Calc!$H$2:$H$5251,Pipeline_Sort!$C785))</f>
        <v/>
      </c>
      <c r="H785">
        <f>IF(Pipeline_Sort!$C785="","",INDEX(Pipeline_Calc!$I$2:$I$5251,Pipeline_Sort!$C785))</f>
        <v/>
      </c>
      <c r="I785">
        <f>IF(Pipeline_Sort!$C785="","",INDEX(Pipeline_Calc!$J$2:$J$5251,Pipeline_Sort!$C785))</f>
        <v/>
      </c>
    </row>
    <row r="786">
      <c r="A786" s="22">
        <f>IF(Pipeline_Sort!$C786="","",INDEX(Pipeline_Calc!$B$2:$B$5251,Pipeline_Sort!$C786))</f>
        <v/>
      </c>
      <c r="B786">
        <f>IF(Pipeline_Sort!$C786="","",INDEX(Pipeline_Calc!$C$2:$C$5251,Pipeline_Sort!$C786))</f>
        <v/>
      </c>
      <c r="C786">
        <f>IF(Pipeline_Sort!$C786="","",INDEX(Pipeline_Calc!$D$2:$D$5251,Pipeline_Sort!$C786))</f>
        <v/>
      </c>
      <c r="D786">
        <f>IF(Pipeline_Sort!$C786="","",INDEX(Pipeline_Calc!$E$2:$E$5251,Pipeline_Sort!$C786))</f>
        <v/>
      </c>
      <c r="E786">
        <f>IF(Pipeline_Sort!$C786="","",INDEX(Pipeline_Calc!$F$2:$F$5251,Pipeline_Sort!$C786))</f>
        <v/>
      </c>
      <c r="F786">
        <f>IF(Pipeline_Sort!$C786="","",INDEX(Pipeline_Calc!$G$2:$G$5251,Pipeline_Sort!$C786))</f>
        <v/>
      </c>
      <c r="G786">
        <f>IF(Pipeline_Sort!$C786="","",INDEX(Pipeline_Calc!$H$2:$H$5251,Pipeline_Sort!$C786))</f>
        <v/>
      </c>
      <c r="H786">
        <f>IF(Pipeline_Sort!$C786="","",INDEX(Pipeline_Calc!$I$2:$I$5251,Pipeline_Sort!$C786))</f>
        <v/>
      </c>
      <c r="I786">
        <f>IF(Pipeline_Sort!$C786="","",INDEX(Pipeline_Calc!$J$2:$J$5251,Pipeline_Sort!$C786))</f>
        <v/>
      </c>
    </row>
    <row r="787">
      <c r="A787" s="22">
        <f>IF(Pipeline_Sort!$C787="","",INDEX(Pipeline_Calc!$B$2:$B$5251,Pipeline_Sort!$C787))</f>
        <v/>
      </c>
      <c r="B787">
        <f>IF(Pipeline_Sort!$C787="","",INDEX(Pipeline_Calc!$C$2:$C$5251,Pipeline_Sort!$C787))</f>
        <v/>
      </c>
      <c r="C787">
        <f>IF(Pipeline_Sort!$C787="","",INDEX(Pipeline_Calc!$D$2:$D$5251,Pipeline_Sort!$C787))</f>
        <v/>
      </c>
      <c r="D787">
        <f>IF(Pipeline_Sort!$C787="","",INDEX(Pipeline_Calc!$E$2:$E$5251,Pipeline_Sort!$C787))</f>
        <v/>
      </c>
      <c r="E787">
        <f>IF(Pipeline_Sort!$C787="","",INDEX(Pipeline_Calc!$F$2:$F$5251,Pipeline_Sort!$C787))</f>
        <v/>
      </c>
      <c r="F787">
        <f>IF(Pipeline_Sort!$C787="","",INDEX(Pipeline_Calc!$G$2:$G$5251,Pipeline_Sort!$C787))</f>
        <v/>
      </c>
      <c r="G787">
        <f>IF(Pipeline_Sort!$C787="","",INDEX(Pipeline_Calc!$H$2:$H$5251,Pipeline_Sort!$C787))</f>
        <v/>
      </c>
      <c r="H787">
        <f>IF(Pipeline_Sort!$C787="","",INDEX(Pipeline_Calc!$I$2:$I$5251,Pipeline_Sort!$C787))</f>
        <v/>
      </c>
      <c r="I787">
        <f>IF(Pipeline_Sort!$C787="","",INDEX(Pipeline_Calc!$J$2:$J$5251,Pipeline_Sort!$C787))</f>
        <v/>
      </c>
    </row>
    <row r="788">
      <c r="A788" s="22">
        <f>IF(Pipeline_Sort!$C788="","",INDEX(Pipeline_Calc!$B$2:$B$5251,Pipeline_Sort!$C788))</f>
        <v/>
      </c>
      <c r="B788">
        <f>IF(Pipeline_Sort!$C788="","",INDEX(Pipeline_Calc!$C$2:$C$5251,Pipeline_Sort!$C788))</f>
        <v/>
      </c>
      <c r="C788">
        <f>IF(Pipeline_Sort!$C788="","",INDEX(Pipeline_Calc!$D$2:$D$5251,Pipeline_Sort!$C788))</f>
        <v/>
      </c>
      <c r="D788">
        <f>IF(Pipeline_Sort!$C788="","",INDEX(Pipeline_Calc!$E$2:$E$5251,Pipeline_Sort!$C788))</f>
        <v/>
      </c>
      <c r="E788">
        <f>IF(Pipeline_Sort!$C788="","",INDEX(Pipeline_Calc!$F$2:$F$5251,Pipeline_Sort!$C788))</f>
        <v/>
      </c>
      <c r="F788">
        <f>IF(Pipeline_Sort!$C788="","",INDEX(Pipeline_Calc!$G$2:$G$5251,Pipeline_Sort!$C788))</f>
        <v/>
      </c>
      <c r="G788">
        <f>IF(Pipeline_Sort!$C788="","",INDEX(Pipeline_Calc!$H$2:$H$5251,Pipeline_Sort!$C788))</f>
        <v/>
      </c>
      <c r="H788">
        <f>IF(Pipeline_Sort!$C788="","",INDEX(Pipeline_Calc!$I$2:$I$5251,Pipeline_Sort!$C788))</f>
        <v/>
      </c>
      <c r="I788">
        <f>IF(Pipeline_Sort!$C788="","",INDEX(Pipeline_Calc!$J$2:$J$5251,Pipeline_Sort!$C788))</f>
        <v/>
      </c>
    </row>
    <row r="789">
      <c r="A789" s="22">
        <f>IF(Pipeline_Sort!$C789="","",INDEX(Pipeline_Calc!$B$2:$B$5251,Pipeline_Sort!$C789))</f>
        <v/>
      </c>
      <c r="B789">
        <f>IF(Pipeline_Sort!$C789="","",INDEX(Pipeline_Calc!$C$2:$C$5251,Pipeline_Sort!$C789))</f>
        <v/>
      </c>
      <c r="C789">
        <f>IF(Pipeline_Sort!$C789="","",INDEX(Pipeline_Calc!$D$2:$D$5251,Pipeline_Sort!$C789))</f>
        <v/>
      </c>
      <c r="D789">
        <f>IF(Pipeline_Sort!$C789="","",INDEX(Pipeline_Calc!$E$2:$E$5251,Pipeline_Sort!$C789))</f>
        <v/>
      </c>
      <c r="E789">
        <f>IF(Pipeline_Sort!$C789="","",INDEX(Pipeline_Calc!$F$2:$F$5251,Pipeline_Sort!$C789))</f>
        <v/>
      </c>
      <c r="F789">
        <f>IF(Pipeline_Sort!$C789="","",INDEX(Pipeline_Calc!$G$2:$G$5251,Pipeline_Sort!$C789))</f>
        <v/>
      </c>
      <c r="G789">
        <f>IF(Pipeline_Sort!$C789="","",INDEX(Pipeline_Calc!$H$2:$H$5251,Pipeline_Sort!$C789))</f>
        <v/>
      </c>
      <c r="H789">
        <f>IF(Pipeline_Sort!$C789="","",INDEX(Pipeline_Calc!$I$2:$I$5251,Pipeline_Sort!$C789))</f>
        <v/>
      </c>
      <c r="I789">
        <f>IF(Pipeline_Sort!$C789="","",INDEX(Pipeline_Calc!$J$2:$J$5251,Pipeline_Sort!$C789))</f>
        <v/>
      </c>
    </row>
    <row r="790">
      <c r="A790" s="22">
        <f>IF(Pipeline_Sort!$C790="","",INDEX(Pipeline_Calc!$B$2:$B$5251,Pipeline_Sort!$C790))</f>
        <v/>
      </c>
      <c r="B790">
        <f>IF(Pipeline_Sort!$C790="","",INDEX(Pipeline_Calc!$C$2:$C$5251,Pipeline_Sort!$C790))</f>
        <v/>
      </c>
      <c r="C790">
        <f>IF(Pipeline_Sort!$C790="","",INDEX(Pipeline_Calc!$D$2:$D$5251,Pipeline_Sort!$C790))</f>
        <v/>
      </c>
      <c r="D790">
        <f>IF(Pipeline_Sort!$C790="","",INDEX(Pipeline_Calc!$E$2:$E$5251,Pipeline_Sort!$C790))</f>
        <v/>
      </c>
      <c r="E790">
        <f>IF(Pipeline_Sort!$C790="","",INDEX(Pipeline_Calc!$F$2:$F$5251,Pipeline_Sort!$C790))</f>
        <v/>
      </c>
      <c r="F790">
        <f>IF(Pipeline_Sort!$C790="","",INDEX(Pipeline_Calc!$G$2:$G$5251,Pipeline_Sort!$C790))</f>
        <v/>
      </c>
      <c r="G790">
        <f>IF(Pipeline_Sort!$C790="","",INDEX(Pipeline_Calc!$H$2:$H$5251,Pipeline_Sort!$C790))</f>
        <v/>
      </c>
      <c r="H790">
        <f>IF(Pipeline_Sort!$C790="","",INDEX(Pipeline_Calc!$I$2:$I$5251,Pipeline_Sort!$C790))</f>
        <v/>
      </c>
      <c r="I790">
        <f>IF(Pipeline_Sort!$C790="","",INDEX(Pipeline_Calc!$J$2:$J$5251,Pipeline_Sort!$C790))</f>
        <v/>
      </c>
    </row>
    <row r="791">
      <c r="A791" s="22">
        <f>IF(Pipeline_Sort!$C791="","",INDEX(Pipeline_Calc!$B$2:$B$5251,Pipeline_Sort!$C791))</f>
        <v/>
      </c>
      <c r="B791">
        <f>IF(Pipeline_Sort!$C791="","",INDEX(Pipeline_Calc!$C$2:$C$5251,Pipeline_Sort!$C791))</f>
        <v/>
      </c>
      <c r="C791">
        <f>IF(Pipeline_Sort!$C791="","",INDEX(Pipeline_Calc!$D$2:$D$5251,Pipeline_Sort!$C791))</f>
        <v/>
      </c>
      <c r="D791">
        <f>IF(Pipeline_Sort!$C791="","",INDEX(Pipeline_Calc!$E$2:$E$5251,Pipeline_Sort!$C791))</f>
        <v/>
      </c>
      <c r="E791">
        <f>IF(Pipeline_Sort!$C791="","",INDEX(Pipeline_Calc!$F$2:$F$5251,Pipeline_Sort!$C791))</f>
        <v/>
      </c>
      <c r="F791">
        <f>IF(Pipeline_Sort!$C791="","",INDEX(Pipeline_Calc!$G$2:$G$5251,Pipeline_Sort!$C791))</f>
        <v/>
      </c>
      <c r="G791">
        <f>IF(Pipeline_Sort!$C791="","",INDEX(Pipeline_Calc!$H$2:$H$5251,Pipeline_Sort!$C791))</f>
        <v/>
      </c>
      <c r="H791">
        <f>IF(Pipeline_Sort!$C791="","",INDEX(Pipeline_Calc!$I$2:$I$5251,Pipeline_Sort!$C791))</f>
        <v/>
      </c>
      <c r="I791">
        <f>IF(Pipeline_Sort!$C791="","",INDEX(Pipeline_Calc!$J$2:$J$5251,Pipeline_Sort!$C791))</f>
        <v/>
      </c>
    </row>
    <row r="792">
      <c r="A792" s="22">
        <f>IF(Pipeline_Sort!$C792="","",INDEX(Pipeline_Calc!$B$2:$B$5251,Pipeline_Sort!$C792))</f>
        <v/>
      </c>
      <c r="B792">
        <f>IF(Pipeline_Sort!$C792="","",INDEX(Pipeline_Calc!$C$2:$C$5251,Pipeline_Sort!$C792))</f>
        <v/>
      </c>
      <c r="C792">
        <f>IF(Pipeline_Sort!$C792="","",INDEX(Pipeline_Calc!$D$2:$D$5251,Pipeline_Sort!$C792))</f>
        <v/>
      </c>
      <c r="D792">
        <f>IF(Pipeline_Sort!$C792="","",INDEX(Pipeline_Calc!$E$2:$E$5251,Pipeline_Sort!$C792))</f>
        <v/>
      </c>
      <c r="E792">
        <f>IF(Pipeline_Sort!$C792="","",INDEX(Pipeline_Calc!$F$2:$F$5251,Pipeline_Sort!$C792))</f>
        <v/>
      </c>
      <c r="F792">
        <f>IF(Pipeline_Sort!$C792="","",INDEX(Pipeline_Calc!$G$2:$G$5251,Pipeline_Sort!$C792))</f>
        <v/>
      </c>
      <c r="G792">
        <f>IF(Pipeline_Sort!$C792="","",INDEX(Pipeline_Calc!$H$2:$H$5251,Pipeline_Sort!$C792))</f>
        <v/>
      </c>
      <c r="H792">
        <f>IF(Pipeline_Sort!$C792="","",INDEX(Pipeline_Calc!$I$2:$I$5251,Pipeline_Sort!$C792))</f>
        <v/>
      </c>
      <c r="I792">
        <f>IF(Pipeline_Sort!$C792="","",INDEX(Pipeline_Calc!$J$2:$J$5251,Pipeline_Sort!$C792))</f>
        <v/>
      </c>
    </row>
    <row r="793">
      <c r="A793" s="22">
        <f>IF(Pipeline_Sort!$C793="","",INDEX(Pipeline_Calc!$B$2:$B$5251,Pipeline_Sort!$C793))</f>
        <v/>
      </c>
      <c r="B793">
        <f>IF(Pipeline_Sort!$C793="","",INDEX(Pipeline_Calc!$C$2:$C$5251,Pipeline_Sort!$C793))</f>
        <v/>
      </c>
      <c r="C793">
        <f>IF(Pipeline_Sort!$C793="","",INDEX(Pipeline_Calc!$D$2:$D$5251,Pipeline_Sort!$C793))</f>
        <v/>
      </c>
      <c r="D793">
        <f>IF(Pipeline_Sort!$C793="","",INDEX(Pipeline_Calc!$E$2:$E$5251,Pipeline_Sort!$C793))</f>
        <v/>
      </c>
      <c r="E793">
        <f>IF(Pipeline_Sort!$C793="","",INDEX(Pipeline_Calc!$F$2:$F$5251,Pipeline_Sort!$C793))</f>
        <v/>
      </c>
      <c r="F793">
        <f>IF(Pipeline_Sort!$C793="","",INDEX(Pipeline_Calc!$G$2:$G$5251,Pipeline_Sort!$C793))</f>
        <v/>
      </c>
      <c r="G793">
        <f>IF(Pipeline_Sort!$C793="","",INDEX(Pipeline_Calc!$H$2:$H$5251,Pipeline_Sort!$C793))</f>
        <v/>
      </c>
      <c r="H793">
        <f>IF(Pipeline_Sort!$C793="","",INDEX(Pipeline_Calc!$I$2:$I$5251,Pipeline_Sort!$C793))</f>
        <v/>
      </c>
      <c r="I793">
        <f>IF(Pipeline_Sort!$C793="","",INDEX(Pipeline_Calc!$J$2:$J$5251,Pipeline_Sort!$C793))</f>
        <v/>
      </c>
    </row>
    <row r="794">
      <c r="A794" s="22">
        <f>IF(Pipeline_Sort!$C794="","",INDEX(Pipeline_Calc!$B$2:$B$5251,Pipeline_Sort!$C794))</f>
        <v/>
      </c>
      <c r="B794">
        <f>IF(Pipeline_Sort!$C794="","",INDEX(Pipeline_Calc!$C$2:$C$5251,Pipeline_Sort!$C794))</f>
        <v/>
      </c>
      <c r="C794">
        <f>IF(Pipeline_Sort!$C794="","",INDEX(Pipeline_Calc!$D$2:$D$5251,Pipeline_Sort!$C794))</f>
        <v/>
      </c>
      <c r="D794">
        <f>IF(Pipeline_Sort!$C794="","",INDEX(Pipeline_Calc!$E$2:$E$5251,Pipeline_Sort!$C794))</f>
        <v/>
      </c>
      <c r="E794">
        <f>IF(Pipeline_Sort!$C794="","",INDEX(Pipeline_Calc!$F$2:$F$5251,Pipeline_Sort!$C794))</f>
        <v/>
      </c>
      <c r="F794">
        <f>IF(Pipeline_Sort!$C794="","",INDEX(Pipeline_Calc!$G$2:$G$5251,Pipeline_Sort!$C794))</f>
        <v/>
      </c>
      <c r="G794">
        <f>IF(Pipeline_Sort!$C794="","",INDEX(Pipeline_Calc!$H$2:$H$5251,Pipeline_Sort!$C794))</f>
        <v/>
      </c>
      <c r="H794">
        <f>IF(Pipeline_Sort!$C794="","",INDEX(Pipeline_Calc!$I$2:$I$5251,Pipeline_Sort!$C794))</f>
        <v/>
      </c>
      <c r="I794">
        <f>IF(Pipeline_Sort!$C794="","",INDEX(Pipeline_Calc!$J$2:$J$5251,Pipeline_Sort!$C794))</f>
        <v/>
      </c>
    </row>
    <row r="795">
      <c r="A795" s="22">
        <f>IF(Pipeline_Sort!$C795="","",INDEX(Pipeline_Calc!$B$2:$B$5251,Pipeline_Sort!$C795))</f>
        <v/>
      </c>
      <c r="B795">
        <f>IF(Pipeline_Sort!$C795="","",INDEX(Pipeline_Calc!$C$2:$C$5251,Pipeline_Sort!$C795))</f>
        <v/>
      </c>
      <c r="C795">
        <f>IF(Pipeline_Sort!$C795="","",INDEX(Pipeline_Calc!$D$2:$D$5251,Pipeline_Sort!$C795))</f>
        <v/>
      </c>
      <c r="D795">
        <f>IF(Pipeline_Sort!$C795="","",INDEX(Pipeline_Calc!$E$2:$E$5251,Pipeline_Sort!$C795))</f>
        <v/>
      </c>
      <c r="E795">
        <f>IF(Pipeline_Sort!$C795="","",INDEX(Pipeline_Calc!$F$2:$F$5251,Pipeline_Sort!$C795))</f>
        <v/>
      </c>
      <c r="F795">
        <f>IF(Pipeline_Sort!$C795="","",INDEX(Pipeline_Calc!$G$2:$G$5251,Pipeline_Sort!$C795))</f>
        <v/>
      </c>
      <c r="G795">
        <f>IF(Pipeline_Sort!$C795="","",INDEX(Pipeline_Calc!$H$2:$H$5251,Pipeline_Sort!$C795))</f>
        <v/>
      </c>
      <c r="H795">
        <f>IF(Pipeline_Sort!$C795="","",INDEX(Pipeline_Calc!$I$2:$I$5251,Pipeline_Sort!$C795))</f>
        <v/>
      </c>
      <c r="I795">
        <f>IF(Pipeline_Sort!$C795="","",INDEX(Pipeline_Calc!$J$2:$J$5251,Pipeline_Sort!$C795))</f>
        <v/>
      </c>
    </row>
    <row r="796">
      <c r="A796" s="22">
        <f>IF(Pipeline_Sort!$C796="","",INDEX(Pipeline_Calc!$B$2:$B$5251,Pipeline_Sort!$C796))</f>
        <v/>
      </c>
      <c r="B796">
        <f>IF(Pipeline_Sort!$C796="","",INDEX(Pipeline_Calc!$C$2:$C$5251,Pipeline_Sort!$C796))</f>
        <v/>
      </c>
      <c r="C796">
        <f>IF(Pipeline_Sort!$C796="","",INDEX(Pipeline_Calc!$D$2:$D$5251,Pipeline_Sort!$C796))</f>
        <v/>
      </c>
      <c r="D796">
        <f>IF(Pipeline_Sort!$C796="","",INDEX(Pipeline_Calc!$E$2:$E$5251,Pipeline_Sort!$C796))</f>
        <v/>
      </c>
      <c r="E796">
        <f>IF(Pipeline_Sort!$C796="","",INDEX(Pipeline_Calc!$F$2:$F$5251,Pipeline_Sort!$C796))</f>
        <v/>
      </c>
      <c r="F796">
        <f>IF(Pipeline_Sort!$C796="","",INDEX(Pipeline_Calc!$G$2:$G$5251,Pipeline_Sort!$C796))</f>
        <v/>
      </c>
      <c r="G796">
        <f>IF(Pipeline_Sort!$C796="","",INDEX(Pipeline_Calc!$H$2:$H$5251,Pipeline_Sort!$C796))</f>
        <v/>
      </c>
      <c r="H796">
        <f>IF(Pipeline_Sort!$C796="","",INDEX(Pipeline_Calc!$I$2:$I$5251,Pipeline_Sort!$C796))</f>
        <v/>
      </c>
      <c r="I796">
        <f>IF(Pipeline_Sort!$C796="","",INDEX(Pipeline_Calc!$J$2:$J$5251,Pipeline_Sort!$C796))</f>
        <v/>
      </c>
    </row>
    <row r="797">
      <c r="A797" s="22">
        <f>IF(Pipeline_Sort!$C797="","",INDEX(Pipeline_Calc!$B$2:$B$5251,Pipeline_Sort!$C797))</f>
        <v/>
      </c>
      <c r="B797">
        <f>IF(Pipeline_Sort!$C797="","",INDEX(Pipeline_Calc!$C$2:$C$5251,Pipeline_Sort!$C797))</f>
        <v/>
      </c>
      <c r="C797">
        <f>IF(Pipeline_Sort!$C797="","",INDEX(Pipeline_Calc!$D$2:$D$5251,Pipeline_Sort!$C797))</f>
        <v/>
      </c>
      <c r="D797">
        <f>IF(Pipeline_Sort!$C797="","",INDEX(Pipeline_Calc!$E$2:$E$5251,Pipeline_Sort!$C797))</f>
        <v/>
      </c>
      <c r="E797">
        <f>IF(Pipeline_Sort!$C797="","",INDEX(Pipeline_Calc!$F$2:$F$5251,Pipeline_Sort!$C797))</f>
        <v/>
      </c>
      <c r="F797">
        <f>IF(Pipeline_Sort!$C797="","",INDEX(Pipeline_Calc!$G$2:$G$5251,Pipeline_Sort!$C797))</f>
        <v/>
      </c>
      <c r="G797">
        <f>IF(Pipeline_Sort!$C797="","",INDEX(Pipeline_Calc!$H$2:$H$5251,Pipeline_Sort!$C797))</f>
        <v/>
      </c>
      <c r="H797">
        <f>IF(Pipeline_Sort!$C797="","",INDEX(Pipeline_Calc!$I$2:$I$5251,Pipeline_Sort!$C797))</f>
        <v/>
      </c>
      <c r="I797">
        <f>IF(Pipeline_Sort!$C797="","",INDEX(Pipeline_Calc!$J$2:$J$5251,Pipeline_Sort!$C797))</f>
        <v/>
      </c>
    </row>
    <row r="798">
      <c r="A798" s="22">
        <f>IF(Pipeline_Sort!$C798="","",INDEX(Pipeline_Calc!$B$2:$B$5251,Pipeline_Sort!$C798))</f>
        <v/>
      </c>
      <c r="B798">
        <f>IF(Pipeline_Sort!$C798="","",INDEX(Pipeline_Calc!$C$2:$C$5251,Pipeline_Sort!$C798))</f>
        <v/>
      </c>
      <c r="C798">
        <f>IF(Pipeline_Sort!$C798="","",INDEX(Pipeline_Calc!$D$2:$D$5251,Pipeline_Sort!$C798))</f>
        <v/>
      </c>
      <c r="D798">
        <f>IF(Pipeline_Sort!$C798="","",INDEX(Pipeline_Calc!$E$2:$E$5251,Pipeline_Sort!$C798))</f>
        <v/>
      </c>
      <c r="E798">
        <f>IF(Pipeline_Sort!$C798="","",INDEX(Pipeline_Calc!$F$2:$F$5251,Pipeline_Sort!$C798))</f>
        <v/>
      </c>
      <c r="F798">
        <f>IF(Pipeline_Sort!$C798="","",INDEX(Pipeline_Calc!$G$2:$G$5251,Pipeline_Sort!$C798))</f>
        <v/>
      </c>
      <c r="G798">
        <f>IF(Pipeline_Sort!$C798="","",INDEX(Pipeline_Calc!$H$2:$H$5251,Pipeline_Sort!$C798))</f>
        <v/>
      </c>
      <c r="H798">
        <f>IF(Pipeline_Sort!$C798="","",INDEX(Pipeline_Calc!$I$2:$I$5251,Pipeline_Sort!$C798))</f>
        <v/>
      </c>
      <c r="I798">
        <f>IF(Pipeline_Sort!$C798="","",INDEX(Pipeline_Calc!$J$2:$J$5251,Pipeline_Sort!$C798))</f>
        <v/>
      </c>
    </row>
    <row r="799">
      <c r="A799" s="22">
        <f>IF(Pipeline_Sort!$C799="","",INDEX(Pipeline_Calc!$B$2:$B$5251,Pipeline_Sort!$C799))</f>
        <v/>
      </c>
      <c r="B799">
        <f>IF(Pipeline_Sort!$C799="","",INDEX(Pipeline_Calc!$C$2:$C$5251,Pipeline_Sort!$C799))</f>
        <v/>
      </c>
      <c r="C799">
        <f>IF(Pipeline_Sort!$C799="","",INDEX(Pipeline_Calc!$D$2:$D$5251,Pipeline_Sort!$C799))</f>
        <v/>
      </c>
      <c r="D799">
        <f>IF(Pipeline_Sort!$C799="","",INDEX(Pipeline_Calc!$E$2:$E$5251,Pipeline_Sort!$C799))</f>
        <v/>
      </c>
      <c r="E799">
        <f>IF(Pipeline_Sort!$C799="","",INDEX(Pipeline_Calc!$F$2:$F$5251,Pipeline_Sort!$C799))</f>
        <v/>
      </c>
      <c r="F799">
        <f>IF(Pipeline_Sort!$C799="","",INDEX(Pipeline_Calc!$G$2:$G$5251,Pipeline_Sort!$C799))</f>
        <v/>
      </c>
      <c r="G799">
        <f>IF(Pipeline_Sort!$C799="","",INDEX(Pipeline_Calc!$H$2:$H$5251,Pipeline_Sort!$C799))</f>
        <v/>
      </c>
      <c r="H799">
        <f>IF(Pipeline_Sort!$C799="","",INDEX(Pipeline_Calc!$I$2:$I$5251,Pipeline_Sort!$C799))</f>
        <v/>
      </c>
      <c r="I799">
        <f>IF(Pipeline_Sort!$C799="","",INDEX(Pipeline_Calc!$J$2:$J$5251,Pipeline_Sort!$C799))</f>
        <v/>
      </c>
    </row>
    <row r="800">
      <c r="A800" s="22">
        <f>IF(Pipeline_Sort!$C800="","",INDEX(Pipeline_Calc!$B$2:$B$5251,Pipeline_Sort!$C800))</f>
        <v/>
      </c>
      <c r="B800">
        <f>IF(Pipeline_Sort!$C800="","",INDEX(Pipeline_Calc!$C$2:$C$5251,Pipeline_Sort!$C800))</f>
        <v/>
      </c>
      <c r="C800">
        <f>IF(Pipeline_Sort!$C800="","",INDEX(Pipeline_Calc!$D$2:$D$5251,Pipeline_Sort!$C800))</f>
        <v/>
      </c>
      <c r="D800">
        <f>IF(Pipeline_Sort!$C800="","",INDEX(Pipeline_Calc!$E$2:$E$5251,Pipeline_Sort!$C800))</f>
        <v/>
      </c>
      <c r="E800">
        <f>IF(Pipeline_Sort!$C800="","",INDEX(Pipeline_Calc!$F$2:$F$5251,Pipeline_Sort!$C800))</f>
        <v/>
      </c>
      <c r="F800">
        <f>IF(Pipeline_Sort!$C800="","",INDEX(Pipeline_Calc!$G$2:$G$5251,Pipeline_Sort!$C800))</f>
        <v/>
      </c>
      <c r="G800">
        <f>IF(Pipeline_Sort!$C800="","",INDEX(Pipeline_Calc!$H$2:$H$5251,Pipeline_Sort!$C800))</f>
        <v/>
      </c>
      <c r="H800">
        <f>IF(Pipeline_Sort!$C800="","",INDEX(Pipeline_Calc!$I$2:$I$5251,Pipeline_Sort!$C800))</f>
        <v/>
      </c>
      <c r="I800">
        <f>IF(Pipeline_Sort!$C800="","",INDEX(Pipeline_Calc!$J$2:$J$5251,Pipeline_Sort!$C800))</f>
        <v/>
      </c>
    </row>
    <row r="801">
      <c r="A801" s="22">
        <f>IF(Pipeline_Sort!$C801="","",INDEX(Pipeline_Calc!$B$2:$B$5251,Pipeline_Sort!$C801))</f>
        <v/>
      </c>
      <c r="B801">
        <f>IF(Pipeline_Sort!$C801="","",INDEX(Pipeline_Calc!$C$2:$C$5251,Pipeline_Sort!$C801))</f>
        <v/>
      </c>
      <c r="C801">
        <f>IF(Pipeline_Sort!$C801="","",INDEX(Pipeline_Calc!$D$2:$D$5251,Pipeline_Sort!$C801))</f>
        <v/>
      </c>
      <c r="D801">
        <f>IF(Pipeline_Sort!$C801="","",INDEX(Pipeline_Calc!$E$2:$E$5251,Pipeline_Sort!$C801))</f>
        <v/>
      </c>
      <c r="E801">
        <f>IF(Pipeline_Sort!$C801="","",INDEX(Pipeline_Calc!$F$2:$F$5251,Pipeline_Sort!$C801))</f>
        <v/>
      </c>
      <c r="F801">
        <f>IF(Pipeline_Sort!$C801="","",INDEX(Pipeline_Calc!$G$2:$G$5251,Pipeline_Sort!$C801))</f>
        <v/>
      </c>
      <c r="G801">
        <f>IF(Pipeline_Sort!$C801="","",INDEX(Pipeline_Calc!$H$2:$H$5251,Pipeline_Sort!$C801))</f>
        <v/>
      </c>
      <c r="H801">
        <f>IF(Pipeline_Sort!$C801="","",INDEX(Pipeline_Calc!$I$2:$I$5251,Pipeline_Sort!$C801))</f>
        <v/>
      </c>
      <c r="I801">
        <f>IF(Pipeline_Sort!$C801="","",INDEX(Pipeline_Calc!$J$2:$J$5251,Pipeline_Sort!$C801))</f>
        <v/>
      </c>
    </row>
    <row r="802">
      <c r="A802" s="22">
        <f>IF(Pipeline_Sort!$C802="","",INDEX(Pipeline_Calc!$B$2:$B$5251,Pipeline_Sort!$C802))</f>
        <v/>
      </c>
      <c r="B802">
        <f>IF(Pipeline_Sort!$C802="","",INDEX(Pipeline_Calc!$C$2:$C$5251,Pipeline_Sort!$C802))</f>
        <v/>
      </c>
      <c r="C802">
        <f>IF(Pipeline_Sort!$C802="","",INDEX(Pipeline_Calc!$D$2:$D$5251,Pipeline_Sort!$C802))</f>
        <v/>
      </c>
      <c r="D802">
        <f>IF(Pipeline_Sort!$C802="","",INDEX(Pipeline_Calc!$E$2:$E$5251,Pipeline_Sort!$C802))</f>
        <v/>
      </c>
      <c r="E802">
        <f>IF(Pipeline_Sort!$C802="","",INDEX(Pipeline_Calc!$F$2:$F$5251,Pipeline_Sort!$C802))</f>
        <v/>
      </c>
      <c r="F802">
        <f>IF(Pipeline_Sort!$C802="","",INDEX(Pipeline_Calc!$G$2:$G$5251,Pipeline_Sort!$C802))</f>
        <v/>
      </c>
      <c r="G802">
        <f>IF(Pipeline_Sort!$C802="","",INDEX(Pipeline_Calc!$H$2:$H$5251,Pipeline_Sort!$C802))</f>
        <v/>
      </c>
      <c r="H802">
        <f>IF(Pipeline_Sort!$C802="","",INDEX(Pipeline_Calc!$I$2:$I$5251,Pipeline_Sort!$C802))</f>
        <v/>
      </c>
      <c r="I802">
        <f>IF(Pipeline_Sort!$C802="","",INDEX(Pipeline_Calc!$J$2:$J$5251,Pipeline_Sort!$C802))</f>
        <v/>
      </c>
    </row>
    <row r="803">
      <c r="A803" s="22">
        <f>IF(Pipeline_Sort!$C803="","",INDEX(Pipeline_Calc!$B$2:$B$5251,Pipeline_Sort!$C803))</f>
        <v/>
      </c>
      <c r="B803">
        <f>IF(Pipeline_Sort!$C803="","",INDEX(Pipeline_Calc!$C$2:$C$5251,Pipeline_Sort!$C803))</f>
        <v/>
      </c>
      <c r="C803">
        <f>IF(Pipeline_Sort!$C803="","",INDEX(Pipeline_Calc!$D$2:$D$5251,Pipeline_Sort!$C803))</f>
        <v/>
      </c>
      <c r="D803">
        <f>IF(Pipeline_Sort!$C803="","",INDEX(Pipeline_Calc!$E$2:$E$5251,Pipeline_Sort!$C803))</f>
        <v/>
      </c>
      <c r="E803">
        <f>IF(Pipeline_Sort!$C803="","",INDEX(Pipeline_Calc!$F$2:$F$5251,Pipeline_Sort!$C803))</f>
        <v/>
      </c>
      <c r="F803">
        <f>IF(Pipeline_Sort!$C803="","",INDEX(Pipeline_Calc!$G$2:$G$5251,Pipeline_Sort!$C803))</f>
        <v/>
      </c>
      <c r="G803">
        <f>IF(Pipeline_Sort!$C803="","",INDEX(Pipeline_Calc!$H$2:$H$5251,Pipeline_Sort!$C803))</f>
        <v/>
      </c>
      <c r="H803">
        <f>IF(Pipeline_Sort!$C803="","",INDEX(Pipeline_Calc!$I$2:$I$5251,Pipeline_Sort!$C803))</f>
        <v/>
      </c>
      <c r="I803">
        <f>IF(Pipeline_Sort!$C803="","",INDEX(Pipeline_Calc!$J$2:$J$5251,Pipeline_Sort!$C803))</f>
        <v/>
      </c>
    </row>
    <row r="804">
      <c r="A804" s="22">
        <f>IF(Pipeline_Sort!$C804="","",INDEX(Pipeline_Calc!$B$2:$B$5251,Pipeline_Sort!$C804))</f>
        <v/>
      </c>
      <c r="B804">
        <f>IF(Pipeline_Sort!$C804="","",INDEX(Pipeline_Calc!$C$2:$C$5251,Pipeline_Sort!$C804))</f>
        <v/>
      </c>
      <c r="C804">
        <f>IF(Pipeline_Sort!$C804="","",INDEX(Pipeline_Calc!$D$2:$D$5251,Pipeline_Sort!$C804))</f>
        <v/>
      </c>
      <c r="D804">
        <f>IF(Pipeline_Sort!$C804="","",INDEX(Pipeline_Calc!$E$2:$E$5251,Pipeline_Sort!$C804))</f>
        <v/>
      </c>
      <c r="E804">
        <f>IF(Pipeline_Sort!$C804="","",INDEX(Pipeline_Calc!$F$2:$F$5251,Pipeline_Sort!$C804))</f>
        <v/>
      </c>
      <c r="F804">
        <f>IF(Pipeline_Sort!$C804="","",INDEX(Pipeline_Calc!$G$2:$G$5251,Pipeline_Sort!$C804))</f>
        <v/>
      </c>
      <c r="G804">
        <f>IF(Pipeline_Sort!$C804="","",INDEX(Pipeline_Calc!$H$2:$H$5251,Pipeline_Sort!$C804))</f>
        <v/>
      </c>
      <c r="H804">
        <f>IF(Pipeline_Sort!$C804="","",INDEX(Pipeline_Calc!$I$2:$I$5251,Pipeline_Sort!$C804))</f>
        <v/>
      </c>
      <c r="I804">
        <f>IF(Pipeline_Sort!$C804="","",INDEX(Pipeline_Calc!$J$2:$J$5251,Pipeline_Sort!$C804))</f>
        <v/>
      </c>
    </row>
    <row r="805">
      <c r="A805" s="22">
        <f>IF(Pipeline_Sort!$C805="","",INDEX(Pipeline_Calc!$B$2:$B$5251,Pipeline_Sort!$C805))</f>
        <v/>
      </c>
      <c r="B805">
        <f>IF(Pipeline_Sort!$C805="","",INDEX(Pipeline_Calc!$C$2:$C$5251,Pipeline_Sort!$C805))</f>
        <v/>
      </c>
      <c r="C805">
        <f>IF(Pipeline_Sort!$C805="","",INDEX(Pipeline_Calc!$D$2:$D$5251,Pipeline_Sort!$C805))</f>
        <v/>
      </c>
      <c r="D805">
        <f>IF(Pipeline_Sort!$C805="","",INDEX(Pipeline_Calc!$E$2:$E$5251,Pipeline_Sort!$C805))</f>
        <v/>
      </c>
      <c r="E805">
        <f>IF(Pipeline_Sort!$C805="","",INDEX(Pipeline_Calc!$F$2:$F$5251,Pipeline_Sort!$C805))</f>
        <v/>
      </c>
      <c r="F805">
        <f>IF(Pipeline_Sort!$C805="","",INDEX(Pipeline_Calc!$G$2:$G$5251,Pipeline_Sort!$C805))</f>
        <v/>
      </c>
      <c r="G805">
        <f>IF(Pipeline_Sort!$C805="","",INDEX(Pipeline_Calc!$H$2:$H$5251,Pipeline_Sort!$C805))</f>
        <v/>
      </c>
      <c r="H805">
        <f>IF(Pipeline_Sort!$C805="","",INDEX(Pipeline_Calc!$I$2:$I$5251,Pipeline_Sort!$C805))</f>
        <v/>
      </c>
      <c r="I805">
        <f>IF(Pipeline_Sort!$C805="","",INDEX(Pipeline_Calc!$J$2:$J$5251,Pipeline_Sort!$C805))</f>
        <v/>
      </c>
    </row>
    <row r="806">
      <c r="A806" s="22">
        <f>IF(Pipeline_Sort!$C806="","",INDEX(Pipeline_Calc!$B$2:$B$5251,Pipeline_Sort!$C806))</f>
        <v/>
      </c>
      <c r="B806">
        <f>IF(Pipeline_Sort!$C806="","",INDEX(Pipeline_Calc!$C$2:$C$5251,Pipeline_Sort!$C806))</f>
        <v/>
      </c>
      <c r="C806">
        <f>IF(Pipeline_Sort!$C806="","",INDEX(Pipeline_Calc!$D$2:$D$5251,Pipeline_Sort!$C806))</f>
        <v/>
      </c>
      <c r="D806">
        <f>IF(Pipeline_Sort!$C806="","",INDEX(Pipeline_Calc!$E$2:$E$5251,Pipeline_Sort!$C806))</f>
        <v/>
      </c>
      <c r="E806">
        <f>IF(Pipeline_Sort!$C806="","",INDEX(Pipeline_Calc!$F$2:$F$5251,Pipeline_Sort!$C806))</f>
        <v/>
      </c>
      <c r="F806">
        <f>IF(Pipeline_Sort!$C806="","",INDEX(Pipeline_Calc!$G$2:$G$5251,Pipeline_Sort!$C806))</f>
        <v/>
      </c>
      <c r="G806">
        <f>IF(Pipeline_Sort!$C806="","",INDEX(Pipeline_Calc!$H$2:$H$5251,Pipeline_Sort!$C806))</f>
        <v/>
      </c>
      <c r="H806">
        <f>IF(Pipeline_Sort!$C806="","",INDEX(Pipeline_Calc!$I$2:$I$5251,Pipeline_Sort!$C806))</f>
        <v/>
      </c>
      <c r="I806">
        <f>IF(Pipeline_Sort!$C806="","",INDEX(Pipeline_Calc!$J$2:$J$5251,Pipeline_Sort!$C806))</f>
        <v/>
      </c>
    </row>
    <row r="807">
      <c r="A807" s="22">
        <f>IF(Pipeline_Sort!$C807="","",INDEX(Pipeline_Calc!$B$2:$B$5251,Pipeline_Sort!$C807))</f>
        <v/>
      </c>
      <c r="B807">
        <f>IF(Pipeline_Sort!$C807="","",INDEX(Pipeline_Calc!$C$2:$C$5251,Pipeline_Sort!$C807))</f>
        <v/>
      </c>
      <c r="C807">
        <f>IF(Pipeline_Sort!$C807="","",INDEX(Pipeline_Calc!$D$2:$D$5251,Pipeline_Sort!$C807))</f>
        <v/>
      </c>
      <c r="D807">
        <f>IF(Pipeline_Sort!$C807="","",INDEX(Pipeline_Calc!$E$2:$E$5251,Pipeline_Sort!$C807))</f>
        <v/>
      </c>
      <c r="E807">
        <f>IF(Pipeline_Sort!$C807="","",INDEX(Pipeline_Calc!$F$2:$F$5251,Pipeline_Sort!$C807))</f>
        <v/>
      </c>
      <c r="F807">
        <f>IF(Pipeline_Sort!$C807="","",INDEX(Pipeline_Calc!$G$2:$G$5251,Pipeline_Sort!$C807))</f>
        <v/>
      </c>
      <c r="G807">
        <f>IF(Pipeline_Sort!$C807="","",INDEX(Pipeline_Calc!$H$2:$H$5251,Pipeline_Sort!$C807))</f>
        <v/>
      </c>
      <c r="H807">
        <f>IF(Pipeline_Sort!$C807="","",INDEX(Pipeline_Calc!$I$2:$I$5251,Pipeline_Sort!$C807))</f>
        <v/>
      </c>
      <c r="I807">
        <f>IF(Pipeline_Sort!$C807="","",INDEX(Pipeline_Calc!$J$2:$J$5251,Pipeline_Sort!$C807))</f>
        <v/>
      </c>
    </row>
    <row r="808">
      <c r="A808" s="22">
        <f>IF(Pipeline_Sort!$C808="","",INDEX(Pipeline_Calc!$B$2:$B$5251,Pipeline_Sort!$C808))</f>
        <v/>
      </c>
      <c r="B808">
        <f>IF(Pipeline_Sort!$C808="","",INDEX(Pipeline_Calc!$C$2:$C$5251,Pipeline_Sort!$C808))</f>
        <v/>
      </c>
      <c r="C808">
        <f>IF(Pipeline_Sort!$C808="","",INDEX(Pipeline_Calc!$D$2:$D$5251,Pipeline_Sort!$C808))</f>
        <v/>
      </c>
      <c r="D808">
        <f>IF(Pipeline_Sort!$C808="","",INDEX(Pipeline_Calc!$E$2:$E$5251,Pipeline_Sort!$C808))</f>
        <v/>
      </c>
      <c r="E808">
        <f>IF(Pipeline_Sort!$C808="","",INDEX(Pipeline_Calc!$F$2:$F$5251,Pipeline_Sort!$C808))</f>
        <v/>
      </c>
      <c r="F808">
        <f>IF(Pipeline_Sort!$C808="","",INDEX(Pipeline_Calc!$G$2:$G$5251,Pipeline_Sort!$C808))</f>
        <v/>
      </c>
      <c r="G808">
        <f>IF(Pipeline_Sort!$C808="","",INDEX(Pipeline_Calc!$H$2:$H$5251,Pipeline_Sort!$C808))</f>
        <v/>
      </c>
      <c r="H808">
        <f>IF(Pipeline_Sort!$C808="","",INDEX(Pipeline_Calc!$I$2:$I$5251,Pipeline_Sort!$C808))</f>
        <v/>
      </c>
      <c r="I808">
        <f>IF(Pipeline_Sort!$C808="","",INDEX(Pipeline_Calc!$J$2:$J$5251,Pipeline_Sort!$C808))</f>
        <v/>
      </c>
    </row>
    <row r="809">
      <c r="A809" s="22">
        <f>IF(Pipeline_Sort!$C809="","",INDEX(Pipeline_Calc!$B$2:$B$5251,Pipeline_Sort!$C809))</f>
        <v/>
      </c>
      <c r="B809">
        <f>IF(Pipeline_Sort!$C809="","",INDEX(Pipeline_Calc!$C$2:$C$5251,Pipeline_Sort!$C809))</f>
        <v/>
      </c>
      <c r="C809">
        <f>IF(Pipeline_Sort!$C809="","",INDEX(Pipeline_Calc!$D$2:$D$5251,Pipeline_Sort!$C809))</f>
        <v/>
      </c>
      <c r="D809">
        <f>IF(Pipeline_Sort!$C809="","",INDEX(Pipeline_Calc!$E$2:$E$5251,Pipeline_Sort!$C809))</f>
        <v/>
      </c>
      <c r="E809">
        <f>IF(Pipeline_Sort!$C809="","",INDEX(Pipeline_Calc!$F$2:$F$5251,Pipeline_Sort!$C809))</f>
        <v/>
      </c>
      <c r="F809">
        <f>IF(Pipeline_Sort!$C809="","",INDEX(Pipeline_Calc!$G$2:$G$5251,Pipeline_Sort!$C809))</f>
        <v/>
      </c>
      <c r="G809">
        <f>IF(Pipeline_Sort!$C809="","",INDEX(Pipeline_Calc!$H$2:$H$5251,Pipeline_Sort!$C809))</f>
        <v/>
      </c>
      <c r="H809">
        <f>IF(Pipeline_Sort!$C809="","",INDEX(Pipeline_Calc!$I$2:$I$5251,Pipeline_Sort!$C809))</f>
        <v/>
      </c>
      <c r="I809">
        <f>IF(Pipeline_Sort!$C809="","",INDEX(Pipeline_Calc!$J$2:$J$5251,Pipeline_Sort!$C809))</f>
        <v/>
      </c>
    </row>
    <row r="810">
      <c r="A810" s="22">
        <f>IF(Pipeline_Sort!$C810="","",INDEX(Pipeline_Calc!$B$2:$B$5251,Pipeline_Sort!$C810))</f>
        <v/>
      </c>
      <c r="B810">
        <f>IF(Pipeline_Sort!$C810="","",INDEX(Pipeline_Calc!$C$2:$C$5251,Pipeline_Sort!$C810))</f>
        <v/>
      </c>
      <c r="C810">
        <f>IF(Pipeline_Sort!$C810="","",INDEX(Pipeline_Calc!$D$2:$D$5251,Pipeline_Sort!$C810))</f>
        <v/>
      </c>
      <c r="D810">
        <f>IF(Pipeline_Sort!$C810="","",INDEX(Pipeline_Calc!$E$2:$E$5251,Pipeline_Sort!$C810))</f>
        <v/>
      </c>
      <c r="E810">
        <f>IF(Pipeline_Sort!$C810="","",INDEX(Pipeline_Calc!$F$2:$F$5251,Pipeline_Sort!$C810))</f>
        <v/>
      </c>
      <c r="F810">
        <f>IF(Pipeline_Sort!$C810="","",INDEX(Pipeline_Calc!$G$2:$G$5251,Pipeline_Sort!$C810))</f>
        <v/>
      </c>
      <c r="G810">
        <f>IF(Pipeline_Sort!$C810="","",INDEX(Pipeline_Calc!$H$2:$H$5251,Pipeline_Sort!$C810))</f>
        <v/>
      </c>
      <c r="H810">
        <f>IF(Pipeline_Sort!$C810="","",INDEX(Pipeline_Calc!$I$2:$I$5251,Pipeline_Sort!$C810))</f>
        <v/>
      </c>
      <c r="I810">
        <f>IF(Pipeline_Sort!$C810="","",INDEX(Pipeline_Calc!$J$2:$J$5251,Pipeline_Sort!$C810))</f>
        <v/>
      </c>
    </row>
    <row r="811">
      <c r="A811" s="22">
        <f>IF(Pipeline_Sort!$C811="","",INDEX(Pipeline_Calc!$B$2:$B$5251,Pipeline_Sort!$C811))</f>
        <v/>
      </c>
      <c r="B811">
        <f>IF(Pipeline_Sort!$C811="","",INDEX(Pipeline_Calc!$C$2:$C$5251,Pipeline_Sort!$C811))</f>
        <v/>
      </c>
      <c r="C811">
        <f>IF(Pipeline_Sort!$C811="","",INDEX(Pipeline_Calc!$D$2:$D$5251,Pipeline_Sort!$C811))</f>
        <v/>
      </c>
      <c r="D811">
        <f>IF(Pipeline_Sort!$C811="","",INDEX(Pipeline_Calc!$E$2:$E$5251,Pipeline_Sort!$C811))</f>
        <v/>
      </c>
      <c r="E811">
        <f>IF(Pipeline_Sort!$C811="","",INDEX(Pipeline_Calc!$F$2:$F$5251,Pipeline_Sort!$C811))</f>
        <v/>
      </c>
      <c r="F811">
        <f>IF(Pipeline_Sort!$C811="","",INDEX(Pipeline_Calc!$G$2:$G$5251,Pipeline_Sort!$C811))</f>
        <v/>
      </c>
      <c r="G811">
        <f>IF(Pipeline_Sort!$C811="","",INDEX(Pipeline_Calc!$H$2:$H$5251,Pipeline_Sort!$C811))</f>
        <v/>
      </c>
      <c r="H811">
        <f>IF(Pipeline_Sort!$C811="","",INDEX(Pipeline_Calc!$I$2:$I$5251,Pipeline_Sort!$C811))</f>
        <v/>
      </c>
      <c r="I811">
        <f>IF(Pipeline_Sort!$C811="","",INDEX(Pipeline_Calc!$J$2:$J$5251,Pipeline_Sort!$C811))</f>
        <v/>
      </c>
    </row>
    <row r="812">
      <c r="A812" s="22">
        <f>IF(Pipeline_Sort!$C812="","",INDEX(Pipeline_Calc!$B$2:$B$5251,Pipeline_Sort!$C812))</f>
        <v/>
      </c>
      <c r="B812">
        <f>IF(Pipeline_Sort!$C812="","",INDEX(Pipeline_Calc!$C$2:$C$5251,Pipeline_Sort!$C812))</f>
        <v/>
      </c>
      <c r="C812">
        <f>IF(Pipeline_Sort!$C812="","",INDEX(Pipeline_Calc!$D$2:$D$5251,Pipeline_Sort!$C812))</f>
        <v/>
      </c>
      <c r="D812">
        <f>IF(Pipeline_Sort!$C812="","",INDEX(Pipeline_Calc!$E$2:$E$5251,Pipeline_Sort!$C812))</f>
        <v/>
      </c>
      <c r="E812">
        <f>IF(Pipeline_Sort!$C812="","",INDEX(Pipeline_Calc!$F$2:$F$5251,Pipeline_Sort!$C812))</f>
        <v/>
      </c>
      <c r="F812">
        <f>IF(Pipeline_Sort!$C812="","",INDEX(Pipeline_Calc!$G$2:$G$5251,Pipeline_Sort!$C812))</f>
        <v/>
      </c>
      <c r="G812">
        <f>IF(Pipeline_Sort!$C812="","",INDEX(Pipeline_Calc!$H$2:$H$5251,Pipeline_Sort!$C812))</f>
        <v/>
      </c>
      <c r="H812">
        <f>IF(Pipeline_Sort!$C812="","",INDEX(Pipeline_Calc!$I$2:$I$5251,Pipeline_Sort!$C812))</f>
        <v/>
      </c>
      <c r="I812">
        <f>IF(Pipeline_Sort!$C812="","",INDEX(Pipeline_Calc!$J$2:$J$5251,Pipeline_Sort!$C812))</f>
        <v/>
      </c>
    </row>
    <row r="813">
      <c r="A813" s="22">
        <f>IF(Pipeline_Sort!$C813="","",INDEX(Pipeline_Calc!$B$2:$B$5251,Pipeline_Sort!$C813))</f>
        <v/>
      </c>
      <c r="B813">
        <f>IF(Pipeline_Sort!$C813="","",INDEX(Pipeline_Calc!$C$2:$C$5251,Pipeline_Sort!$C813))</f>
        <v/>
      </c>
      <c r="C813">
        <f>IF(Pipeline_Sort!$C813="","",INDEX(Pipeline_Calc!$D$2:$D$5251,Pipeline_Sort!$C813))</f>
        <v/>
      </c>
      <c r="D813">
        <f>IF(Pipeline_Sort!$C813="","",INDEX(Pipeline_Calc!$E$2:$E$5251,Pipeline_Sort!$C813))</f>
        <v/>
      </c>
      <c r="E813">
        <f>IF(Pipeline_Sort!$C813="","",INDEX(Pipeline_Calc!$F$2:$F$5251,Pipeline_Sort!$C813))</f>
        <v/>
      </c>
      <c r="F813">
        <f>IF(Pipeline_Sort!$C813="","",INDEX(Pipeline_Calc!$G$2:$G$5251,Pipeline_Sort!$C813))</f>
        <v/>
      </c>
      <c r="G813">
        <f>IF(Pipeline_Sort!$C813="","",INDEX(Pipeline_Calc!$H$2:$H$5251,Pipeline_Sort!$C813))</f>
        <v/>
      </c>
      <c r="H813">
        <f>IF(Pipeline_Sort!$C813="","",INDEX(Pipeline_Calc!$I$2:$I$5251,Pipeline_Sort!$C813))</f>
        <v/>
      </c>
      <c r="I813">
        <f>IF(Pipeline_Sort!$C813="","",INDEX(Pipeline_Calc!$J$2:$J$5251,Pipeline_Sort!$C813))</f>
        <v/>
      </c>
    </row>
    <row r="814">
      <c r="A814" s="22">
        <f>IF(Pipeline_Sort!$C814="","",INDEX(Pipeline_Calc!$B$2:$B$5251,Pipeline_Sort!$C814))</f>
        <v/>
      </c>
      <c r="B814">
        <f>IF(Pipeline_Sort!$C814="","",INDEX(Pipeline_Calc!$C$2:$C$5251,Pipeline_Sort!$C814))</f>
        <v/>
      </c>
      <c r="C814">
        <f>IF(Pipeline_Sort!$C814="","",INDEX(Pipeline_Calc!$D$2:$D$5251,Pipeline_Sort!$C814))</f>
        <v/>
      </c>
      <c r="D814">
        <f>IF(Pipeline_Sort!$C814="","",INDEX(Pipeline_Calc!$E$2:$E$5251,Pipeline_Sort!$C814))</f>
        <v/>
      </c>
      <c r="E814">
        <f>IF(Pipeline_Sort!$C814="","",INDEX(Pipeline_Calc!$F$2:$F$5251,Pipeline_Sort!$C814))</f>
        <v/>
      </c>
      <c r="F814">
        <f>IF(Pipeline_Sort!$C814="","",INDEX(Pipeline_Calc!$G$2:$G$5251,Pipeline_Sort!$C814))</f>
        <v/>
      </c>
      <c r="G814">
        <f>IF(Pipeline_Sort!$C814="","",INDEX(Pipeline_Calc!$H$2:$H$5251,Pipeline_Sort!$C814))</f>
        <v/>
      </c>
      <c r="H814">
        <f>IF(Pipeline_Sort!$C814="","",INDEX(Pipeline_Calc!$I$2:$I$5251,Pipeline_Sort!$C814))</f>
        <v/>
      </c>
      <c r="I814">
        <f>IF(Pipeline_Sort!$C814="","",INDEX(Pipeline_Calc!$J$2:$J$5251,Pipeline_Sort!$C814))</f>
        <v/>
      </c>
    </row>
    <row r="815">
      <c r="A815" s="22">
        <f>IF(Pipeline_Sort!$C815="","",INDEX(Pipeline_Calc!$B$2:$B$5251,Pipeline_Sort!$C815))</f>
        <v/>
      </c>
      <c r="B815">
        <f>IF(Pipeline_Sort!$C815="","",INDEX(Pipeline_Calc!$C$2:$C$5251,Pipeline_Sort!$C815))</f>
        <v/>
      </c>
      <c r="C815">
        <f>IF(Pipeline_Sort!$C815="","",INDEX(Pipeline_Calc!$D$2:$D$5251,Pipeline_Sort!$C815))</f>
        <v/>
      </c>
      <c r="D815">
        <f>IF(Pipeline_Sort!$C815="","",INDEX(Pipeline_Calc!$E$2:$E$5251,Pipeline_Sort!$C815))</f>
        <v/>
      </c>
      <c r="E815">
        <f>IF(Pipeline_Sort!$C815="","",INDEX(Pipeline_Calc!$F$2:$F$5251,Pipeline_Sort!$C815))</f>
        <v/>
      </c>
      <c r="F815">
        <f>IF(Pipeline_Sort!$C815="","",INDEX(Pipeline_Calc!$G$2:$G$5251,Pipeline_Sort!$C815))</f>
        <v/>
      </c>
      <c r="G815">
        <f>IF(Pipeline_Sort!$C815="","",INDEX(Pipeline_Calc!$H$2:$H$5251,Pipeline_Sort!$C815))</f>
        <v/>
      </c>
      <c r="H815">
        <f>IF(Pipeline_Sort!$C815="","",INDEX(Pipeline_Calc!$I$2:$I$5251,Pipeline_Sort!$C815))</f>
        <v/>
      </c>
      <c r="I815">
        <f>IF(Pipeline_Sort!$C815="","",INDEX(Pipeline_Calc!$J$2:$J$5251,Pipeline_Sort!$C815))</f>
        <v/>
      </c>
    </row>
    <row r="816">
      <c r="A816" s="22">
        <f>IF(Pipeline_Sort!$C816="","",INDEX(Pipeline_Calc!$B$2:$B$5251,Pipeline_Sort!$C816))</f>
        <v/>
      </c>
      <c r="B816">
        <f>IF(Pipeline_Sort!$C816="","",INDEX(Pipeline_Calc!$C$2:$C$5251,Pipeline_Sort!$C816))</f>
        <v/>
      </c>
      <c r="C816">
        <f>IF(Pipeline_Sort!$C816="","",INDEX(Pipeline_Calc!$D$2:$D$5251,Pipeline_Sort!$C816))</f>
        <v/>
      </c>
      <c r="D816">
        <f>IF(Pipeline_Sort!$C816="","",INDEX(Pipeline_Calc!$E$2:$E$5251,Pipeline_Sort!$C816))</f>
        <v/>
      </c>
      <c r="E816">
        <f>IF(Pipeline_Sort!$C816="","",INDEX(Pipeline_Calc!$F$2:$F$5251,Pipeline_Sort!$C816))</f>
        <v/>
      </c>
      <c r="F816">
        <f>IF(Pipeline_Sort!$C816="","",INDEX(Pipeline_Calc!$G$2:$G$5251,Pipeline_Sort!$C816))</f>
        <v/>
      </c>
      <c r="G816">
        <f>IF(Pipeline_Sort!$C816="","",INDEX(Pipeline_Calc!$H$2:$H$5251,Pipeline_Sort!$C816))</f>
        <v/>
      </c>
      <c r="H816">
        <f>IF(Pipeline_Sort!$C816="","",INDEX(Pipeline_Calc!$I$2:$I$5251,Pipeline_Sort!$C816))</f>
        <v/>
      </c>
      <c r="I816">
        <f>IF(Pipeline_Sort!$C816="","",INDEX(Pipeline_Calc!$J$2:$J$5251,Pipeline_Sort!$C816))</f>
        <v/>
      </c>
    </row>
    <row r="817">
      <c r="A817" s="22">
        <f>IF(Pipeline_Sort!$C817="","",INDEX(Pipeline_Calc!$B$2:$B$5251,Pipeline_Sort!$C817))</f>
        <v/>
      </c>
      <c r="B817">
        <f>IF(Pipeline_Sort!$C817="","",INDEX(Pipeline_Calc!$C$2:$C$5251,Pipeline_Sort!$C817))</f>
        <v/>
      </c>
      <c r="C817">
        <f>IF(Pipeline_Sort!$C817="","",INDEX(Pipeline_Calc!$D$2:$D$5251,Pipeline_Sort!$C817))</f>
        <v/>
      </c>
      <c r="D817">
        <f>IF(Pipeline_Sort!$C817="","",INDEX(Pipeline_Calc!$E$2:$E$5251,Pipeline_Sort!$C817))</f>
        <v/>
      </c>
      <c r="E817">
        <f>IF(Pipeline_Sort!$C817="","",INDEX(Pipeline_Calc!$F$2:$F$5251,Pipeline_Sort!$C817))</f>
        <v/>
      </c>
      <c r="F817">
        <f>IF(Pipeline_Sort!$C817="","",INDEX(Pipeline_Calc!$G$2:$G$5251,Pipeline_Sort!$C817))</f>
        <v/>
      </c>
      <c r="G817">
        <f>IF(Pipeline_Sort!$C817="","",INDEX(Pipeline_Calc!$H$2:$H$5251,Pipeline_Sort!$C817))</f>
        <v/>
      </c>
      <c r="H817">
        <f>IF(Pipeline_Sort!$C817="","",INDEX(Pipeline_Calc!$I$2:$I$5251,Pipeline_Sort!$C817))</f>
        <v/>
      </c>
      <c r="I817">
        <f>IF(Pipeline_Sort!$C817="","",INDEX(Pipeline_Calc!$J$2:$J$5251,Pipeline_Sort!$C817))</f>
        <v/>
      </c>
    </row>
    <row r="818">
      <c r="A818" s="22">
        <f>IF(Pipeline_Sort!$C818="","",INDEX(Pipeline_Calc!$B$2:$B$5251,Pipeline_Sort!$C818))</f>
        <v/>
      </c>
      <c r="B818">
        <f>IF(Pipeline_Sort!$C818="","",INDEX(Pipeline_Calc!$C$2:$C$5251,Pipeline_Sort!$C818))</f>
        <v/>
      </c>
      <c r="C818">
        <f>IF(Pipeline_Sort!$C818="","",INDEX(Pipeline_Calc!$D$2:$D$5251,Pipeline_Sort!$C818))</f>
        <v/>
      </c>
      <c r="D818">
        <f>IF(Pipeline_Sort!$C818="","",INDEX(Pipeline_Calc!$E$2:$E$5251,Pipeline_Sort!$C818))</f>
        <v/>
      </c>
      <c r="E818">
        <f>IF(Pipeline_Sort!$C818="","",INDEX(Pipeline_Calc!$F$2:$F$5251,Pipeline_Sort!$C818))</f>
        <v/>
      </c>
      <c r="F818">
        <f>IF(Pipeline_Sort!$C818="","",INDEX(Pipeline_Calc!$G$2:$G$5251,Pipeline_Sort!$C818))</f>
        <v/>
      </c>
      <c r="G818">
        <f>IF(Pipeline_Sort!$C818="","",INDEX(Pipeline_Calc!$H$2:$H$5251,Pipeline_Sort!$C818))</f>
        <v/>
      </c>
      <c r="H818">
        <f>IF(Pipeline_Sort!$C818="","",INDEX(Pipeline_Calc!$I$2:$I$5251,Pipeline_Sort!$C818))</f>
        <v/>
      </c>
      <c r="I818">
        <f>IF(Pipeline_Sort!$C818="","",INDEX(Pipeline_Calc!$J$2:$J$5251,Pipeline_Sort!$C818))</f>
        <v/>
      </c>
    </row>
    <row r="819">
      <c r="A819" s="22">
        <f>IF(Pipeline_Sort!$C819="","",INDEX(Pipeline_Calc!$B$2:$B$5251,Pipeline_Sort!$C819))</f>
        <v/>
      </c>
      <c r="B819">
        <f>IF(Pipeline_Sort!$C819="","",INDEX(Pipeline_Calc!$C$2:$C$5251,Pipeline_Sort!$C819))</f>
        <v/>
      </c>
      <c r="C819">
        <f>IF(Pipeline_Sort!$C819="","",INDEX(Pipeline_Calc!$D$2:$D$5251,Pipeline_Sort!$C819))</f>
        <v/>
      </c>
      <c r="D819">
        <f>IF(Pipeline_Sort!$C819="","",INDEX(Pipeline_Calc!$E$2:$E$5251,Pipeline_Sort!$C819))</f>
        <v/>
      </c>
      <c r="E819">
        <f>IF(Pipeline_Sort!$C819="","",INDEX(Pipeline_Calc!$F$2:$F$5251,Pipeline_Sort!$C819))</f>
        <v/>
      </c>
      <c r="F819">
        <f>IF(Pipeline_Sort!$C819="","",INDEX(Pipeline_Calc!$G$2:$G$5251,Pipeline_Sort!$C819))</f>
        <v/>
      </c>
      <c r="G819">
        <f>IF(Pipeline_Sort!$C819="","",INDEX(Pipeline_Calc!$H$2:$H$5251,Pipeline_Sort!$C819))</f>
        <v/>
      </c>
      <c r="H819">
        <f>IF(Pipeline_Sort!$C819="","",INDEX(Pipeline_Calc!$I$2:$I$5251,Pipeline_Sort!$C819))</f>
        <v/>
      </c>
      <c r="I819">
        <f>IF(Pipeline_Sort!$C819="","",INDEX(Pipeline_Calc!$J$2:$J$5251,Pipeline_Sort!$C819))</f>
        <v/>
      </c>
    </row>
    <row r="820">
      <c r="A820" s="22">
        <f>IF(Pipeline_Sort!$C820="","",INDEX(Pipeline_Calc!$B$2:$B$5251,Pipeline_Sort!$C820))</f>
        <v/>
      </c>
      <c r="B820">
        <f>IF(Pipeline_Sort!$C820="","",INDEX(Pipeline_Calc!$C$2:$C$5251,Pipeline_Sort!$C820))</f>
        <v/>
      </c>
      <c r="C820">
        <f>IF(Pipeline_Sort!$C820="","",INDEX(Pipeline_Calc!$D$2:$D$5251,Pipeline_Sort!$C820))</f>
        <v/>
      </c>
      <c r="D820">
        <f>IF(Pipeline_Sort!$C820="","",INDEX(Pipeline_Calc!$E$2:$E$5251,Pipeline_Sort!$C820))</f>
        <v/>
      </c>
      <c r="E820">
        <f>IF(Pipeline_Sort!$C820="","",INDEX(Pipeline_Calc!$F$2:$F$5251,Pipeline_Sort!$C820))</f>
        <v/>
      </c>
      <c r="F820">
        <f>IF(Pipeline_Sort!$C820="","",INDEX(Pipeline_Calc!$G$2:$G$5251,Pipeline_Sort!$C820))</f>
        <v/>
      </c>
      <c r="G820">
        <f>IF(Pipeline_Sort!$C820="","",INDEX(Pipeline_Calc!$H$2:$H$5251,Pipeline_Sort!$C820))</f>
        <v/>
      </c>
      <c r="H820">
        <f>IF(Pipeline_Sort!$C820="","",INDEX(Pipeline_Calc!$I$2:$I$5251,Pipeline_Sort!$C820))</f>
        <v/>
      </c>
      <c r="I820">
        <f>IF(Pipeline_Sort!$C820="","",INDEX(Pipeline_Calc!$J$2:$J$5251,Pipeline_Sort!$C820))</f>
        <v/>
      </c>
    </row>
    <row r="821">
      <c r="A821" s="22">
        <f>IF(Pipeline_Sort!$C821="","",INDEX(Pipeline_Calc!$B$2:$B$5251,Pipeline_Sort!$C821))</f>
        <v/>
      </c>
      <c r="B821">
        <f>IF(Pipeline_Sort!$C821="","",INDEX(Pipeline_Calc!$C$2:$C$5251,Pipeline_Sort!$C821))</f>
        <v/>
      </c>
      <c r="C821">
        <f>IF(Pipeline_Sort!$C821="","",INDEX(Pipeline_Calc!$D$2:$D$5251,Pipeline_Sort!$C821))</f>
        <v/>
      </c>
      <c r="D821">
        <f>IF(Pipeline_Sort!$C821="","",INDEX(Pipeline_Calc!$E$2:$E$5251,Pipeline_Sort!$C821))</f>
        <v/>
      </c>
      <c r="E821">
        <f>IF(Pipeline_Sort!$C821="","",INDEX(Pipeline_Calc!$F$2:$F$5251,Pipeline_Sort!$C821))</f>
        <v/>
      </c>
      <c r="F821">
        <f>IF(Pipeline_Sort!$C821="","",INDEX(Pipeline_Calc!$G$2:$G$5251,Pipeline_Sort!$C821))</f>
        <v/>
      </c>
      <c r="G821">
        <f>IF(Pipeline_Sort!$C821="","",INDEX(Pipeline_Calc!$H$2:$H$5251,Pipeline_Sort!$C821))</f>
        <v/>
      </c>
      <c r="H821">
        <f>IF(Pipeline_Sort!$C821="","",INDEX(Pipeline_Calc!$I$2:$I$5251,Pipeline_Sort!$C821))</f>
        <v/>
      </c>
      <c r="I821">
        <f>IF(Pipeline_Sort!$C821="","",INDEX(Pipeline_Calc!$J$2:$J$5251,Pipeline_Sort!$C821))</f>
        <v/>
      </c>
    </row>
    <row r="822">
      <c r="A822" s="22">
        <f>IF(Pipeline_Sort!$C822="","",INDEX(Pipeline_Calc!$B$2:$B$5251,Pipeline_Sort!$C822))</f>
        <v/>
      </c>
      <c r="B822">
        <f>IF(Pipeline_Sort!$C822="","",INDEX(Pipeline_Calc!$C$2:$C$5251,Pipeline_Sort!$C822))</f>
        <v/>
      </c>
      <c r="C822">
        <f>IF(Pipeline_Sort!$C822="","",INDEX(Pipeline_Calc!$D$2:$D$5251,Pipeline_Sort!$C822))</f>
        <v/>
      </c>
      <c r="D822">
        <f>IF(Pipeline_Sort!$C822="","",INDEX(Pipeline_Calc!$E$2:$E$5251,Pipeline_Sort!$C822))</f>
        <v/>
      </c>
      <c r="E822">
        <f>IF(Pipeline_Sort!$C822="","",INDEX(Pipeline_Calc!$F$2:$F$5251,Pipeline_Sort!$C822))</f>
        <v/>
      </c>
      <c r="F822">
        <f>IF(Pipeline_Sort!$C822="","",INDEX(Pipeline_Calc!$G$2:$G$5251,Pipeline_Sort!$C822))</f>
        <v/>
      </c>
      <c r="G822">
        <f>IF(Pipeline_Sort!$C822="","",INDEX(Pipeline_Calc!$H$2:$H$5251,Pipeline_Sort!$C822))</f>
        <v/>
      </c>
      <c r="H822">
        <f>IF(Pipeline_Sort!$C822="","",INDEX(Pipeline_Calc!$I$2:$I$5251,Pipeline_Sort!$C822))</f>
        <v/>
      </c>
      <c r="I822">
        <f>IF(Pipeline_Sort!$C822="","",INDEX(Pipeline_Calc!$J$2:$J$5251,Pipeline_Sort!$C822))</f>
        <v/>
      </c>
    </row>
    <row r="823">
      <c r="A823" s="22">
        <f>IF(Pipeline_Sort!$C823="","",INDEX(Pipeline_Calc!$B$2:$B$5251,Pipeline_Sort!$C823))</f>
        <v/>
      </c>
      <c r="B823">
        <f>IF(Pipeline_Sort!$C823="","",INDEX(Pipeline_Calc!$C$2:$C$5251,Pipeline_Sort!$C823))</f>
        <v/>
      </c>
      <c r="C823">
        <f>IF(Pipeline_Sort!$C823="","",INDEX(Pipeline_Calc!$D$2:$D$5251,Pipeline_Sort!$C823))</f>
        <v/>
      </c>
      <c r="D823">
        <f>IF(Pipeline_Sort!$C823="","",INDEX(Pipeline_Calc!$E$2:$E$5251,Pipeline_Sort!$C823))</f>
        <v/>
      </c>
      <c r="E823">
        <f>IF(Pipeline_Sort!$C823="","",INDEX(Pipeline_Calc!$F$2:$F$5251,Pipeline_Sort!$C823))</f>
        <v/>
      </c>
      <c r="F823">
        <f>IF(Pipeline_Sort!$C823="","",INDEX(Pipeline_Calc!$G$2:$G$5251,Pipeline_Sort!$C823))</f>
        <v/>
      </c>
      <c r="G823">
        <f>IF(Pipeline_Sort!$C823="","",INDEX(Pipeline_Calc!$H$2:$H$5251,Pipeline_Sort!$C823))</f>
        <v/>
      </c>
      <c r="H823">
        <f>IF(Pipeline_Sort!$C823="","",INDEX(Pipeline_Calc!$I$2:$I$5251,Pipeline_Sort!$C823))</f>
        <v/>
      </c>
      <c r="I823">
        <f>IF(Pipeline_Sort!$C823="","",INDEX(Pipeline_Calc!$J$2:$J$5251,Pipeline_Sort!$C823))</f>
        <v/>
      </c>
    </row>
    <row r="824">
      <c r="A824" s="22">
        <f>IF(Pipeline_Sort!$C824="","",INDEX(Pipeline_Calc!$B$2:$B$5251,Pipeline_Sort!$C824))</f>
        <v/>
      </c>
      <c r="B824">
        <f>IF(Pipeline_Sort!$C824="","",INDEX(Pipeline_Calc!$C$2:$C$5251,Pipeline_Sort!$C824))</f>
        <v/>
      </c>
      <c r="C824">
        <f>IF(Pipeline_Sort!$C824="","",INDEX(Pipeline_Calc!$D$2:$D$5251,Pipeline_Sort!$C824))</f>
        <v/>
      </c>
      <c r="D824">
        <f>IF(Pipeline_Sort!$C824="","",INDEX(Pipeline_Calc!$E$2:$E$5251,Pipeline_Sort!$C824))</f>
        <v/>
      </c>
      <c r="E824">
        <f>IF(Pipeline_Sort!$C824="","",INDEX(Pipeline_Calc!$F$2:$F$5251,Pipeline_Sort!$C824))</f>
        <v/>
      </c>
      <c r="F824">
        <f>IF(Pipeline_Sort!$C824="","",INDEX(Pipeline_Calc!$G$2:$G$5251,Pipeline_Sort!$C824))</f>
        <v/>
      </c>
      <c r="G824">
        <f>IF(Pipeline_Sort!$C824="","",INDEX(Pipeline_Calc!$H$2:$H$5251,Pipeline_Sort!$C824))</f>
        <v/>
      </c>
      <c r="H824">
        <f>IF(Pipeline_Sort!$C824="","",INDEX(Pipeline_Calc!$I$2:$I$5251,Pipeline_Sort!$C824))</f>
        <v/>
      </c>
      <c r="I824">
        <f>IF(Pipeline_Sort!$C824="","",INDEX(Pipeline_Calc!$J$2:$J$5251,Pipeline_Sort!$C824))</f>
        <v/>
      </c>
    </row>
    <row r="825">
      <c r="A825" s="22">
        <f>IF(Pipeline_Sort!$C825="","",INDEX(Pipeline_Calc!$B$2:$B$5251,Pipeline_Sort!$C825))</f>
        <v/>
      </c>
      <c r="B825">
        <f>IF(Pipeline_Sort!$C825="","",INDEX(Pipeline_Calc!$C$2:$C$5251,Pipeline_Sort!$C825))</f>
        <v/>
      </c>
      <c r="C825">
        <f>IF(Pipeline_Sort!$C825="","",INDEX(Pipeline_Calc!$D$2:$D$5251,Pipeline_Sort!$C825))</f>
        <v/>
      </c>
      <c r="D825">
        <f>IF(Pipeline_Sort!$C825="","",INDEX(Pipeline_Calc!$E$2:$E$5251,Pipeline_Sort!$C825))</f>
        <v/>
      </c>
      <c r="E825">
        <f>IF(Pipeline_Sort!$C825="","",INDEX(Pipeline_Calc!$F$2:$F$5251,Pipeline_Sort!$C825))</f>
        <v/>
      </c>
      <c r="F825">
        <f>IF(Pipeline_Sort!$C825="","",INDEX(Pipeline_Calc!$G$2:$G$5251,Pipeline_Sort!$C825))</f>
        <v/>
      </c>
      <c r="G825">
        <f>IF(Pipeline_Sort!$C825="","",INDEX(Pipeline_Calc!$H$2:$H$5251,Pipeline_Sort!$C825))</f>
        <v/>
      </c>
      <c r="H825">
        <f>IF(Pipeline_Sort!$C825="","",INDEX(Pipeline_Calc!$I$2:$I$5251,Pipeline_Sort!$C825))</f>
        <v/>
      </c>
      <c r="I825">
        <f>IF(Pipeline_Sort!$C825="","",INDEX(Pipeline_Calc!$J$2:$J$5251,Pipeline_Sort!$C825))</f>
        <v/>
      </c>
    </row>
    <row r="826">
      <c r="A826" s="22">
        <f>IF(Pipeline_Sort!$C826="","",INDEX(Pipeline_Calc!$B$2:$B$5251,Pipeline_Sort!$C826))</f>
        <v/>
      </c>
      <c r="B826">
        <f>IF(Pipeline_Sort!$C826="","",INDEX(Pipeline_Calc!$C$2:$C$5251,Pipeline_Sort!$C826))</f>
        <v/>
      </c>
      <c r="C826">
        <f>IF(Pipeline_Sort!$C826="","",INDEX(Pipeline_Calc!$D$2:$D$5251,Pipeline_Sort!$C826))</f>
        <v/>
      </c>
      <c r="D826">
        <f>IF(Pipeline_Sort!$C826="","",INDEX(Pipeline_Calc!$E$2:$E$5251,Pipeline_Sort!$C826))</f>
        <v/>
      </c>
      <c r="E826">
        <f>IF(Pipeline_Sort!$C826="","",INDEX(Pipeline_Calc!$F$2:$F$5251,Pipeline_Sort!$C826))</f>
        <v/>
      </c>
      <c r="F826">
        <f>IF(Pipeline_Sort!$C826="","",INDEX(Pipeline_Calc!$G$2:$G$5251,Pipeline_Sort!$C826))</f>
        <v/>
      </c>
      <c r="G826">
        <f>IF(Pipeline_Sort!$C826="","",INDEX(Pipeline_Calc!$H$2:$H$5251,Pipeline_Sort!$C826))</f>
        <v/>
      </c>
      <c r="H826">
        <f>IF(Pipeline_Sort!$C826="","",INDEX(Pipeline_Calc!$I$2:$I$5251,Pipeline_Sort!$C826))</f>
        <v/>
      </c>
      <c r="I826">
        <f>IF(Pipeline_Sort!$C826="","",INDEX(Pipeline_Calc!$J$2:$J$5251,Pipeline_Sort!$C826))</f>
        <v/>
      </c>
    </row>
    <row r="827">
      <c r="A827" s="22">
        <f>IF(Pipeline_Sort!$C827="","",INDEX(Pipeline_Calc!$B$2:$B$5251,Pipeline_Sort!$C827))</f>
        <v/>
      </c>
      <c r="B827">
        <f>IF(Pipeline_Sort!$C827="","",INDEX(Pipeline_Calc!$C$2:$C$5251,Pipeline_Sort!$C827))</f>
        <v/>
      </c>
      <c r="C827">
        <f>IF(Pipeline_Sort!$C827="","",INDEX(Pipeline_Calc!$D$2:$D$5251,Pipeline_Sort!$C827))</f>
        <v/>
      </c>
      <c r="D827">
        <f>IF(Pipeline_Sort!$C827="","",INDEX(Pipeline_Calc!$E$2:$E$5251,Pipeline_Sort!$C827))</f>
        <v/>
      </c>
      <c r="E827">
        <f>IF(Pipeline_Sort!$C827="","",INDEX(Pipeline_Calc!$F$2:$F$5251,Pipeline_Sort!$C827))</f>
        <v/>
      </c>
      <c r="F827">
        <f>IF(Pipeline_Sort!$C827="","",INDEX(Pipeline_Calc!$G$2:$G$5251,Pipeline_Sort!$C827))</f>
        <v/>
      </c>
      <c r="G827">
        <f>IF(Pipeline_Sort!$C827="","",INDEX(Pipeline_Calc!$H$2:$H$5251,Pipeline_Sort!$C827))</f>
        <v/>
      </c>
      <c r="H827">
        <f>IF(Pipeline_Sort!$C827="","",INDEX(Pipeline_Calc!$I$2:$I$5251,Pipeline_Sort!$C827))</f>
        <v/>
      </c>
      <c r="I827">
        <f>IF(Pipeline_Sort!$C827="","",INDEX(Pipeline_Calc!$J$2:$J$5251,Pipeline_Sort!$C827))</f>
        <v/>
      </c>
    </row>
    <row r="828">
      <c r="A828" s="22">
        <f>IF(Pipeline_Sort!$C828="","",INDEX(Pipeline_Calc!$B$2:$B$5251,Pipeline_Sort!$C828))</f>
        <v/>
      </c>
      <c r="B828">
        <f>IF(Pipeline_Sort!$C828="","",INDEX(Pipeline_Calc!$C$2:$C$5251,Pipeline_Sort!$C828))</f>
        <v/>
      </c>
      <c r="C828">
        <f>IF(Pipeline_Sort!$C828="","",INDEX(Pipeline_Calc!$D$2:$D$5251,Pipeline_Sort!$C828))</f>
        <v/>
      </c>
      <c r="D828">
        <f>IF(Pipeline_Sort!$C828="","",INDEX(Pipeline_Calc!$E$2:$E$5251,Pipeline_Sort!$C828))</f>
        <v/>
      </c>
      <c r="E828">
        <f>IF(Pipeline_Sort!$C828="","",INDEX(Pipeline_Calc!$F$2:$F$5251,Pipeline_Sort!$C828))</f>
        <v/>
      </c>
      <c r="F828">
        <f>IF(Pipeline_Sort!$C828="","",INDEX(Pipeline_Calc!$G$2:$G$5251,Pipeline_Sort!$C828))</f>
        <v/>
      </c>
      <c r="G828">
        <f>IF(Pipeline_Sort!$C828="","",INDEX(Pipeline_Calc!$H$2:$H$5251,Pipeline_Sort!$C828))</f>
        <v/>
      </c>
      <c r="H828">
        <f>IF(Pipeline_Sort!$C828="","",INDEX(Pipeline_Calc!$I$2:$I$5251,Pipeline_Sort!$C828))</f>
        <v/>
      </c>
      <c r="I828">
        <f>IF(Pipeline_Sort!$C828="","",INDEX(Pipeline_Calc!$J$2:$J$5251,Pipeline_Sort!$C828))</f>
        <v/>
      </c>
    </row>
    <row r="829">
      <c r="A829" s="22">
        <f>IF(Pipeline_Sort!$C829="","",INDEX(Pipeline_Calc!$B$2:$B$5251,Pipeline_Sort!$C829))</f>
        <v/>
      </c>
      <c r="B829">
        <f>IF(Pipeline_Sort!$C829="","",INDEX(Pipeline_Calc!$C$2:$C$5251,Pipeline_Sort!$C829))</f>
        <v/>
      </c>
      <c r="C829">
        <f>IF(Pipeline_Sort!$C829="","",INDEX(Pipeline_Calc!$D$2:$D$5251,Pipeline_Sort!$C829))</f>
        <v/>
      </c>
      <c r="D829">
        <f>IF(Pipeline_Sort!$C829="","",INDEX(Pipeline_Calc!$E$2:$E$5251,Pipeline_Sort!$C829))</f>
        <v/>
      </c>
      <c r="E829">
        <f>IF(Pipeline_Sort!$C829="","",INDEX(Pipeline_Calc!$F$2:$F$5251,Pipeline_Sort!$C829))</f>
        <v/>
      </c>
      <c r="F829">
        <f>IF(Pipeline_Sort!$C829="","",INDEX(Pipeline_Calc!$G$2:$G$5251,Pipeline_Sort!$C829))</f>
        <v/>
      </c>
      <c r="G829">
        <f>IF(Pipeline_Sort!$C829="","",INDEX(Pipeline_Calc!$H$2:$H$5251,Pipeline_Sort!$C829))</f>
        <v/>
      </c>
      <c r="H829">
        <f>IF(Pipeline_Sort!$C829="","",INDEX(Pipeline_Calc!$I$2:$I$5251,Pipeline_Sort!$C829))</f>
        <v/>
      </c>
      <c r="I829">
        <f>IF(Pipeline_Sort!$C829="","",INDEX(Pipeline_Calc!$J$2:$J$5251,Pipeline_Sort!$C829))</f>
        <v/>
      </c>
    </row>
    <row r="830">
      <c r="A830" s="22">
        <f>IF(Pipeline_Sort!$C830="","",INDEX(Pipeline_Calc!$B$2:$B$5251,Pipeline_Sort!$C830))</f>
        <v/>
      </c>
      <c r="B830">
        <f>IF(Pipeline_Sort!$C830="","",INDEX(Pipeline_Calc!$C$2:$C$5251,Pipeline_Sort!$C830))</f>
        <v/>
      </c>
      <c r="C830">
        <f>IF(Pipeline_Sort!$C830="","",INDEX(Pipeline_Calc!$D$2:$D$5251,Pipeline_Sort!$C830))</f>
        <v/>
      </c>
      <c r="D830">
        <f>IF(Pipeline_Sort!$C830="","",INDEX(Pipeline_Calc!$E$2:$E$5251,Pipeline_Sort!$C830))</f>
        <v/>
      </c>
      <c r="E830">
        <f>IF(Pipeline_Sort!$C830="","",INDEX(Pipeline_Calc!$F$2:$F$5251,Pipeline_Sort!$C830))</f>
        <v/>
      </c>
      <c r="F830">
        <f>IF(Pipeline_Sort!$C830="","",INDEX(Pipeline_Calc!$G$2:$G$5251,Pipeline_Sort!$C830))</f>
        <v/>
      </c>
      <c r="G830">
        <f>IF(Pipeline_Sort!$C830="","",INDEX(Pipeline_Calc!$H$2:$H$5251,Pipeline_Sort!$C830))</f>
        <v/>
      </c>
      <c r="H830">
        <f>IF(Pipeline_Sort!$C830="","",INDEX(Pipeline_Calc!$I$2:$I$5251,Pipeline_Sort!$C830))</f>
        <v/>
      </c>
      <c r="I830">
        <f>IF(Pipeline_Sort!$C830="","",INDEX(Pipeline_Calc!$J$2:$J$5251,Pipeline_Sort!$C830))</f>
        <v/>
      </c>
    </row>
    <row r="831">
      <c r="A831" s="22">
        <f>IF(Pipeline_Sort!$C831="","",INDEX(Pipeline_Calc!$B$2:$B$5251,Pipeline_Sort!$C831))</f>
        <v/>
      </c>
      <c r="B831">
        <f>IF(Pipeline_Sort!$C831="","",INDEX(Pipeline_Calc!$C$2:$C$5251,Pipeline_Sort!$C831))</f>
        <v/>
      </c>
      <c r="C831">
        <f>IF(Pipeline_Sort!$C831="","",INDEX(Pipeline_Calc!$D$2:$D$5251,Pipeline_Sort!$C831))</f>
        <v/>
      </c>
      <c r="D831">
        <f>IF(Pipeline_Sort!$C831="","",INDEX(Pipeline_Calc!$E$2:$E$5251,Pipeline_Sort!$C831))</f>
        <v/>
      </c>
      <c r="E831">
        <f>IF(Pipeline_Sort!$C831="","",INDEX(Pipeline_Calc!$F$2:$F$5251,Pipeline_Sort!$C831))</f>
        <v/>
      </c>
      <c r="F831">
        <f>IF(Pipeline_Sort!$C831="","",INDEX(Pipeline_Calc!$G$2:$G$5251,Pipeline_Sort!$C831))</f>
        <v/>
      </c>
      <c r="G831">
        <f>IF(Pipeline_Sort!$C831="","",INDEX(Pipeline_Calc!$H$2:$H$5251,Pipeline_Sort!$C831))</f>
        <v/>
      </c>
      <c r="H831">
        <f>IF(Pipeline_Sort!$C831="","",INDEX(Pipeline_Calc!$I$2:$I$5251,Pipeline_Sort!$C831))</f>
        <v/>
      </c>
      <c r="I831">
        <f>IF(Pipeline_Sort!$C831="","",INDEX(Pipeline_Calc!$J$2:$J$5251,Pipeline_Sort!$C831))</f>
        <v/>
      </c>
    </row>
    <row r="832">
      <c r="A832" s="22">
        <f>IF(Pipeline_Sort!$C832="","",INDEX(Pipeline_Calc!$B$2:$B$5251,Pipeline_Sort!$C832))</f>
        <v/>
      </c>
      <c r="B832">
        <f>IF(Pipeline_Sort!$C832="","",INDEX(Pipeline_Calc!$C$2:$C$5251,Pipeline_Sort!$C832))</f>
        <v/>
      </c>
      <c r="C832">
        <f>IF(Pipeline_Sort!$C832="","",INDEX(Pipeline_Calc!$D$2:$D$5251,Pipeline_Sort!$C832))</f>
        <v/>
      </c>
      <c r="D832">
        <f>IF(Pipeline_Sort!$C832="","",INDEX(Pipeline_Calc!$E$2:$E$5251,Pipeline_Sort!$C832))</f>
        <v/>
      </c>
      <c r="E832">
        <f>IF(Pipeline_Sort!$C832="","",INDEX(Pipeline_Calc!$F$2:$F$5251,Pipeline_Sort!$C832))</f>
        <v/>
      </c>
      <c r="F832">
        <f>IF(Pipeline_Sort!$C832="","",INDEX(Pipeline_Calc!$G$2:$G$5251,Pipeline_Sort!$C832))</f>
        <v/>
      </c>
      <c r="G832">
        <f>IF(Pipeline_Sort!$C832="","",INDEX(Pipeline_Calc!$H$2:$H$5251,Pipeline_Sort!$C832))</f>
        <v/>
      </c>
      <c r="H832">
        <f>IF(Pipeline_Sort!$C832="","",INDEX(Pipeline_Calc!$I$2:$I$5251,Pipeline_Sort!$C832))</f>
        <v/>
      </c>
      <c r="I832">
        <f>IF(Pipeline_Sort!$C832="","",INDEX(Pipeline_Calc!$J$2:$J$5251,Pipeline_Sort!$C832))</f>
        <v/>
      </c>
    </row>
    <row r="833">
      <c r="A833" s="22">
        <f>IF(Pipeline_Sort!$C833="","",INDEX(Pipeline_Calc!$B$2:$B$5251,Pipeline_Sort!$C833))</f>
        <v/>
      </c>
      <c r="B833">
        <f>IF(Pipeline_Sort!$C833="","",INDEX(Pipeline_Calc!$C$2:$C$5251,Pipeline_Sort!$C833))</f>
        <v/>
      </c>
      <c r="C833">
        <f>IF(Pipeline_Sort!$C833="","",INDEX(Pipeline_Calc!$D$2:$D$5251,Pipeline_Sort!$C833))</f>
        <v/>
      </c>
      <c r="D833">
        <f>IF(Pipeline_Sort!$C833="","",INDEX(Pipeline_Calc!$E$2:$E$5251,Pipeline_Sort!$C833))</f>
        <v/>
      </c>
      <c r="E833">
        <f>IF(Pipeline_Sort!$C833="","",INDEX(Pipeline_Calc!$F$2:$F$5251,Pipeline_Sort!$C833))</f>
        <v/>
      </c>
      <c r="F833">
        <f>IF(Pipeline_Sort!$C833="","",INDEX(Pipeline_Calc!$G$2:$G$5251,Pipeline_Sort!$C833))</f>
        <v/>
      </c>
      <c r="G833">
        <f>IF(Pipeline_Sort!$C833="","",INDEX(Pipeline_Calc!$H$2:$H$5251,Pipeline_Sort!$C833))</f>
        <v/>
      </c>
      <c r="H833">
        <f>IF(Pipeline_Sort!$C833="","",INDEX(Pipeline_Calc!$I$2:$I$5251,Pipeline_Sort!$C833))</f>
        <v/>
      </c>
      <c r="I833">
        <f>IF(Pipeline_Sort!$C833="","",INDEX(Pipeline_Calc!$J$2:$J$5251,Pipeline_Sort!$C833))</f>
        <v/>
      </c>
    </row>
    <row r="834">
      <c r="A834" s="22">
        <f>IF(Pipeline_Sort!$C834="","",INDEX(Pipeline_Calc!$B$2:$B$5251,Pipeline_Sort!$C834))</f>
        <v/>
      </c>
      <c r="B834">
        <f>IF(Pipeline_Sort!$C834="","",INDEX(Pipeline_Calc!$C$2:$C$5251,Pipeline_Sort!$C834))</f>
        <v/>
      </c>
      <c r="C834">
        <f>IF(Pipeline_Sort!$C834="","",INDEX(Pipeline_Calc!$D$2:$D$5251,Pipeline_Sort!$C834))</f>
        <v/>
      </c>
      <c r="D834">
        <f>IF(Pipeline_Sort!$C834="","",INDEX(Pipeline_Calc!$E$2:$E$5251,Pipeline_Sort!$C834))</f>
        <v/>
      </c>
      <c r="E834">
        <f>IF(Pipeline_Sort!$C834="","",INDEX(Pipeline_Calc!$F$2:$F$5251,Pipeline_Sort!$C834))</f>
        <v/>
      </c>
      <c r="F834">
        <f>IF(Pipeline_Sort!$C834="","",INDEX(Pipeline_Calc!$G$2:$G$5251,Pipeline_Sort!$C834))</f>
        <v/>
      </c>
      <c r="G834">
        <f>IF(Pipeline_Sort!$C834="","",INDEX(Pipeline_Calc!$H$2:$H$5251,Pipeline_Sort!$C834))</f>
        <v/>
      </c>
      <c r="H834">
        <f>IF(Pipeline_Sort!$C834="","",INDEX(Pipeline_Calc!$I$2:$I$5251,Pipeline_Sort!$C834))</f>
        <v/>
      </c>
      <c r="I834">
        <f>IF(Pipeline_Sort!$C834="","",INDEX(Pipeline_Calc!$J$2:$J$5251,Pipeline_Sort!$C834))</f>
        <v/>
      </c>
    </row>
    <row r="835">
      <c r="A835" s="22">
        <f>IF(Pipeline_Sort!$C835="","",INDEX(Pipeline_Calc!$B$2:$B$5251,Pipeline_Sort!$C835))</f>
        <v/>
      </c>
      <c r="B835">
        <f>IF(Pipeline_Sort!$C835="","",INDEX(Pipeline_Calc!$C$2:$C$5251,Pipeline_Sort!$C835))</f>
        <v/>
      </c>
      <c r="C835">
        <f>IF(Pipeline_Sort!$C835="","",INDEX(Pipeline_Calc!$D$2:$D$5251,Pipeline_Sort!$C835))</f>
        <v/>
      </c>
      <c r="D835">
        <f>IF(Pipeline_Sort!$C835="","",INDEX(Pipeline_Calc!$E$2:$E$5251,Pipeline_Sort!$C835))</f>
        <v/>
      </c>
      <c r="E835">
        <f>IF(Pipeline_Sort!$C835="","",INDEX(Pipeline_Calc!$F$2:$F$5251,Pipeline_Sort!$C835))</f>
        <v/>
      </c>
      <c r="F835">
        <f>IF(Pipeline_Sort!$C835="","",INDEX(Pipeline_Calc!$G$2:$G$5251,Pipeline_Sort!$C835))</f>
        <v/>
      </c>
      <c r="G835">
        <f>IF(Pipeline_Sort!$C835="","",INDEX(Pipeline_Calc!$H$2:$H$5251,Pipeline_Sort!$C835))</f>
        <v/>
      </c>
      <c r="H835">
        <f>IF(Pipeline_Sort!$C835="","",INDEX(Pipeline_Calc!$I$2:$I$5251,Pipeline_Sort!$C835))</f>
        <v/>
      </c>
      <c r="I835">
        <f>IF(Pipeline_Sort!$C835="","",INDEX(Pipeline_Calc!$J$2:$J$5251,Pipeline_Sort!$C835))</f>
        <v/>
      </c>
    </row>
    <row r="836">
      <c r="A836" s="22">
        <f>IF(Pipeline_Sort!$C836="","",INDEX(Pipeline_Calc!$B$2:$B$5251,Pipeline_Sort!$C836))</f>
        <v/>
      </c>
      <c r="B836">
        <f>IF(Pipeline_Sort!$C836="","",INDEX(Pipeline_Calc!$C$2:$C$5251,Pipeline_Sort!$C836))</f>
        <v/>
      </c>
      <c r="C836">
        <f>IF(Pipeline_Sort!$C836="","",INDEX(Pipeline_Calc!$D$2:$D$5251,Pipeline_Sort!$C836))</f>
        <v/>
      </c>
      <c r="D836">
        <f>IF(Pipeline_Sort!$C836="","",INDEX(Pipeline_Calc!$E$2:$E$5251,Pipeline_Sort!$C836))</f>
        <v/>
      </c>
      <c r="E836">
        <f>IF(Pipeline_Sort!$C836="","",INDEX(Pipeline_Calc!$F$2:$F$5251,Pipeline_Sort!$C836))</f>
        <v/>
      </c>
      <c r="F836">
        <f>IF(Pipeline_Sort!$C836="","",INDEX(Pipeline_Calc!$G$2:$G$5251,Pipeline_Sort!$C836))</f>
        <v/>
      </c>
      <c r="G836">
        <f>IF(Pipeline_Sort!$C836="","",INDEX(Pipeline_Calc!$H$2:$H$5251,Pipeline_Sort!$C836))</f>
        <v/>
      </c>
      <c r="H836">
        <f>IF(Pipeline_Sort!$C836="","",INDEX(Pipeline_Calc!$I$2:$I$5251,Pipeline_Sort!$C836))</f>
        <v/>
      </c>
      <c r="I836">
        <f>IF(Pipeline_Sort!$C836="","",INDEX(Pipeline_Calc!$J$2:$J$5251,Pipeline_Sort!$C836))</f>
        <v/>
      </c>
    </row>
    <row r="837">
      <c r="A837" s="22">
        <f>IF(Pipeline_Sort!$C837="","",INDEX(Pipeline_Calc!$B$2:$B$5251,Pipeline_Sort!$C837))</f>
        <v/>
      </c>
      <c r="B837">
        <f>IF(Pipeline_Sort!$C837="","",INDEX(Pipeline_Calc!$C$2:$C$5251,Pipeline_Sort!$C837))</f>
        <v/>
      </c>
      <c r="C837">
        <f>IF(Pipeline_Sort!$C837="","",INDEX(Pipeline_Calc!$D$2:$D$5251,Pipeline_Sort!$C837))</f>
        <v/>
      </c>
      <c r="D837">
        <f>IF(Pipeline_Sort!$C837="","",INDEX(Pipeline_Calc!$E$2:$E$5251,Pipeline_Sort!$C837))</f>
        <v/>
      </c>
      <c r="E837">
        <f>IF(Pipeline_Sort!$C837="","",INDEX(Pipeline_Calc!$F$2:$F$5251,Pipeline_Sort!$C837))</f>
        <v/>
      </c>
      <c r="F837">
        <f>IF(Pipeline_Sort!$C837="","",INDEX(Pipeline_Calc!$G$2:$G$5251,Pipeline_Sort!$C837))</f>
        <v/>
      </c>
      <c r="G837">
        <f>IF(Pipeline_Sort!$C837="","",INDEX(Pipeline_Calc!$H$2:$H$5251,Pipeline_Sort!$C837))</f>
        <v/>
      </c>
      <c r="H837">
        <f>IF(Pipeline_Sort!$C837="","",INDEX(Pipeline_Calc!$I$2:$I$5251,Pipeline_Sort!$C837))</f>
        <v/>
      </c>
      <c r="I837">
        <f>IF(Pipeline_Sort!$C837="","",INDEX(Pipeline_Calc!$J$2:$J$5251,Pipeline_Sort!$C837))</f>
        <v/>
      </c>
    </row>
    <row r="838">
      <c r="A838" s="22">
        <f>IF(Pipeline_Sort!$C838="","",INDEX(Pipeline_Calc!$B$2:$B$5251,Pipeline_Sort!$C838))</f>
        <v/>
      </c>
      <c r="B838">
        <f>IF(Pipeline_Sort!$C838="","",INDEX(Pipeline_Calc!$C$2:$C$5251,Pipeline_Sort!$C838))</f>
        <v/>
      </c>
      <c r="C838">
        <f>IF(Pipeline_Sort!$C838="","",INDEX(Pipeline_Calc!$D$2:$D$5251,Pipeline_Sort!$C838))</f>
        <v/>
      </c>
      <c r="D838">
        <f>IF(Pipeline_Sort!$C838="","",INDEX(Pipeline_Calc!$E$2:$E$5251,Pipeline_Sort!$C838))</f>
        <v/>
      </c>
      <c r="E838">
        <f>IF(Pipeline_Sort!$C838="","",INDEX(Pipeline_Calc!$F$2:$F$5251,Pipeline_Sort!$C838))</f>
        <v/>
      </c>
      <c r="F838">
        <f>IF(Pipeline_Sort!$C838="","",INDEX(Pipeline_Calc!$G$2:$G$5251,Pipeline_Sort!$C838))</f>
        <v/>
      </c>
      <c r="G838">
        <f>IF(Pipeline_Sort!$C838="","",INDEX(Pipeline_Calc!$H$2:$H$5251,Pipeline_Sort!$C838))</f>
        <v/>
      </c>
      <c r="H838">
        <f>IF(Pipeline_Sort!$C838="","",INDEX(Pipeline_Calc!$I$2:$I$5251,Pipeline_Sort!$C838))</f>
        <v/>
      </c>
      <c r="I838">
        <f>IF(Pipeline_Sort!$C838="","",INDEX(Pipeline_Calc!$J$2:$J$5251,Pipeline_Sort!$C838))</f>
        <v/>
      </c>
    </row>
    <row r="839">
      <c r="A839" s="22">
        <f>IF(Pipeline_Sort!$C839="","",INDEX(Pipeline_Calc!$B$2:$B$5251,Pipeline_Sort!$C839))</f>
        <v/>
      </c>
      <c r="B839">
        <f>IF(Pipeline_Sort!$C839="","",INDEX(Pipeline_Calc!$C$2:$C$5251,Pipeline_Sort!$C839))</f>
        <v/>
      </c>
      <c r="C839">
        <f>IF(Pipeline_Sort!$C839="","",INDEX(Pipeline_Calc!$D$2:$D$5251,Pipeline_Sort!$C839))</f>
        <v/>
      </c>
      <c r="D839">
        <f>IF(Pipeline_Sort!$C839="","",INDEX(Pipeline_Calc!$E$2:$E$5251,Pipeline_Sort!$C839))</f>
        <v/>
      </c>
      <c r="E839">
        <f>IF(Pipeline_Sort!$C839="","",INDEX(Pipeline_Calc!$F$2:$F$5251,Pipeline_Sort!$C839))</f>
        <v/>
      </c>
      <c r="F839">
        <f>IF(Pipeline_Sort!$C839="","",INDEX(Pipeline_Calc!$G$2:$G$5251,Pipeline_Sort!$C839))</f>
        <v/>
      </c>
      <c r="G839">
        <f>IF(Pipeline_Sort!$C839="","",INDEX(Pipeline_Calc!$H$2:$H$5251,Pipeline_Sort!$C839))</f>
        <v/>
      </c>
      <c r="H839">
        <f>IF(Pipeline_Sort!$C839="","",INDEX(Pipeline_Calc!$I$2:$I$5251,Pipeline_Sort!$C839))</f>
        <v/>
      </c>
      <c r="I839">
        <f>IF(Pipeline_Sort!$C839="","",INDEX(Pipeline_Calc!$J$2:$J$5251,Pipeline_Sort!$C839))</f>
        <v/>
      </c>
    </row>
    <row r="840">
      <c r="A840" s="22">
        <f>IF(Pipeline_Sort!$C840="","",INDEX(Pipeline_Calc!$B$2:$B$5251,Pipeline_Sort!$C840))</f>
        <v/>
      </c>
      <c r="B840">
        <f>IF(Pipeline_Sort!$C840="","",INDEX(Pipeline_Calc!$C$2:$C$5251,Pipeline_Sort!$C840))</f>
        <v/>
      </c>
      <c r="C840">
        <f>IF(Pipeline_Sort!$C840="","",INDEX(Pipeline_Calc!$D$2:$D$5251,Pipeline_Sort!$C840))</f>
        <v/>
      </c>
      <c r="D840">
        <f>IF(Pipeline_Sort!$C840="","",INDEX(Pipeline_Calc!$E$2:$E$5251,Pipeline_Sort!$C840))</f>
        <v/>
      </c>
      <c r="E840">
        <f>IF(Pipeline_Sort!$C840="","",INDEX(Pipeline_Calc!$F$2:$F$5251,Pipeline_Sort!$C840))</f>
        <v/>
      </c>
      <c r="F840">
        <f>IF(Pipeline_Sort!$C840="","",INDEX(Pipeline_Calc!$G$2:$G$5251,Pipeline_Sort!$C840))</f>
        <v/>
      </c>
      <c r="G840">
        <f>IF(Pipeline_Sort!$C840="","",INDEX(Pipeline_Calc!$H$2:$H$5251,Pipeline_Sort!$C840))</f>
        <v/>
      </c>
      <c r="H840">
        <f>IF(Pipeline_Sort!$C840="","",INDEX(Pipeline_Calc!$I$2:$I$5251,Pipeline_Sort!$C840))</f>
        <v/>
      </c>
      <c r="I840">
        <f>IF(Pipeline_Sort!$C840="","",INDEX(Pipeline_Calc!$J$2:$J$5251,Pipeline_Sort!$C840))</f>
        <v/>
      </c>
    </row>
    <row r="841">
      <c r="A841" s="22">
        <f>IF(Pipeline_Sort!$C841="","",INDEX(Pipeline_Calc!$B$2:$B$5251,Pipeline_Sort!$C841))</f>
        <v/>
      </c>
      <c r="B841">
        <f>IF(Pipeline_Sort!$C841="","",INDEX(Pipeline_Calc!$C$2:$C$5251,Pipeline_Sort!$C841))</f>
        <v/>
      </c>
      <c r="C841">
        <f>IF(Pipeline_Sort!$C841="","",INDEX(Pipeline_Calc!$D$2:$D$5251,Pipeline_Sort!$C841))</f>
        <v/>
      </c>
      <c r="D841">
        <f>IF(Pipeline_Sort!$C841="","",INDEX(Pipeline_Calc!$E$2:$E$5251,Pipeline_Sort!$C841))</f>
        <v/>
      </c>
      <c r="E841">
        <f>IF(Pipeline_Sort!$C841="","",INDEX(Pipeline_Calc!$F$2:$F$5251,Pipeline_Sort!$C841))</f>
        <v/>
      </c>
      <c r="F841">
        <f>IF(Pipeline_Sort!$C841="","",INDEX(Pipeline_Calc!$G$2:$G$5251,Pipeline_Sort!$C841))</f>
        <v/>
      </c>
      <c r="G841">
        <f>IF(Pipeline_Sort!$C841="","",INDEX(Pipeline_Calc!$H$2:$H$5251,Pipeline_Sort!$C841))</f>
        <v/>
      </c>
      <c r="H841">
        <f>IF(Pipeline_Sort!$C841="","",INDEX(Pipeline_Calc!$I$2:$I$5251,Pipeline_Sort!$C841))</f>
        <v/>
      </c>
      <c r="I841">
        <f>IF(Pipeline_Sort!$C841="","",INDEX(Pipeline_Calc!$J$2:$J$5251,Pipeline_Sort!$C841))</f>
        <v/>
      </c>
    </row>
    <row r="842">
      <c r="A842" s="22">
        <f>IF(Pipeline_Sort!$C842="","",INDEX(Pipeline_Calc!$B$2:$B$5251,Pipeline_Sort!$C842))</f>
        <v/>
      </c>
      <c r="B842">
        <f>IF(Pipeline_Sort!$C842="","",INDEX(Pipeline_Calc!$C$2:$C$5251,Pipeline_Sort!$C842))</f>
        <v/>
      </c>
      <c r="C842">
        <f>IF(Pipeline_Sort!$C842="","",INDEX(Pipeline_Calc!$D$2:$D$5251,Pipeline_Sort!$C842))</f>
        <v/>
      </c>
      <c r="D842">
        <f>IF(Pipeline_Sort!$C842="","",INDEX(Pipeline_Calc!$E$2:$E$5251,Pipeline_Sort!$C842))</f>
        <v/>
      </c>
      <c r="E842">
        <f>IF(Pipeline_Sort!$C842="","",INDEX(Pipeline_Calc!$F$2:$F$5251,Pipeline_Sort!$C842))</f>
        <v/>
      </c>
      <c r="F842">
        <f>IF(Pipeline_Sort!$C842="","",INDEX(Pipeline_Calc!$G$2:$G$5251,Pipeline_Sort!$C842))</f>
        <v/>
      </c>
      <c r="G842">
        <f>IF(Pipeline_Sort!$C842="","",INDEX(Pipeline_Calc!$H$2:$H$5251,Pipeline_Sort!$C842))</f>
        <v/>
      </c>
      <c r="H842">
        <f>IF(Pipeline_Sort!$C842="","",INDEX(Pipeline_Calc!$I$2:$I$5251,Pipeline_Sort!$C842))</f>
        <v/>
      </c>
      <c r="I842">
        <f>IF(Pipeline_Sort!$C842="","",INDEX(Pipeline_Calc!$J$2:$J$5251,Pipeline_Sort!$C842))</f>
        <v/>
      </c>
    </row>
    <row r="843">
      <c r="A843" s="22">
        <f>IF(Pipeline_Sort!$C843="","",INDEX(Pipeline_Calc!$B$2:$B$5251,Pipeline_Sort!$C843))</f>
        <v/>
      </c>
      <c r="B843">
        <f>IF(Pipeline_Sort!$C843="","",INDEX(Pipeline_Calc!$C$2:$C$5251,Pipeline_Sort!$C843))</f>
        <v/>
      </c>
      <c r="C843">
        <f>IF(Pipeline_Sort!$C843="","",INDEX(Pipeline_Calc!$D$2:$D$5251,Pipeline_Sort!$C843))</f>
        <v/>
      </c>
      <c r="D843">
        <f>IF(Pipeline_Sort!$C843="","",INDEX(Pipeline_Calc!$E$2:$E$5251,Pipeline_Sort!$C843))</f>
        <v/>
      </c>
      <c r="E843">
        <f>IF(Pipeline_Sort!$C843="","",INDEX(Pipeline_Calc!$F$2:$F$5251,Pipeline_Sort!$C843))</f>
        <v/>
      </c>
      <c r="F843">
        <f>IF(Pipeline_Sort!$C843="","",INDEX(Pipeline_Calc!$G$2:$G$5251,Pipeline_Sort!$C843))</f>
        <v/>
      </c>
      <c r="G843">
        <f>IF(Pipeline_Sort!$C843="","",INDEX(Pipeline_Calc!$H$2:$H$5251,Pipeline_Sort!$C843))</f>
        <v/>
      </c>
      <c r="H843">
        <f>IF(Pipeline_Sort!$C843="","",INDEX(Pipeline_Calc!$I$2:$I$5251,Pipeline_Sort!$C843))</f>
        <v/>
      </c>
      <c r="I843">
        <f>IF(Pipeline_Sort!$C843="","",INDEX(Pipeline_Calc!$J$2:$J$5251,Pipeline_Sort!$C843))</f>
        <v/>
      </c>
    </row>
    <row r="844">
      <c r="A844" s="22">
        <f>IF(Pipeline_Sort!$C844="","",INDEX(Pipeline_Calc!$B$2:$B$5251,Pipeline_Sort!$C844))</f>
        <v/>
      </c>
      <c r="B844">
        <f>IF(Pipeline_Sort!$C844="","",INDEX(Pipeline_Calc!$C$2:$C$5251,Pipeline_Sort!$C844))</f>
        <v/>
      </c>
      <c r="C844">
        <f>IF(Pipeline_Sort!$C844="","",INDEX(Pipeline_Calc!$D$2:$D$5251,Pipeline_Sort!$C844))</f>
        <v/>
      </c>
      <c r="D844">
        <f>IF(Pipeline_Sort!$C844="","",INDEX(Pipeline_Calc!$E$2:$E$5251,Pipeline_Sort!$C844))</f>
        <v/>
      </c>
      <c r="E844">
        <f>IF(Pipeline_Sort!$C844="","",INDEX(Pipeline_Calc!$F$2:$F$5251,Pipeline_Sort!$C844))</f>
        <v/>
      </c>
      <c r="F844">
        <f>IF(Pipeline_Sort!$C844="","",INDEX(Pipeline_Calc!$G$2:$G$5251,Pipeline_Sort!$C844))</f>
        <v/>
      </c>
      <c r="G844">
        <f>IF(Pipeline_Sort!$C844="","",INDEX(Pipeline_Calc!$H$2:$H$5251,Pipeline_Sort!$C844))</f>
        <v/>
      </c>
      <c r="H844">
        <f>IF(Pipeline_Sort!$C844="","",INDEX(Pipeline_Calc!$I$2:$I$5251,Pipeline_Sort!$C844))</f>
        <v/>
      </c>
      <c r="I844">
        <f>IF(Pipeline_Sort!$C844="","",INDEX(Pipeline_Calc!$J$2:$J$5251,Pipeline_Sort!$C844))</f>
        <v/>
      </c>
    </row>
    <row r="845">
      <c r="A845" s="22">
        <f>IF(Pipeline_Sort!$C845="","",INDEX(Pipeline_Calc!$B$2:$B$5251,Pipeline_Sort!$C845))</f>
        <v/>
      </c>
      <c r="B845">
        <f>IF(Pipeline_Sort!$C845="","",INDEX(Pipeline_Calc!$C$2:$C$5251,Pipeline_Sort!$C845))</f>
        <v/>
      </c>
      <c r="C845">
        <f>IF(Pipeline_Sort!$C845="","",INDEX(Pipeline_Calc!$D$2:$D$5251,Pipeline_Sort!$C845))</f>
        <v/>
      </c>
      <c r="D845">
        <f>IF(Pipeline_Sort!$C845="","",INDEX(Pipeline_Calc!$E$2:$E$5251,Pipeline_Sort!$C845))</f>
        <v/>
      </c>
      <c r="E845">
        <f>IF(Pipeline_Sort!$C845="","",INDEX(Pipeline_Calc!$F$2:$F$5251,Pipeline_Sort!$C845))</f>
        <v/>
      </c>
      <c r="F845">
        <f>IF(Pipeline_Sort!$C845="","",INDEX(Pipeline_Calc!$G$2:$G$5251,Pipeline_Sort!$C845))</f>
        <v/>
      </c>
      <c r="G845">
        <f>IF(Pipeline_Sort!$C845="","",INDEX(Pipeline_Calc!$H$2:$H$5251,Pipeline_Sort!$C845))</f>
        <v/>
      </c>
      <c r="H845">
        <f>IF(Pipeline_Sort!$C845="","",INDEX(Pipeline_Calc!$I$2:$I$5251,Pipeline_Sort!$C845))</f>
        <v/>
      </c>
      <c r="I845">
        <f>IF(Pipeline_Sort!$C845="","",INDEX(Pipeline_Calc!$J$2:$J$5251,Pipeline_Sort!$C845))</f>
        <v/>
      </c>
    </row>
    <row r="846">
      <c r="A846" s="22">
        <f>IF(Pipeline_Sort!$C846="","",INDEX(Pipeline_Calc!$B$2:$B$5251,Pipeline_Sort!$C846))</f>
        <v/>
      </c>
      <c r="B846">
        <f>IF(Pipeline_Sort!$C846="","",INDEX(Pipeline_Calc!$C$2:$C$5251,Pipeline_Sort!$C846))</f>
        <v/>
      </c>
      <c r="C846">
        <f>IF(Pipeline_Sort!$C846="","",INDEX(Pipeline_Calc!$D$2:$D$5251,Pipeline_Sort!$C846))</f>
        <v/>
      </c>
      <c r="D846">
        <f>IF(Pipeline_Sort!$C846="","",INDEX(Pipeline_Calc!$E$2:$E$5251,Pipeline_Sort!$C846))</f>
        <v/>
      </c>
      <c r="E846">
        <f>IF(Pipeline_Sort!$C846="","",INDEX(Pipeline_Calc!$F$2:$F$5251,Pipeline_Sort!$C846))</f>
        <v/>
      </c>
      <c r="F846">
        <f>IF(Pipeline_Sort!$C846="","",INDEX(Pipeline_Calc!$G$2:$G$5251,Pipeline_Sort!$C846))</f>
        <v/>
      </c>
      <c r="G846">
        <f>IF(Pipeline_Sort!$C846="","",INDEX(Pipeline_Calc!$H$2:$H$5251,Pipeline_Sort!$C846))</f>
        <v/>
      </c>
      <c r="H846">
        <f>IF(Pipeline_Sort!$C846="","",INDEX(Pipeline_Calc!$I$2:$I$5251,Pipeline_Sort!$C846))</f>
        <v/>
      </c>
      <c r="I846">
        <f>IF(Pipeline_Sort!$C846="","",INDEX(Pipeline_Calc!$J$2:$J$5251,Pipeline_Sort!$C846))</f>
        <v/>
      </c>
    </row>
    <row r="847">
      <c r="A847" s="22">
        <f>IF(Pipeline_Sort!$C847="","",INDEX(Pipeline_Calc!$B$2:$B$5251,Pipeline_Sort!$C847))</f>
        <v/>
      </c>
      <c r="B847">
        <f>IF(Pipeline_Sort!$C847="","",INDEX(Pipeline_Calc!$C$2:$C$5251,Pipeline_Sort!$C847))</f>
        <v/>
      </c>
      <c r="C847">
        <f>IF(Pipeline_Sort!$C847="","",INDEX(Pipeline_Calc!$D$2:$D$5251,Pipeline_Sort!$C847))</f>
        <v/>
      </c>
      <c r="D847">
        <f>IF(Pipeline_Sort!$C847="","",INDEX(Pipeline_Calc!$E$2:$E$5251,Pipeline_Sort!$C847))</f>
        <v/>
      </c>
      <c r="E847">
        <f>IF(Pipeline_Sort!$C847="","",INDEX(Pipeline_Calc!$F$2:$F$5251,Pipeline_Sort!$C847))</f>
        <v/>
      </c>
      <c r="F847">
        <f>IF(Pipeline_Sort!$C847="","",INDEX(Pipeline_Calc!$G$2:$G$5251,Pipeline_Sort!$C847))</f>
        <v/>
      </c>
      <c r="G847">
        <f>IF(Pipeline_Sort!$C847="","",INDEX(Pipeline_Calc!$H$2:$H$5251,Pipeline_Sort!$C847))</f>
        <v/>
      </c>
      <c r="H847">
        <f>IF(Pipeline_Sort!$C847="","",INDEX(Pipeline_Calc!$I$2:$I$5251,Pipeline_Sort!$C847))</f>
        <v/>
      </c>
      <c r="I847">
        <f>IF(Pipeline_Sort!$C847="","",INDEX(Pipeline_Calc!$J$2:$J$5251,Pipeline_Sort!$C847))</f>
        <v/>
      </c>
    </row>
    <row r="848">
      <c r="A848" s="22">
        <f>IF(Pipeline_Sort!$C848="","",INDEX(Pipeline_Calc!$B$2:$B$5251,Pipeline_Sort!$C848))</f>
        <v/>
      </c>
      <c r="B848">
        <f>IF(Pipeline_Sort!$C848="","",INDEX(Pipeline_Calc!$C$2:$C$5251,Pipeline_Sort!$C848))</f>
        <v/>
      </c>
      <c r="C848">
        <f>IF(Pipeline_Sort!$C848="","",INDEX(Pipeline_Calc!$D$2:$D$5251,Pipeline_Sort!$C848))</f>
        <v/>
      </c>
      <c r="D848">
        <f>IF(Pipeline_Sort!$C848="","",INDEX(Pipeline_Calc!$E$2:$E$5251,Pipeline_Sort!$C848))</f>
        <v/>
      </c>
      <c r="E848">
        <f>IF(Pipeline_Sort!$C848="","",INDEX(Pipeline_Calc!$F$2:$F$5251,Pipeline_Sort!$C848))</f>
        <v/>
      </c>
      <c r="F848">
        <f>IF(Pipeline_Sort!$C848="","",INDEX(Pipeline_Calc!$G$2:$G$5251,Pipeline_Sort!$C848))</f>
        <v/>
      </c>
      <c r="G848">
        <f>IF(Pipeline_Sort!$C848="","",INDEX(Pipeline_Calc!$H$2:$H$5251,Pipeline_Sort!$C848))</f>
        <v/>
      </c>
      <c r="H848">
        <f>IF(Pipeline_Sort!$C848="","",INDEX(Pipeline_Calc!$I$2:$I$5251,Pipeline_Sort!$C848))</f>
        <v/>
      </c>
      <c r="I848">
        <f>IF(Pipeline_Sort!$C848="","",INDEX(Pipeline_Calc!$J$2:$J$5251,Pipeline_Sort!$C848))</f>
        <v/>
      </c>
    </row>
    <row r="849">
      <c r="A849" s="22">
        <f>IF(Pipeline_Sort!$C849="","",INDEX(Pipeline_Calc!$B$2:$B$5251,Pipeline_Sort!$C849))</f>
        <v/>
      </c>
      <c r="B849">
        <f>IF(Pipeline_Sort!$C849="","",INDEX(Pipeline_Calc!$C$2:$C$5251,Pipeline_Sort!$C849))</f>
        <v/>
      </c>
      <c r="C849">
        <f>IF(Pipeline_Sort!$C849="","",INDEX(Pipeline_Calc!$D$2:$D$5251,Pipeline_Sort!$C849))</f>
        <v/>
      </c>
      <c r="D849">
        <f>IF(Pipeline_Sort!$C849="","",INDEX(Pipeline_Calc!$E$2:$E$5251,Pipeline_Sort!$C849))</f>
        <v/>
      </c>
      <c r="E849">
        <f>IF(Pipeline_Sort!$C849="","",INDEX(Pipeline_Calc!$F$2:$F$5251,Pipeline_Sort!$C849))</f>
        <v/>
      </c>
      <c r="F849">
        <f>IF(Pipeline_Sort!$C849="","",INDEX(Pipeline_Calc!$G$2:$G$5251,Pipeline_Sort!$C849))</f>
        <v/>
      </c>
      <c r="G849">
        <f>IF(Pipeline_Sort!$C849="","",INDEX(Pipeline_Calc!$H$2:$H$5251,Pipeline_Sort!$C849))</f>
        <v/>
      </c>
      <c r="H849">
        <f>IF(Pipeline_Sort!$C849="","",INDEX(Pipeline_Calc!$I$2:$I$5251,Pipeline_Sort!$C849))</f>
        <v/>
      </c>
      <c r="I849">
        <f>IF(Pipeline_Sort!$C849="","",INDEX(Pipeline_Calc!$J$2:$J$5251,Pipeline_Sort!$C849))</f>
        <v/>
      </c>
    </row>
    <row r="850">
      <c r="A850" s="22">
        <f>IF(Pipeline_Sort!$C850="","",INDEX(Pipeline_Calc!$B$2:$B$5251,Pipeline_Sort!$C850))</f>
        <v/>
      </c>
      <c r="B850">
        <f>IF(Pipeline_Sort!$C850="","",INDEX(Pipeline_Calc!$C$2:$C$5251,Pipeline_Sort!$C850))</f>
        <v/>
      </c>
      <c r="C850">
        <f>IF(Pipeline_Sort!$C850="","",INDEX(Pipeline_Calc!$D$2:$D$5251,Pipeline_Sort!$C850))</f>
        <v/>
      </c>
      <c r="D850">
        <f>IF(Pipeline_Sort!$C850="","",INDEX(Pipeline_Calc!$E$2:$E$5251,Pipeline_Sort!$C850))</f>
        <v/>
      </c>
      <c r="E850">
        <f>IF(Pipeline_Sort!$C850="","",INDEX(Pipeline_Calc!$F$2:$F$5251,Pipeline_Sort!$C850))</f>
        <v/>
      </c>
      <c r="F850">
        <f>IF(Pipeline_Sort!$C850="","",INDEX(Pipeline_Calc!$G$2:$G$5251,Pipeline_Sort!$C850))</f>
        <v/>
      </c>
      <c r="G850">
        <f>IF(Pipeline_Sort!$C850="","",INDEX(Pipeline_Calc!$H$2:$H$5251,Pipeline_Sort!$C850))</f>
        <v/>
      </c>
      <c r="H850">
        <f>IF(Pipeline_Sort!$C850="","",INDEX(Pipeline_Calc!$I$2:$I$5251,Pipeline_Sort!$C850))</f>
        <v/>
      </c>
      <c r="I850">
        <f>IF(Pipeline_Sort!$C850="","",INDEX(Pipeline_Calc!$J$2:$J$5251,Pipeline_Sort!$C850))</f>
        <v/>
      </c>
    </row>
    <row r="851">
      <c r="A851" s="22">
        <f>IF(Pipeline_Sort!$C851="","",INDEX(Pipeline_Calc!$B$2:$B$5251,Pipeline_Sort!$C851))</f>
        <v/>
      </c>
      <c r="B851">
        <f>IF(Pipeline_Sort!$C851="","",INDEX(Pipeline_Calc!$C$2:$C$5251,Pipeline_Sort!$C851))</f>
        <v/>
      </c>
      <c r="C851">
        <f>IF(Pipeline_Sort!$C851="","",INDEX(Pipeline_Calc!$D$2:$D$5251,Pipeline_Sort!$C851))</f>
        <v/>
      </c>
      <c r="D851">
        <f>IF(Pipeline_Sort!$C851="","",INDEX(Pipeline_Calc!$E$2:$E$5251,Pipeline_Sort!$C851))</f>
        <v/>
      </c>
      <c r="E851">
        <f>IF(Pipeline_Sort!$C851="","",INDEX(Pipeline_Calc!$F$2:$F$5251,Pipeline_Sort!$C851))</f>
        <v/>
      </c>
      <c r="F851">
        <f>IF(Pipeline_Sort!$C851="","",INDEX(Pipeline_Calc!$G$2:$G$5251,Pipeline_Sort!$C851))</f>
        <v/>
      </c>
      <c r="G851">
        <f>IF(Pipeline_Sort!$C851="","",INDEX(Pipeline_Calc!$H$2:$H$5251,Pipeline_Sort!$C851))</f>
        <v/>
      </c>
      <c r="H851">
        <f>IF(Pipeline_Sort!$C851="","",INDEX(Pipeline_Calc!$I$2:$I$5251,Pipeline_Sort!$C851))</f>
        <v/>
      </c>
      <c r="I851">
        <f>IF(Pipeline_Sort!$C851="","",INDEX(Pipeline_Calc!$J$2:$J$5251,Pipeline_Sort!$C851))</f>
        <v/>
      </c>
    </row>
    <row r="852">
      <c r="A852" s="22">
        <f>IF(Pipeline_Sort!$C852="","",INDEX(Pipeline_Calc!$B$2:$B$5251,Pipeline_Sort!$C852))</f>
        <v/>
      </c>
      <c r="B852">
        <f>IF(Pipeline_Sort!$C852="","",INDEX(Pipeline_Calc!$C$2:$C$5251,Pipeline_Sort!$C852))</f>
        <v/>
      </c>
      <c r="C852">
        <f>IF(Pipeline_Sort!$C852="","",INDEX(Pipeline_Calc!$D$2:$D$5251,Pipeline_Sort!$C852))</f>
        <v/>
      </c>
      <c r="D852">
        <f>IF(Pipeline_Sort!$C852="","",INDEX(Pipeline_Calc!$E$2:$E$5251,Pipeline_Sort!$C852))</f>
        <v/>
      </c>
      <c r="E852">
        <f>IF(Pipeline_Sort!$C852="","",INDEX(Pipeline_Calc!$F$2:$F$5251,Pipeline_Sort!$C852))</f>
        <v/>
      </c>
      <c r="F852">
        <f>IF(Pipeline_Sort!$C852="","",INDEX(Pipeline_Calc!$G$2:$G$5251,Pipeline_Sort!$C852))</f>
        <v/>
      </c>
      <c r="G852">
        <f>IF(Pipeline_Sort!$C852="","",INDEX(Pipeline_Calc!$H$2:$H$5251,Pipeline_Sort!$C852))</f>
        <v/>
      </c>
      <c r="H852">
        <f>IF(Pipeline_Sort!$C852="","",INDEX(Pipeline_Calc!$I$2:$I$5251,Pipeline_Sort!$C852))</f>
        <v/>
      </c>
      <c r="I852">
        <f>IF(Pipeline_Sort!$C852="","",INDEX(Pipeline_Calc!$J$2:$J$5251,Pipeline_Sort!$C852))</f>
        <v/>
      </c>
    </row>
    <row r="853">
      <c r="A853" s="22">
        <f>IF(Pipeline_Sort!$C853="","",INDEX(Pipeline_Calc!$B$2:$B$5251,Pipeline_Sort!$C853))</f>
        <v/>
      </c>
      <c r="B853">
        <f>IF(Pipeline_Sort!$C853="","",INDEX(Pipeline_Calc!$C$2:$C$5251,Pipeline_Sort!$C853))</f>
        <v/>
      </c>
      <c r="C853">
        <f>IF(Pipeline_Sort!$C853="","",INDEX(Pipeline_Calc!$D$2:$D$5251,Pipeline_Sort!$C853))</f>
        <v/>
      </c>
      <c r="D853">
        <f>IF(Pipeline_Sort!$C853="","",INDEX(Pipeline_Calc!$E$2:$E$5251,Pipeline_Sort!$C853))</f>
        <v/>
      </c>
      <c r="E853">
        <f>IF(Pipeline_Sort!$C853="","",INDEX(Pipeline_Calc!$F$2:$F$5251,Pipeline_Sort!$C853))</f>
        <v/>
      </c>
      <c r="F853">
        <f>IF(Pipeline_Sort!$C853="","",INDEX(Pipeline_Calc!$G$2:$G$5251,Pipeline_Sort!$C853))</f>
        <v/>
      </c>
      <c r="G853">
        <f>IF(Pipeline_Sort!$C853="","",INDEX(Pipeline_Calc!$H$2:$H$5251,Pipeline_Sort!$C853))</f>
        <v/>
      </c>
      <c r="H853">
        <f>IF(Pipeline_Sort!$C853="","",INDEX(Pipeline_Calc!$I$2:$I$5251,Pipeline_Sort!$C853))</f>
        <v/>
      </c>
      <c r="I853">
        <f>IF(Pipeline_Sort!$C853="","",INDEX(Pipeline_Calc!$J$2:$J$5251,Pipeline_Sort!$C853))</f>
        <v/>
      </c>
    </row>
    <row r="854">
      <c r="A854" s="22">
        <f>IF(Pipeline_Sort!$C854="","",INDEX(Pipeline_Calc!$B$2:$B$5251,Pipeline_Sort!$C854))</f>
        <v/>
      </c>
      <c r="B854">
        <f>IF(Pipeline_Sort!$C854="","",INDEX(Pipeline_Calc!$C$2:$C$5251,Pipeline_Sort!$C854))</f>
        <v/>
      </c>
      <c r="C854">
        <f>IF(Pipeline_Sort!$C854="","",INDEX(Pipeline_Calc!$D$2:$D$5251,Pipeline_Sort!$C854))</f>
        <v/>
      </c>
      <c r="D854">
        <f>IF(Pipeline_Sort!$C854="","",INDEX(Pipeline_Calc!$E$2:$E$5251,Pipeline_Sort!$C854))</f>
        <v/>
      </c>
      <c r="E854">
        <f>IF(Pipeline_Sort!$C854="","",INDEX(Pipeline_Calc!$F$2:$F$5251,Pipeline_Sort!$C854))</f>
        <v/>
      </c>
      <c r="F854">
        <f>IF(Pipeline_Sort!$C854="","",INDEX(Pipeline_Calc!$G$2:$G$5251,Pipeline_Sort!$C854))</f>
        <v/>
      </c>
      <c r="G854">
        <f>IF(Pipeline_Sort!$C854="","",INDEX(Pipeline_Calc!$H$2:$H$5251,Pipeline_Sort!$C854))</f>
        <v/>
      </c>
      <c r="H854">
        <f>IF(Pipeline_Sort!$C854="","",INDEX(Pipeline_Calc!$I$2:$I$5251,Pipeline_Sort!$C854))</f>
        <v/>
      </c>
      <c r="I854">
        <f>IF(Pipeline_Sort!$C854="","",INDEX(Pipeline_Calc!$J$2:$J$5251,Pipeline_Sort!$C854))</f>
        <v/>
      </c>
    </row>
    <row r="855">
      <c r="A855" s="22">
        <f>IF(Pipeline_Sort!$C855="","",INDEX(Pipeline_Calc!$B$2:$B$5251,Pipeline_Sort!$C855))</f>
        <v/>
      </c>
      <c r="B855">
        <f>IF(Pipeline_Sort!$C855="","",INDEX(Pipeline_Calc!$C$2:$C$5251,Pipeline_Sort!$C855))</f>
        <v/>
      </c>
      <c r="C855">
        <f>IF(Pipeline_Sort!$C855="","",INDEX(Pipeline_Calc!$D$2:$D$5251,Pipeline_Sort!$C855))</f>
        <v/>
      </c>
      <c r="D855">
        <f>IF(Pipeline_Sort!$C855="","",INDEX(Pipeline_Calc!$E$2:$E$5251,Pipeline_Sort!$C855))</f>
        <v/>
      </c>
      <c r="E855">
        <f>IF(Pipeline_Sort!$C855="","",INDEX(Pipeline_Calc!$F$2:$F$5251,Pipeline_Sort!$C855))</f>
        <v/>
      </c>
      <c r="F855">
        <f>IF(Pipeline_Sort!$C855="","",INDEX(Pipeline_Calc!$G$2:$G$5251,Pipeline_Sort!$C855))</f>
        <v/>
      </c>
      <c r="G855">
        <f>IF(Pipeline_Sort!$C855="","",INDEX(Pipeline_Calc!$H$2:$H$5251,Pipeline_Sort!$C855))</f>
        <v/>
      </c>
      <c r="H855">
        <f>IF(Pipeline_Sort!$C855="","",INDEX(Pipeline_Calc!$I$2:$I$5251,Pipeline_Sort!$C855))</f>
        <v/>
      </c>
      <c r="I855">
        <f>IF(Pipeline_Sort!$C855="","",INDEX(Pipeline_Calc!$J$2:$J$5251,Pipeline_Sort!$C855))</f>
        <v/>
      </c>
    </row>
    <row r="856">
      <c r="A856" s="22">
        <f>IF(Pipeline_Sort!$C856="","",INDEX(Pipeline_Calc!$B$2:$B$5251,Pipeline_Sort!$C856))</f>
        <v/>
      </c>
      <c r="B856">
        <f>IF(Pipeline_Sort!$C856="","",INDEX(Pipeline_Calc!$C$2:$C$5251,Pipeline_Sort!$C856))</f>
        <v/>
      </c>
      <c r="C856">
        <f>IF(Pipeline_Sort!$C856="","",INDEX(Pipeline_Calc!$D$2:$D$5251,Pipeline_Sort!$C856))</f>
        <v/>
      </c>
      <c r="D856">
        <f>IF(Pipeline_Sort!$C856="","",INDEX(Pipeline_Calc!$E$2:$E$5251,Pipeline_Sort!$C856))</f>
        <v/>
      </c>
      <c r="E856">
        <f>IF(Pipeline_Sort!$C856="","",INDEX(Pipeline_Calc!$F$2:$F$5251,Pipeline_Sort!$C856))</f>
        <v/>
      </c>
      <c r="F856">
        <f>IF(Pipeline_Sort!$C856="","",INDEX(Pipeline_Calc!$G$2:$G$5251,Pipeline_Sort!$C856))</f>
        <v/>
      </c>
      <c r="G856">
        <f>IF(Pipeline_Sort!$C856="","",INDEX(Pipeline_Calc!$H$2:$H$5251,Pipeline_Sort!$C856))</f>
        <v/>
      </c>
      <c r="H856">
        <f>IF(Pipeline_Sort!$C856="","",INDEX(Pipeline_Calc!$I$2:$I$5251,Pipeline_Sort!$C856))</f>
        <v/>
      </c>
      <c r="I856">
        <f>IF(Pipeline_Sort!$C856="","",INDEX(Pipeline_Calc!$J$2:$J$5251,Pipeline_Sort!$C856))</f>
        <v/>
      </c>
    </row>
    <row r="857">
      <c r="A857" s="22">
        <f>IF(Pipeline_Sort!$C857="","",INDEX(Pipeline_Calc!$B$2:$B$5251,Pipeline_Sort!$C857))</f>
        <v/>
      </c>
      <c r="B857">
        <f>IF(Pipeline_Sort!$C857="","",INDEX(Pipeline_Calc!$C$2:$C$5251,Pipeline_Sort!$C857))</f>
        <v/>
      </c>
      <c r="C857">
        <f>IF(Pipeline_Sort!$C857="","",INDEX(Pipeline_Calc!$D$2:$D$5251,Pipeline_Sort!$C857))</f>
        <v/>
      </c>
      <c r="D857">
        <f>IF(Pipeline_Sort!$C857="","",INDEX(Pipeline_Calc!$E$2:$E$5251,Pipeline_Sort!$C857))</f>
        <v/>
      </c>
      <c r="E857">
        <f>IF(Pipeline_Sort!$C857="","",INDEX(Pipeline_Calc!$F$2:$F$5251,Pipeline_Sort!$C857))</f>
        <v/>
      </c>
      <c r="F857">
        <f>IF(Pipeline_Sort!$C857="","",INDEX(Pipeline_Calc!$G$2:$G$5251,Pipeline_Sort!$C857))</f>
        <v/>
      </c>
      <c r="G857">
        <f>IF(Pipeline_Sort!$C857="","",INDEX(Pipeline_Calc!$H$2:$H$5251,Pipeline_Sort!$C857))</f>
        <v/>
      </c>
      <c r="H857">
        <f>IF(Pipeline_Sort!$C857="","",INDEX(Pipeline_Calc!$I$2:$I$5251,Pipeline_Sort!$C857))</f>
        <v/>
      </c>
      <c r="I857">
        <f>IF(Pipeline_Sort!$C857="","",INDEX(Pipeline_Calc!$J$2:$J$5251,Pipeline_Sort!$C857))</f>
        <v/>
      </c>
    </row>
    <row r="858">
      <c r="A858" s="22">
        <f>IF(Pipeline_Sort!$C858="","",INDEX(Pipeline_Calc!$B$2:$B$5251,Pipeline_Sort!$C858))</f>
        <v/>
      </c>
      <c r="B858">
        <f>IF(Pipeline_Sort!$C858="","",INDEX(Pipeline_Calc!$C$2:$C$5251,Pipeline_Sort!$C858))</f>
        <v/>
      </c>
      <c r="C858">
        <f>IF(Pipeline_Sort!$C858="","",INDEX(Pipeline_Calc!$D$2:$D$5251,Pipeline_Sort!$C858))</f>
        <v/>
      </c>
      <c r="D858">
        <f>IF(Pipeline_Sort!$C858="","",INDEX(Pipeline_Calc!$E$2:$E$5251,Pipeline_Sort!$C858))</f>
        <v/>
      </c>
      <c r="E858">
        <f>IF(Pipeline_Sort!$C858="","",INDEX(Pipeline_Calc!$F$2:$F$5251,Pipeline_Sort!$C858))</f>
        <v/>
      </c>
      <c r="F858">
        <f>IF(Pipeline_Sort!$C858="","",INDEX(Pipeline_Calc!$G$2:$G$5251,Pipeline_Sort!$C858))</f>
        <v/>
      </c>
      <c r="G858">
        <f>IF(Pipeline_Sort!$C858="","",INDEX(Pipeline_Calc!$H$2:$H$5251,Pipeline_Sort!$C858))</f>
        <v/>
      </c>
      <c r="H858">
        <f>IF(Pipeline_Sort!$C858="","",INDEX(Pipeline_Calc!$I$2:$I$5251,Pipeline_Sort!$C858))</f>
        <v/>
      </c>
      <c r="I858">
        <f>IF(Pipeline_Sort!$C858="","",INDEX(Pipeline_Calc!$J$2:$J$5251,Pipeline_Sort!$C858))</f>
        <v/>
      </c>
    </row>
    <row r="859">
      <c r="A859" s="22">
        <f>IF(Pipeline_Sort!$C859="","",INDEX(Pipeline_Calc!$B$2:$B$5251,Pipeline_Sort!$C859))</f>
        <v/>
      </c>
      <c r="B859">
        <f>IF(Pipeline_Sort!$C859="","",INDEX(Pipeline_Calc!$C$2:$C$5251,Pipeline_Sort!$C859))</f>
        <v/>
      </c>
      <c r="C859">
        <f>IF(Pipeline_Sort!$C859="","",INDEX(Pipeline_Calc!$D$2:$D$5251,Pipeline_Sort!$C859))</f>
        <v/>
      </c>
      <c r="D859">
        <f>IF(Pipeline_Sort!$C859="","",INDEX(Pipeline_Calc!$E$2:$E$5251,Pipeline_Sort!$C859))</f>
        <v/>
      </c>
      <c r="E859">
        <f>IF(Pipeline_Sort!$C859="","",INDEX(Pipeline_Calc!$F$2:$F$5251,Pipeline_Sort!$C859))</f>
        <v/>
      </c>
      <c r="F859">
        <f>IF(Pipeline_Sort!$C859="","",INDEX(Pipeline_Calc!$G$2:$G$5251,Pipeline_Sort!$C859))</f>
        <v/>
      </c>
      <c r="G859">
        <f>IF(Pipeline_Sort!$C859="","",INDEX(Pipeline_Calc!$H$2:$H$5251,Pipeline_Sort!$C859))</f>
        <v/>
      </c>
      <c r="H859">
        <f>IF(Pipeline_Sort!$C859="","",INDEX(Pipeline_Calc!$I$2:$I$5251,Pipeline_Sort!$C859))</f>
        <v/>
      </c>
      <c r="I859">
        <f>IF(Pipeline_Sort!$C859="","",INDEX(Pipeline_Calc!$J$2:$J$5251,Pipeline_Sort!$C859))</f>
        <v/>
      </c>
    </row>
    <row r="860">
      <c r="A860" s="22">
        <f>IF(Pipeline_Sort!$C860="","",INDEX(Pipeline_Calc!$B$2:$B$5251,Pipeline_Sort!$C860))</f>
        <v/>
      </c>
      <c r="B860">
        <f>IF(Pipeline_Sort!$C860="","",INDEX(Pipeline_Calc!$C$2:$C$5251,Pipeline_Sort!$C860))</f>
        <v/>
      </c>
      <c r="C860">
        <f>IF(Pipeline_Sort!$C860="","",INDEX(Pipeline_Calc!$D$2:$D$5251,Pipeline_Sort!$C860))</f>
        <v/>
      </c>
      <c r="D860">
        <f>IF(Pipeline_Sort!$C860="","",INDEX(Pipeline_Calc!$E$2:$E$5251,Pipeline_Sort!$C860))</f>
        <v/>
      </c>
      <c r="E860">
        <f>IF(Pipeline_Sort!$C860="","",INDEX(Pipeline_Calc!$F$2:$F$5251,Pipeline_Sort!$C860))</f>
        <v/>
      </c>
      <c r="F860">
        <f>IF(Pipeline_Sort!$C860="","",INDEX(Pipeline_Calc!$G$2:$G$5251,Pipeline_Sort!$C860))</f>
        <v/>
      </c>
      <c r="G860">
        <f>IF(Pipeline_Sort!$C860="","",INDEX(Pipeline_Calc!$H$2:$H$5251,Pipeline_Sort!$C860))</f>
        <v/>
      </c>
      <c r="H860">
        <f>IF(Pipeline_Sort!$C860="","",INDEX(Pipeline_Calc!$I$2:$I$5251,Pipeline_Sort!$C860))</f>
        <v/>
      </c>
      <c r="I860">
        <f>IF(Pipeline_Sort!$C860="","",INDEX(Pipeline_Calc!$J$2:$J$5251,Pipeline_Sort!$C860))</f>
        <v/>
      </c>
    </row>
    <row r="861">
      <c r="A861" s="22">
        <f>IF(Pipeline_Sort!$C861="","",INDEX(Pipeline_Calc!$B$2:$B$5251,Pipeline_Sort!$C861))</f>
        <v/>
      </c>
      <c r="B861">
        <f>IF(Pipeline_Sort!$C861="","",INDEX(Pipeline_Calc!$C$2:$C$5251,Pipeline_Sort!$C861))</f>
        <v/>
      </c>
      <c r="C861">
        <f>IF(Pipeline_Sort!$C861="","",INDEX(Pipeline_Calc!$D$2:$D$5251,Pipeline_Sort!$C861))</f>
        <v/>
      </c>
      <c r="D861">
        <f>IF(Pipeline_Sort!$C861="","",INDEX(Pipeline_Calc!$E$2:$E$5251,Pipeline_Sort!$C861))</f>
        <v/>
      </c>
      <c r="E861">
        <f>IF(Pipeline_Sort!$C861="","",INDEX(Pipeline_Calc!$F$2:$F$5251,Pipeline_Sort!$C861))</f>
        <v/>
      </c>
      <c r="F861">
        <f>IF(Pipeline_Sort!$C861="","",INDEX(Pipeline_Calc!$G$2:$G$5251,Pipeline_Sort!$C861))</f>
        <v/>
      </c>
      <c r="G861">
        <f>IF(Pipeline_Sort!$C861="","",INDEX(Pipeline_Calc!$H$2:$H$5251,Pipeline_Sort!$C861))</f>
        <v/>
      </c>
      <c r="H861">
        <f>IF(Pipeline_Sort!$C861="","",INDEX(Pipeline_Calc!$I$2:$I$5251,Pipeline_Sort!$C861))</f>
        <v/>
      </c>
      <c r="I861">
        <f>IF(Pipeline_Sort!$C861="","",INDEX(Pipeline_Calc!$J$2:$J$5251,Pipeline_Sort!$C861))</f>
        <v/>
      </c>
    </row>
    <row r="862">
      <c r="A862" s="22">
        <f>IF(Pipeline_Sort!$C862="","",INDEX(Pipeline_Calc!$B$2:$B$5251,Pipeline_Sort!$C862))</f>
        <v/>
      </c>
      <c r="B862">
        <f>IF(Pipeline_Sort!$C862="","",INDEX(Pipeline_Calc!$C$2:$C$5251,Pipeline_Sort!$C862))</f>
        <v/>
      </c>
      <c r="C862">
        <f>IF(Pipeline_Sort!$C862="","",INDEX(Pipeline_Calc!$D$2:$D$5251,Pipeline_Sort!$C862))</f>
        <v/>
      </c>
      <c r="D862">
        <f>IF(Pipeline_Sort!$C862="","",INDEX(Pipeline_Calc!$E$2:$E$5251,Pipeline_Sort!$C862))</f>
        <v/>
      </c>
      <c r="E862">
        <f>IF(Pipeline_Sort!$C862="","",INDEX(Pipeline_Calc!$F$2:$F$5251,Pipeline_Sort!$C862))</f>
        <v/>
      </c>
      <c r="F862">
        <f>IF(Pipeline_Sort!$C862="","",INDEX(Pipeline_Calc!$G$2:$G$5251,Pipeline_Sort!$C862))</f>
        <v/>
      </c>
      <c r="G862">
        <f>IF(Pipeline_Sort!$C862="","",INDEX(Pipeline_Calc!$H$2:$H$5251,Pipeline_Sort!$C862))</f>
        <v/>
      </c>
      <c r="H862">
        <f>IF(Pipeline_Sort!$C862="","",INDEX(Pipeline_Calc!$I$2:$I$5251,Pipeline_Sort!$C862))</f>
        <v/>
      </c>
      <c r="I862">
        <f>IF(Pipeline_Sort!$C862="","",INDEX(Pipeline_Calc!$J$2:$J$5251,Pipeline_Sort!$C862))</f>
        <v/>
      </c>
    </row>
    <row r="863">
      <c r="A863" s="22">
        <f>IF(Pipeline_Sort!$C863="","",INDEX(Pipeline_Calc!$B$2:$B$5251,Pipeline_Sort!$C863))</f>
        <v/>
      </c>
      <c r="B863">
        <f>IF(Pipeline_Sort!$C863="","",INDEX(Pipeline_Calc!$C$2:$C$5251,Pipeline_Sort!$C863))</f>
        <v/>
      </c>
      <c r="C863">
        <f>IF(Pipeline_Sort!$C863="","",INDEX(Pipeline_Calc!$D$2:$D$5251,Pipeline_Sort!$C863))</f>
        <v/>
      </c>
      <c r="D863">
        <f>IF(Pipeline_Sort!$C863="","",INDEX(Pipeline_Calc!$E$2:$E$5251,Pipeline_Sort!$C863))</f>
        <v/>
      </c>
      <c r="E863">
        <f>IF(Pipeline_Sort!$C863="","",INDEX(Pipeline_Calc!$F$2:$F$5251,Pipeline_Sort!$C863))</f>
        <v/>
      </c>
      <c r="F863">
        <f>IF(Pipeline_Sort!$C863="","",INDEX(Pipeline_Calc!$G$2:$G$5251,Pipeline_Sort!$C863))</f>
        <v/>
      </c>
      <c r="G863">
        <f>IF(Pipeline_Sort!$C863="","",INDEX(Pipeline_Calc!$H$2:$H$5251,Pipeline_Sort!$C863))</f>
        <v/>
      </c>
      <c r="H863">
        <f>IF(Pipeline_Sort!$C863="","",INDEX(Pipeline_Calc!$I$2:$I$5251,Pipeline_Sort!$C863))</f>
        <v/>
      </c>
      <c r="I863">
        <f>IF(Pipeline_Sort!$C863="","",INDEX(Pipeline_Calc!$J$2:$J$5251,Pipeline_Sort!$C863))</f>
        <v/>
      </c>
    </row>
    <row r="864">
      <c r="A864" s="22">
        <f>IF(Pipeline_Sort!$C864="","",INDEX(Pipeline_Calc!$B$2:$B$5251,Pipeline_Sort!$C864))</f>
        <v/>
      </c>
      <c r="B864">
        <f>IF(Pipeline_Sort!$C864="","",INDEX(Pipeline_Calc!$C$2:$C$5251,Pipeline_Sort!$C864))</f>
        <v/>
      </c>
      <c r="C864">
        <f>IF(Pipeline_Sort!$C864="","",INDEX(Pipeline_Calc!$D$2:$D$5251,Pipeline_Sort!$C864))</f>
        <v/>
      </c>
      <c r="D864">
        <f>IF(Pipeline_Sort!$C864="","",INDEX(Pipeline_Calc!$E$2:$E$5251,Pipeline_Sort!$C864))</f>
        <v/>
      </c>
      <c r="E864">
        <f>IF(Pipeline_Sort!$C864="","",INDEX(Pipeline_Calc!$F$2:$F$5251,Pipeline_Sort!$C864))</f>
        <v/>
      </c>
      <c r="F864">
        <f>IF(Pipeline_Sort!$C864="","",INDEX(Pipeline_Calc!$G$2:$G$5251,Pipeline_Sort!$C864))</f>
        <v/>
      </c>
      <c r="G864">
        <f>IF(Pipeline_Sort!$C864="","",INDEX(Pipeline_Calc!$H$2:$H$5251,Pipeline_Sort!$C864))</f>
        <v/>
      </c>
      <c r="H864">
        <f>IF(Pipeline_Sort!$C864="","",INDEX(Pipeline_Calc!$I$2:$I$5251,Pipeline_Sort!$C864))</f>
        <v/>
      </c>
      <c r="I864">
        <f>IF(Pipeline_Sort!$C864="","",INDEX(Pipeline_Calc!$J$2:$J$5251,Pipeline_Sort!$C864))</f>
        <v/>
      </c>
    </row>
    <row r="865">
      <c r="A865" s="22">
        <f>IF(Pipeline_Sort!$C865="","",INDEX(Pipeline_Calc!$B$2:$B$5251,Pipeline_Sort!$C865))</f>
        <v/>
      </c>
      <c r="B865">
        <f>IF(Pipeline_Sort!$C865="","",INDEX(Pipeline_Calc!$C$2:$C$5251,Pipeline_Sort!$C865))</f>
        <v/>
      </c>
      <c r="C865">
        <f>IF(Pipeline_Sort!$C865="","",INDEX(Pipeline_Calc!$D$2:$D$5251,Pipeline_Sort!$C865))</f>
        <v/>
      </c>
      <c r="D865">
        <f>IF(Pipeline_Sort!$C865="","",INDEX(Pipeline_Calc!$E$2:$E$5251,Pipeline_Sort!$C865))</f>
        <v/>
      </c>
      <c r="E865">
        <f>IF(Pipeline_Sort!$C865="","",INDEX(Pipeline_Calc!$F$2:$F$5251,Pipeline_Sort!$C865))</f>
        <v/>
      </c>
      <c r="F865">
        <f>IF(Pipeline_Sort!$C865="","",INDEX(Pipeline_Calc!$G$2:$G$5251,Pipeline_Sort!$C865))</f>
        <v/>
      </c>
      <c r="G865">
        <f>IF(Pipeline_Sort!$C865="","",INDEX(Pipeline_Calc!$H$2:$H$5251,Pipeline_Sort!$C865))</f>
        <v/>
      </c>
      <c r="H865">
        <f>IF(Pipeline_Sort!$C865="","",INDEX(Pipeline_Calc!$I$2:$I$5251,Pipeline_Sort!$C865))</f>
        <v/>
      </c>
      <c r="I865">
        <f>IF(Pipeline_Sort!$C865="","",INDEX(Pipeline_Calc!$J$2:$J$5251,Pipeline_Sort!$C865))</f>
        <v/>
      </c>
    </row>
    <row r="866">
      <c r="A866" s="22">
        <f>IF(Pipeline_Sort!$C866="","",INDEX(Pipeline_Calc!$B$2:$B$5251,Pipeline_Sort!$C866))</f>
        <v/>
      </c>
      <c r="B866">
        <f>IF(Pipeline_Sort!$C866="","",INDEX(Pipeline_Calc!$C$2:$C$5251,Pipeline_Sort!$C866))</f>
        <v/>
      </c>
      <c r="C866">
        <f>IF(Pipeline_Sort!$C866="","",INDEX(Pipeline_Calc!$D$2:$D$5251,Pipeline_Sort!$C866))</f>
        <v/>
      </c>
      <c r="D866">
        <f>IF(Pipeline_Sort!$C866="","",INDEX(Pipeline_Calc!$E$2:$E$5251,Pipeline_Sort!$C866))</f>
        <v/>
      </c>
      <c r="E866">
        <f>IF(Pipeline_Sort!$C866="","",INDEX(Pipeline_Calc!$F$2:$F$5251,Pipeline_Sort!$C866))</f>
        <v/>
      </c>
      <c r="F866">
        <f>IF(Pipeline_Sort!$C866="","",INDEX(Pipeline_Calc!$G$2:$G$5251,Pipeline_Sort!$C866))</f>
        <v/>
      </c>
      <c r="G866">
        <f>IF(Pipeline_Sort!$C866="","",INDEX(Pipeline_Calc!$H$2:$H$5251,Pipeline_Sort!$C866))</f>
        <v/>
      </c>
      <c r="H866">
        <f>IF(Pipeline_Sort!$C866="","",INDEX(Pipeline_Calc!$I$2:$I$5251,Pipeline_Sort!$C866))</f>
        <v/>
      </c>
      <c r="I866">
        <f>IF(Pipeline_Sort!$C866="","",INDEX(Pipeline_Calc!$J$2:$J$5251,Pipeline_Sort!$C866))</f>
        <v/>
      </c>
    </row>
    <row r="867">
      <c r="A867" s="22">
        <f>IF(Pipeline_Sort!$C867="","",INDEX(Pipeline_Calc!$B$2:$B$5251,Pipeline_Sort!$C867))</f>
        <v/>
      </c>
      <c r="B867">
        <f>IF(Pipeline_Sort!$C867="","",INDEX(Pipeline_Calc!$C$2:$C$5251,Pipeline_Sort!$C867))</f>
        <v/>
      </c>
      <c r="C867">
        <f>IF(Pipeline_Sort!$C867="","",INDEX(Pipeline_Calc!$D$2:$D$5251,Pipeline_Sort!$C867))</f>
        <v/>
      </c>
      <c r="D867">
        <f>IF(Pipeline_Sort!$C867="","",INDEX(Pipeline_Calc!$E$2:$E$5251,Pipeline_Sort!$C867))</f>
        <v/>
      </c>
      <c r="E867">
        <f>IF(Pipeline_Sort!$C867="","",INDEX(Pipeline_Calc!$F$2:$F$5251,Pipeline_Sort!$C867))</f>
        <v/>
      </c>
      <c r="F867">
        <f>IF(Pipeline_Sort!$C867="","",INDEX(Pipeline_Calc!$G$2:$G$5251,Pipeline_Sort!$C867))</f>
        <v/>
      </c>
      <c r="G867">
        <f>IF(Pipeline_Sort!$C867="","",INDEX(Pipeline_Calc!$H$2:$H$5251,Pipeline_Sort!$C867))</f>
        <v/>
      </c>
      <c r="H867">
        <f>IF(Pipeline_Sort!$C867="","",INDEX(Pipeline_Calc!$I$2:$I$5251,Pipeline_Sort!$C867))</f>
        <v/>
      </c>
      <c r="I867">
        <f>IF(Pipeline_Sort!$C867="","",INDEX(Pipeline_Calc!$J$2:$J$5251,Pipeline_Sort!$C867))</f>
        <v/>
      </c>
    </row>
    <row r="868">
      <c r="A868" s="22">
        <f>IF(Pipeline_Sort!$C868="","",INDEX(Pipeline_Calc!$B$2:$B$5251,Pipeline_Sort!$C868))</f>
        <v/>
      </c>
      <c r="B868">
        <f>IF(Pipeline_Sort!$C868="","",INDEX(Pipeline_Calc!$C$2:$C$5251,Pipeline_Sort!$C868))</f>
        <v/>
      </c>
      <c r="C868">
        <f>IF(Pipeline_Sort!$C868="","",INDEX(Pipeline_Calc!$D$2:$D$5251,Pipeline_Sort!$C868))</f>
        <v/>
      </c>
      <c r="D868">
        <f>IF(Pipeline_Sort!$C868="","",INDEX(Pipeline_Calc!$E$2:$E$5251,Pipeline_Sort!$C868))</f>
        <v/>
      </c>
      <c r="E868">
        <f>IF(Pipeline_Sort!$C868="","",INDEX(Pipeline_Calc!$F$2:$F$5251,Pipeline_Sort!$C868))</f>
        <v/>
      </c>
      <c r="F868">
        <f>IF(Pipeline_Sort!$C868="","",INDEX(Pipeline_Calc!$G$2:$G$5251,Pipeline_Sort!$C868))</f>
        <v/>
      </c>
      <c r="G868">
        <f>IF(Pipeline_Sort!$C868="","",INDEX(Pipeline_Calc!$H$2:$H$5251,Pipeline_Sort!$C868))</f>
        <v/>
      </c>
      <c r="H868">
        <f>IF(Pipeline_Sort!$C868="","",INDEX(Pipeline_Calc!$I$2:$I$5251,Pipeline_Sort!$C868))</f>
        <v/>
      </c>
      <c r="I868">
        <f>IF(Pipeline_Sort!$C868="","",INDEX(Pipeline_Calc!$J$2:$J$5251,Pipeline_Sort!$C868))</f>
        <v/>
      </c>
    </row>
    <row r="869">
      <c r="A869" s="22">
        <f>IF(Pipeline_Sort!$C869="","",INDEX(Pipeline_Calc!$B$2:$B$5251,Pipeline_Sort!$C869))</f>
        <v/>
      </c>
      <c r="B869">
        <f>IF(Pipeline_Sort!$C869="","",INDEX(Pipeline_Calc!$C$2:$C$5251,Pipeline_Sort!$C869))</f>
        <v/>
      </c>
      <c r="C869">
        <f>IF(Pipeline_Sort!$C869="","",INDEX(Pipeline_Calc!$D$2:$D$5251,Pipeline_Sort!$C869))</f>
        <v/>
      </c>
      <c r="D869">
        <f>IF(Pipeline_Sort!$C869="","",INDEX(Pipeline_Calc!$E$2:$E$5251,Pipeline_Sort!$C869))</f>
        <v/>
      </c>
      <c r="E869">
        <f>IF(Pipeline_Sort!$C869="","",INDEX(Pipeline_Calc!$F$2:$F$5251,Pipeline_Sort!$C869))</f>
        <v/>
      </c>
      <c r="F869">
        <f>IF(Pipeline_Sort!$C869="","",INDEX(Pipeline_Calc!$G$2:$G$5251,Pipeline_Sort!$C869))</f>
        <v/>
      </c>
      <c r="G869">
        <f>IF(Pipeline_Sort!$C869="","",INDEX(Pipeline_Calc!$H$2:$H$5251,Pipeline_Sort!$C869))</f>
        <v/>
      </c>
      <c r="H869">
        <f>IF(Pipeline_Sort!$C869="","",INDEX(Pipeline_Calc!$I$2:$I$5251,Pipeline_Sort!$C869))</f>
        <v/>
      </c>
      <c r="I869">
        <f>IF(Pipeline_Sort!$C869="","",INDEX(Pipeline_Calc!$J$2:$J$5251,Pipeline_Sort!$C869))</f>
        <v/>
      </c>
    </row>
    <row r="870">
      <c r="A870" s="22">
        <f>IF(Pipeline_Sort!$C870="","",INDEX(Pipeline_Calc!$B$2:$B$5251,Pipeline_Sort!$C870))</f>
        <v/>
      </c>
      <c r="B870">
        <f>IF(Pipeline_Sort!$C870="","",INDEX(Pipeline_Calc!$C$2:$C$5251,Pipeline_Sort!$C870))</f>
        <v/>
      </c>
      <c r="C870">
        <f>IF(Pipeline_Sort!$C870="","",INDEX(Pipeline_Calc!$D$2:$D$5251,Pipeline_Sort!$C870))</f>
        <v/>
      </c>
      <c r="D870">
        <f>IF(Pipeline_Sort!$C870="","",INDEX(Pipeline_Calc!$E$2:$E$5251,Pipeline_Sort!$C870))</f>
        <v/>
      </c>
      <c r="E870">
        <f>IF(Pipeline_Sort!$C870="","",INDEX(Pipeline_Calc!$F$2:$F$5251,Pipeline_Sort!$C870))</f>
        <v/>
      </c>
      <c r="F870">
        <f>IF(Pipeline_Sort!$C870="","",INDEX(Pipeline_Calc!$G$2:$G$5251,Pipeline_Sort!$C870))</f>
        <v/>
      </c>
      <c r="G870">
        <f>IF(Pipeline_Sort!$C870="","",INDEX(Pipeline_Calc!$H$2:$H$5251,Pipeline_Sort!$C870))</f>
        <v/>
      </c>
      <c r="H870">
        <f>IF(Pipeline_Sort!$C870="","",INDEX(Pipeline_Calc!$I$2:$I$5251,Pipeline_Sort!$C870))</f>
        <v/>
      </c>
      <c r="I870">
        <f>IF(Pipeline_Sort!$C870="","",INDEX(Pipeline_Calc!$J$2:$J$5251,Pipeline_Sort!$C870))</f>
        <v/>
      </c>
    </row>
    <row r="871">
      <c r="A871" s="22">
        <f>IF(Pipeline_Sort!$C871="","",INDEX(Pipeline_Calc!$B$2:$B$5251,Pipeline_Sort!$C871))</f>
        <v/>
      </c>
      <c r="B871">
        <f>IF(Pipeline_Sort!$C871="","",INDEX(Pipeline_Calc!$C$2:$C$5251,Pipeline_Sort!$C871))</f>
        <v/>
      </c>
      <c r="C871">
        <f>IF(Pipeline_Sort!$C871="","",INDEX(Pipeline_Calc!$D$2:$D$5251,Pipeline_Sort!$C871))</f>
        <v/>
      </c>
      <c r="D871">
        <f>IF(Pipeline_Sort!$C871="","",INDEX(Pipeline_Calc!$E$2:$E$5251,Pipeline_Sort!$C871))</f>
        <v/>
      </c>
      <c r="E871">
        <f>IF(Pipeline_Sort!$C871="","",INDEX(Pipeline_Calc!$F$2:$F$5251,Pipeline_Sort!$C871))</f>
        <v/>
      </c>
      <c r="F871">
        <f>IF(Pipeline_Sort!$C871="","",INDEX(Pipeline_Calc!$G$2:$G$5251,Pipeline_Sort!$C871))</f>
        <v/>
      </c>
      <c r="G871">
        <f>IF(Pipeline_Sort!$C871="","",INDEX(Pipeline_Calc!$H$2:$H$5251,Pipeline_Sort!$C871))</f>
        <v/>
      </c>
      <c r="H871">
        <f>IF(Pipeline_Sort!$C871="","",INDEX(Pipeline_Calc!$I$2:$I$5251,Pipeline_Sort!$C871))</f>
        <v/>
      </c>
      <c r="I871">
        <f>IF(Pipeline_Sort!$C871="","",INDEX(Pipeline_Calc!$J$2:$J$5251,Pipeline_Sort!$C871))</f>
        <v/>
      </c>
    </row>
    <row r="872">
      <c r="A872" s="22">
        <f>IF(Pipeline_Sort!$C872="","",INDEX(Pipeline_Calc!$B$2:$B$5251,Pipeline_Sort!$C872))</f>
        <v/>
      </c>
      <c r="B872">
        <f>IF(Pipeline_Sort!$C872="","",INDEX(Pipeline_Calc!$C$2:$C$5251,Pipeline_Sort!$C872))</f>
        <v/>
      </c>
      <c r="C872">
        <f>IF(Pipeline_Sort!$C872="","",INDEX(Pipeline_Calc!$D$2:$D$5251,Pipeline_Sort!$C872))</f>
        <v/>
      </c>
      <c r="D872">
        <f>IF(Pipeline_Sort!$C872="","",INDEX(Pipeline_Calc!$E$2:$E$5251,Pipeline_Sort!$C872))</f>
        <v/>
      </c>
      <c r="E872">
        <f>IF(Pipeline_Sort!$C872="","",INDEX(Pipeline_Calc!$F$2:$F$5251,Pipeline_Sort!$C872))</f>
        <v/>
      </c>
      <c r="F872">
        <f>IF(Pipeline_Sort!$C872="","",INDEX(Pipeline_Calc!$G$2:$G$5251,Pipeline_Sort!$C872))</f>
        <v/>
      </c>
      <c r="G872">
        <f>IF(Pipeline_Sort!$C872="","",INDEX(Pipeline_Calc!$H$2:$H$5251,Pipeline_Sort!$C872))</f>
        <v/>
      </c>
      <c r="H872">
        <f>IF(Pipeline_Sort!$C872="","",INDEX(Pipeline_Calc!$I$2:$I$5251,Pipeline_Sort!$C872))</f>
        <v/>
      </c>
      <c r="I872">
        <f>IF(Pipeline_Sort!$C872="","",INDEX(Pipeline_Calc!$J$2:$J$5251,Pipeline_Sort!$C872))</f>
        <v/>
      </c>
    </row>
    <row r="873">
      <c r="A873" s="22">
        <f>IF(Pipeline_Sort!$C873="","",INDEX(Pipeline_Calc!$B$2:$B$5251,Pipeline_Sort!$C873))</f>
        <v/>
      </c>
      <c r="B873">
        <f>IF(Pipeline_Sort!$C873="","",INDEX(Pipeline_Calc!$C$2:$C$5251,Pipeline_Sort!$C873))</f>
        <v/>
      </c>
      <c r="C873">
        <f>IF(Pipeline_Sort!$C873="","",INDEX(Pipeline_Calc!$D$2:$D$5251,Pipeline_Sort!$C873))</f>
        <v/>
      </c>
      <c r="D873">
        <f>IF(Pipeline_Sort!$C873="","",INDEX(Pipeline_Calc!$E$2:$E$5251,Pipeline_Sort!$C873))</f>
        <v/>
      </c>
      <c r="E873">
        <f>IF(Pipeline_Sort!$C873="","",INDEX(Pipeline_Calc!$F$2:$F$5251,Pipeline_Sort!$C873))</f>
        <v/>
      </c>
      <c r="F873">
        <f>IF(Pipeline_Sort!$C873="","",INDEX(Pipeline_Calc!$G$2:$G$5251,Pipeline_Sort!$C873))</f>
        <v/>
      </c>
      <c r="G873">
        <f>IF(Pipeline_Sort!$C873="","",INDEX(Pipeline_Calc!$H$2:$H$5251,Pipeline_Sort!$C873))</f>
        <v/>
      </c>
      <c r="H873">
        <f>IF(Pipeline_Sort!$C873="","",INDEX(Pipeline_Calc!$I$2:$I$5251,Pipeline_Sort!$C873))</f>
        <v/>
      </c>
      <c r="I873">
        <f>IF(Pipeline_Sort!$C873="","",INDEX(Pipeline_Calc!$J$2:$J$5251,Pipeline_Sort!$C873))</f>
        <v/>
      </c>
    </row>
    <row r="874">
      <c r="A874" s="22">
        <f>IF(Pipeline_Sort!$C874="","",INDEX(Pipeline_Calc!$B$2:$B$5251,Pipeline_Sort!$C874))</f>
        <v/>
      </c>
      <c r="B874">
        <f>IF(Pipeline_Sort!$C874="","",INDEX(Pipeline_Calc!$C$2:$C$5251,Pipeline_Sort!$C874))</f>
        <v/>
      </c>
      <c r="C874">
        <f>IF(Pipeline_Sort!$C874="","",INDEX(Pipeline_Calc!$D$2:$D$5251,Pipeline_Sort!$C874))</f>
        <v/>
      </c>
      <c r="D874">
        <f>IF(Pipeline_Sort!$C874="","",INDEX(Pipeline_Calc!$E$2:$E$5251,Pipeline_Sort!$C874))</f>
        <v/>
      </c>
      <c r="E874">
        <f>IF(Pipeline_Sort!$C874="","",INDEX(Pipeline_Calc!$F$2:$F$5251,Pipeline_Sort!$C874))</f>
        <v/>
      </c>
      <c r="F874">
        <f>IF(Pipeline_Sort!$C874="","",INDEX(Pipeline_Calc!$G$2:$G$5251,Pipeline_Sort!$C874))</f>
        <v/>
      </c>
      <c r="G874">
        <f>IF(Pipeline_Sort!$C874="","",INDEX(Pipeline_Calc!$H$2:$H$5251,Pipeline_Sort!$C874))</f>
        <v/>
      </c>
      <c r="H874">
        <f>IF(Pipeline_Sort!$C874="","",INDEX(Pipeline_Calc!$I$2:$I$5251,Pipeline_Sort!$C874))</f>
        <v/>
      </c>
      <c r="I874">
        <f>IF(Pipeline_Sort!$C874="","",INDEX(Pipeline_Calc!$J$2:$J$5251,Pipeline_Sort!$C874))</f>
        <v/>
      </c>
    </row>
    <row r="875">
      <c r="A875" s="22">
        <f>IF(Pipeline_Sort!$C875="","",INDEX(Pipeline_Calc!$B$2:$B$5251,Pipeline_Sort!$C875))</f>
        <v/>
      </c>
      <c r="B875">
        <f>IF(Pipeline_Sort!$C875="","",INDEX(Pipeline_Calc!$C$2:$C$5251,Pipeline_Sort!$C875))</f>
        <v/>
      </c>
      <c r="C875">
        <f>IF(Pipeline_Sort!$C875="","",INDEX(Pipeline_Calc!$D$2:$D$5251,Pipeline_Sort!$C875))</f>
        <v/>
      </c>
      <c r="D875">
        <f>IF(Pipeline_Sort!$C875="","",INDEX(Pipeline_Calc!$E$2:$E$5251,Pipeline_Sort!$C875))</f>
        <v/>
      </c>
      <c r="E875">
        <f>IF(Pipeline_Sort!$C875="","",INDEX(Pipeline_Calc!$F$2:$F$5251,Pipeline_Sort!$C875))</f>
        <v/>
      </c>
      <c r="F875">
        <f>IF(Pipeline_Sort!$C875="","",INDEX(Pipeline_Calc!$G$2:$G$5251,Pipeline_Sort!$C875))</f>
        <v/>
      </c>
      <c r="G875">
        <f>IF(Pipeline_Sort!$C875="","",INDEX(Pipeline_Calc!$H$2:$H$5251,Pipeline_Sort!$C875))</f>
        <v/>
      </c>
      <c r="H875">
        <f>IF(Pipeline_Sort!$C875="","",INDEX(Pipeline_Calc!$I$2:$I$5251,Pipeline_Sort!$C875))</f>
        <v/>
      </c>
      <c r="I875">
        <f>IF(Pipeline_Sort!$C875="","",INDEX(Pipeline_Calc!$J$2:$J$5251,Pipeline_Sort!$C875))</f>
        <v/>
      </c>
    </row>
    <row r="876">
      <c r="A876" s="22">
        <f>IF(Pipeline_Sort!$C876="","",INDEX(Pipeline_Calc!$B$2:$B$5251,Pipeline_Sort!$C876))</f>
        <v/>
      </c>
      <c r="B876">
        <f>IF(Pipeline_Sort!$C876="","",INDEX(Pipeline_Calc!$C$2:$C$5251,Pipeline_Sort!$C876))</f>
        <v/>
      </c>
      <c r="C876">
        <f>IF(Pipeline_Sort!$C876="","",INDEX(Pipeline_Calc!$D$2:$D$5251,Pipeline_Sort!$C876))</f>
        <v/>
      </c>
      <c r="D876">
        <f>IF(Pipeline_Sort!$C876="","",INDEX(Pipeline_Calc!$E$2:$E$5251,Pipeline_Sort!$C876))</f>
        <v/>
      </c>
      <c r="E876">
        <f>IF(Pipeline_Sort!$C876="","",INDEX(Pipeline_Calc!$F$2:$F$5251,Pipeline_Sort!$C876))</f>
        <v/>
      </c>
      <c r="F876">
        <f>IF(Pipeline_Sort!$C876="","",INDEX(Pipeline_Calc!$G$2:$G$5251,Pipeline_Sort!$C876))</f>
        <v/>
      </c>
      <c r="G876">
        <f>IF(Pipeline_Sort!$C876="","",INDEX(Pipeline_Calc!$H$2:$H$5251,Pipeline_Sort!$C876))</f>
        <v/>
      </c>
      <c r="H876">
        <f>IF(Pipeline_Sort!$C876="","",INDEX(Pipeline_Calc!$I$2:$I$5251,Pipeline_Sort!$C876))</f>
        <v/>
      </c>
      <c r="I876">
        <f>IF(Pipeline_Sort!$C876="","",INDEX(Pipeline_Calc!$J$2:$J$5251,Pipeline_Sort!$C876))</f>
        <v/>
      </c>
    </row>
    <row r="877">
      <c r="A877" s="22">
        <f>IF(Pipeline_Sort!$C877="","",INDEX(Pipeline_Calc!$B$2:$B$5251,Pipeline_Sort!$C877))</f>
        <v/>
      </c>
      <c r="B877">
        <f>IF(Pipeline_Sort!$C877="","",INDEX(Pipeline_Calc!$C$2:$C$5251,Pipeline_Sort!$C877))</f>
        <v/>
      </c>
      <c r="C877">
        <f>IF(Pipeline_Sort!$C877="","",INDEX(Pipeline_Calc!$D$2:$D$5251,Pipeline_Sort!$C877))</f>
        <v/>
      </c>
      <c r="D877">
        <f>IF(Pipeline_Sort!$C877="","",INDEX(Pipeline_Calc!$E$2:$E$5251,Pipeline_Sort!$C877))</f>
        <v/>
      </c>
      <c r="E877">
        <f>IF(Pipeline_Sort!$C877="","",INDEX(Pipeline_Calc!$F$2:$F$5251,Pipeline_Sort!$C877))</f>
        <v/>
      </c>
      <c r="F877">
        <f>IF(Pipeline_Sort!$C877="","",INDEX(Pipeline_Calc!$G$2:$G$5251,Pipeline_Sort!$C877))</f>
        <v/>
      </c>
      <c r="G877">
        <f>IF(Pipeline_Sort!$C877="","",INDEX(Pipeline_Calc!$H$2:$H$5251,Pipeline_Sort!$C877))</f>
        <v/>
      </c>
      <c r="H877">
        <f>IF(Pipeline_Sort!$C877="","",INDEX(Pipeline_Calc!$I$2:$I$5251,Pipeline_Sort!$C877))</f>
        <v/>
      </c>
      <c r="I877">
        <f>IF(Pipeline_Sort!$C877="","",INDEX(Pipeline_Calc!$J$2:$J$5251,Pipeline_Sort!$C877))</f>
        <v/>
      </c>
    </row>
    <row r="878">
      <c r="A878" s="22">
        <f>IF(Pipeline_Sort!$C878="","",INDEX(Pipeline_Calc!$B$2:$B$5251,Pipeline_Sort!$C878))</f>
        <v/>
      </c>
      <c r="B878">
        <f>IF(Pipeline_Sort!$C878="","",INDEX(Pipeline_Calc!$C$2:$C$5251,Pipeline_Sort!$C878))</f>
        <v/>
      </c>
      <c r="C878">
        <f>IF(Pipeline_Sort!$C878="","",INDEX(Pipeline_Calc!$D$2:$D$5251,Pipeline_Sort!$C878))</f>
        <v/>
      </c>
      <c r="D878">
        <f>IF(Pipeline_Sort!$C878="","",INDEX(Pipeline_Calc!$E$2:$E$5251,Pipeline_Sort!$C878))</f>
        <v/>
      </c>
      <c r="E878">
        <f>IF(Pipeline_Sort!$C878="","",INDEX(Pipeline_Calc!$F$2:$F$5251,Pipeline_Sort!$C878))</f>
        <v/>
      </c>
      <c r="F878">
        <f>IF(Pipeline_Sort!$C878="","",INDEX(Pipeline_Calc!$G$2:$G$5251,Pipeline_Sort!$C878))</f>
        <v/>
      </c>
      <c r="G878">
        <f>IF(Pipeline_Sort!$C878="","",INDEX(Pipeline_Calc!$H$2:$H$5251,Pipeline_Sort!$C878))</f>
        <v/>
      </c>
      <c r="H878">
        <f>IF(Pipeline_Sort!$C878="","",INDEX(Pipeline_Calc!$I$2:$I$5251,Pipeline_Sort!$C878))</f>
        <v/>
      </c>
      <c r="I878">
        <f>IF(Pipeline_Sort!$C878="","",INDEX(Pipeline_Calc!$J$2:$J$5251,Pipeline_Sort!$C878))</f>
        <v/>
      </c>
    </row>
    <row r="879">
      <c r="A879" s="22">
        <f>IF(Pipeline_Sort!$C879="","",INDEX(Pipeline_Calc!$B$2:$B$5251,Pipeline_Sort!$C879))</f>
        <v/>
      </c>
      <c r="B879">
        <f>IF(Pipeline_Sort!$C879="","",INDEX(Pipeline_Calc!$C$2:$C$5251,Pipeline_Sort!$C879))</f>
        <v/>
      </c>
      <c r="C879">
        <f>IF(Pipeline_Sort!$C879="","",INDEX(Pipeline_Calc!$D$2:$D$5251,Pipeline_Sort!$C879))</f>
        <v/>
      </c>
      <c r="D879">
        <f>IF(Pipeline_Sort!$C879="","",INDEX(Pipeline_Calc!$E$2:$E$5251,Pipeline_Sort!$C879))</f>
        <v/>
      </c>
      <c r="E879">
        <f>IF(Pipeline_Sort!$C879="","",INDEX(Pipeline_Calc!$F$2:$F$5251,Pipeline_Sort!$C879))</f>
        <v/>
      </c>
      <c r="F879">
        <f>IF(Pipeline_Sort!$C879="","",INDEX(Pipeline_Calc!$G$2:$G$5251,Pipeline_Sort!$C879))</f>
        <v/>
      </c>
      <c r="G879">
        <f>IF(Pipeline_Sort!$C879="","",INDEX(Pipeline_Calc!$H$2:$H$5251,Pipeline_Sort!$C879))</f>
        <v/>
      </c>
      <c r="H879">
        <f>IF(Pipeline_Sort!$C879="","",INDEX(Pipeline_Calc!$I$2:$I$5251,Pipeline_Sort!$C879))</f>
        <v/>
      </c>
      <c r="I879">
        <f>IF(Pipeline_Sort!$C879="","",INDEX(Pipeline_Calc!$J$2:$J$5251,Pipeline_Sort!$C879))</f>
        <v/>
      </c>
    </row>
    <row r="880">
      <c r="A880" s="22">
        <f>IF(Pipeline_Sort!$C880="","",INDEX(Pipeline_Calc!$B$2:$B$5251,Pipeline_Sort!$C880))</f>
        <v/>
      </c>
      <c r="B880">
        <f>IF(Pipeline_Sort!$C880="","",INDEX(Pipeline_Calc!$C$2:$C$5251,Pipeline_Sort!$C880))</f>
        <v/>
      </c>
      <c r="C880">
        <f>IF(Pipeline_Sort!$C880="","",INDEX(Pipeline_Calc!$D$2:$D$5251,Pipeline_Sort!$C880))</f>
        <v/>
      </c>
      <c r="D880">
        <f>IF(Pipeline_Sort!$C880="","",INDEX(Pipeline_Calc!$E$2:$E$5251,Pipeline_Sort!$C880))</f>
        <v/>
      </c>
      <c r="E880">
        <f>IF(Pipeline_Sort!$C880="","",INDEX(Pipeline_Calc!$F$2:$F$5251,Pipeline_Sort!$C880))</f>
        <v/>
      </c>
      <c r="F880">
        <f>IF(Pipeline_Sort!$C880="","",INDEX(Pipeline_Calc!$G$2:$G$5251,Pipeline_Sort!$C880))</f>
        <v/>
      </c>
      <c r="G880">
        <f>IF(Pipeline_Sort!$C880="","",INDEX(Pipeline_Calc!$H$2:$H$5251,Pipeline_Sort!$C880))</f>
        <v/>
      </c>
      <c r="H880">
        <f>IF(Pipeline_Sort!$C880="","",INDEX(Pipeline_Calc!$I$2:$I$5251,Pipeline_Sort!$C880))</f>
        <v/>
      </c>
      <c r="I880">
        <f>IF(Pipeline_Sort!$C880="","",INDEX(Pipeline_Calc!$J$2:$J$5251,Pipeline_Sort!$C880))</f>
        <v/>
      </c>
    </row>
    <row r="881">
      <c r="A881" s="22">
        <f>IF(Pipeline_Sort!$C881="","",INDEX(Pipeline_Calc!$B$2:$B$5251,Pipeline_Sort!$C881))</f>
        <v/>
      </c>
      <c r="B881">
        <f>IF(Pipeline_Sort!$C881="","",INDEX(Pipeline_Calc!$C$2:$C$5251,Pipeline_Sort!$C881))</f>
        <v/>
      </c>
      <c r="C881">
        <f>IF(Pipeline_Sort!$C881="","",INDEX(Pipeline_Calc!$D$2:$D$5251,Pipeline_Sort!$C881))</f>
        <v/>
      </c>
      <c r="D881">
        <f>IF(Pipeline_Sort!$C881="","",INDEX(Pipeline_Calc!$E$2:$E$5251,Pipeline_Sort!$C881))</f>
        <v/>
      </c>
      <c r="E881">
        <f>IF(Pipeline_Sort!$C881="","",INDEX(Pipeline_Calc!$F$2:$F$5251,Pipeline_Sort!$C881))</f>
        <v/>
      </c>
      <c r="F881">
        <f>IF(Pipeline_Sort!$C881="","",INDEX(Pipeline_Calc!$G$2:$G$5251,Pipeline_Sort!$C881))</f>
        <v/>
      </c>
      <c r="G881">
        <f>IF(Pipeline_Sort!$C881="","",INDEX(Pipeline_Calc!$H$2:$H$5251,Pipeline_Sort!$C881))</f>
        <v/>
      </c>
      <c r="H881">
        <f>IF(Pipeline_Sort!$C881="","",INDEX(Pipeline_Calc!$I$2:$I$5251,Pipeline_Sort!$C881))</f>
        <v/>
      </c>
      <c r="I881">
        <f>IF(Pipeline_Sort!$C881="","",INDEX(Pipeline_Calc!$J$2:$J$5251,Pipeline_Sort!$C881))</f>
        <v/>
      </c>
    </row>
    <row r="882">
      <c r="A882" s="22">
        <f>IF(Pipeline_Sort!$C882="","",INDEX(Pipeline_Calc!$B$2:$B$5251,Pipeline_Sort!$C882))</f>
        <v/>
      </c>
      <c r="B882">
        <f>IF(Pipeline_Sort!$C882="","",INDEX(Pipeline_Calc!$C$2:$C$5251,Pipeline_Sort!$C882))</f>
        <v/>
      </c>
      <c r="C882">
        <f>IF(Pipeline_Sort!$C882="","",INDEX(Pipeline_Calc!$D$2:$D$5251,Pipeline_Sort!$C882))</f>
        <v/>
      </c>
      <c r="D882">
        <f>IF(Pipeline_Sort!$C882="","",INDEX(Pipeline_Calc!$E$2:$E$5251,Pipeline_Sort!$C882))</f>
        <v/>
      </c>
      <c r="E882">
        <f>IF(Pipeline_Sort!$C882="","",INDEX(Pipeline_Calc!$F$2:$F$5251,Pipeline_Sort!$C882))</f>
        <v/>
      </c>
      <c r="F882">
        <f>IF(Pipeline_Sort!$C882="","",INDEX(Pipeline_Calc!$G$2:$G$5251,Pipeline_Sort!$C882))</f>
        <v/>
      </c>
      <c r="G882">
        <f>IF(Pipeline_Sort!$C882="","",INDEX(Pipeline_Calc!$H$2:$H$5251,Pipeline_Sort!$C882))</f>
        <v/>
      </c>
      <c r="H882">
        <f>IF(Pipeline_Sort!$C882="","",INDEX(Pipeline_Calc!$I$2:$I$5251,Pipeline_Sort!$C882))</f>
        <v/>
      </c>
      <c r="I882">
        <f>IF(Pipeline_Sort!$C882="","",INDEX(Pipeline_Calc!$J$2:$J$5251,Pipeline_Sort!$C882))</f>
        <v/>
      </c>
    </row>
    <row r="883">
      <c r="A883" s="22">
        <f>IF(Pipeline_Sort!$C883="","",INDEX(Pipeline_Calc!$B$2:$B$5251,Pipeline_Sort!$C883))</f>
        <v/>
      </c>
      <c r="B883">
        <f>IF(Pipeline_Sort!$C883="","",INDEX(Pipeline_Calc!$C$2:$C$5251,Pipeline_Sort!$C883))</f>
        <v/>
      </c>
      <c r="C883">
        <f>IF(Pipeline_Sort!$C883="","",INDEX(Pipeline_Calc!$D$2:$D$5251,Pipeline_Sort!$C883))</f>
        <v/>
      </c>
      <c r="D883">
        <f>IF(Pipeline_Sort!$C883="","",INDEX(Pipeline_Calc!$E$2:$E$5251,Pipeline_Sort!$C883))</f>
        <v/>
      </c>
      <c r="E883">
        <f>IF(Pipeline_Sort!$C883="","",INDEX(Pipeline_Calc!$F$2:$F$5251,Pipeline_Sort!$C883))</f>
        <v/>
      </c>
      <c r="F883">
        <f>IF(Pipeline_Sort!$C883="","",INDEX(Pipeline_Calc!$G$2:$G$5251,Pipeline_Sort!$C883))</f>
        <v/>
      </c>
      <c r="G883">
        <f>IF(Pipeline_Sort!$C883="","",INDEX(Pipeline_Calc!$H$2:$H$5251,Pipeline_Sort!$C883))</f>
        <v/>
      </c>
      <c r="H883">
        <f>IF(Pipeline_Sort!$C883="","",INDEX(Pipeline_Calc!$I$2:$I$5251,Pipeline_Sort!$C883))</f>
        <v/>
      </c>
      <c r="I883">
        <f>IF(Pipeline_Sort!$C883="","",INDEX(Pipeline_Calc!$J$2:$J$5251,Pipeline_Sort!$C883))</f>
        <v/>
      </c>
    </row>
    <row r="884">
      <c r="A884" s="22">
        <f>IF(Pipeline_Sort!$C884="","",INDEX(Pipeline_Calc!$B$2:$B$5251,Pipeline_Sort!$C884))</f>
        <v/>
      </c>
      <c r="B884">
        <f>IF(Pipeline_Sort!$C884="","",INDEX(Pipeline_Calc!$C$2:$C$5251,Pipeline_Sort!$C884))</f>
        <v/>
      </c>
      <c r="C884">
        <f>IF(Pipeline_Sort!$C884="","",INDEX(Pipeline_Calc!$D$2:$D$5251,Pipeline_Sort!$C884))</f>
        <v/>
      </c>
      <c r="D884">
        <f>IF(Pipeline_Sort!$C884="","",INDEX(Pipeline_Calc!$E$2:$E$5251,Pipeline_Sort!$C884))</f>
        <v/>
      </c>
      <c r="E884">
        <f>IF(Pipeline_Sort!$C884="","",INDEX(Pipeline_Calc!$F$2:$F$5251,Pipeline_Sort!$C884))</f>
        <v/>
      </c>
      <c r="F884">
        <f>IF(Pipeline_Sort!$C884="","",INDEX(Pipeline_Calc!$G$2:$G$5251,Pipeline_Sort!$C884))</f>
        <v/>
      </c>
      <c r="G884">
        <f>IF(Pipeline_Sort!$C884="","",INDEX(Pipeline_Calc!$H$2:$H$5251,Pipeline_Sort!$C884))</f>
        <v/>
      </c>
      <c r="H884">
        <f>IF(Pipeline_Sort!$C884="","",INDEX(Pipeline_Calc!$I$2:$I$5251,Pipeline_Sort!$C884))</f>
        <v/>
      </c>
      <c r="I884">
        <f>IF(Pipeline_Sort!$C884="","",INDEX(Pipeline_Calc!$J$2:$J$5251,Pipeline_Sort!$C884))</f>
        <v/>
      </c>
    </row>
    <row r="885">
      <c r="A885" s="22">
        <f>IF(Pipeline_Sort!$C885="","",INDEX(Pipeline_Calc!$B$2:$B$5251,Pipeline_Sort!$C885))</f>
        <v/>
      </c>
      <c r="B885">
        <f>IF(Pipeline_Sort!$C885="","",INDEX(Pipeline_Calc!$C$2:$C$5251,Pipeline_Sort!$C885))</f>
        <v/>
      </c>
      <c r="C885">
        <f>IF(Pipeline_Sort!$C885="","",INDEX(Pipeline_Calc!$D$2:$D$5251,Pipeline_Sort!$C885))</f>
        <v/>
      </c>
      <c r="D885">
        <f>IF(Pipeline_Sort!$C885="","",INDEX(Pipeline_Calc!$E$2:$E$5251,Pipeline_Sort!$C885))</f>
        <v/>
      </c>
      <c r="E885">
        <f>IF(Pipeline_Sort!$C885="","",INDEX(Pipeline_Calc!$F$2:$F$5251,Pipeline_Sort!$C885))</f>
        <v/>
      </c>
      <c r="F885">
        <f>IF(Pipeline_Sort!$C885="","",INDEX(Pipeline_Calc!$G$2:$G$5251,Pipeline_Sort!$C885))</f>
        <v/>
      </c>
      <c r="G885">
        <f>IF(Pipeline_Sort!$C885="","",INDEX(Pipeline_Calc!$H$2:$H$5251,Pipeline_Sort!$C885))</f>
        <v/>
      </c>
      <c r="H885">
        <f>IF(Pipeline_Sort!$C885="","",INDEX(Pipeline_Calc!$I$2:$I$5251,Pipeline_Sort!$C885))</f>
        <v/>
      </c>
      <c r="I885">
        <f>IF(Pipeline_Sort!$C885="","",INDEX(Pipeline_Calc!$J$2:$J$5251,Pipeline_Sort!$C885))</f>
        <v/>
      </c>
    </row>
    <row r="886">
      <c r="A886" s="22">
        <f>IF(Pipeline_Sort!$C886="","",INDEX(Pipeline_Calc!$B$2:$B$5251,Pipeline_Sort!$C886))</f>
        <v/>
      </c>
      <c r="B886">
        <f>IF(Pipeline_Sort!$C886="","",INDEX(Pipeline_Calc!$C$2:$C$5251,Pipeline_Sort!$C886))</f>
        <v/>
      </c>
      <c r="C886">
        <f>IF(Pipeline_Sort!$C886="","",INDEX(Pipeline_Calc!$D$2:$D$5251,Pipeline_Sort!$C886))</f>
        <v/>
      </c>
      <c r="D886">
        <f>IF(Pipeline_Sort!$C886="","",INDEX(Pipeline_Calc!$E$2:$E$5251,Pipeline_Sort!$C886))</f>
        <v/>
      </c>
      <c r="E886">
        <f>IF(Pipeline_Sort!$C886="","",INDEX(Pipeline_Calc!$F$2:$F$5251,Pipeline_Sort!$C886))</f>
        <v/>
      </c>
      <c r="F886">
        <f>IF(Pipeline_Sort!$C886="","",INDEX(Pipeline_Calc!$G$2:$G$5251,Pipeline_Sort!$C886))</f>
        <v/>
      </c>
      <c r="G886">
        <f>IF(Pipeline_Sort!$C886="","",INDEX(Pipeline_Calc!$H$2:$H$5251,Pipeline_Sort!$C886))</f>
        <v/>
      </c>
      <c r="H886">
        <f>IF(Pipeline_Sort!$C886="","",INDEX(Pipeline_Calc!$I$2:$I$5251,Pipeline_Sort!$C886))</f>
        <v/>
      </c>
      <c r="I886">
        <f>IF(Pipeline_Sort!$C886="","",INDEX(Pipeline_Calc!$J$2:$J$5251,Pipeline_Sort!$C886))</f>
        <v/>
      </c>
    </row>
    <row r="887">
      <c r="A887" s="22">
        <f>IF(Pipeline_Sort!$C887="","",INDEX(Pipeline_Calc!$B$2:$B$5251,Pipeline_Sort!$C887))</f>
        <v/>
      </c>
      <c r="B887">
        <f>IF(Pipeline_Sort!$C887="","",INDEX(Pipeline_Calc!$C$2:$C$5251,Pipeline_Sort!$C887))</f>
        <v/>
      </c>
      <c r="C887">
        <f>IF(Pipeline_Sort!$C887="","",INDEX(Pipeline_Calc!$D$2:$D$5251,Pipeline_Sort!$C887))</f>
        <v/>
      </c>
      <c r="D887">
        <f>IF(Pipeline_Sort!$C887="","",INDEX(Pipeline_Calc!$E$2:$E$5251,Pipeline_Sort!$C887))</f>
        <v/>
      </c>
      <c r="E887">
        <f>IF(Pipeline_Sort!$C887="","",INDEX(Pipeline_Calc!$F$2:$F$5251,Pipeline_Sort!$C887))</f>
        <v/>
      </c>
      <c r="F887">
        <f>IF(Pipeline_Sort!$C887="","",INDEX(Pipeline_Calc!$G$2:$G$5251,Pipeline_Sort!$C887))</f>
        <v/>
      </c>
      <c r="G887">
        <f>IF(Pipeline_Sort!$C887="","",INDEX(Pipeline_Calc!$H$2:$H$5251,Pipeline_Sort!$C887))</f>
        <v/>
      </c>
      <c r="H887">
        <f>IF(Pipeline_Sort!$C887="","",INDEX(Pipeline_Calc!$I$2:$I$5251,Pipeline_Sort!$C887))</f>
        <v/>
      </c>
      <c r="I887">
        <f>IF(Pipeline_Sort!$C887="","",INDEX(Pipeline_Calc!$J$2:$J$5251,Pipeline_Sort!$C887))</f>
        <v/>
      </c>
    </row>
    <row r="888">
      <c r="A888" s="22">
        <f>IF(Pipeline_Sort!$C888="","",INDEX(Pipeline_Calc!$B$2:$B$5251,Pipeline_Sort!$C888))</f>
        <v/>
      </c>
      <c r="B888">
        <f>IF(Pipeline_Sort!$C888="","",INDEX(Pipeline_Calc!$C$2:$C$5251,Pipeline_Sort!$C888))</f>
        <v/>
      </c>
      <c r="C888">
        <f>IF(Pipeline_Sort!$C888="","",INDEX(Pipeline_Calc!$D$2:$D$5251,Pipeline_Sort!$C888))</f>
        <v/>
      </c>
      <c r="D888">
        <f>IF(Pipeline_Sort!$C888="","",INDEX(Pipeline_Calc!$E$2:$E$5251,Pipeline_Sort!$C888))</f>
        <v/>
      </c>
      <c r="E888">
        <f>IF(Pipeline_Sort!$C888="","",INDEX(Pipeline_Calc!$F$2:$F$5251,Pipeline_Sort!$C888))</f>
        <v/>
      </c>
      <c r="F888">
        <f>IF(Pipeline_Sort!$C888="","",INDEX(Pipeline_Calc!$G$2:$G$5251,Pipeline_Sort!$C888))</f>
        <v/>
      </c>
      <c r="G888">
        <f>IF(Pipeline_Sort!$C888="","",INDEX(Pipeline_Calc!$H$2:$H$5251,Pipeline_Sort!$C888))</f>
        <v/>
      </c>
      <c r="H888">
        <f>IF(Pipeline_Sort!$C888="","",INDEX(Pipeline_Calc!$I$2:$I$5251,Pipeline_Sort!$C888))</f>
        <v/>
      </c>
      <c r="I888">
        <f>IF(Pipeline_Sort!$C888="","",INDEX(Pipeline_Calc!$J$2:$J$5251,Pipeline_Sort!$C888))</f>
        <v/>
      </c>
    </row>
    <row r="889">
      <c r="A889" s="22">
        <f>IF(Pipeline_Sort!$C889="","",INDEX(Pipeline_Calc!$B$2:$B$5251,Pipeline_Sort!$C889))</f>
        <v/>
      </c>
      <c r="B889">
        <f>IF(Pipeline_Sort!$C889="","",INDEX(Pipeline_Calc!$C$2:$C$5251,Pipeline_Sort!$C889))</f>
        <v/>
      </c>
      <c r="C889">
        <f>IF(Pipeline_Sort!$C889="","",INDEX(Pipeline_Calc!$D$2:$D$5251,Pipeline_Sort!$C889))</f>
        <v/>
      </c>
      <c r="D889">
        <f>IF(Pipeline_Sort!$C889="","",INDEX(Pipeline_Calc!$E$2:$E$5251,Pipeline_Sort!$C889))</f>
        <v/>
      </c>
      <c r="E889">
        <f>IF(Pipeline_Sort!$C889="","",INDEX(Pipeline_Calc!$F$2:$F$5251,Pipeline_Sort!$C889))</f>
        <v/>
      </c>
      <c r="F889">
        <f>IF(Pipeline_Sort!$C889="","",INDEX(Pipeline_Calc!$G$2:$G$5251,Pipeline_Sort!$C889))</f>
        <v/>
      </c>
      <c r="G889">
        <f>IF(Pipeline_Sort!$C889="","",INDEX(Pipeline_Calc!$H$2:$H$5251,Pipeline_Sort!$C889))</f>
        <v/>
      </c>
      <c r="H889">
        <f>IF(Pipeline_Sort!$C889="","",INDEX(Pipeline_Calc!$I$2:$I$5251,Pipeline_Sort!$C889))</f>
        <v/>
      </c>
      <c r="I889">
        <f>IF(Pipeline_Sort!$C889="","",INDEX(Pipeline_Calc!$J$2:$J$5251,Pipeline_Sort!$C889))</f>
        <v/>
      </c>
    </row>
    <row r="890">
      <c r="A890" s="22">
        <f>IF(Pipeline_Sort!$C890="","",INDEX(Pipeline_Calc!$B$2:$B$5251,Pipeline_Sort!$C890))</f>
        <v/>
      </c>
      <c r="B890">
        <f>IF(Pipeline_Sort!$C890="","",INDEX(Pipeline_Calc!$C$2:$C$5251,Pipeline_Sort!$C890))</f>
        <v/>
      </c>
      <c r="C890">
        <f>IF(Pipeline_Sort!$C890="","",INDEX(Pipeline_Calc!$D$2:$D$5251,Pipeline_Sort!$C890))</f>
        <v/>
      </c>
      <c r="D890">
        <f>IF(Pipeline_Sort!$C890="","",INDEX(Pipeline_Calc!$E$2:$E$5251,Pipeline_Sort!$C890))</f>
        <v/>
      </c>
      <c r="E890">
        <f>IF(Pipeline_Sort!$C890="","",INDEX(Pipeline_Calc!$F$2:$F$5251,Pipeline_Sort!$C890))</f>
        <v/>
      </c>
      <c r="F890">
        <f>IF(Pipeline_Sort!$C890="","",INDEX(Pipeline_Calc!$G$2:$G$5251,Pipeline_Sort!$C890))</f>
        <v/>
      </c>
      <c r="G890">
        <f>IF(Pipeline_Sort!$C890="","",INDEX(Pipeline_Calc!$H$2:$H$5251,Pipeline_Sort!$C890))</f>
        <v/>
      </c>
      <c r="H890">
        <f>IF(Pipeline_Sort!$C890="","",INDEX(Pipeline_Calc!$I$2:$I$5251,Pipeline_Sort!$C890))</f>
        <v/>
      </c>
      <c r="I890">
        <f>IF(Pipeline_Sort!$C890="","",INDEX(Pipeline_Calc!$J$2:$J$5251,Pipeline_Sort!$C890))</f>
        <v/>
      </c>
    </row>
    <row r="891">
      <c r="A891" s="22">
        <f>IF(Pipeline_Sort!$C891="","",INDEX(Pipeline_Calc!$B$2:$B$5251,Pipeline_Sort!$C891))</f>
        <v/>
      </c>
      <c r="B891">
        <f>IF(Pipeline_Sort!$C891="","",INDEX(Pipeline_Calc!$C$2:$C$5251,Pipeline_Sort!$C891))</f>
        <v/>
      </c>
      <c r="C891">
        <f>IF(Pipeline_Sort!$C891="","",INDEX(Pipeline_Calc!$D$2:$D$5251,Pipeline_Sort!$C891))</f>
        <v/>
      </c>
      <c r="D891">
        <f>IF(Pipeline_Sort!$C891="","",INDEX(Pipeline_Calc!$E$2:$E$5251,Pipeline_Sort!$C891))</f>
        <v/>
      </c>
      <c r="E891">
        <f>IF(Pipeline_Sort!$C891="","",INDEX(Pipeline_Calc!$F$2:$F$5251,Pipeline_Sort!$C891))</f>
        <v/>
      </c>
      <c r="F891">
        <f>IF(Pipeline_Sort!$C891="","",INDEX(Pipeline_Calc!$G$2:$G$5251,Pipeline_Sort!$C891))</f>
        <v/>
      </c>
      <c r="G891">
        <f>IF(Pipeline_Sort!$C891="","",INDEX(Pipeline_Calc!$H$2:$H$5251,Pipeline_Sort!$C891))</f>
        <v/>
      </c>
      <c r="H891">
        <f>IF(Pipeline_Sort!$C891="","",INDEX(Pipeline_Calc!$I$2:$I$5251,Pipeline_Sort!$C891))</f>
        <v/>
      </c>
      <c r="I891">
        <f>IF(Pipeline_Sort!$C891="","",INDEX(Pipeline_Calc!$J$2:$J$5251,Pipeline_Sort!$C891))</f>
        <v/>
      </c>
    </row>
    <row r="892">
      <c r="A892" s="22">
        <f>IF(Pipeline_Sort!$C892="","",INDEX(Pipeline_Calc!$B$2:$B$5251,Pipeline_Sort!$C892))</f>
        <v/>
      </c>
      <c r="B892">
        <f>IF(Pipeline_Sort!$C892="","",INDEX(Pipeline_Calc!$C$2:$C$5251,Pipeline_Sort!$C892))</f>
        <v/>
      </c>
      <c r="C892">
        <f>IF(Pipeline_Sort!$C892="","",INDEX(Pipeline_Calc!$D$2:$D$5251,Pipeline_Sort!$C892))</f>
        <v/>
      </c>
      <c r="D892">
        <f>IF(Pipeline_Sort!$C892="","",INDEX(Pipeline_Calc!$E$2:$E$5251,Pipeline_Sort!$C892))</f>
        <v/>
      </c>
      <c r="E892">
        <f>IF(Pipeline_Sort!$C892="","",INDEX(Pipeline_Calc!$F$2:$F$5251,Pipeline_Sort!$C892))</f>
        <v/>
      </c>
      <c r="F892">
        <f>IF(Pipeline_Sort!$C892="","",INDEX(Pipeline_Calc!$G$2:$G$5251,Pipeline_Sort!$C892))</f>
        <v/>
      </c>
      <c r="G892">
        <f>IF(Pipeline_Sort!$C892="","",INDEX(Pipeline_Calc!$H$2:$H$5251,Pipeline_Sort!$C892))</f>
        <v/>
      </c>
      <c r="H892">
        <f>IF(Pipeline_Sort!$C892="","",INDEX(Pipeline_Calc!$I$2:$I$5251,Pipeline_Sort!$C892))</f>
        <v/>
      </c>
      <c r="I892">
        <f>IF(Pipeline_Sort!$C892="","",INDEX(Pipeline_Calc!$J$2:$J$5251,Pipeline_Sort!$C892))</f>
        <v/>
      </c>
    </row>
    <row r="893">
      <c r="A893" s="22">
        <f>IF(Pipeline_Sort!$C893="","",INDEX(Pipeline_Calc!$B$2:$B$5251,Pipeline_Sort!$C893))</f>
        <v/>
      </c>
      <c r="B893">
        <f>IF(Pipeline_Sort!$C893="","",INDEX(Pipeline_Calc!$C$2:$C$5251,Pipeline_Sort!$C893))</f>
        <v/>
      </c>
      <c r="C893">
        <f>IF(Pipeline_Sort!$C893="","",INDEX(Pipeline_Calc!$D$2:$D$5251,Pipeline_Sort!$C893))</f>
        <v/>
      </c>
      <c r="D893">
        <f>IF(Pipeline_Sort!$C893="","",INDEX(Pipeline_Calc!$E$2:$E$5251,Pipeline_Sort!$C893))</f>
        <v/>
      </c>
      <c r="E893">
        <f>IF(Pipeline_Sort!$C893="","",INDEX(Pipeline_Calc!$F$2:$F$5251,Pipeline_Sort!$C893))</f>
        <v/>
      </c>
      <c r="F893">
        <f>IF(Pipeline_Sort!$C893="","",INDEX(Pipeline_Calc!$G$2:$G$5251,Pipeline_Sort!$C893))</f>
        <v/>
      </c>
      <c r="G893">
        <f>IF(Pipeline_Sort!$C893="","",INDEX(Pipeline_Calc!$H$2:$H$5251,Pipeline_Sort!$C893))</f>
        <v/>
      </c>
      <c r="H893">
        <f>IF(Pipeline_Sort!$C893="","",INDEX(Pipeline_Calc!$I$2:$I$5251,Pipeline_Sort!$C893))</f>
        <v/>
      </c>
      <c r="I893">
        <f>IF(Pipeline_Sort!$C893="","",INDEX(Pipeline_Calc!$J$2:$J$5251,Pipeline_Sort!$C893))</f>
        <v/>
      </c>
    </row>
    <row r="894">
      <c r="A894" s="22">
        <f>IF(Pipeline_Sort!$C894="","",INDEX(Pipeline_Calc!$B$2:$B$5251,Pipeline_Sort!$C894))</f>
        <v/>
      </c>
      <c r="B894">
        <f>IF(Pipeline_Sort!$C894="","",INDEX(Pipeline_Calc!$C$2:$C$5251,Pipeline_Sort!$C894))</f>
        <v/>
      </c>
      <c r="C894">
        <f>IF(Pipeline_Sort!$C894="","",INDEX(Pipeline_Calc!$D$2:$D$5251,Pipeline_Sort!$C894))</f>
        <v/>
      </c>
      <c r="D894">
        <f>IF(Pipeline_Sort!$C894="","",INDEX(Pipeline_Calc!$E$2:$E$5251,Pipeline_Sort!$C894))</f>
        <v/>
      </c>
      <c r="E894">
        <f>IF(Pipeline_Sort!$C894="","",INDEX(Pipeline_Calc!$F$2:$F$5251,Pipeline_Sort!$C894))</f>
        <v/>
      </c>
      <c r="F894">
        <f>IF(Pipeline_Sort!$C894="","",INDEX(Pipeline_Calc!$G$2:$G$5251,Pipeline_Sort!$C894))</f>
        <v/>
      </c>
      <c r="G894">
        <f>IF(Pipeline_Sort!$C894="","",INDEX(Pipeline_Calc!$H$2:$H$5251,Pipeline_Sort!$C894))</f>
        <v/>
      </c>
      <c r="H894">
        <f>IF(Pipeline_Sort!$C894="","",INDEX(Pipeline_Calc!$I$2:$I$5251,Pipeline_Sort!$C894))</f>
        <v/>
      </c>
      <c r="I894">
        <f>IF(Pipeline_Sort!$C894="","",INDEX(Pipeline_Calc!$J$2:$J$5251,Pipeline_Sort!$C894))</f>
        <v/>
      </c>
    </row>
    <row r="895">
      <c r="A895" s="22">
        <f>IF(Pipeline_Sort!$C895="","",INDEX(Pipeline_Calc!$B$2:$B$5251,Pipeline_Sort!$C895))</f>
        <v/>
      </c>
      <c r="B895">
        <f>IF(Pipeline_Sort!$C895="","",INDEX(Pipeline_Calc!$C$2:$C$5251,Pipeline_Sort!$C895))</f>
        <v/>
      </c>
      <c r="C895">
        <f>IF(Pipeline_Sort!$C895="","",INDEX(Pipeline_Calc!$D$2:$D$5251,Pipeline_Sort!$C895))</f>
        <v/>
      </c>
      <c r="D895">
        <f>IF(Pipeline_Sort!$C895="","",INDEX(Pipeline_Calc!$E$2:$E$5251,Pipeline_Sort!$C895))</f>
        <v/>
      </c>
      <c r="E895">
        <f>IF(Pipeline_Sort!$C895="","",INDEX(Pipeline_Calc!$F$2:$F$5251,Pipeline_Sort!$C895))</f>
        <v/>
      </c>
      <c r="F895">
        <f>IF(Pipeline_Sort!$C895="","",INDEX(Pipeline_Calc!$G$2:$G$5251,Pipeline_Sort!$C895))</f>
        <v/>
      </c>
      <c r="G895">
        <f>IF(Pipeline_Sort!$C895="","",INDEX(Pipeline_Calc!$H$2:$H$5251,Pipeline_Sort!$C895))</f>
        <v/>
      </c>
      <c r="H895">
        <f>IF(Pipeline_Sort!$C895="","",INDEX(Pipeline_Calc!$I$2:$I$5251,Pipeline_Sort!$C895))</f>
        <v/>
      </c>
      <c r="I895">
        <f>IF(Pipeline_Sort!$C895="","",INDEX(Pipeline_Calc!$J$2:$J$5251,Pipeline_Sort!$C895))</f>
        <v/>
      </c>
    </row>
    <row r="896">
      <c r="A896" s="22">
        <f>IF(Pipeline_Sort!$C896="","",INDEX(Pipeline_Calc!$B$2:$B$5251,Pipeline_Sort!$C896))</f>
        <v/>
      </c>
      <c r="B896">
        <f>IF(Pipeline_Sort!$C896="","",INDEX(Pipeline_Calc!$C$2:$C$5251,Pipeline_Sort!$C896))</f>
        <v/>
      </c>
      <c r="C896">
        <f>IF(Pipeline_Sort!$C896="","",INDEX(Pipeline_Calc!$D$2:$D$5251,Pipeline_Sort!$C896))</f>
        <v/>
      </c>
      <c r="D896">
        <f>IF(Pipeline_Sort!$C896="","",INDEX(Pipeline_Calc!$E$2:$E$5251,Pipeline_Sort!$C896))</f>
        <v/>
      </c>
      <c r="E896">
        <f>IF(Pipeline_Sort!$C896="","",INDEX(Pipeline_Calc!$F$2:$F$5251,Pipeline_Sort!$C896))</f>
        <v/>
      </c>
      <c r="F896">
        <f>IF(Pipeline_Sort!$C896="","",INDEX(Pipeline_Calc!$G$2:$G$5251,Pipeline_Sort!$C896))</f>
        <v/>
      </c>
      <c r="G896">
        <f>IF(Pipeline_Sort!$C896="","",INDEX(Pipeline_Calc!$H$2:$H$5251,Pipeline_Sort!$C896))</f>
        <v/>
      </c>
      <c r="H896">
        <f>IF(Pipeline_Sort!$C896="","",INDEX(Pipeline_Calc!$I$2:$I$5251,Pipeline_Sort!$C896))</f>
        <v/>
      </c>
      <c r="I896">
        <f>IF(Pipeline_Sort!$C896="","",INDEX(Pipeline_Calc!$J$2:$J$5251,Pipeline_Sort!$C896))</f>
        <v/>
      </c>
    </row>
    <row r="897">
      <c r="A897" s="22">
        <f>IF(Pipeline_Sort!$C897="","",INDEX(Pipeline_Calc!$B$2:$B$5251,Pipeline_Sort!$C897))</f>
        <v/>
      </c>
      <c r="B897">
        <f>IF(Pipeline_Sort!$C897="","",INDEX(Pipeline_Calc!$C$2:$C$5251,Pipeline_Sort!$C897))</f>
        <v/>
      </c>
      <c r="C897">
        <f>IF(Pipeline_Sort!$C897="","",INDEX(Pipeline_Calc!$D$2:$D$5251,Pipeline_Sort!$C897))</f>
        <v/>
      </c>
      <c r="D897">
        <f>IF(Pipeline_Sort!$C897="","",INDEX(Pipeline_Calc!$E$2:$E$5251,Pipeline_Sort!$C897))</f>
        <v/>
      </c>
      <c r="E897">
        <f>IF(Pipeline_Sort!$C897="","",INDEX(Pipeline_Calc!$F$2:$F$5251,Pipeline_Sort!$C897))</f>
        <v/>
      </c>
      <c r="F897">
        <f>IF(Pipeline_Sort!$C897="","",INDEX(Pipeline_Calc!$G$2:$G$5251,Pipeline_Sort!$C897))</f>
        <v/>
      </c>
      <c r="G897">
        <f>IF(Pipeline_Sort!$C897="","",INDEX(Pipeline_Calc!$H$2:$H$5251,Pipeline_Sort!$C897))</f>
        <v/>
      </c>
      <c r="H897">
        <f>IF(Pipeline_Sort!$C897="","",INDEX(Pipeline_Calc!$I$2:$I$5251,Pipeline_Sort!$C897))</f>
        <v/>
      </c>
      <c r="I897">
        <f>IF(Pipeline_Sort!$C897="","",INDEX(Pipeline_Calc!$J$2:$J$5251,Pipeline_Sort!$C897))</f>
        <v/>
      </c>
    </row>
    <row r="898">
      <c r="A898" s="22">
        <f>IF(Pipeline_Sort!$C898="","",INDEX(Pipeline_Calc!$B$2:$B$5251,Pipeline_Sort!$C898))</f>
        <v/>
      </c>
      <c r="B898">
        <f>IF(Pipeline_Sort!$C898="","",INDEX(Pipeline_Calc!$C$2:$C$5251,Pipeline_Sort!$C898))</f>
        <v/>
      </c>
      <c r="C898">
        <f>IF(Pipeline_Sort!$C898="","",INDEX(Pipeline_Calc!$D$2:$D$5251,Pipeline_Sort!$C898))</f>
        <v/>
      </c>
      <c r="D898">
        <f>IF(Pipeline_Sort!$C898="","",INDEX(Pipeline_Calc!$E$2:$E$5251,Pipeline_Sort!$C898))</f>
        <v/>
      </c>
      <c r="E898">
        <f>IF(Pipeline_Sort!$C898="","",INDEX(Pipeline_Calc!$F$2:$F$5251,Pipeline_Sort!$C898))</f>
        <v/>
      </c>
      <c r="F898">
        <f>IF(Pipeline_Sort!$C898="","",INDEX(Pipeline_Calc!$G$2:$G$5251,Pipeline_Sort!$C898))</f>
        <v/>
      </c>
      <c r="G898">
        <f>IF(Pipeline_Sort!$C898="","",INDEX(Pipeline_Calc!$H$2:$H$5251,Pipeline_Sort!$C898))</f>
        <v/>
      </c>
      <c r="H898">
        <f>IF(Pipeline_Sort!$C898="","",INDEX(Pipeline_Calc!$I$2:$I$5251,Pipeline_Sort!$C898))</f>
        <v/>
      </c>
      <c r="I898">
        <f>IF(Pipeline_Sort!$C898="","",INDEX(Pipeline_Calc!$J$2:$J$5251,Pipeline_Sort!$C898))</f>
        <v/>
      </c>
    </row>
    <row r="899">
      <c r="A899" s="22">
        <f>IF(Pipeline_Sort!$C899="","",INDEX(Pipeline_Calc!$B$2:$B$5251,Pipeline_Sort!$C899))</f>
        <v/>
      </c>
      <c r="B899">
        <f>IF(Pipeline_Sort!$C899="","",INDEX(Pipeline_Calc!$C$2:$C$5251,Pipeline_Sort!$C899))</f>
        <v/>
      </c>
      <c r="C899">
        <f>IF(Pipeline_Sort!$C899="","",INDEX(Pipeline_Calc!$D$2:$D$5251,Pipeline_Sort!$C899))</f>
        <v/>
      </c>
      <c r="D899">
        <f>IF(Pipeline_Sort!$C899="","",INDEX(Pipeline_Calc!$E$2:$E$5251,Pipeline_Sort!$C899))</f>
        <v/>
      </c>
      <c r="E899">
        <f>IF(Pipeline_Sort!$C899="","",INDEX(Pipeline_Calc!$F$2:$F$5251,Pipeline_Sort!$C899))</f>
        <v/>
      </c>
      <c r="F899">
        <f>IF(Pipeline_Sort!$C899="","",INDEX(Pipeline_Calc!$G$2:$G$5251,Pipeline_Sort!$C899))</f>
        <v/>
      </c>
      <c r="G899">
        <f>IF(Pipeline_Sort!$C899="","",INDEX(Pipeline_Calc!$H$2:$H$5251,Pipeline_Sort!$C899))</f>
        <v/>
      </c>
      <c r="H899">
        <f>IF(Pipeline_Sort!$C899="","",INDEX(Pipeline_Calc!$I$2:$I$5251,Pipeline_Sort!$C899))</f>
        <v/>
      </c>
      <c r="I899">
        <f>IF(Pipeline_Sort!$C899="","",INDEX(Pipeline_Calc!$J$2:$J$5251,Pipeline_Sort!$C899))</f>
        <v/>
      </c>
    </row>
    <row r="900">
      <c r="A900" s="22">
        <f>IF(Pipeline_Sort!$C900="","",INDEX(Pipeline_Calc!$B$2:$B$5251,Pipeline_Sort!$C900))</f>
        <v/>
      </c>
      <c r="B900">
        <f>IF(Pipeline_Sort!$C900="","",INDEX(Pipeline_Calc!$C$2:$C$5251,Pipeline_Sort!$C900))</f>
        <v/>
      </c>
      <c r="C900">
        <f>IF(Pipeline_Sort!$C900="","",INDEX(Pipeline_Calc!$D$2:$D$5251,Pipeline_Sort!$C900))</f>
        <v/>
      </c>
      <c r="D900">
        <f>IF(Pipeline_Sort!$C900="","",INDEX(Pipeline_Calc!$E$2:$E$5251,Pipeline_Sort!$C900))</f>
        <v/>
      </c>
      <c r="E900">
        <f>IF(Pipeline_Sort!$C900="","",INDEX(Pipeline_Calc!$F$2:$F$5251,Pipeline_Sort!$C900))</f>
        <v/>
      </c>
      <c r="F900">
        <f>IF(Pipeline_Sort!$C900="","",INDEX(Pipeline_Calc!$G$2:$G$5251,Pipeline_Sort!$C900))</f>
        <v/>
      </c>
      <c r="G900">
        <f>IF(Pipeline_Sort!$C900="","",INDEX(Pipeline_Calc!$H$2:$H$5251,Pipeline_Sort!$C900))</f>
        <v/>
      </c>
      <c r="H900">
        <f>IF(Pipeline_Sort!$C900="","",INDEX(Pipeline_Calc!$I$2:$I$5251,Pipeline_Sort!$C900))</f>
        <v/>
      </c>
      <c r="I900">
        <f>IF(Pipeline_Sort!$C900="","",INDEX(Pipeline_Calc!$J$2:$J$5251,Pipeline_Sort!$C900))</f>
        <v/>
      </c>
    </row>
    <row r="901">
      <c r="A901" s="22">
        <f>IF(Pipeline_Sort!$C901="","",INDEX(Pipeline_Calc!$B$2:$B$5251,Pipeline_Sort!$C901))</f>
        <v/>
      </c>
      <c r="B901">
        <f>IF(Pipeline_Sort!$C901="","",INDEX(Pipeline_Calc!$C$2:$C$5251,Pipeline_Sort!$C901))</f>
        <v/>
      </c>
      <c r="C901">
        <f>IF(Pipeline_Sort!$C901="","",INDEX(Pipeline_Calc!$D$2:$D$5251,Pipeline_Sort!$C901))</f>
        <v/>
      </c>
      <c r="D901">
        <f>IF(Pipeline_Sort!$C901="","",INDEX(Pipeline_Calc!$E$2:$E$5251,Pipeline_Sort!$C901))</f>
        <v/>
      </c>
      <c r="E901">
        <f>IF(Pipeline_Sort!$C901="","",INDEX(Pipeline_Calc!$F$2:$F$5251,Pipeline_Sort!$C901))</f>
        <v/>
      </c>
      <c r="F901">
        <f>IF(Pipeline_Sort!$C901="","",INDEX(Pipeline_Calc!$G$2:$G$5251,Pipeline_Sort!$C901))</f>
        <v/>
      </c>
      <c r="G901">
        <f>IF(Pipeline_Sort!$C901="","",INDEX(Pipeline_Calc!$H$2:$H$5251,Pipeline_Sort!$C901))</f>
        <v/>
      </c>
      <c r="H901">
        <f>IF(Pipeline_Sort!$C901="","",INDEX(Pipeline_Calc!$I$2:$I$5251,Pipeline_Sort!$C901))</f>
        <v/>
      </c>
      <c r="I901">
        <f>IF(Pipeline_Sort!$C901="","",INDEX(Pipeline_Calc!$J$2:$J$5251,Pipeline_Sort!$C901))</f>
        <v/>
      </c>
    </row>
    <row r="902">
      <c r="A902" s="22">
        <f>IF(Pipeline_Sort!$C902="","",INDEX(Pipeline_Calc!$B$2:$B$5251,Pipeline_Sort!$C902))</f>
        <v/>
      </c>
      <c r="B902">
        <f>IF(Pipeline_Sort!$C902="","",INDEX(Pipeline_Calc!$C$2:$C$5251,Pipeline_Sort!$C902))</f>
        <v/>
      </c>
      <c r="C902">
        <f>IF(Pipeline_Sort!$C902="","",INDEX(Pipeline_Calc!$D$2:$D$5251,Pipeline_Sort!$C902))</f>
        <v/>
      </c>
      <c r="D902">
        <f>IF(Pipeline_Sort!$C902="","",INDEX(Pipeline_Calc!$E$2:$E$5251,Pipeline_Sort!$C902))</f>
        <v/>
      </c>
      <c r="E902">
        <f>IF(Pipeline_Sort!$C902="","",INDEX(Pipeline_Calc!$F$2:$F$5251,Pipeline_Sort!$C902))</f>
        <v/>
      </c>
      <c r="F902">
        <f>IF(Pipeline_Sort!$C902="","",INDEX(Pipeline_Calc!$G$2:$G$5251,Pipeline_Sort!$C902))</f>
        <v/>
      </c>
      <c r="G902">
        <f>IF(Pipeline_Sort!$C902="","",INDEX(Pipeline_Calc!$H$2:$H$5251,Pipeline_Sort!$C902))</f>
        <v/>
      </c>
      <c r="H902">
        <f>IF(Pipeline_Sort!$C902="","",INDEX(Pipeline_Calc!$I$2:$I$5251,Pipeline_Sort!$C902))</f>
        <v/>
      </c>
      <c r="I902">
        <f>IF(Pipeline_Sort!$C902="","",INDEX(Pipeline_Calc!$J$2:$J$5251,Pipeline_Sort!$C902))</f>
        <v/>
      </c>
    </row>
    <row r="903">
      <c r="A903" s="22">
        <f>IF(Pipeline_Sort!$C903="","",INDEX(Pipeline_Calc!$B$2:$B$5251,Pipeline_Sort!$C903))</f>
        <v/>
      </c>
      <c r="B903">
        <f>IF(Pipeline_Sort!$C903="","",INDEX(Pipeline_Calc!$C$2:$C$5251,Pipeline_Sort!$C903))</f>
        <v/>
      </c>
      <c r="C903">
        <f>IF(Pipeline_Sort!$C903="","",INDEX(Pipeline_Calc!$D$2:$D$5251,Pipeline_Sort!$C903))</f>
        <v/>
      </c>
      <c r="D903">
        <f>IF(Pipeline_Sort!$C903="","",INDEX(Pipeline_Calc!$E$2:$E$5251,Pipeline_Sort!$C903))</f>
        <v/>
      </c>
      <c r="E903">
        <f>IF(Pipeline_Sort!$C903="","",INDEX(Pipeline_Calc!$F$2:$F$5251,Pipeline_Sort!$C903))</f>
        <v/>
      </c>
      <c r="F903">
        <f>IF(Pipeline_Sort!$C903="","",INDEX(Pipeline_Calc!$G$2:$G$5251,Pipeline_Sort!$C903))</f>
        <v/>
      </c>
      <c r="G903">
        <f>IF(Pipeline_Sort!$C903="","",INDEX(Pipeline_Calc!$H$2:$H$5251,Pipeline_Sort!$C903))</f>
        <v/>
      </c>
      <c r="H903">
        <f>IF(Pipeline_Sort!$C903="","",INDEX(Pipeline_Calc!$I$2:$I$5251,Pipeline_Sort!$C903))</f>
        <v/>
      </c>
      <c r="I903">
        <f>IF(Pipeline_Sort!$C903="","",INDEX(Pipeline_Calc!$J$2:$J$5251,Pipeline_Sort!$C903))</f>
        <v/>
      </c>
    </row>
    <row r="904">
      <c r="A904" s="22">
        <f>IF(Pipeline_Sort!$C904="","",INDEX(Pipeline_Calc!$B$2:$B$5251,Pipeline_Sort!$C904))</f>
        <v/>
      </c>
      <c r="B904">
        <f>IF(Pipeline_Sort!$C904="","",INDEX(Pipeline_Calc!$C$2:$C$5251,Pipeline_Sort!$C904))</f>
        <v/>
      </c>
      <c r="C904">
        <f>IF(Pipeline_Sort!$C904="","",INDEX(Pipeline_Calc!$D$2:$D$5251,Pipeline_Sort!$C904))</f>
        <v/>
      </c>
      <c r="D904">
        <f>IF(Pipeline_Sort!$C904="","",INDEX(Pipeline_Calc!$E$2:$E$5251,Pipeline_Sort!$C904))</f>
        <v/>
      </c>
      <c r="E904">
        <f>IF(Pipeline_Sort!$C904="","",INDEX(Pipeline_Calc!$F$2:$F$5251,Pipeline_Sort!$C904))</f>
        <v/>
      </c>
      <c r="F904">
        <f>IF(Pipeline_Sort!$C904="","",INDEX(Pipeline_Calc!$G$2:$G$5251,Pipeline_Sort!$C904))</f>
        <v/>
      </c>
      <c r="G904">
        <f>IF(Pipeline_Sort!$C904="","",INDEX(Pipeline_Calc!$H$2:$H$5251,Pipeline_Sort!$C904))</f>
        <v/>
      </c>
      <c r="H904">
        <f>IF(Pipeline_Sort!$C904="","",INDEX(Pipeline_Calc!$I$2:$I$5251,Pipeline_Sort!$C904))</f>
        <v/>
      </c>
      <c r="I904">
        <f>IF(Pipeline_Sort!$C904="","",INDEX(Pipeline_Calc!$J$2:$J$5251,Pipeline_Sort!$C904))</f>
        <v/>
      </c>
    </row>
    <row r="905">
      <c r="A905" s="22">
        <f>IF(Pipeline_Sort!$C905="","",INDEX(Pipeline_Calc!$B$2:$B$5251,Pipeline_Sort!$C905))</f>
        <v/>
      </c>
      <c r="B905">
        <f>IF(Pipeline_Sort!$C905="","",INDEX(Pipeline_Calc!$C$2:$C$5251,Pipeline_Sort!$C905))</f>
        <v/>
      </c>
      <c r="C905">
        <f>IF(Pipeline_Sort!$C905="","",INDEX(Pipeline_Calc!$D$2:$D$5251,Pipeline_Sort!$C905))</f>
        <v/>
      </c>
      <c r="D905">
        <f>IF(Pipeline_Sort!$C905="","",INDEX(Pipeline_Calc!$E$2:$E$5251,Pipeline_Sort!$C905))</f>
        <v/>
      </c>
      <c r="E905">
        <f>IF(Pipeline_Sort!$C905="","",INDEX(Pipeline_Calc!$F$2:$F$5251,Pipeline_Sort!$C905))</f>
        <v/>
      </c>
      <c r="F905">
        <f>IF(Pipeline_Sort!$C905="","",INDEX(Pipeline_Calc!$G$2:$G$5251,Pipeline_Sort!$C905))</f>
        <v/>
      </c>
      <c r="G905">
        <f>IF(Pipeline_Sort!$C905="","",INDEX(Pipeline_Calc!$H$2:$H$5251,Pipeline_Sort!$C905))</f>
        <v/>
      </c>
      <c r="H905">
        <f>IF(Pipeline_Sort!$C905="","",INDEX(Pipeline_Calc!$I$2:$I$5251,Pipeline_Sort!$C905))</f>
        <v/>
      </c>
      <c r="I905">
        <f>IF(Pipeline_Sort!$C905="","",INDEX(Pipeline_Calc!$J$2:$J$5251,Pipeline_Sort!$C905))</f>
        <v/>
      </c>
    </row>
    <row r="906">
      <c r="A906" s="22">
        <f>IF(Pipeline_Sort!$C906="","",INDEX(Pipeline_Calc!$B$2:$B$5251,Pipeline_Sort!$C906))</f>
        <v/>
      </c>
      <c r="B906">
        <f>IF(Pipeline_Sort!$C906="","",INDEX(Pipeline_Calc!$C$2:$C$5251,Pipeline_Sort!$C906))</f>
        <v/>
      </c>
      <c r="C906">
        <f>IF(Pipeline_Sort!$C906="","",INDEX(Pipeline_Calc!$D$2:$D$5251,Pipeline_Sort!$C906))</f>
        <v/>
      </c>
      <c r="D906">
        <f>IF(Pipeline_Sort!$C906="","",INDEX(Pipeline_Calc!$E$2:$E$5251,Pipeline_Sort!$C906))</f>
        <v/>
      </c>
      <c r="E906">
        <f>IF(Pipeline_Sort!$C906="","",INDEX(Pipeline_Calc!$F$2:$F$5251,Pipeline_Sort!$C906))</f>
        <v/>
      </c>
      <c r="F906">
        <f>IF(Pipeline_Sort!$C906="","",INDEX(Pipeline_Calc!$G$2:$G$5251,Pipeline_Sort!$C906))</f>
        <v/>
      </c>
      <c r="G906">
        <f>IF(Pipeline_Sort!$C906="","",INDEX(Pipeline_Calc!$H$2:$H$5251,Pipeline_Sort!$C906))</f>
        <v/>
      </c>
      <c r="H906">
        <f>IF(Pipeline_Sort!$C906="","",INDEX(Pipeline_Calc!$I$2:$I$5251,Pipeline_Sort!$C906))</f>
        <v/>
      </c>
      <c r="I906">
        <f>IF(Pipeline_Sort!$C906="","",INDEX(Pipeline_Calc!$J$2:$J$5251,Pipeline_Sort!$C906))</f>
        <v/>
      </c>
    </row>
    <row r="907">
      <c r="A907" s="22">
        <f>IF(Pipeline_Sort!$C907="","",INDEX(Pipeline_Calc!$B$2:$B$5251,Pipeline_Sort!$C907))</f>
        <v/>
      </c>
      <c r="B907">
        <f>IF(Pipeline_Sort!$C907="","",INDEX(Pipeline_Calc!$C$2:$C$5251,Pipeline_Sort!$C907))</f>
        <v/>
      </c>
      <c r="C907">
        <f>IF(Pipeline_Sort!$C907="","",INDEX(Pipeline_Calc!$D$2:$D$5251,Pipeline_Sort!$C907))</f>
        <v/>
      </c>
      <c r="D907">
        <f>IF(Pipeline_Sort!$C907="","",INDEX(Pipeline_Calc!$E$2:$E$5251,Pipeline_Sort!$C907))</f>
        <v/>
      </c>
      <c r="E907">
        <f>IF(Pipeline_Sort!$C907="","",INDEX(Pipeline_Calc!$F$2:$F$5251,Pipeline_Sort!$C907))</f>
        <v/>
      </c>
      <c r="F907">
        <f>IF(Pipeline_Sort!$C907="","",INDEX(Pipeline_Calc!$G$2:$G$5251,Pipeline_Sort!$C907))</f>
        <v/>
      </c>
      <c r="G907">
        <f>IF(Pipeline_Sort!$C907="","",INDEX(Pipeline_Calc!$H$2:$H$5251,Pipeline_Sort!$C907))</f>
        <v/>
      </c>
      <c r="H907">
        <f>IF(Pipeline_Sort!$C907="","",INDEX(Pipeline_Calc!$I$2:$I$5251,Pipeline_Sort!$C907))</f>
        <v/>
      </c>
      <c r="I907">
        <f>IF(Pipeline_Sort!$C907="","",INDEX(Pipeline_Calc!$J$2:$J$5251,Pipeline_Sort!$C907))</f>
        <v/>
      </c>
    </row>
    <row r="908">
      <c r="A908" s="22">
        <f>IF(Pipeline_Sort!$C908="","",INDEX(Pipeline_Calc!$B$2:$B$5251,Pipeline_Sort!$C908))</f>
        <v/>
      </c>
      <c r="B908">
        <f>IF(Pipeline_Sort!$C908="","",INDEX(Pipeline_Calc!$C$2:$C$5251,Pipeline_Sort!$C908))</f>
        <v/>
      </c>
      <c r="C908">
        <f>IF(Pipeline_Sort!$C908="","",INDEX(Pipeline_Calc!$D$2:$D$5251,Pipeline_Sort!$C908))</f>
        <v/>
      </c>
      <c r="D908">
        <f>IF(Pipeline_Sort!$C908="","",INDEX(Pipeline_Calc!$E$2:$E$5251,Pipeline_Sort!$C908))</f>
        <v/>
      </c>
      <c r="E908">
        <f>IF(Pipeline_Sort!$C908="","",INDEX(Pipeline_Calc!$F$2:$F$5251,Pipeline_Sort!$C908))</f>
        <v/>
      </c>
      <c r="F908">
        <f>IF(Pipeline_Sort!$C908="","",INDEX(Pipeline_Calc!$G$2:$G$5251,Pipeline_Sort!$C908))</f>
        <v/>
      </c>
      <c r="G908">
        <f>IF(Pipeline_Sort!$C908="","",INDEX(Pipeline_Calc!$H$2:$H$5251,Pipeline_Sort!$C908))</f>
        <v/>
      </c>
      <c r="H908">
        <f>IF(Pipeline_Sort!$C908="","",INDEX(Pipeline_Calc!$I$2:$I$5251,Pipeline_Sort!$C908))</f>
        <v/>
      </c>
      <c r="I908">
        <f>IF(Pipeline_Sort!$C908="","",INDEX(Pipeline_Calc!$J$2:$J$5251,Pipeline_Sort!$C908))</f>
        <v/>
      </c>
    </row>
    <row r="909">
      <c r="A909" s="22">
        <f>IF(Pipeline_Sort!$C909="","",INDEX(Pipeline_Calc!$B$2:$B$5251,Pipeline_Sort!$C909))</f>
        <v/>
      </c>
      <c r="B909">
        <f>IF(Pipeline_Sort!$C909="","",INDEX(Pipeline_Calc!$C$2:$C$5251,Pipeline_Sort!$C909))</f>
        <v/>
      </c>
      <c r="C909">
        <f>IF(Pipeline_Sort!$C909="","",INDEX(Pipeline_Calc!$D$2:$D$5251,Pipeline_Sort!$C909))</f>
        <v/>
      </c>
      <c r="D909">
        <f>IF(Pipeline_Sort!$C909="","",INDEX(Pipeline_Calc!$E$2:$E$5251,Pipeline_Sort!$C909))</f>
        <v/>
      </c>
      <c r="E909">
        <f>IF(Pipeline_Sort!$C909="","",INDEX(Pipeline_Calc!$F$2:$F$5251,Pipeline_Sort!$C909))</f>
        <v/>
      </c>
      <c r="F909">
        <f>IF(Pipeline_Sort!$C909="","",INDEX(Pipeline_Calc!$G$2:$G$5251,Pipeline_Sort!$C909))</f>
        <v/>
      </c>
      <c r="G909">
        <f>IF(Pipeline_Sort!$C909="","",INDEX(Pipeline_Calc!$H$2:$H$5251,Pipeline_Sort!$C909))</f>
        <v/>
      </c>
      <c r="H909">
        <f>IF(Pipeline_Sort!$C909="","",INDEX(Pipeline_Calc!$I$2:$I$5251,Pipeline_Sort!$C909))</f>
        <v/>
      </c>
      <c r="I909">
        <f>IF(Pipeline_Sort!$C909="","",INDEX(Pipeline_Calc!$J$2:$J$5251,Pipeline_Sort!$C909))</f>
        <v/>
      </c>
    </row>
    <row r="910">
      <c r="A910" s="22">
        <f>IF(Pipeline_Sort!$C910="","",INDEX(Pipeline_Calc!$B$2:$B$5251,Pipeline_Sort!$C910))</f>
        <v/>
      </c>
      <c r="B910">
        <f>IF(Pipeline_Sort!$C910="","",INDEX(Pipeline_Calc!$C$2:$C$5251,Pipeline_Sort!$C910))</f>
        <v/>
      </c>
      <c r="C910">
        <f>IF(Pipeline_Sort!$C910="","",INDEX(Pipeline_Calc!$D$2:$D$5251,Pipeline_Sort!$C910))</f>
        <v/>
      </c>
      <c r="D910">
        <f>IF(Pipeline_Sort!$C910="","",INDEX(Pipeline_Calc!$E$2:$E$5251,Pipeline_Sort!$C910))</f>
        <v/>
      </c>
      <c r="E910">
        <f>IF(Pipeline_Sort!$C910="","",INDEX(Pipeline_Calc!$F$2:$F$5251,Pipeline_Sort!$C910))</f>
        <v/>
      </c>
      <c r="F910">
        <f>IF(Pipeline_Sort!$C910="","",INDEX(Pipeline_Calc!$G$2:$G$5251,Pipeline_Sort!$C910))</f>
        <v/>
      </c>
      <c r="G910">
        <f>IF(Pipeline_Sort!$C910="","",INDEX(Pipeline_Calc!$H$2:$H$5251,Pipeline_Sort!$C910))</f>
        <v/>
      </c>
      <c r="H910">
        <f>IF(Pipeline_Sort!$C910="","",INDEX(Pipeline_Calc!$I$2:$I$5251,Pipeline_Sort!$C910))</f>
        <v/>
      </c>
      <c r="I910">
        <f>IF(Pipeline_Sort!$C910="","",INDEX(Pipeline_Calc!$J$2:$J$5251,Pipeline_Sort!$C910))</f>
        <v/>
      </c>
    </row>
    <row r="911">
      <c r="A911" s="22">
        <f>IF(Pipeline_Sort!$C911="","",INDEX(Pipeline_Calc!$B$2:$B$5251,Pipeline_Sort!$C911))</f>
        <v/>
      </c>
      <c r="B911">
        <f>IF(Pipeline_Sort!$C911="","",INDEX(Pipeline_Calc!$C$2:$C$5251,Pipeline_Sort!$C911))</f>
        <v/>
      </c>
      <c r="C911">
        <f>IF(Pipeline_Sort!$C911="","",INDEX(Pipeline_Calc!$D$2:$D$5251,Pipeline_Sort!$C911))</f>
        <v/>
      </c>
      <c r="D911">
        <f>IF(Pipeline_Sort!$C911="","",INDEX(Pipeline_Calc!$E$2:$E$5251,Pipeline_Sort!$C911))</f>
        <v/>
      </c>
      <c r="E911">
        <f>IF(Pipeline_Sort!$C911="","",INDEX(Pipeline_Calc!$F$2:$F$5251,Pipeline_Sort!$C911))</f>
        <v/>
      </c>
      <c r="F911">
        <f>IF(Pipeline_Sort!$C911="","",INDEX(Pipeline_Calc!$G$2:$G$5251,Pipeline_Sort!$C911))</f>
        <v/>
      </c>
      <c r="G911">
        <f>IF(Pipeline_Sort!$C911="","",INDEX(Pipeline_Calc!$H$2:$H$5251,Pipeline_Sort!$C911))</f>
        <v/>
      </c>
      <c r="H911">
        <f>IF(Pipeline_Sort!$C911="","",INDEX(Pipeline_Calc!$I$2:$I$5251,Pipeline_Sort!$C911))</f>
        <v/>
      </c>
      <c r="I911">
        <f>IF(Pipeline_Sort!$C911="","",INDEX(Pipeline_Calc!$J$2:$J$5251,Pipeline_Sort!$C911))</f>
        <v/>
      </c>
    </row>
    <row r="912">
      <c r="A912" s="22">
        <f>IF(Pipeline_Sort!$C912="","",INDEX(Pipeline_Calc!$B$2:$B$5251,Pipeline_Sort!$C912))</f>
        <v/>
      </c>
      <c r="B912">
        <f>IF(Pipeline_Sort!$C912="","",INDEX(Pipeline_Calc!$C$2:$C$5251,Pipeline_Sort!$C912))</f>
        <v/>
      </c>
      <c r="C912">
        <f>IF(Pipeline_Sort!$C912="","",INDEX(Pipeline_Calc!$D$2:$D$5251,Pipeline_Sort!$C912))</f>
        <v/>
      </c>
      <c r="D912">
        <f>IF(Pipeline_Sort!$C912="","",INDEX(Pipeline_Calc!$E$2:$E$5251,Pipeline_Sort!$C912))</f>
        <v/>
      </c>
      <c r="E912">
        <f>IF(Pipeline_Sort!$C912="","",INDEX(Pipeline_Calc!$F$2:$F$5251,Pipeline_Sort!$C912))</f>
        <v/>
      </c>
      <c r="F912">
        <f>IF(Pipeline_Sort!$C912="","",INDEX(Pipeline_Calc!$G$2:$G$5251,Pipeline_Sort!$C912))</f>
        <v/>
      </c>
      <c r="G912">
        <f>IF(Pipeline_Sort!$C912="","",INDEX(Pipeline_Calc!$H$2:$H$5251,Pipeline_Sort!$C912))</f>
        <v/>
      </c>
      <c r="H912">
        <f>IF(Pipeline_Sort!$C912="","",INDEX(Pipeline_Calc!$I$2:$I$5251,Pipeline_Sort!$C912))</f>
        <v/>
      </c>
      <c r="I912">
        <f>IF(Pipeline_Sort!$C912="","",INDEX(Pipeline_Calc!$J$2:$J$5251,Pipeline_Sort!$C912))</f>
        <v/>
      </c>
    </row>
    <row r="913">
      <c r="A913" s="22">
        <f>IF(Pipeline_Sort!$C913="","",INDEX(Pipeline_Calc!$B$2:$B$5251,Pipeline_Sort!$C913))</f>
        <v/>
      </c>
      <c r="B913">
        <f>IF(Pipeline_Sort!$C913="","",INDEX(Pipeline_Calc!$C$2:$C$5251,Pipeline_Sort!$C913))</f>
        <v/>
      </c>
      <c r="C913">
        <f>IF(Pipeline_Sort!$C913="","",INDEX(Pipeline_Calc!$D$2:$D$5251,Pipeline_Sort!$C913))</f>
        <v/>
      </c>
      <c r="D913">
        <f>IF(Pipeline_Sort!$C913="","",INDEX(Pipeline_Calc!$E$2:$E$5251,Pipeline_Sort!$C913))</f>
        <v/>
      </c>
      <c r="E913">
        <f>IF(Pipeline_Sort!$C913="","",INDEX(Pipeline_Calc!$F$2:$F$5251,Pipeline_Sort!$C913))</f>
        <v/>
      </c>
      <c r="F913">
        <f>IF(Pipeline_Sort!$C913="","",INDEX(Pipeline_Calc!$G$2:$G$5251,Pipeline_Sort!$C913))</f>
        <v/>
      </c>
      <c r="G913">
        <f>IF(Pipeline_Sort!$C913="","",INDEX(Pipeline_Calc!$H$2:$H$5251,Pipeline_Sort!$C913))</f>
        <v/>
      </c>
      <c r="H913">
        <f>IF(Pipeline_Sort!$C913="","",INDEX(Pipeline_Calc!$I$2:$I$5251,Pipeline_Sort!$C913))</f>
        <v/>
      </c>
      <c r="I913">
        <f>IF(Pipeline_Sort!$C913="","",INDEX(Pipeline_Calc!$J$2:$J$5251,Pipeline_Sort!$C913))</f>
        <v/>
      </c>
    </row>
    <row r="914">
      <c r="A914" s="22">
        <f>IF(Pipeline_Sort!$C914="","",INDEX(Pipeline_Calc!$B$2:$B$5251,Pipeline_Sort!$C914))</f>
        <v/>
      </c>
      <c r="B914">
        <f>IF(Pipeline_Sort!$C914="","",INDEX(Pipeline_Calc!$C$2:$C$5251,Pipeline_Sort!$C914))</f>
        <v/>
      </c>
      <c r="C914">
        <f>IF(Pipeline_Sort!$C914="","",INDEX(Pipeline_Calc!$D$2:$D$5251,Pipeline_Sort!$C914))</f>
        <v/>
      </c>
      <c r="D914">
        <f>IF(Pipeline_Sort!$C914="","",INDEX(Pipeline_Calc!$E$2:$E$5251,Pipeline_Sort!$C914))</f>
        <v/>
      </c>
      <c r="E914">
        <f>IF(Pipeline_Sort!$C914="","",INDEX(Pipeline_Calc!$F$2:$F$5251,Pipeline_Sort!$C914))</f>
        <v/>
      </c>
      <c r="F914">
        <f>IF(Pipeline_Sort!$C914="","",INDEX(Pipeline_Calc!$G$2:$G$5251,Pipeline_Sort!$C914))</f>
        <v/>
      </c>
      <c r="G914">
        <f>IF(Pipeline_Sort!$C914="","",INDEX(Pipeline_Calc!$H$2:$H$5251,Pipeline_Sort!$C914))</f>
        <v/>
      </c>
      <c r="H914">
        <f>IF(Pipeline_Sort!$C914="","",INDEX(Pipeline_Calc!$I$2:$I$5251,Pipeline_Sort!$C914))</f>
        <v/>
      </c>
      <c r="I914">
        <f>IF(Pipeline_Sort!$C914="","",INDEX(Pipeline_Calc!$J$2:$J$5251,Pipeline_Sort!$C914))</f>
        <v/>
      </c>
    </row>
    <row r="915">
      <c r="A915" s="22">
        <f>IF(Pipeline_Sort!$C915="","",INDEX(Pipeline_Calc!$B$2:$B$5251,Pipeline_Sort!$C915))</f>
        <v/>
      </c>
      <c r="B915">
        <f>IF(Pipeline_Sort!$C915="","",INDEX(Pipeline_Calc!$C$2:$C$5251,Pipeline_Sort!$C915))</f>
        <v/>
      </c>
      <c r="C915">
        <f>IF(Pipeline_Sort!$C915="","",INDEX(Pipeline_Calc!$D$2:$D$5251,Pipeline_Sort!$C915))</f>
        <v/>
      </c>
      <c r="D915">
        <f>IF(Pipeline_Sort!$C915="","",INDEX(Pipeline_Calc!$E$2:$E$5251,Pipeline_Sort!$C915))</f>
        <v/>
      </c>
      <c r="E915">
        <f>IF(Pipeline_Sort!$C915="","",INDEX(Pipeline_Calc!$F$2:$F$5251,Pipeline_Sort!$C915))</f>
        <v/>
      </c>
      <c r="F915">
        <f>IF(Pipeline_Sort!$C915="","",INDEX(Pipeline_Calc!$G$2:$G$5251,Pipeline_Sort!$C915))</f>
        <v/>
      </c>
      <c r="G915">
        <f>IF(Pipeline_Sort!$C915="","",INDEX(Pipeline_Calc!$H$2:$H$5251,Pipeline_Sort!$C915))</f>
        <v/>
      </c>
      <c r="H915">
        <f>IF(Pipeline_Sort!$C915="","",INDEX(Pipeline_Calc!$I$2:$I$5251,Pipeline_Sort!$C915))</f>
        <v/>
      </c>
      <c r="I915">
        <f>IF(Pipeline_Sort!$C915="","",INDEX(Pipeline_Calc!$J$2:$J$5251,Pipeline_Sort!$C915))</f>
        <v/>
      </c>
    </row>
    <row r="916">
      <c r="A916" s="22">
        <f>IF(Pipeline_Sort!$C916="","",INDEX(Pipeline_Calc!$B$2:$B$5251,Pipeline_Sort!$C916))</f>
        <v/>
      </c>
      <c r="B916">
        <f>IF(Pipeline_Sort!$C916="","",INDEX(Pipeline_Calc!$C$2:$C$5251,Pipeline_Sort!$C916))</f>
        <v/>
      </c>
      <c r="C916">
        <f>IF(Pipeline_Sort!$C916="","",INDEX(Pipeline_Calc!$D$2:$D$5251,Pipeline_Sort!$C916))</f>
        <v/>
      </c>
      <c r="D916">
        <f>IF(Pipeline_Sort!$C916="","",INDEX(Pipeline_Calc!$E$2:$E$5251,Pipeline_Sort!$C916))</f>
        <v/>
      </c>
      <c r="E916">
        <f>IF(Pipeline_Sort!$C916="","",INDEX(Pipeline_Calc!$F$2:$F$5251,Pipeline_Sort!$C916))</f>
        <v/>
      </c>
      <c r="F916">
        <f>IF(Pipeline_Sort!$C916="","",INDEX(Pipeline_Calc!$G$2:$G$5251,Pipeline_Sort!$C916))</f>
        <v/>
      </c>
      <c r="G916">
        <f>IF(Pipeline_Sort!$C916="","",INDEX(Pipeline_Calc!$H$2:$H$5251,Pipeline_Sort!$C916))</f>
        <v/>
      </c>
      <c r="H916">
        <f>IF(Pipeline_Sort!$C916="","",INDEX(Pipeline_Calc!$I$2:$I$5251,Pipeline_Sort!$C916))</f>
        <v/>
      </c>
      <c r="I916">
        <f>IF(Pipeline_Sort!$C916="","",INDEX(Pipeline_Calc!$J$2:$J$5251,Pipeline_Sort!$C916))</f>
        <v/>
      </c>
    </row>
    <row r="917">
      <c r="A917" s="22">
        <f>IF(Pipeline_Sort!$C917="","",INDEX(Pipeline_Calc!$B$2:$B$5251,Pipeline_Sort!$C917))</f>
        <v/>
      </c>
      <c r="B917">
        <f>IF(Pipeline_Sort!$C917="","",INDEX(Pipeline_Calc!$C$2:$C$5251,Pipeline_Sort!$C917))</f>
        <v/>
      </c>
      <c r="C917">
        <f>IF(Pipeline_Sort!$C917="","",INDEX(Pipeline_Calc!$D$2:$D$5251,Pipeline_Sort!$C917))</f>
        <v/>
      </c>
      <c r="D917">
        <f>IF(Pipeline_Sort!$C917="","",INDEX(Pipeline_Calc!$E$2:$E$5251,Pipeline_Sort!$C917))</f>
        <v/>
      </c>
      <c r="E917">
        <f>IF(Pipeline_Sort!$C917="","",INDEX(Pipeline_Calc!$F$2:$F$5251,Pipeline_Sort!$C917))</f>
        <v/>
      </c>
      <c r="F917">
        <f>IF(Pipeline_Sort!$C917="","",INDEX(Pipeline_Calc!$G$2:$G$5251,Pipeline_Sort!$C917))</f>
        <v/>
      </c>
      <c r="G917">
        <f>IF(Pipeline_Sort!$C917="","",INDEX(Pipeline_Calc!$H$2:$H$5251,Pipeline_Sort!$C917))</f>
        <v/>
      </c>
      <c r="H917">
        <f>IF(Pipeline_Sort!$C917="","",INDEX(Pipeline_Calc!$I$2:$I$5251,Pipeline_Sort!$C917))</f>
        <v/>
      </c>
      <c r="I917">
        <f>IF(Pipeline_Sort!$C917="","",INDEX(Pipeline_Calc!$J$2:$J$5251,Pipeline_Sort!$C917))</f>
        <v/>
      </c>
    </row>
    <row r="918">
      <c r="A918" s="22">
        <f>IF(Pipeline_Sort!$C918="","",INDEX(Pipeline_Calc!$B$2:$B$5251,Pipeline_Sort!$C918))</f>
        <v/>
      </c>
      <c r="B918">
        <f>IF(Pipeline_Sort!$C918="","",INDEX(Pipeline_Calc!$C$2:$C$5251,Pipeline_Sort!$C918))</f>
        <v/>
      </c>
      <c r="C918">
        <f>IF(Pipeline_Sort!$C918="","",INDEX(Pipeline_Calc!$D$2:$D$5251,Pipeline_Sort!$C918))</f>
        <v/>
      </c>
      <c r="D918">
        <f>IF(Pipeline_Sort!$C918="","",INDEX(Pipeline_Calc!$E$2:$E$5251,Pipeline_Sort!$C918))</f>
        <v/>
      </c>
      <c r="E918">
        <f>IF(Pipeline_Sort!$C918="","",INDEX(Pipeline_Calc!$F$2:$F$5251,Pipeline_Sort!$C918))</f>
        <v/>
      </c>
      <c r="F918">
        <f>IF(Pipeline_Sort!$C918="","",INDEX(Pipeline_Calc!$G$2:$G$5251,Pipeline_Sort!$C918))</f>
        <v/>
      </c>
      <c r="G918">
        <f>IF(Pipeline_Sort!$C918="","",INDEX(Pipeline_Calc!$H$2:$H$5251,Pipeline_Sort!$C918))</f>
        <v/>
      </c>
      <c r="H918">
        <f>IF(Pipeline_Sort!$C918="","",INDEX(Pipeline_Calc!$I$2:$I$5251,Pipeline_Sort!$C918))</f>
        <v/>
      </c>
      <c r="I918">
        <f>IF(Pipeline_Sort!$C918="","",INDEX(Pipeline_Calc!$J$2:$J$5251,Pipeline_Sort!$C918))</f>
        <v/>
      </c>
    </row>
    <row r="919">
      <c r="A919" s="22">
        <f>IF(Pipeline_Sort!$C919="","",INDEX(Pipeline_Calc!$B$2:$B$5251,Pipeline_Sort!$C919))</f>
        <v/>
      </c>
      <c r="B919">
        <f>IF(Pipeline_Sort!$C919="","",INDEX(Pipeline_Calc!$C$2:$C$5251,Pipeline_Sort!$C919))</f>
        <v/>
      </c>
      <c r="C919">
        <f>IF(Pipeline_Sort!$C919="","",INDEX(Pipeline_Calc!$D$2:$D$5251,Pipeline_Sort!$C919))</f>
        <v/>
      </c>
      <c r="D919">
        <f>IF(Pipeline_Sort!$C919="","",INDEX(Pipeline_Calc!$E$2:$E$5251,Pipeline_Sort!$C919))</f>
        <v/>
      </c>
      <c r="E919">
        <f>IF(Pipeline_Sort!$C919="","",INDEX(Pipeline_Calc!$F$2:$F$5251,Pipeline_Sort!$C919))</f>
        <v/>
      </c>
      <c r="F919">
        <f>IF(Pipeline_Sort!$C919="","",INDEX(Pipeline_Calc!$G$2:$G$5251,Pipeline_Sort!$C919))</f>
        <v/>
      </c>
      <c r="G919">
        <f>IF(Pipeline_Sort!$C919="","",INDEX(Pipeline_Calc!$H$2:$H$5251,Pipeline_Sort!$C919))</f>
        <v/>
      </c>
      <c r="H919">
        <f>IF(Pipeline_Sort!$C919="","",INDEX(Pipeline_Calc!$I$2:$I$5251,Pipeline_Sort!$C919))</f>
        <v/>
      </c>
      <c r="I919">
        <f>IF(Pipeline_Sort!$C919="","",INDEX(Pipeline_Calc!$J$2:$J$5251,Pipeline_Sort!$C919))</f>
        <v/>
      </c>
    </row>
    <row r="920">
      <c r="A920" s="22">
        <f>IF(Pipeline_Sort!$C920="","",INDEX(Pipeline_Calc!$B$2:$B$5251,Pipeline_Sort!$C920))</f>
        <v/>
      </c>
      <c r="B920">
        <f>IF(Pipeline_Sort!$C920="","",INDEX(Pipeline_Calc!$C$2:$C$5251,Pipeline_Sort!$C920))</f>
        <v/>
      </c>
      <c r="C920">
        <f>IF(Pipeline_Sort!$C920="","",INDEX(Pipeline_Calc!$D$2:$D$5251,Pipeline_Sort!$C920))</f>
        <v/>
      </c>
      <c r="D920">
        <f>IF(Pipeline_Sort!$C920="","",INDEX(Pipeline_Calc!$E$2:$E$5251,Pipeline_Sort!$C920))</f>
        <v/>
      </c>
      <c r="E920">
        <f>IF(Pipeline_Sort!$C920="","",INDEX(Pipeline_Calc!$F$2:$F$5251,Pipeline_Sort!$C920))</f>
        <v/>
      </c>
      <c r="F920">
        <f>IF(Pipeline_Sort!$C920="","",INDEX(Pipeline_Calc!$G$2:$G$5251,Pipeline_Sort!$C920))</f>
        <v/>
      </c>
      <c r="G920">
        <f>IF(Pipeline_Sort!$C920="","",INDEX(Pipeline_Calc!$H$2:$H$5251,Pipeline_Sort!$C920))</f>
        <v/>
      </c>
      <c r="H920">
        <f>IF(Pipeline_Sort!$C920="","",INDEX(Pipeline_Calc!$I$2:$I$5251,Pipeline_Sort!$C920))</f>
        <v/>
      </c>
      <c r="I920">
        <f>IF(Pipeline_Sort!$C920="","",INDEX(Pipeline_Calc!$J$2:$J$5251,Pipeline_Sort!$C920))</f>
        <v/>
      </c>
    </row>
    <row r="921">
      <c r="A921" s="22">
        <f>IF(Pipeline_Sort!$C921="","",INDEX(Pipeline_Calc!$B$2:$B$5251,Pipeline_Sort!$C921))</f>
        <v/>
      </c>
      <c r="B921">
        <f>IF(Pipeline_Sort!$C921="","",INDEX(Pipeline_Calc!$C$2:$C$5251,Pipeline_Sort!$C921))</f>
        <v/>
      </c>
      <c r="C921">
        <f>IF(Pipeline_Sort!$C921="","",INDEX(Pipeline_Calc!$D$2:$D$5251,Pipeline_Sort!$C921))</f>
        <v/>
      </c>
      <c r="D921">
        <f>IF(Pipeline_Sort!$C921="","",INDEX(Pipeline_Calc!$E$2:$E$5251,Pipeline_Sort!$C921))</f>
        <v/>
      </c>
      <c r="E921">
        <f>IF(Pipeline_Sort!$C921="","",INDEX(Pipeline_Calc!$F$2:$F$5251,Pipeline_Sort!$C921))</f>
        <v/>
      </c>
      <c r="F921">
        <f>IF(Pipeline_Sort!$C921="","",INDEX(Pipeline_Calc!$G$2:$G$5251,Pipeline_Sort!$C921))</f>
        <v/>
      </c>
      <c r="G921">
        <f>IF(Pipeline_Sort!$C921="","",INDEX(Pipeline_Calc!$H$2:$H$5251,Pipeline_Sort!$C921))</f>
        <v/>
      </c>
      <c r="H921">
        <f>IF(Pipeline_Sort!$C921="","",INDEX(Pipeline_Calc!$I$2:$I$5251,Pipeline_Sort!$C921))</f>
        <v/>
      </c>
      <c r="I921">
        <f>IF(Pipeline_Sort!$C921="","",INDEX(Pipeline_Calc!$J$2:$J$5251,Pipeline_Sort!$C921))</f>
        <v/>
      </c>
    </row>
    <row r="922">
      <c r="A922" s="22">
        <f>IF(Pipeline_Sort!$C922="","",INDEX(Pipeline_Calc!$B$2:$B$5251,Pipeline_Sort!$C922))</f>
        <v/>
      </c>
      <c r="B922">
        <f>IF(Pipeline_Sort!$C922="","",INDEX(Pipeline_Calc!$C$2:$C$5251,Pipeline_Sort!$C922))</f>
        <v/>
      </c>
      <c r="C922">
        <f>IF(Pipeline_Sort!$C922="","",INDEX(Pipeline_Calc!$D$2:$D$5251,Pipeline_Sort!$C922))</f>
        <v/>
      </c>
      <c r="D922">
        <f>IF(Pipeline_Sort!$C922="","",INDEX(Pipeline_Calc!$E$2:$E$5251,Pipeline_Sort!$C922))</f>
        <v/>
      </c>
      <c r="E922">
        <f>IF(Pipeline_Sort!$C922="","",INDEX(Pipeline_Calc!$F$2:$F$5251,Pipeline_Sort!$C922))</f>
        <v/>
      </c>
      <c r="F922">
        <f>IF(Pipeline_Sort!$C922="","",INDEX(Pipeline_Calc!$G$2:$G$5251,Pipeline_Sort!$C922))</f>
        <v/>
      </c>
      <c r="G922">
        <f>IF(Pipeline_Sort!$C922="","",INDEX(Pipeline_Calc!$H$2:$H$5251,Pipeline_Sort!$C922))</f>
        <v/>
      </c>
      <c r="H922">
        <f>IF(Pipeline_Sort!$C922="","",INDEX(Pipeline_Calc!$I$2:$I$5251,Pipeline_Sort!$C922))</f>
        <v/>
      </c>
      <c r="I922">
        <f>IF(Pipeline_Sort!$C922="","",INDEX(Pipeline_Calc!$J$2:$J$5251,Pipeline_Sort!$C922))</f>
        <v/>
      </c>
    </row>
    <row r="923">
      <c r="A923" s="22">
        <f>IF(Pipeline_Sort!$C923="","",INDEX(Pipeline_Calc!$B$2:$B$5251,Pipeline_Sort!$C923))</f>
        <v/>
      </c>
      <c r="B923">
        <f>IF(Pipeline_Sort!$C923="","",INDEX(Pipeline_Calc!$C$2:$C$5251,Pipeline_Sort!$C923))</f>
        <v/>
      </c>
      <c r="C923">
        <f>IF(Pipeline_Sort!$C923="","",INDEX(Pipeline_Calc!$D$2:$D$5251,Pipeline_Sort!$C923))</f>
        <v/>
      </c>
      <c r="D923">
        <f>IF(Pipeline_Sort!$C923="","",INDEX(Pipeline_Calc!$E$2:$E$5251,Pipeline_Sort!$C923))</f>
        <v/>
      </c>
      <c r="E923">
        <f>IF(Pipeline_Sort!$C923="","",INDEX(Pipeline_Calc!$F$2:$F$5251,Pipeline_Sort!$C923))</f>
        <v/>
      </c>
      <c r="F923">
        <f>IF(Pipeline_Sort!$C923="","",INDEX(Pipeline_Calc!$G$2:$G$5251,Pipeline_Sort!$C923))</f>
        <v/>
      </c>
      <c r="G923">
        <f>IF(Pipeline_Sort!$C923="","",INDEX(Pipeline_Calc!$H$2:$H$5251,Pipeline_Sort!$C923))</f>
        <v/>
      </c>
      <c r="H923">
        <f>IF(Pipeline_Sort!$C923="","",INDEX(Pipeline_Calc!$I$2:$I$5251,Pipeline_Sort!$C923))</f>
        <v/>
      </c>
      <c r="I923">
        <f>IF(Pipeline_Sort!$C923="","",INDEX(Pipeline_Calc!$J$2:$J$5251,Pipeline_Sort!$C923))</f>
        <v/>
      </c>
    </row>
    <row r="924">
      <c r="A924" s="22">
        <f>IF(Pipeline_Sort!$C924="","",INDEX(Pipeline_Calc!$B$2:$B$5251,Pipeline_Sort!$C924))</f>
        <v/>
      </c>
      <c r="B924">
        <f>IF(Pipeline_Sort!$C924="","",INDEX(Pipeline_Calc!$C$2:$C$5251,Pipeline_Sort!$C924))</f>
        <v/>
      </c>
      <c r="C924">
        <f>IF(Pipeline_Sort!$C924="","",INDEX(Pipeline_Calc!$D$2:$D$5251,Pipeline_Sort!$C924))</f>
        <v/>
      </c>
      <c r="D924">
        <f>IF(Pipeline_Sort!$C924="","",INDEX(Pipeline_Calc!$E$2:$E$5251,Pipeline_Sort!$C924))</f>
        <v/>
      </c>
      <c r="E924">
        <f>IF(Pipeline_Sort!$C924="","",INDEX(Pipeline_Calc!$F$2:$F$5251,Pipeline_Sort!$C924))</f>
        <v/>
      </c>
      <c r="F924">
        <f>IF(Pipeline_Sort!$C924="","",INDEX(Pipeline_Calc!$G$2:$G$5251,Pipeline_Sort!$C924))</f>
        <v/>
      </c>
      <c r="G924">
        <f>IF(Pipeline_Sort!$C924="","",INDEX(Pipeline_Calc!$H$2:$H$5251,Pipeline_Sort!$C924))</f>
        <v/>
      </c>
      <c r="H924">
        <f>IF(Pipeline_Sort!$C924="","",INDEX(Pipeline_Calc!$I$2:$I$5251,Pipeline_Sort!$C924))</f>
        <v/>
      </c>
      <c r="I924">
        <f>IF(Pipeline_Sort!$C924="","",INDEX(Pipeline_Calc!$J$2:$J$5251,Pipeline_Sort!$C924))</f>
        <v/>
      </c>
    </row>
    <row r="925">
      <c r="A925" s="22">
        <f>IF(Pipeline_Sort!$C925="","",INDEX(Pipeline_Calc!$B$2:$B$5251,Pipeline_Sort!$C925))</f>
        <v/>
      </c>
      <c r="B925">
        <f>IF(Pipeline_Sort!$C925="","",INDEX(Pipeline_Calc!$C$2:$C$5251,Pipeline_Sort!$C925))</f>
        <v/>
      </c>
      <c r="C925">
        <f>IF(Pipeline_Sort!$C925="","",INDEX(Pipeline_Calc!$D$2:$D$5251,Pipeline_Sort!$C925))</f>
        <v/>
      </c>
      <c r="D925">
        <f>IF(Pipeline_Sort!$C925="","",INDEX(Pipeline_Calc!$E$2:$E$5251,Pipeline_Sort!$C925))</f>
        <v/>
      </c>
      <c r="E925">
        <f>IF(Pipeline_Sort!$C925="","",INDEX(Pipeline_Calc!$F$2:$F$5251,Pipeline_Sort!$C925))</f>
        <v/>
      </c>
      <c r="F925">
        <f>IF(Pipeline_Sort!$C925="","",INDEX(Pipeline_Calc!$G$2:$G$5251,Pipeline_Sort!$C925))</f>
        <v/>
      </c>
      <c r="G925">
        <f>IF(Pipeline_Sort!$C925="","",INDEX(Pipeline_Calc!$H$2:$H$5251,Pipeline_Sort!$C925))</f>
        <v/>
      </c>
      <c r="H925">
        <f>IF(Pipeline_Sort!$C925="","",INDEX(Pipeline_Calc!$I$2:$I$5251,Pipeline_Sort!$C925))</f>
        <v/>
      </c>
      <c r="I925">
        <f>IF(Pipeline_Sort!$C925="","",INDEX(Pipeline_Calc!$J$2:$J$5251,Pipeline_Sort!$C925))</f>
        <v/>
      </c>
    </row>
    <row r="926">
      <c r="A926" s="22">
        <f>IF(Pipeline_Sort!$C926="","",INDEX(Pipeline_Calc!$B$2:$B$5251,Pipeline_Sort!$C926))</f>
        <v/>
      </c>
      <c r="B926">
        <f>IF(Pipeline_Sort!$C926="","",INDEX(Pipeline_Calc!$C$2:$C$5251,Pipeline_Sort!$C926))</f>
        <v/>
      </c>
      <c r="C926">
        <f>IF(Pipeline_Sort!$C926="","",INDEX(Pipeline_Calc!$D$2:$D$5251,Pipeline_Sort!$C926))</f>
        <v/>
      </c>
      <c r="D926">
        <f>IF(Pipeline_Sort!$C926="","",INDEX(Pipeline_Calc!$E$2:$E$5251,Pipeline_Sort!$C926))</f>
        <v/>
      </c>
      <c r="E926">
        <f>IF(Pipeline_Sort!$C926="","",INDEX(Pipeline_Calc!$F$2:$F$5251,Pipeline_Sort!$C926))</f>
        <v/>
      </c>
      <c r="F926">
        <f>IF(Pipeline_Sort!$C926="","",INDEX(Pipeline_Calc!$G$2:$G$5251,Pipeline_Sort!$C926))</f>
        <v/>
      </c>
      <c r="G926">
        <f>IF(Pipeline_Sort!$C926="","",INDEX(Pipeline_Calc!$H$2:$H$5251,Pipeline_Sort!$C926))</f>
        <v/>
      </c>
      <c r="H926">
        <f>IF(Pipeline_Sort!$C926="","",INDEX(Pipeline_Calc!$I$2:$I$5251,Pipeline_Sort!$C926))</f>
        <v/>
      </c>
      <c r="I926">
        <f>IF(Pipeline_Sort!$C926="","",INDEX(Pipeline_Calc!$J$2:$J$5251,Pipeline_Sort!$C926))</f>
        <v/>
      </c>
    </row>
    <row r="927">
      <c r="A927" s="22">
        <f>IF(Pipeline_Sort!$C927="","",INDEX(Pipeline_Calc!$B$2:$B$5251,Pipeline_Sort!$C927))</f>
        <v/>
      </c>
      <c r="B927">
        <f>IF(Pipeline_Sort!$C927="","",INDEX(Pipeline_Calc!$C$2:$C$5251,Pipeline_Sort!$C927))</f>
        <v/>
      </c>
      <c r="C927">
        <f>IF(Pipeline_Sort!$C927="","",INDEX(Pipeline_Calc!$D$2:$D$5251,Pipeline_Sort!$C927))</f>
        <v/>
      </c>
      <c r="D927">
        <f>IF(Pipeline_Sort!$C927="","",INDEX(Pipeline_Calc!$E$2:$E$5251,Pipeline_Sort!$C927))</f>
        <v/>
      </c>
      <c r="E927">
        <f>IF(Pipeline_Sort!$C927="","",INDEX(Pipeline_Calc!$F$2:$F$5251,Pipeline_Sort!$C927))</f>
        <v/>
      </c>
      <c r="F927">
        <f>IF(Pipeline_Sort!$C927="","",INDEX(Pipeline_Calc!$G$2:$G$5251,Pipeline_Sort!$C927))</f>
        <v/>
      </c>
      <c r="G927">
        <f>IF(Pipeline_Sort!$C927="","",INDEX(Pipeline_Calc!$H$2:$H$5251,Pipeline_Sort!$C927))</f>
        <v/>
      </c>
      <c r="H927">
        <f>IF(Pipeline_Sort!$C927="","",INDEX(Pipeline_Calc!$I$2:$I$5251,Pipeline_Sort!$C927))</f>
        <v/>
      </c>
      <c r="I927">
        <f>IF(Pipeline_Sort!$C927="","",INDEX(Pipeline_Calc!$J$2:$J$5251,Pipeline_Sort!$C927))</f>
        <v/>
      </c>
    </row>
    <row r="928">
      <c r="A928" s="22">
        <f>IF(Pipeline_Sort!$C928="","",INDEX(Pipeline_Calc!$B$2:$B$5251,Pipeline_Sort!$C928))</f>
        <v/>
      </c>
      <c r="B928">
        <f>IF(Pipeline_Sort!$C928="","",INDEX(Pipeline_Calc!$C$2:$C$5251,Pipeline_Sort!$C928))</f>
        <v/>
      </c>
      <c r="C928">
        <f>IF(Pipeline_Sort!$C928="","",INDEX(Pipeline_Calc!$D$2:$D$5251,Pipeline_Sort!$C928))</f>
        <v/>
      </c>
      <c r="D928">
        <f>IF(Pipeline_Sort!$C928="","",INDEX(Pipeline_Calc!$E$2:$E$5251,Pipeline_Sort!$C928))</f>
        <v/>
      </c>
      <c r="E928">
        <f>IF(Pipeline_Sort!$C928="","",INDEX(Pipeline_Calc!$F$2:$F$5251,Pipeline_Sort!$C928))</f>
        <v/>
      </c>
      <c r="F928">
        <f>IF(Pipeline_Sort!$C928="","",INDEX(Pipeline_Calc!$G$2:$G$5251,Pipeline_Sort!$C928))</f>
        <v/>
      </c>
      <c r="G928">
        <f>IF(Pipeline_Sort!$C928="","",INDEX(Pipeline_Calc!$H$2:$H$5251,Pipeline_Sort!$C928))</f>
        <v/>
      </c>
      <c r="H928">
        <f>IF(Pipeline_Sort!$C928="","",INDEX(Pipeline_Calc!$I$2:$I$5251,Pipeline_Sort!$C928))</f>
        <v/>
      </c>
      <c r="I928">
        <f>IF(Pipeline_Sort!$C928="","",INDEX(Pipeline_Calc!$J$2:$J$5251,Pipeline_Sort!$C928))</f>
        <v/>
      </c>
    </row>
    <row r="929">
      <c r="A929" s="22">
        <f>IF(Pipeline_Sort!$C929="","",INDEX(Pipeline_Calc!$B$2:$B$5251,Pipeline_Sort!$C929))</f>
        <v/>
      </c>
      <c r="B929">
        <f>IF(Pipeline_Sort!$C929="","",INDEX(Pipeline_Calc!$C$2:$C$5251,Pipeline_Sort!$C929))</f>
        <v/>
      </c>
      <c r="C929">
        <f>IF(Pipeline_Sort!$C929="","",INDEX(Pipeline_Calc!$D$2:$D$5251,Pipeline_Sort!$C929))</f>
        <v/>
      </c>
      <c r="D929">
        <f>IF(Pipeline_Sort!$C929="","",INDEX(Pipeline_Calc!$E$2:$E$5251,Pipeline_Sort!$C929))</f>
        <v/>
      </c>
      <c r="E929">
        <f>IF(Pipeline_Sort!$C929="","",INDEX(Pipeline_Calc!$F$2:$F$5251,Pipeline_Sort!$C929))</f>
        <v/>
      </c>
      <c r="F929">
        <f>IF(Pipeline_Sort!$C929="","",INDEX(Pipeline_Calc!$G$2:$G$5251,Pipeline_Sort!$C929))</f>
        <v/>
      </c>
      <c r="G929">
        <f>IF(Pipeline_Sort!$C929="","",INDEX(Pipeline_Calc!$H$2:$H$5251,Pipeline_Sort!$C929))</f>
        <v/>
      </c>
      <c r="H929">
        <f>IF(Pipeline_Sort!$C929="","",INDEX(Pipeline_Calc!$I$2:$I$5251,Pipeline_Sort!$C929))</f>
        <v/>
      </c>
      <c r="I929">
        <f>IF(Pipeline_Sort!$C929="","",INDEX(Pipeline_Calc!$J$2:$J$5251,Pipeline_Sort!$C929))</f>
        <v/>
      </c>
    </row>
    <row r="930">
      <c r="A930" s="22">
        <f>IF(Pipeline_Sort!$C930="","",INDEX(Pipeline_Calc!$B$2:$B$5251,Pipeline_Sort!$C930))</f>
        <v/>
      </c>
      <c r="B930">
        <f>IF(Pipeline_Sort!$C930="","",INDEX(Pipeline_Calc!$C$2:$C$5251,Pipeline_Sort!$C930))</f>
        <v/>
      </c>
      <c r="C930">
        <f>IF(Pipeline_Sort!$C930="","",INDEX(Pipeline_Calc!$D$2:$D$5251,Pipeline_Sort!$C930))</f>
        <v/>
      </c>
      <c r="D930">
        <f>IF(Pipeline_Sort!$C930="","",INDEX(Pipeline_Calc!$E$2:$E$5251,Pipeline_Sort!$C930))</f>
        <v/>
      </c>
      <c r="E930">
        <f>IF(Pipeline_Sort!$C930="","",INDEX(Pipeline_Calc!$F$2:$F$5251,Pipeline_Sort!$C930))</f>
        <v/>
      </c>
      <c r="F930">
        <f>IF(Pipeline_Sort!$C930="","",INDEX(Pipeline_Calc!$G$2:$G$5251,Pipeline_Sort!$C930))</f>
        <v/>
      </c>
      <c r="G930">
        <f>IF(Pipeline_Sort!$C930="","",INDEX(Pipeline_Calc!$H$2:$H$5251,Pipeline_Sort!$C930))</f>
        <v/>
      </c>
      <c r="H930">
        <f>IF(Pipeline_Sort!$C930="","",INDEX(Pipeline_Calc!$I$2:$I$5251,Pipeline_Sort!$C930))</f>
        <v/>
      </c>
      <c r="I930">
        <f>IF(Pipeline_Sort!$C930="","",INDEX(Pipeline_Calc!$J$2:$J$5251,Pipeline_Sort!$C930))</f>
        <v/>
      </c>
    </row>
    <row r="931">
      <c r="A931" s="22">
        <f>IF(Pipeline_Sort!$C931="","",INDEX(Pipeline_Calc!$B$2:$B$5251,Pipeline_Sort!$C931))</f>
        <v/>
      </c>
      <c r="B931">
        <f>IF(Pipeline_Sort!$C931="","",INDEX(Pipeline_Calc!$C$2:$C$5251,Pipeline_Sort!$C931))</f>
        <v/>
      </c>
      <c r="C931">
        <f>IF(Pipeline_Sort!$C931="","",INDEX(Pipeline_Calc!$D$2:$D$5251,Pipeline_Sort!$C931))</f>
        <v/>
      </c>
      <c r="D931">
        <f>IF(Pipeline_Sort!$C931="","",INDEX(Pipeline_Calc!$E$2:$E$5251,Pipeline_Sort!$C931))</f>
        <v/>
      </c>
      <c r="E931">
        <f>IF(Pipeline_Sort!$C931="","",INDEX(Pipeline_Calc!$F$2:$F$5251,Pipeline_Sort!$C931))</f>
        <v/>
      </c>
      <c r="F931">
        <f>IF(Pipeline_Sort!$C931="","",INDEX(Pipeline_Calc!$G$2:$G$5251,Pipeline_Sort!$C931))</f>
        <v/>
      </c>
      <c r="G931">
        <f>IF(Pipeline_Sort!$C931="","",INDEX(Pipeline_Calc!$H$2:$H$5251,Pipeline_Sort!$C931))</f>
        <v/>
      </c>
      <c r="H931">
        <f>IF(Pipeline_Sort!$C931="","",INDEX(Pipeline_Calc!$I$2:$I$5251,Pipeline_Sort!$C931))</f>
        <v/>
      </c>
      <c r="I931">
        <f>IF(Pipeline_Sort!$C931="","",INDEX(Pipeline_Calc!$J$2:$J$5251,Pipeline_Sort!$C931))</f>
        <v/>
      </c>
    </row>
    <row r="932">
      <c r="A932" s="22">
        <f>IF(Pipeline_Sort!$C932="","",INDEX(Pipeline_Calc!$B$2:$B$5251,Pipeline_Sort!$C932))</f>
        <v/>
      </c>
      <c r="B932">
        <f>IF(Pipeline_Sort!$C932="","",INDEX(Pipeline_Calc!$C$2:$C$5251,Pipeline_Sort!$C932))</f>
        <v/>
      </c>
      <c r="C932">
        <f>IF(Pipeline_Sort!$C932="","",INDEX(Pipeline_Calc!$D$2:$D$5251,Pipeline_Sort!$C932))</f>
        <v/>
      </c>
      <c r="D932">
        <f>IF(Pipeline_Sort!$C932="","",INDEX(Pipeline_Calc!$E$2:$E$5251,Pipeline_Sort!$C932))</f>
        <v/>
      </c>
      <c r="E932">
        <f>IF(Pipeline_Sort!$C932="","",INDEX(Pipeline_Calc!$F$2:$F$5251,Pipeline_Sort!$C932))</f>
        <v/>
      </c>
      <c r="F932">
        <f>IF(Pipeline_Sort!$C932="","",INDEX(Pipeline_Calc!$G$2:$G$5251,Pipeline_Sort!$C932))</f>
        <v/>
      </c>
      <c r="G932">
        <f>IF(Pipeline_Sort!$C932="","",INDEX(Pipeline_Calc!$H$2:$H$5251,Pipeline_Sort!$C932))</f>
        <v/>
      </c>
      <c r="H932">
        <f>IF(Pipeline_Sort!$C932="","",INDEX(Pipeline_Calc!$I$2:$I$5251,Pipeline_Sort!$C932))</f>
        <v/>
      </c>
      <c r="I932">
        <f>IF(Pipeline_Sort!$C932="","",INDEX(Pipeline_Calc!$J$2:$J$5251,Pipeline_Sort!$C932))</f>
        <v/>
      </c>
    </row>
    <row r="933">
      <c r="A933" s="22">
        <f>IF(Pipeline_Sort!$C933="","",INDEX(Pipeline_Calc!$B$2:$B$5251,Pipeline_Sort!$C933))</f>
        <v/>
      </c>
      <c r="B933">
        <f>IF(Pipeline_Sort!$C933="","",INDEX(Pipeline_Calc!$C$2:$C$5251,Pipeline_Sort!$C933))</f>
        <v/>
      </c>
      <c r="C933">
        <f>IF(Pipeline_Sort!$C933="","",INDEX(Pipeline_Calc!$D$2:$D$5251,Pipeline_Sort!$C933))</f>
        <v/>
      </c>
      <c r="D933">
        <f>IF(Pipeline_Sort!$C933="","",INDEX(Pipeline_Calc!$E$2:$E$5251,Pipeline_Sort!$C933))</f>
        <v/>
      </c>
      <c r="E933">
        <f>IF(Pipeline_Sort!$C933="","",INDEX(Pipeline_Calc!$F$2:$F$5251,Pipeline_Sort!$C933))</f>
        <v/>
      </c>
      <c r="F933">
        <f>IF(Pipeline_Sort!$C933="","",INDEX(Pipeline_Calc!$G$2:$G$5251,Pipeline_Sort!$C933))</f>
        <v/>
      </c>
      <c r="G933">
        <f>IF(Pipeline_Sort!$C933="","",INDEX(Pipeline_Calc!$H$2:$H$5251,Pipeline_Sort!$C933))</f>
        <v/>
      </c>
      <c r="H933">
        <f>IF(Pipeline_Sort!$C933="","",INDEX(Pipeline_Calc!$I$2:$I$5251,Pipeline_Sort!$C933))</f>
        <v/>
      </c>
      <c r="I933">
        <f>IF(Pipeline_Sort!$C933="","",INDEX(Pipeline_Calc!$J$2:$J$5251,Pipeline_Sort!$C933))</f>
        <v/>
      </c>
    </row>
    <row r="934">
      <c r="A934" s="22">
        <f>IF(Pipeline_Sort!$C934="","",INDEX(Pipeline_Calc!$B$2:$B$5251,Pipeline_Sort!$C934))</f>
        <v/>
      </c>
      <c r="B934">
        <f>IF(Pipeline_Sort!$C934="","",INDEX(Pipeline_Calc!$C$2:$C$5251,Pipeline_Sort!$C934))</f>
        <v/>
      </c>
      <c r="C934">
        <f>IF(Pipeline_Sort!$C934="","",INDEX(Pipeline_Calc!$D$2:$D$5251,Pipeline_Sort!$C934))</f>
        <v/>
      </c>
      <c r="D934">
        <f>IF(Pipeline_Sort!$C934="","",INDEX(Pipeline_Calc!$E$2:$E$5251,Pipeline_Sort!$C934))</f>
        <v/>
      </c>
      <c r="E934">
        <f>IF(Pipeline_Sort!$C934="","",INDEX(Pipeline_Calc!$F$2:$F$5251,Pipeline_Sort!$C934))</f>
        <v/>
      </c>
      <c r="F934">
        <f>IF(Pipeline_Sort!$C934="","",INDEX(Pipeline_Calc!$G$2:$G$5251,Pipeline_Sort!$C934))</f>
        <v/>
      </c>
      <c r="G934">
        <f>IF(Pipeline_Sort!$C934="","",INDEX(Pipeline_Calc!$H$2:$H$5251,Pipeline_Sort!$C934))</f>
        <v/>
      </c>
      <c r="H934">
        <f>IF(Pipeline_Sort!$C934="","",INDEX(Pipeline_Calc!$I$2:$I$5251,Pipeline_Sort!$C934))</f>
        <v/>
      </c>
      <c r="I934">
        <f>IF(Pipeline_Sort!$C934="","",INDEX(Pipeline_Calc!$J$2:$J$5251,Pipeline_Sort!$C934))</f>
        <v/>
      </c>
    </row>
    <row r="935">
      <c r="A935" s="22">
        <f>IF(Pipeline_Sort!$C935="","",INDEX(Pipeline_Calc!$B$2:$B$5251,Pipeline_Sort!$C935))</f>
        <v/>
      </c>
      <c r="B935">
        <f>IF(Pipeline_Sort!$C935="","",INDEX(Pipeline_Calc!$C$2:$C$5251,Pipeline_Sort!$C935))</f>
        <v/>
      </c>
      <c r="C935">
        <f>IF(Pipeline_Sort!$C935="","",INDEX(Pipeline_Calc!$D$2:$D$5251,Pipeline_Sort!$C935))</f>
        <v/>
      </c>
      <c r="D935">
        <f>IF(Pipeline_Sort!$C935="","",INDEX(Pipeline_Calc!$E$2:$E$5251,Pipeline_Sort!$C935))</f>
        <v/>
      </c>
      <c r="E935">
        <f>IF(Pipeline_Sort!$C935="","",INDEX(Pipeline_Calc!$F$2:$F$5251,Pipeline_Sort!$C935))</f>
        <v/>
      </c>
      <c r="F935">
        <f>IF(Pipeline_Sort!$C935="","",INDEX(Pipeline_Calc!$G$2:$G$5251,Pipeline_Sort!$C935))</f>
        <v/>
      </c>
      <c r="G935">
        <f>IF(Pipeline_Sort!$C935="","",INDEX(Pipeline_Calc!$H$2:$H$5251,Pipeline_Sort!$C935))</f>
        <v/>
      </c>
      <c r="H935">
        <f>IF(Pipeline_Sort!$C935="","",INDEX(Pipeline_Calc!$I$2:$I$5251,Pipeline_Sort!$C935))</f>
        <v/>
      </c>
      <c r="I935">
        <f>IF(Pipeline_Sort!$C935="","",INDEX(Pipeline_Calc!$J$2:$J$5251,Pipeline_Sort!$C935))</f>
        <v/>
      </c>
    </row>
    <row r="936">
      <c r="A936" s="22">
        <f>IF(Pipeline_Sort!$C936="","",INDEX(Pipeline_Calc!$B$2:$B$5251,Pipeline_Sort!$C936))</f>
        <v/>
      </c>
      <c r="B936">
        <f>IF(Pipeline_Sort!$C936="","",INDEX(Pipeline_Calc!$C$2:$C$5251,Pipeline_Sort!$C936))</f>
        <v/>
      </c>
      <c r="C936">
        <f>IF(Pipeline_Sort!$C936="","",INDEX(Pipeline_Calc!$D$2:$D$5251,Pipeline_Sort!$C936))</f>
        <v/>
      </c>
      <c r="D936">
        <f>IF(Pipeline_Sort!$C936="","",INDEX(Pipeline_Calc!$E$2:$E$5251,Pipeline_Sort!$C936))</f>
        <v/>
      </c>
      <c r="E936">
        <f>IF(Pipeline_Sort!$C936="","",INDEX(Pipeline_Calc!$F$2:$F$5251,Pipeline_Sort!$C936))</f>
        <v/>
      </c>
      <c r="F936">
        <f>IF(Pipeline_Sort!$C936="","",INDEX(Pipeline_Calc!$G$2:$G$5251,Pipeline_Sort!$C936))</f>
        <v/>
      </c>
      <c r="G936">
        <f>IF(Pipeline_Sort!$C936="","",INDEX(Pipeline_Calc!$H$2:$H$5251,Pipeline_Sort!$C936))</f>
        <v/>
      </c>
      <c r="H936">
        <f>IF(Pipeline_Sort!$C936="","",INDEX(Pipeline_Calc!$I$2:$I$5251,Pipeline_Sort!$C936))</f>
        <v/>
      </c>
      <c r="I936">
        <f>IF(Pipeline_Sort!$C936="","",INDEX(Pipeline_Calc!$J$2:$J$5251,Pipeline_Sort!$C936))</f>
        <v/>
      </c>
    </row>
    <row r="937">
      <c r="A937" s="22">
        <f>IF(Pipeline_Sort!$C937="","",INDEX(Pipeline_Calc!$B$2:$B$5251,Pipeline_Sort!$C937))</f>
        <v/>
      </c>
      <c r="B937">
        <f>IF(Pipeline_Sort!$C937="","",INDEX(Pipeline_Calc!$C$2:$C$5251,Pipeline_Sort!$C937))</f>
        <v/>
      </c>
      <c r="C937">
        <f>IF(Pipeline_Sort!$C937="","",INDEX(Pipeline_Calc!$D$2:$D$5251,Pipeline_Sort!$C937))</f>
        <v/>
      </c>
      <c r="D937">
        <f>IF(Pipeline_Sort!$C937="","",INDEX(Pipeline_Calc!$E$2:$E$5251,Pipeline_Sort!$C937))</f>
        <v/>
      </c>
      <c r="E937">
        <f>IF(Pipeline_Sort!$C937="","",INDEX(Pipeline_Calc!$F$2:$F$5251,Pipeline_Sort!$C937))</f>
        <v/>
      </c>
      <c r="F937">
        <f>IF(Pipeline_Sort!$C937="","",INDEX(Pipeline_Calc!$G$2:$G$5251,Pipeline_Sort!$C937))</f>
        <v/>
      </c>
      <c r="G937">
        <f>IF(Pipeline_Sort!$C937="","",INDEX(Pipeline_Calc!$H$2:$H$5251,Pipeline_Sort!$C937))</f>
        <v/>
      </c>
      <c r="H937">
        <f>IF(Pipeline_Sort!$C937="","",INDEX(Pipeline_Calc!$I$2:$I$5251,Pipeline_Sort!$C937))</f>
        <v/>
      </c>
      <c r="I937">
        <f>IF(Pipeline_Sort!$C937="","",INDEX(Pipeline_Calc!$J$2:$J$5251,Pipeline_Sort!$C937))</f>
        <v/>
      </c>
    </row>
    <row r="938">
      <c r="A938" s="22">
        <f>IF(Pipeline_Sort!$C938="","",INDEX(Pipeline_Calc!$B$2:$B$5251,Pipeline_Sort!$C938))</f>
        <v/>
      </c>
      <c r="B938">
        <f>IF(Pipeline_Sort!$C938="","",INDEX(Pipeline_Calc!$C$2:$C$5251,Pipeline_Sort!$C938))</f>
        <v/>
      </c>
      <c r="C938">
        <f>IF(Pipeline_Sort!$C938="","",INDEX(Pipeline_Calc!$D$2:$D$5251,Pipeline_Sort!$C938))</f>
        <v/>
      </c>
      <c r="D938">
        <f>IF(Pipeline_Sort!$C938="","",INDEX(Pipeline_Calc!$E$2:$E$5251,Pipeline_Sort!$C938))</f>
        <v/>
      </c>
      <c r="E938">
        <f>IF(Pipeline_Sort!$C938="","",INDEX(Pipeline_Calc!$F$2:$F$5251,Pipeline_Sort!$C938))</f>
        <v/>
      </c>
      <c r="F938">
        <f>IF(Pipeline_Sort!$C938="","",INDEX(Pipeline_Calc!$G$2:$G$5251,Pipeline_Sort!$C938))</f>
        <v/>
      </c>
      <c r="G938">
        <f>IF(Pipeline_Sort!$C938="","",INDEX(Pipeline_Calc!$H$2:$H$5251,Pipeline_Sort!$C938))</f>
        <v/>
      </c>
      <c r="H938">
        <f>IF(Pipeline_Sort!$C938="","",INDEX(Pipeline_Calc!$I$2:$I$5251,Pipeline_Sort!$C938))</f>
        <v/>
      </c>
      <c r="I938">
        <f>IF(Pipeline_Sort!$C938="","",INDEX(Pipeline_Calc!$J$2:$J$5251,Pipeline_Sort!$C938))</f>
        <v/>
      </c>
    </row>
    <row r="939">
      <c r="A939" s="22">
        <f>IF(Pipeline_Sort!$C939="","",INDEX(Pipeline_Calc!$B$2:$B$5251,Pipeline_Sort!$C939))</f>
        <v/>
      </c>
      <c r="B939">
        <f>IF(Pipeline_Sort!$C939="","",INDEX(Pipeline_Calc!$C$2:$C$5251,Pipeline_Sort!$C939))</f>
        <v/>
      </c>
      <c r="C939">
        <f>IF(Pipeline_Sort!$C939="","",INDEX(Pipeline_Calc!$D$2:$D$5251,Pipeline_Sort!$C939))</f>
        <v/>
      </c>
      <c r="D939">
        <f>IF(Pipeline_Sort!$C939="","",INDEX(Pipeline_Calc!$E$2:$E$5251,Pipeline_Sort!$C939))</f>
        <v/>
      </c>
      <c r="E939">
        <f>IF(Pipeline_Sort!$C939="","",INDEX(Pipeline_Calc!$F$2:$F$5251,Pipeline_Sort!$C939))</f>
        <v/>
      </c>
      <c r="F939">
        <f>IF(Pipeline_Sort!$C939="","",INDEX(Pipeline_Calc!$G$2:$G$5251,Pipeline_Sort!$C939))</f>
        <v/>
      </c>
      <c r="G939">
        <f>IF(Pipeline_Sort!$C939="","",INDEX(Pipeline_Calc!$H$2:$H$5251,Pipeline_Sort!$C939))</f>
        <v/>
      </c>
      <c r="H939">
        <f>IF(Pipeline_Sort!$C939="","",INDEX(Pipeline_Calc!$I$2:$I$5251,Pipeline_Sort!$C939))</f>
        <v/>
      </c>
      <c r="I939">
        <f>IF(Pipeline_Sort!$C939="","",INDEX(Pipeline_Calc!$J$2:$J$5251,Pipeline_Sort!$C939))</f>
        <v/>
      </c>
    </row>
    <row r="940">
      <c r="A940" s="22">
        <f>IF(Pipeline_Sort!$C940="","",INDEX(Pipeline_Calc!$B$2:$B$5251,Pipeline_Sort!$C940))</f>
        <v/>
      </c>
      <c r="B940">
        <f>IF(Pipeline_Sort!$C940="","",INDEX(Pipeline_Calc!$C$2:$C$5251,Pipeline_Sort!$C940))</f>
        <v/>
      </c>
      <c r="C940">
        <f>IF(Pipeline_Sort!$C940="","",INDEX(Pipeline_Calc!$D$2:$D$5251,Pipeline_Sort!$C940))</f>
        <v/>
      </c>
      <c r="D940">
        <f>IF(Pipeline_Sort!$C940="","",INDEX(Pipeline_Calc!$E$2:$E$5251,Pipeline_Sort!$C940))</f>
        <v/>
      </c>
      <c r="E940">
        <f>IF(Pipeline_Sort!$C940="","",INDEX(Pipeline_Calc!$F$2:$F$5251,Pipeline_Sort!$C940))</f>
        <v/>
      </c>
      <c r="F940">
        <f>IF(Pipeline_Sort!$C940="","",INDEX(Pipeline_Calc!$G$2:$G$5251,Pipeline_Sort!$C940))</f>
        <v/>
      </c>
      <c r="G940">
        <f>IF(Pipeline_Sort!$C940="","",INDEX(Pipeline_Calc!$H$2:$H$5251,Pipeline_Sort!$C940))</f>
        <v/>
      </c>
      <c r="H940">
        <f>IF(Pipeline_Sort!$C940="","",INDEX(Pipeline_Calc!$I$2:$I$5251,Pipeline_Sort!$C940))</f>
        <v/>
      </c>
      <c r="I940">
        <f>IF(Pipeline_Sort!$C940="","",INDEX(Pipeline_Calc!$J$2:$J$5251,Pipeline_Sort!$C940))</f>
        <v/>
      </c>
    </row>
    <row r="941">
      <c r="A941" s="22">
        <f>IF(Pipeline_Sort!$C941="","",INDEX(Pipeline_Calc!$B$2:$B$5251,Pipeline_Sort!$C941))</f>
        <v/>
      </c>
      <c r="B941">
        <f>IF(Pipeline_Sort!$C941="","",INDEX(Pipeline_Calc!$C$2:$C$5251,Pipeline_Sort!$C941))</f>
        <v/>
      </c>
      <c r="C941">
        <f>IF(Pipeline_Sort!$C941="","",INDEX(Pipeline_Calc!$D$2:$D$5251,Pipeline_Sort!$C941))</f>
        <v/>
      </c>
      <c r="D941">
        <f>IF(Pipeline_Sort!$C941="","",INDEX(Pipeline_Calc!$E$2:$E$5251,Pipeline_Sort!$C941))</f>
        <v/>
      </c>
      <c r="E941">
        <f>IF(Pipeline_Sort!$C941="","",INDEX(Pipeline_Calc!$F$2:$F$5251,Pipeline_Sort!$C941))</f>
        <v/>
      </c>
      <c r="F941">
        <f>IF(Pipeline_Sort!$C941="","",INDEX(Pipeline_Calc!$G$2:$G$5251,Pipeline_Sort!$C941))</f>
        <v/>
      </c>
      <c r="G941">
        <f>IF(Pipeline_Sort!$C941="","",INDEX(Pipeline_Calc!$H$2:$H$5251,Pipeline_Sort!$C941))</f>
        <v/>
      </c>
      <c r="H941">
        <f>IF(Pipeline_Sort!$C941="","",INDEX(Pipeline_Calc!$I$2:$I$5251,Pipeline_Sort!$C941))</f>
        <v/>
      </c>
      <c r="I941">
        <f>IF(Pipeline_Sort!$C941="","",INDEX(Pipeline_Calc!$J$2:$J$5251,Pipeline_Sort!$C941))</f>
        <v/>
      </c>
    </row>
    <row r="942">
      <c r="A942" s="22">
        <f>IF(Pipeline_Sort!$C942="","",INDEX(Pipeline_Calc!$B$2:$B$5251,Pipeline_Sort!$C942))</f>
        <v/>
      </c>
      <c r="B942">
        <f>IF(Pipeline_Sort!$C942="","",INDEX(Pipeline_Calc!$C$2:$C$5251,Pipeline_Sort!$C942))</f>
        <v/>
      </c>
      <c r="C942">
        <f>IF(Pipeline_Sort!$C942="","",INDEX(Pipeline_Calc!$D$2:$D$5251,Pipeline_Sort!$C942))</f>
        <v/>
      </c>
      <c r="D942">
        <f>IF(Pipeline_Sort!$C942="","",INDEX(Pipeline_Calc!$E$2:$E$5251,Pipeline_Sort!$C942))</f>
        <v/>
      </c>
      <c r="E942">
        <f>IF(Pipeline_Sort!$C942="","",INDEX(Pipeline_Calc!$F$2:$F$5251,Pipeline_Sort!$C942))</f>
        <v/>
      </c>
      <c r="F942">
        <f>IF(Pipeline_Sort!$C942="","",INDEX(Pipeline_Calc!$G$2:$G$5251,Pipeline_Sort!$C942))</f>
        <v/>
      </c>
      <c r="G942">
        <f>IF(Pipeline_Sort!$C942="","",INDEX(Pipeline_Calc!$H$2:$H$5251,Pipeline_Sort!$C942))</f>
        <v/>
      </c>
      <c r="H942">
        <f>IF(Pipeline_Sort!$C942="","",INDEX(Pipeline_Calc!$I$2:$I$5251,Pipeline_Sort!$C942))</f>
        <v/>
      </c>
      <c r="I942">
        <f>IF(Pipeline_Sort!$C942="","",INDEX(Pipeline_Calc!$J$2:$J$5251,Pipeline_Sort!$C942))</f>
        <v/>
      </c>
    </row>
    <row r="943">
      <c r="A943" s="22">
        <f>IF(Pipeline_Sort!$C943="","",INDEX(Pipeline_Calc!$B$2:$B$5251,Pipeline_Sort!$C943))</f>
        <v/>
      </c>
      <c r="B943">
        <f>IF(Pipeline_Sort!$C943="","",INDEX(Pipeline_Calc!$C$2:$C$5251,Pipeline_Sort!$C943))</f>
        <v/>
      </c>
      <c r="C943">
        <f>IF(Pipeline_Sort!$C943="","",INDEX(Pipeline_Calc!$D$2:$D$5251,Pipeline_Sort!$C943))</f>
        <v/>
      </c>
      <c r="D943">
        <f>IF(Pipeline_Sort!$C943="","",INDEX(Pipeline_Calc!$E$2:$E$5251,Pipeline_Sort!$C943))</f>
        <v/>
      </c>
      <c r="E943">
        <f>IF(Pipeline_Sort!$C943="","",INDEX(Pipeline_Calc!$F$2:$F$5251,Pipeline_Sort!$C943))</f>
        <v/>
      </c>
      <c r="F943">
        <f>IF(Pipeline_Sort!$C943="","",INDEX(Pipeline_Calc!$G$2:$G$5251,Pipeline_Sort!$C943))</f>
        <v/>
      </c>
      <c r="G943">
        <f>IF(Pipeline_Sort!$C943="","",INDEX(Pipeline_Calc!$H$2:$H$5251,Pipeline_Sort!$C943))</f>
        <v/>
      </c>
      <c r="H943">
        <f>IF(Pipeline_Sort!$C943="","",INDEX(Pipeline_Calc!$I$2:$I$5251,Pipeline_Sort!$C943))</f>
        <v/>
      </c>
      <c r="I943">
        <f>IF(Pipeline_Sort!$C943="","",INDEX(Pipeline_Calc!$J$2:$J$5251,Pipeline_Sort!$C943))</f>
        <v/>
      </c>
    </row>
    <row r="944">
      <c r="A944" s="22">
        <f>IF(Pipeline_Sort!$C944="","",INDEX(Pipeline_Calc!$B$2:$B$5251,Pipeline_Sort!$C944))</f>
        <v/>
      </c>
      <c r="B944">
        <f>IF(Pipeline_Sort!$C944="","",INDEX(Pipeline_Calc!$C$2:$C$5251,Pipeline_Sort!$C944))</f>
        <v/>
      </c>
      <c r="C944">
        <f>IF(Pipeline_Sort!$C944="","",INDEX(Pipeline_Calc!$D$2:$D$5251,Pipeline_Sort!$C944))</f>
        <v/>
      </c>
      <c r="D944">
        <f>IF(Pipeline_Sort!$C944="","",INDEX(Pipeline_Calc!$E$2:$E$5251,Pipeline_Sort!$C944))</f>
        <v/>
      </c>
      <c r="E944">
        <f>IF(Pipeline_Sort!$C944="","",INDEX(Pipeline_Calc!$F$2:$F$5251,Pipeline_Sort!$C944))</f>
        <v/>
      </c>
      <c r="F944">
        <f>IF(Pipeline_Sort!$C944="","",INDEX(Pipeline_Calc!$G$2:$G$5251,Pipeline_Sort!$C944))</f>
        <v/>
      </c>
      <c r="G944">
        <f>IF(Pipeline_Sort!$C944="","",INDEX(Pipeline_Calc!$H$2:$H$5251,Pipeline_Sort!$C944))</f>
        <v/>
      </c>
      <c r="H944">
        <f>IF(Pipeline_Sort!$C944="","",INDEX(Pipeline_Calc!$I$2:$I$5251,Pipeline_Sort!$C944))</f>
        <v/>
      </c>
      <c r="I944">
        <f>IF(Pipeline_Sort!$C944="","",INDEX(Pipeline_Calc!$J$2:$J$5251,Pipeline_Sort!$C944))</f>
        <v/>
      </c>
    </row>
    <row r="945">
      <c r="A945" s="22">
        <f>IF(Pipeline_Sort!$C945="","",INDEX(Pipeline_Calc!$B$2:$B$5251,Pipeline_Sort!$C945))</f>
        <v/>
      </c>
      <c r="B945">
        <f>IF(Pipeline_Sort!$C945="","",INDEX(Pipeline_Calc!$C$2:$C$5251,Pipeline_Sort!$C945))</f>
        <v/>
      </c>
      <c r="C945">
        <f>IF(Pipeline_Sort!$C945="","",INDEX(Pipeline_Calc!$D$2:$D$5251,Pipeline_Sort!$C945))</f>
        <v/>
      </c>
      <c r="D945">
        <f>IF(Pipeline_Sort!$C945="","",INDEX(Pipeline_Calc!$E$2:$E$5251,Pipeline_Sort!$C945))</f>
        <v/>
      </c>
      <c r="E945">
        <f>IF(Pipeline_Sort!$C945="","",INDEX(Pipeline_Calc!$F$2:$F$5251,Pipeline_Sort!$C945))</f>
        <v/>
      </c>
      <c r="F945">
        <f>IF(Pipeline_Sort!$C945="","",INDEX(Pipeline_Calc!$G$2:$G$5251,Pipeline_Sort!$C945))</f>
        <v/>
      </c>
      <c r="G945">
        <f>IF(Pipeline_Sort!$C945="","",INDEX(Pipeline_Calc!$H$2:$H$5251,Pipeline_Sort!$C945))</f>
        <v/>
      </c>
      <c r="H945">
        <f>IF(Pipeline_Sort!$C945="","",INDEX(Pipeline_Calc!$I$2:$I$5251,Pipeline_Sort!$C945))</f>
        <v/>
      </c>
      <c r="I945">
        <f>IF(Pipeline_Sort!$C945="","",INDEX(Pipeline_Calc!$J$2:$J$5251,Pipeline_Sort!$C945))</f>
        <v/>
      </c>
    </row>
    <row r="946">
      <c r="A946" s="22">
        <f>IF(Pipeline_Sort!$C946="","",INDEX(Pipeline_Calc!$B$2:$B$5251,Pipeline_Sort!$C946))</f>
        <v/>
      </c>
      <c r="B946">
        <f>IF(Pipeline_Sort!$C946="","",INDEX(Pipeline_Calc!$C$2:$C$5251,Pipeline_Sort!$C946))</f>
        <v/>
      </c>
      <c r="C946">
        <f>IF(Pipeline_Sort!$C946="","",INDEX(Pipeline_Calc!$D$2:$D$5251,Pipeline_Sort!$C946))</f>
        <v/>
      </c>
      <c r="D946">
        <f>IF(Pipeline_Sort!$C946="","",INDEX(Pipeline_Calc!$E$2:$E$5251,Pipeline_Sort!$C946))</f>
        <v/>
      </c>
      <c r="E946">
        <f>IF(Pipeline_Sort!$C946="","",INDEX(Pipeline_Calc!$F$2:$F$5251,Pipeline_Sort!$C946))</f>
        <v/>
      </c>
      <c r="F946">
        <f>IF(Pipeline_Sort!$C946="","",INDEX(Pipeline_Calc!$G$2:$G$5251,Pipeline_Sort!$C946))</f>
        <v/>
      </c>
      <c r="G946">
        <f>IF(Pipeline_Sort!$C946="","",INDEX(Pipeline_Calc!$H$2:$H$5251,Pipeline_Sort!$C946))</f>
        <v/>
      </c>
      <c r="H946">
        <f>IF(Pipeline_Sort!$C946="","",INDEX(Pipeline_Calc!$I$2:$I$5251,Pipeline_Sort!$C946))</f>
        <v/>
      </c>
      <c r="I946">
        <f>IF(Pipeline_Sort!$C946="","",INDEX(Pipeline_Calc!$J$2:$J$5251,Pipeline_Sort!$C946))</f>
        <v/>
      </c>
    </row>
    <row r="947">
      <c r="A947" s="22">
        <f>IF(Pipeline_Sort!$C947="","",INDEX(Pipeline_Calc!$B$2:$B$5251,Pipeline_Sort!$C947))</f>
        <v/>
      </c>
      <c r="B947">
        <f>IF(Pipeline_Sort!$C947="","",INDEX(Pipeline_Calc!$C$2:$C$5251,Pipeline_Sort!$C947))</f>
        <v/>
      </c>
      <c r="C947">
        <f>IF(Pipeline_Sort!$C947="","",INDEX(Pipeline_Calc!$D$2:$D$5251,Pipeline_Sort!$C947))</f>
        <v/>
      </c>
      <c r="D947">
        <f>IF(Pipeline_Sort!$C947="","",INDEX(Pipeline_Calc!$E$2:$E$5251,Pipeline_Sort!$C947))</f>
        <v/>
      </c>
      <c r="E947">
        <f>IF(Pipeline_Sort!$C947="","",INDEX(Pipeline_Calc!$F$2:$F$5251,Pipeline_Sort!$C947))</f>
        <v/>
      </c>
      <c r="F947">
        <f>IF(Pipeline_Sort!$C947="","",INDEX(Pipeline_Calc!$G$2:$G$5251,Pipeline_Sort!$C947))</f>
        <v/>
      </c>
      <c r="G947">
        <f>IF(Pipeline_Sort!$C947="","",INDEX(Pipeline_Calc!$H$2:$H$5251,Pipeline_Sort!$C947))</f>
        <v/>
      </c>
      <c r="H947">
        <f>IF(Pipeline_Sort!$C947="","",INDEX(Pipeline_Calc!$I$2:$I$5251,Pipeline_Sort!$C947))</f>
        <v/>
      </c>
      <c r="I947">
        <f>IF(Pipeline_Sort!$C947="","",INDEX(Pipeline_Calc!$J$2:$J$5251,Pipeline_Sort!$C947))</f>
        <v/>
      </c>
    </row>
    <row r="948">
      <c r="A948" s="22">
        <f>IF(Pipeline_Sort!$C948="","",INDEX(Pipeline_Calc!$B$2:$B$5251,Pipeline_Sort!$C948))</f>
        <v/>
      </c>
      <c r="B948">
        <f>IF(Pipeline_Sort!$C948="","",INDEX(Pipeline_Calc!$C$2:$C$5251,Pipeline_Sort!$C948))</f>
        <v/>
      </c>
      <c r="C948">
        <f>IF(Pipeline_Sort!$C948="","",INDEX(Pipeline_Calc!$D$2:$D$5251,Pipeline_Sort!$C948))</f>
        <v/>
      </c>
      <c r="D948">
        <f>IF(Pipeline_Sort!$C948="","",INDEX(Pipeline_Calc!$E$2:$E$5251,Pipeline_Sort!$C948))</f>
        <v/>
      </c>
      <c r="E948">
        <f>IF(Pipeline_Sort!$C948="","",INDEX(Pipeline_Calc!$F$2:$F$5251,Pipeline_Sort!$C948))</f>
        <v/>
      </c>
      <c r="F948">
        <f>IF(Pipeline_Sort!$C948="","",INDEX(Pipeline_Calc!$G$2:$G$5251,Pipeline_Sort!$C948))</f>
        <v/>
      </c>
      <c r="G948">
        <f>IF(Pipeline_Sort!$C948="","",INDEX(Pipeline_Calc!$H$2:$H$5251,Pipeline_Sort!$C948))</f>
        <v/>
      </c>
      <c r="H948">
        <f>IF(Pipeline_Sort!$C948="","",INDEX(Pipeline_Calc!$I$2:$I$5251,Pipeline_Sort!$C948))</f>
        <v/>
      </c>
      <c r="I948">
        <f>IF(Pipeline_Sort!$C948="","",INDEX(Pipeline_Calc!$J$2:$J$5251,Pipeline_Sort!$C948))</f>
        <v/>
      </c>
    </row>
    <row r="949">
      <c r="A949" s="22">
        <f>IF(Pipeline_Sort!$C949="","",INDEX(Pipeline_Calc!$B$2:$B$5251,Pipeline_Sort!$C949))</f>
        <v/>
      </c>
      <c r="B949">
        <f>IF(Pipeline_Sort!$C949="","",INDEX(Pipeline_Calc!$C$2:$C$5251,Pipeline_Sort!$C949))</f>
        <v/>
      </c>
      <c r="C949">
        <f>IF(Pipeline_Sort!$C949="","",INDEX(Pipeline_Calc!$D$2:$D$5251,Pipeline_Sort!$C949))</f>
        <v/>
      </c>
      <c r="D949">
        <f>IF(Pipeline_Sort!$C949="","",INDEX(Pipeline_Calc!$E$2:$E$5251,Pipeline_Sort!$C949))</f>
        <v/>
      </c>
      <c r="E949">
        <f>IF(Pipeline_Sort!$C949="","",INDEX(Pipeline_Calc!$F$2:$F$5251,Pipeline_Sort!$C949))</f>
        <v/>
      </c>
      <c r="F949">
        <f>IF(Pipeline_Sort!$C949="","",INDEX(Pipeline_Calc!$G$2:$G$5251,Pipeline_Sort!$C949))</f>
        <v/>
      </c>
      <c r="G949">
        <f>IF(Pipeline_Sort!$C949="","",INDEX(Pipeline_Calc!$H$2:$H$5251,Pipeline_Sort!$C949))</f>
        <v/>
      </c>
      <c r="H949">
        <f>IF(Pipeline_Sort!$C949="","",INDEX(Pipeline_Calc!$I$2:$I$5251,Pipeline_Sort!$C949))</f>
        <v/>
      </c>
      <c r="I949">
        <f>IF(Pipeline_Sort!$C949="","",INDEX(Pipeline_Calc!$J$2:$J$5251,Pipeline_Sort!$C949))</f>
        <v/>
      </c>
    </row>
    <row r="950">
      <c r="A950" s="22">
        <f>IF(Pipeline_Sort!$C950="","",INDEX(Pipeline_Calc!$B$2:$B$5251,Pipeline_Sort!$C950))</f>
        <v/>
      </c>
      <c r="B950">
        <f>IF(Pipeline_Sort!$C950="","",INDEX(Pipeline_Calc!$C$2:$C$5251,Pipeline_Sort!$C950))</f>
        <v/>
      </c>
      <c r="C950">
        <f>IF(Pipeline_Sort!$C950="","",INDEX(Pipeline_Calc!$D$2:$D$5251,Pipeline_Sort!$C950))</f>
        <v/>
      </c>
      <c r="D950">
        <f>IF(Pipeline_Sort!$C950="","",INDEX(Pipeline_Calc!$E$2:$E$5251,Pipeline_Sort!$C950))</f>
        <v/>
      </c>
      <c r="E950">
        <f>IF(Pipeline_Sort!$C950="","",INDEX(Pipeline_Calc!$F$2:$F$5251,Pipeline_Sort!$C950))</f>
        <v/>
      </c>
      <c r="F950">
        <f>IF(Pipeline_Sort!$C950="","",INDEX(Pipeline_Calc!$G$2:$G$5251,Pipeline_Sort!$C950))</f>
        <v/>
      </c>
      <c r="G950">
        <f>IF(Pipeline_Sort!$C950="","",INDEX(Pipeline_Calc!$H$2:$H$5251,Pipeline_Sort!$C950))</f>
        <v/>
      </c>
      <c r="H950">
        <f>IF(Pipeline_Sort!$C950="","",INDEX(Pipeline_Calc!$I$2:$I$5251,Pipeline_Sort!$C950))</f>
        <v/>
      </c>
      <c r="I950">
        <f>IF(Pipeline_Sort!$C950="","",INDEX(Pipeline_Calc!$J$2:$J$5251,Pipeline_Sort!$C950))</f>
        <v/>
      </c>
    </row>
    <row r="951">
      <c r="A951" s="22">
        <f>IF(Pipeline_Sort!$C951="","",INDEX(Pipeline_Calc!$B$2:$B$5251,Pipeline_Sort!$C951))</f>
        <v/>
      </c>
      <c r="B951">
        <f>IF(Pipeline_Sort!$C951="","",INDEX(Pipeline_Calc!$C$2:$C$5251,Pipeline_Sort!$C951))</f>
        <v/>
      </c>
      <c r="C951">
        <f>IF(Pipeline_Sort!$C951="","",INDEX(Pipeline_Calc!$D$2:$D$5251,Pipeline_Sort!$C951))</f>
        <v/>
      </c>
      <c r="D951">
        <f>IF(Pipeline_Sort!$C951="","",INDEX(Pipeline_Calc!$E$2:$E$5251,Pipeline_Sort!$C951))</f>
        <v/>
      </c>
      <c r="E951">
        <f>IF(Pipeline_Sort!$C951="","",INDEX(Pipeline_Calc!$F$2:$F$5251,Pipeline_Sort!$C951))</f>
        <v/>
      </c>
      <c r="F951">
        <f>IF(Pipeline_Sort!$C951="","",INDEX(Pipeline_Calc!$G$2:$G$5251,Pipeline_Sort!$C951))</f>
        <v/>
      </c>
      <c r="G951">
        <f>IF(Pipeline_Sort!$C951="","",INDEX(Pipeline_Calc!$H$2:$H$5251,Pipeline_Sort!$C951))</f>
        <v/>
      </c>
      <c r="H951">
        <f>IF(Pipeline_Sort!$C951="","",INDEX(Pipeline_Calc!$I$2:$I$5251,Pipeline_Sort!$C951))</f>
        <v/>
      </c>
      <c r="I951">
        <f>IF(Pipeline_Sort!$C951="","",INDEX(Pipeline_Calc!$J$2:$J$5251,Pipeline_Sort!$C951))</f>
        <v/>
      </c>
    </row>
    <row r="952">
      <c r="A952" s="22">
        <f>IF(Pipeline_Sort!$C952="","",INDEX(Pipeline_Calc!$B$2:$B$5251,Pipeline_Sort!$C952))</f>
        <v/>
      </c>
      <c r="B952">
        <f>IF(Pipeline_Sort!$C952="","",INDEX(Pipeline_Calc!$C$2:$C$5251,Pipeline_Sort!$C952))</f>
        <v/>
      </c>
      <c r="C952">
        <f>IF(Pipeline_Sort!$C952="","",INDEX(Pipeline_Calc!$D$2:$D$5251,Pipeline_Sort!$C952))</f>
        <v/>
      </c>
      <c r="D952">
        <f>IF(Pipeline_Sort!$C952="","",INDEX(Pipeline_Calc!$E$2:$E$5251,Pipeline_Sort!$C952))</f>
        <v/>
      </c>
      <c r="E952">
        <f>IF(Pipeline_Sort!$C952="","",INDEX(Pipeline_Calc!$F$2:$F$5251,Pipeline_Sort!$C952))</f>
        <v/>
      </c>
      <c r="F952">
        <f>IF(Pipeline_Sort!$C952="","",INDEX(Pipeline_Calc!$G$2:$G$5251,Pipeline_Sort!$C952))</f>
        <v/>
      </c>
      <c r="G952">
        <f>IF(Pipeline_Sort!$C952="","",INDEX(Pipeline_Calc!$H$2:$H$5251,Pipeline_Sort!$C952))</f>
        <v/>
      </c>
      <c r="H952">
        <f>IF(Pipeline_Sort!$C952="","",INDEX(Pipeline_Calc!$I$2:$I$5251,Pipeline_Sort!$C952))</f>
        <v/>
      </c>
      <c r="I952">
        <f>IF(Pipeline_Sort!$C952="","",INDEX(Pipeline_Calc!$J$2:$J$5251,Pipeline_Sort!$C952))</f>
        <v/>
      </c>
    </row>
    <row r="953">
      <c r="A953" s="22">
        <f>IF(Pipeline_Sort!$C953="","",INDEX(Pipeline_Calc!$B$2:$B$5251,Pipeline_Sort!$C953))</f>
        <v/>
      </c>
      <c r="B953">
        <f>IF(Pipeline_Sort!$C953="","",INDEX(Pipeline_Calc!$C$2:$C$5251,Pipeline_Sort!$C953))</f>
        <v/>
      </c>
      <c r="C953">
        <f>IF(Pipeline_Sort!$C953="","",INDEX(Pipeline_Calc!$D$2:$D$5251,Pipeline_Sort!$C953))</f>
        <v/>
      </c>
      <c r="D953">
        <f>IF(Pipeline_Sort!$C953="","",INDEX(Pipeline_Calc!$E$2:$E$5251,Pipeline_Sort!$C953))</f>
        <v/>
      </c>
      <c r="E953">
        <f>IF(Pipeline_Sort!$C953="","",INDEX(Pipeline_Calc!$F$2:$F$5251,Pipeline_Sort!$C953))</f>
        <v/>
      </c>
      <c r="F953">
        <f>IF(Pipeline_Sort!$C953="","",INDEX(Pipeline_Calc!$G$2:$G$5251,Pipeline_Sort!$C953))</f>
        <v/>
      </c>
      <c r="G953">
        <f>IF(Pipeline_Sort!$C953="","",INDEX(Pipeline_Calc!$H$2:$H$5251,Pipeline_Sort!$C953))</f>
        <v/>
      </c>
      <c r="H953">
        <f>IF(Pipeline_Sort!$C953="","",INDEX(Pipeline_Calc!$I$2:$I$5251,Pipeline_Sort!$C953))</f>
        <v/>
      </c>
      <c r="I953">
        <f>IF(Pipeline_Sort!$C953="","",INDEX(Pipeline_Calc!$J$2:$J$5251,Pipeline_Sort!$C953))</f>
        <v/>
      </c>
    </row>
    <row r="954">
      <c r="A954" s="22">
        <f>IF(Pipeline_Sort!$C954="","",INDEX(Pipeline_Calc!$B$2:$B$5251,Pipeline_Sort!$C954))</f>
        <v/>
      </c>
      <c r="B954">
        <f>IF(Pipeline_Sort!$C954="","",INDEX(Pipeline_Calc!$C$2:$C$5251,Pipeline_Sort!$C954))</f>
        <v/>
      </c>
      <c r="C954">
        <f>IF(Pipeline_Sort!$C954="","",INDEX(Pipeline_Calc!$D$2:$D$5251,Pipeline_Sort!$C954))</f>
        <v/>
      </c>
      <c r="D954">
        <f>IF(Pipeline_Sort!$C954="","",INDEX(Pipeline_Calc!$E$2:$E$5251,Pipeline_Sort!$C954))</f>
        <v/>
      </c>
      <c r="E954">
        <f>IF(Pipeline_Sort!$C954="","",INDEX(Pipeline_Calc!$F$2:$F$5251,Pipeline_Sort!$C954))</f>
        <v/>
      </c>
      <c r="F954">
        <f>IF(Pipeline_Sort!$C954="","",INDEX(Pipeline_Calc!$G$2:$G$5251,Pipeline_Sort!$C954))</f>
        <v/>
      </c>
      <c r="G954">
        <f>IF(Pipeline_Sort!$C954="","",INDEX(Pipeline_Calc!$H$2:$H$5251,Pipeline_Sort!$C954))</f>
        <v/>
      </c>
      <c r="H954">
        <f>IF(Pipeline_Sort!$C954="","",INDEX(Pipeline_Calc!$I$2:$I$5251,Pipeline_Sort!$C954))</f>
        <v/>
      </c>
      <c r="I954">
        <f>IF(Pipeline_Sort!$C954="","",INDEX(Pipeline_Calc!$J$2:$J$5251,Pipeline_Sort!$C954))</f>
        <v/>
      </c>
    </row>
    <row r="955">
      <c r="A955" s="22">
        <f>IF(Pipeline_Sort!$C955="","",INDEX(Pipeline_Calc!$B$2:$B$5251,Pipeline_Sort!$C955))</f>
        <v/>
      </c>
      <c r="B955">
        <f>IF(Pipeline_Sort!$C955="","",INDEX(Pipeline_Calc!$C$2:$C$5251,Pipeline_Sort!$C955))</f>
        <v/>
      </c>
      <c r="C955">
        <f>IF(Pipeline_Sort!$C955="","",INDEX(Pipeline_Calc!$D$2:$D$5251,Pipeline_Sort!$C955))</f>
        <v/>
      </c>
      <c r="D955">
        <f>IF(Pipeline_Sort!$C955="","",INDEX(Pipeline_Calc!$E$2:$E$5251,Pipeline_Sort!$C955))</f>
        <v/>
      </c>
      <c r="E955">
        <f>IF(Pipeline_Sort!$C955="","",INDEX(Pipeline_Calc!$F$2:$F$5251,Pipeline_Sort!$C955))</f>
        <v/>
      </c>
      <c r="F955">
        <f>IF(Pipeline_Sort!$C955="","",INDEX(Pipeline_Calc!$G$2:$G$5251,Pipeline_Sort!$C955))</f>
        <v/>
      </c>
      <c r="G955">
        <f>IF(Pipeline_Sort!$C955="","",INDEX(Pipeline_Calc!$H$2:$H$5251,Pipeline_Sort!$C955))</f>
        <v/>
      </c>
      <c r="H955">
        <f>IF(Pipeline_Sort!$C955="","",INDEX(Pipeline_Calc!$I$2:$I$5251,Pipeline_Sort!$C955))</f>
        <v/>
      </c>
      <c r="I955">
        <f>IF(Pipeline_Sort!$C955="","",INDEX(Pipeline_Calc!$J$2:$J$5251,Pipeline_Sort!$C955))</f>
        <v/>
      </c>
    </row>
    <row r="956">
      <c r="A956" s="22">
        <f>IF(Pipeline_Sort!$C956="","",INDEX(Pipeline_Calc!$B$2:$B$5251,Pipeline_Sort!$C956))</f>
        <v/>
      </c>
      <c r="B956">
        <f>IF(Pipeline_Sort!$C956="","",INDEX(Pipeline_Calc!$C$2:$C$5251,Pipeline_Sort!$C956))</f>
        <v/>
      </c>
      <c r="C956">
        <f>IF(Pipeline_Sort!$C956="","",INDEX(Pipeline_Calc!$D$2:$D$5251,Pipeline_Sort!$C956))</f>
        <v/>
      </c>
      <c r="D956">
        <f>IF(Pipeline_Sort!$C956="","",INDEX(Pipeline_Calc!$E$2:$E$5251,Pipeline_Sort!$C956))</f>
        <v/>
      </c>
      <c r="E956">
        <f>IF(Pipeline_Sort!$C956="","",INDEX(Pipeline_Calc!$F$2:$F$5251,Pipeline_Sort!$C956))</f>
        <v/>
      </c>
      <c r="F956">
        <f>IF(Pipeline_Sort!$C956="","",INDEX(Pipeline_Calc!$G$2:$G$5251,Pipeline_Sort!$C956))</f>
        <v/>
      </c>
      <c r="G956">
        <f>IF(Pipeline_Sort!$C956="","",INDEX(Pipeline_Calc!$H$2:$H$5251,Pipeline_Sort!$C956))</f>
        <v/>
      </c>
      <c r="H956">
        <f>IF(Pipeline_Sort!$C956="","",INDEX(Pipeline_Calc!$I$2:$I$5251,Pipeline_Sort!$C956))</f>
        <v/>
      </c>
      <c r="I956">
        <f>IF(Pipeline_Sort!$C956="","",INDEX(Pipeline_Calc!$J$2:$J$5251,Pipeline_Sort!$C956))</f>
        <v/>
      </c>
    </row>
    <row r="957">
      <c r="A957" s="22">
        <f>IF(Pipeline_Sort!$C957="","",INDEX(Pipeline_Calc!$B$2:$B$5251,Pipeline_Sort!$C957))</f>
        <v/>
      </c>
      <c r="B957">
        <f>IF(Pipeline_Sort!$C957="","",INDEX(Pipeline_Calc!$C$2:$C$5251,Pipeline_Sort!$C957))</f>
        <v/>
      </c>
      <c r="C957">
        <f>IF(Pipeline_Sort!$C957="","",INDEX(Pipeline_Calc!$D$2:$D$5251,Pipeline_Sort!$C957))</f>
        <v/>
      </c>
      <c r="D957">
        <f>IF(Pipeline_Sort!$C957="","",INDEX(Pipeline_Calc!$E$2:$E$5251,Pipeline_Sort!$C957))</f>
        <v/>
      </c>
      <c r="E957">
        <f>IF(Pipeline_Sort!$C957="","",INDEX(Pipeline_Calc!$F$2:$F$5251,Pipeline_Sort!$C957))</f>
        <v/>
      </c>
      <c r="F957">
        <f>IF(Pipeline_Sort!$C957="","",INDEX(Pipeline_Calc!$G$2:$G$5251,Pipeline_Sort!$C957))</f>
        <v/>
      </c>
      <c r="G957">
        <f>IF(Pipeline_Sort!$C957="","",INDEX(Pipeline_Calc!$H$2:$H$5251,Pipeline_Sort!$C957))</f>
        <v/>
      </c>
      <c r="H957">
        <f>IF(Pipeline_Sort!$C957="","",INDEX(Pipeline_Calc!$I$2:$I$5251,Pipeline_Sort!$C957))</f>
        <v/>
      </c>
      <c r="I957">
        <f>IF(Pipeline_Sort!$C957="","",INDEX(Pipeline_Calc!$J$2:$J$5251,Pipeline_Sort!$C957))</f>
        <v/>
      </c>
    </row>
    <row r="958">
      <c r="A958" s="22">
        <f>IF(Pipeline_Sort!$C958="","",INDEX(Pipeline_Calc!$B$2:$B$5251,Pipeline_Sort!$C958))</f>
        <v/>
      </c>
      <c r="B958">
        <f>IF(Pipeline_Sort!$C958="","",INDEX(Pipeline_Calc!$C$2:$C$5251,Pipeline_Sort!$C958))</f>
        <v/>
      </c>
      <c r="C958">
        <f>IF(Pipeline_Sort!$C958="","",INDEX(Pipeline_Calc!$D$2:$D$5251,Pipeline_Sort!$C958))</f>
        <v/>
      </c>
      <c r="D958">
        <f>IF(Pipeline_Sort!$C958="","",INDEX(Pipeline_Calc!$E$2:$E$5251,Pipeline_Sort!$C958))</f>
        <v/>
      </c>
      <c r="E958">
        <f>IF(Pipeline_Sort!$C958="","",INDEX(Pipeline_Calc!$F$2:$F$5251,Pipeline_Sort!$C958))</f>
        <v/>
      </c>
      <c r="F958">
        <f>IF(Pipeline_Sort!$C958="","",INDEX(Pipeline_Calc!$G$2:$G$5251,Pipeline_Sort!$C958))</f>
        <v/>
      </c>
      <c r="G958">
        <f>IF(Pipeline_Sort!$C958="","",INDEX(Pipeline_Calc!$H$2:$H$5251,Pipeline_Sort!$C958))</f>
        <v/>
      </c>
      <c r="H958">
        <f>IF(Pipeline_Sort!$C958="","",INDEX(Pipeline_Calc!$I$2:$I$5251,Pipeline_Sort!$C958))</f>
        <v/>
      </c>
      <c r="I958">
        <f>IF(Pipeline_Sort!$C958="","",INDEX(Pipeline_Calc!$J$2:$J$5251,Pipeline_Sort!$C958))</f>
        <v/>
      </c>
    </row>
    <row r="959">
      <c r="A959" s="22">
        <f>IF(Pipeline_Sort!$C959="","",INDEX(Pipeline_Calc!$B$2:$B$5251,Pipeline_Sort!$C959))</f>
        <v/>
      </c>
      <c r="B959">
        <f>IF(Pipeline_Sort!$C959="","",INDEX(Pipeline_Calc!$C$2:$C$5251,Pipeline_Sort!$C959))</f>
        <v/>
      </c>
      <c r="C959">
        <f>IF(Pipeline_Sort!$C959="","",INDEX(Pipeline_Calc!$D$2:$D$5251,Pipeline_Sort!$C959))</f>
        <v/>
      </c>
      <c r="D959">
        <f>IF(Pipeline_Sort!$C959="","",INDEX(Pipeline_Calc!$E$2:$E$5251,Pipeline_Sort!$C959))</f>
        <v/>
      </c>
      <c r="E959">
        <f>IF(Pipeline_Sort!$C959="","",INDEX(Pipeline_Calc!$F$2:$F$5251,Pipeline_Sort!$C959))</f>
        <v/>
      </c>
      <c r="F959">
        <f>IF(Pipeline_Sort!$C959="","",INDEX(Pipeline_Calc!$G$2:$G$5251,Pipeline_Sort!$C959))</f>
        <v/>
      </c>
      <c r="G959">
        <f>IF(Pipeline_Sort!$C959="","",INDEX(Pipeline_Calc!$H$2:$H$5251,Pipeline_Sort!$C959))</f>
        <v/>
      </c>
      <c r="H959">
        <f>IF(Pipeline_Sort!$C959="","",INDEX(Pipeline_Calc!$I$2:$I$5251,Pipeline_Sort!$C959))</f>
        <v/>
      </c>
      <c r="I959">
        <f>IF(Pipeline_Sort!$C959="","",INDEX(Pipeline_Calc!$J$2:$J$5251,Pipeline_Sort!$C959))</f>
        <v/>
      </c>
    </row>
    <row r="960">
      <c r="A960" s="22">
        <f>IF(Pipeline_Sort!$C960="","",INDEX(Pipeline_Calc!$B$2:$B$5251,Pipeline_Sort!$C960))</f>
        <v/>
      </c>
      <c r="B960">
        <f>IF(Pipeline_Sort!$C960="","",INDEX(Pipeline_Calc!$C$2:$C$5251,Pipeline_Sort!$C960))</f>
        <v/>
      </c>
      <c r="C960">
        <f>IF(Pipeline_Sort!$C960="","",INDEX(Pipeline_Calc!$D$2:$D$5251,Pipeline_Sort!$C960))</f>
        <v/>
      </c>
      <c r="D960">
        <f>IF(Pipeline_Sort!$C960="","",INDEX(Pipeline_Calc!$E$2:$E$5251,Pipeline_Sort!$C960))</f>
        <v/>
      </c>
      <c r="E960">
        <f>IF(Pipeline_Sort!$C960="","",INDEX(Pipeline_Calc!$F$2:$F$5251,Pipeline_Sort!$C960))</f>
        <v/>
      </c>
      <c r="F960">
        <f>IF(Pipeline_Sort!$C960="","",INDEX(Pipeline_Calc!$G$2:$G$5251,Pipeline_Sort!$C960))</f>
        <v/>
      </c>
      <c r="G960">
        <f>IF(Pipeline_Sort!$C960="","",INDEX(Pipeline_Calc!$H$2:$H$5251,Pipeline_Sort!$C960))</f>
        <v/>
      </c>
      <c r="H960">
        <f>IF(Pipeline_Sort!$C960="","",INDEX(Pipeline_Calc!$I$2:$I$5251,Pipeline_Sort!$C960))</f>
        <v/>
      </c>
      <c r="I960">
        <f>IF(Pipeline_Sort!$C960="","",INDEX(Pipeline_Calc!$J$2:$J$5251,Pipeline_Sort!$C960))</f>
        <v/>
      </c>
    </row>
    <row r="961">
      <c r="A961" s="22">
        <f>IF(Pipeline_Sort!$C961="","",INDEX(Pipeline_Calc!$B$2:$B$5251,Pipeline_Sort!$C961))</f>
        <v/>
      </c>
      <c r="B961">
        <f>IF(Pipeline_Sort!$C961="","",INDEX(Pipeline_Calc!$C$2:$C$5251,Pipeline_Sort!$C961))</f>
        <v/>
      </c>
      <c r="C961">
        <f>IF(Pipeline_Sort!$C961="","",INDEX(Pipeline_Calc!$D$2:$D$5251,Pipeline_Sort!$C961))</f>
        <v/>
      </c>
      <c r="D961">
        <f>IF(Pipeline_Sort!$C961="","",INDEX(Pipeline_Calc!$E$2:$E$5251,Pipeline_Sort!$C961))</f>
        <v/>
      </c>
      <c r="E961">
        <f>IF(Pipeline_Sort!$C961="","",INDEX(Pipeline_Calc!$F$2:$F$5251,Pipeline_Sort!$C961))</f>
        <v/>
      </c>
      <c r="F961">
        <f>IF(Pipeline_Sort!$C961="","",INDEX(Pipeline_Calc!$G$2:$G$5251,Pipeline_Sort!$C961))</f>
        <v/>
      </c>
      <c r="G961">
        <f>IF(Pipeline_Sort!$C961="","",INDEX(Pipeline_Calc!$H$2:$H$5251,Pipeline_Sort!$C961))</f>
        <v/>
      </c>
      <c r="H961">
        <f>IF(Pipeline_Sort!$C961="","",INDEX(Pipeline_Calc!$I$2:$I$5251,Pipeline_Sort!$C961))</f>
        <v/>
      </c>
      <c r="I961">
        <f>IF(Pipeline_Sort!$C961="","",INDEX(Pipeline_Calc!$J$2:$J$5251,Pipeline_Sort!$C961))</f>
        <v/>
      </c>
    </row>
    <row r="962">
      <c r="A962" s="22">
        <f>IF(Pipeline_Sort!$C962="","",INDEX(Pipeline_Calc!$B$2:$B$5251,Pipeline_Sort!$C962))</f>
        <v/>
      </c>
      <c r="B962">
        <f>IF(Pipeline_Sort!$C962="","",INDEX(Pipeline_Calc!$C$2:$C$5251,Pipeline_Sort!$C962))</f>
        <v/>
      </c>
      <c r="C962">
        <f>IF(Pipeline_Sort!$C962="","",INDEX(Pipeline_Calc!$D$2:$D$5251,Pipeline_Sort!$C962))</f>
        <v/>
      </c>
      <c r="D962">
        <f>IF(Pipeline_Sort!$C962="","",INDEX(Pipeline_Calc!$E$2:$E$5251,Pipeline_Sort!$C962))</f>
        <v/>
      </c>
      <c r="E962">
        <f>IF(Pipeline_Sort!$C962="","",INDEX(Pipeline_Calc!$F$2:$F$5251,Pipeline_Sort!$C962))</f>
        <v/>
      </c>
      <c r="F962">
        <f>IF(Pipeline_Sort!$C962="","",INDEX(Pipeline_Calc!$G$2:$G$5251,Pipeline_Sort!$C962))</f>
        <v/>
      </c>
      <c r="G962">
        <f>IF(Pipeline_Sort!$C962="","",INDEX(Pipeline_Calc!$H$2:$H$5251,Pipeline_Sort!$C962))</f>
        <v/>
      </c>
      <c r="H962">
        <f>IF(Pipeline_Sort!$C962="","",INDEX(Pipeline_Calc!$I$2:$I$5251,Pipeline_Sort!$C962))</f>
        <v/>
      </c>
      <c r="I962">
        <f>IF(Pipeline_Sort!$C962="","",INDEX(Pipeline_Calc!$J$2:$J$5251,Pipeline_Sort!$C962))</f>
        <v/>
      </c>
    </row>
    <row r="963">
      <c r="A963" s="22">
        <f>IF(Pipeline_Sort!$C963="","",INDEX(Pipeline_Calc!$B$2:$B$5251,Pipeline_Sort!$C963))</f>
        <v/>
      </c>
      <c r="B963">
        <f>IF(Pipeline_Sort!$C963="","",INDEX(Pipeline_Calc!$C$2:$C$5251,Pipeline_Sort!$C963))</f>
        <v/>
      </c>
      <c r="C963">
        <f>IF(Pipeline_Sort!$C963="","",INDEX(Pipeline_Calc!$D$2:$D$5251,Pipeline_Sort!$C963))</f>
        <v/>
      </c>
      <c r="D963">
        <f>IF(Pipeline_Sort!$C963="","",INDEX(Pipeline_Calc!$E$2:$E$5251,Pipeline_Sort!$C963))</f>
        <v/>
      </c>
      <c r="E963">
        <f>IF(Pipeline_Sort!$C963="","",INDEX(Pipeline_Calc!$F$2:$F$5251,Pipeline_Sort!$C963))</f>
        <v/>
      </c>
      <c r="F963">
        <f>IF(Pipeline_Sort!$C963="","",INDEX(Pipeline_Calc!$G$2:$G$5251,Pipeline_Sort!$C963))</f>
        <v/>
      </c>
      <c r="G963">
        <f>IF(Pipeline_Sort!$C963="","",INDEX(Pipeline_Calc!$H$2:$H$5251,Pipeline_Sort!$C963))</f>
        <v/>
      </c>
      <c r="H963">
        <f>IF(Pipeline_Sort!$C963="","",INDEX(Pipeline_Calc!$I$2:$I$5251,Pipeline_Sort!$C963))</f>
        <v/>
      </c>
      <c r="I963">
        <f>IF(Pipeline_Sort!$C963="","",INDEX(Pipeline_Calc!$J$2:$J$5251,Pipeline_Sort!$C963))</f>
        <v/>
      </c>
    </row>
    <row r="964">
      <c r="A964" s="22">
        <f>IF(Pipeline_Sort!$C964="","",INDEX(Pipeline_Calc!$B$2:$B$5251,Pipeline_Sort!$C964))</f>
        <v/>
      </c>
      <c r="B964">
        <f>IF(Pipeline_Sort!$C964="","",INDEX(Pipeline_Calc!$C$2:$C$5251,Pipeline_Sort!$C964))</f>
        <v/>
      </c>
      <c r="C964">
        <f>IF(Pipeline_Sort!$C964="","",INDEX(Pipeline_Calc!$D$2:$D$5251,Pipeline_Sort!$C964))</f>
        <v/>
      </c>
      <c r="D964">
        <f>IF(Pipeline_Sort!$C964="","",INDEX(Pipeline_Calc!$E$2:$E$5251,Pipeline_Sort!$C964))</f>
        <v/>
      </c>
      <c r="E964">
        <f>IF(Pipeline_Sort!$C964="","",INDEX(Pipeline_Calc!$F$2:$F$5251,Pipeline_Sort!$C964))</f>
        <v/>
      </c>
      <c r="F964">
        <f>IF(Pipeline_Sort!$C964="","",INDEX(Pipeline_Calc!$G$2:$G$5251,Pipeline_Sort!$C964))</f>
        <v/>
      </c>
      <c r="G964">
        <f>IF(Pipeline_Sort!$C964="","",INDEX(Pipeline_Calc!$H$2:$H$5251,Pipeline_Sort!$C964))</f>
        <v/>
      </c>
      <c r="H964">
        <f>IF(Pipeline_Sort!$C964="","",INDEX(Pipeline_Calc!$I$2:$I$5251,Pipeline_Sort!$C964))</f>
        <v/>
      </c>
      <c r="I964">
        <f>IF(Pipeline_Sort!$C964="","",INDEX(Pipeline_Calc!$J$2:$J$5251,Pipeline_Sort!$C964))</f>
        <v/>
      </c>
    </row>
    <row r="965">
      <c r="A965" s="22">
        <f>IF(Pipeline_Sort!$C965="","",INDEX(Pipeline_Calc!$B$2:$B$5251,Pipeline_Sort!$C965))</f>
        <v/>
      </c>
      <c r="B965">
        <f>IF(Pipeline_Sort!$C965="","",INDEX(Pipeline_Calc!$C$2:$C$5251,Pipeline_Sort!$C965))</f>
        <v/>
      </c>
      <c r="C965">
        <f>IF(Pipeline_Sort!$C965="","",INDEX(Pipeline_Calc!$D$2:$D$5251,Pipeline_Sort!$C965))</f>
        <v/>
      </c>
      <c r="D965">
        <f>IF(Pipeline_Sort!$C965="","",INDEX(Pipeline_Calc!$E$2:$E$5251,Pipeline_Sort!$C965))</f>
        <v/>
      </c>
      <c r="E965">
        <f>IF(Pipeline_Sort!$C965="","",INDEX(Pipeline_Calc!$F$2:$F$5251,Pipeline_Sort!$C965))</f>
        <v/>
      </c>
      <c r="F965">
        <f>IF(Pipeline_Sort!$C965="","",INDEX(Pipeline_Calc!$G$2:$G$5251,Pipeline_Sort!$C965))</f>
        <v/>
      </c>
      <c r="G965">
        <f>IF(Pipeline_Sort!$C965="","",INDEX(Pipeline_Calc!$H$2:$H$5251,Pipeline_Sort!$C965))</f>
        <v/>
      </c>
      <c r="H965">
        <f>IF(Pipeline_Sort!$C965="","",INDEX(Pipeline_Calc!$I$2:$I$5251,Pipeline_Sort!$C965))</f>
        <v/>
      </c>
      <c r="I965">
        <f>IF(Pipeline_Sort!$C965="","",INDEX(Pipeline_Calc!$J$2:$J$5251,Pipeline_Sort!$C965))</f>
        <v/>
      </c>
    </row>
    <row r="966">
      <c r="A966" s="22">
        <f>IF(Pipeline_Sort!$C966="","",INDEX(Pipeline_Calc!$B$2:$B$5251,Pipeline_Sort!$C966))</f>
        <v/>
      </c>
      <c r="B966">
        <f>IF(Pipeline_Sort!$C966="","",INDEX(Pipeline_Calc!$C$2:$C$5251,Pipeline_Sort!$C966))</f>
        <v/>
      </c>
      <c r="C966">
        <f>IF(Pipeline_Sort!$C966="","",INDEX(Pipeline_Calc!$D$2:$D$5251,Pipeline_Sort!$C966))</f>
        <v/>
      </c>
      <c r="D966">
        <f>IF(Pipeline_Sort!$C966="","",INDEX(Pipeline_Calc!$E$2:$E$5251,Pipeline_Sort!$C966))</f>
        <v/>
      </c>
      <c r="E966">
        <f>IF(Pipeline_Sort!$C966="","",INDEX(Pipeline_Calc!$F$2:$F$5251,Pipeline_Sort!$C966))</f>
        <v/>
      </c>
      <c r="F966">
        <f>IF(Pipeline_Sort!$C966="","",INDEX(Pipeline_Calc!$G$2:$G$5251,Pipeline_Sort!$C966))</f>
        <v/>
      </c>
      <c r="G966">
        <f>IF(Pipeline_Sort!$C966="","",INDEX(Pipeline_Calc!$H$2:$H$5251,Pipeline_Sort!$C966))</f>
        <v/>
      </c>
      <c r="H966">
        <f>IF(Pipeline_Sort!$C966="","",INDEX(Pipeline_Calc!$I$2:$I$5251,Pipeline_Sort!$C966))</f>
        <v/>
      </c>
      <c r="I966">
        <f>IF(Pipeline_Sort!$C966="","",INDEX(Pipeline_Calc!$J$2:$J$5251,Pipeline_Sort!$C966))</f>
        <v/>
      </c>
    </row>
    <row r="967">
      <c r="A967" s="22">
        <f>IF(Pipeline_Sort!$C967="","",INDEX(Pipeline_Calc!$B$2:$B$5251,Pipeline_Sort!$C967))</f>
        <v/>
      </c>
      <c r="B967">
        <f>IF(Pipeline_Sort!$C967="","",INDEX(Pipeline_Calc!$C$2:$C$5251,Pipeline_Sort!$C967))</f>
        <v/>
      </c>
      <c r="C967">
        <f>IF(Pipeline_Sort!$C967="","",INDEX(Pipeline_Calc!$D$2:$D$5251,Pipeline_Sort!$C967))</f>
        <v/>
      </c>
      <c r="D967">
        <f>IF(Pipeline_Sort!$C967="","",INDEX(Pipeline_Calc!$E$2:$E$5251,Pipeline_Sort!$C967))</f>
        <v/>
      </c>
      <c r="E967">
        <f>IF(Pipeline_Sort!$C967="","",INDEX(Pipeline_Calc!$F$2:$F$5251,Pipeline_Sort!$C967))</f>
        <v/>
      </c>
      <c r="F967">
        <f>IF(Pipeline_Sort!$C967="","",INDEX(Pipeline_Calc!$G$2:$G$5251,Pipeline_Sort!$C967))</f>
        <v/>
      </c>
      <c r="G967">
        <f>IF(Pipeline_Sort!$C967="","",INDEX(Pipeline_Calc!$H$2:$H$5251,Pipeline_Sort!$C967))</f>
        <v/>
      </c>
      <c r="H967">
        <f>IF(Pipeline_Sort!$C967="","",INDEX(Pipeline_Calc!$I$2:$I$5251,Pipeline_Sort!$C967))</f>
        <v/>
      </c>
      <c r="I967">
        <f>IF(Pipeline_Sort!$C967="","",INDEX(Pipeline_Calc!$J$2:$J$5251,Pipeline_Sort!$C967))</f>
        <v/>
      </c>
    </row>
    <row r="968">
      <c r="A968" s="22">
        <f>IF(Pipeline_Sort!$C968="","",INDEX(Pipeline_Calc!$B$2:$B$5251,Pipeline_Sort!$C968))</f>
        <v/>
      </c>
      <c r="B968">
        <f>IF(Pipeline_Sort!$C968="","",INDEX(Pipeline_Calc!$C$2:$C$5251,Pipeline_Sort!$C968))</f>
        <v/>
      </c>
      <c r="C968">
        <f>IF(Pipeline_Sort!$C968="","",INDEX(Pipeline_Calc!$D$2:$D$5251,Pipeline_Sort!$C968))</f>
        <v/>
      </c>
      <c r="D968">
        <f>IF(Pipeline_Sort!$C968="","",INDEX(Pipeline_Calc!$E$2:$E$5251,Pipeline_Sort!$C968))</f>
        <v/>
      </c>
      <c r="E968">
        <f>IF(Pipeline_Sort!$C968="","",INDEX(Pipeline_Calc!$F$2:$F$5251,Pipeline_Sort!$C968))</f>
        <v/>
      </c>
      <c r="F968">
        <f>IF(Pipeline_Sort!$C968="","",INDEX(Pipeline_Calc!$G$2:$G$5251,Pipeline_Sort!$C968))</f>
        <v/>
      </c>
      <c r="G968">
        <f>IF(Pipeline_Sort!$C968="","",INDEX(Pipeline_Calc!$H$2:$H$5251,Pipeline_Sort!$C968))</f>
        <v/>
      </c>
      <c r="H968">
        <f>IF(Pipeline_Sort!$C968="","",INDEX(Pipeline_Calc!$I$2:$I$5251,Pipeline_Sort!$C968))</f>
        <v/>
      </c>
      <c r="I968">
        <f>IF(Pipeline_Sort!$C968="","",INDEX(Pipeline_Calc!$J$2:$J$5251,Pipeline_Sort!$C968))</f>
        <v/>
      </c>
    </row>
    <row r="969">
      <c r="A969" s="22">
        <f>IF(Pipeline_Sort!$C969="","",INDEX(Pipeline_Calc!$B$2:$B$5251,Pipeline_Sort!$C969))</f>
        <v/>
      </c>
      <c r="B969">
        <f>IF(Pipeline_Sort!$C969="","",INDEX(Pipeline_Calc!$C$2:$C$5251,Pipeline_Sort!$C969))</f>
        <v/>
      </c>
      <c r="C969">
        <f>IF(Pipeline_Sort!$C969="","",INDEX(Pipeline_Calc!$D$2:$D$5251,Pipeline_Sort!$C969))</f>
        <v/>
      </c>
      <c r="D969">
        <f>IF(Pipeline_Sort!$C969="","",INDEX(Pipeline_Calc!$E$2:$E$5251,Pipeline_Sort!$C969))</f>
        <v/>
      </c>
      <c r="E969">
        <f>IF(Pipeline_Sort!$C969="","",INDEX(Pipeline_Calc!$F$2:$F$5251,Pipeline_Sort!$C969))</f>
        <v/>
      </c>
      <c r="F969">
        <f>IF(Pipeline_Sort!$C969="","",INDEX(Pipeline_Calc!$G$2:$G$5251,Pipeline_Sort!$C969))</f>
        <v/>
      </c>
      <c r="G969">
        <f>IF(Pipeline_Sort!$C969="","",INDEX(Pipeline_Calc!$H$2:$H$5251,Pipeline_Sort!$C969))</f>
        <v/>
      </c>
      <c r="H969">
        <f>IF(Pipeline_Sort!$C969="","",INDEX(Pipeline_Calc!$I$2:$I$5251,Pipeline_Sort!$C969))</f>
        <v/>
      </c>
      <c r="I969">
        <f>IF(Pipeline_Sort!$C969="","",INDEX(Pipeline_Calc!$J$2:$J$5251,Pipeline_Sort!$C969))</f>
        <v/>
      </c>
    </row>
    <row r="970">
      <c r="A970" s="22">
        <f>IF(Pipeline_Sort!$C970="","",INDEX(Pipeline_Calc!$B$2:$B$5251,Pipeline_Sort!$C970))</f>
        <v/>
      </c>
      <c r="B970">
        <f>IF(Pipeline_Sort!$C970="","",INDEX(Pipeline_Calc!$C$2:$C$5251,Pipeline_Sort!$C970))</f>
        <v/>
      </c>
      <c r="C970">
        <f>IF(Pipeline_Sort!$C970="","",INDEX(Pipeline_Calc!$D$2:$D$5251,Pipeline_Sort!$C970))</f>
        <v/>
      </c>
      <c r="D970">
        <f>IF(Pipeline_Sort!$C970="","",INDEX(Pipeline_Calc!$E$2:$E$5251,Pipeline_Sort!$C970))</f>
        <v/>
      </c>
      <c r="E970">
        <f>IF(Pipeline_Sort!$C970="","",INDEX(Pipeline_Calc!$F$2:$F$5251,Pipeline_Sort!$C970))</f>
        <v/>
      </c>
      <c r="F970">
        <f>IF(Pipeline_Sort!$C970="","",INDEX(Pipeline_Calc!$G$2:$G$5251,Pipeline_Sort!$C970))</f>
        <v/>
      </c>
      <c r="G970">
        <f>IF(Pipeline_Sort!$C970="","",INDEX(Pipeline_Calc!$H$2:$H$5251,Pipeline_Sort!$C970))</f>
        <v/>
      </c>
      <c r="H970">
        <f>IF(Pipeline_Sort!$C970="","",INDEX(Pipeline_Calc!$I$2:$I$5251,Pipeline_Sort!$C970))</f>
        <v/>
      </c>
      <c r="I970">
        <f>IF(Pipeline_Sort!$C970="","",INDEX(Pipeline_Calc!$J$2:$J$5251,Pipeline_Sort!$C970))</f>
        <v/>
      </c>
    </row>
    <row r="971">
      <c r="A971" s="22">
        <f>IF(Pipeline_Sort!$C971="","",INDEX(Pipeline_Calc!$B$2:$B$5251,Pipeline_Sort!$C971))</f>
        <v/>
      </c>
      <c r="B971">
        <f>IF(Pipeline_Sort!$C971="","",INDEX(Pipeline_Calc!$C$2:$C$5251,Pipeline_Sort!$C971))</f>
        <v/>
      </c>
      <c r="C971">
        <f>IF(Pipeline_Sort!$C971="","",INDEX(Pipeline_Calc!$D$2:$D$5251,Pipeline_Sort!$C971))</f>
        <v/>
      </c>
      <c r="D971">
        <f>IF(Pipeline_Sort!$C971="","",INDEX(Pipeline_Calc!$E$2:$E$5251,Pipeline_Sort!$C971))</f>
        <v/>
      </c>
      <c r="E971">
        <f>IF(Pipeline_Sort!$C971="","",INDEX(Pipeline_Calc!$F$2:$F$5251,Pipeline_Sort!$C971))</f>
        <v/>
      </c>
      <c r="F971">
        <f>IF(Pipeline_Sort!$C971="","",INDEX(Pipeline_Calc!$G$2:$G$5251,Pipeline_Sort!$C971))</f>
        <v/>
      </c>
      <c r="G971">
        <f>IF(Pipeline_Sort!$C971="","",INDEX(Pipeline_Calc!$H$2:$H$5251,Pipeline_Sort!$C971))</f>
        <v/>
      </c>
      <c r="H971">
        <f>IF(Pipeline_Sort!$C971="","",INDEX(Pipeline_Calc!$I$2:$I$5251,Pipeline_Sort!$C971))</f>
        <v/>
      </c>
      <c r="I971">
        <f>IF(Pipeline_Sort!$C971="","",INDEX(Pipeline_Calc!$J$2:$J$5251,Pipeline_Sort!$C971))</f>
        <v/>
      </c>
    </row>
    <row r="972">
      <c r="A972" s="22">
        <f>IF(Pipeline_Sort!$C972="","",INDEX(Pipeline_Calc!$B$2:$B$5251,Pipeline_Sort!$C972))</f>
        <v/>
      </c>
      <c r="B972">
        <f>IF(Pipeline_Sort!$C972="","",INDEX(Pipeline_Calc!$C$2:$C$5251,Pipeline_Sort!$C972))</f>
        <v/>
      </c>
      <c r="C972">
        <f>IF(Pipeline_Sort!$C972="","",INDEX(Pipeline_Calc!$D$2:$D$5251,Pipeline_Sort!$C972))</f>
        <v/>
      </c>
      <c r="D972">
        <f>IF(Pipeline_Sort!$C972="","",INDEX(Pipeline_Calc!$E$2:$E$5251,Pipeline_Sort!$C972))</f>
        <v/>
      </c>
      <c r="E972">
        <f>IF(Pipeline_Sort!$C972="","",INDEX(Pipeline_Calc!$F$2:$F$5251,Pipeline_Sort!$C972))</f>
        <v/>
      </c>
      <c r="F972">
        <f>IF(Pipeline_Sort!$C972="","",INDEX(Pipeline_Calc!$G$2:$G$5251,Pipeline_Sort!$C972))</f>
        <v/>
      </c>
      <c r="G972">
        <f>IF(Pipeline_Sort!$C972="","",INDEX(Pipeline_Calc!$H$2:$H$5251,Pipeline_Sort!$C972))</f>
        <v/>
      </c>
      <c r="H972">
        <f>IF(Pipeline_Sort!$C972="","",INDEX(Pipeline_Calc!$I$2:$I$5251,Pipeline_Sort!$C972))</f>
        <v/>
      </c>
      <c r="I972">
        <f>IF(Pipeline_Sort!$C972="","",INDEX(Pipeline_Calc!$J$2:$J$5251,Pipeline_Sort!$C972))</f>
        <v/>
      </c>
    </row>
    <row r="973">
      <c r="A973" s="22">
        <f>IF(Pipeline_Sort!$C973="","",INDEX(Pipeline_Calc!$B$2:$B$5251,Pipeline_Sort!$C973))</f>
        <v/>
      </c>
      <c r="B973">
        <f>IF(Pipeline_Sort!$C973="","",INDEX(Pipeline_Calc!$C$2:$C$5251,Pipeline_Sort!$C973))</f>
        <v/>
      </c>
      <c r="C973">
        <f>IF(Pipeline_Sort!$C973="","",INDEX(Pipeline_Calc!$D$2:$D$5251,Pipeline_Sort!$C973))</f>
        <v/>
      </c>
      <c r="D973">
        <f>IF(Pipeline_Sort!$C973="","",INDEX(Pipeline_Calc!$E$2:$E$5251,Pipeline_Sort!$C973))</f>
        <v/>
      </c>
      <c r="E973">
        <f>IF(Pipeline_Sort!$C973="","",INDEX(Pipeline_Calc!$F$2:$F$5251,Pipeline_Sort!$C973))</f>
        <v/>
      </c>
      <c r="F973">
        <f>IF(Pipeline_Sort!$C973="","",INDEX(Pipeline_Calc!$G$2:$G$5251,Pipeline_Sort!$C973))</f>
        <v/>
      </c>
      <c r="G973">
        <f>IF(Pipeline_Sort!$C973="","",INDEX(Pipeline_Calc!$H$2:$H$5251,Pipeline_Sort!$C973))</f>
        <v/>
      </c>
      <c r="H973">
        <f>IF(Pipeline_Sort!$C973="","",INDEX(Pipeline_Calc!$I$2:$I$5251,Pipeline_Sort!$C973))</f>
        <v/>
      </c>
      <c r="I973">
        <f>IF(Pipeline_Sort!$C973="","",INDEX(Pipeline_Calc!$J$2:$J$5251,Pipeline_Sort!$C973))</f>
        <v/>
      </c>
    </row>
    <row r="974">
      <c r="A974" s="22">
        <f>IF(Pipeline_Sort!$C974="","",INDEX(Pipeline_Calc!$B$2:$B$5251,Pipeline_Sort!$C974))</f>
        <v/>
      </c>
      <c r="B974">
        <f>IF(Pipeline_Sort!$C974="","",INDEX(Pipeline_Calc!$C$2:$C$5251,Pipeline_Sort!$C974))</f>
        <v/>
      </c>
      <c r="C974">
        <f>IF(Pipeline_Sort!$C974="","",INDEX(Pipeline_Calc!$D$2:$D$5251,Pipeline_Sort!$C974))</f>
        <v/>
      </c>
      <c r="D974">
        <f>IF(Pipeline_Sort!$C974="","",INDEX(Pipeline_Calc!$E$2:$E$5251,Pipeline_Sort!$C974))</f>
        <v/>
      </c>
      <c r="E974">
        <f>IF(Pipeline_Sort!$C974="","",INDEX(Pipeline_Calc!$F$2:$F$5251,Pipeline_Sort!$C974))</f>
        <v/>
      </c>
      <c r="F974">
        <f>IF(Pipeline_Sort!$C974="","",INDEX(Pipeline_Calc!$G$2:$G$5251,Pipeline_Sort!$C974))</f>
        <v/>
      </c>
      <c r="G974">
        <f>IF(Pipeline_Sort!$C974="","",INDEX(Pipeline_Calc!$H$2:$H$5251,Pipeline_Sort!$C974))</f>
        <v/>
      </c>
      <c r="H974">
        <f>IF(Pipeline_Sort!$C974="","",INDEX(Pipeline_Calc!$I$2:$I$5251,Pipeline_Sort!$C974))</f>
        <v/>
      </c>
      <c r="I974">
        <f>IF(Pipeline_Sort!$C974="","",INDEX(Pipeline_Calc!$J$2:$J$5251,Pipeline_Sort!$C974))</f>
        <v/>
      </c>
    </row>
    <row r="975">
      <c r="A975" s="22">
        <f>IF(Pipeline_Sort!$C975="","",INDEX(Pipeline_Calc!$B$2:$B$5251,Pipeline_Sort!$C975))</f>
        <v/>
      </c>
      <c r="B975">
        <f>IF(Pipeline_Sort!$C975="","",INDEX(Pipeline_Calc!$C$2:$C$5251,Pipeline_Sort!$C975))</f>
        <v/>
      </c>
      <c r="C975">
        <f>IF(Pipeline_Sort!$C975="","",INDEX(Pipeline_Calc!$D$2:$D$5251,Pipeline_Sort!$C975))</f>
        <v/>
      </c>
      <c r="D975">
        <f>IF(Pipeline_Sort!$C975="","",INDEX(Pipeline_Calc!$E$2:$E$5251,Pipeline_Sort!$C975))</f>
        <v/>
      </c>
      <c r="E975">
        <f>IF(Pipeline_Sort!$C975="","",INDEX(Pipeline_Calc!$F$2:$F$5251,Pipeline_Sort!$C975))</f>
        <v/>
      </c>
      <c r="F975">
        <f>IF(Pipeline_Sort!$C975="","",INDEX(Pipeline_Calc!$G$2:$G$5251,Pipeline_Sort!$C975))</f>
        <v/>
      </c>
      <c r="G975">
        <f>IF(Pipeline_Sort!$C975="","",INDEX(Pipeline_Calc!$H$2:$H$5251,Pipeline_Sort!$C975))</f>
        <v/>
      </c>
      <c r="H975">
        <f>IF(Pipeline_Sort!$C975="","",INDEX(Pipeline_Calc!$I$2:$I$5251,Pipeline_Sort!$C975))</f>
        <v/>
      </c>
      <c r="I975">
        <f>IF(Pipeline_Sort!$C975="","",INDEX(Pipeline_Calc!$J$2:$J$5251,Pipeline_Sort!$C975))</f>
        <v/>
      </c>
    </row>
    <row r="976">
      <c r="A976" s="22">
        <f>IF(Pipeline_Sort!$C976="","",INDEX(Pipeline_Calc!$B$2:$B$5251,Pipeline_Sort!$C976))</f>
        <v/>
      </c>
      <c r="B976">
        <f>IF(Pipeline_Sort!$C976="","",INDEX(Pipeline_Calc!$C$2:$C$5251,Pipeline_Sort!$C976))</f>
        <v/>
      </c>
      <c r="C976">
        <f>IF(Pipeline_Sort!$C976="","",INDEX(Pipeline_Calc!$D$2:$D$5251,Pipeline_Sort!$C976))</f>
        <v/>
      </c>
      <c r="D976">
        <f>IF(Pipeline_Sort!$C976="","",INDEX(Pipeline_Calc!$E$2:$E$5251,Pipeline_Sort!$C976))</f>
        <v/>
      </c>
      <c r="E976">
        <f>IF(Pipeline_Sort!$C976="","",INDEX(Pipeline_Calc!$F$2:$F$5251,Pipeline_Sort!$C976))</f>
        <v/>
      </c>
      <c r="F976">
        <f>IF(Pipeline_Sort!$C976="","",INDEX(Pipeline_Calc!$G$2:$G$5251,Pipeline_Sort!$C976))</f>
        <v/>
      </c>
      <c r="G976">
        <f>IF(Pipeline_Sort!$C976="","",INDEX(Pipeline_Calc!$H$2:$H$5251,Pipeline_Sort!$C976))</f>
        <v/>
      </c>
      <c r="H976">
        <f>IF(Pipeline_Sort!$C976="","",INDEX(Pipeline_Calc!$I$2:$I$5251,Pipeline_Sort!$C976))</f>
        <v/>
      </c>
      <c r="I976">
        <f>IF(Pipeline_Sort!$C976="","",INDEX(Pipeline_Calc!$J$2:$J$5251,Pipeline_Sort!$C976))</f>
        <v/>
      </c>
    </row>
    <row r="977">
      <c r="A977" s="22">
        <f>IF(Pipeline_Sort!$C977="","",INDEX(Pipeline_Calc!$B$2:$B$5251,Pipeline_Sort!$C977))</f>
        <v/>
      </c>
      <c r="B977">
        <f>IF(Pipeline_Sort!$C977="","",INDEX(Pipeline_Calc!$C$2:$C$5251,Pipeline_Sort!$C977))</f>
        <v/>
      </c>
      <c r="C977">
        <f>IF(Pipeline_Sort!$C977="","",INDEX(Pipeline_Calc!$D$2:$D$5251,Pipeline_Sort!$C977))</f>
        <v/>
      </c>
      <c r="D977">
        <f>IF(Pipeline_Sort!$C977="","",INDEX(Pipeline_Calc!$E$2:$E$5251,Pipeline_Sort!$C977))</f>
        <v/>
      </c>
      <c r="E977">
        <f>IF(Pipeline_Sort!$C977="","",INDEX(Pipeline_Calc!$F$2:$F$5251,Pipeline_Sort!$C977))</f>
        <v/>
      </c>
      <c r="F977">
        <f>IF(Pipeline_Sort!$C977="","",INDEX(Pipeline_Calc!$G$2:$G$5251,Pipeline_Sort!$C977))</f>
        <v/>
      </c>
      <c r="G977">
        <f>IF(Pipeline_Sort!$C977="","",INDEX(Pipeline_Calc!$H$2:$H$5251,Pipeline_Sort!$C977))</f>
        <v/>
      </c>
      <c r="H977">
        <f>IF(Pipeline_Sort!$C977="","",INDEX(Pipeline_Calc!$I$2:$I$5251,Pipeline_Sort!$C977))</f>
        <v/>
      </c>
      <c r="I977">
        <f>IF(Pipeline_Sort!$C977="","",INDEX(Pipeline_Calc!$J$2:$J$5251,Pipeline_Sort!$C977))</f>
        <v/>
      </c>
    </row>
    <row r="978">
      <c r="A978" s="22">
        <f>IF(Pipeline_Sort!$C978="","",INDEX(Pipeline_Calc!$B$2:$B$5251,Pipeline_Sort!$C978))</f>
        <v/>
      </c>
      <c r="B978">
        <f>IF(Pipeline_Sort!$C978="","",INDEX(Pipeline_Calc!$C$2:$C$5251,Pipeline_Sort!$C978))</f>
        <v/>
      </c>
      <c r="C978">
        <f>IF(Pipeline_Sort!$C978="","",INDEX(Pipeline_Calc!$D$2:$D$5251,Pipeline_Sort!$C978))</f>
        <v/>
      </c>
      <c r="D978">
        <f>IF(Pipeline_Sort!$C978="","",INDEX(Pipeline_Calc!$E$2:$E$5251,Pipeline_Sort!$C978))</f>
        <v/>
      </c>
      <c r="E978">
        <f>IF(Pipeline_Sort!$C978="","",INDEX(Pipeline_Calc!$F$2:$F$5251,Pipeline_Sort!$C978))</f>
        <v/>
      </c>
      <c r="F978">
        <f>IF(Pipeline_Sort!$C978="","",INDEX(Pipeline_Calc!$G$2:$G$5251,Pipeline_Sort!$C978))</f>
        <v/>
      </c>
      <c r="G978">
        <f>IF(Pipeline_Sort!$C978="","",INDEX(Pipeline_Calc!$H$2:$H$5251,Pipeline_Sort!$C978))</f>
        <v/>
      </c>
      <c r="H978">
        <f>IF(Pipeline_Sort!$C978="","",INDEX(Pipeline_Calc!$I$2:$I$5251,Pipeline_Sort!$C978))</f>
        <v/>
      </c>
      <c r="I978">
        <f>IF(Pipeline_Sort!$C978="","",INDEX(Pipeline_Calc!$J$2:$J$5251,Pipeline_Sort!$C978))</f>
        <v/>
      </c>
    </row>
    <row r="979">
      <c r="A979" s="22">
        <f>IF(Pipeline_Sort!$C979="","",INDEX(Pipeline_Calc!$B$2:$B$5251,Pipeline_Sort!$C979))</f>
        <v/>
      </c>
      <c r="B979">
        <f>IF(Pipeline_Sort!$C979="","",INDEX(Pipeline_Calc!$C$2:$C$5251,Pipeline_Sort!$C979))</f>
        <v/>
      </c>
      <c r="C979">
        <f>IF(Pipeline_Sort!$C979="","",INDEX(Pipeline_Calc!$D$2:$D$5251,Pipeline_Sort!$C979))</f>
        <v/>
      </c>
      <c r="D979">
        <f>IF(Pipeline_Sort!$C979="","",INDEX(Pipeline_Calc!$E$2:$E$5251,Pipeline_Sort!$C979))</f>
        <v/>
      </c>
      <c r="E979">
        <f>IF(Pipeline_Sort!$C979="","",INDEX(Pipeline_Calc!$F$2:$F$5251,Pipeline_Sort!$C979))</f>
        <v/>
      </c>
      <c r="F979">
        <f>IF(Pipeline_Sort!$C979="","",INDEX(Pipeline_Calc!$G$2:$G$5251,Pipeline_Sort!$C979))</f>
        <v/>
      </c>
      <c r="G979">
        <f>IF(Pipeline_Sort!$C979="","",INDEX(Pipeline_Calc!$H$2:$H$5251,Pipeline_Sort!$C979))</f>
        <v/>
      </c>
      <c r="H979">
        <f>IF(Pipeline_Sort!$C979="","",INDEX(Pipeline_Calc!$I$2:$I$5251,Pipeline_Sort!$C979))</f>
        <v/>
      </c>
      <c r="I979">
        <f>IF(Pipeline_Sort!$C979="","",INDEX(Pipeline_Calc!$J$2:$J$5251,Pipeline_Sort!$C979))</f>
        <v/>
      </c>
    </row>
    <row r="980">
      <c r="A980" s="22">
        <f>IF(Pipeline_Sort!$C980="","",INDEX(Pipeline_Calc!$B$2:$B$5251,Pipeline_Sort!$C980))</f>
        <v/>
      </c>
      <c r="B980">
        <f>IF(Pipeline_Sort!$C980="","",INDEX(Pipeline_Calc!$C$2:$C$5251,Pipeline_Sort!$C980))</f>
        <v/>
      </c>
      <c r="C980">
        <f>IF(Pipeline_Sort!$C980="","",INDEX(Pipeline_Calc!$D$2:$D$5251,Pipeline_Sort!$C980))</f>
        <v/>
      </c>
      <c r="D980">
        <f>IF(Pipeline_Sort!$C980="","",INDEX(Pipeline_Calc!$E$2:$E$5251,Pipeline_Sort!$C980))</f>
        <v/>
      </c>
      <c r="E980">
        <f>IF(Pipeline_Sort!$C980="","",INDEX(Pipeline_Calc!$F$2:$F$5251,Pipeline_Sort!$C980))</f>
        <v/>
      </c>
      <c r="F980">
        <f>IF(Pipeline_Sort!$C980="","",INDEX(Pipeline_Calc!$G$2:$G$5251,Pipeline_Sort!$C980))</f>
        <v/>
      </c>
      <c r="G980">
        <f>IF(Pipeline_Sort!$C980="","",INDEX(Pipeline_Calc!$H$2:$H$5251,Pipeline_Sort!$C980))</f>
        <v/>
      </c>
      <c r="H980">
        <f>IF(Pipeline_Sort!$C980="","",INDEX(Pipeline_Calc!$I$2:$I$5251,Pipeline_Sort!$C980))</f>
        <v/>
      </c>
      <c r="I980">
        <f>IF(Pipeline_Sort!$C980="","",INDEX(Pipeline_Calc!$J$2:$J$5251,Pipeline_Sort!$C980))</f>
        <v/>
      </c>
    </row>
    <row r="981">
      <c r="A981" s="22">
        <f>IF(Pipeline_Sort!$C981="","",INDEX(Pipeline_Calc!$B$2:$B$5251,Pipeline_Sort!$C981))</f>
        <v/>
      </c>
      <c r="B981">
        <f>IF(Pipeline_Sort!$C981="","",INDEX(Pipeline_Calc!$C$2:$C$5251,Pipeline_Sort!$C981))</f>
        <v/>
      </c>
      <c r="C981">
        <f>IF(Pipeline_Sort!$C981="","",INDEX(Pipeline_Calc!$D$2:$D$5251,Pipeline_Sort!$C981))</f>
        <v/>
      </c>
      <c r="D981">
        <f>IF(Pipeline_Sort!$C981="","",INDEX(Pipeline_Calc!$E$2:$E$5251,Pipeline_Sort!$C981))</f>
        <v/>
      </c>
      <c r="E981">
        <f>IF(Pipeline_Sort!$C981="","",INDEX(Pipeline_Calc!$F$2:$F$5251,Pipeline_Sort!$C981))</f>
        <v/>
      </c>
      <c r="F981">
        <f>IF(Pipeline_Sort!$C981="","",INDEX(Pipeline_Calc!$G$2:$G$5251,Pipeline_Sort!$C981))</f>
        <v/>
      </c>
      <c r="G981">
        <f>IF(Pipeline_Sort!$C981="","",INDEX(Pipeline_Calc!$H$2:$H$5251,Pipeline_Sort!$C981))</f>
        <v/>
      </c>
      <c r="H981">
        <f>IF(Pipeline_Sort!$C981="","",INDEX(Pipeline_Calc!$I$2:$I$5251,Pipeline_Sort!$C981))</f>
        <v/>
      </c>
      <c r="I981">
        <f>IF(Pipeline_Sort!$C981="","",INDEX(Pipeline_Calc!$J$2:$J$5251,Pipeline_Sort!$C981))</f>
        <v/>
      </c>
    </row>
    <row r="982">
      <c r="A982" s="22">
        <f>IF(Pipeline_Sort!$C982="","",INDEX(Pipeline_Calc!$B$2:$B$5251,Pipeline_Sort!$C982))</f>
        <v/>
      </c>
      <c r="B982">
        <f>IF(Pipeline_Sort!$C982="","",INDEX(Pipeline_Calc!$C$2:$C$5251,Pipeline_Sort!$C982))</f>
        <v/>
      </c>
      <c r="C982">
        <f>IF(Pipeline_Sort!$C982="","",INDEX(Pipeline_Calc!$D$2:$D$5251,Pipeline_Sort!$C982))</f>
        <v/>
      </c>
      <c r="D982">
        <f>IF(Pipeline_Sort!$C982="","",INDEX(Pipeline_Calc!$E$2:$E$5251,Pipeline_Sort!$C982))</f>
        <v/>
      </c>
      <c r="E982">
        <f>IF(Pipeline_Sort!$C982="","",INDEX(Pipeline_Calc!$F$2:$F$5251,Pipeline_Sort!$C982))</f>
        <v/>
      </c>
      <c r="F982">
        <f>IF(Pipeline_Sort!$C982="","",INDEX(Pipeline_Calc!$G$2:$G$5251,Pipeline_Sort!$C982))</f>
        <v/>
      </c>
      <c r="G982">
        <f>IF(Pipeline_Sort!$C982="","",INDEX(Pipeline_Calc!$H$2:$H$5251,Pipeline_Sort!$C982))</f>
        <v/>
      </c>
      <c r="H982">
        <f>IF(Pipeline_Sort!$C982="","",INDEX(Pipeline_Calc!$I$2:$I$5251,Pipeline_Sort!$C982))</f>
        <v/>
      </c>
      <c r="I982">
        <f>IF(Pipeline_Sort!$C982="","",INDEX(Pipeline_Calc!$J$2:$J$5251,Pipeline_Sort!$C982))</f>
        <v/>
      </c>
    </row>
    <row r="983">
      <c r="A983" s="22">
        <f>IF(Pipeline_Sort!$C983="","",INDEX(Pipeline_Calc!$B$2:$B$5251,Pipeline_Sort!$C983))</f>
        <v/>
      </c>
      <c r="B983">
        <f>IF(Pipeline_Sort!$C983="","",INDEX(Pipeline_Calc!$C$2:$C$5251,Pipeline_Sort!$C983))</f>
        <v/>
      </c>
      <c r="C983">
        <f>IF(Pipeline_Sort!$C983="","",INDEX(Pipeline_Calc!$D$2:$D$5251,Pipeline_Sort!$C983))</f>
        <v/>
      </c>
      <c r="D983">
        <f>IF(Pipeline_Sort!$C983="","",INDEX(Pipeline_Calc!$E$2:$E$5251,Pipeline_Sort!$C983))</f>
        <v/>
      </c>
      <c r="E983">
        <f>IF(Pipeline_Sort!$C983="","",INDEX(Pipeline_Calc!$F$2:$F$5251,Pipeline_Sort!$C983))</f>
        <v/>
      </c>
      <c r="F983">
        <f>IF(Pipeline_Sort!$C983="","",INDEX(Pipeline_Calc!$G$2:$G$5251,Pipeline_Sort!$C983))</f>
        <v/>
      </c>
      <c r="G983">
        <f>IF(Pipeline_Sort!$C983="","",INDEX(Pipeline_Calc!$H$2:$H$5251,Pipeline_Sort!$C983))</f>
        <v/>
      </c>
      <c r="H983">
        <f>IF(Pipeline_Sort!$C983="","",INDEX(Pipeline_Calc!$I$2:$I$5251,Pipeline_Sort!$C983))</f>
        <v/>
      </c>
      <c r="I983">
        <f>IF(Pipeline_Sort!$C983="","",INDEX(Pipeline_Calc!$J$2:$J$5251,Pipeline_Sort!$C983))</f>
        <v/>
      </c>
    </row>
    <row r="984">
      <c r="A984" s="22">
        <f>IF(Pipeline_Sort!$C984="","",INDEX(Pipeline_Calc!$B$2:$B$5251,Pipeline_Sort!$C984))</f>
        <v/>
      </c>
      <c r="B984">
        <f>IF(Pipeline_Sort!$C984="","",INDEX(Pipeline_Calc!$C$2:$C$5251,Pipeline_Sort!$C984))</f>
        <v/>
      </c>
      <c r="C984">
        <f>IF(Pipeline_Sort!$C984="","",INDEX(Pipeline_Calc!$D$2:$D$5251,Pipeline_Sort!$C984))</f>
        <v/>
      </c>
      <c r="D984">
        <f>IF(Pipeline_Sort!$C984="","",INDEX(Pipeline_Calc!$E$2:$E$5251,Pipeline_Sort!$C984))</f>
        <v/>
      </c>
      <c r="E984">
        <f>IF(Pipeline_Sort!$C984="","",INDEX(Pipeline_Calc!$F$2:$F$5251,Pipeline_Sort!$C984))</f>
        <v/>
      </c>
      <c r="F984">
        <f>IF(Pipeline_Sort!$C984="","",INDEX(Pipeline_Calc!$G$2:$G$5251,Pipeline_Sort!$C984))</f>
        <v/>
      </c>
      <c r="G984">
        <f>IF(Pipeline_Sort!$C984="","",INDEX(Pipeline_Calc!$H$2:$H$5251,Pipeline_Sort!$C984))</f>
        <v/>
      </c>
      <c r="H984">
        <f>IF(Pipeline_Sort!$C984="","",INDEX(Pipeline_Calc!$I$2:$I$5251,Pipeline_Sort!$C984))</f>
        <v/>
      </c>
      <c r="I984">
        <f>IF(Pipeline_Sort!$C984="","",INDEX(Pipeline_Calc!$J$2:$J$5251,Pipeline_Sort!$C984))</f>
        <v/>
      </c>
    </row>
    <row r="985">
      <c r="A985" s="22">
        <f>IF(Pipeline_Sort!$C985="","",INDEX(Pipeline_Calc!$B$2:$B$5251,Pipeline_Sort!$C985))</f>
        <v/>
      </c>
      <c r="B985">
        <f>IF(Pipeline_Sort!$C985="","",INDEX(Pipeline_Calc!$C$2:$C$5251,Pipeline_Sort!$C985))</f>
        <v/>
      </c>
      <c r="C985">
        <f>IF(Pipeline_Sort!$C985="","",INDEX(Pipeline_Calc!$D$2:$D$5251,Pipeline_Sort!$C985))</f>
        <v/>
      </c>
      <c r="D985">
        <f>IF(Pipeline_Sort!$C985="","",INDEX(Pipeline_Calc!$E$2:$E$5251,Pipeline_Sort!$C985))</f>
        <v/>
      </c>
      <c r="E985">
        <f>IF(Pipeline_Sort!$C985="","",INDEX(Pipeline_Calc!$F$2:$F$5251,Pipeline_Sort!$C985))</f>
        <v/>
      </c>
      <c r="F985">
        <f>IF(Pipeline_Sort!$C985="","",INDEX(Pipeline_Calc!$G$2:$G$5251,Pipeline_Sort!$C985))</f>
        <v/>
      </c>
      <c r="G985">
        <f>IF(Pipeline_Sort!$C985="","",INDEX(Pipeline_Calc!$H$2:$H$5251,Pipeline_Sort!$C985))</f>
        <v/>
      </c>
      <c r="H985">
        <f>IF(Pipeline_Sort!$C985="","",INDEX(Pipeline_Calc!$I$2:$I$5251,Pipeline_Sort!$C985))</f>
        <v/>
      </c>
      <c r="I985">
        <f>IF(Pipeline_Sort!$C985="","",INDEX(Pipeline_Calc!$J$2:$J$5251,Pipeline_Sort!$C985))</f>
        <v/>
      </c>
    </row>
    <row r="986">
      <c r="A986" s="22">
        <f>IF(Pipeline_Sort!$C986="","",INDEX(Pipeline_Calc!$B$2:$B$5251,Pipeline_Sort!$C986))</f>
        <v/>
      </c>
      <c r="B986">
        <f>IF(Pipeline_Sort!$C986="","",INDEX(Pipeline_Calc!$C$2:$C$5251,Pipeline_Sort!$C986))</f>
        <v/>
      </c>
      <c r="C986">
        <f>IF(Pipeline_Sort!$C986="","",INDEX(Pipeline_Calc!$D$2:$D$5251,Pipeline_Sort!$C986))</f>
        <v/>
      </c>
      <c r="D986">
        <f>IF(Pipeline_Sort!$C986="","",INDEX(Pipeline_Calc!$E$2:$E$5251,Pipeline_Sort!$C986))</f>
        <v/>
      </c>
      <c r="E986">
        <f>IF(Pipeline_Sort!$C986="","",INDEX(Pipeline_Calc!$F$2:$F$5251,Pipeline_Sort!$C986))</f>
        <v/>
      </c>
      <c r="F986">
        <f>IF(Pipeline_Sort!$C986="","",INDEX(Pipeline_Calc!$G$2:$G$5251,Pipeline_Sort!$C986))</f>
        <v/>
      </c>
      <c r="G986">
        <f>IF(Pipeline_Sort!$C986="","",INDEX(Pipeline_Calc!$H$2:$H$5251,Pipeline_Sort!$C986))</f>
        <v/>
      </c>
      <c r="H986">
        <f>IF(Pipeline_Sort!$C986="","",INDEX(Pipeline_Calc!$I$2:$I$5251,Pipeline_Sort!$C986))</f>
        <v/>
      </c>
      <c r="I986">
        <f>IF(Pipeline_Sort!$C986="","",INDEX(Pipeline_Calc!$J$2:$J$5251,Pipeline_Sort!$C986))</f>
        <v/>
      </c>
    </row>
    <row r="987">
      <c r="A987" s="22">
        <f>IF(Pipeline_Sort!$C987="","",INDEX(Pipeline_Calc!$B$2:$B$5251,Pipeline_Sort!$C987))</f>
        <v/>
      </c>
      <c r="B987">
        <f>IF(Pipeline_Sort!$C987="","",INDEX(Pipeline_Calc!$C$2:$C$5251,Pipeline_Sort!$C987))</f>
        <v/>
      </c>
      <c r="C987">
        <f>IF(Pipeline_Sort!$C987="","",INDEX(Pipeline_Calc!$D$2:$D$5251,Pipeline_Sort!$C987))</f>
        <v/>
      </c>
      <c r="D987">
        <f>IF(Pipeline_Sort!$C987="","",INDEX(Pipeline_Calc!$E$2:$E$5251,Pipeline_Sort!$C987))</f>
        <v/>
      </c>
      <c r="E987">
        <f>IF(Pipeline_Sort!$C987="","",INDEX(Pipeline_Calc!$F$2:$F$5251,Pipeline_Sort!$C987))</f>
        <v/>
      </c>
      <c r="F987">
        <f>IF(Pipeline_Sort!$C987="","",INDEX(Pipeline_Calc!$G$2:$G$5251,Pipeline_Sort!$C987))</f>
        <v/>
      </c>
      <c r="G987">
        <f>IF(Pipeline_Sort!$C987="","",INDEX(Pipeline_Calc!$H$2:$H$5251,Pipeline_Sort!$C987))</f>
        <v/>
      </c>
      <c r="H987">
        <f>IF(Pipeline_Sort!$C987="","",INDEX(Pipeline_Calc!$I$2:$I$5251,Pipeline_Sort!$C987))</f>
        <v/>
      </c>
      <c r="I987">
        <f>IF(Pipeline_Sort!$C987="","",INDEX(Pipeline_Calc!$J$2:$J$5251,Pipeline_Sort!$C987))</f>
        <v/>
      </c>
    </row>
    <row r="988">
      <c r="A988" s="22">
        <f>IF(Pipeline_Sort!$C988="","",INDEX(Pipeline_Calc!$B$2:$B$5251,Pipeline_Sort!$C988))</f>
        <v/>
      </c>
      <c r="B988">
        <f>IF(Pipeline_Sort!$C988="","",INDEX(Pipeline_Calc!$C$2:$C$5251,Pipeline_Sort!$C988))</f>
        <v/>
      </c>
      <c r="C988">
        <f>IF(Pipeline_Sort!$C988="","",INDEX(Pipeline_Calc!$D$2:$D$5251,Pipeline_Sort!$C988))</f>
        <v/>
      </c>
      <c r="D988">
        <f>IF(Pipeline_Sort!$C988="","",INDEX(Pipeline_Calc!$E$2:$E$5251,Pipeline_Sort!$C988))</f>
        <v/>
      </c>
      <c r="E988">
        <f>IF(Pipeline_Sort!$C988="","",INDEX(Pipeline_Calc!$F$2:$F$5251,Pipeline_Sort!$C988))</f>
        <v/>
      </c>
      <c r="F988">
        <f>IF(Pipeline_Sort!$C988="","",INDEX(Pipeline_Calc!$G$2:$G$5251,Pipeline_Sort!$C988))</f>
        <v/>
      </c>
      <c r="G988">
        <f>IF(Pipeline_Sort!$C988="","",INDEX(Pipeline_Calc!$H$2:$H$5251,Pipeline_Sort!$C988))</f>
        <v/>
      </c>
      <c r="H988">
        <f>IF(Pipeline_Sort!$C988="","",INDEX(Pipeline_Calc!$I$2:$I$5251,Pipeline_Sort!$C988))</f>
        <v/>
      </c>
      <c r="I988">
        <f>IF(Pipeline_Sort!$C988="","",INDEX(Pipeline_Calc!$J$2:$J$5251,Pipeline_Sort!$C988))</f>
        <v/>
      </c>
    </row>
    <row r="989">
      <c r="A989" s="22">
        <f>IF(Pipeline_Sort!$C989="","",INDEX(Pipeline_Calc!$B$2:$B$5251,Pipeline_Sort!$C989))</f>
        <v/>
      </c>
      <c r="B989">
        <f>IF(Pipeline_Sort!$C989="","",INDEX(Pipeline_Calc!$C$2:$C$5251,Pipeline_Sort!$C989))</f>
        <v/>
      </c>
      <c r="C989">
        <f>IF(Pipeline_Sort!$C989="","",INDEX(Pipeline_Calc!$D$2:$D$5251,Pipeline_Sort!$C989))</f>
        <v/>
      </c>
      <c r="D989">
        <f>IF(Pipeline_Sort!$C989="","",INDEX(Pipeline_Calc!$E$2:$E$5251,Pipeline_Sort!$C989))</f>
        <v/>
      </c>
      <c r="E989">
        <f>IF(Pipeline_Sort!$C989="","",INDEX(Pipeline_Calc!$F$2:$F$5251,Pipeline_Sort!$C989))</f>
        <v/>
      </c>
      <c r="F989">
        <f>IF(Pipeline_Sort!$C989="","",INDEX(Pipeline_Calc!$G$2:$G$5251,Pipeline_Sort!$C989))</f>
        <v/>
      </c>
      <c r="G989">
        <f>IF(Pipeline_Sort!$C989="","",INDEX(Pipeline_Calc!$H$2:$H$5251,Pipeline_Sort!$C989))</f>
        <v/>
      </c>
      <c r="H989">
        <f>IF(Pipeline_Sort!$C989="","",INDEX(Pipeline_Calc!$I$2:$I$5251,Pipeline_Sort!$C989))</f>
        <v/>
      </c>
      <c r="I989">
        <f>IF(Pipeline_Sort!$C989="","",INDEX(Pipeline_Calc!$J$2:$J$5251,Pipeline_Sort!$C989))</f>
        <v/>
      </c>
    </row>
    <row r="990">
      <c r="A990" s="22">
        <f>IF(Pipeline_Sort!$C990="","",INDEX(Pipeline_Calc!$B$2:$B$5251,Pipeline_Sort!$C990))</f>
        <v/>
      </c>
      <c r="B990">
        <f>IF(Pipeline_Sort!$C990="","",INDEX(Pipeline_Calc!$C$2:$C$5251,Pipeline_Sort!$C990))</f>
        <v/>
      </c>
      <c r="C990">
        <f>IF(Pipeline_Sort!$C990="","",INDEX(Pipeline_Calc!$D$2:$D$5251,Pipeline_Sort!$C990))</f>
        <v/>
      </c>
      <c r="D990">
        <f>IF(Pipeline_Sort!$C990="","",INDEX(Pipeline_Calc!$E$2:$E$5251,Pipeline_Sort!$C990))</f>
        <v/>
      </c>
      <c r="E990">
        <f>IF(Pipeline_Sort!$C990="","",INDEX(Pipeline_Calc!$F$2:$F$5251,Pipeline_Sort!$C990))</f>
        <v/>
      </c>
      <c r="F990">
        <f>IF(Pipeline_Sort!$C990="","",INDEX(Pipeline_Calc!$G$2:$G$5251,Pipeline_Sort!$C990))</f>
        <v/>
      </c>
      <c r="G990">
        <f>IF(Pipeline_Sort!$C990="","",INDEX(Pipeline_Calc!$H$2:$H$5251,Pipeline_Sort!$C990))</f>
        <v/>
      </c>
      <c r="H990">
        <f>IF(Pipeline_Sort!$C990="","",INDEX(Pipeline_Calc!$I$2:$I$5251,Pipeline_Sort!$C990))</f>
        <v/>
      </c>
      <c r="I990">
        <f>IF(Pipeline_Sort!$C990="","",INDEX(Pipeline_Calc!$J$2:$J$5251,Pipeline_Sort!$C990))</f>
        <v/>
      </c>
    </row>
    <row r="991">
      <c r="A991" s="22">
        <f>IF(Pipeline_Sort!$C991="","",INDEX(Pipeline_Calc!$B$2:$B$5251,Pipeline_Sort!$C991))</f>
        <v/>
      </c>
      <c r="B991">
        <f>IF(Pipeline_Sort!$C991="","",INDEX(Pipeline_Calc!$C$2:$C$5251,Pipeline_Sort!$C991))</f>
        <v/>
      </c>
      <c r="C991">
        <f>IF(Pipeline_Sort!$C991="","",INDEX(Pipeline_Calc!$D$2:$D$5251,Pipeline_Sort!$C991))</f>
        <v/>
      </c>
      <c r="D991">
        <f>IF(Pipeline_Sort!$C991="","",INDEX(Pipeline_Calc!$E$2:$E$5251,Pipeline_Sort!$C991))</f>
        <v/>
      </c>
      <c r="E991">
        <f>IF(Pipeline_Sort!$C991="","",INDEX(Pipeline_Calc!$F$2:$F$5251,Pipeline_Sort!$C991))</f>
        <v/>
      </c>
      <c r="F991">
        <f>IF(Pipeline_Sort!$C991="","",INDEX(Pipeline_Calc!$G$2:$G$5251,Pipeline_Sort!$C991))</f>
        <v/>
      </c>
      <c r="G991">
        <f>IF(Pipeline_Sort!$C991="","",INDEX(Pipeline_Calc!$H$2:$H$5251,Pipeline_Sort!$C991))</f>
        <v/>
      </c>
      <c r="H991">
        <f>IF(Pipeline_Sort!$C991="","",INDEX(Pipeline_Calc!$I$2:$I$5251,Pipeline_Sort!$C991))</f>
        <v/>
      </c>
      <c r="I991">
        <f>IF(Pipeline_Sort!$C991="","",INDEX(Pipeline_Calc!$J$2:$J$5251,Pipeline_Sort!$C991))</f>
        <v/>
      </c>
    </row>
    <row r="992">
      <c r="A992" s="22">
        <f>IF(Pipeline_Sort!$C992="","",INDEX(Pipeline_Calc!$B$2:$B$5251,Pipeline_Sort!$C992))</f>
        <v/>
      </c>
      <c r="B992">
        <f>IF(Pipeline_Sort!$C992="","",INDEX(Pipeline_Calc!$C$2:$C$5251,Pipeline_Sort!$C992))</f>
        <v/>
      </c>
      <c r="C992">
        <f>IF(Pipeline_Sort!$C992="","",INDEX(Pipeline_Calc!$D$2:$D$5251,Pipeline_Sort!$C992))</f>
        <v/>
      </c>
      <c r="D992">
        <f>IF(Pipeline_Sort!$C992="","",INDEX(Pipeline_Calc!$E$2:$E$5251,Pipeline_Sort!$C992))</f>
        <v/>
      </c>
      <c r="E992">
        <f>IF(Pipeline_Sort!$C992="","",INDEX(Pipeline_Calc!$F$2:$F$5251,Pipeline_Sort!$C992))</f>
        <v/>
      </c>
      <c r="F992">
        <f>IF(Pipeline_Sort!$C992="","",INDEX(Pipeline_Calc!$G$2:$G$5251,Pipeline_Sort!$C992))</f>
        <v/>
      </c>
      <c r="G992">
        <f>IF(Pipeline_Sort!$C992="","",INDEX(Pipeline_Calc!$H$2:$H$5251,Pipeline_Sort!$C992))</f>
        <v/>
      </c>
      <c r="H992">
        <f>IF(Pipeline_Sort!$C992="","",INDEX(Pipeline_Calc!$I$2:$I$5251,Pipeline_Sort!$C992))</f>
        <v/>
      </c>
      <c r="I992">
        <f>IF(Pipeline_Sort!$C992="","",INDEX(Pipeline_Calc!$J$2:$J$5251,Pipeline_Sort!$C992))</f>
        <v/>
      </c>
    </row>
    <row r="993">
      <c r="A993" s="22">
        <f>IF(Pipeline_Sort!$C993="","",INDEX(Pipeline_Calc!$B$2:$B$5251,Pipeline_Sort!$C993))</f>
        <v/>
      </c>
      <c r="B993">
        <f>IF(Pipeline_Sort!$C993="","",INDEX(Pipeline_Calc!$C$2:$C$5251,Pipeline_Sort!$C993))</f>
        <v/>
      </c>
      <c r="C993">
        <f>IF(Pipeline_Sort!$C993="","",INDEX(Pipeline_Calc!$D$2:$D$5251,Pipeline_Sort!$C993))</f>
        <v/>
      </c>
      <c r="D993">
        <f>IF(Pipeline_Sort!$C993="","",INDEX(Pipeline_Calc!$E$2:$E$5251,Pipeline_Sort!$C993))</f>
        <v/>
      </c>
      <c r="E993">
        <f>IF(Pipeline_Sort!$C993="","",INDEX(Pipeline_Calc!$F$2:$F$5251,Pipeline_Sort!$C993))</f>
        <v/>
      </c>
      <c r="F993">
        <f>IF(Pipeline_Sort!$C993="","",INDEX(Pipeline_Calc!$G$2:$G$5251,Pipeline_Sort!$C993))</f>
        <v/>
      </c>
      <c r="G993">
        <f>IF(Pipeline_Sort!$C993="","",INDEX(Pipeline_Calc!$H$2:$H$5251,Pipeline_Sort!$C993))</f>
        <v/>
      </c>
      <c r="H993">
        <f>IF(Pipeline_Sort!$C993="","",INDEX(Pipeline_Calc!$I$2:$I$5251,Pipeline_Sort!$C993))</f>
        <v/>
      </c>
      <c r="I993">
        <f>IF(Pipeline_Sort!$C993="","",INDEX(Pipeline_Calc!$J$2:$J$5251,Pipeline_Sort!$C993))</f>
        <v/>
      </c>
    </row>
    <row r="994">
      <c r="A994" s="22">
        <f>IF(Pipeline_Sort!$C994="","",INDEX(Pipeline_Calc!$B$2:$B$5251,Pipeline_Sort!$C994))</f>
        <v/>
      </c>
      <c r="B994">
        <f>IF(Pipeline_Sort!$C994="","",INDEX(Pipeline_Calc!$C$2:$C$5251,Pipeline_Sort!$C994))</f>
        <v/>
      </c>
      <c r="C994">
        <f>IF(Pipeline_Sort!$C994="","",INDEX(Pipeline_Calc!$D$2:$D$5251,Pipeline_Sort!$C994))</f>
        <v/>
      </c>
      <c r="D994">
        <f>IF(Pipeline_Sort!$C994="","",INDEX(Pipeline_Calc!$E$2:$E$5251,Pipeline_Sort!$C994))</f>
        <v/>
      </c>
      <c r="E994">
        <f>IF(Pipeline_Sort!$C994="","",INDEX(Pipeline_Calc!$F$2:$F$5251,Pipeline_Sort!$C994))</f>
        <v/>
      </c>
      <c r="F994">
        <f>IF(Pipeline_Sort!$C994="","",INDEX(Pipeline_Calc!$G$2:$G$5251,Pipeline_Sort!$C994))</f>
        <v/>
      </c>
      <c r="G994">
        <f>IF(Pipeline_Sort!$C994="","",INDEX(Pipeline_Calc!$H$2:$H$5251,Pipeline_Sort!$C994))</f>
        <v/>
      </c>
      <c r="H994">
        <f>IF(Pipeline_Sort!$C994="","",INDEX(Pipeline_Calc!$I$2:$I$5251,Pipeline_Sort!$C994))</f>
        <v/>
      </c>
      <c r="I994">
        <f>IF(Pipeline_Sort!$C994="","",INDEX(Pipeline_Calc!$J$2:$J$5251,Pipeline_Sort!$C994))</f>
        <v/>
      </c>
    </row>
    <row r="995">
      <c r="A995" s="22">
        <f>IF(Pipeline_Sort!$C995="","",INDEX(Pipeline_Calc!$B$2:$B$5251,Pipeline_Sort!$C995))</f>
        <v/>
      </c>
      <c r="B995">
        <f>IF(Pipeline_Sort!$C995="","",INDEX(Pipeline_Calc!$C$2:$C$5251,Pipeline_Sort!$C995))</f>
        <v/>
      </c>
      <c r="C995">
        <f>IF(Pipeline_Sort!$C995="","",INDEX(Pipeline_Calc!$D$2:$D$5251,Pipeline_Sort!$C995))</f>
        <v/>
      </c>
      <c r="D995">
        <f>IF(Pipeline_Sort!$C995="","",INDEX(Pipeline_Calc!$E$2:$E$5251,Pipeline_Sort!$C995))</f>
        <v/>
      </c>
      <c r="E995">
        <f>IF(Pipeline_Sort!$C995="","",INDEX(Pipeline_Calc!$F$2:$F$5251,Pipeline_Sort!$C995))</f>
        <v/>
      </c>
      <c r="F995">
        <f>IF(Pipeline_Sort!$C995="","",INDEX(Pipeline_Calc!$G$2:$G$5251,Pipeline_Sort!$C995))</f>
        <v/>
      </c>
      <c r="G995">
        <f>IF(Pipeline_Sort!$C995="","",INDEX(Pipeline_Calc!$H$2:$H$5251,Pipeline_Sort!$C995))</f>
        <v/>
      </c>
      <c r="H995">
        <f>IF(Pipeline_Sort!$C995="","",INDEX(Pipeline_Calc!$I$2:$I$5251,Pipeline_Sort!$C995))</f>
        <v/>
      </c>
      <c r="I995">
        <f>IF(Pipeline_Sort!$C995="","",INDEX(Pipeline_Calc!$J$2:$J$5251,Pipeline_Sort!$C995))</f>
        <v/>
      </c>
    </row>
    <row r="996">
      <c r="A996" s="22">
        <f>IF(Pipeline_Sort!$C996="","",INDEX(Pipeline_Calc!$B$2:$B$5251,Pipeline_Sort!$C996))</f>
        <v/>
      </c>
      <c r="B996">
        <f>IF(Pipeline_Sort!$C996="","",INDEX(Pipeline_Calc!$C$2:$C$5251,Pipeline_Sort!$C996))</f>
        <v/>
      </c>
      <c r="C996">
        <f>IF(Pipeline_Sort!$C996="","",INDEX(Pipeline_Calc!$D$2:$D$5251,Pipeline_Sort!$C996))</f>
        <v/>
      </c>
      <c r="D996">
        <f>IF(Pipeline_Sort!$C996="","",INDEX(Pipeline_Calc!$E$2:$E$5251,Pipeline_Sort!$C996))</f>
        <v/>
      </c>
      <c r="E996">
        <f>IF(Pipeline_Sort!$C996="","",INDEX(Pipeline_Calc!$F$2:$F$5251,Pipeline_Sort!$C996))</f>
        <v/>
      </c>
      <c r="F996">
        <f>IF(Pipeline_Sort!$C996="","",INDEX(Pipeline_Calc!$G$2:$G$5251,Pipeline_Sort!$C996))</f>
        <v/>
      </c>
      <c r="G996">
        <f>IF(Pipeline_Sort!$C996="","",INDEX(Pipeline_Calc!$H$2:$H$5251,Pipeline_Sort!$C996))</f>
        <v/>
      </c>
      <c r="H996">
        <f>IF(Pipeline_Sort!$C996="","",INDEX(Pipeline_Calc!$I$2:$I$5251,Pipeline_Sort!$C996))</f>
        <v/>
      </c>
      <c r="I996">
        <f>IF(Pipeline_Sort!$C996="","",INDEX(Pipeline_Calc!$J$2:$J$5251,Pipeline_Sort!$C996))</f>
        <v/>
      </c>
    </row>
    <row r="997">
      <c r="A997" s="22">
        <f>IF(Pipeline_Sort!$C997="","",INDEX(Pipeline_Calc!$B$2:$B$5251,Pipeline_Sort!$C997))</f>
        <v/>
      </c>
      <c r="B997">
        <f>IF(Pipeline_Sort!$C997="","",INDEX(Pipeline_Calc!$C$2:$C$5251,Pipeline_Sort!$C997))</f>
        <v/>
      </c>
      <c r="C997">
        <f>IF(Pipeline_Sort!$C997="","",INDEX(Pipeline_Calc!$D$2:$D$5251,Pipeline_Sort!$C997))</f>
        <v/>
      </c>
      <c r="D997">
        <f>IF(Pipeline_Sort!$C997="","",INDEX(Pipeline_Calc!$E$2:$E$5251,Pipeline_Sort!$C997))</f>
        <v/>
      </c>
      <c r="E997">
        <f>IF(Pipeline_Sort!$C997="","",INDEX(Pipeline_Calc!$F$2:$F$5251,Pipeline_Sort!$C997))</f>
        <v/>
      </c>
      <c r="F997">
        <f>IF(Pipeline_Sort!$C997="","",INDEX(Pipeline_Calc!$G$2:$G$5251,Pipeline_Sort!$C997))</f>
        <v/>
      </c>
      <c r="G997">
        <f>IF(Pipeline_Sort!$C997="","",INDEX(Pipeline_Calc!$H$2:$H$5251,Pipeline_Sort!$C997))</f>
        <v/>
      </c>
      <c r="H997">
        <f>IF(Pipeline_Sort!$C997="","",INDEX(Pipeline_Calc!$I$2:$I$5251,Pipeline_Sort!$C997))</f>
        <v/>
      </c>
      <c r="I997">
        <f>IF(Pipeline_Sort!$C997="","",INDEX(Pipeline_Calc!$J$2:$J$5251,Pipeline_Sort!$C997))</f>
        <v/>
      </c>
    </row>
    <row r="998">
      <c r="A998" s="22">
        <f>IF(Pipeline_Sort!$C998="","",INDEX(Pipeline_Calc!$B$2:$B$5251,Pipeline_Sort!$C998))</f>
        <v/>
      </c>
      <c r="B998">
        <f>IF(Pipeline_Sort!$C998="","",INDEX(Pipeline_Calc!$C$2:$C$5251,Pipeline_Sort!$C998))</f>
        <v/>
      </c>
      <c r="C998">
        <f>IF(Pipeline_Sort!$C998="","",INDEX(Pipeline_Calc!$D$2:$D$5251,Pipeline_Sort!$C998))</f>
        <v/>
      </c>
      <c r="D998">
        <f>IF(Pipeline_Sort!$C998="","",INDEX(Pipeline_Calc!$E$2:$E$5251,Pipeline_Sort!$C998))</f>
        <v/>
      </c>
      <c r="E998">
        <f>IF(Pipeline_Sort!$C998="","",INDEX(Pipeline_Calc!$F$2:$F$5251,Pipeline_Sort!$C998))</f>
        <v/>
      </c>
      <c r="F998">
        <f>IF(Pipeline_Sort!$C998="","",INDEX(Pipeline_Calc!$G$2:$G$5251,Pipeline_Sort!$C998))</f>
        <v/>
      </c>
      <c r="G998">
        <f>IF(Pipeline_Sort!$C998="","",INDEX(Pipeline_Calc!$H$2:$H$5251,Pipeline_Sort!$C998))</f>
        <v/>
      </c>
      <c r="H998">
        <f>IF(Pipeline_Sort!$C998="","",INDEX(Pipeline_Calc!$I$2:$I$5251,Pipeline_Sort!$C998))</f>
        <v/>
      </c>
      <c r="I998">
        <f>IF(Pipeline_Sort!$C998="","",INDEX(Pipeline_Calc!$J$2:$J$5251,Pipeline_Sort!$C998))</f>
        <v/>
      </c>
    </row>
    <row r="999">
      <c r="A999" s="22">
        <f>IF(Pipeline_Sort!$C999="","",INDEX(Pipeline_Calc!$B$2:$B$5251,Pipeline_Sort!$C999))</f>
        <v/>
      </c>
      <c r="B999">
        <f>IF(Pipeline_Sort!$C999="","",INDEX(Pipeline_Calc!$C$2:$C$5251,Pipeline_Sort!$C999))</f>
        <v/>
      </c>
      <c r="C999">
        <f>IF(Pipeline_Sort!$C999="","",INDEX(Pipeline_Calc!$D$2:$D$5251,Pipeline_Sort!$C999))</f>
        <v/>
      </c>
      <c r="D999">
        <f>IF(Pipeline_Sort!$C999="","",INDEX(Pipeline_Calc!$E$2:$E$5251,Pipeline_Sort!$C999))</f>
        <v/>
      </c>
      <c r="E999">
        <f>IF(Pipeline_Sort!$C999="","",INDEX(Pipeline_Calc!$F$2:$F$5251,Pipeline_Sort!$C999))</f>
        <v/>
      </c>
      <c r="F999">
        <f>IF(Pipeline_Sort!$C999="","",INDEX(Pipeline_Calc!$G$2:$G$5251,Pipeline_Sort!$C999))</f>
        <v/>
      </c>
      <c r="G999">
        <f>IF(Pipeline_Sort!$C999="","",INDEX(Pipeline_Calc!$H$2:$H$5251,Pipeline_Sort!$C999))</f>
        <v/>
      </c>
      <c r="H999">
        <f>IF(Pipeline_Sort!$C999="","",INDEX(Pipeline_Calc!$I$2:$I$5251,Pipeline_Sort!$C999))</f>
        <v/>
      </c>
      <c r="I999">
        <f>IF(Pipeline_Sort!$C999="","",INDEX(Pipeline_Calc!$J$2:$J$5251,Pipeline_Sort!$C999))</f>
        <v/>
      </c>
    </row>
    <row r="1000">
      <c r="A1000" s="22">
        <f>IF(Pipeline_Sort!$C1000="","",INDEX(Pipeline_Calc!$B$2:$B$5251,Pipeline_Sort!$C1000))</f>
        <v/>
      </c>
      <c r="B1000">
        <f>IF(Pipeline_Sort!$C1000="","",INDEX(Pipeline_Calc!$C$2:$C$5251,Pipeline_Sort!$C1000))</f>
        <v/>
      </c>
      <c r="C1000">
        <f>IF(Pipeline_Sort!$C1000="","",INDEX(Pipeline_Calc!$D$2:$D$5251,Pipeline_Sort!$C1000))</f>
        <v/>
      </c>
      <c r="D1000">
        <f>IF(Pipeline_Sort!$C1000="","",INDEX(Pipeline_Calc!$E$2:$E$5251,Pipeline_Sort!$C1000))</f>
        <v/>
      </c>
      <c r="E1000">
        <f>IF(Pipeline_Sort!$C1000="","",INDEX(Pipeline_Calc!$F$2:$F$5251,Pipeline_Sort!$C1000))</f>
        <v/>
      </c>
      <c r="F1000">
        <f>IF(Pipeline_Sort!$C1000="","",INDEX(Pipeline_Calc!$G$2:$G$5251,Pipeline_Sort!$C1000))</f>
        <v/>
      </c>
      <c r="G1000">
        <f>IF(Pipeline_Sort!$C1000="","",INDEX(Pipeline_Calc!$H$2:$H$5251,Pipeline_Sort!$C1000))</f>
        <v/>
      </c>
      <c r="H1000">
        <f>IF(Pipeline_Sort!$C1000="","",INDEX(Pipeline_Calc!$I$2:$I$5251,Pipeline_Sort!$C1000))</f>
        <v/>
      </c>
      <c r="I1000">
        <f>IF(Pipeline_Sort!$C1000="","",INDEX(Pipeline_Calc!$J$2:$J$5251,Pipeline_Sort!$C1000))</f>
        <v/>
      </c>
    </row>
    <row r="1001">
      <c r="A1001" s="22">
        <f>IF(Pipeline_Sort!$C1001="","",INDEX(Pipeline_Calc!$B$2:$B$5251,Pipeline_Sort!$C1001))</f>
        <v/>
      </c>
      <c r="B1001">
        <f>IF(Pipeline_Sort!$C1001="","",INDEX(Pipeline_Calc!$C$2:$C$5251,Pipeline_Sort!$C1001))</f>
        <v/>
      </c>
      <c r="C1001">
        <f>IF(Pipeline_Sort!$C1001="","",INDEX(Pipeline_Calc!$D$2:$D$5251,Pipeline_Sort!$C1001))</f>
        <v/>
      </c>
      <c r="D1001">
        <f>IF(Pipeline_Sort!$C1001="","",INDEX(Pipeline_Calc!$E$2:$E$5251,Pipeline_Sort!$C1001))</f>
        <v/>
      </c>
      <c r="E1001">
        <f>IF(Pipeline_Sort!$C1001="","",INDEX(Pipeline_Calc!$F$2:$F$5251,Pipeline_Sort!$C1001))</f>
        <v/>
      </c>
      <c r="F1001">
        <f>IF(Pipeline_Sort!$C1001="","",INDEX(Pipeline_Calc!$G$2:$G$5251,Pipeline_Sort!$C1001))</f>
        <v/>
      </c>
      <c r="G1001">
        <f>IF(Pipeline_Sort!$C1001="","",INDEX(Pipeline_Calc!$H$2:$H$5251,Pipeline_Sort!$C1001))</f>
        <v/>
      </c>
      <c r="H1001">
        <f>IF(Pipeline_Sort!$C1001="","",INDEX(Pipeline_Calc!$I$2:$I$5251,Pipeline_Sort!$C1001))</f>
        <v/>
      </c>
      <c r="I1001">
        <f>IF(Pipeline_Sort!$C1001="","",INDEX(Pipeline_Calc!$J$2:$J$5251,Pipeline_Sort!$C1001))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6" t="inlineStr">
        <is>
          <t>j</t>
        </is>
      </c>
      <c r="B1" s="16" t="inlineStr">
        <is>
          <t>key</t>
        </is>
      </c>
      <c r="C1" s="16" t="inlineStr">
        <is>
          <t>calc row</t>
        </is>
      </c>
    </row>
    <row r="2">
      <c r="A2" t="n">
        <v>1</v>
      </c>
      <c r="B2">
        <f>IFERROR(SMALL(Pipeline_Calc!$A$2:$A$5251,A2),"")</f>
        <v/>
      </c>
      <c r="C2">
        <f>IF(B2="","",MATCH(B2,Pipeline_Calc!$A$2:$A$5251,0))</f>
        <v/>
      </c>
    </row>
    <row r="3">
      <c r="A3" t="n">
        <v>2</v>
      </c>
      <c r="B3">
        <f>IFERROR(SMALL(Pipeline_Calc!$A$2:$A$5251,A3),"")</f>
        <v/>
      </c>
      <c r="C3">
        <f>IF(B3="","",MATCH(B3,Pipeline_Calc!$A$2:$A$5251,0))</f>
        <v/>
      </c>
    </row>
    <row r="4">
      <c r="A4" t="n">
        <v>3</v>
      </c>
      <c r="B4">
        <f>IFERROR(SMALL(Pipeline_Calc!$A$2:$A$5251,A4),"")</f>
        <v/>
      </c>
      <c r="C4">
        <f>IF(B4="","",MATCH(B4,Pipeline_Calc!$A$2:$A$5251,0))</f>
        <v/>
      </c>
    </row>
    <row r="5">
      <c r="A5" t="n">
        <v>4</v>
      </c>
      <c r="B5">
        <f>IFERROR(SMALL(Pipeline_Calc!$A$2:$A$5251,A5),"")</f>
        <v/>
      </c>
      <c r="C5">
        <f>IF(B5="","",MATCH(B5,Pipeline_Calc!$A$2:$A$5251,0))</f>
        <v/>
      </c>
    </row>
    <row r="6">
      <c r="A6" t="n">
        <v>5</v>
      </c>
      <c r="B6">
        <f>IFERROR(SMALL(Pipeline_Calc!$A$2:$A$5251,A6),"")</f>
        <v/>
      </c>
      <c r="C6">
        <f>IF(B6="","",MATCH(B6,Pipeline_Calc!$A$2:$A$5251,0))</f>
        <v/>
      </c>
    </row>
    <row r="7">
      <c r="A7" t="n">
        <v>6</v>
      </c>
      <c r="B7">
        <f>IFERROR(SMALL(Pipeline_Calc!$A$2:$A$5251,A7),"")</f>
        <v/>
      </c>
      <c r="C7">
        <f>IF(B7="","",MATCH(B7,Pipeline_Calc!$A$2:$A$5251,0))</f>
        <v/>
      </c>
    </row>
    <row r="8">
      <c r="A8" t="n">
        <v>7</v>
      </c>
      <c r="B8">
        <f>IFERROR(SMALL(Pipeline_Calc!$A$2:$A$5251,A8),"")</f>
        <v/>
      </c>
      <c r="C8">
        <f>IF(B8="","",MATCH(B8,Pipeline_Calc!$A$2:$A$5251,0))</f>
        <v/>
      </c>
    </row>
    <row r="9">
      <c r="A9" t="n">
        <v>8</v>
      </c>
      <c r="B9">
        <f>IFERROR(SMALL(Pipeline_Calc!$A$2:$A$5251,A9),"")</f>
        <v/>
      </c>
      <c r="C9">
        <f>IF(B9="","",MATCH(B9,Pipeline_Calc!$A$2:$A$5251,0))</f>
        <v/>
      </c>
    </row>
    <row r="10">
      <c r="A10" t="n">
        <v>9</v>
      </c>
      <c r="B10">
        <f>IFERROR(SMALL(Pipeline_Calc!$A$2:$A$5251,A10),"")</f>
        <v/>
      </c>
      <c r="C10">
        <f>IF(B10="","",MATCH(B10,Pipeline_Calc!$A$2:$A$5251,0))</f>
        <v/>
      </c>
    </row>
    <row r="11">
      <c r="A11" t="n">
        <v>10</v>
      </c>
      <c r="B11">
        <f>IFERROR(SMALL(Pipeline_Calc!$A$2:$A$5251,A11),"")</f>
        <v/>
      </c>
      <c r="C11">
        <f>IF(B11="","",MATCH(B11,Pipeline_Calc!$A$2:$A$5251,0))</f>
        <v/>
      </c>
    </row>
    <row r="12">
      <c r="A12" t="n">
        <v>11</v>
      </c>
      <c r="B12">
        <f>IFERROR(SMALL(Pipeline_Calc!$A$2:$A$5251,A12),"")</f>
        <v/>
      </c>
      <c r="C12">
        <f>IF(B12="","",MATCH(B12,Pipeline_Calc!$A$2:$A$5251,0))</f>
        <v/>
      </c>
    </row>
    <row r="13">
      <c r="A13" t="n">
        <v>12</v>
      </c>
      <c r="B13">
        <f>IFERROR(SMALL(Pipeline_Calc!$A$2:$A$5251,A13),"")</f>
        <v/>
      </c>
      <c r="C13">
        <f>IF(B13="","",MATCH(B13,Pipeline_Calc!$A$2:$A$5251,0))</f>
        <v/>
      </c>
    </row>
    <row r="14">
      <c r="A14" t="n">
        <v>13</v>
      </c>
      <c r="B14">
        <f>IFERROR(SMALL(Pipeline_Calc!$A$2:$A$5251,A14),"")</f>
        <v/>
      </c>
      <c r="C14">
        <f>IF(B14="","",MATCH(B14,Pipeline_Calc!$A$2:$A$5251,0))</f>
        <v/>
      </c>
    </row>
    <row r="15">
      <c r="A15" t="n">
        <v>14</v>
      </c>
      <c r="B15">
        <f>IFERROR(SMALL(Pipeline_Calc!$A$2:$A$5251,A15),"")</f>
        <v/>
      </c>
      <c r="C15">
        <f>IF(B15="","",MATCH(B15,Pipeline_Calc!$A$2:$A$5251,0))</f>
        <v/>
      </c>
    </row>
    <row r="16">
      <c r="A16" t="n">
        <v>15</v>
      </c>
      <c r="B16">
        <f>IFERROR(SMALL(Pipeline_Calc!$A$2:$A$5251,A16),"")</f>
        <v/>
      </c>
      <c r="C16">
        <f>IF(B16="","",MATCH(B16,Pipeline_Calc!$A$2:$A$5251,0))</f>
        <v/>
      </c>
    </row>
    <row r="17">
      <c r="A17" t="n">
        <v>16</v>
      </c>
      <c r="B17">
        <f>IFERROR(SMALL(Pipeline_Calc!$A$2:$A$5251,A17),"")</f>
        <v/>
      </c>
      <c r="C17">
        <f>IF(B17="","",MATCH(B17,Pipeline_Calc!$A$2:$A$5251,0))</f>
        <v/>
      </c>
    </row>
    <row r="18">
      <c r="A18" t="n">
        <v>17</v>
      </c>
      <c r="B18">
        <f>IFERROR(SMALL(Pipeline_Calc!$A$2:$A$5251,A18),"")</f>
        <v/>
      </c>
      <c r="C18">
        <f>IF(B18="","",MATCH(B18,Pipeline_Calc!$A$2:$A$5251,0))</f>
        <v/>
      </c>
    </row>
    <row r="19">
      <c r="A19" t="n">
        <v>18</v>
      </c>
      <c r="B19">
        <f>IFERROR(SMALL(Pipeline_Calc!$A$2:$A$5251,A19),"")</f>
        <v/>
      </c>
      <c r="C19">
        <f>IF(B19="","",MATCH(B19,Pipeline_Calc!$A$2:$A$5251,0))</f>
        <v/>
      </c>
    </row>
    <row r="20">
      <c r="A20" t="n">
        <v>19</v>
      </c>
      <c r="B20">
        <f>IFERROR(SMALL(Pipeline_Calc!$A$2:$A$5251,A20),"")</f>
        <v/>
      </c>
      <c r="C20">
        <f>IF(B20="","",MATCH(B20,Pipeline_Calc!$A$2:$A$5251,0))</f>
        <v/>
      </c>
    </row>
    <row r="21">
      <c r="A21" t="n">
        <v>20</v>
      </c>
      <c r="B21">
        <f>IFERROR(SMALL(Pipeline_Calc!$A$2:$A$5251,A21),"")</f>
        <v/>
      </c>
      <c r="C21">
        <f>IF(B21="","",MATCH(B21,Pipeline_Calc!$A$2:$A$5251,0))</f>
        <v/>
      </c>
    </row>
    <row r="22">
      <c r="A22" t="n">
        <v>21</v>
      </c>
      <c r="B22">
        <f>IFERROR(SMALL(Pipeline_Calc!$A$2:$A$5251,A22),"")</f>
        <v/>
      </c>
      <c r="C22">
        <f>IF(B22="","",MATCH(B22,Pipeline_Calc!$A$2:$A$5251,0))</f>
        <v/>
      </c>
    </row>
    <row r="23">
      <c r="A23" t="n">
        <v>22</v>
      </c>
      <c r="B23">
        <f>IFERROR(SMALL(Pipeline_Calc!$A$2:$A$5251,A23),"")</f>
        <v/>
      </c>
      <c r="C23">
        <f>IF(B23="","",MATCH(B23,Pipeline_Calc!$A$2:$A$5251,0))</f>
        <v/>
      </c>
    </row>
    <row r="24">
      <c r="A24" t="n">
        <v>23</v>
      </c>
      <c r="B24">
        <f>IFERROR(SMALL(Pipeline_Calc!$A$2:$A$5251,A24),"")</f>
        <v/>
      </c>
      <c r="C24">
        <f>IF(B24="","",MATCH(B24,Pipeline_Calc!$A$2:$A$5251,0))</f>
        <v/>
      </c>
    </row>
    <row r="25">
      <c r="A25" t="n">
        <v>24</v>
      </c>
      <c r="B25">
        <f>IFERROR(SMALL(Pipeline_Calc!$A$2:$A$5251,A25),"")</f>
        <v/>
      </c>
      <c r="C25">
        <f>IF(B25="","",MATCH(B25,Pipeline_Calc!$A$2:$A$5251,0))</f>
        <v/>
      </c>
    </row>
    <row r="26">
      <c r="A26" t="n">
        <v>25</v>
      </c>
      <c r="B26">
        <f>IFERROR(SMALL(Pipeline_Calc!$A$2:$A$5251,A26),"")</f>
        <v/>
      </c>
      <c r="C26">
        <f>IF(B26="","",MATCH(B26,Pipeline_Calc!$A$2:$A$5251,0))</f>
        <v/>
      </c>
    </row>
    <row r="27">
      <c r="A27" t="n">
        <v>26</v>
      </c>
      <c r="B27">
        <f>IFERROR(SMALL(Pipeline_Calc!$A$2:$A$5251,A27),"")</f>
        <v/>
      </c>
      <c r="C27">
        <f>IF(B27="","",MATCH(B27,Pipeline_Calc!$A$2:$A$5251,0))</f>
        <v/>
      </c>
    </row>
    <row r="28">
      <c r="A28" t="n">
        <v>27</v>
      </c>
      <c r="B28">
        <f>IFERROR(SMALL(Pipeline_Calc!$A$2:$A$5251,A28),"")</f>
        <v/>
      </c>
      <c r="C28">
        <f>IF(B28="","",MATCH(B28,Pipeline_Calc!$A$2:$A$5251,0))</f>
        <v/>
      </c>
    </row>
    <row r="29">
      <c r="A29" t="n">
        <v>28</v>
      </c>
      <c r="B29">
        <f>IFERROR(SMALL(Pipeline_Calc!$A$2:$A$5251,A29),"")</f>
        <v/>
      </c>
      <c r="C29">
        <f>IF(B29="","",MATCH(B29,Pipeline_Calc!$A$2:$A$5251,0))</f>
        <v/>
      </c>
    </row>
    <row r="30">
      <c r="A30" t="n">
        <v>29</v>
      </c>
      <c r="B30">
        <f>IFERROR(SMALL(Pipeline_Calc!$A$2:$A$5251,A30),"")</f>
        <v/>
      </c>
      <c r="C30">
        <f>IF(B30="","",MATCH(B30,Pipeline_Calc!$A$2:$A$5251,0))</f>
        <v/>
      </c>
    </row>
    <row r="31">
      <c r="A31" t="n">
        <v>30</v>
      </c>
      <c r="B31">
        <f>IFERROR(SMALL(Pipeline_Calc!$A$2:$A$5251,A31),"")</f>
        <v/>
      </c>
      <c r="C31">
        <f>IF(B31="","",MATCH(B31,Pipeline_Calc!$A$2:$A$5251,0))</f>
        <v/>
      </c>
    </row>
    <row r="32">
      <c r="A32" t="n">
        <v>31</v>
      </c>
      <c r="B32">
        <f>IFERROR(SMALL(Pipeline_Calc!$A$2:$A$5251,A32),"")</f>
        <v/>
      </c>
      <c r="C32">
        <f>IF(B32="","",MATCH(B32,Pipeline_Calc!$A$2:$A$5251,0))</f>
        <v/>
      </c>
    </row>
    <row r="33">
      <c r="A33" t="n">
        <v>32</v>
      </c>
      <c r="B33">
        <f>IFERROR(SMALL(Pipeline_Calc!$A$2:$A$5251,A33),"")</f>
        <v/>
      </c>
      <c r="C33">
        <f>IF(B33="","",MATCH(B33,Pipeline_Calc!$A$2:$A$5251,0))</f>
        <v/>
      </c>
    </row>
    <row r="34">
      <c r="A34" t="n">
        <v>33</v>
      </c>
      <c r="B34">
        <f>IFERROR(SMALL(Pipeline_Calc!$A$2:$A$5251,A34),"")</f>
        <v/>
      </c>
      <c r="C34">
        <f>IF(B34="","",MATCH(B34,Pipeline_Calc!$A$2:$A$5251,0))</f>
        <v/>
      </c>
    </row>
    <row r="35">
      <c r="A35" t="n">
        <v>34</v>
      </c>
      <c r="B35">
        <f>IFERROR(SMALL(Pipeline_Calc!$A$2:$A$5251,A35),"")</f>
        <v/>
      </c>
      <c r="C35">
        <f>IF(B35="","",MATCH(B35,Pipeline_Calc!$A$2:$A$5251,0))</f>
        <v/>
      </c>
    </row>
    <row r="36">
      <c r="A36" t="n">
        <v>35</v>
      </c>
      <c r="B36">
        <f>IFERROR(SMALL(Pipeline_Calc!$A$2:$A$5251,A36),"")</f>
        <v/>
      </c>
      <c r="C36">
        <f>IF(B36="","",MATCH(B36,Pipeline_Calc!$A$2:$A$5251,0))</f>
        <v/>
      </c>
    </row>
    <row r="37">
      <c r="A37" t="n">
        <v>36</v>
      </c>
      <c r="B37">
        <f>IFERROR(SMALL(Pipeline_Calc!$A$2:$A$5251,A37),"")</f>
        <v/>
      </c>
      <c r="C37">
        <f>IF(B37="","",MATCH(B37,Pipeline_Calc!$A$2:$A$5251,0))</f>
        <v/>
      </c>
    </row>
    <row r="38">
      <c r="A38" t="n">
        <v>37</v>
      </c>
      <c r="B38">
        <f>IFERROR(SMALL(Pipeline_Calc!$A$2:$A$5251,A38),"")</f>
        <v/>
      </c>
      <c r="C38">
        <f>IF(B38="","",MATCH(B38,Pipeline_Calc!$A$2:$A$5251,0))</f>
        <v/>
      </c>
    </row>
    <row r="39">
      <c r="A39" t="n">
        <v>38</v>
      </c>
      <c r="B39">
        <f>IFERROR(SMALL(Pipeline_Calc!$A$2:$A$5251,A39),"")</f>
        <v/>
      </c>
      <c r="C39">
        <f>IF(B39="","",MATCH(B39,Pipeline_Calc!$A$2:$A$5251,0))</f>
        <v/>
      </c>
    </row>
    <row r="40">
      <c r="A40" t="n">
        <v>39</v>
      </c>
      <c r="B40">
        <f>IFERROR(SMALL(Pipeline_Calc!$A$2:$A$5251,A40),"")</f>
        <v/>
      </c>
      <c r="C40">
        <f>IF(B40="","",MATCH(B40,Pipeline_Calc!$A$2:$A$5251,0))</f>
        <v/>
      </c>
    </row>
    <row r="41">
      <c r="A41" t="n">
        <v>40</v>
      </c>
      <c r="B41">
        <f>IFERROR(SMALL(Pipeline_Calc!$A$2:$A$5251,A41),"")</f>
        <v/>
      </c>
      <c r="C41">
        <f>IF(B41="","",MATCH(B41,Pipeline_Calc!$A$2:$A$5251,0))</f>
        <v/>
      </c>
    </row>
    <row r="42">
      <c r="A42" t="n">
        <v>41</v>
      </c>
      <c r="B42">
        <f>IFERROR(SMALL(Pipeline_Calc!$A$2:$A$5251,A42),"")</f>
        <v/>
      </c>
      <c r="C42">
        <f>IF(B42="","",MATCH(B42,Pipeline_Calc!$A$2:$A$5251,0))</f>
        <v/>
      </c>
    </row>
    <row r="43">
      <c r="A43" t="n">
        <v>42</v>
      </c>
      <c r="B43">
        <f>IFERROR(SMALL(Pipeline_Calc!$A$2:$A$5251,A43),"")</f>
        <v/>
      </c>
      <c r="C43">
        <f>IF(B43="","",MATCH(B43,Pipeline_Calc!$A$2:$A$5251,0))</f>
        <v/>
      </c>
    </row>
    <row r="44">
      <c r="A44" t="n">
        <v>43</v>
      </c>
      <c r="B44">
        <f>IFERROR(SMALL(Pipeline_Calc!$A$2:$A$5251,A44),"")</f>
        <v/>
      </c>
      <c r="C44">
        <f>IF(B44="","",MATCH(B44,Pipeline_Calc!$A$2:$A$5251,0))</f>
        <v/>
      </c>
    </row>
    <row r="45">
      <c r="A45" t="n">
        <v>44</v>
      </c>
      <c r="B45">
        <f>IFERROR(SMALL(Pipeline_Calc!$A$2:$A$5251,A45),"")</f>
        <v/>
      </c>
      <c r="C45">
        <f>IF(B45="","",MATCH(B45,Pipeline_Calc!$A$2:$A$5251,0))</f>
        <v/>
      </c>
    </row>
    <row r="46">
      <c r="A46" t="n">
        <v>45</v>
      </c>
      <c r="B46">
        <f>IFERROR(SMALL(Pipeline_Calc!$A$2:$A$5251,A46),"")</f>
        <v/>
      </c>
      <c r="C46">
        <f>IF(B46="","",MATCH(B46,Pipeline_Calc!$A$2:$A$5251,0))</f>
        <v/>
      </c>
    </row>
    <row r="47">
      <c r="A47" t="n">
        <v>46</v>
      </c>
      <c r="B47">
        <f>IFERROR(SMALL(Pipeline_Calc!$A$2:$A$5251,A47),"")</f>
        <v/>
      </c>
      <c r="C47">
        <f>IF(B47="","",MATCH(B47,Pipeline_Calc!$A$2:$A$5251,0))</f>
        <v/>
      </c>
    </row>
    <row r="48">
      <c r="A48" t="n">
        <v>47</v>
      </c>
      <c r="B48">
        <f>IFERROR(SMALL(Pipeline_Calc!$A$2:$A$5251,A48),"")</f>
        <v/>
      </c>
      <c r="C48">
        <f>IF(B48="","",MATCH(B48,Pipeline_Calc!$A$2:$A$5251,0))</f>
        <v/>
      </c>
    </row>
    <row r="49">
      <c r="A49" t="n">
        <v>48</v>
      </c>
      <c r="B49">
        <f>IFERROR(SMALL(Pipeline_Calc!$A$2:$A$5251,A49),"")</f>
        <v/>
      </c>
      <c r="C49">
        <f>IF(B49="","",MATCH(B49,Pipeline_Calc!$A$2:$A$5251,0))</f>
        <v/>
      </c>
    </row>
    <row r="50">
      <c r="A50" t="n">
        <v>49</v>
      </c>
      <c r="B50">
        <f>IFERROR(SMALL(Pipeline_Calc!$A$2:$A$5251,A50),"")</f>
        <v/>
      </c>
      <c r="C50">
        <f>IF(B50="","",MATCH(B50,Pipeline_Calc!$A$2:$A$5251,0))</f>
        <v/>
      </c>
    </row>
    <row r="51">
      <c r="A51" t="n">
        <v>50</v>
      </c>
      <c r="B51">
        <f>IFERROR(SMALL(Pipeline_Calc!$A$2:$A$5251,A51),"")</f>
        <v/>
      </c>
      <c r="C51">
        <f>IF(B51="","",MATCH(B51,Pipeline_Calc!$A$2:$A$5251,0))</f>
        <v/>
      </c>
    </row>
    <row r="52">
      <c r="A52" t="n">
        <v>51</v>
      </c>
      <c r="B52">
        <f>IFERROR(SMALL(Pipeline_Calc!$A$2:$A$5251,A52),"")</f>
        <v/>
      </c>
      <c r="C52">
        <f>IF(B52="","",MATCH(B52,Pipeline_Calc!$A$2:$A$5251,0))</f>
        <v/>
      </c>
    </row>
    <row r="53">
      <c r="A53" t="n">
        <v>52</v>
      </c>
      <c r="B53">
        <f>IFERROR(SMALL(Pipeline_Calc!$A$2:$A$5251,A53),"")</f>
        <v/>
      </c>
      <c r="C53">
        <f>IF(B53="","",MATCH(B53,Pipeline_Calc!$A$2:$A$5251,0))</f>
        <v/>
      </c>
    </row>
    <row r="54">
      <c r="A54" t="n">
        <v>53</v>
      </c>
      <c r="B54">
        <f>IFERROR(SMALL(Pipeline_Calc!$A$2:$A$5251,A54),"")</f>
        <v/>
      </c>
      <c r="C54">
        <f>IF(B54="","",MATCH(B54,Pipeline_Calc!$A$2:$A$5251,0))</f>
        <v/>
      </c>
    </row>
    <row r="55">
      <c r="A55" t="n">
        <v>54</v>
      </c>
      <c r="B55">
        <f>IFERROR(SMALL(Pipeline_Calc!$A$2:$A$5251,A55),"")</f>
        <v/>
      </c>
      <c r="C55">
        <f>IF(B55="","",MATCH(B55,Pipeline_Calc!$A$2:$A$5251,0))</f>
        <v/>
      </c>
    </row>
    <row r="56">
      <c r="A56" t="n">
        <v>55</v>
      </c>
      <c r="B56">
        <f>IFERROR(SMALL(Pipeline_Calc!$A$2:$A$5251,A56),"")</f>
        <v/>
      </c>
      <c r="C56">
        <f>IF(B56="","",MATCH(B56,Pipeline_Calc!$A$2:$A$5251,0))</f>
        <v/>
      </c>
    </row>
    <row r="57">
      <c r="A57" t="n">
        <v>56</v>
      </c>
      <c r="B57">
        <f>IFERROR(SMALL(Pipeline_Calc!$A$2:$A$5251,A57),"")</f>
        <v/>
      </c>
      <c r="C57">
        <f>IF(B57="","",MATCH(B57,Pipeline_Calc!$A$2:$A$5251,0))</f>
        <v/>
      </c>
    </row>
    <row r="58">
      <c r="A58" t="n">
        <v>57</v>
      </c>
      <c r="B58">
        <f>IFERROR(SMALL(Pipeline_Calc!$A$2:$A$5251,A58),"")</f>
        <v/>
      </c>
      <c r="C58">
        <f>IF(B58="","",MATCH(B58,Pipeline_Calc!$A$2:$A$5251,0))</f>
        <v/>
      </c>
    </row>
    <row r="59">
      <c r="A59" t="n">
        <v>58</v>
      </c>
      <c r="B59">
        <f>IFERROR(SMALL(Pipeline_Calc!$A$2:$A$5251,A59),"")</f>
        <v/>
      </c>
      <c r="C59">
        <f>IF(B59="","",MATCH(B59,Pipeline_Calc!$A$2:$A$5251,0))</f>
        <v/>
      </c>
    </row>
    <row r="60">
      <c r="A60" t="n">
        <v>59</v>
      </c>
      <c r="B60">
        <f>IFERROR(SMALL(Pipeline_Calc!$A$2:$A$5251,A60),"")</f>
        <v/>
      </c>
      <c r="C60">
        <f>IF(B60="","",MATCH(B60,Pipeline_Calc!$A$2:$A$5251,0))</f>
        <v/>
      </c>
    </row>
    <row r="61">
      <c r="A61" t="n">
        <v>60</v>
      </c>
      <c r="B61">
        <f>IFERROR(SMALL(Pipeline_Calc!$A$2:$A$5251,A61),"")</f>
        <v/>
      </c>
      <c r="C61">
        <f>IF(B61="","",MATCH(B61,Pipeline_Calc!$A$2:$A$5251,0))</f>
        <v/>
      </c>
    </row>
    <row r="62">
      <c r="A62" t="n">
        <v>61</v>
      </c>
      <c r="B62">
        <f>IFERROR(SMALL(Pipeline_Calc!$A$2:$A$5251,A62),"")</f>
        <v/>
      </c>
      <c r="C62">
        <f>IF(B62="","",MATCH(B62,Pipeline_Calc!$A$2:$A$5251,0))</f>
        <v/>
      </c>
    </row>
    <row r="63">
      <c r="A63" t="n">
        <v>62</v>
      </c>
      <c r="B63">
        <f>IFERROR(SMALL(Pipeline_Calc!$A$2:$A$5251,A63),"")</f>
        <v/>
      </c>
      <c r="C63">
        <f>IF(B63="","",MATCH(B63,Pipeline_Calc!$A$2:$A$5251,0))</f>
        <v/>
      </c>
    </row>
    <row r="64">
      <c r="A64" t="n">
        <v>63</v>
      </c>
      <c r="B64">
        <f>IFERROR(SMALL(Pipeline_Calc!$A$2:$A$5251,A64),"")</f>
        <v/>
      </c>
      <c r="C64">
        <f>IF(B64="","",MATCH(B64,Pipeline_Calc!$A$2:$A$5251,0))</f>
        <v/>
      </c>
    </row>
    <row r="65">
      <c r="A65" t="n">
        <v>64</v>
      </c>
      <c r="B65">
        <f>IFERROR(SMALL(Pipeline_Calc!$A$2:$A$5251,A65),"")</f>
        <v/>
      </c>
      <c r="C65">
        <f>IF(B65="","",MATCH(B65,Pipeline_Calc!$A$2:$A$5251,0))</f>
        <v/>
      </c>
    </row>
    <row r="66">
      <c r="A66" t="n">
        <v>65</v>
      </c>
      <c r="B66">
        <f>IFERROR(SMALL(Pipeline_Calc!$A$2:$A$5251,A66),"")</f>
        <v/>
      </c>
      <c r="C66">
        <f>IF(B66="","",MATCH(B66,Pipeline_Calc!$A$2:$A$5251,0))</f>
        <v/>
      </c>
    </row>
    <row r="67">
      <c r="A67" t="n">
        <v>66</v>
      </c>
      <c r="B67">
        <f>IFERROR(SMALL(Pipeline_Calc!$A$2:$A$5251,A67),"")</f>
        <v/>
      </c>
      <c r="C67">
        <f>IF(B67="","",MATCH(B67,Pipeline_Calc!$A$2:$A$5251,0))</f>
        <v/>
      </c>
    </row>
    <row r="68">
      <c r="A68" t="n">
        <v>67</v>
      </c>
      <c r="B68">
        <f>IFERROR(SMALL(Pipeline_Calc!$A$2:$A$5251,A68),"")</f>
        <v/>
      </c>
      <c r="C68">
        <f>IF(B68="","",MATCH(B68,Pipeline_Calc!$A$2:$A$5251,0))</f>
        <v/>
      </c>
    </row>
    <row r="69">
      <c r="A69" t="n">
        <v>68</v>
      </c>
      <c r="B69">
        <f>IFERROR(SMALL(Pipeline_Calc!$A$2:$A$5251,A69),"")</f>
        <v/>
      </c>
      <c r="C69">
        <f>IF(B69="","",MATCH(B69,Pipeline_Calc!$A$2:$A$5251,0))</f>
        <v/>
      </c>
    </row>
    <row r="70">
      <c r="A70" t="n">
        <v>69</v>
      </c>
      <c r="B70">
        <f>IFERROR(SMALL(Pipeline_Calc!$A$2:$A$5251,A70),"")</f>
        <v/>
      </c>
      <c r="C70">
        <f>IF(B70="","",MATCH(B70,Pipeline_Calc!$A$2:$A$5251,0))</f>
        <v/>
      </c>
    </row>
    <row r="71">
      <c r="A71" t="n">
        <v>70</v>
      </c>
      <c r="B71">
        <f>IFERROR(SMALL(Pipeline_Calc!$A$2:$A$5251,A71),"")</f>
        <v/>
      </c>
      <c r="C71">
        <f>IF(B71="","",MATCH(B71,Pipeline_Calc!$A$2:$A$5251,0))</f>
        <v/>
      </c>
    </row>
    <row r="72">
      <c r="A72" t="n">
        <v>71</v>
      </c>
      <c r="B72">
        <f>IFERROR(SMALL(Pipeline_Calc!$A$2:$A$5251,A72),"")</f>
        <v/>
      </c>
      <c r="C72">
        <f>IF(B72="","",MATCH(B72,Pipeline_Calc!$A$2:$A$5251,0))</f>
        <v/>
      </c>
    </row>
    <row r="73">
      <c r="A73" t="n">
        <v>72</v>
      </c>
      <c r="B73">
        <f>IFERROR(SMALL(Pipeline_Calc!$A$2:$A$5251,A73),"")</f>
        <v/>
      </c>
      <c r="C73">
        <f>IF(B73="","",MATCH(B73,Pipeline_Calc!$A$2:$A$5251,0))</f>
        <v/>
      </c>
    </row>
    <row r="74">
      <c r="A74" t="n">
        <v>73</v>
      </c>
      <c r="B74">
        <f>IFERROR(SMALL(Pipeline_Calc!$A$2:$A$5251,A74),"")</f>
        <v/>
      </c>
      <c r="C74">
        <f>IF(B74="","",MATCH(B74,Pipeline_Calc!$A$2:$A$5251,0))</f>
        <v/>
      </c>
    </row>
    <row r="75">
      <c r="A75" t="n">
        <v>74</v>
      </c>
      <c r="B75">
        <f>IFERROR(SMALL(Pipeline_Calc!$A$2:$A$5251,A75),"")</f>
        <v/>
      </c>
      <c r="C75">
        <f>IF(B75="","",MATCH(B75,Pipeline_Calc!$A$2:$A$5251,0))</f>
        <v/>
      </c>
    </row>
    <row r="76">
      <c r="A76" t="n">
        <v>75</v>
      </c>
      <c r="B76">
        <f>IFERROR(SMALL(Pipeline_Calc!$A$2:$A$5251,A76),"")</f>
        <v/>
      </c>
      <c r="C76">
        <f>IF(B76="","",MATCH(B76,Pipeline_Calc!$A$2:$A$5251,0))</f>
        <v/>
      </c>
    </row>
    <row r="77">
      <c r="A77" t="n">
        <v>76</v>
      </c>
      <c r="B77">
        <f>IFERROR(SMALL(Pipeline_Calc!$A$2:$A$5251,A77),"")</f>
        <v/>
      </c>
      <c r="C77">
        <f>IF(B77="","",MATCH(B77,Pipeline_Calc!$A$2:$A$5251,0))</f>
        <v/>
      </c>
    </row>
    <row r="78">
      <c r="A78" t="n">
        <v>77</v>
      </c>
      <c r="B78">
        <f>IFERROR(SMALL(Pipeline_Calc!$A$2:$A$5251,A78),"")</f>
        <v/>
      </c>
      <c r="C78">
        <f>IF(B78="","",MATCH(B78,Pipeline_Calc!$A$2:$A$5251,0))</f>
        <v/>
      </c>
    </row>
    <row r="79">
      <c r="A79" t="n">
        <v>78</v>
      </c>
      <c r="B79">
        <f>IFERROR(SMALL(Pipeline_Calc!$A$2:$A$5251,A79),"")</f>
        <v/>
      </c>
      <c r="C79">
        <f>IF(B79="","",MATCH(B79,Pipeline_Calc!$A$2:$A$5251,0))</f>
        <v/>
      </c>
    </row>
    <row r="80">
      <c r="A80" t="n">
        <v>79</v>
      </c>
      <c r="B80">
        <f>IFERROR(SMALL(Pipeline_Calc!$A$2:$A$5251,A80),"")</f>
        <v/>
      </c>
      <c r="C80">
        <f>IF(B80="","",MATCH(B80,Pipeline_Calc!$A$2:$A$5251,0))</f>
        <v/>
      </c>
    </row>
    <row r="81">
      <c r="A81" t="n">
        <v>80</v>
      </c>
      <c r="B81">
        <f>IFERROR(SMALL(Pipeline_Calc!$A$2:$A$5251,A81),"")</f>
        <v/>
      </c>
      <c r="C81">
        <f>IF(B81="","",MATCH(B81,Pipeline_Calc!$A$2:$A$5251,0))</f>
        <v/>
      </c>
    </row>
    <row r="82">
      <c r="A82" t="n">
        <v>81</v>
      </c>
      <c r="B82">
        <f>IFERROR(SMALL(Pipeline_Calc!$A$2:$A$5251,A82),"")</f>
        <v/>
      </c>
      <c r="C82">
        <f>IF(B82="","",MATCH(B82,Pipeline_Calc!$A$2:$A$5251,0))</f>
        <v/>
      </c>
    </row>
    <row r="83">
      <c r="A83" t="n">
        <v>82</v>
      </c>
      <c r="B83">
        <f>IFERROR(SMALL(Pipeline_Calc!$A$2:$A$5251,A83),"")</f>
        <v/>
      </c>
      <c r="C83">
        <f>IF(B83="","",MATCH(B83,Pipeline_Calc!$A$2:$A$5251,0))</f>
        <v/>
      </c>
    </row>
    <row r="84">
      <c r="A84" t="n">
        <v>83</v>
      </c>
      <c r="B84">
        <f>IFERROR(SMALL(Pipeline_Calc!$A$2:$A$5251,A84),"")</f>
        <v/>
      </c>
      <c r="C84">
        <f>IF(B84="","",MATCH(B84,Pipeline_Calc!$A$2:$A$5251,0))</f>
        <v/>
      </c>
    </row>
    <row r="85">
      <c r="A85" t="n">
        <v>84</v>
      </c>
      <c r="B85">
        <f>IFERROR(SMALL(Pipeline_Calc!$A$2:$A$5251,A85),"")</f>
        <v/>
      </c>
      <c r="C85">
        <f>IF(B85="","",MATCH(B85,Pipeline_Calc!$A$2:$A$5251,0))</f>
        <v/>
      </c>
    </row>
    <row r="86">
      <c r="A86" t="n">
        <v>85</v>
      </c>
      <c r="B86">
        <f>IFERROR(SMALL(Pipeline_Calc!$A$2:$A$5251,A86),"")</f>
        <v/>
      </c>
      <c r="C86">
        <f>IF(B86="","",MATCH(B86,Pipeline_Calc!$A$2:$A$5251,0))</f>
        <v/>
      </c>
    </row>
    <row r="87">
      <c r="A87" t="n">
        <v>86</v>
      </c>
      <c r="B87">
        <f>IFERROR(SMALL(Pipeline_Calc!$A$2:$A$5251,A87),"")</f>
        <v/>
      </c>
      <c r="C87">
        <f>IF(B87="","",MATCH(B87,Pipeline_Calc!$A$2:$A$5251,0))</f>
        <v/>
      </c>
    </row>
    <row r="88">
      <c r="A88" t="n">
        <v>87</v>
      </c>
      <c r="B88">
        <f>IFERROR(SMALL(Pipeline_Calc!$A$2:$A$5251,A88),"")</f>
        <v/>
      </c>
      <c r="C88">
        <f>IF(B88="","",MATCH(B88,Pipeline_Calc!$A$2:$A$5251,0))</f>
        <v/>
      </c>
    </row>
    <row r="89">
      <c r="A89" t="n">
        <v>88</v>
      </c>
      <c r="B89">
        <f>IFERROR(SMALL(Pipeline_Calc!$A$2:$A$5251,A89),"")</f>
        <v/>
      </c>
      <c r="C89">
        <f>IF(B89="","",MATCH(B89,Pipeline_Calc!$A$2:$A$5251,0))</f>
        <v/>
      </c>
    </row>
    <row r="90">
      <c r="A90" t="n">
        <v>89</v>
      </c>
      <c r="B90">
        <f>IFERROR(SMALL(Pipeline_Calc!$A$2:$A$5251,A90),"")</f>
        <v/>
      </c>
      <c r="C90">
        <f>IF(B90="","",MATCH(B90,Pipeline_Calc!$A$2:$A$5251,0))</f>
        <v/>
      </c>
    </row>
    <row r="91">
      <c r="A91" t="n">
        <v>90</v>
      </c>
      <c r="B91">
        <f>IFERROR(SMALL(Pipeline_Calc!$A$2:$A$5251,A91),"")</f>
        <v/>
      </c>
      <c r="C91">
        <f>IF(B91="","",MATCH(B91,Pipeline_Calc!$A$2:$A$5251,0))</f>
        <v/>
      </c>
    </row>
    <row r="92">
      <c r="A92" t="n">
        <v>91</v>
      </c>
      <c r="B92">
        <f>IFERROR(SMALL(Pipeline_Calc!$A$2:$A$5251,A92),"")</f>
        <v/>
      </c>
      <c r="C92">
        <f>IF(B92="","",MATCH(B92,Pipeline_Calc!$A$2:$A$5251,0))</f>
        <v/>
      </c>
    </row>
    <row r="93">
      <c r="A93" t="n">
        <v>92</v>
      </c>
      <c r="B93">
        <f>IFERROR(SMALL(Pipeline_Calc!$A$2:$A$5251,A93),"")</f>
        <v/>
      </c>
      <c r="C93">
        <f>IF(B93="","",MATCH(B93,Pipeline_Calc!$A$2:$A$5251,0))</f>
        <v/>
      </c>
    </row>
    <row r="94">
      <c r="A94" t="n">
        <v>93</v>
      </c>
      <c r="B94">
        <f>IFERROR(SMALL(Pipeline_Calc!$A$2:$A$5251,A94),"")</f>
        <v/>
      </c>
      <c r="C94">
        <f>IF(B94="","",MATCH(B94,Pipeline_Calc!$A$2:$A$5251,0))</f>
        <v/>
      </c>
    </row>
    <row r="95">
      <c r="A95" t="n">
        <v>94</v>
      </c>
      <c r="B95">
        <f>IFERROR(SMALL(Pipeline_Calc!$A$2:$A$5251,A95),"")</f>
        <v/>
      </c>
      <c r="C95">
        <f>IF(B95="","",MATCH(B95,Pipeline_Calc!$A$2:$A$5251,0))</f>
        <v/>
      </c>
    </row>
    <row r="96">
      <c r="A96" t="n">
        <v>95</v>
      </c>
      <c r="B96">
        <f>IFERROR(SMALL(Pipeline_Calc!$A$2:$A$5251,A96),"")</f>
        <v/>
      </c>
      <c r="C96">
        <f>IF(B96="","",MATCH(B96,Pipeline_Calc!$A$2:$A$5251,0))</f>
        <v/>
      </c>
    </row>
    <row r="97">
      <c r="A97" t="n">
        <v>96</v>
      </c>
      <c r="B97">
        <f>IFERROR(SMALL(Pipeline_Calc!$A$2:$A$5251,A97),"")</f>
        <v/>
      </c>
      <c r="C97">
        <f>IF(B97="","",MATCH(B97,Pipeline_Calc!$A$2:$A$5251,0))</f>
        <v/>
      </c>
    </row>
    <row r="98">
      <c r="A98" t="n">
        <v>97</v>
      </c>
      <c r="B98">
        <f>IFERROR(SMALL(Pipeline_Calc!$A$2:$A$5251,A98),"")</f>
        <v/>
      </c>
      <c r="C98">
        <f>IF(B98="","",MATCH(B98,Pipeline_Calc!$A$2:$A$5251,0))</f>
        <v/>
      </c>
    </row>
    <row r="99">
      <c r="A99" t="n">
        <v>98</v>
      </c>
      <c r="B99">
        <f>IFERROR(SMALL(Pipeline_Calc!$A$2:$A$5251,A99),"")</f>
        <v/>
      </c>
      <c r="C99">
        <f>IF(B99="","",MATCH(B99,Pipeline_Calc!$A$2:$A$5251,0))</f>
        <v/>
      </c>
    </row>
    <row r="100">
      <c r="A100" t="n">
        <v>99</v>
      </c>
      <c r="B100">
        <f>IFERROR(SMALL(Pipeline_Calc!$A$2:$A$5251,A100),"")</f>
        <v/>
      </c>
      <c r="C100">
        <f>IF(B100="","",MATCH(B100,Pipeline_Calc!$A$2:$A$5251,0))</f>
        <v/>
      </c>
    </row>
    <row r="101">
      <c r="A101" t="n">
        <v>100</v>
      </c>
      <c r="B101">
        <f>IFERROR(SMALL(Pipeline_Calc!$A$2:$A$5251,A101),"")</f>
        <v/>
      </c>
      <c r="C101">
        <f>IF(B101="","",MATCH(B101,Pipeline_Calc!$A$2:$A$5251,0))</f>
        <v/>
      </c>
    </row>
    <row r="102">
      <c r="A102" t="n">
        <v>101</v>
      </c>
      <c r="B102">
        <f>IFERROR(SMALL(Pipeline_Calc!$A$2:$A$5251,A102),"")</f>
        <v/>
      </c>
      <c r="C102">
        <f>IF(B102="","",MATCH(B102,Pipeline_Calc!$A$2:$A$5251,0))</f>
        <v/>
      </c>
    </row>
    <row r="103">
      <c r="A103" t="n">
        <v>102</v>
      </c>
      <c r="B103">
        <f>IFERROR(SMALL(Pipeline_Calc!$A$2:$A$5251,A103),"")</f>
        <v/>
      </c>
      <c r="C103">
        <f>IF(B103="","",MATCH(B103,Pipeline_Calc!$A$2:$A$5251,0))</f>
        <v/>
      </c>
    </row>
    <row r="104">
      <c r="A104" t="n">
        <v>103</v>
      </c>
      <c r="B104">
        <f>IFERROR(SMALL(Pipeline_Calc!$A$2:$A$5251,A104),"")</f>
        <v/>
      </c>
      <c r="C104">
        <f>IF(B104="","",MATCH(B104,Pipeline_Calc!$A$2:$A$5251,0))</f>
        <v/>
      </c>
    </row>
    <row r="105">
      <c r="A105" t="n">
        <v>104</v>
      </c>
      <c r="B105">
        <f>IFERROR(SMALL(Pipeline_Calc!$A$2:$A$5251,A105),"")</f>
        <v/>
      </c>
      <c r="C105">
        <f>IF(B105="","",MATCH(B105,Pipeline_Calc!$A$2:$A$5251,0))</f>
        <v/>
      </c>
    </row>
    <row r="106">
      <c r="A106" t="n">
        <v>105</v>
      </c>
      <c r="B106">
        <f>IFERROR(SMALL(Pipeline_Calc!$A$2:$A$5251,A106),"")</f>
        <v/>
      </c>
      <c r="C106">
        <f>IF(B106="","",MATCH(B106,Pipeline_Calc!$A$2:$A$5251,0))</f>
        <v/>
      </c>
    </row>
    <row r="107">
      <c r="A107" t="n">
        <v>106</v>
      </c>
      <c r="B107">
        <f>IFERROR(SMALL(Pipeline_Calc!$A$2:$A$5251,A107),"")</f>
        <v/>
      </c>
      <c r="C107">
        <f>IF(B107="","",MATCH(B107,Pipeline_Calc!$A$2:$A$5251,0))</f>
        <v/>
      </c>
    </row>
    <row r="108">
      <c r="A108" t="n">
        <v>107</v>
      </c>
      <c r="B108">
        <f>IFERROR(SMALL(Pipeline_Calc!$A$2:$A$5251,A108),"")</f>
        <v/>
      </c>
      <c r="C108">
        <f>IF(B108="","",MATCH(B108,Pipeline_Calc!$A$2:$A$5251,0))</f>
        <v/>
      </c>
    </row>
    <row r="109">
      <c r="A109" t="n">
        <v>108</v>
      </c>
      <c r="B109">
        <f>IFERROR(SMALL(Pipeline_Calc!$A$2:$A$5251,A109),"")</f>
        <v/>
      </c>
      <c r="C109">
        <f>IF(B109="","",MATCH(B109,Pipeline_Calc!$A$2:$A$5251,0))</f>
        <v/>
      </c>
    </row>
    <row r="110">
      <c r="A110" t="n">
        <v>109</v>
      </c>
      <c r="B110">
        <f>IFERROR(SMALL(Pipeline_Calc!$A$2:$A$5251,A110),"")</f>
        <v/>
      </c>
      <c r="C110">
        <f>IF(B110="","",MATCH(B110,Pipeline_Calc!$A$2:$A$5251,0))</f>
        <v/>
      </c>
    </row>
    <row r="111">
      <c r="A111" t="n">
        <v>110</v>
      </c>
      <c r="B111">
        <f>IFERROR(SMALL(Pipeline_Calc!$A$2:$A$5251,A111),"")</f>
        <v/>
      </c>
      <c r="C111">
        <f>IF(B111="","",MATCH(B111,Pipeline_Calc!$A$2:$A$5251,0))</f>
        <v/>
      </c>
    </row>
    <row r="112">
      <c r="A112" t="n">
        <v>111</v>
      </c>
      <c r="B112">
        <f>IFERROR(SMALL(Pipeline_Calc!$A$2:$A$5251,A112),"")</f>
        <v/>
      </c>
      <c r="C112">
        <f>IF(B112="","",MATCH(B112,Pipeline_Calc!$A$2:$A$5251,0))</f>
        <v/>
      </c>
    </row>
    <row r="113">
      <c r="A113" t="n">
        <v>112</v>
      </c>
      <c r="B113">
        <f>IFERROR(SMALL(Pipeline_Calc!$A$2:$A$5251,A113),"")</f>
        <v/>
      </c>
      <c r="C113">
        <f>IF(B113="","",MATCH(B113,Pipeline_Calc!$A$2:$A$5251,0))</f>
        <v/>
      </c>
    </row>
    <row r="114">
      <c r="A114" t="n">
        <v>113</v>
      </c>
      <c r="B114">
        <f>IFERROR(SMALL(Pipeline_Calc!$A$2:$A$5251,A114),"")</f>
        <v/>
      </c>
      <c r="C114">
        <f>IF(B114="","",MATCH(B114,Pipeline_Calc!$A$2:$A$5251,0))</f>
        <v/>
      </c>
    </row>
    <row r="115">
      <c r="A115" t="n">
        <v>114</v>
      </c>
      <c r="B115">
        <f>IFERROR(SMALL(Pipeline_Calc!$A$2:$A$5251,A115),"")</f>
        <v/>
      </c>
      <c r="C115">
        <f>IF(B115="","",MATCH(B115,Pipeline_Calc!$A$2:$A$5251,0))</f>
        <v/>
      </c>
    </row>
    <row r="116">
      <c r="A116" t="n">
        <v>115</v>
      </c>
      <c r="B116">
        <f>IFERROR(SMALL(Pipeline_Calc!$A$2:$A$5251,A116),"")</f>
        <v/>
      </c>
      <c r="C116">
        <f>IF(B116="","",MATCH(B116,Pipeline_Calc!$A$2:$A$5251,0))</f>
        <v/>
      </c>
    </row>
    <row r="117">
      <c r="A117" t="n">
        <v>116</v>
      </c>
      <c r="B117">
        <f>IFERROR(SMALL(Pipeline_Calc!$A$2:$A$5251,A117),"")</f>
        <v/>
      </c>
      <c r="C117">
        <f>IF(B117="","",MATCH(B117,Pipeline_Calc!$A$2:$A$5251,0))</f>
        <v/>
      </c>
    </row>
    <row r="118">
      <c r="A118" t="n">
        <v>117</v>
      </c>
      <c r="B118">
        <f>IFERROR(SMALL(Pipeline_Calc!$A$2:$A$5251,A118),"")</f>
        <v/>
      </c>
      <c r="C118">
        <f>IF(B118="","",MATCH(B118,Pipeline_Calc!$A$2:$A$5251,0))</f>
        <v/>
      </c>
    </row>
    <row r="119">
      <c r="A119" t="n">
        <v>118</v>
      </c>
      <c r="B119">
        <f>IFERROR(SMALL(Pipeline_Calc!$A$2:$A$5251,A119),"")</f>
        <v/>
      </c>
      <c r="C119">
        <f>IF(B119="","",MATCH(B119,Pipeline_Calc!$A$2:$A$5251,0))</f>
        <v/>
      </c>
    </row>
    <row r="120">
      <c r="A120" t="n">
        <v>119</v>
      </c>
      <c r="B120">
        <f>IFERROR(SMALL(Pipeline_Calc!$A$2:$A$5251,A120),"")</f>
        <v/>
      </c>
      <c r="C120">
        <f>IF(B120="","",MATCH(B120,Pipeline_Calc!$A$2:$A$5251,0))</f>
        <v/>
      </c>
    </row>
    <row r="121">
      <c r="A121" t="n">
        <v>120</v>
      </c>
      <c r="B121">
        <f>IFERROR(SMALL(Pipeline_Calc!$A$2:$A$5251,A121),"")</f>
        <v/>
      </c>
      <c r="C121">
        <f>IF(B121="","",MATCH(B121,Pipeline_Calc!$A$2:$A$5251,0))</f>
        <v/>
      </c>
    </row>
    <row r="122">
      <c r="A122" t="n">
        <v>121</v>
      </c>
      <c r="B122">
        <f>IFERROR(SMALL(Pipeline_Calc!$A$2:$A$5251,A122),"")</f>
        <v/>
      </c>
      <c r="C122">
        <f>IF(B122="","",MATCH(B122,Pipeline_Calc!$A$2:$A$5251,0))</f>
        <v/>
      </c>
    </row>
    <row r="123">
      <c r="A123" t="n">
        <v>122</v>
      </c>
      <c r="B123">
        <f>IFERROR(SMALL(Pipeline_Calc!$A$2:$A$5251,A123),"")</f>
        <v/>
      </c>
      <c r="C123">
        <f>IF(B123="","",MATCH(B123,Pipeline_Calc!$A$2:$A$5251,0))</f>
        <v/>
      </c>
    </row>
    <row r="124">
      <c r="A124" t="n">
        <v>123</v>
      </c>
      <c r="B124">
        <f>IFERROR(SMALL(Pipeline_Calc!$A$2:$A$5251,A124),"")</f>
        <v/>
      </c>
      <c r="C124">
        <f>IF(B124="","",MATCH(B124,Pipeline_Calc!$A$2:$A$5251,0))</f>
        <v/>
      </c>
    </row>
    <row r="125">
      <c r="A125" t="n">
        <v>124</v>
      </c>
      <c r="B125">
        <f>IFERROR(SMALL(Pipeline_Calc!$A$2:$A$5251,A125),"")</f>
        <v/>
      </c>
      <c r="C125">
        <f>IF(B125="","",MATCH(B125,Pipeline_Calc!$A$2:$A$5251,0))</f>
        <v/>
      </c>
    </row>
    <row r="126">
      <c r="A126" t="n">
        <v>125</v>
      </c>
      <c r="B126">
        <f>IFERROR(SMALL(Pipeline_Calc!$A$2:$A$5251,A126),"")</f>
        <v/>
      </c>
      <c r="C126">
        <f>IF(B126="","",MATCH(B126,Pipeline_Calc!$A$2:$A$5251,0))</f>
        <v/>
      </c>
    </row>
    <row r="127">
      <c r="A127" t="n">
        <v>126</v>
      </c>
      <c r="B127">
        <f>IFERROR(SMALL(Pipeline_Calc!$A$2:$A$5251,A127),"")</f>
        <v/>
      </c>
      <c r="C127">
        <f>IF(B127="","",MATCH(B127,Pipeline_Calc!$A$2:$A$5251,0))</f>
        <v/>
      </c>
    </row>
    <row r="128">
      <c r="A128" t="n">
        <v>127</v>
      </c>
      <c r="B128">
        <f>IFERROR(SMALL(Pipeline_Calc!$A$2:$A$5251,A128),"")</f>
        <v/>
      </c>
      <c r="C128">
        <f>IF(B128="","",MATCH(B128,Pipeline_Calc!$A$2:$A$5251,0))</f>
        <v/>
      </c>
    </row>
    <row r="129">
      <c r="A129" t="n">
        <v>128</v>
      </c>
      <c r="B129">
        <f>IFERROR(SMALL(Pipeline_Calc!$A$2:$A$5251,A129),"")</f>
        <v/>
      </c>
      <c r="C129">
        <f>IF(B129="","",MATCH(B129,Pipeline_Calc!$A$2:$A$5251,0))</f>
        <v/>
      </c>
    </row>
    <row r="130">
      <c r="A130" t="n">
        <v>129</v>
      </c>
      <c r="B130">
        <f>IFERROR(SMALL(Pipeline_Calc!$A$2:$A$5251,A130),"")</f>
        <v/>
      </c>
      <c r="C130">
        <f>IF(B130="","",MATCH(B130,Pipeline_Calc!$A$2:$A$5251,0))</f>
        <v/>
      </c>
    </row>
    <row r="131">
      <c r="A131" t="n">
        <v>130</v>
      </c>
      <c r="B131">
        <f>IFERROR(SMALL(Pipeline_Calc!$A$2:$A$5251,A131),"")</f>
        <v/>
      </c>
      <c r="C131">
        <f>IF(B131="","",MATCH(B131,Pipeline_Calc!$A$2:$A$5251,0))</f>
        <v/>
      </c>
    </row>
    <row r="132">
      <c r="A132" t="n">
        <v>131</v>
      </c>
      <c r="B132">
        <f>IFERROR(SMALL(Pipeline_Calc!$A$2:$A$5251,A132),"")</f>
        <v/>
      </c>
      <c r="C132">
        <f>IF(B132="","",MATCH(B132,Pipeline_Calc!$A$2:$A$5251,0))</f>
        <v/>
      </c>
    </row>
    <row r="133">
      <c r="A133" t="n">
        <v>132</v>
      </c>
      <c r="B133">
        <f>IFERROR(SMALL(Pipeline_Calc!$A$2:$A$5251,A133),"")</f>
        <v/>
      </c>
      <c r="C133">
        <f>IF(B133="","",MATCH(B133,Pipeline_Calc!$A$2:$A$5251,0))</f>
        <v/>
      </c>
    </row>
    <row r="134">
      <c r="A134" t="n">
        <v>133</v>
      </c>
      <c r="B134">
        <f>IFERROR(SMALL(Pipeline_Calc!$A$2:$A$5251,A134),"")</f>
        <v/>
      </c>
      <c r="C134">
        <f>IF(B134="","",MATCH(B134,Pipeline_Calc!$A$2:$A$5251,0))</f>
        <v/>
      </c>
    </row>
    <row r="135">
      <c r="A135" t="n">
        <v>134</v>
      </c>
      <c r="B135">
        <f>IFERROR(SMALL(Pipeline_Calc!$A$2:$A$5251,A135),"")</f>
        <v/>
      </c>
      <c r="C135">
        <f>IF(B135="","",MATCH(B135,Pipeline_Calc!$A$2:$A$5251,0))</f>
        <v/>
      </c>
    </row>
    <row r="136">
      <c r="A136" t="n">
        <v>135</v>
      </c>
      <c r="B136">
        <f>IFERROR(SMALL(Pipeline_Calc!$A$2:$A$5251,A136),"")</f>
        <v/>
      </c>
      <c r="C136">
        <f>IF(B136="","",MATCH(B136,Pipeline_Calc!$A$2:$A$5251,0))</f>
        <v/>
      </c>
    </row>
    <row r="137">
      <c r="A137" t="n">
        <v>136</v>
      </c>
      <c r="B137">
        <f>IFERROR(SMALL(Pipeline_Calc!$A$2:$A$5251,A137),"")</f>
        <v/>
      </c>
      <c r="C137">
        <f>IF(B137="","",MATCH(B137,Pipeline_Calc!$A$2:$A$5251,0))</f>
        <v/>
      </c>
    </row>
    <row r="138">
      <c r="A138" t="n">
        <v>137</v>
      </c>
      <c r="B138">
        <f>IFERROR(SMALL(Pipeline_Calc!$A$2:$A$5251,A138),"")</f>
        <v/>
      </c>
      <c r="C138">
        <f>IF(B138="","",MATCH(B138,Pipeline_Calc!$A$2:$A$5251,0))</f>
        <v/>
      </c>
    </row>
    <row r="139">
      <c r="A139" t="n">
        <v>138</v>
      </c>
      <c r="B139">
        <f>IFERROR(SMALL(Pipeline_Calc!$A$2:$A$5251,A139),"")</f>
        <v/>
      </c>
      <c r="C139">
        <f>IF(B139="","",MATCH(B139,Pipeline_Calc!$A$2:$A$5251,0))</f>
        <v/>
      </c>
    </row>
    <row r="140">
      <c r="A140" t="n">
        <v>139</v>
      </c>
      <c r="B140">
        <f>IFERROR(SMALL(Pipeline_Calc!$A$2:$A$5251,A140),"")</f>
        <v/>
      </c>
      <c r="C140">
        <f>IF(B140="","",MATCH(B140,Pipeline_Calc!$A$2:$A$5251,0))</f>
        <v/>
      </c>
    </row>
    <row r="141">
      <c r="A141" t="n">
        <v>140</v>
      </c>
      <c r="B141">
        <f>IFERROR(SMALL(Pipeline_Calc!$A$2:$A$5251,A141),"")</f>
        <v/>
      </c>
      <c r="C141">
        <f>IF(B141="","",MATCH(B141,Pipeline_Calc!$A$2:$A$5251,0))</f>
        <v/>
      </c>
    </row>
    <row r="142">
      <c r="A142" t="n">
        <v>141</v>
      </c>
      <c r="B142">
        <f>IFERROR(SMALL(Pipeline_Calc!$A$2:$A$5251,A142),"")</f>
        <v/>
      </c>
      <c r="C142">
        <f>IF(B142="","",MATCH(B142,Pipeline_Calc!$A$2:$A$5251,0))</f>
        <v/>
      </c>
    </row>
    <row r="143">
      <c r="A143" t="n">
        <v>142</v>
      </c>
      <c r="B143">
        <f>IFERROR(SMALL(Pipeline_Calc!$A$2:$A$5251,A143),"")</f>
        <v/>
      </c>
      <c r="C143">
        <f>IF(B143="","",MATCH(B143,Pipeline_Calc!$A$2:$A$5251,0))</f>
        <v/>
      </c>
    </row>
    <row r="144">
      <c r="A144" t="n">
        <v>143</v>
      </c>
      <c r="B144">
        <f>IFERROR(SMALL(Pipeline_Calc!$A$2:$A$5251,A144),"")</f>
        <v/>
      </c>
      <c r="C144">
        <f>IF(B144="","",MATCH(B144,Pipeline_Calc!$A$2:$A$5251,0))</f>
        <v/>
      </c>
    </row>
    <row r="145">
      <c r="A145" t="n">
        <v>144</v>
      </c>
      <c r="B145">
        <f>IFERROR(SMALL(Pipeline_Calc!$A$2:$A$5251,A145),"")</f>
        <v/>
      </c>
      <c r="C145">
        <f>IF(B145="","",MATCH(B145,Pipeline_Calc!$A$2:$A$5251,0))</f>
        <v/>
      </c>
    </row>
    <row r="146">
      <c r="A146" t="n">
        <v>145</v>
      </c>
      <c r="B146">
        <f>IFERROR(SMALL(Pipeline_Calc!$A$2:$A$5251,A146),"")</f>
        <v/>
      </c>
      <c r="C146">
        <f>IF(B146="","",MATCH(B146,Pipeline_Calc!$A$2:$A$5251,0))</f>
        <v/>
      </c>
    </row>
    <row r="147">
      <c r="A147" t="n">
        <v>146</v>
      </c>
      <c r="B147">
        <f>IFERROR(SMALL(Pipeline_Calc!$A$2:$A$5251,A147),"")</f>
        <v/>
      </c>
      <c r="C147">
        <f>IF(B147="","",MATCH(B147,Pipeline_Calc!$A$2:$A$5251,0))</f>
        <v/>
      </c>
    </row>
    <row r="148">
      <c r="A148" t="n">
        <v>147</v>
      </c>
      <c r="B148">
        <f>IFERROR(SMALL(Pipeline_Calc!$A$2:$A$5251,A148),"")</f>
        <v/>
      </c>
      <c r="C148">
        <f>IF(B148="","",MATCH(B148,Pipeline_Calc!$A$2:$A$5251,0))</f>
        <v/>
      </c>
    </row>
    <row r="149">
      <c r="A149" t="n">
        <v>148</v>
      </c>
      <c r="B149">
        <f>IFERROR(SMALL(Pipeline_Calc!$A$2:$A$5251,A149),"")</f>
        <v/>
      </c>
      <c r="C149">
        <f>IF(B149="","",MATCH(B149,Pipeline_Calc!$A$2:$A$5251,0))</f>
        <v/>
      </c>
    </row>
    <row r="150">
      <c r="A150" t="n">
        <v>149</v>
      </c>
      <c r="B150">
        <f>IFERROR(SMALL(Pipeline_Calc!$A$2:$A$5251,A150),"")</f>
        <v/>
      </c>
      <c r="C150">
        <f>IF(B150="","",MATCH(B150,Pipeline_Calc!$A$2:$A$5251,0))</f>
        <v/>
      </c>
    </row>
    <row r="151">
      <c r="A151" t="n">
        <v>150</v>
      </c>
      <c r="B151">
        <f>IFERROR(SMALL(Pipeline_Calc!$A$2:$A$5251,A151),"")</f>
        <v/>
      </c>
      <c r="C151">
        <f>IF(B151="","",MATCH(B151,Pipeline_Calc!$A$2:$A$5251,0))</f>
        <v/>
      </c>
    </row>
    <row r="152">
      <c r="A152" t="n">
        <v>151</v>
      </c>
      <c r="B152">
        <f>IFERROR(SMALL(Pipeline_Calc!$A$2:$A$5251,A152),"")</f>
        <v/>
      </c>
      <c r="C152">
        <f>IF(B152="","",MATCH(B152,Pipeline_Calc!$A$2:$A$5251,0))</f>
        <v/>
      </c>
    </row>
    <row r="153">
      <c r="A153" t="n">
        <v>152</v>
      </c>
      <c r="B153">
        <f>IFERROR(SMALL(Pipeline_Calc!$A$2:$A$5251,A153),"")</f>
        <v/>
      </c>
      <c r="C153">
        <f>IF(B153="","",MATCH(B153,Pipeline_Calc!$A$2:$A$5251,0))</f>
        <v/>
      </c>
    </row>
    <row r="154">
      <c r="A154" t="n">
        <v>153</v>
      </c>
      <c r="B154">
        <f>IFERROR(SMALL(Pipeline_Calc!$A$2:$A$5251,A154),"")</f>
        <v/>
      </c>
      <c r="C154">
        <f>IF(B154="","",MATCH(B154,Pipeline_Calc!$A$2:$A$5251,0))</f>
        <v/>
      </c>
    </row>
    <row r="155">
      <c r="A155" t="n">
        <v>154</v>
      </c>
      <c r="B155">
        <f>IFERROR(SMALL(Pipeline_Calc!$A$2:$A$5251,A155),"")</f>
        <v/>
      </c>
      <c r="C155">
        <f>IF(B155="","",MATCH(B155,Pipeline_Calc!$A$2:$A$5251,0))</f>
        <v/>
      </c>
    </row>
    <row r="156">
      <c r="A156" t="n">
        <v>155</v>
      </c>
      <c r="B156">
        <f>IFERROR(SMALL(Pipeline_Calc!$A$2:$A$5251,A156),"")</f>
        <v/>
      </c>
      <c r="C156">
        <f>IF(B156="","",MATCH(B156,Pipeline_Calc!$A$2:$A$5251,0))</f>
        <v/>
      </c>
    </row>
    <row r="157">
      <c r="A157" t="n">
        <v>156</v>
      </c>
      <c r="B157">
        <f>IFERROR(SMALL(Pipeline_Calc!$A$2:$A$5251,A157),"")</f>
        <v/>
      </c>
      <c r="C157">
        <f>IF(B157="","",MATCH(B157,Pipeline_Calc!$A$2:$A$5251,0))</f>
        <v/>
      </c>
    </row>
    <row r="158">
      <c r="A158" t="n">
        <v>157</v>
      </c>
      <c r="B158">
        <f>IFERROR(SMALL(Pipeline_Calc!$A$2:$A$5251,A158),"")</f>
        <v/>
      </c>
      <c r="C158">
        <f>IF(B158="","",MATCH(B158,Pipeline_Calc!$A$2:$A$5251,0))</f>
        <v/>
      </c>
    </row>
    <row r="159">
      <c r="A159" t="n">
        <v>158</v>
      </c>
      <c r="B159">
        <f>IFERROR(SMALL(Pipeline_Calc!$A$2:$A$5251,A159),"")</f>
        <v/>
      </c>
      <c r="C159">
        <f>IF(B159="","",MATCH(B159,Pipeline_Calc!$A$2:$A$5251,0))</f>
        <v/>
      </c>
    </row>
    <row r="160">
      <c r="A160" t="n">
        <v>159</v>
      </c>
      <c r="B160">
        <f>IFERROR(SMALL(Pipeline_Calc!$A$2:$A$5251,A160),"")</f>
        <v/>
      </c>
      <c r="C160">
        <f>IF(B160="","",MATCH(B160,Pipeline_Calc!$A$2:$A$5251,0))</f>
        <v/>
      </c>
    </row>
    <row r="161">
      <c r="A161" t="n">
        <v>160</v>
      </c>
      <c r="B161">
        <f>IFERROR(SMALL(Pipeline_Calc!$A$2:$A$5251,A161),"")</f>
        <v/>
      </c>
      <c r="C161">
        <f>IF(B161="","",MATCH(B161,Pipeline_Calc!$A$2:$A$5251,0))</f>
        <v/>
      </c>
    </row>
    <row r="162">
      <c r="A162" t="n">
        <v>161</v>
      </c>
      <c r="B162">
        <f>IFERROR(SMALL(Pipeline_Calc!$A$2:$A$5251,A162),"")</f>
        <v/>
      </c>
      <c r="C162">
        <f>IF(B162="","",MATCH(B162,Pipeline_Calc!$A$2:$A$5251,0))</f>
        <v/>
      </c>
    </row>
    <row r="163">
      <c r="A163" t="n">
        <v>162</v>
      </c>
      <c r="B163">
        <f>IFERROR(SMALL(Pipeline_Calc!$A$2:$A$5251,A163),"")</f>
        <v/>
      </c>
      <c r="C163">
        <f>IF(B163="","",MATCH(B163,Pipeline_Calc!$A$2:$A$5251,0))</f>
        <v/>
      </c>
    </row>
    <row r="164">
      <c r="A164" t="n">
        <v>163</v>
      </c>
      <c r="B164">
        <f>IFERROR(SMALL(Pipeline_Calc!$A$2:$A$5251,A164),"")</f>
        <v/>
      </c>
      <c r="C164">
        <f>IF(B164="","",MATCH(B164,Pipeline_Calc!$A$2:$A$5251,0))</f>
        <v/>
      </c>
    </row>
    <row r="165">
      <c r="A165" t="n">
        <v>164</v>
      </c>
      <c r="B165">
        <f>IFERROR(SMALL(Pipeline_Calc!$A$2:$A$5251,A165),"")</f>
        <v/>
      </c>
      <c r="C165">
        <f>IF(B165="","",MATCH(B165,Pipeline_Calc!$A$2:$A$5251,0))</f>
        <v/>
      </c>
    </row>
    <row r="166">
      <c r="A166" t="n">
        <v>165</v>
      </c>
      <c r="B166">
        <f>IFERROR(SMALL(Pipeline_Calc!$A$2:$A$5251,A166),"")</f>
        <v/>
      </c>
      <c r="C166">
        <f>IF(B166="","",MATCH(B166,Pipeline_Calc!$A$2:$A$5251,0))</f>
        <v/>
      </c>
    </row>
    <row r="167">
      <c r="A167" t="n">
        <v>166</v>
      </c>
      <c r="B167">
        <f>IFERROR(SMALL(Pipeline_Calc!$A$2:$A$5251,A167),"")</f>
        <v/>
      </c>
      <c r="C167">
        <f>IF(B167="","",MATCH(B167,Pipeline_Calc!$A$2:$A$5251,0))</f>
        <v/>
      </c>
    </row>
    <row r="168">
      <c r="A168" t="n">
        <v>167</v>
      </c>
      <c r="B168">
        <f>IFERROR(SMALL(Pipeline_Calc!$A$2:$A$5251,A168),"")</f>
        <v/>
      </c>
      <c r="C168">
        <f>IF(B168="","",MATCH(B168,Pipeline_Calc!$A$2:$A$5251,0))</f>
        <v/>
      </c>
    </row>
    <row r="169">
      <c r="A169" t="n">
        <v>168</v>
      </c>
      <c r="B169">
        <f>IFERROR(SMALL(Pipeline_Calc!$A$2:$A$5251,A169),"")</f>
        <v/>
      </c>
      <c r="C169">
        <f>IF(B169="","",MATCH(B169,Pipeline_Calc!$A$2:$A$5251,0))</f>
        <v/>
      </c>
    </row>
    <row r="170">
      <c r="A170" t="n">
        <v>169</v>
      </c>
      <c r="B170">
        <f>IFERROR(SMALL(Pipeline_Calc!$A$2:$A$5251,A170),"")</f>
        <v/>
      </c>
      <c r="C170">
        <f>IF(B170="","",MATCH(B170,Pipeline_Calc!$A$2:$A$5251,0))</f>
        <v/>
      </c>
    </row>
    <row r="171">
      <c r="A171" t="n">
        <v>170</v>
      </c>
      <c r="B171">
        <f>IFERROR(SMALL(Pipeline_Calc!$A$2:$A$5251,A171),"")</f>
        <v/>
      </c>
      <c r="C171">
        <f>IF(B171="","",MATCH(B171,Pipeline_Calc!$A$2:$A$5251,0))</f>
        <v/>
      </c>
    </row>
    <row r="172">
      <c r="A172" t="n">
        <v>171</v>
      </c>
      <c r="B172">
        <f>IFERROR(SMALL(Pipeline_Calc!$A$2:$A$5251,A172),"")</f>
        <v/>
      </c>
      <c r="C172">
        <f>IF(B172="","",MATCH(B172,Pipeline_Calc!$A$2:$A$5251,0))</f>
        <v/>
      </c>
    </row>
    <row r="173">
      <c r="A173" t="n">
        <v>172</v>
      </c>
      <c r="B173">
        <f>IFERROR(SMALL(Pipeline_Calc!$A$2:$A$5251,A173),"")</f>
        <v/>
      </c>
      <c r="C173">
        <f>IF(B173="","",MATCH(B173,Pipeline_Calc!$A$2:$A$5251,0))</f>
        <v/>
      </c>
    </row>
    <row r="174">
      <c r="A174" t="n">
        <v>173</v>
      </c>
      <c r="B174">
        <f>IFERROR(SMALL(Pipeline_Calc!$A$2:$A$5251,A174),"")</f>
        <v/>
      </c>
      <c r="C174">
        <f>IF(B174="","",MATCH(B174,Pipeline_Calc!$A$2:$A$5251,0))</f>
        <v/>
      </c>
    </row>
    <row r="175">
      <c r="A175" t="n">
        <v>174</v>
      </c>
      <c r="B175">
        <f>IFERROR(SMALL(Pipeline_Calc!$A$2:$A$5251,A175),"")</f>
        <v/>
      </c>
      <c r="C175">
        <f>IF(B175="","",MATCH(B175,Pipeline_Calc!$A$2:$A$5251,0))</f>
        <v/>
      </c>
    </row>
    <row r="176">
      <c r="A176" t="n">
        <v>175</v>
      </c>
      <c r="B176">
        <f>IFERROR(SMALL(Pipeline_Calc!$A$2:$A$5251,A176),"")</f>
        <v/>
      </c>
      <c r="C176">
        <f>IF(B176="","",MATCH(B176,Pipeline_Calc!$A$2:$A$5251,0))</f>
        <v/>
      </c>
    </row>
    <row r="177">
      <c r="A177" t="n">
        <v>176</v>
      </c>
      <c r="B177">
        <f>IFERROR(SMALL(Pipeline_Calc!$A$2:$A$5251,A177),"")</f>
        <v/>
      </c>
      <c r="C177">
        <f>IF(B177="","",MATCH(B177,Pipeline_Calc!$A$2:$A$5251,0))</f>
        <v/>
      </c>
    </row>
    <row r="178">
      <c r="A178" t="n">
        <v>177</v>
      </c>
      <c r="B178">
        <f>IFERROR(SMALL(Pipeline_Calc!$A$2:$A$5251,A178),"")</f>
        <v/>
      </c>
      <c r="C178">
        <f>IF(B178="","",MATCH(B178,Pipeline_Calc!$A$2:$A$5251,0))</f>
        <v/>
      </c>
    </row>
    <row r="179">
      <c r="A179" t="n">
        <v>178</v>
      </c>
      <c r="B179">
        <f>IFERROR(SMALL(Pipeline_Calc!$A$2:$A$5251,A179),"")</f>
        <v/>
      </c>
      <c r="C179">
        <f>IF(B179="","",MATCH(B179,Pipeline_Calc!$A$2:$A$5251,0))</f>
        <v/>
      </c>
    </row>
    <row r="180">
      <c r="A180" t="n">
        <v>179</v>
      </c>
      <c r="B180">
        <f>IFERROR(SMALL(Pipeline_Calc!$A$2:$A$5251,A180),"")</f>
        <v/>
      </c>
      <c r="C180">
        <f>IF(B180="","",MATCH(B180,Pipeline_Calc!$A$2:$A$5251,0))</f>
        <v/>
      </c>
    </row>
    <row r="181">
      <c r="A181" t="n">
        <v>180</v>
      </c>
      <c r="B181">
        <f>IFERROR(SMALL(Pipeline_Calc!$A$2:$A$5251,A181),"")</f>
        <v/>
      </c>
      <c r="C181">
        <f>IF(B181="","",MATCH(B181,Pipeline_Calc!$A$2:$A$5251,0))</f>
        <v/>
      </c>
    </row>
    <row r="182">
      <c r="A182" t="n">
        <v>181</v>
      </c>
      <c r="B182">
        <f>IFERROR(SMALL(Pipeline_Calc!$A$2:$A$5251,A182),"")</f>
        <v/>
      </c>
      <c r="C182">
        <f>IF(B182="","",MATCH(B182,Pipeline_Calc!$A$2:$A$5251,0))</f>
        <v/>
      </c>
    </row>
    <row r="183">
      <c r="A183" t="n">
        <v>182</v>
      </c>
      <c r="B183">
        <f>IFERROR(SMALL(Pipeline_Calc!$A$2:$A$5251,A183),"")</f>
        <v/>
      </c>
      <c r="C183">
        <f>IF(B183="","",MATCH(B183,Pipeline_Calc!$A$2:$A$5251,0))</f>
        <v/>
      </c>
    </row>
    <row r="184">
      <c r="A184" t="n">
        <v>183</v>
      </c>
      <c r="B184">
        <f>IFERROR(SMALL(Pipeline_Calc!$A$2:$A$5251,A184),"")</f>
        <v/>
      </c>
      <c r="C184">
        <f>IF(B184="","",MATCH(B184,Pipeline_Calc!$A$2:$A$5251,0))</f>
        <v/>
      </c>
    </row>
    <row r="185">
      <c r="A185" t="n">
        <v>184</v>
      </c>
      <c r="B185">
        <f>IFERROR(SMALL(Pipeline_Calc!$A$2:$A$5251,A185),"")</f>
        <v/>
      </c>
      <c r="C185">
        <f>IF(B185="","",MATCH(B185,Pipeline_Calc!$A$2:$A$5251,0))</f>
        <v/>
      </c>
    </row>
    <row r="186">
      <c r="A186" t="n">
        <v>185</v>
      </c>
      <c r="B186">
        <f>IFERROR(SMALL(Pipeline_Calc!$A$2:$A$5251,A186),"")</f>
        <v/>
      </c>
      <c r="C186">
        <f>IF(B186="","",MATCH(B186,Pipeline_Calc!$A$2:$A$5251,0))</f>
        <v/>
      </c>
    </row>
    <row r="187">
      <c r="A187" t="n">
        <v>186</v>
      </c>
      <c r="B187">
        <f>IFERROR(SMALL(Pipeline_Calc!$A$2:$A$5251,A187),"")</f>
        <v/>
      </c>
      <c r="C187">
        <f>IF(B187="","",MATCH(B187,Pipeline_Calc!$A$2:$A$5251,0))</f>
        <v/>
      </c>
    </row>
    <row r="188">
      <c r="A188" t="n">
        <v>187</v>
      </c>
      <c r="B188">
        <f>IFERROR(SMALL(Pipeline_Calc!$A$2:$A$5251,A188),"")</f>
        <v/>
      </c>
      <c r="C188">
        <f>IF(B188="","",MATCH(B188,Pipeline_Calc!$A$2:$A$5251,0))</f>
        <v/>
      </c>
    </row>
    <row r="189">
      <c r="A189" t="n">
        <v>188</v>
      </c>
      <c r="B189">
        <f>IFERROR(SMALL(Pipeline_Calc!$A$2:$A$5251,A189),"")</f>
        <v/>
      </c>
      <c r="C189">
        <f>IF(B189="","",MATCH(B189,Pipeline_Calc!$A$2:$A$5251,0))</f>
        <v/>
      </c>
    </row>
    <row r="190">
      <c r="A190" t="n">
        <v>189</v>
      </c>
      <c r="B190">
        <f>IFERROR(SMALL(Pipeline_Calc!$A$2:$A$5251,A190),"")</f>
        <v/>
      </c>
      <c r="C190">
        <f>IF(B190="","",MATCH(B190,Pipeline_Calc!$A$2:$A$5251,0))</f>
        <v/>
      </c>
    </row>
    <row r="191">
      <c r="A191" t="n">
        <v>190</v>
      </c>
      <c r="B191">
        <f>IFERROR(SMALL(Pipeline_Calc!$A$2:$A$5251,A191),"")</f>
        <v/>
      </c>
      <c r="C191">
        <f>IF(B191="","",MATCH(B191,Pipeline_Calc!$A$2:$A$5251,0))</f>
        <v/>
      </c>
    </row>
    <row r="192">
      <c r="A192" t="n">
        <v>191</v>
      </c>
      <c r="B192">
        <f>IFERROR(SMALL(Pipeline_Calc!$A$2:$A$5251,A192),"")</f>
        <v/>
      </c>
      <c r="C192">
        <f>IF(B192="","",MATCH(B192,Pipeline_Calc!$A$2:$A$5251,0))</f>
        <v/>
      </c>
    </row>
    <row r="193">
      <c r="A193" t="n">
        <v>192</v>
      </c>
      <c r="B193">
        <f>IFERROR(SMALL(Pipeline_Calc!$A$2:$A$5251,A193),"")</f>
        <v/>
      </c>
      <c r="C193">
        <f>IF(B193="","",MATCH(B193,Pipeline_Calc!$A$2:$A$5251,0))</f>
        <v/>
      </c>
    </row>
    <row r="194">
      <c r="A194" t="n">
        <v>193</v>
      </c>
      <c r="B194">
        <f>IFERROR(SMALL(Pipeline_Calc!$A$2:$A$5251,A194),"")</f>
        <v/>
      </c>
      <c r="C194">
        <f>IF(B194="","",MATCH(B194,Pipeline_Calc!$A$2:$A$5251,0))</f>
        <v/>
      </c>
    </row>
    <row r="195">
      <c r="A195" t="n">
        <v>194</v>
      </c>
      <c r="B195">
        <f>IFERROR(SMALL(Pipeline_Calc!$A$2:$A$5251,A195),"")</f>
        <v/>
      </c>
      <c r="C195">
        <f>IF(B195="","",MATCH(B195,Pipeline_Calc!$A$2:$A$5251,0))</f>
        <v/>
      </c>
    </row>
    <row r="196">
      <c r="A196" t="n">
        <v>195</v>
      </c>
      <c r="B196">
        <f>IFERROR(SMALL(Pipeline_Calc!$A$2:$A$5251,A196),"")</f>
        <v/>
      </c>
      <c r="C196">
        <f>IF(B196="","",MATCH(B196,Pipeline_Calc!$A$2:$A$5251,0))</f>
        <v/>
      </c>
    </row>
    <row r="197">
      <c r="A197" t="n">
        <v>196</v>
      </c>
      <c r="B197">
        <f>IFERROR(SMALL(Pipeline_Calc!$A$2:$A$5251,A197),"")</f>
        <v/>
      </c>
      <c r="C197">
        <f>IF(B197="","",MATCH(B197,Pipeline_Calc!$A$2:$A$5251,0))</f>
        <v/>
      </c>
    </row>
    <row r="198">
      <c r="A198" t="n">
        <v>197</v>
      </c>
      <c r="B198">
        <f>IFERROR(SMALL(Pipeline_Calc!$A$2:$A$5251,A198),"")</f>
        <v/>
      </c>
      <c r="C198">
        <f>IF(B198="","",MATCH(B198,Pipeline_Calc!$A$2:$A$5251,0))</f>
        <v/>
      </c>
    </row>
    <row r="199">
      <c r="A199" t="n">
        <v>198</v>
      </c>
      <c r="B199">
        <f>IFERROR(SMALL(Pipeline_Calc!$A$2:$A$5251,A199),"")</f>
        <v/>
      </c>
      <c r="C199">
        <f>IF(B199="","",MATCH(B199,Pipeline_Calc!$A$2:$A$5251,0))</f>
        <v/>
      </c>
    </row>
    <row r="200">
      <c r="A200" t="n">
        <v>199</v>
      </c>
      <c r="B200">
        <f>IFERROR(SMALL(Pipeline_Calc!$A$2:$A$5251,A200),"")</f>
        <v/>
      </c>
      <c r="C200">
        <f>IF(B200="","",MATCH(B200,Pipeline_Calc!$A$2:$A$5251,0))</f>
        <v/>
      </c>
    </row>
    <row r="201">
      <c r="A201" t="n">
        <v>200</v>
      </c>
      <c r="B201">
        <f>IFERROR(SMALL(Pipeline_Calc!$A$2:$A$5251,A201),"")</f>
        <v/>
      </c>
      <c r="C201">
        <f>IF(B201="","",MATCH(B201,Pipeline_Calc!$A$2:$A$5251,0))</f>
        <v/>
      </c>
    </row>
    <row r="202">
      <c r="A202" t="n">
        <v>201</v>
      </c>
      <c r="B202">
        <f>IFERROR(SMALL(Pipeline_Calc!$A$2:$A$5251,A202),"")</f>
        <v/>
      </c>
      <c r="C202">
        <f>IF(B202="","",MATCH(B202,Pipeline_Calc!$A$2:$A$5251,0))</f>
        <v/>
      </c>
    </row>
    <row r="203">
      <c r="A203" t="n">
        <v>202</v>
      </c>
      <c r="B203">
        <f>IFERROR(SMALL(Pipeline_Calc!$A$2:$A$5251,A203),"")</f>
        <v/>
      </c>
      <c r="C203">
        <f>IF(B203="","",MATCH(B203,Pipeline_Calc!$A$2:$A$5251,0))</f>
        <v/>
      </c>
    </row>
    <row r="204">
      <c r="A204" t="n">
        <v>203</v>
      </c>
      <c r="B204">
        <f>IFERROR(SMALL(Pipeline_Calc!$A$2:$A$5251,A204),"")</f>
        <v/>
      </c>
      <c r="C204">
        <f>IF(B204="","",MATCH(B204,Pipeline_Calc!$A$2:$A$5251,0))</f>
        <v/>
      </c>
    </row>
    <row r="205">
      <c r="A205" t="n">
        <v>204</v>
      </c>
      <c r="B205">
        <f>IFERROR(SMALL(Pipeline_Calc!$A$2:$A$5251,A205),"")</f>
        <v/>
      </c>
      <c r="C205">
        <f>IF(B205="","",MATCH(B205,Pipeline_Calc!$A$2:$A$5251,0))</f>
        <v/>
      </c>
    </row>
    <row r="206">
      <c r="A206" t="n">
        <v>205</v>
      </c>
      <c r="B206">
        <f>IFERROR(SMALL(Pipeline_Calc!$A$2:$A$5251,A206),"")</f>
        <v/>
      </c>
      <c r="C206">
        <f>IF(B206="","",MATCH(B206,Pipeline_Calc!$A$2:$A$5251,0))</f>
        <v/>
      </c>
    </row>
    <row r="207">
      <c r="A207" t="n">
        <v>206</v>
      </c>
      <c r="B207">
        <f>IFERROR(SMALL(Pipeline_Calc!$A$2:$A$5251,A207),"")</f>
        <v/>
      </c>
      <c r="C207">
        <f>IF(B207="","",MATCH(B207,Pipeline_Calc!$A$2:$A$5251,0))</f>
        <v/>
      </c>
    </row>
    <row r="208">
      <c r="A208" t="n">
        <v>207</v>
      </c>
      <c r="B208">
        <f>IFERROR(SMALL(Pipeline_Calc!$A$2:$A$5251,A208),"")</f>
        <v/>
      </c>
      <c r="C208">
        <f>IF(B208="","",MATCH(B208,Pipeline_Calc!$A$2:$A$5251,0))</f>
        <v/>
      </c>
    </row>
    <row r="209">
      <c r="A209" t="n">
        <v>208</v>
      </c>
      <c r="B209">
        <f>IFERROR(SMALL(Pipeline_Calc!$A$2:$A$5251,A209),"")</f>
        <v/>
      </c>
      <c r="C209">
        <f>IF(B209="","",MATCH(B209,Pipeline_Calc!$A$2:$A$5251,0))</f>
        <v/>
      </c>
    </row>
    <row r="210">
      <c r="A210" t="n">
        <v>209</v>
      </c>
      <c r="B210">
        <f>IFERROR(SMALL(Pipeline_Calc!$A$2:$A$5251,A210),"")</f>
        <v/>
      </c>
      <c r="C210">
        <f>IF(B210="","",MATCH(B210,Pipeline_Calc!$A$2:$A$5251,0))</f>
        <v/>
      </c>
    </row>
    <row r="211">
      <c r="A211" t="n">
        <v>210</v>
      </c>
      <c r="B211">
        <f>IFERROR(SMALL(Pipeline_Calc!$A$2:$A$5251,A211),"")</f>
        <v/>
      </c>
      <c r="C211">
        <f>IF(B211="","",MATCH(B211,Pipeline_Calc!$A$2:$A$5251,0))</f>
        <v/>
      </c>
    </row>
    <row r="212">
      <c r="A212" t="n">
        <v>211</v>
      </c>
      <c r="B212">
        <f>IFERROR(SMALL(Pipeline_Calc!$A$2:$A$5251,A212),"")</f>
        <v/>
      </c>
      <c r="C212">
        <f>IF(B212="","",MATCH(B212,Pipeline_Calc!$A$2:$A$5251,0))</f>
        <v/>
      </c>
    </row>
    <row r="213">
      <c r="A213" t="n">
        <v>212</v>
      </c>
      <c r="B213">
        <f>IFERROR(SMALL(Pipeline_Calc!$A$2:$A$5251,A213),"")</f>
        <v/>
      </c>
      <c r="C213">
        <f>IF(B213="","",MATCH(B213,Pipeline_Calc!$A$2:$A$5251,0))</f>
        <v/>
      </c>
    </row>
    <row r="214">
      <c r="A214" t="n">
        <v>213</v>
      </c>
      <c r="B214">
        <f>IFERROR(SMALL(Pipeline_Calc!$A$2:$A$5251,A214),"")</f>
        <v/>
      </c>
      <c r="C214">
        <f>IF(B214="","",MATCH(B214,Pipeline_Calc!$A$2:$A$5251,0))</f>
        <v/>
      </c>
    </row>
    <row r="215">
      <c r="A215" t="n">
        <v>214</v>
      </c>
      <c r="B215">
        <f>IFERROR(SMALL(Pipeline_Calc!$A$2:$A$5251,A215),"")</f>
        <v/>
      </c>
      <c r="C215">
        <f>IF(B215="","",MATCH(B215,Pipeline_Calc!$A$2:$A$5251,0))</f>
        <v/>
      </c>
    </row>
    <row r="216">
      <c r="A216" t="n">
        <v>215</v>
      </c>
      <c r="B216">
        <f>IFERROR(SMALL(Pipeline_Calc!$A$2:$A$5251,A216),"")</f>
        <v/>
      </c>
      <c r="C216">
        <f>IF(B216="","",MATCH(B216,Pipeline_Calc!$A$2:$A$5251,0))</f>
        <v/>
      </c>
    </row>
    <row r="217">
      <c r="A217" t="n">
        <v>216</v>
      </c>
      <c r="B217">
        <f>IFERROR(SMALL(Pipeline_Calc!$A$2:$A$5251,A217),"")</f>
        <v/>
      </c>
      <c r="C217">
        <f>IF(B217="","",MATCH(B217,Pipeline_Calc!$A$2:$A$5251,0))</f>
        <v/>
      </c>
    </row>
    <row r="218">
      <c r="A218" t="n">
        <v>217</v>
      </c>
      <c r="B218">
        <f>IFERROR(SMALL(Pipeline_Calc!$A$2:$A$5251,A218),"")</f>
        <v/>
      </c>
      <c r="C218">
        <f>IF(B218="","",MATCH(B218,Pipeline_Calc!$A$2:$A$5251,0))</f>
        <v/>
      </c>
    </row>
    <row r="219">
      <c r="A219" t="n">
        <v>218</v>
      </c>
      <c r="B219">
        <f>IFERROR(SMALL(Pipeline_Calc!$A$2:$A$5251,A219),"")</f>
        <v/>
      </c>
      <c r="C219">
        <f>IF(B219="","",MATCH(B219,Pipeline_Calc!$A$2:$A$5251,0))</f>
        <v/>
      </c>
    </row>
    <row r="220">
      <c r="A220" t="n">
        <v>219</v>
      </c>
      <c r="B220">
        <f>IFERROR(SMALL(Pipeline_Calc!$A$2:$A$5251,A220),"")</f>
        <v/>
      </c>
      <c r="C220">
        <f>IF(B220="","",MATCH(B220,Pipeline_Calc!$A$2:$A$5251,0))</f>
        <v/>
      </c>
    </row>
    <row r="221">
      <c r="A221" t="n">
        <v>220</v>
      </c>
      <c r="B221">
        <f>IFERROR(SMALL(Pipeline_Calc!$A$2:$A$5251,A221),"")</f>
        <v/>
      </c>
      <c r="C221">
        <f>IF(B221="","",MATCH(B221,Pipeline_Calc!$A$2:$A$5251,0))</f>
        <v/>
      </c>
    </row>
    <row r="222">
      <c r="A222" t="n">
        <v>221</v>
      </c>
      <c r="B222">
        <f>IFERROR(SMALL(Pipeline_Calc!$A$2:$A$5251,A222),"")</f>
        <v/>
      </c>
      <c r="C222">
        <f>IF(B222="","",MATCH(B222,Pipeline_Calc!$A$2:$A$5251,0))</f>
        <v/>
      </c>
    </row>
    <row r="223">
      <c r="A223" t="n">
        <v>222</v>
      </c>
      <c r="B223">
        <f>IFERROR(SMALL(Pipeline_Calc!$A$2:$A$5251,A223),"")</f>
        <v/>
      </c>
      <c r="C223">
        <f>IF(B223="","",MATCH(B223,Pipeline_Calc!$A$2:$A$5251,0))</f>
        <v/>
      </c>
    </row>
    <row r="224">
      <c r="A224" t="n">
        <v>223</v>
      </c>
      <c r="B224">
        <f>IFERROR(SMALL(Pipeline_Calc!$A$2:$A$5251,A224),"")</f>
        <v/>
      </c>
      <c r="C224">
        <f>IF(B224="","",MATCH(B224,Pipeline_Calc!$A$2:$A$5251,0))</f>
        <v/>
      </c>
    </row>
    <row r="225">
      <c r="A225" t="n">
        <v>224</v>
      </c>
      <c r="B225">
        <f>IFERROR(SMALL(Pipeline_Calc!$A$2:$A$5251,A225),"")</f>
        <v/>
      </c>
      <c r="C225">
        <f>IF(B225="","",MATCH(B225,Pipeline_Calc!$A$2:$A$5251,0))</f>
        <v/>
      </c>
    </row>
    <row r="226">
      <c r="A226" t="n">
        <v>225</v>
      </c>
      <c r="B226">
        <f>IFERROR(SMALL(Pipeline_Calc!$A$2:$A$5251,A226),"")</f>
        <v/>
      </c>
      <c r="C226">
        <f>IF(B226="","",MATCH(B226,Pipeline_Calc!$A$2:$A$5251,0))</f>
        <v/>
      </c>
    </row>
    <row r="227">
      <c r="A227" t="n">
        <v>226</v>
      </c>
      <c r="B227">
        <f>IFERROR(SMALL(Pipeline_Calc!$A$2:$A$5251,A227),"")</f>
        <v/>
      </c>
      <c r="C227">
        <f>IF(B227="","",MATCH(B227,Pipeline_Calc!$A$2:$A$5251,0))</f>
        <v/>
      </c>
    </row>
    <row r="228">
      <c r="A228" t="n">
        <v>227</v>
      </c>
      <c r="B228">
        <f>IFERROR(SMALL(Pipeline_Calc!$A$2:$A$5251,A228),"")</f>
        <v/>
      </c>
      <c r="C228">
        <f>IF(B228="","",MATCH(B228,Pipeline_Calc!$A$2:$A$5251,0))</f>
        <v/>
      </c>
    </row>
    <row r="229">
      <c r="A229" t="n">
        <v>228</v>
      </c>
      <c r="B229">
        <f>IFERROR(SMALL(Pipeline_Calc!$A$2:$A$5251,A229),"")</f>
        <v/>
      </c>
      <c r="C229">
        <f>IF(B229="","",MATCH(B229,Pipeline_Calc!$A$2:$A$5251,0))</f>
        <v/>
      </c>
    </row>
    <row r="230">
      <c r="A230" t="n">
        <v>229</v>
      </c>
      <c r="B230">
        <f>IFERROR(SMALL(Pipeline_Calc!$A$2:$A$5251,A230),"")</f>
        <v/>
      </c>
      <c r="C230">
        <f>IF(B230="","",MATCH(B230,Pipeline_Calc!$A$2:$A$5251,0))</f>
        <v/>
      </c>
    </row>
    <row r="231">
      <c r="A231" t="n">
        <v>230</v>
      </c>
      <c r="B231">
        <f>IFERROR(SMALL(Pipeline_Calc!$A$2:$A$5251,A231),"")</f>
        <v/>
      </c>
      <c r="C231">
        <f>IF(B231="","",MATCH(B231,Pipeline_Calc!$A$2:$A$5251,0))</f>
        <v/>
      </c>
    </row>
    <row r="232">
      <c r="A232" t="n">
        <v>231</v>
      </c>
      <c r="B232">
        <f>IFERROR(SMALL(Pipeline_Calc!$A$2:$A$5251,A232),"")</f>
        <v/>
      </c>
      <c r="C232">
        <f>IF(B232="","",MATCH(B232,Pipeline_Calc!$A$2:$A$5251,0))</f>
        <v/>
      </c>
    </row>
    <row r="233">
      <c r="A233" t="n">
        <v>232</v>
      </c>
      <c r="B233">
        <f>IFERROR(SMALL(Pipeline_Calc!$A$2:$A$5251,A233),"")</f>
        <v/>
      </c>
      <c r="C233">
        <f>IF(B233="","",MATCH(B233,Pipeline_Calc!$A$2:$A$5251,0))</f>
        <v/>
      </c>
    </row>
    <row r="234">
      <c r="A234" t="n">
        <v>233</v>
      </c>
      <c r="B234">
        <f>IFERROR(SMALL(Pipeline_Calc!$A$2:$A$5251,A234),"")</f>
        <v/>
      </c>
      <c r="C234">
        <f>IF(B234="","",MATCH(B234,Pipeline_Calc!$A$2:$A$5251,0))</f>
        <v/>
      </c>
    </row>
    <row r="235">
      <c r="A235" t="n">
        <v>234</v>
      </c>
      <c r="B235">
        <f>IFERROR(SMALL(Pipeline_Calc!$A$2:$A$5251,A235),"")</f>
        <v/>
      </c>
      <c r="C235">
        <f>IF(B235="","",MATCH(B235,Pipeline_Calc!$A$2:$A$5251,0))</f>
        <v/>
      </c>
    </row>
    <row r="236">
      <c r="A236" t="n">
        <v>235</v>
      </c>
      <c r="B236">
        <f>IFERROR(SMALL(Pipeline_Calc!$A$2:$A$5251,A236),"")</f>
        <v/>
      </c>
      <c r="C236">
        <f>IF(B236="","",MATCH(B236,Pipeline_Calc!$A$2:$A$5251,0))</f>
        <v/>
      </c>
    </row>
    <row r="237">
      <c r="A237" t="n">
        <v>236</v>
      </c>
      <c r="B237">
        <f>IFERROR(SMALL(Pipeline_Calc!$A$2:$A$5251,A237),"")</f>
        <v/>
      </c>
      <c r="C237">
        <f>IF(B237="","",MATCH(B237,Pipeline_Calc!$A$2:$A$5251,0))</f>
        <v/>
      </c>
    </row>
    <row r="238">
      <c r="A238" t="n">
        <v>237</v>
      </c>
      <c r="B238">
        <f>IFERROR(SMALL(Pipeline_Calc!$A$2:$A$5251,A238),"")</f>
        <v/>
      </c>
      <c r="C238">
        <f>IF(B238="","",MATCH(B238,Pipeline_Calc!$A$2:$A$5251,0))</f>
        <v/>
      </c>
    </row>
    <row r="239">
      <c r="A239" t="n">
        <v>238</v>
      </c>
      <c r="B239">
        <f>IFERROR(SMALL(Pipeline_Calc!$A$2:$A$5251,A239),"")</f>
        <v/>
      </c>
      <c r="C239">
        <f>IF(B239="","",MATCH(B239,Pipeline_Calc!$A$2:$A$5251,0))</f>
        <v/>
      </c>
    </row>
    <row r="240">
      <c r="A240" t="n">
        <v>239</v>
      </c>
      <c r="B240">
        <f>IFERROR(SMALL(Pipeline_Calc!$A$2:$A$5251,A240),"")</f>
        <v/>
      </c>
      <c r="C240">
        <f>IF(B240="","",MATCH(B240,Pipeline_Calc!$A$2:$A$5251,0))</f>
        <v/>
      </c>
    </row>
    <row r="241">
      <c r="A241" t="n">
        <v>240</v>
      </c>
      <c r="B241">
        <f>IFERROR(SMALL(Pipeline_Calc!$A$2:$A$5251,A241),"")</f>
        <v/>
      </c>
      <c r="C241">
        <f>IF(B241="","",MATCH(B241,Pipeline_Calc!$A$2:$A$5251,0))</f>
        <v/>
      </c>
    </row>
    <row r="242">
      <c r="A242" t="n">
        <v>241</v>
      </c>
      <c r="B242">
        <f>IFERROR(SMALL(Pipeline_Calc!$A$2:$A$5251,A242),"")</f>
        <v/>
      </c>
      <c r="C242">
        <f>IF(B242="","",MATCH(B242,Pipeline_Calc!$A$2:$A$5251,0))</f>
        <v/>
      </c>
    </row>
    <row r="243">
      <c r="A243" t="n">
        <v>242</v>
      </c>
      <c r="B243">
        <f>IFERROR(SMALL(Pipeline_Calc!$A$2:$A$5251,A243),"")</f>
        <v/>
      </c>
      <c r="C243">
        <f>IF(B243="","",MATCH(B243,Pipeline_Calc!$A$2:$A$5251,0))</f>
        <v/>
      </c>
    </row>
    <row r="244">
      <c r="A244" t="n">
        <v>243</v>
      </c>
      <c r="B244">
        <f>IFERROR(SMALL(Pipeline_Calc!$A$2:$A$5251,A244),"")</f>
        <v/>
      </c>
      <c r="C244">
        <f>IF(B244="","",MATCH(B244,Pipeline_Calc!$A$2:$A$5251,0))</f>
        <v/>
      </c>
    </row>
    <row r="245">
      <c r="A245" t="n">
        <v>244</v>
      </c>
      <c r="B245">
        <f>IFERROR(SMALL(Pipeline_Calc!$A$2:$A$5251,A245),"")</f>
        <v/>
      </c>
      <c r="C245">
        <f>IF(B245="","",MATCH(B245,Pipeline_Calc!$A$2:$A$5251,0))</f>
        <v/>
      </c>
    </row>
    <row r="246">
      <c r="A246" t="n">
        <v>245</v>
      </c>
      <c r="B246">
        <f>IFERROR(SMALL(Pipeline_Calc!$A$2:$A$5251,A246),"")</f>
        <v/>
      </c>
      <c r="C246">
        <f>IF(B246="","",MATCH(B246,Pipeline_Calc!$A$2:$A$5251,0))</f>
        <v/>
      </c>
    </row>
    <row r="247">
      <c r="A247" t="n">
        <v>246</v>
      </c>
      <c r="B247">
        <f>IFERROR(SMALL(Pipeline_Calc!$A$2:$A$5251,A247),"")</f>
        <v/>
      </c>
      <c r="C247">
        <f>IF(B247="","",MATCH(B247,Pipeline_Calc!$A$2:$A$5251,0))</f>
        <v/>
      </c>
    </row>
    <row r="248">
      <c r="A248" t="n">
        <v>247</v>
      </c>
      <c r="B248">
        <f>IFERROR(SMALL(Pipeline_Calc!$A$2:$A$5251,A248),"")</f>
        <v/>
      </c>
      <c r="C248">
        <f>IF(B248="","",MATCH(B248,Pipeline_Calc!$A$2:$A$5251,0))</f>
        <v/>
      </c>
    </row>
    <row r="249">
      <c r="A249" t="n">
        <v>248</v>
      </c>
      <c r="B249">
        <f>IFERROR(SMALL(Pipeline_Calc!$A$2:$A$5251,A249),"")</f>
        <v/>
      </c>
      <c r="C249">
        <f>IF(B249="","",MATCH(B249,Pipeline_Calc!$A$2:$A$5251,0))</f>
        <v/>
      </c>
    </row>
    <row r="250">
      <c r="A250" t="n">
        <v>249</v>
      </c>
      <c r="B250">
        <f>IFERROR(SMALL(Pipeline_Calc!$A$2:$A$5251,A250),"")</f>
        <v/>
      </c>
      <c r="C250">
        <f>IF(B250="","",MATCH(B250,Pipeline_Calc!$A$2:$A$5251,0))</f>
        <v/>
      </c>
    </row>
    <row r="251">
      <c r="A251" t="n">
        <v>250</v>
      </c>
      <c r="B251">
        <f>IFERROR(SMALL(Pipeline_Calc!$A$2:$A$5251,A251),"")</f>
        <v/>
      </c>
      <c r="C251">
        <f>IF(B251="","",MATCH(B251,Pipeline_Calc!$A$2:$A$5251,0))</f>
        <v/>
      </c>
    </row>
    <row r="252">
      <c r="A252" t="n">
        <v>251</v>
      </c>
      <c r="B252">
        <f>IFERROR(SMALL(Pipeline_Calc!$A$2:$A$5251,A252),"")</f>
        <v/>
      </c>
      <c r="C252">
        <f>IF(B252="","",MATCH(B252,Pipeline_Calc!$A$2:$A$5251,0))</f>
        <v/>
      </c>
    </row>
    <row r="253">
      <c r="A253" t="n">
        <v>252</v>
      </c>
      <c r="B253">
        <f>IFERROR(SMALL(Pipeline_Calc!$A$2:$A$5251,A253),"")</f>
        <v/>
      </c>
      <c r="C253">
        <f>IF(B253="","",MATCH(B253,Pipeline_Calc!$A$2:$A$5251,0))</f>
        <v/>
      </c>
    </row>
    <row r="254">
      <c r="A254" t="n">
        <v>253</v>
      </c>
      <c r="B254">
        <f>IFERROR(SMALL(Pipeline_Calc!$A$2:$A$5251,A254),"")</f>
        <v/>
      </c>
      <c r="C254">
        <f>IF(B254="","",MATCH(B254,Pipeline_Calc!$A$2:$A$5251,0))</f>
        <v/>
      </c>
    </row>
    <row r="255">
      <c r="A255" t="n">
        <v>254</v>
      </c>
      <c r="B255">
        <f>IFERROR(SMALL(Pipeline_Calc!$A$2:$A$5251,A255),"")</f>
        <v/>
      </c>
      <c r="C255">
        <f>IF(B255="","",MATCH(B255,Pipeline_Calc!$A$2:$A$5251,0))</f>
        <v/>
      </c>
    </row>
    <row r="256">
      <c r="A256" t="n">
        <v>255</v>
      </c>
      <c r="B256">
        <f>IFERROR(SMALL(Pipeline_Calc!$A$2:$A$5251,A256),"")</f>
        <v/>
      </c>
      <c r="C256">
        <f>IF(B256="","",MATCH(B256,Pipeline_Calc!$A$2:$A$5251,0))</f>
        <v/>
      </c>
    </row>
    <row r="257">
      <c r="A257" t="n">
        <v>256</v>
      </c>
      <c r="B257">
        <f>IFERROR(SMALL(Pipeline_Calc!$A$2:$A$5251,A257),"")</f>
        <v/>
      </c>
      <c r="C257">
        <f>IF(B257="","",MATCH(B257,Pipeline_Calc!$A$2:$A$5251,0))</f>
        <v/>
      </c>
    </row>
    <row r="258">
      <c r="A258" t="n">
        <v>257</v>
      </c>
      <c r="B258">
        <f>IFERROR(SMALL(Pipeline_Calc!$A$2:$A$5251,A258),"")</f>
        <v/>
      </c>
      <c r="C258">
        <f>IF(B258="","",MATCH(B258,Pipeline_Calc!$A$2:$A$5251,0))</f>
        <v/>
      </c>
    </row>
    <row r="259">
      <c r="A259" t="n">
        <v>258</v>
      </c>
      <c r="B259">
        <f>IFERROR(SMALL(Pipeline_Calc!$A$2:$A$5251,A259),"")</f>
        <v/>
      </c>
      <c r="C259">
        <f>IF(B259="","",MATCH(B259,Pipeline_Calc!$A$2:$A$5251,0))</f>
        <v/>
      </c>
    </row>
    <row r="260">
      <c r="A260" t="n">
        <v>259</v>
      </c>
      <c r="B260">
        <f>IFERROR(SMALL(Pipeline_Calc!$A$2:$A$5251,A260),"")</f>
        <v/>
      </c>
      <c r="C260">
        <f>IF(B260="","",MATCH(B260,Pipeline_Calc!$A$2:$A$5251,0))</f>
        <v/>
      </c>
    </row>
    <row r="261">
      <c r="A261" t="n">
        <v>260</v>
      </c>
      <c r="B261">
        <f>IFERROR(SMALL(Pipeline_Calc!$A$2:$A$5251,A261),"")</f>
        <v/>
      </c>
      <c r="C261">
        <f>IF(B261="","",MATCH(B261,Pipeline_Calc!$A$2:$A$5251,0))</f>
        <v/>
      </c>
    </row>
    <row r="262">
      <c r="A262" t="n">
        <v>261</v>
      </c>
      <c r="B262">
        <f>IFERROR(SMALL(Pipeline_Calc!$A$2:$A$5251,A262),"")</f>
        <v/>
      </c>
      <c r="C262">
        <f>IF(B262="","",MATCH(B262,Pipeline_Calc!$A$2:$A$5251,0))</f>
        <v/>
      </c>
    </row>
    <row r="263">
      <c r="A263" t="n">
        <v>262</v>
      </c>
      <c r="B263">
        <f>IFERROR(SMALL(Pipeline_Calc!$A$2:$A$5251,A263),"")</f>
        <v/>
      </c>
      <c r="C263">
        <f>IF(B263="","",MATCH(B263,Pipeline_Calc!$A$2:$A$5251,0))</f>
        <v/>
      </c>
    </row>
    <row r="264">
      <c r="A264" t="n">
        <v>263</v>
      </c>
      <c r="B264">
        <f>IFERROR(SMALL(Pipeline_Calc!$A$2:$A$5251,A264),"")</f>
        <v/>
      </c>
      <c r="C264">
        <f>IF(B264="","",MATCH(B264,Pipeline_Calc!$A$2:$A$5251,0))</f>
        <v/>
      </c>
    </row>
    <row r="265">
      <c r="A265" t="n">
        <v>264</v>
      </c>
      <c r="B265">
        <f>IFERROR(SMALL(Pipeline_Calc!$A$2:$A$5251,A265),"")</f>
        <v/>
      </c>
      <c r="C265">
        <f>IF(B265="","",MATCH(B265,Pipeline_Calc!$A$2:$A$5251,0))</f>
        <v/>
      </c>
    </row>
    <row r="266">
      <c r="A266" t="n">
        <v>265</v>
      </c>
      <c r="B266">
        <f>IFERROR(SMALL(Pipeline_Calc!$A$2:$A$5251,A266),"")</f>
        <v/>
      </c>
      <c r="C266">
        <f>IF(B266="","",MATCH(B266,Pipeline_Calc!$A$2:$A$5251,0))</f>
        <v/>
      </c>
    </row>
    <row r="267">
      <c r="A267" t="n">
        <v>266</v>
      </c>
      <c r="B267">
        <f>IFERROR(SMALL(Pipeline_Calc!$A$2:$A$5251,A267),"")</f>
        <v/>
      </c>
      <c r="C267">
        <f>IF(B267="","",MATCH(B267,Pipeline_Calc!$A$2:$A$5251,0))</f>
        <v/>
      </c>
    </row>
    <row r="268">
      <c r="A268" t="n">
        <v>267</v>
      </c>
      <c r="B268">
        <f>IFERROR(SMALL(Pipeline_Calc!$A$2:$A$5251,A268),"")</f>
        <v/>
      </c>
      <c r="C268">
        <f>IF(B268="","",MATCH(B268,Pipeline_Calc!$A$2:$A$5251,0))</f>
        <v/>
      </c>
    </row>
    <row r="269">
      <c r="A269" t="n">
        <v>268</v>
      </c>
      <c r="B269">
        <f>IFERROR(SMALL(Pipeline_Calc!$A$2:$A$5251,A269),"")</f>
        <v/>
      </c>
      <c r="C269">
        <f>IF(B269="","",MATCH(B269,Pipeline_Calc!$A$2:$A$5251,0))</f>
        <v/>
      </c>
    </row>
    <row r="270">
      <c r="A270" t="n">
        <v>269</v>
      </c>
      <c r="B270">
        <f>IFERROR(SMALL(Pipeline_Calc!$A$2:$A$5251,A270),"")</f>
        <v/>
      </c>
      <c r="C270">
        <f>IF(B270="","",MATCH(B270,Pipeline_Calc!$A$2:$A$5251,0))</f>
        <v/>
      </c>
    </row>
    <row r="271">
      <c r="A271" t="n">
        <v>270</v>
      </c>
      <c r="B271">
        <f>IFERROR(SMALL(Pipeline_Calc!$A$2:$A$5251,A271),"")</f>
        <v/>
      </c>
      <c r="C271">
        <f>IF(B271="","",MATCH(B271,Pipeline_Calc!$A$2:$A$5251,0))</f>
        <v/>
      </c>
    </row>
    <row r="272">
      <c r="A272" t="n">
        <v>271</v>
      </c>
      <c r="B272">
        <f>IFERROR(SMALL(Pipeline_Calc!$A$2:$A$5251,A272),"")</f>
        <v/>
      </c>
      <c r="C272">
        <f>IF(B272="","",MATCH(B272,Pipeline_Calc!$A$2:$A$5251,0))</f>
        <v/>
      </c>
    </row>
    <row r="273">
      <c r="A273" t="n">
        <v>272</v>
      </c>
      <c r="B273">
        <f>IFERROR(SMALL(Pipeline_Calc!$A$2:$A$5251,A273),"")</f>
        <v/>
      </c>
      <c r="C273">
        <f>IF(B273="","",MATCH(B273,Pipeline_Calc!$A$2:$A$5251,0))</f>
        <v/>
      </c>
    </row>
    <row r="274">
      <c r="A274" t="n">
        <v>273</v>
      </c>
      <c r="B274">
        <f>IFERROR(SMALL(Pipeline_Calc!$A$2:$A$5251,A274),"")</f>
        <v/>
      </c>
      <c r="C274">
        <f>IF(B274="","",MATCH(B274,Pipeline_Calc!$A$2:$A$5251,0))</f>
        <v/>
      </c>
    </row>
    <row r="275">
      <c r="A275" t="n">
        <v>274</v>
      </c>
      <c r="B275">
        <f>IFERROR(SMALL(Pipeline_Calc!$A$2:$A$5251,A275),"")</f>
        <v/>
      </c>
      <c r="C275">
        <f>IF(B275="","",MATCH(B275,Pipeline_Calc!$A$2:$A$5251,0))</f>
        <v/>
      </c>
    </row>
    <row r="276">
      <c r="A276" t="n">
        <v>275</v>
      </c>
      <c r="B276">
        <f>IFERROR(SMALL(Pipeline_Calc!$A$2:$A$5251,A276),"")</f>
        <v/>
      </c>
      <c r="C276">
        <f>IF(B276="","",MATCH(B276,Pipeline_Calc!$A$2:$A$5251,0))</f>
        <v/>
      </c>
    </row>
    <row r="277">
      <c r="A277" t="n">
        <v>276</v>
      </c>
      <c r="B277">
        <f>IFERROR(SMALL(Pipeline_Calc!$A$2:$A$5251,A277),"")</f>
        <v/>
      </c>
      <c r="C277">
        <f>IF(B277="","",MATCH(B277,Pipeline_Calc!$A$2:$A$5251,0))</f>
        <v/>
      </c>
    </row>
    <row r="278">
      <c r="A278" t="n">
        <v>277</v>
      </c>
      <c r="B278">
        <f>IFERROR(SMALL(Pipeline_Calc!$A$2:$A$5251,A278),"")</f>
        <v/>
      </c>
      <c r="C278">
        <f>IF(B278="","",MATCH(B278,Pipeline_Calc!$A$2:$A$5251,0))</f>
        <v/>
      </c>
    </row>
    <row r="279">
      <c r="A279" t="n">
        <v>278</v>
      </c>
      <c r="B279">
        <f>IFERROR(SMALL(Pipeline_Calc!$A$2:$A$5251,A279),"")</f>
        <v/>
      </c>
      <c r="C279">
        <f>IF(B279="","",MATCH(B279,Pipeline_Calc!$A$2:$A$5251,0))</f>
        <v/>
      </c>
    </row>
    <row r="280">
      <c r="A280" t="n">
        <v>279</v>
      </c>
      <c r="B280">
        <f>IFERROR(SMALL(Pipeline_Calc!$A$2:$A$5251,A280),"")</f>
        <v/>
      </c>
      <c r="C280">
        <f>IF(B280="","",MATCH(B280,Pipeline_Calc!$A$2:$A$5251,0))</f>
        <v/>
      </c>
    </row>
    <row r="281">
      <c r="A281" t="n">
        <v>280</v>
      </c>
      <c r="B281">
        <f>IFERROR(SMALL(Pipeline_Calc!$A$2:$A$5251,A281),"")</f>
        <v/>
      </c>
      <c r="C281">
        <f>IF(B281="","",MATCH(B281,Pipeline_Calc!$A$2:$A$5251,0))</f>
        <v/>
      </c>
    </row>
    <row r="282">
      <c r="A282" t="n">
        <v>281</v>
      </c>
      <c r="B282">
        <f>IFERROR(SMALL(Pipeline_Calc!$A$2:$A$5251,A282),"")</f>
        <v/>
      </c>
      <c r="C282">
        <f>IF(B282="","",MATCH(B282,Pipeline_Calc!$A$2:$A$5251,0))</f>
        <v/>
      </c>
    </row>
    <row r="283">
      <c r="A283" t="n">
        <v>282</v>
      </c>
      <c r="B283">
        <f>IFERROR(SMALL(Pipeline_Calc!$A$2:$A$5251,A283),"")</f>
        <v/>
      </c>
      <c r="C283">
        <f>IF(B283="","",MATCH(B283,Pipeline_Calc!$A$2:$A$5251,0))</f>
        <v/>
      </c>
    </row>
    <row r="284">
      <c r="A284" t="n">
        <v>283</v>
      </c>
      <c r="B284">
        <f>IFERROR(SMALL(Pipeline_Calc!$A$2:$A$5251,A284),"")</f>
        <v/>
      </c>
      <c r="C284">
        <f>IF(B284="","",MATCH(B284,Pipeline_Calc!$A$2:$A$5251,0))</f>
        <v/>
      </c>
    </row>
    <row r="285">
      <c r="A285" t="n">
        <v>284</v>
      </c>
      <c r="B285">
        <f>IFERROR(SMALL(Pipeline_Calc!$A$2:$A$5251,A285),"")</f>
        <v/>
      </c>
      <c r="C285">
        <f>IF(B285="","",MATCH(B285,Pipeline_Calc!$A$2:$A$5251,0))</f>
        <v/>
      </c>
    </row>
    <row r="286">
      <c r="A286" t="n">
        <v>285</v>
      </c>
      <c r="B286">
        <f>IFERROR(SMALL(Pipeline_Calc!$A$2:$A$5251,A286),"")</f>
        <v/>
      </c>
      <c r="C286">
        <f>IF(B286="","",MATCH(B286,Pipeline_Calc!$A$2:$A$5251,0))</f>
        <v/>
      </c>
    </row>
    <row r="287">
      <c r="A287" t="n">
        <v>286</v>
      </c>
      <c r="B287">
        <f>IFERROR(SMALL(Pipeline_Calc!$A$2:$A$5251,A287),"")</f>
        <v/>
      </c>
      <c r="C287">
        <f>IF(B287="","",MATCH(B287,Pipeline_Calc!$A$2:$A$5251,0))</f>
        <v/>
      </c>
    </row>
    <row r="288">
      <c r="A288" t="n">
        <v>287</v>
      </c>
      <c r="B288">
        <f>IFERROR(SMALL(Pipeline_Calc!$A$2:$A$5251,A288),"")</f>
        <v/>
      </c>
      <c r="C288">
        <f>IF(B288="","",MATCH(B288,Pipeline_Calc!$A$2:$A$5251,0))</f>
        <v/>
      </c>
    </row>
    <row r="289">
      <c r="A289" t="n">
        <v>288</v>
      </c>
      <c r="B289">
        <f>IFERROR(SMALL(Pipeline_Calc!$A$2:$A$5251,A289),"")</f>
        <v/>
      </c>
      <c r="C289">
        <f>IF(B289="","",MATCH(B289,Pipeline_Calc!$A$2:$A$5251,0))</f>
        <v/>
      </c>
    </row>
    <row r="290">
      <c r="A290" t="n">
        <v>289</v>
      </c>
      <c r="B290">
        <f>IFERROR(SMALL(Pipeline_Calc!$A$2:$A$5251,A290),"")</f>
        <v/>
      </c>
      <c r="C290">
        <f>IF(B290="","",MATCH(B290,Pipeline_Calc!$A$2:$A$5251,0))</f>
        <v/>
      </c>
    </row>
    <row r="291">
      <c r="A291" t="n">
        <v>290</v>
      </c>
      <c r="B291">
        <f>IFERROR(SMALL(Pipeline_Calc!$A$2:$A$5251,A291),"")</f>
        <v/>
      </c>
      <c r="C291">
        <f>IF(B291="","",MATCH(B291,Pipeline_Calc!$A$2:$A$5251,0))</f>
        <v/>
      </c>
    </row>
    <row r="292">
      <c r="A292" t="n">
        <v>291</v>
      </c>
      <c r="B292">
        <f>IFERROR(SMALL(Pipeline_Calc!$A$2:$A$5251,A292),"")</f>
        <v/>
      </c>
      <c r="C292">
        <f>IF(B292="","",MATCH(B292,Pipeline_Calc!$A$2:$A$5251,0))</f>
        <v/>
      </c>
    </row>
    <row r="293">
      <c r="A293" t="n">
        <v>292</v>
      </c>
      <c r="B293">
        <f>IFERROR(SMALL(Pipeline_Calc!$A$2:$A$5251,A293),"")</f>
        <v/>
      </c>
      <c r="C293">
        <f>IF(B293="","",MATCH(B293,Pipeline_Calc!$A$2:$A$5251,0))</f>
        <v/>
      </c>
    </row>
    <row r="294">
      <c r="A294" t="n">
        <v>293</v>
      </c>
      <c r="B294">
        <f>IFERROR(SMALL(Pipeline_Calc!$A$2:$A$5251,A294),"")</f>
        <v/>
      </c>
      <c r="C294">
        <f>IF(B294="","",MATCH(B294,Pipeline_Calc!$A$2:$A$5251,0))</f>
        <v/>
      </c>
    </row>
    <row r="295">
      <c r="A295" t="n">
        <v>294</v>
      </c>
      <c r="B295">
        <f>IFERROR(SMALL(Pipeline_Calc!$A$2:$A$5251,A295),"")</f>
        <v/>
      </c>
      <c r="C295">
        <f>IF(B295="","",MATCH(B295,Pipeline_Calc!$A$2:$A$5251,0))</f>
        <v/>
      </c>
    </row>
    <row r="296">
      <c r="A296" t="n">
        <v>295</v>
      </c>
      <c r="B296">
        <f>IFERROR(SMALL(Pipeline_Calc!$A$2:$A$5251,A296),"")</f>
        <v/>
      </c>
      <c r="C296">
        <f>IF(B296="","",MATCH(B296,Pipeline_Calc!$A$2:$A$5251,0))</f>
        <v/>
      </c>
    </row>
    <row r="297">
      <c r="A297" t="n">
        <v>296</v>
      </c>
      <c r="B297">
        <f>IFERROR(SMALL(Pipeline_Calc!$A$2:$A$5251,A297),"")</f>
        <v/>
      </c>
      <c r="C297">
        <f>IF(B297="","",MATCH(B297,Pipeline_Calc!$A$2:$A$5251,0))</f>
        <v/>
      </c>
    </row>
    <row r="298">
      <c r="A298" t="n">
        <v>297</v>
      </c>
      <c r="B298">
        <f>IFERROR(SMALL(Pipeline_Calc!$A$2:$A$5251,A298),"")</f>
        <v/>
      </c>
      <c r="C298">
        <f>IF(B298="","",MATCH(B298,Pipeline_Calc!$A$2:$A$5251,0))</f>
        <v/>
      </c>
    </row>
    <row r="299">
      <c r="A299" t="n">
        <v>298</v>
      </c>
      <c r="B299">
        <f>IFERROR(SMALL(Pipeline_Calc!$A$2:$A$5251,A299),"")</f>
        <v/>
      </c>
      <c r="C299">
        <f>IF(B299="","",MATCH(B299,Pipeline_Calc!$A$2:$A$5251,0))</f>
        <v/>
      </c>
    </row>
    <row r="300">
      <c r="A300" t="n">
        <v>299</v>
      </c>
      <c r="B300">
        <f>IFERROR(SMALL(Pipeline_Calc!$A$2:$A$5251,A300),"")</f>
        <v/>
      </c>
      <c r="C300">
        <f>IF(B300="","",MATCH(B300,Pipeline_Calc!$A$2:$A$5251,0))</f>
        <v/>
      </c>
    </row>
    <row r="301">
      <c r="A301" t="n">
        <v>300</v>
      </c>
      <c r="B301">
        <f>IFERROR(SMALL(Pipeline_Calc!$A$2:$A$5251,A301),"")</f>
        <v/>
      </c>
      <c r="C301">
        <f>IF(B301="","",MATCH(B301,Pipeline_Calc!$A$2:$A$5251,0))</f>
        <v/>
      </c>
    </row>
    <row r="302">
      <c r="A302" t="n">
        <v>301</v>
      </c>
      <c r="B302">
        <f>IFERROR(SMALL(Pipeline_Calc!$A$2:$A$5251,A302),"")</f>
        <v/>
      </c>
      <c r="C302">
        <f>IF(B302="","",MATCH(B302,Pipeline_Calc!$A$2:$A$5251,0))</f>
        <v/>
      </c>
    </row>
    <row r="303">
      <c r="A303" t="n">
        <v>302</v>
      </c>
      <c r="B303">
        <f>IFERROR(SMALL(Pipeline_Calc!$A$2:$A$5251,A303),"")</f>
        <v/>
      </c>
      <c r="C303">
        <f>IF(B303="","",MATCH(B303,Pipeline_Calc!$A$2:$A$5251,0))</f>
        <v/>
      </c>
    </row>
    <row r="304">
      <c r="A304" t="n">
        <v>303</v>
      </c>
      <c r="B304">
        <f>IFERROR(SMALL(Pipeline_Calc!$A$2:$A$5251,A304),"")</f>
        <v/>
      </c>
      <c r="C304">
        <f>IF(B304="","",MATCH(B304,Pipeline_Calc!$A$2:$A$5251,0))</f>
        <v/>
      </c>
    </row>
    <row r="305">
      <c r="A305" t="n">
        <v>304</v>
      </c>
      <c r="B305">
        <f>IFERROR(SMALL(Pipeline_Calc!$A$2:$A$5251,A305),"")</f>
        <v/>
      </c>
      <c r="C305">
        <f>IF(B305="","",MATCH(B305,Pipeline_Calc!$A$2:$A$5251,0))</f>
        <v/>
      </c>
    </row>
    <row r="306">
      <c r="A306" t="n">
        <v>305</v>
      </c>
      <c r="B306">
        <f>IFERROR(SMALL(Pipeline_Calc!$A$2:$A$5251,A306),"")</f>
        <v/>
      </c>
      <c r="C306">
        <f>IF(B306="","",MATCH(B306,Pipeline_Calc!$A$2:$A$5251,0))</f>
        <v/>
      </c>
    </row>
    <row r="307">
      <c r="A307" t="n">
        <v>306</v>
      </c>
      <c r="B307">
        <f>IFERROR(SMALL(Pipeline_Calc!$A$2:$A$5251,A307),"")</f>
        <v/>
      </c>
      <c r="C307">
        <f>IF(B307="","",MATCH(B307,Pipeline_Calc!$A$2:$A$5251,0))</f>
        <v/>
      </c>
    </row>
    <row r="308">
      <c r="A308" t="n">
        <v>307</v>
      </c>
      <c r="B308">
        <f>IFERROR(SMALL(Pipeline_Calc!$A$2:$A$5251,A308),"")</f>
        <v/>
      </c>
      <c r="C308">
        <f>IF(B308="","",MATCH(B308,Pipeline_Calc!$A$2:$A$5251,0))</f>
        <v/>
      </c>
    </row>
    <row r="309">
      <c r="A309" t="n">
        <v>308</v>
      </c>
      <c r="B309">
        <f>IFERROR(SMALL(Pipeline_Calc!$A$2:$A$5251,A309),"")</f>
        <v/>
      </c>
      <c r="C309">
        <f>IF(B309="","",MATCH(B309,Pipeline_Calc!$A$2:$A$5251,0))</f>
        <v/>
      </c>
    </row>
    <row r="310">
      <c r="A310" t="n">
        <v>309</v>
      </c>
      <c r="B310">
        <f>IFERROR(SMALL(Pipeline_Calc!$A$2:$A$5251,A310),"")</f>
        <v/>
      </c>
      <c r="C310">
        <f>IF(B310="","",MATCH(B310,Pipeline_Calc!$A$2:$A$5251,0))</f>
        <v/>
      </c>
    </row>
    <row r="311">
      <c r="A311" t="n">
        <v>310</v>
      </c>
      <c r="B311">
        <f>IFERROR(SMALL(Pipeline_Calc!$A$2:$A$5251,A311),"")</f>
        <v/>
      </c>
      <c r="C311">
        <f>IF(B311="","",MATCH(B311,Pipeline_Calc!$A$2:$A$5251,0))</f>
        <v/>
      </c>
    </row>
    <row r="312">
      <c r="A312" t="n">
        <v>311</v>
      </c>
      <c r="B312">
        <f>IFERROR(SMALL(Pipeline_Calc!$A$2:$A$5251,A312),"")</f>
        <v/>
      </c>
      <c r="C312">
        <f>IF(B312="","",MATCH(B312,Pipeline_Calc!$A$2:$A$5251,0))</f>
        <v/>
      </c>
    </row>
    <row r="313">
      <c r="A313" t="n">
        <v>312</v>
      </c>
      <c r="B313">
        <f>IFERROR(SMALL(Pipeline_Calc!$A$2:$A$5251,A313),"")</f>
        <v/>
      </c>
      <c r="C313">
        <f>IF(B313="","",MATCH(B313,Pipeline_Calc!$A$2:$A$5251,0))</f>
        <v/>
      </c>
    </row>
    <row r="314">
      <c r="A314" t="n">
        <v>313</v>
      </c>
      <c r="B314">
        <f>IFERROR(SMALL(Pipeline_Calc!$A$2:$A$5251,A314),"")</f>
        <v/>
      </c>
      <c r="C314">
        <f>IF(B314="","",MATCH(B314,Pipeline_Calc!$A$2:$A$5251,0))</f>
        <v/>
      </c>
    </row>
    <row r="315">
      <c r="A315" t="n">
        <v>314</v>
      </c>
      <c r="B315">
        <f>IFERROR(SMALL(Pipeline_Calc!$A$2:$A$5251,A315),"")</f>
        <v/>
      </c>
      <c r="C315">
        <f>IF(B315="","",MATCH(B315,Pipeline_Calc!$A$2:$A$5251,0))</f>
        <v/>
      </c>
    </row>
    <row r="316">
      <c r="A316" t="n">
        <v>315</v>
      </c>
      <c r="B316">
        <f>IFERROR(SMALL(Pipeline_Calc!$A$2:$A$5251,A316),"")</f>
        <v/>
      </c>
      <c r="C316">
        <f>IF(B316="","",MATCH(B316,Pipeline_Calc!$A$2:$A$5251,0))</f>
        <v/>
      </c>
    </row>
    <row r="317">
      <c r="A317" t="n">
        <v>316</v>
      </c>
      <c r="B317">
        <f>IFERROR(SMALL(Pipeline_Calc!$A$2:$A$5251,A317),"")</f>
        <v/>
      </c>
      <c r="C317">
        <f>IF(B317="","",MATCH(B317,Pipeline_Calc!$A$2:$A$5251,0))</f>
        <v/>
      </c>
    </row>
    <row r="318">
      <c r="A318" t="n">
        <v>317</v>
      </c>
      <c r="B318">
        <f>IFERROR(SMALL(Pipeline_Calc!$A$2:$A$5251,A318),"")</f>
        <v/>
      </c>
      <c r="C318">
        <f>IF(B318="","",MATCH(B318,Pipeline_Calc!$A$2:$A$5251,0))</f>
        <v/>
      </c>
    </row>
    <row r="319">
      <c r="A319" t="n">
        <v>318</v>
      </c>
      <c r="B319">
        <f>IFERROR(SMALL(Pipeline_Calc!$A$2:$A$5251,A319),"")</f>
        <v/>
      </c>
      <c r="C319">
        <f>IF(B319="","",MATCH(B319,Pipeline_Calc!$A$2:$A$5251,0))</f>
        <v/>
      </c>
    </row>
    <row r="320">
      <c r="A320" t="n">
        <v>319</v>
      </c>
      <c r="B320">
        <f>IFERROR(SMALL(Pipeline_Calc!$A$2:$A$5251,A320),"")</f>
        <v/>
      </c>
      <c r="C320">
        <f>IF(B320="","",MATCH(B320,Pipeline_Calc!$A$2:$A$5251,0))</f>
        <v/>
      </c>
    </row>
    <row r="321">
      <c r="A321" t="n">
        <v>320</v>
      </c>
      <c r="B321">
        <f>IFERROR(SMALL(Pipeline_Calc!$A$2:$A$5251,A321),"")</f>
        <v/>
      </c>
      <c r="C321">
        <f>IF(B321="","",MATCH(B321,Pipeline_Calc!$A$2:$A$5251,0))</f>
        <v/>
      </c>
    </row>
    <row r="322">
      <c r="A322" t="n">
        <v>321</v>
      </c>
      <c r="B322">
        <f>IFERROR(SMALL(Pipeline_Calc!$A$2:$A$5251,A322),"")</f>
        <v/>
      </c>
      <c r="C322">
        <f>IF(B322="","",MATCH(B322,Pipeline_Calc!$A$2:$A$5251,0))</f>
        <v/>
      </c>
    </row>
    <row r="323">
      <c r="A323" t="n">
        <v>322</v>
      </c>
      <c r="B323">
        <f>IFERROR(SMALL(Pipeline_Calc!$A$2:$A$5251,A323),"")</f>
        <v/>
      </c>
      <c r="C323">
        <f>IF(B323="","",MATCH(B323,Pipeline_Calc!$A$2:$A$5251,0))</f>
        <v/>
      </c>
    </row>
    <row r="324">
      <c r="A324" t="n">
        <v>323</v>
      </c>
      <c r="B324">
        <f>IFERROR(SMALL(Pipeline_Calc!$A$2:$A$5251,A324),"")</f>
        <v/>
      </c>
      <c r="C324">
        <f>IF(B324="","",MATCH(B324,Pipeline_Calc!$A$2:$A$5251,0))</f>
        <v/>
      </c>
    </row>
    <row r="325">
      <c r="A325" t="n">
        <v>324</v>
      </c>
      <c r="B325">
        <f>IFERROR(SMALL(Pipeline_Calc!$A$2:$A$5251,A325),"")</f>
        <v/>
      </c>
      <c r="C325">
        <f>IF(B325="","",MATCH(B325,Pipeline_Calc!$A$2:$A$5251,0))</f>
        <v/>
      </c>
    </row>
    <row r="326">
      <c r="A326" t="n">
        <v>325</v>
      </c>
      <c r="B326">
        <f>IFERROR(SMALL(Pipeline_Calc!$A$2:$A$5251,A326),"")</f>
        <v/>
      </c>
      <c r="C326">
        <f>IF(B326="","",MATCH(B326,Pipeline_Calc!$A$2:$A$5251,0))</f>
        <v/>
      </c>
    </row>
    <row r="327">
      <c r="A327" t="n">
        <v>326</v>
      </c>
      <c r="B327">
        <f>IFERROR(SMALL(Pipeline_Calc!$A$2:$A$5251,A327),"")</f>
        <v/>
      </c>
      <c r="C327">
        <f>IF(B327="","",MATCH(B327,Pipeline_Calc!$A$2:$A$5251,0))</f>
        <v/>
      </c>
    </row>
    <row r="328">
      <c r="A328" t="n">
        <v>327</v>
      </c>
      <c r="B328">
        <f>IFERROR(SMALL(Pipeline_Calc!$A$2:$A$5251,A328),"")</f>
        <v/>
      </c>
      <c r="C328">
        <f>IF(B328="","",MATCH(B328,Pipeline_Calc!$A$2:$A$5251,0))</f>
        <v/>
      </c>
    </row>
    <row r="329">
      <c r="A329" t="n">
        <v>328</v>
      </c>
      <c r="B329">
        <f>IFERROR(SMALL(Pipeline_Calc!$A$2:$A$5251,A329),"")</f>
        <v/>
      </c>
      <c r="C329">
        <f>IF(B329="","",MATCH(B329,Pipeline_Calc!$A$2:$A$5251,0))</f>
        <v/>
      </c>
    </row>
    <row r="330">
      <c r="A330" t="n">
        <v>329</v>
      </c>
      <c r="B330">
        <f>IFERROR(SMALL(Pipeline_Calc!$A$2:$A$5251,A330),"")</f>
        <v/>
      </c>
      <c r="C330">
        <f>IF(B330="","",MATCH(B330,Pipeline_Calc!$A$2:$A$5251,0))</f>
        <v/>
      </c>
    </row>
    <row r="331">
      <c r="A331" t="n">
        <v>330</v>
      </c>
      <c r="B331">
        <f>IFERROR(SMALL(Pipeline_Calc!$A$2:$A$5251,A331),"")</f>
        <v/>
      </c>
      <c r="C331">
        <f>IF(B331="","",MATCH(B331,Pipeline_Calc!$A$2:$A$5251,0))</f>
        <v/>
      </c>
    </row>
    <row r="332">
      <c r="A332" t="n">
        <v>331</v>
      </c>
      <c r="B332">
        <f>IFERROR(SMALL(Pipeline_Calc!$A$2:$A$5251,A332),"")</f>
        <v/>
      </c>
      <c r="C332">
        <f>IF(B332="","",MATCH(B332,Pipeline_Calc!$A$2:$A$5251,0))</f>
        <v/>
      </c>
    </row>
    <row r="333">
      <c r="A333" t="n">
        <v>332</v>
      </c>
      <c r="B333">
        <f>IFERROR(SMALL(Pipeline_Calc!$A$2:$A$5251,A333),"")</f>
        <v/>
      </c>
      <c r="C333">
        <f>IF(B333="","",MATCH(B333,Pipeline_Calc!$A$2:$A$5251,0))</f>
        <v/>
      </c>
    </row>
    <row r="334">
      <c r="A334" t="n">
        <v>333</v>
      </c>
      <c r="B334">
        <f>IFERROR(SMALL(Pipeline_Calc!$A$2:$A$5251,A334),"")</f>
        <v/>
      </c>
      <c r="C334">
        <f>IF(B334="","",MATCH(B334,Pipeline_Calc!$A$2:$A$5251,0))</f>
        <v/>
      </c>
    </row>
    <row r="335">
      <c r="A335" t="n">
        <v>334</v>
      </c>
      <c r="B335">
        <f>IFERROR(SMALL(Pipeline_Calc!$A$2:$A$5251,A335),"")</f>
        <v/>
      </c>
      <c r="C335">
        <f>IF(B335="","",MATCH(B335,Pipeline_Calc!$A$2:$A$5251,0))</f>
        <v/>
      </c>
    </row>
    <row r="336">
      <c r="A336" t="n">
        <v>335</v>
      </c>
      <c r="B336">
        <f>IFERROR(SMALL(Pipeline_Calc!$A$2:$A$5251,A336),"")</f>
        <v/>
      </c>
      <c r="C336">
        <f>IF(B336="","",MATCH(B336,Pipeline_Calc!$A$2:$A$5251,0))</f>
        <v/>
      </c>
    </row>
    <row r="337">
      <c r="A337" t="n">
        <v>336</v>
      </c>
      <c r="B337">
        <f>IFERROR(SMALL(Pipeline_Calc!$A$2:$A$5251,A337),"")</f>
        <v/>
      </c>
      <c r="C337">
        <f>IF(B337="","",MATCH(B337,Pipeline_Calc!$A$2:$A$5251,0))</f>
        <v/>
      </c>
    </row>
    <row r="338">
      <c r="A338" t="n">
        <v>337</v>
      </c>
      <c r="B338">
        <f>IFERROR(SMALL(Pipeline_Calc!$A$2:$A$5251,A338),"")</f>
        <v/>
      </c>
      <c r="C338">
        <f>IF(B338="","",MATCH(B338,Pipeline_Calc!$A$2:$A$5251,0))</f>
        <v/>
      </c>
    </row>
    <row r="339">
      <c r="A339" t="n">
        <v>338</v>
      </c>
      <c r="B339">
        <f>IFERROR(SMALL(Pipeline_Calc!$A$2:$A$5251,A339),"")</f>
        <v/>
      </c>
      <c r="C339">
        <f>IF(B339="","",MATCH(B339,Pipeline_Calc!$A$2:$A$5251,0))</f>
        <v/>
      </c>
    </row>
    <row r="340">
      <c r="A340" t="n">
        <v>339</v>
      </c>
      <c r="B340">
        <f>IFERROR(SMALL(Pipeline_Calc!$A$2:$A$5251,A340),"")</f>
        <v/>
      </c>
      <c r="C340">
        <f>IF(B340="","",MATCH(B340,Pipeline_Calc!$A$2:$A$5251,0))</f>
        <v/>
      </c>
    </row>
    <row r="341">
      <c r="A341" t="n">
        <v>340</v>
      </c>
      <c r="B341">
        <f>IFERROR(SMALL(Pipeline_Calc!$A$2:$A$5251,A341),"")</f>
        <v/>
      </c>
      <c r="C341">
        <f>IF(B341="","",MATCH(B341,Pipeline_Calc!$A$2:$A$5251,0))</f>
        <v/>
      </c>
    </row>
    <row r="342">
      <c r="A342" t="n">
        <v>341</v>
      </c>
      <c r="B342">
        <f>IFERROR(SMALL(Pipeline_Calc!$A$2:$A$5251,A342),"")</f>
        <v/>
      </c>
      <c r="C342">
        <f>IF(B342="","",MATCH(B342,Pipeline_Calc!$A$2:$A$5251,0))</f>
        <v/>
      </c>
    </row>
    <row r="343">
      <c r="A343" t="n">
        <v>342</v>
      </c>
      <c r="B343">
        <f>IFERROR(SMALL(Pipeline_Calc!$A$2:$A$5251,A343),"")</f>
        <v/>
      </c>
      <c r="C343">
        <f>IF(B343="","",MATCH(B343,Pipeline_Calc!$A$2:$A$5251,0))</f>
        <v/>
      </c>
    </row>
    <row r="344">
      <c r="A344" t="n">
        <v>343</v>
      </c>
      <c r="B344">
        <f>IFERROR(SMALL(Pipeline_Calc!$A$2:$A$5251,A344),"")</f>
        <v/>
      </c>
      <c r="C344">
        <f>IF(B344="","",MATCH(B344,Pipeline_Calc!$A$2:$A$5251,0))</f>
        <v/>
      </c>
    </row>
    <row r="345">
      <c r="A345" t="n">
        <v>344</v>
      </c>
      <c r="B345">
        <f>IFERROR(SMALL(Pipeline_Calc!$A$2:$A$5251,A345),"")</f>
        <v/>
      </c>
      <c r="C345">
        <f>IF(B345="","",MATCH(B345,Pipeline_Calc!$A$2:$A$5251,0))</f>
        <v/>
      </c>
    </row>
    <row r="346">
      <c r="A346" t="n">
        <v>345</v>
      </c>
      <c r="B346">
        <f>IFERROR(SMALL(Pipeline_Calc!$A$2:$A$5251,A346),"")</f>
        <v/>
      </c>
      <c r="C346">
        <f>IF(B346="","",MATCH(B346,Pipeline_Calc!$A$2:$A$5251,0))</f>
        <v/>
      </c>
    </row>
    <row r="347">
      <c r="A347" t="n">
        <v>346</v>
      </c>
      <c r="B347">
        <f>IFERROR(SMALL(Pipeline_Calc!$A$2:$A$5251,A347),"")</f>
        <v/>
      </c>
      <c r="C347">
        <f>IF(B347="","",MATCH(B347,Pipeline_Calc!$A$2:$A$5251,0))</f>
        <v/>
      </c>
    </row>
    <row r="348">
      <c r="A348" t="n">
        <v>347</v>
      </c>
      <c r="B348">
        <f>IFERROR(SMALL(Pipeline_Calc!$A$2:$A$5251,A348),"")</f>
        <v/>
      </c>
      <c r="C348">
        <f>IF(B348="","",MATCH(B348,Pipeline_Calc!$A$2:$A$5251,0))</f>
        <v/>
      </c>
    </row>
    <row r="349">
      <c r="A349" t="n">
        <v>348</v>
      </c>
      <c r="B349">
        <f>IFERROR(SMALL(Pipeline_Calc!$A$2:$A$5251,A349),"")</f>
        <v/>
      </c>
      <c r="C349">
        <f>IF(B349="","",MATCH(B349,Pipeline_Calc!$A$2:$A$5251,0))</f>
        <v/>
      </c>
    </row>
    <row r="350">
      <c r="A350" t="n">
        <v>349</v>
      </c>
      <c r="B350">
        <f>IFERROR(SMALL(Pipeline_Calc!$A$2:$A$5251,A350),"")</f>
        <v/>
      </c>
      <c r="C350">
        <f>IF(B350="","",MATCH(B350,Pipeline_Calc!$A$2:$A$5251,0))</f>
        <v/>
      </c>
    </row>
    <row r="351">
      <c r="A351" t="n">
        <v>350</v>
      </c>
      <c r="B351">
        <f>IFERROR(SMALL(Pipeline_Calc!$A$2:$A$5251,A351),"")</f>
        <v/>
      </c>
      <c r="C351">
        <f>IF(B351="","",MATCH(B351,Pipeline_Calc!$A$2:$A$5251,0))</f>
        <v/>
      </c>
    </row>
    <row r="352">
      <c r="A352" t="n">
        <v>351</v>
      </c>
      <c r="B352">
        <f>IFERROR(SMALL(Pipeline_Calc!$A$2:$A$5251,A352),"")</f>
        <v/>
      </c>
      <c r="C352">
        <f>IF(B352="","",MATCH(B352,Pipeline_Calc!$A$2:$A$5251,0))</f>
        <v/>
      </c>
    </row>
    <row r="353">
      <c r="A353" t="n">
        <v>352</v>
      </c>
      <c r="B353">
        <f>IFERROR(SMALL(Pipeline_Calc!$A$2:$A$5251,A353),"")</f>
        <v/>
      </c>
      <c r="C353">
        <f>IF(B353="","",MATCH(B353,Pipeline_Calc!$A$2:$A$5251,0))</f>
        <v/>
      </c>
    </row>
    <row r="354">
      <c r="A354" t="n">
        <v>353</v>
      </c>
      <c r="B354">
        <f>IFERROR(SMALL(Pipeline_Calc!$A$2:$A$5251,A354),"")</f>
        <v/>
      </c>
      <c r="C354">
        <f>IF(B354="","",MATCH(B354,Pipeline_Calc!$A$2:$A$5251,0))</f>
        <v/>
      </c>
    </row>
    <row r="355">
      <c r="A355" t="n">
        <v>354</v>
      </c>
      <c r="B355">
        <f>IFERROR(SMALL(Pipeline_Calc!$A$2:$A$5251,A355),"")</f>
        <v/>
      </c>
      <c r="C355">
        <f>IF(B355="","",MATCH(B355,Pipeline_Calc!$A$2:$A$5251,0))</f>
        <v/>
      </c>
    </row>
    <row r="356">
      <c r="A356" t="n">
        <v>355</v>
      </c>
      <c r="B356">
        <f>IFERROR(SMALL(Pipeline_Calc!$A$2:$A$5251,A356),"")</f>
        <v/>
      </c>
      <c r="C356">
        <f>IF(B356="","",MATCH(B356,Pipeline_Calc!$A$2:$A$5251,0))</f>
        <v/>
      </c>
    </row>
    <row r="357">
      <c r="A357" t="n">
        <v>356</v>
      </c>
      <c r="B357">
        <f>IFERROR(SMALL(Pipeline_Calc!$A$2:$A$5251,A357),"")</f>
        <v/>
      </c>
      <c r="C357">
        <f>IF(B357="","",MATCH(B357,Pipeline_Calc!$A$2:$A$5251,0))</f>
        <v/>
      </c>
    </row>
    <row r="358">
      <c r="A358" t="n">
        <v>357</v>
      </c>
      <c r="B358">
        <f>IFERROR(SMALL(Pipeline_Calc!$A$2:$A$5251,A358),"")</f>
        <v/>
      </c>
      <c r="C358">
        <f>IF(B358="","",MATCH(B358,Pipeline_Calc!$A$2:$A$5251,0))</f>
        <v/>
      </c>
    </row>
    <row r="359">
      <c r="A359" t="n">
        <v>358</v>
      </c>
      <c r="B359">
        <f>IFERROR(SMALL(Pipeline_Calc!$A$2:$A$5251,A359),"")</f>
        <v/>
      </c>
      <c r="C359">
        <f>IF(B359="","",MATCH(B359,Pipeline_Calc!$A$2:$A$5251,0))</f>
        <v/>
      </c>
    </row>
    <row r="360">
      <c r="A360" t="n">
        <v>359</v>
      </c>
      <c r="B360">
        <f>IFERROR(SMALL(Pipeline_Calc!$A$2:$A$5251,A360),"")</f>
        <v/>
      </c>
      <c r="C360">
        <f>IF(B360="","",MATCH(B360,Pipeline_Calc!$A$2:$A$5251,0))</f>
        <v/>
      </c>
    </row>
    <row r="361">
      <c r="A361" t="n">
        <v>360</v>
      </c>
      <c r="B361">
        <f>IFERROR(SMALL(Pipeline_Calc!$A$2:$A$5251,A361),"")</f>
        <v/>
      </c>
      <c r="C361">
        <f>IF(B361="","",MATCH(B361,Pipeline_Calc!$A$2:$A$5251,0))</f>
        <v/>
      </c>
    </row>
    <row r="362">
      <c r="A362" t="n">
        <v>361</v>
      </c>
      <c r="B362">
        <f>IFERROR(SMALL(Pipeline_Calc!$A$2:$A$5251,A362),"")</f>
        <v/>
      </c>
      <c r="C362">
        <f>IF(B362="","",MATCH(B362,Pipeline_Calc!$A$2:$A$5251,0))</f>
        <v/>
      </c>
    </row>
    <row r="363">
      <c r="A363" t="n">
        <v>362</v>
      </c>
      <c r="B363">
        <f>IFERROR(SMALL(Pipeline_Calc!$A$2:$A$5251,A363),"")</f>
        <v/>
      </c>
      <c r="C363">
        <f>IF(B363="","",MATCH(B363,Pipeline_Calc!$A$2:$A$5251,0))</f>
        <v/>
      </c>
    </row>
    <row r="364">
      <c r="A364" t="n">
        <v>363</v>
      </c>
      <c r="B364">
        <f>IFERROR(SMALL(Pipeline_Calc!$A$2:$A$5251,A364),"")</f>
        <v/>
      </c>
      <c r="C364">
        <f>IF(B364="","",MATCH(B364,Pipeline_Calc!$A$2:$A$5251,0))</f>
        <v/>
      </c>
    </row>
    <row r="365">
      <c r="A365" t="n">
        <v>364</v>
      </c>
      <c r="B365">
        <f>IFERROR(SMALL(Pipeline_Calc!$A$2:$A$5251,A365),"")</f>
        <v/>
      </c>
      <c r="C365">
        <f>IF(B365="","",MATCH(B365,Pipeline_Calc!$A$2:$A$5251,0))</f>
        <v/>
      </c>
    </row>
    <row r="366">
      <c r="A366" t="n">
        <v>365</v>
      </c>
      <c r="B366">
        <f>IFERROR(SMALL(Pipeline_Calc!$A$2:$A$5251,A366),"")</f>
        <v/>
      </c>
      <c r="C366">
        <f>IF(B366="","",MATCH(B366,Pipeline_Calc!$A$2:$A$5251,0))</f>
        <v/>
      </c>
    </row>
    <row r="367">
      <c r="A367" t="n">
        <v>366</v>
      </c>
      <c r="B367">
        <f>IFERROR(SMALL(Pipeline_Calc!$A$2:$A$5251,A367),"")</f>
        <v/>
      </c>
      <c r="C367">
        <f>IF(B367="","",MATCH(B367,Pipeline_Calc!$A$2:$A$5251,0))</f>
        <v/>
      </c>
    </row>
    <row r="368">
      <c r="A368" t="n">
        <v>367</v>
      </c>
      <c r="B368">
        <f>IFERROR(SMALL(Pipeline_Calc!$A$2:$A$5251,A368),"")</f>
        <v/>
      </c>
      <c r="C368">
        <f>IF(B368="","",MATCH(B368,Pipeline_Calc!$A$2:$A$5251,0))</f>
        <v/>
      </c>
    </row>
    <row r="369">
      <c r="A369" t="n">
        <v>368</v>
      </c>
      <c r="B369">
        <f>IFERROR(SMALL(Pipeline_Calc!$A$2:$A$5251,A369),"")</f>
        <v/>
      </c>
      <c r="C369">
        <f>IF(B369="","",MATCH(B369,Pipeline_Calc!$A$2:$A$5251,0))</f>
        <v/>
      </c>
    </row>
    <row r="370">
      <c r="A370" t="n">
        <v>369</v>
      </c>
      <c r="B370">
        <f>IFERROR(SMALL(Pipeline_Calc!$A$2:$A$5251,A370),"")</f>
        <v/>
      </c>
      <c r="C370">
        <f>IF(B370="","",MATCH(B370,Pipeline_Calc!$A$2:$A$5251,0))</f>
        <v/>
      </c>
    </row>
    <row r="371">
      <c r="A371" t="n">
        <v>370</v>
      </c>
      <c r="B371">
        <f>IFERROR(SMALL(Pipeline_Calc!$A$2:$A$5251,A371),"")</f>
        <v/>
      </c>
      <c r="C371">
        <f>IF(B371="","",MATCH(B371,Pipeline_Calc!$A$2:$A$5251,0))</f>
        <v/>
      </c>
    </row>
    <row r="372">
      <c r="A372" t="n">
        <v>371</v>
      </c>
      <c r="B372">
        <f>IFERROR(SMALL(Pipeline_Calc!$A$2:$A$5251,A372),"")</f>
        <v/>
      </c>
      <c r="C372">
        <f>IF(B372="","",MATCH(B372,Pipeline_Calc!$A$2:$A$5251,0))</f>
        <v/>
      </c>
    </row>
    <row r="373">
      <c r="A373" t="n">
        <v>372</v>
      </c>
      <c r="B373">
        <f>IFERROR(SMALL(Pipeline_Calc!$A$2:$A$5251,A373),"")</f>
        <v/>
      </c>
      <c r="C373">
        <f>IF(B373="","",MATCH(B373,Pipeline_Calc!$A$2:$A$5251,0))</f>
        <v/>
      </c>
    </row>
    <row r="374">
      <c r="A374" t="n">
        <v>373</v>
      </c>
      <c r="B374">
        <f>IFERROR(SMALL(Pipeline_Calc!$A$2:$A$5251,A374),"")</f>
        <v/>
      </c>
      <c r="C374">
        <f>IF(B374="","",MATCH(B374,Pipeline_Calc!$A$2:$A$5251,0))</f>
        <v/>
      </c>
    </row>
    <row r="375">
      <c r="A375" t="n">
        <v>374</v>
      </c>
      <c r="B375">
        <f>IFERROR(SMALL(Pipeline_Calc!$A$2:$A$5251,A375),"")</f>
        <v/>
      </c>
      <c r="C375">
        <f>IF(B375="","",MATCH(B375,Pipeline_Calc!$A$2:$A$5251,0))</f>
        <v/>
      </c>
    </row>
    <row r="376">
      <c r="A376" t="n">
        <v>375</v>
      </c>
      <c r="B376">
        <f>IFERROR(SMALL(Pipeline_Calc!$A$2:$A$5251,A376),"")</f>
        <v/>
      </c>
      <c r="C376">
        <f>IF(B376="","",MATCH(B376,Pipeline_Calc!$A$2:$A$5251,0))</f>
        <v/>
      </c>
    </row>
    <row r="377">
      <c r="A377" t="n">
        <v>376</v>
      </c>
      <c r="B377">
        <f>IFERROR(SMALL(Pipeline_Calc!$A$2:$A$5251,A377),"")</f>
        <v/>
      </c>
      <c r="C377">
        <f>IF(B377="","",MATCH(B377,Pipeline_Calc!$A$2:$A$5251,0))</f>
        <v/>
      </c>
    </row>
    <row r="378">
      <c r="A378" t="n">
        <v>377</v>
      </c>
      <c r="B378">
        <f>IFERROR(SMALL(Pipeline_Calc!$A$2:$A$5251,A378),"")</f>
        <v/>
      </c>
      <c r="C378">
        <f>IF(B378="","",MATCH(B378,Pipeline_Calc!$A$2:$A$5251,0))</f>
        <v/>
      </c>
    </row>
    <row r="379">
      <c r="A379" t="n">
        <v>378</v>
      </c>
      <c r="B379">
        <f>IFERROR(SMALL(Pipeline_Calc!$A$2:$A$5251,A379),"")</f>
        <v/>
      </c>
      <c r="C379">
        <f>IF(B379="","",MATCH(B379,Pipeline_Calc!$A$2:$A$5251,0))</f>
        <v/>
      </c>
    </row>
    <row r="380">
      <c r="A380" t="n">
        <v>379</v>
      </c>
      <c r="B380">
        <f>IFERROR(SMALL(Pipeline_Calc!$A$2:$A$5251,A380),"")</f>
        <v/>
      </c>
      <c r="C380">
        <f>IF(B380="","",MATCH(B380,Pipeline_Calc!$A$2:$A$5251,0))</f>
        <v/>
      </c>
    </row>
    <row r="381">
      <c r="A381" t="n">
        <v>380</v>
      </c>
      <c r="B381">
        <f>IFERROR(SMALL(Pipeline_Calc!$A$2:$A$5251,A381),"")</f>
        <v/>
      </c>
      <c r="C381">
        <f>IF(B381="","",MATCH(B381,Pipeline_Calc!$A$2:$A$5251,0))</f>
        <v/>
      </c>
    </row>
    <row r="382">
      <c r="A382" t="n">
        <v>381</v>
      </c>
      <c r="B382">
        <f>IFERROR(SMALL(Pipeline_Calc!$A$2:$A$5251,A382),"")</f>
        <v/>
      </c>
      <c r="C382">
        <f>IF(B382="","",MATCH(B382,Pipeline_Calc!$A$2:$A$5251,0))</f>
        <v/>
      </c>
    </row>
    <row r="383">
      <c r="A383" t="n">
        <v>382</v>
      </c>
      <c r="B383">
        <f>IFERROR(SMALL(Pipeline_Calc!$A$2:$A$5251,A383),"")</f>
        <v/>
      </c>
      <c r="C383">
        <f>IF(B383="","",MATCH(B383,Pipeline_Calc!$A$2:$A$5251,0))</f>
        <v/>
      </c>
    </row>
    <row r="384">
      <c r="A384" t="n">
        <v>383</v>
      </c>
      <c r="B384">
        <f>IFERROR(SMALL(Pipeline_Calc!$A$2:$A$5251,A384),"")</f>
        <v/>
      </c>
      <c r="C384">
        <f>IF(B384="","",MATCH(B384,Pipeline_Calc!$A$2:$A$5251,0))</f>
        <v/>
      </c>
    </row>
    <row r="385">
      <c r="A385" t="n">
        <v>384</v>
      </c>
      <c r="B385">
        <f>IFERROR(SMALL(Pipeline_Calc!$A$2:$A$5251,A385),"")</f>
        <v/>
      </c>
      <c r="C385">
        <f>IF(B385="","",MATCH(B385,Pipeline_Calc!$A$2:$A$5251,0))</f>
        <v/>
      </c>
    </row>
    <row r="386">
      <c r="A386" t="n">
        <v>385</v>
      </c>
      <c r="B386">
        <f>IFERROR(SMALL(Pipeline_Calc!$A$2:$A$5251,A386),"")</f>
        <v/>
      </c>
      <c r="C386">
        <f>IF(B386="","",MATCH(B386,Pipeline_Calc!$A$2:$A$5251,0))</f>
        <v/>
      </c>
    </row>
    <row r="387">
      <c r="A387" t="n">
        <v>386</v>
      </c>
      <c r="B387">
        <f>IFERROR(SMALL(Pipeline_Calc!$A$2:$A$5251,A387),"")</f>
        <v/>
      </c>
      <c r="C387">
        <f>IF(B387="","",MATCH(B387,Pipeline_Calc!$A$2:$A$5251,0))</f>
        <v/>
      </c>
    </row>
    <row r="388">
      <c r="A388" t="n">
        <v>387</v>
      </c>
      <c r="B388">
        <f>IFERROR(SMALL(Pipeline_Calc!$A$2:$A$5251,A388),"")</f>
        <v/>
      </c>
      <c r="C388">
        <f>IF(B388="","",MATCH(B388,Pipeline_Calc!$A$2:$A$5251,0))</f>
        <v/>
      </c>
    </row>
    <row r="389">
      <c r="A389" t="n">
        <v>388</v>
      </c>
      <c r="B389">
        <f>IFERROR(SMALL(Pipeline_Calc!$A$2:$A$5251,A389),"")</f>
        <v/>
      </c>
      <c r="C389">
        <f>IF(B389="","",MATCH(B389,Pipeline_Calc!$A$2:$A$5251,0))</f>
        <v/>
      </c>
    </row>
    <row r="390">
      <c r="A390" t="n">
        <v>389</v>
      </c>
      <c r="B390">
        <f>IFERROR(SMALL(Pipeline_Calc!$A$2:$A$5251,A390),"")</f>
        <v/>
      </c>
      <c r="C390">
        <f>IF(B390="","",MATCH(B390,Pipeline_Calc!$A$2:$A$5251,0))</f>
        <v/>
      </c>
    </row>
    <row r="391">
      <c r="A391" t="n">
        <v>390</v>
      </c>
      <c r="B391">
        <f>IFERROR(SMALL(Pipeline_Calc!$A$2:$A$5251,A391),"")</f>
        <v/>
      </c>
      <c r="C391">
        <f>IF(B391="","",MATCH(B391,Pipeline_Calc!$A$2:$A$5251,0))</f>
        <v/>
      </c>
    </row>
    <row r="392">
      <c r="A392" t="n">
        <v>391</v>
      </c>
      <c r="B392">
        <f>IFERROR(SMALL(Pipeline_Calc!$A$2:$A$5251,A392),"")</f>
        <v/>
      </c>
      <c r="C392">
        <f>IF(B392="","",MATCH(B392,Pipeline_Calc!$A$2:$A$5251,0))</f>
        <v/>
      </c>
    </row>
    <row r="393">
      <c r="A393" t="n">
        <v>392</v>
      </c>
      <c r="B393">
        <f>IFERROR(SMALL(Pipeline_Calc!$A$2:$A$5251,A393),"")</f>
        <v/>
      </c>
      <c r="C393">
        <f>IF(B393="","",MATCH(B393,Pipeline_Calc!$A$2:$A$5251,0))</f>
        <v/>
      </c>
    </row>
    <row r="394">
      <c r="A394" t="n">
        <v>393</v>
      </c>
      <c r="B394">
        <f>IFERROR(SMALL(Pipeline_Calc!$A$2:$A$5251,A394),"")</f>
        <v/>
      </c>
      <c r="C394">
        <f>IF(B394="","",MATCH(B394,Pipeline_Calc!$A$2:$A$5251,0))</f>
        <v/>
      </c>
    </row>
    <row r="395">
      <c r="A395" t="n">
        <v>394</v>
      </c>
      <c r="B395">
        <f>IFERROR(SMALL(Pipeline_Calc!$A$2:$A$5251,A395),"")</f>
        <v/>
      </c>
      <c r="C395">
        <f>IF(B395="","",MATCH(B395,Pipeline_Calc!$A$2:$A$5251,0))</f>
        <v/>
      </c>
    </row>
    <row r="396">
      <c r="A396" t="n">
        <v>395</v>
      </c>
      <c r="B396">
        <f>IFERROR(SMALL(Pipeline_Calc!$A$2:$A$5251,A396),"")</f>
        <v/>
      </c>
      <c r="C396">
        <f>IF(B396="","",MATCH(B396,Pipeline_Calc!$A$2:$A$5251,0))</f>
        <v/>
      </c>
    </row>
    <row r="397">
      <c r="A397" t="n">
        <v>396</v>
      </c>
      <c r="B397">
        <f>IFERROR(SMALL(Pipeline_Calc!$A$2:$A$5251,A397),"")</f>
        <v/>
      </c>
      <c r="C397">
        <f>IF(B397="","",MATCH(B397,Pipeline_Calc!$A$2:$A$5251,0))</f>
        <v/>
      </c>
    </row>
    <row r="398">
      <c r="A398" t="n">
        <v>397</v>
      </c>
      <c r="B398">
        <f>IFERROR(SMALL(Pipeline_Calc!$A$2:$A$5251,A398),"")</f>
        <v/>
      </c>
      <c r="C398">
        <f>IF(B398="","",MATCH(B398,Pipeline_Calc!$A$2:$A$5251,0))</f>
        <v/>
      </c>
    </row>
    <row r="399">
      <c r="A399" t="n">
        <v>398</v>
      </c>
      <c r="B399">
        <f>IFERROR(SMALL(Pipeline_Calc!$A$2:$A$5251,A399),"")</f>
        <v/>
      </c>
      <c r="C399">
        <f>IF(B399="","",MATCH(B399,Pipeline_Calc!$A$2:$A$5251,0))</f>
        <v/>
      </c>
    </row>
    <row r="400">
      <c r="A400" t="n">
        <v>399</v>
      </c>
      <c r="B400">
        <f>IFERROR(SMALL(Pipeline_Calc!$A$2:$A$5251,A400),"")</f>
        <v/>
      </c>
      <c r="C400">
        <f>IF(B400="","",MATCH(B400,Pipeline_Calc!$A$2:$A$5251,0))</f>
        <v/>
      </c>
    </row>
    <row r="401">
      <c r="A401" t="n">
        <v>400</v>
      </c>
      <c r="B401">
        <f>IFERROR(SMALL(Pipeline_Calc!$A$2:$A$5251,A401),"")</f>
        <v/>
      </c>
      <c r="C401">
        <f>IF(B401="","",MATCH(B401,Pipeline_Calc!$A$2:$A$5251,0))</f>
        <v/>
      </c>
    </row>
    <row r="402">
      <c r="A402" t="n">
        <v>401</v>
      </c>
      <c r="B402">
        <f>IFERROR(SMALL(Pipeline_Calc!$A$2:$A$5251,A402),"")</f>
        <v/>
      </c>
      <c r="C402">
        <f>IF(B402="","",MATCH(B402,Pipeline_Calc!$A$2:$A$5251,0))</f>
        <v/>
      </c>
    </row>
    <row r="403">
      <c r="A403" t="n">
        <v>402</v>
      </c>
      <c r="B403">
        <f>IFERROR(SMALL(Pipeline_Calc!$A$2:$A$5251,A403),"")</f>
        <v/>
      </c>
      <c r="C403">
        <f>IF(B403="","",MATCH(B403,Pipeline_Calc!$A$2:$A$5251,0))</f>
        <v/>
      </c>
    </row>
    <row r="404">
      <c r="A404" t="n">
        <v>403</v>
      </c>
      <c r="B404">
        <f>IFERROR(SMALL(Pipeline_Calc!$A$2:$A$5251,A404),"")</f>
        <v/>
      </c>
      <c r="C404">
        <f>IF(B404="","",MATCH(B404,Pipeline_Calc!$A$2:$A$5251,0))</f>
        <v/>
      </c>
    </row>
    <row r="405">
      <c r="A405" t="n">
        <v>404</v>
      </c>
      <c r="B405">
        <f>IFERROR(SMALL(Pipeline_Calc!$A$2:$A$5251,A405),"")</f>
        <v/>
      </c>
      <c r="C405">
        <f>IF(B405="","",MATCH(B405,Pipeline_Calc!$A$2:$A$5251,0))</f>
        <v/>
      </c>
    </row>
    <row r="406">
      <c r="A406" t="n">
        <v>405</v>
      </c>
      <c r="B406">
        <f>IFERROR(SMALL(Pipeline_Calc!$A$2:$A$5251,A406),"")</f>
        <v/>
      </c>
      <c r="C406">
        <f>IF(B406="","",MATCH(B406,Pipeline_Calc!$A$2:$A$5251,0))</f>
        <v/>
      </c>
    </row>
    <row r="407">
      <c r="A407" t="n">
        <v>406</v>
      </c>
      <c r="B407">
        <f>IFERROR(SMALL(Pipeline_Calc!$A$2:$A$5251,A407),"")</f>
        <v/>
      </c>
      <c r="C407">
        <f>IF(B407="","",MATCH(B407,Pipeline_Calc!$A$2:$A$5251,0))</f>
        <v/>
      </c>
    </row>
    <row r="408">
      <c r="A408" t="n">
        <v>407</v>
      </c>
      <c r="B408">
        <f>IFERROR(SMALL(Pipeline_Calc!$A$2:$A$5251,A408),"")</f>
        <v/>
      </c>
      <c r="C408">
        <f>IF(B408="","",MATCH(B408,Pipeline_Calc!$A$2:$A$5251,0))</f>
        <v/>
      </c>
    </row>
    <row r="409">
      <c r="A409" t="n">
        <v>408</v>
      </c>
      <c r="B409">
        <f>IFERROR(SMALL(Pipeline_Calc!$A$2:$A$5251,A409),"")</f>
        <v/>
      </c>
      <c r="C409">
        <f>IF(B409="","",MATCH(B409,Pipeline_Calc!$A$2:$A$5251,0))</f>
        <v/>
      </c>
    </row>
    <row r="410">
      <c r="A410" t="n">
        <v>409</v>
      </c>
      <c r="B410">
        <f>IFERROR(SMALL(Pipeline_Calc!$A$2:$A$5251,A410),"")</f>
        <v/>
      </c>
      <c r="C410">
        <f>IF(B410="","",MATCH(B410,Pipeline_Calc!$A$2:$A$5251,0))</f>
        <v/>
      </c>
    </row>
    <row r="411">
      <c r="A411" t="n">
        <v>410</v>
      </c>
      <c r="B411">
        <f>IFERROR(SMALL(Pipeline_Calc!$A$2:$A$5251,A411),"")</f>
        <v/>
      </c>
      <c r="C411">
        <f>IF(B411="","",MATCH(B411,Pipeline_Calc!$A$2:$A$5251,0))</f>
        <v/>
      </c>
    </row>
    <row r="412">
      <c r="A412" t="n">
        <v>411</v>
      </c>
      <c r="B412">
        <f>IFERROR(SMALL(Pipeline_Calc!$A$2:$A$5251,A412),"")</f>
        <v/>
      </c>
      <c r="C412">
        <f>IF(B412="","",MATCH(B412,Pipeline_Calc!$A$2:$A$5251,0))</f>
        <v/>
      </c>
    </row>
    <row r="413">
      <c r="A413" t="n">
        <v>412</v>
      </c>
      <c r="B413">
        <f>IFERROR(SMALL(Pipeline_Calc!$A$2:$A$5251,A413),"")</f>
        <v/>
      </c>
      <c r="C413">
        <f>IF(B413="","",MATCH(B413,Pipeline_Calc!$A$2:$A$5251,0))</f>
        <v/>
      </c>
    </row>
    <row r="414">
      <c r="A414" t="n">
        <v>413</v>
      </c>
      <c r="B414">
        <f>IFERROR(SMALL(Pipeline_Calc!$A$2:$A$5251,A414),"")</f>
        <v/>
      </c>
      <c r="C414">
        <f>IF(B414="","",MATCH(B414,Pipeline_Calc!$A$2:$A$5251,0))</f>
        <v/>
      </c>
    </row>
    <row r="415">
      <c r="A415" t="n">
        <v>414</v>
      </c>
      <c r="B415">
        <f>IFERROR(SMALL(Pipeline_Calc!$A$2:$A$5251,A415),"")</f>
        <v/>
      </c>
      <c r="C415">
        <f>IF(B415="","",MATCH(B415,Pipeline_Calc!$A$2:$A$5251,0))</f>
        <v/>
      </c>
    </row>
    <row r="416">
      <c r="A416" t="n">
        <v>415</v>
      </c>
      <c r="B416">
        <f>IFERROR(SMALL(Pipeline_Calc!$A$2:$A$5251,A416),"")</f>
        <v/>
      </c>
      <c r="C416">
        <f>IF(B416="","",MATCH(B416,Pipeline_Calc!$A$2:$A$5251,0))</f>
        <v/>
      </c>
    </row>
    <row r="417">
      <c r="A417" t="n">
        <v>416</v>
      </c>
      <c r="B417">
        <f>IFERROR(SMALL(Pipeline_Calc!$A$2:$A$5251,A417),"")</f>
        <v/>
      </c>
      <c r="C417">
        <f>IF(B417="","",MATCH(B417,Pipeline_Calc!$A$2:$A$5251,0))</f>
        <v/>
      </c>
    </row>
    <row r="418">
      <c r="A418" t="n">
        <v>417</v>
      </c>
      <c r="B418">
        <f>IFERROR(SMALL(Pipeline_Calc!$A$2:$A$5251,A418),"")</f>
        <v/>
      </c>
      <c r="C418">
        <f>IF(B418="","",MATCH(B418,Pipeline_Calc!$A$2:$A$5251,0))</f>
        <v/>
      </c>
    </row>
    <row r="419">
      <c r="A419" t="n">
        <v>418</v>
      </c>
      <c r="B419">
        <f>IFERROR(SMALL(Pipeline_Calc!$A$2:$A$5251,A419),"")</f>
        <v/>
      </c>
      <c r="C419">
        <f>IF(B419="","",MATCH(B419,Pipeline_Calc!$A$2:$A$5251,0))</f>
        <v/>
      </c>
    </row>
    <row r="420">
      <c r="A420" t="n">
        <v>419</v>
      </c>
      <c r="B420">
        <f>IFERROR(SMALL(Pipeline_Calc!$A$2:$A$5251,A420),"")</f>
        <v/>
      </c>
      <c r="C420">
        <f>IF(B420="","",MATCH(B420,Pipeline_Calc!$A$2:$A$5251,0))</f>
        <v/>
      </c>
    </row>
    <row r="421">
      <c r="A421" t="n">
        <v>420</v>
      </c>
      <c r="B421">
        <f>IFERROR(SMALL(Pipeline_Calc!$A$2:$A$5251,A421),"")</f>
        <v/>
      </c>
      <c r="C421">
        <f>IF(B421="","",MATCH(B421,Pipeline_Calc!$A$2:$A$5251,0))</f>
        <v/>
      </c>
    </row>
    <row r="422">
      <c r="A422" t="n">
        <v>421</v>
      </c>
      <c r="B422">
        <f>IFERROR(SMALL(Pipeline_Calc!$A$2:$A$5251,A422),"")</f>
        <v/>
      </c>
      <c r="C422">
        <f>IF(B422="","",MATCH(B422,Pipeline_Calc!$A$2:$A$5251,0))</f>
        <v/>
      </c>
    </row>
    <row r="423">
      <c r="A423" t="n">
        <v>422</v>
      </c>
      <c r="B423">
        <f>IFERROR(SMALL(Pipeline_Calc!$A$2:$A$5251,A423),"")</f>
        <v/>
      </c>
      <c r="C423">
        <f>IF(B423="","",MATCH(B423,Pipeline_Calc!$A$2:$A$5251,0))</f>
        <v/>
      </c>
    </row>
    <row r="424">
      <c r="A424" t="n">
        <v>423</v>
      </c>
      <c r="B424">
        <f>IFERROR(SMALL(Pipeline_Calc!$A$2:$A$5251,A424),"")</f>
        <v/>
      </c>
      <c r="C424">
        <f>IF(B424="","",MATCH(B424,Pipeline_Calc!$A$2:$A$5251,0))</f>
        <v/>
      </c>
    </row>
    <row r="425">
      <c r="A425" t="n">
        <v>424</v>
      </c>
      <c r="B425">
        <f>IFERROR(SMALL(Pipeline_Calc!$A$2:$A$5251,A425),"")</f>
        <v/>
      </c>
      <c r="C425">
        <f>IF(B425="","",MATCH(B425,Pipeline_Calc!$A$2:$A$5251,0))</f>
        <v/>
      </c>
    </row>
    <row r="426">
      <c r="A426" t="n">
        <v>425</v>
      </c>
      <c r="B426">
        <f>IFERROR(SMALL(Pipeline_Calc!$A$2:$A$5251,A426),"")</f>
        <v/>
      </c>
      <c r="C426">
        <f>IF(B426="","",MATCH(B426,Pipeline_Calc!$A$2:$A$5251,0))</f>
        <v/>
      </c>
    </row>
    <row r="427">
      <c r="A427" t="n">
        <v>426</v>
      </c>
      <c r="B427">
        <f>IFERROR(SMALL(Pipeline_Calc!$A$2:$A$5251,A427),"")</f>
        <v/>
      </c>
      <c r="C427">
        <f>IF(B427="","",MATCH(B427,Pipeline_Calc!$A$2:$A$5251,0))</f>
        <v/>
      </c>
    </row>
    <row r="428">
      <c r="A428" t="n">
        <v>427</v>
      </c>
      <c r="B428">
        <f>IFERROR(SMALL(Pipeline_Calc!$A$2:$A$5251,A428),"")</f>
        <v/>
      </c>
      <c r="C428">
        <f>IF(B428="","",MATCH(B428,Pipeline_Calc!$A$2:$A$5251,0))</f>
        <v/>
      </c>
    </row>
    <row r="429">
      <c r="A429" t="n">
        <v>428</v>
      </c>
      <c r="B429">
        <f>IFERROR(SMALL(Pipeline_Calc!$A$2:$A$5251,A429),"")</f>
        <v/>
      </c>
      <c r="C429">
        <f>IF(B429="","",MATCH(B429,Pipeline_Calc!$A$2:$A$5251,0))</f>
        <v/>
      </c>
    </row>
    <row r="430">
      <c r="A430" t="n">
        <v>429</v>
      </c>
      <c r="B430">
        <f>IFERROR(SMALL(Pipeline_Calc!$A$2:$A$5251,A430),"")</f>
        <v/>
      </c>
      <c r="C430">
        <f>IF(B430="","",MATCH(B430,Pipeline_Calc!$A$2:$A$5251,0))</f>
        <v/>
      </c>
    </row>
    <row r="431">
      <c r="A431" t="n">
        <v>430</v>
      </c>
      <c r="B431">
        <f>IFERROR(SMALL(Pipeline_Calc!$A$2:$A$5251,A431),"")</f>
        <v/>
      </c>
      <c r="C431">
        <f>IF(B431="","",MATCH(B431,Pipeline_Calc!$A$2:$A$5251,0))</f>
        <v/>
      </c>
    </row>
    <row r="432">
      <c r="A432" t="n">
        <v>431</v>
      </c>
      <c r="B432">
        <f>IFERROR(SMALL(Pipeline_Calc!$A$2:$A$5251,A432),"")</f>
        <v/>
      </c>
      <c r="C432">
        <f>IF(B432="","",MATCH(B432,Pipeline_Calc!$A$2:$A$5251,0))</f>
        <v/>
      </c>
    </row>
    <row r="433">
      <c r="A433" t="n">
        <v>432</v>
      </c>
      <c r="B433">
        <f>IFERROR(SMALL(Pipeline_Calc!$A$2:$A$5251,A433),"")</f>
        <v/>
      </c>
      <c r="C433">
        <f>IF(B433="","",MATCH(B433,Pipeline_Calc!$A$2:$A$5251,0))</f>
        <v/>
      </c>
    </row>
    <row r="434">
      <c r="A434" t="n">
        <v>433</v>
      </c>
      <c r="B434">
        <f>IFERROR(SMALL(Pipeline_Calc!$A$2:$A$5251,A434),"")</f>
        <v/>
      </c>
      <c r="C434">
        <f>IF(B434="","",MATCH(B434,Pipeline_Calc!$A$2:$A$5251,0))</f>
        <v/>
      </c>
    </row>
    <row r="435">
      <c r="A435" t="n">
        <v>434</v>
      </c>
      <c r="B435">
        <f>IFERROR(SMALL(Pipeline_Calc!$A$2:$A$5251,A435),"")</f>
        <v/>
      </c>
      <c r="C435">
        <f>IF(B435="","",MATCH(B435,Pipeline_Calc!$A$2:$A$5251,0))</f>
        <v/>
      </c>
    </row>
    <row r="436">
      <c r="A436" t="n">
        <v>435</v>
      </c>
      <c r="B436">
        <f>IFERROR(SMALL(Pipeline_Calc!$A$2:$A$5251,A436),"")</f>
        <v/>
      </c>
      <c r="C436">
        <f>IF(B436="","",MATCH(B436,Pipeline_Calc!$A$2:$A$5251,0))</f>
        <v/>
      </c>
    </row>
    <row r="437">
      <c r="A437" t="n">
        <v>436</v>
      </c>
      <c r="B437">
        <f>IFERROR(SMALL(Pipeline_Calc!$A$2:$A$5251,A437),"")</f>
        <v/>
      </c>
      <c r="C437">
        <f>IF(B437="","",MATCH(B437,Pipeline_Calc!$A$2:$A$5251,0))</f>
        <v/>
      </c>
    </row>
    <row r="438">
      <c r="A438" t="n">
        <v>437</v>
      </c>
      <c r="B438">
        <f>IFERROR(SMALL(Pipeline_Calc!$A$2:$A$5251,A438),"")</f>
        <v/>
      </c>
      <c r="C438">
        <f>IF(B438="","",MATCH(B438,Pipeline_Calc!$A$2:$A$5251,0))</f>
        <v/>
      </c>
    </row>
    <row r="439">
      <c r="A439" t="n">
        <v>438</v>
      </c>
      <c r="B439">
        <f>IFERROR(SMALL(Pipeline_Calc!$A$2:$A$5251,A439),"")</f>
        <v/>
      </c>
      <c r="C439">
        <f>IF(B439="","",MATCH(B439,Pipeline_Calc!$A$2:$A$5251,0))</f>
        <v/>
      </c>
    </row>
    <row r="440">
      <c r="A440" t="n">
        <v>439</v>
      </c>
      <c r="B440">
        <f>IFERROR(SMALL(Pipeline_Calc!$A$2:$A$5251,A440),"")</f>
        <v/>
      </c>
      <c r="C440">
        <f>IF(B440="","",MATCH(B440,Pipeline_Calc!$A$2:$A$5251,0))</f>
        <v/>
      </c>
    </row>
    <row r="441">
      <c r="A441" t="n">
        <v>440</v>
      </c>
      <c r="B441">
        <f>IFERROR(SMALL(Pipeline_Calc!$A$2:$A$5251,A441),"")</f>
        <v/>
      </c>
      <c r="C441">
        <f>IF(B441="","",MATCH(B441,Pipeline_Calc!$A$2:$A$5251,0))</f>
        <v/>
      </c>
    </row>
    <row r="442">
      <c r="A442" t="n">
        <v>441</v>
      </c>
      <c r="B442">
        <f>IFERROR(SMALL(Pipeline_Calc!$A$2:$A$5251,A442),"")</f>
        <v/>
      </c>
      <c r="C442">
        <f>IF(B442="","",MATCH(B442,Pipeline_Calc!$A$2:$A$5251,0))</f>
        <v/>
      </c>
    </row>
    <row r="443">
      <c r="A443" t="n">
        <v>442</v>
      </c>
      <c r="B443">
        <f>IFERROR(SMALL(Pipeline_Calc!$A$2:$A$5251,A443),"")</f>
        <v/>
      </c>
      <c r="C443">
        <f>IF(B443="","",MATCH(B443,Pipeline_Calc!$A$2:$A$5251,0))</f>
        <v/>
      </c>
    </row>
    <row r="444">
      <c r="A444" t="n">
        <v>443</v>
      </c>
      <c r="B444">
        <f>IFERROR(SMALL(Pipeline_Calc!$A$2:$A$5251,A444),"")</f>
        <v/>
      </c>
      <c r="C444">
        <f>IF(B444="","",MATCH(B444,Pipeline_Calc!$A$2:$A$5251,0))</f>
        <v/>
      </c>
    </row>
    <row r="445">
      <c r="A445" t="n">
        <v>444</v>
      </c>
      <c r="B445">
        <f>IFERROR(SMALL(Pipeline_Calc!$A$2:$A$5251,A445),"")</f>
        <v/>
      </c>
      <c r="C445">
        <f>IF(B445="","",MATCH(B445,Pipeline_Calc!$A$2:$A$5251,0))</f>
        <v/>
      </c>
    </row>
    <row r="446">
      <c r="A446" t="n">
        <v>445</v>
      </c>
      <c r="B446">
        <f>IFERROR(SMALL(Pipeline_Calc!$A$2:$A$5251,A446),"")</f>
        <v/>
      </c>
      <c r="C446">
        <f>IF(B446="","",MATCH(B446,Pipeline_Calc!$A$2:$A$5251,0))</f>
        <v/>
      </c>
    </row>
    <row r="447">
      <c r="A447" t="n">
        <v>446</v>
      </c>
      <c r="B447">
        <f>IFERROR(SMALL(Pipeline_Calc!$A$2:$A$5251,A447),"")</f>
        <v/>
      </c>
      <c r="C447">
        <f>IF(B447="","",MATCH(B447,Pipeline_Calc!$A$2:$A$5251,0))</f>
        <v/>
      </c>
    </row>
    <row r="448">
      <c r="A448" t="n">
        <v>447</v>
      </c>
      <c r="B448">
        <f>IFERROR(SMALL(Pipeline_Calc!$A$2:$A$5251,A448),"")</f>
        <v/>
      </c>
      <c r="C448">
        <f>IF(B448="","",MATCH(B448,Pipeline_Calc!$A$2:$A$5251,0))</f>
        <v/>
      </c>
    </row>
    <row r="449">
      <c r="A449" t="n">
        <v>448</v>
      </c>
      <c r="B449">
        <f>IFERROR(SMALL(Pipeline_Calc!$A$2:$A$5251,A449),"")</f>
        <v/>
      </c>
      <c r="C449">
        <f>IF(B449="","",MATCH(B449,Pipeline_Calc!$A$2:$A$5251,0))</f>
        <v/>
      </c>
    </row>
    <row r="450">
      <c r="A450" t="n">
        <v>449</v>
      </c>
      <c r="B450">
        <f>IFERROR(SMALL(Pipeline_Calc!$A$2:$A$5251,A450),"")</f>
        <v/>
      </c>
      <c r="C450">
        <f>IF(B450="","",MATCH(B450,Pipeline_Calc!$A$2:$A$5251,0))</f>
        <v/>
      </c>
    </row>
    <row r="451">
      <c r="A451" t="n">
        <v>450</v>
      </c>
      <c r="B451">
        <f>IFERROR(SMALL(Pipeline_Calc!$A$2:$A$5251,A451),"")</f>
        <v/>
      </c>
      <c r="C451">
        <f>IF(B451="","",MATCH(B451,Pipeline_Calc!$A$2:$A$5251,0))</f>
        <v/>
      </c>
    </row>
    <row r="452">
      <c r="A452" t="n">
        <v>451</v>
      </c>
      <c r="B452">
        <f>IFERROR(SMALL(Pipeline_Calc!$A$2:$A$5251,A452),"")</f>
        <v/>
      </c>
      <c r="C452">
        <f>IF(B452="","",MATCH(B452,Pipeline_Calc!$A$2:$A$5251,0))</f>
        <v/>
      </c>
    </row>
    <row r="453">
      <c r="A453" t="n">
        <v>452</v>
      </c>
      <c r="B453">
        <f>IFERROR(SMALL(Pipeline_Calc!$A$2:$A$5251,A453),"")</f>
        <v/>
      </c>
      <c r="C453">
        <f>IF(B453="","",MATCH(B453,Pipeline_Calc!$A$2:$A$5251,0))</f>
        <v/>
      </c>
    </row>
    <row r="454">
      <c r="A454" t="n">
        <v>453</v>
      </c>
      <c r="B454">
        <f>IFERROR(SMALL(Pipeline_Calc!$A$2:$A$5251,A454),"")</f>
        <v/>
      </c>
      <c r="C454">
        <f>IF(B454="","",MATCH(B454,Pipeline_Calc!$A$2:$A$5251,0))</f>
        <v/>
      </c>
    </row>
    <row r="455">
      <c r="A455" t="n">
        <v>454</v>
      </c>
      <c r="B455">
        <f>IFERROR(SMALL(Pipeline_Calc!$A$2:$A$5251,A455),"")</f>
        <v/>
      </c>
      <c r="C455">
        <f>IF(B455="","",MATCH(B455,Pipeline_Calc!$A$2:$A$5251,0))</f>
        <v/>
      </c>
    </row>
    <row r="456">
      <c r="A456" t="n">
        <v>455</v>
      </c>
      <c r="B456">
        <f>IFERROR(SMALL(Pipeline_Calc!$A$2:$A$5251,A456),"")</f>
        <v/>
      </c>
      <c r="C456">
        <f>IF(B456="","",MATCH(B456,Pipeline_Calc!$A$2:$A$5251,0))</f>
        <v/>
      </c>
    </row>
    <row r="457">
      <c r="A457" t="n">
        <v>456</v>
      </c>
      <c r="B457">
        <f>IFERROR(SMALL(Pipeline_Calc!$A$2:$A$5251,A457),"")</f>
        <v/>
      </c>
      <c r="C457">
        <f>IF(B457="","",MATCH(B457,Pipeline_Calc!$A$2:$A$5251,0))</f>
        <v/>
      </c>
    </row>
    <row r="458">
      <c r="A458" t="n">
        <v>457</v>
      </c>
      <c r="B458">
        <f>IFERROR(SMALL(Pipeline_Calc!$A$2:$A$5251,A458),"")</f>
        <v/>
      </c>
      <c r="C458">
        <f>IF(B458="","",MATCH(B458,Pipeline_Calc!$A$2:$A$5251,0))</f>
        <v/>
      </c>
    </row>
    <row r="459">
      <c r="A459" t="n">
        <v>458</v>
      </c>
      <c r="B459">
        <f>IFERROR(SMALL(Pipeline_Calc!$A$2:$A$5251,A459),"")</f>
        <v/>
      </c>
      <c r="C459">
        <f>IF(B459="","",MATCH(B459,Pipeline_Calc!$A$2:$A$5251,0))</f>
        <v/>
      </c>
    </row>
    <row r="460">
      <c r="A460" t="n">
        <v>459</v>
      </c>
      <c r="B460">
        <f>IFERROR(SMALL(Pipeline_Calc!$A$2:$A$5251,A460),"")</f>
        <v/>
      </c>
      <c r="C460">
        <f>IF(B460="","",MATCH(B460,Pipeline_Calc!$A$2:$A$5251,0))</f>
        <v/>
      </c>
    </row>
    <row r="461">
      <c r="A461" t="n">
        <v>460</v>
      </c>
      <c r="B461">
        <f>IFERROR(SMALL(Pipeline_Calc!$A$2:$A$5251,A461),"")</f>
        <v/>
      </c>
      <c r="C461">
        <f>IF(B461="","",MATCH(B461,Pipeline_Calc!$A$2:$A$5251,0))</f>
        <v/>
      </c>
    </row>
    <row r="462">
      <c r="A462" t="n">
        <v>461</v>
      </c>
      <c r="B462">
        <f>IFERROR(SMALL(Pipeline_Calc!$A$2:$A$5251,A462),"")</f>
        <v/>
      </c>
      <c r="C462">
        <f>IF(B462="","",MATCH(B462,Pipeline_Calc!$A$2:$A$5251,0))</f>
        <v/>
      </c>
    </row>
    <row r="463">
      <c r="A463" t="n">
        <v>462</v>
      </c>
      <c r="B463">
        <f>IFERROR(SMALL(Pipeline_Calc!$A$2:$A$5251,A463),"")</f>
        <v/>
      </c>
      <c r="C463">
        <f>IF(B463="","",MATCH(B463,Pipeline_Calc!$A$2:$A$5251,0))</f>
        <v/>
      </c>
    </row>
    <row r="464">
      <c r="A464" t="n">
        <v>463</v>
      </c>
      <c r="B464">
        <f>IFERROR(SMALL(Pipeline_Calc!$A$2:$A$5251,A464),"")</f>
        <v/>
      </c>
      <c r="C464">
        <f>IF(B464="","",MATCH(B464,Pipeline_Calc!$A$2:$A$5251,0))</f>
        <v/>
      </c>
    </row>
    <row r="465">
      <c r="A465" t="n">
        <v>464</v>
      </c>
      <c r="B465">
        <f>IFERROR(SMALL(Pipeline_Calc!$A$2:$A$5251,A465),"")</f>
        <v/>
      </c>
      <c r="C465">
        <f>IF(B465="","",MATCH(B465,Pipeline_Calc!$A$2:$A$5251,0))</f>
        <v/>
      </c>
    </row>
    <row r="466">
      <c r="A466" t="n">
        <v>465</v>
      </c>
      <c r="B466">
        <f>IFERROR(SMALL(Pipeline_Calc!$A$2:$A$5251,A466),"")</f>
        <v/>
      </c>
      <c r="C466">
        <f>IF(B466="","",MATCH(B466,Pipeline_Calc!$A$2:$A$5251,0))</f>
        <v/>
      </c>
    </row>
    <row r="467">
      <c r="A467" t="n">
        <v>466</v>
      </c>
      <c r="B467">
        <f>IFERROR(SMALL(Pipeline_Calc!$A$2:$A$5251,A467),"")</f>
        <v/>
      </c>
      <c r="C467">
        <f>IF(B467="","",MATCH(B467,Pipeline_Calc!$A$2:$A$5251,0))</f>
        <v/>
      </c>
    </row>
    <row r="468">
      <c r="A468" t="n">
        <v>467</v>
      </c>
      <c r="B468">
        <f>IFERROR(SMALL(Pipeline_Calc!$A$2:$A$5251,A468),"")</f>
        <v/>
      </c>
      <c r="C468">
        <f>IF(B468="","",MATCH(B468,Pipeline_Calc!$A$2:$A$5251,0))</f>
        <v/>
      </c>
    </row>
    <row r="469">
      <c r="A469" t="n">
        <v>468</v>
      </c>
      <c r="B469">
        <f>IFERROR(SMALL(Pipeline_Calc!$A$2:$A$5251,A469),"")</f>
        <v/>
      </c>
      <c r="C469">
        <f>IF(B469="","",MATCH(B469,Pipeline_Calc!$A$2:$A$5251,0))</f>
        <v/>
      </c>
    </row>
    <row r="470">
      <c r="A470" t="n">
        <v>469</v>
      </c>
      <c r="B470">
        <f>IFERROR(SMALL(Pipeline_Calc!$A$2:$A$5251,A470),"")</f>
        <v/>
      </c>
      <c r="C470">
        <f>IF(B470="","",MATCH(B470,Pipeline_Calc!$A$2:$A$5251,0))</f>
        <v/>
      </c>
    </row>
    <row r="471">
      <c r="A471" t="n">
        <v>470</v>
      </c>
      <c r="B471">
        <f>IFERROR(SMALL(Pipeline_Calc!$A$2:$A$5251,A471),"")</f>
        <v/>
      </c>
      <c r="C471">
        <f>IF(B471="","",MATCH(B471,Pipeline_Calc!$A$2:$A$5251,0))</f>
        <v/>
      </c>
    </row>
    <row r="472">
      <c r="A472" t="n">
        <v>471</v>
      </c>
      <c r="B472">
        <f>IFERROR(SMALL(Pipeline_Calc!$A$2:$A$5251,A472),"")</f>
        <v/>
      </c>
      <c r="C472">
        <f>IF(B472="","",MATCH(B472,Pipeline_Calc!$A$2:$A$5251,0))</f>
        <v/>
      </c>
    </row>
    <row r="473">
      <c r="A473" t="n">
        <v>472</v>
      </c>
      <c r="B473">
        <f>IFERROR(SMALL(Pipeline_Calc!$A$2:$A$5251,A473),"")</f>
        <v/>
      </c>
      <c r="C473">
        <f>IF(B473="","",MATCH(B473,Pipeline_Calc!$A$2:$A$5251,0))</f>
        <v/>
      </c>
    </row>
    <row r="474">
      <c r="A474" t="n">
        <v>473</v>
      </c>
      <c r="B474">
        <f>IFERROR(SMALL(Pipeline_Calc!$A$2:$A$5251,A474),"")</f>
        <v/>
      </c>
      <c r="C474">
        <f>IF(B474="","",MATCH(B474,Pipeline_Calc!$A$2:$A$5251,0))</f>
        <v/>
      </c>
    </row>
    <row r="475">
      <c r="A475" t="n">
        <v>474</v>
      </c>
      <c r="B475">
        <f>IFERROR(SMALL(Pipeline_Calc!$A$2:$A$5251,A475),"")</f>
        <v/>
      </c>
      <c r="C475">
        <f>IF(B475="","",MATCH(B475,Pipeline_Calc!$A$2:$A$5251,0))</f>
        <v/>
      </c>
    </row>
    <row r="476">
      <c r="A476" t="n">
        <v>475</v>
      </c>
      <c r="B476">
        <f>IFERROR(SMALL(Pipeline_Calc!$A$2:$A$5251,A476),"")</f>
        <v/>
      </c>
      <c r="C476">
        <f>IF(B476="","",MATCH(B476,Pipeline_Calc!$A$2:$A$5251,0))</f>
        <v/>
      </c>
    </row>
    <row r="477">
      <c r="A477" t="n">
        <v>476</v>
      </c>
      <c r="B477">
        <f>IFERROR(SMALL(Pipeline_Calc!$A$2:$A$5251,A477),"")</f>
        <v/>
      </c>
      <c r="C477">
        <f>IF(B477="","",MATCH(B477,Pipeline_Calc!$A$2:$A$5251,0))</f>
        <v/>
      </c>
    </row>
    <row r="478">
      <c r="A478" t="n">
        <v>477</v>
      </c>
      <c r="B478">
        <f>IFERROR(SMALL(Pipeline_Calc!$A$2:$A$5251,A478),"")</f>
        <v/>
      </c>
      <c r="C478">
        <f>IF(B478="","",MATCH(B478,Pipeline_Calc!$A$2:$A$5251,0))</f>
        <v/>
      </c>
    </row>
    <row r="479">
      <c r="A479" t="n">
        <v>478</v>
      </c>
      <c r="B479">
        <f>IFERROR(SMALL(Pipeline_Calc!$A$2:$A$5251,A479),"")</f>
        <v/>
      </c>
      <c r="C479">
        <f>IF(B479="","",MATCH(B479,Pipeline_Calc!$A$2:$A$5251,0))</f>
        <v/>
      </c>
    </row>
    <row r="480">
      <c r="A480" t="n">
        <v>479</v>
      </c>
      <c r="B480">
        <f>IFERROR(SMALL(Pipeline_Calc!$A$2:$A$5251,A480),"")</f>
        <v/>
      </c>
      <c r="C480">
        <f>IF(B480="","",MATCH(B480,Pipeline_Calc!$A$2:$A$5251,0))</f>
        <v/>
      </c>
    </row>
    <row r="481">
      <c r="A481" t="n">
        <v>480</v>
      </c>
      <c r="B481">
        <f>IFERROR(SMALL(Pipeline_Calc!$A$2:$A$5251,A481),"")</f>
        <v/>
      </c>
      <c r="C481">
        <f>IF(B481="","",MATCH(B481,Pipeline_Calc!$A$2:$A$5251,0))</f>
        <v/>
      </c>
    </row>
    <row r="482">
      <c r="A482" t="n">
        <v>481</v>
      </c>
      <c r="B482">
        <f>IFERROR(SMALL(Pipeline_Calc!$A$2:$A$5251,A482),"")</f>
        <v/>
      </c>
      <c r="C482">
        <f>IF(B482="","",MATCH(B482,Pipeline_Calc!$A$2:$A$5251,0))</f>
        <v/>
      </c>
    </row>
    <row r="483">
      <c r="A483" t="n">
        <v>482</v>
      </c>
      <c r="B483">
        <f>IFERROR(SMALL(Pipeline_Calc!$A$2:$A$5251,A483),"")</f>
        <v/>
      </c>
      <c r="C483">
        <f>IF(B483="","",MATCH(B483,Pipeline_Calc!$A$2:$A$5251,0))</f>
        <v/>
      </c>
    </row>
    <row r="484">
      <c r="A484" t="n">
        <v>483</v>
      </c>
      <c r="B484">
        <f>IFERROR(SMALL(Pipeline_Calc!$A$2:$A$5251,A484),"")</f>
        <v/>
      </c>
      <c r="C484">
        <f>IF(B484="","",MATCH(B484,Pipeline_Calc!$A$2:$A$5251,0))</f>
        <v/>
      </c>
    </row>
    <row r="485">
      <c r="A485" t="n">
        <v>484</v>
      </c>
      <c r="B485">
        <f>IFERROR(SMALL(Pipeline_Calc!$A$2:$A$5251,A485),"")</f>
        <v/>
      </c>
      <c r="C485">
        <f>IF(B485="","",MATCH(B485,Pipeline_Calc!$A$2:$A$5251,0))</f>
        <v/>
      </c>
    </row>
    <row r="486">
      <c r="A486" t="n">
        <v>485</v>
      </c>
      <c r="B486">
        <f>IFERROR(SMALL(Pipeline_Calc!$A$2:$A$5251,A486),"")</f>
        <v/>
      </c>
      <c r="C486">
        <f>IF(B486="","",MATCH(B486,Pipeline_Calc!$A$2:$A$5251,0))</f>
        <v/>
      </c>
    </row>
    <row r="487">
      <c r="A487" t="n">
        <v>486</v>
      </c>
      <c r="B487">
        <f>IFERROR(SMALL(Pipeline_Calc!$A$2:$A$5251,A487),"")</f>
        <v/>
      </c>
      <c r="C487">
        <f>IF(B487="","",MATCH(B487,Pipeline_Calc!$A$2:$A$5251,0))</f>
        <v/>
      </c>
    </row>
    <row r="488">
      <c r="A488" t="n">
        <v>487</v>
      </c>
      <c r="B488">
        <f>IFERROR(SMALL(Pipeline_Calc!$A$2:$A$5251,A488),"")</f>
        <v/>
      </c>
      <c r="C488">
        <f>IF(B488="","",MATCH(B488,Pipeline_Calc!$A$2:$A$5251,0))</f>
        <v/>
      </c>
    </row>
    <row r="489">
      <c r="A489" t="n">
        <v>488</v>
      </c>
      <c r="B489">
        <f>IFERROR(SMALL(Pipeline_Calc!$A$2:$A$5251,A489),"")</f>
        <v/>
      </c>
      <c r="C489">
        <f>IF(B489="","",MATCH(B489,Pipeline_Calc!$A$2:$A$5251,0))</f>
        <v/>
      </c>
    </row>
    <row r="490">
      <c r="A490" t="n">
        <v>489</v>
      </c>
      <c r="B490">
        <f>IFERROR(SMALL(Pipeline_Calc!$A$2:$A$5251,A490),"")</f>
        <v/>
      </c>
      <c r="C490">
        <f>IF(B490="","",MATCH(B490,Pipeline_Calc!$A$2:$A$5251,0))</f>
        <v/>
      </c>
    </row>
    <row r="491">
      <c r="A491" t="n">
        <v>490</v>
      </c>
      <c r="B491">
        <f>IFERROR(SMALL(Pipeline_Calc!$A$2:$A$5251,A491),"")</f>
        <v/>
      </c>
      <c r="C491">
        <f>IF(B491="","",MATCH(B491,Pipeline_Calc!$A$2:$A$5251,0))</f>
        <v/>
      </c>
    </row>
    <row r="492">
      <c r="A492" t="n">
        <v>491</v>
      </c>
      <c r="B492">
        <f>IFERROR(SMALL(Pipeline_Calc!$A$2:$A$5251,A492),"")</f>
        <v/>
      </c>
      <c r="C492">
        <f>IF(B492="","",MATCH(B492,Pipeline_Calc!$A$2:$A$5251,0))</f>
        <v/>
      </c>
    </row>
    <row r="493">
      <c r="A493" t="n">
        <v>492</v>
      </c>
      <c r="B493">
        <f>IFERROR(SMALL(Pipeline_Calc!$A$2:$A$5251,A493),"")</f>
        <v/>
      </c>
      <c r="C493">
        <f>IF(B493="","",MATCH(B493,Pipeline_Calc!$A$2:$A$5251,0))</f>
        <v/>
      </c>
    </row>
    <row r="494">
      <c r="A494" t="n">
        <v>493</v>
      </c>
      <c r="B494">
        <f>IFERROR(SMALL(Pipeline_Calc!$A$2:$A$5251,A494),"")</f>
        <v/>
      </c>
      <c r="C494">
        <f>IF(B494="","",MATCH(B494,Pipeline_Calc!$A$2:$A$5251,0))</f>
        <v/>
      </c>
    </row>
    <row r="495">
      <c r="A495" t="n">
        <v>494</v>
      </c>
      <c r="B495">
        <f>IFERROR(SMALL(Pipeline_Calc!$A$2:$A$5251,A495),"")</f>
        <v/>
      </c>
      <c r="C495">
        <f>IF(B495="","",MATCH(B495,Pipeline_Calc!$A$2:$A$5251,0))</f>
        <v/>
      </c>
    </row>
    <row r="496">
      <c r="A496" t="n">
        <v>495</v>
      </c>
      <c r="B496">
        <f>IFERROR(SMALL(Pipeline_Calc!$A$2:$A$5251,A496),"")</f>
        <v/>
      </c>
      <c r="C496">
        <f>IF(B496="","",MATCH(B496,Pipeline_Calc!$A$2:$A$5251,0))</f>
        <v/>
      </c>
    </row>
    <row r="497">
      <c r="A497" t="n">
        <v>496</v>
      </c>
      <c r="B497">
        <f>IFERROR(SMALL(Pipeline_Calc!$A$2:$A$5251,A497),"")</f>
        <v/>
      </c>
      <c r="C497">
        <f>IF(B497="","",MATCH(B497,Pipeline_Calc!$A$2:$A$5251,0))</f>
        <v/>
      </c>
    </row>
    <row r="498">
      <c r="A498" t="n">
        <v>497</v>
      </c>
      <c r="B498">
        <f>IFERROR(SMALL(Pipeline_Calc!$A$2:$A$5251,A498),"")</f>
        <v/>
      </c>
      <c r="C498">
        <f>IF(B498="","",MATCH(B498,Pipeline_Calc!$A$2:$A$5251,0))</f>
        <v/>
      </c>
    </row>
    <row r="499">
      <c r="A499" t="n">
        <v>498</v>
      </c>
      <c r="B499">
        <f>IFERROR(SMALL(Pipeline_Calc!$A$2:$A$5251,A499),"")</f>
        <v/>
      </c>
      <c r="C499">
        <f>IF(B499="","",MATCH(B499,Pipeline_Calc!$A$2:$A$5251,0))</f>
        <v/>
      </c>
    </row>
    <row r="500">
      <c r="A500" t="n">
        <v>499</v>
      </c>
      <c r="B500">
        <f>IFERROR(SMALL(Pipeline_Calc!$A$2:$A$5251,A500),"")</f>
        <v/>
      </c>
      <c r="C500">
        <f>IF(B500="","",MATCH(B500,Pipeline_Calc!$A$2:$A$5251,0))</f>
        <v/>
      </c>
    </row>
    <row r="501">
      <c r="A501" t="n">
        <v>500</v>
      </c>
      <c r="B501">
        <f>IFERROR(SMALL(Pipeline_Calc!$A$2:$A$5251,A501),"")</f>
        <v/>
      </c>
      <c r="C501">
        <f>IF(B501="","",MATCH(B501,Pipeline_Calc!$A$2:$A$5251,0))</f>
        <v/>
      </c>
    </row>
    <row r="502">
      <c r="A502" t="n">
        <v>501</v>
      </c>
      <c r="B502">
        <f>IFERROR(SMALL(Pipeline_Calc!$A$2:$A$5251,A502),"")</f>
        <v/>
      </c>
      <c r="C502">
        <f>IF(B502="","",MATCH(B502,Pipeline_Calc!$A$2:$A$5251,0))</f>
        <v/>
      </c>
    </row>
    <row r="503">
      <c r="A503" t="n">
        <v>502</v>
      </c>
      <c r="B503">
        <f>IFERROR(SMALL(Pipeline_Calc!$A$2:$A$5251,A503),"")</f>
        <v/>
      </c>
      <c r="C503">
        <f>IF(B503="","",MATCH(B503,Pipeline_Calc!$A$2:$A$5251,0))</f>
        <v/>
      </c>
    </row>
    <row r="504">
      <c r="A504" t="n">
        <v>503</v>
      </c>
      <c r="B504">
        <f>IFERROR(SMALL(Pipeline_Calc!$A$2:$A$5251,A504),"")</f>
        <v/>
      </c>
      <c r="C504">
        <f>IF(B504="","",MATCH(B504,Pipeline_Calc!$A$2:$A$5251,0))</f>
        <v/>
      </c>
    </row>
    <row r="505">
      <c r="A505" t="n">
        <v>504</v>
      </c>
      <c r="B505">
        <f>IFERROR(SMALL(Pipeline_Calc!$A$2:$A$5251,A505),"")</f>
        <v/>
      </c>
      <c r="C505">
        <f>IF(B505="","",MATCH(B505,Pipeline_Calc!$A$2:$A$5251,0))</f>
        <v/>
      </c>
    </row>
    <row r="506">
      <c r="A506" t="n">
        <v>505</v>
      </c>
      <c r="B506">
        <f>IFERROR(SMALL(Pipeline_Calc!$A$2:$A$5251,A506),"")</f>
        <v/>
      </c>
      <c r="C506">
        <f>IF(B506="","",MATCH(B506,Pipeline_Calc!$A$2:$A$5251,0))</f>
        <v/>
      </c>
    </row>
    <row r="507">
      <c r="A507" t="n">
        <v>506</v>
      </c>
      <c r="B507">
        <f>IFERROR(SMALL(Pipeline_Calc!$A$2:$A$5251,A507),"")</f>
        <v/>
      </c>
      <c r="C507">
        <f>IF(B507="","",MATCH(B507,Pipeline_Calc!$A$2:$A$5251,0))</f>
        <v/>
      </c>
    </row>
    <row r="508">
      <c r="A508" t="n">
        <v>507</v>
      </c>
      <c r="B508">
        <f>IFERROR(SMALL(Pipeline_Calc!$A$2:$A$5251,A508),"")</f>
        <v/>
      </c>
      <c r="C508">
        <f>IF(B508="","",MATCH(B508,Pipeline_Calc!$A$2:$A$5251,0))</f>
        <v/>
      </c>
    </row>
    <row r="509">
      <c r="A509" t="n">
        <v>508</v>
      </c>
      <c r="B509">
        <f>IFERROR(SMALL(Pipeline_Calc!$A$2:$A$5251,A509),"")</f>
        <v/>
      </c>
      <c r="C509">
        <f>IF(B509="","",MATCH(B509,Pipeline_Calc!$A$2:$A$5251,0))</f>
        <v/>
      </c>
    </row>
    <row r="510">
      <c r="A510" t="n">
        <v>509</v>
      </c>
      <c r="B510">
        <f>IFERROR(SMALL(Pipeline_Calc!$A$2:$A$5251,A510),"")</f>
        <v/>
      </c>
      <c r="C510">
        <f>IF(B510="","",MATCH(B510,Pipeline_Calc!$A$2:$A$5251,0))</f>
        <v/>
      </c>
    </row>
    <row r="511">
      <c r="A511" t="n">
        <v>510</v>
      </c>
      <c r="B511">
        <f>IFERROR(SMALL(Pipeline_Calc!$A$2:$A$5251,A511),"")</f>
        <v/>
      </c>
      <c r="C511">
        <f>IF(B511="","",MATCH(B511,Pipeline_Calc!$A$2:$A$5251,0))</f>
        <v/>
      </c>
    </row>
    <row r="512">
      <c r="A512" t="n">
        <v>511</v>
      </c>
      <c r="B512">
        <f>IFERROR(SMALL(Pipeline_Calc!$A$2:$A$5251,A512),"")</f>
        <v/>
      </c>
      <c r="C512">
        <f>IF(B512="","",MATCH(B512,Pipeline_Calc!$A$2:$A$5251,0))</f>
        <v/>
      </c>
    </row>
    <row r="513">
      <c r="A513" t="n">
        <v>512</v>
      </c>
      <c r="B513">
        <f>IFERROR(SMALL(Pipeline_Calc!$A$2:$A$5251,A513),"")</f>
        <v/>
      </c>
      <c r="C513">
        <f>IF(B513="","",MATCH(B513,Pipeline_Calc!$A$2:$A$5251,0))</f>
        <v/>
      </c>
    </row>
    <row r="514">
      <c r="A514" t="n">
        <v>513</v>
      </c>
      <c r="B514">
        <f>IFERROR(SMALL(Pipeline_Calc!$A$2:$A$5251,A514),"")</f>
        <v/>
      </c>
      <c r="C514">
        <f>IF(B514="","",MATCH(B514,Pipeline_Calc!$A$2:$A$5251,0))</f>
        <v/>
      </c>
    </row>
    <row r="515">
      <c r="A515" t="n">
        <v>514</v>
      </c>
      <c r="B515">
        <f>IFERROR(SMALL(Pipeline_Calc!$A$2:$A$5251,A515),"")</f>
        <v/>
      </c>
      <c r="C515">
        <f>IF(B515="","",MATCH(B515,Pipeline_Calc!$A$2:$A$5251,0))</f>
        <v/>
      </c>
    </row>
    <row r="516">
      <c r="A516" t="n">
        <v>515</v>
      </c>
      <c r="B516">
        <f>IFERROR(SMALL(Pipeline_Calc!$A$2:$A$5251,A516),"")</f>
        <v/>
      </c>
      <c r="C516">
        <f>IF(B516="","",MATCH(B516,Pipeline_Calc!$A$2:$A$5251,0))</f>
        <v/>
      </c>
    </row>
    <row r="517">
      <c r="A517" t="n">
        <v>516</v>
      </c>
      <c r="B517">
        <f>IFERROR(SMALL(Pipeline_Calc!$A$2:$A$5251,A517),"")</f>
        <v/>
      </c>
      <c r="C517">
        <f>IF(B517="","",MATCH(B517,Pipeline_Calc!$A$2:$A$5251,0))</f>
        <v/>
      </c>
    </row>
    <row r="518">
      <c r="A518" t="n">
        <v>517</v>
      </c>
      <c r="B518">
        <f>IFERROR(SMALL(Pipeline_Calc!$A$2:$A$5251,A518),"")</f>
        <v/>
      </c>
      <c r="C518">
        <f>IF(B518="","",MATCH(B518,Pipeline_Calc!$A$2:$A$5251,0))</f>
        <v/>
      </c>
    </row>
    <row r="519">
      <c r="A519" t="n">
        <v>518</v>
      </c>
      <c r="B519">
        <f>IFERROR(SMALL(Pipeline_Calc!$A$2:$A$5251,A519),"")</f>
        <v/>
      </c>
      <c r="C519">
        <f>IF(B519="","",MATCH(B519,Pipeline_Calc!$A$2:$A$5251,0))</f>
        <v/>
      </c>
    </row>
    <row r="520">
      <c r="A520" t="n">
        <v>519</v>
      </c>
      <c r="B520">
        <f>IFERROR(SMALL(Pipeline_Calc!$A$2:$A$5251,A520),"")</f>
        <v/>
      </c>
      <c r="C520">
        <f>IF(B520="","",MATCH(B520,Pipeline_Calc!$A$2:$A$5251,0))</f>
        <v/>
      </c>
    </row>
    <row r="521">
      <c r="A521" t="n">
        <v>520</v>
      </c>
      <c r="B521">
        <f>IFERROR(SMALL(Pipeline_Calc!$A$2:$A$5251,A521),"")</f>
        <v/>
      </c>
      <c r="C521">
        <f>IF(B521="","",MATCH(B521,Pipeline_Calc!$A$2:$A$5251,0))</f>
        <v/>
      </c>
    </row>
    <row r="522">
      <c r="A522" t="n">
        <v>521</v>
      </c>
      <c r="B522">
        <f>IFERROR(SMALL(Pipeline_Calc!$A$2:$A$5251,A522),"")</f>
        <v/>
      </c>
      <c r="C522">
        <f>IF(B522="","",MATCH(B522,Pipeline_Calc!$A$2:$A$5251,0))</f>
        <v/>
      </c>
    </row>
    <row r="523">
      <c r="A523" t="n">
        <v>522</v>
      </c>
      <c r="B523">
        <f>IFERROR(SMALL(Pipeline_Calc!$A$2:$A$5251,A523),"")</f>
        <v/>
      </c>
      <c r="C523">
        <f>IF(B523="","",MATCH(B523,Pipeline_Calc!$A$2:$A$5251,0))</f>
        <v/>
      </c>
    </row>
    <row r="524">
      <c r="A524" t="n">
        <v>523</v>
      </c>
      <c r="B524">
        <f>IFERROR(SMALL(Pipeline_Calc!$A$2:$A$5251,A524),"")</f>
        <v/>
      </c>
      <c r="C524">
        <f>IF(B524="","",MATCH(B524,Pipeline_Calc!$A$2:$A$5251,0))</f>
        <v/>
      </c>
    </row>
    <row r="525">
      <c r="A525" t="n">
        <v>524</v>
      </c>
      <c r="B525">
        <f>IFERROR(SMALL(Pipeline_Calc!$A$2:$A$5251,A525),"")</f>
        <v/>
      </c>
      <c r="C525">
        <f>IF(B525="","",MATCH(B525,Pipeline_Calc!$A$2:$A$5251,0))</f>
        <v/>
      </c>
    </row>
    <row r="526">
      <c r="A526" t="n">
        <v>525</v>
      </c>
      <c r="B526">
        <f>IFERROR(SMALL(Pipeline_Calc!$A$2:$A$5251,A526),"")</f>
        <v/>
      </c>
      <c r="C526">
        <f>IF(B526="","",MATCH(B526,Pipeline_Calc!$A$2:$A$5251,0))</f>
        <v/>
      </c>
    </row>
    <row r="527">
      <c r="A527" t="n">
        <v>526</v>
      </c>
      <c r="B527">
        <f>IFERROR(SMALL(Pipeline_Calc!$A$2:$A$5251,A527),"")</f>
        <v/>
      </c>
      <c r="C527">
        <f>IF(B527="","",MATCH(B527,Pipeline_Calc!$A$2:$A$5251,0))</f>
        <v/>
      </c>
    </row>
    <row r="528">
      <c r="A528" t="n">
        <v>527</v>
      </c>
      <c r="B528">
        <f>IFERROR(SMALL(Pipeline_Calc!$A$2:$A$5251,A528),"")</f>
        <v/>
      </c>
      <c r="C528">
        <f>IF(B528="","",MATCH(B528,Pipeline_Calc!$A$2:$A$5251,0))</f>
        <v/>
      </c>
    </row>
    <row r="529">
      <c r="A529" t="n">
        <v>528</v>
      </c>
      <c r="B529">
        <f>IFERROR(SMALL(Pipeline_Calc!$A$2:$A$5251,A529),"")</f>
        <v/>
      </c>
      <c r="C529">
        <f>IF(B529="","",MATCH(B529,Pipeline_Calc!$A$2:$A$5251,0))</f>
        <v/>
      </c>
    </row>
    <row r="530">
      <c r="A530" t="n">
        <v>529</v>
      </c>
      <c r="B530">
        <f>IFERROR(SMALL(Pipeline_Calc!$A$2:$A$5251,A530),"")</f>
        <v/>
      </c>
      <c r="C530">
        <f>IF(B530="","",MATCH(B530,Pipeline_Calc!$A$2:$A$5251,0))</f>
        <v/>
      </c>
    </row>
    <row r="531">
      <c r="A531" t="n">
        <v>530</v>
      </c>
      <c r="B531">
        <f>IFERROR(SMALL(Pipeline_Calc!$A$2:$A$5251,A531),"")</f>
        <v/>
      </c>
      <c r="C531">
        <f>IF(B531="","",MATCH(B531,Pipeline_Calc!$A$2:$A$5251,0))</f>
        <v/>
      </c>
    </row>
    <row r="532">
      <c r="A532" t="n">
        <v>531</v>
      </c>
      <c r="B532">
        <f>IFERROR(SMALL(Pipeline_Calc!$A$2:$A$5251,A532),"")</f>
        <v/>
      </c>
      <c r="C532">
        <f>IF(B532="","",MATCH(B532,Pipeline_Calc!$A$2:$A$5251,0))</f>
        <v/>
      </c>
    </row>
    <row r="533">
      <c r="A533" t="n">
        <v>532</v>
      </c>
      <c r="B533">
        <f>IFERROR(SMALL(Pipeline_Calc!$A$2:$A$5251,A533),"")</f>
        <v/>
      </c>
      <c r="C533">
        <f>IF(B533="","",MATCH(B533,Pipeline_Calc!$A$2:$A$5251,0))</f>
        <v/>
      </c>
    </row>
    <row r="534">
      <c r="A534" t="n">
        <v>533</v>
      </c>
      <c r="B534">
        <f>IFERROR(SMALL(Pipeline_Calc!$A$2:$A$5251,A534),"")</f>
        <v/>
      </c>
      <c r="C534">
        <f>IF(B534="","",MATCH(B534,Pipeline_Calc!$A$2:$A$5251,0))</f>
        <v/>
      </c>
    </row>
    <row r="535">
      <c r="A535" t="n">
        <v>534</v>
      </c>
      <c r="B535">
        <f>IFERROR(SMALL(Pipeline_Calc!$A$2:$A$5251,A535),"")</f>
        <v/>
      </c>
      <c r="C535">
        <f>IF(B535="","",MATCH(B535,Pipeline_Calc!$A$2:$A$5251,0))</f>
        <v/>
      </c>
    </row>
    <row r="536">
      <c r="A536" t="n">
        <v>535</v>
      </c>
      <c r="B536">
        <f>IFERROR(SMALL(Pipeline_Calc!$A$2:$A$5251,A536),"")</f>
        <v/>
      </c>
      <c r="C536">
        <f>IF(B536="","",MATCH(B536,Pipeline_Calc!$A$2:$A$5251,0))</f>
        <v/>
      </c>
    </row>
    <row r="537">
      <c r="A537" t="n">
        <v>536</v>
      </c>
      <c r="B537">
        <f>IFERROR(SMALL(Pipeline_Calc!$A$2:$A$5251,A537),"")</f>
        <v/>
      </c>
      <c r="C537">
        <f>IF(B537="","",MATCH(B537,Pipeline_Calc!$A$2:$A$5251,0))</f>
        <v/>
      </c>
    </row>
    <row r="538">
      <c r="A538" t="n">
        <v>537</v>
      </c>
      <c r="B538">
        <f>IFERROR(SMALL(Pipeline_Calc!$A$2:$A$5251,A538),"")</f>
        <v/>
      </c>
      <c r="C538">
        <f>IF(B538="","",MATCH(B538,Pipeline_Calc!$A$2:$A$5251,0))</f>
        <v/>
      </c>
    </row>
    <row r="539">
      <c r="A539" t="n">
        <v>538</v>
      </c>
      <c r="B539">
        <f>IFERROR(SMALL(Pipeline_Calc!$A$2:$A$5251,A539),"")</f>
        <v/>
      </c>
      <c r="C539">
        <f>IF(B539="","",MATCH(B539,Pipeline_Calc!$A$2:$A$5251,0))</f>
        <v/>
      </c>
    </row>
    <row r="540">
      <c r="A540" t="n">
        <v>539</v>
      </c>
      <c r="B540">
        <f>IFERROR(SMALL(Pipeline_Calc!$A$2:$A$5251,A540),"")</f>
        <v/>
      </c>
      <c r="C540">
        <f>IF(B540="","",MATCH(B540,Pipeline_Calc!$A$2:$A$5251,0))</f>
        <v/>
      </c>
    </row>
    <row r="541">
      <c r="A541" t="n">
        <v>540</v>
      </c>
      <c r="B541">
        <f>IFERROR(SMALL(Pipeline_Calc!$A$2:$A$5251,A541),"")</f>
        <v/>
      </c>
      <c r="C541">
        <f>IF(B541="","",MATCH(B541,Pipeline_Calc!$A$2:$A$5251,0))</f>
        <v/>
      </c>
    </row>
    <row r="542">
      <c r="A542" t="n">
        <v>541</v>
      </c>
      <c r="B542">
        <f>IFERROR(SMALL(Pipeline_Calc!$A$2:$A$5251,A542),"")</f>
        <v/>
      </c>
      <c r="C542">
        <f>IF(B542="","",MATCH(B542,Pipeline_Calc!$A$2:$A$5251,0))</f>
        <v/>
      </c>
    </row>
    <row r="543">
      <c r="A543" t="n">
        <v>542</v>
      </c>
      <c r="B543">
        <f>IFERROR(SMALL(Pipeline_Calc!$A$2:$A$5251,A543),"")</f>
        <v/>
      </c>
      <c r="C543">
        <f>IF(B543="","",MATCH(B543,Pipeline_Calc!$A$2:$A$5251,0))</f>
        <v/>
      </c>
    </row>
    <row r="544">
      <c r="A544" t="n">
        <v>543</v>
      </c>
      <c r="B544">
        <f>IFERROR(SMALL(Pipeline_Calc!$A$2:$A$5251,A544),"")</f>
        <v/>
      </c>
      <c r="C544">
        <f>IF(B544="","",MATCH(B544,Pipeline_Calc!$A$2:$A$5251,0))</f>
        <v/>
      </c>
    </row>
    <row r="545">
      <c r="A545" t="n">
        <v>544</v>
      </c>
      <c r="B545">
        <f>IFERROR(SMALL(Pipeline_Calc!$A$2:$A$5251,A545),"")</f>
        <v/>
      </c>
      <c r="C545">
        <f>IF(B545="","",MATCH(B545,Pipeline_Calc!$A$2:$A$5251,0))</f>
        <v/>
      </c>
    </row>
    <row r="546">
      <c r="A546" t="n">
        <v>545</v>
      </c>
      <c r="B546">
        <f>IFERROR(SMALL(Pipeline_Calc!$A$2:$A$5251,A546),"")</f>
        <v/>
      </c>
      <c r="C546">
        <f>IF(B546="","",MATCH(B546,Pipeline_Calc!$A$2:$A$5251,0))</f>
        <v/>
      </c>
    </row>
    <row r="547">
      <c r="A547" t="n">
        <v>546</v>
      </c>
      <c r="B547">
        <f>IFERROR(SMALL(Pipeline_Calc!$A$2:$A$5251,A547),"")</f>
        <v/>
      </c>
      <c r="C547">
        <f>IF(B547="","",MATCH(B547,Pipeline_Calc!$A$2:$A$5251,0))</f>
        <v/>
      </c>
    </row>
    <row r="548">
      <c r="A548" t="n">
        <v>547</v>
      </c>
      <c r="B548">
        <f>IFERROR(SMALL(Pipeline_Calc!$A$2:$A$5251,A548),"")</f>
        <v/>
      </c>
      <c r="C548">
        <f>IF(B548="","",MATCH(B548,Pipeline_Calc!$A$2:$A$5251,0))</f>
        <v/>
      </c>
    </row>
    <row r="549">
      <c r="A549" t="n">
        <v>548</v>
      </c>
      <c r="B549">
        <f>IFERROR(SMALL(Pipeline_Calc!$A$2:$A$5251,A549),"")</f>
        <v/>
      </c>
      <c r="C549">
        <f>IF(B549="","",MATCH(B549,Pipeline_Calc!$A$2:$A$5251,0))</f>
        <v/>
      </c>
    </row>
    <row r="550">
      <c r="A550" t="n">
        <v>549</v>
      </c>
      <c r="B550">
        <f>IFERROR(SMALL(Pipeline_Calc!$A$2:$A$5251,A550),"")</f>
        <v/>
      </c>
      <c r="C550">
        <f>IF(B550="","",MATCH(B550,Pipeline_Calc!$A$2:$A$5251,0))</f>
        <v/>
      </c>
    </row>
    <row r="551">
      <c r="A551" t="n">
        <v>550</v>
      </c>
      <c r="B551">
        <f>IFERROR(SMALL(Pipeline_Calc!$A$2:$A$5251,A551),"")</f>
        <v/>
      </c>
      <c r="C551">
        <f>IF(B551="","",MATCH(B551,Pipeline_Calc!$A$2:$A$5251,0))</f>
        <v/>
      </c>
    </row>
    <row r="552">
      <c r="A552" t="n">
        <v>551</v>
      </c>
      <c r="B552">
        <f>IFERROR(SMALL(Pipeline_Calc!$A$2:$A$5251,A552),"")</f>
        <v/>
      </c>
      <c r="C552">
        <f>IF(B552="","",MATCH(B552,Pipeline_Calc!$A$2:$A$5251,0))</f>
        <v/>
      </c>
    </row>
    <row r="553">
      <c r="A553" t="n">
        <v>552</v>
      </c>
      <c r="B553">
        <f>IFERROR(SMALL(Pipeline_Calc!$A$2:$A$5251,A553),"")</f>
        <v/>
      </c>
      <c r="C553">
        <f>IF(B553="","",MATCH(B553,Pipeline_Calc!$A$2:$A$5251,0))</f>
        <v/>
      </c>
    </row>
    <row r="554">
      <c r="A554" t="n">
        <v>553</v>
      </c>
      <c r="B554">
        <f>IFERROR(SMALL(Pipeline_Calc!$A$2:$A$5251,A554),"")</f>
        <v/>
      </c>
      <c r="C554">
        <f>IF(B554="","",MATCH(B554,Pipeline_Calc!$A$2:$A$5251,0))</f>
        <v/>
      </c>
    </row>
    <row r="555">
      <c r="A555" t="n">
        <v>554</v>
      </c>
      <c r="B555">
        <f>IFERROR(SMALL(Pipeline_Calc!$A$2:$A$5251,A555),"")</f>
        <v/>
      </c>
      <c r="C555">
        <f>IF(B555="","",MATCH(B555,Pipeline_Calc!$A$2:$A$5251,0))</f>
        <v/>
      </c>
    </row>
    <row r="556">
      <c r="A556" t="n">
        <v>555</v>
      </c>
      <c r="B556">
        <f>IFERROR(SMALL(Pipeline_Calc!$A$2:$A$5251,A556),"")</f>
        <v/>
      </c>
      <c r="C556">
        <f>IF(B556="","",MATCH(B556,Pipeline_Calc!$A$2:$A$5251,0))</f>
        <v/>
      </c>
    </row>
    <row r="557">
      <c r="A557" t="n">
        <v>556</v>
      </c>
      <c r="B557">
        <f>IFERROR(SMALL(Pipeline_Calc!$A$2:$A$5251,A557),"")</f>
        <v/>
      </c>
      <c r="C557">
        <f>IF(B557="","",MATCH(B557,Pipeline_Calc!$A$2:$A$5251,0))</f>
        <v/>
      </c>
    </row>
    <row r="558">
      <c r="A558" t="n">
        <v>557</v>
      </c>
      <c r="B558">
        <f>IFERROR(SMALL(Pipeline_Calc!$A$2:$A$5251,A558),"")</f>
        <v/>
      </c>
      <c r="C558">
        <f>IF(B558="","",MATCH(B558,Pipeline_Calc!$A$2:$A$5251,0))</f>
        <v/>
      </c>
    </row>
    <row r="559">
      <c r="A559" t="n">
        <v>558</v>
      </c>
      <c r="B559">
        <f>IFERROR(SMALL(Pipeline_Calc!$A$2:$A$5251,A559),"")</f>
        <v/>
      </c>
      <c r="C559">
        <f>IF(B559="","",MATCH(B559,Pipeline_Calc!$A$2:$A$5251,0))</f>
        <v/>
      </c>
    </row>
    <row r="560">
      <c r="A560" t="n">
        <v>559</v>
      </c>
      <c r="B560">
        <f>IFERROR(SMALL(Pipeline_Calc!$A$2:$A$5251,A560),"")</f>
        <v/>
      </c>
      <c r="C560">
        <f>IF(B560="","",MATCH(B560,Pipeline_Calc!$A$2:$A$5251,0))</f>
        <v/>
      </c>
    </row>
    <row r="561">
      <c r="A561" t="n">
        <v>560</v>
      </c>
      <c r="B561">
        <f>IFERROR(SMALL(Pipeline_Calc!$A$2:$A$5251,A561),"")</f>
        <v/>
      </c>
      <c r="C561">
        <f>IF(B561="","",MATCH(B561,Pipeline_Calc!$A$2:$A$5251,0))</f>
        <v/>
      </c>
    </row>
    <row r="562">
      <c r="A562" t="n">
        <v>561</v>
      </c>
      <c r="B562">
        <f>IFERROR(SMALL(Pipeline_Calc!$A$2:$A$5251,A562),"")</f>
        <v/>
      </c>
      <c r="C562">
        <f>IF(B562="","",MATCH(B562,Pipeline_Calc!$A$2:$A$5251,0))</f>
        <v/>
      </c>
    </row>
    <row r="563">
      <c r="A563" t="n">
        <v>562</v>
      </c>
      <c r="B563">
        <f>IFERROR(SMALL(Pipeline_Calc!$A$2:$A$5251,A563),"")</f>
        <v/>
      </c>
      <c r="C563">
        <f>IF(B563="","",MATCH(B563,Pipeline_Calc!$A$2:$A$5251,0))</f>
        <v/>
      </c>
    </row>
    <row r="564">
      <c r="A564" t="n">
        <v>563</v>
      </c>
      <c r="B564">
        <f>IFERROR(SMALL(Pipeline_Calc!$A$2:$A$5251,A564),"")</f>
        <v/>
      </c>
      <c r="C564">
        <f>IF(B564="","",MATCH(B564,Pipeline_Calc!$A$2:$A$5251,0))</f>
        <v/>
      </c>
    </row>
    <row r="565">
      <c r="A565" t="n">
        <v>564</v>
      </c>
      <c r="B565">
        <f>IFERROR(SMALL(Pipeline_Calc!$A$2:$A$5251,A565),"")</f>
        <v/>
      </c>
      <c r="C565">
        <f>IF(B565="","",MATCH(B565,Pipeline_Calc!$A$2:$A$5251,0))</f>
        <v/>
      </c>
    </row>
    <row r="566">
      <c r="A566" t="n">
        <v>565</v>
      </c>
      <c r="B566">
        <f>IFERROR(SMALL(Pipeline_Calc!$A$2:$A$5251,A566),"")</f>
        <v/>
      </c>
      <c r="C566">
        <f>IF(B566="","",MATCH(B566,Pipeline_Calc!$A$2:$A$5251,0))</f>
        <v/>
      </c>
    </row>
    <row r="567">
      <c r="A567" t="n">
        <v>566</v>
      </c>
      <c r="B567">
        <f>IFERROR(SMALL(Pipeline_Calc!$A$2:$A$5251,A567),"")</f>
        <v/>
      </c>
      <c r="C567">
        <f>IF(B567="","",MATCH(B567,Pipeline_Calc!$A$2:$A$5251,0))</f>
        <v/>
      </c>
    </row>
    <row r="568">
      <c r="A568" t="n">
        <v>567</v>
      </c>
      <c r="B568">
        <f>IFERROR(SMALL(Pipeline_Calc!$A$2:$A$5251,A568),"")</f>
        <v/>
      </c>
      <c r="C568">
        <f>IF(B568="","",MATCH(B568,Pipeline_Calc!$A$2:$A$5251,0))</f>
        <v/>
      </c>
    </row>
    <row r="569">
      <c r="A569" t="n">
        <v>568</v>
      </c>
      <c r="B569">
        <f>IFERROR(SMALL(Pipeline_Calc!$A$2:$A$5251,A569),"")</f>
        <v/>
      </c>
      <c r="C569">
        <f>IF(B569="","",MATCH(B569,Pipeline_Calc!$A$2:$A$5251,0))</f>
        <v/>
      </c>
    </row>
    <row r="570">
      <c r="A570" t="n">
        <v>569</v>
      </c>
      <c r="B570">
        <f>IFERROR(SMALL(Pipeline_Calc!$A$2:$A$5251,A570),"")</f>
        <v/>
      </c>
      <c r="C570">
        <f>IF(B570="","",MATCH(B570,Pipeline_Calc!$A$2:$A$5251,0))</f>
        <v/>
      </c>
    </row>
    <row r="571">
      <c r="A571" t="n">
        <v>570</v>
      </c>
      <c r="B571">
        <f>IFERROR(SMALL(Pipeline_Calc!$A$2:$A$5251,A571),"")</f>
        <v/>
      </c>
      <c r="C571">
        <f>IF(B571="","",MATCH(B571,Pipeline_Calc!$A$2:$A$5251,0))</f>
        <v/>
      </c>
    </row>
    <row r="572">
      <c r="A572" t="n">
        <v>571</v>
      </c>
      <c r="B572">
        <f>IFERROR(SMALL(Pipeline_Calc!$A$2:$A$5251,A572),"")</f>
        <v/>
      </c>
      <c r="C572">
        <f>IF(B572="","",MATCH(B572,Pipeline_Calc!$A$2:$A$5251,0))</f>
        <v/>
      </c>
    </row>
    <row r="573">
      <c r="A573" t="n">
        <v>572</v>
      </c>
      <c r="B573">
        <f>IFERROR(SMALL(Pipeline_Calc!$A$2:$A$5251,A573),"")</f>
        <v/>
      </c>
      <c r="C573">
        <f>IF(B573="","",MATCH(B573,Pipeline_Calc!$A$2:$A$5251,0))</f>
        <v/>
      </c>
    </row>
    <row r="574">
      <c r="A574" t="n">
        <v>573</v>
      </c>
      <c r="B574">
        <f>IFERROR(SMALL(Pipeline_Calc!$A$2:$A$5251,A574),"")</f>
        <v/>
      </c>
      <c r="C574">
        <f>IF(B574="","",MATCH(B574,Pipeline_Calc!$A$2:$A$5251,0))</f>
        <v/>
      </c>
    </row>
    <row r="575">
      <c r="A575" t="n">
        <v>574</v>
      </c>
      <c r="B575">
        <f>IFERROR(SMALL(Pipeline_Calc!$A$2:$A$5251,A575),"")</f>
        <v/>
      </c>
      <c r="C575">
        <f>IF(B575="","",MATCH(B575,Pipeline_Calc!$A$2:$A$5251,0))</f>
        <v/>
      </c>
    </row>
    <row r="576">
      <c r="A576" t="n">
        <v>575</v>
      </c>
      <c r="B576">
        <f>IFERROR(SMALL(Pipeline_Calc!$A$2:$A$5251,A576),"")</f>
        <v/>
      </c>
      <c r="C576">
        <f>IF(B576="","",MATCH(B576,Pipeline_Calc!$A$2:$A$5251,0))</f>
        <v/>
      </c>
    </row>
    <row r="577">
      <c r="A577" t="n">
        <v>576</v>
      </c>
      <c r="B577">
        <f>IFERROR(SMALL(Pipeline_Calc!$A$2:$A$5251,A577),"")</f>
        <v/>
      </c>
      <c r="C577">
        <f>IF(B577="","",MATCH(B577,Pipeline_Calc!$A$2:$A$5251,0))</f>
        <v/>
      </c>
    </row>
    <row r="578">
      <c r="A578" t="n">
        <v>577</v>
      </c>
      <c r="B578">
        <f>IFERROR(SMALL(Pipeline_Calc!$A$2:$A$5251,A578),"")</f>
        <v/>
      </c>
      <c r="C578">
        <f>IF(B578="","",MATCH(B578,Pipeline_Calc!$A$2:$A$5251,0))</f>
        <v/>
      </c>
    </row>
    <row r="579">
      <c r="A579" t="n">
        <v>578</v>
      </c>
      <c r="B579">
        <f>IFERROR(SMALL(Pipeline_Calc!$A$2:$A$5251,A579),"")</f>
        <v/>
      </c>
      <c r="C579">
        <f>IF(B579="","",MATCH(B579,Pipeline_Calc!$A$2:$A$5251,0))</f>
        <v/>
      </c>
    </row>
    <row r="580">
      <c r="A580" t="n">
        <v>579</v>
      </c>
      <c r="B580">
        <f>IFERROR(SMALL(Pipeline_Calc!$A$2:$A$5251,A580),"")</f>
        <v/>
      </c>
      <c r="C580">
        <f>IF(B580="","",MATCH(B580,Pipeline_Calc!$A$2:$A$5251,0))</f>
        <v/>
      </c>
    </row>
    <row r="581">
      <c r="A581" t="n">
        <v>580</v>
      </c>
      <c r="B581">
        <f>IFERROR(SMALL(Pipeline_Calc!$A$2:$A$5251,A581),"")</f>
        <v/>
      </c>
      <c r="C581">
        <f>IF(B581="","",MATCH(B581,Pipeline_Calc!$A$2:$A$5251,0))</f>
        <v/>
      </c>
    </row>
    <row r="582">
      <c r="A582" t="n">
        <v>581</v>
      </c>
      <c r="B582">
        <f>IFERROR(SMALL(Pipeline_Calc!$A$2:$A$5251,A582),"")</f>
        <v/>
      </c>
      <c r="C582">
        <f>IF(B582="","",MATCH(B582,Pipeline_Calc!$A$2:$A$5251,0))</f>
        <v/>
      </c>
    </row>
    <row r="583">
      <c r="A583" t="n">
        <v>582</v>
      </c>
      <c r="B583">
        <f>IFERROR(SMALL(Pipeline_Calc!$A$2:$A$5251,A583),"")</f>
        <v/>
      </c>
      <c r="C583">
        <f>IF(B583="","",MATCH(B583,Pipeline_Calc!$A$2:$A$5251,0))</f>
        <v/>
      </c>
    </row>
    <row r="584">
      <c r="A584" t="n">
        <v>583</v>
      </c>
      <c r="B584">
        <f>IFERROR(SMALL(Pipeline_Calc!$A$2:$A$5251,A584),"")</f>
        <v/>
      </c>
      <c r="C584">
        <f>IF(B584="","",MATCH(B584,Pipeline_Calc!$A$2:$A$5251,0))</f>
        <v/>
      </c>
    </row>
    <row r="585">
      <c r="A585" t="n">
        <v>584</v>
      </c>
      <c r="B585">
        <f>IFERROR(SMALL(Pipeline_Calc!$A$2:$A$5251,A585),"")</f>
        <v/>
      </c>
      <c r="C585">
        <f>IF(B585="","",MATCH(B585,Pipeline_Calc!$A$2:$A$5251,0))</f>
        <v/>
      </c>
    </row>
    <row r="586">
      <c r="A586" t="n">
        <v>585</v>
      </c>
      <c r="B586">
        <f>IFERROR(SMALL(Pipeline_Calc!$A$2:$A$5251,A586),"")</f>
        <v/>
      </c>
      <c r="C586">
        <f>IF(B586="","",MATCH(B586,Pipeline_Calc!$A$2:$A$5251,0))</f>
        <v/>
      </c>
    </row>
    <row r="587">
      <c r="A587" t="n">
        <v>586</v>
      </c>
      <c r="B587">
        <f>IFERROR(SMALL(Pipeline_Calc!$A$2:$A$5251,A587),"")</f>
        <v/>
      </c>
      <c r="C587">
        <f>IF(B587="","",MATCH(B587,Pipeline_Calc!$A$2:$A$5251,0))</f>
        <v/>
      </c>
    </row>
    <row r="588">
      <c r="A588" t="n">
        <v>587</v>
      </c>
      <c r="B588">
        <f>IFERROR(SMALL(Pipeline_Calc!$A$2:$A$5251,A588),"")</f>
        <v/>
      </c>
      <c r="C588">
        <f>IF(B588="","",MATCH(B588,Pipeline_Calc!$A$2:$A$5251,0))</f>
        <v/>
      </c>
    </row>
    <row r="589">
      <c r="A589" t="n">
        <v>588</v>
      </c>
      <c r="B589">
        <f>IFERROR(SMALL(Pipeline_Calc!$A$2:$A$5251,A589),"")</f>
        <v/>
      </c>
      <c r="C589">
        <f>IF(B589="","",MATCH(B589,Pipeline_Calc!$A$2:$A$5251,0))</f>
        <v/>
      </c>
    </row>
    <row r="590">
      <c r="A590" t="n">
        <v>589</v>
      </c>
      <c r="B590">
        <f>IFERROR(SMALL(Pipeline_Calc!$A$2:$A$5251,A590),"")</f>
        <v/>
      </c>
      <c r="C590">
        <f>IF(B590="","",MATCH(B590,Pipeline_Calc!$A$2:$A$5251,0))</f>
        <v/>
      </c>
    </row>
    <row r="591">
      <c r="A591" t="n">
        <v>590</v>
      </c>
      <c r="B591">
        <f>IFERROR(SMALL(Pipeline_Calc!$A$2:$A$5251,A591),"")</f>
        <v/>
      </c>
      <c r="C591">
        <f>IF(B591="","",MATCH(B591,Pipeline_Calc!$A$2:$A$5251,0))</f>
        <v/>
      </c>
    </row>
    <row r="592">
      <c r="A592" t="n">
        <v>591</v>
      </c>
      <c r="B592">
        <f>IFERROR(SMALL(Pipeline_Calc!$A$2:$A$5251,A592),"")</f>
        <v/>
      </c>
      <c r="C592">
        <f>IF(B592="","",MATCH(B592,Pipeline_Calc!$A$2:$A$5251,0))</f>
        <v/>
      </c>
    </row>
    <row r="593">
      <c r="A593" t="n">
        <v>592</v>
      </c>
      <c r="B593">
        <f>IFERROR(SMALL(Pipeline_Calc!$A$2:$A$5251,A593),"")</f>
        <v/>
      </c>
      <c r="C593">
        <f>IF(B593="","",MATCH(B593,Pipeline_Calc!$A$2:$A$5251,0))</f>
        <v/>
      </c>
    </row>
    <row r="594">
      <c r="A594" t="n">
        <v>593</v>
      </c>
      <c r="B594">
        <f>IFERROR(SMALL(Pipeline_Calc!$A$2:$A$5251,A594),"")</f>
        <v/>
      </c>
      <c r="C594">
        <f>IF(B594="","",MATCH(B594,Pipeline_Calc!$A$2:$A$5251,0))</f>
        <v/>
      </c>
    </row>
    <row r="595">
      <c r="A595" t="n">
        <v>594</v>
      </c>
      <c r="B595">
        <f>IFERROR(SMALL(Pipeline_Calc!$A$2:$A$5251,A595),"")</f>
        <v/>
      </c>
      <c r="C595">
        <f>IF(B595="","",MATCH(B595,Pipeline_Calc!$A$2:$A$5251,0))</f>
        <v/>
      </c>
    </row>
    <row r="596">
      <c r="A596" t="n">
        <v>595</v>
      </c>
      <c r="B596">
        <f>IFERROR(SMALL(Pipeline_Calc!$A$2:$A$5251,A596),"")</f>
        <v/>
      </c>
      <c r="C596">
        <f>IF(B596="","",MATCH(B596,Pipeline_Calc!$A$2:$A$5251,0))</f>
        <v/>
      </c>
    </row>
    <row r="597">
      <c r="A597" t="n">
        <v>596</v>
      </c>
      <c r="B597">
        <f>IFERROR(SMALL(Pipeline_Calc!$A$2:$A$5251,A597),"")</f>
        <v/>
      </c>
      <c r="C597">
        <f>IF(B597="","",MATCH(B597,Pipeline_Calc!$A$2:$A$5251,0))</f>
        <v/>
      </c>
    </row>
    <row r="598">
      <c r="A598" t="n">
        <v>597</v>
      </c>
      <c r="B598">
        <f>IFERROR(SMALL(Pipeline_Calc!$A$2:$A$5251,A598),"")</f>
        <v/>
      </c>
      <c r="C598">
        <f>IF(B598="","",MATCH(B598,Pipeline_Calc!$A$2:$A$5251,0))</f>
        <v/>
      </c>
    </row>
    <row r="599">
      <c r="A599" t="n">
        <v>598</v>
      </c>
      <c r="B599">
        <f>IFERROR(SMALL(Pipeline_Calc!$A$2:$A$5251,A599),"")</f>
        <v/>
      </c>
      <c r="C599">
        <f>IF(B599="","",MATCH(B599,Pipeline_Calc!$A$2:$A$5251,0))</f>
        <v/>
      </c>
    </row>
    <row r="600">
      <c r="A600" t="n">
        <v>599</v>
      </c>
      <c r="B600">
        <f>IFERROR(SMALL(Pipeline_Calc!$A$2:$A$5251,A600),"")</f>
        <v/>
      </c>
      <c r="C600">
        <f>IF(B600="","",MATCH(B600,Pipeline_Calc!$A$2:$A$5251,0))</f>
        <v/>
      </c>
    </row>
    <row r="601">
      <c r="A601" t="n">
        <v>600</v>
      </c>
      <c r="B601">
        <f>IFERROR(SMALL(Pipeline_Calc!$A$2:$A$5251,A601),"")</f>
        <v/>
      </c>
      <c r="C601">
        <f>IF(B601="","",MATCH(B601,Pipeline_Calc!$A$2:$A$5251,0))</f>
        <v/>
      </c>
    </row>
    <row r="602">
      <c r="A602" t="n">
        <v>601</v>
      </c>
      <c r="B602">
        <f>IFERROR(SMALL(Pipeline_Calc!$A$2:$A$5251,A602),"")</f>
        <v/>
      </c>
      <c r="C602">
        <f>IF(B602="","",MATCH(B602,Pipeline_Calc!$A$2:$A$5251,0))</f>
        <v/>
      </c>
    </row>
    <row r="603">
      <c r="A603" t="n">
        <v>602</v>
      </c>
      <c r="B603">
        <f>IFERROR(SMALL(Pipeline_Calc!$A$2:$A$5251,A603),"")</f>
        <v/>
      </c>
      <c r="C603">
        <f>IF(B603="","",MATCH(B603,Pipeline_Calc!$A$2:$A$5251,0))</f>
        <v/>
      </c>
    </row>
    <row r="604">
      <c r="A604" t="n">
        <v>603</v>
      </c>
      <c r="B604">
        <f>IFERROR(SMALL(Pipeline_Calc!$A$2:$A$5251,A604),"")</f>
        <v/>
      </c>
      <c r="C604">
        <f>IF(B604="","",MATCH(B604,Pipeline_Calc!$A$2:$A$5251,0))</f>
        <v/>
      </c>
    </row>
    <row r="605">
      <c r="A605" t="n">
        <v>604</v>
      </c>
      <c r="B605">
        <f>IFERROR(SMALL(Pipeline_Calc!$A$2:$A$5251,A605),"")</f>
        <v/>
      </c>
      <c r="C605">
        <f>IF(B605="","",MATCH(B605,Pipeline_Calc!$A$2:$A$5251,0))</f>
        <v/>
      </c>
    </row>
    <row r="606">
      <c r="A606" t="n">
        <v>605</v>
      </c>
      <c r="B606">
        <f>IFERROR(SMALL(Pipeline_Calc!$A$2:$A$5251,A606),"")</f>
        <v/>
      </c>
      <c r="C606">
        <f>IF(B606="","",MATCH(B606,Pipeline_Calc!$A$2:$A$5251,0))</f>
        <v/>
      </c>
    </row>
    <row r="607">
      <c r="A607" t="n">
        <v>606</v>
      </c>
      <c r="B607">
        <f>IFERROR(SMALL(Pipeline_Calc!$A$2:$A$5251,A607),"")</f>
        <v/>
      </c>
      <c r="C607">
        <f>IF(B607="","",MATCH(B607,Pipeline_Calc!$A$2:$A$5251,0))</f>
        <v/>
      </c>
    </row>
    <row r="608">
      <c r="A608" t="n">
        <v>607</v>
      </c>
      <c r="B608">
        <f>IFERROR(SMALL(Pipeline_Calc!$A$2:$A$5251,A608),"")</f>
        <v/>
      </c>
      <c r="C608">
        <f>IF(B608="","",MATCH(B608,Pipeline_Calc!$A$2:$A$5251,0))</f>
        <v/>
      </c>
    </row>
    <row r="609">
      <c r="A609" t="n">
        <v>608</v>
      </c>
      <c r="B609">
        <f>IFERROR(SMALL(Pipeline_Calc!$A$2:$A$5251,A609),"")</f>
        <v/>
      </c>
      <c r="C609">
        <f>IF(B609="","",MATCH(B609,Pipeline_Calc!$A$2:$A$5251,0))</f>
        <v/>
      </c>
    </row>
    <row r="610">
      <c r="A610" t="n">
        <v>609</v>
      </c>
      <c r="B610">
        <f>IFERROR(SMALL(Pipeline_Calc!$A$2:$A$5251,A610),"")</f>
        <v/>
      </c>
      <c r="C610">
        <f>IF(B610="","",MATCH(B610,Pipeline_Calc!$A$2:$A$5251,0))</f>
        <v/>
      </c>
    </row>
    <row r="611">
      <c r="A611" t="n">
        <v>610</v>
      </c>
      <c r="B611">
        <f>IFERROR(SMALL(Pipeline_Calc!$A$2:$A$5251,A611),"")</f>
        <v/>
      </c>
      <c r="C611">
        <f>IF(B611="","",MATCH(B611,Pipeline_Calc!$A$2:$A$5251,0))</f>
        <v/>
      </c>
    </row>
    <row r="612">
      <c r="A612" t="n">
        <v>611</v>
      </c>
      <c r="B612">
        <f>IFERROR(SMALL(Pipeline_Calc!$A$2:$A$5251,A612),"")</f>
        <v/>
      </c>
      <c r="C612">
        <f>IF(B612="","",MATCH(B612,Pipeline_Calc!$A$2:$A$5251,0))</f>
        <v/>
      </c>
    </row>
    <row r="613">
      <c r="A613" t="n">
        <v>612</v>
      </c>
      <c r="B613">
        <f>IFERROR(SMALL(Pipeline_Calc!$A$2:$A$5251,A613),"")</f>
        <v/>
      </c>
      <c r="C613">
        <f>IF(B613="","",MATCH(B613,Pipeline_Calc!$A$2:$A$5251,0))</f>
        <v/>
      </c>
    </row>
    <row r="614">
      <c r="A614" t="n">
        <v>613</v>
      </c>
      <c r="B614">
        <f>IFERROR(SMALL(Pipeline_Calc!$A$2:$A$5251,A614),"")</f>
        <v/>
      </c>
      <c r="C614">
        <f>IF(B614="","",MATCH(B614,Pipeline_Calc!$A$2:$A$5251,0))</f>
        <v/>
      </c>
    </row>
    <row r="615">
      <c r="A615" t="n">
        <v>614</v>
      </c>
      <c r="B615">
        <f>IFERROR(SMALL(Pipeline_Calc!$A$2:$A$5251,A615),"")</f>
        <v/>
      </c>
      <c r="C615">
        <f>IF(B615="","",MATCH(B615,Pipeline_Calc!$A$2:$A$5251,0))</f>
        <v/>
      </c>
    </row>
    <row r="616">
      <c r="A616" t="n">
        <v>615</v>
      </c>
      <c r="B616">
        <f>IFERROR(SMALL(Pipeline_Calc!$A$2:$A$5251,A616),"")</f>
        <v/>
      </c>
      <c r="C616">
        <f>IF(B616="","",MATCH(B616,Pipeline_Calc!$A$2:$A$5251,0))</f>
        <v/>
      </c>
    </row>
    <row r="617">
      <c r="A617" t="n">
        <v>616</v>
      </c>
      <c r="B617">
        <f>IFERROR(SMALL(Pipeline_Calc!$A$2:$A$5251,A617),"")</f>
        <v/>
      </c>
      <c r="C617">
        <f>IF(B617="","",MATCH(B617,Pipeline_Calc!$A$2:$A$5251,0))</f>
        <v/>
      </c>
    </row>
    <row r="618">
      <c r="A618" t="n">
        <v>617</v>
      </c>
      <c r="B618">
        <f>IFERROR(SMALL(Pipeline_Calc!$A$2:$A$5251,A618),"")</f>
        <v/>
      </c>
      <c r="C618">
        <f>IF(B618="","",MATCH(B618,Pipeline_Calc!$A$2:$A$5251,0))</f>
        <v/>
      </c>
    </row>
    <row r="619">
      <c r="A619" t="n">
        <v>618</v>
      </c>
      <c r="B619">
        <f>IFERROR(SMALL(Pipeline_Calc!$A$2:$A$5251,A619),"")</f>
        <v/>
      </c>
      <c r="C619">
        <f>IF(B619="","",MATCH(B619,Pipeline_Calc!$A$2:$A$5251,0))</f>
        <v/>
      </c>
    </row>
    <row r="620">
      <c r="A620" t="n">
        <v>619</v>
      </c>
      <c r="B620">
        <f>IFERROR(SMALL(Pipeline_Calc!$A$2:$A$5251,A620),"")</f>
        <v/>
      </c>
      <c r="C620">
        <f>IF(B620="","",MATCH(B620,Pipeline_Calc!$A$2:$A$5251,0))</f>
        <v/>
      </c>
    </row>
    <row r="621">
      <c r="A621" t="n">
        <v>620</v>
      </c>
      <c r="B621">
        <f>IFERROR(SMALL(Pipeline_Calc!$A$2:$A$5251,A621),"")</f>
        <v/>
      </c>
      <c r="C621">
        <f>IF(B621="","",MATCH(B621,Pipeline_Calc!$A$2:$A$5251,0))</f>
        <v/>
      </c>
    </row>
    <row r="622">
      <c r="A622" t="n">
        <v>621</v>
      </c>
      <c r="B622">
        <f>IFERROR(SMALL(Pipeline_Calc!$A$2:$A$5251,A622),"")</f>
        <v/>
      </c>
      <c r="C622">
        <f>IF(B622="","",MATCH(B622,Pipeline_Calc!$A$2:$A$5251,0))</f>
        <v/>
      </c>
    </row>
    <row r="623">
      <c r="A623" t="n">
        <v>622</v>
      </c>
      <c r="B623">
        <f>IFERROR(SMALL(Pipeline_Calc!$A$2:$A$5251,A623),"")</f>
        <v/>
      </c>
      <c r="C623">
        <f>IF(B623="","",MATCH(B623,Pipeline_Calc!$A$2:$A$5251,0))</f>
        <v/>
      </c>
    </row>
    <row r="624">
      <c r="A624" t="n">
        <v>623</v>
      </c>
      <c r="B624">
        <f>IFERROR(SMALL(Pipeline_Calc!$A$2:$A$5251,A624),"")</f>
        <v/>
      </c>
      <c r="C624">
        <f>IF(B624="","",MATCH(B624,Pipeline_Calc!$A$2:$A$5251,0))</f>
        <v/>
      </c>
    </row>
    <row r="625">
      <c r="A625" t="n">
        <v>624</v>
      </c>
      <c r="B625">
        <f>IFERROR(SMALL(Pipeline_Calc!$A$2:$A$5251,A625),"")</f>
        <v/>
      </c>
      <c r="C625">
        <f>IF(B625="","",MATCH(B625,Pipeline_Calc!$A$2:$A$5251,0))</f>
        <v/>
      </c>
    </row>
    <row r="626">
      <c r="A626" t="n">
        <v>625</v>
      </c>
      <c r="B626">
        <f>IFERROR(SMALL(Pipeline_Calc!$A$2:$A$5251,A626),"")</f>
        <v/>
      </c>
      <c r="C626">
        <f>IF(B626="","",MATCH(B626,Pipeline_Calc!$A$2:$A$5251,0))</f>
        <v/>
      </c>
    </row>
    <row r="627">
      <c r="A627" t="n">
        <v>626</v>
      </c>
      <c r="B627">
        <f>IFERROR(SMALL(Pipeline_Calc!$A$2:$A$5251,A627),"")</f>
        <v/>
      </c>
      <c r="C627">
        <f>IF(B627="","",MATCH(B627,Pipeline_Calc!$A$2:$A$5251,0))</f>
        <v/>
      </c>
    </row>
    <row r="628">
      <c r="A628" t="n">
        <v>627</v>
      </c>
      <c r="B628">
        <f>IFERROR(SMALL(Pipeline_Calc!$A$2:$A$5251,A628),"")</f>
        <v/>
      </c>
      <c r="C628">
        <f>IF(B628="","",MATCH(B628,Pipeline_Calc!$A$2:$A$5251,0))</f>
        <v/>
      </c>
    </row>
    <row r="629">
      <c r="A629" t="n">
        <v>628</v>
      </c>
      <c r="B629">
        <f>IFERROR(SMALL(Pipeline_Calc!$A$2:$A$5251,A629),"")</f>
        <v/>
      </c>
      <c r="C629">
        <f>IF(B629="","",MATCH(B629,Pipeline_Calc!$A$2:$A$5251,0))</f>
        <v/>
      </c>
    </row>
    <row r="630">
      <c r="A630" t="n">
        <v>629</v>
      </c>
      <c r="B630">
        <f>IFERROR(SMALL(Pipeline_Calc!$A$2:$A$5251,A630),"")</f>
        <v/>
      </c>
      <c r="C630">
        <f>IF(B630="","",MATCH(B630,Pipeline_Calc!$A$2:$A$5251,0))</f>
        <v/>
      </c>
    </row>
    <row r="631">
      <c r="A631" t="n">
        <v>630</v>
      </c>
      <c r="B631">
        <f>IFERROR(SMALL(Pipeline_Calc!$A$2:$A$5251,A631),"")</f>
        <v/>
      </c>
      <c r="C631">
        <f>IF(B631="","",MATCH(B631,Pipeline_Calc!$A$2:$A$5251,0))</f>
        <v/>
      </c>
    </row>
    <row r="632">
      <c r="A632" t="n">
        <v>631</v>
      </c>
      <c r="B632">
        <f>IFERROR(SMALL(Pipeline_Calc!$A$2:$A$5251,A632),"")</f>
        <v/>
      </c>
      <c r="C632">
        <f>IF(B632="","",MATCH(B632,Pipeline_Calc!$A$2:$A$5251,0))</f>
        <v/>
      </c>
    </row>
    <row r="633">
      <c r="A633" t="n">
        <v>632</v>
      </c>
      <c r="B633">
        <f>IFERROR(SMALL(Pipeline_Calc!$A$2:$A$5251,A633),"")</f>
        <v/>
      </c>
      <c r="C633">
        <f>IF(B633="","",MATCH(B633,Pipeline_Calc!$A$2:$A$5251,0))</f>
        <v/>
      </c>
    </row>
    <row r="634">
      <c r="A634" t="n">
        <v>633</v>
      </c>
      <c r="B634">
        <f>IFERROR(SMALL(Pipeline_Calc!$A$2:$A$5251,A634),"")</f>
        <v/>
      </c>
      <c r="C634">
        <f>IF(B634="","",MATCH(B634,Pipeline_Calc!$A$2:$A$5251,0))</f>
        <v/>
      </c>
    </row>
    <row r="635">
      <c r="A635" t="n">
        <v>634</v>
      </c>
      <c r="B635">
        <f>IFERROR(SMALL(Pipeline_Calc!$A$2:$A$5251,A635),"")</f>
        <v/>
      </c>
      <c r="C635">
        <f>IF(B635="","",MATCH(B635,Pipeline_Calc!$A$2:$A$5251,0))</f>
        <v/>
      </c>
    </row>
    <row r="636">
      <c r="A636" t="n">
        <v>635</v>
      </c>
      <c r="B636">
        <f>IFERROR(SMALL(Pipeline_Calc!$A$2:$A$5251,A636),"")</f>
        <v/>
      </c>
      <c r="C636">
        <f>IF(B636="","",MATCH(B636,Pipeline_Calc!$A$2:$A$5251,0))</f>
        <v/>
      </c>
    </row>
    <row r="637">
      <c r="A637" t="n">
        <v>636</v>
      </c>
      <c r="B637">
        <f>IFERROR(SMALL(Pipeline_Calc!$A$2:$A$5251,A637),"")</f>
        <v/>
      </c>
      <c r="C637">
        <f>IF(B637="","",MATCH(B637,Pipeline_Calc!$A$2:$A$5251,0))</f>
        <v/>
      </c>
    </row>
    <row r="638">
      <c r="A638" t="n">
        <v>637</v>
      </c>
      <c r="B638">
        <f>IFERROR(SMALL(Pipeline_Calc!$A$2:$A$5251,A638),"")</f>
        <v/>
      </c>
      <c r="C638">
        <f>IF(B638="","",MATCH(B638,Pipeline_Calc!$A$2:$A$5251,0))</f>
        <v/>
      </c>
    </row>
    <row r="639">
      <c r="A639" t="n">
        <v>638</v>
      </c>
      <c r="B639">
        <f>IFERROR(SMALL(Pipeline_Calc!$A$2:$A$5251,A639),"")</f>
        <v/>
      </c>
      <c r="C639">
        <f>IF(B639="","",MATCH(B639,Pipeline_Calc!$A$2:$A$5251,0))</f>
        <v/>
      </c>
    </row>
    <row r="640">
      <c r="A640" t="n">
        <v>639</v>
      </c>
      <c r="B640">
        <f>IFERROR(SMALL(Pipeline_Calc!$A$2:$A$5251,A640),"")</f>
        <v/>
      </c>
      <c r="C640">
        <f>IF(B640="","",MATCH(B640,Pipeline_Calc!$A$2:$A$5251,0))</f>
        <v/>
      </c>
    </row>
    <row r="641">
      <c r="A641" t="n">
        <v>640</v>
      </c>
      <c r="B641">
        <f>IFERROR(SMALL(Pipeline_Calc!$A$2:$A$5251,A641),"")</f>
        <v/>
      </c>
      <c r="C641">
        <f>IF(B641="","",MATCH(B641,Pipeline_Calc!$A$2:$A$5251,0))</f>
        <v/>
      </c>
    </row>
    <row r="642">
      <c r="A642" t="n">
        <v>641</v>
      </c>
      <c r="B642">
        <f>IFERROR(SMALL(Pipeline_Calc!$A$2:$A$5251,A642),"")</f>
        <v/>
      </c>
      <c r="C642">
        <f>IF(B642="","",MATCH(B642,Pipeline_Calc!$A$2:$A$5251,0))</f>
        <v/>
      </c>
    </row>
    <row r="643">
      <c r="A643" t="n">
        <v>642</v>
      </c>
      <c r="B643">
        <f>IFERROR(SMALL(Pipeline_Calc!$A$2:$A$5251,A643),"")</f>
        <v/>
      </c>
      <c r="C643">
        <f>IF(B643="","",MATCH(B643,Pipeline_Calc!$A$2:$A$5251,0))</f>
        <v/>
      </c>
    </row>
    <row r="644">
      <c r="A644" t="n">
        <v>643</v>
      </c>
      <c r="B644">
        <f>IFERROR(SMALL(Pipeline_Calc!$A$2:$A$5251,A644),"")</f>
        <v/>
      </c>
      <c r="C644">
        <f>IF(B644="","",MATCH(B644,Pipeline_Calc!$A$2:$A$5251,0))</f>
        <v/>
      </c>
    </row>
    <row r="645">
      <c r="A645" t="n">
        <v>644</v>
      </c>
      <c r="B645">
        <f>IFERROR(SMALL(Pipeline_Calc!$A$2:$A$5251,A645),"")</f>
        <v/>
      </c>
      <c r="C645">
        <f>IF(B645="","",MATCH(B645,Pipeline_Calc!$A$2:$A$5251,0))</f>
        <v/>
      </c>
    </row>
    <row r="646">
      <c r="A646" t="n">
        <v>645</v>
      </c>
      <c r="B646">
        <f>IFERROR(SMALL(Pipeline_Calc!$A$2:$A$5251,A646),"")</f>
        <v/>
      </c>
      <c r="C646">
        <f>IF(B646="","",MATCH(B646,Pipeline_Calc!$A$2:$A$5251,0))</f>
        <v/>
      </c>
    </row>
    <row r="647">
      <c r="A647" t="n">
        <v>646</v>
      </c>
      <c r="B647">
        <f>IFERROR(SMALL(Pipeline_Calc!$A$2:$A$5251,A647),"")</f>
        <v/>
      </c>
      <c r="C647">
        <f>IF(B647="","",MATCH(B647,Pipeline_Calc!$A$2:$A$5251,0))</f>
        <v/>
      </c>
    </row>
    <row r="648">
      <c r="A648" t="n">
        <v>647</v>
      </c>
      <c r="B648">
        <f>IFERROR(SMALL(Pipeline_Calc!$A$2:$A$5251,A648),"")</f>
        <v/>
      </c>
      <c r="C648">
        <f>IF(B648="","",MATCH(B648,Pipeline_Calc!$A$2:$A$5251,0))</f>
        <v/>
      </c>
    </row>
    <row r="649">
      <c r="A649" t="n">
        <v>648</v>
      </c>
      <c r="B649">
        <f>IFERROR(SMALL(Pipeline_Calc!$A$2:$A$5251,A649),"")</f>
        <v/>
      </c>
      <c r="C649">
        <f>IF(B649="","",MATCH(B649,Pipeline_Calc!$A$2:$A$5251,0))</f>
        <v/>
      </c>
    </row>
    <row r="650">
      <c r="A650" t="n">
        <v>649</v>
      </c>
      <c r="B650">
        <f>IFERROR(SMALL(Pipeline_Calc!$A$2:$A$5251,A650),"")</f>
        <v/>
      </c>
      <c r="C650">
        <f>IF(B650="","",MATCH(B650,Pipeline_Calc!$A$2:$A$5251,0))</f>
        <v/>
      </c>
    </row>
    <row r="651">
      <c r="A651" t="n">
        <v>650</v>
      </c>
      <c r="B651">
        <f>IFERROR(SMALL(Pipeline_Calc!$A$2:$A$5251,A651),"")</f>
        <v/>
      </c>
      <c r="C651">
        <f>IF(B651="","",MATCH(B651,Pipeline_Calc!$A$2:$A$5251,0))</f>
        <v/>
      </c>
    </row>
    <row r="652">
      <c r="A652" t="n">
        <v>651</v>
      </c>
      <c r="B652">
        <f>IFERROR(SMALL(Pipeline_Calc!$A$2:$A$5251,A652),"")</f>
        <v/>
      </c>
      <c r="C652">
        <f>IF(B652="","",MATCH(B652,Pipeline_Calc!$A$2:$A$5251,0))</f>
        <v/>
      </c>
    </row>
    <row r="653">
      <c r="A653" t="n">
        <v>652</v>
      </c>
      <c r="B653">
        <f>IFERROR(SMALL(Pipeline_Calc!$A$2:$A$5251,A653),"")</f>
        <v/>
      </c>
      <c r="C653">
        <f>IF(B653="","",MATCH(B653,Pipeline_Calc!$A$2:$A$5251,0))</f>
        <v/>
      </c>
    </row>
    <row r="654">
      <c r="A654" t="n">
        <v>653</v>
      </c>
      <c r="B654">
        <f>IFERROR(SMALL(Pipeline_Calc!$A$2:$A$5251,A654),"")</f>
        <v/>
      </c>
      <c r="C654">
        <f>IF(B654="","",MATCH(B654,Pipeline_Calc!$A$2:$A$5251,0))</f>
        <v/>
      </c>
    </row>
    <row r="655">
      <c r="A655" t="n">
        <v>654</v>
      </c>
      <c r="B655">
        <f>IFERROR(SMALL(Pipeline_Calc!$A$2:$A$5251,A655),"")</f>
        <v/>
      </c>
      <c r="C655">
        <f>IF(B655="","",MATCH(B655,Pipeline_Calc!$A$2:$A$5251,0))</f>
        <v/>
      </c>
    </row>
    <row r="656">
      <c r="A656" t="n">
        <v>655</v>
      </c>
      <c r="B656">
        <f>IFERROR(SMALL(Pipeline_Calc!$A$2:$A$5251,A656),"")</f>
        <v/>
      </c>
      <c r="C656">
        <f>IF(B656="","",MATCH(B656,Pipeline_Calc!$A$2:$A$5251,0))</f>
        <v/>
      </c>
    </row>
    <row r="657">
      <c r="A657" t="n">
        <v>656</v>
      </c>
      <c r="B657">
        <f>IFERROR(SMALL(Pipeline_Calc!$A$2:$A$5251,A657),"")</f>
        <v/>
      </c>
      <c r="C657">
        <f>IF(B657="","",MATCH(B657,Pipeline_Calc!$A$2:$A$5251,0))</f>
        <v/>
      </c>
    </row>
    <row r="658">
      <c r="A658" t="n">
        <v>657</v>
      </c>
      <c r="B658">
        <f>IFERROR(SMALL(Pipeline_Calc!$A$2:$A$5251,A658),"")</f>
        <v/>
      </c>
      <c r="C658">
        <f>IF(B658="","",MATCH(B658,Pipeline_Calc!$A$2:$A$5251,0))</f>
        <v/>
      </c>
    </row>
    <row r="659">
      <c r="A659" t="n">
        <v>658</v>
      </c>
      <c r="B659">
        <f>IFERROR(SMALL(Pipeline_Calc!$A$2:$A$5251,A659),"")</f>
        <v/>
      </c>
      <c r="C659">
        <f>IF(B659="","",MATCH(B659,Pipeline_Calc!$A$2:$A$5251,0))</f>
        <v/>
      </c>
    </row>
    <row r="660">
      <c r="A660" t="n">
        <v>659</v>
      </c>
      <c r="B660">
        <f>IFERROR(SMALL(Pipeline_Calc!$A$2:$A$5251,A660),"")</f>
        <v/>
      </c>
      <c r="C660">
        <f>IF(B660="","",MATCH(B660,Pipeline_Calc!$A$2:$A$5251,0))</f>
        <v/>
      </c>
    </row>
    <row r="661">
      <c r="A661" t="n">
        <v>660</v>
      </c>
      <c r="B661">
        <f>IFERROR(SMALL(Pipeline_Calc!$A$2:$A$5251,A661),"")</f>
        <v/>
      </c>
      <c r="C661">
        <f>IF(B661="","",MATCH(B661,Pipeline_Calc!$A$2:$A$5251,0))</f>
        <v/>
      </c>
    </row>
    <row r="662">
      <c r="A662" t="n">
        <v>661</v>
      </c>
      <c r="B662">
        <f>IFERROR(SMALL(Pipeline_Calc!$A$2:$A$5251,A662),"")</f>
        <v/>
      </c>
      <c r="C662">
        <f>IF(B662="","",MATCH(B662,Pipeline_Calc!$A$2:$A$5251,0))</f>
        <v/>
      </c>
    </row>
    <row r="663">
      <c r="A663" t="n">
        <v>662</v>
      </c>
      <c r="B663">
        <f>IFERROR(SMALL(Pipeline_Calc!$A$2:$A$5251,A663),"")</f>
        <v/>
      </c>
      <c r="C663">
        <f>IF(B663="","",MATCH(B663,Pipeline_Calc!$A$2:$A$5251,0))</f>
        <v/>
      </c>
    </row>
    <row r="664">
      <c r="A664" t="n">
        <v>663</v>
      </c>
      <c r="B664">
        <f>IFERROR(SMALL(Pipeline_Calc!$A$2:$A$5251,A664),"")</f>
        <v/>
      </c>
      <c r="C664">
        <f>IF(B664="","",MATCH(B664,Pipeline_Calc!$A$2:$A$5251,0))</f>
        <v/>
      </c>
    </row>
    <row r="665">
      <c r="A665" t="n">
        <v>664</v>
      </c>
      <c r="B665">
        <f>IFERROR(SMALL(Pipeline_Calc!$A$2:$A$5251,A665),"")</f>
        <v/>
      </c>
      <c r="C665">
        <f>IF(B665="","",MATCH(B665,Pipeline_Calc!$A$2:$A$5251,0))</f>
        <v/>
      </c>
    </row>
    <row r="666">
      <c r="A666" t="n">
        <v>665</v>
      </c>
      <c r="B666">
        <f>IFERROR(SMALL(Pipeline_Calc!$A$2:$A$5251,A666),"")</f>
        <v/>
      </c>
      <c r="C666">
        <f>IF(B666="","",MATCH(B666,Pipeline_Calc!$A$2:$A$5251,0))</f>
        <v/>
      </c>
    </row>
    <row r="667">
      <c r="A667" t="n">
        <v>666</v>
      </c>
      <c r="B667">
        <f>IFERROR(SMALL(Pipeline_Calc!$A$2:$A$5251,A667),"")</f>
        <v/>
      </c>
      <c r="C667">
        <f>IF(B667="","",MATCH(B667,Pipeline_Calc!$A$2:$A$5251,0))</f>
        <v/>
      </c>
    </row>
    <row r="668">
      <c r="A668" t="n">
        <v>667</v>
      </c>
      <c r="B668">
        <f>IFERROR(SMALL(Pipeline_Calc!$A$2:$A$5251,A668),"")</f>
        <v/>
      </c>
      <c r="C668">
        <f>IF(B668="","",MATCH(B668,Pipeline_Calc!$A$2:$A$5251,0))</f>
        <v/>
      </c>
    </row>
    <row r="669">
      <c r="A669" t="n">
        <v>668</v>
      </c>
      <c r="B669">
        <f>IFERROR(SMALL(Pipeline_Calc!$A$2:$A$5251,A669),"")</f>
        <v/>
      </c>
      <c r="C669">
        <f>IF(B669="","",MATCH(B669,Pipeline_Calc!$A$2:$A$5251,0))</f>
        <v/>
      </c>
    </row>
    <row r="670">
      <c r="A670" t="n">
        <v>669</v>
      </c>
      <c r="B670">
        <f>IFERROR(SMALL(Pipeline_Calc!$A$2:$A$5251,A670),"")</f>
        <v/>
      </c>
      <c r="C670">
        <f>IF(B670="","",MATCH(B670,Pipeline_Calc!$A$2:$A$5251,0))</f>
        <v/>
      </c>
    </row>
    <row r="671">
      <c r="A671" t="n">
        <v>670</v>
      </c>
      <c r="B671">
        <f>IFERROR(SMALL(Pipeline_Calc!$A$2:$A$5251,A671),"")</f>
        <v/>
      </c>
      <c r="C671">
        <f>IF(B671="","",MATCH(B671,Pipeline_Calc!$A$2:$A$5251,0))</f>
        <v/>
      </c>
    </row>
    <row r="672">
      <c r="A672" t="n">
        <v>671</v>
      </c>
      <c r="B672">
        <f>IFERROR(SMALL(Pipeline_Calc!$A$2:$A$5251,A672),"")</f>
        <v/>
      </c>
      <c r="C672">
        <f>IF(B672="","",MATCH(B672,Pipeline_Calc!$A$2:$A$5251,0))</f>
        <v/>
      </c>
    </row>
    <row r="673">
      <c r="A673" t="n">
        <v>672</v>
      </c>
      <c r="B673">
        <f>IFERROR(SMALL(Pipeline_Calc!$A$2:$A$5251,A673),"")</f>
        <v/>
      </c>
      <c r="C673">
        <f>IF(B673="","",MATCH(B673,Pipeline_Calc!$A$2:$A$5251,0))</f>
        <v/>
      </c>
    </row>
    <row r="674">
      <c r="A674" t="n">
        <v>673</v>
      </c>
      <c r="B674">
        <f>IFERROR(SMALL(Pipeline_Calc!$A$2:$A$5251,A674),"")</f>
        <v/>
      </c>
      <c r="C674">
        <f>IF(B674="","",MATCH(B674,Pipeline_Calc!$A$2:$A$5251,0))</f>
        <v/>
      </c>
    </row>
    <row r="675">
      <c r="A675" t="n">
        <v>674</v>
      </c>
      <c r="B675">
        <f>IFERROR(SMALL(Pipeline_Calc!$A$2:$A$5251,A675),"")</f>
        <v/>
      </c>
      <c r="C675">
        <f>IF(B675="","",MATCH(B675,Pipeline_Calc!$A$2:$A$5251,0))</f>
        <v/>
      </c>
    </row>
    <row r="676">
      <c r="A676" t="n">
        <v>675</v>
      </c>
      <c r="B676">
        <f>IFERROR(SMALL(Pipeline_Calc!$A$2:$A$5251,A676),"")</f>
        <v/>
      </c>
      <c r="C676">
        <f>IF(B676="","",MATCH(B676,Pipeline_Calc!$A$2:$A$5251,0))</f>
        <v/>
      </c>
    </row>
    <row r="677">
      <c r="A677" t="n">
        <v>676</v>
      </c>
      <c r="B677">
        <f>IFERROR(SMALL(Pipeline_Calc!$A$2:$A$5251,A677),"")</f>
        <v/>
      </c>
      <c r="C677">
        <f>IF(B677="","",MATCH(B677,Pipeline_Calc!$A$2:$A$5251,0))</f>
        <v/>
      </c>
    </row>
    <row r="678">
      <c r="A678" t="n">
        <v>677</v>
      </c>
      <c r="B678">
        <f>IFERROR(SMALL(Pipeline_Calc!$A$2:$A$5251,A678),"")</f>
        <v/>
      </c>
      <c r="C678">
        <f>IF(B678="","",MATCH(B678,Pipeline_Calc!$A$2:$A$5251,0))</f>
        <v/>
      </c>
    </row>
    <row r="679">
      <c r="A679" t="n">
        <v>678</v>
      </c>
      <c r="B679">
        <f>IFERROR(SMALL(Pipeline_Calc!$A$2:$A$5251,A679),"")</f>
        <v/>
      </c>
      <c r="C679">
        <f>IF(B679="","",MATCH(B679,Pipeline_Calc!$A$2:$A$5251,0))</f>
        <v/>
      </c>
    </row>
    <row r="680">
      <c r="A680" t="n">
        <v>679</v>
      </c>
      <c r="B680">
        <f>IFERROR(SMALL(Pipeline_Calc!$A$2:$A$5251,A680),"")</f>
        <v/>
      </c>
      <c r="C680">
        <f>IF(B680="","",MATCH(B680,Pipeline_Calc!$A$2:$A$5251,0))</f>
        <v/>
      </c>
    </row>
    <row r="681">
      <c r="A681" t="n">
        <v>680</v>
      </c>
      <c r="B681">
        <f>IFERROR(SMALL(Pipeline_Calc!$A$2:$A$5251,A681),"")</f>
        <v/>
      </c>
      <c r="C681">
        <f>IF(B681="","",MATCH(B681,Pipeline_Calc!$A$2:$A$5251,0))</f>
        <v/>
      </c>
    </row>
    <row r="682">
      <c r="A682" t="n">
        <v>681</v>
      </c>
      <c r="B682">
        <f>IFERROR(SMALL(Pipeline_Calc!$A$2:$A$5251,A682),"")</f>
        <v/>
      </c>
      <c r="C682">
        <f>IF(B682="","",MATCH(B682,Pipeline_Calc!$A$2:$A$5251,0))</f>
        <v/>
      </c>
    </row>
    <row r="683">
      <c r="A683" t="n">
        <v>682</v>
      </c>
      <c r="B683">
        <f>IFERROR(SMALL(Pipeline_Calc!$A$2:$A$5251,A683),"")</f>
        <v/>
      </c>
      <c r="C683">
        <f>IF(B683="","",MATCH(B683,Pipeline_Calc!$A$2:$A$5251,0))</f>
        <v/>
      </c>
    </row>
    <row r="684">
      <c r="A684" t="n">
        <v>683</v>
      </c>
      <c r="B684">
        <f>IFERROR(SMALL(Pipeline_Calc!$A$2:$A$5251,A684),"")</f>
        <v/>
      </c>
      <c r="C684">
        <f>IF(B684="","",MATCH(B684,Pipeline_Calc!$A$2:$A$5251,0))</f>
        <v/>
      </c>
    </row>
    <row r="685">
      <c r="A685" t="n">
        <v>684</v>
      </c>
      <c r="B685">
        <f>IFERROR(SMALL(Pipeline_Calc!$A$2:$A$5251,A685),"")</f>
        <v/>
      </c>
      <c r="C685">
        <f>IF(B685="","",MATCH(B685,Pipeline_Calc!$A$2:$A$5251,0))</f>
        <v/>
      </c>
    </row>
    <row r="686">
      <c r="A686" t="n">
        <v>685</v>
      </c>
      <c r="B686">
        <f>IFERROR(SMALL(Pipeline_Calc!$A$2:$A$5251,A686),"")</f>
        <v/>
      </c>
      <c r="C686">
        <f>IF(B686="","",MATCH(B686,Pipeline_Calc!$A$2:$A$5251,0))</f>
        <v/>
      </c>
    </row>
    <row r="687">
      <c r="A687" t="n">
        <v>686</v>
      </c>
      <c r="B687">
        <f>IFERROR(SMALL(Pipeline_Calc!$A$2:$A$5251,A687),"")</f>
        <v/>
      </c>
      <c r="C687">
        <f>IF(B687="","",MATCH(B687,Pipeline_Calc!$A$2:$A$5251,0))</f>
        <v/>
      </c>
    </row>
    <row r="688">
      <c r="A688" t="n">
        <v>687</v>
      </c>
      <c r="B688">
        <f>IFERROR(SMALL(Pipeline_Calc!$A$2:$A$5251,A688),"")</f>
        <v/>
      </c>
      <c r="C688">
        <f>IF(B688="","",MATCH(B688,Pipeline_Calc!$A$2:$A$5251,0))</f>
        <v/>
      </c>
    </row>
    <row r="689">
      <c r="A689" t="n">
        <v>688</v>
      </c>
      <c r="B689">
        <f>IFERROR(SMALL(Pipeline_Calc!$A$2:$A$5251,A689),"")</f>
        <v/>
      </c>
      <c r="C689">
        <f>IF(B689="","",MATCH(B689,Pipeline_Calc!$A$2:$A$5251,0))</f>
        <v/>
      </c>
    </row>
    <row r="690">
      <c r="A690" t="n">
        <v>689</v>
      </c>
      <c r="B690">
        <f>IFERROR(SMALL(Pipeline_Calc!$A$2:$A$5251,A690),"")</f>
        <v/>
      </c>
      <c r="C690">
        <f>IF(B690="","",MATCH(B690,Pipeline_Calc!$A$2:$A$5251,0))</f>
        <v/>
      </c>
    </row>
    <row r="691">
      <c r="A691" t="n">
        <v>690</v>
      </c>
      <c r="B691">
        <f>IFERROR(SMALL(Pipeline_Calc!$A$2:$A$5251,A691),"")</f>
        <v/>
      </c>
      <c r="C691">
        <f>IF(B691="","",MATCH(B691,Pipeline_Calc!$A$2:$A$5251,0))</f>
        <v/>
      </c>
    </row>
    <row r="692">
      <c r="A692" t="n">
        <v>691</v>
      </c>
      <c r="B692">
        <f>IFERROR(SMALL(Pipeline_Calc!$A$2:$A$5251,A692),"")</f>
        <v/>
      </c>
      <c r="C692">
        <f>IF(B692="","",MATCH(B692,Pipeline_Calc!$A$2:$A$5251,0))</f>
        <v/>
      </c>
    </row>
    <row r="693">
      <c r="A693" t="n">
        <v>692</v>
      </c>
      <c r="B693">
        <f>IFERROR(SMALL(Pipeline_Calc!$A$2:$A$5251,A693),"")</f>
        <v/>
      </c>
      <c r="C693">
        <f>IF(B693="","",MATCH(B693,Pipeline_Calc!$A$2:$A$5251,0))</f>
        <v/>
      </c>
    </row>
    <row r="694">
      <c r="A694" t="n">
        <v>693</v>
      </c>
      <c r="B694">
        <f>IFERROR(SMALL(Pipeline_Calc!$A$2:$A$5251,A694),"")</f>
        <v/>
      </c>
      <c r="C694">
        <f>IF(B694="","",MATCH(B694,Pipeline_Calc!$A$2:$A$5251,0))</f>
        <v/>
      </c>
    </row>
    <row r="695">
      <c r="A695" t="n">
        <v>694</v>
      </c>
      <c r="B695">
        <f>IFERROR(SMALL(Pipeline_Calc!$A$2:$A$5251,A695),"")</f>
        <v/>
      </c>
      <c r="C695">
        <f>IF(B695="","",MATCH(B695,Pipeline_Calc!$A$2:$A$5251,0))</f>
        <v/>
      </c>
    </row>
    <row r="696">
      <c r="A696" t="n">
        <v>695</v>
      </c>
      <c r="B696">
        <f>IFERROR(SMALL(Pipeline_Calc!$A$2:$A$5251,A696),"")</f>
        <v/>
      </c>
      <c r="C696">
        <f>IF(B696="","",MATCH(B696,Pipeline_Calc!$A$2:$A$5251,0))</f>
        <v/>
      </c>
    </row>
    <row r="697">
      <c r="A697" t="n">
        <v>696</v>
      </c>
      <c r="B697">
        <f>IFERROR(SMALL(Pipeline_Calc!$A$2:$A$5251,A697),"")</f>
        <v/>
      </c>
      <c r="C697">
        <f>IF(B697="","",MATCH(B697,Pipeline_Calc!$A$2:$A$5251,0))</f>
        <v/>
      </c>
    </row>
    <row r="698">
      <c r="A698" t="n">
        <v>697</v>
      </c>
      <c r="B698">
        <f>IFERROR(SMALL(Pipeline_Calc!$A$2:$A$5251,A698),"")</f>
        <v/>
      </c>
      <c r="C698">
        <f>IF(B698="","",MATCH(B698,Pipeline_Calc!$A$2:$A$5251,0))</f>
        <v/>
      </c>
    </row>
    <row r="699">
      <c r="A699" t="n">
        <v>698</v>
      </c>
      <c r="B699">
        <f>IFERROR(SMALL(Pipeline_Calc!$A$2:$A$5251,A699),"")</f>
        <v/>
      </c>
      <c r="C699">
        <f>IF(B699="","",MATCH(B699,Pipeline_Calc!$A$2:$A$5251,0))</f>
        <v/>
      </c>
    </row>
    <row r="700">
      <c r="A700" t="n">
        <v>699</v>
      </c>
      <c r="B700">
        <f>IFERROR(SMALL(Pipeline_Calc!$A$2:$A$5251,A700),"")</f>
        <v/>
      </c>
      <c r="C700">
        <f>IF(B700="","",MATCH(B700,Pipeline_Calc!$A$2:$A$5251,0))</f>
        <v/>
      </c>
    </row>
    <row r="701">
      <c r="A701" t="n">
        <v>700</v>
      </c>
      <c r="B701">
        <f>IFERROR(SMALL(Pipeline_Calc!$A$2:$A$5251,A701),"")</f>
        <v/>
      </c>
      <c r="C701">
        <f>IF(B701="","",MATCH(B701,Pipeline_Calc!$A$2:$A$5251,0))</f>
        <v/>
      </c>
    </row>
    <row r="702">
      <c r="A702" t="n">
        <v>701</v>
      </c>
      <c r="B702">
        <f>IFERROR(SMALL(Pipeline_Calc!$A$2:$A$5251,A702),"")</f>
        <v/>
      </c>
      <c r="C702">
        <f>IF(B702="","",MATCH(B702,Pipeline_Calc!$A$2:$A$5251,0))</f>
        <v/>
      </c>
    </row>
    <row r="703">
      <c r="A703" t="n">
        <v>702</v>
      </c>
      <c r="B703">
        <f>IFERROR(SMALL(Pipeline_Calc!$A$2:$A$5251,A703),"")</f>
        <v/>
      </c>
      <c r="C703">
        <f>IF(B703="","",MATCH(B703,Pipeline_Calc!$A$2:$A$5251,0))</f>
        <v/>
      </c>
    </row>
    <row r="704">
      <c r="A704" t="n">
        <v>703</v>
      </c>
      <c r="B704">
        <f>IFERROR(SMALL(Pipeline_Calc!$A$2:$A$5251,A704),"")</f>
        <v/>
      </c>
      <c r="C704">
        <f>IF(B704="","",MATCH(B704,Pipeline_Calc!$A$2:$A$5251,0))</f>
        <v/>
      </c>
    </row>
    <row r="705">
      <c r="A705" t="n">
        <v>704</v>
      </c>
      <c r="B705">
        <f>IFERROR(SMALL(Pipeline_Calc!$A$2:$A$5251,A705),"")</f>
        <v/>
      </c>
      <c r="C705">
        <f>IF(B705="","",MATCH(B705,Pipeline_Calc!$A$2:$A$5251,0))</f>
        <v/>
      </c>
    </row>
    <row r="706">
      <c r="A706" t="n">
        <v>705</v>
      </c>
      <c r="B706">
        <f>IFERROR(SMALL(Pipeline_Calc!$A$2:$A$5251,A706),"")</f>
        <v/>
      </c>
      <c r="C706">
        <f>IF(B706="","",MATCH(B706,Pipeline_Calc!$A$2:$A$5251,0))</f>
        <v/>
      </c>
    </row>
    <row r="707">
      <c r="A707" t="n">
        <v>706</v>
      </c>
      <c r="B707">
        <f>IFERROR(SMALL(Pipeline_Calc!$A$2:$A$5251,A707),"")</f>
        <v/>
      </c>
      <c r="C707">
        <f>IF(B707="","",MATCH(B707,Pipeline_Calc!$A$2:$A$5251,0))</f>
        <v/>
      </c>
    </row>
    <row r="708">
      <c r="A708" t="n">
        <v>707</v>
      </c>
      <c r="B708">
        <f>IFERROR(SMALL(Pipeline_Calc!$A$2:$A$5251,A708),"")</f>
        <v/>
      </c>
      <c r="C708">
        <f>IF(B708="","",MATCH(B708,Pipeline_Calc!$A$2:$A$5251,0))</f>
        <v/>
      </c>
    </row>
    <row r="709">
      <c r="A709" t="n">
        <v>708</v>
      </c>
      <c r="B709">
        <f>IFERROR(SMALL(Pipeline_Calc!$A$2:$A$5251,A709),"")</f>
        <v/>
      </c>
      <c r="C709">
        <f>IF(B709="","",MATCH(B709,Pipeline_Calc!$A$2:$A$5251,0))</f>
        <v/>
      </c>
    </row>
    <row r="710">
      <c r="A710" t="n">
        <v>709</v>
      </c>
      <c r="B710">
        <f>IFERROR(SMALL(Pipeline_Calc!$A$2:$A$5251,A710),"")</f>
        <v/>
      </c>
      <c r="C710">
        <f>IF(B710="","",MATCH(B710,Pipeline_Calc!$A$2:$A$5251,0))</f>
        <v/>
      </c>
    </row>
    <row r="711">
      <c r="A711" t="n">
        <v>710</v>
      </c>
      <c r="B711">
        <f>IFERROR(SMALL(Pipeline_Calc!$A$2:$A$5251,A711),"")</f>
        <v/>
      </c>
      <c r="C711">
        <f>IF(B711="","",MATCH(B711,Pipeline_Calc!$A$2:$A$5251,0))</f>
        <v/>
      </c>
    </row>
    <row r="712">
      <c r="A712" t="n">
        <v>711</v>
      </c>
      <c r="B712">
        <f>IFERROR(SMALL(Pipeline_Calc!$A$2:$A$5251,A712),"")</f>
        <v/>
      </c>
      <c r="C712">
        <f>IF(B712="","",MATCH(B712,Pipeline_Calc!$A$2:$A$5251,0))</f>
        <v/>
      </c>
    </row>
    <row r="713">
      <c r="A713" t="n">
        <v>712</v>
      </c>
      <c r="B713">
        <f>IFERROR(SMALL(Pipeline_Calc!$A$2:$A$5251,A713),"")</f>
        <v/>
      </c>
      <c r="C713">
        <f>IF(B713="","",MATCH(B713,Pipeline_Calc!$A$2:$A$5251,0))</f>
        <v/>
      </c>
    </row>
    <row r="714">
      <c r="A714" t="n">
        <v>713</v>
      </c>
      <c r="B714">
        <f>IFERROR(SMALL(Pipeline_Calc!$A$2:$A$5251,A714),"")</f>
        <v/>
      </c>
      <c r="C714">
        <f>IF(B714="","",MATCH(B714,Pipeline_Calc!$A$2:$A$5251,0))</f>
        <v/>
      </c>
    </row>
    <row r="715">
      <c r="A715" t="n">
        <v>714</v>
      </c>
      <c r="B715">
        <f>IFERROR(SMALL(Pipeline_Calc!$A$2:$A$5251,A715),"")</f>
        <v/>
      </c>
      <c r="C715">
        <f>IF(B715="","",MATCH(B715,Pipeline_Calc!$A$2:$A$5251,0))</f>
        <v/>
      </c>
    </row>
    <row r="716">
      <c r="A716" t="n">
        <v>715</v>
      </c>
      <c r="B716">
        <f>IFERROR(SMALL(Pipeline_Calc!$A$2:$A$5251,A716),"")</f>
        <v/>
      </c>
      <c r="C716">
        <f>IF(B716="","",MATCH(B716,Pipeline_Calc!$A$2:$A$5251,0))</f>
        <v/>
      </c>
    </row>
    <row r="717">
      <c r="A717" t="n">
        <v>716</v>
      </c>
      <c r="B717">
        <f>IFERROR(SMALL(Pipeline_Calc!$A$2:$A$5251,A717),"")</f>
        <v/>
      </c>
      <c r="C717">
        <f>IF(B717="","",MATCH(B717,Pipeline_Calc!$A$2:$A$5251,0))</f>
        <v/>
      </c>
    </row>
    <row r="718">
      <c r="A718" t="n">
        <v>717</v>
      </c>
      <c r="B718">
        <f>IFERROR(SMALL(Pipeline_Calc!$A$2:$A$5251,A718),"")</f>
        <v/>
      </c>
      <c r="C718">
        <f>IF(B718="","",MATCH(B718,Pipeline_Calc!$A$2:$A$5251,0))</f>
        <v/>
      </c>
    </row>
    <row r="719">
      <c r="A719" t="n">
        <v>718</v>
      </c>
      <c r="B719">
        <f>IFERROR(SMALL(Pipeline_Calc!$A$2:$A$5251,A719),"")</f>
        <v/>
      </c>
      <c r="C719">
        <f>IF(B719="","",MATCH(B719,Pipeline_Calc!$A$2:$A$5251,0))</f>
        <v/>
      </c>
    </row>
    <row r="720">
      <c r="A720" t="n">
        <v>719</v>
      </c>
      <c r="B720">
        <f>IFERROR(SMALL(Pipeline_Calc!$A$2:$A$5251,A720),"")</f>
        <v/>
      </c>
      <c r="C720">
        <f>IF(B720="","",MATCH(B720,Pipeline_Calc!$A$2:$A$5251,0))</f>
        <v/>
      </c>
    </row>
    <row r="721">
      <c r="A721" t="n">
        <v>720</v>
      </c>
      <c r="B721">
        <f>IFERROR(SMALL(Pipeline_Calc!$A$2:$A$5251,A721),"")</f>
        <v/>
      </c>
      <c r="C721">
        <f>IF(B721="","",MATCH(B721,Pipeline_Calc!$A$2:$A$5251,0))</f>
        <v/>
      </c>
    </row>
    <row r="722">
      <c r="A722" t="n">
        <v>721</v>
      </c>
      <c r="B722">
        <f>IFERROR(SMALL(Pipeline_Calc!$A$2:$A$5251,A722),"")</f>
        <v/>
      </c>
      <c r="C722">
        <f>IF(B722="","",MATCH(B722,Pipeline_Calc!$A$2:$A$5251,0))</f>
        <v/>
      </c>
    </row>
    <row r="723">
      <c r="A723" t="n">
        <v>722</v>
      </c>
      <c r="B723">
        <f>IFERROR(SMALL(Pipeline_Calc!$A$2:$A$5251,A723),"")</f>
        <v/>
      </c>
      <c r="C723">
        <f>IF(B723="","",MATCH(B723,Pipeline_Calc!$A$2:$A$5251,0))</f>
        <v/>
      </c>
    </row>
    <row r="724">
      <c r="A724" t="n">
        <v>723</v>
      </c>
      <c r="B724">
        <f>IFERROR(SMALL(Pipeline_Calc!$A$2:$A$5251,A724),"")</f>
        <v/>
      </c>
      <c r="C724">
        <f>IF(B724="","",MATCH(B724,Pipeline_Calc!$A$2:$A$5251,0))</f>
        <v/>
      </c>
    </row>
    <row r="725">
      <c r="A725" t="n">
        <v>724</v>
      </c>
      <c r="B725">
        <f>IFERROR(SMALL(Pipeline_Calc!$A$2:$A$5251,A725),"")</f>
        <v/>
      </c>
      <c r="C725">
        <f>IF(B725="","",MATCH(B725,Pipeline_Calc!$A$2:$A$5251,0))</f>
        <v/>
      </c>
    </row>
    <row r="726">
      <c r="A726" t="n">
        <v>725</v>
      </c>
      <c r="B726">
        <f>IFERROR(SMALL(Pipeline_Calc!$A$2:$A$5251,A726),"")</f>
        <v/>
      </c>
      <c r="C726">
        <f>IF(B726="","",MATCH(B726,Pipeline_Calc!$A$2:$A$5251,0))</f>
        <v/>
      </c>
    </row>
    <row r="727">
      <c r="A727" t="n">
        <v>726</v>
      </c>
      <c r="B727">
        <f>IFERROR(SMALL(Pipeline_Calc!$A$2:$A$5251,A727),"")</f>
        <v/>
      </c>
      <c r="C727">
        <f>IF(B727="","",MATCH(B727,Pipeline_Calc!$A$2:$A$5251,0))</f>
        <v/>
      </c>
    </row>
    <row r="728">
      <c r="A728" t="n">
        <v>727</v>
      </c>
      <c r="B728">
        <f>IFERROR(SMALL(Pipeline_Calc!$A$2:$A$5251,A728),"")</f>
        <v/>
      </c>
      <c r="C728">
        <f>IF(B728="","",MATCH(B728,Pipeline_Calc!$A$2:$A$5251,0))</f>
        <v/>
      </c>
    </row>
    <row r="729">
      <c r="A729" t="n">
        <v>728</v>
      </c>
      <c r="B729">
        <f>IFERROR(SMALL(Pipeline_Calc!$A$2:$A$5251,A729),"")</f>
        <v/>
      </c>
      <c r="C729">
        <f>IF(B729="","",MATCH(B729,Pipeline_Calc!$A$2:$A$5251,0))</f>
        <v/>
      </c>
    </row>
    <row r="730">
      <c r="A730" t="n">
        <v>729</v>
      </c>
      <c r="B730">
        <f>IFERROR(SMALL(Pipeline_Calc!$A$2:$A$5251,A730),"")</f>
        <v/>
      </c>
      <c r="C730">
        <f>IF(B730="","",MATCH(B730,Pipeline_Calc!$A$2:$A$5251,0))</f>
        <v/>
      </c>
    </row>
    <row r="731">
      <c r="A731" t="n">
        <v>730</v>
      </c>
      <c r="B731">
        <f>IFERROR(SMALL(Pipeline_Calc!$A$2:$A$5251,A731),"")</f>
        <v/>
      </c>
      <c r="C731">
        <f>IF(B731="","",MATCH(B731,Pipeline_Calc!$A$2:$A$5251,0))</f>
        <v/>
      </c>
    </row>
    <row r="732">
      <c r="A732" t="n">
        <v>731</v>
      </c>
      <c r="B732">
        <f>IFERROR(SMALL(Pipeline_Calc!$A$2:$A$5251,A732),"")</f>
        <v/>
      </c>
      <c r="C732">
        <f>IF(B732="","",MATCH(B732,Pipeline_Calc!$A$2:$A$5251,0))</f>
        <v/>
      </c>
    </row>
    <row r="733">
      <c r="A733" t="n">
        <v>732</v>
      </c>
      <c r="B733">
        <f>IFERROR(SMALL(Pipeline_Calc!$A$2:$A$5251,A733),"")</f>
        <v/>
      </c>
      <c r="C733">
        <f>IF(B733="","",MATCH(B733,Pipeline_Calc!$A$2:$A$5251,0))</f>
        <v/>
      </c>
    </row>
    <row r="734">
      <c r="A734" t="n">
        <v>733</v>
      </c>
      <c r="B734">
        <f>IFERROR(SMALL(Pipeline_Calc!$A$2:$A$5251,A734),"")</f>
        <v/>
      </c>
      <c r="C734">
        <f>IF(B734="","",MATCH(B734,Pipeline_Calc!$A$2:$A$5251,0))</f>
        <v/>
      </c>
    </row>
    <row r="735">
      <c r="A735" t="n">
        <v>734</v>
      </c>
      <c r="B735">
        <f>IFERROR(SMALL(Pipeline_Calc!$A$2:$A$5251,A735),"")</f>
        <v/>
      </c>
      <c r="C735">
        <f>IF(B735="","",MATCH(B735,Pipeline_Calc!$A$2:$A$5251,0))</f>
        <v/>
      </c>
    </row>
    <row r="736">
      <c r="A736" t="n">
        <v>735</v>
      </c>
      <c r="B736">
        <f>IFERROR(SMALL(Pipeline_Calc!$A$2:$A$5251,A736),"")</f>
        <v/>
      </c>
      <c r="C736">
        <f>IF(B736="","",MATCH(B736,Pipeline_Calc!$A$2:$A$5251,0))</f>
        <v/>
      </c>
    </row>
    <row r="737">
      <c r="A737" t="n">
        <v>736</v>
      </c>
      <c r="B737">
        <f>IFERROR(SMALL(Pipeline_Calc!$A$2:$A$5251,A737),"")</f>
        <v/>
      </c>
      <c r="C737">
        <f>IF(B737="","",MATCH(B737,Pipeline_Calc!$A$2:$A$5251,0))</f>
        <v/>
      </c>
    </row>
    <row r="738">
      <c r="A738" t="n">
        <v>737</v>
      </c>
      <c r="B738">
        <f>IFERROR(SMALL(Pipeline_Calc!$A$2:$A$5251,A738),"")</f>
        <v/>
      </c>
      <c r="C738">
        <f>IF(B738="","",MATCH(B738,Pipeline_Calc!$A$2:$A$5251,0))</f>
        <v/>
      </c>
    </row>
    <row r="739">
      <c r="A739" t="n">
        <v>738</v>
      </c>
      <c r="B739">
        <f>IFERROR(SMALL(Pipeline_Calc!$A$2:$A$5251,A739),"")</f>
        <v/>
      </c>
      <c r="C739">
        <f>IF(B739="","",MATCH(B739,Pipeline_Calc!$A$2:$A$5251,0))</f>
        <v/>
      </c>
    </row>
    <row r="740">
      <c r="A740" t="n">
        <v>739</v>
      </c>
      <c r="B740">
        <f>IFERROR(SMALL(Pipeline_Calc!$A$2:$A$5251,A740),"")</f>
        <v/>
      </c>
      <c r="C740">
        <f>IF(B740="","",MATCH(B740,Pipeline_Calc!$A$2:$A$5251,0))</f>
        <v/>
      </c>
    </row>
    <row r="741">
      <c r="A741" t="n">
        <v>740</v>
      </c>
      <c r="B741">
        <f>IFERROR(SMALL(Pipeline_Calc!$A$2:$A$5251,A741),"")</f>
        <v/>
      </c>
      <c r="C741">
        <f>IF(B741="","",MATCH(B741,Pipeline_Calc!$A$2:$A$5251,0))</f>
        <v/>
      </c>
    </row>
    <row r="742">
      <c r="A742" t="n">
        <v>741</v>
      </c>
      <c r="B742">
        <f>IFERROR(SMALL(Pipeline_Calc!$A$2:$A$5251,A742),"")</f>
        <v/>
      </c>
      <c r="C742">
        <f>IF(B742="","",MATCH(B742,Pipeline_Calc!$A$2:$A$5251,0))</f>
        <v/>
      </c>
    </row>
    <row r="743">
      <c r="A743" t="n">
        <v>742</v>
      </c>
      <c r="B743">
        <f>IFERROR(SMALL(Pipeline_Calc!$A$2:$A$5251,A743),"")</f>
        <v/>
      </c>
      <c r="C743">
        <f>IF(B743="","",MATCH(B743,Pipeline_Calc!$A$2:$A$5251,0))</f>
        <v/>
      </c>
    </row>
    <row r="744">
      <c r="A744" t="n">
        <v>743</v>
      </c>
      <c r="B744">
        <f>IFERROR(SMALL(Pipeline_Calc!$A$2:$A$5251,A744),"")</f>
        <v/>
      </c>
      <c r="C744">
        <f>IF(B744="","",MATCH(B744,Pipeline_Calc!$A$2:$A$5251,0))</f>
        <v/>
      </c>
    </row>
    <row r="745">
      <c r="A745" t="n">
        <v>744</v>
      </c>
      <c r="B745">
        <f>IFERROR(SMALL(Pipeline_Calc!$A$2:$A$5251,A745),"")</f>
        <v/>
      </c>
      <c r="C745">
        <f>IF(B745="","",MATCH(B745,Pipeline_Calc!$A$2:$A$5251,0))</f>
        <v/>
      </c>
    </row>
    <row r="746">
      <c r="A746" t="n">
        <v>745</v>
      </c>
      <c r="B746">
        <f>IFERROR(SMALL(Pipeline_Calc!$A$2:$A$5251,A746),"")</f>
        <v/>
      </c>
      <c r="C746">
        <f>IF(B746="","",MATCH(B746,Pipeline_Calc!$A$2:$A$5251,0))</f>
        <v/>
      </c>
    </row>
    <row r="747">
      <c r="A747" t="n">
        <v>746</v>
      </c>
      <c r="B747">
        <f>IFERROR(SMALL(Pipeline_Calc!$A$2:$A$5251,A747),"")</f>
        <v/>
      </c>
      <c r="C747">
        <f>IF(B747="","",MATCH(B747,Pipeline_Calc!$A$2:$A$5251,0))</f>
        <v/>
      </c>
    </row>
    <row r="748">
      <c r="A748" t="n">
        <v>747</v>
      </c>
      <c r="B748">
        <f>IFERROR(SMALL(Pipeline_Calc!$A$2:$A$5251,A748),"")</f>
        <v/>
      </c>
      <c r="C748">
        <f>IF(B748="","",MATCH(B748,Pipeline_Calc!$A$2:$A$5251,0))</f>
        <v/>
      </c>
    </row>
    <row r="749">
      <c r="A749" t="n">
        <v>748</v>
      </c>
      <c r="B749">
        <f>IFERROR(SMALL(Pipeline_Calc!$A$2:$A$5251,A749),"")</f>
        <v/>
      </c>
      <c r="C749">
        <f>IF(B749="","",MATCH(B749,Pipeline_Calc!$A$2:$A$5251,0))</f>
        <v/>
      </c>
    </row>
    <row r="750">
      <c r="A750" t="n">
        <v>749</v>
      </c>
      <c r="B750">
        <f>IFERROR(SMALL(Pipeline_Calc!$A$2:$A$5251,A750),"")</f>
        <v/>
      </c>
      <c r="C750">
        <f>IF(B750="","",MATCH(B750,Pipeline_Calc!$A$2:$A$5251,0))</f>
        <v/>
      </c>
    </row>
    <row r="751">
      <c r="A751" t="n">
        <v>750</v>
      </c>
      <c r="B751">
        <f>IFERROR(SMALL(Pipeline_Calc!$A$2:$A$5251,A751),"")</f>
        <v/>
      </c>
      <c r="C751">
        <f>IF(B751="","",MATCH(B751,Pipeline_Calc!$A$2:$A$5251,0))</f>
        <v/>
      </c>
    </row>
    <row r="752">
      <c r="A752" t="n">
        <v>751</v>
      </c>
      <c r="B752">
        <f>IFERROR(SMALL(Pipeline_Calc!$A$2:$A$5251,A752),"")</f>
        <v/>
      </c>
      <c r="C752">
        <f>IF(B752="","",MATCH(B752,Pipeline_Calc!$A$2:$A$5251,0))</f>
        <v/>
      </c>
    </row>
    <row r="753">
      <c r="A753" t="n">
        <v>752</v>
      </c>
      <c r="B753">
        <f>IFERROR(SMALL(Pipeline_Calc!$A$2:$A$5251,A753),"")</f>
        <v/>
      </c>
      <c r="C753">
        <f>IF(B753="","",MATCH(B753,Pipeline_Calc!$A$2:$A$5251,0))</f>
        <v/>
      </c>
    </row>
    <row r="754">
      <c r="A754" t="n">
        <v>753</v>
      </c>
      <c r="B754">
        <f>IFERROR(SMALL(Pipeline_Calc!$A$2:$A$5251,A754),"")</f>
        <v/>
      </c>
      <c r="C754">
        <f>IF(B754="","",MATCH(B754,Pipeline_Calc!$A$2:$A$5251,0))</f>
        <v/>
      </c>
    </row>
    <row r="755">
      <c r="A755" t="n">
        <v>754</v>
      </c>
      <c r="B755">
        <f>IFERROR(SMALL(Pipeline_Calc!$A$2:$A$5251,A755),"")</f>
        <v/>
      </c>
      <c r="C755">
        <f>IF(B755="","",MATCH(B755,Pipeline_Calc!$A$2:$A$5251,0))</f>
        <v/>
      </c>
    </row>
    <row r="756">
      <c r="A756" t="n">
        <v>755</v>
      </c>
      <c r="B756">
        <f>IFERROR(SMALL(Pipeline_Calc!$A$2:$A$5251,A756),"")</f>
        <v/>
      </c>
      <c r="C756">
        <f>IF(B756="","",MATCH(B756,Pipeline_Calc!$A$2:$A$5251,0))</f>
        <v/>
      </c>
    </row>
    <row r="757">
      <c r="A757" t="n">
        <v>756</v>
      </c>
      <c r="B757">
        <f>IFERROR(SMALL(Pipeline_Calc!$A$2:$A$5251,A757),"")</f>
        <v/>
      </c>
      <c r="C757">
        <f>IF(B757="","",MATCH(B757,Pipeline_Calc!$A$2:$A$5251,0))</f>
        <v/>
      </c>
    </row>
    <row r="758">
      <c r="A758" t="n">
        <v>757</v>
      </c>
      <c r="B758">
        <f>IFERROR(SMALL(Pipeline_Calc!$A$2:$A$5251,A758),"")</f>
        <v/>
      </c>
      <c r="C758">
        <f>IF(B758="","",MATCH(B758,Pipeline_Calc!$A$2:$A$5251,0))</f>
        <v/>
      </c>
    </row>
    <row r="759">
      <c r="A759" t="n">
        <v>758</v>
      </c>
      <c r="B759">
        <f>IFERROR(SMALL(Pipeline_Calc!$A$2:$A$5251,A759),"")</f>
        <v/>
      </c>
      <c r="C759">
        <f>IF(B759="","",MATCH(B759,Pipeline_Calc!$A$2:$A$5251,0))</f>
        <v/>
      </c>
    </row>
    <row r="760">
      <c r="A760" t="n">
        <v>759</v>
      </c>
      <c r="B760">
        <f>IFERROR(SMALL(Pipeline_Calc!$A$2:$A$5251,A760),"")</f>
        <v/>
      </c>
      <c r="C760">
        <f>IF(B760="","",MATCH(B760,Pipeline_Calc!$A$2:$A$5251,0))</f>
        <v/>
      </c>
    </row>
    <row r="761">
      <c r="A761" t="n">
        <v>760</v>
      </c>
      <c r="B761">
        <f>IFERROR(SMALL(Pipeline_Calc!$A$2:$A$5251,A761),"")</f>
        <v/>
      </c>
      <c r="C761">
        <f>IF(B761="","",MATCH(B761,Pipeline_Calc!$A$2:$A$5251,0))</f>
        <v/>
      </c>
    </row>
    <row r="762">
      <c r="A762" t="n">
        <v>761</v>
      </c>
      <c r="B762">
        <f>IFERROR(SMALL(Pipeline_Calc!$A$2:$A$5251,A762),"")</f>
        <v/>
      </c>
      <c r="C762">
        <f>IF(B762="","",MATCH(B762,Pipeline_Calc!$A$2:$A$5251,0))</f>
        <v/>
      </c>
    </row>
    <row r="763">
      <c r="A763" t="n">
        <v>762</v>
      </c>
      <c r="B763">
        <f>IFERROR(SMALL(Pipeline_Calc!$A$2:$A$5251,A763),"")</f>
        <v/>
      </c>
      <c r="C763">
        <f>IF(B763="","",MATCH(B763,Pipeline_Calc!$A$2:$A$5251,0))</f>
        <v/>
      </c>
    </row>
    <row r="764">
      <c r="A764" t="n">
        <v>763</v>
      </c>
      <c r="B764">
        <f>IFERROR(SMALL(Pipeline_Calc!$A$2:$A$5251,A764),"")</f>
        <v/>
      </c>
      <c r="C764">
        <f>IF(B764="","",MATCH(B764,Pipeline_Calc!$A$2:$A$5251,0))</f>
        <v/>
      </c>
    </row>
    <row r="765">
      <c r="A765" t="n">
        <v>764</v>
      </c>
      <c r="B765">
        <f>IFERROR(SMALL(Pipeline_Calc!$A$2:$A$5251,A765),"")</f>
        <v/>
      </c>
      <c r="C765">
        <f>IF(B765="","",MATCH(B765,Pipeline_Calc!$A$2:$A$5251,0))</f>
        <v/>
      </c>
    </row>
    <row r="766">
      <c r="A766" t="n">
        <v>765</v>
      </c>
      <c r="B766">
        <f>IFERROR(SMALL(Pipeline_Calc!$A$2:$A$5251,A766),"")</f>
        <v/>
      </c>
      <c r="C766">
        <f>IF(B766="","",MATCH(B766,Pipeline_Calc!$A$2:$A$5251,0))</f>
        <v/>
      </c>
    </row>
    <row r="767">
      <c r="A767" t="n">
        <v>766</v>
      </c>
      <c r="B767">
        <f>IFERROR(SMALL(Pipeline_Calc!$A$2:$A$5251,A767),"")</f>
        <v/>
      </c>
      <c r="C767">
        <f>IF(B767="","",MATCH(B767,Pipeline_Calc!$A$2:$A$5251,0))</f>
        <v/>
      </c>
    </row>
    <row r="768">
      <c r="A768" t="n">
        <v>767</v>
      </c>
      <c r="B768">
        <f>IFERROR(SMALL(Pipeline_Calc!$A$2:$A$5251,A768),"")</f>
        <v/>
      </c>
      <c r="C768">
        <f>IF(B768="","",MATCH(B768,Pipeline_Calc!$A$2:$A$5251,0))</f>
        <v/>
      </c>
    </row>
    <row r="769">
      <c r="A769" t="n">
        <v>768</v>
      </c>
      <c r="B769">
        <f>IFERROR(SMALL(Pipeline_Calc!$A$2:$A$5251,A769),"")</f>
        <v/>
      </c>
      <c r="C769">
        <f>IF(B769="","",MATCH(B769,Pipeline_Calc!$A$2:$A$5251,0))</f>
        <v/>
      </c>
    </row>
    <row r="770">
      <c r="A770" t="n">
        <v>769</v>
      </c>
      <c r="B770">
        <f>IFERROR(SMALL(Pipeline_Calc!$A$2:$A$5251,A770),"")</f>
        <v/>
      </c>
      <c r="C770">
        <f>IF(B770="","",MATCH(B770,Pipeline_Calc!$A$2:$A$5251,0))</f>
        <v/>
      </c>
    </row>
    <row r="771">
      <c r="A771" t="n">
        <v>770</v>
      </c>
      <c r="B771">
        <f>IFERROR(SMALL(Pipeline_Calc!$A$2:$A$5251,A771),"")</f>
        <v/>
      </c>
      <c r="C771">
        <f>IF(B771="","",MATCH(B771,Pipeline_Calc!$A$2:$A$5251,0))</f>
        <v/>
      </c>
    </row>
    <row r="772">
      <c r="A772" t="n">
        <v>771</v>
      </c>
      <c r="B772">
        <f>IFERROR(SMALL(Pipeline_Calc!$A$2:$A$5251,A772),"")</f>
        <v/>
      </c>
      <c r="C772">
        <f>IF(B772="","",MATCH(B772,Pipeline_Calc!$A$2:$A$5251,0))</f>
        <v/>
      </c>
    </row>
    <row r="773">
      <c r="A773" t="n">
        <v>772</v>
      </c>
      <c r="B773">
        <f>IFERROR(SMALL(Pipeline_Calc!$A$2:$A$5251,A773),"")</f>
        <v/>
      </c>
      <c r="C773">
        <f>IF(B773="","",MATCH(B773,Pipeline_Calc!$A$2:$A$5251,0))</f>
        <v/>
      </c>
    </row>
    <row r="774">
      <c r="A774" t="n">
        <v>773</v>
      </c>
      <c r="B774">
        <f>IFERROR(SMALL(Pipeline_Calc!$A$2:$A$5251,A774),"")</f>
        <v/>
      </c>
      <c r="C774">
        <f>IF(B774="","",MATCH(B774,Pipeline_Calc!$A$2:$A$5251,0))</f>
        <v/>
      </c>
    </row>
    <row r="775">
      <c r="A775" t="n">
        <v>774</v>
      </c>
      <c r="B775">
        <f>IFERROR(SMALL(Pipeline_Calc!$A$2:$A$5251,A775),"")</f>
        <v/>
      </c>
      <c r="C775">
        <f>IF(B775="","",MATCH(B775,Pipeline_Calc!$A$2:$A$5251,0))</f>
        <v/>
      </c>
    </row>
    <row r="776">
      <c r="A776" t="n">
        <v>775</v>
      </c>
      <c r="B776">
        <f>IFERROR(SMALL(Pipeline_Calc!$A$2:$A$5251,A776),"")</f>
        <v/>
      </c>
      <c r="C776">
        <f>IF(B776="","",MATCH(B776,Pipeline_Calc!$A$2:$A$5251,0))</f>
        <v/>
      </c>
    </row>
    <row r="777">
      <c r="A777" t="n">
        <v>776</v>
      </c>
      <c r="B777">
        <f>IFERROR(SMALL(Pipeline_Calc!$A$2:$A$5251,A777),"")</f>
        <v/>
      </c>
      <c r="C777">
        <f>IF(B777="","",MATCH(B777,Pipeline_Calc!$A$2:$A$5251,0))</f>
        <v/>
      </c>
    </row>
    <row r="778">
      <c r="A778" t="n">
        <v>777</v>
      </c>
      <c r="B778">
        <f>IFERROR(SMALL(Pipeline_Calc!$A$2:$A$5251,A778),"")</f>
        <v/>
      </c>
      <c r="C778">
        <f>IF(B778="","",MATCH(B778,Pipeline_Calc!$A$2:$A$5251,0))</f>
        <v/>
      </c>
    </row>
    <row r="779">
      <c r="A779" t="n">
        <v>778</v>
      </c>
      <c r="B779">
        <f>IFERROR(SMALL(Pipeline_Calc!$A$2:$A$5251,A779),"")</f>
        <v/>
      </c>
      <c r="C779">
        <f>IF(B779="","",MATCH(B779,Pipeline_Calc!$A$2:$A$5251,0))</f>
        <v/>
      </c>
    </row>
    <row r="780">
      <c r="A780" t="n">
        <v>779</v>
      </c>
      <c r="B780">
        <f>IFERROR(SMALL(Pipeline_Calc!$A$2:$A$5251,A780),"")</f>
        <v/>
      </c>
      <c r="C780">
        <f>IF(B780="","",MATCH(B780,Pipeline_Calc!$A$2:$A$5251,0))</f>
        <v/>
      </c>
    </row>
    <row r="781">
      <c r="A781" t="n">
        <v>780</v>
      </c>
      <c r="B781">
        <f>IFERROR(SMALL(Pipeline_Calc!$A$2:$A$5251,A781),"")</f>
        <v/>
      </c>
      <c r="C781">
        <f>IF(B781="","",MATCH(B781,Pipeline_Calc!$A$2:$A$5251,0))</f>
        <v/>
      </c>
    </row>
    <row r="782">
      <c r="A782" t="n">
        <v>781</v>
      </c>
      <c r="B782">
        <f>IFERROR(SMALL(Pipeline_Calc!$A$2:$A$5251,A782),"")</f>
        <v/>
      </c>
      <c r="C782">
        <f>IF(B782="","",MATCH(B782,Pipeline_Calc!$A$2:$A$5251,0))</f>
        <v/>
      </c>
    </row>
    <row r="783">
      <c r="A783" t="n">
        <v>782</v>
      </c>
      <c r="B783">
        <f>IFERROR(SMALL(Pipeline_Calc!$A$2:$A$5251,A783),"")</f>
        <v/>
      </c>
      <c r="C783">
        <f>IF(B783="","",MATCH(B783,Pipeline_Calc!$A$2:$A$5251,0))</f>
        <v/>
      </c>
    </row>
    <row r="784">
      <c r="A784" t="n">
        <v>783</v>
      </c>
      <c r="B784">
        <f>IFERROR(SMALL(Pipeline_Calc!$A$2:$A$5251,A784),"")</f>
        <v/>
      </c>
      <c r="C784">
        <f>IF(B784="","",MATCH(B784,Pipeline_Calc!$A$2:$A$5251,0))</f>
        <v/>
      </c>
    </row>
    <row r="785">
      <c r="A785" t="n">
        <v>784</v>
      </c>
      <c r="B785">
        <f>IFERROR(SMALL(Pipeline_Calc!$A$2:$A$5251,A785),"")</f>
        <v/>
      </c>
      <c r="C785">
        <f>IF(B785="","",MATCH(B785,Pipeline_Calc!$A$2:$A$5251,0))</f>
        <v/>
      </c>
    </row>
    <row r="786">
      <c r="A786" t="n">
        <v>785</v>
      </c>
      <c r="B786">
        <f>IFERROR(SMALL(Pipeline_Calc!$A$2:$A$5251,A786),"")</f>
        <v/>
      </c>
      <c r="C786">
        <f>IF(B786="","",MATCH(B786,Pipeline_Calc!$A$2:$A$5251,0))</f>
        <v/>
      </c>
    </row>
    <row r="787">
      <c r="A787" t="n">
        <v>786</v>
      </c>
      <c r="B787">
        <f>IFERROR(SMALL(Pipeline_Calc!$A$2:$A$5251,A787),"")</f>
        <v/>
      </c>
      <c r="C787">
        <f>IF(B787="","",MATCH(B787,Pipeline_Calc!$A$2:$A$5251,0))</f>
        <v/>
      </c>
    </row>
    <row r="788">
      <c r="A788" t="n">
        <v>787</v>
      </c>
      <c r="B788">
        <f>IFERROR(SMALL(Pipeline_Calc!$A$2:$A$5251,A788),"")</f>
        <v/>
      </c>
      <c r="C788">
        <f>IF(B788="","",MATCH(B788,Pipeline_Calc!$A$2:$A$5251,0))</f>
        <v/>
      </c>
    </row>
    <row r="789">
      <c r="A789" t="n">
        <v>788</v>
      </c>
      <c r="B789">
        <f>IFERROR(SMALL(Pipeline_Calc!$A$2:$A$5251,A789),"")</f>
        <v/>
      </c>
      <c r="C789">
        <f>IF(B789="","",MATCH(B789,Pipeline_Calc!$A$2:$A$5251,0))</f>
        <v/>
      </c>
    </row>
    <row r="790">
      <c r="A790" t="n">
        <v>789</v>
      </c>
      <c r="B790">
        <f>IFERROR(SMALL(Pipeline_Calc!$A$2:$A$5251,A790),"")</f>
        <v/>
      </c>
      <c r="C790">
        <f>IF(B790="","",MATCH(B790,Pipeline_Calc!$A$2:$A$5251,0))</f>
        <v/>
      </c>
    </row>
    <row r="791">
      <c r="A791" t="n">
        <v>790</v>
      </c>
      <c r="B791">
        <f>IFERROR(SMALL(Pipeline_Calc!$A$2:$A$5251,A791),"")</f>
        <v/>
      </c>
      <c r="C791">
        <f>IF(B791="","",MATCH(B791,Pipeline_Calc!$A$2:$A$5251,0))</f>
        <v/>
      </c>
    </row>
    <row r="792">
      <c r="A792" t="n">
        <v>791</v>
      </c>
      <c r="B792">
        <f>IFERROR(SMALL(Pipeline_Calc!$A$2:$A$5251,A792),"")</f>
        <v/>
      </c>
      <c r="C792">
        <f>IF(B792="","",MATCH(B792,Pipeline_Calc!$A$2:$A$5251,0))</f>
        <v/>
      </c>
    </row>
    <row r="793">
      <c r="A793" t="n">
        <v>792</v>
      </c>
      <c r="B793">
        <f>IFERROR(SMALL(Pipeline_Calc!$A$2:$A$5251,A793),"")</f>
        <v/>
      </c>
      <c r="C793">
        <f>IF(B793="","",MATCH(B793,Pipeline_Calc!$A$2:$A$5251,0))</f>
        <v/>
      </c>
    </row>
    <row r="794">
      <c r="A794" t="n">
        <v>793</v>
      </c>
      <c r="B794">
        <f>IFERROR(SMALL(Pipeline_Calc!$A$2:$A$5251,A794),"")</f>
        <v/>
      </c>
      <c r="C794">
        <f>IF(B794="","",MATCH(B794,Pipeline_Calc!$A$2:$A$5251,0))</f>
        <v/>
      </c>
    </row>
    <row r="795">
      <c r="A795" t="n">
        <v>794</v>
      </c>
      <c r="B795">
        <f>IFERROR(SMALL(Pipeline_Calc!$A$2:$A$5251,A795),"")</f>
        <v/>
      </c>
      <c r="C795">
        <f>IF(B795="","",MATCH(B795,Pipeline_Calc!$A$2:$A$5251,0))</f>
        <v/>
      </c>
    </row>
    <row r="796">
      <c r="A796" t="n">
        <v>795</v>
      </c>
      <c r="B796">
        <f>IFERROR(SMALL(Pipeline_Calc!$A$2:$A$5251,A796),"")</f>
        <v/>
      </c>
      <c r="C796">
        <f>IF(B796="","",MATCH(B796,Pipeline_Calc!$A$2:$A$5251,0))</f>
        <v/>
      </c>
    </row>
    <row r="797">
      <c r="A797" t="n">
        <v>796</v>
      </c>
      <c r="B797">
        <f>IFERROR(SMALL(Pipeline_Calc!$A$2:$A$5251,A797),"")</f>
        <v/>
      </c>
      <c r="C797">
        <f>IF(B797="","",MATCH(B797,Pipeline_Calc!$A$2:$A$5251,0))</f>
        <v/>
      </c>
    </row>
    <row r="798">
      <c r="A798" t="n">
        <v>797</v>
      </c>
      <c r="B798">
        <f>IFERROR(SMALL(Pipeline_Calc!$A$2:$A$5251,A798),"")</f>
        <v/>
      </c>
      <c r="C798">
        <f>IF(B798="","",MATCH(B798,Pipeline_Calc!$A$2:$A$5251,0))</f>
        <v/>
      </c>
    </row>
    <row r="799">
      <c r="A799" t="n">
        <v>798</v>
      </c>
      <c r="B799">
        <f>IFERROR(SMALL(Pipeline_Calc!$A$2:$A$5251,A799),"")</f>
        <v/>
      </c>
      <c r="C799">
        <f>IF(B799="","",MATCH(B799,Pipeline_Calc!$A$2:$A$5251,0))</f>
        <v/>
      </c>
    </row>
    <row r="800">
      <c r="A800" t="n">
        <v>799</v>
      </c>
      <c r="B800">
        <f>IFERROR(SMALL(Pipeline_Calc!$A$2:$A$5251,A800),"")</f>
        <v/>
      </c>
      <c r="C800">
        <f>IF(B800="","",MATCH(B800,Pipeline_Calc!$A$2:$A$5251,0))</f>
        <v/>
      </c>
    </row>
    <row r="801">
      <c r="A801" t="n">
        <v>800</v>
      </c>
      <c r="B801">
        <f>IFERROR(SMALL(Pipeline_Calc!$A$2:$A$5251,A801),"")</f>
        <v/>
      </c>
      <c r="C801">
        <f>IF(B801="","",MATCH(B801,Pipeline_Calc!$A$2:$A$5251,0))</f>
        <v/>
      </c>
    </row>
    <row r="802">
      <c r="A802" t="n">
        <v>801</v>
      </c>
      <c r="B802">
        <f>IFERROR(SMALL(Pipeline_Calc!$A$2:$A$5251,A802),"")</f>
        <v/>
      </c>
      <c r="C802">
        <f>IF(B802="","",MATCH(B802,Pipeline_Calc!$A$2:$A$5251,0))</f>
        <v/>
      </c>
    </row>
    <row r="803">
      <c r="A803" t="n">
        <v>802</v>
      </c>
      <c r="B803">
        <f>IFERROR(SMALL(Pipeline_Calc!$A$2:$A$5251,A803),"")</f>
        <v/>
      </c>
      <c r="C803">
        <f>IF(B803="","",MATCH(B803,Pipeline_Calc!$A$2:$A$5251,0))</f>
        <v/>
      </c>
    </row>
    <row r="804">
      <c r="A804" t="n">
        <v>803</v>
      </c>
      <c r="B804">
        <f>IFERROR(SMALL(Pipeline_Calc!$A$2:$A$5251,A804),"")</f>
        <v/>
      </c>
      <c r="C804">
        <f>IF(B804="","",MATCH(B804,Pipeline_Calc!$A$2:$A$5251,0))</f>
        <v/>
      </c>
    </row>
    <row r="805">
      <c r="A805" t="n">
        <v>804</v>
      </c>
      <c r="B805">
        <f>IFERROR(SMALL(Pipeline_Calc!$A$2:$A$5251,A805),"")</f>
        <v/>
      </c>
      <c r="C805">
        <f>IF(B805="","",MATCH(B805,Pipeline_Calc!$A$2:$A$5251,0))</f>
        <v/>
      </c>
    </row>
    <row r="806">
      <c r="A806" t="n">
        <v>805</v>
      </c>
      <c r="B806">
        <f>IFERROR(SMALL(Pipeline_Calc!$A$2:$A$5251,A806),"")</f>
        <v/>
      </c>
      <c r="C806">
        <f>IF(B806="","",MATCH(B806,Pipeline_Calc!$A$2:$A$5251,0))</f>
        <v/>
      </c>
    </row>
    <row r="807">
      <c r="A807" t="n">
        <v>806</v>
      </c>
      <c r="B807">
        <f>IFERROR(SMALL(Pipeline_Calc!$A$2:$A$5251,A807),"")</f>
        <v/>
      </c>
      <c r="C807">
        <f>IF(B807="","",MATCH(B807,Pipeline_Calc!$A$2:$A$5251,0))</f>
        <v/>
      </c>
    </row>
    <row r="808">
      <c r="A808" t="n">
        <v>807</v>
      </c>
      <c r="B808">
        <f>IFERROR(SMALL(Pipeline_Calc!$A$2:$A$5251,A808),"")</f>
        <v/>
      </c>
      <c r="C808">
        <f>IF(B808="","",MATCH(B808,Pipeline_Calc!$A$2:$A$5251,0))</f>
        <v/>
      </c>
    </row>
    <row r="809">
      <c r="A809" t="n">
        <v>808</v>
      </c>
      <c r="B809">
        <f>IFERROR(SMALL(Pipeline_Calc!$A$2:$A$5251,A809),"")</f>
        <v/>
      </c>
      <c r="C809">
        <f>IF(B809="","",MATCH(B809,Pipeline_Calc!$A$2:$A$5251,0))</f>
        <v/>
      </c>
    </row>
    <row r="810">
      <c r="A810" t="n">
        <v>809</v>
      </c>
      <c r="B810">
        <f>IFERROR(SMALL(Pipeline_Calc!$A$2:$A$5251,A810),"")</f>
        <v/>
      </c>
      <c r="C810">
        <f>IF(B810="","",MATCH(B810,Pipeline_Calc!$A$2:$A$5251,0))</f>
        <v/>
      </c>
    </row>
    <row r="811">
      <c r="A811" t="n">
        <v>810</v>
      </c>
      <c r="B811">
        <f>IFERROR(SMALL(Pipeline_Calc!$A$2:$A$5251,A811),"")</f>
        <v/>
      </c>
      <c r="C811">
        <f>IF(B811="","",MATCH(B811,Pipeline_Calc!$A$2:$A$5251,0))</f>
        <v/>
      </c>
    </row>
    <row r="812">
      <c r="A812" t="n">
        <v>811</v>
      </c>
      <c r="B812">
        <f>IFERROR(SMALL(Pipeline_Calc!$A$2:$A$5251,A812),"")</f>
        <v/>
      </c>
      <c r="C812">
        <f>IF(B812="","",MATCH(B812,Pipeline_Calc!$A$2:$A$5251,0))</f>
        <v/>
      </c>
    </row>
    <row r="813">
      <c r="A813" t="n">
        <v>812</v>
      </c>
      <c r="B813">
        <f>IFERROR(SMALL(Pipeline_Calc!$A$2:$A$5251,A813),"")</f>
        <v/>
      </c>
      <c r="C813">
        <f>IF(B813="","",MATCH(B813,Pipeline_Calc!$A$2:$A$5251,0))</f>
        <v/>
      </c>
    </row>
    <row r="814">
      <c r="A814" t="n">
        <v>813</v>
      </c>
      <c r="B814">
        <f>IFERROR(SMALL(Pipeline_Calc!$A$2:$A$5251,A814),"")</f>
        <v/>
      </c>
      <c r="C814">
        <f>IF(B814="","",MATCH(B814,Pipeline_Calc!$A$2:$A$5251,0))</f>
        <v/>
      </c>
    </row>
    <row r="815">
      <c r="A815" t="n">
        <v>814</v>
      </c>
      <c r="B815">
        <f>IFERROR(SMALL(Pipeline_Calc!$A$2:$A$5251,A815),"")</f>
        <v/>
      </c>
      <c r="C815">
        <f>IF(B815="","",MATCH(B815,Pipeline_Calc!$A$2:$A$5251,0))</f>
        <v/>
      </c>
    </row>
    <row r="816">
      <c r="A816" t="n">
        <v>815</v>
      </c>
      <c r="B816">
        <f>IFERROR(SMALL(Pipeline_Calc!$A$2:$A$5251,A816),"")</f>
        <v/>
      </c>
      <c r="C816">
        <f>IF(B816="","",MATCH(B816,Pipeline_Calc!$A$2:$A$5251,0))</f>
        <v/>
      </c>
    </row>
    <row r="817">
      <c r="A817" t="n">
        <v>816</v>
      </c>
      <c r="B817">
        <f>IFERROR(SMALL(Pipeline_Calc!$A$2:$A$5251,A817),"")</f>
        <v/>
      </c>
      <c r="C817">
        <f>IF(B817="","",MATCH(B817,Pipeline_Calc!$A$2:$A$5251,0))</f>
        <v/>
      </c>
    </row>
    <row r="818">
      <c r="A818" t="n">
        <v>817</v>
      </c>
      <c r="B818">
        <f>IFERROR(SMALL(Pipeline_Calc!$A$2:$A$5251,A818),"")</f>
        <v/>
      </c>
      <c r="C818">
        <f>IF(B818="","",MATCH(B818,Pipeline_Calc!$A$2:$A$5251,0))</f>
        <v/>
      </c>
    </row>
    <row r="819">
      <c r="A819" t="n">
        <v>818</v>
      </c>
      <c r="B819">
        <f>IFERROR(SMALL(Pipeline_Calc!$A$2:$A$5251,A819),"")</f>
        <v/>
      </c>
      <c r="C819">
        <f>IF(B819="","",MATCH(B819,Pipeline_Calc!$A$2:$A$5251,0))</f>
        <v/>
      </c>
    </row>
    <row r="820">
      <c r="A820" t="n">
        <v>819</v>
      </c>
      <c r="B820">
        <f>IFERROR(SMALL(Pipeline_Calc!$A$2:$A$5251,A820),"")</f>
        <v/>
      </c>
      <c r="C820">
        <f>IF(B820="","",MATCH(B820,Pipeline_Calc!$A$2:$A$5251,0))</f>
        <v/>
      </c>
    </row>
    <row r="821">
      <c r="A821" t="n">
        <v>820</v>
      </c>
      <c r="B821">
        <f>IFERROR(SMALL(Pipeline_Calc!$A$2:$A$5251,A821),"")</f>
        <v/>
      </c>
      <c r="C821">
        <f>IF(B821="","",MATCH(B821,Pipeline_Calc!$A$2:$A$5251,0))</f>
        <v/>
      </c>
    </row>
    <row r="822">
      <c r="A822" t="n">
        <v>821</v>
      </c>
      <c r="B822">
        <f>IFERROR(SMALL(Pipeline_Calc!$A$2:$A$5251,A822),"")</f>
        <v/>
      </c>
      <c r="C822">
        <f>IF(B822="","",MATCH(B822,Pipeline_Calc!$A$2:$A$5251,0))</f>
        <v/>
      </c>
    </row>
    <row r="823">
      <c r="A823" t="n">
        <v>822</v>
      </c>
      <c r="B823">
        <f>IFERROR(SMALL(Pipeline_Calc!$A$2:$A$5251,A823),"")</f>
        <v/>
      </c>
      <c r="C823">
        <f>IF(B823="","",MATCH(B823,Pipeline_Calc!$A$2:$A$5251,0))</f>
        <v/>
      </c>
    </row>
    <row r="824">
      <c r="A824" t="n">
        <v>823</v>
      </c>
      <c r="B824">
        <f>IFERROR(SMALL(Pipeline_Calc!$A$2:$A$5251,A824),"")</f>
        <v/>
      </c>
      <c r="C824">
        <f>IF(B824="","",MATCH(B824,Pipeline_Calc!$A$2:$A$5251,0))</f>
        <v/>
      </c>
    </row>
    <row r="825">
      <c r="A825" t="n">
        <v>824</v>
      </c>
      <c r="B825">
        <f>IFERROR(SMALL(Pipeline_Calc!$A$2:$A$5251,A825),"")</f>
        <v/>
      </c>
      <c r="C825">
        <f>IF(B825="","",MATCH(B825,Pipeline_Calc!$A$2:$A$5251,0))</f>
        <v/>
      </c>
    </row>
    <row r="826">
      <c r="A826" t="n">
        <v>825</v>
      </c>
      <c r="B826">
        <f>IFERROR(SMALL(Pipeline_Calc!$A$2:$A$5251,A826),"")</f>
        <v/>
      </c>
      <c r="C826">
        <f>IF(B826="","",MATCH(B826,Pipeline_Calc!$A$2:$A$5251,0))</f>
        <v/>
      </c>
    </row>
    <row r="827">
      <c r="A827" t="n">
        <v>826</v>
      </c>
      <c r="B827">
        <f>IFERROR(SMALL(Pipeline_Calc!$A$2:$A$5251,A827),"")</f>
        <v/>
      </c>
      <c r="C827">
        <f>IF(B827="","",MATCH(B827,Pipeline_Calc!$A$2:$A$5251,0))</f>
        <v/>
      </c>
    </row>
    <row r="828">
      <c r="A828" t="n">
        <v>827</v>
      </c>
      <c r="B828">
        <f>IFERROR(SMALL(Pipeline_Calc!$A$2:$A$5251,A828),"")</f>
        <v/>
      </c>
      <c r="C828">
        <f>IF(B828="","",MATCH(B828,Pipeline_Calc!$A$2:$A$5251,0))</f>
        <v/>
      </c>
    </row>
    <row r="829">
      <c r="A829" t="n">
        <v>828</v>
      </c>
      <c r="B829">
        <f>IFERROR(SMALL(Pipeline_Calc!$A$2:$A$5251,A829),"")</f>
        <v/>
      </c>
      <c r="C829">
        <f>IF(B829="","",MATCH(B829,Pipeline_Calc!$A$2:$A$5251,0))</f>
        <v/>
      </c>
    </row>
    <row r="830">
      <c r="A830" t="n">
        <v>829</v>
      </c>
      <c r="B830">
        <f>IFERROR(SMALL(Pipeline_Calc!$A$2:$A$5251,A830),"")</f>
        <v/>
      </c>
      <c r="C830">
        <f>IF(B830="","",MATCH(B830,Pipeline_Calc!$A$2:$A$5251,0))</f>
        <v/>
      </c>
    </row>
    <row r="831">
      <c r="A831" t="n">
        <v>830</v>
      </c>
      <c r="B831">
        <f>IFERROR(SMALL(Pipeline_Calc!$A$2:$A$5251,A831),"")</f>
        <v/>
      </c>
      <c r="C831">
        <f>IF(B831="","",MATCH(B831,Pipeline_Calc!$A$2:$A$5251,0))</f>
        <v/>
      </c>
    </row>
    <row r="832">
      <c r="A832" t="n">
        <v>831</v>
      </c>
      <c r="B832">
        <f>IFERROR(SMALL(Pipeline_Calc!$A$2:$A$5251,A832),"")</f>
        <v/>
      </c>
      <c r="C832">
        <f>IF(B832="","",MATCH(B832,Pipeline_Calc!$A$2:$A$5251,0))</f>
        <v/>
      </c>
    </row>
    <row r="833">
      <c r="A833" t="n">
        <v>832</v>
      </c>
      <c r="B833">
        <f>IFERROR(SMALL(Pipeline_Calc!$A$2:$A$5251,A833),"")</f>
        <v/>
      </c>
      <c r="C833">
        <f>IF(B833="","",MATCH(B833,Pipeline_Calc!$A$2:$A$5251,0))</f>
        <v/>
      </c>
    </row>
    <row r="834">
      <c r="A834" t="n">
        <v>833</v>
      </c>
      <c r="B834">
        <f>IFERROR(SMALL(Pipeline_Calc!$A$2:$A$5251,A834),"")</f>
        <v/>
      </c>
      <c r="C834">
        <f>IF(B834="","",MATCH(B834,Pipeline_Calc!$A$2:$A$5251,0))</f>
        <v/>
      </c>
    </row>
    <row r="835">
      <c r="A835" t="n">
        <v>834</v>
      </c>
      <c r="B835">
        <f>IFERROR(SMALL(Pipeline_Calc!$A$2:$A$5251,A835),"")</f>
        <v/>
      </c>
      <c r="C835">
        <f>IF(B835="","",MATCH(B835,Pipeline_Calc!$A$2:$A$5251,0))</f>
        <v/>
      </c>
    </row>
    <row r="836">
      <c r="A836" t="n">
        <v>835</v>
      </c>
      <c r="B836">
        <f>IFERROR(SMALL(Pipeline_Calc!$A$2:$A$5251,A836),"")</f>
        <v/>
      </c>
      <c r="C836">
        <f>IF(B836="","",MATCH(B836,Pipeline_Calc!$A$2:$A$5251,0))</f>
        <v/>
      </c>
    </row>
    <row r="837">
      <c r="A837" t="n">
        <v>836</v>
      </c>
      <c r="B837">
        <f>IFERROR(SMALL(Pipeline_Calc!$A$2:$A$5251,A837),"")</f>
        <v/>
      </c>
      <c r="C837">
        <f>IF(B837="","",MATCH(B837,Pipeline_Calc!$A$2:$A$5251,0))</f>
        <v/>
      </c>
    </row>
    <row r="838">
      <c r="A838" t="n">
        <v>837</v>
      </c>
      <c r="B838">
        <f>IFERROR(SMALL(Pipeline_Calc!$A$2:$A$5251,A838),"")</f>
        <v/>
      </c>
      <c r="C838">
        <f>IF(B838="","",MATCH(B838,Pipeline_Calc!$A$2:$A$5251,0))</f>
        <v/>
      </c>
    </row>
    <row r="839">
      <c r="A839" t="n">
        <v>838</v>
      </c>
      <c r="B839">
        <f>IFERROR(SMALL(Pipeline_Calc!$A$2:$A$5251,A839),"")</f>
        <v/>
      </c>
      <c r="C839">
        <f>IF(B839="","",MATCH(B839,Pipeline_Calc!$A$2:$A$5251,0))</f>
        <v/>
      </c>
    </row>
    <row r="840">
      <c r="A840" t="n">
        <v>839</v>
      </c>
      <c r="B840">
        <f>IFERROR(SMALL(Pipeline_Calc!$A$2:$A$5251,A840),"")</f>
        <v/>
      </c>
      <c r="C840">
        <f>IF(B840="","",MATCH(B840,Pipeline_Calc!$A$2:$A$5251,0))</f>
        <v/>
      </c>
    </row>
    <row r="841">
      <c r="A841" t="n">
        <v>840</v>
      </c>
      <c r="B841">
        <f>IFERROR(SMALL(Pipeline_Calc!$A$2:$A$5251,A841),"")</f>
        <v/>
      </c>
      <c r="C841">
        <f>IF(B841="","",MATCH(B841,Pipeline_Calc!$A$2:$A$5251,0))</f>
        <v/>
      </c>
    </row>
    <row r="842">
      <c r="A842" t="n">
        <v>841</v>
      </c>
      <c r="B842">
        <f>IFERROR(SMALL(Pipeline_Calc!$A$2:$A$5251,A842),"")</f>
        <v/>
      </c>
      <c r="C842">
        <f>IF(B842="","",MATCH(B842,Pipeline_Calc!$A$2:$A$5251,0))</f>
        <v/>
      </c>
    </row>
    <row r="843">
      <c r="A843" t="n">
        <v>842</v>
      </c>
      <c r="B843">
        <f>IFERROR(SMALL(Pipeline_Calc!$A$2:$A$5251,A843),"")</f>
        <v/>
      </c>
      <c r="C843">
        <f>IF(B843="","",MATCH(B843,Pipeline_Calc!$A$2:$A$5251,0))</f>
        <v/>
      </c>
    </row>
    <row r="844">
      <c r="A844" t="n">
        <v>843</v>
      </c>
      <c r="B844">
        <f>IFERROR(SMALL(Pipeline_Calc!$A$2:$A$5251,A844),"")</f>
        <v/>
      </c>
      <c r="C844">
        <f>IF(B844="","",MATCH(B844,Pipeline_Calc!$A$2:$A$5251,0))</f>
        <v/>
      </c>
    </row>
    <row r="845">
      <c r="A845" t="n">
        <v>844</v>
      </c>
      <c r="B845">
        <f>IFERROR(SMALL(Pipeline_Calc!$A$2:$A$5251,A845),"")</f>
        <v/>
      </c>
      <c r="C845">
        <f>IF(B845="","",MATCH(B845,Pipeline_Calc!$A$2:$A$5251,0))</f>
        <v/>
      </c>
    </row>
    <row r="846">
      <c r="A846" t="n">
        <v>845</v>
      </c>
      <c r="B846">
        <f>IFERROR(SMALL(Pipeline_Calc!$A$2:$A$5251,A846),"")</f>
        <v/>
      </c>
      <c r="C846">
        <f>IF(B846="","",MATCH(B846,Pipeline_Calc!$A$2:$A$5251,0))</f>
        <v/>
      </c>
    </row>
    <row r="847">
      <c r="A847" t="n">
        <v>846</v>
      </c>
      <c r="B847">
        <f>IFERROR(SMALL(Pipeline_Calc!$A$2:$A$5251,A847),"")</f>
        <v/>
      </c>
      <c r="C847">
        <f>IF(B847="","",MATCH(B847,Pipeline_Calc!$A$2:$A$5251,0))</f>
        <v/>
      </c>
    </row>
    <row r="848">
      <c r="A848" t="n">
        <v>847</v>
      </c>
      <c r="B848">
        <f>IFERROR(SMALL(Pipeline_Calc!$A$2:$A$5251,A848),"")</f>
        <v/>
      </c>
      <c r="C848">
        <f>IF(B848="","",MATCH(B848,Pipeline_Calc!$A$2:$A$5251,0))</f>
        <v/>
      </c>
    </row>
    <row r="849">
      <c r="A849" t="n">
        <v>848</v>
      </c>
      <c r="B849">
        <f>IFERROR(SMALL(Pipeline_Calc!$A$2:$A$5251,A849),"")</f>
        <v/>
      </c>
      <c r="C849">
        <f>IF(B849="","",MATCH(B849,Pipeline_Calc!$A$2:$A$5251,0))</f>
        <v/>
      </c>
    </row>
    <row r="850">
      <c r="A850" t="n">
        <v>849</v>
      </c>
      <c r="B850">
        <f>IFERROR(SMALL(Pipeline_Calc!$A$2:$A$5251,A850),"")</f>
        <v/>
      </c>
      <c r="C850">
        <f>IF(B850="","",MATCH(B850,Pipeline_Calc!$A$2:$A$5251,0))</f>
        <v/>
      </c>
    </row>
    <row r="851">
      <c r="A851" t="n">
        <v>850</v>
      </c>
      <c r="B851">
        <f>IFERROR(SMALL(Pipeline_Calc!$A$2:$A$5251,A851),"")</f>
        <v/>
      </c>
      <c r="C851">
        <f>IF(B851="","",MATCH(B851,Pipeline_Calc!$A$2:$A$5251,0))</f>
        <v/>
      </c>
    </row>
    <row r="852">
      <c r="A852" t="n">
        <v>851</v>
      </c>
      <c r="B852">
        <f>IFERROR(SMALL(Pipeline_Calc!$A$2:$A$5251,A852),"")</f>
        <v/>
      </c>
      <c r="C852">
        <f>IF(B852="","",MATCH(B852,Pipeline_Calc!$A$2:$A$5251,0))</f>
        <v/>
      </c>
    </row>
    <row r="853">
      <c r="A853" t="n">
        <v>852</v>
      </c>
      <c r="B853">
        <f>IFERROR(SMALL(Pipeline_Calc!$A$2:$A$5251,A853),"")</f>
        <v/>
      </c>
      <c r="C853">
        <f>IF(B853="","",MATCH(B853,Pipeline_Calc!$A$2:$A$5251,0))</f>
        <v/>
      </c>
    </row>
    <row r="854">
      <c r="A854" t="n">
        <v>853</v>
      </c>
      <c r="B854">
        <f>IFERROR(SMALL(Pipeline_Calc!$A$2:$A$5251,A854),"")</f>
        <v/>
      </c>
      <c r="C854">
        <f>IF(B854="","",MATCH(B854,Pipeline_Calc!$A$2:$A$5251,0))</f>
        <v/>
      </c>
    </row>
    <row r="855">
      <c r="A855" t="n">
        <v>854</v>
      </c>
      <c r="B855">
        <f>IFERROR(SMALL(Pipeline_Calc!$A$2:$A$5251,A855),"")</f>
        <v/>
      </c>
      <c r="C855">
        <f>IF(B855="","",MATCH(B855,Pipeline_Calc!$A$2:$A$5251,0))</f>
        <v/>
      </c>
    </row>
    <row r="856">
      <c r="A856" t="n">
        <v>855</v>
      </c>
      <c r="B856">
        <f>IFERROR(SMALL(Pipeline_Calc!$A$2:$A$5251,A856),"")</f>
        <v/>
      </c>
      <c r="C856">
        <f>IF(B856="","",MATCH(B856,Pipeline_Calc!$A$2:$A$5251,0))</f>
        <v/>
      </c>
    </row>
    <row r="857">
      <c r="A857" t="n">
        <v>856</v>
      </c>
      <c r="B857">
        <f>IFERROR(SMALL(Pipeline_Calc!$A$2:$A$5251,A857),"")</f>
        <v/>
      </c>
      <c r="C857">
        <f>IF(B857="","",MATCH(B857,Pipeline_Calc!$A$2:$A$5251,0))</f>
        <v/>
      </c>
    </row>
    <row r="858">
      <c r="A858" t="n">
        <v>857</v>
      </c>
      <c r="B858">
        <f>IFERROR(SMALL(Pipeline_Calc!$A$2:$A$5251,A858),"")</f>
        <v/>
      </c>
      <c r="C858">
        <f>IF(B858="","",MATCH(B858,Pipeline_Calc!$A$2:$A$5251,0))</f>
        <v/>
      </c>
    </row>
    <row r="859">
      <c r="A859" t="n">
        <v>858</v>
      </c>
      <c r="B859">
        <f>IFERROR(SMALL(Pipeline_Calc!$A$2:$A$5251,A859),"")</f>
        <v/>
      </c>
      <c r="C859">
        <f>IF(B859="","",MATCH(B859,Pipeline_Calc!$A$2:$A$5251,0))</f>
        <v/>
      </c>
    </row>
    <row r="860">
      <c r="A860" t="n">
        <v>859</v>
      </c>
      <c r="B860">
        <f>IFERROR(SMALL(Pipeline_Calc!$A$2:$A$5251,A860),"")</f>
        <v/>
      </c>
      <c r="C860">
        <f>IF(B860="","",MATCH(B860,Pipeline_Calc!$A$2:$A$5251,0))</f>
        <v/>
      </c>
    </row>
    <row r="861">
      <c r="A861" t="n">
        <v>860</v>
      </c>
      <c r="B861">
        <f>IFERROR(SMALL(Pipeline_Calc!$A$2:$A$5251,A861),"")</f>
        <v/>
      </c>
      <c r="C861">
        <f>IF(B861="","",MATCH(B861,Pipeline_Calc!$A$2:$A$5251,0))</f>
        <v/>
      </c>
    </row>
    <row r="862">
      <c r="A862" t="n">
        <v>861</v>
      </c>
      <c r="B862">
        <f>IFERROR(SMALL(Pipeline_Calc!$A$2:$A$5251,A862),"")</f>
        <v/>
      </c>
      <c r="C862">
        <f>IF(B862="","",MATCH(B862,Pipeline_Calc!$A$2:$A$5251,0))</f>
        <v/>
      </c>
    </row>
    <row r="863">
      <c r="A863" t="n">
        <v>862</v>
      </c>
      <c r="B863">
        <f>IFERROR(SMALL(Pipeline_Calc!$A$2:$A$5251,A863),"")</f>
        <v/>
      </c>
      <c r="C863">
        <f>IF(B863="","",MATCH(B863,Pipeline_Calc!$A$2:$A$5251,0))</f>
        <v/>
      </c>
    </row>
    <row r="864">
      <c r="A864" t="n">
        <v>863</v>
      </c>
      <c r="B864">
        <f>IFERROR(SMALL(Pipeline_Calc!$A$2:$A$5251,A864),"")</f>
        <v/>
      </c>
      <c r="C864">
        <f>IF(B864="","",MATCH(B864,Pipeline_Calc!$A$2:$A$5251,0))</f>
        <v/>
      </c>
    </row>
    <row r="865">
      <c r="A865" t="n">
        <v>864</v>
      </c>
      <c r="B865">
        <f>IFERROR(SMALL(Pipeline_Calc!$A$2:$A$5251,A865),"")</f>
        <v/>
      </c>
      <c r="C865">
        <f>IF(B865="","",MATCH(B865,Pipeline_Calc!$A$2:$A$5251,0))</f>
        <v/>
      </c>
    </row>
    <row r="866">
      <c r="A866" t="n">
        <v>865</v>
      </c>
      <c r="B866">
        <f>IFERROR(SMALL(Pipeline_Calc!$A$2:$A$5251,A866),"")</f>
        <v/>
      </c>
      <c r="C866">
        <f>IF(B866="","",MATCH(B866,Pipeline_Calc!$A$2:$A$5251,0))</f>
        <v/>
      </c>
    </row>
    <row r="867">
      <c r="A867" t="n">
        <v>866</v>
      </c>
      <c r="B867">
        <f>IFERROR(SMALL(Pipeline_Calc!$A$2:$A$5251,A867),"")</f>
        <v/>
      </c>
      <c r="C867">
        <f>IF(B867="","",MATCH(B867,Pipeline_Calc!$A$2:$A$5251,0))</f>
        <v/>
      </c>
    </row>
    <row r="868">
      <c r="A868" t="n">
        <v>867</v>
      </c>
      <c r="B868">
        <f>IFERROR(SMALL(Pipeline_Calc!$A$2:$A$5251,A868),"")</f>
        <v/>
      </c>
      <c r="C868">
        <f>IF(B868="","",MATCH(B868,Pipeline_Calc!$A$2:$A$5251,0))</f>
        <v/>
      </c>
    </row>
    <row r="869">
      <c r="A869" t="n">
        <v>868</v>
      </c>
      <c r="B869">
        <f>IFERROR(SMALL(Pipeline_Calc!$A$2:$A$5251,A869),"")</f>
        <v/>
      </c>
      <c r="C869">
        <f>IF(B869="","",MATCH(B869,Pipeline_Calc!$A$2:$A$5251,0))</f>
        <v/>
      </c>
    </row>
    <row r="870">
      <c r="A870" t="n">
        <v>869</v>
      </c>
      <c r="B870">
        <f>IFERROR(SMALL(Pipeline_Calc!$A$2:$A$5251,A870),"")</f>
        <v/>
      </c>
      <c r="C870">
        <f>IF(B870="","",MATCH(B870,Pipeline_Calc!$A$2:$A$5251,0))</f>
        <v/>
      </c>
    </row>
    <row r="871">
      <c r="A871" t="n">
        <v>870</v>
      </c>
      <c r="B871">
        <f>IFERROR(SMALL(Pipeline_Calc!$A$2:$A$5251,A871),"")</f>
        <v/>
      </c>
      <c r="C871">
        <f>IF(B871="","",MATCH(B871,Pipeline_Calc!$A$2:$A$5251,0))</f>
        <v/>
      </c>
    </row>
    <row r="872">
      <c r="A872" t="n">
        <v>871</v>
      </c>
      <c r="B872">
        <f>IFERROR(SMALL(Pipeline_Calc!$A$2:$A$5251,A872),"")</f>
        <v/>
      </c>
      <c r="C872">
        <f>IF(B872="","",MATCH(B872,Pipeline_Calc!$A$2:$A$5251,0))</f>
        <v/>
      </c>
    </row>
    <row r="873">
      <c r="A873" t="n">
        <v>872</v>
      </c>
      <c r="B873">
        <f>IFERROR(SMALL(Pipeline_Calc!$A$2:$A$5251,A873),"")</f>
        <v/>
      </c>
      <c r="C873">
        <f>IF(B873="","",MATCH(B873,Pipeline_Calc!$A$2:$A$5251,0))</f>
        <v/>
      </c>
    </row>
    <row r="874">
      <c r="A874" t="n">
        <v>873</v>
      </c>
      <c r="B874">
        <f>IFERROR(SMALL(Pipeline_Calc!$A$2:$A$5251,A874),"")</f>
        <v/>
      </c>
      <c r="C874">
        <f>IF(B874="","",MATCH(B874,Pipeline_Calc!$A$2:$A$5251,0))</f>
        <v/>
      </c>
    </row>
    <row r="875">
      <c r="A875" t="n">
        <v>874</v>
      </c>
      <c r="B875">
        <f>IFERROR(SMALL(Pipeline_Calc!$A$2:$A$5251,A875),"")</f>
        <v/>
      </c>
      <c r="C875">
        <f>IF(B875="","",MATCH(B875,Pipeline_Calc!$A$2:$A$5251,0))</f>
        <v/>
      </c>
    </row>
    <row r="876">
      <c r="A876" t="n">
        <v>875</v>
      </c>
      <c r="B876">
        <f>IFERROR(SMALL(Pipeline_Calc!$A$2:$A$5251,A876),"")</f>
        <v/>
      </c>
      <c r="C876">
        <f>IF(B876="","",MATCH(B876,Pipeline_Calc!$A$2:$A$5251,0))</f>
        <v/>
      </c>
    </row>
    <row r="877">
      <c r="A877" t="n">
        <v>876</v>
      </c>
      <c r="B877">
        <f>IFERROR(SMALL(Pipeline_Calc!$A$2:$A$5251,A877),"")</f>
        <v/>
      </c>
      <c r="C877">
        <f>IF(B877="","",MATCH(B877,Pipeline_Calc!$A$2:$A$5251,0))</f>
        <v/>
      </c>
    </row>
    <row r="878">
      <c r="A878" t="n">
        <v>877</v>
      </c>
      <c r="B878">
        <f>IFERROR(SMALL(Pipeline_Calc!$A$2:$A$5251,A878),"")</f>
        <v/>
      </c>
      <c r="C878">
        <f>IF(B878="","",MATCH(B878,Pipeline_Calc!$A$2:$A$5251,0))</f>
        <v/>
      </c>
    </row>
    <row r="879">
      <c r="A879" t="n">
        <v>878</v>
      </c>
      <c r="B879">
        <f>IFERROR(SMALL(Pipeline_Calc!$A$2:$A$5251,A879),"")</f>
        <v/>
      </c>
      <c r="C879">
        <f>IF(B879="","",MATCH(B879,Pipeline_Calc!$A$2:$A$5251,0))</f>
        <v/>
      </c>
    </row>
    <row r="880">
      <c r="A880" t="n">
        <v>879</v>
      </c>
      <c r="B880">
        <f>IFERROR(SMALL(Pipeline_Calc!$A$2:$A$5251,A880),"")</f>
        <v/>
      </c>
      <c r="C880">
        <f>IF(B880="","",MATCH(B880,Pipeline_Calc!$A$2:$A$5251,0))</f>
        <v/>
      </c>
    </row>
    <row r="881">
      <c r="A881" t="n">
        <v>880</v>
      </c>
      <c r="B881">
        <f>IFERROR(SMALL(Pipeline_Calc!$A$2:$A$5251,A881),"")</f>
        <v/>
      </c>
      <c r="C881">
        <f>IF(B881="","",MATCH(B881,Pipeline_Calc!$A$2:$A$5251,0))</f>
        <v/>
      </c>
    </row>
    <row r="882">
      <c r="A882" t="n">
        <v>881</v>
      </c>
      <c r="B882">
        <f>IFERROR(SMALL(Pipeline_Calc!$A$2:$A$5251,A882),"")</f>
        <v/>
      </c>
      <c r="C882">
        <f>IF(B882="","",MATCH(B882,Pipeline_Calc!$A$2:$A$5251,0))</f>
        <v/>
      </c>
    </row>
    <row r="883">
      <c r="A883" t="n">
        <v>882</v>
      </c>
      <c r="B883">
        <f>IFERROR(SMALL(Pipeline_Calc!$A$2:$A$5251,A883),"")</f>
        <v/>
      </c>
      <c r="C883">
        <f>IF(B883="","",MATCH(B883,Pipeline_Calc!$A$2:$A$5251,0))</f>
        <v/>
      </c>
    </row>
    <row r="884">
      <c r="A884" t="n">
        <v>883</v>
      </c>
      <c r="B884">
        <f>IFERROR(SMALL(Pipeline_Calc!$A$2:$A$5251,A884),"")</f>
        <v/>
      </c>
      <c r="C884">
        <f>IF(B884="","",MATCH(B884,Pipeline_Calc!$A$2:$A$5251,0))</f>
        <v/>
      </c>
    </row>
    <row r="885">
      <c r="A885" t="n">
        <v>884</v>
      </c>
      <c r="B885">
        <f>IFERROR(SMALL(Pipeline_Calc!$A$2:$A$5251,A885),"")</f>
        <v/>
      </c>
      <c r="C885">
        <f>IF(B885="","",MATCH(B885,Pipeline_Calc!$A$2:$A$5251,0))</f>
        <v/>
      </c>
    </row>
    <row r="886">
      <c r="A886" t="n">
        <v>885</v>
      </c>
      <c r="B886">
        <f>IFERROR(SMALL(Pipeline_Calc!$A$2:$A$5251,A886),"")</f>
        <v/>
      </c>
      <c r="C886">
        <f>IF(B886="","",MATCH(B886,Pipeline_Calc!$A$2:$A$5251,0))</f>
        <v/>
      </c>
    </row>
    <row r="887">
      <c r="A887" t="n">
        <v>886</v>
      </c>
      <c r="B887">
        <f>IFERROR(SMALL(Pipeline_Calc!$A$2:$A$5251,A887),"")</f>
        <v/>
      </c>
      <c r="C887">
        <f>IF(B887="","",MATCH(B887,Pipeline_Calc!$A$2:$A$5251,0))</f>
        <v/>
      </c>
    </row>
    <row r="888">
      <c r="A888" t="n">
        <v>887</v>
      </c>
      <c r="B888">
        <f>IFERROR(SMALL(Pipeline_Calc!$A$2:$A$5251,A888),"")</f>
        <v/>
      </c>
      <c r="C888">
        <f>IF(B888="","",MATCH(B888,Pipeline_Calc!$A$2:$A$5251,0))</f>
        <v/>
      </c>
    </row>
    <row r="889">
      <c r="A889" t="n">
        <v>888</v>
      </c>
      <c r="B889">
        <f>IFERROR(SMALL(Pipeline_Calc!$A$2:$A$5251,A889),"")</f>
        <v/>
      </c>
      <c r="C889">
        <f>IF(B889="","",MATCH(B889,Pipeline_Calc!$A$2:$A$5251,0))</f>
        <v/>
      </c>
    </row>
    <row r="890">
      <c r="A890" t="n">
        <v>889</v>
      </c>
      <c r="B890">
        <f>IFERROR(SMALL(Pipeline_Calc!$A$2:$A$5251,A890),"")</f>
        <v/>
      </c>
      <c r="C890">
        <f>IF(B890="","",MATCH(B890,Pipeline_Calc!$A$2:$A$5251,0))</f>
        <v/>
      </c>
    </row>
    <row r="891">
      <c r="A891" t="n">
        <v>890</v>
      </c>
      <c r="B891">
        <f>IFERROR(SMALL(Pipeline_Calc!$A$2:$A$5251,A891),"")</f>
        <v/>
      </c>
      <c r="C891">
        <f>IF(B891="","",MATCH(B891,Pipeline_Calc!$A$2:$A$5251,0))</f>
        <v/>
      </c>
    </row>
    <row r="892">
      <c r="A892" t="n">
        <v>891</v>
      </c>
      <c r="B892">
        <f>IFERROR(SMALL(Pipeline_Calc!$A$2:$A$5251,A892),"")</f>
        <v/>
      </c>
      <c r="C892">
        <f>IF(B892="","",MATCH(B892,Pipeline_Calc!$A$2:$A$5251,0))</f>
        <v/>
      </c>
    </row>
    <row r="893">
      <c r="A893" t="n">
        <v>892</v>
      </c>
      <c r="B893">
        <f>IFERROR(SMALL(Pipeline_Calc!$A$2:$A$5251,A893),"")</f>
        <v/>
      </c>
      <c r="C893">
        <f>IF(B893="","",MATCH(B893,Pipeline_Calc!$A$2:$A$5251,0))</f>
        <v/>
      </c>
    </row>
    <row r="894">
      <c r="A894" t="n">
        <v>893</v>
      </c>
      <c r="B894">
        <f>IFERROR(SMALL(Pipeline_Calc!$A$2:$A$5251,A894),"")</f>
        <v/>
      </c>
      <c r="C894">
        <f>IF(B894="","",MATCH(B894,Pipeline_Calc!$A$2:$A$5251,0))</f>
        <v/>
      </c>
    </row>
    <row r="895">
      <c r="A895" t="n">
        <v>894</v>
      </c>
      <c r="B895">
        <f>IFERROR(SMALL(Pipeline_Calc!$A$2:$A$5251,A895),"")</f>
        <v/>
      </c>
      <c r="C895">
        <f>IF(B895="","",MATCH(B895,Pipeline_Calc!$A$2:$A$5251,0))</f>
        <v/>
      </c>
    </row>
    <row r="896">
      <c r="A896" t="n">
        <v>895</v>
      </c>
      <c r="B896">
        <f>IFERROR(SMALL(Pipeline_Calc!$A$2:$A$5251,A896),"")</f>
        <v/>
      </c>
      <c r="C896">
        <f>IF(B896="","",MATCH(B896,Pipeline_Calc!$A$2:$A$5251,0))</f>
        <v/>
      </c>
    </row>
    <row r="897">
      <c r="A897" t="n">
        <v>896</v>
      </c>
      <c r="B897">
        <f>IFERROR(SMALL(Pipeline_Calc!$A$2:$A$5251,A897),"")</f>
        <v/>
      </c>
      <c r="C897">
        <f>IF(B897="","",MATCH(B897,Pipeline_Calc!$A$2:$A$5251,0))</f>
        <v/>
      </c>
    </row>
    <row r="898">
      <c r="A898" t="n">
        <v>897</v>
      </c>
      <c r="B898">
        <f>IFERROR(SMALL(Pipeline_Calc!$A$2:$A$5251,A898),"")</f>
        <v/>
      </c>
      <c r="C898">
        <f>IF(B898="","",MATCH(B898,Pipeline_Calc!$A$2:$A$5251,0))</f>
        <v/>
      </c>
    </row>
    <row r="899">
      <c r="A899" t="n">
        <v>898</v>
      </c>
      <c r="B899">
        <f>IFERROR(SMALL(Pipeline_Calc!$A$2:$A$5251,A899),"")</f>
        <v/>
      </c>
      <c r="C899">
        <f>IF(B899="","",MATCH(B899,Pipeline_Calc!$A$2:$A$5251,0))</f>
        <v/>
      </c>
    </row>
    <row r="900">
      <c r="A900" t="n">
        <v>899</v>
      </c>
      <c r="B900">
        <f>IFERROR(SMALL(Pipeline_Calc!$A$2:$A$5251,A900),"")</f>
        <v/>
      </c>
      <c r="C900">
        <f>IF(B900="","",MATCH(B900,Pipeline_Calc!$A$2:$A$5251,0))</f>
        <v/>
      </c>
    </row>
    <row r="901">
      <c r="A901" t="n">
        <v>900</v>
      </c>
      <c r="B901">
        <f>IFERROR(SMALL(Pipeline_Calc!$A$2:$A$5251,A901),"")</f>
        <v/>
      </c>
      <c r="C901">
        <f>IF(B901="","",MATCH(B901,Pipeline_Calc!$A$2:$A$5251,0))</f>
        <v/>
      </c>
    </row>
    <row r="902">
      <c r="A902" t="n">
        <v>901</v>
      </c>
      <c r="B902">
        <f>IFERROR(SMALL(Pipeline_Calc!$A$2:$A$5251,A902),"")</f>
        <v/>
      </c>
      <c r="C902">
        <f>IF(B902="","",MATCH(B902,Pipeline_Calc!$A$2:$A$5251,0))</f>
        <v/>
      </c>
    </row>
    <row r="903">
      <c r="A903" t="n">
        <v>902</v>
      </c>
      <c r="B903">
        <f>IFERROR(SMALL(Pipeline_Calc!$A$2:$A$5251,A903),"")</f>
        <v/>
      </c>
      <c r="C903">
        <f>IF(B903="","",MATCH(B903,Pipeline_Calc!$A$2:$A$5251,0))</f>
        <v/>
      </c>
    </row>
    <row r="904">
      <c r="A904" t="n">
        <v>903</v>
      </c>
      <c r="B904">
        <f>IFERROR(SMALL(Pipeline_Calc!$A$2:$A$5251,A904),"")</f>
        <v/>
      </c>
      <c r="C904">
        <f>IF(B904="","",MATCH(B904,Pipeline_Calc!$A$2:$A$5251,0))</f>
        <v/>
      </c>
    </row>
    <row r="905">
      <c r="A905" t="n">
        <v>904</v>
      </c>
      <c r="B905">
        <f>IFERROR(SMALL(Pipeline_Calc!$A$2:$A$5251,A905),"")</f>
        <v/>
      </c>
      <c r="C905">
        <f>IF(B905="","",MATCH(B905,Pipeline_Calc!$A$2:$A$5251,0))</f>
        <v/>
      </c>
    </row>
    <row r="906">
      <c r="A906" t="n">
        <v>905</v>
      </c>
      <c r="B906">
        <f>IFERROR(SMALL(Pipeline_Calc!$A$2:$A$5251,A906),"")</f>
        <v/>
      </c>
      <c r="C906">
        <f>IF(B906="","",MATCH(B906,Pipeline_Calc!$A$2:$A$5251,0))</f>
        <v/>
      </c>
    </row>
    <row r="907">
      <c r="A907" t="n">
        <v>906</v>
      </c>
      <c r="B907">
        <f>IFERROR(SMALL(Pipeline_Calc!$A$2:$A$5251,A907),"")</f>
        <v/>
      </c>
      <c r="C907">
        <f>IF(B907="","",MATCH(B907,Pipeline_Calc!$A$2:$A$5251,0))</f>
        <v/>
      </c>
    </row>
    <row r="908">
      <c r="A908" t="n">
        <v>907</v>
      </c>
      <c r="B908">
        <f>IFERROR(SMALL(Pipeline_Calc!$A$2:$A$5251,A908),"")</f>
        <v/>
      </c>
      <c r="C908">
        <f>IF(B908="","",MATCH(B908,Pipeline_Calc!$A$2:$A$5251,0))</f>
        <v/>
      </c>
    </row>
    <row r="909">
      <c r="A909" t="n">
        <v>908</v>
      </c>
      <c r="B909">
        <f>IFERROR(SMALL(Pipeline_Calc!$A$2:$A$5251,A909),"")</f>
        <v/>
      </c>
      <c r="C909">
        <f>IF(B909="","",MATCH(B909,Pipeline_Calc!$A$2:$A$5251,0))</f>
        <v/>
      </c>
    </row>
    <row r="910">
      <c r="A910" t="n">
        <v>909</v>
      </c>
      <c r="B910">
        <f>IFERROR(SMALL(Pipeline_Calc!$A$2:$A$5251,A910),"")</f>
        <v/>
      </c>
      <c r="C910">
        <f>IF(B910="","",MATCH(B910,Pipeline_Calc!$A$2:$A$5251,0))</f>
        <v/>
      </c>
    </row>
    <row r="911">
      <c r="A911" t="n">
        <v>910</v>
      </c>
      <c r="B911">
        <f>IFERROR(SMALL(Pipeline_Calc!$A$2:$A$5251,A911),"")</f>
        <v/>
      </c>
      <c r="C911">
        <f>IF(B911="","",MATCH(B911,Pipeline_Calc!$A$2:$A$5251,0))</f>
        <v/>
      </c>
    </row>
    <row r="912">
      <c r="A912" t="n">
        <v>911</v>
      </c>
      <c r="B912">
        <f>IFERROR(SMALL(Pipeline_Calc!$A$2:$A$5251,A912),"")</f>
        <v/>
      </c>
      <c r="C912">
        <f>IF(B912="","",MATCH(B912,Pipeline_Calc!$A$2:$A$5251,0))</f>
        <v/>
      </c>
    </row>
    <row r="913">
      <c r="A913" t="n">
        <v>912</v>
      </c>
      <c r="B913">
        <f>IFERROR(SMALL(Pipeline_Calc!$A$2:$A$5251,A913),"")</f>
        <v/>
      </c>
      <c r="C913">
        <f>IF(B913="","",MATCH(B913,Pipeline_Calc!$A$2:$A$5251,0))</f>
        <v/>
      </c>
    </row>
    <row r="914">
      <c r="A914" t="n">
        <v>913</v>
      </c>
      <c r="B914">
        <f>IFERROR(SMALL(Pipeline_Calc!$A$2:$A$5251,A914),"")</f>
        <v/>
      </c>
      <c r="C914">
        <f>IF(B914="","",MATCH(B914,Pipeline_Calc!$A$2:$A$5251,0))</f>
        <v/>
      </c>
    </row>
    <row r="915">
      <c r="A915" t="n">
        <v>914</v>
      </c>
      <c r="B915">
        <f>IFERROR(SMALL(Pipeline_Calc!$A$2:$A$5251,A915),"")</f>
        <v/>
      </c>
      <c r="C915">
        <f>IF(B915="","",MATCH(B915,Pipeline_Calc!$A$2:$A$5251,0))</f>
        <v/>
      </c>
    </row>
    <row r="916">
      <c r="A916" t="n">
        <v>915</v>
      </c>
      <c r="B916">
        <f>IFERROR(SMALL(Pipeline_Calc!$A$2:$A$5251,A916),"")</f>
        <v/>
      </c>
      <c r="C916">
        <f>IF(B916="","",MATCH(B916,Pipeline_Calc!$A$2:$A$5251,0))</f>
        <v/>
      </c>
    </row>
    <row r="917">
      <c r="A917" t="n">
        <v>916</v>
      </c>
      <c r="B917">
        <f>IFERROR(SMALL(Pipeline_Calc!$A$2:$A$5251,A917),"")</f>
        <v/>
      </c>
      <c r="C917">
        <f>IF(B917="","",MATCH(B917,Pipeline_Calc!$A$2:$A$5251,0))</f>
        <v/>
      </c>
    </row>
    <row r="918">
      <c r="A918" t="n">
        <v>917</v>
      </c>
      <c r="B918">
        <f>IFERROR(SMALL(Pipeline_Calc!$A$2:$A$5251,A918),"")</f>
        <v/>
      </c>
      <c r="C918">
        <f>IF(B918="","",MATCH(B918,Pipeline_Calc!$A$2:$A$5251,0))</f>
        <v/>
      </c>
    </row>
    <row r="919">
      <c r="A919" t="n">
        <v>918</v>
      </c>
      <c r="B919">
        <f>IFERROR(SMALL(Pipeline_Calc!$A$2:$A$5251,A919),"")</f>
        <v/>
      </c>
      <c r="C919">
        <f>IF(B919="","",MATCH(B919,Pipeline_Calc!$A$2:$A$5251,0))</f>
        <v/>
      </c>
    </row>
    <row r="920">
      <c r="A920" t="n">
        <v>919</v>
      </c>
      <c r="B920">
        <f>IFERROR(SMALL(Pipeline_Calc!$A$2:$A$5251,A920),"")</f>
        <v/>
      </c>
      <c r="C920">
        <f>IF(B920="","",MATCH(B920,Pipeline_Calc!$A$2:$A$5251,0))</f>
        <v/>
      </c>
    </row>
    <row r="921">
      <c r="A921" t="n">
        <v>920</v>
      </c>
      <c r="B921">
        <f>IFERROR(SMALL(Pipeline_Calc!$A$2:$A$5251,A921),"")</f>
        <v/>
      </c>
      <c r="C921">
        <f>IF(B921="","",MATCH(B921,Pipeline_Calc!$A$2:$A$5251,0))</f>
        <v/>
      </c>
    </row>
    <row r="922">
      <c r="A922" t="n">
        <v>921</v>
      </c>
      <c r="B922">
        <f>IFERROR(SMALL(Pipeline_Calc!$A$2:$A$5251,A922),"")</f>
        <v/>
      </c>
      <c r="C922">
        <f>IF(B922="","",MATCH(B922,Pipeline_Calc!$A$2:$A$5251,0))</f>
        <v/>
      </c>
    </row>
    <row r="923">
      <c r="A923" t="n">
        <v>922</v>
      </c>
      <c r="B923">
        <f>IFERROR(SMALL(Pipeline_Calc!$A$2:$A$5251,A923),"")</f>
        <v/>
      </c>
      <c r="C923">
        <f>IF(B923="","",MATCH(B923,Pipeline_Calc!$A$2:$A$5251,0))</f>
        <v/>
      </c>
    </row>
    <row r="924">
      <c r="A924" t="n">
        <v>923</v>
      </c>
      <c r="B924">
        <f>IFERROR(SMALL(Pipeline_Calc!$A$2:$A$5251,A924),"")</f>
        <v/>
      </c>
      <c r="C924">
        <f>IF(B924="","",MATCH(B924,Pipeline_Calc!$A$2:$A$5251,0))</f>
        <v/>
      </c>
    </row>
    <row r="925">
      <c r="A925" t="n">
        <v>924</v>
      </c>
      <c r="B925">
        <f>IFERROR(SMALL(Pipeline_Calc!$A$2:$A$5251,A925),"")</f>
        <v/>
      </c>
      <c r="C925">
        <f>IF(B925="","",MATCH(B925,Pipeline_Calc!$A$2:$A$5251,0))</f>
        <v/>
      </c>
    </row>
    <row r="926">
      <c r="A926" t="n">
        <v>925</v>
      </c>
      <c r="B926">
        <f>IFERROR(SMALL(Pipeline_Calc!$A$2:$A$5251,A926),"")</f>
        <v/>
      </c>
      <c r="C926">
        <f>IF(B926="","",MATCH(B926,Pipeline_Calc!$A$2:$A$5251,0))</f>
        <v/>
      </c>
    </row>
    <row r="927">
      <c r="A927" t="n">
        <v>926</v>
      </c>
      <c r="B927">
        <f>IFERROR(SMALL(Pipeline_Calc!$A$2:$A$5251,A927),"")</f>
        <v/>
      </c>
      <c r="C927">
        <f>IF(B927="","",MATCH(B927,Pipeline_Calc!$A$2:$A$5251,0))</f>
        <v/>
      </c>
    </row>
    <row r="928">
      <c r="A928" t="n">
        <v>927</v>
      </c>
      <c r="B928">
        <f>IFERROR(SMALL(Pipeline_Calc!$A$2:$A$5251,A928),"")</f>
        <v/>
      </c>
      <c r="C928">
        <f>IF(B928="","",MATCH(B928,Pipeline_Calc!$A$2:$A$5251,0))</f>
        <v/>
      </c>
    </row>
    <row r="929">
      <c r="A929" t="n">
        <v>928</v>
      </c>
      <c r="B929">
        <f>IFERROR(SMALL(Pipeline_Calc!$A$2:$A$5251,A929),"")</f>
        <v/>
      </c>
      <c r="C929">
        <f>IF(B929="","",MATCH(B929,Pipeline_Calc!$A$2:$A$5251,0))</f>
        <v/>
      </c>
    </row>
    <row r="930">
      <c r="A930" t="n">
        <v>929</v>
      </c>
      <c r="B930">
        <f>IFERROR(SMALL(Pipeline_Calc!$A$2:$A$5251,A930),"")</f>
        <v/>
      </c>
      <c r="C930">
        <f>IF(B930="","",MATCH(B930,Pipeline_Calc!$A$2:$A$5251,0))</f>
        <v/>
      </c>
    </row>
    <row r="931">
      <c r="A931" t="n">
        <v>930</v>
      </c>
      <c r="B931">
        <f>IFERROR(SMALL(Pipeline_Calc!$A$2:$A$5251,A931),"")</f>
        <v/>
      </c>
      <c r="C931">
        <f>IF(B931="","",MATCH(B931,Pipeline_Calc!$A$2:$A$5251,0))</f>
        <v/>
      </c>
    </row>
    <row r="932">
      <c r="A932" t="n">
        <v>931</v>
      </c>
      <c r="B932">
        <f>IFERROR(SMALL(Pipeline_Calc!$A$2:$A$5251,A932),"")</f>
        <v/>
      </c>
      <c r="C932">
        <f>IF(B932="","",MATCH(B932,Pipeline_Calc!$A$2:$A$5251,0))</f>
        <v/>
      </c>
    </row>
    <row r="933">
      <c r="A933" t="n">
        <v>932</v>
      </c>
      <c r="B933">
        <f>IFERROR(SMALL(Pipeline_Calc!$A$2:$A$5251,A933),"")</f>
        <v/>
      </c>
      <c r="C933">
        <f>IF(B933="","",MATCH(B933,Pipeline_Calc!$A$2:$A$5251,0))</f>
        <v/>
      </c>
    </row>
    <row r="934">
      <c r="A934" t="n">
        <v>933</v>
      </c>
      <c r="B934">
        <f>IFERROR(SMALL(Pipeline_Calc!$A$2:$A$5251,A934),"")</f>
        <v/>
      </c>
      <c r="C934">
        <f>IF(B934="","",MATCH(B934,Pipeline_Calc!$A$2:$A$5251,0))</f>
        <v/>
      </c>
    </row>
    <row r="935">
      <c r="A935" t="n">
        <v>934</v>
      </c>
      <c r="B935">
        <f>IFERROR(SMALL(Pipeline_Calc!$A$2:$A$5251,A935),"")</f>
        <v/>
      </c>
      <c r="C935">
        <f>IF(B935="","",MATCH(B935,Pipeline_Calc!$A$2:$A$5251,0))</f>
        <v/>
      </c>
    </row>
    <row r="936">
      <c r="A936" t="n">
        <v>935</v>
      </c>
      <c r="B936">
        <f>IFERROR(SMALL(Pipeline_Calc!$A$2:$A$5251,A936),"")</f>
        <v/>
      </c>
      <c r="C936">
        <f>IF(B936="","",MATCH(B936,Pipeline_Calc!$A$2:$A$5251,0))</f>
        <v/>
      </c>
    </row>
    <row r="937">
      <c r="A937" t="n">
        <v>936</v>
      </c>
      <c r="B937">
        <f>IFERROR(SMALL(Pipeline_Calc!$A$2:$A$5251,A937),"")</f>
        <v/>
      </c>
      <c r="C937">
        <f>IF(B937="","",MATCH(B937,Pipeline_Calc!$A$2:$A$5251,0))</f>
        <v/>
      </c>
    </row>
    <row r="938">
      <c r="A938" t="n">
        <v>937</v>
      </c>
      <c r="B938">
        <f>IFERROR(SMALL(Pipeline_Calc!$A$2:$A$5251,A938),"")</f>
        <v/>
      </c>
      <c r="C938">
        <f>IF(B938="","",MATCH(B938,Pipeline_Calc!$A$2:$A$5251,0))</f>
        <v/>
      </c>
    </row>
    <row r="939">
      <c r="A939" t="n">
        <v>938</v>
      </c>
      <c r="B939">
        <f>IFERROR(SMALL(Pipeline_Calc!$A$2:$A$5251,A939),"")</f>
        <v/>
      </c>
      <c r="C939">
        <f>IF(B939="","",MATCH(B939,Pipeline_Calc!$A$2:$A$5251,0))</f>
        <v/>
      </c>
    </row>
    <row r="940">
      <c r="A940" t="n">
        <v>939</v>
      </c>
      <c r="B940">
        <f>IFERROR(SMALL(Pipeline_Calc!$A$2:$A$5251,A940),"")</f>
        <v/>
      </c>
      <c r="C940">
        <f>IF(B940="","",MATCH(B940,Pipeline_Calc!$A$2:$A$5251,0))</f>
        <v/>
      </c>
    </row>
    <row r="941">
      <c r="A941" t="n">
        <v>940</v>
      </c>
      <c r="B941">
        <f>IFERROR(SMALL(Pipeline_Calc!$A$2:$A$5251,A941),"")</f>
        <v/>
      </c>
      <c r="C941">
        <f>IF(B941="","",MATCH(B941,Pipeline_Calc!$A$2:$A$5251,0))</f>
        <v/>
      </c>
    </row>
    <row r="942">
      <c r="A942" t="n">
        <v>941</v>
      </c>
      <c r="B942">
        <f>IFERROR(SMALL(Pipeline_Calc!$A$2:$A$5251,A942),"")</f>
        <v/>
      </c>
      <c r="C942">
        <f>IF(B942="","",MATCH(B942,Pipeline_Calc!$A$2:$A$5251,0))</f>
        <v/>
      </c>
    </row>
    <row r="943">
      <c r="A943" t="n">
        <v>942</v>
      </c>
      <c r="B943">
        <f>IFERROR(SMALL(Pipeline_Calc!$A$2:$A$5251,A943),"")</f>
        <v/>
      </c>
      <c r="C943">
        <f>IF(B943="","",MATCH(B943,Pipeline_Calc!$A$2:$A$5251,0))</f>
        <v/>
      </c>
    </row>
    <row r="944">
      <c r="A944" t="n">
        <v>943</v>
      </c>
      <c r="B944">
        <f>IFERROR(SMALL(Pipeline_Calc!$A$2:$A$5251,A944),"")</f>
        <v/>
      </c>
      <c r="C944">
        <f>IF(B944="","",MATCH(B944,Pipeline_Calc!$A$2:$A$5251,0))</f>
        <v/>
      </c>
    </row>
    <row r="945">
      <c r="A945" t="n">
        <v>944</v>
      </c>
      <c r="B945">
        <f>IFERROR(SMALL(Pipeline_Calc!$A$2:$A$5251,A945),"")</f>
        <v/>
      </c>
      <c r="C945">
        <f>IF(B945="","",MATCH(B945,Pipeline_Calc!$A$2:$A$5251,0))</f>
        <v/>
      </c>
    </row>
    <row r="946">
      <c r="A946" t="n">
        <v>945</v>
      </c>
      <c r="B946">
        <f>IFERROR(SMALL(Pipeline_Calc!$A$2:$A$5251,A946),"")</f>
        <v/>
      </c>
      <c r="C946">
        <f>IF(B946="","",MATCH(B946,Pipeline_Calc!$A$2:$A$5251,0))</f>
        <v/>
      </c>
    </row>
    <row r="947">
      <c r="A947" t="n">
        <v>946</v>
      </c>
      <c r="B947">
        <f>IFERROR(SMALL(Pipeline_Calc!$A$2:$A$5251,A947),"")</f>
        <v/>
      </c>
      <c r="C947">
        <f>IF(B947="","",MATCH(B947,Pipeline_Calc!$A$2:$A$5251,0))</f>
        <v/>
      </c>
    </row>
    <row r="948">
      <c r="A948" t="n">
        <v>947</v>
      </c>
      <c r="B948">
        <f>IFERROR(SMALL(Pipeline_Calc!$A$2:$A$5251,A948),"")</f>
        <v/>
      </c>
      <c r="C948">
        <f>IF(B948="","",MATCH(B948,Pipeline_Calc!$A$2:$A$5251,0))</f>
        <v/>
      </c>
    </row>
    <row r="949">
      <c r="A949" t="n">
        <v>948</v>
      </c>
      <c r="B949">
        <f>IFERROR(SMALL(Pipeline_Calc!$A$2:$A$5251,A949),"")</f>
        <v/>
      </c>
      <c r="C949">
        <f>IF(B949="","",MATCH(B949,Pipeline_Calc!$A$2:$A$5251,0))</f>
        <v/>
      </c>
    </row>
    <row r="950">
      <c r="A950" t="n">
        <v>949</v>
      </c>
      <c r="B950">
        <f>IFERROR(SMALL(Pipeline_Calc!$A$2:$A$5251,A950),"")</f>
        <v/>
      </c>
      <c r="C950">
        <f>IF(B950="","",MATCH(B950,Pipeline_Calc!$A$2:$A$5251,0))</f>
        <v/>
      </c>
    </row>
    <row r="951">
      <c r="A951" t="n">
        <v>950</v>
      </c>
      <c r="B951">
        <f>IFERROR(SMALL(Pipeline_Calc!$A$2:$A$5251,A951),"")</f>
        <v/>
      </c>
      <c r="C951">
        <f>IF(B951="","",MATCH(B951,Pipeline_Calc!$A$2:$A$5251,0))</f>
        <v/>
      </c>
    </row>
    <row r="952">
      <c r="A952" t="n">
        <v>951</v>
      </c>
      <c r="B952">
        <f>IFERROR(SMALL(Pipeline_Calc!$A$2:$A$5251,A952),"")</f>
        <v/>
      </c>
      <c r="C952">
        <f>IF(B952="","",MATCH(B952,Pipeline_Calc!$A$2:$A$5251,0))</f>
        <v/>
      </c>
    </row>
    <row r="953">
      <c r="A953" t="n">
        <v>952</v>
      </c>
      <c r="B953">
        <f>IFERROR(SMALL(Pipeline_Calc!$A$2:$A$5251,A953),"")</f>
        <v/>
      </c>
      <c r="C953">
        <f>IF(B953="","",MATCH(B953,Pipeline_Calc!$A$2:$A$5251,0))</f>
        <v/>
      </c>
    </row>
    <row r="954">
      <c r="A954" t="n">
        <v>953</v>
      </c>
      <c r="B954">
        <f>IFERROR(SMALL(Pipeline_Calc!$A$2:$A$5251,A954),"")</f>
        <v/>
      </c>
      <c r="C954">
        <f>IF(B954="","",MATCH(B954,Pipeline_Calc!$A$2:$A$5251,0))</f>
        <v/>
      </c>
    </row>
    <row r="955">
      <c r="A955" t="n">
        <v>954</v>
      </c>
      <c r="B955">
        <f>IFERROR(SMALL(Pipeline_Calc!$A$2:$A$5251,A955),"")</f>
        <v/>
      </c>
      <c r="C955">
        <f>IF(B955="","",MATCH(B955,Pipeline_Calc!$A$2:$A$5251,0))</f>
        <v/>
      </c>
    </row>
    <row r="956">
      <c r="A956" t="n">
        <v>955</v>
      </c>
      <c r="B956">
        <f>IFERROR(SMALL(Pipeline_Calc!$A$2:$A$5251,A956),"")</f>
        <v/>
      </c>
      <c r="C956">
        <f>IF(B956="","",MATCH(B956,Pipeline_Calc!$A$2:$A$5251,0))</f>
        <v/>
      </c>
    </row>
    <row r="957">
      <c r="A957" t="n">
        <v>956</v>
      </c>
      <c r="B957">
        <f>IFERROR(SMALL(Pipeline_Calc!$A$2:$A$5251,A957),"")</f>
        <v/>
      </c>
      <c r="C957">
        <f>IF(B957="","",MATCH(B957,Pipeline_Calc!$A$2:$A$5251,0))</f>
        <v/>
      </c>
    </row>
    <row r="958">
      <c r="A958" t="n">
        <v>957</v>
      </c>
      <c r="B958">
        <f>IFERROR(SMALL(Pipeline_Calc!$A$2:$A$5251,A958),"")</f>
        <v/>
      </c>
      <c r="C958">
        <f>IF(B958="","",MATCH(B958,Pipeline_Calc!$A$2:$A$5251,0))</f>
        <v/>
      </c>
    </row>
    <row r="959">
      <c r="A959" t="n">
        <v>958</v>
      </c>
      <c r="B959">
        <f>IFERROR(SMALL(Pipeline_Calc!$A$2:$A$5251,A959),"")</f>
        <v/>
      </c>
      <c r="C959">
        <f>IF(B959="","",MATCH(B959,Pipeline_Calc!$A$2:$A$5251,0))</f>
        <v/>
      </c>
    </row>
    <row r="960">
      <c r="A960" t="n">
        <v>959</v>
      </c>
      <c r="B960">
        <f>IFERROR(SMALL(Pipeline_Calc!$A$2:$A$5251,A960),"")</f>
        <v/>
      </c>
      <c r="C960">
        <f>IF(B960="","",MATCH(B960,Pipeline_Calc!$A$2:$A$5251,0))</f>
        <v/>
      </c>
    </row>
    <row r="961">
      <c r="A961" t="n">
        <v>960</v>
      </c>
      <c r="B961">
        <f>IFERROR(SMALL(Pipeline_Calc!$A$2:$A$5251,A961),"")</f>
        <v/>
      </c>
      <c r="C961">
        <f>IF(B961="","",MATCH(B961,Pipeline_Calc!$A$2:$A$5251,0))</f>
        <v/>
      </c>
    </row>
    <row r="962">
      <c r="A962" t="n">
        <v>961</v>
      </c>
      <c r="B962">
        <f>IFERROR(SMALL(Pipeline_Calc!$A$2:$A$5251,A962),"")</f>
        <v/>
      </c>
      <c r="C962">
        <f>IF(B962="","",MATCH(B962,Pipeline_Calc!$A$2:$A$5251,0))</f>
        <v/>
      </c>
    </row>
    <row r="963">
      <c r="A963" t="n">
        <v>962</v>
      </c>
      <c r="B963">
        <f>IFERROR(SMALL(Pipeline_Calc!$A$2:$A$5251,A963),"")</f>
        <v/>
      </c>
      <c r="C963">
        <f>IF(B963="","",MATCH(B963,Pipeline_Calc!$A$2:$A$5251,0))</f>
        <v/>
      </c>
    </row>
    <row r="964">
      <c r="A964" t="n">
        <v>963</v>
      </c>
      <c r="B964">
        <f>IFERROR(SMALL(Pipeline_Calc!$A$2:$A$5251,A964),"")</f>
        <v/>
      </c>
      <c r="C964">
        <f>IF(B964="","",MATCH(B964,Pipeline_Calc!$A$2:$A$5251,0))</f>
        <v/>
      </c>
    </row>
    <row r="965">
      <c r="A965" t="n">
        <v>964</v>
      </c>
      <c r="B965">
        <f>IFERROR(SMALL(Pipeline_Calc!$A$2:$A$5251,A965),"")</f>
        <v/>
      </c>
      <c r="C965">
        <f>IF(B965="","",MATCH(B965,Pipeline_Calc!$A$2:$A$5251,0))</f>
        <v/>
      </c>
    </row>
    <row r="966">
      <c r="A966" t="n">
        <v>965</v>
      </c>
      <c r="B966">
        <f>IFERROR(SMALL(Pipeline_Calc!$A$2:$A$5251,A966),"")</f>
        <v/>
      </c>
      <c r="C966">
        <f>IF(B966="","",MATCH(B966,Pipeline_Calc!$A$2:$A$5251,0))</f>
        <v/>
      </c>
    </row>
    <row r="967">
      <c r="A967" t="n">
        <v>966</v>
      </c>
      <c r="B967">
        <f>IFERROR(SMALL(Pipeline_Calc!$A$2:$A$5251,A967),"")</f>
        <v/>
      </c>
      <c r="C967">
        <f>IF(B967="","",MATCH(B967,Pipeline_Calc!$A$2:$A$5251,0))</f>
        <v/>
      </c>
    </row>
    <row r="968">
      <c r="A968" t="n">
        <v>967</v>
      </c>
      <c r="B968">
        <f>IFERROR(SMALL(Pipeline_Calc!$A$2:$A$5251,A968),"")</f>
        <v/>
      </c>
      <c r="C968">
        <f>IF(B968="","",MATCH(B968,Pipeline_Calc!$A$2:$A$5251,0))</f>
        <v/>
      </c>
    </row>
    <row r="969">
      <c r="A969" t="n">
        <v>968</v>
      </c>
      <c r="B969">
        <f>IFERROR(SMALL(Pipeline_Calc!$A$2:$A$5251,A969),"")</f>
        <v/>
      </c>
      <c r="C969">
        <f>IF(B969="","",MATCH(B969,Pipeline_Calc!$A$2:$A$5251,0))</f>
        <v/>
      </c>
    </row>
    <row r="970">
      <c r="A970" t="n">
        <v>969</v>
      </c>
      <c r="B970">
        <f>IFERROR(SMALL(Pipeline_Calc!$A$2:$A$5251,A970),"")</f>
        <v/>
      </c>
      <c r="C970">
        <f>IF(B970="","",MATCH(B970,Pipeline_Calc!$A$2:$A$5251,0))</f>
        <v/>
      </c>
    </row>
    <row r="971">
      <c r="A971" t="n">
        <v>970</v>
      </c>
      <c r="B971">
        <f>IFERROR(SMALL(Pipeline_Calc!$A$2:$A$5251,A971),"")</f>
        <v/>
      </c>
      <c r="C971">
        <f>IF(B971="","",MATCH(B971,Pipeline_Calc!$A$2:$A$5251,0))</f>
        <v/>
      </c>
    </row>
    <row r="972">
      <c r="A972" t="n">
        <v>971</v>
      </c>
      <c r="B972">
        <f>IFERROR(SMALL(Pipeline_Calc!$A$2:$A$5251,A972),"")</f>
        <v/>
      </c>
      <c r="C972">
        <f>IF(B972="","",MATCH(B972,Pipeline_Calc!$A$2:$A$5251,0))</f>
        <v/>
      </c>
    </row>
    <row r="973">
      <c r="A973" t="n">
        <v>972</v>
      </c>
      <c r="B973">
        <f>IFERROR(SMALL(Pipeline_Calc!$A$2:$A$5251,A973),"")</f>
        <v/>
      </c>
      <c r="C973">
        <f>IF(B973="","",MATCH(B973,Pipeline_Calc!$A$2:$A$5251,0))</f>
        <v/>
      </c>
    </row>
    <row r="974">
      <c r="A974" t="n">
        <v>973</v>
      </c>
      <c r="B974">
        <f>IFERROR(SMALL(Pipeline_Calc!$A$2:$A$5251,A974),"")</f>
        <v/>
      </c>
      <c r="C974">
        <f>IF(B974="","",MATCH(B974,Pipeline_Calc!$A$2:$A$5251,0))</f>
        <v/>
      </c>
    </row>
    <row r="975">
      <c r="A975" t="n">
        <v>974</v>
      </c>
      <c r="B975">
        <f>IFERROR(SMALL(Pipeline_Calc!$A$2:$A$5251,A975),"")</f>
        <v/>
      </c>
      <c r="C975">
        <f>IF(B975="","",MATCH(B975,Pipeline_Calc!$A$2:$A$5251,0))</f>
        <v/>
      </c>
    </row>
    <row r="976">
      <c r="A976" t="n">
        <v>975</v>
      </c>
      <c r="B976">
        <f>IFERROR(SMALL(Pipeline_Calc!$A$2:$A$5251,A976),"")</f>
        <v/>
      </c>
      <c r="C976">
        <f>IF(B976="","",MATCH(B976,Pipeline_Calc!$A$2:$A$5251,0))</f>
        <v/>
      </c>
    </row>
    <row r="977">
      <c r="A977" t="n">
        <v>976</v>
      </c>
      <c r="B977">
        <f>IFERROR(SMALL(Pipeline_Calc!$A$2:$A$5251,A977),"")</f>
        <v/>
      </c>
      <c r="C977">
        <f>IF(B977="","",MATCH(B977,Pipeline_Calc!$A$2:$A$5251,0))</f>
        <v/>
      </c>
    </row>
    <row r="978">
      <c r="A978" t="n">
        <v>977</v>
      </c>
      <c r="B978">
        <f>IFERROR(SMALL(Pipeline_Calc!$A$2:$A$5251,A978),"")</f>
        <v/>
      </c>
      <c r="C978">
        <f>IF(B978="","",MATCH(B978,Pipeline_Calc!$A$2:$A$5251,0))</f>
        <v/>
      </c>
    </row>
    <row r="979">
      <c r="A979" t="n">
        <v>978</v>
      </c>
      <c r="B979">
        <f>IFERROR(SMALL(Pipeline_Calc!$A$2:$A$5251,A979),"")</f>
        <v/>
      </c>
      <c r="C979">
        <f>IF(B979="","",MATCH(B979,Pipeline_Calc!$A$2:$A$5251,0))</f>
        <v/>
      </c>
    </row>
    <row r="980">
      <c r="A980" t="n">
        <v>979</v>
      </c>
      <c r="B980">
        <f>IFERROR(SMALL(Pipeline_Calc!$A$2:$A$5251,A980),"")</f>
        <v/>
      </c>
      <c r="C980">
        <f>IF(B980="","",MATCH(B980,Pipeline_Calc!$A$2:$A$5251,0))</f>
        <v/>
      </c>
    </row>
    <row r="981">
      <c r="A981" t="n">
        <v>980</v>
      </c>
      <c r="B981">
        <f>IFERROR(SMALL(Pipeline_Calc!$A$2:$A$5251,A981),"")</f>
        <v/>
      </c>
      <c r="C981">
        <f>IF(B981="","",MATCH(B981,Pipeline_Calc!$A$2:$A$5251,0))</f>
        <v/>
      </c>
    </row>
    <row r="982">
      <c r="A982" t="n">
        <v>981</v>
      </c>
      <c r="B982">
        <f>IFERROR(SMALL(Pipeline_Calc!$A$2:$A$5251,A982),"")</f>
        <v/>
      </c>
      <c r="C982">
        <f>IF(B982="","",MATCH(B982,Pipeline_Calc!$A$2:$A$5251,0))</f>
        <v/>
      </c>
    </row>
    <row r="983">
      <c r="A983" t="n">
        <v>982</v>
      </c>
      <c r="B983">
        <f>IFERROR(SMALL(Pipeline_Calc!$A$2:$A$5251,A983),"")</f>
        <v/>
      </c>
      <c r="C983">
        <f>IF(B983="","",MATCH(B983,Pipeline_Calc!$A$2:$A$5251,0))</f>
        <v/>
      </c>
    </row>
    <row r="984">
      <c r="A984" t="n">
        <v>983</v>
      </c>
      <c r="B984">
        <f>IFERROR(SMALL(Pipeline_Calc!$A$2:$A$5251,A984),"")</f>
        <v/>
      </c>
      <c r="C984">
        <f>IF(B984="","",MATCH(B984,Pipeline_Calc!$A$2:$A$5251,0))</f>
        <v/>
      </c>
    </row>
    <row r="985">
      <c r="A985" t="n">
        <v>984</v>
      </c>
      <c r="B985">
        <f>IFERROR(SMALL(Pipeline_Calc!$A$2:$A$5251,A985),"")</f>
        <v/>
      </c>
      <c r="C985">
        <f>IF(B985="","",MATCH(B985,Pipeline_Calc!$A$2:$A$5251,0))</f>
        <v/>
      </c>
    </row>
    <row r="986">
      <c r="A986" t="n">
        <v>985</v>
      </c>
      <c r="B986">
        <f>IFERROR(SMALL(Pipeline_Calc!$A$2:$A$5251,A986),"")</f>
        <v/>
      </c>
      <c r="C986">
        <f>IF(B986="","",MATCH(B986,Pipeline_Calc!$A$2:$A$5251,0))</f>
        <v/>
      </c>
    </row>
    <row r="987">
      <c r="A987" t="n">
        <v>986</v>
      </c>
      <c r="B987">
        <f>IFERROR(SMALL(Pipeline_Calc!$A$2:$A$5251,A987),"")</f>
        <v/>
      </c>
      <c r="C987">
        <f>IF(B987="","",MATCH(B987,Pipeline_Calc!$A$2:$A$5251,0))</f>
        <v/>
      </c>
    </row>
    <row r="988">
      <c r="A988" t="n">
        <v>987</v>
      </c>
      <c r="B988">
        <f>IFERROR(SMALL(Pipeline_Calc!$A$2:$A$5251,A988),"")</f>
        <v/>
      </c>
      <c r="C988">
        <f>IF(B988="","",MATCH(B988,Pipeline_Calc!$A$2:$A$5251,0))</f>
        <v/>
      </c>
    </row>
    <row r="989">
      <c r="A989" t="n">
        <v>988</v>
      </c>
      <c r="B989">
        <f>IFERROR(SMALL(Pipeline_Calc!$A$2:$A$5251,A989),"")</f>
        <v/>
      </c>
      <c r="C989">
        <f>IF(B989="","",MATCH(B989,Pipeline_Calc!$A$2:$A$5251,0))</f>
        <v/>
      </c>
    </row>
    <row r="990">
      <c r="A990" t="n">
        <v>989</v>
      </c>
      <c r="B990">
        <f>IFERROR(SMALL(Pipeline_Calc!$A$2:$A$5251,A990),"")</f>
        <v/>
      </c>
      <c r="C990">
        <f>IF(B990="","",MATCH(B990,Pipeline_Calc!$A$2:$A$5251,0))</f>
        <v/>
      </c>
    </row>
    <row r="991">
      <c r="A991" t="n">
        <v>990</v>
      </c>
      <c r="B991">
        <f>IFERROR(SMALL(Pipeline_Calc!$A$2:$A$5251,A991),"")</f>
        <v/>
      </c>
      <c r="C991">
        <f>IF(B991="","",MATCH(B991,Pipeline_Calc!$A$2:$A$5251,0))</f>
        <v/>
      </c>
    </row>
    <row r="992">
      <c r="A992" t="n">
        <v>991</v>
      </c>
      <c r="B992">
        <f>IFERROR(SMALL(Pipeline_Calc!$A$2:$A$5251,A992),"")</f>
        <v/>
      </c>
      <c r="C992">
        <f>IF(B992="","",MATCH(B992,Pipeline_Calc!$A$2:$A$5251,0))</f>
        <v/>
      </c>
    </row>
    <row r="993">
      <c r="A993" t="n">
        <v>992</v>
      </c>
      <c r="B993">
        <f>IFERROR(SMALL(Pipeline_Calc!$A$2:$A$5251,A993),"")</f>
        <v/>
      </c>
      <c r="C993">
        <f>IF(B993="","",MATCH(B993,Pipeline_Calc!$A$2:$A$5251,0))</f>
        <v/>
      </c>
    </row>
    <row r="994">
      <c r="A994" t="n">
        <v>993</v>
      </c>
      <c r="B994">
        <f>IFERROR(SMALL(Pipeline_Calc!$A$2:$A$5251,A994),"")</f>
        <v/>
      </c>
      <c r="C994">
        <f>IF(B994="","",MATCH(B994,Pipeline_Calc!$A$2:$A$5251,0))</f>
        <v/>
      </c>
    </row>
    <row r="995">
      <c r="A995" t="n">
        <v>994</v>
      </c>
      <c r="B995">
        <f>IFERROR(SMALL(Pipeline_Calc!$A$2:$A$5251,A995),"")</f>
        <v/>
      </c>
      <c r="C995">
        <f>IF(B995="","",MATCH(B995,Pipeline_Calc!$A$2:$A$5251,0))</f>
        <v/>
      </c>
    </row>
    <row r="996">
      <c r="A996" t="n">
        <v>995</v>
      </c>
      <c r="B996">
        <f>IFERROR(SMALL(Pipeline_Calc!$A$2:$A$5251,A996),"")</f>
        <v/>
      </c>
      <c r="C996">
        <f>IF(B996="","",MATCH(B996,Pipeline_Calc!$A$2:$A$5251,0))</f>
        <v/>
      </c>
    </row>
    <row r="997">
      <c r="A997" t="n">
        <v>996</v>
      </c>
      <c r="B997">
        <f>IFERROR(SMALL(Pipeline_Calc!$A$2:$A$5251,A997),"")</f>
        <v/>
      </c>
      <c r="C997">
        <f>IF(B997="","",MATCH(B997,Pipeline_Calc!$A$2:$A$5251,0))</f>
        <v/>
      </c>
    </row>
    <row r="998">
      <c r="A998" t="n">
        <v>997</v>
      </c>
      <c r="B998">
        <f>IFERROR(SMALL(Pipeline_Calc!$A$2:$A$5251,A998),"")</f>
        <v/>
      </c>
      <c r="C998">
        <f>IF(B998="","",MATCH(B998,Pipeline_Calc!$A$2:$A$5251,0))</f>
        <v/>
      </c>
    </row>
    <row r="999">
      <c r="A999" t="n">
        <v>998</v>
      </c>
      <c r="B999">
        <f>IFERROR(SMALL(Pipeline_Calc!$A$2:$A$5251,A999),"")</f>
        <v/>
      </c>
      <c r="C999">
        <f>IF(B999="","",MATCH(B999,Pipeline_Calc!$A$2:$A$5251,0))</f>
        <v/>
      </c>
    </row>
    <row r="1000">
      <c r="A1000" t="n">
        <v>999</v>
      </c>
      <c r="B1000">
        <f>IFERROR(SMALL(Pipeline_Calc!$A$2:$A$5251,A1000),"")</f>
        <v/>
      </c>
      <c r="C1000">
        <f>IF(B1000="","",MATCH(B1000,Pipeline_Calc!$A$2:$A$5251,0))</f>
        <v/>
      </c>
    </row>
    <row r="1001">
      <c r="A1001" t="n">
        <v>1000</v>
      </c>
      <c r="B1001">
        <f>IFERROR(SMALL(Pipeline_Calc!$A$2:$A$5251,A1001),"")</f>
        <v/>
      </c>
      <c r="C1001">
        <f>IF(B1001="","",MATCH(B1001,Pipeline_Calc!$A$2:$A$5251,0))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5" customWidth="1" min="4" max="4"/>
    <col width="18" customWidth="1" min="5" max="5"/>
    <col width="16" customWidth="1" min="6" max="6"/>
    <col width="10" customWidth="1" min="7" max="7"/>
    <col width="24" customWidth="1" min="8" max="8"/>
    <col width="8" customWidth="1" min="9" max="9"/>
    <col width="26" customWidth="1" min="10" max="10"/>
    <col width="22" customWidth="1" min="11" max="11"/>
  </cols>
  <sheetData>
    <row r="1">
      <c r="A1" s="16" t="inlineStr">
        <is>
          <t>key</t>
        </is>
      </c>
      <c r="B1" s="16" t="inlineStr">
        <is>
          <t>date</t>
        </is>
      </c>
      <c r="C1" s="16" t="inlineStr">
        <is>
          <t>side</t>
        </is>
      </c>
      <c r="D1" s="16" t="inlineStr">
        <is>
          <t>org_id</t>
        </is>
      </c>
      <c r="E1" s="16" t="inlineStr">
        <is>
          <t>org_name</t>
        </is>
      </c>
      <c r="F1" s="16" t="inlineStr">
        <is>
          <t>event</t>
        </is>
      </c>
      <c r="G1" s="16" t="inlineStr">
        <is>
          <t>value_number</t>
        </is>
      </c>
      <c r="H1" s="16" t="inlineStr">
        <is>
          <t>value_text</t>
        </is>
      </c>
      <c r="I1" s="16" t="inlineStr">
        <is>
          <t>controls_budget</t>
        </is>
      </c>
      <c r="J1" s="16" t="inlineStr">
        <is>
          <t>notes</t>
        </is>
      </c>
      <c r="K1" s="16" t="inlineStr">
        <is>
          <t>block</t>
        </is>
      </c>
      <c r="M1" s="6" t="inlineStr">
        <is>
          <t>One row per possible event, built from the logs, the handoff tabs and the Clay pastes. Sorted onto pipeline_log by key (date, then block, then row).</t>
        </is>
      </c>
    </row>
    <row r="2">
      <c r="A2" s="17">
        <f>IF(B2="","",B2+(1*1000+1)/10000000)</f>
        <v/>
      </c>
      <c r="B2" s="23">
        <f>IF(Office_Log!AU2=1,Office_Log!G2,"")</f>
        <v/>
      </c>
      <c r="C2" s="17">
        <f>IF(B2="","","office")</f>
        <v/>
      </c>
      <c r="D2" s="17">
        <f>IF(B2="","",Office_Log!$A2&amp;"")</f>
        <v/>
      </c>
      <c r="E2" s="17">
        <f>IF(B2="","",IF(Office_Log!B2="","",Office_Log!B2&amp;""))</f>
        <v/>
      </c>
      <c r="F2" s="17">
        <f>IF(B2="","","conversation")</f>
        <v/>
      </c>
      <c r="G2" s="17">
        <f>IF(B2="","","")</f>
        <v/>
      </c>
      <c r="H2" s="17">
        <f>IF(B2="","","")</f>
        <v/>
      </c>
      <c r="I2" s="17">
        <f>IF(B2="","","")</f>
        <v/>
      </c>
      <c r="J2" s="17">
        <f>IF(B2="","",IF(Office_Log!H2="","",Office_Log!H2&amp;""))</f>
        <v/>
      </c>
      <c r="K2" t="inlineStr">
        <is>
          <t>office conversation</t>
        </is>
      </c>
    </row>
    <row r="3">
      <c r="A3" s="17">
        <f>IF(B3="","",B3+(1*1000+2)/10000000)</f>
        <v/>
      </c>
      <c r="B3" s="23">
        <f>IF(Office_Log!AU3=1,Office_Log!G3,"")</f>
        <v/>
      </c>
      <c r="C3" s="17">
        <f>IF(B3="","","office")</f>
        <v/>
      </c>
      <c r="D3" s="17">
        <f>IF(B3="","",Office_Log!$A3&amp;"")</f>
        <v/>
      </c>
      <c r="E3" s="17">
        <f>IF(B3="","",IF(Office_Log!B3="","",Office_Log!B3&amp;""))</f>
        <v/>
      </c>
      <c r="F3" s="17">
        <f>IF(B3="","","conversation")</f>
        <v/>
      </c>
      <c r="G3" s="17">
        <f>IF(B3="","","")</f>
        <v/>
      </c>
      <c r="H3" s="17">
        <f>IF(B3="","","")</f>
        <v/>
      </c>
      <c r="I3" s="17">
        <f>IF(B3="","","")</f>
        <v/>
      </c>
      <c r="J3" s="17">
        <f>IF(B3="","",IF(Office_Log!H3="","",Office_Log!H3&amp;""))</f>
        <v/>
      </c>
      <c r="K3" t="inlineStr">
        <is>
          <t>office conversation</t>
        </is>
      </c>
    </row>
    <row r="4">
      <c r="A4" s="17">
        <f>IF(B4="","",B4+(1*1000+3)/10000000)</f>
        <v/>
      </c>
      <c r="B4" s="23">
        <f>IF(Office_Log!AU4=1,Office_Log!G4,"")</f>
        <v/>
      </c>
      <c r="C4" s="17">
        <f>IF(B4="","","office")</f>
        <v/>
      </c>
      <c r="D4" s="17">
        <f>IF(B4="","",Office_Log!$A4&amp;"")</f>
        <v/>
      </c>
      <c r="E4" s="17">
        <f>IF(B4="","",IF(Office_Log!B4="","",Office_Log!B4&amp;""))</f>
        <v/>
      </c>
      <c r="F4" s="17">
        <f>IF(B4="","","conversation")</f>
        <v/>
      </c>
      <c r="G4" s="17">
        <f>IF(B4="","","")</f>
        <v/>
      </c>
      <c r="H4" s="17">
        <f>IF(B4="","","")</f>
        <v/>
      </c>
      <c r="I4" s="17">
        <f>IF(B4="","","")</f>
        <v/>
      </c>
      <c r="J4" s="17">
        <f>IF(B4="","",IF(Office_Log!H4="","",Office_Log!H4&amp;""))</f>
        <v/>
      </c>
      <c r="K4" t="inlineStr">
        <is>
          <t>office conversation</t>
        </is>
      </c>
    </row>
    <row r="5">
      <c r="A5" s="17">
        <f>IF(B5="","",B5+(1*1000+4)/10000000)</f>
        <v/>
      </c>
      <c r="B5" s="23">
        <f>IF(Office_Log!AU5=1,Office_Log!G5,"")</f>
        <v/>
      </c>
      <c r="C5" s="17">
        <f>IF(B5="","","office")</f>
        <v/>
      </c>
      <c r="D5" s="17">
        <f>IF(B5="","",Office_Log!$A5&amp;"")</f>
        <v/>
      </c>
      <c r="E5" s="17">
        <f>IF(B5="","",IF(Office_Log!B5="","",Office_Log!B5&amp;""))</f>
        <v/>
      </c>
      <c r="F5" s="17">
        <f>IF(B5="","","conversation")</f>
        <v/>
      </c>
      <c r="G5" s="17">
        <f>IF(B5="","","")</f>
        <v/>
      </c>
      <c r="H5" s="17">
        <f>IF(B5="","","")</f>
        <v/>
      </c>
      <c r="I5" s="17">
        <f>IF(B5="","","")</f>
        <v/>
      </c>
      <c r="J5" s="17">
        <f>IF(B5="","",IF(Office_Log!H5="","",Office_Log!H5&amp;""))</f>
        <v/>
      </c>
      <c r="K5" t="inlineStr">
        <is>
          <t>office conversation</t>
        </is>
      </c>
    </row>
    <row r="6">
      <c r="A6" s="17">
        <f>IF(B6="","",B6+(1*1000+5)/10000000)</f>
        <v/>
      </c>
      <c r="B6" s="23">
        <f>IF(Office_Log!AU6=1,Office_Log!G6,"")</f>
        <v/>
      </c>
      <c r="C6" s="17">
        <f>IF(B6="","","office")</f>
        <v/>
      </c>
      <c r="D6" s="17">
        <f>IF(B6="","",Office_Log!$A6&amp;"")</f>
        <v/>
      </c>
      <c r="E6" s="17">
        <f>IF(B6="","",IF(Office_Log!B6="","",Office_Log!B6&amp;""))</f>
        <v/>
      </c>
      <c r="F6" s="17">
        <f>IF(B6="","","conversation")</f>
        <v/>
      </c>
      <c r="G6" s="17">
        <f>IF(B6="","","")</f>
        <v/>
      </c>
      <c r="H6" s="17">
        <f>IF(B6="","","")</f>
        <v/>
      </c>
      <c r="I6" s="17">
        <f>IF(B6="","","")</f>
        <v/>
      </c>
      <c r="J6" s="17">
        <f>IF(B6="","",IF(Office_Log!H6="","",Office_Log!H6&amp;""))</f>
        <v/>
      </c>
      <c r="K6" t="inlineStr">
        <is>
          <t>office conversation</t>
        </is>
      </c>
    </row>
    <row r="7">
      <c r="A7" s="17">
        <f>IF(B7="","",B7+(1*1000+6)/10000000)</f>
        <v/>
      </c>
      <c r="B7" s="23">
        <f>IF(Office_Log!AU7=1,Office_Log!G7,"")</f>
        <v/>
      </c>
      <c r="C7" s="17">
        <f>IF(B7="","","office")</f>
        <v/>
      </c>
      <c r="D7" s="17">
        <f>IF(B7="","",Office_Log!$A7&amp;"")</f>
        <v/>
      </c>
      <c r="E7" s="17">
        <f>IF(B7="","",IF(Office_Log!B7="","",Office_Log!B7&amp;""))</f>
        <v/>
      </c>
      <c r="F7" s="17">
        <f>IF(B7="","","conversation")</f>
        <v/>
      </c>
      <c r="G7" s="17">
        <f>IF(B7="","","")</f>
        <v/>
      </c>
      <c r="H7" s="17">
        <f>IF(B7="","","")</f>
        <v/>
      </c>
      <c r="I7" s="17">
        <f>IF(B7="","","")</f>
        <v/>
      </c>
      <c r="J7" s="17">
        <f>IF(B7="","",IF(Office_Log!H7="","",Office_Log!H7&amp;""))</f>
        <v/>
      </c>
      <c r="K7" t="inlineStr">
        <is>
          <t>office conversation</t>
        </is>
      </c>
    </row>
    <row r="8">
      <c r="A8" s="17">
        <f>IF(B8="","",B8+(1*1000+7)/10000000)</f>
        <v/>
      </c>
      <c r="B8" s="23">
        <f>IF(Office_Log!AU8=1,Office_Log!G8,"")</f>
        <v/>
      </c>
      <c r="C8" s="17">
        <f>IF(B8="","","office")</f>
        <v/>
      </c>
      <c r="D8" s="17">
        <f>IF(B8="","",Office_Log!$A8&amp;"")</f>
        <v/>
      </c>
      <c r="E8" s="17">
        <f>IF(B8="","",IF(Office_Log!B8="","",Office_Log!B8&amp;""))</f>
        <v/>
      </c>
      <c r="F8" s="17">
        <f>IF(B8="","","conversation")</f>
        <v/>
      </c>
      <c r="G8" s="17">
        <f>IF(B8="","","")</f>
        <v/>
      </c>
      <c r="H8" s="17">
        <f>IF(B8="","","")</f>
        <v/>
      </c>
      <c r="I8" s="17">
        <f>IF(B8="","","")</f>
        <v/>
      </c>
      <c r="J8" s="17">
        <f>IF(B8="","",IF(Office_Log!H8="","",Office_Log!H8&amp;""))</f>
        <v/>
      </c>
      <c r="K8" t="inlineStr">
        <is>
          <t>office conversation</t>
        </is>
      </c>
    </row>
    <row r="9">
      <c r="A9" s="17">
        <f>IF(B9="","",B9+(1*1000+8)/10000000)</f>
        <v/>
      </c>
      <c r="B9" s="23">
        <f>IF(Office_Log!AU9=1,Office_Log!G9,"")</f>
        <v/>
      </c>
      <c r="C9" s="17">
        <f>IF(B9="","","office")</f>
        <v/>
      </c>
      <c r="D9" s="17">
        <f>IF(B9="","",Office_Log!$A9&amp;"")</f>
        <v/>
      </c>
      <c r="E9" s="17">
        <f>IF(B9="","",IF(Office_Log!B9="","",Office_Log!B9&amp;""))</f>
        <v/>
      </c>
      <c r="F9" s="17">
        <f>IF(B9="","","conversation")</f>
        <v/>
      </c>
      <c r="G9" s="17">
        <f>IF(B9="","","")</f>
        <v/>
      </c>
      <c r="H9" s="17">
        <f>IF(B9="","","")</f>
        <v/>
      </c>
      <c r="I9" s="17">
        <f>IF(B9="","","")</f>
        <v/>
      </c>
      <c r="J9" s="17">
        <f>IF(B9="","",IF(Office_Log!H9="","",Office_Log!H9&amp;""))</f>
        <v/>
      </c>
      <c r="K9" t="inlineStr">
        <is>
          <t>office conversation</t>
        </is>
      </c>
    </row>
    <row r="10">
      <c r="A10" s="17">
        <f>IF(B10="","",B10+(1*1000+9)/10000000)</f>
        <v/>
      </c>
      <c r="B10" s="23">
        <f>IF(Office_Log!AU10=1,Office_Log!G10,"")</f>
        <v/>
      </c>
      <c r="C10" s="17">
        <f>IF(B10="","","office")</f>
        <v/>
      </c>
      <c r="D10" s="17">
        <f>IF(B10="","",Office_Log!$A10&amp;"")</f>
        <v/>
      </c>
      <c r="E10" s="17">
        <f>IF(B10="","",IF(Office_Log!B10="","",Office_Log!B10&amp;""))</f>
        <v/>
      </c>
      <c r="F10" s="17">
        <f>IF(B10="","","conversation")</f>
        <v/>
      </c>
      <c r="G10" s="17">
        <f>IF(B10="","","")</f>
        <v/>
      </c>
      <c r="H10" s="17">
        <f>IF(B10="","","")</f>
        <v/>
      </c>
      <c r="I10" s="17">
        <f>IF(B10="","","")</f>
        <v/>
      </c>
      <c r="J10" s="17">
        <f>IF(B10="","",IF(Office_Log!H10="","",Office_Log!H10&amp;""))</f>
        <v/>
      </c>
      <c r="K10" t="inlineStr">
        <is>
          <t>office conversation</t>
        </is>
      </c>
    </row>
    <row r="11">
      <c r="A11" s="17">
        <f>IF(B11="","",B11+(1*1000+10)/10000000)</f>
        <v/>
      </c>
      <c r="B11" s="23">
        <f>IF(Office_Log!AU11=1,Office_Log!G11,"")</f>
        <v/>
      </c>
      <c r="C11" s="17">
        <f>IF(B11="","","office")</f>
        <v/>
      </c>
      <c r="D11" s="17">
        <f>IF(B11="","",Office_Log!$A11&amp;"")</f>
        <v/>
      </c>
      <c r="E11" s="17">
        <f>IF(B11="","",IF(Office_Log!B11="","",Office_Log!B11&amp;""))</f>
        <v/>
      </c>
      <c r="F11" s="17">
        <f>IF(B11="","","conversation")</f>
        <v/>
      </c>
      <c r="G11" s="17">
        <f>IF(B11="","","")</f>
        <v/>
      </c>
      <c r="H11" s="17">
        <f>IF(B11="","","")</f>
        <v/>
      </c>
      <c r="I11" s="17">
        <f>IF(B11="","","")</f>
        <v/>
      </c>
      <c r="J11" s="17">
        <f>IF(B11="","",IF(Office_Log!H11="","",Office_Log!H11&amp;""))</f>
        <v/>
      </c>
      <c r="K11" t="inlineStr">
        <is>
          <t>office conversation</t>
        </is>
      </c>
    </row>
    <row r="12">
      <c r="A12" s="17">
        <f>IF(B12="","",B12+(1*1000+11)/10000000)</f>
        <v/>
      </c>
      <c r="B12" s="23">
        <f>IF(Office_Log!AU12=1,Office_Log!G12,"")</f>
        <v/>
      </c>
      <c r="C12" s="17">
        <f>IF(B12="","","office")</f>
        <v/>
      </c>
      <c r="D12" s="17">
        <f>IF(B12="","",Office_Log!$A12&amp;"")</f>
        <v/>
      </c>
      <c r="E12" s="17">
        <f>IF(B12="","",IF(Office_Log!B12="","",Office_Log!B12&amp;""))</f>
        <v/>
      </c>
      <c r="F12" s="17">
        <f>IF(B12="","","conversation")</f>
        <v/>
      </c>
      <c r="G12" s="17">
        <f>IF(B12="","","")</f>
        <v/>
      </c>
      <c r="H12" s="17">
        <f>IF(B12="","","")</f>
        <v/>
      </c>
      <c r="I12" s="17">
        <f>IF(B12="","","")</f>
        <v/>
      </c>
      <c r="J12" s="17">
        <f>IF(B12="","",IF(Office_Log!H12="","",Office_Log!H12&amp;""))</f>
        <v/>
      </c>
      <c r="K12" t="inlineStr">
        <is>
          <t>office conversation</t>
        </is>
      </c>
    </row>
    <row r="13">
      <c r="A13" s="17">
        <f>IF(B13="","",B13+(1*1000+12)/10000000)</f>
        <v/>
      </c>
      <c r="B13" s="23">
        <f>IF(Office_Log!AU13=1,Office_Log!G13,"")</f>
        <v/>
      </c>
      <c r="C13" s="17">
        <f>IF(B13="","","office")</f>
        <v/>
      </c>
      <c r="D13" s="17">
        <f>IF(B13="","",Office_Log!$A13&amp;"")</f>
        <v/>
      </c>
      <c r="E13" s="17">
        <f>IF(B13="","",IF(Office_Log!B13="","",Office_Log!B13&amp;""))</f>
        <v/>
      </c>
      <c r="F13" s="17">
        <f>IF(B13="","","conversation")</f>
        <v/>
      </c>
      <c r="G13" s="17">
        <f>IF(B13="","","")</f>
        <v/>
      </c>
      <c r="H13" s="17">
        <f>IF(B13="","","")</f>
        <v/>
      </c>
      <c r="I13" s="17">
        <f>IF(B13="","","")</f>
        <v/>
      </c>
      <c r="J13" s="17">
        <f>IF(B13="","",IF(Office_Log!H13="","",Office_Log!H13&amp;""))</f>
        <v/>
      </c>
      <c r="K13" t="inlineStr">
        <is>
          <t>office conversation</t>
        </is>
      </c>
    </row>
    <row r="14">
      <c r="A14" s="17">
        <f>IF(B14="","",B14+(1*1000+13)/10000000)</f>
        <v/>
      </c>
      <c r="B14" s="23">
        <f>IF(Office_Log!AU14=1,Office_Log!G14,"")</f>
        <v/>
      </c>
      <c r="C14" s="17">
        <f>IF(B14="","","office")</f>
        <v/>
      </c>
      <c r="D14" s="17">
        <f>IF(B14="","",Office_Log!$A14&amp;"")</f>
        <v/>
      </c>
      <c r="E14" s="17">
        <f>IF(B14="","",IF(Office_Log!B14="","",Office_Log!B14&amp;""))</f>
        <v/>
      </c>
      <c r="F14" s="17">
        <f>IF(B14="","","conversation")</f>
        <v/>
      </c>
      <c r="G14" s="17">
        <f>IF(B14="","","")</f>
        <v/>
      </c>
      <c r="H14" s="17">
        <f>IF(B14="","","")</f>
        <v/>
      </c>
      <c r="I14" s="17">
        <f>IF(B14="","","")</f>
        <v/>
      </c>
      <c r="J14" s="17">
        <f>IF(B14="","",IF(Office_Log!H14="","",Office_Log!H14&amp;""))</f>
        <v/>
      </c>
      <c r="K14" t="inlineStr">
        <is>
          <t>office conversation</t>
        </is>
      </c>
    </row>
    <row r="15">
      <c r="A15" s="17">
        <f>IF(B15="","",B15+(1*1000+14)/10000000)</f>
        <v/>
      </c>
      <c r="B15" s="23">
        <f>IF(Office_Log!AU15=1,Office_Log!G15,"")</f>
        <v/>
      </c>
      <c r="C15" s="17">
        <f>IF(B15="","","office")</f>
        <v/>
      </c>
      <c r="D15" s="17">
        <f>IF(B15="","",Office_Log!$A15&amp;"")</f>
        <v/>
      </c>
      <c r="E15" s="17">
        <f>IF(B15="","",IF(Office_Log!B15="","",Office_Log!B15&amp;""))</f>
        <v/>
      </c>
      <c r="F15" s="17">
        <f>IF(B15="","","conversation")</f>
        <v/>
      </c>
      <c r="G15" s="17">
        <f>IF(B15="","","")</f>
        <v/>
      </c>
      <c r="H15" s="17">
        <f>IF(B15="","","")</f>
        <v/>
      </c>
      <c r="I15" s="17">
        <f>IF(B15="","","")</f>
        <v/>
      </c>
      <c r="J15" s="17">
        <f>IF(B15="","",IF(Office_Log!H15="","",Office_Log!H15&amp;""))</f>
        <v/>
      </c>
      <c r="K15" t="inlineStr">
        <is>
          <t>office conversation</t>
        </is>
      </c>
    </row>
    <row r="16">
      <c r="A16" s="17">
        <f>IF(B16="","",B16+(1*1000+15)/10000000)</f>
        <v/>
      </c>
      <c r="B16" s="23">
        <f>IF(Office_Log!AU16=1,Office_Log!G16,"")</f>
        <v/>
      </c>
      <c r="C16" s="17">
        <f>IF(B16="","","office")</f>
        <v/>
      </c>
      <c r="D16" s="17">
        <f>IF(B16="","",Office_Log!$A16&amp;"")</f>
        <v/>
      </c>
      <c r="E16" s="17">
        <f>IF(B16="","",IF(Office_Log!B16="","",Office_Log!B16&amp;""))</f>
        <v/>
      </c>
      <c r="F16" s="17">
        <f>IF(B16="","","conversation")</f>
        <v/>
      </c>
      <c r="G16" s="17">
        <f>IF(B16="","","")</f>
        <v/>
      </c>
      <c r="H16" s="17">
        <f>IF(B16="","","")</f>
        <v/>
      </c>
      <c r="I16" s="17">
        <f>IF(B16="","","")</f>
        <v/>
      </c>
      <c r="J16" s="17">
        <f>IF(B16="","",IF(Office_Log!H16="","",Office_Log!H16&amp;""))</f>
        <v/>
      </c>
      <c r="K16" t="inlineStr">
        <is>
          <t>office conversation</t>
        </is>
      </c>
    </row>
    <row r="17">
      <c r="A17" s="17">
        <f>IF(B17="","",B17+(1*1000+16)/10000000)</f>
        <v/>
      </c>
      <c r="B17" s="23">
        <f>IF(Office_Log!AU17=1,Office_Log!G17,"")</f>
        <v/>
      </c>
      <c r="C17" s="17">
        <f>IF(B17="","","office")</f>
        <v/>
      </c>
      <c r="D17" s="17">
        <f>IF(B17="","",Office_Log!$A17&amp;"")</f>
        <v/>
      </c>
      <c r="E17" s="17">
        <f>IF(B17="","",IF(Office_Log!B17="","",Office_Log!B17&amp;""))</f>
        <v/>
      </c>
      <c r="F17" s="17">
        <f>IF(B17="","","conversation")</f>
        <v/>
      </c>
      <c r="G17" s="17">
        <f>IF(B17="","","")</f>
        <v/>
      </c>
      <c r="H17" s="17">
        <f>IF(B17="","","")</f>
        <v/>
      </c>
      <c r="I17" s="17">
        <f>IF(B17="","","")</f>
        <v/>
      </c>
      <c r="J17" s="17">
        <f>IF(B17="","",IF(Office_Log!H17="","",Office_Log!H17&amp;""))</f>
        <v/>
      </c>
      <c r="K17" t="inlineStr">
        <is>
          <t>office conversation</t>
        </is>
      </c>
    </row>
    <row r="18">
      <c r="A18" s="17">
        <f>IF(B18="","",B18+(1*1000+17)/10000000)</f>
        <v/>
      </c>
      <c r="B18" s="23">
        <f>IF(Office_Log!AU18=1,Office_Log!G18,"")</f>
        <v/>
      </c>
      <c r="C18" s="17">
        <f>IF(B18="","","office")</f>
        <v/>
      </c>
      <c r="D18" s="17">
        <f>IF(B18="","",Office_Log!$A18&amp;"")</f>
        <v/>
      </c>
      <c r="E18" s="17">
        <f>IF(B18="","",IF(Office_Log!B18="","",Office_Log!B18&amp;""))</f>
        <v/>
      </c>
      <c r="F18" s="17">
        <f>IF(B18="","","conversation")</f>
        <v/>
      </c>
      <c r="G18" s="17">
        <f>IF(B18="","","")</f>
        <v/>
      </c>
      <c r="H18" s="17">
        <f>IF(B18="","","")</f>
        <v/>
      </c>
      <c r="I18" s="17">
        <f>IF(B18="","","")</f>
        <v/>
      </c>
      <c r="J18" s="17">
        <f>IF(B18="","",IF(Office_Log!H18="","",Office_Log!H18&amp;""))</f>
        <v/>
      </c>
      <c r="K18" t="inlineStr">
        <is>
          <t>office conversation</t>
        </is>
      </c>
    </row>
    <row r="19">
      <c r="A19" s="17">
        <f>IF(B19="","",B19+(1*1000+18)/10000000)</f>
        <v/>
      </c>
      <c r="B19" s="23">
        <f>IF(Office_Log!AU19=1,Office_Log!G19,"")</f>
        <v/>
      </c>
      <c r="C19" s="17">
        <f>IF(B19="","","office")</f>
        <v/>
      </c>
      <c r="D19" s="17">
        <f>IF(B19="","",Office_Log!$A19&amp;"")</f>
        <v/>
      </c>
      <c r="E19" s="17">
        <f>IF(B19="","",IF(Office_Log!B19="","",Office_Log!B19&amp;""))</f>
        <v/>
      </c>
      <c r="F19" s="17">
        <f>IF(B19="","","conversation")</f>
        <v/>
      </c>
      <c r="G19" s="17">
        <f>IF(B19="","","")</f>
        <v/>
      </c>
      <c r="H19" s="17">
        <f>IF(B19="","","")</f>
        <v/>
      </c>
      <c r="I19" s="17">
        <f>IF(B19="","","")</f>
        <v/>
      </c>
      <c r="J19" s="17">
        <f>IF(B19="","",IF(Office_Log!H19="","",Office_Log!H19&amp;""))</f>
        <v/>
      </c>
      <c r="K19" t="inlineStr">
        <is>
          <t>office conversation</t>
        </is>
      </c>
    </row>
    <row r="20">
      <c r="A20" s="17">
        <f>IF(B20="","",B20+(1*1000+19)/10000000)</f>
        <v/>
      </c>
      <c r="B20" s="23">
        <f>IF(Office_Log!AU20=1,Office_Log!G20,"")</f>
        <v/>
      </c>
      <c r="C20" s="17">
        <f>IF(B20="","","office")</f>
        <v/>
      </c>
      <c r="D20" s="17">
        <f>IF(B20="","",Office_Log!$A20&amp;"")</f>
        <v/>
      </c>
      <c r="E20" s="17">
        <f>IF(B20="","",IF(Office_Log!B20="","",Office_Log!B20&amp;""))</f>
        <v/>
      </c>
      <c r="F20" s="17">
        <f>IF(B20="","","conversation")</f>
        <v/>
      </c>
      <c r="G20" s="17">
        <f>IF(B20="","","")</f>
        <v/>
      </c>
      <c r="H20" s="17">
        <f>IF(B20="","","")</f>
        <v/>
      </c>
      <c r="I20" s="17">
        <f>IF(B20="","","")</f>
        <v/>
      </c>
      <c r="J20" s="17">
        <f>IF(B20="","",IF(Office_Log!H20="","",Office_Log!H20&amp;""))</f>
        <v/>
      </c>
      <c r="K20" t="inlineStr">
        <is>
          <t>office conversation</t>
        </is>
      </c>
    </row>
    <row r="21">
      <c r="A21" s="17">
        <f>IF(B21="","",B21+(1*1000+20)/10000000)</f>
        <v/>
      </c>
      <c r="B21" s="23">
        <f>IF(Office_Log!AU21=1,Office_Log!G21,"")</f>
        <v/>
      </c>
      <c r="C21" s="17">
        <f>IF(B21="","","office")</f>
        <v/>
      </c>
      <c r="D21" s="17">
        <f>IF(B21="","",Office_Log!$A21&amp;"")</f>
        <v/>
      </c>
      <c r="E21" s="17">
        <f>IF(B21="","",IF(Office_Log!B21="","",Office_Log!B21&amp;""))</f>
        <v/>
      </c>
      <c r="F21" s="17">
        <f>IF(B21="","","conversation")</f>
        <v/>
      </c>
      <c r="G21" s="17">
        <f>IF(B21="","","")</f>
        <v/>
      </c>
      <c r="H21" s="17">
        <f>IF(B21="","","")</f>
        <v/>
      </c>
      <c r="I21" s="17">
        <f>IF(B21="","","")</f>
        <v/>
      </c>
      <c r="J21" s="17">
        <f>IF(B21="","",IF(Office_Log!H21="","",Office_Log!H21&amp;""))</f>
        <v/>
      </c>
      <c r="K21" t="inlineStr">
        <is>
          <t>office conversation</t>
        </is>
      </c>
    </row>
    <row r="22">
      <c r="A22" s="17">
        <f>IF(B22="","",B22+(1*1000+21)/10000000)</f>
        <v/>
      </c>
      <c r="B22" s="23">
        <f>IF(Office_Log!AU22=1,Office_Log!G22,"")</f>
        <v/>
      </c>
      <c r="C22" s="17">
        <f>IF(B22="","","office")</f>
        <v/>
      </c>
      <c r="D22" s="17">
        <f>IF(B22="","",Office_Log!$A22&amp;"")</f>
        <v/>
      </c>
      <c r="E22" s="17">
        <f>IF(B22="","",IF(Office_Log!B22="","",Office_Log!B22&amp;""))</f>
        <v/>
      </c>
      <c r="F22" s="17">
        <f>IF(B22="","","conversation")</f>
        <v/>
      </c>
      <c r="G22" s="17">
        <f>IF(B22="","","")</f>
        <v/>
      </c>
      <c r="H22" s="17">
        <f>IF(B22="","","")</f>
        <v/>
      </c>
      <c r="I22" s="17">
        <f>IF(B22="","","")</f>
        <v/>
      </c>
      <c r="J22" s="17">
        <f>IF(B22="","",IF(Office_Log!H22="","",Office_Log!H22&amp;""))</f>
        <v/>
      </c>
      <c r="K22" t="inlineStr">
        <is>
          <t>office conversation</t>
        </is>
      </c>
    </row>
    <row r="23">
      <c r="A23" s="17">
        <f>IF(B23="","",B23+(1*1000+22)/10000000)</f>
        <v/>
      </c>
      <c r="B23" s="23">
        <f>IF(Office_Log!AU23=1,Office_Log!G23,"")</f>
        <v/>
      </c>
      <c r="C23" s="17">
        <f>IF(B23="","","office")</f>
        <v/>
      </c>
      <c r="D23" s="17">
        <f>IF(B23="","",Office_Log!$A23&amp;"")</f>
        <v/>
      </c>
      <c r="E23" s="17">
        <f>IF(B23="","",IF(Office_Log!B23="","",Office_Log!B23&amp;""))</f>
        <v/>
      </c>
      <c r="F23" s="17">
        <f>IF(B23="","","conversation")</f>
        <v/>
      </c>
      <c r="G23" s="17">
        <f>IF(B23="","","")</f>
        <v/>
      </c>
      <c r="H23" s="17">
        <f>IF(B23="","","")</f>
        <v/>
      </c>
      <c r="I23" s="17">
        <f>IF(B23="","","")</f>
        <v/>
      </c>
      <c r="J23" s="17">
        <f>IF(B23="","",IF(Office_Log!H23="","",Office_Log!H23&amp;""))</f>
        <v/>
      </c>
      <c r="K23" t="inlineStr">
        <is>
          <t>office conversation</t>
        </is>
      </c>
    </row>
    <row r="24">
      <c r="A24" s="17">
        <f>IF(B24="","",B24+(1*1000+23)/10000000)</f>
        <v/>
      </c>
      <c r="B24" s="23">
        <f>IF(Office_Log!AU24=1,Office_Log!G24,"")</f>
        <v/>
      </c>
      <c r="C24" s="17">
        <f>IF(B24="","","office")</f>
        <v/>
      </c>
      <c r="D24" s="17">
        <f>IF(B24="","",Office_Log!$A24&amp;"")</f>
        <v/>
      </c>
      <c r="E24" s="17">
        <f>IF(B24="","",IF(Office_Log!B24="","",Office_Log!B24&amp;""))</f>
        <v/>
      </c>
      <c r="F24" s="17">
        <f>IF(B24="","","conversation")</f>
        <v/>
      </c>
      <c r="G24" s="17">
        <f>IF(B24="","","")</f>
        <v/>
      </c>
      <c r="H24" s="17">
        <f>IF(B24="","","")</f>
        <v/>
      </c>
      <c r="I24" s="17">
        <f>IF(B24="","","")</f>
        <v/>
      </c>
      <c r="J24" s="17">
        <f>IF(B24="","",IF(Office_Log!H24="","",Office_Log!H24&amp;""))</f>
        <v/>
      </c>
      <c r="K24" t="inlineStr">
        <is>
          <t>office conversation</t>
        </is>
      </c>
    </row>
    <row r="25">
      <c r="A25" s="17">
        <f>IF(B25="","",B25+(1*1000+24)/10000000)</f>
        <v/>
      </c>
      <c r="B25" s="23">
        <f>IF(Office_Log!AU25=1,Office_Log!G25,"")</f>
        <v/>
      </c>
      <c r="C25" s="17">
        <f>IF(B25="","","office")</f>
        <v/>
      </c>
      <c r="D25" s="17">
        <f>IF(B25="","",Office_Log!$A25&amp;"")</f>
        <v/>
      </c>
      <c r="E25" s="17">
        <f>IF(B25="","",IF(Office_Log!B25="","",Office_Log!B25&amp;""))</f>
        <v/>
      </c>
      <c r="F25" s="17">
        <f>IF(B25="","","conversation")</f>
        <v/>
      </c>
      <c r="G25" s="17">
        <f>IF(B25="","","")</f>
        <v/>
      </c>
      <c r="H25" s="17">
        <f>IF(B25="","","")</f>
        <v/>
      </c>
      <c r="I25" s="17">
        <f>IF(B25="","","")</f>
        <v/>
      </c>
      <c r="J25" s="17">
        <f>IF(B25="","",IF(Office_Log!H25="","",Office_Log!H25&amp;""))</f>
        <v/>
      </c>
      <c r="K25" t="inlineStr">
        <is>
          <t>office conversation</t>
        </is>
      </c>
    </row>
    <row r="26">
      <c r="A26" s="17">
        <f>IF(B26="","",B26+(1*1000+25)/10000000)</f>
        <v/>
      </c>
      <c r="B26" s="23">
        <f>IF(Office_Log!AU26=1,Office_Log!G26,"")</f>
        <v/>
      </c>
      <c r="C26" s="17">
        <f>IF(B26="","","office")</f>
        <v/>
      </c>
      <c r="D26" s="17">
        <f>IF(B26="","",Office_Log!$A26&amp;"")</f>
        <v/>
      </c>
      <c r="E26" s="17">
        <f>IF(B26="","",IF(Office_Log!B26="","",Office_Log!B26&amp;""))</f>
        <v/>
      </c>
      <c r="F26" s="17">
        <f>IF(B26="","","conversation")</f>
        <v/>
      </c>
      <c r="G26" s="17">
        <f>IF(B26="","","")</f>
        <v/>
      </c>
      <c r="H26" s="17">
        <f>IF(B26="","","")</f>
        <v/>
      </c>
      <c r="I26" s="17">
        <f>IF(B26="","","")</f>
        <v/>
      </c>
      <c r="J26" s="17">
        <f>IF(B26="","",IF(Office_Log!H26="","",Office_Log!H26&amp;""))</f>
        <v/>
      </c>
      <c r="K26" t="inlineStr">
        <is>
          <t>office conversation</t>
        </is>
      </c>
    </row>
    <row r="27">
      <c r="A27" s="17">
        <f>IF(B27="","",B27+(1*1000+26)/10000000)</f>
        <v/>
      </c>
      <c r="B27" s="23">
        <f>IF(Office_Log!AU27=1,Office_Log!G27,"")</f>
        <v/>
      </c>
      <c r="C27" s="17">
        <f>IF(B27="","","office")</f>
        <v/>
      </c>
      <c r="D27" s="17">
        <f>IF(B27="","",Office_Log!$A27&amp;"")</f>
        <v/>
      </c>
      <c r="E27" s="17">
        <f>IF(B27="","",IF(Office_Log!B27="","",Office_Log!B27&amp;""))</f>
        <v/>
      </c>
      <c r="F27" s="17">
        <f>IF(B27="","","conversation")</f>
        <v/>
      </c>
      <c r="G27" s="17">
        <f>IF(B27="","","")</f>
        <v/>
      </c>
      <c r="H27" s="17">
        <f>IF(B27="","","")</f>
        <v/>
      </c>
      <c r="I27" s="17">
        <f>IF(B27="","","")</f>
        <v/>
      </c>
      <c r="J27" s="17">
        <f>IF(B27="","",IF(Office_Log!H27="","",Office_Log!H27&amp;""))</f>
        <v/>
      </c>
      <c r="K27" t="inlineStr">
        <is>
          <t>office conversation</t>
        </is>
      </c>
    </row>
    <row r="28">
      <c r="A28" s="17">
        <f>IF(B28="","",B28+(1*1000+27)/10000000)</f>
        <v/>
      </c>
      <c r="B28" s="23">
        <f>IF(Office_Log!AU28=1,Office_Log!G28,"")</f>
        <v/>
      </c>
      <c r="C28" s="17">
        <f>IF(B28="","","office")</f>
        <v/>
      </c>
      <c r="D28" s="17">
        <f>IF(B28="","",Office_Log!$A28&amp;"")</f>
        <v/>
      </c>
      <c r="E28" s="17">
        <f>IF(B28="","",IF(Office_Log!B28="","",Office_Log!B28&amp;""))</f>
        <v/>
      </c>
      <c r="F28" s="17">
        <f>IF(B28="","","conversation")</f>
        <v/>
      </c>
      <c r="G28" s="17">
        <f>IF(B28="","","")</f>
        <v/>
      </c>
      <c r="H28" s="17">
        <f>IF(B28="","","")</f>
        <v/>
      </c>
      <c r="I28" s="17">
        <f>IF(B28="","","")</f>
        <v/>
      </c>
      <c r="J28" s="17">
        <f>IF(B28="","",IF(Office_Log!H28="","",Office_Log!H28&amp;""))</f>
        <v/>
      </c>
      <c r="K28" t="inlineStr">
        <is>
          <t>office conversation</t>
        </is>
      </c>
    </row>
    <row r="29">
      <c r="A29" s="17">
        <f>IF(B29="","",B29+(1*1000+28)/10000000)</f>
        <v/>
      </c>
      <c r="B29" s="23">
        <f>IF(Office_Log!AU29=1,Office_Log!G29,"")</f>
        <v/>
      </c>
      <c r="C29" s="17">
        <f>IF(B29="","","office")</f>
        <v/>
      </c>
      <c r="D29" s="17">
        <f>IF(B29="","",Office_Log!$A29&amp;"")</f>
        <v/>
      </c>
      <c r="E29" s="17">
        <f>IF(B29="","",IF(Office_Log!B29="","",Office_Log!B29&amp;""))</f>
        <v/>
      </c>
      <c r="F29" s="17">
        <f>IF(B29="","","conversation")</f>
        <v/>
      </c>
      <c r="G29" s="17">
        <f>IF(B29="","","")</f>
        <v/>
      </c>
      <c r="H29" s="17">
        <f>IF(B29="","","")</f>
        <v/>
      </c>
      <c r="I29" s="17">
        <f>IF(B29="","","")</f>
        <v/>
      </c>
      <c r="J29" s="17">
        <f>IF(B29="","",IF(Office_Log!H29="","",Office_Log!H29&amp;""))</f>
        <v/>
      </c>
      <c r="K29" t="inlineStr">
        <is>
          <t>office conversation</t>
        </is>
      </c>
    </row>
    <row r="30">
      <c r="A30" s="17">
        <f>IF(B30="","",B30+(1*1000+29)/10000000)</f>
        <v/>
      </c>
      <c r="B30" s="23">
        <f>IF(Office_Log!AU30=1,Office_Log!G30,"")</f>
        <v/>
      </c>
      <c r="C30" s="17">
        <f>IF(B30="","","office")</f>
        <v/>
      </c>
      <c r="D30" s="17">
        <f>IF(B30="","",Office_Log!$A30&amp;"")</f>
        <v/>
      </c>
      <c r="E30" s="17">
        <f>IF(B30="","",IF(Office_Log!B30="","",Office_Log!B30&amp;""))</f>
        <v/>
      </c>
      <c r="F30" s="17">
        <f>IF(B30="","","conversation")</f>
        <v/>
      </c>
      <c r="G30" s="17">
        <f>IF(B30="","","")</f>
        <v/>
      </c>
      <c r="H30" s="17">
        <f>IF(B30="","","")</f>
        <v/>
      </c>
      <c r="I30" s="17">
        <f>IF(B30="","","")</f>
        <v/>
      </c>
      <c r="J30" s="17">
        <f>IF(B30="","",IF(Office_Log!H30="","",Office_Log!H30&amp;""))</f>
        <v/>
      </c>
      <c r="K30" t="inlineStr">
        <is>
          <t>office conversation</t>
        </is>
      </c>
    </row>
    <row r="31">
      <c r="A31" s="17">
        <f>IF(B31="","",B31+(1*1000+30)/10000000)</f>
        <v/>
      </c>
      <c r="B31" s="23">
        <f>IF(Office_Log!AU31=1,Office_Log!G31,"")</f>
        <v/>
      </c>
      <c r="C31" s="17">
        <f>IF(B31="","","office")</f>
        <v/>
      </c>
      <c r="D31" s="17">
        <f>IF(B31="","",Office_Log!$A31&amp;"")</f>
        <v/>
      </c>
      <c r="E31" s="17">
        <f>IF(B31="","",IF(Office_Log!B31="","",Office_Log!B31&amp;""))</f>
        <v/>
      </c>
      <c r="F31" s="17">
        <f>IF(B31="","","conversation")</f>
        <v/>
      </c>
      <c r="G31" s="17">
        <f>IF(B31="","","")</f>
        <v/>
      </c>
      <c r="H31" s="17">
        <f>IF(B31="","","")</f>
        <v/>
      </c>
      <c r="I31" s="17">
        <f>IF(B31="","","")</f>
        <v/>
      </c>
      <c r="J31" s="17">
        <f>IF(B31="","",IF(Office_Log!H31="","",Office_Log!H31&amp;""))</f>
        <v/>
      </c>
      <c r="K31" t="inlineStr">
        <is>
          <t>office conversation</t>
        </is>
      </c>
    </row>
    <row r="32">
      <c r="A32" s="17">
        <f>IF(B32="","",B32+(1*1000+31)/10000000)</f>
        <v/>
      </c>
      <c r="B32" s="23">
        <f>IF(Office_Log!AU32=1,Office_Log!G32,"")</f>
        <v/>
      </c>
      <c r="C32" s="17">
        <f>IF(B32="","","office")</f>
        <v/>
      </c>
      <c r="D32" s="17">
        <f>IF(B32="","",Office_Log!$A32&amp;"")</f>
        <v/>
      </c>
      <c r="E32" s="17">
        <f>IF(B32="","",IF(Office_Log!B32="","",Office_Log!B32&amp;""))</f>
        <v/>
      </c>
      <c r="F32" s="17">
        <f>IF(B32="","","conversation")</f>
        <v/>
      </c>
      <c r="G32" s="17">
        <f>IF(B32="","","")</f>
        <v/>
      </c>
      <c r="H32" s="17">
        <f>IF(B32="","","")</f>
        <v/>
      </c>
      <c r="I32" s="17">
        <f>IF(B32="","","")</f>
        <v/>
      </c>
      <c r="J32" s="17">
        <f>IF(B32="","",IF(Office_Log!H32="","",Office_Log!H32&amp;""))</f>
        <v/>
      </c>
      <c r="K32" t="inlineStr">
        <is>
          <t>office conversation</t>
        </is>
      </c>
    </row>
    <row r="33">
      <c r="A33" s="17">
        <f>IF(B33="","",B33+(1*1000+32)/10000000)</f>
        <v/>
      </c>
      <c r="B33" s="23">
        <f>IF(Office_Log!AU33=1,Office_Log!G33,"")</f>
        <v/>
      </c>
      <c r="C33" s="17">
        <f>IF(B33="","","office")</f>
        <v/>
      </c>
      <c r="D33" s="17">
        <f>IF(B33="","",Office_Log!$A33&amp;"")</f>
        <v/>
      </c>
      <c r="E33" s="17">
        <f>IF(B33="","",IF(Office_Log!B33="","",Office_Log!B33&amp;""))</f>
        <v/>
      </c>
      <c r="F33" s="17">
        <f>IF(B33="","","conversation")</f>
        <v/>
      </c>
      <c r="G33" s="17">
        <f>IF(B33="","","")</f>
        <v/>
      </c>
      <c r="H33" s="17">
        <f>IF(B33="","","")</f>
        <v/>
      </c>
      <c r="I33" s="17">
        <f>IF(B33="","","")</f>
        <v/>
      </c>
      <c r="J33" s="17">
        <f>IF(B33="","",IF(Office_Log!H33="","",Office_Log!H33&amp;""))</f>
        <v/>
      </c>
      <c r="K33" t="inlineStr">
        <is>
          <t>office conversation</t>
        </is>
      </c>
    </row>
    <row r="34">
      <c r="A34" s="17">
        <f>IF(B34="","",B34+(1*1000+33)/10000000)</f>
        <v/>
      </c>
      <c r="B34" s="23">
        <f>IF(Office_Log!AU34=1,Office_Log!G34,"")</f>
        <v/>
      </c>
      <c r="C34" s="17">
        <f>IF(B34="","","office")</f>
        <v/>
      </c>
      <c r="D34" s="17">
        <f>IF(B34="","",Office_Log!$A34&amp;"")</f>
        <v/>
      </c>
      <c r="E34" s="17">
        <f>IF(B34="","",IF(Office_Log!B34="","",Office_Log!B34&amp;""))</f>
        <v/>
      </c>
      <c r="F34" s="17">
        <f>IF(B34="","","conversation")</f>
        <v/>
      </c>
      <c r="G34" s="17">
        <f>IF(B34="","","")</f>
        <v/>
      </c>
      <c r="H34" s="17">
        <f>IF(B34="","","")</f>
        <v/>
      </c>
      <c r="I34" s="17">
        <f>IF(B34="","","")</f>
        <v/>
      </c>
      <c r="J34" s="17">
        <f>IF(B34="","",IF(Office_Log!H34="","",Office_Log!H34&amp;""))</f>
        <v/>
      </c>
      <c r="K34" t="inlineStr">
        <is>
          <t>office conversation</t>
        </is>
      </c>
    </row>
    <row r="35">
      <c r="A35" s="17">
        <f>IF(B35="","",B35+(1*1000+34)/10000000)</f>
        <v/>
      </c>
      <c r="B35" s="23">
        <f>IF(Office_Log!AU35=1,Office_Log!G35,"")</f>
        <v/>
      </c>
      <c r="C35" s="17">
        <f>IF(B35="","","office")</f>
        <v/>
      </c>
      <c r="D35" s="17">
        <f>IF(B35="","",Office_Log!$A35&amp;"")</f>
        <v/>
      </c>
      <c r="E35" s="17">
        <f>IF(B35="","",IF(Office_Log!B35="","",Office_Log!B35&amp;""))</f>
        <v/>
      </c>
      <c r="F35" s="17">
        <f>IF(B35="","","conversation")</f>
        <v/>
      </c>
      <c r="G35" s="17">
        <f>IF(B35="","","")</f>
        <v/>
      </c>
      <c r="H35" s="17">
        <f>IF(B35="","","")</f>
        <v/>
      </c>
      <c r="I35" s="17">
        <f>IF(B35="","","")</f>
        <v/>
      </c>
      <c r="J35" s="17">
        <f>IF(B35="","",IF(Office_Log!H35="","",Office_Log!H35&amp;""))</f>
        <v/>
      </c>
      <c r="K35" t="inlineStr">
        <is>
          <t>office conversation</t>
        </is>
      </c>
    </row>
    <row r="36">
      <c r="A36" s="17">
        <f>IF(B36="","",B36+(1*1000+35)/10000000)</f>
        <v/>
      </c>
      <c r="B36" s="23">
        <f>IF(Office_Log!AU36=1,Office_Log!G36,"")</f>
        <v/>
      </c>
      <c r="C36" s="17">
        <f>IF(B36="","","office")</f>
        <v/>
      </c>
      <c r="D36" s="17">
        <f>IF(B36="","",Office_Log!$A36&amp;"")</f>
        <v/>
      </c>
      <c r="E36" s="17">
        <f>IF(B36="","",IF(Office_Log!B36="","",Office_Log!B36&amp;""))</f>
        <v/>
      </c>
      <c r="F36" s="17">
        <f>IF(B36="","","conversation")</f>
        <v/>
      </c>
      <c r="G36" s="17">
        <f>IF(B36="","","")</f>
        <v/>
      </c>
      <c r="H36" s="17">
        <f>IF(B36="","","")</f>
        <v/>
      </c>
      <c r="I36" s="17">
        <f>IF(B36="","","")</f>
        <v/>
      </c>
      <c r="J36" s="17">
        <f>IF(B36="","",IF(Office_Log!H36="","",Office_Log!H36&amp;""))</f>
        <v/>
      </c>
      <c r="K36" t="inlineStr">
        <is>
          <t>office conversation</t>
        </is>
      </c>
    </row>
    <row r="37">
      <c r="A37" s="17">
        <f>IF(B37="","",B37+(1*1000+36)/10000000)</f>
        <v/>
      </c>
      <c r="B37" s="23">
        <f>IF(Office_Log!AU37=1,Office_Log!G37,"")</f>
        <v/>
      </c>
      <c r="C37" s="17">
        <f>IF(B37="","","office")</f>
        <v/>
      </c>
      <c r="D37" s="17">
        <f>IF(B37="","",Office_Log!$A37&amp;"")</f>
        <v/>
      </c>
      <c r="E37" s="17">
        <f>IF(B37="","",IF(Office_Log!B37="","",Office_Log!B37&amp;""))</f>
        <v/>
      </c>
      <c r="F37" s="17">
        <f>IF(B37="","","conversation")</f>
        <v/>
      </c>
      <c r="G37" s="17">
        <f>IF(B37="","","")</f>
        <v/>
      </c>
      <c r="H37" s="17">
        <f>IF(B37="","","")</f>
        <v/>
      </c>
      <c r="I37" s="17">
        <f>IF(B37="","","")</f>
        <v/>
      </c>
      <c r="J37" s="17">
        <f>IF(B37="","",IF(Office_Log!H37="","",Office_Log!H37&amp;""))</f>
        <v/>
      </c>
      <c r="K37" t="inlineStr">
        <is>
          <t>office conversation</t>
        </is>
      </c>
    </row>
    <row r="38">
      <c r="A38" s="17">
        <f>IF(B38="","",B38+(1*1000+37)/10000000)</f>
        <v/>
      </c>
      <c r="B38" s="23">
        <f>IF(Office_Log!AU38=1,Office_Log!G38,"")</f>
        <v/>
      </c>
      <c r="C38" s="17">
        <f>IF(B38="","","office")</f>
        <v/>
      </c>
      <c r="D38" s="17">
        <f>IF(B38="","",Office_Log!$A38&amp;"")</f>
        <v/>
      </c>
      <c r="E38" s="17">
        <f>IF(B38="","",IF(Office_Log!B38="","",Office_Log!B38&amp;""))</f>
        <v/>
      </c>
      <c r="F38" s="17">
        <f>IF(B38="","","conversation")</f>
        <v/>
      </c>
      <c r="G38" s="17">
        <f>IF(B38="","","")</f>
        <v/>
      </c>
      <c r="H38" s="17">
        <f>IF(B38="","","")</f>
        <v/>
      </c>
      <c r="I38" s="17">
        <f>IF(B38="","","")</f>
        <v/>
      </c>
      <c r="J38" s="17">
        <f>IF(B38="","",IF(Office_Log!H38="","",Office_Log!H38&amp;""))</f>
        <v/>
      </c>
      <c r="K38" t="inlineStr">
        <is>
          <t>office conversation</t>
        </is>
      </c>
    </row>
    <row r="39">
      <c r="A39" s="17">
        <f>IF(B39="","",B39+(1*1000+38)/10000000)</f>
        <v/>
      </c>
      <c r="B39" s="23">
        <f>IF(Office_Log!AU39=1,Office_Log!G39,"")</f>
        <v/>
      </c>
      <c r="C39" s="17">
        <f>IF(B39="","","office")</f>
        <v/>
      </c>
      <c r="D39" s="17">
        <f>IF(B39="","",Office_Log!$A39&amp;"")</f>
        <v/>
      </c>
      <c r="E39" s="17">
        <f>IF(B39="","",IF(Office_Log!B39="","",Office_Log!B39&amp;""))</f>
        <v/>
      </c>
      <c r="F39" s="17">
        <f>IF(B39="","","conversation")</f>
        <v/>
      </c>
      <c r="G39" s="17">
        <f>IF(B39="","","")</f>
        <v/>
      </c>
      <c r="H39" s="17">
        <f>IF(B39="","","")</f>
        <v/>
      </c>
      <c r="I39" s="17">
        <f>IF(B39="","","")</f>
        <v/>
      </c>
      <c r="J39" s="17">
        <f>IF(B39="","",IF(Office_Log!H39="","",Office_Log!H39&amp;""))</f>
        <v/>
      </c>
      <c r="K39" t="inlineStr">
        <is>
          <t>office conversation</t>
        </is>
      </c>
    </row>
    <row r="40">
      <c r="A40" s="17">
        <f>IF(B40="","",B40+(1*1000+39)/10000000)</f>
        <v/>
      </c>
      <c r="B40" s="23">
        <f>IF(Office_Log!AU40=1,Office_Log!G40,"")</f>
        <v/>
      </c>
      <c r="C40" s="17">
        <f>IF(B40="","","office")</f>
        <v/>
      </c>
      <c r="D40" s="17">
        <f>IF(B40="","",Office_Log!$A40&amp;"")</f>
        <v/>
      </c>
      <c r="E40" s="17">
        <f>IF(B40="","",IF(Office_Log!B40="","",Office_Log!B40&amp;""))</f>
        <v/>
      </c>
      <c r="F40" s="17">
        <f>IF(B40="","","conversation")</f>
        <v/>
      </c>
      <c r="G40" s="17">
        <f>IF(B40="","","")</f>
        <v/>
      </c>
      <c r="H40" s="17">
        <f>IF(B40="","","")</f>
        <v/>
      </c>
      <c r="I40" s="17">
        <f>IF(B40="","","")</f>
        <v/>
      </c>
      <c r="J40" s="17">
        <f>IF(B40="","",IF(Office_Log!H40="","",Office_Log!H40&amp;""))</f>
        <v/>
      </c>
      <c r="K40" t="inlineStr">
        <is>
          <t>office conversation</t>
        </is>
      </c>
    </row>
    <row r="41">
      <c r="A41" s="17">
        <f>IF(B41="","",B41+(1*1000+40)/10000000)</f>
        <v/>
      </c>
      <c r="B41" s="23">
        <f>IF(Office_Log!AU41=1,Office_Log!G41,"")</f>
        <v/>
      </c>
      <c r="C41" s="17">
        <f>IF(B41="","","office")</f>
        <v/>
      </c>
      <c r="D41" s="17">
        <f>IF(B41="","",Office_Log!$A41&amp;"")</f>
        <v/>
      </c>
      <c r="E41" s="17">
        <f>IF(B41="","",IF(Office_Log!B41="","",Office_Log!B41&amp;""))</f>
        <v/>
      </c>
      <c r="F41" s="17">
        <f>IF(B41="","","conversation")</f>
        <v/>
      </c>
      <c r="G41" s="17">
        <f>IF(B41="","","")</f>
        <v/>
      </c>
      <c r="H41" s="17">
        <f>IF(B41="","","")</f>
        <v/>
      </c>
      <c r="I41" s="17">
        <f>IF(B41="","","")</f>
        <v/>
      </c>
      <c r="J41" s="17">
        <f>IF(B41="","",IF(Office_Log!H41="","",Office_Log!H41&amp;""))</f>
        <v/>
      </c>
      <c r="K41" t="inlineStr">
        <is>
          <t>office conversation</t>
        </is>
      </c>
    </row>
    <row r="42">
      <c r="A42" s="17">
        <f>IF(B42="","",B42+(1*1000+41)/10000000)</f>
        <v/>
      </c>
      <c r="B42" s="23">
        <f>IF(Office_Log!AU42=1,Office_Log!G42,"")</f>
        <v/>
      </c>
      <c r="C42" s="17">
        <f>IF(B42="","","office")</f>
        <v/>
      </c>
      <c r="D42" s="17">
        <f>IF(B42="","",Office_Log!$A42&amp;"")</f>
        <v/>
      </c>
      <c r="E42" s="17">
        <f>IF(B42="","",IF(Office_Log!B42="","",Office_Log!B42&amp;""))</f>
        <v/>
      </c>
      <c r="F42" s="17">
        <f>IF(B42="","","conversation")</f>
        <v/>
      </c>
      <c r="G42" s="17">
        <f>IF(B42="","","")</f>
        <v/>
      </c>
      <c r="H42" s="17">
        <f>IF(B42="","","")</f>
        <v/>
      </c>
      <c r="I42" s="17">
        <f>IF(B42="","","")</f>
        <v/>
      </c>
      <c r="J42" s="17">
        <f>IF(B42="","",IF(Office_Log!H42="","",Office_Log!H42&amp;""))</f>
        <v/>
      </c>
      <c r="K42" t="inlineStr">
        <is>
          <t>office conversation</t>
        </is>
      </c>
    </row>
    <row r="43">
      <c r="A43" s="17">
        <f>IF(B43="","",B43+(1*1000+42)/10000000)</f>
        <v/>
      </c>
      <c r="B43" s="23">
        <f>IF(Office_Log!AU43=1,Office_Log!G43,"")</f>
        <v/>
      </c>
      <c r="C43" s="17">
        <f>IF(B43="","","office")</f>
        <v/>
      </c>
      <c r="D43" s="17">
        <f>IF(B43="","",Office_Log!$A43&amp;"")</f>
        <v/>
      </c>
      <c r="E43" s="17">
        <f>IF(B43="","",IF(Office_Log!B43="","",Office_Log!B43&amp;""))</f>
        <v/>
      </c>
      <c r="F43" s="17">
        <f>IF(B43="","","conversation")</f>
        <v/>
      </c>
      <c r="G43" s="17">
        <f>IF(B43="","","")</f>
        <v/>
      </c>
      <c r="H43" s="17">
        <f>IF(B43="","","")</f>
        <v/>
      </c>
      <c r="I43" s="17">
        <f>IF(B43="","","")</f>
        <v/>
      </c>
      <c r="J43" s="17">
        <f>IF(B43="","",IF(Office_Log!H43="","",Office_Log!H43&amp;""))</f>
        <v/>
      </c>
      <c r="K43" t="inlineStr">
        <is>
          <t>office conversation</t>
        </is>
      </c>
    </row>
    <row r="44">
      <c r="A44" s="17">
        <f>IF(B44="","",B44+(1*1000+43)/10000000)</f>
        <v/>
      </c>
      <c r="B44" s="23">
        <f>IF(Office_Log!AU44=1,Office_Log!G44,"")</f>
        <v/>
      </c>
      <c r="C44" s="17">
        <f>IF(B44="","","office")</f>
        <v/>
      </c>
      <c r="D44" s="17">
        <f>IF(B44="","",Office_Log!$A44&amp;"")</f>
        <v/>
      </c>
      <c r="E44" s="17">
        <f>IF(B44="","",IF(Office_Log!B44="","",Office_Log!B44&amp;""))</f>
        <v/>
      </c>
      <c r="F44" s="17">
        <f>IF(B44="","","conversation")</f>
        <v/>
      </c>
      <c r="G44" s="17">
        <f>IF(B44="","","")</f>
        <v/>
      </c>
      <c r="H44" s="17">
        <f>IF(B44="","","")</f>
        <v/>
      </c>
      <c r="I44" s="17">
        <f>IF(B44="","","")</f>
        <v/>
      </c>
      <c r="J44" s="17">
        <f>IF(B44="","",IF(Office_Log!H44="","",Office_Log!H44&amp;""))</f>
        <v/>
      </c>
      <c r="K44" t="inlineStr">
        <is>
          <t>office conversation</t>
        </is>
      </c>
    </row>
    <row r="45">
      <c r="A45" s="17">
        <f>IF(B45="","",B45+(1*1000+44)/10000000)</f>
        <v/>
      </c>
      <c r="B45" s="23">
        <f>IF(Office_Log!AU45=1,Office_Log!G45,"")</f>
        <v/>
      </c>
      <c r="C45" s="17">
        <f>IF(B45="","","office")</f>
        <v/>
      </c>
      <c r="D45" s="17">
        <f>IF(B45="","",Office_Log!$A45&amp;"")</f>
        <v/>
      </c>
      <c r="E45" s="17">
        <f>IF(B45="","",IF(Office_Log!B45="","",Office_Log!B45&amp;""))</f>
        <v/>
      </c>
      <c r="F45" s="17">
        <f>IF(B45="","","conversation")</f>
        <v/>
      </c>
      <c r="G45" s="17">
        <f>IF(B45="","","")</f>
        <v/>
      </c>
      <c r="H45" s="17">
        <f>IF(B45="","","")</f>
        <v/>
      </c>
      <c r="I45" s="17">
        <f>IF(B45="","","")</f>
        <v/>
      </c>
      <c r="J45" s="17">
        <f>IF(B45="","",IF(Office_Log!H45="","",Office_Log!H45&amp;""))</f>
        <v/>
      </c>
      <c r="K45" t="inlineStr">
        <is>
          <t>office conversation</t>
        </is>
      </c>
    </row>
    <row r="46">
      <c r="A46" s="17">
        <f>IF(B46="","",B46+(1*1000+45)/10000000)</f>
        <v/>
      </c>
      <c r="B46" s="23">
        <f>IF(Office_Log!AU46=1,Office_Log!G46,"")</f>
        <v/>
      </c>
      <c r="C46" s="17">
        <f>IF(B46="","","office")</f>
        <v/>
      </c>
      <c r="D46" s="17">
        <f>IF(B46="","",Office_Log!$A46&amp;"")</f>
        <v/>
      </c>
      <c r="E46" s="17">
        <f>IF(B46="","",IF(Office_Log!B46="","",Office_Log!B46&amp;""))</f>
        <v/>
      </c>
      <c r="F46" s="17">
        <f>IF(B46="","","conversation")</f>
        <v/>
      </c>
      <c r="G46" s="17">
        <f>IF(B46="","","")</f>
        <v/>
      </c>
      <c r="H46" s="17">
        <f>IF(B46="","","")</f>
        <v/>
      </c>
      <c r="I46" s="17">
        <f>IF(B46="","","")</f>
        <v/>
      </c>
      <c r="J46" s="17">
        <f>IF(B46="","",IF(Office_Log!H46="","",Office_Log!H46&amp;""))</f>
        <v/>
      </c>
      <c r="K46" t="inlineStr">
        <is>
          <t>office conversation</t>
        </is>
      </c>
    </row>
    <row r="47">
      <c r="A47" s="17">
        <f>IF(B47="","",B47+(1*1000+46)/10000000)</f>
        <v/>
      </c>
      <c r="B47" s="23">
        <f>IF(Office_Log!AU47=1,Office_Log!G47,"")</f>
        <v/>
      </c>
      <c r="C47" s="17">
        <f>IF(B47="","","office")</f>
        <v/>
      </c>
      <c r="D47" s="17">
        <f>IF(B47="","",Office_Log!$A47&amp;"")</f>
        <v/>
      </c>
      <c r="E47" s="17">
        <f>IF(B47="","",IF(Office_Log!B47="","",Office_Log!B47&amp;""))</f>
        <v/>
      </c>
      <c r="F47" s="17">
        <f>IF(B47="","","conversation")</f>
        <v/>
      </c>
      <c r="G47" s="17">
        <f>IF(B47="","","")</f>
        <v/>
      </c>
      <c r="H47" s="17">
        <f>IF(B47="","","")</f>
        <v/>
      </c>
      <c r="I47" s="17">
        <f>IF(B47="","","")</f>
        <v/>
      </c>
      <c r="J47" s="17">
        <f>IF(B47="","",IF(Office_Log!H47="","",Office_Log!H47&amp;""))</f>
        <v/>
      </c>
      <c r="K47" t="inlineStr">
        <is>
          <t>office conversation</t>
        </is>
      </c>
    </row>
    <row r="48">
      <c r="A48" s="17">
        <f>IF(B48="","",B48+(1*1000+47)/10000000)</f>
        <v/>
      </c>
      <c r="B48" s="23">
        <f>IF(Office_Log!AU48=1,Office_Log!G48,"")</f>
        <v/>
      </c>
      <c r="C48" s="17">
        <f>IF(B48="","","office")</f>
        <v/>
      </c>
      <c r="D48" s="17">
        <f>IF(B48="","",Office_Log!$A48&amp;"")</f>
        <v/>
      </c>
      <c r="E48" s="17">
        <f>IF(B48="","",IF(Office_Log!B48="","",Office_Log!B48&amp;""))</f>
        <v/>
      </c>
      <c r="F48" s="17">
        <f>IF(B48="","","conversation")</f>
        <v/>
      </c>
      <c r="G48" s="17">
        <f>IF(B48="","","")</f>
        <v/>
      </c>
      <c r="H48" s="17">
        <f>IF(B48="","","")</f>
        <v/>
      </c>
      <c r="I48" s="17">
        <f>IF(B48="","","")</f>
        <v/>
      </c>
      <c r="J48" s="17">
        <f>IF(B48="","",IF(Office_Log!H48="","",Office_Log!H48&amp;""))</f>
        <v/>
      </c>
      <c r="K48" t="inlineStr">
        <is>
          <t>office conversation</t>
        </is>
      </c>
    </row>
    <row r="49">
      <c r="A49" s="17">
        <f>IF(B49="","",B49+(1*1000+48)/10000000)</f>
        <v/>
      </c>
      <c r="B49" s="23">
        <f>IF(Office_Log!AU49=1,Office_Log!G49,"")</f>
        <v/>
      </c>
      <c r="C49" s="17">
        <f>IF(B49="","","office")</f>
        <v/>
      </c>
      <c r="D49" s="17">
        <f>IF(B49="","",Office_Log!$A49&amp;"")</f>
        <v/>
      </c>
      <c r="E49" s="17">
        <f>IF(B49="","",IF(Office_Log!B49="","",Office_Log!B49&amp;""))</f>
        <v/>
      </c>
      <c r="F49" s="17">
        <f>IF(B49="","","conversation")</f>
        <v/>
      </c>
      <c r="G49" s="17">
        <f>IF(B49="","","")</f>
        <v/>
      </c>
      <c r="H49" s="17">
        <f>IF(B49="","","")</f>
        <v/>
      </c>
      <c r="I49" s="17">
        <f>IF(B49="","","")</f>
        <v/>
      </c>
      <c r="J49" s="17">
        <f>IF(B49="","",IF(Office_Log!H49="","",Office_Log!H49&amp;""))</f>
        <v/>
      </c>
      <c r="K49" t="inlineStr">
        <is>
          <t>office conversation</t>
        </is>
      </c>
    </row>
    <row r="50">
      <c r="A50" s="17">
        <f>IF(B50="","",B50+(1*1000+49)/10000000)</f>
        <v/>
      </c>
      <c r="B50" s="23">
        <f>IF(Office_Log!AU50=1,Office_Log!G50,"")</f>
        <v/>
      </c>
      <c r="C50" s="17">
        <f>IF(B50="","","office")</f>
        <v/>
      </c>
      <c r="D50" s="17">
        <f>IF(B50="","",Office_Log!$A50&amp;"")</f>
        <v/>
      </c>
      <c r="E50" s="17">
        <f>IF(B50="","",IF(Office_Log!B50="","",Office_Log!B50&amp;""))</f>
        <v/>
      </c>
      <c r="F50" s="17">
        <f>IF(B50="","","conversation")</f>
        <v/>
      </c>
      <c r="G50" s="17">
        <f>IF(B50="","","")</f>
        <v/>
      </c>
      <c r="H50" s="17">
        <f>IF(B50="","","")</f>
        <v/>
      </c>
      <c r="I50" s="17">
        <f>IF(B50="","","")</f>
        <v/>
      </c>
      <c r="J50" s="17">
        <f>IF(B50="","",IF(Office_Log!H50="","",Office_Log!H50&amp;""))</f>
        <v/>
      </c>
      <c r="K50" t="inlineStr">
        <is>
          <t>office conversation</t>
        </is>
      </c>
    </row>
    <row r="51">
      <c r="A51" s="17">
        <f>IF(B51="","",B51+(1*1000+50)/10000000)</f>
        <v/>
      </c>
      <c r="B51" s="23">
        <f>IF(Office_Log!AU51=1,Office_Log!G51,"")</f>
        <v/>
      </c>
      <c r="C51" s="17">
        <f>IF(B51="","","office")</f>
        <v/>
      </c>
      <c r="D51" s="17">
        <f>IF(B51="","",Office_Log!$A51&amp;"")</f>
        <v/>
      </c>
      <c r="E51" s="17">
        <f>IF(B51="","",IF(Office_Log!B51="","",Office_Log!B51&amp;""))</f>
        <v/>
      </c>
      <c r="F51" s="17">
        <f>IF(B51="","","conversation")</f>
        <v/>
      </c>
      <c r="G51" s="17">
        <f>IF(B51="","","")</f>
        <v/>
      </c>
      <c r="H51" s="17">
        <f>IF(B51="","","")</f>
        <v/>
      </c>
      <c r="I51" s="17">
        <f>IF(B51="","","")</f>
        <v/>
      </c>
      <c r="J51" s="17">
        <f>IF(B51="","",IF(Office_Log!H51="","",Office_Log!H51&amp;""))</f>
        <v/>
      </c>
      <c r="K51" t="inlineStr">
        <is>
          <t>office conversation</t>
        </is>
      </c>
    </row>
    <row r="52">
      <c r="A52" s="17">
        <f>IF(B52="","",B52+(1*1000+51)/10000000)</f>
        <v/>
      </c>
      <c r="B52" s="23">
        <f>IF(Office_Log!AU52=1,Office_Log!G52,"")</f>
        <v/>
      </c>
      <c r="C52" s="17">
        <f>IF(B52="","","office")</f>
        <v/>
      </c>
      <c r="D52" s="17">
        <f>IF(B52="","",Office_Log!$A52&amp;"")</f>
        <v/>
      </c>
      <c r="E52" s="17">
        <f>IF(B52="","",IF(Office_Log!B52="","",Office_Log!B52&amp;""))</f>
        <v/>
      </c>
      <c r="F52" s="17">
        <f>IF(B52="","","conversation")</f>
        <v/>
      </c>
      <c r="G52" s="17">
        <f>IF(B52="","","")</f>
        <v/>
      </c>
      <c r="H52" s="17">
        <f>IF(B52="","","")</f>
        <v/>
      </c>
      <c r="I52" s="17">
        <f>IF(B52="","","")</f>
        <v/>
      </c>
      <c r="J52" s="17">
        <f>IF(B52="","",IF(Office_Log!H52="","",Office_Log!H52&amp;""))</f>
        <v/>
      </c>
      <c r="K52" t="inlineStr">
        <is>
          <t>office conversation</t>
        </is>
      </c>
    </row>
    <row r="53">
      <c r="A53" s="17">
        <f>IF(B53="","",B53+(1*1000+52)/10000000)</f>
        <v/>
      </c>
      <c r="B53" s="23">
        <f>IF(Office_Log!AU53=1,Office_Log!G53,"")</f>
        <v/>
      </c>
      <c r="C53" s="17">
        <f>IF(B53="","","office")</f>
        <v/>
      </c>
      <c r="D53" s="17">
        <f>IF(B53="","",Office_Log!$A53&amp;"")</f>
        <v/>
      </c>
      <c r="E53" s="17">
        <f>IF(B53="","",IF(Office_Log!B53="","",Office_Log!B53&amp;""))</f>
        <v/>
      </c>
      <c r="F53" s="17">
        <f>IF(B53="","","conversation")</f>
        <v/>
      </c>
      <c r="G53" s="17">
        <f>IF(B53="","","")</f>
        <v/>
      </c>
      <c r="H53" s="17">
        <f>IF(B53="","","")</f>
        <v/>
      </c>
      <c r="I53" s="17">
        <f>IF(B53="","","")</f>
        <v/>
      </c>
      <c r="J53" s="17">
        <f>IF(B53="","",IF(Office_Log!H53="","",Office_Log!H53&amp;""))</f>
        <v/>
      </c>
      <c r="K53" t="inlineStr">
        <is>
          <t>office conversation</t>
        </is>
      </c>
    </row>
    <row r="54">
      <c r="A54" s="17">
        <f>IF(B54="","",B54+(1*1000+53)/10000000)</f>
        <v/>
      </c>
      <c r="B54" s="23">
        <f>IF(Office_Log!AU54=1,Office_Log!G54,"")</f>
        <v/>
      </c>
      <c r="C54" s="17">
        <f>IF(B54="","","office")</f>
        <v/>
      </c>
      <c r="D54" s="17">
        <f>IF(B54="","",Office_Log!$A54&amp;"")</f>
        <v/>
      </c>
      <c r="E54" s="17">
        <f>IF(B54="","",IF(Office_Log!B54="","",Office_Log!B54&amp;""))</f>
        <v/>
      </c>
      <c r="F54" s="17">
        <f>IF(B54="","","conversation")</f>
        <v/>
      </c>
      <c r="G54" s="17">
        <f>IF(B54="","","")</f>
        <v/>
      </c>
      <c r="H54" s="17">
        <f>IF(B54="","","")</f>
        <v/>
      </c>
      <c r="I54" s="17">
        <f>IF(B54="","","")</f>
        <v/>
      </c>
      <c r="J54" s="17">
        <f>IF(B54="","",IF(Office_Log!H54="","",Office_Log!H54&amp;""))</f>
        <v/>
      </c>
      <c r="K54" t="inlineStr">
        <is>
          <t>office conversation</t>
        </is>
      </c>
    </row>
    <row r="55">
      <c r="A55" s="17">
        <f>IF(B55="","",B55+(1*1000+54)/10000000)</f>
        <v/>
      </c>
      <c r="B55" s="23">
        <f>IF(Office_Log!AU55=1,Office_Log!G55,"")</f>
        <v/>
      </c>
      <c r="C55" s="17">
        <f>IF(B55="","","office")</f>
        <v/>
      </c>
      <c r="D55" s="17">
        <f>IF(B55="","",Office_Log!$A55&amp;"")</f>
        <v/>
      </c>
      <c r="E55" s="17">
        <f>IF(B55="","",IF(Office_Log!B55="","",Office_Log!B55&amp;""))</f>
        <v/>
      </c>
      <c r="F55" s="17">
        <f>IF(B55="","","conversation")</f>
        <v/>
      </c>
      <c r="G55" s="17">
        <f>IF(B55="","","")</f>
        <v/>
      </c>
      <c r="H55" s="17">
        <f>IF(B55="","","")</f>
        <v/>
      </c>
      <c r="I55" s="17">
        <f>IF(B55="","","")</f>
        <v/>
      </c>
      <c r="J55" s="17">
        <f>IF(B55="","",IF(Office_Log!H55="","",Office_Log!H55&amp;""))</f>
        <v/>
      </c>
      <c r="K55" t="inlineStr">
        <is>
          <t>office conversation</t>
        </is>
      </c>
    </row>
    <row r="56">
      <c r="A56" s="17">
        <f>IF(B56="","",B56+(1*1000+55)/10000000)</f>
        <v/>
      </c>
      <c r="B56" s="23">
        <f>IF(Office_Log!AU56=1,Office_Log!G56,"")</f>
        <v/>
      </c>
      <c r="C56" s="17">
        <f>IF(B56="","","office")</f>
        <v/>
      </c>
      <c r="D56" s="17">
        <f>IF(B56="","",Office_Log!$A56&amp;"")</f>
        <v/>
      </c>
      <c r="E56" s="17">
        <f>IF(B56="","",IF(Office_Log!B56="","",Office_Log!B56&amp;""))</f>
        <v/>
      </c>
      <c r="F56" s="17">
        <f>IF(B56="","","conversation")</f>
        <v/>
      </c>
      <c r="G56" s="17">
        <f>IF(B56="","","")</f>
        <v/>
      </c>
      <c r="H56" s="17">
        <f>IF(B56="","","")</f>
        <v/>
      </c>
      <c r="I56" s="17">
        <f>IF(B56="","","")</f>
        <v/>
      </c>
      <c r="J56" s="17">
        <f>IF(B56="","",IF(Office_Log!H56="","",Office_Log!H56&amp;""))</f>
        <v/>
      </c>
      <c r="K56" t="inlineStr">
        <is>
          <t>office conversation</t>
        </is>
      </c>
    </row>
    <row r="57">
      <c r="A57" s="17">
        <f>IF(B57="","",B57+(1*1000+56)/10000000)</f>
        <v/>
      </c>
      <c r="B57" s="23">
        <f>IF(Office_Log!AU57=1,Office_Log!G57,"")</f>
        <v/>
      </c>
      <c r="C57" s="17">
        <f>IF(B57="","","office")</f>
        <v/>
      </c>
      <c r="D57" s="17">
        <f>IF(B57="","",Office_Log!$A57&amp;"")</f>
        <v/>
      </c>
      <c r="E57" s="17">
        <f>IF(B57="","",IF(Office_Log!B57="","",Office_Log!B57&amp;""))</f>
        <v/>
      </c>
      <c r="F57" s="17">
        <f>IF(B57="","","conversation")</f>
        <v/>
      </c>
      <c r="G57" s="17">
        <f>IF(B57="","","")</f>
        <v/>
      </c>
      <c r="H57" s="17">
        <f>IF(B57="","","")</f>
        <v/>
      </c>
      <c r="I57" s="17">
        <f>IF(B57="","","")</f>
        <v/>
      </c>
      <c r="J57" s="17">
        <f>IF(B57="","",IF(Office_Log!H57="","",Office_Log!H57&amp;""))</f>
        <v/>
      </c>
      <c r="K57" t="inlineStr">
        <is>
          <t>office conversation</t>
        </is>
      </c>
    </row>
    <row r="58">
      <c r="A58" s="17">
        <f>IF(B58="","",B58+(1*1000+57)/10000000)</f>
        <v/>
      </c>
      <c r="B58" s="23">
        <f>IF(Office_Log!AU58=1,Office_Log!G58,"")</f>
        <v/>
      </c>
      <c r="C58" s="17">
        <f>IF(B58="","","office")</f>
        <v/>
      </c>
      <c r="D58" s="17">
        <f>IF(B58="","",Office_Log!$A58&amp;"")</f>
        <v/>
      </c>
      <c r="E58" s="17">
        <f>IF(B58="","",IF(Office_Log!B58="","",Office_Log!B58&amp;""))</f>
        <v/>
      </c>
      <c r="F58" s="17">
        <f>IF(B58="","","conversation")</f>
        <v/>
      </c>
      <c r="G58" s="17">
        <f>IF(B58="","","")</f>
        <v/>
      </c>
      <c r="H58" s="17">
        <f>IF(B58="","","")</f>
        <v/>
      </c>
      <c r="I58" s="17">
        <f>IF(B58="","","")</f>
        <v/>
      </c>
      <c r="J58" s="17">
        <f>IF(B58="","",IF(Office_Log!H58="","",Office_Log!H58&amp;""))</f>
        <v/>
      </c>
      <c r="K58" t="inlineStr">
        <is>
          <t>office conversation</t>
        </is>
      </c>
    </row>
    <row r="59">
      <c r="A59" s="17">
        <f>IF(B59="","",B59+(1*1000+58)/10000000)</f>
        <v/>
      </c>
      <c r="B59" s="23">
        <f>IF(Office_Log!AU59=1,Office_Log!G59,"")</f>
        <v/>
      </c>
      <c r="C59" s="17">
        <f>IF(B59="","","office")</f>
        <v/>
      </c>
      <c r="D59" s="17">
        <f>IF(B59="","",Office_Log!$A59&amp;"")</f>
        <v/>
      </c>
      <c r="E59" s="17">
        <f>IF(B59="","",IF(Office_Log!B59="","",Office_Log!B59&amp;""))</f>
        <v/>
      </c>
      <c r="F59" s="17">
        <f>IF(B59="","","conversation")</f>
        <v/>
      </c>
      <c r="G59" s="17">
        <f>IF(B59="","","")</f>
        <v/>
      </c>
      <c r="H59" s="17">
        <f>IF(B59="","","")</f>
        <v/>
      </c>
      <c r="I59" s="17">
        <f>IF(B59="","","")</f>
        <v/>
      </c>
      <c r="J59" s="17">
        <f>IF(B59="","",IF(Office_Log!H59="","",Office_Log!H59&amp;""))</f>
        <v/>
      </c>
      <c r="K59" t="inlineStr">
        <is>
          <t>office conversation</t>
        </is>
      </c>
    </row>
    <row r="60">
      <c r="A60" s="17">
        <f>IF(B60="","",B60+(1*1000+59)/10000000)</f>
        <v/>
      </c>
      <c r="B60" s="23">
        <f>IF(Office_Log!AU60=1,Office_Log!G60,"")</f>
        <v/>
      </c>
      <c r="C60" s="17">
        <f>IF(B60="","","office")</f>
        <v/>
      </c>
      <c r="D60" s="17">
        <f>IF(B60="","",Office_Log!$A60&amp;"")</f>
        <v/>
      </c>
      <c r="E60" s="17">
        <f>IF(B60="","",IF(Office_Log!B60="","",Office_Log!B60&amp;""))</f>
        <v/>
      </c>
      <c r="F60" s="17">
        <f>IF(B60="","","conversation")</f>
        <v/>
      </c>
      <c r="G60" s="17">
        <f>IF(B60="","","")</f>
        <v/>
      </c>
      <c r="H60" s="17">
        <f>IF(B60="","","")</f>
        <v/>
      </c>
      <c r="I60" s="17">
        <f>IF(B60="","","")</f>
        <v/>
      </c>
      <c r="J60" s="17">
        <f>IF(B60="","",IF(Office_Log!H60="","",Office_Log!H60&amp;""))</f>
        <v/>
      </c>
      <c r="K60" t="inlineStr">
        <is>
          <t>office conversation</t>
        </is>
      </c>
    </row>
    <row r="61">
      <c r="A61" s="17">
        <f>IF(B61="","",B61+(1*1000+60)/10000000)</f>
        <v/>
      </c>
      <c r="B61" s="23">
        <f>IF(Office_Log!AU61=1,Office_Log!G61,"")</f>
        <v/>
      </c>
      <c r="C61" s="17">
        <f>IF(B61="","","office")</f>
        <v/>
      </c>
      <c r="D61" s="17">
        <f>IF(B61="","",Office_Log!$A61&amp;"")</f>
        <v/>
      </c>
      <c r="E61" s="17">
        <f>IF(B61="","",IF(Office_Log!B61="","",Office_Log!B61&amp;""))</f>
        <v/>
      </c>
      <c r="F61" s="17">
        <f>IF(B61="","","conversation")</f>
        <v/>
      </c>
      <c r="G61" s="17">
        <f>IF(B61="","","")</f>
        <v/>
      </c>
      <c r="H61" s="17">
        <f>IF(B61="","","")</f>
        <v/>
      </c>
      <c r="I61" s="17">
        <f>IF(B61="","","")</f>
        <v/>
      </c>
      <c r="J61" s="17">
        <f>IF(B61="","",IF(Office_Log!H61="","",Office_Log!H61&amp;""))</f>
        <v/>
      </c>
      <c r="K61" t="inlineStr">
        <is>
          <t>office conversation</t>
        </is>
      </c>
    </row>
    <row r="62">
      <c r="A62" s="17">
        <f>IF(B62="","",B62+(1*1000+61)/10000000)</f>
        <v/>
      </c>
      <c r="B62" s="23">
        <f>IF(Office_Log!AU62=1,Office_Log!G62,"")</f>
        <v/>
      </c>
      <c r="C62" s="17">
        <f>IF(B62="","","office")</f>
        <v/>
      </c>
      <c r="D62" s="17">
        <f>IF(B62="","",Office_Log!$A62&amp;"")</f>
        <v/>
      </c>
      <c r="E62" s="17">
        <f>IF(B62="","",IF(Office_Log!B62="","",Office_Log!B62&amp;""))</f>
        <v/>
      </c>
      <c r="F62" s="17">
        <f>IF(B62="","","conversation")</f>
        <v/>
      </c>
      <c r="G62" s="17">
        <f>IF(B62="","","")</f>
        <v/>
      </c>
      <c r="H62" s="17">
        <f>IF(B62="","","")</f>
        <v/>
      </c>
      <c r="I62" s="17">
        <f>IF(B62="","","")</f>
        <v/>
      </c>
      <c r="J62" s="17">
        <f>IF(B62="","",IF(Office_Log!H62="","",Office_Log!H62&amp;""))</f>
        <v/>
      </c>
      <c r="K62" t="inlineStr">
        <is>
          <t>office conversation</t>
        </is>
      </c>
    </row>
    <row r="63">
      <c r="A63" s="17">
        <f>IF(B63="","",B63+(1*1000+62)/10000000)</f>
        <v/>
      </c>
      <c r="B63" s="23">
        <f>IF(Office_Log!AU63=1,Office_Log!G63,"")</f>
        <v/>
      </c>
      <c r="C63" s="17">
        <f>IF(B63="","","office")</f>
        <v/>
      </c>
      <c r="D63" s="17">
        <f>IF(B63="","",Office_Log!$A63&amp;"")</f>
        <v/>
      </c>
      <c r="E63" s="17">
        <f>IF(B63="","",IF(Office_Log!B63="","",Office_Log!B63&amp;""))</f>
        <v/>
      </c>
      <c r="F63" s="17">
        <f>IF(B63="","","conversation")</f>
        <v/>
      </c>
      <c r="G63" s="17">
        <f>IF(B63="","","")</f>
        <v/>
      </c>
      <c r="H63" s="17">
        <f>IF(B63="","","")</f>
        <v/>
      </c>
      <c r="I63" s="17">
        <f>IF(B63="","","")</f>
        <v/>
      </c>
      <c r="J63" s="17">
        <f>IF(B63="","",IF(Office_Log!H63="","",Office_Log!H63&amp;""))</f>
        <v/>
      </c>
      <c r="K63" t="inlineStr">
        <is>
          <t>office conversation</t>
        </is>
      </c>
    </row>
    <row r="64">
      <c r="A64" s="17">
        <f>IF(B64="","",B64+(1*1000+63)/10000000)</f>
        <v/>
      </c>
      <c r="B64" s="23">
        <f>IF(Office_Log!AU64=1,Office_Log!G64,"")</f>
        <v/>
      </c>
      <c r="C64" s="17">
        <f>IF(B64="","","office")</f>
        <v/>
      </c>
      <c r="D64" s="17">
        <f>IF(B64="","",Office_Log!$A64&amp;"")</f>
        <v/>
      </c>
      <c r="E64" s="17">
        <f>IF(B64="","",IF(Office_Log!B64="","",Office_Log!B64&amp;""))</f>
        <v/>
      </c>
      <c r="F64" s="17">
        <f>IF(B64="","","conversation")</f>
        <v/>
      </c>
      <c r="G64" s="17">
        <f>IF(B64="","","")</f>
        <v/>
      </c>
      <c r="H64" s="17">
        <f>IF(B64="","","")</f>
        <v/>
      </c>
      <c r="I64" s="17">
        <f>IF(B64="","","")</f>
        <v/>
      </c>
      <c r="J64" s="17">
        <f>IF(B64="","",IF(Office_Log!H64="","",Office_Log!H64&amp;""))</f>
        <v/>
      </c>
      <c r="K64" t="inlineStr">
        <is>
          <t>office conversation</t>
        </is>
      </c>
    </row>
    <row r="65">
      <c r="A65" s="17">
        <f>IF(B65="","",B65+(1*1000+64)/10000000)</f>
        <v/>
      </c>
      <c r="B65" s="23">
        <f>IF(Office_Log!AU65=1,Office_Log!G65,"")</f>
        <v/>
      </c>
      <c r="C65" s="17">
        <f>IF(B65="","","office")</f>
        <v/>
      </c>
      <c r="D65" s="17">
        <f>IF(B65="","",Office_Log!$A65&amp;"")</f>
        <v/>
      </c>
      <c r="E65" s="17">
        <f>IF(B65="","",IF(Office_Log!B65="","",Office_Log!B65&amp;""))</f>
        <v/>
      </c>
      <c r="F65" s="17">
        <f>IF(B65="","","conversation")</f>
        <v/>
      </c>
      <c r="G65" s="17">
        <f>IF(B65="","","")</f>
        <v/>
      </c>
      <c r="H65" s="17">
        <f>IF(B65="","","")</f>
        <v/>
      </c>
      <c r="I65" s="17">
        <f>IF(B65="","","")</f>
        <v/>
      </c>
      <c r="J65" s="17">
        <f>IF(B65="","",IF(Office_Log!H65="","",Office_Log!H65&amp;""))</f>
        <v/>
      </c>
      <c r="K65" t="inlineStr">
        <is>
          <t>office conversation</t>
        </is>
      </c>
    </row>
    <row r="66">
      <c r="A66" s="17">
        <f>IF(B66="","",B66+(1*1000+65)/10000000)</f>
        <v/>
      </c>
      <c r="B66" s="23">
        <f>IF(Office_Log!AU66=1,Office_Log!G66,"")</f>
        <v/>
      </c>
      <c r="C66" s="17">
        <f>IF(B66="","","office")</f>
        <v/>
      </c>
      <c r="D66" s="17">
        <f>IF(B66="","",Office_Log!$A66&amp;"")</f>
        <v/>
      </c>
      <c r="E66" s="17">
        <f>IF(B66="","",IF(Office_Log!B66="","",Office_Log!B66&amp;""))</f>
        <v/>
      </c>
      <c r="F66" s="17">
        <f>IF(B66="","","conversation")</f>
        <v/>
      </c>
      <c r="G66" s="17">
        <f>IF(B66="","","")</f>
        <v/>
      </c>
      <c r="H66" s="17">
        <f>IF(B66="","","")</f>
        <v/>
      </c>
      <c r="I66" s="17">
        <f>IF(B66="","","")</f>
        <v/>
      </c>
      <c r="J66" s="17">
        <f>IF(B66="","",IF(Office_Log!H66="","",Office_Log!H66&amp;""))</f>
        <v/>
      </c>
      <c r="K66" t="inlineStr">
        <is>
          <t>office conversation</t>
        </is>
      </c>
    </row>
    <row r="67">
      <c r="A67" s="17">
        <f>IF(B67="","",B67+(1*1000+66)/10000000)</f>
        <v/>
      </c>
      <c r="B67" s="23">
        <f>IF(Office_Log!AU67=1,Office_Log!G67,"")</f>
        <v/>
      </c>
      <c r="C67" s="17">
        <f>IF(B67="","","office")</f>
        <v/>
      </c>
      <c r="D67" s="17">
        <f>IF(B67="","",Office_Log!$A67&amp;"")</f>
        <v/>
      </c>
      <c r="E67" s="17">
        <f>IF(B67="","",IF(Office_Log!B67="","",Office_Log!B67&amp;""))</f>
        <v/>
      </c>
      <c r="F67" s="17">
        <f>IF(B67="","","conversation")</f>
        <v/>
      </c>
      <c r="G67" s="17">
        <f>IF(B67="","","")</f>
        <v/>
      </c>
      <c r="H67" s="17">
        <f>IF(B67="","","")</f>
        <v/>
      </c>
      <c r="I67" s="17">
        <f>IF(B67="","","")</f>
        <v/>
      </c>
      <c r="J67" s="17">
        <f>IF(B67="","",IF(Office_Log!H67="","",Office_Log!H67&amp;""))</f>
        <v/>
      </c>
      <c r="K67" t="inlineStr">
        <is>
          <t>office conversation</t>
        </is>
      </c>
    </row>
    <row r="68">
      <c r="A68" s="17">
        <f>IF(B68="","",B68+(1*1000+67)/10000000)</f>
        <v/>
      </c>
      <c r="B68" s="23">
        <f>IF(Office_Log!AU68=1,Office_Log!G68,"")</f>
        <v/>
      </c>
      <c r="C68" s="17">
        <f>IF(B68="","","office")</f>
        <v/>
      </c>
      <c r="D68" s="17">
        <f>IF(B68="","",Office_Log!$A68&amp;"")</f>
        <v/>
      </c>
      <c r="E68" s="17">
        <f>IF(B68="","",IF(Office_Log!B68="","",Office_Log!B68&amp;""))</f>
        <v/>
      </c>
      <c r="F68" s="17">
        <f>IF(B68="","","conversation")</f>
        <v/>
      </c>
      <c r="G68" s="17">
        <f>IF(B68="","","")</f>
        <v/>
      </c>
      <c r="H68" s="17">
        <f>IF(B68="","","")</f>
        <v/>
      </c>
      <c r="I68" s="17">
        <f>IF(B68="","","")</f>
        <v/>
      </c>
      <c r="J68" s="17">
        <f>IF(B68="","",IF(Office_Log!H68="","",Office_Log!H68&amp;""))</f>
        <v/>
      </c>
      <c r="K68" t="inlineStr">
        <is>
          <t>office conversation</t>
        </is>
      </c>
    </row>
    <row r="69">
      <c r="A69" s="17">
        <f>IF(B69="","",B69+(1*1000+68)/10000000)</f>
        <v/>
      </c>
      <c r="B69" s="23">
        <f>IF(Office_Log!AU69=1,Office_Log!G69,"")</f>
        <v/>
      </c>
      <c r="C69" s="17">
        <f>IF(B69="","","office")</f>
        <v/>
      </c>
      <c r="D69" s="17">
        <f>IF(B69="","",Office_Log!$A69&amp;"")</f>
        <v/>
      </c>
      <c r="E69" s="17">
        <f>IF(B69="","",IF(Office_Log!B69="","",Office_Log!B69&amp;""))</f>
        <v/>
      </c>
      <c r="F69" s="17">
        <f>IF(B69="","","conversation")</f>
        <v/>
      </c>
      <c r="G69" s="17">
        <f>IF(B69="","","")</f>
        <v/>
      </c>
      <c r="H69" s="17">
        <f>IF(B69="","","")</f>
        <v/>
      </c>
      <c r="I69" s="17">
        <f>IF(B69="","","")</f>
        <v/>
      </c>
      <c r="J69" s="17">
        <f>IF(B69="","",IF(Office_Log!H69="","",Office_Log!H69&amp;""))</f>
        <v/>
      </c>
      <c r="K69" t="inlineStr">
        <is>
          <t>office conversation</t>
        </is>
      </c>
    </row>
    <row r="70">
      <c r="A70" s="17">
        <f>IF(B70="","",B70+(1*1000+69)/10000000)</f>
        <v/>
      </c>
      <c r="B70" s="23">
        <f>IF(Office_Log!AU70=1,Office_Log!G70,"")</f>
        <v/>
      </c>
      <c r="C70" s="17">
        <f>IF(B70="","","office")</f>
        <v/>
      </c>
      <c r="D70" s="17">
        <f>IF(B70="","",Office_Log!$A70&amp;"")</f>
        <v/>
      </c>
      <c r="E70" s="17">
        <f>IF(B70="","",IF(Office_Log!B70="","",Office_Log!B70&amp;""))</f>
        <v/>
      </c>
      <c r="F70" s="17">
        <f>IF(B70="","","conversation")</f>
        <v/>
      </c>
      <c r="G70" s="17">
        <f>IF(B70="","","")</f>
        <v/>
      </c>
      <c r="H70" s="17">
        <f>IF(B70="","","")</f>
        <v/>
      </c>
      <c r="I70" s="17">
        <f>IF(B70="","","")</f>
        <v/>
      </c>
      <c r="J70" s="17">
        <f>IF(B70="","",IF(Office_Log!H70="","",Office_Log!H70&amp;""))</f>
        <v/>
      </c>
      <c r="K70" t="inlineStr">
        <is>
          <t>office conversation</t>
        </is>
      </c>
    </row>
    <row r="71">
      <c r="A71" s="17">
        <f>IF(B71="","",B71+(1*1000+70)/10000000)</f>
        <v/>
      </c>
      <c r="B71" s="23">
        <f>IF(Office_Log!AU71=1,Office_Log!G71,"")</f>
        <v/>
      </c>
      <c r="C71" s="17">
        <f>IF(B71="","","office")</f>
        <v/>
      </c>
      <c r="D71" s="17">
        <f>IF(B71="","",Office_Log!$A71&amp;"")</f>
        <v/>
      </c>
      <c r="E71" s="17">
        <f>IF(B71="","",IF(Office_Log!B71="","",Office_Log!B71&amp;""))</f>
        <v/>
      </c>
      <c r="F71" s="17">
        <f>IF(B71="","","conversation")</f>
        <v/>
      </c>
      <c r="G71" s="17">
        <f>IF(B71="","","")</f>
        <v/>
      </c>
      <c r="H71" s="17">
        <f>IF(B71="","","")</f>
        <v/>
      </c>
      <c r="I71" s="17">
        <f>IF(B71="","","")</f>
        <v/>
      </c>
      <c r="J71" s="17">
        <f>IF(B71="","",IF(Office_Log!H71="","",Office_Log!H71&amp;""))</f>
        <v/>
      </c>
      <c r="K71" t="inlineStr">
        <is>
          <t>office conversation</t>
        </is>
      </c>
    </row>
    <row r="72">
      <c r="A72" s="17">
        <f>IF(B72="","",B72+(1*1000+71)/10000000)</f>
        <v/>
      </c>
      <c r="B72" s="23">
        <f>IF(Office_Log!AU72=1,Office_Log!G72,"")</f>
        <v/>
      </c>
      <c r="C72" s="17">
        <f>IF(B72="","","office")</f>
        <v/>
      </c>
      <c r="D72" s="17">
        <f>IF(B72="","",Office_Log!$A72&amp;"")</f>
        <v/>
      </c>
      <c r="E72" s="17">
        <f>IF(B72="","",IF(Office_Log!B72="","",Office_Log!B72&amp;""))</f>
        <v/>
      </c>
      <c r="F72" s="17">
        <f>IF(B72="","","conversation")</f>
        <v/>
      </c>
      <c r="G72" s="17">
        <f>IF(B72="","","")</f>
        <v/>
      </c>
      <c r="H72" s="17">
        <f>IF(B72="","","")</f>
        <v/>
      </c>
      <c r="I72" s="17">
        <f>IF(B72="","","")</f>
        <v/>
      </c>
      <c r="J72" s="17">
        <f>IF(B72="","",IF(Office_Log!H72="","",Office_Log!H72&amp;""))</f>
        <v/>
      </c>
      <c r="K72" t="inlineStr">
        <is>
          <t>office conversation</t>
        </is>
      </c>
    </row>
    <row r="73">
      <c r="A73" s="17">
        <f>IF(B73="","",B73+(1*1000+72)/10000000)</f>
        <v/>
      </c>
      <c r="B73" s="23">
        <f>IF(Office_Log!AU73=1,Office_Log!G73,"")</f>
        <v/>
      </c>
      <c r="C73" s="17">
        <f>IF(B73="","","office")</f>
        <v/>
      </c>
      <c r="D73" s="17">
        <f>IF(B73="","",Office_Log!$A73&amp;"")</f>
        <v/>
      </c>
      <c r="E73" s="17">
        <f>IF(B73="","",IF(Office_Log!B73="","",Office_Log!B73&amp;""))</f>
        <v/>
      </c>
      <c r="F73" s="17">
        <f>IF(B73="","","conversation")</f>
        <v/>
      </c>
      <c r="G73" s="17">
        <f>IF(B73="","","")</f>
        <v/>
      </c>
      <c r="H73" s="17">
        <f>IF(B73="","","")</f>
        <v/>
      </c>
      <c r="I73" s="17">
        <f>IF(B73="","","")</f>
        <v/>
      </c>
      <c r="J73" s="17">
        <f>IF(B73="","",IF(Office_Log!H73="","",Office_Log!H73&amp;""))</f>
        <v/>
      </c>
      <c r="K73" t="inlineStr">
        <is>
          <t>office conversation</t>
        </is>
      </c>
    </row>
    <row r="74">
      <c r="A74" s="17">
        <f>IF(B74="","",B74+(1*1000+73)/10000000)</f>
        <v/>
      </c>
      <c r="B74" s="23">
        <f>IF(Office_Log!AU74=1,Office_Log!G74,"")</f>
        <v/>
      </c>
      <c r="C74" s="17">
        <f>IF(B74="","","office")</f>
        <v/>
      </c>
      <c r="D74" s="17">
        <f>IF(B74="","",Office_Log!$A74&amp;"")</f>
        <v/>
      </c>
      <c r="E74" s="17">
        <f>IF(B74="","",IF(Office_Log!B74="","",Office_Log!B74&amp;""))</f>
        <v/>
      </c>
      <c r="F74" s="17">
        <f>IF(B74="","","conversation")</f>
        <v/>
      </c>
      <c r="G74" s="17">
        <f>IF(B74="","","")</f>
        <v/>
      </c>
      <c r="H74" s="17">
        <f>IF(B74="","","")</f>
        <v/>
      </c>
      <c r="I74" s="17">
        <f>IF(B74="","","")</f>
        <v/>
      </c>
      <c r="J74" s="17">
        <f>IF(B74="","",IF(Office_Log!H74="","",Office_Log!H74&amp;""))</f>
        <v/>
      </c>
      <c r="K74" t="inlineStr">
        <is>
          <t>office conversation</t>
        </is>
      </c>
    </row>
    <row r="75">
      <c r="A75" s="17">
        <f>IF(B75="","",B75+(1*1000+74)/10000000)</f>
        <v/>
      </c>
      <c r="B75" s="23">
        <f>IF(Office_Log!AU75=1,Office_Log!G75,"")</f>
        <v/>
      </c>
      <c r="C75" s="17">
        <f>IF(B75="","","office")</f>
        <v/>
      </c>
      <c r="D75" s="17">
        <f>IF(B75="","",Office_Log!$A75&amp;"")</f>
        <v/>
      </c>
      <c r="E75" s="17">
        <f>IF(B75="","",IF(Office_Log!B75="","",Office_Log!B75&amp;""))</f>
        <v/>
      </c>
      <c r="F75" s="17">
        <f>IF(B75="","","conversation")</f>
        <v/>
      </c>
      <c r="G75" s="17">
        <f>IF(B75="","","")</f>
        <v/>
      </c>
      <c r="H75" s="17">
        <f>IF(B75="","","")</f>
        <v/>
      </c>
      <c r="I75" s="17">
        <f>IF(B75="","","")</f>
        <v/>
      </c>
      <c r="J75" s="17">
        <f>IF(B75="","",IF(Office_Log!H75="","",Office_Log!H75&amp;""))</f>
        <v/>
      </c>
      <c r="K75" t="inlineStr">
        <is>
          <t>office conversation</t>
        </is>
      </c>
    </row>
    <row r="76">
      <c r="A76" s="17">
        <f>IF(B76="","",B76+(1*1000+75)/10000000)</f>
        <v/>
      </c>
      <c r="B76" s="23">
        <f>IF(Office_Log!AU76=1,Office_Log!G76,"")</f>
        <v/>
      </c>
      <c r="C76" s="17">
        <f>IF(B76="","","office")</f>
        <v/>
      </c>
      <c r="D76" s="17">
        <f>IF(B76="","",Office_Log!$A76&amp;"")</f>
        <v/>
      </c>
      <c r="E76" s="17">
        <f>IF(B76="","",IF(Office_Log!B76="","",Office_Log!B76&amp;""))</f>
        <v/>
      </c>
      <c r="F76" s="17">
        <f>IF(B76="","","conversation")</f>
        <v/>
      </c>
      <c r="G76" s="17">
        <f>IF(B76="","","")</f>
        <v/>
      </c>
      <c r="H76" s="17">
        <f>IF(B76="","","")</f>
        <v/>
      </c>
      <c r="I76" s="17">
        <f>IF(B76="","","")</f>
        <v/>
      </c>
      <c r="J76" s="17">
        <f>IF(B76="","",IF(Office_Log!H76="","",Office_Log!H76&amp;""))</f>
        <v/>
      </c>
      <c r="K76" t="inlineStr">
        <is>
          <t>office conversation</t>
        </is>
      </c>
    </row>
    <row r="77">
      <c r="A77" s="17">
        <f>IF(B77="","",B77+(1*1000+76)/10000000)</f>
        <v/>
      </c>
      <c r="B77" s="23">
        <f>IF(Office_Log!AU77=1,Office_Log!G77,"")</f>
        <v/>
      </c>
      <c r="C77" s="17">
        <f>IF(B77="","","office")</f>
        <v/>
      </c>
      <c r="D77" s="17">
        <f>IF(B77="","",Office_Log!$A77&amp;"")</f>
        <v/>
      </c>
      <c r="E77" s="17">
        <f>IF(B77="","",IF(Office_Log!B77="","",Office_Log!B77&amp;""))</f>
        <v/>
      </c>
      <c r="F77" s="17">
        <f>IF(B77="","","conversation")</f>
        <v/>
      </c>
      <c r="G77" s="17">
        <f>IF(B77="","","")</f>
        <v/>
      </c>
      <c r="H77" s="17">
        <f>IF(B77="","","")</f>
        <v/>
      </c>
      <c r="I77" s="17">
        <f>IF(B77="","","")</f>
        <v/>
      </c>
      <c r="J77" s="17">
        <f>IF(B77="","",IF(Office_Log!H77="","",Office_Log!H77&amp;""))</f>
        <v/>
      </c>
      <c r="K77" t="inlineStr">
        <is>
          <t>office conversation</t>
        </is>
      </c>
    </row>
    <row r="78">
      <c r="A78" s="17">
        <f>IF(B78="","",B78+(1*1000+77)/10000000)</f>
        <v/>
      </c>
      <c r="B78" s="23">
        <f>IF(Office_Log!AU78=1,Office_Log!G78,"")</f>
        <v/>
      </c>
      <c r="C78" s="17">
        <f>IF(B78="","","office")</f>
        <v/>
      </c>
      <c r="D78" s="17">
        <f>IF(B78="","",Office_Log!$A78&amp;"")</f>
        <v/>
      </c>
      <c r="E78" s="17">
        <f>IF(B78="","",IF(Office_Log!B78="","",Office_Log!B78&amp;""))</f>
        <v/>
      </c>
      <c r="F78" s="17">
        <f>IF(B78="","","conversation")</f>
        <v/>
      </c>
      <c r="G78" s="17">
        <f>IF(B78="","","")</f>
        <v/>
      </c>
      <c r="H78" s="17">
        <f>IF(B78="","","")</f>
        <v/>
      </c>
      <c r="I78" s="17">
        <f>IF(B78="","","")</f>
        <v/>
      </c>
      <c r="J78" s="17">
        <f>IF(B78="","",IF(Office_Log!H78="","",Office_Log!H78&amp;""))</f>
        <v/>
      </c>
      <c r="K78" t="inlineStr">
        <is>
          <t>office conversation</t>
        </is>
      </c>
    </row>
    <row r="79">
      <c r="A79" s="17">
        <f>IF(B79="","",B79+(1*1000+78)/10000000)</f>
        <v/>
      </c>
      <c r="B79" s="23">
        <f>IF(Office_Log!AU79=1,Office_Log!G79,"")</f>
        <v/>
      </c>
      <c r="C79" s="17">
        <f>IF(B79="","","office")</f>
        <v/>
      </c>
      <c r="D79" s="17">
        <f>IF(B79="","",Office_Log!$A79&amp;"")</f>
        <v/>
      </c>
      <c r="E79" s="17">
        <f>IF(B79="","",IF(Office_Log!B79="","",Office_Log!B79&amp;""))</f>
        <v/>
      </c>
      <c r="F79" s="17">
        <f>IF(B79="","","conversation")</f>
        <v/>
      </c>
      <c r="G79" s="17">
        <f>IF(B79="","","")</f>
        <v/>
      </c>
      <c r="H79" s="17">
        <f>IF(B79="","","")</f>
        <v/>
      </c>
      <c r="I79" s="17">
        <f>IF(B79="","","")</f>
        <v/>
      </c>
      <c r="J79" s="17">
        <f>IF(B79="","",IF(Office_Log!H79="","",Office_Log!H79&amp;""))</f>
        <v/>
      </c>
      <c r="K79" t="inlineStr">
        <is>
          <t>office conversation</t>
        </is>
      </c>
    </row>
    <row r="80">
      <c r="A80" s="17">
        <f>IF(B80="","",B80+(1*1000+79)/10000000)</f>
        <v/>
      </c>
      <c r="B80" s="23">
        <f>IF(Office_Log!AU80=1,Office_Log!G80,"")</f>
        <v/>
      </c>
      <c r="C80" s="17">
        <f>IF(B80="","","office")</f>
        <v/>
      </c>
      <c r="D80" s="17">
        <f>IF(B80="","",Office_Log!$A80&amp;"")</f>
        <v/>
      </c>
      <c r="E80" s="17">
        <f>IF(B80="","",IF(Office_Log!B80="","",Office_Log!B80&amp;""))</f>
        <v/>
      </c>
      <c r="F80" s="17">
        <f>IF(B80="","","conversation")</f>
        <v/>
      </c>
      <c r="G80" s="17">
        <f>IF(B80="","","")</f>
        <v/>
      </c>
      <c r="H80" s="17">
        <f>IF(B80="","","")</f>
        <v/>
      </c>
      <c r="I80" s="17">
        <f>IF(B80="","","")</f>
        <v/>
      </c>
      <c r="J80" s="17">
        <f>IF(B80="","",IF(Office_Log!H80="","",Office_Log!H80&amp;""))</f>
        <v/>
      </c>
      <c r="K80" t="inlineStr">
        <is>
          <t>office conversation</t>
        </is>
      </c>
    </row>
    <row r="81">
      <c r="A81" s="17">
        <f>IF(B81="","",B81+(1*1000+80)/10000000)</f>
        <v/>
      </c>
      <c r="B81" s="23">
        <f>IF(Office_Log!AU81=1,Office_Log!G81,"")</f>
        <v/>
      </c>
      <c r="C81" s="17">
        <f>IF(B81="","","office")</f>
        <v/>
      </c>
      <c r="D81" s="17">
        <f>IF(B81="","",Office_Log!$A81&amp;"")</f>
        <v/>
      </c>
      <c r="E81" s="17">
        <f>IF(B81="","",IF(Office_Log!B81="","",Office_Log!B81&amp;""))</f>
        <v/>
      </c>
      <c r="F81" s="17">
        <f>IF(B81="","","conversation")</f>
        <v/>
      </c>
      <c r="G81" s="17">
        <f>IF(B81="","","")</f>
        <v/>
      </c>
      <c r="H81" s="17">
        <f>IF(B81="","","")</f>
        <v/>
      </c>
      <c r="I81" s="17">
        <f>IF(B81="","","")</f>
        <v/>
      </c>
      <c r="J81" s="17">
        <f>IF(B81="","",IF(Office_Log!H81="","",Office_Log!H81&amp;""))</f>
        <v/>
      </c>
      <c r="K81" t="inlineStr">
        <is>
          <t>office conversation</t>
        </is>
      </c>
    </row>
    <row r="82">
      <c r="A82" s="17">
        <f>IF(B82="","",B82+(1*1000+81)/10000000)</f>
        <v/>
      </c>
      <c r="B82" s="23">
        <f>IF(Office_Log!AU82=1,Office_Log!G82,"")</f>
        <v/>
      </c>
      <c r="C82" s="17">
        <f>IF(B82="","","office")</f>
        <v/>
      </c>
      <c r="D82" s="17">
        <f>IF(B82="","",Office_Log!$A82&amp;"")</f>
        <v/>
      </c>
      <c r="E82" s="17">
        <f>IF(B82="","",IF(Office_Log!B82="","",Office_Log!B82&amp;""))</f>
        <v/>
      </c>
      <c r="F82" s="17">
        <f>IF(B82="","","conversation")</f>
        <v/>
      </c>
      <c r="G82" s="17">
        <f>IF(B82="","","")</f>
        <v/>
      </c>
      <c r="H82" s="17">
        <f>IF(B82="","","")</f>
        <v/>
      </c>
      <c r="I82" s="17">
        <f>IF(B82="","","")</f>
        <v/>
      </c>
      <c r="J82" s="17">
        <f>IF(B82="","",IF(Office_Log!H82="","",Office_Log!H82&amp;""))</f>
        <v/>
      </c>
      <c r="K82" t="inlineStr">
        <is>
          <t>office conversation</t>
        </is>
      </c>
    </row>
    <row r="83">
      <c r="A83" s="17">
        <f>IF(B83="","",B83+(1*1000+82)/10000000)</f>
        <v/>
      </c>
      <c r="B83" s="23">
        <f>IF(Office_Log!AU83=1,Office_Log!G83,"")</f>
        <v/>
      </c>
      <c r="C83" s="17">
        <f>IF(B83="","","office")</f>
        <v/>
      </c>
      <c r="D83" s="17">
        <f>IF(B83="","",Office_Log!$A83&amp;"")</f>
        <v/>
      </c>
      <c r="E83" s="17">
        <f>IF(B83="","",IF(Office_Log!B83="","",Office_Log!B83&amp;""))</f>
        <v/>
      </c>
      <c r="F83" s="17">
        <f>IF(B83="","","conversation")</f>
        <v/>
      </c>
      <c r="G83" s="17">
        <f>IF(B83="","","")</f>
        <v/>
      </c>
      <c r="H83" s="17">
        <f>IF(B83="","","")</f>
        <v/>
      </c>
      <c r="I83" s="17">
        <f>IF(B83="","","")</f>
        <v/>
      </c>
      <c r="J83" s="17">
        <f>IF(B83="","",IF(Office_Log!H83="","",Office_Log!H83&amp;""))</f>
        <v/>
      </c>
      <c r="K83" t="inlineStr">
        <is>
          <t>office conversation</t>
        </is>
      </c>
    </row>
    <row r="84">
      <c r="A84" s="17">
        <f>IF(B84="","",B84+(1*1000+83)/10000000)</f>
        <v/>
      </c>
      <c r="B84" s="23">
        <f>IF(Office_Log!AU84=1,Office_Log!G84,"")</f>
        <v/>
      </c>
      <c r="C84" s="17">
        <f>IF(B84="","","office")</f>
        <v/>
      </c>
      <c r="D84" s="17">
        <f>IF(B84="","",Office_Log!$A84&amp;"")</f>
        <v/>
      </c>
      <c r="E84" s="17">
        <f>IF(B84="","",IF(Office_Log!B84="","",Office_Log!B84&amp;""))</f>
        <v/>
      </c>
      <c r="F84" s="17">
        <f>IF(B84="","","conversation")</f>
        <v/>
      </c>
      <c r="G84" s="17">
        <f>IF(B84="","","")</f>
        <v/>
      </c>
      <c r="H84" s="17">
        <f>IF(B84="","","")</f>
        <v/>
      </c>
      <c r="I84" s="17">
        <f>IF(B84="","","")</f>
        <v/>
      </c>
      <c r="J84" s="17">
        <f>IF(B84="","",IF(Office_Log!H84="","",Office_Log!H84&amp;""))</f>
        <v/>
      </c>
      <c r="K84" t="inlineStr">
        <is>
          <t>office conversation</t>
        </is>
      </c>
    </row>
    <row r="85">
      <c r="A85" s="17">
        <f>IF(B85="","",B85+(1*1000+84)/10000000)</f>
        <v/>
      </c>
      <c r="B85" s="23">
        <f>IF(Office_Log!AU85=1,Office_Log!G85,"")</f>
        <v/>
      </c>
      <c r="C85" s="17">
        <f>IF(B85="","","office")</f>
        <v/>
      </c>
      <c r="D85" s="17">
        <f>IF(B85="","",Office_Log!$A85&amp;"")</f>
        <v/>
      </c>
      <c r="E85" s="17">
        <f>IF(B85="","",IF(Office_Log!B85="","",Office_Log!B85&amp;""))</f>
        <v/>
      </c>
      <c r="F85" s="17">
        <f>IF(B85="","","conversation")</f>
        <v/>
      </c>
      <c r="G85" s="17">
        <f>IF(B85="","","")</f>
        <v/>
      </c>
      <c r="H85" s="17">
        <f>IF(B85="","","")</f>
        <v/>
      </c>
      <c r="I85" s="17">
        <f>IF(B85="","","")</f>
        <v/>
      </c>
      <c r="J85" s="17">
        <f>IF(B85="","",IF(Office_Log!H85="","",Office_Log!H85&amp;""))</f>
        <v/>
      </c>
      <c r="K85" t="inlineStr">
        <is>
          <t>office conversation</t>
        </is>
      </c>
    </row>
    <row r="86">
      <c r="A86" s="17">
        <f>IF(B86="","",B86+(1*1000+85)/10000000)</f>
        <v/>
      </c>
      <c r="B86" s="23">
        <f>IF(Office_Log!AU86=1,Office_Log!G86,"")</f>
        <v/>
      </c>
      <c r="C86" s="17">
        <f>IF(B86="","","office")</f>
        <v/>
      </c>
      <c r="D86" s="17">
        <f>IF(B86="","",Office_Log!$A86&amp;"")</f>
        <v/>
      </c>
      <c r="E86" s="17">
        <f>IF(B86="","",IF(Office_Log!B86="","",Office_Log!B86&amp;""))</f>
        <v/>
      </c>
      <c r="F86" s="17">
        <f>IF(B86="","","conversation")</f>
        <v/>
      </c>
      <c r="G86" s="17">
        <f>IF(B86="","","")</f>
        <v/>
      </c>
      <c r="H86" s="17">
        <f>IF(B86="","","")</f>
        <v/>
      </c>
      <c r="I86" s="17">
        <f>IF(B86="","","")</f>
        <v/>
      </c>
      <c r="J86" s="17">
        <f>IF(B86="","",IF(Office_Log!H86="","",Office_Log!H86&amp;""))</f>
        <v/>
      </c>
      <c r="K86" t="inlineStr">
        <is>
          <t>office conversation</t>
        </is>
      </c>
    </row>
    <row r="87">
      <c r="A87" s="17">
        <f>IF(B87="","",B87+(1*1000+86)/10000000)</f>
        <v/>
      </c>
      <c r="B87" s="23">
        <f>IF(Office_Log!AU87=1,Office_Log!G87,"")</f>
        <v/>
      </c>
      <c r="C87" s="17">
        <f>IF(B87="","","office")</f>
        <v/>
      </c>
      <c r="D87" s="17">
        <f>IF(B87="","",Office_Log!$A87&amp;"")</f>
        <v/>
      </c>
      <c r="E87" s="17">
        <f>IF(B87="","",IF(Office_Log!B87="","",Office_Log!B87&amp;""))</f>
        <v/>
      </c>
      <c r="F87" s="17">
        <f>IF(B87="","","conversation")</f>
        <v/>
      </c>
      <c r="G87" s="17">
        <f>IF(B87="","","")</f>
        <v/>
      </c>
      <c r="H87" s="17">
        <f>IF(B87="","","")</f>
        <v/>
      </c>
      <c r="I87" s="17">
        <f>IF(B87="","","")</f>
        <v/>
      </c>
      <c r="J87" s="17">
        <f>IF(B87="","",IF(Office_Log!H87="","",Office_Log!H87&amp;""))</f>
        <v/>
      </c>
      <c r="K87" t="inlineStr">
        <is>
          <t>office conversation</t>
        </is>
      </c>
    </row>
    <row r="88">
      <c r="A88" s="17">
        <f>IF(B88="","",B88+(1*1000+87)/10000000)</f>
        <v/>
      </c>
      <c r="B88" s="23">
        <f>IF(Office_Log!AU88=1,Office_Log!G88,"")</f>
        <v/>
      </c>
      <c r="C88" s="17">
        <f>IF(B88="","","office")</f>
        <v/>
      </c>
      <c r="D88" s="17">
        <f>IF(B88="","",Office_Log!$A88&amp;"")</f>
        <v/>
      </c>
      <c r="E88" s="17">
        <f>IF(B88="","",IF(Office_Log!B88="","",Office_Log!B88&amp;""))</f>
        <v/>
      </c>
      <c r="F88" s="17">
        <f>IF(B88="","","conversation")</f>
        <v/>
      </c>
      <c r="G88" s="17">
        <f>IF(B88="","","")</f>
        <v/>
      </c>
      <c r="H88" s="17">
        <f>IF(B88="","","")</f>
        <v/>
      </c>
      <c r="I88" s="17">
        <f>IF(B88="","","")</f>
        <v/>
      </c>
      <c r="J88" s="17">
        <f>IF(B88="","",IF(Office_Log!H88="","",Office_Log!H88&amp;""))</f>
        <v/>
      </c>
      <c r="K88" t="inlineStr">
        <is>
          <t>office conversation</t>
        </is>
      </c>
    </row>
    <row r="89">
      <c r="A89" s="17">
        <f>IF(B89="","",B89+(1*1000+88)/10000000)</f>
        <v/>
      </c>
      <c r="B89" s="23">
        <f>IF(Office_Log!AU89=1,Office_Log!G89,"")</f>
        <v/>
      </c>
      <c r="C89" s="17">
        <f>IF(B89="","","office")</f>
        <v/>
      </c>
      <c r="D89" s="17">
        <f>IF(B89="","",Office_Log!$A89&amp;"")</f>
        <v/>
      </c>
      <c r="E89" s="17">
        <f>IF(B89="","",IF(Office_Log!B89="","",Office_Log!B89&amp;""))</f>
        <v/>
      </c>
      <c r="F89" s="17">
        <f>IF(B89="","","conversation")</f>
        <v/>
      </c>
      <c r="G89" s="17">
        <f>IF(B89="","","")</f>
        <v/>
      </c>
      <c r="H89" s="17">
        <f>IF(B89="","","")</f>
        <v/>
      </c>
      <c r="I89" s="17">
        <f>IF(B89="","","")</f>
        <v/>
      </c>
      <c r="J89" s="17">
        <f>IF(B89="","",IF(Office_Log!H89="","",Office_Log!H89&amp;""))</f>
        <v/>
      </c>
      <c r="K89" t="inlineStr">
        <is>
          <t>office conversation</t>
        </is>
      </c>
    </row>
    <row r="90">
      <c r="A90" s="17">
        <f>IF(B90="","",B90+(1*1000+89)/10000000)</f>
        <v/>
      </c>
      <c r="B90" s="23">
        <f>IF(Office_Log!AU90=1,Office_Log!G90,"")</f>
        <v/>
      </c>
      <c r="C90" s="17">
        <f>IF(B90="","","office")</f>
        <v/>
      </c>
      <c r="D90" s="17">
        <f>IF(B90="","",Office_Log!$A90&amp;"")</f>
        <v/>
      </c>
      <c r="E90" s="17">
        <f>IF(B90="","",IF(Office_Log!B90="","",Office_Log!B90&amp;""))</f>
        <v/>
      </c>
      <c r="F90" s="17">
        <f>IF(B90="","","conversation")</f>
        <v/>
      </c>
      <c r="G90" s="17">
        <f>IF(B90="","","")</f>
        <v/>
      </c>
      <c r="H90" s="17">
        <f>IF(B90="","","")</f>
        <v/>
      </c>
      <c r="I90" s="17">
        <f>IF(B90="","","")</f>
        <v/>
      </c>
      <c r="J90" s="17">
        <f>IF(B90="","",IF(Office_Log!H90="","",Office_Log!H90&amp;""))</f>
        <v/>
      </c>
      <c r="K90" t="inlineStr">
        <is>
          <t>office conversation</t>
        </is>
      </c>
    </row>
    <row r="91">
      <c r="A91" s="17">
        <f>IF(B91="","",B91+(1*1000+90)/10000000)</f>
        <v/>
      </c>
      <c r="B91" s="23">
        <f>IF(Office_Log!AU91=1,Office_Log!G91,"")</f>
        <v/>
      </c>
      <c r="C91" s="17">
        <f>IF(B91="","","office")</f>
        <v/>
      </c>
      <c r="D91" s="17">
        <f>IF(B91="","",Office_Log!$A91&amp;"")</f>
        <v/>
      </c>
      <c r="E91" s="17">
        <f>IF(B91="","",IF(Office_Log!B91="","",Office_Log!B91&amp;""))</f>
        <v/>
      </c>
      <c r="F91" s="17">
        <f>IF(B91="","","conversation")</f>
        <v/>
      </c>
      <c r="G91" s="17">
        <f>IF(B91="","","")</f>
        <v/>
      </c>
      <c r="H91" s="17">
        <f>IF(B91="","","")</f>
        <v/>
      </c>
      <c r="I91" s="17">
        <f>IF(B91="","","")</f>
        <v/>
      </c>
      <c r="J91" s="17">
        <f>IF(B91="","",IF(Office_Log!H91="","",Office_Log!H91&amp;""))</f>
        <v/>
      </c>
      <c r="K91" t="inlineStr">
        <is>
          <t>office conversation</t>
        </is>
      </c>
    </row>
    <row r="92">
      <c r="A92" s="17">
        <f>IF(B92="","",B92+(1*1000+91)/10000000)</f>
        <v/>
      </c>
      <c r="B92" s="23">
        <f>IF(Office_Log!AU92=1,Office_Log!G92,"")</f>
        <v/>
      </c>
      <c r="C92" s="17">
        <f>IF(B92="","","office")</f>
        <v/>
      </c>
      <c r="D92" s="17">
        <f>IF(B92="","",Office_Log!$A92&amp;"")</f>
        <v/>
      </c>
      <c r="E92" s="17">
        <f>IF(B92="","",IF(Office_Log!B92="","",Office_Log!B92&amp;""))</f>
        <v/>
      </c>
      <c r="F92" s="17">
        <f>IF(B92="","","conversation")</f>
        <v/>
      </c>
      <c r="G92" s="17">
        <f>IF(B92="","","")</f>
        <v/>
      </c>
      <c r="H92" s="17">
        <f>IF(B92="","","")</f>
        <v/>
      </c>
      <c r="I92" s="17">
        <f>IF(B92="","","")</f>
        <v/>
      </c>
      <c r="J92" s="17">
        <f>IF(B92="","",IF(Office_Log!H92="","",Office_Log!H92&amp;""))</f>
        <v/>
      </c>
      <c r="K92" t="inlineStr">
        <is>
          <t>office conversation</t>
        </is>
      </c>
    </row>
    <row r="93">
      <c r="A93" s="17">
        <f>IF(B93="","",B93+(1*1000+92)/10000000)</f>
        <v/>
      </c>
      <c r="B93" s="23">
        <f>IF(Office_Log!AU93=1,Office_Log!G93,"")</f>
        <v/>
      </c>
      <c r="C93" s="17">
        <f>IF(B93="","","office")</f>
        <v/>
      </c>
      <c r="D93" s="17">
        <f>IF(B93="","",Office_Log!$A93&amp;"")</f>
        <v/>
      </c>
      <c r="E93" s="17">
        <f>IF(B93="","",IF(Office_Log!B93="","",Office_Log!B93&amp;""))</f>
        <v/>
      </c>
      <c r="F93" s="17">
        <f>IF(B93="","","conversation")</f>
        <v/>
      </c>
      <c r="G93" s="17">
        <f>IF(B93="","","")</f>
        <v/>
      </c>
      <c r="H93" s="17">
        <f>IF(B93="","","")</f>
        <v/>
      </c>
      <c r="I93" s="17">
        <f>IF(B93="","","")</f>
        <v/>
      </c>
      <c r="J93" s="17">
        <f>IF(B93="","",IF(Office_Log!H93="","",Office_Log!H93&amp;""))</f>
        <v/>
      </c>
      <c r="K93" t="inlineStr">
        <is>
          <t>office conversation</t>
        </is>
      </c>
    </row>
    <row r="94">
      <c r="A94" s="17">
        <f>IF(B94="","",B94+(1*1000+93)/10000000)</f>
        <v/>
      </c>
      <c r="B94" s="23">
        <f>IF(Office_Log!AU94=1,Office_Log!G94,"")</f>
        <v/>
      </c>
      <c r="C94" s="17">
        <f>IF(B94="","","office")</f>
        <v/>
      </c>
      <c r="D94" s="17">
        <f>IF(B94="","",Office_Log!$A94&amp;"")</f>
        <v/>
      </c>
      <c r="E94" s="17">
        <f>IF(B94="","",IF(Office_Log!B94="","",Office_Log!B94&amp;""))</f>
        <v/>
      </c>
      <c r="F94" s="17">
        <f>IF(B94="","","conversation")</f>
        <v/>
      </c>
      <c r="G94" s="17">
        <f>IF(B94="","","")</f>
        <v/>
      </c>
      <c r="H94" s="17">
        <f>IF(B94="","","")</f>
        <v/>
      </c>
      <c r="I94" s="17">
        <f>IF(B94="","","")</f>
        <v/>
      </c>
      <c r="J94" s="17">
        <f>IF(B94="","",IF(Office_Log!H94="","",Office_Log!H94&amp;""))</f>
        <v/>
      </c>
      <c r="K94" t="inlineStr">
        <is>
          <t>office conversation</t>
        </is>
      </c>
    </row>
    <row r="95">
      <c r="A95" s="17">
        <f>IF(B95="","",B95+(1*1000+94)/10000000)</f>
        <v/>
      </c>
      <c r="B95" s="23">
        <f>IF(Office_Log!AU95=1,Office_Log!G95,"")</f>
        <v/>
      </c>
      <c r="C95" s="17">
        <f>IF(B95="","","office")</f>
        <v/>
      </c>
      <c r="D95" s="17">
        <f>IF(B95="","",Office_Log!$A95&amp;"")</f>
        <v/>
      </c>
      <c r="E95" s="17">
        <f>IF(B95="","",IF(Office_Log!B95="","",Office_Log!B95&amp;""))</f>
        <v/>
      </c>
      <c r="F95" s="17">
        <f>IF(B95="","","conversation")</f>
        <v/>
      </c>
      <c r="G95" s="17">
        <f>IF(B95="","","")</f>
        <v/>
      </c>
      <c r="H95" s="17">
        <f>IF(B95="","","")</f>
        <v/>
      </c>
      <c r="I95" s="17">
        <f>IF(B95="","","")</f>
        <v/>
      </c>
      <c r="J95" s="17">
        <f>IF(B95="","",IF(Office_Log!H95="","",Office_Log!H95&amp;""))</f>
        <v/>
      </c>
      <c r="K95" t="inlineStr">
        <is>
          <t>office conversation</t>
        </is>
      </c>
    </row>
    <row r="96">
      <c r="A96" s="17">
        <f>IF(B96="","",B96+(1*1000+95)/10000000)</f>
        <v/>
      </c>
      <c r="B96" s="23">
        <f>IF(Office_Log!AU96=1,Office_Log!G96,"")</f>
        <v/>
      </c>
      <c r="C96" s="17">
        <f>IF(B96="","","office")</f>
        <v/>
      </c>
      <c r="D96" s="17">
        <f>IF(B96="","",Office_Log!$A96&amp;"")</f>
        <v/>
      </c>
      <c r="E96" s="17">
        <f>IF(B96="","",IF(Office_Log!B96="","",Office_Log!B96&amp;""))</f>
        <v/>
      </c>
      <c r="F96" s="17">
        <f>IF(B96="","","conversation")</f>
        <v/>
      </c>
      <c r="G96" s="17">
        <f>IF(B96="","","")</f>
        <v/>
      </c>
      <c r="H96" s="17">
        <f>IF(B96="","","")</f>
        <v/>
      </c>
      <c r="I96" s="17">
        <f>IF(B96="","","")</f>
        <v/>
      </c>
      <c r="J96" s="17">
        <f>IF(B96="","",IF(Office_Log!H96="","",Office_Log!H96&amp;""))</f>
        <v/>
      </c>
      <c r="K96" t="inlineStr">
        <is>
          <t>office conversation</t>
        </is>
      </c>
    </row>
    <row r="97">
      <c r="A97" s="17">
        <f>IF(B97="","",B97+(1*1000+96)/10000000)</f>
        <v/>
      </c>
      <c r="B97" s="23">
        <f>IF(Office_Log!AU97=1,Office_Log!G97,"")</f>
        <v/>
      </c>
      <c r="C97" s="17">
        <f>IF(B97="","","office")</f>
        <v/>
      </c>
      <c r="D97" s="17">
        <f>IF(B97="","",Office_Log!$A97&amp;"")</f>
        <v/>
      </c>
      <c r="E97" s="17">
        <f>IF(B97="","",IF(Office_Log!B97="","",Office_Log!B97&amp;""))</f>
        <v/>
      </c>
      <c r="F97" s="17">
        <f>IF(B97="","","conversation")</f>
        <v/>
      </c>
      <c r="G97" s="17">
        <f>IF(B97="","","")</f>
        <v/>
      </c>
      <c r="H97" s="17">
        <f>IF(B97="","","")</f>
        <v/>
      </c>
      <c r="I97" s="17">
        <f>IF(B97="","","")</f>
        <v/>
      </c>
      <c r="J97" s="17">
        <f>IF(B97="","",IF(Office_Log!H97="","",Office_Log!H97&amp;""))</f>
        <v/>
      </c>
      <c r="K97" t="inlineStr">
        <is>
          <t>office conversation</t>
        </is>
      </c>
    </row>
    <row r="98">
      <c r="A98" s="17">
        <f>IF(B98="","",B98+(1*1000+97)/10000000)</f>
        <v/>
      </c>
      <c r="B98" s="23">
        <f>IF(Office_Log!AU98=1,Office_Log!G98,"")</f>
        <v/>
      </c>
      <c r="C98" s="17">
        <f>IF(B98="","","office")</f>
        <v/>
      </c>
      <c r="D98" s="17">
        <f>IF(B98="","",Office_Log!$A98&amp;"")</f>
        <v/>
      </c>
      <c r="E98" s="17">
        <f>IF(B98="","",IF(Office_Log!B98="","",Office_Log!B98&amp;""))</f>
        <v/>
      </c>
      <c r="F98" s="17">
        <f>IF(B98="","","conversation")</f>
        <v/>
      </c>
      <c r="G98" s="17">
        <f>IF(B98="","","")</f>
        <v/>
      </c>
      <c r="H98" s="17">
        <f>IF(B98="","","")</f>
        <v/>
      </c>
      <c r="I98" s="17">
        <f>IF(B98="","","")</f>
        <v/>
      </c>
      <c r="J98" s="17">
        <f>IF(B98="","",IF(Office_Log!H98="","",Office_Log!H98&amp;""))</f>
        <v/>
      </c>
      <c r="K98" t="inlineStr">
        <is>
          <t>office conversation</t>
        </is>
      </c>
    </row>
    <row r="99">
      <c r="A99" s="17">
        <f>IF(B99="","",B99+(1*1000+98)/10000000)</f>
        <v/>
      </c>
      <c r="B99" s="23">
        <f>IF(Office_Log!AU99=1,Office_Log!G99,"")</f>
        <v/>
      </c>
      <c r="C99" s="17">
        <f>IF(B99="","","office")</f>
        <v/>
      </c>
      <c r="D99" s="17">
        <f>IF(B99="","",Office_Log!$A99&amp;"")</f>
        <v/>
      </c>
      <c r="E99" s="17">
        <f>IF(B99="","",IF(Office_Log!B99="","",Office_Log!B99&amp;""))</f>
        <v/>
      </c>
      <c r="F99" s="17">
        <f>IF(B99="","","conversation")</f>
        <v/>
      </c>
      <c r="G99" s="17">
        <f>IF(B99="","","")</f>
        <v/>
      </c>
      <c r="H99" s="17">
        <f>IF(B99="","","")</f>
        <v/>
      </c>
      <c r="I99" s="17">
        <f>IF(B99="","","")</f>
        <v/>
      </c>
      <c r="J99" s="17">
        <f>IF(B99="","",IF(Office_Log!H99="","",Office_Log!H99&amp;""))</f>
        <v/>
      </c>
      <c r="K99" t="inlineStr">
        <is>
          <t>office conversation</t>
        </is>
      </c>
    </row>
    <row r="100">
      <c r="A100" s="17">
        <f>IF(B100="","",B100+(1*1000+99)/10000000)</f>
        <v/>
      </c>
      <c r="B100" s="23">
        <f>IF(Office_Log!AU100=1,Office_Log!G100,"")</f>
        <v/>
      </c>
      <c r="C100" s="17">
        <f>IF(B100="","","office")</f>
        <v/>
      </c>
      <c r="D100" s="17">
        <f>IF(B100="","",Office_Log!$A100&amp;"")</f>
        <v/>
      </c>
      <c r="E100" s="17">
        <f>IF(B100="","",IF(Office_Log!B100="","",Office_Log!B100&amp;""))</f>
        <v/>
      </c>
      <c r="F100" s="17">
        <f>IF(B100="","","conversation")</f>
        <v/>
      </c>
      <c r="G100" s="17">
        <f>IF(B100="","","")</f>
        <v/>
      </c>
      <c r="H100" s="17">
        <f>IF(B100="","","")</f>
        <v/>
      </c>
      <c r="I100" s="17">
        <f>IF(B100="","","")</f>
        <v/>
      </c>
      <c r="J100" s="17">
        <f>IF(B100="","",IF(Office_Log!H100="","",Office_Log!H100&amp;""))</f>
        <v/>
      </c>
      <c r="K100" t="inlineStr">
        <is>
          <t>office conversation</t>
        </is>
      </c>
    </row>
    <row r="101">
      <c r="A101" s="17">
        <f>IF(B101="","",B101+(1*1000+100)/10000000)</f>
        <v/>
      </c>
      <c r="B101" s="23">
        <f>IF(Office_Log!AU101=1,Office_Log!G101,"")</f>
        <v/>
      </c>
      <c r="C101" s="17">
        <f>IF(B101="","","office")</f>
        <v/>
      </c>
      <c r="D101" s="17">
        <f>IF(B101="","",Office_Log!$A101&amp;"")</f>
        <v/>
      </c>
      <c r="E101" s="17">
        <f>IF(B101="","",IF(Office_Log!B101="","",Office_Log!B101&amp;""))</f>
        <v/>
      </c>
      <c r="F101" s="17">
        <f>IF(B101="","","conversation")</f>
        <v/>
      </c>
      <c r="G101" s="17">
        <f>IF(B101="","","")</f>
        <v/>
      </c>
      <c r="H101" s="17">
        <f>IF(B101="","","")</f>
        <v/>
      </c>
      <c r="I101" s="17">
        <f>IF(B101="","","")</f>
        <v/>
      </c>
      <c r="J101" s="17">
        <f>IF(B101="","",IF(Office_Log!H101="","",Office_Log!H101&amp;""))</f>
        <v/>
      </c>
      <c r="K101" t="inlineStr">
        <is>
          <t>office conversation</t>
        </is>
      </c>
    </row>
    <row r="102">
      <c r="A102" s="17">
        <f>IF(B102="","",B102+(1*1000+101)/10000000)</f>
        <v/>
      </c>
      <c r="B102" s="23">
        <f>IF(Office_Log!AU102=1,Office_Log!G102,"")</f>
        <v/>
      </c>
      <c r="C102" s="17">
        <f>IF(B102="","","office")</f>
        <v/>
      </c>
      <c r="D102" s="17">
        <f>IF(B102="","",Office_Log!$A102&amp;"")</f>
        <v/>
      </c>
      <c r="E102" s="17">
        <f>IF(B102="","",IF(Office_Log!B102="","",Office_Log!B102&amp;""))</f>
        <v/>
      </c>
      <c r="F102" s="17">
        <f>IF(B102="","","conversation")</f>
        <v/>
      </c>
      <c r="G102" s="17">
        <f>IF(B102="","","")</f>
        <v/>
      </c>
      <c r="H102" s="17">
        <f>IF(B102="","","")</f>
        <v/>
      </c>
      <c r="I102" s="17">
        <f>IF(B102="","","")</f>
        <v/>
      </c>
      <c r="J102" s="17">
        <f>IF(B102="","",IF(Office_Log!H102="","",Office_Log!H102&amp;""))</f>
        <v/>
      </c>
      <c r="K102" t="inlineStr">
        <is>
          <t>office conversation</t>
        </is>
      </c>
    </row>
    <row r="103">
      <c r="A103" s="17">
        <f>IF(B103="","",B103+(1*1000+102)/10000000)</f>
        <v/>
      </c>
      <c r="B103" s="23">
        <f>IF(Office_Log!AU103=1,Office_Log!G103,"")</f>
        <v/>
      </c>
      <c r="C103" s="17">
        <f>IF(B103="","","office")</f>
        <v/>
      </c>
      <c r="D103" s="17">
        <f>IF(B103="","",Office_Log!$A103&amp;"")</f>
        <v/>
      </c>
      <c r="E103" s="17">
        <f>IF(B103="","",IF(Office_Log!B103="","",Office_Log!B103&amp;""))</f>
        <v/>
      </c>
      <c r="F103" s="17">
        <f>IF(B103="","","conversation")</f>
        <v/>
      </c>
      <c r="G103" s="17">
        <f>IF(B103="","","")</f>
        <v/>
      </c>
      <c r="H103" s="17">
        <f>IF(B103="","","")</f>
        <v/>
      </c>
      <c r="I103" s="17">
        <f>IF(B103="","","")</f>
        <v/>
      </c>
      <c r="J103" s="17">
        <f>IF(B103="","",IF(Office_Log!H103="","",Office_Log!H103&amp;""))</f>
        <v/>
      </c>
      <c r="K103" t="inlineStr">
        <is>
          <t>office conversation</t>
        </is>
      </c>
    </row>
    <row r="104">
      <c r="A104" s="17">
        <f>IF(B104="","",B104+(1*1000+103)/10000000)</f>
        <v/>
      </c>
      <c r="B104" s="23">
        <f>IF(Office_Log!AU104=1,Office_Log!G104,"")</f>
        <v/>
      </c>
      <c r="C104" s="17">
        <f>IF(B104="","","office")</f>
        <v/>
      </c>
      <c r="D104" s="17">
        <f>IF(B104="","",Office_Log!$A104&amp;"")</f>
        <v/>
      </c>
      <c r="E104" s="17">
        <f>IF(B104="","",IF(Office_Log!B104="","",Office_Log!B104&amp;""))</f>
        <v/>
      </c>
      <c r="F104" s="17">
        <f>IF(B104="","","conversation")</f>
        <v/>
      </c>
      <c r="G104" s="17">
        <f>IF(B104="","","")</f>
        <v/>
      </c>
      <c r="H104" s="17">
        <f>IF(B104="","","")</f>
        <v/>
      </c>
      <c r="I104" s="17">
        <f>IF(B104="","","")</f>
        <v/>
      </c>
      <c r="J104" s="17">
        <f>IF(B104="","",IF(Office_Log!H104="","",Office_Log!H104&amp;""))</f>
        <v/>
      </c>
      <c r="K104" t="inlineStr">
        <is>
          <t>office conversation</t>
        </is>
      </c>
    </row>
    <row r="105">
      <c r="A105" s="17">
        <f>IF(B105="","",B105+(1*1000+104)/10000000)</f>
        <v/>
      </c>
      <c r="B105" s="23">
        <f>IF(Office_Log!AU105=1,Office_Log!G105,"")</f>
        <v/>
      </c>
      <c r="C105" s="17">
        <f>IF(B105="","","office")</f>
        <v/>
      </c>
      <c r="D105" s="17">
        <f>IF(B105="","",Office_Log!$A105&amp;"")</f>
        <v/>
      </c>
      <c r="E105" s="17">
        <f>IF(B105="","",IF(Office_Log!B105="","",Office_Log!B105&amp;""))</f>
        <v/>
      </c>
      <c r="F105" s="17">
        <f>IF(B105="","","conversation")</f>
        <v/>
      </c>
      <c r="G105" s="17">
        <f>IF(B105="","","")</f>
        <v/>
      </c>
      <c r="H105" s="17">
        <f>IF(B105="","","")</f>
        <v/>
      </c>
      <c r="I105" s="17">
        <f>IF(B105="","","")</f>
        <v/>
      </c>
      <c r="J105" s="17">
        <f>IF(B105="","",IF(Office_Log!H105="","",Office_Log!H105&amp;""))</f>
        <v/>
      </c>
      <c r="K105" t="inlineStr">
        <is>
          <t>office conversation</t>
        </is>
      </c>
    </row>
    <row r="106">
      <c r="A106" s="17">
        <f>IF(B106="","",B106+(1*1000+105)/10000000)</f>
        <v/>
      </c>
      <c r="B106" s="23">
        <f>IF(Office_Log!AU106=1,Office_Log!G106,"")</f>
        <v/>
      </c>
      <c r="C106" s="17">
        <f>IF(B106="","","office")</f>
        <v/>
      </c>
      <c r="D106" s="17">
        <f>IF(B106="","",Office_Log!$A106&amp;"")</f>
        <v/>
      </c>
      <c r="E106" s="17">
        <f>IF(B106="","",IF(Office_Log!B106="","",Office_Log!B106&amp;""))</f>
        <v/>
      </c>
      <c r="F106" s="17">
        <f>IF(B106="","","conversation")</f>
        <v/>
      </c>
      <c r="G106" s="17">
        <f>IF(B106="","","")</f>
        <v/>
      </c>
      <c r="H106" s="17">
        <f>IF(B106="","","")</f>
        <v/>
      </c>
      <c r="I106" s="17">
        <f>IF(B106="","","")</f>
        <v/>
      </c>
      <c r="J106" s="17">
        <f>IF(B106="","",IF(Office_Log!H106="","",Office_Log!H106&amp;""))</f>
        <v/>
      </c>
      <c r="K106" t="inlineStr">
        <is>
          <t>office conversation</t>
        </is>
      </c>
    </row>
    <row r="107">
      <c r="A107" s="17">
        <f>IF(B107="","",B107+(1*1000+106)/10000000)</f>
        <v/>
      </c>
      <c r="B107" s="23">
        <f>IF(Office_Log!AU107=1,Office_Log!G107,"")</f>
        <v/>
      </c>
      <c r="C107" s="17">
        <f>IF(B107="","","office")</f>
        <v/>
      </c>
      <c r="D107" s="17">
        <f>IF(B107="","",Office_Log!$A107&amp;"")</f>
        <v/>
      </c>
      <c r="E107" s="17">
        <f>IF(B107="","",IF(Office_Log!B107="","",Office_Log!B107&amp;""))</f>
        <v/>
      </c>
      <c r="F107" s="17">
        <f>IF(B107="","","conversation")</f>
        <v/>
      </c>
      <c r="G107" s="17">
        <f>IF(B107="","","")</f>
        <v/>
      </c>
      <c r="H107" s="17">
        <f>IF(B107="","","")</f>
        <v/>
      </c>
      <c r="I107" s="17">
        <f>IF(B107="","","")</f>
        <v/>
      </c>
      <c r="J107" s="17">
        <f>IF(B107="","",IF(Office_Log!H107="","",Office_Log!H107&amp;""))</f>
        <v/>
      </c>
      <c r="K107" t="inlineStr">
        <is>
          <t>office conversation</t>
        </is>
      </c>
    </row>
    <row r="108">
      <c r="A108" s="17">
        <f>IF(B108="","",B108+(1*1000+107)/10000000)</f>
        <v/>
      </c>
      <c r="B108" s="23">
        <f>IF(Office_Log!AU108=1,Office_Log!G108,"")</f>
        <v/>
      </c>
      <c r="C108" s="17">
        <f>IF(B108="","","office")</f>
        <v/>
      </c>
      <c r="D108" s="17">
        <f>IF(B108="","",Office_Log!$A108&amp;"")</f>
        <v/>
      </c>
      <c r="E108" s="17">
        <f>IF(B108="","",IF(Office_Log!B108="","",Office_Log!B108&amp;""))</f>
        <v/>
      </c>
      <c r="F108" s="17">
        <f>IF(B108="","","conversation")</f>
        <v/>
      </c>
      <c r="G108" s="17">
        <f>IF(B108="","","")</f>
        <v/>
      </c>
      <c r="H108" s="17">
        <f>IF(B108="","","")</f>
        <v/>
      </c>
      <c r="I108" s="17">
        <f>IF(B108="","","")</f>
        <v/>
      </c>
      <c r="J108" s="17">
        <f>IF(B108="","",IF(Office_Log!H108="","",Office_Log!H108&amp;""))</f>
        <v/>
      </c>
      <c r="K108" t="inlineStr">
        <is>
          <t>office conversation</t>
        </is>
      </c>
    </row>
    <row r="109">
      <c r="A109" s="17">
        <f>IF(B109="","",B109+(1*1000+108)/10000000)</f>
        <v/>
      </c>
      <c r="B109" s="23">
        <f>IF(Office_Log!AU109=1,Office_Log!G109,"")</f>
        <v/>
      </c>
      <c r="C109" s="17">
        <f>IF(B109="","","office")</f>
        <v/>
      </c>
      <c r="D109" s="17">
        <f>IF(B109="","",Office_Log!$A109&amp;"")</f>
        <v/>
      </c>
      <c r="E109" s="17">
        <f>IF(B109="","",IF(Office_Log!B109="","",Office_Log!B109&amp;""))</f>
        <v/>
      </c>
      <c r="F109" s="17">
        <f>IF(B109="","","conversation")</f>
        <v/>
      </c>
      <c r="G109" s="17">
        <f>IF(B109="","","")</f>
        <v/>
      </c>
      <c r="H109" s="17">
        <f>IF(B109="","","")</f>
        <v/>
      </c>
      <c r="I109" s="17">
        <f>IF(B109="","","")</f>
        <v/>
      </c>
      <c r="J109" s="17">
        <f>IF(B109="","",IF(Office_Log!H109="","",Office_Log!H109&amp;""))</f>
        <v/>
      </c>
      <c r="K109" t="inlineStr">
        <is>
          <t>office conversation</t>
        </is>
      </c>
    </row>
    <row r="110">
      <c r="A110" s="17">
        <f>IF(B110="","",B110+(1*1000+109)/10000000)</f>
        <v/>
      </c>
      <c r="B110" s="23">
        <f>IF(Office_Log!AU110=1,Office_Log!G110,"")</f>
        <v/>
      </c>
      <c r="C110" s="17">
        <f>IF(B110="","","office")</f>
        <v/>
      </c>
      <c r="D110" s="17">
        <f>IF(B110="","",Office_Log!$A110&amp;"")</f>
        <v/>
      </c>
      <c r="E110" s="17">
        <f>IF(B110="","",IF(Office_Log!B110="","",Office_Log!B110&amp;""))</f>
        <v/>
      </c>
      <c r="F110" s="17">
        <f>IF(B110="","","conversation")</f>
        <v/>
      </c>
      <c r="G110" s="17">
        <f>IF(B110="","","")</f>
        <v/>
      </c>
      <c r="H110" s="17">
        <f>IF(B110="","","")</f>
        <v/>
      </c>
      <c r="I110" s="17">
        <f>IF(B110="","","")</f>
        <v/>
      </c>
      <c r="J110" s="17">
        <f>IF(B110="","",IF(Office_Log!H110="","",Office_Log!H110&amp;""))</f>
        <v/>
      </c>
      <c r="K110" t="inlineStr">
        <is>
          <t>office conversation</t>
        </is>
      </c>
    </row>
    <row r="111">
      <c r="A111" s="17">
        <f>IF(B111="","",B111+(1*1000+110)/10000000)</f>
        <v/>
      </c>
      <c r="B111" s="23">
        <f>IF(Office_Log!AU111=1,Office_Log!G111,"")</f>
        <v/>
      </c>
      <c r="C111" s="17">
        <f>IF(B111="","","office")</f>
        <v/>
      </c>
      <c r="D111" s="17">
        <f>IF(B111="","",Office_Log!$A111&amp;"")</f>
        <v/>
      </c>
      <c r="E111" s="17">
        <f>IF(B111="","",IF(Office_Log!B111="","",Office_Log!B111&amp;""))</f>
        <v/>
      </c>
      <c r="F111" s="17">
        <f>IF(B111="","","conversation")</f>
        <v/>
      </c>
      <c r="G111" s="17">
        <f>IF(B111="","","")</f>
        <v/>
      </c>
      <c r="H111" s="17">
        <f>IF(B111="","","")</f>
        <v/>
      </c>
      <c r="I111" s="17">
        <f>IF(B111="","","")</f>
        <v/>
      </c>
      <c r="J111" s="17">
        <f>IF(B111="","",IF(Office_Log!H111="","",Office_Log!H111&amp;""))</f>
        <v/>
      </c>
      <c r="K111" t="inlineStr">
        <is>
          <t>office conversation</t>
        </is>
      </c>
    </row>
    <row r="112">
      <c r="A112" s="17">
        <f>IF(B112="","",B112+(1*1000+111)/10000000)</f>
        <v/>
      </c>
      <c r="B112" s="23">
        <f>IF(Office_Log!AU112=1,Office_Log!G112,"")</f>
        <v/>
      </c>
      <c r="C112" s="17">
        <f>IF(B112="","","office")</f>
        <v/>
      </c>
      <c r="D112" s="17">
        <f>IF(B112="","",Office_Log!$A112&amp;"")</f>
        <v/>
      </c>
      <c r="E112" s="17">
        <f>IF(B112="","",IF(Office_Log!B112="","",Office_Log!B112&amp;""))</f>
        <v/>
      </c>
      <c r="F112" s="17">
        <f>IF(B112="","","conversation")</f>
        <v/>
      </c>
      <c r="G112" s="17">
        <f>IF(B112="","","")</f>
        <v/>
      </c>
      <c r="H112" s="17">
        <f>IF(B112="","","")</f>
        <v/>
      </c>
      <c r="I112" s="17">
        <f>IF(B112="","","")</f>
        <v/>
      </c>
      <c r="J112" s="17">
        <f>IF(B112="","",IF(Office_Log!H112="","",Office_Log!H112&amp;""))</f>
        <v/>
      </c>
      <c r="K112" t="inlineStr">
        <is>
          <t>office conversation</t>
        </is>
      </c>
    </row>
    <row r="113">
      <c r="A113" s="17">
        <f>IF(B113="","",B113+(1*1000+112)/10000000)</f>
        <v/>
      </c>
      <c r="B113" s="23">
        <f>IF(Office_Log!AU113=1,Office_Log!G113,"")</f>
        <v/>
      </c>
      <c r="C113" s="17">
        <f>IF(B113="","","office")</f>
        <v/>
      </c>
      <c r="D113" s="17">
        <f>IF(B113="","",Office_Log!$A113&amp;"")</f>
        <v/>
      </c>
      <c r="E113" s="17">
        <f>IF(B113="","",IF(Office_Log!B113="","",Office_Log!B113&amp;""))</f>
        <v/>
      </c>
      <c r="F113" s="17">
        <f>IF(B113="","","conversation")</f>
        <v/>
      </c>
      <c r="G113" s="17">
        <f>IF(B113="","","")</f>
        <v/>
      </c>
      <c r="H113" s="17">
        <f>IF(B113="","","")</f>
        <v/>
      </c>
      <c r="I113" s="17">
        <f>IF(B113="","","")</f>
        <v/>
      </c>
      <c r="J113" s="17">
        <f>IF(B113="","",IF(Office_Log!H113="","",Office_Log!H113&amp;""))</f>
        <v/>
      </c>
      <c r="K113" t="inlineStr">
        <is>
          <t>office conversation</t>
        </is>
      </c>
    </row>
    <row r="114">
      <c r="A114" s="17">
        <f>IF(B114="","",B114+(1*1000+113)/10000000)</f>
        <v/>
      </c>
      <c r="B114" s="23">
        <f>IF(Office_Log!AU114=1,Office_Log!G114,"")</f>
        <v/>
      </c>
      <c r="C114" s="17">
        <f>IF(B114="","","office")</f>
        <v/>
      </c>
      <c r="D114" s="17">
        <f>IF(B114="","",Office_Log!$A114&amp;"")</f>
        <v/>
      </c>
      <c r="E114" s="17">
        <f>IF(B114="","",IF(Office_Log!B114="","",Office_Log!B114&amp;""))</f>
        <v/>
      </c>
      <c r="F114" s="17">
        <f>IF(B114="","","conversation")</f>
        <v/>
      </c>
      <c r="G114" s="17">
        <f>IF(B114="","","")</f>
        <v/>
      </c>
      <c r="H114" s="17">
        <f>IF(B114="","","")</f>
        <v/>
      </c>
      <c r="I114" s="17">
        <f>IF(B114="","","")</f>
        <v/>
      </c>
      <c r="J114" s="17">
        <f>IF(B114="","",IF(Office_Log!H114="","",Office_Log!H114&amp;""))</f>
        <v/>
      </c>
      <c r="K114" t="inlineStr">
        <is>
          <t>office conversation</t>
        </is>
      </c>
    </row>
    <row r="115">
      <c r="A115" s="17">
        <f>IF(B115="","",B115+(1*1000+114)/10000000)</f>
        <v/>
      </c>
      <c r="B115" s="23">
        <f>IF(Office_Log!AU115=1,Office_Log!G115,"")</f>
        <v/>
      </c>
      <c r="C115" s="17">
        <f>IF(B115="","","office")</f>
        <v/>
      </c>
      <c r="D115" s="17">
        <f>IF(B115="","",Office_Log!$A115&amp;"")</f>
        <v/>
      </c>
      <c r="E115" s="17">
        <f>IF(B115="","",IF(Office_Log!B115="","",Office_Log!B115&amp;""))</f>
        <v/>
      </c>
      <c r="F115" s="17">
        <f>IF(B115="","","conversation")</f>
        <v/>
      </c>
      <c r="G115" s="17">
        <f>IF(B115="","","")</f>
        <v/>
      </c>
      <c r="H115" s="17">
        <f>IF(B115="","","")</f>
        <v/>
      </c>
      <c r="I115" s="17">
        <f>IF(B115="","","")</f>
        <v/>
      </c>
      <c r="J115" s="17">
        <f>IF(B115="","",IF(Office_Log!H115="","",Office_Log!H115&amp;""))</f>
        <v/>
      </c>
      <c r="K115" t="inlineStr">
        <is>
          <t>office conversation</t>
        </is>
      </c>
    </row>
    <row r="116">
      <c r="A116" s="17">
        <f>IF(B116="","",B116+(1*1000+115)/10000000)</f>
        <v/>
      </c>
      <c r="B116" s="23">
        <f>IF(Office_Log!AU116=1,Office_Log!G116,"")</f>
        <v/>
      </c>
      <c r="C116" s="17">
        <f>IF(B116="","","office")</f>
        <v/>
      </c>
      <c r="D116" s="17">
        <f>IF(B116="","",Office_Log!$A116&amp;"")</f>
        <v/>
      </c>
      <c r="E116" s="17">
        <f>IF(B116="","",IF(Office_Log!B116="","",Office_Log!B116&amp;""))</f>
        <v/>
      </c>
      <c r="F116" s="17">
        <f>IF(B116="","","conversation")</f>
        <v/>
      </c>
      <c r="G116" s="17">
        <f>IF(B116="","","")</f>
        <v/>
      </c>
      <c r="H116" s="17">
        <f>IF(B116="","","")</f>
        <v/>
      </c>
      <c r="I116" s="17">
        <f>IF(B116="","","")</f>
        <v/>
      </c>
      <c r="J116" s="17">
        <f>IF(B116="","",IF(Office_Log!H116="","",Office_Log!H116&amp;""))</f>
        <v/>
      </c>
      <c r="K116" t="inlineStr">
        <is>
          <t>office conversation</t>
        </is>
      </c>
    </row>
    <row r="117">
      <c r="A117" s="17">
        <f>IF(B117="","",B117+(1*1000+116)/10000000)</f>
        <v/>
      </c>
      <c r="B117" s="23">
        <f>IF(Office_Log!AU117=1,Office_Log!G117,"")</f>
        <v/>
      </c>
      <c r="C117" s="17">
        <f>IF(B117="","","office")</f>
        <v/>
      </c>
      <c r="D117" s="17">
        <f>IF(B117="","",Office_Log!$A117&amp;"")</f>
        <v/>
      </c>
      <c r="E117" s="17">
        <f>IF(B117="","",IF(Office_Log!B117="","",Office_Log!B117&amp;""))</f>
        <v/>
      </c>
      <c r="F117" s="17">
        <f>IF(B117="","","conversation")</f>
        <v/>
      </c>
      <c r="G117" s="17">
        <f>IF(B117="","","")</f>
        <v/>
      </c>
      <c r="H117" s="17">
        <f>IF(B117="","","")</f>
        <v/>
      </c>
      <c r="I117" s="17">
        <f>IF(B117="","","")</f>
        <v/>
      </c>
      <c r="J117" s="17">
        <f>IF(B117="","",IF(Office_Log!H117="","",Office_Log!H117&amp;""))</f>
        <v/>
      </c>
      <c r="K117" t="inlineStr">
        <is>
          <t>office conversation</t>
        </is>
      </c>
    </row>
    <row r="118">
      <c r="A118" s="17">
        <f>IF(B118="","",B118+(1*1000+117)/10000000)</f>
        <v/>
      </c>
      <c r="B118" s="23">
        <f>IF(Office_Log!AU118=1,Office_Log!G118,"")</f>
        <v/>
      </c>
      <c r="C118" s="17">
        <f>IF(B118="","","office")</f>
        <v/>
      </c>
      <c r="D118" s="17">
        <f>IF(B118="","",Office_Log!$A118&amp;"")</f>
        <v/>
      </c>
      <c r="E118" s="17">
        <f>IF(B118="","",IF(Office_Log!B118="","",Office_Log!B118&amp;""))</f>
        <v/>
      </c>
      <c r="F118" s="17">
        <f>IF(B118="","","conversation")</f>
        <v/>
      </c>
      <c r="G118" s="17">
        <f>IF(B118="","","")</f>
        <v/>
      </c>
      <c r="H118" s="17">
        <f>IF(B118="","","")</f>
        <v/>
      </c>
      <c r="I118" s="17">
        <f>IF(B118="","","")</f>
        <v/>
      </c>
      <c r="J118" s="17">
        <f>IF(B118="","",IF(Office_Log!H118="","",Office_Log!H118&amp;""))</f>
        <v/>
      </c>
      <c r="K118" t="inlineStr">
        <is>
          <t>office conversation</t>
        </is>
      </c>
    </row>
    <row r="119">
      <c r="A119" s="17">
        <f>IF(B119="","",B119+(1*1000+118)/10000000)</f>
        <v/>
      </c>
      <c r="B119" s="23">
        <f>IF(Office_Log!AU119=1,Office_Log!G119,"")</f>
        <v/>
      </c>
      <c r="C119" s="17">
        <f>IF(B119="","","office")</f>
        <v/>
      </c>
      <c r="D119" s="17">
        <f>IF(B119="","",Office_Log!$A119&amp;"")</f>
        <v/>
      </c>
      <c r="E119" s="17">
        <f>IF(B119="","",IF(Office_Log!B119="","",Office_Log!B119&amp;""))</f>
        <v/>
      </c>
      <c r="F119" s="17">
        <f>IF(B119="","","conversation")</f>
        <v/>
      </c>
      <c r="G119" s="17">
        <f>IF(B119="","","")</f>
        <v/>
      </c>
      <c r="H119" s="17">
        <f>IF(B119="","","")</f>
        <v/>
      </c>
      <c r="I119" s="17">
        <f>IF(B119="","","")</f>
        <v/>
      </c>
      <c r="J119" s="17">
        <f>IF(B119="","",IF(Office_Log!H119="","",Office_Log!H119&amp;""))</f>
        <v/>
      </c>
      <c r="K119" t="inlineStr">
        <is>
          <t>office conversation</t>
        </is>
      </c>
    </row>
    <row r="120">
      <c r="A120" s="17">
        <f>IF(B120="","",B120+(1*1000+119)/10000000)</f>
        <v/>
      </c>
      <c r="B120" s="23">
        <f>IF(Office_Log!AU120=1,Office_Log!G120,"")</f>
        <v/>
      </c>
      <c r="C120" s="17">
        <f>IF(B120="","","office")</f>
        <v/>
      </c>
      <c r="D120" s="17">
        <f>IF(B120="","",Office_Log!$A120&amp;"")</f>
        <v/>
      </c>
      <c r="E120" s="17">
        <f>IF(B120="","",IF(Office_Log!B120="","",Office_Log!B120&amp;""))</f>
        <v/>
      </c>
      <c r="F120" s="17">
        <f>IF(B120="","","conversation")</f>
        <v/>
      </c>
      <c r="G120" s="17">
        <f>IF(B120="","","")</f>
        <v/>
      </c>
      <c r="H120" s="17">
        <f>IF(B120="","","")</f>
        <v/>
      </c>
      <c r="I120" s="17">
        <f>IF(B120="","","")</f>
        <v/>
      </c>
      <c r="J120" s="17">
        <f>IF(B120="","",IF(Office_Log!H120="","",Office_Log!H120&amp;""))</f>
        <v/>
      </c>
      <c r="K120" t="inlineStr">
        <is>
          <t>office conversation</t>
        </is>
      </c>
    </row>
    <row r="121">
      <c r="A121" s="17">
        <f>IF(B121="","",B121+(1*1000+120)/10000000)</f>
        <v/>
      </c>
      <c r="B121" s="23">
        <f>IF(Office_Log!AU121=1,Office_Log!G121,"")</f>
        <v/>
      </c>
      <c r="C121" s="17">
        <f>IF(B121="","","office")</f>
        <v/>
      </c>
      <c r="D121" s="17">
        <f>IF(B121="","",Office_Log!$A121&amp;"")</f>
        <v/>
      </c>
      <c r="E121" s="17">
        <f>IF(B121="","",IF(Office_Log!B121="","",Office_Log!B121&amp;""))</f>
        <v/>
      </c>
      <c r="F121" s="17">
        <f>IF(B121="","","conversation")</f>
        <v/>
      </c>
      <c r="G121" s="17">
        <f>IF(B121="","","")</f>
        <v/>
      </c>
      <c r="H121" s="17">
        <f>IF(B121="","","")</f>
        <v/>
      </c>
      <c r="I121" s="17">
        <f>IF(B121="","","")</f>
        <v/>
      </c>
      <c r="J121" s="17">
        <f>IF(B121="","",IF(Office_Log!H121="","",Office_Log!H121&amp;""))</f>
        <v/>
      </c>
      <c r="K121" t="inlineStr">
        <is>
          <t>office conversation</t>
        </is>
      </c>
    </row>
    <row r="122">
      <c r="A122" s="17">
        <f>IF(B122="","",B122+(1*1000+121)/10000000)</f>
        <v/>
      </c>
      <c r="B122" s="23">
        <f>IF(Office_Log!AU122=1,Office_Log!G122,"")</f>
        <v/>
      </c>
      <c r="C122" s="17">
        <f>IF(B122="","","office")</f>
        <v/>
      </c>
      <c r="D122" s="17">
        <f>IF(B122="","",Office_Log!$A122&amp;"")</f>
        <v/>
      </c>
      <c r="E122" s="17">
        <f>IF(B122="","",IF(Office_Log!B122="","",Office_Log!B122&amp;""))</f>
        <v/>
      </c>
      <c r="F122" s="17">
        <f>IF(B122="","","conversation")</f>
        <v/>
      </c>
      <c r="G122" s="17">
        <f>IF(B122="","","")</f>
        <v/>
      </c>
      <c r="H122" s="17">
        <f>IF(B122="","","")</f>
        <v/>
      </c>
      <c r="I122" s="17">
        <f>IF(B122="","","")</f>
        <v/>
      </c>
      <c r="J122" s="17">
        <f>IF(B122="","",IF(Office_Log!H122="","",Office_Log!H122&amp;""))</f>
        <v/>
      </c>
      <c r="K122" t="inlineStr">
        <is>
          <t>office conversation</t>
        </is>
      </c>
    </row>
    <row r="123">
      <c r="A123" s="17">
        <f>IF(B123="","",B123+(1*1000+122)/10000000)</f>
        <v/>
      </c>
      <c r="B123" s="23">
        <f>IF(Office_Log!AU123=1,Office_Log!G123,"")</f>
        <v/>
      </c>
      <c r="C123" s="17">
        <f>IF(B123="","","office")</f>
        <v/>
      </c>
      <c r="D123" s="17">
        <f>IF(B123="","",Office_Log!$A123&amp;"")</f>
        <v/>
      </c>
      <c r="E123" s="17">
        <f>IF(B123="","",IF(Office_Log!B123="","",Office_Log!B123&amp;""))</f>
        <v/>
      </c>
      <c r="F123" s="17">
        <f>IF(B123="","","conversation")</f>
        <v/>
      </c>
      <c r="G123" s="17">
        <f>IF(B123="","","")</f>
        <v/>
      </c>
      <c r="H123" s="17">
        <f>IF(B123="","","")</f>
        <v/>
      </c>
      <c r="I123" s="17">
        <f>IF(B123="","","")</f>
        <v/>
      </c>
      <c r="J123" s="17">
        <f>IF(B123="","",IF(Office_Log!H123="","",Office_Log!H123&amp;""))</f>
        <v/>
      </c>
      <c r="K123" t="inlineStr">
        <is>
          <t>office conversation</t>
        </is>
      </c>
    </row>
    <row r="124">
      <c r="A124" s="17">
        <f>IF(B124="","",B124+(1*1000+123)/10000000)</f>
        <v/>
      </c>
      <c r="B124" s="23">
        <f>IF(Office_Log!AU124=1,Office_Log!G124,"")</f>
        <v/>
      </c>
      <c r="C124" s="17">
        <f>IF(B124="","","office")</f>
        <v/>
      </c>
      <c r="D124" s="17">
        <f>IF(B124="","",Office_Log!$A124&amp;"")</f>
        <v/>
      </c>
      <c r="E124" s="17">
        <f>IF(B124="","",IF(Office_Log!B124="","",Office_Log!B124&amp;""))</f>
        <v/>
      </c>
      <c r="F124" s="17">
        <f>IF(B124="","","conversation")</f>
        <v/>
      </c>
      <c r="G124" s="17">
        <f>IF(B124="","","")</f>
        <v/>
      </c>
      <c r="H124" s="17">
        <f>IF(B124="","","")</f>
        <v/>
      </c>
      <c r="I124" s="17">
        <f>IF(B124="","","")</f>
        <v/>
      </c>
      <c r="J124" s="17">
        <f>IF(B124="","",IF(Office_Log!H124="","",Office_Log!H124&amp;""))</f>
        <v/>
      </c>
      <c r="K124" t="inlineStr">
        <is>
          <t>office conversation</t>
        </is>
      </c>
    </row>
    <row r="125">
      <c r="A125" s="17">
        <f>IF(B125="","",B125+(1*1000+124)/10000000)</f>
        <v/>
      </c>
      <c r="B125" s="23">
        <f>IF(Office_Log!AU125=1,Office_Log!G125,"")</f>
        <v/>
      </c>
      <c r="C125" s="17">
        <f>IF(B125="","","office")</f>
        <v/>
      </c>
      <c r="D125" s="17">
        <f>IF(B125="","",Office_Log!$A125&amp;"")</f>
        <v/>
      </c>
      <c r="E125" s="17">
        <f>IF(B125="","",IF(Office_Log!B125="","",Office_Log!B125&amp;""))</f>
        <v/>
      </c>
      <c r="F125" s="17">
        <f>IF(B125="","","conversation")</f>
        <v/>
      </c>
      <c r="G125" s="17">
        <f>IF(B125="","","")</f>
        <v/>
      </c>
      <c r="H125" s="17">
        <f>IF(B125="","","")</f>
        <v/>
      </c>
      <c r="I125" s="17">
        <f>IF(B125="","","")</f>
        <v/>
      </c>
      <c r="J125" s="17">
        <f>IF(B125="","",IF(Office_Log!H125="","",Office_Log!H125&amp;""))</f>
        <v/>
      </c>
      <c r="K125" t="inlineStr">
        <is>
          <t>office conversation</t>
        </is>
      </c>
    </row>
    <row r="126">
      <c r="A126" s="17">
        <f>IF(B126="","",B126+(1*1000+125)/10000000)</f>
        <v/>
      </c>
      <c r="B126" s="23">
        <f>IF(Office_Log!AU126=1,Office_Log!G126,"")</f>
        <v/>
      </c>
      <c r="C126" s="17">
        <f>IF(B126="","","office")</f>
        <v/>
      </c>
      <c r="D126" s="17">
        <f>IF(B126="","",Office_Log!$A126&amp;"")</f>
        <v/>
      </c>
      <c r="E126" s="17">
        <f>IF(B126="","",IF(Office_Log!B126="","",Office_Log!B126&amp;""))</f>
        <v/>
      </c>
      <c r="F126" s="17">
        <f>IF(B126="","","conversation")</f>
        <v/>
      </c>
      <c r="G126" s="17">
        <f>IF(B126="","","")</f>
        <v/>
      </c>
      <c r="H126" s="17">
        <f>IF(B126="","","")</f>
        <v/>
      </c>
      <c r="I126" s="17">
        <f>IF(B126="","","")</f>
        <v/>
      </c>
      <c r="J126" s="17">
        <f>IF(B126="","",IF(Office_Log!H126="","",Office_Log!H126&amp;""))</f>
        <v/>
      </c>
      <c r="K126" t="inlineStr">
        <is>
          <t>office conversation</t>
        </is>
      </c>
    </row>
    <row r="127">
      <c r="A127" s="17">
        <f>IF(B127="","",B127+(1*1000+126)/10000000)</f>
        <v/>
      </c>
      <c r="B127" s="23">
        <f>IF(Office_Log!AU127=1,Office_Log!G127,"")</f>
        <v/>
      </c>
      <c r="C127" s="17">
        <f>IF(B127="","","office")</f>
        <v/>
      </c>
      <c r="D127" s="17">
        <f>IF(B127="","",Office_Log!$A127&amp;"")</f>
        <v/>
      </c>
      <c r="E127" s="17">
        <f>IF(B127="","",IF(Office_Log!B127="","",Office_Log!B127&amp;""))</f>
        <v/>
      </c>
      <c r="F127" s="17">
        <f>IF(B127="","","conversation")</f>
        <v/>
      </c>
      <c r="G127" s="17">
        <f>IF(B127="","","")</f>
        <v/>
      </c>
      <c r="H127" s="17">
        <f>IF(B127="","","")</f>
        <v/>
      </c>
      <c r="I127" s="17">
        <f>IF(B127="","","")</f>
        <v/>
      </c>
      <c r="J127" s="17">
        <f>IF(B127="","",IF(Office_Log!H127="","",Office_Log!H127&amp;""))</f>
        <v/>
      </c>
      <c r="K127" t="inlineStr">
        <is>
          <t>office conversation</t>
        </is>
      </c>
    </row>
    <row r="128">
      <c r="A128" s="17">
        <f>IF(B128="","",B128+(1*1000+127)/10000000)</f>
        <v/>
      </c>
      <c r="B128" s="23">
        <f>IF(Office_Log!AU128=1,Office_Log!G128,"")</f>
        <v/>
      </c>
      <c r="C128" s="17">
        <f>IF(B128="","","office")</f>
        <v/>
      </c>
      <c r="D128" s="17">
        <f>IF(B128="","",Office_Log!$A128&amp;"")</f>
        <v/>
      </c>
      <c r="E128" s="17">
        <f>IF(B128="","",IF(Office_Log!B128="","",Office_Log!B128&amp;""))</f>
        <v/>
      </c>
      <c r="F128" s="17">
        <f>IF(B128="","","conversation")</f>
        <v/>
      </c>
      <c r="G128" s="17">
        <f>IF(B128="","","")</f>
        <v/>
      </c>
      <c r="H128" s="17">
        <f>IF(B128="","","")</f>
        <v/>
      </c>
      <c r="I128" s="17">
        <f>IF(B128="","","")</f>
        <v/>
      </c>
      <c r="J128" s="17">
        <f>IF(B128="","",IF(Office_Log!H128="","",Office_Log!H128&amp;""))</f>
        <v/>
      </c>
      <c r="K128" t="inlineStr">
        <is>
          <t>office conversation</t>
        </is>
      </c>
    </row>
    <row r="129">
      <c r="A129" s="17">
        <f>IF(B129="","",B129+(1*1000+128)/10000000)</f>
        <v/>
      </c>
      <c r="B129" s="23">
        <f>IF(Office_Log!AU129=1,Office_Log!G129,"")</f>
        <v/>
      </c>
      <c r="C129" s="17">
        <f>IF(B129="","","office")</f>
        <v/>
      </c>
      <c r="D129" s="17">
        <f>IF(B129="","",Office_Log!$A129&amp;"")</f>
        <v/>
      </c>
      <c r="E129" s="17">
        <f>IF(B129="","",IF(Office_Log!B129="","",Office_Log!B129&amp;""))</f>
        <v/>
      </c>
      <c r="F129" s="17">
        <f>IF(B129="","","conversation")</f>
        <v/>
      </c>
      <c r="G129" s="17">
        <f>IF(B129="","","")</f>
        <v/>
      </c>
      <c r="H129" s="17">
        <f>IF(B129="","","")</f>
        <v/>
      </c>
      <c r="I129" s="17">
        <f>IF(B129="","","")</f>
        <v/>
      </c>
      <c r="J129" s="17">
        <f>IF(B129="","",IF(Office_Log!H129="","",Office_Log!H129&amp;""))</f>
        <v/>
      </c>
      <c r="K129" t="inlineStr">
        <is>
          <t>office conversation</t>
        </is>
      </c>
    </row>
    <row r="130">
      <c r="A130" s="17">
        <f>IF(B130="","",B130+(1*1000+129)/10000000)</f>
        <v/>
      </c>
      <c r="B130" s="23">
        <f>IF(Office_Log!AU130=1,Office_Log!G130,"")</f>
        <v/>
      </c>
      <c r="C130" s="17">
        <f>IF(B130="","","office")</f>
        <v/>
      </c>
      <c r="D130" s="17">
        <f>IF(B130="","",Office_Log!$A130&amp;"")</f>
        <v/>
      </c>
      <c r="E130" s="17">
        <f>IF(B130="","",IF(Office_Log!B130="","",Office_Log!B130&amp;""))</f>
        <v/>
      </c>
      <c r="F130" s="17">
        <f>IF(B130="","","conversation")</f>
        <v/>
      </c>
      <c r="G130" s="17">
        <f>IF(B130="","","")</f>
        <v/>
      </c>
      <c r="H130" s="17">
        <f>IF(B130="","","")</f>
        <v/>
      </c>
      <c r="I130" s="17">
        <f>IF(B130="","","")</f>
        <v/>
      </c>
      <c r="J130" s="17">
        <f>IF(B130="","",IF(Office_Log!H130="","",Office_Log!H130&amp;""))</f>
        <v/>
      </c>
      <c r="K130" t="inlineStr">
        <is>
          <t>office conversation</t>
        </is>
      </c>
    </row>
    <row r="131">
      <c r="A131" s="17">
        <f>IF(B131="","",B131+(1*1000+130)/10000000)</f>
        <v/>
      </c>
      <c r="B131" s="23">
        <f>IF(Office_Log!AU131=1,Office_Log!G131,"")</f>
        <v/>
      </c>
      <c r="C131" s="17">
        <f>IF(B131="","","office")</f>
        <v/>
      </c>
      <c r="D131" s="17">
        <f>IF(B131="","",Office_Log!$A131&amp;"")</f>
        <v/>
      </c>
      <c r="E131" s="17">
        <f>IF(B131="","",IF(Office_Log!B131="","",Office_Log!B131&amp;""))</f>
        <v/>
      </c>
      <c r="F131" s="17">
        <f>IF(B131="","","conversation")</f>
        <v/>
      </c>
      <c r="G131" s="17">
        <f>IF(B131="","","")</f>
        <v/>
      </c>
      <c r="H131" s="17">
        <f>IF(B131="","","")</f>
        <v/>
      </c>
      <c r="I131" s="17">
        <f>IF(B131="","","")</f>
        <v/>
      </c>
      <c r="J131" s="17">
        <f>IF(B131="","",IF(Office_Log!H131="","",Office_Log!H131&amp;""))</f>
        <v/>
      </c>
      <c r="K131" t="inlineStr">
        <is>
          <t>office conversation</t>
        </is>
      </c>
    </row>
    <row r="132">
      <c r="A132" s="17">
        <f>IF(B132="","",B132+(1*1000+131)/10000000)</f>
        <v/>
      </c>
      <c r="B132" s="23">
        <f>IF(Office_Log!AU132=1,Office_Log!G132,"")</f>
        <v/>
      </c>
      <c r="C132" s="17">
        <f>IF(B132="","","office")</f>
        <v/>
      </c>
      <c r="D132" s="17">
        <f>IF(B132="","",Office_Log!$A132&amp;"")</f>
        <v/>
      </c>
      <c r="E132" s="17">
        <f>IF(B132="","",IF(Office_Log!B132="","",Office_Log!B132&amp;""))</f>
        <v/>
      </c>
      <c r="F132" s="17">
        <f>IF(B132="","","conversation")</f>
        <v/>
      </c>
      <c r="G132" s="17">
        <f>IF(B132="","","")</f>
        <v/>
      </c>
      <c r="H132" s="17">
        <f>IF(B132="","","")</f>
        <v/>
      </c>
      <c r="I132" s="17">
        <f>IF(B132="","","")</f>
        <v/>
      </c>
      <c r="J132" s="17">
        <f>IF(B132="","",IF(Office_Log!H132="","",Office_Log!H132&amp;""))</f>
        <v/>
      </c>
      <c r="K132" t="inlineStr">
        <is>
          <t>office conversation</t>
        </is>
      </c>
    </row>
    <row r="133">
      <c r="A133" s="17">
        <f>IF(B133="","",B133+(1*1000+132)/10000000)</f>
        <v/>
      </c>
      <c r="B133" s="23">
        <f>IF(Office_Log!AU133=1,Office_Log!G133,"")</f>
        <v/>
      </c>
      <c r="C133" s="17">
        <f>IF(B133="","","office")</f>
        <v/>
      </c>
      <c r="D133" s="17">
        <f>IF(B133="","",Office_Log!$A133&amp;"")</f>
        <v/>
      </c>
      <c r="E133" s="17">
        <f>IF(B133="","",IF(Office_Log!B133="","",Office_Log!B133&amp;""))</f>
        <v/>
      </c>
      <c r="F133" s="17">
        <f>IF(B133="","","conversation")</f>
        <v/>
      </c>
      <c r="G133" s="17">
        <f>IF(B133="","","")</f>
        <v/>
      </c>
      <c r="H133" s="17">
        <f>IF(B133="","","")</f>
        <v/>
      </c>
      <c r="I133" s="17">
        <f>IF(B133="","","")</f>
        <v/>
      </c>
      <c r="J133" s="17">
        <f>IF(B133="","",IF(Office_Log!H133="","",Office_Log!H133&amp;""))</f>
        <v/>
      </c>
      <c r="K133" t="inlineStr">
        <is>
          <t>office conversation</t>
        </is>
      </c>
    </row>
    <row r="134">
      <c r="A134" s="17">
        <f>IF(B134="","",B134+(1*1000+133)/10000000)</f>
        <v/>
      </c>
      <c r="B134" s="23">
        <f>IF(Office_Log!AU134=1,Office_Log!G134,"")</f>
        <v/>
      </c>
      <c r="C134" s="17">
        <f>IF(B134="","","office")</f>
        <v/>
      </c>
      <c r="D134" s="17">
        <f>IF(B134="","",Office_Log!$A134&amp;"")</f>
        <v/>
      </c>
      <c r="E134" s="17">
        <f>IF(B134="","",IF(Office_Log!B134="","",Office_Log!B134&amp;""))</f>
        <v/>
      </c>
      <c r="F134" s="17">
        <f>IF(B134="","","conversation")</f>
        <v/>
      </c>
      <c r="G134" s="17">
        <f>IF(B134="","","")</f>
        <v/>
      </c>
      <c r="H134" s="17">
        <f>IF(B134="","","")</f>
        <v/>
      </c>
      <c r="I134" s="17">
        <f>IF(B134="","","")</f>
        <v/>
      </c>
      <c r="J134" s="17">
        <f>IF(B134="","",IF(Office_Log!H134="","",Office_Log!H134&amp;""))</f>
        <v/>
      </c>
      <c r="K134" t="inlineStr">
        <is>
          <t>office conversation</t>
        </is>
      </c>
    </row>
    <row r="135">
      <c r="A135" s="17">
        <f>IF(B135="","",B135+(1*1000+134)/10000000)</f>
        <v/>
      </c>
      <c r="B135" s="23">
        <f>IF(Office_Log!AU135=1,Office_Log!G135,"")</f>
        <v/>
      </c>
      <c r="C135" s="17">
        <f>IF(B135="","","office")</f>
        <v/>
      </c>
      <c r="D135" s="17">
        <f>IF(B135="","",Office_Log!$A135&amp;"")</f>
        <v/>
      </c>
      <c r="E135" s="17">
        <f>IF(B135="","",IF(Office_Log!B135="","",Office_Log!B135&amp;""))</f>
        <v/>
      </c>
      <c r="F135" s="17">
        <f>IF(B135="","","conversation")</f>
        <v/>
      </c>
      <c r="G135" s="17">
        <f>IF(B135="","","")</f>
        <v/>
      </c>
      <c r="H135" s="17">
        <f>IF(B135="","","")</f>
        <v/>
      </c>
      <c r="I135" s="17">
        <f>IF(B135="","","")</f>
        <v/>
      </c>
      <c r="J135" s="17">
        <f>IF(B135="","",IF(Office_Log!H135="","",Office_Log!H135&amp;""))</f>
        <v/>
      </c>
      <c r="K135" t="inlineStr">
        <is>
          <t>office conversation</t>
        </is>
      </c>
    </row>
    <row r="136">
      <c r="A136" s="17">
        <f>IF(B136="","",B136+(1*1000+135)/10000000)</f>
        <v/>
      </c>
      <c r="B136" s="23">
        <f>IF(Office_Log!AU136=1,Office_Log!G136,"")</f>
        <v/>
      </c>
      <c r="C136" s="17">
        <f>IF(B136="","","office")</f>
        <v/>
      </c>
      <c r="D136" s="17">
        <f>IF(B136="","",Office_Log!$A136&amp;"")</f>
        <v/>
      </c>
      <c r="E136" s="17">
        <f>IF(B136="","",IF(Office_Log!B136="","",Office_Log!B136&amp;""))</f>
        <v/>
      </c>
      <c r="F136" s="17">
        <f>IF(B136="","","conversation")</f>
        <v/>
      </c>
      <c r="G136" s="17">
        <f>IF(B136="","","")</f>
        <v/>
      </c>
      <c r="H136" s="17">
        <f>IF(B136="","","")</f>
        <v/>
      </c>
      <c r="I136" s="17">
        <f>IF(B136="","","")</f>
        <v/>
      </c>
      <c r="J136" s="17">
        <f>IF(B136="","",IF(Office_Log!H136="","",Office_Log!H136&amp;""))</f>
        <v/>
      </c>
      <c r="K136" t="inlineStr">
        <is>
          <t>office conversation</t>
        </is>
      </c>
    </row>
    <row r="137">
      <c r="A137" s="17">
        <f>IF(B137="","",B137+(1*1000+136)/10000000)</f>
        <v/>
      </c>
      <c r="B137" s="23">
        <f>IF(Office_Log!AU137=1,Office_Log!G137,"")</f>
        <v/>
      </c>
      <c r="C137" s="17">
        <f>IF(B137="","","office")</f>
        <v/>
      </c>
      <c r="D137" s="17">
        <f>IF(B137="","",Office_Log!$A137&amp;"")</f>
        <v/>
      </c>
      <c r="E137" s="17">
        <f>IF(B137="","",IF(Office_Log!B137="","",Office_Log!B137&amp;""))</f>
        <v/>
      </c>
      <c r="F137" s="17">
        <f>IF(B137="","","conversation")</f>
        <v/>
      </c>
      <c r="G137" s="17">
        <f>IF(B137="","","")</f>
        <v/>
      </c>
      <c r="H137" s="17">
        <f>IF(B137="","","")</f>
        <v/>
      </c>
      <c r="I137" s="17">
        <f>IF(B137="","","")</f>
        <v/>
      </c>
      <c r="J137" s="17">
        <f>IF(B137="","",IF(Office_Log!H137="","",Office_Log!H137&amp;""))</f>
        <v/>
      </c>
      <c r="K137" t="inlineStr">
        <is>
          <t>office conversation</t>
        </is>
      </c>
    </row>
    <row r="138">
      <c r="A138" s="17">
        <f>IF(B138="","",B138+(1*1000+137)/10000000)</f>
        <v/>
      </c>
      <c r="B138" s="23">
        <f>IF(Office_Log!AU138=1,Office_Log!G138,"")</f>
        <v/>
      </c>
      <c r="C138" s="17">
        <f>IF(B138="","","office")</f>
        <v/>
      </c>
      <c r="D138" s="17">
        <f>IF(B138="","",Office_Log!$A138&amp;"")</f>
        <v/>
      </c>
      <c r="E138" s="17">
        <f>IF(B138="","",IF(Office_Log!B138="","",Office_Log!B138&amp;""))</f>
        <v/>
      </c>
      <c r="F138" s="17">
        <f>IF(B138="","","conversation")</f>
        <v/>
      </c>
      <c r="G138" s="17">
        <f>IF(B138="","","")</f>
        <v/>
      </c>
      <c r="H138" s="17">
        <f>IF(B138="","","")</f>
        <v/>
      </c>
      <c r="I138" s="17">
        <f>IF(B138="","","")</f>
        <v/>
      </c>
      <c r="J138" s="17">
        <f>IF(B138="","",IF(Office_Log!H138="","",Office_Log!H138&amp;""))</f>
        <v/>
      </c>
      <c r="K138" t="inlineStr">
        <is>
          <t>office conversation</t>
        </is>
      </c>
    </row>
    <row r="139">
      <c r="A139" s="17">
        <f>IF(B139="","",B139+(1*1000+138)/10000000)</f>
        <v/>
      </c>
      <c r="B139" s="23">
        <f>IF(Office_Log!AU139=1,Office_Log!G139,"")</f>
        <v/>
      </c>
      <c r="C139" s="17">
        <f>IF(B139="","","office")</f>
        <v/>
      </c>
      <c r="D139" s="17">
        <f>IF(B139="","",Office_Log!$A139&amp;"")</f>
        <v/>
      </c>
      <c r="E139" s="17">
        <f>IF(B139="","",IF(Office_Log!B139="","",Office_Log!B139&amp;""))</f>
        <v/>
      </c>
      <c r="F139" s="17">
        <f>IF(B139="","","conversation")</f>
        <v/>
      </c>
      <c r="G139" s="17">
        <f>IF(B139="","","")</f>
        <v/>
      </c>
      <c r="H139" s="17">
        <f>IF(B139="","","")</f>
        <v/>
      </c>
      <c r="I139" s="17">
        <f>IF(B139="","","")</f>
        <v/>
      </c>
      <c r="J139" s="17">
        <f>IF(B139="","",IF(Office_Log!H139="","",Office_Log!H139&amp;""))</f>
        <v/>
      </c>
      <c r="K139" t="inlineStr">
        <is>
          <t>office conversation</t>
        </is>
      </c>
    </row>
    <row r="140">
      <c r="A140" s="17">
        <f>IF(B140="","",B140+(1*1000+139)/10000000)</f>
        <v/>
      </c>
      <c r="B140" s="23">
        <f>IF(Office_Log!AU140=1,Office_Log!G140,"")</f>
        <v/>
      </c>
      <c r="C140" s="17">
        <f>IF(B140="","","office")</f>
        <v/>
      </c>
      <c r="D140" s="17">
        <f>IF(B140="","",Office_Log!$A140&amp;"")</f>
        <v/>
      </c>
      <c r="E140" s="17">
        <f>IF(B140="","",IF(Office_Log!B140="","",Office_Log!B140&amp;""))</f>
        <v/>
      </c>
      <c r="F140" s="17">
        <f>IF(B140="","","conversation")</f>
        <v/>
      </c>
      <c r="G140" s="17">
        <f>IF(B140="","","")</f>
        <v/>
      </c>
      <c r="H140" s="17">
        <f>IF(B140="","","")</f>
        <v/>
      </c>
      <c r="I140" s="17">
        <f>IF(B140="","","")</f>
        <v/>
      </c>
      <c r="J140" s="17">
        <f>IF(B140="","",IF(Office_Log!H140="","",Office_Log!H140&amp;""))</f>
        <v/>
      </c>
      <c r="K140" t="inlineStr">
        <is>
          <t>office conversation</t>
        </is>
      </c>
    </row>
    <row r="141">
      <c r="A141" s="17">
        <f>IF(B141="","",B141+(1*1000+140)/10000000)</f>
        <v/>
      </c>
      <c r="B141" s="23">
        <f>IF(Office_Log!AU141=1,Office_Log!G141,"")</f>
        <v/>
      </c>
      <c r="C141" s="17">
        <f>IF(B141="","","office")</f>
        <v/>
      </c>
      <c r="D141" s="17">
        <f>IF(B141="","",Office_Log!$A141&amp;"")</f>
        <v/>
      </c>
      <c r="E141" s="17">
        <f>IF(B141="","",IF(Office_Log!B141="","",Office_Log!B141&amp;""))</f>
        <v/>
      </c>
      <c r="F141" s="17">
        <f>IF(B141="","","conversation")</f>
        <v/>
      </c>
      <c r="G141" s="17">
        <f>IF(B141="","","")</f>
        <v/>
      </c>
      <c r="H141" s="17">
        <f>IF(B141="","","")</f>
        <v/>
      </c>
      <c r="I141" s="17">
        <f>IF(B141="","","")</f>
        <v/>
      </c>
      <c r="J141" s="17">
        <f>IF(B141="","",IF(Office_Log!H141="","",Office_Log!H141&amp;""))</f>
        <v/>
      </c>
      <c r="K141" t="inlineStr">
        <is>
          <t>office conversation</t>
        </is>
      </c>
    </row>
    <row r="142">
      <c r="A142" s="17">
        <f>IF(B142="","",B142+(1*1000+141)/10000000)</f>
        <v/>
      </c>
      <c r="B142" s="23">
        <f>IF(Office_Log!AU142=1,Office_Log!G142,"")</f>
        <v/>
      </c>
      <c r="C142" s="17">
        <f>IF(B142="","","office")</f>
        <v/>
      </c>
      <c r="D142" s="17">
        <f>IF(B142="","",Office_Log!$A142&amp;"")</f>
        <v/>
      </c>
      <c r="E142" s="17">
        <f>IF(B142="","",IF(Office_Log!B142="","",Office_Log!B142&amp;""))</f>
        <v/>
      </c>
      <c r="F142" s="17">
        <f>IF(B142="","","conversation")</f>
        <v/>
      </c>
      <c r="G142" s="17">
        <f>IF(B142="","","")</f>
        <v/>
      </c>
      <c r="H142" s="17">
        <f>IF(B142="","","")</f>
        <v/>
      </c>
      <c r="I142" s="17">
        <f>IF(B142="","","")</f>
        <v/>
      </c>
      <c r="J142" s="17">
        <f>IF(B142="","",IF(Office_Log!H142="","",Office_Log!H142&amp;""))</f>
        <v/>
      </c>
      <c r="K142" t="inlineStr">
        <is>
          <t>office conversation</t>
        </is>
      </c>
    </row>
    <row r="143">
      <c r="A143" s="17">
        <f>IF(B143="","",B143+(1*1000+142)/10000000)</f>
        <v/>
      </c>
      <c r="B143" s="23">
        <f>IF(Office_Log!AU143=1,Office_Log!G143,"")</f>
        <v/>
      </c>
      <c r="C143" s="17">
        <f>IF(B143="","","office")</f>
        <v/>
      </c>
      <c r="D143" s="17">
        <f>IF(B143="","",Office_Log!$A143&amp;"")</f>
        <v/>
      </c>
      <c r="E143" s="17">
        <f>IF(B143="","",IF(Office_Log!B143="","",Office_Log!B143&amp;""))</f>
        <v/>
      </c>
      <c r="F143" s="17">
        <f>IF(B143="","","conversation")</f>
        <v/>
      </c>
      <c r="G143" s="17">
        <f>IF(B143="","","")</f>
        <v/>
      </c>
      <c r="H143" s="17">
        <f>IF(B143="","","")</f>
        <v/>
      </c>
      <c r="I143" s="17">
        <f>IF(B143="","","")</f>
        <v/>
      </c>
      <c r="J143" s="17">
        <f>IF(B143="","",IF(Office_Log!H143="","",Office_Log!H143&amp;""))</f>
        <v/>
      </c>
      <c r="K143" t="inlineStr">
        <is>
          <t>office conversation</t>
        </is>
      </c>
    </row>
    <row r="144">
      <c r="A144" s="17">
        <f>IF(B144="","",B144+(1*1000+143)/10000000)</f>
        <v/>
      </c>
      <c r="B144" s="23">
        <f>IF(Office_Log!AU144=1,Office_Log!G144,"")</f>
        <v/>
      </c>
      <c r="C144" s="17">
        <f>IF(B144="","","office")</f>
        <v/>
      </c>
      <c r="D144" s="17">
        <f>IF(B144="","",Office_Log!$A144&amp;"")</f>
        <v/>
      </c>
      <c r="E144" s="17">
        <f>IF(B144="","",IF(Office_Log!B144="","",Office_Log!B144&amp;""))</f>
        <v/>
      </c>
      <c r="F144" s="17">
        <f>IF(B144="","","conversation")</f>
        <v/>
      </c>
      <c r="G144" s="17">
        <f>IF(B144="","","")</f>
        <v/>
      </c>
      <c r="H144" s="17">
        <f>IF(B144="","","")</f>
        <v/>
      </c>
      <c r="I144" s="17">
        <f>IF(B144="","","")</f>
        <v/>
      </c>
      <c r="J144" s="17">
        <f>IF(B144="","",IF(Office_Log!H144="","",Office_Log!H144&amp;""))</f>
        <v/>
      </c>
      <c r="K144" t="inlineStr">
        <is>
          <t>office conversation</t>
        </is>
      </c>
    </row>
    <row r="145">
      <c r="A145" s="17">
        <f>IF(B145="","",B145+(1*1000+144)/10000000)</f>
        <v/>
      </c>
      <c r="B145" s="23">
        <f>IF(Office_Log!AU145=1,Office_Log!G145,"")</f>
        <v/>
      </c>
      <c r="C145" s="17">
        <f>IF(B145="","","office")</f>
        <v/>
      </c>
      <c r="D145" s="17">
        <f>IF(B145="","",Office_Log!$A145&amp;"")</f>
        <v/>
      </c>
      <c r="E145" s="17">
        <f>IF(B145="","",IF(Office_Log!B145="","",Office_Log!B145&amp;""))</f>
        <v/>
      </c>
      <c r="F145" s="17">
        <f>IF(B145="","","conversation")</f>
        <v/>
      </c>
      <c r="G145" s="17">
        <f>IF(B145="","","")</f>
        <v/>
      </c>
      <c r="H145" s="17">
        <f>IF(B145="","","")</f>
        <v/>
      </c>
      <c r="I145" s="17">
        <f>IF(B145="","","")</f>
        <v/>
      </c>
      <c r="J145" s="17">
        <f>IF(B145="","",IF(Office_Log!H145="","",Office_Log!H145&amp;""))</f>
        <v/>
      </c>
      <c r="K145" t="inlineStr">
        <is>
          <t>office conversation</t>
        </is>
      </c>
    </row>
    <row r="146">
      <c r="A146" s="17">
        <f>IF(B146="","",B146+(1*1000+145)/10000000)</f>
        <v/>
      </c>
      <c r="B146" s="23">
        <f>IF(Office_Log!AU146=1,Office_Log!G146,"")</f>
        <v/>
      </c>
      <c r="C146" s="17">
        <f>IF(B146="","","office")</f>
        <v/>
      </c>
      <c r="D146" s="17">
        <f>IF(B146="","",Office_Log!$A146&amp;"")</f>
        <v/>
      </c>
      <c r="E146" s="17">
        <f>IF(B146="","",IF(Office_Log!B146="","",Office_Log!B146&amp;""))</f>
        <v/>
      </c>
      <c r="F146" s="17">
        <f>IF(B146="","","conversation")</f>
        <v/>
      </c>
      <c r="G146" s="17">
        <f>IF(B146="","","")</f>
        <v/>
      </c>
      <c r="H146" s="17">
        <f>IF(B146="","","")</f>
        <v/>
      </c>
      <c r="I146" s="17">
        <f>IF(B146="","","")</f>
        <v/>
      </c>
      <c r="J146" s="17">
        <f>IF(B146="","",IF(Office_Log!H146="","",Office_Log!H146&amp;""))</f>
        <v/>
      </c>
      <c r="K146" t="inlineStr">
        <is>
          <t>office conversation</t>
        </is>
      </c>
    </row>
    <row r="147">
      <c r="A147" s="17">
        <f>IF(B147="","",B147+(1*1000+146)/10000000)</f>
        <v/>
      </c>
      <c r="B147" s="23">
        <f>IF(Office_Log!AU147=1,Office_Log!G147,"")</f>
        <v/>
      </c>
      <c r="C147" s="17">
        <f>IF(B147="","","office")</f>
        <v/>
      </c>
      <c r="D147" s="17">
        <f>IF(B147="","",Office_Log!$A147&amp;"")</f>
        <v/>
      </c>
      <c r="E147" s="17">
        <f>IF(B147="","",IF(Office_Log!B147="","",Office_Log!B147&amp;""))</f>
        <v/>
      </c>
      <c r="F147" s="17">
        <f>IF(B147="","","conversation")</f>
        <v/>
      </c>
      <c r="G147" s="17">
        <f>IF(B147="","","")</f>
        <v/>
      </c>
      <c r="H147" s="17">
        <f>IF(B147="","","")</f>
        <v/>
      </c>
      <c r="I147" s="17">
        <f>IF(B147="","","")</f>
        <v/>
      </c>
      <c r="J147" s="17">
        <f>IF(B147="","",IF(Office_Log!H147="","",Office_Log!H147&amp;""))</f>
        <v/>
      </c>
      <c r="K147" t="inlineStr">
        <is>
          <t>office conversation</t>
        </is>
      </c>
    </row>
    <row r="148">
      <c r="A148" s="17">
        <f>IF(B148="","",B148+(1*1000+147)/10000000)</f>
        <v/>
      </c>
      <c r="B148" s="23">
        <f>IF(Office_Log!AU148=1,Office_Log!G148,"")</f>
        <v/>
      </c>
      <c r="C148" s="17">
        <f>IF(B148="","","office")</f>
        <v/>
      </c>
      <c r="D148" s="17">
        <f>IF(B148="","",Office_Log!$A148&amp;"")</f>
        <v/>
      </c>
      <c r="E148" s="17">
        <f>IF(B148="","",IF(Office_Log!B148="","",Office_Log!B148&amp;""))</f>
        <v/>
      </c>
      <c r="F148" s="17">
        <f>IF(B148="","","conversation")</f>
        <v/>
      </c>
      <c r="G148" s="17">
        <f>IF(B148="","","")</f>
        <v/>
      </c>
      <c r="H148" s="17">
        <f>IF(B148="","","")</f>
        <v/>
      </c>
      <c r="I148" s="17">
        <f>IF(B148="","","")</f>
        <v/>
      </c>
      <c r="J148" s="17">
        <f>IF(B148="","",IF(Office_Log!H148="","",Office_Log!H148&amp;""))</f>
        <v/>
      </c>
      <c r="K148" t="inlineStr">
        <is>
          <t>office conversation</t>
        </is>
      </c>
    </row>
    <row r="149">
      <c r="A149" s="17">
        <f>IF(B149="","",B149+(1*1000+148)/10000000)</f>
        <v/>
      </c>
      <c r="B149" s="23">
        <f>IF(Office_Log!AU149=1,Office_Log!G149,"")</f>
        <v/>
      </c>
      <c r="C149" s="17">
        <f>IF(B149="","","office")</f>
        <v/>
      </c>
      <c r="D149" s="17">
        <f>IF(B149="","",Office_Log!$A149&amp;"")</f>
        <v/>
      </c>
      <c r="E149" s="17">
        <f>IF(B149="","",IF(Office_Log!B149="","",Office_Log!B149&amp;""))</f>
        <v/>
      </c>
      <c r="F149" s="17">
        <f>IF(B149="","","conversation")</f>
        <v/>
      </c>
      <c r="G149" s="17">
        <f>IF(B149="","","")</f>
        <v/>
      </c>
      <c r="H149" s="17">
        <f>IF(B149="","","")</f>
        <v/>
      </c>
      <c r="I149" s="17">
        <f>IF(B149="","","")</f>
        <v/>
      </c>
      <c r="J149" s="17">
        <f>IF(B149="","",IF(Office_Log!H149="","",Office_Log!H149&amp;""))</f>
        <v/>
      </c>
      <c r="K149" t="inlineStr">
        <is>
          <t>office conversation</t>
        </is>
      </c>
    </row>
    <row r="150">
      <c r="A150" s="17">
        <f>IF(B150="","",B150+(1*1000+149)/10000000)</f>
        <v/>
      </c>
      <c r="B150" s="23">
        <f>IF(Office_Log!AU150=1,Office_Log!G150,"")</f>
        <v/>
      </c>
      <c r="C150" s="17">
        <f>IF(B150="","","office")</f>
        <v/>
      </c>
      <c r="D150" s="17">
        <f>IF(B150="","",Office_Log!$A150&amp;"")</f>
        <v/>
      </c>
      <c r="E150" s="17">
        <f>IF(B150="","",IF(Office_Log!B150="","",Office_Log!B150&amp;""))</f>
        <v/>
      </c>
      <c r="F150" s="17">
        <f>IF(B150="","","conversation")</f>
        <v/>
      </c>
      <c r="G150" s="17">
        <f>IF(B150="","","")</f>
        <v/>
      </c>
      <c r="H150" s="17">
        <f>IF(B150="","","")</f>
        <v/>
      </c>
      <c r="I150" s="17">
        <f>IF(B150="","","")</f>
        <v/>
      </c>
      <c r="J150" s="17">
        <f>IF(B150="","",IF(Office_Log!H150="","",Office_Log!H150&amp;""))</f>
        <v/>
      </c>
      <c r="K150" t="inlineStr">
        <is>
          <t>office conversation</t>
        </is>
      </c>
    </row>
    <row r="151">
      <c r="A151" s="17">
        <f>IF(B151="","",B151+(1*1000+150)/10000000)</f>
        <v/>
      </c>
      <c r="B151" s="23">
        <f>IF(Office_Log!AU151=1,Office_Log!G151,"")</f>
        <v/>
      </c>
      <c r="C151" s="17">
        <f>IF(B151="","","office")</f>
        <v/>
      </c>
      <c r="D151" s="17">
        <f>IF(B151="","",Office_Log!$A151&amp;"")</f>
        <v/>
      </c>
      <c r="E151" s="17">
        <f>IF(B151="","",IF(Office_Log!B151="","",Office_Log!B151&amp;""))</f>
        <v/>
      </c>
      <c r="F151" s="17">
        <f>IF(B151="","","conversation")</f>
        <v/>
      </c>
      <c r="G151" s="17">
        <f>IF(B151="","","")</f>
        <v/>
      </c>
      <c r="H151" s="17">
        <f>IF(B151="","","")</f>
        <v/>
      </c>
      <c r="I151" s="17">
        <f>IF(B151="","","")</f>
        <v/>
      </c>
      <c r="J151" s="17">
        <f>IF(B151="","",IF(Office_Log!H151="","",Office_Log!H151&amp;""))</f>
        <v/>
      </c>
      <c r="K151" t="inlineStr">
        <is>
          <t>office conversation</t>
        </is>
      </c>
    </row>
    <row r="152">
      <c r="A152" s="17">
        <f>IF(B152="","",B152+(1*1000+151)/10000000)</f>
        <v/>
      </c>
      <c r="B152" s="23">
        <f>IF(Office_Log!AU152=1,Office_Log!G152,"")</f>
        <v/>
      </c>
      <c r="C152" s="17">
        <f>IF(B152="","","office")</f>
        <v/>
      </c>
      <c r="D152" s="17">
        <f>IF(B152="","",Office_Log!$A152&amp;"")</f>
        <v/>
      </c>
      <c r="E152" s="17">
        <f>IF(B152="","",IF(Office_Log!B152="","",Office_Log!B152&amp;""))</f>
        <v/>
      </c>
      <c r="F152" s="17">
        <f>IF(B152="","","conversation")</f>
        <v/>
      </c>
      <c r="G152" s="17">
        <f>IF(B152="","","")</f>
        <v/>
      </c>
      <c r="H152" s="17">
        <f>IF(B152="","","")</f>
        <v/>
      </c>
      <c r="I152" s="17">
        <f>IF(B152="","","")</f>
        <v/>
      </c>
      <c r="J152" s="17">
        <f>IF(B152="","",IF(Office_Log!H152="","",Office_Log!H152&amp;""))</f>
        <v/>
      </c>
      <c r="K152" t="inlineStr">
        <is>
          <t>office conversation</t>
        </is>
      </c>
    </row>
    <row r="153">
      <c r="A153" s="17">
        <f>IF(B153="","",B153+(1*1000+152)/10000000)</f>
        <v/>
      </c>
      <c r="B153" s="23">
        <f>IF(Office_Log!AU153=1,Office_Log!G153,"")</f>
        <v/>
      </c>
      <c r="C153" s="17">
        <f>IF(B153="","","office")</f>
        <v/>
      </c>
      <c r="D153" s="17">
        <f>IF(B153="","",Office_Log!$A153&amp;"")</f>
        <v/>
      </c>
      <c r="E153" s="17">
        <f>IF(B153="","",IF(Office_Log!B153="","",Office_Log!B153&amp;""))</f>
        <v/>
      </c>
      <c r="F153" s="17">
        <f>IF(B153="","","conversation")</f>
        <v/>
      </c>
      <c r="G153" s="17">
        <f>IF(B153="","","")</f>
        <v/>
      </c>
      <c r="H153" s="17">
        <f>IF(B153="","","")</f>
        <v/>
      </c>
      <c r="I153" s="17">
        <f>IF(B153="","","")</f>
        <v/>
      </c>
      <c r="J153" s="17">
        <f>IF(B153="","",IF(Office_Log!H153="","",Office_Log!H153&amp;""))</f>
        <v/>
      </c>
      <c r="K153" t="inlineStr">
        <is>
          <t>office conversation</t>
        </is>
      </c>
    </row>
    <row r="154">
      <c r="A154" s="17">
        <f>IF(B154="","",B154+(1*1000+153)/10000000)</f>
        <v/>
      </c>
      <c r="B154" s="23">
        <f>IF(Office_Log!AU154=1,Office_Log!G154,"")</f>
        <v/>
      </c>
      <c r="C154" s="17">
        <f>IF(B154="","","office")</f>
        <v/>
      </c>
      <c r="D154" s="17">
        <f>IF(B154="","",Office_Log!$A154&amp;"")</f>
        <v/>
      </c>
      <c r="E154" s="17">
        <f>IF(B154="","",IF(Office_Log!B154="","",Office_Log!B154&amp;""))</f>
        <v/>
      </c>
      <c r="F154" s="17">
        <f>IF(B154="","","conversation")</f>
        <v/>
      </c>
      <c r="G154" s="17">
        <f>IF(B154="","","")</f>
        <v/>
      </c>
      <c r="H154" s="17">
        <f>IF(B154="","","")</f>
        <v/>
      </c>
      <c r="I154" s="17">
        <f>IF(B154="","","")</f>
        <v/>
      </c>
      <c r="J154" s="17">
        <f>IF(B154="","",IF(Office_Log!H154="","",Office_Log!H154&amp;""))</f>
        <v/>
      </c>
      <c r="K154" t="inlineStr">
        <is>
          <t>office conversation</t>
        </is>
      </c>
    </row>
    <row r="155">
      <c r="A155" s="17">
        <f>IF(B155="","",B155+(1*1000+154)/10000000)</f>
        <v/>
      </c>
      <c r="B155" s="23">
        <f>IF(Office_Log!AU155=1,Office_Log!G155,"")</f>
        <v/>
      </c>
      <c r="C155" s="17">
        <f>IF(B155="","","office")</f>
        <v/>
      </c>
      <c r="D155" s="17">
        <f>IF(B155="","",Office_Log!$A155&amp;"")</f>
        <v/>
      </c>
      <c r="E155" s="17">
        <f>IF(B155="","",IF(Office_Log!B155="","",Office_Log!B155&amp;""))</f>
        <v/>
      </c>
      <c r="F155" s="17">
        <f>IF(B155="","","conversation")</f>
        <v/>
      </c>
      <c r="G155" s="17">
        <f>IF(B155="","","")</f>
        <v/>
      </c>
      <c r="H155" s="17">
        <f>IF(B155="","","")</f>
        <v/>
      </c>
      <c r="I155" s="17">
        <f>IF(B155="","","")</f>
        <v/>
      </c>
      <c r="J155" s="17">
        <f>IF(B155="","",IF(Office_Log!H155="","",Office_Log!H155&amp;""))</f>
        <v/>
      </c>
      <c r="K155" t="inlineStr">
        <is>
          <t>office conversation</t>
        </is>
      </c>
    </row>
    <row r="156">
      <c r="A156" s="17">
        <f>IF(B156="","",B156+(1*1000+155)/10000000)</f>
        <v/>
      </c>
      <c r="B156" s="23">
        <f>IF(Office_Log!AU156=1,Office_Log!G156,"")</f>
        <v/>
      </c>
      <c r="C156" s="17">
        <f>IF(B156="","","office")</f>
        <v/>
      </c>
      <c r="D156" s="17">
        <f>IF(B156="","",Office_Log!$A156&amp;"")</f>
        <v/>
      </c>
      <c r="E156" s="17">
        <f>IF(B156="","",IF(Office_Log!B156="","",Office_Log!B156&amp;""))</f>
        <v/>
      </c>
      <c r="F156" s="17">
        <f>IF(B156="","","conversation")</f>
        <v/>
      </c>
      <c r="G156" s="17">
        <f>IF(B156="","","")</f>
        <v/>
      </c>
      <c r="H156" s="17">
        <f>IF(B156="","","")</f>
        <v/>
      </c>
      <c r="I156" s="17">
        <f>IF(B156="","","")</f>
        <v/>
      </c>
      <c r="J156" s="17">
        <f>IF(B156="","",IF(Office_Log!H156="","",Office_Log!H156&amp;""))</f>
        <v/>
      </c>
      <c r="K156" t="inlineStr">
        <is>
          <t>office conversation</t>
        </is>
      </c>
    </row>
    <row r="157">
      <c r="A157" s="17">
        <f>IF(B157="","",B157+(1*1000+156)/10000000)</f>
        <v/>
      </c>
      <c r="B157" s="23">
        <f>IF(Office_Log!AU157=1,Office_Log!G157,"")</f>
        <v/>
      </c>
      <c r="C157" s="17">
        <f>IF(B157="","","office")</f>
        <v/>
      </c>
      <c r="D157" s="17">
        <f>IF(B157="","",Office_Log!$A157&amp;"")</f>
        <v/>
      </c>
      <c r="E157" s="17">
        <f>IF(B157="","",IF(Office_Log!B157="","",Office_Log!B157&amp;""))</f>
        <v/>
      </c>
      <c r="F157" s="17">
        <f>IF(B157="","","conversation")</f>
        <v/>
      </c>
      <c r="G157" s="17">
        <f>IF(B157="","","")</f>
        <v/>
      </c>
      <c r="H157" s="17">
        <f>IF(B157="","","")</f>
        <v/>
      </c>
      <c r="I157" s="17">
        <f>IF(B157="","","")</f>
        <v/>
      </c>
      <c r="J157" s="17">
        <f>IF(B157="","",IF(Office_Log!H157="","",Office_Log!H157&amp;""))</f>
        <v/>
      </c>
      <c r="K157" t="inlineStr">
        <is>
          <t>office conversation</t>
        </is>
      </c>
    </row>
    <row r="158">
      <c r="A158" s="17">
        <f>IF(B158="","",B158+(1*1000+157)/10000000)</f>
        <v/>
      </c>
      <c r="B158" s="23">
        <f>IF(Office_Log!AU158=1,Office_Log!G158,"")</f>
        <v/>
      </c>
      <c r="C158" s="17">
        <f>IF(B158="","","office")</f>
        <v/>
      </c>
      <c r="D158" s="17">
        <f>IF(B158="","",Office_Log!$A158&amp;"")</f>
        <v/>
      </c>
      <c r="E158" s="17">
        <f>IF(B158="","",IF(Office_Log!B158="","",Office_Log!B158&amp;""))</f>
        <v/>
      </c>
      <c r="F158" s="17">
        <f>IF(B158="","","conversation")</f>
        <v/>
      </c>
      <c r="G158" s="17">
        <f>IF(B158="","","")</f>
        <v/>
      </c>
      <c r="H158" s="17">
        <f>IF(B158="","","")</f>
        <v/>
      </c>
      <c r="I158" s="17">
        <f>IF(B158="","","")</f>
        <v/>
      </c>
      <c r="J158" s="17">
        <f>IF(B158="","",IF(Office_Log!H158="","",Office_Log!H158&amp;""))</f>
        <v/>
      </c>
      <c r="K158" t="inlineStr">
        <is>
          <t>office conversation</t>
        </is>
      </c>
    </row>
    <row r="159">
      <c r="A159" s="17">
        <f>IF(B159="","",B159+(1*1000+158)/10000000)</f>
        <v/>
      </c>
      <c r="B159" s="23">
        <f>IF(Office_Log!AU159=1,Office_Log!G159,"")</f>
        <v/>
      </c>
      <c r="C159" s="17">
        <f>IF(B159="","","office")</f>
        <v/>
      </c>
      <c r="D159" s="17">
        <f>IF(B159="","",Office_Log!$A159&amp;"")</f>
        <v/>
      </c>
      <c r="E159" s="17">
        <f>IF(B159="","",IF(Office_Log!B159="","",Office_Log!B159&amp;""))</f>
        <v/>
      </c>
      <c r="F159" s="17">
        <f>IF(B159="","","conversation")</f>
        <v/>
      </c>
      <c r="G159" s="17">
        <f>IF(B159="","","")</f>
        <v/>
      </c>
      <c r="H159" s="17">
        <f>IF(B159="","","")</f>
        <v/>
      </c>
      <c r="I159" s="17">
        <f>IF(B159="","","")</f>
        <v/>
      </c>
      <c r="J159" s="17">
        <f>IF(B159="","",IF(Office_Log!H159="","",Office_Log!H159&amp;""))</f>
        <v/>
      </c>
      <c r="K159" t="inlineStr">
        <is>
          <t>office conversation</t>
        </is>
      </c>
    </row>
    <row r="160">
      <c r="A160" s="17">
        <f>IF(B160="","",B160+(1*1000+159)/10000000)</f>
        <v/>
      </c>
      <c r="B160" s="23">
        <f>IF(Office_Log!AU160=1,Office_Log!G160,"")</f>
        <v/>
      </c>
      <c r="C160" s="17">
        <f>IF(B160="","","office")</f>
        <v/>
      </c>
      <c r="D160" s="17">
        <f>IF(B160="","",Office_Log!$A160&amp;"")</f>
        <v/>
      </c>
      <c r="E160" s="17">
        <f>IF(B160="","",IF(Office_Log!B160="","",Office_Log!B160&amp;""))</f>
        <v/>
      </c>
      <c r="F160" s="17">
        <f>IF(B160="","","conversation")</f>
        <v/>
      </c>
      <c r="G160" s="17">
        <f>IF(B160="","","")</f>
        <v/>
      </c>
      <c r="H160" s="17">
        <f>IF(B160="","","")</f>
        <v/>
      </c>
      <c r="I160" s="17">
        <f>IF(B160="","","")</f>
        <v/>
      </c>
      <c r="J160" s="17">
        <f>IF(B160="","",IF(Office_Log!H160="","",Office_Log!H160&amp;""))</f>
        <v/>
      </c>
      <c r="K160" t="inlineStr">
        <is>
          <t>office conversation</t>
        </is>
      </c>
    </row>
    <row r="161">
      <c r="A161" s="17">
        <f>IF(B161="","",B161+(1*1000+160)/10000000)</f>
        <v/>
      </c>
      <c r="B161" s="23">
        <f>IF(Office_Log!AU161=1,Office_Log!G161,"")</f>
        <v/>
      </c>
      <c r="C161" s="17">
        <f>IF(B161="","","office")</f>
        <v/>
      </c>
      <c r="D161" s="17">
        <f>IF(B161="","",Office_Log!$A161&amp;"")</f>
        <v/>
      </c>
      <c r="E161" s="17">
        <f>IF(B161="","",IF(Office_Log!B161="","",Office_Log!B161&amp;""))</f>
        <v/>
      </c>
      <c r="F161" s="17">
        <f>IF(B161="","","conversation")</f>
        <v/>
      </c>
      <c r="G161" s="17">
        <f>IF(B161="","","")</f>
        <v/>
      </c>
      <c r="H161" s="17">
        <f>IF(B161="","","")</f>
        <v/>
      </c>
      <c r="I161" s="17">
        <f>IF(B161="","","")</f>
        <v/>
      </c>
      <c r="J161" s="17">
        <f>IF(B161="","",IF(Office_Log!H161="","",Office_Log!H161&amp;""))</f>
        <v/>
      </c>
      <c r="K161" t="inlineStr">
        <is>
          <t>office conversation</t>
        </is>
      </c>
    </row>
    <row r="162">
      <c r="A162" s="17">
        <f>IF(B162="","",B162+(1*1000+161)/10000000)</f>
        <v/>
      </c>
      <c r="B162" s="23">
        <f>IF(Office_Log!AU162=1,Office_Log!G162,"")</f>
        <v/>
      </c>
      <c r="C162" s="17">
        <f>IF(B162="","","office")</f>
        <v/>
      </c>
      <c r="D162" s="17">
        <f>IF(B162="","",Office_Log!$A162&amp;"")</f>
        <v/>
      </c>
      <c r="E162" s="17">
        <f>IF(B162="","",IF(Office_Log!B162="","",Office_Log!B162&amp;""))</f>
        <v/>
      </c>
      <c r="F162" s="17">
        <f>IF(B162="","","conversation")</f>
        <v/>
      </c>
      <c r="G162" s="17">
        <f>IF(B162="","","")</f>
        <v/>
      </c>
      <c r="H162" s="17">
        <f>IF(B162="","","")</f>
        <v/>
      </c>
      <c r="I162" s="17">
        <f>IF(B162="","","")</f>
        <v/>
      </c>
      <c r="J162" s="17">
        <f>IF(B162="","",IF(Office_Log!H162="","",Office_Log!H162&amp;""))</f>
        <v/>
      </c>
      <c r="K162" t="inlineStr">
        <is>
          <t>office conversation</t>
        </is>
      </c>
    </row>
    <row r="163">
      <c r="A163" s="17">
        <f>IF(B163="","",B163+(1*1000+162)/10000000)</f>
        <v/>
      </c>
      <c r="B163" s="23">
        <f>IF(Office_Log!AU163=1,Office_Log!G163,"")</f>
        <v/>
      </c>
      <c r="C163" s="17">
        <f>IF(B163="","","office")</f>
        <v/>
      </c>
      <c r="D163" s="17">
        <f>IF(B163="","",Office_Log!$A163&amp;"")</f>
        <v/>
      </c>
      <c r="E163" s="17">
        <f>IF(B163="","",IF(Office_Log!B163="","",Office_Log!B163&amp;""))</f>
        <v/>
      </c>
      <c r="F163" s="17">
        <f>IF(B163="","","conversation")</f>
        <v/>
      </c>
      <c r="G163" s="17">
        <f>IF(B163="","","")</f>
        <v/>
      </c>
      <c r="H163" s="17">
        <f>IF(B163="","","")</f>
        <v/>
      </c>
      <c r="I163" s="17">
        <f>IF(B163="","","")</f>
        <v/>
      </c>
      <c r="J163" s="17">
        <f>IF(B163="","",IF(Office_Log!H163="","",Office_Log!H163&amp;""))</f>
        <v/>
      </c>
      <c r="K163" t="inlineStr">
        <is>
          <t>office conversation</t>
        </is>
      </c>
    </row>
    <row r="164">
      <c r="A164" s="17">
        <f>IF(B164="","",B164+(1*1000+163)/10000000)</f>
        <v/>
      </c>
      <c r="B164" s="23">
        <f>IF(Office_Log!AU164=1,Office_Log!G164,"")</f>
        <v/>
      </c>
      <c r="C164" s="17">
        <f>IF(B164="","","office")</f>
        <v/>
      </c>
      <c r="D164" s="17">
        <f>IF(B164="","",Office_Log!$A164&amp;"")</f>
        <v/>
      </c>
      <c r="E164" s="17">
        <f>IF(B164="","",IF(Office_Log!B164="","",Office_Log!B164&amp;""))</f>
        <v/>
      </c>
      <c r="F164" s="17">
        <f>IF(B164="","","conversation")</f>
        <v/>
      </c>
      <c r="G164" s="17">
        <f>IF(B164="","","")</f>
        <v/>
      </c>
      <c r="H164" s="17">
        <f>IF(B164="","","")</f>
        <v/>
      </c>
      <c r="I164" s="17">
        <f>IF(B164="","","")</f>
        <v/>
      </c>
      <c r="J164" s="17">
        <f>IF(B164="","",IF(Office_Log!H164="","",Office_Log!H164&amp;""))</f>
        <v/>
      </c>
      <c r="K164" t="inlineStr">
        <is>
          <t>office conversation</t>
        </is>
      </c>
    </row>
    <row r="165">
      <c r="A165" s="17">
        <f>IF(B165="","",B165+(1*1000+164)/10000000)</f>
        <v/>
      </c>
      <c r="B165" s="23">
        <f>IF(Office_Log!AU165=1,Office_Log!G165,"")</f>
        <v/>
      </c>
      <c r="C165" s="17">
        <f>IF(B165="","","office")</f>
        <v/>
      </c>
      <c r="D165" s="17">
        <f>IF(B165="","",Office_Log!$A165&amp;"")</f>
        <v/>
      </c>
      <c r="E165" s="17">
        <f>IF(B165="","",IF(Office_Log!B165="","",Office_Log!B165&amp;""))</f>
        <v/>
      </c>
      <c r="F165" s="17">
        <f>IF(B165="","","conversation")</f>
        <v/>
      </c>
      <c r="G165" s="17">
        <f>IF(B165="","","")</f>
        <v/>
      </c>
      <c r="H165" s="17">
        <f>IF(B165="","","")</f>
        <v/>
      </c>
      <c r="I165" s="17">
        <f>IF(B165="","","")</f>
        <v/>
      </c>
      <c r="J165" s="17">
        <f>IF(B165="","",IF(Office_Log!H165="","",Office_Log!H165&amp;""))</f>
        <v/>
      </c>
      <c r="K165" t="inlineStr">
        <is>
          <t>office conversation</t>
        </is>
      </c>
    </row>
    <row r="166">
      <c r="A166" s="17">
        <f>IF(B166="","",B166+(1*1000+165)/10000000)</f>
        <v/>
      </c>
      <c r="B166" s="23">
        <f>IF(Office_Log!AU166=1,Office_Log!G166,"")</f>
        <v/>
      </c>
      <c r="C166" s="17">
        <f>IF(B166="","","office")</f>
        <v/>
      </c>
      <c r="D166" s="17">
        <f>IF(B166="","",Office_Log!$A166&amp;"")</f>
        <v/>
      </c>
      <c r="E166" s="17">
        <f>IF(B166="","",IF(Office_Log!B166="","",Office_Log!B166&amp;""))</f>
        <v/>
      </c>
      <c r="F166" s="17">
        <f>IF(B166="","","conversation")</f>
        <v/>
      </c>
      <c r="G166" s="17">
        <f>IF(B166="","","")</f>
        <v/>
      </c>
      <c r="H166" s="17">
        <f>IF(B166="","","")</f>
        <v/>
      </c>
      <c r="I166" s="17">
        <f>IF(B166="","","")</f>
        <v/>
      </c>
      <c r="J166" s="17">
        <f>IF(B166="","",IF(Office_Log!H166="","",Office_Log!H166&amp;""))</f>
        <v/>
      </c>
      <c r="K166" t="inlineStr">
        <is>
          <t>office conversation</t>
        </is>
      </c>
    </row>
    <row r="167">
      <c r="A167" s="17">
        <f>IF(B167="","",B167+(1*1000+166)/10000000)</f>
        <v/>
      </c>
      <c r="B167" s="23">
        <f>IF(Office_Log!AU167=1,Office_Log!G167,"")</f>
        <v/>
      </c>
      <c r="C167" s="17">
        <f>IF(B167="","","office")</f>
        <v/>
      </c>
      <c r="D167" s="17">
        <f>IF(B167="","",Office_Log!$A167&amp;"")</f>
        <v/>
      </c>
      <c r="E167" s="17">
        <f>IF(B167="","",IF(Office_Log!B167="","",Office_Log!B167&amp;""))</f>
        <v/>
      </c>
      <c r="F167" s="17">
        <f>IF(B167="","","conversation")</f>
        <v/>
      </c>
      <c r="G167" s="17">
        <f>IF(B167="","","")</f>
        <v/>
      </c>
      <c r="H167" s="17">
        <f>IF(B167="","","")</f>
        <v/>
      </c>
      <c r="I167" s="17">
        <f>IF(B167="","","")</f>
        <v/>
      </c>
      <c r="J167" s="17">
        <f>IF(B167="","",IF(Office_Log!H167="","",Office_Log!H167&amp;""))</f>
        <v/>
      </c>
      <c r="K167" t="inlineStr">
        <is>
          <t>office conversation</t>
        </is>
      </c>
    </row>
    <row r="168">
      <c r="A168" s="17">
        <f>IF(B168="","",B168+(1*1000+167)/10000000)</f>
        <v/>
      </c>
      <c r="B168" s="23">
        <f>IF(Office_Log!AU168=1,Office_Log!G168,"")</f>
        <v/>
      </c>
      <c r="C168" s="17">
        <f>IF(B168="","","office")</f>
        <v/>
      </c>
      <c r="D168" s="17">
        <f>IF(B168="","",Office_Log!$A168&amp;"")</f>
        <v/>
      </c>
      <c r="E168" s="17">
        <f>IF(B168="","",IF(Office_Log!B168="","",Office_Log!B168&amp;""))</f>
        <v/>
      </c>
      <c r="F168" s="17">
        <f>IF(B168="","","conversation")</f>
        <v/>
      </c>
      <c r="G168" s="17">
        <f>IF(B168="","","")</f>
        <v/>
      </c>
      <c r="H168" s="17">
        <f>IF(B168="","","")</f>
        <v/>
      </c>
      <c r="I168" s="17">
        <f>IF(B168="","","")</f>
        <v/>
      </c>
      <c r="J168" s="17">
        <f>IF(B168="","",IF(Office_Log!H168="","",Office_Log!H168&amp;""))</f>
        <v/>
      </c>
      <c r="K168" t="inlineStr">
        <is>
          <t>office conversation</t>
        </is>
      </c>
    </row>
    <row r="169">
      <c r="A169" s="17">
        <f>IF(B169="","",B169+(1*1000+168)/10000000)</f>
        <v/>
      </c>
      <c r="B169" s="23">
        <f>IF(Office_Log!AU169=1,Office_Log!G169,"")</f>
        <v/>
      </c>
      <c r="C169" s="17">
        <f>IF(B169="","","office")</f>
        <v/>
      </c>
      <c r="D169" s="17">
        <f>IF(B169="","",Office_Log!$A169&amp;"")</f>
        <v/>
      </c>
      <c r="E169" s="17">
        <f>IF(B169="","",IF(Office_Log!B169="","",Office_Log!B169&amp;""))</f>
        <v/>
      </c>
      <c r="F169" s="17">
        <f>IF(B169="","","conversation")</f>
        <v/>
      </c>
      <c r="G169" s="17">
        <f>IF(B169="","","")</f>
        <v/>
      </c>
      <c r="H169" s="17">
        <f>IF(B169="","","")</f>
        <v/>
      </c>
      <c r="I169" s="17">
        <f>IF(B169="","","")</f>
        <v/>
      </c>
      <c r="J169" s="17">
        <f>IF(B169="","",IF(Office_Log!H169="","",Office_Log!H169&amp;""))</f>
        <v/>
      </c>
      <c r="K169" t="inlineStr">
        <is>
          <t>office conversation</t>
        </is>
      </c>
    </row>
    <row r="170">
      <c r="A170" s="17">
        <f>IF(B170="","",B170+(1*1000+169)/10000000)</f>
        <v/>
      </c>
      <c r="B170" s="23">
        <f>IF(Office_Log!AU170=1,Office_Log!G170,"")</f>
        <v/>
      </c>
      <c r="C170" s="17">
        <f>IF(B170="","","office")</f>
        <v/>
      </c>
      <c r="D170" s="17">
        <f>IF(B170="","",Office_Log!$A170&amp;"")</f>
        <v/>
      </c>
      <c r="E170" s="17">
        <f>IF(B170="","",IF(Office_Log!B170="","",Office_Log!B170&amp;""))</f>
        <v/>
      </c>
      <c r="F170" s="17">
        <f>IF(B170="","","conversation")</f>
        <v/>
      </c>
      <c r="G170" s="17">
        <f>IF(B170="","","")</f>
        <v/>
      </c>
      <c r="H170" s="17">
        <f>IF(B170="","","")</f>
        <v/>
      </c>
      <c r="I170" s="17">
        <f>IF(B170="","","")</f>
        <v/>
      </c>
      <c r="J170" s="17">
        <f>IF(B170="","",IF(Office_Log!H170="","",Office_Log!H170&amp;""))</f>
        <v/>
      </c>
      <c r="K170" t="inlineStr">
        <is>
          <t>office conversation</t>
        </is>
      </c>
    </row>
    <row r="171">
      <c r="A171" s="17">
        <f>IF(B171="","",B171+(1*1000+170)/10000000)</f>
        <v/>
      </c>
      <c r="B171" s="23">
        <f>IF(Office_Log!AU171=1,Office_Log!G171,"")</f>
        <v/>
      </c>
      <c r="C171" s="17">
        <f>IF(B171="","","office")</f>
        <v/>
      </c>
      <c r="D171" s="17">
        <f>IF(B171="","",Office_Log!$A171&amp;"")</f>
        <v/>
      </c>
      <c r="E171" s="17">
        <f>IF(B171="","",IF(Office_Log!B171="","",Office_Log!B171&amp;""))</f>
        <v/>
      </c>
      <c r="F171" s="17">
        <f>IF(B171="","","conversation")</f>
        <v/>
      </c>
      <c r="G171" s="17">
        <f>IF(B171="","","")</f>
        <v/>
      </c>
      <c r="H171" s="17">
        <f>IF(B171="","","")</f>
        <v/>
      </c>
      <c r="I171" s="17">
        <f>IF(B171="","","")</f>
        <v/>
      </c>
      <c r="J171" s="17">
        <f>IF(B171="","",IF(Office_Log!H171="","",Office_Log!H171&amp;""))</f>
        <v/>
      </c>
      <c r="K171" t="inlineStr">
        <is>
          <t>office conversation</t>
        </is>
      </c>
    </row>
    <row r="172">
      <c r="A172" s="17">
        <f>IF(B172="","",B172+(1*1000+171)/10000000)</f>
        <v/>
      </c>
      <c r="B172" s="23">
        <f>IF(Office_Log!AU172=1,Office_Log!G172,"")</f>
        <v/>
      </c>
      <c r="C172" s="17">
        <f>IF(B172="","","office")</f>
        <v/>
      </c>
      <c r="D172" s="17">
        <f>IF(B172="","",Office_Log!$A172&amp;"")</f>
        <v/>
      </c>
      <c r="E172" s="17">
        <f>IF(B172="","",IF(Office_Log!B172="","",Office_Log!B172&amp;""))</f>
        <v/>
      </c>
      <c r="F172" s="17">
        <f>IF(B172="","","conversation")</f>
        <v/>
      </c>
      <c r="G172" s="17">
        <f>IF(B172="","","")</f>
        <v/>
      </c>
      <c r="H172" s="17">
        <f>IF(B172="","","")</f>
        <v/>
      </c>
      <c r="I172" s="17">
        <f>IF(B172="","","")</f>
        <v/>
      </c>
      <c r="J172" s="17">
        <f>IF(B172="","",IF(Office_Log!H172="","",Office_Log!H172&amp;""))</f>
        <v/>
      </c>
      <c r="K172" t="inlineStr">
        <is>
          <t>office conversation</t>
        </is>
      </c>
    </row>
    <row r="173">
      <c r="A173" s="17">
        <f>IF(B173="","",B173+(1*1000+172)/10000000)</f>
        <v/>
      </c>
      <c r="B173" s="23">
        <f>IF(Office_Log!AU173=1,Office_Log!G173,"")</f>
        <v/>
      </c>
      <c r="C173" s="17">
        <f>IF(B173="","","office")</f>
        <v/>
      </c>
      <c r="D173" s="17">
        <f>IF(B173="","",Office_Log!$A173&amp;"")</f>
        <v/>
      </c>
      <c r="E173" s="17">
        <f>IF(B173="","",IF(Office_Log!B173="","",Office_Log!B173&amp;""))</f>
        <v/>
      </c>
      <c r="F173" s="17">
        <f>IF(B173="","","conversation")</f>
        <v/>
      </c>
      <c r="G173" s="17">
        <f>IF(B173="","","")</f>
        <v/>
      </c>
      <c r="H173" s="17">
        <f>IF(B173="","","")</f>
        <v/>
      </c>
      <c r="I173" s="17">
        <f>IF(B173="","","")</f>
        <v/>
      </c>
      <c r="J173" s="17">
        <f>IF(B173="","",IF(Office_Log!H173="","",Office_Log!H173&amp;""))</f>
        <v/>
      </c>
      <c r="K173" t="inlineStr">
        <is>
          <t>office conversation</t>
        </is>
      </c>
    </row>
    <row r="174">
      <c r="A174" s="17">
        <f>IF(B174="","",B174+(1*1000+173)/10000000)</f>
        <v/>
      </c>
      <c r="B174" s="23">
        <f>IF(Office_Log!AU174=1,Office_Log!G174,"")</f>
        <v/>
      </c>
      <c r="C174" s="17">
        <f>IF(B174="","","office")</f>
        <v/>
      </c>
      <c r="D174" s="17">
        <f>IF(B174="","",Office_Log!$A174&amp;"")</f>
        <v/>
      </c>
      <c r="E174" s="17">
        <f>IF(B174="","",IF(Office_Log!B174="","",Office_Log!B174&amp;""))</f>
        <v/>
      </c>
      <c r="F174" s="17">
        <f>IF(B174="","","conversation")</f>
        <v/>
      </c>
      <c r="G174" s="17">
        <f>IF(B174="","","")</f>
        <v/>
      </c>
      <c r="H174" s="17">
        <f>IF(B174="","","")</f>
        <v/>
      </c>
      <c r="I174" s="17">
        <f>IF(B174="","","")</f>
        <v/>
      </c>
      <c r="J174" s="17">
        <f>IF(B174="","",IF(Office_Log!H174="","",Office_Log!H174&amp;""))</f>
        <v/>
      </c>
      <c r="K174" t="inlineStr">
        <is>
          <t>office conversation</t>
        </is>
      </c>
    </row>
    <row r="175">
      <c r="A175" s="17">
        <f>IF(B175="","",B175+(1*1000+174)/10000000)</f>
        <v/>
      </c>
      <c r="B175" s="23">
        <f>IF(Office_Log!AU175=1,Office_Log!G175,"")</f>
        <v/>
      </c>
      <c r="C175" s="17">
        <f>IF(B175="","","office")</f>
        <v/>
      </c>
      <c r="D175" s="17">
        <f>IF(B175="","",Office_Log!$A175&amp;"")</f>
        <v/>
      </c>
      <c r="E175" s="17">
        <f>IF(B175="","",IF(Office_Log!B175="","",Office_Log!B175&amp;""))</f>
        <v/>
      </c>
      <c r="F175" s="17">
        <f>IF(B175="","","conversation")</f>
        <v/>
      </c>
      <c r="G175" s="17">
        <f>IF(B175="","","")</f>
        <v/>
      </c>
      <c r="H175" s="17">
        <f>IF(B175="","","")</f>
        <v/>
      </c>
      <c r="I175" s="17">
        <f>IF(B175="","","")</f>
        <v/>
      </c>
      <c r="J175" s="17">
        <f>IF(B175="","",IF(Office_Log!H175="","",Office_Log!H175&amp;""))</f>
        <v/>
      </c>
      <c r="K175" t="inlineStr">
        <is>
          <t>office conversation</t>
        </is>
      </c>
    </row>
    <row r="176">
      <c r="A176" s="17">
        <f>IF(B176="","",B176+(1*1000+175)/10000000)</f>
        <v/>
      </c>
      <c r="B176" s="23">
        <f>IF(Office_Log!AU176=1,Office_Log!G176,"")</f>
        <v/>
      </c>
      <c r="C176" s="17">
        <f>IF(B176="","","office")</f>
        <v/>
      </c>
      <c r="D176" s="17">
        <f>IF(B176="","",Office_Log!$A176&amp;"")</f>
        <v/>
      </c>
      <c r="E176" s="17">
        <f>IF(B176="","",IF(Office_Log!B176="","",Office_Log!B176&amp;""))</f>
        <v/>
      </c>
      <c r="F176" s="17">
        <f>IF(B176="","","conversation")</f>
        <v/>
      </c>
      <c r="G176" s="17">
        <f>IF(B176="","","")</f>
        <v/>
      </c>
      <c r="H176" s="17">
        <f>IF(B176="","","")</f>
        <v/>
      </c>
      <c r="I176" s="17">
        <f>IF(B176="","","")</f>
        <v/>
      </c>
      <c r="J176" s="17">
        <f>IF(B176="","",IF(Office_Log!H176="","",Office_Log!H176&amp;""))</f>
        <v/>
      </c>
      <c r="K176" t="inlineStr">
        <is>
          <t>office conversation</t>
        </is>
      </c>
    </row>
    <row r="177">
      <c r="A177" s="17">
        <f>IF(B177="","",B177+(1*1000+176)/10000000)</f>
        <v/>
      </c>
      <c r="B177" s="23">
        <f>IF(Office_Log!AU177=1,Office_Log!G177,"")</f>
        <v/>
      </c>
      <c r="C177" s="17">
        <f>IF(B177="","","office")</f>
        <v/>
      </c>
      <c r="D177" s="17">
        <f>IF(B177="","",Office_Log!$A177&amp;"")</f>
        <v/>
      </c>
      <c r="E177" s="17">
        <f>IF(B177="","",IF(Office_Log!B177="","",Office_Log!B177&amp;""))</f>
        <v/>
      </c>
      <c r="F177" s="17">
        <f>IF(B177="","","conversation")</f>
        <v/>
      </c>
      <c r="G177" s="17">
        <f>IF(B177="","","")</f>
        <v/>
      </c>
      <c r="H177" s="17">
        <f>IF(B177="","","")</f>
        <v/>
      </c>
      <c r="I177" s="17">
        <f>IF(B177="","","")</f>
        <v/>
      </c>
      <c r="J177" s="17">
        <f>IF(B177="","",IF(Office_Log!H177="","",Office_Log!H177&amp;""))</f>
        <v/>
      </c>
      <c r="K177" t="inlineStr">
        <is>
          <t>office conversation</t>
        </is>
      </c>
    </row>
    <row r="178">
      <c r="A178" s="17">
        <f>IF(B178="","",B178+(1*1000+177)/10000000)</f>
        <v/>
      </c>
      <c r="B178" s="23">
        <f>IF(Office_Log!AU178=1,Office_Log!G178,"")</f>
        <v/>
      </c>
      <c r="C178" s="17">
        <f>IF(B178="","","office")</f>
        <v/>
      </c>
      <c r="D178" s="17">
        <f>IF(B178="","",Office_Log!$A178&amp;"")</f>
        <v/>
      </c>
      <c r="E178" s="17">
        <f>IF(B178="","",IF(Office_Log!B178="","",Office_Log!B178&amp;""))</f>
        <v/>
      </c>
      <c r="F178" s="17">
        <f>IF(B178="","","conversation")</f>
        <v/>
      </c>
      <c r="G178" s="17">
        <f>IF(B178="","","")</f>
        <v/>
      </c>
      <c r="H178" s="17">
        <f>IF(B178="","","")</f>
        <v/>
      </c>
      <c r="I178" s="17">
        <f>IF(B178="","","")</f>
        <v/>
      </c>
      <c r="J178" s="17">
        <f>IF(B178="","",IF(Office_Log!H178="","",Office_Log!H178&amp;""))</f>
        <v/>
      </c>
      <c r="K178" t="inlineStr">
        <is>
          <t>office conversation</t>
        </is>
      </c>
    </row>
    <row r="179">
      <c r="A179" s="17">
        <f>IF(B179="","",B179+(1*1000+178)/10000000)</f>
        <v/>
      </c>
      <c r="B179" s="23">
        <f>IF(Office_Log!AU179=1,Office_Log!G179,"")</f>
        <v/>
      </c>
      <c r="C179" s="17">
        <f>IF(B179="","","office")</f>
        <v/>
      </c>
      <c r="D179" s="17">
        <f>IF(B179="","",Office_Log!$A179&amp;"")</f>
        <v/>
      </c>
      <c r="E179" s="17">
        <f>IF(B179="","",IF(Office_Log!B179="","",Office_Log!B179&amp;""))</f>
        <v/>
      </c>
      <c r="F179" s="17">
        <f>IF(B179="","","conversation")</f>
        <v/>
      </c>
      <c r="G179" s="17">
        <f>IF(B179="","","")</f>
        <v/>
      </c>
      <c r="H179" s="17">
        <f>IF(B179="","","")</f>
        <v/>
      </c>
      <c r="I179" s="17">
        <f>IF(B179="","","")</f>
        <v/>
      </c>
      <c r="J179" s="17">
        <f>IF(B179="","",IF(Office_Log!H179="","",Office_Log!H179&amp;""))</f>
        <v/>
      </c>
      <c r="K179" t="inlineStr">
        <is>
          <t>office conversation</t>
        </is>
      </c>
    </row>
    <row r="180">
      <c r="A180" s="17">
        <f>IF(B180="","",B180+(1*1000+179)/10000000)</f>
        <v/>
      </c>
      <c r="B180" s="23">
        <f>IF(Office_Log!AU180=1,Office_Log!G180,"")</f>
        <v/>
      </c>
      <c r="C180" s="17">
        <f>IF(B180="","","office")</f>
        <v/>
      </c>
      <c r="D180" s="17">
        <f>IF(B180="","",Office_Log!$A180&amp;"")</f>
        <v/>
      </c>
      <c r="E180" s="17">
        <f>IF(B180="","",IF(Office_Log!B180="","",Office_Log!B180&amp;""))</f>
        <v/>
      </c>
      <c r="F180" s="17">
        <f>IF(B180="","","conversation")</f>
        <v/>
      </c>
      <c r="G180" s="17">
        <f>IF(B180="","","")</f>
        <v/>
      </c>
      <c r="H180" s="17">
        <f>IF(B180="","","")</f>
        <v/>
      </c>
      <c r="I180" s="17">
        <f>IF(B180="","","")</f>
        <v/>
      </c>
      <c r="J180" s="17">
        <f>IF(B180="","",IF(Office_Log!H180="","",Office_Log!H180&amp;""))</f>
        <v/>
      </c>
      <c r="K180" t="inlineStr">
        <is>
          <t>office conversation</t>
        </is>
      </c>
    </row>
    <row r="181">
      <c r="A181" s="17">
        <f>IF(B181="","",B181+(1*1000+180)/10000000)</f>
        <v/>
      </c>
      <c r="B181" s="23">
        <f>IF(Office_Log!AU181=1,Office_Log!G181,"")</f>
        <v/>
      </c>
      <c r="C181" s="17">
        <f>IF(B181="","","office")</f>
        <v/>
      </c>
      <c r="D181" s="17">
        <f>IF(B181="","",Office_Log!$A181&amp;"")</f>
        <v/>
      </c>
      <c r="E181" s="17">
        <f>IF(B181="","",IF(Office_Log!B181="","",Office_Log!B181&amp;""))</f>
        <v/>
      </c>
      <c r="F181" s="17">
        <f>IF(B181="","","conversation")</f>
        <v/>
      </c>
      <c r="G181" s="17">
        <f>IF(B181="","","")</f>
        <v/>
      </c>
      <c r="H181" s="17">
        <f>IF(B181="","","")</f>
        <v/>
      </c>
      <c r="I181" s="17">
        <f>IF(B181="","","")</f>
        <v/>
      </c>
      <c r="J181" s="17">
        <f>IF(B181="","",IF(Office_Log!H181="","",Office_Log!H181&amp;""))</f>
        <v/>
      </c>
      <c r="K181" t="inlineStr">
        <is>
          <t>office conversation</t>
        </is>
      </c>
    </row>
    <row r="182">
      <c r="A182" s="17">
        <f>IF(B182="","",B182+(1*1000+181)/10000000)</f>
        <v/>
      </c>
      <c r="B182" s="23">
        <f>IF(Office_Log!AU182=1,Office_Log!G182,"")</f>
        <v/>
      </c>
      <c r="C182" s="17">
        <f>IF(B182="","","office")</f>
        <v/>
      </c>
      <c r="D182" s="17">
        <f>IF(B182="","",Office_Log!$A182&amp;"")</f>
        <v/>
      </c>
      <c r="E182" s="17">
        <f>IF(B182="","",IF(Office_Log!B182="","",Office_Log!B182&amp;""))</f>
        <v/>
      </c>
      <c r="F182" s="17">
        <f>IF(B182="","","conversation")</f>
        <v/>
      </c>
      <c r="G182" s="17">
        <f>IF(B182="","","")</f>
        <v/>
      </c>
      <c r="H182" s="17">
        <f>IF(B182="","","")</f>
        <v/>
      </c>
      <c r="I182" s="17">
        <f>IF(B182="","","")</f>
        <v/>
      </c>
      <c r="J182" s="17">
        <f>IF(B182="","",IF(Office_Log!H182="","",Office_Log!H182&amp;""))</f>
        <v/>
      </c>
      <c r="K182" t="inlineStr">
        <is>
          <t>office conversation</t>
        </is>
      </c>
    </row>
    <row r="183">
      <c r="A183" s="17">
        <f>IF(B183="","",B183+(1*1000+182)/10000000)</f>
        <v/>
      </c>
      <c r="B183" s="23">
        <f>IF(Office_Log!AU183=1,Office_Log!G183,"")</f>
        <v/>
      </c>
      <c r="C183" s="17">
        <f>IF(B183="","","office")</f>
        <v/>
      </c>
      <c r="D183" s="17">
        <f>IF(B183="","",Office_Log!$A183&amp;"")</f>
        <v/>
      </c>
      <c r="E183" s="17">
        <f>IF(B183="","",IF(Office_Log!B183="","",Office_Log!B183&amp;""))</f>
        <v/>
      </c>
      <c r="F183" s="17">
        <f>IF(B183="","","conversation")</f>
        <v/>
      </c>
      <c r="G183" s="17">
        <f>IF(B183="","","")</f>
        <v/>
      </c>
      <c r="H183" s="17">
        <f>IF(B183="","","")</f>
        <v/>
      </c>
      <c r="I183" s="17">
        <f>IF(B183="","","")</f>
        <v/>
      </c>
      <c r="J183" s="17">
        <f>IF(B183="","",IF(Office_Log!H183="","",Office_Log!H183&amp;""))</f>
        <v/>
      </c>
      <c r="K183" t="inlineStr">
        <is>
          <t>office conversation</t>
        </is>
      </c>
    </row>
    <row r="184">
      <c r="A184" s="17">
        <f>IF(B184="","",B184+(1*1000+183)/10000000)</f>
        <v/>
      </c>
      <c r="B184" s="23">
        <f>IF(Office_Log!AU184=1,Office_Log!G184,"")</f>
        <v/>
      </c>
      <c r="C184" s="17">
        <f>IF(B184="","","office")</f>
        <v/>
      </c>
      <c r="D184" s="17">
        <f>IF(B184="","",Office_Log!$A184&amp;"")</f>
        <v/>
      </c>
      <c r="E184" s="17">
        <f>IF(B184="","",IF(Office_Log!B184="","",Office_Log!B184&amp;""))</f>
        <v/>
      </c>
      <c r="F184" s="17">
        <f>IF(B184="","","conversation")</f>
        <v/>
      </c>
      <c r="G184" s="17">
        <f>IF(B184="","","")</f>
        <v/>
      </c>
      <c r="H184" s="17">
        <f>IF(B184="","","")</f>
        <v/>
      </c>
      <c r="I184" s="17">
        <f>IF(B184="","","")</f>
        <v/>
      </c>
      <c r="J184" s="17">
        <f>IF(B184="","",IF(Office_Log!H184="","",Office_Log!H184&amp;""))</f>
        <v/>
      </c>
      <c r="K184" t="inlineStr">
        <is>
          <t>office conversation</t>
        </is>
      </c>
    </row>
    <row r="185">
      <c r="A185" s="17">
        <f>IF(B185="","",B185+(1*1000+184)/10000000)</f>
        <v/>
      </c>
      <c r="B185" s="23">
        <f>IF(Office_Log!AU185=1,Office_Log!G185,"")</f>
        <v/>
      </c>
      <c r="C185" s="17">
        <f>IF(B185="","","office")</f>
        <v/>
      </c>
      <c r="D185" s="17">
        <f>IF(B185="","",Office_Log!$A185&amp;"")</f>
        <v/>
      </c>
      <c r="E185" s="17">
        <f>IF(B185="","",IF(Office_Log!B185="","",Office_Log!B185&amp;""))</f>
        <v/>
      </c>
      <c r="F185" s="17">
        <f>IF(B185="","","conversation")</f>
        <v/>
      </c>
      <c r="G185" s="17">
        <f>IF(B185="","","")</f>
        <v/>
      </c>
      <c r="H185" s="17">
        <f>IF(B185="","","")</f>
        <v/>
      </c>
      <c r="I185" s="17">
        <f>IF(B185="","","")</f>
        <v/>
      </c>
      <c r="J185" s="17">
        <f>IF(B185="","",IF(Office_Log!H185="","",Office_Log!H185&amp;""))</f>
        <v/>
      </c>
      <c r="K185" t="inlineStr">
        <is>
          <t>office conversation</t>
        </is>
      </c>
    </row>
    <row r="186">
      <c r="A186" s="17">
        <f>IF(B186="","",B186+(1*1000+185)/10000000)</f>
        <v/>
      </c>
      <c r="B186" s="23">
        <f>IF(Office_Log!AU186=1,Office_Log!G186,"")</f>
        <v/>
      </c>
      <c r="C186" s="17">
        <f>IF(B186="","","office")</f>
        <v/>
      </c>
      <c r="D186" s="17">
        <f>IF(B186="","",Office_Log!$A186&amp;"")</f>
        <v/>
      </c>
      <c r="E186" s="17">
        <f>IF(B186="","",IF(Office_Log!B186="","",Office_Log!B186&amp;""))</f>
        <v/>
      </c>
      <c r="F186" s="17">
        <f>IF(B186="","","conversation")</f>
        <v/>
      </c>
      <c r="G186" s="17">
        <f>IF(B186="","","")</f>
        <v/>
      </c>
      <c r="H186" s="17">
        <f>IF(B186="","","")</f>
        <v/>
      </c>
      <c r="I186" s="17">
        <f>IF(B186="","","")</f>
        <v/>
      </c>
      <c r="J186" s="17">
        <f>IF(B186="","",IF(Office_Log!H186="","",Office_Log!H186&amp;""))</f>
        <v/>
      </c>
      <c r="K186" t="inlineStr">
        <is>
          <t>office conversation</t>
        </is>
      </c>
    </row>
    <row r="187">
      <c r="A187" s="17">
        <f>IF(B187="","",B187+(1*1000+186)/10000000)</f>
        <v/>
      </c>
      <c r="B187" s="23">
        <f>IF(Office_Log!AU187=1,Office_Log!G187,"")</f>
        <v/>
      </c>
      <c r="C187" s="17">
        <f>IF(B187="","","office")</f>
        <v/>
      </c>
      <c r="D187" s="17">
        <f>IF(B187="","",Office_Log!$A187&amp;"")</f>
        <v/>
      </c>
      <c r="E187" s="17">
        <f>IF(B187="","",IF(Office_Log!B187="","",Office_Log!B187&amp;""))</f>
        <v/>
      </c>
      <c r="F187" s="17">
        <f>IF(B187="","","conversation")</f>
        <v/>
      </c>
      <c r="G187" s="17">
        <f>IF(B187="","","")</f>
        <v/>
      </c>
      <c r="H187" s="17">
        <f>IF(B187="","","")</f>
        <v/>
      </c>
      <c r="I187" s="17">
        <f>IF(B187="","","")</f>
        <v/>
      </c>
      <c r="J187" s="17">
        <f>IF(B187="","",IF(Office_Log!H187="","",Office_Log!H187&amp;""))</f>
        <v/>
      </c>
      <c r="K187" t="inlineStr">
        <is>
          <t>office conversation</t>
        </is>
      </c>
    </row>
    <row r="188">
      <c r="A188" s="17">
        <f>IF(B188="","",B188+(1*1000+187)/10000000)</f>
        <v/>
      </c>
      <c r="B188" s="23">
        <f>IF(Office_Log!AU188=1,Office_Log!G188,"")</f>
        <v/>
      </c>
      <c r="C188" s="17">
        <f>IF(B188="","","office")</f>
        <v/>
      </c>
      <c r="D188" s="17">
        <f>IF(B188="","",Office_Log!$A188&amp;"")</f>
        <v/>
      </c>
      <c r="E188" s="17">
        <f>IF(B188="","",IF(Office_Log!B188="","",Office_Log!B188&amp;""))</f>
        <v/>
      </c>
      <c r="F188" s="17">
        <f>IF(B188="","","conversation")</f>
        <v/>
      </c>
      <c r="G188" s="17">
        <f>IF(B188="","","")</f>
        <v/>
      </c>
      <c r="H188" s="17">
        <f>IF(B188="","","")</f>
        <v/>
      </c>
      <c r="I188" s="17">
        <f>IF(B188="","","")</f>
        <v/>
      </c>
      <c r="J188" s="17">
        <f>IF(B188="","",IF(Office_Log!H188="","",Office_Log!H188&amp;""))</f>
        <v/>
      </c>
      <c r="K188" t="inlineStr">
        <is>
          <t>office conversation</t>
        </is>
      </c>
    </row>
    <row r="189">
      <c r="A189" s="17">
        <f>IF(B189="","",B189+(1*1000+188)/10000000)</f>
        <v/>
      </c>
      <c r="B189" s="23">
        <f>IF(Office_Log!AU189=1,Office_Log!G189,"")</f>
        <v/>
      </c>
      <c r="C189" s="17">
        <f>IF(B189="","","office")</f>
        <v/>
      </c>
      <c r="D189" s="17">
        <f>IF(B189="","",Office_Log!$A189&amp;"")</f>
        <v/>
      </c>
      <c r="E189" s="17">
        <f>IF(B189="","",IF(Office_Log!B189="","",Office_Log!B189&amp;""))</f>
        <v/>
      </c>
      <c r="F189" s="17">
        <f>IF(B189="","","conversation")</f>
        <v/>
      </c>
      <c r="G189" s="17">
        <f>IF(B189="","","")</f>
        <v/>
      </c>
      <c r="H189" s="17">
        <f>IF(B189="","","")</f>
        <v/>
      </c>
      <c r="I189" s="17">
        <f>IF(B189="","","")</f>
        <v/>
      </c>
      <c r="J189" s="17">
        <f>IF(B189="","",IF(Office_Log!H189="","",Office_Log!H189&amp;""))</f>
        <v/>
      </c>
      <c r="K189" t="inlineStr">
        <is>
          <t>office conversation</t>
        </is>
      </c>
    </row>
    <row r="190">
      <c r="A190" s="17">
        <f>IF(B190="","",B190+(1*1000+189)/10000000)</f>
        <v/>
      </c>
      <c r="B190" s="23">
        <f>IF(Office_Log!AU190=1,Office_Log!G190,"")</f>
        <v/>
      </c>
      <c r="C190" s="17">
        <f>IF(B190="","","office")</f>
        <v/>
      </c>
      <c r="D190" s="17">
        <f>IF(B190="","",Office_Log!$A190&amp;"")</f>
        <v/>
      </c>
      <c r="E190" s="17">
        <f>IF(B190="","",IF(Office_Log!B190="","",Office_Log!B190&amp;""))</f>
        <v/>
      </c>
      <c r="F190" s="17">
        <f>IF(B190="","","conversation")</f>
        <v/>
      </c>
      <c r="G190" s="17">
        <f>IF(B190="","","")</f>
        <v/>
      </c>
      <c r="H190" s="17">
        <f>IF(B190="","","")</f>
        <v/>
      </c>
      <c r="I190" s="17">
        <f>IF(B190="","","")</f>
        <v/>
      </c>
      <c r="J190" s="17">
        <f>IF(B190="","",IF(Office_Log!H190="","",Office_Log!H190&amp;""))</f>
        <v/>
      </c>
      <c r="K190" t="inlineStr">
        <is>
          <t>office conversation</t>
        </is>
      </c>
    </row>
    <row r="191">
      <c r="A191" s="17">
        <f>IF(B191="","",B191+(1*1000+190)/10000000)</f>
        <v/>
      </c>
      <c r="B191" s="23">
        <f>IF(Office_Log!AU191=1,Office_Log!G191,"")</f>
        <v/>
      </c>
      <c r="C191" s="17">
        <f>IF(B191="","","office")</f>
        <v/>
      </c>
      <c r="D191" s="17">
        <f>IF(B191="","",Office_Log!$A191&amp;"")</f>
        <v/>
      </c>
      <c r="E191" s="17">
        <f>IF(B191="","",IF(Office_Log!B191="","",Office_Log!B191&amp;""))</f>
        <v/>
      </c>
      <c r="F191" s="17">
        <f>IF(B191="","","conversation")</f>
        <v/>
      </c>
      <c r="G191" s="17">
        <f>IF(B191="","","")</f>
        <v/>
      </c>
      <c r="H191" s="17">
        <f>IF(B191="","","")</f>
        <v/>
      </c>
      <c r="I191" s="17">
        <f>IF(B191="","","")</f>
        <v/>
      </c>
      <c r="J191" s="17">
        <f>IF(B191="","",IF(Office_Log!H191="","",Office_Log!H191&amp;""))</f>
        <v/>
      </c>
      <c r="K191" t="inlineStr">
        <is>
          <t>office conversation</t>
        </is>
      </c>
    </row>
    <row r="192">
      <c r="A192" s="17">
        <f>IF(B192="","",B192+(1*1000+191)/10000000)</f>
        <v/>
      </c>
      <c r="B192" s="23">
        <f>IF(Office_Log!AU192=1,Office_Log!G192,"")</f>
        <v/>
      </c>
      <c r="C192" s="17">
        <f>IF(B192="","","office")</f>
        <v/>
      </c>
      <c r="D192" s="17">
        <f>IF(B192="","",Office_Log!$A192&amp;"")</f>
        <v/>
      </c>
      <c r="E192" s="17">
        <f>IF(B192="","",IF(Office_Log!B192="","",Office_Log!B192&amp;""))</f>
        <v/>
      </c>
      <c r="F192" s="17">
        <f>IF(B192="","","conversation")</f>
        <v/>
      </c>
      <c r="G192" s="17">
        <f>IF(B192="","","")</f>
        <v/>
      </c>
      <c r="H192" s="17">
        <f>IF(B192="","","")</f>
        <v/>
      </c>
      <c r="I192" s="17">
        <f>IF(B192="","","")</f>
        <v/>
      </c>
      <c r="J192" s="17">
        <f>IF(B192="","",IF(Office_Log!H192="","",Office_Log!H192&amp;""))</f>
        <v/>
      </c>
      <c r="K192" t="inlineStr">
        <is>
          <t>office conversation</t>
        </is>
      </c>
    </row>
    <row r="193">
      <c r="A193" s="17">
        <f>IF(B193="","",B193+(1*1000+192)/10000000)</f>
        <v/>
      </c>
      <c r="B193" s="23">
        <f>IF(Office_Log!AU193=1,Office_Log!G193,"")</f>
        <v/>
      </c>
      <c r="C193" s="17">
        <f>IF(B193="","","office")</f>
        <v/>
      </c>
      <c r="D193" s="17">
        <f>IF(B193="","",Office_Log!$A193&amp;"")</f>
        <v/>
      </c>
      <c r="E193" s="17">
        <f>IF(B193="","",IF(Office_Log!B193="","",Office_Log!B193&amp;""))</f>
        <v/>
      </c>
      <c r="F193" s="17">
        <f>IF(B193="","","conversation")</f>
        <v/>
      </c>
      <c r="G193" s="17">
        <f>IF(B193="","","")</f>
        <v/>
      </c>
      <c r="H193" s="17">
        <f>IF(B193="","","")</f>
        <v/>
      </c>
      <c r="I193" s="17">
        <f>IF(B193="","","")</f>
        <v/>
      </c>
      <c r="J193" s="17">
        <f>IF(B193="","",IF(Office_Log!H193="","",Office_Log!H193&amp;""))</f>
        <v/>
      </c>
      <c r="K193" t="inlineStr">
        <is>
          <t>office conversation</t>
        </is>
      </c>
    </row>
    <row r="194">
      <c r="A194" s="17">
        <f>IF(B194="","",B194+(1*1000+193)/10000000)</f>
        <v/>
      </c>
      <c r="B194" s="23">
        <f>IF(Office_Log!AU194=1,Office_Log!G194,"")</f>
        <v/>
      </c>
      <c r="C194" s="17">
        <f>IF(B194="","","office")</f>
        <v/>
      </c>
      <c r="D194" s="17">
        <f>IF(B194="","",Office_Log!$A194&amp;"")</f>
        <v/>
      </c>
      <c r="E194" s="17">
        <f>IF(B194="","",IF(Office_Log!B194="","",Office_Log!B194&amp;""))</f>
        <v/>
      </c>
      <c r="F194" s="17">
        <f>IF(B194="","","conversation")</f>
        <v/>
      </c>
      <c r="G194" s="17">
        <f>IF(B194="","","")</f>
        <v/>
      </c>
      <c r="H194" s="17">
        <f>IF(B194="","","")</f>
        <v/>
      </c>
      <c r="I194" s="17">
        <f>IF(B194="","","")</f>
        <v/>
      </c>
      <c r="J194" s="17">
        <f>IF(B194="","",IF(Office_Log!H194="","",Office_Log!H194&amp;""))</f>
        <v/>
      </c>
      <c r="K194" t="inlineStr">
        <is>
          <t>office conversation</t>
        </is>
      </c>
    </row>
    <row r="195">
      <c r="A195" s="17">
        <f>IF(B195="","",B195+(1*1000+194)/10000000)</f>
        <v/>
      </c>
      <c r="B195" s="23">
        <f>IF(Office_Log!AU195=1,Office_Log!G195,"")</f>
        <v/>
      </c>
      <c r="C195" s="17">
        <f>IF(B195="","","office")</f>
        <v/>
      </c>
      <c r="D195" s="17">
        <f>IF(B195="","",Office_Log!$A195&amp;"")</f>
        <v/>
      </c>
      <c r="E195" s="17">
        <f>IF(B195="","",IF(Office_Log!B195="","",Office_Log!B195&amp;""))</f>
        <v/>
      </c>
      <c r="F195" s="17">
        <f>IF(B195="","","conversation")</f>
        <v/>
      </c>
      <c r="G195" s="17">
        <f>IF(B195="","","")</f>
        <v/>
      </c>
      <c r="H195" s="17">
        <f>IF(B195="","","")</f>
        <v/>
      </c>
      <c r="I195" s="17">
        <f>IF(B195="","","")</f>
        <v/>
      </c>
      <c r="J195" s="17">
        <f>IF(B195="","",IF(Office_Log!H195="","",Office_Log!H195&amp;""))</f>
        <v/>
      </c>
      <c r="K195" t="inlineStr">
        <is>
          <t>office conversation</t>
        </is>
      </c>
    </row>
    <row r="196">
      <c r="A196" s="17">
        <f>IF(B196="","",B196+(1*1000+195)/10000000)</f>
        <v/>
      </c>
      <c r="B196" s="23">
        <f>IF(Office_Log!AU196=1,Office_Log!G196,"")</f>
        <v/>
      </c>
      <c r="C196" s="17">
        <f>IF(B196="","","office")</f>
        <v/>
      </c>
      <c r="D196" s="17">
        <f>IF(B196="","",Office_Log!$A196&amp;"")</f>
        <v/>
      </c>
      <c r="E196" s="17">
        <f>IF(B196="","",IF(Office_Log!B196="","",Office_Log!B196&amp;""))</f>
        <v/>
      </c>
      <c r="F196" s="17">
        <f>IF(B196="","","conversation")</f>
        <v/>
      </c>
      <c r="G196" s="17">
        <f>IF(B196="","","")</f>
        <v/>
      </c>
      <c r="H196" s="17">
        <f>IF(B196="","","")</f>
        <v/>
      </c>
      <c r="I196" s="17">
        <f>IF(B196="","","")</f>
        <v/>
      </c>
      <c r="J196" s="17">
        <f>IF(B196="","",IF(Office_Log!H196="","",Office_Log!H196&amp;""))</f>
        <v/>
      </c>
      <c r="K196" t="inlineStr">
        <is>
          <t>office conversation</t>
        </is>
      </c>
    </row>
    <row r="197">
      <c r="A197" s="17">
        <f>IF(B197="","",B197+(1*1000+196)/10000000)</f>
        <v/>
      </c>
      <c r="B197" s="23">
        <f>IF(Office_Log!AU197=1,Office_Log!G197,"")</f>
        <v/>
      </c>
      <c r="C197" s="17">
        <f>IF(B197="","","office")</f>
        <v/>
      </c>
      <c r="D197" s="17">
        <f>IF(B197="","",Office_Log!$A197&amp;"")</f>
        <v/>
      </c>
      <c r="E197" s="17">
        <f>IF(B197="","",IF(Office_Log!B197="","",Office_Log!B197&amp;""))</f>
        <v/>
      </c>
      <c r="F197" s="17">
        <f>IF(B197="","","conversation")</f>
        <v/>
      </c>
      <c r="G197" s="17">
        <f>IF(B197="","","")</f>
        <v/>
      </c>
      <c r="H197" s="17">
        <f>IF(B197="","","")</f>
        <v/>
      </c>
      <c r="I197" s="17">
        <f>IF(B197="","","")</f>
        <v/>
      </c>
      <c r="J197" s="17">
        <f>IF(B197="","",IF(Office_Log!H197="","",Office_Log!H197&amp;""))</f>
        <v/>
      </c>
      <c r="K197" t="inlineStr">
        <is>
          <t>office conversation</t>
        </is>
      </c>
    </row>
    <row r="198">
      <c r="A198" s="17">
        <f>IF(B198="","",B198+(1*1000+197)/10000000)</f>
        <v/>
      </c>
      <c r="B198" s="23">
        <f>IF(Office_Log!AU198=1,Office_Log!G198,"")</f>
        <v/>
      </c>
      <c r="C198" s="17">
        <f>IF(B198="","","office")</f>
        <v/>
      </c>
      <c r="D198" s="17">
        <f>IF(B198="","",Office_Log!$A198&amp;"")</f>
        <v/>
      </c>
      <c r="E198" s="17">
        <f>IF(B198="","",IF(Office_Log!B198="","",Office_Log!B198&amp;""))</f>
        <v/>
      </c>
      <c r="F198" s="17">
        <f>IF(B198="","","conversation")</f>
        <v/>
      </c>
      <c r="G198" s="17">
        <f>IF(B198="","","")</f>
        <v/>
      </c>
      <c r="H198" s="17">
        <f>IF(B198="","","")</f>
        <v/>
      </c>
      <c r="I198" s="17">
        <f>IF(B198="","","")</f>
        <v/>
      </c>
      <c r="J198" s="17">
        <f>IF(B198="","",IF(Office_Log!H198="","",Office_Log!H198&amp;""))</f>
        <v/>
      </c>
      <c r="K198" t="inlineStr">
        <is>
          <t>office conversation</t>
        </is>
      </c>
    </row>
    <row r="199">
      <c r="A199" s="17">
        <f>IF(B199="","",B199+(1*1000+198)/10000000)</f>
        <v/>
      </c>
      <c r="B199" s="23">
        <f>IF(Office_Log!AU199=1,Office_Log!G199,"")</f>
        <v/>
      </c>
      <c r="C199" s="17">
        <f>IF(B199="","","office")</f>
        <v/>
      </c>
      <c r="D199" s="17">
        <f>IF(B199="","",Office_Log!$A199&amp;"")</f>
        <v/>
      </c>
      <c r="E199" s="17">
        <f>IF(B199="","",IF(Office_Log!B199="","",Office_Log!B199&amp;""))</f>
        <v/>
      </c>
      <c r="F199" s="17">
        <f>IF(B199="","","conversation")</f>
        <v/>
      </c>
      <c r="G199" s="17">
        <f>IF(B199="","","")</f>
        <v/>
      </c>
      <c r="H199" s="17">
        <f>IF(B199="","","")</f>
        <v/>
      </c>
      <c r="I199" s="17">
        <f>IF(B199="","","")</f>
        <v/>
      </c>
      <c r="J199" s="17">
        <f>IF(B199="","",IF(Office_Log!H199="","",Office_Log!H199&amp;""))</f>
        <v/>
      </c>
      <c r="K199" t="inlineStr">
        <is>
          <t>office conversation</t>
        </is>
      </c>
    </row>
    <row r="200">
      <c r="A200" s="17">
        <f>IF(B200="","",B200+(1*1000+199)/10000000)</f>
        <v/>
      </c>
      <c r="B200" s="23">
        <f>IF(Office_Log!AU200=1,Office_Log!G200,"")</f>
        <v/>
      </c>
      <c r="C200" s="17">
        <f>IF(B200="","","office")</f>
        <v/>
      </c>
      <c r="D200" s="17">
        <f>IF(B200="","",Office_Log!$A200&amp;"")</f>
        <v/>
      </c>
      <c r="E200" s="17">
        <f>IF(B200="","",IF(Office_Log!B200="","",Office_Log!B200&amp;""))</f>
        <v/>
      </c>
      <c r="F200" s="17">
        <f>IF(B200="","","conversation")</f>
        <v/>
      </c>
      <c r="G200" s="17">
        <f>IF(B200="","","")</f>
        <v/>
      </c>
      <c r="H200" s="17">
        <f>IF(B200="","","")</f>
        <v/>
      </c>
      <c r="I200" s="17">
        <f>IF(B200="","","")</f>
        <v/>
      </c>
      <c r="J200" s="17">
        <f>IF(B200="","",IF(Office_Log!H200="","",Office_Log!H200&amp;""))</f>
        <v/>
      </c>
      <c r="K200" t="inlineStr">
        <is>
          <t>office conversation</t>
        </is>
      </c>
    </row>
    <row r="201">
      <c r="A201" s="17">
        <f>IF(B201="","",B201+(1*1000+200)/10000000)</f>
        <v/>
      </c>
      <c r="B201" s="23">
        <f>IF(Office_Log!AU201=1,Office_Log!G201,"")</f>
        <v/>
      </c>
      <c r="C201" s="17">
        <f>IF(B201="","","office")</f>
        <v/>
      </c>
      <c r="D201" s="17">
        <f>IF(B201="","",Office_Log!$A201&amp;"")</f>
        <v/>
      </c>
      <c r="E201" s="17">
        <f>IF(B201="","",IF(Office_Log!B201="","",Office_Log!B201&amp;""))</f>
        <v/>
      </c>
      <c r="F201" s="17">
        <f>IF(B201="","","conversation")</f>
        <v/>
      </c>
      <c r="G201" s="17">
        <f>IF(B201="","","")</f>
        <v/>
      </c>
      <c r="H201" s="17">
        <f>IF(B201="","","")</f>
        <v/>
      </c>
      <c r="I201" s="17">
        <f>IF(B201="","","")</f>
        <v/>
      </c>
      <c r="J201" s="17">
        <f>IF(B201="","",IF(Office_Log!H201="","",Office_Log!H201&amp;""))</f>
        <v/>
      </c>
      <c r="K201" t="inlineStr">
        <is>
          <t>office conversation</t>
        </is>
      </c>
    </row>
    <row r="202">
      <c r="A202" s="17">
        <f>IF(B202="","",B202+(2*1000+1)/10000000)</f>
        <v/>
      </c>
      <c r="B202" s="23">
        <f>IF(Office_Log!AX2=1,Office_Log!G2,"")</f>
        <v/>
      </c>
      <c r="C202" s="17">
        <f>IF(B202="","","office")</f>
        <v/>
      </c>
      <c r="D202" s="17">
        <f>IF(B202="","",Office_Log!$A2&amp;"")</f>
        <v/>
      </c>
      <c r="E202" s="17">
        <f>IF(B202="","",IF(Office_Log!B2="","",Office_Log!B2&amp;""))</f>
        <v/>
      </c>
      <c r="F202" s="17">
        <f>IF(B202="","","yes_in_principle")</f>
        <v/>
      </c>
      <c r="G202" s="17">
        <f>IF(B202="","","")</f>
        <v/>
      </c>
      <c r="H202" s="17">
        <f>IF(B202="","","")</f>
        <v/>
      </c>
      <c r="I202" s="17">
        <f>IF(B202="","","")</f>
        <v/>
      </c>
      <c r="J202" s="17">
        <f>IF(B202="","","owner: "&amp;Office_Log!AB2&amp;"; window: "&amp;Office_Log!AD2)</f>
        <v/>
      </c>
      <c r="K202" t="inlineStr">
        <is>
          <t>office yes_in_principle</t>
        </is>
      </c>
    </row>
    <row r="203">
      <c r="A203" s="17">
        <f>IF(B203="","",B203+(2*1000+2)/10000000)</f>
        <v/>
      </c>
      <c r="B203" s="23">
        <f>IF(Office_Log!AX3=1,Office_Log!G3,"")</f>
        <v/>
      </c>
      <c r="C203" s="17">
        <f>IF(B203="","","office")</f>
        <v/>
      </c>
      <c r="D203" s="17">
        <f>IF(B203="","",Office_Log!$A3&amp;"")</f>
        <v/>
      </c>
      <c r="E203" s="17">
        <f>IF(B203="","",IF(Office_Log!B3="","",Office_Log!B3&amp;""))</f>
        <v/>
      </c>
      <c r="F203" s="17">
        <f>IF(B203="","","yes_in_principle")</f>
        <v/>
      </c>
      <c r="G203" s="17">
        <f>IF(B203="","","")</f>
        <v/>
      </c>
      <c r="H203" s="17">
        <f>IF(B203="","","")</f>
        <v/>
      </c>
      <c r="I203" s="17">
        <f>IF(B203="","","")</f>
        <v/>
      </c>
      <c r="J203" s="17">
        <f>IF(B203="","","owner: "&amp;Office_Log!AB3&amp;"; window: "&amp;Office_Log!AD3)</f>
        <v/>
      </c>
      <c r="K203" t="inlineStr">
        <is>
          <t>office yes_in_principle</t>
        </is>
      </c>
    </row>
    <row r="204">
      <c r="A204" s="17">
        <f>IF(B204="","",B204+(2*1000+3)/10000000)</f>
        <v/>
      </c>
      <c r="B204" s="23">
        <f>IF(Office_Log!AX4=1,Office_Log!G4,"")</f>
        <v/>
      </c>
      <c r="C204" s="17">
        <f>IF(B204="","","office")</f>
        <v/>
      </c>
      <c r="D204" s="17">
        <f>IF(B204="","",Office_Log!$A4&amp;"")</f>
        <v/>
      </c>
      <c r="E204" s="17">
        <f>IF(B204="","",IF(Office_Log!B4="","",Office_Log!B4&amp;""))</f>
        <v/>
      </c>
      <c r="F204" s="17">
        <f>IF(B204="","","yes_in_principle")</f>
        <v/>
      </c>
      <c r="G204" s="17">
        <f>IF(B204="","","")</f>
        <v/>
      </c>
      <c r="H204" s="17">
        <f>IF(B204="","","")</f>
        <v/>
      </c>
      <c r="I204" s="17">
        <f>IF(B204="","","")</f>
        <v/>
      </c>
      <c r="J204" s="17">
        <f>IF(B204="","","owner: "&amp;Office_Log!AB4&amp;"; window: "&amp;Office_Log!AD4)</f>
        <v/>
      </c>
      <c r="K204" t="inlineStr">
        <is>
          <t>office yes_in_principle</t>
        </is>
      </c>
    </row>
    <row r="205">
      <c r="A205" s="17">
        <f>IF(B205="","",B205+(2*1000+4)/10000000)</f>
        <v/>
      </c>
      <c r="B205" s="23">
        <f>IF(Office_Log!AX5=1,Office_Log!G5,"")</f>
        <v/>
      </c>
      <c r="C205" s="17">
        <f>IF(B205="","","office")</f>
        <v/>
      </c>
      <c r="D205" s="17">
        <f>IF(B205="","",Office_Log!$A5&amp;"")</f>
        <v/>
      </c>
      <c r="E205" s="17">
        <f>IF(B205="","",IF(Office_Log!B5="","",Office_Log!B5&amp;""))</f>
        <v/>
      </c>
      <c r="F205" s="17">
        <f>IF(B205="","","yes_in_principle")</f>
        <v/>
      </c>
      <c r="G205" s="17">
        <f>IF(B205="","","")</f>
        <v/>
      </c>
      <c r="H205" s="17">
        <f>IF(B205="","","")</f>
        <v/>
      </c>
      <c r="I205" s="17">
        <f>IF(B205="","","")</f>
        <v/>
      </c>
      <c r="J205" s="17">
        <f>IF(B205="","","owner: "&amp;Office_Log!AB5&amp;"; window: "&amp;Office_Log!AD5)</f>
        <v/>
      </c>
      <c r="K205" t="inlineStr">
        <is>
          <t>office yes_in_principle</t>
        </is>
      </c>
    </row>
    <row r="206">
      <c r="A206" s="17">
        <f>IF(B206="","",B206+(2*1000+5)/10000000)</f>
        <v/>
      </c>
      <c r="B206" s="23">
        <f>IF(Office_Log!AX6=1,Office_Log!G6,"")</f>
        <v/>
      </c>
      <c r="C206" s="17">
        <f>IF(B206="","","office")</f>
        <v/>
      </c>
      <c r="D206" s="17">
        <f>IF(B206="","",Office_Log!$A6&amp;"")</f>
        <v/>
      </c>
      <c r="E206" s="17">
        <f>IF(B206="","",IF(Office_Log!B6="","",Office_Log!B6&amp;""))</f>
        <v/>
      </c>
      <c r="F206" s="17">
        <f>IF(B206="","","yes_in_principle")</f>
        <v/>
      </c>
      <c r="G206" s="17">
        <f>IF(B206="","","")</f>
        <v/>
      </c>
      <c r="H206" s="17">
        <f>IF(B206="","","")</f>
        <v/>
      </c>
      <c r="I206" s="17">
        <f>IF(B206="","","")</f>
        <v/>
      </c>
      <c r="J206" s="17">
        <f>IF(B206="","","owner: "&amp;Office_Log!AB6&amp;"; window: "&amp;Office_Log!AD6)</f>
        <v/>
      </c>
      <c r="K206" t="inlineStr">
        <is>
          <t>office yes_in_principle</t>
        </is>
      </c>
    </row>
    <row r="207">
      <c r="A207" s="17">
        <f>IF(B207="","",B207+(2*1000+6)/10000000)</f>
        <v/>
      </c>
      <c r="B207" s="23">
        <f>IF(Office_Log!AX7=1,Office_Log!G7,"")</f>
        <v/>
      </c>
      <c r="C207" s="17">
        <f>IF(B207="","","office")</f>
        <v/>
      </c>
      <c r="D207" s="17">
        <f>IF(B207="","",Office_Log!$A7&amp;"")</f>
        <v/>
      </c>
      <c r="E207" s="17">
        <f>IF(B207="","",IF(Office_Log!B7="","",Office_Log!B7&amp;""))</f>
        <v/>
      </c>
      <c r="F207" s="17">
        <f>IF(B207="","","yes_in_principle")</f>
        <v/>
      </c>
      <c r="G207" s="17">
        <f>IF(B207="","","")</f>
        <v/>
      </c>
      <c r="H207" s="17">
        <f>IF(B207="","","")</f>
        <v/>
      </c>
      <c r="I207" s="17">
        <f>IF(B207="","","")</f>
        <v/>
      </c>
      <c r="J207" s="17">
        <f>IF(B207="","","owner: "&amp;Office_Log!AB7&amp;"; window: "&amp;Office_Log!AD7)</f>
        <v/>
      </c>
      <c r="K207" t="inlineStr">
        <is>
          <t>office yes_in_principle</t>
        </is>
      </c>
    </row>
    <row r="208">
      <c r="A208" s="17">
        <f>IF(B208="","",B208+(2*1000+7)/10000000)</f>
        <v/>
      </c>
      <c r="B208" s="23">
        <f>IF(Office_Log!AX8=1,Office_Log!G8,"")</f>
        <v/>
      </c>
      <c r="C208" s="17">
        <f>IF(B208="","","office")</f>
        <v/>
      </c>
      <c r="D208" s="17">
        <f>IF(B208="","",Office_Log!$A8&amp;"")</f>
        <v/>
      </c>
      <c r="E208" s="17">
        <f>IF(B208="","",IF(Office_Log!B8="","",Office_Log!B8&amp;""))</f>
        <v/>
      </c>
      <c r="F208" s="17">
        <f>IF(B208="","","yes_in_principle")</f>
        <v/>
      </c>
      <c r="G208" s="17">
        <f>IF(B208="","","")</f>
        <v/>
      </c>
      <c r="H208" s="17">
        <f>IF(B208="","","")</f>
        <v/>
      </c>
      <c r="I208" s="17">
        <f>IF(B208="","","")</f>
        <v/>
      </c>
      <c r="J208" s="17">
        <f>IF(B208="","","owner: "&amp;Office_Log!AB8&amp;"; window: "&amp;Office_Log!AD8)</f>
        <v/>
      </c>
      <c r="K208" t="inlineStr">
        <is>
          <t>office yes_in_principle</t>
        </is>
      </c>
    </row>
    <row r="209">
      <c r="A209" s="17">
        <f>IF(B209="","",B209+(2*1000+8)/10000000)</f>
        <v/>
      </c>
      <c r="B209" s="23">
        <f>IF(Office_Log!AX9=1,Office_Log!G9,"")</f>
        <v/>
      </c>
      <c r="C209" s="17">
        <f>IF(B209="","","office")</f>
        <v/>
      </c>
      <c r="D209" s="17">
        <f>IF(B209="","",Office_Log!$A9&amp;"")</f>
        <v/>
      </c>
      <c r="E209" s="17">
        <f>IF(B209="","",IF(Office_Log!B9="","",Office_Log!B9&amp;""))</f>
        <v/>
      </c>
      <c r="F209" s="17">
        <f>IF(B209="","","yes_in_principle")</f>
        <v/>
      </c>
      <c r="G209" s="17">
        <f>IF(B209="","","")</f>
        <v/>
      </c>
      <c r="H209" s="17">
        <f>IF(B209="","","")</f>
        <v/>
      </c>
      <c r="I209" s="17">
        <f>IF(B209="","","")</f>
        <v/>
      </c>
      <c r="J209" s="17">
        <f>IF(B209="","","owner: "&amp;Office_Log!AB9&amp;"; window: "&amp;Office_Log!AD9)</f>
        <v/>
      </c>
      <c r="K209" t="inlineStr">
        <is>
          <t>office yes_in_principle</t>
        </is>
      </c>
    </row>
    <row r="210">
      <c r="A210" s="17">
        <f>IF(B210="","",B210+(2*1000+9)/10000000)</f>
        <v/>
      </c>
      <c r="B210" s="23">
        <f>IF(Office_Log!AX10=1,Office_Log!G10,"")</f>
        <v/>
      </c>
      <c r="C210" s="17">
        <f>IF(B210="","","office")</f>
        <v/>
      </c>
      <c r="D210" s="17">
        <f>IF(B210="","",Office_Log!$A10&amp;"")</f>
        <v/>
      </c>
      <c r="E210" s="17">
        <f>IF(B210="","",IF(Office_Log!B10="","",Office_Log!B10&amp;""))</f>
        <v/>
      </c>
      <c r="F210" s="17">
        <f>IF(B210="","","yes_in_principle")</f>
        <v/>
      </c>
      <c r="G210" s="17">
        <f>IF(B210="","","")</f>
        <v/>
      </c>
      <c r="H210" s="17">
        <f>IF(B210="","","")</f>
        <v/>
      </c>
      <c r="I210" s="17">
        <f>IF(B210="","","")</f>
        <v/>
      </c>
      <c r="J210" s="17">
        <f>IF(B210="","","owner: "&amp;Office_Log!AB10&amp;"; window: "&amp;Office_Log!AD10)</f>
        <v/>
      </c>
      <c r="K210" t="inlineStr">
        <is>
          <t>office yes_in_principle</t>
        </is>
      </c>
    </row>
    <row r="211">
      <c r="A211" s="17">
        <f>IF(B211="","",B211+(2*1000+10)/10000000)</f>
        <v/>
      </c>
      <c r="B211" s="23">
        <f>IF(Office_Log!AX11=1,Office_Log!G11,"")</f>
        <v/>
      </c>
      <c r="C211" s="17">
        <f>IF(B211="","","office")</f>
        <v/>
      </c>
      <c r="D211" s="17">
        <f>IF(B211="","",Office_Log!$A11&amp;"")</f>
        <v/>
      </c>
      <c r="E211" s="17">
        <f>IF(B211="","",IF(Office_Log!B11="","",Office_Log!B11&amp;""))</f>
        <v/>
      </c>
      <c r="F211" s="17">
        <f>IF(B211="","","yes_in_principle")</f>
        <v/>
      </c>
      <c r="G211" s="17">
        <f>IF(B211="","","")</f>
        <v/>
      </c>
      <c r="H211" s="17">
        <f>IF(B211="","","")</f>
        <v/>
      </c>
      <c r="I211" s="17">
        <f>IF(B211="","","")</f>
        <v/>
      </c>
      <c r="J211" s="17">
        <f>IF(B211="","","owner: "&amp;Office_Log!AB11&amp;"; window: "&amp;Office_Log!AD11)</f>
        <v/>
      </c>
      <c r="K211" t="inlineStr">
        <is>
          <t>office yes_in_principle</t>
        </is>
      </c>
    </row>
    <row r="212">
      <c r="A212" s="17">
        <f>IF(B212="","",B212+(2*1000+11)/10000000)</f>
        <v/>
      </c>
      <c r="B212" s="23">
        <f>IF(Office_Log!AX12=1,Office_Log!G12,"")</f>
        <v/>
      </c>
      <c r="C212" s="17">
        <f>IF(B212="","","office")</f>
        <v/>
      </c>
      <c r="D212" s="17">
        <f>IF(B212="","",Office_Log!$A12&amp;"")</f>
        <v/>
      </c>
      <c r="E212" s="17">
        <f>IF(B212="","",IF(Office_Log!B12="","",Office_Log!B12&amp;""))</f>
        <v/>
      </c>
      <c r="F212" s="17">
        <f>IF(B212="","","yes_in_principle")</f>
        <v/>
      </c>
      <c r="G212" s="17">
        <f>IF(B212="","","")</f>
        <v/>
      </c>
      <c r="H212" s="17">
        <f>IF(B212="","","")</f>
        <v/>
      </c>
      <c r="I212" s="17">
        <f>IF(B212="","","")</f>
        <v/>
      </c>
      <c r="J212" s="17">
        <f>IF(B212="","","owner: "&amp;Office_Log!AB12&amp;"; window: "&amp;Office_Log!AD12)</f>
        <v/>
      </c>
      <c r="K212" t="inlineStr">
        <is>
          <t>office yes_in_principle</t>
        </is>
      </c>
    </row>
    <row r="213">
      <c r="A213" s="17">
        <f>IF(B213="","",B213+(2*1000+12)/10000000)</f>
        <v/>
      </c>
      <c r="B213" s="23">
        <f>IF(Office_Log!AX13=1,Office_Log!G13,"")</f>
        <v/>
      </c>
      <c r="C213" s="17">
        <f>IF(B213="","","office")</f>
        <v/>
      </c>
      <c r="D213" s="17">
        <f>IF(B213="","",Office_Log!$A13&amp;"")</f>
        <v/>
      </c>
      <c r="E213" s="17">
        <f>IF(B213="","",IF(Office_Log!B13="","",Office_Log!B13&amp;""))</f>
        <v/>
      </c>
      <c r="F213" s="17">
        <f>IF(B213="","","yes_in_principle")</f>
        <v/>
      </c>
      <c r="G213" s="17">
        <f>IF(B213="","","")</f>
        <v/>
      </c>
      <c r="H213" s="17">
        <f>IF(B213="","","")</f>
        <v/>
      </c>
      <c r="I213" s="17">
        <f>IF(B213="","","")</f>
        <v/>
      </c>
      <c r="J213" s="17">
        <f>IF(B213="","","owner: "&amp;Office_Log!AB13&amp;"; window: "&amp;Office_Log!AD13)</f>
        <v/>
      </c>
      <c r="K213" t="inlineStr">
        <is>
          <t>office yes_in_principle</t>
        </is>
      </c>
    </row>
    <row r="214">
      <c r="A214" s="17">
        <f>IF(B214="","",B214+(2*1000+13)/10000000)</f>
        <v/>
      </c>
      <c r="B214" s="23">
        <f>IF(Office_Log!AX14=1,Office_Log!G14,"")</f>
        <v/>
      </c>
      <c r="C214" s="17">
        <f>IF(B214="","","office")</f>
        <v/>
      </c>
      <c r="D214" s="17">
        <f>IF(B214="","",Office_Log!$A14&amp;"")</f>
        <v/>
      </c>
      <c r="E214" s="17">
        <f>IF(B214="","",IF(Office_Log!B14="","",Office_Log!B14&amp;""))</f>
        <v/>
      </c>
      <c r="F214" s="17">
        <f>IF(B214="","","yes_in_principle")</f>
        <v/>
      </c>
      <c r="G214" s="17">
        <f>IF(B214="","","")</f>
        <v/>
      </c>
      <c r="H214" s="17">
        <f>IF(B214="","","")</f>
        <v/>
      </c>
      <c r="I214" s="17">
        <f>IF(B214="","","")</f>
        <v/>
      </c>
      <c r="J214" s="17">
        <f>IF(B214="","","owner: "&amp;Office_Log!AB14&amp;"; window: "&amp;Office_Log!AD14)</f>
        <v/>
      </c>
      <c r="K214" t="inlineStr">
        <is>
          <t>office yes_in_principle</t>
        </is>
      </c>
    </row>
    <row r="215">
      <c r="A215" s="17">
        <f>IF(B215="","",B215+(2*1000+14)/10000000)</f>
        <v/>
      </c>
      <c r="B215" s="23">
        <f>IF(Office_Log!AX15=1,Office_Log!G15,"")</f>
        <v/>
      </c>
      <c r="C215" s="17">
        <f>IF(B215="","","office")</f>
        <v/>
      </c>
      <c r="D215" s="17">
        <f>IF(B215="","",Office_Log!$A15&amp;"")</f>
        <v/>
      </c>
      <c r="E215" s="17">
        <f>IF(B215="","",IF(Office_Log!B15="","",Office_Log!B15&amp;""))</f>
        <v/>
      </c>
      <c r="F215" s="17">
        <f>IF(B215="","","yes_in_principle")</f>
        <v/>
      </c>
      <c r="G215" s="17">
        <f>IF(B215="","","")</f>
        <v/>
      </c>
      <c r="H215" s="17">
        <f>IF(B215="","","")</f>
        <v/>
      </c>
      <c r="I215" s="17">
        <f>IF(B215="","","")</f>
        <v/>
      </c>
      <c r="J215" s="17">
        <f>IF(B215="","","owner: "&amp;Office_Log!AB15&amp;"; window: "&amp;Office_Log!AD15)</f>
        <v/>
      </c>
      <c r="K215" t="inlineStr">
        <is>
          <t>office yes_in_principle</t>
        </is>
      </c>
    </row>
    <row r="216">
      <c r="A216" s="17">
        <f>IF(B216="","",B216+(2*1000+15)/10000000)</f>
        <v/>
      </c>
      <c r="B216" s="23">
        <f>IF(Office_Log!AX16=1,Office_Log!G16,"")</f>
        <v/>
      </c>
      <c r="C216" s="17">
        <f>IF(B216="","","office")</f>
        <v/>
      </c>
      <c r="D216" s="17">
        <f>IF(B216="","",Office_Log!$A16&amp;"")</f>
        <v/>
      </c>
      <c r="E216" s="17">
        <f>IF(B216="","",IF(Office_Log!B16="","",Office_Log!B16&amp;""))</f>
        <v/>
      </c>
      <c r="F216" s="17">
        <f>IF(B216="","","yes_in_principle")</f>
        <v/>
      </c>
      <c r="G216" s="17">
        <f>IF(B216="","","")</f>
        <v/>
      </c>
      <c r="H216" s="17">
        <f>IF(B216="","","")</f>
        <v/>
      </c>
      <c r="I216" s="17">
        <f>IF(B216="","","")</f>
        <v/>
      </c>
      <c r="J216" s="17">
        <f>IF(B216="","","owner: "&amp;Office_Log!AB16&amp;"; window: "&amp;Office_Log!AD16)</f>
        <v/>
      </c>
      <c r="K216" t="inlineStr">
        <is>
          <t>office yes_in_principle</t>
        </is>
      </c>
    </row>
    <row r="217">
      <c r="A217" s="17">
        <f>IF(B217="","",B217+(2*1000+16)/10000000)</f>
        <v/>
      </c>
      <c r="B217" s="23">
        <f>IF(Office_Log!AX17=1,Office_Log!G17,"")</f>
        <v/>
      </c>
      <c r="C217" s="17">
        <f>IF(B217="","","office")</f>
        <v/>
      </c>
      <c r="D217" s="17">
        <f>IF(B217="","",Office_Log!$A17&amp;"")</f>
        <v/>
      </c>
      <c r="E217" s="17">
        <f>IF(B217="","",IF(Office_Log!B17="","",Office_Log!B17&amp;""))</f>
        <v/>
      </c>
      <c r="F217" s="17">
        <f>IF(B217="","","yes_in_principle")</f>
        <v/>
      </c>
      <c r="G217" s="17">
        <f>IF(B217="","","")</f>
        <v/>
      </c>
      <c r="H217" s="17">
        <f>IF(B217="","","")</f>
        <v/>
      </c>
      <c r="I217" s="17">
        <f>IF(B217="","","")</f>
        <v/>
      </c>
      <c r="J217" s="17">
        <f>IF(B217="","","owner: "&amp;Office_Log!AB17&amp;"; window: "&amp;Office_Log!AD17)</f>
        <v/>
      </c>
      <c r="K217" t="inlineStr">
        <is>
          <t>office yes_in_principle</t>
        </is>
      </c>
    </row>
    <row r="218">
      <c r="A218" s="17">
        <f>IF(B218="","",B218+(2*1000+17)/10000000)</f>
        <v/>
      </c>
      <c r="B218" s="23">
        <f>IF(Office_Log!AX18=1,Office_Log!G18,"")</f>
        <v/>
      </c>
      <c r="C218" s="17">
        <f>IF(B218="","","office")</f>
        <v/>
      </c>
      <c r="D218" s="17">
        <f>IF(B218="","",Office_Log!$A18&amp;"")</f>
        <v/>
      </c>
      <c r="E218" s="17">
        <f>IF(B218="","",IF(Office_Log!B18="","",Office_Log!B18&amp;""))</f>
        <v/>
      </c>
      <c r="F218" s="17">
        <f>IF(B218="","","yes_in_principle")</f>
        <v/>
      </c>
      <c r="G218" s="17">
        <f>IF(B218="","","")</f>
        <v/>
      </c>
      <c r="H218" s="17">
        <f>IF(B218="","","")</f>
        <v/>
      </c>
      <c r="I218" s="17">
        <f>IF(B218="","","")</f>
        <v/>
      </c>
      <c r="J218" s="17">
        <f>IF(B218="","","owner: "&amp;Office_Log!AB18&amp;"; window: "&amp;Office_Log!AD18)</f>
        <v/>
      </c>
      <c r="K218" t="inlineStr">
        <is>
          <t>office yes_in_principle</t>
        </is>
      </c>
    </row>
    <row r="219">
      <c r="A219" s="17">
        <f>IF(B219="","",B219+(2*1000+18)/10000000)</f>
        <v/>
      </c>
      <c r="B219" s="23">
        <f>IF(Office_Log!AX19=1,Office_Log!G19,"")</f>
        <v/>
      </c>
      <c r="C219" s="17">
        <f>IF(B219="","","office")</f>
        <v/>
      </c>
      <c r="D219" s="17">
        <f>IF(B219="","",Office_Log!$A19&amp;"")</f>
        <v/>
      </c>
      <c r="E219" s="17">
        <f>IF(B219="","",IF(Office_Log!B19="","",Office_Log!B19&amp;""))</f>
        <v/>
      </c>
      <c r="F219" s="17">
        <f>IF(B219="","","yes_in_principle")</f>
        <v/>
      </c>
      <c r="G219" s="17">
        <f>IF(B219="","","")</f>
        <v/>
      </c>
      <c r="H219" s="17">
        <f>IF(B219="","","")</f>
        <v/>
      </c>
      <c r="I219" s="17">
        <f>IF(B219="","","")</f>
        <v/>
      </c>
      <c r="J219" s="17">
        <f>IF(B219="","","owner: "&amp;Office_Log!AB19&amp;"; window: "&amp;Office_Log!AD19)</f>
        <v/>
      </c>
      <c r="K219" t="inlineStr">
        <is>
          <t>office yes_in_principle</t>
        </is>
      </c>
    </row>
    <row r="220">
      <c r="A220" s="17">
        <f>IF(B220="","",B220+(2*1000+19)/10000000)</f>
        <v/>
      </c>
      <c r="B220" s="23">
        <f>IF(Office_Log!AX20=1,Office_Log!G20,"")</f>
        <v/>
      </c>
      <c r="C220" s="17">
        <f>IF(B220="","","office")</f>
        <v/>
      </c>
      <c r="D220" s="17">
        <f>IF(B220="","",Office_Log!$A20&amp;"")</f>
        <v/>
      </c>
      <c r="E220" s="17">
        <f>IF(B220="","",IF(Office_Log!B20="","",Office_Log!B20&amp;""))</f>
        <v/>
      </c>
      <c r="F220" s="17">
        <f>IF(B220="","","yes_in_principle")</f>
        <v/>
      </c>
      <c r="G220" s="17">
        <f>IF(B220="","","")</f>
        <v/>
      </c>
      <c r="H220" s="17">
        <f>IF(B220="","","")</f>
        <v/>
      </c>
      <c r="I220" s="17">
        <f>IF(B220="","","")</f>
        <v/>
      </c>
      <c r="J220" s="17">
        <f>IF(B220="","","owner: "&amp;Office_Log!AB20&amp;"; window: "&amp;Office_Log!AD20)</f>
        <v/>
      </c>
      <c r="K220" t="inlineStr">
        <is>
          <t>office yes_in_principle</t>
        </is>
      </c>
    </row>
    <row r="221">
      <c r="A221" s="17">
        <f>IF(B221="","",B221+(2*1000+20)/10000000)</f>
        <v/>
      </c>
      <c r="B221" s="23">
        <f>IF(Office_Log!AX21=1,Office_Log!G21,"")</f>
        <v/>
      </c>
      <c r="C221" s="17">
        <f>IF(B221="","","office")</f>
        <v/>
      </c>
      <c r="D221" s="17">
        <f>IF(B221="","",Office_Log!$A21&amp;"")</f>
        <v/>
      </c>
      <c r="E221" s="17">
        <f>IF(B221="","",IF(Office_Log!B21="","",Office_Log!B21&amp;""))</f>
        <v/>
      </c>
      <c r="F221" s="17">
        <f>IF(B221="","","yes_in_principle")</f>
        <v/>
      </c>
      <c r="G221" s="17">
        <f>IF(B221="","","")</f>
        <v/>
      </c>
      <c r="H221" s="17">
        <f>IF(B221="","","")</f>
        <v/>
      </c>
      <c r="I221" s="17">
        <f>IF(B221="","","")</f>
        <v/>
      </c>
      <c r="J221" s="17">
        <f>IF(B221="","","owner: "&amp;Office_Log!AB21&amp;"; window: "&amp;Office_Log!AD21)</f>
        <v/>
      </c>
      <c r="K221" t="inlineStr">
        <is>
          <t>office yes_in_principle</t>
        </is>
      </c>
    </row>
    <row r="222">
      <c r="A222" s="17">
        <f>IF(B222="","",B222+(2*1000+21)/10000000)</f>
        <v/>
      </c>
      <c r="B222" s="23">
        <f>IF(Office_Log!AX22=1,Office_Log!G22,"")</f>
        <v/>
      </c>
      <c r="C222" s="17">
        <f>IF(B222="","","office")</f>
        <v/>
      </c>
      <c r="D222" s="17">
        <f>IF(B222="","",Office_Log!$A22&amp;"")</f>
        <v/>
      </c>
      <c r="E222" s="17">
        <f>IF(B222="","",IF(Office_Log!B22="","",Office_Log!B22&amp;""))</f>
        <v/>
      </c>
      <c r="F222" s="17">
        <f>IF(B222="","","yes_in_principle")</f>
        <v/>
      </c>
      <c r="G222" s="17">
        <f>IF(B222="","","")</f>
        <v/>
      </c>
      <c r="H222" s="17">
        <f>IF(B222="","","")</f>
        <v/>
      </c>
      <c r="I222" s="17">
        <f>IF(B222="","","")</f>
        <v/>
      </c>
      <c r="J222" s="17">
        <f>IF(B222="","","owner: "&amp;Office_Log!AB22&amp;"; window: "&amp;Office_Log!AD22)</f>
        <v/>
      </c>
      <c r="K222" t="inlineStr">
        <is>
          <t>office yes_in_principle</t>
        </is>
      </c>
    </row>
    <row r="223">
      <c r="A223" s="17">
        <f>IF(B223="","",B223+(2*1000+22)/10000000)</f>
        <v/>
      </c>
      <c r="B223" s="23">
        <f>IF(Office_Log!AX23=1,Office_Log!G23,"")</f>
        <v/>
      </c>
      <c r="C223" s="17">
        <f>IF(B223="","","office")</f>
        <v/>
      </c>
      <c r="D223" s="17">
        <f>IF(B223="","",Office_Log!$A23&amp;"")</f>
        <v/>
      </c>
      <c r="E223" s="17">
        <f>IF(B223="","",IF(Office_Log!B23="","",Office_Log!B23&amp;""))</f>
        <v/>
      </c>
      <c r="F223" s="17">
        <f>IF(B223="","","yes_in_principle")</f>
        <v/>
      </c>
      <c r="G223" s="17">
        <f>IF(B223="","","")</f>
        <v/>
      </c>
      <c r="H223" s="17">
        <f>IF(B223="","","")</f>
        <v/>
      </c>
      <c r="I223" s="17">
        <f>IF(B223="","","")</f>
        <v/>
      </c>
      <c r="J223" s="17">
        <f>IF(B223="","","owner: "&amp;Office_Log!AB23&amp;"; window: "&amp;Office_Log!AD23)</f>
        <v/>
      </c>
      <c r="K223" t="inlineStr">
        <is>
          <t>office yes_in_principle</t>
        </is>
      </c>
    </row>
    <row r="224">
      <c r="A224" s="17">
        <f>IF(B224="","",B224+(2*1000+23)/10000000)</f>
        <v/>
      </c>
      <c r="B224" s="23">
        <f>IF(Office_Log!AX24=1,Office_Log!G24,"")</f>
        <v/>
      </c>
      <c r="C224" s="17">
        <f>IF(B224="","","office")</f>
        <v/>
      </c>
      <c r="D224" s="17">
        <f>IF(B224="","",Office_Log!$A24&amp;"")</f>
        <v/>
      </c>
      <c r="E224" s="17">
        <f>IF(B224="","",IF(Office_Log!B24="","",Office_Log!B24&amp;""))</f>
        <v/>
      </c>
      <c r="F224" s="17">
        <f>IF(B224="","","yes_in_principle")</f>
        <v/>
      </c>
      <c r="G224" s="17">
        <f>IF(B224="","","")</f>
        <v/>
      </c>
      <c r="H224" s="17">
        <f>IF(B224="","","")</f>
        <v/>
      </c>
      <c r="I224" s="17">
        <f>IF(B224="","","")</f>
        <v/>
      </c>
      <c r="J224" s="17">
        <f>IF(B224="","","owner: "&amp;Office_Log!AB24&amp;"; window: "&amp;Office_Log!AD24)</f>
        <v/>
      </c>
      <c r="K224" t="inlineStr">
        <is>
          <t>office yes_in_principle</t>
        </is>
      </c>
    </row>
    <row r="225">
      <c r="A225" s="17">
        <f>IF(B225="","",B225+(2*1000+24)/10000000)</f>
        <v/>
      </c>
      <c r="B225" s="23">
        <f>IF(Office_Log!AX25=1,Office_Log!G25,"")</f>
        <v/>
      </c>
      <c r="C225" s="17">
        <f>IF(B225="","","office")</f>
        <v/>
      </c>
      <c r="D225" s="17">
        <f>IF(B225="","",Office_Log!$A25&amp;"")</f>
        <v/>
      </c>
      <c r="E225" s="17">
        <f>IF(B225="","",IF(Office_Log!B25="","",Office_Log!B25&amp;""))</f>
        <v/>
      </c>
      <c r="F225" s="17">
        <f>IF(B225="","","yes_in_principle")</f>
        <v/>
      </c>
      <c r="G225" s="17">
        <f>IF(B225="","","")</f>
        <v/>
      </c>
      <c r="H225" s="17">
        <f>IF(B225="","","")</f>
        <v/>
      </c>
      <c r="I225" s="17">
        <f>IF(B225="","","")</f>
        <v/>
      </c>
      <c r="J225" s="17">
        <f>IF(B225="","","owner: "&amp;Office_Log!AB25&amp;"; window: "&amp;Office_Log!AD25)</f>
        <v/>
      </c>
      <c r="K225" t="inlineStr">
        <is>
          <t>office yes_in_principle</t>
        </is>
      </c>
    </row>
    <row r="226">
      <c r="A226" s="17">
        <f>IF(B226="","",B226+(2*1000+25)/10000000)</f>
        <v/>
      </c>
      <c r="B226" s="23">
        <f>IF(Office_Log!AX26=1,Office_Log!G26,"")</f>
        <v/>
      </c>
      <c r="C226" s="17">
        <f>IF(B226="","","office")</f>
        <v/>
      </c>
      <c r="D226" s="17">
        <f>IF(B226="","",Office_Log!$A26&amp;"")</f>
        <v/>
      </c>
      <c r="E226" s="17">
        <f>IF(B226="","",IF(Office_Log!B26="","",Office_Log!B26&amp;""))</f>
        <v/>
      </c>
      <c r="F226" s="17">
        <f>IF(B226="","","yes_in_principle")</f>
        <v/>
      </c>
      <c r="G226" s="17">
        <f>IF(B226="","","")</f>
        <v/>
      </c>
      <c r="H226" s="17">
        <f>IF(B226="","","")</f>
        <v/>
      </c>
      <c r="I226" s="17">
        <f>IF(B226="","","")</f>
        <v/>
      </c>
      <c r="J226" s="17">
        <f>IF(B226="","","owner: "&amp;Office_Log!AB26&amp;"; window: "&amp;Office_Log!AD26)</f>
        <v/>
      </c>
      <c r="K226" t="inlineStr">
        <is>
          <t>office yes_in_principle</t>
        </is>
      </c>
    </row>
    <row r="227">
      <c r="A227" s="17">
        <f>IF(B227="","",B227+(2*1000+26)/10000000)</f>
        <v/>
      </c>
      <c r="B227" s="23">
        <f>IF(Office_Log!AX27=1,Office_Log!G27,"")</f>
        <v/>
      </c>
      <c r="C227" s="17">
        <f>IF(B227="","","office")</f>
        <v/>
      </c>
      <c r="D227" s="17">
        <f>IF(B227="","",Office_Log!$A27&amp;"")</f>
        <v/>
      </c>
      <c r="E227" s="17">
        <f>IF(B227="","",IF(Office_Log!B27="","",Office_Log!B27&amp;""))</f>
        <v/>
      </c>
      <c r="F227" s="17">
        <f>IF(B227="","","yes_in_principle")</f>
        <v/>
      </c>
      <c r="G227" s="17">
        <f>IF(B227="","","")</f>
        <v/>
      </c>
      <c r="H227" s="17">
        <f>IF(B227="","","")</f>
        <v/>
      </c>
      <c r="I227" s="17">
        <f>IF(B227="","","")</f>
        <v/>
      </c>
      <c r="J227" s="17">
        <f>IF(B227="","","owner: "&amp;Office_Log!AB27&amp;"; window: "&amp;Office_Log!AD27)</f>
        <v/>
      </c>
      <c r="K227" t="inlineStr">
        <is>
          <t>office yes_in_principle</t>
        </is>
      </c>
    </row>
    <row r="228">
      <c r="A228" s="17">
        <f>IF(B228="","",B228+(2*1000+27)/10000000)</f>
        <v/>
      </c>
      <c r="B228" s="23">
        <f>IF(Office_Log!AX28=1,Office_Log!G28,"")</f>
        <v/>
      </c>
      <c r="C228" s="17">
        <f>IF(B228="","","office")</f>
        <v/>
      </c>
      <c r="D228" s="17">
        <f>IF(B228="","",Office_Log!$A28&amp;"")</f>
        <v/>
      </c>
      <c r="E228" s="17">
        <f>IF(B228="","",IF(Office_Log!B28="","",Office_Log!B28&amp;""))</f>
        <v/>
      </c>
      <c r="F228" s="17">
        <f>IF(B228="","","yes_in_principle")</f>
        <v/>
      </c>
      <c r="G228" s="17">
        <f>IF(B228="","","")</f>
        <v/>
      </c>
      <c r="H228" s="17">
        <f>IF(B228="","","")</f>
        <v/>
      </c>
      <c r="I228" s="17">
        <f>IF(B228="","","")</f>
        <v/>
      </c>
      <c r="J228" s="17">
        <f>IF(B228="","","owner: "&amp;Office_Log!AB28&amp;"; window: "&amp;Office_Log!AD28)</f>
        <v/>
      </c>
      <c r="K228" t="inlineStr">
        <is>
          <t>office yes_in_principle</t>
        </is>
      </c>
    </row>
    <row r="229">
      <c r="A229" s="17">
        <f>IF(B229="","",B229+(2*1000+28)/10000000)</f>
        <v/>
      </c>
      <c r="B229" s="23">
        <f>IF(Office_Log!AX29=1,Office_Log!G29,"")</f>
        <v/>
      </c>
      <c r="C229" s="17">
        <f>IF(B229="","","office")</f>
        <v/>
      </c>
      <c r="D229" s="17">
        <f>IF(B229="","",Office_Log!$A29&amp;"")</f>
        <v/>
      </c>
      <c r="E229" s="17">
        <f>IF(B229="","",IF(Office_Log!B29="","",Office_Log!B29&amp;""))</f>
        <v/>
      </c>
      <c r="F229" s="17">
        <f>IF(B229="","","yes_in_principle")</f>
        <v/>
      </c>
      <c r="G229" s="17">
        <f>IF(B229="","","")</f>
        <v/>
      </c>
      <c r="H229" s="17">
        <f>IF(B229="","","")</f>
        <v/>
      </c>
      <c r="I229" s="17">
        <f>IF(B229="","","")</f>
        <v/>
      </c>
      <c r="J229" s="17">
        <f>IF(B229="","","owner: "&amp;Office_Log!AB29&amp;"; window: "&amp;Office_Log!AD29)</f>
        <v/>
      </c>
      <c r="K229" t="inlineStr">
        <is>
          <t>office yes_in_principle</t>
        </is>
      </c>
    </row>
    <row r="230">
      <c r="A230" s="17">
        <f>IF(B230="","",B230+(2*1000+29)/10000000)</f>
        <v/>
      </c>
      <c r="B230" s="23">
        <f>IF(Office_Log!AX30=1,Office_Log!G30,"")</f>
        <v/>
      </c>
      <c r="C230" s="17">
        <f>IF(B230="","","office")</f>
        <v/>
      </c>
      <c r="D230" s="17">
        <f>IF(B230="","",Office_Log!$A30&amp;"")</f>
        <v/>
      </c>
      <c r="E230" s="17">
        <f>IF(B230="","",IF(Office_Log!B30="","",Office_Log!B30&amp;""))</f>
        <v/>
      </c>
      <c r="F230" s="17">
        <f>IF(B230="","","yes_in_principle")</f>
        <v/>
      </c>
      <c r="G230" s="17">
        <f>IF(B230="","","")</f>
        <v/>
      </c>
      <c r="H230" s="17">
        <f>IF(B230="","","")</f>
        <v/>
      </c>
      <c r="I230" s="17">
        <f>IF(B230="","","")</f>
        <v/>
      </c>
      <c r="J230" s="17">
        <f>IF(B230="","","owner: "&amp;Office_Log!AB30&amp;"; window: "&amp;Office_Log!AD30)</f>
        <v/>
      </c>
      <c r="K230" t="inlineStr">
        <is>
          <t>office yes_in_principle</t>
        </is>
      </c>
    </row>
    <row r="231">
      <c r="A231" s="17">
        <f>IF(B231="","",B231+(2*1000+30)/10000000)</f>
        <v/>
      </c>
      <c r="B231" s="23">
        <f>IF(Office_Log!AX31=1,Office_Log!G31,"")</f>
        <v/>
      </c>
      <c r="C231" s="17">
        <f>IF(B231="","","office")</f>
        <v/>
      </c>
      <c r="D231" s="17">
        <f>IF(B231="","",Office_Log!$A31&amp;"")</f>
        <v/>
      </c>
      <c r="E231" s="17">
        <f>IF(B231="","",IF(Office_Log!B31="","",Office_Log!B31&amp;""))</f>
        <v/>
      </c>
      <c r="F231" s="17">
        <f>IF(B231="","","yes_in_principle")</f>
        <v/>
      </c>
      <c r="G231" s="17">
        <f>IF(B231="","","")</f>
        <v/>
      </c>
      <c r="H231" s="17">
        <f>IF(B231="","","")</f>
        <v/>
      </c>
      <c r="I231" s="17">
        <f>IF(B231="","","")</f>
        <v/>
      </c>
      <c r="J231" s="17">
        <f>IF(B231="","","owner: "&amp;Office_Log!AB31&amp;"; window: "&amp;Office_Log!AD31)</f>
        <v/>
      </c>
      <c r="K231" t="inlineStr">
        <is>
          <t>office yes_in_principle</t>
        </is>
      </c>
    </row>
    <row r="232">
      <c r="A232" s="17">
        <f>IF(B232="","",B232+(2*1000+31)/10000000)</f>
        <v/>
      </c>
      <c r="B232" s="23">
        <f>IF(Office_Log!AX32=1,Office_Log!G32,"")</f>
        <v/>
      </c>
      <c r="C232" s="17">
        <f>IF(B232="","","office")</f>
        <v/>
      </c>
      <c r="D232" s="17">
        <f>IF(B232="","",Office_Log!$A32&amp;"")</f>
        <v/>
      </c>
      <c r="E232" s="17">
        <f>IF(B232="","",IF(Office_Log!B32="","",Office_Log!B32&amp;""))</f>
        <v/>
      </c>
      <c r="F232" s="17">
        <f>IF(B232="","","yes_in_principle")</f>
        <v/>
      </c>
      <c r="G232" s="17">
        <f>IF(B232="","","")</f>
        <v/>
      </c>
      <c r="H232" s="17">
        <f>IF(B232="","","")</f>
        <v/>
      </c>
      <c r="I232" s="17">
        <f>IF(B232="","","")</f>
        <v/>
      </c>
      <c r="J232" s="17">
        <f>IF(B232="","","owner: "&amp;Office_Log!AB32&amp;"; window: "&amp;Office_Log!AD32)</f>
        <v/>
      </c>
      <c r="K232" t="inlineStr">
        <is>
          <t>office yes_in_principle</t>
        </is>
      </c>
    </row>
    <row r="233">
      <c r="A233" s="17">
        <f>IF(B233="","",B233+(2*1000+32)/10000000)</f>
        <v/>
      </c>
      <c r="B233" s="23">
        <f>IF(Office_Log!AX33=1,Office_Log!G33,"")</f>
        <v/>
      </c>
      <c r="C233" s="17">
        <f>IF(B233="","","office")</f>
        <v/>
      </c>
      <c r="D233" s="17">
        <f>IF(B233="","",Office_Log!$A33&amp;"")</f>
        <v/>
      </c>
      <c r="E233" s="17">
        <f>IF(B233="","",IF(Office_Log!B33="","",Office_Log!B33&amp;""))</f>
        <v/>
      </c>
      <c r="F233" s="17">
        <f>IF(B233="","","yes_in_principle")</f>
        <v/>
      </c>
      <c r="G233" s="17">
        <f>IF(B233="","","")</f>
        <v/>
      </c>
      <c r="H233" s="17">
        <f>IF(B233="","","")</f>
        <v/>
      </c>
      <c r="I233" s="17">
        <f>IF(B233="","","")</f>
        <v/>
      </c>
      <c r="J233" s="17">
        <f>IF(B233="","","owner: "&amp;Office_Log!AB33&amp;"; window: "&amp;Office_Log!AD33)</f>
        <v/>
      </c>
      <c r="K233" t="inlineStr">
        <is>
          <t>office yes_in_principle</t>
        </is>
      </c>
    </row>
    <row r="234">
      <c r="A234" s="17">
        <f>IF(B234="","",B234+(2*1000+33)/10000000)</f>
        <v/>
      </c>
      <c r="B234" s="23">
        <f>IF(Office_Log!AX34=1,Office_Log!G34,"")</f>
        <v/>
      </c>
      <c r="C234" s="17">
        <f>IF(B234="","","office")</f>
        <v/>
      </c>
      <c r="D234" s="17">
        <f>IF(B234="","",Office_Log!$A34&amp;"")</f>
        <v/>
      </c>
      <c r="E234" s="17">
        <f>IF(B234="","",IF(Office_Log!B34="","",Office_Log!B34&amp;""))</f>
        <v/>
      </c>
      <c r="F234" s="17">
        <f>IF(B234="","","yes_in_principle")</f>
        <v/>
      </c>
      <c r="G234" s="17">
        <f>IF(B234="","","")</f>
        <v/>
      </c>
      <c r="H234" s="17">
        <f>IF(B234="","","")</f>
        <v/>
      </c>
      <c r="I234" s="17">
        <f>IF(B234="","","")</f>
        <v/>
      </c>
      <c r="J234" s="17">
        <f>IF(B234="","","owner: "&amp;Office_Log!AB34&amp;"; window: "&amp;Office_Log!AD34)</f>
        <v/>
      </c>
      <c r="K234" t="inlineStr">
        <is>
          <t>office yes_in_principle</t>
        </is>
      </c>
    </row>
    <row r="235">
      <c r="A235" s="17">
        <f>IF(B235="","",B235+(2*1000+34)/10000000)</f>
        <v/>
      </c>
      <c r="B235" s="23">
        <f>IF(Office_Log!AX35=1,Office_Log!G35,"")</f>
        <v/>
      </c>
      <c r="C235" s="17">
        <f>IF(B235="","","office")</f>
        <v/>
      </c>
      <c r="D235" s="17">
        <f>IF(B235="","",Office_Log!$A35&amp;"")</f>
        <v/>
      </c>
      <c r="E235" s="17">
        <f>IF(B235="","",IF(Office_Log!B35="","",Office_Log!B35&amp;""))</f>
        <v/>
      </c>
      <c r="F235" s="17">
        <f>IF(B235="","","yes_in_principle")</f>
        <v/>
      </c>
      <c r="G235" s="17">
        <f>IF(B235="","","")</f>
        <v/>
      </c>
      <c r="H235" s="17">
        <f>IF(B235="","","")</f>
        <v/>
      </c>
      <c r="I235" s="17">
        <f>IF(B235="","","")</f>
        <v/>
      </c>
      <c r="J235" s="17">
        <f>IF(B235="","","owner: "&amp;Office_Log!AB35&amp;"; window: "&amp;Office_Log!AD35)</f>
        <v/>
      </c>
      <c r="K235" t="inlineStr">
        <is>
          <t>office yes_in_principle</t>
        </is>
      </c>
    </row>
    <row r="236">
      <c r="A236" s="17">
        <f>IF(B236="","",B236+(2*1000+35)/10000000)</f>
        <v/>
      </c>
      <c r="B236" s="23">
        <f>IF(Office_Log!AX36=1,Office_Log!G36,"")</f>
        <v/>
      </c>
      <c r="C236" s="17">
        <f>IF(B236="","","office")</f>
        <v/>
      </c>
      <c r="D236" s="17">
        <f>IF(B236="","",Office_Log!$A36&amp;"")</f>
        <v/>
      </c>
      <c r="E236" s="17">
        <f>IF(B236="","",IF(Office_Log!B36="","",Office_Log!B36&amp;""))</f>
        <v/>
      </c>
      <c r="F236" s="17">
        <f>IF(B236="","","yes_in_principle")</f>
        <v/>
      </c>
      <c r="G236" s="17">
        <f>IF(B236="","","")</f>
        <v/>
      </c>
      <c r="H236" s="17">
        <f>IF(B236="","","")</f>
        <v/>
      </c>
      <c r="I236" s="17">
        <f>IF(B236="","","")</f>
        <v/>
      </c>
      <c r="J236" s="17">
        <f>IF(B236="","","owner: "&amp;Office_Log!AB36&amp;"; window: "&amp;Office_Log!AD36)</f>
        <v/>
      </c>
      <c r="K236" t="inlineStr">
        <is>
          <t>office yes_in_principle</t>
        </is>
      </c>
    </row>
    <row r="237">
      <c r="A237" s="17">
        <f>IF(B237="","",B237+(2*1000+36)/10000000)</f>
        <v/>
      </c>
      <c r="B237" s="23">
        <f>IF(Office_Log!AX37=1,Office_Log!G37,"")</f>
        <v/>
      </c>
      <c r="C237" s="17">
        <f>IF(B237="","","office")</f>
        <v/>
      </c>
      <c r="D237" s="17">
        <f>IF(B237="","",Office_Log!$A37&amp;"")</f>
        <v/>
      </c>
      <c r="E237" s="17">
        <f>IF(B237="","",IF(Office_Log!B37="","",Office_Log!B37&amp;""))</f>
        <v/>
      </c>
      <c r="F237" s="17">
        <f>IF(B237="","","yes_in_principle")</f>
        <v/>
      </c>
      <c r="G237" s="17">
        <f>IF(B237="","","")</f>
        <v/>
      </c>
      <c r="H237" s="17">
        <f>IF(B237="","","")</f>
        <v/>
      </c>
      <c r="I237" s="17">
        <f>IF(B237="","","")</f>
        <v/>
      </c>
      <c r="J237" s="17">
        <f>IF(B237="","","owner: "&amp;Office_Log!AB37&amp;"; window: "&amp;Office_Log!AD37)</f>
        <v/>
      </c>
      <c r="K237" t="inlineStr">
        <is>
          <t>office yes_in_principle</t>
        </is>
      </c>
    </row>
    <row r="238">
      <c r="A238" s="17">
        <f>IF(B238="","",B238+(2*1000+37)/10000000)</f>
        <v/>
      </c>
      <c r="B238" s="23">
        <f>IF(Office_Log!AX38=1,Office_Log!G38,"")</f>
        <v/>
      </c>
      <c r="C238" s="17">
        <f>IF(B238="","","office")</f>
        <v/>
      </c>
      <c r="D238" s="17">
        <f>IF(B238="","",Office_Log!$A38&amp;"")</f>
        <v/>
      </c>
      <c r="E238" s="17">
        <f>IF(B238="","",IF(Office_Log!B38="","",Office_Log!B38&amp;""))</f>
        <v/>
      </c>
      <c r="F238" s="17">
        <f>IF(B238="","","yes_in_principle")</f>
        <v/>
      </c>
      <c r="G238" s="17">
        <f>IF(B238="","","")</f>
        <v/>
      </c>
      <c r="H238" s="17">
        <f>IF(B238="","","")</f>
        <v/>
      </c>
      <c r="I238" s="17">
        <f>IF(B238="","","")</f>
        <v/>
      </c>
      <c r="J238" s="17">
        <f>IF(B238="","","owner: "&amp;Office_Log!AB38&amp;"; window: "&amp;Office_Log!AD38)</f>
        <v/>
      </c>
      <c r="K238" t="inlineStr">
        <is>
          <t>office yes_in_principle</t>
        </is>
      </c>
    </row>
    <row r="239">
      <c r="A239" s="17">
        <f>IF(B239="","",B239+(2*1000+38)/10000000)</f>
        <v/>
      </c>
      <c r="B239" s="23">
        <f>IF(Office_Log!AX39=1,Office_Log!G39,"")</f>
        <v/>
      </c>
      <c r="C239" s="17">
        <f>IF(B239="","","office")</f>
        <v/>
      </c>
      <c r="D239" s="17">
        <f>IF(B239="","",Office_Log!$A39&amp;"")</f>
        <v/>
      </c>
      <c r="E239" s="17">
        <f>IF(B239="","",IF(Office_Log!B39="","",Office_Log!B39&amp;""))</f>
        <v/>
      </c>
      <c r="F239" s="17">
        <f>IF(B239="","","yes_in_principle")</f>
        <v/>
      </c>
      <c r="G239" s="17">
        <f>IF(B239="","","")</f>
        <v/>
      </c>
      <c r="H239" s="17">
        <f>IF(B239="","","")</f>
        <v/>
      </c>
      <c r="I239" s="17">
        <f>IF(B239="","","")</f>
        <v/>
      </c>
      <c r="J239" s="17">
        <f>IF(B239="","","owner: "&amp;Office_Log!AB39&amp;"; window: "&amp;Office_Log!AD39)</f>
        <v/>
      </c>
      <c r="K239" t="inlineStr">
        <is>
          <t>office yes_in_principle</t>
        </is>
      </c>
    </row>
    <row r="240">
      <c r="A240" s="17">
        <f>IF(B240="","",B240+(2*1000+39)/10000000)</f>
        <v/>
      </c>
      <c r="B240" s="23">
        <f>IF(Office_Log!AX40=1,Office_Log!G40,"")</f>
        <v/>
      </c>
      <c r="C240" s="17">
        <f>IF(B240="","","office")</f>
        <v/>
      </c>
      <c r="D240" s="17">
        <f>IF(B240="","",Office_Log!$A40&amp;"")</f>
        <v/>
      </c>
      <c r="E240" s="17">
        <f>IF(B240="","",IF(Office_Log!B40="","",Office_Log!B40&amp;""))</f>
        <v/>
      </c>
      <c r="F240" s="17">
        <f>IF(B240="","","yes_in_principle")</f>
        <v/>
      </c>
      <c r="G240" s="17">
        <f>IF(B240="","","")</f>
        <v/>
      </c>
      <c r="H240" s="17">
        <f>IF(B240="","","")</f>
        <v/>
      </c>
      <c r="I240" s="17">
        <f>IF(B240="","","")</f>
        <v/>
      </c>
      <c r="J240" s="17">
        <f>IF(B240="","","owner: "&amp;Office_Log!AB40&amp;"; window: "&amp;Office_Log!AD40)</f>
        <v/>
      </c>
      <c r="K240" t="inlineStr">
        <is>
          <t>office yes_in_principle</t>
        </is>
      </c>
    </row>
    <row r="241">
      <c r="A241" s="17">
        <f>IF(B241="","",B241+(2*1000+40)/10000000)</f>
        <v/>
      </c>
      <c r="B241" s="23">
        <f>IF(Office_Log!AX41=1,Office_Log!G41,"")</f>
        <v/>
      </c>
      <c r="C241" s="17">
        <f>IF(B241="","","office")</f>
        <v/>
      </c>
      <c r="D241" s="17">
        <f>IF(B241="","",Office_Log!$A41&amp;"")</f>
        <v/>
      </c>
      <c r="E241" s="17">
        <f>IF(B241="","",IF(Office_Log!B41="","",Office_Log!B41&amp;""))</f>
        <v/>
      </c>
      <c r="F241" s="17">
        <f>IF(B241="","","yes_in_principle")</f>
        <v/>
      </c>
      <c r="G241" s="17">
        <f>IF(B241="","","")</f>
        <v/>
      </c>
      <c r="H241" s="17">
        <f>IF(B241="","","")</f>
        <v/>
      </c>
      <c r="I241" s="17">
        <f>IF(B241="","","")</f>
        <v/>
      </c>
      <c r="J241" s="17">
        <f>IF(B241="","","owner: "&amp;Office_Log!AB41&amp;"; window: "&amp;Office_Log!AD41)</f>
        <v/>
      </c>
      <c r="K241" t="inlineStr">
        <is>
          <t>office yes_in_principle</t>
        </is>
      </c>
    </row>
    <row r="242">
      <c r="A242" s="17">
        <f>IF(B242="","",B242+(2*1000+41)/10000000)</f>
        <v/>
      </c>
      <c r="B242" s="23">
        <f>IF(Office_Log!AX42=1,Office_Log!G42,"")</f>
        <v/>
      </c>
      <c r="C242" s="17">
        <f>IF(B242="","","office")</f>
        <v/>
      </c>
      <c r="D242" s="17">
        <f>IF(B242="","",Office_Log!$A42&amp;"")</f>
        <v/>
      </c>
      <c r="E242" s="17">
        <f>IF(B242="","",IF(Office_Log!B42="","",Office_Log!B42&amp;""))</f>
        <v/>
      </c>
      <c r="F242" s="17">
        <f>IF(B242="","","yes_in_principle")</f>
        <v/>
      </c>
      <c r="G242" s="17">
        <f>IF(B242="","","")</f>
        <v/>
      </c>
      <c r="H242" s="17">
        <f>IF(B242="","","")</f>
        <v/>
      </c>
      <c r="I242" s="17">
        <f>IF(B242="","","")</f>
        <v/>
      </c>
      <c r="J242" s="17">
        <f>IF(B242="","","owner: "&amp;Office_Log!AB42&amp;"; window: "&amp;Office_Log!AD42)</f>
        <v/>
      </c>
      <c r="K242" t="inlineStr">
        <is>
          <t>office yes_in_principle</t>
        </is>
      </c>
    </row>
    <row r="243">
      <c r="A243" s="17">
        <f>IF(B243="","",B243+(2*1000+42)/10000000)</f>
        <v/>
      </c>
      <c r="B243" s="23">
        <f>IF(Office_Log!AX43=1,Office_Log!G43,"")</f>
        <v/>
      </c>
      <c r="C243" s="17">
        <f>IF(B243="","","office")</f>
        <v/>
      </c>
      <c r="D243" s="17">
        <f>IF(B243="","",Office_Log!$A43&amp;"")</f>
        <v/>
      </c>
      <c r="E243" s="17">
        <f>IF(B243="","",IF(Office_Log!B43="","",Office_Log!B43&amp;""))</f>
        <v/>
      </c>
      <c r="F243" s="17">
        <f>IF(B243="","","yes_in_principle")</f>
        <v/>
      </c>
      <c r="G243" s="17">
        <f>IF(B243="","","")</f>
        <v/>
      </c>
      <c r="H243" s="17">
        <f>IF(B243="","","")</f>
        <v/>
      </c>
      <c r="I243" s="17">
        <f>IF(B243="","","")</f>
        <v/>
      </c>
      <c r="J243" s="17">
        <f>IF(B243="","","owner: "&amp;Office_Log!AB43&amp;"; window: "&amp;Office_Log!AD43)</f>
        <v/>
      </c>
      <c r="K243" t="inlineStr">
        <is>
          <t>office yes_in_principle</t>
        </is>
      </c>
    </row>
    <row r="244">
      <c r="A244" s="17">
        <f>IF(B244="","",B244+(2*1000+43)/10000000)</f>
        <v/>
      </c>
      <c r="B244" s="23">
        <f>IF(Office_Log!AX44=1,Office_Log!G44,"")</f>
        <v/>
      </c>
      <c r="C244" s="17">
        <f>IF(B244="","","office")</f>
        <v/>
      </c>
      <c r="D244" s="17">
        <f>IF(B244="","",Office_Log!$A44&amp;"")</f>
        <v/>
      </c>
      <c r="E244" s="17">
        <f>IF(B244="","",IF(Office_Log!B44="","",Office_Log!B44&amp;""))</f>
        <v/>
      </c>
      <c r="F244" s="17">
        <f>IF(B244="","","yes_in_principle")</f>
        <v/>
      </c>
      <c r="G244" s="17">
        <f>IF(B244="","","")</f>
        <v/>
      </c>
      <c r="H244" s="17">
        <f>IF(B244="","","")</f>
        <v/>
      </c>
      <c r="I244" s="17">
        <f>IF(B244="","","")</f>
        <v/>
      </c>
      <c r="J244" s="17">
        <f>IF(B244="","","owner: "&amp;Office_Log!AB44&amp;"; window: "&amp;Office_Log!AD44)</f>
        <v/>
      </c>
      <c r="K244" t="inlineStr">
        <is>
          <t>office yes_in_principle</t>
        </is>
      </c>
    </row>
    <row r="245">
      <c r="A245" s="17">
        <f>IF(B245="","",B245+(2*1000+44)/10000000)</f>
        <v/>
      </c>
      <c r="B245" s="23">
        <f>IF(Office_Log!AX45=1,Office_Log!G45,"")</f>
        <v/>
      </c>
      <c r="C245" s="17">
        <f>IF(B245="","","office")</f>
        <v/>
      </c>
      <c r="D245" s="17">
        <f>IF(B245="","",Office_Log!$A45&amp;"")</f>
        <v/>
      </c>
      <c r="E245" s="17">
        <f>IF(B245="","",IF(Office_Log!B45="","",Office_Log!B45&amp;""))</f>
        <v/>
      </c>
      <c r="F245" s="17">
        <f>IF(B245="","","yes_in_principle")</f>
        <v/>
      </c>
      <c r="G245" s="17">
        <f>IF(B245="","","")</f>
        <v/>
      </c>
      <c r="H245" s="17">
        <f>IF(B245="","","")</f>
        <v/>
      </c>
      <c r="I245" s="17">
        <f>IF(B245="","","")</f>
        <v/>
      </c>
      <c r="J245" s="17">
        <f>IF(B245="","","owner: "&amp;Office_Log!AB45&amp;"; window: "&amp;Office_Log!AD45)</f>
        <v/>
      </c>
      <c r="K245" t="inlineStr">
        <is>
          <t>office yes_in_principle</t>
        </is>
      </c>
    </row>
    <row r="246">
      <c r="A246" s="17">
        <f>IF(B246="","",B246+(2*1000+45)/10000000)</f>
        <v/>
      </c>
      <c r="B246" s="23">
        <f>IF(Office_Log!AX46=1,Office_Log!G46,"")</f>
        <v/>
      </c>
      <c r="C246" s="17">
        <f>IF(B246="","","office")</f>
        <v/>
      </c>
      <c r="D246" s="17">
        <f>IF(B246="","",Office_Log!$A46&amp;"")</f>
        <v/>
      </c>
      <c r="E246" s="17">
        <f>IF(B246="","",IF(Office_Log!B46="","",Office_Log!B46&amp;""))</f>
        <v/>
      </c>
      <c r="F246" s="17">
        <f>IF(B246="","","yes_in_principle")</f>
        <v/>
      </c>
      <c r="G246" s="17">
        <f>IF(B246="","","")</f>
        <v/>
      </c>
      <c r="H246" s="17">
        <f>IF(B246="","","")</f>
        <v/>
      </c>
      <c r="I246" s="17">
        <f>IF(B246="","","")</f>
        <v/>
      </c>
      <c r="J246" s="17">
        <f>IF(B246="","","owner: "&amp;Office_Log!AB46&amp;"; window: "&amp;Office_Log!AD46)</f>
        <v/>
      </c>
      <c r="K246" t="inlineStr">
        <is>
          <t>office yes_in_principle</t>
        </is>
      </c>
    </row>
    <row r="247">
      <c r="A247" s="17">
        <f>IF(B247="","",B247+(2*1000+46)/10000000)</f>
        <v/>
      </c>
      <c r="B247" s="23">
        <f>IF(Office_Log!AX47=1,Office_Log!G47,"")</f>
        <v/>
      </c>
      <c r="C247" s="17">
        <f>IF(B247="","","office")</f>
        <v/>
      </c>
      <c r="D247" s="17">
        <f>IF(B247="","",Office_Log!$A47&amp;"")</f>
        <v/>
      </c>
      <c r="E247" s="17">
        <f>IF(B247="","",IF(Office_Log!B47="","",Office_Log!B47&amp;""))</f>
        <v/>
      </c>
      <c r="F247" s="17">
        <f>IF(B247="","","yes_in_principle")</f>
        <v/>
      </c>
      <c r="G247" s="17">
        <f>IF(B247="","","")</f>
        <v/>
      </c>
      <c r="H247" s="17">
        <f>IF(B247="","","")</f>
        <v/>
      </c>
      <c r="I247" s="17">
        <f>IF(B247="","","")</f>
        <v/>
      </c>
      <c r="J247" s="17">
        <f>IF(B247="","","owner: "&amp;Office_Log!AB47&amp;"; window: "&amp;Office_Log!AD47)</f>
        <v/>
      </c>
      <c r="K247" t="inlineStr">
        <is>
          <t>office yes_in_principle</t>
        </is>
      </c>
    </row>
    <row r="248">
      <c r="A248" s="17">
        <f>IF(B248="","",B248+(2*1000+47)/10000000)</f>
        <v/>
      </c>
      <c r="B248" s="23">
        <f>IF(Office_Log!AX48=1,Office_Log!G48,"")</f>
        <v/>
      </c>
      <c r="C248" s="17">
        <f>IF(B248="","","office")</f>
        <v/>
      </c>
      <c r="D248" s="17">
        <f>IF(B248="","",Office_Log!$A48&amp;"")</f>
        <v/>
      </c>
      <c r="E248" s="17">
        <f>IF(B248="","",IF(Office_Log!B48="","",Office_Log!B48&amp;""))</f>
        <v/>
      </c>
      <c r="F248" s="17">
        <f>IF(B248="","","yes_in_principle")</f>
        <v/>
      </c>
      <c r="G248" s="17">
        <f>IF(B248="","","")</f>
        <v/>
      </c>
      <c r="H248" s="17">
        <f>IF(B248="","","")</f>
        <v/>
      </c>
      <c r="I248" s="17">
        <f>IF(B248="","","")</f>
        <v/>
      </c>
      <c r="J248" s="17">
        <f>IF(B248="","","owner: "&amp;Office_Log!AB48&amp;"; window: "&amp;Office_Log!AD48)</f>
        <v/>
      </c>
      <c r="K248" t="inlineStr">
        <is>
          <t>office yes_in_principle</t>
        </is>
      </c>
    </row>
    <row r="249">
      <c r="A249" s="17">
        <f>IF(B249="","",B249+(2*1000+48)/10000000)</f>
        <v/>
      </c>
      <c r="B249" s="23">
        <f>IF(Office_Log!AX49=1,Office_Log!G49,"")</f>
        <v/>
      </c>
      <c r="C249" s="17">
        <f>IF(B249="","","office")</f>
        <v/>
      </c>
      <c r="D249" s="17">
        <f>IF(B249="","",Office_Log!$A49&amp;"")</f>
        <v/>
      </c>
      <c r="E249" s="17">
        <f>IF(B249="","",IF(Office_Log!B49="","",Office_Log!B49&amp;""))</f>
        <v/>
      </c>
      <c r="F249" s="17">
        <f>IF(B249="","","yes_in_principle")</f>
        <v/>
      </c>
      <c r="G249" s="17">
        <f>IF(B249="","","")</f>
        <v/>
      </c>
      <c r="H249" s="17">
        <f>IF(B249="","","")</f>
        <v/>
      </c>
      <c r="I249" s="17">
        <f>IF(B249="","","")</f>
        <v/>
      </c>
      <c r="J249" s="17">
        <f>IF(B249="","","owner: "&amp;Office_Log!AB49&amp;"; window: "&amp;Office_Log!AD49)</f>
        <v/>
      </c>
      <c r="K249" t="inlineStr">
        <is>
          <t>office yes_in_principle</t>
        </is>
      </c>
    </row>
    <row r="250">
      <c r="A250" s="17">
        <f>IF(B250="","",B250+(2*1000+49)/10000000)</f>
        <v/>
      </c>
      <c r="B250" s="23">
        <f>IF(Office_Log!AX50=1,Office_Log!G50,"")</f>
        <v/>
      </c>
      <c r="C250" s="17">
        <f>IF(B250="","","office")</f>
        <v/>
      </c>
      <c r="D250" s="17">
        <f>IF(B250="","",Office_Log!$A50&amp;"")</f>
        <v/>
      </c>
      <c r="E250" s="17">
        <f>IF(B250="","",IF(Office_Log!B50="","",Office_Log!B50&amp;""))</f>
        <v/>
      </c>
      <c r="F250" s="17">
        <f>IF(B250="","","yes_in_principle")</f>
        <v/>
      </c>
      <c r="G250" s="17">
        <f>IF(B250="","","")</f>
        <v/>
      </c>
      <c r="H250" s="17">
        <f>IF(B250="","","")</f>
        <v/>
      </c>
      <c r="I250" s="17">
        <f>IF(B250="","","")</f>
        <v/>
      </c>
      <c r="J250" s="17">
        <f>IF(B250="","","owner: "&amp;Office_Log!AB50&amp;"; window: "&amp;Office_Log!AD50)</f>
        <v/>
      </c>
      <c r="K250" t="inlineStr">
        <is>
          <t>office yes_in_principle</t>
        </is>
      </c>
    </row>
    <row r="251">
      <c r="A251" s="17">
        <f>IF(B251="","",B251+(2*1000+50)/10000000)</f>
        <v/>
      </c>
      <c r="B251" s="23">
        <f>IF(Office_Log!AX51=1,Office_Log!G51,"")</f>
        <v/>
      </c>
      <c r="C251" s="17">
        <f>IF(B251="","","office")</f>
        <v/>
      </c>
      <c r="D251" s="17">
        <f>IF(B251="","",Office_Log!$A51&amp;"")</f>
        <v/>
      </c>
      <c r="E251" s="17">
        <f>IF(B251="","",IF(Office_Log!B51="","",Office_Log!B51&amp;""))</f>
        <v/>
      </c>
      <c r="F251" s="17">
        <f>IF(B251="","","yes_in_principle")</f>
        <v/>
      </c>
      <c r="G251" s="17">
        <f>IF(B251="","","")</f>
        <v/>
      </c>
      <c r="H251" s="17">
        <f>IF(B251="","","")</f>
        <v/>
      </c>
      <c r="I251" s="17">
        <f>IF(B251="","","")</f>
        <v/>
      </c>
      <c r="J251" s="17">
        <f>IF(B251="","","owner: "&amp;Office_Log!AB51&amp;"; window: "&amp;Office_Log!AD51)</f>
        <v/>
      </c>
      <c r="K251" t="inlineStr">
        <is>
          <t>office yes_in_principle</t>
        </is>
      </c>
    </row>
    <row r="252">
      <c r="A252" s="17">
        <f>IF(B252="","",B252+(2*1000+51)/10000000)</f>
        <v/>
      </c>
      <c r="B252" s="23">
        <f>IF(Office_Log!AX52=1,Office_Log!G52,"")</f>
        <v/>
      </c>
      <c r="C252" s="17">
        <f>IF(B252="","","office")</f>
        <v/>
      </c>
      <c r="D252" s="17">
        <f>IF(B252="","",Office_Log!$A52&amp;"")</f>
        <v/>
      </c>
      <c r="E252" s="17">
        <f>IF(B252="","",IF(Office_Log!B52="","",Office_Log!B52&amp;""))</f>
        <v/>
      </c>
      <c r="F252" s="17">
        <f>IF(B252="","","yes_in_principle")</f>
        <v/>
      </c>
      <c r="G252" s="17">
        <f>IF(B252="","","")</f>
        <v/>
      </c>
      <c r="H252" s="17">
        <f>IF(B252="","","")</f>
        <v/>
      </c>
      <c r="I252" s="17">
        <f>IF(B252="","","")</f>
        <v/>
      </c>
      <c r="J252" s="17">
        <f>IF(B252="","","owner: "&amp;Office_Log!AB52&amp;"; window: "&amp;Office_Log!AD52)</f>
        <v/>
      </c>
      <c r="K252" t="inlineStr">
        <is>
          <t>office yes_in_principle</t>
        </is>
      </c>
    </row>
    <row r="253">
      <c r="A253" s="17">
        <f>IF(B253="","",B253+(2*1000+52)/10000000)</f>
        <v/>
      </c>
      <c r="B253" s="23">
        <f>IF(Office_Log!AX53=1,Office_Log!G53,"")</f>
        <v/>
      </c>
      <c r="C253" s="17">
        <f>IF(B253="","","office")</f>
        <v/>
      </c>
      <c r="D253" s="17">
        <f>IF(B253="","",Office_Log!$A53&amp;"")</f>
        <v/>
      </c>
      <c r="E253" s="17">
        <f>IF(B253="","",IF(Office_Log!B53="","",Office_Log!B53&amp;""))</f>
        <v/>
      </c>
      <c r="F253" s="17">
        <f>IF(B253="","","yes_in_principle")</f>
        <v/>
      </c>
      <c r="G253" s="17">
        <f>IF(B253="","","")</f>
        <v/>
      </c>
      <c r="H253" s="17">
        <f>IF(B253="","","")</f>
        <v/>
      </c>
      <c r="I253" s="17">
        <f>IF(B253="","","")</f>
        <v/>
      </c>
      <c r="J253" s="17">
        <f>IF(B253="","","owner: "&amp;Office_Log!AB53&amp;"; window: "&amp;Office_Log!AD53)</f>
        <v/>
      </c>
      <c r="K253" t="inlineStr">
        <is>
          <t>office yes_in_principle</t>
        </is>
      </c>
    </row>
    <row r="254">
      <c r="A254" s="17">
        <f>IF(B254="","",B254+(2*1000+53)/10000000)</f>
        <v/>
      </c>
      <c r="B254" s="23">
        <f>IF(Office_Log!AX54=1,Office_Log!G54,"")</f>
        <v/>
      </c>
      <c r="C254" s="17">
        <f>IF(B254="","","office")</f>
        <v/>
      </c>
      <c r="D254" s="17">
        <f>IF(B254="","",Office_Log!$A54&amp;"")</f>
        <v/>
      </c>
      <c r="E254" s="17">
        <f>IF(B254="","",IF(Office_Log!B54="","",Office_Log!B54&amp;""))</f>
        <v/>
      </c>
      <c r="F254" s="17">
        <f>IF(B254="","","yes_in_principle")</f>
        <v/>
      </c>
      <c r="G254" s="17">
        <f>IF(B254="","","")</f>
        <v/>
      </c>
      <c r="H254" s="17">
        <f>IF(B254="","","")</f>
        <v/>
      </c>
      <c r="I254" s="17">
        <f>IF(B254="","","")</f>
        <v/>
      </c>
      <c r="J254" s="17">
        <f>IF(B254="","","owner: "&amp;Office_Log!AB54&amp;"; window: "&amp;Office_Log!AD54)</f>
        <v/>
      </c>
      <c r="K254" t="inlineStr">
        <is>
          <t>office yes_in_principle</t>
        </is>
      </c>
    </row>
    <row r="255">
      <c r="A255" s="17">
        <f>IF(B255="","",B255+(2*1000+54)/10000000)</f>
        <v/>
      </c>
      <c r="B255" s="23">
        <f>IF(Office_Log!AX55=1,Office_Log!G55,"")</f>
        <v/>
      </c>
      <c r="C255" s="17">
        <f>IF(B255="","","office")</f>
        <v/>
      </c>
      <c r="D255" s="17">
        <f>IF(B255="","",Office_Log!$A55&amp;"")</f>
        <v/>
      </c>
      <c r="E255" s="17">
        <f>IF(B255="","",IF(Office_Log!B55="","",Office_Log!B55&amp;""))</f>
        <v/>
      </c>
      <c r="F255" s="17">
        <f>IF(B255="","","yes_in_principle")</f>
        <v/>
      </c>
      <c r="G255" s="17">
        <f>IF(B255="","","")</f>
        <v/>
      </c>
      <c r="H255" s="17">
        <f>IF(B255="","","")</f>
        <v/>
      </c>
      <c r="I255" s="17">
        <f>IF(B255="","","")</f>
        <v/>
      </c>
      <c r="J255" s="17">
        <f>IF(B255="","","owner: "&amp;Office_Log!AB55&amp;"; window: "&amp;Office_Log!AD55)</f>
        <v/>
      </c>
      <c r="K255" t="inlineStr">
        <is>
          <t>office yes_in_principle</t>
        </is>
      </c>
    </row>
    <row r="256">
      <c r="A256" s="17">
        <f>IF(B256="","",B256+(2*1000+55)/10000000)</f>
        <v/>
      </c>
      <c r="B256" s="23">
        <f>IF(Office_Log!AX56=1,Office_Log!G56,"")</f>
        <v/>
      </c>
      <c r="C256" s="17">
        <f>IF(B256="","","office")</f>
        <v/>
      </c>
      <c r="D256" s="17">
        <f>IF(B256="","",Office_Log!$A56&amp;"")</f>
        <v/>
      </c>
      <c r="E256" s="17">
        <f>IF(B256="","",IF(Office_Log!B56="","",Office_Log!B56&amp;""))</f>
        <v/>
      </c>
      <c r="F256" s="17">
        <f>IF(B256="","","yes_in_principle")</f>
        <v/>
      </c>
      <c r="G256" s="17">
        <f>IF(B256="","","")</f>
        <v/>
      </c>
      <c r="H256" s="17">
        <f>IF(B256="","","")</f>
        <v/>
      </c>
      <c r="I256" s="17">
        <f>IF(B256="","","")</f>
        <v/>
      </c>
      <c r="J256" s="17">
        <f>IF(B256="","","owner: "&amp;Office_Log!AB56&amp;"; window: "&amp;Office_Log!AD56)</f>
        <v/>
      </c>
      <c r="K256" t="inlineStr">
        <is>
          <t>office yes_in_principle</t>
        </is>
      </c>
    </row>
    <row r="257">
      <c r="A257" s="17">
        <f>IF(B257="","",B257+(2*1000+56)/10000000)</f>
        <v/>
      </c>
      <c r="B257" s="23">
        <f>IF(Office_Log!AX57=1,Office_Log!G57,"")</f>
        <v/>
      </c>
      <c r="C257" s="17">
        <f>IF(B257="","","office")</f>
        <v/>
      </c>
      <c r="D257" s="17">
        <f>IF(B257="","",Office_Log!$A57&amp;"")</f>
        <v/>
      </c>
      <c r="E257" s="17">
        <f>IF(B257="","",IF(Office_Log!B57="","",Office_Log!B57&amp;""))</f>
        <v/>
      </c>
      <c r="F257" s="17">
        <f>IF(B257="","","yes_in_principle")</f>
        <v/>
      </c>
      <c r="G257" s="17">
        <f>IF(B257="","","")</f>
        <v/>
      </c>
      <c r="H257" s="17">
        <f>IF(B257="","","")</f>
        <v/>
      </c>
      <c r="I257" s="17">
        <f>IF(B257="","","")</f>
        <v/>
      </c>
      <c r="J257" s="17">
        <f>IF(B257="","","owner: "&amp;Office_Log!AB57&amp;"; window: "&amp;Office_Log!AD57)</f>
        <v/>
      </c>
      <c r="K257" t="inlineStr">
        <is>
          <t>office yes_in_principle</t>
        </is>
      </c>
    </row>
    <row r="258">
      <c r="A258" s="17">
        <f>IF(B258="","",B258+(2*1000+57)/10000000)</f>
        <v/>
      </c>
      <c r="B258" s="23">
        <f>IF(Office_Log!AX58=1,Office_Log!G58,"")</f>
        <v/>
      </c>
      <c r="C258" s="17">
        <f>IF(B258="","","office")</f>
        <v/>
      </c>
      <c r="D258" s="17">
        <f>IF(B258="","",Office_Log!$A58&amp;"")</f>
        <v/>
      </c>
      <c r="E258" s="17">
        <f>IF(B258="","",IF(Office_Log!B58="","",Office_Log!B58&amp;""))</f>
        <v/>
      </c>
      <c r="F258" s="17">
        <f>IF(B258="","","yes_in_principle")</f>
        <v/>
      </c>
      <c r="G258" s="17">
        <f>IF(B258="","","")</f>
        <v/>
      </c>
      <c r="H258" s="17">
        <f>IF(B258="","","")</f>
        <v/>
      </c>
      <c r="I258" s="17">
        <f>IF(B258="","","")</f>
        <v/>
      </c>
      <c r="J258" s="17">
        <f>IF(B258="","","owner: "&amp;Office_Log!AB58&amp;"; window: "&amp;Office_Log!AD58)</f>
        <v/>
      </c>
      <c r="K258" t="inlineStr">
        <is>
          <t>office yes_in_principle</t>
        </is>
      </c>
    </row>
    <row r="259">
      <c r="A259" s="17">
        <f>IF(B259="","",B259+(2*1000+58)/10000000)</f>
        <v/>
      </c>
      <c r="B259" s="23">
        <f>IF(Office_Log!AX59=1,Office_Log!G59,"")</f>
        <v/>
      </c>
      <c r="C259" s="17">
        <f>IF(B259="","","office")</f>
        <v/>
      </c>
      <c r="D259" s="17">
        <f>IF(B259="","",Office_Log!$A59&amp;"")</f>
        <v/>
      </c>
      <c r="E259" s="17">
        <f>IF(B259="","",IF(Office_Log!B59="","",Office_Log!B59&amp;""))</f>
        <v/>
      </c>
      <c r="F259" s="17">
        <f>IF(B259="","","yes_in_principle")</f>
        <v/>
      </c>
      <c r="G259" s="17">
        <f>IF(B259="","","")</f>
        <v/>
      </c>
      <c r="H259" s="17">
        <f>IF(B259="","","")</f>
        <v/>
      </c>
      <c r="I259" s="17">
        <f>IF(B259="","","")</f>
        <v/>
      </c>
      <c r="J259" s="17">
        <f>IF(B259="","","owner: "&amp;Office_Log!AB59&amp;"; window: "&amp;Office_Log!AD59)</f>
        <v/>
      </c>
      <c r="K259" t="inlineStr">
        <is>
          <t>office yes_in_principle</t>
        </is>
      </c>
    </row>
    <row r="260">
      <c r="A260" s="17">
        <f>IF(B260="","",B260+(2*1000+59)/10000000)</f>
        <v/>
      </c>
      <c r="B260" s="23">
        <f>IF(Office_Log!AX60=1,Office_Log!G60,"")</f>
        <v/>
      </c>
      <c r="C260" s="17">
        <f>IF(B260="","","office")</f>
        <v/>
      </c>
      <c r="D260" s="17">
        <f>IF(B260="","",Office_Log!$A60&amp;"")</f>
        <v/>
      </c>
      <c r="E260" s="17">
        <f>IF(B260="","",IF(Office_Log!B60="","",Office_Log!B60&amp;""))</f>
        <v/>
      </c>
      <c r="F260" s="17">
        <f>IF(B260="","","yes_in_principle")</f>
        <v/>
      </c>
      <c r="G260" s="17">
        <f>IF(B260="","","")</f>
        <v/>
      </c>
      <c r="H260" s="17">
        <f>IF(B260="","","")</f>
        <v/>
      </c>
      <c r="I260" s="17">
        <f>IF(B260="","","")</f>
        <v/>
      </c>
      <c r="J260" s="17">
        <f>IF(B260="","","owner: "&amp;Office_Log!AB60&amp;"; window: "&amp;Office_Log!AD60)</f>
        <v/>
      </c>
      <c r="K260" t="inlineStr">
        <is>
          <t>office yes_in_principle</t>
        </is>
      </c>
    </row>
    <row r="261">
      <c r="A261" s="17">
        <f>IF(B261="","",B261+(2*1000+60)/10000000)</f>
        <v/>
      </c>
      <c r="B261" s="23">
        <f>IF(Office_Log!AX61=1,Office_Log!G61,"")</f>
        <v/>
      </c>
      <c r="C261" s="17">
        <f>IF(B261="","","office")</f>
        <v/>
      </c>
      <c r="D261" s="17">
        <f>IF(B261="","",Office_Log!$A61&amp;"")</f>
        <v/>
      </c>
      <c r="E261" s="17">
        <f>IF(B261="","",IF(Office_Log!B61="","",Office_Log!B61&amp;""))</f>
        <v/>
      </c>
      <c r="F261" s="17">
        <f>IF(B261="","","yes_in_principle")</f>
        <v/>
      </c>
      <c r="G261" s="17">
        <f>IF(B261="","","")</f>
        <v/>
      </c>
      <c r="H261" s="17">
        <f>IF(B261="","","")</f>
        <v/>
      </c>
      <c r="I261" s="17">
        <f>IF(B261="","","")</f>
        <v/>
      </c>
      <c r="J261" s="17">
        <f>IF(B261="","","owner: "&amp;Office_Log!AB61&amp;"; window: "&amp;Office_Log!AD61)</f>
        <v/>
      </c>
      <c r="K261" t="inlineStr">
        <is>
          <t>office yes_in_principle</t>
        </is>
      </c>
    </row>
    <row r="262">
      <c r="A262" s="17">
        <f>IF(B262="","",B262+(2*1000+61)/10000000)</f>
        <v/>
      </c>
      <c r="B262" s="23">
        <f>IF(Office_Log!AX62=1,Office_Log!G62,"")</f>
        <v/>
      </c>
      <c r="C262" s="17">
        <f>IF(B262="","","office")</f>
        <v/>
      </c>
      <c r="D262" s="17">
        <f>IF(B262="","",Office_Log!$A62&amp;"")</f>
        <v/>
      </c>
      <c r="E262" s="17">
        <f>IF(B262="","",IF(Office_Log!B62="","",Office_Log!B62&amp;""))</f>
        <v/>
      </c>
      <c r="F262" s="17">
        <f>IF(B262="","","yes_in_principle")</f>
        <v/>
      </c>
      <c r="G262" s="17">
        <f>IF(B262="","","")</f>
        <v/>
      </c>
      <c r="H262" s="17">
        <f>IF(B262="","","")</f>
        <v/>
      </c>
      <c r="I262" s="17">
        <f>IF(B262="","","")</f>
        <v/>
      </c>
      <c r="J262" s="17">
        <f>IF(B262="","","owner: "&amp;Office_Log!AB62&amp;"; window: "&amp;Office_Log!AD62)</f>
        <v/>
      </c>
      <c r="K262" t="inlineStr">
        <is>
          <t>office yes_in_principle</t>
        </is>
      </c>
    </row>
    <row r="263">
      <c r="A263" s="17">
        <f>IF(B263="","",B263+(2*1000+62)/10000000)</f>
        <v/>
      </c>
      <c r="B263" s="23">
        <f>IF(Office_Log!AX63=1,Office_Log!G63,"")</f>
        <v/>
      </c>
      <c r="C263" s="17">
        <f>IF(B263="","","office")</f>
        <v/>
      </c>
      <c r="D263" s="17">
        <f>IF(B263="","",Office_Log!$A63&amp;"")</f>
        <v/>
      </c>
      <c r="E263" s="17">
        <f>IF(B263="","",IF(Office_Log!B63="","",Office_Log!B63&amp;""))</f>
        <v/>
      </c>
      <c r="F263" s="17">
        <f>IF(B263="","","yes_in_principle")</f>
        <v/>
      </c>
      <c r="G263" s="17">
        <f>IF(B263="","","")</f>
        <v/>
      </c>
      <c r="H263" s="17">
        <f>IF(B263="","","")</f>
        <v/>
      </c>
      <c r="I263" s="17">
        <f>IF(B263="","","")</f>
        <v/>
      </c>
      <c r="J263" s="17">
        <f>IF(B263="","","owner: "&amp;Office_Log!AB63&amp;"; window: "&amp;Office_Log!AD63)</f>
        <v/>
      </c>
      <c r="K263" t="inlineStr">
        <is>
          <t>office yes_in_principle</t>
        </is>
      </c>
    </row>
    <row r="264">
      <c r="A264" s="17">
        <f>IF(B264="","",B264+(2*1000+63)/10000000)</f>
        <v/>
      </c>
      <c r="B264" s="23">
        <f>IF(Office_Log!AX64=1,Office_Log!G64,"")</f>
        <v/>
      </c>
      <c r="C264" s="17">
        <f>IF(B264="","","office")</f>
        <v/>
      </c>
      <c r="D264" s="17">
        <f>IF(B264="","",Office_Log!$A64&amp;"")</f>
        <v/>
      </c>
      <c r="E264" s="17">
        <f>IF(B264="","",IF(Office_Log!B64="","",Office_Log!B64&amp;""))</f>
        <v/>
      </c>
      <c r="F264" s="17">
        <f>IF(B264="","","yes_in_principle")</f>
        <v/>
      </c>
      <c r="G264" s="17">
        <f>IF(B264="","","")</f>
        <v/>
      </c>
      <c r="H264" s="17">
        <f>IF(B264="","","")</f>
        <v/>
      </c>
      <c r="I264" s="17">
        <f>IF(B264="","","")</f>
        <v/>
      </c>
      <c r="J264" s="17">
        <f>IF(B264="","","owner: "&amp;Office_Log!AB64&amp;"; window: "&amp;Office_Log!AD64)</f>
        <v/>
      </c>
      <c r="K264" t="inlineStr">
        <is>
          <t>office yes_in_principle</t>
        </is>
      </c>
    </row>
    <row r="265">
      <c r="A265" s="17">
        <f>IF(B265="","",B265+(2*1000+64)/10000000)</f>
        <v/>
      </c>
      <c r="B265" s="23">
        <f>IF(Office_Log!AX65=1,Office_Log!G65,"")</f>
        <v/>
      </c>
      <c r="C265" s="17">
        <f>IF(B265="","","office")</f>
        <v/>
      </c>
      <c r="D265" s="17">
        <f>IF(B265="","",Office_Log!$A65&amp;"")</f>
        <v/>
      </c>
      <c r="E265" s="17">
        <f>IF(B265="","",IF(Office_Log!B65="","",Office_Log!B65&amp;""))</f>
        <v/>
      </c>
      <c r="F265" s="17">
        <f>IF(B265="","","yes_in_principle")</f>
        <v/>
      </c>
      <c r="G265" s="17">
        <f>IF(B265="","","")</f>
        <v/>
      </c>
      <c r="H265" s="17">
        <f>IF(B265="","","")</f>
        <v/>
      </c>
      <c r="I265" s="17">
        <f>IF(B265="","","")</f>
        <v/>
      </c>
      <c r="J265" s="17">
        <f>IF(B265="","","owner: "&amp;Office_Log!AB65&amp;"; window: "&amp;Office_Log!AD65)</f>
        <v/>
      </c>
      <c r="K265" t="inlineStr">
        <is>
          <t>office yes_in_principle</t>
        </is>
      </c>
    </row>
    <row r="266">
      <c r="A266" s="17">
        <f>IF(B266="","",B266+(2*1000+65)/10000000)</f>
        <v/>
      </c>
      <c r="B266" s="23">
        <f>IF(Office_Log!AX66=1,Office_Log!G66,"")</f>
        <v/>
      </c>
      <c r="C266" s="17">
        <f>IF(B266="","","office")</f>
        <v/>
      </c>
      <c r="D266" s="17">
        <f>IF(B266="","",Office_Log!$A66&amp;"")</f>
        <v/>
      </c>
      <c r="E266" s="17">
        <f>IF(B266="","",IF(Office_Log!B66="","",Office_Log!B66&amp;""))</f>
        <v/>
      </c>
      <c r="F266" s="17">
        <f>IF(B266="","","yes_in_principle")</f>
        <v/>
      </c>
      <c r="G266" s="17">
        <f>IF(B266="","","")</f>
        <v/>
      </c>
      <c r="H266" s="17">
        <f>IF(B266="","","")</f>
        <v/>
      </c>
      <c r="I266" s="17">
        <f>IF(B266="","","")</f>
        <v/>
      </c>
      <c r="J266" s="17">
        <f>IF(B266="","","owner: "&amp;Office_Log!AB66&amp;"; window: "&amp;Office_Log!AD66)</f>
        <v/>
      </c>
      <c r="K266" t="inlineStr">
        <is>
          <t>office yes_in_principle</t>
        </is>
      </c>
    </row>
    <row r="267">
      <c r="A267" s="17">
        <f>IF(B267="","",B267+(2*1000+66)/10000000)</f>
        <v/>
      </c>
      <c r="B267" s="23">
        <f>IF(Office_Log!AX67=1,Office_Log!G67,"")</f>
        <v/>
      </c>
      <c r="C267" s="17">
        <f>IF(B267="","","office")</f>
        <v/>
      </c>
      <c r="D267" s="17">
        <f>IF(B267="","",Office_Log!$A67&amp;"")</f>
        <v/>
      </c>
      <c r="E267" s="17">
        <f>IF(B267="","",IF(Office_Log!B67="","",Office_Log!B67&amp;""))</f>
        <v/>
      </c>
      <c r="F267" s="17">
        <f>IF(B267="","","yes_in_principle")</f>
        <v/>
      </c>
      <c r="G267" s="17">
        <f>IF(B267="","","")</f>
        <v/>
      </c>
      <c r="H267" s="17">
        <f>IF(B267="","","")</f>
        <v/>
      </c>
      <c r="I267" s="17">
        <f>IF(B267="","","")</f>
        <v/>
      </c>
      <c r="J267" s="17">
        <f>IF(B267="","","owner: "&amp;Office_Log!AB67&amp;"; window: "&amp;Office_Log!AD67)</f>
        <v/>
      </c>
      <c r="K267" t="inlineStr">
        <is>
          <t>office yes_in_principle</t>
        </is>
      </c>
    </row>
    <row r="268">
      <c r="A268" s="17">
        <f>IF(B268="","",B268+(2*1000+67)/10000000)</f>
        <v/>
      </c>
      <c r="B268" s="23">
        <f>IF(Office_Log!AX68=1,Office_Log!G68,"")</f>
        <v/>
      </c>
      <c r="C268" s="17">
        <f>IF(B268="","","office")</f>
        <v/>
      </c>
      <c r="D268" s="17">
        <f>IF(B268="","",Office_Log!$A68&amp;"")</f>
        <v/>
      </c>
      <c r="E268" s="17">
        <f>IF(B268="","",IF(Office_Log!B68="","",Office_Log!B68&amp;""))</f>
        <v/>
      </c>
      <c r="F268" s="17">
        <f>IF(B268="","","yes_in_principle")</f>
        <v/>
      </c>
      <c r="G268" s="17">
        <f>IF(B268="","","")</f>
        <v/>
      </c>
      <c r="H268" s="17">
        <f>IF(B268="","","")</f>
        <v/>
      </c>
      <c r="I268" s="17">
        <f>IF(B268="","","")</f>
        <v/>
      </c>
      <c r="J268" s="17">
        <f>IF(B268="","","owner: "&amp;Office_Log!AB68&amp;"; window: "&amp;Office_Log!AD68)</f>
        <v/>
      </c>
      <c r="K268" t="inlineStr">
        <is>
          <t>office yes_in_principle</t>
        </is>
      </c>
    </row>
    <row r="269">
      <c r="A269" s="17">
        <f>IF(B269="","",B269+(2*1000+68)/10000000)</f>
        <v/>
      </c>
      <c r="B269" s="23">
        <f>IF(Office_Log!AX69=1,Office_Log!G69,"")</f>
        <v/>
      </c>
      <c r="C269" s="17">
        <f>IF(B269="","","office")</f>
        <v/>
      </c>
      <c r="D269" s="17">
        <f>IF(B269="","",Office_Log!$A69&amp;"")</f>
        <v/>
      </c>
      <c r="E269" s="17">
        <f>IF(B269="","",IF(Office_Log!B69="","",Office_Log!B69&amp;""))</f>
        <v/>
      </c>
      <c r="F269" s="17">
        <f>IF(B269="","","yes_in_principle")</f>
        <v/>
      </c>
      <c r="G269" s="17">
        <f>IF(B269="","","")</f>
        <v/>
      </c>
      <c r="H269" s="17">
        <f>IF(B269="","","")</f>
        <v/>
      </c>
      <c r="I269" s="17">
        <f>IF(B269="","","")</f>
        <v/>
      </c>
      <c r="J269" s="17">
        <f>IF(B269="","","owner: "&amp;Office_Log!AB69&amp;"; window: "&amp;Office_Log!AD69)</f>
        <v/>
      </c>
      <c r="K269" t="inlineStr">
        <is>
          <t>office yes_in_principle</t>
        </is>
      </c>
    </row>
    <row r="270">
      <c r="A270" s="17">
        <f>IF(B270="","",B270+(2*1000+69)/10000000)</f>
        <v/>
      </c>
      <c r="B270" s="23">
        <f>IF(Office_Log!AX70=1,Office_Log!G70,"")</f>
        <v/>
      </c>
      <c r="C270" s="17">
        <f>IF(B270="","","office")</f>
        <v/>
      </c>
      <c r="D270" s="17">
        <f>IF(B270="","",Office_Log!$A70&amp;"")</f>
        <v/>
      </c>
      <c r="E270" s="17">
        <f>IF(B270="","",IF(Office_Log!B70="","",Office_Log!B70&amp;""))</f>
        <v/>
      </c>
      <c r="F270" s="17">
        <f>IF(B270="","","yes_in_principle")</f>
        <v/>
      </c>
      <c r="G270" s="17">
        <f>IF(B270="","","")</f>
        <v/>
      </c>
      <c r="H270" s="17">
        <f>IF(B270="","","")</f>
        <v/>
      </c>
      <c r="I270" s="17">
        <f>IF(B270="","","")</f>
        <v/>
      </c>
      <c r="J270" s="17">
        <f>IF(B270="","","owner: "&amp;Office_Log!AB70&amp;"; window: "&amp;Office_Log!AD70)</f>
        <v/>
      </c>
      <c r="K270" t="inlineStr">
        <is>
          <t>office yes_in_principle</t>
        </is>
      </c>
    </row>
    <row r="271">
      <c r="A271" s="17">
        <f>IF(B271="","",B271+(2*1000+70)/10000000)</f>
        <v/>
      </c>
      <c r="B271" s="23">
        <f>IF(Office_Log!AX71=1,Office_Log!G71,"")</f>
        <v/>
      </c>
      <c r="C271" s="17">
        <f>IF(B271="","","office")</f>
        <v/>
      </c>
      <c r="D271" s="17">
        <f>IF(B271="","",Office_Log!$A71&amp;"")</f>
        <v/>
      </c>
      <c r="E271" s="17">
        <f>IF(B271="","",IF(Office_Log!B71="","",Office_Log!B71&amp;""))</f>
        <v/>
      </c>
      <c r="F271" s="17">
        <f>IF(B271="","","yes_in_principle")</f>
        <v/>
      </c>
      <c r="G271" s="17">
        <f>IF(B271="","","")</f>
        <v/>
      </c>
      <c r="H271" s="17">
        <f>IF(B271="","","")</f>
        <v/>
      </c>
      <c r="I271" s="17">
        <f>IF(B271="","","")</f>
        <v/>
      </c>
      <c r="J271" s="17">
        <f>IF(B271="","","owner: "&amp;Office_Log!AB71&amp;"; window: "&amp;Office_Log!AD71)</f>
        <v/>
      </c>
      <c r="K271" t="inlineStr">
        <is>
          <t>office yes_in_principle</t>
        </is>
      </c>
    </row>
    <row r="272">
      <c r="A272" s="17">
        <f>IF(B272="","",B272+(2*1000+71)/10000000)</f>
        <v/>
      </c>
      <c r="B272" s="23">
        <f>IF(Office_Log!AX72=1,Office_Log!G72,"")</f>
        <v/>
      </c>
      <c r="C272" s="17">
        <f>IF(B272="","","office")</f>
        <v/>
      </c>
      <c r="D272" s="17">
        <f>IF(B272="","",Office_Log!$A72&amp;"")</f>
        <v/>
      </c>
      <c r="E272" s="17">
        <f>IF(B272="","",IF(Office_Log!B72="","",Office_Log!B72&amp;""))</f>
        <v/>
      </c>
      <c r="F272" s="17">
        <f>IF(B272="","","yes_in_principle")</f>
        <v/>
      </c>
      <c r="G272" s="17">
        <f>IF(B272="","","")</f>
        <v/>
      </c>
      <c r="H272" s="17">
        <f>IF(B272="","","")</f>
        <v/>
      </c>
      <c r="I272" s="17">
        <f>IF(B272="","","")</f>
        <v/>
      </c>
      <c r="J272" s="17">
        <f>IF(B272="","","owner: "&amp;Office_Log!AB72&amp;"; window: "&amp;Office_Log!AD72)</f>
        <v/>
      </c>
      <c r="K272" t="inlineStr">
        <is>
          <t>office yes_in_principle</t>
        </is>
      </c>
    </row>
    <row r="273">
      <c r="A273" s="17">
        <f>IF(B273="","",B273+(2*1000+72)/10000000)</f>
        <v/>
      </c>
      <c r="B273" s="23">
        <f>IF(Office_Log!AX73=1,Office_Log!G73,"")</f>
        <v/>
      </c>
      <c r="C273" s="17">
        <f>IF(B273="","","office")</f>
        <v/>
      </c>
      <c r="D273" s="17">
        <f>IF(B273="","",Office_Log!$A73&amp;"")</f>
        <v/>
      </c>
      <c r="E273" s="17">
        <f>IF(B273="","",IF(Office_Log!B73="","",Office_Log!B73&amp;""))</f>
        <v/>
      </c>
      <c r="F273" s="17">
        <f>IF(B273="","","yes_in_principle")</f>
        <v/>
      </c>
      <c r="G273" s="17">
        <f>IF(B273="","","")</f>
        <v/>
      </c>
      <c r="H273" s="17">
        <f>IF(B273="","","")</f>
        <v/>
      </c>
      <c r="I273" s="17">
        <f>IF(B273="","","")</f>
        <v/>
      </c>
      <c r="J273" s="17">
        <f>IF(B273="","","owner: "&amp;Office_Log!AB73&amp;"; window: "&amp;Office_Log!AD73)</f>
        <v/>
      </c>
      <c r="K273" t="inlineStr">
        <is>
          <t>office yes_in_principle</t>
        </is>
      </c>
    </row>
    <row r="274">
      <c r="A274" s="17">
        <f>IF(B274="","",B274+(2*1000+73)/10000000)</f>
        <v/>
      </c>
      <c r="B274" s="23">
        <f>IF(Office_Log!AX74=1,Office_Log!G74,"")</f>
        <v/>
      </c>
      <c r="C274" s="17">
        <f>IF(B274="","","office")</f>
        <v/>
      </c>
      <c r="D274" s="17">
        <f>IF(B274="","",Office_Log!$A74&amp;"")</f>
        <v/>
      </c>
      <c r="E274" s="17">
        <f>IF(B274="","",IF(Office_Log!B74="","",Office_Log!B74&amp;""))</f>
        <v/>
      </c>
      <c r="F274" s="17">
        <f>IF(B274="","","yes_in_principle")</f>
        <v/>
      </c>
      <c r="G274" s="17">
        <f>IF(B274="","","")</f>
        <v/>
      </c>
      <c r="H274" s="17">
        <f>IF(B274="","","")</f>
        <v/>
      </c>
      <c r="I274" s="17">
        <f>IF(B274="","","")</f>
        <v/>
      </c>
      <c r="J274" s="17">
        <f>IF(B274="","","owner: "&amp;Office_Log!AB74&amp;"; window: "&amp;Office_Log!AD74)</f>
        <v/>
      </c>
      <c r="K274" t="inlineStr">
        <is>
          <t>office yes_in_principle</t>
        </is>
      </c>
    </row>
    <row r="275">
      <c r="A275" s="17">
        <f>IF(B275="","",B275+(2*1000+74)/10000000)</f>
        <v/>
      </c>
      <c r="B275" s="23">
        <f>IF(Office_Log!AX75=1,Office_Log!G75,"")</f>
        <v/>
      </c>
      <c r="C275" s="17">
        <f>IF(B275="","","office")</f>
        <v/>
      </c>
      <c r="D275" s="17">
        <f>IF(B275="","",Office_Log!$A75&amp;"")</f>
        <v/>
      </c>
      <c r="E275" s="17">
        <f>IF(B275="","",IF(Office_Log!B75="","",Office_Log!B75&amp;""))</f>
        <v/>
      </c>
      <c r="F275" s="17">
        <f>IF(B275="","","yes_in_principle")</f>
        <v/>
      </c>
      <c r="G275" s="17">
        <f>IF(B275="","","")</f>
        <v/>
      </c>
      <c r="H275" s="17">
        <f>IF(B275="","","")</f>
        <v/>
      </c>
      <c r="I275" s="17">
        <f>IF(B275="","","")</f>
        <v/>
      </c>
      <c r="J275" s="17">
        <f>IF(B275="","","owner: "&amp;Office_Log!AB75&amp;"; window: "&amp;Office_Log!AD75)</f>
        <v/>
      </c>
      <c r="K275" t="inlineStr">
        <is>
          <t>office yes_in_principle</t>
        </is>
      </c>
    </row>
    <row r="276">
      <c r="A276" s="17">
        <f>IF(B276="","",B276+(2*1000+75)/10000000)</f>
        <v/>
      </c>
      <c r="B276" s="23">
        <f>IF(Office_Log!AX76=1,Office_Log!G76,"")</f>
        <v/>
      </c>
      <c r="C276" s="17">
        <f>IF(B276="","","office")</f>
        <v/>
      </c>
      <c r="D276" s="17">
        <f>IF(B276="","",Office_Log!$A76&amp;"")</f>
        <v/>
      </c>
      <c r="E276" s="17">
        <f>IF(B276="","",IF(Office_Log!B76="","",Office_Log!B76&amp;""))</f>
        <v/>
      </c>
      <c r="F276" s="17">
        <f>IF(B276="","","yes_in_principle")</f>
        <v/>
      </c>
      <c r="G276" s="17">
        <f>IF(B276="","","")</f>
        <v/>
      </c>
      <c r="H276" s="17">
        <f>IF(B276="","","")</f>
        <v/>
      </c>
      <c r="I276" s="17">
        <f>IF(B276="","","")</f>
        <v/>
      </c>
      <c r="J276" s="17">
        <f>IF(B276="","","owner: "&amp;Office_Log!AB76&amp;"; window: "&amp;Office_Log!AD76)</f>
        <v/>
      </c>
      <c r="K276" t="inlineStr">
        <is>
          <t>office yes_in_principle</t>
        </is>
      </c>
    </row>
    <row r="277">
      <c r="A277" s="17">
        <f>IF(B277="","",B277+(2*1000+76)/10000000)</f>
        <v/>
      </c>
      <c r="B277" s="23">
        <f>IF(Office_Log!AX77=1,Office_Log!G77,"")</f>
        <v/>
      </c>
      <c r="C277" s="17">
        <f>IF(B277="","","office")</f>
        <v/>
      </c>
      <c r="D277" s="17">
        <f>IF(B277="","",Office_Log!$A77&amp;"")</f>
        <v/>
      </c>
      <c r="E277" s="17">
        <f>IF(B277="","",IF(Office_Log!B77="","",Office_Log!B77&amp;""))</f>
        <v/>
      </c>
      <c r="F277" s="17">
        <f>IF(B277="","","yes_in_principle")</f>
        <v/>
      </c>
      <c r="G277" s="17">
        <f>IF(B277="","","")</f>
        <v/>
      </c>
      <c r="H277" s="17">
        <f>IF(B277="","","")</f>
        <v/>
      </c>
      <c r="I277" s="17">
        <f>IF(B277="","","")</f>
        <v/>
      </c>
      <c r="J277" s="17">
        <f>IF(B277="","","owner: "&amp;Office_Log!AB77&amp;"; window: "&amp;Office_Log!AD77)</f>
        <v/>
      </c>
      <c r="K277" t="inlineStr">
        <is>
          <t>office yes_in_principle</t>
        </is>
      </c>
    </row>
    <row r="278">
      <c r="A278" s="17">
        <f>IF(B278="","",B278+(2*1000+77)/10000000)</f>
        <v/>
      </c>
      <c r="B278" s="23">
        <f>IF(Office_Log!AX78=1,Office_Log!G78,"")</f>
        <v/>
      </c>
      <c r="C278" s="17">
        <f>IF(B278="","","office")</f>
        <v/>
      </c>
      <c r="D278" s="17">
        <f>IF(B278="","",Office_Log!$A78&amp;"")</f>
        <v/>
      </c>
      <c r="E278" s="17">
        <f>IF(B278="","",IF(Office_Log!B78="","",Office_Log!B78&amp;""))</f>
        <v/>
      </c>
      <c r="F278" s="17">
        <f>IF(B278="","","yes_in_principle")</f>
        <v/>
      </c>
      <c r="G278" s="17">
        <f>IF(B278="","","")</f>
        <v/>
      </c>
      <c r="H278" s="17">
        <f>IF(B278="","","")</f>
        <v/>
      </c>
      <c r="I278" s="17">
        <f>IF(B278="","","")</f>
        <v/>
      </c>
      <c r="J278" s="17">
        <f>IF(B278="","","owner: "&amp;Office_Log!AB78&amp;"; window: "&amp;Office_Log!AD78)</f>
        <v/>
      </c>
      <c r="K278" t="inlineStr">
        <is>
          <t>office yes_in_principle</t>
        </is>
      </c>
    </row>
    <row r="279">
      <c r="A279" s="17">
        <f>IF(B279="","",B279+(2*1000+78)/10000000)</f>
        <v/>
      </c>
      <c r="B279" s="23">
        <f>IF(Office_Log!AX79=1,Office_Log!G79,"")</f>
        <v/>
      </c>
      <c r="C279" s="17">
        <f>IF(B279="","","office")</f>
        <v/>
      </c>
      <c r="D279" s="17">
        <f>IF(B279="","",Office_Log!$A79&amp;"")</f>
        <v/>
      </c>
      <c r="E279" s="17">
        <f>IF(B279="","",IF(Office_Log!B79="","",Office_Log!B79&amp;""))</f>
        <v/>
      </c>
      <c r="F279" s="17">
        <f>IF(B279="","","yes_in_principle")</f>
        <v/>
      </c>
      <c r="G279" s="17">
        <f>IF(B279="","","")</f>
        <v/>
      </c>
      <c r="H279" s="17">
        <f>IF(B279="","","")</f>
        <v/>
      </c>
      <c r="I279" s="17">
        <f>IF(B279="","","")</f>
        <v/>
      </c>
      <c r="J279" s="17">
        <f>IF(B279="","","owner: "&amp;Office_Log!AB79&amp;"; window: "&amp;Office_Log!AD79)</f>
        <v/>
      </c>
      <c r="K279" t="inlineStr">
        <is>
          <t>office yes_in_principle</t>
        </is>
      </c>
    </row>
    <row r="280">
      <c r="A280" s="17">
        <f>IF(B280="","",B280+(2*1000+79)/10000000)</f>
        <v/>
      </c>
      <c r="B280" s="23">
        <f>IF(Office_Log!AX80=1,Office_Log!G80,"")</f>
        <v/>
      </c>
      <c r="C280" s="17">
        <f>IF(B280="","","office")</f>
        <v/>
      </c>
      <c r="D280" s="17">
        <f>IF(B280="","",Office_Log!$A80&amp;"")</f>
        <v/>
      </c>
      <c r="E280" s="17">
        <f>IF(B280="","",IF(Office_Log!B80="","",Office_Log!B80&amp;""))</f>
        <v/>
      </c>
      <c r="F280" s="17">
        <f>IF(B280="","","yes_in_principle")</f>
        <v/>
      </c>
      <c r="G280" s="17">
        <f>IF(B280="","","")</f>
        <v/>
      </c>
      <c r="H280" s="17">
        <f>IF(B280="","","")</f>
        <v/>
      </c>
      <c r="I280" s="17">
        <f>IF(B280="","","")</f>
        <v/>
      </c>
      <c r="J280" s="17">
        <f>IF(B280="","","owner: "&amp;Office_Log!AB80&amp;"; window: "&amp;Office_Log!AD80)</f>
        <v/>
      </c>
      <c r="K280" t="inlineStr">
        <is>
          <t>office yes_in_principle</t>
        </is>
      </c>
    </row>
    <row r="281">
      <c r="A281" s="17">
        <f>IF(B281="","",B281+(2*1000+80)/10000000)</f>
        <v/>
      </c>
      <c r="B281" s="23">
        <f>IF(Office_Log!AX81=1,Office_Log!G81,"")</f>
        <v/>
      </c>
      <c r="C281" s="17">
        <f>IF(B281="","","office")</f>
        <v/>
      </c>
      <c r="D281" s="17">
        <f>IF(B281="","",Office_Log!$A81&amp;"")</f>
        <v/>
      </c>
      <c r="E281" s="17">
        <f>IF(B281="","",IF(Office_Log!B81="","",Office_Log!B81&amp;""))</f>
        <v/>
      </c>
      <c r="F281" s="17">
        <f>IF(B281="","","yes_in_principle")</f>
        <v/>
      </c>
      <c r="G281" s="17">
        <f>IF(B281="","","")</f>
        <v/>
      </c>
      <c r="H281" s="17">
        <f>IF(B281="","","")</f>
        <v/>
      </c>
      <c r="I281" s="17">
        <f>IF(B281="","","")</f>
        <v/>
      </c>
      <c r="J281" s="17">
        <f>IF(B281="","","owner: "&amp;Office_Log!AB81&amp;"; window: "&amp;Office_Log!AD81)</f>
        <v/>
      </c>
      <c r="K281" t="inlineStr">
        <is>
          <t>office yes_in_principle</t>
        </is>
      </c>
    </row>
    <row r="282">
      <c r="A282" s="17">
        <f>IF(B282="","",B282+(2*1000+81)/10000000)</f>
        <v/>
      </c>
      <c r="B282" s="23">
        <f>IF(Office_Log!AX82=1,Office_Log!G82,"")</f>
        <v/>
      </c>
      <c r="C282" s="17">
        <f>IF(B282="","","office")</f>
        <v/>
      </c>
      <c r="D282" s="17">
        <f>IF(B282="","",Office_Log!$A82&amp;"")</f>
        <v/>
      </c>
      <c r="E282" s="17">
        <f>IF(B282="","",IF(Office_Log!B82="","",Office_Log!B82&amp;""))</f>
        <v/>
      </c>
      <c r="F282" s="17">
        <f>IF(B282="","","yes_in_principle")</f>
        <v/>
      </c>
      <c r="G282" s="17">
        <f>IF(B282="","","")</f>
        <v/>
      </c>
      <c r="H282" s="17">
        <f>IF(B282="","","")</f>
        <v/>
      </c>
      <c r="I282" s="17">
        <f>IF(B282="","","")</f>
        <v/>
      </c>
      <c r="J282" s="17">
        <f>IF(B282="","","owner: "&amp;Office_Log!AB82&amp;"; window: "&amp;Office_Log!AD82)</f>
        <v/>
      </c>
      <c r="K282" t="inlineStr">
        <is>
          <t>office yes_in_principle</t>
        </is>
      </c>
    </row>
    <row r="283">
      <c r="A283" s="17">
        <f>IF(B283="","",B283+(2*1000+82)/10000000)</f>
        <v/>
      </c>
      <c r="B283" s="23">
        <f>IF(Office_Log!AX83=1,Office_Log!G83,"")</f>
        <v/>
      </c>
      <c r="C283" s="17">
        <f>IF(B283="","","office")</f>
        <v/>
      </c>
      <c r="D283" s="17">
        <f>IF(B283="","",Office_Log!$A83&amp;"")</f>
        <v/>
      </c>
      <c r="E283" s="17">
        <f>IF(B283="","",IF(Office_Log!B83="","",Office_Log!B83&amp;""))</f>
        <v/>
      </c>
      <c r="F283" s="17">
        <f>IF(B283="","","yes_in_principle")</f>
        <v/>
      </c>
      <c r="G283" s="17">
        <f>IF(B283="","","")</f>
        <v/>
      </c>
      <c r="H283" s="17">
        <f>IF(B283="","","")</f>
        <v/>
      </c>
      <c r="I283" s="17">
        <f>IF(B283="","","")</f>
        <v/>
      </c>
      <c r="J283" s="17">
        <f>IF(B283="","","owner: "&amp;Office_Log!AB83&amp;"; window: "&amp;Office_Log!AD83)</f>
        <v/>
      </c>
      <c r="K283" t="inlineStr">
        <is>
          <t>office yes_in_principle</t>
        </is>
      </c>
    </row>
    <row r="284">
      <c r="A284" s="17">
        <f>IF(B284="","",B284+(2*1000+83)/10000000)</f>
        <v/>
      </c>
      <c r="B284" s="23">
        <f>IF(Office_Log!AX84=1,Office_Log!G84,"")</f>
        <v/>
      </c>
      <c r="C284" s="17">
        <f>IF(B284="","","office")</f>
        <v/>
      </c>
      <c r="D284" s="17">
        <f>IF(B284="","",Office_Log!$A84&amp;"")</f>
        <v/>
      </c>
      <c r="E284" s="17">
        <f>IF(B284="","",IF(Office_Log!B84="","",Office_Log!B84&amp;""))</f>
        <v/>
      </c>
      <c r="F284" s="17">
        <f>IF(B284="","","yes_in_principle")</f>
        <v/>
      </c>
      <c r="G284" s="17">
        <f>IF(B284="","","")</f>
        <v/>
      </c>
      <c r="H284" s="17">
        <f>IF(B284="","","")</f>
        <v/>
      </c>
      <c r="I284" s="17">
        <f>IF(B284="","","")</f>
        <v/>
      </c>
      <c r="J284" s="17">
        <f>IF(B284="","","owner: "&amp;Office_Log!AB84&amp;"; window: "&amp;Office_Log!AD84)</f>
        <v/>
      </c>
      <c r="K284" t="inlineStr">
        <is>
          <t>office yes_in_principle</t>
        </is>
      </c>
    </row>
    <row r="285">
      <c r="A285" s="17">
        <f>IF(B285="","",B285+(2*1000+84)/10000000)</f>
        <v/>
      </c>
      <c r="B285" s="23">
        <f>IF(Office_Log!AX85=1,Office_Log!G85,"")</f>
        <v/>
      </c>
      <c r="C285" s="17">
        <f>IF(B285="","","office")</f>
        <v/>
      </c>
      <c r="D285" s="17">
        <f>IF(B285="","",Office_Log!$A85&amp;"")</f>
        <v/>
      </c>
      <c r="E285" s="17">
        <f>IF(B285="","",IF(Office_Log!B85="","",Office_Log!B85&amp;""))</f>
        <v/>
      </c>
      <c r="F285" s="17">
        <f>IF(B285="","","yes_in_principle")</f>
        <v/>
      </c>
      <c r="G285" s="17">
        <f>IF(B285="","","")</f>
        <v/>
      </c>
      <c r="H285" s="17">
        <f>IF(B285="","","")</f>
        <v/>
      </c>
      <c r="I285" s="17">
        <f>IF(B285="","","")</f>
        <v/>
      </c>
      <c r="J285" s="17">
        <f>IF(B285="","","owner: "&amp;Office_Log!AB85&amp;"; window: "&amp;Office_Log!AD85)</f>
        <v/>
      </c>
      <c r="K285" t="inlineStr">
        <is>
          <t>office yes_in_principle</t>
        </is>
      </c>
    </row>
    <row r="286">
      <c r="A286" s="17">
        <f>IF(B286="","",B286+(2*1000+85)/10000000)</f>
        <v/>
      </c>
      <c r="B286" s="23">
        <f>IF(Office_Log!AX86=1,Office_Log!G86,"")</f>
        <v/>
      </c>
      <c r="C286" s="17">
        <f>IF(B286="","","office")</f>
        <v/>
      </c>
      <c r="D286" s="17">
        <f>IF(B286="","",Office_Log!$A86&amp;"")</f>
        <v/>
      </c>
      <c r="E286" s="17">
        <f>IF(B286="","",IF(Office_Log!B86="","",Office_Log!B86&amp;""))</f>
        <v/>
      </c>
      <c r="F286" s="17">
        <f>IF(B286="","","yes_in_principle")</f>
        <v/>
      </c>
      <c r="G286" s="17">
        <f>IF(B286="","","")</f>
        <v/>
      </c>
      <c r="H286" s="17">
        <f>IF(B286="","","")</f>
        <v/>
      </c>
      <c r="I286" s="17">
        <f>IF(B286="","","")</f>
        <v/>
      </c>
      <c r="J286" s="17">
        <f>IF(B286="","","owner: "&amp;Office_Log!AB86&amp;"; window: "&amp;Office_Log!AD86)</f>
        <v/>
      </c>
      <c r="K286" t="inlineStr">
        <is>
          <t>office yes_in_principle</t>
        </is>
      </c>
    </row>
    <row r="287">
      <c r="A287" s="17">
        <f>IF(B287="","",B287+(2*1000+86)/10000000)</f>
        <v/>
      </c>
      <c r="B287" s="23">
        <f>IF(Office_Log!AX87=1,Office_Log!G87,"")</f>
        <v/>
      </c>
      <c r="C287" s="17">
        <f>IF(B287="","","office")</f>
        <v/>
      </c>
      <c r="D287" s="17">
        <f>IF(B287="","",Office_Log!$A87&amp;"")</f>
        <v/>
      </c>
      <c r="E287" s="17">
        <f>IF(B287="","",IF(Office_Log!B87="","",Office_Log!B87&amp;""))</f>
        <v/>
      </c>
      <c r="F287" s="17">
        <f>IF(B287="","","yes_in_principle")</f>
        <v/>
      </c>
      <c r="G287" s="17">
        <f>IF(B287="","","")</f>
        <v/>
      </c>
      <c r="H287" s="17">
        <f>IF(B287="","","")</f>
        <v/>
      </c>
      <c r="I287" s="17">
        <f>IF(B287="","","")</f>
        <v/>
      </c>
      <c r="J287" s="17">
        <f>IF(B287="","","owner: "&amp;Office_Log!AB87&amp;"; window: "&amp;Office_Log!AD87)</f>
        <v/>
      </c>
      <c r="K287" t="inlineStr">
        <is>
          <t>office yes_in_principle</t>
        </is>
      </c>
    </row>
    <row r="288">
      <c r="A288" s="17">
        <f>IF(B288="","",B288+(2*1000+87)/10000000)</f>
        <v/>
      </c>
      <c r="B288" s="23">
        <f>IF(Office_Log!AX88=1,Office_Log!G88,"")</f>
        <v/>
      </c>
      <c r="C288" s="17">
        <f>IF(B288="","","office")</f>
        <v/>
      </c>
      <c r="D288" s="17">
        <f>IF(B288="","",Office_Log!$A88&amp;"")</f>
        <v/>
      </c>
      <c r="E288" s="17">
        <f>IF(B288="","",IF(Office_Log!B88="","",Office_Log!B88&amp;""))</f>
        <v/>
      </c>
      <c r="F288" s="17">
        <f>IF(B288="","","yes_in_principle")</f>
        <v/>
      </c>
      <c r="G288" s="17">
        <f>IF(B288="","","")</f>
        <v/>
      </c>
      <c r="H288" s="17">
        <f>IF(B288="","","")</f>
        <v/>
      </c>
      <c r="I288" s="17">
        <f>IF(B288="","","")</f>
        <v/>
      </c>
      <c r="J288" s="17">
        <f>IF(B288="","","owner: "&amp;Office_Log!AB88&amp;"; window: "&amp;Office_Log!AD88)</f>
        <v/>
      </c>
      <c r="K288" t="inlineStr">
        <is>
          <t>office yes_in_principle</t>
        </is>
      </c>
    </row>
    <row r="289">
      <c r="A289" s="17">
        <f>IF(B289="","",B289+(2*1000+88)/10000000)</f>
        <v/>
      </c>
      <c r="B289" s="23">
        <f>IF(Office_Log!AX89=1,Office_Log!G89,"")</f>
        <v/>
      </c>
      <c r="C289" s="17">
        <f>IF(B289="","","office")</f>
        <v/>
      </c>
      <c r="D289" s="17">
        <f>IF(B289="","",Office_Log!$A89&amp;"")</f>
        <v/>
      </c>
      <c r="E289" s="17">
        <f>IF(B289="","",IF(Office_Log!B89="","",Office_Log!B89&amp;""))</f>
        <v/>
      </c>
      <c r="F289" s="17">
        <f>IF(B289="","","yes_in_principle")</f>
        <v/>
      </c>
      <c r="G289" s="17">
        <f>IF(B289="","","")</f>
        <v/>
      </c>
      <c r="H289" s="17">
        <f>IF(B289="","","")</f>
        <v/>
      </c>
      <c r="I289" s="17">
        <f>IF(B289="","","")</f>
        <v/>
      </c>
      <c r="J289" s="17">
        <f>IF(B289="","","owner: "&amp;Office_Log!AB89&amp;"; window: "&amp;Office_Log!AD89)</f>
        <v/>
      </c>
      <c r="K289" t="inlineStr">
        <is>
          <t>office yes_in_principle</t>
        </is>
      </c>
    </row>
    <row r="290">
      <c r="A290" s="17">
        <f>IF(B290="","",B290+(2*1000+89)/10000000)</f>
        <v/>
      </c>
      <c r="B290" s="23">
        <f>IF(Office_Log!AX90=1,Office_Log!G90,"")</f>
        <v/>
      </c>
      <c r="C290" s="17">
        <f>IF(B290="","","office")</f>
        <v/>
      </c>
      <c r="D290" s="17">
        <f>IF(B290="","",Office_Log!$A90&amp;"")</f>
        <v/>
      </c>
      <c r="E290" s="17">
        <f>IF(B290="","",IF(Office_Log!B90="","",Office_Log!B90&amp;""))</f>
        <v/>
      </c>
      <c r="F290" s="17">
        <f>IF(B290="","","yes_in_principle")</f>
        <v/>
      </c>
      <c r="G290" s="17">
        <f>IF(B290="","","")</f>
        <v/>
      </c>
      <c r="H290" s="17">
        <f>IF(B290="","","")</f>
        <v/>
      </c>
      <c r="I290" s="17">
        <f>IF(B290="","","")</f>
        <v/>
      </c>
      <c r="J290" s="17">
        <f>IF(B290="","","owner: "&amp;Office_Log!AB90&amp;"; window: "&amp;Office_Log!AD90)</f>
        <v/>
      </c>
      <c r="K290" t="inlineStr">
        <is>
          <t>office yes_in_principle</t>
        </is>
      </c>
    </row>
    <row r="291">
      <c r="A291" s="17">
        <f>IF(B291="","",B291+(2*1000+90)/10000000)</f>
        <v/>
      </c>
      <c r="B291" s="23">
        <f>IF(Office_Log!AX91=1,Office_Log!G91,"")</f>
        <v/>
      </c>
      <c r="C291" s="17">
        <f>IF(B291="","","office")</f>
        <v/>
      </c>
      <c r="D291" s="17">
        <f>IF(B291="","",Office_Log!$A91&amp;"")</f>
        <v/>
      </c>
      <c r="E291" s="17">
        <f>IF(B291="","",IF(Office_Log!B91="","",Office_Log!B91&amp;""))</f>
        <v/>
      </c>
      <c r="F291" s="17">
        <f>IF(B291="","","yes_in_principle")</f>
        <v/>
      </c>
      <c r="G291" s="17">
        <f>IF(B291="","","")</f>
        <v/>
      </c>
      <c r="H291" s="17">
        <f>IF(B291="","","")</f>
        <v/>
      </c>
      <c r="I291" s="17">
        <f>IF(B291="","","")</f>
        <v/>
      </c>
      <c r="J291" s="17">
        <f>IF(B291="","","owner: "&amp;Office_Log!AB91&amp;"; window: "&amp;Office_Log!AD91)</f>
        <v/>
      </c>
      <c r="K291" t="inlineStr">
        <is>
          <t>office yes_in_principle</t>
        </is>
      </c>
    </row>
    <row r="292">
      <c r="A292" s="17">
        <f>IF(B292="","",B292+(2*1000+91)/10000000)</f>
        <v/>
      </c>
      <c r="B292" s="23">
        <f>IF(Office_Log!AX92=1,Office_Log!G92,"")</f>
        <v/>
      </c>
      <c r="C292" s="17">
        <f>IF(B292="","","office")</f>
        <v/>
      </c>
      <c r="D292" s="17">
        <f>IF(B292="","",Office_Log!$A92&amp;"")</f>
        <v/>
      </c>
      <c r="E292" s="17">
        <f>IF(B292="","",IF(Office_Log!B92="","",Office_Log!B92&amp;""))</f>
        <v/>
      </c>
      <c r="F292" s="17">
        <f>IF(B292="","","yes_in_principle")</f>
        <v/>
      </c>
      <c r="G292" s="17">
        <f>IF(B292="","","")</f>
        <v/>
      </c>
      <c r="H292" s="17">
        <f>IF(B292="","","")</f>
        <v/>
      </c>
      <c r="I292" s="17">
        <f>IF(B292="","","")</f>
        <v/>
      </c>
      <c r="J292" s="17">
        <f>IF(B292="","","owner: "&amp;Office_Log!AB92&amp;"; window: "&amp;Office_Log!AD92)</f>
        <v/>
      </c>
      <c r="K292" t="inlineStr">
        <is>
          <t>office yes_in_principle</t>
        </is>
      </c>
    </row>
    <row r="293">
      <c r="A293" s="17">
        <f>IF(B293="","",B293+(2*1000+92)/10000000)</f>
        <v/>
      </c>
      <c r="B293" s="23">
        <f>IF(Office_Log!AX93=1,Office_Log!G93,"")</f>
        <v/>
      </c>
      <c r="C293" s="17">
        <f>IF(B293="","","office")</f>
        <v/>
      </c>
      <c r="D293" s="17">
        <f>IF(B293="","",Office_Log!$A93&amp;"")</f>
        <v/>
      </c>
      <c r="E293" s="17">
        <f>IF(B293="","",IF(Office_Log!B93="","",Office_Log!B93&amp;""))</f>
        <v/>
      </c>
      <c r="F293" s="17">
        <f>IF(B293="","","yes_in_principle")</f>
        <v/>
      </c>
      <c r="G293" s="17">
        <f>IF(B293="","","")</f>
        <v/>
      </c>
      <c r="H293" s="17">
        <f>IF(B293="","","")</f>
        <v/>
      </c>
      <c r="I293" s="17">
        <f>IF(B293="","","")</f>
        <v/>
      </c>
      <c r="J293" s="17">
        <f>IF(B293="","","owner: "&amp;Office_Log!AB93&amp;"; window: "&amp;Office_Log!AD93)</f>
        <v/>
      </c>
      <c r="K293" t="inlineStr">
        <is>
          <t>office yes_in_principle</t>
        </is>
      </c>
    </row>
    <row r="294">
      <c r="A294" s="17">
        <f>IF(B294="","",B294+(2*1000+93)/10000000)</f>
        <v/>
      </c>
      <c r="B294" s="23">
        <f>IF(Office_Log!AX94=1,Office_Log!G94,"")</f>
        <v/>
      </c>
      <c r="C294" s="17">
        <f>IF(B294="","","office")</f>
        <v/>
      </c>
      <c r="D294" s="17">
        <f>IF(B294="","",Office_Log!$A94&amp;"")</f>
        <v/>
      </c>
      <c r="E294" s="17">
        <f>IF(B294="","",IF(Office_Log!B94="","",Office_Log!B94&amp;""))</f>
        <v/>
      </c>
      <c r="F294" s="17">
        <f>IF(B294="","","yes_in_principle")</f>
        <v/>
      </c>
      <c r="G294" s="17">
        <f>IF(B294="","","")</f>
        <v/>
      </c>
      <c r="H294" s="17">
        <f>IF(B294="","","")</f>
        <v/>
      </c>
      <c r="I294" s="17">
        <f>IF(B294="","","")</f>
        <v/>
      </c>
      <c r="J294" s="17">
        <f>IF(B294="","","owner: "&amp;Office_Log!AB94&amp;"; window: "&amp;Office_Log!AD94)</f>
        <v/>
      </c>
      <c r="K294" t="inlineStr">
        <is>
          <t>office yes_in_principle</t>
        </is>
      </c>
    </row>
    <row r="295">
      <c r="A295" s="17">
        <f>IF(B295="","",B295+(2*1000+94)/10000000)</f>
        <v/>
      </c>
      <c r="B295" s="23">
        <f>IF(Office_Log!AX95=1,Office_Log!G95,"")</f>
        <v/>
      </c>
      <c r="C295" s="17">
        <f>IF(B295="","","office")</f>
        <v/>
      </c>
      <c r="D295" s="17">
        <f>IF(B295="","",Office_Log!$A95&amp;"")</f>
        <v/>
      </c>
      <c r="E295" s="17">
        <f>IF(B295="","",IF(Office_Log!B95="","",Office_Log!B95&amp;""))</f>
        <v/>
      </c>
      <c r="F295" s="17">
        <f>IF(B295="","","yes_in_principle")</f>
        <v/>
      </c>
      <c r="G295" s="17">
        <f>IF(B295="","","")</f>
        <v/>
      </c>
      <c r="H295" s="17">
        <f>IF(B295="","","")</f>
        <v/>
      </c>
      <c r="I295" s="17">
        <f>IF(B295="","","")</f>
        <v/>
      </c>
      <c r="J295" s="17">
        <f>IF(B295="","","owner: "&amp;Office_Log!AB95&amp;"; window: "&amp;Office_Log!AD95)</f>
        <v/>
      </c>
      <c r="K295" t="inlineStr">
        <is>
          <t>office yes_in_principle</t>
        </is>
      </c>
    </row>
    <row r="296">
      <c r="A296" s="17">
        <f>IF(B296="","",B296+(2*1000+95)/10000000)</f>
        <v/>
      </c>
      <c r="B296" s="23">
        <f>IF(Office_Log!AX96=1,Office_Log!G96,"")</f>
        <v/>
      </c>
      <c r="C296" s="17">
        <f>IF(B296="","","office")</f>
        <v/>
      </c>
      <c r="D296" s="17">
        <f>IF(B296="","",Office_Log!$A96&amp;"")</f>
        <v/>
      </c>
      <c r="E296" s="17">
        <f>IF(B296="","",IF(Office_Log!B96="","",Office_Log!B96&amp;""))</f>
        <v/>
      </c>
      <c r="F296" s="17">
        <f>IF(B296="","","yes_in_principle")</f>
        <v/>
      </c>
      <c r="G296" s="17">
        <f>IF(B296="","","")</f>
        <v/>
      </c>
      <c r="H296" s="17">
        <f>IF(B296="","","")</f>
        <v/>
      </c>
      <c r="I296" s="17">
        <f>IF(B296="","","")</f>
        <v/>
      </c>
      <c r="J296" s="17">
        <f>IF(B296="","","owner: "&amp;Office_Log!AB96&amp;"; window: "&amp;Office_Log!AD96)</f>
        <v/>
      </c>
      <c r="K296" t="inlineStr">
        <is>
          <t>office yes_in_principle</t>
        </is>
      </c>
    </row>
    <row r="297">
      <c r="A297" s="17">
        <f>IF(B297="","",B297+(2*1000+96)/10000000)</f>
        <v/>
      </c>
      <c r="B297" s="23">
        <f>IF(Office_Log!AX97=1,Office_Log!G97,"")</f>
        <v/>
      </c>
      <c r="C297" s="17">
        <f>IF(B297="","","office")</f>
        <v/>
      </c>
      <c r="D297" s="17">
        <f>IF(B297="","",Office_Log!$A97&amp;"")</f>
        <v/>
      </c>
      <c r="E297" s="17">
        <f>IF(B297="","",IF(Office_Log!B97="","",Office_Log!B97&amp;""))</f>
        <v/>
      </c>
      <c r="F297" s="17">
        <f>IF(B297="","","yes_in_principle")</f>
        <v/>
      </c>
      <c r="G297" s="17">
        <f>IF(B297="","","")</f>
        <v/>
      </c>
      <c r="H297" s="17">
        <f>IF(B297="","","")</f>
        <v/>
      </c>
      <c r="I297" s="17">
        <f>IF(B297="","","")</f>
        <v/>
      </c>
      <c r="J297" s="17">
        <f>IF(B297="","","owner: "&amp;Office_Log!AB97&amp;"; window: "&amp;Office_Log!AD97)</f>
        <v/>
      </c>
      <c r="K297" t="inlineStr">
        <is>
          <t>office yes_in_principle</t>
        </is>
      </c>
    </row>
    <row r="298">
      <c r="A298" s="17">
        <f>IF(B298="","",B298+(2*1000+97)/10000000)</f>
        <v/>
      </c>
      <c r="B298" s="23">
        <f>IF(Office_Log!AX98=1,Office_Log!G98,"")</f>
        <v/>
      </c>
      <c r="C298" s="17">
        <f>IF(B298="","","office")</f>
        <v/>
      </c>
      <c r="D298" s="17">
        <f>IF(B298="","",Office_Log!$A98&amp;"")</f>
        <v/>
      </c>
      <c r="E298" s="17">
        <f>IF(B298="","",IF(Office_Log!B98="","",Office_Log!B98&amp;""))</f>
        <v/>
      </c>
      <c r="F298" s="17">
        <f>IF(B298="","","yes_in_principle")</f>
        <v/>
      </c>
      <c r="G298" s="17">
        <f>IF(B298="","","")</f>
        <v/>
      </c>
      <c r="H298" s="17">
        <f>IF(B298="","","")</f>
        <v/>
      </c>
      <c r="I298" s="17">
        <f>IF(B298="","","")</f>
        <v/>
      </c>
      <c r="J298" s="17">
        <f>IF(B298="","","owner: "&amp;Office_Log!AB98&amp;"; window: "&amp;Office_Log!AD98)</f>
        <v/>
      </c>
      <c r="K298" t="inlineStr">
        <is>
          <t>office yes_in_principle</t>
        </is>
      </c>
    </row>
    <row r="299">
      <c r="A299" s="17">
        <f>IF(B299="","",B299+(2*1000+98)/10000000)</f>
        <v/>
      </c>
      <c r="B299" s="23">
        <f>IF(Office_Log!AX99=1,Office_Log!G99,"")</f>
        <v/>
      </c>
      <c r="C299" s="17">
        <f>IF(B299="","","office")</f>
        <v/>
      </c>
      <c r="D299" s="17">
        <f>IF(B299="","",Office_Log!$A99&amp;"")</f>
        <v/>
      </c>
      <c r="E299" s="17">
        <f>IF(B299="","",IF(Office_Log!B99="","",Office_Log!B99&amp;""))</f>
        <v/>
      </c>
      <c r="F299" s="17">
        <f>IF(B299="","","yes_in_principle")</f>
        <v/>
      </c>
      <c r="G299" s="17">
        <f>IF(B299="","","")</f>
        <v/>
      </c>
      <c r="H299" s="17">
        <f>IF(B299="","","")</f>
        <v/>
      </c>
      <c r="I299" s="17">
        <f>IF(B299="","","")</f>
        <v/>
      </c>
      <c r="J299" s="17">
        <f>IF(B299="","","owner: "&amp;Office_Log!AB99&amp;"; window: "&amp;Office_Log!AD99)</f>
        <v/>
      </c>
      <c r="K299" t="inlineStr">
        <is>
          <t>office yes_in_principle</t>
        </is>
      </c>
    </row>
    <row r="300">
      <c r="A300" s="17">
        <f>IF(B300="","",B300+(2*1000+99)/10000000)</f>
        <v/>
      </c>
      <c r="B300" s="23">
        <f>IF(Office_Log!AX100=1,Office_Log!G100,"")</f>
        <v/>
      </c>
      <c r="C300" s="17">
        <f>IF(B300="","","office")</f>
        <v/>
      </c>
      <c r="D300" s="17">
        <f>IF(B300="","",Office_Log!$A100&amp;"")</f>
        <v/>
      </c>
      <c r="E300" s="17">
        <f>IF(B300="","",IF(Office_Log!B100="","",Office_Log!B100&amp;""))</f>
        <v/>
      </c>
      <c r="F300" s="17">
        <f>IF(B300="","","yes_in_principle")</f>
        <v/>
      </c>
      <c r="G300" s="17">
        <f>IF(B300="","","")</f>
        <v/>
      </c>
      <c r="H300" s="17">
        <f>IF(B300="","","")</f>
        <v/>
      </c>
      <c r="I300" s="17">
        <f>IF(B300="","","")</f>
        <v/>
      </c>
      <c r="J300" s="17">
        <f>IF(B300="","","owner: "&amp;Office_Log!AB100&amp;"; window: "&amp;Office_Log!AD100)</f>
        <v/>
      </c>
      <c r="K300" t="inlineStr">
        <is>
          <t>office yes_in_principle</t>
        </is>
      </c>
    </row>
    <row r="301">
      <c r="A301" s="17">
        <f>IF(B301="","",B301+(2*1000+100)/10000000)</f>
        <v/>
      </c>
      <c r="B301" s="23">
        <f>IF(Office_Log!AX101=1,Office_Log!G101,"")</f>
        <v/>
      </c>
      <c r="C301" s="17">
        <f>IF(B301="","","office")</f>
        <v/>
      </c>
      <c r="D301" s="17">
        <f>IF(B301="","",Office_Log!$A101&amp;"")</f>
        <v/>
      </c>
      <c r="E301" s="17">
        <f>IF(B301="","",IF(Office_Log!B101="","",Office_Log!B101&amp;""))</f>
        <v/>
      </c>
      <c r="F301" s="17">
        <f>IF(B301="","","yes_in_principle")</f>
        <v/>
      </c>
      <c r="G301" s="17">
        <f>IF(B301="","","")</f>
        <v/>
      </c>
      <c r="H301" s="17">
        <f>IF(B301="","","")</f>
        <v/>
      </c>
      <c r="I301" s="17">
        <f>IF(B301="","","")</f>
        <v/>
      </c>
      <c r="J301" s="17">
        <f>IF(B301="","","owner: "&amp;Office_Log!AB101&amp;"; window: "&amp;Office_Log!AD101)</f>
        <v/>
      </c>
      <c r="K301" t="inlineStr">
        <is>
          <t>office yes_in_principle</t>
        </is>
      </c>
    </row>
    <row r="302">
      <c r="A302" s="17">
        <f>IF(B302="","",B302+(2*1000+101)/10000000)</f>
        <v/>
      </c>
      <c r="B302" s="23">
        <f>IF(Office_Log!AX102=1,Office_Log!G102,"")</f>
        <v/>
      </c>
      <c r="C302" s="17">
        <f>IF(B302="","","office")</f>
        <v/>
      </c>
      <c r="D302" s="17">
        <f>IF(B302="","",Office_Log!$A102&amp;"")</f>
        <v/>
      </c>
      <c r="E302" s="17">
        <f>IF(B302="","",IF(Office_Log!B102="","",Office_Log!B102&amp;""))</f>
        <v/>
      </c>
      <c r="F302" s="17">
        <f>IF(B302="","","yes_in_principle")</f>
        <v/>
      </c>
      <c r="G302" s="17">
        <f>IF(B302="","","")</f>
        <v/>
      </c>
      <c r="H302" s="17">
        <f>IF(B302="","","")</f>
        <v/>
      </c>
      <c r="I302" s="17">
        <f>IF(B302="","","")</f>
        <v/>
      </c>
      <c r="J302" s="17">
        <f>IF(B302="","","owner: "&amp;Office_Log!AB102&amp;"; window: "&amp;Office_Log!AD102)</f>
        <v/>
      </c>
      <c r="K302" t="inlineStr">
        <is>
          <t>office yes_in_principle</t>
        </is>
      </c>
    </row>
    <row r="303">
      <c r="A303" s="17">
        <f>IF(B303="","",B303+(2*1000+102)/10000000)</f>
        <v/>
      </c>
      <c r="B303" s="23">
        <f>IF(Office_Log!AX103=1,Office_Log!G103,"")</f>
        <v/>
      </c>
      <c r="C303" s="17">
        <f>IF(B303="","","office")</f>
        <v/>
      </c>
      <c r="D303" s="17">
        <f>IF(B303="","",Office_Log!$A103&amp;"")</f>
        <v/>
      </c>
      <c r="E303" s="17">
        <f>IF(B303="","",IF(Office_Log!B103="","",Office_Log!B103&amp;""))</f>
        <v/>
      </c>
      <c r="F303" s="17">
        <f>IF(B303="","","yes_in_principle")</f>
        <v/>
      </c>
      <c r="G303" s="17">
        <f>IF(B303="","","")</f>
        <v/>
      </c>
      <c r="H303" s="17">
        <f>IF(B303="","","")</f>
        <v/>
      </c>
      <c r="I303" s="17">
        <f>IF(B303="","","")</f>
        <v/>
      </c>
      <c r="J303" s="17">
        <f>IF(B303="","","owner: "&amp;Office_Log!AB103&amp;"; window: "&amp;Office_Log!AD103)</f>
        <v/>
      </c>
      <c r="K303" t="inlineStr">
        <is>
          <t>office yes_in_principle</t>
        </is>
      </c>
    </row>
    <row r="304">
      <c r="A304" s="17">
        <f>IF(B304="","",B304+(2*1000+103)/10000000)</f>
        <v/>
      </c>
      <c r="B304" s="23">
        <f>IF(Office_Log!AX104=1,Office_Log!G104,"")</f>
        <v/>
      </c>
      <c r="C304" s="17">
        <f>IF(B304="","","office")</f>
        <v/>
      </c>
      <c r="D304" s="17">
        <f>IF(B304="","",Office_Log!$A104&amp;"")</f>
        <v/>
      </c>
      <c r="E304" s="17">
        <f>IF(B304="","",IF(Office_Log!B104="","",Office_Log!B104&amp;""))</f>
        <v/>
      </c>
      <c r="F304" s="17">
        <f>IF(B304="","","yes_in_principle")</f>
        <v/>
      </c>
      <c r="G304" s="17">
        <f>IF(B304="","","")</f>
        <v/>
      </c>
      <c r="H304" s="17">
        <f>IF(B304="","","")</f>
        <v/>
      </c>
      <c r="I304" s="17">
        <f>IF(B304="","","")</f>
        <v/>
      </c>
      <c r="J304" s="17">
        <f>IF(B304="","","owner: "&amp;Office_Log!AB104&amp;"; window: "&amp;Office_Log!AD104)</f>
        <v/>
      </c>
      <c r="K304" t="inlineStr">
        <is>
          <t>office yes_in_principle</t>
        </is>
      </c>
    </row>
    <row r="305">
      <c r="A305" s="17">
        <f>IF(B305="","",B305+(2*1000+104)/10000000)</f>
        <v/>
      </c>
      <c r="B305" s="23">
        <f>IF(Office_Log!AX105=1,Office_Log!G105,"")</f>
        <v/>
      </c>
      <c r="C305" s="17">
        <f>IF(B305="","","office")</f>
        <v/>
      </c>
      <c r="D305" s="17">
        <f>IF(B305="","",Office_Log!$A105&amp;"")</f>
        <v/>
      </c>
      <c r="E305" s="17">
        <f>IF(B305="","",IF(Office_Log!B105="","",Office_Log!B105&amp;""))</f>
        <v/>
      </c>
      <c r="F305" s="17">
        <f>IF(B305="","","yes_in_principle")</f>
        <v/>
      </c>
      <c r="G305" s="17">
        <f>IF(B305="","","")</f>
        <v/>
      </c>
      <c r="H305" s="17">
        <f>IF(B305="","","")</f>
        <v/>
      </c>
      <c r="I305" s="17">
        <f>IF(B305="","","")</f>
        <v/>
      </c>
      <c r="J305" s="17">
        <f>IF(B305="","","owner: "&amp;Office_Log!AB105&amp;"; window: "&amp;Office_Log!AD105)</f>
        <v/>
      </c>
      <c r="K305" t="inlineStr">
        <is>
          <t>office yes_in_principle</t>
        </is>
      </c>
    </row>
    <row r="306">
      <c r="A306" s="17">
        <f>IF(B306="","",B306+(2*1000+105)/10000000)</f>
        <v/>
      </c>
      <c r="B306" s="23">
        <f>IF(Office_Log!AX106=1,Office_Log!G106,"")</f>
        <v/>
      </c>
      <c r="C306" s="17">
        <f>IF(B306="","","office")</f>
        <v/>
      </c>
      <c r="D306" s="17">
        <f>IF(B306="","",Office_Log!$A106&amp;"")</f>
        <v/>
      </c>
      <c r="E306" s="17">
        <f>IF(B306="","",IF(Office_Log!B106="","",Office_Log!B106&amp;""))</f>
        <v/>
      </c>
      <c r="F306" s="17">
        <f>IF(B306="","","yes_in_principle")</f>
        <v/>
      </c>
      <c r="G306" s="17">
        <f>IF(B306="","","")</f>
        <v/>
      </c>
      <c r="H306" s="17">
        <f>IF(B306="","","")</f>
        <v/>
      </c>
      <c r="I306" s="17">
        <f>IF(B306="","","")</f>
        <v/>
      </c>
      <c r="J306" s="17">
        <f>IF(B306="","","owner: "&amp;Office_Log!AB106&amp;"; window: "&amp;Office_Log!AD106)</f>
        <v/>
      </c>
      <c r="K306" t="inlineStr">
        <is>
          <t>office yes_in_principle</t>
        </is>
      </c>
    </row>
    <row r="307">
      <c r="A307" s="17">
        <f>IF(B307="","",B307+(2*1000+106)/10000000)</f>
        <v/>
      </c>
      <c r="B307" s="23">
        <f>IF(Office_Log!AX107=1,Office_Log!G107,"")</f>
        <v/>
      </c>
      <c r="C307" s="17">
        <f>IF(B307="","","office")</f>
        <v/>
      </c>
      <c r="D307" s="17">
        <f>IF(B307="","",Office_Log!$A107&amp;"")</f>
        <v/>
      </c>
      <c r="E307" s="17">
        <f>IF(B307="","",IF(Office_Log!B107="","",Office_Log!B107&amp;""))</f>
        <v/>
      </c>
      <c r="F307" s="17">
        <f>IF(B307="","","yes_in_principle")</f>
        <v/>
      </c>
      <c r="G307" s="17">
        <f>IF(B307="","","")</f>
        <v/>
      </c>
      <c r="H307" s="17">
        <f>IF(B307="","","")</f>
        <v/>
      </c>
      <c r="I307" s="17">
        <f>IF(B307="","","")</f>
        <v/>
      </c>
      <c r="J307" s="17">
        <f>IF(B307="","","owner: "&amp;Office_Log!AB107&amp;"; window: "&amp;Office_Log!AD107)</f>
        <v/>
      </c>
      <c r="K307" t="inlineStr">
        <is>
          <t>office yes_in_principle</t>
        </is>
      </c>
    </row>
    <row r="308">
      <c r="A308" s="17">
        <f>IF(B308="","",B308+(2*1000+107)/10000000)</f>
        <v/>
      </c>
      <c r="B308" s="23">
        <f>IF(Office_Log!AX108=1,Office_Log!G108,"")</f>
        <v/>
      </c>
      <c r="C308" s="17">
        <f>IF(B308="","","office")</f>
        <v/>
      </c>
      <c r="D308" s="17">
        <f>IF(B308="","",Office_Log!$A108&amp;"")</f>
        <v/>
      </c>
      <c r="E308" s="17">
        <f>IF(B308="","",IF(Office_Log!B108="","",Office_Log!B108&amp;""))</f>
        <v/>
      </c>
      <c r="F308" s="17">
        <f>IF(B308="","","yes_in_principle")</f>
        <v/>
      </c>
      <c r="G308" s="17">
        <f>IF(B308="","","")</f>
        <v/>
      </c>
      <c r="H308" s="17">
        <f>IF(B308="","","")</f>
        <v/>
      </c>
      <c r="I308" s="17">
        <f>IF(B308="","","")</f>
        <v/>
      </c>
      <c r="J308" s="17">
        <f>IF(B308="","","owner: "&amp;Office_Log!AB108&amp;"; window: "&amp;Office_Log!AD108)</f>
        <v/>
      </c>
      <c r="K308" t="inlineStr">
        <is>
          <t>office yes_in_principle</t>
        </is>
      </c>
    </row>
    <row r="309">
      <c r="A309" s="17">
        <f>IF(B309="","",B309+(2*1000+108)/10000000)</f>
        <v/>
      </c>
      <c r="B309" s="23">
        <f>IF(Office_Log!AX109=1,Office_Log!G109,"")</f>
        <v/>
      </c>
      <c r="C309" s="17">
        <f>IF(B309="","","office")</f>
        <v/>
      </c>
      <c r="D309" s="17">
        <f>IF(B309="","",Office_Log!$A109&amp;"")</f>
        <v/>
      </c>
      <c r="E309" s="17">
        <f>IF(B309="","",IF(Office_Log!B109="","",Office_Log!B109&amp;""))</f>
        <v/>
      </c>
      <c r="F309" s="17">
        <f>IF(B309="","","yes_in_principle")</f>
        <v/>
      </c>
      <c r="G309" s="17">
        <f>IF(B309="","","")</f>
        <v/>
      </c>
      <c r="H309" s="17">
        <f>IF(B309="","","")</f>
        <v/>
      </c>
      <c r="I309" s="17">
        <f>IF(B309="","","")</f>
        <v/>
      </c>
      <c r="J309" s="17">
        <f>IF(B309="","","owner: "&amp;Office_Log!AB109&amp;"; window: "&amp;Office_Log!AD109)</f>
        <v/>
      </c>
      <c r="K309" t="inlineStr">
        <is>
          <t>office yes_in_principle</t>
        </is>
      </c>
    </row>
    <row r="310">
      <c r="A310" s="17">
        <f>IF(B310="","",B310+(2*1000+109)/10000000)</f>
        <v/>
      </c>
      <c r="B310" s="23">
        <f>IF(Office_Log!AX110=1,Office_Log!G110,"")</f>
        <v/>
      </c>
      <c r="C310" s="17">
        <f>IF(B310="","","office")</f>
        <v/>
      </c>
      <c r="D310" s="17">
        <f>IF(B310="","",Office_Log!$A110&amp;"")</f>
        <v/>
      </c>
      <c r="E310" s="17">
        <f>IF(B310="","",IF(Office_Log!B110="","",Office_Log!B110&amp;""))</f>
        <v/>
      </c>
      <c r="F310" s="17">
        <f>IF(B310="","","yes_in_principle")</f>
        <v/>
      </c>
      <c r="G310" s="17">
        <f>IF(B310="","","")</f>
        <v/>
      </c>
      <c r="H310" s="17">
        <f>IF(B310="","","")</f>
        <v/>
      </c>
      <c r="I310" s="17">
        <f>IF(B310="","","")</f>
        <v/>
      </c>
      <c r="J310" s="17">
        <f>IF(B310="","","owner: "&amp;Office_Log!AB110&amp;"; window: "&amp;Office_Log!AD110)</f>
        <v/>
      </c>
      <c r="K310" t="inlineStr">
        <is>
          <t>office yes_in_principle</t>
        </is>
      </c>
    </row>
    <row r="311">
      <c r="A311" s="17">
        <f>IF(B311="","",B311+(2*1000+110)/10000000)</f>
        <v/>
      </c>
      <c r="B311" s="23">
        <f>IF(Office_Log!AX111=1,Office_Log!G111,"")</f>
        <v/>
      </c>
      <c r="C311" s="17">
        <f>IF(B311="","","office")</f>
        <v/>
      </c>
      <c r="D311" s="17">
        <f>IF(B311="","",Office_Log!$A111&amp;"")</f>
        <v/>
      </c>
      <c r="E311" s="17">
        <f>IF(B311="","",IF(Office_Log!B111="","",Office_Log!B111&amp;""))</f>
        <v/>
      </c>
      <c r="F311" s="17">
        <f>IF(B311="","","yes_in_principle")</f>
        <v/>
      </c>
      <c r="G311" s="17">
        <f>IF(B311="","","")</f>
        <v/>
      </c>
      <c r="H311" s="17">
        <f>IF(B311="","","")</f>
        <v/>
      </c>
      <c r="I311" s="17">
        <f>IF(B311="","","")</f>
        <v/>
      </c>
      <c r="J311" s="17">
        <f>IF(B311="","","owner: "&amp;Office_Log!AB111&amp;"; window: "&amp;Office_Log!AD111)</f>
        <v/>
      </c>
      <c r="K311" t="inlineStr">
        <is>
          <t>office yes_in_principle</t>
        </is>
      </c>
    </row>
    <row r="312">
      <c r="A312" s="17">
        <f>IF(B312="","",B312+(2*1000+111)/10000000)</f>
        <v/>
      </c>
      <c r="B312" s="23">
        <f>IF(Office_Log!AX112=1,Office_Log!G112,"")</f>
        <v/>
      </c>
      <c r="C312" s="17">
        <f>IF(B312="","","office")</f>
        <v/>
      </c>
      <c r="D312" s="17">
        <f>IF(B312="","",Office_Log!$A112&amp;"")</f>
        <v/>
      </c>
      <c r="E312" s="17">
        <f>IF(B312="","",IF(Office_Log!B112="","",Office_Log!B112&amp;""))</f>
        <v/>
      </c>
      <c r="F312" s="17">
        <f>IF(B312="","","yes_in_principle")</f>
        <v/>
      </c>
      <c r="G312" s="17">
        <f>IF(B312="","","")</f>
        <v/>
      </c>
      <c r="H312" s="17">
        <f>IF(B312="","","")</f>
        <v/>
      </c>
      <c r="I312" s="17">
        <f>IF(B312="","","")</f>
        <v/>
      </c>
      <c r="J312" s="17">
        <f>IF(B312="","","owner: "&amp;Office_Log!AB112&amp;"; window: "&amp;Office_Log!AD112)</f>
        <v/>
      </c>
      <c r="K312" t="inlineStr">
        <is>
          <t>office yes_in_principle</t>
        </is>
      </c>
    </row>
    <row r="313">
      <c r="A313" s="17">
        <f>IF(B313="","",B313+(2*1000+112)/10000000)</f>
        <v/>
      </c>
      <c r="B313" s="23">
        <f>IF(Office_Log!AX113=1,Office_Log!G113,"")</f>
        <v/>
      </c>
      <c r="C313" s="17">
        <f>IF(B313="","","office")</f>
        <v/>
      </c>
      <c r="D313" s="17">
        <f>IF(B313="","",Office_Log!$A113&amp;"")</f>
        <v/>
      </c>
      <c r="E313" s="17">
        <f>IF(B313="","",IF(Office_Log!B113="","",Office_Log!B113&amp;""))</f>
        <v/>
      </c>
      <c r="F313" s="17">
        <f>IF(B313="","","yes_in_principle")</f>
        <v/>
      </c>
      <c r="G313" s="17">
        <f>IF(B313="","","")</f>
        <v/>
      </c>
      <c r="H313" s="17">
        <f>IF(B313="","","")</f>
        <v/>
      </c>
      <c r="I313" s="17">
        <f>IF(B313="","","")</f>
        <v/>
      </c>
      <c r="J313" s="17">
        <f>IF(B313="","","owner: "&amp;Office_Log!AB113&amp;"; window: "&amp;Office_Log!AD113)</f>
        <v/>
      </c>
      <c r="K313" t="inlineStr">
        <is>
          <t>office yes_in_principle</t>
        </is>
      </c>
    </row>
    <row r="314">
      <c r="A314" s="17">
        <f>IF(B314="","",B314+(2*1000+113)/10000000)</f>
        <v/>
      </c>
      <c r="B314" s="23">
        <f>IF(Office_Log!AX114=1,Office_Log!G114,"")</f>
        <v/>
      </c>
      <c r="C314" s="17">
        <f>IF(B314="","","office")</f>
        <v/>
      </c>
      <c r="D314" s="17">
        <f>IF(B314="","",Office_Log!$A114&amp;"")</f>
        <v/>
      </c>
      <c r="E314" s="17">
        <f>IF(B314="","",IF(Office_Log!B114="","",Office_Log!B114&amp;""))</f>
        <v/>
      </c>
      <c r="F314" s="17">
        <f>IF(B314="","","yes_in_principle")</f>
        <v/>
      </c>
      <c r="G314" s="17">
        <f>IF(B314="","","")</f>
        <v/>
      </c>
      <c r="H314" s="17">
        <f>IF(B314="","","")</f>
        <v/>
      </c>
      <c r="I314" s="17">
        <f>IF(B314="","","")</f>
        <v/>
      </c>
      <c r="J314" s="17">
        <f>IF(B314="","","owner: "&amp;Office_Log!AB114&amp;"; window: "&amp;Office_Log!AD114)</f>
        <v/>
      </c>
      <c r="K314" t="inlineStr">
        <is>
          <t>office yes_in_principle</t>
        </is>
      </c>
    </row>
    <row r="315">
      <c r="A315" s="17">
        <f>IF(B315="","",B315+(2*1000+114)/10000000)</f>
        <v/>
      </c>
      <c r="B315" s="23">
        <f>IF(Office_Log!AX115=1,Office_Log!G115,"")</f>
        <v/>
      </c>
      <c r="C315" s="17">
        <f>IF(B315="","","office")</f>
        <v/>
      </c>
      <c r="D315" s="17">
        <f>IF(B315="","",Office_Log!$A115&amp;"")</f>
        <v/>
      </c>
      <c r="E315" s="17">
        <f>IF(B315="","",IF(Office_Log!B115="","",Office_Log!B115&amp;""))</f>
        <v/>
      </c>
      <c r="F315" s="17">
        <f>IF(B315="","","yes_in_principle")</f>
        <v/>
      </c>
      <c r="G315" s="17">
        <f>IF(B315="","","")</f>
        <v/>
      </c>
      <c r="H315" s="17">
        <f>IF(B315="","","")</f>
        <v/>
      </c>
      <c r="I315" s="17">
        <f>IF(B315="","","")</f>
        <v/>
      </c>
      <c r="J315" s="17">
        <f>IF(B315="","","owner: "&amp;Office_Log!AB115&amp;"; window: "&amp;Office_Log!AD115)</f>
        <v/>
      </c>
      <c r="K315" t="inlineStr">
        <is>
          <t>office yes_in_principle</t>
        </is>
      </c>
    </row>
    <row r="316">
      <c r="A316" s="17">
        <f>IF(B316="","",B316+(2*1000+115)/10000000)</f>
        <v/>
      </c>
      <c r="B316" s="23">
        <f>IF(Office_Log!AX116=1,Office_Log!G116,"")</f>
        <v/>
      </c>
      <c r="C316" s="17">
        <f>IF(B316="","","office")</f>
        <v/>
      </c>
      <c r="D316" s="17">
        <f>IF(B316="","",Office_Log!$A116&amp;"")</f>
        <v/>
      </c>
      <c r="E316" s="17">
        <f>IF(B316="","",IF(Office_Log!B116="","",Office_Log!B116&amp;""))</f>
        <v/>
      </c>
      <c r="F316" s="17">
        <f>IF(B316="","","yes_in_principle")</f>
        <v/>
      </c>
      <c r="G316" s="17">
        <f>IF(B316="","","")</f>
        <v/>
      </c>
      <c r="H316" s="17">
        <f>IF(B316="","","")</f>
        <v/>
      </c>
      <c r="I316" s="17">
        <f>IF(B316="","","")</f>
        <v/>
      </c>
      <c r="J316" s="17">
        <f>IF(B316="","","owner: "&amp;Office_Log!AB116&amp;"; window: "&amp;Office_Log!AD116)</f>
        <v/>
      </c>
      <c r="K316" t="inlineStr">
        <is>
          <t>office yes_in_principle</t>
        </is>
      </c>
    </row>
    <row r="317">
      <c r="A317" s="17">
        <f>IF(B317="","",B317+(2*1000+116)/10000000)</f>
        <v/>
      </c>
      <c r="B317" s="23">
        <f>IF(Office_Log!AX117=1,Office_Log!G117,"")</f>
        <v/>
      </c>
      <c r="C317" s="17">
        <f>IF(B317="","","office")</f>
        <v/>
      </c>
      <c r="D317" s="17">
        <f>IF(B317="","",Office_Log!$A117&amp;"")</f>
        <v/>
      </c>
      <c r="E317" s="17">
        <f>IF(B317="","",IF(Office_Log!B117="","",Office_Log!B117&amp;""))</f>
        <v/>
      </c>
      <c r="F317" s="17">
        <f>IF(B317="","","yes_in_principle")</f>
        <v/>
      </c>
      <c r="G317" s="17">
        <f>IF(B317="","","")</f>
        <v/>
      </c>
      <c r="H317" s="17">
        <f>IF(B317="","","")</f>
        <v/>
      </c>
      <c r="I317" s="17">
        <f>IF(B317="","","")</f>
        <v/>
      </c>
      <c r="J317" s="17">
        <f>IF(B317="","","owner: "&amp;Office_Log!AB117&amp;"; window: "&amp;Office_Log!AD117)</f>
        <v/>
      </c>
      <c r="K317" t="inlineStr">
        <is>
          <t>office yes_in_principle</t>
        </is>
      </c>
    </row>
    <row r="318">
      <c r="A318" s="17">
        <f>IF(B318="","",B318+(2*1000+117)/10000000)</f>
        <v/>
      </c>
      <c r="B318" s="23">
        <f>IF(Office_Log!AX118=1,Office_Log!G118,"")</f>
        <v/>
      </c>
      <c r="C318" s="17">
        <f>IF(B318="","","office")</f>
        <v/>
      </c>
      <c r="D318" s="17">
        <f>IF(B318="","",Office_Log!$A118&amp;"")</f>
        <v/>
      </c>
      <c r="E318" s="17">
        <f>IF(B318="","",IF(Office_Log!B118="","",Office_Log!B118&amp;""))</f>
        <v/>
      </c>
      <c r="F318" s="17">
        <f>IF(B318="","","yes_in_principle")</f>
        <v/>
      </c>
      <c r="G318" s="17">
        <f>IF(B318="","","")</f>
        <v/>
      </c>
      <c r="H318" s="17">
        <f>IF(B318="","","")</f>
        <v/>
      </c>
      <c r="I318" s="17">
        <f>IF(B318="","","")</f>
        <v/>
      </c>
      <c r="J318" s="17">
        <f>IF(B318="","","owner: "&amp;Office_Log!AB118&amp;"; window: "&amp;Office_Log!AD118)</f>
        <v/>
      </c>
      <c r="K318" t="inlineStr">
        <is>
          <t>office yes_in_principle</t>
        </is>
      </c>
    </row>
    <row r="319">
      <c r="A319" s="17">
        <f>IF(B319="","",B319+(2*1000+118)/10000000)</f>
        <v/>
      </c>
      <c r="B319" s="23">
        <f>IF(Office_Log!AX119=1,Office_Log!G119,"")</f>
        <v/>
      </c>
      <c r="C319" s="17">
        <f>IF(B319="","","office")</f>
        <v/>
      </c>
      <c r="D319" s="17">
        <f>IF(B319="","",Office_Log!$A119&amp;"")</f>
        <v/>
      </c>
      <c r="E319" s="17">
        <f>IF(B319="","",IF(Office_Log!B119="","",Office_Log!B119&amp;""))</f>
        <v/>
      </c>
      <c r="F319" s="17">
        <f>IF(B319="","","yes_in_principle")</f>
        <v/>
      </c>
      <c r="G319" s="17">
        <f>IF(B319="","","")</f>
        <v/>
      </c>
      <c r="H319" s="17">
        <f>IF(B319="","","")</f>
        <v/>
      </c>
      <c r="I319" s="17">
        <f>IF(B319="","","")</f>
        <v/>
      </c>
      <c r="J319" s="17">
        <f>IF(B319="","","owner: "&amp;Office_Log!AB119&amp;"; window: "&amp;Office_Log!AD119)</f>
        <v/>
      </c>
      <c r="K319" t="inlineStr">
        <is>
          <t>office yes_in_principle</t>
        </is>
      </c>
    </row>
    <row r="320">
      <c r="A320" s="17">
        <f>IF(B320="","",B320+(2*1000+119)/10000000)</f>
        <v/>
      </c>
      <c r="B320" s="23">
        <f>IF(Office_Log!AX120=1,Office_Log!G120,"")</f>
        <v/>
      </c>
      <c r="C320" s="17">
        <f>IF(B320="","","office")</f>
        <v/>
      </c>
      <c r="D320" s="17">
        <f>IF(B320="","",Office_Log!$A120&amp;"")</f>
        <v/>
      </c>
      <c r="E320" s="17">
        <f>IF(B320="","",IF(Office_Log!B120="","",Office_Log!B120&amp;""))</f>
        <v/>
      </c>
      <c r="F320" s="17">
        <f>IF(B320="","","yes_in_principle")</f>
        <v/>
      </c>
      <c r="G320" s="17">
        <f>IF(B320="","","")</f>
        <v/>
      </c>
      <c r="H320" s="17">
        <f>IF(B320="","","")</f>
        <v/>
      </c>
      <c r="I320" s="17">
        <f>IF(B320="","","")</f>
        <v/>
      </c>
      <c r="J320" s="17">
        <f>IF(B320="","","owner: "&amp;Office_Log!AB120&amp;"; window: "&amp;Office_Log!AD120)</f>
        <v/>
      </c>
      <c r="K320" t="inlineStr">
        <is>
          <t>office yes_in_principle</t>
        </is>
      </c>
    </row>
    <row r="321">
      <c r="A321" s="17">
        <f>IF(B321="","",B321+(2*1000+120)/10000000)</f>
        <v/>
      </c>
      <c r="B321" s="23">
        <f>IF(Office_Log!AX121=1,Office_Log!G121,"")</f>
        <v/>
      </c>
      <c r="C321" s="17">
        <f>IF(B321="","","office")</f>
        <v/>
      </c>
      <c r="D321" s="17">
        <f>IF(B321="","",Office_Log!$A121&amp;"")</f>
        <v/>
      </c>
      <c r="E321" s="17">
        <f>IF(B321="","",IF(Office_Log!B121="","",Office_Log!B121&amp;""))</f>
        <v/>
      </c>
      <c r="F321" s="17">
        <f>IF(B321="","","yes_in_principle")</f>
        <v/>
      </c>
      <c r="G321" s="17">
        <f>IF(B321="","","")</f>
        <v/>
      </c>
      <c r="H321" s="17">
        <f>IF(B321="","","")</f>
        <v/>
      </c>
      <c r="I321" s="17">
        <f>IF(B321="","","")</f>
        <v/>
      </c>
      <c r="J321" s="17">
        <f>IF(B321="","","owner: "&amp;Office_Log!AB121&amp;"; window: "&amp;Office_Log!AD121)</f>
        <v/>
      </c>
      <c r="K321" t="inlineStr">
        <is>
          <t>office yes_in_principle</t>
        </is>
      </c>
    </row>
    <row r="322">
      <c r="A322" s="17">
        <f>IF(B322="","",B322+(2*1000+121)/10000000)</f>
        <v/>
      </c>
      <c r="B322" s="23">
        <f>IF(Office_Log!AX122=1,Office_Log!G122,"")</f>
        <v/>
      </c>
      <c r="C322" s="17">
        <f>IF(B322="","","office")</f>
        <v/>
      </c>
      <c r="D322" s="17">
        <f>IF(B322="","",Office_Log!$A122&amp;"")</f>
        <v/>
      </c>
      <c r="E322" s="17">
        <f>IF(B322="","",IF(Office_Log!B122="","",Office_Log!B122&amp;""))</f>
        <v/>
      </c>
      <c r="F322" s="17">
        <f>IF(B322="","","yes_in_principle")</f>
        <v/>
      </c>
      <c r="G322" s="17">
        <f>IF(B322="","","")</f>
        <v/>
      </c>
      <c r="H322" s="17">
        <f>IF(B322="","","")</f>
        <v/>
      </c>
      <c r="I322" s="17">
        <f>IF(B322="","","")</f>
        <v/>
      </c>
      <c r="J322" s="17">
        <f>IF(B322="","","owner: "&amp;Office_Log!AB122&amp;"; window: "&amp;Office_Log!AD122)</f>
        <v/>
      </c>
      <c r="K322" t="inlineStr">
        <is>
          <t>office yes_in_principle</t>
        </is>
      </c>
    </row>
    <row r="323">
      <c r="A323" s="17">
        <f>IF(B323="","",B323+(2*1000+122)/10000000)</f>
        <v/>
      </c>
      <c r="B323" s="23">
        <f>IF(Office_Log!AX123=1,Office_Log!G123,"")</f>
        <v/>
      </c>
      <c r="C323" s="17">
        <f>IF(B323="","","office")</f>
        <v/>
      </c>
      <c r="D323" s="17">
        <f>IF(B323="","",Office_Log!$A123&amp;"")</f>
        <v/>
      </c>
      <c r="E323" s="17">
        <f>IF(B323="","",IF(Office_Log!B123="","",Office_Log!B123&amp;""))</f>
        <v/>
      </c>
      <c r="F323" s="17">
        <f>IF(B323="","","yes_in_principle")</f>
        <v/>
      </c>
      <c r="G323" s="17">
        <f>IF(B323="","","")</f>
        <v/>
      </c>
      <c r="H323" s="17">
        <f>IF(B323="","","")</f>
        <v/>
      </c>
      <c r="I323" s="17">
        <f>IF(B323="","","")</f>
        <v/>
      </c>
      <c r="J323" s="17">
        <f>IF(B323="","","owner: "&amp;Office_Log!AB123&amp;"; window: "&amp;Office_Log!AD123)</f>
        <v/>
      </c>
      <c r="K323" t="inlineStr">
        <is>
          <t>office yes_in_principle</t>
        </is>
      </c>
    </row>
    <row r="324">
      <c r="A324" s="17">
        <f>IF(B324="","",B324+(2*1000+123)/10000000)</f>
        <v/>
      </c>
      <c r="B324" s="23">
        <f>IF(Office_Log!AX124=1,Office_Log!G124,"")</f>
        <v/>
      </c>
      <c r="C324" s="17">
        <f>IF(B324="","","office")</f>
        <v/>
      </c>
      <c r="D324" s="17">
        <f>IF(B324="","",Office_Log!$A124&amp;"")</f>
        <v/>
      </c>
      <c r="E324" s="17">
        <f>IF(B324="","",IF(Office_Log!B124="","",Office_Log!B124&amp;""))</f>
        <v/>
      </c>
      <c r="F324" s="17">
        <f>IF(B324="","","yes_in_principle")</f>
        <v/>
      </c>
      <c r="G324" s="17">
        <f>IF(B324="","","")</f>
        <v/>
      </c>
      <c r="H324" s="17">
        <f>IF(B324="","","")</f>
        <v/>
      </c>
      <c r="I324" s="17">
        <f>IF(B324="","","")</f>
        <v/>
      </c>
      <c r="J324" s="17">
        <f>IF(B324="","","owner: "&amp;Office_Log!AB124&amp;"; window: "&amp;Office_Log!AD124)</f>
        <v/>
      </c>
      <c r="K324" t="inlineStr">
        <is>
          <t>office yes_in_principle</t>
        </is>
      </c>
    </row>
    <row r="325">
      <c r="A325" s="17">
        <f>IF(B325="","",B325+(2*1000+124)/10000000)</f>
        <v/>
      </c>
      <c r="B325" s="23">
        <f>IF(Office_Log!AX125=1,Office_Log!G125,"")</f>
        <v/>
      </c>
      <c r="C325" s="17">
        <f>IF(B325="","","office")</f>
        <v/>
      </c>
      <c r="D325" s="17">
        <f>IF(B325="","",Office_Log!$A125&amp;"")</f>
        <v/>
      </c>
      <c r="E325" s="17">
        <f>IF(B325="","",IF(Office_Log!B125="","",Office_Log!B125&amp;""))</f>
        <v/>
      </c>
      <c r="F325" s="17">
        <f>IF(B325="","","yes_in_principle")</f>
        <v/>
      </c>
      <c r="G325" s="17">
        <f>IF(B325="","","")</f>
        <v/>
      </c>
      <c r="H325" s="17">
        <f>IF(B325="","","")</f>
        <v/>
      </c>
      <c r="I325" s="17">
        <f>IF(B325="","","")</f>
        <v/>
      </c>
      <c r="J325" s="17">
        <f>IF(B325="","","owner: "&amp;Office_Log!AB125&amp;"; window: "&amp;Office_Log!AD125)</f>
        <v/>
      </c>
      <c r="K325" t="inlineStr">
        <is>
          <t>office yes_in_principle</t>
        </is>
      </c>
    </row>
    <row r="326">
      <c r="A326" s="17">
        <f>IF(B326="","",B326+(2*1000+125)/10000000)</f>
        <v/>
      </c>
      <c r="B326" s="23">
        <f>IF(Office_Log!AX126=1,Office_Log!G126,"")</f>
        <v/>
      </c>
      <c r="C326" s="17">
        <f>IF(B326="","","office")</f>
        <v/>
      </c>
      <c r="D326" s="17">
        <f>IF(B326="","",Office_Log!$A126&amp;"")</f>
        <v/>
      </c>
      <c r="E326" s="17">
        <f>IF(B326="","",IF(Office_Log!B126="","",Office_Log!B126&amp;""))</f>
        <v/>
      </c>
      <c r="F326" s="17">
        <f>IF(B326="","","yes_in_principle")</f>
        <v/>
      </c>
      <c r="G326" s="17">
        <f>IF(B326="","","")</f>
        <v/>
      </c>
      <c r="H326" s="17">
        <f>IF(B326="","","")</f>
        <v/>
      </c>
      <c r="I326" s="17">
        <f>IF(B326="","","")</f>
        <v/>
      </c>
      <c r="J326" s="17">
        <f>IF(B326="","","owner: "&amp;Office_Log!AB126&amp;"; window: "&amp;Office_Log!AD126)</f>
        <v/>
      </c>
      <c r="K326" t="inlineStr">
        <is>
          <t>office yes_in_principle</t>
        </is>
      </c>
    </row>
    <row r="327">
      <c r="A327" s="17">
        <f>IF(B327="","",B327+(2*1000+126)/10000000)</f>
        <v/>
      </c>
      <c r="B327" s="23">
        <f>IF(Office_Log!AX127=1,Office_Log!G127,"")</f>
        <v/>
      </c>
      <c r="C327" s="17">
        <f>IF(B327="","","office")</f>
        <v/>
      </c>
      <c r="D327" s="17">
        <f>IF(B327="","",Office_Log!$A127&amp;"")</f>
        <v/>
      </c>
      <c r="E327" s="17">
        <f>IF(B327="","",IF(Office_Log!B127="","",Office_Log!B127&amp;""))</f>
        <v/>
      </c>
      <c r="F327" s="17">
        <f>IF(B327="","","yes_in_principle")</f>
        <v/>
      </c>
      <c r="G327" s="17">
        <f>IF(B327="","","")</f>
        <v/>
      </c>
      <c r="H327" s="17">
        <f>IF(B327="","","")</f>
        <v/>
      </c>
      <c r="I327" s="17">
        <f>IF(B327="","","")</f>
        <v/>
      </c>
      <c r="J327" s="17">
        <f>IF(B327="","","owner: "&amp;Office_Log!AB127&amp;"; window: "&amp;Office_Log!AD127)</f>
        <v/>
      </c>
      <c r="K327" t="inlineStr">
        <is>
          <t>office yes_in_principle</t>
        </is>
      </c>
    </row>
    <row r="328">
      <c r="A328" s="17">
        <f>IF(B328="","",B328+(2*1000+127)/10000000)</f>
        <v/>
      </c>
      <c r="B328" s="23">
        <f>IF(Office_Log!AX128=1,Office_Log!G128,"")</f>
        <v/>
      </c>
      <c r="C328" s="17">
        <f>IF(B328="","","office")</f>
        <v/>
      </c>
      <c r="D328" s="17">
        <f>IF(B328="","",Office_Log!$A128&amp;"")</f>
        <v/>
      </c>
      <c r="E328" s="17">
        <f>IF(B328="","",IF(Office_Log!B128="","",Office_Log!B128&amp;""))</f>
        <v/>
      </c>
      <c r="F328" s="17">
        <f>IF(B328="","","yes_in_principle")</f>
        <v/>
      </c>
      <c r="G328" s="17">
        <f>IF(B328="","","")</f>
        <v/>
      </c>
      <c r="H328" s="17">
        <f>IF(B328="","","")</f>
        <v/>
      </c>
      <c r="I328" s="17">
        <f>IF(B328="","","")</f>
        <v/>
      </c>
      <c r="J328" s="17">
        <f>IF(B328="","","owner: "&amp;Office_Log!AB128&amp;"; window: "&amp;Office_Log!AD128)</f>
        <v/>
      </c>
      <c r="K328" t="inlineStr">
        <is>
          <t>office yes_in_principle</t>
        </is>
      </c>
    </row>
    <row r="329">
      <c r="A329" s="17">
        <f>IF(B329="","",B329+(2*1000+128)/10000000)</f>
        <v/>
      </c>
      <c r="B329" s="23">
        <f>IF(Office_Log!AX129=1,Office_Log!G129,"")</f>
        <v/>
      </c>
      <c r="C329" s="17">
        <f>IF(B329="","","office")</f>
        <v/>
      </c>
      <c r="D329" s="17">
        <f>IF(B329="","",Office_Log!$A129&amp;"")</f>
        <v/>
      </c>
      <c r="E329" s="17">
        <f>IF(B329="","",IF(Office_Log!B129="","",Office_Log!B129&amp;""))</f>
        <v/>
      </c>
      <c r="F329" s="17">
        <f>IF(B329="","","yes_in_principle")</f>
        <v/>
      </c>
      <c r="G329" s="17">
        <f>IF(B329="","","")</f>
        <v/>
      </c>
      <c r="H329" s="17">
        <f>IF(B329="","","")</f>
        <v/>
      </c>
      <c r="I329" s="17">
        <f>IF(B329="","","")</f>
        <v/>
      </c>
      <c r="J329" s="17">
        <f>IF(B329="","","owner: "&amp;Office_Log!AB129&amp;"; window: "&amp;Office_Log!AD129)</f>
        <v/>
      </c>
      <c r="K329" t="inlineStr">
        <is>
          <t>office yes_in_principle</t>
        </is>
      </c>
    </row>
    <row r="330">
      <c r="A330" s="17">
        <f>IF(B330="","",B330+(2*1000+129)/10000000)</f>
        <v/>
      </c>
      <c r="B330" s="23">
        <f>IF(Office_Log!AX130=1,Office_Log!G130,"")</f>
        <v/>
      </c>
      <c r="C330" s="17">
        <f>IF(B330="","","office")</f>
        <v/>
      </c>
      <c r="D330" s="17">
        <f>IF(B330="","",Office_Log!$A130&amp;"")</f>
        <v/>
      </c>
      <c r="E330" s="17">
        <f>IF(B330="","",IF(Office_Log!B130="","",Office_Log!B130&amp;""))</f>
        <v/>
      </c>
      <c r="F330" s="17">
        <f>IF(B330="","","yes_in_principle")</f>
        <v/>
      </c>
      <c r="G330" s="17">
        <f>IF(B330="","","")</f>
        <v/>
      </c>
      <c r="H330" s="17">
        <f>IF(B330="","","")</f>
        <v/>
      </c>
      <c r="I330" s="17">
        <f>IF(B330="","","")</f>
        <v/>
      </c>
      <c r="J330" s="17">
        <f>IF(B330="","","owner: "&amp;Office_Log!AB130&amp;"; window: "&amp;Office_Log!AD130)</f>
        <v/>
      </c>
      <c r="K330" t="inlineStr">
        <is>
          <t>office yes_in_principle</t>
        </is>
      </c>
    </row>
    <row r="331">
      <c r="A331" s="17">
        <f>IF(B331="","",B331+(2*1000+130)/10000000)</f>
        <v/>
      </c>
      <c r="B331" s="23">
        <f>IF(Office_Log!AX131=1,Office_Log!G131,"")</f>
        <v/>
      </c>
      <c r="C331" s="17">
        <f>IF(B331="","","office")</f>
        <v/>
      </c>
      <c r="D331" s="17">
        <f>IF(B331="","",Office_Log!$A131&amp;"")</f>
        <v/>
      </c>
      <c r="E331" s="17">
        <f>IF(B331="","",IF(Office_Log!B131="","",Office_Log!B131&amp;""))</f>
        <v/>
      </c>
      <c r="F331" s="17">
        <f>IF(B331="","","yes_in_principle")</f>
        <v/>
      </c>
      <c r="G331" s="17">
        <f>IF(B331="","","")</f>
        <v/>
      </c>
      <c r="H331" s="17">
        <f>IF(B331="","","")</f>
        <v/>
      </c>
      <c r="I331" s="17">
        <f>IF(B331="","","")</f>
        <v/>
      </c>
      <c r="J331" s="17">
        <f>IF(B331="","","owner: "&amp;Office_Log!AB131&amp;"; window: "&amp;Office_Log!AD131)</f>
        <v/>
      </c>
      <c r="K331" t="inlineStr">
        <is>
          <t>office yes_in_principle</t>
        </is>
      </c>
    </row>
    <row r="332">
      <c r="A332" s="17">
        <f>IF(B332="","",B332+(2*1000+131)/10000000)</f>
        <v/>
      </c>
      <c r="B332" s="23">
        <f>IF(Office_Log!AX132=1,Office_Log!G132,"")</f>
        <v/>
      </c>
      <c r="C332" s="17">
        <f>IF(B332="","","office")</f>
        <v/>
      </c>
      <c r="D332" s="17">
        <f>IF(B332="","",Office_Log!$A132&amp;"")</f>
        <v/>
      </c>
      <c r="E332" s="17">
        <f>IF(B332="","",IF(Office_Log!B132="","",Office_Log!B132&amp;""))</f>
        <v/>
      </c>
      <c r="F332" s="17">
        <f>IF(B332="","","yes_in_principle")</f>
        <v/>
      </c>
      <c r="G332" s="17">
        <f>IF(B332="","","")</f>
        <v/>
      </c>
      <c r="H332" s="17">
        <f>IF(B332="","","")</f>
        <v/>
      </c>
      <c r="I332" s="17">
        <f>IF(B332="","","")</f>
        <v/>
      </c>
      <c r="J332" s="17">
        <f>IF(B332="","","owner: "&amp;Office_Log!AB132&amp;"; window: "&amp;Office_Log!AD132)</f>
        <v/>
      </c>
      <c r="K332" t="inlineStr">
        <is>
          <t>office yes_in_principle</t>
        </is>
      </c>
    </row>
    <row r="333">
      <c r="A333" s="17">
        <f>IF(B333="","",B333+(2*1000+132)/10000000)</f>
        <v/>
      </c>
      <c r="B333" s="23">
        <f>IF(Office_Log!AX133=1,Office_Log!G133,"")</f>
        <v/>
      </c>
      <c r="C333" s="17">
        <f>IF(B333="","","office")</f>
        <v/>
      </c>
      <c r="D333" s="17">
        <f>IF(B333="","",Office_Log!$A133&amp;"")</f>
        <v/>
      </c>
      <c r="E333" s="17">
        <f>IF(B333="","",IF(Office_Log!B133="","",Office_Log!B133&amp;""))</f>
        <v/>
      </c>
      <c r="F333" s="17">
        <f>IF(B333="","","yes_in_principle")</f>
        <v/>
      </c>
      <c r="G333" s="17">
        <f>IF(B333="","","")</f>
        <v/>
      </c>
      <c r="H333" s="17">
        <f>IF(B333="","","")</f>
        <v/>
      </c>
      <c r="I333" s="17">
        <f>IF(B333="","","")</f>
        <v/>
      </c>
      <c r="J333" s="17">
        <f>IF(B333="","","owner: "&amp;Office_Log!AB133&amp;"; window: "&amp;Office_Log!AD133)</f>
        <v/>
      </c>
      <c r="K333" t="inlineStr">
        <is>
          <t>office yes_in_principle</t>
        </is>
      </c>
    </row>
    <row r="334">
      <c r="A334" s="17">
        <f>IF(B334="","",B334+(2*1000+133)/10000000)</f>
        <v/>
      </c>
      <c r="B334" s="23">
        <f>IF(Office_Log!AX134=1,Office_Log!G134,"")</f>
        <v/>
      </c>
      <c r="C334" s="17">
        <f>IF(B334="","","office")</f>
        <v/>
      </c>
      <c r="D334" s="17">
        <f>IF(B334="","",Office_Log!$A134&amp;"")</f>
        <v/>
      </c>
      <c r="E334" s="17">
        <f>IF(B334="","",IF(Office_Log!B134="","",Office_Log!B134&amp;""))</f>
        <v/>
      </c>
      <c r="F334" s="17">
        <f>IF(B334="","","yes_in_principle")</f>
        <v/>
      </c>
      <c r="G334" s="17">
        <f>IF(B334="","","")</f>
        <v/>
      </c>
      <c r="H334" s="17">
        <f>IF(B334="","","")</f>
        <v/>
      </c>
      <c r="I334" s="17">
        <f>IF(B334="","","")</f>
        <v/>
      </c>
      <c r="J334" s="17">
        <f>IF(B334="","","owner: "&amp;Office_Log!AB134&amp;"; window: "&amp;Office_Log!AD134)</f>
        <v/>
      </c>
      <c r="K334" t="inlineStr">
        <is>
          <t>office yes_in_principle</t>
        </is>
      </c>
    </row>
    <row r="335">
      <c r="A335" s="17">
        <f>IF(B335="","",B335+(2*1000+134)/10000000)</f>
        <v/>
      </c>
      <c r="B335" s="23">
        <f>IF(Office_Log!AX135=1,Office_Log!G135,"")</f>
        <v/>
      </c>
      <c r="C335" s="17">
        <f>IF(B335="","","office")</f>
        <v/>
      </c>
      <c r="D335" s="17">
        <f>IF(B335="","",Office_Log!$A135&amp;"")</f>
        <v/>
      </c>
      <c r="E335" s="17">
        <f>IF(B335="","",IF(Office_Log!B135="","",Office_Log!B135&amp;""))</f>
        <v/>
      </c>
      <c r="F335" s="17">
        <f>IF(B335="","","yes_in_principle")</f>
        <v/>
      </c>
      <c r="G335" s="17">
        <f>IF(B335="","","")</f>
        <v/>
      </c>
      <c r="H335" s="17">
        <f>IF(B335="","","")</f>
        <v/>
      </c>
      <c r="I335" s="17">
        <f>IF(B335="","","")</f>
        <v/>
      </c>
      <c r="J335" s="17">
        <f>IF(B335="","","owner: "&amp;Office_Log!AB135&amp;"; window: "&amp;Office_Log!AD135)</f>
        <v/>
      </c>
      <c r="K335" t="inlineStr">
        <is>
          <t>office yes_in_principle</t>
        </is>
      </c>
    </row>
    <row r="336">
      <c r="A336" s="17">
        <f>IF(B336="","",B336+(2*1000+135)/10000000)</f>
        <v/>
      </c>
      <c r="B336" s="23">
        <f>IF(Office_Log!AX136=1,Office_Log!G136,"")</f>
        <v/>
      </c>
      <c r="C336" s="17">
        <f>IF(B336="","","office")</f>
        <v/>
      </c>
      <c r="D336" s="17">
        <f>IF(B336="","",Office_Log!$A136&amp;"")</f>
        <v/>
      </c>
      <c r="E336" s="17">
        <f>IF(B336="","",IF(Office_Log!B136="","",Office_Log!B136&amp;""))</f>
        <v/>
      </c>
      <c r="F336" s="17">
        <f>IF(B336="","","yes_in_principle")</f>
        <v/>
      </c>
      <c r="G336" s="17">
        <f>IF(B336="","","")</f>
        <v/>
      </c>
      <c r="H336" s="17">
        <f>IF(B336="","","")</f>
        <v/>
      </c>
      <c r="I336" s="17">
        <f>IF(B336="","","")</f>
        <v/>
      </c>
      <c r="J336" s="17">
        <f>IF(B336="","","owner: "&amp;Office_Log!AB136&amp;"; window: "&amp;Office_Log!AD136)</f>
        <v/>
      </c>
      <c r="K336" t="inlineStr">
        <is>
          <t>office yes_in_principle</t>
        </is>
      </c>
    </row>
    <row r="337">
      <c r="A337" s="17">
        <f>IF(B337="","",B337+(2*1000+136)/10000000)</f>
        <v/>
      </c>
      <c r="B337" s="23">
        <f>IF(Office_Log!AX137=1,Office_Log!G137,"")</f>
        <v/>
      </c>
      <c r="C337" s="17">
        <f>IF(B337="","","office")</f>
        <v/>
      </c>
      <c r="D337" s="17">
        <f>IF(B337="","",Office_Log!$A137&amp;"")</f>
        <v/>
      </c>
      <c r="E337" s="17">
        <f>IF(B337="","",IF(Office_Log!B137="","",Office_Log!B137&amp;""))</f>
        <v/>
      </c>
      <c r="F337" s="17">
        <f>IF(B337="","","yes_in_principle")</f>
        <v/>
      </c>
      <c r="G337" s="17">
        <f>IF(B337="","","")</f>
        <v/>
      </c>
      <c r="H337" s="17">
        <f>IF(B337="","","")</f>
        <v/>
      </c>
      <c r="I337" s="17">
        <f>IF(B337="","","")</f>
        <v/>
      </c>
      <c r="J337" s="17">
        <f>IF(B337="","","owner: "&amp;Office_Log!AB137&amp;"; window: "&amp;Office_Log!AD137)</f>
        <v/>
      </c>
      <c r="K337" t="inlineStr">
        <is>
          <t>office yes_in_principle</t>
        </is>
      </c>
    </row>
    <row r="338">
      <c r="A338" s="17">
        <f>IF(B338="","",B338+(2*1000+137)/10000000)</f>
        <v/>
      </c>
      <c r="B338" s="23">
        <f>IF(Office_Log!AX138=1,Office_Log!G138,"")</f>
        <v/>
      </c>
      <c r="C338" s="17">
        <f>IF(B338="","","office")</f>
        <v/>
      </c>
      <c r="D338" s="17">
        <f>IF(B338="","",Office_Log!$A138&amp;"")</f>
        <v/>
      </c>
      <c r="E338" s="17">
        <f>IF(B338="","",IF(Office_Log!B138="","",Office_Log!B138&amp;""))</f>
        <v/>
      </c>
      <c r="F338" s="17">
        <f>IF(B338="","","yes_in_principle")</f>
        <v/>
      </c>
      <c r="G338" s="17">
        <f>IF(B338="","","")</f>
        <v/>
      </c>
      <c r="H338" s="17">
        <f>IF(B338="","","")</f>
        <v/>
      </c>
      <c r="I338" s="17">
        <f>IF(B338="","","")</f>
        <v/>
      </c>
      <c r="J338" s="17">
        <f>IF(B338="","","owner: "&amp;Office_Log!AB138&amp;"; window: "&amp;Office_Log!AD138)</f>
        <v/>
      </c>
      <c r="K338" t="inlineStr">
        <is>
          <t>office yes_in_principle</t>
        </is>
      </c>
    </row>
    <row r="339">
      <c r="A339" s="17">
        <f>IF(B339="","",B339+(2*1000+138)/10000000)</f>
        <v/>
      </c>
      <c r="B339" s="23">
        <f>IF(Office_Log!AX139=1,Office_Log!G139,"")</f>
        <v/>
      </c>
      <c r="C339" s="17">
        <f>IF(B339="","","office")</f>
        <v/>
      </c>
      <c r="D339" s="17">
        <f>IF(B339="","",Office_Log!$A139&amp;"")</f>
        <v/>
      </c>
      <c r="E339" s="17">
        <f>IF(B339="","",IF(Office_Log!B139="","",Office_Log!B139&amp;""))</f>
        <v/>
      </c>
      <c r="F339" s="17">
        <f>IF(B339="","","yes_in_principle")</f>
        <v/>
      </c>
      <c r="G339" s="17">
        <f>IF(B339="","","")</f>
        <v/>
      </c>
      <c r="H339" s="17">
        <f>IF(B339="","","")</f>
        <v/>
      </c>
      <c r="I339" s="17">
        <f>IF(B339="","","")</f>
        <v/>
      </c>
      <c r="J339" s="17">
        <f>IF(B339="","","owner: "&amp;Office_Log!AB139&amp;"; window: "&amp;Office_Log!AD139)</f>
        <v/>
      </c>
      <c r="K339" t="inlineStr">
        <is>
          <t>office yes_in_principle</t>
        </is>
      </c>
    </row>
    <row r="340">
      <c r="A340" s="17">
        <f>IF(B340="","",B340+(2*1000+139)/10000000)</f>
        <v/>
      </c>
      <c r="B340" s="23">
        <f>IF(Office_Log!AX140=1,Office_Log!G140,"")</f>
        <v/>
      </c>
      <c r="C340" s="17">
        <f>IF(B340="","","office")</f>
        <v/>
      </c>
      <c r="D340" s="17">
        <f>IF(B340="","",Office_Log!$A140&amp;"")</f>
        <v/>
      </c>
      <c r="E340" s="17">
        <f>IF(B340="","",IF(Office_Log!B140="","",Office_Log!B140&amp;""))</f>
        <v/>
      </c>
      <c r="F340" s="17">
        <f>IF(B340="","","yes_in_principle")</f>
        <v/>
      </c>
      <c r="G340" s="17">
        <f>IF(B340="","","")</f>
        <v/>
      </c>
      <c r="H340" s="17">
        <f>IF(B340="","","")</f>
        <v/>
      </c>
      <c r="I340" s="17">
        <f>IF(B340="","","")</f>
        <v/>
      </c>
      <c r="J340" s="17">
        <f>IF(B340="","","owner: "&amp;Office_Log!AB140&amp;"; window: "&amp;Office_Log!AD140)</f>
        <v/>
      </c>
      <c r="K340" t="inlineStr">
        <is>
          <t>office yes_in_principle</t>
        </is>
      </c>
    </row>
    <row r="341">
      <c r="A341" s="17">
        <f>IF(B341="","",B341+(2*1000+140)/10000000)</f>
        <v/>
      </c>
      <c r="B341" s="23">
        <f>IF(Office_Log!AX141=1,Office_Log!G141,"")</f>
        <v/>
      </c>
      <c r="C341" s="17">
        <f>IF(B341="","","office")</f>
        <v/>
      </c>
      <c r="D341" s="17">
        <f>IF(B341="","",Office_Log!$A141&amp;"")</f>
        <v/>
      </c>
      <c r="E341" s="17">
        <f>IF(B341="","",IF(Office_Log!B141="","",Office_Log!B141&amp;""))</f>
        <v/>
      </c>
      <c r="F341" s="17">
        <f>IF(B341="","","yes_in_principle")</f>
        <v/>
      </c>
      <c r="G341" s="17">
        <f>IF(B341="","","")</f>
        <v/>
      </c>
      <c r="H341" s="17">
        <f>IF(B341="","","")</f>
        <v/>
      </c>
      <c r="I341" s="17">
        <f>IF(B341="","","")</f>
        <v/>
      </c>
      <c r="J341" s="17">
        <f>IF(B341="","","owner: "&amp;Office_Log!AB141&amp;"; window: "&amp;Office_Log!AD141)</f>
        <v/>
      </c>
      <c r="K341" t="inlineStr">
        <is>
          <t>office yes_in_principle</t>
        </is>
      </c>
    </row>
    <row r="342">
      <c r="A342" s="17">
        <f>IF(B342="","",B342+(2*1000+141)/10000000)</f>
        <v/>
      </c>
      <c r="B342" s="23">
        <f>IF(Office_Log!AX142=1,Office_Log!G142,"")</f>
        <v/>
      </c>
      <c r="C342" s="17">
        <f>IF(B342="","","office")</f>
        <v/>
      </c>
      <c r="D342" s="17">
        <f>IF(B342="","",Office_Log!$A142&amp;"")</f>
        <v/>
      </c>
      <c r="E342" s="17">
        <f>IF(B342="","",IF(Office_Log!B142="","",Office_Log!B142&amp;""))</f>
        <v/>
      </c>
      <c r="F342" s="17">
        <f>IF(B342="","","yes_in_principle")</f>
        <v/>
      </c>
      <c r="G342" s="17">
        <f>IF(B342="","","")</f>
        <v/>
      </c>
      <c r="H342" s="17">
        <f>IF(B342="","","")</f>
        <v/>
      </c>
      <c r="I342" s="17">
        <f>IF(B342="","","")</f>
        <v/>
      </c>
      <c r="J342" s="17">
        <f>IF(B342="","","owner: "&amp;Office_Log!AB142&amp;"; window: "&amp;Office_Log!AD142)</f>
        <v/>
      </c>
      <c r="K342" t="inlineStr">
        <is>
          <t>office yes_in_principle</t>
        </is>
      </c>
    </row>
    <row r="343">
      <c r="A343" s="17">
        <f>IF(B343="","",B343+(2*1000+142)/10000000)</f>
        <v/>
      </c>
      <c r="B343" s="23">
        <f>IF(Office_Log!AX143=1,Office_Log!G143,"")</f>
        <v/>
      </c>
      <c r="C343" s="17">
        <f>IF(B343="","","office")</f>
        <v/>
      </c>
      <c r="D343" s="17">
        <f>IF(B343="","",Office_Log!$A143&amp;"")</f>
        <v/>
      </c>
      <c r="E343" s="17">
        <f>IF(B343="","",IF(Office_Log!B143="","",Office_Log!B143&amp;""))</f>
        <v/>
      </c>
      <c r="F343" s="17">
        <f>IF(B343="","","yes_in_principle")</f>
        <v/>
      </c>
      <c r="G343" s="17">
        <f>IF(B343="","","")</f>
        <v/>
      </c>
      <c r="H343" s="17">
        <f>IF(B343="","","")</f>
        <v/>
      </c>
      <c r="I343" s="17">
        <f>IF(B343="","","")</f>
        <v/>
      </c>
      <c r="J343" s="17">
        <f>IF(B343="","","owner: "&amp;Office_Log!AB143&amp;"; window: "&amp;Office_Log!AD143)</f>
        <v/>
      </c>
      <c r="K343" t="inlineStr">
        <is>
          <t>office yes_in_principle</t>
        </is>
      </c>
    </row>
    <row r="344">
      <c r="A344" s="17">
        <f>IF(B344="","",B344+(2*1000+143)/10000000)</f>
        <v/>
      </c>
      <c r="B344" s="23">
        <f>IF(Office_Log!AX144=1,Office_Log!G144,"")</f>
        <v/>
      </c>
      <c r="C344" s="17">
        <f>IF(B344="","","office")</f>
        <v/>
      </c>
      <c r="D344" s="17">
        <f>IF(B344="","",Office_Log!$A144&amp;"")</f>
        <v/>
      </c>
      <c r="E344" s="17">
        <f>IF(B344="","",IF(Office_Log!B144="","",Office_Log!B144&amp;""))</f>
        <v/>
      </c>
      <c r="F344" s="17">
        <f>IF(B344="","","yes_in_principle")</f>
        <v/>
      </c>
      <c r="G344" s="17">
        <f>IF(B344="","","")</f>
        <v/>
      </c>
      <c r="H344" s="17">
        <f>IF(B344="","","")</f>
        <v/>
      </c>
      <c r="I344" s="17">
        <f>IF(B344="","","")</f>
        <v/>
      </c>
      <c r="J344" s="17">
        <f>IF(B344="","","owner: "&amp;Office_Log!AB144&amp;"; window: "&amp;Office_Log!AD144)</f>
        <v/>
      </c>
      <c r="K344" t="inlineStr">
        <is>
          <t>office yes_in_principle</t>
        </is>
      </c>
    </row>
    <row r="345">
      <c r="A345" s="17">
        <f>IF(B345="","",B345+(2*1000+144)/10000000)</f>
        <v/>
      </c>
      <c r="B345" s="23">
        <f>IF(Office_Log!AX145=1,Office_Log!G145,"")</f>
        <v/>
      </c>
      <c r="C345" s="17">
        <f>IF(B345="","","office")</f>
        <v/>
      </c>
      <c r="D345" s="17">
        <f>IF(B345="","",Office_Log!$A145&amp;"")</f>
        <v/>
      </c>
      <c r="E345" s="17">
        <f>IF(B345="","",IF(Office_Log!B145="","",Office_Log!B145&amp;""))</f>
        <v/>
      </c>
      <c r="F345" s="17">
        <f>IF(B345="","","yes_in_principle")</f>
        <v/>
      </c>
      <c r="G345" s="17">
        <f>IF(B345="","","")</f>
        <v/>
      </c>
      <c r="H345" s="17">
        <f>IF(B345="","","")</f>
        <v/>
      </c>
      <c r="I345" s="17">
        <f>IF(B345="","","")</f>
        <v/>
      </c>
      <c r="J345" s="17">
        <f>IF(B345="","","owner: "&amp;Office_Log!AB145&amp;"; window: "&amp;Office_Log!AD145)</f>
        <v/>
      </c>
      <c r="K345" t="inlineStr">
        <is>
          <t>office yes_in_principle</t>
        </is>
      </c>
    </row>
    <row r="346">
      <c r="A346" s="17">
        <f>IF(B346="","",B346+(2*1000+145)/10000000)</f>
        <v/>
      </c>
      <c r="B346" s="23">
        <f>IF(Office_Log!AX146=1,Office_Log!G146,"")</f>
        <v/>
      </c>
      <c r="C346" s="17">
        <f>IF(B346="","","office")</f>
        <v/>
      </c>
      <c r="D346" s="17">
        <f>IF(B346="","",Office_Log!$A146&amp;"")</f>
        <v/>
      </c>
      <c r="E346" s="17">
        <f>IF(B346="","",IF(Office_Log!B146="","",Office_Log!B146&amp;""))</f>
        <v/>
      </c>
      <c r="F346" s="17">
        <f>IF(B346="","","yes_in_principle")</f>
        <v/>
      </c>
      <c r="G346" s="17">
        <f>IF(B346="","","")</f>
        <v/>
      </c>
      <c r="H346" s="17">
        <f>IF(B346="","","")</f>
        <v/>
      </c>
      <c r="I346" s="17">
        <f>IF(B346="","","")</f>
        <v/>
      </c>
      <c r="J346" s="17">
        <f>IF(B346="","","owner: "&amp;Office_Log!AB146&amp;"; window: "&amp;Office_Log!AD146)</f>
        <v/>
      </c>
      <c r="K346" t="inlineStr">
        <is>
          <t>office yes_in_principle</t>
        </is>
      </c>
    </row>
    <row r="347">
      <c r="A347" s="17">
        <f>IF(B347="","",B347+(2*1000+146)/10000000)</f>
        <v/>
      </c>
      <c r="B347" s="23">
        <f>IF(Office_Log!AX147=1,Office_Log!G147,"")</f>
        <v/>
      </c>
      <c r="C347" s="17">
        <f>IF(B347="","","office")</f>
        <v/>
      </c>
      <c r="D347" s="17">
        <f>IF(B347="","",Office_Log!$A147&amp;"")</f>
        <v/>
      </c>
      <c r="E347" s="17">
        <f>IF(B347="","",IF(Office_Log!B147="","",Office_Log!B147&amp;""))</f>
        <v/>
      </c>
      <c r="F347" s="17">
        <f>IF(B347="","","yes_in_principle")</f>
        <v/>
      </c>
      <c r="G347" s="17">
        <f>IF(B347="","","")</f>
        <v/>
      </c>
      <c r="H347" s="17">
        <f>IF(B347="","","")</f>
        <v/>
      </c>
      <c r="I347" s="17">
        <f>IF(B347="","","")</f>
        <v/>
      </c>
      <c r="J347" s="17">
        <f>IF(B347="","","owner: "&amp;Office_Log!AB147&amp;"; window: "&amp;Office_Log!AD147)</f>
        <v/>
      </c>
      <c r="K347" t="inlineStr">
        <is>
          <t>office yes_in_principle</t>
        </is>
      </c>
    </row>
    <row r="348">
      <c r="A348" s="17">
        <f>IF(B348="","",B348+(2*1000+147)/10000000)</f>
        <v/>
      </c>
      <c r="B348" s="23">
        <f>IF(Office_Log!AX148=1,Office_Log!G148,"")</f>
        <v/>
      </c>
      <c r="C348" s="17">
        <f>IF(B348="","","office")</f>
        <v/>
      </c>
      <c r="D348" s="17">
        <f>IF(B348="","",Office_Log!$A148&amp;"")</f>
        <v/>
      </c>
      <c r="E348" s="17">
        <f>IF(B348="","",IF(Office_Log!B148="","",Office_Log!B148&amp;""))</f>
        <v/>
      </c>
      <c r="F348" s="17">
        <f>IF(B348="","","yes_in_principle")</f>
        <v/>
      </c>
      <c r="G348" s="17">
        <f>IF(B348="","","")</f>
        <v/>
      </c>
      <c r="H348" s="17">
        <f>IF(B348="","","")</f>
        <v/>
      </c>
      <c r="I348" s="17">
        <f>IF(B348="","","")</f>
        <v/>
      </c>
      <c r="J348" s="17">
        <f>IF(B348="","","owner: "&amp;Office_Log!AB148&amp;"; window: "&amp;Office_Log!AD148)</f>
        <v/>
      </c>
      <c r="K348" t="inlineStr">
        <is>
          <t>office yes_in_principle</t>
        </is>
      </c>
    </row>
    <row r="349">
      <c r="A349" s="17">
        <f>IF(B349="","",B349+(2*1000+148)/10000000)</f>
        <v/>
      </c>
      <c r="B349" s="23">
        <f>IF(Office_Log!AX149=1,Office_Log!G149,"")</f>
        <v/>
      </c>
      <c r="C349" s="17">
        <f>IF(B349="","","office")</f>
        <v/>
      </c>
      <c r="D349" s="17">
        <f>IF(B349="","",Office_Log!$A149&amp;"")</f>
        <v/>
      </c>
      <c r="E349" s="17">
        <f>IF(B349="","",IF(Office_Log!B149="","",Office_Log!B149&amp;""))</f>
        <v/>
      </c>
      <c r="F349" s="17">
        <f>IF(B349="","","yes_in_principle")</f>
        <v/>
      </c>
      <c r="G349" s="17">
        <f>IF(B349="","","")</f>
        <v/>
      </c>
      <c r="H349" s="17">
        <f>IF(B349="","","")</f>
        <v/>
      </c>
      <c r="I349" s="17">
        <f>IF(B349="","","")</f>
        <v/>
      </c>
      <c r="J349" s="17">
        <f>IF(B349="","","owner: "&amp;Office_Log!AB149&amp;"; window: "&amp;Office_Log!AD149)</f>
        <v/>
      </c>
      <c r="K349" t="inlineStr">
        <is>
          <t>office yes_in_principle</t>
        </is>
      </c>
    </row>
    <row r="350">
      <c r="A350" s="17">
        <f>IF(B350="","",B350+(2*1000+149)/10000000)</f>
        <v/>
      </c>
      <c r="B350" s="23">
        <f>IF(Office_Log!AX150=1,Office_Log!G150,"")</f>
        <v/>
      </c>
      <c r="C350" s="17">
        <f>IF(B350="","","office")</f>
        <v/>
      </c>
      <c r="D350" s="17">
        <f>IF(B350="","",Office_Log!$A150&amp;"")</f>
        <v/>
      </c>
      <c r="E350" s="17">
        <f>IF(B350="","",IF(Office_Log!B150="","",Office_Log!B150&amp;""))</f>
        <v/>
      </c>
      <c r="F350" s="17">
        <f>IF(B350="","","yes_in_principle")</f>
        <v/>
      </c>
      <c r="G350" s="17">
        <f>IF(B350="","","")</f>
        <v/>
      </c>
      <c r="H350" s="17">
        <f>IF(B350="","","")</f>
        <v/>
      </c>
      <c r="I350" s="17">
        <f>IF(B350="","","")</f>
        <v/>
      </c>
      <c r="J350" s="17">
        <f>IF(B350="","","owner: "&amp;Office_Log!AB150&amp;"; window: "&amp;Office_Log!AD150)</f>
        <v/>
      </c>
      <c r="K350" t="inlineStr">
        <is>
          <t>office yes_in_principle</t>
        </is>
      </c>
    </row>
    <row r="351">
      <c r="A351" s="17">
        <f>IF(B351="","",B351+(2*1000+150)/10000000)</f>
        <v/>
      </c>
      <c r="B351" s="23">
        <f>IF(Office_Log!AX151=1,Office_Log!G151,"")</f>
        <v/>
      </c>
      <c r="C351" s="17">
        <f>IF(B351="","","office")</f>
        <v/>
      </c>
      <c r="D351" s="17">
        <f>IF(B351="","",Office_Log!$A151&amp;"")</f>
        <v/>
      </c>
      <c r="E351" s="17">
        <f>IF(B351="","",IF(Office_Log!B151="","",Office_Log!B151&amp;""))</f>
        <v/>
      </c>
      <c r="F351" s="17">
        <f>IF(B351="","","yes_in_principle")</f>
        <v/>
      </c>
      <c r="G351" s="17">
        <f>IF(B351="","","")</f>
        <v/>
      </c>
      <c r="H351" s="17">
        <f>IF(B351="","","")</f>
        <v/>
      </c>
      <c r="I351" s="17">
        <f>IF(B351="","","")</f>
        <v/>
      </c>
      <c r="J351" s="17">
        <f>IF(B351="","","owner: "&amp;Office_Log!AB151&amp;"; window: "&amp;Office_Log!AD151)</f>
        <v/>
      </c>
      <c r="K351" t="inlineStr">
        <is>
          <t>office yes_in_principle</t>
        </is>
      </c>
    </row>
    <row r="352">
      <c r="A352" s="17">
        <f>IF(B352="","",B352+(2*1000+151)/10000000)</f>
        <v/>
      </c>
      <c r="B352" s="23">
        <f>IF(Office_Log!AX152=1,Office_Log!G152,"")</f>
        <v/>
      </c>
      <c r="C352" s="17">
        <f>IF(B352="","","office")</f>
        <v/>
      </c>
      <c r="D352" s="17">
        <f>IF(B352="","",Office_Log!$A152&amp;"")</f>
        <v/>
      </c>
      <c r="E352" s="17">
        <f>IF(B352="","",IF(Office_Log!B152="","",Office_Log!B152&amp;""))</f>
        <v/>
      </c>
      <c r="F352" s="17">
        <f>IF(B352="","","yes_in_principle")</f>
        <v/>
      </c>
      <c r="G352" s="17">
        <f>IF(B352="","","")</f>
        <v/>
      </c>
      <c r="H352" s="17">
        <f>IF(B352="","","")</f>
        <v/>
      </c>
      <c r="I352" s="17">
        <f>IF(B352="","","")</f>
        <v/>
      </c>
      <c r="J352" s="17">
        <f>IF(B352="","","owner: "&amp;Office_Log!AB152&amp;"; window: "&amp;Office_Log!AD152)</f>
        <v/>
      </c>
      <c r="K352" t="inlineStr">
        <is>
          <t>office yes_in_principle</t>
        </is>
      </c>
    </row>
    <row r="353">
      <c r="A353" s="17">
        <f>IF(B353="","",B353+(2*1000+152)/10000000)</f>
        <v/>
      </c>
      <c r="B353" s="23">
        <f>IF(Office_Log!AX153=1,Office_Log!G153,"")</f>
        <v/>
      </c>
      <c r="C353" s="17">
        <f>IF(B353="","","office")</f>
        <v/>
      </c>
      <c r="D353" s="17">
        <f>IF(B353="","",Office_Log!$A153&amp;"")</f>
        <v/>
      </c>
      <c r="E353" s="17">
        <f>IF(B353="","",IF(Office_Log!B153="","",Office_Log!B153&amp;""))</f>
        <v/>
      </c>
      <c r="F353" s="17">
        <f>IF(B353="","","yes_in_principle")</f>
        <v/>
      </c>
      <c r="G353" s="17">
        <f>IF(B353="","","")</f>
        <v/>
      </c>
      <c r="H353" s="17">
        <f>IF(B353="","","")</f>
        <v/>
      </c>
      <c r="I353" s="17">
        <f>IF(B353="","","")</f>
        <v/>
      </c>
      <c r="J353" s="17">
        <f>IF(B353="","","owner: "&amp;Office_Log!AB153&amp;"; window: "&amp;Office_Log!AD153)</f>
        <v/>
      </c>
      <c r="K353" t="inlineStr">
        <is>
          <t>office yes_in_principle</t>
        </is>
      </c>
    </row>
    <row r="354">
      <c r="A354" s="17">
        <f>IF(B354="","",B354+(2*1000+153)/10000000)</f>
        <v/>
      </c>
      <c r="B354" s="23">
        <f>IF(Office_Log!AX154=1,Office_Log!G154,"")</f>
        <v/>
      </c>
      <c r="C354" s="17">
        <f>IF(B354="","","office")</f>
        <v/>
      </c>
      <c r="D354" s="17">
        <f>IF(B354="","",Office_Log!$A154&amp;"")</f>
        <v/>
      </c>
      <c r="E354" s="17">
        <f>IF(B354="","",IF(Office_Log!B154="","",Office_Log!B154&amp;""))</f>
        <v/>
      </c>
      <c r="F354" s="17">
        <f>IF(B354="","","yes_in_principle")</f>
        <v/>
      </c>
      <c r="G354" s="17">
        <f>IF(B354="","","")</f>
        <v/>
      </c>
      <c r="H354" s="17">
        <f>IF(B354="","","")</f>
        <v/>
      </c>
      <c r="I354" s="17">
        <f>IF(B354="","","")</f>
        <v/>
      </c>
      <c r="J354" s="17">
        <f>IF(B354="","","owner: "&amp;Office_Log!AB154&amp;"; window: "&amp;Office_Log!AD154)</f>
        <v/>
      </c>
      <c r="K354" t="inlineStr">
        <is>
          <t>office yes_in_principle</t>
        </is>
      </c>
    </row>
    <row r="355">
      <c r="A355" s="17">
        <f>IF(B355="","",B355+(2*1000+154)/10000000)</f>
        <v/>
      </c>
      <c r="B355" s="23">
        <f>IF(Office_Log!AX155=1,Office_Log!G155,"")</f>
        <v/>
      </c>
      <c r="C355" s="17">
        <f>IF(B355="","","office")</f>
        <v/>
      </c>
      <c r="D355" s="17">
        <f>IF(B355="","",Office_Log!$A155&amp;"")</f>
        <v/>
      </c>
      <c r="E355" s="17">
        <f>IF(B355="","",IF(Office_Log!B155="","",Office_Log!B155&amp;""))</f>
        <v/>
      </c>
      <c r="F355" s="17">
        <f>IF(B355="","","yes_in_principle")</f>
        <v/>
      </c>
      <c r="G355" s="17">
        <f>IF(B355="","","")</f>
        <v/>
      </c>
      <c r="H355" s="17">
        <f>IF(B355="","","")</f>
        <v/>
      </c>
      <c r="I355" s="17">
        <f>IF(B355="","","")</f>
        <v/>
      </c>
      <c r="J355" s="17">
        <f>IF(B355="","","owner: "&amp;Office_Log!AB155&amp;"; window: "&amp;Office_Log!AD155)</f>
        <v/>
      </c>
      <c r="K355" t="inlineStr">
        <is>
          <t>office yes_in_principle</t>
        </is>
      </c>
    </row>
    <row r="356">
      <c r="A356" s="17">
        <f>IF(B356="","",B356+(2*1000+155)/10000000)</f>
        <v/>
      </c>
      <c r="B356" s="23">
        <f>IF(Office_Log!AX156=1,Office_Log!G156,"")</f>
        <v/>
      </c>
      <c r="C356" s="17">
        <f>IF(B356="","","office")</f>
        <v/>
      </c>
      <c r="D356" s="17">
        <f>IF(B356="","",Office_Log!$A156&amp;"")</f>
        <v/>
      </c>
      <c r="E356" s="17">
        <f>IF(B356="","",IF(Office_Log!B156="","",Office_Log!B156&amp;""))</f>
        <v/>
      </c>
      <c r="F356" s="17">
        <f>IF(B356="","","yes_in_principle")</f>
        <v/>
      </c>
      <c r="G356" s="17">
        <f>IF(B356="","","")</f>
        <v/>
      </c>
      <c r="H356" s="17">
        <f>IF(B356="","","")</f>
        <v/>
      </c>
      <c r="I356" s="17">
        <f>IF(B356="","","")</f>
        <v/>
      </c>
      <c r="J356" s="17">
        <f>IF(B356="","","owner: "&amp;Office_Log!AB156&amp;"; window: "&amp;Office_Log!AD156)</f>
        <v/>
      </c>
      <c r="K356" t="inlineStr">
        <is>
          <t>office yes_in_principle</t>
        </is>
      </c>
    </row>
    <row r="357">
      <c r="A357" s="17">
        <f>IF(B357="","",B357+(2*1000+156)/10000000)</f>
        <v/>
      </c>
      <c r="B357" s="23">
        <f>IF(Office_Log!AX157=1,Office_Log!G157,"")</f>
        <v/>
      </c>
      <c r="C357" s="17">
        <f>IF(B357="","","office")</f>
        <v/>
      </c>
      <c r="D357" s="17">
        <f>IF(B357="","",Office_Log!$A157&amp;"")</f>
        <v/>
      </c>
      <c r="E357" s="17">
        <f>IF(B357="","",IF(Office_Log!B157="","",Office_Log!B157&amp;""))</f>
        <v/>
      </c>
      <c r="F357" s="17">
        <f>IF(B357="","","yes_in_principle")</f>
        <v/>
      </c>
      <c r="G357" s="17">
        <f>IF(B357="","","")</f>
        <v/>
      </c>
      <c r="H357" s="17">
        <f>IF(B357="","","")</f>
        <v/>
      </c>
      <c r="I357" s="17">
        <f>IF(B357="","","")</f>
        <v/>
      </c>
      <c r="J357" s="17">
        <f>IF(B357="","","owner: "&amp;Office_Log!AB157&amp;"; window: "&amp;Office_Log!AD157)</f>
        <v/>
      </c>
      <c r="K357" t="inlineStr">
        <is>
          <t>office yes_in_principle</t>
        </is>
      </c>
    </row>
    <row r="358">
      <c r="A358" s="17">
        <f>IF(B358="","",B358+(2*1000+157)/10000000)</f>
        <v/>
      </c>
      <c r="B358" s="23">
        <f>IF(Office_Log!AX158=1,Office_Log!G158,"")</f>
        <v/>
      </c>
      <c r="C358" s="17">
        <f>IF(B358="","","office")</f>
        <v/>
      </c>
      <c r="D358" s="17">
        <f>IF(B358="","",Office_Log!$A158&amp;"")</f>
        <v/>
      </c>
      <c r="E358" s="17">
        <f>IF(B358="","",IF(Office_Log!B158="","",Office_Log!B158&amp;""))</f>
        <v/>
      </c>
      <c r="F358" s="17">
        <f>IF(B358="","","yes_in_principle")</f>
        <v/>
      </c>
      <c r="G358" s="17">
        <f>IF(B358="","","")</f>
        <v/>
      </c>
      <c r="H358" s="17">
        <f>IF(B358="","","")</f>
        <v/>
      </c>
      <c r="I358" s="17">
        <f>IF(B358="","","")</f>
        <v/>
      </c>
      <c r="J358" s="17">
        <f>IF(B358="","","owner: "&amp;Office_Log!AB158&amp;"; window: "&amp;Office_Log!AD158)</f>
        <v/>
      </c>
      <c r="K358" t="inlineStr">
        <is>
          <t>office yes_in_principle</t>
        </is>
      </c>
    </row>
    <row r="359">
      <c r="A359" s="17">
        <f>IF(B359="","",B359+(2*1000+158)/10000000)</f>
        <v/>
      </c>
      <c r="B359" s="23">
        <f>IF(Office_Log!AX159=1,Office_Log!G159,"")</f>
        <v/>
      </c>
      <c r="C359" s="17">
        <f>IF(B359="","","office")</f>
        <v/>
      </c>
      <c r="D359" s="17">
        <f>IF(B359="","",Office_Log!$A159&amp;"")</f>
        <v/>
      </c>
      <c r="E359" s="17">
        <f>IF(B359="","",IF(Office_Log!B159="","",Office_Log!B159&amp;""))</f>
        <v/>
      </c>
      <c r="F359" s="17">
        <f>IF(B359="","","yes_in_principle")</f>
        <v/>
      </c>
      <c r="G359" s="17">
        <f>IF(B359="","","")</f>
        <v/>
      </c>
      <c r="H359" s="17">
        <f>IF(B359="","","")</f>
        <v/>
      </c>
      <c r="I359" s="17">
        <f>IF(B359="","","")</f>
        <v/>
      </c>
      <c r="J359" s="17">
        <f>IF(B359="","","owner: "&amp;Office_Log!AB159&amp;"; window: "&amp;Office_Log!AD159)</f>
        <v/>
      </c>
      <c r="K359" t="inlineStr">
        <is>
          <t>office yes_in_principle</t>
        </is>
      </c>
    </row>
    <row r="360">
      <c r="A360" s="17">
        <f>IF(B360="","",B360+(2*1000+159)/10000000)</f>
        <v/>
      </c>
      <c r="B360" s="23">
        <f>IF(Office_Log!AX160=1,Office_Log!G160,"")</f>
        <v/>
      </c>
      <c r="C360" s="17">
        <f>IF(B360="","","office")</f>
        <v/>
      </c>
      <c r="D360" s="17">
        <f>IF(B360="","",Office_Log!$A160&amp;"")</f>
        <v/>
      </c>
      <c r="E360" s="17">
        <f>IF(B360="","",IF(Office_Log!B160="","",Office_Log!B160&amp;""))</f>
        <v/>
      </c>
      <c r="F360" s="17">
        <f>IF(B360="","","yes_in_principle")</f>
        <v/>
      </c>
      <c r="G360" s="17">
        <f>IF(B360="","","")</f>
        <v/>
      </c>
      <c r="H360" s="17">
        <f>IF(B360="","","")</f>
        <v/>
      </c>
      <c r="I360" s="17">
        <f>IF(B360="","","")</f>
        <v/>
      </c>
      <c r="J360" s="17">
        <f>IF(B360="","","owner: "&amp;Office_Log!AB160&amp;"; window: "&amp;Office_Log!AD160)</f>
        <v/>
      </c>
      <c r="K360" t="inlineStr">
        <is>
          <t>office yes_in_principle</t>
        </is>
      </c>
    </row>
    <row r="361">
      <c r="A361" s="17">
        <f>IF(B361="","",B361+(2*1000+160)/10000000)</f>
        <v/>
      </c>
      <c r="B361" s="23">
        <f>IF(Office_Log!AX161=1,Office_Log!G161,"")</f>
        <v/>
      </c>
      <c r="C361" s="17">
        <f>IF(B361="","","office")</f>
        <v/>
      </c>
      <c r="D361" s="17">
        <f>IF(B361="","",Office_Log!$A161&amp;"")</f>
        <v/>
      </c>
      <c r="E361" s="17">
        <f>IF(B361="","",IF(Office_Log!B161="","",Office_Log!B161&amp;""))</f>
        <v/>
      </c>
      <c r="F361" s="17">
        <f>IF(B361="","","yes_in_principle")</f>
        <v/>
      </c>
      <c r="G361" s="17">
        <f>IF(B361="","","")</f>
        <v/>
      </c>
      <c r="H361" s="17">
        <f>IF(B361="","","")</f>
        <v/>
      </c>
      <c r="I361" s="17">
        <f>IF(B361="","","")</f>
        <v/>
      </c>
      <c r="J361" s="17">
        <f>IF(B361="","","owner: "&amp;Office_Log!AB161&amp;"; window: "&amp;Office_Log!AD161)</f>
        <v/>
      </c>
      <c r="K361" t="inlineStr">
        <is>
          <t>office yes_in_principle</t>
        </is>
      </c>
    </row>
    <row r="362">
      <c r="A362" s="17">
        <f>IF(B362="","",B362+(2*1000+161)/10000000)</f>
        <v/>
      </c>
      <c r="B362" s="23">
        <f>IF(Office_Log!AX162=1,Office_Log!G162,"")</f>
        <v/>
      </c>
      <c r="C362" s="17">
        <f>IF(B362="","","office")</f>
        <v/>
      </c>
      <c r="D362" s="17">
        <f>IF(B362="","",Office_Log!$A162&amp;"")</f>
        <v/>
      </c>
      <c r="E362" s="17">
        <f>IF(B362="","",IF(Office_Log!B162="","",Office_Log!B162&amp;""))</f>
        <v/>
      </c>
      <c r="F362" s="17">
        <f>IF(B362="","","yes_in_principle")</f>
        <v/>
      </c>
      <c r="G362" s="17">
        <f>IF(B362="","","")</f>
        <v/>
      </c>
      <c r="H362" s="17">
        <f>IF(B362="","","")</f>
        <v/>
      </c>
      <c r="I362" s="17">
        <f>IF(B362="","","")</f>
        <v/>
      </c>
      <c r="J362" s="17">
        <f>IF(B362="","","owner: "&amp;Office_Log!AB162&amp;"; window: "&amp;Office_Log!AD162)</f>
        <v/>
      </c>
      <c r="K362" t="inlineStr">
        <is>
          <t>office yes_in_principle</t>
        </is>
      </c>
    </row>
    <row r="363">
      <c r="A363" s="17">
        <f>IF(B363="","",B363+(2*1000+162)/10000000)</f>
        <v/>
      </c>
      <c r="B363" s="23">
        <f>IF(Office_Log!AX163=1,Office_Log!G163,"")</f>
        <v/>
      </c>
      <c r="C363" s="17">
        <f>IF(B363="","","office")</f>
        <v/>
      </c>
      <c r="D363" s="17">
        <f>IF(B363="","",Office_Log!$A163&amp;"")</f>
        <v/>
      </c>
      <c r="E363" s="17">
        <f>IF(B363="","",IF(Office_Log!B163="","",Office_Log!B163&amp;""))</f>
        <v/>
      </c>
      <c r="F363" s="17">
        <f>IF(B363="","","yes_in_principle")</f>
        <v/>
      </c>
      <c r="G363" s="17">
        <f>IF(B363="","","")</f>
        <v/>
      </c>
      <c r="H363" s="17">
        <f>IF(B363="","","")</f>
        <v/>
      </c>
      <c r="I363" s="17">
        <f>IF(B363="","","")</f>
        <v/>
      </c>
      <c r="J363" s="17">
        <f>IF(B363="","","owner: "&amp;Office_Log!AB163&amp;"; window: "&amp;Office_Log!AD163)</f>
        <v/>
      </c>
      <c r="K363" t="inlineStr">
        <is>
          <t>office yes_in_principle</t>
        </is>
      </c>
    </row>
    <row r="364">
      <c r="A364" s="17">
        <f>IF(B364="","",B364+(2*1000+163)/10000000)</f>
        <v/>
      </c>
      <c r="B364" s="23">
        <f>IF(Office_Log!AX164=1,Office_Log!G164,"")</f>
        <v/>
      </c>
      <c r="C364" s="17">
        <f>IF(B364="","","office")</f>
        <v/>
      </c>
      <c r="D364" s="17">
        <f>IF(B364="","",Office_Log!$A164&amp;"")</f>
        <v/>
      </c>
      <c r="E364" s="17">
        <f>IF(B364="","",IF(Office_Log!B164="","",Office_Log!B164&amp;""))</f>
        <v/>
      </c>
      <c r="F364" s="17">
        <f>IF(B364="","","yes_in_principle")</f>
        <v/>
      </c>
      <c r="G364" s="17">
        <f>IF(B364="","","")</f>
        <v/>
      </c>
      <c r="H364" s="17">
        <f>IF(B364="","","")</f>
        <v/>
      </c>
      <c r="I364" s="17">
        <f>IF(B364="","","")</f>
        <v/>
      </c>
      <c r="J364" s="17">
        <f>IF(B364="","","owner: "&amp;Office_Log!AB164&amp;"; window: "&amp;Office_Log!AD164)</f>
        <v/>
      </c>
      <c r="K364" t="inlineStr">
        <is>
          <t>office yes_in_principle</t>
        </is>
      </c>
    </row>
    <row r="365">
      <c r="A365" s="17">
        <f>IF(B365="","",B365+(2*1000+164)/10000000)</f>
        <v/>
      </c>
      <c r="B365" s="23">
        <f>IF(Office_Log!AX165=1,Office_Log!G165,"")</f>
        <v/>
      </c>
      <c r="C365" s="17">
        <f>IF(B365="","","office")</f>
        <v/>
      </c>
      <c r="D365" s="17">
        <f>IF(B365="","",Office_Log!$A165&amp;"")</f>
        <v/>
      </c>
      <c r="E365" s="17">
        <f>IF(B365="","",IF(Office_Log!B165="","",Office_Log!B165&amp;""))</f>
        <v/>
      </c>
      <c r="F365" s="17">
        <f>IF(B365="","","yes_in_principle")</f>
        <v/>
      </c>
      <c r="G365" s="17">
        <f>IF(B365="","","")</f>
        <v/>
      </c>
      <c r="H365" s="17">
        <f>IF(B365="","","")</f>
        <v/>
      </c>
      <c r="I365" s="17">
        <f>IF(B365="","","")</f>
        <v/>
      </c>
      <c r="J365" s="17">
        <f>IF(B365="","","owner: "&amp;Office_Log!AB165&amp;"; window: "&amp;Office_Log!AD165)</f>
        <v/>
      </c>
      <c r="K365" t="inlineStr">
        <is>
          <t>office yes_in_principle</t>
        </is>
      </c>
    </row>
    <row r="366">
      <c r="A366" s="17">
        <f>IF(B366="","",B366+(2*1000+165)/10000000)</f>
        <v/>
      </c>
      <c r="B366" s="23">
        <f>IF(Office_Log!AX166=1,Office_Log!G166,"")</f>
        <v/>
      </c>
      <c r="C366" s="17">
        <f>IF(B366="","","office")</f>
        <v/>
      </c>
      <c r="D366" s="17">
        <f>IF(B366="","",Office_Log!$A166&amp;"")</f>
        <v/>
      </c>
      <c r="E366" s="17">
        <f>IF(B366="","",IF(Office_Log!B166="","",Office_Log!B166&amp;""))</f>
        <v/>
      </c>
      <c r="F366" s="17">
        <f>IF(B366="","","yes_in_principle")</f>
        <v/>
      </c>
      <c r="G366" s="17">
        <f>IF(B366="","","")</f>
        <v/>
      </c>
      <c r="H366" s="17">
        <f>IF(B366="","","")</f>
        <v/>
      </c>
      <c r="I366" s="17">
        <f>IF(B366="","","")</f>
        <v/>
      </c>
      <c r="J366" s="17">
        <f>IF(B366="","","owner: "&amp;Office_Log!AB166&amp;"; window: "&amp;Office_Log!AD166)</f>
        <v/>
      </c>
      <c r="K366" t="inlineStr">
        <is>
          <t>office yes_in_principle</t>
        </is>
      </c>
    </row>
    <row r="367">
      <c r="A367" s="17">
        <f>IF(B367="","",B367+(2*1000+166)/10000000)</f>
        <v/>
      </c>
      <c r="B367" s="23">
        <f>IF(Office_Log!AX167=1,Office_Log!G167,"")</f>
        <v/>
      </c>
      <c r="C367" s="17">
        <f>IF(B367="","","office")</f>
        <v/>
      </c>
      <c r="D367" s="17">
        <f>IF(B367="","",Office_Log!$A167&amp;"")</f>
        <v/>
      </c>
      <c r="E367" s="17">
        <f>IF(B367="","",IF(Office_Log!B167="","",Office_Log!B167&amp;""))</f>
        <v/>
      </c>
      <c r="F367" s="17">
        <f>IF(B367="","","yes_in_principle")</f>
        <v/>
      </c>
      <c r="G367" s="17">
        <f>IF(B367="","","")</f>
        <v/>
      </c>
      <c r="H367" s="17">
        <f>IF(B367="","","")</f>
        <v/>
      </c>
      <c r="I367" s="17">
        <f>IF(B367="","","")</f>
        <v/>
      </c>
      <c r="J367" s="17">
        <f>IF(B367="","","owner: "&amp;Office_Log!AB167&amp;"; window: "&amp;Office_Log!AD167)</f>
        <v/>
      </c>
      <c r="K367" t="inlineStr">
        <is>
          <t>office yes_in_principle</t>
        </is>
      </c>
    </row>
    <row r="368">
      <c r="A368" s="17">
        <f>IF(B368="","",B368+(2*1000+167)/10000000)</f>
        <v/>
      </c>
      <c r="B368" s="23">
        <f>IF(Office_Log!AX168=1,Office_Log!G168,"")</f>
        <v/>
      </c>
      <c r="C368" s="17">
        <f>IF(B368="","","office")</f>
        <v/>
      </c>
      <c r="D368" s="17">
        <f>IF(B368="","",Office_Log!$A168&amp;"")</f>
        <v/>
      </c>
      <c r="E368" s="17">
        <f>IF(B368="","",IF(Office_Log!B168="","",Office_Log!B168&amp;""))</f>
        <v/>
      </c>
      <c r="F368" s="17">
        <f>IF(B368="","","yes_in_principle")</f>
        <v/>
      </c>
      <c r="G368" s="17">
        <f>IF(B368="","","")</f>
        <v/>
      </c>
      <c r="H368" s="17">
        <f>IF(B368="","","")</f>
        <v/>
      </c>
      <c r="I368" s="17">
        <f>IF(B368="","","")</f>
        <v/>
      </c>
      <c r="J368" s="17">
        <f>IF(B368="","","owner: "&amp;Office_Log!AB168&amp;"; window: "&amp;Office_Log!AD168)</f>
        <v/>
      </c>
      <c r="K368" t="inlineStr">
        <is>
          <t>office yes_in_principle</t>
        </is>
      </c>
    </row>
    <row r="369">
      <c r="A369" s="17">
        <f>IF(B369="","",B369+(2*1000+168)/10000000)</f>
        <v/>
      </c>
      <c r="B369" s="23">
        <f>IF(Office_Log!AX169=1,Office_Log!G169,"")</f>
        <v/>
      </c>
      <c r="C369" s="17">
        <f>IF(B369="","","office")</f>
        <v/>
      </c>
      <c r="D369" s="17">
        <f>IF(B369="","",Office_Log!$A169&amp;"")</f>
        <v/>
      </c>
      <c r="E369" s="17">
        <f>IF(B369="","",IF(Office_Log!B169="","",Office_Log!B169&amp;""))</f>
        <v/>
      </c>
      <c r="F369" s="17">
        <f>IF(B369="","","yes_in_principle")</f>
        <v/>
      </c>
      <c r="G369" s="17">
        <f>IF(B369="","","")</f>
        <v/>
      </c>
      <c r="H369" s="17">
        <f>IF(B369="","","")</f>
        <v/>
      </c>
      <c r="I369" s="17">
        <f>IF(B369="","","")</f>
        <v/>
      </c>
      <c r="J369" s="17">
        <f>IF(B369="","","owner: "&amp;Office_Log!AB169&amp;"; window: "&amp;Office_Log!AD169)</f>
        <v/>
      </c>
      <c r="K369" t="inlineStr">
        <is>
          <t>office yes_in_principle</t>
        </is>
      </c>
    </row>
    <row r="370">
      <c r="A370" s="17">
        <f>IF(B370="","",B370+(2*1000+169)/10000000)</f>
        <v/>
      </c>
      <c r="B370" s="23">
        <f>IF(Office_Log!AX170=1,Office_Log!G170,"")</f>
        <v/>
      </c>
      <c r="C370" s="17">
        <f>IF(B370="","","office")</f>
        <v/>
      </c>
      <c r="D370" s="17">
        <f>IF(B370="","",Office_Log!$A170&amp;"")</f>
        <v/>
      </c>
      <c r="E370" s="17">
        <f>IF(B370="","",IF(Office_Log!B170="","",Office_Log!B170&amp;""))</f>
        <v/>
      </c>
      <c r="F370" s="17">
        <f>IF(B370="","","yes_in_principle")</f>
        <v/>
      </c>
      <c r="G370" s="17">
        <f>IF(B370="","","")</f>
        <v/>
      </c>
      <c r="H370" s="17">
        <f>IF(B370="","","")</f>
        <v/>
      </c>
      <c r="I370" s="17">
        <f>IF(B370="","","")</f>
        <v/>
      </c>
      <c r="J370" s="17">
        <f>IF(B370="","","owner: "&amp;Office_Log!AB170&amp;"; window: "&amp;Office_Log!AD170)</f>
        <v/>
      </c>
      <c r="K370" t="inlineStr">
        <is>
          <t>office yes_in_principle</t>
        </is>
      </c>
    </row>
    <row r="371">
      <c r="A371" s="17">
        <f>IF(B371="","",B371+(2*1000+170)/10000000)</f>
        <v/>
      </c>
      <c r="B371" s="23">
        <f>IF(Office_Log!AX171=1,Office_Log!G171,"")</f>
        <v/>
      </c>
      <c r="C371" s="17">
        <f>IF(B371="","","office")</f>
        <v/>
      </c>
      <c r="D371" s="17">
        <f>IF(B371="","",Office_Log!$A171&amp;"")</f>
        <v/>
      </c>
      <c r="E371" s="17">
        <f>IF(B371="","",IF(Office_Log!B171="","",Office_Log!B171&amp;""))</f>
        <v/>
      </c>
      <c r="F371" s="17">
        <f>IF(B371="","","yes_in_principle")</f>
        <v/>
      </c>
      <c r="G371" s="17">
        <f>IF(B371="","","")</f>
        <v/>
      </c>
      <c r="H371" s="17">
        <f>IF(B371="","","")</f>
        <v/>
      </c>
      <c r="I371" s="17">
        <f>IF(B371="","","")</f>
        <v/>
      </c>
      <c r="J371" s="17">
        <f>IF(B371="","","owner: "&amp;Office_Log!AB171&amp;"; window: "&amp;Office_Log!AD171)</f>
        <v/>
      </c>
      <c r="K371" t="inlineStr">
        <is>
          <t>office yes_in_principle</t>
        </is>
      </c>
    </row>
    <row r="372">
      <c r="A372" s="17">
        <f>IF(B372="","",B372+(2*1000+171)/10000000)</f>
        <v/>
      </c>
      <c r="B372" s="23">
        <f>IF(Office_Log!AX172=1,Office_Log!G172,"")</f>
        <v/>
      </c>
      <c r="C372" s="17">
        <f>IF(B372="","","office")</f>
        <v/>
      </c>
      <c r="D372" s="17">
        <f>IF(B372="","",Office_Log!$A172&amp;"")</f>
        <v/>
      </c>
      <c r="E372" s="17">
        <f>IF(B372="","",IF(Office_Log!B172="","",Office_Log!B172&amp;""))</f>
        <v/>
      </c>
      <c r="F372" s="17">
        <f>IF(B372="","","yes_in_principle")</f>
        <v/>
      </c>
      <c r="G372" s="17">
        <f>IF(B372="","","")</f>
        <v/>
      </c>
      <c r="H372" s="17">
        <f>IF(B372="","","")</f>
        <v/>
      </c>
      <c r="I372" s="17">
        <f>IF(B372="","","")</f>
        <v/>
      </c>
      <c r="J372" s="17">
        <f>IF(B372="","","owner: "&amp;Office_Log!AB172&amp;"; window: "&amp;Office_Log!AD172)</f>
        <v/>
      </c>
      <c r="K372" t="inlineStr">
        <is>
          <t>office yes_in_principle</t>
        </is>
      </c>
    </row>
    <row r="373">
      <c r="A373" s="17">
        <f>IF(B373="","",B373+(2*1000+172)/10000000)</f>
        <v/>
      </c>
      <c r="B373" s="23">
        <f>IF(Office_Log!AX173=1,Office_Log!G173,"")</f>
        <v/>
      </c>
      <c r="C373" s="17">
        <f>IF(B373="","","office")</f>
        <v/>
      </c>
      <c r="D373" s="17">
        <f>IF(B373="","",Office_Log!$A173&amp;"")</f>
        <v/>
      </c>
      <c r="E373" s="17">
        <f>IF(B373="","",IF(Office_Log!B173="","",Office_Log!B173&amp;""))</f>
        <v/>
      </c>
      <c r="F373" s="17">
        <f>IF(B373="","","yes_in_principle")</f>
        <v/>
      </c>
      <c r="G373" s="17">
        <f>IF(B373="","","")</f>
        <v/>
      </c>
      <c r="H373" s="17">
        <f>IF(B373="","","")</f>
        <v/>
      </c>
      <c r="I373" s="17">
        <f>IF(B373="","","")</f>
        <v/>
      </c>
      <c r="J373" s="17">
        <f>IF(B373="","","owner: "&amp;Office_Log!AB173&amp;"; window: "&amp;Office_Log!AD173)</f>
        <v/>
      </c>
      <c r="K373" t="inlineStr">
        <is>
          <t>office yes_in_principle</t>
        </is>
      </c>
    </row>
    <row r="374">
      <c r="A374" s="17">
        <f>IF(B374="","",B374+(2*1000+173)/10000000)</f>
        <v/>
      </c>
      <c r="B374" s="23">
        <f>IF(Office_Log!AX174=1,Office_Log!G174,"")</f>
        <v/>
      </c>
      <c r="C374" s="17">
        <f>IF(B374="","","office")</f>
        <v/>
      </c>
      <c r="D374" s="17">
        <f>IF(B374="","",Office_Log!$A174&amp;"")</f>
        <v/>
      </c>
      <c r="E374" s="17">
        <f>IF(B374="","",IF(Office_Log!B174="","",Office_Log!B174&amp;""))</f>
        <v/>
      </c>
      <c r="F374" s="17">
        <f>IF(B374="","","yes_in_principle")</f>
        <v/>
      </c>
      <c r="G374" s="17">
        <f>IF(B374="","","")</f>
        <v/>
      </c>
      <c r="H374" s="17">
        <f>IF(B374="","","")</f>
        <v/>
      </c>
      <c r="I374" s="17">
        <f>IF(B374="","","")</f>
        <v/>
      </c>
      <c r="J374" s="17">
        <f>IF(B374="","","owner: "&amp;Office_Log!AB174&amp;"; window: "&amp;Office_Log!AD174)</f>
        <v/>
      </c>
      <c r="K374" t="inlineStr">
        <is>
          <t>office yes_in_principle</t>
        </is>
      </c>
    </row>
    <row r="375">
      <c r="A375" s="17">
        <f>IF(B375="","",B375+(2*1000+174)/10000000)</f>
        <v/>
      </c>
      <c r="B375" s="23">
        <f>IF(Office_Log!AX175=1,Office_Log!G175,"")</f>
        <v/>
      </c>
      <c r="C375" s="17">
        <f>IF(B375="","","office")</f>
        <v/>
      </c>
      <c r="D375" s="17">
        <f>IF(B375="","",Office_Log!$A175&amp;"")</f>
        <v/>
      </c>
      <c r="E375" s="17">
        <f>IF(B375="","",IF(Office_Log!B175="","",Office_Log!B175&amp;""))</f>
        <v/>
      </c>
      <c r="F375" s="17">
        <f>IF(B375="","","yes_in_principle")</f>
        <v/>
      </c>
      <c r="G375" s="17">
        <f>IF(B375="","","")</f>
        <v/>
      </c>
      <c r="H375" s="17">
        <f>IF(B375="","","")</f>
        <v/>
      </c>
      <c r="I375" s="17">
        <f>IF(B375="","","")</f>
        <v/>
      </c>
      <c r="J375" s="17">
        <f>IF(B375="","","owner: "&amp;Office_Log!AB175&amp;"; window: "&amp;Office_Log!AD175)</f>
        <v/>
      </c>
      <c r="K375" t="inlineStr">
        <is>
          <t>office yes_in_principle</t>
        </is>
      </c>
    </row>
    <row r="376">
      <c r="A376" s="17">
        <f>IF(B376="","",B376+(2*1000+175)/10000000)</f>
        <v/>
      </c>
      <c r="B376" s="23">
        <f>IF(Office_Log!AX176=1,Office_Log!G176,"")</f>
        <v/>
      </c>
      <c r="C376" s="17">
        <f>IF(B376="","","office")</f>
        <v/>
      </c>
      <c r="D376" s="17">
        <f>IF(B376="","",Office_Log!$A176&amp;"")</f>
        <v/>
      </c>
      <c r="E376" s="17">
        <f>IF(B376="","",IF(Office_Log!B176="","",Office_Log!B176&amp;""))</f>
        <v/>
      </c>
      <c r="F376" s="17">
        <f>IF(B376="","","yes_in_principle")</f>
        <v/>
      </c>
      <c r="G376" s="17">
        <f>IF(B376="","","")</f>
        <v/>
      </c>
      <c r="H376" s="17">
        <f>IF(B376="","","")</f>
        <v/>
      </c>
      <c r="I376" s="17">
        <f>IF(B376="","","")</f>
        <v/>
      </c>
      <c r="J376" s="17">
        <f>IF(B376="","","owner: "&amp;Office_Log!AB176&amp;"; window: "&amp;Office_Log!AD176)</f>
        <v/>
      </c>
      <c r="K376" t="inlineStr">
        <is>
          <t>office yes_in_principle</t>
        </is>
      </c>
    </row>
    <row r="377">
      <c r="A377" s="17">
        <f>IF(B377="","",B377+(2*1000+176)/10000000)</f>
        <v/>
      </c>
      <c r="B377" s="23">
        <f>IF(Office_Log!AX177=1,Office_Log!G177,"")</f>
        <v/>
      </c>
      <c r="C377" s="17">
        <f>IF(B377="","","office")</f>
        <v/>
      </c>
      <c r="D377" s="17">
        <f>IF(B377="","",Office_Log!$A177&amp;"")</f>
        <v/>
      </c>
      <c r="E377" s="17">
        <f>IF(B377="","",IF(Office_Log!B177="","",Office_Log!B177&amp;""))</f>
        <v/>
      </c>
      <c r="F377" s="17">
        <f>IF(B377="","","yes_in_principle")</f>
        <v/>
      </c>
      <c r="G377" s="17">
        <f>IF(B377="","","")</f>
        <v/>
      </c>
      <c r="H377" s="17">
        <f>IF(B377="","","")</f>
        <v/>
      </c>
      <c r="I377" s="17">
        <f>IF(B377="","","")</f>
        <v/>
      </c>
      <c r="J377" s="17">
        <f>IF(B377="","","owner: "&amp;Office_Log!AB177&amp;"; window: "&amp;Office_Log!AD177)</f>
        <v/>
      </c>
      <c r="K377" t="inlineStr">
        <is>
          <t>office yes_in_principle</t>
        </is>
      </c>
    </row>
    <row r="378">
      <c r="A378" s="17">
        <f>IF(B378="","",B378+(2*1000+177)/10000000)</f>
        <v/>
      </c>
      <c r="B378" s="23">
        <f>IF(Office_Log!AX178=1,Office_Log!G178,"")</f>
        <v/>
      </c>
      <c r="C378" s="17">
        <f>IF(B378="","","office")</f>
        <v/>
      </c>
      <c r="D378" s="17">
        <f>IF(B378="","",Office_Log!$A178&amp;"")</f>
        <v/>
      </c>
      <c r="E378" s="17">
        <f>IF(B378="","",IF(Office_Log!B178="","",Office_Log!B178&amp;""))</f>
        <v/>
      </c>
      <c r="F378" s="17">
        <f>IF(B378="","","yes_in_principle")</f>
        <v/>
      </c>
      <c r="G378" s="17">
        <f>IF(B378="","","")</f>
        <v/>
      </c>
      <c r="H378" s="17">
        <f>IF(B378="","","")</f>
        <v/>
      </c>
      <c r="I378" s="17">
        <f>IF(B378="","","")</f>
        <v/>
      </c>
      <c r="J378" s="17">
        <f>IF(B378="","","owner: "&amp;Office_Log!AB178&amp;"; window: "&amp;Office_Log!AD178)</f>
        <v/>
      </c>
      <c r="K378" t="inlineStr">
        <is>
          <t>office yes_in_principle</t>
        </is>
      </c>
    </row>
    <row r="379">
      <c r="A379" s="17">
        <f>IF(B379="","",B379+(2*1000+178)/10000000)</f>
        <v/>
      </c>
      <c r="B379" s="23">
        <f>IF(Office_Log!AX179=1,Office_Log!G179,"")</f>
        <v/>
      </c>
      <c r="C379" s="17">
        <f>IF(B379="","","office")</f>
        <v/>
      </c>
      <c r="D379" s="17">
        <f>IF(B379="","",Office_Log!$A179&amp;"")</f>
        <v/>
      </c>
      <c r="E379" s="17">
        <f>IF(B379="","",IF(Office_Log!B179="","",Office_Log!B179&amp;""))</f>
        <v/>
      </c>
      <c r="F379" s="17">
        <f>IF(B379="","","yes_in_principle")</f>
        <v/>
      </c>
      <c r="G379" s="17">
        <f>IF(B379="","","")</f>
        <v/>
      </c>
      <c r="H379" s="17">
        <f>IF(B379="","","")</f>
        <v/>
      </c>
      <c r="I379" s="17">
        <f>IF(B379="","","")</f>
        <v/>
      </c>
      <c r="J379" s="17">
        <f>IF(B379="","","owner: "&amp;Office_Log!AB179&amp;"; window: "&amp;Office_Log!AD179)</f>
        <v/>
      </c>
      <c r="K379" t="inlineStr">
        <is>
          <t>office yes_in_principle</t>
        </is>
      </c>
    </row>
    <row r="380">
      <c r="A380" s="17">
        <f>IF(B380="","",B380+(2*1000+179)/10000000)</f>
        <v/>
      </c>
      <c r="B380" s="23">
        <f>IF(Office_Log!AX180=1,Office_Log!G180,"")</f>
        <v/>
      </c>
      <c r="C380" s="17">
        <f>IF(B380="","","office")</f>
        <v/>
      </c>
      <c r="D380" s="17">
        <f>IF(B380="","",Office_Log!$A180&amp;"")</f>
        <v/>
      </c>
      <c r="E380" s="17">
        <f>IF(B380="","",IF(Office_Log!B180="","",Office_Log!B180&amp;""))</f>
        <v/>
      </c>
      <c r="F380" s="17">
        <f>IF(B380="","","yes_in_principle")</f>
        <v/>
      </c>
      <c r="G380" s="17">
        <f>IF(B380="","","")</f>
        <v/>
      </c>
      <c r="H380" s="17">
        <f>IF(B380="","","")</f>
        <v/>
      </c>
      <c r="I380" s="17">
        <f>IF(B380="","","")</f>
        <v/>
      </c>
      <c r="J380" s="17">
        <f>IF(B380="","","owner: "&amp;Office_Log!AB180&amp;"; window: "&amp;Office_Log!AD180)</f>
        <v/>
      </c>
      <c r="K380" t="inlineStr">
        <is>
          <t>office yes_in_principle</t>
        </is>
      </c>
    </row>
    <row r="381">
      <c r="A381" s="17">
        <f>IF(B381="","",B381+(2*1000+180)/10000000)</f>
        <v/>
      </c>
      <c r="B381" s="23">
        <f>IF(Office_Log!AX181=1,Office_Log!G181,"")</f>
        <v/>
      </c>
      <c r="C381" s="17">
        <f>IF(B381="","","office")</f>
        <v/>
      </c>
      <c r="D381" s="17">
        <f>IF(B381="","",Office_Log!$A181&amp;"")</f>
        <v/>
      </c>
      <c r="E381" s="17">
        <f>IF(B381="","",IF(Office_Log!B181="","",Office_Log!B181&amp;""))</f>
        <v/>
      </c>
      <c r="F381" s="17">
        <f>IF(B381="","","yes_in_principle")</f>
        <v/>
      </c>
      <c r="G381" s="17">
        <f>IF(B381="","","")</f>
        <v/>
      </c>
      <c r="H381" s="17">
        <f>IF(B381="","","")</f>
        <v/>
      </c>
      <c r="I381" s="17">
        <f>IF(B381="","","")</f>
        <v/>
      </c>
      <c r="J381" s="17">
        <f>IF(B381="","","owner: "&amp;Office_Log!AB181&amp;"; window: "&amp;Office_Log!AD181)</f>
        <v/>
      </c>
      <c r="K381" t="inlineStr">
        <is>
          <t>office yes_in_principle</t>
        </is>
      </c>
    </row>
    <row r="382">
      <c r="A382" s="17">
        <f>IF(B382="","",B382+(2*1000+181)/10000000)</f>
        <v/>
      </c>
      <c r="B382" s="23">
        <f>IF(Office_Log!AX182=1,Office_Log!G182,"")</f>
        <v/>
      </c>
      <c r="C382" s="17">
        <f>IF(B382="","","office")</f>
        <v/>
      </c>
      <c r="D382" s="17">
        <f>IF(B382="","",Office_Log!$A182&amp;"")</f>
        <v/>
      </c>
      <c r="E382" s="17">
        <f>IF(B382="","",IF(Office_Log!B182="","",Office_Log!B182&amp;""))</f>
        <v/>
      </c>
      <c r="F382" s="17">
        <f>IF(B382="","","yes_in_principle")</f>
        <v/>
      </c>
      <c r="G382" s="17">
        <f>IF(B382="","","")</f>
        <v/>
      </c>
      <c r="H382" s="17">
        <f>IF(B382="","","")</f>
        <v/>
      </c>
      <c r="I382" s="17">
        <f>IF(B382="","","")</f>
        <v/>
      </c>
      <c r="J382" s="17">
        <f>IF(B382="","","owner: "&amp;Office_Log!AB182&amp;"; window: "&amp;Office_Log!AD182)</f>
        <v/>
      </c>
      <c r="K382" t="inlineStr">
        <is>
          <t>office yes_in_principle</t>
        </is>
      </c>
    </row>
    <row r="383">
      <c r="A383" s="17">
        <f>IF(B383="","",B383+(2*1000+182)/10000000)</f>
        <v/>
      </c>
      <c r="B383" s="23">
        <f>IF(Office_Log!AX183=1,Office_Log!G183,"")</f>
        <v/>
      </c>
      <c r="C383" s="17">
        <f>IF(B383="","","office")</f>
        <v/>
      </c>
      <c r="D383" s="17">
        <f>IF(B383="","",Office_Log!$A183&amp;"")</f>
        <v/>
      </c>
      <c r="E383" s="17">
        <f>IF(B383="","",IF(Office_Log!B183="","",Office_Log!B183&amp;""))</f>
        <v/>
      </c>
      <c r="F383" s="17">
        <f>IF(B383="","","yes_in_principle")</f>
        <v/>
      </c>
      <c r="G383" s="17">
        <f>IF(B383="","","")</f>
        <v/>
      </c>
      <c r="H383" s="17">
        <f>IF(B383="","","")</f>
        <v/>
      </c>
      <c r="I383" s="17">
        <f>IF(B383="","","")</f>
        <v/>
      </c>
      <c r="J383" s="17">
        <f>IF(B383="","","owner: "&amp;Office_Log!AB183&amp;"; window: "&amp;Office_Log!AD183)</f>
        <v/>
      </c>
      <c r="K383" t="inlineStr">
        <is>
          <t>office yes_in_principle</t>
        </is>
      </c>
    </row>
    <row r="384">
      <c r="A384" s="17">
        <f>IF(B384="","",B384+(2*1000+183)/10000000)</f>
        <v/>
      </c>
      <c r="B384" s="23">
        <f>IF(Office_Log!AX184=1,Office_Log!G184,"")</f>
        <v/>
      </c>
      <c r="C384" s="17">
        <f>IF(B384="","","office")</f>
        <v/>
      </c>
      <c r="D384" s="17">
        <f>IF(B384="","",Office_Log!$A184&amp;"")</f>
        <v/>
      </c>
      <c r="E384" s="17">
        <f>IF(B384="","",IF(Office_Log!B184="","",Office_Log!B184&amp;""))</f>
        <v/>
      </c>
      <c r="F384" s="17">
        <f>IF(B384="","","yes_in_principle")</f>
        <v/>
      </c>
      <c r="G384" s="17">
        <f>IF(B384="","","")</f>
        <v/>
      </c>
      <c r="H384" s="17">
        <f>IF(B384="","","")</f>
        <v/>
      </c>
      <c r="I384" s="17">
        <f>IF(B384="","","")</f>
        <v/>
      </c>
      <c r="J384" s="17">
        <f>IF(B384="","","owner: "&amp;Office_Log!AB184&amp;"; window: "&amp;Office_Log!AD184)</f>
        <v/>
      </c>
      <c r="K384" t="inlineStr">
        <is>
          <t>office yes_in_principle</t>
        </is>
      </c>
    </row>
    <row r="385">
      <c r="A385" s="17">
        <f>IF(B385="","",B385+(2*1000+184)/10000000)</f>
        <v/>
      </c>
      <c r="B385" s="23">
        <f>IF(Office_Log!AX185=1,Office_Log!G185,"")</f>
        <v/>
      </c>
      <c r="C385" s="17">
        <f>IF(B385="","","office")</f>
        <v/>
      </c>
      <c r="D385" s="17">
        <f>IF(B385="","",Office_Log!$A185&amp;"")</f>
        <v/>
      </c>
      <c r="E385" s="17">
        <f>IF(B385="","",IF(Office_Log!B185="","",Office_Log!B185&amp;""))</f>
        <v/>
      </c>
      <c r="F385" s="17">
        <f>IF(B385="","","yes_in_principle")</f>
        <v/>
      </c>
      <c r="G385" s="17">
        <f>IF(B385="","","")</f>
        <v/>
      </c>
      <c r="H385" s="17">
        <f>IF(B385="","","")</f>
        <v/>
      </c>
      <c r="I385" s="17">
        <f>IF(B385="","","")</f>
        <v/>
      </c>
      <c r="J385" s="17">
        <f>IF(B385="","","owner: "&amp;Office_Log!AB185&amp;"; window: "&amp;Office_Log!AD185)</f>
        <v/>
      </c>
      <c r="K385" t="inlineStr">
        <is>
          <t>office yes_in_principle</t>
        </is>
      </c>
    </row>
    <row r="386">
      <c r="A386" s="17">
        <f>IF(B386="","",B386+(2*1000+185)/10000000)</f>
        <v/>
      </c>
      <c r="B386" s="23">
        <f>IF(Office_Log!AX186=1,Office_Log!G186,"")</f>
        <v/>
      </c>
      <c r="C386" s="17">
        <f>IF(B386="","","office")</f>
        <v/>
      </c>
      <c r="D386" s="17">
        <f>IF(B386="","",Office_Log!$A186&amp;"")</f>
        <v/>
      </c>
      <c r="E386" s="17">
        <f>IF(B386="","",IF(Office_Log!B186="","",Office_Log!B186&amp;""))</f>
        <v/>
      </c>
      <c r="F386" s="17">
        <f>IF(B386="","","yes_in_principle")</f>
        <v/>
      </c>
      <c r="G386" s="17">
        <f>IF(B386="","","")</f>
        <v/>
      </c>
      <c r="H386" s="17">
        <f>IF(B386="","","")</f>
        <v/>
      </c>
      <c r="I386" s="17">
        <f>IF(B386="","","")</f>
        <v/>
      </c>
      <c r="J386" s="17">
        <f>IF(B386="","","owner: "&amp;Office_Log!AB186&amp;"; window: "&amp;Office_Log!AD186)</f>
        <v/>
      </c>
      <c r="K386" t="inlineStr">
        <is>
          <t>office yes_in_principle</t>
        </is>
      </c>
    </row>
    <row r="387">
      <c r="A387" s="17">
        <f>IF(B387="","",B387+(2*1000+186)/10000000)</f>
        <v/>
      </c>
      <c r="B387" s="23">
        <f>IF(Office_Log!AX187=1,Office_Log!G187,"")</f>
        <v/>
      </c>
      <c r="C387" s="17">
        <f>IF(B387="","","office")</f>
        <v/>
      </c>
      <c r="D387" s="17">
        <f>IF(B387="","",Office_Log!$A187&amp;"")</f>
        <v/>
      </c>
      <c r="E387" s="17">
        <f>IF(B387="","",IF(Office_Log!B187="","",Office_Log!B187&amp;""))</f>
        <v/>
      </c>
      <c r="F387" s="17">
        <f>IF(B387="","","yes_in_principle")</f>
        <v/>
      </c>
      <c r="G387" s="17">
        <f>IF(B387="","","")</f>
        <v/>
      </c>
      <c r="H387" s="17">
        <f>IF(B387="","","")</f>
        <v/>
      </c>
      <c r="I387" s="17">
        <f>IF(B387="","","")</f>
        <v/>
      </c>
      <c r="J387" s="17">
        <f>IF(B387="","","owner: "&amp;Office_Log!AB187&amp;"; window: "&amp;Office_Log!AD187)</f>
        <v/>
      </c>
      <c r="K387" t="inlineStr">
        <is>
          <t>office yes_in_principle</t>
        </is>
      </c>
    </row>
    <row r="388">
      <c r="A388" s="17">
        <f>IF(B388="","",B388+(2*1000+187)/10000000)</f>
        <v/>
      </c>
      <c r="B388" s="23">
        <f>IF(Office_Log!AX188=1,Office_Log!G188,"")</f>
        <v/>
      </c>
      <c r="C388" s="17">
        <f>IF(B388="","","office")</f>
        <v/>
      </c>
      <c r="D388" s="17">
        <f>IF(B388="","",Office_Log!$A188&amp;"")</f>
        <v/>
      </c>
      <c r="E388" s="17">
        <f>IF(B388="","",IF(Office_Log!B188="","",Office_Log!B188&amp;""))</f>
        <v/>
      </c>
      <c r="F388" s="17">
        <f>IF(B388="","","yes_in_principle")</f>
        <v/>
      </c>
      <c r="G388" s="17">
        <f>IF(B388="","","")</f>
        <v/>
      </c>
      <c r="H388" s="17">
        <f>IF(B388="","","")</f>
        <v/>
      </c>
      <c r="I388" s="17">
        <f>IF(B388="","","")</f>
        <v/>
      </c>
      <c r="J388" s="17">
        <f>IF(B388="","","owner: "&amp;Office_Log!AB188&amp;"; window: "&amp;Office_Log!AD188)</f>
        <v/>
      </c>
      <c r="K388" t="inlineStr">
        <is>
          <t>office yes_in_principle</t>
        </is>
      </c>
    </row>
    <row r="389">
      <c r="A389" s="17">
        <f>IF(B389="","",B389+(2*1000+188)/10000000)</f>
        <v/>
      </c>
      <c r="B389" s="23">
        <f>IF(Office_Log!AX189=1,Office_Log!G189,"")</f>
        <v/>
      </c>
      <c r="C389" s="17">
        <f>IF(B389="","","office")</f>
        <v/>
      </c>
      <c r="D389" s="17">
        <f>IF(B389="","",Office_Log!$A189&amp;"")</f>
        <v/>
      </c>
      <c r="E389" s="17">
        <f>IF(B389="","",IF(Office_Log!B189="","",Office_Log!B189&amp;""))</f>
        <v/>
      </c>
      <c r="F389" s="17">
        <f>IF(B389="","","yes_in_principle")</f>
        <v/>
      </c>
      <c r="G389" s="17">
        <f>IF(B389="","","")</f>
        <v/>
      </c>
      <c r="H389" s="17">
        <f>IF(B389="","","")</f>
        <v/>
      </c>
      <c r="I389" s="17">
        <f>IF(B389="","","")</f>
        <v/>
      </c>
      <c r="J389" s="17">
        <f>IF(B389="","","owner: "&amp;Office_Log!AB189&amp;"; window: "&amp;Office_Log!AD189)</f>
        <v/>
      </c>
      <c r="K389" t="inlineStr">
        <is>
          <t>office yes_in_principle</t>
        </is>
      </c>
    </row>
    <row r="390">
      <c r="A390" s="17">
        <f>IF(B390="","",B390+(2*1000+189)/10000000)</f>
        <v/>
      </c>
      <c r="B390" s="23">
        <f>IF(Office_Log!AX190=1,Office_Log!G190,"")</f>
        <v/>
      </c>
      <c r="C390" s="17">
        <f>IF(B390="","","office")</f>
        <v/>
      </c>
      <c r="D390" s="17">
        <f>IF(B390="","",Office_Log!$A190&amp;"")</f>
        <v/>
      </c>
      <c r="E390" s="17">
        <f>IF(B390="","",IF(Office_Log!B190="","",Office_Log!B190&amp;""))</f>
        <v/>
      </c>
      <c r="F390" s="17">
        <f>IF(B390="","","yes_in_principle")</f>
        <v/>
      </c>
      <c r="G390" s="17">
        <f>IF(B390="","","")</f>
        <v/>
      </c>
      <c r="H390" s="17">
        <f>IF(B390="","","")</f>
        <v/>
      </c>
      <c r="I390" s="17">
        <f>IF(B390="","","")</f>
        <v/>
      </c>
      <c r="J390" s="17">
        <f>IF(B390="","","owner: "&amp;Office_Log!AB190&amp;"; window: "&amp;Office_Log!AD190)</f>
        <v/>
      </c>
      <c r="K390" t="inlineStr">
        <is>
          <t>office yes_in_principle</t>
        </is>
      </c>
    </row>
    <row r="391">
      <c r="A391" s="17">
        <f>IF(B391="","",B391+(2*1000+190)/10000000)</f>
        <v/>
      </c>
      <c r="B391" s="23">
        <f>IF(Office_Log!AX191=1,Office_Log!G191,"")</f>
        <v/>
      </c>
      <c r="C391" s="17">
        <f>IF(B391="","","office")</f>
        <v/>
      </c>
      <c r="D391" s="17">
        <f>IF(B391="","",Office_Log!$A191&amp;"")</f>
        <v/>
      </c>
      <c r="E391" s="17">
        <f>IF(B391="","",IF(Office_Log!B191="","",Office_Log!B191&amp;""))</f>
        <v/>
      </c>
      <c r="F391" s="17">
        <f>IF(B391="","","yes_in_principle")</f>
        <v/>
      </c>
      <c r="G391" s="17">
        <f>IF(B391="","","")</f>
        <v/>
      </c>
      <c r="H391" s="17">
        <f>IF(B391="","","")</f>
        <v/>
      </c>
      <c r="I391" s="17">
        <f>IF(B391="","","")</f>
        <v/>
      </c>
      <c r="J391" s="17">
        <f>IF(B391="","","owner: "&amp;Office_Log!AB191&amp;"; window: "&amp;Office_Log!AD191)</f>
        <v/>
      </c>
      <c r="K391" t="inlineStr">
        <is>
          <t>office yes_in_principle</t>
        </is>
      </c>
    </row>
    <row r="392">
      <c r="A392" s="17">
        <f>IF(B392="","",B392+(2*1000+191)/10000000)</f>
        <v/>
      </c>
      <c r="B392" s="23">
        <f>IF(Office_Log!AX192=1,Office_Log!G192,"")</f>
        <v/>
      </c>
      <c r="C392" s="17">
        <f>IF(B392="","","office")</f>
        <v/>
      </c>
      <c r="D392" s="17">
        <f>IF(B392="","",Office_Log!$A192&amp;"")</f>
        <v/>
      </c>
      <c r="E392" s="17">
        <f>IF(B392="","",IF(Office_Log!B192="","",Office_Log!B192&amp;""))</f>
        <v/>
      </c>
      <c r="F392" s="17">
        <f>IF(B392="","","yes_in_principle")</f>
        <v/>
      </c>
      <c r="G392" s="17">
        <f>IF(B392="","","")</f>
        <v/>
      </c>
      <c r="H392" s="17">
        <f>IF(B392="","","")</f>
        <v/>
      </c>
      <c r="I392" s="17">
        <f>IF(B392="","","")</f>
        <v/>
      </c>
      <c r="J392" s="17">
        <f>IF(B392="","","owner: "&amp;Office_Log!AB192&amp;"; window: "&amp;Office_Log!AD192)</f>
        <v/>
      </c>
      <c r="K392" t="inlineStr">
        <is>
          <t>office yes_in_principle</t>
        </is>
      </c>
    </row>
    <row r="393">
      <c r="A393" s="17">
        <f>IF(B393="","",B393+(2*1000+192)/10000000)</f>
        <v/>
      </c>
      <c r="B393" s="23">
        <f>IF(Office_Log!AX193=1,Office_Log!G193,"")</f>
        <v/>
      </c>
      <c r="C393" s="17">
        <f>IF(B393="","","office")</f>
        <v/>
      </c>
      <c r="D393" s="17">
        <f>IF(B393="","",Office_Log!$A193&amp;"")</f>
        <v/>
      </c>
      <c r="E393" s="17">
        <f>IF(B393="","",IF(Office_Log!B193="","",Office_Log!B193&amp;""))</f>
        <v/>
      </c>
      <c r="F393" s="17">
        <f>IF(B393="","","yes_in_principle")</f>
        <v/>
      </c>
      <c r="G393" s="17">
        <f>IF(B393="","","")</f>
        <v/>
      </c>
      <c r="H393" s="17">
        <f>IF(B393="","","")</f>
        <v/>
      </c>
      <c r="I393" s="17">
        <f>IF(B393="","","")</f>
        <v/>
      </c>
      <c r="J393" s="17">
        <f>IF(B393="","","owner: "&amp;Office_Log!AB193&amp;"; window: "&amp;Office_Log!AD193)</f>
        <v/>
      </c>
      <c r="K393" t="inlineStr">
        <is>
          <t>office yes_in_principle</t>
        </is>
      </c>
    </row>
    <row r="394">
      <c r="A394" s="17">
        <f>IF(B394="","",B394+(2*1000+193)/10000000)</f>
        <v/>
      </c>
      <c r="B394" s="23">
        <f>IF(Office_Log!AX194=1,Office_Log!G194,"")</f>
        <v/>
      </c>
      <c r="C394" s="17">
        <f>IF(B394="","","office")</f>
        <v/>
      </c>
      <c r="D394" s="17">
        <f>IF(B394="","",Office_Log!$A194&amp;"")</f>
        <v/>
      </c>
      <c r="E394" s="17">
        <f>IF(B394="","",IF(Office_Log!B194="","",Office_Log!B194&amp;""))</f>
        <v/>
      </c>
      <c r="F394" s="17">
        <f>IF(B394="","","yes_in_principle")</f>
        <v/>
      </c>
      <c r="G394" s="17">
        <f>IF(B394="","","")</f>
        <v/>
      </c>
      <c r="H394" s="17">
        <f>IF(B394="","","")</f>
        <v/>
      </c>
      <c r="I394" s="17">
        <f>IF(B394="","","")</f>
        <v/>
      </c>
      <c r="J394" s="17">
        <f>IF(B394="","","owner: "&amp;Office_Log!AB194&amp;"; window: "&amp;Office_Log!AD194)</f>
        <v/>
      </c>
      <c r="K394" t="inlineStr">
        <is>
          <t>office yes_in_principle</t>
        </is>
      </c>
    </row>
    <row r="395">
      <c r="A395" s="17">
        <f>IF(B395="","",B395+(2*1000+194)/10000000)</f>
        <v/>
      </c>
      <c r="B395" s="23">
        <f>IF(Office_Log!AX195=1,Office_Log!G195,"")</f>
        <v/>
      </c>
      <c r="C395" s="17">
        <f>IF(B395="","","office")</f>
        <v/>
      </c>
      <c r="D395" s="17">
        <f>IF(B395="","",Office_Log!$A195&amp;"")</f>
        <v/>
      </c>
      <c r="E395" s="17">
        <f>IF(B395="","",IF(Office_Log!B195="","",Office_Log!B195&amp;""))</f>
        <v/>
      </c>
      <c r="F395" s="17">
        <f>IF(B395="","","yes_in_principle")</f>
        <v/>
      </c>
      <c r="G395" s="17">
        <f>IF(B395="","","")</f>
        <v/>
      </c>
      <c r="H395" s="17">
        <f>IF(B395="","","")</f>
        <v/>
      </c>
      <c r="I395" s="17">
        <f>IF(B395="","","")</f>
        <v/>
      </c>
      <c r="J395" s="17">
        <f>IF(B395="","","owner: "&amp;Office_Log!AB195&amp;"; window: "&amp;Office_Log!AD195)</f>
        <v/>
      </c>
      <c r="K395" t="inlineStr">
        <is>
          <t>office yes_in_principle</t>
        </is>
      </c>
    </row>
    <row r="396">
      <c r="A396" s="17">
        <f>IF(B396="","",B396+(2*1000+195)/10000000)</f>
        <v/>
      </c>
      <c r="B396" s="23">
        <f>IF(Office_Log!AX196=1,Office_Log!G196,"")</f>
        <v/>
      </c>
      <c r="C396" s="17">
        <f>IF(B396="","","office")</f>
        <v/>
      </c>
      <c r="D396" s="17">
        <f>IF(B396="","",Office_Log!$A196&amp;"")</f>
        <v/>
      </c>
      <c r="E396" s="17">
        <f>IF(B396="","",IF(Office_Log!B196="","",Office_Log!B196&amp;""))</f>
        <v/>
      </c>
      <c r="F396" s="17">
        <f>IF(B396="","","yes_in_principle")</f>
        <v/>
      </c>
      <c r="G396" s="17">
        <f>IF(B396="","","")</f>
        <v/>
      </c>
      <c r="H396" s="17">
        <f>IF(B396="","","")</f>
        <v/>
      </c>
      <c r="I396" s="17">
        <f>IF(B396="","","")</f>
        <v/>
      </c>
      <c r="J396" s="17">
        <f>IF(B396="","","owner: "&amp;Office_Log!AB196&amp;"; window: "&amp;Office_Log!AD196)</f>
        <v/>
      </c>
      <c r="K396" t="inlineStr">
        <is>
          <t>office yes_in_principle</t>
        </is>
      </c>
    </row>
    <row r="397">
      <c r="A397" s="17">
        <f>IF(B397="","",B397+(2*1000+196)/10000000)</f>
        <v/>
      </c>
      <c r="B397" s="23">
        <f>IF(Office_Log!AX197=1,Office_Log!G197,"")</f>
        <v/>
      </c>
      <c r="C397" s="17">
        <f>IF(B397="","","office")</f>
        <v/>
      </c>
      <c r="D397" s="17">
        <f>IF(B397="","",Office_Log!$A197&amp;"")</f>
        <v/>
      </c>
      <c r="E397" s="17">
        <f>IF(B397="","",IF(Office_Log!B197="","",Office_Log!B197&amp;""))</f>
        <v/>
      </c>
      <c r="F397" s="17">
        <f>IF(B397="","","yes_in_principle")</f>
        <v/>
      </c>
      <c r="G397" s="17">
        <f>IF(B397="","","")</f>
        <v/>
      </c>
      <c r="H397" s="17">
        <f>IF(B397="","","")</f>
        <v/>
      </c>
      <c r="I397" s="17">
        <f>IF(B397="","","")</f>
        <v/>
      </c>
      <c r="J397" s="17">
        <f>IF(B397="","","owner: "&amp;Office_Log!AB197&amp;"; window: "&amp;Office_Log!AD197)</f>
        <v/>
      </c>
      <c r="K397" t="inlineStr">
        <is>
          <t>office yes_in_principle</t>
        </is>
      </c>
    </row>
    <row r="398">
      <c r="A398" s="17">
        <f>IF(B398="","",B398+(2*1000+197)/10000000)</f>
        <v/>
      </c>
      <c r="B398" s="23">
        <f>IF(Office_Log!AX198=1,Office_Log!G198,"")</f>
        <v/>
      </c>
      <c r="C398" s="17">
        <f>IF(B398="","","office")</f>
        <v/>
      </c>
      <c r="D398" s="17">
        <f>IF(B398="","",Office_Log!$A198&amp;"")</f>
        <v/>
      </c>
      <c r="E398" s="17">
        <f>IF(B398="","",IF(Office_Log!B198="","",Office_Log!B198&amp;""))</f>
        <v/>
      </c>
      <c r="F398" s="17">
        <f>IF(B398="","","yes_in_principle")</f>
        <v/>
      </c>
      <c r="G398" s="17">
        <f>IF(B398="","","")</f>
        <v/>
      </c>
      <c r="H398" s="17">
        <f>IF(B398="","","")</f>
        <v/>
      </c>
      <c r="I398" s="17">
        <f>IF(B398="","","")</f>
        <v/>
      </c>
      <c r="J398" s="17">
        <f>IF(B398="","","owner: "&amp;Office_Log!AB198&amp;"; window: "&amp;Office_Log!AD198)</f>
        <v/>
      </c>
      <c r="K398" t="inlineStr">
        <is>
          <t>office yes_in_principle</t>
        </is>
      </c>
    </row>
    <row r="399">
      <c r="A399" s="17">
        <f>IF(B399="","",B399+(2*1000+198)/10000000)</f>
        <v/>
      </c>
      <c r="B399" s="23">
        <f>IF(Office_Log!AX199=1,Office_Log!G199,"")</f>
        <v/>
      </c>
      <c r="C399" s="17">
        <f>IF(B399="","","office")</f>
        <v/>
      </c>
      <c r="D399" s="17">
        <f>IF(B399="","",Office_Log!$A199&amp;"")</f>
        <v/>
      </c>
      <c r="E399" s="17">
        <f>IF(B399="","",IF(Office_Log!B199="","",Office_Log!B199&amp;""))</f>
        <v/>
      </c>
      <c r="F399" s="17">
        <f>IF(B399="","","yes_in_principle")</f>
        <v/>
      </c>
      <c r="G399" s="17">
        <f>IF(B399="","","")</f>
        <v/>
      </c>
      <c r="H399" s="17">
        <f>IF(B399="","","")</f>
        <v/>
      </c>
      <c r="I399" s="17">
        <f>IF(B399="","","")</f>
        <v/>
      </c>
      <c r="J399" s="17">
        <f>IF(B399="","","owner: "&amp;Office_Log!AB199&amp;"; window: "&amp;Office_Log!AD199)</f>
        <v/>
      </c>
      <c r="K399" t="inlineStr">
        <is>
          <t>office yes_in_principle</t>
        </is>
      </c>
    </row>
    <row r="400">
      <c r="A400" s="17">
        <f>IF(B400="","",B400+(2*1000+199)/10000000)</f>
        <v/>
      </c>
      <c r="B400" s="23">
        <f>IF(Office_Log!AX200=1,Office_Log!G200,"")</f>
        <v/>
      </c>
      <c r="C400" s="17">
        <f>IF(B400="","","office")</f>
        <v/>
      </c>
      <c r="D400" s="17">
        <f>IF(B400="","",Office_Log!$A200&amp;"")</f>
        <v/>
      </c>
      <c r="E400" s="17">
        <f>IF(B400="","",IF(Office_Log!B200="","",Office_Log!B200&amp;""))</f>
        <v/>
      </c>
      <c r="F400" s="17">
        <f>IF(B400="","","yes_in_principle")</f>
        <v/>
      </c>
      <c r="G400" s="17">
        <f>IF(B400="","","")</f>
        <v/>
      </c>
      <c r="H400" s="17">
        <f>IF(B400="","","")</f>
        <v/>
      </c>
      <c r="I400" s="17">
        <f>IF(B400="","","")</f>
        <v/>
      </c>
      <c r="J400" s="17">
        <f>IF(B400="","","owner: "&amp;Office_Log!AB200&amp;"; window: "&amp;Office_Log!AD200)</f>
        <v/>
      </c>
      <c r="K400" t="inlineStr">
        <is>
          <t>office yes_in_principle</t>
        </is>
      </c>
    </row>
    <row r="401">
      <c r="A401" s="17">
        <f>IF(B401="","",B401+(2*1000+200)/10000000)</f>
        <v/>
      </c>
      <c r="B401" s="23">
        <f>IF(Office_Log!AX201=1,Office_Log!G201,"")</f>
        <v/>
      </c>
      <c r="C401" s="17">
        <f>IF(B401="","","office")</f>
        <v/>
      </c>
      <c r="D401" s="17">
        <f>IF(B401="","",Office_Log!$A201&amp;"")</f>
        <v/>
      </c>
      <c r="E401" s="17">
        <f>IF(B401="","",IF(Office_Log!B201="","",Office_Log!B201&amp;""))</f>
        <v/>
      </c>
      <c r="F401" s="17">
        <f>IF(B401="","","yes_in_principle")</f>
        <v/>
      </c>
      <c r="G401" s="17">
        <f>IF(B401="","","")</f>
        <v/>
      </c>
      <c r="H401" s="17">
        <f>IF(B401="","","")</f>
        <v/>
      </c>
      <c r="I401" s="17">
        <f>IF(B401="","","")</f>
        <v/>
      </c>
      <c r="J401" s="17">
        <f>IF(B401="","","owner: "&amp;Office_Log!AB201&amp;"; window: "&amp;Office_Log!AD201)</f>
        <v/>
      </c>
      <c r="K401" t="inlineStr">
        <is>
          <t>office yes_in_principle</t>
        </is>
      </c>
    </row>
    <row r="402">
      <c r="A402" s="17">
        <f>IF(B402="","",B402+(3*1000+1)/10000000)</f>
        <v/>
      </c>
      <c r="B402" s="23">
        <f>IF(Office_Log!BK2=1,Office_Log!G2,"")</f>
        <v/>
      </c>
      <c r="C402" s="17">
        <f>IF(B402="","","office")</f>
        <v/>
      </c>
      <c r="D402" s="17">
        <f>IF(B402="","",Office_Log!$A2&amp;"")</f>
        <v/>
      </c>
      <c r="E402" s="17">
        <f>IF(B402="","",IF(Office_Log!B2="","",Office_Log!B2&amp;""))</f>
        <v/>
      </c>
      <c r="F402" s="17">
        <f>IF(B402="","","budget_probe")</f>
        <v/>
      </c>
      <c r="G402" s="17">
        <f>IF(B402="","",IF(ISNUMBER(Office_Log!V2),Office_Log!V2,""))</f>
        <v/>
      </c>
      <c r="H402" s="17">
        <f>IF(B402="","",IF(Office_Log!U2="","",Office_Log!U2&amp;""))</f>
        <v/>
      </c>
      <c r="I402" s="17">
        <f>IF(B402="","","")</f>
        <v/>
      </c>
      <c r="J402" s="17">
        <f>IF(B402="","",IF(AND(ISNUMBER(Office_Log!W2),N(Office_Log!W2)&gt;N(Office_Log!V2)),"range to "&amp;Office_Log!W2&amp;" per month",""))</f>
        <v/>
      </c>
      <c r="K402" t="inlineStr">
        <is>
          <t>office budget_probe</t>
        </is>
      </c>
    </row>
    <row r="403">
      <c r="A403" s="17">
        <f>IF(B403="","",B403+(3*1000+2)/10000000)</f>
        <v/>
      </c>
      <c r="B403" s="23">
        <f>IF(Office_Log!BK3=1,Office_Log!G3,"")</f>
        <v/>
      </c>
      <c r="C403" s="17">
        <f>IF(B403="","","office")</f>
        <v/>
      </c>
      <c r="D403" s="17">
        <f>IF(B403="","",Office_Log!$A3&amp;"")</f>
        <v/>
      </c>
      <c r="E403" s="17">
        <f>IF(B403="","",IF(Office_Log!B3="","",Office_Log!B3&amp;""))</f>
        <v/>
      </c>
      <c r="F403" s="17">
        <f>IF(B403="","","budget_probe")</f>
        <v/>
      </c>
      <c r="G403" s="17">
        <f>IF(B403="","",IF(ISNUMBER(Office_Log!V3),Office_Log!V3,""))</f>
        <v/>
      </c>
      <c r="H403" s="17">
        <f>IF(B403="","",IF(Office_Log!U3="","",Office_Log!U3&amp;""))</f>
        <v/>
      </c>
      <c r="I403" s="17">
        <f>IF(B403="","","")</f>
        <v/>
      </c>
      <c r="J403" s="17">
        <f>IF(B403="","",IF(AND(ISNUMBER(Office_Log!W3),N(Office_Log!W3)&gt;N(Office_Log!V3)),"range to "&amp;Office_Log!W3&amp;" per month",""))</f>
        <v/>
      </c>
      <c r="K403" t="inlineStr">
        <is>
          <t>office budget_probe</t>
        </is>
      </c>
    </row>
    <row r="404">
      <c r="A404" s="17">
        <f>IF(B404="","",B404+(3*1000+3)/10000000)</f>
        <v/>
      </c>
      <c r="B404" s="23">
        <f>IF(Office_Log!BK4=1,Office_Log!G4,"")</f>
        <v/>
      </c>
      <c r="C404" s="17">
        <f>IF(B404="","","office")</f>
        <v/>
      </c>
      <c r="D404" s="17">
        <f>IF(B404="","",Office_Log!$A4&amp;"")</f>
        <v/>
      </c>
      <c r="E404" s="17">
        <f>IF(B404="","",IF(Office_Log!B4="","",Office_Log!B4&amp;""))</f>
        <v/>
      </c>
      <c r="F404" s="17">
        <f>IF(B404="","","budget_probe")</f>
        <v/>
      </c>
      <c r="G404" s="17">
        <f>IF(B404="","",IF(ISNUMBER(Office_Log!V4),Office_Log!V4,""))</f>
        <v/>
      </c>
      <c r="H404" s="17">
        <f>IF(B404="","",IF(Office_Log!U4="","",Office_Log!U4&amp;""))</f>
        <v/>
      </c>
      <c r="I404" s="17">
        <f>IF(B404="","","")</f>
        <v/>
      </c>
      <c r="J404" s="17">
        <f>IF(B404="","",IF(AND(ISNUMBER(Office_Log!W4),N(Office_Log!W4)&gt;N(Office_Log!V4)),"range to "&amp;Office_Log!W4&amp;" per month",""))</f>
        <v/>
      </c>
      <c r="K404" t="inlineStr">
        <is>
          <t>office budget_probe</t>
        </is>
      </c>
    </row>
    <row r="405">
      <c r="A405" s="17">
        <f>IF(B405="","",B405+(3*1000+4)/10000000)</f>
        <v/>
      </c>
      <c r="B405" s="23">
        <f>IF(Office_Log!BK5=1,Office_Log!G5,"")</f>
        <v/>
      </c>
      <c r="C405" s="17">
        <f>IF(B405="","","office")</f>
        <v/>
      </c>
      <c r="D405" s="17">
        <f>IF(B405="","",Office_Log!$A5&amp;"")</f>
        <v/>
      </c>
      <c r="E405" s="17">
        <f>IF(B405="","",IF(Office_Log!B5="","",Office_Log!B5&amp;""))</f>
        <v/>
      </c>
      <c r="F405" s="17">
        <f>IF(B405="","","budget_probe")</f>
        <v/>
      </c>
      <c r="G405" s="17">
        <f>IF(B405="","",IF(ISNUMBER(Office_Log!V5),Office_Log!V5,""))</f>
        <v/>
      </c>
      <c r="H405" s="17">
        <f>IF(B405="","",IF(Office_Log!U5="","",Office_Log!U5&amp;""))</f>
        <v/>
      </c>
      <c r="I405" s="17">
        <f>IF(B405="","","")</f>
        <v/>
      </c>
      <c r="J405" s="17">
        <f>IF(B405="","",IF(AND(ISNUMBER(Office_Log!W5),N(Office_Log!W5)&gt;N(Office_Log!V5)),"range to "&amp;Office_Log!W5&amp;" per month",""))</f>
        <v/>
      </c>
      <c r="K405" t="inlineStr">
        <is>
          <t>office budget_probe</t>
        </is>
      </c>
    </row>
    <row r="406">
      <c r="A406" s="17">
        <f>IF(B406="","",B406+(3*1000+5)/10000000)</f>
        <v/>
      </c>
      <c r="B406" s="23">
        <f>IF(Office_Log!BK6=1,Office_Log!G6,"")</f>
        <v/>
      </c>
      <c r="C406" s="17">
        <f>IF(B406="","","office")</f>
        <v/>
      </c>
      <c r="D406" s="17">
        <f>IF(B406="","",Office_Log!$A6&amp;"")</f>
        <v/>
      </c>
      <c r="E406" s="17">
        <f>IF(B406="","",IF(Office_Log!B6="","",Office_Log!B6&amp;""))</f>
        <v/>
      </c>
      <c r="F406" s="17">
        <f>IF(B406="","","budget_probe")</f>
        <v/>
      </c>
      <c r="G406" s="17">
        <f>IF(B406="","",IF(ISNUMBER(Office_Log!V6),Office_Log!V6,""))</f>
        <v/>
      </c>
      <c r="H406" s="17">
        <f>IF(B406="","",IF(Office_Log!U6="","",Office_Log!U6&amp;""))</f>
        <v/>
      </c>
      <c r="I406" s="17">
        <f>IF(B406="","","")</f>
        <v/>
      </c>
      <c r="J406" s="17">
        <f>IF(B406="","",IF(AND(ISNUMBER(Office_Log!W6),N(Office_Log!W6)&gt;N(Office_Log!V6)),"range to "&amp;Office_Log!W6&amp;" per month",""))</f>
        <v/>
      </c>
      <c r="K406" t="inlineStr">
        <is>
          <t>office budget_probe</t>
        </is>
      </c>
    </row>
    <row r="407">
      <c r="A407" s="17">
        <f>IF(B407="","",B407+(3*1000+6)/10000000)</f>
        <v/>
      </c>
      <c r="B407" s="23">
        <f>IF(Office_Log!BK7=1,Office_Log!G7,"")</f>
        <v/>
      </c>
      <c r="C407" s="17">
        <f>IF(B407="","","office")</f>
        <v/>
      </c>
      <c r="D407" s="17">
        <f>IF(B407="","",Office_Log!$A7&amp;"")</f>
        <v/>
      </c>
      <c r="E407" s="17">
        <f>IF(B407="","",IF(Office_Log!B7="","",Office_Log!B7&amp;""))</f>
        <v/>
      </c>
      <c r="F407" s="17">
        <f>IF(B407="","","budget_probe")</f>
        <v/>
      </c>
      <c r="G407" s="17">
        <f>IF(B407="","",IF(ISNUMBER(Office_Log!V7),Office_Log!V7,""))</f>
        <v/>
      </c>
      <c r="H407" s="17">
        <f>IF(B407="","",IF(Office_Log!U7="","",Office_Log!U7&amp;""))</f>
        <v/>
      </c>
      <c r="I407" s="17">
        <f>IF(B407="","","")</f>
        <v/>
      </c>
      <c r="J407" s="17">
        <f>IF(B407="","",IF(AND(ISNUMBER(Office_Log!W7),N(Office_Log!W7)&gt;N(Office_Log!V7)),"range to "&amp;Office_Log!W7&amp;" per month",""))</f>
        <v/>
      </c>
      <c r="K407" t="inlineStr">
        <is>
          <t>office budget_probe</t>
        </is>
      </c>
    </row>
    <row r="408">
      <c r="A408" s="17">
        <f>IF(B408="","",B408+(3*1000+7)/10000000)</f>
        <v/>
      </c>
      <c r="B408" s="23">
        <f>IF(Office_Log!BK8=1,Office_Log!G8,"")</f>
        <v/>
      </c>
      <c r="C408" s="17">
        <f>IF(B408="","","office")</f>
        <v/>
      </c>
      <c r="D408" s="17">
        <f>IF(B408="","",Office_Log!$A8&amp;"")</f>
        <v/>
      </c>
      <c r="E408" s="17">
        <f>IF(B408="","",IF(Office_Log!B8="","",Office_Log!B8&amp;""))</f>
        <v/>
      </c>
      <c r="F408" s="17">
        <f>IF(B408="","","budget_probe")</f>
        <v/>
      </c>
      <c r="G408" s="17">
        <f>IF(B408="","",IF(ISNUMBER(Office_Log!V8),Office_Log!V8,""))</f>
        <v/>
      </c>
      <c r="H408" s="17">
        <f>IF(B408="","",IF(Office_Log!U8="","",Office_Log!U8&amp;""))</f>
        <v/>
      </c>
      <c r="I408" s="17">
        <f>IF(B408="","","")</f>
        <v/>
      </c>
      <c r="J408" s="17">
        <f>IF(B408="","",IF(AND(ISNUMBER(Office_Log!W8),N(Office_Log!W8)&gt;N(Office_Log!V8)),"range to "&amp;Office_Log!W8&amp;" per month",""))</f>
        <v/>
      </c>
      <c r="K408" t="inlineStr">
        <is>
          <t>office budget_probe</t>
        </is>
      </c>
    </row>
    <row r="409">
      <c r="A409" s="17">
        <f>IF(B409="","",B409+(3*1000+8)/10000000)</f>
        <v/>
      </c>
      <c r="B409" s="23">
        <f>IF(Office_Log!BK9=1,Office_Log!G9,"")</f>
        <v/>
      </c>
      <c r="C409" s="17">
        <f>IF(B409="","","office")</f>
        <v/>
      </c>
      <c r="D409" s="17">
        <f>IF(B409="","",Office_Log!$A9&amp;"")</f>
        <v/>
      </c>
      <c r="E409" s="17">
        <f>IF(B409="","",IF(Office_Log!B9="","",Office_Log!B9&amp;""))</f>
        <v/>
      </c>
      <c r="F409" s="17">
        <f>IF(B409="","","budget_probe")</f>
        <v/>
      </c>
      <c r="G409" s="17">
        <f>IF(B409="","",IF(ISNUMBER(Office_Log!V9),Office_Log!V9,""))</f>
        <v/>
      </c>
      <c r="H409" s="17">
        <f>IF(B409="","",IF(Office_Log!U9="","",Office_Log!U9&amp;""))</f>
        <v/>
      </c>
      <c r="I409" s="17">
        <f>IF(B409="","","")</f>
        <v/>
      </c>
      <c r="J409" s="17">
        <f>IF(B409="","",IF(AND(ISNUMBER(Office_Log!W9),N(Office_Log!W9)&gt;N(Office_Log!V9)),"range to "&amp;Office_Log!W9&amp;" per month",""))</f>
        <v/>
      </c>
      <c r="K409" t="inlineStr">
        <is>
          <t>office budget_probe</t>
        </is>
      </c>
    </row>
    <row r="410">
      <c r="A410" s="17">
        <f>IF(B410="","",B410+(3*1000+9)/10000000)</f>
        <v/>
      </c>
      <c r="B410" s="23">
        <f>IF(Office_Log!BK10=1,Office_Log!G10,"")</f>
        <v/>
      </c>
      <c r="C410" s="17">
        <f>IF(B410="","","office")</f>
        <v/>
      </c>
      <c r="D410" s="17">
        <f>IF(B410="","",Office_Log!$A10&amp;"")</f>
        <v/>
      </c>
      <c r="E410" s="17">
        <f>IF(B410="","",IF(Office_Log!B10="","",Office_Log!B10&amp;""))</f>
        <v/>
      </c>
      <c r="F410" s="17">
        <f>IF(B410="","","budget_probe")</f>
        <v/>
      </c>
      <c r="G410" s="17">
        <f>IF(B410="","",IF(ISNUMBER(Office_Log!V10),Office_Log!V10,""))</f>
        <v/>
      </c>
      <c r="H410" s="17">
        <f>IF(B410="","",IF(Office_Log!U10="","",Office_Log!U10&amp;""))</f>
        <v/>
      </c>
      <c r="I410" s="17">
        <f>IF(B410="","","")</f>
        <v/>
      </c>
      <c r="J410" s="17">
        <f>IF(B410="","",IF(AND(ISNUMBER(Office_Log!W10),N(Office_Log!W10)&gt;N(Office_Log!V10)),"range to "&amp;Office_Log!W10&amp;" per month",""))</f>
        <v/>
      </c>
      <c r="K410" t="inlineStr">
        <is>
          <t>office budget_probe</t>
        </is>
      </c>
    </row>
    <row r="411">
      <c r="A411" s="17">
        <f>IF(B411="","",B411+(3*1000+10)/10000000)</f>
        <v/>
      </c>
      <c r="B411" s="23">
        <f>IF(Office_Log!BK11=1,Office_Log!G11,"")</f>
        <v/>
      </c>
      <c r="C411" s="17">
        <f>IF(B411="","","office")</f>
        <v/>
      </c>
      <c r="D411" s="17">
        <f>IF(B411="","",Office_Log!$A11&amp;"")</f>
        <v/>
      </c>
      <c r="E411" s="17">
        <f>IF(B411="","",IF(Office_Log!B11="","",Office_Log!B11&amp;""))</f>
        <v/>
      </c>
      <c r="F411" s="17">
        <f>IF(B411="","","budget_probe")</f>
        <v/>
      </c>
      <c r="G411" s="17">
        <f>IF(B411="","",IF(ISNUMBER(Office_Log!V11),Office_Log!V11,""))</f>
        <v/>
      </c>
      <c r="H411" s="17">
        <f>IF(B411="","",IF(Office_Log!U11="","",Office_Log!U11&amp;""))</f>
        <v/>
      </c>
      <c r="I411" s="17">
        <f>IF(B411="","","")</f>
        <v/>
      </c>
      <c r="J411" s="17">
        <f>IF(B411="","",IF(AND(ISNUMBER(Office_Log!W11),N(Office_Log!W11)&gt;N(Office_Log!V11)),"range to "&amp;Office_Log!W11&amp;" per month",""))</f>
        <v/>
      </c>
      <c r="K411" t="inlineStr">
        <is>
          <t>office budget_probe</t>
        </is>
      </c>
    </row>
    <row r="412">
      <c r="A412" s="17">
        <f>IF(B412="","",B412+(3*1000+11)/10000000)</f>
        <v/>
      </c>
      <c r="B412" s="23">
        <f>IF(Office_Log!BK12=1,Office_Log!G12,"")</f>
        <v/>
      </c>
      <c r="C412" s="17">
        <f>IF(B412="","","office")</f>
        <v/>
      </c>
      <c r="D412" s="17">
        <f>IF(B412="","",Office_Log!$A12&amp;"")</f>
        <v/>
      </c>
      <c r="E412" s="17">
        <f>IF(B412="","",IF(Office_Log!B12="","",Office_Log!B12&amp;""))</f>
        <v/>
      </c>
      <c r="F412" s="17">
        <f>IF(B412="","","budget_probe")</f>
        <v/>
      </c>
      <c r="G412" s="17">
        <f>IF(B412="","",IF(ISNUMBER(Office_Log!V12),Office_Log!V12,""))</f>
        <v/>
      </c>
      <c r="H412" s="17">
        <f>IF(B412="","",IF(Office_Log!U12="","",Office_Log!U12&amp;""))</f>
        <v/>
      </c>
      <c r="I412" s="17">
        <f>IF(B412="","","")</f>
        <v/>
      </c>
      <c r="J412" s="17">
        <f>IF(B412="","",IF(AND(ISNUMBER(Office_Log!W12),N(Office_Log!W12)&gt;N(Office_Log!V12)),"range to "&amp;Office_Log!W12&amp;" per month",""))</f>
        <v/>
      </c>
      <c r="K412" t="inlineStr">
        <is>
          <t>office budget_probe</t>
        </is>
      </c>
    </row>
    <row r="413">
      <c r="A413" s="17">
        <f>IF(B413="","",B413+(3*1000+12)/10000000)</f>
        <v/>
      </c>
      <c r="B413" s="23">
        <f>IF(Office_Log!BK13=1,Office_Log!G13,"")</f>
        <v/>
      </c>
      <c r="C413" s="17">
        <f>IF(B413="","","office")</f>
        <v/>
      </c>
      <c r="D413" s="17">
        <f>IF(B413="","",Office_Log!$A13&amp;"")</f>
        <v/>
      </c>
      <c r="E413" s="17">
        <f>IF(B413="","",IF(Office_Log!B13="","",Office_Log!B13&amp;""))</f>
        <v/>
      </c>
      <c r="F413" s="17">
        <f>IF(B413="","","budget_probe")</f>
        <v/>
      </c>
      <c r="G413" s="17">
        <f>IF(B413="","",IF(ISNUMBER(Office_Log!V13),Office_Log!V13,""))</f>
        <v/>
      </c>
      <c r="H413" s="17">
        <f>IF(B413="","",IF(Office_Log!U13="","",Office_Log!U13&amp;""))</f>
        <v/>
      </c>
      <c r="I413" s="17">
        <f>IF(B413="","","")</f>
        <v/>
      </c>
      <c r="J413" s="17">
        <f>IF(B413="","",IF(AND(ISNUMBER(Office_Log!W13),N(Office_Log!W13)&gt;N(Office_Log!V13)),"range to "&amp;Office_Log!W13&amp;" per month",""))</f>
        <v/>
      </c>
      <c r="K413" t="inlineStr">
        <is>
          <t>office budget_probe</t>
        </is>
      </c>
    </row>
    <row r="414">
      <c r="A414" s="17">
        <f>IF(B414="","",B414+(3*1000+13)/10000000)</f>
        <v/>
      </c>
      <c r="B414" s="23">
        <f>IF(Office_Log!BK14=1,Office_Log!G14,"")</f>
        <v/>
      </c>
      <c r="C414" s="17">
        <f>IF(B414="","","office")</f>
        <v/>
      </c>
      <c r="D414" s="17">
        <f>IF(B414="","",Office_Log!$A14&amp;"")</f>
        <v/>
      </c>
      <c r="E414" s="17">
        <f>IF(B414="","",IF(Office_Log!B14="","",Office_Log!B14&amp;""))</f>
        <v/>
      </c>
      <c r="F414" s="17">
        <f>IF(B414="","","budget_probe")</f>
        <v/>
      </c>
      <c r="G414" s="17">
        <f>IF(B414="","",IF(ISNUMBER(Office_Log!V14),Office_Log!V14,""))</f>
        <v/>
      </c>
      <c r="H414" s="17">
        <f>IF(B414="","",IF(Office_Log!U14="","",Office_Log!U14&amp;""))</f>
        <v/>
      </c>
      <c r="I414" s="17">
        <f>IF(B414="","","")</f>
        <v/>
      </c>
      <c r="J414" s="17">
        <f>IF(B414="","",IF(AND(ISNUMBER(Office_Log!W14),N(Office_Log!W14)&gt;N(Office_Log!V14)),"range to "&amp;Office_Log!W14&amp;" per month",""))</f>
        <v/>
      </c>
      <c r="K414" t="inlineStr">
        <is>
          <t>office budget_probe</t>
        </is>
      </c>
    </row>
    <row r="415">
      <c r="A415" s="17">
        <f>IF(B415="","",B415+(3*1000+14)/10000000)</f>
        <v/>
      </c>
      <c r="B415" s="23">
        <f>IF(Office_Log!BK15=1,Office_Log!G15,"")</f>
        <v/>
      </c>
      <c r="C415" s="17">
        <f>IF(B415="","","office")</f>
        <v/>
      </c>
      <c r="D415" s="17">
        <f>IF(B415="","",Office_Log!$A15&amp;"")</f>
        <v/>
      </c>
      <c r="E415" s="17">
        <f>IF(B415="","",IF(Office_Log!B15="","",Office_Log!B15&amp;""))</f>
        <v/>
      </c>
      <c r="F415" s="17">
        <f>IF(B415="","","budget_probe")</f>
        <v/>
      </c>
      <c r="G415" s="17">
        <f>IF(B415="","",IF(ISNUMBER(Office_Log!V15),Office_Log!V15,""))</f>
        <v/>
      </c>
      <c r="H415" s="17">
        <f>IF(B415="","",IF(Office_Log!U15="","",Office_Log!U15&amp;""))</f>
        <v/>
      </c>
      <c r="I415" s="17">
        <f>IF(B415="","","")</f>
        <v/>
      </c>
      <c r="J415" s="17">
        <f>IF(B415="","",IF(AND(ISNUMBER(Office_Log!W15),N(Office_Log!W15)&gt;N(Office_Log!V15)),"range to "&amp;Office_Log!W15&amp;" per month",""))</f>
        <v/>
      </c>
      <c r="K415" t="inlineStr">
        <is>
          <t>office budget_probe</t>
        </is>
      </c>
    </row>
    <row r="416">
      <c r="A416" s="17">
        <f>IF(B416="","",B416+(3*1000+15)/10000000)</f>
        <v/>
      </c>
      <c r="B416" s="23">
        <f>IF(Office_Log!BK16=1,Office_Log!G16,"")</f>
        <v/>
      </c>
      <c r="C416" s="17">
        <f>IF(B416="","","office")</f>
        <v/>
      </c>
      <c r="D416" s="17">
        <f>IF(B416="","",Office_Log!$A16&amp;"")</f>
        <v/>
      </c>
      <c r="E416" s="17">
        <f>IF(B416="","",IF(Office_Log!B16="","",Office_Log!B16&amp;""))</f>
        <v/>
      </c>
      <c r="F416" s="17">
        <f>IF(B416="","","budget_probe")</f>
        <v/>
      </c>
      <c r="G416" s="17">
        <f>IF(B416="","",IF(ISNUMBER(Office_Log!V16),Office_Log!V16,""))</f>
        <v/>
      </c>
      <c r="H416" s="17">
        <f>IF(B416="","",IF(Office_Log!U16="","",Office_Log!U16&amp;""))</f>
        <v/>
      </c>
      <c r="I416" s="17">
        <f>IF(B416="","","")</f>
        <v/>
      </c>
      <c r="J416" s="17">
        <f>IF(B416="","",IF(AND(ISNUMBER(Office_Log!W16),N(Office_Log!W16)&gt;N(Office_Log!V16)),"range to "&amp;Office_Log!W16&amp;" per month",""))</f>
        <v/>
      </c>
      <c r="K416" t="inlineStr">
        <is>
          <t>office budget_probe</t>
        </is>
      </c>
    </row>
    <row r="417">
      <c r="A417" s="17">
        <f>IF(B417="","",B417+(3*1000+16)/10000000)</f>
        <v/>
      </c>
      <c r="B417" s="23">
        <f>IF(Office_Log!BK17=1,Office_Log!G17,"")</f>
        <v/>
      </c>
      <c r="C417" s="17">
        <f>IF(B417="","","office")</f>
        <v/>
      </c>
      <c r="D417" s="17">
        <f>IF(B417="","",Office_Log!$A17&amp;"")</f>
        <v/>
      </c>
      <c r="E417" s="17">
        <f>IF(B417="","",IF(Office_Log!B17="","",Office_Log!B17&amp;""))</f>
        <v/>
      </c>
      <c r="F417" s="17">
        <f>IF(B417="","","budget_probe")</f>
        <v/>
      </c>
      <c r="G417" s="17">
        <f>IF(B417="","",IF(ISNUMBER(Office_Log!V17),Office_Log!V17,""))</f>
        <v/>
      </c>
      <c r="H417" s="17">
        <f>IF(B417="","",IF(Office_Log!U17="","",Office_Log!U17&amp;""))</f>
        <v/>
      </c>
      <c r="I417" s="17">
        <f>IF(B417="","","")</f>
        <v/>
      </c>
      <c r="J417" s="17">
        <f>IF(B417="","",IF(AND(ISNUMBER(Office_Log!W17),N(Office_Log!W17)&gt;N(Office_Log!V17)),"range to "&amp;Office_Log!W17&amp;" per month",""))</f>
        <v/>
      </c>
      <c r="K417" t="inlineStr">
        <is>
          <t>office budget_probe</t>
        </is>
      </c>
    </row>
    <row r="418">
      <c r="A418" s="17">
        <f>IF(B418="","",B418+(3*1000+17)/10000000)</f>
        <v/>
      </c>
      <c r="B418" s="23">
        <f>IF(Office_Log!BK18=1,Office_Log!G18,"")</f>
        <v/>
      </c>
      <c r="C418" s="17">
        <f>IF(B418="","","office")</f>
        <v/>
      </c>
      <c r="D418" s="17">
        <f>IF(B418="","",Office_Log!$A18&amp;"")</f>
        <v/>
      </c>
      <c r="E418" s="17">
        <f>IF(B418="","",IF(Office_Log!B18="","",Office_Log!B18&amp;""))</f>
        <v/>
      </c>
      <c r="F418" s="17">
        <f>IF(B418="","","budget_probe")</f>
        <v/>
      </c>
      <c r="G418" s="17">
        <f>IF(B418="","",IF(ISNUMBER(Office_Log!V18),Office_Log!V18,""))</f>
        <v/>
      </c>
      <c r="H418" s="17">
        <f>IF(B418="","",IF(Office_Log!U18="","",Office_Log!U18&amp;""))</f>
        <v/>
      </c>
      <c r="I418" s="17">
        <f>IF(B418="","","")</f>
        <v/>
      </c>
      <c r="J418" s="17">
        <f>IF(B418="","",IF(AND(ISNUMBER(Office_Log!W18),N(Office_Log!W18)&gt;N(Office_Log!V18)),"range to "&amp;Office_Log!W18&amp;" per month",""))</f>
        <v/>
      </c>
      <c r="K418" t="inlineStr">
        <is>
          <t>office budget_probe</t>
        </is>
      </c>
    </row>
    <row r="419">
      <c r="A419" s="17">
        <f>IF(B419="","",B419+(3*1000+18)/10000000)</f>
        <v/>
      </c>
      <c r="B419" s="23">
        <f>IF(Office_Log!BK19=1,Office_Log!G19,"")</f>
        <v/>
      </c>
      <c r="C419" s="17">
        <f>IF(B419="","","office")</f>
        <v/>
      </c>
      <c r="D419" s="17">
        <f>IF(B419="","",Office_Log!$A19&amp;"")</f>
        <v/>
      </c>
      <c r="E419" s="17">
        <f>IF(B419="","",IF(Office_Log!B19="","",Office_Log!B19&amp;""))</f>
        <v/>
      </c>
      <c r="F419" s="17">
        <f>IF(B419="","","budget_probe")</f>
        <v/>
      </c>
      <c r="G419" s="17">
        <f>IF(B419="","",IF(ISNUMBER(Office_Log!V19),Office_Log!V19,""))</f>
        <v/>
      </c>
      <c r="H419" s="17">
        <f>IF(B419="","",IF(Office_Log!U19="","",Office_Log!U19&amp;""))</f>
        <v/>
      </c>
      <c r="I419" s="17">
        <f>IF(B419="","","")</f>
        <v/>
      </c>
      <c r="J419" s="17">
        <f>IF(B419="","",IF(AND(ISNUMBER(Office_Log!W19),N(Office_Log!W19)&gt;N(Office_Log!V19)),"range to "&amp;Office_Log!W19&amp;" per month",""))</f>
        <v/>
      </c>
      <c r="K419" t="inlineStr">
        <is>
          <t>office budget_probe</t>
        </is>
      </c>
    </row>
    <row r="420">
      <c r="A420" s="17">
        <f>IF(B420="","",B420+(3*1000+19)/10000000)</f>
        <v/>
      </c>
      <c r="B420" s="23">
        <f>IF(Office_Log!BK20=1,Office_Log!G20,"")</f>
        <v/>
      </c>
      <c r="C420" s="17">
        <f>IF(B420="","","office")</f>
        <v/>
      </c>
      <c r="D420" s="17">
        <f>IF(B420="","",Office_Log!$A20&amp;"")</f>
        <v/>
      </c>
      <c r="E420" s="17">
        <f>IF(B420="","",IF(Office_Log!B20="","",Office_Log!B20&amp;""))</f>
        <v/>
      </c>
      <c r="F420" s="17">
        <f>IF(B420="","","budget_probe")</f>
        <v/>
      </c>
      <c r="G420" s="17">
        <f>IF(B420="","",IF(ISNUMBER(Office_Log!V20),Office_Log!V20,""))</f>
        <v/>
      </c>
      <c r="H420" s="17">
        <f>IF(B420="","",IF(Office_Log!U20="","",Office_Log!U20&amp;""))</f>
        <v/>
      </c>
      <c r="I420" s="17">
        <f>IF(B420="","","")</f>
        <v/>
      </c>
      <c r="J420" s="17">
        <f>IF(B420="","",IF(AND(ISNUMBER(Office_Log!W20),N(Office_Log!W20)&gt;N(Office_Log!V20)),"range to "&amp;Office_Log!W20&amp;" per month",""))</f>
        <v/>
      </c>
      <c r="K420" t="inlineStr">
        <is>
          <t>office budget_probe</t>
        </is>
      </c>
    </row>
    <row r="421">
      <c r="A421" s="17">
        <f>IF(B421="","",B421+(3*1000+20)/10000000)</f>
        <v/>
      </c>
      <c r="B421" s="23">
        <f>IF(Office_Log!BK21=1,Office_Log!G21,"")</f>
        <v/>
      </c>
      <c r="C421" s="17">
        <f>IF(B421="","","office")</f>
        <v/>
      </c>
      <c r="D421" s="17">
        <f>IF(B421="","",Office_Log!$A21&amp;"")</f>
        <v/>
      </c>
      <c r="E421" s="17">
        <f>IF(B421="","",IF(Office_Log!B21="","",Office_Log!B21&amp;""))</f>
        <v/>
      </c>
      <c r="F421" s="17">
        <f>IF(B421="","","budget_probe")</f>
        <v/>
      </c>
      <c r="G421" s="17">
        <f>IF(B421="","",IF(ISNUMBER(Office_Log!V21),Office_Log!V21,""))</f>
        <v/>
      </c>
      <c r="H421" s="17">
        <f>IF(B421="","",IF(Office_Log!U21="","",Office_Log!U21&amp;""))</f>
        <v/>
      </c>
      <c r="I421" s="17">
        <f>IF(B421="","","")</f>
        <v/>
      </c>
      <c r="J421" s="17">
        <f>IF(B421="","",IF(AND(ISNUMBER(Office_Log!W21),N(Office_Log!W21)&gt;N(Office_Log!V21)),"range to "&amp;Office_Log!W21&amp;" per month",""))</f>
        <v/>
      </c>
      <c r="K421" t="inlineStr">
        <is>
          <t>office budget_probe</t>
        </is>
      </c>
    </row>
    <row r="422">
      <c r="A422" s="17">
        <f>IF(B422="","",B422+(3*1000+21)/10000000)</f>
        <v/>
      </c>
      <c r="B422" s="23">
        <f>IF(Office_Log!BK22=1,Office_Log!G22,"")</f>
        <v/>
      </c>
      <c r="C422" s="17">
        <f>IF(B422="","","office")</f>
        <v/>
      </c>
      <c r="D422" s="17">
        <f>IF(B422="","",Office_Log!$A22&amp;"")</f>
        <v/>
      </c>
      <c r="E422" s="17">
        <f>IF(B422="","",IF(Office_Log!B22="","",Office_Log!B22&amp;""))</f>
        <v/>
      </c>
      <c r="F422" s="17">
        <f>IF(B422="","","budget_probe")</f>
        <v/>
      </c>
      <c r="G422" s="17">
        <f>IF(B422="","",IF(ISNUMBER(Office_Log!V22),Office_Log!V22,""))</f>
        <v/>
      </c>
      <c r="H422" s="17">
        <f>IF(B422="","",IF(Office_Log!U22="","",Office_Log!U22&amp;""))</f>
        <v/>
      </c>
      <c r="I422" s="17">
        <f>IF(B422="","","")</f>
        <v/>
      </c>
      <c r="J422" s="17">
        <f>IF(B422="","",IF(AND(ISNUMBER(Office_Log!W22),N(Office_Log!W22)&gt;N(Office_Log!V22)),"range to "&amp;Office_Log!W22&amp;" per month",""))</f>
        <v/>
      </c>
      <c r="K422" t="inlineStr">
        <is>
          <t>office budget_probe</t>
        </is>
      </c>
    </row>
    <row r="423">
      <c r="A423" s="17">
        <f>IF(B423="","",B423+(3*1000+22)/10000000)</f>
        <v/>
      </c>
      <c r="B423" s="23">
        <f>IF(Office_Log!BK23=1,Office_Log!G23,"")</f>
        <v/>
      </c>
      <c r="C423" s="17">
        <f>IF(B423="","","office")</f>
        <v/>
      </c>
      <c r="D423" s="17">
        <f>IF(B423="","",Office_Log!$A23&amp;"")</f>
        <v/>
      </c>
      <c r="E423" s="17">
        <f>IF(B423="","",IF(Office_Log!B23="","",Office_Log!B23&amp;""))</f>
        <v/>
      </c>
      <c r="F423" s="17">
        <f>IF(B423="","","budget_probe")</f>
        <v/>
      </c>
      <c r="G423" s="17">
        <f>IF(B423="","",IF(ISNUMBER(Office_Log!V23),Office_Log!V23,""))</f>
        <v/>
      </c>
      <c r="H423" s="17">
        <f>IF(B423="","",IF(Office_Log!U23="","",Office_Log!U23&amp;""))</f>
        <v/>
      </c>
      <c r="I423" s="17">
        <f>IF(B423="","","")</f>
        <v/>
      </c>
      <c r="J423" s="17">
        <f>IF(B423="","",IF(AND(ISNUMBER(Office_Log!W23),N(Office_Log!W23)&gt;N(Office_Log!V23)),"range to "&amp;Office_Log!W23&amp;" per month",""))</f>
        <v/>
      </c>
      <c r="K423" t="inlineStr">
        <is>
          <t>office budget_probe</t>
        </is>
      </c>
    </row>
    <row r="424">
      <c r="A424" s="17">
        <f>IF(B424="","",B424+(3*1000+23)/10000000)</f>
        <v/>
      </c>
      <c r="B424" s="23">
        <f>IF(Office_Log!BK24=1,Office_Log!G24,"")</f>
        <v/>
      </c>
      <c r="C424" s="17">
        <f>IF(B424="","","office")</f>
        <v/>
      </c>
      <c r="D424" s="17">
        <f>IF(B424="","",Office_Log!$A24&amp;"")</f>
        <v/>
      </c>
      <c r="E424" s="17">
        <f>IF(B424="","",IF(Office_Log!B24="","",Office_Log!B24&amp;""))</f>
        <v/>
      </c>
      <c r="F424" s="17">
        <f>IF(B424="","","budget_probe")</f>
        <v/>
      </c>
      <c r="G424" s="17">
        <f>IF(B424="","",IF(ISNUMBER(Office_Log!V24),Office_Log!V24,""))</f>
        <v/>
      </c>
      <c r="H424" s="17">
        <f>IF(B424="","",IF(Office_Log!U24="","",Office_Log!U24&amp;""))</f>
        <v/>
      </c>
      <c r="I424" s="17">
        <f>IF(B424="","","")</f>
        <v/>
      </c>
      <c r="J424" s="17">
        <f>IF(B424="","",IF(AND(ISNUMBER(Office_Log!W24),N(Office_Log!W24)&gt;N(Office_Log!V24)),"range to "&amp;Office_Log!W24&amp;" per month",""))</f>
        <v/>
      </c>
      <c r="K424" t="inlineStr">
        <is>
          <t>office budget_probe</t>
        </is>
      </c>
    </row>
    <row r="425">
      <c r="A425" s="17">
        <f>IF(B425="","",B425+(3*1000+24)/10000000)</f>
        <v/>
      </c>
      <c r="B425" s="23">
        <f>IF(Office_Log!BK25=1,Office_Log!G25,"")</f>
        <v/>
      </c>
      <c r="C425" s="17">
        <f>IF(B425="","","office")</f>
        <v/>
      </c>
      <c r="D425" s="17">
        <f>IF(B425="","",Office_Log!$A25&amp;"")</f>
        <v/>
      </c>
      <c r="E425" s="17">
        <f>IF(B425="","",IF(Office_Log!B25="","",Office_Log!B25&amp;""))</f>
        <v/>
      </c>
      <c r="F425" s="17">
        <f>IF(B425="","","budget_probe")</f>
        <v/>
      </c>
      <c r="G425" s="17">
        <f>IF(B425="","",IF(ISNUMBER(Office_Log!V25),Office_Log!V25,""))</f>
        <v/>
      </c>
      <c r="H425" s="17">
        <f>IF(B425="","",IF(Office_Log!U25="","",Office_Log!U25&amp;""))</f>
        <v/>
      </c>
      <c r="I425" s="17">
        <f>IF(B425="","","")</f>
        <v/>
      </c>
      <c r="J425" s="17">
        <f>IF(B425="","",IF(AND(ISNUMBER(Office_Log!W25),N(Office_Log!W25)&gt;N(Office_Log!V25)),"range to "&amp;Office_Log!W25&amp;" per month",""))</f>
        <v/>
      </c>
      <c r="K425" t="inlineStr">
        <is>
          <t>office budget_probe</t>
        </is>
      </c>
    </row>
    <row r="426">
      <c r="A426" s="17">
        <f>IF(B426="","",B426+(3*1000+25)/10000000)</f>
        <v/>
      </c>
      <c r="B426" s="23">
        <f>IF(Office_Log!BK26=1,Office_Log!G26,"")</f>
        <v/>
      </c>
      <c r="C426" s="17">
        <f>IF(B426="","","office")</f>
        <v/>
      </c>
      <c r="D426" s="17">
        <f>IF(B426="","",Office_Log!$A26&amp;"")</f>
        <v/>
      </c>
      <c r="E426" s="17">
        <f>IF(B426="","",IF(Office_Log!B26="","",Office_Log!B26&amp;""))</f>
        <v/>
      </c>
      <c r="F426" s="17">
        <f>IF(B426="","","budget_probe")</f>
        <v/>
      </c>
      <c r="G426" s="17">
        <f>IF(B426="","",IF(ISNUMBER(Office_Log!V26),Office_Log!V26,""))</f>
        <v/>
      </c>
      <c r="H426" s="17">
        <f>IF(B426="","",IF(Office_Log!U26="","",Office_Log!U26&amp;""))</f>
        <v/>
      </c>
      <c r="I426" s="17">
        <f>IF(B426="","","")</f>
        <v/>
      </c>
      <c r="J426" s="17">
        <f>IF(B426="","",IF(AND(ISNUMBER(Office_Log!W26),N(Office_Log!W26)&gt;N(Office_Log!V26)),"range to "&amp;Office_Log!W26&amp;" per month",""))</f>
        <v/>
      </c>
      <c r="K426" t="inlineStr">
        <is>
          <t>office budget_probe</t>
        </is>
      </c>
    </row>
    <row r="427">
      <c r="A427" s="17">
        <f>IF(B427="","",B427+(3*1000+26)/10000000)</f>
        <v/>
      </c>
      <c r="B427" s="23">
        <f>IF(Office_Log!BK27=1,Office_Log!G27,"")</f>
        <v/>
      </c>
      <c r="C427" s="17">
        <f>IF(B427="","","office")</f>
        <v/>
      </c>
      <c r="D427" s="17">
        <f>IF(B427="","",Office_Log!$A27&amp;"")</f>
        <v/>
      </c>
      <c r="E427" s="17">
        <f>IF(B427="","",IF(Office_Log!B27="","",Office_Log!B27&amp;""))</f>
        <v/>
      </c>
      <c r="F427" s="17">
        <f>IF(B427="","","budget_probe")</f>
        <v/>
      </c>
      <c r="G427" s="17">
        <f>IF(B427="","",IF(ISNUMBER(Office_Log!V27),Office_Log!V27,""))</f>
        <v/>
      </c>
      <c r="H427" s="17">
        <f>IF(B427="","",IF(Office_Log!U27="","",Office_Log!U27&amp;""))</f>
        <v/>
      </c>
      <c r="I427" s="17">
        <f>IF(B427="","","")</f>
        <v/>
      </c>
      <c r="J427" s="17">
        <f>IF(B427="","",IF(AND(ISNUMBER(Office_Log!W27),N(Office_Log!W27)&gt;N(Office_Log!V27)),"range to "&amp;Office_Log!W27&amp;" per month",""))</f>
        <v/>
      </c>
      <c r="K427" t="inlineStr">
        <is>
          <t>office budget_probe</t>
        </is>
      </c>
    </row>
    <row r="428">
      <c r="A428" s="17">
        <f>IF(B428="","",B428+(3*1000+27)/10000000)</f>
        <v/>
      </c>
      <c r="B428" s="23">
        <f>IF(Office_Log!BK28=1,Office_Log!G28,"")</f>
        <v/>
      </c>
      <c r="C428" s="17">
        <f>IF(B428="","","office")</f>
        <v/>
      </c>
      <c r="D428" s="17">
        <f>IF(B428="","",Office_Log!$A28&amp;"")</f>
        <v/>
      </c>
      <c r="E428" s="17">
        <f>IF(B428="","",IF(Office_Log!B28="","",Office_Log!B28&amp;""))</f>
        <v/>
      </c>
      <c r="F428" s="17">
        <f>IF(B428="","","budget_probe")</f>
        <v/>
      </c>
      <c r="G428" s="17">
        <f>IF(B428="","",IF(ISNUMBER(Office_Log!V28),Office_Log!V28,""))</f>
        <v/>
      </c>
      <c r="H428" s="17">
        <f>IF(B428="","",IF(Office_Log!U28="","",Office_Log!U28&amp;""))</f>
        <v/>
      </c>
      <c r="I428" s="17">
        <f>IF(B428="","","")</f>
        <v/>
      </c>
      <c r="J428" s="17">
        <f>IF(B428="","",IF(AND(ISNUMBER(Office_Log!W28),N(Office_Log!W28)&gt;N(Office_Log!V28)),"range to "&amp;Office_Log!W28&amp;" per month",""))</f>
        <v/>
      </c>
      <c r="K428" t="inlineStr">
        <is>
          <t>office budget_probe</t>
        </is>
      </c>
    </row>
    <row r="429">
      <c r="A429" s="17">
        <f>IF(B429="","",B429+(3*1000+28)/10000000)</f>
        <v/>
      </c>
      <c r="B429" s="23">
        <f>IF(Office_Log!BK29=1,Office_Log!G29,"")</f>
        <v/>
      </c>
      <c r="C429" s="17">
        <f>IF(B429="","","office")</f>
        <v/>
      </c>
      <c r="D429" s="17">
        <f>IF(B429="","",Office_Log!$A29&amp;"")</f>
        <v/>
      </c>
      <c r="E429" s="17">
        <f>IF(B429="","",IF(Office_Log!B29="","",Office_Log!B29&amp;""))</f>
        <v/>
      </c>
      <c r="F429" s="17">
        <f>IF(B429="","","budget_probe")</f>
        <v/>
      </c>
      <c r="G429" s="17">
        <f>IF(B429="","",IF(ISNUMBER(Office_Log!V29),Office_Log!V29,""))</f>
        <v/>
      </c>
      <c r="H429" s="17">
        <f>IF(B429="","",IF(Office_Log!U29="","",Office_Log!U29&amp;""))</f>
        <v/>
      </c>
      <c r="I429" s="17">
        <f>IF(B429="","","")</f>
        <v/>
      </c>
      <c r="J429" s="17">
        <f>IF(B429="","",IF(AND(ISNUMBER(Office_Log!W29),N(Office_Log!W29)&gt;N(Office_Log!V29)),"range to "&amp;Office_Log!W29&amp;" per month",""))</f>
        <v/>
      </c>
      <c r="K429" t="inlineStr">
        <is>
          <t>office budget_probe</t>
        </is>
      </c>
    </row>
    <row r="430">
      <c r="A430" s="17">
        <f>IF(B430="","",B430+(3*1000+29)/10000000)</f>
        <v/>
      </c>
      <c r="B430" s="23">
        <f>IF(Office_Log!BK30=1,Office_Log!G30,"")</f>
        <v/>
      </c>
      <c r="C430" s="17">
        <f>IF(B430="","","office")</f>
        <v/>
      </c>
      <c r="D430" s="17">
        <f>IF(B430="","",Office_Log!$A30&amp;"")</f>
        <v/>
      </c>
      <c r="E430" s="17">
        <f>IF(B430="","",IF(Office_Log!B30="","",Office_Log!B30&amp;""))</f>
        <v/>
      </c>
      <c r="F430" s="17">
        <f>IF(B430="","","budget_probe")</f>
        <v/>
      </c>
      <c r="G430" s="17">
        <f>IF(B430="","",IF(ISNUMBER(Office_Log!V30),Office_Log!V30,""))</f>
        <v/>
      </c>
      <c r="H430" s="17">
        <f>IF(B430="","",IF(Office_Log!U30="","",Office_Log!U30&amp;""))</f>
        <v/>
      </c>
      <c r="I430" s="17">
        <f>IF(B430="","","")</f>
        <v/>
      </c>
      <c r="J430" s="17">
        <f>IF(B430="","",IF(AND(ISNUMBER(Office_Log!W30),N(Office_Log!W30)&gt;N(Office_Log!V30)),"range to "&amp;Office_Log!W30&amp;" per month",""))</f>
        <v/>
      </c>
      <c r="K430" t="inlineStr">
        <is>
          <t>office budget_probe</t>
        </is>
      </c>
    </row>
    <row r="431">
      <c r="A431" s="17">
        <f>IF(B431="","",B431+(3*1000+30)/10000000)</f>
        <v/>
      </c>
      <c r="B431" s="23">
        <f>IF(Office_Log!BK31=1,Office_Log!G31,"")</f>
        <v/>
      </c>
      <c r="C431" s="17">
        <f>IF(B431="","","office")</f>
        <v/>
      </c>
      <c r="D431" s="17">
        <f>IF(B431="","",Office_Log!$A31&amp;"")</f>
        <v/>
      </c>
      <c r="E431" s="17">
        <f>IF(B431="","",IF(Office_Log!B31="","",Office_Log!B31&amp;""))</f>
        <v/>
      </c>
      <c r="F431" s="17">
        <f>IF(B431="","","budget_probe")</f>
        <v/>
      </c>
      <c r="G431" s="17">
        <f>IF(B431="","",IF(ISNUMBER(Office_Log!V31),Office_Log!V31,""))</f>
        <v/>
      </c>
      <c r="H431" s="17">
        <f>IF(B431="","",IF(Office_Log!U31="","",Office_Log!U31&amp;""))</f>
        <v/>
      </c>
      <c r="I431" s="17">
        <f>IF(B431="","","")</f>
        <v/>
      </c>
      <c r="J431" s="17">
        <f>IF(B431="","",IF(AND(ISNUMBER(Office_Log!W31),N(Office_Log!W31)&gt;N(Office_Log!V31)),"range to "&amp;Office_Log!W31&amp;" per month",""))</f>
        <v/>
      </c>
      <c r="K431" t="inlineStr">
        <is>
          <t>office budget_probe</t>
        </is>
      </c>
    </row>
    <row r="432">
      <c r="A432" s="17">
        <f>IF(B432="","",B432+(3*1000+31)/10000000)</f>
        <v/>
      </c>
      <c r="B432" s="23">
        <f>IF(Office_Log!BK32=1,Office_Log!G32,"")</f>
        <v/>
      </c>
      <c r="C432" s="17">
        <f>IF(B432="","","office")</f>
        <v/>
      </c>
      <c r="D432" s="17">
        <f>IF(B432="","",Office_Log!$A32&amp;"")</f>
        <v/>
      </c>
      <c r="E432" s="17">
        <f>IF(B432="","",IF(Office_Log!B32="","",Office_Log!B32&amp;""))</f>
        <v/>
      </c>
      <c r="F432" s="17">
        <f>IF(B432="","","budget_probe")</f>
        <v/>
      </c>
      <c r="G432" s="17">
        <f>IF(B432="","",IF(ISNUMBER(Office_Log!V32),Office_Log!V32,""))</f>
        <v/>
      </c>
      <c r="H432" s="17">
        <f>IF(B432="","",IF(Office_Log!U32="","",Office_Log!U32&amp;""))</f>
        <v/>
      </c>
      <c r="I432" s="17">
        <f>IF(B432="","","")</f>
        <v/>
      </c>
      <c r="J432" s="17">
        <f>IF(B432="","",IF(AND(ISNUMBER(Office_Log!W32),N(Office_Log!W32)&gt;N(Office_Log!V32)),"range to "&amp;Office_Log!W32&amp;" per month",""))</f>
        <v/>
      </c>
      <c r="K432" t="inlineStr">
        <is>
          <t>office budget_probe</t>
        </is>
      </c>
    </row>
    <row r="433">
      <c r="A433" s="17">
        <f>IF(B433="","",B433+(3*1000+32)/10000000)</f>
        <v/>
      </c>
      <c r="B433" s="23">
        <f>IF(Office_Log!BK33=1,Office_Log!G33,"")</f>
        <v/>
      </c>
      <c r="C433" s="17">
        <f>IF(B433="","","office")</f>
        <v/>
      </c>
      <c r="D433" s="17">
        <f>IF(B433="","",Office_Log!$A33&amp;"")</f>
        <v/>
      </c>
      <c r="E433" s="17">
        <f>IF(B433="","",IF(Office_Log!B33="","",Office_Log!B33&amp;""))</f>
        <v/>
      </c>
      <c r="F433" s="17">
        <f>IF(B433="","","budget_probe")</f>
        <v/>
      </c>
      <c r="G433" s="17">
        <f>IF(B433="","",IF(ISNUMBER(Office_Log!V33),Office_Log!V33,""))</f>
        <v/>
      </c>
      <c r="H433" s="17">
        <f>IF(B433="","",IF(Office_Log!U33="","",Office_Log!U33&amp;""))</f>
        <v/>
      </c>
      <c r="I433" s="17">
        <f>IF(B433="","","")</f>
        <v/>
      </c>
      <c r="J433" s="17">
        <f>IF(B433="","",IF(AND(ISNUMBER(Office_Log!W33),N(Office_Log!W33)&gt;N(Office_Log!V33)),"range to "&amp;Office_Log!W33&amp;" per month",""))</f>
        <v/>
      </c>
      <c r="K433" t="inlineStr">
        <is>
          <t>office budget_probe</t>
        </is>
      </c>
    </row>
    <row r="434">
      <c r="A434" s="17">
        <f>IF(B434="","",B434+(3*1000+33)/10000000)</f>
        <v/>
      </c>
      <c r="B434" s="23">
        <f>IF(Office_Log!BK34=1,Office_Log!G34,"")</f>
        <v/>
      </c>
      <c r="C434" s="17">
        <f>IF(B434="","","office")</f>
        <v/>
      </c>
      <c r="D434" s="17">
        <f>IF(B434="","",Office_Log!$A34&amp;"")</f>
        <v/>
      </c>
      <c r="E434" s="17">
        <f>IF(B434="","",IF(Office_Log!B34="","",Office_Log!B34&amp;""))</f>
        <v/>
      </c>
      <c r="F434" s="17">
        <f>IF(B434="","","budget_probe")</f>
        <v/>
      </c>
      <c r="G434" s="17">
        <f>IF(B434="","",IF(ISNUMBER(Office_Log!V34),Office_Log!V34,""))</f>
        <v/>
      </c>
      <c r="H434" s="17">
        <f>IF(B434="","",IF(Office_Log!U34="","",Office_Log!U34&amp;""))</f>
        <v/>
      </c>
      <c r="I434" s="17">
        <f>IF(B434="","","")</f>
        <v/>
      </c>
      <c r="J434" s="17">
        <f>IF(B434="","",IF(AND(ISNUMBER(Office_Log!W34),N(Office_Log!W34)&gt;N(Office_Log!V34)),"range to "&amp;Office_Log!W34&amp;" per month",""))</f>
        <v/>
      </c>
      <c r="K434" t="inlineStr">
        <is>
          <t>office budget_probe</t>
        </is>
      </c>
    </row>
    <row r="435">
      <c r="A435" s="17">
        <f>IF(B435="","",B435+(3*1000+34)/10000000)</f>
        <v/>
      </c>
      <c r="B435" s="23">
        <f>IF(Office_Log!BK35=1,Office_Log!G35,"")</f>
        <v/>
      </c>
      <c r="C435" s="17">
        <f>IF(B435="","","office")</f>
        <v/>
      </c>
      <c r="D435" s="17">
        <f>IF(B435="","",Office_Log!$A35&amp;"")</f>
        <v/>
      </c>
      <c r="E435" s="17">
        <f>IF(B435="","",IF(Office_Log!B35="","",Office_Log!B35&amp;""))</f>
        <v/>
      </c>
      <c r="F435" s="17">
        <f>IF(B435="","","budget_probe")</f>
        <v/>
      </c>
      <c r="G435" s="17">
        <f>IF(B435="","",IF(ISNUMBER(Office_Log!V35),Office_Log!V35,""))</f>
        <v/>
      </c>
      <c r="H435" s="17">
        <f>IF(B435="","",IF(Office_Log!U35="","",Office_Log!U35&amp;""))</f>
        <v/>
      </c>
      <c r="I435" s="17">
        <f>IF(B435="","","")</f>
        <v/>
      </c>
      <c r="J435" s="17">
        <f>IF(B435="","",IF(AND(ISNUMBER(Office_Log!W35),N(Office_Log!W35)&gt;N(Office_Log!V35)),"range to "&amp;Office_Log!W35&amp;" per month",""))</f>
        <v/>
      </c>
      <c r="K435" t="inlineStr">
        <is>
          <t>office budget_probe</t>
        </is>
      </c>
    </row>
    <row r="436">
      <c r="A436" s="17">
        <f>IF(B436="","",B436+(3*1000+35)/10000000)</f>
        <v/>
      </c>
      <c r="B436" s="23">
        <f>IF(Office_Log!BK36=1,Office_Log!G36,"")</f>
        <v/>
      </c>
      <c r="C436" s="17">
        <f>IF(B436="","","office")</f>
        <v/>
      </c>
      <c r="D436" s="17">
        <f>IF(B436="","",Office_Log!$A36&amp;"")</f>
        <v/>
      </c>
      <c r="E436" s="17">
        <f>IF(B436="","",IF(Office_Log!B36="","",Office_Log!B36&amp;""))</f>
        <v/>
      </c>
      <c r="F436" s="17">
        <f>IF(B436="","","budget_probe")</f>
        <v/>
      </c>
      <c r="G436" s="17">
        <f>IF(B436="","",IF(ISNUMBER(Office_Log!V36),Office_Log!V36,""))</f>
        <v/>
      </c>
      <c r="H436" s="17">
        <f>IF(B436="","",IF(Office_Log!U36="","",Office_Log!U36&amp;""))</f>
        <v/>
      </c>
      <c r="I436" s="17">
        <f>IF(B436="","","")</f>
        <v/>
      </c>
      <c r="J436" s="17">
        <f>IF(B436="","",IF(AND(ISNUMBER(Office_Log!W36),N(Office_Log!W36)&gt;N(Office_Log!V36)),"range to "&amp;Office_Log!W36&amp;" per month",""))</f>
        <v/>
      </c>
      <c r="K436" t="inlineStr">
        <is>
          <t>office budget_probe</t>
        </is>
      </c>
    </row>
    <row r="437">
      <c r="A437" s="17">
        <f>IF(B437="","",B437+(3*1000+36)/10000000)</f>
        <v/>
      </c>
      <c r="B437" s="23">
        <f>IF(Office_Log!BK37=1,Office_Log!G37,"")</f>
        <v/>
      </c>
      <c r="C437" s="17">
        <f>IF(B437="","","office")</f>
        <v/>
      </c>
      <c r="D437" s="17">
        <f>IF(B437="","",Office_Log!$A37&amp;"")</f>
        <v/>
      </c>
      <c r="E437" s="17">
        <f>IF(B437="","",IF(Office_Log!B37="","",Office_Log!B37&amp;""))</f>
        <v/>
      </c>
      <c r="F437" s="17">
        <f>IF(B437="","","budget_probe")</f>
        <v/>
      </c>
      <c r="G437" s="17">
        <f>IF(B437="","",IF(ISNUMBER(Office_Log!V37),Office_Log!V37,""))</f>
        <v/>
      </c>
      <c r="H437" s="17">
        <f>IF(B437="","",IF(Office_Log!U37="","",Office_Log!U37&amp;""))</f>
        <v/>
      </c>
      <c r="I437" s="17">
        <f>IF(B437="","","")</f>
        <v/>
      </c>
      <c r="J437" s="17">
        <f>IF(B437="","",IF(AND(ISNUMBER(Office_Log!W37),N(Office_Log!W37)&gt;N(Office_Log!V37)),"range to "&amp;Office_Log!W37&amp;" per month",""))</f>
        <v/>
      </c>
      <c r="K437" t="inlineStr">
        <is>
          <t>office budget_probe</t>
        </is>
      </c>
    </row>
    <row r="438">
      <c r="A438" s="17">
        <f>IF(B438="","",B438+(3*1000+37)/10000000)</f>
        <v/>
      </c>
      <c r="B438" s="23">
        <f>IF(Office_Log!BK38=1,Office_Log!G38,"")</f>
        <v/>
      </c>
      <c r="C438" s="17">
        <f>IF(B438="","","office")</f>
        <v/>
      </c>
      <c r="D438" s="17">
        <f>IF(B438="","",Office_Log!$A38&amp;"")</f>
        <v/>
      </c>
      <c r="E438" s="17">
        <f>IF(B438="","",IF(Office_Log!B38="","",Office_Log!B38&amp;""))</f>
        <v/>
      </c>
      <c r="F438" s="17">
        <f>IF(B438="","","budget_probe")</f>
        <v/>
      </c>
      <c r="G438" s="17">
        <f>IF(B438="","",IF(ISNUMBER(Office_Log!V38),Office_Log!V38,""))</f>
        <v/>
      </c>
      <c r="H438" s="17">
        <f>IF(B438="","",IF(Office_Log!U38="","",Office_Log!U38&amp;""))</f>
        <v/>
      </c>
      <c r="I438" s="17">
        <f>IF(B438="","","")</f>
        <v/>
      </c>
      <c r="J438" s="17">
        <f>IF(B438="","",IF(AND(ISNUMBER(Office_Log!W38),N(Office_Log!W38)&gt;N(Office_Log!V38)),"range to "&amp;Office_Log!W38&amp;" per month",""))</f>
        <v/>
      </c>
      <c r="K438" t="inlineStr">
        <is>
          <t>office budget_probe</t>
        </is>
      </c>
    </row>
    <row r="439">
      <c r="A439" s="17">
        <f>IF(B439="","",B439+(3*1000+38)/10000000)</f>
        <v/>
      </c>
      <c r="B439" s="23">
        <f>IF(Office_Log!BK39=1,Office_Log!G39,"")</f>
        <v/>
      </c>
      <c r="C439" s="17">
        <f>IF(B439="","","office")</f>
        <v/>
      </c>
      <c r="D439" s="17">
        <f>IF(B439="","",Office_Log!$A39&amp;"")</f>
        <v/>
      </c>
      <c r="E439" s="17">
        <f>IF(B439="","",IF(Office_Log!B39="","",Office_Log!B39&amp;""))</f>
        <v/>
      </c>
      <c r="F439" s="17">
        <f>IF(B439="","","budget_probe")</f>
        <v/>
      </c>
      <c r="G439" s="17">
        <f>IF(B439="","",IF(ISNUMBER(Office_Log!V39),Office_Log!V39,""))</f>
        <v/>
      </c>
      <c r="H439" s="17">
        <f>IF(B439="","",IF(Office_Log!U39="","",Office_Log!U39&amp;""))</f>
        <v/>
      </c>
      <c r="I439" s="17">
        <f>IF(B439="","","")</f>
        <v/>
      </c>
      <c r="J439" s="17">
        <f>IF(B439="","",IF(AND(ISNUMBER(Office_Log!W39),N(Office_Log!W39)&gt;N(Office_Log!V39)),"range to "&amp;Office_Log!W39&amp;" per month",""))</f>
        <v/>
      </c>
      <c r="K439" t="inlineStr">
        <is>
          <t>office budget_probe</t>
        </is>
      </c>
    </row>
    <row r="440">
      <c r="A440" s="17">
        <f>IF(B440="","",B440+(3*1000+39)/10000000)</f>
        <v/>
      </c>
      <c r="B440" s="23">
        <f>IF(Office_Log!BK40=1,Office_Log!G40,"")</f>
        <v/>
      </c>
      <c r="C440" s="17">
        <f>IF(B440="","","office")</f>
        <v/>
      </c>
      <c r="D440" s="17">
        <f>IF(B440="","",Office_Log!$A40&amp;"")</f>
        <v/>
      </c>
      <c r="E440" s="17">
        <f>IF(B440="","",IF(Office_Log!B40="","",Office_Log!B40&amp;""))</f>
        <v/>
      </c>
      <c r="F440" s="17">
        <f>IF(B440="","","budget_probe")</f>
        <v/>
      </c>
      <c r="G440" s="17">
        <f>IF(B440="","",IF(ISNUMBER(Office_Log!V40),Office_Log!V40,""))</f>
        <v/>
      </c>
      <c r="H440" s="17">
        <f>IF(B440="","",IF(Office_Log!U40="","",Office_Log!U40&amp;""))</f>
        <v/>
      </c>
      <c r="I440" s="17">
        <f>IF(B440="","","")</f>
        <v/>
      </c>
      <c r="J440" s="17">
        <f>IF(B440="","",IF(AND(ISNUMBER(Office_Log!W40),N(Office_Log!W40)&gt;N(Office_Log!V40)),"range to "&amp;Office_Log!W40&amp;" per month",""))</f>
        <v/>
      </c>
      <c r="K440" t="inlineStr">
        <is>
          <t>office budget_probe</t>
        </is>
      </c>
    </row>
    <row r="441">
      <c r="A441" s="17">
        <f>IF(B441="","",B441+(3*1000+40)/10000000)</f>
        <v/>
      </c>
      <c r="B441" s="23">
        <f>IF(Office_Log!BK41=1,Office_Log!G41,"")</f>
        <v/>
      </c>
      <c r="C441" s="17">
        <f>IF(B441="","","office")</f>
        <v/>
      </c>
      <c r="D441" s="17">
        <f>IF(B441="","",Office_Log!$A41&amp;"")</f>
        <v/>
      </c>
      <c r="E441" s="17">
        <f>IF(B441="","",IF(Office_Log!B41="","",Office_Log!B41&amp;""))</f>
        <v/>
      </c>
      <c r="F441" s="17">
        <f>IF(B441="","","budget_probe")</f>
        <v/>
      </c>
      <c r="G441" s="17">
        <f>IF(B441="","",IF(ISNUMBER(Office_Log!V41),Office_Log!V41,""))</f>
        <v/>
      </c>
      <c r="H441" s="17">
        <f>IF(B441="","",IF(Office_Log!U41="","",Office_Log!U41&amp;""))</f>
        <v/>
      </c>
      <c r="I441" s="17">
        <f>IF(B441="","","")</f>
        <v/>
      </c>
      <c r="J441" s="17">
        <f>IF(B441="","",IF(AND(ISNUMBER(Office_Log!W41),N(Office_Log!W41)&gt;N(Office_Log!V41)),"range to "&amp;Office_Log!W41&amp;" per month",""))</f>
        <v/>
      </c>
      <c r="K441" t="inlineStr">
        <is>
          <t>office budget_probe</t>
        </is>
      </c>
    </row>
    <row r="442">
      <c r="A442" s="17">
        <f>IF(B442="","",B442+(3*1000+41)/10000000)</f>
        <v/>
      </c>
      <c r="B442" s="23">
        <f>IF(Office_Log!BK42=1,Office_Log!G42,"")</f>
        <v/>
      </c>
      <c r="C442" s="17">
        <f>IF(B442="","","office")</f>
        <v/>
      </c>
      <c r="D442" s="17">
        <f>IF(B442="","",Office_Log!$A42&amp;"")</f>
        <v/>
      </c>
      <c r="E442" s="17">
        <f>IF(B442="","",IF(Office_Log!B42="","",Office_Log!B42&amp;""))</f>
        <v/>
      </c>
      <c r="F442" s="17">
        <f>IF(B442="","","budget_probe")</f>
        <v/>
      </c>
      <c r="G442" s="17">
        <f>IF(B442="","",IF(ISNUMBER(Office_Log!V42),Office_Log!V42,""))</f>
        <v/>
      </c>
      <c r="H442" s="17">
        <f>IF(B442="","",IF(Office_Log!U42="","",Office_Log!U42&amp;""))</f>
        <v/>
      </c>
      <c r="I442" s="17">
        <f>IF(B442="","","")</f>
        <v/>
      </c>
      <c r="J442" s="17">
        <f>IF(B442="","",IF(AND(ISNUMBER(Office_Log!W42),N(Office_Log!W42)&gt;N(Office_Log!V42)),"range to "&amp;Office_Log!W42&amp;" per month",""))</f>
        <v/>
      </c>
      <c r="K442" t="inlineStr">
        <is>
          <t>office budget_probe</t>
        </is>
      </c>
    </row>
    <row r="443">
      <c r="A443" s="17">
        <f>IF(B443="","",B443+(3*1000+42)/10000000)</f>
        <v/>
      </c>
      <c r="B443" s="23">
        <f>IF(Office_Log!BK43=1,Office_Log!G43,"")</f>
        <v/>
      </c>
      <c r="C443" s="17">
        <f>IF(B443="","","office")</f>
        <v/>
      </c>
      <c r="D443" s="17">
        <f>IF(B443="","",Office_Log!$A43&amp;"")</f>
        <v/>
      </c>
      <c r="E443" s="17">
        <f>IF(B443="","",IF(Office_Log!B43="","",Office_Log!B43&amp;""))</f>
        <v/>
      </c>
      <c r="F443" s="17">
        <f>IF(B443="","","budget_probe")</f>
        <v/>
      </c>
      <c r="G443" s="17">
        <f>IF(B443="","",IF(ISNUMBER(Office_Log!V43),Office_Log!V43,""))</f>
        <v/>
      </c>
      <c r="H443" s="17">
        <f>IF(B443="","",IF(Office_Log!U43="","",Office_Log!U43&amp;""))</f>
        <v/>
      </c>
      <c r="I443" s="17">
        <f>IF(B443="","","")</f>
        <v/>
      </c>
      <c r="J443" s="17">
        <f>IF(B443="","",IF(AND(ISNUMBER(Office_Log!W43),N(Office_Log!W43)&gt;N(Office_Log!V43)),"range to "&amp;Office_Log!W43&amp;" per month",""))</f>
        <v/>
      </c>
      <c r="K443" t="inlineStr">
        <is>
          <t>office budget_probe</t>
        </is>
      </c>
    </row>
    <row r="444">
      <c r="A444" s="17">
        <f>IF(B444="","",B444+(3*1000+43)/10000000)</f>
        <v/>
      </c>
      <c r="B444" s="23">
        <f>IF(Office_Log!BK44=1,Office_Log!G44,"")</f>
        <v/>
      </c>
      <c r="C444" s="17">
        <f>IF(B444="","","office")</f>
        <v/>
      </c>
      <c r="D444" s="17">
        <f>IF(B444="","",Office_Log!$A44&amp;"")</f>
        <v/>
      </c>
      <c r="E444" s="17">
        <f>IF(B444="","",IF(Office_Log!B44="","",Office_Log!B44&amp;""))</f>
        <v/>
      </c>
      <c r="F444" s="17">
        <f>IF(B444="","","budget_probe")</f>
        <v/>
      </c>
      <c r="G444" s="17">
        <f>IF(B444="","",IF(ISNUMBER(Office_Log!V44),Office_Log!V44,""))</f>
        <v/>
      </c>
      <c r="H444" s="17">
        <f>IF(B444="","",IF(Office_Log!U44="","",Office_Log!U44&amp;""))</f>
        <v/>
      </c>
      <c r="I444" s="17">
        <f>IF(B444="","","")</f>
        <v/>
      </c>
      <c r="J444" s="17">
        <f>IF(B444="","",IF(AND(ISNUMBER(Office_Log!W44),N(Office_Log!W44)&gt;N(Office_Log!V44)),"range to "&amp;Office_Log!W44&amp;" per month",""))</f>
        <v/>
      </c>
      <c r="K444" t="inlineStr">
        <is>
          <t>office budget_probe</t>
        </is>
      </c>
    </row>
    <row r="445">
      <c r="A445" s="17">
        <f>IF(B445="","",B445+(3*1000+44)/10000000)</f>
        <v/>
      </c>
      <c r="B445" s="23">
        <f>IF(Office_Log!BK45=1,Office_Log!G45,"")</f>
        <v/>
      </c>
      <c r="C445" s="17">
        <f>IF(B445="","","office")</f>
        <v/>
      </c>
      <c r="D445" s="17">
        <f>IF(B445="","",Office_Log!$A45&amp;"")</f>
        <v/>
      </c>
      <c r="E445" s="17">
        <f>IF(B445="","",IF(Office_Log!B45="","",Office_Log!B45&amp;""))</f>
        <v/>
      </c>
      <c r="F445" s="17">
        <f>IF(B445="","","budget_probe")</f>
        <v/>
      </c>
      <c r="G445" s="17">
        <f>IF(B445="","",IF(ISNUMBER(Office_Log!V45),Office_Log!V45,""))</f>
        <v/>
      </c>
      <c r="H445" s="17">
        <f>IF(B445="","",IF(Office_Log!U45="","",Office_Log!U45&amp;""))</f>
        <v/>
      </c>
      <c r="I445" s="17">
        <f>IF(B445="","","")</f>
        <v/>
      </c>
      <c r="J445" s="17">
        <f>IF(B445="","",IF(AND(ISNUMBER(Office_Log!W45),N(Office_Log!W45)&gt;N(Office_Log!V45)),"range to "&amp;Office_Log!W45&amp;" per month",""))</f>
        <v/>
      </c>
      <c r="K445" t="inlineStr">
        <is>
          <t>office budget_probe</t>
        </is>
      </c>
    </row>
    <row r="446">
      <c r="A446" s="17">
        <f>IF(B446="","",B446+(3*1000+45)/10000000)</f>
        <v/>
      </c>
      <c r="B446" s="23">
        <f>IF(Office_Log!BK46=1,Office_Log!G46,"")</f>
        <v/>
      </c>
      <c r="C446" s="17">
        <f>IF(B446="","","office")</f>
        <v/>
      </c>
      <c r="D446" s="17">
        <f>IF(B446="","",Office_Log!$A46&amp;"")</f>
        <v/>
      </c>
      <c r="E446" s="17">
        <f>IF(B446="","",IF(Office_Log!B46="","",Office_Log!B46&amp;""))</f>
        <v/>
      </c>
      <c r="F446" s="17">
        <f>IF(B446="","","budget_probe")</f>
        <v/>
      </c>
      <c r="G446" s="17">
        <f>IF(B446="","",IF(ISNUMBER(Office_Log!V46),Office_Log!V46,""))</f>
        <v/>
      </c>
      <c r="H446" s="17">
        <f>IF(B446="","",IF(Office_Log!U46="","",Office_Log!U46&amp;""))</f>
        <v/>
      </c>
      <c r="I446" s="17">
        <f>IF(B446="","","")</f>
        <v/>
      </c>
      <c r="J446" s="17">
        <f>IF(B446="","",IF(AND(ISNUMBER(Office_Log!W46),N(Office_Log!W46)&gt;N(Office_Log!V46)),"range to "&amp;Office_Log!W46&amp;" per month",""))</f>
        <v/>
      </c>
      <c r="K446" t="inlineStr">
        <is>
          <t>office budget_probe</t>
        </is>
      </c>
    </row>
    <row r="447">
      <c r="A447" s="17">
        <f>IF(B447="","",B447+(3*1000+46)/10000000)</f>
        <v/>
      </c>
      <c r="B447" s="23">
        <f>IF(Office_Log!BK47=1,Office_Log!G47,"")</f>
        <v/>
      </c>
      <c r="C447" s="17">
        <f>IF(B447="","","office")</f>
        <v/>
      </c>
      <c r="D447" s="17">
        <f>IF(B447="","",Office_Log!$A47&amp;"")</f>
        <v/>
      </c>
      <c r="E447" s="17">
        <f>IF(B447="","",IF(Office_Log!B47="","",Office_Log!B47&amp;""))</f>
        <v/>
      </c>
      <c r="F447" s="17">
        <f>IF(B447="","","budget_probe")</f>
        <v/>
      </c>
      <c r="G447" s="17">
        <f>IF(B447="","",IF(ISNUMBER(Office_Log!V47),Office_Log!V47,""))</f>
        <v/>
      </c>
      <c r="H447" s="17">
        <f>IF(B447="","",IF(Office_Log!U47="","",Office_Log!U47&amp;""))</f>
        <v/>
      </c>
      <c r="I447" s="17">
        <f>IF(B447="","","")</f>
        <v/>
      </c>
      <c r="J447" s="17">
        <f>IF(B447="","",IF(AND(ISNUMBER(Office_Log!W47),N(Office_Log!W47)&gt;N(Office_Log!V47)),"range to "&amp;Office_Log!W47&amp;" per month",""))</f>
        <v/>
      </c>
      <c r="K447" t="inlineStr">
        <is>
          <t>office budget_probe</t>
        </is>
      </c>
    </row>
    <row r="448">
      <c r="A448" s="17">
        <f>IF(B448="","",B448+(3*1000+47)/10000000)</f>
        <v/>
      </c>
      <c r="B448" s="23">
        <f>IF(Office_Log!BK48=1,Office_Log!G48,"")</f>
        <v/>
      </c>
      <c r="C448" s="17">
        <f>IF(B448="","","office")</f>
        <v/>
      </c>
      <c r="D448" s="17">
        <f>IF(B448="","",Office_Log!$A48&amp;"")</f>
        <v/>
      </c>
      <c r="E448" s="17">
        <f>IF(B448="","",IF(Office_Log!B48="","",Office_Log!B48&amp;""))</f>
        <v/>
      </c>
      <c r="F448" s="17">
        <f>IF(B448="","","budget_probe")</f>
        <v/>
      </c>
      <c r="G448" s="17">
        <f>IF(B448="","",IF(ISNUMBER(Office_Log!V48),Office_Log!V48,""))</f>
        <v/>
      </c>
      <c r="H448" s="17">
        <f>IF(B448="","",IF(Office_Log!U48="","",Office_Log!U48&amp;""))</f>
        <v/>
      </c>
      <c r="I448" s="17">
        <f>IF(B448="","","")</f>
        <v/>
      </c>
      <c r="J448" s="17">
        <f>IF(B448="","",IF(AND(ISNUMBER(Office_Log!W48),N(Office_Log!W48)&gt;N(Office_Log!V48)),"range to "&amp;Office_Log!W48&amp;" per month",""))</f>
        <v/>
      </c>
      <c r="K448" t="inlineStr">
        <is>
          <t>office budget_probe</t>
        </is>
      </c>
    </row>
    <row r="449">
      <c r="A449" s="17">
        <f>IF(B449="","",B449+(3*1000+48)/10000000)</f>
        <v/>
      </c>
      <c r="B449" s="23">
        <f>IF(Office_Log!BK49=1,Office_Log!G49,"")</f>
        <v/>
      </c>
      <c r="C449" s="17">
        <f>IF(B449="","","office")</f>
        <v/>
      </c>
      <c r="D449" s="17">
        <f>IF(B449="","",Office_Log!$A49&amp;"")</f>
        <v/>
      </c>
      <c r="E449" s="17">
        <f>IF(B449="","",IF(Office_Log!B49="","",Office_Log!B49&amp;""))</f>
        <v/>
      </c>
      <c r="F449" s="17">
        <f>IF(B449="","","budget_probe")</f>
        <v/>
      </c>
      <c r="G449" s="17">
        <f>IF(B449="","",IF(ISNUMBER(Office_Log!V49),Office_Log!V49,""))</f>
        <v/>
      </c>
      <c r="H449" s="17">
        <f>IF(B449="","",IF(Office_Log!U49="","",Office_Log!U49&amp;""))</f>
        <v/>
      </c>
      <c r="I449" s="17">
        <f>IF(B449="","","")</f>
        <v/>
      </c>
      <c r="J449" s="17">
        <f>IF(B449="","",IF(AND(ISNUMBER(Office_Log!W49),N(Office_Log!W49)&gt;N(Office_Log!V49)),"range to "&amp;Office_Log!W49&amp;" per month",""))</f>
        <v/>
      </c>
      <c r="K449" t="inlineStr">
        <is>
          <t>office budget_probe</t>
        </is>
      </c>
    </row>
    <row r="450">
      <c r="A450" s="17">
        <f>IF(B450="","",B450+(3*1000+49)/10000000)</f>
        <v/>
      </c>
      <c r="B450" s="23">
        <f>IF(Office_Log!BK50=1,Office_Log!G50,"")</f>
        <v/>
      </c>
      <c r="C450" s="17">
        <f>IF(B450="","","office")</f>
        <v/>
      </c>
      <c r="D450" s="17">
        <f>IF(B450="","",Office_Log!$A50&amp;"")</f>
        <v/>
      </c>
      <c r="E450" s="17">
        <f>IF(B450="","",IF(Office_Log!B50="","",Office_Log!B50&amp;""))</f>
        <v/>
      </c>
      <c r="F450" s="17">
        <f>IF(B450="","","budget_probe")</f>
        <v/>
      </c>
      <c r="G450" s="17">
        <f>IF(B450="","",IF(ISNUMBER(Office_Log!V50),Office_Log!V50,""))</f>
        <v/>
      </c>
      <c r="H450" s="17">
        <f>IF(B450="","",IF(Office_Log!U50="","",Office_Log!U50&amp;""))</f>
        <v/>
      </c>
      <c r="I450" s="17">
        <f>IF(B450="","","")</f>
        <v/>
      </c>
      <c r="J450" s="17">
        <f>IF(B450="","",IF(AND(ISNUMBER(Office_Log!W50),N(Office_Log!W50)&gt;N(Office_Log!V50)),"range to "&amp;Office_Log!W50&amp;" per month",""))</f>
        <v/>
      </c>
      <c r="K450" t="inlineStr">
        <is>
          <t>office budget_probe</t>
        </is>
      </c>
    </row>
    <row r="451">
      <c r="A451" s="17">
        <f>IF(B451="","",B451+(3*1000+50)/10000000)</f>
        <v/>
      </c>
      <c r="B451" s="23">
        <f>IF(Office_Log!BK51=1,Office_Log!G51,"")</f>
        <v/>
      </c>
      <c r="C451" s="17">
        <f>IF(B451="","","office")</f>
        <v/>
      </c>
      <c r="D451" s="17">
        <f>IF(B451="","",Office_Log!$A51&amp;"")</f>
        <v/>
      </c>
      <c r="E451" s="17">
        <f>IF(B451="","",IF(Office_Log!B51="","",Office_Log!B51&amp;""))</f>
        <v/>
      </c>
      <c r="F451" s="17">
        <f>IF(B451="","","budget_probe")</f>
        <v/>
      </c>
      <c r="G451" s="17">
        <f>IF(B451="","",IF(ISNUMBER(Office_Log!V51),Office_Log!V51,""))</f>
        <v/>
      </c>
      <c r="H451" s="17">
        <f>IF(B451="","",IF(Office_Log!U51="","",Office_Log!U51&amp;""))</f>
        <v/>
      </c>
      <c r="I451" s="17">
        <f>IF(B451="","","")</f>
        <v/>
      </c>
      <c r="J451" s="17">
        <f>IF(B451="","",IF(AND(ISNUMBER(Office_Log!W51),N(Office_Log!W51)&gt;N(Office_Log!V51)),"range to "&amp;Office_Log!W51&amp;" per month",""))</f>
        <v/>
      </c>
      <c r="K451" t="inlineStr">
        <is>
          <t>office budget_probe</t>
        </is>
      </c>
    </row>
    <row r="452">
      <c r="A452" s="17">
        <f>IF(B452="","",B452+(3*1000+51)/10000000)</f>
        <v/>
      </c>
      <c r="B452" s="23">
        <f>IF(Office_Log!BK52=1,Office_Log!G52,"")</f>
        <v/>
      </c>
      <c r="C452" s="17">
        <f>IF(B452="","","office")</f>
        <v/>
      </c>
      <c r="D452" s="17">
        <f>IF(B452="","",Office_Log!$A52&amp;"")</f>
        <v/>
      </c>
      <c r="E452" s="17">
        <f>IF(B452="","",IF(Office_Log!B52="","",Office_Log!B52&amp;""))</f>
        <v/>
      </c>
      <c r="F452" s="17">
        <f>IF(B452="","","budget_probe")</f>
        <v/>
      </c>
      <c r="G452" s="17">
        <f>IF(B452="","",IF(ISNUMBER(Office_Log!V52),Office_Log!V52,""))</f>
        <v/>
      </c>
      <c r="H452" s="17">
        <f>IF(B452="","",IF(Office_Log!U52="","",Office_Log!U52&amp;""))</f>
        <v/>
      </c>
      <c r="I452" s="17">
        <f>IF(B452="","","")</f>
        <v/>
      </c>
      <c r="J452" s="17">
        <f>IF(B452="","",IF(AND(ISNUMBER(Office_Log!W52),N(Office_Log!W52)&gt;N(Office_Log!V52)),"range to "&amp;Office_Log!W52&amp;" per month",""))</f>
        <v/>
      </c>
      <c r="K452" t="inlineStr">
        <is>
          <t>office budget_probe</t>
        </is>
      </c>
    </row>
    <row r="453">
      <c r="A453" s="17">
        <f>IF(B453="","",B453+(3*1000+52)/10000000)</f>
        <v/>
      </c>
      <c r="B453" s="23">
        <f>IF(Office_Log!BK53=1,Office_Log!G53,"")</f>
        <v/>
      </c>
      <c r="C453" s="17">
        <f>IF(B453="","","office")</f>
        <v/>
      </c>
      <c r="D453" s="17">
        <f>IF(B453="","",Office_Log!$A53&amp;"")</f>
        <v/>
      </c>
      <c r="E453" s="17">
        <f>IF(B453="","",IF(Office_Log!B53="","",Office_Log!B53&amp;""))</f>
        <v/>
      </c>
      <c r="F453" s="17">
        <f>IF(B453="","","budget_probe")</f>
        <v/>
      </c>
      <c r="G453" s="17">
        <f>IF(B453="","",IF(ISNUMBER(Office_Log!V53),Office_Log!V53,""))</f>
        <v/>
      </c>
      <c r="H453" s="17">
        <f>IF(B453="","",IF(Office_Log!U53="","",Office_Log!U53&amp;""))</f>
        <v/>
      </c>
      <c r="I453" s="17">
        <f>IF(B453="","","")</f>
        <v/>
      </c>
      <c r="J453" s="17">
        <f>IF(B453="","",IF(AND(ISNUMBER(Office_Log!W53),N(Office_Log!W53)&gt;N(Office_Log!V53)),"range to "&amp;Office_Log!W53&amp;" per month",""))</f>
        <v/>
      </c>
      <c r="K453" t="inlineStr">
        <is>
          <t>office budget_probe</t>
        </is>
      </c>
    </row>
    <row r="454">
      <c r="A454" s="17">
        <f>IF(B454="","",B454+(3*1000+53)/10000000)</f>
        <v/>
      </c>
      <c r="B454" s="23">
        <f>IF(Office_Log!BK54=1,Office_Log!G54,"")</f>
        <v/>
      </c>
      <c r="C454" s="17">
        <f>IF(B454="","","office")</f>
        <v/>
      </c>
      <c r="D454" s="17">
        <f>IF(B454="","",Office_Log!$A54&amp;"")</f>
        <v/>
      </c>
      <c r="E454" s="17">
        <f>IF(B454="","",IF(Office_Log!B54="","",Office_Log!B54&amp;""))</f>
        <v/>
      </c>
      <c r="F454" s="17">
        <f>IF(B454="","","budget_probe")</f>
        <v/>
      </c>
      <c r="G454" s="17">
        <f>IF(B454="","",IF(ISNUMBER(Office_Log!V54),Office_Log!V54,""))</f>
        <v/>
      </c>
      <c r="H454" s="17">
        <f>IF(B454="","",IF(Office_Log!U54="","",Office_Log!U54&amp;""))</f>
        <v/>
      </c>
      <c r="I454" s="17">
        <f>IF(B454="","","")</f>
        <v/>
      </c>
      <c r="J454" s="17">
        <f>IF(B454="","",IF(AND(ISNUMBER(Office_Log!W54),N(Office_Log!W54)&gt;N(Office_Log!V54)),"range to "&amp;Office_Log!W54&amp;" per month",""))</f>
        <v/>
      </c>
      <c r="K454" t="inlineStr">
        <is>
          <t>office budget_probe</t>
        </is>
      </c>
    </row>
    <row r="455">
      <c r="A455" s="17">
        <f>IF(B455="","",B455+(3*1000+54)/10000000)</f>
        <v/>
      </c>
      <c r="B455" s="23">
        <f>IF(Office_Log!BK55=1,Office_Log!G55,"")</f>
        <v/>
      </c>
      <c r="C455" s="17">
        <f>IF(B455="","","office")</f>
        <v/>
      </c>
      <c r="D455" s="17">
        <f>IF(B455="","",Office_Log!$A55&amp;"")</f>
        <v/>
      </c>
      <c r="E455" s="17">
        <f>IF(B455="","",IF(Office_Log!B55="","",Office_Log!B55&amp;""))</f>
        <v/>
      </c>
      <c r="F455" s="17">
        <f>IF(B455="","","budget_probe")</f>
        <v/>
      </c>
      <c r="G455" s="17">
        <f>IF(B455="","",IF(ISNUMBER(Office_Log!V55),Office_Log!V55,""))</f>
        <v/>
      </c>
      <c r="H455" s="17">
        <f>IF(B455="","",IF(Office_Log!U55="","",Office_Log!U55&amp;""))</f>
        <v/>
      </c>
      <c r="I455" s="17">
        <f>IF(B455="","","")</f>
        <v/>
      </c>
      <c r="J455" s="17">
        <f>IF(B455="","",IF(AND(ISNUMBER(Office_Log!W55),N(Office_Log!W55)&gt;N(Office_Log!V55)),"range to "&amp;Office_Log!W55&amp;" per month",""))</f>
        <v/>
      </c>
      <c r="K455" t="inlineStr">
        <is>
          <t>office budget_probe</t>
        </is>
      </c>
    </row>
    <row r="456">
      <c r="A456" s="17">
        <f>IF(B456="","",B456+(3*1000+55)/10000000)</f>
        <v/>
      </c>
      <c r="B456" s="23">
        <f>IF(Office_Log!BK56=1,Office_Log!G56,"")</f>
        <v/>
      </c>
      <c r="C456" s="17">
        <f>IF(B456="","","office")</f>
        <v/>
      </c>
      <c r="D456" s="17">
        <f>IF(B456="","",Office_Log!$A56&amp;"")</f>
        <v/>
      </c>
      <c r="E456" s="17">
        <f>IF(B456="","",IF(Office_Log!B56="","",Office_Log!B56&amp;""))</f>
        <v/>
      </c>
      <c r="F456" s="17">
        <f>IF(B456="","","budget_probe")</f>
        <v/>
      </c>
      <c r="G456" s="17">
        <f>IF(B456="","",IF(ISNUMBER(Office_Log!V56),Office_Log!V56,""))</f>
        <v/>
      </c>
      <c r="H456" s="17">
        <f>IF(B456="","",IF(Office_Log!U56="","",Office_Log!U56&amp;""))</f>
        <v/>
      </c>
      <c r="I456" s="17">
        <f>IF(B456="","","")</f>
        <v/>
      </c>
      <c r="J456" s="17">
        <f>IF(B456="","",IF(AND(ISNUMBER(Office_Log!W56),N(Office_Log!W56)&gt;N(Office_Log!V56)),"range to "&amp;Office_Log!W56&amp;" per month",""))</f>
        <v/>
      </c>
      <c r="K456" t="inlineStr">
        <is>
          <t>office budget_probe</t>
        </is>
      </c>
    </row>
    <row r="457">
      <c r="A457" s="17">
        <f>IF(B457="","",B457+(3*1000+56)/10000000)</f>
        <v/>
      </c>
      <c r="B457" s="23">
        <f>IF(Office_Log!BK57=1,Office_Log!G57,"")</f>
        <v/>
      </c>
      <c r="C457" s="17">
        <f>IF(B457="","","office")</f>
        <v/>
      </c>
      <c r="D457" s="17">
        <f>IF(B457="","",Office_Log!$A57&amp;"")</f>
        <v/>
      </c>
      <c r="E457" s="17">
        <f>IF(B457="","",IF(Office_Log!B57="","",Office_Log!B57&amp;""))</f>
        <v/>
      </c>
      <c r="F457" s="17">
        <f>IF(B457="","","budget_probe")</f>
        <v/>
      </c>
      <c r="G457" s="17">
        <f>IF(B457="","",IF(ISNUMBER(Office_Log!V57),Office_Log!V57,""))</f>
        <v/>
      </c>
      <c r="H457" s="17">
        <f>IF(B457="","",IF(Office_Log!U57="","",Office_Log!U57&amp;""))</f>
        <v/>
      </c>
      <c r="I457" s="17">
        <f>IF(B457="","","")</f>
        <v/>
      </c>
      <c r="J457" s="17">
        <f>IF(B457="","",IF(AND(ISNUMBER(Office_Log!W57),N(Office_Log!W57)&gt;N(Office_Log!V57)),"range to "&amp;Office_Log!W57&amp;" per month",""))</f>
        <v/>
      </c>
      <c r="K457" t="inlineStr">
        <is>
          <t>office budget_probe</t>
        </is>
      </c>
    </row>
    <row r="458">
      <c r="A458" s="17">
        <f>IF(B458="","",B458+(3*1000+57)/10000000)</f>
        <v/>
      </c>
      <c r="B458" s="23">
        <f>IF(Office_Log!BK58=1,Office_Log!G58,"")</f>
        <v/>
      </c>
      <c r="C458" s="17">
        <f>IF(B458="","","office")</f>
        <v/>
      </c>
      <c r="D458" s="17">
        <f>IF(B458="","",Office_Log!$A58&amp;"")</f>
        <v/>
      </c>
      <c r="E458" s="17">
        <f>IF(B458="","",IF(Office_Log!B58="","",Office_Log!B58&amp;""))</f>
        <v/>
      </c>
      <c r="F458" s="17">
        <f>IF(B458="","","budget_probe")</f>
        <v/>
      </c>
      <c r="G458" s="17">
        <f>IF(B458="","",IF(ISNUMBER(Office_Log!V58),Office_Log!V58,""))</f>
        <v/>
      </c>
      <c r="H458" s="17">
        <f>IF(B458="","",IF(Office_Log!U58="","",Office_Log!U58&amp;""))</f>
        <v/>
      </c>
      <c r="I458" s="17">
        <f>IF(B458="","","")</f>
        <v/>
      </c>
      <c r="J458" s="17">
        <f>IF(B458="","",IF(AND(ISNUMBER(Office_Log!W58),N(Office_Log!W58)&gt;N(Office_Log!V58)),"range to "&amp;Office_Log!W58&amp;" per month",""))</f>
        <v/>
      </c>
      <c r="K458" t="inlineStr">
        <is>
          <t>office budget_probe</t>
        </is>
      </c>
    </row>
    <row r="459">
      <c r="A459" s="17">
        <f>IF(B459="","",B459+(3*1000+58)/10000000)</f>
        <v/>
      </c>
      <c r="B459" s="23">
        <f>IF(Office_Log!BK59=1,Office_Log!G59,"")</f>
        <v/>
      </c>
      <c r="C459" s="17">
        <f>IF(B459="","","office")</f>
        <v/>
      </c>
      <c r="D459" s="17">
        <f>IF(B459="","",Office_Log!$A59&amp;"")</f>
        <v/>
      </c>
      <c r="E459" s="17">
        <f>IF(B459="","",IF(Office_Log!B59="","",Office_Log!B59&amp;""))</f>
        <v/>
      </c>
      <c r="F459" s="17">
        <f>IF(B459="","","budget_probe")</f>
        <v/>
      </c>
      <c r="G459" s="17">
        <f>IF(B459="","",IF(ISNUMBER(Office_Log!V59),Office_Log!V59,""))</f>
        <v/>
      </c>
      <c r="H459" s="17">
        <f>IF(B459="","",IF(Office_Log!U59="","",Office_Log!U59&amp;""))</f>
        <v/>
      </c>
      <c r="I459" s="17">
        <f>IF(B459="","","")</f>
        <v/>
      </c>
      <c r="J459" s="17">
        <f>IF(B459="","",IF(AND(ISNUMBER(Office_Log!W59),N(Office_Log!W59)&gt;N(Office_Log!V59)),"range to "&amp;Office_Log!W59&amp;" per month",""))</f>
        <v/>
      </c>
      <c r="K459" t="inlineStr">
        <is>
          <t>office budget_probe</t>
        </is>
      </c>
    </row>
    <row r="460">
      <c r="A460" s="17">
        <f>IF(B460="","",B460+(3*1000+59)/10000000)</f>
        <v/>
      </c>
      <c r="B460" s="23">
        <f>IF(Office_Log!BK60=1,Office_Log!G60,"")</f>
        <v/>
      </c>
      <c r="C460" s="17">
        <f>IF(B460="","","office")</f>
        <v/>
      </c>
      <c r="D460" s="17">
        <f>IF(B460="","",Office_Log!$A60&amp;"")</f>
        <v/>
      </c>
      <c r="E460" s="17">
        <f>IF(B460="","",IF(Office_Log!B60="","",Office_Log!B60&amp;""))</f>
        <v/>
      </c>
      <c r="F460" s="17">
        <f>IF(B460="","","budget_probe")</f>
        <v/>
      </c>
      <c r="G460" s="17">
        <f>IF(B460="","",IF(ISNUMBER(Office_Log!V60),Office_Log!V60,""))</f>
        <v/>
      </c>
      <c r="H460" s="17">
        <f>IF(B460="","",IF(Office_Log!U60="","",Office_Log!U60&amp;""))</f>
        <v/>
      </c>
      <c r="I460" s="17">
        <f>IF(B460="","","")</f>
        <v/>
      </c>
      <c r="J460" s="17">
        <f>IF(B460="","",IF(AND(ISNUMBER(Office_Log!W60),N(Office_Log!W60)&gt;N(Office_Log!V60)),"range to "&amp;Office_Log!W60&amp;" per month",""))</f>
        <v/>
      </c>
      <c r="K460" t="inlineStr">
        <is>
          <t>office budget_probe</t>
        </is>
      </c>
    </row>
    <row r="461">
      <c r="A461" s="17">
        <f>IF(B461="","",B461+(3*1000+60)/10000000)</f>
        <v/>
      </c>
      <c r="B461" s="23">
        <f>IF(Office_Log!BK61=1,Office_Log!G61,"")</f>
        <v/>
      </c>
      <c r="C461" s="17">
        <f>IF(B461="","","office")</f>
        <v/>
      </c>
      <c r="D461" s="17">
        <f>IF(B461="","",Office_Log!$A61&amp;"")</f>
        <v/>
      </c>
      <c r="E461" s="17">
        <f>IF(B461="","",IF(Office_Log!B61="","",Office_Log!B61&amp;""))</f>
        <v/>
      </c>
      <c r="F461" s="17">
        <f>IF(B461="","","budget_probe")</f>
        <v/>
      </c>
      <c r="G461" s="17">
        <f>IF(B461="","",IF(ISNUMBER(Office_Log!V61),Office_Log!V61,""))</f>
        <v/>
      </c>
      <c r="H461" s="17">
        <f>IF(B461="","",IF(Office_Log!U61="","",Office_Log!U61&amp;""))</f>
        <v/>
      </c>
      <c r="I461" s="17">
        <f>IF(B461="","","")</f>
        <v/>
      </c>
      <c r="J461" s="17">
        <f>IF(B461="","",IF(AND(ISNUMBER(Office_Log!W61),N(Office_Log!W61)&gt;N(Office_Log!V61)),"range to "&amp;Office_Log!W61&amp;" per month",""))</f>
        <v/>
      </c>
      <c r="K461" t="inlineStr">
        <is>
          <t>office budget_probe</t>
        </is>
      </c>
    </row>
    <row r="462">
      <c r="A462" s="17">
        <f>IF(B462="","",B462+(3*1000+61)/10000000)</f>
        <v/>
      </c>
      <c r="B462" s="23">
        <f>IF(Office_Log!BK62=1,Office_Log!G62,"")</f>
        <v/>
      </c>
      <c r="C462" s="17">
        <f>IF(B462="","","office")</f>
        <v/>
      </c>
      <c r="D462" s="17">
        <f>IF(B462="","",Office_Log!$A62&amp;"")</f>
        <v/>
      </c>
      <c r="E462" s="17">
        <f>IF(B462="","",IF(Office_Log!B62="","",Office_Log!B62&amp;""))</f>
        <v/>
      </c>
      <c r="F462" s="17">
        <f>IF(B462="","","budget_probe")</f>
        <v/>
      </c>
      <c r="G462" s="17">
        <f>IF(B462="","",IF(ISNUMBER(Office_Log!V62),Office_Log!V62,""))</f>
        <v/>
      </c>
      <c r="H462" s="17">
        <f>IF(B462="","",IF(Office_Log!U62="","",Office_Log!U62&amp;""))</f>
        <v/>
      </c>
      <c r="I462" s="17">
        <f>IF(B462="","","")</f>
        <v/>
      </c>
      <c r="J462" s="17">
        <f>IF(B462="","",IF(AND(ISNUMBER(Office_Log!W62),N(Office_Log!W62)&gt;N(Office_Log!V62)),"range to "&amp;Office_Log!W62&amp;" per month",""))</f>
        <v/>
      </c>
      <c r="K462" t="inlineStr">
        <is>
          <t>office budget_probe</t>
        </is>
      </c>
    </row>
    <row r="463">
      <c r="A463" s="17">
        <f>IF(B463="","",B463+(3*1000+62)/10000000)</f>
        <v/>
      </c>
      <c r="B463" s="23">
        <f>IF(Office_Log!BK63=1,Office_Log!G63,"")</f>
        <v/>
      </c>
      <c r="C463" s="17">
        <f>IF(B463="","","office")</f>
        <v/>
      </c>
      <c r="D463" s="17">
        <f>IF(B463="","",Office_Log!$A63&amp;"")</f>
        <v/>
      </c>
      <c r="E463" s="17">
        <f>IF(B463="","",IF(Office_Log!B63="","",Office_Log!B63&amp;""))</f>
        <v/>
      </c>
      <c r="F463" s="17">
        <f>IF(B463="","","budget_probe")</f>
        <v/>
      </c>
      <c r="G463" s="17">
        <f>IF(B463="","",IF(ISNUMBER(Office_Log!V63),Office_Log!V63,""))</f>
        <v/>
      </c>
      <c r="H463" s="17">
        <f>IF(B463="","",IF(Office_Log!U63="","",Office_Log!U63&amp;""))</f>
        <v/>
      </c>
      <c r="I463" s="17">
        <f>IF(B463="","","")</f>
        <v/>
      </c>
      <c r="J463" s="17">
        <f>IF(B463="","",IF(AND(ISNUMBER(Office_Log!W63),N(Office_Log!W63)&gt;N(Office_Log!V63)),"range to "&amp;Office_Log!W63&amp;" per month",""))</f>
        <v/>
      </c>
      <c r="K463" t="inlineStr">
        <is>
          <t>office budget_probe</t>
        </is>
      </c>
    </row>
    <row r="464">
      <c r="A464" s="17">
        <f>IF(B464="","",B464+(3*1000+63)/10000000)</f>
        <v/>
      </c>
      <c r="B464" s="23">
        <f>IF(Office_Log!BK64=1,Office_Log!G64,"")</f>
        <v/>
      </c>
      <c r="C464" s="17">
        <f>IF(B464="","","office")</f>
        <v/>
      </c>
      <c r="D464" s="17">
        <f>IF(B464="","",Office_Log!$A64&amp;"")</f>
        <v/>
      </c>
      <c r="E464" s="17">
        <f>IF(B464="","",IF(Office_Log!B64="","",Office_Log!B64&amp;""))</f>
        <v/>
      </c>
      <c r="F464" s="17">
        <f>IF(B464="","","budget_probe")</f>
        <v/>
      </c>
      <c r="G464" s="17">
        <f>IF(B464="","",IF(ISNUMBER(Office_Log!V64),Office_Log!V64,""))</f>
        <v/>
      </c>
      <c r="H464" s="17">
        <f>IF(B464="","",IF(Office_Log!U64="","",Office_Log!U64&amp;""))</f>
        <v/>
      </c>
      <c r="I464" s="17">
        <f>IF(B464="","","")</f>
        <v/>
      </c>
      <c r="J464" s="17">
        <f>IF(B464="","",IF(AND(ISNUMBER(Office_Log!W64),N(Office_Log!W64)&gt;N(Office_Log!V64)),"range to "&amp;Office_Log!W64&amp;" per month",""))</f>
        <v/>
      </c>
      <c r="K464" t="inlineStr">
        <is>
          <t>office budget_probe</t>
        </is>
      </c>
    </row>
    <row r="465">
      <c r="A465" s="17">
        <f>IF(B465="","",B465+(3*1000+64)/10000000)</f>
        <v/>
      </c>
      <c r="B465" s="23">
        <f>IF(Office_Log!BK65=1,Office_Log!G65,"")</f>
        <v/>
      </c>
      <c r="C465" s="17">
        <f>IF(B465="","","office")</f>
        <v/>
      </c>
      <c r="D465" s="17">
        <f>IF(B465="","",Office_Log!$A65&amp;"")</f>
        <v/>
      </c>
      <c r="E465" s="17">
        <f>IF(B465="","",IF(Office_Log!B65="","",Office_Log!B65&amp;""))</f>
        <v/>
      </c>
      <c r="F465" s="17">
        <f>IF(B465="","","budget_probe")</f>
        <v/>
      </c>
      <c r="G465" s="17">
        <f>IF(B465="","",IF(ISNUMBER(Office_Log!V65),Office_Log!V65,""))</f>
        <v/>
      </c>
      <c r="H465" s="17">
        <f>IF(B465="","",IF(Office_Log!U65="","",Office_Log!U65&amp;""))</f>
        <v/>
      </c>
      <c r="I465" s="17">
        <f>IF(B465="","","")</f>
        <v/>
      </c>
      <c r="J465" s="17">
        <f>IF(B465="","",IF(AND(ISNUMBER(Office_Log!W65),N(Office_Log!W65)&gt;N(Office_Log!V65)),"range to "&amp;Office_Log!W65&amp;" per month",""))</f>
        <v/>
      </c>
      <c r="K465" t="inlineStr">
        <is>
          <t>office budget_probe</t>
        </is>
      </c>
    </row>
    <row r="466">
      <c r="A466" s="17">
        <f>IF(B466="","",B466+(3*1000+65)/10000000)</f>
        <v/>
      </c>
      <c r="B466" s="23">
        <f>IF(Office_Log!BK66=1,Office_Log!G66,"")</f>
        <v/>
      </c>
      <c r="C466" s="17">
        <f>IF(B466="","","office")</f>
        <v/>
      </c>
      <c r="D466" s="17">
        <f>IF(B466="","",Office_Log!$A66&amp;"")</f>
        <v/>
      </c>
      <c r="E466" s="17">
        <f>IF(B466="","",IF(Office_Log!B66="","",Office_Log!B66&amp;""))</f>
        <v/>
      </c>
      <c r="F466" s="17">
        <f>IF(B466="","","budget_probe")</f>
        <v/>
      </c>
      <c r="G466" s="17">
        <f>IF(B466="","",IF(ISNUMBER(Office_Log!V66),Office_Log!V66,""))</f>
        <v/>
      </c>
      <c r="H466" s="17">
        <f>IF(B466="","",IF(Office_Log!U66="","",Office_Log!U66&amp;""))</f>
        <v/>
      </c>
      <c r="I466" s="17">
        <f>IF(B466="","","")</f>
        <v/>
      </c>
      <c r="J466" s="17">
        <f>IF(B466="","",IF(AND(ISNUMBER(Office_Log!W66),N(Office_Log!W66)&gt;N(Office_Log!V66)),"range to "&amp;Office_Log!W66&amp;" per month",""))</f>
        <v/>
      </c>
      <c r="K466" t="inlineStr">
        <is>
          <t>office budget_probe</t>
        </is>
      </c>
    </row>
    <row r="467">
      <c r="A467" s="17">
        <f>IF(B467="","",B467+(3*1000+66)/10000000)</f>
        <v/>
      </c>
      <c r="B467" s="23">
        <f>IF(Office_Log!BK67=1,Office_Log!G67,"")</f>
        <v/>
      </c>
      <c r="C467" s="17">
        <f>IF(B467="","","office")</f>
        <v/>
      </c>
      <c r="D467" s="17">
        <f>IF(B467="","",Office_Log!$A67&amp;"")</f>
        <v/>
      </c>
      <c r="E467" s="17">
        <f>IF(B467="","",IF(Office_Log!B67="","",Office_Log!B67&amp;""))</f>
        <v/>
      </c>
      <c r="F467" s="17">
        <f>IF(B467="","","budget_probe")</f>
        <v/>
      </c>
      <c r="G467" s="17">
        <f>IF(B467="","",IF(ISNUMBER(Office_Log!V67),Office_Log!V67,""))</f>
        <v/>
      </c>
      <c r="H467" s="17">
        <f>IF(B467="","",IF(Office_Log!U67="","",Office_Log!U67&amp;""))</f>
        <v/>
      </c>
      <c r="I467" s="17">
        <f>IF(B467="","","")</f>
        <v/>
      </c>
      <c r="J467" s="17">
        <f>IF(B467="","",IF(AND(ISNUMBER(Office_Log!W67),N(Office_Log!W67)&gt;N(Office_Log!V67)),"range to "&amp;Office_Log!W67&amp;" per month",""))</f>
        <v/>
      </c>
      <c r="K467" t="inlineStr">
        <is>
          <t>office budget_probe</t>
        </is>
      </c>
    </row>
    <row r="468">
      <c r="A468" s="17">
        <f>IF(B468="","",B468+(3*1000+67)/10000000)</f>
        <v/>
      </c>
      <c r="B468" s="23">
        <f>IF(Office_Log!BK68=1,Office_Log!G68,"")</f>
        <v/>
      </c>
      <c r="C468" s="17">
        <f>IF(B468="","","office")</f>
        <v/>
      </c>
      <c r="D468" s="17">
        <f>IF(B468="","",Office_Log!$A68&amp;"")</f>
        <v/>
      </c>
      <c r="E468" s="17">
        <f>IF(B468="","",IF(Office_Log!B68="","",Office_Log!B68&amp;""))</f>
        <v/>
      </c>
      <c r="F468" s="17">
        <f>IF(B468="","","budget_probe")</f>
        <v/>
      </c>
      <c r="G468" s="17">
        <f>IF(B468="","",IF(ISNUMBER(Office_Log!V68),Office_Log!V68,""))</f>
        <v/>
      </c>
      <c r="H468" s="17">
        <f>IF(B468="","",IF(Office_Log!U68="","",Office_Log!U68&amp;""))</f>
        <v/>
      </c>
      <c r="I468" s="17">
        <f>IF(B468="","","")</f>
        <v/>
      </c>
      <c r="J468" s="17">
        <f>IF(B468="","",IF(AND(ISNUMBER(Office_Log!W68),N(Office_Log!W68)&gt;N(Office_Log!V68)),"range to "&amp;Office_Log!W68&amp;" per month",""))</f>
        <v/>
      </c>
      <c r="K468" t="inlineStr">
        <is>
          <t>office budget_probe</t>
        </is>
      </c>
    </row>
    <row r="469">
      <c r="A469" s="17">
        <f>IF(B469="","",B469+(3*1000+68)/10000000)</f>
        <v/>
      </c>
      <c r="B469" s="23">
        <f>IF(Office_Log!BK69=1,Office_Log!G69,"")</f>
        <v/>
      </c>
      <c r="C469" s="17">
        <f>IF(B469="","","office")</f>
        <v/>
      </c>
      <c r="D469" s="17">
        <f>IF(B469="","",Office_Log!$A69&amp;"")</f>
        <v/>
      </c>
      <c r="E469" s="17">
        <f>IF(B469="","",IF(Office_Log!B69="","",Office_Log!B69&amp;""))</f>
        <v/>
      </c>
      <c r="F469" s="17">
        <f>IF(B469="","","budget_probe")</f>
        <v/>
      </c>
      <c r="G469" s="17">
        <f>IF(B469="","",IF(ISNUMBER(Office_Log!V69),Office_Log!V69,""))</f>
        <v/>
      </c>
      <c r="H469" s="17">
        <f>IF(B469="","",IF(Office_Log!U69="","",Office_Log!U69&amp;""))</f>
        <v/>
      </c>
      <c r="I469" s="17">
        <f>IF(B469="","","")</f>
        <v/>
      </c>
      <c r="J469" s="17">
        <f>IF(B469="","",IF(AND(ISNUMBER(Office_Log!W69),N(Office_Log!W69)&gt;N(Office_Log!V69)),"range to "&amp;Office_Log!W69&amp;" per month",""))</f>
        <v/>
      </c>
      <c r="K469" t="inlineStr">
        <is>
          <t>office budget_probe</t>
        </is>
      </c>
    </row>
    <row r="470">
      <c r="A470" s="17">
        <f>IF(B470="","",B470+(3*1000+69)/10000000)</f>
        <v/>
      </c>
      <c r="B470" s="23">
        <f>IF(Office_Log!BK70=1,Office_Log!G70,"")</f>
        <v/>
      </c>
      <c r="C470" s="17">
        <f>IF(B470="","","office")</f>
        <v/>
      </c>
      <c r="D470" s="17">
        <f>IF(B470="","",Office_Log!$A70&amp;"")</f>
        <v/>
      </c>
      <c r="E470" s="17">
        <f>IF(B470="","",IF(Office_Log!B70="","",Office_Log!B70&amp;""))</f>
        <v/>
      </c>
      <c r="F470" s="17">
        <f>IF(B470="","","budget_probe")</f>
        <v/>
      </c>
      <c r="G470" s="17">
        <f>IF(B470="","",IF(ISNUMBER(Office_Log!V70),Office_Log!V70,""))</f>
        <v/>
      </c>
      <c r="H470" s="17">
        <f>IF(B470="","",IF(Office_Log!U70="","",Office_Log!U70&amp;""))</f>
        <v/>
      </c>
      <c r="I470" s="17">
        <f>IF(B470="","","")</f>
        <v/>
      </c>
      <c r="J470" s="17">
        <f>IF(B470="","",IF(AND(ISNUMBER(Office_Log!W70),N(Office_Log!W70)&gt;N(Office_Log!V70)),"range to "&amp;Office_Log!W70&amp;" per month",""))</f>
        <v/>
      </c>
      <c r="K470" t="inlineStr">
        <is>
          <t>office budget_probe</t>
        </is>
      </c>
    </row>
    <row r="471">
      <c r="A471" s="17">
        <f>IF(B471="","",B471+(3*1000+70)/10000000)</f>
        <v/>
      </c>
      <c r="B471" s="23">
        <f>IF(Office_Log!BK71=1,Office_Log!G71,"")</f>
        <v/>
      </c>
      <c r="C471" s="17">
        <f>IF(B471="","","office")</f>
        <v/>
      </c>
      <c r="D471" s="17">
        <f>IF(B471="","",Office_Log!$A71&amp;"")</f>
        <v/>
      </c>
      <c r="E471" s="17">
        <f>IF(B471="","",IF(Office_Log!B71="","",Office_Log!B71&amp;""))</f>
        <v/>
      </c>
      <c r="F471" s="17">
        <f>IF(B471="","","budget_probe")</f>
        <v/>
      </c>
      <c r="G471" s="17">
        <f>IF(B471="","",IF(ISNUMBER(Office_Log!V71),Office_Log!V71,""))</f>
        <v/>
      </c>
      <c r="H471" s="17">
        <f>IF(B471="","",IF(Office_Log!U71="","",Office_Log!U71&amp;""))</f>
        <v/>
      </c>
      <c r="I471" s="17">
        <f>IF(B471="","","")</f>
        <v/>
      </c>
      <c r="J471" s="17">
        <f>IF(B471="","",IF(AND(ISNUMBER(Office_Log!W71),N(Office_Log!W71)&gt;N(Office_Log!V71)),"range to "&amp;Office_Log!W71&amp;" per month",""))</f>
        <v/>
      </c>
      <c r="K471" t="inlineStr">
        <is>
          <t>office budget_probe</t>
        </is>
      </c>
    </row>
    <row r="472">
      <c r="A472" s="17">
        <f>IF(B472="","",B472+(3*1000+71)/10000000)</f>
        <v/>
      </c>
      <c r="B472" s="23">
        <f>IF(Office_Log!BK72=1,Office_Log!G72,"")</f>
        <v/>
      </c>
      <c r="C472" s="17">
        <f>IF(B472="","","office")</f>
        <v/>
      </c>
      <c r="D472" s="17">
        <f>IF(B472="","",Office_Log!$A72&amp;"")</f>
        <v/>
      </c>
      <c r="E472" s="17">
        <f>IF(B472="","",IF(Office_Log!B72="","",Office_Log!B72&amp;""))</f>
        <v/>
      </c>
      <c r="F472" s="17">
        <f>IF(B472="","","budget_probe")</f>
        <v/>
      </c>
      <c r="G472" s="17">
        <f>IF(B472="","",IF(ISNUMBER(Office_Log!V72),Office_Log!V72,""))</f>
        <v/>
      </c>
      <c r="H472" s="17">
        <f>IF(B472="","",IF(Office_Log!U72="","",Office_Log!U72&amp;""))</f>
        <v/>
      </c>
      <c r="I472" s="17">
        <f>IF(B472="","","")</f>
        <v/>
      </c>
      <c r="J472" s="17">
        <f>IF(B472="","",IF(AND(ISNUMBER(Office_Log!W72),N(Office_Log!W72)&gt;N(Office_Log!V72)),"range to "&amp;Office_Log!W72&amp;" per month",""))</f>
        <v/>
      </c>
      <c r="K472" t="inlineStr">
        <is>
          <t>office budget_probe</t>
        </is>
      </c>
    </row>
    <row r="473">
      <c r="A473" s="17">
        <f>IF(B473="","",B473+(3*1000+72)/10000000)</f>
        <v/>
      </c>
      <c r="B473" s="23">
        <f>IF(Office_Log!BK73=1,Office_Log!G73,"")</f>
        <v/>
      </c>
      <c r="C473" s="17">
        <f>IF(B473="","","office")</f>
        <v/>
      </c>
      <c r="D473" s="17">
        <f>IF(B473="","",Office_Log!$A73&amp;"")</f>
        <v/>
      </c>
      <c r="E473" s="17">
        <f>IF(B473="","",IF(Office_Log!B73="","",Office_Log!B73&amp;""))</f>
        <v/>
      </c>
      <c r="F473" s="17">
        <f>IF(B473="","","budget_probe")</f>
        <v/>
      </c>
      <c r="G473" s="17">
        <f>IF(B473="","",IF(ISNUMBER(Office_Log!V73),Office_Log!V73,""))</f>
        <v/>
      </c>
      <c r="H473" s="17">
        <f>IF(B473="","",IF(Office_Log!U73="","",Office_Log!U73&amp;""))</f>
        <v/>
      </c>
      <c r="I473" s="17">
        <f>IF(B473="","","")</f>
        <v/>
      </c>
      <c r="J473" s="17">
        <f>IF(B473="","",IF(AND(ISNUMBER(Office_Log!W73),N(Office_Log!W73)&gt;N(Office_Log!V73)),"range to "&amp;Office_Log!W73&amp;" per month",""))</f>
        <v/>
      </c>
      <c r="K473" t="inlineStr">
        <is>
          <t>office budget_probe</t>
        </is>
      </c>
    </row>
    <row r="474">
      <c r="A474" s="17">
        <f>IF(B474="","",B474+(3*1000+73)/10000000)</f>
        <v/>
      </c>
      <c r="B474" s="23">
        <f>IF(Office_Log!BK74=1,Office_Log!G74,"")</f>
        <v/>
      </c>
      <c r="C474" s="17">
        <f>IF(B474="","","office")</f>
        <v/>
      </c>
      <c r="D474" s="17">
        <f>IF(B474="","",Office_Log!$A74&amp;"")</f>
        <v/>
      </c>
      <c r="E474" s="17">
        <f>IF(B474="","",IF(Office_Log!B74="","",Office_Log!B74&amp;""))</f>
        <v/>
      </c>
      <c r="F474" s="17">
        <f>IF(B474="","","budget_probe")</f>
        <v/>
      </c>
      <c r="G474" s="17">
        <f>IF(B474="","",IF(ISNUMBER(Office_Log!V74),Office_Log!V74,""))</f>
        <v/>
      </c>
      <c r="H474" s="17">
        <f>IF(B474="","",IF(Office_Log!U74="","",Office_Log!U74&amp;""))</f>
        <v/>
      </c>
      <c r="I474" s="17">
        <f>IF(B474="","","")</f>
        <v/>
      </c>
      <c r="J474" s="17">
        <f>IF(B474="","",IF(AND(ISNUMBER(Office_Log!W74),N(Office_Log!W74)&gt;N(Office_Log!V74)),"range to "&amp;Office_Log!W74&amp;" per month",""))</f>
        <v/>
      </c>
      <c r="K474" t="inlineStr">
        <is>
          <t>office budget_probe</t>
        </is>
      </c>
    </row>
    <row r="475">
      <c r="A475" s="17">
        <f>IF(B475="","",B475+(3*1000+74)/10000000)</f>
        <v/>
      </c>
      <c r="B475" s="23">
        <f>IF(Office_Log!BK75=1,Office_Log!G75,"")</f>
        <v/>
      </c>
      <c r="C475" s="17">
        <f>IF(B475="","","office")</f>
        <v/>
      </c>
      <c r="D475" s="17">
        <f>IF(B475="","",Office_Log!$A75&amp;"")</f>
        <v/>
      </c>
      <c r="E475" s="17">
        <f>IF(B475="","",IF(Office_Log!B75="","",Office_Log!B75&amp;""))</f>
        <v/>
      </c>
      <c r="F475" s="17">
        <f>IF(B475="","","budget_probe")</f>
        <v/>
      </c>
      <c r="G475" s="17">
        <f>IF(B475="","",IF(ISNUMBER(Office_Log!V75),Office_Log!V75,""))</f>
        <v/>
      </c>
      <c r="H475" s="17">
        <f>IF(B475="","",IF(Office_Log!U75="","",Office_Log!U75&amp;""))</f>
        <v/>
      </c>
      <c r="I475" s="17">
        <f>IF(B475="","","")</f>
        <v/>
      </c>
      <c r="J475" s="17">
        <f>IF(B475="","",IF(AND(ISNUMBER(Office_Log!W75),N(Office_Log!W75)&gt;N(Office_Log!V75)),"range to "&amp;Office_Log!W75&amp;" per month",""))</f>
        <v/>
      </c>
      <c r="K475" t="inlineStr">
        <is>
          <t>office budget_probe</t>
        </is>
      </c>
    </row>
    <row r="476">
      <c r="A476" s="17">
        <f>IF(B476="","",B476+(3*1000+75)/10000000)</f>
        <v/>
      </c>
      <c r="B476" s="23">
        <f>IF(Office_Log!BK76=1,Office_Log!G76,"")</f>
        <v/>
      </c>
      <c r="C476" s="17">
        <f>IF(B476="","","office")</f>
        <v/>
      </c>
      <c r="D476" s="17">
        <f>IF(B476="","",Office_Log!$A76&amp;"")</f>
        <v/>
      </c>
      <c r="E476" s="17">
        <f>IF(B476="","",IF(Office_Log!B76="","",Office_Log!B76&amp;""))</f>
        <v/>
      </c>
      <c r="F476" s="17">
        <f>IF(B476="","","budget_probe")</f>
        <v/>
      </c>
      <c r="G476" s="17">
        <f>IF(B476="","",IF(ISNUMBER(Office_Log!V76),Office_Log!V76,""))</f>
        <v/>
      </c>
      <c r="H476" s="17">
        <f>IF(B476="","",IF(Office_Log!U76="","",Office_Log!U76&amp;""))</f>
        <v/>
      </c>
      <c r="I476" s="17">
        <f>IF(B476="","","")</f>
        <v/>
      </c>
      <c r="J476" s="17">
        <f>IF(B476="","",IF(AND(ISNUMBER(Office_Log!W76),N(Office_Log!W76)&gt;N(Office_Log!V76)),"range to "&amp;Office_Log!W76&amp;" per month",""))</f>
        <v/>
      </c>
      <c r="K476" t="inlineStr">
        <is>
          <t>office budget_probe</t>
        </is>
      </c>
    </row>
    <row r="477">
      <c r="A477" s="17">
        <f>IF(B477="","",B477+(3*1000+76)/10000000)</f>
        <v/>
      </c>
      <c r="B477" s="23">
        <f>IF(Office_Log!BK77=1,Office_Log!G77,"")</f>
        <v/>
      </c>
      <c r="C477" s="17">
        <f>IF(B477="","","office")</f>
        <v/>
      </c>
      <c r="D477" s="17">
        <f>IF(B477="","",Office_Log!$A77&amp;"")</f>
        <v/>
      </c>
      <c r="E477" s="17">
        <f>IF(B477="","",IF(Office_Log!B77="","",Office_Log!B77&amp;""))</f>
        <v/>
      </c>
      <c r="F477" s="17">
        <f>IF(B477="","","budget_probe")</f>
        <v/>
      </c>
      <c r="G477" s="17">
        <f>IF(B477="","",IF(ISNUMBER(Office_Log!V77),Office_Log!V77,""))</f>
        <v/>
      </c>
      <c r="H477" s="17">
        <f>IF(B477="","",IF(Office_Log!U77="","",Office_Log!U77&amp;""))</f>
        <v/>
      </c>
      <c r="I477" s="17">
        <f>IF(B477="","","")</f>
        <v/>
      </c>
      <c r="J477" s="17">
        <f>IF(B477="","",IF(AND(ISNUMBER(Office_Log!W77),N(Office_Log!W77)&gt;N(Office_Log!V77)),"range to "&amp;Office_Log!W77&amp;" per month",""))</f>
        <v/>
      </c>
      <c r="K477" t="inlineStr">
        <is>
          <t>office budget_probe</t>
        </is>
      </c>
    </row>
    <row r="478">
      <c r="A478" s="17">
        <f>IF(B478="","",B478+(3*1000+77)/10000000)</f>
        <v/>
      </c>
      <c r="B478" s="23">
        <f>IF(Office_Log!BK78=1,Office_Log!G78,"")</f>
        <v/>
      </c>
      <c r="C478" s="17">
        <f>IF(B478="","","office")</f>
        <v/>
      </c>
      <c r="D478" s="17">
        <f>IF(B478="","",Office_Log!$A78&amp;"")</f>
        <v/>
      </c>
      <c r="E478" s="17">
        <f>IF(B478="","",IF(Office_Log!B78="","",Office_Log!B78&amp;""))</f>
        <v/>
      </c>
      <c r="F478" s="17">
        <f>IF(B478="","","budget_probe")</f>
        <v/>
      </c>
      <c r="G478" s="17">
        <f>IF(B478="","",IF(ISNUMBER(Office_Log!V78),Office_Log!V78,""))</f>
        <v/>
      </c>
      <c r="H478" s="17">
        <f>IF(B478="","",IF(Office_Log!U78="","",Office_Log!U78&amp;""))</f>
        <v/>
      </c>
      <c r="I478" s="17">
        <f>IF(B478="","","")</f>
        <v/>
      </c>
      <c r="J478" s="17">
        <f>IF(B478="","",IF(AND(ISNUMBER(Office_Log!W78),N(Office_Log!W78)&gt;N(Office_Log!V78)),"range to "&amp;Office_Log!W78&amp;" per month",""))</f>
        <v/>
      </c>
      <c r="K478" t="inlineStr">
        <is>
          <t>office budget_probe</t>
        </is>
      </c>
    </row>
    <row r="479">
      <c r="A479" s="17">
        <f>IF(B479="","",B479+(3*1000+78)/10000000)</f>
        <v/>
      </c>
      <c r="B479" s="23">
        <f>IF(Office_Log!BK79=1,Office_Log!G79,"")</f>
        <v/>
      </c>
      <c r="C479" s="17">
        <f>IF(B479="","","office")</f>
        <v/>
      </c>
      <c r="D479" s="17">
        <f>IF(B479="","",Office_Log!$A79&amp;"")</f>
        <v/>
      </c>
      <c r="E479" s="17">
        <f>IF(B479="","",IF(Office_Log!B79="","",Office_Log!B79&amp;""))</f>
        <v/>
      </c>
      <c r="F479" s="17">
        <f>IF(B479="","","budget_probe")</f>
        <v/>
      </c>
      <c r="G479" s="17">
        <f>IF(B479="","",IF(ISNUMBER(Office_Log!V79),Office_Log!V79,""))</f>
        <v/>
      </c>
      <c r="H479" s="17">
        <f>IF(B479="","",IF(Office_Log!U79="","",Office_Log!U79&amp;""))</f>
        <v/>
      </c>
      <c r="I479" s="17">
        <f>IF(B479="","","")</f>
        <v/>
      </c>
      <c r="J479" s="17">
        <f>IF(B479="","",IF(AND(ISNUMBER(Office_Log!W79),N(Office_Log!W79)&gt;N(Office_Log!V79)),"range to "&amp;Office_Log!W79&amp;" per month",""))</f>
        <v/>
      </c>
      <c r="K479" t="inlineStr">
        <is>
          <t>office budget_probe</t>
        </is>
      </c>
    </row>
    <row r="480">
      <c r="A480" s="17">
        <f>IF(B480="","",B480+(3*1000+79)/10000000)</f>
        <v/>
      </c>
      <c r="B480" s="23">
        <f>IF(Office_Log!BK80=1,Office_Log!G80,"")</f>
        <v/>
      </c>
      <c r="C480" s="17">
        <f>IF(B480="","","office")</f>
        <v/>
      </c>
      <c r="D480" s="17">
        <f>IF(B480="","",Office_Log!$A80&amp;"")</f>
        <v/>
      </c>
      <c r="E480" s="17">
        <f>IF(B480="","",IF(Office_Log!B80="","",Office_Log!B80&amp;""))</f>
        <v/>
      </c>
      <c r="F480" s="17">
        <f>IF(B480="","","budget_probe")</f>
        <v/>
      </c>
      <c r="G480" s="17">
        <f>IF(B480="","",IF(ISNUMBER(Office_Log!V80),Office_Log!V80,""))</f>
        <v/>
      </c>
      <c r="H480" s="17">
        <f>IF(B480="","",IF(Office_Log!U80="","",Office_Log!U80&amp;""))</f>
        <v/>
      </c>
      <c r="I480" s="17">
        <f>IF(B480="","","")</f>
        <v/>
      </c>
      <c r="J480" s="17">
        <f>IF(B480="","",IF(AND(ISNUMBER(Office_Log!W80),N(Office_Log!W80)&gt;N(Office_Log!V80)),"range to "&amp;Office_Log!W80&amp;" per month",""))</f>
        <v/>
      </c>
      <c r="K480" t="inlineStr">
        <is>
          <t>office budget_probe</t>
        </is>
      </c>
    </row>
    <row r="481">
      <c r="A481" s="17">
        <f>IF(B481="","",B481+(3*1000+80)/10000000)</f>
        <v/>
      </c>
      <c r="B481" s="23">
        <f>IF(Office_Log!BK81=1,Office_Log!G81,"")</f>
        <v/>
      </c>
      <c r="C481" s="17">
        <f>IF(B481="","","office")</f>
        <v/>
      </c>
      <c r="D481" s="17">
        <f>IF(B481="","",Office_Log!$A81&amp;"")</f>
        <v/>
      </c>
      <c r="E481" s="17">
        <f>IF(B481="","",IF(Office_Log!B81="","",Office_Log!B81&amp;""))</f>
        <v/>
      </c>
      <c r="F481" s="17">
        <f>IF(B481="","","budget_probe")</f>
        <v/>
      </c>
      <c r="G481" s="17">
        <f>IF(B481="","",IF(ISNUMBER(Office_Log!V81),Office_Log!V81,""))</f>
        <v/>
      </c>
      <c r="H481" s="17">
        <f>IF(B481="","",IF(Office_Log!U81="","",Office_Log!U81&amp;""))</f>
        <v/>
      </c>
      <c r="I481" s="17">
        <f>IF(B481="","","")</f>
        <v/>
      </c>
      <c r="J481" s="17">
        <f>IF(B481="","",IF(AND(ISNUMBER(Office_Log!W81),N(Office_Log!W81)&gt;N(Office_Log!V81)),"range to "&amp;Office_Log!W81&amp;" per month",""))</f>
        <v/>
      </c>
      <c r="K481" t="inlineStr">
        <is>
          <t>office budget_probe</t>
        </is>
      </c>
    </row>
    <row r="482">
      <c r="A482" s="17">
        <f>IF(B482="","",B482+(3*1000+81)/10000000)</f>
        <v/>
      </c>
      <c r="B482" s="23">
        <f>IF(Office_Log!BK82=1,Office_Log!G82,"")</f>
        <v/>
      </c>
      <c r="C482" s="17">
        <f>IF(B482="","","office")</f>
        <v/>
      </c>
      <c r="D482" s="17">
        <f>IF(B482="","",Office_Log!$A82&amp;"")</f>
        <v/>
      </c>
      <c r="E482" s="17">
        <f>IF(B482="","",IF(Office_Log!B82="","",Office_Log!B82&amp;""))</f>
        <v/>
      </c>
      <c r="F482" s="17">
        <f>IF(B482="","","budget_probe")</f>
        <v/>
      </c>
      <c r="G482" s="17">
        <f>IF(B482="","",IF(ISNUMBER(Office_Log!V82),Office_Log!V82,""))</f>
        <v/>
      </c>
      <c r="H482" s="17">
        <f>IF(B482="","",IF(Office_Log!U82="","",Office_Log!U82&amp;""))</f>
        <v/>
      </c>
      <c r="I482" s="17">
        <f>IF(B482="","","")</f>
        <v/>
      </c>
      <c r="J482" s="17">
        <f>IF(B482="","",IF(AND(ISNUMBER(Office_Log!W82),N(Office_Log!W82)&gt;N(Office_Log!V82)),"range to "&amp;Office_Log!W82&amp;" per month",""))</f>
        <v/>
      </c>
      <c r="K482" t="inlineStr">
        <is>
          <t>office budget_probe</t>
        </is>
      </c>
    </row>
    <row r="483">
      <c r="A483" s="17">
        <f>IF(B483="","",B483+(3*1000+82)/10000000)</f>
        <v/>
      </c>
      <c r="B483" s="23">
        <f>IF(Office_Log!BK83=1,Office_Log!G83,"")</f>
        <v/>
      </c>
      <c r="C483" s="17">
        <f>IF(B483="","","office")</f>
        <v/>
      </c>
      <c r="D483" s="17">
        <f>IF(B483="","",Office_Log!$A83&amp;"")</f>
        <v/>
      </c>
      <c r="E483" s="17">
        <f>IF(B483="","",IF(Office_Log!B83="","",Office_Log!B83&amp;""))</f>
        <v/>
      </c>
      <c r="F483" s="17">
        <f>IF(B483="","","budget_probe")</f>
        <v/>
      </c>
      <c r="G483" s="17">
        <f>IF(B483="","",IF(ISNUMBER(Office_Log!V83),Office_Log!V83,""))</f>
        <v/>
      </c>
      <c r="H483" s="17">
        <f>IF(B483="","",IF(Office_Log!U83="","",Office_Log!U83&amp;""))</f>
        <v/>
      </c>
      <c r="I483" s="17">
        <f>IF(B483="","","")</f>
        <v/>
      </c>
      <c r="J483" s="17">
        <f>IF(B483="","",IF(AND(ISNUMBER(Office_Log!W83),N(Office_Log!W83)&gt;N(Office_Log!V83)),"range to "&amp;Office_Log!W83&amp;" per month",""))</f>
        <v/>
      </c>
      <c r="K483" t="inlineStr">
        <is>
          <t>office budget_probe</t>
        </is>
      </c>
    </row>
    <row r="484">
      <c r="A484" s="17">
        <f>IF(B484="","",B484+(3*1000+83)/10000000)</f>
        <v/>
      </c>
      <c r="B484" s="23">
        <f>IF(Office_Log!BK84=1,Office_Log!G84,"")</f>
        <v/>
      </c>
      <c r="C484" s="17">
        <f>IF(B484="","","office")</f>
        <v/>
      </c>
      <c r="D484" s="17">
        <f>IF(B484="","",Office_Log!$A84&amp;"")</f>
        <v/>
      </c>
      <c r="E484" s="17">
        <f>IF(B484="","",IF(Office_Log!B84="","",Office_Log!B84&amp;""))</f>
        <v/>
      </c>
      <c r="F484" s="17">
        <f>IF(B484="","","budget_probe")</f>
        <v/>
      </c>
      <c r="G484" s="17">
        <f>IF(B484="","",IF(ISNUMBER(Office_Log!V84),Office_Log!V84,""))</f>
        <v/>
      </c>
      <c r="H484" s="17">
        <f>IF(B484="","",IF(Office_Log!U84="","",Office_Log!U84&amp;""))</f>
        <v/>
      </c>
      <c r="I484" s="17">
        <f>IF(B484="","","")</f>
        <v/>
      </c>
      <c r="J484" s="17">
        <f>IF(B484="","",IF(AND(ISNUMBER(Office_Log!W84),N(Office_Log!W84)&gt;N(Office_Log!V84)),"range to "&amp;Office_Log!W84&amp;" per month",""))</f>
        <v/>
      </c>
      <c r="K484" t="inlineStr">
        <is>
          <t>office budget_probe</t>
        </is>
      </c>
    </row>
    <row r="485">
      <c r="A485" s="17">
        <f>IF(B485="","",B485+(3*1000+84)/10000000)</f>
        <v/>
      </c>
      <c r="B485" s="23">
        <f>IF(Office_Log!BK85=1,Office_Log!G85,"")</f>
        <v/>
      </c>
      <c r="C485" s="17">
        <f>IF(B485="","","office")</f>
        <v/>
      </c>
      <c r="D485" s="17">
        <f>IF(B485="","",Office_Log!$A85&amp;"")</f>
        <v/>
      </c>
      <c r="E485" s="17">
        <f>IF(B485="","",IF(Office_Log!B85="","",Office_Log!B85&amp;""))</f>
        <v/>
      </c>
      <c r="F485" s="17">
        <f>IF(B485="","","budget_probe")</f>
        <v/>
      </c>
      <c r="G485" s="17">
        <f>IF(B485="","",IF(ISNUMBER(Office_Log!V85),Office_Log!V85,""))</f>
        <v/>
      </c>
      <c r="H485" s="17">
        <f>IF(B485="","",IF(Office_Log!U85="","",Office_Log!U85&amp;""))</f>
        <v/>
      </c>
      <c r="I485" s="17">
        <f>IF(B485="","","")</f>
        <v/>
      </c>
      <c r="J485" s="17">
        <f>IF(B485="","",IF(AND(ISNUMBER(Office_Log!W85),N(Office_Log!W85)&gt;N(Office_Log!V85)),"range to "&amp;Office_Log!W85&amp;" per month",""))</f>
        <v/>
      </c>
      <c r="K485" t="inlineStr">
        <is>
          <t>office budget_probe</t>
        </is>
      </c>
    </row>
    <row r="486">
      <c r="A486" s="17">
        <f>IF(B486="","",B486+(3*1000+85)/10000000)</f>
        <v/>
      </c>
      <c r="B486" s="23">
        <f>IF(Office_Log!BK86=1,Office_Log!G86,"")</f>
        <v/>
      </c>
      <c r="C486" s="17">
        <f>IF(B486="","","office")</f>
        <v/>
      </c>
      <c r="D486" s="17">
        <f>IF(B486="","",Office_Log!$A86&amp;"")</f>
        <v/>
      </c>
      <c r="E486" s="17">
        <f>IF(B486="","",IF(Office_Log!B86="","",Office_Log!B86&amp;""))</f>
        <v/>
      </c>
      <c r="F486" s="17">
        <f>IF(B486="","","budget_probe")</f>
        <v/>
      </c>
      <c r="G486" s="17">
        <f>IF(B486="","",IF(ISNUMBER(Office_Log!V86),Office_Log!V86,""))</f>
        <v/>
      </c>
      <c r="H486" s="17">
        <f>IF(B486="","",IF(Office_Log!U86="","",Office_Log!U86&amp;""))</f>
        <v/>
      </c>
      <c r="I486" s="17">
        <f>IF(B486="","","")</f>
        <v/>
      </c>
      <c r="J486" s="17">
        <f>IF(B486="","",IF(AND(ISNUMBER(Office_Log!W86),N(Office_Log!W86)&gt;N(Office_Log!V86)),"range to "&amp;Office_Log!W86&amp;" per month",""))</f>
        <v/>
      </c>
      <c r="K486" t="inlineStr">
        <is>
          <t>office budget_probe</t>
        </is>
      </c>
    </row>
    <row r="487">
      <c r="A487" s="17">
        <f>IF(B487="","",B487+(3*1000+86)/10000000)</f>
        <v/>
      </c>
      <c r="B487" s="23">
        <f>IF(Office_Log!BK87=1,Office_Log!G87,"")</f>
        <v/>
      </c>
      <c r="C487" s="17">
        <f>IF(B487="","","office")</f>
        <v/>
      </c>
      <c r="D487" s="17">
        <f>IF(B487="","",Office_Log!$A87&amp;"")</f>
        <v/>
      </c>
      <c r="E487" s="17">
        <f>IF(B487="","",IF(Office_Log!B87="","",Office_Log!B87&amp;""))</f>
        <v/>
      </c>
      <c r="F487" s="17">
        <f>IF(B487="","","budget_probe")</f>
        <v/>
      </c>
      <c r="G487" s="17">
        <f>IF(B487="","",IF(ISNUMBER(Office_Log!V87),Office_Log!V87,""))</f>
        <v/>
      </c>
      <c r="H487" s="17">
        <f>IF(B487="","",IF(Office_Log!U87="","",Office_Log!U87&amp;""))</f>
        <v/>
      </c>
      <c r="I487" s="17">
        <f>IF(B487="","","")</f>
        <v/>
      </c>
      <c r="J487" s="17">
        <f>IF(B487="","",IF(AND(ISNUMBER(Office_Log!W87),N(Office_Log!W87)&gt;N(Office_Log!V87)),"range to "&amp;Office_Log!W87&amp;" per month",""))</f>
        <v/>
      </c>
      <c r="K487" t="inlineStr">
        <is>
          <t>office budget_probe</t>
        </is>
      </c>
    </row>
    <row r="488">
      <c r="A488" s="17">
        <f>IF(B488="","",B488+(3*1000+87)/10000000)</f>
        <v/>
      </c>
      <c r="B488" s="23">
        <f>IF(Office_Log!BK88=1,Office_Log!G88,"")</f>
        <v/>
      </c>
      <c r="C488" s="17">
        <f>IF(B488="","","office")</f>
        <v/>
      </c>
      <c r="D488" s="17">
        <f>IF(B488="","",Office_Log!$A88&amp;"")</f>
        <v/>
      </c>
      <c r="E488" s="17">
        <f>IF(B488="","",IF(Office_Log!B88="","",Office_Log!B88&amp;""))</f>
        <v/>
      </c>
      <c r="F488" s="17">
        <f>IF(B488="","","budget_probe")</f>
        <v/>
      </c>
      <c r="G488" s="17">
        <f>IF(B488="","",IF(ISNUMBER(Office_Log!V88),Office_Log!V88,""))</f>
        <v/>
      </c>
      <c r="H488" s="17">
        <f>IF(B488="","",IF(Office_Log!U88="","",Office_Log!U88&amp;""))</f>
        <v/>
      </c>
      <c r="I488" s="17">
        <f>IF(B488="","","")</f>
        <v/>
      </c>
      <c r="J488" s="17">
        <f>IF(B488="","",IF(AND(ISNUMBER(Office_Log!W88),N(Office_Log!W88)&gt;N(Office_Log!V88)),"range to "&amp;Office_Log!W88&amp;" per month",""))</f>
        <v/>
      </c>
      <c r="K488" t="inlineStr">
        <is>
          <t>office budget_probe</t>
        </is>
      </c>
    </row>
    <row r="489">
      <c r="A489" s="17">
        <f>IF(B489="","",B489+(3*1000+88)/10000000)</f>
        <v/>
      </c>
      <c r="B489" s="23">
        <f>IF(Office_Log!BK89=1,Office_Log!G89,"")</f>
        <v/>
      </c>
      <c r="C489" s="17">
        <f>IF(B489="","","office")</f>
        <v/>
      </c>
      <c r="D489" s="17">
        <f>IF(B489="","",Office_Log!$A89&amp;"")</f>
        <v/>
      </c>
      <c r="E489" s="17">
        <f>IF(B489="","",IF(Office_Log!B89="","",Office_Log!B89&amp;""))</f>
        <v/>
      </c>
      <c r="F489" s="17">
        <f>IF(B489="","","budget_probe")</f>
        <v/>
      </c>
      <c r="G489" s="17">
        <f>IF(B489="","",IF(ISNUMBER(Office_Log!V89),Office_Log!V89,""))</f>
        <v/>
      </c>
      <c r="H489" s="17">
        <f>IF(B489="","",IF(Office_Log!U89="","",Office_Log!U89&amp;""))</f>
        <v/>
      </c>
      <c r="I489" s="17">
        <f>IF(B489="","","")</f>
        <v/>
      </c>
      <c r="J489" s="17">
        <f>IF(B489="","",IF(AND(ISNUMBER(Office_Log!W89),N(Office_Log!W89)&gt;N(Office_Log!V89)),"range to "&amp;Office_Log!W89&amp;" per month",""))</f>
        <v/>
      </c>
      <c r="K489" t="inlineStr">
        <is>
          <t>office budget_probe</t>
        </is>
      </c>
    </row>
    <row r="490">
      <c r="A490" s="17">
        <f>IF(B490="","",B490+(3*1000+89)/10000000)</f>
        <v/>
      </c>
      <c r="B490" s="23">
        <f>IF(Office_Log!BK90=1,Office_Log!G90,"")</f>
        <v/>
      </c>
      <c r="C490" s="17">
        <f>IF(B490="","","office")</f>
        <v/>
      </c>
      <c r="D490" s="17">
        <f>IF(B490="","",Office_Log!$A90&amp;"")</f>
        <v/>
      </c>
      <c r="E490" s="17">
        <f>IF(B490="","",IF(Office_Log!B90="","",Office_Log!B90&amp;""))</f>
        <v/>
      </c>
      <c r="F490" s="17">
        <f>IF(B490="","","budget_probe")</f>
        <v/>
      </c>
      <c r="G490" s="17">
        <f>IF(B490="","",IF(ISNUMBER(Office_Log!V90),Office_Log!V90,""))</f>
        <v/>
      </c>
      <c r="H490" s="17">
        <f>IF(B490="","",IF(Office_Log!U90="","",Office_Log!U90&amp;""))</f>
        <v/>
      </c>
      <c r="I490" s="17">
        <f>IF(B490="","","")</f>
        <v/>
      </c>
      <c r="J490" s="17">
        <f>IF(B490="","",IF(AND(ISNUMBER(Office_Log!W90),N(Office_Log!W90)&gt;N(Office_Log!V90)),"range to "&amp;Office_Log!W90&amp;" per month",""))</f>
        <v/>
      </c>
      <c r="K490" t="inlineStr">
        <is>
          <t>office budget_probe</t>
        </is>
      </c>
    </row>
    <row r="491">
      <c r="A491" s="17">
        <f>IF(B491="","",B491+(3*1000+90)/10000000)</f>
        <v/>
      </c>
      <c r="B491" s="23">
        <f>IF(Office_Log!BK91=1,Office_Log!G91,"")</f>
        <v/>
      </c>
      <c r="C491" s="17">
        <f>IF(B491="","","office")</f>
        <v/>
      </c>
      <c r="D491" s="17">
        <f>IF(B491="","",Office_Log!$A91&amp;"")</f>
        <v/>
      </c>
      <c r="E491" s="17">
        <f>IF(B491="","",IF(Office_Log!B91="","",Office_Log!B91&amp;""))</f>
        <v/>
      </c>
      <c r="F491" s="17">
        <f>IF(B491="","","budget_probe")</f>
        <v/>
      </c>
      <c r="G491" s="17">
        <f>IF(B491="","",IF(ISNUMBER(Office_Log!V91),Office_Log!V91,""))</f>
        <v/>
      </c>
      <c r="H491" s="17">
        <f>IF(B491="","",IF(Office_Log!U91="","",Office_Log!U91&amp;""))</f>
        <v/>
      </c>
      <c r="I491" s="17">
        <f>IF(B491="","","")</f>
        <v/>
      </c>
      <c r="J491" s="17">
        <f>IF(B491="","",IF(AND(ISNUMBER(Office_Log!W91),N(Office_Log!W91)&gt;N(Office_Log!V91)),"range to "&amp;Office_Log!W91&amp;" per month",""))</f>
        <v/>
      </c>
      <c r="K491" t="inlineStr">
        <is>
          <t>office budget_probe</t>
        </is>
      </c>
    </row>
    <row r="492">
      <c r="A492" s="17">
        <f>IF(B492="","",B492+(3*1000+91)/10000000)</f>
        <v/>
      </c>
      <c r="B492" s="23">
        <f>IF(Office_Log!BK92=1,Office_Log!G92,"")</f>
        <v/>
      </c>
      <c r="C492" s="17">
        <f>IF(B492="","","office")</f>
        <v/>
      </c>
      <c r="D492" s="17">
        <f>IF(B492="","",Office_Log!$A92&amp;"")</f>
        <v/>
      </c>
      <c r="E492" s="17">
        <f>IF(B492="","",IF(Office_Log!B92="","",Office_Log!B92&amp;""))</f>
        <v/>
      </c>
      <c r="F492" s="17">
        <f>IF(B492="","","budget_probe")</f>
        <v/>
      </c>
      <c r="G492" s="17">
        <f>IF(B492="","",IF(ISNUMBER(Office_Log!V92),Office_Log!V92,""))</f>
        <v/>
      </c>
      <c r="H492" s="17">
        <f>IF(B492="","",IF(Office_Log!U92="","",Office_Log!U92&amp;""))</f>
        <v/>
      </c>
      <c r="I492" s="17">
        <f>IF(B492="","","")</f>
        <v/>
      </c>
      <c r="J492" s="17">
        <f>IF(B492="","",IF(AND(ISNUMBER(Office_Log!W92),N(Office_Log!W92)&gt;N(Office_Log!V92)),"range to "&amp;Office_Log!W92&amp;" per month",""))</f>
        <v/>
      </c>
      <c r="K492" t="inlineStr">
        <is>
          <t>office budget_probe</t>
        </is>
      </c>
    </row>
    <row r="493">
      <c r="A493" s="17">
        <f>IF(B493="","",B493+(3*1000+92)/10000000)</f>
        <v/>
      </c>
      <c r="B493" s="23">
        <f>IF(Office_Log!BK93=1,Office_Log!G93,"")</f>
        <v/>
      </c>
      <c r="C493" s="17">
        <f>IF(B493="","","office")</f>
        <v/>
      </c>
      <c r="D493" s="17">
        <f>IF(B493="","",Office_Log!$A93&amp;"")</f>
        <v/>
      </c>
      <c r="E493" s="17">
        <f>IF(B493="","",IF(Office_Log!B93="","",Office_Log!B93&amp;""))</f>
        <v/>
      </c>
      <c r="F493" s="17">
        <f>IF(B493="","","budget_probe")</f>
        <v/>
      </c>
      <c r="G493" s="17">
        <f>IF(B493="","",IF(ISNUMBER(Office_Log!V93),Office_Log!V93,""))</f>
        <v/>
      </c>
      <c r="H493" s="17">
        <f>IF(B493="","",IF(Office_Log!U93="","",Office_Log!U93&amp;""))</f>
        <v/>
      </c>
      <c r="I493" s="17">
        <f>IF(B493="","","")</f>
        <v/>
      </c>
      <c r="J493" s="17">
        <f>IF(B493="","",IF(AND(ISNUMBER(Office_Log!W93),N(Office_Log!W93)&gt;N(Office_Log!V93)),"range to "&amp;Office_Log!W93&amp;" per month",""))</f>
        <v/>
      </c>
      <c r="K493" t="inlineStr">
        <is>
          <t>office budget_probe</t>
        </is>
      </c>
    </row>
    <row r="494">
      <c r="A494" s="17">
        <f>IF(B494="","",B494+(3*1000+93)/10000000)</f>
        <v/>
      </c>
      <c r="B494" s="23">
        <f>IF(Office_Log!BK94=1,Office_Log!G94,"")</f>
        <v/>
      </c>
      <c r="C494" s="17">
        <f>IF(B494="","","office")</f>
        <v/>
      </c>
      <c r="D494" s="17">
        <f>IF(B494="","",Office_Log!$A94&amp;"")</f>
        <v/>
      </c>
      <c r="E494" s="17">
        <f>IF(B494="","",IF(Office_Log!B94="","",Office_Log!B94&amp;""))</f>
        <v/>
      </c>
      <c r="F494" s="17">
        <f>IF(B494="","","budget_probe")</f>
        <v/>
      </c>
      <c r="G494" s="17">
        <f>IF(B494="","",IF(ISNUMBER(Office_Log!V94),Office_Log!V94,""))</f>
        <v/>
      </c>
      <c r="H494" s="17">
        <f>IF(B494="","",IF(Office_Log!U94="","",Office_Log!U94&amp;""))</f>
        <v/>
      </c>
      <c r="I494" s="17">
        <f>IF(B494="","","")</f>
        <v/>
      </c>
      <c r="J494" s="17">
        <f>IF(B494="","",IF(AND(ISNUMBER(Office_Log!W94),N(Office_Log!W94)&gt;N(Office_Log!V94)),"range to "&amp;Office_Log!W94&amp;" per month",""))</f>
        <v/>
      </c>
      <c r="K494" t="inlineStr">
        <is>
          <t>office budget_probe</t>
        </is>
      </c>
    </row>
    <row r="495">
      <c r="A495" s="17">
        <f>IF(B495="","",B495+(3*1000+94)/10000000)</f>
        <v/>
      </c>
      <c r="B495" s="23">
        <f>IF(Office_Log!BK95=1,Office_Log!G95,"")</f>
        <v/>
      </c>
      <c r="C495" s="17">
        <f>IF(B495="","","office")</f>
        <v/>
      </c>
      <c r="D495" s="17">
        <f>IF(B495="","",Office_Log!$A95&amp;"")</f>
        <v/>
      </c>
      <c r="E495" s="17">
        <f>IF(B495="","",IF(Office_Log!B95="","",Office_Log!B95&amp;""))</f>
        <v/>
      </c>
      <c r="F495" s="17">
        <f>IF(B495="","","budget_probe")</f>
        <v/>
      </c>
      <c r="G495" s="17">
        <f>IF(B495="","",IF(ISNUMBER(Office_Log!V95),Office_Log!V95,""))</f>
        <v/>
      </c>
      <c r="H495" s="17">
        <f>IF(B495="","",IF(Office_Log!U95="","",Office_Log!U95&amp;""))</f>
        <v/>
      </c>
      <c r="I495" s="17">
        <f>IF(B495="","","")</f>
        <v/>
      </c>
      <c r="J495" s="17">
        <f>IF(B495="","",IF(AND(ISNUMBER(Office_Log!W95),N(Office_Log!W95)&gt;N(Office_Log!V95)),"range to "&amp;Office_Log!W95&amp;" per month",""))</f>
        <v/>
      </c>
      <c r="K495" t="inlineStr">
        <is>
          <t>office budget_probe</t>
        </is>
      </c>
    </row>
    <row r="496">
      <c r="A496" s="17">
        <f>IF(B496="","",B496+(3*1000+95)/10000000)</f>
        <v/>
      </c>
      <c r="B496" s="23">
        <f>IF(Office_Log!BK96=1,Office_Log!G96,"")</f>
        <v/>
      </c>
      <c r="C496" s="17">
        <f>IF(B496="","","office")</f>
        <v/>
      </c>
      <c r="D496" s="17">
        <f>IF(B496="","",Office_Log!$A96&amp;"")</f>
        <v/>
      </c>
      <c r="E496" s="17">
        <f>IF(B496="","",IF(Office_Log!B96="","",Office_Log!B96&amp;""))</f>
        <v/>
      </c>
      <c r="F496" s="17">
        <f>IF(B496="","","budget_probe")</f>
        <v/>
      </c>
      <c r="G496" s="17">
        <f>IF(B496="","",IF(ISNUMBER(Office_Log!V96),Office_Log!V96,""))</f>
        <v/>
      </c>
      <c r="H496" s="17">
        <f>IF(B496="","",IF(Office_Log!U96="","",Office_Log!U96&amp;""))</f>
        <v/>
      </c>
      <c r="I496" s="17">
        <f>IF(B496="","","")</f>
        <v/>
      </c>
      <c r="J496" s="17">
        <f>IF(B496="","",IF(AND(ISNUMBER(Office_Log!W96),N(Office_Log!W96)&gt;N(Office_Log!V96)),"range to "&amp;Office_Log!W96&amp;" per month",""))</f>
        <v/>
      </c>
      <c r="K496" t="inlineStr">
        <is>
          <t>office budget_probe</t>
        </is>
      </c>
    </row>
    <row r="497">
      <c r="A497" s="17">
        <f>IF(B497="","",B497+(3*1000+96)/10000000)</f>
        <v/>
      </c>
      <c r="B497" s="23">
        <f>IF(Office_Log!BK97=1,Office_Log!G97,"")</f>
        <v/>
      </c>
      <c r="C497" s="17">
        <f>IF(B497="","","office")</f>
        <v/>
      </c>
      <c r="D497" s="17">
        <f>IF(B497="","",Office_Log!$A97&amp;"")</f>
        <v/>
      </c>
      <c r="E497" s="17">
        <f>IF(B497="","",IF(Office_Log!B97="","",Office_Log!B97&amp;""))</f>
        <v/>
      </c>
      <c r="F497" s="17">
        <f>IF(B497="","","budget_probe")</f>
        <v/>
      </c>
      <c r="G497" s="17">
        <f>IF(B497="","",IF(ISNUMBER(Office_Log!V97),Office_Log!V97,""))</f>
        <v/>
      </c>
      <c r="H497" s="17">
        <f>IF(B497="","",IF(Office_Log!U97="","",Office_Log!U97&amp;""))</f>
        <v/>
      </c>
      <c r="I497" s="17">
        <f>IF(B497="","","")</f>
        <v/>
      </c>
      <c r="J497" s="17">
        <f>IF(B497="","",IF(AND(ISNUMBER(Office_Log!W97),N(Office_Log!W97)&gt;N(Office_Log!V97)),"range to "&amp;Office_Log!W97&amp;" per month",""))</f>
        <v/>
      </c>
      <c r="K497" t="inlineStr">
        <is>
          <t>office budget_probe</t>
        </is>
      </c>
    </row>
    <row r="498">
      <c r="A498" s="17">
        <f>IF(B498="","",B498+(3*1000+97)/10000000)</f>
        <v/>
      </c>
      <c r="B498" s="23">
        <f>IF(Office_Log!BK98=1,Office_Log!G98,"")</f>
        <v/>
      </c>
      <c r="C498" s="17">
        <f>IF(B498="","","office")</f>
        <v/>
      </c>
      <c r="D498" s="17">
        <f>IF(B498="","",Office_Log!$A98&amp;"")</f>
        <v/>
      </c>
      <c r="E498" s="17">
        <f>IF(B498="","",IF(Office_Log!B98="","",Office_Log!B98&amp;""))</f>
        <v/>
      </c>
      <c r="F498" s="17">
        <f>IF(B498="","","budget_probe")</f>
        <v/>
      </c>
      <c r="G498" s="17">
        <f>IF(B498="","",IF(ISNUMBER(Office_Log!V98),Office_Log!V98,""))</f>
        <v/>
      </c>
      <c r="H498" s="17">
        <f>IF(B498="","",IF(Office_Log!U98="","",Office_Log!U98&amp;""))</f>
        <v/>
      </c>
      <c r="I498" s="17">
        <f>IF(B498="","","")</f>
        <v/>
      </c>
      <c r="J498" s="17">
        <f>IF(B498="","",IF(AND(ISNUMBER(Office_Log!W98),N(Office_Log!W98)&gt;N(Office_Log!V98)),"range to "&amp;Office_Log!W98&amp;" per month",""))</f>
        <v/>
      </c>
      <c r="K498" t="inlineStr">
        <is>
          <t>office budget_probe</t>
        </is>
      </c>
    </row>
    <row r="499">
      <c r="A499" s="17">
        <f>IF(B499="","",B499+(3*1000+98)/10000000)</f>
        <v/>
      </c>
      <c r="B499" s="23">
        <f>IF(Office_Log!BK99=1,Office_Log!G99,"")</f>
        <v/>
      </c>
      <c r="C499" s="17">
        <f>IF(B499="","","office")</f>
        <v/>
      </c>
      <c r="D499" s="17">
        <f>IF(B499="","",Office_Log!$A99&amp;"")</f>
        <v/>
      </c>
      <c r="E499" s="17">
        <f>IF(B499="","",IF(Office_Log!B99="","",Office_Log!B99&amp;""))</f>
        <v/>
      </c>
      <c r="F499" s="17">
        <f>IF(B499="","","budget_probe")</f>
        <v/>
      </c>
      <c r="G499" s="17">
        <f>IF(B499="","",IF(ISNUMBER(Office_Log!V99),Office_Log!V99,""))</f>
        <v/>
      </c>
      <c r="H499" s="17">
        <f>IF(B499="","",IF(Office_Log!U99="","",Office_Log!U99&amp;""))</f>
        <v/>
      </c>
      <c r="I499" s="17">
        <f>IF(B499="","","")</f>
        <v/>
      </c>
      <c r="J499" s="17">
        <f>IF(B499="","",IF(AND(ISNUMBER(Office_Log!W99),N(Office_Log!W99)&gt;N(Office_Log!V99)),"range to "&amp;Office_Log!W99&amp;" per month",""))</f>
        <v/>
      </c>
      <c r="K499" t="inlineStr">
        <is>
          <t>office budget_probe</t>
        </is>
      </c>
    </row>
    <row r="500">
      <c r="A500" s="17">
        <f>IF(B500="","",B500+(3*1000+99)/10000000)</f>
        <v/>
      </c>
      <c r="B500" s="23">
        <f>IF(Office_Log!BK100=1,Office_Log!G100,"")</f>
        <v/>
      </c>
      <c r="C500" s="17">
        <f>IF(B500="","","office")</f>
        <v/>
      </c>
      <c r="D500" s="17">
        <f>IF(B500="","",Office_Log!$A100&amp;"")</f>
        <v/>
      </c>
      <c r="E500" s="17">
        <f>IF(B500="","",IF(Office_Log!B100="","",Office_Log!B100&amp;""))</f>
        <v/>
      </c>
      <c r="F500" s="17">
        <f>IF(B500="","","budget_probe")</f>
        <v/>
      </c>
      <c r="G500" s="17">
        <f>IF(B500="","",IF(ISNUMBER(Office_Log!V100),Office_Log!V100,""))</f>
        <v/>
      </c>
      <c r="H500" s="17">
        <f>IF(B500="","",IF(Office_Log!U100="","",Office_Log!U100&amp;""))</f>
        <v/>
      </c>
      <c r="I500" s="17">
        <f>IF(B500="","","")</f>
        <v/>
      </c>
      <c r="J500" s="17">
        <f>IF(B500="","",IF(AND(ISNUMBER(Office_Log!W100),N(Office_Log!W100)&gt;N(Office_Log!V100)),"range to "&amp;Office_Log!W100&amp;" per month",""))</f>
        <v/>
      </c>
      <c r="K500" t="inlineStr">
        <is>
          <t>office budget_probe</t>
        </is>
      </c>
    </row>
    <row r="501">
      <c r="A501" s="17">
        <f>IF(B501="","",B501+(3*1000+100)/10000000)</f>
        <v/>
      </c>
      <c r="B501" s="23">
        <f>IF(Office_Log!BK101=1,Office_Log!G101,"")</f>
        <v/>
      </c>
      <c r="C501" s="17">
        <f>IF(B501="","","office")</f>
        <v/>
      </c>
      <c r="D501" s="17">
        <f>IF(B501="","",Office_Log!$A101&amp;"")</f>
        <v/>
      </c>
      <c r="E501" s="17">
        <f>IF(B501="","",IF(Office_Log!B101="","",Office_Log!B101&amp;""))</f>
        <v/>
      </c>
      <c r="F501" s="17">
        <f>IF(B501="","","budget_probe")</f>
        <v/>
      </c>
      <c r="G501" s="17">
        <f>IF(B501="","",IF(ISNUMBER(Office_Log!V101),Office_Log!V101,""))</f>
        <v/>
      </c>
      <c r="H501" s="17">
        <f>IF(B501="","",IF(Office_Log!U101="","",Office_Log!U101&amp;""))</f>
        <v/>
      </c>
      <c r="I501" s="17">
        <f>IF(B501="","","")</f>
        <v/>
      </c>
      <c r="J501" s="17">
        <f>IF(B501="","",IF(AND(ISNUMBER(Office_Log!W101),N(Office_Log!W101)&gt;N(Office_Log!V101)),"range to "&amp;Office_Log!W101&amp;" per month",""))</f>
        <v/>
      </c>
      <c r="K501" t="inlineStr">
        <is>
          <t>office budget_probe</t>
        </is>
      </c>
    </row>
    <row r="502">
      <c r="A502" s="17">
        <f>IF(B502="","",B502+(3*1000+101)/10000000)</f>
        <v/>
      </c>
      <c r="B502" s="23">
        <f>IF(Office_Log!BK102=1,Office_Log!G102,"")</f>
        <v/>
      </c>
      <c r="C502" s="17">
        <f>IF(B502="","","office")</f>
        <v/>
      </c>
      <c r="D502" s="17">
        <f>IF(B502="","",Office_Log!$A102&amp;"")</f>
        <v/>
      </c>
      <c r="E502" s="17">
        <f>IF(B502="","",IF(Office_Log!B102="","",Office_Log!B102&amp;""))</f>
        <v/>
      </c>
      <c r="F502" s="17">
        <f>IF(B502="","","budget_probe")</f>
        <v/>
      </c>
      <c r="G502" s="17">
        <f>IF(B502="","",IF(ISNUMBER(Office_Log!V102),Office_Log!V102,""))</f>
        <v/>
      </c>
      <c r="H502" s="17">
        <f>IF(B502="","",IF(Office_Log!U102="","",Office_Log!U102&amp;""))</f>
        <v/>
      </c>
      <c r="I502" s="17">
        <f>IF(B502="","","")</f>
        <v/>
      </c>
      <c r="J502" s="17">
        <f>IF(B502="","",IF(AND(ISNUMBER(Office_Log!W102),N(Office_Log!W102)&gt;N(Office_Log!V102)),"range to "&amp;Office_Log!W102&amp;" per month",""))</f>
        <v/>
      </c>
      <c r="K502" t="inlineStr">
        <is>
          <t>office budget_probe</t>
        </is>
      </c>
    </row>
    <row r="503">
      <c r="A503" s="17">
        <f>IF(B503="","",B503+(3*1000+102)/10000000)</f>
        <v/>
      </c>
      <c r="B503" s="23">
        <f>IF(Office_Log!BK103=1,Office_Log!G103,"")</f>
        <v/>
      </c>
      <c r="C503" s="17">
        <f>IF(B503="","","office")</f>
        <v/>
      </c>
      <c r="D503" s="17">
        <f>IF(B503="","",Office_Log!$A103&amp;"")</f>
        <v/>
      </c>
      <c r="E503" s="17">
        <f>IF(B503="","",IF(Office_Log!B103="","",Office_Log!B103&amp;""))</f>
        <v/>
      </c>
      <c r="F503" s="17">
        <f>IF(B503="","","budget_probe")</f>
        <v/>
      </c>
      <c r="G503" s="17">
        <f>IF(B503="","",IF(ISNUMBER(Office_Log!V103),Office_Log!V103,""))</f>
        <v/>
      </c>
      <c r="H503" s="17">
        <f>IF(B503="","",IF(Office_Log!U103="","",Office_Log!U103&amp;""))</f>
        <v/>
      </c>
      <c r="I503" s="17">
        <f>IF(B503="","","")</f>
        <v/>
      </c>
      <c r="J503" s="17">
        <f>IF(B503="","",IF(AND(ISNUMBER(Office_Log!W103),N(Office_Log!W103)&gt;N(Office_Log!V103)),"range to "&amp;Office_Log!W103&amp;" per month",""))</f>
        <v/>
      </c>
      <c r="K503" t="inlineStr">
        <is>
          <t>office budget_probe</t>
        </is>
      </c>
    </row>
    <row r="504">
      <c r="A504" s="17">
        <f>IF(B504="","",B504+(3*1000+103)/10000000)</f>
        <v/>
      </c>
      <c r="B504" s="23">
        <f>IF(Office_Log!BK104=1,Office_Log!G104,"")</f>
        <v/>
      </c>
      <c r="C504" s="17">
        <f>IF(B504="","","office")</f>
        <v/>
      </c>
      <c r="D504" s="17">
        <f>IF(B504="","",Office_Log!$A104&amp;"")</f>
        <v/>
      </c>
      <c r="E504" s="17">
        <f>IF(B504="","",IF(Office_Log!B104="","",Office_Log!B104&amp;""))</f>
        <v/>
      </c>
      <c r="F504" s="17">
        <f>IF(B504="","","budget_probe")</f>
        <v/>
      </c>
      <c r="G504" s="17">
        <f>IF(B504="","",IF(ISNUMBER(Office_Log!V104),Office_Log!V104,""))</f>
        <v/>
      </c>
      <c r="H504" s="17">
        <f>IF(B504="","",IF(Office_Log!U104="","",Office_Log!U104&amp;""))</f>
        <v/>
      </c>
      <c r="I504" s="17">
        <f>IF(B504="","","")</f>
        <v/>
      </c>
      <c r="J504" s="17">
        <f>IF(B504="","",IF(AND(ISNUMBER(Office_Log!W104),N(Office_Log!W104)&gt;N(Office_Log!V104)),"range to "&amp;Office_Log!W104&amp;" per month",""))</f>
        <v/>
      </c>
      <c r="K504" t="inlineStr">
        <is>
          <t>office budget_probe</t>
        </is>
      </c>
    </row>
    <row r="505">
      <c r="A505" s="17">
        <f>IF(B505="","",B505+(3*1000+104)/10000000)</f>
        <v/>
      </c>
      <c r="B505" s="23">
        <f>IF(Office_Log!BK105=1,Office_Log!G105,"")</f>
        <v/>
      </c>
      <c r="C505" s="17">
        <f>IF(B505="","","office")</f>
        <v/>
      </c>
      <c r="D505" s="17">
        <f>IF(B505="","",Office_Log!$A105&amp;"")</f>
        <v/>
      </c>
      <c r="E505" s="17">
        <f>IF(B505="","",IF(Office_Log!B105="","",Office_Log!B105&amp;""))</f>
        <v/>
      </c>
      <c r="F505" s="17">
        <f>IF(B505="","","budget_probe")</f>
        <v/>
      </c>
      <c r="G505" s="17">
        <f>IF(B505="","",IF(ISNUMBER(Office_Log!V105),Office_Log!V105,""))</f>
        <v/>
      </c>
      <c r="H505" s="17">
        <f>IF(B505="","",IF(Office_Log!U105="","",Office_Log!U105&amp;""))</f>
        <v/>
      </c>
      <c r="I505" s="17">
        <f>IF(B505="","","")</f>
        <v/>
      </c>
      <c r="J505" s="17">
        <f>IF(B505="","",IF(AND(ISNUMBER(Office_Log!W105),N(Office_Log!W105)&gt;N(Office_Log!V105)),"range to "&amp;Office_Log!W105&amp;" per month",""))</f>
        <v/>
      </c>
      <c r="K505" t="inlineStr">
        <is>
          <t>office budget_probe</t>
        </is>
      </c>
    </row>
    <row r="506">
      <c r="A506" s="17">
        <f>IF(B506="","",B506+(3*1000+105)/10000000)</f>
        <v/>
      </c>
      <c r="B506" s="23">
        <f>IF(Office_Log!BK106=1,Office_Log!G106,"")</f>
        <v/>
      </c>
      <c r="C506" s="17">
        <f>IF(B506="","","office")</f>
        <v/>
      </c>
      <c r="D506" s="17">
        <f>IF(B506="","",Office_Log!$A106&amp;"")</f>
        <v/>
      </c>
      <c r="E506" s="17">
        <f>IF(B506="","",IF(Office_Log!B106="","",Office_Log!B106&amp;""))</f>
        <v/>
      </c>
      <c r="F506" s="17">
        <f>IF(B506="","","budget_probe")</f>
        <v/>
      </c>
      <c r="G506" s="17">
        <f>IF(B506="","",IF(ISNUMBER(Office_Log!V106),Office_Log!V106,""))</f>
        <v/>
      </c>
      <c r="H506" s="17">
        <f>IF(B506="","",IF(Office_Log!U106="","",Office_Log!U106&amp;""))</f>
        <v/>
      </c>
      <c r="I506" s="17">
        <f>IF(B506="","","")</f>
        <v/>
      </c>
      <c r="J506" s="17">
        <f>IF(B506="","",IF(AND(ISNUMBER(Office_Log!W106),N(Office_Log!W106)&gt;N(Office_Log!V106)),"range to "&amp;Office_Log!W106&amp;" per month",""))</f>
        <v/>
      </c>
      <c r="K506" t="inlineStr">
        <is>
          <t>office budget_probe</t>
        </is>
      </c>
    </row>
    <row r="507">
      <c r="A507" s="17">
        <f>IF(B507="","",B507+(3*1000+106)/10000000)</f>
        <v/>
      </c>
      <c r="B507" s="23">
        <f>IF(Office_Log!BK107=1,Office_Log!G107,"")</f>
        <v/>
      </c>
      <c r="C507" s="17">
        <f>IF(B507="","","office")</f>
        <v/>
      </c>
      <c r="D507" s="17">
        <f>IF(B507="","",Office_Log!$A107&amp;"")</f>
        <v/>
      </c>
      <c r="E507" s="17">
        <f>IF(B507="","",IF(Office_Log!B107="","",Office_Log!B107&amp;""))</f>
        <v/>
      </c>
      <c r="F507" s="17">
        <f>IF(B507="","","budget_probe")</f>
        <v/>
      </c>
      <c r="G507" s="17">
        <f>IF(B507="","",IF(ISNUMBER(Office_Log!V107),Office_Log!V107,""))</f>
        <v/>
      </c>
      <c r="H507" s="17">
        <f>IF(B507="","",IF(Office_Log!U107="","",Office_Log!U107&amp;""))</f>
        <v/>
      </c>
      <c r="I507" s="17">
        <f>IF(B507="","","")</f>
        <v/>
      </c>
      <c r="J507" s="17">
        <f>IF(B507="","",IF(AND(ISNUMBER(Office_Log!W107),N(Office_Log!W107)&gt;N(Office_Log!V107)),"range to "&amp;Office_Log!W107&amp;" per month",""))</f>
        <v/>
      </c>
      <c r="K507" t="inlineStr">
        <is>
          <t>office budget_probe</t>
        </is>
      </c>
    </row>
    <row r="508">
      <c r="A508" s="17">
        <f>IF(B508="","",B508+(3*1000+107)/10000000)</f>
        <v/>
      </c>
      <c r="B508" s="23">
        <f>IF(Office_Log!BK108=1,Office_Log!G108,"")</f>
        <v/>
      </c>
      <c r="C508" s="17">
        <f>IF(B508="","","office")</f>
        <v/>
      </c>
      <c r="D508" s="17">
        <f>IF(B508="","",Office_Log!$A108&amp;"")</f>
        <v/>
      </c>
      <c r="E508" s="17">
        <f>IF(B508="","",IF(Office_Log!B108="","",Office_Log!B108&amp;""))</f>
        <v/>
      </c>
      <c r="F508" s="17">
        <f>IF(B508="","","budget_probe")</f>
        <v/>
      </c>
      <c r="G508" s="17">
        <f>IF(B508="","",IF(ISNUMBER(Office_Log!V108),Office_Log!V108,""))</f>
        <v/>
      </c>
      <c r="H508" s="17">
        <f>IF(B508="","",IF(Office_Log!U108="","",Office_Log!U108&amp;""))</f>
        <v/>
      </c>
      <c r="I508" s="17">
        <f>IF(B508="","","")</f>
        <v/>
      </c>
      <c r="J508" s="17">
        <f>IF(B508="","",IF(AND(ISNUMBER(Office_Log!W108),N(Office_Log!W108)&gt;N(Office_Log!V108)),"range to "&amp;Office_Log!W108&amp;" per month",""))</f>
        <v/>
      </c>
      <c r="K508" t="inlineStr">
        <is>
          <t>office budget_probe</t>
        </is>
      </c>
    </row>
    <row r="509">
      <c r="A509" s="17">
        <f>IF(B509="","",B509+(3*1000+108)/10000000)</f>
        <v/>
      </c>
      <c r="B509" s="23">
        <f>IF(Office_Log!BK109=1,Office_Log!G109,"")</f>
        <v/>
      </c>
      <c r="C509" s="17">
        <f>IF(B509="","","office")</f>
        <v/>
      </c>
      <c r="D509" s="17">
        <f>IF(B509="","",Office_Log!$A109&amp;"")</f>
        <v/>
      </c>
      <c r="E509" s="17">
        <f>IF(B509="","",IF(Office_Log!B109="","",Office_Log!B109&amp;""))</f>
        <v/>
      </c>
      <c r="F509" s="17">
        <f>IF(B509="","","budget_probe")</f>
        <v/>
      </c>
      <c r="G509" s="17">
        <f>IF(B509="","",IF(ISNUMBER(Office_Log!V109),Office_Log!V109,""))</f>
        <v/>
      </c>
      <c r="H509" s="17">
        <f>IF(B509="","",IF(Office_Log!U109="","",Office_Log!U109&amp;""))</f>
        <v/>
      </c>
      <c r="I509" s="17">
        <f>IF(B509="","","")</f>
        <v/>
      </c>
      <c r="J509" s="17">
        <f>IF(B509="","",IF(AND(ISNUMBER(Office_Log!W109),N(Office_Log!W109)&gt;N(Office_Log!V109)),"range to "&amp;Office_Log!W109&amp;" per month",""))</f>
        <v/>
      </c>
      <c r="K509" t="inlineStr">
        <is>
          <t>office budget_probe</t>
        </is>
      </c>
    </row>
    <row r="510">
      <c r="A510" s="17">
        <f>IF(B510="","",B510+(3*1000+109)/10000000)</f>
        <v/>
      </c>
      <c r="B510" s="23">
        <f>IF(Office_Log!BK110=1,Office_Log!G110,"")</f>
        <v/>
      </c>
      <c r="C510" s="17">
        <f>IF(B510="","","office")</f>
        <v/>
      </c>
      <c r="D510" s="17">
        <f>IF(B510="","",Office_Log!$A110&amp;"")</f>
        <v/>
      </c>
      <c r="E510" s="17">
        <f>IF(B510="","",IF(Office_Log!B110="","",Office_Log!B110&amp;""))</f>
        <v/>
      </c>
      <c r="F510" s="17">
        <f>IF(B510="","","budget_probe")</f>
        <v/>
      </c>
      <c r="G510" s="17">
        <f>IF(B510="","",IF(ISNUMBER(Office_Log!V110),Office_Log!V110,""))</f>
        <v/>
      </c>
      <c r="H510" s="17">
        <f>IF(B510="","",IF(Office_Log!U110="","",Office_Log!U110&amp;""))</f>
        <v/>
      </c>
      <c r="I510" s="17">
        <f>IF(B510="","","")</f>
        <v/>
      </c>
      <c r="J510" s="17">
        <f>IF(B510="","",IF(AND(ISNUMBER(Office_Log!W110),N(Office_Log!W110)&gt;N(Office_Log!V110)),"range to "&amp;Office_Log!W110&amp;" per month",""))</f>
        <v/>
      </c>
      <c r="K510" t="inlineStr">
        <is>
          <t>office budget_probe</t>
        </is>
      </c>
    </row>
    <row r="511">
      <c r="A511" s="17">
        <f>IF(B511="","",B511+(3*1000+110)/10000000)</f>
        <v/>
      </c>
      <c r="B511" s="23">
        <f>IF(Office_Log!BK111=1,Office_Log!G111,"")</f>
        <v/>
      </c>
      <c r="C511" s="17">
        <f>IF(B511="","","office")</f>
        <v/>
      </c>
      <c r="D511" s="17">
        <f>IF(B511="","",Office_Log!$A111&amp;"")</f>
        <v/>
      </c>
      <c r="E511" s="17">
        <f>IF(B511="","",IF(Office_Log!B111="","",Office_Log!B111&amp;""))</f>
        <v/>
      </c>
      <c r="F511" s="17">
        <f>IF(B511="","","budget_probe")</f>
        <v/>
      </c>
      <c r="G511" s="17">
        <f>IF(B511="","",IF(ISNUMBER(Office_Log!V111),Office_Log!V111,""))</f>
        <v/>
      </c>
      <c r="H511" s="17">
        <f>IF(B511="","",IF(Office_Log!U111="","",Office_Log!U111&amp;""))</f>
        <v/>
      </c>
      <c r="I511" s="17">
        <f>IF(B511="","","")</f>
        <v/>
      </c>
      <c r="J511" s="17">
        <f>IF(B511="","",IF(AND(ISNUMBER(Office_Log!W111),N(Office_Log!W111)&gt;N(Office_Log!V111)),"range to "&amp;Office_Log!W111&amp;" per month",""))</f>
        <v/>
      </c>
      <c r="K511" t="inlineStr">
        <is>
          <t>office budget_probe</t>
        </is>
      </c>
    </row>
    <row r="512">
      <c r="A512" s="17">
        <f>IF(B512="","",B512+(3*1000+111)/10000000)</f>
        <v/>
      </c>
      <c r="B512" s="23">
        <f>IF(Office_Log!BK112=1,Office_Log!G112,"")</f>
        <v/>
      </c>
      <c r="C512" s="17">
        <f>IF(B512="","","office")</f>
        <v/>
      </c>
      <c r="D512" s="17">
        <f>IF(B512="","",Office_Log!$A112&amp;"")</f>
        <v/>
      </c>
      <c r="E512" s="17">
        <f>IF(B512="","",IF(Office_Log!B112="","",Office_Log!B112&amp;""))</f>
        <v/>
      </c>
      <c r="F512" s="17">
        <f>IF(B512="","","budget_probe")</f>
        <v/>
      </c>
      <c r="G512" s="17">
        <f>IF(B512="","",IF(ISNUMBER(Office_Log!V112),Office_Log!V112,""))</f>
        <v/>
      </c>
      <c r="H512" s="17">
        <f>IF(B512="","",IF(Office_Log!U112="","",Office_Log!U112&amp;""))</f>
        <v/>
      </c>
      <c r="I512" s="17">
        <f>IF(B512="","","")</f>
        <v/>
      </c>
      <c r="J512" s="17">
        <f>IF(B512="","",IF(AND(ISNUMBER(Office_Log!W112),N(Office_Log!W112)&gt;N(Office_Log!V112)),"range to "&amp;Office_Log!W112&amp;" per month",""))</f>
        <v/>
      </c>
      <c r="K512" t="inlineStr">
        <is>
          <t>office budget_probe</t>
        </is>
      </c>
    </row>
    <row r="513">
      <c r="A513" s="17">
        <f>IF(B513="","",B513+(3*1000+112)/10000000)</f>
        <v/>
      </c>
      <c r="B513" s="23">
        <f>IF(Office_Log!BK113=1,Office_Log!G113,"")</f>
        <v/>
      </c>
      <c r="C513" s="17">
        <f>IF(B513="","","office")</f>
        <v/>
      </c>
      <c r="D513" s="17">
        <f>IF(B513="","",Office_Log!$A113&amp;"")</f>
        <v/>
      </c>
      <c r="E513" s="17">
        <f>IF(B513="","",IF(Office_Log!B113="","",Office_Log!B113&amp;""))</f>
        <v/>
      </c>
      <c r="F513" s="17">
        <f>IF(B513="","","budget_probe")</f>
        <v/>
      </c>
      <c r="G513" s="17">
        <f>IF(B513="","",IF(ISNUMBER(Office_Log!V113),Office_Log!V113,""))</f>
        <v/>
      </c>
      <c r="H513" s="17">
        <f>IF(B513="","",IF(Office_Log!U113="","",Office_Log!U113&amp;""))</f>
        <v/>
      </c>
      <c r="I513" s="17">
        <f>IF(B513="","","")</f>
        <v/>
      </c>
      <c r="J513" s="17">
        <f>IF(B513="","",IF(AND(ISNUMBER(Office_Log!W113),N(Office_Log!W113)&gt;N(Office_Log!V113)),"range to "&amp;Office_Log!W113&amp;" per month",""))</f>
        <v/>
      </c>
      <c r="K513" t="inlineStr">
        <is>
          <t>office budget_probe</t>
        </is>
      </c>
    </row>
    <row r="514">
      <c r="A514" s="17">
        <f>IF(B514="","",B514+(3*1000+113)/10000000)</f>
        <v/>
      </c>
      <c r="B514" s="23">
        <f>IF(Office_Log!BK114=1,Office_Log!G114,"")</f>
        <v/>
      </c>
      <c r="C514" s="17">
        <f>IF(B514="","","office")</f>
        <v/>
      </c>
      <c r="D514" s="17">
        <f>IF(B514="","",Office_Log!$A114&amp;"")</f>
        <v/>
      </c>
      <c r="E514" s="17">
        <f>IF(B514="","",IF(Office_Log!B114="","",Office_Log!B114&amp;""))</f>
        <v/>
      </c>
      <c r="F514" s="17">
        <f>IF(B514="","","budget_probe")</f>
        <v/>
      </c>
      <c r="G514" s="17">
        <f>IF(B514="","",IF(ISNUMBER(Office_Log!V114),Office_Log!V114,""))</f>
        <v/>
      </c>
      <c r="H514" s="17">
        <f>IF(B514="","",IF(Office_Log!U114="","",Office_Log!U114&amp;""))</f>
        <v/>
      </c>
      <c r="I514" s="17">
        <f>IF(B514="","","")</f>
        <v/>
      </c>
      <c r="J514" s="17">
        <f>IF(B514="","",IF(AND(ISNUMBER(Office_Log!W114),N(Office_Log!W114)&gt;N(Office_Log!V114)),"range to "&amp;Office_Log!W114&amp;" per month",""))</f>
        <v/>
      </c>
      <c r="K514" t="inlineStr">
        <is>
          <t>office budget_probe</t>
        </is>
      </c>
    </row>
    <row r="515">
      <c r="A515" s="17">
        <f>IF(B515="","",B515+(3*1000+114)/10000000)</f>
        <v/>
      </c>
      <c r="B515" s="23">
        <f>IF(Office_Log!BK115=1,Office_Log!G115,"")</f>
        <v/>
      </c>
      <c r="C515" s="17">
        <f>IF(B515="","","office")</f>
        <v/>
      </c>
      <c r="D515" s="17">
        <f>IF(B515="","",Office_Log!$A115&amp;"")</f>
        <v/>
      </c>
      <c r="E515" s="17">
        <f>IF(B515="","",IF(Office_Log!B115="","",Office_Log!B115&amp;""))</f>
        <v/>
      </c>
      <c r="F515" s="17">
        <f>IF(B515="","","budget_probe")</f>
        <v/>
      </c>
      <c r="G515" s="17">
        <f>IF(B515="","",IF(ISNUMBER(Office_Log!V115),Office_Log!V115,""))</f>
        <v/>
      </c>
      <c r="H515" s="17">
        <f>IF(B515="","",IF(Office_Log!U115="","",Office_Log!U115&amp;""))</f>
        <v/>
      </c>
      <c r="I515" s="17">
        <f>IF(B515="","","")</f>
        <v/>
      </c>
      <c r="J515" s="17">
        <f>IF(B515="","",IF(AND(ISNUMBER(Office_Log!W115),N(Office_Log!W115)&gt;N(Office_Log!V115)),"range to "&amp;Office_Log!W115&amp;" per month",""))</f>
        <v/>
      </c>
      <c r="K515" t="inlineStr">
        <is>
          <t>office budget_probe</t>
        </is>
      </c>
    </row>
    <row r="516">
      <c r="A516" s="17">
        <f>IF(B516="","",B516+(3*1000+115)/10000000)</f>
        <v/>
      </c>
      <c r="B516" s="23">
        <f>IF(Office_Log!BK116=1,Office_Log!G116,"")</f>
        <v/>
      </c>
      <c r="C516" s="17">
        <f>IF(B516="","","office")</f>
        <v/>
      </c>
      <c r="D516" s="17">
        <f>IF(B516="","",Office_Log!$A116&amp;"")</f>
        <v/>
      </c>
      <c r="E516" s="17">
        <f>IF(B516="","",IF(Office_Log!B116="","",Office_Log!B116&amp;""))</f>
        <v/>
      </c>
      <c r="F516" s="17">
        <f>IF(B516="","","budget_probe")</f>
        <v/>
      </c>
      <c r="G516" s="17">
        <f>IF(B516="","",IF(ISNUMBER(Office_Log!V116),Office_Log!V116,""))</f>
        <v/>
      </c>
      <c r="H516" s="17">
        <f>IF(B516="","",IF(Office_Log!U116="","",Office_Log!U116&amp;""))</f>
        <v/>
      </c>
      <c r="I516" s="17">
        <f>IF(B516="","","")</f>
        <v/>
      </c>
      <c r="J516" s="17">
        <f>IF(B516="","",IF(AND(ISNUMBER(Office_Log!W116),N(Office_Log!W116)&gt;N(Office_Log!V116)),"range to "&amp;Office_Log!W116&amp;" per month",""))</f>
        <v/>
      </c>
      <c r="K516" t="inlineStr">
        <is>
          <t>office budget_probe</t>
        </is>
      </c>
    </row>
    <row r="517">
      <c r="A517" s="17">
        <f>IF(B517="","",B517+(3*1000+116)/10000000)</f>
        <v/>
      </c>
      <c r="B517" s="23">
        <f>IF(Office_Log!BK117=1,Office_Log!G117,"")</f>
        <v/>
      </c>
      <c r="C517" s="17">
        <f>IF(B517="","","office")</f>
        <v/>
      </c>
      <c r="D517" s="17">
        <f>IF(B517="","",Office_Log!$A117&amp;"")</f>
        <v/>
      </c>
      <c r="E517" s="17">
        <f>IF(B517="","",IF(Office_Log!B117="","",Office_Log!B117&amp;""))</f>
        <v/>
      </c>
      <c r="F517" s="17">
        <f>IF(B517="","","budget_probe")</f>
        <v/>
      </c>
      <c r="G517" s="17">
        <f>IF(B517="","",IF(ISNUMBER(Office_Log!V117),Office_Log!V117,""))</f>
        <v/>
      </c>
      <c r="H517" s="17">
        <f>IF(B517="","",IF(Office_Log!U117="","",Office_Log!U117&amp;""))</f>
        <v/>
      </c>
      <c r="I517" s="17">
        <f>IF(B517="","","")</f>
        <v/>
      </c>
      <c r="J517" s="17">
        <f>IF(B517="","",IF(AND(ISNUMBER(Office_Log!W117),N(Office_Log!W117)&gt;N(Office_Log!V117)),"range to "&amp;Office_Log!W117&amp;" per month",""))</f>
        <v/>
      </c>
      <c r="K517" t="inlineStr">
        <is>
          <t>office budget_probe</t>
        </is>
      </c>
    </row>
    <row r="518">
      <c r="A518" s="17">
        <f>IF(B518="","",B518+(3*1000+117)/10000000)</f>
        <v/>
      </c>
      <c r="B518" s="23">
        <f>IF(Office_Log!BK118=1,Office_Log!G118,"")</f>
        <v/>
      </c>
      <c r="C518" s="17">
        <f>IF(B518="","","office")</f>
        <v/>
      </c>
      <c r="D518" s="17">
        <f>IF(B518="","",Office_Log!$A118&amp;"")</f>
        <v/>
      </c>
      <c r="E518" s="17">
        <f>IF(B518="","",IF(Office_Log!B118="","",Office_Log!B118&amp;""))</f>
        <v/>
      </c>
      <c r="F518" s="17">
        <f>IF(B518="","","budget_probe")</f>
        <v/>
      </c>
      <c r="G518" s="17">
        <f>IF(B518="","",IF(ISNUMBER(Office_Log!V118),Office_Log!V118,""))</f>
        <v/>
      </c>
      <c r="H518" s="17">
        <f>IF(B518="","",IF(Office_Log!U118="","",Office_Log!U118&amp;""))</f>
        <v/>
      </c>
      <c r="I518" s="17">
        <f>IF(B518="","","")</f>
        <v/>
      </c>
      <c r="J518" s="17">
        <f>IF(B518="","",IF(AND(ISNUMBER(Office_Log!W118),N(Office_Log!W118)&gt;N(Office_Log!V118)),"range to "&amp;Office_Log!W118&amp;" per month",""))</f>
        <v/>
      </c>
      <c r="K518" t="inlineStr">
        <is>
          <t>office budget_probe</t>
        </is>
      </c>
    </row>
    <row r="519">
      <c r="A519" s="17">
        <f>IF(B519="","",B519+(3*1000+118)/10000000)</f>
        <v/>
      </c>
      <c r="B519" s="23">
        <f>IF(Office_Log!BK119=1,Office_Log!G119,"")</f>
        <v/>
      </c>
      <c r="C519" s="17">
        <f>IF(B519="","","office")</f>
        <v/>
      </c>
      <c r="D519" s="17">
        <f>IF(B519="","",Office_Log!$A119&amp;"")</f>
        <v/>
      </c>
      <c r="E519" s="17">
        <f>IF(B519="","",IF(Office_Log!B119="","",Office_Log!B119&amp;""))</f>
        <v/>
      </c>
      <c r="F519" s="17">
        <f>IF(B519="","","budget_probe")</f>
        <v/>
      </c>
      <c r="G519" s="17">
        <f>IF(B519="","",IF(ISNUMBER(Office_Log!V119),Office_Log!V119,""))</f>
        <v/>
      </c>
      <c r="H519" s="17">
        <f>IF(B519="","",IF(Office_Log!U119="","",Office_Log!U119&amp;""))</f>
        <v/>
      </c>
      <c r="I519" s="17">
        <f>IF(B519="","","")</f>
        <v/>
      </c>
      <c r="J519" s="17">
        <f>IF(B519="","",IF(AND(ISNUMBER(Office_Log!W119),N(Office_Log!W119)&gt;N(Office_Log!V119)),"range to "&amp;Office_Log!W119&amp;" per month",""))</f>
        <v/>
      </c>
      <c r="K519" t="inlineStr">
        <is>
          <t>office budget_probe</t>
        </is>
      </c>
    </row>
    <row r="520">
      <c r="A520" s="17">
        <f>IF(B520="","",B520+(3*1000+119)/10000000)</f>
        <v/>
      </c>
      <c r="B520" s="23">
        <f>IF(Office_Log!BK120=1,Office_Log!G120,"")</f>
        <v/>
      </c>
      <c r="C520" s="17">
        <f>IF(B520="","","office")</f>
        <v/>
      </c>
      <c r="D520" s="17">
        <f>IF(B520="","",Office_Log!$A120&amp;"")</f>
        <v/>
      </c>
      <c r="E520" s="17">
        <f>IF(B520="","",IF(Office_Log!B120="","",Office_Log!B120&amp;""))</f>
        <v/>
      </c>
      <c r="F520" s="17">
        <f>IF(B520="","","budget_probe")</f>
        <v/>
      </c>
      <c r="G520" s="17">
        <f>IF(B520="","",IF(ISNUMBER(Office_Log!V120),Office_Log!V120,""))</f>
        <v/>
      </c>
      <c r="H520" s="17">
        <f>IF(B520="","",IF(Office_Log!U120="","",Office_Log!U120&amp;""))</f>
        <v/>
      </c>
      <c r="I520" s="17">
        <f>IF(B520="","","")</f>
        <v/>
      </c>
      <c r="J520" s="17">
        <f>IF(B520="","",IF(AND(ISNUMBER(Office_Log!W120),N(Office_Log!W120)&gt;N(Office_Log!V120)),"range to "&amp;Office_Log!W120&amp;" per month",""))</f>
        <v/>
      </c>
      <c r="K520" t="inlineStr">
        <is>
          <t>office budget_probe</t>
        </is>
      </c>
    </row>
    <row r="521">
      <c r="A521" s="17">
        <f>IF(B521="","",B521+(3*1000+120)/10000000)</f>
        <v/>
      </c>
      <c r="B521" s="23">
        <f>IF(Office_Log!BK121=1,Office_Log!G121,"")</f>
        <v/>
      </c>
      <c r="C521" s="17">
        <f>IF(B521="","","office")</f>
        <v/>
      </c>
      <c r="D521" s="17">
        <f>IF(B521="","",Office_Log!$A121&amp;"")</f>
        <v/>
      </c>
      <c r="E521" s="17">
        <f>IF(B521="","",IF(Office_Log!B121="","",Office_Log!B121&amp;""))</f>
        <v/>
      </c>
      <c r="F521" s="17">
        <f>IF(B521="","","budget_probe")</f>
        <v/>
      </c>
      <c r="G521" s="17">
        <f>IF(B521="","",IF(ISNUMBER(Office_Log!V121),Office_Log!V121,""))</f>
        <v/>
      </c>
      <c r="H521" s="17">
        <f>IF(B521="","",IF(Office_Log!U121="","",Office_Log!U121&amp;""))</f>
        <v/>
      </c>
      <c r="I521" s="17">
        <f>IF(B521="","","")</f>
        <v/>
      </c>
      <c r="J521" s="17">
        <f>IF(B521="","",IF(AND(ISNUMBER(Office_Log!W121),N(Office_Log!W121)&gt;N(Office_Log!V121)),"range to "&amp;Office_Log!W121&amp;" per month",""))</f>
        <v/>
      </c>
      <c r="K521" t="inlineStr">
        <is>
          <t>office budget_probe</t>
        </is>
      </c>
    </row>
    <row r="522">
      <c r="A522" s="17">
        <f>IF(B522="","",B522+(3*1000+121)/10000000)</f>
        <v/>
      </c>
      <c r="B522" s="23">
        <f>IF(Office_Log!BK122=1,Office_Log!G122,"")</f>
        <v/>
      </c>
      <c r="C522" s="17">
        <f>IF(B522="","","office")</f>
        <v/>
      </c>
      <c r="D522" s="17">
        <f>IF(B522="","",Office_Log!$A122&amp;"")</f>
        <v/>
      </c>
      <c r="E522" s="17">
        <f>IF(B522="","",IF(Office_Log!B122="","",Office_Log!B122&amp;""))</f>
        <v/>
      </c>
      <c r="F522" s="17">
        <f>IF(B522="","","budget_probe")</f>
        <v/>
      </c>
      <c r="G522" s="17">
        <f>IF(B522="","",IF(ISNUMBER(Office_Log!V122),Office_Log!V122,""))</f>
        <v/>
      </c>
      <c r="H522" s="17">
        <f>IF(B522="","",IF(Office_Log!U122="","",Office_Log!U122&amp;""))</f>
        <v/>
      </c>
      <c r="I522" s="17">
        <f>IF(B522="","","")</f>
        <v/>
      </c>
      <c r="J522" s="17">
        <f>IF(B522="","",IF(AND(ISNUMBER(Office_Log!W122),N(Office_Log!W122)&gt;N(Office_Log!V122)),"range to "&amp;Office_Log!W122&amp;" per month",""))</f>
        <v/>
      </c>
      <c r="K522" t="inlineStr">
        <is>
          <t>office budget_probe</t>
        </is>
      </c>
    </row>
    <row r="523">
      <c r="A523" s="17">
        <f>IF(B523="","",B523+(3*1000+122)/10000000)</f>
        <v/>
      </c>
      <c r="B523" s="23">
        <f>IF(Office_Log!BK123=1,Office_Log!G123,"")</f>
        <v/>
      </c>
      <c r="C523" s="17">
        <f>IF(B523="","","office")</f>
        <v/>
      </c>
      <c r="D523" s="17">
        <f>IF(B523="","",Office_Log!$A123&amp;"")</f>
        <v/>
      </c>
      <c r="E523" s="17">
        <f>IF(B523="","",IF(Office_Log!B123="","",Office_Log!B123&amp;""))</f>
        <v/>
      </c>
      <c r="F523" s="17">
        <f>IF(B523="","","budget_probe")</f>
        <v/>
      </c>
      <c r="G523" s="17">
        <f>IF(B523="","",IF(ISNUMBER(Office_Log!V123),Office_Log!V123,""))</f>
        <v/>
      </c>
      <c r="H523" s="17">
        <f>IF(B523="","",IF(Office_Log!U123="","",Office_Log!U123&amp;""))</f>
        <v/>
      </c>
      <c r="I523" s="17">
        <f>IF(B523="","","")</f>
        <v/>
      </c>
      <c r="J523" s="17">
        <f>IF(B523="","",IF(AND(ISNUMBER(Office_Log!W123),N(Office_Log!W123)&gt;N(Office_Log!V123)),"range to "&amp;Office_Log!W123&amp;" per month",""))</f>
        <v/>
      </c>
      <c r="K523" t="inlineStr">
        <is>
          <t>office budget_probe</t>
        </is>
      </c>
    </row>
    <row r="524">
      <c r="A524" s="17">
        <f>IF(B524="","",B524+(3*1000+123)/10000000)</f>
        <v/>
      </c>
      <c r="B524" s="23">
        <f>IF(Office_Log!BK124=1,Office_Log!G124,"")</f>
        <v/>
      </c>
      <c r="C524" s="17">
        <f>IF(B524="","","office")</f>
        <v/>
      </c>
      <c r="D524" s="17">
        <f>IF(B524="","",Office_Log!$A124&amp;"")</f>
        <v/>
      </c>
      <c r="E524" s="17">
        <f>IF(B524="","",IF(Office_Log!B124="","",Office_Log!B124&amp;""))</f>
        <v/>
      </c>
      <c r="F524" s="17">
        <f>IF(B524="","","budget_probe")</f>
        <v/>
      </c>
      <c r="G524" s="17">
        <f>IF(B524="","",IF(ISNUMBER(Office_Log!V124),Office_Log!V124,""))</f>
        <v/>
      </c>
      <c r="H524" s="17">
        <f>IF(B524="","",IF(Office_Log!U124="","",Office_Log!U124&amp;""))</f>
        <v/>
      </c>
      <c r="I524" s="17">
        <f>IF(B524="","","")</f>
        <v/>
      </c>
      <c r="J524" s="17">
        <f>IF(B524="","",IF(AND(ISNUMBER(Office_Log!W124),N(Office_Log!W124)&gt;N(Office_Log!V124)),"range to "&amp;Office_Log!W124&amp;" per month",""))</f>
        <v/>
      </c>
      <c r="K524" t="inlineStr">
        <is>
          <t>office budget_probe</t>
        </is>
      </c>
    </row>
    <row r="525">
      <c r="A525" s="17">
        <f>IF(B525="","",B525+(3*1000+124)/10000000)</f>
        <v/>
      </c>
      <c r="B525" s="23">
        <f>IF(Office_Log!BK125=1,Office_Log!G125,"")</f>
        <v/>
      </c>
      <c r="C525" s="17">
        <f>IF(B525="","","office")</f>
        <v/>
      </c>
      <c r="D525" s="17">
        <f>IF(B525="","",Office_Log!$A125&amp;"")</f>
        <v/>
      </c>
      <c r="E525" s="17">
        <f>IF(B525="","",IF(Office_Log!B125="","",Office_Log!B125&amp;""))</f>
        <v/>
      </c>
      <c r="F525" s="17">
        <f>IF(B525="","","budget_probe")</f>
        <v/>
      </c>
      <c r="G525" s="17">
        <f>IF(B525="","",IF(ISNUMBER(Office_Log!V125),Office_Log!V125,""))</f>
        <v/>
      </c>
      <c r="H525" s="17">
        <f>IF(B525="","",IF(Office_Log!U125="","",Office_Log!U125&amp;""))</f>
        <v/>
      </c>
      <c r="I525" s="17">
        <f>IF(B525="","","")</f>
        <v/>
      </c>
      <c r="J525" s="17">
        <f>IF(B525="","",IF(AND(ISNUMBER(Office_Log!W125),N(Office_Log!W125)&gt;N(Office_Log!V125)),"range to "&amp;Office_Log!W125&amp;" per month",""))</f>
        <v/>
      </c>
      <c r="K525" t="inlineStr">
        <is>
          <t>office budget_probe</t>
        </is>
      </c>
    </row>
    <row r="526">
      <c r="A526" s="17">
        <f>IF(B526="","",B526+(3*1000+125)/10000000)</f>
        <v/>
      </c>
      <c r="B526" s="23">
        <f>IF(Office_Log!BK126=1,Office_Log!G126,"")</f>
        <v/>
      </c>
      <c r="C526" s="17">
        <f>IF(B526="","","office")</f>
        <v/>
      </c>
      <c r="D526" s="17">
        <f>IF(B526="","",Office_Log!$A126&amp;"")</f>
        <v/>
      </c>
      <c r="E526" s="17">
        <f>IF(B526="","",IF(Office_Log!B126="","",Office_Log!B126&amp;""))</f>
        <v/>
      </c>
      <c r="F526" s="17">
        <f>IF(B526="","","budget_probe")</f>
        <v/>
      </c>
      <c r="G526" s="17">
        <f>IF(B526="","",IF(ISNUMBER(Office_Log!V126),Office_Log!V126,""))</f>
        <v/>
      </c>
      <c r="H526" s="17">
        <f>IF(B526="","",IF(Office_Log!U126="","",Office_Log!U126&amp;""))</f>
        <v/>
      </c>
      <c r="I526" s="17">
        <f>IF(B526="","","")</f>
        <v/>
      </c>
      <c r="J526" s="17">
        <f>IF(B526="","",IF(AND(ISNUMBER(Office_Log!W126),N(Office_Log!W126)&gt;N(Office_Log!V126)),"range to "&amp;Office_Log!W126&amp;" per month",""))</f>
        <v/>
      </c>
      <c r="K526" t="inlineStr">
        <is>
          <t>office budget_probe</t>
        </is>
      </c>
    </row>
    <row r="527">
      <c r="A527" s="17">
        <f>IF(B527="","",B527+(3*1000+126)/10000000)</f>
        <v/>
      </c>
      <c r="B527" s="23">
        <f>IF(Office_Log!BK127=1,Office_Log!G127,"")</f>
        <v/>
      </c>
      <c r="C527" s="17">
        <f>IF(B527="","","office")</f>
        <v/>
      </c>
      <c r="D527" s="17">
        <f>IF(B527="","",Office_Log!$A127&amp;"")</f>
        <v/>
      </c>
      <c r="E527" s="17">
        <f>IF(B527="","",IF(Office_Log!B127="","",Office_Log!B127&amp;""))</f>
        <v/>
      </c>
      <c r="F527" s="17">
        <f>IF(B527="","","budget_probe")</f>
        <v/>
      </c>
      <c r="G527" s="17">
        <f>IF(B527="","",IF(ISNUMBER(Office_Log!V127),Office_Log!V127,""))</f>
        <v/>
      </c>
      <c r="H527" s="17">
        <f>IF(B527="","",IF(Office_Log!U127="","",Office_Log!U127&amp;""))</f>
        <v/>
      </c>
      <c r="I527" s="17">
        <f>IF(B527="","","")</f>
        <v/>
      </c>
      <c r="J527" s="17">
        <f>IF(B527="","",IF(AND(ISNUMBER(Office_Log!W127),N(Office_Log!W127)&gt;N(Office_Log!V127)),"range to "&amp;Office_Log!W127&amp;" per month",""))</f>
        <v/>
      </c>
      <c r="K527" t="inlineStr">
        <is>
          <t>office budget_probe</t>
        </is>
      </c>
    </row>
    <row r="528">
      <c r="A528" s="17">
        <f>IF(B528="","",B528+(3*1000+127)/10000000)</f>
        <v/>
      </c>
      <c r="B528" s="23">
        <f>IF(Office_Log!BK128=1,Office_Log!G128,"")</f>
        <v/>
      </c>
      <c r="C528" s="17">
        <f>IF(B528="","","office")</f>
        <v/>
      </c>
      <c r="D528" s="17">
        <f>IF(B528="","",Office_Log!$A128&amp;"")</f>
        <v/>
      </c>
      <c r="E528" s="17">
        <f>IF(B528="","",IF(Office_Log!B128="","",Office_Log!B128&amp;""))</f>
        <v/>
      </c>
      <c r="F528" s="17">
        <f>IF(B528="","","budget_probe")</f>
        <v/>
      </c>
      <c r="G528" s="17">
        <f>IF(B528="","",IF(ISNUMBER(Office_Log!V128),Office_Log!V128,""))</f>
        <v/>
      </c>
      <c r="H528" s="17">
        <f>IF(B528="","",IF(Office_Log!U128="","",Office_Log!U128&amp;""))</f>
        <v/>
      </c>
      <c r="I528" s="17">
        <f>IF(B528="","","")</f>
        <v/>
      </c>
      <c r="J528" s="17">
        <f>IF(B528="","",IF(AND(ISNUMBER(Office_Log!W128),N(Office_Log!W128)&gt;N(Office_Log!V128)),"range to "&amp;Office_Log!W128&amp;" per month",""))</f>
        <v/>
      </c>
      <c r="K528" t="inlineStr">
        <is>
          <t>office budget_probe</t>
        </is>
      </c>
    </row>
    <row r="529">
      <c r="A529" s="17">
        <f>IF(B529="","",B529+(3*1000+128)/10000000)</f>
        <v/>
      </c>
      <c r="B529" s="23">
        <f>IF(Office_Log!BK129=1,Office_Log!G129,"")</f>
        <v/>
      </c>
      <c r="C529" s="17">
        <f>IF(B529="","","office")</f>
        <v/>
      </c>
      <c r="D529" s="17">
        <f>IF(B529="","",Office_Log!$A129&amp;"")</f>
        <v/>
      </c>
      <c r="E529" s="17">
        <f>IF(B529="","",IF(Office_Log!B129="","",Office_Log!B129&amp;""))</f>
        <v/>
      </c>
      <c r="F529" s="17">
        <f>IF(B529="","","budget_probe")</f>
        <v/>
      </c>
      <c r="G529" s="17">
        <f>IF(B529="","",IF(ISNUMBER(Office_Log!V129),Office_Log!V129,""))</f>
        <v/>
      </c>
      <c r="H529" s="17">
        <f>IF(B529="","",IF(Office_Log!U129="","",Office_Log!U129&amp;""))</f>
        <v/>
      </c>
      <c r="I529" s="17">
        <f>IF(B529="","","")</f>
        <v/>
      </c>
      <c r="J529" s="17">
        <f>IF(B529="","",IF(AND(ISNUMBER(Office_Log!W129),N(Office_Log!W129)&gt;N(Office_Log!V129)),"range to "&amp;Office_Log!W129&amp;" per month",""))</f>
        <v/>
      </c>
      <c r="K529" t="inlineStr">
        <is>
          <t>office budget_probe</t>
        </is>
      </c>
    </row>
    <row r="530">
      <c r="A530" s="17">
        <f>IF(B530="","",B530+(3*1000+129)/10000000)</f>
        <v/>
      </c>
      <c r="B530" s="23">
        <f>IF(Office_Log!BK130=1,Office_Log!G130,"")</f>
        <v/>
      </c>
      <c r="C530" s="17">
        <f>IF(B530="","","office")</f>
        <v/>
      </c>
      <c r="D530" s="17">
        <f>IF(B530="","",Office_Log!$A130&amp;"")</f>
        <v/>
      </c>
      <c r="E530" s="17">
        <f>IF(B530="","",IF(Office_Log!B130="","",Office_Log!B130&amp;""))</f>
        <v/>
      </c>
      <c r="F530" s="17">
        <f>IF(B530="","","budget_probe")</f>
        <v/>
      </c>
      <c r="G530" s="17">
        <f>IF(B530="","",IF(ISNUMBER(Office_Log!V130),Office_Log!V130,""))</f>
        <v/>
      </c>
      <c r="H530" s="17">
        <f>IF(B530="","",IF(Office_Log!U130="","",Office_Log!U130&amp;""))</f>
        <v/>
      </c>
      <c r="I530" s="17">
        <f>IF(B530="","","")</f>
        <v/>
      </c>
      <c r="J530" s="17">
        <f>IF(B530="","",IF(AND(ISNUMBER(Office_Log!W130),N(Office_Log!W130)&gt;N(Office_Log!V130)),"range to "&amp;Office_Log!W130&amp;" per month",""))</f>
        <v/>
      </c>
      <c r="K530" t="inlineStr">
        <is>
          <t>office budget_probe</t>
        </is>
      </c>
    </row>
    <row r="531">
      <c r="A531" s="17">
        <f>IF(B531="","",B531+(3*1000+130)/10000000)</f>
        <v/>
      </c>
      <c r="B531" s="23">
        <f>IF(Office_Log!BK131=1,Office_Log!G131,"")</f>
        <v/>
      </c>
      <c r="C531" s="17">
        <f>IF(B531="","","office")</f>
        <v/>
      </c>
      <c r="D531" s="17">
        <f>IF(B531="","",Office_Log!$A131&amp;"")</f>
        <v/>
      </c>
      <c r="E531" s="17">
        <f>IF(B531="","",IF(Office_Log!B131="","",Office_Log!B131&amp;""))</f>
        <v/>
      </c>
      <c r="F531" s="17">
        <f>IF(B531="","","budget_probe")</f>
        <v/>
      </c>
      <c r="G531" s="17">
        <f>IF(B531="","",IF(ISNUMBER(Office_Log!V131),Office_Log!V131,""))</f>
        <v/>
      </c>
      <c r="H531" s="17">
        <f>IF(B531="","",IF(Office_Log!U131="","",Office_Log!U131&amp;""))</f>
        <v/>
      </c>
      <c r="I531" s="17">
        <f>IF(B531="","","")</f>
        <v/>
      </c>
      <c r="J531" s="17">
        <f>IF(B531="","",IF(AND(ISNUMBER(Office_Log!W131),N(Office_Log!W131)&gt;N(Office_Log!V131)),"range to "&amp;Office_Log!W131&amp;" per month",""))</f>
        <v/>
      </c>
      <c r="K531" t="inlineStr">
        <is>
          <t>office budget_probe</t>
        </is>
      </c>
    </row>
    <row r="532">
      <c r="A532" s="17">
        <f>IF(B532="","",B532+(3*1000+131)/10000000)</f>
        <v/>
      </c>
      <c r="B532" s="23">
        <f>IF(Office_Log!BK132=1,Office_Log!G132,"")</f>
        <v/>
      </c>
      <c r="C532" s="17">
        <f>IF(B532="","","office")</f>
        <v/>
      </c>
      <c r="D532" s="17">
        <f>IF(B532="","",Office_Log!$A132&amp;"")</f>
        <v/>
      </c>
      <c r="E532" s="17">
        <f>IF(B532="","",IF(Office_Log!B132="","",Office_Log!B132&amp;""))</f>
        <v/>
      </c>
      <c r="F532" s="17">
        <f>IF(B532="","","budget_probe")</f>
        <v/>
      </c>
      <c r="G532" s="17">
        <f>IF(B532="","",IF(ISNUMBER(Office_Log!V132),Office_Log!V132,""))</f>
        <v/>
      </c>
      <c r="H532" s="17">
        <f>IF(B532="","",IF(Office_Log!U132="","",Office_Log!U132&amp;""))</f>
        <v/>
      </c>
      <c r="I532" s="17">
        <f>IF(B532="","","")</f>
        <v/>
      </c>
      <c r="J532" s="17">
        <f>IF(B532="","",IF(AND(ISNUMBER(Office_Log!W132),N(Office_Log!W132)&gt;N(Office_Log!V132)),"range to "&amp;Office_Log!W132&amp;" per month",""))</f>
        <v/>
      </c>
      <c r="K532" t="inlineStr">
        <is>
          <t>office budget_probe</t>
        </is>
      </c>
    </row>
    <row r="533">
      <c r="A533" s="17">
        <f>IF(B533="","",B533+(3*1000+132)/10000000)</f>
        <v/>
      </c>
      <c r="B533" s="23">
        <f>IF(Office_Log!BK133=1,Office_Log!G133,"")</f>
        <v/>
      </c>
      <c r="C533" s="17">
        <f>IF(B533="","","office")</f>
        <v/>
      </c>
      <c r="D533" s="17">
        <f>IF(B533="","",Office_Log!$A133&amp;"")</f>
        <v/>
      </c>
      <c r="E533" s="17">
        <f>IF(B533="","",IF(Office_Log!B133="","",Office_Log!B133&amp;""))</f>
        <v/>
      </c>
      <c r="F533" s="17">
        <f>IF(B533="","","budget_probe")</f>
        <v/>
      </c>
      <c r="G533" s="17">
        <f>IF(B533="","",IF(ISNUMBER(Office_Log!V133),Office_Log!V133,""))</f>
        <v/>
      </c>
      <c r="H533" s="17">
        <f>IF(B533="","",IF(Office_Log!U133="","",Office_Log!U133&amp;""))</f>
        <v/>
      </c>
      <c r="I533" s="17">
        <f>IF(B533="","","")</f>
        <v/>
      </c>
      <c r="J533" s="17">
        <f>IF(B533="","",IF(AND(ISNUMBER(Office_Log!W133),N(Office_Log!W133)&gt;N(Office_Log!V133)),"range to "&amp;Office_Log!W133&amp;" per month",""))</f>
        <v/>
      </c>
      <c r="K533" t="inlineStr">
        <is>
          <t>office budget_probe</t>
        </is>
      </c>
    </row>
    <row r="534">
      <c r="A534" s="17">
        <f>IF(B534="","",B534+(3*1000+133)/10000000)</f>
        <v/>
      </c>
      <c r="B534" s="23">
        <f>IF(Office_Log!BK134=1,Office_Log!G134,"")</f>
        <v/>
      </c>
      <c r="C534" s="17">
        <f>IF(B534="","","office")</f>
        <v/>
      </c>
      <c r="D534" s="17">
        <f>IF(B534="","",Office_Log!$A134&amp;"")</f>
        <v/>
      </c>
      <c r="E534" s="17">
        <f>IF(B534="","",IF(Office_Log!B134="","",Office_Log!B134&amp;""))</f>
        <v/>
      </c>
      <c r="F534" s="17">
        <f>IF(B534="","","budget_probe")</f>
        <v/>
      </c>
      <c r="G534" s="17">
        <f>IF(B534="","",IF(ISNUMBER(Office_Log!V134),Office_Log!V134,""))</f>
        <v/>
      </c>
      <c r="H534" s="17">
        <f>IF(B534="","",IF(Office_Log!U134="","",Office_Log!U134&amp;""))</f>
        <v/>
      </c>
      <c r="I534" s="17">
        <f>IF(B534="","","")</f>
        <v/>
      </c>
      <c r="J534" s="17">
        <f>IF(B534="","",IF(AND(ISNUMBER(Office_Log!W134),N(Office_Log!W134)&gt;N(Office_Log!V134)),"range to "&amp;Office_Log!W134&amp;" per month",""))</f>
        <v/>
      </c>
      <c r="K534" t="inlineStr">
        <is>
          <t>office budget_probe</t>
        </is>
      </c>
    </row>
    <row r="535">
      <c r="A535" s="17">
        <f>IF(B535="","",B535+(3*1000+134)/10000000)</f>
        <v/>
      </c>
      <c r="B535" s="23">
        <f>IF(Office_Log!BK135=1,Office_Log!G135,"")</f>
        <v/>
      </c>
      <c r="C535" s="17">
        <f>IF(B535="","","office")</f>
        <v/>
      </c>
      <c r="D535" s="17">
        <f>IF(B535="","",Office_Log!$A135&amp;"")</f>
        <v/>
      </c>
      <c r="E535" s="17">
        <f>IF(B535="","",IF(Office_Log!B135="","",Office_Log!B135&amp;""))</f>
        <v/>
      </c>
      <c r="F535" s="17">
        <f>IF(B535="","","budget_probe")</f>
        <v/>
      </c>
      <c r="G535" s="17">
        <f>IF(B535="","",IF(ISNUMBER(Office_Log!V135),Office_Log!V135,""))</f>
        <v/>
      </c>
      <c r="H535" s="17">
        <f>IF(B535="","",IF(Office_Log!U135="","",Office_Log!U135&amp;""))</f>
        <v/>
      </c>
      <c r="I535" s="17">
        <f>IF(B535="","","")</f>
        <v/>
      </c>
      <c r="J535" s="17">
        <f>IF(B535="","",IF(AND(ISNUMBER(Office_Log!W135),N(Office_Log!W135)&gt;N(Office_Log!V135)),"range to "&amp;Office_Log!W135&amp;" per month",""))</f>
        <v/>
      </c>
      <c r="K535" t="inlineStr">
        <is>
          <t>office budget_probe</t>
        </is>
      </c>
    </row>
    <row r="536">
      <c r="A536" s="17">
        <f>IF(B536="","",B536+(3*1000+135)/10000000)</f>
        <v/>
      </c>
      <c r="B536" s="23">
        <f>IF(Office_Log!BK136=1,Office_Log!G136,"")</f>
        <v/>
      </c>
      <c r="C536" s="17">
        <f>IF(B536="","","office")</f>
        <v/>
      </c>
      <c r="D536" s="17">
        <f>IF(B536="","",Office_Log!$A136&amp;"")</f>
        <v/>
      </c>
      <c r="E536" s="17">
        <f>IF(B536="","",IF(Office_Log!B136="","",Office_Log!B136&amp;""))</f>
        <v/>
      </c>
      <c r="F536" s="17">
        <f>IF(B536="","","budget_probe")</f>
        <v/>
      </c>
      <c r="G536" s="17">
        <f>IF(B536="","",IF(ISNUMBER(Office_Log!V136),Office_Log!V136,""))</f>
        <v/>
      </c>
      <c r="H536" s="17">
        <f>IF(B536="","",IF(Office_Log!U136="","",Office_Log!U136&amp;""))</f>
        <v/>
      </c>
      <c r="I536" s="17">
        <f>IF(B536="","","")</f>
        <v/>
      </c>
      <c r="J536" s="17">
        <f>IF(B536="","",IF(AND(ISNUMBER(Office_Log!W136),N(Office_Log!W136)&gt;N(Office_Log!V136)),"range to "&amp;Office_Log!W136&amp;" per month",""))</f>
        <v/>
      </c>
      <c r="K536" t="inlineStr">
        <is>
          <t>office budget_probe</t>
        </is>
      </c>
    </row>
    <row r="537">
      <c r="A537" s="17">
        <f>IF(B537="","",B537+(3*1000+136)/10000000)</f>
        <v/>
      </c>
      <c r="B537" s="23">
        <f>IF(Office_Log!BK137=1,Office_Log!G137,"")</f>
        <v/>
      </c>
      <c r="C537" s="17">
        <f>IF(B537="","","office")</f>
        <v/>
      </c>
      <c r="D537" s="17">
        <f>IF(B537="","",Office_Log!$A137&amp;"")</f>
        <v/>
      </c>
      <c r="E537" s="17">
        <f>IF(B537="","",IF(Office_Log!B137="","",Office_Log!B137&amp;""))</f>
        <v/>
      </c>
      <c r="F537" s="17">
        <f>IF(B537="","","budget_probe")</f>
        <v/>
      </c>
      <c r="G537" s="17">
        <f>IF(B537="","",IF(ISNUMBER(Office_Log!V137),Office_Log!V137,""))</f>
        <v/>
      </c>
      <c r="H537" s="17">
        <f>IF(B537="","",IF(Office_Log!U137="","",Office_Log!U137&amp;""))</f>
        <v/>
      </c>
      <c r="I537" s="17">
        <f>IF(B537="","","")</f>
        <v/>
      </c>
      <c r="J537" s="17">
        <f>IF(B537="","",IF(AND(ISNUMBER(Office_Log!W137),N(Office_Log!W137)&gt;N(Office_Log!V137)),"range to "&amp;Office_Log!W137&amp;" per month",""))</f>
        <v/>
      </c>
      <c r="K537" t="inlineStr">
        <is>
          <t>office budget_probe</t>
        </is>
      </c>
    </row>
    <row r="538">
      <c r="A538" s="17">
        <f>IF(B538="","",B538+(3*1000+137)/10000000)</f>
        <v/>
      </c>
      <c r="B538" s="23">
        <f>IF(Office_Log!BK138=1,Office_Log!G138,"")</f>
        <v/>
      </c>
      <c r="C538" s="17">
        <f>IF(B538="","","office")</f>
        <v/>
      </c>
      <c r="D538" s="17">
        <f>IF(B538="","",Office_Log!$A138&amp;"")</f>
        <v/>
      </c>
      <c r="E538" s="17">
        <f>IF(B538="","",IF(Office_Log!B138="","",Office_Log!B138&amp;""))</f>
        <v/>
      </c>
      <c r="F538" s="17">
        <f>IF(B538="","","budget_probe")</f>
        <v/>
      </c>
      <c r="G538" s="17">
        <f>IF(B538="","",IF(ISNUMBER(Office_Log!V138),Office_Log!V138,""))</f>
        <v/>
      </c>
      <c r="H538" s="17">
        <f>IF(B538="","",IF(Office_Log!U138="","",Office_Log!U138&amp;""))</f>
        <v/>
      </c>
      <c r="I538" s="17">
        <f>IF(B538="","","")</f>
        <v/>
      </c>
      <c r="J538" s="17">
        <f>IF(B538="","",IF(AND(ISNUMBER(Office_Log!W138),N(Office_Log!W138)&gt;N(Office_Log!V138)),"range to "&amp;Office_Log!W138&amp;" per month",""))</f>
        <v/>
      </c>
      <c r="K538" t="inlineStr">
        <is>
          <t>office budget_probe</t>
        </is>
      </c>
    </row>
    <row r="539">
      <c r="A539" s="17">
        <f>IF(B539="","",B539+(3*1000+138)/10000000)</f>
        <v/>
      </c>
      <c r="B539" s="23">
        <f>IF(Office_Log!BK139=1,Office_Log!G139,"")</f>
        <v/>
      </c>
      <c r="C539" s="17">
        <f>IF(B539="","","office")</f>
        <v/>
      </c>
      <c r="D539" s="17">
        <f>IF(B539="","",Office_Log!$A139&amp;"")</f>
        <v/>
      </c>
      <c r="E539" s="17">
        <f>IF(B539="","",IF(Office_Log!B139="","",Office_Log!B139&amp;""))</f>
        <v/>
      </c>
      <c r="F539" s="17">
        <f>IF(B539="","","budget_probe")</f>
        <v/>
      </c>
      <c r="G539" s="17">
        <f>IF(B539="","",IF(ISNUMBER(Office_Log!V139),Office_Log!V139,""))</f>
        <v/>
      </c>
      <c r="H539" s="17">
        <f>IF(B539="","",IF(Office_Log!U139="","",Office_Log!U139&amp;""))</f>
        <v/>
      </c>
      <c r="I539" s="17">
        <f>IF(B539="","","")</f>
        <v/>
      </c>
      <c r="J539" s="17">
        <f>IF(B539="","",IF(AND(ISNUMBER(Office_Log!W139),N(Office_Log!W139)&gt;N(Office_Log!V139)),"range to "&amp;Office_Log!W139&amp;" per month",""))</f>
        <v/>
      </c>
      <c r="K539" t="inlineStr">
        <is>
          <t>office budget_probe</t>
        </is>
      </c>
    </row>
    <row r="540">
      <c r="A540" s="17">
        <f>IF(B540="","",B540+(3*1000+139)/10000000)</f>
        <v/>
      </c>
      <c r="B540" s="23">
        <f>IF(Office_Log!BK140=1,Office_Log!G140,"")</f>
        <v/>
      </c>
      <c r="C540" s="17">
        <f>IF(B540="","","office")</f>
        <v/>
      </c>
      <c r="D540" s="17">
        <f>IF(B540="","",Office_Log!$A140&amp;"")</f>
        <v/>
      </c>
      <c r="E540" s="17">
        <f>IF(B540="","",IF(Office_Log!B140="","",Office_Log!B140&amp;""))</f>
        <v/>
      </c>
      <c r="F540" s="17">
        <f>IF(B540="","","budget_probe")</f>
        <v/>
      </c>
      <c r="G540" s="17">
        <f>IF(B540="","",IF(ISNUMBER(Office_Log!V140),Office_Log!V140,""))</f>
        <v/>
      </c>
      <c r="H540" s="17">
        <f>IF(B540="","",IF(Office_Log!U140="","",Office_Log!U140&amp;""))</f>
        <v/>
      </c>
      <c r="I540" s="17">
        <f>IF(B540="","","")</f>
        <v/>
      </c>
      <c r="J540" s="17">
        <f>IF(B540="","",IF(AND(ISNUMBER(Office_Log!W140),N(Office_Log!W140)&gt;N(Office_Log!V140)),"range to "&amp;Office_Log!W140&amp;" per month",""))</f>
        <v/>
      </c>
      <c r="K540" t="inlineStr">
        <is>
          <t>office budget_probe</t>
        </is>
      </c>
    </row>
    <row r="541">
      <c r="A541" s="17">
        <f>IF(B541="","",B541+(3*1000+140)/10000000)</f>
        <v/>
      </c>
      <c r="B541" s="23">
        <f>IF(Office_Log!BK141=1,Office_Log!G141,"")</f>
        <v/>
      </c>
      <c r="C541" s="17">
        <f>IF(B541="","","office")</f>
        <v/>
      </c>
      <c r="D541" s="17">
        <f>IF(B541="","",Office_Log!$A141&amp;"")</f>
        <v/>
      </c>
      <c r="E541" s="17">
        <f>IF(B541="","",IF(Office_Log!B141="","",Office_Log!B141&amp;""))</f>
        <v/>
      </c>
      <c r="F541" s="17">
        <f>IF(B541="","","budget_probe")</f>
        <v/>
      </c>
      <c r="G541" s="17">
        <f>IF(B541="","",IF(ISNUMBER(Office_Log!V141),Office_Log!V141,""))</f>
        <v/>
      </c>
      <c r="H541" s="17">
        <f>IF(B541="","",IF(Office_Log!U141="","",Office_Log!U141&amp;""))</f>
        <v/>
      </c>
      <c r="I541" s="17">
        <f>IF(B541="","","")</f>
        <v/>
      </c>
      <c r="J541" s="17">
        <f>IF(B541="","",IF(AND(ISNUMBER(Office_Log!W141),N(Office_Log!W141)&gt;N(Office_Log!V141)),"range to "&amp;Office_Log!W141&amp;" per month",""))</f>
        <v/>
      </c>
      <c r="K541" t="inlineStr">
        <is>
          <t>office budget_probe</t>
        </is>
      </c>
    </row>
    <row r="542">
      <c r="A542" s="17">
        <f>IF(B542="","",B542+(3*1000+141)/10000000)</f>
        <v/>
      </c>
      <c r="B542" s="23">
        <f>IF(Office_Log!BK142=1,Office_Log!G142,"")</f>
        <v/>
      </c>
      <c r="C542" s="17">
        <f>IF(B542="","","office")</f>
        <v/>
      </c>
      <c r="D542" s="17">
        <f>IF(B542="","",Office_Log!$A142&amp;"")</f>
        <v/>
      </c>
      <c r="E542" s="17">
        <f>IF(B542="","",IF(Office_Log!B142="","",Office_Log!B142&amp;""))</f>
        <v/>
      </c>
      <c r="F542" s="17">
        <f>IF(B542="","","budget_probe")</f>
        <v/>
      </c>
      <c r="G542" s="17">
        <f>IF(B542="","",IF(ISNUMBER(Office_Log!V142),Office_Log!V142,""))</f>
        <v/>
      </c>
      <c r="H542" s="17">
        <f>IF(B542="","",IF(Office_Log!U142="","",Office_Log!U142&amp;""))</f>
        <v/>
      </c>
      <c r="I542" s="17">
        <f>IF(B542="","","")</f>
        <v/>
      </c>
      <c r="J542" s="17">
        <f>IF(B542="","",IF(AND(ISNUMBER(Office_Log!W142),N(Office_Log!W142)&gt;N(Office_Log!V142)),"range to "&amp;Office_Log!W142&amp;" per month",""))</f>
        <v/>
      </c>
      <c r="K542" t="inlineStr">
        <is>
          <t>office budget_probe</t>
        </is>
      </c>
    </row>
    <row r="543">
      <c r="A543" s="17">
        <f>IF(B543="","",B543+(3*1000+142)/10000000)</f>
        <v/>
      </c>
      <c r="B543" s="23">
        <f>IF(Office_Log!BK143=1,Office_Log!G143,"")</f>
        <v/>
      </c>
      <c r="C543" s="17">
        <f>IF(B543="","","office")</f>
        <v/>
      </c>
      <c r="D543" s="17">
        <f>IF(B543="","",Office_Log!$A143&amp;"")</f>
        <v/>
      </c>
      <c r="E543" s="17">
        <f>IF(B543="","",IF(Office_Log!B143="","",Office_Log!B143&amp;""))</f>
        <v/>
      </c>
      <c r="F543" s="17">
        <f>IF(B543="","","budget_probe")</f>
        <v/>
      </c>
      <c r="G543" s="17">
        <f>IF(B543="","",IF(ISNUMBER(Office_Log!V143),Office_Log!V143,""))</f>
        <v/>
      </c>
      <c r="H543" s="17">
        <f>IF(B543="","",IF(Office_Log!U143="","",Office_Log!U143&amp;""))</f>
        <v/>
      </c>
      <c r="I543" s="17">
        <f>IF(B543="","","")</f>
        <v/>
      </c>
      <c r="J543" s="17">
        <f>IF(B543="","",IF(AND(ISNUMBER(Office_Log!W143),N(Office_Log!W143)&gt;N(Office_Log!V143)),"range to "&amp;Office_Log!W143&amp;" per month",""))</f>
        <v/>
      </c>
      <c r="K543" t="inlineStr">
        <is>
          <t>office budget_probe</t>
        </is>
      </c>
    </row>
    <row r="544">
      <c r="A544" s="17">
        <f>IF(B544="","",B544+(3*1000+143)/10000000)</f>
        <v/>
      </c>
      <c r="B544" s="23">
        <f>IF(Office_Log!BK144=1,Office_Log!G144,"")</f>
        <v/>
      </c>
      <c r="C544" s="17">
        <f>IF(B544="","","office")</f>
        <v/>
      </c>
      <c r="D544" s="17">
        <f>IF(B544="","",Office_Log!$A144&amp;"")</f>
        <v/>
      </c>
      <c r="E544" s="17">
        <f>IF(B544="","",IF(Office_Log!B144="","",Office_Log!B144&amp;""))</f>
        <v/>
      </c>
      <c r="F544" s="17">
        <f>IF(B544="","","budget_probe")</f>
        <v/>
      </c>
      <c r="G544" s="17">
        <f>IF(B544="","",IF(ISNUMBER(Office_Log!V144),Office_Log!V144,""))</f>
        <v/>
      </c>
      <c r="H544" s="17">
        <f>IF(B544="","",IF(Office_Log!U144="","",Office_Log!U144&amp;""))</f>
        <v/>
      </c>
      <c r="I544" s="17">
        <f>IF(B544="","","")</f>
        <v/>
      </c>
      <c r="J544" s="17">
        <f>IF(B544="","",IF(AND(ISNUMBER(Office_Log!W144),N(Office_Log!W144)&gt;N(Office_Log!V144)),"range to "&amp;Office_Log!W144&amp;" per month",""))</f>
        <v/>
      </c>
      <c r="K544" t="inlineStr">
        <is>
          <t>office budget_probe</t>
        </is>
      </c>
    </row>
    <row r="545">
      <c r="A545" s="17">
        <f>IF(B545="","",B545+(3*1000+144)/10000000)</f>
        <v/>
      </c>
      <c r="B545" s="23">
        <f>IF(Office_Log!BK145=1,Office_Log!G145,"")</f>
        <v/>
      </c>
      <c r="C545" s="17">
        <f>IF(B545="","","office")</f>
        <v/>
      </c>
      <c r="D545" s="17">
        <f>IF(B545="","",Office_Log!$A145&amp;"")</f>
        <v/>
      </c>
      <c r="E545" s="17">
        <f>IF(B545="","",IF(Office_Log!B145="","",Office_Log!B145&amp;""))</f>
        <v/>
      </c>
      <c r="F545" s="17">
        <f>IF(B545="","","budget_probe")</f>
        <v/>
      </c>
      <c r="G545" s="17">
        <f>IF(B545="","",IF(ISNUMBER(Office_Log!V145),Office_Log!V145,""))</f>
        <v/>
      </c>
      <c r="H545" s="17">
        <f>IF(B545="","",IF(Office_Log!U145="","",Office_Log!U145&amp;""))</f>
        <v/>
      </c>
      <c r="I545" s="17">
        <f>IF(B545="","","")</f>
        <v/>
      </c>
      <c r="J545" s="17">
        <f>IF(B545="","",IF(AND(ISNUMBER(Office_Log!W145),N(Office_Log!W145)&gt;N(Office_Log!V145)),"range to "&amp;Office_Log!W145&amp;" per month",""))</f>
        <v/>
      </c>
      <c r="K545" t="inlineStr">
        <is>
          <t>office budget_probe</t>
        </is>
      </c>
    </row>
    <row r="546">
      <c r="A546" s="17">
        <f>IF(B546="","",B546+(3*1000+145)/10000000)</f>
        <v/>
      </c>
      <c r="B546" s="23">
        <f>IF(Office_Log!BK146=1,Office_Log!G146,"")</f>
        <v/>
      </c>
      <c r="C546" s="17">
        <f>IF(B546="","","office")</f>
        <v/>
      </c>
      <c r="D546" s="17">
        <f>IF(B546="","",Office_Log!$A146&amp;"")</f>
        <v/>
      </c>
      <c r="E546" s="17">
        <f>IF(B546="","",IF(Office_Log!B146="","",Office_Log!B146&amp;""))</f>
        <v/>
      </c>
      <c r="F546" s="17">
        <f>IF(B546="","","budget_probe")</f>
        <v/>
      </c>
      <c r="G546" s="17">
        <f>IF(B546="","",IF(ISNUMBER(Office_Log!V146),Office_Log!V146,""))</f>
        <v/>
      </c>
      <c r="H546" s="17">
        <f>IF(B546="","",IF(Office_Log!U146="","",Office_Log!U146&amp;""))</f>
        <v/>
      </c>
      <c r="I546" s="17">
        <f>IF(B546="","","")</f>
        <v/>
      </c>
      <c r="J546" s="17">
        <f>IF(B546="","",IF(AND(ISNUMBER(Office_Log!W146),N(Office_Log!W146)&gt;N(Office_Log!V146)),"range to "&amp;Office_Log!W146&amp;" per month",""))</f>
        <v/>
      </c>
      <c r="K546" t="inlineStr">
        <is>
          <t>office budget_probe</t>
        </is>
      </c>
    </row>
    <row r="547">
      <c r="A547" s="17">
        <f>IF(B547="","",B547+(3*1000+146)/10000000)</f>
        <v/>
      </c>
      <c r="B547" s="23">
        <f>IF(Office_Log!BK147=1,Office_Log!G147,"")</f>
        <v/>
      </c>
      <c r="C547" s="17">
        <f>IF(B547="","","office")</f>
        <v/>
      </c>
      <c r="D547" s="17">
        <f>IF(B547="","",Office_Log!$A147&amp;"")</f>
        <v/>
      </c>
      <c r="E547" s="17">
        <f>IF(B547="","",IF(Office_Log!B147="","",Office_Log!B147&amp;""))</f>
        <v/>
      </c>
      <c r="F547" s="17">
        <f>IF(B547="","","budget_probe")</f>
        <v/>
      </c>
      <c r="G547" s="17">
        <f>IF(B547="","",IF(ISNUMBER(Office_Log!V147),Office_Log!V147,""))</f>
        <v/>
      </c>
      <c r="H547" s="17">
        <f>IF(B547="","",IF(Office_Log!U147="","",Office_Log!U147&amp;""))</f>
        <v/>
      </c>
      <c r="I547" s="17">
        <f>IF(B547="","","")</f>
        <v/>
      </c>
      <c r="J547" s="17">
        <f>IF(B547="","",IF(AND(ISNUMBER(Office_Log!W147),N(Office_Log!W147)&gt;N(Office_Log!V147)),"range to "&amp;Office_Log!W147&amp;" per month",""))</f>
        <v/>
      </c>
      <c r="K547" t="inlineStr">
        <is>
          <t>office budget_probe</t>
        </is>
      </c>
    </row>
    <row r="548">
      <c r="A548" s="17">
        <f>IF(B548="","",B548+(3*1000+147)/10000000)</f>
        <v/>
      </c>
      <c r="B548" s="23">
        <f>IF(Office_Log!BK148=1,Office_Log!G148,"")</f>
        <v/>
      </c>
      <c r="C548" s="17">
        <f>IF(B548="","","office")</f>
        <v/>
      </c>
      <c r="D548" s="17">
        <f>IF(B548="","",Office_Log!$A148&amp;"")</f>
        <v/>
      </c>
      <c r="E548" s="17">
        <f>IF(B548="","",IF(Office_Log!B148="","",Office_Log!B148&amp;""))</f>
        <v/>
      </c>
      <c r="F548" s="17">
        <f>IF(B548="","","budget_probe")</f>
        <v/>
      </c>
      <c r="G548" s="17">
        <f>IF(B548="","",IF(ISNUMBER(Office_Log!V148),Office_Log!V148,""))</f>
        <v/>
      </c>
      <c r="H548" s="17">
        <f>IF(B548="","",IF(Office_Log!U148="","",Office_Log!U148&amp;""))</f>
        <v/>
      </c>
      <c r="I548" s="17">
        <f>IF(B548="","","")</f>
        <v/>
      </c>
      <c r="J548" s="17">
        <f>IF(B548="","",IF(AND(ISNUMBER(Office_Log!W148),N(Office_Log!W148)&gt;N(Office_Log!V148)),"range to "&amp;Office_Log!W148&amp;" per month",""))</f>
        <v/>
      </c>
      <c r="K548" t="inlineStr">
        <is>
          <t>office budget_probe</t>
        </is>
      </c>
    </row>
    <row r="549">
      <c r="A549" s="17">
        <f>IF(B549="","",B549+(3*1000+148)/10000000)</f>
        <v/>
      </c>
      <c r="B549" s="23">
        <f>IF(Office_Log!BK149=1,Office_Log!G149,"")</f>
        <v/>
      </c>
      <c r="C549" s="17">
        <f>IF(B549="","","office")</f>
        <v/>
      </c>
      <c r="D549" s="17">
        <f>IF(B549="","",Office_Log!$A149&amp;"")</f>
        <v/>
      </c>
      <c r="E549" s="17">
        <f>IF(B549="","",IF(Office_Log!B149="","",Office_Log!B149&amp;""))</f>
        <v/>
      </c>
      <c r="F549" s="17">
        <f>IF(B549="","","budget_probe")</f>
        <v/>
      </c>
      <c r="G549" s="17">
        <f>IF(B549="","",IF(ISNUMBER(Office_Log!V149),Office_Log!V149,""))</f>
        <v/>
      </c>
      <c r="H549" s="17">
        <f>IF(B549="","",IF(Office_Log!U149="","",Office_Log!U149&amp;""))</f>
        <v/>
      </c>
      <c r="I549" s="17">
        <f>IF(B549="","","")</f>
        <v/>
      </c>
      <c r="J549" s="17">
        <f>IF(B549="","",IF(AND(ISNUMBER(Office_Log!W149),N(Office_Log!W149)&gt;N(Office_Log!V149)),"range to "&amp;Office_Log!W149&amp;" per month",""))</f>
        <v/>
      </c>
      <c r="K549" t="inlineStr">
        <is>
          <t>office budget_probe</t>
        </is>
      </c>
    </row>
    <row r="550">
      <c r="A550" s="17">
        <f>IF(B550="","",B550+(3*1000+149)/10000000)</f>
        <v/>
      </c>
      <c r="B550" s="23">
        <f>IF(Office_Log!BK150=1,Office_Log!G150,"")</f>
        <v/>
      </c>
      <c r="C550" s="17">
        <f>IF(B550="","","office")</f>
        <v/>
      </c>
      <c r="D550" s="17">
        <f>IF(B550="","",Office_Log!$A150&amp;"")</f>
        <v/>
      </c>
      <c r="E550" s="17">
        <f>IF(B550="","",IF(Office_Log!B150="","",Office_Log!B150&amp;""))</f>
        <v/>
      </c>
      <c r="F550" s="17">
        <f>IF(B550="","","budget_probe")</f>
        <v/>
      </c>
      <c r="G550" s="17">
        <f>IF(B550="","",IF(ISNUMBER(Office_Log!V150),Office_Log!V150,""))</f>
        <v/>
      </c>
      <c r="H550" s="17">
        <f>IF(B550="","",IF(Office_Log!U150="","",Office_Log!U150&amp;""))</f>
        <v/>
      </c>
      <c r="I550" s="17">
        <f>IF(B550="","","")</f>
        <v/>
      </c>
      <c r="J550" s="17">
        <f>IF(B550="","",IF(AND(ISNUMBER(Office_Log!W150),N(Office_Log!W150)&gt;N(Office_Log!V150)),"range to "&amp;Office_Log!W150&amp;" per month",""))</f>
        <v/>
      </c>
      <c r="K550" t="inlineStr">
        <is>
          <t>office budget_probe</t>
        </is>
      </c>
    </row>
    <row r="551">
      <c r="A551" s="17">
        <f>IF(B551="","",B551+(3*1000+150)/10000000)</f>
        <v/>
      </c>
      <c r="B551" s="23">
        <f>IF(Office_Log!BK151=1,Office_Log!G151,"")</f>
        <v/>
      </c>
      <c r="C551" s="17">
        <f>IF(B551="","","office")</f>
        <v/>
      </c>
      <c r="D551" s="17">
        <f>IF(B551="","",Office_Log!$A151&amp;"")</f>
        <v/>
      </c>
      <c r="E551" s="17">
        <f>IF(B551="","",IF(Office_Log!B151="","",Office_Log!B151&amp;""))</f>
        <v/>
      </c>
      <c r="F551" s="17">
        <f>IF(B551="","","budget_probe")</f>
        <v/>
      </c>
      <c r="G551" s="17">
        <f>IF(B551="","",IF(ISNUMBER(Office_Log!V151),Office_Log!V151,""))</f>
        <v/>
      </c>
      <c r="H551" s="17">
        <f>IF(B551="","",IF(Office_Log!U151="","",Office_Log!U151&amp;""))</f>
        <v/>
      </c>
      <c r="I551" s="17">
        <f>IF(B551="","","")</f>
        <v/>
      </c>
      <c r="J551" s="17">
        <f>IF(B551="","",IF(AND(ISNUMBER(Office_Log!W151),N(Office_Log!W151)&gt;N(Office_Log!V151)),"range to "&amp;Office_Log!W151&amp;" per month",""))</f>
        <v/>
      </c>
      <c r="K551" t="inlineStr">
        <is>
          <t>office budget_probe</t>
        </is>
      </c>
    </row>
    <row r="552">
      <c r="A552" s="17">
        <f>IF(B552="","",B552+(3*1000+151)/10000000)</f>
        <v/>
      </c>
      <c r="B552" s="23">
        <f>IF(Office_Log!BK152=1,Office_Log!G152,"")</f>
        <v/>
      </c>
      <c r="C552" s="17">
        <f>IF(B552="","","office")</f>
        <v/>
      </c>
      <c r="D552" s="17">
        <f>IF(B552="","",Office_Log!$A152&amp;"")</f>
        <v/>
      </c>
      <c r="E552" s="17">
        <f>IF(B552="","",IF(Office_Log!B152="","",Office_Log!B152&amp;""))</f>
        <v/>
      </c>
      <c r="F552" s="17">
        <f>IF(B552="","","budget_probe")</f>
        <v/>
      </c>
      <c r="G552" s="17">
        <f>IF(B552="","",IF(ISNUMBER(Office_Log!V152),Office_Log!V152,""))</f>
        <v/>
      </c>
      <c r="H552" s="17">
        <f>IF(B552="","",IF(Office_Log!U152="","",Office_Log!U152&amp;""))</f>
        <v/>
      </c>
      <c r="I552" s="17">
        <f>IF(B552="","","")</f>
        <v/>
      </c>
      <c r="J552" s="17">
        <f>IF(B552="","",IF(AND(ISNUMBER(Office_Log!W152),N(Office_Log!W152)&gt;N(Office_Log!V152)),"range to "&amp;Office_Log!W152&amp;" per month",""))</f>
        <v/>
      </c>
      <c r="K552" t="inlineStr">
        <is>
          <t>office budget_probe</t>
        </is>
      </c>
    </row>
    <row r="553">
      <c r="A553" s="17">
        <f>IF(B553="","",B553+(3*1000+152)/10000000)</f>
        <v/>
      </c>
      <c r="B553" s="23">
        <f>IF(Office_Log!BK153=1,Office_Log!G153,"")</f>
        <v/>
      </c>
      <c r="C553" s="17">
        <f>IF(B553="","","office")</f>
        <v/>
      </c>
      <c r="D553" s="17">
        <f>IF(B553="","",Office_Log!$A153&amp;"")</f>
        <v/>
      </c>
      <c r="E553" s="17">
        <f>IF(B553="","",IF(Office_Log!B153="","",Office_Log!B153&amp;""))</f>
        <v/>
      </c>
      <c r="F553" s="17">
        <f>IF(B553="","","budget_probe")</f>
        <v/>
      </c>
      <c r="G553" s="17">
        <f>IF(B553="","",IF(ISNUMBER(Office_Log!V153),Office_Log!V153,""))</f>
        <v/>
      </c>
      <c r="H553" s="17">
        <f>IF(B553="","",IF(Office_Log!U153="","",Office_Log!U153&amp;""))</f>
        <v/>
      </c>
      <c r="I553" s="17">
        <f>IF(B553="","","")</f>
        <v/>
      </c>
      <c r="J553" s="17">
        <f>IF(B553="","",IF(AND(ISNUMBER(Office_Log!W153),N(Office_Log!W153)&gt;N(Office_Log!V153)),"range to "&amp;Office_Log!W153&amp;" per month",""))</f>
        <v/>
      </c>
      <c r="K553" t="inlineStr">
        <is>
          <t>office budget_probe</t>
        </is>
      </c>
    </row>
    <row r="554">
      <c r="A554" s="17">
        <f>IF(B554="","",B554+(3*1000+153)/10000000)</f>
        <v/>
      </c>
      <c r="B554" s="23">
        <f>IF(Office_Log!BK154=1,Office_Log!G154,"")</f>
        <v/>
      </c>
      <c r="C554" s="17">
        <f>IF(B554="","","office")</f>
        <v/>
      </c>
      <c r="D554" s="17">
        <f>IF(B554="","",Office_Log!$A154&amp;"")</f>
        <v/>
      </c>
      <c r="E554" s="17">
        <f>IF(B554="","",IF(Office_Log!B154="","",Office_Log!B154&amp;""))</f>
        <v/>
      </c>
      <c r="F554" s="17">
        <f>IF(B554="","","budget_probe")</f>
        <v/>
      </c>
      <c r="G554" s="17">
        <f>IF(B554="","",IF(ISNUMBER(Office_Log!V154),Office_Log!V154,""))</f>
        <v/>
      </c>
      <c r="H554" s="17">
        <f>IF(B554="","",IF(Office_Log!U154="","",Office_Log!U154&amp;""))</f>
        <v/>
      </c>
      <c r="I554" s="17">
        <f>IF(B554="","","")</f>
        <v/>
      </c>
      <c r="J554" s="17">
        <f>IF(B554="","",IF(AND(ISNUMBER(Office_Log!W154),N(Office_Log!W154)&gt;N(Office_Log!V154)),"range to "&amp;Office_Log!W154&amp;" per month",""))</f>
        <v/>
      </c>
      <c r="K554" t="inlineStr">
        <is>
          <t>office budget_probe</t>
        </is>
      </c>
    </row>
    <row r="555">
      <c r="A555" s="17">
        <f>IF(B555="","",B555+(3*1000+154)/10000000)</f>
        <v/>
      </c>
      <c r="B555" s="23">
        <f>IF(Office_Log!BK155=1,Office_Log!G155,"")</f>
        <v/>
      </c>
      <c r="C555" s="17">
        <f>IF(B555="","","office")</f>
        <v/>
      </c>
      <c r="D555" s="17">
        <f>IF(B555="","",Office_Log!$A155&amp;"")</f>
        <v/>
      </c>
      <c r="E555" s="17">
        <f>IF(B555="","",IF(Office_Log!B155="","",Office_Log!B155&amp;""))</f>
        <v/>
      </c>
      <c r="F555" s="17">
        <f>IF(B555="","","budget_probe")</f>
        <v/>
      </c>
      <c r="G555" s="17">
        <f>IF(B555="","",IF(ISNUMBER(Office_Log!V155),Office_Log!V155,""))</f>
        <v/>
      </c>
      <c r="H555" s="17">
        <f>IF(B555="","",IF(Office_Log!U155="","",Office_Log!U155&amp;""))</f>
        <v/>
      </c>
      <c r="I555" s="17">
        <f>IF(B555="","","")</f>
        <v/>
      </c>
      <c r="J555" s="17">
        <f>IF(B555="","",IF(AND(ISNUMBER(Office_Log!W155),N(Office_Log!W155)&gt;N(Office_Log!V155)),"range to "&amp;Office_Log!W155&amp;" per month",""))</f>
        <v/>
      </c>
      <c r="K555" t="inlineStr">
        <is>
          <t>office budget_probe</t>
        </is>
      </c>
    </row>
    <row r="556">
      <c r="A556" s="17">
        <f>IF(B556="","",B556+(3*1000+155)/10000000)</f>
        <v/>
      </c>
      <c r="B556" s="23">
        <f>IF(Office_Log!BK156=1,Office_Log!G156,"")</f>
        <v/>
      </c>
      <c r="C556" s="17">
        <f>IF(B556="","","office")</f>
        <v/>
      </c>
      <c r="D556" s="17">
        <f>IF(B556="","",Office_Log!$A156&amp;"")</f>
        <v/>
      </c>
      <c r="E556" s="17">
        <f>IF(B556="","",IF(Office_Log!B156="","",Office_Log!B156&amp;""))</f>
        <v/>
      </c>
      <c r="F556" s="17">
        <f>IF(B556="","","budget_probe")</f>
        <v/>
      </c>
      <c r="G556" s="17">
        <f>IF(B556="","",IF(ISNUMBER(Office_Log!V156),Office_Log!V156,""))</f>
        <v/>
      </c>
      <c r="H556" s="17">
        <f>IF(B556="","",IF(Office_Log!U156="","",Office_Log!U156&amp;""))</f>
        <v/>
      </c>
      <c r="I556" s="17">
        <f>IF(B556="","","")</f>
        <v/>
      </c>
      <c r="J556" s="17">
        <f>IF(B556="","",IF(AND(ISNUMBER(Office_Log!W156),N(Office_Log!W156)&gt;N(Office_Log!V156)),"range to "&amp;Office_Log!W156&amp;" per month",""))</f>
        <v/>
      </c>
      <c r="K556" t="inlineStr">
        <is>
          <t>office budget_probe</t>
        </is>
      </c>
    </row>
    <row r="557">
      <c r="A557" s="17">
        <f>IF(B557="","",B557+(3*1000+156)/10000000)</f>
        <v/>
      </c>
      <c r="B557" s="23">
        <f>IF(Office_Log!BK157=1,Office_Log!G157,"")</f>
        <v/>
      </c>
      <c r="C557" s="17">
        <f>IF(B557="","","office")</f>
        <v/>
      </c>
      <c r="D557" s="17">
        <f>IF(B557="","",Office_Log!$A157&amp;"")</f>
        <v/>
      </c>
      <c r="E557" s="17">
        <f>IF(B557="","",IF(Office_Log!B157="","",Office_Log!B157&amp;""))</f>
        <v/>
      </c>
      <c r="F557" s="17">
        <f>IF(B557="","","budget_probe")</f>
        <v/>
      </c>
      <c r="G557" s="17">
        <f>IF(B557="","",IF(ISNUMBER(Office_Log!V157),Office_Log!V157,""))</f>
        <v/>
      </c>
      <c r="H557" s="17">
        <f>IF(B557="","",IF(Office_Log!U157="","",Office_Log!U157&amp;""))</f>
        <v/>
      </c>
      <c r="I557" s="17">
        <f>IF(B557="","","")</f>
        <v/>
      </c>
      <c r="J557" s="17">
        <f>IF(B557="","",IF(AND(ISNUMBER(Office_Log!W157),N(Office_Log!W157)&gt;N(Office_Log!V157)),"range to "&amp;Office_Log!W157&amp;" per month",""))</f>
        <v/>
      </c>
      <c r="K557" t="inlineStr">
        <is>
          <t>office budget_probe</t>
        </is>
      </c>
    </row>
    <row r="558">
      <c r="A558" s="17">
        <f>IF(B558="","",B558+(3*1000+157)/10000000)</f>
        <v/>
      </c>
      <c r="B558" s="23">
        <f>IF(Office_Log!BK158=1,Office_Log!G158,"")</f>
        <v/>
      </c>
      <c r="C558" s="17">
        <f>IF(B558="","","office")</f>
        <v/>
      </c>
      <c r="D558" s="17">
        <f>IF(B558="","",Office_Log!$A158&amp;"")</f>
        <v/>
      </c>
      <c r="E558" s="17">
        <f>IF(B558="","",IF(Office_Log!B158="","",Office_Log!B158&amp;""))</f>
        <v/>
      </c>
      <c r="F558" s="17">
        <f>IF(B558="","","budget_probe")</f>
        <v/>
      </c>
      <c r="G558" s="17">
        <f>IF(B558="","",IF(ISNUMBER(Office_Log!V158),Office_Log!V158,""))</f>
        <v/>
      </c>
      <c r="H558" s="17">
        <f>IF(B558="","",IF(Office_Log!U158="","",Office_Log!U158&amp;""))</f>
        <v/>
      </c>
      <c r="I558" s="17">
        <f>IF(B558="","","")</f>
        <v/>
      </c>
      <c r="J558" s="17">
        <f>IF(B558="","",IF(AND(ISNUMBER(Office_Log!W158),N(Office_Log!W158)&gt;N(Office_Log!V158)),"range to "&amp;Office_Log!W158&amp;" per month",""))</f>
        <v/>
      </c>
      <c r="K558" t="inlineStr">
        <is>
          <t>office budget_probe</t>
        </is>
      </c>
    </row>
    <row r="559">
      <c r="A559" s="17">
        <f>IF(B559="","",B559+(3*1000+158)/10000000)</f>
        <v/>
      </c>
      <c r="B559" s="23">
        <f>IF(Office_Log!BK159=1,Office_Log!G159,"")</f>
        <v/>
      </c>
      <c r="C559" s="17">
        <f>IF(B559="","","office")</f>
        <v/>
      </c>
      <c r="D559" s="17">
        <f>IF(B559="","",Office_Log!$A159&amp;"")</f>
        <v/>
      </c>
      <c r="E559" s="17">
        <f>IF(B559="","",IF(Office_Log!B159="","",Office_Log!B159&amp;""))</f>
        <v/>
      </c>
      <c r="F559" s="17">
        <f>IF(B559="","","budget_probe")</f>
        <v/>
      </c>
      <c r="G559" s="17">
        <f>IF(B559="","",IF(ISNUMBER(Office_Log!V159),Office_Log!V159,""))</f>
        <v/>
      </c>
      <c r="H559" s="17">
        <f>IF(B559="","",IF(Office_Log!U159="","",Office_Log!U159&amp;""))</f>
        <v/>
      </c>
      <c r="I559" s="17">
        <f>IF(B559="","","")</f>
        <v/>
      </c>
      <c r="J559" s="17">
        <f>IF(B559="","",IF(AND(ISNUMBER(Office_Log!W159),N(Office_Log!W159)&gt;N(Office_Log!V159)),"range to "&amp;Office_Log!W159&amp;" per month",""))</f>
        <v/>
      </c>
      <c r="K559" t="inlineStr">
        <is>
          <t>office budget_probe</t>
        </is>
      </c>
    </row>
    <row r="560">
      <c r="A560" s="17">
        <f>IF(B560="","",B560+(3*1000+159)/10000000)</f>
        <v/>
      </c>
      <c r="B560" s="23">
        <f>IF(Office_Log!BK160=1,Office_Log!G160,"")</f>
        <v/>
      </c>
      <c r="C560" s="17">
        <f>IF(B560="","","office")</f>
        <v/>
      </c>
      <c r="D560" s="17">
        <f>IF(B560="","",Office_Log!$A160&amp;"")</f>
        <v/>
      </c>
      <c r="E560" s="17">
        <f>IF(B560="","",IF(Office_Log!B160="","",Office_Log!B160&amp;""))</f>
        <v/>
      </c>
      <c r="F560" s="17">
        <f>IF(B560="","","budget_probe")</f>
        <v/>
      </c>
      <c r="G560" s="17">
        <f>IF(B560="","",IF(ISNUMBER(Office_Log!V160),Office_Log!V160,""))</f>
        <v/>
      </c>
      <c r="H560" s="17">
        <f>IF(B560="","",IF(Office_Log!U160="","",Office_Log!U160&amp;""))</f>
        <v/>
      </c>
      <c r="I560" s="17">
        <f>IF(B560="","","")</f>
        <v/>
      </c>
      <c r="J560" s="17">
        <f>IF(B560="","",IF(AND(ISNUMBER(Office_Log!W160),N(Office_Log!W160)&gt;N(Office_Log!V160)),"range to "&amp;Office_Log!W160&amp;" per month",""))</f>
        <v/>
      </c>
      <c r="K560" t="inlineStr">
        <is>
          <t>office budget_probe</t>
        </is>
      </c>
    </row>
    <row r="561">
      <c r="A561" s="17">
        <f>IF(B561="","",B561+(3*1000+160)/10000000)</f>
        <v/>
      </c>
      <c r="B561" s="23">
        <f>IF(Office_Log!BK161=1,Office_Log!G161,"")</f>
        <v/>
      </c>
      <c r="C561" s="17">
        <f>IF(B561="","","office")</f>
        <v/>
      </c>
      <c r="D561" s="17">
        <f>IF(B561="","",Office_Log!$A161&amp;"")</f>
        <v/>
      </c>
      <c r="E561" s="17">
        <f>IF(B561="","",IF(Office_Log!B161="","",Office_Log!B161&amp;""))</f>
        <v/>
      </c>
      <c r="F561" s="17">
        <f>IF(B561="","","budget_probe")</f>
        <v/>
      </c>
      <c r="G561" s="17">
        <f>IF(B561="","",IF(ISNUMBER(Office_Log!V161),Office_Log!V161,""))</f>
        <v/>
      </c>
      <c r="H561" s="17">
        <f>IF(B561="","",IF(Office_Log!U161="","",Office_Log!U161&amp;""))</f>
        <v/>
      </c>
      <c r="I561" s="17">
        <f>IF(B561="","","")</f>
        <v/>
      </c>
      <c r="J561" s="17">
        <f>IF(B561="","",IF(AND(ISNUMBER(Office_Log!W161),N(Office_Log!W161)&gt;N(Office_Log!V161)),"range to "&amp;Office_Log!W161&amp;" per month",""))</f>
        <v/>
      </c>
      <c r="K561" t="inlineStr">
        <is>
          <t>office budget_probe</t>
        </is>
      </c>
    </row>
    <row r="562">
      <c r="A562" s="17">
        <f>IF(B562="","",B562+(3*1000+161)/10000000)</f>
        <v/>
      </c>
      <c r="B562" s="23">
        <f>IF(Office_Log!BK162=1,Office_Log!G162,"")</f>
        <v/>
      </c>
      <c r="C562" s="17">
        <f>IF(B562="","","office")</f>
        <v/>
      </c>
      <c r="D562" s="17">
        <f>IF(B562="","",Office_Log!$A162&amp;"")</f>
        <v/>
      </c>
      <c r="E562" s="17">
        <f>IF(B562="","",IF(Office_Log!B162="","",Office_Log!B162&amp;""))</f>
        <v/>
      </c>
      <c r="F562" s="17">
        <f>IF(B562="","","budget_probe")</f>
        <v/>
      </c>
      <c r="G562" s="17">
        <f>IF(B562="","",IF(ISNUMBER(Office_Log!V162),Office_Log!V162,""))</f>
        <v/>
      </c>
      <c r="H562" s="17">
        <f>IF(B562="","",IF(Office_Log!U162="","",Office_Log!U162&amp;""))</f>
        <v/>
      </c>
      <c r="I562" s="17">
        <f>IF(B562="","","")</f>
        <v/>
      </c>
      <c r="J562" s="17">
        <f>IF(B562="","",IF(AND(ISNUMBER(Office_Log!W162),N(Office_Log!W162)&gt;N(Office_Log!V162)),"range to "&amp;Office_Log!W162&amp;" per month",""))</f>
        <v/>
      </c>
      <c r="K562" t="inlineStr">
        <is>
          <t>office budget_probe</t>
        </is>
      </c>
    </row>
    <row r="563">
      <c r="A563" s="17">
        <f>IF(B563="","",B563+(3*1000+162)/10000000)</f>
        <v/>
      </c>
      <c r="B563" s="23">
        <f>IF(Office_Log!BK163=1,Office_Log!G163,"")</f>
        <v/>
      </c>
      <c r="C563" s="17">
        <f>IF(B563="","","office")</f>
        <v/>
      </c>
      <c r="D563" s="17">
        <f>IF(B563="","",Office_Log!$A163&amp;"")</f>
        <v/>
      </c>
      <c r="E563" s="17">
        <f>IF(B563="","",IF(Office_Log!B163="","",Office_Log!B163&amp;""))</f>
        <v/>
      </c>
      <c r="F563" s="17">
        <f>IF(B563="","","budget_probe")</f>
        <v/>
      </c>
      <c r="G563" s="17">
        <f>IF(B563="","",IF(ISNUMBER(Office_Log!V163),Office_Log!V163,""))</f>
        <v/>
      </c>
      <c r="H563" s="17">
        <f>IF(B563="","",IF(Office_Log!U163="","",Office_Log!U163&amp;""))</f>
        <v/>
      </c>
      <c r="I563" s="17">
        <f>IF(B563="","","")</f>
        <v/>
      </c>
      <c r="J563" s="17">
        <f>IF(B563="","",IF(AND(ISNUMBER(Office_Log!W163),N(Office_Log!W163)&gt;N(Office_Log!V163)),"range to "&amp;Office_Log!W163&amp;" per month",""))</f>
        <v/>
      </c>
      <c r="K563" t="inlineStr">
        <is>
          <t>office budget_probe</t>
        </is>
      </c>
    </row>
    <row r="564">
      <c r="A564" s="17">
        <f>IF(B564="","",B564+(3*1000+163)/10000000)</f>
        <v/>
      </c>
      <c r="B564" s="23">
        <f>IF(Office_Log!BK164=1,Office_Log!G164,"")</f>
        <v/>
      </c>
      <c r="C564" s="17">
        <f>IF(B564="","","office")</f>
        <v/>
      </c>
      <c r="D564" s="17">
        <f>IF(B564="","",Office_Log!$A164&amp;"")</f>
        <v/>
      </c>
      <c r="E564" s="17">
        <f>IF(B564="","",IF(Office_Log!B164="","",Office_Log!B164&amp;""))</f>
        <v/>
      </c>
      <c r="F564" s="17">
        <f>IF(B564="","","budget_probe")</f>
        <v/>
      </c>
      <c r="G564" s="17">
        <f>IF(B564="","",IF(ISNUMBER(Office_Log!V164),Office_Log!V164,""))</f>
        <v/>
      </c>
      <c r="H564" s="17">
        <f>IF(B564="","",IF(Office_Log!U164="","",Office_Log!U164&amp;""))</f>
        <v/>
      </c>
      <c r="I564" s="17">
        <f>IF(B564="","","")</f>
        <v/>
      </c>
      <c r="J564" s="17">
        <f>IF(B564="","",IF(AND(ISNUMBER(Office_Log!W164),N(Office_Log!W164)&gt;N(Office_Log!V164)),"range to "&amp;Office_Log!W164&amp;" per month",""))</f>
        <v/>
      </c>
      <c r="K564" t="inlineStr">
        <is>
          <t>office budget_probe</t>
        </is>
      </c>
    </row>
    <row r="565">
      <c r="A565" s="17">
        <f>IF(B565="","",B565+(3*1000+164)/10000000)</f>
        <v/>
      </c>
      <c r="B565" s="23">
        <f>IF(Office_Log!BK165=1,Office_Log!G165,"")</f>
        <v/>
      </c>
      <c r="C565" s="17">
        <f>IF(B565="","","office")</f>
        <v/>
      </c>
      <c r="D565" s="17">
        <f>IF(B565="","",Office_Log!$A165&amp;"")</f>
        <v/>
      </c>
      <c r="E565" s="17">
        <f>IF(B565="","",IF(Office_Log!B165="","",Office_Log!B165&amp;""))</f>
        <v/>
      </c>
      <c r="F565" s="17">
        <f>IF(B565="","","budget_probe")</f>
        <v/>
      </c>
      <c r="G565" s="17">
        <f>IF(B565="","",IF(ISNUMBER(Office_Log!V165),Office_Log!V165,""))</f>
        <v/>
      </c>
      <c r="H565" s="17">
        <f>IF(B565="","",IF(Office_Log!U165="","",Office_Log!U165&amp;""))</f>
        <v/>
      </c>
      <c r="I565" s="17">
        <f>IF(B565="","","")</f>
        <v/>
      </c>
      <c r="J565" s="17">
        <f>IF(B565="","",IF(AND(ISNUMBER(Office_Log!W165),N(Office_Log!W165)&gt;N(Office_Log!V165)),"range to "&amp;Office_Log!W165&amp;" per month",""))</f>
        <v/>
      </c>
      <c r="K565" t="inlineStr">
        <is>
          <t>office budget_probe</t>
        </is>
      </c>
    </row>
    <row r="566">
      <c r="A566" s="17">
        <f>IF(B566="","",B566+(3*1000+165)/10000000)</f>
        <v/>
      </c>
      <c r="B566" s="23">
        <f>IF(Office_Log!BK166=1,Office_Log!G166,"")</f>
        <v/>
      </c>
      <c r="C566" s="17">
        <f>IF(B566="","","office")</f>
        <v/>
      </c>
      <c r="D566" s="17">
        <f>IF(B566="","",Office_Log!$A166&amp;"")</f>
        <v/>
      </c>
      <c r="E566" s="17">
        <f>IF(B566="","",IF(Office_Log!B166="","",Office_Log!B166&amp;""))</f>
        <v/>
      </c>
      <c r="F566" s="17">
        <f>IF(B566="","","budget_probe")</f>
        <v/>
      </c>
      <c r="G566" s="17">
        <f>IF(B566="","",IF(ISNUMBER(Office_Log!V166),Office_Log!V166,""))</f>
        <v/>
      </c>
      <c r="H566" s="17">
        <f>IF(B566="","",IF(Office_Log!U166="","",Office_Log!U166&amp;""))</f>
        <v/>
      </c>
      <c r="I566" s="17">
        <f>IF(B566="","","")</f>
        <v/>
      </c>
      <c r="J566" s="17">
        <f>IF(B566="","",IF(AND(ISNUMBER(Office_Log!W166),N(Office_Log!W166)&gt;N(Office_Log!V166)),"range to "&amp;Office_Log!W166&amp;" per month",""))</f>
        <v/>
      </c>
      <c r="K566" t="inlineStr">
        <is>
          <t>office budget_probe</t>
        </is>
      </c>
    </row>
    <row r="567">
      <c r="A567" s="17">
        <f>IF(B567="","",B567+(3*1000+166)/10000000)</f>
        <v/>
      </c>
      <c r="B567" s="23">
        <f>IF(Office_Log!BK167=1,Office_Log!G167,"")</f>
        <v/>
      </c>
      <c r="C567" s="17">
        <f>IF(B567="","","office")</f>
        <v/>
      </c>
      <c r="D567" s="17">
        <f>IF(B567="","",Office_Log!$A167&amp;"")</f>
        <v/>
      </c>
      <c r="E567" s="17">
        <f>IF(B567="","",IF(Office_Log!B167="","",Office_Log!B167&amp;""))</f>
        <v/>
      </c>
      <c r="F567" s="17">
        <f>IF(B567="","","budget_probe")</f>
        <v/>
      </c>
      <c r="G567" s="17">
        <f>IF(B567="","",IF(ISNUMBER(Office_Log!V167),Office_Log!V167,""))</f>
        <v/>
      </c>
      <c r="H567" s="17">
        <f>IF(B567="","",IF(Office_Log!U167="","",Office_Log!U167&amp;""))</f>
        <v/>
      </c>
      <c r="I567" s="17">
        <f>IF(B567="","","")</f>
        <v/>
      </c>
      <c r="J567" s="17">
        <f>IF(B567="","",IF(AND(ISNUMBER(Office_Log!W167),N(Office_Log!W167)&gt;N(Office_Log!V167)),"range to "&amp;Office_Log!W167&amp;" per month",""))</f>
        <v/>
      </c>
      <c r="K567" t="inlineStr">
        <is>
          <t>office budget_probe</t>
        </is>
      </c>
    </row>
    <row r="568">
      <c r="A568" s="17">
        <f>IF(B568="","",B568+(3*1000+167)/10000000)</f>
        <v/>
      </c>
      <c r="B568" s="23">
        <f>IF(Office_Log!BK168=1,Office_Log!G168,"")</f>
        <v/>
      </c>
      <c r="C568" s="17">
        <f>IF(B568="","","office")</f>
        <v/>
      </c>
      <c r="D568" s="17">
        <f>IF(B568="","",Office_Log!$A168&amp;"")</f>
        <v/>
      </c>
      <c r="E568" s="17">
        <f>IF(B568="","",IF(Office_Log!B168="","",Office_Log!B168&amp;""))</f>
        <v/>
      </c>
      <c r="F568" s="17">
        <f>IF(B568="","","budget_probe")</f>
        <v/>
      </c>
      <c r="G568" s="17">
        <f>IF(B568="","",IF(ISNUMBER(Office_Log!V168),Office_Log!V168,""))</f>
        <v/>
      </c>
      <c r="H568" s="17">
        <f>IF(B568="","",IF(Office_Log!U168="","",Office_Log!U168&amp;""))</f>
        <v/>
      </c>
      <c r="I568" s="17">
        <f>IF(B568="","","")</f>
        <v/>
      </c>
      <c r="J568" s="17">
        <f>IF(B568="","",IF(AND(ISNUMBER(Office_Log!W168),N(Office_Log!W168)&gt;N(Office_Log!V168)),"range to "&amp;Office_Log!W168&amp;" per month",""))</f>
        <v/>
      </c>
      <c r="K568" t="inlineStr">
        <is>
          <t>office budget_probe</t>
        </is>
      </c>
    </row>
    <row r="569">
      <c r="A569" s="17">
        <f>IF(B569="","",B569+(3*1000+168)/10000000)</f>
        <v/>
      </c>
      <c r="B569" s="23">
        <f>IF(Office_Log!BK169=1,Office_Log!G169,"")</f>
        <v/>
      </c>
      <c r="C569" s="17">
        <f>IF(B569="","","office")</f>
        <v/>
      </c>
      <c r="D569" s="17">
        <f>IF(B569="","",Office_Log!$A169&amp;"")</f>
        <v/>
      </c>
      <c r="E569" s="17">
        <f>IF(B569="","",IF(Office_Log!B169="","",Office_Log!B169&amp;""))</f>
        <v/>
      </c>
      <c r="F569" s="17">
        <f>IF(B569="","","budget_probe")</f>
        <v/>
      </c>
      <c r="G569" s="17">
        <f>IF(B569="","",IF(ISNUMBER(Office_Log!V169),Office_Log!V169,""))</f>
        <v/>
      </c>
      <c r="H569" s="17">
        <f>IF(B569="","",IF(Office_Log!U169="","",Office_Log!U169&amp;""))</f>
        <v/>
      </c>
      <c r="I569" s="17">
        <f>IF(B569="","","")</f>
        <v/>
      </c>
      <c r="J569" s="17">
        <f>IF(B569="","",IF(AND(ISNUMBER(Office_Log!W169),N(Office_Log!W169)&gt;N(Office_Log!V169)),"range to "&amp;Office_Log!W169&amp;" per month",""))</f>
        <v/>
      </c>
      <c r="K569" t="inlineStr">
        <is>
          <t>office budget_probe</t>
        </is>
      </c>
    </row>
    <row r="570">
      <c r="A570" s="17">
        <f>IF(B570="","",B570+(3*1000+169)/10000000)</f>
        <v/>
      </c>
      <c r="B570" s="23">
        <f>IF(Office_Log!BK170=1,Office_Log!G170,"")</f>
        <v/>
      </c>
      <c r="C570" s="17">
        <f>IF(B570="","","office")</f>
        <v/>
      </c>
      <c r="D570" s="17">
        <f>IF(B570="","",Office_Log!$A170&amp;"")</f>
        <v/>
      </c>
      <c r="E570" s="17">
        <f>IF(B570="","",IF(Office_Log!B170="","",Office_Log!B170&amp;""))</f>
        <v/>
      </c>
      <c r="F570" s="17">
        <f>IF(B570="","","budget_probe")</f>
        <v/>
      </c>
      <c r="G570" s="17">
        <f>IF(B570="","",IF(ISNUMBER(Office_Log!V170),Office_Log!V170,""))</f>
        <v/>
      </c>
      <c r="H570" s="17">
        <f>IF(B570="","",IF(Office_Log!U170="","",Office_Log!U170&amp;""))</f>
        <v/>
      </c>
      <c r="I570" s="17">
        <f>IF(B570="","","")</f>
        <v/>
      </c>
      <c r="J570" s="17">
        <f>IF(B570="","",IF(AND(ISNUMBER(Office_Log!W170),N(Office_Log!W170)&gt;N(Office_Log!V170)),"range to "&amp;Office_Log!W170&amp;" per month",""))</f>
        <v/>
      </c>
      <c r="K570" t="inlineStr">
        <is>
          <t>office budget_probe</t>
        </is>
      </c>
    </row>
    <row r="571">
      <c r="A571" s="17">
        <f>IF(B571="","",B571+(3*1000+170)/10000000)</f>
        <v/>
      </c>
      <c r="B571" s="23">
        <f>IF(Office_Log!BK171=1,Office_Log!G171,"")</f>
        <v/>
      </c>
      <c r="C571" s="17">
        <f>IF(B571="","","office")</f>
        <v/>
      </c>
      <c r="D571" s="17">
        <f>IF(B571="","",Office_Log!$A171&amp;"")</f>
        <v/>
      </c>
      <c r="E571" s="17">
        <f>IF(B571="","",IF(Office_Log!B171="","",Office_Log!B171&amp;""))</f>
        <v/>
      </c>
      <c r="F571" s="17">
        <f>IF(B571="","","budget_probe")</f>
        <v/>
      </c>
      <c r="G571" s="17">
        <f>IF(B571="","",IF(ISNUMBER(Office_Log!V171),Office_Log!V171,""))</f>
        <v/>
      </c>
      <c r="H571" s="17">
        <f>IF(B571="","",IF(Office_Log!U171="","",Office_Log!U171&amp;""))</f>
        <v/>
      </c>
      <c r="I571" s="17">
        <f>IF(B571="","","")</f>
        <v/>
      </c>
      <c r="J571" s="17">
        <f>IF(B571="","",IF(AND(ISNUMBER(Office_Log!W171),N(Office_Log!W171)&gt;N(Office_Log!V171)),"range to "&amp;Office_Log!W171&amp;" per month",""))</f>
        <v/>
      </c>
      <c r="K571" t="inlineStr">
        <is>
          <t>office budget_probe</t>
        </is>
      </c>
    </row>
    <row r="572">
      <c r="A572" s="17">
        <f>IF(B572="","",B572+(3*1000+171)/10000000)</f>
        <v/>
      </c>
      <c r="B572" s="23">
        <f>IF(Office_Log!BK172=1,Office_Log!G172,"")</f>
        <v/>
      </c>
      <c r="C572" s="17">
        <f>IF(B572="","","office")</f>
        <v/>
      </c>
      <c r="D572" s="17">
        <f>IF(B572="","",Office_Log!$A172&amp;"")</f>
        <v/>
      </c>
      <c r="E572" s="17">
        <f>IF(B572="","",IF(Office_Log!B172="","",Office_Log!B172&amp;""))</f>
        <v/>
      </c>
      <c r="F572" s="17">
        <f>IF(B572="","","budget_probe")</f>
        <v/>
      </c>
      <c r="G572" s="17">
        <f>IF(B572="","",IF(ISNUMBER(Office_Log!V172),Office_Log!V172,""))</f>
        <v/>
      </c>
      <c r="H572" s="17">
        <f>IF(B572="","",IF(Office_Log!U172="","",Office_Log!U172&amp;""))</f>
        <v/>
      </c>
      <c r="I572" s="17">
        <f>IF(B572="","","")</f>
        <v/>
      </c>
      <c r="J572" s="17">
        <f>IF(B572="","",IF(AND(ISNUMBER(Office_Log!W172),N(Office_Log!W172)&gt;N(Office_Log!V172)),"range to "&amp;Office_Log!W172&amp;" per month",""))</f>
        <v/>
      </c>
      <c r="K572" t="inlineStr">
        <is>
          <t>office budget_probe</t>
        </is>
      </c>
    </row>
    <row r="573">
      <c r="A573" s="17">
        <f>IF(B573="","",B573+(3*1000+172)/10000000)</f>
        <v/>
      </c>
      <c r="B573" s="23">
        <f>IF(Office_Log!BK173=1,Office_Log!G173,"")</f>
        <v/>
      </c>
      <c r="C573" s="17">
        <f>IF(B573="","","office")</f>
        <v/>
      </c>
      <c r="D573" s="17">
        <f>IF(B573="","",Office_Log!$A173&amp;"")</f>
        <v/>
      </c>
      <c r="E573" s="17">
        <f>IF(B573="","",IF(Office_Log!B173="","",Office_Log!B173&amp;""))</f>
        <v/>
      </c>
      <c r="F573" s="17">
        <f>IF(B573="","","budget_probe")</f>
        <v/>
      </c>
      <c r="G573" s="17">
        <f>IF(B573="","",IF(ISNUMBER(Office_Log!V173),Office_Log!V173,""))</f>
        <v/>
      </c>
      <c r="H573" s="17">
        <f>IF(B573="","",IF(Office_Log!U173="","",Office_Log!U173&amp;""))</f>
        <v/>
      </c>
      <c r="I573" s="17">
        <f>IF(B573="","","")</f>
        <v/>
      </c>
      <c r="J573" s="17">
        <f>IF(B573="","",IF(AND(ISNUMBER(Office_Log!W173),N(Office_Log!W173)&gt;N(Office_Log!V173)),"range to "&amp;Office_Log!W173&amp;" per month",""))</f>
        <v/>
      </c>
      <c r="K573" t="inlineStr">
        <is>
          <t>office budget_probe</t>
        </is>
      </c>
    </row>
    <row r="574">
      <c r="A574" s="17">
        <f>IF(B574="","",B574+(3*1000+173)/10000000)</f>
        <v/>
      </c>
      <c r="B574" s="23">
        <f>IF(Office_Log!BK174=1,Office_Log!G174,"")</f>
        <v/>
      </c>
      <c r="C574" s="17">
        <f>IF(B574="","","office")</f>
        <v/>
      </c>
      <c r="D574" s="17">
        <f>IF(B574="","",Office_Log!$A174&amp;"")</f>
        <v/>
      </c>
      <c r="E574" s="17">
        <f>IF(B574="","",IF(Office_Log!B174="","",Office_Log!B174&amp;""))</f>
        <v/>
      </c>
      <c r="F574" s="17">
        <f>IF(B574="","","budget_probe")</f>
        <v/>
      </c>
      <c r="G574" s="17">
        <f>IF(B574="","",IF(ISNUMBER(Office_Log!V174),Office_Log!V174,""))</f>
        <v/>
      </c>
      <c r="H574" s="17">
        <f>IF(B574="","",IF(Office_Log!U174="","",Office_Log!U174&amp;""))</f>
        <v/>
      </c>
      <c r="I574" s="17">
        <f>IF(B574="","","")</f>
        <v/>
      </c>
      <c r="J574" s="17">
        <f>IF(B574="","",IF(AND(ISNUMBER(Office_Log!W174),N(Office_Log!W174)&gt;N(Office_Log!V174)),"range to "&amp;Office_Log!W174&amp;" per month",""))</f>
        <v/>
      </c>
      <c r="K574" t="inlineStr">
        <is>
          <t>office budget_probe</t>
        </is>
      </c>
    </row>
    <row r="575">
      <c r="A575" s="17">
        <f>IF(B575="","",B575+(3*1000+174)/10000000)</f>
        <v/>
      </c>
      <c r="B575" s="23">
        <f>IF(Office_Log!BK175=1,Office_Log!G175,"")</f>
        <v/>
      </c>
      <c r="C575" s="17">
        <f>IF(B575="","","office")</f>
        <v/>
      </c>
      <c r="D575" s="17">
        <f>IF(B575="","",Office_Log!$A175&amp;"")</f>
        <v/>
      </c>
      <c r="E575" s="17">
        <f>IF(B575="","",IF(Office_Log!B175="","",Office_Log!B175&amp;""))</f>
        <v/>
      </c>
      <c r="F575" s="17">
        <f>IF(B575="","","budget_probe")</f>
        <v/>
      </c>
      <c r="G575" s="17">
        <f>IF(B575="","",IF(ISNUMBER(Office_Log!V175),Office_Log!V175,""))</f>
        <v/>
      </c>
      <c r="H575" s="17">
        <f>IF(B575="","",IF(Office_Log!U175="","",Office_Log!U175&amp;""))</f>
        <v/>
      </c>
      <c r="I575" s="17">
        <f>IF(B575="","","")</f>
        <v/>
      </c>
      <c r="J575" s="17">
        <f>IF(B575="","",IF(AND(ISNUMBER(Office_Log!W175),N(Office_Log!W175)&gt;N(Office_Log!V175)),"range to "&amp;Office_Log!W175&amp;" per month",""))</f>
        <v/>
      </c>
      <c r="K575" t="inlineStr">
        <is>
          <t>office budget_probe</t>
        </is>
      </c>
    </row>
    <row r="576">
      <c r="A576" s="17">
        <f>IF(B576="","",B576+(3*1000+175)/10000000)</f>
        <v/>
      </c>
      <c r="B576" s="23">
        <f>IF(Office_Log!BK176=1,Office_Log!G176,"")</f>
        <v/>
      </c>
      <c r="C576" s="17">
        <f>IF(B576="","","office")</f>
        <v/>
      </c>
      <c r="D576" s="17">
        <f>IF(B576="","",Office_Log!$A176&amp;"")</f>
        <v/>
      </c>
      <c r="E576" s="17">
        <f>IF(B576="","",IF(Office_Log!B176="","",Office_Log!B176&amp;""))</f>
        <v/>
      </c>
      <c r="F576" s="17">
        <f>IF(B576="","","budget_probe")</f>
        <v/>
      </c>
      <c r="G576" s="17">
        <f>IF(B576="","",IF(ISNUMBER(Office_Log!V176),Office_Log!V176,""))</f>
        <v/>
      </c>
      <c r="H576" s="17">
        <f>IF(B576="","",IF(Office_Log!U176="","",Office_Log!U176&amp;""))</f>
        <v/>
      </c>
      <c r="I576" s="17">
        <f>IF(B576="","","")</f>
        <v/>
      </c>
      <c r="J576" s="17">
        <f>IF(B576="","",IF(AND(ISNUMBER(Office_Log!W176),N(Office_Log!W176)&gt;N(Office_Log!V176)),"range to "&amp;Office_Log!W176&amp;" per month",""))</f>
        <v/>
      </c>
      <c r="K576" t="inlineStr">
        <is>
          <t>office budget_probe</t>
        </is>
      </c>
    </row>
    <row r="577">
      <c r="A577" s="17">
        <f>IF(B577="","",B577+(3*1000+176)/10000000)</f>
        <v/>
      </c>
      <c r="B577" s="23">
        <f>IF(Office_Log!BK177=1,Office_Log!G177,"")</f>
        <v/>
      </c>
      <c r="C577" s="17">
        <f>IF(B577="","","office")</f>
        <v/>
      </c>
      <c r="D577" s="17">
        <f>IF(B577="","",Office_Log!$A177&amp;"")</f>
        <v/>
      </c>
      <c r="E577" s="17">
        <f>IF(B577="","",IF(Office_Log!B177="","",Office_Log!B177&amp;""))</f>
        <v/>
      </c>
      <c r="F577" s="17">
        <f>IF(B577="","","budget_probe")</f>
        <v/>
      </c>
      <c r="G577" s="17">
        <f>IF(B577="","",IF(ISNUMBER(Office_Log!V177),Office_Log!V177,""))</f>
        <v/>
      </c>
      <c r="H577" s="17">
        <f>IF(B577="","",IF(Office_Log!U177="","",Office_Log!U177&amp;""))</f>
        <v/>
      </c>
      <c r="I577" s="17">
        <f>IF(B577="","","")</f>
        <v/>
      </c>
      <c r="J577" s="17">
        <f>IF(B577="","",IF(AND(ISNUMBER(Office_Log!W177),N(Office_Log!W177)&gt;N(Office_Log!V177)),"range to "&amp;Office_Log!W177&amp;" per month",""))</f>
        <v/>
      </c>
      <c r="K577" t="inlineStr">
        <is>
          <t>office budget_probe</t>
        </is>
      </c>
    </row>
    <row r="578">
      <c r="A578" s="17">
        <f>IF(B578="","",B578+(3*1000+177)/10000000)</f>
        <v/>
      </c>
      <c r="B578" s="23">
        <f>IF(Office_Log!BK178=1,Office_Log!G178,"")</f>
        <v/>
      </c>
      <c r="C578" s="17">
        <f>IF(B578="","","office")</f>
        <v/>
      </c>
      <c r="D578" s="17">
        <f>IF(B578="","",Office_Log!$A178&amp;"")</f>
        <v/>
      </c>
      <c r="E578" s="17">
        <f>IF(B578="","",IF(Office_Log!B178="","",Office_Log!B178&amp;""))</f>
        <v/>
      </c>
      <c r="F578" s="17">
        <f>IF(B578="","","budget_probe")</f>
        <v/>
      </c>
      <c r="G578" s="17">
        <f>IF(B578="","",IF(ISNUMBER(Office_Log!V178),Office_Log!V178,""))</f>
        <v/>
      </c>
      <c r="H578" s="17">
        <f>IF(B578="","",IF(Office_Log!U178="","",Office_Log!U178&amp;""))</f>
        <v/>
      </c>
      <c r="I578" s="17">
        <f>IF(B578="","","")</f>
        <v/>
      </c>
      <c r="J578" s="17">
        <f>IF(B578="","",IF(AND(ISNUMBER(Office_Log!W178),N(Office_Log!W178)&gt;N(Office_Log!V178)),"range to "&amp;Office_Log!W178&amp;" per month",""))</f>
        <v/>
      </c>
      <c r="K578" t="inlineStr">
        <is>
          <t>office budget_probe</t>
        </is>
      </c>
    </row>
    <row r="579">
      <c r="A579" s="17">
        <f>IF(B579="","",B579+(3*1000+178)/10000000)</f>
        <v/>
      </c>
      <c r="B579" s="23">
        <f>IF(Office_Log!BK179=1,Office_Log!G179,"")</f>
        <v/>
      </c>
      <c r="C579" s="17">
        <f>IF(B579="","","office")</f>
        <v/>
      </c>
      <c r="D579" s="17">
        <f>IF(B579="","",Office_Log!$A179&amp;"")</f>
        <v/>
      </c>
      <c r="E579" s="17">
        <f>IF(B579="","",IF(Office_Log!B179="","",Office_Log!B179&amp;""))</f>
        <v/>
      </c>
      <c r="F579" s="17">
        <f>IF(B579="","","budget_probe")</f>
        <v/>
      </c>
      <c r="G579" s="17">
        <f>IF(B579="","",IF(ISNUMBER(Office_Log!V179),Office_Log!V179,""))</f>
        <v/>
      </c>
      <c r="H579" s="17">
        <f>IF(B579="","",IF(Office_Log!U179="","",Office_Log!U179&amp;""))</f>
        <v/>
      </c>
      <c r="I579" s="17">
        <f>IF(B579="","","")</f>
        <v/>
      </c>
      <c r="J579" s="17">
        <f>IF(B579="","",IF(AND(ISNUMBER(Office_Log!W179),N(Office_Log!W179)&gt;N(Office_Log!V179)),"range to "&amp;Office_Log!W179&amp;" per month",""))</f>
        <v/>
      </c>
      <c r="K579" t="inlineStr">
        <is>
          <t>office budget_probe</t>
        </is>
      </c>
    </row>
    <row r="580">
      <c r="A580" s="17">
        <f>IF(B580="","",B580+(3*1000+179)/10000000)</f>
        <v/>
      </c>
      <c r="B580" s="23">
        <f>IF(Office_Log!BK180=1,Office_Log!G180,"")</f>
        <v/>
      </c>
      <c r="C580" s="17">
        <f>IF(B580="","","office")</f>
        <v/>
      </c>
      <c r="D580" s="17">
        <f>IF(B580="","",Office_Log!$A180&amp;"")</f>
        <v/>
      </c>
      <c r="E580" s="17">
        <f>IF(B580="","",IF(Office_Log!B180="","",Office_Log!B180&amp;""))</f>
        <v/>
      </c>
      <c r="F580" s="17">
        <f>IF(B580="","","budget_probe")</f>
        <v/>
      </c>
      <c r="G580" s="17">
        <f>IF(B580="","",IF(ISNUMBER(Office_Log!V180),Office_Log!V180,""))</f>
        <v/>
      </c>
      <c r="H580" s="17">
        <f>IF(B580="","",IF(Office_Log!U180="","",Office_Log!U180&amp;""))</f>
        <v/>
      </c>
      <c r="I580" s="17">
        <f>IF(B580="","","")</f>
        <v/>
      </c>
      <c r="J580" s="17">
        <f>IF(B580="","",IF(AND(ISNUMBER(Office_Log!W180),N(Office_Log!W180)&gt;N(Office_Log!V180)),"range to "&amp;Office_Log!W180&amp;" per month",""))</f>
        <v/>
      </c>
      <c r="K580" t="inlineStr">
        <is>
          <t>office budget_probe</t>
        </is>
      </c>
    </row>
    <row r="581">
      <c r="A581" s="17">
        <f>IF(B581="","",B581+(3*1000+180)/10000000)</f>
        <v/>
      </c>
      <c r="B581" s="23">
        <f>IF(Office_Log!BK181=1,Office_Log!G181,"")</f>
        <v/>
      </c>
      <c r="C581" s="17">
        <f>IF(B581="","","office")</f>
        <v/>
      </c>
      <c r="D581" s="17">
        <f>IF(B581="","",Office_Log!$A181&amp;"")</f>
        <v/>
      </c>
      <c r="E581" s="17">
        <f>IF(B581="","",IF(Office_Log!B181="","",Office_Log!B181&amp;""))</f>
        <v/>
      </c>
      <c r="F581" s="17">
        <f>IF(B581="","","budget_probe")</f>
        <v/>
      </c>
      <c r="G581" s="17">
        <f>IF(B581="","",IF(ISNUMBER(Office_Log!V181),Office_Log!V181,""))</f>
        <v/>
      </c>
      <c r="H581" s="17">
        <f>IF(B581="","",IF(Office_Log!U181="","",Office_Log!U181&amp;""))</f>
        <v/>
      </c>
      <c r="I581" s="17">
        <f>IF(B581="","","")</f>
        <v/>
      </c>
      <c r="J581" s="17">
        <f>IF(B581="","",IF(AND(ISNUMBER(Office_Log!W181),N(Office_Log!W181)&gt;N(Office_Log!V181)),"range to "&amp;Office_Log!W181&amp;" per month",""))</f>
        <v/>
      </c>
      <c r="K581" t="inlineStr">
        <is>
          <t>office budget_probe</t>
        </is>
      </c>
    </row>
    <row r="582">
      <c r="A582" s="17">
        <f>IF(B582="","",B582+(3*1000+181)/10000000)</f>
        <v/>
      </c>
      <c r="B582" s="23">
        <f>IF(Office_Log!BK182=1,Office_Log!G182,"")</f>
        <v/>
      </c>
      <c r="C582" s="17">
        <f>IF(B582="","","office")</f>
        <v/>
      </c>
      <c r="D582" s="17">
        <f>IF(B582="","",Office_Log!$A182&amp;"")</f>
        <v/>
      </c>
      <c r="E582" s="17">
        <f>IF(B582="","",IF(Office_Log!B182="","",Office_Log!B182&amp;""))</f>
        <v/>
      </c>
      <c r="F582" s="17">
        <f>IF(B582="","","budget_probe")</f>
        <v/>
      </c>
      <c r="G582" s="17">
        <f>IF(B582="","",IF(ISNUMBER(Office_Log!V182),Office_Log!V182,""))</f>
        <v/>
      </c>
      <c r="H582" s="17">
        <f>IF(B582="","",IF(Office_Log!U182="","",Office_Log!U182&amp;""))</f>
        <v/>
      </c>
      <c r="I582" s="17">
        <f>IF(B582="","","")</f>
        <v/>
      </c>
      <c r="J582" s="17">
        <f>IF(B582="","",IF(AND(ISNUMBER(Office_Log!W182),N(Office_Log!W182)&gt;N(Office_Log!V182)),"range to "&amp;Office_Log!W182&amp;" per month",""))</f>
        <v/>
      </c>
      <c r="K582" t="inlineStr">
        <is>
          <t>office budget_probe</t>
        </is>
      </c>
    </row>
    <row r="583">
      <c r="A583" s="17">
        <f>IF(B583="","",B583+(3*1000+182)/10000000)</f>
        <v/>
      </c>
      <c r="B583" s="23">
        <f>IF(Office_Log!BK183=1,Office_Log!G183,"")</f>
        <v/>
      </c>
      <c r="C583" s="17">
        <f>IF(B583="","","office")</f>
        <v/>
      </c>
      <c r="D583" s="17">
        <f>IF(B583="","",Office_Log!$A183&amp;"")</f>
        <v/>
      </c>
      <c r="E583" s="17">
        <f>IF(B583="","",IF(Office_Log!B183="","",Office_Log!B183&amp;""))</f>
        <v/>
      </c>
      <c r="F583" s="17">
        <f>IF(B583="","","budget_probe")</f>
        <v/>
      </c>
      <c r="G583" s="17">
        <f>IF(B583="","",IF(ISNUMBER(Office_Log!V183),Office_Log!V183,""))</f>
        <v/>
      </c>
      <c r="H583" s="17">
        <f>IF(B583="","",IF(Office_Log!U183="","",Office_Log!U183&amp;""))</f>
        <v/>
      </c>
      <c r="I583" s="17">
        <f>IF(B583="","","")</f>
        <v/>
      </c>
      <c r="J583" s="17">
        <f>IF(B583="","",IF(AND(ISNUMBER(Office_Log!W183),N(Office_Log!W183)&gt;N(Office_Log!V183)),"range to "&amp;Office_Log!W183&amp;" per month",""))</f>
        <v/>
      </c>
      <c r="K583" t="inlineStr">
        <is>
          <t>office budget_probe</t>
        </is>
      </c>
    </row>
    <row r="584">
      <c r="A584" s="17">
        <f>IF(B584="","",B584+(3*1000+183)/10000000)</f>
        <v/>
      </c>
      <c r="B584" s="23">
        <f>IF(Office_Log!BK184=1,Office_Log!G184,"")</f>
        <v/>
      </c>
      <c r="C584" s="17">
        <f>IF(B584="","","office")</f>
        <v/>
      </c>
      <c r="D584" s="17">
        <f>IF(B584="","",Office_Log!$A184&amp;"")</f>
        <v/>
      </c>
      <c r="E584" s="17">
        <f>IF(B584="","",IF(Office_Log!B184="","",Office_Log!B184&amp;""))</f>
        <v/>
      </c>
      <c r="F584" s="17">
        <f>IF(B584="","","budget_probe")</f>
        <v/>
      </c>
      <c r="G584" s="17">
        <f>IF(B584="","",IF(ISNUMBER(Office_Log!V184),Office_Log!V184,""))</f>
        <v/>
      </c>
      <c r="H584" s="17">
        <f>IF(B584="","",IF(Office_Log!U184="","",Office_Log!U184&amp;""))</f>
        <v/>
      </c>
      <c r="I584" s="17">
        <f>IF(B584="","","")</f>
        <v/>
      </c>
      <c r="J584" s="17">
        <f>IF(B584="","",IF(AND(ISNUMBER(Office_Log!W184),N(Office_Log!W184)&gt;N(Office_Log!V184)),"range to "&amp;Office_Log!W184&amp;" per month",""))</f>
        <v/>
      </c>
      <c r="K584" t="inlineStr">
        <is>
          <t>office budget_probe</t>
        </is>
      </c>
    </row>
    <row r="585">
      <c r="A585" s="17">
        <f>IF(B585="","",B585+(3*1000+184)/10000000)</f>
        <v/>
      </c>
      <c r="B585" s="23">
        <f>IF(Office_Log!BK185=1,Office_Log!G185,"")</f>
        <v/>
      </c>
      <c r="C585" s="17">
        <f>IF(B585="","","office")</f>
        <v/>
      </c>
      <c r="D585" s="17">
        <f>IF(B585="","",Office_Log!$A185&amp;"")</f>
        <v/>
      </c>
      <c r="E585" s="17">
        <f>IF(B585="","",IF(Office_Log!B185="","",Office_Log!B185&amp;""))</f>
        <v/>
      </c>
      <c r="F585" s="17">
        <f>IF(B585="","","budget_probe")</f>
        <v/>
      </c>
      <c r="G585" s="17">
        <f>IF(B585="","",IF(ISNUMBER(Office_Log!V185),Office_Log!V185,""))</f>
        <v/>
      </c>
      <c r="H585" s="17">
        <f>IF(B585="","",IF(Office_Log!U185="","",Office_Log!U185&amp;""))</f>
        <v/>
      </c>
      <c r="I585" s="17">
        <f>IF(B585="","","")</f>
        <v/>
      </c>
      <c r="J585" s="17">
        <f>IF(B585="","",IF(AND(ISNUMBER(Office_Log!W185),N(Office_Log!W185)&gt;N(Office_Log!V185)),"range to "&amp;Office_Log!W185&amp;" per month",""))</f>
        <v/>
      </c>
      <c r="K585" t="inlineStr">
        <is>
          <t>office budget_probe</t>
        </is>
      </c>
    </row>
    <row r="586">
      <c r="A586" s="17">
        <f>IF(B586="","",B586+(3*1000+185)/10000000)</f>
        <v/>
      </c>
      <c r="B586" s="23">
        <f>IF(Office_Log!BK186=1,Office_Log!G186,"")</f>
        <v/>
      </c>
      <c r="C586" s="17">
        <f>IF(B586="","","office")</f>
        <v/>
      </c>
      <c r="D586" s="17">
        <f>IF(B586="","",Office_Log!$A186&amp;"")</f>
        <v/>
      </c>
      <c r="E586" s="17">
        <f>IF(B586="","",IF(Office_Log!B186="","",Office_Log!B186&amp;""))</f>
        <v/>
      </c>
      <c r="F586" s="17">
        <f>IF(B586="","","budget_probe")</f>
        <v/>
      </c>
      <c r="G586" s="17">
        <f>IF(B586="","",IF(ISNUMBER(Office_Log!V186),Office_Log!V186,""))</f>
        <v/>
      </c>
      <c r="H586" s="17">
        <f>IF(B586="","",IF(Office_Log!U186="","",Office_Log!U186&amp;""))</f>
        <v/>
      </c>
      <c r="I586" s="17">
        <f>IF(B586="","","")</f>
        <v/>
      </c>
      <c r="J586" s="17">
        <f>IF(B586="","",IF(AND(ISNUMBER(Office_Log!W186),N(Office_Log!W186)&gt;N(Office_Log!V186)),"range to "&amp;Office_Log!W186&amp;" per month",""))</f>
        <v/>
      </c>
      <c r="K586" t="inlineStr">
        <is>
          <t>office budget_probe</t>
        </is>
      </c>
    </row>
    <row r="587">
      <c r="A587" s="17">
        <f>IF(B587="","",B587+(3*1000+186)/10000000)</f>
        <v/>
      </c>
      <c r="B587" s="23">
        <f>IF(Office_Log!BK187=1,Office_Log!G187,"")</f>
        <v/>
      </c>
      <c r="C587" s="17">
        <f>IF(B587="","","office")</f>
        <v/>
      </c>
      <c r="D587" s="17">
        <f>IF(B587="","",Office_Log!$A187&amp;"")</f>
        <v/>
      </c>
      <c r="E587" s="17">
        <f>IF(B587="","",IF(Office_Log!B187="","",Office_Log!B187&amp;""))</f>
        <v/>
      </c>
      <c r="F587" s="17">
        <f>IF(B587="","","budget_probe")</f>
        <v/>
      </c>
      <c r="G587" s="17">
        <f>IF(B587="","",IF(ISNUMBER(Office_Log!V187),Office_Log!V187,""))</f>
        <v/>
      </c>
      <c r="H587" s="17">
        <f>IF(B587="","",IF(Office_Log!U187="","",Office_Log!U187&amp;""))</f>
        <v/>
      </c>
      <c r="I587" s="17">
        <f>IF(B587="","","")</f>
        <v/>
      </c>
      <c r="J587" s="17">
        <f>IF(B587="","",IF(AND(ISNUMBER(Office_Log!W187),N(Office_Log!W187)&gt;N(Office_Log!V187)),"range to "&amp;Office_Log!W187&amp;" per month",""))</f>
        <v/>
      </c>
      <c r="K587" t="inlineStr">
        <is>
          <t>office budget_probe</t>
        </is>
      </c>
    </row>
    <row r="588">
      <c r="A588" s="17">
        <f>IF(B588="","",B588+(3*1000+187)/10000000)</f>
        <v/>
      </c>
      <c r="B588" s="23">
        <f>IF(Office_Log!BK188=1,Office_Log!G188,"")</f>
        <v/>
      </c>
      <c r="C588" s="17">
        <f>IF(B588="","","office")</f>
        <v/>
      </c>
      <c r="D588" s="17">
        <f>IF(B588="","",Office_Log!$A188&amp;"")</f>
        <v/>
      </c>
      <c r="E588" s="17">
        <f>IF(B588="","",IF(Office_Log!B188="","",Office_Log!B188&amp;""))</f>
        <v/>
      </c>
      <c r="F588" s="17">
        <f>IF(B588="","","budget_probe")</f>
        <v/>
      </c>
      <c r="G588" s="17">
        <f>IF(B588="","",IF(ISNUMBER(Office_Log!V188),Office_Log!V188,""))</f>
        <v/>
      </c>
      <c r="H588" s="17">
        <f>IF(B588="","",IF(Office_Log!U188="","",Office_Log!U188&amp;""))</f>
        <v/>
      </c>
      <c r="I588" s="17">
        <f>IF(B588="","","")</f>
        <v/>
      </c>
      <c r="J588" s="17">
        <f>IF(B588="","",IF(AND(ISNUMBER(Office_Log!W188),N(Office_Log!W188)&gt;N(Office_Log!V188)),"range to "&amp;Office_Log!W188&amp;" per month",""))</f>
        <v/>
      </c>
      <c r="K588" t="inlineStr">
        <is>
          <t>office budget_probe</t>
        </is>
      </c>
    </row>
    <row r="589">
      <c r="A589" s="17">
        <f>IF(B589="","",B589+(3*1000+188)/10000000)</f>
        <v/>
      </c>
      <c r="B589" s="23">
        <f>IF(Office_Log!BK189=1,Office_Log!G189,"")</f>
        <v/>
      </c>
      <c r="C589" s="17">
        <f>IF(B589="","","office")</f>
        <v/>
      </c>
      <c r="D589" s="17">
        <f>IF(B589="","",Office_Log!$A189&amp;"")</f>
        <v/>
      </c>
      <c r="E589" s="17">
        <f>IF(B589="","",IF(Office_Log!B189="","",Office_Log!B189&amp;""))</f>
        <v/>
      </c>
      <c r="F589" s="17">
        <f>IF(B589="","","budget_probe")</f>
        <v/>
      </c>
      <c r="G589" s="17">
        <f>IF(B589="","",IF(ISNUMBER(Office_Log!V189),Office_Log!V189,""))</f>
        <v/>
      </c>
      <c r="H589" s="17">
        <f>IF(B589="","",IF(Office_Log!U189="","",Office_Log!U189&amp;""))</f>
        <v/>
      </c>
      <c r="I589" s="17">
        <f>IF(B589="","","")</f>
        <v/>
      </c>
      <c r="J589" s="17">
        <f>IF(B589="","",IF(AND(ISNUMBER(Office_Log!W189),N(Office_Log!W189)&gt;N(Office_Log!V189)),"range to "&amp;Office_Log!W189&amp;" per month",""))</f>
        <v/>
      </c>
      <c r="K589" t="inlineStr">
        <is>
          <t>office budget_probe</t>
        </is>
      </c>
    </row>
    <row r="590">
      <c r="A590" s="17">
        <f>IF(B590="","",B590+(3*1000+189)/10000000)</f>
        <v/>
      </c>
      <c r="B590" s="23">
        <f>IF(Office_Log!BK190=1,Office_Log!G190,"")</f>
        <v/>
      </c>
      <c r="C590" s="17">
        <f>IF(B590="","","office")</f>
        <v/>
      </c>
      <c r="D590" s="17">
        <f>IF(B590="","",Office_Log!$A190&amp;"")</f>
        <v/>
      </c>
      <c r="E590" s="17">
        <f>IF(B590="","",IF(Office_Log!B190="","",Office_Log!B190&amp;""))</f>
        <v/>
      </c>
      <c r="F590" s="17">
        <f>IF(B590="","","budget_probe")</f>
        <v/>
      </c>
      <c r="G590" s="17">
        <f>IF(B590="","",IF(ISNUMBER(Office_Log!V190),Office_Log!V190,""))</f>
        <v/>
      </c>
      <c r="H590" s="17">
        <f>IF(B590="","",IF(Office_Log!U190="","",Office_Log!U190&amp;""))</f>
        <v/>
      </c>
      <c r="I590" s="17">
        <f>IF(B590="","","")</f>
        <v/>
      </c>
      <c r="J590" s="17">
        <f>IF(B590="","",IF(AND(ISNUMBER(Office_Log!W190),N(Office_Log!W190)&gt;N(Office_Log!V190)),"range to "&amp;Office_Log!W190&amp;" per month",""))</f>
        <v/>
      </c>
      <c r="K590" t="inlineStr">
        <is>
          <t>office budget_probe</t>
        </is>
      </c>
    </row>
    <row r="591">
      <c r="A591" s="17">
        <f>IF(B591="","",B591+(3*1000+190)/10000000)</f>
        <v/>
      </c>
      <c r="B591" s="23">
        <f>IF(Office_Log!BK191=1,Office_Log!G191,"")</f>
        <v/>
      </c>
      <c r="C591" s="17">
        <f>IF(B591="","","office")</f>
        <v/>
      </c>
      <c r="D591" s="17">
        <f>IF(B591="","",Office_Log!$A191&amp;"")</f>
        <v/>
      </c>
      <c r="E591" s="17">
        <f>IF(B591="","",IF(Office_Log!B191="","",Office_Log!B191&amp;""))</f>
        <v/>
      </c>
      <c r="F591" s="17">
        <f>IF(B591="","","budget_probe")</f>
        <v/>
      </c>
      <c r="G591" s="17">
        <f>IF(B591="","",IF(ISNUMBER(Office_Log!V191),Office_Log!V191,""))</f>
        <v/>
      </c>
      <c r="H591" s="17">
        <f>IF(B591="","",IF(Office_Log!U191="","",Office_Log!U191&amp;""))</f>
        <v/>
      </c>
      <c r="I591" s="17">
        <f>IF(B591="","","")</f>
        <v/>
      </c>
      <c r="J591" s="17">
        <f>IF(B591="","",IF(AND(ISNUMBER(Office_Log!W191),N(Office_Log!W191)&gt;N(Office_Log!V191)),"range to "&amp;Office_Log!W191&amp;" per month",""))</f>
        <v/>
      </c>
      <c r="K591" t="inlineStr">
        <is>
          <t>office budget_probe</t>
        </is>
      </c>
    </row>
    <row r="592">
      <c r="A592" s="17">
        <f>IF(B592="","",B592+(3*1000+191)/10000000)</f>
        <v/>
      </c>
      <c r="B592" s="23">
        <f>IF(Office_Log!BK192=1,Office_Log!G192,"")</f>
        <v/>
      </c>
      <c r="C592" s="17">
        <f>IF(B592="","","office")</f>
        <v/>
      </c>
      <c r="D592" s="17">
        <f>IF(B592="","",Office_Log!$A192&amp;"")</f>
        <v/>
      </c>
      <c r="E592" s="17">
        <f>IF(B592="","",IF(Office_Log!B192="","",Office_Log!B192&amp;""))</f>
        <v/>
      </c>
      <c r="F592" s="17">
        <f>IF(B592="","","budget_probe")</f>
        <v/>
      </c>
      <c r="G592" s="17">
        <f>IF(B592="","",IF(ISNUMBER(Office_Log!V192),Office_Log!V192,""))</f>
        <v/>
      </c>
      <c r="H592" s="17">
        <f>IF(B592="","",IF(Office_Log!U192="","",Office_Log!U192&amp;""))</f>
        <v/>
      </c>
      <c r="I592" s="17">
        <f>IF(B592="","","")</f>
        <v/>
      </c>
      <c r="J592" s="17">
        <f>IF(B592="","",IF(AND(ISNUMBER(Office_Log!W192),N(Office_Log!W192)&gt;N(Office_Log!V192)),"range to "&amp;Office_Log!W192&amp;" per month",""))</f>
        <v/>
      </c>
      <c r="K592" t="inlineStr">
        <is>
          <t>office budget_probe</t>
        </is>
      </c>
    </row>
    <row r="593">
      <c r="A593" s="17">
        <f>IF(B593="","",B593+(3*1000+192)/10000000)</f>
        <v/>
      </c>
      <c r="B593" s="23">
        <f>IF(Office_Log!BK193=1,Office_Log!G193,"")</f>
        <v/>
      </c>
      <c r="C593" s="17">
        <f>IF(B593="","","office")</f>
        <v/>
      </c>
      <c r="D593" s="17">
        <f>IF(B593="","",Office_Log!$A193&amp;"")</f>
        <v/>
      </c>
      <c r="E593" s="17">
        <f>IF(B593="","",IF(Office_Log!B193="","",Office_Log!B193&amp;""))</f>
        <v/>
      </c>
      <c r="F593" s="17">
        <f>IF(B593="","","budget_probe")</f>
        <v/>
      </c>
      <c r="G593" s="17">
        <f>IF(B593="","",IF(ISNUMBER(Office_Log!V193),Office_Log!V193,""))</f>
        <v/>
      </c>
      <c r="H593" s="17">
        <f>IF(B593="","",IF(Office_Log!U193="","",Office_Log!U193&amp;""))</f>
        <v/>
      </c>
      <c r="I593" s="17">
        <f>IF(B593="","","")</f>
        <v/>
      </c>
      <c r="J593" s="17">
        <f>IF(B593="","",IF(AND(ISNUMBER(Office_Log!W193),N(Office_Log!W193)&gt;N(Office_Log!V193)),"range to "&amp;Office_Log!W193&amp;" per month",""))</f>
        <v/>
      </c>
      <c r="K593" t="inlineStr">
        <is>
          <t>office budget_probe</t>
        </is>
      </c>
    </row>
    <row r="594">
      <c r="A594" s="17">
        <f>IF(B594="","",B594+(3*1000+193)/10000000)</f>
        <v/>
      </c>
      <c r="B594" s="23">
        <f>IF(Office_Log!BK194=1,Office_Log!G194,"")</f>
        <v/>
      </c>
      <c r="C594" s="17">
        <f>IF(B594="","","office")</f>
        <v/>
      </c>
      <c r="D594" s="17">
        <f>IF(B594="","",Office_Log!$A194&amp;"")</f>
        <v/>
      </c>
      <c r="E594" s="17">
        <f>IF(B594="","",IF(Office_Log!B194="","",Office_Log!B194&amp;""))</f>
        <v/>
      </c>
      <c r="F594" s="17">
        <f>IF(B594="","","budget_probe")</f>
        <v/>
      </c>
      <c r="G594" s="17">
        <f>IF(B594="","",IF(ISNUMBER(Office_Log!V194),Office_Log!V194,""))</f>
        <v/>
      </c>
      <c r="H594" s="17">
        <f>IF(B594="","",IF(Office_Log!U194="","",Office_Log!U194&amp;""))</f>
        <v/>
      </c>
      <c r="I594" s="17">
        <f>IF(B594="","","")</f>
        <v/>
      </c>
      <c r="J594" s="17">
        <f>IF(B594="","",IF(AND(ISNUMBER(Office_Log!W194),N(Office_Log!W194)&gt;N(Office_Log!V194)),"range to "&amp;Office_Log!W194&amp;" per month",""))</f>
        <v/>
      </c>
      <c r="K594" t="inlineStr">
        <is>
          <t>office budget_probe</t>
        </is>
      </c>
    </row>
    <row r="595">
      <c r="A595" s="17">
        <f>IF(B595="","",B595+(3*1000+194)/10000000)</f>
        <v/>
      </c>
      <c r="B595" s="23">
        <f>IF(Office_Log!BK195=1,Office_Log!G195,"")</f>
        <v/>
      </c>
      <c r="C595" s="17">
        <f>IF(B595="","","office")</f>
        <v/>
      </c>
      <c r="D595" s="17">
        <f>IF(B595="","",Office_Log!$A195&amp;"")</f>
        <v/>
      </c>
      <c r="E595" s="17">
        <f>IF(B595="","",IF(Office_Log!B195="","",Office_Log!B195&amp;""))</f>
        <v/>
      </c>
      <c r="F595" s="17">
        <f>IF(B595="","","budget_probe")</f>
        <v/>
      </c>
      <c r="G595" s="17">
        <f>IF(B595="","",IF(ISNUMBER(Office_Log!V195),Office_Log!V195,""))</f>
        <v/>
      </c>
      <c r="H595" s="17">
        <f>IF(B595="","",IF(Office_Log!U195="","",Office_Log!U195&amp;""))</f>
        <v/>
      </c>
      <c r="I595" s="17">
        <f>IF(B595="","","")</f>
        <v/>
      </c>
      <c r="J595" s="17">
        <f>IF(B595="","",IF(AND(ISNUMBER(Office_Log!W195),N(Office_Log!W195)&gt;N(Office_Log!V195)),"range to "&amp;Office_Log!W195&amp;" per month",""))</f>
        <v/>
      </c>
      <c r="K595" t="inlineStr">
        <is>
          <t>office budget_probe</t>
        </is>
      </c>
    </row>
    <row r="596">
      <c r="A596" s="17">
        <f>IF(B596="","",B596+(3*1000+195)/10000000)</f>
        <v/>
      </c>
      <c r="B596" s="23">
        <f>IF(Office_Log!BK196=1,Office_Log!G196,"")</f>
        <v/>
      </c>
      <c r="C596" s="17">
        <f>IF(B596="","","office")</f>
        <v/>
      </c>
      <c r="D596" s="17">
        <f>IF(B596="","",Office_Log!$A196&amp;"")</f>
        <v/>
      </c>
      <c r="E596" s="17">
        <f>IF(B596="","",IF(Office_Log!B196="","",Office_Log!B196&amp;""))</f>
        <v/>
      </c>
      <c r="F596" s="17">
        <f>IF(B596="","","budget_probe")</f>
        <v/>
      </c>
      <c r="G596" s="17">
        <f>IF(B596="","",IF(ISNUMBER(Office_Log!V196),Office_Log!V196,""))</f>
        <v/>
      </c>
      <c r="H596" s="17">
        <f>IF(B596="","",IF(Office_Log!U196="","",Office_Log!U196&amp;""))</f>
        <v/>
      </c>
      <c r="I596" s="17">
        <f>IF(B596="","","")</f>
        <v/>
      </c>
      <c r="J596" s="17">
        <f>IF(B596="","",IF(AND(ISNUMBER(Office_Log!W196),N(Office_Log!W196)&gt;N(Office_Log!V196)),"range to "&amp;Office_Log!W196&amp;" per month",""))</f>
        <v/>
      </c>
      <c r="K596" t="inlineStr">
        <is>
          <t>office budget_probe</t>
        </is>
      </c>
    </row>
    <row r="597">
      <c r="A597" s="17">
        <f>IF(B597="","",B597+(3*1000+196)/10000000)</f>
        <v/>
      </c>
      <c r="B597" s="23">
        <f>IF(Office_Log!BK197=1,Office_Log!G197,"")</f>
        <v/>
      </c>
      <c r="C597" s="17">
        <f>IF(B597="","","office")</f>
        <v/>
      </c>
      <c r="D597" s="17">
        <f>IF(B597="","",Office_Log!$A197&amp;"")</f>
        <v/>
      </c>
      <c r="E597" s="17">
        <f>IF(B597="","",IF(Office_Log!B197="","",Office_Log!B197&amp;""))</f>
        <v/>
      </c>
      <c r="F597" s="17">
        <f>IF(B597="","","budget_probe")</f>
        <v/>
      </c>
      <c r="G597" s="17">
        <f>IF(B597="","",IF(ISNUMBER(Office_Log!V197),Office_Log!V197,""))</f>
        <v/>
      </c>
      <c r="H597" s="17">
        <f>IF(B597="","",IF(Office_Log!U197="","",Office_Log!U197&amp;""))</f>
        <v/>
      </c>
      <c r="I597" s="17">
        <f>IF(B597="","","")</f>
        <v/>
      </c>
      <c r="J597" s="17">
        <f>IF(B597="","",IF(AND(ISNUMBER(Office_Log!W197),N(Office_Log!W197)&gt;N(Office_Log!V197)),"range to "&amp;Office_Log!W197&amp;" per month",""))</f>
        <v/>
      </c>
      <c r="K597" t="inlineStr">
        <is>
          <t>office budget_probe</t>
        </is>
      </c>
    </row>
    <row r="598">
      <c r="A598" s="17">
        <f>IF(B598="","",B598+(3*1000+197)/10000000)</f>
        <v/>
      </c>
      <c r="B598" s="23">
        <f>IF(Office_Log!BK198=1,Office_Log!G198,"")</f>
        <v/>
      </c>
      <c r="C598" s="17">
        <f>IF(B598="","","office")</f>
        <v/>
      </c>
      <c r="D598" s="17">
        <f>IF(B598="","",Office_Log!$A198&amp;"")</f>
        <v/>
      </c>
      <c r="E598" s="17">
        <f>IF(B598="","",IF(Office_Log!B198="","",Office_Log!B198&amp;""))</f>
        <v/>
      </c>
      <c r="F598" s="17">
        <f>IF(B598="","","budget_probe")</f>
        <v/>
      </c>
      <c r="G598" s="17">
        <f>IF(B598="","",IF(ISNUMBER(Office_Log!V198),Office_Log!V198,""))</f>
        <v/>
      </c>
      <c r="H598" s="17">
        <f>IF(B598="","",IF(Office_Log!U198="","",Office_Log!U198&amp;""))</f>
        <v/>
      </c>
      <c r="I598" s="17">
        <f>IF(B598="","","")</f>
        <v/>
      </c>
      <c r="J598" s="17">
        <f>IF(B598="","",IF(AND(ISNUMBER(Office_Log!W198),N(Office_Log!W198)&gt;N(Office_Log!V198)),"range to "&amp;Office_Log!W198&amp;" per month",""))</f>
        <v/>
      </c>
      <c r="K598" t="inlineStr">
        <is>
          <t>office budget_probe</t>
        </is>
      </c>
    </row>
    <row r="599">
      <c r="A599" s="17">
        <f>IF(B599="","",B599+(3*1000+198)/10000000)</f>
        <v/>
      </c>
      <c r="B599" s="23">
        <f>IF(Office_Log!BK199=1,Office_Log!G199,"")</f>
        <v/>
      </c>
      <c r="C599" s="17">
        <f>IF(B599="","","office")</f>
        <v/>
      </c>
      <c r="D599" s="17">
        <f>IF(B599="","",Office_Log!$A199&amp;"")</f>
        <v/>
      </c>
      <c r="E599" s="17">
        <f>IF(B599="","",IF(Office_Log!B199="","",Office_Log!B199&amp;""))</f>
        <v/>
      </c>
      <c r="F599" s="17">
        <f>IF(B599="","","budget_probe")</f>
        <v/>
      </c>
      <c r="G599" s="17">
        <f>IF(B599="","",IF(ISNUMBER(Office_Log!V199),Office_Log!V199,""))</f>
        <v/>
      </c>
      <c r="H599" s="17">
        <f>IF(B599="","",IF(Office_Log!U199="","",Office_Log!U199&amp;""))</f>
        <v/>
      </c>
      <c r="I599" s="17">
        <f>IF(B599="","","")</f>
        <v/>
      </c>
      <c r="J599" s="17">
        <f>IF(B599="","",IF(AND(ISNUMBER(Office_Log!W199),N(Office_Log!W199)&gt;N(Office_Log!V199)),"range to "&amp;Office_Log!W199&amp;" per month",""))</f>
        <v/>
      </c>
      <c r="K599" t="inlineStr">
        <is>
          <t>office budget_probe</t>
        </is>
      </c>
    </row>
    <row r="600">
      <c r="A600" s="17">
        <f>IF(B600="","",B600+(3*1000+199)/10000000)</f>
        <v/>
      </c>
      <c r="B600" s="23">
        <f>IF(Office_Log!BK200=1,Office_Log!G200,"")</f>
        <v/>
      </c>
      <c r="C600" s="17">
        <f>IF(B600="","","office")</f>
        <v/>
      </c>
      <c r="D600" s="17">
        <f>IF(B600="","",Office_Log!$A200&amp;"")</f>
        <v/>
      </c>
      <c r="E600" s="17">
        <f>IF(B600="","",IF(Office_Log!B200="","",Office_Log!B200&amp;""))</f>
        <v/>
      </c>
      <c r="F600" s="17">
        <f>IF(B600="","","budget_probe")</f>
        <v/>
      </c>
      <c r="G600" s="17">
        <f>IF(B600="","",IF(ISNUMBER(Office_Log!V200),Office_Log!V200,""))</f>
        <v/>
      </c>
      <c r="H600" s="17">
        <f>IF(B600="","",IF(Office_Log!U200="","",Office_Log!U200&amp;""))</f>
        <v/>
      </c>
      <c r="I600" s="17">
        <f>IF(B600="","","")</f>
        <v/>
      </c>
      <c r="J600" s="17">
        <f>IF(B600="","",IF(AND(ISNUMBER(Office_Log!W200),N(Office_Log!W200)&gt;N(Office_Log!V200)),"range to "&amp;Office_Log!W200&amp;" per month",""))</f>
        <v/>
      </c>
      <c r="K600" t="inlineStr">
        <is>
          <t>office budget_probe</t>
        </is>
      </c>
    </row>
    <row r="601">
      <c r="A601" s="17">
        <f>IF(B601="","",B601+(3*1000+200)/10000000)</f>
        <v/>
      </c>
      <c r="B601" s="23">
        <f>IF(Office_Log!BK201=1,Office_Log!G201,"")</f>
        <v/>
      </c>
      <c r="C601" s="17">
        <f>IF(B601="","","office")</f>
        <v/>
      </c>
      <c r="D601" s="17">
        <f>IF(B601="","",Office_Log!$A201&amp;"")</f>
        <v/>
      </c>
      <c r="E601" s="17">
        <f>IF(B601="","",IF(Office_Log!B201="","",Office_Log!B201&amp;""))</f>
        <v/>
      </c>
      <c r="F601" s="17">
        <f>IF(B601="","","budget_probe")</f>
        <v/>
      </c>
      <c r="G601" s="17">
        <f>IF(B601="","",IF(ISNUMBER(Office_Log!V201),Office_Log!V201,""))</f>
        <v/>
      </c>
      <c r="H601" s="17">
        <f>IF(B601="","",IF(Office_Log!U201="","",Office_Log!U201&amp;""))</f>
        <v/>
      </c>
      <c r="I601" s="17">
        <f>IF(B601="","","")</f>
        <v/>
      </c>
      <c r="J601" s="17">
        <f>IF(B601="","",IF(AND(ISNUMBER(Office_Log!W201),N(Office_Log!W201)&gt;N(Office_Log!V201)),"range to "&amp;Office_Log!W201&amp;" per month",""))</f>
        <v/>
      </c>
      <c r="K601" t="inlineStr">
        <is>
          <t>office budget_probe</t>
        </is>
      </c>
    </row>
    <row r="602">
      <c r="A602" s="17">
        <f>IF(B602="","",B602+(4*1000+1)/10000000)</f>
        <v/>
      </c>
      <c r="B602" s="23">
        <f>IF(Brand_Log!AN2=1,Brand_Log!G2,"")</f>
        <v/>
      </c>
      <c r="C602" s="17">
        <f>IF(B602="","","brand")</f>
        <v/>
      </c>
      <c r="D602" s="17">
        <f>IF(B602="","",Brand_Log!$A2&amp;"")</f>
        <v/>
      </c>
      <c r="E602" s="17">
        <f>IF(B602="","",IF(Brand_Log!B2="","",Brand_Log!B2&amp;""))</f>
        <v/>
      </c>
      <c r="F602" s="17">
        <f>IF(B602="","","conversation")</f>
        <v/>
      </c>
      <c r="G602" s="17">
        <f>IF(B602="","","")</f>
        <v/>
      </c>
      <c r="H602" s="17">
        <f>IF(B602="","","")</f>
        <v/>
      </c>
      <c r="I602" s="17">
        <f>IF(B602="","","")</f>
        <v/>
      </c>
      <c r="J602" s="17">
        <f>IF(B602="","",IF(Brand_Log!H2="","",Brand_Log!H2&amp;""))</f>
        <v/>
      </c>
      <c r="K602" t="inlineStr">
        <is>
          <t>brand conversation</t>
        </is>
      </c>
    </row>
    <row r="603">
      <c r="A603" s="17">
        <f>IF(B603="","",B603+(4*1000+2)/10000000)</f>
        <v/>
      </c>
      <c r="B603" s="23">
        <f>IF(Brand_Log!AN3=1,Brand_Log!G3,"")</f>
        <v/>
      </c>
      <c r="C603" s="17">
        <f>IF(B603="","","brand")</f>
        <v/>
      </c>
      <c r="D603" s="17">
        <f>IF(B603="","",Brand_Log!$A3&amp;"")</f>
        <v/>
      </c>
      <c r="E603" s="17">
        <f>IF(B603="","",IF(Brand_Log!B3="","",Brand_Log!B3&amp;""))</f>
        <v/>
      </c>
      <c r="F603" s="17">
        <f>IF(B603="","","conversation")</f>
        <v/>
      </c>
      <c r="G603" s="17">
        <f>IF(B603="","","")</f>
        <v/>
      </c>
      <c r="H603" s="17">
        <f>IF(B603="","","")</f>
        <v/>
      </c>
      <c r="I603" s="17">
        <f>IF(B603="","","")</f>
        <v/>
      </c>
      <c r="J603" s="17">
        <f>IF(B603="","",IF(Brand_Log!H3="","",Brand_Log!H3&amp;""))</f>
        <v/>
      </c>
      <c r="K603" t="inlineStr">
        <is>
          <t>brand conversation</t>
        </is>
      </c>
    </row>
    <row r="604">
      <c r="A604" s="17">
        <f>IF(B604="","",B604+(4*1000+3)/10000000)</f>
        <v/>
      </c>
      <c r="B604" s="23">
        <f>IF(Brand_Log!AN4=1,Brand_Log!G4,"")</f>
        <v/>
      </c>
      <c r="C604" s="17">
        <f>IF(B604="","","brand")</f>
        <v/>
      </c>
      <c r="D604" s="17">
        <f>IF(B604="","",Brand_Log!$A4&amp;"")</f>
        <v/>
      </c>
      <c r="E604" s="17">
        <f>IF(B604="","",IF(Brand_Log!B4="","",Brand_Log!B4&amp;""))</f>
        <v/>
      </c>
      <c r="F604" s="17">
        <f>IF(B604="","","conversation")</f>
        <v/>
      </c>
      <c r="G604" s="17">
        <f>IF(B604="","","")</f>
        <v/>
      </c>
      <c r="H604" s="17">
        <f>IF(B604="","","")</f>
        <v/>
      </c>
      <c r="I604" s="17">
        <f>IF(B604="","","")</f>
        <v/>
      </c>
      <c r="J604" s="17">
        <f>IF(B604="","",IF(Brand_Log!H4="","",Brand_Log!H4&amp;""))</f>
        <v/>
      </c>
      <c r="K604" t="inlineStr">
        <is>
          <t>brand conversation</t>
        </is>
      </c>
    </row>
    <row r="605">
      <c r="A605" s="17">
        <f>IF(B605="","",B605+(4*1000+4)/10000000)</f>
        <v/>
      </c>
      <c r="B605" s="23">
        <f>IF(Brand_Log!AN5=1,Brand_Log!G5,"")</f>
        <v/>
      </c>
      <c r="C605" s="17">
        <f>IF(B605="","","brand")</f>
        <v/>
      </c>
      <c r="D605" s="17">
        <f>IF(B605="","",Brand_Log!$A5&amp;"")</f>
        <v/>
      </c>
      <c r="E605" s="17">
        <f>IF(B605="","",IF(Brand_Log!B5="","",Brand_Log!B5&amp;""))</f>
        <v/>
      </c>
      <c r="F605" s="17">
        <f>IF(B605="","","conversation")</f>
        <v/>
      </c>
      <c r="G605" s="17">
        <f>IF(B605="","","")</f>
        <v/>
      </c>
      <c r="H605" s="17">
        <f>IF(B605="","","")</f>
        <v/>
      </c>
      <c r="I605" s="17">
        <f>IF(B605="","","")</f>
        <v/>
      </c>
      <c r="J605" s="17">
        <f>IF(B605="","",IF(Brand_Log!H5="","",Brand_Log!H5&amp;""))</f>
        <v/>
      </c>
      <c r="K605" t="inlineStr">
        <is>
          <t>brand conversation</t>
        </is>
      </c>
    </row>
    <row r="606">
      <c r="A606" s="17">
        <f>IF(B606="","",B606+(4*1000+5)/10000000)</f>
        <v/>
      </c>
      <c r="B606" s="23">
        <f>IF(Brand_Log!AN6=1,Brand_Log!G6,"")</f>
        <v/>
      </c>
      <c r="C606" s="17">
        <f>IF(B606="","","brand")</f>
        <v/>
      </c>
      <c r="D606" s="17">
        <f>IF(B606="","",Brand_Log!$A6&amp;"")</f>
        <v/>
      </c>
      <c r="E606" s="17">
        <f>IF(B606="","",IF(Brand_Log!B6="","",Brand_Log!B6&amp;""))</f>
        <v/>
      </c>
      <c r="F606" s="17">
        <f>IF(B606="","","conversation")</f>
        <v/>
      </c>
      <c r="G606" s="17">
        <f>IF(B606="","","")</f>
        <v/>
      </c>
      <c r="H606" s="17">
        <f>IF(B606="","","")</f>
        <v/>
      </c>
      <c r="I606" s="17">
        <f>IF(B606="","","")</f>
        <v/>
      </c>
      <c r="J606" s="17">
        <f>IF(B606="","",IF(Brand_Log!H6="","",Brand_Log!H6&amp;""))</f>
        <v/>
      </c>
      <c r="K606" t="inlineStr">
        <is>
          <t>brand conversation</t>
        </is>
      </c>
    </row>
    <row r="607">
      <c r="A607" s="17">
        <f>IF(B607="","",B607+(4*1000+6)/10000000)</f>
        <v/>
      </c>
      <c r="B607" s="23">
        <f>IF(Brand_Log!AN7=1,Brand_Log!G7,"")</f>
        <v/>
      </c>
      <c r="C607" s="17">
        <f>IF(B607="","","brand")</f>
        <v/>
      </c>
      <c r="D607" s="17">
        <f>IF(B607="","",Brand_Log!$A7&amp;"")</f>
        <v/>
      </c>
      <c r="E607" s="17">
        <f>IF(B607="","",IF(Brand_Log!B7="","",Brand_Log!B7&amp;""))</f>
        <v/>
      </c>
      <c r="F607" s="17">
        <f>IF(B607="","","conversation")</f>
        <v/>
      </c>
      <c r="G607" s="17">
        <f>IF(B607="","","")</f>
        <v/>
      </c>
      <c r="H607" s="17">
        <f>IF(B607="","","")</f>
        <v/>
      </c>
      <c r="I607" s="17">
        <f>IF(B607="","","")</f>
        <v/>
      </c>
      <c r="J607" s="17">
        <f>IF(B607="","",IF(Brand_Log!H7="","",Brand_Log!H7&amp;""))</f>
        <v/>
      </c>
      <c r="K607" t="inlineStr">
        <is>
          <t>brand conversation</t>
        </is>
      </c>
    </row>
    <row r="608">
      <c r="A608" s="17">
        <f>IF(B608="","",B608+(4*1000+7)/10000000)</f>
        <v/>
      </c>
      <c r="B608" s="23">
        <f>IF(Brand_Log!AN8=1,Brand_Log!G8,"")</f>
        <v/>
      </c>
      <c r="C608" s="17">
        <f>IF(B608="","","brand")</f>
        <v/>
      </c>
      <c r="D608" s="17">
        <f>IF(B608="","",Brand_Log!$A8&amp;"")</f>
        <v/>
      </c>
      <c r="E608" s="17">
        <f>IF(B608="","",IF(Brand_Log!B8="","",Brand_Log!B8&amp;""))</f>
        <v/>
      </c>
      <c r="F608" s="17">
        <f>IF(B608="","","conversation")</f>
        <v/>
      </c>
      <c r="G608" s="17">
        <f>IF(B608="","","")</f>
        <v/>
      </c>
      <c r="H608" s="17">
        <f>IF(B608="","","")</f>
        <v/>
      </c>
      <c r="I608" s="17">
        <f>IF(B608="","","")</f>
        <v/>
      </c>
      <c r="J608" s="17">
        <f>IF(B608="","",IF(Brand_Log!H8="","",Brand_Log!H8&amp;""))</f>
        <v/>
      </c>
      <c r="K608" t="inlineStr">
        <is>
          <t>brand conversation</t>
        </is>
      </c>
    </row>
    <row r="609">
      <c r="A609" s="17">
        <f>IF(B609="","",B609+(4*1000+8)/10000000)</f>
        <v/>
      </c>
      <c r="B609" s="23">
        <f>IF(Brand_Log!AN9=1,Brand_Log!G9,"")</f>
        <v/>
      </c>
      <c r="C609" s="17">
        <f>IF(B609="","","brand")</f>
        <v/>
      </c>
      <c r="D609" s="17">
        <f>IF(B609="","",Brand_Log!$A9&amp;"")</f>
        <v/>
      </c>
      <c r="E609" s="17">
        <f>IF(B609="","",IF(Brand_Log!B9="","",Brand_Log!B9&amp;""))</f>
        <v/>
      </c>
      <c r="F609" s="17">
        <f>IF(B609="","","conversation")</f>
        <v/>
      </c>
      <c r="G609" s="17">
        <f>IF(B609="","","")</f>
        <v/>
      </c>
      <c r="H609" s="17">
        <f>IF(B609="","","")</f>
        <v/>
      </c>
      <c r="I609" s="17">
        <f>IF(B609="","","")</f>
        <v/>
      </c>
      <c r="J609" s="17">
        <f>IF(B609="","",IF(Brand_Log!H9="","",Brand_Log!H9&amp;""))</f>
        <v/>
      </c>
      <c r="K609" t="inlineStr">
        <is>
          <t>brand conversation</t>
        </is>
      </c>
    </row>
    <row r="610">
      <c r="A610" s="17">
        <f>IF(B610="","",B610+(4*1000+9)/10000000)</f>
        <v/>
      </c>
      <c r="B610" s="23">
        <f>IF(Brand_Log!AN10=1,Brand_Log!G10,"")</f>
        <v/>
      </c>
      <c r="C610" s="17">
        <f>IF(B610="","","brand")</f>
        <v/>
      </c>
      <c r="D610" s="17">
        <f>IF(B610="","",Brand_Log!$A10&amp;"")</f>
        <v/>
      </c>
      <c r="E610" s="17">
        <f>IF(B610="","",IF(Brand_Log!B10="","",Brand_Log!B10&amp;""))</f>
        <v/>
      </c>
      <c r="F610" s="17">
        <f>IF(B610="","","conversation")</f>
        <v/>
      </c>
      <c r="G610" s="17">
        <f>IF(B610="","","")</f>
        <v/>
      </c>
      <c r="H610" s="17">
        <f>IF(B610="","","")</f>
        <v/>
      </c>
      <c r="I610" s="17">
        <f>IF(B610="","","")</f>
        <v/>
      </c>
      <c r="J610" s="17">
        <f>IF(B610="","",IF(Brand_Log!H10="","",Brand_Log!H10&amp;""))</f>
        <v/>
      </c>
      <c r="K610" t="inlineStr">
        <is>
          <t>brand conversation</t>
        </is>
      </c>
    </row>
    <row r="611">
      <c r="A611" s="17">
        <f>IF(B611="","",B611+(4*1000+10)/10000000)</f>
        <v/>
      </c>
      <c r="B611" s="23">
        <f>IF(Brand_Log!AN11=1,Brand_Log!G11,"")</f>
        <v/>
      </c>
      <c r="C611" s="17">
        <f>IF(B611="","","brand")</f>
        <v/>
      </c>
      <c r="D611" s="17">
        <f>IF(B611="","",Brand_Log!$A11&amp;"")</f>
        <v/>
      </c>
      <c r="E611" s="17">
        <f>IF(B611="","",IF(Brand_Log!B11="","",Brand_Log!B11&amp;""))</f>
        <v/>
      </c>
      <c r="F611" s="17">
        <f>IF(B611="","","conversation")</f>
        <v/>
      </c>
      <c r="G611" s="17">
        <f>IF(B611="","","")</f>
        <v/>
      </c>
      <c r="H611" s="17">
        <f>IF(B611="","","")</f>
        <v/>
      </c>
      <c r="I611" s="17">
        <f>IF(B611="","","")</f>
        <v/>
      </c>
      <c r="J611" s="17">
        <f>IF(B611="","",IF(Brand_Log!H11="","",Brand_Log!H11&amp;""))</f>
        <v/>
      </c>
      <c r="K611" t="inlineStr">
        <is>
          <t>brand conversation</t>
        </is>
      </c>
    </row>
    <row r="612">
      <c r="A612" s="17">
        <f>IF(B612="","",B612+(4*1000+11)/10000000)</f>
        <v/>
      </c>
      <c r="B612" s="23">
        <f>IF(Brand_Log!AN12=1,Brand_Log!G12,"")</f>
        <v/>
      </c>
      <c r="C612" s="17">
        <f>IF(B612="","","brand")</f>
        <v/>
      </c>
      <c r="D612" s="17">
        <f>IF(B612="","",Brand_Log!$A12&amp;"")</f>
        <v/>
      </c>
      <c r="E612" s="17">
        <f>IF(B612="","",IF(Brand_Log!B12="","",Brand_Log!B12&amp;""))</f>
        <v/>
      </c>
      <c r="F612" s="17">
        <f>IF(B612="","","conversation")</f>
        <v/>
      </c>
      <c r="G612" s="17">
        <f>IF(B612="","","")</f>
        <v/>
      </c>
      <c r="H612" s="17">
        <f>IF(B612="","","")</f>
        <v/>
      </c>
      <c r="I612" s="17">
        <f>IF(B612="","","")</f>
        <v/>
      </c>
      <c r="J612" s="17">
        <f>IF(B612="","",IF(Brand_Log!H12="","",Brand_Log!H12&amp;""))</f>
        <v/>
      </c>
      <c r="K612" t="inlineStr">
        <is>
          <t>brand conversation</t>
        </is>
      </c>
    </row>
    <row r="613">
      <c r="A613" s="17">
        <f>IF(B613="","",B613+(4*1000+12)/10000000)</f>
        <v/>
      </c>
      <c r="B613" s="23">
        <f>IF(Brand_Log!AN13=1,Brand_Log!G13,"")</f>
        <v/>
      </c>
      <c r="C613" s="17">
        <f>IF(B613="","","brand")</f>
        <v/>
      </c>
      <c r="D613" s="17">
        <f>IF(B613="","",Brand_Log!$A13&amp;"")</f>
        <v/>
      </c>
      <c r="E613" s="17">
        <f>IF(B613="","",IF(Brand_Log!B13="","",Brand_Log!B13&amp;""))</f>
        <v/>
      </c>
      <c r="F613" s="17">
        <f>IF(B613="","","conversation")</f>
        <v/>
      </c>
      <c r="G613" s="17">
        <f>IF(B613="","","")</f>
        <v/>
      </c>
      <c r="H613" s="17">
        <f>IF(B613="","","")</f>
        <v/>
      </c>
      <c r="I613" s="17">
        <f>IF(B613="","","")</f>
        <v/>
      </c>
      <c r="J613" s="17">
        <f>IF(B613="","",IF(Brand_Log!H13="","",Brand_Log!H13&amp;""))</f>
        <v/>
      </c>
      <c r="K613" t="inlineStr">
        <is>
          <t>brand conversation</t>
        </is>
      </c>
    </row>
    <row r="614">
      <c r="A614" s="17">
        <f>IF(B614="","",B614+(4*1000+13)/10000000)</f>
        <v/>
      </c>
      <c r="B614" s="23">
        <f>IF(Brand_Log!AN14=1,Brand_Log!G14,"")</f>
        <v/>
      </c>
      <c r="C614" s="17">
        <f>IF(B614="","","brand")</f>
        <v/>
      </c>
      <c r="D614" s="17">
        <f>IF(B614="","",Brand_Log!$A14&amp;"")</f>
        <v/>
      </c>
      <c r="E614" s="17">
        <f>IF(B614="","",IF(Brand_Log!B14="","",Brand_Log!B14&amp;""))</f>
        <v/>
      </c>
      <c r="F614" s="17">
        <f>IF(B614="","","conversation")</f>
        <v/>
      </c>
      <c r="G614" s="17">
        <f>IF(B614="","","")</f>
        <v/>
      </c>
      <c r="H614" s="17">
        <f>IF(B614="","","")</f>
        <v/>
      </c>
      <c r="I614" s="17">
        <f>IF(B614="","","")</f>
        <v/>
      </c>
      <c r="J614" s="17">
        <f>IF(B614="","",IF(Brand_Log!H14="","",Brand_Log!H14&amp;""))</f>
        <v/>
      </c>
      <c r="K614" t="inlineStr">
        <is>
          <t>brand conversation</t>
        </is>
      </c>
    </row>
    <row r="615">
      <c r="A615" s="17">
        <f>IF(B615="","",B615+(4*1000+14)/10000000)</f>
        <v/>
      </c>
      <c r="B615" s="23">
        <f>IF(Brand_Log!AN15=1,Brand_Log!G15,"")</f>
        <v/>
      </c>
      <c r="C615" s="17">
        <f>IF(B615="","","brand")</f>
        <v/>
      </c>
      <c r="D615" s="17">
        <f>IF(B615="","",Brand_Log!$A15&amp;"")</f>
        <v/>
      </c>
      <c r="E615" s="17">
        <f>IF(B615="","",IF(Brand_Log!B15="","",Brand_Log!B15&amp;""))</f>
        <v/>
      </c>
      <c r="F615" s="17">
        <f>IF(B615="","","conversation")</f>
        <v/>
      </c>
      <c r="G615" s="17">
        <f>IF(B615="","","")</f>
        <v/>
      </c>
      <c r="H615" s="17">
        <f>IF(B615="","","")</f>
        <v/>
      </c>
      <c r="I615" s="17">
        <f>IF(B615="","","")</f>
        <v/>
      </c>
      <c r="J615" s="17">
        <f>IF(B615="","",IF(Brand_Log!H15="","",Brand_Log!H15&amp;""))</f>
        <v/>
      </c>
      <c r="K615" t="inlineStr">
        <is>
          <t>brand conversation</t>
        </is>
      </c>
    </row>
    <row r="616">
      <c r="A616" s="17">
        <f>IF(B616="","",B616+(4*1000+15)/10000000)</f>
        <v/>
      </c>
      <c r="B616" s="23">
        <f>IF(Brand_Log!AN16=1,Brand_Log!G16,"")</f>
        <v/>
      </c>
      <c r="C616" s="17">
        <f>IF(B616="","","brand")</f>
        <v/>
      </c>
      <c r="D616" s="17">
        <f>IF(B616="","",Brand_Log!$A16&amp;"")</f>
        <v/>
      </c>
      <c r="E616" s="17">
        <f>IF(B616="","",IF(Brand_Log!B16="","",Brand_Log!B16&amp;""))</f>
        <v/>
      </c>
      <c r="F616" s="17">
        <f>IF(B616="","","conversation")</f>
        <v/>
      </c>
      <c r="G616" s="17">
        <f>IF(B616="","","")</f>
        <v/>
      </c>
      <c r="H616" s="17">
        <f>IF(B616="","","")</f>
        <v/>
      </c>
      <c r="I616" s="17">
        <f>IF(B616="","","")</f>
        <v/>
      </c>
      <c r="J616" s="17">
        <f>IF(B616="","",IF(Brand_Log!H16="","",Brand_Log!H16&amp;""))</f>
        <v/>
      </c>
      <c r="K616" t="inlineStr">
        <is>
          <t>brand conversation</t>
        </is>
      </c>
    </row>
    <row r="617">
      <c r="A617" s="17">
        <f>IF(B617="","",B617+(4*1000+16)/10000000)</f>
        <v/>
      </c>
      <c r="B617" s="23">
        <f>IF(Brand_Log!AN17=1,Brand_Log!G17,"")</f>
        <v/>
      </c>
      <c r="C617" s="17">
        <f>IF(B617="","","brand")</f>
        <v/>
      </c>
      <c r="D617" s="17">
        <f>IF(B617="","",Brand_Log!$A17&amp;"")</f>
        <v/>
      </c>
      <c r="E617" s="17">
        <f>IF(B617="","",IF(Brand_Log!B17="","",Brand_Log!B17&amp;""))</f>
        <v/>
      </c>
      <c r="F617" s="17">
        <f>IF(B617="","","conversation")</f>
        <v/>
      </c>
      <c r="G617" s="17">
        <f>IF(B617="","","")</f>
        <v/>
      </c>
      <c r="H617" s="17">
        <f>IF(B617="","","")</f>
        <v/>
      </c>
      <c r="I617" s="17">
        <f>IF(B617="","","")</f>
        <v/>
      </c>
      <c r="J617" s="17">
        <f>IF(B617="","",IF(Brand_Log!H17="","",Brand_Log!H17&amp;""))</f>
        <v/>
      </c>
      <c r="K617" t="inlineStr">
        <is>
          <t>brand conversation</t>
        </is>
      </c>
    </row>
    <row r="618">
      <c r="A618" s="17">
        <f>IF(B618="","",B618+(4*1000+17)/10000000)</f>
        <v/>
      </c>
      <c r="B618" s="23">
        <f>IF(Brand_Log!AN18=1,Brand_Log!G18,"")</f>
        <v/>
      </c>
      <c r="C618" s="17">
        <f>IF(B618="","","brand")</f>
        <v/>
      </c>
      <c r="D618" s="17">
        <f>IF(B618="","",Brand_Log!$A18&amp;"")</f>
        <v/>
      </c>
      <c r="E618" s="17">
        <f>IF(B618="","",IF(Brand_Log!B18="","",Brand_Log!B18&amp;""))</f>
        <v/>
      </c>
      <c r="F618" s="17">
        <f>IF(B618="","","conversation")</f>
        <v/>
      </c>
      <c r="G618" s="17">
        <f>IF(B618="","","")</f>
        <v/>
      </c>
      <c r="H618" s="17">
        <f>IF(B618="","","")</f>
        <v/>
      </c>
      <c r="I618" s="17">
        <f>IF(B618="","","")</f>
        <v/>
      </c>
      <c r="J618" s="17">
        <f>IF(B618="","",IF(Brand_Log!H18="","",Brand_Log!H18&amp;""))</f>
        <v/>
      </c>
      <c r="K618" t="inlineStr">
        <is>
          <t>brand conversation</t>
        </is>
      </c>
    </row>
    <row r="619">
      <c r="A619" s="17">
        <f>IF(B619="","",B619+(4*1000+18)/10000000)</f>
        <v/>
      </c>
      <c r="B619" s="23">
        <f>IF(Brand_Log!AN19=1,Brand_Log!G19,"")</f>
        <v/>
      </c>
      <c r="C619" s="17">
        <f>IF(B619="","","brand")</f>
        <v/>
      </c>
      <c r="D619" s="17">
        <f>IF(B619="","",Brand_Log!$A19&amp;"")</f>
        <v/>
      </c>
      <c r="E619" s="17">
        <f>IF(B619="","",IF(Brand_Log!B19="","",Brand_Log!B19&amp;""))</f>
        <v/>
      </c>
      <c r="F619" s="17">
        <f>IF(B619="","","conversation")</f>
        <v/>
      </c>
      <c r="G619" s="17">
        <f>IF(B619="","","")</f>
        <v/>
      </c>
      <c r="H619" s="17">
        <f>IF(B619="","","")</f>
        <v/>
      </c>
      <c r="I619" s="17">
        <f>IF(B619="","","")</f>
        <v/>
      </c>
      <c r="J619" s="17">
        <f>IF(B619="","",IF(Brand_Log!H19="","",Brand_Log!H19&amp;""))</f>
        <v/>
      </c>
      <c r="K619" t="inlineStr">
        <is>
          <t>brand conversation</t>
        </is>
      </c>
    </row>
    <row r="620">
      <c r="A620" s="17">
        <f>IF(B620="","",B620+(4*1000+19)/10000000)</f>
        <v/>
      </c>
      <c r="B620" s="23">
        <f>IF(Brand_Log!AN20=1,Brand_Log!G20,"")</f>
        <v/>
      </c>
      <c r="C620" s="17">
        <f>IF(B620="","","brand")</f>
        <v/>
      </c>
      <c r="D620" s="17">
        <f>IF(B620="","",Brand_Log!$A20&amp;"")</f>
        <v/>
      </c>
      <c r="E620" s="17">
        <f>IF(B620="","",IF(Brand_Log!B20="","",Brand_Log!B20&amp;""))</f>
        <v/>
      </c>
      <c r="F620" s="17">
        <f>IF(B620="","","conversation")</f>
        <v/>
      </c>
      <c r="G620" s="17">
        <f>IF(B620="","","")</f>
        <v/>
      </c>
      <c r="H620" s="17">
        <f>IF(B620="","","")</f>
        <v/>
      </c>
      <c r="I620" s="17">
        <f>IF(B620="","","")</f>
        <v/>
      </c>
      <c r="J620" s="17">
        <f>IF(B620="","",IF(Brand_Log!H20="","",Brand_Log!H20&amp;""))</f>
        <v/>
      </c>
      <c r="K620" t="inlineStr">
        <is>
          <t>brand conversation</t>
        </is>
      </c>
    </row>
    <row r="621">
      <c r="A621" s="17">
        <f>IF(B621="","",B621+(4*1000+20)/10000000)</f>
        <v/>
      </c>
      <c r="B621" s="23">
        <f>IF(Brand_Log!AN21=1,Brand_Log!G21,"")</f>
        <v/>
      </c>
      <c r="C621" s="17">
        <f>IF(B621="","","brand")</f>
        <v/>
      </c>
      <c r="D621" s="17">
        <f>IF(B621="","",Brand_Log!$A21&amp;"")</f>
        <v/>
      </c>
      <c r="E621" s="17">
        <f>IF(B621="","",IF(Brand_Log!B21="","",Brand_Log!B21&amp;""))</f>
        <v/>
      </c>
      <c r="F621" s="17">
        <f>IF(B621="","","conversation")</f>
        <v/>
      </c>
      <c r="G621" s="17">
        <f>IF(B621="","","")</f>
        <v/>
      </c>
      <c r="H621" s="17">
        <f>IF(B621="","","")</f>
        <v/>
      </c>
      <c r="I621" s="17">
        <f>IF(B621="","","")</f>
        <v/>
      </c>
      <c r="J621" s="17">
        <f>IF(B621="","",IF(Brand_Log!H21="","",Brand_Log!H21&amp;""))</f>
        <v/>
      </c>
      <c r="K621" t="inlineStr">
        <is>
          <t>brand conversation</t>
        </is>
      </c>
    </row>
    <row r="622">
      <c r="A622" s="17">
        <f>IF(B622="","",B622+(4*1000+21)/10000000)</f>
        <v/>
      </c>
      <c r="B622" s="23">
        <f>IF(Brand_Log!AN22=1,Brand_Log!G22,"")</f>
        <v/>
      </c>
      <c r="C622" s="17">
        <f>IF(B622="","","brand")</f>
        <v/>
      </c>
      <c r="D622" s="17">
        <f>IF(B622="","",Brand_Log!$A22&amp;"")</f>
        <v/>
      </c>
      <c r="E622" s="17">
        <f>IF(B622="","",IF(Brand_Log!B22="","",Brand_Log!B22&amp;""))</f>
        <v/>
      </c>
      <c r="F622" s="17">
        <f>IF(B622="","","conversation")</f>
        <v/>
      </c>
      <c r="G622" s="17">
        <f>IF(B622="","","")</f>
        <v/>
      </c>
      <c r="H622" s="17">
        <f>IF(B622="","","")</f>
        <v/>
      </c>
      <c r="I622" s="17">
        <f>IF(B622="","","")</f>
        <v/>
      </c>
      <c r="J622" s="17">
        <f>IF(B622="","",IF(Brand_Log!H22="","",Brand_Log!H22&amp;""))</f>
        <v/>
      </c>
      <c r="K622" t="inlineStr">
        <is>
          <t>brand conversation</t>
        </is>
      </c>
    </row>
    <row r="623">
      <c r="A623" s="17">
        <f>IF(B623="","",B623+(4*1000+22)/10000000)</f>
        <v/>
      </c>
      <c r="B623" s="23">
        <f>IF(Brand_Log!AN23=1,Brand_Log!G23,"")</f>
        <v/>
      </c>
      <c r="C623" s="17">
        <f>IF(B623="","","brand")</f>
        <v/>
      </c>
      <c r="D623" s="17">
        <f>IF(B623="","",Brand_Log!$A23&amp;"")</f>
        <v/>
      </c>
      <c r="E623" s="17">
        <f>IF(B623="","",IF(Brand_Log!B23="","",Brand_Log!B23&amp;""))</f>
        <v/>
      </c>
      <c r="F623" s="17">
        <f>IF(B623="","","conversation")</f>
        <v/>
      </c>
      <c r="G623" s="17">
        <f>IF(B623="","","")</f>
        <v/>
      </c>
      <c r="H623" s="17">
        <f>IF(B623="","","")</f>
        <v/>
      </c>
      <c r="I623" s="17">
        <f>IF(B623="","","")</f>
        <v/>
      </c>
      <c r="J623" s="17">
        <f>IF(B623="","",IF(Brand_Log!H23="","",Brand_Log!H23&amp;""))</f>
        <v/>
      </c>
      <c r="K623" t="inlineStr">
        <is>
          <t>brand conversation</t>
        </is>
      </c>
    </row>
    <row r="624">
      <c r="A624" s="17">
        <f>IF(B624="","",B624+(4*1000+23)/10000000)</f>
        <v/>
      </c>
      <c r="B624" s="23">
        <f>IF(Brand_Log!AN24=1,Brand_Log!G24,"")</f>
        <v/>
      </c>
      <c r="C624" s="17">
        <f>IF(B624="","","brand")</f>
        <v/>
      </c>
      <c r="D624" s="17">
        <f>IF(B624="","",Brand_Log!$A24&amp;"")</f>
        <v/>
      </c>
      <c r="E624" s="17">
        <f>IF(B624="","",IF(Brand_Log!B24="","",Brand_Log!B24&amp;""))</f>
        <v/>
      </c>
      <c r="F624" s="17">
        <f>IF(B624="","","conversation")</f>
        <v/>
      </c>
      <c r="G624" s="17">
        <f>IF(B624="","","")</f>
        <v/>
      </c>
      <c r="H624" s="17">
        <f>IF(B624="","","")</f>
        <v/>
      </c>
      <c r="I624" s="17">
        <f>IF(B624="","","")</f>
        <v/>
      </c>
      <c r="J624" s="17">
        <f>IF(B624="","",IF(Brand_Log!H24="","",Brand_Log!H24&amp;""))</f>
        <v/>
      </c>
      <c r="K624" t="inlineStr">
        <is>
          <t>brand conversation</t>
        </is>
      </c>
    </row>
    <row r="625">
      <c r="A625" s="17">
        <f>IF(B625="","",B625+(4*1000+24)/10000000)</f>
        <v/>
      </c>
      <c r="B625" s="23">
        <f>IF(Brand_Log!AN25=1,Brand_Log!G25,"")</f>
        <v/>
      </c>
      <c r="C625" s="17">
        <f>IF(B625="","","brand")</f>
        <v/>
      </c>
      <c r="D625" s="17">
        <f>IF(B625="","",Brand_Log!$A25&amp;"")</f>
        <v/>
      </c>
      <c r="E625" s="17">
        <f>IF(B625="","",IF(Brand_Log!B25="","",Brand_Log!B25&amp;""))</f>
        <v/>
      </c>
      <c r="F625" s="17">
        <f>IF(B625="","","conversation")</f>
        <v/>
      </c>
      <c r="G625" s="17">
        <f>IF(B625="","","")</f>
        <v/>
      </c>
      <c r="H625" s="17">
        <f>IF(B625="","","")</f>
        <v/>
      </c>
      <c r="I625" s="17">
        <f>IF(B625="","","")</f>
        <v/>
      </c>
      <c r="J625" s="17">
        <f>IF(B625="","",IF(Brand_Log!H25="","",Brand_Log!H25&amp;""))</f>
        <v/>
      </c>
      <c r="K625" t="inlineStr">
        <is>
          <t>brand conversation</t>
        </is>
      </c>
    </row>
    <row r="626">
      <c r="A626" s="17">
        <f>IF(B626="","",B626+(4*1000+25)/10000000)</f>
        <v/>
      </c>
      <c r="B626" s="23">
        <f>IF(Brand_Log!AN26=1,Brand_Log!G26,"")</f>
        <v/>
      </c>
      <c r="C626" s="17">
        <f>IF(B626="","","brand")</f>
        <v/>
      </c>
      <c r="D626" s="17">
        <f>IF(B626="","",Brand_Log!$A26&amp;"")</f>
        <v/>
      </c>
      <c r="E626" s="17">
        <f>IF(B626="","",IF(Brand_Log!B26="","",Brand_Log!B26&amp;""))</f>
        <v/>
      </c>
      <c r="F626" s="17">
        <f>IF(B626="","","conversation")</f>
        <v/>
      </c>
      <c r="G626" s="17">
        <f>IF(B626="","","")</f>
        <v/>
      </c>
      <c r="H626" s="17">
        <f>IF(B626="","","")</f>
        <v/>
      </c>
      <c r="I626" s="17">
        <f>IF(B626="","","")</f>
        <v/>
      </c>
      <c r="J626" s="17">
        <f>IF(B626="","",IF(Brand_Log!H26="","",Brand_Log!H26&amp;""))</f>
        <v/>
      </c>
      <c r="K626" t="inlineStr">
        <is>
          <t>brand conversation</t>
        </is>
      </c>
    </row>
    <row r="627">
      <c r="A627" s="17">
        <f>IF(B627="","",B627+(4*1000+26)/10000000)</f>
        <v/>
      </c>
      <c r="B627" s="23">
        <f>IF(Brand_Log!AN27=1,Brand_Log!G27,"")</f>
        <v/>
      </c>
      <c r="C627" s="17">
        <f>IF(B627="","","brand")</f>
        <v/>
      </c>
      <c r="D627" s="17">
        <f>IF(B627="","",Brand_Log!$A27&amp;"")</f>
        <v/>
      </c>
      <c r="E627" s="17">
        <f>IF(B627="","",IF(Brand_Log!B27="","",Brand_Log!B27&amp;""))</f>
        <v/>
      </c>
      <c r="F627" s="17">
        <f>IF(B627="","","conversation")</f>
        <v/>
      </c>
      <c r="G627" s="17">
        <f>IF(B627="","","")</f>
        <v/>
      </c>
      <c r="H627" s="17">
        <f>IF(B627="","","")</f>
        <v/>
      </c>
      <c r="I627" s="17">
        <f>IF(B627="","","")</f>
        <v/>
      </c>
      <c r="J627" s="17">
        <f>IF(B627="","",IF(Brand_Log!H27="","",Brand_Log!H27&amp;""))</f>
        <v/>
      </c>
      <c r="K627" t="inlineStr">
        <is>
          <t>brand conversation</t>
        </is>
      </c>
    </row>
    <row r="628">
      <c r="A628" s="17">
        <f>IF(B628="","",B628+(4*1000+27)/10000000)</f>
        <v/>
      </c>
      <c r="B628" s="23">
        <f>IF(Brand_Log!AN28=1,Brand_Log!G28,"")</f>
        <v/>
      </c>
      <c r="C628" s="17">
        <f>IF(B628="","","brand")</f>
        <v/>
      </c>
      <c r="D628" s="17">
        <f>IF(B628="","",Brand_Log!$A28&amp;"")</f>
        <v/>
      </c>
      <c r="E628" s="17">
        <f>IF(B628="","",IF(Brand_Log!B28="","",Brand_Log!B28&amp;""))</f>
        <v/>
      </c>
      <c r="F628" s="17">
        <f>IF(B628="","","conversation")</f>
        <v/>
      </c>
      <c r="G628" s="17">
        <f>IF(B628="","","")</f>
        <v/>
      </c>
      <c r="H628" s="17">
        <f>IF(B628="","","")</f>
        <v/>
      </c>
      <c r="I628" s="17">
        <f>IF(B628="","","")</f>
        <v/>
      </c>
      <c r="J628" s="17">
        <f>IF(B628="","",IF(Brand_Log!H28="","",Brand_Log!H28&amp;""))</f>
        <v/>
      </c>
      <c r="K628" t="inlineStr">
        <is>
          <t>brand conversation</t>
        </is>
      </c>
    </row>
    <row r="629">
      <c r="A629" s="17">
        <f>IF(B629="","",B629+(4*1000+28)/10000000)</f>
        <v/>
      </c>
      <c r="B629" s="23">
        <f>IF(Brand_Log!AN29=1,Brand_Log!G29,"")</f>
        <v/>
      </c>
      <c r="C629" s="17">
        <f>IF(B629="","","brand")</f>
        <v/>
      </c>
      <c r="D629" s="17">
        <f>IF(B629="","",Brand_Log!$A29&amp;"")</f>
        <v/>
      </c>
      <c r="E629" s="17">
        <f>IF(B629="","",IF(Brand_Log!B29="","",Brand_Log!B29&amp;""))</f>
        <v/>
      </c>
      <c r="F629" s="17">
        <f>IF(B629="","","conversation")</f>
        <v/>
      </c>
      <c r="G629" s="17">
        <f>IF(B629="","","")</f>
        <v/>
      </c>
      <c r="H629" s="17">
        <f>IF(B629="","","")</f>
        <v/>
      </c>
      <c r="I629" s="17">
        <f>IF(B629="","","")</f>
        <v/>
      </c>
      <c r="J629" s="17">
        <f>IF(B629="","",IF(Brand_Log!H29="","",Brand_Log!H29&amp;""))</f>
        <v/>
      </c>
      <c r="K629" t="inlineStr">
        <is>
          <t>brand conversation</t>
        </is>
      </c>
    </row>
    <row r="630">
      <c r="A630" s="17">
        <f>IF(B630="","",B630+(4*1000+29)/10000000)</f>
        <v/>
      </c>
      <c r="B630" s="23">
        <f>IF(Brand_Log!AN30=1,Brand_Log!G30,"")</f>
        <v/>
      </c>
      <c r="C630" s="17">
        <f>IF(B630="","","brand")</f>
        <v/>
      </c>
      <c r="D630" s="17">
        <f>IF(B630="","",Brand_Log!$A30&amp;"")</f>
        <v/>
      </c>
      <c r="E630" s="17">
        <f>IF(B630="","",IF(Brand_Log!B30="","",Brand_Log!B30&amp;""))</f>
        <v/>
      </c>
      <c r="F630" s="17">
        <f>IF(B630="","","conversation")</f>
        <v/>
      </c>
      <c r="G630" s="17">
        <f>IF(B630="","","")</f>
        <v/>
      </c>
      <c r="H630" s="17">
        <f>IF(B630="","","")</f>
        <v/>
      </c>
      <c r="I630" s="17">
        <f>IF(B630="","","")</f>
        <v/>
      </c>
      <c r="J630" s="17">
        <f>IF(B630="","",IF(Brand_Log!H30="","",Brand_Log!H30&amp;""))</f>
        <v/>
      </c>
      <c r="K630" t="inlineStr">
        <is>
          <t>brand conversation</t>
        </is>
      </c>
    </row>
    <row r="631">
      <c r="A631" s="17">
        <f>IF(B631="","",B631+(4*1000+30)/10000000)</f>
        <v/>
      </c>
      <c r="B631" s="23">
        <f>IF(Brand_Log!AN31=1,Brand_Log!G31,"")</f>
        <v/>
      </c>
      <c r="C631" s="17">
        <f>IF(B631="","","brand")</f>
        <v/>
      </c>
      <c r="D631" s="17">
        <f>IF(B631="","",Brand_Log!$A31&amp;"")</f>
        <v/>
      </c>
      <c r="E631" s="17">
        <f>IF(B631="","",IF(Brand_Log!B31="","",Brand_Log!B31&amp;""))</f>
        <v/>
      </c>
      <c r="F631" s="17">
        <f>IF(B631="","","conversation")</f>
        <v/>
      </c>
      <c r="G631" s="17">
        <f>IF(B631="","","")</f>
        <v/>
      </c>
      <c r="H631" s="17">
        <f>IF(B631="","","")</f>
        <v/>
      </c>
      <c r="I631" s="17">
        <f>IF(B631="","","")</f>
        <v/>
      </c>
      <c r="J631" s="17">
        <f>IF(B631="","",IF(Brand_Log!H31="","",Brand_Log!H31&amp;""))</f>
        <v/>
      </c>
      <c r="K631" t="inlineStr">
        <is>
          <t>brand conversation</t>
        </is>
      </c>
    </row>
    <row r="632">
      <c r="A632" s="17">
        <f>IF(B632="","",B632+(4*1000+31)/10000000)</f>
        <v/>
      </c>
      <c r="B632" s="23">
        <f>IF(Brand_Log!AN32=1,Brand_Log!G32,"")</f>
        <v/>
      </c>
      <c r="C632" s="17">
        <f>IF(B632="","","brand")</f>
        <v/>
      </c>
      <c r="D632" s="17">
        <f>IF(B632="","",Brand_Log!$A32&amp;"")</f>
        <v/>
      </c>
      <c r="E632" s="17">
        <f>IF(B632="","",IF(Brand_Log!B32="","",Brand_Log!B32&amp;""))</f>
        <v/>
      </c>
      <c r="F632" s="17">
        <f>IF(B632="","","conversation")</f>
        <v/>
      </c>
      <c r="G632" s="17">
        <f>IF(B632="","","")</f>
        <v/>
      </c>
      <c r="H632" s="17">
        <f>IF(B632="","","")</f>
        <v/>
      </c>
      <c r="I632" s="17">
        <f>IF(B632="","","")</f>
        <v/>
      </c>
      <c r="J632" s="17">
        <f>IF(B632="","",IF(Brand_Log!H32="","",Brand_Log!H32&amp;""))</f>
        <v/>
      </c>
      <c r="K632" t="inlineStr">
        <is>
          <t>brand conversation</t>
        </is>
      </c>
    </row>
    <row r="633">
      <c r="A633" s="17">
        <f>IF(B633="","",B633+(4*1000+32)/10000000)</f>
        <v/>
      </c>
      <c r="B633" s="23">
        <f>IF(Brand_Log!AN33=1,Brand_Log!G33,"")</f>
        <v/>
      </c>
      <c r="C633" s="17">
        <f>IF(B633="","","brand")</f>
        <v/>
      </c>
      <c r="D633" s="17">
        <f>IF(B633="","",Brand_Log!$A33&amp;"")</f>
        <v/>
      </c>
      <c r="E633" s="17">
        <f>IF(B633="","",IF(Brand_Log!B33="","",Brand_Log!B33&amp;""))</f>
        <v/>
      </c>
      <c r="F633" s="17">
        <f>IF(B633="","","conversation")</f>
        <v/>
      </c>
      <c r="G633" s="17">
        <f>IF(B633="","","")</f>
        <v/>
      </c>
      <c r="H633" s="17">
        <f>IF(B633="","","")</f>
        <v/>
      </c>
      <c r="I633" s="17">
        <f>IF(B633="","","")</f>
        <v/>
      </c>
      <c r="J633" s="17">
        <f>IF(B633="","",IF(Brand_Log!H33="","",Brand_Log!H33&amp;""))</f>
        <v/>
      </c>
      <c r="K633" t="inlineStr">
        <is>
          <t>brand conversation</t>
        </is>
      </c>
    </row>
    <row r="634">
      <c r="A634" s="17">
        <f>IF(B634="","",B634+(4*1000+33)/10000000)</f>
        <v/>
      </c>
      <c r="B634" s="23">
        <f>IF(Brand_Log!AN34=1,Brand_Log!G34,"")</f>
        <v/>
      </c>
      <c r="C634" s="17">
        <f>IF(B634="","","brand")</f>
        <v/>
      </c>
      <c r="D634" s="17">
        <f>IF(B634="","",Brand_Log!$A34&amp;"")</f>
        <v/>
      </c>
      <c r="E634" s="17">
        <f>IF(B634="","",IF(Brand_Log!B34="","",Brand_Log!B34&amp;""))</f>
        <v/>
      </c>
      <c r="F634" s="17">
        <f>IF(B634="","","conversation")</f>
        <v/>
      </c>
      <c r="G634" s="17">
        <f>IF(B634="","","")</f>
        <v/>
      </c>
      <c r="H634" s="17">
        <f>IF(B634="","","")</f>
        <v/>
      </c>
      <c r="I634" s="17">
        <f>IF(B634="","","")</f>
        <v/>
      </c>
      <c r="J634" s="17">
        <f>IF(B634="","",IF(Brand_Log!H34="","",Brand_Log!H34&amp;""))</f>
        <v/>
      </c>
      <c r="K634" t="inlineStr">
        <is>
          <t>brand conversation</t>
        </is>
      </c>
    </row>
    <row r="635">
      <c r="A635" s="17">
        <f>IF(B635="","",B635+(4*1000+34)/10000000)</f>
        <v/>
      </c>
      <c r="B635" s="23">
        <f>IF(Brand_Log!AN35=1,Brand_Log!G35,"")</f>
        <v/>
      </c>
      <c r="C635" s="17">
        <f>IF(B635="","","brand")</f>
        <v/>
      </c>
      <c r="D635" s="17">
        <f>IF(B635="","",Brand_Log!$A35&amp;"")</f>
        <v/>
      </c>
      <c r="E635" s="17">
        <f>IF(B635="","",IF(Brand_Log!B35="","",Brand_Log!B35&amp;""))</f>
        <v/>
      </c>
      <c r="F635" s="17">
        <f>IF(B635="","","conversation")</f>
        <v/>
      </c>
      <c r="G635" s="17">
        <f>IF(B635="","","")</f>
        <v/>
      </c>
      <c r="H635" s="17">
        <f>IF(B635="","","")</f>
        <v/>
      </c>
      <c r="I635" s="17">
        <f>IF(B635="","","")</f>
        <v/>
      </c>
      <c r="J635" s="17">
        <f>IF(B635="","",IF(Brand_Log!H35="","",Brand_Log!H35&amp;""))</f>
        <v/>
      </c>
      <c r="K635" t="inlineStr">
        <is>
          <t>brand conversation</t>
        </is>
      </c>
    </row>
    <row r="636">
      <c r="A636" s="17">
        <f>IF(B636="","",B636+(4*1000+35)/10000000)</f>
        <v/>
      </c>
      <c r="B636" s="23">
        <f>IF(Brand_Log!AN36=1,Brand_Log!G36,"")</f>
        <v/>
      </c>
      <c r="C636" s="17">
        <f>IF(B636="","","brand")</f>
        <v/>
      </c>
      <c r="D636" s="17">
        <f>IF(B636="","",Brand_Log!$A36&amp;"")</f>
        <v/>
      </c>
      <c r="E636" s="17">
        <f>IF(B636="","",IF(Brand_Log!B36="","",Brand_Log!B36&amp;""))</f>
        <v/>
      </c>
      <c r="F636" s="17">
        <f>IF(B636="","","conversation")</f>
        <v/>
      </c>
      <c r="G636" s="17">
        <f>IF(B636="","","")</f>
        <v/>
      </c>
      <c r="H636" s="17">
        <f>IF(B636="","","")</f>
        <v/>
      </c>
      <c r="I636" s="17">
        <f>IF(B636="","","")</f>
        <v/>
      </c>
      <c r="J636" s="17">
        <f>IF(B636="","",IF(Brand_Log!H36="","",Brand_Log!H36&amp;""))</f>
        <v/>
      </c>
      <c r="K636" t="inlineStr">
        <is>
          <t>brand conversation</t>
        </is>
      </c>
    </row>
    <row r="637">
      <c r="A637" s="17">
        <f>IF(B637="","",B637+(4*1000+36)/10000000)</f>
        <v/>
      </c>
      <c r="B637" s="23">
        <f>IF(Brand_Log!AN37=1,Brand_Log!G37,"")</f>
        <v/>
      </c>
      <c r="C637" s="17">
        <f>IF(B637="","","brand")</f>
        <v/>
      </c>
      <c r="D637" s="17">
        <f>IF(B637="","",Brand_Log!$A37&amp;"")</f>
        <v/>
      </c>
      <c r="E637" s="17">
        <f>IF(B637="","",IF(Brand_Log!B37="","",Brand_Log!B37&amp;""))</f>
        <v/>
      </c>
      <c r="F637" s="17">
        <f>IF(B637="","","conversation")</f>
        <v/>
      </c>
      <c r="G637" s="17">
        <f>IF(B637="","","")</f>
        <v/>
      </c>
      <c r="H637" s="17">
        <f>IF(B637="","","")</f>
        <v/>
      </c>
      <c r="I637" s="17">
        <f>IF(B637="","","")</f>
        <v/>
      </c>
      <c r="J637" s="17">
        <f>IF(B637="","",IF(Brand_Log!H37="","",Brand_Log!H37&amp;""))</f>
        <v/>
      </c>
      <c r="K637" t="inlineStr">
        <is>
          <t>brand conversation</t>
        </is>
      </c>
    </row>
    <row r="638">
      <c r="A638" s="17">
        <f>IF(B638="","",B638+(4*1000+37)/10000000)</f>
        <v/>
      </c>
      <c r="B638" s="23">
        <f>IF(Brand_Log!AN38=1,Brand_Log!G38,"")</f>
        <v/>
      </c>
      <c r="C638" s="17">
        <f>IF(B638="","","brand")</f>
        <v/>
      </c>
      <c r="D638" s="17">
        <f>IF(B638="","",Brand_Log!$A38&amp;"")</f>
        <v/>
      </c>
      <c r="E638" s="17">
        <f>IF(B638="","",IF(Brand_Log!B38="","",Brand_Log!B38&amp;""))</f>
        <v/>
      </c>
      <c r="F638" s="17">
        <f>IF(B638="","","conversation")</f>
        <v/>
      </c>
      <c r="G638" s="17">
        <f>IF(B638="","","")</f>
        <v/>
      </c>
      <c r="H638" s="17">
        <f>IF(B638="","","")</f>
        <v/>
      </c>
      <c r="I638" s="17">
        <f>IF(B638="","","")</f>
        <v/>
      </c>
      <c r="J638" s="17">
        <f>IF(B638="","",IF(Brand_Log!H38="","",Brand_Log!H38&amp;""))</f>
        <v/>
      </c>
      <c r="K638" t="inlineStr">
        <is>
          <t>brand conversation</t>
        </is>
      </c>
    </row>
    <row r="639">
      <c r="A639" s="17">
        <f>IF(B639="","",B639+(4*1000+38)/10000000)</f>
        <v/>
      </c>
      <c r="B639" s="23">
        <f>IF(Brand_Log!AN39=1,Brand_Log!G39,"")</f>
        <v/>
      </c>
      <c r="C639" s="17">
        <f>IF(B639="","","brand")</f>
        <v/>
      </c>
      <c r="D639" s="17">
        <f>IF(B639="","",Brand_Log!$A39&amp;"")</f>
        <v/>
      </c>
      <c r="E639" s="17">
        <f>IF(B639="","",IF(Brand_Log!B39="","",Brand_Log!B39&amp;""))</f>
        <v/>
      </c>
      <c r="F639" s="17">
        <f>IF(B639="","","conversation")</f>
        <v/>
      </c>
      <c r="G639" s="17">
        <f>IF(B639="","","")</f>
        <v/>
      </c>
      <c r="H639" s="17">
        <f>IF(B639="","","")</f>
        <v/>
      </c>
      <c r="I639" s="17">
        <f>IF(B639="","","")</f>
        <v/>
      </c>
      <c r="J639" s="17">
        <f>IF(B639="","",IF(Brand_Log!H39="","",Brand_Log!H39&amp;""))</f>
        <v/>
      </c>
      <c r="K639" t="inlineStr">
        <is>
          <t>brand conversation</t>
        </is>
      </c>
    </row>
    <row r="640">
      <c r="A640" s="17">
        <f>IF(B640="","",B640+(4*1000+39)/10000000)</f>
        <v/>
      </c>
      <c r="B640" s="23">
        <f>IF(Brand_Log!AN40=1,Brand_Log!G40,"")</f>
        <v/>
      </c>
      <c r="C640" s="17">
        <f>IF(B640="","","brand")</f>
        <v/>
      </c>
      <c r="D640" s="17">
        <f>IF(B640="","",Brand_Log!$A40&amp;"")</f>
        <v/>
      </c>
      <c r="E640" s="17">
        <f>IF(B640="","",IF(Brand_Log!B40="","",Brand_Log!B40&amp;""))</f>
        <v/>
      </c>
      <c r="F640" s="17">
        <f>IF(B640="","","conversation")</f>
        <v/>
      </c>
      <c r="G640" s="17">
        <f>IF(B640="","","")</f>
        <v/>
      </c>
      <c r="H640" s="17">
        <f>IF(B640="","","")</f>
        <v/>
      </c>
      <c r="I640" s="17">
        <f>IF(B640="","","")</f>
        <v/>
      </c>
      <c r="J640" s="17">
        <f>IF(B640="","",IF(Brand_Log!H40="","",Brand_Log!H40&amp;""))</f>
        <v/>
      </c>
      <c r="K640" t="inlineStr">
        <is>
          <t>brand conversation</t>
        </is>
      </c>
    </row>
    <row r="641">
      <c r="A641" s="17">
        <f>IF(B641="","",B641+(4*1000+40)/10000000)</f>
        <v/>
      </c>
      <c r="B641" s="23">
        <f>IF(Brand_Log!AN41=1,Brand_Log!G41,"")</f>
        <v/>
      </c>
      <c r="C641" s="17">
        <f>IF(B641="","","brand")</f>
        <v/>
      </c>
      <c r="D641" s="17">
        <f>IF(B641="","",Brand_Log!$A41&amp;"")</f>
        <v/>
      </c>
      <c r="E641" s="17">
        <f>IF(B641="","",IF(Brand_Log!B41="","",Brand_Log!B41&amp;""))</f>
        <v/>
      </c>
      <c r="F641" s="17">
        <f>IF(B641="","","conversation")</f>
        <v/>
      </c>
      <c r="G641" s="17">
        <f>IF(B641="","","")</f>
        <v/>
      </c>
      <c r="H641" s="17">
        <f>IF(B641="","","")</f>
        <v/>
      </c>
      <c r="I641" s="17">
        <f>IF(B641="","","")</f>
        <v/>
      </c>
      <c r="J641" s="17">
        <f>IF(B641="","",IF(Brand_Log!H41="","",Brand_Log!H41&amp;""))</f>
        <v/>
      </c>
      <c r="K641" t="inlineStr">
        <is>
          <t>brand conversation</t>
        </is>
      </c>
    </row>
    <row r="642">
      <c r="A642" s="17">
        <f>IF(B642="","",B642+(4*1000+41)/10000000)</f>
        <v/>
      </c>
      <c r="B642" s="23">
        <f>IF(Brand_Log!AN42=1,Brand_Log!G42,"")</f>
        <v/>
      </c>
      <c r="C642" s="17">
        <f>IF(B642="","","brand")</f>
        <v/>
      </c>
      <c r="D642" s="17">
        <f>IF(B642="","",Brand_Log!$A42&amp;"")</f>
        <v/>
      </c>
      <c r="E642" s="17">
        <f>IF(B642="","",IF(Brand_Log!B42="","",Brand_Log!B42&amp;""))</f>
        <v/>
      </c>
      <c r="F642" s="17">
        <f>IF(B642="","","conversation")</f>
        <v/>
      </c>
      <c r="G642" s="17">
        <f>IF(B642="","","")</f>
        <v/>
      </c>
      <c r="H642" s="17">
        <f>IF(B642="","","")</f>
        <v/>
      </c>
      <c r="I642" s="17">
        <f>IF(B642="","","")</f>
        <v/>
      </c>
      <c r="J642" s="17">
        <f>IF(B642="","",IF(Brand_Log!H42="","",Brand_Log!H42&amp;""))</f>
        <v/>
      </c>
      <c r="K642" t="inlineStr">
        <is>
          <t>brand conversation</t>
        </is>
      </c>
    </row>
    <row r="643">
      <c r="A643" s="17">
        <f>IF(B643="","",B643+(4*1000+42)/10000000)</f>
        <v/>
      </c>
      <c r="B643" s="23">
        <f>IF(Brand_Log!AN43=1,Brand_Log!G43,"")</f>
        <v/>
      </c>
      <c r="C643" s="17">
        <f>IF(B643="","","brand")</f>
        <v/>
      </c>
      <c r="D643" s="17">
        <f>IF(B643="","",Brand_Log!$A43&amp;"")</f>
        <v/>
      </c>
      <c r="E643" s="17">
        <f>IF(B643="","",IF(Brand_Log!B43="","",Brand_Log!B43&amp;""))</f>
        <v/>
      </c>
      <c r="F643" s="17">
        <f>IF(B643="","","conversation")</f>
        <v/>
      </c>
      <c r="G643" s="17">
        <f>IF(B643="","","")</f>
        <v/>
      </c>
      <c r="H643" s="17">
        <f>IF(B643="","","")</f>
        <v/>
      </c>
      <c r="I643" s="17">
        <f>IF(B643="","","")</f>
        <v/>
      </c>
      <c r="J643" s="17">
        <f>IF(B643="","",IF(Brand_Log!H43="","",Brand_Log!H43&amp;""))</f>
        <v/>
      </c>
      <c r="K643" t="inlineStr">
        <is>
          <t>brand conversation</t>
        </is>
      </c>
    </row>
    <row r="644">
      <c r="A644" s="17">
        <f>IF(B644="","",B644+(4*1000+43)/10000000)</f>
        <v/>
      </c>
      <c r="B644" s="23">
        <f>IF(Brand_Log!AN44=1,Brand_Log!G44,"")</f>
        <v/>
      </c>
      <c r="C644" s="17">
        <f>IF(B644="","","brand")</f>
        <v/>
      </c>
      <c r="D644" s="17">
        <f>IF(B644="","",Brand_Log!$A44&amp;"")</f>
        <v/>
      </c>
      <c r="E644" s="17">
        <f>IF(B644="","",IF(Brand_Log!B44="","",Brand_Log!B44&amp;""))</f>
        <v/>
      </c>
      <c r="F644" s="17">
        <f>IF(B644="","","conversation")</f>
        <v/>
      </c>
      <c r="G644" s="17">
        <f>IF(B644="","","")</f>
        <v/>
      </c>
      <c r="H644" s="17">
        <f>IF(B644="","","")</f>
        <v/>
      </c>
      <c r="I644" s="17">
        <f>IF(B644="","","")</f>
        <v/>
      </c>
      <c r="J644" s="17">
        <f>IF(B644="","",IF(Brand_Log!H44="","",Brand_Log!H44&amp;""))</f>
        <v/>
      </c>
      <c r="K644" t="inlineStr">
        <is>
          <t>brand conversation</t>
        </is>
      </c>
    </row>
    <row r="645">
      <c r="A645" s="17">
        <f>IF(B645="","",B645+(4*1000+44)/10000000)</f>
        <v/>
      </c>
      <c r="B645" s="23">
        <f>IF(Brand_Log!AN45=1,Brand_Log!G45,"")</f>
        <v/>
      </c>
      <c r="C645" s="17">
        <f>IF(B645="","","brand")</f>
        <v/>
      </c>
      <c r="D645" s="17">
        <f>IF(B645="","",Brand_Log!$A45&amp;"")</f>
        <v/>
      </c>
      <c r="E645" s="17">
        <f>IF(B645="","",IF(Brand_Log!B45="","",Brand_Log!B45&amp;""))</f>
        <v/>
      </c>
      <c r="F645" s="17">
        <f>IF(B645="","","conversation")</f>
        <v/>
      </c>
      <c r="G645" s="17">
        <f>IF(B645="","","")</f>
        <v/>
      </c>
      <c r="H645" s="17">
        <f>IF(B645="","","")</f>
        <v/>
      </c>
      <c r="I645" s="17">
        <f>IF(B645="","","")</f>
        <v/>
      </c>
      <c r="J645" s="17">
        <f>IF(B645="","",IF(Brand_Log!H45="","",Brand_Log!H45&amp;""))</f>
        <v/>
      </c>
      <c r="K645" t="inlineStr">
        <is>
          <t>brand conversation</t>
        </is>
      </c>
    </row>
    <row r="646">
      <c r="A646" s="17">
        <f>IF(B646="","",B646+(4*1000+45)/10000000)</f>
        <v/>
      </c>
      <c r="B646" s="23">
        <f>IF(Brand_Log!AN46=1,Brand_Log!G46,"")</f>
        <v/>
      </c>
      <c r="C646" s="17">
        <f>IF(B646="","","brand")</f>
        <v/>
      </c>
      <c r="D646" s="17">
        <f>IF(B646="","",Brand_Log!$A46&amp;"")</f>
        <v/>
      </c>
      <c r="E646" s="17">
        <f>IF(B646="","",IF(Brand_Log!B46="","",Brand_Log!B46&amp;""))</f>
        <v/>
      </c>
      <c r="F646" s="17">
        <f>IF(B646="","","conversation")</f>
        <v/>
      </c>
      <c r="G646" s="17">
        <f>IF(B646="","","")</f>
        <v/>
      </c>
      <c r="H646" s="17">
        <f>IF(B646="","","")</f>
        <v/>
      </c>
      <c r="I646" s="17">
        <f>IF(B646="","","")</f>
        <v/>
      </c>
      <c r="J646" s="17">
        <f>IF(B646="","",IF(Brand_Log!H46="","",Brand_Log!H46&amp;""))</f>
        <v/>
      </c>
      <c r="K646" t="inlineStr">
        <is>
          <t>brand conversation</t>
        </is>
      </c>
    </row>
    <row r="647">
      <c r="A647" s="17">
        <f>IF(B647="","",B647+(4*1000+46)/10000000)</f>
        <v/>
      </c>
      <c r="B647" s="23">
        <f>IF(Brand_Log!AN47=1,Brand_Log!G47,"")</f>
        <v/>
      </c>
      <c r="C647" s="17">
        <f>IF(B647="","","brand")</f>
        <v/>
      </c>
      <c r="D647" s="17">
        <f>IF(B647="","",Brand_Log!$A47&amp;"")</f>
        <v/>
      </c>
      <c r="E647" s="17">
        <f>IF(B647="","",IF(Brand_Log!B47="","",Brand_Log!B47&amp;""))</f>
        <v/>
      </c>
      <c r="F647" s="17">
        <f>IF(B647="","","conversation")</f>
        <v/>
      </c>
      <c r="G647" s="17">
        <f>IF(B647="","","")</f>
        <v/>
      </c>
      <c r="H647" s="17">
        <f>IF(B647="","","")</f>
        <v/>
      </c>
      <c r="I647" s="17">
        <f>IF(B647="","","")</f>
        <v/>
      </c>
      <c r="J647" s="17">
        <f>IF(B647="","",IF(Brand_Log!H47="","",Brand_Log!H47&amp;""))</f>
        <v/>
      </c>
      <c r="K647" t="inlineStr">
        <is>
          <t>brand conversation</t>
        </is>
      </c>
    </row>
    <row r="648">
      <c r="A648" s="17">
        <f>IF(B648="","",B648+(4*1000+47)/10000000)</f>
        <v/>
      </c>
      <c r="B648" s="23">
        <f>IF(Brand_Log!AN48=1,Brand_Log!G48,"")</f>
        <v/>
      </c>
      <c r="C648" s="17">
        <f>IF(B648="","","brand")</f>
        <v/>
      </c>
      <c r="D648" s="17">
        <f>IF(B648="","",Brand_Log!$A48&amp;"")</f>
        <v/>
      </c>
      <c r="E648" s="17">
        <f>IF(B648="","",IF(Brand_Log!B48="","",Brand_Log!B48&amp;""))</f>
        <v/>
      </c>
      <c r="F648" s="17">
        <f>IF(B648="","","conversation")</f>
        <v/>
      </c>
      <c r="G648" s="17">
        <f>IF(B648="","","")</f>
        <v/>
      </c>
      <c r="H648" s="17">
        <f>IF(B648="","","")</f>
        <v/>
      </c>
      <c r="I648" s="17">
        <f>IF(B648="","","")</f>
        <v/>
      </c>
      <c r="J648" s="17">
        <f>IF(B648="","",IF(Brand_Log!H48="","",Brand_Log!H48&amp;""))</f>
        <v/>
      </c>
      <c r="K648" t="inlineStr">
        <is>
          <t>brand conversation</t>
        </is>
      </c>
    </row>
    <row r="649">
      <c r="A649" s="17">
        <f>IF(B649="","",B649+(4*1000+48)/10000000)</f>
        <v/>
      </c>
      <c r="B649" s="23">
        <f>IF(Brand_Log!AN49=1,Brand_Log!G49,"")</f>
        <v/>
      </c>
      <c r="C649" s="17">
        <f>IF(B649="","","brand")</f>
        <v/>
      </c>
      <c r="D649" s="17">
        <f>IF(B649="","",Brand_Log!$A49&amp;"")</f>
        <v/>
      </c>
      <c r="E649" s="17">
        <f>IF(B649="","",IF(Brand_Log!B49="","",Brand_Log!B49&amp;""))</f>
        <v/>
      </c>
      <c r="F649" s="17">
        <f>IF(B649="","","conversation")</f>
        <v/>
      </c>
      <c r="G649" s="17">
        <f>IF(B649="","","")</f>
        <v/>
      </c>
      <c r="H649" s="17">
        <f>IF(B649="","","")</f>
        <v/>
      </c>
      <c r="I649" s="17">
        <f>IF(B649="","","")</f>
        <v/>
      </c>
      <c r="J649" s="17">
        <f>IF(B649="","",IF(Brand_Log!H49="","",Brand_Log!H49&amp;""))</f>
        <v/>
      </c>
      <c r="K649" t="inlineStr">
        <is>
          <t>brand conversation</t>
        </is>
      </c>
    </row>
    <row r="650">
      <c r="A650" s="17">
        <f>IF(B650="","",B650+(4*1000+49)/10000000)</f>
        <v/>
      </c>
      <c r="B650" s="23">
        <f>IF(Brand_Log!AN50=1,Brand_Log!G50,"")</f>
        <v/>
      </c>
      <c r="C650" s="17">
        <f>IF(B650="","","brand")</f>
        <v/>
      </c>
      <c r="D650" s="17">
        <f>IF(B650="","",Brand_Log!$A50&amp;"")</f>
        <v/>
      </c>
      <c r="E650" s="17">
        <f>IF(B650="","",IF(Brand_Log!B50="","",Brand_Log!B50&amp;""))</f>
        <v/>
      </c>
      <c r="F650" s="17">
        <f>IF(B650="","","conversation")</f>
        <v/>
      </c>
      <c r="G650" s="17">
        <f>IF(B650="","","")</f>
        <v/>
      </c>
      <c r="H650" s="17">
        <f>IF(B650="","","")</f>
        <v/>
      </c>
      <c r="I650" s="17">
        <f>IF(B650="","","")</f>
        <v/>
      </c>
      <c r="J650" s="17">
        <f>IF(B650="","",IF(Brand_Log!H50="","",Brand_Log!H50&amp;""))</f>
        <v/>
      </c>
      <c r="K650" t="inlineStr">
        <is>
          <t>brand conversation</t>
        </is>
      </c>
    </row>
    <row r="651">
      <c r="A651" s="17">
        <f>IF(B651="","",B651+(4*1000+50)/10000000)</f>
        <v/>
      </c>
      <c r="B651" s="23">
        <f>IF(Brand_Log!AN51=1,Brand_Log!G51,"")</f>
        <v/>
      </c>
      <c r="C651" s="17">
        <f>IF(B651="","","brand")</f>
        <v/>
      </c>
      <c r="D651" s="17">
        <f>IF(B651="","",Brand_Log!$A51&amp;"")</f>
        <v/>
      </c>
      <c r="E651" s="17">
        <f>IF(B651="","",IF(Brand_Log!B51="","",Brand_Log!B51&amp;""))</f>
        <v/>
      </c>
      <c r="F651" s="17">
        <f>IF(B651="","","conversation")</f>
        <v/>
      </c>
      <c r="G651" s="17">
        <f>IF(B651="","","")</f>
        <v/>
      </c>
      <c r="H651" s="17">
        <f>IF(B651="","","")</f>
        <v/>
      </c>
      <c r="I651" s="17">
        <f>IF(B651="","","")</f>
        <v/>
      </c>
      <c r="J651" s="17">
        <f>IF(B651="","",IF(Brand_Log!H51="","",Brand_Log!H51&amp;""))</f>
        <v/>
      </c>
      <c r="K651" t="inlineStr">
        <is>
          <t>brand conversation</t>
        </is>
      </c>
    </row>
    <row r="652">
      <c r="A652" s="17">
        <f>IF(B652="","",B652+(4*1000+51)/10000000)</f>
        <v/>
      </c>
      <c r="B652" s="23">
        <f>IF(Brand_Log!AN52=1,Brand_Log!G52,"")</f>
        <v/>
      </c>
      <c r="C652" s="17">
        <f>IF(B652="","","brand")</f>
        <v/>
      </c>
      <c r="D652" s="17">
        <f>IF(B652="","",Brand_Log!$A52&amp;"")</f>
        <v/>
      </c>
      <c r="E652" s="17">
        <f>IF(B652="","",IF(Brand_Log!B52="","",Brand_Log!B52&amp;""))</f>
        <v/>
      </c>
      <c r="F652" s="17">
        <f>IF(B652="","","conversation")</f>
        <v/>
      </c>
      <c r="G652" s="17">
        <f>IF(B652="","","")</f>
        <v/>
      </c>
      <c r="H652" s="17">
        <f>IF(B652="","","")</f>
        <v/>
      </c>
      <c r="I652" s="17">
        <f>IF(B652="","","")</f>
        <v/>
      </c>
      <c r="J652" s="17">
        <f>IF(B652="","",IF(Brand_Log!H52="","",Brand_Log!H52&amp;""))</f>
        <v/>
      </c>
      <c r="K652" t="inlineStr">
        <is>
          <t>brand conversation</t>
        </is>
      </c>
    </row>
    <row r="653">
      <c r="A653" s="17">
        <f>IF(B653="","",B653+(4*1000+52)/10000000)</f>
        <v/>
      </c>
      <c r="B653" s="23">
        <f>IF(Brand_Log!AN53=1,Brand_Log!G53,"")</f>
        <v/>
      </c>
      <c r="C653" s="17">
        <f>IF(B653="","","brand")</f>
        <v/>
      </c>
      <c r="D653" s="17">
        <f>IF(B653="","",Brand_Log!$A53&amp;"")</f>
        <v/>
      </c>
      <c r="E653" s="17">
        <f>IF(B653="","",IF(Brand_Log!B53="","",Brand_Log!B53&amp;""))</f>
        <v/>
      </c>
      <c r="F653" s="17">
        <f>IF(B653="","","conversation")</f>
        <v/>
      </c>
      <c r="G653" s="17">
        <f>IF(B653="","","")</f>
        <v/>
      </c>
      <c r="H653" s="17">
        <f>IF(B653="","","")</f>
        <v/>
      </c>
      <c r="I653" s="17">
        <f>IF(B653="","","")</f>
        <v/>
      </c>
      <c r="J653" s="17">
        <f>IF(B653="","",IF(Brand_Log!H53="","",Brand_Log!H53&amp;""))</f>
        <v/>
      </c>
      <c r="K653" t="inlineStr">
        <is>
          <t>brand conversation</t>
        </is>
      </c>
    </row>
    <row r="654">
      <c r="A654" s="17">
        <f>IF(B654="","",B654+(4*1000+53)/10000000)</f>
        <v/>
      </c>
      <c r="B654" s="23">
        <f>IF(Brand_Log!AN54=1,Brand_Log!G54,"")</f>
        <v/>
      </c>
      <c r="C654" s="17">
        <f>IF(B654="","","brand")</f>
        <v/>
      </c>
      <c r="D654" s="17">
        <f>IF(B654="","",Brand_Log!$A54&amp;"")</f>
        <v/>
      </c>
      <c r="E654" s="17">
        <f>IF(B654="","",IF(Brand_Log!B54="","",Brand_Log!B54&amp;""))</f>
        <v/>
      </c>
      <c r="F654" s="17">
        <f>IF(B654="","","conversation")</f>
        <v/>
      </c>
      <c r="G654" s="17">
        <f>IF(B654="","","")</f>
        <v/>
      </c>
      <c r="H654" s="17">
        <f>IF(B654="","","")</f>
        <v/>
      </c>
      <c r="I654" s="17">
        <f>IF(B654="","","")</f>
        <v/>
      </c>
      <c r="J654" s="17">
        <f>IF(B654="","",IF(Brand_Log!H54="","",Brand_Log!H54&amp;""))</f>
        <v/>
      </c>
      <c r="K654" t="inlineStr">
        <is>
          <t>brand conversation</t>
        </is>
      </c>
    </row>
    <row r="655">
      <c r="A655" s="17">
        <f>IF(B655="","",B655+(4*1000+54)/10000000)</f>
        <v/>
      </c>
      <c r="B655" s="23">
        <f>IF(Brand_Log!AN55=1,Brand_Log!G55,"")</f>
        <v/>
      </c>
      <c r="C655" s="17">
        <f>IF(B655="","","brand")</f>
        <v/>
      </c>
      <c r="D655" s="17">
        <f>IF(B655="","",Brand_Log!$A55&amp;"")</f>
        <v/>
      </c>
      <c r="E655" s="17">
        <f>IF(B655="","",IF(Brand_Log!B55="","",Brand_Log!B55&amp;""))</f>
        <v/>
      </c>
      <c r="F655" s="17">
        <f>IF(B655="","","conversation")</f>
        <v/>
      </c>
      <c r="G655" s="17">
        <f>IF(B655="","","")</f>
        <v/>
      </c>
      <c r="H655" s="17">
        <f>IF(B655="","","")</f>
        <v/>
      </c>
      <c r="I655" s="17">
        <f>IF(B655="","","")</f>
        <v/>
      </c>
      <c r="J655" s="17">
        <f>IF(B655="","",IF(Brand_Log!H55="","",Brand_Log!H55&amp;""))</f>
        <v/>
      </c>
      <c r="K655" t="inlineStr">
        <is>
          <t>brand conversation</t>
        </is>
      </c>
    </row>
    <row r="656">
      <c r="A656" s="17">
        <f>IF(B656="","",B656+(4*1000+55)/10000000)</f>
        <v/>
      </c>
      <c r="B656" s="23">
        <f>IF(Brand_Log!AN56=1,Brand_Log!G56,"")</f>
        <v/>
      </c>
      <c r="C656" s="17">
        <f>IF(B656="","","brand")</f>
        <v/>
      </c>
      <c r="D656" s="17">
        <f>IF(B656="","",Brand_Log!$A56&amp;"")</f>
        <v/>
      </c>
      <c r="E656" s="17">
        <f>IF(B656="","",IF(Brand_Log!B56="","",Brand_Log!B56&amp;""))</f>
        <v/>
      </c>
      <c r="F656" s="17">
        <f>IF(B656="","","conversation")</f>
        <v/>
      </c>
      <c r="G656" s="17">
        <f>IF(B656="","","")</f>
        <v/>
      </c>
      <c r="H656" s="17">
        <f>IF(B656="","","")</f>
        <v/>
      </c>
      <c r="I656" s="17">
        <f>IF(B656="","","")</f>
        <v/>
      </c>
      <c r="J656" s="17">
        <f>IF(B656="","",IF(Brand_Log!H56="","",Brand_Log!H56&amp;""))</f>
        <v/>
      </c>
      <c r="K656" t="inlineStr">
        <is>
          <t>brand conversation</t>
        </is>
      </c>
    </row>
    <row r="657">
      <c r="A657" s="17">
        <f>IF(B657="","",B657+(4*1000+56)/10000000)</f>
        <v/>
      </c>
      <c r="B657" s="23">
        <f>IF(Brand_Log!AN57=1,Brand_Log!G57,"")</f>
        <v/>
      </c>
      <c r="C657" s="17">
        <f>IF(B657="","","brand")</f>
        <v/>
      </c>
      <c r="D657" s="17">
        <f>IF(B657="","",Brand_Log!$A57&amp;"")</f>
        <v/>
      </c>
      <c r="E657" s="17">
        <f>IF(B657="","",IF(Brand_Log!B57="","",Brand_Log!B57&amp;""))</f>
        <v/>
      </c>
      <c r="F657" s="17">
        <f>IF(B657="","","conversation")</f>
        <v/>
      </c>
      <c r="G657" s="17">
        <f>IF(B657="","","")</f>
        <v/>
      </c>
      <c r="H657" s="17">
        <f>IF(B657="","","")</f>
        <v/>
      </c>
      <c r="I657" s="17">
        <f>IF(B657="","","")</f>
        <v/>
      </c>
      <c r="J657" s="17">
        <f>IF(B657="","",IF(Brand_Log!H57="","",Brand_Log!H57&amp;""))</f>
        <v/>
      </c>
      <c r="K657" t="inlineStr">
        <is>
          <t>brand conversation</t>
        </is>
      </c>
    </row>
    <row r="658">
      <c r="A658" s="17">
        <f>IF(B658="","",B658+(4*1000+57)/10000000)</f>
        <v/>
      </c>
      <c r="B658" s="23">
        <f>IF(Brand_Log!AN58=1,Brand_Log!G58,"")</f>
        <v/>
      </c>
      <c r="C658" s="17">
        <f>IF(B658="","","brand")</f>
        <v/>
      </c>
      <c r="D658" s="17">
        <f>IF(B658="","",Brand_Log!$A58&amp;"")</f>
        <v/>
      </c>
      <c r="E658" s="17">
        <f>IF(B658="","",IF(Brand_Log!B58="","",Brand_Log!B58&amp;""))</f>
        <v/>
      </c>
      <c r="F658" s="17">
        <f>IF(B658="","","conversation")</f>
        <v/>
      </c>
      <c r="G658" s="17">
        <f>IF(B658="","","")</f>
        <v/>
      </c>
      <c r="H658" s="17">
        <f>IF(B658="","","")</f>
        <v/>
      </c>
      <c r="I658" s="17">
        <f>IF(B658="","","")</f>
        <v/>
      </c>
      <c r="J658" s="17">
        <f>IF(B658="","",IF(Brand_Log!H58="","",Brand_Log!H58&amp;""))</f>
        <v/>
      </c>
      <c r="K658" t="inlineStr">
        <is>
          <t>brand conversation</t>
        </is>
      </c>
    </row>
    <row r="659">
      <c r="A659" s="17">
        <f>IF(B659="","",B659+(4*1000+58)/10000000)</f>
        <v/>
      </c>
      <c r="B659" s="23">
        <f>IF(Brand_Log!AN59=1,Brand_Log!G59,"")</f>
        <v/>
      </c>
      <c r="C659" s="17">
        <f>IF(B659="","","brand")</f>
        <v/>
      </c>
      <c r="D659" s="17">
        <f>IF(B659="","",Brand_Log!$A59&amp;"")</f>
        <v/>
      </c>
      <c r="E659" s="17">
        <f>IF(B659="","",IF(Brand_Log!B59="","",Brand_Log!B59&amp;""))</f>
        <v/>
      </c>
      <c r="F659" s="17">
        <f>IF(B659="","","conversation")</f>
        <v/>
      </c>
      <c r="G659" s="17">
        <f>IF(B659="","","")</f>
        <v/>
      </c>
      <c r="H659" s="17">
        <f>IF(B659="","","")</f>
        <v/>
      </c>
      <c r="I659" s="17">
        <f>IF(B659="","","")</f>
        <v/>
      </c>
      <c r="J659" s="17">
        <f>IF(B659="","",IF(Brand_Log!H59="","",Brand_Log!H59&amp;""))</f>
        <v/>
      </c>
      <c r="K659" t="inlineStr">
        <is>
          <t>brand conversation</t>
        </is>
      </c>
    </row>
    <row r="660">
      <c r="A660" s="17">
        <f>IF(B660="","",B660+(4*1000+59)/10000000)</f>
        <v/>
      </c>
      <c r="B660" s="23">
        <f>IF(Brand_Log!AN60=1,Brand_Log!G60,"")</f>
        <v/>
      </c>
      <c r="C660" s="17">
        <f>IF(B660="","","brand")</f>
        <v/>
      </c>
      <c r="D660" s="17">
        <f>IF(B660="","",Brand_Log!$A60&amp;"")</f>
        <v/>
      </c>
      <c r="E660" s="17">
        <f>IF(B660="","",IF(Brand_Log!B60="","",Brand_Log!B60&amp;""))</f>
        <v/>
      </c>
      <c r="F660" s="17">
        <f>IF(B660="","","conversation")</f>
        <v/>
      </c>
      <c r="G660" s="17">
        <f>IF(B660="","","")</f>
        <v/>
      </c>
      <c r="H660" s="17">
        <f>IF(B660="","","")</f>
        <v/>
      </c>
      <c r="I660" s="17">
        <f>IF(B660="","","")</f>
        <v/>
      </c>
      <c r="J660" s="17">
        <f>IF(B660="","",IF(Brand_Log!H60="","",Brand_Log!H60&amp;""))</f>
        <v/>
      </c>
      <c r="K660" t="inlineStr">
        <is>
          <t>brand conversation</t>
        </is>
      </c>
    </row>
    <row r="661">
      <c r="A661" s="17">
        <f>IF(B661="","",B661+(4*1000+60)/10000000)</f>
        <v/>
      </c>
      <c r="B661" s="23">
        <f>IF(Brand_Log!AN61=1,Brand_Log!G61,"")</f>
        <v/>
      </c>
      <c r="C661" s="17">
        <f>IF(B661="","","brand")</f>
        <v/>
      </c>
      <c r="D661" s="17">
        <f>IF(B661="","",Brand_Log!$A61&amp;"")</f>
        <v/>
      </c>
      <c r="E661" s="17">
        <f>IF(B661="","",IF(Brand_Log!B61="","",Brand_Log!B61&amp;""))</f>
        <v/>
      </c>
      <c r="F661" s="17">
        <f>IF(B661="","","conversation")</f>
        <v/>
      </c>
      <c r="G661" s="17">
        <f>IF(B661="","","")</f>
        <v/>
      </c>
      <c r="H661" s="17">
        <f>IF(B661="","","")</f>
        <v/>
      </c>
      <c r="I661" s="17">
        <f>IF(B661="","","")</f>
        <v/>
      </c>
      <c r="J661" s="17">
        <f>IF(B661="","",IF(Brand_Log!H61="","",Brand_Log!H61&amp;""))</f>
        <v/>
      </c>
      <c r="K661" t="inlineStr">
        <is>
          <t>brand conversation</t>
        </is>
      </c>
    </row>
    <row r="662">
      <c r="A662" s="17">
        <f>IF(B662="","",B662+(4*1000+61)/10000000)</f>
        <v/>
      </c>
      <c r="B662" s="23">
        <f>IF(Brand_Log!AN62=1,Brand_Log!G62,"")</f>
        <v/>
      </c>
      <c r="C662" s="17">
        <f>IF(B662="","","brand")</f>
        <v/>
      </c>
      <c r="D662" s="17">
        <f>IF(B662="","",Brand_Log!$A62&amp;"")</f>
        <v/>
      </c>
      <c r="E662" s="17">
        <f>IF(B662="","",IF(Brand_Log!B62="","",Brand_Log!B62&amp;""))</f>
        <v/>
      </c>
      <c r="F662" s="17">
        <f>IF(B662="","","conversation")</f>
        <v/>
      </c>
      <c r="G662" s="17">
        <f>IF(B662="","","")</f>
        <v/>
      </c>
      <c r="H662" s="17">
        <f>IF(B662="","","")</f>
        <v/>
      </c>
      <c r="I662" s="17">
        <f>IF(B662="","","")</f>
        <v/>
      </c>
      <c r="J662" s="17">
        <f>IF(B662="","",IF(Brand_Log!H62="","",Brand_Log!H62&amp;""))</f>
        <v/>
      </c>
      <c r="K662" t="inlineStr">
        <is>
          <t>brand conversation</t>
        </is>
      </c>
    </row>
    <row r="663">
      <c r="A663" s="17">
        <f>IF(B663="","",B663+(4*1000+62)/10000000)</f>
        <v/>
      </c>
      <c r="B663" s="23">
        <f>IF(Brand_Log!AN63=1,Brand_Log!G63,"")</f>
        <v/>
      </c>
      <c r="C663" s="17">
        <f>IF(B663="","","brand")</f>
        <v/>
      </c>
      <c r="D663" s="17">
        <f>IF(B663="","",Brand_Log!$A63&amp;"")</f>
        <v/>
      </c>
      <c r="E663" s="17">
        <f>IF(B663="","",IF(Brand_Log!B63="","",Brand_Log!B63&amp;""))</f>
        <v/>
      </c>
      <c r="F663" s="17">
        <f>IF(B663="","","conversation")</f>
        <v/>
      </c>
      <c r="G663" s="17">
        <f>IF(B663="","","")</f>
        <v/>
      </c>
      <c r="H663" s="17">
        <f>IF(B663="","","")</f>
        <v/>
      </c>
      <c r="I663" s="17">
        <f>IF(B663="","","")</f>
        <v/>
      </c>
      <c r="J663" s="17">
        <f>IF(B663="","",IF(Brand_Log!H63="","",Brand_Log!H63&amp;""))</f>
        <v/>
      </c>
      <c r="K663" t="inlineStr">
        <is>
          <t>brand conversation</t>
        </is>
      </c>
    </row>
    <row r="664">
      <c r="A664" s="17">
        <f>IF(B664="","",B664+(4*1000+63)/10000000)</f>
        <v/>
      </c>
      <c r="B664" s="23">
        <f>IF(Brand_Log!AN64=1,Brand_Log!G64,"")</f>
        <v/>
      </c>
      <c r="C664" s="17">
        <f>IF(B664="","","brand")</f>
        <v/>
      </c>
      <c r="D664" s="17">
        <f>IF(B664="","",Brand_Log!$A64&amp;"")</f>
        <v/>
      </c>
      <c r="E664" s="17">
        <f>IF(B664="","",IF(Brand_Log!B64="","",Brand_Log!B64&amp;""))</f>
        <v/>
      </c>
      <c r="F664" s="17">
        <f>IF(B664="","","conversation")</f>
        <v/>
      </c>
      <c r="G664" s="17">
        <f>IF(B664="","","")</f>
        <v/>
      </c>
      <c r="H664" s="17">
        <f>IF(B664="","","")</f>
        <v/>
      </c>
      <c r="I664" s="17">
        <f>IF(B664="","","")</f>
        <v/>
      </c>
      <c r="J664" s="17">
        <f>IF(B664="","",IF(Brand_Log!H64="","",Brand_Log!H64&amp;""))</f>
        <v/>
      </c>
      <c r="K664" t="inlineStr">
        <is>
          <t>brand conversation</t>
        </is>
      </c>
    </row>
    <row r="665">
      <c r="A665" s="17">
        <f>IF(B665="","",B665+(4*1000+64)/10000000)</f>
        <v/>
      </c>
      <c r="B665" s="23">
        <f>IF(Brand_Log!AN65=1,Brand_Log!G65,"")</f>
        <v/>
      </c>
      <c r="C665" s="17">
        <f>IF(B665="","","brand")</f>
        <v/>
      </c>
      <c r="D665" s="17">
        <f>IF(B665="","",Brand_Log!$A65&amp;"")</f>
        <v/>
      </c>
      <c r="E665" s="17">
        <f>IF(B665="","",IF(Brand_Log!B65="","",Brand_Log!B65&amp;""))</f>
        <v/>
      </c>
      <c r="F665" s="17">
        <f>IF(B665="","","conversation")</f>
        <v/>
      </c>
      <c r="G665" s="17">
        <f>IF(B665="","","")</f>
        <v/>
      </c>
      <c r="H665" s="17">
        <f>IF(B665="","","")</f>
        <v/>
      </c>
      <c r="I665" s="17">
        <f>IF(B665="","","")</f>
        <v/>
      </c>
      <c r="J665" s="17">
        <f>IF(B665="","",IF(Brand_Log!H65="","",Brand_Log!H65&amp;""))</f>
        <v/>
      </c>
      <c r="K665" t="inlineStr">
        <is>
          <t>brand conversation</t>
        </is>
      </c>
    </row>
    <row r="666">
      <c r="A666" s="17">
        <f>IF(B666="","",B666+(4*1000+65)/10000000)</f>
        <v/>
      </c>
      <c r="B666" s="23">
        <f>IF(Brand_Log!AN66=1,Brand_Log!G66,"")</f>
        <v/>
      </c>
      <c r="C666" s="17">
        <f>IF(B666="","","brand")</f>
        <v/>
      </c>
      <c r="D666" s="17">
        <f>IF(B666="","",Brand_Log!$A66&amp;"")</f>
        <v/>
      </c>
      <c r="E666" s="17">
        <f>IF(B666="","",IF(Brand_Log!B66="","",Brand_Log!B66&amp;""))</f>
        <v/>
      </c>
      <c r="F666" s="17">
        <f>IF(B666="","","conversation")</f>
        <v/>
      </c>
      <c r="G666" s="17">
        <f>IF(B666="","","")</f>
        <v/>
      </c>
      <c r="H666" s="17">
        <f>IF(B666="","","")</f>
        <v/>
      </c>
      <c r="I666" s="17">
        <f>IF(B666="","","")</f>
        <v/>
      </c>
      <c r="J666" s="17">
        <f>IF(B666="","",IF(Brand_Log!H66="","",Brand_Log!H66&amp;""))</f>
        <v/>
      </c>
      <c r="K666" t="inlineStr">
        <is>
          <t>brand conversation</t>
        </is>
      </c>
    </row>
    <row r="667">
      <c r="A667" s="17">
        <f>IF(B667="","",B667+(4*1000+66)/10000000)</f>
        <v/>
      </c>
      <c r="B667" s="23">
        <f>IF(Brand_Log!AN67=1,Brand_Log!G67,"")</f>
        <v/>
      </c>
      <c r="C667" s="17">
        <f>IF(B667="","","brand")</f>
        <v/>
      </c>
      <c r="D667" s="17">
        <f>IF(B667="","",Brand_Log!$A67&amp;"")</f>
        <v/>
      </c>
      <c r="E667" s="17">
        <f>IF(B667="","",IF(Brand_Log!B67="","",Brand_Log!B67&amp;""))</f>
        <v/>
      </c>
      <c r="F667" s="17">
        <f>IF(B667="","","conversation")</f>
        <v/>
      </c>
      <c r="G667" s="17">
        <f>IF(B667="","","")</f>
        <v/>
      </c>
      <c r="H667" s="17">
        <f>IF(B667="","","")</f>
        <v/>
      </c>
      <c r="I667" s="17">
        <f>IF(B667="","","")</f>
        <v/>
      </c>
      <c r="J667" s="17">
        <f>IF(B667="","",IF(Brand_Log!H67="","",Brand_Log!H67&amp;""))</f>
        <v/>
      </c>
      <c r="K667" t="inlineStr">
        <is>
          <t>brand conversation</t>
        </is>
      </c>
    </row>
    <row r="668">
      <c r="A668" s="17">
        <f>IF(B668="","",B668+(4*1000+67)/10000000)</f>
        <v/>
      </c>
      <c r="B668" s="23">
        <f>IF(Brand_Log!AN68=1,Brand_Log!G68,"")</f>
        <v/>
      </c>
      <c r="C668" s="17">
        <f>IF(B668="","","brand")</f>
        <v/>
      </c>
      <c r="D668" s="17">
        <f>IF(B668="","",Brand_Log!$A68&amp;"")</f>
        <v/>
      </c>
      <c r="E668" s="17">
        <f>IF(B668="","",IF(Brand_Log!B68="","",Brand_Log!B68&amp;""))</f>
        <v/>
      </c>
      <c r="F668" s="17">
        <f>IF(B668="","","conversation")</f>
        <v/>
      </c>
      <c r="G668" s="17">
        <f>IF(B668="","","")</f>
        <v/>
      </c>
      <c r="H668" s="17">
        <f>IF(B668="","","")</f>
        <v/>
      </c>
      <c r="I668" s="17">
        <f>IF(B668="","","")</f>
        <v/>
      </c>
      <c r="J668" s="17">
        <f>IF(B668="","",IF(Brand_Log!H68="","",Brand_Log!H68&amp;""))</f>
        <v/>
      </c>
      <c r="K668" t="inlineStr">
        <is>
          <t>brand conversation</t>
        </is>
      </c>
    </row>
    <row r="669">
      <c r="A669" s="17">
        <f>IF(B669="","",B669+(4*1000+68)/10000000)</f>
        <v/>
      </c>
      <c r="B669" s="23">
        <f>IF(Brand_Log!AN69=1,Brand_Log!G69,"")</f>
        <v/>
      </c>
      <c r="C669" s="17">
        <f>IF(B669="","","brand")</f>
        <v/>
      </c>
      <c r="D669" s="17">
        <f>IF(B669="","",Brand_Log!$A69&amp;"")</f>
        <v/>
      </c>
      <c r="E669" s="17">
        <f>IF(B669="","",IF(Brand_Log!B69="","",Brand_Log!B69&amp;""))</f>
        <v/>
      </c>
      <c r="F669" s="17">
        <f>IF(B669="","","conversation")</f>
        <v/>
      </c>
      <c r="G669" s="17">
        <f>IF(B669="","","")</f>
        <v/>
      </c>
      <c r="H669" s="17">
        <f>IF(B669="","","")</f>
        <v/>
      </c>
      <c r="I669" s="17">
        <f>IF(B669="","","")</f>
        <v/>
      </c>
      <c r="J669" s="17">
        <f>IF(B669="","",IF(Brand_Log!H69="","",Brand_Log!H69&amp;""))</f>
        <v/>
      </c>
      <c r="K669" t="inlineStr">
        <is>
          <t>brand conversation</t>
        </is>
      </c>
    </row>
    <row r="670">
      <c r="A670" s="17">
        <f>IF(B670="","",B670+(4*1000+69)/10000000)</f>
        <v/>
      </c>
      <c r="B670" s="23">
        <f>IF(Brand_Log!AN70=1,Brand_Log!G70,"")</f>
        <v/>
      </c>
      <c r="C670" s="17">
        <f>IF(B670="","","brand")</f>
        <v/>
      </c>
      <c r="D670" s="17">
        <f>IF(B670="","",Brand_Log!$A70&amp;"")</f>
        <v/>
      </c>
      <c r="E670" s="17">
        <f>IF(B670="","",IF(Brand_Log!B70="","",Brand_Log!B70&amp;""))</f>
        <v/>
      </c>
      <c r="F670" s="17">
        <f>IF(B670="","","conversation")</f>
        <v/>
      </c>
      <c r="G670" s="17">
        <f>IF(B670="","","")</f>
        <v/>
      </c>
      <c r="H670" s="17">
        <f>IF(B670="","","")</f>
        <v/>
      </c>
      <c r="I670" s="17">
        <f>IF(B670="","","")</f>
        <v/>
      </c>
      <c r="J670" s="17">
        <f>IF(B670="","",IF(Brand_Log!H70="","",Brand_Log!H70&amp;""))</f>
        <v/>
      </c>
      <c r="K670" t="inlineStr">
        <is>
          <t>brand conversation</t>
        </is>
      </c>
    </row>
    <row r="671">
      <c r="A671" s="17">
        <f>IF(B671="","",B671+(4*1000+70)/10000000)</f>
        <v/>
      </c>
      <c r="B671" s="23">
        <f>IF(Brand_Log!AN71=1,Brand_Log!G71,"")</f>
        <v/>
      </c>
      <c r="C671" s="17">
        <f>IF(B671="","","brand")</f>
        <v/>
      </c>
      <c r="D671" s="17">
        <f>IF(B671="","",Brand_Log!$A71&amp;"")</f>
        <v/>
      </c>
      <c r="E671" s="17">
        <f>IF(B671="","",IF(Brand_Log!B71="","",Brand_Log!B71&amp;""))</f>
        <v/>
      </c>
      <c r="F671" s="17">
        <f>IF(B671="","","conversation")</f>
        <v/>
      </c>
      <c r="G671" s="17">
        <f>IF(B671="","","")</f>
        <v/>
      </c>
      <c r="H671" s="17">
        <f>IF(B671="","","")</f>
        <v/>
      </c>
      <c r="I671" s="17">
        <f>IF(B671="","","")</f>
        <v/>
      </c>
      <c r="J671" s="17">
        <f>IF(B671="","",IF(Brand_Log!H71="","",Brand_Log!H71&amp;""))</f>
        <v/>
      </c>
      <c r="K671" t="inlineStr">
        <is>
          <t>brand conversation</t>
        </is>
      </c>
    </row>
    <row r="672">
      <c r="A672" s="17">
        <f>IF(B672="","",B672+(4*1000+71)/10000000)</f>
        <v/>
      </c>
      <c r="B672" s="23">
        <f>IF(Brand_Log!AN72=1,Brand_Log!G72,"")</f>
        <v/>
      </c>
      <c r="C672" s="17">
        <f>IF(B672="","","brand")</f>
        <v/>
      </c>
      <c r="D672" s="17">
        <f>IF(B672="","",Brand_Log!$A72&amp;"")</f>
        <v/>
      </c>
      <c r="E672" s="17">
        <f>IF(B672="","",IF(Brand_Log!B72="","",Brand_Log!B72&amp;""))</f>
        <v/>
      </c>
      <c r="F672" s="17">
        <f>IF(B672="","","conversation")</f>
        <v/>
      </c>
      <c r="G672" s="17">
        <f>IF(B672="","","")</f>
        <v/>
      </c>
      <c r="H672" s="17">
        <f>IF(B672="","","")</f>
        <v/>
      </c>
      <c r="I672" s="17">
        <f>IF(B672="","","")</f>
        <v/>
      </c>
      <c r="J672" s="17">
        <f>IF(B672="","",IF(Brand_Log!H72="","",Brand_Log!H72&amp;""))</f>
        <v/>
      </c>
      <c r="K672" t="inlineStr">
        <is>
          <t>brand conversation</t>
        </is>
      </c>
    </row>
    <row r="673">
      <c r="A673" s="17">
        <f>IF(B673="","",B673+(4*1000+72)/10000000)</f>
        <v/>
      </c>
      <c r="B673" s="23">
        <f>IF(Brand_Log!AN73=1,Brand_Log!G73,"")</f>
        <v/>
      </c>
      <c r="C673" s="17">
        <f>IF(B673="","","brand")</f>
        <v/>
      </c>
      <c r="D673" s="17">
        <f>IF(B673="","",Brand_Log!$A73&amp;"")</f>
        <v/>
      </c>
      <c r="E673" s="17">
        <f>IF(B673="","",IF(Brand_Log!B73="","",Brand_Log!B73&amp;""))</f>
        <v/>
      </c>
      <c r="F673" s="17">
        <f>IF(B673="","","conversation")</f>
        <v/>
      </c>
      <c r="G673" s="17">
        <f>IF(B673="","","")</f>
        <v/>
      </c>
      <c r="H673" s="17">
        <f>IF(B673="","","")</f>
        <v/>
      </c>
      <c r="I673" s="17">
        <f>IF(B673="","","")</f>
        <v/>
      </c>
      <c r="J673" s="17">
        <f>IF(B673="","",IF(Brand_Log!H73="","",Brand_Log!H73&amp;""))</f>
        <v/>
      </c>
      <c r="K673" t="inlineStr">
        <is>
          <t>brand conversation</t>
        </is>
      </c>
    </row>
    <row r="674">
      <c r="A674" s="17">
        <f>IF(B674="","",B674+(4*1000+73)/10000000)</f>
        <v/>
      </c>
      <c r="B674" s="23">
        <f>IF(Brand_Log!AN74=1,Brand_Log!G74,"")</f>
        <v/>
      </c>
      <c r="C674" s="17">
        <f>IF(B674="","","brand")</f>
        <v/>
      </c>
      <c r="D674" s="17">
        <f>IF(B674="","",Brand_Log!$A74&amp;"")</f>
        <v/>
      </c>
      <c r="E674" s="17">
        <f>IF(B674="","",IF(Brand_Log!B74="","",Brand_Log!B74&amp;""))</f>
        <v/>
      </c>
      <c r="F674" s="17">
        <f>IF(B674="","","conversation")</f>
        <v/>
      </c>
      <c r="G674" s="17">
        <f>IF(B674="","","")</f>
        <v/>
      </c>
      <c r="H674" s="17">
        <f>IF(B674="","","")</f>
        <v/>
      </c>
      <c r="I674" s="17">
        <f>IF(B674="","","")</f>
        <v/>
      </c>
      <c r="J674" s="17">
        <f>IF(B674="","",IF(Brand_Log!H74="","",Brand_Log!H74&amp;""))</f>
        <v/>
      </c>
      <c r="K674" t="inlineStr">
        <is>
          <t>brand conversation</t>
        </is>
      </c>
    </row>
    <row r="675">
      <c r="A675" s="17">
        <f>IF(B675="","",B675+(4*1000+74)/10000000)</f>
        <v/>
      </c>
      <c r="B675" s="23">
        <f>IF(Brand_Log!AN75=1,Brand_Log!G75,"")</f>
        <v/>
      </c>
      <c r="C675" s="17">
        <f>IF(B675="","","brand")</f>
        <v/>
      </c>
      <c r="D675" s="17">
        <f>IF(B675="","",Brand_Log!$A75&amp;"")</f>
        <v/>
      </c>
      <c r="E675" s="17">
        <f>IF(B675="","",IF(Brand_Log!B75="","",Brand_Log!B75&amp;""))</f>
        <v/>
      </c>
      <c r="F675" s="17">
        <f>IF(B675="","","conversation")</f>
        <v/>
      </c>
      <c r="G675" s="17">
        <f>IF(B675="","","")</f>
        <v/>
      </c>
      <c r="H675" s="17">
        <f>IF(B675="","","")</f>
        <v/>
      </c>
      <c r="I675" s="17">
        <f>IF(B675="","","")</f>
        <v/>
      </c>
      <c r="J675" s="17">
        <f>IF(B675="","",IF(Brand_Log!H75="","",Brand_Log!H75&amp;""))</f>
        <v/>
      </c>
      <c r="K675" t="inlineStr">
        <is>
          <t>brand conversation</t>
        </is>
      </c>
    </row>
    <row r="676">
      <c r="A676" s="17">
        <f>IF(B676="","",B676+(4*1000+75)/10000000)</f>
        <v/>
      </c>
      <c r="B676" s="23">
        <f>IF(Brand_Log!AN76=1,Brand_Log!G76,"")</f>
        <v/>
      </c>
      <c r="C676" s="17">
        <f>IF(B676="","","brand")</f>
        <v/>
      </c>
      <c r="D676" s="17">
        <f>IF(B676="","",Brand_Log!$A76&amp;"")</f>
        <v/>
      </c>
      <c r="E676" s="17">
        <f>IF(B676="","",IF(Brand_Log!B76="","",Brand_Log!B76&amp;""))</f>
        <v/>
      </c>
      <c r="F676" s="17">
        <f>IF(B676="","","conversation")</f>
        <v/>
      </c>
      <c r="G676" s="17">
        <f>IF(B676="","","")</f>
        <v/>
      </c>
      <c r="H676" s="17">
        <f>IF(B676="","","")</f>
        <v/>
      </c>
      <c r="I676" s="17">
        <f>IF(B676="","","")</f>
        <v/>
      </c>
      <c r="J676" s="17">
        <f>IF(B676="","",IF(Brand_Log!H76="","",Brand_Log!H76&amp;""))</f>
        <v/>
      </c>
      <c r="K676" t="inlineStr">
        <is>
          <t>brand conversation</t>
        </is>
      </c>
    </row>
    <row r="677">
      <c r="A677" s="17">
        <f>IF(B677="","",B677+(4*1000+76)/10000000)</f>
        <v/>
      </c>
      <c r="B677" s="23">
        <f>IF(Brand_Log!AN77=1,Brand_Log!G77,"")</f>
        <v/>
      </c>
      <c r="C677" s="17">
        <f>IF(B677="","","brand")</f>
        <v/>
      </c>
      <c r="D677" s="17">
        <f>IF(B677="","",Brand_Log!$A77&amp;"")</f>
        <v/>
      </c>
      <c r="E677" s="17">
        <f>IF(B677="","",IF(Brand_Log!B77="","",Brand_Log!B77&amp;""))</f>
        <v/>
      </c>
      <c r="F677" s="17">
        <f>IF(B677="","","conversation")</f>
        <v/>
      </c>
      <c r="G677" s="17">
        <f>IF(B677="","","")</f>
        <v/>
      </c>
      <c r="H677" s="17">
        <f>IF(B677="","","")</f>
        <v/>
      </c>
      <c r="I677" s="17">
        <f>IF(B677="","","")</f>
        <v/>
      </c>
      <c r="J677" s="17">
        <f>IF(B677="","",IF(Brand_Log!H77="","",Brand_Log!H77&amp;""))</f>
        <v/>
      </c>
      <c r="K677" t="inlineStr">
        <is>
          <t>brand conversation</t>
        </is>
      </c>
    </row>
    <row r="678">
      <c r="A678" s="17">
        <f>IF(B678="","",B678+(4*1000+77)/10000000)</f>
        <v/>
      </c>
      <c r="B678" s="23">
        <f>IF(Brand_Log!AN78=1,Brand_Log!G78,"")</f>
        <v/>
      </c>
      <c r="C678" s="17">
        <f>IF(B678="","","brand")</f>
        <v/>
      </c>
      <c r="D678" s="17">
        <f>IF(B678="","",Brand_Log!$A78&amp;"")</f>
        <v/>
      </c>
      <c r="E678" s="17">
        <f>IF(B678="","",IF(Brand_Log!B78="","",Brand_Log!B78&amp;""))</f>
        <v/>
      </c>
      <c r="F678" s="17">
        <f>IF(B678="","","conversation")</f>
        <v/>
      </c>
      <c r="G678" s="17">
        <f>IF(B678="","","")</f>
        <v/>
      </c>
      <c r="H678" s="17">
        <f>IF(B678="","","")</f>
        <v/>
      </c>
      <c r="I678" s="17">
        <f>IF(B678="","","")</f>
        <v/>
      </c>
      <c r="J678" s="17">
        <f>IF(B678="","",IF(Brand_Log!H78="","",Brand_Log!H78&amp;""))</f>
        <v/>
      </c>
      <c r="K678" t="inlineStr">
        <is>
          <t>brand conversation</t>
        </is>
      </c>
    </row>
    <row r="679">
      <c r="A679" s="17">
        <f>IF(B679="","",B679+(4*1000+78)/10000000)</f>
        <v/>
      </c>
      <c r="B679" s="23">
        <f>IF(Brand_Log!AN79=1,Brand_Log!G79,"")</f>
        <v/>
      </c>
      <c r="C679" s="17">
        <f>IF(B679="","","brand")</f>
        <v/>
      </c>
      <c r="D679" s="17">
        <f>IF(B679="","",Brand_Log!$A79&amp;"")</f>
        <v/>
      </c>
      <c r="E679" s="17">
        <f>IF(B679="","",IF(Brand_Log!B79="","",Brand_Log!B79&amp;""))</f>
        <v/>
      </c>
      <c r="F679" s="17">
        <f>IF(B679="","","conversation")</f>
        <v/>
      </c>
      <c r="G679" s="17">
        <f>IF(B679="","","")</f>
        <v/>
      </c>
      <c r="H679" s="17">
        <f>IF(B679="","","")</f>
        <v/>
      </c>
      <c r="I679" s="17">
        <f>IF(B679="","","")</f>
        <v/>
      </c>
      <c r="J679" s="17">
        <f>IF(B679="","",IF(Brand_Log!H79="","",Brand_Log!H79&amp;""))</f>
        <v/>
      </c>
      <c r="K679" t="inlineStr">
        <is>
          <t>brand conversation</t>
        </is>
      </c>
    </row>
    <row r="680">
      <c r="A680" s="17">
        <f>IF(B680="","",B680+(4*1000+79)/10000000)</f>
        <v/>
      </c>
      <c r="B680" s="23">
        <f>IF(Brand_Log!AN80=1,Brand_Log!G80,"")</f>
        <v/>
      </c>
      <c r="C680" s="17">
        <f>IF(B680="","","brand")</f>
        <v/>
      </c>
      <c r="D680" s="17">
        <f>IF(B680="","",Brand_Log!$A80&amp;"")</f>
        <v/>
      </c>
      <c r="E680" s="17">
        <f>IF(B680="","",IF(Brand_Log!B80="","",Brand_Log!B80&amp;""))</f>
        <v/>
      </c>
      <c r="F680" s="17">
        <f>IF(B680="","","conversation")</f>
        <v/>
      </c>
      <c r="G680" s="17">
        <f>IF(B680="","","")</f>
        <v/>
      </c>
      <c r="H680" s="17">
        <f>IF(B680="","","")</f>
        <v/>
      </c>
      <c r="I680" s="17">
        <f>IF(B680="","","")</f>
        <v/>
      </c>
      <c r="J680" s="17">
        <f>IF(B680="","",IF(Brand_Log!H80="","",Brand_Log!H80&amp;""))</f>
        <v/>
      </c>
      <c r="K680" t="inlineStr">
        <is>
          <t>brand conversation</t>
        </is>
      </c>
    </row>
    <row r="681">
      <c r="A681" s="17">
        <f>IF(B681="","",B681+(4*1000+80)/10000000)</f>
        <v/>
      </c>
      <c r="B681" s="23">
        <f>IF(Brand_Log!AN81=1,Brand_Log!G81,"")</f>
        <v/>
      </c>
      <c r="C681" s="17">
        <f>IF(B681="","","brand")</f>
        <v/>
      </c>
      <c r="D681" s="17">
        <f>IF(B681="","",Brand_Log!$A81&amp;"")</f>
        <v/>
      </c>
      <c r="E681" s="17">
        <f>IF(B681="","",IF(Brand_Log!B81="","",Brand_Log!B81&amp;""))</f>
        <v/>
      </c>
      <c r="F681" s="17">
        <f>IF(B681="","","conversation")</f>
        <v/>
      </c>
      <c r="G681" s="17">
        <f>IF(B681="","","")</f>
        <v/>
      </c>
      <c r="H681" s="17">
        <f>IF(B681="","","")</f>
        <v/>
      </c>
      <c r="I681" s="17">
        <f>IF(B681="","","")</f>
        <v/>
      </c>
      <c r="J681" s="17">
        <f>IF(B681="","",IF(Brand_Log!H81="","",Brand_Log!H81&amp;""))</f>
        <v/>
      </c>
      <c r="K681" t="inlineStr">
        <is>
          <t>brand conversation</t>
        </is>
      </c>
    </row>
    <row r="682">
      <c r="A682" s="17">
        <f>IF(B682="","",B682+(4*1000+81)/10000000)</f>
        <v/>
      </c>
      <c r="B682" s="23">
        <f>IF(Brand_Log!AN82=1,Brand_Log!G82,"")</f>
        <v/>
      </c>
      <c r="C682" s="17">
        <f>IF(B682="","","brand")</f>
        <v/>
      </c>
      <c r="D682" s="17">
        <f>IF(B682="","",Brand_Log!$A82&amp;"")</f>
        <v/>
      </c>
      <c r="E682" s="17">
        <f>IF(B682="","",IF(Brand_Log!B82="","",Brand_Log!B82&amp;""))</f>
        <v/>
      </c>
      <c r="F682" s="17">
        <f>IF(B682="","","conversation")</f>
        <v/>
      </c>
      <c r="G682" s="17">
        <f>IF(B682="","","")</f>
        <v/>
      </c>
      <c r="H682" s="17">
        <f>IF(B682="","","")</f>
        <v/>
      </c>
      <c r="I682" s="17">
        <f>IF(B682="","","")</f>
        <v/>
      </c>
      <c r="J682" s="17">
        <f>IF(B682="","",IF(Brand_Log!H82="","",Brand_Log!H82&amp;""))</f>
        <v/>
      </c>
      <c r="K682" t="inlineStr">
        <is>
          <t>brand conversation</t>
        </is>
      </c>
    </row>
    <row r="683">
      <c r="A683" s="17">
        <f>IF(B683="","",B683+(4*1000+82)/10000000)</f>
        <v/>
      </c>
      <c r="B683" s="23">
        <f>IF(Brand_Log!AN83=1,Brand_Log!G83,"")</f>
        <v/>
      </c>
      <c r="C683" s="17">
        <f>IF(B683="","","brand")</f>
        <v/>
      </c>
      <c r="D683" s="17">
        <f>IF(B683="","",Brand_Log!$A83&amp;"")</f>
        <v/>
      </c>
      <c r="E683" s="17">
        <f>IF(B683="","",IF(Brand_Log!B83="","",Brand_Log!B83&amp;""))</f>
        <v/>
      </c>
      <c r="F683" s="17">
        <f>IF(B683="","","conversation")</f>
        <v/>
      </c>
      <c r="G683" s="17">
        <f>IF(B683="","","")</f>
        <v/>
      </c>
      <c r="H683" s="17">
        <f>IF(B683="","","")</f>
        <v/>
      </c>
      <c r="I683" s="17">
        <f>IF(B683="","","")</f>
        <v/>
      </c>
      <c r="J683" s="17">
        <f>IF(B683="","",IF(Brand_Log!H83="","",Brand_Log!H83&amp;""))</f>
        <v/>
      </c>
      <c r="K683" t="inlineStr">
        <is>
          <t>brand conversation</t>
        </is>
      </c>
    </row>
    <row r="684">
      <c r="A684" s="17">
        <f>IF(B684="","",B684+(4*1000+83)/10000000)</f>
        <v/>
      </c>
      <c r="B684" s="23">
        <f>IF(Brand_Log!AN84=1,Brand_Log!G84,"")</f>
        <v/>
      </c>
      <c r="C684" s="17">
        <f>IF(B684="","","brand")</f>
        <v/>
      </c>
      <c r="D684" s="17">
        <f>IF(B684="","",Brand_Log!$A84&amp;"")</f>
        <v/>
      </c>
      <c r="E684" s="17">
        <f>IF(B684="","",IF(Brand_Log!B84="","",Brand_Log!B84&amp;""))</f>
        <v/>
      </c>
      <c r="F684" s="17">
        <f>IF(B684="","","conversation")</f>
        <v/>
      </c>
      <c r="G684" s="17">
        <f>IF(B684="","","")</f>
        <v/>
      </c>
      <c r="H684" s="17">
        <f>IF(B684="","","")</f>
        <v/>
      </c>
      <c r="I684" s="17">
        <f>IF(B684="","","")</f>
        <v/>
      </c>
      <c r="J684" s="17">
        <f>IF(B684="","",IF(Brand_Log!H84="","",Brand_Log!H84&amp;""))</f>
        <v/>
      </c>
      <c r="K684" t="inlineStr">
        <is>
          <t>brand conversation</t>
        </is>
      </c>
    </row>
    <row r="685">
      <c r="A685" s="17">
        <f>IF(B685="","",B685+(4*1000+84)/10000000)</f>
        <v/>
      </c>
      <c r="B685" s="23">
        <f>IF(Brand_Log!AN85=1,Brand_Log!G85,"")</f>
        <v/>
      </c>
      <c r="C685" s="17">
        <f>IF(B685="","","brand")</f>
        <v/>
      </c>
      <c r="D685" s="17">
        <f>IF(B685="","",Brand_Log!$A85&amp;"")</f>
        <v/>
      </c>
      <c r="E685" s="17">
        <f>IF(B685="","",IF(Brand_Log!B85="","",Brand_Log!B85&amp;""))</f>
        <v/>
      </c>
      <c r="F685" s="17">
        <f>IF(B685="","","conversation")</f>
        <v/>
      </c>
      <c r="G685" s="17">
        <f>IF(B685="","","")</f>
        <v/>
      </c>
      <c r="H685" s="17">
        <f>IF(B685="","","")</f>
        <v/>
      </c>
      <c r="I685" s="17">
        <f>IF(B685="","","")</f>
        <v/>
      </c>
      <c r="J685" s="17">
        <f>IF(B685="","",IF(Brand_Log!H85="","",Brand_Log!H85&amp;""))</f>
        <v/>
      </c>
      <c r="K685" t="inlineStr">
        <is>
          <t>brand conversation</t>
        </is>
      </c>
    </row>
    <row r="686">
      <c r="A686" s="17">
        <f>IF(B686="","",B686+(4*1000+85)/10000000)</f>
        <v/>
      </c>
      <c r="B686" s="23">
        <f>IF(Brand_Log!AN86=1,Brand_Log!G86,"")</f>
        <v/>
      </c>
      <c r="C686" s="17">
        <f>IF(B686="","","brand")</f>
        <v/>
      </c>
      <c r="D686" s="17">
        <f>IF(B686="","",Brand_Log!$A86&amp;"")</f>
        <v/>
      </c>
      <c r="E686" s="17">
        <f>IF(B686="","",IF(Brand_Log!B86="","",Brand_Log!B86&amp;""))</f>
        <v/>
      </c>
      <c r="F686" s="17">
        <f>IF(B686="","","conversation")</f>
        <v/>
      </c>
      <c r="G686" s="17">
        <f>IF(B686="","","")</f>
        <v/>
      </c>
      <c r="H686" s="17">
        <f>IF(B686="","","")</f>
        <v/>
      </c>
      <c r="I686" s="17">
        <f>IF(B686="","","")</f>
        <v/>
      </c>
      <c r="J686" s="17">
        <f>IF(B686="","",IF(Brand_Log!H86="","",Brand_Log!H86&amp;""))</f>
        <v/>
      </c>
      <c r="K686" t="inlineStr">
        <is>
          <t>brand conversation</t>
        </is>
      </c>
    </row>
    <row r="687">
      <c r="A687" s="17">
        <f>IF(B687="","",B687+(4*1000+86)/10000000)</f>
        <v/>
      </c>
      <c r="B687" s="23">
        <f>IF(Brand_Log!AN87=1,Brand_Log!G87,"")</f>
        <v/>
      </c>
      <c r="C687" s="17">
        <f>IF(B687="","","brand")</f>
        <v/>
      </c>
      <c r="D687" s="17">
        <f>IF(B687="","",Brand_Log!$A87&amp;"")</f>
        <v/>
      </c>
      <c r="E687" s="17">
        <f>IF(B687="","",IF(Brand_Log!B87="","",Brand_Log!B87&amp;""))</f>
        <v/>
      </c>
      <c r="F687" s="17">
        <f>IF(B687="","","conversation")</f>
        <v/>
      </c>
      <c r="G687" s="17">
        <f>IF(B687="","","")</f>
        <v/>
      </c>
      <c r="H687" s="17">
        <f>IF(B687="","","")</f>
        <v/>
      </c>
      <c r="I687" s="17">
        <f>IF(B687="","","")</f>
        <v/>
      </c>
      <c r="J687" s="17">
        <f>IF(B687="","",IF(Brand_Log!H87="","",Brand_Log!H87&amp;""))</f>
        <v/>
      </c>
      <c r="K687" t="inlineStr">
        <is>
          <t>brand conversation</t>
        </is>
      </c>
    </row>
    <row r="688">
      <c r="A688" s="17">
        <f>IF(B688="","",B688+(4*1000+87)/10000000)</f>
        <v/>
      </c>
      <c r="B688" s="23">
        <f>IF(Brand_Log!AN88=1,Brand_Log!G88,"")</f>
        <v/>
      </c>
      <c r="C688" s="17">
        <f>IF(B688="","","brand")</f>
        <v/>
      </c>
      <c r="D688" s="17">
        <f>IF(B688="","",Brand_Log!$A88&amp;"")</f>
        <v/>
      </c>
      <c r="E688" s="17">
        <f>IF(B688="","",IF(Brand_Log!B88="","",Brand_Log!B88&amp;""))</f>
        <v/>
      </c>
      <c r="F688" s="17">
        <f>IF(B688="","","conversation")</f>
        <v/>
      </c>
      <c r="G688" s="17">
        <f>IF(B688="","","")</f>
        <v/>
      </c>
      <c r="H688" s="17">
        <f>IF(B688="","","")</f>
        <v/>
      </c>
      <c r="I688" s="17">
        <f>IF(B688="","","")</f>
        <v/>
      </c>
      <c r="J688" s="17">
        <f>IF(B688="","",IF(Brand_Log!H88="","",Brand_Log!H88&amp;""))</f>
        <v/>
      </c>
      <c r="K688" t="inlineStr">
        <is>
          <t>brand conversation</t>
        </is>
      </c>
    </row>
    <row r="689">
      <c r="A689" s="17">
        <f>IF(B689="","",B689+(4*1000+88)/10000000)</f>
        <v/>
      </c>
      <c r="B689" s="23">
        <f>IF(Brand_Log!AN89=1,Brand_Log!G89,"")</f>
        <v/>
      </c>
      <c r="C689" s="17">
        <f>IF(B689="","","brand")</f>
        <v/>
      </c>
      <c r="D689" s="17">
        <f>IF(B689="","",Brand_Log!$A89&amp;"")</f>
        <v/>
      </c>
      <c r="E689" s="17">
        <f>IF(B689="","",IF(Brand_Log!B89="","",Brand_Log!B89&amp;""))</f>
        <v/>
      </c>
      <c r="F689" s="17">
        <f>IF(B689="","","conversation")</f>
        <v/>
      </c>
      <c r="G689" s="17">
        <f>IF(B689="","","")</f>
        <v/>
      </c>
      <c r="H689" s="17">
        <f>IF(B689="","","")</f>
        <v/>
      </c>
      <c r="I689" s="17">
        <f>IF(B689="","","")</f>
        <v/>
      </c>
      <c r="J689" s="17">
        <f>IF(B689="","",IF(Brand_Log!H89="","",Brand_Log!H89&amp;""))</f>
        <v/>
      </c>
      <c r="K689" t="inlineStr">
        <is>
          <t>brand conversation</t>
        </is>
      </c>
    </row>
    <row r="690">
      <c r="A690" s="17">
        <f>IF(B690="","",B690+(4*1000+89)/10000000)</f>
        <v/>
      </c>
      <c r="B690" s="23">
        <f>IF(Brand_Log!AN90=1,Brand_Log!G90,"")</f>
        <v/>
      </c>
      <c r="C690" s="17">
        <f>IF(B690="","","brand")</f>
        <v/>
      </c>
      <c r="D690" s="17">
        <f>IF(B690="","",Brand_Log!$A90&amp;"")</f>
        <v/>
      </c>
      <c r="E690" s="17">
        <f>IF(B690="","",IF(Brand_Log!B90="","",Brand_Log!B90&amp;""))</f>
        <v/>
      </c>
      <c r="F690" s="17">
        <f>IF(B690="","","conversation")</f>
        <v/>
      </c>
      <c r="G690" s="17">
        <f>IF(B690="","","")</f>
        <v/>
      </c>
      <c r="H690" s="17">
        <f>IF(B690="","","")</f>
        <v/>
      </c>
      <c r="I690" s="17">
        <f>IF(B690="","","")</f>
        <v/>
      </c>
      <c r="J690" s="17">
        <f>IF(B690="","",IF(Brand_Log!H90="","",Brand_Log!H90&amp;""))</f>
        <v/>
      </c>
      <c r="K690" t="inlineStr">
        <is>
          <t>brand conversation</t>
        </is>
      </c>
    </row>
    <row r="691">
      <c r="A691" s="17">
        <f>IF(B691="","",B691+(4*1000+90)/10000000)</f>
        <v/>
      </c>
      <c r="B691" s="23">
        <f>IF(Brand_Log!AN91=1,Brand_Log!G91,"")</f>
        <v/>
      </c>
      <c r="C691" s="17">
        <f>IF(B691="","","brand")</f>
        <v/>
      </c>
      <c r="D691" s="17">
        <f>IF(B691="","",Brand_Log!$A91&amp;"")</f>
        <v/>
      </c>
      <c r="E691" s="17">
        <f>IF(B691="","",IF(Brand_Log!B91="","",Brand_Log!B91&amp;""))</f>
        <v/>
      </c>
      <c r="F691" s="17">
        <f>IF(B691="","","conversation")</f>
        <v/>
      </c>
      <c r="G691" s="17">
        <f>IF(B691="","","")</f>
        <v/>
      </c>
      <c r="H691" s="17">
        <f>IF(B691="","","")</f>
        <v/>
      </c>
      <c r="I691" s="17">
        <f>IF(B691="","","")</f>
        <v/>
      </c>
      <c r="J691" s="17">
        <f>IF(B691="","",IF(Brand_Log!H91="","",Brand_Log!H91&amp;""))</f>
        <v/>
      </c>
      <c r="K691" t="inlineStr">
        <is>
          <t>brand conversation</t>
        </is>
      </c>
    </row>
    <row r="692">
      <c r="A692" s="17">
        <f>IF(B692="","",B692+(4*1000+91)/10000000)</f>
        <v/>
      </c>
      <c r="B692" s="23">
        <f>IF(Brand_Log!AN92=1,Brand_Log!G92,"")</f>
        <v/>
      </c>
      <c r="C692" s="17">
        <f>IF(B692="","","brand")</f>
        <v/>
      </c>
      <c r="D692" s="17">
        <f>IF(B692="","",Brand_Log!$A92&amp;"")</f>
        <v/>
      </c>
      <c r="E692" s="17">
        <f>IF(B692="","",IF(Brand_Log!B92="","",Brand_Log!B92&amp;""))</f>
        <v/>
      </c>
      <c r="F692" s="17">
        <f>IF(B692="","","conversation")</f>
        <v/>
      </c>
      <c r="G692" s="17">
        <f>IF(B692="","","")</f>
        <v/>
      </c>
      <c r="H692" s="17">
        <f>IF(B692="","","")</f>
        <v/>
      </c>
      <c r="I692" s="17">
        <f>IF(B692="","","")</f>
        <v/>
      </c>
      <c r="J692" s="17">
        <f>IF(B692="","",IF(Brand_Log!H92="","",Brand_Log!H92&amp;""))</f>
        <v/>
      </c>
      <c r="K692" t="inlineStr">
        <is>
          <t>brand conversation</t>
        </is>
      </c>
    </row>
    <row r="693">
      <c r="A693" s="17">
        <f>IF(B693="","",B693+(4*1000+92)/10000000)</f>
        <v/>
      </c>
      <c r="B693" s="23">
        <f>IF(Brand_Log!AN93=1,Brand_Log!G93,"")</f>
        <v/>
      </c>
      <c r="C693" s="17">
        <f>IF(B693="","","brand")</f>
        <v/>
      </c>
      <c r="D693" s="17">
        <f>IF(B693="","",Brand_Log!$A93&amp;"")</f>
        <v/>
      </c>
      <c r="E693" s="17">
        <f>IF(B693="","",IF(Brand_Log!B93="","",Brand_Log!B93&amp;""))</f>
        <v/>
      </c>
      <c r="F693" s="17">
        <f>IF(B693="","","conversation")</f>
        <v/>
      </c>
      <c r="G693" s="17">
        <f>IF(B693="","","")</f>
        <v/>
      </c>
      <c r="H693" s="17">
        <f>IF(B693="","","")</f>
        <v/>
      </c>
      <c r="I693" s="17">
        <f>IF(B693="","","")</f>
        <v/>
      </c>
      <c r="J693" s="17">
        <f>IF(B693="","",IF(Brand_Log!H93="","",Brand_Log!H93&amp;""))</f>
        <v/>
      </c>
      <c r="K693" t="inlineStr">
        <is>
          <t>brand conversation</t>
        </is>
      </c>
    </row>
    <row r="694">
      <c r="A694" s="17">
        <f>IF(B694="","",B694+(4*1000+93)/10000000)</f>
        <v/>
      </c>
      <c r="B694" s="23">
        <f>IF(Brand_Log!AN94=1,Brand_Log!G94,"")</f>
        <v/>
      </c>
      <c r="C694" s="17">
        <f>IF(B694="","","brand")</f>
        <v/>
      </c>
      <c r="D694" s="17">
        <f>IF(B694="","",Brand_Log!$A94&amp;"")</f>
        <v/>
      </c>
      <c r="E694" s="17">
        <f>IF(B694="","",IF(Brand_Log!B94="","",Brand_Log!B94&amp;""))</f>
        <v/>
      </c>
      <c r="F694" s="17">
        <f>IF(B694="","","conversation")</f>
        <v/>
      </c>
      <c r="G694" s="17">
        <f>IF(B694="","","")</f>
        <v/>
      </c>
      <c r="H694" s="17">
        <f>IF(B694="","","")</f>
        <v/>
      </c>
      <c r="I694" s="17">
        <f>IF(B694="","","")</f>
        <v/>
      </c>
      <c r="J694" s="17">
        <f>IF(B694="","",IF(Brand_Log!H94="","",Brand_Log!H94&amp;""))</f>
        <v/>
      </c>
      <c r="K694" t="inlineStr">
        <is>
          <t>brand conversation</t>
        </is>
      </c>
    </row>
    <row r="695">
      <c r="A695" s="17">
        <f>IF(B695="","",B695+(4*1000+94)/10000000)</f>
        <v/>
      </c>
      <c r="B695" s="23">
        <f>IF(Brand_Log!AN95=1,Brand_Log!G95,"")</f>
        <v/>
      </c>
      <c r="C695" s="17">
        <f>IF(B695="","","brand")</f>
        <v/>
      </c>
      <c r="D695" s="17">
        <f>IF(B695="","",Brand_Log!$A95&amp;"")</f>
        <v/>
      </c>
      <c r="E695" s="17">
        <f>IF(B695="","",IF(Brand_Log!B95="","",Brand_Log!B95&amp;""))</f>
        <v/>
      </c>
      <c r="F695" s="17">
        <f>IF(B695="","","conversation")</f>
        <v/>
      </c>
      <c r="G695" s="17">
        <f>IF(B695="","","")</f>
        <v/>
      </c>
      <c r="H695" s="17">
        <f>IF(B695="","","")</f>
        <v/>
      </c>
      <c r="I695" s="17">
        <f>IF(B695="","","")</f>
        <v/>
      </c>
      <c r="J695" s="17">
        <f>IF(B695="","",IF(Brand_Log!H95="","",Brand_Log!H95&amp;""))</f>
        <v/>
      </c>
      <c r="K695" t="inlineStr">
        <is>
          <t>brand conversation</t>
        </is>
      </c>
    </row>
    <row r="696">
      <c r="A696" s="17">
        <f>IF(B696="","",B696+(4*1000+95)/10000000)</f>
        <v/>
      </c>
      <c r="B696" s="23">
        <f>IF(Brand_Log!AN96=1,Brand_Log!G96,"")</f>
        <v/>
      </c>
      <c r="C696" s="17">
        <f>IF(B696="","","brand")</f>
        <v/>
      </c>
      <c r="D696" s="17">
        <f>IF(B696="","",Brand_Log!$A96&amp;"")</f>
        <v/>
      </c>
      <c r="E696" s="17">
        <f>IF(B696="","",IF(Brand_Log!B96="","",Brand_Log!B96&amp;""))</f>
        <v/>
      </c>
      <c r="F696" s="17">
        <f>IF(B696="","","conversation")</f>
        <v/>
      </c>
      <c r="G696" s="17">
        <f>IF(B696="","","")</f>
        <v/>
      </c>
      <c r="H696" s="17">
        <f>IF(B696="","","")</f>
        <v/>
      </c>
      <c r="I696" s="17">
        <f>IF(B696="","","")</f>
        <v/>
      </c>
      <c r="J696" s="17">
        <f>IF(B696="","",IF(Brand_Log!H96="","",Brand_Log!H96&amp;""))</f>
        <v/>
      </c>
      <c r="K696" t="inlineStr">
        <is>
          <t>brand conversation</t>
        </is>
      </c>
    </row>
    <row r="697">
      <c r="A697" s="17">
        <f>IF(B697="","",B697+(4*1000+96)/10000000)</f>
        <v/>
      </c>
      <c r="B697" s="23">
        <f>IF(Brand_Log!AN97=1,Brand_Log!G97,"")</f>
        <v/>
      </c>
      <c r="C697" s="17">
        <f>IF(B697="","","brand")</f>
        <v/>
      </c>
      <c r="D697" s="17">
        <f>IF(B697="","",Brand_Log!$A97&amp;"")</f>
        <v/>
      </c>
      <c r="E697" s="17">
        <f>IF(B697="","",IF(Brand_Log!B97="","",Brand_Log!B97&amp;""))</f>
        <v/>
      </c>
      <c r="F697" s="17">
        <f>IF(B697="","","conversation")</f>
        <v/>
      </c>
      <c r="G697" s="17">
        <f>IF(B697="","","")</f>
        <v/>
      </c>
      <c r="H697" s="17">
        <f>IF(B697="","","")</f>
        <v/>
      </c>
      <c r="I697" s="17">
        <f>IF(B697="","","")</f>
        <v/>
      </c>
      <c r="J697" s="17">
        <f>IF(B697="","",IF(Brand_Log!H97="","",Brand_Log!H97&amp;""))</f>
        <v/>
      </c>
      <c r="K697" t="inlineStr">
        <is>
          <t>brand conversation</t>
        </is>
      </c>
    </row>
    <row r="698">
      <c r="A698" s="17">
        <f>IF(B698="","",B698+(4*1000+97)/10000000)</f>
        <v/>
      </c>
      <c r="B698" s="23">
        <f>IF(Brand_Log!AN98=1,Brand_Log!G98,"")</f>
        <v/>
      </c>
      <c r="C698" s="17">
        <f>IF(B698="","","brand")</f>
        <v/>
      </c>
      <c r="D698" s="17">
        <f>IF(B698="","",Brand_Log!$A98&amp;"")</f>
        <v/>
      </c>
      <c r="E698" s="17">
        <f>IF(B698="","",IF(Brand_Log!B98="","",Brand_Log!B98&amp;""))</f>
        <v/>
      </c>
      <c r="F698" s="17">
        <f>IF(B698="","","conversation")</f>
        <v/>
      </c>
      <c r="G698" s="17">
        <f>IF(B698="","","")</f>
        <v/>
      </c>
      <c r="H698" s="17">
        <f>IF(B698="","","")</f>
        <v/>
      </c>
      <c r="I698" s="17">
        <f>IF(B698="","","")</f>
        <v/>
      </c>
      <c r="J698" s="17">
        <f>IF(B698="","",IF(Brand_Log!H98="","",Brand_Log!H98&amp;""))</f>
        <v/>
      </c>
      <c r="K698" t="inlineStr">
        <is>
          <t>brand conversation</t>
        </is>
      </c>
    </row>
    <row r="699">
      <c r="A699" s="17">
        <f>IF(B699="","",B699+(4*1000+98)/10000000)</f>
        <v/>
      </c>
      <c r="B699" s="23">
        <f>IF(Brand_Log!AN99=1,Brand_Log!G99,"")</f>
        <v/>
      </c>
      <c r="C699" s="17">
        <f>IF(B699="","","brand")</f>
        <v/>
      </c>
      <c r="D699" s="17">
        <f>IF(B699="","",Brand_Log!$A99&amp;"")</f>
        <v/>
      </c>
      <c r="E699" s="17">
        <f>IF(B699="","",IF(Brand_Log!B99="","",Brand_Log!B99&amp;""))</f>
        <v/>
      </c>
      <c r="F699" s="17">
        <f>IF(B699="","","conversation")</f>
        <v/>
      </c>
      <c r="G699" s="17">
        <f>IF(B699="","","")</f>
        <v/>
      </c>
      <c r="H699" s="17">
        <f>IF(B699="","","")</f>
        <v/>
      </c>
      <c r="I699" s="17">
        <f>IF(B699="","","")</f>
        <v/>
      </c>
      <c r="J699" s="17">
        <f>IF(B699="","",IF(Brand_Log!H99="","",Brand_Log!H99&amp;""))</f>
        <v/>
      </c>
      <c r="K699" t="inlineStr">
        <is>
          <t>brand conversation</t>
        </is>
      </c>
    </row>
    <row r="700">
      <c r="A700" s="17">
        <f>IF(B700="","",B700+(4*1000+99)/10000000)</f>
        <v/>
      </c>
      <c r="B700" s="23">
        <f>IF(Brand_Log!AN100=1,Brand_Log!G100,"")</f>
        <v/>
      </c>
      <c r="C700" s="17">
        <f>IF(B700="","","brand")</f>
        <v/>
      </c>
      <c r="D700" s="17">
        <f>IF(B700="","",Brand_Log!$A100&amp;"")</f>
        <v/>
      </c>
      <c r="E700" s="17">
        <f>IF(B700="","",IF(Brand_Log!B100="","",Brand_Log!B100&amp;""))</f>
        <v/>
      </c>
      <c r="F700" s="17">
        <f>IF(B700="","","conversation")</f>
        <v/>
      </c>
      <c r="G700" s="17">
        <f>IF(B700="","","")</f>
        <v/>
      </c>
      <c r="H700" s="17">
        <f>IF(B700="","","")</f>
        <v/>
      </c>
      <c r="I700" s="17">
        <f>IF(B700="","","")</f>
        <v/>
      </c>
      <c r="J700" s="17">
        <f>IF(B700="","",IF(Brand_Log!H100="","",Brand_Log!H100&amp;""))</f>
        <v/>
      </c>
      <c r="K700" t="inlineStr">
        <is>
          <t>brand conversation</t>
        </is>
      </c>
    </row>
    <row r="701">
      <c r="A701" s="17">
        <f>IF(B701="","",B701+(4*1000+100)/10000000)</f>
        <v/>
      </c>
      <c r="B701" s="23">
        <f>IF(Brand_Log!AN101=1,Brand_Log!G101,"")</f>
        <v/>
      </c>
      <c r="C701" s="17">
        <f>IF(B701="","","brand")</f>
        <v/>
      </c>
      <c r="D701" s="17">
        <f>IF(B701="","",Brand_Log!$A101&amp;"")</f>
        <v/>
      </c>
      <c r="E701" s="17">
        <f>IF(B701="","",IF(Brand_Log!B101="","",Brand_Log!B101&amp;""))</f>
        <v/>
      </c>
      <c r="F701" s="17">
        <f>IF(B701="","","conversation")</f>
        <v/>
      </c>
      <c r="G701" s="17">
        <f>IF(B701="","","")</f>
        <v/>
      </c>
      <c r="H701" s="17">
        <f>IF(B701="","","")</f>
        <v/>
      </c>
      <c r="I701" s="17">
        <f>IF(B701="","","")</f>
        <v/>
      </c>
      <c r="J701" s="17">
        <f>IF(B701="","",IF(Brand_Log!H101="","",Brand_Log!H101&amp;""))</f>
        <v/>
      </c>
      <c r="K701" t="inlineStr">
        <is>
          <t>brand conversation</t>
        </is>
      </c>
    </row>
    <row r="702">
      <c r="A702" s="17">
        <f>IF(B702="","",B702+(4*1000+101)/10000000)</f>
        <v/>
      </c>
      <c r="B702" s="23">
        <f>IF(Brand_Log!AN102=1,Brand_Log!G102,"")</f>
        <v/>
      </c>
      <c r="C702" s="17">
        <f>IF(B702="","","brand")</f>
        <v/>
      </c>
      <c r="D702" s="17">
        <f>IF(B702="","",Brand_Log!$A102&amp;"")</f>
        <v/>
      </c>
      <c r="E702" s="17">
        <f>IF(B702="","",IF(Brand_Log!B102="","",Brand_Log!B102&amp;""))</f>
        <v/>
      </c>
      <c r="F702" s="17">
        <f>IF(B702="","","conversation")</f>
        <v/>
      </c>
      <c r="G702" s="17">
        <f>IF(B702="","","")</f>
        <v/>
      </c>
      <c r="H702" s="17">
        <f>IF(B702="","","")</f>
        <v/>
      </c>
      <c r="I702" s="17">
        <f>IF(B702="","","")</f>
        <v/>
      </c>
      <c r="J702" s="17">
        <f>IF(B702="","",IF(Brand_Log!H102="","",Brand_Log!H102&amp;""))</f>
        <v/>
      </c>
      <c r="K702" t="inlineStr">
        <is>
          <t>brand conversation</t>
        </is>
      </c>
    </row>
    <row r="703">
      <c r="A703" s="17">
        <f>IF(B703="","",B703+(4*1000+102)/10000000)</f>
        <v/>
      </c>
      <c r="B703" s="23">
        <f>IF(Brand_Log!AN103=1,Brand_Log!G103,"")</f>
        <v/>
      </c>
      <c r="C703" s="17">
        <f>IF(B703="","","brand")</f>
        <v/>
      </c>
      <c r="D703" s="17">
        <f>IF(B703="","",Brand_Log!$A103&amp;"")</f>
        <v/>
      </c>
      <c r="E703" s="17">
        <f>IF(B703="","",IF(Brand_Log!B103="","",Brand_Log!B103&amp;""))</f>
        <v/>
      </c>
      <c r="F703" s="17">
        <f>IF(B703="","","conversation")</f>
        <v/>
      </c>
      <c r="G703" s="17">
        <f>IF(B703="","","")</f>
        <v/>
      </c>
      <c r="H703" s="17">
        <f>IF(B703="","","")</f>
        <v/>
      </c>
      <c r="I703" s="17">
        <f>IF(B703="","","")</f>
        <v/>
      </c>
      <c r="J703" s="17">
        <f>IF(B703="","",IF(Brand_Log!H103="","",Brand_Log!H103&amp;""))</f>
        <v/>
      </c>
      <c r="K703" t="inlineStr">
        <is>
          <t>brand conversation</t>
        </is>
      </c>
    </row>
    <row r="704">
      <c r="A704" s="17">
        <f>IF(B704="","",B704+(4*1000+103)/10000000)</f>
        <v/>
      </c>
      <c r="B704" s="23">
        <f>IF(Brand_Log!AN104=1,Brand_Log!G104,"")</f>
        <v/>
      </c>
      <c r="C704" s="17">
        <f>IF(B704="","","brand")</f>
        <v/>
      </c>
      <c r="D704" s="17">
        <f>IF(B704="","",Brand_Log!$A104&amp;"")</f>
        <v/>
      </c>
      <c r="E704" s="17">
        <f>IF(B704="","",IF(Brand_Log!B104="","",Brand_Log!B104&amp;""))</f>
        <v/>
      </c>
      <c r="F704" s="17">
        <f>IF(B704="","","conversation")</f>
        <v/>
      </c>
      <c r="G704" s="17">
        <f>IF(B704="","","")</f>
        <v/>
      </c>
      <c r="H704" s="17">
        <f>IF(B704="","","")</f>
        <v/>
      </c>
      <c r="I704" s="17">
        <f>IF(B704="","","")</f>
        <v/>
      </c>
      <c r="J704" s="17">
        <f>IF(B704="","",IF(Brand_Log!H104="","",Brand_Log!H104&amp;""))</f>
        <v/>
      </c>
      <c r="K704" t="inlineStr">
        <is>
          <t>brand conversation</t>
        </is>
      </c>
    </row>
    <row r="705">
      <c r="A705" s="17">
        <f>IF(B705="","",B705+(4*1000+104)/10000000)</f>
        <v/>
      </c>
      <c r="B705" s="23">
        <f>IF(Brand_Log!AN105=1,Brand_Log!G105,"")</f>
        <v/>
      </c>
      <c r="C705" s="17">
        <f>IF(B705="","","brand")</f>
        <v/>
      </c>
      <c r="D705" s="17">
        <f>IF(B705="","",Brand_Log!$A105&amp;"")</f>
        <v/>
      </c>
      <c r="E705" s="17">
        <f>IF(B705="","",IF(Brand_Log!B105="","",Brand_Log!B105&amp;""))</f>
        <v/>
      </c>
      <c r="F705" s="17">
        <f>IF(B705="","","conversation")</f>
        <v/>
      </c>
      <c r="G705" s="17">
        <f>IF(B705="","","")</f>
        <v/>
      </c>
      <c r="H705" s="17">
        <f>IF(B705="","","")</f>
        <v/>
      </c>
      <c r="I705" s="17">
        <f>IF(B705="","","")</f>
        <v/>
      </c>
      <c r="J705" s="17">
        <f>IF(B705="","",IF(Brand_Log!H105="","",Brand_Log!H105&amp;""))</f>
        <v/>
      </c>
      <c r="K705" t="inlineStr">
        <is>
          <t>brand conversation</t>
        </is>
      </c>
    </row>
    <row r="706">
      <c r="A706" s="17">
        <f>IF(B706="","",B706+(4*1000+105)/10000000)</f>
        <v/>
      </c>
      <c r="B706" s="23">
        <f>IF(Brand_Log!AN106=1,Brand_Log!G106,"")</f>
        <v/>
      </c>
      <c r="C706" s="17">
        <f>IF(B706="","","brand")</f>
        <v/>
      </c>
      <c r="D706" s="17">
        <f>IF(B706="","",Brand_Log!$A106&amp;"")</f>
        <v/>
      </c>
      <c r="E706" s="17">
        <f>IF(B706="","",IF(Brand_Log!B106="","",Brand_Log!B106&amp;""))</f>
        <v/>
      </c>
      <c r="F706" s="17">
        <f>IF(B706="","","conversation")</f>
        <v/>
      </c>
      <c r="G706" s="17">
        <f>IF(B706="","","")</f>
        <v/>
      </c>
      <c r="H706" s="17">
        <f>IF(B706="","","")</f>
        <v/>
      </c>
      <c r="I706" s="17">
        <f>IF(B706="","","")</f>
        <v/>
      </c>
      <c r="J706" s="17">
        <f>IF(B706="","",IF(Brand_Log!H106="","",Brand_Log!H106&amp;""))</f>
        <v/>
      </c>
      <c r="K706" t="inlineStr">
        <is>
          <t>brand conversation</t>
        </is>
      </c>
    </row>
    <row r="707">
      <c r="A707" s="17">
        <f>IF(B707="","",B707+(4*1000+106)/10000000)</f>
        <v/>
      </c>
      <c r="B707" s="23">
        <f>IF(Brand_Log!AN107=1,Brand_Log!G107,"")</f>
        <v/>
      </c>
      <c r="C707" s="17">
        <f>IF(B707="","","brand")</f>
        <v/>
      </c>
      <c r="D707" s="17">
        <f>IF(B707="","",Brand_Log!$A107&amp;"")</f>
        <v/>
      </c>
      <c r="E707" s="17">
        <f>IF(B707="","",IF(Brand_Log!B107="","",Brand_Log!B107&amp;""))</f>
        <v/>
      </c>
      <c r="F707" s="17">
        <f>IF(B707="","","conversation")</f>
        <v/>
      </c>
      <c r="G707" s="17">
        <f>IF(B707="","","")</f>
        <v/>
      </c>
      <c r="H707" s="17">
        <f>IF(B707="","","")</f>
        <v/>
      </c>
      <c r="I707" s="17">
        <f>IF(B707="","","")</f>
        <v/>
      </c>
      <c r="J707" s="17">
        <f>IF(B707="","",IF(Brand_Log!H107="","",Brand_Log!H107&amp;""))</f>
        <v/>
      </c>
      <c r="K707" t="inlineStr">
        <is>
          <t>brand conversation</t>
        </is>
      </c>
    </row>
    <row r="708">
      <c r="A708" s="17">
        <f>IF(B708="","",B708+(4*1000+107)/10000000)</f>
        <v/>
      </c>
      <c r="B708" s="23">
        <f>IF(Brand_Log!AN108=1,Brand_Log!G108,"")</f>
        <v/>
      </c>
      <c r="C708" s="17">
        <f>IF(B708="","","brand")</f>
        <v/>
      </c>
      <c r="D708" s="17">
        <f>IF(B708="","",Brand_Log!$A108&amp;"")</f>
        <v/>
      </c>
      <c r="E708" s="17">
        <f>IF(B708="","",IF(Brand_Log!B108="","",Brand_Log!B108&amp;""))</f>
        <v/>
      </c>
      <c r="F708" s="17">
        <f>IF(B708="","","conversation")</f>
        <v/>
      </c>
      <c r="G708" s="17">
        <f>IF(B708="","","")</f>
        <v/>
      </c>
      <c r="H708" s="17">
        <f>IF(B708="","","")</f>
        <v/>
      </c>
      <c r="I708" s="17">
        <f>IF(B708="","","")</f>
        <v/>
      </c>
      <c r="J708" s="17">
        <f>IF(B708="","",IF(Brand_Log!H108="","",Brand_Log!H108&amp;""))</f>
        <v/>
      </c>
      <c r="K708" t="inlineStr">
        <is>
          <t>brand conversation</t>
        </is>
      </c>
    </row>
    <row r="709">
      <c r="A709" s="17">
        <f>IF(B709="","",B709+(4*1000+108)/10000000)</f>
        <v/>
      </c>
      <c r="B709" s="23">
        <f>IF(Brand_Log!AN109=1,Brand_Log!G109,"")</f>
        <v/>
      </c>
      <c r="C709" s="17">
        <f>IF(B709="","","brand")</f>
        <v/>
      </c>
      <c r="D709" s="17">
        <f>IF(B709="","",Brand_Log!$A109&amp;"")</f>
        <v/>
      </c>
      <c r="E709" s="17">
        <f>IF(B709="","",IF(Brand_Log!B109="","",Brand_Log!B109&amp;""))</f>
        <v/>
      </c>
      <c r="F709" s="17">
        <f>IF(B709="","","conversation")</f>
        <v/>
      </c>
      <c r="G709" s="17">
        <f>IF(B709="","","")</f>
        <v/>
      </c>
      <c r="H709" s="17">
        <f>IF(B709="","","")</f>
        <v/>
      </c>
      <c r="I709" s="17">
        <f>IF(B709="","","")</f>
        <v/>
      </c>
      <c r="J709" s="17">
        <f>IF(B709="","",IF(Brand_Log!H109="","",Brand_Log!H109&amp;""))</f>
        <v/>
      </c>
      <c r="K709" t="inlineStr">
        <is>
          <t>brand conversation</t>
        </is>
      </c>
    </row>
    <row r="710">
      <c r="A710" s="17">
        <f>IF(B710="","",B710+(4*1000+109)/10000000)</f>
        <v/>
      </c>
      <c r="B710" s="23">
        <f>IF(Brand_Log!AN110=1,Brand_Log!G110,"")</f>
        <v/>
      </c>
      <c r="C710" s="17">
        <f>IF(B710="","","brand")</f>
        <v/>
      </c>
      <c r="D710" s="17">
        <f>IF(B710="","",Brand_Log!$A110&amp;"")</f>
        <v/>
      </c>
      <c r="E710" s="17">
        <f>IF(B710="","",IF(Brand_Log!B110="","",Brand_Log!B110&amp;""))</f>
        <v/>
      </c>
      <c r="F710" s="17">
        <f>IF(B710="","","conversation")</f>
        <v/>
      </c>
      <c r="G710" s="17">
        <f>IF(B710="","","")</f>
        <v/>
      </c>
      <c r="H710" s="17">
        <f>IF(B710="","","")</f>
        <v/>
      </c>
      <c r="I710" s="17">
        <f>IF(B710="","","")</f>
        <v/>
      </c>
      <c r="J710" s="17">
        <f>IF(B710="","",IF(Brand_Log!H110="","",Brand_Log!H110&amp;""))</f>
        <v/>
      </c>
      <c r="K710" t="inlineStr">
        <is>
          <t>brand conversation</t>
        </is>
      </c>
    </row>
    <row r="711">
      <c r="A711" s="17">
        <f>IF(B711="","",B711+(4*1000+110)/10000000)</f>
        <v/>
      </c>
      <c r="B711" s="23">
        <f>IF(Brand_Log!AN111=1,Brand_Log!G111,"")</f>
        <v/>
      </c>
      <c r="C711" s="17">
        <f>IF(B711="","","brand")</f>
        <v/>
      </c>
      <c r="D711" s="17">
        <f>IF(B711="","",Brand_Log!$A111&amp;"")</f>
        <v/>
      </c>
      <c r="E711" s="17">
        <f>IF(B711="","",IF(Brand_Log!B111="","",Brand_Log!B111&amp;""))</f>
        <v/>
      </c>
      <c r="F711" s="17">
        <f>IF(B711="","","conversation")</f>
        <v/>
      </c>
      <c r="G711" s="17">
        <f>IF(B711="","","")</f>
        <v/>
      </c>
      <c r="H711" s="17">
        <f>IF(B711="","","")</f>
        <v/>
      </c>
      <c r="I711" s="17">
        <f>IF(B711="","","")</f>
        <v/>
      </c>
      <c r="J711" s="17">
        <f>IF(B711="","",IF(Brand_Log!H111="","",Brand_Log!H111&amp;""))</f>
        <v/>
      </c>
      <c r="K711" t="inlineStr">
        <is>
          <t>brand conversation</t>
        </is>
      </c>
    </row>
    <row r="712">
      <c r="A712" s="17">
        <f>IF(B712="","",B712+(4*1000+111)/10000000)</f>
        <v/>
      </c>
      <c r="B712" s="23">
        <f>IF(Brand_Log!AN112=1,Brand_Log!G112,"")</f>
        <v/>
      </c>
      <c r="C712" s="17">
        <f>IF(B712="","","brand")</f>
        <v/>
      </c>
      <c r="D712" s="17">
        <f>IF(B712="","",Brand_Log!$A112&amp;"")</f>
        <v/>
      </c>
      <c r="E712" s="17">
        <f>IF(B712="","",IF(Brand_Log!B112="","",Brand_Log!B112&amp;""))</f>
        <v/>
      </c>
      <c r="F712" s="17">
        <f>IF(B712="","","conversation")</f>
        <v/>
      </c>
      <c r="G712" s="17">
        <f>IF(B712="","","")</f>
        <v/>
      </c>
      <c r="H712" s="17">
        <f>IF(B712="","","")</f>
        <v/>
      </c>
      <c r="I712" s="17">
        <f>IF(B712="","","")</f>
        <v/>
      </c>
      <c r="J712" s="17">
        <f>IF(B712="","",IF(Brand_Log!H112="","",Brand_Log!H112&amp;""))</f>
        <v/>
      </c>
      <c r="K712" t="inlineStr">
        <is>
          <t>brand conversation</t>
        </is>
      </c>
    </row>
    <row r="713">
      <c r="A713" s="17">
        <f>IF(B713="","",B713+(4*1000+112)/10000000)</f>
        <v/>
      </c>
      <c r="B713" s="23">
        <f>IF(Brand_Log!AN113=1,Brand_Log!G113,"")</f>
        <v/>
      </c>
      <c r="C713" s="17">
        <f>IF(B713="","","brand")</f>
        <v/>
      </c>
      <c r="D713" s="17">
        <f>IF(B713="","",Brand_Log!$A113&amp;"")</f>
        <v/>
      </c>
      <c r="E713" s="17">
        <f>IF(B713="","",IF(Brand_Log!B113="","",Brand_Log!B113&amp;""))</f>
        <v/>
      </c>
      <c r="F713" s="17">
        <f>IF(B713="","","conversation")</f>
        <v/>
      </c>
      <c r="G713" s="17">
        <f>IF(B713="","","")</f>
        <v/>
      </c>
      <c r="H713" s="17">
        <f>IF(B713="","","")</f>
        <v/>
      </c>
      <c r="I713" s="17">
        <f>IF(B713="","","")</f>
        <v/>
      </c>
      <c r="J713" s="17">
        <f>IF(B713="","",IF(Brand_Log!H113="","",Brand_Log!H113&amp;""))</f>
        <v/>
      </c>
      <c r="K713" t="inlineStr">
        <is>
          <t>brand conversation</t>
        </is>
      </c>
    </row>
    <row r="714">
      <c r="A714" s="17">
        <f>IF(B714="","",B714+(4*1000+113)/10000000)</f>
        <v/>
      </c>
      <c r="B714" s="23">
        <f>IF(Brand_Log!AN114=1,Brand_Log!G114,"")</f>
        <v/>
      </c>
      <c r="C714" s="17">
        <f>IF(B714="","","brand")</f>
        <v/>
      </c>
      <c r="D714" s="17">
        <f>IF(B714="","",Brand_Log!$A114&amp;"")</f>
        <v/>
      </c>
      <c r="E714" s="17">
        <f>IF(B714="","",IF(Brand_Log!B114="","",Brand_Log!B114&amp;""))</f>
        <v/>
      </c>
      <c r="F714" s="17">
        <f>IF(B714="","","conversation")</f>
        <v/>
      </c>
      <c r="G714" s="17">
        <f>IF(B714="","","")</f>
        <v/>
      </c>
      <c r="H714" s="17">
        <f>IF(B714="","","")</f>
        <v/>
      </c>
      <c r="I714" s="17">
        <f>IF(B714="","","")</f>
        <v/>
      </c>
      <c r="J714" s="17">
        <f>IF(B714="","",IF(Brand_Log!H114="","",Brand_Log!H114&amp;""))</f>
        <v/>
      </c>
      <c r="K714" t="inlineStr">
        <is>
          <t>brand conversation</t>
        </is>
      </c>
    </row>
    <row r="715">
      <c r="A715" s="17">
        <f>IF(B715="","",B715+(4*1000+114)/10000000)</f>
        <v/>
      </c>
      <c r="B715" s="23">
        <f>IF(Brand_Log!AN115=1,Brand_Log!G115,"")</f>
        <v/>
      </c>
      <c r="C715" s="17">
        <f>IF(B715="","","brand")</f>
        <v/>
      </c>
      <c r="D715" s="17">
        <f>IF(B715="","",Brand_Log!$A115&amp;"")</f>
        <v/>
      </c>
      <c r="E715" s="17">
        <f>IF(B715="","",IF(Brand_Log!B115="","",Brand_Log!B115&amp;""))</f>
        <v/>
      </c>
      <c r="F715" s="17">
        <f>IF(B715="","","conversation")</f>
        <v/>
      </c>
      <c r="G715" s="17">
        <f>IF(B715="","","")</f>
        <v/>
      </c>
      <c r="H715" s="17">
        <f>IF(B715="","","")</f>
        <v/>
      </c>
      <c r="I715" s="17">
        <f>IF(B715="","","")</f>
        <v/>
      </c>
      <c r="J715" s="17">
        <f>IF(B715="","",IF(Brand_Log!H115="","",Brand_Log!H115&amp;""))</f>
        <v/>
      </c>
      <c r="K715" t="inlineStr">
        <is>
          <t>brand conversation</t>
        </is>
      </c>
    </row>
    <row r="716">
      <c r="A716" s="17">
        <f>IF(B716="","",B716+(4*1000+115)/10000000)</f>
        <v/>
      </c>
      <c r="B716" s="23">
        <f>IF(Brand_Log!AN116=1,Brand_Log!G116,"")</f>
        <v/>
      </c>
      <c r="C716" s="17">
        <f>IF(B716="","","brand")</f>
        <v/>
      </c>
      <c r="D716" s="17">
        <f>IF(B716="","",Brand_Log!$A116&amp;"")</f>
        <v/>
      </c>
      <c r="E716" s="17">
        <f>IF(B716="","",IF(Brand_Log!B116="","",Brand_Log!B116&amp;""))</f>
        <v/>
      </c>
      <c r="F716" s="17">
        <f>IF(B716="","","conversation")</f>
        <v/>
      </c>
      <c r="G716" s="17">
        <f>IF(B716="","","")</f>
        <v/>
      </c>
      <c r="H716" s="17">
        <f>IF(B716="","","")</f>
        <v/>
      </c>
      <c r="I716" s="17">
        <f>IF(B716="","","")</f>
        <v/>
      </c>
      <c r="J716" s="17">
        <f>IF(B716="","",IF(Brand_Log!H116="","",Brand_Log!H116&amp;""))</f>
        <v/>
      </c>
      <c r="K716" t="inlineStr">
        <is>
          <t>brand conversation</t>
        </is>
      </c>
    </row>
    <row r="717">
      <c r="A717" s="17">
        <f>IF(B717="","",B717+(4*1000+116)/10000000)</f>
        <v/>
      </c>
      <c r="B717" s="23">
        <f>IF(Brand_Log!AN117=1,Brand_Log!G117,"")</f>
        <v/>
      </c>
      <c r="C717" s="17">
        <f>IF(B717="","","brand")</f>
        <v/>
      </c>
      <c r="D717" s="17">
        <f>IF(B717="","",Brand_Log!$A117&amp;"")</f>
        <v/>
      </c>
      <c r="E717" s="17">
        <f>IF(B717="","",IF(Brand_Log!B117="","",Brand_Log!B117&amp;""))</f>
        <v/>
      </c>
      <c r="F717" s="17">
        <f>IF(B717="","","conversation")</f>
        <v/>
      </c>
      <c r="G717" s="17">
        <f>IF(B717="","","")</f>
        <v/>
      </c>
      <c r="H717" s="17">
        <f>IF(B717="","","")</f>
        <v/>
      </c>
      <c r="I717" s="17">
        <f>IF(B717="","","")</f>
        <v/>
      </c>
      <c r="J717" s="17">
        <f>IF(B717="","",IF(Brand_Log!H117="","",Brand_Log!H117&amp;""))</f>
        <v/>
      </c>
      <c r="K717" t="inlineStr">
        <is>
          <t>brand conversation</t>
        </is>
      </c>
    </row>
    <row r="718">
      <c r="A718" s="17">
        <f>IF(B718="","",B718+(4*1000+117)/10000000)</f>
        <v/>
      </c>
      <c r="B718" s="23">
        <f>IF(Brand_Log!AN118=1,Brand_Log!G118,"")</f>
        <v/>
      </c>
      <c r="C718" s="17">
        <f>IF(B718="","","brand")</f>
        <v/>
      </c>
      <c r="D718" s="17">
        <f>IF(B718="","",Brand_Log!$A118&amp;"")</f>
        <v/>
      </c>
      <c r="E718" s="17">
        <f>IF(B718="","",IF(Brand_Log!B118="","",Brand_Log!B118&amp;""))</f>
        <v/>
      </c>
      <c r="F718" s="17">
        <f>IF(B718="","","conversation")</f>
        <v/>
      </c>
      <c r="G718" s="17">
        <f>IF(B718="","","")</f>
        <v/>
      </c>
      <c r="H718" s="17">
        <f>IF(B718="","","")</f>
        <v/>
      </c>
      <c r="I718" s="17">
        <f>IF(B718="","","")</f>
        <v/>
      </c>
      <c r="J718" s="17">
        <f>IF(B718="","",IF(Brand_Log!H118="","",Brand_Log!H118&amp;""))</f>
        <v/>
      </c>
      <c r="K718" t="inlineStr">
        <is>
          <t>brand conversation</t>
        </is>
      </c>
    </row>
    <row r="719">
      <c r="A719" s="17">
        <f>IF(B719="","",B719+(4*1000+118)/10000000)</f>
        <v/>
      </c>
      <c r="B719" s="23">
        <f>IF(Brand_Log!AN119=1,Brand_Log!G119,"")</f>
        <v/>
      </c>
      <c r="C719" s="17">
        <f>IF(B719="","","brand")</f>
        <v/>
      </c>
      <c r="D719" s="17">
        <f>IF(B719="","",Brand_Log!$A119&amp;"")</f>
        <v/>
      </c>
      <c r="E719" s="17">
        <f>IF(B719="","",IF(Brand_Log!B119="","",Brand_Log!B119&amp;""))</f>
        <v/>
      </c>
      <c r="F719" s="17">
        <f>IF(B719="","","conversation")</f>
        <v/>
      </c>
      <c r="G719" s="17">
        <f>IF(B719="","","")</f>
        <v/>
      </c>
      <c r="H719" s="17">
        <f>IF(B719="","","")</f>
        <v/>
      </c>
      <c r="I719" s="17">
        <f>IF(B719="","","")</f>
        <v/>
      </c>
      <c r="J719" s="17">
        <f>IF(B719="","",IF(Brand_Log!H119="","",Brand_Log!H119&amp;""))</f>
        <v/>
      </c>
      <c r="K719" t="inlineStr">
        <is>
          <t>brand conversation</t>
        </is>
      </c>
    </row>
    <row r="720">
      <c r="A720" s="17">
        <f>IF(B720="","",B720+(4*1000+119)/10000000)</f>
        <v/>
      </c>
      <c r="B720" s="23">
        <f>IF(Brand_Log!AN120=1,Brand_Log!G120,"")</f>
        <v/>
      </c>
      <c r="C720" s="17">
        <f>IF(B720="","","brand")</f>
        <v/>
      </c>
      <c r="D720" s="17">
        <f>IF(B720="","",Brand_Log!$A120&amp;"")</f>
        <v/>
      </c>
      <c r="E720" s="17">
        <f>IF(B720="","",IF(Brand_Log!B120="","",Brand_Log!B120&amp;""))</f>
        <v/>
      </c>
      <c r="F720" s="17">
        <f>IF(B720="","","conversation")</f>
        <v/>
      </c>
      <c r="G720" s="17">
        <f>IF(B720="","","")</f>
        <v/>
      </c>
      <c r="H720" s="17">
        <f>IF(B720="","","")</f>
        <v/>
      </c>
      <c r="I720" s="17">
        <f>IF(B720="","","")</f>
        <v/>
      </c>
      <c r="J720" s="17">
        <f>IF(B720="","",IF(Brand_Log!H120="","",Brand_Log!H120&amp;""))</f>
        <v/>
      </c>
      <c r="K720" t="inlineStr">
        <is>
          <t>brand conversation</t>
        </is>
      </c>
    </row>
    <row r="721">
      <c r="A721" s="17">
        <f>IF(B721="","",B721+(4*1000+120)/10000000)</f>
        <v/>
      </c>
      <c r="B721" s="23">
        <f>IF(Brand_Log!AN121=1,Brand_Log!G121,"")</f>
        <v/>
      </c>
      <c r="C721" s="17">
        <f>IF(B721="","","brand")</f>
        <v/>
      </c>
      <c r="D721" s="17">
        <f>IF(B721="","",Brand_Log!$A121&amp;"")</f>
        <v/>
      </c>
      <c r="E721" s="17">
        <f>IF(B721="","",IF(Brand_Log!B121="","",Brand_Log!B121&amp;""))</f>
        <v/>
      </c>
      <c r="F721" s="17">
        <f>IF(B721="","","conversation")</f>
        <v/>
      </c>
      <c r="G721" s="17">
        <f>IF(B721="","","")</f>
        <v/>
      </c>
      <c r="H721" s="17">
        <f>IF(B721="","","")</f>
        <v/>
      </c>
      <c r="I721" s="17">
        <f>IF(B721="","","")</f>
        <v/>
      </c>
      <c r="J721" s="17">
        <f>IF(B721="","",IF(Brand_Log!H121="","",Brand_Log!H121&amp;""))</f>
        <v/>
      </c>
      <c r="K721" t="inlineStr">
        <is>
          <t>brand conversation</t>
        </is>
      </c>
    </row>
    <row r="722">
      <c r="A722" s="17">
        <f>IF(B722="","",B722+(4*1000+121)/10000000)</f>
        <v/>
      </c>
      <c r="B722" s="23">
        <f>IF(Brand_Log!AN122=1,Brand_Log!G122,"")</f>
        <v/>
      </c>
      <c r="C722" s="17">
        <f>IF(B722="","","brand")</f>
        <v/>
      </c>
      <c r="D722" s="17">
        <f>IF(B722="","",Brand_Log!$A122&amp;"")</f>
        <v/>
      </c>
      <c r="E722" s="17">
        <f>IF(B722="","",IF(Brand_Log!B122="","",Brand_Log!B122&amp;""))</f>
        <v/>
      </c>
      <c r="F722" s="17">
        <f>IF(B722="","","conversation")</f>
        <v/>
      </c>
      <c r="G722" s="17">
        <f>IF(B722="","","")</f>
        <v/>
      </c>
      <c r="H722" s="17">
        <f>IF(B722="","","")</f>
        <v/>
      </c>
      <c r="I722" s="17">
        <f>IF(B722="","","")</f>
        <v/>
      </c>
      <c r="J722" s="17">
        <f>IF(B722="","",IF(Brand_Log!H122="","",Brand_Log!H122&amp;""))</f>
        <v/>
      </c>
      <c r="K722" t="inlineStr">
        <is>
          <t>brand conversation</t>
        </is>
      </c>
    </row>
    <row r="723">
      <c r="A723" s="17">
        <f>IF(B723="","",B723+(4*1000+122)/10000000)</f>
        <v/>
      </c>
      <c r="B723" s="23">
        <f>IF(Brand_Log!AN123=1,Brand_Log!G123,"")</f>
        <v/>
      </c>
      <c r="C723" s="17">
        <f>IF(B723="","","brand")</f>
        <v/>
      </c>
      <c r="D723" s="17">
        <f>IF(B723="","",Brand_Log!$A123&amp;"")</f>
        <v/>
      </c>
      <c r="E723" s="17">
        <f>IF(B723="","",IF(Brand_Log!B123="","",Brand_Log!B123&amp;""))</f>
        <v/>
      </c>
      <c r="F723" s="17">
        <f>IF(B723="","","conversation")</f>
        <v/>
      </c>
      <c r="G723" s="17">
        <f>IF(B723="","","")</f>
        <v/>
      </c>
      <c r="H723" s="17">
        <f>IF(B723="","","")</f>
        <v/>
      </c>
      <c r="I723" s="17">
        <f>IF(B723="","","")</f>
        <v/>
      </c>
      <c r="J723" s="17">
        <f>IF(B723="","",IF(Brand_Log!H123="","",Brand_Log!H123&amp;""))</f>
        <v/>
      </c>
      <c r="K723" t="inlineStr">
        <is>
          <t>brand conversation</t>
        </is>
      </c>
    </row>
    <row r="724">
      <c r="A724" s="17">
        <f>IF(B724="","",B724+(4*1000+123)/10000000)</f>
        <v/>
      </c>
      <c r="B724" s="23">
        <f>IF(Brand_Log!AN124=1,Brand_Log!G124,"")</f>
        <v/>
      </c>
      <c r="C724" s="17">
        <f>IF(B724="","","brand")</f>
        <v/>
      </c>
      <c r="D724" s="17">
        <f>IF(B724="","",Brand_Log!$A124&amp;"")</f>
        <v/>
      </c>
      <c r="E724" s="17">
        <f>IF(B724="","",IF(Brand_Log!B124="","",Brand_Log!B124&amp;""))</f>
        <v/>
      </c>
      <c r="F724" s="17">
        <f>IF(B724="","","conversation")</f>
        <v/>
      </c>
      <c r="G724" s="17">
        <f>IF(B724="","","")</f>
        <v/>
      </c>
      <c r="H724" s="17">
        <f>IF(B724="","","")</f>
        <v/>
      </c>
      <c r="I724" s="17">
        <f>IF(B724="","","")</f>
        <v/>
      </c>
      <c r="J724" s="17">
        <f>IF(B724="","",IF(Brand_Log!H124="","",Brand_Log!H124&amp;""))</f>
        <v/>
      </c>
      <c r="K724" t="inlineStr">
        <is>
          <t>brand conversation</t>
        </is>
      </c>
    </row>
    <row r="725">
      <c r="A725" s="17">
        <f>IF(B725="","",B725+(4*1000+124)/10000000)</f>
        <v/>
      </c>
      <c r="B725" s="23">
        <f>IF(Brand_Log!AN125=1,Brand_Log!G125,"")</f>
        <v/>
      </c>
      <c r="C725" s="17">
        <f>IF(B725="","","brand")</f>
        <v/>
      </c>
      <c r="D725" s="17">
        <f>IF(B725="","",Brand_Log!$A125&amp;"")</f>
        <v/>
      </c>
      <c r="E725" s="17">
        <f>IF(B725="","",IF(Brand_Log!B125="","",Brand_Log!B125&amp;""))</f>
        <v/>
      </c>
      <c r="F725" s="17">
        <f>IF(B725="","","conversation")</f>
        <v/>
      </c>
      <c r="G725" s="17">
        <f>IF(B725="","","")</f>
        <v/>
      </c>
      <c r="H725" s="17">
        <f>IF(B725="","","")</f>
        <v/>
      </c>
      <c r="I725" s="17">
        <f>IF(B725="","","")</f>
        <v/>
      </c>
      <c r="J725" s="17">
        <f>IF(B725="","",IF(Brand_Log!H125="","",Brand_Log!H125&amp;""))</f>
        <v/>
      </c>
      <c r="K725" t="inlineStr">
        <is>
          <t>brand conversation</t>
        </is>
      </c>
    </row>
    <row r="726">
      <c r="A726" s="17">
        <f>IF(B726="","",B726+(4*1000+125)/10000000)</f>
        <v/>
      </c>
      <c r="B726" s="23">
        <f>IF(Brand_Log!AN126=1,Brand_Log!G126,"")</f>
        <v/>
      </c>
      <c r="C726" s="17">
        <f>IF(B726="","","brand")</f>
        <v/>
      </c>
      <c r="D726" s="17">
        <f>IF(B726="","",Brand_Log!$A126&amp;"")</f>
        <v/>
      </c>
      <c r="E726" s="17">
        <f>IF(B726="","",IF(Brand_Log!B126="","",Brand_Log!B126&amp;""))</f>
        <v/>
      </c>
      <c r="F726" s="17">
        <f>IF(B726="","","conversation")</f>
        <v/>
      </c>
      <c r="G726" s="17">
        <f>IF(B726="","","")</f>
        <v/>
      </c>
      <c r="H726" s="17">
        <f>IF(B726="","","")</f>
        <v/>
      </c>
      <c r="I726" s="17">
        <f>IF(B726="","","")</f>
        <v/>
      </c>
      <c r="J726" s="17">
        <f>IF(B726="","",IF(Brand_Log!H126="","",Brand_Log!H126&amp;""))</f>
        <v/>
      </c>
      <c r="K726" t="inlineStr">
        <is>
          <t>brand conversation</t>
        </is>
      </c>
    </row>
    <row r="727">
      <c r="A727" s="17">
        <f>IF(B727="","",B727+(4*1000+126)/10000000)</f>
        <v/>
      </c>
      <c r="B727" s="23">
        <f>IF(Brand_Log!AN127=1,Brand_Log!G127,"")</f>
        <v/>
      </c>
      <c r="C727" s="17">
        <f>IF(B727="","","brand")</f>
        <v/>
      </c>
      <c r="D727" s="17">
        <f>IF(B727="","",Brand_Log!$A127&amp;"")</f>
        <v/>
      </c>
      <c r="E727" s="17">
        <f>IF(B727="","",IF(Brand_Log!B127="","",Brand_Log!B127&amp;""))</f>
        <v/>
      </c>
      <c r="F727" s="17">
        <f>IF(B727="","","conversation")</f>
        <v/>
      </c>
      <c r="G727" s="17">
        <f>IF(B727="","","")</f>
        <v/>
      </c>
      <c r="H727" s="17">
        <f>IF(B727="","","")</f>
        <v/>
      </c>
      <c r="I727" s="17">
        <f>IF(B727="","","")</f>
        <v/>
      </c>
      <c r="J727" s="17">
        <f>IF(B727="","",IF(Brand_Log!H127="","",Brand_Log!H127&amp;""))</f>
        <v/>
      </c>
      <c r="K727" t="inlineStr">
        <is>
          <t>brand conversation</t>
        </is>
      </c>
    </row>
    <row r="728">
      <c r="A728" s="17">
        <f>IF(B728="","",B728+(4*1000+127)/10000000)</f>
        <v/>
      </c>
      <c r="B728" s="23">
        <f>IF(Brand_Log!AN128=1,Brand_Log!G128,"")</f>
        <v/>
      </c>
      <c r="C728" s="17">
        <f>IF(B728="","","brand")</f>
        <v/>
      </c>
      <c r="D728" s="17">
        <f>IF(B728="","",Brand_Log!$A128&amp;"")</f>
        <v/>
      </c>
      <c r="E728" s="17">
        <f>IF(B728="","",IF(Brand_Log!B128="","",Brand_Log!B128&amp;""))</f>
        <v/>
      </c>
      <c r="F728" s="17">
        <f>IF(B728="","","conversation")</f>
        <v/>
      </c>
      <c r="G728" s="17">
        <f>IF(B728="","","")</f>
        <v/>
      </c>
      <c r="H728" s="17">
        <f>IF(B728="","","")</f>
        <v/>
      </c>
      <c r="I728" s="17">
        <f>IF(B728="","","")</f>
        <v/>
      </c>
      <c r="J728" s="17">
        <f>IF(B728="","",IF(Brand_Log!H128="","",Brand_Log!H128&amp;""))</f>
        <v/>
      </c>
      <c r="K728" t="inlineStr">
        <is>
          <t>brand conversation</t>
        </is>
      </c>
    </row>
    <row r="729">
      <c r="A729" s="17">
        <f>IF(B729="","",B729+(4*1000+128)/10000000)</f>
        <v/>
      </c>
      <c r="B729" s="23">
        <f>IF(Brand_Log!AN129=1,Brand_Log!G129,"")</f>
        <v/>
      </c>
      <c r="C729" s="17">
        <f>IF(B729="","","brand")</f>
        <v/>
      </c>
      <c r="D729" s="17">
        <f>IF(B729="","",Brand_Log!$A129&amp;"")</f>
        <v/>
      </c>
      <c r="E729" s="17">
        <f>IF(B729="","",IF(Brand_Log!B129="","",Brand_Log!B129&amp;""))</f>
        <v/>
      </c>
      <c r="F729" s="17">
        <f>IF(B729="","","conversation")</f>
        <v/>
      </c>
      <c r="G729" s="17">
        <f>IF(B729="","","")</f>
        <v/>
      </c>
      <c r="H729" s="17">
        <f>IF(B729="","","")</f>
        <v/>
      </c>
      <c r="I729" s="17">
        <f>IF(B729="","","")</f>
        <v/>
      </c>
      <c r="J729" s="17">
        <f>IF(B729="","",IF(Brand_Log!H129="","",Brand_Log!H129&amp;""))</f>
        <v/>
      </c>
      <c r="K729" t="inlineStr">
        <is>
          <t>brand conversation</t>
        </is>
      </c>
    </row>
    <row r="730">
      <c r="A730" s="17">
        <f>IF(B730="","",B730+(4*1000+129)/10000000)</f>
        <v/>
      </c>
      <c r="B730" s="23">
        <f>IF(Brand_Log!AN130=1,Brand_Log!G130,"")</f>
        <v/>
      </c>
      <c r="C730" s="17">
        <f>IF(B730="","","brand")</f>
        <v/>
      </c>
      <c r="D730" s="17">
        <f>IF(B730="","",Brand_Log!$A130&amp;"")</f>
        <v/>
      </c>
      <c r="E730" s="17">
        <f>IF(B730="","",IF(Brand_Log!B130="","",Brand_Log!B130&amp;""))</f>
        <v/>
      </c>
      <c r="F730" s="17">
        <f>IF(B730="","","conversation")</f>
        <v/>
      </c>
      <c r="G730" s="17">
        <f>IF(B730="","","")</f>
        <v/>
      </c>
      <c r="H730" s="17">
        <f>IF(B730="","","")</f>
        <v/>
      </c>
      <c r="I730" s="17">
        <f>IF(B730="","","")</f>
        <v/>
      </c>
      <c r="J730" s="17">
        <f>IF(B730="","",IF(Brand_Log!H130="","",Brand_Log!H130&amp;""))</f>
        <v/>
      </c>
      <c r="K730" t="inlineStr">
        <is>
          <t>brand conversation</t>
        </is>
      </c>
    </row>
    <row r="731">
      <c r="A731" s="17">
        <f>IF(B731="","",B731+(4*1000+130)/10000000)</f>
        <v/>
      </c>
      <c r="B731" s="23">
        <f>IF(Brand_Log!AN131=1,Brand_Log!G131,"")</f>
        <v/>
      </c>
      <c r="C731" s="17">
        <f>IF(B731="","","brand")</f>
        <v/>
      </c>
      <c r="D731" s="17">
        <f>IF(B731="","",Brand_Log!$A131&amp;"")</f>
        <v/>
      </c>
      <c r="E731" s="17">
        <f>IF(B731="","",IF(Brand_Log!B131="","",Brand_Log!B131&amp;""))</f>
        <v/>
      </c>
      <c r="F731" s="17">
        <f>IF(B731="","","conversation")</f>
        <v/>
      </c>
      <c r="G731" s="17">
        <f>IF(B731="","","")</f>
        <v/>
      </c>
      <c r="H731" s="17">
        <f>IF(B731="","","")</f>
        <v/>
      </c>
      <c r="I731" s="17">
        <f>IF(B731="","","")</f>
        <v/>
      </c>
      <c r="J731" s="17">
        <f>IF(B731="","",IF(Brand_Log!H131="","",Brand_Log!H131&amp;""))</f>
        <v/>
      </c>
      <c r="K731" t="inlineStr">
        <is>
          <t>brand conversation</t>
        </is>
      </c>
    </row>
    <row r="732">
      <c r="A732" s="17">
        <f>IF(B732="","",B732+(4*1000+131)/10000000)</f>
        <v/>
      </c>
      <c r="B732" s="23">
        <f>IF(Brand_Log!AN132=1,Brand_Log!G132,"")</f>
        <v/>
      </c>
      <c r="C732" s="17">
        <f>IF(B732="","","brand")</f>
        <v/>
      </c>
      <c r="D732" s="17">
        <f>IF(B732="","",Brand_Log!$A132&amp;"")</f>
        <v/>
      </c>
      <c r="E732" s="17">
        <f>IF(B732="","",IF(Brand_Log!B132="","",Brand_Log!B132&amp;""))</f>
        <v/>
      </c>
      <c r="F732" s="17">
        <f>IF(B732="","","conversation")</f>
        <v/>
      </c>
      <c r="G732" s="17">
        <f>IF(B732="","","")</f>
        <v/>
      </c>
      <c r="H732" s="17">
        <f>IF(B732="","","")</f>
        <v/>
      </c>
      <c r="I732" s="17">
        <f>IF(B732="","","")</f>
        <v/>
      </c>
      <c r="J732" s="17">
        <f>IF(B732="","",IF(Brand_Log!H132="","",Brand_Log!H132&amp;""))</f>
        <v/>
      </c>
      <c r="K732" t="inlineStr">
        <is>
          <t>brand conversation</t>
        </is>
      </c>
    </row>
    <row r="733">
      <c r="A733" s="17">
        <f>IF(B733="","",B733+(4*1000+132)/10000000)</f>
        <v/>
      </c>
      <c r="B733" s="23">
        <f>IF(Brand_Log!AN133=1,Brand_Log!G133,"")</f>
        <v/>
      </c>
      <c r="C733" s="17">
        <f>IF(B733="","","brand")</f>
        <v/>
      </c>
      <c r="D733" s="17">
        <f>IF(B733="","",Brand_Log!$A133&amp;"")</f>
        <v/>
      </c>
      <c r="E733" s="17">
        <f>IF(B733="","",IF(Brand_Log!B133="","",Brand_Log!B133&amp;""))</f>
        <v/>
      </c>
      <c r="F733" s="17">
        <f>IF(B733="","","conversation")</f>
        <v/>
      </c>
      <c r="G733" s="17">
        <f>IF(B733="","","")</f>
        <v/>
      </c>
      <c r="H733" s="17">
        <f>IF(B733="","","")</f>
        <v/>
      </c>
      <c r="I733" s="17">
        <f>IF(B733="","","")</f>
        <v/>
      </c>
      <c r="J733" s="17">
        <f>IF(B733="","",IF(Brand_Log!H133="","",Brand_Log!H133&amp;""))</f>
        <v/>
      </c>
      <c r="K733" t="inlineStr">
        <is>
          <t>brand conversation</t>
        </is>
      </c>
    </row>
    <row r="734">
      <c r="A734" s="17">
        <f>IF(B734="","",B734+(4*1000+133)/10000000)</f>
        <v/>
      </c>
      <c r="B734" s="23">
        <f>IF(Brand_Log!AN134=1,Brand_Log!G134,"")</f>
        <v/>
      </c>
      <c r="C734" s="17">
        <f>IF(B734="","","brand")</f>
        <v/>
      </c>
      <c r="D734" s="17">
        <f>IF(B734="","",Brand_Log!$A134&amp;"")</f>
        <v/>
      </c>
      <c r="E734" s="17">
        <f>IF(B734="","",IF(Brand_Log!B134="","",Brand_Log!B134&amp;""))</f>
        <v/>
      </c>
      <c r="F734" s="17">
        <f>IF(B734="","","conversation")</f>
        <v/>
      </c>
      <c r="G734" s="17">
        <f>IF(B734="","","")</f>
        <v/>
      </c>
      <c r="H734" s="17">
        <f>IF(B734="","","")</f>
        <v/>
      </c>
      <c r="I734" s="17">
        <f>IF(B734="","","")</f>
        <v/>
      </c>
      <c r="J734" s="17">
        <f>IF(B734="","",IF(Brand_Log!H134="","",Brand_Log!H134&amp;""))</f>
        <v/>
      </c>
      <c r="K734" t="inlineStr">
        <is>
          <t>brand conversation</t>
        </is>
      </c>
    </row>
    <row r="735">
      <c r="A735" s="17">
        <f>IF(B735="","",B735+(4*1000+134)/10000000)</f>
        <v/>
      </c>
      <c r="B735" s="23">
        <f>IF(Brand_Log!AN135=1,Brand_Log!G135,"")</f>
        <v/>
      </c>
      <c r="C735" s="17">
        <f>IF(B735="","","brand")</f>
        <v/>
      </c>
      <c r="D735" s="17">
        <f>IF(B735="","",Brand_Log!$A135&amp;"")</f>
        <v/>
      </c>
      <c r="E735" s="17">
        <f>IF(B735="","",IF(Brand_Log!B135="","",Brand_Log!B135&amp;""))</f>
        <v/>
      </c>
      <c r="F735" s="17">
        <f>IF(B735="","","conversation")</f>
        <v/>
      </c>
      <c r="G735" s="17">
        <f>IF(B735="","","")</f>
        <v/>
      </c>
      <c r="H735" s="17">
        <f>IF(B735="","","")</f>
        <v/>
      </c>
      <c r="I735" s="17">
        <f>IF(B735="","","")</f>
        <v/>
      </c>
      <c r="J735" s="17">
        <f>IF(B735="","",IF(Brand_Log!H135="","",Brand_Log!H135&amp;""))</f>
        <v/>
      </c>
      <c r="K735" t="inlineStr">
        <is>
          <t>brand conversation</t>
        </is>
      </c>
    </row>
    <row r="736">
      <c r="A736" s="17">
        <f>IF(B736="","",B736+(4*1000+135)/10000000)</f>
        <v/>
      </c>
      <c r="B736" s="23">
        <f>IF(Brand_Log!AN136=1,Brand_Log!G136,"")</f>
        <v/>
      </c>
      <c r="C736" s="17">
        <f>IF(B736="","","brand")</f>
        <v/>
      </c>
      <c r="D736" s="17">
        <f>IF(B736="","",Brand_Log!$A136&amp;"")</f>
        <v/>
      </c>
      <c r="E736" s="17">
        <f>IF(B736="","",IF(Brand_Log!B136="","",Brand_Log!B136&amp;""))</f>
        <v/>
      </c>
      <c r="F736" s="17">
        <f>IF(B736="","","conversation")</f>
        <v/>
      </c>
      <c r="G736" s="17">
        <f>IF(B736="","","")</f>
        <v/>
      </c>
      <c r="H736" s="17">
        <f>IF(B736="","","")</f>
        <v/>
      </c>
      <c r="I736" s="17">
        <f>IF(B736="","","")</f>
        <v/>
      </c>
      <c r="J736" s="17">
        <f>IF(B736="","",IF(Brand_Log!H136="","",Brand_Log!H136&amp;""))</f>
        <v/>
      </c>
      <c r="K736" t="inlineStr">
        <is>
          <t>brand conversation</t>
        </is>
      </c>
    </row>
    <row r="737">
      <c r="A737" s="17">
        <f>IF(B737="","",B737+(4*1000+136)/10000000)</f>
        <v/>
      </c>
      <c r="B737" s="23">
        <f>IF(Brand_Log!AN137=1,Brand_Log!G137,"")</f>
        <v/>
      </c>
      <c r="C737" s="17">
        <f>IF(B737="","","brand")</f>
        <v/>
      </c>
      <c r="D737" s="17">
        <f>IF(B737="","",Brand_Log!$A137&amp;"")</f>
        <v/>
      </c>
      <c r="E737" s="17">
        <f>IF(B737="","",IF(Brand_Log!B137="","",Brand_Log!B137&amp;""))</f>
        <v/>
      </c>
      <c r="F737" s="17">
        <f>IF(B737="","","conversation")</f>
        <v/>
      </c>
      <c r="G737" s="17">
        <f>IF(B737="","","")</f>
        <v/>
      </c>
      <c r="H737" s="17">
        <f>IF(B737="","","")</f>
        <v/>
      </c>
      <c r="I737" s="17">
        <f>IF(B737="","","")</f>
        <v/>
      </c>
      <c r="J737" s="17">
        <f>IF(B737="","",IF(Brand_Log!H137="","",Brand_Log!H137&amp;""))</f>
        <v/>
      </c>
      <c r="K737" t="inlineStr">
        <is>
          <t>brand conversation</t>
        </is>
      </c>
    </row>
    <row r="738">
      <c r="A738" s="17">
        <f>IF(B738="","",B738+(4*1000+137)/10000000)</f>
        <v/>
      </c>
      <c r="B738" s="23">
        <f>IF(Brand_Log!AN138=1,Brand_Log!G138,"")</f>
        <v/>
      </c>
      <c r="C738" s="17">
        <f>IF(B738="","","brand")</f>
        <v/>
      </c>
      <c r="D738" s="17">
        <f>IF(B738="","",Brand_Log!$A138&amp;"")</f>
        <v/>
      </c>
      <c r="E738" s="17">
        <f>IF(B738="","",IF(Brand_Log!B138="","",Brand_Log!B138&amp;""))</f>
        <v/>
      </c>
      <c r="F738" s="17">
        <f>IF(B738="","","conversation")</f>
        <v/>
      </c>
      <c r="G738" s="17">
        <f>IF(B738="","","")</f>
        <v/>
      </c>
      <c r="H738" s="17">
        <f>IF(B738="","","")</f>
        <v/>
      </c>
      <c r="I738" s="17">
        <f>IF(B738="","","")</f>
        <v/>
      </c>
      <c r="J738" s="17">
        <f>IF(B738="","",IF(Brand_Log!H138="","",Brand_Log!H138&amp;""))</f>
        <v/>
      </c>
      <c r="K738" t="inlineStr">
        <is>
          <t>brand conversation</t>
        </is>
      </c>
    </row>
    <row r="739">
      <c r="A739" s="17">
        <f>IF(B739="","",B739+(4*1000+138)/10000000)</f>
        <v/>
      </c>
      <c r="B739" s="23">
        <f>IF(Brand_Log!AN139=1,Brand_Log!G139,"")</f>
        <v/>
      </c>
      <c r="C739" s="17">
        <f>IF(B739="","","brand")</f>
        <v/>
      </c>
      <c r="D739" s="17">
        <f>IF(B739="","",Brand_Log!$A139&amp;"")</f>
        <v/>
      </c>
      <c r="E739" s="17">
        <f>IF(B739="","",IF(Brand_Log!B139="","",Brand_Log!B139&amp;""))</f>
        <v/>
      </c>
      <c r="F739" s="17">
        <f>IF(B739="","","conversation")</f>
        <v/>
      </c>
      <c r="G739" s="17">
        <f>IF(B739="","","")</f>
        <v/>
      </c>
      <c r="H739" s="17">
        <f>IF(B739="","","")</f>
        <v/>
      </c>
      <c r="I739" s="17">
        <f>IF(B739="","","")</f>
        <v/>
      </c>
      <c r="J739" s="17">
        <f>IF(B739="","",IF(Brand_Log!H139="","",Brand_Log!H139&amp;""))</f>
        <v/>
      </c>
      <c r="K739" t="inlineStr">
        <is>
          <t>brand conversation</t>
        </is>
      </c>
    </row>
    <row r="740">
      <c r="A740" s="17">
        <f>IF(B740="","",B740+(4*1000+139)/10000000)</f>
        <v/>
      </c>
      <c r="B740" s="23">
        <f>IF(Brand_Log!AN140=1,Brand_Log!G140,"")</f>
        <v/>
      </c>
      <c r="C740" s="17">
        <f>IF(B740="","","brand")</f>
        <v/>
      </c>
      <c r="D740" s="17">
        <f>IF(B740="","",Brand_Log!$A140&amp;"")</f>
        <v/>
      </c>
      <c r="E740" s="17">
        <f>IF(B740="","",IF(Brand_Log!B140="","",Brand_Log!B140&amp;""))</f>
        <v/>
      </c>
      <c r="F740" s="17">
        <f>IF(B740="","","conversation")</f>
        <v/>
      </c>
      <c r="G740" s="17">
        <f>IF(B740="","","")</f>
        <v/>
      </c>
      <c r="H740" s="17">
        <f>IF(B740="","","")</f>
        <v/>
      </c>
      <c r="I740" s="17">
        <f>IF(B740="","","")</f>
        <v/>
      </c>
      <c r="J740" s="17">
        <f>IF(B740="","",IF(Brand_Log!H140="","",Brand_Log!H140&amp;""))</f>
        <v/>
      </c>
      <c r="K740" t="inlineStr">
        <is>
          <t>brand conversation</t>
        </is>
      </c>
    </row>
    <row r="741">
      <c r="A741" s="17">
        <f>IF(B741="","",B741+(4*1000+140)/10000000)</f>
        <v/>
      </c>
      <c r="B741" s="23">
        <f>IF(Brand_Log!AN141=1,Brand_Log!G141,"")</f>
        <v/>
      </c>
      <c r="C741" s="17">
        <f>IF(B741="","","brand")</f>
        <v/>
      </c>
      <c r="D741" s="17">
        <f>IF(B741="","",Brand_Log!$A141&amp;"")</f>
        <v/>
      </c>
      <c r="E741" s="17">
        <f>IF(B741="","",IF(Brand_Log!B141="","",Brand_Log!B141&amp;""))</f>
        <v/>
      </c>
      <c r="F741" s="17">
        <f>IF(B741="","","conversation")</f>
        <v/>
      </c>
      <c r="G741" s="17">
        <f>IF(B741="","","")</f>
        <v/>
      </c>
      <c r="H741" s="17">
        <f>IF(B741="","","")</f>
        <v/>
      </c>
      <c r="I741" s="17">
        <f>IF(B741="","","")</f>
        <v/>
      </c>
      <c r="J741" s="17">
        <f>IF(B741="","",IF(Brand_Log!H141="","",Brand_Log!H141&amp;""))</f>
        <v/>
      </c>
      <c r="K741" t="inlineStr">
        <is>
          <t>brand conversation</t>
        </is>
      </c>
    </row>
    <row r="742">
      <c r="A742" s="17">
        <f>IF(B742="","",B742+(4*1000+141)/10000000)</f>
        <v/>
      </c>
      <c r="B742" s="23">
        <f>IF(Brand_Log!AN142=1,Brand_Log!G142,"")</f>
        <v/>
      </c>
      <c r="C742" s="17">
        <f>IF(B742="","","brand")</f>
        <v/>
      </c>
      <c r="D742" s="17">
        <f>IF(B742="","",Brand_Log!$A142&amp;"")</f>
        <v/>
      </c>
      <c r="E742" s="17">
        <f>IF(B742="","",IF(Brand_Log!B142="","",Brand_Log!B142&amp;""))</f>
        <v/>
      </c>
      <c r="F742" s="17">
        <f>IF(B742="","","conversation")</f>
        <v/>
      </c>
      <c r="G742" s="17">
        <f>IF(B742="","","")</f>
        <v/>
      </c>
      <c r="H742" s="17">
        <f>IF(B742="","","")</f>
        <v/>
      </c>
      <c r="I742" s="17">
        <f>IF(B742="","","")</f>
        <v/>
      </c>
      <c r="J742" s="17">
        <f>IF(B742="","",IF(Brand_Log!H142="","",Brand_Log!H142&amp;""))</f>
        <v/>
      </c>
      <c r="K742" t="inlineStr">
        <is>
          <t>brand conversation</t>
        </is>
      </c>
    </row>
    <row r="743">
      <c r="A743" s="17">
        <f>IF(B743="","",B743+(4*1000+142)/10000000)</f>
        <v/>
      </c>
      <c r="B743" s="23">
        <f>IF(Brand_Log!AN143=1,Brand_Log!G143,"")</f>
        <v/>
      </c>
      <c r="C743" s="17">
        <f>IF(B743="","","brand")</f>
        <v/>
      </c>
      <c r="D743" s="17">
        <f>IF(B743="","",Brand_Log!$A143&amp;"")</f>
        <v/>
      </c>
      <c r="E743" s="17">
        <f>IF(B743="","",IF(Brand_Log!B143="","",Brand_Log!B143&amp;""))</f>
        <v/>
      </c>
      <c r="F743" s="17">
        <f>IF(B743="","","conversation")</f>
        <v/>
      </c>
      <c r="G743" s="17">
        <f>IF(B743="","","")</f>
        <v/>
      </c>
      <c r="H743" s="17">
        <f>IF(B743="","","")</f>
        <v/>
      </c>
      <c r="I743" s="17">
        <f>IF(B743="","","")</f>
        <v/>
      </c>
      <c r="J743" s="17">
        <f>IF(B743="","",IF(Brand_Log!H143="","",Brand_Log!H143&amp;""))</f>
        <v/>
      </c>
      <c r="K743" t="inlineStr">
        <is>
          <t>brand conversation</t>
        </is>
      </c>
    </row>
    <row r="744">
      <c r="A744" s="17">
        <f>IF(B744="","",B744+(4*1000+143)/10000000)</f>
        <v/>
      </c>
      <c r="B744" s="23">
        <f>IF(Brand_Log!AN144=1,Brand_Log!G144,"")</f>
        <v/>
      </c>
      <c r="C744" s="17">
        <f>IF(B744="","","brand")</f>
        <v/>
      </c>
      <c r="D744" s="17">
        <f>IF(B744="","",Brand_Log!$A144&amp;"")</f>
        <v/>
      </c>
      <c r="E744" s="17">
        <f>IF(B744="","",IF(Brand_Log!B144="","",Brand_Log!B144&amp;""))</f>
        <v/>
      </c>
      <c r="F744" s="17">
        <f>IF(B744="","","conversation")</f>
        <v/>
      </c>
      <c r="G744" s="17">
        <f>IF(B744="","","")</f>
        <v/>
      </c>
      <c r="H744" s="17">
        <f>IF(B744="","","")</f>
        <v/>
      </c>
      <c r="I744" s="17">
        <f>IF(B744="","","")</f>
        <v/>
      </c>
      <c r="J744" s="17">
        <f>IF(B744="","",IF(Brand_Log!H144="","",Brand_Log!H144&amp;""))</f>
        <v/>
      </c>
      <c r="K744" t="inlineStr">
        <is>
          <t>brand conversation</t>
        </is>
      </c>
    </row>
    <row r="745">
      <c r="A745" s="17">
        <f>IF(B745="","",B745+(4*1000+144)/10000000)</f>
        <v/>
      </c>
      <c r="B745" s="23">
        <f>IF(Brand_Log!AN145=1,Brand_Log!G145,"")</f>
        <v/>
      </c>
      <c r="C745" s="17">
        <f>IF(B745="","","brand")</f>
        <v/>
      </c>
      <c r="D745" s="17">
        <f>IF(B745="","",Brand_Log!$A145&amp;"")</f>
        <v/>
      </c>
      <c r="E745" s="17">
        <f>IF(B745="","",IF(Brand_Log!B145="","",Brand_Log!B145&amp;""))</f>
        <v/>
      </c>
      <c r="F745" s="17">
        <f>IF(B745="","","conversation")</f>
        <v/>
      </c>
      <c r="G745" s="17">
        <f>IF(B745="","","")</f>
        <v/>
      </c>
      <c r="H745" s="17">
        <f>IF(B745="","","")</f>
        <v/>
      </c>
      <c r="I745" s="17">
        <f>IF(B745="","","")</f>
        <v/>
      </c>
      <c r="J745" s="17">
        <f>IF(B745="","",IF(Brand_Log!H145="","",Brand_Log!H145&amp;""))</f>
        <v/>
      </c>
      <c r="K745" t="inlineStr">
        <is>
          <t>brand conversation</t>
        </is>
      </c>
    </row>
    <row r="746">
      <c r="A746" s="17">
        <f>IF(B746="","",B746+(4*1000+145)/10000000)</f>
        <v/>
      </c>
      <c r="B746" s="23">
        <f>IF(Brand_Log!AN146=1,Brand_Log!G146,"")</f>
        <v/>
      </c>
      <c r="C746" s="17">
        <f>IF(B746="","","brand")</f>
        <v/>
      </c>
      <c r="D746" s="17">
        <f>IF(B746="","",Brand_Log!$A146&amp;"")</f>
        <v/>
      </c>
      <c r="E746" s="17">
        <f>IF(B746="","",IF(Brand_Log!B146="","",Brand_Log!B146&amp;""))</f>
        <v/>
      </c>
      <c r="F746" s="17">
        <f>IF(B746="","","conversation")</f>
        <v/>
      </c>
      <c r="G746" s="17">
        <f>IF(B746="","","")</f>
        <v/>
      </c>
      <c r="H746" s="17">
        <f>IF(B746="","","")</f>
        <v/>
      </c>
      <c r="I746" s="17">
        <f>IF(B746="","","")</f>
        <v/>
      </c>
      <c r="J746" s="17">
        <f>IF(B746="","",IF(Brand_Log!H146="","",Brand_Log!H146&amp;""))</f>
        <v/>
      </c>
      <c r="K746" t="inlineStr">
        <is>
          <t>brand conversation</t>
        </is>
      </c>
    </row>
    <row r="747">
      <c r="A747" s="17">
        <f>IF(B747="","",B747+(4*1000+146)/10000000)</f>
        <v/>
      </c>
      <c r="B747" s="23">
        <f>IF(Brand_Log!AN147=1,Brand_Log!G147,"")</f>
        <v/>
      </c>
      <c r="C747" s="17">
        <f>IF(B747="","","brand")</f>
        <v/>
      </c>
      <c r="D747" s="17">
        <f>IF(B747="","",Brand_Log!$A147&amp;"")</f>
        <v/>
      </c>
      <c r="E747" s="17">
        <f>IF(B747="","",IF(Brand_Log!B147="","",Brand_Log!B147&amp;""))</f>
        <v/>
      </c>
      <c r="F747" s="17">
        <f>IF(B747="","","conversation")</f>
        <v/>
      </c>
      <c r="G747" s="17">
        <f>IF(B747="","","")</f>
        <v/>
      </c>
      <c r="H747" s="17">
        <f>IF(B747="","","")</f>
        <v/>
      </c>
      <c r="I747" s="17">
        <f>IF(B747="","","")</f>
        <v/>
      </c>
      <c r="J747" s="17">
        <f>IF(B747="","",IF(Brand_Log!H147="","",Brand_Log!H147&amp;""))</f>
        <v/>
      </c>
      <c r="K747" t="inlineStr">
        <is>
          <t>brand conversation</t>
        </is>
      </c>
    </row>
    <row r="748">
      <c r="A748" s="17">
        <f>IF(B748="","",B748+(4*1000+147)/10000000)</f>
        <v/>
      </c>
      <c r="B748" s="23">
        <f>IF(Brand_Log!AN148=1,Brand_Log!G148,"")</f>
        <v/>
      </c>
      <c r="C748" s="17">
        <f>IF(B748="","","brand")</f>
        <v/>
      </c>
      <c r="D748" s="17">
        <f>IF(B748="","",Brand_Log!$A148&amp;"")</f>
        <v/>
      </c>
      <c r="E748" s="17">
        <f>IF(B748="","",IF(Brand_Log!B148="","",Brand_Log!B148&amp;""))</f>
        <v/>
      </c>
      <c r="F748" s="17">
        <f>IF(B748="","","conversation")</f>
        <v/>
      </c>
      <c r="G748" s="17">
        <f>IF(B748="","","")</f>
        <v/>
      </c>
      <c r="H748" s="17">
        <f>IF(B748="","","")</f>
        <v/>
      </c>
      <c r="I748" s="17">
        <f>IF(B748="","","")</f>
        <v/>
      </c>
      <c r="J748" s="17">
        <f>IF(B748="","",IF(Brand_Log!H148="","",Brand_Log!H148&amp;""))</f>
        <v/>
      </c>
      <c r="K748" t="inlineStr">
        <is>
          <t>brand conversation</t>
        </is>
      </c>
    </row>
    <row r="749">
      <c r="A749" s="17">
        <f>IF(B749="","",B749+(4*1000+148)/10000000)</f>
        <v/>
      </c>
      <c r="B749" s="23">
        <f>IF(Brand_Log!AN149=1,Brand_Log!G149,"")</f>
        <v/>
      </c>
      <c r="C749" s="17">
        <f>IF(B749="","","brand")</f>
        <v/>
      </c>
      <c r="D749" s="17">
        <f>IF(B749="","",Brand_Log!$A149&amp;"")</f>
        <v/>
      </c>
      <c r="E749" s="17">
        <f>IF(B749="","",IF(Brand_Log!B149="","",Brand_Log!B149&amp;""))</f>
        <v/>
      </c>
      <c r="F749" s="17">
        <f>IF(B749="","","conversation")</f>
        <v/>
      </c>
      <c r="G749" s="17">
        <f>IF(B749="","","")</f>
        <v/>
      </c>
      <c r="H749" s="17">
        <f>IF(B749="","","")</f>
        <v/>
      </c>
      <c r="I749" s="17">
        <f>IF(B749="","","")</f>
        <v/>
      </c>
      <c r="J749" s="17">
        <f>IF(B749="","",IF(Brand_Log!H149="","",Brand_Log!H149&amp;""))</f>
        <v/>
      </c>
      <c r="K749" t="inlineStr">
        <is>
          <t>brand conversation</t>
        </is>
      </c>
    </row>
    <row r="750">
      <c r="A750" s="17">
        <f>IF(B750="","",B750+(4*1000+149)/10000000)</f>
        <v/>
      </c>
      <c r="B750" s="23">
        <f>IF(Brand_Log!AN150=1,Brand_Log!G150,"")</f>
        <v/>
      </c>
      <c r="C750" s="17">
        <f>IF(B750="","","brand")</f>
        <v/>
      </c>
      <c r="D750" s="17">
        <f>IF(B750="","",Brand_Log!$A150&amp;"")</f>
        <v/>
      </c>
      <c r="E750" s="17">
        <f>IF(B750="","",IF(Brand_Log!B150="","",Brand_Log!B150&amp;""))</f>
        <v/>
      </c>
      <c r="F750" s="17">
        <f>IF(B750="","","conversation")</f>
        <v/>
      </c>
      <c r="G750" s="17">
        <f>IF(B750="","","")</f>
        <v/>
      </c>
      <c r="H750" s="17">
        <f>IF(B750="","","")</f>
        <v/>
      </c>
      <c r="I750" s="17">
        <f>IF(B750="","","")</f>
        <v/>
      </c>
      <c r="J750" s="17">
        <f>IF(B750="","",IF(Brand_Log!H150="","",Brand_Log!H150&amp;""))</f>
        <v/>
      </c>
      <c r="K750" t="inlineStr">
        <is>
          <t>brand conversation</t>
        </is>
      </c>
    </row>
    <row r="751">
      <c r="A751" s="17">
        <f>IF(B751="","",B751+(4*1000+150)/10000000)</f>
        <v/>
      </c>
      <c r="B751" s="23">
        <f>IF(Brand_Log!AN151=1,Brand_Log!G151,"")</f>
        <v/>
      </c>
      <c r="C751" s="17">
        <f>IF(B751="","","brand")</f>
        <v/>
      </c>
      <c r="D751" s="17">
        <f>IF(B751="","",Brand_Log!$A151&amp;"")</f>
        <v/>
      </c>
      <c r="E751" s="17">
        <f>IF(B751="","",IF(Brand_Log!B151="","",Brand_Log!B151&amp;""))</f>
        <v/>
      </c>
      <c r="F751" s="17">
        <f>IF(B751="","","conversation")</f>
        <v/>
      </c>
      <c r="G751" s="17">
        <f>IF(B751="","","")</f>
        <v/>
      </c>
      <c r="H751" s="17">
        <f>IF(B751="","","")</f>
        <v/>
      </c>
      <c r="I751" s="17">
        <f>IF(B751="","","")</f>
        <v/>
      </c>
      <c r="J751" s="17">
        <f>IF(B751="","",IF(Brand_Log!H151="","",Brand_Log!H151&amp;""))</f>
        <v/>
      </c>
      <c r="K751" t="inlineStr">
        <is>
          <t>brand conversation</t>
        </is>
      </c>
    </row>
    <row r="752">
      <c r="A752" s="17">
        <f>IF(B752="","",B752+(4*1000+151)/10000000)</f>
        <v/>
      </c>
      <c r="B752" s="23">
        <f>IF(Brand_Log!AN152=1,Brand_Log!G152,"")</f>
        <v/>
      </c>
      <c r="C752" s="17">
        <f>IF(B752="","","brand")</f>
        <v/>
      </c>
      <c r="D752" s="17">
        <f>IF(B752="","",Brand_Log!$A152&amp;"")</f>
        <v/>
      </c>
      <c r="E752" s="17">
        <f>IF(B752="","",IF(Brand_Log!B152="","",Brand_Log!B152&amp;""))</f>
        <v/>
      </c>
      <c r="F752" s="17">
        <f>IF(B752="","","conversation")</f>
        <v/>
      </c>
      <c r="G752" s="17">
        <f>IF(B752="","","")</f>
        <v/>
      </c>
      <c r="H752" s="17">
        <f>IF(B752="","","")</f>
        <v/>
      </c>
      <c r="I752" s="17">
        <f>IF(B752="","","")</f>
        <v/>
      </c>
      <c r="J752" s="17">
        <f>IF(B752="","",IF(Brand_Log!H152="","",Brand_Log!H152&amp;""))</f>
        <v/>
      </c>
      <c r="K752" t="inlineStr">
        <is>
          <t>brand conversation</t>
        </is>
      </c>
    </row>
    <row r="753">
      <c r="A753" s="17">
        <f>IF(B753="","",B753+(4*1000+152)/10000000)</f>
        <v/>
      </c>
      <c r="B753" s="23">
        <f>IF(Brand_Log!AN153=1,Brand_Log!G153,"")</f>
        <v/>
      </c>
      <c r="C753" s="17">
        <f>IF(B753="","","brand")</f>
        <v/>
      </c>
      <c r="D753" s="17">
        <f>IF(B753="","",Brand_Log!$A153&amp;"")</f>
        <v/>
      </c>
      <c r="E753" s="17">
        <f>IF(B753="","",IF(Brand_Log!B153="","",Brand_Log!B153&amp;""))</f>
        <v/>
      </c>
      <c r="F753" s="17">
        <f>IF(B753="","","conversation")</f>
        <v/>
      </c>
      <c r="G753" s="17">
        <f>IF(B753="","","")</f>
        <v/>
      </c>
      <c r="H753" s="17">
        <f>IF(B753="","","")</f>
        <v/>
      </c>
      <c r="I753" s="17">
        <f>IF(B753="","","")</f>
        <v/>
      </c>
      <c r="J753" s="17">
        <f>IF(B753="","",IF(Brand_Log!H153="","",Brand_Log!H153&amp;""))</f>
        <v/>
      </c>
      <c r="K753" t="inlineStr">
        <is>
          <t>brand conversation</t>
        </is>
      </c>
    </row>
    <row r="754">
      <c r="A754" s="17">
        <f>IF(B754="","",B754+(4*1000+153)/10000000)</f>
        <v/>
      </c>
      <c r="B754" s="23">
        <f>IF(Brand_Log!AN154=1,Brand_Log!G154,"")</f>
        <v/>
      </c>
      <c r="C754" s="17">
        <f>IF(B754="","","brand")</f>
        <v/>
      </c>
      <c r="D754" s="17">
        <f>IF(B754="","",Brand_Log!$A154&amp;"")</f>
        <v/>
      </c>
      <c r="E754" s="17">
        <f>IF(B754="","",IF(Brand_Log!B154="","",Brand_Log!B154&amp;""))</f>
        <v/>
      </c>
      <c r="F754" s="17">
        <f>IF(B754="","","conversation")</f>
        <v/>
      </c>
      <c r="G754" s="17">
        <f>IF(B754="","","")</f>
        <v/>
      </c>
      <c r="H754" s="17">
        <f>IF(B754="","","")</f>
        <v/>
      </c>
      <c r="I754" s="17">
        <f>IF(B754="","","")</f>
        <v/>
      </c>
      <c r="J754" s="17">
        <f>IF(B754="","",IF(Brand_Log!H154="","",Brand_Log!H154&amp;""))</f>
        <v/>
      </c>
      <c r="K754" t="inlineStr">
        <is>
          <t>brand conversation</t>
        </is>
      </c>
    </row>
    <row r="755">
      <c r="A755" s="17">
        <f>IF(B755="","",B755+(4*1000+154)/10000000)</f>
        <v/>
      </c>
      <c r="B755" s="23">
        <f>IF(Brand_Log!AN155=1,Brand_Log!G155,"")</f>
        <v/>
      </c>
      <c r="C755" s="17">
        <f>IF(B755="","","brand")</f>
        <v/>
      </c>
      <c r="D755" s="17">
        <f>IF(B755="","",Brand_Log!$A155&amp;"")</f>
        <v/>
      </c>
      <c r="E755" s="17">
        <f>IF(B755="","",IF(Brand_Log!B155="","",Brand_Log!B155&amp;""))</f>
        <v/>
      </c>
      <c r="F755" s="17">
        <f>IF(B755="","","conversation")</f>
        <v/>
      </c>
      <c r="G755" s="17">
        <f>IF(B755="","","")</f>
        <v/>
      </c>
      <c r="H755" s="17">
        <f>IF(B755="","","")</f>
        <v/>
      </c>
      <c r="I755" s="17">
        <f>IF(B755="","","")</f>
        <v/>
      </c>
      <c r="J755" s="17">
        <f>IF(B755="","",IF(Brand_Log!H155="","",Brand_Log!H155&amp;""))</f>
        <v/>
      </c>
      <c r="K755" t="inlineStr">
        <is>
          <t>brand conversation</t>
        </is>
      </c>
    </row>
    <row r="756">
      <c r="A756" s="17">
        <f>IF(B756="","",B756+(4*1000+155)/10000000)</f>
        <v/>
      </c>
      <c r="B756" s="23">
        <f>IF(Brand_Log!AN156=1,Brand_Log!G156,"")</f>
        <v/>
      </c>
      <c r="C756" s="17">
        <f>IF(B756="","","brand")</f>
        <v/>
      </c>
      <c r="D756" s="17">
        <f>IF(B756="","",Brand_Log!$A156&amp;"")</f>
        <v/>
      </c>
      <c r="E756" s="17">
        <f>IF(B756="","",IF(Brand_Log!B156="","",Brand_Log!B156&amp;""))</f>
        <v/>
      </c>
      <c r="F756" s="17">
        <f>IF(B756="","","conversation")</f>
        <v/>
      </c>
      <c r="G756" s="17">
        <f>IF(B756="","","")</f>
        <v/>
      </c>
      <c r="H756" s="17">
        <f>IF(B756="","","")</f>
        <v/>
      </c>
      <c r="I756" s="17">
        <f>IF(B756="","","")</f>
        <v/>
      </c>
      <c r="J756" s="17">
        <f>IF(B756="","",IF(Brand_Log!H156="","",Brand_Log!H156&amp;""))</f>
        <v/>
      </c>
      <c r="K756" t="inlineStr">
        <is>
          <t>brand conversation</t>
        </is>
      </c>
    </row>
    <row r="757">
      <c r="A757" s="17">
        <f>IF(B757="","",B757+(4*1000+156)/10000000)</f>
        <v/>
      </c>
      <c r="B757" s="23">
        <f>IF(Brand_Log!AN157=1,Brand_Log!G157,"")</f>
        <v/>
      </c>
      <c r="C757" s="17">
        <f>IF(B757="","","brand")</f>
        <v/>
      </c>
      <c r="D757" s="17">
        <f>IF(B757="","",Brand_Log!$A157&amp;"")</f>
        <v/>
      </c>
      <c r="E757" s="17">
        <f>IF(B757="","",IF(Brand_Log!B157="","",Brand_Log!B157&amp;""))</f>
        <v/>
      </c>
      <c r="F757" s="17">
        <f>IF(B757="","","conversation")</f>
        <v/>
      </c>
      <c r="G757" s="17">
        <f>IF(B757="","","")</f>
        <v/>
      </c>
      <c r="H757" s="17">
        <f>IF(B757="","","")</f>
        <v/>
      </c>
      <c r="I757" s="17">
        <f>IF(B757="","","")</f>
        <v/>
      </c>
      <c r="J757" s="17">
        <f>IF(B757="","",IF(Brand_Log!H157="","",Brand_Log!H157&amp;""))</f>
        <v/>
      </c>
      <c r="K757" t="inlineStr">
        <is>
          <t>brand conversation</t>
        </is>
      </c>
    </row>
    <row r="758">
      <c r="A758" s="17">
        <f>IF(B758="","",B758+(4*1000+157)/10000000)</f>
        <v/>
      </c>
      <c r="B758" s="23">
        <f>IF(Brand_Log!AN158=1,Brand_Log!G158,"")</f>
        <v/>
      </c>
      <c r="C758" s="17">
        <f>IF(B758="","","brand")</f>
        <v/>
      </c>
      <c r="D758" s="17">
        <f>IF(B758="","",Brand_Log!$A158&amp;"")</f>
        <v/>
      </c>
      <c r="E758" s="17">
        <f>IF(B758="","",IF(Brand_Log!B158="","",Brand_Log!B158&amp;""))</f>
        <v/>
      </c>
      <c r="F758" s="17">
        <f>IF(B758="","","conversation")</f>
        <v/>
      </c>
      <c r="G758" s="17">
        <f>IF(B758="","","")</f>
        <v/>
      </c>
      <c r="H758" s="17">
        <f>IF(B758="","","")</f>
        <v/>
      </c>
      <c r="I758" s="17">
        <f>IF(B758="","","")</f>
        <v/>
      </c>
      <c r="J758" s="17">
        <f>IF(B758="","",IF(Brand_Log!H158="","",Brand_Log!H158&amp;""))</f>
        <v/>
      </c>
      <c r="K758" t="inlineStr">
        <is>
          <t>brand conversation</t>
        </is>
      </c>
    </row>
    <row r="759">
      <c r="A759" s="17">
        <f>IF(B759="","",B759+(4*1000+158)/10000000)</f>
        <v/>
      </c>
      <c r="B759" s="23">
        <f>IF(Brand_Log!AN159=1,Brand_Log!G159,"")</f>
        <v/>
      </c>
      <c r="C759" s="17">
        <f>IF(B759="","","brand")</f>
        <v/>
      </c>
      <c r="D759" s="17">
        <f>IF(B759="","",Brand_Log!$A159&amp;"")</f>
        <v/>
      </c>
      <c r="E759" s="17">
        <f>IF(B759="","",IF(Brand_Log!B159="","",Brand_Log!B159&amp;""))</f>
        <v/>
      </c>
      <c r="F759" s="17">
        <f>IF(B759="","","conversation")</f>
        <v/>
      </c>
      <c r="G759" s="17">
        <f>IF(B759="","","")</f>
        <v/>
      </c>
      <c r="H759" s="17">
        <f>IF(B759="","","")</f>
        <v/>
      </c>
      <c r="I759" s="17">
        <f>IF(B759="","","")</f>
        <v/>
      </c>
      <c r="J759" s="17">
        <f>IF(B759="","",IF(Brand_Log!H159="","",Brand_Log!H159&amp;""))</f>
        <v/>
      </c>
      <c r="K759" t="inlineStr">
        <is>
          <t>brand conversation</t>
        </is>
      </c>
    </row>
    <row r="760">
      <c r="A760" s="17">
        <f>IF(B760="","",B760+(4*1000+159)/10000000)</f>
        <v/>
      </c>
      <c r="B760" s="23">
        <f>IF(Brand_Log!AN160=1,Brand_Log!G160,"")</f>
        <v/>
      </c>
      <c r="C760" s="17">
        <f>IF(B760="","","brand")</f>
        <v/>
      </c>
      <c r="D760" s="17">
        <f>IF(B760="","",Brand_Log!$A160&amp;"")</f>
        <v/>
      </c>
      <c r="E760" s="17">
        <f>IF(B760="","",IF(Brand_Log!B160="","",Brand_Log!B160&amp;""))</f>
        <v/>
      </c>
      <c r="F760" s="17">
        <f>IF(B760="","","conversation")</f>
        <v/>
      </c>
      <c r="G760" s="17">
        <f>IF(B760="","","")</f>
        <v/>
      </c>
      <c r="H760" s="17">
        <f>IF(B760="","","")</f>
        <v/>
      </c>
      <c r="I760" s="17">
        <f>IF(B760="","","")</f>
        <v/>
      </c>
      <c r="J760" s="17">
        <f>IF(B760="","",IF(Brand_Log!H160="","",Brand_Log!H160&amp;""))</f>
        <v/>
      </c>
      <c r="K760" t="inlineStr">
        <is>
          <t>brand conversation</t>
        </is>
      </c>
    </row>
    <row r="761">
      <c r="A761" s="17">
        <f>IF(B761="","",B761+(4*1000+160)/10000000)</f>
        <v/>
      </c>
      <c r="B761" s="23">
        <f>IF(Brand_Log!AN161=1,Brand_Log!G161,"")</f>
        <v/>
      </c>
      <c r="C761" s="17">
        <f>IF(B761="","","brand")</f>
        <v/>
      </c>
      <c r="D761" s="17">
        <f>IF(B761="","",Brand_Log!$A161&amp;"")</f>
        <v/>
      </c>
      <c r="E761" s="17">
        <f>IF(B761="","",IF(Brand_Log!B161="","",Brand_Log!B161&amp;""))</f>
        <v/>
      </c>
      <c r="F761" s="17">
        <f>IF(B761="","","conversation")</f>
        <v/>
      </c>
      <c r="G761" s="17">
        <f>IF(B761="","","")</f>
        <v/>
      </c>
      <c r="H761" s="17">
        <f>IF(B761="","","")</f>
        <v/>
      </c>
      <c r="I761" s="17">
        <f>IF(B761="","","")</f>
        <v/>
      </c>
      <c r="J761" s="17">
        <f>IF(B761="","",IF(Brand_Log!H161="","",Brand_Log!H161&amp;""))</f>
        <v/>
      </c>
      <c r="K761" t="inlineStr">
        <is>
          <t>brand conversation</t>
        </is>
      </c>
    </row>
    <row r="762">
      <c r="A762" s="17">
        <f>IF(B762="","",B762+(4*1000+161)/10000000)</f>
        <v/>
      </c>
      <c r="B762" s="23">
        <f>IF(Brand_Log!AN162=1,Brand_Log!G162,"")</f>
        <v/>
      </c>
      <c r="C762" s="17">
        <f>IF(B762="","","brand")</f>
        <v/>
      </c>
      <c r="D762" s="17">
        <f>IF(B762="","",Brand_Log!$A162&amp;"")</f>
        <v/>
      </c>
      <c r="E762" s="17">
        <f>IF(B762="","",IF(Brand_Log!B162="","",Brand_Log!B162&amp;""))</f>
        <v/>
      </c>
      <c r="F762" s="17">
        <f>IF(B762="","","conversation")</f>
        <v/>
      </c>
      <c r="G762" s="17">
        <f>IF(B762="","","")</f>
        <v/>
      </c>
      <c r="H762" s="17">
        <f>IF(B762="","","")</f>
        <v/>
      </c>
      <c r="I762" s="17">
        <f>IF(B762="","","")</f>
        <v/>
      </c>
      <c r="J762" s="17">
        <f>IF(B762="","",IF(Brand_Log!H162="","",Brand_Log!H162&amp;""))</f>
        <v/>
      </c>
      <c r="K762" t="inlineStr">
        <is>
          <t>brand conversation</t>
        </is>
      </c>
    </row>
    <row r="763">
      <c r="A763" s="17">
        <f>IF(B763="","",B763+(4*1000+162)/10000000)</f>
        <v/>
      </c>
      <c r="B763" s="23">
        <f>IF(Brand_Log!AN163=1,Brand_Log!G163,"")</f>
        <v/>
      </c>
      <c r="C763" s="17">
        <f>IF(B763="","","brand")</f>
        <v/>
      </c>
      <c r="D763" s="17">
        <f>IF(B763="","",Brand_Log!$A163&amp;"")</f>
        <v/>
      </c>
      <c r="E763" s="17">
        <f>IF(B763="","",IF(Brand_Log!B163="","",Brand_Log!B163&amp;""))</f>
        <v/>
      </c>
      <c r="F763" s="17">
        <f>IF(B763="","","conversation")</f>
        <v/>
      </c>
      <c r="G763" s="17">
        <f>IF(B763="","","")</f>
        <v/>
      </c>
      <c r="H763" s="17">
        <f>IF(B763="","","")</f>
        <v/>
      </c>
      <c r="I763" s="17">
        <f>IF(B763="","","")</f>
        <v/>
      </c>
      <c r="J763" s="17">
        <f>IF(B763="","",IF(Brand_Log!H163="","",Brand_Log!H163&amp;""))</f>
        <v/>
      </c>
      <c r="K763" t="inlineStr">
        <is>
          <t>brand conversation</t>
        </is>
      </c>
    </row>
    <row r="764">
      <c r="A764" s="17">
        <f>IF(B764="","",B764+(4*1000+163)/10000000)</f>
        <v/>
      </c>
      <c r="B764" s="23">
        <f>IF(Brand_Log!AN164=1,Brand_Log!G164,"")</f>
        <v/>
      </c>
      <c r="C764" s="17">
        <f>IF(B764="","","brand")</f>
        <v/>
      </c>
      <c r="D764" s="17">
        <f>IF(B764="","",Brand_Log!$A164&amp;"")</f>
        <v/>
      </c>
      <c r="E764" s="17">
        <f>IF(B764="","",IF(Brand_Log!B164="","",Brand_Log!B164&amp;""))</f>
        <v/>
      </c>
      <c r="F764" s="17">
        <f>IF(B764="","","conversation")</f>
        <v/>
      </c>
      <c r="G764" s="17">
        <f>IF(B764="","","")</f>
        <v/>
      </c>
      <c r="H764" s="17">
        <f>IF(B764="","","")</f>
        <v/>
      </c>
      <c r="I764" s="17">
        <f>IF(B764="","","")</f>
        <v/>
      </c>
      <c r="J764" s="17">
        <f>IF(B764="","",IF(Brand_Log!H164="","",Brand_Log!H164&amp;""))</f>
        <v/>
      </c>
      <c r="K764" t="inlineStr">
        <is>
          <t>brand conversation</t>
        </is>
      </c>
    </row>
    <row r="765">
      <c r="A765" s="17">
        <f>IF(B765="","",B765+(4*1000+164)/10000000)</f>
        <v/>
      </c>
      <c r="B765" s="23">
        <f>IF(Brand_Log!AN165=1,Brand_Log!G165,"")</f>
        <v/>
      </c>
      <c r="C765" s="17">
        <f>IF(B765="","","brand")</f>
        <v/>
      </c>
      <c r="D765" s="17">
        <f>IF(B765="","",Brand_Log!$A165&amp;"")</f>
        <v/>
      </c>
      <c r="E765" s="17">
        <f>IF(B765="","",IF(Brand_Log!B165="","",Brand_Log!B165&amp;""))</f>
        <v/>
      </c>
      <c r="F765" s="17">
        <f>IF(B765="","","conversation")</f>
        <v/>
      </c>
      <c r="G765" s="17">
        <f>IF(B765="","","")</f>
        <v/>
      </c>
      <c r="H765" s="17">
        <f>IF(B765="","","")</f>
        <v/>
      </c>
      <c r="I765" s="17">
        <f>IF(B765="","","")</f>
        <v/>
      </c>
      <c r="J765" s="17">
        <f>IF(B765="","",IF(Brand_Log!H165="","",Brand_Log!H165&amp;""))</f>
        <v/>
      </c>
      <c r="K765" t="inlineStr">
        <is>
          <t>brand conversation</t>
        </is>
      </c>
    </row>
    <row r="766">
      <c r="A766" s="17">
        <f>IF(B766="","",B766+(4*1000+165)/10000000)</f>
        <v/>
      </c>
      <c r="B766" s="23">
        <f>IF(Brand_Log!AN166=1,Brand_Log!G166,"")</f>
        <v/>
      </c>
      <c r="C766" s="17">
        <f>IF(B766="","","brand")</f>
        <v/>
      </c>
      <c r="D766" s="17">
        <f>IF(B766="","",Brand_Log!$A166&amp;"")</f>
        <v/>
      </c>
      <c r="E766" s="17">
        <f>IF(B766="","",IF(Brand_Log!B166="","",Brand_Log!B166&amp;""))</f>
        <v/>
      </c>
      <c r="F766" s="17">
        <f>IF(B766="","","conversation")</f>
        <v/>
      </c>
      <c r="G766" s="17">
        <f>IF(B766="","","")</f>
        <v/>
      </c>
      <c r="H766" s="17">
        <f>IF(B766="","","")</f>
        <v/>
      </c>
      <c r="I766" s="17">
        <f>IF(B766="","","")</f>
        <v/>
      </c>
      <c r="J766" s="17">
        <f>IF(B766="","",IF(Brand_Log!H166="","",Brand_Log!H166&amp;""))</f>
        <v/>
      </c>
      <c r="K766" t="inlineStr">
        <is>
          <t>brand conversation</t>
        </is>
      </c>
    </row>
    <row r="767">
      <c r="A767" s="17">
        <f>IF(B767="","",B767+(4*1000+166)/10000000)</f>
        <v/>
      </c>
      <c r="B767" s="23">
        <f>IF(Brand_Log!AN167=1,Brand_Log!G167,"")</f>
        <v/>
      </c>
      <c r="C767" s="17">
        <f>IF(B767="","","brand")</f>
        <v/>
      </c>
      <c r="D767" s="17">
        <f>IF(B767="","",Brand_Log!$A167&amp;"")</f>
        <v/>
      </c>
      <c r="E767" s="17">
        <f>IF(B767="","",IF(Brand_Log!B167="","",Brand_Log!B167&amp;""))</f>
        <v/>
      </c>
      <c r="F767" s="17">
        <f>IF(B767="","","conversation")</f>
        <v/>
      </c>
      <c r="G767" s="17">
        <f>IF(B767="","","")</f>
        <v/>
      </c>
      <c r="H767" s="17">
        <f>IF(B767="","","")</f>
        <v/>
      </c>
      <c r="I767" s="17">
        <f>IF(B767="","","")</f>
        <v/>
      </c>
      <c r="J767" s="17">
        <f>IF(B767="","",IF(Brand_Log!H167="","",Brand_Log!H167&amp;""))</f>
        <v/>
      </c>
      <c r="K767" t="inlineStr">
        <is>
          <t>brand conversation</t>
        </is>
      </c>
    </row>
    <row r="768">
      <c r="A768" s="17">
        <f>IF(B768="","",B768+(4*1000+167)/10000000)</f>
        <v/>
      </c>
      <c r="B768" s="23">
        <f>IF(Brand_Log!AN168=1,Brand_Log!G168,"")</f>
        <v/>
      </c>
      <c r="C768" s="17">
        <f>IF(B768="","","brand")</f>
        <v/>
      </c>
      <c r="D768" s="17">
        <f>IF(B768="","",Brand_Log!$A168&amp;"")</f>
        <v/>
      </c>
      <c r="E768" s="17">
        <f>IF(B768="","",IF(Brand_Log!B168="","",Brand_Log!B168&amp;""))</f>
        <v/>
      </c>
      <c r="F768" s="17">
        <f>IF(B768="","","conversation")</f>
        <v/>
      </c>
      <c r="G768" s="17">
        <f>IF(B768="","","")</f>
        <v/>
      </c>
      <c r="H768" s="17">
        <f>IF(B768="","","")</f>
        <v/>
      </c>
      <c r="I768" s="17">
        <f>IF(B768="","","")</f>
        <v/>
      </c>
      <c r="J768" s="17">
        <f>IF(B768="","",IF(Brand_Log!H168="","",Brand_Log!H168&amp;""))</f>
        <v/>
      </c>
      <c r="K768" t="inlineStr">
        <is>
          <t>brand conversation</t>
        </is>
      </c>
    </row>
    <row r="769">
      <c r="A769" s="17">
        <f>IF(B769="","",B769+(4*1000+168)/10000000)</f>
        <v/>
      </c>
      <c r="B769" s="23">
        <f>IF(Brand_Log!AN169=1,Brand_Log!G169,"")</f>
        <v/>
      </c>
      <c r="C769" s="17">
        <f>IF(B769="","","brand")</f>
        <v/>
      </c>
      <c r="D769" s="17">
        <f>IF(B769="","",Brand_Log!$A169&amp;"")</f>
        <v/>
      </c>
      <c r="E769" s="17">
        <f>IF(B769="","",IF(Brand_Log!B169="","",Brand_Log!B169&amp;""))</f>
        <v/>
      </c>
      <c r="F769" s="17">
        <f>IF(B769="","","conversation")</f>
        <v/>
      </c>
      <c r="G769" s="17">
        <f>IF(B769="","","")</f>
        <v/>
      </c>
      <c r="H769" s="17">
        <f>IF(B769="","","")</f>
        <v/>
      </c>
      <c r="I769" s="17">
        <f>IF(B769="","","")</f>
        <v/>
      </c>
      <c r="J769" s="17">
        <f>IF(B769="","",IF(Brand_Log!H169="","",Brand_Log!H169&amp;""))</f>
        <v/>
      </c>
      <c r="K769" t="inlineStr">
        <is>
          <t>brand conversation</t>
        </is>
      </c>
    </row>
    <row r="770">
      <c r="A770" s="17">
        <f>IF(B770="","",B770+(4*1000+169)/10000000)</f>
        <v/>
      </c>
      <c r="B770" s="23">
        <f>IF(Brand_Log!AN170=1,Brand_Log!G170,"")</f>
        <v/>
      </c>
      <c r="C770" s="17">
        <f>IF(B770="","","brand")</f>
        <v/>
      </c>
      <c r="D770" s="17">
        <f>IF(B770="","",Brand_Log!$A170&amp;"")</f>
        <v/>
      </c>
      <c r="E770" s="17">
        <f>IF(B770="","",IF(Brand_Log!B170="","",Brand_Log!B170&amp;""))</f>
        <v/>
      </c>
      <c r="F770" s="17">
        <f>IF(B770="","","conversation")</f>
        <v/>
      </c>
      <c r="G770" s="17">
        <f>IF(B770="","","")</f>
        <v/>
      </c>
      <c r="H770" s="17">
        <f>IF(B770="","","")</f>
        <v/>
      </c>
      <c r="I770" s="17">
        <f>IF(B770="","","")</f>
        <v/>
      </c>
      <c r="J770" s="17">
        <f>IF(B770="","",IF(Brand_Log!H170="","",Brand_Log!H170&amp;""))</f>
        <v/>
      </c>
      <c r="K770" t="inlineStr">
        <is>
          <t>brand conversation</t>
        </is>
      </c>
    </row>
    <row r="771">
      <c r="A771" s="17">
        <f>IF(B771="","",B771+(4*1000+170)/10000000)</f>
        <v/>
      </c>
      <c r="B771" s="23">
        <f>IF(Brand_Log!AN171=1,Brand_Log!G171,"")</f>
        <v/>
      </c>
      <c r="C771" s="17">
        <f>IF(B771="","","brand")</f>
        <v/>
      </c>
      <c r="D771" s="17">
        <f>IF(B771="","",Brand_Log!$A171&amp;"")</f>
        <v/>
      </c>
      <c r="E771" s="17">
        <f>IF(B771="","",IF(Brand_Log!B171="","",Brand_Log!B171&amp;""))</f>
        <v/>
      </c>
      <c r="F771" s="17">
        <f>IF(B771="","","conversation")</f>
        <v/>
      </c>
      <c r="G771" s="17">
        <f>IF(B771="","","")</f>
        <v/>
      </c>
      <c r="H771" s="17">
        <f>IF(B771="","","")</f>
        <v/>
      </c>
      <c r="I771" s="17">
        <f>IF(B771="","","")</f>
        <v/>
      </c>
      <c r="J771" s="17">
        <f>IF(B771="","",IF(Brand_Log!H171="","",Brand_Log!H171&amp;""))</f>
        <v/>
      </c>
      <c r="K771" t="inlineStr">
        <is>
          <t>brand conversation</t>
        </is>
      </c>
    </row>
    <row r="772">
      <c r="A772" s="17">
        <f>IF(B772="","",B772+(4*1000+171)/10000000)</f>
        <v/>
      </c>
      <c r="B772" s="23">
        <f>IF(Brand_Log!AN172=1,Brand_Log!G172,"")</f>
        <v/>
      </c>
      <c r="C772" s="17">
        <f>IF(B772="","","brand")</f>
        <v/>
      </c>
      <c r="D772" s="17">
        <f>IF(B772="","",Brand_Log!$A172&amp;"")</f>
        <v/>
      </c>
      <c r="E772" s="17">
        <f>IF(B772="","",IF(Brand_Log!B172="","",Brand_Log!B172&amp;""))</f>
        <v/>
      </c>
      <c r="F772" s="17">
        <f>IF(B772="","","conversation")</f>
        <v/>
      </c>
      <c r="G772" s="17">
        <f>IF(B772="","","")</f>
        <v/>
      </c>
      <c r="H772" s="17">
        <f>IF(B772="","","")</f>
        <v/>
      </c>
      <c r="I772" s="17">
        <f>IF(B772="","","")</f>
        <v/>
      </c>
      <c r="J772" s="17">
        <f>IF(B772="","",IF(Brand_Log!H172="","",Brand_Log!H172&amp;""))</f>
        <v/>
      </c>
      <c r="K772" t="inlineStr">
        <is>
          <t>brand conversation</t>
        </is>
      </c>
    </row>
    <row r="773">
      <c r="A773" s="17">
        <f>IF(B773="","",B773+(4*1000+172)/10000000)</f>
        <v/>
      </c>
      <c r="B773" s="23">
        <f>IF(Brand_Log!AN173=1,Brand_Log!G173,"")</f>
        <v/>
      </c>
      <c r="C773" s="17">
        <f>IF(B773="","","brand")</f>
        <v/>
      </c>
      <c r="D773" s="17">
        <f>IF(B773="","",Brand_Log!$A173&amp;"")</f>
        <v/>
      </c>
      <c r="E773" s="17">
        <f>IF(B773="","",IF(Brand_Log!B173="","",Brand_Log!B173&amp;""))</f>
        <v/>
      </c>
      <c r="F773" s="17">
        <f>IF(B773="","","conversation")</f>
        <v/>
      </c>
      <c r="G773" s="17">
        <f>IF(B773="","","")</f>
        <v/>
      </c>
      <c r="H773" s="17">
        <f>IF(B773="","","")</f>
        <v/>
      </c>
      <c r="I773" s="17">
        <f>IF(B773="","","")</f>
        <v/>
      </c>
      <c r="J773" s="17">
        <f>IF(B773="","",IF(Brand_Log!H173="","",Brand_Log!H173&amp;""))</f>
        <v/>
      </c>
      <c r="K773" t="inlineStr">
        <is>
          <t>brand conversation</t>
        </is>
      </c>
    </row>
    <row r="774">
      <c r="A774" s="17">
        <f>IF(B774="","",B774+(4*1000+173)/10000000)</f>
        <v/>
      </c>
      <c r="B774" s="23">
        <f>IF(Brand_Log!AN174=1,Brand_Log!G174,"")</f>
        <v/>
      </c>
      <c r="C774" s="17">
        <f>IF(B774="","","brand")</f>
        <v/>
      </c>
      <c r="D774" s="17">
        <f>IF(B774="","",Brand_Log!$A174&amp;"")</f>
        <v/>
      </c>
      <c r="E774" s="17">
        <f>IF(B774="","",IF(Brand_Log!B174="","",Brand_Log!B174&amp;""))</f>
        <v/>
      </c>
      <c r="F774" s="17">
        <f>IF(B774="","","conversation")</f>
        <v/>
      </c>
      <c r="G774" s="17">
        <f>IF(B774="","","")</f>
        <v/>
      </c>
      <c r="H774" s="17">
        <f>IF(B774="","","")</f>
        <v/>
      </c>
      <c r="I774" s="17">
        <f>IF(B774="","","")</f>
        <v/>
      </c>
      <c r="J774" s="17">
        <f>IF(B774="","",IF(Brand_Log!H174="","",Brand_Log!H174&amp;""))</f>
        <v/>
      </c>
      <c r="K774" t="inlineStr">
        <is>
          <t>brand conversation</t>
        </is>
      </c>
    </row>
    <row r="775">
      <c r="A775" s="17">
        <f>IF(B775="","",B775+(4*1000+174)/10000000)</f>
        <v/>
      </c>
      <c r="B775" s="23">
        <f>IF(Brand_Log!AN175=1,Brand_Log!G175,"")</f>
        <v/>
      </c>
      <c r="C775" s="17">
        <f>IF(B775="","","brand")</f>
        <v/>
      </c>
      <c r="D775" s="17">
        <f>IF(B775="","",Brand_Log!$A175&amp;"")</f>
        <v/>
      </c>
      <c r="E775" s="17">
        <f>IF(B775="","",IF(Brand_Log!B175="","",Brand_Log!B175&amp;""))</f>
        <v/>
      </c>
      <c r="F775" s="17">
        <f>IF(B775="","","conversation")</f>
        <v/>
      </c>
      <c r="G775" s="17">
        <f>IF(B775="","","")</f>
        <v/>
      </c>
      <c r="H775" s="17">
        <f>IF(B775="","","")</f>
        <v/>
      </c>
      <c r="I775" s="17">
        <f>IF(B775="","","")</f>
        <v/>
      </c>
      <c r="J775" s="17">
        <f>IF(B775="","",IF(Brand_Log!H175="","",Brand_Log!H175&amp;""))</f>
        <v/>
      </c>
      <c r="K775" t="inlineStr">
        <is>
          <t>brand conversation</t>
        </is>
      </c>
    </row>
    <row r="776">
      <c r="A776" s="17">
        <f>IF(B776="","",B776+(4*1000+175)/10000000)</f>
        <v/>
      </c>
      <c r="B776" s="23">
        <f>IF(Brand_Log!AN176=1,Brand_Log!G176,"")</f>
        <v/>
      </c>
      <c r="C776" s="17">
        <f>IF(B776="","","brand")</f>
        <v/>
      </c>
      <c r="D776" s="17">
        <f>IF(B776="","",Brand_Log!$A176&amp;"")</f>
        <v/>
      </c>
      <c r="E776" s="17">
        <f>IF(B776="","",IF(Brand_Log!B176="","",Brand_Log!B176&amp;""))</f>
        <v/>
      </c>
      <c r="F776" s="17">
        <f>IF(B776="","","conversation")</f>
        <v/>
      </c>
      <c r="G776" s="17">
        <f>IF(B776="","","")</f>
        <v/>
      </c>
      <c r="H776" s="17">
        <f>IF(B776="","","")</f>
        <v/>
      </c>
      <c r="I776" s="17">
        <f>IF(B776="","","")</f>
        <v/>
      </c>
      <c r="J776" s="17">
        <f>IF(B776="","",IF(Brand_Log!H176="","",Brand_Log!H176&amp;""))</f>
        <v/>
      </c>
      <c r="K776" t="inlineStr">
        <is>
          <t>brand conversation</t>
        </is>
      </c>
    </row>
    <row r="777">
      <c r="A777" s="17">
        <f>IF(B777="","",B777+(4*1000+176)/10000000)</f>
        <v/>
      </c>
      <c r="B777" s="23">
        <f>IF(Brand_Log!AN177=1,Brand_Log!G177,"")</f>
        <v/>
      </c>
      <c r="C777" s="17">
        <f>IF(B777="","","brand")</f>
        <v/>
      </c>
      <c r="D777" s="17">
        <f>IF(B777="","",Brand_Log!$A177&amp;"")</f>
        <v/>
      </c>
      <c r="E777" s="17">
        <f>IF(B777="","",IF(Brand_Log!B177="","",Brand_Log!B177&amp;""))</f>
        <v/>
      </c>
      <c r="F777" s="17">
        <f>IF(B777="","","conversation")</f>
        <v/>
      </c>
      <c r="G777" s="17">
        <f>IF(B777="","","")</f>
        <v/>
      </c>
      <c r="H777" s="17">
        <f>IF(B777="","","")</f>
        <v/>
      </c>
      <c r="I777" s="17">
        <f>IF(B777="","","")</f>
        <v/>
      </c>
      <c r="J777" s="17">
        <f>IF(B777="","",IF(Brand_Log!H177="","",Brand_Log!H177&amp;""))</f>
        <v/>
      </c>
      <c r="K777" t="inlineStr">
        <is>
          <t>brand conversation</t>
        </is>
      </c>
    </row>
    <row r="778">
      <c r="A778" s="17">
        <f>IF(B778="","",B778+(4*1000+177)/10000000)</f>
        <v/>
      </c>
      <c r="B778" s="23">
        <f>IF(Brand_Log!AN178=1,Brand_Log!G178,"")</f>
        <v/>
      </c>
      <c r="C778" s="17">
        <f>IF(B778="","","brand")</f>
        <v/>
      </c>
      <c r="D778" s="17">
        <f>IF(B778="","",Brand_Log!$A178&amp;"")</f>
        <v/>
      </c>
      <c r="E778" s="17">
        <f>IF(B778="","",IF(Brand_Log!B178="","",Brand_Log!B178&amp;""))</f>
        <v/>
      </c>
      <c r="F778" s="17">
        <f>IF(B778="","","conversation")</f>
        <v/>
      </c>
      <c r="G778" s="17">
        <f>IF(B778="","","")</f>
        <v/>
      </c>
      <c r="H778" s="17">
        <f>IF(B778="","","")</f>
        <v/>
      </c>
      <c r="I778" s="17">
        <f>IF(B778="","","")</f>
        <v/>
      </c>
      <c r="J778" s="17">
        <f>IF(B778="","",IF(Brand_Log!H178="","",Brand_Log!H178&amp;""))</f>
        <v/>
      </c>
      <c r="K778" t="inlineStr">
        <is>
          <t>brand conversation</t>
        </is>
      </c>
    </row>
    <row r="779">
      <c r="A779" s="17">
        <f>IF(B779="","",B779+(4*1000+178)/10000000)</f>
        <v/>
      </c>
      <c r="B779" s="23">
        <f>IF(Brand_Log!AN179=1,Brand_Log!G179,"")</f>
        <v/>
      </c>
      <c r="C779" s="17">
        <f>IF(B779="","","brand")</f>
        <v/>
      </c>
      <c r="D779" s="17">
        <f>IF(B779="","",Brand_Log!$A179&amp;"")</f>
        <v/>
      </c>
      <c r="E779" s="17">
        <f>IF(B779="","",IF(Brand_Log!B179="","",Brand_Log!B179&amp;""))</f>
        <v/>
      </c>
      <c r="F779" s="17">
        <f>IF(B779="","","conversation")</f>
        <v/>
      </c>
      <c r="G779" s="17">
        <f>IF(B779="","","")</f>
        <v/>
      </c>
      <c r="H779" s="17">
        <f>IF(B779="","","")</f>
        <v/>
      </c>
      <c r="I779" s="17">
        <f>IF(B779="","","")</f>
        <v/>
      </c>
      <c r="J779" s="17">
        <f>IF(B779="","",IF(Brand_Log!H179="","",Brand_Log!H179&amp;""))</f>
        <v/>
      </c>
      <c r="K779" t="inlineStr">
        <is>
          <t>brand conversation</t>
        </is>
      </c>
    </row>
    <row r="780">
      <c r="A780" s="17">
        <f>IF(B780="","",B780+(4*1000+179)/10000000)</f>
        <v/>
      </c>
      <c r="B780" s="23">
        <f>IF(Brand_Log!AN180=1,Brand_Log!G180,"")</f>
        <v/>
      </c>
      <c r="C780" s="17">
        <f>IF(B780="","","brand")</f>
        <v/>
      </c>
      <c r="D780" s="17">
        <f>IF(B780="","",Brand_Log!$A180&amp;"")</f>
        <v/>
      </c>
      <c r="E780" s="17">
        <f>IF(B780="","",IF(Brand_Log!B180="","",Brand_Log!B180&amp;""))</f>
        <v/>
      </c>
      <c r="F780" s="17">
        <f>IF(B780="","","conversation")</f>
        <v/>
      </c>
      <c r="G780" s="17">
        <f>IF(B780="","","")</f>
        <v/>
      </c>
      <c r="H780" s="17">
        <f>IF(B780="","","")</f>
        <v/>
      </c>
      <c r="I780" s="17">
        <f>IF(B780="","","")</f>
        <v/>
      </c>
      <c r="J780" s="17">
        <f>IF(B780="","",IF(Brand_Log!H180="","",Brand_Log!H180&amp;""))</f>
        <v/>
      </c>
      <c r="K780" t="inlineStr">
        <is>
          <t>brand conversation</t>
        </is>
      </c>
    </row>
    <row r="781">
      <c r="A781" s="17">
        <f>IF(B781="","",B781+(4*1000+180)/10000000)</f>
        <v/>
      </c>
      <c r="B781" s="23">
        <f>IF(Brand_Log!AN181=1,Brand_Log!G181,"")</f>
        <v/>
      </c>
      <c r="C781" s="17">
        <f>IF(B781="","","brand")</f>
        <v/>
      </c>
      <c r="D781" s="17">
        <f>IF(B781="","",Brand_Log!$A181&amp;"")</f>
        <v/>
      </c>
      <c r="E781" s="17">
        <f>IF(B781="","",IF(Brand_Log!B181="","",Brand_Log!B181&amp;""))</f>
        <v/>
      </c>
      <c r="F781" s="17">
        <f>IF(B781="","","conversation")</f>
        <v/>
      </c>
      <c r="G781" s="17">
        <f>IF(B781="","","")</f>
        <v/>
      </c>
      <c r="H781" s="17">
        <f>IF(B781="","","")</f>
        <v/>
      </c>
      <c r="I781" s="17">
        <f>IF(B781="","","")</f>
        <v/>
      </c>
      <c r="J781" s="17">
        <f>IF(B781="","",IF(Brand_Log!H181="","",Brand_Log!H181&amp;""))</f>
        <v/>
      </c>
      <c r="K781" t="inlineStr">
        <is>
          <t>brand conversation</t>
        </is>
      </c>
    </row>
    <row r="782">
      <c r="A782" s="17">
        <f>IF(B782="","",B782+(4*1000+181)/10000000)</f>
        <v/>
      </c>
      <c r="B782" s="23">
        <f>IF(Brand_Log!AN182=1,Brand_Log!G182,"")</f>
        <v/>
      </c>
      <c r="C782" s="17">
        <f>IF(B782="","","brand")</f>
        <v/>
      </c>
      <c r="D782" s="17">
        <f>IF(B782="","",Brand_Log!$A182&amp;"")</f>
        <v/>
      </c>
      <c r="E782" s="17">
        <f>IF(B782="","",IF(Brand_Log!B182="","",Brand_Log!B182&amp;""))</f>
        <v/>
      </c>
      <c r="F782" s="17">
        <f>IF(B782="","","conversation")</f>
        <v/>
      </c>
      <c r="G782" s="17">
        <f>IF(B782="","","")</f>
        <v/>
      </c>
      <c r="H782" s="17">
        <f>IF(B782="","","")</f>
        <v/>
      </c>
      <c r="I782" s="17">
        <f>IF(B782="","","")</f>
        <v/>
      </c>
      <c r="J782" s="17">
        <f>IF(B782="","",IF(Brand_Log!H182="","",Brand_Log!H182&amp;""))</f>
        <v/>
      </c>
      <c r="K782" t="inlineStr">
        <is>
          <t>brand conversation</t>
        </is>
      </c>
    </row>
    <row r="783">
      <c r="A783" s="17">
        <f>IF(B783="","",B783+(4*1000+182)/10000000)</f>
        <v/>
      </c>
      <c r="B783" s="23">
        <f>IF(Brand_Log!AN183=1,Brand_Log!G183,"")</f>
        <v/>
      </c>
      <c r="C783" s="17">
        <f>IF(B783="","","brand")</f>
        <v/>
      </c>
      <c r="D783" s="17">
        <f>IF(B783="","",Brand_Log!$A183&amp;"")</f>
        <v/>
      </c>
      <c r="E783" s="17">
        <f>IF(B783="","",IF(Brand_Log!B183="","",Brand_Log!B183&amp;""))</f>
        <v/>
      </c>
      <c r="F783" s="17">
        <f>IF(B783="","","conversation")</f>
        <v/>
      </c>
      <c r="G783" s="17">
        <f>IF(B783="","","")</f>
        <v/>
      </c>
      <c r="H783" s="17">
        <f>IF(B783="","","")</f>
        <v/>
      </c>
      <c r="I783" s="17">
        <f>IF(B783="","","")</f>
        <v/>
      </c>
      <c r="J783" s="17">
        <f>IF(B783="","",IF(Brand_Log!H183="","",Brand_Log!H183&amp;""))</f>
        <v/>
      </c>
      <c r="K783" t="inlineStr">
        <is>
          <t>brand conversation</t>
        </is>
      </c>
    </row>
    <row r="784">
      <c r="A784" s="17">
        <f>IF(B784="","",B784+(4*1000+183)/10000000)</f>
        <v/>
      </c>
      <c r="B784" s="23">
        <f>IF(Brand_Log!AN184=1,Brand_Log!G184,"")</f>
        <v/>
      </c>
      <c r="C784" s="17">
        <f>IF(B784="","","brand")</f>
        <v/>
      </c>
      <c r="D784" s="17">
        <f>IF(B784="","",Brand_Log!$A184&amp;"")</f>
        <v/>
      </c>
      <c r="E784" s="17">
        <f>IF(B784="","",IF(Brand_Log!B184="","",Brand_Log!B184&amp;""))</f>
        <v/>
      </c>
      <c r="F784" s="17">
        <f>IF(B784="","","conversation")</f>
        <v/>
      </c>
      <c r="G784" s="17">
        <f>IF(B784="","","")</f>
        <v/>
      </c>
      <c r="H784" s="17">
        <f>IF(B784="","","")</f>
        <v/>
      </c>
      <c r="I784" s="17">
        <f>IF(B784="","","")</f>
        <v/>
      </c>
      <c r="J784" s="17">
        <f>IF(B784="","",IF(Brand_Log!H184="","",Brand_Log!H184&amp;""))</f>
        <v/>
      </c>
      <c r="K784" t="inlineStr">
        <is>
          <t>brand conversation</t>
        </is>
      </c>
    </row>
    <row r="785">
      <c r="A785" s="17">
        <f>IF(B785="","",B785+(4*1000+184)/10000000)</f>
        <v/>
      </c>
      <c r="B785" s="23">
        <f>IF(Brand_Log!AN185=1,Brand_Log!G185,"")</f>
        <v/>
      </c>
      <c r="C785" s="17">
        <f>IF(B785="","","brand")</f>
        <v/>
      </c>
      <c r="D785" s="17">
        <f>IF(B785="","",Brand_Log!$A185&amp;"")</f>
        <v/>
      </c>
      <c r="E785" s="17">
        <f>IF(B785="","",IF(Brand_Log!B185="","",Brand_Log!B185&amp;""))</f>
        <v/>
      </c>
      <c r="F785" s="17">
        <f>IF(B785="","","conversation")</f>
        <v/>
      </c>
      <c r="G785" s="17">
        <f>IF(B785="","","")</f>
        <v/>
      </c>
      <c r="H785" s="17">
        <f>IF(B785="","","")</f>
        <v/>
      </c>
      <c r="I785" s="17">
        <f>IF(B785="","","")</f>
        <v/>
      </c>
      <c r="J785" s="17">
        <f>IF(B785="","",IF(Brand_Log!H185="","",Brand_Log!H185&amp;""))</f>
        <v/>
      </c>
      <c r="K785" t="inlineStr">
        <is>
          <t>brand conversation</t>
        </is>
      </c>
    </row>
    <row r="786">
      <c r="A786" s="17">
        <f>IF(B786="","",B786+(4*1000+185)/10000000)</f>
        <v/>
      </c>
      <c r="B786" s="23">
        <f>IF(Brand_Log!AN186=1,Brand_Log!G186,"")</f>
        <v/>
      </c>
      <c r="C786" s="17">
        <f>IF(B786="","","brand")</f>
        <v/>
      </c>
      <c r="D786" s="17">
        <f>IF(B786="","",Brand_Log!$A186&amp;"")</f>
        <v/>
      </c>
      <c r="E786" s="17">
        <f>IF(B786="","",IF(Brand_Log!B186="","",Brand_Log!B186&amp;""))</f>
        <v/>
      </c>
      <c r="F786" s="17">
        <f>IF(B786="","","conversation")</f>
        <v/>
      </c>
      <c r="G786" s="17">
        <f>IF(B786="","","")</f>
        <v/>
      </c>
      <c r="H786" s="17">
        <f>IF(B786="","","")</f>
        <v/>
      </c>
      <c r="I786" s="17">
        <f>IF(B786="","","")</f>
        <v/>
      </c>
      <c r="J786" s="17">
        <f>IF(B786="","",IF(Brand_Log!H186="","",Brand_Log!H186&amp;""))</f>
        <v/>
      </c>
      <c r="K786" t="inlineStr">
        <is>
          <t>brand conversation</t>
        </is>
      </c>
    </row>
    <row r="787">
      <c r="A787" s="17">
        <f>IF(B787="","",B787+(4*1000+186)/10000000)</f>
        <v/>
      </c>
      <c r="B787" s="23">
        <f>IF(Brand_Log!AN187=1,Brand_Log!G187,"")</f>
        <v/>
      </c>
      <c r="C787" s="17">
        <f>IF(B787="","","brand")</f>
        <v/>
      </c>
      <c r="D787" s="17">
        <f>IF(B787="","",Brand_Log!$A187&amp;"")</f>
        <v/>
      </c>
      <c r="E787" s="17">
        <f>IF(B787="","",IF(Brand_Log!B187="","",Brand_Log!B187&amp;""))</f>
        <v/>
      </c>
      <c r="F787" s="17">
        <f>IF(B787="","","conversation")</f>
        <v/>
      </c>
      <c r="G787" s="17">
        <f>IF(B787="","","")</f>
        <v/>
      </c>
      <c r="H787" s="17">
        <f>IF(B787="","","")</f>
        <v/>
      </c>
      <c r="I787" s="17">
        <f>IF(B787="","","")</f>
        <v/>
      </c>
      <c r="J787" s="17">
        <f>IF(B787="","",IF(Brand_Log!H187="","",Brand_Log!H187&amp;""))</f>
        <v/>
      </c>
      <c r="K787" t="inlineStr">
        <is>
          <t>brand conversation</t>
        </is>
      </c>
    </row>
    <row r="788">
      <c r="A788" s="17">
        <f>IF(B788="","",B788+(4*1000+187)/10000000)</f>
        <v/>
      </c>
      <c r="B788" s="23">
        <f>IF(Brand_Log!AN188=1,Brand_Log!G188,"")</f>
        <v/>
      </c>
      <c r="C788" s="17">
        <f>IF(B788="","","brand")</f>
        <v/>
      </c>
      <c r="D788" s="17">
        <f>IF(B788="","",Brand_Log!$A188&amp;"")</f>
        <v/>
      </c>
      <c r="E788" s="17">
        <f>IF(B788="","",IF(Brand_Log!B188="","",Brand_Log!B188&amp;""))</f>
        <v/>
      </c>
      <c r="F788" s="17">
        <f>IF(B788="","","conversation")</f>
        <v/>
      </c>
      <c r="G788" s="17">
        <f>IF(B788="","","")</f>
        <v/>
      </c>
      <c r="H788" s="17">
        <f>IF(B788="","","")</f>
        <v/>
      </c>
      <c r="I788" s="17">
        <f>IF(B788="","","")</f>
        <v/>
      </c>
      <c r="J788" s="17">
        <f>IF(B788="","",IF(Brand_Log!H188="","",Brand_Log!H188&amp;""))</f>
        <v/>
      </c>
      <c r="K788" t="inlineStr">
        <is>
          <t>brand conversation</t>
        </is>
      </c>
    </row>
    <row r="789">
      <c r="A789" s="17">
        <f>IF(B789="","",B789+(4*1000+188)/10000000)</f>
        <v/>
      </c>
      <c r="B789" s="23">
        <f>IF(Brand_Log!AN189=1,Brand_Log!G189,"")</f>
        <v/>
      </c>
      <c r="C789" s="17">
        <f>IF(B789="","","brand")</f>
        <v/>
      </c>
      <c r="D789" s="17">
        <f>IF(B789="","",Brand_Log!$A189&amp;"")</f>
        <v/>
      </c>
      <c r="E789" s="17">
        <f>IF(B789="","",IF(Brand_Log!B189="","",Brand_Log!B189&amp;""))</f>
        <v/>
      </c>
      <c r="F789" s="17">
        <f>IF(B789="","","conversation")</f>
        <v/>
      </c>
      <c r="G789" s="17">
        <f>IF(B789="","","")</f>
        <v/>
      </c>
      <c r="H789" s="17">
        <f>IF(B789="","","")</f>
        <v/>
      </c>
      <c r="I789" s="17">
        <f>IF(B789="","","")</f>
        <v/>
      </c>
      <c r="J789" s="17">
        <f>IF(B789="","",IF(Brand_Log!H189="","",Brand_Log!H189&amp;""))</f>
        <v/>
      </c>
      <c r="K789" t="inlineStr">
        <is>
          <t>brand conversation</t>
        </is>
      </c>
    </row>
    <row r="790">
      <c r="A790" s="17">
        <f>IF(B790="","",B790+(4*1000+189)/10000000)</f>
        <v/>
      </c>
      <c r="B790" s="23">
        <f>IF(Brand_Log!AN190=1,Brand_Log!G190,"")</f>
        <v/>
      </c>
      <c r="C790" s="17">
        <f>IF(B790="","","brand")</f>
        <v/>
      </c>
      <c r="D790" s="17">
        <f>IF(B790="","",Brand_Log!$A190&amp;"")</f>
        <v/>
      </c>
      <c r="E790" s="17">
        <f>IF(B790="","",IF(Brand_Log!B190="","",Brand_Log!B190&amp;""))</f>
        <v/>
      </c>
      <c r="F790" s="17">
        <f>IF(B790="","","conversation")</f>
        <v/>
      </c>
      <c r="G790" s="17">
        <f>IF(B790="","","")</f>
        <v/>
      </c>
      <c r="H790" s="17">
        <f>IF(B790="","","")</f>
        <v/>
      </c>
      <c r="I790" s="17">
        <f>IF(B790="","","")</f>
        <v/>
      </c>
      <c r="J790" s="17">
        <f>IF(B790="","",IF(Brand_Log!H190="","",Brand_Log!H190&amp;""))</f>
        <v/>
      </c>
      <c r="K790" t="inlineStr">
        <is>
          <t>brand conversation</t>
        </is>
      </c>
    </row>
    <row r="791">
      <c r="A791" s="17">
        <f>IF(B791="","",B791+(4*1000+190)/10000000)</f>
        <v/>
      </c>
      <c r="B791" s="23">
        <f>IF(Brand_Log!AN191=1,Brand_Log!G191,"")</f>
        <v/>
      </c>
      <c r="C791" s="17">
        <f>IF(B791="","","brand")</f>
        <v/>
      </c>
      <c r="D791" s="17">
        <f>IF(B791="","",Brand_Log!$A191&amp;"")</f>
        <v/>
      </c>
      <c r="E791" s="17">
        <f>IF(B791="","",IF(Brand_Log!B191="","",Brand_Log!B191&amp;""))</f>
        <v/>
      </c>
      <c r="F791" s="17">
        <f>IF(B791="","","conversation")</f>
        <v/>
      </c>
      <c r="G791" s="17">
        <f>IF(B791="","","")</f>
        <v/>
      </c>
      <c r="H791" s="17">
        <f>IF(B791="","","")</f>
        <v/>
      </c>
      <c r="I791" s="17">
        <f>IF(B791="","","")</f>
        <v/>
      </c>
      <c r="J791" s="17">
        <f>IF(B791="","",IF(Brand_Log!H191="","",Brand_Log!H191&amp;""))</f>
        <v/>
      </c>
      <c r="K791" t="inlineStr">
        <is>
          <t>brand conversation</t>
        </is>
      </c>
    </row>
    <row r="792">
      <c r="A792" s="17">
        <f>IF(B792="","",B792+(4*1000+191)/10000000)</f>
        <v/>
      </c>
      <c r="B792" s="23">
        <f>IF(Brand_Log!AN192=1,Brand_Log!G192,"")</f>
        <v/>
      </c>
      <c r="C792" s="17">
        <f>IF(B792="","","brand")</f>
        <v/>
      </c>
      <c r="D792" s="17">
        <f>IF(B792="","",Brand_Log!$A192&amp;"")</f>
        <v/>
      </c>
      <c r="E792" s="17">
        <f>IF(B792="","",IF(Brand_Log!B192="","",Brand_Log!B192&amp;""))</f>
        <v/>
      </c>
      <c r="F792" s="17">
        <f>IF(B792="","","conversation")</f>
        <v/>
      </c>
      <c r="G792" s="17">
        <f>IF(B792="","","")</f>
        <v/>
      </c>
      <c r="H792" s="17">
        <f>IF(B792="","","")</f>
        <v/>
      </c>
      <c r="I792" s="17">
        <f>IF(B792="","","")</f>
        <v/>
      </c>
      <c r="J792" s="17">
        <f>IF(B792="","",IF(Brand_Log!H192="","",Brand_Log!H192&amp;""))</f>
        <v/>
      </c>
      <c r="K792" t="inlineStr">
        <is>
          <t>brand conversation</t>
        </is>
      </c>
    </row>
    <row r="793">
      <c r="A793" s="17">
        <f>IF(B793="","",B793+(4*1000+192)/10000000)</f>
        <v/>
      </c>
      <c r="B793" s="23">
        <f>IF(Brand_Log!AN193=1,Brand_Log!G193,"")</f>
        <v/>
      </c>
      <c r="C793" s="17">
        <f>IF(B793="","","brand")</f>
        <v/>
      </c>
      <c r="D793" s="17">
        <f>IF(B793="","",Brand_Log!$A193&amp;"")</f>
        <v/>
      </c>
      <c r="E793" s="17">
        <f>IF(B793="","",IF(Brand_Log!B193="","",Brand_Log!B193&amp;""))</f>
        <v/>
      </c>
      <c r="F793" s="17">
        <f>IF(B793="","","conversation")</f>
        <v/>
      </c>
      <c r="G793" s="17">
        <f>IF(B793="","","")</f>
        <v/>
      </c>
      <c r="H793" s="17">
        <f>IF(B793="","","")</f>
        <v/>
      </c>
      <c r="I793" s="17">
        <f>IF(B793="","","")</f>
        <v/>
      </c>
      <c r="J793" s="17">
        <f>IF(B793="","",IF(Brand_Log!H193="","",Brand_Log!H193&amp;""))</f>
        <v/>
      </c>
      <c r="K793" t="inlineStr">
        <is>
          <t>brand conversation</t>
        </is>
      </c>
    </row>
    <row r="794">
      <c r="A794" s="17">
        <f>IF(B794="","",B794+(4*1000+193)/10000000)</f>
        <v/>
      </c>
      <c r="B794" s="23">
        <f>IF(Brand_Log!AN194=1,Brand_Log!G194,"")</f>
        <v/>
      </c>
      <c r="C794" s="17">
        <f>IF(B794="","","brand")</f>
        <v/>
      </c>
      <c r="D794" s="17">
        <f>IF(B794="","",Brand_Log!$A194&amp;"")</f>
        <v/>
      </c>
      <c r="E794" s="17">
        <f>IF(B794="","",IF(Brand_Log!B194="","",Brand_Log!B194&amp;""))</f>
        <v/>
      </c>
      <c r="F794" s="17">
        <f>IF(B794="","","conversation")</f>
        <v/>
      </c>
      <c r="G794" s="17">
        <f>IF(B794="","","")</f>
        <v/>
      </c>
      <c r="H794" s="17">
        <f>IF(B794="","","")</f>
        <v/>
      </c>
      <c r="I794" s="17">
        <f>IF(B794="","","")</f>
        <v/>
      </c>
      <c r="J794" s="17">
        <f>IF(B794="","",IF(Brand_Log!H194="","",Brand_Log!H194&amp;""))</f>
        <v/>
      </c>
      <c r="K794" t="inlineStr">
        <is>
          <t>brand conversation</t>
        </is>
      </c>
    </row>
    <row r="795">
      <c r="A795" s="17">
        <f>IF(B795="","",B795+(4*1000+194)/10000000)</f>
        <v/>
      </c>
      <c r="B795" s="23">
        <f>IF(Brand_Log!AN195=1,Brand_Log!G195,"")</f>
        <v/>
      </c>
      <c r="C795" s="17">
        <f>IF(B795="","","brand")</f>
        <v/>
      </c>
      <c r="D795" s="17">
        <f>IF(B795="","",Brand_Log!$A195&amp;"")</f>
        <v/>
      </c>
      <c r="E795" s="17">
        <f>IF(B795="","",IF(Brand_Log!B195="","",Brand_Log!B195&amp;""))</f>
        <v/>
      </c>
      <c r="F795" s="17">
        <f>IF(B795="","","conversation")</f>
        <v/>
      </c>
      <c r="G795" s="17">
        <f>IF(B795="","","")</f>
        <v/>
      </c>
      <c r="H795" s="17">
        <f>IF(B795="","","")</f>
        <v/>
      </c>
      <c r="I795" s="17">
        <f>IF(B795="","","")</f>
        <v/>
      </c>
      <c r="J795" s="17">
        <f>IF(B795="","",IF(Brand_Log!H195="","",Brand_Log!H195&amp;""))</f>
        <v/>
      </c>
      <c r="K795" t="inlineStr">
        <is>
          <t>brand conversation</t>
        </is>
      </c>
    </row>
    <row r="796">
      <c r="A796" s="17">
        <f>IF(B796="","",B796+(4*1000+195)/10000000)</f>
        <v/>
      </c>
      <c r="B796" s="23">
        <f>IF(Brand_Log!AN196=1,Brand_Log!G196,"")</f>
        <v/>
      </c>
      <c r="C796" s="17">
        <f>IF(B796="","","brand")</f>
        <v/>
      </c>
      <c r="D796" s="17">
        <f>IF(B796="","",Brand_Log!$A196&amp;"")</f>
        <v/>
      </c>
      <c r="E796" s="17">
        <f>IF(B796="","",IF(Brand_Log!B196="","",Brand_Log!B196&amp;""))</f>
        <v/>
      </c>
      <c r="F796" s="17">
        <f>IF(B796="","","conversation")</f>
        <v/>
      </c>
      <c r="G796" s="17">
        <f>IF(B796="","","")</f>
        <v/>
      </c>
      <c r="H796" s="17">
        <f>IF(B796="","","")</f>
        <v/>
      </c>
      <c r="I796" s="17">
        <f>IF(B796="","","")</f>
        <v/>
      </c>
      <c r="J796" s="17">
        <f>IF(B796="","",IF(Brand_Log!H196="","",Brand_Log!H196&amp;""))</f>
        <v/>
      </c>
      <c r="K796" t="inlineStr">
        <is>
          <t>brand conversation</t>
        </is>
      </c>
    </row>
    <row r="797">
      <c r="A797" s="17">
        <f>IF(B797="","",B797+(4*1000+196)/10000000)</f>
        <v/>
      </c>
      <c r="B797" s="23">
        <f>IF(Brand_Log!AN197=1,Brand_Log!G197,"")</f>
        <v/>
      </c>
      <c r="C797" s="17">
        <f>IF(B797="","","brand")</f>
        <v/>
      </c>
      <c r="D797" s="17">
        <f>IF(B797="","",Brand_Log!$A197&amp;"")</f>
        <v/>
      </c>
      <c r="E797" s="17">
        <f>IF(B797="","",IF(Brand_Log!B197="","",Brand_Log!B197&amp;""))</f>
        <v/>
      </c>
      <c r="F797" s="17">
        <f>IF(B797="","","conversation")</f>
        <v/>
      </c>
      <c r="G797" s="17">
        <f>IF(B797="","","")</f>
        <v/>
      </c>
      <c r="H797" s="17">
        <f>IF(B797="","","")</f>
        <v/>
      </c>
      <c r="I797" s="17">
        <f>IF(B797="","","")</f>
        <v/>
      </c>
      <c r="J797" s="17">
        <f>IF(B797="","",IF(Brand_Log!H197="","",Brand_Log!H197&amp;""))</f>
        <v/>
      </c>
      <c r="K797" t="inlineStr">
        <is>
          <t>brand conversation</t>
        </is>
      </c>
    </row>
    <row r="798">
      <c r="A798" s="17">
        <f>IF(B798="","",B798+(4*1000+197)/10000000)</f>
        <v/>
      </c>
      <c r="B798" s="23">
        <f>IF(Brand_Log!AN198=1,Brand_Log!G198,"")</f>
        <v/>
      </c>
      <c r="C798" s="17">
        <f>IF(B798="","","brand")</f>
        <v/>
      </c>
      <c r="D798" s="17">
        <f>IF(B798="","",Brand_Log!$A198&amp;"")</f>
        <v/>
      </c>
      <c r="E798" s="17">
        <f>IF(B798="","",IF(Brand_Log!B198="","",Brand_Log!B198&amp;""))</f>
        <v/>
      </c>
      <c r="F798" s="17">
        <f>IF(B798="","","conversation")</f>
        <v/>
      </c>
      <c r="G798" s="17">
        <f>IF(B798="","","")</f>
        <v/>
      </c>
      <c r="H798" s="17">
        <f>IF(B798="","","")</f>
        <v/>
      </c>
      <c r="I798" s="17">
        <f>IF(B798="","","")</f>
        <v/>
      </c>
      <c r="J798" s="17">
        <f>IF(B798="","",IF(Brand_Log!H198="","",Brand_Log!H198&amp;""))</f>
        <v/>
      </c>
      <c r="K798" t="inlineStr">
        <is>
          <t>brand conversation</t>
        </is>
      </c>
    </row>
    <row r="799">
      <c r="A799" s="17">
        <f>IF(B799="","",B799+(4*1000+198)/10000000)</f>
        <v/>
      </c>
      <c r="B799" s="23">
        <f>IF(Brand_Log!AN199=1,Brand_Log!G199,"")</f>
        <v/>
      </c>
      <c r="C799" s="17">
        <f>IF(B799="","","brand")</f>
        <v/>
      </c>
      <c r="D799" s="17">
        <f>IF(B799="","",Brand_Log!$A199&amp;"")</f>
        <v/>
      </c>
      <c r="E799" s="17">
        <f>IF(B799="","",IF(Brand_Log!B199="","",Brand_Log!B199&amp;""))</f>
        <v/>
      </c>
      <c r="F799" s="17">
        <f>IF(B799="","","conversation")</f>
        <v/>
      </c>
      <c r="G799" s="17">
        <f>IF(B799="","","")</f>
        <v/>
      </c>
      <c r="H799" s="17">
        <f>IF(B799="","","")</f>
        <v/>
      </c>
      <c r="I799" s="17">
        <f>IF(B799="","","")</f>
        <v/>
      </c>
      <c r="J799" s="17">
        <f>IF(B799="","",IF(Brand_Log!H199="","",Brand_Log!H199&amp;""))</f>
        <v/>
      </c>
      <c r="K799" t="inlineStr">
        <is>
          <t>brand conversation</t>
        </is>
      </c>
    </row>
    <row r="800">
      <c r="A800" s="17">
        <f>IF(B800="","",B800+(4*1000+199)/10000000)</f>
        <v/>
      </c>
      <c r="B800" s="23">
        <f>IF(Brand_Log!AN200=1,Brand_Log!G200,"")</f>
        <v/>
      </c>
      <c r="C800" s="17">
        <f>IF(B800="","","brand")</f>
        <v/>
      </c>
      <c r="D800" s="17">
        <f>IF(B800="","",Brand_Log!$A200&amp;"")</f>
        <v/>
      </c>
      <c r="E800" s="17">
        <f>IF(B800="","",IF(Brand_Log!B200="","",Brand_Log!B200&amp;""))</f>
        <v/>
      </c>
      <c r="F800" s="17">
        <f>IF(B800="","","conversation")</f>
        <v/>
      </c>
      <c r="G800" s="17">
        <f>IF(B800="","","")</f>
        <v/>
      </c>
      <c r="H800" s="17">
        <f>IF(B800="","","")</f>
        <v/>
      </c>
      <c r="I800" s="17">
        <f>IF(B800="","","")</f>
        <v/>
      </c>
      <c r="J800" s="17">
        <f>IF(B800="","",IF(Brand_Log!H200="","",Brand_Log!H200&amp;""))</f>
        <v/>
      </c>
      <c r="K800" t="inlineStr">
        <is>
          <t>brand conversation</t>
        </is>
      </c>
    </row>
    <row r="801">
      <c r="A801" s="17">
        <f>IF(B801="","",B801+(4*1000+200)/10000000)</f>
        <v/>
      </c>
      <c r="B801" s="23">
        <f>IF(Brand_Log!AN201=1,Brand_Log!G201,"")</f>
        <v/>
      </c>
      <c r="C801" s="17">
        <f>IF(B801="","","brand")</f>
        <v/>
      </c>
      <c r="D801" s="17">
        <f>IF(B801="","",Brand_Log!$A201&amp;"")</f>
        <v/>
      </c>
      <c r="E801" s="17">
        <f>IF(B801="","",IF(Brand_Log!B201="","",Brand_Log!B201&amp;""))</f>
        <v/>
      </c>
      <c r="F801" s="17">
        <f>IF(B801="","","conversation")</f>
        <v/>
      </c>
      <c r="G801" s="17">
        <f>IF(B801="","","")</f>
        <v/>
      </c>
      <c r="H801" s="17">
        <f>IF(B801="","","")</f>
        <v/>
      </c>
      <c r="I801" s="17">
        <f>IF(B801="","","")</f>
        <v/>
      </c>
      <c r="J801" s="17">
        <f>IF(B801="","",IF(Brand_Log!H201="","",Brand_Log!H201&amp;""))</f>
        <v/>
      </c>
      <c r="K801" t="inlineStr">
        <is>
          <t>brand conversation</t>
        </is>
      </c>
    </row>
    <row r="802">
      <c r="A802" s="17">
        <f>IF(B802="","",B802+(5*1000+1)/10000000)</f>
        <v/>
      </c>
      <c r="B802" s="23">
        <f>IF(AND(Brand_Log!AN2=1,Brand_Log!AF2="Y"),Brand_Log!G2,"")</f>
        <v/>
      </c>
      <c r="C802" s="17">
        <f>IF(B802="","","brand")</f>
        <v/>
      </c>
      <c r="D802" s="17">
        <f>IF(B802="","",Brand_Log!$A2&amp;"")</f>
        <v/>
      </c>
      <c r="E802" s="17">
        <f>IF(B802="","",IF(Brand_Log!B2="","",Brand_Log!B2&amp;""))</f>
        <v/>
      </c>
      <c r="F802" s="17">
        <f>IF(B802="","","yes_in_principle")</f>
        <v/>
      </c>
      <c r="G802" s="17">
        <f>IF(B802="","","")</f>
        <v/>
      </c>
      <c r="H802" s="17">
        <f>IF(B802="","","")</f>
        <v/>
      </c>
      <c r="I802" s="17">
        <f>IF(B802="","",IF(Brand_Log!N2="","",Brand_Log!N2&amp;""))</f>
        <v/>
      </c>
      <c r="J802" s="17">
        <f>IF(B802="","","")</f>
        <v/>
      </c>
      <c r="K802" t="inlineStr">
        <is>
          <t>brand yes_in_principle</t>
        </is>
      </c>
    </row>
    <row r="803">
      <c r="A803" s="17">
        <f>IF(B803="","",B803+(5*1000+2)/10000000)</f>
        <v/>
      </c>
      <c r="B803" s="23">
        <f>IF(AND(Brand_Log!AN3=1,Brand_Log!AF3="Y"),Brand_Log!G3,"")</f>
        <v/>
      </c>
      <c r="C803" s="17">
        <f>IF(B803="","","brand")</f>
        <v/>
      </c>
      <c r="D803" s="17">
        <f>IF(B803="","",Brand_Log!$A3&amp;"")</f>
        <v/>
      </c>
      <c r="E803" s="17">
        <f>IF(B803="","",IF(Brand_Log!B3="","",Brand_Log!B3&amp;""))</f>
        <v/>
      </c>
      <c r="F803" s="17">
        <f>IF(B803="","","yes_in_principle")</f>
        <v/>
      </c>
      <c r="G803" s="17">
        <f>IF(B803="","","")</f>
        <v/>
      </c>
      <c r="H803" s="17">
        <f>IF(B803="","","")</f>
        <v/>
      </c>
      <c r="I803" s="17">
        <f>IF(B803="","",IF(Brand_Log!N3="","",Brand_Log!N3&amp;""))</f>
        <v/>
      </c>
      <c r="J803" s="17">
        <f>IF(B803="","","")</f>
        <v/>
      </c>
      <c r="K803" t="inlineStr">
        <is>
          <t>brand yes_in_principle</t>
        </is>
      </c>
    </row>
    <row r="804">
      <c r="A804" s="17">
        <f>IF(B804="","",B804+(5*1000+3)/10000000)</f>
        <v/>
      </c>
      <c r="B804" s="23">
        <f>IF(AND(Brand_Log!AN4=1,Brand_Log!AF4="Y"),Brand_Log!G4,"")</f>
        <v/>
      </c>
      <c r="C804" s="17">
        <f>IF(B804="","","brand")</f>
        <v/>
      </c>
      <c r="D804" s="17">
        <f>IF(B804="","",Brand_Log!$A4&amp;"")</f>
        <v/>
      </c>
      <c r="E804" s="17">
        <f>IF(B804="","",IF(Brand_Log!B4="","",Brand_Log!B4&amp;""))</f>
        <v/>
      </c>
      <c r="F804" s="17">
        <f>IF(B804="","","yes_in_principle")</f>
        <v/>
      </c>
      <c r="G804" s="17">
        <f>IF(B804="","","")</f>
        <v/>
      </c>
      <c r="H804" s="17">
        <f>IF(B804="","","")</f>
        <v/>
      </c>
      <c r="I804" s="17">
        <f>IF(B804="","",IF(Brand_Log!N4="","",Brand_Log!N4&amp;""))</f>
        <v/>
      </c>
      <c r="J804" s="17">
        <f>IF(B804="","","")</f>
        <v/>
      </c>
      <c r="K804" t="inlineStr">
        <is>
          <t>brand yes_in_principle</t>
        </is>
      </c>
    </row>
    <row r="805">
      <c r="A805" s="17">
        <f>IF(B805="","",B805+(5*1000+4)/10000000)</f>
        <v/>
      </c>
      <c r="B805" s="23">
        <f>IF(AND(Brand_Log!AN5=1,Brand_Log!AF5="Y"),Brand_Log!G5,"")</f>
        <v/>
      </c>
      <c r="C805" s="17">
        <f>IF(B805="","","brand")</f>
        <v/>
      </c>
      <c r="D805" s="17">
        <f>IF(B805="","",Brand_Log!$A5&amp;"")</f>
        <v/>
      </c>
      <c r="E805" s="17">
        <f>IF(B805="","",IF(Brand_Log!B5="","",Brand_Log!B5&amp;""))</f>
        <v/>
      </c>
      <c r="F805" s="17">
        <f>IF(B805="","","yes_in_principle")</f>
        <v/>
      </c>
      <c r="G805" s="17">
        <f>IF(B805="","","")</f>
        <v/>
      </c>
      <c r="H805" s="17">
        <f>IF(B805="","","")</f>
        <v/>
      </c>
      <c r="I805" s="17">
        <f>IF(B805="","",IF(Brand_Log!N5="","",Brand_Log!N5&amp;""))</f>
        <v/>
      </c>
      <c r="J805" s="17">
        <f>IF(B805="","","")</f>
        <v/>
      </c>
      <c r="K805" t="inlineStr">
        <is>
          <t>brand yes_in_principle</t>
        </is>
      </c>
    </row>
    <row r="806">
      <c r="A806" s="17">
        <f>IF(B806="","",B806+(5*1000+5)/10000000)</f>
        <v/>
      </c>
      <c r="B806" s="23">
        <f>IF(AND(Brand_Log!AN6=1,Brand_Log!AF6="Y"),Brand_Log!G6,"")</f>
        <v/>
      </c>
      <c r="C806" s="17">
        <f>IF(B806="","","brand")</f>
        <v/>
      </c>
      <c r="D806" s="17">
        <f>IF(B806="","",Brand_Log!$A6&amp;"")</f>
        <v/>
      </c>
      <c r="E806" s="17">
        <f>IF(B806="","",IF(Brand_Log!B6="","",Brand_Log!B6&amp;""))</f>
        <v/>
      </c>
      <c r="F806" s="17">
        <f>IF(B806="","","yes_in_principle")</f>
        <v/>
      </c>
      <c r="G806" s="17">
        <f>IF(B806="","","")</f>
        <v/>
      </c>
      <c r="H806" s="17">
        <f>IF(B806="","","")</f>
        <v/>
      </c>
      <c r="I806" s="17">
        <f>IF(B806="","",IF(Brand_Log!N6="","",Brand_Log!N6&amp;""))</f>
        <v/>
      </c>
      <c r="J806" s="17">
        <f>IF(B806="","","")</f>
        <v/>
      </c>
      <c r="K806" t="inlineStr">
        <is>
          <t>brand yes_in_principle</t>
        </is>
      </c>
    </row>
    <row r="807">
      <c r="A807" s="17">
        <f>IF(B807="","",B807+(5*1000+6)/10000000)</f>
        <v/>
      </c>
      <c r="B807" s="23">
        <f>IF(AND(Brand_Log!AN7=1,Brand_Log!AF7="Y"),Brand_Log!G7,"")</f>
        <v/>
      </c>
      <c r="C807" s="17">
        <f>IF(B807="","","brand")</f>
        <v/>
      </c>
      <c r="D807" s="17">
        <f>IF(B807="","",Brand_Log!$A7&amp;"")</f>
        <v/>
      </c>
      <c r="E807" s="17">
        <f>IF(B807="","",IF(Brand_Log!B7="","",Brand_Log!B7&amp;""))</f>
        <v/>
      </c>
      <c r="F807" s="17">
        <f>IF(B807="","","yes_in_principle")</f>
        <v/>
      </c>
      <c r="G807" s="17">
        <f>IF(B807="","","")</f>
        <v/>
      </c>
      <c r="H807" s="17">
        <f>IF(B807="","","")</f>
        <v/>
      </c>
      <c r="I807" s="17">
        <f>IF(B807="","",IF(Brand_Log!N7="","",Brand_Log!N7&amp;""))</f>
        <v/>
      </c>
      <c r="J807" s="17">
        <f>IF(B807="","","")</f>
        <v/>
      </c>
      <c r="K807" t="inlineStr">
        <is>
          <t>brand yes_in_principle</t>
        </is>
      </c>
    </row>
    <row r="808">
      <c r="A808" s="17">
        <f>IF(B808="","",B808+(5*1000+7)/10000000)</f>
        <v/>
      </c>
      <c r="B808" s="23">
        <f>IF(AND(Brand_Log!AN8=1,Brand_Log!AF8="Y"),Brand_Log!G8,"")</f>
        <v/>
      </c>
      <c r="C808" s="17">
        <f>IF(B808="","","brand")</f>
        <v/>
      </c>
      <c r="D808" s="17">
        <f>IF(B808="","",Brand_Log!$A8&amp;"")</f>
        <v/>
      </c>
      <c r="E808" s="17">
        <f>IF(B808="","",IF(Brand_Log!B8="","",Brand_Log!B8&amp;""))</f>
        <v/>
      </c>
      <c r="F808" s="17">
        <f>IF(B808="","","yes_in_principle")</f>
        <v/>
      </c>
      <c r="G808" s="17">
        <f>IF(B808="","","")</f>
        <v/>
      </c>
      <c r="H808" s="17">
        <f>IF(B808="","","")</f>
        <v/>
      </c>
      <c r="I808" s="17">
        <f>IF(B808="","",IF(Brand_Log!N8="","",Brand_Log!N8&amp;""))</f>
        <v/>
      </c>
      <c r="J808" s="17">
        <f>IF(B808="","","")</f>
        <v/>
      </c>
      <c r="K808" t="inlineStr">
        <is>
          <t>brand yes_in_principle</t>
        </is>
      </c>
    </row>
    <row r="809">
      <c r="A809" s="17">
        <f>IF(B809="","",B809+(5*1000+8)/10000000)</f>
        <v/>
      </c>
      <c r="B809" s="23">
        <f>IF(AND(Brand_Log!AN9=1,Brand_Log!AF9="Y"),Brand_Log!G9,"")</f>
        <v/>
      </c>
      <c r="C809" s="17">
        <f>IF(B809="","","brand")</f>
        <v/>
      </c>
      <c r="D809" s="17">
        <f>IF(B809="","",Brand_Log!$A9&amp;"")</f>
        <v/>
      </c>
      <c r="E809" s="17">
        <f>IF(B809="","",IF(Brand_Log!B9="","",Brand_Log!B9&amp;""))</f>
        <v/>
      </c>
      <c r="F809" s="17">
        <f>IF(B809="","","yes_in_principle")</f>
        <v/>
      </c>
      <c r="G809" s="17">
        <f>IF(B809="","","")</f>
        <v/>
      </c>
      <c r="H809" s="17">
        <f>IF(B809="","","")</f>
        <v/>
      </c>
      <c r="I809" s="17">
        <f>IF(B809="","",IF(Brand_Log!N9="","",Brand_Log!N9&amp;""))</f>
        <v/>
      </c>
      <c r="J809" s="17">
        <f>IF(B809="","","")</f>
        <v/>
      </c>
      <c r="K809" t="inlineStr">
        <is>
          <t>brand yes_in_principle</t>
        </is>
      </c>
    </row>
    <row r="810">
      <c r="A810" s="17">
        <f>IF(B810="","",B810+(5*1000+9)/10000000)</f>
        <v/>
      </c>
      <c r="B810" s="23">
        <f>IF(AND(Brand_Log!AN10=1,Brand_Log!AF10="Y"),Brand_Log!G10,"")</f>
        <v/>
      </c>
      <c r="C810" s="17">
        <f>IF(B810="","","brand")</f>
        <v/>
      </c>
      <c r="D810" s="17">
        <f>IF(B810="","",Brand_Log!$A10&amp;"")</f>
        <v/>
      </c>
      <c r="E810" s="17">
        <f>IF(B810="","",IF(Brand_Log!B10="","",Brand_Log!B10&amp;""))</f>
        <v/>
      </c>
      <c r="F810" s="17">
        <f>IF(B810="","","yes_in_principle")</f>
        <v/>
      </c>
      <c r="G810" s="17">
        <f>IF(B810="","","")</f>
        <v/>
      </c>
      <c r="H810" s="17">
        <f>IF(B810="","","")</f>
        <v/>
      </c>
      <c r="I810" s="17">
        <f>IF(B810="","",IF(Brand_Log!N10="","",Brand_Log!N10&amp;""))</f>
        <v/>
      </c>
      <c r="J810" s="17">
        <f>IF(B810="","","")</f>
        <v/>
      </c>
      <c r="K810" t="inlineStr">
        <is>
          <t>brand yes_in_principle</t>
        </is>
      </c>
    </row>
    <row r="811">
      <c r="A811" s="17">
        <f>IF(B811="","",B811+(5*1000+10)/10000000)</f>
        <v/>
      </c>
      <c r="B811" s="23">
        <f>IF(AND(Brand_Log!AN11=1,Brand_Log!AF11="Y"),Brand_Log!G11,"")</f>
        <v/>
      </c>
      <c r="C811" s="17">
        <f>IF(B811="","","brand")</f>
        <v/>
      </c>
      <c r="D811" s="17">
        <f>IF(B811="","",Brand_Log!$A11&amp;"")</f>
        <v/>
      </c>
      <c r="E811" s="17">
        <f>IF(B811="","",IF(Brand_Log!B11="","",Brand_Log!B11&amp;""))</f>
        <v/>
      </c>
      <c r="F811" s="17">
        <f>IF(B811="","","yes_in_principle")</f>
        <v/>
      </c>
      <c r="G811" s="17">
        <f>IF(B811="","","")</f>
        <v/>
      </c>
      <c r="H811" s="17">
        <f>IF(B811="","","")</f>
        <v/>
      </c>
      <c r="I811" s="17">
        <f>IF(B811="","",IF(Brand_Log!N11="","",Brand_Log!N11&amp;""))</f>
        <v/>
      </c>
      <c r="J811" s="17">
        <f>IF(B811="","","")</f>
        <v/>
      </c>
      <c r="K811" t="inlineStr">
        <is>
          <t>brand yes_in_principle</t>
        </is>
      </c>
    </row>
    <row r="812">
      <c r="A812" s="17">
        <f>IF(B812="","",B812+(5*1000+11)/10000000)</f>
        <v/>
      </c>
      <c r="B812" s="23">
        <f>IF(AND(Brand_Log!AN12=1,Brand_Log!AF12="Y"),Brand_Log!G12,"")</f>
        <v/>
      </c>
      <c r="C812" s="17">
        <f>IF(B812="","","brand")</f>
        <v/>
      </c>
      <c r="D812" s="17">
        <f>IF(B812="","",Brand_Log!$A12&amp;"")</f>
        <v/>
      </c>
      <c r="E812" s="17">
        <f>IF(B812="","",IF(Brand_Log!B12="","",Brand_Log!B12&amp;""))</f>
        <v/>
      </c>
      <c r="F812" s="17">
        <f>IF(B812="","","yes_in_principle")</f>
        <v/>
      </c>
      <c r="G812" s="17">
        <f>IF(B812="","","")</f>
        <v/>
      </c>
      <c r="H812" s="17">
        <f>IF(B812="","","")</f>
        <v/>
      </c>
      <c r="I812" s="17">
        <f>IF(B812="","",IF(Brand_Log!N12="","",Brand_Log!N12&amp;""))</f>
        <v/>
      </c>
      <c r="J812" s="17">
        <f>IF(B812="","","")</f>
        <v/>
      </c>
      <c r="K812" t="inlineStr">
        <is>
          <t>brand yes_in_principle</t>
        </is>
      </c>
    </row>
    <row r="813">
      <c r="A813" s="17">
        <f>IF(B813="","",B813+(5*1000+12)/10000000)</f>
        <v/>
      </c>
      <c r="B813" s="23">
        <f>IF(AND(Brand_Log!AN13=1,Brand_Log!AF13="Y"),Brand_Log!G13,"")</f>
        <v/>
      </c>
      <c r="C813" s="17">
        <f>IF(B813="","","brand")</f>
        <v/>
      </c>
      <c r="D813" s="17">
        <f>IF(B813="","",Brand_Log!$A13&amp;"")</f>
        <v/>
      </c>
      <c r="E813" s="17">
        <f>IF(B813="","",IF(Brand_Log!B13="","",Brand_Log!B13&amp;""))</f>
        <v/>
      </c>
      <c r="F813" s="17">
        <f>IF(B813="","","yes_in_principle")</f>
        <v/>
      </c>
      <c r="G813" s="17">
        <f>IF(B813="","","")</f>
        <v/>
      </c>
      <c r="H813" s="17">
        <f>IF(B813="","","")</f>
        <v/>
      </c>
      <c r="I813" s="17">
        <f>IF(B813="","",IF(Brand_Log!N13="","",Brand_Log!N13&amp;""))</f>
        <v/>
      </c>
      <c r="J813" s="17">
        <f>IF(B813="","","")</f>
        <v/>
      </c>
      <c r="K813" t="inlineStr">
        <is>
          <t>brand yes_in_principle</t>
        </is>
      </c>
    </row>
    <row r="814">
      <c r="A814" s="17">
        <f>IF(B814="","",B814+(5*1000+13)/10000000)</f>
        <v/>
      </c>
      <c r="B814" s="23">
        <f>IF(AND(Brand_Log!AN14=1,Brand_Log!AF14="Y"),Brand_Log!G14,"")</f>
        <v/>
      </c>
      <c r="C814" s="17">
        <f>IF(B814="","","brand")</f>
        <v/>
      </c>
      <c r="D814" s="17">
        <f>IF(B814="","",Brand_Log!$A14&amp;"")</f>
        <v/>
      </c>
      <c r="E814" s="17">
        <f>IF(B814="","",IF(Brand_Log!B14="","",Brand_Log!B14&amp;""))</f>
        <v/>
      </c>
      <c r="F814" s="17">
        <f>IF(B814="","","yes_in_principle")</f>
        <v/>
      </c>
      <c r="G814" s="17">
        <f>IF(B814="","","")</f>
        <v/>
      </c>
      <c r="H814" s="17">
        <f>IF(B814="","","")</f>
        <v/>
      </c>
      <c r="I814" s="17">
        <f>IF(B814="","",IF(Brand_Log!N14="","",Brand_Log!N14&amp;""))</f>
        <v/>
      </c>
      <c r="J814" s="17">
        <f>IF(B814="","","")</f>
        <v/>
      </c>
      <c r="K814" t="inlineStr">
        <is>
          <t>brand yes_in_principle</t>
        </is>
      </c>
    </row>
    <row r="815">
      <c r="A815" s="17">
        <f>IF(B815="","",B815+(5*1000+14)/10000000)</f>
        <v/>
      </c>
      <c r="B815" s="23">
        <f>IF(AND(Brand_Log!AN15=1,Brand_Log!AF15="Y"),Brand_Log!G15,"")</f>
        <v/>
      </c>
      <c r="C815" s="17">
        <f>IF(B815="","","brand")</f>
        <v/>
      </c>
      <c r="D815" s="17">
        <f>IF(B815="","",Brand_Log!$A15&amp;"")</f>
        <v/>
      </c>
      <c r="E815" s="17">
        <f>IF(B815="","",IF(Brand_Log!B15="","",Brand_Log!B15&amp;""))</f>
        <v/>
      </c>
      <c r="F815" s="17">
        <f>IF(B815="","","yes_in_principle")</f>
        <v/>
      </c>
      <c r="G815" s="17">
        <f>IF(B815="","","")</f>
        <v/>
      </c>
      <c r="H815" s="17">
        <f>IF(B815="","","")</f>
        <v/>
      </c>
      <c r="I815" s="17">
        <f>IF(B815="","",IF(Brand_Log!N15="","",Brand_Log!N15&amp;""))</f>
        <v/>
      </c>
      <c r="J815" s="17">
        <f>IF(B815="","","")</f>
        <v/>
      </c>
      <c r="K815" t="inlineStr">
        <is>
          <t>brand yes_in_principle</t>
        </is>
      </c>
    </row>
    <row r="816">
      <c r="A816" s="17">
        <f>IF(B816="","",B816+(5*1000+15)/10000000)</f>
        <v/>
      </c>
      <c r="B816" s="23">
        <f>IF(AND(Brand_Log!AN16=1,Brand_Log!AF16="Y"),Brand_Log!G16,"")</f>
        <v/>
      </c>
      <c r="C816" s="17">
        <f>IF(B816="","","brand")</f>
        <v/>
      </c>
      <c r="D816" s="17">
        <f>IF(B816="","",Brand_Log!$A16&amp;"")</f>
        <v/>
      </c>
      <c r="E816" s="17">
        <f>IF(B816="","",IF(Brand_Log!B16="","",Brand_Log!B16&amp;""))</f>
        <v/>
      </c>
      <c r="F816" s="17">
        <f>IF(B816="","","yes_in_principle")</f>
        <v/>
      </c>
      <c r="G816" s="17">
        <f>IF(B816="","","")</f>
        <v/>
      </c>
      <c r="H816" s="17">
        <f>IF(B816="","","")</f>
        <v/>
      </c>
      <c r="I816" s="17">
        <f>IF(B816="","",IF(Brand_Log!N16="","",Brand_Log!N16&amp;""))</f>
        <v/>
      </c>
      <c r="J816" s="17">
        <f>IF(B816="","","")</f>
        <v/>
      </c>
      <c r="K816" t="inlineStr">
        <is>
          <t>brand yes_in_principle</t>
        </is>
      </c>
    </row>
    <row r="817">
      <c r="A817" s="17">
        <f>IF(B817="","",B817+(5*1000+16)/10000000)</f>
        <v/>
      </c>
      <c r="B817" s="23">
        <f>IF(AND(Brand_Log!AN17=1,Brand_Log!AF17="Y"),Brand_Log!G17,"")</f>
        <v/>
      </c>
      <c r="C817" s="17">
        <f>IF(B817="","","brand")</f>
        <v/>
      </c>
      <c r="D817" s="17">
        <f>IF(B817="","",Brand_Log!$A17&amp;"")</f>
        <v/>
      </c>
      <c r="E817" s="17">
        <f>IF(B817="","",IF(Brand_Log!B17="","",Brand_Log!B17&amp;""))</f>
        <v/>
      </c>
      <c r="F817" s="17">
        <f>IF(B817="","","yes_in_principle")</f>
        <v/>
      </c>
      <c r="G817" s="17">
        <f>IF(B817="","","")</f>
        <v/>
      </c>
      <c r="H817" s="17">
        <f>IF(B817="","","")</f>
        <v/>
      </c>
      <c r="I817" s="17">
        <f>IF(B817="","",IF(Brand_Log!N17="","",Brand_Log!N17&amp;""))</f>
        <v/>
      </c>
      <c r="J817" s="17">
        <f>IF(B817="","","")</f>
        <v/>
      </c>
      <c r="K817" t="inlineStr">
        <is>
          <t>brand yes_in_principle</t>
        </is>
      </c>
    </row>
    <row r="818">
      <c r="A818" s="17">
        <f>IF(B818="","",B818+(5*1000+17)/10000000)</f>
        <v/>
      </c>
      <c r="B818" s="23">
        <f>IF(AND(Brand_Log!AN18=1,Brand_Log!AF18="Y"),Brand_Log!G18,"")</f>
        <v/>
      </c>
      <c r="C818" s="17">
        <f>IF(B818="","","brand")</f>
        <v/>
      </c>
      <c r="D818" s="17">
        <f>IF(B818="","",Brand_Log!$A18&amp;"")</f>
        <v/>
      </c>
      <c r="E818" s="17">
        <f>IF(B818="","",IF(Brand_Log!B18="","",Brand_Log!B18&amp;""))</f>
        <v/>
      </c>
      <c r="F818" s="17">
        <f>IF(B818="","","yes_in_principle")</f>
        <v/>
      </c>
      <c r="G818" s="17">
        <f>IF(B818="","","")</f>
        <v/>
      </c>
      <c r="H818" s="17">
        <f>IF(B818="","","")</f>
        <v/>
      </c>
      <c r="I818" s="17">
        <f>IF(B818="","",IF(Brand_Log!N18="","",Brand_Log!N18&amp;""))</f>
        <v/>
      </c>
      <c r="J818" s="17">
        <f>IF(B818="","","")</f>
        <v/>
      </c>
      <c r="K818" t="inlineStr">
        <is>
          <t>brand yes_in_principle</t>
        </is>
      </c>
    </row>
    <row r="819">
      <c r="A819" s="17">
        <f>IF(B819="","",B819+(5*1000+18)/10000000)</f>
        <v/>
      </c>
      <c r="B819" s="23">
        <f>IF(AND(Brand_Log!AN19=1,Brand_Log!AF19="Y"),Brand_Log!G19,"")</f>
        <v/>
      </c>
      <c r="C819" s="17">
        <f>IF(B819="","","brand")</f>
        <v/>
      </c>
      <c r="D819" s="17">
        <f>IF(B819="","",Brand_Log!$A19&amp;"")</f>
        <v/>
      </c>
      <c r="E819" s="17">
        <f>IF(B819="","",IF(Brand_Log!B19="","",Brand_Log!B19&amp;""))</f>
        <v/>
      </c>
      <c r="F819" s="17">
        <f>IF(B819="","","yes_in_principle")</f>
        <v/>
      </c>
      <c r="G819" s="17">
        <f>IF(B819="","","")</f>
        <v/>
      </c>
      <c r="H819" s="17">
        <f>IF(B819="","","")</f>
        <v/>
      </c>
      <c r="I819" s="17">
        <f>IF(B819="","",IF(Brand_Log!N19="","",Brand_Log!N19&amp;""))</f>
        <v/>
      </c>
      <c r="J819" s="17">
        <f>IF(B819="","","")</f>
        <v/>
      </c>
      <c r="K819" t="inlineStr">
        <is>
          <t>brand yes_in_principle</t>
        </is>
      </c>
    </row>
    <row r="820">
      <c r="A820" s="17">
        <f>IF(B820="","",B820+(5*1000+19)/10000000)</f>
        <v/>
      </c>
      <c r="B820" s="23">
        <f>IF(AND(Brand_Log!AN20=1,Brand_Log!AF20="Y"),Brand_Log!G20,"")</f>
        <v/>
      </c>
      <c r="C820" s="17">
        <f>IF(B820="","","brand")</f>
        <v/>
      </c>
      <c r="D820" s="17">
        <f>IF(B820="","",Brand_Log!$A20&amp;"")</f>
        <v/>
      </c>
      <c r="E820" s="17">
        <f>IF(B820="","",IF(Brand_Log!B20="","",Brand_Log!B20&amp;""))</f>
        <v/>
      </c>
      <c r="F820" s="17">
        <f>IF(B820="","","yes_in_principle")</f>
        <v/>
      </c>
      <c r="G820" s="17">
        <f>IF(B820="","","")</f>
        <v/>
      </c>
      <c r="H820" s="17">
        <f>IF(B820="","","")</f>
        <v/>
      </c>
      <c r="I820" s="17">
        <f>IF(B820="","",IF(Brand_Log!N20="","",Brand_Log!N20&amp;""))</f>
        <v/>
      </c>
      <c r="J820" s="17">
        <f>IF(B820="","","")</f>
        <v/>
      </c>
      <c r="K820" t="inlineStr">
        <is>
          <t>brand yes_in_principle</t>
        </is>
      </c>
    </row>
    <row r="821">
      <c r="A821" s="17">
        <f>IF(B821="","",B821+(5*1000+20)/10000000)</f>
        <v/>
      </c>
      <c r="B821" s="23">
        <f>IF(AND(Brand_Log!AN21=1,Brand_Log!AF21="Y"),Brand_Log!G21,"")</f>
        <v/>
      </c>
      <c r="C821" s="17">
        <f>IF(B821="","","brand")</f>
        <v/>
      </c>
      <c r="D821" s="17">
        <f>IF(B821="","",Brand_Log!$A21&amp;"")</f>
        <v/>
      </c>
      <c r="E821" s="17">
        <f>IF(B821="","",IF(Brand_Log!B21="","",Brand_Log!B21&amp;""))</f>
        <v/>
      </c>
      <c r="F821" s="17">
        <f>IF(B821="","","yes_in_principle")</f>
        <v/>
      </c>
      <c r="G821" s="17">
        <f>IF(B821="","","")</f>
        <v/>
      </c>
      <c r="H821" s="17">
        <f>IF(B821="","","")</f>
        <v/>
      </c>
      <c r="I821" s="17">
        <f>IF(B821="","",IF(Brand_Log!N21="","",Brand_Log!N21&amp;""))</f>
        <v/>
      </c>
      <c r="J821" s="17">
        <f>IF(B821="","","")</f>
        <v/>
      </c>
      <c r="K821" t="inlineStr">
        <is>
          <t>brand yes_in_principle</t>
        </is>
      </c>
    </row>
    <row r="822">
      <c r="A822" s="17">
        <f>IF(B822="","",B822+(5*1000+21)/10000000)</f>
        <v/>
      </c>
      <c r="B822" s="23">
        <f>IF(AND(Brand_Log!AN22=1,Brand_Log!AF22="Y"),Brand_Log!G22,"")</f>
        <v/>
      </c>
      <c r="C822" s="17">
        <f>IF(B822="","","brand")</f>
        <v/>
      </c>
      <c r="D822" s="17">
        <f>IF(B822="","",Brand_Log!$A22&amp;"")</f>
        <v/>
      </c>
      <c r="E822" s="17">
        <f>IF(B822="","",IF(Brand_Log!B22="","",Brand_Log!B22&amp;""))</f>
        <v/>
      </c>
      <c r="F822" s="17">
        <f>IF(B822="","","yes_in_principle")</f>
        <v/>
      </c>
      <c r="G822" s="17">
        <f>IF(B822="","","")</f>
        <v/>
      </c>
      <c r="H822" s="17">
        <f>IF(B822="","","")</f>
        <v/>
      </c>
      <c r="I822" s="17">
        <f>IF(B822="","",IF(Brand_Log!N22="","",Brand_Log!N22&amp;""))</f>
        <v/>
      </c>
      <c r="J822" s="17">
        <f>IF(B822="","","")</f>
        <v/>
      </c>
      <c r="K822" t="inlineStr">
        <is>
          <t>brand yes_in_principle</t>
        </is>
      </c>
    </row>
    <row r="823">
      <c r="A823" s="17">
        <f>IF(B823="","",B823+(5*1000+22)/10000000)</f>
        <v/>
      </c>
      <c r="B823" s="23">
        <f>IF(AND(Brand_Log!AN23=1,Brand_Log!AF23="Y"),Brand_Log!G23,"")</f>
        <v/>
      </c>
      <c r="C823" s="17">
        <f>IF(B823="","","brand")</f>
        <v/>
      </c>
      <c r="D823" s="17">
        <f>IF(B823="","",Brand_Log!$A23&amp;"")</f>
        <v/>
      </c>
      <c r="E823" s="17">
        <f>IF(B823="","",IF(Brand_Log!B23="","",Brand_Log!B23&amp;""))</f>
        <v/>
      </c>
      <c r="F823" s="17">
        <f>IF(B823="","","yes_in_principle")</f>
        <v/>
      </c>
      <c r="G823" s="17">
        <f>IF(B823="","","")</f>
        <v/>
      </c>
      <c r="H823" s="17">
        <f>IF(B823="","","")</f>
        <v/>
      </c>
      <c r="I823" s="17">
        <f>IF(B823="","",IF(Brand_Log!N23="","",Brand_Log!N23&amp;""))</f>
        <v/>
      </c>
      <c r="J823" s="17">
        <f>IF(B823="","","")</f>
        <v/>
      </c>
      <c r="K823" t="inlineStr">
        <is>
          <t>brand yes_in_principle</t>
        </is>
      </c>
    </row>
    <row r="824">
      <c r="A824" s="17">
        <f>IF(B824="","",B824+(5*1000+23)/10000000)</f>
        <v/>
      </c>
      <c r="B824" s="23">
        <f>IF(AND(Brand_Log!AN24=1,Brand_Log!AF24="Y"),Brand_Log!G24,"")</f>
        <v/>
      </c>
      <c r="C824" s="17">
        <f>IF(B824="","","brand")</f>
        <v/>
      </c>
      <c r="D824" s="17">
        <f>IF(B824="","",Brand_Log!$A24&amp;"")</f>
        <v/>
      </c>
      <c r="E824" s="17">
        <f>IF(B824="","",IF(Brand_Log!B24="","",Brand_Log!B24&amp;""))</f>
        <v/>
      </c>
      <c r="F824" s="17">
        <f>IF(B824="","","yes_in_principle")</f>
        <v/>
      </c>
      <c r="G824" s="17">
        <f>IF(B824="","","")</f>
        <v/>
      </c>
      <c r="H824" s="17">
        <f>IF(B824="","","")</f>
        <v/>
      </c>
      <c r="I824" s="17">
        <f>IF(B824="","",IF(Brand_Log!N24="","",Brand_Log!N24&amp;""))</f>
        <v/>
      </c>
      <c r="J824" s="17">
        <f>IF(B824="","","")</f>
        <v/>
      </c>
      <c r="K824" t="inlineStr">
        <is>
          <t>brand yes_in_principle</t>
        </is>
      </c>
    </row>
    <row r="825">
      <c r="A825" s="17">
        <f>IF(B825="","",B825+(5*1000+24)/10000000)</f>
        <v/>
      </c>
      <c r="B825" s="23">
        <f>IF(AND(Brand_Log!AN25=1,Brand_Log!AF25="Y"),Brand_Log!G25,"")</f>
        <v/>
      </c>
      <c r="C825" s="17">
        <f>IF(B825="","","brand")</f>
        <v/>
      </c>
      <c r="D825" s="17">
        <f>IF(B825="","",Brand_Log!$A25&amp;"")</f>
        <v/>
      </c>
      <c r="E825" s="17">
        <f>IF(B825="","",IF(Brand_Log!B25="","",Brand_Log!B25&amp;""))</f>
        <v/>
      </c>
      <c r="F825" s="17">
        <f>IF(B825="","","yes_in_principle")</f>
        <v/>
      </c>
      <c r="G825" s="17">
        <f>IF(B825="","","")</f>
        <v/>
      </c>
      <c r="H825" s="17">
        <f>IF(B825="","","")</f>
        <v/>
      </c>
      <c r="I825" s="17">
        <f>IF(B825="","",IF(Brand_Log!N25="","",Brand_Log!N25&amp;""))</f>
        <v/>
      </c>
      <c r="J825" s="17">
        <f>IF(B825="","","")</f>
        <v/>
      </c>
      <c r="K825" t="inlineStr">
        <is>
          <t>brand yes_in_principle</t>
        </is>
      </c>
    </row>
    <row r="826">
      <c r="A826" s="17">
        <f>IF(B826="","",B826+(5*1000+25)/10000000)</f>
        <v/>
      </c>
      <c r="B826" s="23">
        <f>IF(AND(Brand_Log!AN26=1,Brand_Log!AF26="Y"),Brand_Log!G26,"")</f>
        <v/>
      </c>
      <c r="C826" s="17">
        <f>IF(B826="","","brand")</f>
        <v/>
      </c>
      <c r="D826" s="17">
        <f>IF(B826="","",Brand_Log!$A26&amp;"")</f>
        <v/>
      </c>
      <c r="E826" s="17">
        <f>IF(B826="","",IF(Brand_Log!B26="","",Brand_Log!B26&amp;""))</f>
        <v/>
      </c>
      <c r="F826" s="17">
        <f>IF(B826="","","yes_in_principle")</f>
        <v/>
      </c>
      <c r="G826" s="17">
        <f>IF(B826="","","")</f>
        <v/>
      </c>
      <c r="H826" s="17">
        <f>IF(B826="","","")</f>
        <v/>
      </c>
      <c r="I826" s="17">
        <f>IF(B826="","",IF(Brand_Log!N26="","",Brand_Log!N26&amp;""))</f>
        <v/>
      </c>
      <c r="J826" s="17">
        <f>IF(B826="","","")</f>
        <v/>
      </c>
      <c r="K826" t="inlineStr">
        <is>
          <t>brand yes_in_principle</t>
        </is>
      </c>
    </row>
    <row r="827">
      <c r="A827" s="17">
        <f>IF(B827="","",B827+(5*1000+26)/10000000)</f>
        <v/>
      </c>
      <c r="B827" s="23">
        <f>IF(AND(Brand_Log!AN27=1,Brand_Log!AF27="Y"),Brand_Log!G27,"")</f>
        <v/>
      </c>
      <c r="C827" s="17">
        <f>IF(B827="","","brand")</f>
        <v/>
      </c>
      <c r="D827" s="17">
        <f>IF(B827="","",Brand_Log!$A27&amp;"")</f>
        <v/>
      </c>
      <c r="E827" s="17">
        <f>IF(B827="","",IF(Brand_Log!B27="","",Brand_Log!B27&amp;""))</f>
        <v/>
      </c>
      <c r="F827" s="17">
        <f>IF(B827="","","yes_in_principle")</f>
        <v/>
      </c>
      <c r="G827" s="17">
        <f>IF(B827="","","")</f>
        <v/>
      </c>
      <c r="H827" s="17">
        <f>IF(B827="","","")</f>
        <v/>
      </c>
      <c r="I827" s="17">
        <f>IF(B827="","",IF(Brand_Log!N27="","",Brand_Log!N27&amp;""))</f>
        <v/>
      </c>
      <c r="J827" s="17">
        <f>IF(B827="","","")</f>
        <v/>
      </c>
      <c r="K827" t="inlineStr">
        <is>
          <t>brand yes_in_principle</t>
        </is>
      </c>
    </row>
    <row r="828">
      <c r="A828" s="17">
        <f>IF(B828="","",B828+(5*1000+27)/10000000)</f>
        <v/>
      </c>
      <c r="B828" s="23">
        <f>IF(AND(Brand_Log!AN28=1,Brand_Log!AF28="Y"),Brand_Log!G28,"")</f>
        <v/>
      </c>
      <c r="C828" s="17">
        <f>IF(B828="","","brand")</f>
        <v/>
      </c>
      <c r="D828" s="17">
        <f>IF(B828="","",Brand_Log!$A28&amp;"")</f>
        <v/>
      </c>
      <c r="E828" s="17">
        <f>IF(B828="","",IF(Brand_Log!B28="","",Brand_Log!B28&amp;""))</f>
        <v/>
      </c>
      <c r="F828" s="17">
        <f>IF(B828="","","yes_in_principle")</f>
        <v/>
      </c>
      <c r="G828" s="17">
        <f>IF(B828="","","")</f>
        <v/>
      </c>
      <c r="H828" s="17">
        <f>IF(B828="","","")</f>
        <v/>
      </c>
      <c r="I828" s="17">
        <f>IF(B828="","",IF(Brand_Log!N28="","",Brand_Log!N28&amp;""))</f>
        <v/>
      </c>
      <c r="J828" s="17">
        <f>IF(B828="","","")</f>
        <v/>
      </c>
      <c r="K828" t="inlineStr">
        <is>
          <t>brand yes_in_principle</t>
        </is>
      </c>
    </row>
    <row r="829">
      <c r="A829" s="17">
        <f>IF(B829="","",B829+(5*1000+28)/10000000)</f>
        <v/>
      </c>
      <c r="B829" s="23">
        <f>IF(AND(Brand_Log!AN29=1,Brand_Log!AF29="Y"),Brand_Log!G29,"")</f>
        <v/>
      </c>
      <c r="C829" s="17">
        <f>IF(B829="","","brand")</f>
        <v/>
      </c>
      <c r="D829" s="17">
        <f>IF(B829="","",Brand_Log!$A29&amp;"")</f>
        <v/>
      </c>
      <c r="E829" s="17">
        <f>IF(B829="","",IF(Brand_Log!B29="","",Brand_Log!B29&amp;""))</f>
        <v/>
      </c>
      <c r="F829" s="17">
        <f>IF(B829="","","yes_in_principle")</f>
        <v/>
      </c>
      <c r="G829" s="17">
        <f>IF(B829="","","")</f>
        <v/>
      </c>
      <c r="H829" s="17">
        <f>IF(B829="","","")</f>
        <v/>
      </c>
      <c r="I829" s="17">
        <f>IF(B829="","",IF(Brand_Log!N29="","",Brand_Log!N29&amp;""))</f>
        <v/>
      </c>
      <c r="J829" s="17">
        <f>IF(B829="","","")</f>
        <v/>
      </c>
      <c r="K829" t="inlineStr">
        <is>
          <t>brand yes_in_principle</t>
        </is>
      </c>
    </row>
    <row r="830">
      <c r="A830" s="17">
        <f>IF(B830="","",B830+(5*1000+29)/10000000)</f>
        <v/>
      </c>
      <c r="B830" s="23">
        <f>IF(AND(Brand_Log!AN30=1,Brand_Log!AF30="Y"),Brand_Log!G30,"")</f>
        <v/>
      </c>
      <c r="C830" s="17">
        <f>IF(B830="","","brand")</f>
        <v/>
      </c>
      <c r="D830" s="17">
        <f>IF(B830="","",Brand_Log!$A30&amp;"")</f>
        <v/>
      </c>
      <c r="E830" s="17">
        <f>IF(B830="","",IF(Brand_Log!B30="","",Brand_Log!B30&amp;""))</f>
        <v/>
      </c>
      <c r="F830" s="17">
        <f>IF(B830="","","yes_in_principle")</f>
        <v/>
      </c>
      <c r="G830" s="17">
        <f>IF(B830="","","")</f>
        <v/>
      </c>
      <c r="H830" s="17">
        <f>IF(B830="","","")</f>
        <v/>
      </c>
      <c r="I830" s="17">
        <f>IF(B830="","",IF(Brand_Log!N30="","",Brand_Log!N30&amp;""))</f>
        <v/>
      </c>
      <c r="J830" s="17">
        <f>IF(B830="","","")</f>
        <v/>
      </c>
      <c r="K830" t="inlineStr">
        <is>
          <t>brand yes_in_principle</t>
        </is>
      </c>
    </row>
    <row r="831">
      <c r="A831" s="17">
        <f>IF(B831="","",B831+(5*1000+30)/10000000)</f>
        <v/>
      </c>
      <c r="B831" s="23">
        <f>IF(AND(Brand_Log!AN31=1,Brand_Log!AF31="Y"),Brand_Log!G31,"")</f>
        <v/>
      </c>
      <c r="C831" s="17">
        <f>IF(B831="","","brand")</f>
        <v/>
      </c>
      <c r="D831" s="17">
        <f>IF(B831="","",Brand_Log!$A31&amp;"")</f>
        <v/>
      </c>
      <c r="E831" s="17">
        <f>IF(B831="","",IF(Brand_Log!B31="","",Brand_Log!B31&amp;""))</f>
        <v/>
      </c>
      <c r="F831" s="17">
        <f>IF(B831="","","yes_in_principle")</f>
        <v/>
      </c>
      <c r="G831" s="17">
        <f>IF(B831="","","")</f>
        <v/>
      </c>
      <c r="H831" s="17">
        <f>IF(B831="","","")</f>
        <v/>
      </c>
      <c r="I831" s="17">
        <f>IF(B831="","",IF(Brand_Log!N31="","",Brand_Log!N31&amp;""))</f>
        <v/>
      </c>
      <c r="J831" s="17">
        <f>IF(B831="","","")</f>
        <v/>
      </c>
      <c r="K831" t="inlineStr">
        <is>
          <t>brand yes_in_principle</t>
        </is>
      </c>
    </row>
    <row r="832">
      <c r="A832" s="17">
        <f>IF(B832="","",B832+(5*1000+31)/10000000)</f>
        <v/>
      </c>
      <c r="B832" s="23">
        <f>IF(AND(Brand_Log!AN32=1,Brand_Log!AF32="Y"),Brand_Log!G32,"")</f>
        <v/>
      </c>
      <c r="C832" s="17">
        <f>IF(B832="","","brand")</f>
        <v/>
      </c>
      <c r="D832" s="17">
        <f>IF(B832="","",Brand_Log!$A32&amp;"")</f>
        <v/>
      </c>
      <c r="E832" s="17">
        <f>IF(B832="","",IF(Brand_Log!B32="","",Brand_Log!B32&amp;""))</f>
        <v/>
      </c>
      <c r="F832" s="17">
        <f>IF(B832="","","yes_in_principle")</f>
        <v/>
      </c>
      <c r="G832" s="17">
        <f>IF(B832="","","")</f>
        <v/>
      </c>
      <c r="H832" s="17">
        <f>IF(B832="","","")</f>
        <v/>
      </c>
      <c r="I832" s="17">
        <f>IF(B832="","",IF(Brand_Log!N32="","",Brand_Log!N32&amp;""))</f>
        <v/>
      </c>
      <c r="J832" s="17">
        <f>IF(B832="","","")</f>
        <v/>
      </c>
      <c r="K832" t="inlineStr">
        <is>
          <t>brand yes_in_principle</t>
        </is>
      </c>
    </row>
    <row r="833">
      <c r="A833" s="17">
        <f>IF(B833="","",B833+(5*1000+32)/10000000)</f>
        <v/>
      </c>
      <c r="B833" s="23">
        <f>IF(AND(Brand_Log!AN33=1,Brand_Log!AF33="Y"),Brand_Log!G33,"")</f>
        <v/>
      </c>
      <c r="C833" s="17">
        <f>IF(B833="","","brand")</f>
        <v/>
      </c>
      <c r="D833" s="17">
        <f>IF(B833="","",Brand_Log!$A33&amp;"")</f>
        <v/>
      </c>
      <c r="E833" s="17">
        <f>IF(B833="","",IF(Brand_Log!B33="","",Brand_Log!B33&amp;""))</f>
        <v/>
      </c>
      <c r="F833" s="17">
        <f>IF(B833="","","yes_in_principle")</f>
        <v/>
      </c>
      <c r="G833" s="17">
        <f>IF(B833="","","")</f>
        <v/>
      </c>
      <c r="H833" s="17">
        <f>IF(B833="","","")</f>
        <v/>
      </c>
      <c r="I833" s="17">
        <f>IF(B833="","",IF(Brand_Log!N33="","",Brand_Log!N33&amp;""))</f>
        <v/>
      </c>
      <c r="J833" s="17">
        <f>IF(B833="","","")</f>
        <v/>
      </c>
      <c r="K833" t="inlineStr">
        <is>
          <t>brand yes_in_principle</t>
        </is>
      </c>
    </row>
    <row r="834">
      <c r="A834" s="17">
        <f>IF(B834="","",B834+(5*1000+33)/10000000)</f>
        <v/>
      </c>
      <c r="B834" s="23">
        <f>IF(AND(Brand_Log!AN34=1,Brand_Log!AF34="Y"),Brand_Log!G34,"")</f>
        <v/>
      </c>
      <c r="C834" s="17">
        <f>IF(B834="","","brand")</f>
        <v/>
      </c>
      <c r="D834" s="17">
        <f>IF(B834="","",Brand_Log!$A34&amp;"")</f>
        <v/>
      </c>
      <c r="E834" s="17">
        <f>IF(B834="","",IF(Brand_Log!B34="","",Brand_Log!B34&amp;""))</f>
        <v/>
      </c>
      <c r="F834" s="17">
        <f>IF(B834="","","yes_in_principle")</f>
        <v/>
      </c>
      <c r="G834" s="17">
        <f>IF(B834="","","")</f>
        <v/>
      </c>
      <c r="H834" s="17">
        <f>IF(B834="","","")</f>
        <v/>
      </c>
      <c r="I834" s="17">
        <f>IF(B834="","",IF(Brand_Log!N34="","",Brand_Log!N34&amp;""))</f>
        <v/>
      </c>
      <c r="J834" s="17">
        <f>IF(B834="","","")</f>
        <v/>
      </c>
      <c r="K834" t="inlineStr">
        <is>
          <t>brand yes_in_principle</t>
        </is>
      </c>
    </row>
    <row r="835">
      <c r="A835" s="17">
        <f>IF(B835="","",B835+(5*1000+34)/10000000)</f>
        <v/>
      </c>
      <c r="B835" s="23">
        <f>IF(AND(Brand_Log!AN35=1,Brand_Log!AF35="Y"),Brand_Log!G35,"")</f>
        <v/>
      </c>
      <c r="C835" s="17">
        <f>IF(B835="","","brand")</f>
        <v/>
      </c>
      <c r="D835" s="17">
        <f>IF(B835="","",Brand_Log!$A35&amp;"")</f>
        <v/>
      </c>
      <c r="E835" s="17">
        <f>IF(B835="","",IF(Brand_Log!B35="","",Brand_Log!B35&amp;""))</f>
        <v/>
      </c>
      <c r="F835" s="17">
        <f>IF(B835="","","yes_in_principle")</f>
        <v/>
      </c>
      <c r="G835" s="17">
        <f>IF(B835="","","")</f>
        <v/>
      </c>
      <c r="H835" s="17">
        <f>IF(B835="","","")</f>
        <v/>
      </c>
      <c r="I835" s="17">
        <f>IF(B835="","",IF(Brand_Log!N35="","",Brand_Log!N35&amp;""))</f>
        <v/>
      </c>
      <c r="J835" s="17">
        <f>IF(B835="","","")</f>
        <v/>
      </c>
      <c r="K835" t="inlineStr">
        <is>
          <t>brand yes_in_principle</t>
        </is>
      </c>
    </row>
    <row r="836">
      <c r="A836" s="17">
        <f>IF(B836="","",B836+(5*1000+35)/10000000)</f>
        <v/>
      </c>
      <c r="B836" s="23">
        <f>IF(AND(Brand_Log!AN36=1,Brand_Log!AF36="Y"),Brand_Log!G36,"")</f>
        <v/>
      </c>
      <c r="C836" s="17">
        <f>IF(B836="","","brand")</f>
        <v/>
      </c>
      <c r="D836" s="17">
        <f>IF(B836="","",Brand_Log!$A36&amp;"")</f>
        <v/>
      </c>
      <c r="E836" s="17">
        <f>IF(B836="","",IF(Brand_Log!B36="","",Brand_Log!B36&amp;""))</f>
        <v/>
      </c>
      <c r="F836" s="17">
        <f>IF(B836="","","yes_in_principle")</f>
        <v/>
      </c>
      <c r="G836" s="17">
        <f>IF(B836="","","")</f>
        <v/>
      </c>
      <c r="H836" s="17">
        <f>IF(B836="","","")</f>
        <v/>
      </c>
      <c r="I836" s="17">
        <f>IF(B836="","",IF(Brand_Log!N36="","",Brand_Log!N36&amp;""))</f>
        <v/>
      </c>
      <c r="J836" s="17">
        <f>IF(B836="","","")</f>
        <v/>
      </c>
      <c r="K836" t="inlineStr">
        <is>
          <t>brand yes_in_principle</t>
        </is>
      </c>
    </row>
    <row r="837">
      <c r="A837" s="17">
        <f>IF(B837="","",B837+(5*1000+36)/10000000)</f>
        <v/>
      </c>
      <c r="B837" s="23">
        <f>IF(AND(Brand_Log!AN37=1,Brand_Log!AF37="Y"),Brand_Log!G37,"")</f>
        <v/>
      </c>
      <c r="C837" s="17">
        <f>IF(B837="","","brand")</f>
        <v/>
      </c>
      <c r="D837" s="17">
        <f>IF(B837="","",Brand_Log!$A37&amp;"")</f>
        <v/>
      </c>
      <c r="E837" s="17">
        <f>IF(B837="","",IF(Brand_Log!B37="","",Brand_Log!B37&amp;""))</f>
        <v/>
      </c>
      <c r="F837" s="17">
        <f>IF(B837="","","yes_in_principle")</f>
        <v/>
      </c>
      <c r="G837" s="17">
        <f>IF(B837="","","")</f>
        <v/>
      </c>
      <c r="H837" s="17">
        <f>IF(B837="","","")</f>
        <v/>
      </c>
      <c r="I837" s="17">
        <f>IF(B837="","",IF(Brand_Log!N37="","",Brand_Log!N37&amp;""))</f>
        <v/>
      </c>
      <c r="J837" s="17">
        <f>IF(B837="","","")</f>
        <v/>
      </c>
      <c r="K837" t="inlineStr">
        <is>
          <t>brand yes_in_principle</t>
        </is>
      </c>
    </row>
    <row r="838">
      <c r="A838" s="17">
        <f>IF(B838="","",B838+(5*1000+37)/10000000)</f>
        <v/>
      </c>
      <c r="B838" s="23">
        <f>IF(AND(Brand_Log!AN38=1,Brand_Log!AF38="Y"),Brand_Log!G38,"")</f>
        <v/>
      </c>
      <c r="C838" s="17">
        <f>IF(B838="","","brand")</f>
        <v/>
      </c>
      <c r="D838" s="17">
        <f>IF(B838="","",Brand_Log!$A38&amp;"")</f>
        <v/>
      </c>
      <c r="E838" s="17">
        <f>IF(B838="","",IF(Brand_Log!B38="","",Brand_Log!B38&amp;""))</f>
        <v/>
      </c>
      <c r="F838" s="17">
        <f>IF(B838="","","yes_in_principle")</f>
        <v/>
      </c>
      <c r="G838" s="17">
        <f>IF(B838="","","")</f>
        <v/>
      </c>
      <c r="H838" s="17">
        <f>IF(B838="","","")</f>
        <v/>
      </c>
      <c r="I838" s="17">
        <f>IF(B838="","",IF(Brand_Log!N38="","",Brand_Log!N38&amp;""))</f>
        <v/>
      </c>
      <c r="J838" s="17">
        <f>IF(B838="","","")</f>
        <v/>
      </c>
      <c r="K838" t="inlineStr">
        <is>
          <t>brand yes_in_principle</t>
        </is>
      </c>
    </row>
    <row r="839">
      <c r="A839" s="17">
        <f>IF(B839="","",B839+(5*1000+38)/10000000)</f>
        <v/>
      </c>
      <c r="B839" s="23">
        <f>IF(AND(Brand_Log!AN39=1,Brand_Log!AF39="Y"),Brand_Log!G39,"")</f>
        <v/>
      </c>
      <c r="C839" s="17">
        <f>IF(B839="","","brand")</f>
        <v/>
      </c>
      <c r="D839" s="17">
        <f>IF(B839="","",Brand_Log!$A39&amp;"")</f>
        <v/>
      </c>
      <c r="E839" s="17">
        <f>IF(B839="","",IF(Brand_Log!B39="","",Brand_Log!B39&amp;""))</f>
        <v/>
      </c>
      <c r="F839" s="17">
        <f>IF(B839="","","yes_in_principle")</f>
        <v/>
      </c>
      <c r="G839" s="17">
        <f>IF(B839="","","")</f>
        <v/>
      </c>
      <c r="H839" s="17">
        <f>IF(B839="","","")</f>
        <v/>
      </c>
      <c r="I839" s="17">
        <f>IF(B839="","",IF(Brand_Log!N39="","",Brand_Log!N39&amp;""))</f>
        <v/>
      </c>
      <c r="J839" s="17">
        <f>IF(B839="","","")</f>
        <v/>
      </c>
      <c r="K839" t="inlineStr">
        <is>
          <t>brand yes_in_principle</t>
        </is>
      </c>
    </row>
    <row r="840">
      <c r="A840" s="17">
        <f>IF(B840="","",B840+(5*1000+39)/10000000)</f>
        <v/>
      </c>
      <c r="B840" s="23">
        <f>IF(AND(Brand_Log!AN40=1,Brand_Log!AF40="Y"),Brand_Log!G40,"")</f>
        <v/>
      </c>
      <c r="C840" s="17">
        <f>IF(B840="","","brand")</f>
        <v/>
      </c>
      <c r="D840" s="17">
        <f>IF(B840="","",Brand_Log!$A40&amp;"")</f>
        <v/>
      </c>
      <c r="E840" s="17">
        <f>IF(B840="","",IF(Brand_Log!B40="","",Brand_Log!B40&amp;""))</f>
        <v/>
      </c>
      <c r="F840" s="17">
        <f>IF(B840="","","yes_in_principle")</f>
        <v/>
      </c>
      <c r="G840" s="17">
        <f>IF(B840="","","")</f>
        <v/>
      </c>
      <c r="H840" s="17">
        <f>IF(B840="","","")</f>
        <v/>
      </c>
      <c r="I840" s="17">
        <f>IF(B840="","",IF(Brand_Log!N40="","",Brand_Log!N40&amp;""))</f>
        <v/>
      </c>
      <c r="J840" s="17">
        <f>IF(B840="","","")</f>
        <v/>
      </c>
      <c r="K840" t="inlineStr">
        <is>
          <t>brand yes_in_principle</t>
        </is>
      </c>
    </row>
    <row r="841">
      <c r="A841" s="17">
        <f>IF(B841="","",B841+(5*1000+40)/10000000)</f>
        <v/>
      </c>
      <c r="B841" s="23">
        <f>IF(AND(Brand_Log!AN41=1,Brand_Log!AF41="Y"),Brand_Log!G41,"")</f>
        <v/>
      </c>
      <c r="C841" s="17">
        <f>IF(B841="","","brand")</f>
        <v/>
      </c>
      <c r="D841" s="17">
        <f>IF(B841="","",Brand_Log!$A41&amp;"")</f>
        <v/>
      </c>
      <c r="E841" s="17">
        <f>IF(B841="","",IF(Brand_Log!B41="","",Brand_Log!B41&amp;""))</f>
        <v/>
      </c>
      <c r="F841" s="17">
        <f>IF(B841="","","yes_in_principle")</f>
        <v/>
      </c>
      <c r="G841" s="17">
        <f>IF(B841="","","")</f>
        <v/>
      </c>
      <c r="H841" s="17">
        <f>IF(B841="","","")</f>
        <v/>
      </c>
      <c r="I841" s="17">
        <f>IF(B841="","",IF(Brand_Log!N41="","",Brand_Log!N41&amp;""))</f>
        <v/>
      </c>
      <c r="J841" s="17">
        <f>IF(B841="","","")</f>
        <v/>
      </c>
      <c r="K841" t="inlineStr">
        <is>
          <t>brand yes_in_principle</t>
        </is>
      </c>
    </row>
    <row r="842">
      <c r="A842" s="17">
        <f>IF(B842="","",B842+(5*1000+41)/10000000)</f>
        <v/>
      </c>
      <c r="B842" s="23">
        <f>IF(AND(Brand_Log!AN42=1,Brand_Log!AF42="Y"),Brand_Log!G42,"")</f>
        <v/>
      </c>
      <c r="C842" s="17">
        <f>IF(B842="","","brand")</f>
        <v/>
      </c>
      <c r="D842" s="17">
        <f>IF(B842="","",Brand_Log!$A42&amp;"")</f>
        <v/>
      </c>
      <c r="E842" s="17">
        <f>IF(B842="","",IF(Brand_Log!B42="","",Brand_Log!B42&amp;""))</f>
        <v/>
      </c>
      <c r="F842" s="17">
        <f>IF(B842="","","yes_in_principle")</f>
        <v/>
      </c>
      <c r="G842" s="17">
        <f>IF(B842="","","")</f>
        <v/>
      </c>
      <c r="H842" s="17">
        <f>IF(B842="","","")</f>
        <v/>
      </c>
      <c r="I842" s="17">
        <f>IF(B842="","",IF(Brand_Log!N42="","",Brand_Log!N42&amp;""))</f>
        <v/>
      </c>
      <c r="J842" s="17">
        <f>IF(B842="","","")</f>
        <v/>
      </c>
      <c r="K842" t="inlineStr">
        <is>
          <t>brand yes_in_principle</t>
        </is>
      </c>
    </row>
    <row r="843">
      <c r="A843" s="17">
        <f>IF(B843="","",B843+(5*1000+42)/10000000)</f>
        <v/>
      </c>
      <c r="B843" s="23">
        <f>IF(AND(Brand_Log!AN43=1,Brand_Log!AF43="Y"),Brand_Log!G43,"")</f>
        <v/>
      </c>
      <c r="C843" s="17">
        <f>IF(B843="","","brand")</f>
        <v/>
      </c>
      <c r="D843" s="17">
        <f>IF(B843="","",Brand_Log!$A43&amp;"")</f>
        <v/>
      </c>
      <c r="E843" s="17">
        <f>IF(B843="","",IF(Brand_Log!B43="","",Brand_Log!B43&amp;""))</f>
        <v/>
      </c>
      <c r="F843" s="17">
        <f>IF(B843="","","yes_in_principle")</f>
        <v/>
      </c>
      <c r="G843" s="17">
        <f>IF(B843="","","")</f>
        <v/>
      </c>
      <c r="H843" s="17">
        <f>IF(B843="","","")</f>
        <v/>
      </c>
      <c r="I843" s="17">
        <f>IF(B843="","",IF(Brand_Log!N43="","",Brand_Log!N43&amp;""))</f>
        <v/>
      </c>
      <c r="J843" s="17">
        <f>IF(B843="","","")</f>
        <v/>
      </c>
      <c r="K843" t="inlineStr">
        <is>
          <t>brand yes_in_principle</t>
        </is>
      </c>
    </row>
    <row r="844">
      <c r="A844" s="17">
        <f>IF(B844="","",B844+(5*1000+43)/10000000)</f>
        <v/>
      </c>
      <c r="B844" s="23">
        <f>IF(AND(Brand_Log!AN44=1,Brand_Log!AF44="Y"),Brand_Log!G44,"")</f>
        <v/>
      </c>
      <c r="C844" s="17">
        <f>IF(B844="","","brand")</f>
        <v/>
      </c>
      <c r="D844" s="17">
        <f>IF(B844="","",Brand_Log!$A44&amp;"")</f>
        <v/>
      </c>
      <c r="E844" s="17">
        <f>IF(B844="","",IF(Brand_Log!B44="","",Brand_Log!B44&amp;""))</f>
        <v/>
      </c>
      <c r="F844" s="17">
        <f>IF(B844="","","yes_in_principle")</f>
        <v/>
      </c>
      <c r="G844" s="17">
        <f>IF(B844="","","")</f>
        <v/>
      </c>
      <c r="H844" s="17">
        <f>IF(B844="","","")</f>
        <v/>
      </c>
      <c r="I844" s="17">
        <f>IF(B844="","",IF(Brand_Log!N44="","",Brand_Log!N44&amp;""))</f>
        <v/>
      </c>
      <c r="J844" s="17">
        <f>IF(B844="","","")</f>
        <v/>
      </c>
      <c r="K844" t="inlineStr">
        <is>
          <t>brand yes_in_principle</t>
        </is>
      </c>
    </row>
    <row r="845">
      <c r="A845" s="17">
        <f>IF(B845="","",B845+(5*1000+44)/10000000)</f>
        <v/>
      </c>
      <c r="B845" s="23">
        <f>IF(AND(Brand_Log!AN45=1,Brand_Log!AF45="Y"),Brand_Log!G45,"")</f>
        <v/>
      </c>
      <c r="C845" s="17">
        <f>IF(B845="","","brand")</f>
        <v/>
      </c>
      <c r="D845" s="17">
        <f>IF(B845="","",Brand_Log!$A45&amp;"")</f>
        <v/>
      </c>
      <c r="E845" s="17">
        <f>IF(B845="","",IF(Brand_Log!B45="","",Brand_Log!B45&amp;""))</f>
        <v/>
      </c>
      <c r="F845" s="17">
        <f>IF(B845="","","yes_in_principle")</f>
        <v/>
      </c>
      <c r="G845" s="17">
        <f>IF(B845="","","")</f>
        <v/>
      </c>
      <c r="H845" s="17">
        <f>IF(B845="","","")</f>
        <v/>
      </c>
      <c r="I845" s="17">
        <f>IF(B845="","",IF(Brand_Log!N45="","",Brand_Log!N45&amp;""))</f>
        <v/>
      </c>
      <c r="J845" s="17">
        <f>IF(B845="","","")</f>
        <v/>
      </c>
      <c r="K845" t="inlineStr">
        <is>
          <t>brand yes_in_principle</t>
        </is>
      </c>
    </row>
    <row r="846">
      <c r="A846" s="17">
        <f>IF(B846="","",B846+(5*1000+45)/10000000)</f>
        <v/>
      </c>
      <c r="B846" s="23">
        <f>IF(AND(Brand_Log!AN46=1,Brand_Log!AF46="Y"),Brand_Log!G46,"")</f>
        <v/>
      </c>
      <c r="C846" s="17">
        <f>IF(B846="","","brand")</f>
        <v/>
      </c>
      <c r="D846" s="17">
        <f>IF(B846="","",Brand_Log!$A46&amp;"")</f>
        <v/>
      </c>
      <c r="E846" s="17">
        <f>IF(B846="","",IF(Brand_Log!B46="","",Brand_Log!B46&amp;""))</f>
        <v/>
      </c>
      <c r="F846" s="17">
        <f>IF(B846="","","yes_in_principle")</f>
        <v/>
      </c>
      <c r="G846" s="17">
        <f>IF(B846="","","")</f>
        <v/>
      </c>
      <c r="H846" s="17">
        <f>IF(B846="","","")</f>
        <v/>
      </c>
      <c r="I846" s="17">
        <f>IF(B846="","",IF(Brand_Log!N46="","",Brand_Log!N46&amp;""))</f>
        <v/>
      </c>
      <c r="J846" s="17">
        <f>IF(B846="","","")</f>
        <v/>
      </c>
      <c r="K846" t="inlineStr">
        <is>
          <t>brand yes_in_principle</t>
        </is>
      </c>
    </row>
    <row r="847">
      <c r="A847" s="17">
        <f>IF(B847="","",B847+(5*1000+46)/10000000)</f>
        <v/>
      </c>
      <c r="B847" s="23">
        <f>IF(AND(Brand_Log!AN47=1,Brand_Log!AF47="Y"),Brand_Log!G47,"")</f>
        <v/>
      </c>
      <c r="C847" s="17">
        <f>IF(B847="","","brand")</f>
        <v/>
      </c>
      <c r="D847" s="17">
        <f>IF(B847="","",Brand_Log!$A47&amp;"")</f>
        <v/>
      </c>
      <c r="E847" s="17">
        <f>IF(B847="","",IF(Brand_Log!B47="","",Brand_Log!B47&amp;""))</f>
        <v/>
      </c>
      <c r="F847" s="17">
        <f>IF(B847="","","yes_in_principle")</f>
        <v/>
      </c>
      <c r="G847" s="17">
        <f>IF(B847="","","")</f>
        <v/>
      </c>
      <c r="H847" s="17">
        <f>IF(B847="","","")</f>
        <v/>
      </c>
      <c r="I847" s="17">
        <f>IF(B847="","",IF(Brand_Log!N47="","",Brand_Log!N47&amp;""))</f>
        <v/>
      </c>
      <c r="J847" s="17">
        <f>IF(B847="","","")</f>
        <v/>
      </c>
      <c r="K847" t="inlineStr">
        <is>
          <t>brand yes_in_principle</t>
        </is>
      </c>
    </row>
    <row r="848">
      <c r="A848" s="17">
        <f>IF(B848="","",B848+(5*1000+47)/10000000)</f>
        <v/>
      </c>
      <c r="B848" s="23">
        <f>IF(AND(Brand_Log!AN48=1,Brand_Log!AF48="Y"),Brand_Log!G48,"")</f>
        <v/>
      </c>
      <c r="C848" s="17">
        <f>IF(B848="","","brand")</f>
        <v/>
      </c>
      <c r="D848" s="17">
        <f>IF(B848="","",Brand_Log!$A48&amp;"")</f>
        <v/>
      </c>
      <c r="E848" s="17">
        <f>IF(B848="","",IF(Brand_Log!B48="","",Brand_Log!B48&amp;""))</f>
        <v/>
      </c>
      <c r="F848" s="17">
        <f>IF(B848="","","yes_in_principle")</f>
        <v/>
      </c>
      <c r="G848" s="17">
        <f>IF(B848="","","")</f>
        <v/>
      </c>
      <c r="H848" s="17">
        <f>IF(B848="","","")</f>
        <v/>
      </c>
      <c r="I848" s="17">
        <f>IF(B848="","",IF(Brand_Log!N48="","",Brand_Log!N48&amp;""))</f>
        <v/>
      </c>
      <c r="J848" s="17">
        <f>IF(B848="","","")</f>
        <v/>
      </c>
      <c r="K848" t="inlineStr">
        <is>
          <t>brand yes_in_principle</t>
        </is>
      </c>
    </row>
    <row r="849">
      <c r="A849" s="17">
        <f>IF(B849="","",B849+(5*1000+48)/10000000)</f>
        <v/>
      </c>
      <c r="B849" s="23">
        <f>IF(AND(Brand_Log!AN49=1,Brand_Log!AF49="Y"),Brand_Log!G49,"")</f>
        <v/>
      </c>
      <c r="C849" s="17">
        <f>IF(B849="","","brand")</f>
        <v/>
      </c>
      <c r="D849" s="17">
        <f>IF(B849="","",Brand_Log!$A49&amp;"")</f>
        <v/>
      </c>
      <c r="E849" s="17">
        <f>IF(B849="","",IF(Brand_Log!B49="","",Brand_Log!B49&amp;""))</f>
        <v/>
      </c>
      <c r="F849" s="17">
        <f>IF(B849="","","yes_in_principle")</f>
        <v/>
      </c>
      <c r="G849" s="17">
        <f>IF(B849="","","")</f>
        <v/>
      </c>
      <c r="H849" s="17">
        <f>IF(B849="","","")</f>
        <v/>
      </c>
      <c r="I849" s="17">
        <f>IF(B849="","",IF(Brand_Log!N49="","",Brand_Log!N49&amp;""))</f>
        <v/>
      </c>
      <c r="J849" s="17">
        <f>IF(B849="","","")</f>
        <v/>
      </c>
      <c r="K849" t="inlineStr">
        <is>
          <t>brand yes_in_principle</t>
        </is>
      </c>
    </row>
    <row r="850">
      <c r="A850" s="17">
        <f>IF(B850="","",B850+(5*1000+49)/10000000)</f>
        <v/>
      </c>
      <c r="B850" s="23">
        <f>IF(AND(Brand_Log!AN50=1,Brand_Log!AF50="Y"),Brand_Log!G50,"")</f>
        <v/>
      </c>
      <c r="C850" s="17">
        <f>IF(B850="","","brand")</f>
        <v/>
      </c>
      <c r="D850" s="17">
        <f>IF(B850="","",Brand_Log!$A50&amp;"")</f>
        <v/>
      </c>
      <c r="E850" s="17">
        <f>IF(B850="","",IF(Brand_Log!B50="","",Brand_Log!B50&amp;""))</f>
        <v/>
      </c>
      <c r="F850" s="17">
        <f>IF(B850="","","yes_in_principle")</f>
        <v/>
      </c>
      <c r="G850" s="17">
        <f>IF(B850="","","")</f>
        <v/>
      </c>
      <c r="H850" s="17">
        <f>IF(B850="","","")</f>
        <v/>
      </c>
      <c r="I850" s="17">
        <f>IF(B850="","",IF(Brand_Log!N50="","",Brand_Log!N50&amp;""))</f>
        <v/>
      </c>
      <c r="J850" s="17">
        <f>IF(B850="","","")</f>
        <v/>
      </c>
      <c r="K850" t="inlineStr">
        <is>
          <t>brand yes_in_principle</t>
        </is>
      </c>
    </row>
    <row r="851">
      <c r="A851" s="17">
        <f>IF(B851="","",B851+(5*1000+50)/10000000)</f>
        <v/>
      </c>
      <c r="B851" s="23">
        <f>IF(AND(Brand_Log!AN51=1,Brand_Log!AF51="Y"),Brand_Log!G51,"")</f>
        <v/>
      </c>
      <c r="C851" s="17">
        <f>IF(B851="","","brand")</f>
        <v/>
      </c>
      <c r="D851" s="17">
        <f>IF(B851="","",Brand_Log!$A51&amp;"")</f>
        <v/>
      </c>
      <c r="E851" s="17">
        <f>IF(B851="","",IF(Brand_Log!B51="","",Brand_Log!B51&amp;""))</f>
        <v/>
      </c>
      <c r="F851" s="17">
        <f>IF(B851="","","yes_in_principle")</f>
        <v/>
      </c>
      <c r="G851" s="17">
        <f>IF(B851="","","")</f>
        <v/>
      </c>
      <c r="H851" s="17">
        <f>IF(B851="","","")</f>
        <v/>
      </c>
      <c r="I851" s="17">
        <f>IF(B851="","",IF(Brand_Log!N51="","",Brand_Log!N51&amp;""))</f>
        <v/>
      </c>
      <c r="J851" s="17">
        <f>IF(B851="","","")</f>
        <v/>
      </c>
      <c r="K851" t="inlineStr">
        <is>
          <t>brand yes_in_principle</t>
        </is>
      </c>
    </row>
    <row r="852">
      <c r="A852" s="17">
        <f>IF(B852="","",B852+(5*1000+51)/10000000)</f>
        <v/>
      </c>
      <c r="B852" s="23">
        <f>IF(AND(Brand_Log!AN52=1,Brand_Log!AF52="Y"),Brand_Log!G52,"")</f>
        <v/>
      </c>
      <c r="C852" s="17">
        <f>IF(B852="","","brand")</f>
        <v/>
      </c>
      <c r="D852" s="17">
        <f>IF(B852="","",Brand_Log!$A52&amp;"")</f>
        <v/>
      </c>
      <c r="E852" s="17">
        <f>IF(B852="","",IF(Brand_Log!B52="","",Brand_Log!B52&amp;""))</f>
        <v/>
      </c>
      <c r="F852" s="17">
        <f>IF(B852="","","yes_in_principle")</f>
        <v/>
      </c>
      <c r="G852" s="17">
        <f>IF(B852="","","")</f>
        <v/>
      </c>
      <c r="H852" s="17">
        <f>IF(B852="","","")</f>
        <v/>
      </c>
      <c r="I852" s="17">
        <f>IF(B852="","",IF(Brand_Log!N52="","",Brand_Log!N52&amp;""))</f>
        <v/>
      </c>
      <c r="J852" s="17">
        <f>IF(B852="","","")</f>
        <v/>
      </c>
      <c r="K852" t="inlineStr">
        <is>
          <t>brand yes_in_principle</t>
        </is>
      </c>
    </row>
    <row r="853">
      <c r="A853" s="17">
        <f>IF(B853="","",B853+(5*1000+52)/10000000)</f>
        <v/>
      </c>
      <c r="B853" s="23">
        <f>IF(AND(Brand_Log!AN53=1,Brand_Log!AF53="Y"),Brand_Log!G53,"")</f>
        <v/>
      </c>
      <c r="C853" s="17">
        <f>IF(B853="","","brand")</f>
        <v/>
      </c>
      <c r="D853" s="17">
        <f>IF(B853="","",Brand_Log!$A53&amp;"")</f>
        <v/>
      </c>
      <c r="E853" s="17">
        <f>IF(B853="","",IF(Brand_Log!B53="","",Brand_Log!B53&amp;""))</f>
        <v/>
      </c>
      <c r="F853" s="17">
        <f>IF(B853="","","yes_in_principle")</f>
        <v/>
      </c>
      <c r="G853" s="17">
        <f>IF(B853="","","")</f>
        <v/>
      </c>
      <c r="H853" s="17">
        <f>IF(B853="","","")</f>
        <v/>
      </c>
      <c r="I853" s="17">
        <f>IF(B853="","",IF(Brand_Log!N53="","",Brand_Log!N53&amp;""))</f>
        <v/>
      </c>
      <c r="J853" s="17">
        <f>IF(B853="","","")</f>
        <v/>
      </c>
      <c r="K853" t="inlineStr">
        <is>
          <t>brand yes_in_principle</t>
        </is>
      </c>
    </row>
    <row r="854">
      <c r="A854" s="17">
        <f>IF(B854="","",B854+(5*1000+53)/10000000)</f>
        <v/>
      </c>
      <c r="B854" s="23">
        <f>IF(AND(Brand_Log!AN54=1,Brand_Log!AF54="Y"),Brand_Log!G54,"")</f>
        <v/>
      </c>
      <c r="C854" s="17">
        <f>IF(B854="","","brand")</f>
        <v/>
      </c>
      <c r="D854" s="17">
        <f>IF(B854="","",Brand_Log!$A54&amp;"")</f>
        <v/>
      </c>
      <c r="E854" s="17">
        <f>IF(B854="","",IF(Brand_Log!B54="","",Brand_Log!B54&amp;""))</f>
        <v/>
      </c>
      <c r="F854" s="17">
        <f>IF(B854="","","yes_in_principle")</f>
        <v/>
      </c>
      <c r="G854" s="17">
        <f>IF(B854="","","")</f>
        <v/>
      </c>
      <c r="H854" s="17">
        <f>IF(B854="","","")</f>
        <v/>
      </c>
      <c r="I854" s="17">
        <f>IF(B854="","",IF(Brand_Log!N54="","",Brand_Log!N54&amp;""))</f>
        <v/>
      </c>
      <c r="J854" s="17">
        <f>IF(B854="","","")</f>
        <v/>
      </c>
      <c r="K854" t="inlineStr">
        <is>
          <t>brand yes_in_principle</t>
        </is>
      </c>
    </row>
    <row r="855">
      <c r="A855" s="17">
        <f>IF(B855="","",B855+(5*1000+54)/10000000)</f>
        <v/>
      </c>
      <c r="B855" s="23">
        <f>IF(AND(Brand_Log!AN55=1,Brand_Log!AF55="Y"),Brand_Log!G55,"")</f>
        <v/>
      </c>
      <c r="C855" s="17">
        <f>IF(B855="","","brand")</f>
        <v/>
      </c>
      <c r="D855" s="17">
        <f>IF(B855="","",Brand_Log!$A55&amp;"")</f>
        <v/>
      </c>
      <c r="E855" s="17">
        <f>IF(B855="","",IF(Brand_Log!B55="","",Brand_Log!B55&amp;""))</f>
        <v/>
      </c>
      <c r="F855" s="17">
        <f>IF(B855="","","yes_in_principle")</f>
        <v/>
      </c>
      <c r="G855" s="17">
        <f>IF(B855="","","")</f>
        <v/>
      </c>
      <c r="H855" s="17">
        <f>IF(B855="","","")</f>
        <v/>
      </c>
      <c r="I855" s="17">
        <f>IF(B855="","",IF(Brand_Log!N55="","",Brand_Log!N55&amp;""))</f>
        <v/>
      </c>
      <c r="J855" s="17">
        <f>IF(B855="","","")</f>
        <v/>
      </c>
      <c r="K855" t="inlineStr">
        <is>
          <t>brand yes_in_principle</t>
        </is>
      </c>
    </row>
    <row r="856">
      <c r="A856" s="17">
        <f>IF(B856="","",B856+(5*1000+55)/10000000)</f>
        <v/>
      </c>
      <c r="B856" s="23">
        <f>IF(AND(Brand_Log!AN56=1,Brand_Log!AF56="Y"),Brand_Log!G56,"")</f>
        <v/>
      </c>
      <c r="C856" s="17">
        <f>IF(B856="","","brand")</f>
        <v/>
      </c>
      <c r="D856" s="17">
        <f>IF(B856="","",Brand_Log!$A56&amp;"")</f>
        <v/>
      </c>
      <c r="E856" s="17">
        <f>IF(B856="","",IF(Brand_Log!B56="","",Brand_Log!B56&amp;""))</f>
        <v/>
      </c>
      <c r="F856" s="17">
        <f>IF(B856="","","yes_in_principle")</f>
        <v/>
      </c>
      <c r="G856" s="17">
        <f>IF(B856="","","")</f>
        <v/>
      </c>
      <c r="H856" s="17">
        <f>IF(B856="","","")</f>
        <v/>
      </c>
      <c r="I856" s="17">
        <f>IF(B856="","",IF(Brand_Log!N56="","",Brand_Log!N56&amp;""))</f>
        <v/>
      </c>
      <c r="J856" s="17">
        <f>IF(B856="","","")</f>
        <v/>
      </c>
      <c r="K856" t="inlineStr">
        <is>
          <t>brand yes_in_principle</t>
        </is>
      </c>
    </row>
    <row r="857">
      <c r="A857" s="17">
        <f>IF(B857="","",B857+(5*1000+56)/10000000)</f>
        <v/>
      </c>
      <c r="B857" s="23">
        <f>IF(AND(Brand_Log!AN57=1,Brand_Log!AF57="Y"),Brand_Log!G57,"")</f>
        <v/>
      </c>
      <c r="C857" s="17">
        <f>IF(B857="","","brand")</f>
        <v/>
      </c>
      <c r="D857" s="17">
        <f>IF(B857="","",Brand_Log!$A57&amp;"")</f>
        <v/>
      </c>
      <c r="E857" s="17">
        <f>IF(B857="","",IF(Brand_Log!B57="","",Brand_Log!B57&amp;""))</f>
        <v/>
      </c>
      <c r="F857" s="17">
        <f>IF(B857="","","yes_in_principle")</f>
        <v/>
      </c>
      <c r="G857" s="17">
        <f>IF(B857="","","")</f>
        <v/>
      </c>
      <c r="H857" s="17">
        <f>IF(B857="","","")</f>
        <v/>
      </c>
      <c r="I857" s="17">
        <f>IF(B857="","",IF(Brand_Log!N57="","",Brand_Log!N57&amp;""))</f>
        <v/>
      </c>
      <c r="J857" s="17">
        <f>IF(B857="","","")</f>
        <v/>
      </c>
      <c r="K857" t="inlineStr">
        <is>
          <t>brand yes_in_principle</t>
        </is>
      </c>
    </row>
    <row r="858">
      <c r="A858" s="17">
        <f>IF(B858="","",B858+(5*1000+57)/10000000)</f>
        <v/>
      </c>
      <c r="B858" s="23">
        <f>IF(AND(Brand_Log!AN58=1,Brand_Log!AF58="Y"),Brand_Log!G58,"")</f>
        <v/>
      </c>
      <c r="C858" s="17">
        <f>IF(B858="","","brand")</f>
        <v/>
      </c>
      <c r="D858" s="17">
        <f>IF(B858="","",Brand_Log!$A58&amp;"")</f>
        <v/>
      </c>
      <c r="E858" s="17">
        <f>IF(B858="","",IF(Brand_Log!B58="","",Brand_Log!B58&amp;""))</f>
        <v/>
      </c>
      <c r="F858" s="17">
        <f>IF(B858="","","yes_in_principle")</f>
        <v/>
      </c>
      <c r="G858" s="17">
        <f>IF(B858="","","")</f>
        <v/>
      </c>
      <c r="H858" s="17">
        <f>IF(B858="","","")</f>
        <v/>
      </c>
      <c r="I858" s="17">
        <f>IF(B858="","",IF(Brand_Log!N58="","",Brand_Log!N58&amp;""))</f>
        <v/>
      </c>
      <c r="J858" s="17">
        <f>IF(B858="","","")</f>
        <v/>
      </c>
      <c r="K858" t="inlineStr">
        <is>
          <t>brand yes_in_principle</t>
        </is>
      </c>
    </row>
    <row r="859">
      <c r="A859" s="17">
        <f>IF(B859="","",B859+(5*1000+58)/10000000)</f>
        <v/>
      </c>
      <c r="B859" s="23">
        <f>IF(AND(Brand_Log!AN59=1,Brand_Log!AF59="Y"),Brand_Log!G59,"")</f>
        <v/>
      </c>
      <c r="C859" s="17">
        <f>IF(B859="","","brand")</f>
        <v/>
      </c>
      <c r="D859" s="17">
        <f>IF(B859="","",Brand_Log!$A59&amp;"")</f>
        <v/>
      </c>
      <c r="E859" s="17">
        <f>IF(B859="","",IF(Brand_Log!B59="","",Brand_Log!B59&amp;""))</f>
        <v/>
      </c>
      <c r="F859" s="17">
        <f>IF(B859="","","yes_in_principle")</f>
        <v/>
      </c>
      <c r="G859" s="17">
        <f>IF(B859="","","")</f>
        <v/>
      </c>
      <c r="H859" s="17">
        <f>IF(B859="","","")</f>
        <v/>
      </c>
      <c r="I859" s="17">
        <f>IF(B859="","",IF(Brand_Log!N59="","",Brand_Log!N59&amp;""))</f>
        <v/>
      </c>
      <c r="J859" s="17">
        <f>IF(B859="","","")</f>
        <v/>
      </c>
      <c r="K859" t="inlineStr">
        <is>
          <t>brand yes_in_principle</t>
        </is>
      </c>
    </row>
    <row r="860">
      <c r="A860" s="17">
        <f>IF(B860="","",B860+(5*1000+59)/10000000)</f>
        <v/>
      </c>
      <c r="B860" s="23">
        <f>IF(AND(Brand_Log!AN60=1,Brand_Log!AF60="Y"),Brand_Log!G60,"")</f>
        <v/>
      </c>
      <c r="C860" s="17">
        <f>IF(B860="","","brand")</f>
        <v/>
      </c>
      <c r="D860" s="17">
        <f>IF(B860="","",Brand_Log!$A60&amp;"")</f>
        <v/>
      </c>
      <c r="E860" s="17">
        <f>IF(B860="","",IF(Brand_Log!B60="","",Brand_Log!B60&amp;""))</f>
        <v/>
      </c>
      <c r="F860" s="17">
        <f>IF(B860="","","yes_in_principle")</f>
        <v/>
      </c>
      <c r="G860" s="17">
        <f>IF(B860="","","")</f>
        <v/>
      </c>
      <c r="H860" s="17">
        <f>IF(B860="","","")</f>
        <v/>
      </c>
      <c r="I860" s="17">
        <f>IF(B860="","",IF(Brand_Log!N60="","",Brand_Log!N60&amp;""))</f>
        <v/>
      </c>
      <c r="J860" s="17">
        <f>IF(B860="","","")</f>
        <v/>
      </c>
      <c r="K860" t="inlineStr">
        <is>
          <t>brand yes_in_principle</t>
        </is>
      </c>
    </row>
    <row r="861">
      <c r="A861" s="17">
        <f>IF(B861="","",B861+(5*1000+60)/10000000)</f>
        <v/>
      </c>
      <c r="B861" s="23">
        <f>IF(AND(Brand_Log!AN61=1,Brand_Log!AF61="Y"),Brand_Log!G61,"")</f>
        <v/>
      </c>
      <c r="C861" s="17">
        <f>IF(B861="","","brand")</f>
        <v/>
      </c>
      <c r="D861" s="17">
        <f>IF(B861="","",Brand_Log!$A61&amp;"")</f>
        <v/>
      </c>
      <c r="E861" s="17">
        <f>IF(B861="","",IF(Brand_Log!B61="","",Brand_Log!B61&amp;""))</f>
        <v/>
      </c>
      <c r="F861" s="17">
        <f>IF(B861="","","yes_in_principle")</f>
        <v/>
      </c>
      <c r="G861" s="17">
        <f>IF(B861="","","")</f>
        <v/>
      </c>
      <c r="H861" s="17">
        <f>IF(B861="","","")</f>
        <v/>
      </c>
      <c r="I861" s="17">
        <f>IF(B861="","",IF(Brand_Log!N61="","",Brand_Log!N61&amp;""))</f>
        <v/>
      </c>
      <c r="J861" s="17">
        <f>IF(B861="","","")</f>
        <v/>
      </c>
      <c r="K861" t="inlineStr">
        <is>
          <t>brand yes_in_principle</t>
        </is>
      </c>
    </row>
    <row r="862">
      <c r="A862" s="17">
        <f>IF(B862="","",B862+(5*1000+61)/10000000)</f>
        <v/>
      </c>
      <c r="B862" s="23">
        <f>IF(AND(Brand_Log!AN62=1,Brand_Log!AF62="Y"),Brand_Log!G62,"")</f>
        <v/>
      </c>
      <c r="C862" s="17">
        <f>IF(B862="","","brand")</f>
        <v/>
      </c>
      <c r="D862" s="17">
        <f>IF(B862="","",Brand_Log!$A62&amp;"")</f>
        <v/>
      </c>
      <c r="E862" s="17">
        <f>IF(B862="","",IF(Brand_Log!B62="","",Brand_Log!B62&amp;""))</f>
        <v/>
      </c>
      <c r="F862" s="17">
        <f>IF(B862="","","yes_in_principle")</f>
        <v/>
      </c>
      <c r="G862" s="17">
        <f>IF(B862="","","")</f>
        <v/>
      </c>
      <c r="H862" s="17">
        <f>IF(B862="","","")</f>
        <v/>
      </c>
      <c r="I862" s="17">
        <f>IF(B862="","",IF(Brand_Log!N62="","",Brand_Log!N62&amp;""))</f>
        <v/>
      </c>
      <c r="J862" s="17">
        <f>IF(B862="","","")</f>
        <v/>
      </c>
      <c r="K862" t="inlineStr">
        <is>
          <t>brand yes_in_principle</t>
        </is>
      </c>
    </row>
    <row r="863">
      <c r="A863" s="17">
        <f>IF(B863="","",B863+(5*1000+62)/10000000)</f>
        <v/>
      </c>
      <c r="B863" s="23">
        <f>IF(AND(Brand_Log!AN63=1,Brand_Log!AF63="Y"),Brand_Log!G63,"")</f>
        <v/>
      </c>
      <c r="C863" s="17">
        <f>IF(B863="","","brand")</f>
        <v/>
      </c>
      <c r="D863" s="17">
        <f>IF(B863="","",Brand_Log!$A63&amp;"")</f>
        <v/>
      </c>
      <c r="E863" s="17">
        <f>IF(B863="","",IF(Brand_Log!B63="","",Brand_Log!B63&amp;""))</f>
        <v/>
      </c>
      <c r="F863" s="17">
        <f>IF(B863="","","yes_in_principle")</f>
        <v/>
      </c>
      <c r="G863" s="17">
        <f>IF(B863="","","")</f>
        <v/>
      </c>
      <c r="H863" s="17">
        <f>IF(B863="","","")</f>
        <v/>
      </c>
      <c r="I863" s="17">
        <f>IF(B863="","",IF(Brand_Log!N63="","",Brand_Log!N63&amp;""))</f>
        <v/>
      </c>
      <c r="J863" s="17">
        <f>IF(B863="","","")</f>
        <v/>
      </c>
      <c r="K863" t="inlineStr">
        <is>
          <t>brand yes_in_principle</t>
        </is>
      </c>
    </row>
    <row r="864">
      <c r="A864" s="17">
        <f>IF(B864="","",B864+(5*1000+63)/10000000)</f>
        <v/>
      </c>
      <c r="B864" s="23">
        <f>IF(AND(Brand_Log!AN64=1,Brand_Log!AF64="Y"),Brand_Log!G64,"")</f>
        <v/>
      </c>
      <c r="C864" s="17">
        <f>IF(B864="","","brand")</f>
        <v/>
      </c>
      <c r="D864" s="17">
        <f>IF(B864="","",Brand_Log!$A64&amp;"")</f>
        <v/>
      </c>
      <c r="E864" s="17">
        <f>IF(B864="","",IF(Brand_Log!B64="","",Brand_Log!B64&amp;""))</f>
        <v/>
      </c>
      <c r="F864" s="17">
        <f>IF(B864="","","yes_in_principle")</f>
        <v/>
      </c>
      <c r="G864" s="17">
        <f>IF(B864="","","")</f>
        <v/>
      </c>
      <c r="H864" s="17">
        <f>IF(B864="","","")</f>
        <v/>
      </c>
      <c r="I864" s="17">
        <f>IF(B864="","",IF(Brand_Log!N64="","",Brand_Log!N64&amp;""))</f>
        <v/>
      </c>
      <c r="J864" s="17">
        <f>IF(B864="","","")</f>
        <v/>
      </c>
      <c r="K864" t="inlineStr">
        <is>
          <t>brand yes_in_principle</t>
        </is>
      </c>
    </row>
    <row r="865">
      <c r="A865" s="17">
        <f>IF(B865="","",B865+(5*1000+64)/10000000)</f>
        <v/>
      </c>
      <c r="B865" s="23">
        <f>IF(AND(Brand_Log!AN65=1,Brand_Log!AF65="Y"),Brand_Log!G65,"")</f>
        <v/>
      </c>
      <c r="C865" s="17">
        <f>IF(B865="","","brand")</f>
        <v/>
      </c>
      <c r="D865" s="17">
        <f>IF(B865="","",Brand_Log!$A65&amp;"")</f>
        <v/>
      </c>
      <c r="E865" s="17">
        <f>IF(B865="","",IF(Brand_Log!B65="","",Brand_Log!B65&amp;""))</f>
        <v/>
      </c>
      <c r="F865" s="17">
        <f>IF(B865="","","yes_in_principle")</f>
        <v/>
      </c>
      <c r="G865" s="17">
        <f>IF(B865="","","")</f>
        <v/>
      </c>
      <c r="H865" s="17">
        <f>IF(B865="","","")</f>
        <v/>
      </c>
      <c r="I865" s="17">
        <f>IF(B865="","",IF(Brand_Log!N65="","",Brand_Log!N65&amp;""))</f>
        <v/>
      </c>
      <c r="J865" s="17">
        <f>IF(B865="","","")</f>
        <v/>
      </c>
      <c r="K865" t="inlineStr">
        <is>
          <t>brand yes_in_principle</t>
        </is>
      </c>
    </row>
    <row r="866">
      <c r="A866" s="17">
        <f>IF(B866="","",B866+(5*1000+65)/10000000)</f>
        <v/>
      </c>
      <c r="B866" s="23">
        <f>IF(AND(Brand_Log!AN66=1,Brand_Log!AF66="Y"),Brand_Log!G66,"")</f>
        <v/>
      </c>
      <c r="C866" s="17">
        <f>IF(B866="","","brand")</f>
        <v/>
      </c>
      <c r="D866" s="17">
        <f>IF(B866="","",Brand_Log!$A66&amp;"")</f>
        <v/>
      </c>
      <c r="E866" s="17">
        <f>IF(B866="","",IF(Brand_Log!B66="","",Brand_Log!B66&amp;""))</f>
        <v/>
      </c>
      <c r="F866" s="17">
        <f>IF(B866="","","yes_in_principle")</f>
        <v/>
      </c>
      <c r="G866" s="17">
        <f>IF(B866="","","")</f>
        <v/>
      </c>
      <c r="H866" s="17">
        <f>IF(B866="","","")</f>
        <v/>
      </c>
      <c r="I866" s="17">
        <f>IF(B866="","",IF(Brand_Log!N66="","",Brand_Log!N66&amp;""))</f>
        <v/>
      </c>
      <c r="J866" s="17">
        <f>IF(B866="","","")</f>
        <v/>
      </c>
      <c r="K866" t="inlineStr">
        <is>
          <t>brand yes_in_principle</t>
        </is>
      </c>
    </row>
    <row r="867">
      <c r="A867" s="17">
        <f>IF(B867="","",B867+(5*1000+66)/10000000)</f>
        <v/>
      </c>
      <c r="B867" s="23">
        <f>IF(AND(Brand_Log!AN67=1,Brand_Log!AF67="Y"),Brand_Log!G67,"")</f>
        <v/>
      </c>
      <c r="C867" s="17">
        <f>IF(B867="","","brand")</f>
        <v/>
      </c>
      <c r="D867" s="17">
        <f>IF(B867="","",Brand_Log!$A67&amp;"")</f>
        <v/>
      </c>
      <c r="E867" s="17">
        <f>IF(B867="","",IF(Brand_Log!B67="","",Brand_Log!B67&amp;""))</f>
        <v/>
      </c>
      <c r="F867" s="17">
        <f>IF(B867="","","yes_in_principle")</f>
        <v/>
      </c>
      <c r="G867" s="17">
        <f>IF(B867="","","")</f>
        <v/>
      </c>
      <c r="H867" s="17">
        <f>IF(B867="","","")</f>
        <v/>
      </c>
      <c r="I867" s="17">
        <f>IF(B867="","",IF(Brand_Log!N67="","",Brand_Log!N67&amp;""))</f>
        <v/>
      </c>
      <c r="J867" s="17">
        <f>IF(B867="","","")</f>
        <v/>
      </c>
      <c r="K867" t="inlineStr">
        <is>
          <t>brand yes_in_principle</t>
        </is>
      </c>
    </row>
    <row r="868">
      <c r="A868" s="17">
        <f>IF(B868="","",B868+(5*1000+67)/10000000)</f>
        <v/>
      </c>
      <c r="B868" s="23">
        <f>IF(AND(Brand_Log!AN68=1,Brand_Log!AF68="Y"),Brand_Log!G68,"")</f>
        <v/>
      </c>
      <c r="C868" s="17">
        <f>IF(B868="","","brand")</f>
        <v/>
      </c>
      <c r="D868" s="17">
        <f>IF(B868="","",Brand_Log!$A68&amp;"")</f>
        <v/>
      </c>
      <c r="E868" s="17">
        <f>IF(B868="","",IF(Brand_Log!B68="","",Brand_Log!B68&amp;""))</f>
        <v/>
      </c>
      <c r="F868" s="17">
        <f>IF(B868="","","yes_in_principle")</f>
        <v/>
      </c>
      <c r="G868" s="17">
        <f>IF(B868="","","")</f>
        <v/>
      </c>
      <c r="H868" s="17">
        <f>IF(B868="","","")</f>
        <v/>
      </c>
      <c r="I868" s="17">
        <f>IF(B868="","",IF(Brand_Log!N68="","",Brand_Log!N68&amp;""))</f>
        <v/>
      </c>
      <c r="J868" s="17">
        <f>IF(B868="","","")</f>
        <v/>
      </c>
      <c r="K868" t="inlineStr">
        <is>
          <t>brand yes_in_principle</t>
        </is>
      </c>
    </row>
    <row r="869">
      <c r="A869" s="17">
        <f>IF(B869="","",B869+(5*1000+68)/10000000)</f>
        <v/>
      </c>
      <c r="B869" s="23">
        <f>IF(AND(Brand_Log!AN69=1,Brand_Log!AF69="Y"),Brand_Log!G69,"")</f>
        <v/>
      </c>
      <c r="C869" s="17">
        <f>IF(B869="","","brand")</f>
        <v/>
      </c>
      <c r="D869" s="17">
        <f>IF(B869="","",Brand_Log!$A69&amp;"")</f>
        <v/>
      </c>
      <c r="E869" s="17">
        <f>IF(B869="","",IF(Brand_Log!B69="","",Brand_Log!B69&amp;""))</f>
        <v/>
      </c>
      <c r="F869" s="17">
        <f>IF(B869="","","yes_in_principle")</f>
        <v/>
      </c>
      <c r="G869" s="17">
        <f>IF(B869="","","")</f>
        <v/>
      </c>
      <c r="H869" s="17">
        <f>IF(B869="","","")</f>
        <v/>
      </c>
      <c r="I869" s="17">
        <f>IF(B869="","",IF(Brand_Log!N69="","",Brand_Log!N69&amp;""))</f>
        <v/>
      </c>
      <c r="J869" s="17">
        <f>IF(B869="","","")</f>
        <v/>
      </c>
      <c r="K869" t="inlineStr">
        <is>
          <t>brand yes_in_principle</t>
        </is>
      </c>
    </row>
    <row r="870">
      <c r="A870" s="17">
        <f>IF(B870="","",B870+(5*1000+69)/10000000)</f>
        <v/>
      </c>
      <c r="B870" s="23">
        <f>IF(AND(Brand_Log!AN70=1,Brand_Log!AF70="Y"),Brand_Log!G70,"")</f>
        <v/>
      </c>
      <c r="C870" s="17">
        <f>IF(B870="","","brand")</f>
        <v/>
      </c>
      <c r="D870" s="17">
        <f>IF(B870="","",Brand_Log!$A70&amp;"")</f>
        <v/>
      </c>
      <c r="E870" s="17">
        <f>IF(B870="","",IF(Brand_Log!B70="","",Brand_Log!B70&amp;""))</f>
        <v/>
      </c>
      <c r="F870" s="17">
        <f>IF(B870="","","yes_in_principle")</f>
        <v/>
      </c>
      <c r="G870" s="17">
        <f>IF(B870="","","")</f>
        <v/>
      </c>
      <c r="H870" s="17">
        <f>IF(B870="","","")</f>
        <v/>
      </c>
      <c r="I870" s="17">
        <f>IF(B870="","",IF(Brand_Log!N70="","",Brand_Log!N70&amp;""))</f>
        <v/>
      </c>
      <c r="J870" s="17">
        <f>IF(B870="","","")</f>
        <v/>
      </c>
      <c r="K870" t="inlineStr">
        <is>
          <t>brand yes_in_principle</t>
        </is>
      </c>
    </row>
    <row r="871">
      <c r="A871" s="17">
        <f>IF(B871="","",B871+(5*1000+70)/10000000)</f>
        <v/>
      </c>
      <c r="B871" s="23">
        <f>IF(AND(Brand_Log!AN71=1,Brand_Log!AF71="Y"),Brand_Log!G71,"")</f>
        <v/>
      </c>
      <c r="C871" s="17">
        <f>IF(B871="","","brand")</f>
        <v/>
      </c>
      <c r="D871" s="17">
        <f>IF(B871="","",Brand_Log!$A71&amp;"")</f>
        <v/>
      </c>
      <c r="E871" s="17">
        <f>IF(B871="","",IF(Brand_Log!B71="","",Brand_Log!B71&amp;""))</f>
        <v/>
      </c>
      <c r="F871" s="17">
        <f>IF(B871="","","yes_in_principle")</f>
        <v/>
      </c>
      <c r="G871" s="17">
        <f>IF(B871="","","")</f>
        <v/>
      </c>
      <c r="H871" s="17">
        <f>IF(B871="","","")</f>
        <v/>
      </c>
      <c r="I871" s="17">
        <f>IF(B871="","",IF(Brand_Log!N71="","",Brand_Log!N71&amp;""))</f>
        <v/>
      </c>
      <c r="J871" s="17">
        <f>IF(B871="","","")</f>
        <v/>
      </c>
      <c r="K871" t="inlineStr">
        <is>
          <t>brand yes_in_principle</t>
        </is>
      </c>
    </row>
    <row r="872">
      <c r="A872" s="17">
        <f>IF(B872="","",B872+(5*1000+71)/10000000)</f>
        <v/>
      </c>
      <c r="B872" s="23">
        <f>IF(AND(Brand_Log!AN72=1,Brand_Log!AF72="Y"),Brand_Log!G72,"")</f>
        <v/>
      </c>
      <c r="C872" s="17">
        <f>IF(B872="","","brand")</f>
        <v/>
      </c>
      <c r="D872" s="17">
        <f>IF(B872="","",Brand_Log!$A72&amp;"")</f>
        <v/>
      </c>
      <c r="E872" s="17">
        <f>IF(B872="","",IF(Brand_Log!B72="","",Brand_Log!B72&amp;""))</f>
        <v/>
      </c>
      <c r="F872" s="17">
        <f>IF(B872="","","yes_in_principle")</f>
        <v/>
      </c>
      <c r="G872" s="17">
        <f>IF(B872="","","")</f>
        <v/>
      </c>
      <c r="H872" s="17">
        <f>IF(B872="","","")</f>
        <v/>
      </c>
      <c r="I872" s="17">
        <f>IF(B872="","",IF(Brand_Log!N72="","",Brand_Log!N72&amp;""))</f>
        <v/>
      </c>
      <c r="J872" s="17">
        <f>IF(B872="","","")</f>
        <v/>
      </c>
      <c r="K872" t="inlineStr">
        <is>
          <t>brand yes_in_principle</t>
        </is>
      </c>
    </row>
    <row r="873">
      <c r="A873" s="17">
        <f>IF(B873="","",B873+(5*1000+72)/10000000)</f>
        <v/>
      </c>
      <c r="B873" s="23">
        <f>IF(AND(Brand_Log!AN73=1,Brand_Log!AF73="Y"),Brand_Log!G73,"")</f>
        <v/>
      </c>
      <c r="C873" s="17">
        <f>IF(B873="","","brand")</f>
        <v/>
      </c>
      <c r="D873" s="17">
        <f>IF(B873="","",Brand_Log!$A73&amp;"")</f>
        <v/>
      </c>
      <c r="E873" s="17">
        <f>IF(B873="","",IF(Brand_Log!B73="","",Brand_Log!B73&amp;""))</f>
        <v/>
      </c>
      <c r="F873" s="17">
        <f>IF(B873="","","yes_in_principle")</f>
        <v/>
      </c>
      <c r="G873" s="17">
        <f>IF(B873="","","")</f>
        <v/>
      </c>
      <c r="H873" s="17">
        <f>IF(B873="","","")</f>
        <v/>
      </c>
      <c r="I873" s="17">
        <f>IF(B873="","",IF(Brand_Log!N73="","",Brand_Log!N73&amp;""))</f>
        <v/>
      </c>
      <c r="J873" s="17">
        <f>IF(B873="","","")</f>
        <v/>
      </c>
      <c r="K873" t="inlineStr">
        <is>
          <t>brand yes_in_principle</t>
        </is>
      </c>
    </row>
    <row r="874">
      <c r="A874" s="17">
        <f>IF(B874="","",B874+(5*1000+73)/10000000)</f>
        <v/>
      </c>
      <c r="B874" s="23">
        <f>IF(AND(Brand_Log!AN74=1,Brand_Log!AF74="Y"),Brand_Log!G74,"")</f>
        <v/>
      </c>
      <c r="C874" s="17">
        <f>IF(B874="","","brand")</f>
        <v/>
      </c>
      <c r="D874" s="17">
        <f>IF(B874="","",Brand_Log!$A74&amp;"")</f>
        <v/>
      </c>
      <c r="E874" s="17">
        <f>IF(B874="","",IF(Brand_Log!B74="","",Brand_Log!B74&amp;""))</f>
        <v/>
      </c>
      <c r="F874" s="17">
        <f>IF(B874="","","yes_in_principle")</f>
        <v/>
      </c>
      <c r="G874" s="17">
        <f>IF(B874="","","")</f>
        <v/>
      </c>
      <c r="H874" s="17">
        <f>IF(B874="","","")</f>
        <v/>
      </c>
      <c r="I874" s="17">
        <f>IF(B874="","",IF(Brand_Log!N74="","",Brand_Log!N74&amp;""))</f>
        <v/>
      </c>
      <c r="J874" s="17">
        <f>IF(B874="","","")</f>
        <v/>
      </c>
      <c r="K874" t="inlineStr">
        <is>
          <t>brand yes_in_principle</t>
        </is>
      </c>
    </row>
    <row r="875">
      <c r="A875" s="17">
        <f>IF(B875="","",B875+(5*1000+74)/10000000)</f>
        <v/>
      </c>
      <c r="B875" s="23">
        <f>IF(AND(Brand_Log!AN75=1,Brand_Log!AF75="Y"),Brand_Log!G75,"")</f>
        <v/>
      </c>
      <c r="C875" s="17">
        <f>IF(B875="","","brand")</f>
        <v/>
      </c>
      <c r="D875" s="17">
        <f>IF(B875="","",Brand_Log!$A75&amp;"")</f>
        <v/>
      </c>
      <c r="E875" s="17">
        <f>IF(B875="","",IF(Brand_Log!B75="","",Brand_Log!B75&amp;""))</f>
        <v/>
      </c>
      <c r="F875" s="17">
        <f>IF(B875="","","yes_in_principle")</f>
        <v/>
      </c>
      <c r="G875" s="17">
        <f>IF(B875="","","")</f>
        <v/>
      </c>
      <c r="H875" s="17">
        <f>IF(B875="","","")</f>
        <v/>
      </c>
      <c r="I875" s="17">
        <f>IF(B875="","",IF(Brand_Log!N75="","",Brand_Log!N75&amp;""))</f>
        <v/>
      </c>
      <c r="J875" s="17">
        <f>IF(B875="","","")</f>
        <v/>
      </c>
      <c r="K875" t="inlineStr">
        <is>
          <t>brand yes_in_principle</t>
        </is>
      </c>
    </row>
    <row r="876">
      <c r="A876" s="17">
        <f>IF(B876="","",B876+(5*1000+75)/10000000)</f>
        <v/>
      </c>
      <c r="B876" s="23">
        <f>IF(AND(Brand_Log!AN76=1,Brand_Log!AF76="Y"),Brand_Log!G76,"")</f>
        <v/>
      </c>
      <c r="C876" s="17">
        <f>IF(B876="","","brand")</f>
        <v/>
      </c>
      <c r="D876" s="17">
        <f>IF(B876="","",Brand_Log!$A76&amp;"")</f>
        <v/>
      </c>
      <c r="E876" s="17">
        <f>IF(B876="","",IF(Brand_Log!B76="","",Brand_Log!B76&amp;""))</f>
        <v/>
      </c>
      <c r="F876" s="17">
        <f>IF(B876="","","yes_in_principle")</f>
        <v/>
      </c>
      <c r="G876" s="17">
        <f>IF(B876="","","")</f>
        <v/>
      </c>
      <c r="H876" s="17">
        <f>IF(B876="","","")</f>
        <v/>
      </c>
      <c r="I876" s="17">
        <f>IF(B876="","",IF(Brand_Log!N76="","",Brand_Log!N76&amp;""))</f>
        <v/>
      </c>
      <c r="J876" s="17">
        <f>IF(B876="","","")</f>
        <v/>
      </c>
      <c r="K876" t="inlineStr">
        <is>
          <t>brand yes_in_principle</t>
        </is>
      </c>
    </row>
    <row r="877">
      <c r="A877" s="17">
        <f>IF(B877="","",B877+(5*1000+76)/10000000)</f>
        <v/>
      </c>
      <c r="B877" s="23">
        <f>IF(AND(Brand_Log!AN77=1,Brand_Log!AF77="Y"),Brand_Log!G77,"")</f>
        <v/>
      </c>
      <c r="C877" s="17">
        <f>IF(B877="","","brand")</f>
        <v/>
      </c>
      <c r="D877" s="17">
        <f>IF(B877="","",Brand_Log!$A77&amp;"")</f>
        <v/>
      </c>
      <c r="E877" s="17">
        <f>IF(B877="","",IF(Brand_Log!B77="","",Brand_Log!B77&amp;""))</f>
        <v/>
      </c>
      <c r="F877" s="17">
        <f>IF(B877="","","yes_in_principle")</f>
        <v/>
      </c>
      <c r="G877" s="17">
        <f>IF(B877="","","")</f>
        <v/>
      </c>
      <c r="H877" s="17">
        <f>IF(B877="","","")</f>
        <v/>
      </c>
      <c r="I877" s="17">
        <f>IF(B877="","",IF(Brand_Log!N77="","",Brand_Log!N77&amp;""))</f>
        <v/>
      </c>
      <c r="J877" s="17">
        <f>IF(B877="","","")</f>
        <v/>
      </c>
      <c r="K877" t="inlineStr">
        <is>
          <t>brand yes_in_principle</t>
        </is>
      </c>
    </row>
    <row r="878">
      <c r="A878" s="17">
        <f>IF(B878="","",B878+(5*1000+77)/10000000)</f>
        <v/>
      </c>
      <c r="B878" s="23">
        <f>IF(AND(Brand_Log!AN78=1,Brand_Log!AF78="Y"),Brand_Log!G78,"")</f>
        <v/>
      </c>
      <c r="C878" s="17">
        <f>IF(B878="","","brand")</f>
        <v/>
      </c>
      <c r="D878" s="17">
        <f>IF(B878="","",Brand_Log!$A78&amp;"")</f>
        <v/>
      </c>
      <c r="E878" s="17">
        <f>IF(B878="","",IF(Brand_Log!B78="","",Brand_Log!B78&amp;""))</f>
        <v/>
      </c>
      <c r="F878" s="17">
        <f>IF(B878="","","yes_in_principle")</f>
        <v/>
      </c>
      <c r="G878" s="17">
        <f>IF(B878="","","")</f>
        <v/>
      </c>
      <c r="H878" s="17">
        <f>IF(B878="","","")</f>
        <v/>
      </c>
      <c r="I878" s="17">
        <f>IF(B878="","",IF(Brand_Log!N78="","",Brand_Log!N78&amp;""))</f>
        <v/>
      </c>
      <c r="J878" s="17">
        <f>IF(B878="","","")</f>
        <v/>
      </c>
      <c r="K878" t="inlineStr">
        <is>
          <t>brand yes_in_principle</t>
        </is>
      </c>
    </row>
    <row r="879">
      <c r="A879" s="17">
        <f>IF(B879="","",B879+(5*1000+78)/10000000)</f>
        <v/>
      </c>
      <c r="B879" s="23">
        <f>IF(AND(Brand_Log!AN79=1,Brand_Log!AF79="Y"),Brand_Log!G79,"")</f>
        <v/>
      </c>
      <c r="C879" s="17">
        <f>IF(B879="","","brand")</f>
        <v/>
      </c>
      <c r="D879" s="17">
        <f>IF(B879="","",Brand_Log!$A79&amp;"")</f>
        <v/>
      </c>
      <c r="E879" s="17">
        <f>IF(B879="","",IF(Brand_Log!B79="","",Brand_Log!B79&amp;""))</f>
        <v/>
      </c>
      <c r="F879" s="17">
        <f>IF(B879="","","yes_in_principle")</f>
        <v/>
      </c>
      <c r="G879" s="17">
        <f>IF(B879="","","")</f>
        <v/>
      </c>
      <c r="H879" s="17">
        <f>IF(B879="","","")</f>
        <v/>
      </c>
      <c r="I879" s="17">
        <f>IF(B879="","",IF(Brand_Log!N79="","",Brand_Log!N79&amp;""))</f>
        <v/>
      </c>
      <c r="J879" s="17">
        <f>IF(B879="","","")</f>
        <v/>
      </c>
      <c r="K879" t="inlineStr">
        <is>
          <t>brand yes_in_principle</t>
        </is>
      </c>
    </row>
    <row r="880">
      <c r="A880" s="17">
        <f>IF(B880="","",B880+(5*1000+79)/10000000)</f>
        <v/>
      </c>
      <c r="B880" s="23">
        <f>IF(AND(Brand_Log!AN80=1,Brand_Log!AF80="Y"),Brand_Log!G80,"")</f>
        <v/>
      </c>
      <c r="C880" s="17">
        <f>IF(B880="","","brand")</f>
        <v/>
      </c>
      <c r="D880" s="17">
        <f>IF(B880="","",Brand_Log!$A80&amp;"")</f>
        <v/>
      </c>
      <c r="E880" s="17">
        <f>IF(B880="","",IF(Brand_Log!B80="","",Brand_Log!B80&amp;""))</f>
        <v/>
      </c>
      <c r="F880" s="17">
        <f>IF(B880="","","yes_in_principle")</f>
        <v/>
      </c>
      <c r="G880" s="17">
        <f>IF(B880="","","")</f>
        <v/>
      </c>
      <c r="H880" s="17">
        <f>IF(B880="","","")</f>
        <v/>
      </c>
      <c r="I880" s="17">
        <f>IF(B880="","",IF(Brand_Log!N80="","",Brand_Log!N80&amp;""))</f>
        <v/>
      </c>
      <c r="J880" s="17">
        <f>IF(B880="","","")</f>
        <v/>
      </c>
      <c r="K880" t="inlineStr">
        <is>
          <t>brand yes_in_principle</t>
        </is>
      </c>
    </row>
    <row r="881">
      <c r="A881" s="17">
        <f>IF(B881="","",B881+(5*1000+80)/10000000)</f>
        <v/>
      </c>
      <c r="B881" s="23">
        <f>IF(AND(Brand_Log!AN81=1,Brand_Log!AF81="Y"),Brand_Log!G81,"")</f>
        <v/>
      </c>
      <c r="C881" s="17">
        <f>IF(B881="","","brand")</f>
        <v/>
      </c>
      <c r="D881" s="17">
        <f>IF(B881="","",Brand_Log!$A81&amp;"")</f>
        <v/>
      </c>
      <c r="E881" s="17">
        <f>IF(B881="","",IF(Brand_Log!B81="","",Brand_Log!B81&amp;""))</f>
        <v/>
      </c>
      <c r="F881" s="17">
        <f>IF(B881="","","yes_in_principle")</f>
        <v/>
      </c>
      <c r="G881" s="17">
        <f>IF(B881="","","")</f>
        <v/>
      </c>
      <c r="H881" s="17">
        <f>IF(B881="","","")</f>
        <v/>
      </c>
      <c r="I881" s="17">
        <f>IF(B881="","",IF(Brand_Log!N81="","",Brand_Log!N81&amp;""))</f>
        <v/>
      </c>
      <c r="J881" s="17">
        <f>IF(B881="","","")</f>
        <v/>
      </c>
      <c r="K881" t="inlineStr">
        <is>
          <t>brand yes_in_principle</t>
        </is>
      </c>
    </row>
    <row r="882">
      <c r="A882" s="17">
        <f>IF(B882="","",B882+(5*1000+81)/10000000)</f>
        <v/>
      </c>
      <c r="B882" s="23">
        <f>IF(AND(Brand_Log!AN82=1,Brand_Log!AF82="Y"),Brand_Log!G82,"")</f>
        <v/>
      </c>
      <c r="C882" s="17">
        <f>IF(B882="","","brand")</f>
        <v/>
      </c>
      <c r="D882" s="17">
        <f>IF(B882="","",Brand_Log!$A82&amp;"")</f>
        <v/>
      </c>
      <c r="E882" s="17">
        <f>IF(B882="","",IF(Brand_Log!B82="","",Brand_Log!B82&amp;""))</f>
        <v/>
      </c>
      <c r="F882" s="17">
        <f>IF(B882="","","yes_in_principle")</f>
        <v/>
      </c>
      <c r="G882" s="17">
        <f>IF(B882="","","")</f>
        <v/>
      </c>
      <c r="H882" s="17">
        <f>IF(B882="","","")</f>
        <v/>
      </c>
      <c r="I882" s="17">
        <f>IF(B882="","",IF(Brand_Log!N82="","",Brand_Log!N82&amp;""))</f>
        <v/>
      </c>
      <c r="J882" s="17">
        <f>IF(B882="","","")</f>
        <v/>
      </c>
      <c r="K882" t="inlineStr">
        <is>
          <t>brand yes_in_principle</t>
        </is>
      </c>
    </row>
    <row r="883">
      <c r="A883" s="17">
        <f>IF(B883="","",B883+(5*1000+82)/10000000)</f>
        <v/>
      </c>
      <c r="B883" s="23">
        <f>IF(AND(Brand_Log!AN83=1,Brand_Log!AF83="Y"),Brand_Log!G83,"")</f>
        <v/>
      </c>
      <c r="C883" s="17">
        <f>IF(B883="","","brand")</f>
        <v/>
      </c>
      <c r="D883" s="17">
        <f>IF(B883="","",Brand_Log!$A83&amp;"")</f>
        <v/>
      </c>
      <c r="E883" s="17">
        <f>IF(B883="","",IF(Brand_Log!B83="","",Brand_Log!B83&amp;""))</f>
        <v/>
      </c>
      <c r="F883" s="17">
        <f>IF(B883="","","yes_in_principle")</f>
        <v/>
      </c>
      <c r="G883" s="17">
        <f>IF(B883="","","")</f>
        <v/>
      </c>
      <c r="H883" s="17">
        <f>IF(B883="","","")</f>
        <v/>
      </c>
      <c r="I883" s="17">
        <f>IF(B883="","",IF(Brand_Log!N83="","",Brand_Log!N83&amp;""))</f>
        <v/>
      </c>
      <c r="J883" s="17">
        <f>IF(B883="","","")</f>
        <v/>
      </c>
      <c r="K883" t="inlineStr">
        <is>
          <t>brand yes_in_principle</t>
        </is>
      </c>
    </row>
    <row r="884">
      <c r="A884" s="17">
        <f>IF(B884="","",B884+(5*1000+83)/10000000)</f>
        <v/>
      </c>
      <c r="B884" s="23">
        <f>IF(AND(Brand_Log!AN84=1,Brand_Log!AF84="Y"),Brand_Log!G84,"")</f>
        <v/>
      </c>
      <c r="C884" s="17">
        <f>IF(B884="","","brand")</f>
        <v/>
      </c>
      <c r="D884" s="17">
        <f>IF(B884="","",Brand_Log!$A84&amp;"")</f>
        <v/>
      </c>
      <c r="E884" s="17">
        <f>IF(B884="","",IF(Brand_Log!B84="","",Brand_Log!B84&amp;""))</f>
        <v/>
      </c>
      <c r="F884" s="17">
        <f>IF(B884="","","yes_in_principle")</f>
        <v/>
      </c>
      <c r="G884" s="17">
        <f>IF(B884="","","")</f>
        <v/>
      </c>
      <c r="H884" s="17">
        <f>IF(B884="","","")</f>
        <v/>
      </c>
      <c r="I884" s="17">
        <f>IF(B884="","",IF(Brand_Log!N84="","",Brand_Log!N84&amp;""))</f>
        <v/>
      </c>
      <c r="J884" s="17">
        <f>IF(B884="","","")</f>
        <v/>
      </c>
      <c r="K884" t="inlineStr">
        <is>
          <t>brand yes_in_principle</t>
        </is>
      </c>
    </row>
    <row r="885">
      <c r="A885" s="17">
        <f>IF(B885="","",B885+(5*1000+84)/10000000)</f>
        <v/>
      </c>
      <c r="B885" s="23">
        <f>IF(AND(Brand_Log!AN85=1,Brand_Log!AF85="Y"),Brand_Log!G85,"")</f>
        <v/>
      </c>
      <c r="C885" s="17">
        <f>IF(B885="","","brand")</f>
        <v/>
      </c>
      <c r="D885" s="17">
        <f>IF(B885="","",Brand_Log!$A85&amp;"")</f>
        <v/>
      </c>
      <c r="E885" s="17">
        <f>IF(B885="","",IF(Brand_Log!B85="","",Brand_Log!B85&amp;""))</f>
        <v/>
      </c>
      <c r="F885" s="17">
        <f>IF(B885="","","yes_in_principle")</f>
        <v/>
      </c>
      <c r="G885" s="17">
        <f>IF(B885="","","")</f>
        <v/>
      </c>
      <c r="H885" s="17">
        <f>IF(B885="","","")</f>
        <v/>
      </c>
      <c r="I885" s="17">
        <f>IF(B885="","",IF(Brand_Log!N85="","",Brand_Log!N85&amp;""))</f>
        <v/>
      </c>
      <c r="J885" s="17">
        <f>IF(B885="","","")</f>
        <v/>
      </c>
      <c r="K885" t="inlineStr">
        <is>
          <t>brand yes_in_principle</t>
        </is>
      </c>
    </row>
    <row r="886">
      <c r="A886" s="17">
        <f>IF(B886="","",B886+(5*1000+85)/10000000)</f>
        <v/>
      </c>
      <c r="B886" s="23">
        <f>IF(AND(Brand_Log!AN86=1,Brand_Log!AF86="Y"),Brand_Log!G86,"")</f>
        <v/>
      </c>
      <c r="C886" s="17">
        <f>IF(B886="","","brand")</f>
        <v/>
      </c>
      <c r="D886" s="17">
        <f>IF(B886="","",Brand_Log!$A86&amp;"")</f>
        <v/>
      </c>
      <c r="E886" s="17">
        <f>IF(B886="","",IF(Brand_Log!B86="","",Brand_Log!B86&amp;""))</f>
        <v/>
      </c>
      <c r="F886" s="17">
        <f>IF(B886="","","yes_in_principle")</f>
        <v/>
      </c>
      <c r="G886" s="17">
        <f>IF(B886="","","")</f>
        <v/>
      </c>
      <c r="H886" s="17">
        <f>IF(B886="","","")</f>
        <v/>
      </c>
      <c r="I886" s="17">
        <f>IF(B886="","",IF(Brand_Log!N86="","",Brand_Log!N86&amp;""))</f>
        <v/>
      </c>
      <c r="J886" s="17">
        <f>IF(B886="","","")</f>
        <v/>
      </c>
      <c r="K886" t="inlineStr">
        <is>
          <t>brand yes_in_principle</t>
        </is>
      </c>
    </row>
    <row r="887">
      <c r="A887" s="17">
        <f>IF(B887="","",B887+(5*1000+86)/10000000)</f>
        <v/>
      </c>
      <c r="B887" s="23">
        <f>IF(AND(Brand_Log!AN87=1,Brand_Log!AF87="Y"),Brand_Log!G87,"")</f>
        <v/>
      </c>
      <c r="C887" s="17">
        <f>IF(B887="","","brand")</f>
        <v/>
      </c>
      <c r="D887" s="17">
        <f>IF(B887="","",Brand_Log!$A87&amp;"")</f>
        <v/>
      </c>
      <c r="E887" s="17">
        <f>IF(B887="","",IF(Brand_Log!B87="","",Brand_Log!B87&amp;""))</f>
        <v/>
      </c>
      <c r="F887" s="17">
        <f>IF(B887="","","yes_in_principle")</f>
        <v/>
      </c>
      <c r="G887" s="17">
        <f>IF(B887="","","")</f>
        <v/>
      </c>
      <c r="H887" s="17">
        <f>IF(B887="","","")</f>
        <v/>
      </c>
      <c r="I887" s="17">
        <f>IF(B887="","",IF(Brand_Log!N87="","",Brand_Log!N87&amp;""))</f>
        <v/>
      </c>
      <c r="J887" s="17">
        <f>IF(B887="","","")</f>
        <v/>
      </c>
      <c r="K887" t="inlineStr">
        <is>
          <t>brand yes_in_principle</t>
        </is>
      </c>
    </row>
    <row r="888">
      <c r="A888" s="17">
        <f>IF(B888="","",B888+(5*1000+87)/10000000)</f>
        <v/>
      </c>
      <c r="B888" s="23">
        <f>IF(AND(Brand_Log!AN88=1,Brand_Log!AF88="Y"),Brand_Log!G88,"")</f>
        <v/>
      </c>
      <c r="C888" s="17">
        <f>IF(B888="","","brand")</f>
        <v/>
      </c>
      <c r="D888" s="17">
        <f>IF(B888="","",Brand_Log!$A88&amp;"")</f>
        <v/>
      </c>
      <c r="E888" s="17">
        <f>IF(B888="","",IF(Brand_Log!B88="","",Brand_Log!B88&amp;""))</f>
        <v/>
      </c>
      <c r="F888" s="17">
        <f>IF(B888="","","yes_in_principle")</f>
        <v/>
      </c>
      <c r="G888" s="17">
        <f>IF(B888="","","")</f>
        <v/>
      </c>
      <c r="H888" s="17">
        <f>IF(B888="","","")</f>
        <v/>
      </c>
      <c r="I888" s="17">
        <f>IF(B888="","",IF(Brand_Log!N88="","",Brand_Log!N88&amp;""))</f>
        <v/>
      </c>
      <c r="J888" s="17">
        <f>IF(B888="","","")</f>
        <v/>
      </c>
      <c r="K888" t="inlineStr">
        <is>
          <t>brand yes_in_principle</t>
        </is>
      </c>
    </row>
    <row r="889">
      <c r="A889" s="17">
        <f>IF(B889="","",B889+(5*1000+88)/10000000)</f>
        <v/>
      </c>
      <c r="B889" s="23">
        <f>IF(AND(Brand_Log!AN89=1,Brand_Log!AF89="Y"),Brand_Log!G89,"")</f>
        <v/>
      </c>
      <c r="C889" s="17">
        <f>IF(B889="","","brand")</f>
        <v/>
      </c>
      <c r="D889" s="17">
        <f>IF(B889="","",Brand_Log!$A89&amp;"")</f>
        <v/>
      </c>
      <c r="E889" s="17">
        <f>IF(B889="","",IF(Brand_Log!B89="","",Brand_Log!B89&amp;""))</f>
        <v/>
      </c>
      <c r="F889" s="17">
        <f>IF(B889="","","yes_in_principle")</f>
        <v/>
      </c>
      <c r="G889" s="17">
        <f>IF(B889="","","")</f>
        <v/>
      </c>
      <c r="H889" s="17">
        <f>IF(B889="","","")</f>
        <v/>
      </c>
      <c r="I889" s="17">
        <f>IF(B889="","",IF(Brand_Log!N89="","",Brand_Log!N89&amp;""))</f>
        <v/>
      </c>
      <c r="J889" s="17">
        <f>IF(B889="","","")</f>
        <v/>
      </c>
      <c r="K889" t="inlineStr">
        <is>
          <t>brand yes_in_principle</t>
        </is>
      </c>
    </row>
    <row r="890">
      <c r="A890" s="17">
        <f>IF(B890="","",B890+(5*1000+89)/10000000)</f>
        <v/>
      </c>
      <c r="B890" s="23">
        <f>IF(AND(Brand_Log!AN90=1,Brand_Log!AF90="Y"),Brand_Log!G90,"")</f>
        <v/>
      </c>
      <c r="C890" s="17">
        <f>IF(B890="","","brand")</f>
        <v/>
      </c>
      <c r="D890" s="17">
        <f>IF(B890="","",Brand_Log!$A90&amp;"")</f>
        <v/>
      </c>
      <c r="E890" s="17">
        <f>IF(B890="","",IF(Brand_Log!B90="","",Brand_Log!B90&amp;""))</f>
        <v/>
      </c>
      <c r="F890" s="17">
        <f>IF(B890="","","yes_in_principle")</f>
        <v/>
      </c>
      <c r="G890" s="17">
        <f>IF(B890="","","")</f>
        <v/>
      </c>
      <c r="H890" s="17">
        <f>IF(B890="","","")</f>
        <v/>
      </c>
      <c r="I890" s="17">
        <f>IF(B890="","",IF(Brand_Log!N90="","",Brand_Log!N90&amp;""))</f>
        <v/>
      </c>
      <c r="J890" s="17">
        <f>IF(B890="","","")</f>
        <v/>
      </c>
      <c r="K890" t="inlineStr">
        <is>
          <t>brand yes_in_principle</t>
        </is>
      </c>
    </row>
    <row r="891">
      <c r="A891" s="17">
        <f>IF(B891="","",B891+(5*1000+90)/10000000)</f>
        <v/>
      </c>
      <c r="B891" s="23">
        <f>IF(AND(Brand_Log!AN91=1,Brand_Log!AF91="Y"),Brand_Log!G91,"")</f>
        <v/>
      </c>
      <c r="C891" s="17">
        <f>IF(B891="","","brand")</f>
        <v/>
      </c>
      <c r="D891" s="17">
        <f>IF(B891="","",Brand_Log!$A91&amp;"")</f>
        <v/>
      </c>
      <c r="E891" s="17">
        <f>IF(B891="","",IF(Brand_Log!B91="","",Brand_Log!B91&amp;""))</f>
        <v/>
      </c>
      <c r="F891" s="17">
        <f>IF(B891="","","yes_in_principle")</f>
        <v/>
      </c>
      <c r="G891" s="17">
        <f>IF(B891="","","")</f>
        <v/>
      </c>
      <c r="H891" s="17">
        <f>IF(B891="","","")</f>
        <v/>
      </c>
      <c r="I891" s="17">
        <f>IF(B891="","",IF(Brand_Log!N91="","",Brand_Log!N91&amp;""))</f>
        <v/>
      </c>
      <c r="J891" s="17">
        <f>IF(B891="","","")</f>
        <v/>
      </c>
      <c r="K891" t="inlineStr">
        <is>
          <t>brand yes_in_principle</t>
        </is>
      </c>
    </row>
    <row r="892">
      <c r="A892" s="17">
        <f>IF(B892="","",B892+(5*1000+91)/10000000)</f>
        <v/>
      </c>
      <c r="B892" s="23">
        <f>IF(AND(Brand_Log!AN92=1,Brand_Log!AF92="Y"),Brand_Log!G92,"")</f>
        <v/>
      </c>
      <c r="C892" s="17">
        <f>IF(B892="","","brand")</f>
        <v/>
      </c>
      <c r="D892" s="17">
        <f>IF(B892="","",Brand_Log!$A92&amp;"")</f>
        <v/>
      </c>
      <c r="E892" s="17">
        <f>IF(B892="","",IF(Brand_Log!B92="","",Brand_Log!B92&amp;""))</f>
        <v/>
      </c>
      <c r="F892" s="17">
        <f>IF(B892="","","yes_in_principle")</f>
        <v/>
      </c>
      <c r="G892" s="17">
        <f>IF(B892="","","")</f>
        <v/>
      </c>
      <c r="H892" s="17">
        <f>IF(B892="","","")</f>
        <v/>
      </c>
      <c r="I892" s="17">
        <f>IF(B892="","",IF(Brand_Log!N92="","",Brand_Log!N92&amp;""))</f>
        <v/>
      </c>
      <c r="J892" s="17">
        <f>IF(B892="","","")</f>
        <v/>
      </c>
      <c r="K892" t="inlineStr">
        <is>
          <t>brand yes_in_principle</t>
        </is>
      </c>
    </row>
    <row r="893">
      <c r="A893" s="17">
        <f>IF(B893="","",B893+(5*1000+92)/10000000)</f>
        <v/>
      </c>
      <c r="B893" s="23">
        <f>IF(AND(Brand_Log!AN93=1,Brand_Log!AF93="Y"),Brand_Log!G93,"")</f>
        <v/>
      </c>
      <c r="C893" s="17">
        <f>IF(B893="","","brand")</f>
        <v/>
      </c>
      <c r="D893" s="17">
        <f>IF(B893="","",Brand_Log!$A93&amp;"")</f>
        <v/>
      </c>
      <c r="E893" s="17">
        <f>IF(B893="","",IF(Brand_Log!B93="","",Brand_Log!B93&amp;""))</f>
        <v/>
      </c>
      <c r="F893" s="17">
        <f>IF(B893="","","yes_in_principle")</f>
        <v/>
      </c>
      <c r="G893" s="17">
        <f>IF(B893="","","")</f>
        <v/>
      </c>
      <c r="H893" s="17">
        <f>IF(B893="","","")</f>
        <v/>
      </c>
      <c r="I893" s="17">
        <f>IF(B893="","",IF(Brand_Log!N93="","",Brand_Log!N93&amp;""))</f>
        <v/>
      </c>
      <c r="J893" s="17">
        <f>IF(B893="","","")</f>
        <v/>
      </c>
      <c r="K893" t="inlineStr">
        <is>
          <t>brand yes_in_principle</t>
        </is>
      </c>
    </row>
    <row r="894">
      <c r="A894" s="17">
        <f>IF(B894="","",B894+(5*1000+93)/10000000)</f>
        <v/>
      </c>
      <c r="B894" s="23">
        <f>IF(AND(Brand_Log!AN94=1,Brand_Log!AF94="Y"),Brand_Log!G94,"")</f>
        <v/>
      </c>
      <c r="C894" s="17">
        <f>IF(B894="","","brand")</f>
        <v/>
      </c>
      <c r="D894" s="17">
        <f>IF(B894="","",Brand_Log!$A94&amp;"")</f>
        <v/>
      </c>
      <c r="E894" s="17">
        <f>IF(B894="","",IF(Brand_Log!B94="","",Brand_Log!B94&amp;""))</f>
        <v/>
      </c>
      <c r="F894" s="17">
        <f>IF(B894="","","yes_in_principle")</f>
        <v/>
      </c>
      <c r="G894" s="17">
        <f>IF(B894="","","")</f>
        <v/>
      </c>
      <c r="H894" s="17">
        <f>IF(B894="","","")</f>
        <v/>
      </c>
      <c r="I894" s="17">
        <f>IF(B894="","",IF(Brand_Log!N94="","",Brand_Log!N94&amp;""))</f>
        <v/>
      </c>
      <c r="J894" s="17">
        <f>IF(B894="","","")</f>
        <v/>
      </c>
      <c r="K894" t="inlineStr">
        <is>
          <t>brand yes_in_principle</t>
        </is>
      </c>
    </row>
    <row r="895">
      <c r="A895" s="17">
        <f>IF(B895="","",B895+(5*1000+94)/10000000)</f>
        <v/>
      </c>
      <c r="B895" s="23">
        <f>IF(AND(Brand_Log!AN95=1,Brand_Log!AF95="Y"),Brand_Log!G95,"")</f>
        <v/>
      </c>
      <c r="C895" s="17">
        <f>IF(B895="","","brand")</f>
        <v/>
      </c>
      <c r="D895" s="17">
        <f>IF(B895="","",Brand_Log!$A95&amp;"")</f>
        <v/>
      </c>
      <c r="E895" s="17">
        <f>IF(B895="","",IF(Brand_Log!B95="","",Brand_Log!B95&amp;""))</f>
        <v/>
      </c>
      <c r="F895" s="17">
        <f>IF(B895="","","yes_in_principle")</f>
        <v/>
      </c>
      <c r="G895" s="17">
        <f>IF(B895="","","")</f>
        <v/>
      </c>
      <c r="H895" s="17">
        <f>IF(B895="","","")</f>
        <v/>
      </c>
      <c r="I895" s="17">
        <f>IF(B895="","",IF(Brand_Log!N95="","",Brand_Log!N95&amp;""))</f>
        <v/>
      </c>
      <c r="J895" s="17">
        <f>IF(B895="","","")</f>
        <v/>
      </c>
      <c r="K895" t="inlineStr">
        <is>
          <t>brand yes_in_principle</t>
        </is>
      </c>
    </row>
    <row r="896">
      <c r="A896" s="17">
        <f>IF(B896="","",B896+(5*1000+95)/10000000)</f>
        <v/>
      </c>
      <c r="B896" s="23">
        <f>IF(AND(Brand_Log!AN96=1,Brand_Log!AF96="Y"),Brand_Log!G96,"")</f>
        <v/>
      </c>
      <c r="C896" s="17">
        <f>IF(B896="","","brand")</f>
        <v/>
      </c>
      <c r="D896" s="17">
        <f>IF(B896="","",Brand_Log!$A96&amp;"")</f>
        <v/>
      </c>
      <c r="E896" s="17">
        <f>IF(B896="","",IF(Brand_Log!B96="","",Brand_Log!B96&amp;""))</f>
        <v/>
      </c>
      <c r="F896" s="17">
        <f>IF(B896="","","yes_in_principle")</f>
        <v/>
      </c>
      <c r="G896" s="17">
        <f>IF(B896="","","")</f>
        <v/>
      </c>
      <c r="H896" s="17">
        <f>IF(B896="","","")</f>
        <v/>
      </c>
      <c r="I896" s="17">
        <f>IF(B896="","",IF(Brand_Log!N96="","",Brand_Log!N96&amp;""))</f>
        <v/>
      </c>
      <c r="J896" s="17">
        <f>IF(B896="","","")</f>
        <v/>
      </c>
      <c r="K896" t="inlineStr">
        <is>
          <t>brand yes_in_principle</t>
        </is>
      </c>
    </row>
    <row r="897">
      <c r="A897" s="17">
        <f>IF(B897="","",B897+(5*1000+96)/10000000)</f>
        <v/>
      </c>
      <c r="B897" s="23">
        <f>IF(AND(Brand_Log!AN97=1,Brand_Log!AF97="Y"),Brand_Log!G97,"")</f>
        <v/>
      </c>
      <c r="C897" s="17">
        <f>IF(B897="","","brand")</f>
        <v/>
      </c>
      <c r="D897" s="17">
        <f>IF(B897="","",Brand_Log!$A97&amp;"")</f>
        <v/>
      </c>
      <c r="E897" s="17">
        <f>IF(B897="","",IF(Brand_Log!B97="","",Brand_Log!B97&amp;""))</f>
        <v/>
      </c>
      <c r="F897" s="17">
        <f>IF(B897="","","yes_in_principle")</f>
        <v/>
      </c>
      <c r="G897" s="17">
        <f>IF(B897="","","")</f>
        <v/>
      </c>
      <c r="H897" s="17">
        <f>IF(B897="","","")</f>
        <v/>
      </c>
      <c r="I897" s="17">
        <f>IF(B897="","",IF(Brand_Log!N97="","",Brand_Log!N97&amp;""))</f>
        <v/>
      </c>
      <c r="J897" s="17">
        <f>IF(B897="","","")</f>
        <v/>
      </c>
      <c r="K897" t="inlineStr">
        <is>
          <t>brand yes_in_principle</t>
        </is>
      </c>
    </row>
    <row r="898">
      <c r="A898" s="17">
        <f>IF(B898="","",B898+(5*1000+97)/10000000)</f>
        <v/>
      </c>
      <c r="B898" s="23">
        <f>IF(AND(Brand_Log!AN98=1,Brand_Log!AF98="Y"),Brand_Log!G98,"")</f>
        <v/>
      </c>
      <c r="C898" s="17">
        <f>IF(B898="","","brand")</f>
        <v/>
      </c>
      <c r="D898" s="17">
        <f>IF(B898="","",Brand_Log!$A98&amp;"")</f>
        <v/>
      </c>
      <c r="E898" s="17">
        <f>IF(B898="","",IF(Brand_Log!B98="","",Brand_Log!B98&amp;""))</f>
        <v/>
      </c>
      <c r="F898" s="17">
        <f>IF(B898="","","yes_in_principle")</f>
        <v/>
      </c>
      <c r="G898" s="17">
        <f>IF(B898="","","")</f>
        <v/>
      </c>
      <c r="H898" s="17">
        <f>IF(B898="","","")</f>
        <v/>
      </c>
      <c r="I898" s="17">
        <f>IF(B898="","",IF(Brand_Log!N98="","",Brand_Log!N98&amp;""))</f>
        <v/>
      </c>
      <c r="J898" s="17">
        <f>IF(B898="","","")</f>
        <v/>
      </c>
      <c r="K898" t="inlineStr">
        <is>
          <t>brand yes_in_principle</t>
        </is>
      </c>
    </row>
    <row r="899">
      <c r="A899" s="17">
        <f>IF(B899="","",B899+(5*1000+98)/10000000)</f>
        <v/>
      </c>
      <c r="B899" s="23">
        <f>IF(AND(Brand_Log!AN99=1,Brand_Log!AF99="Y"),Brand_Log!G99,"")</f>
        <v/>
      </c>
      <c r="C899" s="17">
        <f>IF(B899="","","brand")</f>
        <v/>
      </c>
      <c r="D899" s="17">
        <f>IF(B899="","",Brand_Log!$A99&amp;"")</f>
        <v/>
      </c>
      <c r="E899" s="17">
        <f>IF(B899="","",IF(Brand_Log!B99="","",Brand_Log!B99&amp;""))</f>
        <v/>
      </c>
      <c r="F899" s="17">
        <f>IF(B899="","","yes_in_principle")</f>
        <v/>
      </c>
      <c r="G899" s="17">
        <f>IF(B899="","","")</f>
        <v/>
      </c>
      <c r="H899" s="17">
        <f>IF(B899="","","")</f>
        <v/>
      </c>
      <c r="I899" s="17">
        <f>IF(B899="","",IF(Brand_Log!N99="","",Brand_Log!N99&amp;""))</f>
        <v/>
      </c>
      <c r="J899" s="17">
        <f>IF(B899="","","")</f>
        <v/>
      </c>
      <c r="K899" t="inlineStr">
        <is>
          <t>brand yes_in_principle</t>
        </is>
      </c>
    </row>
    <row r="900">
      <c r="A900" s="17">
        <f>IF(B900="","",B900+(5*1000+99)/10000000)</f>
        <v/>
      </c>
      <c r="B900" s="23">
        <f>IF(AND(Brand_Log!AN100=1,Brand_Log!AF100="Y"),Brand_Log!G100,"")</f>
        <v/>
      </c>
      <c r="C900" s="17">
        <f>IF(B900="","","brand")</f>
        <v/>
      </c>
      <c r="D900" s="17">
        <f>IF(B900="","",Brand_Log!$A100&amp;"")</f>
        <v/>
      </c>
      <c r="E900" s="17">
        <f>IF(B900="","",IF(Brand_Log!B100="","",Brand_Log!B100&amp;""))</f>
        <v/>
      </c>
      <c r="F900" s="17">
        <f>IF(B900="","","yes_in_principle")</f>
        <v/>
      </c>
      <c r="G900" s="17">
        <f>IF(B900="","","")</f>
        <v/>
      </c>
      <c r="H900" s="17">
        <f>IF(B900="","","")</f>
        <v/>
      </c>
      <c r="I900" s="17">
        <f>IF(B900="","",IF(Brand_Log!N100="","",Brand_Log!N100&amp;""))</f>
        <v/>
      </c>
      <c r="J900" s="17">
        <f>IF(B900="","","")</f>
        <v/>
      </c>
      <c r="K900" t="inlineStr">
        <is>
          <t>brand yes_in_principle</t>
        </is>
      </c>
    </row>
    <row r="901">
      <c r="A901" s="17">
        <f>IF(B901="","",B901+(5*1000+100)/10000000)</f>
        <v/>
      </c>
      <c r="B901" s="23">
        <f>IF(AND(Brand_Log!AN101=1,Brand_Log!AF101="Y"),Brand_Log!G101,"")</f>
        <v/>
      </c>
      <c r="C901" s="17">
        <f>IF(B901="","","brand")</f>
        <v/>
      </c>
      <c r="D901" s="17">
        <f>IF(B901="","",Brand_Log!$A101&amp;"")</f>
        <v/>
      </c>
      <c r="E901" s="17">
        <f>IF(B901="","",IF(Brand_Log!B101="","",Brand_Log!B101&amp;""))</f>
        <v/>
      </c>
      <c r="F901" s="17">
        <f>IF(B901="","","yes_in_principle")</f>
        <v/>
      </c>
      <c r="G901" s="17">
        <f>IF(B901="","","")</f>
        <v/>
      </c>
      <c r="H901" s="17">
        <f>IF(B901="","","")</f>
        <v/>
      </c>
      <c r="I901" s="17">
        <f>IF(B901="","",IF(Brand_Log!N101="","",Brand_Log!N101&amp;""))</f>
        <v/>
      </c>
      <c r="J901" s="17">
        <f>IF(B901="","","")</f>
        <v/>
      </c>
      <c r="K901" t="inlineStr">
        <is>
          <t>brand yes_in_principle</t>
        </is>
      </c>
    </row>
    <row r="902">
      <c r="A902" s="17">
        <f>IF(B902="","",B902+(5*1000+101)/10000000)</f>
        <v/>
      </c>
      <c r="B902" s="23">
        <f>IF(AND(Brand_Log!AN102=1,Brand_Log!AF102="Y"),Brand_Log!G102,"")</f>
        <v/>
      </c>
      <c r="C902" s="17">
        <f>IF(B902="","","brand")</f>
        <v/>
      </c>
      <c r="D902" s="17">
        <f>IF(B902="","",Brand_Log!$A102&amp;"")</f>
        <v/>
      </c>
      <c r="E902" s="17">
        <f>IF(B902="","",IF(Brand_Log!B102="","",Brand_Log!B102&amp;""))</f>
        <v/>
      </c>
      <c r="F902" s="17">
        <f>IF(B902="","","yes_in_principle")</f>
        <v/>
      </c>
      <c r="G902" s="17">
        <f>IF(B902="","","")</f>
        <v/>
      </c>
      <c r="H902" s="17">
        <f>IF(B902="","","")</f>
        <v/>
      </c>
      <c r="I902" s="17">
        <f>IF(B902="","",IF(Brand_Log!N102="","",Brand_Log!N102&amp;""))</f>
        <v/>
      </c>
      <c r="J902" s="17">
        <f>IF(B902="","","")</f>
        <v/>
      </c>
      <c r="K902" t="inlineStr">
        <is>
          <t>brand yes_in_principle</t>
        </is>
      </c>
    </row>
    <row r="903">
      <c r="A903" s="17">
        <f>IF(B903="","",B903+(5*1000+102)/10000000)</f>
        <v/>
      </c>
      <c r="B903" s="23">
        <f>IF(AND(Brand_Log!AN103=1,Brand_Log!AF103="Y"),Brand_Log!G103,"")</f>
        <v/>
      </c>
      <c r="C903" s="17">
        <f>IF(B903="","","brand")</f>
        <v/>
      </c>
      <c r="D903" s="17">
        <f>IF(B903="","",Brand_Log!$A103&amp;"")</f>
        <v/>
      </c>
      <c r="E903" s="17">
        <f>IF(B903="","",IF(Brand_Log!B103="","",Brand_Log!B103&amp;""))</f>
        <v/>
      </c>
      <c r="F903" s="17">
        <f>IF(B903="","","yes_in_principle")</f>
        <v/>
      </c>
      <c r="G903" s="17">
        <f>IF(B903="","","")</f>
        <v/>
      </c>
      <c r="H903" s="17">
        <f>IF(B903="","","")</f>
        <v/>
      </c>
      <c r="I903" s="17">
        <f>IF(B903="","",IF(Brand_Log!N103="","",Brand_Log!N103&amp;""))</f>
        <v/>
      </c>
      <c r="J903" s="17">
        <f>IF(B903="","","")</f>
        <v/>
      </c>
      <c r="K903" t="inlineStr">
        <is>
          <t>brand yes_in_principle</t>
        </is>
      </c>
    </row>
    <row r="904">
      <c r="A904" s="17">
        <f>IF(B904="","",B904+(5*1000+103)/10000000)</f>
        <v/>
      </c>
      <c r="B904" s="23">
        <f>IF(AND(Brand_Log!AN104=1,Brand_Log!AF104="Y"),Brand_Log!G104,"")</f>
        <v/>
      </c>
      <c r="C904" s="17">
        <f>IF(B904="","","brand")</f>
        <v/>
      </c>
      <c r="D904" s="17">
        <f>IF(B904="","",Brand_Log!$A104&amp;"")</f>
        <v/>
      </c>
      <c r="E904" s="17">
        <f>IF(B904="","",IF(Brand_Log!B104="","",Brand_Log!B104&amp;""))</f>
        <v/>
      </c>
      <c r="F904" s="17">
        <f>IF(B904="","","yes_in_principle")</f>
        <v/>
      </c>
      <c r="G904" s="17">
        <f>IF(B904="","","")</f>
        <v/>
      </c>
      <c r="H904" s="17">
        <f>IF(B904="","","")</f>
        <v/>
      </c>
      <c r="I904" s="17">
        <f>IF(B904="","",IF(Brand_Log!N104="","",Brand_Log!N104&amp;""))</f>
        <v/>
      </c>
      <c r="J904" s="17">
        <f>IF(B904="","","")</f>
        <v/>
      </c>
      <c r="K904" t="inlineStr">
        <is>
          <t>brand yes_in_principle</t>
        </is>
      </c>
    </row>
    <row r="905">
      <c r="A905" s="17">
        <f>IF(B905="","",B905+(5*1000+104)/10000000)</f>
        <v/>
      </c>
      <c r="B905" s="23">
        <f>IF(AND(Brand_Log!AN105=1,Brand_Log!AF105="Y"),Brand_Log!G105,"")</f>
        <v/>
      </c>
      <c r="C905" s="17">
        <f>IF(B905="","","brand")</f>
        <v/>
      </c>
      <c r="D905" s="17">
        <f>IF(B905="","",Brand_Log!$A105&amp;"")</f>
        <v/>
      </c>
      <c r="E905" s="17">
        <f>IF(B905="","",IF(Brand_Log!B105="","",Brand_Log!B105&amp;""))</f>
        <v/>
      </c>
      <c r="F905" s="17">
        <f>IF(B905="","","yes_in_principle")</f>
        <v/>
      </c>
      <c r="G905" s="17">
        <f>IF(B905="","","")</f>
        <v/>
      </c>
      <c r="H905" s="17">
        <f>IF(B905="","","")</f>
        <v/>
      </c>
      <c r="I905" s="17">
        <f>IF(B905="","",IF(Brand_Log!N105="","",Brand_Log!N105&amp;""))</f>
        <v/>
      </c>
      <c r="J905" s="17">
        <f>IF(B905="","","")</f>
        <v/>
      </c>
      <c r="K905" t="inlineStr">
        <is>
          <t>brand yes_in_principle</t>
        </is>
      </c>
    </row>
    <row r="906">
      <c r="A906" s="17">
        <f>IF(B906="","",B906+(5*1000+105)/10000000)</f>
        <v/>
      </c>
      <c r="B906" s="23">
        <f>IF(AND(Brand_Log!AN106=1,Brand_Log!AF106="Y"),Brand_Log!G106,"")</f>
        <v/>
      </c>
      <c r="C906" s="17">
        <f>IF(B906="","","brand")</f>
        <v/>
      </c>
      <c r="D906" s="17">
        <f>IF(B906="","",Brand_Log!$A106&amp;"")</f>
        <v/>
      </c>
      <c r="E906" s="17">
        <f>IF(B906="","",IF(Brand_Log!B106="","",Brand_Log!B106&amp;""))</f>
        <v/>
      </c>
      <c r="F906" s="17">
        <f>IF(B906="","","yes_in_principle")</f>
        <v/>
      </c>
      <c r="G906" s="17">
        <f>IF(B906="","","")</f>
        <v/>
      </c>
      <c r="H906" s="17">
        <f>IF(B906="","","")</f>
        <v/>
      </c>
      <c r="I906" s="17">
        <f>IF(B906="","",IF(Brand_Log!N106="","",Brand_Log!N106&amp;""))</f>
        <v/>
      </c>
      <c r="J906" s="17">
        <f>IF(B906="","","")</f>
        <v/>
      </c>
      <c r="K906" t="inlineStr">
        <is>
          <t>brand yes_in_principle</t>
        </is>
      </c>
    </row>
    <row r="907">
      <c r="A907" s="17">
        <f>IF(B907="","",B907+(5*1000+106)/10000000)</f>
        <v/>
      </c>
      <c r="B907" s="23">
        <f>IF(AND(Brand_Log!AN107=1,Brand_Log!AF107="Y"),Brand_Log!G107,"")</f>
        <v/>
      </c>
      <c r="C907" s="17">
        <f>IF(B907="","","brand")</f>
        <v/>
      </c>
      <c r="D907" s="17">
        <f>IF(B907="","",Brand_Log!$A107&amp;"")</f>
        <v/>
      </c>
      <c r="E907" s="17">
        <f>IF(B907="","",IF(Brand_Log!B107="","",Brand_Log!B107&amp;""))</f>
        <v/>
      </c>
      <c r="F907" s="17">
        <f>IF(B907="","","yes_in_principle")</f>
        <v/>
      </c>
      <c r="G907" s="17">
        <f>IF(B907="","","")</f>
        <v/>
      </c>
      <c r="H907" s="17">
        <f>IF(B907="","","")</f>
        <v/>
      </c>
      <c r="I907" s="17">
        <f>IF(B907="","",IF(Brand_Log!N107="","",Brand_Log!N107&amp;""))</f>
        <v/>
      </c>
      <c r="J907" s="17">
        <f>IF(B907="","","")</f>
        <v/>
      </c>
      <c r="K907" t="inlineStr">
        <is>
          <t>brand yes_in_principle</t>
        </is>
      </c>
    </row>
    <row r="908">
      <c r="A908" s="17">
        <f>IF(B908="","",B908+(5*1000+107)/10000000)</f>
        <v/>
      </c>
      <c r="B908" s="23">
        <f>IF(AND(Brand_Log!AN108=1,Brand_Log!AF108="Y"),Brand_Log!G108,"")</f>
        <v/>
      </c>
      <c r="C908" s="17">
        <f>IF(B908="","","brand")</f>
        <v/>
      </c>
      <c r="D908" s="17">
        <f>IF(B908="","",Brand_Log!$A108&amp;"")</f>
        <v/>
      </c>
      <c r="E908" s="17">
        <f>IF(B908="","",IF(Brand_Log!B108="","",Brand_Log!B108&amp;""))</f>
        <v/>
      </c>
      <c r="F908" s="17">
        <f>IF(B908="","","yes_in_principle")</f>
        <v/>
      </c>
      <c r="G908" s="17">
        <f>IF(B908="","","")</f>
        <v/>
      </c>
      <c r="H908" s="17">
        <f>IF(B908="","","")</f>
        <v/>
      </c>
      <c r="I908" s="17">
        <f>IF(B908="","",IF(Brand_Log!N108="","",Brand_Log!N108&amp;""))</f>
        <v/>
      </c>
      <c r="J908" s="17">
        <f>IF(B908="","","")</f>
        <v/>
      </c>
      <c r="K908" t="inlineStr">
        <is>
          <t>brand yes_in_principle</t>
        </is>
      </c>
    </row>
    <row r="909">
      <c r="A909" s="17">
        <f>IF(B909="","",B909+(5*1000+108)/10000000)</f>
        <v/>
      </c>
      <c r="B909" s="23">
        <f>IF(AND(Brand_Log!AN109=1,Brand_Log!AF109="Y"),Brand_Log!G109,"")</f>
        <v/>
      </c>
      <c r="C909" s="17">
        <f>IF(B909="","","brand")</f>
        <v/>
      </c>
      <c r="D909" s="17">
        <f>IF(B909="","",Brand_Log!$A109&amp;"")</f>
        <v/>
      </c>
      <c r="E909" s="17">
        <f>IF(B909="","",IF(Brand_Log!B109="","",Brand_Log!B109&amp;""))</f>
        <v/>
      </c>
      <c r="F909" s="17">
        <f>IF(B909="","","yes_in_principle")</f>
        <v/>
      </c>
      <c r="G909" s="17">
        <f>IF(B909="","","")</f>
        <v/>
      </c>
      <c r="H909" s="17">
        <f>IF(B909="","","")</f>
        <v/>
      </c>
      <c r="I909" s="17">
        <f>IF(B909="","",IF(Brand_Log!N109="","",Brand_Log!N109&amp;""))</f>
        <v/>
      </c>
      <c r="J909" s="17">
        <f>IF(B909="","","")</f>
        <v/>
      </c>
      <c r="K909" t="inlineStr">
        <is>
          <t>brand yes_in_principle</t>
        </is>
      </c>
    </row>
    <row r="910">
      <c r="A910" s="17">
        <f>IF(B910="","",B910+(5*1000+109)/10000000)</f>
        <v/>
      </c>
      <c r="B910" s="23">
        <f>IF(AND(Brand_Log!AN110=1,Brand_Log!AF110="Y"),Brand_Log!G110,"")</f>
        <v/>
      </c>
      <c r="C910" s="17">
        <f>IF(B910="","","brand")</f>
        <v/>
      </c>
      <c r="D910" s="17">
        <f>IF(B910="","",Brand_Log!$A110&amp;"")</f>
        <v/>
      </c>
      <c r="E910" s="17">
        <f>IF(B910="","",IF(Brand_Log!B110="","",Brand_Log!B110&amp;""))</f>
        <v/>
      </c>
      <c r="F910" s="17">
        <f>IF(B910="","","yes_in_principle")</f>
        <v/>
      </c>
      <c r="G910" s="17">
        <f>IF(B910="","","")</f>
        <v/>
      </c>
      <c r="H910" s="17">
        <f>IF(B910="","","")</f>
        <v/>
      </c>
      <c r="I910" s="17">
        <f>IF(B910="","",IF(Brand_Log!N110="","",Brand_Log!N110&amp;""))</f>
        <v/>
      </c>
      <c r="J910" s="17">
        <f>IF(B910="","","")</f>
        <v/>
      </c>
      <c r="K910" t="inlineStr">
        <is>
          <t>brand yes_in_principle</t>
        </is>
      </c>
    </row>
    <row r="911">
      <c r="A911" s="17">
        <f>IF(B911="","",B911+(5*1000+110)/10000000)</f>
        <v/>
      </c>
      <c r="B911" s="23">
        <f>IF(AND(Brand_Log!AN111=1,Brand_Log!AF111="Y"),Brand_Log!G111,"")</f>
        <v/>
      </c>
      <c r="C911" s="17">
        <f>IF(B911="","","brand")</f>
        <v/>
      </c>
      <c r="D911" s="17">
        <f>IF(B911="","",Brand_Log!$A111&amp;"")</f>
        <v/>
      </c>
      <c r="E911" s="17">
        <f>IF(B911="","",IF(Brand_Log!B111="","",Brand_Log!B111&amp;""))</f>
        <v/>
      </c>
      <c r="F911" s="17">
        <f>IF(B911="","","yes_in_principle")</f>
        <v/>
      </c>
      <c r="G911" s="17">
        <f>IF(B911="","","")</f>
        <v/>
      </c>
      <c r="H911" s="17">
        <f>IF(B911="","","")</f>
        <v/>
      </c>
      <c r="I911" s="17">
        <f>IF(B911="","",IF(Brand_Log!N111="","",Brand_Log!N111&amp;""))</f>
        <v/>
      </c>
      <c r="J911" s="17">
        <f>IF(B911="","","")</f>
        <v/>
      </c>
      <c r="K911" t="inlineStr">
        <is>
          <t>brand yes_in_principle</t>
        </is>
      </c>
    </row>
    <row r="912">
      <c r="A912" s="17">
        <f>IF(B912="","",B912+(5*1000+111)/10000000)</f>
        <v/>
      </c>
      <c r="B912" s="23">
        <f>IF(AND(Brand_Log!AN112=1,Brand_Log!AF112="Y"),Brand_Log!G112,"")</f>
        <v/>
      </c>
      <c r="C912" s="17">
        <f>IF(B912="","","brand")</f>
        <v/>
      </c>
      <c r="D912" s="17">
        <f>IF(B912="","",Brand_Log!$A112&amp;"")</f>
        <v/>
      </c>
      <c r="E912" s="17">
        <f>IF(B912="","",IF(Brand_Log!B112="","",Brand_Log!B112&amp;""))</f>
        <v/>
      </c>
      <c r="F912" s="17">
        <f>IF(B912="","","yes_in_principle")</f>
        <v/>
      </c>
      <c r="G912" s="17">
        <f>IF(B912="","","")</f>
        <v/>
      </c>
      <c r="H912" s="17">
        <f>IF(B912="","","")</f>
        <v/>
      </c>
      <c r="I912" s="17">
        <f>IF(B912="","",IF(Brand_Log!N112="","",Brand_Log!N112&amp;""))</f>
        <v/>
      </c>
      <c r="J912" s="17">
        <f>IF(B912="","","")</f>
        <v/>
      </c>
      <c r="K912" t="inlineStr">
        <is>
          <t>brand yes_in_principle</t>
        </is>
      </c>
    </row>
    <row r="913">
      <c r="A913" s="17">
        <f>IF(B913="","",B913+(5*1000+112)/10000000)</f>
        <v/>
      </c>
      <c r="B913" s="23">
        <f>IF(AND(Brand_Log!AN113=1,Brand_Log!AF113="Y"),Brand_Log!G113,"")</f>
        <v/>
      </c>
      <c r="C913" s="17">
        <f>IF(B913="","","brand")</f>
        <v/>
      </c>
      <c r="D913" s="17">
        <f>IF(B913="","",Brand_Log!$A113&amp;"")</f>
        <v/>
      </c>
      <c r="E913" s="17">
        <f>IF(B913="","",IF(Brand_Log!B113="","",Brand_Log!B113&amp;""))</f>
        <v/>
      </c>
      <c r="F913" s="17">
        <f>IF(B913="","","yes_in_principle")</f>
        <v/>
      </c>
      <c r="G913" s="17">
        <f>IF(B913="","","")</f>
        <v/>
      </c>
      <c r="H913" s="17">
        <f>IF(B913="","","")</f>
        <v/>
      </c>
      <c r="I913" s="17">
        <f>IF(B913="","",IF(Brand_Log!N113="","",Brand_Log!N113&amp;""))</f>
        <v/>
      </c>
      <c r="J913" s="17">
        <f>IF(B913="","","")</f>
        <v/>
      </c>
      <c r="K913" t="inlineStr">
        <is>
          <t>brand yes_in_principle</t>
        </is>
      </c>
    </row>
    <row r="914">
      <c r="A914" s="17">
        <f>IF(B914="","",B914+(5*1000+113)/10000000)</f>
        <v/>
      </c>
      <c r="B914" s="23">
        <f>IF(AND(Brand_Log!AN114=1,Brand_Log!AF114="Y"),Brand_Log!G114,"")</f>
        <v/>
      </c>
      <c r="C914" s="17">
        <f>IF(B914="","","brand")</f>
        <v/>
      </c>
      <c r="D914" s="17">
        <f>IF(B914="","",Brand_Log!$A114&amp;"")</f>
        <v/>
      </c>
      <c r="E914" s="17">
        <f>IF(B914="","",IF(Brand_Log!B114="","",Brand_Log!B114&amp;""))</f>
        <v/>
      </c>
      <c r="F914" s="17">
        <f>IF(B914="","","yes_in_principle")</f>
        <v/>
      </c>
      <c r="G914" s="17">
        <f>IF(B914="","","")</f>
        <v/>
      </c>
      <c r="H914" s="17">
        <f>IF(B914="","","")</f>
        <v/>
      </c>
      <c r="I914" s="17">
        <f>IF(B914="","",IF(Brand_Log!N114="","",Brand_Log!N114&amp;""))</f>
        <v/>
      </c>
      <c r="J914" s="17">
        <f>IF(B914="","","")</f>
        <v/>
      </c>
      <c r="K914" t="inlineStr">
        <is>
          <t>brand yes_in_principle</t>
        </is>
      </c>
    </row>
    <row r="915">
      <c r="A915" s="17">
        <f>IF(B915="","",B915+(5*1000+114)/10000000)</f>
        <v/>
      </c>
      <c r="B915" s="23">
        <f>IF(AND(Brand_Log!AN115=1,Brand_Log!AF115="Y"),Brand_Log!G115,"")</f>
        <v/>
      </c>
      <c r="C915" s="17">
        <f>IF(B915="","","brand")</f>
        <v/>
      </c>
      <c r="D915" s="17">
        <f>IF(B915="","",Brand_Log!$A115&amp;"")</f>
        <v/>
      </c>
      <c r="E915" s="17">
        <f>IF(B915="","",IF(Brand_Log!B115="","",Brand_Log!B115&amp;""))</f>
        <v/>
      </c>
      <c r="F915" s="17">
        <f>IF(B915="","","yes_in_principle")</f>
        <v/>
      </c>
      <c r="G915" s="17">
        <f>IF(B915="","","")</f>
        <v/>
      </c>
      <c r="H915" s="17">
        <f>IF(B915="","","")</f>
        <v/>
      </c>
      <c r="I915" s="17">
        <f>IF(B915="","",IF(Brand_Log!N115="","",Brand_Log!N115&amp;""))</f>
        <v/>
      </c>
      <c r="J915" s="17">
        <f>IF(B915="","","")</f>
        <v/>
      </c>
      <c r="K915" t="inlineStr">
        <is>
          <t>brand yes_in_principle</t>
        </is>
      </c>
    </row>
    <row r="916">
      <c r="A916" s="17">
        <f>IF(B916="","",B916+(5*1000+115)/10000000)</f>
        <v/>
      </c>
      <c r="B916" s="23">
        <f>IF(AND(Brand_Log!AN116=1,Brand_Log!AF116="Y"),Brand_Log!G116,"")</f>
        <v/>
      </c>
      <c r="C916" s="17">
        <f>IF(B916="","","brand")</f>
        <v/>
      </c>
      <c r="D916" s="17">
        <f>IF(B916="","",Brand_Log!$A116&amp;"")</f>
        <v/>
      </c>
      <c r="E916" s="17">
        <f>IF(B916="","",IF(Brand_Log!B116="","",Brand_Log!B116&amp;""))</f>
        <v/>
      </c>
      <c r="F916" s="17">
        <f>IF(B916="","","yes_in_principle")</f>
        <v/>
      </c>
      <c r="G916" s="17">
        <f>IF(B916="","","")</f>
        <v/>
      </c>
      <c r="H916" s="17">
        <f>IF(B916="","","")</f>
        <v/>
      </c>
      <c r="I916" s="17">
        <f>IF(B916="","",IF(Brand_Log!N116="","",Brand_Log!N116&amp;""))</f>
        <v/>
      </c>
      <c r="J916" s="17">
        <f>IF(B916="","","")</f>
        <v/>
      </c>
      <c r="K916" t="inlineStr">
        <is>
          <t>brand yes_in_principle</t>
        </is>
      </c>
    </row>
    <row r="917">
      <c r="A917" s="17">
        <f>IF(B917="","",B917+(5*1000+116)/10000000)</f>
        <v/>
      </c>
      <c r="B917" s="23">
        <f>IF(AND(Brand_Log!AN117=1,Brand_Log!AF117="Y"),Brand_Log!G117,"")</f>
        <v/>
      </c>
      <c r="C917" s="17">
        <f>IF(B917="","","brand")</f>
        <v/>
      </c>
      <c r="D917" s="17">
        <f>IF(B917="","",Brand_Log!$A117&amp;"")</f>
        <v/>
      </c>
      <c r="E917" s="17">
        <f>IF(B917="","",IF(Brand_Log!B117="","",Brand_Log!B117&amp;""))</f>
        <v/>
      </c>
      <c r="F917" s="17">
        <f>IF(B917="","","yes_in_principle")</f>
        <v/>
      </c>
      <c r="G917" s="17">
        <f>IF(B917="","","")</f>
        <v/>
      </c>
      <c r="H917" s="17">
        <f>IF(B917="","","")</f>
        <v/>
      </c>
      <c r="I917" s="17">
        <f>IF(B917="","",IF(Brand_Log!N117="","",Brand_Log!N117&amp;""))</f>
        <v/>
      </c>
      <c r="J917" s="17">
        <f>IF(B917="","","")</f>
        <v/>
      </c>
      <c r="K917" t="inlineStr">
        <is>
          <t>brand yes_in_principle</t>
        </is>
      </c>
    </row>
    <row r="918">
      <c r="A918" s="17">
        <f>IF(B918="","",B918+(5*1000+117)/10000000)</f>
        <v/>
      </c>
      <c r="B918" s="23">
        <f>IF(AND(Brand_Log!AN118=1,Brand_Log!AF118="Y"),Brand_Log!G118,"")</f>
        <v/>
      </c>
      <c r="C918" s="17">
        <f>IF(B918="","","brand")</f>
        <v/>
      </c>
      <c r="D918" s="17">
        <f>IF(B918="","",Brand_Log!$A118&amp;"")</f>
        <v/>
      </c>
      <c r="E918" s="17">
        <f>IF(B918="","",IF(Brand_Log!B118="","",Brand_Log!B118&amp;""))</f>
        <v/>
      </c>
      <c r="F918" s="17">
        <f>IF(B918="","","yes_in_principle")</f>
        <v/>
      </c>
      <c r="G918" s="17">
        <f>IF(B918="","","")</f>
        <v/>
      </c>
      <c r="H918" s="17">
        <f>IF(B918="","","")</f>
        <v/>
      </c>
      <c r="I918" s="17">
        <f>IF(B918="","",IF(Brand_Log!N118="","",Brand_Log!N118&amp;""))</f>
        <v/>
      </c>
      <c r="J918" s="17">
        <f>IF(B918="","","")</f>
        <v/>
      </c>
      <c r="K918" t="inlineStr">
        <is>
          <t>brand yes_in_principle</t>
        </is>
      </c>
    </row>
    <row r="919">
      <c r="A919" s="17">
        <f>IF(B919="","",B919+(5*1000+118)/10000000)</f>
        <v/>
      </c>
      <c r="B919" s="23">
        <f>IF(AND(Brand_Log!AN119=1,Brand_Log!AF119="Y"),Brand_Log!G119,"")</f>
        <v/>
      </c>
      <c r="C919" s="17">
        <f>IF(B919="","","brand")</f>
        <v/>
      </c>
      <c r="D919" s="17">
        <f>IF(B919="","",Brand_Log!$A119&amp;"")</f>
        <v/>
      </c>
      <c r="E919" s="17">
        <f>IF(B919="","",IF(Brand_Log!B119="","",Brand_Log!B119&amp;""))</f>
        <v/>
      </c>
      <c r="F919" s="17">
        <f>IF(B919="","","yes_in_principle")</f>
        <v/>
      </c>
      <c r="G919" s="17">
        <f>IF(B919="","","")</f>
        <v/>
      </c>
      <c r="H919" s="17">
        <f>IF(B919="","","")</f>
        <v/>
      </c>
      <c r="I919" s="17">
        <f>IF(B919="","",IF(Brand_Log!N119="","",Brand_Log!N119&amp;""))</f>
        <v/>
      </c>
      <c r="J919" s="17">
        <f>IF(B919="","","")</f>
        <v/>
      </c>
      <c r="K919" t="inlineStr">
        <is>
          <t>brand yes_in_principle</t>
        </is>
      </c>
    </row>
    <row r="920">
      <c r="A920" s="17">
        <f>IF(B920="","",B920+(5*1000+119)/10000000)</f>
        <v/>
      </c>
      <c r="B920" s="23">
        <f>IF(AND(Brand_Log!AN120=1,Brand_Log!AF120="Y"),Brand_Log!G120,"")</f>
        <v/>
      </c>
      <c r="C920" s="17">
        <f>IF(B920="","","brand")</f>
        <v/>
      </c>
      <c r="D920" s="17">
        <f>IF(B920="","",Brand_Log!$A120&amp;"")</f>
        <v/>
      </c>
      <c r="E920" s="17">
        <f>IF(B920="","",IF(Brand_Log!B120="","",Brand_Log!B120&amp;""))</f>
        <v/>
      </c>
      <c r="F920" s="17">
        <f>IF(B920="","","yes_in_principle")</f>
        <v/>
      </c>
      <c r="G920" s="17">
        <f>IF(B920="","","")</f>
        <v/>
      </c>
      <c r="H920" s="17">
        <f>IF(B920="","","")</f>
        <v/>
      </c>
      <c r="I920" s="17">
        <f>IF(B920="","",IF(Brand_Log!N120="","",Brand_Log!N120&amp;""))</f>
        <v/>
      </c>
      <c r="J920" s="17">
        <f>IF(B920="","","")</f>
        <v/>
      </c>
      <c r="K920" t="inlineStr">
        <is>
          <t>brand yes_in_principle</t>
        </is>
      </c>
    </row>
    <row r="921">
      <c r="A921" s="17">
        <f>IF(B921="","",B921+(5*1000+120)/10000000)</f>
        <v/>
      </c>
      <c r="B921" s="23">
        <f>IF(AND(Brand_Log!AN121=1,Brand_Log!AF121="Y"),Brand_Log!G121,"")</f>
        <v/>
      </c>
      <c r="C921" s="17">
        <f>IF(B921="","","brand")</f>
        <v/>
      </c>
      <c r="D921" s="17">
        <f>IF(B921="","",Brand_Log!$A121&amp;"")</f>
        <v/>
      </c>
      <c r="E921" s="17">
        <f>IF(B921="","",IF(Brand_Log!B121="","",Brand_Log!B121&amp;""))</f>
        <v/>
      </c>
      <c r="F921" s="17">
        <f>IF(B921="","","yes_in_principle")</f>
        <v/>
      </c>
      <c r="G921" s="17">
        <f>IF(B921="","","")</f>
        <v/>
      </c>
      <c r="H921" s="17">
        <f>IF(B921="","","")</f>
        <v/>
      </c>
      <c r="I921" s="17">
        <f>IF(B921="","",IF(Brand_Log!N121="","",Brand_Log!N121&amp;""))</f>
        <v/>
      </c>
      <c r="J921" s="17">
        <f>IF(B921="","","")</f>
        <v/>
      </c>
      <c r="K921" t="inlineStr">
        <is>
          <t>brand yes_in_principle</t>
        </is>
      </c>
    </row>
    <row r="922">
      <c r="A922" s="17">
        <f>IF(B922="","",B922+(5*1000+121)/10000000)</f>
        <v/>
      </c>
      <c r="B922" s="23">
        <f>IF(AND(Brand_Log!AN122=1,Brand_Log!AF122="Y"),Brand_Log!G122,"")</f>
        <v/>
      </c>
      <c r="C922" s="17">
        <f>IF(B922="","","brand")</f>
        <v/>
      </c>
      <c r="D922" s="17">
        <f>IF(B922="","",Brand_Log!$A122&amp;"")</f>
        <v/>
      </c>
      <c r="E922" s="17">
        <f>IF(B922="","",IF(Brand_Log!B122="","",Brand_Log!B122&amp;""))</f>
        <v/>
      </c>
      <c r="F922" s="17">
        <f>IF(B922="","","yes_in_principle")</f>
        <v/>
      </c>
      <c r="G922" s="17">
        <f>IF(B922="","","")</f>
        <v/>
      </c>
      <c r="H922" s="17">
        <f>IF(B922="","","")</f>
        <v/>
      </c>
      <c r="I922" s="17">
        <f>IF(B922="","",IF(Brand_Log!N122="","",Brand_Log!N122&amp;""))</f>
        <v/>
      </c>
      <c r="J922" s="17">
        <f>IF(B922="","","")</f>
        <v/>
      </c>
      <c r="K922" t="inlineStr">
        <is>
          <t>brand yes_in_principle</t>
        </is>
      </c>
    </row>
    <row r="923">
      <c r="A923" s="17">
        <f>IF(B923="","",B923+(5*1000+122)/10000000)</f>
        <v/>
      </c>
      <c r="B923" s="23">
        <f>IF(AND(Brand_Log!AN123=1,Brand_Log!AF123="Y"),Brand_Log!G123,"")</f>
        <v/>
      </c>
      <c r="C923" s="17">
        <f>IF(B923="","","brand")</f>
        <v/>
      </c>
      <c r="D923" s="17">
        <f>IF(B923="","",Brand_Log!$A123&amp;"")</f>
        <v/>
      </c>
      <c r="E923" s="17">
        <f>IF(B923="","",IF(Brand_Log!B123="","",Brand_Log!B123&amp;""))</f>
        <v/>
      </c>
      <c r="F923" s="17">
        <f>IF(B923="","","yes_in_principle")</f>
        <v/>
      </c>
      <c r="G923" s="17">
        <f>IF(B923="","","")</f>
        <v/>
      </c>
      <c r="H923" s="17">
        <f>IF(B923="","","")</f>
        <v/>
      </c>
      <c r="I923" s="17">
        <f>IF(B923="","",IF(Brand_Log!N123="","",Brand_Log!N123&amp;""))</f>
        <v/>
      </c>
      <c r="J923" s="17">
        <f>IF(B923="","","")</f>
        <v/>
      </c>
      <c r="K923" t="inlineStr">
        <is>
          <t>brand yes_in_principle</t>
        </is>
      </c>
    </row>
    <row r="924">
      <c r="A924" s="17">
        <f>IF(B924="","",B924+(5*1000+123)/10000000)</f>
        <v/>
      </c>
      <c r="B924" s="23">
        <f>IF(AND(Brand_Log!AN124=1,Brand_Log!AF124="Y"),Brand_Log!G124,"")</f>
        <v/>
      </c>
      <c r="C924" s="17">
        <f>IF(B924="","","brand")</f>
        <v/>
      </c>
      <c r="D924" s="17">
        <f>IF(B924="","",Brand_Log!$A124&amp;"")</f>
        <v/>
      </c>
      <c r="E924" s="17">
        <f>IF(B924="","",IF(Brand_Log!B124="","",Brand_Log!B124&amp;""))</f>
        <v/>
      </c>
      <c r="F924" s="17">
        <f>IF(B924="","","yes_in_principle")</f>
        <v/>
      </c>
      <c r="G924" s="17">
        <f>IF(B924="","","")</f>
        <v/>
      </c>
      <c r="H924" s="17">
        <f>IF(B924="","","")</f>
        <v/>
      </c>
      <c r="I924" s="17">
        <f>IF(B924="","",IF(Brand_Log!N124="","",Brand_Log!N124&amp;""))</f>
        <v/>
      </c>
      <c r="J924" s="17">
        <f>IF(B924="","","")</f>
        <v/>
      </c>
      <c r="K924" t="inlineStr">
        <is>
          <t>brand yes_in_principle</t>
        </is>
      </c>
    </row>
    <row r="925">
      <c r="A925" s="17">
        <f>IF(B925="","",B925+(5*1000+124)/10000000)</f>
        <v/>
      </c>
      <c r="B925" s="23">
        <f>IF(AND(Brand_Log!AN125=1,Brand_Log!AF125="Y"),Brand_Log!G125,"")</f>
        <v/>
      </c>
      <c r="C925" s="17">
        <f>IF(B925="","","brand")</f>
        <v/>
      </c>
      <c r="D925" s="17">
        <f>IF(B925="","",Brand_Log!$A125&amp;"")</f>
        <v/>
      </c>
      <c r="E925" s="17">
        <f>IF(B925="","",IF(Brand_Log!B125="","",Brand_Log!B125&amp;""))</f>
        <v/>
      </c>
      <c r="F925" s="17">
        <f>IF(B925="","","yes_in_principle")</f>
        <v/>
      </c>
      <c r="G925" s="17">
        <f>IF(B925="","","")</f>
        <v/>
      </c>
      <c r="H925" s="17">
        <f>IF(B925="","","")</f>
        <v/>
      </c>
      <c r="I925" s="17">
        <f>IF(B925="","",IF(Brand_Log!N125="","",Brand_Log!N125&amp;""))</f>
        <v/>
      </c>
      <c r="J925" s="17">
        <f>IF(B925="","","")</f>
        <v/>
      </c>
      <c r="K925" t="inlineStr">
        <is>
          <t>brand yes_in_principle</t>
        </is>
      </c>
    </row>
    <row r="926">
      <c r="A926" s="17">
        <f>IF(B926="","",B926+(5*1000+125)/10000000)</f>
        <v/>
      </c>
      <c r="B926" s="23">
        <f>IF(AND(Brand_Log!AN126=1,Brand_Log!AF126="Y"),Brand_Log!G126,"")</f>
        <v/>
      </c>
      <c r="C926" s="17">
        <f>IF(B926="","","brand")</f>
        <v/>
      </c>
      <c r="D926" s="17">
        <f>IF(B926="","",Brand_Log!$A126&amp;"")</f>
        <v/>
      </c>
      <c r="E926" s="17">
        <f>IF(B926="","",IF(Brand_Log!B126="","",Brand_Log!B126&amp;""))</f>
        <v/>
      </c>
      <c r="F926" s="17">
        <f>IF(B926="","","yes_in_principle")</f>
        <v/>
      </c>
      <c r="G926" s="17">
        <f>IF(B926="","","")</f>
        <v/>
      </c>
      <c r="H926" s="17">
        <f>IF(B926="","","")</f>
        <v/>
      </c>
      <c r="I926" s="17">
        <f>IF(B926="","",IF(Brand_Log!N126="","",Brand_Log!N126&amp;""))</f>
        <v/>
      </c>
      <c r="J926" s="17">
        <f>IF(B926="","","")</f>
        <v/>
      </c>
      <c r="K926" t="inlineStr">
        <is>
          <t>brand yes_in_principle</t>
        </is>
      </c>
    </row>
    <row r="927">
      <c r="A927" s="17">
        <f>IF(B927="","",B927+(5*1000+126)/10000000)</f>
        <v/>
      </c>
      <c r="B927" s="23">
        <f>IF(AND(Brand_Log!AN127=1,Brand_Log!AF127="Y"),Brand_Log!G127,"")</f>
        <v/>
      </c>
      <c r="C927" s="17">
        <f>IF(B927="","","brand")</f>
        <v/>
      </c>
      <c r="D927" s="17">
        <f>IF(B927="","",Brand_Log!$A127&amp;"")</f>
        <v/>
      </c>
      <c r="E927" s="17">
        <f>IF(B927="","",IF(Brand_Log!B127="","",Brand_Log!B127&amp;""))</f>
        <v/>
      </c>
      <c r="F927" s="17">
        <f>IF(B927="","","yes_in_principle")</f>
        <v/>
      </c>
      <c r="G927" s="17">
        <f>IF(B927="","","")</f>
        <v/>
      </c>
      <c r="H927" s="17">
        <f>IF(B927="","","")</f>
        <v/>
      </c>
      <c r="I927" s="17">
        <f>IF(B927="","",IF(Brand_Log!N127="","",Brand_Log!N127&amp;""))</f>
        <v/>
      </c>
      <c r="J927" s="17">
        <f>IF(B927="","","")</f>
        <v/>
      </c>
      <c r="K927" t="inlineStr">
        <is>
          <t>brand yes_in_principle</t>
        </is>
      </c>
    </row>
    <row r="928">
      <c r="A928" s="17">
        <f>IF(B928="","",B928+(5*1000+127)/10000000)</f>
        <v/>
      </c>
      <c r="B928" s="23">
        <f>IF(AND(Brand_Log!AN128=1,Brand_Log!AF128="Y"),Brand_Log!G128,"")</f>
        <v/>
      </c>
      <c r="C928" s="17">
        <f>IF(B928="","","brand")</f>
        <v/>
      </c>
      <c r="D928" s="17">
        <f>IF(B928="","",Brand_Log!$A128&amp;"")</f>
        <v/>
      </c>
      <c r="E928" s="17">
        <f>IF(B928="","",IF(Brand_Log!B128="","",Brand_Log!B128&amp;""))</f>
        <v/>
      </c>
      <c r="F928" s="17">
        <f>IF(B928="","","yes_in_principle")</f>
        <v/>
      </c>
      <c r="G928" s="17">
        <f>IF(B928="","","")</f>
        <v/>
      </c>
      <c r="H928" s="17">
        <f>IF(B928="","","")</f>
        <v/>
      </c>
      <c r="I928" s="17">
        <f>IF(B928="","",IF(Brand_Log!N128="","",Brand_Log!N128&amp;""))</f>
        <v/>
      </c>
      <c r="J928" s="17">
        <f>IF(B928="","","")</f>
        <v/>
      </c>
      <c r="K928" t="inlineStr">
        <is>
          <t>brand yes_in_principle</t>
        </is>
      </c>
    </row>
    <row r="929">
      <c r="A929" s="17">
        <f>IF(B929="","",B929+(5*1000+128)/10000000)</f>
        <v/>
      </c>
      <c r="B929" s="23">
        <f>IF(AND(Brand_Log!AN129=1,Brand_Log!AF129="Y"),Brand_Log!G129,"")</f>
        <v/>
      </c>
      <c r="C929" s="17">
        <f>IF(B929="","","brand")</f>
        <v/>
      </c>
      <c r="D929" s="17">
        <f>IF(B929="","",Brand_Log!$A129&amp;"")</f>
        <v/>
      </c>
      <c r="E929" s="17">
        <f>IF(B929="","",IF(Brand_Log!B129="","",Brand_Log!B129&amp;""))</f>
        <v/>
      </c>
      <c r="F929" s="17">
        <f>IF(B929="","","yes_in_principle")</f>
        <v/>
      </c>
      <c r="G929" s="17">
        <f>IF(B929="","","")</f>
        <v/>
      </c>
      <c r="H929" s="17">
        <f>IF(B929="","","")</f>
        <v/>
      </c>
      <c r="I929" s="17">
        <f>IF(B929="","",IF(Brand_Log!N129="","",Brand_Log!N129&amp;""))</f>
        <v/>
      </c>
      <c r="J929" s="17">
        <f>IF(B929="","","")</f>
        <v/>
      </c>
      <c r="K929" t="inlineStr">
        <is>
          <t>brand yes_in_principle</t>
        </is>
      </c>
    </row>
    <row r="930">
      <c r="A930" s="17">
        <f>IF(B930="","",B930+(5*1000+129)/10000000)</f>
        <v/>
      </c>
      <c r="B930" s="23">
        <f>IF(AND(Brand_Log!AN130=1,Brand_Log!AF130="Y"),Brand_Log!G130,"")</f>
        <v/>
      </c>
      <c r="C930" s="17">
        <f>IF(B930="","","brand")</f>
        <v/>
      </c>
      <c r="D930" s="17">
        <f>IF(B930="","",Brand_Log!$A130&amp;"")</f>
        <v/>
      </c>
      <c r="E930" s="17">
        <f>IF(B930="","",IF(Brand_Log!B130="","",Brand_Log!B130&amp;""))</f>
        <v/>
      </c>
      <c r="F930" s="17">
        <f>IF(B930="","","yes_in_principle")</f>
        <v/>
      </c>
      <c r="G930" s="17">
        <f>IF(B930="","","")</f>
        <v/>
      </c>
      <c r="H930" s="17">
        <f>IF(B930="","","")</f>
        <v/>
      </c>
      <c r="I930" s="17">
        <f>IF(B930="","",IF(Brand_Log!N130="","",Brand_Log!N130&amp;""))</f>
        <v/>
      </c>
      <c r="J930" s="17">
        <f>IF(B930="","","")</f>
        <v/>
      </c>
      <c r="K930" t="inlineStr">
        <is>
          <t>brand yes_in_principle</t>
        </is>
      </c>
    </row>
    <row r="931">
      <c r="A931" s="17">
        <f>IF(B931="","",B931+(5*1000+130)/10000000)</f>
        <v/>
      </c>
      <c r="B931" s="23">
        <f>IF(AND(Brand_Log!AN131=1,Brand_Log!AF131="Y"),Brand_Log!G131,"")</f>
        <v/>
      </c>
      <c r="C931" s="17">
        <f>IF(B931="","","brand")</f>
        <v/>
      </c>
      <c r="D931" s="17">
        <f>IF(B931="","",Brand_Log!$A131&amp;"")</f>
        <v/>
      </c>
      <c r="E931" s="17">
        <f>IF(B931="","",IF(Brand_Log!B131="","",Brand_Log!B131&amp;""))</f>
        <v/>
      </c>
      <c r="F931" s="17">
        <f>IF(B931="","","yes_in_principle")</f>
        <v/>
      </c>
      <c r="G931" s="17">
        <f>IF(B931="","","")</f>
        <v/>
      </c>
      <c r="H931" s="17">
        <f>IF(B931="","","")</f>
        <v/>
      </c>
      <c r="I931" s="17">
        <f>IF(B931="","",IF(Brand_Log!N131="","",Brand_Log!N131&amp;""))</f>
        <v/>
      </c>
      <c r="J931" s="17">
        <f>IF(B931="","","")</f>
        <v/>
      </c>
      <c r="K931" t="inlineStr">
        <is>
          <t>brand yes_in_principle</t>
        </is>
      </c>
    </row>
    <row r="932">
      <c r="A932" s="17">
        <f>IF(B932="","",B932+(5*1000+131)/10000000)</f>
        <v/>
      </c>
      <c r="B932" s="23">
        <f>IF(AND(Brand_Log!AN132=1,Brand_Log!AF132="Y"),Brand_Log!G132,"")</f>
        <v/>
      </c>
      <c r="C932" s="17">
        <f>IF(B932="","","brand")</f>
        <v/>
      </c>
      <c r="D932" s="17">
        <f>IF(B932="","",Brand_Log!$A132&amp;"")</f>
        <v/>
      </c>
      <c r="E932" s="17">
        <f>IF(B932="","",IF(Brand_Log!B132="","",Brand_Log!B132&amp;""))</f>
        <v/>
      </c>
      <c r="F932" s="17">
        <f>IF(B932="","","yes_in_principle")</f>
        <v/>
      </c>
      <c r="G932" s="17">
        <f>IF(B932="","","")</f>
        <v/>
      </c>
      <c r="H932" s="17">
        <f>IF(B932="","","")</f>
        <v/>
      </c>
      <c r="I932" s="17">
        <f>IF(B932="","",IF(Brand_Log!N132="","",Brand_Log!N132&amp;""))</f>
        <v/>
      </c>
      <c r="J932" s="17">
        <f>IF(B932="","","")</f>
        <v/>
      </c>
      <c r="K932" t="inlineStr">
        <is>
          <t>brand yes_in_principle</t>
        </is>
      </c>
    </row>
    <row r="933">
      <c r="A933" s="17">
        <f>IF(B933="","",B933+(5*1000+132)/10000000)</f>
        <v/>
      </c>
      <c r="B933" s="23">
        <f>IF(AND(Brand_Log!AN133=1,Brand_Log!AF133="Y"),Brand_Log!G133,"")</f>
        <v/>
      </c>
      <c r="C933" s="17">
        <f>IF(B933="","","brand")</f>
        <v/>
      </c>
      <c r="D933" s="17">
        <f>IF(B933="","",Brand_Log!$A133&amp;"")</f>
        <v/>
      </c>
      <c r="E933" s="17">
        <f>IF(B933="","",IF(Brand_Log!B133="","",Brand_Log!B133&amp;""))</f>
        <v/>
      </c>
      <c r="F933" s="17">
        <f>IF(B933="","","yes_in_principle")</f>
        <v/>
      </c>
      <c r="G933" s="17">
        <f>IF(B933="","","")</f>
        <v/>
      </c>
      <c r="H933" s="17">
        <f>IF(B933="","","")</f>
        <v/>
      </c>
      <c r="I933" s="17">
        <f>IF(B933="","",IF(Brand_Log!N133="","",Brand_Log!N133&amp;""))</f>
        <v/>
      </c>
      <c r="J933" s="17">
        <f>IF(B933="","","")</f>
        <v/>
      </c>
      <c r="K933" t="inlineStr">
        <is>
          <t>brand yes_in_principle</t>
        </is>
      </c>
    </row>
    <row r="934">
      <c r="A934" s="17">
        <f>IF(B934="","",B934+(5*1000+133)/10000000)</f>
        <v/>
      </c>
      <c r="B934" s="23">
        <f>IF(AND(Brand_Log!AN134=1,Brand_Log!AF134="Y"),Brand_Log!G134,"")</f>
        <v/>
      </c>
      <c r="C934" s="17">
        <f>IF(B934="","","brand")</f>
        <v/>
      </c>
      <c r="D934" s="17">
        <f>IF(B934="","",Brand_Log!$A134&amp;"")</f>
        <v/>
      </c>
      <c r="E934" s="17">
        <f>IF(B934="","",IF(Brand_Log!B134="","",Brand_Log!B134&amp;""))</f>
        <v/>
      </c>
      <c r="F934" s="17">
        <f>IF(B934="","","yes_in_principle")</f>
        <v/>
      </c>
      <c r="G934" s="17">
        <f>IF(B934="","","")</f>
        <v/>
      </c>
      <c r="H934" s="17">
        <f>IF(B934="","","")</f>
        <v/>
      </c>
      <c r="I934" s="17">
        <f>IF(B934="","",IF(Brand_Log!N134="","",Brand_Log!N134&amp;""))</f>
        <v/>
      </c>
      <c r="J934" s="17">
        <f>IF(B934="","","")</f>
        <v/>
      </c>
      <c r="K934" t="inlineStr">
        <is>
          <t>brand yes_in_principle</t>
        </is>
      </c>
    </row>
    <row r="935">
      <c r="A935" s="17">
        <f>IF(B935="","",B935+(5*1000+134)/10000000)</f>
        <v/>
      </c>
      <c r="B935" s="23">
        <f>IF(AND(Brand_Log!AN135=1,Brand_Log!AF135="Y"),Brand_Log!G135,"")</f>
        <v/>
      </c>
      <c r="C935" s="17">
        <f>IF(B935="","","brand")</f>
        <v/>
      </c>
      <c r="D935" s="17">
        <f>IF(B935="","",Brand_Log!$A135&amp;"")</f>
        <v/>
      </c>
      <c r="E935" s="17">
        <f>IF(B935="","",IF(Brand_Log!B135="","",Brand_Log!B135&amp;""))</f>
        <v/>
      </c>
      <c r="F935" s="17">
        <f>IF(B935="","","yes_in_principle")</f>
        <v/>
      </c>
      <c r="G935" s="17">
        <f>IF(B935="","","")</f>
        <v/>
      </c>
      <c r="H935" s="17">
        <f>IF(B935="","","")</f>
        <v/>
      </c>
      <c r="I935" s="17">
        <f>IF(B935="","",IF(Brand_Log!N135="","",Brand_Log!N135&amp;""))</f>
        <v/>
      </c>
      <c r="J935" s="17">
        <f>IF(B935="","","")</f>
        <v/>
      </c>
      <c r="K935" t="inlineStr">
        <is>
          <t>brand yes_in_principle</t>
        </is>
      </c>
    </row>
    <row r="936">
      <c r="A936" s="17">
        <f>IF(B936="","",B936+(5*1000+135)/10000000)</f>
        <v/>
      </c>
      <c r="B936" s="23">
        <f>IF(AND(Brand_Log!AN136=1,Brand_Log!AF136="Y"),Brand_Log!G136,"")</f>
        <v/>
      </c>
      <c r="C936" s="17">
        <f>IF(B936="","","brand")</f>
        <v/>
      </c>
      <c r="D936" s="17">
        <f>IF(B936="","",Brand_Log!$A136&amp;"")</f>
        <v/>
      </c>
      <c r="E936" s="17">
        <f>IF(B936="","",IF(Brand_Log!B136="","",Brand_Log!B136&amp;""))</f>
        <v/>
      </c>
      <c r="F936" s="17">
        <f>IF(B936="","","yes_in_principle")</f>
        <v/>
      </c>
      <c r="G936" s="17">
        <f>IF(B936="","","")</f>
        <v/>
      </c>
      <c r="H936" s="17">
        <f>IF(B936="","","")</f>
        <v/>
      </c>
      <c r="I936" s="17">
        <f>IF(B936="","",IF(Brand_Log!N136="","",Brand_Log!N136&amp;""))</f>
        <v/>
      </c>
      <c r="J936" s="17">
        <f>IF(B936="","","")</f>
        <v/>
      </c>
      <c r="K936" t="inlineStr">
        <is>
          <t>brand yes_in_principle</t>
        </is>
      </c>
    </row>
    <row r="937">
      <c r="A937" s="17">
        <f>IF(B937="","",B937+(5*1000+136)/10000000)</f>
        <v/>
      </c>
      <c r="B937" s="23">
        <f>IF(AND(Brand_Log!AN137=1,Brand_Log!AF137="Y"),Brand_Log!G137,"")</f>
        <v/>
      </c>
      <c r="C937" s="17">
        <f>IF(B937="","","brand")</f>
        <v/>
      </c>
      <c r="D937" s="17">
        <f>IF(B937="","",Brand_Log!$A137&amp;"")</f>
        <v/>
      </c>
      <c r="E937" s="17">
        <f>IF(B937="","",IF(Brand_Log!B137="","",Brand_Log!B137&amp;""))</f>
        <v/>
      </c>
      <c r="F937" s="17">
        <f>IF(B937="","","yes_in_principle")</f>
        <v/>
      </c>
      <c r="G937" s="17">
        <f>IF(B937="","","")</f>
        <v/>
      </c>
      <c r="H937" s="17">
        <f>IF(B937="","","")</f>
        <v/>
      </c>
      <c r="I937" s="17">
        <f>IF(B937="","",IF(Brand_Log!N137="","",Brand_Log!N137&amp;""))</f>
        <v/>
      </c>
      <c r="J937" s="17">
        <f>IF(B937="","","")</f>
        <v/>
      </c>
      <c r="K937" t="inlineStr">
        <is>
          <t>brand yes_in_principle</t>
        </is>
      </c>
    </row>
    <row r="938">
      <c r="A938" s="17">
        <f>IF(B938="","",B938+(5*1000+137)/10000000)</f>
        <v/>
      </c>
      <c r="B938" s="23">
        <f>IF(AND(Brand_Log!AN138=1,Brand_Log!AF138="Y"),Brand_Log!G138,"")</f>
        <v/>
      </c>
      <c r="C938" s="17">
        <f>IF(B938="","","brand")</f>
        <v/>
      </c>
      <c r="D938" s="17">
        <f>IF(B938="","",Brand_Log!$A138&amp;"")</f>
        <v/>
      </c>
      <c r="E938" s="17">
        <f>IF(B938="","",IF(Brand_Log!B138="","",Brand_Log!B138&amp;""))</f>
        <v/>
      </c>
      <c r="F938" s="17">
        <f>IF(B938="","","yes_in_principle")</f>
        <v/>
      </c>
      <c r="G938" s="17">
        <f>IF(B938="","","")</f>
        <v/>
      </c>
      <c r="H938" s="17">
        <f>IF(B938="","","")</f>
        <v/>
      </c>
      <c r="I938" s="17">
        <f>IF(B938="","",IF(Brand_Log!N138="","",Brand_Log!N138&amp;""))</f>
        <v/>
      </c>
      <c r="J938" s="17">
        <f>IF(B938="","","")</f>
        <v/>
      </c>
      <c r="K938" t="inlineStr">
        <is>
          <t>brand yes_in_principle</t>
        </is>
      </c>
    </row>
    <row r="939">
      <c r="A939" s="17">
        <f>IF(B939="","",B939+(5*1000+138)/10000000)</f>
        <v/>
      </c>
      <c r="B939" s="23">
        <f>IF(AND(Brand_Log!AN139=1,Brand_Log!AF139="Y"),Brand_Log!G139,"")</f>
        <v/>
      </c>
      <c r="C939" s="17">
        <f>IF(B939="","","brand")</f>
        <v/>
      </c>
      <c r="D939" s="17">
        <f>IF(B939="","",Brand_Log!$A139&amp;"")</f>
        <v/>
      </c>
      <c r="E939" s="17">
        <f>IF(B939="","",IF(Brand_Log!B139="","",Brand_Log!B139&amp;""))</f>
        <v/>
      </c>
      <c r="F939" s="17">
        <f>IF(B939="","","yes_in_principle")</f>
        <v/>
      </c>
      <c r="G939" s="17">
        <f>IF(B939="","","")</f>
        <v/>
      </c>
      <c r="H939" s="17">
        <f>IF(B939="","","")</f>
        <v/>
      </c>
      <c r="I939" s="17">
        <f>IF(B939="","",IF(Brand_Log!N139="","",Brand_Log!N139&amp;""))</f>
        <v/>
      </c>
      <c r="J939" s="17">
        <f>IF(B939="","","")</f>
        <v/>
      </c>
      <c r="K939" t="inlineStr">
        <is>
          <t>brand yes_in_principle</t>
        </is>
      </c>
    </row>
    <row r="940">
      <c r="A940" s="17">
        <f>IF(B940="","",B940+(5*1000+139)/10000000)</f>
        <v/>
      </c>
      <c r="B940" s="23">
        <f>IF(AND(Brand_Log!AN140=1,Brand_Log!AF140="Y"),Brand_Log!G140,"")</f>
        <v/>
      </c>
      <c r="C940" s="17">
        <f>IF(B940="","","brand")</f>
        <v/>
      </c>
      <c r="D940" s="17">
        <f>IF(B940="","",Brand_Log!$A140&amp;"")</f>
        <v/>
      </c>
      <c r="E940" s="17">
        <f>IF(B940="","",IF(Brand_Log!B140="","",Brand_Log!B140&amp;""))</f>
        <v/>
      </c>
      <c r="F940" s="17">
        <f>IF(B940="","","yes_in_principle")</f>
        <v/>
      </c>
      <c r="G940" s="17">
        <f>IF(B940="","","")</f>
        <v/>
      </c>
      <c r="H940" s="17">
        <f>IF(B940="","","")</f>
        <v/>
      </c>
      <c r="I940" s="17">
        <f>IF(B940="","",IF(Brand_Log!N140="","",Brand_Log!N140&amp;""))</f>
        <v/>
      </c>
      <c r="J940" s="17">
        <f>IF(B940="","","")</f>
        <v/>
      </c>
      <c r="K940" t="inlineStr">
        <is>
          <t>brand yes_in_principle</t>
        </is>
      </c>
    </row>
    <row r="941">
      <c r="A941" s="17">
        <f>IF(B941="","",B941+(5*1000+140)/10000000)</f>
        <v/>
      </c>
      <c r="B941" s="23">
        <f>IF(AND(Brand_Log!AN141=1,Brand_Log!AF141="Y"),Brand_Log!G141,"")</f>
        <v/>
      </c>
      <c r="C941" s="17">
        <f>IF(B941="","","brand")</f>
        <v/>
      </c>
      <c r="D941" s="17">
        <f>IF(B941="","",Brand_Log!$A141&amp;"")</f>
        <v/>
      </c>
      <c r="E941" s="17">
        <f>IF(B941="","",IF(Brand_Log!B141="","",Brand_Log!B141&amp;""))</f>
        <v/>
      </c>
      <c r="F941" s="17">
        <f>IF(B941="","","yes_in_principle")</f>
        <v/>
      </c>
      <c r="G941" s="17">
        <f>IF(B941="","","")</f>
        <v/>
      </c>
      <c r="H941" s="17">
        <f>IF(B941="","","")</f>
        <v/>
      </c>
      <c r="I941" s="17">
        <f>IF(B941="","",IF(Brand_Log!N141="","",Brand_Log!N141&amp;""))</f>
        <v/>
      </c>
      <c r="J941" s="17">
        <f>IF(B941="","","")</f>
        <v/>
      </c>
      <c r="K941" t="inlineStr">
        <is>
          <t>brand yes_in_principle</t>
        </is>
      </c>
    </row>
    <row r="942">
      <c r="A942" s="17">
        <f>IF(B942="","",B942+(5*1000+141)/10000000)</f>
        <v/>
      </c>
      <c r="B942" s="23">
        <f>IF(AND(Brand_Log!AN142=1,Brand_Log!AF142="Y"),Brand_Log!G142,"")</f>
        <v/>
      </c>
      <c r="C942" s="17">
        <f>IF(B942="","","brand")</f>
        <v/>
      </c>
      <c r="D942" s="17">
        <f>IF(B942="","",Brand_Log!$A142&amp;"")</f>
        <v/>
      </c>
      <c r="E942" s="17">
        <f>IF(B942="","",IF(Brand_Log!B142="","",Brand_Log!B142&amp;""))</f>
        <v/>
      </c>
      <c r="F942" s="17">
        <f>IF(B942="","","yes_in_principle")</f>
        <v/>
      </c>
      <c r="G942" s="17">
        <f>IF(B942="","","")</f>
        <v/>
      </c>
      <c r="H942" s="17">
        <f>IF(B942="","","")</f>
        <v/>
      </c>
      <c r="I942" s="17">
        <f>IF(B942="","",IF(Brand_Log!N142="","",Brand_Log!N142&amp;""))</f>
        <v/>
      </c>
      <c r="J942" s="17">
        <f>IF(B942="","","")</f>
        <v/>
      </c>
      <c r="K942" t="inlineStr">
        <is>
          <t>brand yes_in_principle</t>
        </is>
      </c>
    </row>
    <row r="943">
      <c r="A943" s="17">
        <f>IF(B943="","",B943+(5*1000+142)/10000000)</f>
        <v/>
      </c>
      <c r="B943" s="23">
        <f>IF(AND(Brand_Log!AN143=1,Brand_Log!AF143="Y"),Brand_Log!G143,"")</f>
        <v/>
      </c>
      <c r="C943" s="17">
        <f>IF(B943="","","brand")</f>
        <v/>
      </c>
      <c r="D943" s="17">
        <f>IF(B943="","",Brand_Log!$A143&amp;"")</f>
        <v/>
      </c>
      <c r="E943" s="17">
        <f>IF(B943="","",IF(Brand_Log!B143="","",Brand_Log!B143&amp;""))</f>
        <v/>
      </c>
      <c r="F943" s="17">
        <f>IF(B943="","","yes_in_principle")</f>
        <v/>
      </c>
      <c r="G943" s="17">
        <f>IF(B943="","","")</f>
        <v/>
      </c>
      <c r="H943" s="17">
        <f>IF(B943="","","")</f>
        <v/>
      </c>
      <c r="I943" s="17">
        <f>IF(B943="","",IF(Brand_Log!N143="","",Brand_Log!N143&amp;""))</f>
        <v/>
      </c>
      <c r="J943" s="17">
        <f>IF(B943="","","")</f>
        <v/>
      </c>
      <c r="K943" t="inlineStr">
        <is>
          <t>brand yes_in_principle</t>
        </is>
      </c>
    </row>
    <row r="944">
      <c r="A944" s="17">
        <f>IF(B944="","",B944+(5*1000+143)/10000000)</f>
        <v/>
      </c>
      <c r="B944" s="23">
        <f>IF(AND(Brand_Log!AN144=1,Brand_Log!AF144="Y"),Brand_Log!G144,"")</f>
        <v/>
      </c>
      <c r="C944" s="17">
        <f>IF(B944="","","brand")</f>
        <v/>
      </c>
      <c r="D944" s="17">
        <f>IF(B944="","",Brand_Log!$A144&amp;"")</f>
        <v/>
      </c>
      <c r="E944" s="17">
        <f>IF(B944="","",IF(Brand_Log!B144="","",Brand_Log!B144&amp;""))</f>
        <v/>
      </c>
      <c r="F944" s="17">
        <f>IF(B944="","","yes_in_principle")</f>
        <v/>
      </c>
      <c r="G944" s="17">
        <f>IF(B944="","","")</f>
        <v/>
      </c>
      <c r="H944" s="17">
        <f>IF(B944="","","")</f>
        <v/>
      </c>
      <c r="I944" s="17">
        <f>IF(B944="","",IF(Brand_Log!N144="","",Brand_Log!N144&amp;""))</f>
        <v/>
      </c>
      <c r="J944" s="17">
        <f>IF(B944="","","")</f>
        <v/>
      </c>
      <c r="K944" t="inlineStr">
        <is>
          <t>brand yes_in_principle</t>
        </is>
      </c>
    </row>
    <row r="945">
      <c r="A945" s="17">
        <f>IF(B945="","",B945+(5*1000+144)/10000000)</f>
        <v/>
      </c>
      <c r="B945" s="23">
        <f>IF(AND(Brand_Log!AN145=1,Brand_Log!AF145="Y"),Brand_Log!G145,"")</f>
        <v/>
      </c>
      <c r="C945" s="17">
        <f>IF(B945="","","brand")</f>
        <v/>
      </c>
      <c r="D945" s="17">
        <f>IF(B945="","",Brand_Log!$A145&amp;"")</f>
        <v/>
      </c>
      <c r="E945" s="17">
        <f>IF(B945="","",IF(Brand_Log!B145="","",Brand_Log!B145&amp;""))</f>
        <v/>
      </c>
      <c r="F945" s="17">
        <f>IF(B945="","","yes_in_principle")</f>
        <v/>
      </c>
      <c r="G945" s="17">
        <f>IF(B945="","","")</f>
        <v/>
      </c>
      <c r="H945" s="17">
        <f>IF(B945="","","")</f>
        <v/>
      </c>
      <c r="I945" s="17">
        <f>IF(B945="","",IF(Brand_Log!N145="","",Brand_Log!N145&amp;""))</f>
        <v/>
      </c>
      <c r="J945" s="17">
        <f>IF(B945="","","")</f>
        <v/>
      </c>
      <c r="K945" t="inlineStr">
        <is>
          <t>brand yes_in_principle</t>
        </is>
      </c>
    </row>
    <row r="946">
      <c r="A946" s="17">
        <f>IF(B946="","",B946+(5*1000+145)/10000000)</f>
        <v/>
      </c>
      <c r="B946" s="23">
        <f>IF(AND(Brand_Log!AN146=1,Brand_Log!AF146="Y"),Brand_Log!G146,"")</f>
        <v/>
      </c>
      <c r="C946" s="17">
        <f>IF(B946="","","brand")</f>
        <v/>
      </c>
      <c r="D946" s="17">
        <f>IF(B946="","",Brand_Log!$A146&amp;"")</f>
        <v/>
      </c>
      <c r="E946" s="17">
        <f>IF(B946="","",IF(Brand_Log!B146="","",Brand_Log!B146&amp;""))</f>
        <v/>
      </c>
      <c r="F946" s="17">
        <f>IF(B946="","","yes_in_principle")</f>
        <v/>
      </c>
      <c r="G946" s="17">
        <f>IF(B946="","","")</f>
        <v/>
      </c>
      <c r="H946" s="17">
        <f>IF(B946="","","")</f>
        <v/>
      </c>
      <c r="I946" s="17">
        <f>IF(B946="","",IF(Brand_Log!N146="","",Brand_Log!N146&amp;""))</f>
        <v/>
      </c>
      <c r="J946" s="17">
        <f>IF(B946="","","")</f>
        <v/>
      </c>
      <c r="K946" t="inlineStr">
        <is>
          <t>brand yes_in_principle</t>
        </is>
      </c>
    </row>
    <row r="947">
      <c r="A947" s="17">
        <f>IF(B947="","",B947+(5*1000+146)/10000000)</f>
        <v/>
      </c>
      <c r="B947" s="23">
        <f>IF(AND(Brand_Log!AN147=1,Brand_Log!AF147="Y"),Brand_Log!G147,"")</f>
        <v/>
      </c>
      <c r="C947" s="17">
        <f>IF(B947="","","brand")</f>
        <v/>
      </c>
      <c r="D947" s="17">
        <f>IF(B947="","",Brand_Log!$A147&amp;"")</f>
        <v/>
      </c>
      <c r="E947" s="17">
        <f>IF(B947="","",IF(Brand_Log!B147="","",Brand_Log!B147&amp;""))</f>
        <v/>
      </c>
      <c r="F947" s="17">
        <f>IF(B947="","","yes_in_principle")</f>
        <v/>
      </c>
      <c r="G947" s="17">
        <f>IF(B947="","","")</f>
        <v/>
      </c>
      <c r="H947" s="17">
        <f>IF(B947="","","")</f>
        <v/>
      </c>
      <c r="I947" s="17">
        <f>IF(B947="","",IF(Brand_Log!N147="","",Brand_Log!N147&amp;""))</f>
        <v/>
      </c>
      <c r="J947" s="17">
        <f>IF(B947="","","")</f>
        <v/>
      </c>
      <c r="K947" t="inlineStr">
        <is>
          <t>brand yes_in_principle</t>
        </is>
      </c>
    </row>
    <row r="948">
      <c r="A948" s="17">
        <f>IF(B948="","",B948+(5*1000+147)/10000000)</f>
        <v/>
      </c>
      <c r="B948" s="23">
        <f>IF(AND(Brand_Log!AN148=1,Brand_Log!AF148="Y"),Brand_Log!G148,"")</f>
        <v/>
      </c>
      <c r="C948" s="17">
        <f>IF(B948="","","brand")</f>
        <v/>
      </c>
      <c r="D948" s="17">
        <f>IF(B948="","",Brand_Log!$A148&amp;"")</f>
        <v/>
      </c>
      <c r="E948" s="17">
        <f>IF(B948="","",IF(Brand_Log!B148="","",Brand_Log!B148&amp;""))</f>
        <v/>
      </c>
      <c r="F948" s="17">
        <f>IF(B948="","","yes_in_principle")</f>
        <v/>
      </c>
      <c r="G948" s="17">
        <f>IF(B948="","","")</f>
        <v/>
      </c>
      <c r="H948" s="17">
        <f>IF(B948="","","")</f>
        <v/>
      </c>
      <c r="I948" s="17">
        <f>IF(B948="","",IF(Brand_Log!N148="","",Brand_Log!N148&amp;""))</f>
        <v/>
      </c>
      <c r="J948" s="17">
        <f>IF(B948="","","")</f>
        <v/>
      </c>
      <c r="K948" t="inlineStr">
        <is>
          <t>brand yes_in_principle</t>
        </is>
      </c>
    </row>
    <row r="949">
      <c r="A949" s="17">
        <f>IF(B949="","",B949+(5*1000+148)/10000000)</f>
        <v/>
      </c>
      <c r="B949" s="23">
        <f>IF(AND(Brand_Log!AN149=1,Brand_Log!AF149="Y"),Brand_Log!G149,"")</f>
        <v/>
      </c>
      <c r="C949" s="17">
        <f>IF(B949="","","brand")</f>
        <v/>
      </c>
      <c r="D949" s="17">
        <f>IF(B949="","",Brand_Log!$A149&amp;"")</f>
        <v/>
      </c>
      <c r="E949" s="17">
        <f>IF(B949="","",IF(Brand_Log!B149="","",Brand_Log!B149&amp;""))</f>
        <v/>
      </c>
      <c r="F949" s="17">
        <f>IF(B949="","","yes_in_principle")</f>
        <v/>
      </c>
      <c r="G949" s="17">
        <f>IF(B949="","","")</f>
        <v/>
      </c>
      <c r="H949" s="17">
        <f>IF(B949="","","")</f>
        <v/>
      </c>
      <c r="I949" s="17">
        <f>IF(B949="","",IF(Brand_Log!N149="","",Brand_Log!N149&amp;""))</f>
        <v/>
      </c>
      <c r="J949" s="17">
        <f>IF(B949="","","")</f>
        <v/>
      </c>
      <c r="K949" t="inlineStr">
        <is>
          <t>brand yes_in_principle</t>
        </is>
      </c>
    </row>
    <row r="950">
      <c r="A950" s="17">
        <f>IF(B950="","",B950+(5*1000+149)/10000000)</f>
        <v/>
      </c>
      <c r="B950" s="23">
        <f>IF(AND(Brand_Log!AN150=1,Brand_Log!AF150="Y"),Brand_Log!G150,"")</f>
        <v/>
      </c>
      <c r="C950" s="17">
        <f>IF(B950="","","brand")</f>
        <v/>
      </c>
      <c r="D950" s="17">
        <f>IF(B950="","",Brand_Log!$A150&amp;"")</f>
        <v/>
      </c>
      <c r="E950" s="17">
        <f>IF(B950="","",IF(Brand_Log!B150="","",Brand_Log!B150&amp;""))</f>
        <v/>
      </c>
      <c r="F950" s="17">
        <f>IF(B950="","","yes_in_principle")</f>
        <v/>
      </c>
      <c r="G950" s="17">
        <f>IF(B950="","","")</f>
        <v/>
      </c>
      <c r="H950" s="17">
        <f>IF(B950="","","")</f>
        <v/>
      </c>
      <c r="I950" s="17">
        <f>IF(B950="","",IF(Brand_Log!N150="","",Brand_Log!N150&amp;""))</f>
        <v/>
      </c>
      <c r="J950" s="17">
        <f>IF(B950="","","")</f>
        <v/>
      </c>
      <c r="K950" t="inlineStr">
        <is>
          <t>brand yes_in_principle</t>
        </is>
      </c>
    </row>
    <row r="951">
      <c r="A951" s="17">
        <f>IF(B951="","",B951+(5*1000+150)/10000000)</f>
        <v/>
      </c>
      <c r="B951" s="23">
        <f>IF(AND(Brand_Log!AN151=1,Brand_Log!AF151="Y"),Brand_Log!G151,"")</f>
        <v/>
      </c>
      <c r="C951" s="17">
        <f>IF(B951="","","brand")</f>
        <v/>
      </c>
      <c r="D951" s="17">
        <f>IF(B951="","",Brand_Log!$A151&amp;"")</f>
        <v/>
      </c>
      <c r="E951" s="17">
        <f>IF(B951="","",IF(Brand_Log!B151="","",Brand_Log!B151&amp;""))</f>
        <v/>
      </c>
      <c r="F951" s="17">
        <f>IF(B951="","","yes_in_principle")</f>
        <v/>
      </c>
      <c r="G951" s="17">
        <f>IF(B951="","","")</f>
        <v/>
      </c>
      <c r="H951" s="17">
        <f>IF(B951="","","")</f>
        <v/>
      </c>
      <c r="I951" s="17">
        <f>IF(B951="","",IF(Brand_Log!N151="","",Brand_Log!N151&amp;""))</f>
        <v/>
      </c>
      <c r="J951" s="17">
        <f>IF(B951="","","")</f>
        <v/>
      </c>
      <c r="K951" t="inlineStr">
        <is>
          <t>brand yes_in_principle</t>
        </is>
      </c>
    </row>
    <row r="952">
      <c r="A952" s="17">
        <f>IF(B952="","",B952+(5*1000+151)/10000000)</f>
        <v/>
      </c>
      <c r="B952" s="23">
        <f>IF(AND(Brand_Log!AN152=1,Brand_Log!AF152="Y"),Brand_Log!G152,"")</f>
        <v/>
      </c>
      <c r="C952" s="17">
        <f>IF(B952="","","brand")</f>
        <v/>
      </c>
      <c r="D952" s="17">
        <f>IF(B952="","",Brand_Log!$A152&amp;"")</f>
        <v/>
      </c>
      <c r="E952" s="17">
        <f>IF(B952="","",IF(Brand_Log!B152="","",Brand_Log!B152&amp;""))</f>
        <v/>
      </c>
      <c r="F952" s="17">
        <f>IF(B952="","","yes_in_principle")</f>
        <v/>
      </c>
      <c r="G952" s="17">
        <f>IF(B952="","","")</f>
        <v/>
      </c>
      <c r="H952" s="17">
        <f>IF(B952="","","")</f>
        <v/>
      </c>
      <c r="I952" s="17">
        <f>IF(B952="","",IF(Brand_Log!N152="","",Brand_Log!N152&amp;""))</f>
        <v/>
      </c>
      <c r="J952" s="17">
        <f>IF(B952="","","")</f>
        <v/>
      </c>
      <c r="K952" t="inlineStr">
        <is>
          <t>brand yes_in_principle</t>
        </is>
      </c>
    </row>
    <row r="953">
      <c r="A953" s="17">
        <f>IF(B953="","",B953+(5*1000+152)/10000000)</f>
        <v/>
      </c>
      <c r="B953" s="23">
        <f>IF(AND(Brand_Log!AN153=1,Brand_Log!AF153="Y"),Brand_Log!G153,"")</f>
        <v/>
      </c>
      <c r="C953" s="17">
        <f>IF(B953="","","brand")</f>
        <v/>
      </c>
      <c r="D953" s="17">
        <f>IF(B953="","",Brand_Log!$A153&amp;"")</f>
        <v/>
      </c>
      <c r="E953" s="17">
        <f>IF(B953="","",IF(Brand_Log!B153="","",Brand_Log!B153&amp;""))</f>
        <v/>
      </c>
      <c r="F953" s="17">
        <f>IF(B953="","","yes_in_principle")</f>
        <v/>
      </c>
      <c r="G953" s="17">
        <f>IF(B953="","","")</f>
        <v/>
      </c>
      <c r="H953" s="17">
        <f>IF(B953="","","")</f>
        <v/>
      </c>
      <c r="I953" s="17">
        <f>IF(B953="","",IF(Brand_Log!N153="","",Brand_Log!N153&amp;""))</f>
        <v/>
      </c>
      <c r="J953" s="17">
        <f>IF(B953="","","")</f>
        <v/>
      </c>
      <c r="K953" t="inlineStr">
        <is>
          <t>brand yes_in_principle</t>
        </is>
      </c>
    </row>
    <row r="954">
      <c r="A954" s="17">
        <f>IF(B954="","",B954+(5*1000+153)/10000000)</f>
        <v/>
      </c>
      <c r="B954" s="23">
        <f>IF(AND(Brand_Log!AN154=1,Brand_Log!AF154="Y"),Brand_Log!G154,"")</f>
        <v/>
      </c>
      <c r="C954" s="17">
        <f>IF(B954="","","brand")</f>
        <v/>
      </c>
      <c r="D954" s="17">
        <f>IF(B954="","",Brand_Log!$A154&amp;"")</f>
        <v/>
      </c>
      <c r="E954" s="17">
        <f>IF(B954="","",IF(Brand_Log!B154="","",Brand_Log!B154&amp;""))</f>
        <v/>
      </c>
      <c r="F954" s="17">
        <f>IF(B954="","","yes_in_principle")</f>
        <v/>
      </c>
      <c r="G954" s="17">
        <f>IF(B954="","","")</f>
        <v/>
      </c>
      <c r="H954" s="17">
        <f>IF(B954="","","")</f>
        <v/>
      </c>
      <c r="I954" s="17">
        <f>IF(B954="","",IF(Brand_Log!N154="","",Brand_Log!N154&amp;""))</f>
        <v/>
      </c>
      <c r="J954" s="17">
        <f>IF(B954="","","")</f>
        <v/>
      </c>
      <c r="K954" t="inlineStr">
        <is>
          <t>brand yes_in_principle</t>
        </is>
      </c>
    </row>
    <row r="955">
      <c r="A955" s="17">
        <f>IF(B955="","",B955+(5*1000+154)/10000000)</f>
        <v/>
      </c>
      <c r="B955" s="23">
        <f>IF(AND(Brand_Log!AN155=1,Brand_Log!AF155="Y"),Brand_Log!G155,"")</f>
        <v/>
      </c>
      <c r="C955" s="17">
        <f>IF(B955="","","brand")</f>
        <v/>
      </c>
      <c r="D955" s="17">
        <f>IF(B955="","",Brand_Log!$A155&amp;"")</f>
        <v/>
      </c>
      <c r="E955" s="17">
        <f>IF(B955="","",IF(Brand_Log!B155="","",Brand_Log!B155&amp;""))</f>
        <v/>
      </c>
      <c r="F955" s="17">
        <f>IF(B955="","","yes_in_principle")</f>
        <v/>
      </c>
      <c r="G955" s="17">
        <f>IF(B955="","","")</f>
        <v/>
      </c>
      <c r="H955" s="17">
        <f>IF(B955="","","")</f>
        <v/>
      </c>
      <c r="I955" s="17">
        <f>IF(B955="","",IF(Brand_Log!N155="","",Brand_Log!N155&amp;""))</f>
        <v/>
      </c>
      <c r="J955" s="17">
        <f>IF(B955="","","")</f>
        <v/>
      </c>
      <c r="K955" t="inlineStr">
        <is>
          <t>brand yes_in_principle</t>
        </is>
      </c>
    </row>
    <row r="956">
      <c r="A956" s="17">
        <f>IF(B956="","",B956+(5*1000+155)/10000000)</f>
        <v/>
      </c>
      <c r="B956" s="23">
        <f>IF(AND(Brand_Log!AN156=1,Brand_Log!AF156="Y"),Brand_Log!G156,"")</f>
        <v/>
      </c>
      <c r="C956" s="17">
        <f>IF(B956="","","brand")</f>
        <v/>
      </c>
      <c r="D956" s="17">
        <f>IF(B956="","",Brand_Log!$A156&amp;"")</f>
        <v/>
      </c>
      <c r="E956" s="17">
        <f>IF(B956="","",IF(Brand_Log!B156="","",Brand_Log!B156&amp;""))</f>
        <v/>
      </c>
      <c r="F956" s="17">
        <f>IF(B956="","","yes_in_principle")</f>
        <v/>
      </c>
      <c r="G956" s="17">
        <f>IF(B956="","","")</f>
        <v/>
      </c>
      <c r="H956" s="17">
        <f>IF(B956="","","")</f>
        <v/>
      </c>
      <c r="I956" s="17">
        <f>IF(B956="","",IF(Brand_Log!N156="","",Brand_Log!N156&amp;""))</f>
        <v/>
      </c>
      <c r="J956" s="17">
        <f>IF(B956="","","")</f>
        <v/>
      </c>
      <c r="K956" t="inlineStr">
        <is>
          <t>brand yes_in_principle</t>
        </is>
      </c>
    </row>
    <row r="957">
      <c r="A957" s="17">
        <f>IF(B957="","",B957+(5*1000+156)/10000000)</f>
        <v/>
      </c>
      <c r="B957" s="23">
        <f>IF(AND(Brand_Log!AN157=1,Brand_Log!AF157="Y"),Brand_Log!G157,"")</f>
        <v/>
      </c>
      <c r="C957" s="17">
        <f>IF(B957="","","brand")</f>
        <v/>
      </c>
      <c r="D957" s="17">
        <f>IF(B957="","",Brand_Log!$A157&amp;"")</f>
        <v/>
      </c>
      <c r="E957" s="17">
        <f>IF(B957="","",IF(Brand_Log!B157="","",Brand_Log!B157&amp;""))</f>
        <v/>
      </c>
      <c r="F957" s="17">
        <f>IF(B957="","","yes_in_principle")</f>
        <v/>
      </c>
      <c r="G957" s="17">
        <f>IF(B957="","","")</f>
        <v/>
      </c>
      <c r="H957" s="17">
        <f>IF(B957="","","")</f>
        <v/>
      </c>
      <c r="I957" s="17">
        <f>IF(B957="","",IF(Brand_Log!N157="","",Brand_Log!N157&amp;""))</f>
        <v/>
      </c>
      <c r="J957" s="17">
        <f>IF(B957="","","")</f>
        <v/>
      </c>
      <c r="K957" t="inlineStr">
        <is>
          <t>brand yes_in_principle</t>
        </is>
      </c>
    </row>
    <row r="958">
      <c r="A958" s="17">
        <f>IF(B958="","",B958+(5*1000+157)/10000000)</f>
        <v/>
      </c>
      <c r="B958" s="23">
        <f>IF(AND(Brand_Log!AN158=1,Brand_Log!AF158="Y"),Brand_Log!G158,"")</f>
        <v/>
      </c>
      <c r="C958" s="17">
        <f>IF(B958="","","brand")</f>
        <v/>
      </c>
      <c r="D958" s="17">
        <f>IF(B958="","",Brand_Log!$A158&amp;"")</f>
        <v/>
      </c>
      <c r="E958" s="17">
        <f>IF(B958="","",IF(Brand_Log!B158="","",Brand_Log!B158&amp;""))</f>
        <v/>
      </c>
      <c r="F958" s="17">
        <f>IF(B958="","","yes_in_principle")</f>
        <v/>
      </c>
      <c r="G958" s="17">
        <f>IF(B958="","","")</f>
        <v/>
      </c>
      <c r="H958" s="17">
        <f>IF(B958="","","")</f>
        <v/>
      </c>
      <c r="I958" s="17">
        <f>IF(B958="","",IF(Brand_Log!N158="","",Brand_Log!N158&amp;""))</f>
        <v/>
      </c>
      <c r="J958" s="17">
        <f>IF(B958="","","")</f>
        <v/>
      </c>
      <c r="K958" t="inlineStr">
        <is>
          <t>brand yes_in_principle</t>
        </is>
      </c>
    </row>
    <row r="959">
      <c r="A959" s="17">
        <f>IF(B959="","",B959+(5*1000+158)/10000000)</f>
        <v/>
      </c>
      <c r="B959" s="23">
        <f>IF(AND(Brand_Log!AN159=1,Brand_Log!AF159="Y"),Brand_Log!G159,"")</f>
        <v/>
      </c>
      <c r="C959" s="17">
        <f>IF(B959="","","brand")</f>
        <v/>
      </c>
      <c r="D959" s="17">
        <f>IF(B959="","",Brand_Log!$A159&amp;"")</f>
        <v/>
      </c>
      <c r="E959" s="17">
        <f>IF(B959="","",IF(Brand_Log!B159="","",Brand_Log!B159&amp;""))</f>
        <v/>
      </c>
      <c r="F959" s="17">
        <f>IF(B959="","","yes_in_principle")</f>
        <v/>
      </c>
      <c r="G959" s="17">
        <f>IF(B959="","","")</f>
        <v/>
      </c>
      <c r="H959" s="17">
        <f>IF(B959="","","")</f>
        <v/>
      </c>
      <c r="I959" s="17">
        <f>IF(B959="","",IF(Brand_Log!N159="","",Brand_Log!N159&amp;""))</f>
        <v/>
      </c>
      <c r="J959" s="17">
        <f>IF(B959="","","")</f>
        <v/>
      </c>
      <c r="K959" t="inlineStr">
        <is>
          <t>brand yes_in_principle</t>
        </is>
      </c>
    </row>
    <row r="960">
      <c r="A960" s="17">
        <f>IF(B960="","",B960+(5*1000+159)/10000000)</f>
        <v/>
      </c>
      <c r="B960" s="23">
        <f>IF(AND(Brand_Log!AN160=1,Brand_Log!AF160="Y"),Brand_Log!G160,"")</f>
        <v/>
      </c>
      <c r="C960" s="17">
        <f>IF(B960="","","brand")</f>
        <v/>
      </c>
      <c r="D960" s="17">
        <f>IF(B960="","",Brand_Log!$A160&amp;"")</f>
        <v/>
      </c>
      <c r="E960" s="17">
        <f>IF(B960="","",IF(Brand_Log!B160="","",Brand_Log!B160&amp;""))</f>
        <v/>
      </c>
      <c r="F960" s="17">
        <f>IF(B960="","","yes_in_principle")</f>
        <v/>
      </c>
      <c r="G960" s="17">
        <f>IF(B960="","","")</f>
        <v/>
      </c>
      <c r="H960" s="17">
        <f>IF(B960="","","")</f>
        <v/>
      </c>
      <c r="I960" s="17">
        <f>IF(B960="","",IF(Brand_Log!N160="","",Brand_Log!N160&amp;""))</f>
        <v/>
      </c>
      <c r="J960" s="17">
        <f>IF(B960="","","")</f>
        <v/>
      </c>
      <c r="K960" t="inlineStr">
        <is>
          <t>brand yes_in_principle</t>
        </is>
      </c>
    </row>
    <row r="961">
      <c r="A961" s="17">
        <f>IF(B961="","",B961+(5*1000+160)/10000000)</f>
        <v/>
      </c>
      <c r="B961" s="23">
        <f>IF(AND(Brand_Log!AN161=1,Brand_Log!AF161="Y"),Brand_Log!G161,"")</f>
        <v/>
      </c>
      <c r="C961" s="17">
        <f>IF(B961="","","brand")</f>
        <v/>
      </c>
      <c r="D961" s="17">
        <f>IF(B961="","",Brand_Log!$A161&amp;"")</f>
        <v/>
      </c>
      <c r="E961" s="17">
        <f>IF(B961="","",IF(Brand_Log!B161="","",Brand_Log!B161&amp;""))</f>
        <v/>
      </c>
      <c r="F961" s="17">
        <f>IF(B961="","","yes_in_principle")</f>
        <v/>
      </c>
      <c r="G961" s="17">
        <f>IF(B961="","","")</f>
        <v/>
      </c>
      <c r="H961" s="17">
        <f>IF(B961="","","")</f>
        <v/>
      </c>
      <c r="I961" s="17">
        <f>IF(B961="","",IF(Brand_Log!N161="","",Brand_Log!N161&amp;""))</f>
        <v/>
      </c>
      <c r="J961" s="17">
        <f>IF(B961="","","")</f>
        <v/>
      </c>
      <c r="K961" t="inlineStr">
        <is>
          <t>brand yes_in_principle</t>
        </is>
      </c>
    </row>
    <row r="962">
      <c r="A962" s="17">
        <f>IF(B962="","",B962+(5*1000+161)/10000000)</f>
        <v/>
      </c>
      <c r="B962" s="23">
        <f>IF(AND(Brand_Log!AN162=1,Brand_Log!AF162="Y"),Brand_Log!G162,"")</f>
        <v/>
      </c>
      <c r="C962" s="17">
        <f>IF(B962="","","brand")</f>
        <v/>
      </c>
      <c r="D962" s="17">
        <f>IF(B962="","",Brand_Log!$A162&amp;"")</f>
        <v/>
      </c>
      <c r="E962" s="17">
        <f>IF(B962="","",IF(Brand_Log!B162="","",Brand_Log!B162&amp;""))</f>
        <v/>
      </c>
      <c r="F962" s="17">
        <f>IF(B962="","","yes_in_principle")</f>
        <v/>
      </c>
      <c r="G962" s="17">
        <f>IF(B962="","","")</f>
        <v/>
      </c>
      <c r="H962" s="17">
        <f>IF(B962="","","")</f>
        <v/>
      </c>
      <c r="I962" s="17">
        <f>IF(B962="","",IF(Brand_Log!N162="","",Brand_Log!N162&amp;""))</f>
        <v/>
      </c>
      <c r="J962" s="17">
        <f>IF(B962="","","")</f>
        <v/>
      </c>
      <c r="K962" t="inlineStr">
        <is>
          <t>brand yes_in_principle</t>
        </is>
      </c>
    </row>
    <row r="963">
      <c r="A963" s="17">
        <f>IF(B963="","",B963+(5*1000+162)/10000000)</f>
        <v/>
      </c>
      <c r="B963" s="23">
        <f>IF(AND(Brand_Log!AN163=1,Brand_Log!AF163="Y"),Brand_Log!G163,"")</f>
        <v/>
      </c>
      <c r="C963" s="17">
        <f>IF(B963="","","brand")</f>
        <v/>
      </c>
      <c r="D963" s="17">
        <f>IF(B963="","",Brand_Log!$A163&amp;"")</f>
        <v/>
      </c>
      <c r="E963" s="17">
        <f>IF(B963="","",IF(Brand_Log!B163="","",Brand_Log!B163&amp;""))</f>
        <v/>
      </c>
      <c r="F963" s="17">
        <f>IF(B963="","","yes_in_principle")</f>
        <v/>
      </c>
      <c r="G963" s="17">
        <f>IF(B963="","","")</f>
        <v/>
      </c>
      <c r="H963" s="17">
        <f>IF(B963="","","")</f>
        <v/>
      </c>
      <c r="I963" s="17">
        <f>IF(B963="","",IF(Brand_Log!N163="","",Brand_Log!N163&amp;""))</f>
        <v/>
      </c>
      <c r="J963" s="17">
        <f>IF(B963="","","")</f>
        <v/>
      </c>
      <c r="K963" t="inlineStr">
        <is>
          <t>brand yes_in_principle</t>
        </is>
      </c>
    </row>
    <row r="964">
      <c r="A964" s="17">
        <f>IF(B964="","",B964+(5*1000+163)/10000000)</f>
        <v/>
      </c>
      <c r="B964" s="23">
        <f>IF(AND(Brand_Log!AN164=1,Brand_Log!AF164="Y"),Brand_Log!G164,"")</f>
        <v/>
      </c>
      <c r="C964" s="17">
        <f>IF(B964="","","brand")</f>
        <v/>
      </c>
      <c r="D964" s="17">
        <f>IF(B964="","",Brand_Log!$A164&amp;"")</f>
        <v/>
      </c>
      <c r="E964" s="17">
        <f>IF(B964="","",IF(Brand_Log!B164="","",Brand_Log!B164&amp;""))</f>
        <v/>
      </c>
      <c r="F964" s="17">
        <f>IF(B964="","","yes_in_principle")</f>
        <v/>
      </c>
      <c r="G964" s="17">
        <f>IF(B964="","","")</f>
        <v/>
      </c>
      <c r="H964" s="17">
        <f>IF(B964="","","")</f>
        <v/>
      </c>
      <c r="I964" s="17">
        <f>IF(B964="","",IF(Brand_Log!N164="","",Brand_Log!N164&amp;""))</f>
        <v/>
      </c>
      <c r="J964" s="17">
        <f>IF(B964="","","")</f>
        <v/>
      </c>
      <c r="K964" t="inlineStr">
        <is>
          <t>brand yes_in_principle</t>
        </is>
      </c>
    </row>
    <row r="965">
      <c r="A965" s="17">
        <f>IF(B965="","",B965+(5*1000+164)/10000000)</f>
        <v/>
      </c>
      <c r="B965" s="23">
        <f>IF(AND(Brand_Log!AN165=1,Brand_Log!AF165="Y"),Brand_Log!G165,"")</f>
        <v/>
      </c>
      <c r="C965" s="17">
        <f>IF(B965="","","brand")</f>
        <v/>
      </c>
      <c r="D965" s="17">
        <f>IF(B965="","",Brand_Log!$A165&amp;"")</f>
        <v/>
      </c>
      <c r="E965" s="17">
        <f>IF(B965="","",IF(Brand_Log!B165="","",Brand_Log!B165&amp;""))</f>
        <v/>
      </c>
      <c r="F965" s="17">
        <f>IF(B965="","","yes_in_principle")</f>
        <v/>
      </c>
      <c r="G965" s="17">
        <f>IF(B965="","","")</f>
        <v/>
      </c>
      <c r="H965" s="17">
        <f>IF(B965="","","")</f>
        <v/>
      </c>
      <c r="I965" s="17">
        <f>IF(B965="","",IF(Brand_Log!N165="","",Brand_Log!N165&amp;""))</f>
        <v/>
      </c>
      <c r="J965" s="17">
        <f>IF(B965="","","")</f>
        <v/>
      </c>
      <c r="K965" t="inlineStr">
        <is>
          <t>brand yes_in_principle</t>
        </is>
      </c>
    </row>
    <row r="966">
      <c r="A966" s="17">
        <f>IF(B966="","",B966+(5*1000+165)/10000000)</f>
        <v/>
      </c>
      <c r="B966" s="23">
        <f>IF(AND(Brand_Log!AN166=1,Brand_Log!AF166="Y"),Brand_Log!G166,"")</f>
        <v/>
      </c>
      <c r="C966" s="17">
        <f>IF(B966="","","brand")</f>
        <v/>
      </c>
      <c r="D966" s="17">
        <f>IF(B966="","",Brand_Log!$A166&amp;"")</f>
        <v/>
      </c>
      <c r="E966" s="17">
        <f>IF(B966="","",IF(Brand_Log!B166="","",Brand_Log!B166&amp;""))</f>
        <v/>
      </c>
      <c r="F966" s="17">
        <f>IF(B966="","","yes_in_principle")</f>
        <v/>
      </c>
      <c r="G966" s="17">
        <f>IF(B966="","","")</f>
        <v/>
      </c>
      <c r="H966" s="17">
        <f>IF(B966="","","")</f>
        <v/>
      </c>
      <c r="I966" s="17">
        <f>IF(B966="","",IF(Brand_Log!N166="","",Brand_Log!N166&amp;""))</f>
        <v/>
      </c>
      <c r="J966" s="17">
        <f>IF(B966="","","")</f>
        <v/>
      </c>
      <c r="K966" t="inlineStr">
        <is>
          <t>brand yes_in_principle</t>
        </is>
      </c>
    </row>
    <row r="967">
      <c r="A967" s="17">
        <f>IF(B967="","",B967+(5*1000+166)/10000000)</f>
        <v/>
      </c>
      <c r="B967" s="23">
        <f>IF(AND(Brand_Log!AN167=1,Brand_Log!AF167="Y"),Brand_Log!G167,"")</f>
        <v/>
      </c>
      <c r="C967" s="17">
        <f>IF(B967="","","brand")</f>
        <v/>
      </c>
      <c r="D967" s="17">
        <f>IF(B967="","",Brand_Log!$A167&amp;"")</f>
        <v/>
      </c>
      <c r="E967" s="17">
        <f>IF(B967="","",IF(Brand_Log!B167="","",Brand_Log!B167&amp;""))</f>
        <v/>
      </c>
      <c r="F967" s="17">
        <f>IF(B967="","","yes_in_principle")</f>
        <v/>
      </c>
      <c r="G967" s="17">
        <f>IF(B967="","","")</f>
        <v/>
      </c>
      <c r="H967" s="17">
        <f>IF(B967="","","")</f>
        <v/>
      </c>
      <c r="I967" s="17">
        <f>IF(B967="","",IF(Brand_Log!N167="","",Brand_Log!N167&amp;""))</f>
        <v/>
      </c>
      <c r="J967" s="17">
        <f>IF(B967="","","")</f>
        <v/>
      </c>
      <c r="K967" t="inlineStr">
        <is>
          <t>brand yes_in_principle</t>
        </is>
      </c>
    </row>
    <row r="968">
      <c r="A968" s="17">
        <f>IF(B968="","",B968+(5*1000+167)/10000000)</f>
        <v/>
      </c>
      <c r="B968" s="23">
        <f>IF(AND(Brand_Log!AN168=1,Brand_Log!AF168="Y"),Brand_Log!G168,"")</f>
        <v/>
      </c>
      <c r="C968" s="17">
        <f>IF(B968="","","brand")</f>
        <v/>
      </c>
      <c r="D968" s="17">
        <f>IF(B968="","",Brand_Log!$A168&amp;"")</f>
        <v/>
      </c>
      <c r="E968" s="17">
        <f>IF(B968="","",IF(Brand_Log!B168="","",Brand_Log!B168&amp;""))</f>
        <v/>
      </c>
      <c r="F968" s="17">
        <f>IF(B968="","","yes_in_principle")</f>
        <v/>
      </c>
      <c r="G968" s="17">
        <f>IF(B968="","","")</f>
        <v/>
      </c>
      <c r="H968" s="17">
        <f>IF(B968="","","")</f>
        <v/>
      </c>
      <c r="I968" s="17">
        <f>IF(B968="","",IF(Brand_Log!N168="","",Brand_Log!N168&amp;""))</f>
        <v/>
      </c>
      <c r="J968" s="17">
        <f>IF(B968="","","")</f>
        <v/>
      </c>
      <c r="K968" t="inlineStr">
        <is>
          <t>brand yes_in_principle</t>
        </is>
      </c>
    </row>
    <row r="969">
      <c r="A969" s="17">
        <f>IF(B969="","",B969+(5*1000+168)/10000000)</f>
        <v/>
      </c>
      <c r="B969" s="23">
        <f>IF(AND(Brand_Log!AN169=1,Brand_Log!AF169="Y"),Brand_Log!G169,"")</f>
        <v/>
      </c>
      <c r="C969" s="17">
        <f>IF(B969="","","brand")</f>
        <v/>
      </c>
      <c r="D969" s="17">
        <f>IF(B969="","",Brand_Log!$A169&amp;"")</f>
        <v/>
      </c>
      <c r="E969" s="17">
        <f>IF(B969="","",IF(Brand_Log!B169="","",Brand_Log!B169&amp;""))</f>
        <v/>
      </c>
      <c r="F969" s="17">
        <f>IF(B969="","","yes_in_principle")</f>
        <v/>
      </c>
      <c r="G969" s="17">
        <f>IF(B969="","","")</f>
        <v/>
      </c>
      <c r="H969" s="17">
        <f>IF(B969="","","")</f>
        <v/>
      </c>
      <c r="I969" s="17">
        <f>IF(B969="","",IF(Brand_Log!N169="","",Brand_Log!N169&amp;""))</f>
        <v/>
      </c>
      <c r="J969" s="17">
        <f>IF(B969="","","")</f>
        <v/>
      </c>
      <c r="K969" t="inlineStr">
        <is>
          <t>brand yes_in_principle</t>
        </is>
      </c>
    </row>
    <row r="970">
      <c r="A970" s="17">
        <f>IF(B970="","",B970+(5*1000+169)/10000000)</f>
        <v/>
      </c>
      <c r="B970" s="23">
        <f>IF(AND(Brand_Log!AN170=1,Brand_Log!AF170="Y"),Brand_Log!G170,"")</f>
        <v/>
      </c>
      <c r="C970" s="17">
        <f>IF(B970="","","brand")</f>
        <v/>
      </c>
      <c r="D970" s="17">
        <f>IF(B970="","",Brand_Log!$A170&amp;"")</f>
        <v/>
      </c>
      <c r="E970" s="17">
        <f>IF(B970="","",IF(Brand_Log!B170="","",Brand_Log!B170&amp;""))</f>
        <v/>
      </c>
      <c r="F970" s="17">
        <f>IF(B970="","","yes_in_principle")</f>
        <v/>
      </c>
      <c r="G970" s="17">
        <f>IF(B970="","","")</f>
        <v/>
      </c>
      <c r="H970" s="17">
        <f>IF(B970="","","")</f>
        <v/>
      </c>
      <c r="I970" s="17">
        <f>IF(B970="","",IF(Brand_Log!N170="","",Brand_Log!N170&amp;""))</f>
        <v/>
      </c>
      <c r="J970" s="17">
        <f>IF(B970="","","")</f>
        <v/>
      </c>
      <c r="K970" t="inlineStr">
        <is>
          <t>brand yes_in_principle</t>
        </is>
      </c>
    </row>
    <row r="971">
      <c r="A971" s="17">
        <f>IF(B971="","",B971+(5*1000+170)/10000000)</f>
        <v/>
      </c>
      <c r="B971" s="23">
        <f>IF(AND(Brand_Log!AN171=1,Brand_Log!AF171="Y"),Brand_Log!G171,"")</f>
        <v/>
      </c>
      <c r="C971" s="17">
        <f>IF(B971="","","brand")</f>
        <v/>
      </c>
      <c r="D971" s="17">
        <f>IF(B971="","",Brand_Log!$A171&amp;"")</f>
        <v/>
      </c>
      <c r="E971" s="17">
        <f>IF(B971="","",IF(Brand_Log!B171="","",Brand_Log!B171&amp;""))</f>
        <v/>
      </c>
      <c r="F971" s="17">
        <f>IF(B971="","","yes_in_principle")</f>
        <v/>
      </c>
      <c r="G971" s="17">
        <f>IF(B971="","","")</f>
        <v/>
      </c>
      <c r="H971" s="17">
        <f>IF(B971="","","")</f>
        <v/>
      </c>
      <c r="I971" s="17">
        <f>IF(B971="","",IF(Brand_Log!N171="","",Brand_Log!N171&amp;""))</f>
        <v/>
      </c>
      <c r="J971" s="17">
        <f>IF(B971="","","")</f>
        <v/>
      </c>
      <c r="K971" t="inlineStr">
        <is>
          <t>brand yes_in_principle</t>
        </is>
      </c>
    </row>
    <row r="972">
      <c r="A972" s="17">
        <f>IF(B972="","",B972+(5*1000+171)/10000000)</f>
        <v/>
      </c>
      <c r="B972" s="23">
        <f>IF(AND(Brand_Log!AN172=1,Brand_Log!AF172="Y"),Brand_Log!G172,"")</f>
        <v/>
      </c>
      <c r="C972" s="17">
        <f>IF(B972="","","brand")</f>
        <v/>
      </c>
      <c r="D972" s="17">
        <f>IF(B972="","",Brand_Log!$A172&amp;"")</f>
        <v/>
      </c>
      <c r="E972" s="17">
        <f>IF(B972="","",IF(Brand_Log!B172="","",Brand_Log!B172&amp;""))</f>
        <v/>
      </c>
      <c r="F972" s="17">
        <f>IF(B972="","","yes_in_principle")</f>
        <v/>
      </c>
      <c r="G972" s="17">
        <f>IF(B972="","","")</f>
        <v/>
      </c>
      <c r="H972" s="17">
        <f>IF(B972="","","")</f>
        <v/>
      </c>
      <c r="I972" s="17">
        <f>IF(B972="","",IF(Brand_Log!N172="","",Brand_Log!N172&amp;""))</f>
        <v/>
      </c>
      <c r="J972" s="17">
        <f>IF(B972="","","")</f>
        <v/>
      </c>
      <c r="K972" t="inlineStr">
        <is>
          <t>brand yes_in_principle</t>
        </is>
      </c>
    </row>
    <row r="973">
      <c r="A973" s="17">
        <f>IF(B973="","",B973+(5*1000+172)/10000000)</f>
        <v/>
      </c>
      <c r="B973" s="23">
        <f>IF(AND(Brand_Log!AN173=1,Brand_Log!AF173="Y"),Brand_Log!G173,"")</f>
        <v/>
      </c>
      <c r="C973" s="17">
        <f>IF(B973="","","brand")</f>
        <v/>
      </c>
      <c r="D973" s="17">
        <f>IF(B973="","",Brand_Log!$A173&amp;"")</f>
        <v/>
      </c>
      <c r="E973" s="17">
        <f>IF(B973="","",IF(Brand_Log!B173="","",Brand_Log!B173&amp;""))</f>
        <v/>
      </c>
      <c r="F973" s="17">
        <f>IF(B973="","","yes_in_principle")</f>
        <v/>
      </c>
      <c r="G973" s="17">
        <f>IF(B973="","","")</f>
        <v/>
      </c>
      <c r="H973" s="17">
        <f>IF(B973="","","")</f>
        <v/>
      </c>
      <c r="I973" s="17">
        <f>IF(B973="","",IF(Brand_Log!N173="","",Brand_Log!N173&amp;""))</f>
        <v/>
      </c>
      <c r="J973" s="17">
        <f>IF(B973="","","")</f>
        <v/>
      </c>
      <c r="K973" t="inlineStr">
        <is>
          <t>brand yes_in_principle</t>
        </is>
      </c>
    </row>
    <row r="974">
      <c r="A974" s="17">
        <f>IF(B974="","",B974+(5*1000+173)/10000000)</f>
        <v/>
      </c>
      <c r="B974" s="23">
        <f>IF(AND(Brand_Log!AN174=1,Brand_Log!AF174="Y"),Brand_Log!G174,"")</f>
        <v/>
      </c>
      <c r="C974" s="17">
        <f>IF(B974="","","brand")</f>
        <v/>
      </c>
      <c r="D974" s="17">
        <f>IF(B974="","",Brand_Log!$A174&amp;"")</f>
        <v/>
      </c>
      <c r="E974" s="17">
        <f>IF(B974="","",IF(Brand_Log!B174="","",Brand_Log!B174&amp;""))</f>
        <v/>
      </c>
      <c r="F974" s="17">
        <f>IF(B974="","","yes_in_principle")</f>
        <v/>
      </c>
      <c r="G974" s="17">
        <f>IF(B974="","","")</f>
        <v/>
      </c>
      <c r="H974" s="17">
        <f>IF(B974="","","")</f>
        <v/>
      </c>
      <c r="I974" s="17">
        <f>IF(B974="","",IF(Brand_Log!N174="","",Brand_Log!N174&amp;""))</f>
        <v/>
      </c>
      <c r="J974" s="17">
        <f>IF(B974="","","")</f>
        <v/>
      </c>
      <c r="K974" t="inlineStr">
        <is>
          <t>brand yes_in_principle</t>
        </is>
      </c>
    </row>
    <row r="975">
      <c r="A975" s="17">
        <f>IF(B975="","",B975+(5*1000+174)/10000000)</f>
        <v/>
      </c>
      <c r="B975" s="23">
        <f>IF(AND(Brand_Log!AN175=1,Brand_Log!AF175="Y"),Brand_Log!G175,"")</f>
        <v/>
      </c>
      <c r="C975" s="17">
        <f>IF(B975="","","brand")</f>
        <v/>
      </c>
      <c r="D975" s="17">
        <f>IF(B975="","",Brand_Log!$A175&amp;"")</f>
        <v/>
      </c>
      <c r="E975" s="17">
        <f>IF(B975="","",IF(Brand_Log!B175="","",Brand_Log!B175&amp;""))</f>
        <v/>
      </c>
      <c r="F975" s="17">
        <f>IF(B975="","","yes_in_principle")</f>
        <v/>
      </c>
      <c r="G975" s="17">
        <f>IF(B975="","","")</f>
        <v/>
      </c>
      <c r="H975" s="17">
        <f>IF(B975="","","")</f>
        <v/>
      </c>
      <c r="I975" s="17">
        <f>IF(B975="","",IF(Brand_Log!N175="","",Brand_Log!N175&amp;""))</f>
        <v/>
      </c>
      <c r="J975" s="17">
        <f>IF(B975="","","")</f>
        <v/>
      </c>
      <c r="K975" t="inlineStr">
        <is>
          <t>brand yes_in_principle</t>
        </is>
      </c>
    </row>
    <row r="976">
      <c r="A976" s="17">
        <f>IF(B976="","",B976+(5*1000+175)/10000000)</f>
        <v/>
      </c>
      <c r="B976" s="23">
        <f>IF(AND(Brand_Log!AN176=1,Brand_Log!AF176="Y"),Brand_Log!G176,"")</f>
        <v/>
      </c>
      <c r="C976" s="17">
        <f>IF(B976="","","brand")</f>
        <v/>
      </c>
      <c r="D976" s="17">
        <f>IF(B976="","",Brand_Log!$A176&amp;"")</f>
        <v/>
      </c>
      <c r="E976" s="17">
        <f>IF(B976="","",IF(Brand_Log!B176="","",Brand_Log!B176&amp;""))</f>
        <v/>
      </c>
      <c r="F976" s="17">
        <f>IF(B976="","","yes_in_principle")</f>
        <v/>
      </c>
      <c r="G976" s="17">
        <f>IF(B976="","","")</f>
        <v/>
      </c>
      <c r="H976" s="17">
        <f>IF(B976="","","")</f>
        <v/>
      </c>
      <c r="I976" s="17">
        <f>IF(B976="","",IF(Brand_Log!N176="","",Brand_Log!N176&amp;""))</f>
        <v/>
      </c>
      <c r="J976" s="17">
        <f>IF(B976="","","")</f>
        <v/>
      </c>
      <c r="K976" t="inlineStr">
        <is>
          <t>brand yes_in_principle</t>
        </is>
      </c>
    </row>
    <row r="977">
      <c r="A977" s="17">
        <f>IF(B977="","",B977+(5*1000+176)/10000000)</f>
        <v/>
      </c>
      <c r="B977" s="23">
        <f>IF(AND(Brand_Log!AN177=1,Brand_Log!AF177="Y"),Brand_Log!G177,"")</f>
        <v/>
      </c>
      <c r="C977" s="17">
        <f>IF(B977="","","brand")</f>
        <v/>
      </c>
      <c r="D977" s="17">
        <f>IF(B977="","",Brand_Log!$A177&amp;"")</f>
        <v/>
      </c>
      <c r="E977" s="17">
        <f>IF(B977="","",IF(Brand_Log!B177="","",Brand_Log!B177&amp;""))</f>
        <v/>
      </c>
      <c r="F977" s="17">
        <f>IF(B977="","","yes_in_principle")</f>
        <v/>
      </c>
      <c r="G977" s="17">
        <f>IF(B977="","","")</f>
        <v/>
      </c>
      <c r="H977" s="17">
        <f>IF(B977="","","")</f>
        <v/>
      </c>
      <c r="I977" s="17">
        <f>IF(B977="","",IF(Brand_Log!N177="","",Brand_Log!N177&amp;""))</f>
        <v/>
      </c>
      <c r="J977" s="17">
        <f>IF(B977="","","")</f>
        <v/>
      </c>
      <c r="K977" t="inlineStr">
        <is>
          <t>brand yes_in_principle</t>
        </is>
      </c>
    </row>
    <row r="978">
      <c r="A978" s="17">
        <f>IF(B978="","",B978+(5*1000+177)/10000000)</f>
        <v/>
      </c>
      <c r="B978" s="23">
        <f>IF(AND(Brand_Log!AN178=1,Brand_Log!AF178="Y"),Brand_Log!G178,"")</f>
        <v/>
      </c>
      <c r="C978" s="17">
        <f>IF(B978="","","brand")</f>
        <v/>
      </c>
      <c r="D978" s="17">
        <f>IF(B978="","",Brand_Log!$A178&amp;"")</f>
        <v/>
      </c>
      <c r="E978" s="17">
        <f>IF(B978="","",IF(Brand_Log!B178="","",Brand_Log!B178&amp;""))</f>
        <v/>
      </c>
      <c r="F978" s="17">
        <f>IF(B978="","","yes_in_principle")</f>
        <v/>
      </c>
      <c r="G978" s="17">
        <f>IF(B978="","","")</f>
        <v/>
      </c>
      <c r="H978" s="17">
        <f>IF(B978="","","")</f>
        <v/>
      </c>
      <c r="I978" s="17">
        <f>IF(B978="","",IF(Brand_Log!N178="","",Brand_Log!N178&amp;""))</f>
        <v/>
      </c>
      <c r="J978" s="17">
        <f>IF(B978="","","")</f>
        <v/>
      </c>
      <c r="K978" t="inlineStr">
        <is>
          <t>brand yes_in_principle</t>
        </is>
      </c>
    </row>
    <row r="979">
      <c r="A979" s="17">
        <f>IF(B979="","",B979+(5*1000+178)/10000000)</f>
        <v/>
      </c>
      <c r="B979" s="23">
        <f>IF(AND(Brand_Log!AN179=1,Brand_Log!AF179="Y"),Brand_Log!G179,"")</f>
        <v/>
      </c>
      <c r="C979" s="17">
        <f>IF(B979="","","brand")</f>
        <v/>
      </c>
      <c r="D979" s="17">
        <f>IF(B979="","",Brand_Log!$A179&amp;"")</f>
        <v/>
      </c>
      <c r="E979" s="17">
        <f>IF(B979="","",IF(Brand_Log!B179="","",Brand_Log!B179&amp;""))</f>
        <v/>
      </c>
      <c r="F979" s="17">
        <f>IF(B979="","","yes_in_principle")</f>
        <v/>
      </c>
      <c r="G979" s="17">
        <f>IF(B979="","","")</f>
        <v/>
      </c>
      <c r="H979" s="17">
        <f>IF(B979="","","")</f>
        <v/>
      </c>
      <c r="I979" s="17">
        <f>IF(B979="","",IF(Brand_Log!N179="","",Brand_Log!N179&amp;""))</f>
        <v/>
      </c>
      <c r="J979" s="17">
        <f>IF(B979="","","")</f>
        <v/>
      </c>
      <c r="K979" t="inlineStr">
        <is>
          <t>brand yes_in_principle</t>
        </is>
      </c>
    </row>
    <row r="980">
      <c r="A980" s="17">
        <f>IF(B980="","",B980+(5*1000+179)/10000000)</f>
        <v/>
      </c>
      <c r="B980" s="23">
        <f>IF(AND(Brand_Log!AN180=1,Brand_Log!AF180="Y"),Brand_Log!G180,"")</f>
        <v/>
      </c>
      <c r="C980" s="17">
        <f>IF(B980="","","brand")</f>
        <v/>
      </c>
      <c r="D980" s="17">
        <f>IF(B980="","",Brand_Log!$A180&amp;"")</f>
        <v/>
      </c>
      <c r="E980" s="17">
        <f>IF(B980="","",IF(Brand_Log!B180="","",Brand_Log!B180&amp;""))</f>
        <v/>
      </c>
      <c r="F980" s="17">
        <f>IF(B980="","","yes_in_principle")</f>
        <v/>
      </c>
      <c r="G980" s="17">
        <f>IF(B980="","","")</f>
        <v/>
      </c>
      <c r="H980" s="17">
        <f>IF(B980="","","")</f>
        <v/>
      </c>
      <c r="I980" s="17">
        <f>IF(B980="","",IF(Brand_Log!N180="","",Brand_Log!N180&amp;""))</f>
        <v/>
      </c>
      <c r="J980" s="17">
        <f>IF(B980="","","")</f>
        <v/>
      </c>
      <c r="K980" t="inlineStr">
        <is>
          <t>brand yes_in_principle</t>
        </is>
      </c>
    </row>
    <row r="981">
      <c r="A981" s="17">
        <f>IF(B981="","",B981+(5*1000+180)/10000000)</f>
        <v/>
      </c>
      <c r="B981" s="23">
        <f>IF(AND(Brand_Log!AN181=1,Brand_Log!AF181="Y"),Brand_Log!G181,"")</f>
        <v/>
      </c>
      <c r="C981" s="17">
        <f>IF(B981="","","brand")</f>
        <v/>
      </c>
      <c r="D981" s="17">
        <f>IF(B981="","",Brand_Log!$A181&amp;"")</f>
        <v/>
      </c>
      <c r="E981" s="17">
        <f>IF(B981="","",IF(Brand_Log!B181="","",Brand_Log!B181&amp;""))</f>
        <v/>
      </c>
      <c r="F981" s="17">
        <f>IF(B981="","","yes_in_principle")</f>
        <v/>
      </c>
      <c r="G981" s="17">
        <f>IF(B981="","","")</f>
        <v/>
      </c>
      <c r="H981" s="17">
        <f>IF(B981="","","")</f>
        <v/>
      </c>
      <c r="I981" s="17">
        <f>IF(B981="","",IF(Brand_Log!N181="","",Brand_Log!N181&amp;""))</f>
        <v/>
      </c>
      <c r="J981" s="17">
        <f>IF(B981="","","")</f>
        <v/>
      </c>
      <c r="K981" t="inlineStr">
        <is>
          <t>brand yes_in_principle</t>
        </is>
      </c>
    </row>
    <row r="982">
      <c r="A982" s="17">
        <f>IF(B982="","",B982+(5*1000+181)/10000000)</f>
        <v/>
      </c>
      <c r="B982" s="23">
        <f>IF(AND(Brand_Log!AN182=1,Brand_Log!AF182="Y"),Brand_Log!G182,"")</f>
        <v/>
      </c>
      <c r="C982" s="17">
        <f>IF(B982="","","brand")</f>
        <v/>
      </c>
      <c r="D982" s="17">
        <f>IF(B982="","",Brand_Log!$A182&amp;"")</f>
        <v/>
      </c>
      <c r="E982" s="17">
        <f>IF(B982="","",IF(Brand_Log!B182="","",Brand_Log!B182&amp;""))</f>
        <v/>
      </c>
      <c r="F982" s="17">
        <f>IF(B982="","","yes_in_principle")</f>
        <v/>
      </c>
      <c r="G982" s="17">
        <f>IF(B982="","","")</f>
        <v/>
      </c>
      <c r="H982" s="17">
        <f>IF(B982="","","")</f>
        <v/>
      </c>
      <c r="I982" s="17">
        <f>IF(B982="","",IF(Brand_Log!N182="","",Brand_Log!N182&amp;""))</f>
        <v/>
      </c>
      <c r="J982" s="17">
        <f>IF(B982="","","")</f>
        <v/>
      </c>
      <c r="K982" t="inlineStr">
        <is>
          <t>brand yes_in_principle</t>
        </is>
      </c>
    </row>
    <row r="983">
      <c r="A983" s="17">
        <f>IF(B983="","",B983+(5*1000+182)/10000000)</f>
        <v/>
      </c>
      <c r="B983" s="23">
        <f>IF(AND(Brand_Log!AN183=1,Brand_Log!AF183="Y"),Brand_Log!G183,"")</f>
        <v/>
      </c>
      <c r="C983" s="17">
        <f>IF(B983="","","brand")</f>
        <v/>
      </c>
      <c r="D983" s="17">
        <f>IF(B983="","",Brand_Log!$A183&amp;"")</f>
        <v/>
      </c>
      <c r="E983" s="17">
        <f>IF(B983="","",IF(Brand_Log!B183="","",Brand_Log!B183&amp;""))</f>
        <v/>
      </c>
      <c r="F983" s="17">
        <f>IF(B983="","","yes_in_principle")</f>
        <v/>
      </c>
      <c r="G983" s="17">
        <f>IF(B983="","","")</f>
        <v/>
      </c>
      <c r="H983" s="17">
        <f>IF(B983="","","")</f>
        <v/>
      </c>
      <c r="I983" s="17">
        <f>IF(B983="","",IF(Brand_Log!N183="","",Brand_Log!N183&amp;""))</f>
        <v/>
      </c>
      <c r="J983" s="17">
        <f>IF(B983="","","")</f>
        <v/>
      </c>
      <c r="K983" t="inlineStr">
        <is>
          <t>brand yes_in_principle</t>
        </is>
      </c>
    </row>
    <row r="984">
      <c r="A984" s="17">
        <f>IF(B984="","",B984+(5*1000+183)/10000000)</f>
        <v/>
      </c>
      <c r="B984" s="23">
        <f>IF(AND(Brand_Log!AN184=1,Brand_Log!AF184="Y"),Brand_Log!G184,"")</f>
        <v/>
      </c>
      <c r="C984" s="17">
        <f>IF(B984="","","brand")</f>
        <v/>
      </c>
      <c r="D984" s="17">
        <f>IF(B984="","",Brand_Log!$A184&amp;"")</f>
        <v/>
      </c>
      <c r="E984" s="17">
        <f>IF(B984="","",IF(Brand_Log!B184="","",Brand_Log!B184&amp;""))</f>
        <v/>
      </c>
      <c r="F984" s="17">
        <f>IF(B984="","","yes_in_principle")</f>
        <v/>
      </c>
      <c r="G984" s="17">
        <f>IF(B984="","","")</f>
        <v/>
      </c>
      <c r="H984" s="17">
        <f>IF(B984="","","")</f>
        <v/>
      </c>
      <c r="I984" s="17">
        <f>IF(B984="","",IF(Brand_Log!N184="","",Brand_Log!N184&amp;""))</f>
        <v/>
      </c>
      <c r="J984" s="17">
        <f>IF(B984="","","")</f>
        <v/>
      </c>
      <c r="K984" t="inlineStr">
        <is>
          <t>brand yes_in_principle</t>
        </is>
      </c>
    </row>
    <row r="985">
      <c r="A985" s="17">
        <f>IF(B985="","",B985+(5*1000+184)/10000000)</f>
        <v/>
      </c>
      <c r="B985" s="23">
        <f>IF(AND(Brand_Log!AN185=1,Brand_Log!AF185="Y"),Brand_Log!G185,"")</f>
        <v/>
      </c>
      <c r="C985" s="17">
        <f>IF(B985="","","brand")</f>
        <v/>
      </c>
      <c r="D985" s="17">
        <f>IF(B985="","",Brand_Log!$A185&amp;"")</f>
        <v/>
      </c>
      <c r="E985" s="17">
        <f>IF(B985="","",IF(Brand_Log!B185="","",Brand_Log!B185&amp;""))</f>
        <v/>
      </c>
      <c r="F985" s="17">
        <f>IF(B985="","","yes_in_principle")</f>
        <v/>
      </c>
      <c r="G985" s="17">
        <f>IF(B985="","","")</f>
        <v/>
      </c>
      <c r="H985" s="17">
        <f>IF(B985="","","")</f>
        <v/>
      </c>
      <c r="I985" s="17">
        <f>IF(B985="","",IF(Brand_Log!N185="","",Brand_Log!N185&amp;""))</f>
        <v/>
      </c>
      <c r="J985" s="17">
        <f>IF(B985="","","")</f>
        <v/>
      </c>
      <c r="K985" t="inlineStr">
        <is>
          <t>brand yes_in_principle</t>
        </is>
      </c>
    </row>
    <row r="986">
      <c r="A986" s="17">
        <f>IF(B986="","",B986+(5*1000+185)/10000000)</f>
        <v/>
      </c>
      <c r="B986" s="23">
        <f>IF(AND(Brand_Log!AN186=1,Brand_Log!AF186="Y"),Brand_Log!G186,"")</f>
        <v/>
      </c>
      <c r="C986" s="17">
        <f>IF(B986="","","brand")</f>
        <v/>
      </c>
      <c r="D986" s="17">
        <f>IF(B986="","",Brand_Log!$A186&amp;"")</f>
        <v/>
      </c>
      <c r="E986" s="17">
        <f>IF(B986="","",IF(Brand_Log!B186="","",Brand_Log!B186&amp;""))</f>
        <v/>
      </c>
      <c r="F986" s="17">
        <f>IF(B986="","","yes_in_principle")</f>
        <v/>
      </c>
      <c r="G986" s="17">
        <f>IF(B986="","","")</f>
        <v/>
      </c>
      <c r="H986" s="17">
        <f>IF(B986="","","")</f>
        <v/>
      </c>
      <c r="I986" s="17">
        <f>IF(B986="","",IF(Brand_Log!N186="","",Brand_Log!N186&amp;""))</f>
        <v/>
      </c>
      <c r="J986" s="17">
        <f>IF(B986="","","")</f>
        <v/>
      </c>
      <c r="K986" t="inlineStr">
        <is>
          <t>brand yes_in_principle</t>
        </is>
      </c>
    </row>
    <row r="987">
      <c r="A987" s="17">
        <f>IF(B987="","",B987+(5*1000+186)/10000000)</f>
        <v/>
      </c>
      <c r="B987" s="23">
        <f>IF(AND(Brand_Log!AN187=1,Brand_Log!AF187="Y"),Brand_Log!G187,"")</f>
        <v/>
      </c>
      <c r="C987" s="17">
        <f>IF(B987="","","brand")</f>
        <v/>
      </c>
      <c r="D987" s="17">
        <f>IF(B987="","",Brand_Log!$A187&amp;"")</f>
        <v/>
      </c>
      <c r="E987" s="17">
        <f>IF(B987="","",IF(Brand_Log!B187="","",Brand_Log!B187&amp;""))</f>
        <v/>
      </c>
      <c r="F987" s="17">
        <f>IF(B987="","","yes_in_principle")</f>
        <v/>
      </c>
      <c r="G987" s="17">
        <f>IF(B987="","","")</f>
        <v/>
      </c>
      <c r="H987" s="17">
        <f>IF(B987="","","")</f>
        <v/>
      </c>
      <c r="I987" s="17">
        <f>IF(B987="","",IF(Brand_Log!N187="","",Brand_Log!N187&amp;""))</f>
        <v/>
      </c>
      <c r="J987" s="17">
        <f>IF(B987="","","")</f>
        <v/>
      </c>
      <c r="K987" t="inlineStr">
        <is>
          <t>brand yes_in_principle</t>
        </is>
      </c>
    </row>
    <row r="988">
      <c r="A988" s="17">
        <f>IF(B988="","",B988+(5*1000+187)/10000000)</f>
        <v/>
      </c>
      <c r="B988" s="23">
        <f>IF(AND(Brand_Log!AN188=1,Brand_Log!AF188="Y"),Brand_Log!G188,"")</f>
        <v/>
      </c>
      <c r="C988" s="17">
        <f>IF(B988="","","brand")</f>
        <v/>
      </c>
      <c r="D988" s="17">
        <f>IF(B988="","",Brand_Log!$A188&amp;"")</f>
        <v/>
      </c>
      <c r="E988" s="17">
        <f>IF(B988="","",IF(Brand_Log!B188="","",Brand_Log!B188&amp;""))</f>
        <v/>
      </c>
      <c r="F988" s="17">
        <f>IF(B988="","","yes_in_principle")</f>
        <v/>
      </c>
      <c r="G988" s="17">
        <f>IF(B988="","","")</f>
        <v/>
      </c>
      <c r="H988" s="17">
        <f>IF(B988="","","")</f>
        <v/>
      </c>
      <c r="I988" s="17">
        <f>IF(B988="","",IF(Brand_Log!N188="","",Brand_Log!N188&amp;""))</f>
        <v/>
      </c>
      <c r="J988" s="17">
        <f>IF(B988="","","")</f>
        <v/>
      </c>
      <c r="K988" t="inlineStr">
        <is>
          <t>brand yes_in_principle</t>
        </is>
      </c>
    </row>
    <row r="989">
      <c r="A989" s="17">
        <f>IF(B989="","",B989+(5*1000+188)/10000000)</f>
        <v/>
      </c>
      <c r="B989" s="23">
        <f>IF(AND(Brand_Log!AN189=1,Brand_Log!AF189="Y"),Brand_Log!G189,"")</f>
        <v/>
      </c>
      <c r="C989" s="17">
        <f>IF(B989="","","brand")</f>
        <v/>
      </c>
      <c r="D989" s="17">
        <f>IF(B989="","",Brand_Log!$A189&amp;"")</f>
        <v/>
      </c>
      <c r="E989" s="17">
        <f>IF(B989="","",IF(Brand_Log!B189="","",Brand_Log!B189&amp;""))</f>
        <v/>
      </c>
      <c r="F989" s="17">
        <f>IF(B989="","","yes_in_principle")</f>
        <v/>
      </c>
      <c r="G989" s="17">
        <f>IF(B989="","","")</f>
        <v/>
      </c>
      <c r="H989" s="17">
        <f>IF(B989="","","")</f>
        <v/>
      </c>
      <c r="I989" s="17">
        <f>IF(B989="","",IF(Brand_Log!N189="","",Brand_Log!N189&amp;""))</f>
        <v/>
      </c>
      <c r="J989" s="17">
        <f>IF(B989="","","")</f>
        <v/>
      </c>
      <c r="K989" t="inlineStr">
        <is>
          <t>brand yes_in_principle</t>
        </is>
      </c>
    </row>
    <row r="990">
      <c r="A990" s="17">
        <f>IF(B990="","",B990+(5*1000+189)/10000000)</f>
        <v/>
      </c>
      <c r="B990" s="23">
        <f>IF(AND(Brand_Log!AN190=1,Brand_Log!AF190="Y"),Brand_Log!G190,"")</f>
        <v/>
      </c>
      <c r="C990" s="17">
        <f>IF(B990="","","brand")</f>
        <v/>
      </c>
      <c r="D990" s="17">
        <f>IF(B990="","",Brand_Log!$A190&amp;"")</f>
        <v/>
      </c>
      <c r="E990" s="17">
        <f>IF(B990="","",IF(Brand_Log!B190="","",Brand_Log!B190&amp;""))</f>
        <v/>
      </c>
      <c r="F990" s="17">
        <f>IF(B990="","","yes_in_principle")</f>
        <v/>
      </c>
      <c r="G990" s="17">
        <f>IF(B990="","","")</f>
        <v/>
      </c>
      <c r="H990" s="17">
        <f>IF(B990="","","")</f>
        <v/>
      </c>
      <c r="I990" s="17">
        <f>IF(B990="","",IF(Brand_Log!N190="","",Brand_Log!N190&amp;""))</f>
        <v/>
      </c>
      <c r="J990" s="17">
        <f>IF(B990="","","")</f>
        <v/>
      </c>
      <c r="K990" t="inlineStr">
        <is>
          <t>brand yes_in_principle</t>
        </is>
      </c>
    </row>
    <row r="991">
      <c r="A991" s="17">
        <f>IF(B991="","",B991+(5*1000+190)/10000000)</f>
        <v/>
      </c>
      <c r="B991" s="23">
        <f>IF(AND(Brand_Log!AN191=1,Brand_Log!AF191="Y"),Brand_Log!G191,"")</f>
        <v/>
      </c>
      <c r="C991" s="17">
        <f>IF(B991="","","brand")</f>
        <v/>
      </c>
      <c r="D991" s="17">
        <f>IF(B991="","",Brand_Log!$A191&amp;"")</f>
        <v/>
      </c>
      <c r="E991" s="17">
        <f>IF(B991="","",IF(Brand_Log!B191="","",Brand_Log!B191&amp;""))</f>
        <v/>
      </c>
      <c r="F991" s="17">
        <f>IF(B991="","","yes_in_principle")</f>
        <v/>
      </c>
      <c r="G991" s="17">
        <f>IF(B991="","","")</f>
        <v/>
      </c>
      <c r="H991" s="17">
        <f>IF(B991="","","")</f>
        <v/>
      </c>
      <c r="I991" s="17">
        <f>IF(B991="","",IF(Brand_Log!N191="","",Brand_Log!N191&amp;""))</f>
        <v/>
      </c>
      <c r="J991" s="17">
        <f>IF(B991="","","")</f>
        <v/>
      </c>
      <c r="K991" t="inlineStr">
        <is>
          <t>brand yes_in_principle</t>
        </is>
      </c>
    </row>
    <row r="992">
      <c r="A992" s="17">
        <f>IF(B992="","",B992+(5*1000+191)/10000000)</f>
        <v/>
      </c>
      <c r="B992" s="23">
        <f>IF(AND(Brand_Log!AN192=1,Brand_Log!AF192="Y"),Brand_Log!G192,"")</f>
        <v/>
      </c>
      <c r="C992" s="17">
        <f>IF(B992="","","brand")</f>
        <v/>
      </c>
      <c r="D992" s="17">
        <f>IF(B992="","",Brand_Log!$A192&amp;"")</f>
        <v/>
      </c>
      <c r="E992" s="17">
        <f>IF(B992="","",IF(Brand_Log!B192="","",Brand_Log!B192&amp;""))</f>
        <v/>
      </c>
      <c r="F992" s="17">
        <f>IF(B992="","","yes_in_principle")</f>
        <v/>
      </c>
      <c r="G992" s="17">
        <f>IF(B992="","","")</f>
        <v/>
      </c>
      <c r="H992" s="17">
        <f>IF(B992="","","")</f>
        <v/>
      </c>
      <c r="I992" s="17">
        <f>IF(B992="","",IF(Brand_Log!N192="","",Brand_Log!N192&amp;""))</f>
        <v/>
      </c>
      <c r="J992" s="17">
        <f>IF(B992="","","")</f>
        <v/>
      </c>
      <c r="K992" t="inlineStr">
        <is>
          <t>brand yes_in_principle</t>
        </is>
      </c>
    </row>
    <row r="993">
      <c r="A993" s="17">
        <f>IF(B993="","",B993+(5*1000+192)/10000000)</f>
        <v/>
      </c>
      <c r="B993" s="23">
        <f>IF(AND(Brand_Log!AN193=1,Brand_Log!AF193="Y"),Brand_Log!G193,"")</f>
        <v/>
      </c>
      <c r="C993" s="17">
        <f>IF(B993="","","brand")</f>
        <v/>
      </c>
      <c r="D993" s="17">
        <f>IF(B993="","",Brand_Log!$A193&amp;"")</f>
        <v/>
      </c>
      <c r="E993" s="17">
        <f>IF(B993="","",IF(Brand_Log!B193="","",Brand_Log!B193&amp;""))</f>
        <v/>
      </c>
      <c r="F993" s="17">
        <f>IF(B993="","","yes_in_principle")</f>
        <v/>
      </c>
      <c r="G993" s="17">
        <f>IF(B993="","","")</f>
        <v/>
      </c>
      <c r="H993" s="17">
        <f>IF(B993="","","")</f>
        <v/>
      </c>
      <c r="I993" s="17">
        <f>IF(B993="","",IF(Brand_Log!N193="","",Brand_Log!N193&amp;""))</f>
        <v/>
      </c>
      <c r="J993" s="17">
        <f>IF(B993="","","")</f>
        <v/>
      </c>
      <c r="K993" t="inlineStr">
        <is>
          <t>brand yes_in_principle</t>
        </is>
      </c>
    </row>
    <row r="994">
      <c r="A994" s="17">
        <f>IF(B994="","",B994+(5*1000+193)/10000000)</f>
        <v/>
      </c>
      <c r="B994" s="23">
        <f>IF(AND(Brand_Log!AN194=1,Brand_Log!AF194="Y"),Brand_Log!G194,"")</f>
        <v/>
      </c>
      <c r="C994" s="17">
        <f>IF(B994="","","brand")</f>
        <v/>
      </c>
      <c r="D994" s="17">
        <f>IF(B994="","",Brand_Log!$A194&amp;"")</f>
        <v/>
      </c>
      <c r="E994" s="17">
        <f>IF(B994="","",IF(Brand_Log!B194="","",Brand_Log!B194&amp;""))</f>
        <v/>
      </c>
      <c r="F994" s="17">
        <f>IF(B994="","","yes_in_principle")</f>
        <v/>
      </c>
      <c r="G994" s="17">
        <f>IF(B994="","","")</f>
        <v/>
      </c>
      <c r="H994" s="17">
        <f>IF(B994="","","")</f>
        <v/>
      </c>
      <c r="I994" s="17">
        <f>IF(B994="","",IF(Brand_Log!N194="","",Brand_Log!N194&amp;""))</f>
        <v/>
      </c>
      <c r="J994" s="17">
        <f>IF(B994="","","")</f>
        <v/>
      </c>
      <c r="K994" t="inlineStr">
        <is>
          <t>brand yes_in_principle</t>
        </is>
      </c>
    </row>
    <row r="995">
      <c r="A995" s="17">
        <f>IF(B995="","",B995+(5*1000+194)/10000000)</f>
        <v/>
      </c>
      <c r="B995" s="23">
        <f>IF(AND(Brand_Log!AN195=1,Brand_Log!AF195="Y"),Brand_Log!G195,"")</f>
        <v/>
      </c>
      <c r="C995" s="17">
        <f>IF(B995="","","brand")</f>
        <v/>
      </c>
      <c r="D995" s="17">
        <f>IF(B995="","",Brand_Log!$A195&amp;"")</f>
        <v/>
      </c>
      <c r="E995" s="17">
        <f>IF(B995="","",IF(Brand_Log!B195="","",Brand_Log!B195&amp;""))</f>
        <v/>
      </c>
      <c r="F995" s="17">
        <f>IF(B995="","","yes_in_principle")</f>
        <v/>
      </c>
      <c r="G995" s="17">
        <f>IF(B995="","","")</f>
        <v/>
      </c>
      <c r="H995" s="17">
        <f>IF(B995="","","")</f>
        <v/>
      </c>
      <c r="I995" s="17">
        <f>IF(B995="","",IF(Brand_Log!N195="","",Brand_Log!N195&amp;""))</f>
        <v/>
      </c>
      <c r="J995" s="17">
        <f>IF(B995="","","")</f>
        <v/>
      </c>
      <c r="K995" t="inlineStr">
        <is>
          <t>brand yes_in_principle</t>
        </is>
      </c>
    </row>
    <row r="996">
      <c r="A996" s="17">
        <f>IF(B996="","",B996+(5*1000+195)/10000000)</f>
        <v/>
      </c>
      <c r="B996" s="23">
        <f>IF(AND(Brand_Log!AN196=1,Brand_Log!AF196="Y"),Brand_Log!G196,"")</f>
        <v/>
      </c>
      <c r="C996" s="17">
        <f>IF(B996="","","brand")</f>
        <v/>
      </c>
      <c r="D996" s="17">
        <f>IF(B996="","",Brand_Log!$A196&amp;"")</f>
        <v/>
      </c>
      <c r="E996" s="17">
        <f>IF(B996="","",IF(Brand_Log!B196="","",Brand_Log!B196&amp;""))</f>
        <v/>
      </c>
      <c r="F996" s="17">
        <f>IF(B996="","","yes_in_principle")</f>
        <v/>
      </c>
      <c r="G996" s="17">
        <f>IF(B996="","","")</f>
        <v/>
      </c>
      <c r="H996" s="17">
        <f>IF(B996="","","")</f>
        <v/>
      </c>
      <c r="I996" s="17">
        <f>IF(B996="","",IF(Brand_Log!N196="","",Brand_Log!N196&amp;""))</f>
        <v/>
      </c>
      <c r="J996" s="17">
        <f>IF(B996="","","")</f>
        <v/>
      </c>
      <c r="K996" t="inlineStr">
        <is>
          <t>brand yes_in_principle</t>
        </is>
      </c>
    </row>
    <row r="997">
      <c r="A997" s="17">
        <f>IF(B997="","",B997+(5*1000+196)/10000000)</f>
        <v/>
      </c>
      <c r="B997" s="23">
        <f>IF(AND(Brand_Log!AN197=1,Brand_Log!AF197="Y"),Brand_Log!G197,"")</f>
        <v/>
      </c>
      <c r="C997" s="17">
        <f>IF(B997="","","brand")</f>
        <v/>
      </c>
      <c r="D997" s="17">
        <f>IF(B997="","",Brand_Log!$A197&amp;"")</f>
        <v/>
      </c>
      <c r="E997" s="17">
        <f>IF(B997="","",IF(Brand_Log!B197="","",Brand_Log!B197&amp;""))</f>
        <v/>
      </c>
      <c r="F997" s="17">
        <f>IF(B997="","","yes_in_principle")</f>
        <v/>
      </c>
      <c r="G997" s="17">
        <f>IF(B997="","","")</f>
        <v/>
      </c>
      <c r="H997" s="17">
        <f>IF(B997="","","")</f>
        <v/>
      </c>
      <c r="I997" s="17">
        <f>IF(B997="","",IF(Brand_Log!N197="","",Brand_Log!N197&amp;""))</f>
        <v/>
      </c>
      <c r="J997" s="17">
        <f>IF(B997="","","")</f>
        <v/>
      </c>
      <c r="K997" t="inlineStr">
        <is>
          <t>brand yes_in_principle</t>
        </is>
      </c>
    </row>
    <row r="998">
      <c r="A998" s="17">
        <f>IF(B998="","",B998+(5*1000+197)/10000000)</f>
        <v/>
      </c>
      <c r="B998" s="23">
        <f>IF(AND(Brand_Log!AN198=1,Brand_Log!AF198="Y"),Brand_Log!G198,"")</f>
        <v/>
      </c>
      <c r="C998" s="17">
        <f>IF(B998="","","brand")</f>
        <v/>
      </c>
      <c r="D998" s="17">
        <f>IF(B998="","",Brand_Log!$A198&amp;"")</f>
        <v/>
      </c>
      <c r="E998" s="17">
        <f>IF(B998="","",IF(Brand_Log!B198="","",Brand_Log!B198&amp;""))</f>
        <v/>
      </c>
      <c r="F998" s="17">
        <f>IF(B998="","","yes_in_principle")</f>
        <v/>
      </c>
      <c r="G998" s="17">
        <f>IF(B998="","","")</f>
        <v/>
      </c>
      <c r="H998" s="17">
        <f>IF(B998="","","")</f>
        <v/>
      </c>
      <c r="I998" s="17">
        <f>IF(B998="","",IF(Brand_Log!N198="","",Brand_Log!N198&amp;""))</f>
        <v/>
      </c>
      <c r="J998" s="17">
        <f>IF(B998="","","")</f>
        <v/>
      </c>
      <c r="K998" t="inlineStr">
        <is>
          <t>brand yes_in_principle</t>
        </is>
      </c>
    </row>
    <row r="999">
      <c r="A999" s="17">
        <f>IF(B999="","",B999+(5*1000+198)/10000000)</f>
        <v/>
      </c>
      <c r="B999" s="23">
        <f>IF(AND(Brand_Log!AN199=1,Brand_Log!AF199="Y"),Brand_Log!G199,"")</f>
        <v/>
      </c>
      <c r="C999" s="17">
        <f>IF(B999="","","brand")</f>
        <v/>
      </c>
      <c r="D999" s="17">
        <f>IF(B999="","",Brand_Log!$A199&amp;"")</f>
        <v/>
      </c>
      <c r="E999" s="17">
        <f>IF(B999="","",IF(Brand_Log!B199="","",Brand_Log!B199&amp;""))</f>
        <v/>
      </c>
      <c r="F999" s="17">
        <f>IF(B999="","","yes_in_principle")</f>
        <v/>
      </c>
      <c r="G999" s="17">
        <f>IF(B999="","","")</f>
        <v/>
      </c>
      <c r="H999" s="17">
        <f>IF(B999="","","")</f>
        <v/>
      </c>
      <c r="I999" s="17">
        <f>IF(B999="","",IF(Brand_Log!N199="","",Brand_Log!N199&amp;""))</f>
        <v/>
      </c>
      <c r="J999" s="17">
        <f>IF(B999="","","")</f>
        <v/>
      </c>
      <c r="K999" t="inlineStr">
        <is>
          <t>brand yes_in_principle</t>
        </is>
      </c>
    </row>
    <row r="1000">
      <c r="A1000" s="17">
        <f>IF(B1000="","",B1000+(5*1000+199)/10000000)</f>
        <v/>
      </c>
      <c r="B1000" s="23">
        <f>IF(AND(Brand_Log!AN200=1,Brand_Log!AF200="Y"),Brand_Log!G200,"")</f>
        <v/>
      </c>
      <c r="C1000" s="17">
        <f>IF(B1000="","","brand")</f>
        <v/>
      </c>
      <c r="D1000" s="17">
        <f>IF(B1000="","",Brand_Log!$A200&amp;"")</f>
        <v/>
      </c>
      <c r="E1000" s="17">
        <f>IF(B1000="","",IF(Brand_Log!B200="","",Brand_Log!B200&amp;""))</f>
        <v/>
      </c>
      <c r="F1000" s="17">
        <f>IF(B1000="","","yes_in_principle")</f>
        <v/>
      </c>
      <c r="G1000" s="17">
        <f>IF(B1000="","","")</f>
        <v/>
      </c>
      <c r="H1000" s="17">
        <f>IF(B1000="","","")</f>
        <v/>
      </c>
      <c r="I1000" s="17">
        <f>IF(B1000="","",IF(Brand_Log!N200="","",Brand_Log!N200&amp;""))</f>
        <v/>
      </c>
      <c r="J1000" s="17">
        <f>IF(B1000="","","")</f>
        <v/>
      </c>
      <c r="K1000" t="inlineStr">
        <is>
          <t>brand yes_in_principle</t>
        </is>
      </c>
    </row>
    <row r="1001">
      <c r="A1001" s="17">
        <f>IF(B1001="","",B1001+(5*1000+200)/10000000)</f>
        <v/>
      </c>
      <c r="B1001" s="23">
        <f>IF(AND(Brand_Log!AN201=1,Brand_Log!AF201="Y"),Brand_Log!G201,"")</f>
        <v/>
      </c>
      <c r="C1001" s="17">
        <f>IF(B1001="","","brand")</f>
        <v/>
      </c>
      <c r="D1001" s="17">
        <f>IF(B1001="","",Brand_Log!$A201&amp;"")</f>
        <v/>
      </c>
      <c r="E1001" s="17">
        <f>IF(B1001="","",IF(Brand_Log!B201="","",Brand_Log!B201&amp;""))</f>
        <v/>
      </c>
      <c r="F1001" s="17">
        <f>IF(B1001="","","yes_in_principle")</f>
        <v/>
      </c>
      <c r="G1001" s="17">
        <f>IF(B1001="","","")</f>
        <v/>
      </c>
      <c r="H1001" s="17">
        <f>IF(B1001="","","")</f>
        <v/>
      </c>
      <c r="I1001" s="17">
        <f>IF(B1001="","",IF(Brand_Log!N201="","",Brand_Log!N201&amp;""))</f>
        <v/>
      </c>
      <c r="J1001" s="17">
        <f>IF(B1001="","","")</f>
        <v/>
      </c>
      <c r="K1001" t="inlineStr">
        <is>
          <t>brand yes_in_principle</t>
        </is>
      </c>
    </row>
    <row r="1002">
      <c r="A1002" s="17">
        <f>IF(B1002="","",B1002+(6*1000+1)/10000000)</f>
        <v/>
      </c>
      <c r="B1002" s="23">
        <f>IF(AND(Brand_Log!AN2=1,OR(ISNUMBER(Brand_Log!R2),TRIM(Brand_Log!S2)&lt;&gt;"")),Brand_Log!G2,"")</f>
        <v/>
      </c>
      <c r="C1002" s="17">
        <f>IF(B1002="","","brand")</f>
        <v/>
      </c>
      <c r="D1002" s="17">
        <f>IF(B1002="","",Brand_Log!$A2&amp;"")</f>
        <v/>
      </c>
      <c r="E1002" s="17">
        <f>IF(B1002="","",IF(Brand_Log!B2="","",Brand_Log!B2&amp;""))</f>
        <v/>
      </c>
      <c r="F1002" s="17">
        <f>IF(B1002="","","budget_probe")</f>
        <v/>
      </c>
      <c r="G1002" s="17">
        <f>IF(B1002="","",IF(ISNUMBER(Brand_Log!R2),Brand_Log!R2,""))</f>
        <v/>
      </c>
      <c r="H1002" s="17">
        <f>IF(B1002="","",IF(Brand_Log!S2="","",Brand_Log!S2&amp;""))</f>
        <v/>
      </c>
      <c r="I1002" s="17">
        <f>IF(B1002="","",IF(Brand_Log!N2="","",Brand_Log!N2&amp;""))</f>
        <v/>
      </c>
      <c r="J1002" s="17">
        <f>IF(B1002="","",IF(Brand_Log!T2="","","before_1500; "&amp;Brand_Log!T2))</f>
        <v/>
      </c>
      <c r="K1002" t="inlineStr">
        <is>
          <t>brand budget_probe before $1,500</t>
        </is>
      </c>
    </row>
    <row r="1003">
      <c r="A1003" s="17">
        <f>IF(B1003="","",B1003+(6*1000+2)/10000000)</f>
        <v/>
      </c>
      <c r="B1003" s="23">
        <f>IF(AND(Brand_Log!AN3=1,OR(ISNUMBER(Brand_Log!R3),TRIM(Brand_Log!S3)&lt;&gt;"")),Brand_Log!G3,"")</f>
        <v/>
      </c>
      <c r="C1003" s="17">
        <f>IF(B1003="","","brand")</f>
        <v/>
      </c>
      <c r="D1003" s="17">
        <f>IF(B1003="","",Brand_Log!$A3&amp;"")</f>
        <v/>
      </c>
      <c r="E1003" s="17">
        <f>IF(B1003="","",IF(Brand_Log!B3="","",Brand_Log!B3&amp;""))</f>
        <v/>
      </c>
      <c r="F1003" s="17">
        <f>IF(B1003="","","budget_probe")</f>
        <v/>
      </c>
      <c r="G1003" s="17">
        <f>IF(B1003="","",IF(ISNUMBER(Brand_Log!R3),Brand_Log!R3,""))</f>
        <v/>
      </c>
      <c r="H1003" s="17">
        <f>IF(B1003="","",IF(Brand_Log!S3="","",Brand_Log!S3&amp;""))</f>
        <v/>
      </c>
      <c r="I1003" s="17">
        <f>IF(B1003="","",IF(Brand_Log!N3="","",Brand_Log!N3&amp;""))</f>
        <v/>
      </c>
      <c r="J1003" s="17">
        <f>IF(B1003="","",IF(Brand_Log!T3="","","before_1500; "&amp;Brand_Log!T3))</f>
        <v/>
      </c>
      <c r="K1003" t="inlineStr">
        <is>
          <t>brand budget_probe before $1,500</t>
        </is>
      </c>
    </row>
    <row r="1004">
      <c r="A1004" s="17">
        <f>IF(B1004="","",B1004+(6*1000+3)/10000000)</f>
        <v/>
      </c>
      <c r="B1004" s="23">
        <f>IF(AND(Brand_Log!AN4=1,OR(ISNUMBER(Brand_Log!R4),TRIM(Brand_Log!S4)&lt;&gt;"")),Brand_Log!G4,"")</f>
        <v/>
      </c>
      <c r="C1004" s="17">
        <f>IF(B1004="","","brand")</f>
        <v/>
      </c>
      <c r="D1004" s="17">
        <f>IF(B1004="","",Brand_Log!$A4&amp;"")</f>
        <v/>
      </c>
      <c r="E1004" s="17">
        <f>IF(B1004="","",IF(Brand_Log!B4="","",Brand_Log!B4&amp;""))</f>
        <v/>
      </c>
      <c r="F1004" s="17">
        <f>IF(B1004="","","budget_probe")</f>
        <v/>
      </c>
      <c r="G1004" s="17">
        <f>IF(B1004="","",IF(ISNUMBER(Brand_Log!R4),Brand_Log!R4,""))</f>
        <v/>
      </c>
      <c r="H1004" s="17">
        <f>IF(B1004="","",IF(Brand_Log!S4="","",Brand_Log!S4&amp;""))</f>
        <v/>
      </c>
      <c r="I1004" s="17">
        <f>IF(B1004="","",IF(Brand_Log!N4="","",Brand_Log!N4&amp;""))</f>
        <v/>
      </c>
      <c r="J1004" s="17">
        <f>IF(B1004="","",IF(Brand_Log!T4="","","before_1500; "&amp;Brand_Log!T4))</f>
        <v/>
      </c>
      <c r="K1004" t="inlineStr">
        <is>
          <t>brand budget_probe before $1,500</t>
        </is>
      </c>
    </row>
    <row r="1005">
      <c r="A1005" s="17">
        <f>IF(B1005="","",B1005+(6*1000+4)/10000000)</f>
        <v/>
      </c>
      <c r="B1005" s="23">
        <f>IF(AND(Brand_Log!AN5=1,OR(ISNUMBER(Brand_Log!R5),TRIM(Brand_Log!S5)&lt;&gt;"")),Brand_Log!G5,"")</f>
        <v/>
      </c>
      <c r="C1005" s="17">
        <f>IF(B1005="","","brand")</f>
        <v/>
      </c>
      <c r="D1005" s="17">
        <f>IF(B1005="","",Brand_Log!$A5&amp;"")</f>
        <v/>
      </c>
      <c r="E1005" s="17">
        <f>IF(B1005="","",IF(Brand_Log!B5="","",Brand_Log!B5&amp;""))</f>
        <v/>
      </c>
      <c r="F1005" s="17">
        <f>IF(B1005="","","budget_probe")</f>
        <v/>
      </c>
      <c r="G1005" s="17">
        <f>IF(B1005="","",IF(ISNUMBER(Brand_Log!R5),Brand_Log!R5,""))</f>
        <v/>
      </c>
      <c r="H1005" s="17">
        <f>IF(B1005="","",IF(Brand_Log!S5="","",Brand_Log!S5&amp;""))</f>
        <v/>
      </c>
      <c r="I1005" s="17">
        <f>IF(B1005="","",IF(Brand_Log!N5="","",Brand_Log!N5&amp;""))</f>
        <v/>
      </c>
      <c r="J1005" s="17">
        <f>IF(B1005="","",IF(Brand_Log!T5="","","before_1500; "&amp;Brand_Log!T5))</f>
        <v/>
      </c>
      <c r="K1005" t="inlineStr">
        <is>
          <t>brand budget_probe before $1,500</t>
        </is>
      </c>
    </row>
    <row r="1006">
      <c r="A1006" s="17">
        <f>IF(B1006="","",B1006+(6*1000+5)/10000000)</f>
        <v/>
      </c>
      <c r="B1006" s="23">
        <f>IF(AND(Brand_Log!AN6=1,OR(ISNUMBER(Brand_Log!R6),TRIM(Brand_Log!S6)&lt;&gt;"")),Brand_Log!G6,"")</f>
        <v/>
      </c>
      <c r="C1006" s="17">
        <f>IF(B1006="","","brand")</f>
        <v/>
      </c>
      <c r="D1006" s="17">
        <f>IF(B1006="","",Brand_Log!$A6&amp;"")</f>
        <v/>
      </c>
      <c r="E1006" s="17">
        <f>IF(B1006="","",IF(Brand_Log!B6="","",Brand_Log!B6&amp;""))</f>
        <v/>
      </c>
      <c r="F1006" s="17">
        <f>IF(B1006="","","budget_probe")</f>
        <v/>
      </c>
      <c r="G1006" s="17">
        <f>IF(B1006="","",IF(ISNUMBER(Brand_Log!R6),Brand_Log!R6,""))</f>
        <v/>
      </c>
      <c r="H1006" s="17">
        <f>IF(B1006="","",IF(Brand_Log!S6="","",Brand_Log!S6&amp;""))</f>
        <v/>
      </c>
      <c r="I1006" s="17">
        <f>IF(B1006="","",IF(Brand_Log!N6="","",Brand_Log!N6&amp;""))</f>
        <v/>
      </c>
      <c r="J1006" s="17">
        <f>IF(B1006="","",IF(Brand_Log!T6="","","before_1500; "&amp;Brand_Log!T6))</f>
        <v/>
      </c>
      <c r="K1006" t="inlineStr">
        <is>
          <t>brand budget_probe before $1,500</t>
        </is>
      </c>
    </row>
    <row r="1007">
      <c r="A1007" s="17">
        <f>IF(B1007="","",B1007+(6*1000+6)/10000000)</f>
        <v/>
      </c>
      <c r="B1007" s="23">
        <f>IF(AND(Brand_Log!AN7=1,OR(ISNUMBER(Brand_Log!R7),TRIM(Brand_Log!S7)&lt;&gt;"")),Brand_Log!G7,"")</f>
        <v/>
      </c>
      <c r="C1007" s="17">
        <f>IF(B1007="","","brand")</f>
        <v/>
      </c>
      <c r="D1007" s="17">
        <f>IF(B1007="","",Brand_Log!$A7&amp;"")</f>
        <v/>
      </c>
      <c r="E1007" s="17">
        <f>IF(B1007="","",IF(Brand_Log!B7="","",Brand_Log!B7&amp;""))</f>
        <v/>
      </c>
      <c r="F1007" s="17">
        <f>IF(B1007="","","budget_probe")</f>
        <v/>
      </c>
      <c r="G1007" s="17">
        <f>IF(B1007="","",IF(ISNUMBER(Brand_Log!R7),Brand_Log!R7,""))</f>
        <v/>
      </c>
      <c r="H1007" s="17">
        <f>IF(B1007="","",IF(Brand_Log!S7="","",Brand_Log!S7&amp;""))</f>
        <v/>
      </c>
      <c r="I1007" s="17">
        <f>IF(B1007="","",IF(Brand_Log!N7="","",Brand_Log!N7&amp;""))</f>
        <v/>
      </c>
      <c r="J1007" s="17">
        <f>IF(B1007="","",IF(Brand_Log!T7="","","before_1500; "&amp;Brand_Log!T7))</f>
        <v/>
      </c>
      <c r="K1007" t="inlineStr">
        <is>
          <t>brand budget_probe before $1,500</t>
        </is>
      </c>
    </row>
    <row r="1008">
      <c r="A1008" s="17">
        <f>IF(B1008="","",B1008+(6*1000+7)/10000000)</f>
        <v/>
      </c>
      <c r="B1008" s="23">
        <f>IF(AND(Brand_Log!AN8=1,OR(ISNUMBER(Brand_Log!R8),TRIM(Brand_Log!S8)&lt;&gt;"")),Brand_Log!G8,"")</f>
        <v/>
      </c>
      <c r="C1008" s="17">
        <f>IF(B1008="","","brand")</f>
        <v/>
      </c>
      <c r="D1008" s="17">
        <f>IF(B1008="","",Brand_Log!$A8&amp;"")</f>
        <v/>
      </c>
      <c r="E1008" s="17">
        <f>IF(B1008="","",IF(Brand_Log!B8="","",Brand_Log!B8&amp;""))</f>
        <v/>
      </c>
      <c r="F1008" s="17">
        <f>IF(B1008="","","budget_probe")</f>
        <v/>
      </c>
      <c r="G1008" s="17">
        <f>IF(B1008="","",IF(ISNUMBER(Brand_Log!R8),Brand_Log!R8,""))</f>
        <v/>
      </c>
      <c r="H1008" s="17">
        <f>IF(B1008="","",IF(Brand_Log!S8="","",Brand_Log!S8&amp;""))</f>
        <v/>
      </c>
      <c r="I1008" s="17">
        <f>IF(B1008="","",IF(Brand_Log!N8="","",Brand_Log!N8&amp;""))</f>
        <v/>
      </c>
      <c r="J1008" s="17">
        <f>IF(B1008="","",IF(Brand_Log!T8="","","before_1500; "&amp;Brand_Log!T8))</f>
        <v/>
      </c>
      <c r="K1008" t="inlineStr">
        <is>
          <t>brand budget_probe before $1,500</t>
        </is>
      </c>
    </row>
    <row r="1009">
      <c r="A1009" s="17">
        <f>IF(B1009="","",B1009+(6*1000+8)/10000000)</f>
        <v/>
      </c>
      <c r="B1009" s="23">
        <f>IF(AND(Brand_Log!AN9=1,OR(ISNUMBER(Brand_Log!R9),TRIM(Brand_Log!S9)&lt;&gt;"")),Brand_Log!G9,"")</f>
        <v/>
      </c>
      <c r="C1009" s="17">
        <f>IF(B1009="","","brand")</f>
        <v/>
      </c>
      <c r="D1009" s="17">
        <f>IF(B1009="","",Brand_Log!$A9&amp;"")</f>
        <v/>
      </c>
      <c r="E1009" s="17">
        <f>IF(B1009="","",IF(Brand_Log!B9="","",Brand_Log!B9&amp;""))</f>
        <v/>
      </c>
      <c r="F1009" s="17">
        <f>IF(B1009="","","budget_probe")</f>
        <v/>
      </c>
      <c r="G1009" s="17">
        <f>IF(B1009="","",IF(ISNUMBER(Brand_Log!R9),Brand_Log!R9,""))</f>
        <v/>
      </c>
      <c r="H1009" s="17">
        <f>IF(B1009="","",IF(Brand_Log!S9="","",Brand_Log!S9&amp;""))</f>
        <v/>
      </c>
      <c r="I1009" s="17">
        <f>IF(B1009="","",IF(Brand_Log!N9="","",Brand_Log!N9&amp;""))</f>
        <v/>
      </c>
      <c r="J1009" s="17">
        <f>IF(B1009="","",IF(Brand_Log!T9="","","before_1500; "&amp;Brand_Log!T9))</f>
        <v/>
      </c>
      <c r="K1009" t="inlineStr">
        <is>
          <t>brand budget_probe before $1,500</t>
        </is>
      </c>
    </row>
    <row r="1010">
      <c r="A1010" s="17">
        <f>IF(B1010="","",B1010+(6*1000+9)/10000000)</f>
        <v/>
      </c>
      <c r="B1010" s="23">
        <f>IF(AND(Brand_Log!AN10=1,OR(ISNUMBER(Brand_Log!R10),TRIM(Brand_Log!S10)&lt;&gt;"")),Brand_Log!G10,"")</f>
        <v/>
      </c>
      <c r="C1010" s="17">
        <f>IF(B1010="","","brand")</f>
        <v/>
      </c>
      <c r="D1010" s="17">
        <f>IF(B1010="","",Brand_Log!$A10&amp;"")</f>
        <v/>
      </c>
      <c r="E1010" s="17">
        <f>IF(B1010="","",IF(Brand_Log!B10="","",Brand_Log!B10&amp;""))</f>
        <v/>
      </c>
      <c r="F1010" s="17">
        <f>IF(B1010="","","budget_probe")</f>
        <v/>
      </c>
      <c r="G1010" s="17">
        <f>IF(B1010="","",IF(ISNUMBER(Brand_Log!R10),Brand_Log!R10,""))</f>
        <v/>
      </c>
      <c r="H1010" s="17">
        <f>IF(B1010="","",IF(Brand_Log!S10="","",Brand_Log!S10&amp;""))</f>
        <v/>
      </c>
      <c r="I1010" s="17">
        <f>IF(B1010="","",IF(Brand_Log!N10="","",Brand_Log!N10&amp;""))</f>
        <v/>
      </c>
      <c r="J1010" s="17">
        <f>IF(B1010="","",IF(Brand_Log!T10="","","before_1500; "&amp;Brand_Log!T10))</f>
        <v/>
      </c>
      <c r="K1010" t="inlineStr">
        <is>
          <t>brand budget_probe before $1,500</t>
        </is>
      </c>
    </row>
    <row r="1011">
      <c r="A1011" s="17">
        <f>IF(B1011="","",B1011+(6*1000+10)/10000000)</f>
        <v/>
      </c>
      <c r="B1011" s="23">
        <f>IF(AND(Brand_Log!AN11=1,OR(ISNUMBER(Brand_Log!R11),TRIM(Brand_Log!S11)&lt;&gt;"")),Brand_Log!G11,"")</f>
        <v/>
      </c>
      <c r="C1011" s="17">
        <f>IF(B1011="","","brand")</f>
        <v/>
      </c>
      <c r="D1011" s="17">
        <f>IF(B1011="","",Brand_Log!$A11&amp;"")</f>
        <v/>
      </c>
      <c r="E1011" s="17">
        <f>IF(B1011="","",IF(Brand_Log!B11="","",Brand_Log!B11&amp;""))</f>
        <v/>
      </c>
      <c r="F1011" s="17">
        <f>IF(B1011="","","budget_probe")</f>
        <v/>
      </c>
      <c r="G1011" s="17">
        <f>IF(B1011="","",IF(ISNUMBER(Brand_Log!R11),Brand_Log!R11,""))</f>
        <v/>
      </c>
      <c r="H1011" s="17">
        <f>IF(B1011="","",IF(Brand_Log!S11="","",Brand_Log!S11&amp;""))</f>
        <v/>
      </c>
      <c r="I1011" s="17">
        <f>IF(B1011="","",IF(Brand_Log!N11="","",Brand_Log!N11&amp;""))</f>
        <v/>
      </c>
      <c r="J1011" s="17">
        <f>IF(B1011="","",IF(Brand_Log!T11="","","before_1500; "&amp;Brand_Log!T11))</f>
        <v/>
      </c>
      <c r="K1011" t="inlineStr">
        <is>
          <t>brand budget_probe before $1,500</t>
        </is>
      </c>
    </row>
    <row r="1012">
      <c r="A1012" s="17">
        <f>IF(B1012="","",B1012+(6*1000+11)/10000000)</f>
        <v/>
      </c>
      <c r="B1012" s="23">
        <f>IF(AND(Brand_Log!AN12=1,OR(ISNUMBER(Brand_Log!R12),TRIM(Brand_Log!S12)&lt;&gt;"")),Brand_Log!G12,"")</f>
        <v/>
      </c>
      <c r="C1012" s="17">
        <f>IF(B1012="","","brand")</f>
        <v/>
      </c>
      <c r="D1012" s="17">
        <f>IF(B1012="","",Brand_Log!$A12&amp;"")</f>
        <v/>
      </c>
      <c r="E1012" s="17">
        <f>IF(B1012="","",IF(Brand_Log!B12="","",Brand_Log!B12&amp;""))</f>
        <v/>
      </c>
      <c r="F1012" s="17">
        <f>IF(B1012="","","budget_probe")</f>
        <v/>
      </c>
      <c r="G1012" s="17">
        <f>IF(B1012="","",IF(ISNUMBER(Brand_Log!R12),Brand_Log!R12,""))</f>
        <v/>
      </c>
      <c r="H1012" s="17">
        <f>IF(B1012="","",IF(Brand_Log!S12="","",Brand_Log!S12&amp;""))</f>
        <v/>
      </c>
      <c r="I1012" s="17">
        <f>IF(B1012="","",IF(Brand_Log!N12="","",Brand_Log!N12&amp;""))</f>
        <v/>
      </c>
      <c r="J1012" s="17">
        <f>IF(B1012="","",IF(Brand_Log!T12="","","before_1500; "&amp;Brand_Log!T12))</f>
        <v/>
      </c>
      <c r="K1012" t="inlineStr">
        <is>
          <t>brand budget_probe before $1,500</t>
        </is>
      </c>
    </row>
    <row r="1013">
      <c r="A1013" s="17">
        <f>IF(B1013="","",B1013+(6*1000+12)/10000000)</f>
        <v/>
      </c>
      <c r="B1013" s="23">
        <f>IF(AND(Brand_Log!AN13=1,OR(ISNUMBER(Brand_Log!R13),TRIM(Brand_Log!S13)&lt;&gt;"")),Brand_Log!G13,"")</f>
        <v/>
      </c>
      <c r="C1013" s="17">
        <f>IF(B1013="","","brand")</f>
        <v/>
      </c>
      <c r="D1013" s="17">
        <f>IF(B1013="","",Brand_Log!$A13&amp;"")</f>
        <v/>
      </c>
      <c r="E1013" s="17">
        <f>IF(B1013="","",IF(Brand_Log!B13="","",Brand_Log!B13&amp;""))</f>
        <v/>
      </c>
      <c r="F1013" s="17">
        <f>IF(B1013="","","budget_probe")</f>
        <v/>
      </c>
      <c r="G1013" s="17">
        <f>IF(B1013="","",IF(ISNUMBER(Brand_Log!R13),Brand_Log!R13,""))</f>
        <v/>
      </c>
      <c r="H1013" s="17">
        <f>IF(B1013="","",IF(Brand_Log!S13="","",Brand_Log!S13&amp;""))</f>
        <v/>
      </c>
      <c r="I1013" s="17">
        <f>IF(B1013="","",IF(Brand_Log!N13="","",Brand_Log!N13&amp;""))</f>
        <v/>
      </c>
      <c r="J1013" s="17">
        <f>IF(B1013="","",IF(Brand_Log!T13="","","before_1500; "&amp;Brand_Log!T13))</f>
        <v/>
      </c>
      <c r="K1013" t="inlineStr">
        <is>
          <t>brand budget_probe before $1,500</t>
        </is>
      </c>
    </row>
    <row r="1014">
      <c r="A1014" s="17">
        <f>IF(B1014="","",B1014+(6*1000+13)/10000000)</f>
        <v/>
      </c>
      <c r="B1014" s="23">
        <f>IF(AND(Brand_Log!AN14=1,OR(ISNUMBER(Brand_Log!R14),TRIM(Brand_Log!S14)&lt;&gt;"")),Brand_Log!G14,"")</f>
        <v/>
      </c>
      <c r="C1014" s="17">
        <f>IF(B1014="","","brand")</f>
        <v/>
      </c>
      <c r="D1014" s="17">
        <f>IF(B1014="","",Brand_Log!$A14&amp;"")</f>
        <v/>
      </c>
      <c r="E1014" s="17">
        <f>IF(B1014="","",IF(Brand_Log!B14="","",Brand_Log!B14&amp;""))</f>
        <v/>
      </c>
      <c r="F1014" s="17">
        <f>IF(B1014="","","budget_probe")</f>
        <v/>
      </c>
      <c r="G1014" s="17">
        <f>IF(B1014="","",IF(ISNUMBER(Brand_Log!R14),Brand_Log!R14,""))</f>
        <v/>
      </c>
      <c r="H1014" s="17">
        <f>IF(B1014="","",IF(Brand_Log!S14="","",Brand_Log!S14&amp;""))</f>
        <v/>
      </c>
      <c r="I1014" s="17">
        <f>IF(B1014="","",IF(Brand_Log!N14="","",Brand_Log!N14&amp;""))</f>
        <v/>
      </c>
      <c r="J1014" s="17">
        <f>IF(B1014="","",IF(Brand_Log!T14="","","before_1500; "&amp;Brand_Log!T14))</f>
        <v/>
      </c>
      <c r="K1014" t="inlineStr">
        <is>
          <t>brand budget_probe before $1,500</t>
        </is>
      </c>
    </row>
    <row r="1015">
      <c r="A1015" s="17">
        <f>IF(B1015="","",B1015+(6*1000+14)/10000000)</f>
        <v/>
      </c>
      <c r="B1015" s="23">
        <f>IF(AND(Brand_Log!AN15=1,OR(ISNUMBER(Brand_Log!R15),TRIM(Brand_Log!S15)&lt;&gt;"")),Brand_Log!G15,"")</f>
        <v/>
      </c>
      <c r="C1015" s="17">
        <f>IF(B1015="","","brand")</f>
        <v/>
      </c>
      <c r="D1015" s="17">
        <f>IF(B1015="","",Brand_Log!$A15&amp;"")</f>
        <v/>
      </c>
      <c r="E1015" s="17">
        <f>IF(B1015="","",IF(Brand_Log!B15="","",Brand_Log!B15&amp;""))</f>
        <v/>
      </c>
      <c r="F1015" s="17">
        <f>IF(B1015="","","budget_probe")</f>
        <v/>
      </c>
      <c r="G1015" s="17">
        <f>IF(B1015="","",IF(ISNUMBER(Brand_Log!R15),Brand_Log!R15,""))</f>
        <v/>
      </c>
      <c r="H1015" s="17">
        <f>IF(B1015="","",IF(Brand_Log!S15="","",Brand_Log!S15&amp;""))</f>
        <v/>
      </c>
      <c r="I1015" s="17">
        <f>IF(B1015="","",IF(Brand_Log!N15="","",Brand_Log!N15&amp;""))</f>
        <v/>
      </c>
      <c r="J1015" s="17">
        <f>IF(B1015="","",IF(Brand_Log!T15="","","before_1500; "&amp;Brand_Log!T15))</f>
        <v/>
      </c>
      <c r="K1015" t="inlineStr">
        <is>
          <t>brand budget_probe before $1,500</t>
        </is>
      </c>
    </row>
    <row r="1016">
      <c r="A1016" s="17">
        <f>IF(B1016="","",B1016+(6*1000+15)/10000000)</f>
        <v/>
      </c>
      <c r="B1016" s="23">
        <f>IF(AND(Brand_Log!AN16=1,OR(ISNUMBER(Brand_Log!R16),TRIM(Brand_Log!S16)&lt;&gt;"")),Brand_Log!G16,"")</f>
        <v/>
      </c>
      <c r="C1016" s="17">
        <f>IF(B1016="","","brand")</f>
        <v/>
      </c>
      <c r="D1016" s="17">
        <f>IF(B1016="","",Brand_Log!$A16&amp;"")</f>
        <v/>
      </c>
      <c r="E1016" s="17">
        <f>IF(B1016="","",IF(Brand_Log!B16="","",Brand_Log!B16&amp;""))</f>
        <v/>
      </c>
      <c r="F1016" s="17">
        <f>IF(B1016="","","budget_probe")</f>
        <v/>
      </c>
      <c r="G1016" s="17">
        <f>IF(B1016="","",IF(ISNUMBER(Brand_Log!R16),Brand_Log!R16,""))</f>
        <v/>
      </c>
      <c r="H1016" s="17">
        <f>IF(B1016="","",IF(Brand_Log!S16="","",Brand_Log!S16&amp;""))</f>
        <v/>
      </c>
      <c r="I1016" s="17">
        <f>IF(B1016="","",IF(Brand_Log!N16="","",Brand_Log!N16&amp;""))</f>
        <v/>
      </c>
      <c r="J1016" s="17">
        <f>IF(B1016="","",IF(Brand_Log!T16="","","before_1500; "&amp;Brand_Log!T16))</f>
        <v/>
      </c>
      <c r="K1016" t="inlineStr">
        <is>
          <t>brand budget_probe before $1,500</t>
        </is>
      </c>
    </row>
    <row r="1017">
      <c r="A1017" s="17">
        <f>IF(B1017="","",B1017+(6*1000+16)/10000000)</f>
        <v/>
      </c>
      <c r="B1017" s="23">
        <f>IF(AND(Brand_Log!AN17=1,OR(ISNUMBER(Brand_Log!R17),TRIM(Brand_Log!S17)&lt;&gt;"")),Brand_Log!G17,"")</f>
        <v/>
      </c>
      <c r="C1017" s="17">
        <f>IF(B1017="","","brand")</f>
        <v/>
      </c>
      <c r="D1017" s="17">
        <f>IF(B1017="","",Brand_Log!$A17&amp;"")</f>
        <v/>
      </c>
      <c r="E1017" s="17">
        <f>IF(B1017="","",IF(Brand_Log!B17="","",Brand_Log!B17&amp;""))</f>
        <v/>
      </c>
      <c r="F1017" s="17">
        <f>IF(B1017="","","budget_probe")</f>
        <v/>
      </c>
      <c r="G1017" s="17">
        <f>IF(B1017="","",IF(ISNUMBER(Brand_Log!R17),Brand_Log!R17,""))</f>
        <v/>
      </c>
      <c r="H1017" s="17">
        <f>IF(B1017="","",IF(Brand_Log!S17="","",Brand_Log!S17&amp;""))</f>
        <v/>
      </c>
      <c r="I1017" s="17">
        <f>IF(B1017="","",IF(Brand_Log!N17="","",Brand_Log!N17&amp;""))</f>
        <v/>
      </c>
      <c r="J1017" s="17">
        <f>IF(B1017="","",IF(Brand_Log!T17="","","before_1500; "&amp;Brand_Log!T17))</f>
        <v/>
      </c>
      <c r="K1017" t="inlineStr">
        <is>
          <t>brand budget_probe before $1,500</t>
        </is>
      </c>
    </row>
    <row r="1018">
      <c r="A1018" s="17">
        <f>IF(B1018="","",B1018+(6*1000+17)/10000000)</f>
        <v/>
      </c>
      <c r="B1018" s="23">
        <f>IF(AND(Brand_Log!AN18=1,OR(ISNUMBER(Brand_Log!R18),TRIM(Brand_Log!S18)&lt;&gt;"")),Brand_Log!G18,"")</f>
        <v/>
      </c>
      <c r="C1018" s="17">
        <f>IF(B1018="","","brand")</f>
        <v/>
      </c>
      <c r="D1018" s="17">
        <f>IF(B1018="","",Brand_Log!$A18&amp;"")</f>
        <v/>
      </c>
      <c r="E1018" s="17">
        <f>IF(B1018="","",IF(Brand_Log!B18="","",Brand_Log!B18&amp;""))</f>
        <v/>
      </c>
      <c r="F1018" s="17">
        <f>IF(B1018="","","budget_probe")</f>
        <v/>
      </c>
      <c r="G1018" s="17">
        <f>IF(B1018="","",IF(ISNUMBER(Brand_Log!R18),Brand_Log!R18,""))</f>
        <v/>
      </c>
      <c r="H1018" s="17">
        <f>IF(B1018="","",IF(Brand_Log!S18="","",Brand_Log!S18&amp;""))</f>
        <v/>
      </c>
      <c r="I1018" s="17">
        <f>IF(B1018="","",IF(Brand_Log!N18="","",Brand_Log!N18&amp;""))</f>
        <v/>
      </c>
      <c r="J1018" s="17">
        <f>IF(B1018="","",IF(Brand_Log!T18="","","before_1500; "&amp;Brand_Log!T18))</f>
        <v/>
      </c>
      <c r="K1018" t="inlineStr">
        <is>
          <t>brand budget_probe before $1,500</t>
        </is>
      </c>
    </row>
    <row r="1019">
      <c r="A1019" s="17">
        <f>IF(B1019="","",B1019+(6*1000+18)/10000000)</f>
        <v/>
      </c>
      <c r="B1019" s="23">
        <f>IF(AND(Brand_Log!AN19=1,OR(ISNUMBER(Brand_Log!R19),TRIM(Brand_Log!S19)&lt;&gt;"")),Brand_Log!G19,"")</f>
        <v/>
      </c>
      <c r="C1019" s="17">
        <f>IF(B1019="","","brand")</f>
        <v/>
      </c>
      <c r="D1019" s="17">
        <f>IF(B1019="","",Brand_Log!$A19&amp;"")</f>
        <v/>
      </c>
      <c r="E1019" s="17">
        <f>IF(B1019="","",IF(Brand_Log!B19="","",Brand_Log!B19&amp;""))</f>
        <v/>
      </c>
      <c r="F1019" s="17">
        <f>IF(B1019="","","budget_probe")</f>
        <v/>
      </c>
      <c r="G1019" s="17">
        <f>IF(B1019="","",IF(ISNUMBER(Brand_Log!R19),Brand_Log!R19,""))</f>
        <v/>
      </c>
      <c r="H1019" s="17">
        <f>IF(B1019="","",IF(Brand_Log!S19="","",Brand_Log!S19&amp;""))</f>
        <v/>
      </c>
      <c r="I1019" s="17">
        <f>IF(B1019="","",IF(Brand_Log!N19="","",Brand_Log!N19&amp;""))</f>
        <v/>
      </c>
      <c r="J1019" s="17">
        <f>IF(B1019="","",IF(Brand_Log!T19="","","before_1500; "&amp;Brand_Log!T19))</f>
        <v/>
      </c>
      <c r="K1019" t="inlineStr">
        <is>
          <t>brand budget_probe before $1,500</t>
        </is>
      </c>
    </row>
    <row r="1020">
      <c r="A1020" s="17">
        <f>IF(B1020="","",B1020+(6*1000+19)/10000000)</f>
        <v/>
      </c>
      <c r="B1020" s="23">
        <f>IF(AND(Brand_Log!AN20=1,OR(ISNUMBER(Brand_Log!R20),TRIM(Brand_Log!S20)&lt;&gt;"")),Brand_Log!G20,"")</f>
        <v/>
      </c>
      <c r="C1020" s="17">
        <f>IF(B1020="","","brand")</f>
        <v/>
      </c>
      <c r="D1020" s="17">
        <f>IF(B1020="","",Brand_Log!$A20&amp;"")</f>
        <v/>
      </c>
      <c r="E1020" s="17">
        <f>IF(B1020="","",IF(Brand_Log!B20="","",Brand_Log!B20&amp;""))</f>
        <v/>
      </c>
      <c r="F1020" s="17">
        <f>IF(B1020="","","budget_probe")</f>
        <v/>
      </c>
      <c r="G1020" s="17">
        <f>IF(B1020="","",IF(ISNUMBER(Brand_Log!R20),Brand_Log!R20,""))</f>
        <v/>
      </c>
      <c r="H1020" s="17">
        <f>IF(B1020="","",IF(Brand_Log!S20="","",Brand_Log!S20&amp;""))</f>
        <v/>
      </c>
      <c r="I1020" s="17">
        <f>IF(B1020="","",IF(Brand_Log!N20="","",Brand_Log!N20&amp;""))</f>
        <v/>
      </c>
      <c r="J1020" s="17">
        <f>IF(B1020="","",IF(Brand_Log!T20="","","before_1500; "&amp;Brand_Log!T20))</f>
        <v/>
      </c>
      <c r="K1020" t="inlineStr">
        <is>
          <t>brand budget_probe before $1,500</t>
        </is>
      </c>
    </row>
    <row r="1021">
      <c r="A1021" s="17">
        <f>IF(B1021="","",B1021+(6*1000+20)/10000000)</f>
        <v/>
      </c>
      <c r="B1021" s="23">
        <f>IF(AND(Brand_Log!AN21=1,OR(ISNUMBER(Brand_Log!R21),TRIM(Brand_Log!S21)&lt;&gt;"")),Brand_Log!G21,"")</f>
        <v/>
      </c>
      <c r="C1021" s="17">
        <f>IF(B1021="","","brand")</f>
        <v/>
      </c>
      <c r="D1021" s="17">
        <f>IF(B1021="","",Brand_Log!$A21&amp;"")</f>
        <v/>
      </c>
      <c r="E1021" s="17">
        <f>IF(B1021="","",IF(Brand_Log!B21="","",Brand_Log!B21&amp;""))</f>
        <v/>
      </c>
      <c r="F1021" s="17">
        <f>IF(B1021="","","budget_probe")</f>
        <v/>
      </c>
      <c r="G1021" s="17">
        <f>IF(B1021="","",IF(ISNUMBER(Brand_Log!R21),Brand_Log!R21,""))</f>
        <v/>
      </c>
      <c r="H1021" s="17">
        <f>IF(B1021="","",IF(Brand_Log!S21="","",Brand_Log!S21&amp;""))</f>
        <v/>
      </c>
      <c r="I1021" s="17">
        <f>IF(B1021="","",IF(Brand_Log!N21="","",Brand_Log!N21&amp;""))</f>
        <v/>
      </c>
      <c r="J1021" s="17">
        <f>IF(B1021="","",IF(Brand_Log!T21="","","before_1500; "&amp;Brand_Log!T21))</f>
        <v/>
      </c>
      <c r="K1021" t="inlineStr">
        <is>
          <t>brand budget_probe before $1,500</t>
        </is>
      </c>
    </row>
    <row r="1022">
      <c r="A1022" s="17">
        <f>IF(B1022="","",B1022+(6*1000+21)/10000000)</f>
        <v/>
      </c>
      <c r="B1022" s="23">
        <f>IF(AND(Brand_Log!AN22=1,OR(ISNUMBER(Brand_Log!R22),TRIM(Brand_Log!S22)&lt;&gt;"")),Brand_Log!G22,"")</f>
        <v/>
      </c>
      <c r="C1022" s="17">
        <f>IF(B1022="","","brand")</f>
        <v/>
      </c>
      <c r="D1022" s="17">
        <f>IF(B1022="","",Brand_Log!$A22&amp;"")</f>
        <v/>
      </c>
      <c r="E1022" s="17">
        <f>IF(B1022="","",IF(Brand_Log!B22="","",Brand_Log!B22&amp;""))</f>
        <v/>
      </c>
      <c r="F1022" s="17">
        <f>IF(B1022="","","budget_probe")</f>
        <v/>
      </c>
      <c r="G1022" s="17">
        <f>IF(B1022="","",IF(ISNUMBER(Brand_Log!R22),Brand_Log!R22,""))</f>
        <v/>
      </c>
      <c r="H1022" s="17">
        <f>IF(B1022="","",IF(Brand_Log!S22="","",Brand_Log!S22&amp;""))</f>
        <v/>
      </c>
      <c r="I1022" s="17">
        <f>IF(B1022="","",IF(Brand_Log!N22="","",Brand_Log!N22&amp;""))</f>
        <v/>
      </c>
      <c r="J1022" s="17">
        <f>IF(B1022="","",IF(Brand_Log!T22="","","before_1500; "&amp;Brand_Log!T22))</f>
        <v/>
      </c>
      <c r="K1022" t="inlineStr">
        <is>
          <t>brand budget_probe before $1,500</t>
        </is>
      </c>
    </row>
    <row r="1023">
      <c r="A1023" s="17">
        <f>IF(B1023="","",B1023+(6*1000+22)/10000000)</f>
        <v/>
      </c>
      <c r="B1023" s="23">
        <f>IF(AND(Brand_Log!AN23=1,OR(ISNUMBER(Brand_Log!R23),TRIM(Brand_Log!S23)&lt;&gt;"")),Brand_Log!G23,"")</f>
        <v/>
      </c>
      <c r="C1023" s="17">
        <f>IF(B1023="","","brand")</f>
        <v/>
      </c>
      <c r="D1023" s="17">
        <f>IF(B1023="","",Brand_Log!$A23&amp;"")</f>
        <v/>
      </c>
      <c r="E1023" s="17">
        <f>IF(B1023="","",IF(Brand_Log!B23="","",Brand_Log!B23&amp;""))</f>
        <v/>
      </c>
      <c r="F1023" s="17">
        <f>IF(B1023="","","budget_probe")</f>
        <v/>
      </c>
      <c r="G1023" s="17">
        <f>IF(B1023="","",IF(ISNUMBER(Brand_Log!R23),Brand_Log!R23,""))</f>
        <v/>
      </c>
      <c r="H1023" s="17">
        <f>IF(B1023="","",IF(Brand_Log!S23="","",Brand_Log!S23&amp;""))</f>
        <v/>
      </c>
      <c r="I1023" s="17">
        <f>IF(B1023="","",IF(Brand_Log!N23="","",Brand_Log!N23&amp;""))</f>
        <v/>
      </c>
      <c r="J1023" s="17">
        <f>IF(B1023="","",IF(Brand_Log!T23="","","before_1500; "&amp;Brand_Log!T23))</f>
        <v/>
      </c>
      <c r="K1023" t="inlineStr">
        <is>
          <t>brand budget_probe before $1,500</t>
        </is>
      </c>
    </row>
    <row r="1024">
      <c r="A1024" s="17">
        <f>IF(B1024="","",B1024+(6*1000+23)/10000000)</f>
        <v/>
      </c>
      <c r="B1024" s="23">
        <f>IF(AND(Brand_Log!AN24=1,OR(ISNUMBER(Brand_Log!R24),TRIM(Brand_Log!S24)&lt;&gt;"")),Brand_Log!G24,"")</f>
        <v/>
      </c>
      <c r="C1024" s="17">
        <f>IF(B1024="","","brand")</f>
        <v/>
      </c>
      <c r="D1024" s="17">
        <f>IF(B1024="","",Brand_Log!$A24&amp;"")</f>
        <v/>
      </c>
      <c r="E1024" s="17">
        <f>IF(B1024="","",IF(Brand_Log!B24="","",Brand_Log!B24&amp;""))</f>
        <v/>
      </c>
      <c r="F1024" s="17">
        <f>IF(B1024="","","budget_probe")</f>
        <v/>
      </c>
      <c r="G1024" s="17">
        <f>IF(B1024="","",IF(ISNUMBER(Brand_Log!R24),Brand_Log!R24,""))</f>
        <v/>
      </c>
      <c r="H1024" s="17">
        <f>IF(B1024="","",IF(Brand_Log!S24="","",Brand_Log!S24&amp;""))</f>
        <v/>
      </c>
      <c r="I1024" s="17">
        <f>IF(B1024="","",IF(Brand_Log!N24="","",Brand_Log!N24&amp;""))</f>
        <v/>
      </c>
      <c r="J1024" s="17">
        <f>IF(B1024="","",IF(Brand_Log!T24="","","before_1500; "&amp;Brand_Log!T24))</f>
        <v/>
      </c>
      <c r="K1024" t="inlineStr">
        <is>
          <t>brand budget_probe before $1,500</t>
        </is>
      </c>
    </row>
    <row r="1025">
      <c r="A1025" s="17">
        <f>IF(B1025="","",B1025+(6*1000+24)/10000000)</f>
        <v/>
      </c>
      <c r="B1025" s="23">
        <f>IF(AND(Brand_Log!AN25=1,OR(ISNUMBER(Brand_Log!R25),TRIM(Brand_Log!S25)&lt;&gt;"")),Brand_Log!G25,"")</f>
        <v/>
      </c>
      <c r="C1025" s="17">
        <f>IF(B1025="","","brand")</f>
        <v/>
      </c>
      <c r="D1025" s="17">
        <f>IF(B1025="","",Brand_Log!$A25&amp;"")</f>
        <v/>
      </c>
      <c r="E1025" s="17">
        <f>IF(B1025="","",IF(Brand_Log!B25="","",Brand_Log!B25&amp;""))</f>
        <v/>
      </c>
      <c r="F1025" s="17">
        <f>IF(B1025="","","budget_probe")</f>
        <v/>
      </c>
      <c r="G1025" s="17">
        <f>IF(B1025="","",IF(ISNUMBER(Brand_Log!R25),Brand_Log!R25,""))</f>
        <v/>
      </c>
      <c r="H1025" s="17">
        <f>IF(B1025="","",IF(Brand_Log!S25="","",Brand_Log!S25&amp;""))</f>
        <v/>
      </c>
      <c r="I1025" s="17">
        <f>IF(B1025="","",IF(Brand_Log!N25="","",Brand_Log!N25&amp;""))</f>
        <v/>
      </c>
      <c r="J1025" s="17">
        <f>IF(B1025="","",IF(Brand_Log!T25="","","before_1500; "&amp;Brand_Log!T25))</f>
        <v/>
      </c>
      <c r="K1025" t="inlineStr">
        <is>
          <t>brand budget_probe before $1,500</t>
        </is>
      </c>
    </row>
    <row r="1026">
      <c r="A1026" s="17">
        <f>IF(B1026="","",B1026+(6*1000+25)/10000000)</f>
        <v/>
      </c>
      <c r="B1026" s="23">
        <f>IF(AND(Brand_Log!AN26=1,OR(ISNUMBER(Brand_Log!R26),TRIM(Brand_Log!S26)&lt;&gt;"")),Brand_Log!G26,"")</f>
        <v/>
      </c>
      <c r="C1026" s="17">
        <f>IF(B1026="","","brand")</f>
        <v/>
      </c>
      <c r="D1026" s="17">
        <f>IF(B1026="","",Brand_Log!$A26&amp;"")</f>
        <v/>
      </c>
      <c r="E1026" s="17">
        <f>IF(B1026="","",IF(Brand_Log!B26="","",Brand_Log!B26&amp;""))</f>
        <v/>
      </c>
      <c r="F1026" s="17">
        <f>IF(B1026="","","budget_probe")</f>
        <v/>
      </c>
      <c r="G1026" s="17">
        <f>IF(B1026="","",IF(ISNUMBER(Brand_Log!R26),Brand_Log!R26,""))</f>
        <v/>
      </c>
      <c r="H1026" s="17">
        <f>IF(B1026="","",IF(Brand_Log!S26="","",Brand_Log!S26&amp;""))</f>
        <v/>
      </c>
      <c r="I1026" s="17">
        <f>IF(B1026="","",IF(Brand_Log!N26="","",Brand_Log!N26&amp;""))</f>
        <v/>
      </c>
      <c r="J1026" s="17">
        <f>IF(B1026="","",IF(Brand_Log!T26="","","before_1500; "&amp;Brand_Log!T26))</f>
        <v/>
      </c>
      <c r="K1026" t="inlineStr">
        <is>
          <t>brand budget_probe before $1,500</t>
        </is>
      </c>
    </row>
    <row r="1027">
      <c r="A1027" s="17">
        <f>IF(B1027="","",B1027+(6*1000+26)/10000000)</f>
        <v/>
      </c>
      <c r="B1027" s="23">
        <f>IF(AND(Brand_Log!AN27=1,OR(ISNUMBER(Brand_Log!R27),TRIM(Brand_Log!S27)&lt;&gt;"")),Brand_Log!G27,"")</f>
        <v/>
      </c>
      <c r="C1027" s="17">
        <f>IF(B1027="","","brand")</f>
        <v/>
      </c>
      <c r="D1027" s="17">
        <f>IF(B1027="","",Brand_Log!$A27&amp;"")</f>
        <v/>
      </c>
      <c r="E1027" s="17">
        <f>IF(B1027="","",IF(Brand_Log!B27="","",Brand_Log!B27&amp;""))</f>
        <v/>
      </c>
      <c r="F1027" s="17">
        <f>IF(B1027="","","budget_probe")</f>
        <v/>
      </c>
      <c r="G1027" s="17">
        <f>IF(B1027="","",IF(ISNUMBER(Brand_Log!R27),Brand_Log!R27,""))</f>
        <v/>
      </c>
      <c r="H1027" s="17">
        <f>IF(B1027="","",IF(Brand_Log!S27="","",Brand_Log!S27&amp;""))</f>
        <v/>
      </c>
      <c r="I1027" s="17">
        <f>IF(B1027="","",IF(Brand_Log!N27="","",Brand_Log!N27&amp;""))</f>
        <v/>
      </c>
      <c r="J1027" s="17">
        <f>IF(B1027="","",IF(Brand_Log!T27="","","before_1500; "&amp;Brand_Log!T27))</f>
        <v/>
      </c>
      <c r="K1027" t="inlineStr">
        <is>
          <t>brand budget_probe before $1,500</t>
        </is>
      </c>
    </row>
    <row r="1028">
      <c r="A1028" s="17">
        <f>IF(B1028="","",B1028+(6*1000+27)/10000000)</f>
        <v/>
      </c>
      <c r="B1028" s="23">
        <f>IF(AND(Brand_Log!AN28=1,OR(ISNUMBER(Brand_Log!R28),TRIM(Brand_Log!S28)&lt;&gt;"")),Brand_Log!G28,"")</f>
        <v/>
      </c>
      <c r="C1028" s="17">
        <f>IF(B1028="","","brand")</f>
        <v/>
      </c>
      <c r="D1028" s="17">
        <f>IF(B1028="","",Brand_Log!$A28&amp;"")</f>
        <v/>
      </c>
      <c r="E1028" s="17">
        <f>IF(B1028="","",IF(Brand_Log!B28="","",Brand_Log!B28&amp;""))</f>
        <v/>
      </c>
      <c r="F1028" s="17">
        <f>IF(B1028="","","budget_probe")</f>
        <v/>
      </c>
      <c r="G1028" s="17">
        <f>IF(B1028="","",IF(ISNUMBER(Brand_Log!R28),Brand_Log!R28,""))</f>
        <v/>
      </c>
      <c r="H1028" s="17">
        <f>IF(B1028="","",IF(Brand_Log!S28="","",Brand_Log!S28&amp;""))</f>
        <v/>
      </c>
      <c r="I1028" s="17">
        <f>IF(B1028="","",IF(Brand_Log!N28="","",Brand_Log!N28&amp;""))</f>
        <v/>
      </c>
      <c r="J1028" s="17">
        <f>IF(B1028="","",IF(Brand_Log!T28="","","before_1500; "&amp;Brand_Log!T28))</f>
        <v/>
      </c>
      <c r="K1028" t="inlineStr">
        <is>
          <t>brand budget_probe before $1,500</t>
        </is>
      </c>
    </row>
    <row r="1029">
      <c r="A1029" s="17">
        <f>IF(B1029="","",B1029+(6*1000+28)/10000000)</f>
        <v/>
      </c>
      <c r="B1029" s="23">
        <f>IF(AND(Brand_Log!AN29=1,OR(ISNUMBER(Brand_Log!R29),TRIM(Brand_Log!S29)&lt;&gt;"")),Brand_Log!G29,"")</f>
        <v/>
      </c>
      <c r="C1029" s="17">
        <f>IF(B1029="","","brand")</f>
        <v/>
      </c>
      <c r="D1029" s="17">
        <f>IF(B1029="","",Brand_Log!$A29&amp;"")</f>
        <v/>
      </c>
      <c r="E1029" s="17">
        <f>IF(B1029="","",IF(Brand_Log!B29="","",Brand_Log!B29&amp;""))</f>
        <v/>
      </c>
      <c r="F1029" s="17">
        <f>IF(B1029="","","budget_probe")</f>
        <v/>
      </c>
      <c r="G1029" s="17">
        <f>IF(B1029="","",IF(ISNUMBER(Brand_Log!R29),Brand_Log!R29,""))</f>
        <v/>
      </c>
      <c r="H1029" s="17">
        <f>IF(B1029="","",IF(Brand_Log!S29="","",Brand_Log!S29&amp;""))</f>
        <v/>
      </c>
      <c r="I1029" s="17">
        <f>IF(B1029="","",IF(Brand_Log!N29="","",Brand_Log!N29&amp;""))</f>
        <v/>
      </c>
      <c r="J1029" s="17">
        <f>IF(B1029="","",IF(Brand_Log!T29="","","before_1500; "&amp;Brand_Log!T29))</f>
        <v/>
      </c>
      <c r="K1029" t="inlineStr">
        <is>
          <t>brand budget_probe before $1,500</t>
        </is>
      </c>
    </row>
    <row r="1030">
      <c r="A1030" s="17">
        <f>IF(B1030="","",B1030+(6*1000+29)/10000000)</f>
        <v/>
      </c>
      <c r="B1030" s="23">
        <f>IF(AND(Brand_Log!AN30=1,OR(ISNUMBER(Brand_Log!R30),TRIM(Brand_Log!S30)&lt;&gt;"")),Brand_Log!G30,"")</f>
        <v/>
      </c>
      <c r="C1030" s="17">
        <f>IF(B1030="","","brand")</f>
        <v/>
      </c>
      <c r="D1030" s="17">
        <f>IF(B1030="","",Brand_Log!$A30&amp;"")</f>
        <v/>
      </c>
      <c r="E1030" s="17">
        <f>IF(B1030="","",IF(Brand_Log!B30="","",Brand_Log!B30&amp;""))</f>
        <v/>
      </c>
      <c r="F1030" s="17">
        <f>IF(B1030="","","budget_probe")</f>
        <v/>
      </c>
      <c r="G1030" s="17">
        <f>IF(B1030="","",IF(ISNUMBER(Brand_Log!R30),Brand_Log!R30,""))</f>
        <v/>
      </c>
      <c r="H1030" s="17">
        <f>IF(B1030="","",IF(Brand_Log!S30="","",Brand_Log!S30&amp;""))</f>
        <v/>
      </c>
      <c r="I1030" s="17">
        <f>IF(B1030="","",IF(Brand_Log!N30="","",Brand_Log!N30&amp;""))</f>
        <v/>
      </c>
      <c r="J1030" s="17">
        <f>IF(B1030="","",IF(Brand_Log!T30="","","before_1500; "&amp;Brand_Log!T30))</f>
        <v/>
      </c>
      <c r="K1030" t="inlineStr">
        <is>
          <t>brand budget_probe before $1,500</t>
        </is>
      </c>
    </row>
    <row r="1031">
      <c r="A1031" s="17">
        <f>IF(B1031="","",B1031+(6*1000+30)/10000000)</f>
        <v/>
      </c>
      <c r="B1031" s="23">
        <f>IF(AND(Brand_Log!AN31=1,OR(ISNUMBER(Brand_Log!R31),TRIM(Brand_Log!S31)&lt;&gt;"")),Brand_Log!G31,"")</f>
        <v/>
      </c>
      <c r="C1031" s="17">
        <f>IF(B1031="","","brand")</f>
        <v/>
      </c>
      <c r="D1031" s="17">
        <f>IF(B1031="","",Brand_Log!$A31&amp;"")</f>
        <v/>
      </c>
      <c r="E1031" s="17">
        <f>IF(B1031="","",IF(Brand_Log!B31="","",Brand_Log!B31&amp;""))</f>
        <v/>
      </c>
      <c r="F1031" s="17">
        <f>IF(B1031="","","budget_probe")</f>
        <v/>
      </c>
      <c r="G1031" s="17">
        <f>IF(B1031="","",IF(ISNUMBER(Brand_Log!R31),Brand_Log!R31,""))</f>
        <v/>
      </c>
      <c r="H1031" s="17">
        <f>IF(B1031="","",IF(Brand_Log!S31="","",Brand_Log!S31&amp;""))</f>
        <v/>
      </c>
      <c r="I1031" s="17">
        <f>IF(B1031="","",IF(Brand_Log!N31="","",Brand_Log!N31&amp;""))</f>
        <v/>
      </c>
      <c r="J1031" s="17">
        <f>IF(B1031="","",IF(Brand_Log!T31="","","before_1500; "&amp;Brand_Log!T31))</f>
        <v/>
      </c>
      <c r="K1031" t="inlineStr">
        <is>
          <t>brand budget_probe before $1,500</t>
        </is>
      </c>
    </row>
    <row r="1032">
      <c r="A1032" s="17">
        <f>IF(B1032="","",B1032+(6*1000+31)/10000000)</f>
        <v/>
      </c>
      <c r="B1032" s="23">
        <f>IF(AND(Brand_Log!AN32=1,OR(ISNUMBER(Brand_Log!R32),TRIM(Brand_Log!S32)&lt;&gt;"")),Brand_Log!G32,"")</f>
        <v/>
      </c>
      <c r="C1032" s="17">
        <f>IF(B1032="","","brand")</f>
        <v/>
      </c>
      <c r="D1032" s="17">
        <f>IF(B1032="","",Brand_Log!$A32&amp;"")</f>
        <v/>
      </c>
      <c r="E1032" s="17">
        <f>IF(B1032="","",IF(Brand_Log!B32="","",Brand_Log!B32&amp;""))</f>
        <v/>
      </c>
      <c r="F1032" s="17">
        <f>IF(B1032="","","budget_probe")</f>
        <v/>
      </c>
      <c r="G1032" s="17">
        <f>IF(B1032="","",IF(ISNUMBER(Brand_Log!R32),Brand_Log!R32,""))</f>
        <v/>
      </c>
      <c r="H1032" s="17">
        <f>IF(B1032="","",IF(Brand_Log!S32="","",Brand_Log!S32&amp;""))</f>
        <v/>
      </c>
      <c r="I1032" s="17">
        <f>IF(B1032="","",IF(Brand_Log!N32="","",Brand_Log!N32&amp;""))</f>
        <v/>
      </c>
      <c r="J1032" s="17">
        <f>IF(B1032="","",IF(Brand_Log!T32="","","before_1500; "&amp;Brand_Log!T32))</f>
        <v/>
      </c>
      <c r="K1032" t="inlineStr">
        <is>
          <t>brand budget_probe before $1,500</t>
        </is>
      </c>
    </row>
    <row r="1033">
      <c r="A1033" s="17">
        <f>IF(B1033="","",B1033+(6*1000+32)/10000000)</f>
        <v/>
      </c>
      <c r="B1033" s="23">
        <f>IF(AND(Brand_Log!AN33=1,OR(ISNUMBER(Brand_Log!R33),TRIM(Brand_Log!S33)&lt;&gt;"")),Brand_Log!G33,"")</f>
        <v/>
      </c>
      <c r="C1033" s="17">
        <f>IF(B1033="","","brand")</f>
        <v/>
      </c>
      <c r="D1033" s="17">
        <f>IF(B1033="","",Brand_Log!$A33&amp;"")</f>
        <v/>
      </c>
      <c r="E1033" s="17">
        <f>IF(B1033="","",IF(Brand_Log!B33="","",Brand_Log!B33&amp;""))</f>
        <v/>
      </c>
      <c r="F1033" s="17">
        <f>IF(B1033="","","budget_probe")</f>
        <v/>
      </c>
      <c r="G1033" s="17">
        <f>IF(B1033="","",IF(ISNUMBER(Brand_Log!R33),Brand_Log!R33,""))</f>
        <v/>
      </c>
      <c r="H1033" s="17">
        <f>IF(B1033="","",IF(Brand_Log!S33="","",Brand_Log!S33&amp;""))</f>
        <v/>
      </c>
      <c r="I1033" s="17">
        <f>IF(B1033="","",IF(Brand_Log!N33="","",Brand_Log!N33&amp;""))</f>
        <v/>
      </c>
      <c r="J1033" s="17">
        <f>IF(B1033="","",IF(Brand_Log!T33="","","before_1500; "&amp;Brand_Log!T33))</f>
        <v/>
      </c>
      <c r="K1033" t="inlineStr">
        <is>
          <t>brand budget_probe before $1,500</t>
        </is>
      </c>
    </row>
    <row r="1034">
      <c r="A1034" s="17">
        <f>IF(B1034="","",B1034+(6*1000+33)/10000000)</f>
        <v/>
      </c>
      <c r="B1034" s="23">
        <f>IF(AND(Brand_Log!AN34=1,OR(ISNUMBER(Brand_Log!R34),TRIM(Brand_Log!S34)&lt;&gt;"")),Brand_Log!G34,"")</f>
        <v/>
      </c>
      <c r="C1034" s="17">
        <f>IF(B1034="","","brand")</f>
        <v/>
      </c>
      <c r="D1034" s="17">
        <f>IF(B1034="","",Brand_Log!$A34&amp;"")</f>
        <v/>
      </c>
      <c r="E1034" s="17">
        <f>IF(B1034="","",IF(Brand_Log!B34="","",Brand_Log!B34&amp;""))</f>
        <v/>
      </c>
      <c r="F1034" s="17">
        <f>IF(B1034="","","budget_probe")</f>
        <v/>
      </c>
      <c r="G1034" s="17">
        <f>IF(B1034="","",IF(ISNUMBER(Brand_Log!R34),Brand_Log!R34,""))</f>
        <v/>
      </c>
      <c r="H1034" s="17">
        <f>IF(B1034="","",IF(Brand_Log!S34="","",Brand_Log!S34&amp;""))</f>
        <v/>
      </c>
      <c r="I1034" s="17">
        <f>IF(B1034="","",IF(Brand_Log!N34="","",Brand_Log!N34&amp;""))</f>
        <v/>
      </c>
      <c r="J1034" s="17">
        <f>IF(B1034="","",IF(Brand_Log!T34="","","before_1500; "&amp;Brand_Log!T34))</f>
        <v/>
      </c>
      <c r="K1034" t="inlineStr">
        <is>
          <t>brand budget_probe before $1,500</t>
        </is>
      </c>
    </row>
    <row r="1035">
      <c r="A1035" s="17">
        <f>IF(B1035="","",B1035+(6*1000+34)/10000000)</f>
        <v/>
      </c>
      <c r="B1035" s="23">
        <f>IF(AND(Brand_Log!AN35=1,OR(ISNUMBER(Brand_Log!R35),TRIM(Brand_Log!S35)&lt;&gt;"")),Brand_Log!G35,"")</f>
        <v/>
      </c>
      <c r="C1035" s="17">
        <f>IF(B1035="","","brand")</f>
        <v/>
      </c>
      <c r="D1035" s="17">
        <f>IF(B1035="","",Brand_Log!$A35&amp;"")</f>
        <v/>
      </c>
      <c r="E1035" s="17">
        <f>IF(B1035="","",IF(Brand_Log!B35="","",Brand_Log!B35&amp;""))</f>
        <v/>
      </c>
      <c r="F1035" s="17">
        <f>IF(B1035="","","budget_probe")</f>
        <v/>
      </c>
      <c r="G1035" s="17">
        <f>IF(B1035="","",IF(ISNUMBER(Brand_Log!R35),Brand_Log!R35,""))</f>
        <v/>
      </c>
      <c r="H1035" s="17">
        <f>IF(B1035="","",IF(Brand_Log!S35="","",Brand_Log!S35&amp;""))</f>
        <v/>
      </c>
      <c r="I1035" s="17">
        <f>IF(B1035="","",IF(Brand_Log!N35="","",Brand_Log!N35&amp;""))</f>
        <v/>
      </c>
      <c r="J1035" s="17">
        <f>IF(B1035="","",IF(Brand_Log!T35="","","before_1500; "&amp;Brand_Log!T35))</f>
        <v/>
      </c>
      <c r="K1035" t="inlineStr">
        <is>
          <t>brand budget_probe before $1,500</t>
        </is>
      </c>
    </row>
    <row r="1036">
      <c r="A1036" s="17">
        <f>IF(B1036="","",B1036+(6*1000+35)/10000000)</f>
        <v/>
      </c>
      <c r="B1036" s="23">
        <f>IF(AND(Brand_Log!AN36=1,OR(ISNUMBER(Brand_Log!R36),TRIM(Brand_Log!S36)&lt;&gt;"")),Brand_Log!G36,"")</f>
        <v/>
      </c>
      <c r="C1036" s="17">
        <f>IF(B1036="","","brand")</f>
        <v/>
      </c>
      <c r="D1036" s="17">
        <f>IF(B1036="","",Brand_Log!$A36&amp;"")</f>
        <v/>
      </c>
      <c r="E1036" s="17">
        <f>IF(B1036="","",IF(Brand_Log!B36="","",Brand_Log!B36&amp;""))</f>
        <v/>
      </c>
      <c r="F1036" s="17">
        <f>IF(B1036="","","budget_probe")</f>
        <v/>
      </c>
      <c r="G1036" s="17">
        <f>IF(B1036="","",IF(ISNUMBER(Brand_Log!R36),Brand_Log!R36,""))</f>
        <v/>
      </c>
      <c r="H1036" s="17">
        <f>IF(B1036="","",IF(Brand_Log!S36="","",Brand_Log!S36&amp;""))</f>
        <v/>
      </c>
      <c r="I1036" s="17">
        <f>IF(B1036="","",IF(Brand_Log!N36="","",Brand_Log!N36&amp;""))</f>
        <v/>
      </c>
      <c r="J1036" s="17">
        <f>IF(B1036="","",IF(Brand_Log!T36="","","before_1500; "&amp;Brand_Log!T36))</f>
        <v/>
      </c>
      <c r="K1036" t="inlineStr">
        <is>
          <t>brand budget_probe before $1,500</t>
        </is>
      </c>
    </row>
    <row r="1037">
      <c r="A1037" s="17">
        <f>IF(B1037="","",B1037+(6*1000+36)/10000000)</f>
        <v/>
      </c>
      <c r="B1037" s="23">
        <f>IF(AND(Brand_Log!AN37=1,OR(ISNUMBER(Brand_Log!R37),TRIM(Brand_Log!S37)&lt;&gt;"")),Brand_Log!G37,"")</f>
        <v/>
      </c>
      <c r="C1037" s="17">
        <f>IF(B1037="","","brand")</f>
        <v/>
      </c>
      <c r="D1037" s="17">
        <f>IF(B1037="","",Brand_Log!$A37&amp;"")</f>
        <v/>
      </c>
      <c r="E1037" s="17">
        <f>IF(B1037="","",IF(Brand_Log!B37="","",Brand_Log!B37&amp;""))</f>
        <v/>
      </c>
      <c r="F1037" s="17">
        <f>IF(B1037="","","budget_probe")</f>
        <v/>
      </c>
      <c r="G1037" s="17">
        <f>IF(B1037="","",IF(ISNUMBER(Brand_Log!R37),Brand_Log!R37,""))</f>
        <v/>
      </c>
      <c r="H1037" s="17">
        <f>IF(B1037="","",IF(Brand_Log!S37="","",Brand_Log!S37&amp;""))</f>
        <v/>
      </c>
      <c r="I1037" s="17">
        <f>IF(B1037="","",IF(Brand_Log!N37="","",Brand_Log!N37&amp;""))</f>
        <v/>
      </c>
      <c r="J1037" s="17">
        <f>IF(B1037="","",IF(Brand_Log!T37="","","before_1500; "&amp;Brand_Log!T37))</f>
        <v/>
      </c>
      <c r="K1037" t="inlineStr">
        <is>
          <t>brand budget_probe before $1,500</t>
        </is>
      </c>
    </row>
    <row r="1038">
      <c r="A1038" s="17">
        <f>IF(B1038="","",B1038+(6*1000+37)/10000000)</f>
        <v/>
      </c>
      <c r="B1038" s="23">
        <f>IF(AND(Brand_Log!AN38=1,OR(ISNUMBER(Brand_Log!R38),TRIM(Brand_Log!S38)&lt;&gt;"")),Brand_Log!G38,"")</f>
        <v/>
      </c>
      <c r="C1038" s="17">
        <f>IF(B1038="","","brand")</f>
        <v/>
      </c>
      <c r="D1038" s="17">
        <f>IF(B1038="","",Brand_Log!$A38&amp;"")</f>
        <v/>
      </c>
      <c r="E1038" s="17">
        <f>IF(B1038="","",IF(Brand_Log!B38="","",Brand_Log!B38&amp;""))</f>
        <v/>
      </c>
      <c r="F1038" s="17">
        <f>IF(B1038="","","budget_probe")</f>
        <v/>
      </c>
      <c r="G1038" s="17">
        <f>IF(B1038="","",IF(ISNUMBER(Brand_Log!R38),Brand_Log!R38,""))</f>
        <v/>
      </c>
      <c r="H1038" s="17">
        <f>IF(B1038="","",IF(Brand_Log!S38="","",Brand_Log!S38&amp;""))</f>
        <v/>
      </c>
      <c r="I1038" s="17">
        <f>IF(B1038="","",IF(Brand_Log!N38="","",Brand_Log!N38&amp;""))</f>
        <v/>
      </c>
      <c r="J1038" s="17">
        <f>IF(B1038="","",IF(Brand_Log!T38="","","before_1500; "&amp;Brand_Log!T38))</f>
        <v/>
      </c>
      <c r="K1038" t="inlineStr">
        <is>
          <t>brand budget_probe before $1,500</t>
        </is>
      </c>
    </row>
    <row r="1039">
      <c r="A1039" s="17">
        <f>IF(B1039="","",B1039+(6*1000+38)/10000000)</f>
        <v/>
      </c>
      <c r="B1039" s="23">
        <f>IF(AND(Brand_Log!AN39=1,OR(ISNUMBER(Brand_Log!R39),TRIM(Brand_Log!S39)&lt;&gt;"")),Brand_Log!G39,"")</f>
        <v/>
      </c>
      <c r="C1039" s="17">
        <f>IF(B1039="","","brand")</f>
        <v/>
      </c>
      <c r="D1039" s="17">
        <f>IF(B1039="","",Brand_Log!$A39&amp;"")</f>
        <v/>
      </c>
      <c r="E1039" s="17">
        <f>IF(B1039="","",IF(Brand_Log!B39="","",Brand_Log!B39&amp;""))</f>
        <v/>
      </c>
      <c r="F1039" s="17">
        <f>IF(B1039="","","budget_probe")</f>
        <v/>
      </c>
      <c r="G1039" s="17">
        <f>IF(B1039="","",IF(ISNUMBER(Brand_Log!R39),Brand_Log!R39,""))</f>
        <v/>
      </c>
      <c r="H1039" s="17">
        <f>IF(B1039="","",IF(Brand_Log!S39="","",Brand_Log!S39&amp;""))</f>
        <v/>
      </c>
      <c r="I1039" s="17">
        <f>IF(B1039="","",IF(Brand_Log!N39="","",Brand_Log!N39&amp;""))</f>
        <v/>
      </c>
      <c r="J1039" s="17">
        <f>IF(B1039="","",IF(Brand_Log!T39="","","before_1500; "&amp;Brand_Log!T39))</f>
        <v/>
      </c>
      <c r="K1039" t="inlineStr">
        <is>
          <t>brand budget_probe before $1,500</t>
        </is>
      </c>
    </row>
    <row r="1040">
      <c r="A1040" s="17">
        <f>IF(B1040="","",B1040+(6*1000+39)/10000000)</f>
        <v/>
      </c>
      <c r="B1040" s="23">
        <f>IF(AND(Brand_Log!AN40=1,OR(ISNUMBER(Brand_Log!R40),TRIM(Brand_Log!S40)&lt;&gt;"")),Brand_Log!G40,"")</f>
        <v/>
      </c>
      <c r="C1040" s="17">
        <f>IF(B1040="","","brand")</f>
        <v/>
      </c>
      <c r="D1040" s="17">
        <f>IF(B1040="","",Brand_Log!$A40&amp;"")</f>
        <v/>
      </c>
      <c r="E1040" s="17">
        <f>IF(B1040="","",IF(Brand_Log!B40="","",Brand_Log!B40&amp;""))</f>
        <v/>
      </c>
      <c r="F1040" s="17">
        <f>IF(B1040="","","budget_probe")</f>
        <v/>
      </c>
      <c r="G1040" s="17">
        <f>IF(B1040="","",IF(ISNUMBER(Brand_Log!R40),Brand_Log!R40,""))</f>
        <v/>
      </c>
      <c r="H1040" s="17">
        <f>IF(B1040="","",IF(Brand_Log!S40="","",Brand_Log!S40&amp;""))</f>
        <v/>
      </c>
      <c r="I1040" s="17">
        <f>IF(B1040="","",IF(Brand_Log!N40="","",Brand_Log!N40&amp;""))</f>
        <v/>
      </c>
      <c r="J1040" s="17">
        <f>IF(B1040="","",IF(Brand_Log!T40="","","before_1500; "&amp;Brand_Log!T40))</f>
        <v/>
      </c>
      <c r="K1040" t="inlineStr">
        <is>
          <t>brand budget_probe before $1,500</t>
        </is>
      </c>
    </row>
    <row r="1041">
      <c r="A1041" s="17">
        <f>IF(B1041="","",B1041+(6*1000+40)/10000000)</f>
        <v/>
      </c>
      <c r="B1041" s="23">
        <f>IF(AND(Brand_Log!AN41=1,OR(ISNUMBER(Brand_Log!R41),TRIM(Brand_Log!S41)&lt;&gt;"")),Brand_Log!G41,"")</f>
        <v/>
      </c>
      <c r="C1041" s="17">
        <f>IF(B1041="","","brand")</f>
        <v/>
      </c>
      <c r="D1041" s="17">
        <f>IF(B1041="","",Brand_Log!$A41&amp;"")</f>
        <v/>
      </c>
      <c r="E1041" s="17">
        <f>IF(B1041="","",IF(Brand_Log!B41="","",Brand_Log!B41&amp;""))</f>
        <v/>
      </c>
      <c r="F1041" s="17">
        <f>IF(B1041="","","budget_probe")</f>
        <v/>
      </c>
      <c r="G1041" s="17">
        <f>IF(B1041="","",IF(ISNUMBER(Brand_Log!R41),Brand_Log!R41,""))</f>
        <v/>
      </c>
      <c r="H1041" s="17">
        <f>IF(B1041="","",IF(Brand_Log!S41="","",Brand_Log!S41&amp;""))</f>
        <v/>
      </c>
      <c r="I1041" s="17">
        <f>IF(B1041="","",IF(Brand_Log!N41="","",Brand_Log!N41&amp;""))</f>
        <v/>
      </c>
      <c r="J1041" s="17">
        <f>IF(B1041="","",IF(Brand_Log!T41="","","before_1500; "&amp;Brand_Log!T41))</f>
        <v/>
      </c>
      <c r="K1041" t="inlineStr">
        <is>
          <t>brand budget_probe before $1,500</t>
        </is>
      </c>
    </row>
    <row r="1042">
      <c r="A1042" s="17">
        <f>IF(B1042="","",B1042+(6*1000+41)/10000000)</f>
        <v/>
      </c>
      <c r="B1042" s="23">
        <f>IF(AND(Brand_Log!AN42=1,OR(ISNUMBER(Brand_Log!R42),TRIM(Brand_Log!S42)&lt;&gt;"")),Brand_Log!G42,"")</f>
        <v/>
      </c>
      <c r="C1042" s="17">
        <f>IF(B1042="","","brand")</f>
        <v/>
      </c>
      <c r="D1042" s="17">
        <f>IF(B1042="","",Brand_Log!$A42&amp;"")</f>
        <v/>
      </c>
      <c r="E1042" s="17">
        <f>IF(B1042="","",IF(Brand_Log!B42="","",Brand_Log!B42&amp;""))</f>
        <v/>
      </c>
      <c r="F1042" s="17">
        <f>IF(B1042="","","budget_probe")</f>
        <v/>
      </c>
      <c r="G1042" s="17">
        <f>IF(B1042="","",IF(ISNUMBER(Brand_Log!R42),Brand_Log!R42,""))</f>
        <v/>
      </c>
      <c r="H1042" s="17">
        <f>IF(B1042="","",IF(Brand_Log!S42="","",Brand_Log!S42&amp;""))</f>
        <v/>
      </c>
      <c r="I1042" s="17">
        <f>IF(B1042="","",IF(Brand_Log!N42="","",Brand_Log!N42&amp;""))</f>
        <v/>
      </c>
      <c r="J1042" s="17">
        <f>IF(B1042="","",IF(Brand_Log!T42="","","before_1500; "&amp;Brand_Log!T42))</f>
        <v/>
      </c>
      <c r="K1042" t="inlineStr">
        <is>
          <t>brand budget_probe before $1,500</t>
        </is>
      </c>
    </row>
    <row r="1043">
      <c r="A1043" s="17">
        <f>IF(B1043="","",B1043+(6*1000+42)/10000000)</f>
        <v/>
      </c>
      <c r="B1043" s="23">
        <f>IF(AND(Brand_Log!AN43=1,OR(ISNUMBER(Brand_Log!R43),TRIM(Brand_Log!S43)&lt;&gt;"")),Brand_Log!G43,"")</f>
        <v/>
      </c>
      <c r="C1043" s="17">
        <f>IF(B1043="","","brand")</f>
        <v/>
      </c>
      <c r="D1043" s="17">
        <f>IF(B1043="","",Brand_Log!$A43&amp;"")</f>
        <v/>
      </c>
      <c r="E1043" s="17">
        <f>IF(B1043="","",IF(Brand_Log!B43="","",Brand_Log!B43&amp;""))</f>
        <v/>
      </c>
      <c r="F1043" s="17">
        <f>IF(B1043="","","budget_probe")</f>
        <v/>
      </c>
      <c r="G1043" s="17">
        <f>IF(B1043="","",IF(ISNUMBER(Brand_Log!R43),Brand_Log!R43,""))</f>
        <v/>
      </c>
      <c r="H1043" s="17">
        <f>IF(B1043="","",IF(Brand_Log!S43="","",Brand_Log!S43&amp;""))</f>
        <v/>
      </c>
      <c r="I1043" s="17">
        <f>IF(B1043="","",IF(Brand_Log!N43="","",Brand_Log!N43&amp;""))</f>
        <v/>
      </c>
      <c r="J1043" s="17">
        <f>IF(B1043="","",IF(Brand_Log!T43="","","before_1500; "&amp;Brand_Log!T43))</f>
        <v/>
      </c>
      <c r="K1043" t="inlineStr">
        <is>
          <t>brand budget_probe before $1,500</t>
        </is>
      </c>
    </row>
    <row r="1044">
      <c r="A1044" s="17">
        <f>IF(B1044="","",B1044+(6*1000+43)/10000000)</f>
        <v/>
      </c>
      <c r="B1044" s="23">
        <f>IF(AND(Brand_Log!AN44=1,OR(ISNUMBER(Brand_Log!R44),TRIM(Brand_Log!S44)&lt;&gt;"")),Brand_Log!G44,"")</f>
        <v/>
      </c>
      <c r="C1044" s="17">
        <f>IF(B1044="","","brand")</f>
        <v/>
      </c>
      <c r="D1044" s="17">
        <f>IF(B1044="","",Brand_Log!$A44&amp;"")</f>
        <v/>
      </c>
      <c r="E1044" s="17">
        <f>IF(B1044="","",IF(Brand_Log!B44="","",Brand_Log!B44&amp;""))</f>
        <v/>
      </c>
      <c r="F1044" s="17">
        <f>IF(B1044="","","budget_probe")</f>
        <v/>
      </c>
      <c r="G1044" s="17">
        <f>IF(B1044="","",IF(ISNUMBER(Brand_Log!R44),Brand_Log!R44,""))</f>
        <v/>
      </c>
      <c r="H1044" s="17">
        <f>IF(B1044="","",IF(Brand_Log!S44="","",Brand_Log!S44&amp;""))</f>
        <v/>
      </c>
      <c r="I1044" s="17">
        <f>IF(B1044="","",IF(Brand_Log!N44="","",Brand_Log!N44&amp;""))</f>
        <v/>
      </c>
      <c r="J1044" s="17">
        <f>IF(B1044="","",IF(Brand_Log!T44="","","before_1500; "&amp;Brand_Log!T44))</f>
        <v/>
      </c>
      <c r="K1044" t="inlineStr">
        <is>
          <t>brand budget_probe before $1,500</t>
        </is>
      </c>
    </row>
    <row r="1045">
      <c r="A1045" s="17">
        <f>IF(B1045="","",B1045+(6*1000+44)/10000000)</f>
        <v/>
      </c>
      <c r="B1045" s="23">
        <f>IF(AND(Brand_Log!AN45=1,OR(ISNUMBER(Brand_Log!R45),TRIM(Brand_Log!S45)&lt;&gt;"")),Brand_Log!G45,"")</f>
        <v/>
      </c>
      <c r="C1045" s="17">
        <f>IF(B1045="","","brand")</f>
        <v/>
      </c>
      <c r="D1045" s="17">
        <f>IF(B1045="","",Brand_Log!$A45&amp;"")</f>
        <v/>
      </c>
      <c r="E1045" s="17">
        <f>IF(B1045="","",IF(Brand_Log!B45="","",Brand_Log!B45&amp;""))</f>
        <v/>
      </c>
      <c r="F1045" s="17">
        <f>IF(B1045="","","budget_probe")</f>
        <v/>
      </c>
      <c r="G1045" s="17">
        <f>IF(B1045="","",IF(ISNUMBER(Brand_Log!R45),Brand_Log!R45,""))</f>
        <v/>
      </c>
      <c r="H1045" s="17">
        <f>IF(B1045="","",IF(Brand_Log!S45="","",Brand_Log!S45&amp;""))</f>
        <v/>
      </c>
      <c r="I1045" s="17">
        <f>IF(B1045="","",IF(Brand_Log!N45="","",Brand_Log!N45&amp;""))</f>
        <v/>
      </c>
      <c r="J1045" s="17">
        <f>IF(B1045="","",IF(Brand_Log!T45="","","before_1500; "&amp;Brand_Log!T45))</f>
        <v/>
      </c>
      <c r="K1045" t="inlineStr">
        <is>
          <t>brand budget_probe before $1,500</t>
        </is>
      </c>
    </row>
    <row r="1046">
      <c r="A1046" s="17">
        <f>IF(B1046="","",B1046+(6*1000+45)/10000000)</f>
        <v/>
      </c>
      <c r="B1046" s="23">
        <f>IF(AND(Brand_Log!AN46=1,OR(ISNUMBER(Brand_Log!R46),TRIM(Brand_Log!S46)&lt;&gt;"")),Brand_Log!G46,"")</f>
        <v/>
      </c>
      <c r="C1046" s="17">
        <f>IF(B1046="","","brand")</f>
        <v/>
      </c>
      <c r="D1046" s="17">
        <f>IF(B1046="","",Brand_Log!$A46&amp;"")</f>
        <v/>
      </c>
      <c r="E1046" s="17">
        <f>IF(B1046="","",IF(Brand_Log!B46="","",Brand_Log!B46&amp;""))</f>
        <v/>
      </c>
      <c r="F1046" s="17">
        <f>IF(B1046="","","budget_probe")</f>
        <v/>
      </c>
      <c r="G1046" s="17">
        <f>IF(B1046="","",IF(ISNUMBER(Brand_Log!R46),Brand_Log!R46,""))</f>
        <v/>
      </c>
      <c r="H1046" s="17">
        <f>IF(B1046="","",IF(Brand_Log!S46="","",Brand_Log!S46&amp;""))</f>
        <v/>
      </c>
      <c r="I1046" s="17">
        <f>IF(B1046="","",IF(Brand_Log!N46="","",Brand_Log!N46&amp;""))</f>
        <v/>
      </c>
      <c r="J1046" s="17">
        <f>IF(B1046="","",IF(Brand_Log!T46="","","before_1500; "&amp;Brand_Log!T46))</f>
        <v/>
      </c>
      <c r="K1046" t="inlineStr">
        <is>
          <t>brand budget_probe before $1,500</t>
        </is>
      </c>
    </row>
    <row r="1047">
      <c r="A1047" s="17">
        <f>IF(B1047="","",B1047+(6*1000+46)/10000000)</f>
        <v/>
      </c>
      <c r="B1047" s="23">
        <f>IF(AND(Brand_Log!AN47=1,OR(ISNUMBER(Brand_Log!R47),TRIM(Brand_Log!S47)&lt;&gt;"")),Brand_Log!G47,"")</f>
        <v/>
      </c>
      <c r="C1047" s="17">
        <f>IF(B1047="","","brand")</f>
        <v/>
      </c>
      <c r="D1047" s="17">
        <f>IF(B1047="","",Brand_Log!$A47&amp;"")</f>
        <v/>
      </c>
      <c r="E1047" s="17">
        <f>IF(B1047="","",IF(Brand_Log!B47="","",Brand_Log!B47&amp;""))</f>
        <v/>
      </c>
      <c r="F1047" s="17">
        <f>IF(B1047="","","budget_probe")</f>
        <v/>
      </c>
      <c r="G1047" s="17">
        <f>IF(B1047="","",IF(ISNUMBER(Brand_Log!R47),Brand_Log!R47,""))</f>
        <v/>
      </c>
      <c r="H1047" s="17">
        <f>IF(B1047="","",IF(Brand_Log!S47="","",Brand_Log!S47&amp;""))</f>
        <v/>
      </c>
      <c r="I1047" s="17">
        <f>IF(B1047="","",IF(Brand_Log!N47="","",Brand_Log!N47&amp;""))</f>
        <v/>
      </c>
      <c r="J1047" s="17">
        <f>IF(B1047="","",IF(Brand_Log!T47="","","before_1500; "&amp;Brand_Log!T47))</f>
        <v/>
      </c>
      <c r="K1047" t="inlineStr">
        <is>
          <t>brand budget_probe before $1,500</t>
        </is>
      </c>
    </row>
    <row r="1048">
      <c r="A1048" s="17">
        <f>IF(B1048="","",B1048+(6*1000+47)/10000000)</f>
        <v/>
      </c>
      <c r="B1048" s="23">
        <f>IF(AND(Brand_Log!AN48=1,OR(ISNUMBER(Brand_Log!R48),TRIM(Brand_Log!S48)&lt;&gt;"")),Brand_Log!G48,"")</f>
        <v/>
      </c>
      <c r="C1048" s="17">
        <f>IF(B1048="","","brand")</f>
        <v/>
      </c>
      <c r="D1048" s="17">
        <f>IF(B1048="","",Brand_Log!$A48&amp;"")</f>
        <v/>
      </c>
      <c r="E1048" s="17">
        <f>IF(B1048="","",IF(Brand_Log!B48="","",Brand_Log!B48&amp;""))</f>
        <v/>
      </c>
      <c r="F1048" s="17">
        <f>IF(B1048="","","budget_probe")</f>
        <v/>
      </c>
      <c r="G1048" s="17">
        <f>IF(B1048="","",IF(ISNUMBER(Brand_Log!R48),Brand_Log!R48,""))</f>
        <v/>
      </c>
      <c r="H1048" s="17">
        <f>IF(B1048="","",IF(Brand_Log!S48="","",Brand_Log!S48&amp;""))</f>
        <v/>
      </c>
      <c r="I1048" s="17">
        <f>IF(B1048="","",IF(Brand_Log!N48="","",Brand_Log!N48&amp;""))</f>
        <v/>
      </c>
      <c r="J1048" s="17">
        <f>IF(B1048="","",IF(Brand_Log!T48="","","before_1500; "&amp;Brand_Log!T48))</f>
        <v/>
      </c>
      <c r="K1048" t="inlineStr">
        <is>
          <t>brand budget_probe before $1,500</t>
        </is>
      </c>
    </row>
    <row r="1049">
      <c r="A1049" s="17">
        <f>IF(B1049="","",B1049+(6*1000+48)/10000000)</f>
        <v/>
      </c>
      <c r="B1049" s="23">
        <f>IF(AND(Brand_Log!AN49=1,OR(ISNUMBER(Brand_Log!R49),TRIM(Brand_Log!S49)&lt;&gt;"")),Brand_Log!G49,"")</f>
        <v/>
      </c>
      <c r="C1049" s="17">
        <f>IF(B1049="","","brand")</f>
        <v/>
      </c>
      <c r="D1049" s="17">
        <f>IF(B1049="","",Brand_Log!$A49&amp;"")</f>
        <v/>
      </c>
      <c r="E1049" s="17">
        <f>IF(B1049="","",IF(Brand_Log!B49="","",Brand_Log!B49&amp;""))</f>
        <v/>
      </c>
      <c r="F1049" s="17">
        <f>IF(B1049="","","budget_probe")</f>
        <v/>
      </c>
      <c r="G1049" s="17">
        <f>IF(B1049="","",IF(ISNUMBER(Brand_Log!R49),Brand_Log!R49,""))</f>
        <v/>
      </c>
      <c r="H1049" s="17">
        <f>IF(B1049="","",IF(Brand_Log!S49="","",Brand_Log!S49&amp;""))</f>
        <v/>
      </c>
      <c r="I1049" s="17">
        <f>IF(B1049="","",IF(Brand_Log!N49="","",Brand_Log!N49&amp;""))</f>
        <v/>
      </c>
      <c r="J1049" s="17">
        <f>IF(B1049="","",IF(Brand_Log!T49="","","before_1500; "&amp;Brand_Log!T49))</f>
        <v/>
      </c>
      <c r="K1049" t="inlineStr">
        <is>
          <t>brand budget_probe before $1,500</t>
        </is>
      </c>
    </row>
    <row r="1050">
      <c r="A1050" s="17">
        <f>IF(B1050="","",B1050+(6*1000+49)/10000000)</f>
        <v/>
      </c>
      <c r="B1050" s="23">
        <f>IF(AND(Brand_Log!AN50=1,OR(ISNUMBER(Brand_Log!R50),TRIM(Brand_Log!S50)&lt;&gt;"")),Brand_Log!G50,"")</f>
        <v/>
      </c>
      <c r="C1050" s="17">
        <f>IF(B1050="","","brand")</f>
        <v/>
      </c>
      <c r="D1050" s="17">
        <f>IF(B1050="","",Brand_Log!$A50&amp;"")</f>
        <v/>
      </c>
      <c r="E1050" s="17">
        <f>IF(B1050="","",IF(Brand_Log!B50="","",Brand_Log!B50&amp;""))</f>
        <v/>
      </c>
      <c r="F1050" s="17">
        <f>IF(B1050="","","budget_probe")</f>
        <v/>
      </c>
      <c r="G1050" s="17">
        <f>IF(B1050="","",IF(ISNUMBER(Brand_Log!R50),Brand_Log!R50,""))</f>
        <v/>
      </c>
      <c r="H1050" s="17">
        <f>IF(B1050="","",IF(Brand_Log!S50="","",Brand_Log!S50&amp;""))</f>
        <v/>
      </c>
      <c r="I1050" s="17">
        <f>IF(B1050="","",IF(Brand_Log!N50="","",Brand_Log!N50&amp;""))</f>
        <v/>
      </c>
      <c r="J1050" s="17">
        <f>IF(B1050="","",IF(Brand_Log!T50="","","before_1500; "&amp;Brand_Log!T50))</f>
        <v/>
      </c>
      <c r="K1050" t="inlineStr">
        <is>
          <t>brand budget_probe before $1,500</t>
        </is>
      </c>
    </row>
    <row r="1051">
      <c r="A1051" s="17">
        <f>IF(B1051="","",B1051+(6*1000+50)/10000000)</f>
        <v/>
      </c>
      <c r="B1051" s="23">
        <f>IF(AND(Brand_Log!AN51=1,OR(ISNUMBER(Brand_Log!R51),TRIM(Brand_Log!S51)&lt;&gt;"")),Brand_Log!G51,"")</f>
        <v/>
      </c>
      <c r="C1051" s="17">
        <f>IF(B1051="","","brand")</f>
        <v/>
      </c>
      <c r="D1051" s="17">
        <f>IF(B1051="","",Brand_Log!$A51&amp;"")</f>
        <v/>
      </c>
      <c r="E1051" s="17">
        <f>IF(B1051="","",IF(Brand_Log!B51="","",Brand_Log!B51&amp;""))</f>
        <v/>
      </c>
      <c r="F1051" s="17">
        <f>IF(B1051="","","budget_probe")</f>
        <v/>
      </c>
      <c r="G1051" s="17">
        <f>IF(B1051="","",IF(ISNUMBER(Brand_Log!R51),Brand_Log!R51,""))</f>
        <v/>
      </c>
      <c r="H1051" s="17">
        <f>IF(B1051="","",IF(Brand_Log!S51="","",Brand_Log!S51&amp;""))</f>
        <v/>
      </c>
      <c r="I1051" s="17">
        <f>IF(B1051="","",IF(Brand_Log!N51="","",Brand_Log!N51&amp;""))</f>
        <v/>
      </c>
      <c r="J1051" s="17">
        <f>IF(B1051="","",IF(Brand_Log!T51="","","before_1500; "&amp;Brand_Log!T51))</f>
        <v/>
      </c>
      <c r="K1051" t="inlineStr">
        <is>
          <t>brand budget_probe before $1,500</t>
        </is>
      </c>
    </row>
    <row r="1052">
      <c r="A1052" s="17">
        <f>IF(B1052="","",B1052+(6*1000+51)/10000000)</f>
        <v/>
      </c>
      <c r="B1052" s="23">
        <f>IF(AND(Brand_Log!AN52=1,OR(ISNUMBER(Brand_Log!R52),TRIM(Brand_Log!S52)&lt;&gt;"")),Brand_Log!G52,"")</f>
        <v/>
      </c>
      <c r="C1052" s="17">
        <f>IF(B1052="","","brand")</f>
        <v/>
      </c>
      <c r="D1052" s="17">
        <f>IF(B1052="","",Brand_Log!$A52&amp;"")</f>
        <v/>
      </c>
      <c r="E1052" s="17">
        <f>IF(B1052="","",IF(Brand_Log!B52="","",Brand_Log!B52&amp;""))</f>
        <v/>
      </c>
      <c r="F1052" s="17">
        <f>IF(B1052="","","budget_probe")</f>
        <v/>
      </c>
      <c r="G1052" s="17">
        <f>IF(B1052="","",IF(ISNUMBER(Brand_Log!R52),Brand_Log!R52,""))</f>
        <v/>
      </c>
      <c r="H1052" s="17">
        <f>IF(B1052="","",IF(Brand_Log!S52="","",Brand_Log!S52&amp;""))</f>
        <v/>
      </c>
      <c r="I1052" s="17">
        <f>IF(B1052="","",IF(Brand_Log!N52="","",Brand_Log!N52&amp;""))</f>
        <v/>
      </c>
      <c r="J1052" s="17">
        <f>IF(B1052="","",IF(Brand_Log!T52="","","before_1500; "&amp;Brand_Log!T52))</f>
        <v/>
      </c>
      <c r="K1052" t="inlineStr">
        <is>
          <t>brand budget_probe before $1,500</t>
        </is>
      </c>
    </row>
    <row r="1053">
      <c r="A1053" s="17">
        <f>IF(B1053="","",B1053+(6*1000+52)/10000000)</f>
        <v/>
      </c>
      <c r="B1053" s="23">
        <f>IF(AND(Brand_Log!AN53=1,OR(ISNUMBER(Brand_Log!R53),TRIM(Brand_Log!S53)&lt;&gt;"")),Brand_Log!G53,"")</f>
        <v/>
      </c>
      <c r="C1053" s="17">
        <f>IF(B1053="","","brand")</f>
        <v/>
      </c>
      <c r="D1053" s="17">
        <f>IF(B1053="","",Brand_Log!$A53&amp;"")</f>
        <v/>
      </c>
      <c r="E1053" s="17">
        <f>IF(B1053="","",IF(Brand_Log!B53="","",Brand_Log!B53&amp;""))</f>
        <v/>
      </c>
      <c r="F1053" s="17">
        <f>IF(B1053="","","budget_probe")</f>
        <v/>
      </c>
      <c r="G1053" s="17">
        <f>IF(B1053="","",IF(ISNUMBER(Brand_Log!R53),Brand_Log!R53,""))</f>
        <v/>
      </c>
      <c r="H1053" s="17">
        <f>IF(B1053="","",IF(Brand_Log!S53="","",Brand_Log!S53&amp;""))</f>
        <v/>
      </c>
      <c r="I1053" s="17">
        <f>IF(B1053="","",IF(Brand_Log!N53="","",Brand_Log!N53&amp;""))</f>
        <v/>
      </c>
      <c r="J1053" s="17">
        <f>IF(B1053="","",IF(Brand_Log!T53="","","before_1500; "&amp;Brand_Log!T53))</f>
        <v/>
      </c>
      <c r="K1053" t="inlineStr">
        <is>
          <t>brand budget_probe before $1,500</t>
        </is>
      </c>
    </row>
    <row r="1054">
      <c r="A1054" s="17">
        <f>IF(B1054="","",B1054+(6*1000+53)/10000000)</f>
        <v/>
      </c>
      <c r="B1054" s="23">
        <f>IF(AND(Brand_Log!AN54=1,OR(ISNUMBER(Brand_Log!R54),TRIM(Brand_Log!S54)&lt;&gt;"")),Brand_Log!G54,"")</f>
        <v/>
      </c>
      <c r="C1054" s="17">
        <f>IF(B1054="","","brand")</f>
        <v/>
      </c>
      <c r="D1054" s="17">
        <f>IF(B1054="","",Brand_Log!$A54&amp;"")</f>
        <v/>
      </c>
      <c r="E1054" s="17">
        <f>IF(B1054="","",IF(Brand_Log!B54="","",Brand_Log!B54&amp;""))</f>
        <v/>
      </c>
      <c r="F1054" s="17">
        <f>IF(B1054="","","budget_probe")</f>
        <v/>
      </c>
      <c r="G1054" s="17">
        <f>IF(B1054="","",IF(ISNUMBER(Brand_Log!R54),Brand_Log!R54,""))</f>
        <v/>
      </c>
      <c r="H1054" s="17">
        <f>IF(B1054="","",IF(Brand_Log!S54="","",Brand_Log!S54&amp;""))</f>
        <v/>
      </c>
      <c r="I1054" s="17">
        <f>IF(B1054="","",IF(Brand_Log!N54="","",Brand_Log!N54&amp;""))</f>
        <v/>
      </c>
      <c r="J1054" s="17">
        <f>IF(B1054="","",IF(Brand_Log!T54="","","before_1500; "&amp;Brand_Log!T54))</f>
        <v/>
      </c>
      <c r="K1054" t="inlineStr">
        <is>
          <t>brand budget_probe before $1,500</t>
        </is>
      </c>
    </row>
    <row r="1055">
      <c r="A1055" s="17">
        <f>IF(B1055="","",B1055+(6*1000+54)/10000000)</f>
        <v/>
      </c>
      <c r="B1055" s="23">
        <f>IF(AND(Brand_Log!AN55=1,OR(ISNUMBER(Brand_Log!R55),TRIM(Brand_Log!S55)&lt;&gt;"")),Brand_Log!G55,"")</f>
        <v/>
      </c>
      <c r="C1055" s="17">
        <f>IF(B1055="","","brand")</f>
        <v/>
      </c>
      <c r="D1055" s="17">
        <f>IF(B1055="","",Brand_Log!$A55&amp;"")</f>
        <v/>
      </c>
      <c r="E1055" s="17">
        <f>IF(B1055="","",IF(Brand_Log!B55="","",Brand_Log!B55&amp;""))</f>
        <v/>
      </c>
      <c r="F1055" s="17">
        <f>IF(B1055="","","budget_probe")</f>
        <v/>
      </c>
      <c r="G1055" s="17">
        <f>IF(B1055="","",IF(ISNUMBER(Brand_Log!R55),Brand_Log!R55,""))</f>
        <v/>
      </c>
      <c r="H1055" s="17">
        <f>IF(B1055="","",IF(Brand_Log!S55="","",Brand_Log!S55&amp;""))</f>
        <v/>
      </c>
      <c r="I1055" s="17">
        <f>IF(B1055="","",IF(Brand_Log!N55="","",Brand_Log!N55&amp;""))</f>
        <v/>
      </c>
      <c r="J1055" s="17">
        <f>IF(B1055="","",IF(Brand_Log!T55="","","before_1500; "&amp;Brand_Log!T55))</f>
        <v/>
      </c>
      <c r="K1055" t="inlineStr">
        <is>
          <t>brand budget_probe before $1,500</t>
        </is>
      </c>
    </row>
    <row r="1056">
      <c r="A1056" s="17">
        <f>IF(B1056="","",B1056+(6*1000+55)/10000000)</f>
        <v/>
      </c>
      <c r="B1056" s="23">
        <f>IF(AND(Brand_Log!AN56=1,OR(ISNUMBER(Brand_Log!R56),TRIM(Brand_Log!S56)&lt;&gt;"")),Brand_Log!G56,"")</f>
        <v/>
      </c>
      <c r="C1056" s="17">
        <f>IF(B1056="","","brand")</f>
        <v/>
      </c>
      <c r="D1056" s="17">
        <f>IF(B1056="","",Brand_Log!$A56&amp;"")</f>
        <v/>
      </c>
      <c r="E1056" s="17">
        <f>IF(B1056="","",IF(Brand_Log!B56="","",Brand_Log!B56&amp;""))</f>
        <v/>
      </c>
      <c r="F1056" s="17">
        <f>IF(B1056="","","budget_probe")</f>
        <v/>
      </c>
      <c r="G1056" s="17">
        <f>IF(B1056="","",IF(ISNUMBER(Brand_Log!R56),Brand_Log!R56,""))</f>
        <v/>
      </c>
      <c r="H1056" s="17">
        <f>IF(B1056="","",IF(Brand_Log!S56="","",Brand_Log!S56&amp;""))</f>
        <v/>
      </c>
      <c r="I1056" s="17">
        <f>IF(B1056="","",IF(Brand_Log!N56="","",Brand_Log!N56&amp;""))</f>
        <v/>
      </c>
      <c r="J1056" s="17">
        <f>IF(B1056="","",IF(Brand_Log!T56="","","before_1500; "&amp;Brand_Log!T56))</f>
        <v/>
      </c>
      <c r="K1056" t="inlineStr">
        <is>
          <t>brand budget_probe before $1,500</t>
        </is>
      </c>
    </row>
    <row r="1057">
      <c r="A1057" s="17">
        <f>IF(B1057="","",B1057+(6*1000+56)/10000000)</f>
        <v/>
      </c>
      <c r="B1057" s="23">
        <f>IF(AND(Brand_Log!AN57=1,OR(ISNUMBER(Brand_Log!R57),TRIM(Brand_Log!S57)&lt;&gt;"")),Brand_Log!G57,"")</f>
        <v/>
      </c>
      <c r="C1057" s="17">
        <f>IF(B1057="","","brand")</f>
        <v/>
      </c>
      <c r="D1057" s="17">
        <f>IF(B1057="","",Brand_Log!$A57&amp;"")</f>
        <v/>
      </c>
      <c r="E1057" s="17">
        <f>IF(B1057="","",IF(Brand_Log!B57="","",Brand_Log!B57&amp;""))</f>
        <v/>
      </c>
      <c r="F1057" s="17">
        <f>IF(B1057="","","budget_probe")</f>
        <v/>
      </c>
      <c r="G1057" s="17">
        <f>IF(B1057="","",IF(ISNUMBER(Brand_Log!R57),Brand_Log!R57,""))</f>
        <v/>
      </c>
      <c r="H1057" s="17">
        <f>IF(B1057="","",IF(Brand_Log!S57="","",Brand_Log!S57&amp;""))</f>
        <v/>
      </c>
      <c r="I1057" s="17">
        <f>IF(B1057="","",IF(Brand_Log!N57="","",Brand_Log!N57&amp;""))</f>
        <v/>
      </c>
      <c r="J1057" s="17">
        <f>IF(B1057="","",IF(Brand_Log!T57="","","before_1500; "&amp;Brand_Log!T57))</f>
        <v/>
      </c>
      <c r="K1057" t="inlineStr">
        <is>
          <t>brand budget_probe before $1,500</t>
        </is>
      </c>
    </row>
    <row r="1058">
      <c r="A1058" s="17">
        <f>IF(B1058="","",B1058+(6*1000+57)/10000000)</f>
        <v/>
      </c>
      <c r="B1058" s="23">
        <f>IF(AND(Brand_Log!AN58=1,OR(ISNUMBER(Brand_Log!R58),TRIM(Brand_Log!S58)&lt;&gt;"")),Brand_Log!G58,"")</f>
        <v/>
      </c>
      <c r="C1058" s="17">
        <f>IF(B1058="","","brand")</f>
        <v/>
      </c>
      <c r="D1058" s="17">
        <f>IF(B1058="","",Brand_Log!$A58&amp;"")</f>
        <v/>
      </c>
      <c r="E1058" s="17">
        <f>IF(B1058="","",IF(Brand_Log!B58="","",Brand_Log!B58&amp;""))</f>
        <v/>
      </c>
      <c r="F1058" s="17">
        <f>IF(B1058="","","budget_probe")</f>
        <v/>
      </c>
      <c r="G1058" s="17">
        <f>IF(B1058="","",IF(ISNUMBER(Brand_Log!R58),Brand_Log!R58,""))</f>
        <v/>
      </c>
      <c r="H1058" s="17">
        <f>IF(B1058="","",IF(Brand_Log!S58="","",Brand_Log!S58&amp;""))</f>
        <v/>
      </c>
      <c r="I1058" s="17">
        <f>IF(B1058="","",IF(Brand_Log!N58="","",Brand_Log!N58&amp;""))</f>
        <v/>
      </c>
      <c r="J1058" s="17">
        <f>IF(B1058="","",IF(Brand_Log!T58="","","before_1500; "&amp;Brand_Log!T58))</f>
        <v/>
      </c>
      <c r="K1058" t="inlineStr">
        <is>
          <t>brand budget_probe before $1,500</t>
        </is>
      </c>
    </row>
    <row r="1059">
      <c r="A1059" s="17">
        <f>IF(B1059="","",B1059+(6*1000+58)/10000000)</f>
        <v/>
      </c>
      <c r="B1059" s="23">
        <f>IF(AND(Brand_Log!AN59=1,OR(ISNUMBER(Brand_Log!R59),TRIM(Brand_Log!S59)&lt;&gt;"")),Brand_Log!G59,"")</f>
        <v/>
      </c>
      <c r="C1059" s="17">
        <f>IF(B1059="","","brand")</f>
        <v/>
      </c>
      <c r="D1059" s="17">
        <f>IF(B1059="","",Brand_Log!$A59&amp;"")</f>
        <v/>
      </c>
      <c r="E1059" s="17">
        <f>IF(B1059="","",IF(Brand_Log!B59="","",Brand_Log!B59&amp;""))</f>
        <v/>
      </c>
      <c r="F1059" s="17">
        <f>IF(B1059="","","budget_probe")</f>
        <v/>
      </c>
      <c r="G1059" s="17">
        <f>IF(B1059="","",IF(ISNUMBER(Brand_Log!R59),Brand_Log!R59,""))</f>
        <v/>
      </c>
      <c r="H1059" s="17">
        <f>IF(B1059="","",IF(Brand_Log!S59="","",Brand_Log!S59&amp;""))</f>
        <v/>
      </c>
      <c r="I1059" s="17">
        <f>IF(B1059="","",IF(Brand_Log!N59="","",Brand_Log!N59&amp;""))</f>
        <v/>
      </c>
      <c r="J1059" s="17">
        <f>IF(B1059="","",IF(Brand_Log!T59="","","before_1500; "&amp;Brand_Log!T59))</f>
        <v/>
      </c>
      <c r="K1059" t="inlineStr">
        <is>
          <t>brand budget_probe before $1,500</t>
        </is>
      </c>
    </row>
    <row r="1060">
      <c r="A1060" s="17">
        <f>IF(B1060="","",B1060+(6*1000+59)/10000000)</f>
        <v/>
      </c>
      <c r="B1060" s="23">
        <f>IF(AND(Brand_Log!AN60=1,OR(ISNUMBER(Brand_Log!R60),TRIM(Brand_Log!S60)&lt;&gt;"")),Brand_Log!G60,"")</f>
        <v/>
      </c>
      <c r="C1060" s="17">
        <f>IF(B1060="","","brand")</f>
        <v/>
      </c>
      <c r="D1060" s="17">
        <f>IF(B1060="","",Brand_Log!$A60&amp;"")</f>
        <v/>
      </c>
      <c r="E1060" s="17">
        <f>IF(B1060="","",IF(Brand_Log!B60="","",Brand_Log!B60&amp;""))</f>
        <v/>
      </c>
      <c r="F1060" s="17">
        <f>IF(B1060="","","budget_probe")</f>
        <v/>
      </c>
      <c r="G1060" s="17">
        <f>IF(B1060="","",IF(ISNUMBER(Brand_Log!R60),Brand_Log!R60,""))</f>
        <v/>
      </c>
      <c r="H1060" s="17">
        <f>IF(B1060="","",IF(Brand_Log!S60="","",Brand_Log!S60&amp;""))</f>
        <v/>
      </c>
      <c r="I1060" s="17">
        <f>IF(B1060="","",IF(Brand_Log!N60="","",Brand_Log!N60&amp;""))</f>
        <v/>
      </c>
      <c r="J1060" s="17">
        <f>IF(B1060="","",IF(Brand_Log!T60="","","before_1500; "&amp;Brand_Log!T60))</f>
        <v/>
      </c>
      <c r="K1060" t="inlineStr">
        <is>
          <t>brand budget_probe before $1,500</t>
        </is>
      </c>
    </row>
    <row r="1061">
      <c r="A1061" s="17">
        <f>IF(B1061="","",B1061+(6*1000+60)/10000000)</f>
        <v/>
      </c>
      <c r="B1061" s="23">
        <f>IF(AND(Brand_Log!AN61=1,OR(ISNUMBER(Brand_Log!R61),TRIM(Brand_Log!S61)&lt;&gt;"")),Brand_Log!G61,"")</f>
        <v/>
      </c>
      <c r="C1061" s="17">
        <f>IF(B1061="","","brand")</f>
        <v/>
      </c>
      <c r="D1061" s="17">
        <f>IF(B1061="","",Brand_Log!$A61&amp;"")</f>
        <v/>
      </c>
      <c r="E1061" s="17">
        <f>IF(B1061="","",IF(Brand_Log!B61="","",Brand_Log!B61&amp;""))</f>
        <v/>
      </c>
      <c r="F1061" s="17">
        <f>IF(B1061="","","budget_probe")</f>
        <v/>
      </c>
      <c r="G1061" s="17">
        <f>IF(B1061="","",IF(ISNUMBER(Brand_Log!R61),Brand_Log!R61,""))</f>
        <v/>
      </c>
      <c r="H1061" s="17">
        <f>IF(B1061="","",IF(Brand_Log!S61="","",Brand_Log!S61&amp;""))</f>
        <v/>
      </c>
      <c r="I1061" s="17">
        <f>IF(B1061="","",IF(Brand_Log!N61="","",Brand_Log!N61&amp;""))</f>
        <v/>
      </c>
      <c r="J1061" s="17">
        <f>IF(B1061="","",IF(Brand_Log!T61="","","before_1500; "&amp;Brand_Log!T61))</f>
        <v/>
      </c>
      <c r="K1061" t="inlineStr">
        <is>
          <t>brand budget_probe before $1,500</t>
        </is>
      </c>
    </row>
    <row r="1062">
      <c r="A1062" s="17">
        <f>IF(B1062="","",B1062+(6*1000+61)/10000000)</f>
        <v/>
      </c>
      <c r="B1062" s="23">
        <f>IF(AND(Brand_Log!AN62=1,OR(ISNUMBER(Brand_Log!R62),TRIM(Brand_Log!S62)&lt;&gt;"")),Brand_Log!G62,"")</f>
        <v/>
      </c>
      <c r="C1062" s="17">
        <f>IF(B1062="","","brand")</f>
        <v/>
      </c>
      <c r="D1062" s="17">
        <f>IF(B1062="","",Brand_Log!$A62&amp;"")</f>
        <v/>
      </c>
      <c r="E1062" s="17">
        <f>IF(B1062="","",IF(Brand_Log!B62="","",Brand_Log!B62&amp;""))</f>
        <v/>
      </c>
      <c r="F1062" s="17">
        <f>IF(B1062="","","budget_probe")</f>
        <v/>
      </c>
      <c r="G1062" s="17">
        <f>IF(B1062="","",IF(ISNUMBER(Brand_Log!R62),Brand_Log!R62,""))</f>
        <v/>
      </c>
      <c r="H1062" s="17">
        <f>IF(B1062="","",IF(Brand_Log!S62="","",Brand_Log!S62&amp;""))</f>
        <v/>
      </c>
      <c r="I1062" s="17">
        <f>IF(B1062="","",IF(Brand_Log!N62="","",Brand_Log!N62&amp;""))</f>
        <v/>
      </c>
      <c r="J1062" s="17">
        <f>IF(B1062="","",IF(Brand_Log!T62="","","before_1500; "&amp;Brand_Log!T62))</f>
        <v/>
      </c>
      <c r="K1062" t="inlineStr">
        <is>
          <t>brand budget_probe before $1,500</t>
        </is>
      </c>
    </row>
    <row r="1063">
      <c r="A1063" s="17">
        <f>IF(B1063="","",B1063+(6*1000+62)/10000000)</f>
        <v/>
      </c>
      <c r="B1063" s="23">
        <f>IF(AND(Brand_Log!AN63=1,OR(ISNUMBER(Brand_Log!R63),TRIM(Brand_Log!S63)&lt;&gt;"")),Brand_Log!G63,"")</f>
        <v/>
      </c>
      <c r="C1063" s="17">
        <f>IF(B1063="","","brand")</f>
        <v/>
      </c>
      <c r="D1063" s="17">
        <f>IF(B1063="","",Brand_Log!$A63&amp;"")</f>
        <v/>
      </c>
      <c r="E1063" s="17">
        <f>IF(B1063="","",IF(Brand_Log!B63="","",Brand_Log!B63&amp;""))</f>
        <v/>
      </c>
      <c r="F1063" s="17">
        <f>IF(B1063="","","budget_probe")</f>
        <v/>
      </c>
      <c r="G1063" s="17">
        <f>IF(B1063="","",IF(ISNUMBER(Brand_Log!R63),Brand_Log!R63,""))</f>
        <v/>
      </c>
      <c r="H1063" s="17">
        <f>IF(B1063="","",IF(Brand_Log!S63="","",Brand_Log!S63&amp;""))</f>
        <v/>
      </c>
      <c r="I1063" s="17">
        <f>IF(B1063="","",IF(Brand_Log!N63="","",Brand_Log!N63&amp;""))</f>
        <v/>
      </c>
      <c r="J1063" s="17">
        <f>IF(B1063="","",IF(Brand_Log!T63="","","before_1500; "&amp;Brand_Log!T63))</f>
        <v/>
      </c>
      <c r="K1063" t="inlineStr">
        <is>
          <t>brand budget_probe before $1,500</t>
        </is>
      </c>
    </row>
    <row r="1064">
      <c r="A1064" s="17">
        <f>IF(B1064="","",B1064+(6*1000+63)/10000000)</f>
        <v/>
      </c>
      <c r="B1064" s="23">
        <f>IF(AND(Brand_Log!AN64=1,OR(ISNUMBER(Brand_Log!R64),TRIM(Brand_Log!S64)&lt;&gt;"")),Brand_Log!G64,"")</f>
        <v/>
      </c>
      <c r="C1064" s="17">
        <f>IF(B1064="","","brand")</f>
        <v/>
      </c>
      <c r="D1064" s="17">
        <f>IF(B1064="","",Brand_Log!$A64&amp;"")</f>
        <v/>
      </c>
      <c r="E1064" s="17">
        <f>IF(B1064="","",IF(Brand_Log!B64="","",Brand_Log!B64&amp;""))</f>
        <v/>
      </c>
      <c r="F1064" s="17">
        <f>IF(B1064="","","budget_probe")</f>
        <v/>
      </c>
      <c r="G1064" s="17">
        <f>IF(B1064="","",IF(ISNUMBER(Brand_Log!R64),Brand_Log!R64,""))</f>
        <v/>
      </c>
      <c r="H1064" s="17">
        <f>IF(B1064="","",IF(Brand_Log!S64="","",Brand_Log!S64&amp;""))</f>
        <v/>
      </c>
      <c r="I1064" s="17">
        <f>IF(B1064="","",IF(Brand_Log!N64="","",Brand_Log!N64&amp;""))</f>
        <v/>
      </c>
      <c r="J1064" s="17">
        <f>IF(B1064="","",IF(Brand_Log!T64="","","before_1500; "&amp;Brand_Log!T64))</f>
        <v/>
      </c>
      <c r="K1064" t="inlineStr">
        <is>
          <t>brand budget_probe before $1,500</t>
        </is>
      </c>
    </row>
    <row r="1065">
      <c r="A1065" s="17">
        <f>IF(B1065="","",B1065+(6*1000+64)/10000000)</f>
        <v/>
      </c>
      <c r="B1065" s="23">
        <f>IF(AND(Brand_Log!AN65=1,OR(ISNUMBER(Brand_Log!R65),TRIM(Brand_Log!S65)&lt;&gt;"")),Brand_Log!G65,"")</f>
        <v/>
      </c>
      <c r="C1065" s="17">
        <f>IF(B1065="","","brand")</f>
        <v/>
      </c>
      <c r="D1065" s="17">
        <f>IF(B1065="","",Brand_Log!$A65&amp;"")</f>
        <v/>
      </c>
      <c r="E1065" s="17">
        <f>IF(B1065="","",IF(Brand_Log!B65="","",Brand_Log!B65&amp;""))</f>
        <v/>
      </c>
      <c r="F1065" s="17">
        <f>IF(B1065="","","budget_probe")</f>
        <v/>
      </c>
      <c r="G1065" s="17">
        <f>IF(B1065="","",IF(ISNUMBER(Brand_Log!R65),Brand_Log!R65,""))</f>
        <v/>
      </c>
      <c r="H1065" s="17">
        <f>IF(B1065="","",IF(Brand_Log!S65="","",Brand_Log!S65&amp;""))</f>
        <v/>
      </c>
      <c r="I1065" s="17">
        <f>IF(B1065="","",IF(Brand_Log!N65="","",Brand_Log!N65&amp;""))</f>
        <v/>
      </c>
      <c r="J1065" s="17">
        <f>IF(B1065="","",IF(Brand_Log!T65="","","before_1500; "&amp;Brand_Log!T65))</f>
        <v/>
      </c>
      <c r="K1065" t="inlineStr">
        <is>
          <t>brand budget_probe before $1,500</t>
        </is>
      </c>
    </row>
    <row r="1066">
      <c r="A1066" s="17">
        <f>IF(B1066="","",B1066+(6*1000+65)/10000000)</f>
        <v/>
      </c>
      <c r="B1066" s="23">
        <f>IF(AND(Brand_Log!AN66=1,OR(ISNUMBER(Brand_Log!R66),TRIM(Brand_Log!S66)&lt;&gt;"")),Brand_Log!G66,"")</f>
        <v/>
      </c>
      <c r="C1066" s="17">
        <f>IF(B1066="","","brand")</f>
        <v/>
      </c>
      <c r="D1066" s="17">
        <f>IF(B1066="","",Brand_Log!$A66&amp;"")</f>
        <v/>
      </c>
      <c r="E1066" s="17">
        <f>IF(B1066="","",IF(Brand_Log!B66="","",Brand_Log!B66&amp;""))</f>
        <v/>
      </c>
      <c r="F1066" s="17">
        <f>IF(B1066="","","budget_probe")</f>
        <v/>
      </c>
      <c r="G1066" s="17">
        <f>IF(B1066="","",IF(ISNUMBER(Brand_Log!R66),Brand_Log!R66,""))</f>
        <v/>
      </c>
      <c r="H1066" s="17">
        <f>IF(B1066="","",IF(Brand_Log!S66="","",Brand_Log!S66&amp;""))</f>
        <v/>
      </c>
      <c r="I1066" s="17">
        <f>IF(B1066="","",IF(Brand_Log!N66="","",Brand_Log!N66&amp;""))</f>
        <v/>
      </c>
      <c r="J1066" s="17">
        <f>IF(B1066="","",IF(Brand_Log!T66="","","before_1500; "&amp;Brand_Log!T66))</f>
        <v/>
      </c>
      <c r="K1066" t="inlineStr">
        <is>
          <t>brand budget_probe before $1,500</t>
        </is>
      </c>
    </row>
    <row r="1067">
      <c r="A1067" s="17">
        <f>IF(B1067="","",B1067+(6*1000+66)/10000000)</f>
        <v/>
      </c>
      <c r="B1067" s="23">
        <f>IF(AND(Brand_Log!AN67=1,OR(ISNUMBER(Brand_Log!R67),TRIM(Brand_Log!S67)&lt;&gt;"")),Brand_Log!G67,"")</f>
        <v/>
      </c>
      <c r="C1067" s="17">
        <f>IF(B1067="","","brand")</f>
        <v/>
      </c>
      <c r="D1067" s="17">
        <f>IF(B1067="","",Brand_Log!$A67&amp;"")</f>
        <v/>
      </c>
      <c r="E1067" s="17">
        <f>IF(B1067="","",IF(Brand_Log!B67="","",Brand_Log!B67&amp;""))</f>
        <v/>
      </c>
      <c r="F1067" s="17">
        <f>IF(B1067="","","budget_probe")</f>
        <v/>
      </c>
      <c r="G1067" s="17">
        <f>IF(B1067="","",IF(ISNUMBER(Brand_Log!R67),Brand_Log!R67,""))</f>
        <v/>
      </c>
      <c r="H1067" s="17">
        <f>IF(B1067="","",IF(Brand_Log!S67="","",Brand_Log!S67&amp;""))</f>
        <v/>
      </c>
      <c r="I1067" s="17">
        <f>IF(B1067="","",IF(Brand_Log!N67="","",Brand_Log!N67&amp;""))</f>
        <v/>
      </c>
      <c r="J1067" s="17">
        <f>IF(B1067="","",IF(Brand_Log!T67="","","before_1500; "&amp;Brand_Log!T67))</f>
        <v/>
      </c>
      <c r="K1067" t="inlineStr">
        <is>
          <t>brand budget_probe before $1,500</t>
        </is>
      </c>
    </row>
    <row r="1068">
      <c r="A1068" s="17">
        <f>IF(B1068="","",B1068+(6*1000+67)/10000000)</f>
        <v/>
      </c>
      <c r="B1068" s="23">
        <f>IF(AND(Brand_Log!AN68=1,OR(ISNUMBER(Brand_Log!R68),TRIM(Brand_Log!S68)&lt;&gt;"")),Brand_Log!G68,"")</f>
        <v/>
      </c>
      <c r="C1068" s="17">
        <f>IF(B1068="","","brand")</f>
        <v/>
      </c>
      <c r="D1068" s="17">
        <f>IF(B1068="","",Brand_Log!$A68&amp;"")</f>
        <v/>
      </c>
      <c r="E1068" s="17">
        <f>IF(B1068="","",IF(Brand_Log!B68="","",Brand_Log!B68&amp;""))</f>
        <v/>
      </c>
      <c r="F1068" s="17">
        <f>IF(B1068="","","budget_probe")</f>
        <v/>
      </c>
      <c r="G1068" s="17">
        <f>IF(B1068="","",IF(ISNUMBER(Brand_Log!R68),Brand_Log!R68,""))</f>
        <v/>
      </c>
      <c r="H1068" s="17">
        <f>IF(B1068="","",IF(Brand_Log!S68="","",Brand_Log!S68&amp;""))</f>
        <v/>
      </c>
      <c r="I1068" s="17">
        <f>IF(B1068="","",IF(Brand_Log!N68="","",Brand_Log!N68&amp;""))</f>
        <v/>
      </c>
      <c r="J1068" s="17">
        <f>IF(B1068="","",IF(Brand_Log!T68="","","before_1500; "&amp;Brand_Log!T68))</f>
        <v/>
      </c>
      <c r="K1068" t="inlineStr">
        <is>
          <t>brand budget_probe before $1,500</t>
        </is>
      </c>
    </row>
    <row r="1069">
      <c r="A1069" s="17">
        <f>IF(B1069="","",B1069+(6*1000+68)/10000000)</f>
        <v/>
      </c>
      <c r="B1069" s="23">
        <f>IF(AND(Brand_Log!AN69=1,OR(ISNUMBER(Brand_Log!R69),TRIM(Brand_Log!S69)&lt;&gt;"")),Brand_Log!G69,"")</f>
        <v/>
      </c>
      <c r="C1069" s="17">
        <f>IF(B1069="","","brand")</f>
        <v/>
      </c>
      <c r="D1069" s="17">
        <f>IF(B1069="","",Brand_Log!$A69&amp;"")</f>
        <v/>
      </c>
      <c r="E1069" s="17">
        <f>IF(B1069="","",IF(Brand_Log!B69="","",Brand_Log!B69&amp;""))</f>
        <v/>
      </c>
      <c r="F1069" s="17">
        <f>IF(B1069="","","budget_probe")</f>
        <v/>
      </c>
      <c r="G1069" s="17">
        <f>IF(B1069="","",IF(ISNUMBER(Brand_Log!R69),Brand_Log!R69,""))</f>
        <v/>
      </c>
      <c r="H1069" s="17">
        <f>IF(B1069="","",IF(Brand_Log!S69="","",Brand_Log!S69&amp;""))</f>
        <v/>
      </c>
      <c r="I1069" s="17">
        <f>IF(B1069="","",IF(Brand_Log!N69="","",Brand_Log!N69&amp;""))</f>
        <v/>
      </c>
      <c r="J1069" s="17">
        <f>IF(B1069="","",IF(Brand_Log!T69="","","before_1500; "&amp;Brand_Log!T69))</f>
        <v/>
      </c>
      <c r="K1069" t="inlineStr">
        <is>
          <t>brand budget_probe before $1,500</t>
        </is>
      </c>
    </row>
    <row r="1070">
      <c r="A1070" s="17">
        <f>IF(B1070="","",B1070+(6*1000+69)/10000000)</f>
        <v/>
      </c>
      <c r="B1070" s="23">
        <f>IF(AND(Brand_Log!AN70=1,OR(ISNUMBER(Brand_Log!R70),TRIM(Brand_Log!S70)&lt;&gt;"")),Brand_Log!G70,"")</f>
        <v/>
      </c>
      <c r="C1070" s="17">
        <f>IF(B1070="","","brand")</f>
        <v/>
      </c>
      <c r="D1070" s="17">
        <f>IF(B1070="","",Brand_Log!$A70&amp;"")</f>
        <v/>
      </c>
      <c r="E1070" s="17">
        <f>IF(B1070="","",IF(Brand_Log!B70="","",Brand_Log!B70&amp;""))</f>
        <v/>
      </c>
      <c r="F1070" s="17">
        <f>IF(B1070="","","budget_probe")</f>
        <v/>
      </c>
      <c r="G1070" s="17">
        <f>IF(B1070="","",IF(ISNUMBER(Brand_Log!R70),Brand_Log!R70,""))</f>
        <v/>
      </c>
      <c r="H1070" s="17">
        <f>IF(B1070="","",IF(Brand_Log!S70="","",Brand_Log!S70&amp;""))</f>
        <v/>
      </c>
      <c r="I1070" s="17">
        <f>IF(B1070="","",IF(Brand_Log!N70="","",Brand_Log!N70&amp;""))</f>
        <v/>
      </c>
      <c r="J1070" s="17">
        <f>IF(B1070="","",IF(Brand_Log!T70="","","before_1500; "&amp;Brand_Log!T70))</f>
        <v/>
      </c>
      <c r="K1070" t="inlineStr">
        <is>
          <t>brand budget_probe before $1,500</t>
        </is>
      </c>
    </row>
    <row r="1071">
      <c r="A1071" s="17">
        <f>IF(B1071="","",B1071+(6*1000+70)/10000000)</f>
        <v/>
      </c>
      <c r="B1071" s="23">
        <f>IF(AND(Brand_Log!AN71=1,OR(ISNUMBER(Brand_Log!R71),TRIM(Brand_Log!S71)&lt;&gt;"")),Brand_Log!G71,"")</f>
        <v/>
      </c>
      <c r="C1071" s="17">
        <f>IF(B1071="","","brand")</f>
        <v/>
      </c>
      <c r="D1071" s="17">
        <f>IF(B1071="","",Brand_Log!$A71&amp;"")</f>
        <v/>
      </c>
      <c r="E1071" s="17">
        <f>IF(B1071="","",IF(Brand_Log!B71="","",Brand_Log!B71&amp;""))</f>
        <v/>
      </c>
      <c r="F1071" s="17">
        <f>IF(B1071="","","budget_probe")</f>
        <v/>
      </c>
      <c r="G1071" s="17">
        <f>IF(B1071="","",IF(ISNUMBER(Brand_Log!R71),Brand_Log!R71,""))</f>
        <v/>
      </c>
      <c r="H1071" s="17">
        <f>IF(B1071="","",IF(Brand_Log!S71="","",Brand_Log!S71&amp;""))</f>
        <v/>
      </c>
      <c r="I1071" s="17">
        <f>IF(B1071="","",IF(Brand_Log!N71="","",Brand_Log!N71&amp;""))</f>
        <v/>
      </c>
      <c r="J1071" s="17">
        <f>IF(B1071="","",IF(Brand_Log!T71="","","before_1500; "&amp;Brand_Log!T71))</f>
        <v/>
      </c>
      <c r="K1071" t="inlineStr">
        <is>
          <t>brand budget_probe before $1,500</t>
        </is>
      </c>
    </row>
    <row r="1072">
      <c r="A1072" s="17">
        <f>IF(B1072="","",B1072+(6*1000+71)/10000000)</f>
        <v/>
      </c>
      <c r="B1072" s="23">
        <f>IF(AND(Brand_Log!AN72=1,OR(ISNUMBER(Brand_Log!R72),TRIM(Brand_Log!S72)&lt;&gt;"")),Brand_Log!G72,"")</f>
        <v/>
      </c>
      <c r="C1072" s="17">
        <f>IF(B1072="","","brand")</f>
        <v/>
      </c>
      <c r="D1072" s="17">
        <f>IF(B1072="","",Brand_Log!$A72&amp;"")</f>
        <v/>
      </c>
      <c r="E1072" s="17">
        <f>IF(B1072="","",IF(Brand_Log!B72="","",Brand_Log!B72&amp;""))</f>
        <v/>
      </c>
      <c r="F1072" s="17">
        <f>IF(B1072="","","budget_probe")</f>
        <v/>
      </c>
      <c r="G1072" s="17">
        <f>IF(B1072="","",IF(ISNUMBER(Brand_Log!R72),Brand_Log!R72,""))</f>
        <v/>
      </c>
      <c r="H1072" s="17">
        <f>IF(B1072="","",IF(Brand_Log!S72="","",Brand_Log!S72&amp;""))</f>
        <v/>
      </c>
      <c r="I1072" s="17">
        <f>IF(B1072="","",IF(Brand_Log!N72="","",Brand_Log!N72&amp;""))</f>
        <v/>
      </c>
      <c r="J1072" s="17">
        <f>IF(B1072="","",IF(Brand_Log!T72="","","before_1500; "&amp;Brand_Log!T72))</f>
        <v/>
      </c>
      <c r="K1072" t="inlineStr">
        <is>
          <t>brand budget_probe before $1,500</t>
        </is>
      </c>
    </row>
    <row r="1073">
      <c r="A1073" s="17">
        <f>IF(B1073="","",B1073+(6*1000+72)/10000000)</f>
        <v/>
      </c>
      <c r="B1073" s="23">
        <f>IF(AND(Brand_Log!AN73=1,OR(ISNUMBER(Brand_Log!R73),TRIM(Brand_Log!S73)&lt;&gt;"")),Brand_Log!G73,"")</f>
        <v/>
      </c>
      <c r="C1073" s="17">
        <f>IF(B1073="","","brand")</f>
        <v/>
      </c>
      <c r="D1073" s="17">
        <f>IF(B1073="","",Brand_Log!$A73&amp;"")</f>
        <v/>
      </c>
      <c r="E1073" s="17">
        <f>IF(B1073="","",IF(Brand_Log!B73="","",Brand_Log!B73&amp;""))</f>
        <v/>
      </c>
      <c r="F1073" s="17">
        <f>IF(B1073="","","budget_probe")</f>
        <v/>
      </c>
      <c r="G1073" s="17">
        <f>IF(B1073="","",IF(ISNUMBER(Brand_Log!R73),Brand_Log!R73,""))</f>
        <v/>
      </c>
      <c r="H1073" s="17">
        <f>IF(B1073="","",IF(Brand_Log!S73="","",Brand_Log!S73&amp;""))</f>
        <v/>
      </c>
      <c r="I1073" s="17">
        <f>IF(B1073="","",IF(Brand_Log!N73="","",Brand_Log!N73&amp;""))</f>
        <v/>
      </c>
      <c r="J1073" s="17">
        <f>IF(B1073="","",IF(Brand_Log!T73="","","before_1500; "&amp;Brand_Log!T73))</f>
        <v/>
      </c>
      <c r="K1073" t="inlineStr">
        <is>
          <t>brand budget_probe before $1,500</t>
        </is>
      </c>
    </row>
    <row r="1074">
      <c r="A1074" s="17">
        <f>IF(B1074="","",B1074+(6*1000+73)/10000000)</f>
        <v/>
      </c>
      <c r="B1074" s="23">
        <f>IF(AND(Brand_Log!AN74=1,OR(ISNUMBER(Brand_Log!R74),TRIM(Brand_Log!S74)&lt;&gt;"")),Brand_Log!G74,"")</f>
        <v/>
      </c>
      <c r="C1074" s="17">
        <f>IF(B1074="","","brand")</f>
        <v/>
      </c>
      <c r="D1074" s="17">
        <f>IF(B1074="","",Brand_Log!$A74&amp;"")</f>
        <v/>
      </c>
      <c r="E1074" s="17">
        <f>IF(B1074="","",IF(Brand_Log!B74="","",Brand_Log!B74&amp;""))</f>
        <v/>
      </c>
      <c r="F1074" s="17">
        <f>IF(B1074="","","budget_probe")</f>
        <v/>
      </c>
      <c r="G1074" s="17">
        <f>IF(B1074="","",IF(ISNUMBER(Brand_Log!R74),Brand_Log!R74,""))</f>
        <v/>
      </c>
      <c r="H1074" s="17">
        <f>IF(B1074="","",IF(Brand_Log!S74="","",Brand_Log!S74&amp;""))</f>
        <v/>
      </c>
      <c r="I1074" s="17">
        <f>IF(B1074="","",IF(Brand_Log!N74="","",Brand_Log!N74&amp;""))</f>
        <v/>
      </c>
      <c r="J1074" s="17">
        <f>IF(B1074="","",IF(Brand_Log!T74="","","before_1500; "&amp;Brand_Log!T74))</f>
        <v/>
      </c>
      <c r="K1074" t="inlineStr">
        <is>
          <t>brand budget_probe before $1,500</t>
        </is>
      </c>
    </row>
    <row r="1075">
      <c r="A1075" s="17">
        <f>IF(B1075="","",B1075+(6*1000+74)/10000000)</f>
        <v/>
      </c>
      <c r="B1075" s="23">
        <f>IF(AND(Brand_Log!AN75=1,OR(ISNUMBER(Brand_Log!R75),TRIM(Brand_Log!S75)&lt;&gt;"")),Brand_Log!G75,"")</f>
        <v/>
      </c>
      <c r="C1075" s="17">
        <f>IF(B1075="","","brand")</f>
        <v/>
      </c>
      <c r="D1075" s="17">
        <f>IF(B1075="","",Brand_Log!$A75&amp;"")</f>
        <v/>
      </c>
      <c r="E1075" s="17">
        <f>IF(B1075="","",IF(Brand_Log!B75="","",Brand_Log!B75&amp;""))</f>
        <v/>
      </c>
      <c r="F1075" s="17">
        <f>IF(B1075="","","budget_probe")</f>
        <v/>
      </c>
      <c r="G1075" s="17">
        <f>IF(B1075="","",IF(ISNUMBER(Brand_Log!R75),Brand_Log!R75,""))</f>
        <v/>
      </c>
      <c r="H1075" s="17">
        <f>IF(B1075="","",IF(Brand_Log!S75="","",Brand_Log!S75&amp;""))</f>
        <v/>
      </c>
      <c r="I1075" s="17">
        <f>IF(B1075="","",IF(Brand_Log!N75="","",Brand_Log!N75&amp;""))</f>
        <v/>
      </c>
      <c r="J1075" s="17">
        <f>IF(B1075="","",IF(Brand_Log!T75="","","before_1500; "&amp;Brand_Log!T75))</f>
        <v/>
      </c>
      <c r="K1075" t="inlineStr">
        <is>
          <t>brand budget_probe before $1,500</t>
        </is>
      </c>
    </row>
    <row r="1076">
      <c r="A1076" s="17">
        <f>IF(B1076="","",B1076+(6*1000+75)/10000000)</f>
        <v/>
      </c>
      <c r="B1076" s="23">
        <f>IF(AND(Brand_Log!AN76=1,OR(ISNUMBER(Brand_Log!R76),TRIM(Brand_Log!S76)&lt;&gt;"")),Brand_Log!G76,"")</f>
        <v/>
      </c>
      <c r="C1076" s="17">
        <f>IF(B1076="","","brand")</f>
        <v/>
      </c>
      <c r="D1076" s="17">
        <f>IF(B1076="","",Brand_Log!$A76&amp;"")</f>
        <v/>
      </c>
      <c r="E1076" s="17">
        <f>IF(B1076="","",IF(Brand_Log!B76="","",Brand_Log!B76&amp;""))</f>
        <v/>
      </c>
      <c r="F1076" s="17">
        <f>IF(B1076="","","budget_probe")</f>
        <v/>
      </c>
      <c r="G1076" s="17">
        <f>IF(B1076="","",IF(ISNUMBER(Brand_Log!R76),Brand_Log!R76,""))</f>
        <v/>
      </c>
      <c r="H1076" s="17">
        <f>IF(B1076="","",IF(Brand_Log!S76="","",Brand_Log!S76&amp;""))</f>
        <v/>
      </c>
      <c r="I1076" s="17">
        <f>IF(B1076="","",IF(Brand_Log!N76="","",Brand_Log!N76&amp;""))</f>
        <v/>
      </c>
      <c r="J1076" s="17">
        <f>IF(B1076="","",IF(Brand_Log!T76="","","before_1500; "&amp;Brand_Log!T76))</f>
        <v/>
      </c>
      <c r="K1076" t="inlineStr">
        <is>
          <t>brand budget_probe before $1,500</t>
        </is>
      </c>
    </row>
    <row r="1077">
      <c r="A1077" s="17">
        <f>IF(B1077="","",B1077+(6*1000+76)/10000000)</f>
        <v/>
      </c>
      <c r="B1077" s="23">
        <f>IF(AND(Brand_Log!AN77=1,OR(ISNUMBER(Brand_Log!R77),TRIM(Brand_Log!S77)&lt;&gt;"")),Brand_Log!G77,"")</f>
        <v/>
      </c>
      <c r="C1077" s="17">
        <f>IF(B1077="","","brand")</f>
        <v/>
      </c>
      <c r="D1077" s="17">
        <f>IF(B1077="","",Brand_Log!$A77&amp;"")</f>
        <v/>
      </c>
      <c r="E1077" s="17">
        <f>IF(B1077="","",IF(Brand_Log!B77="","",Brand_Log!B77&amp;""))</f>
        <v/>
      </c>
      <c r="F1077" s="17">
        <f>IF(B1077="","","budget_probe")</f>
        <v/>
      </c>
      <c r="G1077" s="17">
        <f>IF(B1077="","",IF(ISNUMBER(Brand_Log!R77),Brand_Log!R77,""))</f>
        <v/>
      </c>
      <c r="H1077" s="17">
        <f>IF(B1077="","",IF(Brand_Log!S77="","",Brand_Log!S77&amp;""))</f>
        <v/>
      </c>
      <c r="I1077" s="17">
        <f>IF(B1077="","",IF(Brand_Log!N77="","",Brand_Log!N77&amp;""))</f>
        <v/>
      </c>
      <c r="J1077" s="17">
        <f>IF(B1077="","",IF(Brand_Log!T77="","","before_1500; "&amp;Brand_Log!T77))</f>
        <v/>
      </c>
      <c r="K1077" t="inlineStr">
        <is>
          <t>brand budget_probe before $1,500</t>
        </is>
      </c>
    </row>
    <row r="1078">
      <c r="A1078" s="17">
        <f>IF(B1078="","",B1078+(6*1000+77)/10000000)</f>
        <v/>
      </c>
      <c r="B1078" s="23">
        <f>IF(AND(Brand_Log!AN78=1,OR(ISNUMBER(Brand_Log!R78),TRIM(Brand_Log!S78)&lt;&gt;"")),Brand_Log!G78,"")</f>
        <v/>
      </c>
      <c r="C1078" s="17">
        <f>IF(B1078="","","brand")</f>
        <v/>
      </c>
      <c r="D1078" s="17">
        <f>IF(B1078="","",Brand_Log!$A78&amp;"")</f>
        <v/>
      </c>
      <c r="E1078" s="17">
        <f>IF(B1078="","",IF(Brand_Log!B78="","",Brand_Log!B78&amp;""))</f>
        <v/>
      </c>
      <c r="F1078" s="17">
        <f>IF(B1078="","","budget_probe")</f>
        <v/>
      </c>
      <c r="G1078" s="17">
        <f>IF(B1078="","",IF(ISNUMBER(Brand_Log!R78),Brand_Log!R78,""))</f>
        <v/>
      </c>
      <c r="H1078" s="17">
        <f>IF(B1078="","",IF(Brand_Log!S78="","",Brand_Log!S78&amp;""))</f>
        <v/>
      </c>
      <c r="I1078" s="17">
        <f>IF(B1078="","",IF(Brand_Log!N78="","",Brand_Log!N78&amp;""))</f>
        <v/>
      </c>
      <c r="J1078" s="17">
        <f>IF(B1078="","",IF(Brand_Log!T78="","","before_1500; "&amp;Brand_Log!T78))</f>
        <v/>
      </c>
      <c r="K1078" t="inlineStr">
        <is>
          <t>brand budget_probe before $1,500</t>
        </is>
      </c>
    </row>
    <row r="1079">
      <c r="A1079" s="17">
        <f>IF(B1079="","",B1079+(6*1000+78)/10000000)</f>
        <v/>
      </c>
      <c r="B1079" s="23">
        <f>IF(AND(Brand_Log!AN79=1,OR(ISNUMBER(Brand_Log!R79),TRIM(Brand_Log!S79)&lt;&gt;"")),Brand_Log!G79,"")</f>
        <v/>
      </c>
      <c r="C1079" s="17">
        <f>IF(B1079="","","brand")</f>
        <v/>
      </c>
      <c r="D1079" s="17">
        <f>IF(B1079="","",Brand_Log!$A79&amp;"")</f>
        <v/>
      </c>
      <c r="E1079" s="17">
        <f>IF(B1079="","",IF(Brand_Log!B79="","",Brand_Log!B79&amp;""))</f>
        <v/>
      </c>
      <c r="F1079" s="17">
        <f>IF(B1079="","","budget_probe")</f>
        <v/>
      </c>
      <c r="G1079" s="17">
        <f>IF(B1079="","",IF(ISNUMBER(Brand_Log!R79),Brand_Log!R79,""))</f>
        <v/>
      </c>
      <c r="H1079" s="17">
        <f>IF(B1079="","",IF(Brand_Log!S79="","",Brand_Log!S79&amp;""))</f>
        <v/>
      </c>
      <c r="I1079" s="17">
        <f>IF(B1079="","",IF(Brand_Log!N79="","",Brand_Log!N79&amp;""))</f>
        <v/>
      </c>
      <c r="J1079" s="17">
        <f>IF(B1079="","",IF(Brand_Log!T79="","","before_1500; "&amp;Brand_Log!T79))</f>
        <v/>
      </c>
      <c r="K1079" t="inlineStr">
        <is>
          <t>brand budget_probe before $1,500</t>
        </is>
      </c>
    </row>
    <row r="1080">
      <c r="A1080" s="17">
        <f>IF(B1080="","",B1080+(6*1000+79)/10000000)</f>
        <v/>
      </c>
      <c r="B1080" s="23">
        <f>IF(AND(Brand_Log!AN80=1,OR(ISNUMBER(Brand_Log!R80),TRIM(Brand_Log!S80)&lt;&gt;"")),Brand_Log!G80,"")</f>
        <v/>
      </c>
      <c r="C1080" s="17">
        <f>IF(B1080="","","brand")</f>
        <v/>
      </c>
      <c r="D1080" s="17">
        <f>IF(B1080="","",Brand_Log!$A80&amp;"")</f>
        <v/>
      </c>
      <c r="E1080" s="17">
        <f>IF(B1080="","",IF(Brand_Log!B80="","",Brand_Log!B80&amp;""))</f>
        <v/>
      </c>
      <c r="F1080" s="17">
        <f>IF(B1080="","","budget_probe")</f>
        <v/>
      </c>
      <c r="G1080" s="17">
        <f>IF(B1080="","",IF(ISNUMBER(Brand_Log!R80),Brand_Log!R80,""))</f>
        <v/>
      </c>
      <c r="H1080" s="17">
        <f>IF(B1080="","",IF(Brand_Log!S80="","",Brand_Log!S80&amp;""))</f>
        <v/>
      </c>
      <c r="I1080" s="17">
        <f>IF(B1080="","",IF(Brand_Log!N80="","",Brand_Log!N80&amp;""))</f>
        <v/>
      </c>
      <c r="J1080" s="17">
        <f>IF(B1080="","",IF(Brand_Log!T80="","","before_1500; "&amp;Brand_Log!T80))</f>
        <v/>
      </c>
      <c r="K1080" t="inlineStr">
        <is>
          <t>brand budget_probe before $1,500</t>
        </is>
      </c>
    </row>
    <row r="1081">
      <c r="A1081" s="17">
        <f>IF(B1081="","",B1081+(6*1000+80)/10000000)</f>
        <v/>
      </c>
      <c r="B1081" s="23">
        <f>IF(AND(Brand_Log!AN81=1,OR(ISNUMBER(Brand_Log!R81),TRIM(Brand_Log!S81)&lt;&gt;"")),Brand_Log!G81,"")</f>
        <v/>
      </c>
      <c r="C1081" s="17">
        <f>IF(B1081="","","brand")</f>
        <v/>
      </c>
      <c r="D1081" s="17">
        <f>IF(B1081="","",Brand_Log!$A81&amp;"")</f>
        <v/>
      </c>
      <c r="E1081" s="17">
        <f>IF(B1081="","",IF(Brand_Log!B81="","",Brand_Log!B81&amp;""))</f>
        <v/>
      </c>
      <c r="F1081" s="17">
        <f>IF(B1081="","","budget_probe")</f>
        <v/>
      </c>
      <c r="G1081" s="17">
        <f>IF(B1081="","",IF(ISNUMBER(Brand_Log!R81),Brand_Log!R81,""))</f>
        <v/>
      </c>
      <c r="H1081" s="17">
        <f>IF(B1081="","",IF(Brand_Log!S81="","",Brand_Log!S81&amp;""))</f>
        <v/>
      </c>
      <c r="I1081" s="17">
        <f>IF(B1081="","",IF(Brand_Log!N81="","",Brand_Log!N81&amp;""))</f>
        <v/>
      </c>
      <c r="J1081" s="17">
        <f>IF(B1081="","",IF(Brand_Log!T81="","","before_1500; "&amp;Brand_Log!T81))</f>
        <v/>
      </c>
      <c r="K1081" t="inlineStr">
        <is>
          <t>brand budget_probe before $1,500</t>
        </is>
      </c>
    </row>
    <row r="1082">
      <c r="A1082" s="17">
        <f>IF(B1082="","",B1082+(6*1000+81)/10000000)</f>
        <v/>
      </c>
      <c r="B1082" s="23">
        <f>IF(AND(Brand_Log!AN82=1,OR(ISNUMBER(Brand_Log!R82),TRIM(Brand_Log!S82)&lt;&gt;"")),Brand_Log!G82,"")</f>
        <v/>
      </c>
      <c r="C1082" s="17">
        <f>IF(B1082="","","brand")</f>
        <v/>
      </c>
      <c r="D1082" s="17">
        <f>IF(B1082="","",Brand_Log!$A82&amp;"")</f>
        <v/>
      </c>
      <c r="E1082" s="17">
        <f>IF(B1082="","",IF(Brand_Log!B82="","",Brand_Log!B82&amp;""))</f>
        <v/>
      </c>
      <c r="F1082" s="17">
        <f>IF(B1082="","","budget_probe")</f>
        <v/>
      </c>
      <c r="G1082" s="17">
        <f>IF(B1082="","",IF(ISNUMBER(Brand_Log!R82),Brand_Log!R82,""))</f>
        <v/>
      </c>
      <c r="H1082" s="17">
        <f>IF(B1082="","",IF(Brand_Log!S82="","",Brand_Log!S82&amp;""))</f>
        <v/>
      </c>
      <c r="I1082" s="17">
        <f>IF(B1082="","",IF(Brand_Log!N82="","",Brand_Log!N82&amp;""))</f>
        <v/>
      </c>
      <c r="J1082" s="17">
        <f>IF(B1082="","",IF(Brand_Log!T82="","","before_1500; "&amp;Brand_Log!T82))</f>
        <v/>
      </c>
      <c r="K1082" t="inlineStr">
        <is>
          <t>brand budget_probe before $1,500</t>
        </is>
      </c>
    </row>
    <row r="1083">
      <c r="A1083" s="17">
        <f>IF(B1083="","",B1083+(6*1000+82)/10000000)</f>
        <v/>
      </c>
      <c r="B1083" s="23">
        <f>IF(AND(Brand_Log!AN83=1,OR(ISNUMBER(Brand_Log!R83),TRIM(Brand_Log!S83)&lt;&gt;"")),Brand_Log!G83,"")</f>
        <v/>
      </c>
      <c r="C1083" s="17">
        <f>IF(B1083="","","brand")</f>
        <v/>
      </c>
      <c r="D1083" s="17">
        <f>IF(B1083="","",Brand_Log!$A83&amp;"")</f>
        <v/>
      </c>
      <c r="E1083" s="17">
        <f>IF(B1083="","",IF(Brand_Log!B83="","",Brand_Log!B83&amp;""))</f>
        <v/>
      </c>
      <c r="F1083" s="17">
        <f>IF(B1083="","","budget_probe")</f>
        <v/>
      </c>
      <c r="G1083" s="17">
        <f>IF(B1083="","",IF(ISNUMBER(Brand_Log!R83),Brand_Log!R83,""))</f>
        <v/>
      </c>
      <c r="H1083" s="17">
        <f>IF(B1083="","",IF(Brand_Log!S83="","",Brand_Log!S83&amp;""))</f>
        <v/>
      </c>
      <c r="I1083" s="17">
        <f>IF(B1083="","",IF(Brand_Log!N83="","",Brand_Log!N83&amp;""))</f>
        <v/>
      </c>
      <c r="J1083" s="17">
        <f>IF(B1083="","",IF(Brand_Log!T83="","","before_1500; "&amp;Brand_Log!T83))</f>
        <v/>
      </c>
      <c r="K1083" t="inlineStr">
        <is>
          <t>brand budget_probe before $1,500</t>
        </is>
      </c>
    </row>
    <row r="1084">
      <c r="A1084" s="17">
        <f>IF(B1084="","",B1084+(6*1000+83)/10000000)</f>
        <v/>
      </c>
      <c r="B1084" s="23">
        <f>IF(AND(Brand_Log!AN84=1,OR(ISNUMBER(Brand_Log!R84),TRIM(Brand_Log!S84)&lt;&gt;"")),Brand_Log!G84,"")</f>
        <v/>
      </c>
      <c r="C1084" s="17">
        <f>IF(B1084="","","brand")</f>
        <v/>
      </c>
      <c r="D1084" s="17">
        <f>IF(B1084="","",Brand_Log!$A84&amp;"")</f>
        <v/>
      </c>
      <c r="E1084" s="17">
        <f>IF(B1084="","",IF(Brand_Log!B84="","",Brand_Log!B84&amp;""))</f>
        <v/>
      </c>
      <c r="F1084" s="17">
        <f>IF(B1084="","","budget_probe")</f>
        <v/>
      </c>
      <c r="G1084" s="17">
        <f>IF(B1084="","",IF(ISNUMBER(Brand_Log!R84),Brand_Log!R84,""))</f>
        <v/>
      </c>
      <c r="H1084" s="17">
        <f>IF(B1084="","",IF(Brand_Log!S84="","",Brand_Log!S84&amp;""))</f>
        <v/>
      </c>
      <c r="I1084" s="17">
        <f>IF(B1084="","",IF(Brand_Log!N84="","",Brand_Log!N84&amp;""))</f>
        <v/>
      </c>
      <c r="J1084" s="17">
        <f>IF(B1084="","",IF(Brand_Log!T84="","","before_1500; "&amp;Brand_Log!T84))</f>
        <v/>
      </c>
      <c r="K1084" t="inlineStr">
        <is>
          <t>brand budget_probe before $1,500</t>
        </is>
      </c>
    </row>
    <row r="1085">
      <c r="A1085" s="17">
        <f>IF(B1085="","",B1085+(6*1000+84)/10000000)</f>
        <v/>
      </c>
      <c r="B1085" s="23">
        <f>IF(AND(Brand_Log!AN85=1,OR(ISNUMBER(Brand_Log!R85),TRIM(Brand_Log!S85)&lt;&gt;"")),Brand_Log!G85,"")</f>
        <v/>
      </c>
      <c r="C1085" s="17">
        <f>IF(B1085="","","brand")</f>
        <v/>
      </c>
      <c r="D1085" s="17">
        <f>IF(B1085="","",Brand_Log!$A85&amp;"")</f>
        <v/>
      </c>
      <c r="E1085" s="17">
        <f>IF(B1085="","",IF(Brand_Log!B85="","",Brand_Log!B85&amp;""))</f>
        <v/>
      </c>
      <c r="F1085" s="17">
        <f>IF(B1085="","","budget_probe")</f>
        <v/>
      </c>
      <c r="G1085" s="17">
        <f>IF(B1085="","",IF(ISNUMBER(Brand_Log!R85),Brand_Log!R85,""))</f>
        <v/>
      </c>
      <c r="H1085" s="17">
        <f>IF(B1085="","",IF(Brand_Log!S85="","",Brand_Log!S85&amp;""))</f>
        <v/>
      </c>
      <c r="I1085" s="17">
        <f>IF(B1085="","",IF(Brand_Log!N85="","",Brand_Log!N85&amp;""))</f>
        <v/>
      </c>
      <c r="J1085" s="17">
        <f>IF(B1085="","",IF(Brand_Log!T85="","","before_1500; "&amp;Brand_Log!T85))</f>
        <v/>
      </c>
      <c r="K1085" t="inlineStr">
        <is>
          <t>brand budget_probe before $1,500</t>
        </is>
      </c>
    </row>
    <row r="1086">
      <c r="A1086" s="17">
        <f>IF(B1086="","",B1086+(6*1000+85)/10000000)</f>
        <v/>
      </c>
      <c r="B1086" s="23">
        <f>IF(AND(Brand_Log!AN86=1,OR(ISNUMBER(Brand_Log!R86),TRIM(Brand_Log!S86)&lt;&gt;"")),Brand_Log!G86,"")</f>
        <v/>
      </c>
      <c r="C1086" s="17">
        <f>IF(B1086="","","brand")</f>
        <v/>
      </c>
      <c r="D1086" s="17">
        <f>IF(B1086="","",Brand_Log!$A86&amp;"")</f>
        <v/>
      </c>
      <c r="E1086" s="17">
        <f>IF(B1086="","",IF(Brand_Log!B86="","",Brand_Log!B86&amp;""))</f>
        <v/>
      </c>
      <c r="F1086" s="17">
        <f>IF(B1086="","","budget_probe")</f>
        <v/>
      </c>
      <c r="G1086" s="17">
        <f>IF(B1086="","",IF(ISNUMBER(Brand_Log!R86),Brand_Log!R86,""))</f>
        <v/>
      </c>
      <c r="H1086" s="17">
        <f>IF(B1086="","",IF(Brand_Log!S86="","",Brand_Log!S86&amp;""))</f>
        <v/>
      </c>
      <c r="I1086" s="17">
        <f>IF(B1086="","",IF(Brand_Log!N86="","",Brand_Log!N86&amp;""))</f>
        <v/>
      </c>
      <c r="J1086" s="17">
        <f>IF(B1086="","",IF(Brand_Log!T86="","","before_1500; "&amp;Brand_Log!T86))</f>
        <v/>
      </c>
      <c r="K1086" t="inlineStr">
        <is>
          <t>brand budget_probe before $1,500</t>
        </is>
      </c>
    </row>
    <row r="1087">
      <c r="A1087" s="17">
        <f>IF(B1087="","",B1087+(6*1000+86)/10000000)</f>
        <v/>
      </c>
      <c r="B1087" s="23">
        <f>IF(AND(Brand_Log!AN87=1,OR(ISNUMBER(Brand_Log!R87),TRIM(Brand_Log!S87)&lt;&gt;"")),Brand_Log!G87,"")</f>
        <v/>
      </c>
      <c r="C1087" s="17">
        <f>IF(B1087="","","brand")</f>
        <v/>
      </c>
      <c r="D1087" s="17">
        <f>IF(B1087="","",Brand_Log!$A87&amp;"")</f>
        <v/>
      </c>
      <c r="E1087" s="17">
        <f>IF(B1087="","",IF(Brand_Log!B87="","",Brand_Log!B87&amp;""))</f>
        <v/>
      </c>
      <c r="F1087" s="17">
        <f>IF(B1087="","","budget_probe")</f>
        <v/>
      </c>
      <c r="G1087" s="17">
        <f>IF(B1087="","",IF(ISNUMBER(Brand_Log!R87),Brand_Log!R87,""))</f>
        <v/>
      </c>
      <c r="H1087" s="17">
        <f>IF(B1087="","",IF(Brand_Log!S87="","",Brand_Log!S87&amp;""))</f>
        <v/>
      </c>
      <c r="I1087" s="17">
        <f>IF(B1087="","",IF(Brand_Log!N87="","",Brand_Log!N87&amp;""))</f>
        <v/>
      </c>
      <c r="J1087" s="17">
        <f>IF(B1087="","",IF(Brand_Log!T87="","","before_1500; "&amp;Brand_Log!T87))</f>
        <v/>
      </c>
      <c r="K1087" t="inlineStr">
        <is>
          <t>brand budget_probe before $1,500</t>
        </is>
      </c>
    </row>
    <row r="1088">
      <c r="A1088" s="17">
        <f>IF(B1088="","",B1088+(6*1000+87)/10000000)</f>
        <v/>
      </c>
      <c r="B1088" s="23">
        <f>IF(AND(Brand_Log!AN88=1,OR(ISNUMBER(Brand_Log!R88),TRIM(Brand_Log!S88)&lt;&gt;"")),Brand_Log!G88,"")</f>
        <v/>
      </c>
      <c r="C1088" s="17">
        <f>IF(B1088="","","brand")</f>
        <v/>
      </c>
      <c r="D1088" s="17">
        <f>IF(B1088="","",Brand_Log!$A88&amp;"")</f>
        <v/>
      </c>
      <c r="E1088" s="17">
        <f>IF(B1088="","",IF(Brand_Log!B88="","",Brand_Log!B88&amp;""))</f>
        <v/>
      </c>
      <c r="F1088" s="17">
        <f>IF(B1088="","","budget_probe")</f>
        <v/>
      </c>
      <c r="G1088" s="17">
        <f>IF(B1088="","",IF(ISNUMBER(Brand_Log!R88),Brand_Log!R88,""))</f>
        <v/>
      </c>
      <c r="H1088" s="17">
        <f>IF(B1088="","",IF(Brand_Log!S88="","",Brand_Log!S88&amp;""))</f>
        <v/>
      </c>
      <c r="I1088" s="17">
        <f>IF(B1088="","",IF(Brand_Log!N88="","",Brand_Log!N88&amp;""))</f>
        <v/>
      </c>
      <c r="J1088" s="17">
        <f>IF(B1088="","",IF(Brand_Log!T88="","","before_1500; "&amp;Brand_Log!T88))</f>
        <v/>
      </c>
      <c r="K1088" t="inlineStr">
        <is>
          <t>brand budget_probe before $1,500</t>
        </is>
      </c>
    </row>
    <row r="1089">
      <c r="A1089" s="17">
        <f>IF(B1089="","",B1089+(6*1000+88)/10000000)</f>
        <v/>
      </c>
      <c r="B1089" s="23">
        <f>IF(AND(Brand_Log!AN89=1,OR(ISNUMBER(Brand_Log!R89),TRIM(Brand_Log!S89)&lt;&gt;"")),Brand_Log!G89,"")</f>
        <v/>
      </c>
      <c r="C1089" s="17">
        <f>IF(B1089="","","brand")</f>
        <v/>
      </c>
      <c r="D1089" s="17">
        <f>IF(B1089="","",Brand_Log!$A89&amp;"")</f>
        <v/>
      </c>
      <c r="E1089" s="17">
        <f>IF(B1089="","",IF(Brand_Log!B89="","",Brand_Log!B89&amp;""))</f>
        <v/>
      </c>
      <c r="F1089" s="17">
        <f>IF(B1089="","","budget_probe")</f>
        <v/>
      </c>
      <c r="G1089" s="17">
        <f>IF(B1089="","",IF(ISNUMBER(Brand_Log!R89),Brand_Log!R89,""))</f>
        <v/>
      </c>
      <c r="H1089" s="17">
        <f>IF(B1089="","",IF(Brand_Log!S89="","",Brand_Log!S89&amp;""))</f>
        <v/>
      </c>
      <c r="I1089" s="17">
        <f>IF(B1089="","",IF(Brand_Log!N89="","",Brand_Log!N89&amp;""))</f>
        <v/>
      </c>
      <c r="J1089" s="17">
        <f>IF(B1089="","",IF(Brand_Log!T89="","","before_1500; "&amp;Brand_Log!T89))</f>
        <v/>
      </c>
      <c r="K1089" t="inlineStr">
        <is>
          <t>brand budget_probe before $1,500</t>
        </is>
      </c>
    </row>
    <row r="1090">
      <c r="A1090" s="17">
        <f>IF(B1090="","",B1090+(6*1000+89)/10000000)</f>
        <v/>
      </c>
      <c r="B1090" s="23">
        <f>IF(AND(Brand_Log!AN90=1,OR(ISNUMBER(Brand_Log!R90),TRIM(Brand_Log!S90)&lt;&gt;"")),Brand_Log!G90,"")</f>
        <v/>
      </c>
      <c r="C1090" s="17">
        <f>IF(B1090="","","brand")</f>
        <v/>
      </c>
      <c r="D1090" s="17">
        <f>IF(B1090="","",Brand_Log!$A90&amp;"")</f>
        <v/>
      </c>
      <c r="E1090" s="17">
        <f>IF(B1090="","",IF(Brand_Log!B90="","",Brand_Log!B90&amp;""))</f>
        <v/>
      </c>
      <c r="F1090" s="17">
        <f>IF(B1090="","","budget_probe")</f>
        <v/>
      </c>
      <c r="G1090" s="17">
        <f>IF(B1090="","",IF(ISNUMBER(Brand_Log!R90),Brand_Log!R90,""))</f>
        <v/>
      </c>
      <c r="H1090" s="17">
        <f>IF(B1090="","",IF(Brand_Log!S90="","",Brand_Log!S90&amp;""))</f>
        <v/>
      </c>
      <c r="I1090" s="17">
        <f>IF(B1090="","",IF(Brand_Log!N90="","",Brand_Log!N90&amp;""))</f>
        <v/>
      </c>
      <c r="J1090" s="17">
        <f>IF(B1090="","",IF(Brand_Log!T90="","","before_1500; "&amp;Brand_Log!T90))</f>
        <v/>
      </c>
      <c r="K1090" t="inlineStr">
        <is>
          <t>brand budget_probe before $1,500</t>
        </is>
      </c>
    </row>
    <row r="1091">
      <c r="A1091" s="17">
        <f>IF(B1091="","",B1091+(6*1000+90)/10000000)</f>
        <v/>
      </c>
      <c r="B1091" s="23">
        <f>IF(AND(Brand_Log!AN91=1,OR(ISNUMBER(Brand_Log!R91),TRIM(Brand_Log!S91)&lt;&gt;"")),Brand_Log!G91,"")</f>
        <v/>
      </c>
      <c r="C1091" s="17">
        <f>IF(B1091="","","brand")</f>
        <v/>
      </c>
      <c r="D1091" s="17">
        <f>IF(B1091="","",Brand_Log!$A91&amp;"")</f>
        <v/>
      </c>
      <c r="E1091" s="17">
        <f>IF(B1091="","",IF(Brand_Log!B91="","",Brand_Log!B91&amp;""))</f>
        <v/>
      </c>
      <c r="F1091" s="17">
        <f>IF(B1091="","","budget_probe")</f>
        <v/>
      </c>
      <c r="G1091" s="17">
        <f>IF(B1091="","",IF(ISNUMBER(Brand_Log!R91),Brand_Log!R91,""))</f>
        <v/>
      </c>
      <c r="H1091" s="17">
        <f>IF(B1091="","",IF(Brand_Log!S91="","",Brand_Log!S91&amp;""))</f>
        <v/>
      </c>
      <c r="I1091" s="17">
        <f>IF(B1091="","",IF(Brand_Log!N91="","",Brand_Log!N91&amp;""))</f>
        <v/>
      </c>
      <c r="J1091" s="17">
        <f>IF(B1091="","",IF(Brand_Log!T91="","","before_1500; "&amp;Brand_Log!T91))</f>
        <v/>
      </c>
      <c r="K1091" t="inlineStr">
        <is>
          <t>brand budget_probe before $1,500</t>
        </is>
      </c>
    </row>
    <row r="1092">
      <c r="A1092" s="17">
        <f>IF(B1092="","",B1092+(6*1000+91)/10000000)</f>
        <v/>
      </c>
      <c r="B1092" s="23">
        <f>IF(AND(Brand_Log!AN92=1,OR(ISNUMBER(Brand_Log!R92),TRIM(Brand_Log!S92)&lt;&gt;"")),Brand_Log!G92,"")</f>
        <v/>
      </c>
      <c r="C1092" s="17">
        <f>IF(B1092="","","brand")</f>
        <v/>
      </c>
      <c r="D1092" s="17">
        <f>IF(B1092="","",Brand_Log!$A92&amp;"")</f>
        <v/>
      </c>
      <c r="E1092" s="17">
        <f>IF(B1092="","",IF(Brand_Log!B92="","",Brand_Log!B92&amp;""))</f>
        <v/>
      </c>
      <c r="F1092" s="17">
        <f>IF(B1092="","","budget_probe")</f>
        <v/>
      </c>
      <c r="G1092" s="17">
        <f>IF(B1092="","",IF(ISNUMBER(Brand_Log!R92),Brand_Log!R92,""))</f>
        <v/>
      </c>
      <c r="H1092" s="17">
        <f>IF(B1092="","",IF(Brand_Log!S92="","",Brand_Log!S92&amp;""))</f>
        <v/>
      </c>
      <c r="I1092" s="17">
        <f>IF(B1092="","",IF(Brand_Log!N92="","",Brand_Log!N92&amp;""))</f>
        <v/>
      </c>
      <c r="J1092" s="17">
        <f>IF(B1092="","",IF(Brand_Log!T92="","","before_1500; "&amp;Brand_Log!T92))</f>
        <v/>
      </c>
      <c r="K1092" t="inlineStr">
        <is>
          <t>brand budget_probe before $1,500</t>
        </is>
      </c>
    </row>
    <row r="1093">
      <c r="A1093" s="17">
        <f>IF(B1093="","",B1093+(6*1000+92)/10000000)</f>
        <v/>
      </c>
      <c r="B1093" s="23">
        <f>IF(AND(Brand_Log!AN93=1,OR(ISNUMBER(Brand_Log!R93),TRIM(Brand_Log!S93)&lt;&gt;"")),Brand_Log!G93,"")</f>
        <v/>
      </c>
      <c r="C1093" s="17">
        <f>IF(B1093="","","brand")</f>
        <v/>
      </c>
      <c r="D1093" s="17">
        <f>IF(B1093="","",Brand_Log!$A93&amp;"")</f>
        <v/>
      </c>
      <c r="E1093" s="17">
        <f>IF(B1093="","",IF(Brand_Log!B93="","",Brand_Log!B93&amp;""))</f>
        <v/>
      </c>
      <c r="F1093" s="17">
        <f>IF(B1093="","","budget_probe")</f>
        <v/>
      </c>
      <c r="G1093" s="17">
        <f>IF(B1093="","",IF(ISNUMBER(Brand_Log!R93),Brand_Log!R93,""))</f>
        <v/>
      </c>
      <c r="H1093" s="17">
        <f>IF(B1093="","",IF(Brand_Log!S93="","",Brand_Log!S93&amp;""))</f>
        <v/>
      </c>
      <c r="I1093" s="17">
        <f>IF(B1093="","",IF(Brand_Log!N93="","",Brand_Log!N93&amp;""))</f>
        <v/>
      </c>
      <c r="J1093" s="17">
        <f>IF(B1093="","",IF(Brand_Log!T93="","","before_1500; "&amp;Brand_Log!T93))</f>
        <v/>
      </c>
      <c r="K1093" t="inlineStr">
        <is>
          <t>brand budget_probe before $1,500</t>
        </is>
      </c>
    </row>
    <row r="1094">
      <c r="A1094" s="17">
        <f>IF(B1094="","",B1094+(6*1000+93)/10000000)</f>
        <v/>
      </c>
      <c r="B1094" s="23">
        <f>IF(AND(Brand_Log!AN94=1,OR(ISNUMBER(Brand_Log!R94),TRIM(Brand_Log!S94)&lt;&gt;"")),Brand_Log!G94,"")</f>
        <v/>
      </c>
      <c r="C1094" s="17">
        <f>IF(B1094="","","brand")</f>
        <v/>
      </c>
      <c r="D1094" s="17">
        <f>IF(B1094="","",Brand_Log!$A94&amp;"")</f>
        <v/>
      </c>
      <c r="E1094" s="17">
        <f>IF(B1094="","",IF(Brand_Log!B94="","",Brand_Log!B94&amp;""))</f>
        <v/>
      </c>
      <c r="F1094" s="17">
        <f>IF(B1094="","","budget_probe")</f>
        <v/>
      </c>
      <c r="G1094" s="17">
        <f>IF(B1094="","",IF(ISNUMBER(Brand_Log!R94),Brand_Log!R94,""))</f>
        <v/>
      </c>
      <c r="H1094" s="17">
        <f>IF(B1094="","",IF(Brand_Log!S94="","",Brand_Log!S94&amp;""))</f>
        <v/>
      </c>
      <c r="I1094" s="17">
        <f>IF(B1094="","",IF(Brand_Log!N94="","",Brand_Log!N94&amp;""))</f>
        <v/>
      </c>
      <c r="J1094" s="17">
        <f>IF(B1094="","",IF(Brand_Log!T94="","","before_1500; "&amp;Brand_Log!T94))</f>
        <v/>
      </c>
      <c r="K1094" t="inlineStr">
        <is>
          <t>brand budget_probe before $1,500</t>
        </is>
      </c>
    </row>
    <row r="1095">
      <c r="A1095" s="17">
        <f>IF(B1095="","",B1095+(6*1000+94)/10000000)</f>
        <v/>
      </c>
      <c r="B1095" s="23">
        <f>IF(AND(Brand_Log!AN95=1,OR(ISNUMBER(Brand_Log!R95),TRIM(Brand_Log!S95)&lt;&gt;"")),Brand_Log!G95,"")</f>
        <v/>
      </c>
      <c r="C1095" s="17">
        <f>IF(B1095="","","brand")</f>
        <v/>
      </c>
      <c r="D1095" s="17">
        <f>IF(B1095="","",Brand_Log!$A95&amp;"")</f>
        <v/>
      </c>
      <c r="E1095" s="17">
        <f>IF(B1095="","",IF(Brand_Log!B95="","",Brand_Log!B95&amp;""))</f>
        <v/>
      </c>
      <c r="F1095" s="17">
        <f>IF(B1095="","","budget_probe")</f>
        <v/>
      </c>
      <c r="G1095" s="17">
        <f>IF(B1095="","",IF(ISNUMBER(Brand_Log!R95),Brand_Log!R95,""))</f>
        <v/>
      </c>
      <c r="H1095" s="17">
        <f>IF(B1095="","",IF(Brand_Log!S95="","",Brand_Log!S95&amp;""))</f>
        <v/>
      </c>
      <c r="I1095" s="17">
        <f>IF(B1095="","",IF(Brand_Log!N95="","",Brand_Log!N95&amp;""))</f>
        <v/>
      </c>
      <c r="J1095" s="17">
        <f>IF(B1095="","",IF(Brand_Log!T95="","","before_1500; "&amp;Brand_Log!T95))</f>
        <v/>
      </c>
      <c r="K1095" t="inlineStr">
        <is>
          <t>brand budget_probe before $1,500</t>
        </is>
      </c>
    </row>
    <row r="1096">
      <c r="A1096" s="17">
        <f>IF(B1096="","",B1096+(6*1000+95)/10000000)</f>
        <v/>
      </c>
      <c r="B1096" s="23">
        <f>IF(AND(Brand_Log!AN96=1,OR(ISNUMBER(Brand_Log!R96),TRIM(Brand_Log!S96)&lt;&gt;"")),Brand_Log!G96,"")</f>
        <v/>
      </c>
      <c r="C1096" s="17">
        <f>IF(B1096="","","brand")</f>
        <v/>
      </c>
      <c r="D1096" s="17">
        <f>IF(B1096="","",Brand_Log!$A96&amp;"")</f>
        <v/>
      </c>
      <c r="E1096" s="17">
        <f>IF(B1096="","",IF(Brand_Log!B96="","",Brand_Log!B96&amp;""))</f>
        <v/>
      </c>
      <c r="F1096" s="17">
        <f>IF(B1096="","","budget_probe")</f>
        <v/>
      </c>
      <c r="G1096" s="17">
        <f>IF(B1096="","",IF(ISNUMBER(Brand_Log!R96),Brand_Log!R96,""))</f>
        <v/>
      </c>
      <c r="H1096" s="17">
        <f>IF(B1096="","",IF(Brand_Log!S96="","",Brand_Log!S96&amp;""))</f>
        <v/>
      </c>
      <c r="I1096" s="17">
        <f>IF(B1096="","",IF(Brand_Log!N96="","",Brand_Log!N96&amp;""))</f>
        <v/>
      </c>
      <c r="J1096" s="17">
        <f>IF(B1096="","",IF(Brand_Log!T96="","","before_1500; "&amp;Brand_Log!T96))</f>
        <v/>
      </c>
      <c r="K1096" t="inlineStr">
        <is>
          <t>brand budget_probe before $1,500</t>
        </is>
      </c>
    </row>
    <row r="1097">
      <c r="A1097" s="17">
        <f>IF(B1097="","",B1097+(6*1000+96)/10000000)</f>
        <v/>
      </c>
      <c r="B1097" s="23">
        <f>IF(AND(Brand_Log!AN97=1,OR(ISNUMBER(Brand_Log!R97),TRIM(Brand_Log!S97)&lt;&gt;"")),Brand_Log!G97,"")</f>
        <v/>
      </c>
      <c r="C1097" s="17">
        <f>IF(B1097="","","brand")</f>
        <v/>
      </c>
      <c r="D1097" s="17">
        <f>IF(B1097="","",Brand_Log!$A97&amp;"")</f>
        <v/>
      </c>
      <c r="E1097" s="17">
        <f>IF(B1097="","",IF(Brand_Log!B97="","",Brand_Log!B97&amp;""))</f>
        <v/>
      </c>
      <c r="F1097" s="17">
        <f>IF(B1097="","","budget_probe")</f>
        <v/>
      </c>
      <c r="G1097" s="17">
        <f>IF(B1097="","",IF(ISNUMBER(Brand_Log!R97),Brand_Log!R97,""))</f>
        <v/>
      </c>
      <c r="H1097" s="17">
        <f>IF(B1097="","",IF(Brand_Log!S97="","",Brand_Log!S97&amp;""))</f>
        <v/>
      </c>
      <c r="I1097" s="17">
        <f>IF(B1097="","",IF(Brand_Log!N97="","",Brand_Log!N97&amp;""))</f>
        <v/>
      </c>
      <c r="J1097" s="17">
        <f>IF(B1097="","",IF(Brand_Log!T97="","","before_1500; "&amp;Brand_Log!T97))</f>
        <v/>
      </c>
      <c r="K1097" t="inlineStr">
        <is>
          <t>brand budget_probe before $1,500</t>
        </is>
      </c>
    </row>
    <row r="1098">
      <c r="A1098" s="17">
        <f>IF(B1098="","",B1098+(6*1000+97)/10000000)</f>
        <v/>
      </c>
      <c r="B1098" s="23">
        <f>IF(AND(Brand_Log!AN98=1,OR(ISNUMBER(Brand_Log!R98),TRIM(Brand_Log!S98)&lt;&gt;"")),Brand_Log!G98,"")</f>
        <v/>
      </c>
      <c r="C1098" s="17">
        <f>IF(B1098="","","brand")</f>
        <v/>
      </c>
      <c r="D1098" s="17">
        <f>IF(B1098="","",Brand_Log!$A98&amp;"")</f>
        <v/>
      </c>
      <c r="E1098" s="17">
        <f>IF(B1098="","",IF(Brand_Log!B98="","",Brand_Log!B98&amp;""))</f>
        <v/>
      </c>
      <c r="F1098" s="17">
        <f>IF(B1098="","","budget_probe")</f>
        <v/>
      </c>
      <c r="G1098" s="17">
        <f>IF(B1098="","",IF(ISNUMBER(Brand_Log!R98),Brand_Log!R98,""))</f>
        <v/>
      </c>
      <c r="H1098" s="17">
        <f>IF(B1098="","",IF(Brand_Log!S98="","",Brand_Log!S98&amp;""))</f>
        <v/>
      </c>
      <c r="I1098" s="17">
        <f>IF(B1098="","",IF(Brand_Log!N98="","",Brand_Log!N98&amp;""))</f>
        <v/>
      </c>
      <c r="J1098" s="17">
        <f>IF(B1098="","",IF(Brand_Log!T98="","","before_1500; "&amp;Brand_Log!T98))</f>
        <v/>
      </c>
      <c r="K1098" t="inlineStr">
        <is>
          <t>brand budget_probe before $1,500</t>
        </is>
      </c>
    </row>
    <row r="1099">
      <c r="A1099" s="17">
        <f>IF(B1099="","",B1099+(6*1000+98)/10000000)</f>
        <v/>
      </c>
      <c r="B1099" s="23">
        <f>IF(AND(Brand_Log!AN99=1,OR(ISNUMBER(Brand_Log!R99),TRIM(Brand_Log!S99)&lt;&gt;"")),Brand_Log!G99,"")</f>
        <v/>
      </c>
      <c r="C1099" s="17">
        <f>IF(B1099="","","brand")</f>
        <v/>
      </c>
      <c r="D1099" s="17">
        <f>IF(B1099="","",Brand_Log!$A99&amp;"")</f>
        <v/>
      </c>
      <c r="E1099" s="17">
        <f>IF(B1099="","",IF(Brand_Log!B99="","",Brand_Log!B99&amp;""))</f>
        <v/>
      </c>
      <c r="F1099" s="17">
        <f>IF(B1099="","","budget_probe")</f>
        <v/>
      </c>
      <c r="G1099" s="17">
        <f>IF(B1099="","",IF(ISNUMBER(Brand_Log!R99),Brand_Log!R99,""))</f>
        <v/>
      </c>
      <c r="H1099" s="17">
        <f>IF(B1099="","",IF(Brand_Log!S99="","",Brand_Log!S99&amp;""))</f>
        <v/>
      </c>
      <c r="I1099" s="17">
        <f>IF(B1099="","",IF(Brand_Log!N99="","",Brand_Log!N99&amp;""))</f>
        <v/>
      </c>
      <c r="J1099" s="17">
        <f>IF(B1099="","",IF(Brand_Log!T99="","","before_1500; "&amp;Brand_Log!T99))</f>
        <v/>
      </c>
      <c r="K1099" t="inlineStr">
        <is>
          <t>brand budget_probe before $1,500</t>
        </is>
      </c>
    </row>
    <row r="1100">
      <c r="A1100" s="17">
        <f>IF(B1100="","",B1100+(6*1000+99)/10000000)</f>
        <v/>
      </c>
      <c r="B1100" s="23">
        <f>IF(AND(Brand_Log!AN100=1,OR(ISNUMBER(Brand_Log!R100),TRIM(Brand_Log!S100)&lt;&gt;"")),Brand_Log!G100,"")</f>
        <v/>
      </c>
      <c r="C1100" s="17">
        <f>IF(B1100="","","brand")</f>
        <v/>
      </c>
      <c r="D1100" s="17">
        <f>IF(B1100="","",Brand_Log!$A100&amp;"")</f>
        <v/>
      </c>
      <c r="E1100" s="17">
        <f>IF(B1100="","",IF(Brand_Log!B100="","",Brand_Log!B100&amp;""))</f>
        <v/>
      </c>
      <c r="F1100" s="17">
        <f>IF(B1100="","","budget_probe")</f>
        <v/>
      </c>
      <c r="G1100" s="17">
        <f>IF(B1100="","",IF(ISNUMBER(Brand_Log!R100),Brand_Log!R100,""))</f>
        <v/>
      </c>
      <c r="H1100" s="17">
        <f>IF(B1100="","",IF(Brand_Log!S100="","",Brand_Log!S100&amp;""))</f>
        <v/>
      </c>
      <c r="I1100" s="17">
        <f>IF(B1100="","",IF(Brand_Log!N100="","",Brand_Log!N100&amp;""))</f>
        <v/>
      </c>
      <c r="J1100" s="17">
        <f>IF(B1100="","",IF(Brand_Log!T100="","","before_1500; "&amp;Brand_Log!T100))</f>
        <v/>
      </c>
      <c r="K1100" t="inlineStr">
        <is>
          <t>brand budget_probe before $1,500</t>
        </is>
      </c>
    </row>
    <row r="1101">
      <c r="A1101" s="17">
        <f>IF(B1101="","",B1101+(6*1000+100)/10000000)</f>
        <v/>
      </c>
      <c r="B1101" s="23">
        <f>IF(AND(Brand_Log!AN101=1,OR(ISNUMBER(Brand_Log!R101),TRIM(Brand_Log!S101)&lt;&gt;"")),Brand_Log!G101,"")</f>
        <v/>
      </c>
      <c r="C1101" s="17">
        <f>IF(B1101="","","brand")</f>
        <v/>
      </c>
      <c r="D1101" s="17">
        <f>IF(B1101="","",Brand_Log!$A101&amp;"")</f>
        <v/>
      </c>
      <c r="E1101" s="17">
        <f>IF(B1101="","",IF(Brand_Log!B101="","",Brand_Log!B101&amp;""))</f>
        <v/>
      </c>
      <c r="F1101" s="17">
        <f>IF(B1101="","","budget_probe")</f>
        <v/>
      </c>
      <c r="G1101" s="17">
        <f>IF(B1101="","",IF(ISNUMBER(Brand_Log!R101),Brand_Log!R101,""))</f>
        <v/>
      </c>
      <c r="H1101" s="17">
        <f>IF(B1101="","",IF(Brand_Log!S101="","",Brand_Log!S101&amp;""))</f>
        <v/>
      </c>
      <c r="I1101" s="17">
        <f>IF(B1101="","",IF(Brand_Log!N101="","",Brand_Log!N101&amp;""))</f>
        <v/>
      </c>
      <c r="J1101" s="17">
        <f>IF(B1101="","",IF(Brand_Log!T101="","","before_1500; "&amp;Brand_Log!T101))</f>
        <v/>
      </c>
      <c r="K1101" t="inlineStr">
        <is>
          <t>brand budget_probe before $1,500</t>
        </is>
      </c>
    </row>
    <row r="1102">
      <c r="A1102" s="17">
        <f>IF(B1102="","",B1102+(6*1000+101)/10000000)</f>
        <v/>
      </c>
      <c r="B1102" s="23">
        <f>IF(AND(Brand_Log!AN102=1,OR(ISNUMBER(Brand_Log!R102),TRIM(Brand_Log!S102)&lt;&gt;"")),Brand_Log!G102,"")</f>
        <v/>
      </c>
      <c r="C1102" s="17">
        <f>IF(B1102="","","brand")</f>
        <v/>
      </c>
      <c r="D1102" s="17">
        <f>IF(B1102="","",Brand_Log!$A102&amp;"")</f>
        <v/>
      </c>
      <c r="E1102" s="17">
        <f>IF(B1102="","",IF(Brand_Log!B102="","",Brand_Log!B102&amp;""))</f>
        <v/>
      </c>
      <c r="F1102" s="17">
        <f>IF(B1102="","","budget_probe")</f>
        <v/>
      </c>
      <c r="G1102" s="17">
        <f>IF(B1102="","",IF(ISNUMBER(Brand_Log!R102),Brand_Log!R102,""))</f>
        <v/>
      </c>
      <c r="H1102" s="17">
        <f>IF(B1102="","",IF(Brand_Log!S102="","",Brand_Log!S102&amp;""))</f>
        <v/>
      </c>
      <c r="I1102" s="17">
        <f>IF(B1102="","",IF(Brand_Log!N102="","",Brand_Log!N102&amp;""))</f>
        <v/>
      </c>
      <c r="J1102" s="17">
        <f>IF(B1102="","",IF(Brand_Log!T102="","","before_1500; "&amp;Brand_Log!T102))</f>
        <v/>
      </c>
      <c r="K1102" t="inlineStr">
        <is>
          <t>brand budget_probe before $1,500</t>
        </is>
      </c>
    </row>
    <row r="1103">
      <c r="A1103" s="17">
        <f>IF(B1103="","",B1103+(6*1000+102)/10000000)</f>
        <v/>
      </c>
      <c r="B1103" s="23">
        <f>IF(AND(Brand_Log!AN103=1,OR(ISNUMBER(Brand_Log!R103),TRIM(Brand_Log!S103)&lt;&gt;"")),Brand_Log!G103,"")</f>
        <v/>
      </c>
      <c r="C1103" s="17">
        <f>IF(B1103="","","brand")</f>
        <v/>
      </c>
      <c r="D1103" s="17">
        <f>IF(B1103="","",Brand_Log!$A103&amp;"")</f>
        <v/>
      </c>
      <c r="E1103" s="17">
        <f>IF(B1103="","",IF(Brand_Log!B103="","",Brand_Log!B103&amp;""))</f>
        <v/>
      </c>
      <c r="F1103" s="17">
        <f>IF(B1103="","","budget_probe")</f>
        <v/>
      </c>
      <c r="G1103" s="17">
        <f>IF(B1103="","",IF(ISNUMBER(Brand_Log!R103),Brand_Log!R103,""))</f>
        <v/>
      </c>
      <c r="H1103" s="17">
        <f>IF(B1103="","",IF(Brand_Log!S103="","",Brand_Log!S103&amp;""))</f>
        <v/>
      </c>
      <c r="I1103" s="17">
        <f>IF(B1103="","",IF(Brand_Log!N103="","",Brand_Log!N103&amp;""))</f>
        <v/>
      </c>
      <c r="J1103" s="17">
        <f>IF(B1103="","",IF(Brand_Log!T103="","","before_1500; "&amp;Brand_Log!T103))</f>
        <v/>
      </c>
      <c r="K1103" t="inlineStr">
        <is>
          <t>brand budget_probe before $1,500</t>
        </is>
      </c>
    </row>
    <row r="1104">
      <c r="A1104" s="17">
        <f>IF(B1104="","",B1104+(6*1000+103)/10000000)</f>
        <v/>
      </c>
      <c r="B1104" s="23">
        <f>IF(AND(Brand_Log!AN104=1,OR(ISNUMBER(Brand_Log!R104),TRIM(Brand_Log!S104)&lt;&gt;"")),Brand_Log!G104,"")</f>
        <v/>
      </c>
      <c r="C1104" s="17">
        <f>IF(B1104="","","brand")</f>
        <v/>
      </c>
      <c r="D1104" s="17">
        <f>IF(B1104="","",Brand_Log!$A104&amp;"")</f>
        <v/>
      </c>
      <c r="E1104" s="17">
        <f>IF(B1104="","",IF(Brand_Log!B104="","",Brand_Log!B104&amp;""))</f>
        <v/>
      </c>
      <c r="F1104" s="17">
        <f>IF(B1104="","","budget_probe")</f>
        <v/>
      </c>
      <c r="G1104" s="17">
        <f>IF(B1104="","",IF(ISNUMBER(Brand_Log!R104),Brand_Log!R104,""))</f>
        <v/>
      </c>
      <c r="H1104" s="17">
        <f>IF(B1104="","",IF(Brand_Log!S104="","",Brand_Log!S104&amp;""))</f>
        <v/>
      </c>
      <c r="I1104" s="17">
        <f>IF(B1104="","",IF(Brand_Log!N104="","",Brand_Log!N104&amp;""))</f>
        <v/>
      </c>
      <c r="J1104" s="17">
        <f>IF(B1104="","",IF(Brand_Log!T104="","","before_1500; "&amp;Brand_Log!T104))</f>
        <v/>
      </c>
      <c r="K1104" t="inlineStr">
        <is>
          <t>brand budget_probe before $1,500</t>
        </is>
      </c>
    </row>
    <row r="1105">
      <c r="A1105" s="17">
        <f>IF(B1105="","",B1105+(6*1000+104)/10000000)</f>
        <v/>
      </c>
      <c r="B1105" s="23">
        <f>IF(AND(Brand_Log!AN105=1,OR(ISNUMBER(Brand_Log!R105),TRIM(Brand_Log!S105)&lt;&gt;"")),Brand_Log!G105,"")</f>
        <v/>
      </c>
      <c r="C1105" s="17">
        <f>IF(B1105="","","brand")</f>
        <v/>
      </c>
      <c r="D1105" s="17">
        <f>IF(B1105="","",Brand_Log!$A105&amp;"")</f>
        <v/>
      </c>
      <c r="E1105" s="17">
        <f>IF(B1105="","",IF(Brand_Log!B105="","",Brand_Log!B105&amp;""))</f>
        <v/>
      </c>
      <c r="F1105" s="17">
        <f>IF(B1105="","","budget_probe")</f>
        <v/>
      </c>
      <c r="G1105" s="17">
        <f>IF(B1105="","",IF(ISNUMBER(Brand_Log!R105),Brand_Log!R105,""))</f>
        <v/>
      </c>
      <c r="H1105" s="17">
        <f>IF(B1105="","",IF(Brand_Log!S105="","",Brand_Log!S105&amp;""))</f>
        <v/>
      </c>
      <c r="I1105" s="17">
        <f>IF(B1105="","",IF(Brand_Log!N105="","",Brand_Log!N105&amp;""))</f>
        <v/>
      </c>
      <c r="J1105" s="17">
        <f>IF(B1105="","",IF(Brand_Log!T105="","","before_1500; "&amp;Brand_Log!T105))</f>
        <v/>
      </c>
      <c r="K1105" t="inlineStr">
        <is>
          <t>brand budget_probe before $1,500</t>
        </is>
      </c>
    </row>
    <row r="1106">
      <c r="A1106" s="17">
        <f>IF(B1106="","",B1106+(6*1000+105)/10000000)</f>
        <v/>
      </c>
      <c r="B1106" s="23">
        <f>IF(AND(Brand_Log!AN106=1,OR(ISNUMBER(Brand_Log!R106),TRIM(Brand_Log!S106)&lt;&gt;"")),Brand_Log!G106,"")</f>
        <v/>
      </c>
      <c r="C1106" s="17">
        <f>IF(B1106="","","brand")</f>
        <v/>
      </c>
      <c r="D1106" s="17">
        <f>IF(B1106="","",Brand_Log!$A106&amp;"")</f>
        <v/>
      </c>
      <c r="E1106" s="17">
        <f>IF(B1106="","",IF(Brand_Log!B106="","",Brand_Log!B106&amp;""))</f>
        <v/>
      </c>
      <c r="F1106" s="17">
        <f>IF(B1106="","","budget_probe")</f>
        <v/>
      </c>
      <c r="G1106" s="17">
        <f>IF(B1106="","",IF(ISNUMBER(Brand_Log!R106),Brand_Log!R106,""))</f>
        <v/>
      </c>
      <c r="H1106" s="17">
        <f>IF(B1106="","",IF(Brand_Log!S106="","",Brand_Log!S106&amp;""))</f>
        <v/>
      </c>
      <c r="I1106" s="17">
        <f>IF(B1106="","",IF(Brand_Log!N106="","",Brand_Log!N106&amp;""))</f>
        <v/>
      </c>
      <c r="J1106" s="17">
        <f>IF(B1106="","",IF(Brand_Log!T106="","","before_1500; "&amp;Brand_Log!T106))</f>
        <v/>
      </c>
      <c r="K1106" t="inlineStr">
        <is>
          <t>brand budget_probe before $1,500</t>
        </is>
      </c>
    </row>
    <row r="1107">
      <c r="A1107" s="17">
        <f>IF(B1107="","",B1107+(6*1000+106)/10000000)</f>
        <v/>
      </c>
      <c r="B1107" s="23">
        <f>IF(AND(Brand_Log!AN107=1,OR(ISNUMBER(Brand_Log!R107),TRIM(Brand_Log!S107)&lt;&gt;"")),Brand_Log!G107,"")</f>
        <v/>
      </c>
      <c r="C1107" s="17">
        <f>IF(B1107="","","brand")</f>
        <v/>
      </c>
      <c r="D1107" s="17">
        <f>IF(B1107="","",Brand_Log!$A107&amp;"")</f>
        <v/>
      </c>
      <c r="E1107" s="17">
        <f>IF(B1107="","",IF(Brand_Log!B107="","",Brand_Log!B107&amp;""))</f>
        <v/>
      </c>
      <c r="F1107" s="17">
        <f>IF(B1107="","","budget_probe")</f>
        <v/>
      </c>
      <c r="G1107" s="17">
        <f>IF(B1107="","",IF(ISNUMBER(Brand_Log!R107),Brand_Log!R107,""))</f>
        <v/>
      </c>
      <c r="H1107" s="17">
        <f>IF(B1107="","",IF(Brand_Log!S107="","",Brand_Log!S107&amp;""))</f>
        <v/>
      </c>
      <c r="I1107" s="17">
        <f>IF(B1107="","",IF(Brand_Log!N107="","",Brand_Log!N107&amp;""))</f>
        <v/>
      </c>
      <c r="J1107" s="17">
        <f>IF(B1107="","",IF(Brand_Log!T107="","","before_1500; "&amp;Brand_Log!T107))</f>
        <v/>
      </c>
      <c r="K1107" t="inlineStr">
        <is>
          <t>brand budget_probe before $1,500</t>
        </is>
      </c>
    </row>
    <row r="1108">
      <c r="A1108" s="17">
        <f>IF(B1108="","",B1108+(6*1000+107)/10000000)</f>
        <v/>
      </c>
      <c r="B1108" s="23">
        <f>IF(AND(Brand_Log!AN108=1,OR(ISNUMBER(Brand_Log!R108),TRIM(Brand_Log!S108)&lt;&gt;"")),Brand_Log!G108,"")</f>
        <v/>
      </c>
      <c r="C1108" s="17">
        <f>IF(B1108="","","brand")</f>
        <v/>
      </c>
      <c r="D1108" s="17">
        <f>IF(B1108="","",Brand_Log!$A108&amp;"")</f>
        <v/>
      </c>
      <c r="E1108" s="17">
        <f>IF(B1108="","",IF(Brand_Log!B108="","",Brand_Log!B108&amp;""))</f>
        <v/>
      </c>
      <c r="F1108" s="17">
        <f>IF(B1108="","","budget_probe")</f>
        <v/>
      </c>
      <c r="G1108" s="17">
        <f>IF(B1108="","",IF(ISNUMBER(Brand_Log!R108),Brand_Log!R108,""))</f>
        <v/>
      </c>
      <c r="H1108" s="17">
        <f>IF(B1108="","",IF(Brand_Log!S108="","",Brand_Log!S108&amp;""))</f>
        <v/>
      </c>
      <c r="I1108" s="17">
        <f>IF(B1108="","",IF(Brand_Log!N108="","",Brand_Log!N108&amp;""))</f>
        <v/>
      </c>
      <c r="J1108" s="17">
        <f>IF(B1108="","",IF(Brand_Log!T108="","","before_1500; "&amp;Brand_Log!T108))</f>
        <v/>
      </c>
      <c r="K1108" t="inlineStr">
        <is>
          <t>brand budget_probe before $1,500</t>
        </is>
      </c>
    </row>
    <row r="1109">
      <c r="A1109" s="17">
        <f>IF(B1109="","",B1109+(6*1000+108)/10000000)</f>
        <v/>
      </c>
      <c r="B1109" s="23">
        <f>IF(AND(Brand_Log!AN109=1,OR(ISNUMBER(Brand_Log!R109),TRIM(Brand_Log!S109)&lt;&gt;"")),Brand_Log!G109,"")</f>
        <v/>
      </c>
      <c r="C1109" s="17">
        <f>IF(B1109="","","brand")</f>
        <v/>
      </c>
      <c r="D1109" s="17">
        <f>IF(B1109="","",Brand_Log!$A109&amp;"")</f>
        <v/>
      </c>
      <c r="E1109" s="17">
        <f>IF(B1109="","",IF(Brand_Log!B109="","",Brand_Log!B109&amp;""))</f>
        <v/>
      </c>
      <c r="F1109" s="17">
        <f>IF(B1109="","","budget_probe")</f>
        <v/>
      </c>
      <c r="G1109" s="17">
        <f>IF(B1109="","",IF(ISNUMBER(Brand_Log!R109),Brand_Log!R109,""))</f>
        <v/>
      </c>
      <c r="H1109" s="17">
        <f>IF(B1109="","",IF(Brand_Log!S109="","",Brand_Log!S109&amp;""))</f>
        <v/>
      </c>
      <c r="I1109" s="17">
        <f>IF(B1109="","",IF(Brand_Log!N109="","",Brand_Log!N109&amp;""))</f>
        <v/>
      </c>
      <c r="J1109" s="17">
        <f>IF(B1109="","",IF(Brand_Log!T109="","","before_1500; "&amp;Brand_Log!T109))</f>
        <v/>
      </c>
      <c r="K1109" t="inlineStr">
        <is>
          <t>brand budget_probe before $1,500</t>
        </is>
      </c>
    </row>
    <row r="1110">
      <c r="A1110" s="17">
        <f>IF(B1110="","",B1110+(6*1000+109)/10000000)</f>
        <v/>
      </c>
      <c r="B1110" s="23">
        <f>IF(AND(Brand_Log!AN110=1,OR(ISNUMBER(Brand_Log!R110),TRIM(Brand_Log!S110)&lt;&gt;"")),Brand_Log!G110,"")</f>
        <v/>
      </c>
      <c r="C1110" s="17">
        <f>IF(B1110="","","brand")</f>
        <v/>
      </c>
      <c r="D1110" s="17">
        <f>IF(B1110="","",Brand_Log!$A110&amp;"")</f>
        <v/>
      </c>
      <c r="E1110" s="17">
        <f>IF(B1110="","",IF(Brand_Log!B110="","",Brand_Log!B110&amp;""))</f>
        <v/>
      </c>
      <c r="F1110" s="17">
        <f>IF(B1110="","","budget_probe")</f>
        <v/>
      </c>
      <c r="G1110" s="17">
        <f>IF(B1110="","",IF(ISNUMBER(Brand_Log!R110),Brand_Log!R110,""))</f>
        <v/>
      </c>
      <c r="H1110" s="17">
        <f>IF(B1110="","",IF(Brand_Log!S110="","",Brand_Log!S110&amp;""))</f>
        <v/>
      </c>
      <c r="I1110" s="17">
        <f>IF(B1110="","",IF(Brand_Log!N110="","",Brand_Log!N110&amp;""))</f>
        <v/>
      </c>
      <c r="J1110" s="17">
        <f>IF(B1110="","",IF(Brand_Log!T110="","","before_1500; "&amp;Brand_Log!T110))</f>
        <v/>
      </c>
      <c r="K1110" t="inlineStr">
        <is>
          <t>brand budget_probe before $1,500</t>
        </is>
      </c>
    </row>
    <row r="1111">
      <c r="A1111" s="17">
        <f>IF(B1111="","",B1111+(6*1000+110)/10000000)</f>
        <v/>
      </c>
      <c r="B1111" s="23">
        <f>IF(AND(Brand_Log!AN111=1,OR(ISNUMBER(Brand_Log!R111),TRIM(Brand_Log!S111)&lt;&gt;"")),Brand_Log!G111,"")</f>
        <v/>
      </c>
      <c r="C1111" s="17">
        <f>IF(B1111="","","brand")</f>
        <v/>
      </c>
      <c r="D1111" s="17">
        <f>IF(B1111="","",Brand_Log!$A111&amp;"")</f>
        <v/>
      </c>
      <c r="E1111" s="17">
        <f>IF(B1111="","",IF(Brand_Log!B111="","",Brand_Log!B111&amp;""))</f>
        <v/>
      </c>
      <c r="F1111" s="17">
        <f>IF(B1111="","","budget_probe")</f>
        <v/>
      </c>
      <c r="G1111" s="17">
        <f>IF(B1111="","",IF(ISNUMBER(Brand_Log!R111),Brand_Log!R111,""))</f>
        <v/>
      </c>
      <c r="H1111" s="17">
        <f>IF(B1111="","",IF(Brand_Log!S111="","",Brand_Log!S111&amp;""))</f>
        <v/>
      </c>
      <c r="I1111" s="17">
        <f>IF(B1111="","",IF(Brand_Log!N111="","",Brand_Log!N111&amp;""))</f>
        <v/>
      </c>
      <c r="J1111" s="17">
        <f>IF(B1111="","",IF(Brand_Log!T111="","","before_1500; "&amp;Brand_Log!T111))</f>
        <v/>
      </c>
      <c r="K1111" t="inlineStr">
        <is>
          <t>brand budget_probe before $1,500</t>
        </is>
      </c>
    </row>
    <row r="1112">
      <c r="A1112" s="17">
        <f>IF(B1112="","",B1112+(6*1000+111)/10000000)</f>
        <v/>
      </c>
      <c r="B1112" s="23">
        <f>IF(AND(Brand_Log!AN112=1,OR(ISNUMBER(Brand_Log!R112),TRIM(Brand_Log!S112)&lt;&gt;"")),Brand_Log!G112,"")</f>
        <v/>
      </c>
      <c r="C1112" s="17">
        <f>IF(B1112="","","brand")</f>
        <v/>
      </c>
      <c r="D1112" s="17">
        <f>IF(B1112="","",Brand_Log!$A112&amp;"")</f>
        <v/>
      </c>
      <c r="E1112" s="17">
        <f>IF(B1112="","",IF(Brand_Log!B112="","",Brand_Log!B112&amp;""))</f>
        <v/>
      </c>
      <c r="F1112" s="17">
        <f>IF(B1112="","","budget_probe")</f>
        <v/>
      </c>
      <c r="G1112" s="17">
        <f>IF(B1112="","",IF(ISNUMBER(Brand_Log!R112),Brand_Log!R112,""))</f>
        <v/>
      </c>
      <c r="H1112" s="17">
        <f>IF(B1112="","",IF(Brand_Log!S112="","",Brand_Log!S112&amp;""))</f>
        <v/>
      </c>
      <c r="I1112" s="17">
        <f>IF(B1112="","",IF(Brand_Log!N112="","",Brand_Log!N112&amp;""))</f>
        <v/>
      </c>
      <c r="J1112" s="17">
        <f>IF(B1112="","",IF(Brand_Log!T112="","","before_1500; "&amp;Brand_Log!T112))</f>
        <v/>
      </c>
      <c r="K1112" t="inlineStr">
        <is>
          <t>brand budget_probe before $1,500</t>
        </is>
      </c>
    </row>
    <row r="1113">
      <c r="A1113" s="17">
        <f>IF(B1113="","",B1113+(6*1000+112)/10000000)</f>
        <v/>
      </c>
      <c r="B1113" s="23">
        <f>IF(AND(Brand_Log!AN113=1,OR(ISNUMBER(Brand_Log!R113),TRIM(Brand_Log!S113)&lt;&gt;"")),Brand_Log!G113,"")</f>
        <v/>
      </c>
      <c r="C1113" s="17">
        <f>IF(B1113="","","brand")</f>
        <v/>
      </c>
      <c r="D1113" s="17">
        <f>IF(B1113="","",Brand_Log!$A113&amp;"")</f>
        <v/>
      </c>
      <c r="E1113" s="17">
        <f>IF(B1113="","",IF(Brand_Log!B113="","",Brand_Log!B113&amp;""))</f>
        <v/>
      </c>
      <c r="F1113" s="17">
        <f>IF(B1113="","","budget_probe")</f>
        <v/>
      </c>
      <c r="G1113" s="17">
        <f>IF(B1113="","",IF(ISNUMBER(Brand_Log!R113),Brand_Log!R113,""))</f>
        <v/>
      </c>
      <c r="H1113" s="17">
        <f>IF(B1113="","",IF(Brand_Log!S113="","",Brand_Log!S113&amp;""))</f>
        <v/>
      </c>
      <c r="I1113" s="17">
        <f>IF(B1113="","",IF(Brand_Log!N113="","",Brand_Log!N113&amp;""))</f>
        <v/>
      </c>
      <c r="J1113" s="17">
        <f>IF(B1113="","",IF(Brand_Log!T113="","","before_1500; "&amp;Brand_Log!T113))</f>
        <v/>
      </c>
      <c r="K1113" t="inlineStr">
        <is>
          <t>brand budget_probe before $1,500</t>
        </is>
      </c>
    </row>
    <row r="1114">
      <c r="A1114" s="17">
        <f>IF(B1114="","",B1114+(6*1000+113)/10000000)</f>
        <v/>
      </c>
      <c r="B1114" s="23">
        <f>IF(AND(Brand_Log!AN114=1,OR(ISNUMBER(Brand_Log!R114),TRIM(Brand_Log!S114)&lt;&gt;"")),Brand_Log!G114,"")</f>
        <v/>
      </c>
      <c r="C1114" s="17">
        <f>IF(B1114="","","brand")</f>
        <v/>
      </c>
      <c r="D1114" s="17">
        <f>IF(B1114="","",Brand_Log!$A114&amp;"")</f>
        <v/>
      </c>
      <c r="E1114" s="17">
        <f>IF(B1114="","",IF(Brand_Log!B114="","",Brand_Log!B114&amp;""))</f>
        <v/>
      </c>
      <c r="F1114" s="17">
        <f>IF(B1114="","","budget_probe")</f>
        <v/>
      </c>
      <c r="G1114" s="17">
        <f>IF(B1114="","",IF(ISNUMBER(Brand_Log!R114),Brand_Log!R114,""))</f>
        <v/>
      </c>
      <c r="H1114" s="17">
        <f>IF(B1114="","",IF(Brand_Log!S114="","",Brand_Log!S114&amp;""))</f>
        <v/>
      </c>
      <c r="I1114" s="17">
        <f>IF(B1114="","",IF(Brand_Log!N114="","",Brand_Log!N114&amp;""))</f>
        <v/>
      </c>
      <c r="J1114" s="17">
        <f>IF(B1114="","",IF(Brand_Log!T114="","","before_1500; "&amp;Brand_Log!T114))</f>
        <v/>
      </c>
      <c r="K1114" t="inlineStr">
        <is>
          <t>brand budget_probe before $1,500</t>
        </is>
      </c>
    </row>
    <row r="1115">
      <c r="A1115" s="17">
        <f>IF(B1115="","",B1115+(6*1000+114)/10000000)</f>
        <v/>
      </c>
      <c r="B1115" s="23">
        <f>IF(AND(Brand_Log!AN115=1,OR(ISNUMBER(Brand_Log!R115),TRIM(Brand_Log!S115)&lt;&gt;"")),Brand_Log!G115,"")</f>
        <v/>
      </c>
      <c r="C1115" s="17">
        <f>IF(B1115="","","brand")</f>
        <v/>
      </c>
      <c r="D1115" s="17">
        <f>IF(B1115="","",Brand_Log!$A115&amp;"")</f>
        <v/>
      </c>
      <c r="E1115" s="17">
        <f>IF(B1115="","",IF(Brand_Log!B115="","",Brand_Log!B115&amp;""))</f>
        <v/>
      </c>
      <c r="F1115" s="17">
        <f>IF(B1115="","","budget_probe")</f>
        <v/>
      </c>
      <c r="G1115" s="17">
        <f>IF(B1115="","",IF(ISNUMBER(Brand_Log!R115),Brand_Log!R115,""))</f>
        <v/>
      </c>
      <c r="H1115" s="17">
        <f>IF(B1115="","",IF(Brand_Log!S115="","",Brand_Log!S115&amp;""))</f>
        <v/>
      </c>
      <c r="I1115" s="17">
        <f>IF(B1115="","",IF(Brand_Log!N115="","",Brand_Log!N115&amp;""))</f>
        <v/>
      </c>
      <c r="J1115" s="17">
        <f>IF(B1115="","",IF(Brand_Log!T115="","","before_1500; "&amp;Brand_Log!T115))</f>
        <v/>
      </c>
      <c r="K1115" t="inlineStr">
        <is>
          <t>brand budget_probe before $1,500</t>
        </is>
      </c>
    </row>
    <row r="1116">
      <c r="A1116" s="17">
        <f>IF(B1116="","",B1116+(6*1000+115)/10000000)</f>
        <v/>
      </c>
      <c r="B1116" s="23">
        <f>IF(AND(Brand_Log!AN116=1,OR(ISNUMBER(Brand_Log!R116),TRIM(Brand_Log!S116)&lt;&gt;"")),Brand_Log!G116,"")</f>
        <v/>
      </c>
      <c r="C1116" s="17">
        <f>IF(B1116="","","brand")</f>
        <v/>
      </c>
      <c r="D1116" s="17">
        <f>IF(B1116="","",Brand_Log!$A116&amp;"")</f>
        <v/>
      </c>
      <c r="E1116" s="17">
        <f>IF(B1116="","",IF(Brand_Log!B116="","",Brand_Log!B116&amp;""))</f>
        <v/>
      </c>
      <c r="F1116" s="17">
        <f>IF(B1116="","","budget_probe")</f>
        <v/>
      </c>
      <c r="G1116" s="17">
        <f>IF(B1116="","",IF(ISNUMBER(Brand_Log!R116),Brand_Log!R116,""))</f>
        <v/>
      </c>
      <c r="H1116" s="17">
        <f>IF(B1116="","",IF(Brand_Log!S116="","",Brand_Log!S116&amp;""))</f>
        <v/>
      </c>
      <c r="I1116" s="17">
        <f>IF(B1116="","",IF(Brand_Log!N116="","",Brand_Log!N116&amp;""))</f>
        <v/>
      </c>
      <c r="J1116" s="17">
        <f>IF(B1116="","",IF(Brand_Log!T116="","","before_1500; "&amp;Brand_Log!T116))</f>
        <v/>
      </c>
      <c r="K1116" t="inlineStr">
        <is>
          <t>brand budget_probe before $1,500</t>
        </is>
      </c>
    </row>
    <row r="1117">
      <c r="A1117" s="17">
        <f>IF(B1117="","",B1117+(6*1000+116)/10000000)</f>
        <v/>
      </c>
      <c r="B1117" s="23">
        <f>IF(AND(Brand_Log!AN117=1,OR(ISNUMBER(Brand_Log!R117),TRIM(Brand_Log!S117)&lt;&gt;"")),Brand_Log!G117,"")</f>
        <v/>
      </c>
      <c r="C1117" s="17">
        <f>IF(B1117="","","brand")</f>
        <v/>
      </c>
      <c r="D1117" s="17">
        <f>IF(B1117="","",Brand_Log!$A117&amp;"")</f>
        <v/>
      </c>
      <c r="E1117" s="17">
        <f>IF(B1117="","",IF(Brand_Log!B117="","",Brand_Log!B117&amp;""))</f>
        <v/>
      </c>
      <c r="F1117" s="17">
        <f>IF(B1117="","","budget_probe")</f>
        <v/>
      </c>
      <c r="G1117" s="17">
        <f>IF(B1117="","",IF(ISNUMBER(Brand_Log!R117),Brand_Log!R117,""))</f>
        <v/>
      </c>
      <c r="H1117" s="17">
        <f>IF(B1117="","",IF(Brand_Log!S117="","",Brand_Log!S117&amp;""))</f>
        <v/>
      </c>
      <c r="I1117" s="17">
        <f>IF(B1117="","",IF(Brand_Log!N117="","",Brand_Log!N117&amp;""))</f>
        <v/>
      </c>
      <c r="J1117" s="17">
        <f>IF(B1117="","",IF(Brand_Log!T117="","","before_1500; "&amp;Brand_Log!T117))</f>
        <v/>
      </c>
      <c r="K1117" t="inlineStr">
        <is>
          <t>brand budget_probe before $1,500</t>
        </is>
      </c>
    </row>
    <row r="1118">
      <c r="A1118" s="17">
        <f>IF(B1118="","",B1118+(6*1000+117)/10000000)</f>
        <v/>
      </c>
      <c r="B1118" s="23">
        <f>IF(AND(Brand_Log!AN118=1,OR(ISNUMBER(Brand_Log!R118),TRIM(Brand_Log!S118)&lt;&gt;"")),Brand_Log!G118,"")</f>
        <v/>
      </c>
      <c r="C1118" s="17">
        <f>IF(B1118="","","brand")</f>
        <v/>
      </c>
      <c r="D1118" s="17">
        <f>IF(B1118="","",Brand_Log!$A118&amp;"")</f>
        <v/>
      </c>
      <c r="E1118" s="17">
        <f>IF(B1118="","",IF(Brand_Log!B118="","",Brand_Log!B118&amp;""))</f>
        <v/>
      </c>
      <c r="F1118" s="17">
        <f>IF(B1118="","","budget_probe")</f>
        <v/>
      </c>
      <c r="G1118" s="17">
        <f>IF(B1118="","",IF(ISNUMBER(Brand_Log!R118),Brand_Log!R118,""))</f>
        <v/>
      </c>
      <c r="H1118" s="17">
        <f>IF(B1118="","",IF(Brand_Log!S118="","",Brand_Log!S118&amp;""))</f>
        <v/>
      </c>
      <c r="I1118" s="17">
        <f>IF(B1118="","",IF(Brand_Log!N118="","",Brand_Log!N118&amp;""))</f>
        <v/>
      </c>
      <c r="J1118" s="17">
        <f>IF(B1118="","",IF(Brand_Log!T118="","","before_1500; "&amp;Brand_Log!T118))</f>
        <v/>
      </c>
      <c r="K1118" t="inlineStr">
        <is>
          <t>brand budget_probe before $1,500</t>
        </is>
      </c>
    </row>
    <row r="1119">
      <c r="A1119" s="17">
        <f>IF(B1119="","",B1119+(6*1000+118)/10000000)</f>
        <v/>
      </c>
      <c r="B1119" s="23">
        <f>IF(AND(Brand_Log!AN119=1,OR(ISNUMBER(Brand_Log!R119),TRIM(Brand_Log!S119)&lt;&gt;"")),Brand_Log!G119,"")</f>
        <v/>
      </c>
      <c r="C1119" s="17">
        <f>IF(B1119="","","brand")</f>
        <v/>
      </c>
      <c r="D1119" s="17">
        <f>IF(B1119="","",Brand_Log!$A119&amp;"")</f>
        <v/>
      </c>
      <c r="E1119" s="17">
        <f>IF(B1119="","",IF(Brand_Log!B119="","",Brand_Log!B119&amp;""))</f>
        <v/>
      </c>
      <c r="F1119" s="17">
        <f>IF(B1119="","","budget_probe")</f>
        <v/>
      </c>
      <c r="G1119" s="17">
        <f>IF(B1119="","",IF(ISNUMBER(Brand_Log!R119),Brand_Log!R119,""))</f>
        <v/>
      </c>
      <c r="H1119" s="17">
        <f>IF(B1119="","",IF(Brand_Log!S119="","",Brand_Log!S119&amp;""))</f>
        <v/>
      </c>
      <c r="I1119" s="17">
        <f>IF(B1119="","",IF(Brand_Log!N119="","",Brand_Log!N119&amp;""))</f>
        <v/>
      </c>
      <c r="J1119" s="17">
        <f>IF(B1119="","",IF(Brand_Log!T119="","","before_1500; "&amp;Brand_Log!T119))</f>
        <v/>
      </c>
      <c r="K1119" t="inlineStr">
        <is>
          <t>brand budget_probe before $1,500</t>
        </is>
      </c>
    </row>
    <row r="1120">
      <c r="A1120" s="17">
        <f>IF(B1120="","",B1120+(6*1000+119)/10000000)</f>
        <v/>
      </c>
      <c r="B1120" s="23">
        <f>IF(AND(Brand_Log!AN120=1,OR(ISNUMBER(Brand_Log!R120),TRIM(Brand_Log!S120)&lt;&gt;"")),Brand_Log!G120,"")</f>
        <v/>
      </c>
      <c r="C1120" s="17">
        <f>IF(B1120="","","brand")</f>
        <v/>
      </c>
      <c r="D1120" s="17">
        <f>IF(B1120="","",Brand_Log!$A120&amp;"")</f>
        <v/>
      </c>
      <c r="E1120" s="17">
        <f>IF(B1120="","",IF(Brand_Log!B120="","",Brand_Log!B120&amp;""))</f>
        <v/>
      </c>
      <c r="F1120" s="17">
        <f>IF(B1120="","","budget_probe")</f>
        <v/>
      </c>
      <c r="G1120" s="17">
        <f>IF(B1120="","",IF(ISNUMBER(Brand_Log!R120),Brand_Log!R120,""))</f>
        <v/>
      </c>
      <c r="H1120" s="17">
        <f>IF(B1120="","",IF(Brand_Log!S120="","",Brand_Log!S120&amp;""))</f>
        <v/>
      </c>
      <c r="I1120" s="17">
        <f>IF(B1120="","",IF(Brand_Log!N120="","",Brand_Log!N120&amp;""))</f>
        <v/>
      </c>
      <c r="J1120" s="17">
        <f>IF(B1120="","",IF(Brand_Log!T120="","","before_1500; "&amp;Brand_Log!T120))</f>
        <v/>
      </c>
      <c r="K1120" t="inlineStr">
        <is>
          <t>brand budget_probe before $1,500</t>
        </is>
      </c>
    </row>
    <row r="1121">
      <c r="A1121" s="17">
        <f>IF(B1121="","",B1121+(6*1000+120)/10000000)</f>
        <v/>
      </c>
      <c r="B1121" s="23">
        <f>IF(AND(Brand_Log!AN121=1,OR(ISNUMBER(Brand_Log!R121),TRIM(Brand_Log!S121)&lt;&gt;"")),Brand_Log!G121,"")</f>
        <v/>
      </c>
      <c r="C1121" s="17">
        <f>IF(B1121="","","brand")</f>
        <v/>
      </c>
      <c r="D1121" s="17">
        <f>IF(B1121="","",Brand_Log!$A121&amp;"")</f>
        <v/>
      </c>
      <c r="E1121" s="17">
        <f>IF(B1121="","",IF(Brand_Log!B121="","",Brand_Log!B121&amp;""))</f>
        <v/>
      </c>
      <c r="F1121" s="17">
        <f>IF(B1121="","","budget_probe")</f>
        <v/>
      </c>
      <c r="G1121" s="17">
        <f>IF(B1121="","",IF(ISNUMBER(Brand_Log!R121),Brand_Log!R121,""))</f>
        <v/>
      </c>
      <c r="H1121" s="17">
        <f>IF(B1121="","",IF(Brand_Log!S121="","",Brand_Log!S121&amp;""))</f>
        <v/>
      </c>
      <c r="I1121" s="17">
        <f>IF(B1121="","",IF(Brand_Log!N121="","",Brand_Log!N121&amp;""))</f>
        <v/>
      </c>
      <c r="J1121" s="17">
        <f>IF(B1121="","",IF(Brand_Log!T121="","","before_1500; "&amp;Brand_Log!T121))</f>
        <v/>
      </c>
      <c r="K1121" t="inlineStr">
        <is>
          <t>brand budget_probe before $1,500</t>
        </is>
      </c>
    </row>
    <row r="1122">
      <c r="A1122" s="17">
        <f>IF(B1122="","",B1122+(6*1000+121)/10000000)</f>
        <v/>
      </c>
      <c r="B1122" s="23">
        <f>IF(AND(Brand_Log!AN122=1,OR(ISNUMBER(Brand_Log!R122),TRIM(Brand_Log!S122)&lt;&gt;"")),Brand_Log!G122,"")</f>
        <v/>
      </c>
      <c r="C1122" s="17">
        <f>IF(B1122="","","brand")</f>
        <v/>
      </c>
      <c r="D1122" s="17">
        <f>IF(B1122="","",Brand_Log!$A122&amp;"")</f>
        <v/>
      </c>
      <c r="E1122" s="17">
        <f>IF(B1122="","",IF(Brand_Log!B122="","",Brand_Log!B122&amp;""))</f>
        <v/>
      </c>
      <c r="F1122" s="17">
        <f>IF(B1122="","","budget_probe")</f>
        <v/>
      </c>
      <c r="G1122" s="17">
        <f>IF(B1122="","",IF(ISNUMBER(Brand_Log!R122),Brand_Log!R122,""))</f>
        <v/>
      </c>
      <c r="H1122" s="17">
        <f>IF(B1122="","",IF(Brand_Log!S122="","",Brand_Log!S122&amp;""))</f>
        <v/>
      </c>
      <c r="I1122" s="17">
        <f>IF(B1122="","",IF(Brand_Log!N122="","",Brand_Log!N122&amp;""))</f>
        <v/>
      </c>
      <c r="J1122" s="17">
        <f>IF(B1122="","",IF(Brand_Log!T122="","","before_1500; "&amp;Brand_Log!T122))</f>
        <v/>
      </c>
      <c r="K1122" t="inlineStr">
        <is>
          <t>brand budget_probe before $1,500</t>
        </is>
      </c>
    </row>
    <row r="1123">
      <c r="A1123" s="17">
        <f>IF(B1123="","",B1123+(6*1000+122)/10000000)</f>
        <v/>
      </c>
      <c r="B1123" s="23">
        <f>IF(AND(Brand_Log!AN123=1,OR(ISNUMBER(Brand_Log!R123),TRIM(Brand_Log!S123)&lt;&gt;"")),Brand_Log!G123,"")</f>
        <v/>
      </c>
      <c r="C1123" s="17">
        <f>IF(B1123="","","brand")</f>
        <v/>
      </c>
      <c r="D1123" s="17">
        <f>IF(B1123="","",Brand_Log!$A123&amp;"")</f>
        <v/>
      </c>
      <c r="E1123" s="17">
        <f>IF(B1123="","",IF(Brand_Log!B123="","",Brand_Log!B123&amp;""))</f>
        <v/>
      </c>
      <c r="F1123" s="17">
        <f>IF(B1123="","","budget_probe")</f>
        <v/>
      </c>
      <c r="G1123" s="17">
        <f>IF(B1123="","",IF(ISNUMBER(Brand_Log!R123),Brand_Log!R123,""))</f>
        <v/>
      </c>
      <c r="H1123" s="17">
        <f>IF(B1123="","",IF(Brand_Log!S123="","",Brand_Log!S123&amp;""))</f>
        <v/>
      </c>
      <c r="I1123" s="17">
        <f>IF(B1123="","",IF(Brand_Log!N123="","",Brand_Log!N123&amp;""))</f>
        <v/>
      </c>
      <c r="J1123" s="17">
        <f>IF(B1123="","",IF(Brand_Log!T123="","","before_1500; "&amp;Brand_Log!T123))</f>
        <v/>
      </c>
      <c r="K1123" t="inlineStr">
        <is>
          <t>brand budget_probe before $1,500</t>
        </is>
      </c>
    </row>
    <row r="1124">
      <c r="A1124" s="17">
        <f>IF(B1124="","",B1124+(6*1000+123)/10000000)</f>
        <v/>
      </c>
      <c r="B1124" s="23">
        <f>IF(AND(Brand_Log!AN124=1,OR(ISNUMBER(Brand_Log!R124),TRIM(Brand_Log!S124)&lt;&gt;"")),Brand_Log!G124,"")</f>
        <v/>
      </c>
      <c r="C1124" s="17">
        <f>IF(B1124="","","brand")</f>
        <v/>
      </c>
      <c r="D1124" s="17">
        <f>IF(B1124="","",Brand_Log!$A124&amp;"")</f>
        <v/>
      </c>
      <c r="E1124" s="17">
        <f>IF(B1124="","",IF(Brand_Log!B124="","",Brand_Log!B124&amp;""))</f>
        <v/>
      </c>
      <c r="F1124" s="17">
        <f>IF(B1124="","","budget_probe")</f>
        <v/>
      </c>
      <c r="G1124" s="17">
        <f>IF(B1124="","",IF(ISNUMBER(Brand_Log!R124),Brand_Log!R124,""))</f>
        <v/>
      </c>
      <c r="H1124" s="17">
        <f>IF(B1124="","",IF(Brand_Log!S124="","",Brand_Log!S124&amp;""))</f>
        <v/>
      </c>
      <c r="I1124" s="17">
        <f>IF(B1124="","",IF(Brand_Log!N124="","",Brand_Log!N124&amp;""))</f>
        <v/>
      </c>
      <c r="J1124" s="17">
        <f>IF(B1124="","",IF(Brand_Log!T124="","","before_1500; "&amp;Brand_Log!T124))</f>
        <v/>
      </c>
      <c r="K1124" t="inlineStr">
        <is>
          <t>brand budget_probe before $1,500</t>
        </is>
      </c>
    </row>
    <row r="1125">
      <c r="A1125" s="17">
        <f>IF(B1125="","",B1125+(6*1000+124)/10000000)</f>
        <v/>
      </c>
      <c r="B1125" s="23">
        <f>IF(AND(Brand_Log!AN125=1,OR(ISNUMBER(Brand_Log!R125),TRIM(Brand_Log!S125)&lt;&gt;"")),Brand_Log!G125,"")</f>
        <v/>
      </c>
      <c r="C1125" s="17">
        <f>IF(B1125="","","brand")</f>
        <v/>
      </c>
      <c r="D1125" s="17">
        <f>IF(B1125="","",Brand_Log!$A125&amp;"")</f>
        <v/>
      </c>
      <c r="E1125" s="17">
        <f>IF(B1125="","",IF(Brand_Log!B125="","",Brand_Log!B125&amp;""))</f>
        <v/>
      </c>
      <c r="F1125" s="17">
        <f>IF(B1125="","","budget_probe")</f>
        <v/>
      </c>
      <c r="G1125" s="17">
        <f>IF(B1125="","",IF(ISNUMBER(Brand_Log!R125),Brand_Log!R125,""))</f>
        <v/>
      </c>
      <c r="H1125" s="17">
        <f>IF(B1125="","",IF(Brand_Log!S125="","",Brand_Log!S125&amp;""))</f>
        <v/>
      </c>
      <c r="I1125" s="17">
        <f>IF(B1125="","",IF(Brand_Log!N125="","",Brand_Log!N125&amp;""))</f>
        <v/>
      </c>
      <c r="J1125" s="17">
        <f>IF(B1125="","",IF(Brand_Log!T125="","","before_1500; "&amp;Brand_Log!T125))</f>
        <v/>
      </c>
      <c r="K1125" t="inlineStr">
        <is>
          <t>brand budget_probe before $1,500</t>
        </is>
      </c>
    </row>
    <row r="1126">
      <c r="A1126" s="17">
        <f>IF(B1126="","",B1126+(6*1000+125)/10000000)</f>
        <v/>
      </c>
      <c r="B1126" s="23">
        <f>IF(AND(Brand_Log!AN126=1,OR(ISNUMBER(Brand_Log!R126),TRIM(Brand_Log!S126)&lt;&gt;"")),Brand_Log!G126,"")</f>
        <v/>
      </c>
      <c r="C1126" s="17">
        <f>IF(B1126="","","brand")</f>
        <v/>
      </c>
      <c r="D1126" s="17">
        <f>IF(B1126="","",Brand_Log!$A126&amp;"")</f>
        <v/>
      </c>
      <c r="E1126" s="17">
        <f>IF(B1126="","",IF(Brand_Log!B126="","",Brand_Log!B126&amp;""))</f>
        <v/>
      </c>
      <c r="F1126" s="17">
        <f>IF(B1126="","","budget_probe")</f>
        <v/>
      </c>
      <c r="G1126" s="17">
        <f>IF(B1126="","",IF(ISNUMBER(Brand_Log!R126),Brand_Log!R126,""))</f>
        <v/>
      </c>
      <c r="H1126" s="17">
        <f>IF(B1126="","",IF(Brand_Log!S126="","",Brand_Log!S126&amp;""))</f>
        <v/>
      </c>
      <c r="I1126" s="17">
        <f>IF(B1126="","",IF(Brand_Log!N126="","",Brand_Log!N126&amp;""))</f>
        <v/>
      </c>
      <c r="J1126" s="17">
        <f>IF(B1126="","",IF(Brand_Log!T126="","","before_1500; "&amp;Brand_Log!T126))</f>
        <v/>
      </c>
      <c r="K1126" t="inlineStr">
        <is>
          <t>brand budget_probe before $1,500</t>
        </is>
      </c>
    </row>
    <row r="1127">
      <c r="A1127" s="17">
        <f>IF(B1127="","",B1127+(6*1000+126)/10000000)</f>
        <v/>
      </c>
      <c r="B1127" s="23">
        <f>IF(AND(Brand_Log!AN127=1,OR(ISNUMBER(Brand_Log!R127),TRIM(Brand_Log!S127)&lt;&gt;"")),Brand_Log!G127,"")</f>
        <v/>
      </c>
      <c r="C1127" s="17">
        <f>IF(B1127="","","brand")</f>
        <v/>
      </c>
      <c r="D1127" s="17">
        <f>IF(B1127="","",Brand_Log!$A127&amp;"")</f>
        <v/>
      </c>
      <c r="E1127" s="17">
        <f>IF(B1127="","",IF(Brand_Log!B127="","",Brand_Log!B127&amp;""))</f>
        <v/>
      </c>
      <c r="F1127" s="17">
        <f>IF(B1127="","","budget_probe")</f>
        <v/>
      </c>
      <c r="G1127" s="17">
        <f>IF(B1127="","",IF(ISNUMBER(Brand_Log!R127),Brand_Log!R127,""))</f>
        <v/>
      </c>
      <c r="H1127" s="17">
        <f>IF(B1127="","",IF(Brand_Log!S127="","",Brand_Log!S127&amp;""))</f>
        <v/>
      </c>
      <c r="I1127" s="17">
        <f>IF(B1127="","",IF(Brand_Log!N127="","",Brand_Log!N127&amp;""))</f>
        <v/>
      </c>
      <c r="J1127" s="17">
        <f>IF(B1127="","",IF(Brand_Log!T127="","","before_1500; "&amp;Brand_Log!T127))</f>
        <v/>
      </c>
      <c r="K1127" t="inlineStr">
        <is>
          <t>brand budget_probe before $1,500</t>
        </is>
      </c>
    </row>
    <row r="1128">
      <c r="A1128" s="17">
        <f>IF(B1128="","",B1128+(6*1000+127)/10000000)</f>
        <v/>
      </c>
      <c r="B1128" s="23">
        <f>IF(AND(Brand_Log!AN128=1,OR(ISNUMBER(Brand_Log!R128),TRIM(Brand_Log!S128)&lt;&gt;"")),Brand_Log!G128,"")</f>
        <v/>
      </c>
      <c r="C1128" s="17">
        <f>IF(B1128="","","brand")</f>
        <v/>
      </c>
      <c r="D1128" s="17">
        <f>IF(B1128="","",Brand_Log!$A128&amp;"")</f>
        <v/>
      </c>
      <c r="E1128" s="17">
        <f>IF(B1128="","",IF(Brand_Log!B128="","",Brand_Log!B128&amp;""))</f>
        <v/>
      </c>
      <c r="F1128" s="17">
        <f>IF(B1128="","","budget_probe")</f>
        <v/>
      </c>
      <c r="G1128" s="17">
        <f>IF(B1128="","",IF(ISNUMBER(Brand_Log!R128),Brand_Log!R128,""))</f>
        <v/>
      </c>
      <c r="H1128" s="17">
        <f>IF(B1128="","",IF(Brand_Log!S128="","",Brand_Log!S128&amp;""))</f>
        <v/>
      </c>
      <c r="I1128" s="17">
        <f>IF(B1128="","",IF(Brand_Log!N128="","",Brand_Log!N128&amp;""))</f>
        <v/>
      </c>
      <c r="J1128" s="17">
        <f>IF(B1128="","",IF(Brand_Log!T128="","","before_1500; "&amp;Brand_Log!T128))</f>
        <v/>
      </c>
      <c r="K1128" t="inlineStr">
        <is>
          <t>brand budget_probe before $1,500</t>
        </is>
      </c>
    </row>
    <row r="1129">
      <c r="A1129" s="17">
        <f>IF(B1129="","",B1129+(6*1000+128)/10000000)</f>
        <v/>
      </c>
      <c r="B1129" s="23">
        <f>IF(AND(Brand_Log!AN129=1,OR(ISNUMBER(Brand_Log!R129),TRIM(Brand_Log!S129)&lt;&gt;"")),Brand_Log!G129,"")</f>
        <v/>
      </c>
      <c r="C1129" s="17">
        <f>IF(B1129="","","brand")</f>
        <v/>
      </c>
      <c r="D1129" s="17">
        <f>IF(B1129="","",Brand_Log!$A129&amp;"")</f>
        <v/>
      </c>
      <c r="E1129" s="17">
        <f>IF(B1129="","",IF(Brand_Log!B129="","",Brand_Log!B129&amp;""))</f>
        <v/>
      </c>
      <c r="F1129" s="17">
        <f>IF(B1129="","","budget_probe")</f>
        <v/>
      </c>
      <c r="G1129" s="17">
        <f>IF(B1129="","",IF(ISNUMBER(Brand_Log!R129),Brand_Log!R129,""))</f>
        <v/>
      </c>
      <c r="H1129" s="17">
        <f>IF(B1129="","",IF(Brand_Log!S129="","",Brand_Log!S129&amp;""))</f>
        <v/>
      </c>
      <c r="I1129" s="17">
        <f>IF(B1129="","",IF(Brand_Log!N129="","",Brand_Log!N129&amp;""))</f>
        <v/>
      </c>
      <c r="J1129" s="17">
        <f>IF(B1129="","",IF(Brand_Log!T129="","","before_1500; "&amp;Brand_Log!T129))</f>
        <v/>
      </c>
      <c r="K1129" t="inlineStr">
        <is>
          <t>brand budget_probe before $1,500</t>
        </is>
      </c>
    </row>
    <row r="1130">
      <c r="A1130" s="17">
        <f>IF(B1130="","",B1130+(6*1000+129)/10000000)</f>
        <v/>
      </c>
      <c r="B1130" s="23">
        <f>IF(AND(Brand_Log!AN130=1,OR(ISNUMBER(Brand_Log!R130),TRIM(Brand_Log!S130)&lt;&gt;"")),Brand_Log!G130,"")</f>
        <v/>
      </c>
      <c r="C1130" s="17">
        <f>IF(B1130="","","brand")</f>
        <v/>
      </c>
      <c r="D1130" s="17">
        <f>IF(B1130="","",Brand_Log!$A130&amp;"")</f>
        <v/>
      </c>
      <c r="E1130" s="17">
        <f>IF(B1130="","",IF(Brand_Log!B130="","",Brand_Log!B130&amp;""))</f>
        <v/>
      </c>
      <c r="F1130" s="17">
        <f>IF(B1130="","","budget_probe")</f>
        <v/>
      </c>
      <c r="G1130" s="17">
        <f>IF(B1130="","",IF(ISNUMBER(Brand_Log!R130),Brand_Log!R130,""))</f>
        <v/>
      </c>
      <c r="H1130" s="17">
        <f>IF(B1130="","",IF(Brand_Log!S130="","",Brand_Log!S130&amp;""))</f>
        <v/>
      </c>
      <c r="I1130" s="17">
        <f>IF(B1130="","",IF(Brand_Log!N130="","",Brand_Log!N130&amp;""))</f>
        <v/>
      </c>
      <c r="J1130" s="17">
        <f>IF(B1130="","",IF(Brand_Log!T130="","","before_1500; "&amp;Brand_Log!T130))</f>
        <v/>
      </c>
      <c r="K1130" t="inlineStr">
        <is>
          <t>brand budget_probe before $1,500</t>
        </is>
      </c>
    </row>
    <row r="1131">
      <c r="A1131" s="17">
        <f>IF(B1131="","",B1131+(6*1000+130)/10000000)</f>
        <v/>
      </c>
      <c r="B1131" s="23">
        <f>IF(AND(Brand_Log!AN131=1,OR(ISNUMBER(Brand_Log!R131),TRIM(Brand_Log!S131)&lt;&gt;"")),Brand_Log!G131,"")</f>
        <v/>
      </c>
      <c r="C1131" s="17">
        <f>IF(B1131="","","brand")</f>
        <v/>
      </c>
      <c r="D1131" s="17">
        <f>IF(B1131="","",Brand_Log!$A131&amp;"")</f>
        <v/>
      </c>
      <c r="E1131" s="17">
        <f>IF(B1131="","",IF(Brand_Log!B131="","",Brand_Log!B131&amp;""))</f>
        <v/>
      </c>
      <c r="F1131" s="17">
        <f>IF(B1131="","","budget_probe")</f>
        <v/>
      </c>
      <c r="G1131" s="17">
        <f>IF(B1131="","",IF(ISNUMBER(Brand_Log!R131),Brand_Log!R131,""))</f>
        <v/>
      </c>
      <c r="H1131" s="17">
        <f>IF(B1131="","",IF(Brand_Log!S131="","",Brand_Log!S131&amp;""))</f>
        <v/>
      </c>
      <c r="I1131" s="17">
        <f>IF(B1131="","",IF(Brand_Log!N131="","",Brand_Log!N131&amp;""))</f>
        <v/>
      </c>
      <c r="J1131" s="17">
        <f>IF(B1131="","",IF(Brand_Log!T131="","","before_1500; "&amp;Brand_Log!T131))</f>
        <v/>
      </c>
      <c r="K1131" t="inlineStr">
        <is>
          <t>brand budget_probe before $1,500</t>
        </is>
      </c>
    </row>
    <row r="1132">
      <c r="A1132" s="17">
        <f>IF(B1132="","",B1132+(6*1000+131)/10000000)</f>
        <v/>
      </c>
      <c r="B1132" s="23">
        <f>IF(AND(Brand_Log!AN132=1,OR(ISNUMBER(Brand_Log!R132),TRIM(Brand_Log!S132)&lt;&gt;"")),Brand_Log!G132,"")</f>
        <v/>
      </c>
      <c r="C1132" s="17">
        <f>IF(B1132="","","brand")</f>
        <v/>
      </c>
      <c r="D1132" s="17">
        <f>IF(B1132="","",Brand_Log!$A132&amp;"")</f>
        <v/>
      </c>
      <c r="E1132" s="17">
        <f>IF(B1132="","",IF(Brand_Log!B132="","",Brand_Log!B132&amp;""))</f>
        <v/>
      </c>
      <c r="F1132" s="17">
        <f>IF(B1132="","","budget_probe")</f>
        <v/>
      </c>
      <c r="G1132" s="17">
        <f>IF(B1132="","",IF(ISNUMBER(Brand_Log!R132),Brand_Log!R132,""))</f>
        <v/>
      </c>
      <c r="H1132" s="17">
        <f>IF(B1132="","",IF(Brand_Log!S132="","",Brand_Log!S132&amp;""))</f>
        <v/>
      </c>
      <c r="I1132" s="17">
        <f>IF(B1132="","",IF(Brand_Log!N132="","",Brand_Log!N132&amp;""))</f>
        <v/>
      </c>
      <c r="J1132" s="17">
        <f>IF(B1132="","",IF(Brand_Log!T132="","","before_1500; "&amp;Brand_Log!T132))</f>
        <v/>
      </c>
      <c r="K1132" t="inlineStr">
        <is>
          <t>brand budget_probe before $1,500</t>
        </is>
      </c>
    </row>
    <row r="1133">
      <c r="A1133" s="17">
        <f>IF(B1133="","",B1133+(6*1000+132)/10000000)</f>
        <v/>
      </c>
      <c r="B1133" s="23">
        <f>IF(AND(Brand_Log!AN133=1,OR(ISNUMBER(Brand_Log!R133),TRIM(Brand_Log!S133)&lt;&gt;"")),Brand_Log!G133,"")</f>
        <v/>
      </c>
      <c r="C1133" s="17">
        <f>IF(B1133="","","brand")</f>
        <v/>
      </c>
      <c r="D1133" s="17">
        <f>IF(B1133="","",Brand_Log!$A133&amp;"")</f>
        <v/>
      </c>
      <c r="E1133" s="17">
        <f>IF(B1133="","",IF(Brand_Log!B133="","",Brand_Log!B133&amp;""))</f>
        <v/>
      </c>
      <c r="F1133" s="17">
        <f>IF(B1133="","","budget_probe")</f>
        <v/>
      </c>
      <c r="G1133" s="17">
        <f>IF(B1133="","",IF(ISNUMBER(Brand_Log!R133),Brand_Log!R133,""))</f>
        <v/>
      </c>
      <c r="H1133" s="17">
        <f>IF(B1133="","",IF(Brand_Log!S133="","",Brand_Log!S133&amp;""))</f>
        <v/>
      </c>
      <c r="I1133" s="17">
        <f>IF(B1133="","",IF(Brand_Log!N133="","",Brand_Log!N133&amp;""))</f>
        <v/>
      </c>
      <c r="J1133" s="17">
        <f>IF(B1133="","",IF(Brand_Log!T133="","","before_1500; "&amp;Brand_Log!T133))</f>
        <v/>
      </c>
      <c r="K1133" t="inlineStr">
        <is>
          <t>brand budget_probe before $1,500</t>
        </is>
      </c>
    </row>
    <row r="1134">
      <c r="A1134" s="17">
        <f>IF(B1134="","",B1134+(6*1000+133)/10000000)</f>
        <v/>
      </c>
      <c r="B1134" s="23">
        <f>IF(AND(Brand_Log!AN134=1,OR(ISNUMBER(Brand_Log!R134),TRIM(Brand_Log!S134)&lt;&gt;"")),Brand_Log!G134,"")</f>
        <v/>
      </c>
      <c r="C1134" s="17">
        <f>IF(B1134="","","brand")</f>
        <v/>
      </c>
      <c r="D1134" s="17">
        <f>IF(B1134="","",Brand_Log!$A134&amp;"")</f>
        <v/>
      </c>
      <c r="E1134" s="17">
        <f>IF(B1134="","",IF(Brand_Log!B134="","",Brand_Log!B134&amp;""))</f>
        <v/>
      </c>
      <c r="F1134" s="17">
        <f>IF(B1134="","","budget_probe")</f>
        <v/>
      </c>
      <c r="G1134" s="17">
        <f>IF(B1134="","",IF(ISNUMBER(Brand_Log!R134),Brand_Log!R134,""))</f>
        <v/>
      </c>
      <c r="H1134" s="17">
        <f>IF(B1134="","",IF(Brand_Log!S134="","",Brand_Log!S134&amp;""))</f>
        <v/>
      </c>
      <c r="I1134" s="17">
        <f>IF(B1134="","",IF(Brand_Log!N134="","",Brand_Log!N134&amp;""))</f>
        <v/>
      </c>
      <c r="J1134" s="17">
        <f>IF(B1134="","",IF(Brand_Log!T134="","","before_1500; "&amp;Brand_Log!T134))</f>
        <v/>
      </c>
      <c r="K1134" t="inlineStr">
        <is>
          <t>brand budget_probe before $1,500</t>
        </is>
      </c>
    </row>
    <row r="1135">
      <c r="A1135" s="17">
        <f>IF(B1135="","",B1135+(6*1000+134)/10000000)</f>
        <v/>
      </c>
      <c r="B1135" s="23">
        <f>IF(AND(Brand_Log!AN135=1,OR(ISNUMBER(Brand_Log!R135),TRIM(Brand_Log!S135)&lt;&gt;"")),Brand_Log!G135,"")</f>
        <v/>
      </c>
      <c r="C1135" s="17">
        <f>IF(B1135="","","brand")</f>
        <v/>
      </c>
      <c r="D1135" s="17">
        <f>IF(B1135="","",Brand_Log!$A135&amp;"")</f>
        <v/>
      </c>
      <c r="E1135" s="17">
        <f>IF(B1135="","",IF(Brand_Log!B135="","",Brand_Log!B135&amp;""))</f>
        <v/>
      </c>
      <c r="F1135" s="17">
        <f>IF(B1135="","","budget_probe")</f>
        <v/>
      </c>
      <c r="G1135" s="17">
        <f>IF(B1135="","",IF(ISNUMBER(Brand_Log!R135),Brand_Log!R135,""))</f>
        <v/>
      </c>
      <c r="H1135" s="17">
        <f>IF(B1135="","",IF(Brand_Log!S135="","",Brand_Log!S135&amp;""))</f>
        <v/>
      </c>
      <c r="I1135" s="17">
        <f>IF(B1135="","",IF(Brand_Log!N135="","",Brand_Log!N135&amp;""))</f>
        <v/>
      </c>
      <c r="J1135" s="17">
        <f>IF(B1135="","",IF(Brand_Log!T135="","","before_1500; "&amp;Brand_Log!T135))</f>
        <v/>
      </c>
      <c r="K1135" t="inlineStr">
        <is>
          <t>brand budget_probe before $1,500</t>
        </is>
      </c>
    </row>
    <row r="1136">
      <c r="A1136" s="17">
        <f>IF(B1136="","",B1136+(6*1000+135)/10000000)</f>
        <v/>
      </c>
      <c r="B1136" s="23">
        <f>IF(AND(Brand_Log!AN136=1,OR(ISNUMBER(Brand_Log!R136),TRIM(Brand_Log!S136)&lt;&gt;"")),Brand_Log!G136,"")</f>
        <v/>
      </c>
      <c r="C1136" s="17">
        <f>IF(B1136="","","brand")</f>
        <v/>
      </c>
      <c r="D1136" s="17">
        <f>IF(B1136="","",Brand_Log!$A136&amp;"")</f>
        <v/>
      </c>
      <c r="E1136" s="17">
        <f>IF(B1136="","",IF(Brand_Log!B136="","",Brand_Log!B136&amp;""))</f>
        <v/>
      </c>
      <c r="F1136" s="17">
        <f>IF(B1136="","","budget_probe")</f>
        <v/>
      </c>
      <c r="G1136" s="17">
        <f>IF(B1136="","",IF(ISNUMBER(Brand_Log!R136),Brand_Log!R136,""))</f>
        <v/>
      </c>
      <c r="H1136" s="17">
        <f>IF(B1136="","",IF(Brand_Log!S136="","",Brand_Log!S136&amp;""))</f>
        <v/>
      </c>
      <c r="I1136" s="17">
        <f>IF(B1136="","",IF(Brand_Log!N136="","",Brand_Log!N136&amp;""))</f>
        <v/>
      </c>
      <c r="J1136" s="17">
        <f>IF(B1136="","",IF(Brand_Log!T136="","","before_1500; "&amp;Brand_Log!T136))</f>
        <v/>
      </c>
      <c r="K1136" t="inlineStr">
        <is>
          <t>brand budget_probe before $1,500</t>
        </is>
      </c>
    </row>
    <row r="1137">
      <c r="A1137" s="17">
        <f>IF(B1137="","",B1137+(6*1000+136)/10000000)</f>
        <v/>
      </c>
      <c r="B1137" s="23">
        <f>IF(AND(Brand_Log!AN137=1,OR(ISNUMBER(Brand_Log!R137),TRIM(Brand_Log!S137)&lt;&gt;"")),Brand_Log!G137,"")</f>
        <v/>
      </c>
      <c r="C1137" s="17">
        <f>IF(B1137="","","brand")</f>
        <v/>
      </c>
      <c r="D1137" s="17">
        <f>IF(B1137="","",Brand_Log!$A137&amp;"")</f>
        <v/>
      </c>
      <c r="E1137" s="17">
        <f>IF(B1137="","",IF(Brand_Log!B137="","",Brand_Log!B137&amp;""))</f>
        <v/>
      </c>
      <c r="F1137" s="17">
        <f>IF(B1137="","","budget_probe")</f>
        <v/>
      </c>
      <c r="G1137" s="17">
        <f>IF(B1137="","",IF(ISNUMBER(Brand_Log!R137),Brand_Log!R137,""))</f>
        <v/>
      </c>
      <c r="H1137" s="17">
        <f>IF(B1137="","",IF(Brand_Log!S137="","",Brand_Log!S137&amp;""))</f>
        <v/>
      </c>
      <c r="I1137" s="17">
        <f>IF(B1137="","",IF(Brand_Log!N137="","",Brand_Log!N137&amp;""))</f>
        <v/>
      </c>
      <c r="J1137" s="17">
        <f>IF(B1137="","",IF(Brand_Log!T137="","","before_1500; "&amp;Brand_Log!T137))</f>
        <v/>
      </c>
      <c r="K1137" t="inlineStr">
        <is>
          <t>brand budget_probe before $1,500</t>
        </is>
      </c>
    </row>
    <row r="1138">
      <c r="A1138" s="17">
        <f>IF(B1138="","",B1138+(6*1000+137)/10000000)</f>
        <v/>
      </c>
      <c r="B1138" s="23">
        <f>IF(AND(Brand_Log!AN138=1,OR(ISNUMBER(Brand_Log!R138),TRIM(Brand_Log!S138)&lt;&gt;"")),Brand_Log!G138,"")</f>
        <v/>
      </c>
      <c r="C1138" s="17">
        <f>IF(B1138="","","brand")</f>
        <v/>
      </c>
      <c r="D1138" s="17">
        <f>IF(B1138="","",Brand_Log!$A138&amp;"")</f>
        <v/>
      </c>
      <c r="E1138" s="17">
        <f>IF(B1138="","",IF(Brand_Log!B138="","",Brand_Log!B138&amp;""))</f>
        <v/>
      </c>
      <c r="F1138" s="17">
        <f>IF(B1138="","","budget_probe")</f>
        <v/>
      </c>
      <c r="G1138" s="17">
        <f>IF(B1138="","",IF(ISNUMBER(Brand_Log!R138),Brand_Log!R138,""))</f>
        <v/>
      </c>
      <c r="H1138" s="17">
        <f>IF(B1138="","",IF(Brand_Log!S138="","",Brand_Log!S138&amp;""))</f>
        <v/>
      </c>
      <c r="I1138" s="17">
        <f>IF(B1138="","",IF(Brand_Log!N138="","",Brand_Log!N138&amp;""))</f>
        <v/>
      </c>
      <c r="J1138" s="17">
        <f>IF(B1138="","",IF(Brand_Log!T138="","","before_1500; "&amp;Brand_Log!T138))</f>
        <v/>
      </c>
      <c r="K1138" t="inlineStr">
        <is>
          <t>brand budget_probe before $1,500</t>
        </is>
      </c>
    </row>
    <row r="1139">
      <c r="A1139" s="17">
        <f>IF(B1139="","",B1139+(6*1000+138)/10000000)</f>
        <v/>
      </c>
      <c r="B1139" s="23">
        <f>IF(AND(Brand_Log!AN139=1,OR(ISNUMBER(Brand_Log!R139),TRIM(Brand_Log!S139)&lt;&gt;"")),Brand_Log!G139,"")</f>
        <v/>
      </c>
      <c r="C1139" s="17">
        <f>IF(B1139="","","brand")</f>
        <v/>
      </c>
      <c r="D1139" s="17">
        <f>IF(B1139="","",Brand_Log!$A139&amp;"")</f>
        <v/>
      </c>
      <c r="E1139" s="17">
        <f>IF(B1139="","",IF(Brand_Log!B139="","",Brand_Log!B139&amp;""))</f>
        <v/>
      </c>
      <c r="F1139" s="17">
        <f>IF(B1139="","","budget_probe")</f>
        <v/>
      </c>
      <c r="G1139" s="17">
        <f>IF(B1139="","",IF(ISNUMBER(Brand_Log!R139),Brand_Log!R139,""))</f>
        <v/>
      </c>
      <c r="H1139" s="17">
        <f>IF(B1139="","",IF(Brand_Log!S139="","",Brand_Log!S139&amp;""))</f>
        <v/>
      </c>
      <c r="I1139" s="17">
        <f>IF(B1139="","",IF(Brand_Log!N139="","",Brand_Log!N139&amp;""))</f>
        <v/>
      </c>
      <c r="J1139" s="17">
        <f>IF(B1139="","",IF(Brand_Log!T139="","","before_1500; "&amp;Brand_Log!T139))</f>
        <v/>
      </c>
      <c r="K1139" t="inlineStr">
        <is>
          <t>brand budget_probe before $1,500</t>
        </is>
      </c>
    </row>
    <row r="1140">
      <c r="A1140" s="17">
        <f>IF(B1140="","",B1140+(6*1000+139)/10000000)</f>
        <v/>
      </c>
      <c r="B1140" s="23">
        <f>IF(AND(Brand_Log!AN140=1,OR(ISNUMBER(Brand_Log!R140),TRIM(Brand_Log!S140)&lt;&gt;"")),Brand_Log!G140,"")</f>
        <v/>
      </c>
      <c r="C1140" s="17">
        <f>IF(B1140="","","brand")</f>
        <v/>
      </c>
      <c r="D1140" s="17">
        <f>IF(B1140="","",Brand_Log!$A140&amp;"")</f>
        <v/>
      </c>
      <c r="E1140" s="17">
        <f>IF(B1140="","",IF(Brand_Log!B140="","",Brand_Log!B140&amp;""))</f>
        <v/>
      </c>
      <c r="F1140" s="17">
        <f>IF(B1140="","","budget_probe")</f>
        <v/>
      </c>
      <c r="G1140" s="17">
        <f>IF(B1140="","",IF(ISNUMBER(Brand_Log!R140),Brand_Log!R140,""))</f>
        <v/>
      </c>
      <c r="H1140" s="17">
        <f>IF(B1140="","",IF(Brand_Log!S140="","",Brand_Log!S140&amp;""))</f>
        <v/>
      </c>
      <c r="I1140" s="17">
        <f>IF(B1140="","",IF(Brand_Log!N140="","",Brand_Log!N140&amp;""))</f>
        <v/>
      </c>
      <c r="J1140" s="17">
        <f>IF(B1140="","",IF(Brand_Log!T140="","","before_1500; "&amp;Brand_Log!T140))</f>
        <v/>
      </c>
      <c r="K1140" t="inlineStr">
        <is>
          <t>brand budget_probe before $1,500</t>
        </is>
      </c>
    </row>
    <row r="1141">
      <c r="A1141" s="17">
        <f>IF(B1141="","",B1141+(6*1000+140)/10000000)</f>
        <v/>
      </c>
      <c r="B1141" s="23">
        <f>IF(AND(Brand_Log!AN141=1,OR(ISNUMBER(Brand_Log!R141),TRIM(Brand_Log!S141)&lt;&gt;"")),Brand_Log!G141,"")</f>
        <v/>
      </c>
      <c r="C1141" s="17">
        <f>IF(B1141="","","brand")</f>
        <v/>
      </c>
      <c r="D1141" s="17">
        <f>IF(B1141="","",Brand_Log!$A141&amp;"")</f>
        <v/>
      </c>
      <c r="E1141" s="17">
        <f>IF(B1141="","",IF(Brand_Log!B141="","",Brand_Log!B141&amp;""))</f>
        <v/>
      </c>
      <c r="F1141" s="17">
        <f>IF(B1141="","","budget_probe")</f>
        <v/>
      </c>
      <c r="G1141" s="17">
        <f>IF(B1141="","",IF(ISNUMBER(Brand_Log!R141),Brand_Log!R141,""))</f>
        <v/>
      </c>
      <c r="H1141" s="17">
        <f>IF(B1141="","",IF(Brand_Log!S141="","",Brand_Log!S141&amp;""))</f>
        <v/>
      </c>
      <c r="I1141" s="17">
        <f>IF(B1141="","",IF(Brand_Log!N141="","",Brand_Log!N141&amp;""))</f>
        <v/>
      </c>
      <c r="J1141" s="17">
        <f>IF(B1141="","",IF(Brand_Log!T141="","","before_1500; "&amp;Brand_Log!T141))</f>
        <v/>
      </c>
      <c r="K1141" t="inlineStr">
        <is>
          <t>brand budget_probe before $1,500</t>
        </is>
      </c>
    </row>
    <row r="1142">
      <c r="A1142" s="17">
        <f>IF(B1142="","",B1142+(6*1000+141)/10000000)</f>
        <v/>
      </c>
      <c r="B1142" s="23">
        <f>IF(AND(Brand_Log!AN142=1,OR(ISNUMBER(Brand_Log!R142),TRIM(Brand_Log!S142)&lt;&gt;"")),Brand_Log!G142,"")</f>
        <v/>
      </c>
      <c r="C1142" s="17">
        <f>IF(B1142="","","brand")</f>
        <v/>
      </c>
      <c r="D1142" s="17">
        <f>IF(B1142="","",Brand_Log!$A142&amp;"")</f>
        <v/>
      </c>
      <c r="E1142" s="17">
        <f>IF(B1142="","",IF(Brand_Log!B142="","",Brand_Log!B142&amp;""))</f>
        <v/>
      </c>
      <c r="F1142" s="17">
        <f>IF(B1142="","","budget_probe")</f>
        <v/>
      </c>
      <c r="G1142" s="17">
        <f>IF(B1142="","",IF(ISNUMBER(Brand_Log!R142),Brand_Log!R142,""))</f>
        <v/>
      </c>
      <c r="H1142" s="17">
        <f>IF(B1142="","",IF(Brand_Log!S142="","",Brand_Log!S142&amp;""))</f>
        <v/>
      </c>
      <c r="I1142" s="17">
        <f>IF(B1142="","",IF(Brand_Log!N142="","",Brand_Log!N142&amp;""))</f>
        <v/>
      </c>
      <c r="J1142" s="17">
        <f>IF(B1142="","",IF(Brand_Log!T142="","","before_1500; "&amp;Brand_Log!T142))</f>
        <v/>
      </c>
      <c r="K1142" t="inlineStr">
        <is>
          <t>brand budget_probe before $1,500</t>
        </is>
      </c>
    </row>
    <row r="1143">
      <c r="A1143" s="17">
        <f>IF(B1143="","",B1143+(6*1000+142)/10000000)</f>
        <v/>
      </c>
      <c r="B1143" s="23">
        <f>IF(AND(Brand_Log!AN143=1,OR(ISNUMBER(Brand_Log!R143),TRIM(Brand_Log!S143)&lt;&gt;"")),Brand_Log!G143,"")</f>
        <v/>
      </c>
      <c r="C1143" s="17">
        <f>IF(B1143="","","brand")</f>
        <v/>
      </c>
      <c r="D1143" s="17">
        <f>IF(B1143="","",Brand_Log!$A143&amp;"")</f>
        <v/>
      </c>
      <c r="E1143" s="17">
        <f>IF(B1143="","",IF(Brand_Log!B143="","",Brand_Log!B143&amp;""))</f>
        <v/>
      </c>
      <c r="F1143" s="17">
        <f>IF(B1143="","","budget_probe")</f>
        <v/>
      </c>
      <c r="G1143" s="17">
        <f>IF(B1143="","",IF(ISNUMBER(Brand_Log!R143),Brand_Log!R143,""))</f>
        <v/>
      </c>
      <c r="H1143" s="17">
        <f>IF(B1143="","",IF(Brand_Log!S143="","",Brand_Log!S143&amp;""))</f>
        <v/>
      </c>
      <c r="I1143" s="17">
        <f>IF(B1143="","",IF(Brand_Log!N143="","",Brand_Log!N143&amp;""))</f>
        <v/>
      </c>
      <c r="J1143" s="17">
        <f>IF(B1143="","",IF(Brand_Log!T143="","","before_1500; "&amp;Brand_Log!T143))</f>
        <v/>
      </c>
      <c r="K1143" t="inlineStr">
        <is>
          <t>brand budget_probe before $1,500</t>
        </is>
      </c>
    </row>
    <row r="1144">
      <c r="A1144" s="17">
        <f>IF(B1144="","",B1144+(6*1000+143)/10000000)</f>
        <v/>
      </c>
      <c r="B1144" s="23">
        <f>IF(AND(Brand_Log!AN144=1,OR(ISNUMBER(Brand_Log!R144),TRIM(Brand_Log!S144)&lt;&gt;"")),Brand_Log!G144,"")</f>
        <v/>
      </c>
      <c r="C1144" s="17">
        <f>IF(B1144="","","brand")</f>
        <v/>
      </c>
      <c r="D1144" s="17">
        <f>IF(B1144="","",Brand_Log!$A144&amp;"")</f>
        <v/>
      </c>
      <c r="E1144" s="17">
        <f>IF(B1144="","",IF(Brand_Log!B144="","",Brand_Log!B144&amp;""))</f>
        <v/>
      </c>
      <c r="F1144" s="17">
        <f>IF(B1144="","","budget_probe")</f>
        <v/>
      </c>
      <c r="G1144" s="17">
        <f>IF(B1144="","",IF(ISNUMBER(Brand_Log!R144),Brand_Log!R144,""))</f>
        <v/>
      </c>
      <c r="H1144" s="17">
        <f>IF(B1144="","",IF(Brand_Log!S144="","",Brand_Log!S144&amp;""))</f>
        <v/>
      </c>
      <c r="I1144" s="17">
        <f>IF(B1144="","",IF(Brand_Log!N144="","",Brand_Log!N144&amp;""))</f>
        <v/>
      </c>
      <c r="J1144" s="17">
        <f>IF(B1144="","",IF(Brand_Log!T144="","","before_1500; "&amp;Brand_Log!T144))</f>
        <v/>
      </c>
      <c r="K1144" t="inlineStr">
        <is>
          <t>brand budget_probe before $1,500</t>
        </is>
      </c>
    </row>
    <row r="1145">
      <c r="A1145" s="17">
        <f>IF(B1145="","",B1145+(6*1000+144)/10000000)</f>
        <v/>
      </c>
      <c r="B1145" s="23">
        <f>IF(AND(Brand_Log!AN145=1,OR(ISNUMBER(Brand_Log!R145),TRIM(Brand_Log!S145)&lt;&gt;"")),Brand_Log!G145,"")</f>
        <v/>
      </c>
      <c r="C1145" s="17">
        <f>IF(B1145="","","brand")</f>
        <v/>
      </c>
      <c r="D1145" s="17">
        <f>IF(B1145="","",Brand_Log!$A145&amp;"")</f>
        <v/>
      </c>
      <c r="E1145" s="17">
        <f>IF(B1145="","",IF(Brand_Log!B145="","",Brand_Log!B145&amp;""))</f>
        <v/>
      </c>
      <c r="F1145" s="17">
        <f>IF(B1145="","","budget_probe")</f>
        <v/>
      </c>
      <c r="G1145" s="17">
        <f>IF(B1145="","",IF(ISNUMBER(Brand_Log!R145),Brand_Log!R145,""))</f>
        <v/>
      </c>
      <c r="H1145" s="17">
        <f>IF(B1145="","",IF(Brand_Log!S145="","",Brand_Log!S145&amp;""))</f>
        <v/>
      </c>
      <c r="I1145" s="17">
        <f>IF(B1145="","",IF(Brand_Log!N145="","",Brand_Log!N145&amp;""))</f>
        <v/>
      </c>
      <c r="J1145" s="17">
        <f>IF(B1145="","",IF(Brand_Log!T145="","","before_1500; "&amp;Brand_Log!T145))</f>
        <v/>
      </c>
      <c r="K1145" t="inlineStr">
        <is>
          <t>brand budget_probe before $1,500</t>
        </is>
      </c>
    </row>
    <row r="1146">
      <c r="A1146" s="17">
        <f>IF(B1146="","",B1146+(6*1000+145)/10000000)</f>
        <v/>
      </c>
      <c r="B1146" s="23">
        <f>IF(AND(Brand_Log!AN146=1,OR(ISNUMBER(Brand_Log!R146),TRIM(Brand_Log!S146)&lt;&gt;"")),Brand_Log!G146,"")</f>
        <v/>
      </c>
      <c r="C1146" s="17">
        <f>IF(B1146="","","brand")</f>
        <v/>
      </c>
      <c r="D1146" s="17">
        <f>IF(B1146="","",Brand_Log!$A146&amp;"")</f>
        <v/>
      </c>
      <c r="E1146" s="17">
        <f>IF(B1146="","",IF(Brand_Log!B146="","",Brand_Log!B146&amp;""))</f>
        <v/>
      </c>
      <c r="F1146" s="17">
        <f>IF(B1146="","","budget_probe")</f>
        <v/>
      </c>
      <c r="G1146" s="17">
        <f>IF(B1146="","",IF(ISNUMBER(Brand_Log!R146),Brand_Log!R146,""))</f>
        <v/>
      </c>
      <c r="H1146" s="17">
        <f>IF(B1146="","",IF(Brand_Log!S146="","",Brand_Log!S146&amp;""))</f>
        <v/>
      </c>
      <c r="I1146" s="17">
        <f>IF(B1146="","",IF(Brand_Log!N146="","",Brand_Log!N146&amp;""))</f>
        <v/>
      </c>
      <c r="J1146" s="17">
        <f>IF(B1146="","",IF(Brand_Log!T146="","","before_1500; "&amp;Brand_Log!T146))</f>
        <v/>
      </c>
      <c r="K1146" t="inlineStr">
        <is>
          <t>brand budget_probe before $1,500</t>
        </is>
      </c>
    </row>
    <row r="1147">
      <c r="A1147" s="17">
        <f>IF(B1147="","",B1147+(6*1000+146)/10000000)</f>
        <v/>
      </c>
      <c r="B1147" s="23">
        <f>IF(AND(Brand_Log!AN147=1,OR(ISNUMBER(Brand_Log!R147),TRIM(Brand_Log!S147)&lt;&gt;"")),Brand_Log!G147,"")</f>
        <v/>
      </c>
      <c r="C1147" s="17">
        <f>IF(B1147="","","brand")</f>
        <v/>
      </c>
      <c r="D1147" s="17">
        <f>IF(B1147="","",Brand_Log!$A147&amp;"")</f>
        <v/>
      </c>
      <c r="E1147" s="17">
        <f>IF(B1147="","",IF(Brand_Log!B147="","",Brand_Log!B147&amp;""))</f>
        <v/>
      </c>
      <c r="F1147" s="17">
        <f>IF(B1147="","","budget_probe")</f>
        <v/>
      </c>
      <c r="G1147" s="17">
        <f>IF(B1147="","",IF(ISNUMBER(Brand_Log!R147),Brand_Log!R147,""))</f>
        <v/>
      </c>
      <c r="H1147" s="17">
        <f>IF(B1147="","",IF(Brand_Log!S147="","",Brand_Log!S147&amp;""))</f>
        <v/>
      </c>
      <c r="I1147" s="17">
        <f>IF(B1147="","",IF(Brand_Log!N147="","",Brand_Log!N147&amp;""))</f>
        <v/>
      </c>
      <c r="J1147" s="17">
        <f>IF(B1147="","",IF(Brand_Log!T147="","","before_1500; "&amp;Brand_Log!T147))</f>
        <v/>
      </c>
      <c r="K1147" t="inlineStr">
        <is>
          <t>brand budget_probe before $1,500</t>
        </is>
      </c>
    </row>
    <row r="1148">
      <c r="A1148" s="17">
        <f>IF(B1148="","",B1148+(6*1000+147)/10000000)</f>
        <v/>
      </c>
      <c r="B1148" s="23">
        <f>IF(AND(Brand_Log!AN148=1,OR(ISNUMBER(Brand_Log!R148),TRIM(Brand_Log!S148)&lt;&gt;"")),Brand_Log!G148,"")</f>
        <v/>
      </c>
      <c r="C1148" s="17">
        <f>IF(B1148="","","brand")</f>
        <v/>
      </c>
      <c r="D1148" s="17">
        <f>IF(B1148="","",Brand_Log!$A148&amp;"")</f>
        <v/>
      </c>
      <c r="E1148" s="17">
        <f>IF(B1148="","",IF(Brand_Log!B148="","",Brand_Log!B148&amp;""))</f>
        <v/>
      </c>
      <c r="F1148" s="17">
        <f>IF(B1148="","","budget_probe")</f>
        <v/>
      </c>
      <c r="G1148" s="17">
        <f>IF(B1148="","",IF(ISNUMBER(Brand_Log!R148),Brand_Log!R148,""))</f>
        <v/>
      </c>
      <c r="H1148" s="17">
        <f>IF(B1148="","",IF(Brand_Log!S148="","",Brand_Log!S148&amp;""))</f>
        <v/>
      </c>
      <c r="I1148" s="17">
        <f>IF(B1148="","",IF(Brand_Log!N148="","",Brand_Log!N148&amp;""))</f>
        <v/>
      </c>
      <c r="J1148" s="17">
        <f>IF(B1148="","",IF(Brand_Log!T148="","","before_1500; "&amp;Brand_Log!T148))</f>
        <v/>
      </c>
      <c r="K1148" t="inlineStr">
        <is>
          <t>brand budget_probe before $1,500</t>
        </is>
      </c>
    </row>
    <row r="1149">
      <c r="A1149" s="17">
        <f>IF(B1149="","",B1149+(6*1000+148)/10000000)</f>
        <v/>
      </c>
      <c r="B1149" s="23">
        <f>IF(AND(Brand_Log!AN149=1,OR(ISNUMBER(Brand_Log!R149),TRIM(Brand_Log!S149)&lt;&gt;"")),Brand_Log!G149,"")</f>
        <v/>
      </c>
      <c r="C1149" s="17">
        <f>IF(B1149="","","brand")</f>
        <v/>
      </c>
      <c r="D1149" s="17">
        <f>IF(B1149="","",Brand_Log!$A149&amp;"")</f>
        <v/>
      </c>
      <c r="E1149" s="17">
        <f>IF(B1149="","",IF(Brand_Log!B149="","",Brand_Log!B149&amp;""))</f>
        <v/>
      </c>
      <c r="F1149" s="17">
        <f>IF(B1149="","","budget_probe")</f>
        <v/>
      </c>
      <c r="G1149" s="17">
        <f>IF(B1149="","",IF(ISNUMBER(Brand_Log!R149),Brand_Log!R149,""))</f>
        <v/>
      </c>
      <c r="H1149" s="17">
        <f>IF(B1149="","",IF(Brand_Log!S149="","",Brand_Log!S149&amp;""))</f>
        <v/>
      </c>
      <c r="I1149" s="17">
        <f>IF(B1149="","",IF(Brand_Log!N149="","",Brand_Log!N149&amp;""))</f>
        <v/>
      </c>
      <c r="J1149" s="17">
        <f>IF(B1149="","",IF(Brand_Log!T149="","","before_1500; "&amp;Brand_Log!T149))</f>
        <v/>
      </c>
      <c r="K1149" t="inlineStr">
        <is>
          <t>brand budget_probe before $1,500</t>
        </is>
      </c>
    </row>
    <row r="1150">
      <c r="A1150" s="17">
        <f>IF(B1150="","",B1150+(6*1000+149)/10000000)</f>
        <v/>
      </c>
      <c r="B1150" s="23">
        <f>IF(AND(Brand_Log!AN150=1,OR(ISNUMBER(Brand_Log!R150),TRIM(Brand_Log!S150)&lt;&gt;"")),Brand_Log!G150,"")</f>
        <v/>
      </c>
      <c r="C1150" s="17">
        <f>IF(B1150="","","brand")</f>
        <v/>
      </c>
      <c r="D1150" s="17">
        <f>IF(B1150="","",Brand_Log!$A150&amp;"")</f>
        <v/>
      </c>
      <c r="E1150" s="17">
        <f>IF(B1150="","",IF(Brand_Log!B150="","",Brand_Log!B150&amp;""))</f>
        <v/>
      </c>
      <c r="F1150" s="17">
        <f>IF(B1150="","","budget_probe")</f>
        <v/>
      </c>
      <c r="G1150" s="17">
        <f>IF(B1150="","",IF(ISNUMBER(Brand_Log!R150),Brand_Log!R150,""))</f>
        <v/>
      </c>
      <c r="H1150" s="17">
        <f>IF(B1150="","",IF(Brand_Log!S150="","",Brand_Log!S150&amp;""))</f>
        <v/>
      </c>
      <c r="I1150" s="17">
        <f>IF(B1150="","",IF(Brand_Log!N150="","",Brand_Log!N150&amp;""))</f>
        <v/>
      </c>
      <c r="J1150" s="17">
        <f>IF(B1150="","",IF(Brand_Log!T150="","","before_1500; "&amp;Brand_Log!T150))</f>
        <v/>
      </c>
      <c r="K1150" t="inlineStr">
        <is>
          <t>brand budget_probe before $1,500</t>
        </is>
      </c>
    </row>
    <row r="1151">
      <c r="A1151" s="17">
        <f>IF(B1151="","",B1151+(6*1000+150)/10000000)</f>
        <v/>
      </c>
      <c r="B1151" s="23">
        <f>IF(AND(Brand_Log!AN151=1,OR(ISNUMBER(Brand_Log!R151),TRIM(Brand_Log!S151)&lt;&gt;"")),Brand_Log!G151,"")</f>
        <v/>
      </c>
      <c r="C1151" s="17">
        <f>IF(B1151="","","brand")</f>
        <v/>
      </c>
      <c r="D1151" s="17">
        <f>IF(B1151="","",Brand_Log!$A151&amp;"")</f>
        <v/>
      </c>
      <c r="E1151" s="17">
        <f>IF(B1151="","",IF(Brand_Log!B151="","",Brand_Log!B151&amp;""))</f>
        <v/>
      </c>
      <c r="F1151" s="17">
        <f>IF(B1151="","","budget_probe")</f>
        <v/>
      </c>
      <c r="G1151" s="17">
        <f>IF(B1151="","",IF(ISNUMBER(Brand_Log!R151),Brand_Log!R151,""))</f>
        <v/>
      </c>
      <c r="H1151" s="17">
        <f>IF(B1151="","",IF(Brand_Log!S151="","",Brand_Log!S151&amp;""))</f>
        <v/>
      </c>
      <c r="I1151" s="17">
        <f>IF(B1151="","",IF(Brand_Log!N151="","",Brand_Log!N151&amp;""))</f>
        <v/>
      </c>
      <c r="J1151" s="17">
        <f>IF(B1151="","",IF(Brand_Log!T151="","","before_1500; "&amp;Brand_Log!T151))</f>
        <v/>
      </c>
      <c r="K1151" t="inlineStr">
        <is>
          <t>brand budget_probe before $1,500</t>
        </is>
      </c>
    </row>
    <row r="1152">
      <c r="A1152" s="17">
        <f>IF(B1152="","",B1152+(6*1000+151)/10000000)</f>
        <v/>
      </c>
      <c r="B1152" s="23">
        <f>IF(AND(Brand_Log!AN152=1,OR(ISNUMBER(Brand_Log!R152),TRIM(Brand_Log!S152)&lt;&gt;"")),Brand_Log!G152,"")</f>
        <v/>
      </c>
      <c r="C1152" s="17">
        <f>IF(B1152="","","brand")</f>
        <v/>
      </c>
      <c r="D1152" s="17">
        <f>IF(B1152="","",Brand_Log!$A152&amp;"")</f>
        <v/>
      </c>
      <c r="E1152" s="17">
        <f>IF(B1152="","",IF(Brand_Log!B152="","",Brand_Log!B152&amp;""))</f>
        <v/>
      </c>
      <c r="F1152" s="17">
        <f>IF(B1152="","","budget_probe")</f>
        <v/>
      </c>
      <c r="G1152" s="17">
        <f>IF(B1152="","",IF(ISNUMBER(Brand_Log!R152),Brand_Log!R152,""))</f>
        <v/>
      </c>
      <c r="H1152" s="17">
        <f>IF(B1152="","",IF(Brand_Log!S152="","",Brand_Log!S152&amp;""))</f>
        <v/>
      </c>
      <c r="I1152" s="17">
        <f>IF(B1152="","",IF(Brand_Log!N152="","",Brand_Log!N152&amp;""))</f>
        <v/>
      </c>
      <c r="J1152" s="17">
        <f>IF(B1152="","",IF(Brand_Log!T152="","","before_1500; "&amp;Brand_Log!T152))</f>
        <v/>
      </c>
      <c r="K1152" t="inlineStr">
        <is>
          <t>brand budget_probe before $1,500</t>
        </is>
      </c>
    </row>
    <row r="1153">
      <c r="A1153" s="17">
        <f>IF(B1153="","",B1153+(6*1000+152)/10000000)</f>
        <v/>
      </c>
      <c r="B1153" s="23">
        <f>IF(AND(Brand_Log!AN153=1,OR(ISNUMBER(Brand_Log!R153),TRIM(Brand_Log!S153)&lt;&gt;"")),Brand_Log!G153,"")</f>
        <v/>
      </c>
      <c r="C1153" s="17">
        <f>IF(B1153="","","brand")</f>
        <v/>
      </c>
      <c r="D1153" s="17">
        <f>IF(B1153="","",Brand_Log!$A153&amp;"")</f>
        <v/>
      </c>
      <c r="E1153" s="17">
        <f>IF(B1153="","",IF(Brand_Log!B153="","",Brand_Log!B153&amp;""))</f>
        <v/>
      </c>
      <c r="F1153" s="17">
        <f>IF(B1153="","","budget_probe")</f>
        <v/>
      </c>
      <c r="G1153" s="17">
        <f>IF(B1153="","",IF(ISNUMBER(Brand_Log!R153),Brand_Log!R153,""))</f>
        <v/>
      </c>
      <c r="H1153" s="17">
        <f>IF(B1153="","",IF(Brand_Log!S153="","",Brand_Log!S153&amp;""))</f>
        <v/>
      </c>
      <c r="I1153" s="17">
        <f>IF(B1153="","",IF(Brand_Log!N153="","",Brand_Log!N153&amp;""))</f>
        <v/>
      </c>
      <c r="J1153" s="17">
        <f>IF(B1153="","",IF(Brand_Log!T153="","","before_1500; "&amp;Brand_Log!T153))</f>
        <v/>
      </c>
      <c r="K1153" t="inlineStr">
        <is>
          <t>brand budget_probe before $1,500</t>
        </is>
      </c>
    </row>
    <row r="1154">
      <c r="A1154" s="17">
        <f>IF(B1154="","",B1154+(6*1000+153)/10000000)</f>
        <v/>
      </c>
      <c r="B1154" s="23">
        <f>IF(AND(Brand_Log!AN154=1,OR(ISNUMBER(Brand_Log!R154),TRIM(Brand_Log!S154)&lt;&gt;"")),Brand_Log!G154,"")</f>
        <v/>
      </c>
      <c r="C1154" s="17">
        <f>IF(B1154="","","brand")</f>
        <v/>
      </c>
      <c r="D1154" s="17">
        <f>IF(B1154="","",Brand_Log!$A154&amp;"")</f>
        <v/>
      </c>
      <c r="E1154" s="17">
        <f>IF(B1154="","",IF(Brand_Log!B154="","",Brand_Log!B154&amp;""))</f>
        <v/>
      </c>
      <c r="F1154" s="17">
        <f>IF(B1154="","","budget_probe")</f>
        <v/>
      </c>
      <c r="G1154" s="17">
        <f>IF(B1154="","",IF(ISNUMBER(Brand_Log!R154),Brand_Log!R154,""))</f>
        <v/>
      </c>
      <c r="H1154" s="17">
        <f>IF(B1154="","",IF(Brand_Log!S154="","",Brand_Log!S154&amp;""))</f>
        <v/>
      </c>
      <c r="I1154" s="17">
        <f>IF(B1154="","",IF(Brand_Log!N154="","",Brand_Log!N154&amp;""))</f>
        <v/>
      </c>
      <c r="J1154" s="17">
        <f>IF(B1154="","",IF(Brand_Log!T154="","","before_1500; "&amp;Brand_Log!T154))</f>
        <v/>
      </c>
      <c r="K1154" t="inlineStr">
        <is>
          <t>brand budget_probe before $1,500</t>
        </is>
      </c>
    </row>
    <row r="1155">
      <c r="A1155" s="17">
        <f>IF(B1155="","",B1155+(6*1000+154)/10000000)</f>
        <v/>
      </c>
      <c r="B1155" s="23">
        <f>IF(AND(Brand_Log!AN155=1,OR(ISNUMBER(Brand_Log!R155),TRIM(Brand_Log!S155)&lt;&gt;"")),Brand_Log!G155,"")</f>
        <v/>
      </c>
      <c r="C1155" s="17">
        <f>IF(B1155="","","brand")</f>
        <v/>
      </c>
      <c r="D1155" s="17">
        <f>IF(B1155="","",Brand_Log!$A155&amp;"")</f>
        <v/>
      </c>
      <c r="E1155" s="17">
        <f>IF(B1155="","",IF(Brand_Log!B155="","",Brand_Log!B155&amp;""))</f>
        <v/>
      </c>
      <c r="F1155" s="17">
        <f>IF(B1155="","","budget_probe")</f>
        <v/>
      </c>
      <c r="G1155" s="17">
        <f>IF(B1155="","",IF(ISNUMBER(Brand_Log!R155),Brand_Log!R155,""))</f>
        <v/>
      </c>
      <c r="H1155" s="17">
        <f>IF(B1155="","",IF(Brand_Log!S155="","",Brand_Log!S155&amp;""))</f>
        <v/>
      </c>
      <c r="I1155" s="17">
        <f>IF(B1155="","",IF(Brand_Log!N155="","",Brand_Log!N155&amp;""))</f>
        <v/>
      </c>
      <c r="J1155" s="17">
        <f>IF(B1155="","",IF(Brand_Log!T155="","","before_1500; "&amp;Brand_Log!T155))</f>
        <v/>
      </c>
      <c r="K1155" t="inlineStr">
        <is>
          <t>brand budget_probe before $1,500</t>
        </is>
      </c>
    </row>
    <row r="1156">
      <c r="A1156" s="17">
        <f>IF(B1156="","",B1156+(6*1000+155)/10000000)</f>
        <v/>
      </c>
      <c r="B1156" s="23">
        <f>IF(AND(Brand_Log!AN156=1,OR(ISNUMBER(Brand_Log!R156),TRIM(Brand_Log!S156)&lt;&gt;"")),Brand_Log!G156,"")</f>
        <v/>
      </c>
      <c r="C1156" s="17">
        <f>IF(B1156="","","brand")</f>
        <v/>
      </c>
      <c r="D1156" s="17">
        <f>IF(B1156="","",Brand_Log!$A156&amp;"")</f>
        <v/>
      </c>
      <c r="E1156" s="17">
        <f>IF(B1156="","",IF(Brand_Log!B156="","",Brand_Log!B156&amp;""))</f>
        <v/>
      </c>
      <c r="F1156" s="17">
        <f>IF(B1156="","","budget_probe")</f>
        <v/>
      </c>
      <c r="G1156" s="17">
        <f>IF(B1156="","",IF(ISNUMBER(Brand_Log!R156),Brand_Log!R156,""))</f>
        <v/>
      </c>
      <c r="H1156" s="17">
        <f>IF(B1156="","",IF(Brand_Log!S156="","",Brand_Log!S156&amp;""))</f>
        <v/>
      </c>
      <c r="I1156" s="17">
        <f>IF(B1156="","",IF(Brand_Log!N156="","",Brand_Log!N156&amp;""))</f>
        <v/>
      </c>
      <c r="J1156" s="17">
        <f>IF(B1156="","",IF(Brand_Log!T156="","","before_1500; "&amp;Brand_Log!T156))</f>
        <v/>
      </c>
      <c r="K1156" t="inlineStr">
        <is>
          <t>brand budget_probe before $1,500</t>
        </is>
      </c>
    </row>
    <row r="1157">
      <c r="A1157" s="17">
        <f>IF(B1157="","",B1157+(6*1000+156)/10000000)</f>
        <v/>
      </c>
      <c r="B1157" s="23">
        <f>IF(AND(Brand_Log!AN157=1,OR(ISNUMBER(Brand_Log!R157),TRIM(Brand_Log!S157)&lt;&gt;"")),Brand_Log!G157,"")</f>
        <v/>
      </c>
      <c r="C1157" s="17">
        <f>IF(B1157="","","brand")</f>
        <v/>
      </c>
      <c r="D1157" s="17">
        <f>IF(B1157="","",Brand_Log!$A157&amp;"")</f>
        <v/>
      </c>
      <c r="E1157" s="17">
        <f>IF(B1157="","",IF(Brand_Log!B157="","",Brand_Log!B157&amp;""))</f>
        <v/>
      </c>
      <c r="F1157" s="17">
        <f>IF(B1157="","","budget_probe")</f>
        <v/>
      </c>
      <c r="G1157" s="17">
        <f>IF(B1157="","",IF(ISNUMBER(Brand_Log!R157),Brand_Log!R157,""))</f>
        <v/>
      </c>
      <c r="H1157" s="17">
        <f>IF(B1157="","",IF(Brand_Log!S157="","",Brand_Log!S157&amp;""))</f>
        <v/>
      </c>
      <c r="I1157" s="17">
        <f>IF(B1157="","",IF(Brand_Log!N157="","",Brand_Log!N157&amp;""))</f>
        <v/>
      </c>
      <c r="J1157" s="17">
        <f>IF(B1157="","",IF(Brand_Log!T157="","","before_1500; "&amp;Brand_Log!T157))</f>
        <v/>
      </c>
      <c r="K1157" t="inlineStr">
        <is>
          <t>brand budget_probe before $1,500</t>
        </is>
      </c>
    </row>
    <row r="1158">
      <c r="A1158" s="17">
        <f>IF(B1158="","",B1158+(6*1000+157)/10000000)</f>
        <v/>
      </c>
      <c r="B1158" s="23">
        <f>IF(AND(Brand_Log!AN158=1,OR(ISNUMBER(Brand_Log!R158),TRIM(Brand_Log!S158)&lt;&gt;"")),Brand_Log!G158,"")</f>
        <v/>
      </c>
      <c r="C1158" s="17">
        <f>IF(B1158="","","brand")</f>
        <v/>
      </c>
      <c r="D1158" s="17">
        <f>IF(B1158="","",Brand_Log!$A158&amp;"")</f>
        <v/>
      </c>
      <c r="E1158" s="17">
        <f>IF(B1158="","",IF(Brand_Log!B158="","",Brand_Log!B158&amp;""))</f>
        <v/>
      </c>
      <c r="F1158" s="17">
        <f>IF(B1158="","","budget_probe")</f>
        <v/>
      </c>
      <c r="G1158" s="17">
        <f>IF(B1158="","",IF(ISNUMBER(Brand_Log!R158),Brand_Log!R158,""))</f>
        <v/>
      </c>
      <c r="H1158" s="17">
        <f>IF(B1158="","",IF(Brand_Log!S158="","",Brand_Log!S158&amp;""))</f>
        <v/>
      </c>
      <c r="I1158" s="17">
        <f>IF(B1158="","",IF(Brand_Log!N158="","",Brand_Log!N158&amp;""))</f>
        <v/>
      </c>
      <c r="J1158" s="17">
        <f>IF(B1158="","",IF(Brand_Log!T158="","","before_1500; "&amp;Brand_Log!T158))</f>
        <v/>
      </c>
      <c r="K1158" t="inlineStr">
        <is>
          <t>brand budget_probe before $1,500</t>
        </is>
      </c>
    </row>
    <row r="1159">
      <c r="A1159" s="17">
        <f>IF(B1159="","",B1159+(6*1000+158)/10000000)</f>
        <v/>
      </c>
      <c r="B1159" s="23">
        <f>IF(AND(Brand_Log!AN159=1,OR(ISNUMBER(Brand_Log!R159),TRIM(Brand_Log!S159)&lt;&gt;"")),Brand_Log!G159,"")</f>
        <v/>
      </c>
      <c r="C1159" s="17">
        <f>IF(B1159="","","brand")</f>
        <v/>
      </c>
      <c r="D1159" s="17">
        <f>IF(B1159="","",Brand_Log!$A159&amp;"")</f>
        <v/>
      </c>
      <c r="E1159" s="17">
        <f>IF(B1159="","",IF(Brand_Log!B159="","",Brand_Log!B159&amp;""))</f>
        <v/>
      </c>
      <c r="F1159" s="17">
        <f>IF(B1159="","","budget_probe")</f>
        <v/>
      </c>
      <c r="G1159" s="17">
        <f>IF(B1159="","",IF(ISNUMBER(Brand_Log!R159),Brand_Log!R159,""))</f>
        <v/>
      </c>
      <c r="H1159" s="17">
        <f>IF(B1159="","",IF(Brand_Log!S159="","",Brand_Log!S159&amp;""))</f>
        <v/>
      </c>
      <c r="I1159" s="17">
        <f>IF(B1159="","",IF(Brand_Log!N159="","",Brand_Log!N159&amp;""))</f>
        <v/>
      </c>
      <c r="J1159" s="17">
        <f>IF(B1159="","",IF(Brand_Log!T159="","","before_1500; "&amp;Brand_Log!T159))</f>
        <v/>
      </c>
      <c r="K1159" t="inlineStr">
        <is>
          <t>brand budget_probe before $1,500</t>
        </is>
      </c>
    </row>
    <row r="1160">
      <c r="A1160" s="17">
        <f>IF(B1160="","",B1160+(6*1000+159)/10000000)</f>
        <v/>
      </c>
      <c r="B1160" s="23">
        <f>IF(AND(Brand_Log!AN160=1,OR(ISNUMBER(Brand_Log!R160),TRIM(Brand_Log!S160)&lt;&gt;"")),Brand_Log!G160,"")</f>
        <v/>
      </c>
      <c r="C1160" s="17">
        <f>IF(B1160="","","brand")</f>
        <v/>
      </c>
      <c r="D1160" s="17">
        <f>IF(B1160="","",Brand_Log!$A160&amp;"")</f>
        <v/>
      </c>
      <c r="E1160" s="17">
        <f>IF(B1160="","",IF(Brand_Log!B160="","",Brand_Log!B160&amp;""))</f>
        <v/>
      </c>
      <c r="F1160" s="17">
        <f>IF(B1160="","","budget_probe")</f>
        <v/>
      </c>
      <c r="G1160" s="17">
        <f>IF(B1160="","",IF(ISNUMBER(Brand_Log!R160),Brand_Log!R160,""))</f>
        <v/>
      </c>
      <c r="H1160" s="17">
        <f>IF(B1160="","",IF(Brand_Log!S160="","",Brand_Log!S160&amp;""))</f>
        <v/>
      </c>
      <c r="I1160" s="17">
        <f>IF(B1160="","",IF(Brand_Log!N160="","",Brand_Log!N160&amp;""))</f>
        <v/>
      </c>
      <c r="J1160" s="17">
        <f>IF(B1160="","",IF(Brand_Log!T160="","","before_1500; "&amp;Brand_Log!T160))</f>
        <v/>
      </c>
      <c r="K1160" t="inlineStr">
        <is>
          <t>brand budget_probe before $1,500</t>
        </is>
      </c>
    </row>
    <row r="1161">
      <c r="A1161" s="17">
        <f>IF(B1161="","",B1161+(6*1000+160)/10000000)</f>
        <v/>
      </c>
      <c r="B1161" s="23">
        <f>IF(AND(Brand_Log!AN161=1,OR(ISNUMBER(Brand_Log!R161),TRIM(Brand_Log!S161)&lt;&gt;"")),Brand_Log!G161,"")</f>
        <v/>
      </c>
      <c r="C1161" s="17">
        <f>IF(B1161="","","brand")</f>
        <v/>
      </c>
      <c r="D1161" s="17">
        <f>IF(B1161="","",Brand_Log!$A161&amp;"")</f>
        <v/>
      </c>
      <c r="E1161" s="17">
        <f>IF(B1161="","",IF(Brand_Log!B161="","",Brand_Log!B161&amp;""))</f>
        <v/>
      </c>
      <c r="F1161" s="17">
        <f>IF(B1161="","","budget_probe")</f>
        <v/>
      </c>
      <c r="G1161" s="17">
        <f>IF(B1161="","",IF(ISNUMBER(Brand_Log!R161),Brand_Log!R161,""))</f>
        <v/>
      </c>
      <c r="H1161" s="17">
        <f>IF(B1161="","",IF(Brand_Log!S161="","",Brand_Log!S161&amp;""))</f>
        <v/>
      </c>
      <c r="I1161" s="17">
        <f>IF(B1161="","",IF(Brand_Log!N161="","",Brand_Log!N161&amp;""))</f>
        <v/>
      </c>
      <c r="J1161" s="17">
        <f>IF(B1161="","",IF(Brand_Log!T161="","","before_1500; "&amp;Brand_Log!T161))</f>
        <v/>
      </c>
      <c r="K1161" t="inlineStr">
        <is>
          <t>brand budget_probe before $1,500</t>
        </is>
      </c>
    </row>
    <row r="1162">
      <c r="A1162" s="17">
        <f>IF(B1162="","",B1162+(6*1000+161)/10000000)</f>
        <v/>
      </c>
      <c r="B1162" s="23">
        <f>IF(AND(Brand_Log!AN162=1,OR(ISNUMBER(Brand_Log!R162),TRIM(Brand_Log!S162)&lt;&gt;"")),Brand_Log!G162,"")</f>
        <v/>
      </c>
      <c r="C1162" s="17">
        <f>IF(B1162="","","brand")</f>
        <v/>
      </c>
      <c r="D1162" s="17">
        <f>IF(B1162="","",Brand_Log!$A162&amp;"")</f>
        <v/>
      </c>
      <c r="E1162" s="17">
        <f>IF(B1162="","",IF(Brand_Log!B162="","",Brand_Log!B162&amp;""))</f>
        <v/>
      </c>
      <c r="F1162" s="17">
        <f>IF(B1162="","","budget_probe")</f>
        <v/>
      </c>
      <c r="G1162" s="17">
        <f>IF(B1162="","",IF(ISNUMBER(Brand_Log!R162),Brand_Log!R162,""))</f>
        <v/>
      </c>
      <c r="H1162" s="17">
        <f>IF(B1162="","",IF(Brand_Log!S162="","",Brand_Log!S162&amp;""))</f>
        <v/>
      </c>
      <c r="I1162" s="17">
        <f>IF(B1162="","",IF(Brand_Log!N162="","",Brand_Log!N162&amp;""))</f>
        <v/>
      </c>
      <c r="J1162" s="17">
        <f>IF(B1162="","",IF(Brand_Log!T162="","","before_1500; "&amp;Brand_Log!T162))</f>
        <v/>
      </c>
      <c r="K1162" t="inlineStr">
        <is>
          <t>brand budget_probe before $1,500</t>
        </is>
      </c>
    </row>
    <row r="1163">
      <c r="A1163" s="17">
        <f>IF(B1163="","",B1163+(6*1000+162)/10000000)</f>
        <v/>
      </c>
      <c r="B1163" s="23">
        <f>IF(AND(Brand_Log!AN163=1,OR(ISNUMBER(Brand_Log!R163),TRIM(Brand_Log!S163)&lt;&gt;"")),Brand_Log!G163,"")</f>
        <v/>
      </c>
      <c r="C1163" s="17">
        <f>IF(B1163="","","brand")</f>
        <v/>
      </c>
      <c r="D1163" s="17">
        <f>IF(B1163="","",Brand_Log!$A163&amp;"")</f>
        <v/>
      </c>
      <c r="E1163" s="17">
        <f>IF(B1163="","",IF(Brand_Log!B163="","",Brand_Log!B163&amp;""))</f>
        <v/>
      </c>
      <c r="F1163" s="17">
        <f>IF(B1163="","","budget_probe")</f>
        <v/>
      </c>
      <c r="G1163" s="17">
        <f>IF(B1163="","",IF(ISNUMBER(Brand_Log!R163),Brand_Log!R163,""))</f>
        <v/>
      </c>
      <c r="H1163" s="17">
        <f>IF(B1163="","",IF(Brand_Log!S163="","",Brand_Log!S163&amp;""))</f>
        <v/>
      </c>
      <c r="I1163" s="17">
        <f>IF(B1163="","",IF(Brand_Log!N163="","",Brand_Log!N163&amp;""))</f>
        <v/>
      </c>
      <c r="J1163" s="17">
        <f>IF(B1163="","",IF(Brand_Log!T163="","","before_1500; "&amp;Brand_Log!T163))</f>
        <v/>
      </c>
      <c r="K1163" t="inlineStr">
        <is>
          <t>brand budget_probe before $1,500</t>
        </is>
      </c>
    </row>
    <row r="1164">
      <c r="A1164" s="17">
        <f>IF(B1164="","",B1164+(6*1000+163)/10000000)</f>
        <v/>
      </c>
      <c r="B1164" s="23">
        <f>IF(AND(Brand_Log!AN164=1,OR(ISNUMBER(Brand_Log!R164),TRIM(Brand_Log!S164)&lt;&gt;"")),Brand_Log!G164,"")</f>
        <v/>
      </c>
      <c r="C1164" s="17">
        <f>IF(B1164="","","brand")</f>
        <v/>
      </c>
      <c r="D1164" s="17">
        <f>IF(B1164="","",Brand_Log!$A164&amp;"")</f>
        <v/>
      </c>
      <c r="E1164" s="17">
        <f>IF(B1164="","",IF(Brand_Log!B164="","",Brand_Log!B164&amp;""))</f>
        <v/>
      </c>
      <c r="F1164" s="17">
        <f>IF(B1164="","","budget_probe")</f>
        <v/>
      </c>
      <c r="G1164" s="17">
        <f>IF(B1164="","",IF(ISNUMBER(Brand_Log!R164),Brand_Log!R164,""))</f>
        <v/>
      </c>
      <c r="H1164" s="17">
        <f>IF(B1164="","",IF(Brand_Log!S164="","",Brand_Log!S164&amp;""))</f>
        <v/>
      </c>
      <c r="I1164" s="17">
        <f>IF(B1164="","",IF(Brand_Log!N164="","",Brand_Log!N164&amp;""))</f>
        <v/>
      </c>
      <c r="J1164" s="17">
        <f>IF(B1164="","",IF(Brand_Log!T164="","","before_1500; "&amp;Brand_Log!T164))</f>
        <v/>
      </c>
      <c r="K1164" t="inlineStr">
        <is>
          <t>brand budget_probe before $1,500</t>
        </is>
      </c>
    </row>
    <row r="1165">
      <c r="A1165" s="17">
        <f>IF(B1165="","",B1165+(6*1000+164)/10000000)</f>
        <v/>
      </c>
      <c r="B1165" s="23">
        <f>IF(AND(Brand_Log!AN165=1,OR(ISNUMBER(Brand_Log!R165),TRIM(Brand_Log!S165)&lt;&gt;"")),Brand_Log!G165,"")</f>
        <v/>
      </c>
      <c r="C1165" s="17">
        <f>IF(B1165="","","brand")</f>
        <v/>
      </c>
      <c r="D1165" s="17">
        <f>IF(B1165="","",Brand_Log!$A165&amp;"")</f>
        <v/>
      </c>
      <c r="E1165" s="17">
        <f>IF(B1165="","",IF(Brand_Log!B165="","",Brand_Log!B165&amp;""))</f>
        <v/>
      </c>
      <c r="F1165" s="17">
        <f>IF(B1165="","","budget_probe")</f>
        <v/>
      </c>
      <c r="G1165" s="17">
        <f>IF(B1165="","",IF(ISNUMBER(Brand_Log!R165),Brand_Log!R165,""))</f>
        <v/>
      </c>
      <c r="H1165" s="17">
        <f>IF(B1165="","",IF(Brand_Log!S165="","",Brand_Log!S165&amp;""))</f>
        <v/>
      </c>
      <c r="I1165" s="17">
        <f>IF(B1165="","",IF(Brand_Log!N165="","",Brand_Log!N165&amp;""))</f>
        <v/>
      </c>
      <c r="J1165" s="17">
        <f>IF(B1165="","",IF(Brand_Log!T165="","","before_1500; "&amp;Brand_Log!T165))</f>
        <v/>
      </c>
      <c r="K1165" t="inlineStr">
        <is>
          <t>brand budget_probe before $1,500</t>
        </is>
      </c>
    </row>
    <row r="1166">
      <c r="A1166" s="17">
        <f>IF(B1166="","",B1166+(6*1000+165)/10000000)</f>
        <v/>
      </c>
      <c r="B1166" s="23">
        <f>IF(AND(Brand_Log!AN166=1,OR(ISNUMBER(Brand_Log!R166),TRIM(Brand_Log!S166)&lt;&gt;"")),Brand_Log!G166,"")</f>
        <v/>
      </c>
      <c r="C1166" s="17">
        <f>IF(B1166="","","brand")</f>
        <v/>
      </c>
      <c r="D1166" s="17">
        <f>IF(B1166="","",Brand_Log!$A166&amp;"")</f>
        <v/>
      </c>
      <c r="E1166" s="17">
        <f>IF(B1166="","",IF(Brand_Log!B166="","",Brand_Log!B166&amp;""))</f>
        <v/>
      </c>
      <c r="F1166" s="17">
        <f>IF(B1166="","","budget_probe")</f>
        <v/>
      </c>
      <c r="G1166" s="17">
        <f>IF(B1166="","",IF(ISNUMBER(Brand_Log!R166),Brand_Log!R166,""))</f>
        <v/>
      </c>
      <c r="H1166" s="17">
        <f>IF(B1166="","",IF(Brand_Log!S166="","",Brand_Log!S166&amp;""))</f>
        <v/>
      </c>
      <c r="I1166" s="17">
        <f>IF(B1166="","",IF(Brand_Log!N166="","",Brand_Log!N166&amp;""))</f>
        <v/>
      </c>
      <c r="J1166" s="17">
        <f>IF(B1166="","",IF(Brand_Log!T166="","","before_1500; "&amp;Brand_Log!T166))</f>
        <v/>
      </c>
      <c r="K1166" t="inlineStr">
        <is>
          <t>brand budget_probe before $1,500</t>
        </is>
      </c>
    </row>
    <row r="1167">
      <c r="A1167" s="17">
        <f>IF(B1167="","",B1167+(6*1000+166)/10000000)</f>
        <v/>
      </c>
      <c r="B1167" s="23">
        <f>IF(AND(Brand_Log!AN167=1,OR(ISNUMBER(Brand_Log!R167),TRIM(Brand_Log!S167)&lt;&gt;"")),Brand_Log!G167,"")</f>
        <v/>
      </c>
      <c r="C1167" s="17">
        <f>IF(B1167="","","brand")</f>
        <v/>
      </c>
      <c r="D1167" s="17">
        <f>IF(B1167="","",Brand_Log!$A167&amp;"")</f>
        <v/>
      </c>
      <c r="E1167" s="17">
        <f>IF(B1167="","",IF(Brand_Log!B167="","",Brand_Log!B167&amp;""))</f>
        <v/>
      </c>
      <c r="F1167" s="17">
        <f>IF(B1167="","","budget_probe")</f>
        <v/>
      </c>
      <c r="G1167" s="17">
        <f>IF(B1167="","",IF(ISNUMBER(Brand_Log!R167),Brand_Log!R167,""))</f>
        <v/>
      </c>
      <c r="H1167" s="17">
        <f>IF(B1167="","",IF(Brand_Log!S167="","",Brand_Log!S167&amp;""))</f>
        <v/>
      </c>
      <c r="I1167" s="17">
        <f>IF(B1167="","",IF(Brand_Log!N167="","",Brand_Log!N167&amp;""))</f>
        <v/>
      </c>
      <c r="J1167" s="17">
        <f>IF(B1167="","",IF(Brand_Log!T167="","","before_1500; "&amp;Brand_Log!T167))</f>
        <v/>
      </c>
      <c r="K1167" t="inlineStr">
        <is>
          <t>brand budget_probe before $1,500</t>
        </is>
      </c>
    </row>
    <row r="1168">
      <c r="A1168" s="17">
        <f>IF(B1168="","",B1168+(6*1000+167)/10000000)</f>
        <v/>
      </c>
      <c r="B1168" s="23">
        <f>IF(AND(Brand_Log!AN168=1,OR(ISNUMBER(Brand_Log!R168),TRIM(Brand_Log!S168)&lt;&gt;"")),Brand_Log!G168,"")</f>
        <v/>
      </c>
      <c r="C1168" s="17">
        <f>IF(B1168="","","brand")</f>
        <v/>
      </c>
      <c r="D1168" s="17">
        <f>IF(B1168="","",Brand_Log!$A168&amp;"")</f>
        <v/>
      </c>
      <c r="E1168" s="17">
        <f>IF(B1168="","",IF(Brand_Log!B168="","",Brand_Log!B168&amp;""))</f>
        <v/>
      </c>
      <c r="F1168" s="17">
        <f>IF(B1168="","","budget_probe")</f>
        <v/>
      </c>
      <c r="G1168" s="17">
        <f>IF(B1168="","",IF(ISNUMBER(Brand_Log!R168),Brand_Log!R168,""))</f>
        <v/>
      </c>
      <c r="H1168" s="17">
        <f>IF(B1168="","",IF(Brand_Log!S168="","",Brand_Log!S168&amp;""))</f>
        <v/>
      </c>
      <c r="I1168" s="17">
        <f>IF(B1168="","",IF(Brand_Log!N168="","",Brand_Log!N168&amp;""))</f>
        <v/>
      </c>
      <c r="J1168" s="17">
        <f>IF(B1168="","",IF(Brand_Log!T168="","","before_1500; "&amp;Brand_Log!T168))</f>
        <v/>
      </c>
      <c r="K1168" t="inlineStr">
        <is>
          <t>brand budget_probe before $1,500</t>
        </is>
      </c>
    </row>
    <row r="1169">
      <c r="A1169" s="17">
        <f>IF(B1169="","",B1169+(6*1000+168)/10000000)</f>
        <v/>
      </c>
      <c r="B1169" s="23">
        <f>IF(AND(Brand_Log!AN169=1,OR(ISNUMBER(Brand_Log!R169),TRIM(Brand_Log!S169)&lt;&gt;"")),Brand_Log!G169,"")</f>
        <v/>
      </c>
      <c r="C1169" s="17">
        <f>IF(B1169="","","brand")</f>
        <v/>
      </c>
      <c r="D1169" s="17">
        <f>IF(B1169="","",Brand_Log!$A169&amp;"")</f>
        <v/>
      </c>
      <c r="E1169" s="17">
        <f>IF(B1169="","",IF(Brand_Log!B169="","",Brand_Log!B169&amp;""))</f>
        <v/>
      </c>
      <c r="F1169" s="17">
        <f>IF(B1169="","","budget_probe")</f>
        <v/>
      </c>
      <c r="G1169" s="17">
        <f>IF(B1169="","",IF(ISNUMBER(Brand_Log!R169),Brand_Log!R169,""))</f>
        <v/>
      </c>
      <c r="H1169" s="17">
        <f>IF(B1169="","",IF(Brand_Log!S169="","",Brand_Log!S169&amp;""))</f>
        <v/>
      </c>
      <c r="I1169" s="17">
        <f>IF(B1169="","",IF(Brand_Log!N169="","",Brand_Log!N169&amp;""))</f>
        <v/>
      </c>
      <c r="J1169" s="17">
        <f>IF(B1169="","",IF(Brand_Log!T169="","","before_1500; "&amp;Brand_Log!T169))</f>
        <v/>
      </c>
      <c r="K1169" t="inlineStr">
        <is>
          <t>brand budget_probe before $1,500</t>
        </is>
      </c>
    </row>
    <row r="1170">
      <c r="A1170" s="17">
        <f>IF(B1170="","",B1170+(6*1000+169)/10000000)</f>
        <v/>
      </c>
      <c r="B1170" s="23">
        <f>IF(AND(Brand_Log!AN170=1,OR(ISNUMBER(Brand_Log!R170),TRIM(Brand_Log!S170)&lt;&gt;"")),Brand_Log!G170,"")</f>
        <v/>
      </c>
      <c r="C1170" s="17">
        <f>IF(B1170="","","brand")</f>
        <v/>
      </c>
      <c r="D1170" s="17">
        <f>IF(B1170="","",Brand_Log!$A170&amp;"")</f>
        <v/>
      </c>
      <c r="E1170" s="17">
        <f>IF(B1170="","",IF(Brand_Log!B170="","",Brand_Log!B170&amp;""))</f>
        <v/>
      </c>
      <c r="F1170" s="17">
        <f>IF(B1170="","","budget_probe")</f>
        <v/>
      </c>
      <c r="G1170" s="17">
        <f>IF(B1170="","",IF(ISNUMBER(Brand_Log!R170),Brand_Log!R170,""))</f>
        <v/>
      </c>
      <c r="H1170" s="17">
        <f>IF(B1170="","",IF(Brand_Log!S170="","",Brand_Log!S170&amp;""))</f>
        <v/>
      </c>
      <c r="I1170" s="17">
        <f>IF(B1170="","",IF(Brand_Log!N170="","",Brand_Log!N170&amp;""))</f>
        <v/>
      </c>
      <c r="J1170" s="17">
        <f>IF(B1170="","",IF(Brand_Log!T170="","","before_1500; "&amp;Brand_Log!T170))</f>
        <v/>
      </c>
      <c r="K1170" t="inlineStr">
        <is>
          <t>brand budget_probe before $1,500</t>
        </is>
      </c>
    </row>
    <row r="1171">
      <c r="A1171" s="17">
        <f>IF(B1171="","",B1171+(6*1000+170)/10000000)</f>
        <v/>
      </c>
      <c r="B1171" s="23">
        <f>IF(AND(Brand_Log!AN171=1,OR(ISNUMBER(Brand_Log!R171),TRIM(Brand_Log!S171)&lt;&gt;"")),Brand_Log!G171,"")</f>
        <v/>
      </c>
      <c r="C1171" s="17">
        <f>IF(B1171="","","brand")</f>
        <v/>
      </c>
      <c r="D1171" s="17">
        <f>IF(B1171="","",Brand_Log!$A171&amp;"")</f>
        <v/>
      </c>
      <c r="E1171" s="17">
        <f>IF(B1171="","",IF(Brand_Log!B171="","",Brand_Log!B171&amp;""))</f>
        <v/>
      </c>
      <c r="F1171" s="17">
        <f>IF(B1171="","","budget_probe")</f>
        <v/>
      </c>
      <c r="G1171" s="17">
        <f>IF(B1171="","",IF(ISNUMBER(Brand_Log!R171),Brand_Log!R171,""))</f>
        <v/>
      </c>
      <c r="H1171" s="17">
        <f>IF(B1171="","",IF(Brand_Log!S171="","",Brand_Log!S171&amp;""))</f>
        <v/>
      </c>
      <c r="I1171" s="17">
        <f>IF(B1171="","",IF(Brand_Log!N171="","",Brand_Log!N171&amp;""))</f>
        <v/>
      </c>
      <c r="J1171" s="17">
        <f>IF(B1171="","",IF(Brand_Log!T171="","","before_1500; "&amp;Brand_Log!T171))</f>
        <v/>
      </c>
      <c r="K1171" t="inlineStr">
        <is>
          <t>brand budget_probe before $1,500</t>
        </is>
      </c>
    </row>
    <row r="1172">
      <c r="A1172" s="17">
        <f>IF(B1172="","",B1172+(6*1000+171)/10000000)</f>
        <v/>
      </c>
      <c r="B1172" s="23">
        <f>IF(AND(Brand_Log!AN172=1,OR(ISNUMBER(Brand_Log!R172),TRIM(Brand_Log!S172)&lt;&gt;"")),Brand_Log!G172,"")</f>
        <v/>
      </c>
      <c r="C1172" s="17">
        <f>IF(B1172="","","brand")</f>
        <v/>
      </c>
      <c r="D1172" s="17">
        <f>IF(B1172="","",Brand_Log!$A172&amp;"")</f>
        <v/>
      </c>
      <c r="E1172" s="17">
        <f>IF(B1172="","",IF(Brand_Log!B172="","",Brand_Log!B172&amp;""))</f>
        <v/>
      </c>
      <c r="F1172" s="17">
        <f>IF(B1172="","","budget_probe")</f>
        <v/>
      </c>
      <c r="G1172" s="17">
        <f>IF(B1172="","",IF(ISNUMBER(Brand_Log!R172),Brand_Log!R172,""))</f>
        <v/>
      </c>
      <c r="H1172" s="17">
        <f>IF(B1172="","",IF(Brand_Log!S172="","",Brand_Log!S172&amp;""))</f>
        <v/>
      </c>
      <c r="I1172" s="17">
        <f>IF(B1172="","",IF(Brand_Log!N172="","",Brand_Log!N172&amp;""))</f>
        <v/>
      </c>
      <c r="J1172" s="17">
        <f>IF(B1172="","",IF(Brand_Log!T172="","","before_1500; "&amp;Brand_Log!T172))</f>
        <v/>
      </c>
      <c r="K1172" t="inlineStr">
        <is>
          <t>brand budget_probe before $1,500</t>
        </is>
      </c>
    </row>
    <row r="1173">
      <c r="A1173" s="17">
        <f>IF(B1173="","",B1173+(6*1000+172)/10000000)</f>
        <v/>
      </c>
      <c r="B1173" s="23">
        <f>IF(AND(Brand_Log!AN173=1,OR(ISNUMBER(Brand_Log!R173),TRIM(Brand_Log!S173)&lt;&gt;"")),Brand_Log!G173,"")</f>
        <v/>
      </c>
      <c r="C1173" s="17">
        <f>IF(B1173="","","brand")</f>
        <v/>
      </c>
      <c r="D1173" s="17">
        <f>IF(B1173="","",Brand_Log!$A173&amp;"")</f>
        <v/>
      </c>
      <c r="E1173" s="17">
        <f>IF(B1173="","",IF(Brand_Log!B173="","",Brand_Log!B173&amp;""))</f>
        <v/>
      </c>
      <c r="F1173" s="17">
        <f>IF(B1173="","","budget_probe")</f>
        <v/>
      </c>
      <c r="G1173" s="17">
        <f>IF(B1173="","",IF(ISNUMBER(Brand_Log!R173),Brand_Log!R173,""))</f>
        <v/>
      </c>
      <c r="H1173" s="17">
        <f>IF(B1173="","",IF(Brand_Log!S173="","",Brand_Log!S173&amp;""))</f>
        <v/>
      </c>
      <c r="I1173" s="17">
        <f>IF(B1173="","",IF(Brand_Log!N173="","",Brand_Log!N173&amp;""))</f>
        <v/>
      </c>
      <c r="J1173" s="17">
        <f>IF(B1173="","",IF(Brand_Log!T173="","","before_1500; "&amp;Brand_Log!T173))</f>
        <v/>
      </c>
      <c r="K1173" t="inlineStr">
        <is>
          <t>brand budget_probe before $1,500</t>
        </is>
      </c>
    </row>
    <row r="1174">
      <c r="A1174" s="17">
        <f>IF(B1174="","",B1174+(6*1000+173)/10000000)</f>
        <v/>
      </c>
      <c r="B1174" s="23">
        <f>IF(AND(Brand_Log!AN174=1,OR(ISNUMBER(Brand_Log!R174),TRIM(Brand_Log!S174)&lt;&gt;"")),Brand_Log!G174,"")</f>
        <v/>
      </c>
      <c r="C1174" s="17">
        <f>IF(B1174="","","brand")</f>
        <v/>
      </c>
      <c r="D1174" s="17">
        <f>IF(B1174="","",Brand_Log!$A174&amp;"")</f>
        <v/>
      </c>
      <c r="E1174" s="17">
        <f>IF(B1174="","",IF(Brand_Log!B174="","",Brand_Log!B174&amp;""))</f>
        <v/>
      </c>
      <c r="F1174" s="17">
        <f>IF(B1174="","","budget_probe")</f>
        <v/>
      </c>
      <c r="G1174" s="17">
        <f>IF(B1174="","",IF(ISNUMBER(Brand_Log!R174),Brand_Log!R174,""))</f>
        <v/>
      </c>
      <c r="H1174" s="17">
        <f>IF(B1174="","",IF(Brand_Log!S174="","",Brand_Log!S174&amp;""))</f>
        <v/>
      </c>
      <c r="I1174" s="17">
        <f>IF(B1174="","",IF(Brand_Log!N174="","",Brand_Log!N174&amp;""))</f>
        <v/>
      </c>
      <c r="J1174" s="17">
        <f>IF(B1174="","",IF(Brand_Log!T174="","","before_1500; "&amp;Brand_Log!T174))</f>
        <v/>
      </c>
      <c r="K1174" t="inlineStr">
        <is>
          <t>brand budget_probe before $1,500</t>
        </is>
      </c>
    </row>
    <row r="1175">
      <c r="A1175" s="17">
        <f>IF(B1175="","",B1175+(6*1000+174)/10000000)</f>
        <v/>
      </c>
      <c r="B1175" s="23">
        <f>IF(AND(Brand_Log!AN175=1,OR(ISNUMBER(Brand_Log!R175),TRIM(Brand_Log!S175)&lt;&gt;"")),Brand_Log!G175,"")</f>
        <v/>
      </c>
      <c r="C1175" s="17">
        <f>IF(B1175="","","brand")</f>
        <v/>
      </c>
      <c r="D1175" s="17">
        <f>IF(B1175="","",Brand_Log!$A175&amp;"")</f>
        <v/>
      </c>
      <c r="E1175" s="17">
        <f>IF(B1175="","",IF(Brand_Log!B175="","",Brand_Log!B175&amp;""))</f>
        <v/>
      </c>
      <c r="F1175" s="17">
        <f>IF(B1175="","","budget_probe")</f>
        <v/>
      </c>
      <c r="G1175" s="17">
        <f>IF(B1175="","",IF(ISNUMBER(Brand_Log!R175),Brand_Log!R175,""))</f>
        <v/>
      </c>
      <c r="H1175" s="17">
        <f>IF(B1175="","",IF(Brand_Log!S175="","",Brand_Log!S175&amp;""))</f>
        <v/>
      </c>
      <c r="I1175" s="17">
        <f>IF(B1175="","",IF(Brand_Log!N175="","",Brand_Log!N175&amp;""))</f>
        <v/>
      </c>
      <c r="J1175" s="17">
        <f>IF(B1175="","",IF(Brand_Log!T175="","","before_1500; "&amp;Brand_Log!T175))</f>
        <v/>
      </c>
      <c r="K1175" t="inlineStr">
        <is>
          <t>brand budget_probe before $1,500</t>
        </is>
      </c>
    </row>
    <row r="1176">
      <c r="A1176" s="17">
        <f>IF(B1176="","",B1176+(6*1000+175)/10000000)</f>
        <v/>
      </c>
      <c r="B1176" s="23">
        <f>IF(AND(Brand_Log!AN176=1,OR(ISNUMBER(Brand_Log!R176),TRIM(Brand_Log!S176)&lt;&gt;"")),Brand_Log!G176,"")</f>
        <v/>
      </c>
      <c r="C1176" s="17">
        <f>IF(B1176="","","brand")</f>
        <v/>
      </c>
      <c r="D1176" s="17">
        <f>IF(B1176="","",Brand_Log!$A176&amp;"")</f>
        <v/>
      </c>
      <c r="E1176" s="17">
        <f>IF(B1176="","",IF(Brand_Log!B176="","",Brand_Log!B176&amp;""))</f>
        <v/>
      </c>
      <c r="F1176" s="17">
        <f>IF(B1176="","","budget_probe")</f>
        <v/>
      </c>
      <c r="G1176" s="17">
        <f>IF(B1176="","",IF(ISNUMBER(Brand_Log!R176),Brand_Log!R176,""))</f>
        <v/>
      </c>
      <c r="H1176" s="17">
        <f>IF(B1176="","",IF(Brand_Log!S176="","",Brand_Log!S176&amp;""))</f>
        <v/>
      </c>
      <c r="I1176" s="17">
        <f>IF(B1176="","",IF(Brand_Log!N176="","",Brand_Log!N176&amp;""))</f>
        <v/>
      </c>
      <c r="J1176" s="17">
        <f>IF(B1176="","",IF(Brand_Log!T176="","","before_1500; "&amp;Brand_Log!T176))</f>
        <v/>
      </c>
      <c r="K1176" t="inlineStr">
        <is>
          <t>brand budget_probe before $1,500</t>
        </is>
      </c>
    </row>
    <row r="1177">
      <c r="A1177" s="17">
        <f>IF(B1177="","",B1177+(6*1000+176)/10000000)</f>
        <v/>
      </c>
      <c r="B1177" s="23">
        <f>IF(AND(Brand_Log!AN177=1,OR(ISNUMBER(Brand_Log!R177),TRIM(Brand_Log!S177)&lt;&gt;"")),Brand_Log!G177,"")</f>
        <v/>
      </c>
      <c r="C1177" s="17">
        <f>IF(B1177="","","brand")</f>
        <v/>
      </c>
      <c r="D1177" s="17">
        <f>IF(B1177="","",Brand_Log!$A177&amp;"")</f>
        <v/>
      </c>
      <c r="E1177" s="17">
        <f>IF(B1177="","",IF(Brand_Log!B177="","",Brand_Log!B177&amp;""))</f>
        <v/>
      </c>
      <c r="F1177" s="17">
        <f>IF(B1177="","","budget_probe")</f>
        <v/>
      </c>
      <c r="G1177" s="17">
        <f>IF(B1177="","",IF(ISNUMBER(Brand_Log!R177),Brand_Log!R177,""))</f>
        <v/>
      </c>
      <c r="H1177" s="17">
        <f>IF(B1177="","",IF(Brand_Log!S177="","",Brand_Log!S177&amp;""))</f>
        <v/>
      </c>
      <c r="I1177" s="17">
        <f>IF(B1177="","",IF(Brand_Log!N177="","",Brand_Log!N177&amp;""))</f>
        <v/>
      </c>
      <c r="J1177" s="17">
        <f>IF(B1177="","",IF(Brand_Log!T177="","","before_1500; "&amp;Brand_Log!T177))</f>
        <v/>
      </c>
      <c r="K1177" t="inlineStr">
        <is>
          <t>brand budget_probe before $1,500</t>
        </is>
      </c>
    </row>
    <row r="1178">
      <c r="A1178" s="17">
        <f>IF(B1178="","",B1178+(6*1000+177)/10000000)</f>
        <v/>
      </c>
      <c r="B1178" s="23">
        <f>IF(AND(Brand_Log!AN178=1,OR(ISNUMBER(Brand_Log!R178),TRIM(Brand_Log!S178)&lt;&gt;"")),Brand_Log!G178,"")</f>
        <v/>
      </c>
      <c r="C1178" s="17">
        <f>IF(B1178="","","brand")</f>
        <v/>
      </c>
      <c r="D1178" s="17">
        <f>IF(B1178="","",Brand_Log!$A178&amp;"")</f>
        <v/>
      </c>
      <c r="E1178" s="17">
        <f>IF(B1178="","",IF(Brand_Log!B178="","",Brand_Log!B178&amp;""))</f>
        <v/>
      </c>
      <c r="F1178" s="17">
        <f>IF(B1178="","","budget_probe")</f>
        <v/>
      </c>
      <c r="G1178" s="17">
        <f>IF(B1178="","",IF(ISNUMBER(Brand_Log!R178),Brand_Log!R178,""))</f>
        <v/>
      </c>
      <c r="H1178" s="17">
        <f>IF(B1178="","",IF(Brand_Log!S178="","",Brand_Log!S178&amp;""))</f>
        <v/>
      </c>
      <c r="I1178" s="17">
        <f>IF(B1178="","",IF(Brand_Log!N178="","",Brand_Log!N178&amp;""))</f>
        <v/>
      </c>
      <c r="J1178" s="17">
        <f>IF(B1178="","",IF(Brand_Log!T178="","","before_1500; "&amp;Brand_Log!T178))</f>
        <v/>
      </c>
      <c r="K1178" t="inlineStr">
        <is>
          <t>brand budget_probe before $1,500</t>
        </is>
      </c>
    </row>
    <row r="1179">
      <c r="A1179" s="17">
        <f>IF(B1179="","",B1179+(6*1000+178)/10000000)</f>
        <v/>
      </c>
      <c r="B1179" s="23">
        <f>IF(AND(Brand_Log!AN179=1,OR(ISNUMBER(Brand_Log!R179),TRIM(Brand_Log!S179)&lt;&gt;"")),Brand_Log!G179,"")</f>
        <v/>
      </c>
      <c r="C1179" s="17">
        <f>IF(B1179="","","brand")</f>
        <v/>
      </c>
      <c r="D1179" s="17">
        <f>IF(B1179="","",Brand_Log!$A179&amp;"")</f>
        <v/>
      </c>
      <c r="E1179" s="17">
        <f>IF(B1179="","",IF(Brand_Log!B179="","",Brand_Log!B179&amp;""))</f>
        <v/>
      </c>
      <c r="F1179" s="17">
        <f>IF(B1179="","","budget_probe")</f>
        <v/>
      </c>
      <c r="G1179" s="17">
        <f>IF(B1179="","",IF(ISNUMBER(Brand_Log!R179),Brand_Log!R179,""))</f>
        <v/>
      </c>
      <c r="H1179" s="17">
        <f>IF(B1179="","",IF(Brand_Log!S179="","",Brand_Log!S179&amp;""))</f>
        <v/>
      </c>
      <c r="I1179" s="17">
        <f>IF(B1179="","",IF(Brand_Log!N179="","",Brand_Log!N179&amp;""))</f>
        <v/>
      </c>
      <c r="J1179" s="17">
        <f>IF(B1179="","",IF(Brand_Log!T179="","","before_1500; "&amp;Brand_Log!T179))</f>
        <v/>
      </c>
      <c r="K1179" t="inlineStr">
        <is>
          <t>brand budget_probe before $1,500</t>
        </is>
      </c>
    </row>
    <row r="1180">
      <c r="A1180" s="17">
        <f>IF(B1180="","",B1180+(6*1000+179)/10000000)</f>
        <v/>
      </c>
      <c r="B1180" s="23">
        <f>IF(AND(Brand_Log!AN180=1,OR(ISNUMBER(Brand_Log!R180),TRIM(Brand_Log!S180)&lt;&gt;"")),Brand_Log!G180,"")</f>
        <v/>
      </c>
      <c r="C1180" s="17">
        <f>IF(B1180="","","brand")</f>
        <v/>
      </c>
      <c r="D1180" s="17">
        <f>IF(B1180="","",Brand_Log!$A180&amp;"")</f>
        <v/>
      </c>
      <c r="E1180" s="17">
        <f>IF(B1180="","",IF(Brand_Log!B180="","",Brand_Log!B180&amp;""))</f>
        <v/>
      </c>
      <c r="F1180" s="17">
        <f>IF(B1180="","","budget_probe")</f>
        <v/>
      </c>
      <c r="G1180" s="17">
        <f>IF(B1180="","",IF(ISNUMBER(Brand_Log!R180),Brand_Log!R180,""))</f>
        <v/>
      </c>
      <c r="H1180" s="17">
        <f>IF(B1180="","",IF(Brand_Log!S180="","",Brand_Log!S180&amp;""))</f>
        <v/>
      </c>
      <c r="I1180" s="17">
        <f>IF(B1180="","",IF(Brand_Log!N180="","",Brand_Log!N180&amp;""))</f>
        <v/>
      </c>
      <c r="J1180" s="17">
        <f>IF(B1180="","",IF(Brand_Log!T180="","","before_1500; "&amp;Brand_Log!T180))</f>
        <v/>
      </c>
      <c r="K1180" t="inlineStr">
        <is>
          <t>brand budget_probe before $1,500</t>
        </is>
      </c>
    </row>
    <row r="1181">
      <c r="A1181" s="17">
        <f>IF(B1181="","",B1181+(6*1000+180)/10000000)</f>
        <v/>
      </c>
      <c r="B1181" s="23">
        <f>IF(AND(Brand_Log!AN181=1,OR(ISNUMBER(Brand_Log!R181),TRIM(Brand_Log!S181)&lt;&gt;"")),Brand_Log!G181,"")</f>
        <v/>
      </c>
      <c r="C1181" s="17">
        <f>IF(B1181="","","brand")</f>
        <v/>
      </c>
      <c r="D1181" s="17">
        <f>IF(B1181="","",Brand_Log!$A181&amp;"")</f>
        <v/>
      </c>
      <c r="E1181" s="17">
        <f>IF(B1181="","",IF(Brand_Log!B181="","",Brand_Log!B181&amp;""))</f>
        <v/>
      </c>
      <c r="F1181" s="17">
        <f>IF(B1181="","","budget_probe")</f>
        <v/>
      </c>
      <c r="G1181" s="17">
        <f>IF(B1181="","",IF(ISNUMBER(Brand_Log!R181),Brand_Log!R181,""))</f>
        <v/>
      </c>
      <c r="H1181" s="17">
        <f>IF(B1181="","",IF(Brand_Log!S181="","",Brand_Log!S181&amp;""))</f>
        <v/>
      </c>
      <c r="I1181" s="17">
        <f>IF(B1181="","",IF(Brand_Log!N181="","",Brand_Log!N181&amp;""))</f>
        <v/>
      </c>
      <c r="J1181" s="17">
        <f>IF(B1181="","",IF(Brand_Log!T181="","","before_1500; "&amp;Brand_Log!T181))</f>
        <v/>
      </c>
      <c r="K1181" t="inlineStr">
        <is>
          <t>brand budget_probe before $1,500</t>
        </is>
      </c>
    </row>
    <row r="1182">
      <c r="A1182" s="17">
        <f>IF(B1182="","",B1182+(6*1000+181)/10000000)</f>
        <v/>
      </c>
      <c r="B1182" s="23">
        <f>IF(AND(Brand_Log!AN182=1,OR(ISNUMBER(Brand_Log!R182),TRIM(Brand_Log!S182)&lt;&gt;"")),Brand_Log!G182,"")</f>
        <v/>
      </c>
      <c r="C1182" s="17">
        <f>IF(B1182="","","brand")</f>
        <v/>
      </c>
      <c r="D1182" s="17">
        <f>IF(B1182="","",Brand_Log!$A182&amp;"")</f>
        <v/>
      </c>
      <c r="E1182" s="17">
        <f>IF(B1182="","",IF(Brand_Log!B182="","",Brand_Log!B182&amp;""))</f>
        <v/>
      </c>
      <c r="F1182" s="17">
        <f>IF(B1182="","","budget_probe")</f>
        <v/>
      </c>
      <c r="G1182" s="17">
        <f>IF(B1182="","",IF(ISNUMBER(Brand_Log!R182),Brand_Log!R182,""))</f>
        <v/>
      </c>
      <c r="H1182" s="17">
        <f>IF(B1182="","",IF(Brand_Log!S182="","",Brand_Log!S182&amp;""))</f>
        <v/>
      </c>
      <c r="I1182" s="17">
        <f>IF(B1182="","",IF(Brand_Log!N182="","",Brand_Log!N182&amp;""))</f>
        <v/>
      </c>
      <c r="J1182" s="17">
        <f>IF(B1182="","",IF(Brand_Log!T182="","","before_1500; "&amp;Brand_Log!T182))</f>
        <v/>
      </c>
      <c r="K1182" t="inlineStr">
        <is>
          <t>brand budget_probe before $1,500</t>
        </is>
      </c>
    </row>
    <row r="1183">
      <c r="A1183" s="17">
        <f>IF(B1183="","",B1183+(6*1000+182)/10000000)</f>
        <v/>
      </c>
      <c r="B1183" s="23">
        <f>IF(AND(Brand_Log!AN183=1,OR(ISNUMBER(Brand_Log!R183),TRIM(Brand_Log!S183)&lt;&gt;"")),Brand_Log!G183,"")</f>
        <v/>
      </c>
      <c r="C1183" s="17">
        <f>IF(B1183="","","brand")</f>
        <v/>
      </c>
      <c r="D1183" s="17">
        <f>IF(B1183="","",Brand_Log!$A183&amp;"")</f>
        <v/>
      </c>
      <c r="E1183" s="17">
        <f>IF(B1183="","",IF(Brand_Log!B183="","",Brand_Log!B183&amp;""))</f>
        <v/>
      </c>
      <c r="F1183" s="17">
        <f>IF(B1183="","","budget_probe")</f>
        <v/>
      </c>
      <c r="G1183" s="17">
        <f>IF(B1183="","",IF(ISNUMBER(Brand_Log!R183),Brand_Log!R183,""))</f>
        <v/>
      </c>
      <c r="H1183" s="17">
        <f>IF(B1183="","",IF(Brand_Log!S183="","",Brand_Log!S183&amp;""))</f>
        <v/>
      </c>
      <c r="I1183" s="17">
        <f>IF(B1183="","",IF(Brand_Log!N183="","",Brand_Log!N183&amp;""))</f>
        <v/>
      </c>
      <c r="J1183" s="17">
        <f>IF(B1183="","",IF(Brand_Log!T183="","","before_1500; "&amp;Brand_Log!T183))</f>
        <v/>
      </c>
      <c r="K1183" t="inlineStr">
        <is>
          <t>brand budget_probe before $1,500</t>
        </is>
      </c>
    </row>
    <row r="1184">
      <c r="A1184" s="17">
        <f>IF(B1184="","",B1184+(6*1000+183)/10000000)</f>
        <v/>
      </c>
      <c r="B1184" s="23">
        <f>IF(AND(Brand_Log!AN184=1,OR(ISNUMBER(Brand_Log!R184),TRIM(Brand_Log!S184)&lt;&gt;"")),Brand_Log!G184,"")</f>
        <v/>
      </c>
      <c r="C1184" s="17">
        <f>IF(B1184="","","brand")</f>
        <v/>
      </c>
      <c r="D1184" s="17">
        <f>IF(B1184="","",Brand_Log!$A184&amp;"")</f>
        <v/>
      </c>
      <c r="E1184" s="17">
        <f>IF(B1184="","",IF(Brand_Log!B184="","",Brand_Log!B184&amp;""))</f>
        <v/>
      </c>
      <c r="F1184" s="17">
        <f>IF(B1184="","","budget_probe")</f>
        <v/>
      </c>
      <c r="G1184" s="17">
        <f>IF(B1184="","",IF(ISNUMBER(Brand_Log!R184),Brand_Log!R184,""))</f>
        <v/>
      </c>
      <c r="H1184" s="17">
        <f>IF(B1184="","",IF(Brand_Log!S184="","",Brand_Log!S184&amp;""))</f>
        <v/>
      </c>
      <c r="I1184" s="17">
        <f>IF(B1184="","",IF(Brand_Log!N184="","",Brand_Log!N184&amp;""))</f>
        <v/>
      </c>
      <c r="J1184" s="17">
        <f>IF(B1184="","",IF(Brand_Log!T184="","","before_1500; "&amp;Brand_Log!T184))</f>
        <v/>
      </c>
      <c r="K1184" t="inlineStr">
        <is>
          <t>brand budget_probe before $1,500</t>
        </is>
      </c>
    </row>
    <row r="1185">
      <c r="A1185" s="17">
        <f>IF(B1185="","",B1185+(6*1000+184)/10000000)</f>
        <v/>
      </c>
      <c r="B1185" s="23">
        <f>IF(AND(Brand_Log!AN185=1,OR(ISNUMBER(Brand_Log!R185),TRIM(Brand_Log!S185)&lt;&gt;"")),Brand_Log!G185,"")</f>
        <v/>
      </c>
      <c r="C1185" s="17">
        <f>IF(B1185="","","brand")</f>
        <v/>
      </c>
      <c r="D1185" s="17">
        <f>IF(B1185="","",Brand_Log!$A185&amp;"")</f>
        <v/>
      </c>
      <c r="E1185" s="17">
        <f>IF(B1185="","",IF(Brand_Log!B185="","",Brand_Log!B185&amp;""))</f>
        <v/>
      </c>
      <c r="F1185" s="17">
        <f>IF(B1185="","","budget_probe")</f>
        <v/>
      </c>
      <c r="G1185" s="17">
        <f>IF(B1185="","",IF(ISNUMBER(Brand_Log!R185),Brand_Log!R185,""))</f>
        <v/>
      </c>
      <c r="H1185" s="17">
        <f>IF(B1185="","",IF(Brand_Log!S185="","",Brand_Log!S185&amp;""))</f>
        <v/>
      </c>
      <c r="I1185" s="17">
        <f>IF(B1185="","",IF(Brand_Log!N185="","",Brand_Log!N185&amp;""))</f>
        <v/>
      </c>
      <c r="J1185" s="17">
        <f>IF(B1185="","",IF(Brand_Log!T185="","","before_1500; "&amp;Brand_Log!T185))</f>
        <v/>
      </c>
      <c r="K1185" t="inlineStr">
        <is>
          <t>brand budget_probe before $1,500</t>
        </is>
      </c>
    </row>
    <row r="1186">
      <c r="A1186" s="17">
        <f>IF(B1186="","",B1186+(6*1000+185)/10000000)</f>
        <v/>
      </c>
      <c r="B1186" s="23">
        <f>IF(AND(Brand_Log!AN186=1,OR(ISNUMBER(Brand_Log!R186),TRIM(Brand_Log!S186)&lt;&gt;"")),Brand_Log!G186,"")</f>
        <v/>
      </c>
      <c r="C1186" s="17">
        <f>IF(B1186="","","brand")</f>
        <v/>
      </c>
      <c r="D1186" s="17">
        <f>IF(B1186="","",Brand_Log!$A186&amp;"")</f>
        <v/>
      </c>
      <c r="E1186" s="17">
        <f>IF(B1186="","",IF(Brand_Log!B186="","",Brand_Log!B186&amp;""))</f>
        <v/>
      </c>
      <c r="F1186" s="17">
        <f>IF(B1186="","","budget_probe")</f>
        <v/>
      </c>
      <c r="G1186" s="17">
        <f>IF(B1186="","",IF(ISNUMBER(Brand_Log!R186),Brand_Log!R186,""))</f>
        <v/>
      </c>
      <c r="H1186" s="17">
        <f>IF(B1186="","",IF(Brand_Log!S186="","",Brand_Log!S186&amp;""))</f>
        <v/>
      </c>
      <c r="I1186" s="17">
        <f>IF(B1186="","",IF(Brand_Log!N186="","",Brand_Log!N186&amp;""))</f>
        <v/>
      </c>
      <c r="J1186" s="17">
        <f>IF(B1186="","",IF(Brand_Log!T186="","","before_1500; "&amp;Brand_Log!T186))</f>
        <v/>
      </c>
      <c r="K1186" t="inlineStr">
        <is>
          <t>brand budget_probe before $1,500</t>
        </is>
      </c>
    </row>
    <row r="1187">
      <c r="A1187" s="17">
        <f>IF(B1187="","",B1187+(6*1000+186)/10000000)</f>
        <v/>
      </c>
      <c r="B1187" s="23">
        <f>IF(AND(Brand_Log!AN187=1,OR(ISNUMBER(Brand_Log!R187),TRIM(Brand_Log!S187)&lt;&gt;"")),Brand_Log!G187,"")</f>
        <v/>
      </c>
      <c r="C1187" s="17">
        <f>IF(B1187="","","brand")</f>
        <v/>
      </c>
      <c r="D1187" s="17">
        <f>IF(B1187="","",Brand_Log!$A187&amp;"")</f>
        <v/>
      </c>
      <c r="E1187" s="17">
        <f>IF(B1187="","",IF(Brand_Log!B187="","",Brand_Log!B187&amp;""))</f>
        <v/>
      </c>
      <c r="F1187" s="17">
        <f>IF(B1187="","","budget_probe")</f>
        <v/>
      </c>
      <c r="G1187" s="17">
        <f>IF(B1187="","",IF(ISNUMBER(Brand_Log!R187),Brand_Log!R187,""))</f>
        <v/>
      </c>
      <c r="H1187" s="17">
        <f>IF(B1187="","",IF(Brand_Log!S187="","",Brand_Log!S187&amp;""))</f>
        <v/>
      </c>
      <c r="I1187" s="17">
        <f>IF(B1187="","",IF(Brand_Log!N187="","",Brand_Log!N187&amp;""))</f>
        <v/>
      </c>
      <c r="J1187" s="17">
        <f>IF(B1187="","",IF(Brand_Log!T187="","","before_1500; "&amp;Brand_Log!T187))</f>
        <v/>
      </c>
      <c r="K1187" t="inlineStr">
        <is>
          <t>brand budget_probe before $1,500</t>
        </is>
      </c>
    </row>
    <row r="1188">
      <c r="A1188" s="17">
        <f>IF(B1188="","",B1188+(6*1000+187)/10000000)</f>
        <v/>
      </c>
      <c r="B1188" s="23">
        <f>IF(AND(Brand_Log!AN188=1,OR(ISNUMBER(Brand_Log!R188),TRIM(Brand_Log!S188)&lt;&gt;"")),Brand_Log!G188,"")</f>
        <v/>
      </c>
      <c r="C1188" s="17">
        <f>IF(B1188="","","brand")</f>
        <v/>
      </c>
      <c r="D1188" s="17">
        <f>IF(B1188="","",Brand_Log!$A188&amp;"")</f>
        <v/>
      </c>
      <c r="E1188" s="17">
        <f>IF(B1188="","",IF(Brand_Log!B188="","",Brand_Log!B188&amp;""))</f>
        <v/>
      </c>
      <c r="F1188" s="17">
        <f>IF(B1188="","","budget_probe")</f>
        <v/>
      </c>
      <c r="G1188" s="17">
        <f>IF(B1188="","",IF(ISNUMBER(Brand_Log!R188),Brand_Log!R188,""))</f>
        <v/>
      </c>
      <c r="H1188" s="17">
        <f>IF(B1188="","",IF(Brand_Log!S188="","",Brand_Log!S188&amp;""))</f>
        <v/>
      </c>
      <c r="I1188" s="17">
        <f>IF(B1188="","",IF(Brand_Log!N188="","",Brand_Log!N188&amp;""))</f>
        <v/>
      </c>
      <c r="J1188" s="17">
        <f>IF(B1188="","",IF(Brand_Log!T188="","","before_1500; "&amp;Brand_Log!T188))</f>
        <v/>
      </c>
      <c r="K1188" t="inlineStr">
        <is>
          <t>brand budget_probe before $1,500</t>
        </is>
      </c>
    </row>
    <row r="1189">
      <c r="A1189" s="17">
        <f>IF(B1189="","",B1189+(6*1000+188)/10000000)</f>
        <v/>
      </c>
      <c r="B1189" s="23">
        <f>IF(AND(Brand_Log!AN189=1,OR(ISNUMBER(Brand_Log!R189),TRIM(Brand_Log!S189)&lt;&gt;"")),Brand_Log!G189,"")</f>
        <v/>
      </c>
      <c r="C1189" s="17">
        <f>IF(B1189="","","brand")</f>
        <v/>
      </c>
      <c r="D1189" s="17">
        <f>IF(B1189="","",Brand_Log!$A189&amp;"")</f>
        <v/>
      </c>
      <c r="E1189" s="17">
        <f>IF(B1189="","",IF(Brand_Log!B189="","",Brand_Log!B189&amp;""))</f>
        <v/>
      </c>
      <c r="F1189" s="17">
        <f>IF(B1189="","","budget_probe")</f>
        <v/>
      </c>
      <c r="G1189" s="17">
        <f>IF(B1189="","",IF(ISNUMBER(Brand_Log!R189),Brand_Log!R189,""))</f>
        <v/>
      </c>
      <c r="H1189" s="17">
        <f>IF(B1189="","",IF(Brand_Log!S189="","",Brand_Log!S189&amp;""))</f>
        <v/>
      </c>
      <c r="I1189" s="17">
        <f>IF(B1189="","",IF(Brand_Log!N189="","",Brand_Log!N189&amp;""))</f>
        <v/>
      </c>
      <c r="J1189" s="17">
        <f>IF(B1189="","",IF(Brand_Log!T189="","","before_1500; "&amp;Brand_Log!T189))</f>
        <v/>
      </c>
      <c r="K1189" t="inlineStr">
        <is>
          <t>brand budget_probe before $1,500</t>
        </is>
      </c>
    </row>
    <row r="1190">
      <c r="A1190" s="17">
        <f>IF(B1190="","",B1190+(6*1000+189)/10000000)</f>
        <v/>
      </c>
      <c r="B1190" s="23">
        <f>IF(AND(Brand_Log!AN190=1,OR(ISNUMBER(Brand_Log!R190),TRIM(Brand_Log!S190)&lt;&gt;"")),Brand_Log!G190,"")</f>
        <v/>
      </c>
      <c r="C1190" s="17">
        <f>IF(B1190="","","brand")</f>
        <v/>
      </c>
      <c r="D1190" s="17">
        <f>IF(B1190="","",Brand_Log!$A190&amp;"")</f>
        <v/>
      </c>
      <c r="E1190" s="17">
        <f>IF(B1190="","",IF(Brand_Log!B190="","",Brand_Log!B190&amp;""))</f>
        <v/>
      </c>
      <c r="F1190" s="17">
        <f>IF(B1190="","","budget_probe")</f>
        <v/>
      </c>
      <c r="G1190" s="17">
        <f>IF(B1190="","",IF(ISNUMBER(Brand_Log!R190),Brand_Log!R190,""))</f>
        <v/>
      </c>
      <c r="H1190" s="17">
        <f>IF(B1190="","",IF(Brand_Log!S190="","",Brand_Log!S190&amp;""))</f>
        <v/>
      </c>
      <c r="I1190" s="17">
        <f>IF(B1190="","",IF(Brand_Log!N190="","",Brand_Log!N190&amp;""))</f>
        <v/>
      </c>
      <c r="J1190" s="17">
        <f>IF(B1190="","",IF(Brand_Log!T190="","","before_1500; "&amp;Brand_Log!T190))</f>
        <v/>
      </c>
      <c r="K1190" t="inlineStr">
        <is>
          <t>brand budget_probe before $1,500</t>
        </is>
      </c>
    </row>
    <row r="1191">
      <c r="A1191" s="17">
        <f>IF(B1191="","",B1191+(6*1000+190)/10000000)</f>
        <v/>
      </c>
      <c r="B1191" s="23">
        <f>IF(AND(Brand_Log!AN191=1,OR(ISNUMBER(Brand_Log!R191),TRIM(Brand_Log!S191)&lt;&gt;"")),Brand_Log!G191,"")</f>
        <v/>
      </c>
      <c r="C1191" s="17">
        <f>IF(B1191="","","brand")</f>
        <v/>
      </c>
      <c r="D1191" s="17">
        <f>IF(B1191="","",Brand_Log!$A191&amp;"")</f>
        <v/>
      </c>
      <c r="E1191" s="17">
        <f>IF(B1191="","",IF(Brand_Log!B191="","",Brand_Log!B191&amp;""))</f>
        <v/>
      </c>
      <c r="F1191" s="17">
        <f>IF(B1191="","","budget_probe")</f>
        <v/>
      </c>
      <c r="G1191" s="17">
        <f>IF(B1191="","",IF(ISNUMBER(Brand_Log!R191),Brand_Log!R191,""))</f>
        <v/>
      </c>
      <c r="H1191" s="17">
        <f>IF(B1191="","",IF(Brand_Log!S191="","",Brand_Log!S191&amp;""))</f>
        <v/>
      </c>
      <c r="I1191" s="17">
        <f>IF(B1191="","",IF(Brand_Log!N191="","",Brand_Log!N191&amp;""))</f>
        <v/>
      </c>
      <c r="J1191" s="17">
        <f>IF(B1191="","",IF(Brand_Log!T191="","","before_1500; "&amp;Brand_Log!T191))</f>
        <v/>
      </c>
      <c r="K1191" t="inlineStr">
        <is>
          <t>brand budget_probe before $1,500</t>
        </is>
      </c>
    </row>
    <row r="1192">
      <c r="A1192" s="17">
        <f>IF(B1192="","",B1192+(6*1000+191)/10000000)</f>
        <v/>
      </c>
      <c r="B1192" s="23">
        <f>IF(AND(Brand_Log!AN192=1,OR(ISNUMBER(Brand_Log!R192),TRIM(Brand_Log!S192)&lt;&gt;"")),Brand_Log!G192,"")</f>
        <v/>
      </c>
      <c r="C1192" s="17">
        <f>IF(B1192="","","brand")</f>
        <v/>
      </c>
      <c r="D1192" s="17">
        <f>IF(B1192="","",Brand_Log!$A192&amp;"")</f>
        <v/>
      </c>
      <c r="E1192" s="17">
        <f>IF(B1192="","",IF(Brand_Log!B192="","",Brand_Log!B192&amp;""))</f>
        <v/>
      </c>
      <c r="F1192" s="17">
        <f>IF(B1192="","","budget_probe")</f>
        <v/>
      </c>
      <c r="G1192" s="17">
        <f>IF(B1192="","",IF(ISNUMBER(Brand_Log!R192),Brand_Log!R192,""))</f>
        <v/>
      </c>
      <c r="H1192" s="17">
        <f>IF(B1192="","",IF(Brand_Log!S192="","",Brand_Log!S192&amp;""))</f>
        <v/>
      </c>
      <c r="I1192" s="17">
        <f>IF(B1192="","",IF(Brand_Log!N192="","",Brand_Log!N192&amp;""))</f>
        <v/>
      </c>
      <c r="J1192" s="17">
        <f>IF(B1192="","",IF(Brand_Log!T192="","","before_1500; "&amp;Brand_Log!T192))</f>
        <v/>
      </c>
      <c r="K1192" t="inlineStr">
        <is>
          <t>brand budget_probe before $1,500</t>
        </is>
      </c>
    </row>
    <row r="1193">
      <c r="A1193" s="17">
        <f>IF(B1193="","",B1193+(6*1000+192)/10000000)</f>
        <v/>
      </c>
      <c r="B1193" s="23">
        <f>IF(AND(Brand_Log!AN193=1,OR(ISNUMBER(Brand_Log!R193),TRIM(Brand_Log!S193)&lt;&gt;"")),Brand_Log!G193,"")</f>
        <v/>
      </c>
      <c r="C1193" s="17">
        <f>IF(B1193="","","brand")</f>
        <v/>
      </c>
      <c r="D1193" s="17">
        <f>IF(B1193="","",Brand_Log!$A193&amp;"")</f>
        <v/>
      </c>
      <c r="E1193" s="17">
        <f>IF(B1193="","",IF(Brand_Log!B193="","",Brand_Log!B193&amp;""))</f>
        <v/>
      </c>
      <c r="F1193" s="17">
        <f>IF(B1193="","","budget_probe")</f>
        <v/>
      </c>
      <c r="G1193" s="17">
        <f>IF(B1193="","",IF(ISNUMBER(Brand_Log!R193),Brand_Log!R193,""))</f>
        <v/>
      </c>
      <c r="H1193" s="17">
        <f>IF(B1193="","",IF(Brand_Log!S193="","",Brand_Log!S193&amp;""))</f>
        <v/>
      </c>
      <c r="I1193" s="17">
        <f>IF(B1193="","",IF(Brand_Log!N193="","",Brand_Log!N193&amp;""))</f>
        <v/>
      </c>
      <c r="J1193" s="17">
        <f>IF(B1193="","",IF(Brand_Log!T193="","","before_1500; "&amp;Brand_Log!T193))</f>
        <v/>
      </c>
      <c r="K1193" t="inlineStr">
        <is>
          <t>brand budget_probe before $1,500</t>
        </is>
      </c>
    </row>
    <row r="1194">
      <c r="A1194" s="17">
        <f>IF(B1194="","",B1194+(6*1000+193)/10000000)</f>
        <v/>
      </c>
      <c r="B1194" s="23">
        <f>IF(AND(Brand_Log!AN194=1,OR(ISNUMBER(Brand_Log!R194),TRIM(Brand_Log!S194)&lt;&gt;"")),Brand_Log!G194,"")</f>
        <v/>
      </c>
      <c r="C1194" s="17">
        <f>IF(B1194="","","brand")</f>
        <v/>
      </c>
      <c r="D1194" s="17">
        <f>IF(B1194="","",Brand_Log!$A194&amp;"")</f>
        <v/>
      </c>
      <c r="E1194" s="17">
        <f>IF(B1194="","",IF(Brand_Log!B194="","",Brand_Log!B194&amp;""))</f>
        <v/>
      </c>
      <c r="F1194" s="17">
        <f>IF(B1194="","","budget_probe")</f>
        <v/>
      </c>
      <c r="G1194" s="17">
        <f>IF(B1194="","",IF(ISNUMBER(Brand_Log!R194),Brand_Log!R194,""))</f>
        <v/>
      </c>
      <c r="H1194" s="17">
        <f>IF(B1194="","",IF(Brand_Log!S194="","",Brand_Log!S194&amp;""))</f>
        <v/>
      </c>
      <c r="I1194" s="17">
        <f>IF(B1194="","",IF(Brand_Log!N194="","",Brand_Log!N194&amp;""))</f>
        <v/>
      </c>
      <c r="J1194" s="17">
        <f>IF(B1194="","",IF(Brand_Log!T194="","","before_1500; "&amp;Brand_Log!T194))</f>
        <v/>
      </c>
      <c r="K1194" t="inlineStr">
        <is>
          <t>brand budget_probe before $1,500</t>
        </is>
      </c>
    </row>
    <row r="1195">
      <c r="A1195" s="17">
        <f>IF(B1195="","",B1195+(6*1000+194)/10000000)</f>
        <v/>
      </c>
      <c r="B1195" s="23">
        <f>IF(AND(Brand_Log!AN195=1,OR(ISNUMBER(Brand_Log!R195),TRIM(Brand_Log!S195)&lt;&gt;"")),Brand_Log!G195,"")</f>
        <v/>
      </c>
      <c r="C1195" s="17">
        <f>IF(B1195="","","brand")</f>
        <v/>
      </c>
      <c r="D1195" s="17">
        <f>IF(B1195="","",Brand_Log!$A195&amp;"")</f>
        <v/>
      </c>
      <c r="E1195" s="17">
        <f>IF(B1195="","",IF(Brand_Log!B195="","",Brand_Log!B195&amp;""))</f>
        <v/>
      </c>
      <c r="F1195" s="17">
        <f>IF(B1195="","","budget_probe")</f>
        <v/>
      </c>
      <c r="G1195" s="17">
        <f>IF(B1195="","",IF(ISNUMBER(Brand_Log!R195),Brand_Log!R195,""))</f>
        <v/>
      </c>
      <c r="H1195" s="17">
        <f>IF(B1195="","",IF(Brand_Log!S195="","",Brand_Log!S195&amp;""))</f>
        <v/>
      </c>
      <c r="I1195" s="17">
        <f>IF(B1195="","",IF(Brand_Log!N195="","",Brand_Log!N195&amp;""))</f>
        <v/>
      </c>
      <c r="J1195" s="17">
        <f>IF(B1195="","",IF(Brand_Log!T195="","","before_1500; "&amp;Brand_Log!T195))</f>
        <v/>
      </c>
      <c r="K1195" t="inlineStr">
        <is>
          <t>brand budget_probe before $1,500</t>
        </is>
      </c>
    </row>
    <row r="1196">
      <c r="A1196" s="17">
        <f>IF(B1196="","",B1196+(6*1000+195)/10000000)</f>
        <v/>
      </c>
      <c r="B1196" s="23">
        <f>IF(AND(Brand_Log!AN196=1,OR(ISNUMBER(Brand_Log!R196),TRIM(Brand_Log!S196)&lt;&gt;"")),Brand_Log!G196,"")</f>
        <v/>
      </c>
      <c r="C1196" s="17">
        <f>IF(B1196="","","brand")</f>
        <v/>
      </c>
      <c r="D1196" s="17">
        <f>IF(B1196="","",Brand_Log!$A196&amp;"")</f>
        <v/>
      </c>
      <c r="E1196" s="17">
        <f>IF(B1196="","",IF(Brand_Log!B196="","",Brand_Log!B196&amp;""))</f>
        <v/>
      </c>
      <c r="F1196" s="17">
        <f>IF(B1196="","","budget_probe")</f>
        <v/>
      </c>
      <c r="G1196" s="17">
        <f>IF(B1196="","",IF(ISNUMBER(Brand_Log!R196),Brand_Log!R196,""))</f>
        <v/>
      </c>
      <c r="H1196" s="17">
        <f>IF(B1196="","",IF(Brand_Log!S196="","",Brand_Log!S196&amp;""))</f>
        <v/>
      </c>
      <c r="I1196" s="17">
        <f>IF(B1196="","",IF(Brand_Log!N196="","",Brand_Log!N196&amp;""))</f>
        <v/>
      </c>
      <c r="J1196" s="17">
        <f>IF(B1196="","",IF(Brand_Log!T196="","","before_1500; "&amp;Brand_Log!T196))</f>
        <v/>
      </c>
      <c r="K1196" t="inlineStr">
        <is>
          <t>brand budget_probe before $1,500</t>
        </is>
      </c>
    </row>
    <row r="1197">
      <c r="A1197" s="17">
        <f>IF(B1197="","",B1197+(6*1000+196)/10000000)</f>
        <v/>
      </c>
      <c r="B1197" s="23">
        <f>IF(AND(Brand_Log!AN197=1,OR(ISNUMBER(Brand_Log!R197),TRIM(Brand_Log!S197)&lt;&gt;"")),Brand_Log!G197,"")</f>
        <v/>
      </c>
      <c r="C1197" s="17">
        <f>IF(B1197="","","brand")</f>
        <v/>
      </c>
      <c r="D1197" s="17">
        <f>IF(B1197="","",Brand_Log!$A197&amp;"")</f>
        <v/>
      </c>
      <c r="E1197" s="17">
        <f>IF(B1197="","",IF(Brand_Log!B197="","",Brand_Log!B197&amp;""))</f>
        <v/>
      </c>
      <c r="F1197" s="17">
        <f>IF(B1197="","","budget_probe")</f>
        <v/>
      </c>
      <c r="G1197" s="17">
        <f>IF(B1197="","",IF(ISNUMBER(Brand_Log!R197),Brand_Log!R197,""))</f>
        <v/>
      </c>
      <c r="H1197" s="17">
        <f>IF(B1197="","",IF(Brand_Log!S197="","",Brand_Log!S197&amp;""))</f>
        <v/>
      </c>
      <c r="I1197" s="17">
        <f>IF(B1197="","",IF(Brand_Log!N197="","",Brand_Log!N197&amp;""))</f>
        <v/>
      </c>
      <c r="J1197" s="17">
        <f>IF(B1197="","",IF(Brand_Log!T197="","","before_1500; "&amp;Brand_Log!T197))</f>
        <v/>
      </c>
      <c r="K1197" t="inlineStr">
        <is>
          <t>brand budget_probe before $1,500</t>
        </is>
      </c>
    </row>
    <row r="1198">
      <c r="A1198" s="17">
        <f>IF(B1198="","",B1198+(6*1000+197)/10000000)</f>
        <v/>
      </c>
      <c r="B1198" s="23">
        <f>IF(AND(Brand_Log!AN198=1,OR(ISNUMBER(Brand_Log!R198),TRIM(Brand_Log!S198)&lt;&gt;"")),Brand_Log!G198,"")</f>
        <v/>
      </c>
      <c r="C1198" s="17">
        <f>IF(B1198="","","brand")</f>
        <v/>
      </c>
      <c r="D1198" s="17">
        <f>IF(B1198="","",Brand_Log!$A198&amp;"")</f>
        <v/>
      </c>
      <c r="E1198" s="17">
        <f>IF(B1198="","",IF(Brand_Log!B198="","",Brand_Log!B198&amp;""))</f>
        <v/>
      </c>
      <c r="F1198" s="17">
        <f>IF(B1198="","","budget_probe")</f>
        <v/>
      </c>
      <c r="G1198" s="17">
        <f>IF(B1198="","",IF(ISNUMBER(Brand_Log!R198),Brand_Log!R198,""))</f>
        <v/>
      </c>
      <c r="H1198" s="17">
        <f>IF(B1198="","",IF(Brand_Log!S198="","",Brand_Log!S198&amp;""))</f>
        <v/>
      </c>
      <c r="I1198" s="17">
        <f>IF(B1198="","",IF(Brand_Log!N198="","",Brand_Log!N198&amp;""))</f>
        <v/>
      </c>
      <c r="J1198" s="17">
        <f>IF(B1198="","",IF(Brand_Log!T198="","","before_1500; "&amp;Brand_Log!T198))</f>
        <v/>
      </c>
      <c r="K1198" t="inlineStr">
        <is>
          <t>brand budget_probe before $1,500</t>
        </is>
      </c>
    </row>
    <row r="1199">
      <c r="A1199" s="17">
        <f>IF(B1199="","",B1199+(6*1000+198)/10000000)</f>
        <v/>
      </c>
      <c r="B1199" s="23">
        <f>IF(AND(Brand_Log!AN199=1,OR(ISNUMBER(Brand_Log!R199),TRIM(Brand_Log!S199)&lt;&gt;"")),Brand_Log!G199,"")</f>
        <v/>
      </c>
      <c r="C1199" s="17">
        <f>IF(B1199="","","brand")</f>
        <v/>
      </c>
      <c r="D1199" s="17">
        <f>IF(B1199="","",Brand_Log!$A199&amp;"")</f>
        <v/>
      </c>
      <c r="E1199" s="17">
        <f>IF(B1199="","",IF(Brand_Log!B199="","",Brand_Log!B199&amp;""))</f>
        <v/>
      </c>
      <c r="F1199" s="17">
        <f>IF(B1199="","","budget_probe")</f>
        <v/>
      </c>
      <c r="G1199" s="17">
        <f>IF(B1199="","",IF(ISNUMBER(Brand_Log!R199),Brand_Log!R199,""))</f>
        <v/>
      </c>
      <c r="H1199" s="17">
        <f>IF(B1199="","",IF(Brand_Log!S199="","",Brand_Log!S199&amp;""))</f>
        <v/>
      </c>
      <c r="I1199" s="17">
        <f>IF(B1199="","",IF(Brand_Log!N199="","",Brand_Log!N199&amp;""))</f>
        <v/>
      </c>
      <c r="J1199" s="17">
        <f>IF(B1199="","",IF(Brand_Log!T199="","","before_1500; "&amp;Brand_Log!T199))</f>
        <v/>
      </c>
      <c r="K1199" t="inlineStr">
        <is>
          <t>brand budget_probe before $1,500</t>
        </is>
      </c>
    </row>
    <row r="1200">
      <c r="A1200" s="17">
        <f>IF(B1200="","",B1200+(6*1000+199)/10000000)</f>
        <v/>
      </c>
      <c r="B1200" s="23">
        <f>IF(AND(Brand_Log!AN200=1,OR(ISNUMBER(Brand_Log!R200),TRIM(Brand_Log!S200)&lt;&gt;"")),Brand_Log!G200,"")</f>
        <v/>
      </c>
      <c r="C1200" s="17">
        <f>IF(B1200="","","brand")</f>
        <v/>
      </c>
      <c r="D1200" s="17">
        <f>IF(B1200="","",Brand_Log!$A200&amp;"")</f>
        <v/>
      </c>
      <c r="E1200" s="17">
        <f>IF(B1200="","",IF(Brand_Log!B200="","",Brand_Log!B200&amp;""))</f>
        <v/>
      </c>
      <c r="F1200" s="17">
        <f>IF(B1200="","","budget_probe")</f>
        <v/>
      </c>
      <c r="G1200" s="17">
        <f>IF(B1200="","",IF(ISNUMBER(Brand_Log!R200),Brand_Log!R200,""))</f>
        <v/>
      </c>
      <c r="H1200" s="17">
        <f>IF(B1200="","",IF(Brand_Log!S200="","",Brand_Log!S200&amp;""))</f>
        <v/>
      </c>
      <c r="I1200" s="17">
        <f>IF(B1200="","",IF(Brand_Log!N200="","",Brand_Log!N200&amp;""))</f>
        <v/>
      </c>
      <c r="J1200" s="17">
        <f>IF(B1200="","",IF(Brand_Log!T200="","","before_1500; "&amp;Brand_Log!T200))</f>
        <v/>
      </c>
      <c r="K1200" t="inlineStr">
        <is>
          <t>brand budget_probe before $1,500</t>
        </is>
      </c>
    </row>
    <row r="1201">
      <c r="A1201" s="17">
        <f>IF(B1201="","",B1201+(6*1000+200)/10000000)</f>
        <v/>
      </c>
      <c r="B1201" s="23">
        <f>IF(AND(Brand_Log!AN201=1,OR(ISNUMBER(Brand_Log!R201),TRIM(Brand_Log!S201)&lt;&gt;"")),Brand_Log!G201,"")</f>
        <v/>
      </c>
      <c r="C1201" s="17">
        <f>IF(B1201="","","brand")</f>
        <v/>
      </c>
      <c r="D1201" s="17">
        <f>IF(B1201="","",Brand_Log!$A201&amp;"")</f>
        <v/>
      </c>
      <c r="E1201" s="17">
        <f>IF(B1201="","",IF(Brand_Log!B201="","",Brand_Log!B201&amp;""))</f>
        <v/>
      </c>
      <c r="F1201" s="17">
        <f>IF(B1201="","","budget_probe")</f>
        <v/>
      </c>
      <c r="G1201" s="17">
        <f>IF(B1201="","",IF(ISNUMBER(Brand_Log!R201),Brand_Log!R201,""))</f>
        <v/>
      </c>
      <c r="H1201" s="17">
        <f>IF(B1201="","",IF(Brand_Log!S201="","",Brand_Log!S201&amp;""))</f>
        <v/>
      </c>
      <c r="I1201" s="17">
        <f>IF(B1201="","",IF(Brand_Log!N201="","",Brand_Log!N201&amp;""))</f>
        <v/>
      </c>
      <c r="J1201" s="17">
        <f>IF(B1201="","",IF(Brand_Log!T201="","","before_1500; "&amp;Brand_Log!T201))</f>
        <v/>
      </c>
      <c r="K1201" t="inlineStr">
        <is>
          <t>brand budget_probe before $1,500</t>
        </is>
      </c>
    </row>
    <row r="1202">
      <c r="A1202" s="17">
        <f>IF(B1202="","",B1202+(7*1000+1)/10000000)</f>
        <v/>
      </c>
      <c r="B1202" s="23">
        <f>IF(AND(Brand_Log!AN2=1,Brand_Log!U2="Y",OR(ISNUMBER(Brand_Log!V2),TRIM(Brand_Log!W2)&lt;&gt;"")),Brand_Log!G2,"")</f>
        <v/>
      </c>
      <c r="C1202" s="17">
        <f>IF(B1202="","","brand")</f>
        <v/>
      </c>
      <c r="D1202" s="17">
        <f>IF(B1202="","",Brand_Log!$A2&amp;"")</f>
        <v/>
      </c>
      <c r="E1202" s="17">
        <f>IF(B1202="","",IF(Brand_Log!B2="","",Brand_Log!B2&amp;""))</f>
        <v/>
      </c>
      <c r="F1202" s="17">
        <f>IF(B1202="","","budget_probe")</f>
        <v/>
      </c>
      <c r="G1202" s="17">
        <f>IF(B1202="","",IF(ISNUMBER(Brand_Log!V2),Brand_Log!V2,""))</f>
        <v/>
      </c>
      <c r="H1202" s="17">
        <f>IF(B1202="","",IF(Brand_Log!W2="","",Brand_Log!W2&amp;""))</f>
        <v/>
      </c>
      <c r="I1202" s="17">
        <f>IF(B1202="","",IF(Brand_Log!N2="","",Brand_Log!N2&amp;""))</f>
        <v/>
      </c>
      <c r="J1202" s="17">
        <f>IF(B1202="","","after_1500")</f>
        <v/>
      </c>
      <c r="K1202" t="inlineStr">
        <is>
          <t>brand budget_probe after $1,500</t>
        </is>
      </c>
    </row>
    <row r="1203">
      <c r="A1203" s="17">
        <f>IF(B1203="","",B1203+(7*1000+2)/10000000)</f>
        <v/>
      </c>
      <c r="B1203" s="23">
        <f>IF(AND(Brand_Log!AN3=1,Brand_Log!U3="Y",OR(ISNUMBER(Brand_Log!V3),TRIM(Brand_Log!W3)&lt;&gt;"")),Brand_Log!G3,"")</f>
        <v/>
      </c>
      <c r="C1203" s="17">
        <f>IF(B1203="","","brand")</f>
        <v/>
      </c>
      <c r="D1203" s="17">
        <f>IF(B1203="","",Brand_Log!$A3&amp;"")</f>
        <v/>
      </c>
      <c r="E1203" s="17">
        <f>IF(B1203="","",IF(Brand_Log!B3="","",Brand_Log!B3&amp;""))</f>
        <v/>
      </c>
      <c r="F1203" s="17">
        <f>IF(B1203="","","budget_probe")</f>
        <v/>
      </c>
      <c r="G1203" s="17">
        <f>IF(B1203="","",IF(ISNUMBER(Brand_Log!V3),Brand_Log!V3,""))</f>
        <v/>
      </c>
      <c r="H1203" s="17">
        <f>IF(B1203="","",IF(Brand_Log!W3="","",Brand_Log!W3&amp;""))</f>
        <v/>
      </c>
      <c r="I1203" s="17">
        <f>IF(B1203="","",IF(Brand_Log!N3="","",Brand_Log!N3&amp;""))</f>
        <v/>
      </c>
      <c r="J1203" s="17">
        <f>IF(B1203="","","after_1500")</f>
        <v/>
      </c>
      <c r="K1203" t="inlineStr">
        <is>
          <t>brand budget_probe after $1,500</t>
        </is>
      </c>
    </row>
    <row r="1204">
      <c r="A1204" s="17">
        <f>IF(B1204="","",B1204+(7*1000+3)/10000000)</f>
        <v/>
      </c>
      <c r="B1204" s="23">
        <f>IF(AND(Brand_Log!AN4=1,Brand_Log!U4="Y",OR(ISNUMBER(Brand_Log!V4),TRIM(Brand_Log!W4)&lt;&gt;"")),Brand_Log!G4,"")</f>
        <v/>
      </c>
      <c r="C1204" s="17">
        <f>IF(B1204="","","brand")</f>
        <v/>
      </c>
      <c r="D1204" s="17">
        <f>IF(B1204="","",Brand_Log!$A4&amp;"")</f>
        <v/>
      </c>
      <c r="E1204" s="17">
        <f>IF(B1204="","",IF(Brand_Log!B4="","",Brand_Log!B4&amp;""))</f>
        <v/>
      </c>
      <c r="F1204" s="17">
        <f>IF(B1204="","","budget_probe")</f>
        <v/>
      </c>
      <c r="G1204" s="17">
        <f>IF(B1204="","",IF(ISNUMBER(Brand_Log!V4),Brand_Log!V4,""))</f>
        <v/>
      </c>
      <c r="H1204" s="17">
        <f>IF(B1204="","",IF(Brand_Log!W4="","",Brand_Log!W4&amp;""))</f>
        <v/>
      </c>
      <c r="I1204" s="17">
        <f>IF(B1204="","",IF(Brand_Log!N4="","",Brand_Log!N4&amp;""))</f>
        <v/>
      </c>
      <c r="J1204" s="17">
        <f>IF(B1204="","","after_1500")</f>
        <v/>
      </c>
      <c r="K1204" t="inlineStr">
        <is>
          <t>brand budget_probe after $1,500</t>
        </is>
      </c>
    </row>
    <row r="1205">
      <c r="A1205" s="17">
        <f>IF(B1205="","",B1205+(7*1000+4)/10000000)</f>
        <v/>
      </c>
      <c r="B1205" s="23">
        <f>IF(AND(Brand_Log!AN5=1,Brand_Log!U5="Y",OR(ISNUMBER(Brand_Log!V5),TRIM(Brand_Log!W5)&lt;&gt;"")),Brand_Log!G5,"")</f>
        <v/>
      </c>
      <c r="C1205" s="17">
        <f>IF(B1205="","","brand")</f>
        <v/>
      </c>
      <c r="D1205" s="17">
        <f>IF(B1205="","",Brand_Log!$A5&amp;"")</f>
        <v/>
      </c>
      <c r="E1205" s="17">
        <f>IF(B1205="","",IF(Brand_Log!B5="","",Brand_Log!B5&amp;""))</f>
        <v/>
      </c>
      <c r="F1205" s="17">
        <f>IF(B1205="","","budget_probe")</f>
        <v/>
      </c>
      <c r="G1205" s="17">
        <f>IF(B1205="","",IF(ISNUMBER(Brand_Log!V5),Brand_Log!V5,""))</f>
        <v/>
      </c>
      <c r="H1205" s="17">
        <f>IF(B1205="","",IF(Brand_Log!W5="","",Brand_Log!W5&amp;""))</f>
        <v/>
      </c>
      <c r="I1205" s="17">
        <f>IF(B1205="","",IF(Brand_Log!N5="","",Brand_Log!N5&amp;""))</f>
        <v/>
      </c>
      <c r="J1205" s="17">
        <f>IF(B1205="","","after_1500")</f>
        <v/>
      </c>
      <c r="K1205" t="inlineStr">
        <is>
          <t>brand budget_probe after $1,500</t>
        </is>
      </c>
    </row>
    <row r="1206">
      <c r="A1206" s="17">
        <f>IF(B1206="","",B1206+(7*1000+5)/10000000)</f>
        <v/>
      </c>
      <c r="B1206" s="23">
        <f>IF(AND(Brand_Log!AN6=1,Brand_Log!U6="Y",OR(ISNUMBER(Brand_Log!V6),TRIM(Brand_Log!W6)&lt;&gt;"")),Brand_Log!G6,"")</f>
        <v/>
      </c>
      <c r="C1206" s="17">
        <f>IF(B1206="","","brand")</f>
        <v/>
      </c>
      <c r="D1206" s="17">
        <f>IF(B1206="","",Brand_Log!$A6&amp;"")</f>
        <v/>
      </c>
      <c r="E1206" s="17">
        <f>IF(B1206="","",IF(Brand_Log!B6="","",Brand_Log!B6&amp;""))</f>
        <v/>
      </c>
      <c r="F1206" s="17">
        <f>IF(B1206="","","budget_probe")</f>
        <v/>
      </c>
      <c r="G1206" s="17">
        <f>IF(B1206="","",IF(ISNUMBER(Brand_Log!V6),Brand_Log!V6,""))</f>
        <v/>
      </c>
      <c r="H1206" s="17">
        <f>IF(B1206="","",IF(Brand_Log!W6="","",Brand_Log!W6&amp;""))</f>
        <v/>
      </c>
      <c r="I1206" s="17">
        <f>IF(B1206="","",IF(Brand_Log!N6="","",Brand_Log!N6&amp;""))</f>
        <v/>
      </c>
      <c r="J1206" s="17">
        <f>IF(B1206="","","after_1500")</f>
        <v/>
      </c>
      <c r="K1206" t="inlineStr">
        <is>
          <t>brand budget_probe after $1,500</t>
        </is>
      </c>
    </row>
    <row r="1207">
      <c r="A1207" s="17">
        <f>IF(B1207="","",B1207+(7*1000+6)/10000000)</f>
        <v/>
      </c>
      <c r="B1207" s="23">
        <f>IF(AND(Brand_Log!AN7=1,Brand_Log!U7="Y",OR(ISNUMBER(Brand_Log!V7),TRIM(Brand_Log!W7)&lt;&gt;"")),Brand_Log!G7,"")</f>
        <v/>
      </c>
      <c r="C1207" s="17">
        <f>IF(B1207="","","brand")</f>
        <v/>
      </c>
      <c r="D1207" s="17">
        <f>IF(B1207="","",Brand_Log!$A7&amp;"")</f>
        <v/>
      </c>
      <c r="E1207" s="17">
        <f>IF(B1207="","",IF(Brand_Log!B7="","",Brand_Log!B7&amp;""))</f>
        <v/>
      </c>
      <c r="F1207" s="17">
        <f>IF(B1207="","","budget_probe")</f>
        <v/>
      </c>
      <c r="G1207" s="17">
        <f>IF(B1207="","",IF(ISNUMBER(Brand_Log!V7),Brand_Log!V7,""))</f>
        <v/>
      </c>
      <c r="H1207" s="17">
        <f>IF(B1207="","",IF(Brand_Log!W7="","",Brand_Log!W7&amp;""))</f>
        <v/>
      </c>
      <c r="I1207" s="17">
        <f>IF(B1207="","",IF(Brand_Log!N7="","",Brand_Log!N7&amp;""))</f>
        <v/>
      </c>
      <c r="J1207" s="17">
        <f>IF(B1207="","","after_1500")</f>
        <v/>
      </c>
      <c r="K1207" t="inlineStr">
        <is>
          <t>brand budget_probe after $1,500</t>
        </is>
      </c>
    </row>
    <row r="1208">
      <c r="A1208" s="17">
        <f>IF(B1208="","",B1208+(7*1000+7)/10000000)</f>
        <v/>
      </c>
      <c r="B1208" s="23">
        <f>IF(AND(Brand_Log!AN8=1,Brand_Log!U8="Y",OR(ISNUMBER(Brand_Log!V8),TRIM(Brand_Log!W8)&lt;&gt;"")),Brand_Log!G8,"")</f>
        <v/>
      </c>
      <c r="C1208" s="17">
        <f>IF(B1208="","","brand")</f>
        <v/>
      </c>
      <c r="D1208" s="17">
        <f>IF(B1208="","",Brand_Log!$A8&amp;"")</f>
        <v/>
      </c>
      <c r="E1208" s="17">
        <f>IF(B1208="","",IF(Brand_Log!B8="","",Brand_Log!B8&amp;""))</f>
        <v/>
      </c>
      <c r="F1208" s="17">
        <f>IF(B1208="","","budget_probe")</f>
        <v/>
      </c>
      <c r="G1208" s="17">
        <f>IF(B1208="","",IF(ISNUMBER(Brand_Log!V8),Brand_Log!V8,""))</f>
        <v/>
      </c>
      <c r="H1208" s="17">
        <f>IF(B1208="","",IF(Brand_Log!W8="","",Brand_Log!W8&amp;""))</f>
        <v/>
      </c>
      <c r="I1208" s="17">
        <f>IF(B1208="","",IF(Brand_Log!N8="","",Brand_Log!N8&amp;""))</f>
        <v/>
      </c>
      <c r="J1208" s="17">
        <f>IF(B1208="","","after_1500")</f>
        <v/>
      </c>
      <c r="K1208" t="inlineStr">
        <is>
          <t>brand budget_probe after $1,500</t>
        </is>
      </c>
    </row>
    <row r="1209">
      <c r="A1209" s="17">
        <f>IF(B1209="","",B1209+(7*1000+8)/10000000)</f>
        <v/>
      </c>
      <c r="B1209" s="23">
        <f>IF(AND(Brand_Log!AN9=1,Brand_Log!U9="Y",OR(ISNUMBER(Brand_Log!V9),TRIM(Brand_Log!W9)&lt;&gt;"")),Brand_Log!G9,"")</f>
        <v/>
      </c>
      <c r="C1209" s="17">
        <f>IF(B1209="","","brand")</f>
        <v/>
      </c>
      <c r="D1209" s="17">
        <f>IF(B1209="","",Brand_Log!$A9&amp;"")</f>
        <v/>
      </c>
      <c r="E1209" s="17">
        <f>IF(B1209="","",IF(Brand_Log!B9="","",Brand_Log!B9&amp;""))</f>
        <v/>
      </c>
      <c r="F1209" s="17">
        <f>IF(B1209="","","budget_probe")</f>
        <v/>
      </c>
      <c r="G1209" s="17">
        <f>IF(B1209="","",IF(ISNUMBER(Brand_Log!V9),Brand_Log!V9,""))</f>
        <v/>
      </c>
      <c r="H1209" s="17">
        <f>IF(B1209="","",IF(Brand_Log!W9="","",Brand_Log!W9&amp;""))</f>
        <v/>
      </c>
      <c r="I1209" s="17">
        <f>IF(B1209="","",IF(Brand_Log!N9="","",Brand_Log!N9&amp;""))</f>
        <v/>
      </c>
      <c r="J1209" s="17">
        <f>IF(B1209="","","after_1500")</f>
        <v/>
      </c>
      <c r="K1209" t="inlineStr">
        <is>
          <t>brand budget_probe after $1,500</t>
        </is>
      </c>
    </row>
    <row r="1210">
      <c r="A1210" s="17">
        <f>IF(B1210="","",B1210+(7*1000+9)/10000000)</f>
        <v/>
      </c>
      <c r="B1210" s="23">
        <f>IF(AND(Brand_Log!AN10=1,Brand_Log!U10="Y",OR(ISNUMBER(Brand_Log!V10),TRIM(Brand_Log!W10)&lt;&gt;"")),Brand_Log!G10,"")</f>
        <v/>
      </c>
      <c r="C1210" s="17">
        <f>IF(B1210="","","brand")</f>
        <v/>
      </c>
      <c r="D1210" s="17">
        <f>IF(B1210="","",Brand_Log!$A10&amp;"")</f>
        <v/>
      </c>
      <c r="E1210" s="17">
        <f>IF(B1210="","",IF(Brand_Log!B10="","",Brand_Log!B10&amp;""))</f>
        <v/>
      </c>
      <c r="F1210" s="17">
        <f>IF(B1210="","","budget_probe")</f>
        <v/>
      </c>
      <c r="G1210" s="17">
        <f>IF(B1210="","",IF(ISNUMBER(Brand_Log!V10),Brand_Log!V10,""))</f>
        <v/>
      </c>
      <c r="H1210" s="17">
        <f>IF(B1210="","",IF(Brand_Log!W10="","",Brand_Log!W10&amp;""))</f>
        <v/>
      </c>
      <c r="I1210" s="17">
        <f>IF(B1210="","",IF(Brand_Log!N10="","",Brand_Log!N10&amp;""))</f>
        <v/>
      </c>
      <c r="J1210" s="17">
        <f>IF(B1210="","","after_1500")</f>
        <v/>
      </c>
      <c r="K1210" t="inlineStr">
        <is>
          <t>brand budget_probe after $1,500</t>
        </is>
      </c>
    </row>
    <row r="1211">
      <c r="A1211" s="17">
        <f>IF(B1211="","",B1211+(7*1000+10)/10000000)</f>
        <v/>
      </c>
      <c r="B1211" s="23">
        <f>IF(AND(Brand_Log!AN11=1,Brand_Log!U11="Y",OR(ISNUMBER(Brand_Log!V11),TRIM(Brand_Log!W11)&lt;&gt;"")),Brand_Log!G11,"")</f>
        <v/>
      </c>
      <c r="C1211" s="17">
        <f>IF(B1211="","","brand")</f>
        <v/>
      </c>
      <c r="D1211" s="17">
        <f>IF(B1211="","",Brand_Log!$A11&amp;"")</f>
        <v/>
      </c>
      <c r="E1211" s="17">
        <f>IF(B1211="","",IF(Brand_Log!B11="","",Brand_Log!B11&amp;""))</f>
        <v/>
      </c>
      <c r="F1211" s="17">
        <f>IF(B1211="","","budget_probe")</f>
        <v/>
      </c>
      <c r="G1211" s="17">
        <f>IF(B1211="","",IF(ISNUMBER(Brand_Log!V11),Brand_Log!V11,""))</f>
        <v/>
      </c>
      <c r="H1211" s="17">
        <f>IF(B1211="","",IF(Brand_Log!W11="","",Brand_Log!W11&amp;""))</f>
        <v/>
      </c>
      <c r="I1211" s="17">
        <f>IF(B1211="","",IF(Brand_Log!N11="","",Brand_Log!N11&amp;""))</f>
        <v/>
      </c>
      <c r="J1211" s="17">
        <f>IF(B1211="","","after_1500")</f>
        <v/>
      </c>
      <c r="K1211" t="inlineStr">
        <is>
          <t>brand budget_probe after $1,500</t>
        </is>
      </c>
    </row>
    <row r="1212">
      <c r="A1212" s="17">
        <f>IF(B1212="","",B1212+(7*1000+11)/10000000)</f>
        <v/>
      </c>
      <c r="B1212" s="23">
        <f>IF(AND(Brand_Log!AN12=1,Brand_Log!U12="Y",OR(ISNUMBER(Brand_Log!V12),TRIM(Brand_Log!W12)&lt;&gt;"")),Brand_Log!G12,"")</f>
        <v/>
      </c>
      <c r="C1212" s="17">
        <f>IF(B1212="","","brand")</f>
        <v/>
      </c>
      <c r="D1212" s="17">
        <f>IF(B1212="","",Brand_Log!$A12&amp;"")</f>
        <v/>
      </c>
      <c r="E1212" s="17">
        <f>IF(B1212="","",IF(Brand_Log!B12="","",Brand_Log!B12&amp;""))</f>
        <v/>
      </c>
      <c r="F1212" s="17">
        <f>IF(B1212="","","budget_probe")</f>
        <v/>
      </c>
      <c r="G1212" s="17">
        <f>IF(B1212="","",IF(ISNUMBER(Brand_Log!V12),Brand_Log!V12,""))</f>
        <v/>
      </c>
      <c r="H1212" s="17">
        <f>IF(B1212="","",IF(Brand_Log!W12="","",Brand_Log!W12&amp;""))</f>
        <v/>
      </c>
      <c r="I1212" s="17">
        <f>IF(B1212="","",IF(Brand_Log!N12="","",Brand_Log!N12&amp;""))</f>
        <v/>
      </c>
      <c r="J1212" s="17">
        <f>IF(B1212="","","after_1500")</f>
        <v/>
      </c>
      <c r="K1212" t="inlineStr">
        <is>
          <t>brand budget_probe after $1,500</t>
        </is>
      </c>
    </row>
    <row r="1213">
      <c r="A1213" s="17">
        <f>IF(B1213="","",B1213+(7*1000+12)/10000000)</f>
        <v/>
      </c>
      <c r="B1213" s="23">
        <f>IF(AND(Brand_Log!AN13=1,Brand_Log!U13="Y",OR(ISNUMBER(Brand_Log!V13),TRIM(Brand_Log!W13)&lt;&gt;"")),Brand_Log!G13,"")</f>
        <v/>
      </c>
      <c r="C1213" s="17">
        <f>IF(B1213="","","brand")</f>
        <v/>
      </c>
      <c r="D1213" s="17">
        <f>IF(B1213="","",Brand_Log!$A13&amp;"")</f>
        <v/>
      </c>
      <c r="E1213" s="17">
        <f>IF(B1213="","",IF(Brand_Log!B13="","",Brand_Log!B13&amp;""))</f>
        <v/>
      </c>
      <c r="F1213" s="17">
        <f>IF(B1213="","","budget_probe")</f>
        <v/>
      </c>
      <c r="G1213" s="17">
        <f>IF(B1213="","",IF(ISNUMBER(Brand_Log!V13),Brand_Log!V13,""))</f>
        <v/>
      </c>
      <c r="H1213" s="17">
        <f>IF(B1213="","",IF(Brand_Log!W13="","",Brand_Log!W13&amp;""))</f>
        <v/>
      </c>
      <c r="I1213" s="17">
        <f>IF(B1213="","",IF(Brand_Log!N13="","",Brand_Log!N13&amp;""))</f>
        <v/>
      </c>
      <c r="J1213" s="17">
        <f>IF(B1213="","","after_1500")</f>
        <v/>
      </c>
      <c r="K1213" t="inlineStr">
        <is>
          <t>brand budget_probe after $1,500</t>
        </is>
      </c>
    </row>
    <row r="1214">
      <c r="A1214" s="17">
        <f>IF(B1214="","",B1214+(7*1000+13)/10000000)</f>
        <v/>
      </c>
      <c r="B1214" s="23">
        <f>IF(AND(Brand_Log!AN14=1,Brand_Log!U14="Y",OR(ISNUMBER(Brand_Log!V14),TRIM(Brand_Log!W14)&lt;&gt;"")),Brand_Log!G14,"")</f>
        <v/>
      </c>
      <c r="C1214" s="17">
        <f>IF(B1214="","","brand")</f>
        <v/>
      </c>
      <c r="D1214" s="17">
        <f>IF(B1214="","",Brand_Log!$A14&amp;"")</f>
        <v/>
      </c>
      <c r="E1214" s="17">
        <f>IF(B1214="","",IF(Brand_Log!B14="","",Brand_Log!B14&amp;""))</f>
        <v/>
      </c>
      <c r="F1214" s="17">
        <f>IF(B1214="","","budget_probe")</f>
        <v/>
      </c>
      <c r="G1214" s="17">
        <f>IF(B1214="","",IF(ISNUMBER(Brand_Log!V14),Brand_Log!V14,""))</f>
        <v/>
      </c>
      <c r="H1214" s="17">
        <f>IF(B1214="","",IF(Brand_Log!W14="","",Brand_Log!W14&amp;""))</f>
        <v/>
      </c>
      <c r="I1214" s="17">
        <f>IF(B1214="","",IF(Brand_Log!N14="","",Brand_Log!N14&amp;""))</f>
        <v/>
      </c>
      <c r="J1214" s="17">
        <f>IF(B1214="","","after_1500")</f>
        <v/>
      </c>
      <c r="K1214" t="inlineStr">
        <is>
          <t>brand budget_probe after $1,500</t>
        </is>
      </c>
    </row>
    <row r="1215">
      <c r="A1215" s="17">
        <f>IF(B1215="","",B1215+(7*1000+14)/10000000)</f>
        <v/>
      </c>
      <c r="B1215" s="23">
        <f>IF(AND(Brand_Log!AN15=1,Brand_Log!U15="Y",OR(ISNUMBER(Brand_Log!V15),TRIM(Brand_Log!W15)&lt;&gt;"")),Brand_Log!G15,"")</f>
        <v/>
      </c>
      <c r="C1215" s="17">
        <f>IF(B1215="","","brand")</f>
        <v/>
      </c>
      <c r="D1215" s="17">
        <f>IF(B1215="","",Brand_Log!$A15&amp;"")</f>
        <v/>
      </c>
      <c r="E1215" s="17">
        <f>IF(B1215="","",IF(Brand_Log!B15="","",Brand_Log!B15&amp;""))</f>
        <v/>
      </c>
      <c r="F1215" s="17">
        <f>IF(B1215="","","budget_probe")</f>
        <v/>
      </c>
      <c r="G1215" s="17">
        <f>IF(B1215="","",IF(ISNUMBER(Brand_Log!V15),Brand_Log!V15,""))</f>
        <v/>
      </c>
      <c r="H1215" s="17">
        <f>IF(B1215="","",IF(Brand_Log!W15="","",Brand_Log!W15&amp;""))</f>
        <v/>
      </c>
      <c r="I1215" s="17">
        <f>IF(B1215="","",IF(Brand_Log!N15="","",Brand_Log!N15&amp;""))</f>
        <v/>
      </c>
      <c r="J1215" s="17">
        <f>IF(B1215="","","after_1500")</f>
        <v/>
      </c>
      <c r="K1215" t="inlineStr">
        <is>
          <t>brand budget_probe after $1,500</t>
        </is>
      </c>
    </row>
    <row r="1216">
      <c r="A1216" s="17">
        <f>IF(B1216="","",B1216+(7*1000+15)/10000000)</f>
        <v/>
      </c>
      <c r="B1216" s="23">
        <f>IF(AND(Brand_Log!AN16=1,Brand_Log!U16="Y",OR(ISNUMBER(Brand_Log!V16),TRIM(Brand_Log!W16)&lt;&gt;"")),Brand_Log!G16,"")</f>
        <v/>
      </c>
      <c r="C1216" s="17">
        <f>IF(B1216="","","brand")</f>
        <v/>
      </c>
      <c r="D1216" s="17">
        <f>IF(B1216="","",Brand_Log!$A16&amp;"")</f>
        <v/>
      </c>
      <c r="E1216" s="17">
        <f>IF(B1216="","",IF(Brand_Log!B16="","",Brand_Log!B16&amp;""))</f>
        <v/>
      </c>
      <c r="F1216" s="17">
        <f>IF(B1216="","","budget_probe")</f>
        <v/>
      </c>
      <c r="G1216" s="17">
        <f>IF(B1216="","",IF(ISNUMBER(Brand_Log!V16),Brand_Log!V16,""))</f>
        <v/>
      </c>
      <c r="H1216" s="17">
        <f>IF(B1216="","",IF(Brand_Log!W16="","",Brand_Log!W16&amp;""))</f>
        <v/>
      </c>
      <c r="I1216" s="17">
        <f>IF(B1216="","",IF(Brand_Log!N16="","",Brand_Log!N16&amp;""))</f>
        <v/>
      </c>
      <c r="J1216" s="17">
        <f>IF(B1216="","","after_1500")</f>
        <v/>
      </c>
      <c r="K1216" t="inlineStr">
        <is>
          <t>brand budget_probe after $1,500</t>
        </is>
      </c>
    </row>
    <row r="1217">
      <c r="A1217" s="17">
        <f>IF(B1217="","",B1217+(7*1000+16)/10000000)</f>
        <v/>
      </c>
      <c r="B1217" s="23">
        <f>IF(AND(Brand_Log!AN17=1,Brand_Log!U17="Y",OR(ISNUMBER(Brand_Log!V17),TRIM(Brand_Log!W17)&lt;&gt;"")),Brand_Log!G17,"")</f>
        <v/>
      </c>
      <c r="C1217" s="17">
        <f>IF(B1217="","","brand")</f>
        <v/>
      </c>
      <c r="D1217" s="17">
        <f>IF(B1217="","",Brand_Log!$A17&amp;"")</f>
        <v/>
      </c>
      <c r="E1217" s="17">
        <f>IF(B1217="","",IF(Brand_Log!B17="","",Brand_Log!B17&amp;""))</f>
        <v/>
      </c>
      <c r="F1217" s="17">
        <f>IF(B1217="","","budget_probe")</f>
        <v/>
      </c>
      <c r="G1217" s="17">
        <f>IF(B1217="","",IF(ISNUMBER(Brand_Log!V17),Brand_Log!V17,""))</f>
        <v/>
      </c>
      <c r="H1217" s="17">
        <f>IF(B1217="","",IF(Brand_Log!W17="","",Brand_Log!W17&amp;""))</f>
        <v/>
      </c>
      <c r="I1217" s="17">
        <f>IF(B1217="","",IF(Brand_Log!N17="","",Brand_Log!N17&amp;""))</f>
        <v/>
      </c>
      <c r="J1217" s="17">
        <f>IF(B1217="","","after_1500")</f>
        <v/>
      </c>
      <c r="K1217" t="inlineStr">
        <is>
          <t>brand budget_probe after $1,500</t>
        </is>
      </c>
    </row>
    <row r="1218">
      <c r="A1218" s="17">
        <f>IF(B1218="","",B1218+(7*1000+17)/10000000)</f>
        <v/>
      </c>
      <c r="B1218" s="23">
        <f>IF(AND(Brand_Log!AN18=1,Brand_Log!U18="Y",OR(ISNUMBER(Brand_Log!V18),TRIM(Brand_Log!W18)&lt;&gt;"")),Brand_Log!G18,"")</f>
        <v/>
      </c>
      <c r="C1218" s="17">
        <f>IF(B1218="","","brand")</f>
        <v/>
      </c>
      <c r="D1218" s="17">
        <f>IF(B1218="","",Brand_Log!$A18&amp;"")</f>
        <v/>
      </c>
      <c r="E1218" s="17">
        <f>IF(B1218="","",IF(Brand_Log!B18="","",Brand_Log!B18&amp;""))</f>
        <v/>
      </c>
      <c r="F1218" s="17">
        <f>IF(B1218="","","budget_probe")</f>
        <v/>
      </c>
      <c r="G1218" s="17">
        <f>IF(B1218="","",IF(ISNUMBER(Brand_Log!V18),Brand_Log!V18,""))</f>
        <v/>
      </c>
      <c r="H1218" s="17">
        <f>IF(B1218="","",IF(Brand_Log!W18="","",Brand_Log!W18&amp;""))</f>
        <v/>
      </c>
      <c r="I1218" s="17">
        <f>IF(B1218="","",IF(Brand_Log!N18="","",Brand_Log!N18&amp;""))</f>
        <v/>
      </c>
      <c r="J1218" s="17">
        <f>IF(B1218="","","after_1500")</f>
        <v/>
      </c>
      <c r="K1218" t="inlineStr">
        <is>
          <t>brand budget_probe after $1,500</t>
        </is>
      </c>
    </row>
    <row r="1219">
      <c r="A1219" s="17">
        <f>IF(B1219="","",B1219+(7*1000+18)/10000000)</f>
        <v/>
      </c>
      <c r="B1219" s="23">
        <f>IF(AND(Brand_Log!AN19=1,Brand_Log!U19="Y",OR(ISNUMBER(Brand_Log!V19),TRIM(Brand_Log!W19)&lt;&gt;"")),Brand_Log!G19,"")</f>
        <v/>
      </c>
      <c r="C1219" s="17">
        <f>IF(B1219="","","brand")</f>
        <v/>
      </c>
      <c r="D1219" s="17">
        <f>IF(B1219="","",Brand_Log!$A19&amp;"")</f>
        <v/>
      </c>
      <c r="E1219" s="17">
        <f>IF(B1219="","",IF(Brand_Log!B19="","",Brand_Log!B19&amp;""))</f>
        <v/>
      </c>
      <c r="F1219" s="17">
        <f>IF(B1219="","","budget_probe")</f>
        <v/>
      </c>
      <c r="G1219" s="17">
        <f>IF(B1219="","",IF(ISNUMBER(Brand_Log!V19),Brand_Log!V19,""))</f>
        <v/>
      </c>
      <c r="H1219" s="17">
        <f>IF(B1219="","",IF(Brand_Log!W19="","",Brand_Log!W19&amp;""))</f>
        <v/>
      </c>
      <c r="I1219" s="17">
        <f>IF(B1219="","",IF(Brand_Log!N19="","",Brand_Log!N19&amp;""))</f>
        <v/>
      </c>
      <c r="J1219" s="17">
        <f>IF(B1219="","","after_1500")</f>
        <v/>
      </c>
      <c r="K1219" t="inlineStr">
        <is>
          <t>brand budget_probe after $1,500</t>
        </is>
      </c>
    </row>
    <row r="1220">
      <c r="A1220" s="17">
        <f>IF(B1220="","",B1220+(7*1000+19)/10000000)</f>
        <v/>
      </c>
      <c r="B1220" s="23">
        <f>IF(AND(Brand_Log!AN20=1,Brand_Log!U20="Y",OR(ISNUMBER(Brand_Log!V20),TRIM(Brand_Log!W20)&lt;&gt;"")),Brand_Log!G20,"")</f>
        <v/>
      </c>
      <c r="C1220" s="17">
        <f>IF(B1220="","","brand")</f>
        <v/>
      </c>
      <c r="D1220" s="17">
        <f>IF(B1220="","",Brand_Log!$A20&amp;"")</f>
        <v/>
      </c>
      <c r="E1220" s="17">
        <f>IF(B1220="","",IF(Brand_Log!B20="","",Brand_Log!B20&amp;""))</f>
        <v/>
      </c>
      <c r="F1220" s="17">
        <f>IF(B1220="","","budget_probe")</f>
        <v/>
      </c>
      <c r="G1220" s="17">
        <f>IF(B1220="","",IF(ISNUMBER(Brand_Log!V20),Brand_Log!V20,""))</f>
        <v/>
      </c>
      <c r="H1220" s="17">
        <f>IF(B1220="","",IF(Brand_Log!W20="","",Brand_Log!W20&amp;""))</f>
        <v/>
      </c>
      <c r="I1220" s="17">
        <f>IF(B1220="","",IF(Brand_Log!N20="","",Brand_Log!N20&amp;""))</f>
        <v/>
      </c>
      <c r="J1220" s="17">
        <f>IF(B1220="","","after_1500")</f>
        <v/>
      </c>
      <c r="K1220" t="inlineStr">
        <is>
          <t>brand budget_probe after $1,500</t>
        </is>
      </c>
    </row>
    <row r="1221">
      <c r="A1221" s="17">
        <f>IF(B1221="","",B1221+(7*1000+20)/10000000)</f>
        <v/>
      </c>
      <c r="B1221" s="23">
        <f>IF(AND(Brand_Log!AN21=1,Brand_Log!U21="Y",OR(ISNUMBER(Brand_Log!V21),TRIM(Brand_Log!W21)&lt;&gt;"")),Brand_Log!G21,"")</f>
        <v/>
      </c>
      <c r="C1221" s="17">
        <f>IF(B1221="","","brand")</f>
        <v/>
      </c>
      <c r="D1221" s="17">
        <f>IF(B1221="","",Brand_Log!$A21&amp;"")</f>
        <v/>
      </c>
      <c r="E1221" s="17">
        <f>IF(B1221="","",IF(Brand_Log!B21="","",Brand_Log!B21&amp;""))</f>
        <v/>
      </c>
      <c r="F1221" s="17">
        <f>IF(B1221="","","budget_probe")</f>
        <v/>
      </c>
      <c r="G1221" s="17">
        <f>IF(B1221="","",IF(ISNUMBER(Brand_Log!V21),Brand_Log!V21,""))</f>
        <v/>
      </c>
      <c r="H1221" s="17">
        <f>IF(B1221="","",IF(Brand_Log!W21="","",Brand_Log!W21&amp;""))</f>
        <v/>
      </c>
      <c r="I1221" s="17">
        <f>IF(B1221="","",IF(Brand_Log!N21="","",Brand_Log!N21&amp;""))</f>
        <v/>
      </c>
      <c r="J1221" s="17">
        <f>IF(B1221="","","after_1500")</f>
        <v/>
      </c>
      <c r="K1221" t="inlineStr">
        <is>
          <t>brand budget_probe after $1,500</t>
        </is>
      </c>
    </row>
    <row r="1222">
      <c r="A1222" s="17">
        <f>IF(B1222="","",B1222+(7*1000+21)/10000000)</f>
        <v/>
      </c>
      <c r="B1222" s="23">
        <f>IF(AND(Brand_Log!AN22=1,Brand_Log!U22="Y",OR(ISNUMBER(Brand_Log!V22),TRIM(Brand_Log!W22)&lt;&gt;"")),Brand_Log!G22,"")</f>
        <v/>
      </c>
      <c r="C1222" s="17">
        <f>IF(B1222="","","brand")</f>
        <v/>
      </c>
      <c r="D1222" s="17">
        <f>IF(B1222="","",Brand_Log!$A22&amp;"")</f>
        <v/>
      </c>
      <c r="E1222" s="17">
        <f>IF(B1222="","",IF(Brand_Log!B22="","",Brand_Log!B22&amp;""))</f>
        <v/>
      </c>
      <c r="F1222" s="17">
        <f>IF(B1222="","","budget_probe")</f>
        <v/>
      </c>
      <c r="G1222" s="17">
        <f>IF(B1222="","",IF(ISNUMBER(Brand_Log!V22),Brand_Log!V22,""))</f>
        <v/>
      </c>
      <c r="H1222" s="17">
        <f>IF(B1222="","",IF(Brand_Log!W22="","",Brand_Log!W22&amp;""))</f>
        <v/>
      </c>
      <c r="I1222" s="17">
        <f>IF(B1222="","",IF(Brand_Log!N22="","",Brand_Log!N22&amp;""))</f>
        <v/>
      </c>
      <c r="J1222" s="17">
        <f>IF(B1222="","","after_1500")</f>
        <v/>
      </c>
      <c r="K1222" t="inlineStr">
        <is>
          <t>brand budget_probe after $1,500</t>
        </is>
      </c>
    </row>
    <row r="1223">
      <c r="A1223" s="17">
        <f>IF(B1223="","",B1223+(7*1000+22)/10000000)</f>
        <v/>
      </c>
      <c r="B1223" s="23">
        <f>IF(AND(Brand_Log!AN23=1,Brand_Log!U23="Y",OR(ISNUMBER(Brand_Log!V23),TRIM(Brand_Log!W23)&lt;&gt;"")),Brand_Log!G23,"")</f>
        <v/>
      </c>
      <c r="C1223" s="17">
        <f>IF(B1223="","","brand")</f>
        <v/>
      </c>
      <c r="D1223" s="17">
        <f>IF(B1223="","",Brand_Log!$A23&amp;"")</f>
        <v/>
      </c>
      <c r="E1223" s="17">
        <f>IF(B1223="","",IF(Brand_Log!B23="","",Brand_Log!B23&amp;""))</f>
        <v/>
      </c>
      <c r="F1223" s="17">
        <f>IF(B1223="","","budget_probe")</f>
        <v/>
      </c>
      <c r="G1223" s="17">
        <f>IF(B1223="","",IF(ISNUMBER(Brand_Log!V23),Brand_Log!V23,""))</f>
        <v/>
      </c>
      <c r="H1223" s="17">
        <f>IF(B1223="","",IF(Brand_Log!W23="","",Brand_Log!W23&amp;""))</f>
        <v/>
      </c>
      <c r="I1223" s="17">
        <f>IF(B1223="","",IF(Brand_Log!N23="","",Brand_Log!N23&amp;""))</f>
        <v/>
      </c>
      <c r="J1223" s="17">
        <f>IF(B1223="","","after_1500")</f>
        <v/>
      </c>
      <c r="K1223" t="inlineStr">
        <is>
          <t>brand budget_probe after $1,500</t>
        </is>
      </c>
    </row>
    <row r="1224">
      <c r="A1224" s="17">
        <f>IF(B1224="","",B1224+(7*1000+23)/10000000)</f>
        <v/>
      </c>
      <c r="B1224" s="23">
        <f>IF(AND(Brand_Log!AN24=1,Brand_Log!U24="Y",OR(ISNUMBER(Brand_Log!V24),TRIM(Brand_Log!W24)&lt;&gt;"")),Brand_Log!G24,"")</f>
        <v/>
      </c>
      <c r="C1224" s="17">
        <f>IF(B1224="","","brand")</f>
        <v/>
      </c>
      <c r="D1224" s="17">
        <f>IF(B1224="","",Brand_Log!$A24&amp;"")</f>
        <v/>
      </c>
      <c r="E1224" s="17">
        <f>IF(B1224="","",IF(Brand_Log!B24="","",Brand_Log!B24&amp;""))</f>
        <v/>
      </c>
      <c r="F1224" s="17">
        <f>IF(B1224="","","budget_probe")</f>
        <v/>
      </c>
      <c r="G1224" s="17">
        <f>IF(B1224="","",IF(ISNUMBER(Brand_Log!V24),Brand_Log!V24,""))</f>
        <v/>
      </c>
      <c r="H1224" s="17">
        <f>IF(B1224="","",IF(Brand_Log!W24="","",Brand_Log!W24&amp;""))</f>
        <v/>
      </c>
      <c r="I1224" s="17">
        <f>IF(B1224="","",IF(Brand_Log!N24="","",Brand_Log!N24&amp;""))</f>
        <v/>
      </c>
      <c r="J1224" s="17">
        <f>IF(B1224="","","after_1500")</f>
        <v/>
      </c>
      <c r="K1224" t="inlineStr">
        <is>
          <t>brand budget_probe after $1,500</t>
        </is>
      </c>
    </row>
    <row r="1225">
      <c r="A1225" s="17">
        <f>IF(B1225="","",B1225+(7*1000+24)/10000000)</f>
        <v/>
      </c>
      <c r="B1225" s="23">
        <f>IF(AND(Brand_Log!AN25=1,Brand_Log!U25="Y",OR(ISNUMBER(Brand_Log!V25),TRIM(Brand_Log!W25)&lt;&gt;"")),Brand_Log!G25,"")</f>
        <v/>
      </c>
      <c r="C1225" s="17">
        <f>IF(B1225="","","brand")</f>
        <v/>
      </c>
      <c r="D1225" s="17">
        <f>IF(B1225="","",Brand_Log!$A25&amp;"")</f>
        <v/>
      </c>
      <c r="E1225" s="17">
        <f>IF(B1225="","",IF(Brand_Log!B25="","",Brand_Log!B25&amp;""))</f>
        <v/>
      </c>
      <c r="F1225" s="17">
        <f>IF(B1225="","","budget_probe")</f>
        <v/>
      </c>
      <c r="G1225" s="17">
        <f>IF(B1225="","",IF(ISNUMBER(Brand_Log!V25),Brand_Log!V25,""))</f>
        <v/>
      </c>
      <c r="H1225" s="17">
        <f>IF(B1225="","",IF(Brand_Log!W25="","",Brand_Log!W25&amp;""))</f>
        <v/>
      </c>
      <c r="I1225" s="17">
        <f>IF(B1225="","",IF(Brand_Log!N25="","",Brand_Log!N25&amp;""))</f>
        <v/>
      </c>
      <c r="J1225" s="17">
        <f>IF(B1225="","","after_1500")</f>
        <v/>
      </c>
      <c r="K1225" t="inlineStr">
        <is>
          <t>brand budget_probe after $1,500</t>
        </is>
      </c>
    </row>
    <row r="1226">
      <c r="A1226" s="17">
        <f>IF(B1226="","",B1226+(7*1000+25)/10000000)</f>
        <v/>
      </c>
      <c r="B1226" s="23">
        <f>IF(AND(Brand_Log!AN26=1,Brand_Log!U26="Y",OR(ISNUMBER(Brand_Log!V26),TRIM(Brand_Log!W26)&lt;&gt;"")),Brand_Log!G26,"")</f>
        <v/>
      </c>
      <c r="C1226" s="17">
        <f>IF(B1226="","","brand")</f>
        <v/>
      </c>
      <c r="D1226" s="17">
        <f>IF(B1226="","",Brand_Log!$A26&amp;"")</f>
        <v/>
      </c>
      <c r="E1226" s="17">
        <f>IF(B1226="","",IF(Brand_Log!B26="","",Brand_Log!B26&amp;""))</f>
        <v/>
      </c>
      <c r="F1226" s="17">
        <f>IF(B1226="","","budget_probe")</f>
        <v/>
      </c>
      <c r="G1226" s="17">
        <f>IF(B1226="","",IF(ISNUMBER(Brand_Log!V26),Brand_Log!V26,""))</f>
        <v/>
      </c>
      <c r="H1226" s="17">
        <f>IF(B1226="","",IF(Brand_Log!W26="","",Brand_Log!W26&amp;""))</f>
        <v/>
      </c>
      <c r="I1226" s="17">
        <f>IF(B1226="","",IF(Brand_Log!N26="","",Brand_Log!N26&amp;""))</f>
        <v/>
      </c>
      <c r="J1226" s="17">
        <f>IF(B1226="","","after_1500")</f>
        <v/>
      </c>
      <c r="K1226" t="inlineStr">
        <is>
          <t>brand budget_probe after $1,500</t>
        </is>
      </c>
    </row>
    <row r="1227">
      <c r="A1227" s="17">
        <f>IF(B1227="","",B1227+(7*1000+26)/10000000)</f>
        <v/>
      </c>
      <c r="B1227" s="23">
        <f>IF(AND(Brand_Log!AN27=1,Brand_Log!U27="Y",OR(ISNUMBER(Brand_Log!V27),TRIM(Brand_Log!W27)&lt;&gt;"")),Brand_Log!G27,"")</f>
        <v/>
      </c>
      <c r="C1227" s="17">
        <f>IF(B1227="","","brand")</f>
        <v/>
      </c>
      <c r="D1227" s="17">
        <f>IF(B1227="","",Brand_Log!$A27&amp;"")</f>
        <v/>
      </c>
      <c r="E1227" s="17">
        <f>IF(B1227="","",IF(Brand_Log!B27="","",Brand_Log!B27&amp;""))</f>
        <v/>
      </c>
      <c r="F1227" s="17">
        <f>IF(B1227="","","budget_probe")</f>
        <v/>
      </c>
      <c r="G1227" s="17">
        <f>IF(B1227="","",IF(ISNUMBER(Brand_Log!V27),Brand_Log!V27,""))</f>
        <v/>
      </c>
      <c r="H1227" s="17">
        <f>IF(B1227="","",IF(Brand_Log!W27="","",Brand_Log!W27&amp;""))</f>
        <v/>
      </c>
      <c r="I1227" s="17">
        <f>IF(B1227="","",IF(Brand_Log!N27="","",Brand_Log!N27&amp;""))</f>
        <v/>
      </c>
      <c r="J1227" s="17">
        <f>IF(B1227="","","after_1500")</f>
        <v/>
      </c>
      <c r="K1227" t="inlineStr">
        <is>
          <t>brand budget_probe after $1,500</t>
        </is>
      </c>
    </row>
    <row r="1228">
      <c r="A1228" s="17">
        <f>IF(B1228="","",B1228+(7*1000+27)/10000000)</f>
        <v/>
      </c>
      <c r="B1228" s="23">
        <f>IF(AND(Brand_Log!AN28=1,Brand_Log!U28="Y",OR(ISNUMBER(Brand_Log!V28),TRIM(Brand_Log!W28)&lt;&gt;"")),Brand_Log!G28,"")</f>
        <v/>
      </c>
      <c r="C1228" s="17">
        <f>IF(B1228="","","brand")</f>
        <v/>
      </c>
      <c r="D1228" s="17">
        <f>IF(B1228="","",Brand_Log!$A28&amp;"")</f>
        <v/>
      </c>
      <c r="E1228" s="17">
        <f>IF(B1228="","",IF(Brand_Log!B28="","",Brand_Log!B28&amp;""))</f>
        <v/>
      </c>
      <c r="F1228" s="17">
        <f>IF(B1228="","","budget_probe")</f>
        <v/>
      </c>
      <c r="G1228" s="17">
        <f>IF(B1228="","",IF(ISNUMBER(Brand_Log!V28),Brand_Log!V28,""))</f>
        <v/>
      </c>
      <c r="H1228" s="17">
        <f>IF(B1228="","",IF(Brand_Log!W28="","",Brand_Log!W28&amp;""))</f>
        <v/>
      </c>
      <c r="I1228" s="17">
        <f>IF(B1228="","",IF(Brand_Log!N28="","",Brand_Log!N28&amp;""))</f>
        <v/>
      </c>
      <c r="J1228" s="17">
        <f>IF(B1228="","","after_1500")</f>
        <v/>
      </c>
      <c r="K1228" t="inlineStr">
        <is>
          <t>brand budget_probe after $1,500</t>
        </is>
      </c>
    </row>
    <row r="1229">
      <c r="A1229" s="17">
        <f>IF(B1229="","",B1229+(7*1000+28)/10000000)</f>
        <v/>
      </c>
      <c r="B1229" s="23">
        <f>IF(AND(Brand_Log!AN29=1,Brand_Log!U29="Y",OR(ISNUMBER(Brand_Log!V29),TRIM(Brand_Log!W29)&lt;&gt;"")),Brand_Log!G29,"")</f>
        <v/>
      </c>
      <c r="C1229" s="17">
        <f>IF(B1229="","","brand")</f>
        <v/>
      </c>
      <c r="D1229" s="17">
        <f>IF(B1229="","",Brand_Log!$A29&amp;"")</f>
        <v/>
      </c>
      <c r="E1229" s="17">
        <f>IF(B1229="","",IF(Brand_Log!B29="","",Brand_Log!B29&amp;""))</f>
        <v/>
      </c>
      <c r="F1229" s="17">
        <f>IF(B1229="","","budget_probe")</f>
        <v/>
      </c>
      <c r="G1229" s="17">
        <f>IF(B1229="","",IF(ISNUMBER(Brand_Log!V29),Brand_Log!V29,""))</f>
        <v/>
      </c>
      <c r="H1229" s="17">
        <f>IF(B1229="","",IF(Brand_Log!W29="","",Brand_Log!W29&amp;""))</f>
        <v/>
      </c>
      <c r="I1229" s="17">
        <f>IF(B1229="","",IF(Brand_Log!N29="","",Brand_Log!N29&amp;""))</f>
        <v/>
      </c>
      <c r="J1229" s="17">
        <f>IF(B1229="","","after_1500")</f>
        <v/>
      </c>
      <c r="K1229" t="inlineStr">
        <is>
          <t>brand budget_probe after $1,500</t>
        </is>
      </c>
    </row>
    <row r="1230">
      <c r="A1230" s="17">
        <f>IF(B1230="","",B1230+(7*1000+29)/10000000)</f>
        <v/>
      </c>
      <c r="B1230" s="23">
        <f>IF(AND(Brand_Log!AN30=1,Brand_Log!U30="Y",OR(ISNUMBER(Brand_Log!V30),TRIM(Brand_Log!W30)&lt;&gt;"")),Brand_Log!G30,"")</f>
        <v/>
      </c>
      <c r="C1230" s="17">
        <f>IF(B1230="","","brand")</f>
        <v/>
      </c>
      <c r="D1230" s="17">
        <f>IF(B1230="","",Brand_Log!$A30&amp;"")</f>
        <v/>
      </c>
      <c r="E1230" s="17">
        <f>IF(B1230="","",IF(Brand_Log!B30="","",Brand_Log!B30&amp;""))</f>
        <v/>
      </c>
      <c r="F1230" s="17">
        <f>IF(B1230="","","budget_probe")</f>
        <v/>
      </c>
      <c r="G1230" s="17">
        <f>IF(B1230="","",IF(ISNUMBER(Brand_Log!V30),Brand_Log!V30,""))</f>
        <v/>
      </c>
      <c r="H1230" s="17">
        <f>IF(B1230="","",IF(Brand_Log!W30="","",Brand_Log!W30&amp;""))</f>
        <v/>
      </c>
      <c r="I1230" s="17">
        <f>IF(B1230="","",IF(Brand_Log!N30="","",Brand_Log!N30&amp;""))</f>
        <v/>
      </c>
      <c r="J1230" s="17">
        <f>IF(B1230="","","after_1500")</f>
        <v/>
      </c>
      <c r="K1230" t="inlineStr">
        <is>
          <t>brand budget_probe after $1,500</t>
        </is>
      </c>
    </row>
    <row r="1231">
      <c r="A1231" s="17">
        <f>IF(B1231="","",B1231+(7*1000+30)/10000000)</f>
        <v/>
      </c>
      <c r="B1231" s="23">
        <f>IF(AND(Brand_Log!AN31=1,Brand_Log!U31="Y",OR(ISNUMBER(Brand_Log!V31),TRIM(Brand_Log!W31)&lt;&gt;"")),Brand_Log!G31,"")</f>
        <v/>
      </c>
      <c r="C1231" s="17">
        <f>IF(B1231="","","brand")</f>
        <v/>
      </c>
      <c r="D1231" s="17">
        <f>IF(B1231="","",Brand_Log!$A31&amp;"")</f>
        <v/>
      </c>
      <c r="E1231" s="17">
        <f>IF(B1231="","",IF(Brand_Log!B31="","",Brand_Log!B31&amp;""))</f>
        <v/>
      </c>
      <c r="F1231" s="17">
        <f>IF(B1231="","","budget_probe")</f>
        <v/>
      </c>
      <c r="G1231" s="17">
        <f>IF(B1231="","",IF(ISNUMBER(Brand_Log!V31),Brand_Log!V31,""))</f>
        <v/>
      </c>
      <c r="H1231" s="17">
        <f>IF(B1231="","",IF(Brand_Log!W31="","",Brand_Log!W31&amp;""))</f>
        <v/>
      </c>
      <c r="I1231" s="17">
        <f>IF(B1231="","",IF(Brand_Log!N31="","",Brand_Log!N31&amp;""))</f>
        <v/>
      </c>
      <c r="J1231" s="17">
        <f>IF(B1231="","","after_1500")</f>
        <v/>
      </c>
      <c r="K1231" t="inlineStr">
        <is>
          <t>brand budget_probe after $1,500</t>
        </is>
      </c>
    </row>
    <row r="1232">
      <c r="A1232" s="17">
        <f>IF(B1232="","",B1232+(7*1000+31)/10000000)</f>
        <v/>
      </c>
      <c r="B1232" s="23">
        <f>IF(AND(Brand_Log!AN32=1,Brand_Log!U32="Y",OR(ISNUMBER(Brand_Log!V32),TRIM(Brand_Log!W32)&lt;&gt;"")),Brand_Log!G32,"")</f>
        <v/>
      </c>
      <c r="C1232" s="17">
        <f>IF(B1232="","","brand")</f>
        <v/>
      </c>
      <c r="D1232" s="17">
        <f>IF(B1232="","",Brand_Log!$A32&amp;"")</f>
        <v/>
      </c>
      <c r="E1232" s="17">
        <f>IF(B1232="","",IF(Brand_Log!B32="","",Brand_Log!B32&amp;""))</f>
        <v/>
      </c>
      <c r="F1232" s="17">
        <f>IF(B1232="","","budget_probe")</f>
        <v/>
      </c>
      <c r="G1232" s="17">
        <f>IF(B1232="","",IF(ISNUMBER(Brand_Log!V32),Brand_Log!V32,""))</f>
        <v/>
      </c>
      <c r="H1232" s="17">
        <f>IF(B1232="","",IF(Brand_Log!W32="","",Brand_Log!W32&amp;""))</f>
        <v/>
      </c>
      <c r="I1232" s="17">
        <f>IF(B1232="","",IF(Brand_Log!N32="","",Brand_Log!N32&amp;""))</f>
        <v/>
      </c>
      <c r="J1232" s="17">
        <f>IF(B1232="","","after_1500")</f>
        <v/>
      </c>
      <c r="K1232" t="inlineStr">
        <is>
          <t>brand budget_probe after $1,500</t>
        </is>
      </c>
    </row>
    <row r="1233">
      <c r="A1233" s="17">
        <f>IF(B1233="","",B1233+(7*1000+32)/10000000)</f>
        <v/>
      </c>
      <c r="B1233" s="23">
        <f>IF(AND(Brand_Log!AN33=1,Brand_Log!U33="Y",OR(ISNUMBER(Brand_Log!V33),TRIM(Brand_Log!W33)&lt;&gt;"")),Brand_Log!G33,"")</f>
        <v/>
      </c>
      <c r="C1233" s="17">
        <f>IF(B1233="","","brand")</f>
        <v/>
      </c>
      <c r="D1233" s="17">
        <f>IF(B1233="","",Brand_Log!$A33&amp;"")</f>
        <v/>
      </c>
      <c r="E1233" s="17">
        <f>IF(B1233="","",IF(Brand_Log!B33="","",Brand_Log!B33&amp;""))</f>
        <v/>
      </c>
      <c r="F1233" s="17">
        <f>IF(B1233="","","budget_probe")</f>
        <v/>
      </c>
      <c r="G1233" s="17">
        <f>IF(B1233="","",IF(ISNUMBER(Brand_Log!V33),Brand_Log!V33,""))</f>
        <v/>
      </c>
      <c r="H1233" s="17">
        <f>IF(B1233="","",IF(Brand_Log!W33="","",Brand_Log!W33&amp;""))</f>
        <v/>
      </c>
      <c r="I1233" s="17">
        <f>IF(B1233="","",IF(Brand_Log!N33="","",Brand_Log!N33&amp;""))</f>
        <v/>
      </c>
      <c r="J1233" s="17">
        <f>IF(B1233="","","after_1500")</f>
        <v/>
      </c>
      <c r="K1233" t="inlineStr">
        <is>
          <t>brand budget_probe after $1,500</t>
        </is>
      </c>
    </row>
    <row r="1234">
      <c r="A1234" s="17">
        <f>IF(B1234="","",B1234+(7*1000+33)/10000000)</f>
        <v/>
      </c>
      <c r="B1234" s="23">
        <f>IF(AND(Brand_Log!AN34=1,Brand_Log!U34="Y",OR(ISNUMBER(Brand_Log!V34),TRIM(Brand_Log!W34)&lt;&gt;"")),Brand_Log!G34,"")</f>
        <v/>
      </c>
      <c r="C1234" s="17">
        <f>IF(B1234="","","brand")</f>
        <v/>
      </c>
      <c r="D1234" s="17">
        <f>IF(B1234="","",Brand_Log!$A34&amp;"")</f>
        <v/>
      </c>
      <c r="E1234" s="17">
        <f>IF(B1234="","",IF(Brand_Log!B34="","",Brand_Log!B34&amp;""))</f>
        <v/>
      </c>
      <c r="F1234" s="17">
        <f>IF(B1234="","","budget_probe")</f>
        <v/>
      </c>
      <c r="G1234" s="17">
        <f>IF(B1234="","",IF(ISNUMBER(Brand_Log!V34),Brand_Log!V34,""))</f>
        <v/>
      </c>
      <c r="H1234" s="17">
        <f>IF(B1234="","",IF(Brand_Log!W34="","",Brand_Log!W34&amp;""))</f>
        <v/>
      </c>
      <c r="I1234" s="17">
        <f>IF(B1234="","",IF(Brand_Log!N34="","",Brand_Log!N34&amp;""))</f>
        <v/>
      </c>
      <c r="J1234" s="17">
        <f>IF(B1234="","","after_1500")</f>
        <v/>
      </c>
      <c r="K1234" t="inlineStr">
        <is>
          <t>brand budget_probe after $1,500</t>
        </is>
      </c>
    </row>
    <row r="1235">
      <c r="A1235" s="17">
        <f>IF(B1235="","",B1235+(7*1000+34)/10000000)</f>
        <v/>
      </c>
      <c r="B1235" s="23">
        <f>IF(AND(Brand_Log!AN35=1,Brand_Log!U35="Y",OR(ISNUMBER(Brand_Log!V35),TRIM(Brand_Log!W35)&lt;&gt;"")),Brand_Log!G35,"")</f>
        <v/>
      </c>
      <c r="C1235" s="17">
        <f>IF(B1235="","","brand")</f>
        <v/>
      </c>
      <c r="D1235" s="17">
        <f>IF(B1235="","",Brand_Log!$A35&amp;"")</f>
        <v/>
      </c>
      <c r="E1235" s="17">
        <f>IF(B1235="","",IF(Brand_Log!B35="","",Brand_Log!B35&amp;""))</f>
        <v/>
      </c>
      <c r="F1235" s="17">
        <f>IF(B1235="","","budget_probe")</f>
        <v/>
      </c>
      <c r="G1235" s="17">
        <f>IF(B1235="","",IF(ISNUMBER(Brand_Log!V35),Brand_Log!V35,""))</f>
        <v/>
      </c>
      <c r="H1235" s="17">
        <f>IF(B1235="","",IF(Brand_Log!W35="","",Brand_Log!W35&amp;""))</f>
        <v/>
      </c>
      <c r="I1235" s="17">
        <f>IF(B1235="","",IF(Brand_Log!N35="","",Brand_Log!N35&amp;""))</f>
        <v/>
      </c>
      <c r="J1235" s="17">
        <f>IF(B1235="","","after_1500")</f>
        <v/>
      </c>
      <c r="K1235" t="inlineStr">
        <is>
          <t>brand budget_probe after $1,500</t>
        </is>
      </c>
    </row>
    <row r="1236">
      <c r="A1236" s="17">
        <f>IF(B1236="","",B1236+(7*1000+35)/10000000)</f>
        <v/>
      </c>
      <c r="B1236" s="23">
        <f>IF(AND(Brand_Log!AN36=1,Brand_Log!U36="Y",OR(ISNUMBER(Brand_Log!V36),TRIM(Brand_Log!W36)&lt;&gt;"")),Brand_Log!G36,"")</f>
        <v/>
      </c>
      <c r="C1236" s="17">
        <f>IF(B1236="","","brand")</f>
        <v/>
      </c>
      <c r="D1236" s="17">
        <f>IF(B1236="","",Brand_Log!$A36&amp;"")</f>
        <v/>
      </c>
      <c r="E1236" s="17">
        <f>IF(B1236="","",IF(Brand_Log!B36="","",Brand_Log!B36&amp;""))</f>
        <v/>
      </c>
      <c r="F1236" s="17">
        <f>IF(B1236="","","budget_probe")</f>
        <v/>
      </c>
      <c r="G1236" s="17">
        <f>IF(B1236="","",IF(ISNUMBER(Brand_Log!V36),Brand_Log!V36,""))</f>
        <v/>
      </c>
      <c r="H1236" s="17">
        <f>IF(B1236="","",IF(Brand_Log!W36="","",Brand_Log!W36&amp;""))</f>
        <v/>
      </c>
      <c r="I1236" s="17">
        <f>IF(B1236="","",IF(Brand_Log!N36="","",Brand_Log!N36&amp;""))</f>
        <v/>
      </c>
      <c r="J1236" s="17">
        <f>IF(B1236="","","after_1500")</f>
        <v/>
      </c>
      <c r="K1236" t="inlineStr">
        <is>
          <t>brand budget_probe after $1,500</t>
        </is>
      </c>
    </row>
    <row r="1237">
      <c r="A1237" s="17">
        <f>IF(B1237="","",B1237+(7*1000+36)/10000000)</f>
        <v/>
      </c>
      <c r="B1237" s="23">
        <f>IF(AND(Brand_Log!AN37=1,Brand_Log!U37="Y",OR(ISNUMBER(Brand_Log!V37),TRIM(Brand_Log!W37)&lt;&gt;"")),Brand_Log!G37,"")</f>
        <v/>
      </c>
      <c r="C1237" s="17">
        <f>IF(B1237="","","brand")</f>
        <v/>
      </c>
      <c r="D1237" s="17">
        <f>IF(B1237="","",Brand_Log!$A37&amp;"")</f>
        <v/>
      </c>
      <c r="E1237" s="17">
        <f>IF(B1237="","",IF(Brand_Log!B37="","",Brand_Log!B37&amp;""))</f>
        <v/>
      </c>
      <c r="F1237" s="17">
        <f>IF(B1237="","","budget_probe")</f>
        <v/>
      </c>
      <c r="G1237" s="17">
        <f>IF(B1237="","",IF(ISNUMBER(Brand_Log!V37),Brand_Log!V37,""))</f>
        <v/>
      </c>
      <c r="H1237" s="17">
        <f>IF(B1237="","",IF(Brand_Log!W37="","",Brand_Log!W37&amp;""))</f>
        <v/>
      </c>
      <c r="I1237" s="17">
        <f>IF(B1237="","",IF(Brand_Log!N37="","",Brand_Log!N37&amp;""))</f>
        <v/>
      </c>
      <c r="J1237" s="17">
        <f>IF(B1237="","","after_1500")</f>
        <v/>
      </c>
      <c r="K1237" t="inlineStr">
        <is>
          <t>brand budget_probe after $1,500</t>
        </is>
      </c>
    </row>
    <row r="1238">
      <c r="A1238" s="17">
        <f>IF(B1238="","",B1238+(7*1000+37)/10000000)</f>
        <v/>
      </c>
      <c r="B1238" s="23">
        <f>IF(AND(Brand_Log!AN38=1,Brand_Log!U38="Y",OR(ISNUMBER(Brand_Log!V38),TRIM(Brand_Log!W38)&lt;&gt;"")),Brand_Log!G38,"")</f>
        <v/>
      </c>
      <c r="C1238" s="17">
        <f>IF(B1238="","","brand")</f>
        <v/>
      </c>
      <c r="D1238" s="17">
        <f>IF(B1238="","",Brand_Log!$A38&amp;"")</f>
        <v/>
      </c>
      <c r="E1238" s="17">
        <f>IF(B1238="","",IF(Brand_Log!B38="","",Brand_Log!B38&amp;""))</f>
        <v/>
      </c>
      <c r="F1238" s="17">
        <f>IF(B1238="","","budget_probe")</f>
        <v/>
      </c>
      <c r="G1238" s="17">
        <f>IF(B1238="","",IF(ISNUMBER(Brand_Log!V38),Brand_Log!V38,""))</f>
        <v/>
      </c>
      <c r="H1238" s="17">
        <f>IF(B1238="","",IF(Brand_Log!W38="","",Brand_Log!W38&amp;""))</f>
        <v/>
      </c>
      <c r="I1238" s="17">
        <f>IF(B1238="","",IF(Brand_Log!N38="","",Brand_Log!N38&amp;""))</f>
        <v/>
      </c>
      <c r="J1238" s="17">
        <f>IF(B1238="","","after_1500")</f>
        <v/>
      </c>
      <c r="K1238" t="inlineStr">
        <is>
          <t>brand budget_probe after $1,500</t>
        </is>
      </c>
    </row>
    <row r="1239">
      <c r="A1239" s="17">
        <f>IF(B1239="","",B1239+(7*1000+38)/10000000)</f>
        <v/>
      </c>
      <c r="B1239" s="23">
        <f>IF(AND(Brand_Log!AN39=1,Brand_Log!U39="Y",OR(ISNUMBER(Brand_Log!V39),TRIM(Brand_Log!W39)&lt;&gt;"")),Brand_Log!G39,"")</f>
        <v/>
      </c>
      <c r="C1239" s="17">
        <f>IF(B1239="","","brand")</f>
        <v/>
      </c>
      <c r="D1239" s="17">
        <f>IF(B1239="","",Brand_Log!$A39&amp;"")</f>
        <v/>
      </c>
      <c r="E1239" s="17">
        <f>IF(B1239="","",IF(Brand_Log!B39="","",Brand_Log!B39&amp;""))</f>
        <v/>
      </c>
      <c r="F1239" s="17">
        <f>IF(B1239="","","budget_probe")</f>
        <v/>
      </c>
      <c r="G1239" s="17">
        <f>IF(B1239="","",IF(ISNUMBER(Brand_Log!V39),Brand_Log!V39,""))</f>
        <v/>
      </c>
      <c r="H1239" s="17">
        <f>IF(B1239="","",IF(Brand_Log!W39="","",Brand_Log!W39&amp;""))</f>
        <v/>
      </c>
      <c r="I1239" s="17">
        <f>IF(B1239="","",IF(Brand_Log!N39="","",Brand_Log!N39&amp;""))</f>
        <v/>
      </c>
      <c r="J1239" s="17">
        <f>IF(B1239="","","after_1500")</f>
        <v/>
      </c>
      <c r="K1239" t="inlineStr">
        <is>
          <t>brand budget_probe after $1,500</t>
        </is>
      </c>
    </row>
    <row r="1240">
      <c r="A1240" s="17">
        <f>IF(B1240="","",B1240+(7*1000+39)/10000000)</f>
        <v/>
      </c>
      <c r="B1240" s="23">
        <f>IF(AND(Brand_Log!AN40=1,Brand_Log!U40="Y",OR(ISNUMBER(Brand_Log!V40),TRIM(Brand_Log!W40)&lt;&gt;"")),Brand_Log!G40,"")</f>
        <v/>
      </c>
      <c r="C1240" s="17">
        <f>IF(B1240="","","brand")</f>
        <v/>
      </c>
      <c r="D1240" s="17">
        <f>IF(B1240="","",Brand_Log!$A40&amp;"")</f>
        <v/>
      </c>
      <c r="E1240" s="17">
        <f>IF(B1240="","",IF(Brand_Log!B40="","",Brand_Log!B40&amp;""))</f>
        <v/>
      </c>
      <c r="F1240" s="17">
        <f>IF(B1240="","","budget_probe")</f>
        <v/>
      </c>
      <c r="G1240" s="17">
        <f>IF(B1240="","",IF(ISNUMBER(Brand_Log!V40),Brand_Log!V40,""))</f>
        <v/>
      </c>
      <c r="H1240" s="17">
        <f>IF(B1240="","",IF(Brand_Log!W40="","",Brand_Log!W40&amp;""))</f>
        <v/>
      </c>
      <c r="I1240" s="17">
        <f>IF(B1240="","",IF(Brand_Log!N40="","",Brand_Log!N40&amp;""))</f>
        <v/>
      </c>
      <c r="J1240" s="17">
        <f>IF(B1240="","","after_1500")</f>
        <v/>
      </c>
      <c r="K1240" t="inlineStr">
        <is>
          <t>brand budget_probe after $1,500</t>
        </is>
      </c>
    </row>
    <row r="1241">
      <c r="A1241" s="17">
        <f>IF(B1241="","",B1241+(7*1000+40)/10000000)</f>
        <v/>
      </c>
      <c r="B1241" s="23">
        <f>IF(AND(Brand_Log!AN41=1,Brand_Log!U41="Y",OR(ISNUMBER(Brand_Log!V41),TRIM(Brand_Log!W41)&lt;&gt;"")),Brand_Log!G41,"")</f>
        <v/>
      </c>
      <c r="C1241" s="17">
        <f>IF(B1241="","","brand")</f>
        <v/>
      </c>
      <c r="D1241" s="17">
        <f>IF(B1241="","",Brand_Log!$A41&amp;"")</f>
        <v/>
      </c>
      <c r="E1241" s="17">
        <f>IF(B1241="","",IF(Brand_Log!B41="","",Brand_Log!B41&amp;""))</f>
        <v/>
      </c>
      <c r="F1241" s="17">
        <f>IF(B1241="","","budget_probe")</f>
        <v/>
      </c>
      <c r="G1241" s="17">
        <f>IF(B1241="","",IF(ISNUMBER(Brand_Log!V41),Brand_Log!V41,""))</f>
        <v/>
      </c>
      <c r="H1241" s="17">
        <f>IF(B1241="","",IF(Brand_Log!W41="","",Brand_Log!W41&amp;""))</f>
        <v/>
      </c>
      <c r="I1241" s="17">
        <f>IF(B1241="","",IF(Brand_Log!N41="","",Brand_Log!N41&amp;""))</f>
        <v/>
      </c>
      <c r="J1241" s="17">
        <f>IF(B1241="","","after_1500")</f>
        <v/>
      </c>
      <c r="K1241" t="inlineStr">
        <is>
          <t>brand budget_probe after $1,500</t>
        </is>
      </c>
    </row>
    <row r="1242">
      <c r="A1242" s="17">
        <f>IF(B1242="","",B1242+(7*1000+41)/10000000)</f>
        <v/>
      </c>
      <c r="B1242" s="23">
        <f>IF(AND(Brand_Log!AN42=1,Brand_Log!U42="Y",OR(ISNUMBER(Brand_Log!V42),TRIM(Brand_Log!W42)&lt;&gt;"")),Brand_Log!G42,"")</f>
        <v/>
      </c>
      <c r="C1242" s="17">
        <f>IF(B1242="","","brand")</f>
        <v/>
      </c>
      <c r="D1242" s="17">
        <f>IF(B1242="","",Brand_Log!$A42&amp;"")</f>
        <v/>
      </c>
      <c r="E1242" s="17">
        <f>IF(B1242="","",IF(Brand_Log!B42="","",Brand_Log!B42&amp;""))</f>
        <v/>
      </c>
      <c r="F1242" s="17">
        <f>IF(B1242="","","budget_probe")</f>
        <v/>
      </c>
      <c r="G1242" s="17">
        <f>IF(B1242="","",IF(ISNUMBER(Brand_Log!V42),Brand_Log!V42,""))</f>
        <v/>
      </c>
      <c r="H1242" s="17">
        <f>IF(B1242="","",IF(Brand_Log!W42="","",Brand_Log!W42&amp;""))</f>
        <v/>
      </c>
      <c r="I1242" s="17">
        <f>IF(B1242="","",IF(Brand_Log!N42="","",Brand_Log!N42&amp;""))</f>
        <v/>
      </c>
      <c r="J1242" s="17">
        <f>IF(B1242="","","after_1500")</f>
        <v/>
      </c>
      <c r="K1242" t="inlineStr">
        <is>
          <t>brand budget_probe after $1,500</t>
        </is>
      </c>
    </row>
    <row r="1243">
      <c r="A1243" s="17">
        <f>IF(B1243="","",B1243+(7*1000+42)/10000000)</f>
        <v/>
      </c>
      <c r="B1243" s="23">
        <f>IF(AND(Brand_Log!AN43=1,Brand_Log!U43="Y",OR(ISNUMBER(Brand_Log!V43),TRIM(Brand_Log!W43)&lt;&gt;"")),Brand_Log!G43,"")</f>
        <v/>
      </c>
      <c r="C1243" s="17">
        <f>IF(B1243="","","brand")</f>
        <v/>
      </c>
      <c r="D1243" s="17">
        <f>IF(B1243="","",Brand_Log!$A43&amp;"")</f>
        <v/>
      </c>
      <c r="E1243" s="17">
        <f>IF(B1243="","",IF(Brand_Log!B43="","",Brand_Log!B43&amp;""))</f>
        <v/>
      </c>
      <c r="F1243" s="17">
        <f>IF(B1243="","","budget_probe")</f>
        <v/>
      </c>
      <c r="G1243" s="17">
        <f>IF(B1243="","",IF(ISNUMBER(Brand_Log!V43),Brand_Log!V43,""))</f>
        <v/>
      </c>
      <c r="H1243" s="17">
        <f>IF(B1243="","",IF(Brand_Log!W43="","",Brand_Log!W43&amp;""))</f>
        <v/>
      </c>
      <c r="I1243" s="17">
        <f>IF(B1243="","",IF(Brand_Log!N43="","",Brand_Log!N43&amp;""))</f>
        <v/>
      </c>
      <c r="J1243" s="17">
        <f>IF(B1243="","","after_1500")</f>
        <v/>
      </c>
      <c r="K1243" t="inlineStr">
        <is>
          <t>brand budget_probe after $1,500</t>
        </is>
      </c>
    </row>
    <row r="1244">
      <c r="A1244" s="17">
        <f>IF(B1244="","",B1244+(7*1000+43)/10000000)</f>
        <v/>
      </c>
      <c r="B1244" s="23">
        <f>IF(AND(Brand_Log!AN44=1,Brand_Log!U44="Y",OR(ISNUMBER(Brand_Log!V44),TRIM(Brand_Log!W44)&lt;&gt;"")),Brand_Log!G44,"")</f>
        <v/>
      </c>
      <c r="C1244" s="17">
        <f>IF(B1244="","","brand")</f>
        <v/>
      </c>
      <c r="D1244" s="17">
        <f>IF(B1244="","",Brand_Log!$A44&amp;"")</f>
        <v/>
      </c>
      <c r="E1244" s="17">
        <f>IF(B1244="","",IF(Brand_Log!B44="","",Brand_Log!B44&amp;""))</f>
        <v/>
      </c>
      <c r="F1244" s="17">
        <f>IF(B1244="","","budget_probe")</f>
        <v/>
      </c>
      <c r="G1244" s="17">
        <f>IF(B1244="","",IF(ISNUMBER(Brand_Log!V44),Brand_Log!V44,""))</f>
        <v/>
      </c>
      <c r="H1244" s="17">
        <f>IF(B1244="","",IF(Brand_Log!W44="","",Brand_Log!W44&amp;""))</f>
        <v/>
      </c>
      <c r="I1244" s="17">
        <f>IF(B1244="","",IF(Brand_Log!N44="","",Brand_Log!N44&amp;""))</f>
        <v/>
      </c>
      <c r="J1244" s="17">
        <f>IF(B1244="","","after_1500")</f>
        <v/>
      </c>
      <c r="K1244" t="inlineStr">
        <is>
          <t>brand budget_probe after $1,500</t>
        </is>
      </c>
    </row>
    <row r="1245">
      <c r="A1245" s="17">
        <f>IF(B1245="","",B1245+(7*1000+44)/10000000)</f>
        <v/>
      </c>
      <c r="B1245" s="23">
        <f>IF(AND(Brand_Log!AN45=1,Brand_Log!U45="Y",OR(ISNUMBER(Brand_Log!V45),TRIM(Brand_Log!W45)&lt;&gt;"")),Brand_Log!G45,"")</f>
        <v/>
      </c>
      <c r="C1245" s="17">
        <f>IF(B1245="","","brand")</f>
        <v/>
      </c>
      <c r="D1245" s="17">
        <f>IF(B1245="","",Brand_Log!$A45&amp;"")</f>
        <v/>
      </c>
      <c r="E1245" s="17">
        <f>IF(B1245="","",IF(Brand_Log!B45="","",Brand_Log!B45&amp;""))</f>
        <v/>
      </c>
      <c r="F1245" s="17">
        <f>IF(B1245="","","budget_probe")</f>
        <v/>
      </c>
      <c r="G1245" s="17">
        <f>IF(B1245="","",IF(ISNUMBER(Brand_Log!V45),Brand_Log!V45,""))</f>
        <v/>
      </c>
      <c r="H1245" s="17">
        <f>IF(B1245="","",IF(Brand_Log!W45="","",Brand_Log!W45&amp;""))</f>
        <v/>
      </c>
      <c r="I1245" s="17">
        <f>IF(B1245="","",IF(Brand_Log!N45="","",Brand_Log!N45&amp;""))</f>
        <v/>
      </c>
      <c r="J1245" s="17">
        <f>IF(B1245="","","after_1500")</f>
        <v/>
      </c>
      <c r="K1245" t="inlineStr">
        <is>
          <t>brand budget_probe after $1,500</t>
        </is>
      </c>
    </row>
    <row r="1246">
      <c r="A1246" s="17">
        <f>IF(B1246="","",B1246+(7*1000+45)/10000000)</f>
        <v/>
      </c>
      <c r="B1246" s="23">
        <f>IF(AND(Brand_Log!AN46=1,Brand_Log!U46="Y",OR(ISNUMBER(Brand_Log!V46),TRIM(Brand_Log!W46)&lt;&gt;"")),Brand_Log!G46,"")</f>
        <v/>
      </c>
      <c r="C1246" s="17">
        <f>IF(B1246="","","brand")</f>
        <v/>
      </c>
      <c r="D1246" s="17">
        <f>IF(B1246="","",Brand_Log!$A46&amp;"")</f>
        <v/>
      </c>
      <c r="E1246" s="17">
        <f>IF(B1246="","",IF(Brand_Log!B46="","",Brand_Log!B46&amp;""))</f>
        <v/>
      </c>
      <c r="F1246" s="17">
        <f>IF(B1246="","","budget_probe")</f>
        <v/>
      </c>
      <c r="G1246" s="17">
        <f>IF(B1246="","",IF(ISNUMBER(Brand_Log!V46),Brand_Log!V46,""))</f>
        <v/>
      </c>
      <c r="H1246" s="17">
        <f>IF(B1246="","",IF(Brand_Log!W46="","",Brand_Log!W46&amp;""))</f>
        <v/>
      </c>
      <c r="I1246" s="17">
        <f>IF(B1246="","",IF(Brand_Log!N46="","",Brand_Log!N46&amp;""))</f>
        <v/>
      </c>
      <c r="J1246" s="17">
        <f>IF(B1246="","","after_1500")</f>
        <v/>
      </c>
      <c r="K1246" t="inlineStr">
        <is>
          <t>brand budget_probe after $1,500</t>
        </is>
      </c>
    </row>
    <row r="1247">
      <c r="A1247" s="17">
        <f>IF(B1247="","",B1247+(7*1000+46)/10000000)</f>
        <v/>
      </c>
      <c r="B1247" s="23">
        <f>IF(AND(Brand_Log!AN47=1,Brand_Log!U47="Y",OR(ISNUMBER(Brand_Log!V47),TRIM(Brand_Log!W47)&lt;&gt;"")),Brand_Log!G47,"")</f>
        <v/>
      </c>
      <c r="C1247" s="17">
        <f>IF(B1247="","","brand")</f>
        <v/>
      </c>
      <c r="D1247" s="17">
        <f>IF(B1247="","",Brand_Log!$A47&amp;"")</f>
        <v/>
      </c>
      <c r="E1247" s="17">
        <f>IF(B1247="","",IF(Brand_Log!B47="","",Brand_Log!B47&amp;""))</f>
        <v/>
      </c>
      <c r="F1247" s="17">
        <f>IF(B1247="","","budget_probe")</f>
        <v/>
      </c>
      <c r="G1247" s="17">
        <f>IF(B1247="","",IF(ISNUMBER(Brand_Log!V47),Brand_Log!V47,""))</f>
        <v/>
      </c>
      <c r="H1247" s="17">
        <f>IF(B1247="","",IF(Brand_Log!W47="","",Brand_Log!W47&amp;""))</f>
        <v/>
      </c>
      <c r="I1247" s="17">
        <f>IF(B1247="","",IF(Brand_Log!N47="","",Brand_Log!N47&amp;""))</f>
        <v/>
      </c>
      <c r="J1247" s="17">
        <f>IF(B1247="","","after_1500")</f>
        <v/>
      </c>
      <c r="K1247" t="inlineStr">
        <is>
          <t>brand budget_probe after $1,500</t>
        </is>
      </c>
    </row>
    <row r="1248">
      <c r="A1248" s="17">
        <f>IF(B1248="","",B1248+(7*1000+47)/10000000)</f>
        <v/>
      </c>
      <c r="B1248" s="23">
        <f>IF(AND(Brand_Log!AN48=1,Brand_Log!U48="Y",OR(ISNUMBER(Brand_Log!V48),TRIM(Brand_Log!W48)&lt;&gt;"")),Brand_Log!G48,"")</f>
        <v/>
      </c>
      <c r="C1248" s="17">
        <f>IF(B1248="","","brand")</f>
        <v/>
      </c>
      <c r="D1248" s="17">
        <f>IF(B1248="","",Brand_Log!$A48&amp;"")</f>
        <v/>
      </c>
      <c r="E1248" s="17">
        <f>IF(B1248="","",IF(Brand_Log!B48="","",Brand_Log!B48&amp;""))</f>
        <v/>
      </c>
      <c r="F1248" s="17">
        <f>IF(B1248="","","budget_probe")</f>
        <v/>
      </c>
      <c r="G1248" s="17">
        <f>IF(B1248="","",IF(ISNUMBER(Brand_Log!V48),Brand_Log!V48,""))</f>
        <v/>
      </c>
      <c r="H1248" s="17">
        <f>IF(B1248="","",IF(Brand_Log!W48="","",Brand_Log!W48&amp;""))</f>
        <v/>
      </c>
      <c r="I1248" s="17">
        <f>IF(B1248="","",IF(Brand_Log!N48="","",Brand_Log!N48&amp;""))</f>
        <v/>
      </c>
      <c r="J1248" s="17">
        <f>IF(B1248="","","after_1500")</f>
        <v/>
      </c>
      <c r="K1248" t="inlineStr">
        <is>
          <t>brand budget_probe after $1,500</t>
        </is>
      </c>
    </row>
    <row r="1249">
      <c r="A1249" s="17">
        <f>IF(B1249="","",B1249+(7*1000+48)/10000000)</f>
        <v/>
      </c>
      <c r="B1249" s="23">
        <f>IF(AND(Brand_Log!AN49=1,Brand_Log!U49="Y",OR(ISNUMBER(Brand_Log!V49),TRIM(Brand_Log!W49)&lt;&gt;"")),Brand_Log!G49,"")</f>
        <v/>
      </c>
      <c r="C1249" s="17">
        <f>IF(B1249="","","brand")</f>
        <v/>
      </c>
      <c r="D1249" s="17">
        <f>IF(B1249="","",Brand_Log!$A49&amp;"")</f>
        <v/>
      </c>
      <c r="E1249" s="17">
        <f>IF(B1249="","",IF(Brand_Log!B49="","",Brand_Log!B49&amp;""))</f>
        <v/>
      </c>
      <c r="F1249" s="17">
        <f>IF(B1249="","","budget_probe")</f>
        <v/>
      </c>
      <c r="G1249" s="17">
        <f>IF(B1249="","",IF(ISNUMBER(Brand_Log!V49),Brand_Log!V49,""))</f>
        <v/>
      </c>
      <c r="H1249" s="17">
        <f>IF(B1249="","",IF(Brand_Log!W49="","",Brand_Log!W49&amp;""))</f>
        <v/>
      </c>
      <c r="I1249" s="17">
        <f>IF(B1249="","",IF(Brand_Log!N49="","",Brand_Log!N49&amp;""))</f>
        <v/>
      </c>
      <c r="J1249" s="17">
        <f>IF(B1249="","","after_1500")</f>
        <v/>
      </c>
      <c r="K1249" t="inlineStr">
        <is>
          <t>brand budget_probe after $1,500</t>
        </is>
      </c>
    </row>
    <row r="1250">
      <c r="A1250" s="17">
        <f>IF(B1250="","",B1250+(7*1000+49)/10000000)</f>
        <v/>
      </c>
      <c r="B1250" s="23">
        <f>IF(AND(Brand_Log!AN50=1,Brand_Log!U50="Y",OR(ISNUMBER(Brand_Log!V50),TRIM(Brand_Log!W50)&lt;&gt;"")),Brand_Log!G50,"")</f>
        <v/>
      </c>
      <c r="C1250" s="17">
        <f>IF(B1250="","","brand")</f>
        <v/>
      </c>
      <c r="D1250" s="17">
        <f>IF(B1250="","",Brand_Log!$A50&amp;"")</f>
        <v/>
      </c>
      <c r="E1250" s="17">
        <f>IF(B1250="","",IF(Brand_Log!B50="","",Brand_Log!B50&amp;""))</f>
        <v/>
      </c>
      <c r="F1250" s="17">
        <f>IF(B1250="","","budget_probe")</f>
        <v/>
      </c>
      <c r="G1250" s="17">
        <f>IF(B1250="","",IF(ISNUMBER(Brand_Log!V50),Brand_Log!V50,""))</f>
        <v/>
      </c>
      <c r="H1250" s="17">
        <f>IF(B1250="","",IF(Brand_Log!W50="","",Brand_Log!W50&amp;""))</f>
        <v/>
      </c>
      <c r="I1250" s="17">
        <f>IF(B1250="","",IF(Brand_Log!N50="","",Brand_Log!N50&amp;""))</f>
        <v/>
      </c>
      <c r="J1250" s="17">
        <f>IF(B1250="","","after_1500")</f>
        <v/>
      </c>
      <c r="K1250" t="inlineStr">
        <is>
          <t>brand budget_probe after $1,500</t>
        </is>
      </c>
    </row>
    <row r="1251">
      <c r="A1251" s="17">
        <f>IF(B1251="","",B1251+(7*1000+50)/10000000)</f>
        <v/>
      </c>
      <c r="B1251" s="23">
        <f>IF(AND(Brand_Log!AN51=1,Brand_Log!U51="Y",OR(ISNUMBER(Brand_Log!V51),TRIM(Brand_Log!W51)&lt;&gt;"")),Brand_Log!G51,"")</f>
        <v/>
      </c>
      <c r="C1251" s="17">
        <f>IF(B1251="","","brand")</f>
        <v/>
      </c>
      <c r="D1251" s="17">
        <f>IF(B1251="","",Brand_Log!$A51&amp;"")</f>
        <v/>
      </c>
      <c r="E1251" s="17">
        <f>IF(B1251="","",IF(Brand_Log!B51="","",Brand_Log!B51&amp;""))</f>
        <v/>
      </c>
      <c r="F1251" s="17">
        <f>IF(B1251="","","budget_probe")</f>
        <v/>
      </c>
      <c r="G1251" s="17">
        <f>IF(B1251="","",IF(ISNUMBER(Brand_Log!V51),Brand_Log!V51,""))</f>
        <v/>
      </c>
      <c r="H1251" s="17">
        <f>IF(B1251="","",IF(Brand_Log!W51="","",Brand_Log!W51&amp;""))</f>
        <v/>
      </c>
      <c r="I1251" s="17">
        <f>IF(B1251="","",IF(Brand_Log!N51="","",Brand_Log!N51&amp;""))</f>
        <v/>
      </c>
      <c r="J1251" s="17">
        <f>IF(B1251="","","after_1500")</f>
        <v/>
      </c>
      <c r="K1251" t="inlineStr">
        <is>
          <t>brand budget_probe after $1,500</t>
        </is>
      </c>
    </row>
    <row r="1252">
      <c r="A1252" s="17">
        <f>IF(B1252="","",B1252+(7*1000+51)/10000000)</f>
        <v/>
      </c>
      <c r="B1252" s="23">
        <f>IF(AND(Brand_Log!AN52=1,Brand_Log!U52="Y",OR(ISNUMBER(Brand_Log!V52),TRIM(Brand_Log!W52)&lt;&gt;"")),Brand_Log!G52,"")</f>
        <v/>
      </c>
      <c r="C1252" s="17">
        <f>IF(B1252="","","brand")</f>
        <v/>
      </c>
      <c r="D1252" s="17">
        <f>IF(B1252="","",Brand_Log!$A52&amp;"")</f>
        <v/>
      </c>
      <c r="E1252" s="17">
        <f>IF(B1252="","",IF(Brand_Log!B52="","",Brand_Log!B52&amp;""))</f>
        <v/>
      </c>
      <c r="F1252" s="17">
        <f>IF(B1252="","","budget_probe")</f>
        <v/>
      </c>
      <c r="G1252" s="17">
        <f>IF(B1252="","",IF(ISNUMBER(Brand_Log!V52),Brand_Log!V52,""))</f>
        <v/>
      </c>
      <c r="H1252" s="17">
        <f>IF(B1252="","",IF(Brand_Log!W52="","",Brand_Log!W52&amp;""))</f>
        <v/>
      </c>
      <c r="I1252" s="17">
        <f>IF(B1252="","",IF(Brand_Log!N52="","",Brand_Log!N52&amp;""))</f>
        <v/>
      </c>
      <c r="J1252" s="17">
        <f>IF(B1252="","","after_1500")</f>
        <v/>
      </c>
      <c r="K1252" t="inlineStr">
        <is>
          <t>brand budget_probe after $1,500</t>
        </is>
      </c>
    </row>
    <row r="1253">
      <c r="A1253" s="17">
        <f>IF(B1253="","",B1253+(7*1000+52)/10000000)</f>
        <v/>
      </c>
      <c r="B1253" s="23">
        <f>IF(AND(Brand_Log!AN53=1,Brand_Log!U53="Y",OR(ISNUMBER(Brand_Log!V53),TRIM(Brand_Log!W53)&lt;&gt;"")),Brand_Log!G53,"")</f>
        <v/>
      </c>
      <c r="C1253" s="17">
        <f>IF(B1253="","","brand")</f>
        <v/>
      </c>
      <c r="D1253" s="17">
        <f>IF(B1253="","",Brand_Log!$A53&amp;"")</f>
        <v/>
      </c>
      <c r="E1253" s="17">
        <f>IF(B1253="","",IF(Brand_Log!B53="","",Brand_Log!B53&amp;""))</f>
        <v/>
      </c>
      <c r="F1253" s="17">
        <f>IF(B1253="","","budget_probe")</f>
        <v/>
      </c>
      <c r="G1253" s="17">
        <f>IF(B1253="","",IF(ISNUMBER(Brand_Log!V53),Brand_Log!V53,""))</f>
        <v/>
      </c>
      <c r="H1253" s="17">
        <f>IF(B1253="","",IF(Brand_Log!W53="","",Brand_Log!W53&amp;""))</f>
        <v/>
      </c>
      <c r="I1253" s="17">
        <f>IF(B1253="","",IF(Brand_Log!N53="","",Brand_Log!N53&amp;""))</f>
        <v/>
      </c>
      <c r="J1253" s="17">
        <f>IF(B1253="","","after_1500")</f>
        <v/>
      </c>
      <c r="K1253" t="inlineStr">
        <is>
          <t>brand budget_probe after $1,500</t>
        </is>
      </c>
    </row>
    <row r="1254">
      <c r="A1254" s="17">
        <f>IF(B1254="","",B1254+(7*1000+53)/10000000)</f>
        <v/>
      </c>
      <c r="B1254" s="23">
        <f>IF(AND(Brand_Log!AN54=1,Brand_Log!U54="Y",OR(ISNUMBER(Brand_Log!V54),TRIM(Brand_Log!W54)&lt;&gt;"")),Brand_Log!G54,"")</f>
        <v/>
      </c>
      <c r="C1254" s="17">
        <f>IF(B1254="","","brand")</f>
        <v/>
      </c>
      <c r="D1254" s="17">
        <f>IF(B1254="","",Brand_Log!$A54&amp;"")</f>
        <v/>
      </c>
      <c r="E1254" s="17">
        <f>IF(B1254="","",IF(Brand_Log!B54="","",Brand_Log!B54&amp;""))</f>
        <v/>
      </c>
      <c r="F1254" s="17">
        <f>IF(B1254="","","budget_probe")</f>
        <v/>
      </c>
      <c r="G1254" s="17">
        <f>IF(B1254="","",IF(ISNUMBER(Brand_Log!V54),Brand_Log!V54,""))</f>
        <v/>
      </c>
      <c r="H1254" s="17">
        <f>IF(B1254="","",IF(Brand_Log!W54="","",Brand_Log!W54&amp;""))</f>
        <v/>
      </c>
      <c r="I1254" s="17">
        <f>IF(B1254="","",IF(Brand_Log!N54="","",Brand_Log!N54&amp;""))</f>
        <v/>
      </c>
      <c r="J1254" s="17">
        <f>IF(B1254="","","after_1500")</f>
        <v/>
      </c>
      <c r="K1254" t="inlineStr">
        <is>
          <t>brand budget_probe after $1,500</t>
        </is>
      </c>
    </row>
    <row r="1255">
      <c r="A1255" s="17">
        <f>IF(B1255="","",B1255+(7*1000+54)/10000000)</f>
        <v/>
      </c>
      <c r="B1255" s="23">
        <f>IF(AND(Brand_Log!AN55=1,Brand_Log!U55="Y",OR(ISNUMBER(Brand_Log!V55),TRIM(Brand_Log!W55)&lt;&gt;"")),Brand_Log!G55,"")</f>
        <v/>
      </c>
      <c r="C1255" s="17">
        <f>IF(B1255="","","brand")</f>
        <v/>
      </c>
      <c r="D1255" s="17">
        <f>IF(B1255="","",Brand_Log!$A55&amp;"")</f>
        <v/>
      </c>
      <c r="E1255" s="17">
        <f>IF(B1255="","",IF(Brand_Log!B55="","",Brand_Log!B55&amp;""))</f>
        <v/>
      </c>
      <c r="F1255" s="17">
        <f>IF(B1255="","","budget_probe")</f>
        <v/>
      </c>
      <c r="G1255" s="17">
        <f>IF(B1255="","",IF(ISNUMBER(Brand_Log!V55),Brand_Log!V55,""))</f>
        <v/>
      </c>
      <c r="H1255" s="17">
        <f>IF(B1255="","",IF(Brand_Log!W55="","",Brand_Log!W55&amp;""))</f>
        <v/>
      </c>
      <c r="I1255" s="17">
        <f>IF(B1255="","",IF(Brand_Log!N55="","",Brand_Log!N55&amp;""))</f>
        <v/>
      </c>
      <c r="J1255" s="17">
        <f>IF(B1255="","","after_1500")</f>
        <v/>
      </c>
      <c r="K1255" t="inlineStr">
        <is>
          <t>brand budget_probe after $1,500</t>
        </is>
      </c>
    </row>
    <row r="1256">
      <c r="A1256" s="17">
        <f>IF(B1256="","",B1256+(7*1000+55)/10000000)</f>
        <v/>
      </c>
      <c r="B1256" s="23">
        <f>IF(AND(Brand_Log!AN56=1,Brand_Log!U56="Y",OR(ISNUMBER(Brand_Log!V56),TRIM(Brand_Log!W56)&lt;&gt;"")),Brand_Log!G56,"")</f>
        <v/>
      </c>
      <c r="C1256" s="17">
        <f>IF(B1256="","","brand")</f>
        <v/>
      </c>
      <c r="D1256" s="17">
        <f>IF(B1256="","",Brand_Log!$A56&amp;"")</f>
        <v/>
      </c>
      <c r="E1256" s="17">
        <f>IF(B1256="","",IF(Brand_Log!B56="","",Brand_Log!B56&amp;""))</f>
        <v/>
      </c>
      <c r="F1256" s="17">
        <f>IF(B1256="","","budget_probe")</f>
        <v/>
      </c>
      <c r="G1256" s="17">
        <f>IF(B1256="","",IF(ISNUMBER(Brand_Log!V56),Brand_Log!V56,""))</f>
        <v/>
      </c>
      <c r="H1256" s="17">
        <f>IF(B1256="","",IF(Brand_Log!W56="","",Brand_Log!W56&amp;""))</f>
        <v/>
      </c>
      <c r="I1256" s="17">
        <f>IF(B1256="","",IF(Brand_Log!N56="","",Brand_Log!N56&amp;""))</f>
        <v/>
      </c>
      <c r="J1256" s="17">
        <f>IF(B1256="","","after_1500")</f>
        <v/>
      </c>
      <c r="K1256" t="inlineStr">
        <is>
          <t>brand budget_probe after $1,500</t>
        </is>
      </c>
    </row>
    <row r="1257">
      <c r="A1257" s="17">
        <f>IF(B1257="","",B1257+(7*1000+56)/10000000)</f>
        <v/>
      </c>
      <c r="B1257" s="23">
        <f>IF(AND(Brand_Log!AN57=1,Brand_Log!U57="Y",OR(ISNUMBER(Brand_Log!V57),TRIM(Brand_Log!W57)&lt;&gt;"")),Brand_Log!G57,"")</f>
        <v/>
      </c>
      <c r="C1257" s="17">
        <f>IF(B1257="","","brand")</f>
        <v/>
      </c>
      <c r="D1257" s="17">
        <f>IF(B1257="","",Brand_Log!$A57&amp;"")</f>
        <v/>
      </c>
      <c r="E1257" s="17">
        <f>IF(B1257="","",IF(Brand_Log!B57="","",Brand_Log!B57&amp;""))</f>
        <v/>
      </c>
      <c r="F1257" s="17">
        <f>IF(B1257="","","budget_probe")</f>
        <v/>
      </c>
      <c r="G1257" s="17">
        <f>IF(B1257="","",IF(ISNUMBER(Brand_Log!V57),Brand_Log!V57,""))</f>
        <v/>
      </c>
      <c r="H1257" s="17">
        <f>IF(B1257="","",IF(Brand_Log!W57="","",Brand_Log!W57&amp;""))</f>
        <v/>
      </c>
      <c r="I1257" s="17">
        <f>IF(B1257="","",IF(Brand_Log!N57="","",Brand_Log!N57&amp;""))</f>
        <v/>
      </c>
      <c r="J1257" s="17">
        <f>IF(B1257="","","after_1500")</f>
        <v/>
      </c>
      <c r="K1257" t="inlineStr">
        <is>
          <t>brand budget_probe after $1,500</t>
        </is>
      </c>
    </row>
    <row r="1258">
      <c r="A1258" s="17">
        <f>IF(B1258="","",B1258+(7*1000+57)/10000000)</f>
        <v/>
      </c>
      <c r="B1258" s="23">
        <f>IF(AND(Brand_Log!AN58=1,Brand_Log!U58="Y",OR(ISNUMBER(Brand_Log!V58),TRIM(Brand_Log!W58)&lt;&gt;"")),Brand_Log!G58,"")</f>
        <v/>
      </c>
      <c r="C1258" s="17">
        <f>IF(B1258="","","brand")</f>
        <v/>
      </c>
      <c r="D1258" s="17">
        <f>IF(B1258="","",Brand_Log!$A58&amp;"")</f>
        <v/>
      </c>
      <c r="E1258" s="17">
        <f>IF(B1258="","",IF(Brand_Log!B58="","",Brand_Log!B58&amp;""))</f>
        <v/>
      </c>
      <c r="F1258" s="17">
        <f>IF(B1258="","","budget_probe")</f>
        <v/>
      </c>
      <c r="G1258" s="17">
        <f>IF(B1258="","",IF(ISNUMBER(Brand_Log!V58),Brand_Log!V58,""))</f>
        <v/>
      </c>
      <c r="H1258" s="17">
        <f>IF(B1258="","",IF(Brand_Log!W58="","",Brand_Log!W58&amp;""))</f>
        <v/>
      </c>
      <c r="I1258" s="17">
        <f>IF(B1258="","",IF(Brand_Log!N58="","",Brand_Log!N58&amp;""))</f>
        <v/>
      </c>
      <c r="J1258" s="17">
        <f>IF(B1258="","","after_1500")</f>
        <v/>
      </c>
      <c r="K1258" t="inlineStr">
        <is>
          <t>brand budget_probe after $1,500</t>
        </is>
      </c>
    </row>
    <row r="1259">
      <c r="A1259" s="17">
        <f>IF(B1259="","",B1259+(7*1000+58)/10000000)</f>
        <v/>
      </c>
      <c r="B1259" s="23">
        <f>IF(AND(Brand_Log!AN59=1,Brand_Log!U59="Y",OR(ISNUMBER(Brand_Log!V59),TRIM(Brand_Log!W59)&lt;&gt;"")),Brand_Log!G59,"")</f>
        <v/>
      </c>
      <c r="C1259" s="17">
        <f>IF(B1259="","","brand")</f>
        <v/>
      </c>
      <c r="D1259" s="17">
        <f>IF(B1259="","",Brand_Log!$A59&amp;"")</f>
        <v/>
      </c>
      <c r="E1259" s="17">
        <f>IF(B1259="","",IF(Brand_Log!B59="","",Brand_Log!B59&amp;""))</f>
        <v/>
      </c>
      <c r="F1259" s="17">
        <f>IF(B1259="","","budget_probe")</f>
        <v/>
      </c>
      <c r="G1259" s="17">
        <f>IF(B1259="","",IF(ISNUMBER(Brand_Log!V59),Brand_Log!V59,""))</f>
        <v/>
      </c>
      <c r="H1259" s="17">
        <f>IF(B1259="","",IF(Brand_Log!W59="","",Brand_Log!W59&amp;""))</f>
        <v/>
      </c>
      <c r="I1259" s="17">
        <f>IF(B1259="","",IF(Brand_Log!N59="","",Brand_Log!N59&amp;""))</f>
        <v/>
      </c>
      <c r="J1259" s="17">
        <f>IF(B1259="","","after_1500")</f>
        <v/>
      </c>
      <c r="K1259" t="inlineStr">
        <is>
          <t>brand budget_probe after $1,500</t>
        </is>
      </c>
    </row>
    <row r="1260">
      <c r="A1260" s="17">
        <f>IF(B1260="","",B1260+(7*1000+59)/10000000)</f>
        <v/>
      </c>
      <c r="B1260" s="23">
        <f>IF(AND(Brand_Log!AN60=1,Brand_Log!U60="Y",OR(ISNUMBER(Brand_Log!V60),TRIM(Brand_Log!W60)&lt;&gt;"")),Brand_Log!G60,"")</f>
        <v/>
      </c>
      <c r="C1260" s="17">
        <f>IF(B1260="","","brand")</f>
        <v/>
      </c>
      <c r="D1260" s="17">
        <f>IF(B1260="","",Brand_Log!$A60&amp;"")</f>
        <v/>
      </c>
      <c r="E1260" s="17">
        <f>IF(B1260="","",IF(Brand_Log!B60="","",Brand_Log!B60&amp;""))</f>
        <v/>
      </c>
      <c r="F1260" s="17">
        <f>IF(B1260="","","budget_probe")</f>
        <v/>
      </c>
      <c r="G1260" s="17">
        <f>IF(B1260="","",IF(ISNUMBER(Brand_Log!V60),Brand_Log!V60,""))</f>
        <v/>
      </c>
      <c r="H1260" s="17">
        <f>IF(B1260="","",IF(Brand_Log!W60="","",Brand_Log!W60&amp;""))</f>
        <v/>
      </c>
      <c r="I1260" s="17">
        <f>IF(B1260="","",IF(Brand_Log!N60="","",Brand_Log!N60&amp;""))</f>
        <v/>
      </c>
      <c r="J1260" s="17">
        <f>IF(B1260="","","after_1500")</f>
        <v/>
      </c>
      <c r="K1260" t="inlineStr">
        <is>
          <t>brand budget_probe after $1,500</t>
        </is>
      </c>
    </row>
    <row r="1261">
      <c r="A1261" s="17">
        <f>IF(B1261="","",B1261+(7*1000+60)/10000000)</f>
        <v/>
      </c>
      <c r="B1261" s="23">
        <f>IF(AND(Brand_Log!AN61=1,Brand_Log!U61="Y",OR(ISNUMBER(Brand_Log!V61),TRIM(Brand_Log!W61)&lt;&gt;"")),Brand_Log!G61,"")</f>
        <v/>
      </c>
      <c r="C1261" s="17">
        <f>IF(B1261="","","brand")</f>
        <v/>
      </c>
      <c r="D1261" s="17">
        <f>IF(B1261="","",Brand_Log!$A61&amp;"")</f>
        <v/>
      </c>
      <c r="E1261" s="17">
        <f>IF(B1261="","",IF(Brand_Log!B61="","",Brand_Log!B61&amp;""))</f>
        <v/>
      </c>
      <c r="F1261" s="17">
        <f>IF(B1261="","","budget_probe")</f>
        <v/>
      </c>
      <c r="G1261" s="17">
        <f>IF(B1261="","",IF(ISNUMBER(Brand_Log!V61),Brand_Log!V61,""))</f>
        <v/>
      </c>
      <c r="H1261" s="17">
        <f>IF(B1261="","",IF(Brand_Log!W61="","",Brand_Log!W61&amp;""))</f>
        <v/>
      </c>
      <c r="I1261" s="17">
        <f>IF(B1261="","",IF(Brand_Log!N61="","",Brand_Log!N61&amp;""))</f>
        <v/>
      </c>
      <c r="J1261" s="17">
        <f>IF(B1261="","","after_1500")</f>
        <v/>
      </c>
      <c r="K1261" t="inlineStr">
        <is>
          <t>brand budget_probe after $1,500</t>
        </is>
      </c>
    </row>
    <row r="1262">
      <c r="A1262" s="17">
        <f>IF(B1262="","",B1262+(7*1000+61)/10000000)</f>
        <v/>
      </c>
      <c r="B1262" s="23">
        <f>IF(AND(Brand_Log!AN62=1,Brand_Log!U62="Y",OR(ISNUMBER(Brand_Log!V62),TRIM(Brand_Log!W62)&lt;&gt;"")),Brand_Log!G62,"")</f>
        <v/>
      </c>
      <c r="C1262" s="17">
        <f>IF(B1262="","","brand")</f>
        <v/>
      </c>
      <c r="D1262" s="17">
        <f>IF(B1262="","",Brand_Log!$A62&amp;"")</f>
        <v/>
      </c>
      <c r="E1262" s="17">
        <f>IF(B1262="","",IF(Brand_Log!B62="","",Brand_Log!B62&amp;""))</f>
        <v/>
      </c>
      <c r="F1262" s="17">
        <f>IF(B1262="","","budget_probe")</f>
        <v/>
      </c>
      <c r="G1262" s="17">
        <f>IF(B1262="","",IF(ISNUMBER(Brand_Log!V62),Brand_Log!V62,""))</f>
        <v/>
      </c>
      <c r="H1262" s="17">
        <f>IF(B1262="","",IF(Brand_Log!W62="","",Brand_Log!W62&amp;""))</f>
        <v/>
      </c>
      <c r="I1262" s="17">
        <f>IF(B1262="","",IF(Brand_Log!N62="","",Brand_Log!N62&amp;""))</f>
        <v/>
      </c>
      <c r="J1262" s="17">
        <f>IF(B1262="","","after_1500")</f>
        <v/>
      </c>
      <c r="K1262" t="inlineStr">
        <is>
          <t>brand budget_probe after $1,500</t>
        </is>
      </c>
    </row>
    <row r="1263">
      <c r="A1263" s="17">
        <f>IF(B1263="","",B1263+(7*1000+62)/10000000)</f>
        <v/>
      </c>
      <c r="B1263" s="23">
        <f>IF(AND(Brand_Log!AN63=1,Brand_Log!U63="Y",OR(ISNUMBER(Brand_Log!V63),TRIM(Brand_Log!W63)&lt;&gt;"")),Brand_Log!G63,"")</f>
        <v/>
      </c>
      <c r="C1263" s="17">
        <f>IF(B1263="","","brand")</f>
        <v/>
      </c>
      <c r="D1263" s="17">
        <f>IF(B1263="","",Brand_Log!$A63&amp;"")</f>
        <v/>
      </c>
      <c r="E1263" s="17">
        <f>IF(B1263="","",IF(Brand_Log!B63="","",Brand_Log!B63&amp;""))</f>
        <v/>
      </c>
      <c r="F1263" s="17">
        <f>IF(B1263="","","budget_probe")</f>
        <v/>
      </c>
      <c r="G1263" s="17">
        <f>IF(B1263="","",IF(ISNUMBER(Brand_Log!V63),Brand_Log!V63,""))</f>
        <v/>
      </c>
      <c r="H1263" s="17">
        <f>IF(B1263="","",IF(Brand_Log!W63="","",Brand_Log!W63&amp;""))</f>
        <v/>
      </c>
      <c r="I1263" s="17">
        <f>IF(B1263="","",IF(Brand_Log!N63="","",Brand_Log!N63&amp;""))</f>
        <v/>
      </c>
      <c r="J1263" s="17">
        <f>IF(B1263="","","after_1500")</f>
        <v/>
      </c>
      <c r="K1263" t="inlineStr">
        <is>
          <t>brand budget_probe after $1,500</t>
        </is>
      </c>
    </row>
    <row r="1264">
      <c r="A1264" s="17">
        <f>IF(B1264="","",B1264+(7*1000+63)/10000000)</f>
        <v/>
      </c>
      <c r="B1264" s="23">
        <f>IF(AND(Brand_Log!AN64=1,Brand_Log!U64="Y",OR(ISNUMBER(Brand_Log!V64),TRIM(Brand_Log!W64)&lt;&gt;"")),Brand_Log!G64,"")</f>
        <v/>
      </c>
      <c r="C1264" s="17">
        <f>IF(B1264="","","brand")</f>
        <v/>
      </c>
      <c r="D1264" s="17">
        <f>IF(B1264="","",Brand_Log!$A64&amp;"")</f>
        <v/>
      </c>
      <c r="E1264" s="17">
        <f>IF(B1264="","",IF(Brand_Log!B64="","",Brand_Log!B64&amp;""))</f>
        <v/>
      </c>
      <c r="F1264" s="17">
        <f>IF(B1264="","","budget_probe")</f>
        <v/>
      </c>
      <c r="G1264" s="17">
        <f>IF(B1264="","",IF(ISNUMBER(Brand_Log!V64),Brand_Log!V64,""))</f>
        <v/>
      </c>
      <c r="H1264" s="17">
        <f>IF(B1264="","",IF(Brand_Log!W64="","",Brand_Log!W64&amp;""))</f>
        <v/>
      </c>
      <c r="I1264" s="17">
        <f>IF(B1264="","",IF(Brand_Log!N64="","",Brand_Log!N64&amp;""))</f>
        <v/>
      </c>
      <c r="J1264" s="17">
        <f>IF(B1264="","","after_1500")</f>
        <v/>
      </c>
      <c r="K1264" t="inlineStr">
        <is>
          <t>brand budget_probe after $1,500</t>
        </is>
      </c>
    </row>
    <row r="1265">
      <c r="A1265" s="17">
        <f>IF(B1265="","",B1265+(7*1000+64)/10000000)</f>
        <v/>
      </c>
      <c r="B1265" s="23">
        <f>IF(AND(Brand_Log!AN65=1,Brand_Log!U65="Y",OR(ISNUMBER(Brand_Log!V65),TRIM(Brand_Log!W65)&lt;&gt;"")),Brand_Log!G65,"")</f>
        <v/>
      </c>
      <c r="C1265" s="17">
        <f>IF(B1265="","","brand")</f>
        <v/>
      </c>
      <c r="D1265" s="17">
        <f>IF(B1265="","",Brand_Log!$A65&amp;"")</f>
        <v/>
      </c>
      <c r="E1265" s="17">
        <f>IF(B1265="","",IF(Brand_Log!B65="","",Brand_Log!B65&amp;""))</f>
        <v/>
      </c>
      <c r="F1265" s="17">
        <f>IF(B1265="","","budget_probe")</f>
        <v/>
      </c>
      <c r="G1265" s="17">
        <f>IF(B1265="","",IF(ISNUMBER(Brand_Log!V65),Brand_Log!V65,""))</f>
        <v/>
      </c>
      <c r="H1265" s="17">
        <f>IF(B1265="","",IF(Brand_Log!W65="","",Brand_Log!W65&amp;""))</f>
        <v/>
      </c>
      <c r="I1265" s="17">
        <f>IF(B1265="","",IF(Brand_Log!N65="","",Brand_Log!N65&amp;""))</f>
        <v/>
      </c>
      <c r="J1265" s="17">
        <f>IF(B1265="","","after_1500")</f>
        <v/>
      </c>
      <c r="K1265" t="inlineStr">
        <is>
          <t>brand budget_probe after $1,500</t>
        </is>
      </c>
    </row>
    <row r="1266">
      <c r="A1266" s="17">
        <f>IF(B1266="","",B1266+(7*1000+65)/10000000)</f>
        <v/>
      </c>
      <c r="B1266" s="23">
        <f>IF(AND(Brand_Log!AN66=1,Brand_Log!U66="Y",OR(ISNUMBER(Brand_Log!V66),TRIM(Brand_Log!W66)&lt;&gt;"")),Brand_Log!G66,"")</f>
        <v/>
      </c>
      <c r="C1266" s="17">
        <f>IF(B1266="","","brand")</f>
        <v/>
      </c>
      <c r="D1266" s="17">
        <f>IF(B1266="","",Brand_Log!$A66&amp;"")</f>
        <v/>
      </c>
      <c r="E1266" s="17">
        <f>IF(B1266="","",IF(Brand_Log!B66="","",Brand_Log!B66&amp;""))</f>
        <v/>
      </c>
      <c r="F1266" s="17">
        <f>IF(B1266="","","budget_probe")</f>
        <v/>
      </c>
      <c r="G1266" s="17">
        <f>IF(B1266="","",IF(ISNUMBER(Brand_Log!V66),Brand_Log!V66,""))</f>
        <v/>
      </c>
      <c r="H1266" s="17">
        <f>IF(B1266="","",IF(Brand_Log!W66="","",Brand_Log!W66&amp;""))</f>
        <v/>
      </c>
      <c r="I1266" s="17">
        <f>IF(B1266="","",IF(Brand_Log!N66="","",Brand_Log!N66&amp;""))</f>
        <v/>
      </c>
      <c r="J1266" s="17">
        <f>IF(B1266="","","after_1500")</f>
        <v/>
      </c>
      <c r="K1266" t="inlineStr">
        <is>
          <t>brand budget_probe after $1,500</t>
        </is>
      </c>
    </row>
    <row r="1267">
      <c r="A1267" s="17">
        <f>IF(B1267="","",B1267+(7*1000+66)/10000000)</f>
        <v/>
      </c>
      <c r="B1267" s="23">
        <f>IF(AND(Brand_Log!AN67=1,Brand_Log!U67="Y",OR(ISNUMBER(Brand_Log!V67),TRIM(Brand_Log!W67)&lt;&gt;"")),Brand_Log!G67,"")</f>
        <v/>
      </c>
      <c r="C1267" s="17">
        <f>IF(B1267="","","brand")</f>
        <v/>
      </c>
      <c r="D1267" s="17">
        <f>IF(B1267="","",Brand_Log!$A67&amp;"")</f>
        <v/>
      </c>
      <c r="E1267" s="17">
        <f>IF(B1267="","",IF(Brand_Log!B67="","",Brand_Log!B67&amp;""))</f>
        <v/>
      </c>
      <c r="F1267" s="17">
        <f>IF(B1267="","","budget_probe")</f>
        <v/>
      </c>
      <c r="G1267" s="17">
        <f>IF(B1267="","",IF(ISNUMBER(Brand_Log!V67),Brand_Log!V67,""))</f>
        <v/>
      </c>
      <c r="H1267" s="17">
        <f>IF(B1267="","",IF(Brand_Log!W67="","",Brand_Log!W67&amp;""))</f>
        <v/>
      </c>
      <c r="I1267" s="17">
        <f>IF(B1267="","",IF(Brand_Log!N67="","",Brand_Log!N67&amp;""))</f>
        <v/>
      </c>
      <c r="J1267" s="17">
        <f>IF(B1267="","","after_1500")</f>
        <v/>
      </c>
      <c r="K1267" t="inlineStr">
        <is>
          <t>brand budget_probe after $1,500</t>
        </is>
      </c>
    </row>
    <row r="1268">
      <c r="A1268" s="17">
        <f>IF(B1268="","",B1268+(7*1000+67)/10000000)</f>
        <v/>
      </c>
      <c r="B1268" s="23">
        <f>IF(AND(Brand_Log!AN68=1,Brand_Log!U68="Y",OR(ISNUMBER(Brand_Log!V68),TRIM(Brand_Log!W68)&lt;&gt;"")),Brand_Log!G68,"")</f>
        <v/>
      </c>
      <c r="C1268" s="17">
        <f>IF(B1268="","","brand")</f>
        <v/>
      </c>
      <c r="D1268" s="17">
        <f>IF(B1268="","",Brand_Log!$A68&amp;"")</f>
        <v/>
      </c>
      <c r="E1268" s="17">
        <f>IF(B1268="","",IF(Brand_Log!B68="","",Brand_Log!B68&amp;""))</f>
        <v/>
      </c>
      <c r="F1268" s="17">
        <f>IF(B1268="","","budget_probe")</f>
        <v/>
      </c>
      <c r="G1268" s="17">
        <f>IF(B1268="","",IF(ISNUMBER(Brand_Log!V68),Brand_Log!V68,""))</f>
        <v/>
      </c>
      <c r="H1268" s="17">
        <f>IF(B1268="","",IF(Brand_Log!W68="","",Brand_Log!W68&amp;""))</f>
        <v/>
      </c>
      <c r="I1268" s="17">
        <f>IF(B1268="","",IF(Brand_Log!N68="","",Brand_Log!N68&amp;""))</f>
        <v/>
      </c>
      <c r="J1268" s="17">
        <f>IF(B1268="","","after_1500")</f>
        <v/>
      </c>
      <c r="K1268" t="inlineStr">
        <is>
          <t>brand budget_probe after $1,500</t>
        </is>
      </c>
    </row>
    <row r="1269">
      <c r="A1269" s="17">
        <f>IF(B1269="","",B1269+(7*1000+68)/10000000)</f>
        <v/>
      </c>
      <c r="B1269" s="23">
        <f>IF(AND(Brand_Log!AN69=1,Brand_Log!U69="Y",OR(ISNUMBER(Brand_Log!V69),TRIM(Brand_Log!W69)&lt;&gt;"")),Brand_Log!G69,"")</f>
        <v/>
      </c>
      <c r="C1269" s="17">
        <f>IF(B1269="","","brand")</f>
        <v/>
      </c>
      <c r="D1269" s="17">
        <f>IF(B1269="","",Brand_Log!$A69&amp;"")</f>
        <v/>
      </c>
      <c r="E1269" s="17">
        <f>IF(B1269="","",IF(Brand_Log!B69="","",Brand_Log!B69&amp;""))</f>
        <v/>
      </c>
      <c r="F1269" s="17">
        <f>IF(B1269="","","budget_probe")</f>
        <v/>
      </c>
      <c r="G1269" s="17">
        <f>IF(B1269="","",IF(ISNUMBER(Brand_Log!V69),Brand_Log!V69,""))</f>
        <v/>
      </c>
      <c r="H1269" s="17">
        <f>IF(B1269="","",IF(Brand_Log!W69="","",Brand_Log!W69&amp;""))</f>
        <v/>
      </c>
      <c r="I1269" s="17">
        <f>IF(B1269="","",IF(Brand_Log!N69="","",Brand_Log!N69&amp;""))</f>
        <v/>
      </c>
      <c r="J1269" s="17">
        <f>IF(B1269="","","after_1500")</f>
        <v/>
      </c>
      <c r="K1269" t="inlineStr">
        <is>
          <t>brand budget_probe after $1,500</t>
        </is>
      </c>
    </row>
    <row r="1270">
      <c r="A1270" s="17">
        <f>IF(B1270="","",B1270+(7*1000+69)/10000000)</f>
        <v/>
      </c>
      <c r="B1270" s="23">
        <f>IF(AND(Brand_Log!AN70=1,Brand_Log!U70="Y",OR(ISNUMBER(Brand_Log!V70),TRIM(Brand_Log!W70)&lt;&gt;"")),Brand_Log!G70,"")</f>
        <v/>
      </c>
      <c r="C1270" s="17">
        <f>IF(B1270="","","brand")</f>
        <v/>
      </c>
      <c r="D1270" s="17">
        <f>IF(B1270="","",Brand_Log!$A70&amp;"")</f>
        <v/>
      </c>
      <c r="E1270" s="17">
        <f>IF(B1270="","",IF(Brand_Log!B70="","",Brand_Log!B70&amp;""))</f>
        <v/>
      </c>
      <c r="F1270" s="17">
        <f>IF(B1270="","","budget_probe")</f>
        <v/>
      </c>
      <c r="G1270" s="17">
        <f>IF(B1270="","",IF(ISNUMBER(Brand_Log!V70),Brand_Log!V70,""))</f>
        <v/>
      </c>
      <c r="H1270" s="17">
        <f>IF(B1270="","",IF(Brand_Log!W70="","",Brand_Log!W70&amp;""))</f>
        <v/>
      </c>
      <c r="I1270" s="17">
        <f>IF(B1270="","",IF(Brand_Log!N70="","",Brand_Log!N70&amp;""))</f>
        <v/>
      </c>
      <c r="J1270" s="17">
        <f>IF(B1270="","","after_1500")</f>
        <v/>
      </c>
      <c r="K1270" t="inlineStr">
        <is>
          <t>brand budget_probe after $1,500</t>
        </is>
      </c>
    </row>
    <row r="1271">
      <c r="A1271" s="17">
        <f>IF(B1271="","",B1271+(7*1000+70)/10000000)</f>
        <v/>
      </c>
      <c r="B1271" s="23">
        <f>IF(AND(Brand_Log!AN71=1,Brand_Log!U71="Y",OR(ISNUMBER(Brand_Log!V71),TRIM(Brand_Log!W71)&lt;&gt;"")),Brand_Log!G71,"")</f>
        <v/>
      </c>
      <c r="C1271" s="17">
        <f>IF(B1271="","","brand")</f>
        <v/>
      </c>
      <c r="D1271" s="17">
        <f>IF(B1271="","",Brand_Log!$A71&amp;"")</f>
        <v/>
      </c>
      <c r="E1271" s="17">
        <f>IF(B1271="","",IF(Brand_Log!B71="","",Brand_Log!B71&amp;""))</f>
        <v/>
      </c>
      <c r="F1271" s="17">
        <f>IF(B1271="","","budget_probe")</f>
        <v/>
      </c>
      <c r="G1271" s="17">
        <f>IF(B1271="","",IF(ISNUMBER(Brand_Log!V71),Brand_Log!V71,""))</f>
        <v/>
      </c>
      <c r="H1271" s="17">
        <f>IF(B1271="","",IF(Brand_Log!W71="","",Brand_Log!W71&amp;""))</f>
        <v/>
      </c>
      <c r="I1271" s="17">
        <f>IF(B1271="","",IF(Brand_Log!N71="","",Brand_Log!N71&amp;""))</f>
        <v/>
      </c>
      <c r="J1271" s="17">
        <f>IF(B1271="","","after_1500")</f>
        <v/>
      </c>
      <c r="K1271" t="inlineStr">
        <is>
          <t>brand budget_probe after $1,500</t>
        </is>
      </c>
    </row>
    <row r="1272">
      <c r="A1272" s="17">
        <f>IF(B1272="","",B1272+(7*1000+71)/10000000)</f>
        <v/>
      </c>
      <c r="B1272" s="23">
        <f>IF(AND(Brand_Log!AN72=1,Brand_Log!U72="Y",OR(ISNUMBER(Brand_Log!V72),TRIM(Brand_Log!W72)&lt;&gt;"")),Brand_Log!G72,"")</f>
        <v/>
      </c>
      <c r="C1272" s="17">
        <f>IF(B1272="","","brand")</f>
        <v/>
      </c>
      <c r="D1272" s="17">
        <f>IF(B1272="","",Brand_Log!$A72&amp;"")</f>
        <v/>
      </c>
      <c r="E1272" s="17">
        <f>IF(B1272="","",IF(Brand_Log!B72="","",Brand_Log!B72&amp;""))</f>
        <v/>
      </c>
      <c r="F1272" s="17">
        <f>IF(B1272="","","budget_probe")</f>
        <v/>
      </c>
      <c r="G1272" s="17">
        <f>IF(B1272="","",IF(ISNUMBER(Brand_Log!V72),Brand_Log!V72,""))</f>
        <v/>
      </c>
      <c r="H1272" s="17">
        <f>IF(B1272="","",IF(Brand_Log!W72="","",Brand_Log!W72&amp;""))</f>
        <v/>
      </c>
      <c r="I1272" s="17">
        <f>IF(B1272="","",IF(Brand_Log!N72="","",Brand_Log!N72&amp;""))</f>
        <v/>
      </c>
      <c r="J1272" s="17">
        <f>IF(B1272="","","after_1500")</f>
        <v/>
      </c>
      <c r="K1272" t="inlineStr">
        <is>
          <t>brand budget_probe after $1,500</t>
        </is>
      </c>
    </row>
    <row r="1273">
      <c r="A1273" s="17">
        <f>IF(B1273="","",B1273+(7*1000+72)/10000000)</f>
        <v/>
      </c>
      <c r="B1273" s="23">
        <f>IF(AND(Brand_Log!AN73=1,Brand_Log!U73="Y",OR(ISNUMBER(Brand_Log!V73),TRIM(Brand_Log!W73)&lt;&gt;"")),Brand_Log!G73,"")</f>
        <v/>
      </c>
      <c r="C1273" s="17">
        <f>IF(B1273="","","brand")</f>
        <v/>
      </c>
      <c r="D1273" s="17">
        <f>IF(B1273="","",Brand_Log!$A73&amp;"")</f>
        <v/>
      </c>
      <c r="E1273" s="17">
        <f>IF(B1273="","",IF(Brand_Log!B73="","",Brand_Log!B73&amp;""))</f>
        <v/>
      </c>
      <c r="F1273" s="17">
        <f>IF(B1273="","","budget_probe")</f>
        <v/>
      </c>
      <c r="G1273" s="17">
        <f>IF(B1273="","",IF(ISNUMBER(Brand_Log!V73),Brand_Log!V73,""))</f>
        <v/>
      </c>
      <c r="H1273" s="17">
        <f>IF(B1273="","",IF(Brand_Log!W73="","",Brand_Log!W73&amp;""))</f>
        <v/>
      </c>
      <c r="I1273" s="17">
        <f>IF(B1273="","",IF(Brand_Log!N73="","",Brand_Log!N73&amp;""))</f>
        <v/>
      </c>
      <c r="J1273" s="17">
        <f>IF(B1273="","","after_1500")</f>
        <v/>
      </c>
      <c r="K1273" t="inlineStr">
        <is>
          <t>brand budget_probe after $1,500</t>
        </is>
      </c>
    </row>
    <row r="1274">
      <c r="A1274" s="17">
        <f>IF(B1274="","",B1274+(7*1000+73)/10000000)</f>
        <v/>
      </c>
      <c r="B1274" s="23">
        <f>IF(AND(Brand_Log!AN74=1,Brand_Log!U74="Y",OR(ISNUMBER(Brand_Log!V74),TRIM(Brand_Log!W74)&lt;&gt;"")),Brand_Log!G74,"")</f>
        <v/>
      </c>
      <c r="C1274" s="17">
        <f>IF(B1274="","","brand")</f>
        <v/>
      </c>
      <c r="D1274" s="17">
        <f>IF(B1274="","",Brand_Log!$A74&amp;"")</f>
        <v/>
      </c>
      <c r="E1274" s="17">
        <f>IF(B1274="","",IF(Brand_Log!B74="","",Brand_Log!B74&amp;""))</f>
        <v/>
      </c>
      <c r="F1274" s="17">
        <f>IF(B1274="","","budget_probe")</f>
        <v/>
      </c>
      <c r="G1274" s="17">
        <f>IF(B1274="","",IF(ISNUMBER(Brand_Log!V74),Brand_Log!V74,""))</f>
        <v/>
      </c>
      <c r="H1274" s="17">
        <f>IF(B1274="","",IF(Brand_Log!W74="","",Brand_Log!W74&amp;""))</f>
        <v/>
      </c>
      <c r="I1274" s="17">
        <f>IF(B1274="","",IF(Brand_Log!N74="","",Brand_Log!N74&amp;""))</f>
        <v/>
      </c>
      <c r="J1274" s="17">
        <f>IF(B1274="","","after_1500")</f>
        <v/>
      </c>
      <c r="K1274" t="inlineStr">
        <is>
          <t>brand budget_probe after $1,500</t>
        </is>
      </c>
    </row>
    <row r="1275">
      <c r="A1275" s="17">
        <f>IF(B1275="","",B1275+(7*1000+74)/10000000)</f>
        <v/>
      </c>
      <c r="B1275" s="23">
        <f>IF(AND(Brand_Log!AN75=1,Brand_Log!U75="Y",OR(ISNUMBER(Brand_Log!V75),TRIM(Brand_Log!W75)&lt;&gt;"")),Brand_Log!G75,"")</f>
        <v/>
      </c>
      <c r="C1275" s="17">
        <f>IF(B1275="","","brand")</f>
        <v/>
      </c>
      <c r="D1275" s="17">
        <f>IF(B1275="","",Brand_Log!$A75&amp;"")</f>
        <v/>
      </c>
      <c r="E1275" s="17">
        <f>IF(B1275="","",IF(Brand_Log!B75="","",Brand_Log!B75&amp;""))</f>
        <v/>
      </c>
      <c r="F1275" s="17">
        <f>IF(B1275="","","budget_probe")</f>
        <v/>
      </c>
      <c r="G1275" s="17">
        <f>IF(B1275="","",IF(ISNUMBER(Brand_Log!V75),Brand_Log!V75,""))</f>
        <v/>
      </c>
      <c r="H1275" s="17">
        <f>IF(B1275="","",IF(Brand_Log!W75="","",Brand_Log!W75&amp;""))</f>
        <v/>
      </c>
      <c r="I1275" s="17">
        <f>IF(B1275="","",IF(Brand_Log!N75="","",Brand_Log!N75&amp;""))</f>
        <v/>
      </c>
      <c r="J1275" s="17">
        <f>IF(B1275="","","after_1500")</f>
        <v/>
      </c>
      <c r="K1275" t="inlineStr">
        <is>
          <t>brand budget_probe after $1,500</t>
        </is>
      </c>
    </row>
    <row r="1276">
      <c r="A1276" s="17">
        <f>IF(B1276="","",B1276+(7*1000+75)/10000000)</f>
        <v/>
      </c>
      <c r="B1276" s="23">
        <f>IF(AND(Brand_Log!AN76=1,Brand_Log!U76="Y",OR(ISNUMBER(Brand_Log!V76),TRIM(Brand_Log!W76)&lt;&gt;"")),Brand_Log!G76,"")</f>
        <v/>
      </c>
      <c r="C1276" s="17">
        <f>IF(B1276="","","brand")</f>
        <v/>
      </c>
      <c r="D1276" s="17">
        <f>IF(B1276="","",Brand_Log!$A76&amp;"")</f>
        <v/>
      </c>
      <c r="E1276" s="17">
        <f>IF(B1276="","",IF(Brand_Log!B76="","",Brand_Log!B76&amp;""))</f>
        <v/>
      </c>
      <c r="F1276" s="17">
        <f>IF(B1276="","","budget_probe")</f>
        <v/>
      </c>
      <c r="G1276" s="17">
        <f>IF(B1276="","",IF(ISNUMBER(Brand_Log!V76),Brand_Log!V76,""))</f>
        <v/>
      </c>
      <c r="H1276" s="17">
        <f>IF(B1276="","",IF(Brand_Log!W76="","",Brand_Log!W76&amp;""))</f>
        <v/>
      </c>
      <c r="I1276" s="17">
        <f>IF(B1276="","",IF(Brand_Log!N76="","",Brand_Log!N76&amp;""))</f>
        <v/>
      </c>
      <c r="J1276" s="17">
        <f>IF(B1276="","","after_1500")</f>
        <v/>
      </c>
      <c r="K1276" t="inlineStr">
        <is>
          <t>brand budget_probe after $1,500</t>
        </is>
      </c>
    </row>
    <row r="1277">
      <c r="A1277" s="17">
        <f>IF(B1277="","",B1277+(7*1000+76)/10000000)</f>
        <v/>
      </c>
      <c r="B1277" s="23">
        <f>IF(AND(Brand_Log!AN77=1,Brand_Log!U77="Y",OR(ISNUMBER(Brand_Log!V77),TRIM(Brand_Log!W77)&lt;&gt;"")),Brand_Log!G77,"")</f>
        <v/>
      </c>
      <c r="C1277" s="17">
        <f>IF(B1277="","","brand")</f>
        <v/>
      </c>
      <c r="D1277" s="17">
        <f>IF(B1277="","",Brand_Log!$A77&amp;"")</f>
        <v/>
      </c>
      <c r="E1277" s="17">
        <f>IF(B1277="","",IF(Brand_Log!B77="","",Brand_Log!B77&amp;""))</f>
        <v/>
      </c>
      <c r="F1277" s="17">
        <f>IF(B1277="","","budget_probe")</f>
        <v/>
      </c>
      <c r="G1277" s="17">
        <f>IF(B1277="","",IF(ISNUMBER(Brand_Log!V77),Brand_Log!V77,""))</f>
        <v/>
      </c>
      <c r="H1277" s="17">
        <f>IF(B1277="","",IF(Brand_Log!W77="","",Brand_Log!W77&amp;""))</f>
        <v/>
      </c>
      <c r="I1277" s="17">
        <f>IF(B1277="","",IF(Brand_Log!N77="","",Brand_Log!N77&amp;""))</f>
        <v/>
      </c>
      <c r="J1277" s="17">
        <f>IF(B1277="","","after_1500")</f>
        <v/>
      </c>
      <c r="K1277" t="inlineStr">
        <is>
          <t>brand budget_probe after $1,500</t>
        </is>
      </c>
    </row>
    <row r="1278">
      <c r="A1278" s="17">
        <f>IF(B1278="","",B1278+(7*1000+77)/10000000)</f>
        <v/>
      </c>
      <c r="B1278" s="23">
        <f>IF(AND(Brand_Log!AN78=1,Brand_Log!U78="Y",OR(ISNUMBER(Brand_Log!V78),TRIM(Brand_Log!W78)&lt;&gt;"")),Brand_Log!G78,"")</f>
        <v/>
      </c>
      <c r="C1278" s="17">
        <f>IF(B1278="","","brand")</f>
        <v/>
      </c>
      <c r="D1278" s="17">
        <f>IF(B1278="","",Brand_Log!$A78&amp;"")</f>
        <v/>
      </c>
      <c r="E1278" s="17">
        <f>IF(B1278="","",IF(Brand_Log!B78="","",Brand_Log!B78&amp;""))</f>
        <v/>
      </c>
      <c r="F1278" s="17">
        <f>IF(B1278="","","budget_probe")</f>
        <v/>
      </c>
      <c r="G1278" s="17">
        <f>IF(B1278="","",IF(ISNUMBER(Brand_Log!V78),Brand_Log!V78,""))</f>
        <v/>
      </c>
      <c r="H1278" s="17">
        <f>IF(B1278="","",IF(Brand_Log!W78="","",Brand_Log!W78&amp;""))</f>
        <v/>
      </c>
      <c r="I1278" s="17">
        <f>IF(B1278="","",IF(Brand_Log!N78="","",Brand_Log!N78&amp;""))</f>
        <v/>
      </c>
      <c r="J1278" s="17">
        <f>IF(B1278="","","after_1500")</f>
        <v/>
      </c>
      <c r="K1278" t="inlineStr">
        <is>
          <t>brand budget_probe after $1,500</t>
        </is>
      </c>
    </row>
    <row r="1279">
      <c r="A1279" s="17">
        <f>IF(B1279="","",B1279+(7*1000+78)/10000000)</f>
        <v/>
      </c>
      <c r="B1279" s="23">
        <f>IF(AND(Brand_Log!AN79=1,Brand_Log!U79="Y",OR(ISNUMBER(Brand_Log!V79),TRIM(Brand_Log!W79)&lt;&gt;"")),Brand_Log!G79,"")</f>
        <v/>
      </c>
      <c r="C1279" s="17">
        <f>IF(B1279="","","brand")</f>
        <v/>
      </c>
      <c r="D1279" s="17">
        <f>IF(B1279="","",Brand_Log!$A79&amp;"")</f>
        <v/>
      </c>
      <c r="E1279" s="17">
        <f>IF(B1279="","",IF(Brand_Log!B79="","",Brand_Log!B79&amp;""))</f>
        <v/>
      </c>
      <c r="F1279" s="17">
        <f>IF(B1279="","","budget_probe")</f>
        <v/>
      </c>
      <c r="G1279" s="17">
        <f>IF(B1279="","",IF(ISNUMBER(Brand_Log!V79),Brand_Log!V79,""))</f>
        <v/>
      </c>
      <c r="H1279" s="17">
        <f>IF(B1279="","",IF(Brand_Log!W79="","",Brand_Log!W79&amp;""))</f>
        <v/>
      </c>
      <c r="I1279" s="17">
        <f>IF(B1279="","",IF(Brand_Log!N79="","",Brand_Log!N79&amp;""))</f>
        <v/>
      </c>
      <c r="J1279" s="17">
        <f>IF(B1279="","","after_1500")</f>
        <v/>
      </c>
      <c r="K1279" t="inlineStr">
        <is>
          <t>brand budget_probe after $1,500</t>
        </is>
      </c>
    </row>
    <row r="1280">
      <c r="A1280" s="17">
        <f>IF(B1280="","",B1280+(7*1000+79)/10000000)</f>
        <v/>
      </c>
      <c r="B1280" s="23">
        <f>IF(AND(Brand_Log!AN80=1,Brand_Log!U80="Y",OR(ISNUMBER(Brand_Log!V80),TRIM(Brand_Log!W80)&lt;&gt;"")),Brand_Log!G80,"")</f>
        <v/>
      </c>
      <c r="C1280" s="17">
        <f>IF(B1280="","","brand")</f>
        <v/>
      </c>
      <c r="D1280" s="17">
        <f>IF(B1280="","",Brand_Log!$A80&amp;"")</f>
        <v/>
      </c>
      <c r="E1280" s="17">
        <f>IF(B1280="","",IF(Brand_Log!B80="","",Brand_Log!B80&amp;""))</f>
        <v/>
      </c>
      <c r="F1280" s="17">
        <f>IF(B1280="","","budget_probe")</f>
        <v/>
      </c>
      <c r="G1280" s="17">
        <f>IF(B1280="","",IF(ISNUMBER(Brand_Log!V80),Brand_Log!V80,""))</f>
        <v/>
      </c>
      <c r="H1280" s="17">
        <f>IF(B1280="","",IF(Brand_Log!W80="","",Brand_Log!W80&amp;""))</f>
        <v/>
      </c>
      <c r="I1280" s="17">
        <f>IF(B1280="","",IF(Brand_Log!N80="","",Brand_Log!N80&amp;""))</f>
        <v/>
      </c>
      <c r="J1280" s="17">
        <f>IF(B1280="","","after_1500")</f>
        <v/>
      </c>
      <c r="K1280" t="inlineStr">
        <is>
          <t>brand budget_probe after $1,500</t>
        </is>
      </c>
    </row>
    <row r="1281">
      <c r="A1281" s="17">
        <f>IF(B1281="","",B1281+(7*1000+80)/10000000)</f>
        <v/>
      </c>
      <c r="B1281" s="23">
        <f>IF(AND(Brand_Log!AN81=1,Brand_Log!U81="Y",OR(ISNUMBER(Brand_Log!V81),TRIM(Brand_Log!W81)&lt;&gt;"")),Brand_Log!G81,"")</f>
        <v/>
      </c>
      <c r="C1281" s="17">
        <f>IF(B1281="","","brand")</f>
        <v/>
      </c>
      <c r="D1281" s="17">
        <f>IF(B1281="","",Brand_Log!$A81&amp;"")</f>
        <v/>
      </c>
      <c r="E1281" s="17">
        <f>IF(B1281="","",IF(Brand_Log!B81="","",Brand_Log!B81&amp;""))</f>
        <v/>
      </c>
      <c r="F1281" s="17">
        <f>IF(B1281="","","budget_probe")</f>
        <v/>
      </c>
      <c r="G1281" s="17">
        <f>IF(B1281="","",IF(ISNUMBER(Brand_Log!V81),Brand_Log!V81,""))</f>
        <v/>
      </c>
      <c r="H1281" s="17">
        <f>IF(B1281="","",IF(Brand_Log!W81="","",Brand_Log!W81&amp;""))</f>
        <v/>
      </c>
      <c r="I1281" s="17">
        <f>IF(B1281="","",IF(Brand_Log!N81="","",Brand_Log!N81&amp;""))</f>
        <v/>
      </c>
      <c r="J1281" s="17">
        <f>IF(B1281="","","after_1500")</f>
        <v/>
      </c>
      <c r="K1281" t="inlineStr">
        <is>
          <t>brand budget_probe after $1,500</t>
        </is>
      </c>
    </row>
    <row r="1282">
      <c r="A1282" s="17">
        <f>IF(B1282="","",B1282+(7*1000+81)/10000000)</f>
        <v/>
      </c>
      <c r="B1282" s="23">
        <f>IF(AND(Brand_Log!AN82=1,Brand_Log!U82="Y",OR(ISNUMBER(Brand_Log!V82),TRIM(Brand_Log!W82)&lt;&gt;"")),Brand_Log!G82,"")</f>
        <v/>
      </c>
      <c r="C1282" s="17">
        <f>IF(B1282="","","brand")</f>
        <v/>
      </c>
      <c r="D1282" s="17">
        <f>IF(B1282="","",Brand_Log!$A82&amp;"")</f>
        <v/>
      </c>
      <c r="E1282" s="17">
        <f>IF(B1282="","",IF(Brand_Log!B82="","",Brand_Log!B82&amp;""))</f>
        <v/>
      </c>
      <c r="F1282" s="17">
        <f>IF(B1282="","","budget_probe")</f>
        <v/>
      </c>
      <c r="G1282" s="17">
        <f>IF(B1282="","",IF(ISNUMBER(Brand_Log!V82),Brand_Log!V82,""))</f>
        <v/>
      </c>
      <c r="H1282" s="17">
        <f>IF(B1282="","",IF(Brand_Log!W82="","",Brand_Log!W82&amp;""))</f>
        <v/>
      </c>
      <c r="I1282" s="17">
        <f>IF(B1282="","",IF(Brand_Log!N82="","",Brand_Log!N82&amp;""))</f>
        <v/>
      </c>
      <c r="J1282" s="17">
        <f>IF(B1282="","","after_1500")</f>
        <v/>
      </c>
      <c r="K1282" t="inlineStr">
        <is>
          <t>brand budget_probe after $1,500</t>
        </is>
      </c>
    </row>
    <row r="1283">
      <c r="A1283" s="17">
        <f>IF(B1283="","",B1283+(7*1000+82)/10000000)</f>
        <v/>
      </c>
      <c r="B1283" s="23">
        <f>IF(AND(Brand_Log!AN83=1,Brand_Log!U83="Y",OR(ISNUMBER(Brand_Log!V83),TRIM(Brand_Log!W83)&lt;&gt;"")),Brand_Log!G83,"")</f>
        <v/>
      </c>
      <c r="C1283" s="17">
        <f>IF(B1283="","","brand")</f>
        <v/>
      </c>
      <c r="D1283" s="17">
        <f>IF(B1283="","",Brand_Log!$A83&amp;"")</f>
        <v/>
      </c>
      <c r="E1283" s="17">
        <f>IF(B1283="","",IF(Brand_Log!B83="","",Brand_Log!B83&amp;""))</f>
        <v/>
      </c>
      <c r="F1283" s="17">
        <f>IF(B1283="","","budget_probe")</f>
        <v/>
      </c>
      <c r="G1283" s="17">
        <f>IF(B1283="","",IF(ISNUMBER(Brand_Log!V83),Brand_Log!V83,""))</f>
        <v/>
      </c>
      <c r="H1283" s="17">
        <f>IF(B1283="","",IF(Brand_Log!W83="","",Brand_Log!W83&amp;""))</f>
        <v/>
      </c>
      <c r="I1283" s="17">
        <f>IF(B1283="","",IF(Brand_Log!N83="","",Brand_Log!N83&amp;""))</f>
        <v/>
      </c>
      <c r="J1283" s="17">
        <f>IF(B1283="","","after_1500")</f>
        <v/>
      </c>
      <c r="K1283" t="inlineStr">
        <is>
          <t>brand budget_probe after $1,500</t>
        </is>
      </c>
    </row>
    <row r="1284">
      <c r="A1284" s="17">
        <f>IF(B1284="","",B1284+(7*1000+83)/10000000)</f>
        <v/>
      </c>
      <c r="B1284" s="23">
        <f>IF(AND(Brand_Log!AN84=1,Brand_Log!U84="Y",OR(ISNUMBER(Brand_Log!V84),TRIM(Brand_Log!W84)&lt;&gt;"")),Brand_Log!G84,"")</f>
        <v/>
      </c>
      <c r="C1284" s="17">
        <f>IF(B1284="","","brand")</f>
        <v/>
      </c>
      <c r="D1284" s="17">
        <f>IF(B1284="","",Brand_Log!$A84&amp;"")</f>
        <v/>
      </c>
      <c r="E1284" s="17">
        <f>IF(B1284="","",IF(Brand_Log!B84="","",Brand_Log!B84&amp;""))</f>
        <v/>
      </c>
      <c r="F1284" s="17">
        <f>IF(B1284="","","budget_probe")</f>
        <v/>
      </c>
      <c r="G1284" s="17">
        <f>IF(B1284="","",IF(ISNUMBER(Brand_Log!V84),Brand_Log!V84,""))</f>
        <v/>
      </c>
      <c r="H1284" s="17">
        <f>IF(B1284="","",IF(Brand_Log!W84="","",Brand_Log!W84&amp;""))</f>
        <v/>
      </c>
      <c r="I1284" s="17">
        <f>IF(B1284="","",IF(Brand_Log!N84="","",Brand_Log!N84&amp;""))</f>
        <v/>
      </c>
      <c r="J1284" s="17">
        <f>IF(B1284="","","after_1500")</f>
        <v/>
      </c>
      <c r="K1284" t="inlineStr">
        <is>
          <t>brand budget_probe after $1,500</t>
        </is>
      </c>
    </row>
    <row r="1285">
      <c r="A1285" s="17">
        <f>IF(B1285="","",B1285+(7*1000+84)/10000000)</f>
        <v/>
      </c>
      <c r="B1285" s="23">
        <f>IF(AND(Brand_Log!AN85=1,Brand_Log!U85="Y",OR(ISNUMBER(Brand_Log!V85),TRIM(Brand_Log!W85)&lt;&gt;"")),Brand_Log!G85,"")</f>
        <v/>
      </c>
      <c r="C1285" s="17">
        <f>IF(B1285="","","brand")</f>
        <v/>
      </c>
      <c r="D1285" s="17">
        <f>IF(B1285="","",Brand_Log!$A85&amp;"")</f>
        <v/>
      </c>
      <c r="E1285" s="17">
        <f>IF(B1285="","",IF(Brand_Log!B85="","",Brand_Log!B85&amp;""))</f>
        <v/>
      </c>
      <c r="F1285" s="17">
        <f>IF(B1285="","","budget_probe")</f>
        <v/>
      </c>
      <c r="G1285" s="17">
        <f>IF(B1285="","",IF(ISNUMBER(Brand_Log!V85),Brand_Log!V85,""))</f>
        <v/>
      </c>
      <c r="H1285" s="17">
        <f>IF(B1285="","",IF(Brand_Log!W85="","",Brand_Log!W85&amp;""))</f>
        <v/>
      </c>
      <c r="I1285" s="17">
        <f>IF(B1285="","",IF(Brand_Log!N85="","",Brand_Log!N85&amp;""))</f>
        <v/>
      </c>
      <c r="J1285" s="17">
        <f>IF(B1285="","","after_1500")</f>
        <v/>
      </c>
      <c r="K1285" t="inlineStr">
        <is>
          <t>brand budget_probe after $1,500</t>
        </is>
      </c>
    </row>
    <row r="1286">
      <c r="A1286" s="17">
        <f>IF(B1286="","",B1286+(7*1000+85)/10000000)</f>
        <v/>
      </c>
      <c r="B1286" s="23">
        <f>IF(AND(Brand_Log!AN86=1,Brand_Log!U86="Y",OR(ISNUMBER(Brand_Log!V86),TRIM(Brand_Log!W86)&lt;&gt;"")),Brand_Log!G86,"")</f>
        <v/>
      </c>
      <c r="C1286" s="17">
        <f>IF(B1286="","","brand")</f>
        <v/>
      </c>
      <c r="D1286" s="17">
        <f>IF(B1286="","",Brand_Log!$A86&amp;"")</f>
        <v/>
      </c>
      <c r="E1286" s="17">
        <f>IF(B1286="","",IF(Brand_Log!B86="","",Brand_Log!B86&amp;""))</f>
        <v/>
      </c>
      <c r="F1286" s="17">
        <f>IF(B1286="","","budget_probe")</f>
        <v/>
      </c>
      <c r="G1286" s="17">
        <f>IF(B1286="","",IF(ISNUMBER(Brand_Log!V86),Brand_Log!V86,""))</f>
        <v/>
      </c>
      <c r="H1286" s="17">
        <f>IF(B1286="","",IF(Brand_Log!W86="","",Brand_Log!W86&amp;""))</f>
        <v/>
      </c>
      <c r="I1286" s="17">
        <f>IF(B1286="","",IF(Brand_Log!N86="","",Brand_Log!N86&amp;""))</f>
        <v/>
      </c>
      <c r="J1286" s="17">
        <f>IF(B1286="","","after_1500")</f>
        <v/>
      </c>
      <c r="K1286" t="inlineStr">
        <is>
          <t>brand budget_probe after $1,500</t>
        </is>
      </c>
    </row>
    <row r="1287">
      <c r="A1287" s="17">
        <f>IF(B1287="","",B1287+(7*1000+86)/10000000)</f>
        <v/>
      </c>
      <c r="B1287" s="23">
        <f>IF(AND(Brand_Log!AN87=1,Brand_Log!U87="Y",OR(ISNUMBER(Brand_Log!V87),TRIM(Brand_Log!W87)&lt;&gt;"")),Brand_Log!G87,"")</f>
        <v/>
      </c>
      <c r="C1287" s="17">
        <f>IF(B1287="","","brand")</f>
        <v/>
      </c>
      <c r="D1287" s="17">
        <f>IF(B1287="","",Brand_Log!$A87&amp;"")</f>
        <v/>
      </c>
      <c r="E1287" s="17">
        <f>IF(B1287="","",IF(Brand_Log!B87="","",Brand_Log!B87&amp;""))</f>
        <v/>
      </c>
      <c r="F1287" s="17">
        <f>IF(B1287="","","budget_probe")</f>
        <v/>
      </c>
      <c r="G1287" s="17">
        <f>IF(B1287="","",IF(ISNUMBER(Brand_Log!V87),Brand_Log!V87,""))</f>
        <v/>
      </c>
      <c r="H1287" s="17">
        <f>IF(B1287="","",IF(Brand_Log!W87="","",Brand_Log!W87&amp;""))</f>
        <v/>
      </c>
      <c r="I1287" s="17">
        <f>IF(B1287="","",IF(Brand_Log!N87="","",Brand_Log!N87&amp;""))</f>
        <v/>
      </c>
      <c r="J1287" s="17">
        <f>IF(B1287="","","after_1500")</f>
        <v/>
      </c>
      <c r="K1287" t="inlineStr">
        <is>
          <t>brand budget_probe after $1,500</t>
        </is>
      </c>
    </row>
    <row r="1288">
      <c r="A1288" s="17">
        <f>IF(B1288="","",B1288+(7*1000+87)/10000000)</f>
        <v/>
      </c>
      <c r="B1288" s="23">
        <f>IF(AND(Brand_Log!AN88=1,Brand_Log!U88="Y",OR(ISNUMBER(Brand_Log!V88),TRIM(Brand_Log!W88)&lt;&gt;"")),Brand_Log!G88,"")</f>
        <v/>
      </c>
      <c r="C1288" s="17">
        <f>IF(B1288="","","brand")</f>
        <v/>
      </c>
      <c r="D1288" s="17">
        <f>IF(B1288="","",Brand_Log!$A88&amp;"")</f>
        <v/>
      </c>
      <c r="E1288" s="17">
        <f>IF(B1288="","",IF(Brand_Log!B88="","",Brand_Log!B88&amp;""))</f>
        <v/>
      </c>
      <c r="F1288" s="17">
        <f>IF(B1288="","","budget_probe")</f>
        <v/>
      </c>
      <c r="G1288" s="17">
        <f>IF(B1288="","",IF(ISNUMBER(Brand_Log!V88),Brand_Log!V88,""))</f>
        <v/>
      </c>
      <c r="H1288" s="17">
        <f>IF(B1288="","",IF(Brand_Log!W88="","",Brand_Log!W88&amp;""))</f>
        <v/>
      </c>
      <c r="I1288" s="17">
        <f>IF(B1288="","",IF(Brand_Log!N88="","",Brand_Log!N88&amp;""))</f>
        <v/>
      </c>
      <c r="J1288" s="17">
        <f>IF(B1288="","","after_1500")</f>
        <v/>
      </c>
      <c r="K1288" t="inlineStr">
        <is>
          <t>brand budget_probe after $1,500</t>
        </is>
      </c>
    </row>
    <row r="1289">
      <c r="A1289" s="17">
        <f>IF(B1289="","",B1289+(7*1000+88)/10000000)</f>
        <v/>
      </c>
      <c r="B1289" s="23">
        <f>IF(AND(Brand_Log!AN89=1,Brand_Log!U89="Y",OR(ISNUMBER(Brand_Log!V89),TRIM(Brand_Log!W89)&lt;&gt;"")),Brand_Log!G89,"")</f>
        <v/>
      </c>
      <c r="C1289" s="17">
        <f>IF(B1289="","","brand")</f>
        <v/>
      </c>
      <c r="D1289" s="17">
        <f>IF(B1289="","",Brand_Log!$A89&amp;"")</f>
        <v/>
      </c>
      <c r="E1289" s="17">
        <f>IF(B1289="","",IF(Brand_Log!B89="","",Brand_Log!B89&amp;""))</f>
        <v/>
      </c>
      <c r="F1289" s="17">
        <f>IF(B1289="","","budget_probe")</f>
        <v/>
      </c>
      <c r="G1289" s="17">
        <f>IF(B1289="","",IF(ISNUMBER(Brand_Log!V89),Brand_Log!V89,""))</f>
        <v/>
      </c>
      <c r="H1289" s="17">
        <f>IF(B1289="","",IF(Brand_Log!W89="","",Brand_Log!W89&amp;""))</f>
        <v/>
      </c>
      <c r="I1289" s="17">
        <f>IF(B1289="","",IF(Brand_Log!N89="","",Brand_Log!N89&amp;""))</f>
        <v/>
      </c>
      <c r="J1289" s="17">
        <f>IF(B1289="","","after_1500")</f>
        <v/>
      </c>
      <c r="K1289" t="inlineStr">
        <is>
          <t>brand budget_probe after $1,500</t>
        </is>
      </c>
    </row>
    <row r="1290">
      <c r="A1290" s="17">
        <f>IF(B1290="","",B1290+(7*1000+89)/10000000)</f>
        <v/>
      </c>
      <c r="B1290" s="23">
        <f>IF(AND(Brand_Log!AN90=1,Brand_Log!U90="Y",OR(ISNUMBER(Brand_Log!V90),TRIM(Brand_Log!W90)&lt;&gt;"")),Brand_Log!G90,"")</f>
        <v/>
      </c>
      <c r="C1290" s="17">
        <f>IF(B1290="","","brand")</f>
        <v/>
      </c>
      <c r="D1290" s="17">
        <f>IF(B1290="","",Brand_Log!$A90&amp;"")</f>
        <v/>
      </c>
      <c r="E1290" s="17">
        <f>IF(B1290="","",IF(Brand_Log!B90="","",Brand_Log!B90&amp;""))</f>
        <v/>
      </c>
      <c r="F1290" s="17">
        <f>IF(B1290="","","budget_probe")</f>
        <v/>
      </c>
      <c r="G1290" s="17">
        <f>IF(B1290="","",IF(ISNUMBER(Brand_Log!V90),Brand_Log!V90,""))</f>
        <v/>
      </c>
      <c r="H1290" s="17">
        <f>IF(B1290="","",IF(Brand_Log!W90="","",Brand_Log!W90&amp;""))</f>
        <v/>
      </c>
      <c r="I1290" s="17">
        <f>IF(B1290="","",IF(Brand_Log!N90="","",Brand_Log!N90&amp;""))</f>
        <v/>
      </c>
      <c r="J1290" s="17">
        <f>IF(B1290="","","after_1500")</f>
        <v/>
      </c>
      <c r="K1290" t="inlineStr">
        <is>
          <t>brand budget_probe after $1,500</t>
        </is>
      </c>
    </row>
    <row r="1291">
      <c r="A1291" s="17">
        <f>IF(B1291="","",B1291+(7*1000+90)/10000000)</f>
        <v/>
      </c>
      <c r="B1291" s="23">
        <f>IF(AND(Brand_Log!AN91=1,Brand_Log!U91="Y",OR(ISNUMBER(Brand_Log!V91),TRIM(Brand_Log!W91)&lt;&gt;"")),Brand_Log!G91,"")</f>
        <v/>
      </c>
      <c r="C1291" s="17">
        <f>IF(B1291="","","brand")</f>
        <v/>
      </c>
      <c r="D1291" s="17">
        <f>IF(B1291="","",Brand_Log!$A91&amp;"")</f>
        <v/>
      </c>
      <c r="E1291" s="17">
        <f>IF(B1291="","",IF(Brand_Log!B91="","",Brand_Log!B91&amp;""))</f>
        <v/>
      </c>
      <c r="F1291" s="17">
        <f>IF(B1291="","","budget_probe")</f>
        <v/>
      </c>
      <c r="G1291" s="17">
        <f>IF(B1291="","",IF(ISNUMBER(Brand_Log!V91),Brand_Log!V91,""))</f>
        <v/>
      </c>
      <c r="H1291" s="17">
        <f>IF(B1291="","",IF(Brand_Log!W91="","",Brand_Log!W91&amp;""))</f>
        <v/>
      </c>
      <c r="I1291" s="17">
        <f>IF(B1291="","",IF(Brand_Log!N91="","",Brand_Log!N91&amp;""))</f>
        <v/>
      </c>
      <c r="J1291" s="17">
        <f>IF(B1291="","","after_1500")</f>
        <v/>
      </c>
      <c r="K1291" t="inlineStr">
        <is>
          <t>brand budget_probe after $1,500</t>
        </is>
      </c>
    </row>
    <row r="1292">
      <c r="A1292" s="17">
        <f>IF(B1292="","",B1292+(7*1000+91)/10000000)</f>
        <v/>
      </c>
      <c r="B1292" s="23">
        <f>IF(AND(Brand_Log!AN92=1,Brand_Log!U92="Y",OR(ISNUMBER(Brand_Log!V92),TRIM(Brand_Log!W92)&lt;&gt;"")),Brand_Log!G92,"")</f>
        <v/>
      </c>
      <c r="C1292" s="17">
        <f>IF(B1292="","","brand")</f>
        <v/>
      </c>
      <c r="D1292" s="17">
        <f>IF(B1292="","",Brand_Log!$A92&amp;"")</f>
        <v/>
      </c>
      <c r="E1292" s="17">
        <f>IF(B1292="","",IF(Brand_Log!B92="","",Brand_Log!B92&amp;""))</f>
        <v/>
      </c>
      <c r="F1292" s="17">
        <f>IF(B1292="","","budget_probe")</f>
        <v/>
      </c>
      <c r="G1292" s="17">
        <f>IF(B1292="","",IF(ISNUMBER(Brand_Log!V92),Brand_Log!V92,""))</f>
        <v/>
      </c>
      <c r="H1292" s="17">
        <f>IF(B1292="","",IF(Brand_Log!W92="","",Brand_Log!W92&amp;""))</f>
        <v/>
      </c>
      <c r="I1292" s="17">
        <f>IF(B1292="","",IF(Brand_Log!N92="","",Brand_Log!N92&amp;""))</f>
        <v/>
      </c>
      <c r="J1292" s="17">
        <f>IF(B1292="","","after_1500")</f>
        <v/>
      </c>
      <c r="K1292" t="inlineStr">
        <is>
          <t>brand budget_probe after $1,500</t>
        </is>
      </c>
    </row>
    <row r="1293">
      <c r="A1293" s="17">
        <f>IF(B1293="","",B1293+(7*1000+92)/10000000)</f>
        <v/>
      </c>
      <c r="B1293" s="23">
        <f>IF(AND(Brand_Log!AN93=1,Brand_Log!U93="Y",OR(ISNUMBER(Brand_Log!V93),TRIM(Brand_Log!W93)&lt;&gt;"")),Brand_Log!G93,"")</f>
        <v/>
      </c>
      <c r="C1293" s="17">
        <f>IF(B1293="","","brand")</f>
        <v/>
      </c>
      <c r="D1293" s="17">
        <f>IF(B1293="","",Brand_Log!$A93&amp;"")</f>
        <v/>
      </c>
      <c r="E1293" s="17">
        <f>IF(B1293="","",IF(Brand_Log!B93="","",Brand_Log!B93&amp;""))</f>
        <v/>
      </c>
      <c r="F1293" s="17">
        <f>IF(B1293="","","budget_probe")</f>
        <v/>
      </c>
      <c r="G1293" s="17">
        <f>IF(B1293="","",IF(ISNUMBER(Brand_Log!V93),Brand_Log!V93,""))</f>
        <v/>
      </c>
      <c r="H1293" s="17">
        <f>IF(B1293="","",IF(Brand_Log!W93="","",Brand_Log!W93&amp;""))</f>
        <v/>
      </c>
      <c r="I1293" s="17">
        <f>IF(B1293="","",IF(Brand_Log!N93="","",Brand_Log!N93&amp;""))</f>
        <v/>
      </c>
      <c r="J1293" s="17">
        <f>IF(B1293="","","after_1500")</f>
        <v/>
      </c>
      <c r="K1293" t="inlineStr">
        <is>
          <t>brand budget_probe after $1,500</t>
        </is>
      </c>
    </row>
    <row r="1294">
      <c r="A1294" s="17">
        <f>IF(B1294="","",B1294+(7*1000+93)/10000000)</f>
        <v/>
      </c>
      <c r="B1294" s="23">
        <f>IF(AND(Brand_Log!AN94=1,Brand_Log!U94="Y",OR(ISNUMBER(Brand_Log!V94),TRIM(Brand_Log!W94)&lt;&gt;"")),Brand_Log!G94,"")</f>
        <v/>
      </c>
      <c r="C1294" s="17">
        <f>IF(B1294="","","brand")</f>
        <v/>
      </c>
      <c r="D1294" s="17">
        <f>IF(B1294="","",Brand_Log!$A94&amp;"")</f>
        <v/>
      </c>
      <c r="E1294" s="17">
        <f>IF(B1294="","",IF(Brand_Log!B94="","",Brand_Log!B94&amp;""))</f>
        <v/>
      </c>
      <c r="F1294" s="17">
        <f>IF(B1294="","","budget_probe")</f>
        <v/>
      </c>
      <c r="G1294" s="17">
        <f>IF(B1294="","",IF(ISNUMBER(Brand_Log!V94),Brand_Log!V94,""))</f>
        <v/>
      </c>
      <c r="H1294" s="17">
        <f>IF(B1294="","",IF(Brand_Log!W94="","",Brand_Log!W94&amp;""))</f>
        <v/>
      </c>
      <c r="I1294" s="17">
        <f>IF(B1294="","",IF(Brand_Log!N94="","",Brand_Log!N94&amp;""))</f>
        <v/>
      </c>
      <c r="J1294" s="17">
        <f>IF(B1294="","","after_1500")</f>
        <v/>
      </c>
      <c r="K1294" t="inlineStr">
        <is>
          <t>brand budget_probe after $1,500</t>
        </is>
      </c>
    </row>
    <row r="1295">
      <c r="A1295" s="17">
        <f>IF(B1295="","",B1295+(7*1000+94)/10000000)</f>
        <v/>
      </c>
      <c r="B1295" s="23">
        <f>IF(AND(Brand_Log!AN95=1,Brand_Log!U95="Y",OR(ISNUMBER(Brand_Log!V95),TRIM(Brand_Log!W95)&lt;&gt;"")),Brand_Log!G95,"")</f>
        <v/>
      </c>
      <c r="C1295" s="17">
        <f>IF(B1295="","","brand")</f>
        <v/>
      </c>
      <c r="D1295" s="17">
        <f>IF(B1295="","",Brand_Log!$A95&amp;"")</f>
        <v/>
      </c>
      <c r="E1295" s="17">
        <f>IF(B1295="","",IF(Brand_Log!B95="","",Brand_Log!B95&amp;""))</f>
        <v/>
      </c>
      <c r="F1295" s="17">
        <f>IF(B1295="","","budget_probe")</f>
        <v/>
      </c>
      <c r="G1295" s="17">
        <f>IF(B1295="","",IF(ISNUMBER(Brand_Log!V95),Brand_Log!V95,""))</f>
        <v/>
      </c>
      <c r="H1295" s="17">
        <f>IF(B1295="","",IF(Brand_Log!W95="","",Brand_Log!W95&amp;""))</f>
        <v/>
      </c>
      <c r="I1295" s="17">
        <f>IF(B1295="","",IF(Brand_Log!N95="","",Brand_Log!N95&amp;""))</f>
        <v/>
      </c>
      <c r="J1295" s="17">
        <f>IF(B1295="","","after_1500")</f>
        <v/>
      </c>
      <c r="K1295" t="inlineStr">
        <is>
          <t>brand budget_probe after $1,500</t>
        </is>
      </c>
    </row>
    <row r="1296">
      <c r="A1296" s="17">
        <f>IF(B1296="","",B1296+(7*1000+95)/10000000)</f>
        <v/>
      </c>
      <c r="B1296" s="23">
        <f>IF(AND(Brand_Log!AN96=1,Brand_Log!U96="Y",OR(ISNUMBER(Brand_Log!V96),TRIM(Brand_Log!W96)&lt;&gt;"")),Brand_Log!G96,"")</f>
        <v/>
      </c>
      <c r="C1296" s="17">
        <f>IF(B1296="","","brand")</f>
        <v/>
      </c>
      <c r="D1296" s="17">
        <f>IF(B1296="","",Brand_Log!$A96&amp;"")</f>
        <v/>
      </c>
      <c r="E1296" s="17">
        <f>IF(B1296="","",IF(Brand_Log!B96="","",Brand_Log!B96&amp;""))</f>
        <v/>
      </c>
      <c r="F1296" s="17">
        <f>IF(B1296="","","budget_probe")</f>
        <v/>
      </c>
      <c r="G1296" s="17">
        <f>IF(B1296="","",IF(ISNUMBER(Brand_Log!V96),Brand_Log!V96,""))</f>
        <v/>
      </c>
      <c r="H1296" s="17">
        <f>IF(B1296="","",IF(Brand_Log!W96="","",Brand_Log!W96&amp;""))</f>
        <v/>
      </c>
      <c r="I1296" s="17">
        <f>IF(B1296="","",IF(Brand_Log!N96="","",Brand_Log!N96&amp;""))</f>
        <v/>
      </c>
      <c r="J1296" s="17">
        <f>IF(B1296="","","after_1500")</f>
        <v/>
      </c>
      <c r="K1296" t="inlineStr">
        <is>
          <t>brand budget_probe after $1,500</t>
        </is>
      </c>
    </row>
    <row r="1297">
      <c r="A1297" s="17">
        <f>IF(B1297="","",B1297+(7*1000+96)/10000000)</f>
        <v/>
      </c>
      <c r="B1297" s="23">
        <f>IF(AND(Brand_Log!AN97=1,Brand_Log!U97="Y",OR(ISNUMBER(Brand_Log!V97),TRIM(Brand_Log!W97)&lt;&gt;"")),Brand_Log!G97,"")</f>
        <v/>
      </c>
      <c r="C1297" s="17">
        <f>IF(B1297="","","brand")</f>
        <v/>
      </c>
      <c r="D1297" s="17">
        <f>IF(B1297="","",Brand_Log!$A97&amp;"")</f>
        <v/>
      </c>
      <c r="E1297" s="17">
        <f>IF(B1297="","",IF(Brand_Log!B97="","",Brand_Log!B97&amp;""))</f>
        <v/>
      </c>
      <c r="F1297" s="17">
        <f>IF(B1297="","","budget_probe")</f>
        <v/>
      </c>
      <c r="G1297" s="17">
        <f>IF(B1297="","",IF(ISNUMBER(Brand_Log!V97),Brand_Log!V97,""))</f>
        <v/>
      </c>
      <c r="H1297" s="17">
        <f>IF(B1297="","",IF(Brand_Log!W97="","",Brand_Log!W97&amp;""))</f>
        <v/>
      </c>
      <c r="I1297" s="17">
        <f>IF(B1297="","",IF(Brand_Log!N97="","",Brand_Log!N97&amp;""))</f>
        <v/>
      </c>
      <c r="J1297" s="17">
        <f>IF(B1297="","","after_1500")</f>
        <v/>
      </c>
      <c r="K1297" t="inlineStr">
        <is>
          <t>brand budget_probe after $1,500</t>
        </is>
      </c>
    </row>
    <row r="1298">
      <c r="A1298" s="17">
        <f>IF(B1298="","",B1298+(7*1000+97)/10000000)</f>
        <v/>
      </c>
      <c r="B1298" s="23">
        <f>IF(AND(Brand_Log!AN98=1,Brand_Log!U98="Y",OR(ISNUMBER(Brand_Log!V98),TRIM(Brand_Log!W98)&lt;&gt;"")),Brand_Log!G98,"")</f>
        <v/>
      </c>
      <c r="C1298" s="17">
        <f>IF(B1298="","","brand")</f>
        <v/>
      </c>
      <c r="D1298" s="17">
        <f>IF(B1298="","",Brand_Log!$A98&amp;"")</f>
        <v/>
      </c>
      <c r="E1298" s="17">
        <f>IF(B1298="","",IF(Brand_Log!B98="","",Brand_Log!B98&amp;""))</f>
        <v/>
      </c>
      <c r="F1298" s="17">
        <f>IF(B1298="","","budget_probe")</f>
        <v/>
      </c>
      <c r="G1298" s="17">
        <f>IF(B1298="","",IF(ISNUMBER(Brand_Log!V98),Brand_Log!V98,""))</f>
        <v/>
      </c>
      <c r="H1298" s="17">
        <f>IF(B1298="","",IF(Brand_Log!W98="","",Brand_Log!W98&amp;""))</f>
        <v/>
      </c>
      <c r="I1298" s="17">
        <f>IF(B1298="","",IF(Brand_Log!N98="","",Brand_Log!N98&amp;""))</f>
        <v/>
      </c>
      <c r="J1298" s="17">
        <f>IF(B1298="","","after_1500")</f>
        <v/>
      </c>
      <c r="K1298" t="inlineStr">
        <is>
          <t>brand budget_probe after $1,500</t>
        </is>
      </c>
    </row>
    <row r="1299">
      <c r="A1299" s="17">
        <f>IF(B1299="","",B1299+(7*1000+98)/10000000)</f>
        <v/>
      </c>
      <c r="B1299" s="23">
        <f>IF(AND(Brand_Log!AN99=1,Brand_Log!U99="Y",OR(ISNUMBER(Brand_Log!V99),TRIM(Brand_Log!W99)&lt;&gt;"")),Brand_Log!G99,"")</f>
        <v/>
      </c>
      <c r="C1299" s="17">
        <f>IF(B1299="","","brand")</f>
        <v/>
      </c>
      <c r="D1299" s="17">
        <f>IF(B1299="","",Brand_Log!$A99&amp;"")</f>
        <v/>
      </c>
      <c r="E1299" s="17">
        <f>IF(B1299="","",IF(Brand_Log!B99="","",Brand_Log!B99&amp;""))</f>
        <v/>
      </c>
      <c r="F1299" s="17">
        <f>IF(B1299="","","budget_probe")</f>
        <v/>
      </c>
      <c r="G1299" s="17">
        <f>IF(B1299="","",IF(ISNUMBER(Brand_Log!V99),Brand_Log!V99,""))</f>
        <v/>
      </c>
      <c r="H1299" s="17">
        <f>IF(B1299="","",IF(Brand_Log!W99="","",Brand_Log!W99&amp;""))</f>
        <v/>
      </c>
      <c r="I1299" s="17">
        <f>IF(B1299="","",IF(Brand_Log!N99="","",Brand_Log!N99&amp;""))</f>
        <v/>
      </c>
      <c r="J1299" s="17">
        <f>IF(B1299="","","after_1500")</f>
        <v/>
      </c>
      <c r="K1299" t="inlineStr">
        <is>
          <t>brand budget_probe after $1,500</t>
        </is>
      </c>
    </row>
    <row r="1300">
      <c r="A1300" s="17">
        <f>IF(B1300="","",B1300+(7*1000+99)/10000000)</f>
        <v/>
      </c>
      <c r="B1300" s="23">
        <f>IF(AND(Brand_Log!AN100=1,Brand_Log!U100="Y",OR(ISNUMBER(Brand_Log!V100),TRIM(Brand_Log!W100)&lt;&gt;"")),Brand_Log!G100,"")</f>
        <v/>
      </c>
      <c r="C1300" s="17">
        <f>IF(B1300="","","brand")</f>
        <v/>
      </c>
      <c r="D1300" s="17">
        <f>IF(B1300="","",Brand_Log!$A100&amp;"")</f>
        <v/>
      </c>
      <c r="E1300" s="17">
        <f>IF(B1300="","",IF(Brand_Log!B100="","",Brand_Log!B100&amp;""))</f>
        <v/>
      </c>
      <c r="F1300" s="17">
        <f>IF(B1300="","","budget_probe")</f>
        <v/>
      </c>
      <c r="G1300" s="17">
        <f>IF(B1300="","",IF(ISNUMBER(Brand_Log!V100),Brand_Log!V100,""))</f>
        <v/>
      </c>
      <c r="H1300" s="17">
        <f>IF(B1300="","",IF(Brand_Log!W100="","",Brand_Log!W100&amp;""))</f>
        <v/>
      </c>
      <c r="I1300" s="17">
        <f>IF(B1300="","",IF(Brand_Log!N100="","",Brand_Log!N100&amp;""))</f>
        <v/>
      </c>
      <c r="J1300" s="17">
        <f>IF(B1300="","","after_1500")</f>
        <v/>
      </c>
      <c r="K1300" t="inlineStr">
        <is>
          <t>brand budget_probe after $1,500</t>
        </is>
      </c>
    </row>
    <row r="1301">
      <c r="A1301" s="17">
        <f>IF(B1301="","",B1301+(7*1000+100)/10000000)</f>
        <v/>
      </c>
      <c r="B1301" s="23">
        <f>IF(AND(Brand_Log!AN101=1,Brand_Log!U101="Y",OR(ISNUMBER(Brand_Log!V101),TRIM(Brand_Log!W101)&lt;&gt;"")),Brand_Log!G101,"")</f>
        <v/>
      </c>
      <c r="C1301" s="17">
        <f>IF(B1301="","","brand")</f>
        <v/>
      </c>
      <c r="D1301" s="17">
        <f>IF(B1301="","",Brand_Log!$A101&amp;"")</f>
        <v/>
      </c>
      <c r="E1301" s="17">
        <f>IF(B1301="","",IF(Brand_Log!B101="","",Brand_Log!B101&amp;""))</f>
        <v/>
      </c>
      <c r="F1301" s="17">
        <f>IF(B1301="","","budget_probe")</f>
        <v/>
      </c>
      <c r="G1301" s="17">
        <f>IF(B1301="","",IF(ISNUMBER(Brand_Log!V101),Brand_Log!V101,""))</f>
        <v/>
      </c>
      <c r="H1301" s="17">
        <f>IF(B1301="","",IF(Brand_Log!W101="","",Brand_Log!W101&amp;""))</f>
        <v/>
      </c>
      <c r="I1301" s="17">
        <f>IF(B1301="","",IF(Brand_Log!N101="","",Brand_Log!N101&amp;""))</f>
        <v/>
      </c>
      <c r="J1301" s="17">
        <f>IF(B1301="","","after_1500")</f>
        <v/>
      </c>
      <c r="K1301" t="inlineStr">
        <is>
          <t>brand budget_probe after $1,500</t>
        </is>
      </c>
    </row>
    <row r="1302">
      <c r="A1302" s="17">
        <f>IF(B1302="","",B1302+(7*1000+101)/10000000)</f>
        <v/>
      </c>
      <c r="B1302" s="23">
        <f>IF(AND(Brand_Log!AN102=1,Brand_Log!U102="Y",OR(ISNUMBER(Brand_Log!V102),TRIM(Brand_Log!W102)&lt;&gt;"")),Brand_Log!G102,"")</f>
        <v/>
      </c>
      <c r="C1302" s="17">
        <f>IF(B1302="","","brand")</f>
        <v/>
      </c>
      <c r="D1302" s="17">
        <f>IF(B1302="","",Brand_Log!$A102&amp;"")</f>
        <v/>
      </c>
      <c r="E1302" s="17">
        <f>IF(B1302="","",IF(Brand_Log!B102="","",Brand_Log!B102&amp;""))</f>
        <v/>
      </c>
      <c r="F1302" s="17">
        <f>IF(B1302="","","budget_probe")</f>
        <v/>
      </c>
      <c r="G1302" s="17">
        <f>IF(B1302="","",IF(ISNUMBER(Brand_Log!V102),Brand_Log!V102,""))</f>
        <v/>
      </c>
      <c r="H1302" s="17">
        <f>IF(B1302="","",IF(Brand_Log!W102="","",Brand_Log!W102&amp;""))</f>
        <v/>
      </c>
      <c r="I1302" s="17">
        <f>IF(B1302="","",IF(Brand_Log!N102="","",Brand_Log!N102&amp;""))</f>
        <v/>
      </c>
      <c r="J1302" s="17">
        <f>IF(B1302="","","after_1500")</f>
        <v/>
      </c>
      <c r="K1302" t="inlineStr">
        <is>
          <t>brand budget_probe after $1,500</t>
        </is>
      </c>
    </row>
    <row r="1303">
      <c r="A1303" s="17">
        <f>IF(B1303="","",B1303+(7*1000+102)/10000000)</f>
        <v/>
      </c>
      <c r="B1303" s="23">
        <f>IF(AND(Brand_Log!AN103=1,Brand_Log!U103="Y",OR(ISNUMBER(Brand_Log!V103),TRIM(Brand_Log!W103)&lt;&gt;"")),Brand_Log!G103,"")</f>
        <v/>
      </c>
      <c r="C1303" s="17">
        <f>IF(B1303="","","brand")</f>
        <v/>
      </c>
      <c r="D1303" s="17">
        <f>IF(B1303="","",Brand_Log!$A103&amp;"")</f>
        <v/>
      </c>
      <c r="E1303" s="17">
        <f>IF(B1303="","",IF(Brand_Log!B103="","",Brand_Log!B103&amp;""))</f>
        <v/>
      </c>
      <c r="F1303" s="17">
        <f>IF(B1303="","","budget_probe")</f>
        <v/>
      </c>
      <c r="G1303" s="17">
        <f>IF(B1303="","",IF(ISNUMBER(Brand_Log!V103),Brand_Log!V103,""))</f>
        <v/>
      </c>
      <c r="H1303" s="17">
        <f>IF(B1303="","",IF(Brand_Log!W103="","",Brand_Log!W103&amp;""))</f>
        <v/>
      </c>
      <c r="I1303" s="17">
        <f>IF(B1303="","",IF(Brand_Log!N103="","",Brand_Log!N103&amp;""))</f>
        <v/>
      </c>
      <c r="J1303" s="17">
        <f>IF(B1303="","","after_1500")</f>
        <v/>
      </c>
      <c r="K1303" t="inlineStr">
        <is>
          <t>brand budget_probe after $1,500</t>
        </is>
      </c>
    </row>
    <row r="1304">
      <c r="A1304" s="17">
        <f>IF(B1304="","",B1304+(7*1000+103)/10000000)</f>
        <v/>
      </c>
      <c r="B1304" s="23">
        <f>IF(AND(Brand_Log!AN104=1,Brand_Log!U104="Y",OR(ISNUMBER(Brand_Log!V104),TRIM(Brand_Log!W104)&lt;&gt;"")),Brand_Log!G104,"")</f>
        <v/>
      </c>
      <c r="C1304" s="17">
        <f>IF(B1304="","","brand")</f>
        <v/>
      </c>
      <c r="D1304" s="17">
        <f>IF(B1304="","",Brand_Log!$A104&amp;"")</f>
        <v/>
      </c>
      <c r="E1304" s="17">
        <f>IF(B1304="","",IF(Brand_Log!B104="","",Brand_Log!B104&amp;""))</f>
        <v/>
      </c>
      <c r="F1304" s="17">
        <f>IF(B1304="","","budget_probe")</f>
        <v/>
      </c>
      <c r="G1304" s="17">
        <f>IF(B1304="","",IF(ISNUMBER(Brand_Log!V104),Brand_Log!V104,""))</f>
        <v/>
      </c>
      <c r="H1304" s="17">
        <f>IF(B1304="","",IF(Brand_Log!W104="","",Brand_Log!W104&amp;""))</f>
        <v/>
      </c>
      <c r="I1304" s="17">
        <f>IF(B1304="","",IF(Brand_Log!N104="","",Brand_Log!N104&amp;""))</f>
        <v/>
      </c>
      <c r="J1304" s="17">
        <f>IF(B1304="","","after_1500")</f>
        <v/>
      </c>
      <c r="K1304" t="inlineStr">
        <is>
          <t>brand budget_probe after $1,500</t>
        </is>
      </c>
    </row>
    <row r="1305">
      <c r="A1305" s="17">
        <f>IF(B1305="","",B1305+(7*1000+104)/10000000)</f>
        <v/>
      </c>
      <c r="B1305" s="23">
        <f>IF(AND(Brand_Log!AN105=1,Brand_Log!U105="Y",OR(ISNUMBER(Brand_Log!V105),TRIM(Brand_Log!W105)&lt;&gt;"")),Brand_Log!G105,"")</f>
        <v/>
      </c>
      <c r="C1305" s="17">
        <f>IF(B1305="","","brand")</f>
        <v/>
      </c>
      <c r="D1305" s="17">
        <f>IF(B1305="","",Brand_Log!$A105&amp;"")</f>
        <v/>
      </c>
      <c r="E1305" s="17">
        <f>IF(B1305="","",IF(Brand_Log!B105="","",Brand_Log!B105&amp;""))</f>
        <v/>
      </c>
      <c r="F1305" s="17">
        <f>IF(B1305="","","budget_probe")</f>
        <v/>
      </c>
      <c r="G1305" s="17">
        <f>IF(B1305="","",IF(ISNUMBER(Brand_Log!V105),Brand_Log!V105,""))</f>
        <v/>
      </c>
      <c r="H1305" s="17">
        <f>IF(B1305="","",IF(Brand_Log!W105="","",Brand_Log!W105&amp;""))</f>
        <v/>
      </c>
      <c r="I1305" s="17">
        <f>IF(B1305="","",IF(Brand_Log!N105="","",Brand_Log!N105&amp;""))</f>
        <v/>
      </c>
      <c r="J1305" s="17">
        <f>IF(B1305="","","after_1500")</f>
        <v/>
      </c>
      <c r="K1305" t="inlineStr">
        <is>
          <t>brand budget_probe after $1,500</t>
        </is>
      </c>
    </row>
    <row r="1306">
      <c r="A1306" s="17">
        <f>IF(B1306="","",B1306+(7*1000+105)/10000000)</f>
        <v/>
      </c>
      <c r="B1306" s="23">
        <f>IF(AND(Brand_Log!AN106=1,Brand_Log!U106="Y",OR(ISNUMBER(Brand_Log!V106),TRIM(Brand_Log!W106)&lt;&gt;"")),Brand_Log!G106,"")</f>
        <v/>
      </c>
      <c r="C1306" s="17">
        <f>IF(B1306="","","brand")</f>
        <v/>
      </c>
      <c r="D1306" s="17">
        <f>IF(B1306="","",Brand_Log!$A106&amp;"")</f>
        <v/>
      </c>
      <c r="E1306" s="17">
        <f>IF(B1306="","",IF(Brand_Log!B106="","",Brand_Log!B106&amp;""))</f>
        <v/>
      </c>
      <c r="F1306" s="17">
        <f>IF(B1306="","","budget_probe")</f>
        <v/>
      </c>
      <c r="G1306" s="17">
        <f>IF(B1306="","",IF(ISNUMBER(Brand_Log!V106),Brand_Log!V106,""))</f>
        <v/>
      </c>
      <c r="H1306" s="17">
        <f>IF(B1306="","",IF(Brand_Log!W106="","",Brand_Log!W106&amp;""))</f>
        <v/>
      </c>
      <c r="I1306" s="17">
        <f>IF(B1306="","",IF(Brand_Log!N106="","",Brand_Log!N106&amp;""))</f>
        <v/>
      </c>
      <c r="J1306" s="17">
        <f>IF(B1306="","","after_1500")</f>
        <v/>
      </c>
      <c r="K1306" t="inlineStr">
        <is>
          <t>brand budget_probe after $1,500</t>
        </is>
      </c>
    </row>
    <row r="1307">
      <c r="A1307" s="17">
        <f>IF(B1307="","",B1307+(7*1000+106)/10000000)</f>
        <v/>
      </c>
      <c r="B1307" s="23">
        <f>IF(AND(Brand_Log!AN107=1,Brand_Log!U107="Y",OR(ISNUMBER(Brand_Log!V107),TRIM(Brand_Log!W107)&lt;&gt;"")),Brand_Log!G107,"")</f>
        <v/>
      </c>
      <c r="C1307" s="17">
        <f>IF(B1307="","","brand")</f>
        <v/>
      </c>
      <c r="D1307" s="17">
        <f>IF(B1307="","",Brand_Log!$A107&amp;"")</f>
        <v/>
      </c>
      <c r="E1307" s="17">
        <f>IF(B1307="","",IF(Brand_Log!B107="","",Brand_Log!B107&amp;""))</f>
        <v/>
      </c>
      <c r="F1307" s="17">
        <f>IF(B1307="","","budget_probe")</f>
        <v/>
      </c>
      <c r="G1307" s="17">
        <f>IF(B1307="","",IF(ISNUMBER(Brand_Log!V107),Brand_Log!V107,""))</f>
        <v/>
      </c>
      <c r="H1307" s="17">
        <f>IF(B1307="","",IF(Brand_Log!W107="","",Brand_Log!W107&amp;""))</f>
        <v/>
      </c>
      <c r="I1307" s="17">
        <f>IF(B1307="","",IF(Brand_Log!N107="","",Brand_Log!N107&amp;""))</f>
        <v/>
      </c>
      <c r="J1307" s="17">
        <f>IF(B1307="","","after_1500")</f>
        <v/>
      </c>
      <c r="K1307" t="inlineStr">
        <is>
          <t>brand budget_probe after $1,500</t>
        </is>
      </c>
    </row>
    <row r="1308">
      <c r="A1308" s="17">
        <f>IF(B1308="","",B1308+(7*1000+107)/10000000)</f>
        <v/>
      </c>
      <c r="B1308" s="23">
        <f>IF(AND(Brand_Log!AN108=1,Brand_Log!U108="Y",OR(ISNUMBER(Brand_Log!V108),TRIM(Brand_Log!W108)&lt;&gt;"")),Brand_Log!G108,"")</f>
        <v/>
      </c>
      <c r="C1308" s="17">
        <f>IF(B1308="","","brand")</f>
        <v/>
      </c>
      <c r="D1308" s="17">
        <f>IF(B1308="","",Brand_Log!$A108&amp;"")</f>
        <v/>
      </c>
      <c r="E1308" s="17">
        <f>IF(B1308="","",IF(Brand_Log!B108="","",Brand_Log!B108&amp;""))</f>
        <v/>
      </c>
      <c r="F1308" s="17">
        <f>IF(B1308="","","budget_probe")</f>
        <v/>
      </c>
      <c r="G1308" s="17">
        <f>IF(B1308="","",IF(ISNUMBER(Brand_Log!V108),Brand_Log!V108,""))</f>
        <v/>
      </c>
      <c r="H1308" s="17">
        <f>IF(B1308="","",IF(Brand_Log!W108="","",Brand_Log!W108&amp;""))</f>
        <v/>
      </c>
      <c r="I1308" s="17">
        <f>IF(B1308="","",IF(Brand_Log!N108="","",Brand_Log!N108&amp;""))</f>
        <v/>
      </c>
      <c r="J1308" s="17">
        <f>IF(B1308="","","after_1500")</f>
        <v/>
      </c>
      <c r="K1308" t="inlineStr">
        <is>
          <t>brand budget_probe after $1,500</t>
        </is>
      </c>
    </row>
    <row r="1309">
      <c r="A1309" s="17">
        <f>IF(B1309="","",B1309+(7*1000+108)/10000000)</f>
        <v/>
      </c>
      <c r="B1309" s="23">
        <f>IF(AND(Brand_Log!AN109=1,Brand_Log!U109="Y",OR(ISNUMBER(Brand_Log!V109),TRIM(Brand_Log!W109)&lt;&gt;"")),Brand_Log!G109,"")</f>
        <v/>
      </c>
      <c r="C1309" s="17">
        <f>IF(B1309="","","brand")</f>
        <v/>
      </c>
      <c r="D1309" s="17">
        <f>IF(B1309="","",Brand_Log!$A109&amp;"")</f>
        <v/>
      </c>
      <c r="E1309" s="17">
        <f>IF(B1309="","",IF(Brand_Log!B109="","",Brand_Log!B109&amp;""))</f>
        <v/>
      </c>
      <c r="F1309" s="17">
        <f>IF(B1309="","","budget_probe")</f>
        <v/>
      </c>
      <c r="G1309" s="17">
        <f>IF(B1309="","",IF(ISNUMBER(Brand_Log!V109),Brand_Log!V109,""))</f>
        <v/>
      </c>
      <c r="H1309" s="17">
        <f>IF(B1309="","",IF(Brand_Log!W109="","",Brand_Log!W109&amp;""))</f>
        <v/>
      </c>
      <c r="I1309" s="17">
        <f>IF(B1309="","",IF(Brand_Log!N109="","",Brand_Log!N109&amp;""))</f>
        <v/>
      </c>
      <c r="J1309" s="17">
        <f>IF(B1309="","","after_1500")</f>
        <v/>
      </c>
      <c r="K1309" t="inlineStr">
        <is>
          <t>brand budget_probe after $1,500</t>
        </is>
      </c>
    </row>
    <row r="1310">
      <c r="A1310" s="17">
        <f>IF(B1310="","",B1310+(7*1000+109)/10000000)</f>
        <v/>
      </c>
      <c r="B1310" s="23">
        <f>IF(AND(Brand_Log!AN110=1,Brand_Log!U110="Y",OR(ISNUMBER(Brand_Log!V110),TRIM(Brand_Log!W110)&lt;&gt;"")),Brand_Log!G110,"")</f>
        <v/>
      </c>
      <c r="C1310" s="17">
        <f>IF(B1310="","","brand")</f>
        <v/>
      </c>
      <c r="D1310" s="17">
        <f>IF(B1310="","",Brand_Log!$A110&amp;"")</f>
        <v/>
      </c>
      <c r="E1310" s="17">
        <f>IF(B1310="","",IF(Brand_Log!B110="","",Brand_Log!B110&amp;""))</f>
        <v/>
      </c>
      <c r="F1310" s="17">
        <f>IF(B1310="","","budget_probe")</f>
        <v/>
      </c>
      <c r="G1310" s="17">
        <f>IF(B1310="","",IF(ISNUMBER(Brand_Log!V110),Brand_Log!V110,""))</f>
        <v/>
      </c>
      <c r="H1310" s="17">
        <f>IF(B1310="","",IF(Brand_Log!W110="","",Brand_Log!W110&amp;""))</f>
        <v/>
      </c>
      <c r="I1310" s="17">
        <f>IF(B1310="","",IF(Brand_Log!N110="","",Brand_Log!N110&amp;""))</f>
        <v/>
      </c>
      <c r="J1310" s="17">
        <f>IF(B1310="","","after_1500")</f>
        <v/>
      </c>
      <c r="K1310" t="inlineStr">
        <is>
          <t>brand budget_probe after $1,500</t>
        </is>
      </c>
    </row>
    <row r="1311">
      <c r="A1311" s="17">
        <f>IF(B1311="","",B1311+(7*1000+110)/10000000)</f>
        <v/>
      </c>
      <c r="B1311" s="23">
        <f>IF(AND(Brand_Log!AN111=1,Brand_Log!U111="Y",OR(ISNUMBER(Brand_Log!V111),TRIM(Brand_Log!W111)&lt;&gt;"")),Brand_Log!G111,"")</f>
        <v/>
      </c>
      <c r="C1311" s="17">
        <f>IF(B1311="","","brand")</f>
        <v/>
      </c>
      <c r="D1311" s="17">
        <f>IF(B1311="","",Brand_Log!$A111&amp;"")</f>
        <v/>
      </c>
      <c r="E1311" s="17">
        <f>IF(B1311="","",IF(Brand_Log!B111="","",Brand_Log!B111&amp;""))</f>
        <v/>
      </c>
      <c r="F1311" s="17">
        <f>IF(B1311="","","budget_probe")</f>
        <v/>
      </c>
      <c r="G1311" s="17">
        <f>IF(B1311="","",IF(ISNUMBER(Brand_Log!V111),Brand_Log!V111,""))</f>
        <v/>
      </c>
      <c r="H1311" s="17">
        <f>IF(B1311="","",IF(Brand_Log!W111="","",Brand_Log!W111&amp;""))</f>
        <v/>
      </c>
      <c r="I1311" s="17">
        <f>IF(B1311="","",IF(Brand_Log!N111="","",Brand_Log!N111&amp;""))</f>
        <v/>
      </c>
      <c r="J1311" s="17">
        <f>IF(B1311="","","after_1500")</f>
        <v/>
      </c>
      <c r="K1311" t="inlineStr">
        <is>
          <t>brand budget_probe after $1,500</t>
        </is>
      </c>
    </row>
    <row r="1312">
      <c r="A1312" s="17">
        <f>IF(B1312="","",B1312+(7*1000+111)/10000000)</f>
        <v/>
      </c>
      <c r="B1312" s="23">
        <f>IF(AND(Brand_Log!AN112=1,Brand_Log!U112="Y",OR(ISNUMBER(Brand_Log!V112),TRIM(Brand_Log!W112)&lt;&gt;"")),Brand_Log!G112,"")</f>
        <v/>
      </c>
      <c r="C1312" s="17">
        <f>IF(B1312="","","brand")</f>
        <v/>
      </c>
      <c r="D1312" s="17">
        <f>IF(B1312="","",Brand_Log!$A112&amp;"")</f>
        <v/>
      </c>
      <c r="E1312" s="17">
        <f>IF(B1312="","",IF(Brand_Log!B112="","",Brand_Log!B112&amp;""))</f>
        <v/>
      </c>
      <c r="F1312" s="17">
        <f>IF(B1312="","","budget_probe")</f>
        <v/>
      </c>
      <c r="G1312" s="17">
        <f>IF(B1312="","",IF(ISNUMBER(Brand_Log!V112),Brand_Log!V112,""))</f>
        <v/>
      </c>
      <c r="H1312" s="17">
        <f>IF(B1312="","",IF(Brand_Log!W112="","",Brand_Log!W112&amp;""))</f>
        <v/>
      </c>
      <c r="I1312" s="17">
        <f>IF(B1312="","",IF(Brand_Log!N112="","",Brand_Log!N112&amp;""))</f>
        <v/>
      </c>
      <c r="J1312" s="17">
        <f>IF(B1312="","","after_1500")</f>
        <v/>
      </c>
      <c r="K1312" t="inlineStr">
        <is>
          <t>brand budget_probe after $1,500</t>
        </is>
      </c>
    </row>
    <row r="1313">
      <c r="A1313" s="17">
        <f>IF(B1313="","",B1313+(7*1000+112)/10000000)</f>
        <v/>
      </c>
      <c r="B1313" s="23">
        <f>IF(AND(Brand_Log!AN113=1,Brand_Log!U113="Y",OR(ISNUMBER(Brand_Log!V113),TRIM(Brand_Log!W113)&lt;&gt;"")),Brand_Log!G113,"")</f>
        <v/>
      </c>
      <c r="C1313" s="17">
        <f>IF(B1313="","","brand")</f>
        <v/>
      </c>
      <c r="D1313" s="17">
        <f>IF(B1313="","",Brand_Log!$A113&amp;"")</f>
        <v/>
      </c>
      <c r="E1313" s="17">
        <f>IF(B1313="","",IF(Brand_Log!B113="","",Brand_Log!B113&amp;""))</f>
        <v/>
      </c>
      <c r="F1313" s="17">
        <f>IF(B1313="","","budget_probe")</f>
        <v/>
      </c>
      <c r="G1313" s="17">
        <f>IF(B1313="","",IF(ISNUMBER(Brand_Log!V113),Brand_Log!V113,""))</f>
        <v/>
      </c>
      <c r="H1313" s="17">
        <f>IF(B1313="","",IF(Brand_Log!W113="","",Brand_Log!W113&amp;""))</f>
        <v/>
      </c>
      <c r="I1313" s="17">
        <f>IF(B1313="","",IF(Brand_Log!N113="","",Brand_Log!N113&amp;""))</f>
        <v/>
      </c>
      <c r="J1313" s="17">
        <f>IF(B1313="","","after_1500")</f>
        <v/>
      </c>
      <c r="K1313" t="inlineStr">
        <is>
          <t>brand budget_probe after $1,500</t>
        </is>
      </c>
    </row>
    <row r="1314">
      <c r="A1314" s="17">
        <f>IF(B1314="","",B1314+(7*1000+113)/10000000)</f>
        <v/>
      </c>
      <c r="B1314" s="23">
        <f>IF(AND(Brand_Log!AN114=1,Brand_Log!U114="Y",OR(ISNUMBER(Brand_Log!V114),TRIM(Brand_Log!W114)&lt;&gt;"")),Brand_Log!G114,"")</f>
        <v/>
      </c>
      <c r="C1314" s="17">
        <f>IF(B1314="","","brand")</f>
        <v/>
      </c>
      <c r="D1314" s="17">
        <f>IF(B1314="","",Brand_Log!$A114&amp;"")</f>
        <v/>
      </c>
      <c r="E1314" s="17">
        <f>IF(B1314="","",IF(Brand_Log!B114="","",Brand_Log!B114&amp;""))</f>
        <v/>
      </c>
      <c r="F1314" s="17">
        <f>IF(B1314="","","budget_probe")</f>
        <v/>
      </c>
      <c r="G1314" s="17">
        <f>IF(B1314="","",IF(ISNUMBER(Brand_Log!V114),Brand_Log!V114,""))</f>
        <v/>
      </c>
      <c r="H1314" s="17">
        <f>IF(B1314="","",IF(Brand_Log!W114="","",Brand_Log!W114&amp;""))</f>
        <v/>
      </c>
      <c r="I1314" s="17">
        <f>IF(B1314="","",IF(Brand_Log!N114="","",Brand_Log!N114&amp;""))</f>
        <v/>
      </c>
      <c r="J1314" s="17">
        <f>IF(B1314="","","after_1500")</f>
        <v/>
      </c>
      <c r="K1314" t="inlineStr">
        <is>
          <t>brand budget_probe after $1,500</t>
        </is>
      </c>
    </row>
    <row r="1315">
      <c r="A1315" s="17">
        <f>IF(B1315="","",B1315+(7*1000+114)/10000000)</f>
        <v/>
      </c>
      <c r="B1315" s="23">
        <f>IF(AND(Brand_Log!AN115=1,Brand_Log!U115="Y",OR(ISNUMBER(Brand_Log!V115),TRIM(Brand_Log!W115)&lt;&gt;"")),Brand_Log!G115,"")</f>
        <v/>
      </c>
      <c r="C1315" s="17">
        <f>IF(B1315="","","brand")</f>
        <v/>
      </c>
      <c r="D1315" s="17">
        <f>IF(B1315="","",Brand_Log!$A115&amp;"")</f>
        <v/>
      </c>
      <c r="E1315" s="17">
        <f>IF(B1315="","",IF(Brand_Log!B115="","",Brand_Log!B115&amp;""))</f>
        <v/>
      </c>
      <c r="F1315" s="17">
        <f>IF(B1315="","","budget_probe")</f>
        <v/>
      </c>
      <c r="G1315" s="17">
        <f>IF(B1315="","",IF(ISNUMBER(Brand_Log!V115),Brand_Log!V115,""))</f>
        <v/>
      </c>
      <c r="H1315" s="17">
        <f>IF(B1315="","",IF(Brand_Log!W115="","",Brand_Log!W115&amp;""))</f>
        <v/>
      </c>
      <c r="I1315" s="17">
        <f>IF(B1315="","",IF(Brand_Log!N115="","",Brand_Log!N115&amp;""))</f>
        <v/>
      </c>
      <c r="J1315" s="17">
        <f>IF(B1315="","","after_1500")</f>
        <v/>
      </c>
      <c r="K1315" t="inlineStr">
        <is>
          <t>brand budget_probe after $1,500</t>
        </is>
      </c>
    </row>
    <row r="1316">
      <c r="A1316" s="17">
        <f>IF(B1316="","",B1316+(7*1000+115)/10000000)</f>
        <v/>
      </c>
      <c r="B1316" s="23">
        <f>IF(AND(Brand_Log!AN116=1,Brand_Log!U116="Y",OR(ISNUMBER(Brand_Log!V116),TRIM(Brand_Log!W116)&lt;&gt;"")),Brand_Log!G116,"")</f>
        <v/>
      </c>
      <c r="C1316" s="17">
        <f>IF(B1316="","","brand")</f>
        <v/>
      </c>
      <c r="D1316" s="17">
        <f>IF(B1316="","",Brand_Log!$A116&amp;"")</f>
        <v/>
      </c>
      <c r="E1316" s="17">
        <f>IF(B1316="","",IF(Brand_Log!B116="","",Brand_Log!B116&amp;""))</f>
        <v/>
      </c>
      <c r="F1316" s="17">
        <f>IF(B1316="","","budget_probe")</f>
        <v/>
      </c>
      <c r="G1316" s="17">
        <f>IF(B1316="","",IF(ISNUMBER(Brand_Log!V116),Brand_Log!V116,""))</f>
        <v/>
      </c>
      <c r="H1316" s="17">
        <f>IF(B1316="","",IF(Brand_Log!W116="","",Brand_Log!W116&amp;""))</f>
        <v/>
      </c>
      <c r="I1316" s="17">
        <f>IF(B1316="","",IF(Brand_Log!N116="","",Brand_Log!N116&amp;""))</f>
        <v/>
      </c>
      <c r="J1316" s="17">
        <f>IF(B1316="","","after_1500")</f>
        <v/>
      </c>
      <c r="K1316" t="inlineStr">
        <is>
          <t>brand budget_probe after $1,500</t>
        </is>
      </c>
    </row>
    <row r="1317">
      <c r="A1317" s="17">
        <f>IF(B1317="","",B1317+(7*1000+116)/10000000)</f>
        <v/>
      </c>
      <c r="B1317" s="23">
        <f>IF(AND(Brand_Log!AN117=1,Brand_Log!U117="Y",OR(ISNUMBER(Brand_Log!V117),TRIM(Brand_Log!W117)&lt;&gt;"")),Brand_Log!G117,"")</f>
        <v/>
      </c>
      <c r="C1317" s="17">
        <f>IF(B1317="","","brand")</f>
        <v/>
      </c>
      <c r="D1317" s="17">
        <f>IF(B1317="","",Brand_Log!$A117&amp;"")</f>
        <v/>
      </c>
      <c r="E1317" s="17">
        <f>IF(B1317="","",IF(Brand_Log!B117="","",Brand_Log!B117&amp;""))</f>
        <v/>
      </c>
      <c r="F1317" s="17">
        <f>IF(B1317="","","budget_probe")</f>
        <v/>
      </c>
      <c r="G1317" s="17">
        <f>IF(B1317="","",IF(ISNUMBER(Brand_Log!V117),Brand_Log!V117,""))</f>
        <v/>
      </c>
      <c r="H1317" s="17">
        <f>IF(B1317="","",IF(Brand_Log!W117="","",Brand_Log!W117&amp;""))</f>
        <v/>
      </c>
      <c r="I1317" s="17">
        <f>IF(B1317="","",IF(Brand_Log!N117="","",Brand_Log!N117&amp;""))</f>
        <v/>
      </c>
      <c r="J1317" s="17">
        <f>IF(B1317="","","after_1500")</f>
        <v/>
      </c>
      <c r="K1317" t="inlineStr">
        <is>
          <t>brand budget_probe after $1,500</t>
        </is>
      </c>
    </row>
    <row r="1318">
      <c r="A1318" s="17">
        <f>IF(B1318="","",B1318+(7*1000+117)/10000000)</f>
        <v/>
      </c>
      <c r="B1318" s="23">
        <f>IF(AND(Brand_Log!AN118=1,Brand_Log!U118="Y",OR(ISNUMBER(Brand_Log!V118),TRIM(Brand_Log!W118)&lt;&gt;"")),Brand_Log!G118,"")</f>
        <v/>
      </c>
      <c r="C1318" s="17">
        <f>IF(B1318="","","brand")</f>
        <v/>
      </c>
      <c r="D1318" s="17">
        <f>IF(B1318="","",Brand_Log!$A118&amp;"")</f>
        <v/>
      </c>
      <c r="E1318" s="17">
        <f>IF(B1318="","",IF(Brand_Log!B118="","",Brand_Log!B118&amp;""))</f>
        <v/>
      </c>
      <c r="F1318" s="17">
        <f>IF(B1318="","","budget_probe")</f>
        <v/>
      </c>
      <c r="G1318" s="17">
        <f>IF(B1318="","",IF(ISNUMBER(Brand_Log!V118),Brand_Log!V118,""))</f>
        <v/>
      </c>
      <c r="H1318" s="17">
        <f>IF(B1318="","",IF(Brand_Log!W118="","",Brand_Log!W118&amp;""))</f>
        <v/>
      </c>
      <c r="I1318" s="17">
        <f>IF(B1318="","",IF(Brand_Log!N118="","",Brand_Log!N118&amp;""))</f>
        <v/>
      </c>
      <c r="J1318" s="17">
        <f>IF(B1318="","","after_1500")</f>
        <v/>
      </c>
      <c r="K1318" t="inlineStr">
        <is>
          <t>brand budget_probe after $1,500</t>
        </is>
      </c>
    </row>
    <row r="1319">
      <c r="A1319" s="17">
        <f>IF(B1319="","",B1319+(7*1000+118)/10000000)</f>
        <v/>
      </c>
      <c r="B1319" s="23">
        <f>IF(AND(Brand_Log!AN119=1,Brand_Log!U119="Y",OR(ISNUMBER(Brand_Log!V119),TRIM(Brand_Log!W119)&lt;&gt;"")),Brand_Log!G119,"")</f>
        <v/>
      </c>
      <c r="C1319" s="17">
        <f>IF(B1319="","","brand")</f>
        <v/>
      </c>
      <c r="D1319" s="17">
        <f>IF(B1319="","",Brand_Log!$A119&amp;"")</f>
        <v/>
      </c>
      <c r="E1319" s="17">
        <f>IF(B1319="","",IF(Brand_Log!B119="","",Brand_Log!B119&amp;""))</f>
        <v/>
      </c>
      <c r="F1319" s="17">
        <f>IF(B1319="","","budget_probe")</f>
        <v/>
      </c>
      <c r="G1319" s="17">
        <f>IF(B1319="","",IF(ISNUMBER(Brand_Log!V119),Brand_Log!V119,""))</f>
        <v/>
      </c>
      <c r="H1319" s="17">
        <f>IF(B1319="","",IF(Brand_Log!W119="","",Brand_Log!W119&amp;""))</f>
        <v/>
      </c>
      <c r="I1319" s="17">
        <f>IF(B1319="","",IF(Brand_Log!N119="","",Brand_Log!N119&amp;""))</f>
        <v/>
      </c>
      <c r="J1319" s="17">
        <f>IF(B1319="","","after_1500")</f>
        <v/>
      </c>
      <c r="K1319" t="inlineStr">
        <is>
          <t>brand budget_probe after $1,500</t>
        </is>
      </c>
    </row>
    <row r="1320">
      <c r="A1320" s="17">
        <f>IF(B1320="","",B1320+(7*1000+119)/10000000)</f>
        <v/>
      </c>
      <c r="B1320" s="23">
        <f>IF(AND(Brand_Log!AN120=1,Brand_Log!U120="Y",OR(ISNUMBER(Brand_Log!V120),TRIM(Brand_Log!W120)&lt;&gt;"")),Brand_Log!G120,"")</f>
        <v/>
      </c>
      <c r="C1320" s="17">
        <f>IF(B1320="","","brand")</f>
        <v/>
      </c>
      <c r="D1320" s="17">
        <f>IF(B1320="","",Brand_Log!$A120&amp;"")</f>
        <v/>
      </c>
      <c r="E1320" s="17">
        <f>IF(B1320="","",IF(Brand_Log!B120="","",Brand_Log!B120&amp;""))</f>
        <v/>
      </c>
      <c r="F1320" s="17">
        <f>IF(B1320="","","budget_probe")</f>
        <v/>
      </c>
      <c r="G1320" s="17">
        <f>IF(B1320="","",IF(ISNUMBER(Brand_Log!V120),Brand_Log!V120,""))</f>
        <v/>
      </c>
      <c r="H1320" s="17">
        <f>IF(B1320="","",IF(Brand_Log!W120="","",Brand_Log!W120&amp;""))</f>
        <v/>
      </c>
      <c r="I1320" s="17">
        <f>IF(B1320="","",IF(Brand_Log!N120="","",Brand_Log!N120&amp;""))</f>
        <v/>
      </c>
      <c r="J1320" s="17">
        <f>IF(B1320="","","after_1500")</f>
        <v/>
      </c>
      <c r="K1320" t="inlineStr">
        <is>
          <t>brand budget_probe after $1,500</t>
        </is>
      </c>
    </row>
    <row r="1321">
      <c r="A1321" s="17">
        <f>IF(B1321="","",B1321+(7*1000+120)/10000000)</f>
        <v/>
      </c>
      <c r="B1321" s="23">
        <f>IF(AND(Brand_Log!AN121=1,Brand_Log!U121="Y",OR(ISNUMBER(Brand_Log!V121),TRIM(Brand_Log!W121)&lt;&gt;"")),Brand_Log!G121,"")</f>
        <v/>
      </c>
      <c r="C1321" s="17">
        <f>IF(B1321="","","brand")</f>
        <v/>
      </c>
      <c r="D1321" s="17">
        <f>IF(B1321="","",Brand_Log!$A121&amp;"")</f>
        <v/>
      </c>
      <c r="E1321" s="17">
        <f>IF(B1321="","",IF(Brand_Log!B121="","",Brand_Log!B121&amp;""))</f>
        <v/>
      </c>
      <c r="F1321" s="17">
        <f>IF(B1321="","","budget_probe")</f>
        <v/>
      </c>
      <c r="G1321" s="17">
        <f>IF(B1321="","",IF(ISNUMBER(Brand_Log!V121),Brand_Log!V121,""))</f>
        <v/>
      </c>
      <c r="H1321" s="17">
        <f>IF(B1321="","",IF(Brand_Log!W121="","",Brand_Log!W121&amp;""))</f>
        <v/>
      </c>
      <c r="I1321" s="17">
        <f>IF(B1321="","",IF(Brand_Log!N121="","",Brand_Log!N121&amp;""))</f>
        <v/>
      </c>
      <c r="J1321" s="17">
        <f>IF(B1321="","","after_1500")</f>
        <v/>
      </c>
      <c r="K1321" t="inlineStr">
        <is>
          <t>brand budget_probe after $1,500</t>
        </is>
      </c>
    </row>
    <row r="1322">
      <c r="A1322" s="17">
        <f>IF(B1322="","",B1322+(7*1000+121)/10000000)</f>
        <v/>
      </c>
      <c r="B1322" s="23">
        <f>IF(AND(Brand_Log!AN122=1,Brand_Log!U122="Y",OR(ISNUMBER(Brand_Log!V122),TRIM(Brand_Log!W122)&lt;&gt;"")),Brand_Log!G122,"")</f>
        <v/>
      </c>
      <c r="C1322" s="17">
        <f>IF(B1322="","","brand")</f>
        <v/>
      </c>
      <c r="D1322" s="17">
        <f>IF(B1322="","",Brand_Log!$A122&amp;"")</f>
        <v/>
      </c>
      <c r="E1322" s="17">
        <f>IF(B1322="","",IF(Brand_Log!B122="","",Brand_Log!B122&amp;""))</f>
        <v/>
      </c>
      <c r="F1322" s="17">
        <f>IF(B1322="","","budget_probe")</f>
        <v/>
      </c>
      <c r="G1322" s="17">
        <f>IF(B1322="","",IF(ISNUMBER(Brand_Log!V122),Brand_Log!V122,""))</f>
        <v/>
      </c>
      <c r="H1322" s="17">
        <f>IF(B1322="","",IF(Brand_Log!W122="","",Brand_Log!W122&amp;""))</f>
        <v/>
      </c>
      <c r="I1322" s="17">
        <f>IF(B1322="","",IF(Brand_Log!N122="","",Brand_Log!N122&amp;""))</f>
        <v/>
      </c>
      <c r="J1322" s="17">
        <f>IF(B1322="","","after_1500")</f>
        <v/>
      </c>
      <c r="K1322" t="inlineStr">
        <is>
          <t>brand budget_probe after $1,500</t>
        </is>
      </c>
    </row>
    <row r="1323">
      <c r="A1323" s="17">
        <f>IF(B1323="","",B1323+(7*1000+122)/10000000)</f>
        <v/>
      </c>
      <c r="B1323" s="23">
        <f>IF(AND(Brand_Log!AN123=1,Brand_Log!U123="Y",OR(ISNUMBER(Brand_Log!V123),TRIM(Brand_Log!W123)&lt;&gt;"")),Brand_Log!G123,"")</f>
        <v/>
      </c>
      <c r="C1323" s="17">
        <f>IF(B1323="","","brand")</f>
        <v/>
      </c>
      <c r="D1323" s="17">
        <f>IF(B1323="","",Brand_Log!$A123&amp;"")</f>
        <v/>
      </c>
      <c r="E1323" s="17">
        <f>IF(B1323="","",IF(Brand_Log!B123="","",Brand_Log!B123&amp;""))</f>
        <v/>
      </c>
      <c r="F1323" s="17">
        <f>IF(B1323="","","budget_probe")</f>
        <v/>
      </c>
      <c r="G1323" s="17">
        <f>IF(B1323="","",IF(ISNUMBER(Brand_Log!V123),Brand_Log!V123,""))</f>
        <v/>
      </c>
      <c r="H1323" s="17">
        <f>IF(B1323="","",IF(Brand_Log!W123="","",Brand_Log!W123&amp;""))</f>
        <v/>
      </c>
      <c r="I1323" s="17">
        <f>IF(B1323="","",IF(Brand_Log!N123="","",Brand_Log!N123&amp;""))</f>
        <v/>
      </c>
      <c r="J1323" s="17">
        <f>IF(B1323="","","after_1500")</f>
        <v/>
      </c>
      <c r="K1323" t="inlineStr">
        <is>
          <t>brand budget_probe after $1,500</t>
        </is>
      </c>
    </row>
    <row r="1324">
      <c r="A1324" s="17">
        <f>IF(B1324="","",B1324+(7*1000+123)/10000000)</f>
        <v/>
      </c>
      <c r="B1324" s="23">
        <f>IF(AND(Brand_Log!AN124=1,Brand_Log!U124="Y",OR(ISNUMBER(Brand_Log!V124),TRIM(Brand_Log!W124)&lt;&gt;"")),Brand_Log!G124,"")</f>
        <v/>
      </c>
      <c r="C1324" s="17">
        <f>IF(B1324="","","brand")</f>
        <v/>
      </c>
      <c r="D1324" s="17">
        <f>IF(B1324="","",Brand_Log!$A124&amp;"")</f>
        <v/>
      </c>
      <c r="E1324" s="17">
        <f>IF(B1324="","",IF(Brand_Log!B124="","",Brand_Log!B124&amp;""))</f>
        <v/>
      </c>
      <c r="F1324" s="17">
        <f>IF(B1324="","","budget_probe")</f>
        <v/>
      </c>
      <c r="G1324" s="17">
        <f>IF(B1324="","",IF(ISNUMBER(Brand_Log!V124),Brand_Log!V124,""))</f>
        <v/>
      </c>
      <c r="H1324" s="17">
        <f>IF(B1324="","",IF(Brand_Log!W124="","",Brand_Log!W124&amp;""))</f>
        <v/>
      </c>
      <c r="I1324" s="17">
        <f>IF(B1324="","",IF(Brand_Log!N124="","",Brand_Log!N124&amp;""))</f>
        <v/>
      </c>
      <c r="J1324" s="17">
        <f>IF(B1324="","","after_1500")</f>
        <v/>
      </c>
      <c r="K1324" t="inlineStr">
        <is>
          <t>brand budget_probe after $1,500</t>
        </is>
      </c>
    </row>
    <row r="1325">
      <c r="A1325" s="17">
        <f>IF(B1325="","",B1325+(7*1000+124)/10000000)</f>
        <v/>
      </c>
      <c r="B1325" s="23">
        <f>IF(AND(Brand_Log!AN125=1,Brand_Log!U125="Y",OR(ISNUMBER(Brand_Log!V125),TRIM(Brand_Log!W125)&lt;&gt;"")),Brand_Log!G125,"")</f>
        <v/>
      </c>
      <c r="C1325" s="17">
        <f>IF(B1325="","","brand")</f>
        <v/>
      </c>
      <c r="D1325" s="17">
        <f>IF(B1325="","",Brand_Log!$A125&amp;"")</f>
        <v/>
      </c>
      <c r="E1325" s="17">
        <f>IF(B1325="","",IF(Brand_Log!B125="","",Brand_Log!B125&amp;""))</f>
        <v/>
      </c>
      <c r="F1325" s="17">
        <f>IF(B1325="","","budget_probe")</f>
        <v/>
      </c>
      <c r="G1325" s="17">
        <f>IF(B1325="","",IF(ISNUMBER(Brand_Log!V125),Brand_Log!V125,""))</f>
        <v/>
      </c>
      <c r="H1325" s="17">
        <f>IF(B1325="","",IF(Brand_Log!W125="","",Brand_Log!W125&amp;""))</f>
        <v/>
      </c>
      <c r="I1325" s="17">
        <f>IF(B1325="","",IF(Brand_Log!N125="","",Brand_Log!N125&amp;""))</f>
        <v/>
      </c>
      <c r="J1325" s="17">
        <f>IF(B1325="","","after_1500")</f>
        <v/>
      </c>
      <c r="K1325" t="inlineStr">
        <is>
          <t>brand budget_probe after $1,500</t>
        </is>
      </c>
    </row>
    <row r="1326">
      <c r="A1326" s="17">
        <f>IF(B1326="","",B1326+(7*1000+125)/10000000)</f>
        <v/>
      </c>
      <c r="B1326" s="23">
        <f>IF(AND(Brand_Log!AN126=1,Brand_Log!U126="Y",OR(ISNUMBER(Brand_Log!V126),TRIM(Brand_Log!W126)&lt;&gt;"")),Brand_Log!G126,"")</f>
        <v/>
      </c>
      <c r="C1326" s="17">
        <f>IF(B1326="","","brand")</f>
        <v/>
      </c>
      <c r="D1326" s="17">
        <f>IF(B1326="","",Brand_Log!$A126&amp;"")</f>
        <v/>
      </c>
      <c r="E1326" s="17">
        <f>IF(B1326="","",IF(Brand_Log!B126="","",Brand_Log!B126&amp;""))</f>
        <v/>
      </c>
      <c r="F1326" s="17">
        <f>IF(B1326="","","budget_probe")</f>
        <v/>
      </c>
      <c r="G1326" s="17">
        <f>IF(B1326="","",IF(ISNUMBER(Brand_Log!V126),Brand_Log!V126,""))</f>
        <v/>
      </c>
      <c r="H1326" s="17">
        <f>IF(B1326="","",IF(Brand_Log!W126="","",Brand_Log!W126&amp;""))</f>
        <v/>
      </c>
      <c r="I1326" s="17">
        <f>IF(B1326="","",IF(Brand_Log!N126="","",Brand_Log!N126&amp;""))</f>
        <v/>
      </c>
      <c r="J1326" s="17">
        <f>IF(B1326="","","after_1500")</f>
        <v/>
      </c>
      <c r="K1326" t="inlineStr">
        <is>
          <t>brand budget_probe after $1,500</t>
        </is>
      </c>
    </row>
    <row r="1327">
      <c r="A1327" s="17">
        <f>IF(B1327="","",B1327+(7*1000+126)/10000000)</f>
        <v/>
      </c>
      <c r="B1327" s="23">
        <f>IF(AND(Brand_Log!AN127=1,Brand_Log!U127="Y",OR(ISNUMBER(Brand_Log!V127),TRIM(Brand_Log!W127)&lt;&gt;"")),Brand_Log!G127,"")</f>
        <v/>
      </c>
      <c r="C1327" s="17">
        <f>IF(B1327="","","brand")</f>
        <v/>
      </c>
      <c r="D1327" s="17">
        <f>IF(B1327="","",Brand_Log!$A127&amp;"")</f>
        <v/>
      </c>
      <c r="E1327" s="17">
        <f>IF(B1327="","",IF(Brand_Log!B127="","",Brand_Log!B127&amp;""))</f>
        <v/>
      </c>
      <c r="F1327" s="17">
        <f>IF(B1327="","","budget_probe")</f>
        <v/>
      </c>
      <c r="G1327" s="17">
        <f>IF(B1327="","",IF(ISNUMBER(Brand_Log!V127),Brand_Log!V127,""))</f>
        <v/>
      </c>
      <c r="H1327" s="17">
        <f>IF(B1327="","",IF(Brand_Log!W127="","",Brand_Log!W127&amp;""))</f>
        <v/>
      </c>
      <c r="I1327" s="17">
        <f>IF(B1327="","",IF(Brand_Log!N127="","",Brand_Log!N127&amp;""))</f>
        <v/>
      </c>
      <c r="J1327" s="17">
        <f>IF(B1327="","","after_1500")</f>
        <v/>
      </c>
      <c r="K1327" t="inlineStr">
        <is>
          <t>brand budget_probe after $1,500</t>
        </is>
      </c>
    </row>
    <row r="1328">
      <c r="A1328" s="17">
        <f>IF(B1328="","",B1328+(7*1000+127)/10000000)</f>
        <v/>
      </c>
      <c r="B1328" s="23">
        <f>IF(AND(Brand_Log!AN128=1,Brand_Log!U128="Y",OR(ISNUMBER(Brand_Log!V128),TRIM(Brand_Log!W128)&lt;&gt;"")),Brand_Log!G128,"")</f>
        <v/>
      </c>
      <c r="C1328" s="17">
        <f>IF(B1328="","","brand")</f>
        <v/>
      </c>
      <c r="D1328" s="17">
        <f>IF(B1328="","",Brand_Log!$A128&amp;"")</f>
        <v/>
      </c>
      <c r="E1328" s="17">
        <f>IF(B1328="","",IF(Brand_Log!B128="","",Brand_Log!B128&amp;""))</f>
        <v/>
      </c>
      <c r="F1328" s="17">
        <f>IF(B1328="","","budget_probe")</f>
        <v/>
      </c>
      <c r="G1328" s="17">
        <f>IF(B1328="","",IF(ISNUMBER(Brand_Log!V128),Brand_Log!V128,""))</f>
        <v/>
      </c>
      <c r="H1328" s="17">
        <f>IF(B1328="","",IF(Brand_Log!W128="","",Brand_Log!W128&amp;""))</f>
        <v/>
      </c>
      <c r="I1328" s="17">
        <f>IF(B1328="","",IF(Brand_Log!N128="","",Brand_Log!N128&amp;""))</f>
        <v/>
      </c>
      <c r="J1328" s="17">
        <f>IF(B1328="","","after_1500")</f>
        <v/>
      </c>
      <c r="K1328" t="inlineStr">
        <is>
          <t>brand budget_probe after $1,500</t>
        </is>
      </c>
    </row>
    <row r="1329">
      <c r="A1329" s="17">
        <f>IF(B1329="","",B1329+(7*1000+128)/10000000)</f>
        <v/>
      </c>
      <c r="B1329" s="23">
        <f>IF(AND(Brand_Log!AN129=1,Brand_Log!U129="Y",OR(ISNUMBER(Brand_Log!V129),TRIM(Brand_Log!W129)&lt;&gt;"")),Brand_Log!G129,"")</f>
        <v/>
      </c>
      <c r="C1329" s="17">
        <f>IF(B1329="","","brand")</f>
        <v/>
      </c>
      <c r="D1329" s="17">
        <f>IF(B1329="","",Brand_Log!$A129&amp;"")</f>
        <v/>
      </c>
      <c r="E1329" s="17">
        <f>IF(B1329="","",IF(Brand_Log!B129="","",Brand_Log!B129&amp;""))</f>
        <v/>
      </c>
      <c r="F1329" s="17">
        <f>IF(B1329="","","budget_probe")</f>
        <v/>
      </c>
      <c r="G1329" s="17">
        <f>IF(B1329="","",IF(ISNUMBER(Brand_Log!V129),Brand_Log!V129,""))</f>
        <v/>
      </c>
      <c r="H1329" s="17">
        <f>IF(B1329="","",IF(Brand_Log!W129="","",Brand_Log!W129&amp;""))</f>
        <v/>
      </c>
      <c r="I1329" s="17">
        <f>IF(B1329="","",IF(Brand_Log!N129="","",Brand_Log!N129&amp;""))</f>
        <v/>
      </c>
      <c r="J1329" s="17">
        <f>IF(B1329="","","after_1500")</f>
        <v/>
      </c>
      <c r="K1329" t="inlineStr">
        <is>
          <t>brand budget_probe after $1,500</t>
        </is>
      </c>
    </row>
    <row r="1330">
      <c r="A1330" s="17">
        <f>IF(B1330="","",B1330+(7*1000+129)/10000000)</f>
        <v/>
      </c>
      <c r="B1330" s="23">
        <f>IF(AND(Brand_Log!AN130=1,Brand_Log!U130="Y",OR(ISNUMBER(Brand_Log!V130),TRIM(Brand_Log!W130)&lt;&gt;"")),Brand_Log!G130,"")</f>
        <v/>
      </c>
      <c r="C1330" s="17">
        <f>IF(B1330="","","brand")</f>
        <v/>
      </c>
      <c r="D1330" s="17">
        <f>IF(B1330="","",Brand_Log!$A130&amp;"")</f>
        <v/>
      </c>
      <c r="E1330" s="17">
        <f>IF(B1330="","",IF(Brand_Log!B130="","",Brand_Log!B130&amp;""))</f>
        <v/>
      </c>
      <c r="F1330" s="17">
        <f>IF(B1330="","","budget_probe")</f>
        <v/>
      </c>
      <c r="G1330" s="17">
        <f>IF(B1330="","",IF(ISNUMBER(Brand_Log!V130),Brand_Log!V130,""))</f>
        <v/>
      </c>
      <c r="H1330" s="17">
        <f>IF(B1330="","",IF(Brand_Log!W130="","",Brand_Log!W130&amp;""))</f>
        <v/>
      </c>
      <c r="I1330" s="17">
        <f>IF(B1330="","",IF(Brand_Log!N130="","",Brand_Log!N130&amp;""))</f>
        <v/>
      </c>
      <c r="J1330" s="17">
        <f>IF(B1330="","","after_1500")</f>
        <v/>
      </c>
      <c r="K1330" t="inlineStr">
        <is>
          <t>brand budget_probe after $1,500</t>
        </is>
      </c>
    </row>
    <row r="1331">
      <c r="A1331" s="17">
        <f>IF(B1331="","",B1331+(7*1000+130)/10000000)</f>
        <v/>
      </c>
      <c r="B1331" s="23">
        <f>IF(AND(Brand_Log!AN131=1,Brand_Log!U131="Y",OR(ISNUMBER(Brand_Log!V131),TRIM(Brand_Log!W131)&lt;&gt;"")),Brand_Log!G131,"")</f>
        <v/>
      </c>
      <c r="C1331" s="17">
        <f>IF(B1331="","","brand")</f>
        <v/>
      </c>
      <c r="D1331" s="17">
        <f>IF(B1331="","",Brand_Log!$A131&amp;"")</f>
        <v/>
      </c>
      <c r="E1331" s="17">
        <f>IF(B1331="","",IF(Brand_Log!B131="","",Brand_Log!B131&amp;""))</f>
        <v/>
      </c>
      <c r="F1331" s="17">
        <f>IF(B1331="","","budget_probe")</f>
        <v/>
      </c>
      <c r="G1331" s="17">
        <f>IF(B1331="","",IF(ISNUMBER(Brand_Log!V131),Brand_Log!V131,""))</f>
        <v/>
      </c>
      <c r="H1331" s="17">
        <f>IF(B1331="","",IF(Brand_Log!W131="","",Brand_Log!W131&amp;""))</f>
        <v/>
      </c>
      <c r="I1331" s="17">
        <f>IF(B1331="","",IF(Brand_Log!N131="","",Brand_Log!N131&amp;""))</f>
        <v/>
      </c>
      <c r="J1331" s="17">
        <f>IF(B1331="","","after_1500")</f>
        <v/>
      </c>
      <c r="K1331" t="inlineStr">
        <is>
          <t>brand budget_probe after $1,500</t>
        </is>
      </c>
    </row>
    <row r="1332">
      <c r="A1332" s="17">
        <f>IF(B1332="","",B1332+(7*1000+131)/10000000)</f>
        <v/>
      </c>
      <c r="B1332" s="23">
        <f>IF(AND(Brand_Log!AN132=1,Brand_Log!U132="Y",OR(ISNUMBER(Brand_Log!V132),TRIM(Brand_Log!W132)&lt;&gt;"")),Brand_Log!G132,"")</f>
        <v/>
      </c>
      <c r="C1332" s="17">
        <f>IF(B1332="","","brand")</f>
        <v/>
      </c>
      <c r="D1332" s="17">
        <f>IF(B1332="","",Brand_Log!$A132&amp;"")</f>
        <v/>
      </c>
      <c r="E1332" s="17">
        <f>IF(B1332="","",IF(Brand_Log!B132="","",Brand_Log!B132&amp;""))</f>
        <v/>
      </c>
      <c r="F1332" s="17">
        <f>IF(B1332="","","budget_probe")</f>
        <v/>
      </c>
      <c r="G1332" s="17">
        <f>IF(B1332="","",IF(ISNUMBER(Brand_Log!V132),Brand_Log!V132,""))</f>
        <v/>
      </c>
      <c r="H1332" s="17">
        <f>IF(B1332="","",IF(Brand_Log!W132="","",Brand_Log!W132&amp;""))</f>
        <v/>
      </c>
      <c r="I1332" s="17">
        <f>IF(B1332="","",IF(Brand_Log!N132="","",Brand_Log!N132&amp;""))</f>
        <v/>
      </c>
      <c r="J1332" s="17">
        <f>IF(B1332="","","after_1500")</f>
        <v/>
      </c>
      <c r="K1332" t="inlineStr">
        <is>
          <t>brand budget_probe after $1,500</t>
        </is>
      </c>
    </row>
    <row r="1333">
      <c r="A1333" s="17">
        <f>IF(B1333="","",B1333+(7*1000+132)/10000000)</f>
        <v/>
      </c>
      <c r="B1333" s="23">
        <f>IF(AND(Brand_Log!AN133=1,Brand_Log!U133="Y",OR(ISNUMBER(Brand_Log!V133),TRIM(Brand_Log!W133)&lt;&gt;"")),Brand_Log!G133,"")</f>
        <v/>
      </c>
      <c r="C1333" s="17">
        <f>IF(B1333="","","brand")</f>
        <v/>
      </c>
      <c r="D1333" s="17">
        <f>IF(B1333="","",Brand_Log!$A133&amp;"")</f>
        <v/>
      </c>
      <c r="E1333" s="17">
        <f>IF(B1333="","",IF(Brand_Log!B133="","",Brand_Log!B133&amp;""))</f>
        <v/>
      </c>
      <c r="F1333" s="17">
        <f>IF(B1333="","","budget_probe")</f>
        <v/>
      </c>
      <c r="G1333" s="17">
        <f>IF(B1333="","",IF(ISNUMBER(Brand_Log!V133),Brand_Log!V133,""))</f>
        <v/>
      </c>
      <c r="H1333" s="17">
        <f>IF(B1333="","",IF(Brand_Log!W133="","",Brand_Log!W133&amp;""))</f>
        <v/>
      </c>
      <c r="I1333" s="17">
        <f>IF(B1333="","",IF(Brand_Log!N133="","",Brand_Log!N133&amp;""))</f>
        <v/>
      </c>
      <c r="J1333" s="17">
        <f>IF(B1333="","","after_1500")</f>
        <v/>
      </c>
      <c r="K1333" t="inlineStr">
        <is>
          <t>brand budget_probe after $1,500</t>
        </is>
      </c>
    </row>
    <row r="1334">
      <c r="A1334" s="17">
        <f>IF(B1334="","",B1334+(7*1000+133)/10000000)</f>
        <v/>
      </c>
      <c r="B1334" s="23">
        <f>IF(AND(Brand_Log!AN134=1,Brand_Log!U134="Y",OR(ISNUMBER(Brand_Log!V134),TRIM(Brand_Log!W134)&lt;&gt;"")),Brand_Log!G134,"")</f>
        <v/>
      </c>
      <c r="C1334" s="17">
        <f>IF(B1334="","","brand")</f>
        <v/>
      </c>
      <c r="D1334" s="17">
        <f>IF(B1334="","",Brand_Log!$A134&amp;"")</f>
        <v/>
      </c>
      <c r="E1334" s="17">
        <f>IF(B1334="","",IF(Brand_Log!B134="","",Brand_Log!B134&amp;""))</f>
        <v/>
      </c>
      <c r="F1334" s="17">
        <f>IF(B1334="","","budget_probe")</f>
        <v/>
      </c>
      <c r="G1334" s="17">
        <f>IF(B1334="","",IF(ISNUMBER(Brand_Log!V134),Brand_Log!V134,""))</f>
        <v/>
      </c>
      <c r="H1334" s="17">
        <f>IF(B1334="","",IF(Brand_Log!W134="","",Brand_Log!W134&amp;""))</f>
        <v/>
      </c>
      <c r="I1334" s="17">
        <f>IF(B1334="","",IF(Brand_Log!N134="","",Brand_Log!N134&amp;""))</f>
        <v/>
      </c>
      <c r="J1334" s="17">
        <f>IF(B1334="","","after_1500")</f>
        <v/>
      </c>
      <c r="K1334" t="inlineStr">
        <is>
          <t>brand budget_probe after $1,500</t>
        </is>
      </c>
    </row>
    <row r="1335">
      <c r="A1335" s="17">
        <f>IF(B1335="","",B1335+(7*1000+134)/10000000)</f>
        <v/>
      </c>
      <c r="B1335" s="23">
        <f>IF(AND(Brand_Log!AN135=1,Brand_Log!U135="Y",OR(ISNUMBER(Brand_Log!V135),TRIM(Brand_Log!W135)&lt;&gt;"")),Brand_Log!G135,"")</f>
        <v/>
      </c>
      <c r="C1335" s="17">
        <f>IF(B1335="","","brand")</f>
        <v/>
      </c>
      <c r="D1335" s="17">
        <f>IF(B1335="","",Brand_Log!$A135&amp;"")</f>
        <v/>
      </c>
      <c r="E1335" s="17">
        <f>IF(B1335="","",IF(Brand_Log!B135="","",Brand_Log!B135&amp;""))</f>
        <v/>
      </c>
      <c r="F1335" s="17">
        <f>IF(B1335="","","budget_probe")</f>
        <v/>
      </c>
      <c r="G1335" s="17">
        <f>IF(B1335="","",IF(ISNUMBER(Brand_Log!V135),Brand_Log!V135,""))</f>
        <v/>
      </c>
      <c r="H1335" s="17">
        <f>IF(B1335="","",IF(Brand_Log!W135="","",Brand_Log!W135&amp;""))</f>
        <v/>
      </c>
      <c r="I1335" s="17">
        <f>IF(B1335="","",IF(Brand_Log!N135="","",Brand_Log!N135&amp;""))</f>
        <v/>
      </c>
      <c r="J1335" s="17">
        <f>IF(B1335="","","after_1500")</f>
        <v/>
      </c>
      <c r="K1335" t="inlineStr">
        <is>
          <t>brand budget_probe after $1,500</t>
        </is>
      </c>
    </row>
    <row r="1336">
      <c r="A1336" s="17">
        <f>IF(B1336="","",B1336+(7*1000+135)/10000000)</f>
        <v/>
      </c>
      <c r="B1336" s="23">
        <f>IF(AND(Brand_Log!AN136=1,Brand_Log!U136="Y",OR(ISNUMBER(Brand_Log!V136),TRIM(Brand_Log!W136)&lt;&gt;"")),Brand_Log!G136,"")</f>
        <v/>
      </c>
      <c r="C1336" s="17">
        <f>IF(B1336="","","brand")</f>
        <v/>
      </c>
      <c r="D1336" s="17">
        <f>IF(B1336="","",Brand_Log!$A136&amp;"")</f>
        <v/>
      </c>
      <c r="E1336" s="17">
        <f>IF(B1336="","",IF(Brand_Log!B136="","",Brand_Log!B136&amp;""))</f>
        <v/>
      </c>
      <c r="F1336" s="17">
        <f>IF(B1336="","","budget_probe")</f>
        <v/>
      </c>
      <c r="G1336" s="17">
        <f>IF(B1336="","",IF(ISNUMBER(Brand_Log!V136),Brand_Log!V136,""))</f>
        <v/>
      </c>
      <c r="H1336" s="17">
        <f>IF(B1336="","",IF(Brand_Log!W136="","",Brand_Log!W136&amp;""))</f>
        <v/>
      </c>
      <c r="I1336" s="17">
        <f>IF(B1336="","",IF(Brand_Log!N136="","",Brand_Log!N136&amp;""))</f>
        <v/>
      </c>
      <c r="J1336" s="17">
        <f>IF(B1336="","","after_1500")</f>
        <v/>
      </c>
      <c r="K1336" t="inlineStr">
        <is>
          <t>brand budget_probe after $1,500</t>
        </is>
      </c>
    </row>
    <row r="1337">
      <c r="A1337" s="17">
        <f>IF(B1337="","",B1337+(7*1000+136)/10000000)</f>
        <v/>
      </c>
      <c r="B1337" s="23">
        <f>IF(AND(Brand_Log!AN137=1,Brand_Log!U137="Y",OR(ISNUMBER(Brand_Log!V137),TRIM(Brand_Log!W137)&lt;&gt;"")),Brand_Log!G137,"")</f>
        <v/>
      </c>
      <c r="C1337" s="17">
        <f>IF(B1337="","","brand")</f>
        <v/>
      </c>
      <c r="D1337" s="17">
        <f>IF(B1337="","",Brand_Log!$A137&amp;"")</f>
        <v/>
      </c>
      <c r="E1337" s="17">
        <f>IF(B1337="","",IF(Brand_Log!B137="","",Brand_Log!B137&amp;""))</f>
        <v/>
      </c>
      <c r="F1337" s="17">
        <f>IF(B1337="","","budget_probe")</f>
        <v/>
      </c>
      <c r="G1337" s="17">
        <f>IF(B1337="","",IF(ISNUMBER(Brand_Log!V137),Brand_Log!V137,""))</f>
        <v/>
      </c>
      <c r="H1337" s="17">
        <f>IF(B1337="","",IF(Brand_Log!W137="","",Brand_Log!W137&amp;""))</f>
        <v/>
      </c>
      <c r="I1337" s="17">
        <f>IF(B1337="","",IF(Brand_Log!N137="","",Brand_Log!N137&amp;""))</f>
        <v/>
      </c>
      <c r="J1337" s="17">
        <f>IF(B1337="","","after_1500")</f>
        <v/>
      </c>
      <c r="K1337" t="inlineStr">
        <is>
          <t>brand budget_probe after $1,500</t>
        </is>
      </c>
    </row>
    <row r="1338">
      <c r="A1338" s="17">
        <f>IF(B1338="","",B1338+(7*1000+137)/10000000)</f>
        <v/>
      </c>
      <c r="B1338" s="23">
        <f>IF(AND(Brand_Log!AN138=1,Brand_Log!U138="Y",OR(ISNUMBER(Brand_Log!V138),TRIM(Brand_Log!W138)&lt;&gt;"")),Brand_Log!G138,"")</f>
        <v/>
      </c>
      <c r="C1338" s="17">
        <f>IF(B1338="","","brand")</f>
        <v/>
      </c>
      <c r="D1338" s="17">
        <f>IF(B1338="","",Brand_Log!$A138&amp;"")</f>
        <v/>
      </c>
      <c r="E1338" s="17">
        <f>IF(B1338="","",IF(Brand_Log!B138="","",Brand_Log!B138&amp;""))</f>
        <v/>
      </c>
      <c r="F1338" s="17">
        <f>IF(B1338="","","budget_probe")</f>
        <v/>
      </c>
      <c r="G1338" s="17">
        <f>IF(B1338="","",IF(ISNUMBER(Brand_Log!V138),Brand_Log!V138,""))</f>
        <v/>
      </c>
      <c r="H1338" s="17">
        <f>IF(B1338="","",IF(Brand_Log!W138="","",Brand_Log!W138&amp;""))</f>
        <v/>
      </c>
      <c r="I1338" s="17">
        <f>IF(B1338="","",IF(Brand_Log!N138="","",Brand_Log!N138&amp;""))</f>
        <v/>
      </c>
      <c r="J1338" s="17">
        <f>IF(B1338="","","after_1500")</f>
        <v/>
      </c>
      <c r="K1338" t="inlineStr">
        <is>
          <t>brand budget_probe after $1,500</t>
        </is>
      </c>
    </row>
    <row r="1339">
      <c r="A1339" s="17">
        <f>IF(B1339="","",B1339+(7*1000+138)/10000000)</f>
        <v/>
      </c>
      <c r="B1339" s="23">
        <f>IF(AND(Brand_Log!AN139=1,Brand_Log!U139="Y",OR(ISNUMBER(Brand_Log!V139),TRIM(Brand_Log!W139)&lt;&gt;"")),Brand_Log!G139,"")</f>
        <v/>
      </c>
      <c r="C1339" s="17">
        <f>IF(B1339="","","brand")</f>
        <v/>
      </c>
      <c r="D1339" s="17">
        <f>IF(B1339="","",Brand_Log!$A139&amp;"")</f>
        <v/>
      </c>
      <c r="E1339" s="17">
        <f>IF(B1339="","",IF(Brand_Log!B139="","",Brand_Log!B139&amp;""))</f>
        <v/>
      </c>
      <c r="F1339" s="17">
        <f>IF(B1339="","","budget_probe")</f>
        <v/>
      </c>
      <c r="G1339" s="17">
        <f>IF(B1339="","",IF(ISNUMBER(Brand_Log!V139),Brand_Log!V139,""))</f>
        <v/>
      </c>
      <c r="H1339" s="17">
        <f>IF(B1339="","",IF(Brand_Log!W139="","",Brand_Log!W139&amp;""))</f>
        <v/>
      </c>
      <c r="I1339" s="17">
        <f>IF(B1339="","",IF(Brand_Log!N139="","",Brand_Log!N139&amp;""))</f>
        <v/>
      </c>
      <c r="J1339" s="17">
        <f>IF(B1339="","","after_1500")</f>
        <v/>
      </c>
      <c r="K1339" t="inlineStr">
        <is>
          <t>brand budget_probe after $1,500</t>
        </is>
      </c>
    </row>
    <row r="1340">
      <c r="A1340" s="17">
        <f>IF(B1340="","",B1340+(7*1000+139)/10000000)</f>
        <v/>
      </c>
      <c r="B1340" s="23">
        <f>IF(AND(Brand_Log!AN140=1,Brand_Log!U140="Y",OR(ISNUMBER(Brand_Log!V140),TRIM(Brand_Log!W140)&lt;&gt;"")),Brand_Log!G140,"")</f>
        <v/>
      </c>
      <c r="C1340" s="17">
        <f>IF(B1340="","","brand")</f>
        <v/>
      </c>
      <c r="D1340" s="17">
        <f>IF(B1340="","",Brand_Log!$A140&amp;"")</f>
        <v/>
      </c>
      <c r="E1340" s="17">
        <f>IF(B1340="","",IF(Brand_Log!B140="","",Brand_Log!B140&amp;""))</f>
        <v/>
      </c>
      <c r="F1340" s="17">
        <f>IF(B1340="","","budget_probe")</f>
        <v/>
      </c>
      <c r="G1340" s="17">
        <f>IF(B1340="","",IF(ISNUMBER(Brand_Log!V140),Brand_Log!V140,""))</f>
        <v/>
      </c>
      <c r="H1340" s="17">
        <f>IF(B1340="","",IF(Brand_Log!W140="","",Brand_Log!W140&amp;""))</f>
        <v/>
      </c>
      <c r="I1340" s="17">
        <f>IF(B1340="","",IF(Brand_Log!N140="","",Brand_Log!N140&amp;""))</f>
        <v/>
      </c>
      <c r="J1340" s="17">
        <f>IF(B1340="","","after_1500")</f>
        <v/>
      </c>
      <c r="K1340" t="inlineStr">
        <is>
          <t>brand budget_probe after $1,500</t>
        </is>
      </c>
    </row>
    <row r="1341">
      <c r="A1341" s="17">
        <f>IF(B1341="","",B1341+(7*1000+140)/10000000)</f>
        <v/>
      </c>
      <c r="B1341" s="23">
        <f>IF(AND(Brand_Log!AN141=1,Brand_Log!U141="Y",OR(ISNUMBER(Brand_Log!V141),TRIM(Brand_Log!W141)&lt;&gt;"")),Brand_Log!G141,"")</f>
        <v/>
      </c>
      <c r="C1341" s="17">
        <f>IF(B1341="","","brand")</f>
        <v/>
      </c>
      <c r="D1341" s="17">
        <f>IF(B1341="","",Brand_Log!$A141&amp;"")</f>
        <v/>
      </c>
      <c r="E1341" s="17">
        <f>IF(B1341="","",IF(Brand_Log!B141="","",Brand_Log!B141&amp;""))</f>
        <v/>
      </c>
      <c r="F1341" s="17">
        <f>IF(B1341="","","budget_probe")</f>
        <v/>
      </c>
      <c r="G1341" s="17">
        <f>IF(B1341="","",IF(ISNUMBER(Brand_Log!V141),Brand_Log!V141,""))</f>
        <v/>
      </c>
      <c r="H1341" s="17">
        <f>IF(B1341="","",IF(Brand_Log!W141="","",Brand_Log!W141&amp;""))</f>
        <v/>
      </c>
      <c r="I1341" s="17">
        <f>IF(B1341="","",IF(Brand_Log!N141="","",Brand_Log!N141&amp;""))</f>
        <v/>
      </c>
      <c r="J1341" s="17">
        <f>IF(B1341="","","after_1500")</f>
        <v/>
      </c>
      <c r="K1341" t="inlineStr">
        <is>
          <t>brand budget_probe after $1,500</t>
        </is>
      </c>
    </row>
    <row r="1342">
      <c r="A1342" s="17">
        <f>IF(B1342="","",B1342+(7*1000+141)/10000000)</f>
        <v/>
      </c>
      <c r="B1342" s="23">
        <f>IF(AND(Brand_Log!AN142=1,Brand_Log!U142="Y",OR(ISNUMBER(Brand_Log!V142),TRIM(Brand_Log!W142)&lt;&gt;"")),Brand_Log!G142,"")</f>
        <v/>
      </c>
      <c r="C1342" s="17">
        <f>IF(B1342="","","brand")</f>
        <v/>
      </c>
      <c r="D1342" s="17">
        <f>IF(B1342="","",Brand_Log!$A142&amp;"")</f>
        <v/>
      </c>
      <c r="E1342" s="17">
        <f>IF(B1342="","",IF(Brand_Log!B142="","",Brand_Log!B142&amp;""))</f>
        <v/>
      </c>
      <c r="F1342" s="17">
        <f>IF(B1342="","","budget_probe")</f>
        <v/>
      </c>
      <c r="G1342" s="17">
        <f>IF(B1342="","",IF(ISNUMBER(Brand_Log!V142),Brand_Log!V142,""))</f>
        <v/>
      </c>
      <c r="H1342" s="17">
        <f>IF(B1342="","",IF(Brand_Log!W142="","",Brand_Log!W142&amp;""))</f>
        <v/>
      </c>
      <c r="I1342" s="17">
        <f>IF(B1342="","",IF(Brand_Log!N142="","",Brand_Log!N142&amp;""))</f>
        <v/>
      </c>
      <c r="J1342" s="17">
        <f>IF(B1342="","","after_1500")</f>
        <v/>
      </c>
      <c r="K1342" t="inlineStr">
        <is>
          <t>brand budget_probe after $1,500</t>
        </is>
      </c>
    </row>
    <row r="1343">
      <c r="A1343" s="17">
        <f>IF(B1343="","",B1343+(7*1000+142)/10000000)</f>
        <v/>
      </c>
      <c r="B1343" s="23">
        <f>IF(AND(Brand_Log!AN143=1,Brand_Log!U143="Y",OR(ISNUMBER(Brand_Log!V143),TRIM(Brand_Log!W143)&lt;&gt;"")),Brand_Log!G143,"")</f>
        <v/>
      </c>
      <c r="C1343" s="17">
        <f>IF(B1343="","","brand")</f>
        <v/>
      </c>
      <c r="D1343" s="17">
        <f>IF(B1343="","",Brand_Log!$A143&amp;"")</f>
        <v/>
      </c>
      <c r="E1343" s="17">
        <f>IF(B1343="","",IF(Brand_Log!B143="","",Brand_Log!B143&amp;""))</f>
        <v/>
      </c>
      <c r="F1343" s="17">
        <f>IF(B1343="","","budget_probe")</f>
        <v/>
      </c>
      <c r="G1343" s="17">
        <f>IF(B1343="","",IF(ISNUMBER(Brand_Log!V143),Brand_Log!V143,""))</f>
        <v/>
      </c>
      <c r="H1343" s="17">
        <f>IF(B1343="","",IF(Brand_Log!W143="","",Brand_Log!W143&amp;""))</f>
        <v/>
      </c>
      <c r="I1343" s="17">
        <f>IF(B1343="","",IF(Brand_Log!N143="","",Brand_Log!N143&amp;""))</f>
        <v/>
      </c>
      <c r="J1343" s="17">
        <f>IF(B1343="","","after_1500")</f>
        <v/>
      </c>
      <c r="K1343" t="inlineStr">
        <is>
          <t>brand budget_probe after $1,500</t>
        </is>
      </c>
    </row>
    <row r="1344">
      <c r="A1344" s="17">
        <f>IF(B1344="","",B1344+(7*1000+143)/10000000)</f>
        <v/>
      </c>
      <c r="B1344" s="23">
        <f>IF(AND(Brand_Log!AN144=1,Brand_Log!U144="Y",OR(ISNUMBER(Brand_Log!V144),TRIM(Brand_Log!W144)&lt;&gt;"")),Brand_Log!G144,"")</f>
        <v/>
      </c>
      <c r="C1344" s="17">
        <f>IF(B1344="","","brand")</f>
        <v/>
      </c>
      <c r="D1344" s="17">
        <f>IF(B1344="","",Brand_Log!$A144&amp;"")</f>
        <v/>
      </c>
      <c r="E1344" s="17">
        <f>IF(B1344="","",IF(Brand_Log!B144="","",Brand_Log!B144&amp;""))</f>
        <v/>
      </c>
      <c r="F1344" s="17">
        <f>IF(B1344="","","budget_probe")</f>
        <v/>
      </c>
      <c r="G1344" s="17">
        <f>IF(B1344="","",IF(ISNUMBER(Brand_Log!V144),Brand_Log!V144,""))</f>
        <v/>
      </c>
      <c r="H1344" s="17">
        <f>IF(B1344="","",IF(Brand_Log!W144="","",Brand_Log!W144&amp;""))</f>
        <v/>
      </c>
      <c r="I1344" s="17">
        <f>IF(B1344="","",IF(Brand_Log!N144="","",Brand_Log!N144&amp;""))</f>
        <v/>
      </c>
      <c r="J1344" s="17">
        <f>IF(B1344="","","after_1500")</f>
        <v/>
      </c>
      <c r="K1344" t="inlineStr">
        <is>
          <t>brand budget_probe after $1,500</t>
        </is>
      </c>
    </row>
    <row r="1345">
      <c r="A1345" s="17">
        <f>IF(B1345="","",B1345+(7*1000+144)/10000000)</f>
        <v/>
      </c>
      <c r="B1345" s="23">
        <f>IF(AND(Brand_Log!AN145=1,Brand_Log!U145="Y",OR(ISNUMBER(Brand_Log!V145),TRIM(Brand_Log!W145)&lt;&gt;"")),Brand_Log!G145,"")</f>
        <v/>
      </c>
      <c r="C1345" s="17">
        <f>IF(B1345="","","brand")</f>
        <v/>
      </c>
      <c r="D1345" s="17">
        <f>IF(B1345="","",Brand_Log!$A145&amp;"")</f>
        <v/>
      </c>
      <c r="E1345" s="17">
        <f>IF(B1345="","",IF(Brand_Log!B145="","",Brand_Log!B145&amp;""))</f>
        <v/>
      </c>
      <c r="F1345" s="17">
        <f>IF(B1345="","","budget_probe")</f>
        <v/>
      </c>
      <c r="G1345" s="17">
        <f>IF(B1345="","",IF(ISNUMBER(Brand_Log!V145),Brand_Log!V145,""))</f>
        <v/>
      </c>
      <c r="H1345" s="17">
        <f>IF(B1345="","",IF(Brand_Log!W145="","",Brand_Log!W145&amp;""))</f>
        <v/>
      </c>
      <c r="I1345" s="17">
        <f>IF(B1345="","",IF(Brand_Log!N145="","",Brand_Log!N145&amp;""))</f>
        <v/>
      </c>
      <c r="J1345" s="17">
        <f>IF(B1345="","","after_1500")</f>
        <v/>
      </c>
      <c r="K1345" t="inlineStr">
        <is>
          <t>brand budget_probe after $1,500</t>
        </is>
      </c>
    </row>
    <row r="1346">
      <c r="A1346" s="17">
        <f>IF(B1346="","",B1346+(7*1000+145)/10000000)</f>
        <v/>
      </c>
      <c r="B1346" s="23">
        <f>IF(AND(Brand_Log!AN146=1,Brand_Log!U146="Y",OR(ISNUMBER(Brand_Log!V146),TRIM(Brand_Log!W146)&lt;&gt;"")),Brand_Log!G146,"")</f>
        <v/>
      </c>
      <c r="C1346" s="17">
        <f>IF(B1346="","","brand")</f>
        <v/>
      </c>
      <c r="D1346" s="17">
        <f>IF(B1346="","",Brand_Log!$A146&amp;"")</f>
        <v/>
      </c>
      <c r="E1346" s="17">
        <f>IF(B1346="","",IF(Brand_Log!B146="","",Brand_Log!B146&amp;""))</f>
        <v/>
      </c>
      <c r="F1346" s="17">
        <f>IF(B1346="","","budget_probe")</f>
        <v/>
      </c>
      <c r="G1346" s="17">
        <f>IF(B1346="","",IF(ISNUMBER(Brand_Log!V146),Brand_Log!V146,""))</f>
        <v/>
      </c>
      <c r="H1346" s="17">
        <f>IF(B1346="","",IF(Brand_Log!W146="","",Brand_Log!W146&amp;""))</f>
        <v/>
      </c>
      <c r="I1346" s="17">
        <f>IF(B1346="","",IF(Brand_Log!N146="","",Brand_Log!N146&amp;""))</f>
        <v/>
      </c>
      <c r="J1346" s="17">
        <f>IF(B1346="","","after_1500")</f>
        <v/>
      </c>
      <c r="K1346" t="inlineStr">
        <is>
          <t>brand budget_probe after $1,500</t>
        </is>
      </c>
    </row>
    <row r="1347">
      <c r="A1347" s="17">
        <f>IF(B1347="","",B1347+(7*1000+146)/10000000)</f>
        <v/>
      </c>
      <c r="B1347" s="23">
        <f>IF(AND(Brand_Log!AN147=1,Brand_Log!U147="Y",OR(ISNUMBER(Brand_Log!V147),TRIM(Brand_Log!W147)&lt;&gt;"")),Brand_Log!G147,"")</f>
        <v/>
      </c>
      <c r="C1347" s="17">
        <f>IF(B1347="","","brand")</f>
        <v/>
      </c>
      <c r="D1347" s="17">
        <f>IF(B1347="","",Brand_Log!$A147&amp;"")</f>
        <v/>
      </c>
      <c r="E1347" s="17">
        <f>IF(B1347="","",IF(Brand_Log!B147="","",Brand_Log!B147&amp;""))</f>
        <v/>
      </c>
      <c r="F1347" s="17">
        <f>IF(B1347="","","budget_probe")</f>
        <v/>
      </c>
      <c r="G1347" s="17">
        <f>IF(B1347="","",IF(ISNUMBER(Brand_Log!V147),Brand_Log!V147,""))</f>
        <v/>
      </c>
      <c r="H1347" s="17">
        <f>IF(B1347="","",IF(Brand_Log!W147="","",Brand_Log!W147&amp;""))</f>
        <v/>
      </c>
      <c r="I1347" s="17">
        <f>IF(B1347="","",IF(Brand_Log!N147="","",Brand_Log!N147&amp;""))</f>
        <v/>
      </c>
      <c r="J1347" s="17">
        <f>IF(B1347="","","after_1500")</f>
        <v/>
      </c>
      <c r="K1347" t="inlineStr">
        <is>
          <t>brand budget_probe after $1,500</t>
        </is>
      </c>
    </row>
    <row r="1348">
      <c r="A1348" s="17">
        <f>IF(B1348="","",B1348+(7*1000+147)/10000000)</f>
        <v/>
      </c>
      <c r="B1348" s="23">
        <f>IF(AND(Brand_Log!AN148=1,Brand_Log!U148="Y",OR(ISNUMBER(Brand_Log!V148),TRIM(Brand_Log!W148)&lt;&gt;"")),Brand_Log!G148,"")</f>
        <v/>
      </c>
      <c r="C1348" s="17">
        <f>IF(B1348="","","brand")</f>
        <v/>
      </c>
      <c r="D1348" s="17">
        <f>IF(B1348="","",Brand_Log!$A148&amp;"")</f>
        <v/>
      </c>
      <c r="E1348" s="17">
        <f>IF(B1348="","",IF(Brand_Log!B148="","",Brand_Log!B148&amp;""))</f>
        <v/>
      </c>
      <c r="F1348" s="17">
        <f>IF(B1348="","","budget_probe")</f>
        <v/>
      </c>
      <c r="G1348" s="17">
        <f>IF(B1348="","",IF(ISNUMBER(Brand_Log!V148),Brand_Log!V148,""))</f>
        <v/>
      </c>
      <c r="H1348" s="17">
        <f>IF(B1348="","",IF(Brand_Log!W148="","",Brand_Log!W148&amp;""))</f>
        <v/>
      </c>
      <c r="I1348" s="17">
        <f>IF(B1348="","",IF(Brand_Log!N148="","",Brand_Log!N148&amp;""))</f>
        <v/>
      </c>
      <c r="J1348" s="17">
        <f>IF(B1348="","","after_1500")</f>
        <v/>
      </c>
      <c r="K1348" t="inlineStr">
        <is>
          <t>brand budget_probe after $1,500</t>
        </is>
      </c>
    </row>
    <row r="1349">
      <c r="A1349" s="17">
        <f>IF(B1349="","",B1349+(7*1000+148)/10000000)</f>
        <v/>
      </c>
      <c r="B1349" s="23">
        <f>IF(AND(Brand_Log!AN149=1,Brand_Log!U149="Y",OR(ISNUMBER(Brand_Log!V149),TRIM(Brand_Log!W149)&lt;&gt;"")),Brand_Log!G149,"")</f>
        <v/>
      </c>
      <c r="C1349" s="17">
        <f>IF(B1349="","","brand")</f>
        <v/>
      </c>
      <c r="D1349" s="17">
        <f>IF(B1349="","",Brand_Log!$A149&amp;"")</f>
        <v/>
      </c>
      <c r="E1349" s="17">
        <f>IF(B1349="","",IF(Brand_Log!B149="","",Brand_Log!B149&amp;""))</f>
        <v/>
      </c>
      <c r="F1349" s="17">
        <f>IF(B1349="","","budget_probe")</f>
        <v/>
      </c>
      <c r="G1349" s="17">
        <f>IF(B1349="","",IF(ISNUMBER(Brand_Log!V149),Brand_Log!V149,""))</f>
        <v/>
      </c>
      <c r="H1349" s="17">
        <f>IF(B1349="","",IF(Brand_Log!W149="","",Brand_Log!W149&amp;""))</f>
        <v/>
      </c>
      <c r="I1349" s="17">
        <f>IF(B1349="","",IF(Brand_Log!N149="","",Brand_Log!N149&amp;""))</f>
        <v/>
      </c>
      <c r="J1349" s="17">
        <f>IF(B1349="","","after_1500")</f>
        <v/>
      </c>
      <c r="K1349" t="inlineStr">
        <is>
          <t>brand budget_probe after $1,500</t>
        </is>
      </c>
    </row>
    <row r="1350">
      <c r="A1350" s="17">
        <f>IF(B1350="","",B1350+(7*1000+149)/10000000)</f>
        <v/>
      </c>
      <c r="B1350" s="23">
        <f>IF(AND(Brand_Log!AN150=1,Brand_Log!U150="Y",OR(ISNUMBER(Brand_Log!V150),TRIM(Brand_Log!W150)&lt;&gt;"")),Brand_Log!G150,"")</f>
        <v/>
      </c>
      <c r="C1350" s="17">
        <f>IF(B1350="","","brand")</f>
        <v/>
      </c>
      <c r="D1350" s="17">
        <f>IF(B1350="","",Brand_Log!$A150&amp;"")</f>
        <v/>
      </c>
      <c r="E1350" s="17">
        <f>IF(B1350="","",IF(Brand_Log!B150="","",Brand_Log!B150&amp;""))</f>
        <v/>
      </c>
      <c r="F1350" s="17">
        <f>IF(B1350="","","budget_probe")</f>
        <v/>
      </c>
      <c r="G1350" s="17">
        <f>IF(B1350="","",IF(ISNUMBER(Brand_Log!V150),Brand_Log!V150,""))</f>
        <v/>
      </c>
      <c r="H1350" s="17">
        <f>IF(B1350="","",IF(Brand_Log!W150="","",Brand_Log!W150&amp;""))</f>
        <v/>
      </c>
      <c r="I1350" s="17">
        <f>IF(B1350="","",IF(Brand_Log!N150="","",Brand_Log!N150&amp;""))</f>
        <v/>
      </c>
      <c r="J1350" s="17">
        <f>IF(B1350="","","after_1500")</f>
        <v/>
      </c>
      <c r="K1350" t="inlineStr">
        <is>
          <t>brand budget_probe after $1,500</t>
        </is>
      </c>
    </row>
    <row r="1351">
      <c r="A1351" s="17">
        <f>IF(B1351="","",B1351+(7*1000+150)/10000000)</f>
        <v/>
      </c>
      <c r="B1351" s="23">
        <f>IF(AND(Brand_Log!AN151=1,Brand_Log!U151="Y",OR(ISNUMBER(Brand_Log!V151),TRIM(Brand_Log!W151)&lt;&gt;"")),Brand_Log!G151,"")</f>
        <v/>
      </c>
      <c r="C1351" s="17">
        <f>IF(B1351="","","brand")</f>
        <v/>
      </c>
      <c r="D1351" s="17">
        <f>IF(B1351="","",Brand_Log!$A151&amp;"")</f>
        <v/>
      </c>
      <c r="E1351" s="17">
        <f>IF(B1351="","",IF(Brand_Log!B151="","",Brand_Log!B151&amp;""))</f>
        <v/>
      </c>
      <c r="F1351" s="17">
        <f>IF(B1351="","","budget_probe")</f>
        <v/>
      </c>
      <c r="G1351" s="17">
        <f>IF(B1351="","",IF(ISNUMBER(Brand_Log!V151),Brand_Log!V151,""))</f>
        <v/>
      </c>
      <c r="H1351" s="17">
        <f>IF(B1351="","",IF(Brand_Log!W151="","",Brand_Log!W151&amp;""))</f>
        <v/>
      </c>
      <c r="I1351" s="17">
        <f>IF(B1351="","",IF(Brand_Log!N151="","",Brand_Log!N151&amp;""))</f>
        <v/>
      </c>
      <c r="J1351" s="17">
        <f>IF(B1351="","","after_1500")</f>
        <v/>
      </c>
      <c r="K1351" t="inlineStr">
        <is>
          <t>brand budget_probe after $1,500</t>
        </is>
      </c>
    </row>
    <row r="1352">
      <c r="A1352" s="17">
        <f>IF(B1352="","",B1352+(7*1000+151)/10000000)</f>
        <v/>
      </c>
      <c r="B1352" s="23">
        <f>IF(AND(Brand_Log!AN152=1,Brand_Log!U152="Y",OR(ISNUMBER(Brand_Log!V152),TRIM(Brand_Log!W152)&lt;&gt;"")),Brand_Log!G152,"")</f>
        <v/>
      </c>
      <c r="C1352" s="17">
        <f>IF(B1352="","","brand")</f>
        <v/>
      </c>
      <c r="D1352" s="17">
        <f>IF(B1352="","",Brand_Log!$A152&amp;"")</f>
        <v/>
      </c>
      <c r="E1352" s="17">
        <f>IF(B1352="","",IF(Brand_Log!B152="","",Brand_Log!B152&amp;""))</f>
        <v/>
      </c>
      <c r="F1352" s="17">
        <f>IF(B1352="","","budget_probe")</f>
        <v/>
      </c>
      <c r="G1352" s="17">
        <f>IF(B1352="","",IF(ISNUMBER(Brand_Log!V152),Brand_Log!V152,""))</f>
        <v/>
      </c>
      <c r="H1352" s="17">
        <f>IF(B1352="","",IF(Brand_Log!W152="","",Brand_Log!W152&amp;""))</f>
        <v/>
      </c>
      <c r="I1352" s="17">
        <f>IF(B1352="","",IF(Brand_Log!N152="","",Brand_Log!N152&amp;""))</f>
        <v/>
      </c>
      <c r="J1352" s="17">
        <f>IF(B1352="","","after_1500")</f>
        <v/>
      </c>
      <c r="K1352" t="inlineStr">
        <is>
          <t>brand budget_probe after $1,500</t>
        </is>
      </c>
    </row>
    <row r="1353">
      <c r="A1353" s="17">
        <f>IF(B1353="","",B1353+(7*1000+152)/10000000)</f>
        <v/>
      </c>
      <c r="B1353" s="23">
        <f>IF(AND(Brand_Log!AN153=1,Brand_Log!U153="Y",OR(ISNUMBER(Brand_Log!V153),TRIM(Brand_Log!W153)&lt;&gt;"")),Brand_Log!G153,"")</f>
        <v/>
      </c>
      <c r="C1353" s="17">
        <f>IF(B1353="","","brand")</f>
        <v/>
      </c>
      <c r="D1353" s="17">
        <f>IF(B1353="","",Brand_Log!$A153&amp;"")</f>
        <v/>
      </c>
      <c r="E1353" s="17">
        <f>IF(B1353="","",IF(Brand_Log!B153="","",Brand_Log!B153&amp;""))</f>
        <v/>
      </c>
      <c r="F1353" s="17">
        <f>IF(B1353="","","budget_probe")</f>
        <v/>
      </c>
      <c r="G1353" s="17">
        <f>IF(B1353="","",IF(ISNUMBER(Brand_Log!V153),Brand_Log!V153,""))</f>
        <v/>
      </c>
      <c r="H1353" s="17">
        <f>IF(B1353="","",IF(Brand_Log!W153="","",Brand_Log!W153&amp;""))</f>
        <v/>
      </c>
      <c r="I1353" s="17">
        <f>IF(B1353="","",IF(Brand_Log!N153="","",Brand_Log!N153&amp;""))</f>
        <v/>
      </c>
      <c r="J1353" s="17">
        <f>IF(B1353="","","after_1500")</f>
        <v/>
      </c>
      <c r="K1353" t="inlineStr">
        <is>
          <t>brand budget_probe after $1,500</t>
        </is>
      </c>
    </row>
    <row r="1354">
      <c r="A1354" s="17">
        <f>IF(B1354="","",B1354+(7*1000+153)/10000000)</f>
        <v/>
      </c>
      <c r="B1354" s="23">
        <f>IF(AND(Brand_Log!AN154=1,Brand_Log!U154="Y",OR(ISNUMBER(Brand_Log!V154),TRIM(Brand_Log!W154)&lt;&gt;"")),Brand_Log!G154,"")</f>
        <v/>
      </c>
      <c r="C1354" s="17">
        <f>IF(B1354="","","brand")</f>
        <v/>
      </c>
      <c r="D1354" s="17">
        <f>IF(B1354="","",Brand_Log!$A154&amp;"")</f>
        <v/>
      </c>
      <c r="E1354" s="17">
        <f>IF(B1354="","",IF(Brand_Log!B154="","",Brand_Log!B154&amp;""))</f>
        <v/>
      </c>
      <c r="F1354" s="17">
        <f>IF(B1354="","","budget_probe")</f>
        <v/>
      </c>
      <c r="G1354" s="17">
        <f>IF(B1354="","",IF(ISNUMBER(Brand_Log!V154),Brand_Log!V154,""))</f>
        <v/>
      </c>
      <c r="H1354" s="17">
        <f>IF(B1354="","",IF(Brand_Log!W154="","",Brand_Log!W154&amp;""))</f>
        <v/>
      </c>
      <c r="I1354" s="17">
        <f>IF(B1354="","",IF(Brand_Log!N154="","",Brand_Log!N154&amp;""))</f>
        <v/>
      </c>
      <c r="J1354" s="17">
        <f>IF(B1354="","","after_1500")</f>
        <v/>
      </c>
      <c r="K1354" t="inlineStr">
        <is>
          <t>brand budget_probe after $1,500</t>
        </is>
      </c>
    </row>
    <row r="1355">
      <c r="A1355" s="17">
        <f>IF(B1355="","",B1355+(7*1000+154)/10000000)</f>
        <v/>
      </c>
      <c r="B1355" s="23">
        <f>IF(AND(Brand_Log!AN155=1,Brand_Log!U155="Y",OR(ISNUMBER(Brand_Log!V155),TRIM(Brand_Log!W155)&lt;&gt;"")),Brand_Log!G155,"")</f>
        <v/>
      </c>
      <c r="C1355" s="17">
        <f>IF(B1355="","","brand")</f>
        <v/>
      </c>
      <c r="D1355" s="17">
        <f>IF(B1355="","",Brand_Log!$A155&amp;"")</f>
        <v/>
      </c>
      <c r="E1355" s="17">
        <f>IF(B1355="","",IF(Brand_Log!B155="","",Brand_Log!B155&amp;""))</f>
        <v/>
      </c>
      <c r="F1355" s="17">
        <f>IF(B1355="","","budget_probe")</f>
        <v/>
      </c>
      <c r="G1355" s="17">
        <f>IF(B1355="","",IF(ISNUMBER(Brand_Log!V155),Brand_Log!V155,""))</f>
        <v/>
      </c>
      <c r="H1355" s="17">
        <f>IF(B1355="","",IF(Brand_Log!W155="","",Brand_Log!W155&amp;""))</f>
        <v/>
      </c>
      <c r="I1355" s="17">
        <f>IF(B1355="","",IF(Brand_Log!N155="","",Brand_Log!N155&amp;""))</f>
        <v/>
      </c>
      <c r="J1355" s="17">
        <f>IF(B1355="","","after_1500")</f>
        <v/>
      </c>
      <c r="K1355" t="inlineStr">
        <is>
          <t>brand budget_probe after $1,500</t>
        </is>
      </c>
    </row>
    <row r="1356">
      <c r="A1356" s="17">
        <f>IF(B1356="","",B1356+(7*1000+155)/10000000)</f>
        <v/>
      </c>
      <c r="B1356" s="23">
        <f>IF(AND(Brand_Log!AN156=1,Brand_Log!U156="Y",OR(ISNUMBER(Brand_Log!V156),TRIM(Brand_Log!W156)&lt;&gt;"")),Brand_Log!G156,"")</f>
        <v/>
      </c>
      <c r="C1356" s="17">
        <f>IF(B1356="","","brand")</f>
        <v/>
      </c>
      <c r="D1356" s="17">
        <f>IF(B1356="","",Brand_Log!$A156&amp;"")</f>
        <v/>
      </c>
      <c r="E1356" s="17">
        <f>IF(B1356="","",IF(Brand_Log!B156="","",Brand_Log!B156&amp;""))</f>
        <v/>
      </c>
      <c r="F1356" s="17">
        <f>IF(B1356="","","budget_probe")</f>
        <v/>
      </c>
      <c r="G1356" s="17">
        <f>IF(B1356="","",IF(ISNUMBER(Brand_Log!V156),Brand_Log!V156,""))</f>
        <v/>
      </c>
      <c r="H1356" s="17">
        <f>IF(B1356="","",IF(Brand_Log!W156="","",Brand_Log!W156&amp;""))</f>
        <v/>
      </c>
      <c r="I1356" s="17">
        <f>IF(B1356="","",IF(Brand_Log!N156="","",Brand_Log!N156&amp;""))</f>
        <v/>
      </c>
      <c r="J1356" s="17">
        <f>IF(B1356="","","after_1500")</f>
        <v/>
      </c>
      <c r="K1356" t="inlineStr">
        <is>
          <t>brand budget_probe after $1,500</t>
        </is>
      </c>
    </row>
    <row r="1357">
      <c r="A1357" s="17">
        <f>IF(B1357="","",B1357+(7*1000+156)/10000000)</f>
        <v/>
      </c>
      <c r="B1357" s="23">
        <f>IF(AND(Brand_Log!AN157=1,Brand_Log!U157="Y",OR(ISNUMBER(Brand_Log!V157),TRIM(Brand_Log!W157)&lt;&gt;"")),Brand_Log!G157,"")</f>
        <v/>
      </c>
      <c r="C1357" s="17">
        <f>IF(B1357="","","brand")</f>
        <v/>
      </c>
      <c r="D1357" s="17">
        <f>IF(B1357="","",Brand_Log!$A157&amp;"")</f>
        <v/>
      </c>
      <c r="E1357" s="17">
        <f>IF(B1357="","",IF(Brand_Log!B157="","",Brand_Log!B157&amp;""))</f>
        <v/>
      </c>
      <c r="F1357" s="17">
        <f>IF(B1357="","","budget_probe")</f>
        <v/>
      </c>
      <c r="G1357" s="17">
        <f>IF(B1357="","",IF(ISNUMBER(Brand_Log!V157),Brand_Log!V157,""))</f>
        <v/>
      </c>
      <c r="H1357" s="17">
        <f>IF(B1357="","",IF(Brand_Log!W157="","",Brand_Log!W157&amp;""))</f>
        <v/>
      </c>
      <c r="I1357" s="17">
        <f>IF(B1357="","",IF(Brand_Log!N157="","",Brand_Log!N157&amp;""))</f>
        <v/>
      </c>
      <c r="J1357" s="17">
        <f>IF(B1357="","","after_1500")</f>
        <v/>
      </c>
      <c r="K1357" t="inlineStr">
        <is>
          <t>brand budget_probe after $1,500</t>
        </is>
      </c>
    </row>
    <row r="1358">
      <c r="A1358" s="17">
        <f>IF(B1358="","",B1358+(7*1000+157)/10000000)</f>
        <v/>
      </c>
      <c r="B1358" s="23">
        <f>IF(AND(Brand_Log!AN158=1,Brand_Log!U158="Y",OR(ISNUMBER(Brand_Log!V158),TRIM(Brand_Log!W158)&lt;&gt;"")),Brand_Log!G158,"")</f>
        <v/>
      </c>
      <c r="C1358" s="17">
        <f>IF(B1358="","","brand")</f>
        <v/>
      </c>
      <c r="D1358" s="17">
        <f>IF(B1358="","",Brand_Log!$A158&amp;"")</f>
        <v/>
      </c>
      <c r="E1358" s="17">
        <f>IF(B1358="","",IF(Brand_Log!B158="","",Brand_Log!B158&amp;""))</f>
        <v/>
      </c>
      <c r="F1358" s="17">
        <f>IF(B1358="","","budget_probe")</f>
        <v/>
      </c>
      <c r="G1358" s="17">
        <f>IF(B1358="","",IF(ISNUMBER(Brand_Log!V158),Brand_Log!V158,""))</f>
        <v/>
      </c>
      <c r="H1358" s="17">
        <f>IF(B1358="","",IF(Brand_Log!W158="","",Brand_Log!W158&amp;""))</f>
        <v/>
      </c>
      <c r="I1358" s="17">
        <f>IF(B1358="","",IF(Brand_Log!N158="","",Brand_Log!N158&amp;""))</f>
        <v/>
      </c>
      <c r="J1358" s="17">
        <f>IF(B1358="","","after_1500")</f>
        <v/>
      </c>
      <c r="K1358" t="inlineStr">
        <is>
          <t>brand budget_probe after $1,500</t>
        </is>
      </c>
    </row>
    <row r="1359">
      <c r="A1359" s="17">
        <f>IF(B1359="","",B1359+(7*1000+158)/10000000)</f>
        <v/>
      </c>
      <c r="B1359" s="23">
        <f>IF(AND(Brand_Log!AN159=1,Brand_Log!U159="Y",OR(ISNUMBER(Brand_Log!V159),TRIM(Brand_Log!W159)&lt;&gt;"")),Brand_Log!G159,"")</f>
        <v/>
      </c>
      <c r="C1359" s="17">
        <f>IF(B1359="","","brand")</f>
        <v/>
      </c>
      <c r="D1359" s="17">
        <f>IF(B1359="","",Brand_Log!$A159&amp;"")</f>
        <v/>
      </c>
      <c r="E1359" s="17">
        <f>IF(B1359="","",IF(Brand_Log!B159="","",Brand_Log!B159&amp;""))</f>
        <v/>
      </c>
      <c r="F1359" s="17">
        <f>IF(B1359="","","budget_probe")</f>
        <v/>
      </c>
      <c r="G1359" s="17">
        <f>IF(B1359="","",IF(ISNUMBER(Brand_Log!V159),Brand_Log!V159,""))</f>
        <v/>
      </c>
      <c r="H1359" s="17">
        <f>IF(B1359="","",IF(Brand_Log!W159="","",Brand_Log!W159&amp;""))</f>
        <v/>
      </c>
      <c r="I1359" s="17">
        <f>IF(B1359="","",IF(Brand_Log!N159="","",Brand_Log!N159&amp;""))</f>
        <v/>
      </c>
      <c r="J1359" s="17">
        <f>IF(B1359="","","after_1500")</f>
        <v/>
      </c>
      <c r="K1359" t="inlineStr">
        <is>
          <t>brand budget_probe after $1,500</t>
        </is>
      </c>
    </row>
    <row r="1360">
      <c r="A1360" s="17">
        <f>IF(B1360="","",B1360+(7*1000+159)/10000000)</f>
        <v/>
      </c>
      <c r="B1360" s="23">
        <f>IF(AND(Brand_Log!AN160=1,Brand_Log!U160="Y",OR(ISNUMBER(Brand_Log!V160),TRIM(Brand_Log!W160)&lt;&gt;"")),Brand_Log!G160,"")</f>
        <v/>
      </c>
      <c r="C1360" s="17">
        <f>IF(B1360="","","brand")</f>
        <v/>
      </c>
      <c r="D1360" s="17">
        <f>IF(B1360="","",Brand_Log!$A160&amp;"")</f>
        <v/>
      </c>
      <c r="E1360" s="17">
        <f>IF(B1360="","",IF(Brand_Log!B160="","",Brand_Log!B160&amp;""))</f>
        <v/>
      </c>
      <c r="F1360" s="17">
        <f>IF(B1360="","","budget_probe")</f>
        <v/>
      </c>
      <c r="G1360" s="17">
        <f>IF(B1360="","",IF(ISNUMBER(Brand_Log!V160),Brand_Log!V160,""))</f>
        <v/>
      </c>
      <c r="H1360" s="17">
        <f>IF(B1360="","",IF(Brand_Log!W160="","",Brand_Log!W160&amp;""))</f>
        <v/>
      </c>
      <c r="I1360" s="17">
        <f>IF(B1360="","",IF(Brand_Log!N160="","",Brand_Log!N160&amp;""))</f>
        <v/>
      </c>
      <c r="J1360" s="17">
        <f>IF(B1360="","","after_1500")</f>
        <v/>
      </c>
      <c r="K1360" t="inlineStr">
        <is>
          <t>brand budget_probe after $1,500</t>
        </is>
      </c>
    </row>
    <row r="1361">
      <c r="A1361" s="17">
        <f>IF(B1361="","",B1361+(7*1000+160)/10000000)</f>
        <v/>
      </c>
      <c r="B1361" s="23">
        <f>IF(AND(Brand_Log!AN161=1,Brand_Log!U161="Y",OR(ISNUMBER(Brand_Log!V161),TRIM(Brand_Log!W161)&lt;&gt;"")),Brand_Log!G161,"")</f>
        <v/>
      </c>
      <c r="C1361" s="17">
        <f>IF(B1361="","","brand")</f>
        <v/>
      </c>
      <c r="D1361" s="17">
        <f>IF(B1361="","",Brand_Log!$A161&amp;"")</f>
        <v/>
      </c>
      <c r="E1361" s="17">
        <f>IF(B1361="","",IF(Brand_Log!B161="","",Brand_Log!B161&amp;""))</f>
        <v/>
      </c>
      <c r="F1361" s="17">
        <f>IF(B1361="","","budget_probe")</f>
        <v/>
      </c>
      <c r="G1361" s="17">
        <f>IF(B1361="","",IF(ISNUMBER(Brand_Log!V161),Brand_Log!V161,""))</f>
        <v/>
      </c>
      <c r="H1361" s="17">
        <f>IF(B1361="","",IF(Brand_Log!W161="","",Brand_Log!W161&amp;""))</f>
        <v/>
      </c>
      <c r="I1361" s="17">
        <f>IF(B1361="","",IF(Brand_Log!N161="","",Brand_Log!N161&amp;""))</f>
        <v/>
      </c>
      <c r="J1361" s="17">
        <f>IF(B1361="","","after_1500")</f>
        <v/>
      </c>
      <c r="K1361" t="inlineStr">
        <is>
          <t>brand budget_probe after $1,500</t>
        </is>
      </c>
    </row>
    <row r="1362">
      <c r="A1362" s="17">
        <f>IF(B1362="","",B1362+(7*1000+161)/10000000)</f>
        <v/>
      </c>
      <c r="B1362" s="23">
        <f>IF(AND(Brand_Log!AN162=1,Brand_Log!U162="Y",OR(ISNUMBER(Brand_Log!V162),TRIM(Brand_Log!W162)&lt;&gt;"")),Brand_Log!G162,"")</f>
        <v/>
      </c>
      <c r="C1362" s="17">
        <f>IF(B1362="","","brand")</f>
        <v/>
      </c>
      <c r="D1362" s="17">
        <f>IF(B1362="","",Brand_Log!$A162&amp;"")</f>
        <v/>
      </c>
      <c r="E1362" s="17">
        <f>IF(B1362="","",IF(Brand_Log!B162="","",Brand_Log!B162&amp;""))</f>
        <v/>
      </c>
      <c r="F1362" s="17">
        <f>IF(B1362="","","budget_probe")</f>
        <v/>
      </c>
      <c r="G1362" s="17">
        <f>IF(B1362="","",IF(ISNUMBER(Brand_Log!V162),Brand_Log!V162,""))</f>
        <v/>
      </c>
      <c r="H1362" s="17">
        <f>IF(B1362="","",IF(Brand_Log!W162="","",Brand_Log!W162&amp;""))</f>
        <v/>
      </c>
      <c r="I1362" s="17">
        <f>IF(B1362="","",IF(Brand_Log!N162="","",Brand_Log!N162&amp;""))</f>
        <v/>
      </c>
      <c r="J1362" s="17">
        <f>IF(B1362="","","after_1500")</f>
        <v/>
      </c>
      <c r="K1362" t="inlineStr">
        <is>
          <t>brand budget_probe after $1,500</t>
        </is>
      </c>
    </row>
    <row r="1363">
      <c r="A1363" s="17">
        <f>IF(B1363="","",B1363+(7*1000+162)/10000000)</f>
        <v/>
      </c>
      <c r="B1363" s="23">
        <f>IF(AND(Brand_Log!AN163=1,Brand_Log!U163="Y",OR(ISNUMBER(Brand_Log!V163),TRIM(Brand_Log!W163)&lt;&gt;"")),Brand_Log!G163,"")</f>
        <v/>
      </c>
      <c r="C1363" s="17">
        <f>IF(B1363="","","brand")</f>
        <v/>
      </c>
      <c r="D1363" s="17">
        <f>IF(B1363="","",Brand_Log!$A163&amp;"")</f>
        <v/>
      </c>
      <c r="E1363" s="17">
        <f>IF(B1363="","",IF(Brand_Log!B163="","",Brand_Log!B163&amp;""))</f>
        <v/>
      </c>
      <c r="F1363" s="17">
        <f>IF(B1363="","","budget_probe")</f>
        <v/>
      </c>
      <c r="G1363" s="17">
        <f>IF(B1363="","",IF(ISNUMBER(Brand_Log!V163),Brand_Log!V163,""))</f>
        <v/>
      </c>
      <c r="H1363" s="17">
        <f>IF(B1363="","",IF(Brand_Log!W163="","",Brand_Log!W163&amp;""))</f>
        <v/>
      </c>
      <c r="I1363" s="17">
        <f>IF(B1363="","",IF(Brand_Log!N163="","",Brand_Log!N163&amp;""))</f>
        <v/>
      </c>
      <c r="J1363" s="17">
        <f>IF(B1363="","","after_1500")</f>
        <v/>
      </c>
      <c r="K1363" t="inlineStr">
        <is>
          <t>brand budget_probe after $1,500</t>
        </is>
      </c>
    </row>
    <row r="1364">
      <c r="A1364" s="17">
        <f>IF(B1364="","",B1364+(7*1000+163)/10000000)</f>
        <v/>
      </c>
      <c r="B1364" s="23">
        <f>IF(AND(Brand_Log!AN164=1,Brand_Log!U164="Y",OR(ISNUMBER(Brand_Log!V164),TRIM(Brand_Log!W164)&lt;&gt;"")),Brand_Log!G164,"")</f>
        <v/>
      </c>
      <c r="C1364" s="17">
        <f>IF(B1364="","","brand")</f>
        <v/>
      </c>
      <c r="D1364" s="17">
        <f>IF(B1364="","",Brand_Log!$A164&amp;"")</f>
        <v/>
      </c>
      <c r="E1364" s="17">
        <f>IF(B1364="","",IF(Brand_Log!B164="","",Brand_Log!B164&amp;""))</f>
        <v/>
      </c>
      <c r="F1364" s="17">
        <f>IF(B1364="","","budget_probe")</f>
        <v/>
      </c>
      <c r="G1364" s="17">
        <f>IF(B1364="","",IF(ISNUMBER(Brand_Log!V164),Brand_Log!V164,""))</f>
        <v/>
      </c>
      <c r="H1364" s="17">
        <f>IF(B1364="","",IF(Brand_Log!W164="","",Brand_Log!W164&amp;""))</f>
        <v/>
      </c>
      <c r="I1364" s="17">
        <f>IF(B1364="","",IF(Brand_Log!N164="","",Brand_Log!N164&amp;""))</f>
        <v/>
      </c>
      <c r="J1364" s="17">
        <f>IF(B1364="","","after_1500")</f>
        <v/>
      </c>
      <c r="K1364" t="inlineStr">
        <is>
          <t>brand budget_probe after $1,500</t>
        </is>
      </c>
    </row>
    <row r="1365">
      <c r="A1365" s="17">
        <f>IF(B1365="","",B1365+(7*1000+164)/10000000)</f>
        <v/>
      </c>
      <c r="B1365" s="23">
        <f>IF(AND(Brand_Log!AN165=1,Brand_Log!U165="Y",OR(ISNUMBER(Brand_Log!V165),TRIM(Brand_Log!W165)&lt;&gt;"")),Brand_Log!G165,"")</f>
        <v/>
      </c>
      <c r="C1365" s="17">
        <f>IF(B1365="","","brand")</f>
        <v/>
      </c>
      <c r="D1365" s="17">
        <f>IF(B1365="","",Brand_Log!$A165&amp;"")</f>
        <v/>
      </c>
      <c r="E1365" s="17">
        <f>IF(B1365="","",IF(Brand_Log!B165="","",Brand_Log!B165&amp;""))</f>
        <v/>
      </c>
      <c r="F1365" s="17">
        <f>IF(B1365="","","budget_probe")</f>
        <v/>
      </c>
      <c r="G1365" s="17">
        <f>IF(B1365="","",IF(ISNUMBER(Brand_Log!V165),Brand_Log!V165,""))</f>
        <v/>
      </c>
      <c r="H1365" s="17">
        <f>IF(B1365="","",IF(Brand_Log!W165="","",Brand_Log!W165&amp;""))</f>
        <v/>
      </c>
      <c r="I1365" s="17">
        <f>IF(B1365="","",IF(Brand_Log!N165="","",Brand_Log!N165&amp;""))</f>
        <v/>
      </c>
      <c r="J1365" s="17">
        <f>IF(B1365="","","after_1500")</f>
        <v/>
      </c>
      <c r="K1365" t="inlineStr">
        <is>
          <t>brand budget_probe after $1,500</t>
        </is>
      </c>
    </row>
    <row r="1366">
      <c r="A1366" s="17">
        <f>IF(B1366="","",B1366+(7*1000+165)/10000000)</f>
        <v/>
      </c>
      <c r="B1366" s="23">
        <f>IF(AND(Brand_Log!AN166=1,Brand_Log!U166="Y",OR(ISNUMBER(Brand_Log!V166),TRIM(Brand_Log!W166)&lt;&gt;"")),Brand_Log!G166,"")</f>
        <v/>
      </c>
      <c r="C1366" s="17">
        <f>IF(B1366="","","brand")</f>
        <v/>
      </c>
      <c r="D1366" s="17">
        <f>IF(B1366="","",Brand_Log!$A166&amp;"")</f>
        <v/>
      </c>
      <c r="E1366" s="17">
        <f>IF(B1366="","",IF(Brand_Log!B166="","",Brand_Log!B166&amp;""))</f>
        <v/>
      </c>
      <c r="F1366" s="17">
        <f>IF(B1366="","","budget_probe")</f>
        <v/>
      </c>
      <c r="G1366" s="17">
        <f>IF(B1366="","",IF(ISNUMBER(Brand_Log!V166),Brand_Log!V166,""))</f>
        <v/>
      </c>
      <c r="H1366" s="17">
        <f>IF(B1366="","",IF(Brand_Log!W166="","",Brand_Log!W166&amp;""))</f>
        <v/>
      </c>
      <c r="I1366" s="17">
        <f>IF(B1366="","",IF(Brand_Log!N166="","",Brand_Log!N166&amp;""))</f>
        <v/>
      </c>
      <c r="J1366" s="17">
        <f>IF(B1366="","","after_1500")</f>
        <v/>
      </c>
      <c r="K1366" t="inlineStr">
        <is>
          <t>brand budget_probe after $1,500</t>
        </is>
      </c>
    </row>
    <row r="1367">
      <c r="A1367" s="17">
        <f>IF(B1367="","",B1367+(7*1000+166)/10000000)</f>
        <v/>
      </c>
      <c r="B1367" s="23">
        <f>IF(AND(Brand_Log!AN167=1,Brand_Log!U167="Y",OR(ISNUMBER(Brand_Log!V167),TRIM(Brand_Log!W167)&lt;&gt;"")),Brand_Log!G167,"")</f>
        <v/>
      </c>
      <c r="C1367" s="17">
        <f>IF(B1367="","","brand")</f>
        <v/>
      </c>
      <c r="D1367" s="17">
        <f>IF(B1367="","",Brand_Log!$A167&amp;"")</f>
        <v/>
      </c>
      <c r="E1367" s="17">
        <f>IF(B1367="","",IF(Brand_Log!B167="","",Brand_Log!B167&amp;""))</f>
        <v/>
      </c>
      <c r="F1367" s="17">
        <f>IF(B1367="","","budget_probe")</f>
        <v/>
      </c>
      <c r="G1367" s="17">
        <f>IF(B1367="","",IF(ISNUMBER(Brand_Log!V167),Brand_Log!V167,""))</f>
        <v/>
      </c>
      <c r="H1367" s="17">
        <f>IF(B1367="","",IF(Brand_Log!W167="","",Brand_Log!W167&amp;""))</f>
        <v/>
      </c>
      <c r="I1367" s="17">
        <f>IF(B1367="","",IF(Brand_Log!N167="","",Brand_Log!N167&amp;""))</f>
        <v/>
      </c>
      <c r="J1367" s="17">
        <f>IF(B1367="","","after_1500")</f>
        <v/>
      </c>
      <c r="K1367" t="inlineStr">
        <is>
          <t>brand budget_probe after $1,500</t>
        </is>
      </c>
    </row>
    <row r="1368">
      <c r="A1368" s="17">
        <f>IF(B1368="","",B1368+(7*1000+167)/10000000)</f>
        <v/>
      </c>
      <c r="B1368" s="23">
        <f>IF(AND(Brand_Log!AN168=1,Brand_Log!U168="Y",OR(ISNUMBER(Brand_Log!V168),TRIM(Brand_Log!W168)&lt;&gt;"")),Brand_Log!G168,"")</f>
        <v/>
      </c>
      <c r="C1368" s="17">
        <f>IF(B1368="","","brand")</f>
        <v/>
      </c>
      <c r="D1368" s="17">
        <f>IF(B1368="","",Brand_Log!$A168&amp;"")</f>
        <v/>
      </c>
      <c r="E1368" s="17">
        <f>IF(B1368="","",IF(Brand_Log!B168="","",Brand_Log!B168&amp;""))</f>
        <v/>
      </c>
      <c r="F1368" s="17">
        <f>IF(B1368="","","budget_probe")</f>
        <v/>
      </c>
      <c r="G1368" s="17">
        <f>IF(B1368="","",IF(ISNUMBER(Brand_Log!V168),Brand_Log!V168,""))</f>
        <v/>
      </c>
      <c r="H1368" s="17">
        <f>IF(B1368="","",IF(Brand_Log!W168="","",Brand_Log!W168&amp;""))</f>
        <v/>
      </c>
      <c r="I1368" s="17">
        <f>IF(B1368="","",IF(Brand_Log!N168="","",Brand_Log!N168&amp;""))</f>
        <v/>
      </c>
      <c r="J1368" s="17">
        <f>IF(B1368="","","after_1500")</f>
        <v/>
      </c>
      <c r="K1368" t="inlineStr">
        <is>
          <t>brand budget_probe after $1,500</t>
        </is>
      </c>
    </row>
    <row r="1369">
      <c r="A1369" s="17">
        <f>IF(B1369="","",B1369+(7*1000+168)/10000000)</f>
        <v/>
      </c>
      <c r="B1369" s="23">
        <f>IF(AND(Brand_Log!AN169=1,Brand_Log!U169="Y",OR(ISNUMBER(Brand_Log!V169),TRIM(Brand_Log!W169)&lt;&gt;"")),Brand_Log!G169,"")</f>
        <v/>
      </c>
      <c r="C1369" s="17">
        <f>IF(B1369="","","brand")</f>
        <v/>
      </c>
      <c r="D1369" s="17">
        <f>IF(B1369="","",Brand_Log!$A169&amp;"")</f>
        <v/>
      </c>
      <c r="E1369" s="17">
        <f>IF(B1369="","",IF(Brand_Log!B169="","",Brand_Log!B169&amp;""))</f>
        <v/>
      </c>
      <c r="F1369" s="17">
        <f>IF(B1369="","","budget_probe")</f>
        <v/>
      </c>
      <c r="G1369" s="17">
        <f>IF(B1369="","",IF(ISNUMBER(Brand_Log!V169),Brand_Log!V169,""))</f>
        <v/>
      </c>
      <c r="H1369" s="17">
        <f>IF(B1369="","",IF(Brand_Log!W169="","",Brand_Log!W169&amp;""))</f>
        <v/>
      </c>
      <c r="I1369" s="17">
        <f>IF(B1369="","",IF(Brand_Log!N169="","",Brand_Log!N169&amp;""))</f>
        <v/>
      </c>
      <c r="J1369" s="17">
        <f>IF(B1369="","","after_1500")</f>
        <v/>
      </c>
      <c r="K1369" t="inlineStr">
        <is>
          <t>brand budget_probe after $1,500</t>
        </is>
      </c>
    </row>
    <row r="1370">
      <c r="A1370" s="17">
        <f>IF(B1370="","",B1370+(7*1000+169)/10000000)</f>
        <v/>
      </c>
      <c r="B1370" s="23">
        <f>IF(AND(Brand_Log!AN170=1,Brand_Log!U170="Y",OR(ISNUMBER(Brand_Log!V170),TRIM(Brand_Log!W170)&lt;&gt;"")),Brand_Log!G170,"")</f>
        <v/>
      </c>
      <c r="C1370" s="17">
        <f>IF(B1370="","","brand")</f>
        <v/>
      </c>
      <c r="D1370" s="17">
        <f>IF(B1370="","",Brand_Log!$A170&amp;"")</f>
        <v/>
      </c>
      <c r="E1370" s="17">
        <f>IF(B1370="","",IF(Brand_Log!B170="","",Brand_Log!B170&amp;""))</f>
        <v/>
      </c>
      <c r="F1370" s="17">
        <f>IF(B1370="","","budget_probe")</f>
        <v/>
      </c>
      <c r="G1370" s="17">
        <f>IF(B1370="","",IF(ISNUMBER(Brand_Log!V170),Brand_Log!V170,""))</f>
        <v/>
      </c>
      <c r="H1370" s="17">
        <f>IF(B1370="","",IF(Brand_Log!W170="","",Brand_Log!W170&amp;""))</f>
        <v/>
      </c>
      <c r="I1370" s="17">
        <f>IF(B1370="","",IF(Brand_Log!N170="","",Brand_Log!N170&amp;""))</f>
        <v/>
      </c>
      <c r="J1370" s="17">
        <f>IF(B1370="","","after_1500")</f>
        <v/>
      </c>
      <c r="K1370" t="inlineStr">
        <is>
          <t>brand budget_probe after $1,500</t>
        </is>
      </c>
    </row>
    <row r="1371">
      <c r="A1371" s="17">
        <f>IF(B1371="","",B1371+(7*1000+170)/10000000)</f>
        <v/>
      </c>
      <c r="B1371" s="23">
        <f>IF(AND(Brand_Log!AN171=1,Brand_Log!U171="Y",OR(ISNUMBER(Brand_Log!V171),TRIM(Brand_Log!W171)&lt;&gt;"")),Brand_Log!G171,"")</f>
        <v/>
      </c>
      <c r="C1371" s="17">
        <f>IF(B1371="","","brand")</f>
        <v/>
      </c>
      <c r="D1371" s="17">
        <f>IF(B1371="","",Brand_Log!$A171&amp;"")</f>
        <v/>
      </c>
      <c r="E1371" s="17">
        <f>IF(B1371="","",IF(Brand_Log!B171="","",Brand_Log!B171&amp;""))</f>
        <v/>
      </c>
      <c r="F1371" s="17">
        <f>IF(B1371="","","budget_probe")</f>
        <v/>
      </c>
      <c r="G1371" s="17">
        <f>IF(B1371="","",IF(ISNUMBER(Brand_Log!V171),Brand_Log!V171,""))</f>
        <v/>
      </c>
      <c r="H1371" s="17">
        <f>IF(B1371="","",IF(Brand_Log!W171="","",Brand_Log!W171&amp;""))</f>
        <v/>
      </c>
      <c r="I1371" s="17">
        <f>IF(B1371="","",IF(Brand_Log!N171="","",Brand_Log!N171&amp;""))</f>
        <v/>
      </c>
      <c r="J1371" s="17">
        <f>IF(B1371="","","after_1500")</f>
        <v/>
      </c>
      <c r="K1371" t="inlineStr">
        <is>
          <t>brand budget_probe after $1,500</t>
        </is>
      </c>
    </row>
    <row r="1372">
      <c r="A1372" s="17">
        <f>IF(B1372="","",B1372+(7*1000+171)/10000000)</f>
        <v/>
      </c>
      <c r="B1372" s="23">
        <f>IF(AND(Brand_Log!AN172=1,Brand_Log!U172="Y",OR(ISNUMBER(Brand_Log!V172),TRIM(Brand_Log!W172)&lt;&gt;"")),Brand_Log!G172,"")</f>
        <v/>
      </c>
      <c r="C1372" s="17">
        <f>IF(B1372="","","brand")</f>
        <v/>
      </c>
      <c r="D1372" s="17">
        <f>IF(B1372="","",Brand_Log!$A172&amp;"")</f>
        <v/>
      </c>
      <c r="E1372" s="17">
        <f>IF(B1372="","",IF(Brand_Log!B172="","",Brand_Log!B172&amp;""))</f>
        <v/>
      </c>
      <c r="F1372" s="17">
        <f>IF(B1372="","","budget_probe")</f>
        <v/>
      </c>
      <c r="G1372" s="17">
        <f>IF(B1372="","",IF(ISNUMBER(Brand_Log!V172),Brand_Log!V172,""))</f>
        <v/>
      </c>
      <c r="H1372" s="17">
        <f>IF(B1372="","",IF(Brand_Log!W172="","",Brand_Log!W172&amp;""))</f>
        <v/>
      </c>
      <c r="I1372" s="17">
        <f>IF(B1372="","",IF(Brand_Log!N172="","",Brand_Log!N172&amp;""))</f>
        <v/>
      </c>
      <c r="J1372" s="17">
        <f>IF(B1372="","","after_1500")</f>
        <v/>
      </c>
      <c r="K1372" t="inlineStr">
        <is>
          <t>brand budget_probe after $1,500</t>
        </is>
      </c>
    </row>
    <row r="1373">
      <c r="A1373" s="17">
        <f>IF(B1373="","",B1373+(7*1000+172)/10000000)</f>
        <v/>
      </c>
      <c r="B1373" s="23">
        <f>IF(AND(Brand_Log!AN173=1,Brand_Log!U173="Y",OR(ISNUMBER(Brand_Log!V173),TRIM(Brand_Log!W173)&lt;&gt;"")),Brand_Log!G173,"")</f>
        <v/>
      </c>
      <c r="C1373" s="17">
        <f>IF(B1373="","","brand")</f>
        <v/>
      </c>
      <c r="D1373" s="17">
        <f>IF(B1373="","",Brand_Log!$A173&amp;"")</f>
        <v/>
      </c>
      <c r="E1373" s="17">
        <f>IF(B1373="","",IF(Brand_Log!B173="","",Brand_Log!B173&amp;""))</f>
        <v/>
      </c>
      <c r="F1373" s="17">
        <f>IF(B1373="","","budget_probe")</f>
        <v/>
      </c>
      <c r="G1373" s="17">
        <f>IF(B1373="","",IF(ISNUMBER(Brand_Log!V173),Brand_Log!V173,""))</f>
        <v/>
      </c>
      <c r="H1373" s="17">
        <f>IF(B1373="","",IF(Brand_Log!W173="","",Brand_Log!W173&amp;""))</f>
        <v/>
      </c>
      <c r="I1373" s="17">
        <f>IF(B1373="","",IF(Brand_Log!N173="","",Brand_Log!N173&amp;""))</f>
        <v/>
      </c>
      <c r="J1373" s="17">
        <f>IF(B1373="","","after_1500")</f>
        <v/>
      </c>
      <c r="K1373" t="inlineStr">
        <is>
          <t>brand budget_probe after $1,500</t>
        </is>
      </c>
    </row>
    <row r="1374">
      <c r="A1374" s="17">
        <f>IF(B1374="","",B1374+(7*1000+173)/10000000)</f>
        <v/>
      </c>
      <c r="B1374" s="23">
        <f>IF(AND(Brand_Log!AN174=1,Brand_Log!U174="Y",OR(ISNUMBER(Brand_Log!V174),TRIM(Brand_Log!W174)&lt;&gt;"")),Brand_Log!G174,"")</f>
        <v/>
      </c>
      <c r="C1374" s="17">
        <f>IF(B1374="","","brand")</f>
        <v/>
      </c>
      <c r="D1374" s="17">
        <f>IF(B1374="","",Brand_Log!$A174&amp;"")</f>
        <v/>
      </c>
      <c r="E1374" s="17">
        <f>IF(B1374="","",IF(Brand_Log!B174="","",Brand_Log!B174&amp;""))</f>
        <v/>
      </c>
      <c r="F1374" s="17">
        <f>IF(B1374="","","budget_probe")</f>
        <v/>
      </c>
      <c r="G1374" s="17">
        <f>IF(B1374="","",IF(ISNUMBER(Brand_Log!V174),Brand_Log!V174,""))</f>
        <v/>
      </c>
      <c r="H1374" s="17">
        <f>IF(B1374="","",IF(Brand_Log!W174="","",Brand_Log!W174&amp;""))</f>
        <v/>
      </c>
      <c r="I1374" s="17">
        <f>IF(B1374="","",IF(Brand_Log!N174="","",Brand_Log!N174&amp;""))</f>
        <v/>
      </c>
      <c r="J1374" s="17">
        <f>IF(B1374="","","after_1500")</f>
        <v/>
      </c>
      <c r="K1374" t="inlineStr">
        <is>
          <t>brand budget_probe after $1,500</t>
        </is>
      </c>
    </row>
    <row r="1375">
      <c r="A1375" s="17">
        <f>IF(B1375="","",B1375+(7*1000+174)/10000000)</f>
        <v/>
      </c>
      <c r="B1375" s="23">
        <f>IF(AND(Brand_Log!AN175=1,Brand_Log!U175="Y",OR(ISNUMBER(Brand_Log!V175),TRIM(Brand_Log!W175)&lt;&gt;"")),Brand_Log!G175,"")</f>
        <v/>
      </c>
      <c r="C1375" s="17">
        <f>IF(B1375="","","brand")</f>
        <v/>
      </c>
      <c r="D1375" s="17">
        <f>IF(B1375="","",Brand_Log!$A175&amp;"")</f>
        <v/>
      </c>
      <c r="E1375" s="17">
        <f>IF(B1375="","",IF(Brand_Log!B175="","",Brand_Log!B175&amp;""))</f>
        <v/>
      </c>
      <c r="F1375" s="17">
        <f>IF(B1375="","","budget_probe")</f>
        <v/>
      </c>
      <c r="G1375" s="17">
        <f>IF(B1375="","",IF(ISNUMBER(Brand_Log!V175),Brand_Log!V175,""))</f>
        <v/>
      </c>
      <c r="H1375" s="17">
        <f>IF(B1375="","",IF(Brand_Log!W175="","",Brand_Log!W175&amp;""))</f>
        <v/>
      </c>
      <c r="I1375" s="17">
        <f>IF(B1375="","",IF(Brand_Log!N175="","",Brand_Log!N175&amp;""))</f>
        <v/>
      </c>
      <c r="J1375" s="17">
        <f>IF(B1375="","","after_1500")</f>
        <v/>
      </c>
      <c r="K1375" t="inlineStr">
        <is>
          <t>brand budget_probe after $1,500</t>
        </is>
      </c>
    </row>
    <row r="1376">
      <c r="A1376" s="17">
        <f>IF(B1376="","",B1376+(7*1000+175)/10000000)</f>
        <v/>
      </c>
      <c r="B1376" s="23">
        <f>IF(AND(Brand_Log!AN176=1,Brand_Log!U176="Y",OR(ISNUMBER(Brand_Log!V176),TRIM(Brand_Log!W176)&lt;&gt;"")),Brand_Log!G176,"")</f>
        <v/>
      </c>
      <c r="C1376" s="17">
        <f>IF(B1376="","","brand")</f>
        <v/>
      </c>
      <c r="D1376" s="17">
        <f>IF(B1376="","",Brand_Log!$A176&amp;"")</f>
        <v/>
      </c>
      <c r="E1376" s="17">
        <f>IF(B1376="","",IF(Brand_Log!B176="","",Brand_Log!B176&amp;""))</f>
        <v/>
      </c>
      <c r="F1376" s="17">
        <f>IF(B1376="","","budget_probe")</f>
        <v/>
      </c>
      <c r="G1376" s="17">
        <f>IF(B1376="","",IF(ISNUMBER(Brand_Log!V176),Brand_Log!V176,""))</f>
        <v/>
      </c>
      <c r="H1376" s="17">
        <f>IF(B1376="","",IF(Brand_Log!W176="","",Brand_Log!W176&amp;""))</f>
        <v/>
      </c>
      <c r="I1376" s="17">
        <f>IF(B1376="","",IF(Brand_Log!N176="","",Brand_Log!N176&amp;""))</f>
        <v/>
      </c>
      <c r="J1376" s="17">
        <f>IF(B1376="","","after_1500")</f>
        <v/>
      </c>
      <c r="K1376" t="inlineStr">
        <is>
          <t>brand budget_probe after $1,500</t>
        </is>
      </c>
    </row>
    <row r="1377">
      <c r="A1377" s="17">
        <f>IF(B1377="","",B1377+(7*1000+176)/10000000)</f>
        <v/>
      </c>
      <c r="B1377" s="23">
        <f>IF(AND(Brand_Log!AN177=1,Brand_Log!U177="Y",OR(ISNUMBER(Brand_Log!V177),TRIM(Brand_Log!W177)&lt;&gt;"")),Brand_Log!G177,"")</f>
        <v/>
      </c>
      <c r="C1377" s="17">
        <f>IF(B1377="","","brand")</f>
        <v/>
      </c>
      <c r="D1377" s="17">
        <f>IF(B1377="","",Brand_Log!$A177&amp;"")</f>
        <v/>
      </c>
      <c r="E1377" s="17">
        <f>IF(B1377="","",IF(Brand_Log!B177="","",Brand_Log!B177&amp;""))</f>
        <v/>
      </c>
      <c r="F1377" s="17">
        <f>IF(B1377="","","budget_probe")</f>
        <v/>
      </c>
      <c r="G1377" s="17">
        <f>IF(B1377="","",IF(ISNUMBER(Brand_Log!V177),Brand_Log!V177,""))</f>
        <v/>
      </c>
      <c r="H1377" s="17">
        <f>IF(B1377="","",IF(Brand_Log!W177="","",Brand_Log!W177&amp;""))</f>
        <v/>
      </c>
      <c r="I1377" s="17">
        <f>IF(B1377="","",IF(Brand_Log!N177="","",Brand_Log!N177&amp;""))</f>
        <v/>
      </c>
      <c r="J1377" s="17">
        <f>IF(B1377="","","after_1500")</f>
        <v/>
      </c>
      <c r="K1377" t="inlineStr">
        <is>
          <t>brand budget_probe after $1,500</t>
        </is>
      </c>
    </row>
    <row r="1378">
      <c r="A1378" s="17">
        <f>IF(B1378="","",B1378+(7*1000+177)/10000000)</f>
        <v/>
      </c>
      <c r="B1378" s="23">
        <f>IF(AND(Brand_Log!AN178=1,Brand_Log!U178="Y",OR(ISNUMBER(Brand_Log!V178),TRIM(Brand_Log!W178)&lt;&gt;"")),Brand_Log!G178,"")</f>
        <v/>
      </c>
      <c r="C1378" s="17">
        <f>IF(B1378="","","brand")</f>
        <v/>
      </c>
      <c r="D1378" s="17">
        <f>IF(B1378="","",Brand_Log!$A178&amp;"")</f>
        <v/>
      </c>
      <c r="E1378" s="17">
        <f>IF(B1378="","",IF(Brand_Log!B178="","",Brand_Log!B178&amp;""))</f>
        <v/>
      </c>
      <c r="F1378" s="17">
        <f>IF(B1378="","","budget_probe")</f>
        <v/>
      </c>
      <c r="G1378" s="17">
        <f>IF(B1378="","",IF(ISNUMBER(Brand_Log!V178),Brand_Log!V178,""))</f>
        <v/>
      </c>
      <c r="H1378" s="17">
        <f>IF(B1378="","",IF(Brand_Log!W178="","",Brand_Log!W178&amp;""))</f>
        <v/>
      </c>
      <c r="I1378" s="17">
        <f>IF(B1378="","",IF(Brand_Log!N178="","",Brand_Log!N178&amp;""))</f>
        <v/>
      </c>
      <c r="J1378" s="17">
        <f>IF(B1378="","","after_1500")</f>
        <v/>
      </c>
      <c r="K1378" t="inlineStr">
        <is>
          <t>brand budget_probe after $1,500</t>
        </is>
      </c>
    </row>
    <row r="1379">
      <c r="A1379" s="17">
        <f>IF(B1379="","",B1379+(7*1000+178)/10000000)</f>
        <v/>
      </c>
      <c r="B1379" s="23">
        <f>IF(AND(Brand_Log!AN179=1,Brand_Log!U179="Y",OR(ISNUMBER(Brand_Log!V179),TRIM(Brand_Log!W179)&lt;&gt;"")),Brand_Log!G179,"")</f>
        <v/>
      </c>
      <c r="C1379" s="17">
        <f>IF(B1379="","","brand")</f>
        <v/>
      </c>
      <c r="D1379" s="17">
        <f>IF(B1379="","",Brand_Log!$A179&amp;"")</f>
        <v/>
      </c>
      <c r="E1379" s="17">
        <f>IF(B1379="","",IF(Brand_Log!B179="","",Brand_Log!B179&amp;""))</f>
        <v/>
      </c>
      <c r="F1379" s="17">
        <f>IF(B1379="","","budget_probe")</f>
        <v/>
      </c>
      <c r="G1379" s="17">
        <f>IF(B1379="","",IF(ISNUMBER(Brand_Log!V179),Brand_Log!V179,""))</f>
        <v/>
      </c>
      <c r="H1379" s="17">
        <f>IF(B1379="","",IF(Brand_Log!W179="","",Brand_Log!W179&amp;""))</f>
        <v/>
      </c>
      <c r="I1379" s="17">
        <f>IF(B1379="","",IF(Brand_Log!N179="","",Brand_Log!N179&amp;""))</f>
        <v/>
      </c>
      <c r="J1379" s="17">
        <f>IF(B1379="","","after_1500")</f>
        <v/>
      </c>
      <c r="K1379" t="inlineStr">
        <is>
          <t>brand budget_probe after $1,500</t>
        </is>
      </c>
    </row>
    <row r="1380">
      <c r="A1380" s="17">
        <f>IF(B1380="","",B1380+(7*1000+179)/10000000)</f>
        <v/>
      </c>
      <c r="B1380" s="23">
        <f>IF(AND(Brand_Log!AN180=1,Brand_Log!U180="Y",OR(ISNUMBER(Brand_Log!V180),TRIM(Brand_Log!W180)&lt;&gt;"")),Brand_Log!G180,"")</f>
        <v/>
      </c>
      <c r="C1380" s="17">
        <f>IF(B1380="","","brand")</f>
        <v/>
      </c>
      <c r="D1380" s="17">
        <f>IF(B1380="","",Brand_Log!$A180&amp;"")</f>
        <v/>
      </c>
      <c r="E1380" s="17">
        <f>IF(B1380="","",IF(Brand_Log!B180="","",Brand_Log!B180&amp;""))</f>
        <v/>
      </c>
      <c r="F1380" s="17">
        <f>IF(B1380="","","budget_probe")</f>
        <v/>
      </c>
      <c r="G1380" s="17">
        <f>IF(B1380="","",IF(ISNUMBER(Brand_Log!V180),Brand_Log!V180,""))</f>
        <v/>
      </c>
      <c r="H1380" s="17">
        <f>IF(B1380="","",IF(Brand_Log!W180="","",Brand_Log!W180&amp;""))</f>
        <v/>
      </c>
      <c r="I1380" s="17">
        <f>IF(B1380="","",IF(Brand_Log!N180="","",Brand_Log!N180&amp;""))</f>
        <v/>
      </c>
      <c r="J1380" s="17">
        <f>IF(B1380="","","after_1500")</f>
        <v/>
      </c>
      <c r="K1380" t="inlineStr">
        <is>
          <t>brand budget_probe after $1,500</t>
        </is>
      </c>
    </row>
    <row r="1381">
      <c r="A1381" s="17">
        <f>IF(B1381="","",B1381+(7*1000+180)/10000000)</f>
        <v/>
      </c>
      <c r="B1381" s="23">
        <f>IF(AND(Brand_Log!AN181=1,Brand_Log!U181="Y",OR(ISNUMBER(Brand_Log!V181),TRIM(Brand_Log!W181)&lt;&gt;"")),Brand_Log!G181,"")</f>
        <v/>
      </c>
      <c r="C1381" s="17">
        <f>IF(B1381="","","brand")</f>
        <v/>
      </c>
      <c r="D1381" s="17">
        <f>IF(B1381="","",Brand_Log!$A181&amp;"")</f>
        <v/>
      </c>
      <c r="E1381" s="17">
        <f>IF(B1381="","",IF(Brand_Log!B181="","",Brand_Log!B181&amp;""))</f>
        <v/>
      </c>
      <c r="F1381" s="17">
        <f>IF(B1381="","","budget_probe")</f>
        <v/>
      </c>
      <c r="G1381" s="17">
        <f>IF(B1381="","",IF(ISNUMBER(Brand_Log!V181),Brand_Log!V181,""))</f>
        <v/>
      </c>
      <c r="H1381" s="17">
        <f>IF(B1381="","",IF(Brand_Log!W181="","",Brand_Log!W181&amp;""))</f>
        <v/>
      </c>
      <c r="I1381" s="17">
        <f>IF(B1381="","",IF(Brand_Log!N181="","",Brand_Log!N181&amp;""))</f>
        <v/>
      </c>
      <c r="J1381" s="17">
        <f>IF(B1381="","","after_1500")</f>
        <v/>
      </c>
      <c r="K1381" t="inlineStr">
        <is>
          <t>brand budget_probe after $1,500</t>
        </is>
      </c>
    </row>
    <row r="1382">
      <c r="A1382" s="17">
        <f>IF(B1382="","",B1382+(7*1000+181)/10000000)</f>
        <v/>
      </c>
      <c r="B1382" s="23">
        <f>IF(AND(Brand_Log!AN182=1,Brand_Log!U182="Y",OR(ISNUMBER(Brand_Log!V182),TRIM(Brand_Log!W182)&lt;&gt;"")),Brand_Log!G182,"")</f>
        <v/>
      </c>
      <c r="C1382" s="17">
        <f>IF(B1382="","","brand")</f>
        <v/>
      </c>
      <c r="D1382" s="17">
        <f>IF(B1382="","",Brand_Log!$A182&amp;"")</f>
        <v/>
      </c>
      <c r="E1382" s="17">
        <f>IF(B1382="","",IF(Brand_Log!B182="","",Brand_Log!B182&amp;""))</f>
        <v/>
      </c>
      <c r="F1382" s="17">
        <f>IF(B1382="","","budget_probe")</f>
        <v/>
      </c>
      <c r="G1382" s="17">
        <f>IF(B1382="","",IF(ISNUMBER(Brand_Log!V182),Brand_Log!V182,""))</f>
        <v/>
      </c>
      <c r="H1382" s="17">
        <f>IF(B1382="","",IF(Brand_Log!W182="","",Brand_Log!W182&amp;""))</f>
        <v/>
      </c>
      <c r="I1382" s="17">
        <f>IF(B1382="","",IF(Brand_Log!N182="","",Brand_Log!N182&amp;""))</f>
        <v/>
      </c>
      <c r="J1382" s="17">
        <f>IF(B1382="","","after_1500")</f>
        <v/>
      </c>
      <c r="K1382" t="inlineStr">
        <is>
          <t>brand budget_probe after $1,500</t>
        </is>
      </c>
    </row>
    <row r="1383">
      <c r="A1383" s="17">
        <f>IF(B1383="","",B1383+(7*1000+182)/10000000)</f>
        <v/>
      </c>
      <c r="B1383" s="23">
        <f>IF(AND(Brand_Log!AN183=1,Brand_Log!U183="Y",OR(ISNUMBER(Brand_Log!V183),TRIM(Brand_Log!W183)&lt;&gt;"")),Brand_Log!G183,"")</f>
        <v/>
      </c>
      <c r="C1383" s="17">
        <f>IF(B1383="","","brand")</f>
        <v/>
      </c>
      <c r="D1383" s="17">
        <f>IF(B1383="","",Brand_Log!$A183&amp;"")</f>
        <v/>
      </c>
      <c r="E1383" s="17">
        <f>IF(B1383="","",IF(Brand_Log!B183="","",Brand_Log!B183&amp;""))</f>
        <v/>
      </c>
      <c r="F1383" s="17">
        <f>IF(B1383="","","budget_probe")</f>
        <v/>
      </c>
      <c r="G1383" s="17">
        <f>IF(B1383="","",IF(ISNUMBER(Brand_Log!V183),Brand_Log!V183,""))</f>
        <v/>
      </c>
      <c r="H1383" s="17">
        <f>IF(B1383="","",IF(Brand_Log!W183="","",Brand_Log!W183&amp;""))</f>
        <v/>
      </c>
      <c r="I1383" s="17">
        <f>IF(B1383="","",IF(Brand_Log!N183="","",Brand_Log!N183&amp;""))</f>
        <v/>
      </c>
      <c r="J1383" s="17">
        <f>IF(B1383="","","after_1500")</f>
        <v/>
      </c>
      <c r="K1383" t="inlineStr">
        <is>
          <t>brand budget_probe after $1,500</t>
        </is>
      </c>
    </row>
    <row r="1384">
      <c r="A1384" s="17">
        <f>IF(B1384="","",B1384+(7*1000+183)/10000000)</f>
        <v/>
      </c>
      <c r="B1384" s="23">
        <f>IF(AND(Brand_Log!AN184=1,Brand_Log!U184="Y",OR(ISNUMBER(Brand_Log!V184),TRIM(Brand_Log!W184)&lt;&gt;"")),Brand_Log!G184,"")</f>
        <v/>
      </c>
      <c r="C1384" s="17">
        <f>IF(B1384="","","brand")</f>
        <v/>
      </c>
      <c r="D1384" s="17">
        <f>IF(B1384="","",Brand_Log!$A184&amp;"")</f>
        <v/>
      </c>
      <c r="E1384" s="17">
        <f>IF(B1384="","",IF(Brand_Log!B184="","",Brand_Log!B184&amp;""))</f>
        <v/>
      </c>
      <c r="F1384" s="17">
        <f>IF(B1384="","","budget_probe")</f>
        <v/>
      </c>
      <c r="G1384" s="17">
        <f>IF(B1384="","",IF(ISNUMBER(Brand_Log!V184),Brand_Log!V184,""))</f>
        <v/>
      </c>
      <c r="H1384" s="17">
        <f>IF(B1384="","",IF(Brand_Log!W184="","",Brand_Log!W184&amp;""))</f>
        <v/>
      </c>
      <c r="I1384" s="17">
        <f>IF(B1384="","",IF(Brand_Log!N184="","",Brand_Log!N184&amp;""))</f>
        <v/>
      </c>
      <c r="J1384" s="17">
        <f>IF(B1384="","","after_1500")</f>
        <v/>
      </c>
      <c r="K1384" t="inlineStr">
        <is>
          <t>brand budget_probe after $1,500</t>
        </is>
      </c>
    </row>
    <row r="1385">
      <c r="A1385" s="17">
        <f>IF(B1385="","",B1385+(7*1000+184)/10000000)</f>
        <v/>
      </c>
      <c r="B1385" s="23">
        <f>IF(AND(Brand_Log!AN185=1,Brand_Log!U185="Y",OR(ISNUMBER(Brand_Log!V185),TRIM(Brand_Log!W185)&lt;&gt;"")),Brand_Log!G185,"")</f>
        <v/>
      </c>
      <c r="C1385" s="17">
        <f>IF(B1385="","","brand")</f>
        <v/>
      </c>
      <c r="D1385" s="17">
        <f>IF(B1385="","",Brand_Log!$A185&amp;"")</f>
        <v/>
      </c>
      <c r="E1385" s="17">
        <f>IF(B1385="","",IF(Brand_Log!B185="","",Brand_Log!B185&amp;""))</f>
        <v/>
      </c>
      <c r="F1385" s="17">
        <f>IF(B1385="","","budget_probe")</f>
        <v/>
      </c>
      <c r="G1385" s="17">
        <f>IF(B1385="","",IF(ISNUMBER(Brand_Log!V185),Brand_Log!V185,""))</f>
        <v/>
      </c>
      <c r="H1385" s="17">
        <f>IF(B1385="","",IF(Brand_Log!W185="","",Brand_Log!W185&amp;""))</f>
        <v/>
      </c>
      <c r="I1385" s="17">
        <f>IF(B1385="","",IF(Brand_Log!N185="","",Brand_Log!N185&amp;""))</f>
        <v/>
      </c>
      <c r="J1385" s="17">
        <f>IF(B1385="","","after_1500")</f>
        <v/>
      </c>
      <c r="K1385" t="inlineStr">
        <is>
          <t>brand budget_probe after $1,500</t>
        </is>
      </c>
    </row>
    <row r="1386">
      <c r="A1386" s="17">
        <f>IF(B1386="","",B1386+(7*1000+185)/10000000)</f>
        <v/>
      </c>
      <c r="B1386" s="23">
        <f>IF(AND(Brand_Log!AN186=1,Brand_Log!U186="Y",OR(ISNUMBER(Brand_Log!V186),TRIM(Brand_Log!W186)&lt;&gt;"")),Brand_Log!G186,"")</f>
        <v/>
      </c>
      <c r="C1386" s="17">
        <f>IF(B1386="","","brand")</f>
        <v/>
      </c>
      <c r="D1386" s="17">
        <f>IF(B1386="","",Brand_Log!$A186&amp;"")</f>
        <v/>
      </c>
      <c r="E1386" s="17">
        <f>IF(B1386="","",IF(Brand_Log!B186="","",Brand_Log!B186&amp;""))</f>
        <v/>
      </c>
      <c r="F1386" s="17">
        <f>IF(B1386="","","budget_probe")</f>
        <v/>
      </c>
      <c r="G1386" s="17">
        <f>IF(B1386="","",IF(ISNUMBER(Brand_Log!V186),Brand_Log!V186,""))</f>
        <v/>
      </c>
      <c r="H1386" s="17">
        <f>IF(B1386="","",IF(Brand_Log!W186="","",Brand_Log!W186&amp;""))</f>
        <v/>
      </c>
      <c r="I1386" s="17">
        <f>IF(B1386="","",IF(Brand_Log!N186="","",Brand_Log!N186&amp;""))</f>
        <v/>
      </c>
      <c r="J1386" s="17">
        <f>IF(B1386="","","after_1500")</f>
        <v/>
      </c>
      <c r="K1386" t="inlineStr">
        <is>
          <t>brand budget_probe after $1,500</t>
        </is>
      </c>
    </row>
    <row r="1387">
      <c r="A1387" s="17">
        <f>IF(B1387="","",B1387+(7*1000+186)/10000000)</f>
        <v/>
      </c>
      <c r="B1387" s="23">
        <f>IF(AND(Brand_Log!AN187=1,Brand_Log!U187="Y",OR(ISNUMBER(Brand_Log!V187),TRIM(Brand_Log!W187)&lt;&gt;"")),Brand_Log!G187,"")</f>
        <v/>
      </c>
      <c r="C1387" s="17">
        <f>IF(B1387="","","brand")</f>
        <v/>
      </c>
      <c r="D1387" s="17">
        <f>IF(B1387="","",Brand_Log!$A187&amp;"")</f>
        <v/>
      </c>
      <c r="E1387" s="17">
        <f>IF(B1387="","",IF(Brand_Log!B187="","",Brand_Log!B187&amp;""))</f>
        <v/>
      </c>
      <c r="F1387" s="17">
        <f>IF(B1387="","","budget_probe")</f>
        <v/>
      </c>
      <c r="G1387" s="17">
        <f>IF(B1387="","",IF(ISNUMBER(Brand_Log!V187),Brand_Log!V187,""))</f>
        <v/>
      </c>
      <c r="H1387" s="17">
        <f>IF(B1387="","",IF(Brand_Log!W187="","",Brand_Log!W187&amp;""))</f>
        <v/>
      </c>
      <c r="I1387" s="17">
        <f>IF(B1387="","",IF(Brand_Log!N187="","",Brand_Log!N187&amp;""))</f>
        <v/>
      </c>
      <c r="J1387" s="17">
        <f>IF(B1387="","","after_1500")</f>
        <v/>
      </c>
      <c r="K1387" t="inlineStr">
        <is>
          <t>brand budget_probe after $1,500</t>
        </is>
      </c>
    </row>
    <row r="1388">
      <c r="A1388" s="17">
        <f>IF(B1388="","",B1388+(7*1000+187)/10000000)</f>
        <v/>
      </c>
      <c r="B1388" s="23">
        <f>IF(AND(Brand_Log!AN188=1,Brand_Log!U188="Y",OR(ISNUMBER(Brand_Log!V188),TRIM(Brand_Log!W188)&lt;&gt;"")),Brand_Log!G188,"")</f>
        <v/>
      </c>
      <c r="C1388" s="17">
        <f>IF(B1388="","","brand")</f>
        <v/>
      </c>
      <c r="D1388" s="17">
        <f>IF(B1388="","",Brand_Log!$A188&amp;"")</f>
        <v/>
      </c>
      <c r="E1388" s="17">
        <f>IF(B1388="","",IF(Brand_Log!B188="","",Brand_Log!B188&amp;""))</f>
        <v/>
      </c>
      <c r="F1388" s="17">
        <f>IF(B1388="","","budget_probe")</f>
        <v/>
      </c>
      <c r="G1388" s="17">
        <f>IF(B1388="","",IF(ISNUMBER(Brand_Log!V188),Brand_Log!V188,""))</f>
        <v/>
      </c>
      <c r="H1388" s="17">
        <f>IF(B1388="","",IF(Brand_Log!W188="","",Brand_Log!W188&amp;""))</f>
        <v/>
      </c>
      <c r="I1388" s="17">
        <f>IF(B1388="","",IF(Brand_Log!N188="","",Brand_Log!N188&amp;""))</f>
        <v/>
      </c>
      <c r="J1388" s="17">
        <f>IF(B1388="","","after_1500")</f>
        <v/>
      </c>
      <c r="K1388" t="inlineStr">
        <is>
          <t>brand budget_probe after $1,500</t>
        </is>
      </c>
    </row>
    <row r="1389">
      <c r="A1389" s="17">
        <f>IF(B1389="","",B1389+(7*1000+188)/10000000)</f>
        <v/>
      </c>
      <c r="B1389" s="23">
        <f>IF(AND(Brand_Log!AN189=1,Brand_Log!U189="Y",OR(ISNUMBER(Brand_Log!V189),TRIM(Brand_Log!W189)&lt;&gt;"")),Brand_Log!G189,"")</f>
        <v/>
      </c>
      <c r="C1389" s="17">
        <f>IF(B1389="","","brand")</f>
        <v/>
      </c>
      <c r="D1389" s="17">
        <f>IF(B1389="","",Brand_Log!$A189&amp;"")</f>
        <v/>
      </c>
      <c r="E1389" s="17">
        <f>IF(B1389="","",IF(Brand_Log!B189="","",Brand_Log!B189&amp;""))</f>
        <v/>
      </c>
      <c r="F1389" s="17">
        <f>IF(B1389="","","budget_probe")</f>
        <v/>
      </c>
      <c r="G1389" s="17">
        <f>IF(B1389="","",IF(ISNUMBER(Brand_Log!V189),Brand_Log!V189,""))</f>
        <v/>
      </c>
      <c r="H1389" s="17">
        <f>IF(B1389="","",IF(Brand_Log!W189="","",Brand_Log!W189&amp;""))</f>
        <v/>
      </c>
      <c r="I1389" s="17">
        <f>IF(B1389="","",IF(Brand_Log!N189="","",Brand_Log!N189&amp;""))</f>
        <v/>
      </c>
      <c r="J1389" s="17">
        <f>IF(B1389="","","after_1500")</f>
        <v/>
      </c>
      <c r="K1389" t="inlineStr">
        <is>
          <t>brand budget_probe after $1,500</t>
        </is>
      </c>
    </row>
    <row r="1390">
      <c r="A1390" s="17">
        <f>IF(B1390="","",B1390+(7*1000+189)/10000000)</f>
        <v/>
      </c>
      <c r="B1390" s="23">
        <f>IF(AND(Brand_Log!AN190=1,Brand_Log!U190="Y",OR(ISNUMBER(Brand_Log!V190),TRIM(Brand_Log!W190)&lt;&gt;"")),Brand_Log!G190,"")</f>
        <v/>
      </c>
      <c r="C1390" s="17">
        <f>IF(B1390="","","brand")</f>
        <v/>
      </c>
      <c r="D1390" s="17">
        <f>IF(B1390="","",Brand_Log!$A190&amp;"")</f>
        <v/>
      </c>
      <c r="E1390" s="17">
        <f>IF(B1390="","",IF(Brand_Log!B190="","",Brand_Log!B190&amp;""))</f>
        <v/>
      </c>
      <c r="F1390" s="17">
        <f>IF(B1390="","","budget_probe")</f>
        <v/>
      </c>
      <c r="G1390" s="17">
        <f>IF(B1390="","",IF(ISNUMBER(Brand_Log!V190),Brand_Log!V190,""))</f>
        <v/>
      </c>
      <c r="H1390" s="17">
        <f>IF(B1390="","",IF(Brand_Log!W190="","",Brand_Log!W190&amp;""))</f>
        <v/>
      </c>
      <c r="I1390" s="17">
        <f>IF(B1390="","",IF(Brand_Log!N190="","",Brand_Log!N190&amp;""))</f>
        <v/>
      </c>
      <c r="J1390" s="17">
        <f>IF(B1390="","","after_1500")</f>
        <v/>
      </c>
      <c r="K1390" t="inlineStr">
        <is>
          <t>brand budget_probe after $1,500</t>
        </is>
      </c>
    </row>
    <row r="1391">
      <c r="A1391" s="17">
        <f>IF(B1391="","",B1391+(7*1000+190)/10000000)</f>
        <v/>
      </c>
      <c r="B1391" s="23">
        <f>IF(AND(Brand_Log!AN191=1,Brand_Log!U191="Y",OR(ISNUMBER(Brand_Log!V191),TRIM(Brand_Log!W191)&lt;&gt;"")),Brand_Log!G191,"")</f>
        <v/>
      </c>
      <c r="C1391" s="17">
        <f>IF(B1391="","","brand")</f>
        <v/>
      </c>
      <c r="D1391" s="17">
        <f>IF(B1391="","",Brand_Log!$A191&amp;"")</f>
        <v/>
      </c>
      <c r="E1391" s="17">
        <f>IF(B1391="","",IF(Brand_Log!B191="","",Brand_Log!B191&amp;""))</f>
        <v/>
      </c>
      <c r="F1391" s="17">
        <f>IF(B1391="","","budget_probe")</f>
        <v/>
      </c>
      <c r="G1391" s="17">
        <f>IF(B1391="","",IF(ISNUMBER(Brand_Log!V191),Brand_Log!V191,""))</f>
        <v/>
      </c>
      <c r="H1391" s="17">
        <f>IF(B1391="","",IF(Brand_Log!W191="","",Brand_Log!W191&amp;""))</f>
        <v/>
      </c>
      <c r="I1391" s="17">
        <f>IF(B1391="","",IF(Brand_Log!N191="","",Brand_Log!N191&amp;""))</f>
        <v/>
      </c>
      <c r="J1391" s="17">
        <f>IF(B1391="","","after_1500")</f>
        <v/>
      </c>
      <c r="K1391" t="inlineStr">
        <is>
          <t>brand budget_probe after $1,500</t>
        </is>
      </c>
    </row>
    <row r="1392">
      <c r="A1392" s="17">
        <f>IF(B1392="","",B1392+(7*1000+191)/10000000)</f>
        <v/>
      </c>
      <c r="B1392" s="23">
        <f>IF(AND(Brand_Log!AN192=1,Brand_Log!U192="Y",OR(ISNUMBER(Brand_Log!V192),TRIM(Brand_Log!W192)&lt;&gt;"")),Brand_Log!G192,"")</f>
        <v/>
      </c>
      <c r="C1392" s="17">
        <f>IF(B1392="","","brand")</f>
        <v/>
      </c>
      <c r="D1392" s="17">
        <f>IF(B1392="","",Brand_Log!$A192&amp;"")</f>
        <v/>
      </c>
      <c r="E1392" s="17">
        <f>IF(B1392="","",IF(Brand_Log!B192="","",Brand_Log!B192&amp;""))</f>
        <v/>
      </c>
      <c r="F1392" s="17">
        <f>IF(B1392="","","budget_probe")</f>
        <v/>
      </c>
      <c r="G1392" s="17">
        <f>IF(B1392="","",IF(ISNUMBER(Brand_Log!V192),Brand_Log!V192,""))</f>
        <v/>
      </c>
      <c r="H1392" s="17">
        <f>IF(B1392="","",IF(Brand_Log!W192="","",Brand_Log!W192&amp;""))</f>
        <v/>
      </c>
      <c r="I1392" s="17">
        <f>IF(B1392="","",IF(Brand_Log!N192="","",Brand_Log!N192&amp;""))</f>
        <v/>
      </c>
      <c r="J1392" s="17">
        <f>IF(B1392="","","after_1500")</f>
        <v/>
      </c>
      <c r="K1392" t="inlineStr">
        <is>
          <t>brand budget_probe after $1,500</t>
        </is>
      </c>
    </row>
    <row r="1393">
      <c r="A1393" s="17">
        <f>IF(B1393="","",B1393+(7*1000+192)/10000000)</f>
        <v/>
      </c>
      <c r="B1393" s="23">
        <f>IF(AND(Brand_Log!AN193=1,Brand_Log!U193="Y",OR(ISNUMBER(Brand_Log!V193),TRIM(Brand_Log!W193)&lt;&gt;"")),Brand_Log!G193,"")</f>
        <v/>
      </c>
      <c r="C1393" s="17">
        <f>IF(B1393="","","brand")</f>
        <v/>
      </c>
      <c r="D1393" s="17">
        <f>IF(B1393="","",Brand_Log!$A193&amp;"")</f>
        <v/>
      </c>
      <c r="E1393" s="17">
        <f>IF(B1393="","",IF(Brand_Log!B193="","",Brand_Log!B193&amp;""))</f>
        <v/>
      </c>
      <c r="F1393" s="17">
        <f>IF(B1393="","","budget_probe")</f>
        <v/>
      </c>
      <c r="G1393" s="17">
        <f>IF(B1393="","",IF(ISNUMBER(Brand_Log!V193),Brand_Log!V193,""))</f>
        <v/>
      </c>
      <c r="H1393" s="17">
        <f>IF(B1393="","",IF(Brand_Log!W193="","",Brand_Log!W193&amp;""))</f>
        <v/>
      </c>
      <c r="I1393" s="17">
        <f>IF(B1393="","",IF(Brand_Log!N193="","",Brand_Log!N193&amp;""))</f>
        <v/>
      </c>
      <c r="J1393" s="17">
        <f>IF(B1393="","","after_1500")</f>
        <v/>
      </c>
      <c r="K1393" t="inlineStr">
        <is>
          <t>brand budget_probe after $1,500</t>
        </is>
      </c>
    </row>
    <row r="1394">
      <c r="A1394" s="17">
        <f>IF(B1394="","",B1394+(7*1000+193)/10000000)</f>
        <v/>
      </c>
      <c r="B1394" s="23">
        <f>IF(AND(Brand_Log!AN194=1,Brand_Log!U194="Y",OR(ISNUMBER(Brand_Log!V194),TRIM(Brand_Log!W194)&lt;&gt;"")),Brand_Log!G194,"")</f>
        <v/>
      </c>
      <c r="C1394" s="17">
        <f>IF(B1394="","","brand")</f>
        <v/>
      </c>
      <c r="D1394" s="17">
        <f>IF(B1394="","",Brand_Log!$A194&amp;"")</f>
        <v/>
      </c>
      <c r="E1394" s="17">
        <f>IF(B1394="","",IF(Brand_Log!B194="","",Brand_Log!B194&amp;""))</f>
        <v/>
      </c>
      <c r="F1394" s="17">
        <f>IF(B1394="","","budget_probe")</f>
        <v/>
      </c>
      <c r="G1394" s="17">
        <f>IF(B1394="","",IF(ISNUMBER(Brand_Log!V194),Brand_Log!V194,""))</f>
        <v/>
      </c>
      <c r="H1394" s="17">
        <f>IF(B1394="","",IF(Brand_Log!W194="","",Brand_Log!W194&amp;""))</f>
        <v/>
      </c>
      <c r="I1394" s="17">
        <f>IF(B1394="","",IF(Brand_Log!N194="","",Brand_Log!N194&amp;""))</f>
        <v/>
      </c>
      <c r="J1394" s="17">
        <f>IF(B1394="","","after_1500")</f>
        <v/>
      </c>
      <c r="K1394" t="inlineStr">
        <is>
          <t>brand budget_probe after $1,500</t>
        </is>
      </c>
    </row>
    <row r="1395">
      <c r="A1395" s="17">
        <f>IF(B1395="","",B1395+(7*1000+194)/10000000)</f>
        <v/>
      </c>
      <c r="B1395" s="23">
        <f>IF(AND(Brand_Log!AN195=1,Brand_Log!U195="Y",OR(ISNUMBER(Brand_Log!V195),TRIM(Brand_Log!W195)&lt;&gt;"")),Brand_Log!G195,"")</f>
        <v/>
      </c>
      <c r="C1395" s="17">
        <f>IF(B1395="","","brand")</f>
        <v/>
      </c>
      <c r="D1395" s="17">
        <f>IF(B1395="","",Brand_Log!$A195&amp;"")</f>
        <v/>
      </c>
      <c r="E1395" s="17">
        <f>IF(B1395="","",IF(Brand_Log!B195="","",Brand_Log!B195&amp;""))</f>
        <v/>
      </c>
      <c r="F1395" s="17">
        <f>IF(B1395="","","budget_probe")</f>
        <v/>
      </c>
      <c r="G1395" s="17">
        <f>IF(B1395="","",IF(ISNUMBER(Brand_Log!V195),Brand_Log!V195,""))</f>
        <v/>
      </c>
      <c r="H1395" s="17">
        <f>IF(B1395="","",IF(Brand_Log!W195="","",Brand_Log!W195&amp;""))</f>
        <v/>
      </c>
      <c r="I1395" s="17">
        <f>IF(B1395="","",IF(Brand_Log!N195="","",Brand_Log!N195&amp;""))</f>
        <v/>
      </c>
      <c r="J1395" s="17">
        <f>IF(B1395="","","after_1500")</f>
        <v/>
      </c>
      <c r="K1395" t="inlineStr">
        <is>
          <t>brand budget_probe after $1,500</t>
        </is>
      </c>
    </row>
    <row r="1396">
      <c r="A1396" s="17">
        <f>IF(B1396="","",B1396+(7*1000+195)/10000000)</f>
        <v/>
      </c>
      <c r="B1396" s="23">
        <f>IF(AND(Brand_Log!AN196=1,Brand_Log!U196="Y",OR(ISNUMBER(Brand_Log!V196),TRIM(Brand_Log!W196)&lt;&gt;"")),Brand_Log!G196,"")</f>
        <v/>
      </c>
      <c r="C1396" s="17">
        <f>IF(B1396="","","brand")</f>
        <v/>
      </c>
      <c r="D1396" s="17">
        <f>IF(B1396="","",Brand_Log!$A196&amp;"")</f>
        <v/>
      </c>
      <c r="E1396" s="17">
        <f>IF(B1396="","",IF(Brand_Log!B196="","",Brand_Log!B196&amp;""))</f>
        <v/>
      </c>
      <c r="F1396" s="17">
        <f>IF(B1396="","","budget_probe")</f>
        <v/>
      </c>
      <c r="G1396" s="17">
        <f>IF(B1396="","",IF(ISNUMBER(Brand_Log!V196),Brand_Log!V196,""))</f>
        <v/>
      </c>
      <c r="H1396" s="17">
        <f>IF(B1396="","",IF(Brand_Log!W196="","",Brand_Log!W196&amp;""))</f>
        <v/>
      </c>
      <c r="I1396" s="17">
        <f>IF(B1396="","",IF(Brand_Log!N196="","",Brand_Log!N196&amp;""))</f>
        <v/>
      </c>
      <c r="J1396" s="17">
        <f>IF(B1396="","","after_1500")</f>
        <v/>
      </c>
      <c r="K1396" t="inlineStr">
        <is>
          <t>brand budget_probe after $1,500</t>
        </is>
      </c>
    </row>
    <row r="1397">
      <c r="A1397" s="17">
        <f>IF(B1397="","",B1397+(7*1000+196)/10000000)</f>
        <v/>
      </c>
      <c r="B1397" s="23">
        <f>IF(AND(Brand_Log!AN197=1,Brand_Log!U197="Y",OR(ISNUMBER(Brand_Log!V197),TRIM(Brand_Log!W197)&lt;&gt;"")),Brand_Log!G197,"")</f>
        <v/>
      </c>
      <c r="C1397" s="17">
        <f>IF(B1397="","","brand")</f>
        <v/>
      </c>
      <c r="D1397" s="17">
        <f>IF(B1397="","",Brand_Log!$A197&amp;"")</f>
        <v/>
      </c>
      <c r="E1397" s="17">
        <f>IF(B1397="","",IF(Brand_Log!B197="","",Brand_Log!B197&amp;""))</f>
        <v/>
      </c>
      <c r="F1397" s="17">
        <f>IF(B1397="","","budget_probe")</f>
        <v/>
      </c>
      <c r="G1397" s="17">
        <f>IF(B1397="","",IF(ISNUMBER(Brand_Log!V197),Brand_Log!V197,""))</f>
        <v/>
      </c>
      <c r="H1397" s="17">
        <f>IF(B1397="","",IF(Brand_Log!W197="","",Brand_Log!W197&amp;""))</f>
        <v/>
      </c>
      <c r="I1397" s="17">
        <f>IF(B1397="","",IF(Brand_Log!N197="","",Brand_Log!N197&amp;""))</f>
        <v/>
      </c>
      <c r="J1397" s="17">
        <f>IF(B1397="","","after_1500")</f>
        <v/>
      </c>
      <c r="K1397" t="inlineStr">
        <is>
          <t>brand budget_probe after $1,500</t>
        </is>
      </c>
    </row>
    <row r="1398">
      <c r="A1398" s="17">
        <f>IF(B1398="","",B1398+(7*1000+197)/10000000)</f>
        <v/>
      </c>
      <c r="B1398" s="23">
        <f>IF(AND(Brand_Log!AN198=1,Brand_Log!U198="Y",OR(ISNUMBER(Brand_Log!V198),TRIM(Brand_Log!W198)&lt;&gt;"")),Brand_Log!G198,"")</f>
        <v/>
      </c>
      <c r="C1398" s="17">
        <f>IF(B1398="","","brand")</f>
        <v/>
      </c>
      <c r="D1398" s="17">
        <f>IF(B1398="","",Brand_Log!$A198&amp;"")</f>
        <v/>
      </c>
      <c r="E1398" s="17">
        <f>IF(B1398="","",IF(Brand_Log!B198="","",Brand_Log!B198&amp;""))</f>
        <v/>
      </c>
      <c r="F1398" s="17">
        <f>IF(B1398="","","budget_probe")</f>
        <v/>
      </c>
      <c r="G1398" s="17">
        <f>IF(B1398="","",IF(ISNUMBER(Brand_Log!V198),Brand_Log!V198,""))</f>
        <v/>
      </c>
      <c r="H1398" s="17">
        <f>IF(B1398="","",IF(Brand_Log!W198="","",Brand_Log!W198&amp;""))</f>
        <v/>
      </c>
      <c r="I1398" s="17">
        <f>IF(B1398="","",IF(Brand_Log!N198="","",Brand_Log!N198&amp;""))</f>
        <v/>
      </c>
      <c r="J1398" s="17">
        <f>IF(B1398="","","after_1500")</f>
        <v/>
      </c>
      <c r="K1398" t="inlineStr">
        <is>
          <t>brand budget_probe after $1,500</t>
        </is>
      </c>
    </row>
    <row r="1399">
      <c r="A1399" s="17">
        <f>IF(B1399="","",B1399+(7*1000+198)/10000000)</f>
        <v/>
      </c>
      <c r="B1399" s="23">
        <f>IF(AND(Brand_Log!AN199=1,Brand_Log!U199="Y",OR(ISNUMBER(Brand_Log!V199),TRIM(Brand_Log!W199)&lt;&gt;"")),Brand_Log!G199,"")</f>
        <v/>
      </c>
      <c r="C1399" s="17">
        <f>IF(B1399="","","brand")</f>
        <v/>
      </c>
      <c r="D1399" s="17">
        <f>IF(B1399="","",Brand_Log!$A199&amp;"")</f>
        <v/>
      </c>
      <c r="E1399" s="17">
        <f>IF(B1399="","",IF(Brand_Log!B199="","",Brand_Log!B199&amp;""))</f>
        <v/>
      </c>
      <c r="F1399" s="17">
        <f>IF(B1399="","","budget_probe")</f>
        <v/>
      </c>
      <c r="G1399" s="17">
        <f>IF(B1399="","",IF(ISNUMBER(Brand_Log!V199),Brand_Log!V199,""))</f>
        <v/>
      </c>
      <c r="H1399" s="17">
        <f>IF(B1399="","",IF(Brand_Log!W199="","",Brand_Log!W199&amp;""))</f>
        <v/>
      </c>
      <c r="I1399" s="17">
        <f>IF(B1399="","",IF(Brand_Log!N199="","",Brand_Log!N199&amp;""))</f>
        <v/>
      </c>
      <c r="J1399" s="17">
        <f>IF(B1399="","","after_1500")</f>
        <v/>
      </c>
      <c r="K1399" t="inlineStr">
        <is>
          <t>brand budget_probe after $1,500</t>
        </is>
      </c>
    </row>
    <row r="1400">
      <c r="A1400" s="17">
        <f>IF(B1400="","",B1400+(7*1000+199)/10000000)</f>
        <v/>
      </c>
      <c r="B1400" s="23">
        <f>IF(AND(Brand_Log!AN200=1,Brand_Log!U200="Y",OR(ISNUMBER(Brand_Log!V200),TRIM(Brand_Log!W200)&lt;&gt;"")),Brand_Log!G200,"")</f>
        <v/>
      </c>
      <c r="C1400" s="17">
        <f>IF(B1400="","","brand")</f>
        <v/>
      </c>
      <c r="D1400" s="17">
        <f>IF(B1400="","",Brand_Log!$A200&amp;"")</f>
        <v/>
      </c>
      <c r="E1400" s="17">
        <f>IF(B1400="","",IF(Brand_Log!B200="","",Brand_Log!B200&amp;""))</f>
        <v/>
      </c>
      <c r="F1400" s="17">
        <f>IF(B1400="","","budget_probe")</f>
        <v/>
      </c>
      <c r="G1400" s="17">
        <f>IF(B1400="","",IF(ISNUMBER(Brand_Log!V200),Brand_Log!V200,""))</f>
        <v/>
      </c>
      <c r="H1400" s="17">
        <f>IF(B1400="","",IF(Brand_Log!W200="","",Brand_Log!W200&amp;""))</f>
        <v/>
      </c>
      <c r="I1400" s="17">
        <f>IF(B1400="","",IF(Brand_Log!N200="","",Brand_Log!N200&amp;""))</f>
        <v/>
      </c>
      <c r="J1400" s="17">
        <f>IF(B1400="","","after_1500")</f>
        <v/>
      </c>
      <c r="K1400" t="inlineStr">
        <is>
          <t>brand budget_probe after $1,500</t>
        </is>
      </c>
    </row>
    <row r="1401">
      <c r="A1401" s="17">
        <f>IF(B1401="","",B1401+(7*1000+200)/10000000)</f>
        <v/>
      </c>
      <c r="B1401" s="23">
        <f>IF(AND(Brand_Log!AN201=1,Brand_Log!U201="Y",OR(ISNUMBER(Brand_Log!V201),TRIM(Brand_Log!W201)&lt;&gt;"")),Brand_Log!G201,"")</f>
        <v/>
      </c>
      <c r="C1401" s="17">
        <f>IF(B1401="","","brand")</f>
        <v/>
      </c>
      <c r="D1401" s="17">
        <f>IF(B1401="","",Brand_Log!$A201&amp;"")</f>
        <v/>
      </c>
      <c r="E1401" s="17">
        <f>IF(B1401="","",IF(Brand_Log!B201="","",Brand_Log!B201&amp;""))</f>
        <v/>
      </c>
      <c r="F1401" s="17">
        <f>IF(B1401="","","budget_probe")</f>
        <v/>
      </c>
      <c r="G1401" s="17">
        <f>IF(B1401="","",IF(ISNUMBER(Brand_Log!V201),Brand_Log!V201,""))</f>
        <v/>
      </c>
      <c r="H1401" s="17">
        <f>IF(B1401="","",IF(Brand_Log!W201="","",Brand_Log!W201&amp;""))</f>
        <v/>
      </c>
      <c r="I1401" s="17">
        <f>IF(B1401="","",IF(Brand_Log!N201="","",Brand_Log!N201&amp;""))</f>
        <v/>
      </c>
      <c r="J1401" s="17">
        <f>IF(B1401="","","after_1500")</f>
        <v/>
      </c>
      <c r="K1401" t="inlineStr">
        <is>
          <t>brand budget_probe after $1,500</t>
        </is>
      </c>
    </row>
    <row r="1402">
      <c r="A1402" s="17">
        <f>IF(B1402="","",B1402+(8*1000+1)/10000000)</f>
        <v/>
      </c>
      <c r="B1402" s="23">
        <f>IF(AND(ISNUMBER(signed_offices!X2),TRIM(signed_offices!W2)&lt;&gt;"",OR(LEFT(signed_offices!W2,6)&lt;&gt;"SAMPLE",Config!$B$19="Y")),signed_offices!X2,"")</f>
        <v/>
      </c>
      <c r="C1402" s="17">
        <f>IF(B1402="","","office")</f>
        <v/>
      </c>
      <c r="D1402" s="17">
        <f>IF(B1402="","",signed_offices!W2&amp;"")</f>
        <v/>
      </c>
      <c r="E1402" s="17">
        <f>IF(B1402="","",IF(signed_offices!C2="","",signed_offices!C2&amp;""))</f>
        <v/>
      </c>
      <c r="F1402" s="17">
        <f>IF(B1402="","","signed")</f>
        <v/>
      </c>
      <c r="G1402" s="17">
        <f>IF(B1402="","",IF(ISNUMBER(signed_offices!J2),signed_offices!J2,""))</f>
        <v/>
      </c>
      <c r="H1402" s="17">
        <f>IF(B1402="","","")</f>
        <v/>
      </c>
      <c r="I1402" s="17">
        <f>IF(B1402="","","")</f>
        <v/>
      </c>
      <c r="J1402" s="17">
        <f>IF(B1402="","",IF(signed_offices!V2="","",signed_offices!V2&amp;""))</f>
        <v/>
      </c>
      <c r="K1402" t="inlineStr">
        <is>
          <t>office signed</t>
        </is>
      </c>
    </row>
    <row r="1403">
      <c r="A1403" s="17">
        <f>IF(B1403="","",B1403+(8*1000+2)/10000000)</f>
        <v/>
      </c>
      <c r="B1403" s="23">
        <f>IF(AND(ISNUMBER(signed_offices!X3),TRIM(signed_offices!W3)&lt;&gt;"",OR(LEFT(signed_offices!W3,6)&lt;&gt;"SAMPLE",Config!$B$19="Y")),signed_offices!X3,"")</f>
        <v/>
      </c>
      <c r="C1403" s="17">
        <f>IF(B1403="","","office")</f>
        <v/>
      </c>
      <c r="D1403" s="17">
        <f>IF(B1403="","",signed_offices!W3&amp;"")</f>
        <v/>
      </c>
      <c r="E1403" s="17">
        <f>IF(B1403="","",IF(signed_offices!C3="","",signed_offices!C3&amp;""))</f>
        <v/>
      </c>
      <c r="F1403" s="17">
        <f>IF(B1403="","","signed")</f>
        <v/>
      </c>
      <c r="G1403" s="17">
        <f>IF(B1403="","",IF(ISNUMBER(signed_offices!J3),signed_offices!J3,""))</f>
        <v/>
      </c>
      <c r="H1403" s="17">
        <f>IF(B1403="","","")</f>
        <v/>
      </c>
      <c r="I1403" s="17">
        <f>IF(B1403="","","")</f>
        <v/>
      </c>
      <c r="J1403" s="17">
        <f>IF(B1403="","",IF(signed_offices!V3="","",signed_offices!V3&amp;""))</f>
        <v/>
      </c>
      <c r="K1403" t="inlineStr">
        <is>
          <t>office signed</t>
        </is>
      </c>
    </row>
    <row r="1404">
      <c r="A1404" s="17">
        <f>IF(B1404="","",B1404+(8*1000+3)/10000000)</f>
        <v/>
      </c>
      <c r="B1404" s="23">
        <f>IF(AND(ISNUMBER(signed_offices!X4),TRIM(signed_offices!W4)&lt;&gt;"",OR(LEFT(signed_offices!W4,6)&lt;&gt;"SAMPLE",Config!$B$19="Y")),signed_offices!X4,"")</f>
        <v/>
      </c>
      <c r="C1404" s="17">
        <f>IF(B1404="","","office")</f>
        <v/>
      </c>
      <c r="D1404" s="17">
        <f>IF(B1404="","",signed_offices!W4&amp;"")</f>
        <v/>
      </c>
      <c r="E1404" s="17">
        <f>IF(B1404="","",IF(signed_offices!C4="","",signed_offices!C4&amp;""))</f>
        <v/>
      </c>
      <c r="F1404" s="17">
        <f>IF(B1404="","","signed")</f>
        <v/>
      </c>
      <c r="G1404" s="17">
        <f>IF(B1404="","",IF(ISNUMBER(signed_offices!J4),signed_offices!J4,""))</f>
        <v/>
      </c>
      <c r="H1404" s="17">
        <f>IF(B1404="","","")</f>
        <v/>
      </c>
      <c r="I1404" s="17">
        <f>IF(B1404="","","")</f>
        <v/>
      </c>
      <c r="J1404" s="17">
        <f>IF(B1404="","",IF(signed_offices!V4="","",signed_offices!V4&amp;""))</f>
        <v/>
      </c>
      <c r="K1404" t="inlineStr">
        <is>
          <t>office signed</t>
        </is>
      </c>
    </row>
    <row r="1405">
      <c r="A1405" s="17">
        <f>IF(B1405="","",B1405+(8*1000+4)/10000000)</f>
        <v/>
      </c>
      <c r="B1405" s="23">
        <f>IF(AND(ISNUMBER(signed_offices!X5),TRIM(signed_offices!W5)&lt;&gt;"",OR(LEFT(signed_offices!W5,6)&lt;&gt;"SAMPLE",Config!$B$19="Y")),signed_offices!X5,"")</f>
        <v/>
      </c>
      <c r="C1405" s="17">
        <f>IF(B1405="","","office")</f>
        <v/>
      </c>
      <c r="D1405" s="17">
        <f>IF(B1405="","",signed_offices!W5&amp;"")</f>
        <v/>
      </c>
      <c r="E1405" s="17">
        <f>IF(B1405="","",IF(signed_offices!C5="","",signed_offices!C5&amp;""))</f>
        <v/>
      </c>
      <c r="F1405" s="17">
        <f>IF(B1405="","","signed")</f>
        <v/>
      </c>
      <c r="G1405" s="17">
        <f>IF(B1405="","",IF(ISNUMBER(signed_offices!J5),signed_offices!J5,""))</f>
        <v/>
      </c>
      <c r="H1405" s="17">
        <f>IF(B1405="","","")</f>
        <v/>
      </c>
      <c r="I1405" s="17">
        <f>IF(B1405="","","")</f>
        <v/>
      </c>
      <c r="J1405" s="17">
        <f>IF(B1405="","",IF(signed_offices!V5="","",signed_offices!V5&amp;""))</f>
        <v/>
      </c>
      <c r="K1405" t="inlineStr">
        <is>
          <t>office signed</t>
        </is>
      </c>
    </row>
    <row r="1406">
      <c r="A1406" s="17">
        <f>IF(B1406="","",B1406+(8*1000+5)/10000000)</f>
        <v/>
      </c>
      <c r="B1406" s="23">
        <f>IF(AND(ISNUMBER(signed_offices!X6),TRIM(signed_offices!W6)&lt;&gt;"",OR(LEFT(signed_offices!W6,6)&lt;&gt;"SAMPLE",Config!$B$19="Y")),signed_offices!X6,"")</f>
        <v/>
      </c>
      <c r="C1406" s="17">
        <f>IF(B1406="","","office")</f>
        <v/>
      </c>
      <c r="D1406" s="17">
        <f>IF(B1406="","",signed_offices!W6&amp;"")</f>
        <v/>
      </c>
      <c r="E1406" s="17">
        <f>IF(B1406="","",IF(signed_offices!C6="","",signed_offices!C6&amp;""))</f>
        <v/>
      </c>
      <c r="F1406" s="17">
        <f>IF(B1406="","","signed")</f>
        <v/>
      </c>
      <c r="G1406" s="17">
        <f>IF(B1406="","",IF(ISNUMBER(signed_offices!J6),signed_offices!J6,""))</f>
        <v/>
      </c>
      <c r="H1406" s="17">
        <f>IF(B1406="","","")</f>
        <v/>
      </c>
      <c r="I1406" s="17">
        <f>IF(B1406="","","")</f>
        <v/>
      </c>
      <c r="J1406" s="17">
        <f>IF(B1406="","",IF(signed_offices!V6="","",signed_offices!V6&amp;""))</f>
        <v/>
      </c>
      <c r="K1406" t="inlineStr">
        <is>
          <t>office signed</t>
        </is>
      </c>
    </row>
    <row r="1407">
      <c r="A1407" s="17">
        <f>IF(B1407="","",B1407+(8*1000+6)/10000000)</f>
        <v/>
      </c>
      <c r="B1407" s="23">
        <f>IF(AND(ISNUMBER(signed_offices!X7),TRIM(signed_offices!W7)&lt;&gt;"",OR(LEFT(signed_offices!W7,6)&lt;&gt;"SAMPLE",Config!$B$19="Y")),signed_offices!X7,"")</f>
        <v/>
      </c>
      <c r="C1407" s="17">
        <f>IF(B1407="","","office")</f>
        <v/>
      </c>
      <c r="D1407" s="17">
        <f>IF(B1407="","",signed_offices!W7&amp;"")</f>
        <v/>
      </c>
      <c r="E1407" s="17">
        <f>IF(B1407="","",IF(signed_offices!C7="","",signed_offices!C7&amp;""))</f>
        <v/>
      </c>
      <c r="F1407" s="17">
        <f>IF(B1407="","","signed")</f>
        <v/>
      </c>
      <c r="G1407" s="17">
        <f>IF(B1407="","",IF(ISNUMBER(signed_offices!J7),signed_offices!J7,""))</f>
        <v/>
      </c>
      <c r="H1407" s="17">
        <f>IF(B1407="","","")</f>
        <v/>
      </c>
      <c r="I1407" s="17">
        <f>IF(B1407="","","")</f>
        <v/>
      </c>
      <c r="J1407" s="17">
        <f>IF(B1407="","",IF(signed_offices!V7="","",signed_offices!V7&amp;""))</f>
        <v/>
      </c>
      <c r="K1407" t="inlineStr">
        <is>
          <t>office signed</t>
        </is>
      </c>
    </row>
    <row r="1408">
      <c r="A1408" s="17">
        <f>IF(B1408="","",B1408+(8*1000+7)/10000000)</f>
        <v/>
      </c>
      <c r="B1408" s="23">
        <f>IF(AND(ISNUMBER(signed_offices!X8),TRIM(signed_offices!W8)&lt;&gt;"",OR(LEFT(signed_offices!W8,6)&lt;&gt;"SAMPLE",Config!$B$19="Y")),signed_offices!X8,"")</f>
        <v/>
      </c>
      <c r="C1408" s="17">
        <f>IF(B1408="","","office")</f>
        <v/>
      </c>
      <c r="D1408" s="17">
        <f>IF(B1408="","",signed_offices!W8&amp;"")</f>
        <v/>
      </c>
      <c r="E1408" s="17">
        <f>IF(B1408="","",IF(signed_offices!C8="","",signed_offices!C8&amp;""))</f>
        <v/>
      </c>
      <c r="F1408" s="17">
        <f>IF(B1408="","","signed")</f>
        <v/>
      </c>
      <c r="G1408" s="17">
        <f>IF(B1408="","",IF(ISNUMBER(signed_offices!J8),signed_offices!J8,""))</f>
        <v/>
      </c>
      <c r="H1408" s="17">
        <f>IF(B1408="","","")</f>
        <v/>
      </c>
      <c r="I1408" s="17">
        <f>IF(B1408="","","")</f>
        <v/>
      </c>
      <c r="J1408" s="17">
        <f>IF(B1408="","",IF(signed_offices!V8="","",signed_offices!V8&amp;""))</f>
        <v/>
      </c>
      <c r="K1408" t="inlineStr">
        <is>
          <t>office signed</t>
        </is>
      </c>
    </row>
    <row r="1409">
      <c r="A1409" s="17">
        <f>IF(B1409="","",B1409+(8*1000+8)/10000000)</f>
        <v/>
      </c>
      <c r="B1409" s="23">
        <f>IF(AND(ISNUMBER(signed_offices!X9),TRIM(signed_offices!W9)&lt;&gt;"",OR(LEFT(signed_offices!W9,6)&lt;&gt;"SAMPLE",Config!$B$19="Y")),signed_offices!X9,"")</f>
        <v/>
      </c>
      <c r="C1409" s="17">
        <f>IF(B1409="","","office")</f>
        <v/>
      </c>
      <c r="D1409" s="17">
        <f>IF(B1409="","",signed_offices!W9&amp;"")</f>
        <v/>
      </c>
      <c r="E1409" s="17">
        <f>IF(B1409="","",IF(signed_offices!C9="","",signed_offices!C9&amp;""))</f>
        <v/>
      </c>
      <c r="F1409" s="17">
        <f>IF(B1409="","","signed")</f>
        <v/>
      </c>
      <c r="G1409" s="17">
        <f>IF(B1409="","",IF(ISNUMBER(signed_offices!J9),signed_offices!J9,""))</f>
        <v/>
      </c>
      <c r="H1409" s="17">
        <f>IF(B1409="","","")</f>
        <v/>
      </c>
      <c r="I1409" s="17">
        <f>IF(B1409="","","")</f>
        <v/>
      </c>
      <c r="J1409" s="17">
        <f>IF(B1409="","",IF(signed_offices!V9="","",signed_offices!V9&amp;""))</f>
        <v/>
      </c>
      <c r="K1409" t="inlineStr">
        <is>
          <t>office signed</t>
        </is>
      </c>
    </row>
    <row r="1410">
      <c r="A1410" s="17">
        <f>IF(B1410="","",B1410+(8*1000+9)/10000000)</f>
        <v/>
      </c>
      <c r="B1410" s="23">
        <f>IF(AND(ISNUMBER(signed_offices!X10),TRIM(signed_offices!W10)&lt;&gt;"",OR(LEFT(signed_offices!W10,6)&lt;&gt;"SAMPLE",Config!$B$19="Y")),signed_offices!X10,"")</f>
        <v/>
      </c>
      <c r="C1410" s="17">
        <f>IF(B1410="","","office")</f>
        <v/>
      </c>
      <c r="D1410" s="17">
        <f>IF(B1410="","",signed_offices!W10&amp;"")</f>
        <v/>
      </c>
      <c r="E1410" s="17">
        <f>IF(B1410="","",IF(signed_offices!C10="","",signed_offices!C10&amp;""))</f>
        <v/>
      </c>
      <c r="F1410" s="17">
        <f>IF(B1410="","","signed")</f>
        <v/>
      </c>
      <c r="G1410" s="17">
        <f>IF(B1410="","",IF(ISNUMBER(signed_offices!J10),signed_offices!J10,""))</f>
        <v/>
      </c>
      <c r="H1410" s="17">
        <f>IF(B1410="","","")</f>
        <v/>
      </c>
      <c r="I1410" s="17">
        <f>IF(B1410="","","")</f>
        <v/>
      </c>
      <c r="J1410" s="17">
        <f>IF(B1410="","",IF(signed_offices!V10="","",signed_offices!V10&amp;""))</f>
        <v/>
      </c>
      <c r="K1410" t="inlineStr">
        <is>
          <t>office signed</t>
        </is>
      </c>
    </row>
    <row r="1411">
      <c r="A1411" s="17">
        <f>IF(B1411="","",B1411+(8*1000+10)/10000000)</f>
        <v/>
      </c>
      <c r="B1411" s="23">
        <f>IF(AND(ISNUMBER(signed_offices!X11),TRIM(signed_offices!W11)&lt;&gt;"",OR(LEFT(signed_offices!W11,6)&lt;&gt;"SAMPLE",Config!$B$19="Y")),signed_offices!X11,"")</f>
        <v/>
      </c>
      <c r="C1411" s="17">
        <f>IF(B1411="","","office")</f>
        <v/>
      </c>
      <c r="D1411" s="17">
        <f>IF(B1411="","",signed_offices!W11&amp;"")</f>
        <v/>
      </c>
      <c r="E1411" s="17">
        <f>IF(B1411="","",IF(signed_offices!C11="","",signed_offices!C11&amp;""))</f>
        <v/>
      </c>
      <c r="F1411" s="17">
        <f>IF(B1411="","","signed")</f>
        <v/>
      </c>
      <c r="G1411" s="17">
        <f>IF(B1411="","",IF(ISNUMBER(signed_offices!J11),signed_offices!J11,""))</f>
        <v/>
      </c>
      <c r="H1411" s="17">
        <f>IF(B1411="","","")</f>
        <v/>
      </c>
      <c r="I1411" s="17">
        <f>IF(B1411="","","")</f>
        <v/>
      </c>
      <c r="J1411" s="17">
        <f>IF(B1411="","",IF(signed_offices!V11="","",signed_offices!V11&amp;""))</f>
        <v/>
      </c>
      <c r="K1411" t="inlineStr">
        <is>
          <t>office signed</t>
        </is>
      </c>
    </row>
    <row r="1412">
      <c r="A1412" s="17">
        <f>IF(B1412="","",B1412+(8*1000+11)/10000000)</f>
        <v/>
      </c>
      <c r="B1412" s="23">
        <f>IF(AND(ISNUMBER(signed_offices!X12),TRIM(signed_offices!W12)&lt;&gt;"",OR(LEFT(signed_offices!W12,6)&lt;&gt;"SAMPLE",Config!$B$19="Y")),signed_offices!X12,"")</f>
        <v/>
      </c>
      <c r="C1412" s="17">
        <f>IF(B1412="","","office")</f>
        <v/>
      </c>
      <c r="D1412" s="17">
        <f>IF(B1412="","",signed_offices!W12&amp;"")</f>
        <v/>
      </c>
      <c r="E1412" s="17">
        <f>IF(B1412="","",IF(signed_offices!C12="","",signed_offices!C12&amp;""))</f>
        <v/>
      </c>
      <c r="F1412" s="17">
        <f>IF(B1412="","","signed")</f>
        <v/>
      </c>
      <c r="G1412" s="17">
        <f>IF(B1412="","",IF(ISNUMBER(signed_offices!J12),signed_offices!J12,""))</f>
        <v/>
      </c>
      <c r="H1412" s="17">
        <f>IF(B1412="","","")</f>
        <v/>
      </c>
      <c r="I1412" s="17">
        <f>IF(B1412="","","")</f>
        <v/>
      </c>
      <c r="J1412" s="17">
        <f>IF(B1412="","",IF(signed_offices!V12="","",signed_offices!V12&amp;""))</f>
        <v/>
      </c>
      <c r="K1412" t="inlineStr">
        <is>
          <t>office signed</t>
        </is>
      </c>
    </row>
    <row r="1413">
      <c r="A1413" s="17">
        <f>IF(B1413="","",B1413+(8*1000+12)/10000000)</f>
        <v/>
      </c>
      <c r="B1413" s="23">
        <f>IF(AND(ISNUMBER(signed_offices!X13),TRIM(signed_offices!W13)&lt;&gt;"",OR(LEFT(signed_offices!W13,6)&lt;&gt;"SAMPLE",Config!$B$19="Y")),signed_offices!X13,"")</f>
        <v/>
      </c>
      <c r="C1413" s="17">
        <f>IF(B1413="","","office")</f>
        <v/>
      </c>
      <c r="D1413" s="17">
        <f>IF(B1413="","",signed_offices!W13&amp;"")</f>
        <v/>
      </c>
      <c r="E1413" s="17">
        <f>IF(B1413="","",IF(signed_offices!C13="","",signed_offices!C13&amp;""))</f>
        <v/>
      </c>
      <c r="F1413" s="17">
        <f>IF(B1413="","","signed")</f>
        <v/>
      </c>
      <c r="G1413" s="17">
        <f>IF(B1413="","",IF(ISNUMBER(signed_offices!J13),signed_offices!J13,""))</f>
        <v/>
      </c>
      <c r="H1413" s="17">
        <f>IF(B1413="","","")</f>
        <v/>
      </c>
      <c r="I1413" s="17">
        <f>IF(B1413="","","")</f>
        <v/>
      </c>
      <c r="J1413" s="17">
        <f>IF(B1413="","",IF(signed_offices!V13="","",signed_offices!V13&amp;""))</f>
        <v/>
      </c>
      <c r="K1413" t="inlineStr">
        <is>
          <t>office signed</t>
        </is>
      </c>
    </row>
    <row r="1414">
      <c r="A1414" s="17">
        <f>IF(B1414="","",B1414+(8*1000+13)/10000000)</f>
        <v/>
      </c>
      <c r="B1414" s="23">
        <f>IF(AND(ISNUMBER(signed_offices!X14),TRIM(signed_offices!W14)&lt;&gt;"",OR(LEFT(signed_offices!W14,6)&lt;&gt;"SAMPLE",Config!$B$19="Y")),signed_offices!X14,"")</f>
        <v/>
      </c>
      <c r="C1414" s="17">
        <f>IF(B1414="","","office")</f>
        <v/>
      </c>
      <c r="D1414" s="17">
        <f>IF(B1414="","",signed_offices!W14&amp;"")</f>
        <v/>
      </c>
      <c r="E1414" s="17">
        <f>IF(B1414="","",IF(signed_offices!C14="","",signed_offices!C14&amp;""))</f>
        <v/>
      </c>
      <c r="F1414" s="17">
        <f>IF(B1414="","","signed")</f>
        <v/>
      </c>
      <c r="G1414" s="17">
        <f>IF(B1414="","",IF(ISNUMBER(signed_offices!J14),signed_offices!J14,""))</f>
        <v/>
      </c>
      <c r="H1414" s="17">
        <f>IF(B1414="","","")</f>
        <v/>
      </c>
      <c r="I1414" s="17">
        <f>IF(B1414="","","")</f>
        <v/>
      </c>
      <c r="J1414" s="17">
        <f>IF(B1414="","",IF(signed_offices!V14="","",signed_offices!V14&amp;""))</f>
        <v/>
      </c>
      <c r="K1414" t="inlineStr">
        <is>
          <t>office signed</t>
        </is>
      </c>
    </row>
    <row r="1415">
      <c r="A1415" s="17">
        <f>IF(B1415="","",B1415+(8*1000+14)/10000000)</f>
        <v/>
      </c>
      <c r="B1415" s="23">
        <f>IF(AND(ISNUMBER(signed_offices!X15),TRIM(signed_offices!W15)&lt;&gt;"",OR(LEFT(signed_offices!W15,6)&lt;&gt;"SAMPLE",Config!$B$19="Y")),signed_offices!X15,"")</f>
        <v/>
      </c>
      <c r="C1415" s="17">
        <f>IF(B1415="","","office")</f>
        <v/>
      </c>
      <c r="D1415" s="17">
        <f>IF(B1415="","",signed_offices!W15&amp;"")</f>
        <v/>
      </c>
      <c r="E1415" s="17">
        <f>IF(B1415="","",IF(signed_offices!C15="","",signed_offices!C15&amp;""))</f>
        <v/>
      </c>
      <c r="F1415" s="17">
        <f>IF(B1415="","","signed")</f>
        <v/>
      </c>
      <c r="G1415" s="17">
        <f>IF(B1415="","",IF(ISNUMBER(signed_offices!J15),signed_offices!J15,""))</f>
        <v/>
      </c>
      <c r="H1415" s="17">
        <f>IF(B1415="","","")</f>
        <v/>
      </c>
      <c r="I1415" s="17">
        <f>IF(B1415="","","")</f>
        <v/>
      </c>
      <c r="J1415" s="17">
        <f>IF(B1415="","",IF(signed_offices!V15="","",signed_offices!V15&amp;""))</f>
        <v/>
      </c>
      <c r="K1415" t="inlineStr">
        <is>
          <t>office signed</t>
        </is>
      </c>
    </row>
    <row r="1416">
      <c r="A1416" s="17">
        <f>IF(B1416="","",B1416+(8*1000+15)/10000000)</f>
        <v/>
      </c>
      <c r="B1416" s="23">
        <f>IF(AND(ISNUMBER(signed_offices!X16),TRIM(signed_offices!W16)&lt;&gt;"",OR(LEFT(signed_offices!W16,6)&lt;&gt;"SAMPLE",Config!$B$19="Y")),signed_offices!X16,"")</f>
        <v/>
      </c>
      <c r="C1416" s="17">
        <f>IF(B1416="","","office")</f>
        <v/>
      </c>
      <c r="D1416" s="17">
        <f>IF(B1416="","",signed_offices!W16&amp;"")</f>
        <v/>
      </c>
      <c r="E1416" s="17">
        <f>IF(B1416="","",IF(signed_offices!C16="","",signed_offices!C16&amp;""))</f>
        <v/>
      </c>
      <c r="F1416" s="17">
        <f>IF(B1416="","","signed")</f>
        <v/>
      </c>
      <c r="G1416" s="17">
        <f>IF(B1416="","",IF(ISNUMBER(signed_offices!J16),signed_offices!J16,""))</f>
        <v/>
      </c>
      <c r="H1416" s="17">
        <f>IF(B1416="","","")</f>
        <v/>
      </c>
      <c r="I1416" s="17">
        <f>IF(B1416="","","")</f>
        <v/>
      </c>
      <c r="J1416" s="17">
        <f>IF(B1416="","",IF(signed_offices!V16="","",signed_offices!V16&amp;""))</f>
        <v/>
      </c>
      <c r="K1416" t="inlineStr">
        <is>
          <t>office signed</t>
        </is>
      </c>
    </row>
    <row r="1417">
      <c r="A1417" s="17">
        <f>IF(B1417="","",B1417+(8*1000+16)/10000000)</f>
        <v/>
      </c>
      <c r="B1417" s="23">
        <f>IF(AND(ISNUMBER(signed_offices!X17),TRIM(signed_offices!W17)&lt;&gt;"",OR(LEFT(signed_offices!W17,6)&lt;&gt;"SAMPLE",Config!$B$19="Y")),signed_offices!X17,"")</f>
        <v/>
      </c>
      <c r="C1417" s="17">
        <f>IF(B1417="","","office")</f>
        <v/>
      </c>
      <c r="D1417" s="17">
        <f>IF(B1417="","",signed_offices!W17&amp;"")</f>
        <v/>
      </c>
      <c r="E1417" s="17">
        <f>IF(B1417="","",IF(signed_offices!C17="","",signed_offices!C17&amp;""))</f>
        <v/>
      </c>
      <c r="F1417" s="17">
        <f>IF(B1417="","","signed")</f>
        <v/>
      </c>
      <c r="G1417" s="17">
        <f>IF(B1417="","",IF(ISNUMBER(signed_offices!J17),signed_offices!J17,""))</f>
        <v/>
      </c>
      <c r="H1417" s="17">
        <f>IF(B1417="","","")</f>
        <v/>
      </c>
      <c r="I1417" s="17">
        <f>IF(B1417="","","")</f>
        <v/>
      </c>
      <c r="J1417" s="17">
        <f>IF(B1417="","",IF(signed_offices!V17="","",signed_offices!V17&amp;""))</f>
        <v/>
      </c>
      <c r="K1417" t="inlineStr">
        <is>
          <t>office signed</t>
        </is>
      </c>
    </row>
    <row r="1418">
      <c r="A1418" s="17">
        <f>IF(B1418="","",B1418+(8*1000+17)/10000000)</f>
        <v/>
      </c>
      <c r="B1418" s="23">
        <f>IF(AND(ISNUMBER(signed_offices!X18),TRIM(signed_offices!W18)&lt;&gt;"",OR(LEFT(signed_offices!W18,6)&lt;&gt;"SAMPLE",Config!$B$19="Y")),signed_offices!X18,"")</f>
        <v/>
      </c>
      <c r="C1418" s="17">
        <f>IF(B1418="","","office")</f>
        <v/>
      </c>
      <c r="D1418" s="17">
        <f>IF(B1418="","",signed_offices!W18&amp;"")</f>
        <v/>
      </c>
      <c r="E1418" s="17">
        <f>IF(B1418="","",IF(signed_offices!C18="","",signed_offices!C18&amp;""))</f>
        <v/>
      </c>
      <c r="F1418" s="17">
        <f>IF(B1418="","","signed")</f>
        <v/>
      </c>
      <c r="G1418" s="17">
        <f>IF(B1418="","",IF(ISNUMBER(signed_offices!J18),signed_offices!J18,""))</f>
        <v/>
      </c>
      <c r="H1418" s="17">
        <f>IF(B1418="","","")</f>
        <v/>
      </c>
      <c r="I1418" s="17">
        <f>IF(B1418="","","")</f>
        <v/>
      </c>
      <c r="J1418" s="17">
        <f>IF(B1418="","",IF(signed_offices!V18="","",signed_offices!V18&amp;""))</f>
        <v/>
      </c>
      <c r="K1418" t="inlineStr">
        <is>
          <t>office signed</t>
        </is>
      </c>
    </row>
    <row r="1419">
      <c r="A1419" s="17">
        <f>IF(B1419="","",B1419+(8*1000+18)/10000000)</f>
        <v/>
      </c>
      <c r="B1419" s="23">
        <f>IF(AND(ISNUMBER(signed_offices!X19),TRIM(signed_offices!W19)&lt;&gt;"",OR(LEFT(signed_offices!W19,6)&lt;&gt;"SAMPLE",Config!$B$19="Y")),signed_offices!X19,"")</f>
        <v/>
      </c>
      <c r="C1419" s="17">
        <f>IF(B1419="","","office")</f>
        <v/>
      </c>
      <c r="D1419" s="17">
        <f>IF(B1419="","",signed_offices!W19&amp;"")</f>
        <v/>
      </c>
      <c r="E1419" s="17">
        <f>IF(B1419="","",IF(signed_offices!C19="","",signed_offices!C19&amp;""))</f>
        <v/>
      </c>
      <c r="F1419" s="17">
        <f>IF(B1419="","","signed")</f>
        <v/>
      </c>
      <c r="G1419" s="17">
        <f>IF(B1419="","",IF(ISNUMBER(signed_offices!J19),signed_offices!J19,""))</f>
        <v/>
      </c>
      <c r="H1419" s="17">
        <f>IF(B1419="","","")</f>
        <v/>
      </c>
      <c r="I1419" s="17">
        <f>IF(B1419="","","")</f>
        <v/>
      </c>
      <c r="J1419" s="17">
        <f>IF(B1419="","",IF(signed_offices!V19="","",signed_offices!V19&amp;""))</f>
        <v/>
      </c>
      <c r="K1419" t="inlineStr">
        <is>
          <t>office signed</t>
        </is>
      </c>
    </row>
    <row r="1420">
      <c r="A1420" s="17">
        <f>IF(B1420="","",B1420+(8*1000+19)/10000000)</f>
        <v/>
      </c>
      <c r="B1420" s="23">
        <f>IF(AND(ISNUMBER(signed_offices!X20),TRIM(signed_offices!W20)&lt;&gt;"",OR(LEFT(signed_offices!W20,6)&lt;&gt;"SAMPLE",Config!$B$19="Y")),signed_offices!X20,"")</f>
        <v/>
      </c>
      <c r="C1420" s="17">
        <f>IF(B1420="","","office")</f>
        <v/>
      </c>
      <c r="D1420" s="17">
        <f>IF(B1420="","",signed_offices!W20&amp;"")</f>
        <v/>
      </c>
      <c r="E1420" s="17">
        <f>IF(B1420="","",IF(signed_offices!C20="","",signed_offices!C20&amp;""))</f>
        <v/>
      </c>
      <c r="F1420" s="17">
        <f>IF(B1420="","","signed")</f>
        <v/>
      </c>
      <c r="G1420" s="17">
        <f>IF(B1420="","",IF(ISNUMBER(signed_offices!J20),signed_offices!J20,""))</f>
        <v/>
      </c>
      <c r="H1420" s="17">
        <f>IF(B1420="","","")</f>
        <v/>
      </c>
      <c r="I1420" s="17">
        <f>IF(B1420="","","")</f>
        <v/>
      </c>
      <c r="J1420" s="17">
        <f>IF(B1420="","",IF(signed_offices!V20="","",signed_offices!V20&amp;""))</f>
        <v/>
      </c>
      <c r="K1420" t="inlineStr">
        <is>
          <t>office signed</t>
        </is>
      </c>
    </row>
    <row r="1421">
      <c r="A1421" s="17">
        <f>IF(B1421="","",B1421+(8*1000+20)/10000000)</f>
        <v/>
      </c>
      <c r="B1421" s="23">
        <f>IF(AND(ISNUMBER(signed_offices!X21),TRIM(signed_offices!W21)&lt;&gt;"",OR(LEFT(signed_offices!W21,6)&lt;&gt;"SAMPLE",Config!$B$19="Y")),signed_offices!X21,"")</f>
        <v/>
      </c>
      <c r="C1421" s="17">
        <f>IF(B1421="","","office")</f>
        <v/>
      </c>
      <c r="D1421" s="17">
        <f>IF(B1421="","",signed_offices!W21&amp;"")</f>
        <v/>
      </c>
      <c r="E1421" s="17">
        <f>IF(B1421="","",IF(signed_offices!C21="","",signed_offices!C21&amp;""))</f>
        <v/>
      </c>
      <c r="F1421" s="17">
        <f>IF(B1421="","","signed")</f>
        <v/>
      </c>
      <c r="G1421" s="17">
        <f>IF(B1421="","",IF(ISNUMBER(signed_offices!J21),signed_offices!J21,""))</f>
        <v/>
      </c>
      <c r="H1421" s="17">
        <f>IF(B1421="","","")</f>
        <v/>
      </c>
      <c r="I1421" s="17">
        <f>IF(B1421="","","")</f>
        <v/>
      </c>
      <c r="J1421" s="17">
        <f>IF(B1421="","",IF(signed_offices!V21="","",signed_offices!V21&amp;""))</f>
        <v/>
      </c>
      <c r="K1421" t="inlineStr">
        <is>
          <t>office signed</t>
        </is>
      </c>
    </row>
    <row r="1422">
      <c r="A1422" s="17">
        <f>IF(B1422="","",B1422+(8*1000+21)/10000000)</f>
        <v/>
      </c>
      <c r="B1422" s="23">
        <f>IF(AND(ISNUMBER(signed_offices!X22),TRIM(signed_offices!W22)&lt;&gt;"",OR(LEFT(signed_offices!W22,6)&lt;&gt;"SAMPLE",Config!$B$19="Y")),signed_offices!X22,"")</f>
        <v/>
      </c>
      <c r="C1422" s="17">
        <f>IF(B1422="","","office")</f>
        <v/>
      </c>
      <c r="D1422" s="17">
        <f>IF(B1422="","",signed_offices!W22&amp;"")</f>
        <v/>
      </c>
      <c r="E1422" s="17">
        <f>IF(B1422="","",IF(signed_offices!C22="","",signed_offices!C22&amp;""))</f>
        <v/>
      </c>
      <c r="F1422" s="17">
        <f>IF(B1422="","","signed")</f>
        <v/>
      </c>
      <c r="G1422" s="17">
        <f>IF(B1422="","",IF(ISNUMBER(signed_offices!J22),signed_offices!J22,""))</f>
        <v/>
      </c>
      <c r="H1422" s="17">
        <f>IF(B1422="","","")</f>
        <v/>
      </c>
      <c r="I1422" s="17">
        <f>IF(B1422="","","")</f>
        <v/>
      </c>
      <c r="J1422" s="17">
        <f>IF(B1422="","",IF(signed_offices!V22="","",signed_offices!V22&amp;""))</f>
        <v/>
      </c>
      <c r="K1422" t="inlineStr">
        <is>
          <t>office signed</t>
        </is>
      </c>
    </row>
    <row r="1423">
      <c r="A1423" s="17">
        <f>IF(B1423="","",B1423+(8*1000+22)/10000000)</f>
        <v/>
      </c>
      <c r="B1423" s="23">
        <f>IF(AND(ISNUMBER(signed_offices!X23),TRIM(signed_offices!W23)&lt;&gt;"",OR(LEFT(signed_offices!W23,6)&lt;&gt;"SAMPLE",Config!$B$19="Y")),signed_offices!X23,"")</f>
        <v/>
      </c>
      <c r="C1423" s="17">
        <f>IF(B1423="","","office")</f>
        <v/>
      </c>
      <c r="D1423" s="17">
        <f>IF(B1423="","",signed_offices!W23&amp;"")</f>
        <v/>
      </c>
      <c r="E1423" s="17">
        <f>IF(B1423="","",IF(signed_offices!C23="","",signed_offices!C23&amp;""))</f>
        <v/>
      </c>
      <c r="F1423" s="17">
        <f>IF(B1423="","","signed")</f>
        <v/>
      </c>
      <c r="G1423" s="17">
        <f>IF(B1423="","",IF(ISNUMBER(signed_offices!J23),signed_offices!J23,""))</f>
        <v/>
      </c>
      <c r="H1423" s="17">
        <f>IF(B1423="","","")</f>
        <v/>
      </c>
      <c r="I1423" s="17">
        <f>IF(B1423="","","")</f>
        <v/>
      </c>
      <c r="J1423" s="17">
        <f>IF(B1423="","",IF(signed_offices!V23="","",signed_offices!V23&amp;""))</f>
        <v/>
      </c>
      <c r="K1423" t="inlineStr">
        <is>
          <t>office signed</t>
        </is>
      </c>
    </row>
    <row r="1424">
      <c r="A1424" s="17">
        <f>IF(B1424="","",B1424+(8*1000+23)/10000000)</f>
        <v/>
      </c>
      <c r="B1424" s="23">
        <f>IF(AND(ISNUMBER(signed_offices!X24),TRIM(signed_offices!W24)&lt;&gt;"",OR(LEFT(signed_offices!W24,6)&lt;&gt;"SAMPLE",Config!$B$19="Y")),signed_offices!X24,"")</f>
        <v/>
      </c>
      <c r="C1424" s="17">
        <f>IF(B1424="","","office")</f>
        <v/>
      </c>
      <c r="D1424" s="17">
        <f>IF(B1424="","",signed_offices!W24&amp;"")</f>
        <v/>
      </c>
      <c r="E1424" s="17">
        <f>IF(B1424="","",IF(signed_offices!C24="","",signed_offices!C24&amp;""))</f>
        <v/>
      </c>
      <c r="F1424" s="17">
        <f>IF(B1424="","","signed")</f>
        <v/>
      </c>
      <c r="G1424" s="17">
        <f>IF(B1424="","",IF(ISNUMBER(signed_offices!J24),signed_offices!J24,""))</f>
        <v/>
      </c>
      <c r="H1424" s="17">
        <f>IF(B1424="","","")</f>
        <v/>
      </c>
      <c r="I1424" s="17">
        <f>IF(B1424="","","")</f>
        <v/>
      </c>
      <c r="J1424" s="17">
        <f>IF(B1424="","",IF(signed_offices!V24="","",signed_offices!V24&amp;""))</f>
        <v/>
      </c>
      <c r="K1424" t="inlineStr">
        <is>
          <t>office signed</t>
        </is>
      </c>
    </row>
    <row r="1425">
      <c r="A1425" s="17">
        <f>IF(B1425="","",B1425+(8*1000+24)/10000000)</f>
        <v/>
      </c>
      <c r="B1425" s="23">
        <f>IF(AND(ISNUMBER(signed_offices!X25),TRIM(signed_offices!W25)&lt;&gt;"",OR(LEFT(signed_offices!W25,6)&lt;&gt;"SAMPLE",Config!$B$19="Y")),signed_offices!X25,"")</f>
        <v/>
      </c>
      <c r="C1425" s="17">
        <f>IF(B1425="","","office")</f>
        <v/>
      </c>
      <c r="D1425" s="17">
        <f>IF(B1425="","",signed_offices!W25&amp;"")</f>
        <v/>
      </c>
      <c r="E1425" s="17">
        <f>IF(B1425="","",IF(signed_offices!C25="","",signed_offices!C25&amp;""))</f>
        <v/>
      </c>
      <c r="F1425" s="17">
        <f>IF(B1425="","","signed")</f>
        <v/>
      </c>
      <c r="G1425" s="17">
        <f>IF(B1425="","",IF(ISNUMBER(signed_offices!J25),signed_offices!J25,""))</f>
        <v/>
      </c>
      <c r="H1425" s="17">
        <f>IF(B1425="","","")</f>
        <v/>
      </c>
      <c r="I1425" s="17">
        <f>IF(B1425="","","")</f>
        <v/>
      </c>
      <c r="J1425" s="17">
        <f>IF(B1425="","",IF(signed_offices!V25="","",signed_offices!V25&amp;""))</f>
        <v/>
      </c>
      <c r="K1425" t="inlineStr">
        <is>
          <t>office signed</t>
        </is>
      </c>
    </row>
    <row r="1426">
      <c r="A1426" s="17">
        <f>IF(B1426="","",B1426+(8*1000+25)/10000000)</f>
        <v/>
      </c>
      <c r="B1426" s="23">
        <f>IF(AND(ISNUMBER(signed_offices!X26),TRIM(signed_offices!W26)&lt;&gt;"",OR(LEFT(signed_offices!W26,6)&lt;&gt;"SAMPLE",Config!$B$19="Y")),signed_offices!X26,"")</f>
        <v/>
      </c>
      <c r="C1426" s="17">
        <f>IF(B1426="","","office")</f>
        <v/>
      </c>
      <c r="D1426" s="17">
        <f>IF(B1426="","",signed_offices!W26&amp;"")</f>
        <v/>
      </c>
      <c r="E1426" s="17">
        <f>IF(B1426="","",IF(signed_offices!C26="","",signed_offices!C26&amp;""))</f>
        <v/>
      </c>
      <c r="F1426" s="17">
        <f>IF(B1426="","","signed")</f>
        <v/>
      </c>
      <c r="G1426" s="17">
        <f>IF(B1426="","",IF(ISNUMBER(signed_offices!J26),signed_offices!J26,""))</f>
        <v/>
      </c>
      <c r="H1426" s="17">
        <f>IF(B1426="","","")</f>
        <v/>
      </c>
      <c r="I1426" s="17">
        <f>IF(B1426="","","")</f>
        <v/>
      </c>
      <c r="J1426" s="17">
        <f>IF(B1426="","",IF(signed_offices!V26="","",signed_offices!V26&amp;""))</f>
        <v/>
      </c>
      <c r="K1426" t="inlineStr">
        <is>
          <t>office signed</t>
        </is>
      </c>
    </row>
    <row r="1427">
      <c r="A1427" s="17">
        <f>IF(B1427="","",B1427+(8*1000+26)/10000000)</f>
        <v/>
      </c>
      <c r="B1427" s="23">
        <f>IF(AND(ISNUMBER(signed_offices!X27),TRIM(signed_offices!W27)&lt;&gt;"",OR(LEFT(signed_offices!W27,6)&lt;&gt;"SAMPLE",Config!$B$19="Y")),signed_offices!X27,"")</f>
        <v/>
      </c>
      <c r="C1427" s="17">
        <f>IF(B1427="","","office")</f>
        <v/>
      </c>
      <c r="D1427" s="17">
        <f>IF(B1427="","",signed_offices!W27&amp;"")</f>
        <v/>
      </c>
      <c r="E1427" s="17">
        <f>IF(B1427="","",IF(signed_offices!C27="","",signed_offices!C27&amp;""))</f>
        <v/>
      </c>
      <c r="F1427" s="17">
        <f>IF(B1427="","","signed")</f>
        <v/>
      </c>
      <c r="G1427" s="17">
        <f>IF(B1427="","",IF(ISNUMBER(signed_offices!J27),signed_offices!J27,""))</f>
        <v/>
      </c>
      <c r="H1427" s="17">
        <f>IF(B1427="","","")</f>
        <v/>
      </c>
      <c r="I1427" s="17">
        <f>IF(B1427="","","")</f>
        <v/>
      </c>
      <c r="J1427" s="17">
        <f>IF(B1427="","",IF(signed_offices!V27="","",signed_offices!V27&amp;""))</f>
        <v/>
      </c>
      <c r="K1427" t="inlineStr">
        <is>
          <t>office signed</t>
        </is>
      </c>
    </row>
    <row r="1428">
      <c r="A1428" s="17">
        <f>IF(B1428="","",B1428+(8*1000+27)/10000000)</f>
        <v/>
      </c>
      <c r="B1428" s="23">
        <f>IF(AND(ISNUMBER(signed_offices!X28),TRIM(signed_offices!W28)&lt;&gt;"",OR(LEFT(signed_offices!W28,6)&lt;&gt;"SAMPLE",Config!$B$19="Y")),signed_offices!X28,"")</f>
        <v/>
      </c>
      <c r="C1428" s="17">
        <f>IF(B1428="","","office")</f>
        <v/>
      </c>
      <c r="D1428" s="17">
        <f>IF(B1428="","",signed_offices!W28&amp;"")</f>
        <v/>
      </c>
      <c r="E1428" s="17">
        <f>IF(B1428="","",IF(signed_offices!C28="","",signed_offices!C28&amp;""))</f>
        <v/>
      </c>
      <c r="F1428" s="17">
        <f>IF(B1428="","","signed")</f>
        <v/>
      </c>
      <c r="G1428" s="17">
        <f>IF(B1428="","",IF(ISNUMBER(signed_offices!J28),signed_offices!J28,""))</f>
        <v/>
      </c>
      <c r="H1428" s="17">
        <f>IF(B1428="","","")</f>
        <v/>
      </c>
      <c r="I1428" s="17">
        <f>IF(B1428="","","")</f>
        <v/>
      </c>
      <c r="J1428" s="17">
        <f>IF(B1428="","",IF(signed_offices!V28="","",signed_offices!V28&amp;""))</f>
        <v/>
      </c>
      <c r="K1428" t="inlineStr">
        <is>
          <t>office signed</t>
        </is>
      </c>
    </row>
    <row r="1429">
      <c r="A1429" s="17">
        <f>IF(B1429="","",B1429+(8*1000+28)/10000000)</f>
        <v/>
      </c>
      <c r="B1429" s="23">
        <f>IF(AND(ISNUMBER(signed_offices!X29),TRIM(signed_offices!W29)&lt;&gt;"",OR(LEFT(signed_offices!W29,6)&lt;&gt;"SAMPLE",Config!$B$19="Y")),signed_offices!X29,"")</f>
        <v/>
      </c>
      <c r="C1429" s="17">
        <f>IF(B1429="","","office")</f>
        <v/>
      </c>
      <c r="D1429" s="17">
        <f>IF(B1429="","",signed_offices!W29&amp;"")</f>
        <v/>
      </c>
      <c r="E1429" s="17">
        <f>IF(B1429="","",IF(signed_offices!C29="","",signed_offices!C29&amp;""))</f>
        <v/>
      </c>
      <c r="F1429" s="17">
        <f>IF(B1429="","","signed")</f>
        <v/>
      </c>
      <c r="G1429" s="17">
        <f>IF(B1429="","",IF(ISNUMBER(signed_offices!J29),signed_offices!J29,""))</f>
        <v/>
      </c>
      <c r="H1429" s="17">
        <f>IF(B1429="","","")</f>
        <v/>
      </c>
      <c r="I1429" s="17">
        <f>IF(B1429="","","")</f>
        <v/>
      </c>
      <c r="J1429" s="17">
        <f>IF(B1429="","",IF(signed_offices!V29="","",signed_offices!V29&amp;""))</f>
        <v/>
      </c>
      <c r="K1429" t="inlineStr">
        <is>
          <t>office signed</t>
        </is>
      </c>
    </row>
    <row r="1430">
      <c r="A1430" s="17">
        <f>IF(B1430="","",B1430+(8*1000+29)/10000000)</f>
        <v/>
      </c>
      <c r="B1430" s="23">
        <f>IF(AND(ISNUMBER(signed_offices!X30),TRIM(signed_offices!W30)&lt;&gt;"",OR(LEFT(signed_offices!W30,6)&lt;&gt;"SAMPLE",Config!$B$19="Y")),signed_offices!X30,"")</f>
        <v/>
      </c>
      <c r="C1430" s="17">
        <f>IF(B1430="","","office")</f>
        <v/>
      </c>
      <c r="D1430" s="17">
        <f>IF(B1430="","",signed_offices!W30&amp;"")</f>
        <v/>
      </c>
      <c r="E1430" s="17">
        <f>IF(B1430="","",IF(signed_offices!C30="","",signed_offices!C30&amp;""))</f>
        <v/>
      </c>
      <c r="F1430" s="17">
        <f>IF(B1430="","","signed")</f>
        <v/>
      </c>
      <c r="G1430" s="17">
        <f>IF(B1430="","",IF(ISNUMBER(signed_offices!J30),signed_offices!J30,""))</f>
        <v/>
      </c>
      <c r="H1430" s="17">
        <f>IF(B1430="","","")</f>
        <v/>
      </c>
      <c r="I1430" s="17">
        <f>IF(B1430="","","")</f>
        <v/>
      </c>
      <c r="J1430" s="17">
        <f>IF(B1430="","",IF(signed_offices!V30="","",signed_offices!V30&amp;""))</f>
        <v/>
      </c>
      <c r="K1430" t="inlineStr">
        <is>
          <t>office signed</t>
        </is>
      </c>
    </row>
    <row r="1431">
      <c r="A1431" s="17">
        <f>IF(B1431="","",B1431+(8*1000+30)/10000000)</f>
        <v/>
      </c>
      <c r="B1431" s="23">
        <f>IF(AND(ISNUMBER(signed_offices!X31),TRIM(signed_offices!W31)&lt;&gt;"",OR(LEFT(signed_offices!W31,6)&lt;&gt;"SAMPLE",Config!$B$19="Y")),signed_offices!X31,"")</f>
        <v/>
      </c>
      <c r="C1431" s="17">
        <f>IF(B1431="","","office")</f>
        <v/>
      </c>
      <c r="D1431" s="17">
        <f>IF(B1431="","",signed_offices!W31&amp;"")</f>
        <v/>
      </c>
      <c r="E1431" s="17">
        <f>IF(B1431="","",IF(signed_offices!C31="","",signed_offices!C31&amp;""))</f>
        <v/>
      </c>
      <c r="F1431" s="17">
        <f>IF(B1431="","","signed")</f>
        <v/>
      </c>
      <c r="G1431" s="17">
        <f>IF(B1431="","",IF(ISNUMBER(signed_offices!J31),signed_offices!J31,""))</f>
        <v/>
      </c>
      <c r="H1431" s="17">
        <f>IF(B1431="","","")</f>
        <v/>
      </c>
      <c r="I1431" s="17">
        <f>IF(B1431="","","")</f>
        <v/>
      </c>
      <c r="J1431" s="17">
        <f>IF(B1431="","",IF(signed_offices!V31="","",signed_offices!V31&amp;""))</f>
        <v/>
      </c>
      <c r="K1431" t="inlineStr">
        <is>
          <t>office signed</t>
        </is>
      </c>
    </row>
    <row r="1432">
      <c r="A1432" s="17">
        <f>IF(B1432="","",B1432+(8*1000+31)/10000000)</f>
        <v/>
      </c>
      <c r="B1432" s="23">
        <f>IF(AND(ISNUMBER(signed_offices!X32),TRIM(signed_offices!W32)&lt;&gt;"",OR(LEFT(signed_offices!W32,6)&lt;&gt;"SAMPLE",Config!$B$19="Y")),signed_offices!X32,"")</f>
        <v/>
      </c>
      <c r="C1432" s="17">
        <f>IF(B1432="","","office")</f>
        <v/>
      </c>
      <c r="D1432" s="17">
        <f>IF(B1432="","",signed_offices!W32&amp;"")</f>
        <v/>
      </c>
      <c r="E1432" s="17">
        <f>IF(B1432="","",IF(signed_offices!C32="","",signed_offices!C32&amp;""))</f>
        <v/>
      </c>
      <c r="F1432" s="17">
        <f>IF(B1432="","","signed")</f>
        <v/>
      </c>
      <c r="G1432" s="17">
        <f>IF(B1432="","",IF(ISNUMBER(signed_offices!J32),signed_offices!J32,""))</f>
        <v/>
      </c>
      <c r="H1432" s="17">
        <f>IF(B1432="","","")</f>
        <v/>
      </c>
      <c r="I1432" s="17">
        <f>IF(B1432="","","")</f>
        <v/>
      </c>
      <c r="J1432" s="17">
        <f>IF(B1432="","",IF(signed_offices!V32="","",signed_offices!V32&amp;""))</f>
        <v/>
      </c>
      <c r="K1432" t="inlineStr">
        <is>
          <t>office signed</t>
        </is>
      </c>
    </row>
    <row r="1433">
      <c r="A1433" s="17">
        <f>IF(B1433="","",B1433+(8*1000+32)/10000000)</f>
        <v/>
      </c>
      <c r="B1433" s="23">
        <f>IF(AND(ISNUMBER(signed_offices!X33),TRIM(signed_offices!W33)&lt;&gt;"",OR(LEFT(signed_offices!W33,6)&lt;&gt;"SAMPLE",Config!$B$19="Y")),signed_offices!X33,"")</f>
        <v/>
      </c>
      <c r="C1433" s="17">
        <f>IF(B1433="","","office")</f>
        <v/>
      </c>
      <c r="D1433" s="17">
        <f>IF(B1433="","",signed_offices!W33&amp;"")</f>
        <v/>
      </c>
      <c r="E1433" s="17">
        <f>IF(B1433="","",IF(signed_offices!C33="","",signed_offices!C33&amp;""))</f>
        <v/>
      </c>
      <c r="F1433" s="17">
        <f>IF(B1433="","","signed")</f>
        <v/>
      </c>
      <c r="G1433" s="17">
        <f>IF(B1433="","",IF(ISNUMBER(signed_offices!J33),signed_offices!J33,""))</f>
        <v/>
      </c>
      <c r="H1433" s="17">
        <f>IF(B1433="","","")</f>
        <v/>
      </c>
      <c r="I1433" s="17">
        <f>IF(B1433="","","")</f>
        <v/>
      </c>
      <c r="J1433" s="17">
        <f>IF(B1433="","",IF(signed_offices!V33="","",signed_offices!V33&amp;""))</f>
        <v/>
      </c>
      <c r="K1433" t="inlineStr">
        <is>
          <t>office signed</t>
        </is>
      </c>
    </row>
    <row r="1434">
      <c r="A1434" s="17">
        <f>IF(B1434="","",B1434+(8*1000+33)/10000000)</f>
        <v/>
      </c>
      <c r="B1434" s="23">
        <f>IF(AND(ISNUMBER(signed_offices!X34),TRIM(signed_offices!W34)&lt;&gt;"",OR(LEFT(signed_offices!W34,6)&lt;&gt;"SAMPLE",Config!$B$19="Y")),signed_offices!X34,"")</f>
        <v/>
      </c>
      <c r="C1434" s="17">
        <f>IF(B1434="","","office")</f>
        <v/>
      </c>
      <c r="D1434" s="17">
        <f>IF(B1434="","",signed_offices!W34&amp;"")</f>
        <v/>
      </c>
      <c r="E1434" s="17">
        <f>IF(B1434="","",IF(signed_offices!C34="","",signed_offices!C34&amp;""))</f>
        <v/>
      </c>
      <c r="F1434" s="17">
        <f>IF(B1434="","","signed")</f>
        <v/>
      </c>
      <c r="G1434" s="17">
        <f>IF(B1434="","",IF(ISNUMBER(signed_offices!J34),signed_offices!J34,""))</f>
        <v/>
      </c>
      <c r="H1434" s="17">
        <f>IF(B1434="","","")</f>
        <v/>
      </c>
      <c r="I1434" s="17">
        <f>IF(B1434="","","")</f>
        <v/>
      </c>
      <c r="J1434" s="17">
        <f>IF(B1434="","",IF(signed_offices!V34="","",signed_offices!V34&amp;""))</f>
        <v/>
      </c>
      <c r="K1434" t="inlineStr">
        <is>
          <t>office signed</t>
        </is>
      </c>
    </row>
    <row r="1435">
      <c r="A1435" s="17">
        <f>IF(B1435="","",B1435+(8*1000+34)/10000000)</f>
        <v/>
      </c>
      <c r="B1435" s="23">
        <f>IF(AND(ISNUMBER(signed_offices!X35),TRIM(signed_offices!W35)&lt;&gt;"",OR(LEFT(signed_offices!W35,6)&lt;&gt;"SAMPLE",Config!$B$19="Y")),signed_offices!X35,"")</f>
        <v/>
      </c>
      <c r="C1435" s="17">
        <f>IF(B1435="","","office")</f>
        <v/>
      </c>
      <c r="D1435" s="17">
        <f>IF(B1435="","",signed_offices!W35&amp;"")</f>
        <v/>
      </c>
      <c r="E1435" s="17">
        <f>IF(B1435="","",IF(signed_offices!C35="","",signed_offices!C35&amp;""))</f>
        <v/>
      </c>
      <c r="F1435" s="17">
        <f>IF(B1435="","","signed")</f>
        <v/>
      </c>
      <c r="G1435" s="17">
        <f>IF(B1435="","",IF(ISNUMBER(signed_offices!J35),signed_offices!J35,""))</f>
        <v/>
      </c>
      <c r="H1435" s="17">
        <f>IF(B1435="","","")</f>
        <v/>
      </c>
      <c r="I1435" s="17">
        <f>IF(B1435="","","")</f>
        <v/>
      </c>
      <c r="J1435" s="17">
        <f>IF(B1435="","",IF(signed_offices!V35="","",signed_offices!V35&amp;""))</f>
        <v/>
      </c>
      <c r="K1435" t="inlineStr">
        <is>
          <t>office signed</t>
        </is>
      </c>
    </row>
    <row r="1436">
      <c r="A1436" s="17">
        <f>IF(B1436="","",B1436+(8*1000+35)/10000000)</f>
        <v/>
      </c>
      <c r="B1436" s="23">
        <f>IF(AND(ISNUMBER(signed_offices!X36),TRIM(signed_offices!W36)&lt;&gt;"",OR(LEFT(signed_offices!W36,6)&lt;&gt;"SAMPLE",Config!$B$19="Y")),signed_offices!X36,"")</f>
        <v/>
      </c>
      <c r="C1436" s="17">
        <f>IF(B1436="","","office")</f>
        <v/>
      </c>
      <c r="D1436" s="17">
        <f>IF(B1436="","",signed_offices!W36&amp;"")</f>
        <v/>
      </c>
      <c r="E1436" s="17">
        <f>IF(B1436="","",IF(signed_offices!C36="","",signed_offices!C36&amp;""))</f>
        <v/>
      </c>
      <c r="F1436" s="17">
        <f>IF(B1436="","","signed")</f>
        <v/>
      </c>
      <c r="G1436" s="17">
        <f>IF(B1436="","",IF(ISNUMBER(signed_offices!J36),signed_offices!J36,""))</f>
        <v/>
      </c>
      <c r="H1436" s="17">
        <f>IF(B1436="","","")</f>
        <v/>
      </c>
      <c r="I1436" s="17">
        <f>IF(B1436="","","")</f>
        <v/>
      </c>
      <c r="J1436" s="17">
        <f>IF(B1436="","",IF(signed_offices!V36="","",signed_offices!V36&amp;""))</f>
        <v/>
      </c>
      <c r="K1436" t="inlineStr">
        <is>
          <t>office signed</t>
        </is>
      </c>
    </row>
    <row r="1437">
      <c r="A1437" s="17">
        <f>IF(B1437="","",B1437+(8*1000+36)/10000000)</f>
        <v/>
      </c>
      <c r="B1437" s="23">
        <f>IF(AND(ISNUMBER(signed_offices!X37),TRIM(signed_offices!W37)&lt;&gt;"",OR(LEFT(signed_offices!W37,6)&lt;&gt;"SAMPLE",Config!$B$19="Y")),signed_offices!X37,"")</f>
        <v/>
      </c>
      <c r="C1437" s="17">
        <f>IF(B1437="","","office")</f>
        <v/>
      </c>
      <c r="D1437" s="17">
        <f>IF(B1437="","",signed_offices!W37&amp;"")</f>
        <v/>
      </c>
      <c r="E1437" s="17">
        <f>IF(B1437="","",IF(signed_offices!C37="","",signed_offices!C37&amp;""))</f>
        <v/>
      </c>
      <c r="F1437" s="17">
        <f>IF(B1437="","","signed")</f>
        <v/>
      </c>
      <c r="G1437" s="17">
        <f>IF(B1437="","",IF(ISNUMBER(signed_offices!J37),signed_offices!J37,""))</f>
        <v/>
      </c>
      <c r="H1437" s="17">
        <f>IF(B1437="","","")</f>
        <v/>
      </c>
      <c r="I1437" s="17">
        <f>IF(B1437="","","")</f>
        <v/>
      </c>
      <c r="J1437" s="17">
        <f>IF(B1437="","",IF(signed_offices!V37="","",signed_offices!V37&amp;""))</f>
        <v/>
      </c>
      <c r="K1437" t="inlineStr">
        <is>
          <t>office signed</t>
        </is>
      </c>
    </row>
    <row r="1438">
      <c r="A1438" s="17">
        <f>IF(B1438="","",B1438+(8*1000+37)/10000000)</f>
        <v/>
      </c>
      <c r="B1438" s="23">
        <f>IF(AND(ISNUMBER(signed_offices!X38),TRIM(signed_offices!W38)&lt;&gt;"",OR(LEFT(signed_offices!W38,6)&lt;&gt;"SAMPLE",Config!$B$19="Y")),signed_offices!X38,"")</f>
        <v/>
      </c>
      <c r="C1438" s="17">
        <f>IF(B1438="","","office")</f>
        <v/>
      </c>
      <c r="D1438" s="17">
        <f>IF(B1438="","",signed_offices!W38&amp;"")</f>
        <v/>
      </c>
      <c r="E1438" s="17">
        <f>IF(B1438="","",IF(signed_offices!C38="","",signed_offices!C38&amp;""))</f>
        <v/>
      </c>
      <c r="F1438" s="17">
        <f>IF(B1438="","","signed")</f>
        <v/>
      </c>
      <c r="G1438" s="17">
        <f>IF(B1438="","",IF(ISNUMBER(signed_offices!J38),signed_offices!J38,""))</f>
        <v/>
      </c>
      <c r="H1438" s="17">
        <f>IF(B1438="","","")</f>
        <v/>
      </c>
      <c r="I1438" s="17">
        <f>IF(B1438="","","")</f>
        <v/>
      </c>
      <c r="J1438" s="17">
        <f>IF(B1438="","",IF(signed_offices!V38="","",signed_offices!V38&amp;""))</f>
        <v/>
      </c>
      <c r="K1438" t="inlineStr">
        <is>
          <t>office signed</t>
        </is>
      </c>
    </row>
    <row r="1439">
      <c r="A1439" s="17">
        <f>IF(B1439="","",B1439+(8*1000+38)/10000000)</f>
        <v/>
      </c>
      <c r="B1439" s="23">
        <f>IF(AND(ISNUMBER(signed_offices!X39),TRIM(signed_offices!W39)&lt;&gt;"",OR(LEFT(signed_offices!W39,6)&lt;&gt;"SAMPLE",Config!$B$19="Y")),signed_offices!X39,"")</f>
        <v/>
      </c>
      <c r="C1439" s="17">
        <f>IF(B1439="","","office")</f>
        <v/>
      </c>
      <c r="D1439" s="17">
        <f>IF(B1439="","",signed_offices!W39&amp;"")</f>
        <v/>
      </c>
      <c r="E1439" s="17">
        <f>IF(B1439="","",IF(signed_offices!C39="","",signed_offices!C39&amp;""))</f>
        <v/>
      </c>
      <c r="F1439" s="17">
        <f>IF(B1439="","","signed")</f>
        <v/>
      </c>
      <c r="G1439" s="17">
        <f>IF(B1439="","",IF(ISNUMBER(signed_offices!J39),signed_offices!J39,""))</f>
        <v/>
      </c>
      <c r="H1439" s="17">
        <f>IF(B1439="","","")</f>
        <v/>
      </c>
      <c r="I1439" s="17">
        <f>IF(B1439="","","")</f>
        <v/>
      </c>
      <c r="J1439" s="17">
        <f>IF(B1439="","",IF(signed_offices!V39="","",signed_offices!V39&amp;""))</f>
        <v/>
      </c>
      <c r="K1439" t="inlineStr">
        <is>
          <t>office signed</t>
        </is>
      </c>
    </row>
    <row r="1440">
      <c r="A1440" s="17">
        <f>IF(B1440="","",B1440+(8*1000+39)/10000000)</f>
        <v/>
      </c>
      <c r="B1440" s="23">
        <f>IF(AND(ISNUMBER(signed_offices!X40),TRIM(signed_offices!W40)&lt;&gt;"",OR(LEFT(signed_offices!W40,6)&lt;&gt;"SAMPLE",Config!$B$19="Y")),signed_offices!X40,"")</f>
        <v/>
      </c>
      <c r="C1440" s="17">
        <f>IF(B1440="","","office")</f>
        <v/>
      </c>
      <c r="D1440" s="17">
        <f>IF(B1440="","",signed_offices!W40&amp;"")</f>
        <v/>
      </c>
      <c r="E1440" s="17">
        <f>IF(B1440="","",IF(signed_offices!C40="","",signed_offices!C40&amp;""))</f>
        <v/>
      </c>
      <c r="F1440" s="17">
        <f>IF(B1440="","","signed")</f>
        <v/>
      </c>
      <c r="G1440" s="17">
        <f>IF(B1440="","",IF(ISNUMBER(signed_offices!J40),signed_offices!J40,""))</f>
        <v/>
      </c>
      <c r="H1440" s="17">
        <f>IF(B1440="","","")</f>
        <v/>
      </c>
      <c r="I1440" s="17">
        <f>IF(B1440="","","")</f>
        <v/>
      </c>
      <c r="J1440" s="17">
        <f>IF(B1440="","",IF(signed_offices!V40="","",signed_offices!V40&amp;""))</f>
        <v/>
      </c>
      <c r="K1440" t="inlineStr">
        <is>
          <t>office signed</t>
        </is>
      </c>
    </row>
    <row r="1441">
      <c r="A1441" s="17">
        <f>IF(B1441="","",B1441+(8*1000+40)/10000000)</f>
        <v/>
      </c>
      <c r="B1441" s="23">
        <f>IF(AND(ISNUMBER(signed_offices!X41),TRIM(signed_offices!W41)&lt;&gt;"",OR(LEFT(signed_offices!W41,6)&lt;&gt;"SAMPLE",Config!$B$19="Y")),signed_offices!X41,"")</f>
        <v/>
      </c>
      <c r="C1441" s="17">
        <f>IF(B1441="","","office")</f>
        <v/>
      </c>
      <c r="D1441" s="17">
        <f>IF(B1441="","",signed_offices!W41&amp;"")</f>
        <v/>
      </c>
      <c r="E1441" s="17">
        <f>IF(B1441="","",IF(signed_offices!C41="","",signed_offices!C41&amp;""))</f>
        <v/>
      </c>
      <c r="F1441" s="17">
        <f>IF(B1441="","","signed")</f>
        <v/>
      </c>
      <c r="G1441" s="17">
        <f>IF(B1441="","",IF(ISNUMBER(signed_offices!J41),signed_offices!J41,""))</f>
        <v/>
      </c>
      <c r="H1441" s="17">
        <f>IF(B1441="","","")</f>
        <v/>
      </c>
      <c r="I1441" s="17">
        <f>IF(B1441="","","")</f>
        <v/>
      </c>
      <c r="J1441" s="17">
        <f>IF(B1441="","",IF(signed_offices!V41="","",signed_offices!V41&amp;""))</f>
        <v/>
      </c>
      <c r="K1441" t="inlineStr">
        <is>
          <t>office signed</t>
        </is>
      </c>
    </row>
    <row r="1442">
      <c r="A1442" s="17">
        <f>IF(B1442="","",B1442+(8*1000+41)/10000000)</f>
        <v/>
      </c>
      <c r="B1442" s="23">
        <f>IF(AND(ISNUMBER(signed_offices!X42),TRIM(signed_offices!W42)&lt;&gt;"",OR(LEFT(signed_offices!W42,6)&lt;&gt;"SAMPLE",Config!$B$19="Y")),signed_offices!X42,"")</f>
        <v/>
      </c>
      <c r="C1442" s="17">
        <f>IF(B1442="","","office")</f>
        <v/>
      </c>
      <c r="D1442" s="17">
        <f>IF(B1442="","",signed_offices!W42&amp;"")</f>
        <v/>
      </c>
      <c r="E1442" s="17">
        <f>IF(B1442="","",IF(signed_offices!C42="","",signed_offices!C42&amp;""))</f>
        <v/>
      </c>
      <c r="F1442" s="17">
        <f>IF(B1442="","","signed")</f>
        <v/>
      </c>
      <c r="G1442" s="17">
        <f>IF(B1442="","",IF(ISNUMBER(signed_offices!J42),signed_offices!J42,""))</f>
        <v/>
      </c>
      <c r="H1442" s="17">
        <f>IF(B1442="","","")</f>
        <v/>
      </c>
      <c r="I1442" s="17">
        <f>IF(B1442="","","")</f>
        <v/>
      </c>
      <c r="J1442" s="17">
        <f>IF(B1442="","",IF(signed_offices!V42="","",signed_offices!V42&amp;""))</f>
        <v/>
      </c>
      <c r="K1442" t="inlineStr">
        <is>
          <t>office signed</t>
        </is>
      </c>
    </row>
    <row r="1443">
      <c r="A1443" s="17">
        <f>IF(B1443="","",B1443+(8*1000+42)/10000000)</f>
        <v/>
      </c>
      <c r="B1443" s="23">
        <f>IF(AND(ISNUMBER(signed_offices!X43),TRIM(signed_offices!W43)&lt;&gt;"",OR(LEFT(signed_offices!W43,6)&lt;&gt;"SAMPLE",Config!$B$19="Y")),signed_offices!X43,"")</f>
        <v/>
      </c>
      <c r="C1443" s="17">
        <f>IF(B1443="","","office")</f>
        <v/>
      </c>
      <c r="D1443" s="17">
        <f>IF(B1443="","",signed_offices!W43&amp;"")</f>
        <v/>
      </c>
      <c r="E1443" s="17">
        <f>IF(B1443="","",IF(signed_offices!C43="","",signed_offices!C43&amp;""))</f>
        <v/>
      </c>
      <c r="F1443" s="17">
        <f>IF(B1443="","","signed")</f>
        <v/>
      </c>
      <c r="G1443" s="17">
        <f>IF(B1443="","",IF(ISNUMBER(signed_offices!J43),signed_offices!J43,""))</f>
        <v/>
      </c>
      <c r="H1443" s="17">
        <f>IF(B1443="","","")</f>
        <v/>
      </c>
      <c r="I1443" s="17">
        <f>IF(B1443="","","")</f>
        <v/>
      </c>
      <c r="J1443" s="17">
        <f>IF(B1443="","",IF(signed_offices!V43="","",signed_offices!V43&amp;""))</f>
        <v/>
      </c>
      <c r="K1443" t="inlineStr">
        <is>
          <t>office signed</t>
        </is>
      </c>
    </row>
    <row r="1444">
      <c r="A1444" s="17">
        <f>IF(B1444="","",B1444+(8*1000+43)/10000000)</f>
        <v/>
      </c>
      <c r="B1444" s="23">
        <f>IF(AND(ISNUMBER(signed_offices!X44),TRIM(signed_offices!W44)&lt;&gt;"",OR(LEFT(signed_offices!W44,6)&lt;&gt;"SAMPLE",Config!$B$19="Y")),signed_offices!X44,"")</f>
        <v/>
      </c>
      <c r="C1444" s="17">
        <f>IF(B1444="","","office")</f>
        <v/>
      </c>
      <c r="D1444" s="17">
        <f>IF(B1444="","",signed_offices!W44&amp;"")</f>
        <v/>
      </c>
      <c r="E1444" s="17">
        <f>IF(B1444="","",IF(signed_offices!C44="","",signed_offices!C44&amp;""))</f>
        <v/>
      </c>
      <c r="F1444" s="17">
        <f>IF(B1444="","","signed")</f>
        <v/>
      </c>
      <c r="G1444" s="17">
        <f>IF(B1444="","",IF(ISNUMBER(signed_offices!J44),signed_offices!J44,""))</f>
        <v/>
      </c>
      <c r="H1444" s="17">
        <f>IF(B1444="","","")</f>
        <v/>
      </c>
      <c r="I1444" s="17">
        <f>IF(B1444="","","")</f>
        <v/>
      </c>
      <c r="J1444" s="17">
        <f>IF(B1444="","",IF(signed_offices!V44="","",signed_offices!V44&amp;""))</f>
        <v/>
      </c>
      <c r="K1444" t="inlineStr">
        <is>
          <t>office signed</t>
        </is>
      </c>
    </row>
    <row r="1445">
      <c r="A1445" s="17">
        <f>IF(B1445="","",B1445+(8*1000+44)/10000000)</f>
        <v/>
      </c>
      <c r="B1445" s="23">
        <f>IF(AND(ISNUMBER(signed_offices!X45),TRIM(signed_offices!W45)&lt;&gt;"",OR(LEFT(signed_offices!W45,6)&lt;&gt;"SAMPLE",Config!$B$19="Y")),signed_offices!X45,"")</f>
        <v/>
      </c>
      <c r="C1445" s="17">
        <f>IF(B1445="","","office")</f>
        <v/>
      </c>
      <c r="D1445" s="17">
        <f>IF(B1445="","",signed_offices!W45&amp;"")</f>
        <v/>
      </c>
      <c r="E1445" s="17">
        <f>IF(B1445="","",IF(signed_offices!C45="","",signed_offices!C45&amp;""))</f>
        <v/>
      </c>
      <c r="F1445" s="17">
        <f>IF(B1445="","","signed")</f>
        <v/>
      </c>
      <c r="G1445" s="17">
        <f>IF(B1445="","",IF(ISNUMBER(signed_offices!J45),signed_offices!J45,""))</f>
        <v/>
      </c>
      <c r="H1445" s="17">
        <f>IF(B1445="","","")</f>
        <v/>
      </c>
      <c r="I1445" s="17">
        <f>IF(B1445="","","")</f>
        <v/>
      </c>
      <c r="J1445" s="17">
        <f>IF(B1445="","",IF(signed_offices!V45="","",signed_offices!V45&amp;""))</f>
        <v/>
      </c>
      <c r="K1445" t="inlineStr">
        <is>
          <t>office signed</t>
        </is>
      </c>
    </row>
    <row r="1446">
      <c r="A1446" s="17">
        <f>IF(B1446="","",B1446+(8*1000+45)/10000000)</f>
        <v/>
      </c>
      <c r="B1446" s="23">
        <f>IF(AND(ISNUMBER(signed_offices!X46),TRIM(signed_offices!W46)&lt;&gt;"",OR(LEFT(signed_offices!W46,6)&lt;&gt;"SAMPLE",Config!$B$19="Y")),signed_offices!X46,"")</f>
        <v/>
      </c>
      <c r="C1446" s="17">
        <f>IF(B1446="","","office")</f>
        <v/>
      </c>
      <c r="D1446" s="17">
        <f>IF(B1446="","",signed_offices!W46&amp;"")</f>
        <v/>
      </c>
      <c r="E1446" s="17">
        <f>IF(B1446="","",IF(signed_offices!C46="","",signed_offices!C46&amp;""))</f>
        <v/>
      </c>
      <c r="F1446" s="17">
        <f>IF(B1446="","","signed")</f>
        <v/>
      </c>
      <c r="G1446" s="17">
        <f>IF(B1446="","",IF(ISNUMBER(signed_offices!J46),signed_offices!J46,""))</f>
        <v/>
      </c>
      <c r="H1446" s="17">
        <f>IF(B1446="","","")</f>
        <v/>
      </c>
      <c r="I1446" s="17">
        <f>IF(B1446="","","")</f>
        <v/>
      </c>
      <c r="J1446" s="17">
        <f>IF(B1446="","",IF(signed_offices!V46="","",signed_offices!V46&amp;""))</f>
        <v/>
      </c>
      <c r="K1446" t="inlineStr">
        <is>
          <t>office signed</t>
        </is>
      </c>
    </row>
    <row r="1447">
      <c r="A1447" s="17">
        <f>IF(B1447="","",B1447+(8*1000+46)/10000000)</f>
        <v/>
      </c>
      <c r="B1447" s="23">
        <f>IF(AND(ISNUMBER(signed_offices!X47),TRIM(signed_offices!W47)&lt;&gt;"",OR(LEFT(signed_offices!W47,6)&lt;&gt;"SAMPLE",Config!$B$19="Y")),signed_offices!X47,"")</f>
        <v/>
      </c>
      <c r="C1447" s="17">
        <f>IF(B1447="","","office")</f>
        <v/>
      </c>
      <c r="D1447" s="17">
        <f>IF(B1447="","",signed_offices!W47&amp;"")</f>
        <v/>
      </c>
      <c r="E1447" s="17">
        <f>IF(B1447="","",IF(signed_offices!C47="","",signed_offices!C47&amp;""))</f>
        <v/>
      </c>
      <c r="F1447" s="17">
        <f>IF(B1447="","","signed")</f>
        <v/>
      </c>
      <c r="G1447" s="17">
        <f>IF(B1447="","",IF(ISNUMBER(signed_offices!J47),signed_offices!J47,""))</f>
        <v/>
      </c>
      <c r="H1447" s="17">
        <f>IF(B1447="","","")</f>
        <v/>
      </c>
      <c r="I1447" s="17">
        <f>IF(B1447="","","")</f>
        <v/>
      </c>
      <c r="J1447" s="17">
        <f>IF(B1447="","",IF(signed_offices!V47="","",signed_offices!V47&amp;""))</f>
        <v/>
      </c>
      <c r="K1447" t="inlineStr">
        <is>
          <t>office signed</t>
        </is>
      </c>
    </row>
    <row r="1448">
      <c r="A1448" s="17">
        <f>IF(B1448="","",B1448+(8*1000+47)/10000000)</f>
        <v/>
      </c>
      <c r="B1448" s="23">
        <f>IF(AND(ISNUMBER(signed_offices!X48),TRIM(signed_offices!W48)&lt;&gt;"",OR(LEFT(signed_offices!W48,6)&lt;&gt;"SAMPLE",Config!$B$19="Y")),signed_offices!X48,"")</f>
        <v/>
      </c>
      <c r="C1448" s="17">
        <f>IF(B1448="","","office")</f>
        <v/>
      </c>
      <c r="D1448" s="17">
        <f>IF(B1448="","",signed_offices!W48&amp;"")</f>
        <v/>
      </c>
      <c r="E1448" s="17">
        <f>IF(B1448="","",IF(signed_offices!C48="","",signed_offices!C48&amp;""))</f>
        <v/>
      </c>
      <c r="F1448" s="17">
        <f>IF(B1448="","","signed")</f>
        <v/>
      </c>
      <c r="G1448" s="17">
        <f>IF(B1448="","",IF(ISNUMBER(signed_offices!J48),signed_offices!J48,""))</f>
        <v/>
      </c>
      <c r="H1448" s="17">
        <f>IF(B1448="","","")</f>
        <v/>
      </c>
      <c r="I1448" s="17">
        <f>IF(B1448="","","")</f>
        <v/>
      </c>
      <c r="J1448" s="17">
        <f>IF(B1448="","",IF(signed_offices!V48="","",signed_offices!V48&amp;""))</f>
        <v/>
      </c>
      <c r="K1448" t="inlineStr">
        <is>
          <t>office signed</t>
        </is>
      </c>
    </row>
    <row r="1449">
      <c r="A1449" s="17">
        <f>IF(B1449="","",B1449+(8*1000+48)/10000000)</f>
        <v/>
      </c>
      <c r="B1449" s="23">
        <f>IF(AND(ISNUMBER(signed_offices!X49),TRIM(signed_offices!W49)&lt;&gt;"",OR(LEFT(signed_offices!W49,6)&lt;&gt;"SAMPLE",Config!$B$19="Y")),signed_offices!X49,"")</f>
        <v/>
      </c>
      <c r="C1449" s="17">
        <f>IF(B1449="","","office")</f>
        <v/>
      </c>
      <c r="D1449" s="17">
        <f>IF(B1449="","",signed_offices!W49&amp;"")</f>
        <v/>
      </c>
      <c r="E1449" s="17">
        <f>IF(B1449="","",IF(signed_offices!C49="","",signed_offices!C49&amp;""))</f>
        <v/>
      </c>
      <c r="F1449" s="17">
        <f>IF(B1449="","","signed")</f>
        <v/>
      </c>
      <c r="G1449" s="17">
        <f>IF(B1449="","",IF(ISNUMBER(signed_offices!J49),signed_offices!J49,""))</f>
        <v/>
      </c>
      <c r="H1449" s="17">
        <f>IF(B1449="","","")</f>
        <v/>
      </c>
      <c r="I1449" s="17">
        <f>IF(B1449="","","")</f>
        <v/>
      </c>
      <c r="J1449" s="17">
        <f>IF(B1449="","",IF(signed_offices!V49="","",signed_offices!V49&amp;""))</f>
        <v/>
      </c>
      <c r="K1449" t="inlineStr">
        <is>
          <t>office signed</t>
        </is>
      </c>
    </row>
    <row r="1450">
      <c r="A1450" s="17">
        <f>IF(B1450="","",B1450+(8*1000+49)/10000000)</f>
        <v/>
      </c>
      <c r="B1450" s="23">
        <f>IF(AND(ISNUMBER(signed_offices!X50),TRIM(signed_offices!W50)&lt;&gt;"",OR(LEFT(signed_offices!W50,6)&lt;&gt;"SAMPLE",Config!$B$19="Y")),signed_offices!X50,"")</f>
        <v/>
      </c>
      <c r="C1450" s="17">
        <f>IF(B1450="","","office")</f>
        <v/>
      </c>
      <c r="D1450" s="17">
        <f>IF(B1450="","",signed_offices!W50&amp;"")</f>
        <v/>
      </c>
      <c r="E1450" s="17">
        <f>IF(B1450="","",IF(signed_offices!C50="","",signed_offices!C50&amp;""))</f>
        <v/>
      </c>
      <c r="F1450" s="17">
        <f>IF(B1450="","","signed")</f>
        <v/>
      </c>
      <c r="G1450" s="17">
        <f>IF(B1450="","",IF(ISNUMBER(signed_offices!J50),signed_offices!J50,""))</f>
        <v/>
      </c>
      <c r="H1450" s="17">
        <f>IF(B1450="","","")</f>
        <v/>
      </c>
      <c r="I1450" s="17">
        <f>IF(B1450="","","")</f>
        <v/>
      </c>
      <c r="J1450" s="17">
        <f>IF(B1450="","",IF(signed_offices!V50="","",signed_offices!V50&amp;""))</f>
        <v/>
      </c>
      <c r="K1450" t="inlineStr">
        <is>
          <t>office signed</t>
        </is>
      </c>
    </row>
    <row r="1451">
      <c r="A1451" s="17">
        <f>IF(B1451="","",B1451+(8*1000+50)/10000000)</f>
        <v/>
      </c>
      <c r="B1451" s="23">
        <f>IF(AND(ISNUMBER(signed_offices!X51),TRIM(signed_offices!W51)&lt;&gt;"",OR(LEFT(signed_offices!W51,6)&lt;&gt;"SAMPLE",Config!$B$19="Y")),signed_offices!X51,"")</f>
        <v/>
      </c>
      <c r="C1451" s="17">
        <f>IF(B1451="","","office")</f>
        <v/>
      </c>
      <c r="D1451" s="17">
        <f>IF(B1451="","",signed_offices!W51&amp;"")</f>
        <v/>
      </c>
      <c r="E1451" s="17">
        <f>IF(B1451="","",IF(signed_offices!C51="","",signed_offices!C51&amp;""))</f>
        <v/>
      </c>
      <c r="F1451" s="17">
        <f>IF(B1451="","","signed")</f>
        <v/>
      </c>
      <c r="G1451" s="17">
        <f>IF(B1451="","",IF(ISNUMBER(signed_offices!J51),signed_offices!J51,""))</f>
        <v/>
      </c>
      <c r="H1451" s="17">
        <f>IF(B1451="","","")</f>
        <v/>
      </c>
      <c r="I1451" s="17">
        <f>IF(B1451="","","")</f>
        <v/>
      </c>
      <c r="J1451" s="17">
        <f>IF(B1451="","",IF(signed_offices!V51="","",signed_offices!V51&amp;""))</f>
        <v/>
      </c>
      <c r="K1451" t="inlineStr">
        <is>
          <t>office signed</t>
        </is>
      </c>
    </row>
    <row r="1452">
      <c r="A1452" s="17">
        <f>IF(B1452="","",B1452+(9*1000+1)/10000000)</f>
        <v/>
      </c>
      <c r="B1452" s="23">
        <f>IF(AND(ISNUMBER(paid_brands!AW2),ISNUMBER(paid_brands!AV2),TRIM(paid_brands!AC2)&lt;&gt;"",OR(LEFT(paid_brands!AC2,6)&lt;&gt;"SAMPLE",Config!$B$19="Y")),paid_brands!AW2,"")</f>
        <v/>
      </c>
      <c r="C1452" s="17">
        <f>IF(B1452="","","brand")</f>
        <v/>
      </c>
      <c r="D1452" s="17">
        <f>IF(B1452="","",paid_brands!AC2&amp;"")</f>
        <v/>
      </c>
      <c r="E1452" s="17">
        <f>IF(B1452="","",IF(paid_brands!C2="","",paid_brands!C2&amp;""))</f>
        <v/>
      </c>
      <c r="F1452" s="17">
        <f>IF(B1452="","","paid")</f>
        <v/>
      </c>
      <c r="G1452" s="17">
        <f>IF(B1452="","",paid_brands!AV2)</f>
        <v/>
      </c>
      <c r="H1452" s="17">
        <f>IF(B1452="","","")</f>
        <v/>
      </c>
      <c r="I1452" s="17">
        <f>IF(B1452="","","")</f>
        <v/>
      </c>
      <c r="J1452" s="17">
        <f>IF(B1452="","","payment 1; "&amp;paid_brands!AB2&amp;"; "&amp;paid_brands!AD2&amp;"; invoice "&amp;paid_brands!AI2)</f>
        <v/>
      </c>
      <c r="K1452" t="inlineStr">
        <is>
          <t>brand paid (payment 1)</t>
        </is>
      </c>
    </row>
    <row r="1453">
      <c r="A1453" s="17">
        <f>IF(B1453="","",B1453+(9*1000+2)/10000000)</f>
        <v/>
      </c>
      <c r="B1453" s="23">
        <f>IF(AND(ISNUMBER(paid_brands!AW3),ISNUMBER(paid_brands!AV3),TRIM(paid_brands!AC3)&lt;&gt;"",OR(LEFT(paid_brands!AC3,6)&lt;&gt;"SAMPLE",Config!$B$19="Y")),paid_brands!AW3,"")</f>
        <v/>
      </c>
      <c r="C1453" s="17">
        <f>IF(B1453="","","brand")</f>
        <v/>
      </c>
      <c r="D1453" s="17">
        <f>IF(B1453="","",paid_brands!AC3&amp;"")</f>
        <v/>
      </c>
      <c r="E1453" s="17">
        <f>IF(B1453="","",IF(paid_brands!C3="","",paid_brands!C3&amp;""))</f>
        <v/>
      </c>
      <c r="F1453" s="17">
        <f>IF(B1453="","","paid")</f>
        <v/>
      </c>
      <c r="G1453" s="17">
        <f>IF(B1453="","",paid_brands!AV3)</f>
        <v/>
      </c>
      <c r="H1453" s="17">
        <f>IF(B1453="","","")</f>
        <v/>
      </c>
      <c r="I1453" s="17">
        <f>IF(B1453="","","")</f>
        <v/>
      </c>
      <c r="J1453" s="17">
        <f>IF(B1453="","","payment 1; "&amp;paid_brands!AB3&amp;"; "&amp;paid_brands!AD3&amp;"; invoice "&amp;paid_brands!AI3)</f>
        <v/>
      </c>
      <c r="K1453" t="inlineStr">
        <is>
          <t>brand paid (payment 1)</t>
        </is>
      </c>
    </row>
    <row r="1454">
      <c r="A1454" s="17">
        <f>IF(B1454="","",B1454+(9*1000+3)/10000000)</f>
        <v/>
      </c>
      <c r="B1454" s="23">
        <f>IF(AND(ISNUMBER(paid_brands!AW4),ISNUMBER(paid_brands!AV4),TRIM(paid_brands!AC4)&lt;&gt;"",OR(LEFT(paid_brands!AC4,6)&lt;&gt;"SAMPLE",Config!$B$19="Y")),paid_brands!AW4,"")</f>
        <v/>
      </c>
      <c r="C1454" s="17">
        <f>IF(B1454="","","brand")</f>
        <v/>
      </c>
      <c r="D1454" s="17">
        <f>IF(B1454="","",paid_brands!AC4&amp;"")</f>
        <v/>
      </c>
      <c r="E1454" s="17">
        <f>IF(B1454="","",IF(paid_brands!C4="","",paid_brands!C4&amp;""))</f>
        <v/>
      </c>
      <c r="F1454" s="17">
        <f>IF(B1454="","","paid")</f>
        <v/>
      </c>
      <c r="G1454" s="17">
        <f>IF(B1454="","",paid_brands!AV4)</f>
        <v/>
      </c>
      <c r="H1454" s="17">
        <f>IF(B1454="","","")</f>
        <v/>
      </c>
      <c r="I1454" s="17">
        <f>IF(B1454="","","")</f>
        <v/>
      </c>
      <c r="J1454" s="17">
        <f>IF(B1454="","","payment 1; "&amp;paid_brands!AB4&amp;"; "&amp;paid_brands!AD4&amp;"; invoice "&amp;paid_brands!AI4)</f>
        <v/>
      </c>
      <c r="K1454" t="inlineStr">
        <is>
          <t>brand paid (payment 1)</t>
        </is>
      </c>
    </row>
    <row r="1455">
      <c r="A1455" s="17">
        <f>IF(B1455="","",B1455+(9*1000+4)/10000000)</f>
        <v/>
      </c>
      <c r="B1455" s="23">
        <f>IF(AND(ISNUMBER(paid_brands!AW5),ISNUMBER(paid_brands!AV5),TRIM(paid_brands!AC5)&lt;&gt;"",OR(LEFT(paid_brands!AC5,6)&lt;&gt;"SAMPLE",Config!$B$19="Y")),paid_brands!AW5,"")</f>
        <v/>
      </c>
      <c r="C1455" s="17">
        <f>IF(B1455="","","brand")</f>
        <v/>
      </c>
      <c r="D1455" s="17">
        <f>IF(B1455="","",paid_brands!AC5&amp;"")</f>
        <v/>
      </c>
      <c r="E1455" s="17">
        <f>IF(B1455="","",IF(paid_brands!C5="","",paid_brands!C5&amp;""))</f>
        <v/>
      </c>
      <c r="F1455" s="17">
        <f>IF(B1455="","","paid")</f>
        <v/>
      </c>
      <c r="G1455" s="17">
        <f>IF(B1455="","",paid_brands!AV5)</f>
        <v/>
      </c>
      <c r="H1455" s="17">
        <f>IF(B1455="","","")</f>
        <v/>
      </c>
      <c r="I1455" s="17">
        <f>IF(B1455="","","")</f>
        <v/>
      </c>
      <c r="J1455" s="17">
        <f>IF(B1455="","","payment 1; "&amp;paid_brands!AB5&amp;"; "&amp;paid_brands!AD5&amp;"; invoice "&amp;paid_brands!AI5)</f>
        <v/>
      </c>
      <c r="K1455" t="inlineStr">
        <is>
          <t>brand paid (payment 1)</t>
        </is>
      </c>
    </row>
    <row r="1456">
      <c r="A1456" s="17">
        <f>IF(B1456="","",B1456+(9*1000+5)/10000000)</f>
        <v/>
      </c>
      <c r="B1456" s="23">
        <f>IF(AND(ISNUMBER(paid_brands!AW6),ISNUMBER(paid_brands!AV6),TRIM(paid_brands!AC6)&lt;&gt;"",OR(LEFT(paid_brands!AC6,6)&lt;&gt;"SAMPLE",Config!$B$19="Y")),paid_brands!AW6,"")</f>
        <v/>
      </c>
      <c r="C1456" s="17">
        <f>IF(B1456="","","brand")</f>
        <v/>
      </c>
      <c r="D1456" s="17">
        <f>IF(B1456="","",paid_brands!AC6&amp;"")</f>
        <v/>
      </c>
      <c r="E1456" s="17">
        <f>IF(B1456="","",IF(paid_brands!C6="","",paid_brands!C6&amp;""))</f>
        <v/>
      </c>
      <c r="F1456" s="17">
        <f>IF(B1456="","","paid")</f>
        <v/>
      </c>
      <c r="G1456" s="17">
        <f>IF(B1456="","",paid_brands!AV6)</f>
        <v/>
      </c>
      <c r="H1456" s="17">
        <f>IF(B1456="","","")</f>
        <v/>
      </c>
      <c r="I1456" s="17">
        <f>IF(B1456="","","")</f>
        <v/>
      </c>
      <c r="J1456" s="17">
        <f>IF(B1456="","","payment 1; "&amp;paid_brands!AB6&amp;"; "&amp;paid_brands!AD6&amp;"; invoice "&amp;paid_brands!AI6)</f>
        <v/>
      </c>
      <c r="K1456" t="inlineStr">
        <is>
          <t>brand paid (payment 1)</t>
        </is>
      </c>
    </row>
    <row r="1457">
      <c r="A1457" s="17">
        <f>IF(B1457="","",B1457+(9*1000+6)/10000000)</f>
        <v/>
      </c>
      <c r="B1457" s="23">
        <f>IF(AND(ISNUMBER(paid_brands!AW7),ISNUMBER(paid_brands!AV7),TRIM(paid_brands!AC7)&lt;&gt;"",OR(LEFT(paid_brands!AC7,6)&lt;&gt;"SAMPLE",Config!$B$19="Y")),paid_brands!AW7,"")</f>
        <v/>
      </c>
      <c r="C1457" s="17">
        <f>IF(B1457="","","brand")</f>
        <v/>
      </c>
      <c r="D1457" s="17">
        <f>IF(B1457="","",paid_brands!AC7&amp;"")</f>
        <v/>
      </c>
      <c r="E1457" s="17">
        <f>IF(B1457="","",IF(paid_brands!C7="","",paid_brands!C7&amp;""))</f>
        <v/>
      </c>
      <c r="F1457" s="17">
        <f>IF(B1457="","","paid")</f>
        <v/>
      </c>
      <c r="G1457" s="17">
        <f>IF(B1457="","",paid_brands!AV7)</f>
        <v/>
      </c>
      <c r="H1457" s="17">
        <f>IF(B1457="","","")</f>
        <v/>
      </c>
      <c r="I1457" s="17">
        <f>IF(B1457="","","")</f>
        <v/>
      </c>
      <c r="J1457" s="17">
        <f>IF(B1457="","","payment 1; "&amp;paid_brands!AB7&amp;"; "&amp;paid_brands!AD7&amp;"; invoice "&amp;paid_brands!AI7)</f>
        <v/>
      </c>
      <c r="K1457" t="inlineStr">
        <is>
          <t>brand paid (payment 1)</t>
        </is>
      </c>
    </row>
    <row r="1458">
      <c r="A1458" s="17">
        <f>IF(B1458="","",B1458+(9*1000+7)/10000000)</f>
        <v/>
      </c>
      <c r="B1458" s="23">
        <f>IF(AND(ISNUMBER(paid_brands!AW8),ISNUMBER(paid_brands!AV8),TRIM(paid_brands!AC8)&lt;&gt;"",OR(LEFT(paid_brands!AC8,6)&lt;&gt;"SAMPLE",Config!$B$19="Y")),paid_brands!AW8,"")</f>
        <v/>
      </c>
      <c r="C1458" s="17">
        <f>IF(B1458="","","brand")</f>
        <v/>
      </c>
      <c r="D1458" s="17">
        <f>IF(B1458="","",paid_brands!AC8&amp;"")</f>
        <v/>
      </c>
      <c r="E1458" s="17">
        <f>IF(B1458="","",IF(paid_brands!C8="","",paid_brands!C8&amp;""))</f>
        <v/>
      </c>
      <c r="F1458" s="17">
        <f>IF(B1458="","","paid")</f>
        <v/>
      </c>
      <c r="G1458" s="17">
        <f>IF(B1458="","",paid_brands!AV8)</f>
        <v/>
      </c>
      <c r="H1458" s="17">
        <f>IF(B1458="","","")</f>
        <v/>
      </c>
      <c r="I1458" s="17">
        <f>IF(B1458="","","")</f>
        <v/>
      </c>
      <c r="J1458" s="17">
        <f>IF(B1458="","","payment 1; "&amp;paid_brands!AB8&amp;"; "&amp;paid_brands!AD8&amp;"; invoice "&amp;paid_brands!AI8)</f>
        <v/>
      </c>
      <c r="K1458" t="inlineStr">
        <is>
          <t>brand paid (payment 1)</t>
        </is>
      </c>
    </row>
    <row r="1459">
      <c r="A1459" s="17">
        <f>IF(B1459="","",B1459+(9*1000+8)/10000000)</f>
        <v/>
      </c>
      <c r="B1459" s="23">
        <f>IF(AND(ISNUMBER(paid_brands!AW9),ISNUMBER(paid_brands!AV9),TRIM(paid_brands!AC9)&lt;&gt;"",OR(LEFT(paid_brands!AC9,6)&lt;&gt;"SAMPLE",Config!$B$19="Y")),paid_brands!AW9,"")</f>
        <v/>
      </c>
      <c r="C1459" s="17">
        <f>IF(B1459="","","brand")</f>
        <v/>
      </c>
      <c r="D1459" s="17">
        <f>IF(B1459="","",paid_brands!AC9&amp;"")</f>
        <v/>
      </c>
      <c r="E1459" s="17">
        <f>IF(B1459="","",IF(paid_brands!C9="","",paid_brands!C9&amp;""))</f>
        <v/>
      </c>
      <c r="F1459" s="17">
        <f>IF(B1459="","","paid")</f>
        <v/>
      </c>
      <c r="G1459" s="17">
        <f>IF(B1459="","",paid_brands!AV9)</f>
        <v/>
      </c>
      <c r="H1459" s="17">
        <f>IF(B1459="","","")</f>
        <v/>
      </c>
      <c r="I1459" s="17">
        <f>IF(B1459="","","")</f>
        <v/>
      </c>
      <c r="J1459" s="17">
        <f>IF(B1459="","","payment 1; "&amp;paid_brands!AB9&amp;"; "&amp;paid_brands!AD9&amp;"; invoice "&amp;paid_brands!AI9)</f>
        <v/>
      </c>
      <c r="K1459" t="inlineStr">
        <is>
          <t>brand paid (payment 1)</t>
        </is>
      </c>
    </row>
    <row r="1460">
      <c r="A1460" s="17">
        <f>IF(B1460="","",B1460+(9*1000+9)/10000000)</f>
        <v/>
      </c>
      <c r="B1460" s="23">
        <f>IF(AND(ISNUMBER(paid_brands!AW10),ISNUMBER(paid_brands!AV10),TRIM(paid_brands!AC10)&lt;&gt;"",OR(LEFT(paid_brands!AC10,6)&lt;&gt;"SAMPLE",Config!$B$19="Y")),paid_brands!AW10,"")</f>
        <v/>
      </c>
      <c r="C1460" s="17">
        <f>IF(B1460="","","brand")</f>
        <v/>
      </c>
      <c r="D1460" s="17">
        <f>IF(B1460="","",paid_brands!AC10&amp;"")</f>
        <v/>
      </c>
      <c r="E1460" s="17">
        <f>IF(B1460="","",IF(paid_brands!C10="","",paid_brands!C10&amp;""))</f>
        <v/>
      </c>
      <c r="F1460" s="17">
        <f>IF(B1460="","","paid")</f>
        <v/>
      </c>
      <c r="G1460" s="17">
        <f>IF(B1460="","",paid_brands!AV10)</f>
        <v/>
      </c>
      <c r="H1460" s="17">
        <f>IF(B1460="","","")</f>
        <v/>
      </c>
      <c r="I1460" s="17">
        <f>IF(B1460="","","")</f>
        <v/>
      </c>
      <c r="J1460" s="17">
        <f>IF(B1460="","","payment 1; "&amp;paid_brands!AB10&amp;"; "&amp;paid_brands!AD10&amp;"; invoice "&amp;paid_brands!AI10)</f>
        <v/>
      </c>
      <c r="K1460" t="inlineStr">
        <is>
          <t>brand paid (payment 1)</t>
        </is>
      </c>
    </row>
    <row r="1461">
      <c r="A1461" s="17">
        <f>IF(B1461="","",B1461+(9*1000+10)/10000000)</f>
        <v/>
      </c>
      <c r="B1461" s="23">
        <f>IF(AND(ISNUMBER(paid_brands!AW11),ISNUMBER(paid_brands!AV11),TRIM(paid_brands!AC11)&lt;&gt;"",OR(LEFT(paid_brands!AC11,6)&lt;&gt;"SAMPLE",Config!$B$19="Y")),paid_brands!AW11,"")</f>
        <v/>
      </c>
      <c r="C1461" s="17">
        <f>IF(B1461="","","brand")</f>
        <v/>
      </c>
      <c r="D1461" s="17">
        <f>IF(B1461="","",paid_brands!AC11&amp;"")</f>
        <v/>
      </c>
      <c r="E1461" s="17">
        <f>IF(B1461="","",IF(paid_brands!C11="","",paid_brands!C11&amp;""))</f>
        <v/>
      </c>
      <c r="F1461" s="17">
        <f>IF(B1461="","","paid")</f>
        <v/>
      </c>
      <c r="G1461" s="17">
        <f>IF(B1461="","",paid_brands!AV11)</f>
        <v/>
      </c>
      <c r="H1461" s="17">
        <f>IF(B1461="","","")</f>
        <v/>
      </c>
      <c r="I1461" s="17">
        <f>IF(B1461="","","")</f>
        <v/>
      </c>
      <c r="J1461" s="17">
        <f>IF(B1461="","","payment 1; "&amp;paid_brands!AB11&amp;"; "&amp;paid_brands!AD11&amp;"; invoice "&amp;paid_brands!AI11)</f>
        <v/>
      </c>
      <c r="K1461" t="inlineStr">
        <is>
          <t>brand paid (payment 1)</t>
        </is>
      </c>
    </row>
    <row r="1462">
      <c r="A1462" s="17">
        <f>IF(B1462="","",B1462+(9*1000+11)/10000000)</f>
        <v/>
      </c>
      <c r="B1462" s="23">
        <f>IF(AND(ISNUMBER(paid_brands!AW12),ISNUMBER(paid_brands!AV12),TRIM(paid_brands!AC12)&lt;&gt;"",OR(LEFT(paid_brands!AC12,6)&lt;&gt;"SAMPLE",Config!$B$19="Y")),paid_brands!AW12,"")</f>
        <v/>
      </c>
      <c r="C1462" s="17">
        <f>IF(B1462="","","brand")</f>
        <v/>
      </c>
      <c r="D1462" s="17">
        <f>IF(B1462="","",paid_brands!AC12&amp;"")</f>
        <v/>
      </c>
      <c r="E1462" s="17">
        <f>IF(B1462="","",IF(paid_brands!C12="","",paid_brands!C12&amp;""))</f>
        <v/>
      </c>
      <c r="F1462" s="17">
        <f>IF(B1462="","","paid")</f>
        <v/>
      </c>
      <c r="G1462" s="17">
        <f>IF(B1462="","",paid_brands!AV12)</f>
        <v/>
      </c>
      <c r="H1462" s="17">
        <f>IF(B1462="","","")</f>
        <v/>
      </c>
      <c r="I1462" s="17">
        <f>IF(B1462="","","")</f>
        <v/>
      </c>
      <c r="J1462" s="17">
        <f>IF(B1462="","","payment 1; "&amp;paid_brands!AB12&amp;"; "&amp;paid_brands!AD12&amp;"; invoice "&amp;paid_brands!AI12)</f>
        <v/>
      </c>
      <c r="K1462" t="inlineStr">
        <is>
          <t>brand paid (payment 1)</t>
        </is>
      </c>
    </row>
    <row r="1463">
      <c r="A1463" s="17">
        <f>IF(B1463="","",B1463+(9*1000+12)/10000000)</f>
        <v/>
      </c>
      <c r="B1463" s="23">
        <f>IF(AND(ISNUMBER(paid_brands!AW13),ISNUMBER(paid_brands!AV13),TRIM(paid_brands!AC13)&lt;&gt;"",OR(LEFT(paid_brands!AC13,6)&lt;&gt;"SAMPLE",Config!$B$19="Y")),paid_brands!AW13,"")</f>
        <v/>
      </c>
      <c r="C1463" s="17">
        <f>IF(B1463="","","brand")</f>
        <v/>
      </c>
      <c r="D1463" s="17">
        <f>IF(B1463="","",paid_brands!AC13&amp;"")</f>
        <v/>
      </c>
      <c r="E1463" s="17">
        <f>IF(B1463="","",IF(paid_brands!C13="","",paid_brands!C13&amp;""))</f>
        <v/>
      </c>
      <c r="F1463" s="17">
        <f>IF(B1463="","","paid")</f>
        <v/>
      </c>
      <c r="G1463" s="17">
        <f>IF(B1463="","",paid_brands!AV13)</f>
        <v/>
      </c>
      <c r="H1463" s="17">
        <f>IF(B1463="","","")</f>
        <v/>
      </c>
      <c r="I1463" s="17">
        <f>IF(B1463="","","")</f>
        <v/>
      </c>
      <c r="J1463" s="17">
        <f>IF(B1463="","","payment 1; "&amp;paid_brands!AB13&amp;"; "&amp;paid_brands!AD13&amp;"; invoice "&amp;paid_brands!AI13)</f>
        <v/>
      </c>
      <c r="K1463" t="inlineStr">
        <is>
          <t>brand paid (payment 1)</t>
        </is>
      </c>
    </row>
    <row r="1464">
      <c r="A1464" s="17">
        <f>IF(B1464="","",B1464+(9*1000+13)/10000000)</f>
        <v/>
      </c>
      <c r="B1464" s="23">
        <f>IF(AND(ISNUMBER(paid_brands!AW14),ISNUMBER(paid_brands!AV14),TRIM(paid_brands!AC14)&lt;&gt;"",OR(LEFT(paid_brands!AC14,6)&lt;&gt;"SAMPLE",Config!$B$19="Y")),paid_brands!AW14,"")</f>
        <v/>
      </c>
      <c r="C1464" s="17">
        <f>IF(B1464="","","brand")</f>
        <v/>
      </c>
      <c r="D1464" s="17">
        <f>IF(B1464="","",paid_brands!AC14&amp;"")</f>
        <v/>
      </c>
      <c r="E1464" s="17">
        <f>IF(B1464="","",IF(paid_brands!C14="","",paid_brands!C14&amp;""))</f>
        <v/>
      </c>
      <c r="F1464" s="17">
        <f>IF(B1464="","","paid")</f>
        <v/>
      </c>
      <c r="G1464" s="17">
        <f>IF(B1464="","",paid_brands!AV14)</f>
        <v/>
      </c>
      <c r="H1464" s="17">
        <f>IF(B1464="","","")</f>
        <v/>
      </c>
      <c r="I1464" s="17">
        <f>IF(B1464="","","")</f>
        <v/>
      </c>
      <c r="J1464" s="17">
        <f>IF(B1464="","","payment 1; "&amp;paid_brands!AB14&amp;"; "&amp;paid_brands!AD14&amp;"; invoice "&amp;paid_brands!AI14)</f>
        <v/>
      </c>
      <c r="K1464" t="inlineStr">
        <is>
          <t>brand paid (payment 1)</t>
        </is>
      </c>
    </row>
    <row r="1465">
      <c r="A1465" s="17">
        <f>IF(B1465="","",B1465+(9*1000+14)/10000000)</f>
        <v/>
      </c>
      <c r="B1465" s="23">
        <f>IF(AND(ISNUMBER(paid_brands!AW15),ISNUMBER(paid_brands!AV15),TRIM(paid_brands!AC15)&lt;&gt;"",OR(LEFT(paid_brands!AC15,6)&lt;&gt;"SAMPLE",Config!$B$19="Y")),paid_brands!AW15,"")</f>
        <v/>
      </c>
      <c r="C1465" s="17">
        <f>IF(B1465="","","brand")</f>
        <v/>
      </c>
      <c r="D1465" s="17">
        <f>IF(B1465="","",paid_brands!AC15&amp;"")</f>
        <v/>
      </c>
      <c r="E1465" s="17">
        <f>IF(B1465="","",IF(paid_brands!C15="","",paid_brands!C15&amp;""))</f>
        <v/>
      </c>
      <c r="F1465" s="17">
        <f>IF(B1465="","","paid")</f>
        <v/>
      </c>
      <c r="G1465" s="17">
        <f>IF(B1465="","",paid_brands!AV15)</f>
        <v/>
      </c>
      <c r="H1465" s="17">
        <f>IF(B1465="","","")</f>
        <v/>
      </c>
      <c r="I1465" s="17">
        <f>IF(B1465="","","")</f>
        <v/>
      </c>
      <c r="J1465" s="17">
        <f>IF(B1465="","","payment 1; "&amp;paid_brands!AB15&amp;"; "&amp;paid_brands!AD15&amp;"; invoice "&amp;paid_brands!AI15)</f>
        <v/>
      </c>
      <c r="K1465" t="inlineStr">
        <is>
          <t>brand paid (payment 1)</t>
        </is>
      </c>
    </row>
    <row r="1466">
      <c r="A1466" s="17">
        <f>IF(B1466="","",B1466+(9*1000+15)/10000000)</f>
        <v/>
      </c>
      <c r="B1466" s="23">
        <f>IF(AND(ISNUMBER(paid_brands!AW16),ISNUMBER(paid_brands!AV16),TRIM(paid_brands!AC16)&lt;&gt;"",OR(LEFT(paid_brands!AC16,6)&lt;&gt;"SAMPLE",Config!$B$19="Y")),paid_brands!AW16,"")</f>
        <v/>
      </c>
      <c r="C1466" s="17">
        <f>IF(B1466="","","brand")</f>
        <v/>
      </c>
      <c r="D1466" s="17">
        <f>IF(B1466="","",paid_brands!AC16&amp;"")</f>
        <v/>
      </c>
      <c r="E1466" s="17">
        <f>IF(B1466="","",IF(paid_brands!C16="","",paid_brands!C16&amp;""))</f>
        <v/>
      </c>
      <c r="F1466" s="17">
        <f>IF(B1466="","","paid")</f>
        <v/>
      </c>
      <c r="G1466" s="17">
        <f>IF(B1466="","",paid_brands!AV16)</f>
        <v/>
      </c>
      <c r="H1466" s="17">
        <f>IF(B1466="","","")</f>
        <v/>
      </c>
      <c r="I1466" s="17">
        <f>IF(B1466="","","")</f>
        <v/>
      </c>
      <c r="J1466" s="17">
        <f>IF(B1466="","","payment 1; "&amp;paid_brands!AB16&amp;"; "&amp;paid_brands!AD16&amp;"; invoice "&amp;paid_brands!AI16)</f>
        <v/>
      </c>
      <c r="K1466" t="inlineStr">
        <is>
          <t>brand paid (payment 1)</t>
        </is>
      </c>
    </row>
    <row r="1467">
      <c r="A1467" s="17">
        <f>IF(B1467="","",B1467+(9*1000+16)/10000000)</f>
        <v/>
      </c>
      <c r="B1467" s="23">
        <f>IF(AND(ISNUMBER(paid_brands!AW17),ISNUMBER(paid_brands!AV17),TRIM(paid_brands!AC17)&lt;&gt;"",OR(LEFT(paid_brands!AC17,6)&lt;&gt;"SAMPLE",Config!$B$19="Y")),paid_brands!AW17,"")</f>
        <v/>
      </c>
      <c r="C1467" s="17">
        <f>IF(B1467="","","brand")</f>
        <v/>
      </c>
      <c r="D1467" s="17">
        <f>IF(B1467="","",paid_brands!AC17&amp;"")</f>
        <v/>
      </c>
      <c r="E1467" s="17">
        <f>IF(B1467="","",IF(paid_brands!C17="","",paid_brands!C17&amp;""))</f>
        <v/>
      </c>
      <c r="F1467" s="17">
        <f>IF(B1467="","","paid")</f>
        <v/>
      </c>
      <c r="G1467" s="17">
        <f>IF(B1467="","",paid_brands!AV17)</f>
        <v/>
      </c>
      <c r="H1467" s="17">
        <f>IF(B1467="","","")</f>
        <v/>
      </c>
      <c r="I1467" s="17">
        <f>IF(B1467="","","")</f>
        <v/>
      </c>
      <c r="J1467" s="17">
        <f>IF(B1467="","","payment 1; "&amp;paid_brands!AB17&amp;"; "&amp;paid_brands!AD17&amp;"; invoice "&amp;paid_brands!AI17)</f>
        <v/>
      </c>
      <c r="K1467" t="inlineStr">
        <is>
          <t>brand paid (payment 1)</t>
        </is>
      </c>
    </row>
    <row r="1468">
      <c r="A1468" s="17">
        <f>IF(B1468="","",B1468+(9*1000+17)/10000000)</f>
        <v/>
      </c>
      <c r="B1468" s="23">
        <f>IF(AND(ISNUMBER(paid_brands!AW18),ISNUMBER(paid_brands!AV18),TRIM(paid_brands!AC18)&lt;&gt;"",OR(LEFT(paid_brands!AC18,6)&lt;&gt;"SAMPLE",Config!$B$19="Y")),paid_brands!AW18,"")</f>
        <v/>
      </c>
      <c r="C1468" s="17">
        <f>IF(B1468="","","brand")</f>
        <v/>
      </c>
      <c r="D1468" s="17">
        <f>IF(B1468="","",paid_brands!AC18&amp;"")</f>
        <v/>
      </c>
      <c r="E1468" s="17">
        <f>IF(B1468="","",IF(paid_brands!C18="","",paid_brands!C18&amp;""))</f>
        <v/>
      </c>
      <c r="F1468" s="17">
        <f>IF(B1468="","","paid")</f>
        <v/>
      </c>
      <c r="G1468" s="17">
        <f>IF(B1468="","",paid_brands!AV18)</f>
        <v/>
      </c>
      <c r="H1468" s="17">
        <f>IF(B1468="","","")</f>
        <v/>
      </c>
      <c r="I1468" s="17">
        <f>IF(B1468="","","")</f>
        <v/>
      </c>
      <c r="J1468" s="17">
        <f>IF(B1468="","","payment 1; "&amp;paid_brands!AB18&amp;"; "&amp;paid_brands!AD18&amp;"; invoice "&amp;paid_brands!AI18)</f>
        <v/>
      </c>
      <c r="K1468" t="inlineStr">
        <is>
          <t>brand paid (payment 1)</t>
        </is>
      </c>
    </row>
    <row r="1469">
      <c r="A1469" s="17">
        <f>IF(B1469="","",B1469+(9*1000+18)/10000000)</f>
        <v/>
      </c>
      <c r="B1469" s="23">
        <f>IF(AND(ISNUMBER(paid_brands!AW19),ISNUMBER(paid_brands!AV19),TRIM(paid_brands!AC19)&lt;&gt;"",OR(LEFT(paid_brands!AC19,6)&lt;&gt;"SAMPLE",Config!$B$19="Y")),paid_brands!AW19,"")</f>
        <v/>
      </c>
      <c r="C1469" s="17">
        <f>IF(B1469="","","brand")</f>
        <v/>
      </c>
      <c r="D1469" s="17">
        <f>IF(B1469="","",paid_brands!AC19&amp;"")</f>
        <v/>
      </c>
      <c r="E1469" s="17">
        <f>IF(B1469="","",IF(paid_brands!C19="","",paid_brands!C19&amp;""))</f>
        <v/>
      </c>
      <c r="F1469" s="17">
        <f>IF(B1469="","","paid")</f>
        <v/>
      </c>
      <c r="G1469" s="17">
        <f>IF(B1469="","",paid_brands!AV19)</f>
        <v/>
      </c>
      <c r="H1469" s="17">
        <f>IF(B1469="","","")</f>
        <v/>
      </c>
      <c r="I1469" s="17">
        <f>IF(B1469="","","")</f>
        <v/>
      </c>
      <c r="J1469" s="17">
        <f>IF(B1469="","","payment 1; "&amp;paid_brands!AB19&amp;"; "&amp;paid_brands!AD19&amp;"; invoice "&amp;paid_brands!AI19)</f>
        <v/>
      </c>
      <c r="K1469" t="inlineStr">
        <is>
          <t>brand paid (payment 1)</t>
        </is>
      </c>
    </row>
    <row r="1470">
      <c r="A1470" s="17">
        <f>IF(B1470="","",B1470+(9*1000+19)/10000000)</f>
        <v/>
      </c>
      <c r="B1470" s="23">
        <f>IF(AND(ISNUMBER(paid_brands!AW20),ISNUMBER(paid_brands!AV20),TRIM(paid_brands!AC20)&lt;&gt;"",OR(LEFT(paid_brands!AC20,6)&lt;&gt;"SAMPLE",Config!$B$19="Y")),paid_brands!AW20,"")</f>
        <v/>
      </c>
      <c r="C1470" s="17">
        <f>IF(B1470="","","brand")</f>
        <v/>
      </c>
      <c r="D1470" s="17">
        <f>IF(B1470="","",paid_brands!AC20&amp;"")</f>
        <v/>
      </c>
      <c r="E1470" s="17">
        <f>IF(B1470="","",IF(paid_brands!C20="","",paid_brands!C20&amp;""))</f>
        <v/>
      </c>
      <c r="F1470" s="17">
        <f>IF(B1470="","","paid")</f>
        <v/>
      </c>
      <c r="G1470" s="17">
        <f>IF(B1470="","",paid_brands!AV20)</f>
        <v/>
      </c>
      <c r="H1470" s="17">
        <f>IF(B1470="","","")</f>
        <v/>
      </c>
      <c r="I1470" s="17">
        <f>IF(B1470="","","")</f>
        <v/>
      </c>
      <c r="J1470" s="17">
        <f>IF(B1470="","","payment 1; "&amp;paid_brands!AB20&amp;"; "&amp;paid_brands!AD20&amp;"; invoice "&amp;paid_brands!AI20)</f>
        <v/>
      </c>
      <c r="K1470" t="inlineStr">
        <is>
          <t>brand paid (payment 1)</t>
        </is>
      </c>
    </row>
    <row r="1471">
      <c r="A1471" s="17">
        <f>IF(B1471="","",B1471+(9*1000+20)/10000000)</f>
        <v/>
      </c>
      <c r="B1471" s="23">
        <f>IF(AND(ISNUMBER(paid_brands!AW21),ISNUMBER(paid_brands!AV21),TRIM(paid_brands!AC21)&lt;&gt;"",OR(LEFT(paid_brands!AC21,6)&lt;&gt;"SAMPLE",Config!$B$19="Y")),paid_brands!AW21,"")</f>
        <v/>
      </c>
      <c r="C1471" s="17">
        <f>IF(B1471="","","brand")</f>
        <v/>
      </c>
      <c r="D1471" s="17">
        <f>IF(B1471="","",paid_brands!AC21&amp;"")</f>
        <v/>
      </c>
      <c r="E1471" s="17">
        <f>IF(B1471="","",IF(paid_brands!C21="","",paid_brands!C21&amp;""))</f>
        <v/>
      </c>
      <c r="F1471" s="17">
        <f>IF(B1471="","","paid")</f>
        <v/>
      </c>
      <c r="G1471" s="17">
        <f>IF(B1471="","",paid_brands!AV21)</f>
        <v/>
      </c>
      <c r="H1471" s="17">
        <f>IF(B1471="","","")</f>
        <v/>
      </c>
      <c r="I1471" s="17">
        <f>IF(B1471="","","")</f>
        <v/>
      </c>
      <c r="J1471" s="17">
        <f>IF(B1471="","","payment 1; "&amp;paid_brands!AB21&amp;"; "&amp;paid_brands!AD21&amp;"; invoice "&amp;paid_brands!AI21)</f>
        <v/>
      </c>
      <c r="K1471" t="inlineStr">
        <is>
          <t>brand paid (payment 1)</t>
        </is>
      </c>
    </row>
    <row r="1472">
      <c r="A1472" s="17">
        <f>IF(B1472="","",B1472+(9*1000+21)/10000000)</f>
        <v/>
      </c>
      <c r="B1472" s="23">
        <f>IF(AND(ISNUMBER(paid_brands!AW22),ISNUMBER(paid_brands!AV22),TRIM(paid_brands!AC22)&lt;&gt;"",OR(LEFT(paid_brands!AC22,6)&lt;&gt;"SAMPLE",Config!$B$19="Y")),paid_brands!AW22,"")</f>
        <v/>
      </c>
      <c r="C1472" s="17">
        <f>IF(B1472="","","brand")</f>
        <v/>
      </c>
      <c r="D1472" s="17">
        <f>IF(B1472="","",paid_brands!AC22&amp;"")</f>
        <v/>
      </c>
      <c r="E1472" s="17">
        <f>IF(B1472="","",IF(paid_brands!C22="","",paid_brands!C22&amp;""))</f>
        <v/>
      </c>
      <c r="F1472" s="17">
        <f>IF(B1472="","","paid")</f>
        <v/>
      </c>
      <c r="G1472" s="17">
        <f>IF(B1472="","",paid_brands!AV22)</f>
        <v/>
      </c>
      <c r="H1472" s="17">
        <f>IF(B1472="","","")</f>
        <v/>
      </c>
      <c r="I1472" s="17">
        <f>IF(B1472="","","")</f>
        <v/>
      </c>
      <c r="J1472" s="17">
        <f>IF(B1472="","","payment 1; "&amp;paid_brands!AB22&amp;"; "&amp;paid_brands!AD22&amp;"; invoice "&amp;paid_brands!AI22)</f>
        <v/>
      </c>
      <c r="K1472" t="inlineStr">
        <is>
          <t>brand paid (payment 1)</t>
        </is>
      </c>
    </row>
    <row r="1473">
      <c r="A1473" s="17">
        <f>IF(B1473="","",B1473+(9*1000+22)/10000000)</f>
        <v/>
      </c>
      <c r="B1473" s="23">
        <f>IF(AND(ISNUMBER(paid_brands!AW23),ISNUMBER(paid_brands!AV23),TRIM(paid_brands!AC23)&lt;&gt;"",OR(LEFT(paid_brands!AC23,6)&lt;&gt;"SAMPLE",Config!$B$19="Y")),paid_brands!AW23,"")</f>
        <v/>
      </c>
      <c r="C1473" s="17">
        <f>IF(B1473="","","brand")</f>
        <v/>
      </c>
      <c r="D1473" s="17">
        <f>IF(B1473="","",paid_brands!AC23&amp;"")</f>
        <v/>
      </c>
      <c r="E1473" s="17">
        <f>IF(B1473="","",IF(paid_brands!C23="","",paid_brands!C23&amp;""))</f>
        <v/>
      </c>
      <c r="F1473" s="17">
        <f>IF(B1473="","","paid")</f>
        <v/>
      </c>
      <c r="G1473" s="17">
        <f>IF(B1473="","",paid_brands!AV23)</f>
        <v/>
      </c>
      <c r="H1473" s="17">
        <f>IF(B1473="","","")</f>
        <v/>
      </c>
      <c r="I1473" s="17">
        <f>IF(B1473="","","")</f>
        <v/>
      </c>
      <c r="J1473" s="17">
        <f>IF(B1473="","","payment 1; "&amp;paid_brands!AB23&amp;"; "&amp;paid_brands!AD23&amp;"; invoice "&amp;paid_brands!AI23)</f>
        <v/>
      </c>
      <c r="K1473" t="inlineStr">
        <is>
          <t>brand paid (payment 1)</t>
        </is>
      </c>
    </row>
    <row r="1474">
      <c r="A1474" s="17">
        <f>IF(B1474="","",B1474+(9*1000+23)/10000000)</f>
        <v/>
      </c>
      <c r="B1474" s="23">
        <f>IF(AND(ISNUMBER(paid_brands!AW24),ISNUMBER(paid_brands!AV24),TRIM(paid_brands!AC24)&lt;&gt;"",OR(LEFT(paid_brands!AC24,6)&lt;&gt;"SAMPLE",Config!$B$19="Y")),paid_brands!AW24,"")</f>
        <v/>
      </c>
      <c r="C1474" s="17">
        <f>IF(B1474="","","brand")</f>
        <v/>
      </c>
      <c r="D1474" s="17">
        <f>IF(B1474="","",paid_brands!AC24&amp;"")</f>
        <v/>
      </c>
      <c r="E1474" s="17">
        <f>IF(B1474="","",IF(paid_brands!C24="","",paid_brands!C24&amp;""))</f>
        <v/>
      </c>
      <c r="F1474" s="17">
        <f>IF(B1474="","","paid")</f>
        <v/>
      </c>
      <c r="G1474" s="17">
        <f>IF(B1474="","",paid_brands!AV24)</f>
        <v/>
      </c>
      <c r="H1474" s="17">
        <f>IF(B1474="","","")</f>
        <v/>
      </c>
      <c r="I1474" s="17">
        <f>IF(B1474="","","")</f>
        <v/>
      </c>
      <c r="J1474" s="17">
        <f>IF(B1474="","","payment 1; "&amp;paid_brands!AB24&amp;"; "&amp;paid_brands!AD24&amp;"; invoice "&amp;paid_brands!AI24)</f>
        <v/>
      </c>
      <c r="K1474" t="inlineStr">
        <is>
          <t>brand paid (payment 1)</t>
        </is>
      </c>
    </row>
    <row r="1475">
      <c r="A1475" s="17">
        <f>IF(B1475="","",B1475+(9*1000+24)/10000000)</f>
        <v/>
      </c>
      <c r="B1475" s="23">
        <f>IF(AND(ISNUMBER(paid_brands!AW25),ISNUMBER(paid_brands!AV25),TRIM(paid_brands!AC25)&lt;&gt;"",OR(LEFT(paid_brands!AC25,6)&lt;&gt;"SAMPLE",Config!$B$19="Y")),paid_brands!AW25,"")</f>
        <v/>
      </c>
      <c r="C1475" s="17">
        <f>IF(B1475="","","brand")</f>
        <v/>
      </c>
      <c r="D1475" s="17">
        <f>IF(B1475="","",paid_brands!AC25&amp;"")</f>
        <v/>
      </c>
      <c r="E1475" s="17">
        <f>IF(B1475="","",IF(paid_brands!C25="","",paid_brands!C25&amp;""))</f>
        <v/>
      </c>
      <c r="F1475" s="17">
        <f>IF(B1475="","","paid")</f>
        <v/>
      </c>
      <c r="G1475" s="17">
        <f>IF(B1475="","",paid_brands!AV25)</f>
        <v/>
      </c>
      <c r="H1475" s="17">
        <f>IF(B1475="","","")</f>
        <v/>
      </c>
      <c r="I1475" s="17">
        <f>IF(B1475="","","")</f>
        <v/>
      </c>
      <c r="J1475" s="17">
        <f>IF(B1475="","","payment 1; "&amp;paid_brands!AB25&amp;"; "&amp;paid_brands!AD25&amp;"; invoice "&amp;paid_brands!AI25)</f>
        <v/>
      </c>
      <c r="K1475" t="inlineStr">
        <is>
          <t>brand paid (payment 1)</t>
        </is>
      </c>
    </row>
    <row r="1476">
      <c r="A1476" s="17">
        <f>IF(B1476="","",B1476+(9*1000+25)/10000000)</f>
        <v/>
      </c>
      <c r="B1476" s="23">
        <f>IF(AND(ISNUMBER(paid_brands!AW26),ISNUMBER(paid_brands!AV26),TRIM(paid_brands!AC26)&lt;&gt;"",OR(LEFT(paid_brands!AC26,6)&lt;&gt;"SAMPLE",Config!$B$19="Y")),paid_brands!AW26,"")</f>
        <v/>
      </c>
      <c r="C1476" s="17">
        <f>IF(B1476="","","brand")</f>
        <v/>
      </c>
      <c r="D1476" s="17">
        <f>IF(B1476="","",paid_brands!AC26&amp;"")</f>
        <v/>
      </c>
      <c r="E1476" s="17">
        <f>IF(B1476="","",IF(paid_brands!C26="","",paid_brands!C26&amp;""))</f>
        <v/>
      </c>
      <c r="F1476" s="17">
        <f>IF(B1476="","","paid")</f>
        <v/>
      </c>
      <c r="G1476" s="17">
        <f>IF(B1476="","",paid_brands!AV26)</f>
        <v/>
      </c>
      <c r="H1476" s="17">
        <f>IF(B1476="","","")</f>
        <v/>
      </c>
      <c r="I1476" s="17">
        <f>IF(B1476="","","")</f>
        <v/>
      </c>
      <c r="J1476" s="17">
        <f>IF(B1476="","","payment 1; "&amp;paid_brands!AB26&amp;"; "&amp;paid_brands!AD26&amp;"; invoice "&amp;paid_brands!AI26)</f>
        <v/>
      </c>
      <c r="K1476" t="inlineStr">
        <is>
          <t>brand paid (payment 1)</t>
        </is>
      </c>
    </row>
    <row r="1477">
      <c r="A1477" s="17">
        <f>IF(B1477="","",B1477+(9*1000+26)/10000000)</f>
        <v/>
      </c>
      <c r="B1477" s="23">
        <f>IF(AND(ISNUMBER(paid_brands!AW27),ISNUMBER(paid_brands!AV27),TRIM(paid_brands!AC27)&lt;&gt;"",OR(LEFT(paid_brands!AC27,6)&lt;&gt;"SAMPLE",Config!$B$19="Y")),paid_brands!AW27,"")</f>
        <v/>
      </c>
      <c r="C1477" s="17">
        <f>IF(B1477="","","brand")</f>
        <v/>
      </c>
      <c r="D1477" s="17">
        <f>IF(B1477="","",paid_brands!AC27&amp;"")</f>
        <v/>
      </c>
      <c r="E1477" s="17">
        <f>IF(B1477="","",IF(paid_brands!C27="","",paid_brands!C27&amp;""))</f>
        <v/>
      </c>
      <c r="F1477" s="17">
        <f>IF(B1477="","","paid")</f>
        <v/>
      </c>
      <c r="G1477" s="17">
        <f>IF(B1477="","",paid_brands!AV27)</f>
        <v/>
      </c>
      <c r="H1477" s="17">
        <f>IF(B1477="","","")</f>
        <v/>
      </c>
      <c r="I1477" s="17">
        <f>IF(B1477="","","")</f>
        <v/>
      </c>
      <c r="J1477" s="17">
        <f>IF(B1477="","","payment 1; "&amp;paid_brands!AB27&amp;"; "&amp;paid_brands!AD27&amp;"; invoice "&amp;paid_brands!AI27)</f>
        <v/>
      </c>
      <c r="K1477" t="inlineStr">
        <is>
          <t>brand paid (payment 1)</t>
        </is>
      </c>
    </row>
    <row r="1478">
      <c r="A1478" s="17">
        <f>IF(B1478="","",B1478+(9*1000+27)/10000000)</f>
        <v/>
      </c>
      <c r="B1478" s="23">
        <f>IF(AND(ISNUMBER(paid_brands!AW28),ISNUMBER(paid_brands!AV28),TRIM(paid_brands!AC28)&lt;&gt;"",OR(LEFT(paid_brands!AC28,6)&lt;&gt;"SAMPLE",Config!$B$19="Y")),paid_brands!AW28,"")</f>
        <v/>
      </c>
      <c r="C1478" s="17">
        <f>IF(B1478="","","brand")</f>
        <v/>
      </c>
      <c r="D1478" s="17">
        <f>IF(B1478="","",paid_brands!AC28&amp;"")</f>
        <v/>
      </c>
      <c r="E1478" s="17">
        <f>IF(B1478="","",IF(paid_brands!C28="","",paid_brands!C28&amp;""))</f>
        <v/>
      </c>
      <c r="F1478" s="17">
        <f>IF(B1478="","","paid")</f>
        <v/>
      </c>
      <c r="G1478" s="17">
        <f>IF(B1478="","",paid_brands!AV28)</f>
        <v/>
      </c>
      <c r="H1478" s="17">
        <f>IF(B1478="","","")</f>
        <v/>
      </c>
      <c r="I1478" s="17">
        <f>IF(B1478="","","")</f>
        <v/>
      </c>
      <c r="J1478" s="17">
        <f>IF(B1478="","","payment 1; "&amp;paid_brands!AB28&amp;"; "&amp;paid_brands!AD28&amp;"; invoice "&amp;paid_brands!AI28)</f>
        <v/>
      </c>
      <c r="K1478" t="inlineStr">
        <is>
          <t>brand paid (payment 1)</t>
        </is>
      </c>
    </row>
    <row r="1479">
      <c r="A1479" s="17">
        <f>IF(B1479="","",B1479+(9*1000+28)/10000000)</f>
        <v/>
      </c>
      <c r="B1479" s="23">
        <f>IF(AND(ISNUMBER(paid_brands!AW29),ISNUMBER(paid_brands!AV29),TRIM(paid_brands!AC29)&lt;&gt;"",OR(LEFT(paid_brands!AC29,6)&lt;&gt;"SAMPLE",Config!$B$19="Y")),paid_brands!AW29,"")</f>
        <v/>
      </c>
      <c r="C1479" s="17">
        <f>IF(B1479="","","brand")</f>
        <v/>
      </c>
      <c r="D1479" s="17">
        <f>IF(B1479="","",paid_brands!AC29&amp;"")</f>
        <v/>
      </c>
      <c r="E1479" s="17">
        <f>IF(B1479="","",IF(paid_brands!C29="","",paid_brands!C29&amp;""))</f>
        <v/>
      </c>
      <c r="F1479" s="17">
        <f>IF(B1479="","","paid")</f>
        <v/>
      </c>
      <c r="G1479" s="17">
        <f>IF(B1479="","",paid_brands!AV29)</f>
        <v/>
      </c>
      <c r="H1479" s="17">
        <f>IF(B1479="","","")</f>
        <v/>
      </c>
      <c r="I1479" s="17">
        <f>IF(B1479="","","")</f>
        <v/>
      </c>
      <c r="J1479" s="17">
        <f>IF(B1479="","","payment 1; "&amp;paid_brands!AB29&amp;"; "&amp;paid_brands!AD29&amp;"; invoice "&amp;paid_brands!AI29)</f>
        <v/>
      </c>
      <c r="K1479" t="inlineStr">
        <is>
          <t>brand paid (payment 1)</t>
        </is>
      </c>
    </row>
    <row r="1480">
      <c r="A1480" s="17">
        <f>IF(B1480="","",B1480+(9*1000+29)/10000000)</f>
        <v/>
      </c>
      <c r="B1480" s="23">
        <f>IF(AND(ISNUMBER(paid_brands!AW30),ISNUMBER(paid_brands!AV30),TRIM(paid_brands!AC30)&lt;&gt;"",OR(LEFT(paid_brands!AC30,6)&lt;&gt;"SAMPLE",Config!$B$19="Y")),paid_brands!AW30,"")</f>
        <v/>
      </c>
      <c r="C1480" s="17">
        <f>IF(B1480="","","brand")</f>
        <v/>
      </c>
      <c r="D1480" s="17">
        <f>IF(B1480="","",paid_brands!AC30&amp;"")</f>
        <v/>
      </c>
      <c r="E1480" s="17">
        <f>IF(B1480="","",IF(paid_brands!C30="","",paid_brands!C30&amp;""))</f>
        <v/>
      </c>
      <c r="F1480" s="17">
        <f>IF(B1480="","","paid")</f>
        <v/>
      </c>
      <c r="G1480" s="17">
        <f>IF(B1480="","",paid_brands!AV30)</f>
        <v/>
      </c>
      <c r="H1480" s="17">
        <f>IF(B1480="","","")</f>
        <v/>
      </c>
      <c r="I1480" s="17">
        <f>IF(B1480="","","")</f>
        <v/>
      </c>
      <c r="J1480" s="17">
        <f>IF(B1480="","","payment 1; "&amp;paid_brands!AB30&amp;"; "&amp;paid_brands!AD30&amp;"; invoice "&amp;paid_brands!AI30)</f>
        <v/>
      </c>
      <c r="K1480" t="inlineStr">
        <is>
          <t>brand paid (payment 1)</t>
        </is>
      </c>
    </row>
    <row r="1481">
      <c r="A1481" s="17">
        <f>IF(B1481="","",B1481+(9*1000+30)/10000000)</f>
        <v/>
      </c>
      <c r="B1481" s="23">
        <f>IF(AND(ISNUMBER(paid_brands!AW31),ISNUMBER(paid_brands!AV31),TRIM(paid_brands!AC31)&lt;&gt;"",OR(LEFT(paid_brands!AC31,6)&lt;&gt;"SAMPLE",Config!$B$19="Y")),paid_brands!AW31,"")</f>
        <v/>
      </c>
      <c r="C1481" s="17">
        <f>IF(B1481="","","brand")</f>
        <v/>
      </c>
      <c r="D1481" s="17">
        <f>IF(B1481="","",paid_brands!AC31&amp;"")</f>
        <v/>
      </c>
      <c r="E1481" s="17">
        <f>IF(B1481="","",IF(paid_brands!C31="","",paid_brands!C31&amp;""))</f>
        <v/>
      </c>
      <c r="F1481" s="17">
        <f>IF(B1481="","","paid")</f>
        <v/>
      </c>
      <c r="G1481" s="17">
        <f>IF(B1481="","",paid_brands!AV31)</f>
        <v/>
      </c>
      <c r="H1481" s="17">
        <f>IF(B1481="","","")</f>
        <v/>
      </c>
      <c r="I1481" s="17">
        <f>IF(B1481="","","")</f>
        <v/>
      </c>
      <c r="J1481" s="17">
        <f>IF(B1481="","","payment 1; "&amp;paid_brands!AB31&amp;"; "&amp;paid_brands!AD31&amp;"; invoice "&amp;paid_brands!AI31)</f>
        <v/>
      </c>
      <c r="K1481" t="inlineStr">
        <is>
          <t>brand paid (payment 1)</t>
        </is>
      </c>
    </row>
    <row r="1482">
      <c r="A1482" s="17">
        <f>IF(B1482="","",B1482+(9*1000+31)/10000000)</f>
        <v/>
      </c>
      <c r="B1482" s="23">
        <f>IF(AND(ISNUMBER(paid_brands!AW32),ISNUMBER(paid_brands!AV32),TRIM(paid_brands!AC32)&lt;&gt;"",OR(LEFT(paid_brands!AC32,6)&lt;&gt;"SAMPLE",Config!$B$19="Y")),paid_brands!AW32,"")</f>
        <v/>
      </c>
      <c r="C1482" s="17">
        <f>IF(B1482="","","brand")</f>
        <v/>
      </c>
      <c r="D1482" s="17">
        <f>IF(B1482="","",paid_brands!AC32&amp;"")</f>
        <v/>
      </c>
      <c r="E1482" s="17">
        <f>IF(B1482="","",IF(paid_brands!C32="","",paid_brands!C32&amp;""))</f>
        <v/>
      </c>
      <c r="F1482" s="17">
        <f>IF(B1482="","","paid")</f>
        <v/>
      </c>
      <c r="G1482" s="17">
        <f>IF(B1482="","",paid_brands!AV32)</f>
        <v/>
      </c>
      <c r="H1482" s="17">
        <f>IF(B1482="","","")</f>
        <v/>
      </c>
      <c r="I1482" s="17">
        <f>IF(B1482="","","")</f>
        <v/>
      </c>
      <c r="J1482" s="17">
        <f>IF(B1482="","","payment 1; "&amp;paid_brands!AB32&amp;"; "&amp;paid_brands!AD32&amp;"; invoice "&amp;paid_brands!AI32)</f>
        <v/>
      </c>
      <c r="K1482" t="inlineStr">
        <is>
          <t>brand paid (payment 1)</t>
        </is>
      </c>
    </row>
    <row r="1483">
      <c r="A1483" s="17">
        <f>IF(B1483="","",B1483+(9*1000+32)/10000000)</f>
        <v/>
      </c>
      <c r="B1483" s="23">
        <f>IF(AND(ISNUMBER(paid_brands!AW33),ISNUMBER(paid_brands!AV33),TRIM(paid_brands!AC33)&lt;&gt;"",OR(LEFT(paid_brands!AC33,6)&lt;&gt;"SAMPLE",Config!$B$19="Y")),paid_brands!AW33,"")</f>
        <v/>
      </c>
      <c r="C1483" s="17">
        <f>IF(B1483="","","brand")</f>
        <v/>
      </c>
      <c r="D1483" s="17">
        <f>IF(B1483="","",paid_brands!AC33&amp;"")</f>
        <v/>
      </c>
      <c r="E1483" s="17">
        <f>IF(B1483="","",IF(paid_brands!C33="","",paid_brands!C33&amp;""))</f>
        <v/>
      </c>
      <c r="F1483" s="17">
        <f>IF(B1483="","","paid")</f>
        <v/>
      </c>
      <c r="G1483" s="17">
        <f>IF(B1483="","",paid_brands!AV33)</f>
        <v/>
      </c>
      <c r="H1483" s="17">
        <f>IF(B1483="","","")</f>
        <v/>
      </c>
      <c r="I1483" s="17">
        <f>IF(B1483="","","")</f>
        <v/>
      </c>
      <c r="J1483" s="17">
        <f>IF(B1483="","","payment 1; "&amp;paid_brands!AB33&amp;"; "&amp;paid_brands!AD33&amp;"; invoice "&amp;paid_brands!AI33)</f>
        <v/>
      </c>
      <c r="K1483" t="inlineStr">
        <is>
          <t>brand paid (payment 1)</t>
        </is>
      </c>
    </row>
    <row r="1484">
      <c r="A1484" s="17">
        <f>IF(B1484="","",B1484+(9*1000+33)/10000000)</f>
        <v/>
      </c>
      <c r="B1484" s="23">
        <f>IF(AND(ISNUMBER(paid_brands!AW34),ISNUMBER(paid_brands!AV34),TRIM(paid_brands!AC34)&lt;&gt;"",OR(LEFT(paid_brands!AC34,6)&lt;&gt;"SAMPLE",Config!$B$19="Y")),paid_brands!AW34,"")</f>
        <v/>
      </c>
      <c r="C1484" s="17">
        <f>IF(B1484="","","brand")</f>
        <v/>
      </c>
      <c r="D1484" s="17">
        <f>IF(B1484="","",paid_brands!AC34&amp;"")</f>
        <v/>
      </c>
      <c r="E1484" s="17">
        <f>IF(B1484="","",IF(paid_brands!C34="","",paid_brands!C34&amp;""))</f>
        <v/>
      </c>
      <c r="F1484" s="17">
        <f>IF(B1484="","","paid")</f>
        <v/>
      </c>
      <c r="G1484" s="17">
        <f>IF(B1484="","",paid_brands!AV34)</f>
        <v/>
      </c>
      <c r="H1484" s="17">
        <f>IF(B1484="","","")</f>
        <v/>
      </c>
      <c r="I1484" s="17">
        <f>IF(B1484="","","")</f>
        <v/>
      </c>
      <c r="J1484" s="17">
        <f>IF(B1484="","","payment 1; "&amp;paid_brands!AB34&amp;"; "&amp;paid_brands!AD34&amp;"; invoice "&amp;paid_brands!AI34)</f>
        <v/>
      </c>
      <c r="K1484" t="inlineStr">
        <is>
          <t>brand paid (payment 1)</t>
        </is>
      </c>
    </row>
    <row r="1485">
      <c r="A1485" s="17">
        <f>IF(B1485="","",B1485+(9*1000+34)/10000000)</f>
        <v/>
      </c>
      <c r="B1485" s="23">
        <f>IF(AND(ISNUMBER(paid_brands!AW35),ISNUMBER(paid_brands!AV35),TRIM(paid_brands!AC35)&lt;&gt;"",OR(LEFT(paid_brands!AC35,6)&lt;&gt;"SAMPLE",Config!$B$19="Y")),paid_brands!AW35,"")</f>
        <v/>
      </c>
      <c r="C1485" s="17">
        <f>IF(B1485="","","brand")</f>
        <v/>
      </c>
      <c r="D1485" s="17">
        <f>IF(B1485="","",paid_brands!AC35&amp;"")</f>
        <v/>
      </c>
      <c r="E1485" s="17">
        <f>IF(B1485="","",IF(paid_brands!C35="","",paid_brands!C35&amp;""))</f>
        <v/>
      </c>
      <c r="F1485" s="17">
        <f>IF(B1485="","","paid")</f>
        <v/>
      </c>
      <c r="G1485" s="17">
        <f>IF(B1485="","",paid_brands!AV35)</f>
        <v/>
      </c>
      <c r="H1485" s="17">
        <f>IF(B1485="","","")</f>
        <v/>
      </c>
      <c r="I1485" s="17">
        <f>IF(B1485="","","")</f>
        <v/>
      </c>
      <c r="J1485" s="17">
        <f>IF(B1485="","","payment 1; "&amp;paid_brands!AB35&amp;"; "&amp;paid_brands!AD35&amp;"; invoice "&amp;paid_brands!AI35)</f>
        <v/>
      </c>
      <c r="K1485" t="inlineStr">
        <is>
          <t>brand paid (payment 1)</t>
        </is>
      </c>
    </row>
    <row r="1486">
      <c r="A1486" s="17">
        <f>IF(B1486="","",B1486+(9*1000+35)/10000000)</f>
        <v/>
      </c>
      <c r="B1486" s="23">
        <f>IF(AND(ISNUMBER(paid_brands!AW36),ISNUMBER(paid_brands!AV36),TRIM(paid_brands!AC36)&lt;&gt;"",OR(LEFT(paid_brands!AC36,6)&lt;&gt;"SAMPLE",Config!$B$19="Y")),paid_brands!AW36,"")</f>
        <v/>
      </c>
      <c r="C1486" s="17">
        <f>IF(B1486="","","brand")</f>
        <v/>
      </c>
      <c r="D1486" s="17">
        <f>IF(B1486="","",paid_brands!AC36&amp;"")</f>
        <v/>
      </c>
      <c r="E1486" s="17">
        <f>IF(B1486="","",IF(paid_brands!C36="","",paid_brands!C36&amp;""))</f>
        <v/>
      </c>
      <c r="F1486" s="17">
        <f>IF(B1486="","","paid")</f>
        <v/>
      </c>
      <c r="G1486" s="17">
        <f>IF(B1486="","",paid_brands!AV36)</f>
        <v/>
      </c>
      <c r="H1486" s="17">
        <f>IF(B1486="","","")</f>
        <v/>
      </c>
      <c r="I1486" s="17">
        <f>IF(B1486="","","")</f>
        <v/>
      </c>
      <c r="J1486" s="17">
        <f>IF(B1486="","","payment 1; "&amp;paid_brands!AB36&amp;"; "&amp;paid_brands!AD36&amp;"; invoice "&amp;paid_brands!AI36)</f>
        <v/>
      </c>
      <c r="K1486" t="inlineStr">
        <is>
          <t>brand paid (payment 1)</t>
        </is>
      </c>
    </row>
    <row r="1487">
      <c r="A1487" s="17">
        <f>IF(B1487="","",B1487+(9*1000+36)/10000000)</f>
        <v/>
      </c>
      <c r="B1487" s="23">
        <f>IF(AND(ISNUMBER(paid_brands!AW37),ISNUMBER(paid_brands!AV37),TRIM(paid_brands!AC37)&lt;&gt;"",OR(LEFT(paid_brands!AC37,6)&lt;&gt;"SAMPLE",Config!$B$19="Y")),paid_brands!AW37,"")</f>
        <v/>
      </c>
      <c r="C1487" s="17">
        <f>IF(B1487="","","brand")</f>
        <v/>
      </c>
      <c r="D1487" s="17">
        <f>IF(B1487="","",paid_brands!AC37&amp;"")</f>
        <v/>
      </c>
      <c r="E1487" s="17">
        <f>IF(B1487="","",IF(paid_brands!C37="","",paid_brands!C37&amp;""))</f>
        <v/>
      </c>
      <c r="F1487" s="17">
        <f>IF(B1487="","","paid")</f>
        <v/>
      </c>
      <c r="G1487" s="17">
        <f>IF(B1487="","",paid_brands!AV37)</f>
        <v/>
      </c>
      <c r="H1487" s="17">
        <f>IF(B1487="","","")</f>
        <v/>
      </c>
      <c r="I1487" s="17">
        <f>IF(B1487="","","")</f>
        <v/>
      </c>
      <c r="J1487" s="17">
        <f>IF(B1487="","","payment 1; "&amp;paid_brands!AB37&amp;"; "&amp;paid_brands!AD37&amp;"; invoice "&amp;paid_brands!AI37)</f>
        <v/>
      </c>
      <c r="K1487" t="inlineStr">
        <is>
          <t>brand paid (payment 1)</t>
        </is>
      </c>
    </row>
    <row r="1488">
      <c r="A1488" s="17">
        <f>IF(B1488="","",B1488+(9*1000+37)/10000000)</f>
        <v/>
      </c>
      <c r="B1488" s="23">
        <f>IF(AND(ISNUMBER(paid_brands!AW38),ISNUMBER(paid_brands!AV38),TRIM(paid_brands!AC38)&lt;&gt;"",OR(LEFT(paid_brands!AC38,6)&lt;&gt;"SAMPLE",Config!$B$19="Y")),paid_brands!AW38,"")</f>
        <v/>
      </c>
      <c r="C1488" s="17">
        <f>IF(B1488="","","brand")</f>
        <v/>
      </c>
      <c r="D1488" s="17">
        <f>IF(B1488="","",paid_brands!AC38&amp;"")</f>
        <v/>
      </c>
      <c r="E1488" s="17">
        <f>IF(B1488="","",IF(paid_brands!C38="","",paid_brands!C38&amp;""))</f>
        <v/>
      </c>
      <c r="F1488" s="17">
        <f>IF(B1488="","","paid")</f>
        <v/>
      </c>
      <c r="G1488" s="17">
        <f>IF(B1488="","",paid_brands!AV38)</f>
        <v/>
      </c>
      <c r="H1488" s="17">
        <f>IF(B1488="","","")</f>
        <v/>
      </c>
      <c r="I1488" s="17">
        <f>IF(B1488="","","")</f>
        <v/>
      </c>
      <c r="J1488" s="17">
        <f>IF(B1488="","","payment 1; "&amp;paid_brands!AB38&amp;"; "&amp;paid_brands!AD38&amp;"; invoice "&amp;paid_brands!AI38)</f>
        <v/>
      </c>
      <c r="K1488" t="inlineStr">
        <is>
          <t>brand paid (payment 1)</t>
        </is>
      </c>
    </row>
    <row r="1489">
      <c r="A1489" s="17">
        <f>IF(B1489="","",B1489+(9*1000+38)/10000000)</f>
        <v/>
      </c>
      <c r="B1489" s="23">
        <f>IF(AND(ISNUMBER(paid_brands!AW39),ISNUMBER(paid_brands!AV39),TRIM(paid_brands!AC39)&lt;&gt;"",OR(LEFT(paid_brands!AC39,6)&lt;&gt;"SAMPLE",Config!$B$19="Y")),paid_brands!AW39,"")</f>
        <v/>
      </c>
      <c r="C1489" s="17">
        <f>IF(B1489="","","brand")</f>
        <v/>
      </c>
      <c r="D1489" s="17">
        <f>IF(B1489="","",paid_brands!AC39&amp;"")</f>
        <v/>
      </c>
      <c r="E1489" s="17">
        <f>IF(B1489="","",IF(paid_brands!C39="","",paid_brands!C39&amp;""))</f>
        <v/>
      </c>
      <c r="F1489" s="17">
        <f>IF(B1489="","","paid")</f>
        <v/>
      </c>
      <c r="G1489" s="17">
        <f>IF(B1489="","",paid_brands!AV39)</f>
        <v/>
      </c>
      <c r="H1489" s="17">
        <f>IF(B1489="","","")</f>
        <v/>
      </c>
      <c r="I1489" s="17">
        <f>IF(B1489="","","")</f>
        <v/>
      </c>
      <c r="J1489" s="17">
        <f>IF(B1489="","","payment 1; "&amp;paid_brands!AB39&amp;"; "&amp;paid_brands!AD39&amp;"; invoice "&amp;paid_brands!AI39)</f>
        <v/>
      </c>
      <c r="K1489" t="inlineStr">
        <is>
          <t>brand paid (payment 1)</t>
        </is>
      </c>
    </row>
    <row r="1490">
      <c r="A1490" s="17">
        <f>IF(B1490="","",B1490+(9*1000+39)/10000000)</f>
        <v/>
      </c>
      <c r="B1490" s="23">
        <f>IF(AND(ISNUMBER(paid_brands!AW40),ISNUMBER(paid_brands!AV40),TRIM(paid_brands!AC40)&lt;&gt;"",OR(LEFT(paid_brands!AC40,6)&lt;&gt;"SAMPLE",Config!$B$19="Y")),paid_brands!AW40,"")</f>
        <v/>
      </c>
      <c r="C1490" s="17">
        <f>IF(B1490="","","brand")</f>
        <v/>
      </c>
      <c r="D1490" s="17">
        <f>IF(B1490="","",paid_brands!AC40&amp;"")</f>
        <v/>
      </c>
      <c r="E1490" s="17">
        <f>IF(B1490="","",IF(paid_brands!C40="","",paid_brands!C40&amp;""))</f>
        <v/>
      </c>
      <c r="F1490" s="17">
        <f>IF(B1490="","","paid")</f>
        <v/>
      </c>
      <c r="G1490" s="17">
        <f>IF(B1490="","",paid_brands!AV40)</f>
        <v/>
      </c>
      <c r="H1490" s="17">
        <f>IF(B1490="","","")</f>
        <v/>
      </c>
      <c r="I1490" s="17">
        <f>IF(B1490="","","")</f>
        <v/>
      </c>
      <c r="J1490" s="17">
        <f>IF(B1490="","","payment 1; "&amp;paid_brands!AB40&amp;"; "&amp;paid_brands!AD40&amp;"; invoice "&amp;paid_brands!AI40)</f>
        <v/>
      </c>
      <c r="K1490" t="inlineStr">
        <is>
          <t>brand paid (payment 1)</t>
        </is>
      </c>
    </row>
    <row r="1491">
      <c r="A1491" s="17">
        <f>IF(B1491="","",B1491+(9*1000+40)/10000000)</f>
        <v/>
      </c>
      <c r="B1491" s="23">
        <f>IF(AND(ISNUMBER(paid_brands!AW41),ISNUMBER(paid_brands!AV41),TRIM(paid_brands!AC41)&lt;&gt;"",OR(LEFT(paid_brands!AC41,6)&lt;&gt;"SAMPLE",Config!$B$19="Y")),paid_brands!AW41,"")</f>
        <v/>
      </c>
      <c r="C1491" s="17">
        <f>IF(B1491="","","brand")</f>
        <v/>
      </c>
      <c r="D1491" s="17">
        <f>IF(B1491="","",paid_brands!AC41&amp;"")</f>
        <v/>
      </c>
      <c r="E1491" s="17">
        <f>IF(B1491="","",IF(paid_brands!C41="","",paid_brands!C41&amp;""))</f>
        <v/>
      </c>
      <c r="F1491" s="17">
        <f>IF(B1491="","","paid")</f>
        <v/>
      </c>
      <c r="G1491" s="17">
        <f>IF(B1491="","",paid_brands!AV41)</f>
        <v/>
      </c>
      <c r="H1491" s="17">
        <f>IF(B1491="","","")</f>
        <v/>
      </c>
      <c r="I1491" s="17">
        <f>IF(B1491="","","")</f>
        <v/>
      </c>
      <c r="J1491" s="17">
        <f>IF(B1491="","","payment 1; "&amp;paid_brands!AB41&amp;"; "&amp;paid_brands!AD41&amp;"; invoice "&amp;paid_brands!AI41)</f>
        <v/>
      </c>
      <c r="K1491" t="inlineStr">
        <is>
          <t>brand paid (payment 1)</t>
        </is>
      </c>
    </row>
    <row r="1492">
      <c r="A1492" s="17">
        <f>IF(B1492="","",B1492+(9*1000+41)/10000000)</f>
        <v/>
      </c>
      <c r="B1492" s="23">
        <f>IF(AND(ISNUMBER(paid_brands!AW42),ISNUMBER(paid_brands!AV42),TRIM(paid_brands!AC42)&lt;&gt;"",OR(LEFT(paid_brands!AC42,6)&lt;&gt;"SAMPLE",Config!$B$19="Y")),paid_brands!AW42,"")</f>
        <v/>
      </c>
      <c r="C1492" s="17">
        <f>IF(B1492="","","brand")</f>
        <v/>
      </c>
      <c r="D1492" s="17">
        <f>IF(B1492="","",paid_brands!AC42&amp;"")</f>
        <v/>
      </c>
      <c r="E1492" s="17">
        <f>IF(B1492="","",IF(paid_brands!C42="","",paid_brands!C42&amp;""))</f>
        <v/>
      </c>
      <c r="F1492" s="17">
        <f>IF(B1492="","","paid")</f>
        <v/>
      </c>
      <c r="G1492" s="17">
        <f>IF(B1492="","",paid_brands!AV42)</f>
        <v/>
      </c>
      <c r="H1492" s="17">
        <f>IF(B1492="","","")</f>
        <v/>
      </c>
      <c r="I1492" s="17">
        <f>IF(B1492="","","")</f>
        <v/>
      </c>
      <c r="J1492" s="17">
        <f>IF(B1492="","","payment 1; "&amp;paid_brands!AB42&amp;"; "&amp;paid_brands!AD42&amp;"; invoice "&amp;paid_brands!AI42)</f>
        <v/>
      </c>
      <c r="K1492" t="inlineStr">
        <is>
          <t>brand paid (payment 1)</t>
        </is>
      </c>
    </row>
    <row r="1493">
      <c r="A1493" s="17">
        <f>IF(B1493="","",B1493+(9*1000+42)/10000000)</f>
        <v/>
      </c>
      <c r="B1493" s="23">
        <f>IF(AND(ISNUMBER(paid_brands!AW43),ISNUMBER(paid_brands!AV43),TRIM(paid_brands!AC43)&lt;&gt;"",OR(LEFT(paid_brands!AC43,6)&lt;&gt;"SAMPLE",Config!$B$19="Y")),paid_brands!AW43,"")</f>
        <v/>
      </c>
      <c r="C1493" s="17">
        <f>IF(B1493="","","brand")</f>
        <v/>
      </c>
      <c r="D1493" s="17">
        <f>IF(B1493="","",paid_brands!AC43&amp;"")</f>
        <v/>
      </c>
      <c r="E1493" s="17">
        <f>IF(B1493="","",IF(paid_brands!C43="","",paid_brands!C43&amp;""))</f>
        <v/>
      </c>
      <c r="F1493" s="17">
        <f>IF(B1493="","","paid")</f>
        <v/>
      </c>
      <c r="G1493" s="17">
        <f>IF(B1493="","",paid_brands!AV43)</f>
        <v/>
      </c>
      <c r="H1493" s="17">
        <f>IF(B1493="","","")</f>
        <v/>
      </c>
      <c r="I1493" s="17">
        <f>IF(B1493="","","")</f>
        <v/>
      </c>
      <c r="J1493" s="17">
        <f>IF(B1493="","","payment 1; "&amp;paid_brands!AB43&amp;"; "&amp;paid_brands!AD43&amp;"; invoice "&amp;paid_brands!AI43)</f>
        <v/>
      </c>
      <c r="K1493" t="inlineStr">
        <is>
          <t>brand paid (payment 1)</t>
        </is>
      </c>
    </row>
    <row r="1494">
      <c r="A1494" s="17">
        <f>IF(B1494="","",B1494+(9*1000+43)/10000000)</f>
        <v/>
      </c>
      <c r="B1494" s="23">
        <f>IF(AND(ISNUMBER(paid_brands!AW44),ISNUMBER(paid_brands!AV44),TRIM(paid_brands!AC44)&lt;&gt;"",OR(LEFT(paid_brands!AC44,6)&lt;&gt;"SAMPLE",Config!$B$19="Y")),paid_brands!AW44,"")</f>
        <v/>
      </c>
      <c r="C1494" s="17">
        <f>IF(B1494="","","brand")</f>
        <v/>
      </c>
      <c r="D1494" s="17">
        <f>IF(B1494="","",paid_brands!AC44&amp;"")</f>
        <v/>
      </c>
      <c r="E1494" s="17">
        <f>IF(B1494="","",IF(paid_brands!C44="","",paid_brands!C44&amp;""))</f>
        <v/>
      </c>
      <c r="F1494" s="17">
        <f>IF(B1494="","","paid")</f>
        <v/>
      </c>
      <c r="G1494" s="17">
        <f>IF(B1494="","",paid_brands!AV44)</f>
        <v/>
      </c>
      <c r="H1494" s="17">
        <f>IF(B1494="","","")</f>
        <v/>
      </c>
      <c r="I1494" s="17">
        <f>IF(B1494="","","")</f>
        <v/>
      </c>
      <c r="J1494" s="17">
        <f>IF(B1494="","","payment 1; "&amp;paid_brands!AB44&amp;"; "&amp;paid_brands!AD44&amp;"; invoice "&amp;paid_brands!AI44)</f>
        <v/>
      </c>
      <c r="K1494" t="inlineStr">
        <is>
          <t>brand paid (payment 1)</t>
        </is>
      </c>
    </row>
    <row r="1495">
      <c r="A1495" s="17">
        <f>IF(B1495="","",B1495+(9*1000+44)/10000000)</f>
        <v/>
      </c>
      <c r="B1495" s="23">
        <f>IF(AND(ISNUMBER(paid_brands!AW45),ISNUMBER(paid_brands!AV45),TRIM(paid_brands!AC45)&lt;&gt;"",OR(LEFT(paid_brands!AC45,6)&lt;&gt;"SAMPLE",Config!$B$19="Y")),paid_brands!AW45,"")</f>
        <v/>
      </c>
      <c r="C1495" s="17">
        <f>IF(B1495="","","brand")</f>
        <v/>
      </c>
      <c r="D1495" s="17">
        <f>IF(B1495="","",paid_brands!AC45&amp;"")</f>
        <v/>
      </c>
      <c r="E1495" s="17">
        <f>IF(B1495="","",IF(paid_brands!C45="","",paid_brands!C45&amp;""))</f>
        <v/>
      </c>
      <c r="F1495" s="17">
        <f>IF(B1495="","","paid")</f>
        <v/>
      </c>
      <c r="G1495" s="17">
        <f>IF(B1495="","",paid_brands!AV45)</f>
        <v/>
      </c>
      <c r="H1495" s="17">
        <f>IF(B1495="","","")</f>
        <v/>
      </c>
      <c r="I1495" s="17">
        <f>IF(B1495="","","")</f>
        <v/>
      </c>
      <c r="J1495" s="17">
        <f>IF(B1495="","","payment 1; "&amp;paid_brands!AB45&amp;"; "&amp;paid_brands!AD45&amp;"; invoice "&amp;paid_brands!AI45)</f>
        <v/>
      </c>
      <c r="K1495" t="inlineStr">
        <is>
          <t>brand paid (payment 1)</t>
        </is>
      </c>
    </row>
    <row r="1496">
      <c r="A1496" s="17">
        <f>IF(B1496="","",B1496+(9*1000+45)/10000000)</f>
        <v/>
      </c>
      <c r="B1496" s="23">
        <f>IF(AND(ISNUMBER(paid_brands!AW46),ISNUMBER(paid_brands!AV46),TRIM(paid_brands!AC46)&lt;&gt;"",OR(LEFT(paid_brands!AC46,6)&lt;&gt;"SAMPLE",Config!$B$19="Y")),paid_brands!AW46,"")</f>
        <v/>
      </c>
      <c r="C1496" s="17">
        <f>IF(B1496="","","brand")</f>
        <v/>
      </c>
      <c r="D1496" s="17">
        <f>IF(B1496="","",paid_brands!AC46&amp;"")</f>
        <v/>
      </c>
      <c r="E1496" s="17">
        <f>IF(B1496="","",IF(paid_brands!C46="","",paid_brands!C46&amp;""))</f>
        <v/>
      </c>
      <c r="F1496" s="17">
        <f>IF(B1496="","","paid")</f>
        <v/>
      </c>
      <c r="G1496" s="17">
        <f>IF(B1496="","",paid_brands!AV46)</f>
        <v/>
      </c>
      <c r="H1496" s="17">
        <f>IF(B1496="","","")</f>
        <v/>
      </c>
      <c r="I1496" s="17">
        <f>IF(B1496="","","")</f>
        <v/>
      </c>
      <c r="J1496" s="17">
        <f>IF(B1496="","","payment 1; "&amp;paid_brands!AB46&amp;"; "&amp;paid_brands!AD46&amp;"; invoice "&amp;paid_brands!AI46)</f>
        <v/>
      </c>
      <c r="K1496" t="inlineStr">
        <is>
          <t>brand paid (payment 1)</t>
        </is>
      </c>
    </row>
    <row r="1497">
      <c r="A1497" s="17">
        <f>IF(B1497="","",B1497+(9*1000+46)/10000000)</f>
        <v/>
      </c>
      <c r="B1497" s="23">
        <f>IF(AND(ISNUMBER(paid_brands!AW47),ISNUMBER(paid_brands!AV47),TRIM(paid_brands!AC47)&lt;&gt;"",OR(LEFT(paid_brands!AC47,6)&lt;&gt;"SAMPLE",Config!$B$19="Y")),paid_brands!AW47,"")</f>
        <v/>
      </c>
      <c r="C1497" s="17">
        <f>IF(B1497="","","brand")</f>
        <v/>
      </c>
      <c r="D1497" s="17">
        <f>IF(B1497="","",paid_brands!AC47&amp;"")</f>
        <v/>
      </c>
      <c r="E1497" s="17">
        <f>IF(B1497="","",IF(paid_brands!C47="","",paid_brands!C47&amp;""))</f>
        <v/>
      </c>
      <c r="F1497" s="17">
        <f>IF(B1497="","","paid")</f>
        <v/>
      </c>
      <c r="G1497" s="17">
        <f>IF(B1497="","",paid_brands!AV47)</f>
        <v/>
      </c>
      <c r="H1497" s="17">
        <f>IF(B1497="","","")</f>
        <v/>
      </c>
      <c r="I1497" s="17">
        <f>IF(B1497="","","")</f>
        <v/>
      </c>
      <c r="J1497" s="17">
        <f>IF(B1497="","","payment 1; "&amp;paid_brands!AB47&amp;"; "&amp;paid_brands!AD47&amp;"; invoice "&amp;paid_brands!AI47)</f>
        <v/>
      </c>
      <c r="K1497" t="inlineStr">
        <is>
          <t>brand paid (payment 1)</t>
        </is>
      </c>
    </row>
    <row r="1498">
      <c r="A1498" s="17">
        <f>IF(B1498="","",B1498+(9*1000+47)/10000000)</f>
        <v/>
      </c>
      <c r="B1498" s="23">
        <f>IF(AND(ISNUMBER(paid_brands!AW48),ISNUMBER(paid_brands!AV48),TRIM(paid_brands!AC48)&lt;&gt;"",OR(LEFT(paid_brands!AC48,6)&lt;&gt;"SAMPLE",Config!$B$19="Y")),paid_brands!AW48,"")</f>
        <v/>
      </c>
      <c r="C1498" s="17">
        <f>IF(B1498="","","brand")</f>
        <v/>
      </c>
      <c r="D1498" s="17">
        <f>IF(B1498="","",paid_brands!AC48&amp;"")</f>
        <v/>
      </c>
      <c r="E1498" s="17">
        <f>IF(B1498="","",IF(paid_brands!C48="","",paid_brands!C48&amp;""))</f>
        <v/>
      </c>
      <c r="F1498" s="17">
        <f>IF(B1498="","","paid")</f>
        <v/>
      </c>
      <c r="G1498" s="17">
        <f>IF(B1498="","",paid_brands!AV48)</f>
        <v/>
      </c>
      <c r="H1498" s="17">
        <f>IF(B1498="","","")</f>
        <v/>
      </c>
      <c r="I1498" s="17">
        <f>IF(B1498="","","")</f>
        <v/>
      </c>
      <c r="J1498" s="17">
        <f>IF(B1498="","","payment 1; "&amp;paid_brands!AB48&amp;"; "&amp;paid_brands!AD48&amp;"; invoice "&amp;paid_brands!AI48)</f>
        <v/>
      </c>
      <c r="K1498" t="inlineStr">
        <is>
          <t>brand paid (payment 1)</t>
        </is>
      </c>
    </row>
    <row r="1499">
      <c r="A1499" s="17">
        <f>IF(B1499="","",B1499+(9*1000+48)/10000000)</f>
        <v/>
      </c>
      <c r="B1499" s="23">
        <f>IF(AND(ISNUMBER(paid_brands!AW49),ISNUMBER(paid_brands!AV49),TRIM(paid_brands!AC49)&lt;&gt;"",OR(LEFT(paid_brands!AC49,6)&lt;&gt;"SAMPLE",Config!$B$19="Y")),paid_brands!AW49,"")</f>
        <v/>
      </c>
      <c r="C1499" s="17">
        <f>IF(B1499="","","brand")</f>
        <v/>
      </c>
      <c r="D1499" s="17">
        <f>IF(B1499="","",paid_brands!AC49&amp;"")</f>
        <v/>
      </c>
      <c r="E1499" s="17">
        <f>IF(B1499="","",IF(paid_brands!C49="","",paid_brands!C49&amp;""))</f>
        <v/>
      </c>
      <c r="F1499" s="17">
        <f>IF(B1499="","","paid")</f>
        <v/>
      </c>
      <c r="G1499" s="17">
        <f>IF(B1499="","",paid_brands!AV49)</f>
        <v/>
      </c>
      <c r="H1499" s="17">
        <f>IF(B1499="","","")</f>
        <v/>
      </c>
      <c r="I1499" s="17">
        <f>IF(B1499="","","")</f>
        <v/>
      </c>
      <c r="J1499" s="17">
        <f>IF(B1499="","","payment 1; "&amp;paid_brands!AB49&amp;"; "&amp;paid_brands!AD49&amp;"; invoice "&amp;paid_brands!AI49)</f>
        <v/>
      </c>
      <c r="K1499" t="inlineStr">
        <is>
          <t>brand paid (payment 1)</t>
        </is>
      </c>
    </row>
    <row r="1500">
      <c r="A1500" s="17">
        <f>IF(B1500="","",B1500+(9*1000+49)/10000000)</f>
        <v/>
      </c>
      <c r="B1500" s="23">
        <f>IF(AND(ISNUMBER(paid_brands!AW50),ISNUMBER(paid_brands!AV50),TRIM(paid_brands!AC50)&lt;&gt;"",OR(LEFT(paid_brands!AC50,6)&lt;&gt;"SAMPLE",Config!$B$19="Y")),paid_brands!AW50,"")</f>
        <v/>
      </c>
      <c r="C1500" s="17">
        <f>IF(B1500="","","brand")</f>
        <v/>
      </c>
      <c r="D1500" s="17">
        <f>IF(B1500="","",paid_brands!AC50&amp;"")</f>
        <v/>
      </c>
      <c r="E1500" s="17">
        <f>IF(B1500="","",IF(paid_brands!C50="","",paid_brands!C50&amp;""))</f>
        <v/>
      </c>
      <c r="F1500" s="17">
        <f>IF(B1500="","","paid")</f>
        <v/>
      </c>
      <c r="G1500" s="17">
        <f>IF(B1500="","",paid_brands!AV50)</f>
        <v/>
      </c>
      <c r="H1500" s="17">
        <f>IF(B1500="","","")</f>
        <v/>
      </c>
      <c r="I1500" s="17">
        <f>IF(B1500="","","")</f>
        <v/>
      </c>
      <c r="J1500" s="17">
        <f>IF(B1500="","","payment 1; "&amp;paid_brands!AB50&amp;"; "&amp;paid_brands!AD50&amp;"; invoice "&amp;paid_brands!AI50)</f>
        <v/>
      </c>
      <c r="K1500" t="inlineStr">
        <is>
          <t>brand paid (payment 1)</t>
        </is>
      </c>
    </row>
    <row r="1501">
      <c r="A1501" s="17">
        <f>IF(B1501="","",B1501+(9*1000+50)/10000000)</f>
        <v/>
      </c>
      <c r="B1501" s="23">
        <f>IF(AND(ISNUMBER(paid_brands!AW51),ISNUMBER(paid_brands!AV51),TRIM(paid_brands!AC51)&lt;&gt;"",OR(LEFT(paid_brands!AC51,6)&lt;&gt;"SAMPLE",Config!$B$19="Y")),paid_brands!AW51,"")</f>
        <v/>
      </c>
      <c r="C1501" s="17">
        <f>IF(B1501="","","brand")</f>
        <v/>
      </c>
      <c r="D1501" s="17">
        <f>IF(B1501="","",paid_brands!AC51&amp;"")</f>
        <v/>
      </c>
      <c r="E1501" s="17">
        <f>IF(B1501="","",IF(paid_brands!C51="","",paid_brands!C51&amp;""))</f>
        <v/>
      </c>
      <c r="F1501" s="17">
        <f>IF(B1501="","","paid")</f>
        <v/>
      </c>
      <c r="G1501" s="17">
        <f>IF(B1501="","",paid_brands!AV51)</f>
        <v/>
      </c>
      <c r="H1501" s="17">
        <f>IF(B1501="","","")</f>
        <v/>
      </c>
      <c r="I1501" s="17">
        <f>IF(B1501="","","")</f>
        <v/>
      </c>
      <c r="J1501" s="17">
        <f>IF(B1501="","","payment 1; "&amp;paid_brands!AB51&amp;"; "&amp;paid_brands!AD51&amp;"; invoice "&amp;paid_brands!AI51)</f>
        <v/>
      </c>
      <c r="K1501" t="inlineStr">
        <is>
          <t>brand paid (payment 1)</t>
        </is>
      </c>
    </row>
    <row r="1502">
      <c r="A1502" s="17">
        <f>IF(B1502="","",B1502+(10*1000+1)/10000000)</f>
        <v/>
      </c>
      <c r="B1502" s="23">
        <f>IF(AND(ISNUMBER(paid_brands!AY2),ISNUMBER(paid_brands!AX2),TRIM(paid_brands!AC2)&lt;&gt;"",OR(LEFT(paid_brands!AC2,6)&lt;&gt;"SAMPLE",Config!$B$19="Y")),paid_brands!AY2,"")</f>
        <v/>
      </c>
      <c r="C1502" s="17">
        <f>IF(B1502="","","brand")</f>
        <v/>
      </c>
      <c r="D1502" s="17">
        <f>IF(B1502="","",paid_brands!AC2&amp;"")</f>
        <v/>
      </c>
      <c r="E1502" s="17">
        <f>IF(B1502="","",IF(paid_brands!C2="","",paid_brands!C2&amp;""))</f>
        <v/>
      </c>
      <c r="F1502" s="17">
        <f>IF(B1502="","","paid")</f>
        <v/>
      </c>
      <c r="G1502" s="17">
        <f>IF(B1502="","",paid_brands!AX2)</f>
        <v/>
      </c>
      <c r="H1502" s="17">
        <f>IF(B1502="","","")</f>
        <v/>
      </c>
      <c r="I1502" s="17">
        <f>IF(B1502="","","")</f>
        <v/>
      </c>
      <c r="J1502" s="17">
        <f>IF(B1502="","","payment 2; "&amp;paid_brands!AB2&amp;"; "&amp;paid_brands!AD2&amp;"; invoice "&amp;paid_brands!AI2)</f>
        <v/>
      </c>
      <c r="K1502" t="inlineStr">
        <is>
          <t>brand paid (payment 2)</t>
        </is>
      </c>
    </row>
    <row r="1503">
      <c r="A1503" s="17">
        <f>IF(B1503="","",B1503+(10*1000+2)/10000000)</f>
        <v/>
      </c>
      <c r="B1503" s="23">
        <f>IF(AND(ISNUMBER(paid_brands!AY3),ISNUMBER(paid_brands!AX3),TRIM(paid_brands!AC3)&lt;&gt;"",OR(LEFT(paid_brands!AC3,6)&lt;&gt;"SAMPLE",Config!$B$19="Y")),paid_brands!AY3,"")</f>
        <v/>
      </c>
      <c r="C1503" s="17">
        <f>IF(B1503="","","brand")</f>
        <v/>
      </c>
      <c r="D1503" s="17">
        <f>IF(B1503="","",paid_brands!AC3&amp;"")</f>
        <v/>
      </c>
      <c r="E1503" s="17">
        <f>IF(B1503="","",IF(paid_brands!C3="","",paid_brands!C3&amp;""))</f>
        <v/>
      </c>
      <c r="F1503" s="17">
        <f>IF(B1503="","","paid")</f>
        <v/>
      </c>
      <c r="G1503" s="17">
        <f>IF(B1503="","",paid_brands!AX3)</f>
        <v/>
      </c>
      <c r="H1503" s="17">
        <f>IF(B1503="","","")</f>
        <v/>
      </c>
      <c r="I1503" s="17">
        <f>IF(B1503="","","")</f>
        <v/>
      </c>
      <c r="J1503" s="17">
        <f>IF(B1503="","","payment 2; "&amp;paid_brands!AB3&amp;"; "&amp;paid_brands!AD3&amp;"; invoice "&amp;paid_brands!AI3)</f>
        <v/>
      </c>
      <c r="K1503" t="inlineStr">
        <is>
          <t>brand paid (payment 2)</t>
        </is>
      </c>
    </row>
    <row r="1504">
      <c r="A1504" s="17">
        <f>IF(B1504="","",B1504+(10*1000+3)/10000000)</f>
        <v/>
      </c>
      <c r="B1504" s="23">
        <f>IF(AND(ISNUMBER(paid_brands!AY4),ISNUMBER(paid_brands!AX4),TRIM(paid_brands!AC4)&lt;&gt;"",OR(LEFT(paid_brands!AC4,6)&lt;&gt;"SAMPLE",Config!$B$19="Y")),paid_brands!AY4,"")</f>
        <v/>
      </c>
      <c r="C1504" s="17">
        <f>IF(B1504="","","brand")</f>
        <v/>
      </c>
      <c r="D1504" s="17">
        <f>IF(B1504="","",paid_brands!AC4&amp;"")</f>
        <v/>
      </c>
      <c r="E1504" s="17">
        <f>IF(B1504="","",IF(paid_brands!C4="","",paid_brands!C4&amp;""))</f>
        <v/>
      </c>
      <c r="F1504" s="17">
        <f>IF(B1504="","","paid")</f>
        <v/>
      </c>
      <c r="G1504" s="17">
        <f>IF(B1504="","",paid_brands!AX4)</f>
        <v/>
      </c>
      <c r="H1504" s="17">
        <f>IF(B1504="","","")</f>
        <v/>
      </c>
      <c r="I1504" s="17">
        <f>IF(B1504="","","")</f>
        <v/>
      </c>
      <c r="J1504" s="17">
        <f>IF(B1504="","","payment 2; "&amp;paid_brands!AB4&amp;"; "&amp;paid_brands!AD4&amp;"; invoice "&amp;paid_brands!AI4)</f>
        <v/>
      </c>
      <c r="K1504" t="inlineStr">
        <is>
          <t>brand paid (payment 2)</t>
        </is>
      </c>
    </row>
    <row r="1505">
      <c r="A1505" s="17">
        <f>IF(B1505="","",B1505+(10*1000+4)/10000000)</f>
        <v/>
      </c>
      <c r="B1505" s="23">
        <f>IF(AND(ISNUMBER(paid_brands!AY5),ISNUMBER(paid_brands!AX5),TRIM(paid_brands!AC5)&lt;&gt;"",OR(LEFT(paid_brands!AC5,6)&lt;&gt;"SAMPLE",Config!$B$19="Y")),paid_brands!AY5,"")</f>
        <v/>
      </c>
      <c r="C1505" s="17">
        <f>IF(B1505="","","brand")</f>
        <v/>
      </c>
      <c r="D1505" s="17">
        <f>IF(B1505="","",paid_brands!AC5&amp;"")</f>
        <v/>
      </c>
      <c r="E1505" s="17">
        <f>IF(B1505="","",IF(paid_brands!C5="","",paid_brands!C5&amp;""))</f>
        <v/>
      </c>
      <c r="F1505" s="17">
        <f>IF(B1505="","","paid")</f>
        <v/>
      </c>
      <c r="G1505" s="17">
        <f>IF(B1505="","",paid_brands!AX5)</f>
        <v/>
      </c>
      <c r="H1505" s="17">
        <f>IF(B1505="","","")</f>
        <v/>
      </c>
      <c r="I1505" s="17">
        <f>IF(B1505="","","")</f>
        <v/>
      </c>
      <c r="J1505" s="17">
        <f>IF(B1505="","","payment 2; "&amp;paid_brands!AB5&amp;"; "&amp;paid_brands!AD5&amp;"; invoice "&amp;paid_brands!AI5)</f>
        <v/>
      </c>
      <c r="K1505" t="inlineStr">
        <is>
          <t>brand paid (payment 2)</t>
        </is>
      </c>
    </row>
    <row r="1506">
      <c r="A1506" s="17">
        <f>IF(B1506="","",B1506+(10*1000+5)/10000000)</f>
        <v/>
      </c>
      <c r="B1506" s="23">
        <f>IF(AND(ISNUMBER(paid_brands!AY6),ISNUMBER(paid_brands!AX6),TRIM(paid_brands!AC6)&lt;&gt;"",OR(LEFT(paid_brands!AC6,6)&lt;&gt;"SAMPLE",Config!$B$19="Y")),paid_brands!AY6,"")</f>
        <v/>
      </c>
      <c r="C1506" s="17">
        <f>IF(B1506="","","brand")</f>
        <v/>
      </c>
      <c r="D1506" s="17">
        <f>IF(B1506="","",paid_brands!AC6&amp;"")</f>
        <v/>
      </c>
      <c r="E1506" s="17">
        <f>IF(B1506="","",IF(paid_brands!C6="","",paid_brands!C6&amp;""))</f>
        <v/>
      </c>
      <c r="F1506" s="17">
        <f>IF(B1506="","","paid")</f>
        <v/>
      </c>
      <c r="G1506" s="17">
        <f>IF(B1506="","",paid_brands!AX6)</f>
        <v/>
      </c>
      <c r="H1506" s="17">
        <f>IF(B1506="","","")</f>
        <v/>
      </c>
      <c r="I1506" s="17">
        <f>IF(B1506="","","")</f>
        <v/>
      </c>
      <c r="J1506" s="17">
        <f>IF(B1506="","","payment 2; "&amp;paid_brands!AB6&amp;"; "&amp;paid_brands!AD6&amp;"; invoice "&amp;paid_brands!AI6)</f>
        <v/>
      </c>
      <c r="K1506" t="inlineStr">
        <is>
          <t>brand paid (payment 2)</t>
        </is>
      </c>
    </row>
    <row r="1507">
      <c r="A1507" s="17">
        <f>IF(B1507="","",B1507+(10*1000+6)/10000000)</f>
        <v/>
      </c>
      <c r="B1507" s="23">
        <f>IF(AND(ISNUMBER(paid_brands!AY7),ISNUMBER(paid_brands!AX7),TRIM(paid_brands!AC7)&lt;&gt;"",OR(LEFT(paid_brands!AC7,6)&lt;&gt;"SAMPLE",Config!$B$19="Y")),paid_brands!AY7,"")</f>
        <v/>
      </c>
      <c r="C1507" s="17">
        <f>IF(B1507="","","brand")</f>
        <v/>
      </c>
      <c r="D1507" s="17">
        <f>IF(B1507="","",paid_brands!AC7&amp;"")</f>
        <v/>
      </c>
      <c r="E1507" s="17">
        <f>IF(B1507="","",IF(paid_brands!C7="","",paid_brands!C7&amp;""))</f>
        <v/>
      </c>
      <c r="F1507" s="17">
        <f>IF(B1507="","","paid")</f>
        <v/>
      </c>
      <c r="G1507" s="17">
        <f>IF(B1507="","",paid_brands!AX7)</f>
        <v/>
      </c>
      <c r="H1507" s="17">
        <f>IF(B1507="","","")</f>
        <v/>
      </c>
      <c r="I1507" s="17">
        <f>IF(B1507="","","")</f>
        <v/>
      </c>
      <c r="J1507" s="17">
        <f>IF(B1507="","","payment 2; "&amp;paid_brands!AB7&amp;"; "&amp;paid_brands!AD7&amp;"; invoice "&amp;paid_brands!AI7)</f>
        <v/>
      </c>
      <c r="K1507" t="inlineStr">
        <is>
          <t>brand paid (payment 2)</t>
        </is>
      </c>
    </row>
    <row r="1508">
      <c r="A1508" s="17">
        <f>IF(B1508="","",B1508+(10*1000+7)/10000000)</f>
        <v/>
      </c>
      <c r="B1508" s="23">
        <f>IF(AND(ISNUMBER(paid_brands!AY8),ISNUMBER(paid_brands!AX8),TRIM(paid_brands!AC8)&lt;&gt;"",OR(LEFT(paid_brands!AC8,6)&lt;&gt;"SAMPLE",Config!$B$19="Y")),paid_brands!AY8,"")</f>
        <v/>
      </c>
      <c r="C1508" s="17">
        <f>IF(B1508="","","brand")</f>
        <v/>
      </c>
      <c r="D1508" s="17">
        <f>IF(B1508="","",paid_brands!AC8&amp;"")</f>
        <v/>
      </c>
      <c r="E1508" s="17">
        <f>IF(B1508="","",IF(paid_brands!C8="","",paid_brands!C8&amp;""))</f>
        <v/>
      </c>
      <c r="F1508" s="17">
        <f>IF(B1508="","","paid")</f>
        <v/>
      </c>
      <c r="G1508" s="17">
        <f>IF(B1508="","",paid_brands!AX8)</f>
        <v/>
      </c>
      <c r="H1508" s="17">
        <f>IF(B1508="","","")</f>
        <v/>
      </c>
      <c r="I1508" s="17">
        <f>IF(B1508="","","")</f>
        <v/>
      </c>
      <c r="J1508" s="17">
        <f>IF(B1508="","","payment 2; "&amp;paid_brands!AB8&amp;"; "&amp;paid_brands!AD8&amp;"; invoice "&amp;paid_brands!AI8)</f>
        <v/>
      </c>
      <c r="K1508" t="inlineStr">
        <is>
          <t>brand paid (payment 2)</t>
        </is>
      </c>
    </row>
    <row r="1509">
      <c r="A1509" s="17">
        <f>IF(B1509="","",B1509+(10*1000+8)/10000000)</f>
        <v/>
      </c>
      <c r="B1509" s="23">
        <f>IF(AND(ISNUMBER(paid_brands!AY9),ISNUMBER(paid_brands!AX9),TRIM(paid_brands!AC9)&lt;&gt;"",OR(LEFT(paid_brands!AC9,6)&lt;&gt;"SAMPLE",Config!$B$19="Y")),paid_brands!AY9,"")</f>
        <v/>
      </c>
      <c r="C1509" s="17">
        <f>IF(B1509="","","brand")</f>
        <v/>
      </c>
      <c r="D1509" s="17">
        <f>IF(B1509="","",paid_brands!AC9&amp;"")</f>
        <v/>
      </c>
      <c r="E1509" s="17">
        <f>IF(B1509="","",IF(paid_brands!C9="","",paid_brands!C9&amp;""))</f>
        <v/>
      </c>
      <c r="F1509" s="17">
        <f>IF(B1509="","","paid")</f>
        <v/>
      </c>
      <c r="G1509" s="17">
        <f>IF(B1509="","",paid_brands!AX9)</f>
        <v/>
      </c>
      <c r="H1509" s="17">
        <f>IF(B1509="","","")</f>
        <v/>
      </c>
      <c r="I1509" s="17">
        <f>IF(B1509="","","")</f>
        <v/>
      </c>
      <c r="J1509" s="17">
        <f>IF(B1509="","","payment 2; "&amp;paid_brands!AB9&amp;"; "&amp;paid_brands!AD9&amp;"; invoice "&amp;paid_brands!AI9)</f>
        <v/>
      </c>
      <c r="K1509" t="inlineStr">
        <is>
          <t>brand paid (payment 2)</t>
        </is>
      </c>
    </row>
    <row r="1510">
      <c r="A1510" s="17">
        <f>IF(B1510="","",B1510+(10*1000+9)/10000000)</f>
        <v/>
      </c>
      <c r="B1510" s="23">
        <f>IF(AND(ISNUMBER(paid_brands!AY10),ISNUMBER(paid_brands!AX10),TRIM(paid_brands!AC10)&lt;&gt;"",OR(LEFT(paid_brands!AC10,6)&lt;&gt;"SAMPLE",Config!$B$19="Y")),paid_brands!AY10,"")</f>
        <v/>
      </c>
      <c r="C1510" s="17">
        <f>IF(B1510="","","brand")</f>
        <v/>
      </c>
      <c r="D1510" s="17">
        <f>IF(B1510="","",paid_brands!AC10&amp;"")</f>
        <v/>
      </c>
      <c r="E1510" s="17">
        <f>IF(B1510="","",IF(paid_brands!C10="","",paid_brands!C10&amp;""))</f>
        <v/>
      </c>
      <c r="F1510" s="17">
        <f>IF(B1510="","","paid")</f>
        <v/>
      </c>
      <c r="G1510" s="17">
        <f>IF(B1510="","",paid_brands!AX10)</f>
        <v/>
      </c>
      <c r="H1510" s="17">
        <f>IF(B1510="","","")</f>
        <v/>
      </c>
      <c r="I1510" s="17">
        <f>IF(B1510="","","")</f>
        <v/>
      </c>
      <c r="J1510" s="17">
        <f>IF(B1510="","","payment 2; "&amp;paid_brands!AB10&amp;"; "&amp;paid_brands!AD10&amp;"; invoice "&amp;paid_brands!AI10)</f>
        <v/>
      </c>
      <c r="K1510" t="inlineStr">
        <is>
          <t>brand paid (payment 2)</t>
        </is>
      </c>
    </row>
    <row r="1511">
      <c r="A1511" s="17">
        <f>IF(B1511="","",B1511+(10*1000+10)/10000000)</f>
        <v/>
      </c>
      <c r="B1511" s="23">
        <f>IF(AND(ISNUMBER(paid_brands!AY11),ISNUMBER(paid_brands!AX11),TRIM(paid_brands!AC11)&lt;&gt;"",OR(LEFT(paid_brands!AC11,6)&lt;&gt;"SAMPLE",Config!$B$19="Y")),paid_brands!AY11,"")</f>
        <v/>
      </c>
      <c r="C1511" s="17">
        <f>IF(B1511="","","brand")</f>
        <v/>
      </c>
      <c r="D1511" s="17">
        <f>IF(B1511="","",paid_brands!AC11&amp;"")</f>
        <v/>
      </c>
      <c r="E1511" s="17">
        <f>IF(B1511="","",IF(paid_brands!C11="","",paid_brands!C11&amp;""))</f>
        <v/>
      </c>
      <c r="F1511" s="17">
        <f>IF(B1511="","","paid")</f>
        <v/>
      </c>
      <c r="G1511" s="17">
        <f>IF(B1511="","",paid_brands!AX11)</f>
        <v/>
      </c>
      <c r="H1511" s="17">
        <f>IF(B1511="","","")</f>
        <v/>
      </c>
      <c r="I1511" s="17">
        <f>IF(B1511="","","")</f>
        <v/>
      </c>
      <c r="J1511" s="17">
        <f>IF(B1511="","","payment 2; "&amp;paid_brands!AB11&amp;"; "&amp;paid_brands!AD11&amp;"; invoice "&amp;paid_brands!AI11)</f>
        <v/>
      </c>
      <c r="K1511" t="inlineStr">
        <is>
          <t>brand paid (payment 2)</t>
        </is>
      </c>
    </row>
    <row r="1512">
      <c r="A1512" s="17">
        <f>IF(B1512="","",B1512+(10*1000+11)/10000000)</f>
        <v/>
      </c>
      <c r="B1512" s="23">
        <f>IF(AND(ISNUMBER(paid_brands!AY12),ISNUMBER(paid_brands!AX12),TRIM(paid_brands!AC12)&lt;&gt;"",OR(LEFT(paid_brands!AC12,6)&lt;&gt;"SAMPLE",Config!$B$19="Y")),paid_brands!AY12,"")</f>
        <v/>
      </c>
      <c r="C1512" s="17">
        <f>IF(B1512="","","brand")</f>
        <v/>
      </c>
      <c r="D1512" s="17">
        <f>IF(B1512="","",paid_brands!AC12&amp;"")</f>
        <v/>
      </c>
      <c r="E1512" s="17">
        <f>IF(B1512="","",IF(paid_brands!C12="","",paid_brands!C12&amp;""))</f>
        <v/>
      </c>
      <c r="F1512" s="17">
        <f>IF(B1512="","","paid")</f>
        <v/>
      </c>
      <c r="G1512" s="17">
        <f>IF(B1512="","",paid_brands!AX12)</f>
        <v/>
      </c>
      <c r="H1512" s="17">
        <f>IF(B1512="","","")</f>
        <v/>
      </c>
      <c r="I1512" s="17">
        <f>IF(B1512="","","")</f>
        <v/>
      </c>
      <c r="J1512" s="17">
        <f>IF(B1512="","","payment 2; "&amp;paid_brands!AB12&amp;"; "&amp;paid_brands!AD12&amp;"; invoice "&amp;paid_brands!AI12)</f>
        <v/>
      </c>
      <c r="K1512" t="inlineStr">
        <is>
          <t>brand paid (payment 2)</t>
        </is>
      </c>
    </row>
    <row r="1513">
      <c r="A1513" s="17">
        <f>IF(B1513="","",B1513+(10*1000+12)/10000000)</f>
        <v/>
      </c>
      <c r="B1513" s="23">
        <f>IF(AND(ISNUMBER(paid_brands!AY13),ISNUMBER(paid_brands!AX13),TRIM(paid_brands!AC13)&lt;&gt;"",OR(LEFT(paid_brands!AC13,6)&lt;&gt;"SAMPLE",Config!$B$19="Y")),paid_brands!AY13,"")</f>
        <v/>
      </c>
      <c r="C1513" s="17">
        <f>IF(B1513="","","brand")</f>
        <v/>
      </c>
      <c r="D1513" s="17">
        <f>IF(B1513="","",paid_brands!AC13&amp;"")</f>
        <v/>
      </c>
      <c r="E1513" s="17">
        <f>IF(B1513="","",IF(paid_brands!C13="","",paid_brands!C13&amp;""))</f>
        <v/>
      </c>
      <c r="F1513" s="17">
        <f>IF(B1513="","","paid")</f>
        <v/>
      </c>
      <c r="G1513" s="17">
        <f>IF(B1513="","",paid_brands!AX13)</f>
        <v/>
      </c>
      <c r="H1513" s="17">
        <f>IF(B1513="","","")</f>
        <v/>
      </c>
      <c r="I1513" s="17">
        <f>IF(B1513="","","")</f>
        <v/>
      </c>
      <c r="J1513" s="17">
        <f>IF(B1513="","","payment 2; "&amp;paid_brands!AB13&amp;"; "&amp;paid_brands!AD13&amp;"; invoice "&amp;paid_brands!AI13)</f>
        <v/>
      </c>
      <c r="K1513" t="inlineStr">
        <is>
          <t>brand paid (payment 2)</t>
        </is>
      </c>
    </row>
    <row r="1514">
      <c r="A1514" s="17">
        <f>IF(B1514="","",B1514+(10*1000+13)/10000000)</f>
        <v/>
      </c>
      <c r="B1514" s="23">
        <f>IF(AND(ISNUMBER(paid_brands!AY14),ISNUMBER(paid_brands!AX14),TRIM(paid_brands!AC14)&lt;&gt;"",OR(LEFT(paid_brands!AC14,6)&lt;&gt;"SAMPLE",Config!$B$19="Y")),paid_brands!AY14,"")</f>
        <v/>
      </c>
      <c r="C1514" s="17">
        <f>IF(B1514="","","brand")</f>
        <v/>
      </c>
      <c r="D1514" s="17">
        <f>IF(B1514="","",paid_brands!AC14&amp;"")</f>
        <v/>
      </c>
      <c r="E1514" s="17">
        <f>IF(B1514="","",IF(paid_brands!C14="","",paid_brands!C14&amp;""))</f>
        <v/>
      </c>
      <c r="F1514" s="17">
        <f>IF(B1514="","","paid")</f>
        <v/>
      </c>
      <c r="G1514" s="17">
        <f>IF(B1514="","",paid_brands!AX14)</f>
        <v/>
      </c>
      <c r="H1514" s="17">
        <f>IF(B1514="","","")</f>
        <v/>
      </c>
      <c r="I1514" s="17">
        <f>IF(B1514="","","")</f>
        <v/>
      </c>
      <c r="J1514" s="17">
        <f>IF(B1514="","","payment 2; "&amp;paid_brands!AB14&amp;"; "&amp;paid_brands!AD14&amp;"; invoice "&amp;paid_brands!AI14)</f>
        <v/>
      </c>
      <c r="K1514" t="inlineStr">
        <is>
          <t>brand paid (payment 2)</t>
        </is>
      </c>
    </row>
    <row r="1515">
      <c r="A1515" s="17">
        <f>IF(B1515="","",B1515+(10*1000+14)/10000000)</f>
        <v/>
      </c>
      <c r="B1515" s="23">
        <f>IF(AND(ISNUMBER(paid_brands!AY15),ISNUMBER(paid_brands!AX15),TRIM(paid_brands!AC15)&lt;&gt;"",OR(LEFT(paid_brands!AC15,6)&lt;&gt;"SAMPLE",Config!$B$19="Y")),paid_brands!AY15,"")</f>
        <v/>
      </c>
      <c r="C1515" s="17">
        <f>IF(B1515="","","brand")</f>
        <v/>
      </c>
      <c r="D1515" s="17">
        <f>IF(B1515="","",paid_brands!AC15&amp;"")</f>
        <v/>
      </c>
      <c r="E1515" s="17">
        <f>IF(B1515="","",IF(paid_brands!C15="","",paid_brands!C15&amp;""))</f>
        <v/>
      </c>
      <c r="F1515" s="17">
        <f>IF(B1515="","","paid")</f>
        <v/>
      </c>
      <c r="G1515" s="17">
        <f>IF(B1515="","",paid_brands!AX15)</f>
        <v/>
      </c>
      <c r="H1515" s="17">
        <f>IF(B1515="","","")</f>
        <v/>
      </c>
      <c r="I1515" s="17">
        <f>IF(B1515="","","")</f>
        <v/>
      </c>
      <c r="J1515" s="17">
        <f>IF(B1515="","","payment 2; "&amp;paid_brands!AB15&amp;"; "&amp;paid_brands!AD15&amp;"; invoice "&amp;paid_brands!AI15)</f>
        <v/>
      </c>
      <c r="K1515" t="inlineStr">
        <is>
          <t>brand paid (payment 2)</t>
        </is>
      </c>
    </row>
    <row r="1516">
      <c r="A1516" s="17">
        <f>IF(B1516="","",B1516+(10*1000+15)/10000000)</f>
        <v/>
      </c>
      <c r="B1516" s="23">
        <f>IF(AND(ISNUMBER(paid_brands!AY16),ISNUMBER(paid_brands!AX16),TRIM(paid_brands!AC16)&lt;&gt;"",OR(LEFT(paid_brands!AC16,6)&lt;&gt;"SAMPLE",Config!$B$19="Y")),paid_brands!AY16,"")</f>
        <v/>
      </c>
      <c r="C1516" s="17">
        <f>IF(B1516="","","brand")</f>
        <v/>
      </c>
      <c r="D1516" s="17">
        <f>IF(B1516="","",paid_brands!AC16&amp;"")</f>
        <v/>
      </c>
      <c r="E1516" s="17">
        <f>IF(B1516="","",IF(paid_brands!C16="","",paid_brands!C16&amp;""))</f>
        <v/>
      </c>
      <c r="F1516" s="17">
        <f>IF(B1516="","","paid")</f>
        <v/>
      </c>
      <c r="G1516" s="17">
        <f>IF(B1516="","",paid_brands!AX16)</f>
        <v/>
      </c>
      <c r="H1516" s="17">
        <f>IF(B1516="","","")</f>
        <v/>
      </c>
      <c r="I1516" s="17">
        <f>IF(B1516="","","")</f>
        <v/>
      </c>
      <c r="J1516" s="17">
        <f>IF(B1516="","","payment 2; "&amp;paid_brands!AB16&amp;"; "&amp;paid_brands!AD16&amp;"; invoice "&amp;paid_brands!AI16)</f>
        <v/>
      </c>
      <c r="K1516" t="inlineStr">
        <is>
          <t>brand paid (payment 2)</t>
        </is>
      </c>
    </row>
    <row r="1517">
      <c r="A1517" s="17">
        <f>IF(B1517="","",B1517+(10*1000+16)/10000000)</f>
        <v/>
      </c>
      <c r="B1517" s="23">
        <f>IF(AND(ISNUMBER(paid_brands!AY17),ISNUMBER(paid_brands!AX17),TRIM(paid_brands!AC17)&lt;&gt;"",OR(LEFT(paid_brands!AC17,6)&lt;&gt;"SAMPLE",Config!$B$19="Y")),paid_brands!AY17,"")</f>
        <v/>
      </c>
      <c r="C1517" s="17">
        <f>IF(B1517="","","brand")</f>
        <v/>
      </c>
      <c r="D1517" s="17">
        <f>IF(B1517="","",paid_brands!AC17&amp;"")</f>
        <v/>
      </c>
      <c r="E1517" s="17">
        <f>IF(B1517="","",IF(paid_brands!C17="","",paid_brands!C17&amp;""))</f>
        <v/>
      </c>
      <c r="F1517" s="17">
        <f>IF(B1517="","","paid")</f>
        <v/>
      </c>
      <c r="G1517" s="17">
        <f>IF(B1517="","",paid_brands!AX17)</f>
        <v/>
      </c>
      <c r="H1517" s="17">
        <f>IF(B1517="","","")</f>
        <v/>
      </c>
      <c r="I1517" s="17">
        <f>IF(B1517="","","")</f>
        <v/>
      </c>
      <c r="J1517" s="17">
        <f>IF(B1517="","","payment 2; "&amp;paid_brands!AB17&amp;"; "&amp;paid_brands!AD17&amp;"; invoice "&amp;paid_brands!AI17)</f>
        <v/>
      </c>
      <c r="K1517" t="inlineStr">
        <is>
          <t>brand paid (payment 2)</t>
        </is>
      </c>
    </row>
    <row r="1518">
      <c r="A1518" s="17">
        <f>IF(B1518="","",B1518+(10*1000+17)/10000000)</f>
        <v/>
      </c>
      <c r="B1518" s="23">
        <f>IF(AND(ISNUMBER(paid_brands!AY18),ISNUMBER(paid_brands!AX18),TRIM(paid_brands!AC18)&lt;&gt;"",OR(LEFT(paid_brands!AC18,6)&lt;&gt;"SAMPLE",Config!$B$19="Y")),paid_brands!AY18,"")</f>
        <v/>
      </c>
      <c r="C1518" s="17">
        <f>IF(B1518="","","brand")</f>
        <v/>
      </c>
      <c r="D1518" s="17">
        <f>IF(B1518="","",paid_brands!AC18&amp;"")</f>
        <v/>
      </c>
      <c r="E1518" s="17">
        <f>IF(B1518="","",IF(paid_brands!C18="","",paid_brands!C18&amp;""))</f>
        <v/>
      </c>
      <c r="F1518" s="17">
        <f>IF(B1518="","","paid")</f>
        <v/>
      </c>
      <c r="G1518" s="17">
        <f>IF(B1518="","",paid_brands!AX18)</f>
        <v/>
      </c>
      <c r="H1518" s="17">
        <f>IF(B1518="","","")</f>
        <v/>
      </c>
      <c r="I1518" s="17">
        <f>IF(B1518="","","")</f>
        <v/>
      </c>
      <c r="J1518" s="17">
        <f>IF(B1518="","","payment 2; "&amp;paid_brands!AB18&amp;"; "&amp;paid_brands!AD18&amp;"; invoice "&amp;paid_brands!AI18)</f>
        <v/>
      </c>
      <c r="K1518" t="inlineStr">
        <is>
          <t>brand paid (payment 2)</t>
        </is>
      </c>
    </row>
    <row r="1519">
      <c r="A1519" s="17">
        <f>IF(B1519="","",B1519+(10*1000+18)/10000000)</f>
        <v/>
      </c>
      <c r="B1519" s="23">
        <f>IF(AND(ISNUMBER(paid_brands!AY19),ISNUMBER(paid_brands!AX19),TRIM(paid_brands!AC19)&lt;&gt;"",OR(LEFT(paid_brands!AC19,6)&lt;&gt;"SAMPLE",Config!$B$19="Y")),paid_brands!AY19,"")</f>
        <v/>
      </c>
      <c r="C1519" s="17">
        <f>IF(B1519="","","brand")</f>
        <v/>
      </c>
      <c r="D1519" s="17">
        <f>IF(B1519="","",paid_brands!AC19&amp;"")</f>
        <v/>
      </c>
      <c r="E1519" s="17">
        <f>IF(B1519="","",IF(paid_brands!C19="","",paid_brands!C19&amp;""))</f>
        <v/>
      </c>
      <c r="F1519" s="17">
        <f>IF(B1519="","","paid")</f>
        <v/>
      </c>
      <c r="G1519" s="17">
        <f>IF(B1519="","",paid_brands!AX19)</f>
        <v/>
      </c>
      <c r="H1519" s="17">
        <f>IF(B1519="","","")</f>
        <v/>
      </c>
      <c r="I1519" s="17">
        <f>IF(B1519="","","")</f>
        <v/>
      </c>
      <c r="J1519" s="17">
        <f>IF(B1519="","","payment 2; "&amp;paid_brands!AB19&amp;"; "&amp;paid_brands!AD19&amp;"; invoice "&amp;paid_brands!AI19)</f>
        <v/>
      </c>
      <c r="K1519" t="inlineStr">
        <is>
          <t>brand paid (payment 2)</t>
        </is>
      </c>
    </row>
    <row r="1520">
      <c r="A1520" s="17">
        <f>IF(B1520="","",B1520+(10*1000+19)/10000000)</f>
        <v/>
      </c>
      <c r="B1520" s="23">
        <f>IF(AND(ISNUMBER(paid_brands!AY20),ISNUMBER(paid_brands!AX20),TRIM(paid_brands!AC20)&lt;&gt;"",OR(LEFT(paid_brands!AC20,6)&lt;&gt;"SAMPLE",Config!$B$19="Y")),paid_brands!AY20,"")</f>
        <v/>
      </c>
      <c r="C1520" s="17">
        <f>IF(B1520="","","brand")</f>
        <v/>
      </c>
      <c r="D1520" s="17">
        <f>IF(B1520="","",paid_brands!AC20&amp;"")</f>
        <v/>
      </c>
      <c r="E1520" s="17">
        <f>IF(B1520="","",IF(paid_brands!C20="","",paid_brands!C20&amp;""))</f>
        <v/>
      </c>
      <c r="F1520" s="17">
        <f>IF(B1520="","","paid")</f>
        <v/>
      </c>
      <c r="G1520" s="17">
        <f>IF(B1520="","",paid_brands!AX20)</f>
        <v/>
      </c>
      <c r="H1520" s="17">
        <f>IF(B1520="","","")</f>
        <v/>
      </c>
      <c r="I1520" s="17">
        <f>IF(B1520="","","")</f>
        <v/>
      </c>
      <c r="J1520" s="17">
        <f>IF(B1520="","","payment 2; "&amp;paid_brands!AB20&amp;"; "&amp;paid_brands!AD20&amp;"; invoice "&amp;paid_brands!AI20)</f>
        <v/>
      </c>
      <c r="K1520" t="inlineStr">
        <is>
          <t>brand paid (payment 2)</t>
        </is>
      </c>
    </row>
    <row r="1521">
      <c r="A1521" s="17">
        <f>IF(B1521="","",B1521+(10*1000+20)/10000000)</f>
        <v/>
      </c>
      <c r="B1521" s="23">
        <f>IF(AND(ISNUMBER(paid_brands!AY21),ISNUMBER(paid_brands!AX21),TRIM(paid_brands!AC21)&lt;&gt;"",OR(LEFT(paid_brands!AC21,6)&lt;&gt;"SAMPLE",Config!$B$19="Y")),paid_brands!AY21,"")</f>
        <v/>
      </c>
      <c r="C1521" s="17">
        <f>IF(B1521="","","brand")</f>
        <v/>
      </c>
      <c r="D1521" s="17">
        <f>IF(B1521="","",paid_brands!AC21&amp;"")</f>
        <v/>
      </c>
      <c r="E1521" s="17">
        <f>IF(B1521="","",IF(paid_brands!C21="","",paid_brands!C21&amp;""))</f>
        <v/>
      </c>
      <c r="F1521" s="17">
        <f>IF(B1521="","","paid")</f>
        <v/>
      </c>
      <c r="G1521" s="17">
        <f>IF(B1521="","",paid_brands!AX21)</f>
        <v/>
      </c>
      <c r="H1521" s="17">
        <f>IF(B1521="","","")</f>
        <v/>
      </c>
      <c r="I1521" s="17">
        <f>IF(B1521="","","")</f>
        <v/>
      </c>
      <c r="J1521" s="17">
        <f>IF(B1521="","","payment 2; "&amp;paid_brands!AB21&amp;"; "&amp;paid_brands!AD21&amp;"; invoice "&amp;paid_brands!AI21)</f>
        <v/>
      </c>
      <c r="K1521" t="inlineStr">
        <is>
          <t>brand paid (payment 2)</t>
        </is>
      </c>
    </row>
    <row r="1522">
      <c r="A1522" s="17">
        <f>IF(B1522="","",B1522+(10*1000+21)/10000000)</f>
        <v/>
      </c>
      <c r="B1522" s="23">
        <f>IF(AND(ISNUMBER(paid_brands!AY22),ISNUMBER(paid_brands!AX22),TRIM(paid_brands!AC22)&lt;&gt;"",OR(LEFT(paid_brands!AC22,6)&lt;&gt;"SAMPLE",Config!$B$19="Y")),paid_brands!AY22,"")</f>
        <v/>
      </c>
      <c r="C1522" s="17">
        <f>IF(B1522="","","brand")</f>
        <v/>
      </c>
      <c r="D1522" s="17">
        <f>IF(B1522="","",paid_brands!AC22&amp;"")</f>
        <v/>
      </c>
      <c r="E1522" s="17">
        <f>IF(B1522="","",IF(paid_brands!C22="","",paid_brands!C22&amp;""))</f>
        <v/>
      </c>
      <c r="F1522" s="17">
        <f>IF(B1522="","","paid")</f>
        <v/>
      </c>
      <c r="G1522" s="17">
        <f>IF(B1522="","",paid_brands!AX22)</f>
        <v/>
      </c>
      <c r="H1522" s="17">
        <f>IF(B1522="","","")</f>
        <v/>
      </c>
      <c r="I1522" s="17">
        <f>IF(B1522="","","")</f>
        <v/>
      </c>
      <c r="J1522" s="17">
        <f>IF(B1522="","","payment 2; "&amp;paid_brands!AB22&amp;"; "&amp;paid_brands!AD22&amp;"; invoice "&amp;paid_brands!AI22)</f>
        <v/>
      </c>
      <c r="K1522" t="inlineStr">
        <is>
          <t>brand paid (payment 2)</t>
        </is>
      </c>
    </row>
    <row r="1523">
      <c r="A1523" s="17">
        <f>IF(B1523="","",B1523+(10*1000+22)/10000000)</f>
        <v/>
      </c>
      <c r="B1523" s="23">
        <f>IF(AND(ISNUMBER(paid_brands!AY23),ISNUMBER(paid_brands!AX23),TRIM(paid_brands!AC23)&lt;&gt;"",OR(LEFT(paid_brands!AC23,6)&lt;&gt;"SAMPLE",Config!$B$19="Y")),paid_brands!AY23,"")</f>
        <v/>
      </c>
      <c r="C1523" s="17">
        <f>IF(B1523="","","brand")</f>
        <v/>
      </c>
      <c r="D1523" s="17">
        <f>IF(B1523="","",paid_brands!AC23&amp;"")</f>
        <v/>
      </c>
      <c r="E1523" s="17">
        <f>IF(B1523="","",IF(paid_brands!C23="","",paid_brands!C23&amp;""))</f>
        <v/>
      </c>
      <c r="F1523" s="17">
        <f>IF(B1523="","","paid")</f>
        <v/>
      </c>
      <c r="G1523" s="17">
        <f>IF(B1523="","",paid_brands!AX23)</f>
        <v/>
      </c>
      <c r="H1523" s="17">
        <f>IF(B1523="","","")</f>
        <v/>
      </c>
      <c r="I1523" s="17">
        <f>IF(B1523="","","")</f>
        <v/>
      </c>
      <c r="J1523" s="17">
        <f>IF(B1523="","","payment 2; "&amp;paid_brands!AB23&amp;"; "&amp;paid_brands!AD23&amp;"; invoice "&amp;paid_brands!AI23)</f>
        <v/>
      </c>
      <c r="K1523" t="inlineStr">
        <is>
          <t>brand paid (payment 2)</t>
        </is>
      </c>
    </row>
    <row r="1524">
      <c r="A1524" s="17">
        <f>IF(B1524="","",B1524+(10*1000+23)/10000000)</f>
        <v/>
      </c>
      <c r="B1524" s="23">
        <f>IF(AND(ISNUMBER(paid_brands!AY24),ISNUMBER(paid_brands!AX24),TRIM(paid_brands!AC24)&lt;&gt;"",OR(LEFT(paid_brands!AC24,6)&lt;&gt;"SAMPLE",Config!$B$19="Y")),paid_brands!AY24,"")</f>
        <v/>
      </c>
      <c r="C1524" s="17">
        <f>IF(B1524="","","brand")</f>
        <v/>
      </c>
      <c r="D1524" s="17">
        <f>IF(B1524="","",paid_brands!AC24&amp;"")</f>
        <v/>
      </c>
      <c r="E1524" s="17">
        <f>IF(B1524="","",IF(paid_brands!C24="","",paid_brands!C24&amp;""))</f>
        <v/>
      </c>
      <c r="F1524" s="17">
        <f>IF(B1524="","","paid")</f>
        <v/>
      </c>
      <c r="G1524" s="17">
        <f>IF(B1524="","",paid_brands!AX24)</f>
        <v/>
      </c>
      <c r="H1524" s="17">
        <f>IF(B1524="","","")</f>
        <v/>
      </c>
      <c r="I1524" s="17">
        <f>IF(B1524="","","")</f>
        <v/>
      </c>
      <c r="J1524" s="17">
        <f>IF(B1524="","","payment 2; "&amp;paid_brands!AB24&amp;"; "&amp;paid_brands!AD24&amp;"; invoice "&amp;paid_brands!AI24)</f>
        <v/>
      </c>
      <c r="K1524" t="inlineStr">
        <is>
          <t>brand paid (payment 2)</t>
        </is>
      </c>
    </row>
    <row r="1525">
      <c r="A1525" s="17">
        <f>IF(B1525="","",B1525+(10*1000+24)/10000000)</f>
        <v/>
      </c>
      <c r="B1525" s="23">
        <f>IF(AND(ISNUMBER(paid_brands!AY25),ISNUMBER(paid_brands!AX25),TRIM(paid_brands!AC25)&lt;&gt;"",OR(LEFT(paid_brands!AC25,6)&lt;&gt;"SAMPLE",Config!$B$19="Y")),paid_brands!AY25,"")</f>
        <v/>
      </c>
      <c r="C1525" s="17">
        <f>IF(B1525="","","brand")</f>
        <v/>
      </c>
      <c r="D1525" s="17">
        <f>IF(B1525="","",paid_brands!AC25&amp;"")</f>
        <v/>
      </c>
      <c r="E1525" s="17">
        <f>IF(B1525="","",IF(paid_brands!C25="","",paid_brands!C25&amp;""))</f>
        <v/>
      </c>
      <c r="F1525" s="17">
        <f>IF(B1525="","","paid")</f>
        <v/>
      </c>
      <c r="G1525" s="17">
        <f>IF(B1525="","",paid_brands!AX25)</f>
        <v/>
      </c>
      <c r="H1525" s="17">
        <f>IF(B1525="","","")</f>
        <v/>
      </c>
      <c r="I1525" s="17">
        <f>IF(B1525="","","")</f>
        <v/>
      </c>
      <c r="J1525" s="17">
        <f>IF(B1525="","","payment 2; "&amp;paid_brands!AB25&amp;"; "&amp;paid_brands!AD25&amp;"; invoice "&amp;paid_brands!AI25)</f>
        <v/>
      </c>
      <c r="K1525" t="inlineStr">
        <is>
          <t>brand paid (payment 2)</t>
        </is>
      </c>
    </row>
    <row r="1526">
      <c r="A1526" s="17">
        <f>IF(B1526="","",B1526+(10*1000+25)/10000000)</f>
        <v/>
      </c>
      <c r="B1526" s="23">
        <f>IF(AND(ISNUMBER(paid_brands!AY26),ISNUMBER(paid_brands!AX26),TRIM(paid_brands!AC26)&lt;&gt;"",OR(LEFT(paid_brands!AC26,6)&lt;&gt;"SAMPLE",Config!$B$19="Y")),paid_brands!AY26,"")</f>
        <v/>
      </c>
      <c r="C1526" s="17">
        <f>IF(B1526="","","brand")</f>
        <v/>
      </c>
      <c r="D1526" s="17">
        <f>IF(B1526="","",paid_brands!AC26&amp;"")</f>
        <v/>
      </c>
      <c r="E1526" s="17">
        <f>IF(B1526="","",IF(paid_brands!C26="","",paid_brands!C26&amp;""))</f>
        <v/>
      </c>
      <c r="F1526" s="17">
        <f>IF(B1526="","","paid")</f>
        <v/>
      </c>
      <c r="G1526" s="17">
        <f>IF(B1526="","",paid_brands!AX26)</f>
        <v/>
      </c>
      <c r="H1526" s="17">
        <f>IF(B1526="","","")</f>
        <v/>
      </c>
      <c r="I1526" s="17">
        <f>IF(B1526="","","")</f>
        <v/>
      </c>
      <c r="J1526" s="17">
        <f>IF(B1526="","","payment 2; "&amp;paid_brands!AB26&amp;"; "&amp;paid_brands!AD26&amp;"; invoice "&amp;paid_brands!AI26)</f>
        <v/>
      </c>
      <c r="K1526" t="inlineStr">
        <is>
          <t>brand paid (payment 2)</t>
        </is>
      </c>
    </row>
    <row r="1527">
      <c r="A1527" s="17">
        <f>IF(B1527="","",B1527+(10*1000+26)/10000000)</f>
        <v/>
      </c>
      <c r="B1527" s="23">
        <f>IF(AND(ISNUMBER(paid_brands!AY27),ISNUMBER(paid_brands!AX27),TRIM(paid_brands!AC27)&lt;&gt;"",OR(LEFT(paid_brands!AC27,6)&lt;&gt;"SAMPLE",Config!$B$19="Y")),paid_brands!AY27,"")</f>
        <v/>
      </c>
      <c r="C1527" s="17">
        <f>IF(B1527="","","brand")</f>
        <v/>
      </c>
      <c r="D1527" s="17">
        <f>IF(B1527="","",paid_brands!AC27&amp;"")</f>
        <v/>
      </c>
      <c r="E1527" s="17">
        <f>IF(B1527="","",IF(paid_brands!C27="","",paid_brands!C27&amp;""))</f>
        <v/>
      </c>
      <c r="F1527" s="17">
        <f>IF(B1527="","","paid")</f>
        <v/>
      </c>
      <c r="G1527" s="17">
        <f>IF(B1527="","",paid_brands!AX27)</f>
        <v/>
      </c>
      <c r="H1527" s="17">
        <f>IF(B1527="","","")</f>
        <v/>
      </c>
      <c r="I1527" s="17">
        <f>IF(B1527="","","")</f>
        <v/>
      </c>
      <c r="J1527" s="17">
        <f>IF(B1527="","","payment 2; "&amp;paid_brands!AB27&amp;"; "&amp;paid_brands!AD27&amp;"; invoice "&amp;paid_brands!AI27)</f>
        <v/>
      </c>
      <c r="K1527" t="inlineStr">
        <is>
          <t>brand paid (payment 2)</t>
        </is>
      </c>
    </row>
    <row r="1528">
      <c r="A1528" s="17">
        <f>IF(B1528="","",B1528+(10*1000+27)/10000000)</f>
        <v/>
      </c>
      <c r="B1528" s="23">
        <f>IF(AND(ISNUMBER(paid_brands!AY28),ISNUMBER(paid_brands!AX28),TRIM(paid_brands!AC28)&lt;&gt;"",OR(LEFT(paid_brands!AC28,6)&lt;&gt;"SAMPLE",Config!$B$19="Y")),paid_brands!AY28,"")</f>
        <v/>
      </c>
      <c r="C1528" s="17">
        <f>IF(B1528="","","brand")</f>
        <v/>
      </c>
      <c r="D1528" s="17">
        <f>IF(B1528="","",paid_brands!AC28&amp;"")</f>
        <v/>
      </c>
      <c r="E1528" s="17">
        <f>IF(B1528="","",IF(paid_brands!C28="","",paid_brands!C28&amp;""))</f>
        <v/>
      </c>
      <c r="F1528" s="17">
        <f>IF(B1528="","","paid")</f>
        <v/>
      </c>
      <c r="G1528" s="17">
        <f>IF(B1528="","",paid_brands!AX28)</f>
        <v/>
      </c>
      <c r="H1528" s="17">
        <f>IF(B1528="","","")</f>
        <v/>
      </c>
      <c r="I1528" s="17">
        <f>IF(B1528="","","")</f>
        <v/>
      </c>
      <c r="J1528" s="17">
        <f>IF(B1528="","","payment 2; "&amp;paid_brands!AB28&amp;"; "&amp;paid_brands!AD28&amp;"; invoice "&amp;paid_brands!AI28)</f>
        <v/>
      </c>
      <c r="K1528" t="inlineStr">
        <is>
          <t>brand paid (payment 2)</t>
        </is>
      </c>
    </row>
    <row r="1529">
      <c r="A1529" s="17">
        <f>IF(B1529="","",B1529+(10*1000+28)/10000000)</f>
        <v/>
      </c>
      <c r="B1529" s="23">
        <f>IF(AND(ISNUMBER(paid_brands!AY29),ISNUMBER(paid_brands!AX29),TRIM(paid_brands!AC29)&lt;&gt;"",OR(LEFT(paid_brands!AC29,6)&lt;&gt;"SAMPLE",Config!$B$19="Y")),paid_brands!AY29,"")</f>
        <v/>
      </c>
      <c r="C1529" s="17">
        <f>IF(B1529="","","brand")</f>
        <v/>
      </c>
      <c r="D1529" s="17">
        <f>IF(B1529="","",paid_brands!AC29&amp;"")</f>
        <v/>
      </c>
      <c r="E1529" s="17">
        <f>IF(B1529="","",IF(paid_brands!C29="","",paid_brands!C29&amp;""))</f>
        <v/>
      </c>
      <c r="F1529" s="17">
        <f>IF(B1529="","","paid")</f>
        <v/>
      </c>
      <c r="G1529" s="17">
        <f>IF(B1529="","",paid_brands!AX29)</f>
        <v/>
      </c>
      <c r="H1529" s="17">
        <f>IF(B1529="","","")</f>
        <v/>
      </c>
      <c r="I1529" s="17">
        <f>IF(B1529="","","")</f>
        <v/>
      </c>
      <c r="J1529" s="17">
        <f>IF(B1529="","","payment 2; "&amp;paid_brands!AB29&amp;"; "&amp;paid_brands!AD29&amp;"; invoice "&amp;paid_brands!AI29)</f>
        <v/>
      </c>
      <c r="K1529" t="inlineStr">
        <is>
          <t>brand paid (payment 2)</t>
        </is>
      </c>
    </row>
    <row r="1530">
      <c r="A1530" s="17">
        <f>IF(B1530="","",B1530+(10*1000+29)/10000000)</f>
        <v/>
      </c>
      <c r="B1530" s="23">
        <f>IF(AND(ISNUMBER(paid_brands!AY30),ISNUMBER(paid_brands!AX30),TRIM(paid_brands!AC30)&lt;&gt;"",OR(LEFT(paid_brands!AC30,6)&lt;&gt;"SAMPLE",Config!$B$19="Y")),paid_brands!AY30,"")</f>
        <v/>
      </c>
      <c r="C1530" s="17">
        <f>IF(B1530="","","brand")</f>
        <v/>
      </c>
      <c r="D1530" s="17">
        <f>IF(B1530="","",paid_brands!AC30&amp;"")</f>
        <v/>
      </c>
      <c r="E1530" s="17">
        <f>IF(B1530="","",IF(paid_brands!C30="","",paid_brands!C30&amp;""))</f>
        <v/>
      </c>
      <c r="F1530" s="17">
        <f>IF(B1530="","","paid")</f>
        <v/>
      </c>
      <c r="G1530" s="17">
        <f>IF(B1530="","",paid_brands!AX30)</f>
        <v/>
      </c>
      <c r="H1530" s="17">
        <f>IF(B1530="","","")</f>
        <v/>
      </c>
      <c r="I1530" s="17">
        <f>IF(B1530="","","")</f>
        <v/>
      </c>
      <c r="J1530" s="17">
        <f>IF(B1530="","","payment 2; "&amp;paid_brands!AB30&amp;"; "&amp;paid_brands!AD30&amp;"; invoice "&amp;paid_brands!AI30)</f>
        <v/>
      </c>
      <c r="K1530" t="inlineStr">
        <is>
          <t>brand paid (payment 2)</t>
        </is>
      </c>
    </row>
    <row r="1531">
      <c r="A1531" s="17">
        <f>IF(B1531="","",B1531+(10*1000+30)/10000000)</f>
        <v/>
      </c>
      <c r="B1531" s="23">
        <f>IF(AND(ISNUMBER(paid_brands!AY31),ISNUMBER(paid_brands!AX31),TRIM(paid_brands!AC31)&lt;&gt;"",OR(LEFT(paid_brands!AC31,6)&lt;&gt;"SAMPLE",Config!$B$19="Y")),paid_brands!AY31,"")</f>
        <v/>
      </c>
      <c r="C1531" s="17">
        <f>IF(B1531="","","brand")</f>
        <v/>
      </c>
      <c r="D1531" s="17">
        <f>IF(B1531="","",paid_brands!AC31&amp;"")</f>
        <v/>
      </c>
      <c r="E1531" s="17">
        <f>IF(B1531="","",IF(paid_brands!C31="","",paid_brands!C31&amp;""))</f>
        <v/>
      </c>
      <c r="F1531" s="17">
        <f>IF(B1531="","","paid")</f>
        <v/>
      </c>
      <c r="G1531" s="17">
        <f>IF(B1531="","",paid_brands!AX31)</f>
        <v/>
      </c>
      <c r="H1531" s="17">
        <f>IF(B1531="","","")</f>
        <v/>
      </c>
      <c r="I1531" s="17">
        <f>IF(B1531="","","")</f>
        <v/>
      </c>
      <c r="J1531" s="17">
        <f>IF(B1531="","","payment 2; "&amp;paid_brands!AB31&amp;"; "&amp;paid_brands!AD31&amp;"; invoice "&amp;paid_brands!AI31)</f>
        <v/>
      </c>
      <c r="K1531" t="inlineStr">
        <is>
          <t>brand paid (payment 2)</t>
        </is>
      </c>
    </row>
    <row r="1532">
      <c r="A1532" s="17">
        <f>IF(B1532="","",B1532+(10*1000+31)/10000000)</f>
        <v/>
      </c>
      <c r="B1532" s="23">
        <f>IF(AND(ISNUMBER(paid_brands!AY32),ISNUMBER(paid_brands!AX32),TRIM(paid_brands!AC32)&lt;&gt;"",OR(LEFT(paid_brands!AC32,6)&lt;&gt;"SAMPLE",Config!$B$19="Y")),paid_brands!AY32,"")</f>
        <v/>
      </c>
      <c r="C1532" s="17">
        <f>IF(B1532="","","brand")</f>
        <v/>
      </c>
      <c r="D1532" s="17">
        <f>IF(B1532="","",paid_brands!AC32&amp;"")</f>
        <v/>
      </c>
      <c r="E1532" s="17">
        <f>IF(B1532="","",IF(paid_brands!C32="","",paid_brands!C32&amp;""))</f>
        <v/>
      </c>
      <c r="F1532" s="17">
        <f>IF(B1532="","","paid")</f>
        <v/>
      </c>
      <c r="G1532" s="17">
        <f>IF(B1532="","",paid_brands!AX32)</f>
        <v/>
      </c>
      <c r="H1532" s="17">
        <f>IF(B1532="","","")</f>
        <v/>
      </c>
      <c r="I1532" s="17">
        <f>IF(B1532="","","")</f>
        <v/>
      </c>
      <c r="J1532" s="17">
        <f>IF(B1532="","","payment 2; "&amp;paid_brands!AB32&amp;"; "&amp;paid_brands!AD32&amp;"; invoice "&amp;paid_brands!AI32)</f>
        <v/>
      </c>
      <c r="K1532" t="inlineStr">
        <is>
          <t>brand paid (payment 2)</t>
        </is>
      </c>
    </row>
    <row r="1533">
      <c r="A1533" s="17">
        <f>IF(B1533="","",B1533+(10*1000+32)/10000000)</f>
        <v/>
      </c>
      <c r="B1533" s="23">
        <f>IF(AND(ISNUMBER(paid_brands!AY33),ISNUMBER(paid_brands!AX33),TRIM(paid_brands!AC33)&lt;&gt;"",OR(LEFT(paid_brands!AC33,6)&lt;&gt;"SAMPLE",Config!$B$19="Y")),paid_brands!AY33,"")</f>
        <v/>
      </c>
      <c r="C1533" s="17">
        <f>IF(B1533="","","brand")</f>
        <v/>
      </c>
      <c r="D1533" s="17">
        <f>IF(B1533="","",paid_brands!AC33&amp;"")</f>
        <v/>
      </c>
      <c r="E1533" s="17">
        <f>IF(B1533="","",IF(paid_brands!C33="","",paid_brands!C33&amp;""))</f>
        <v/>
      </c>
      <c r="F1533" s="17">
        <f>IF(B1533="","","paid")</f>
        <v/>
      </c>
      <c r="G1533" s="17">
        <f>IF(B1533="","",paid_brands!AX33)</f>
        <v/>
      </c>
      <c r="H1533" s="17">
        <f>IF(B1533="","","")</f>
        <v/>
      </c>
      <c r="I1533" s="17">
        <f>IF(B1533="","","")</f>
        <v/>
      </c>
      <c r="J1533" s="17">
        <f>IF(B1533="","","payment 2; "&amp;paid_brands!AB33&amp;"; "&amp;paid_brands!AD33&amp;"; invoice "&amp;paid_brands!AI33)</f>
        <v/>
      </c>
      <c r="K1533" t="inlineStr">
        <is>
          <t>brand paid (payment 2)</t>
        </is>
      </c>
    </row>
    <row r="1534">
      <c r="A1534" s="17">
        <f>IF(B1534="","",B1534+(10*1000+33)/10000000)</f>
        <v/>
      </c>
      <c r="B1534" s="23">
        <f>IF(AND(ISNUMBER(paid_brands!AY34),ISNUMBER(paid_brands!AX34),TRIM(paid_brands!AC34)&lt;&gt;"",OR(LEFT(paid_brands!AC34,6)&lt;&gt;"SAMPLE",Config!$B$19="Y")),paid_brands!AY34,"")</f>
        <v/>
      </c>
      <c r="C1534" s="17">
        <f>IF(B1534="","","brand")</f>
        <v/>
      </c>
      <c r="D1534" s="17">
        <f>IF(B1534="","",paid_brands!AC34&amp;"")</f>
        <v/>
      </c>
      <c r="E1534" s="17">
        <f>IF(B1534="","",IF(paid_brands!C34="","",paid_brands!C34&amp;""))</f>
        <v/>
      </c>
      <c r="F1534" s="17">
        <f>IF(B1534="","","paid")</f>
        <v/>
      </c>
      <c r="G1534" s="17">
        <f>IF(B1534="","",paid_brands!AX34)</f>
        <v/>
      </c>
      <c r="H1534" s="17">
        <f>IF(B1534="","","")</f>
        <v/>
      </c>
      <c r="I1534" s="17">
        <f>IF(B1534="","","")</f>
        <v/>
      </c>
      <c r="J1534" s="17">
        <f>IF(B1534="","","payment 2; "&amp;paid_brands!AB34&amp;"; "&amp;paid_brands!AD34&amp;"; invoice "&amp;paid_brands!AI34)</f>
        <v/>
      </c>
      <c r="K1534" t="inlineStr">
        <is>
          <t>brand paid (payment 2)</t>
        </is>
      </c>
    </row>
    <row r="1535">
      <c r="A1535" s="17">
        <f>IF(B1535="","",B1535+(10*1000+34)/10000000)</f>
        <v/>
      </c>
      <c r="B1535" s="23">
        <f>IF(AND(ISNUMBER(paid_brands!AY35),ISNUMBER(paid_brands!AX35),TRIM(paid_brands!AC35)&lt;&gt;"",OR(LEFT(paid_brands!AC35,6)&lt;&gt;"SAMPLE",Config!$B$19="Y")),paid_brands!AY35,"")</f>
        <v/>
      </c>
      <c r="C1535" s="17">
        <f>IF(B1535="","","brand")</f>
        <v/>
      </c>
      <c r="D1535" s="17">
        <f>IF(B1535="","",paid_brands!AC35&amp;"")</f>
        <v/>
      </c>
      <c r="E1535" s="17">
        <f>IF(B1535="","",IF(paid_brands!C35="","",paid_brands!C35&amp;""))</f>
        <v/>
      </c>
      <c r="F1535" s="17">
        <f>IF(B1535="","","paid")</f>
        <v/>
      </c>
      <c r="G1535" s="17">
        <f>IF(B1535="","",paid_brands!AX35)</f>
        <v/>
      </c>
      <c r="H1535" s="17">
        <f>IF(B1535="","","")</f>
        <v/>
      </c>
      <c r="I1535" s="17">
        <f>IF(B1535="","","")</f>
        <v/>
      </c>
      <c r="J1535" s="17">
        <f>IF(B1535="","","payment 2; "&amp;paid_brands!AB35&amp;"; "&amp;paid_brands!AD35&amp;"; invoice "&amp;paid_brands!AI35)</f>
        <v/>
      </c>
      <c r="K1535" t="inlineStr">
        <is>
          <t>brand paid (payment 2)</t>
        </is>
      </c>
    </row>
    <row r="1536">
      <c r="A1536" s="17">
        <f>IF(B1536="","",B1536+(10*1000+35)/10000000)</f>
        <v/>
      </c>
      <c r="B1536" s="23">
        <f>IF(AND(ISNUMBER(paid_brands!AY36),ISNUMBER(paid_brands!AX36),TRIM(paid_brands!AC36)&lt;&gt;"",OR(LEFT(paid_brands!AC36,6)&lt;&gt;"SAMPLE",Config!$B$19="Y")),paid_brands!AY36,"")</f>
        <v/>
      </c>
      <c r="C1536" s="17">
        <f>IF(B1536="","","brand")</f>
        <v/>
      </c>
      <c r="D1536" s="17">
        <f>IF(B1536="","",paid_brands!AC36&amp;"")</f>
        <v/>
      </c>
      <c r="E1536" s="17">
        <f>IF(B1536="","",IF(paid_brands!C36="","",paid_brands!C36&amp;""))</f>
        <v/>
      </c>
      <c r="F1536" s="17">
        <f>IF(B1536="","","paid")</f>
        <v/>
      </c>
      <c r="G1536" s="17">
        <f>IF(B1536="","",paid_brands!AX36)</f>
        <v/>
      </c>
      <c r="H1536" s="17">
        <f>IF(B1536="","","")</f>
        <v/>
      </c>
      <c r="I1536" s="17">
        <f>IF(B1536="","","")</f>
        <v/>
      </c>
      <c r="J1536" s="17">
        <f>IF(B1536="","","payment 2; "&amp;paid_brands!AB36&amp;"; "&amp;paid_brands!AD36&amp;"; invoice "&amp;paid_brands!AI36)</f>
        <v/>
      </c>
      <c r="K1536" t="inlineStr">
        <is>
          <t>brand paid (payment 2)</t>
        </is>
      </c>
    </row>
    <row r="1537">
      <c r="A1537" s="17">
        <f>IF(B1537="","",B1537+(10*1000+36)/10000000)</f>
        <v/>
      </c>
      <c r="B1537" s="23">
        <f>IF(AND(ISNUMBER(paid_brands!AY37),ISNUMBER(paid_brands!AX37),TRIM(paid_brands!AC37)&lt;&gt;"",OR(LEFT(paid_brands!AC37,6)&lt;&gt;"SAMPLE",Config!$B$19="Y")),paid_brands!AY37,"")</f>
        <v/>
      </c>
      <c r="C1537" s="17">
        <f>IF(B1537="","","brand")</f>
        <v/>
      </c>
      <c r="D1537" s="17">
        <f>IF(B1537="","",paid_brands!AC37&amp;"")</f>
        <v/>
      </c>
      <c r="E1537" s="17">
        <f>IF(B1537="","",IF(paid_brands!C37="","",paid_brands!C37&amp;""))</f>
        <v/>
      </c>
      <c r="F1537" s="17">
        <f>IF(B1537="","","paid")</f>
        <v/>
      </c>
      <c r="G1537" s="17">
        <f>IF(B1537="","",paid_brands!AX37)</f>
        <v/>
      </c>
      <c r="H1537" s="17">
        <f>IF(B1537="","","")</f>
        <v/>
      </c>
      <c r="I1537" s="17">
        <f>IF(B1537="","","")</f>
        <v/>
      </c>
      <c r="J1537" s="17">
        <f>IF(B1537="","","payment 2; "&amp;paid_brands!AB37&amp;"; "&amp;paid_brands!AD37&amp;"; invoice "&amp;paid_brands!AI37)</f>
        <v/>
      </c>
      <c r="K1537" t="inlineStr">
        <is>
          <t>brand paid (payment 2)</t>
        </is>
      </c>
    </row>
    <row r="1538">
      <c r="A1538" s="17">
        <f>IF(B1538="","",B1538+(10*1000+37)/10000000)</f>
        <v/>
      </c>
      <c r="B1538" s="23">
        <f>IF(AND(ISNUMBER(paid_brands!AY38),ISNUMBER(paid_brands!AX38),TRIM(paid_brands!AC38)&lt;&gt;"",OR(LEFT(paid_brands!AC38,6)&lt;&gt;"SAMPLE",Config!$B$19="Y")),paid_brands!AY38,"")</f>
        <v/>
      </c>
      <c r="C1538" s="17">
        <f>IF(B1538="","","brand")</f>
        <v/>
      </c>
      <c r="D1538" s="17">
        <f>IF(B1538="","",paid_brands!AC38&amp;"")</f>
        <v/>
      </c>
      <c r="E1538" s="17">
        <f>IF(B1538="","",IF(paid_brands!C38="","",paid_brands!C38&amp;""))</f>
        <v/>
      </c>
      <c r="F1538" s="17">
        <f>IF(B1538="","","paid")</f>
        <v/>
      </c>
      <c r="G1538" s="17">
        <f>IF(B1538="","",paid_brands!AX38)</f>
        <v/>
      </c>
      <c r="H1538" s="17">
        <f>IF(B1538="","","")</f>
        <v/>
      </c>
      <c r="I1538" s="17">
        <f>IF(B1538="","","")</f>
        <v/>
      </c>
      <c r="J1538" s="17">
        <f>IF(B1538="","","payment 2; "&amp;paid_brands!AB38&amp;"; "&amp;paid_brands!AD38&amp;"; invoice "&amp;paid_brands!AI38)</f>
        <v/>
      </c>
      <c r="K1538" t="inlineStr">
        <is>
          <t>brand paid (payment 2)</t>
        </is>
      </c>
    </row>
    <row r="1539">
      <c r="A1539" s="17">
        <f>IF(B1539="","",B1539+(10*1000+38)/10000000)</f>
        <v/>
      </c>
      <c r="B1539" s="23">
        <f>IF(AND(ISNUMBER(paid_brands!AY39),ISNUMBER(paid_brands!AX39),TRIM(paid_brands!AC39)&lt;&gt;"",OR(LEFT(paid_brands!AC39,6)&lt;&gt;"SAMPLE",Config!$B$19="Y")),paid_brands!AY39,"")</f>
        <v/>
      </c>
      <c r="C1539" s="17">
        <f>IF(B1539="","","brand")</f>
        <v/>
      </c>
      <c r="D1539" s="17">
        <f>IF(B1539="","",paid_brands!AC39&amp;"")</f>
        <v/>
      </c>
      <c r="E1539" s="17">
        <f>IF(B1539="","",IF(paid_brands!C39="","",paid_brands!C39&amp;""))</f>
        <v/>
      </c>
      <c r="F1539" s="17">
        <f>IF(B1539="","","paid")</f>
        <v/>
      </c>
      <c r="G1539" s="17">
        <f>IF(B1539="","",paid_brands!AX39)</f>
        <v/>
      </c>
      <c r="H1539" s="17">
        <f>IF(B1539="","","")</f>
        <v/>
      </c>
      <c r="I1539" s="17">
        <f>IF(B1539="","","")</f>
        <v/>
      </c>
      <c r="J1539" s="17">
        <f>IF(B1539="","","payment 2; "&amp;paid_brands!AB39&amp;"; "&amp;paid_brands!AD39&amp;"; invoice "&amp;paid_brands!AI39)</f>
        <v/>
      </c>
      <c r="K1539" t="inlineStr">
        <is>
          <t>brand paid (payment 2)</t>
        </is>
      </c>
    </row>
    <row r="1540">
      <c r="A1540" s="17">
        <f>IF(B1540="","",B1540+(10*1000+39)/10000000)</f>
        <v/>
      </c>
      <c r="B1540" s="23">
        <f>IF(AND(ISNUMBER(paid_brands!AY40),ISNUMBER(paid_brands!AX40),TRIM(paid_brands!AC40)&lt;&gt;"",OR(LEFT(paid_brands!AC40,6)&lt;&gt;"SAMPLE",Config!$B$19="Y")),paid_brands!AY40,"")</f>
        <v/>
      </c>
      <c r="C1540" s="17">
        <f>IF(B1540="","","brand")</f>
        <v/>
      </c>
      <c r="D1540" s="17">
        <f>IF(B1540="","",paid_brands!AC40&amp;"")</f>
        <v/>
      </c>
      <c r="E1540" s="17">
        <f>IF(B1540="","",IF(paid_brands!C40="","",paid_brands!C40&amp;""))</f>
        <v/>
      </c>
      <c r="F1540" s="17">
        <f>IF(B1540="","","paid")</f>
        <v/>
      </c>
      <c r="G1540" s="17">
        <f>IF(B1540="","",paid_brands!AX40)</f>
        <v/>
      </c>
      <c r="H1540" s="17">
        <f>IF(B1540="","","")</f>
        <v/>
      </c>
      <c r="I1540" s="17">
        <f>IF(B1540="","","")</f>
        <v/>
      </c>
      <c r="J1540" s="17">
        <f>IF(B1540="","","payment 2; "&amp;paid_brands!AB40&amp;"; "&amp;paid_brands!AD40&amp;"; invoice "&amp;paid_brands!AI40)</f>
        <v/>
      </c>
      <c r="K1540" t="inlineStr">
        <is>
          <t>brand paid (payment 2)</t>
        </is>
      </c>
    </row>
    <row r="1541">
      <c r="A1541" s="17">
        <f>IF(B1541="","",B1541+(10*1000+40)/10000000)</f>
        <v/>
      </c>
      <c r="B1541" s="23">
        <f>IF(AND(ISNUMBER(paid_brands!AY41),ISNUMBER(paid_brands!AX41),TRIM(paid_brands!AC41)&lt;&gt;"",OR(LEFT(paid_brands!AC41,6)&lt;&gt;"SAMPLE",Config!$B$19="Y")),paid_brands!AY41,"")</f>
        <v/>
      </c>
      <c r="C1541" s="17">
        <f>IF(B1541="","","brand")</f>
        <v/>
      </c>
      <c r="D1541" s="17">
        <f>IF(B1541="","",paid_brands!AC41&amp;"")</f>
        <v/>
      </c>
      <c r="E1541" s="17">
        <f>IF(B1541="","",IF(paid_brands!C41="","",paid_brands!C41&amp;""))</f>
        <v/>
      </c>
      <c r="F1541" s="17">
        <f>IF(B1541="","","paid")</f>
        <v/>
      </c>
      <c r="G1541" s="17">
        <f>IF(B1541="","",paid_brands!AX41)</f>
        <v/>
      </c>
      <c r="H1541" s="17">
        <f>IF(B1541="","","")</f>
        <v/>
      </c>
      <c r="I1541" s="17">
        <f>IF(B1541="","","")</f>
        <v/>
      </c>
      <c r="J1541" s="17">
        <f>IF(B1541="","","payment 2; "&amp;paid_brands!AB41&amp;"; "&amp;paid_brands!AD41&amp;"; invoice "&amp;paid_brands!AI41)</f>
        <v/>
      </c>
      <c r="K1541" t="inlineStr">
        <is>
          <t>brand paid (payment 2)</t>
        </is>
      </c>
    </row>
    <row r="1542">
      <c r="A1542" s="17">
        <f>IF(B1542="","",B1542+(10*1000+41)/10000000)</f>
        <v/>
      </c>
      <c r="B1542" s="23">
        <f>IF(AND(ISNUMBER(paid_brands!AY42),ISNUMBER(paid_brands!AX42),TRIM(paid_brands!AC42)&lt;&gt;"",OR(LEFT(paid_brands!AC42,6)&lt;&gt;"SAMPLE",Config!$B$19="Y")),paid_brands!AY42,"")</f>
        <v/>
      </c>
      <c r="C1542" s="17">
        <f>IF(B1542="","","brand")</f>
        <v/>
      </c>
      <c r="D1542" s="17">
        <f>IF(B1542="","",paid_brands!AC42&amp;"")</f>
        <v/>
      </c>
      <c r="E1542" s="17">
        <f>IF(B1542="","",IF(paid_brands!C42="","",paid_brands!C42&amp;""))</f>
        <v/>
      </c>
      <c r="F1542" s="17">
        <f>IF(B1542="","","paid")</f>
        <v/>
      </c>
      <c r="G1542" s="17">
        <f>IF(B1542="","",paid_brands!AX42)</f>
        <v/>
      </c>
      <c r="H1542" s="17">
        <f>IF(B1542="","","")</f>
        <v/>
      </c>
      <c r="I1542" s="17">
        <f>IF(B1542="","","")</f>
        <v/>
      </c>
      <c r="J1542" s="17">
        <f>IF(B1542="","","payment 2; "&amp;paid_brands!AB42&amp;"; "&amp;paid_brands!AD42&amp;"; invoice "&amp;paid_brands!AI42)</f>
        <v/>
      </c>
      <c r="K1542" t="inlineStr">
        <is>
          <t>brand paid (payment 2)</t>
        </is>
      </c>
    </row>
    <row r="1543">
      <c r="A1543" s="17">
        <f>IF(B1543="","",B1543+(10*1000+42)/10000000)</f>
        <v/>
      </c>
      <c r="B1543" s="23">
        <f>IF(AND(ISNUMBER(paid_brands!AY43),ISNUMBER(paid_brands!AX43),TRIM(paid_brands!AC43)&lt;&gt;"",OR(LEFT(paid_brands!AC43,6)&lt;&gt;"SAMPLE",Config!$B$19="Y")),paid_brands!AY43,"")</f>
        <v/>
      </c>
      <c r="C1543" s="17">
        <f>IF(B1543="","","brand")</f>
        <v/>
      </c>
      <c r="D1543" s="17">
        <f>IF(B1543="","",paid_brands!AC43&amp;"")</f>
        <v/>
      </c>
      <c r="E1543" s="17">
        <f>IF(B1543="","",IF(paid_brands!C43="","",paid_brands!C43&amp;""))</f>
        <v/>
      </c>
      <c r="F1543" s="17">
        <f>IF(B1543="","","paid")</f>
        <v/>
      </c>
      <c r="G1543" s="17">
        <f>IF(B1543="","",paid_brands!AX43)</f>
        <v/>
      </c>
      <c r="H1543" s="17">
        <f>IF(B1543="","","")</f>
        <v/>
      </c>
      <c r="I1543" s="17">
        <f>IF(B1543="","","")</f>
        <v/>
      </c>
      <c r="J1543" s="17">
        <f>IF(B1543="","","payment 2; "&amp;paid_brands!AB43&amp;"; "&amp;paid_brands!AD43&amp;"; invoice "&amp;paid_brands!AI43)</f>
        <v/>
      </c>
      <c r="K1543" t="inlineStr">
        <is>
          <t>brand paid (payment 2)</t>
        </is>
      </c>
    </row>
    <row r="1544">
      <c r="A1544" s="17">
        <f>IF(B1544="","",B1544+(10*1000+43)/10000000)</f>
        <v/>
      </c>
      <c r="B1544" s="23">
        <f>IF(AND(ISNUMBER(paid_brands!AY44),ISNUMBER(paid_brands!AX44),TRIM(paid_brands!AC44)&lt;&gt;"",OR(LEFT(paid_brands!AC44,6)&lt;&gt;"SAMPLE",Config!$B$19="Y")),paid_brands!AY44,"")</f>
        <v/>
      </c>
      <c r="C1544" s="17">
        <f>IF(B1544="","","brand")</f>
        <v/>
      </c>
      <c r="D1544" s="17">
        <f>IF(B1544="","",paid_brands!AC44&amp;"")</f>
        <v/>
      </c>
      <c r="E1544" s="17">
        <f>IF(B1544="","",IF(paid_brands!C44="","",paid_brands!C44&amp;""))</f>
        <v/>
      </c>
      <c r="F1544" s="17">
        <f>IF(B1544="","","paid")</f>
        <v/>
      </c>
      <c r="G1544" s="17">
        <f>IF(B1544="","",paid_brands!AX44)</f>
        <v/>
      </c>
      <c r="H1544" s="17">
        <f>IF(B1544="","","")</f>
        <v/>
      </c>
      <c r="I1544" s="17">
        <f>IF(B1544="","","")</f>
        <v/>
      </c>
      <c r="J1544" s="17">
        <f>IF(B1544="","","payment 2; "&amp;paid_brands!AB44&amp;"; "&amp;paid_brands!AD44&amp;"; invoice "&amp;paid_brands!AI44)</f>
        <v/>
      </c>
      <c r="K1544" t="inlineStr">
        <is>
          <t>brand paid (payment 2)</t>
        </is>
      </c>
    </row>
    <row r="1545">
      <c r="A1545" s="17">
        <f>IF(B1545="","",B1545+(10*1000+44)/10000000)</f>
        <v/>
      </c>
      <c r="B1545" s="23">
        <f>IF(AND(ISNUMBER(paid_brands!AY45),ISNUMBER(paid_brands!AX45),TRIM(paid_brands!AC45)&lt;&gt;"",OR(LEFT(paid_brands!AC45,6)&lt;&gt;"SAMPLE",Config!$B$19="Y")),paid_brands!AY45,"")</f>
        <v/>
      </c>
      <c r="C1545" s="17">
        <f>IF(B1545="","","brand")</f>
        <v/>
      </c>
      <c r="D1545" s="17">
        <f>IF(B1545="","",paid_brands!AC45&amp;"")</f>
        <v/>
      </c>
      <c r="E1545" s="17">
        <f>IF(B1545="","",IF(paid_brands!C45="","",paid_brands!C45&amp;""))</f>
        <v/>
      </c>
      <c r="F1545" s="17">
        <f>IF(B1545="","","paid")</f>
        <v/>
      </c>
      <c r="G1545" s="17">
        <f>IF(B1545="","",paid_brands!AX45)</f>
        <v/>
      </c>
      <c r="H1545" s="17">
        <f>IF(B1545="","","")</f>
        <v/>
      </c>
      <c r="I1545" s="17">
        <f>IF(B1545="","","")</f>
        <v/>
      </c>
      <c r="J1545" s="17">
        <f>IF(B1545="","","payment 2; "&amp;paid_brands!AB45&amp;"; "&amp;paid_brands!AD45&amp;"; invoice "&amp;paid_brands!AI45)</f>
        <v/>
      </c>
      <c r="K1545" t="inlineStr">
        <is>
          <t>brand paid (payment 2)</t>
        </is>
      </c>
    </row>
    <row r="1546">
      <c r="A1546" s="17">
        <f>IF(B1546="","",B1546+(10*1000+45)/10000000)</f>
        <v/>
      </c>
      <c r="B1546" s="23">
        <f>IF(AND(ISNUMBER(paid_brands!AY46),ISNUMBER(paid_brands!AX46),TRIM(paid_brands!AC46)&lt;&gt;"",OR(LEFT(paid_brands!AC46,6)&lt;&gt;"SAMPLE",Config!$B$19="Y")),paid_brands!AY46,"")</f>
        <v/>
      </c>
      <c r="C1546" s="17">
        <f>IF(B1546="","","brand")</f>
        <v/>
      </c>
      <c r="D1546" s="17">
        <f>IF(B1546="","",paid_brands!AC46&amp;"")</f>
        <v/>
      </c>
      <c r="E1546" s="17">
        <f>IF(B1546="","",IF(paid_brands!C46="","",paid_brands!C46&amp;""))</f>
        <v/>
      </c>
      <c r="F1546" s="17">
        <f>IF(B1546="","","paid")</f>
        <v/>
      </c>
      <c r="G1546" s="17">
        <f>IF(B1546="","",paid_brands!AX46)</f>
        <v/>
      </c>
      <c r="H1546" s="17">
        <f>IF(B1546="","","")</f>
        <v/>
      </c>
      <c r="I1546" s="17">
        <f>IF(B1546="","","")</f>
        <v/>
      </c>
      <c r="J1546" s="17">
        <f>IF(B1546="","","payment 2; "&amp;paid_brands!AB46&amp;"; "&amp;paid_brands!AD46&amp;"; invoice "&amp;paid_brands!AI46)</f>
        <v/>
      </c>
      <c r="K1546" t="inlineStr">
        <is>
          <t>brand paid (payment 2)</t>
        </is>
      </c>
    </row>
    <row r="1547">
      <c r="A1547" s="17">
        <f>IF(B1547="","",B1547+(10*1000+46)/10000000)</f>
        <v/>
      </c>
      <c r="B1547" s="23">
        <f>IF(AND(ISNUMBER(paid_brands!AY47),ISNUMBER(paid_brands!AX47),TRIM(paid_brands!AC47)&lt;&gt;"",OR(LEFT(paid_brands!AC47,6)&lt;&gt;"SAMPLE",Config!$B$19="Y")),paid_brands!AY47,"")</f>
        <v/>
      </c>
      <c r="C1547" s="17">
        <f>IF(B1547="","","brand")</f>
        <v/>
      </c>
      <c r="D1547" s="17">
        <f>IF(B1547="","",paid_brands!AC47&amp;"")</f>
        <v/>
      </c>
      <c r="E1547" s="17">
        <f>IF(B1547="","",IF(paid_brands!C47="","",paid_brands!C47&amp;""))</f>
        <v/>
      </c>
      <c r="F1547" s="17">
        <f>IF(B1547="","","paid")</f>
        <v/>
      </c>
      <c r="G1547" s="17">
        <f>IF(B1547="","",paid_brands!AX47)</f>
        <v/>
      </c>
      <c r="H1547" s="17">
        <f>IF(B1547="","","")</f>
        <v/>
      </c>
      <c r="I1547" s="17">
        <f>IF(B1547="","","")</f>
        <v/>
      </c>
      <c r="J1547" s="17">
        <f>IF(B1547="","","payment 2; "&amp;paid_brands!AB47&amp;"; "&amp;paid_brands!AD47&amp;"; invoice "&amp;paid_brands!AI47)</f>
        <v/>
      </c>
      <c r="K1547" t="inlineStr">
        <is>
          <t>brand paid (payment 2)</t>
        </is>
      </c>
    </row>
    <row r="1548">
      <c r="A1548" s="17">
        <f>IF(B1548="","",B1548+(10*1000+47)/10000000)</f>
        <v/>
      </c>
      <c r="B1548" s="23">
        <f>IF(AND(ISNUMBER(paid_brands!AY48),ISNUMBER(paid_brands!AX48),TRIM(paid_brands!AC48)&lt;&gt;"",OR(LEFT(paid_brands!AC48,6)&lt;&gt;"SAMPLE",Config!$B$19="Y")),paid_brands!AY48,"")</f>
        <v/>
      </c>
      <c r="C1548" s="17">
        <f>IF(B1548="","","brand")</f>
        <v/>
      </c>
      <c r="D1548" s="17">
        <f>IF(B1548="","",paid_brands!AC48&amp;"")</f>
        <v/>
      </c>
      <c r="E1548" s="17">
        <f>IF(B1548="","",IF(paid_brands!C48="","",paid_brands!C48&amp;""))</f>
        <v/>
      </c>
      <c r="F1548" s="17">
        <f>IF(B1548="","","paid")</f>
        <v/>
      </c>
      <c r="G1548" s="17">
        <f>IF(B1548="","",paid_brands!AX48)</f>
        <v/>
      </c>
      <c r="H1548" s="17">
        <f>IF(B1548="","","")</f>
        <v/>
      </c>
      <c r="I1548" s="17">
        <f>IF(B1548="","","")</f>
        <v/>
      </c>
      <c r="J1548" s="17">
        <f>IF(B1548="","","payment 2; "&amp;paid_brands!AB48&amp;"; "&amp;paid_brands!AD48&amp;"; invoice "&amp;paid_brands!AI48)</f>
        <v/>
      </c>
      <c r="K1548" t="inlineStr">
        <is>
          <t>brand paid (payment 2)</t>
        </is>
      </c>
    </row>
    <row r="1549">
      <c r="A1549" s="17">
        <f>IF(B1549="","",B1549+(10*1000+48)/10000000)</f>
        <v/>
      </c>
      <c r="B1549" s="23">
        <f>IF(AND(ISNUMBER(paid_brands!AY49),ISNUMBER(paid_brands!AX49),TRIM(paid_brands!AC49)&lt;&gt;"",OR(LEFT(paid_brands!AC49,6)&lt;&gt;"SAMPLE",Config!$B$19="Y")),paid_brands!AY49,"")</f>
        <v/>
      </c>
      <c r="C1549" s="17">
        <f>IF(B1549="","","brand")</f>
        <v/>
      </c>
      <c r="D1549" s="17">
        <f>IF(B1549="","",paid_brands!AC49&amp;"")</f>
        <v/>
      </c>
      <c r="E1549" s="17">
        <f>IF(B1549="","",IF(paid_brands!C49="","",paid_brands!C49&amp;""))</f>
        <v/>
      </c>
      <c r="F1549" s="17">
        <f>IF(B1549="","","paid")</f>
        <v/>
      </c>
      <c r="G1549" s="17">
        <f>IF(B1549="","",paid_brands!AX49)</f>
        <v/>
      </c>
      <c r="H1549" s="17">
        <f>IF(B1549="","","")</f>
        <v/>
      </c>
      <c r="I1549" s="17">
        <f>IF(B1549="","","")</f>
        <v/>
      </c>
      <c r="J1549" s="17">
        <f>IF(B1549="","","payment 2; "&amp;paid_brands!AB49&amp;"; "&amp;paid_brands!AD49&amp;"; invoice "&amp;paid_brands!AI49)</f>
        <v/>
      </c>
      <c r="K1549" t="inlineStr">
        <is>
          <t>brand paid (payment 2)</t>
        </is>
      </c>
    </row>
    <row r="1550">
      <c r="A1550" s="17">
        <f>IF(B1550="","",B1550+(10*1000+49)/10000000)</f>
        <v/>
      </c>
      <c r="B1550" s="23">
        <f>IF(AND(ISNUMBER(paid_brands!AY50),ISNUMBER(paid_brands!AX50),TRIM(paid_brands!AC50)&lt;&gt;"",OR(LEFT(paid_brands!AC50,6)&lt;&gt;"SAMPLE",Config!$B$19="Y")),paid_brands!AY50,"")</f>
        <v/>
      </c>
      <c r="C1550" s="17">
        <f>IF(B1550="","","brand")</f>
        <v/>
      </c>
      <c r="D1550" s="17">
        <f>IF(B1550="","",paid_brands!AC50&amp;"")</f>
        <v/>
      </c>
      <c r="E1550" s="17">
        <f>IF(B1550="","",IF(paid_brands!C50="","",paid_brands!C50&amp;""))</f>
        <v/>
      </c>
      <c r="F1550" s="17">
        <f>IF(B1550="","","paid")</f>
        <v/>
      </c>
      <c r="G1550" s="17">
        <f>IF(B1550="","",paid_brands!AX50)</f>
        <v/>
      </c>
      <c r="H1550" s="17">
        <f>IF(B1550="","","")</f>
        <v/>
      </c>
      <c r="I1550" s="17">
        <f>IF(B1550="","","")</f>
        <v/>
      </c>
      <c r="J1550" s="17">
        <f>IF(B1550="","","payment 2; "&amp;paid_brands!AB50&amp;"; "&amp;paid_brands!AD50&amp;"; invoice "&amp;paid_brands!AI50)</f>
        <v/>
      </c>
      <c r="K1550" t="inlineStr">
        <is>
          <t>brand paid (payment 2)</t>
        </is>
      </c>
    </row>
    <row r="1551">
      <c r="A1551" s="17">
        <f>IF(B1551="","",B1551+(10*1000+50)/10000000)</f>
        <v/>
      </c>
      <c r="B1551" s="23">
        <f>IF(AND(ISNUMBER(paid_brands!AY51),ISNUMBER(paid_brands!AX51),TRIM(paid_brands!AC51)&lt;&gt;"",OR(LEFT(paid_brands!AC51,6)&lt;&gt;"SAMPLE",Config!$B$19="Y")),paid_brands!AY51,"")</f>
        <v/>
      </c>
      <c r="C1551" s="17">
        <f>IF(B1551="","","brand")</f>
        <v/>
      </c>
      <c r="D1551" s="17">
        <f>IF(B1551="","",paid_brands!AC51&amp;"")</f>
        <v/>
      </c>
      <c r="E1551" s="17">
        <f>IF(B1551="","",IF(paid_brands!C51="","",paid_brands!C51&amp;""))</f>
        <v/>
      </c>
      <c r="F1551" s="17">
        <f>IF(B1551="","","paid")</f>
        <v/>
      </c>
      <c r="G1551" s="17">
        <f>IF(B1551="","",paid_brands!AX51)</f>
        <v/>
      </c>
      <c r="H1551" s="17">
        <f>IF(B1551="","","")</f>
        <v/>
      </c>
      <c r="I1551" s="17">
        <f>IF(B1551="","","")</f>
        <v/>
      </c>
      <c r="J1551" s="17">
        <f>IF(B1551="","","payment 2; "&amp;paid_brands!AB51&amp;"; "&amp;paid_brands!AD51&amp;"; invoice "&amp;paid_brands!AI51)</f>
        <v/>
      </c>
      <c r="K1551" t="inlineStr">
        <is>
          <t>brand paid (payment 2)</t>
        </is>
      </c>
    </row>
    <row r="1552">
      <c r="A1552" s="17">
        <f>IF(B1552="","",B1552+(11*1000+1)/10000000)</f>
        <v/>
      </c>
      <c r="B1552" s="23">
        <f>IF(AND(ISNUMBER(later_events!A2),TRIM(later_events!C2)&lt;&gt;"",OR(later_events!E2="renewal_answer",later_events!E2="opt_out"),OR(LEFT(later_events!C2,6)&lt;&gt;"SAMPLE",Config!$B$19="Y")),later_events!A2,"")</f>
        <v/>
      </c>
      <c r="C1552" s="17">
        <f>IF(B1552="","",later_events!B2&amp;"")</f>
        <v/>
      </c>
      <c r="D1552" s="17">
        <f>IF(B1552="","",later_events!C2&amp;"")</f>
        <v/>
      </c>
      <c r="E1552" s="17">
        <f>IF(B1552="","",IF(later_events!D2="","",later_events!D2&amp;""))</f>
        <v/>
      </c>
      <c r="F1552" s="17">
        <f>IF(B1552="","",later_events!E2&amp;"")</f>
        <v/>
      </c>
      <c r="G1552" s="17">
        <f>IF(B1552="","",IF(ISNUMBER(later_events!F2),later_events!F2,""))</f>
        <v/>
      </c>
      <c r="H1552" s="17">
        <f>IF(B1552="","",IF(later_events!G2="","",later_events!G2&amp;""))</f>
        <v/>
      </c>
      <c r="I1552" s="17">
        <f>IF(B1552="","","")</f>
        <v/>
      </c>
      <c r="J1552" s="17">
        <f>IF(B1552="","",IF(later_events!H2="","",later_events!H2&amp;""))</f>
        <v/>
      </c>
      <c r="K1552" t="inlineStr">
        <is>
          <t>later events</t>
        </is>
      </c>
    </row>
    <row r="1553">
      <c r="A1553" s="17">
        <f>IF(B1553="","",B1553+(11*1000+2)/10000000)</f>
        <v/>
      </c>
      <c r="B1553" s="23">
        <f>IF(AND(ISNUMBER(later_events!A3),TRIM(later_events!C3)&lt;&gt;"",OR(later_events!E3="renewal_answer",later_events!E3="opt_out"),OR(LEFT(later_events!C3,6)&lt;&gt;"SAMPLE",Config!$B$19="Y")),later_events!A3,"")</f>
        <v/>
      </c>
      <c r="C1553" s="17">
        <f>IF(B1553="","",later_events!B3&amp;"")</f>
        <v/>
      </c>
      <c r="D1553" s="17">
        <f>IF(B1553="","",later_events!C3&amp;"")</f>
        <v/>
      </c>
      <c r="E1553" s="17">
        <f>IF(B1553="","",IF(later_events!D3="","",later_events!D3&amp;""))</f>
        <v/>
      </c>
      <c r="F1553" s="17">
        <f>IF(B1553="","",later_events!E3&amp;"")</f>
        <v/>
      </c>
      <c r="G1553" s="17">
        <f>IF(B1553="","",IF(ISNUMBER(later_events!F3),later_events!F3,""))</f>
        <v/>
      </c>
      <c r="H1553" s="17">
        <f>IF(B1553="","",IF(later_events!G3="","",later_events!G3&amp;""))</f>
        <v/>
      </c>
      <c r="I1553" s="17">
        <f>IF(B1553="","","")</f>
        <v/>
      </c>
      <c r="J1553" s="17">
        <f>IF(B1553="","",IF(later_events!H3="","",later_events!H3&amp;""))</f>
        <v/>
      </c>
      <c r="K1553" t="inlineStr">
        <is>
          <t>later events</t>
        </is>
      </c>
    </row>
    <row r="1554">
      <c r="A1554" s="17">
        <f>IF(B1554="","",B1554+(11*1000+3)/10000000)</f>
        <v/>
      </c>
      <c r="B1554" s="23">
        <f>IF(AND(ISNUMBER(later_events!A4),TRIM(later_events!C4)&lt;&gt;"",OR(later_events!E4="renewal_answer",later_events!E4="opt_out"),OR(LEFT(later_events!C4,6)&lt;&gt;"SAMPLE",Config!$B$19="Y")),later_events!A4,"")</f>
        <v/>
      </c>
      <c r="C1554" s="17">
        <f>IF(B1554="","",later_events!B4&amp;"")</f>
        <v/>
      </c>
      <c r="D1554" s="17">
        <f>IF(B1554="","",later_events!C4&amp;"")</f>
        <v/>
      </c>
      <c r="E1554" s="17">
        <f>IF(B1554="","",IF(later_events!D4="","",later_events!D4&amp;""))</f>
        <v/>
      </c>
      <c r="F1554" s="17">
        <f>IF(B1554="","",later_events!E4&amp;"")</f>
        <v/>
      </c>
      <c r="G1554" s="17">
        <f>IF(B1554="","",IF(ISNUMBER(later_events!F4),later_events!F4,""))</f>
        <v/>
      </c>
      <c r="H1554" s="17">
        <f>IF(B1554="","",IF(later_events!G4="","",later_events!G4&amp;""))</f>
        <v/>
      </c>
      <c r="I1554" s="17">
        <f>IF(B1554="","","")</f>
        <v/>
      </c>
      <c r="J1554" s="17">
        <f>IF(B1554="","",IF(later_events!H4="","",later_events!H4&amp;""))</f>
        <v/>
      </c>
      <c r="K1554" t="inlineStr">
        <is>
          <t>later events</t>
        </is>
      </c>
    </row>
    <row r="1555">
      <c r="A1555" s="17">
        <f>IF(B1555="","",B1555+(11*1000+4)/10000000)</f>
        <v/>
      </c>
      <c r="B1555" s="23">
        <f>IF(AND(ISNUMBER(later_events!A5),TRIM(later_events!C5)&lt;&gt;"",OR(later_events!E5="renewal_answer",later_events!E5="opt_out"),OR(LEFT(later_events!C5,6)&lt;&gt;"SAMPLE",Config!$B$19="Y")),later_events!A5,"")</f>
        <v/>
      </c>
      <c r="C1555" s="17">
        <f>IF(B1555="","",later_events!B5&amp;"")</f>
        <v/>
      </c>
      <c r="D1555" s="17">
        <f>IF(B1555="","",later_events!C5&amp;"")</f>
        <v/>
      </c>
      <c r="E1555" s="17">
        <f>IF(B1555="","",IF(later_events!D5="","",later_events!D5&amp;""))</f>
        <v/>
      </c>
      <c r="F1555" s="17">
        <f>IF(B1555="","",later_events!E5&amp;"")</f>
        <v/>
      </c>
      <c r="G1555" s="17">
        <f>IF(B1555="","",IF(ISNUMBER(later_events!F5),later_events!F5,""))</f>
        <v/>
      </c>
      <c r="H1555" s="17">
        <f>IF(B1555="","",IF(later_events!G5="","",later_events!G5&amp;""))</f>
        <v/>
      </c>
      <c r="I1555" s="17">
        <f>IF(B1555="","","")</f>
        <v/>
      </c>
      <c r="J1555" s="17">
        <f>IF(B1555="","",IF(later_events!H5="","",later_events!H5&amp;""))</f>
        <v/>
      </c>
      <c r="K1555" t="inlineStr">
        <is>
          <t>later events</t>
        </is>
      </c>
    </row>
    <row r="1556">
      <c r="A1556" s="17">
        <f>IF(B1556="","",B1556+(11*1000+5)/10000000)</f>
        <v/>
      </c>
      <c r="B1556" s="23">
        <f>IF(AND(ISNUMBER(later_events!A6),TRIM(later_events!C6)&lt;&gt;"",OR(later_events!E6="renewal_answer",later_events!E6="opt_out"),OR(LEFT(later_events!C6,6)&lt;&gt;"SAMPLE",Config!$B$19="Y")),later_events!A6,"")</f>
        <v/>
      </c>
      <c r="C1556" s="17">
        <f>IF(B1556="","",later_events!B6&amp;"")</f>
        <v/>
      </c>
      <c r="D1556" s="17">
        <f>IF(B1556="","",later_events!C6&amp;"")</f>
        <v/>
      </c>
      <c r="E1556" s="17">
        <f>IF(B1556="","",IF(later_events!D6="","",later_events!D6&amp;""))</f>
        <v/>
      </c>
      <c r="F1556" s="17">
        <f>IF(B1556="","",later_events!E6&amp;"")</f>
        <v/>
      </c>
      <c r="G1556" s="17">
        <f>IF(B1556="","",IF(ISNUMBER(later_events!F6),later_events!F6,""))</f>
        <v/>
      </c>
      <c r="H1556" s="17">
        <f>IF(B1556="","",IF(later_events!G6="","",later_events!G6&amp;""))</f>
        <v/>
      </c>
      <c r="I1556" s="17">
        <f>IF(B1556="","","")</f>
        <v/>
      </c>
      <c r="J1556" s="17">
        <f>IF(B1556="","",IF(later_events!H6="","",later_events!H6&amp;""))</f>
        <v/>
      </c>
      <c r="K1556" t="inlineStr">
        <is>
          <t>later events</t>
        </is>
      </c>
    </row>
    <row r="1557">
      <c r="A1557" s="17">
        <f>IF(B1557="","",B1557+(11*1000+6)/10000000)</f>
        <v/>
      </c>
      <c r="B1557" s="23">
        <f>IF(AND(ISNUMBER(later_events!A7),TRIM(later_events!C7)&lt;&gt;"",OR(later_events!E7="renewal_answer",later_events!E7="opt_out"),OR(LEFT(later_events!C7,6)&lt;&gt;"SAMPLE",Config!$B$19="Y")),later_events!A7,"")</f>
        <v/>
      </c>
      <c r="C1557" s="17">
        <f>IF(B1557="","",later_events!B7&amp;"")</f>
        <v/>
      </c>
      <c r="D1557" s="17">
        <f>IF(B1557="","",later_events!C7&amp;"")</f>
        <v/>
      </c>
      <c r="E1557" s="17">
        <f>IF(B1557="","",IF(later_events!D7="","",later_events!D7&amp;""))</f>
        <v/>
      </c>
      <c r="F1557" s="17">
        <f>IF(B1557="","",later_events!E7&amp;"")</f>
        <v/>
      </c>
      <c r="G1557" s="17">
        <f>IF(B1557="","",IF(ISNUMBER(later_events!F7),later_events!F7,""))</f>
        <v/>
      </c>
      <c r="H1557" s="17">
        <f>IF(B1557="","",IF(later_events!G7="","",later_events!G7&amp;""))</f>
        <v/>
      </c>
      <c r="I1557" s="17">
        <f>IF(B1557="","","")</f>
        <v/>
      </c>
      <c r="J1557" s="17">
        <f>IF(B1557="","",IF(later_events!H7="","",later_events!H7&amp;""))</f>
        <v/>
      </c>
      <c r="K1557" t="inlineStr">
        <is>
          <t>later events</t>
        </is>
      </c>
    </row>
    <row r="1558">
      <c r="A1558" s="17">
        <f>IF(B1558="","",B1558+(11*1000+7)/10000000)</f>
        <v/>
      </c>
      <c r="B1558" s="23">
        <f>IF(AND(ISNUMBER(later_events!A8),TRIM(later_events!C8)&lt;&gt;"",OR(later_events!E8="renewal_answer",later_events!E8="opt_out"),OR(LEFT(later_events!C8,6)&lt;&gt;"SAMPLE",Config!$B$19="Y")),later_events!A8,"")</f>
        <v/>
      </c>
      <c r="C1558" s="17">
        <f>IF(B1558="","",later_events!B8&amp;"")</f>
        <v/>
      </c>
      <c r="D1558" s="17">
        <f>IF(B1558="","",later_events!C8&amp;"")</f>
        <v/>
      </c>
      <c r="E1558" s="17">
        <f>IF(B1558="","",IF(later_events!D8="","",later_events!D8&amp;""))</f>
        <v/>
      </c>
      <c r="F1558" s="17">
        <f>IF(B1558="","",later_events!E8&amp;"")</f>
        <v/>
      </c>
      <c r="G1558" s="17">
        <f>IF(B1558="","",IF(ISNUMBER(later_events!F8),later_events!F8,""))</f>
        <v/>
      </c>
      <c r="H1558" s="17">
        <f>IF(B1558="","",IF(later_events!G8="","",later_events!G8&amp;""))</f>
        <v/>
      </c>
      <c r="I1558" s="17">
        <f>IF(B1558="","","")</f>
        <v/>
      </c>
      <c r="J1558" s="17">
        <f>IF(B1558="","",IF(later_events!H8="","",later_events!H8&amp;""))</f>
        <v/>
      </c>
      <c r="K1558" t="inlineStr">
        <is>
          <t>later events</t>
        </is>
      </c>
    </row>
    <row r="1559">
      <c r="A1559" s="17">
        <f>IF(B1559="","",B1559+(11*1000+8)/10000000)</f>
        <v/>
      </c>
      <c r="B1559" s="23">
        <f>IF(AND(ISNUMBER(later_events!A9),TRIM(later_events!C9)&lt;&gt;"",OR(later_events!E9="renewal_answer",later_events!E9="opt_out"),OR(LEFT(later_events!C9,6)&lt;&gt;"SAMPLE",Config!$B$19="Y")),later_events!A9,"")</f>
        <v/>
      </c>
      <c r="C1559" s="17">
        <f>IF(B1559="","",later_events!B9&amp;"")</f>
        <v/>
      </c>
      <c r="D1559" s="17">
        <f>IF(B1559="","",later_events!C9&amp;"")</f>
        <v/>
      </c>
      <c r="E1559" s="17">
        <f>IF(B1559="","",IF(later_events!D9="","",later_events!D9&amp;""))</f>
        <v/>
      </c>
      <c r="F1559" s="17">
        <f>IF(B1559="","",later_events!E9&amp;"")</f>
        <v/>
      </c>
      <c r="G1559" s="17">
        <f>IF(B1559="","",IF(ISNUMBER(later_events!F9),later_events!F9,""))</f>
        <v/>
      </c>
      <c r="H1559" s="17">
        <f>IF(B1559="","",IF(later_events!G9="","",later_events!G9&amp;""))</f>
        <v/>
      </c>
      <c r="I1559" s="17">
        <f>IF(B1559="","","")</f>
        <v/>
      </c>
      <c r="J1559" s="17">
        <f>IF(B1559="","",IF(later_events!H9="","",later_events!H9&amp;""))</f>
        <v/>
      </c>
      <c r="K1559" t="inlineStr">
        <is>
          <t>later events</t>
        </is>
      </c>
    </row>
    <row r="1560">
      <c r="A1560" s="17">
        <f>IF(B1560="","",B1560+(11*1000+9)/10000000)</f>
        <v/>
      </c>
      <c r="B1560" s="23">
        <f>IF(AND(ISNUMBER(later_events!A10),TRIM(later_events!C10)&lt;&gt;"",OR(later_events!E10="renewal_answer",later_events!E10="opt_out"),OR(LEFT(later_events!C10,6)&lt;&gt;"SAMPLE",Config!$B$19="Y")),later_events!A10,"")</f>
        <v/>
      </c>
      <c r="C1560" s="17">
        <f>IF(B1560="","",later_events!B10&amp;"")</f>
        <v/>
      </c>
      <c r="D1560" s="17">
        <f>IF(B1560="","",later_events!C10&amp;"")</f>
        <v/>
      </c>
      <c r="E1560" s="17">
        <f>IF(B1560="","",IF(later_events!D10="","",later_events!D10&amp;""))</f>
        <v/>
      </c>
      <c r="F1560" s="17">
        <f>IF(B1560="","",later_events!E10&amp;"")</f>
        <v/>
      </c>
      <c r="G1560" s="17">
        <f>IF(B1560="","",IF(ISNUMBER(later_events!F10),later_events!F10,""))</f>
        <v/>
      </c>
      <c r="H1560" s="17">
        <f>IF(B1560="","",IF(later_events!G10="","",later_events!G10&amp;""))</f>
        <v/>
      </c>
      <c r="I1560" s="17">
        <f>IF(B1560="","","")</f>
        <v/>
      </c>
      <c r="J1560" s="17">
        <f>IF(B1560="","",IF(later_events!H10="","",later_events!H10&amp;""))</f>
        <v/>
      </c>
      <c r="K1560" t="inlineStr">
        <is>
          <t>later events</t>
        </is>
      </c>
    </row>
    <row r="1561">
      <c r="A1561" s="17">
        <f>IF(B1561="","",B1561+(11*1000+10)/10000000)</f>
        <v/>
      </c>
      <c r="B1561" s="23">
        <f>IF(AND(ISNUMBER(later_events!A11),TRIM(later_events!C11)&lt;&gt;"",OR(later_events!E11="renewal_answer",later_events!E11="opt_out"),OR(LEFT(later_events!C11,6)&lt;&gt;"SAMPLE",Config!$B$19="Y")),later_events!A11,"")</f>
        <v/>
      </c>
      <c r="C1561" s="17">
        <f>IF(B1561="","",later_events!B11&amp;"")</f>
        <v/>
      </c>
      <c r="D1561" s="17">
        <f>IF(B1561="","",later_events!C11&amp;"")</f>
        <v/>
      </c>
      <c r="E1561" s="17">
        <f>IF(B1561="","",IF(later_events!D11="","",later_events!D11&amp;""))</f>
        <v/>
      </c>
      <c r="F1561" s="17">
        <f>IF(B1561="","",later_events!E11&amp;"")</f>
        <v/>
      </c>
      <c r="G1561" s="17">
        <f>IF(B1561="","",IF(ISNUMBER(later_events!F11),later_events!F11,""))</f>
        <v/>
      </c>
      <c r="H1561" s="17">
        <f>IF(B1561="","",IF(later_events!G11="","",later_events!G11&amp;""))</f>
        <v/>
      </c>
      <c r="I1561" s="17">
        <f>IF(B1561="","","")</f>
        <v/>
      </c>
      <c r="J1561" s="17">
        <f>IF(B1561="","",IF(later_events!H11="","",later_events!H11&amp;""))</f>
        <v/>
      </c>
      <c r="K1561" t="inlineStr">
        <is>
          <t>later events</t>
        </is>
      </c>
    </row>
    <row r="1562">
      <c r="A1562" s="17">
        <f>IF(B1562="","",B1562+(11*1000+11)/10000000)</f>
        <v/>
      </c>
      <c r="B1562" s="23">
        <f>IF(AND(ISNUMBER(later_events!A12),TRIM(later_events!C12)&lt;&gt;"",OR(later_events!E12="renewal_answer",later_events!E12="opt_out"),OR(LEFT(later_events!C12,6)&lt;&gt;"SAMPLE",Config!$B$19="Y")),later_events!A12,"")</f>
        <v/>
      </c>
      <c r="C1562" s="17">
        <f>IF(B1562="","",later_events!B12&amp;"")</f>
        <v/>
      </c>
      <c r="D1562" s="17">
        <f>IF(B1562="","",later_events!C12&amp;"")</f>
        <v/>
      </c>
      <c r="E1562" s="17">
        <f>IF(B1562="","",IF(later_events!D12="","",later_events!D12&amp;""))</f>
        <v/>
      </c>
      <c r="F1562" s="17">
        <f>IF(B1562="","",later_events!E12&amp;"")</f>
        <v/>
      </c>
      <c r="G1562" s="17">
        <f>IF(B1562="","",IF(ISNUMBER(later_events!F12),later_events!F12,""))</f>
        <v/>
      </c>
      <c r="H1562" s="17">
        <f>IF(B1562="","",IF(later_events!G12="","",later_events!G12&amp;""))</f>
        <v/>
      </c>
      <c r="I1562" s="17">
        <f>IF(B1562="","","")</f>
        <v/>
      </c>
      <c r="J1562" s="17">
        <f>IF(B1562="","",IF(later_events!H12="","",later_events!H12&amp;""))</f>
        <v/>
      </c>
      <c r="K1562" t="inlineStr">
        <is>
          <t>later events</t>
        </is>
      </c>
    </row>
    <row r="1563">
      <c r="A1563" s="17">
        <f>IF(B1563="","",B1563+(11*1000+12)/10000000)</f>
        <v/>
      </c>
      <c r="B1563" s="23">
        <f>IF(AND(ISNUMBER(later_events!A13),TRIM(later_events!C13)&lt;&gt;"",OR(later_events!E13="renewal_answer",later_events!E13="opt_out"),OR(LEFT(later_events!C13,6)&lt;&gt;"SAMPLE",Config!$B$19="Y")),later_events!A13,"")</f>
        <v/>
      </c>
      <c r="C1563" s="17">
        <f>IF(B1563="","",later_events!B13&amp;"")</f>
        <v/>
      </c>
      <c r="D1563" s="17">
        <f>IF(B1563="","",later_events!C13&amp;"")</f>
        <v/>
      </c>
      <c r="E1563" s="17">
        <f>IF(B1563="","",IF(later_events!D13="","",later_events!D13&amp;""))</f>
        <v/>
      </c>
      <c r="F1563" s="17">
        <f>IF(B1563="","",later_events!E13&amp;"")</f>
        <v/>
      </c>
      <c r="G1563" s="17">
        <f>IF(B1563="","",IF(ISNUMBER(later_events!F13),later_events!F13,""))</f>
        <v/>
      </c>
      <c r="H1563" s="17">
        <f>IF(B1563="","",IF(later_events!G13="","",later_events!G13&amp;""))</f>
        <v/>
      </c>
      <c r="I1563" s="17">
        <f>IF(B1563="","","")</f>
        <v/>
      </c>
      <c r="J1563" s="17">
        <f>IF(B1563="","",IF(later_events!H13="","",later_events!H13&amp;""))</f>
        <v/>
      </c>
      <c r="K1563" t="inlineStr">
        <is>
          <t>later events</t>
        </is>
      </c>
    </row>
    <row r="1564">
      <c r="A1564" s="17">
        <f>IF(B1564="","",B1564+(11*1000+13)/10000000)</f>
        <v/>
      </c>
      <c r="B1564" s="23">
        <f>IF(AND(ISNUMBER(later_events!A14),TRIM(later_events!C14)&lt;&gt;"",OR(later_events!E14="renewal_answer",later_events!E14="opt_out"),OR(LEFT(later_events!C14,6)&lt;&gt;"SAMPLE",Config!$B$19="Y")),later_events!A14,"")</f>
        <v/>
      </c>
      <c r="C1564" s="17">
        <f>IF(B1564="","",later_events!B14&amp;"")</f>
        <v/>
      </c>
      <c r="D1564" s="17">
        <f>IF(B1564="","",later_events!C14&amp;"")</f>
        <v/>
      </c>
      <c r="E1564" s="17">
        <f>IF(B1564="","",IF(later_events!D14="","",later_events!D14&amp;""))</f>
        <v/>
      </c>
      <c r="F1564" s="17">
        <f>IF(B1564="","",later_events!E14&amp;"")</f>
        <v/>
      </c>
      <c r="G1564" s="17">
        <f>IF(B1564="","",IF(ISNUMBER(later_events!F14),later_events!F14,""))</f>
        <v/>
      </c>
      <c r="H1564" s="17">
        <f>IF(B1564="","",IF(later_events!G14="","",later_events!G14&amp;""))</f>
        <v/>
      </c>
      <c r="I1564" s="17">
        <f>IF(B1564="","","")</f>
        <v/>
      </c>
      <c r="J1564" s="17">
        <f>IF(B1564="","",IF(later_events!H14="","",later_events!H14&amp;""))</f>
        <v/>
      </c>
      <c r="K1564" t="inlineStr">
        <is>
          <t>later events</t>
        </is>
      </c>
    </row>
    <row r="1565">
      <c r="A1565" s="17">
        <f>IF(B1565="","",B1565+(11*1000+14)/10000000)</f>
        <v/>
      </c>
      <c r="B1565" s="23">
        <f>IF(AND(ISNUMBER(later_events!A15),TRIM(later_events!C15)&lt;&gt;"",OR(later_events!E15="renewal_answer",later_events!E15="opt_out"),OR(LEFT(later_events!C15,6)&lt;&gt;"SAMPLE",Config!$B$19="Y")),later_events!A15,"")</f>
        <v/>
      </c>
      <c r="C1565" s="17">
        <f>IF(B1565="","",later_events!B15&amp;"")</f>
        <v/>
      </c>
      <c r="D1565" s="17">
        <f>IF(B1565="","",later_events!C15&amp;"")</f>
        <v/>
      </c>
      <c r="E1565" s="17">
        <f>IF(B1565="","",IF(later_events!D15="","",later_events!D15&amp;""))</f>
        <v/>
      </c>
      <c r="F1565" s="17">
        <f>IF(B1565="","",later_events!E15&amp;"")</f>
        <v/>
      </c>
      <c r="G1565" s="17">
        <f>IF(B1565="","",IF(ISNUMBER(later_events!F15),later_events!F15,""))</f>
        <v/>
      </c>
      <c r="H1565" s="17">
        <f>IF(B1565="","",IF(later_events!G15="","",later_events!G15&amp;""))</f>
        <v/>
      </c>
      <c r="I1565" s="17">
        <f>IF(B1565="","","")</f>
        <v/>
      </c>
      <c r="J1565" s="17">
        <f>IF(B1565="","",IF(later_events!H15="","",later_events!H15&amp;""))</f>
        <v/>
      </c>
      <c r="K1565" t="inlineStr">
        <is>
          <t>later events</t>
        </is>
      </c>
    </row>
    <row r="1566">
      <c r="A1566" s="17">
        <f>IF(B1566="","",B1566+(11*1000+15)/10000000)</f>
        <v/>
      </c>
      <c r="B1566" s="23">
        <f>IF(AND(ISNUMBER(later_events!A16),TRIM(later_events!C16)&lt;&gt;"",OR(later_events!E16="renewal_answer",later_events!E16="opt_out"),OR(LEFT(later_events!C16,6)&lt;&gt;"SAMPLE",Config!$B$19="Y")),later_events!A16,"")</f>
        <v/>
      </c>
      <c r="C1566" s="17">
        <f>IF(B1566="","",later_events!B16&amp;"")</f>
        <v/>
      </c>
      <c r="D1566" s="17">
        <f>IF(B1566="","",later_events!C16&amp;"")</f>
        <v/>
      </c>
      <c r="E1566" s="17">
        <f>IF(B1566="","",IF(later_events!D16="","",later_events!D16&amp;""))</f>
        <v/>
      </c>
      <c r="F1566" s="17">
        <f>IF(B1566="","",later_events!E16&amp;"")</f>
        <v/>
      </c>
      <c r="G1566" s="17">
        <f>IF(B1566="","",IF(ISNUMBER(later_events!F16),later_events!F16,""))</f>
        <v/>
      </c>
      <c r="H1566" s="17">
        <f>IF(B1566="","",IF(later_events!G16="","",later_events!G16&amp;""))</f>
        <v/>
      </c>
      <c r="I1566" s="17">
        <f>IF(B1566="","","")</f>
        <v/>
      </c>
      <c r="J1566" s="17">
        <f>IF(B1566="","",IF(later_events!H16="","",later_events!H16&amp;""))</f>
        <v/>
      </c>
      <c r="K1566" t="inlineStr">
        <is>
          <t>later events</t>
        </is>
      </c>
    </row>
    <row r="1567">
      <c r="A1567" s="17">
        <f>IF(B1567="","",B1567+(11*1000+16)/10000000)</f>
        <v/>
      </c>
      <c r="B1567" s="23">
        <f>IF(AND(ISNUMBER(later_events!A17),TRIM(later_events!C17)&lt;&gt;"",OR(later_events!E17="renewal_answer",later_events!E17="opt_out"),OR(LEFT(later_events!C17,6)&lt;&gt;"SAMPLE",Config!$B$19="Y")),later_events!A17,"")</f>
        <v/>
      </c>
      <c r="C1567" s="17">
        <f>IF(B1567="","",later_events!B17&amp;"")</f>
        <v/>
      </c>
      <c r="D1567" s="17">
        <f>IF(B1567="","",later_events!C17&amp;"")</f>
        <v/>
      </c>
      <c r="E1567" s="17">
        <f>IF(B1567="","",IF(later_events!D17="","",later_events!D17&amp;""))</f>
        <v/>
      </c>
      <c r="F1567" s="17">
        <f>IF(B1567="","",later_events!E17&amp;"")</f>
        <v/>
      </c>
      <c r="G1567" s="17">
        <f>IF(B1567="","",IF(ISNUMBER(later_events!F17),later_events!F17,""))</f>
        <v/>
      </c>
      <c r="H1567" s="17">
        <f>IF(B1567="","",IF(later_events!G17="","",later_events!G17&amp;""))</f>
        <v/>
      </c>
      <c r="I1567" s="17">
        <f>IF(B1567="","","")</f>
        <v/>
      </c>
      <c r="J1567" s="17">
        <f>IF(B1567="","",IF(later_events!H17="","",later_events!H17&amp;""))</f>
        <v/>
      </c>
      <c r="K1567" t="inlineStr">
        <is>
          <t>later events</t>
        </is>
      </c>
    </row>
    <row r="1568">
      <c r="A1568" s="17">
        <f>IF(B1568="","",B1568+(11*1000+17)/10000000)</f>
        <v/>
      </c>
      <c r="B1568" s="23">
        <f>IF(AND(ISNUMBER(later_events!A18),TRIM(later_events!C18)&lt;&gt;"",OR(later_events!E18="renewal_answer",later_events!E18="opt_out"),OR(LEFT(later_events!C18,6)&lt;&gt;"SAMPLE",Config!$B$19="Y")),later_events!A18,"")</f>
        <v/>
      </c>
      <c r="C1568" s="17">
        <f>IF(B1568="","",later_events!B18&amp;"")</f>
        <v/>
      </c>
      <c r="D1568" s="17">
        <f>IF(B1568="","",later_events!C18&amp;"")</f>
        <v/>
      </c>
      <c r="E1568" s="17">
        <f>IF(B1568="","",IF(later_events!D18="","",later_events!D18&amp;""))</f>
        <v/>
      </c>
      <c r="F1568" s="17">
        <f>IF(B1568="","",later_events!E18&amp;"")</f>
        <v/>
      </c>
      <c r="G1568" s="17">
        <f>IF(B1568="","",IF(ISNUMBER(later_events!F18),later_events!F18,""))</f>
        <v/>
      </c>
      <c r="H1568" s="17">
        <f>IF(B1568="","",IF(later_events!G18="","",later_events!G18&amp;""))</f>
        <v/>
      </c>
      <c r="I1568" s="17">
        <f>IF(B1568="","","")</f>
        <v/>
      </c>
      <c r="J1568" s="17">
        <f>IF(B1568="","",IF(later_events!H18="","",later_events!H18&amp;""))</f>
        <v/>
      </c>
      <c r="K1568" t="inlineStr">
        <is>
          <t>later events</t>
        </is>
      </c>
    </row>
    <row r="1569">
      <c r="A1569" s="17">
        <f>IF(B1569="","",B1569+(11*1000+18)/10000000)</f>
        <v/>
      </c>
      <c r="B1569" s="23">
        <f>IF(AND(ISNUMBER(later_events!A19),TRIM(later_events!C19)&lt;&gt;"",OR(later_events!E19="renewal_answer",later_events!E19="opt_out"),OR(LEFT(later_events!C19,6)&lt;&gt;"SAMPLE",Config!$B$19="Y")),later_events!A19,"")</f>
        <v/>
      </c>
      <c r="C1569" s="17">
        <f>IF(B1569="","",later_events!B19&amp;"")</f>
        <v/>
      </c>
      <c r="D1569" s="17">
        <f>IF(B1569="","",later_events!C19&amp;"")</f>
        <v/>
      </c>
      <c r="E1569" s="17">
        <f>IF(B1569="","",IF(later_events!D19="","",later_events!D19&amp;""))</f>
        <v/>
      </c>
      <c r="F1569" s="17">
        <f>IF(B1569="","",later_events!E19&amp;"")</f>
        <v/>
      </c>
      <c r="G1569" s="17">
        <f>IF(B1569="","",IF(ISNUMBER(later_events!F19),later_events!F19,""))</f>
        <v/>
      </c>
      <c r="H1569" s="17">
        <f>IF(B1569="","",IF(later_events!G19="","",later_events!G19&amp;""))</f>
        <v/>
      </c>
      <c r="I1569" s="17">
        <f>IF(B1569="","","")</f>
        <v/>
      </c>
      <c r="J1569" s="17">
        <f>IF(B1569="","",IF(later_events!H19="","",later_events!H19&amp;""))</f>
        <v/>
      </c>
      <c r="K1569" t="inlineStr">
        <is>
          <t>later events</t>
        </is>
      </c>
    </row>
    <row r="1570">
      <c r="A1570" s="17">
        <f>IF(B1570="","",B1570+(11*1000+19)/10000000)</f>
        <v/>
      </c>
      <c r="B1570" s="23">
        <f>IF(AND(ISNUMBER(later_events!A20),TRIM(later_events!C20)&lt;&gt;"",OR(later_events!E20="renewal_answer",later_events!E20="opt_out"),OR(LEFT(later_events!C20,6)&lt;&gt;"SAMPLE",Config!$B$19="Y")),later_events!A20,"")</f>
        <v/>
      </c>
      <c r="C1570" s="17">
        <f>IF(B1570="","",later_events!B20&amp;"")</f>
        <v/>
      </c>
      <c r="D1570" s="17">
        <f>IF(B1570="","",later_events!C20&amp;"")</f>
        <v/>
      </c>
      <c r="E1570" s="17">
        <f>IF(B1570="","",IF(later_events!D20="","",later_events!D20&amp;""))</f>
        <v/>
      </c>
      <c r="F1570" s="17">
        <f>IF(B1570="","",later_events!E20&amp;"")</f>
        <v/>
      </c>
      <c r="G1570" s="17">
        <f>IF(B1570="","",IF(ISNUMBER(later_events!F20),later_events!F20,""))</f>
        <v/>
      </c>
      <c r="H1570" s="17">
        <f>IF(B1570="","",IF(later_events!G20="","",later_events!G20&amp;""))</f>
        <v/>
      </c>
      <c r="I1570" s="17">
        <f>IF(B1570="","","")</f>
        <v/>
      </c>
      <c r="J1570" s="17">
        <f>IF(B1570="","",IF(later_events!H20="","",later_events!H20&amp;""))</f>
        <v/>
      </c>
      <c r="K1570" t="inlineStr">
        <is>
          <t>later events</t>
        </is>
      </c>
    </row>
    <row r="1571">
      <c r="A1571" s="17">
        <f>IF(B1571="","",B1571+(11*1000+20)/10000000)</f>
        <v/>
      </c>
      <c r="B1571" s="23">
        <f>IF(AND(ISNUMBER(later_events!A21),TRIM(later_events!C21)&lt;&gt;"",OR(later_events!E21="renewal_answer",later_events!E21="opt_out"),OR(LEFT(later_events!C21,6)&lt;&gt;"SAMPLE",Config!$B$19="Y")),later_events!A21,"")</f>
        <v/>
      </c>
      <c r="C1571" s="17">
        <f>IF(B1571="","",later_events!B21&amp;"")</f>
        <v/>
      </c>
      <c r="D1571" s="17">
        <f>IF(B1571="","",later_events!C21&amp;"")</f>
        <v/>
      </c>
      <c r="E1571" s="17">
        <f>IF(B1571="","",IF(later_events!D21="","",later_events!D21&amp;""))</f>
        <v/>
      </c>
      <c r="F1571" s="17">
        <f>IF(B1571="","",later_events!E21&amp;"")</f>
        <v/>
      </c>
      <c r="G1571" s="17">
        <f>IF(B1571="","",IF(ISNUMBER(later_events!F21),later_events!F21,""))</f>
        <v/>
      </c>
      <c r="H1571" s="17">
        <f>IF(B1571="","",IF(later_events!G21="","",later_events!G21&amp;""))</f>
        <v/>
      </c>
      <c r="I1571" s="17">
        <f>IF(B1571="","","")</f>
        <v/>
      </c>
      <c r="J1571" s="17">
        <f>IF(B1571="","",IF(later_events!H21="","",later_events!H21&amp;""))</f>
        <v/>
      </c>
      <c r="K1571" t="inlineStr">
        <is>
          <t>later events</t>
        </is>
      </c>
    </row>
    <row r="1572">
      <c r="A1572" s="17">
        <f>IF(B1572="","",B1572+(11*1000+21)/10000000)</f>
        <v/>
      </c>
      <c r="B1572" s="23">
        <f>IF(AND(ISNUMBER(later_events!A22),TRIM(later_events!C22)&lt;&gt;"",OR(later_events!E22="renewal_answer",later_events!E22="opt_out"),OR(LEFT(later_events!C22,6)&lt;&gt;"SAMPLE",Config!$B$19="Y")),later_events!A22,"")</f>
        <v/>
      </c>
      <c r="C1572" s="17">
        <f>IF(B1572="","",later_events!B22&amp;"")</f>
        <v/>
      </c>
      <c r="D1572" s="17">
        <f>IF(B1572="","",later_events!C22&amp;"")</f>
        <v/>
      </c>
      <c r="E1572" s="17">
        <f>IF(B1572="","",IF(later_events!D22="","",later_events!D22&amp;""))</f>
        <v/>
      </c>
      <c r="F1572" s="17">
        <f>IF(B1572="","",later_events!E22&amp;"")</f>
        <v/>
      </c>
      <c r="G1572" s="17">
        <f>IF(B1572="","",IF(ISNUMBER(later_events!F22),later_events!F22,""))</f>
        <v/>
      </c>
      <c r="H1572" s="17">
        <f>IF(B1572="","",IF(later_events!G22="","",later_events!G22&amp;""))</f>
        <v/>
      </c>
      <c r="I1572" s="17">
        <f>IF(B1572="","","")</f>
        <v/>
      </c>
      <c r="J1572" s="17">
        <f>IF(B1572="","",IF(later_events!H22="","",later_events!H22&amp;""))</f>
        <v/>
      </c>
      <c r="K1572" t="inlineStr">
        <is>
          <t>later events</t>
        </is>
      </c>
    </row>
    <row r="1573">
      <c r="A1573" s="17">
        <f>IF(B1573="","",B1573+(11*1000+22)/10000000)</f>
        <v/>
      </c>
      <c r="B1573" s="23">
        <f>IF(AND(ISNUMBER(later_events!A23),TRIM(later_events!C23)&lt;&gt;"",OR(later_events!E23="renewal_answer",later_events!E23="opt_out"),OR(LEFT(later_events!C23,6)&lt;&gt;"SAMPLE",Config!$B$19="Y")),later_events!A23,"")</f>
        <v/>
      </c>
      <c r="C1573" s="17">
        <f>IF(B1573="","",later_events!B23&amp;"")</f>
        <v/>
      </c>
      <c r="D1573" s="17">
        <f>IF(B1573="","",later_events!C23&amp;"")</f>
        <v/>
      </c>
      <c r="E1573" s="17">
        <f>IF(B1573="","",IF(later_events!D23="","",later_events!D23&amp;""))</f>
        <v/>
      </c>
      <c r="F1573" s="17">
        <f>IF(B1573="","",later_events!E23&amp;"")</f>
        <v/>
      </c>
      <c r="G1573" s="17">
        <f>IF(B1573="","",IF(ISNUMBER(later_events!F23),later_events!F23,""))</f>
        <v/>
      </c>
      <c r="H1573" s="17">
        <f>IF(B1573="","",IF(later_events!G23="","",later_events!G23&amp;""))</f>
        <v/>
      </c>
      <c r="I1573" s="17">
        <f>IF(B1573="","","")</f>
        <v/>
      </c>
      <c r="J1573" s="17">
        <f>IF(B1573="","",IF(later_events!H23="","",later_events!H23&amp;""))</f>
        <v/>
      </c>
      <c r="K1573" t="inlineStr">
        <is>
          <t>later events</t>
        </is>
      </c>
    </row>
    <row r="1574">
      <c r="A1574" s="17">
        <f>IF(B1574="","",B1574+(11*1000+23)/10000000)</f>
        <v/>
      </c>
      <c r="B1574" s="23">
        <f>IF(AND(ISNUMBER(later_events!A24),TRIM(later_events!C24)&lt;&gt;"",OR(later_events!E24="renewal_answer",later_events!E24="opt_out"),OR(LEFT(later_events!C24,6)&lt;&gt;"SAMPLE",Config!$B$19="Y")),later_events!A24,"")</f>
        <v/>
      </c>
      <c r="C1574" s="17">
        <f>IF(B1574="","",later_events!B24&amp;"")</f>
        <v/>
      </c>
      <c r="D1574" s="17">
        <f>IF(B1574="","",later_events!C24&amp;"")</f>
        <v/>
      </c>
      <c r="E1574" s="17">
        <f>IF(B1574="","",IF(later_events!D24="","",later_events!D24&amp;""))</f>
        <v/>
      </c>
      <c r="F1574" s="17">
        <f>IF(B1574="","",later_events!E24&amp;"")</f>
        <v/>
      </c>
      <c r="G1574" s="17">
        <f>IF(B1574="","",IF(ISNUMBER(later_events!F24),later_events!F24,""))</f>
        <v/>
      </c>
      <c r="H1574" s="17">
        <f>IF(B1574="","",IF(later_events!G24="","",later_events!G24&amp;""))</f>
        <v/>
      </c>
      <c r="I1574" s="17">
        <f>IF(B1574="","","")</f>
        <v/>
      </c>
      <c r="J1574" s="17">
        <f>IF(B1574="","",IF(later_events!H24="","",later_events!H24&amp;""))</f>
        <v/>
      </c>
      <c r="K1574" t="inlineStr">
        <is>
          <t>later events</t>
        </is>
      </c>
    </row>
    <row r="1575">
      <c r="A1575" s="17">
        <f>IF(B1575="","",B1575+(11*1000+24)/10000000)</f>
        <v/>
      </c>
      <c r="B1575" s="23">
        <f>IF(AND(ISNUMBER(later_events!A25),TRIM(later_events!C25)&lt;&gt;"",OR(later_events!E25="renewal_answer",later_events!E25="opt_out"),OR(LEFT(later_events!C25,6)&lt;&gt;"SAMPLE",Config!$B$19="Y")),later_events!A25,"")</f>
        <v/>
      </c>
      <c r="C1575" s="17">
        <f>IF(B1575="","",later_events!B25&amp;"")</f>
        <v/>
      </c>
      <c r="D1575" s="17">
        <f>IF(B1575="","",later_events!C25&amp;"")</f>
        <v/>
      </c>
      <c r="E1575" s="17">
        <f>IF(B1575="","",IF(later_events!D25="","",later_events!D25&amp;""))</f>
        <v/>
      </c>
      <c r="F1575" s="17">
        <f>IF(B1575="","",later_events!E25&amp;"")</f>
        <v/>
      </c>
      <c r="G1575" s="17">
        <f>IF(B1575="","",IF(ISNUMBER(later_events!F25),later_events!F25,""))</f>
        <v/>
      </c>
      <c r="H1575" s="17">
        <f>IF(B1575="","",IF(later_events!G25="","",later_events!G25&amp;""))</f>
        <v/>
      </c>
      <c r="I1575" s="17">
        <f>IF(B1575="","","")</f>
        <v/>
      </c>
      <c r="J1575" s="17">
        <f>IF(B1575="","",IF(later_events!H25="","",later_events!H25&amp;""))</f>
        <v/>
      </c>
      <c r="K1575" t="inlineStr">
        <is>
          <t>later events</t>
        </is>
      </c>
    </row>
    <row r="1576">
      <c r="A1576" s="17">
        <f>IF(B1576="","",B1576+(11*1000+25)/10000000)</f>
        <v/>
      </c>
      <c r="B1576" s="23">
        <f>IF(AND(ISNUMBER(later_events!A26),TRIM(later_events!C26)&lt;&gt;"",OR(later_events!E26="renewal_answer",later_events!E26="opt_out"),OR(LEFT(later_events!C26,6)&lt;&gt;"SAMPLE",Config!$B$19="Y")),later_events!A26,"")</f>
        <v/>
      </c>
      <c r="C1576" s="17">
        <f>IF(B1576="","",later_events!B26&amp;"")</f>
        <v/>
      </c>
      <c r="D1576" s="17">
        <f>IF(B1576="","",later_events!C26&amp;"")</f>
        <v/>
      </c>
      <c r="E1576" s="17">
        <f>IF(B1576="","",IF(later_events!D26="","",later_events!D26&amp;""))</f>
        <v/>
      </c>
      <c r="F1576" s="17">
        <f>IF(B1576="","",later_events!E26&amp;"")</f>
        <v/>
      </c>
      <c r="G1576" s="17">
        <f>IF(B1576="","",IF(ISNUMBER(later_events!F26),later_events!F26,""))</f>
        <v/>
      </c>
      <c r="H1576" s="17">
        <f>IF(B1576="","",IF(later_events!G26="","",later_events!G26&amp;""))</f>
        <v/>
      </c>
      <c r="I1576" s="17">
        <f>IF(B1576="","","")</f>
        <v/>
      </c>
      <c r="J1576" s="17">
        <f>IF(B1576="","",IF(later_events!H26="","",later_events!H26&amp;""))</f>
        <v/>
      </c>
      <c r="K1576" t="inlineStr">
        <is>
          <t>later events</t>
        </is>
      </c>
    </row>
    <row r="1577">
      <c r="A1577" s="17">
        <f>IF(B1577="","",B1577+(11*1000+26)/10000000)</f>
        <v/>
      </c>
      <c r="B1577" s="23">
        <f>IF(AND(ISNUMBER(later_events!A27),TRIM(later_events!C27)&lt;&gt;"",OR(later_events!E27="renewal_answer",later_events!E27="opt_out"),OR(LEFT(later_events!C27,6)&lt;&gt;"SAMPLE",Config!$B$19="Y")),later_events!A27,"")</f>
        <v/>
      </c>
      <c r="C1577" s="17">
        <f>IF(B1577="","",later_events!B27&amp;"")</f>
        <v/>
      </c>
      <c r="D1577" s="17">
        <f>IF(B1577="","",later_events!C27&amp;"")</f>
        <v/>
      </c>
      <c r="E1577" s="17">
        <f>IF(B1577="","",IF(later_events!D27="","",later_events!D27&amp;""))</f>
        <v/>
      </c>
      <c r="F1577" s="17">
        <f>IF(B1577="","",later_events!E27&amp;"")</f>
        <v/>
      </c>
      <c r="G1577" s="17">
        <f>IF(B1577="","",IF(ISNUMBER(later_events!F27),later_events!F27,""))</f>
        <v/>
      </c>
      <c r="H1577" s="17">
        <f>IF(B1577="","",IF(later_events!G27="","",later_events!G27&amp;""))</f>
        <v/>
      </c>
      <c r="I1577" s="17">
        <f>IF(B1577="","","")</f>
        <v/>
      </c>
      <c r="J1577" s="17">
        <f>IF(B1577="","",IF(later_events!H27="","",later_events!H27&amp;""))</f>
        <v/>
      </c>
      <c r="K1577" t="inlineStr">
        <is>
          <t>later events</t>
        </is>
      </c>
    </row>
    <row r="1578">
      <c r="A1578" s="17">
        <f>IF(B1578="","",B1578+(11*1000+27)/10000000)</f>
        <v/>
      </c>
      <c r="B1578" s="23">
        <f>IF(AND(ISNUMBER(later_events!A28),TRIM(later_events!C28)&lt;&gt;"",OR(later_events!E28="renewal_answer",later_events!E28="opt_out"),OR(LEFT(later_events!C28,6)&lt;&gt;"SAMPLE",Config!$B$19="Y")),later_events!A28,"")</f>
        <v/>
      </c>
      <c r="C1578" s="17">
        <f>IF(B1578="","",later_events!B28&amp;"")</f>
        <v/>
      </c>
      <c r="D1578" s="17">
        <f>IF(B1578="","",later_events!C28&amp;"")</f>
        <v/>
      </c>
      <c r="E1578" s="17">
        <f>IF(B1578="","",IF(later_events!D28="","",later_events!D28&amp;""))</f>
        <v/>
      </c>
      <c r="F1578" s="17">
        <f>IF(B1578="","",later_events!E28&amp;"")</f>
        <v/>
      </c>
      <c r="G1578" s="17">
        <f>IF(B1578="","",IF(ISNUMBER(later_events!F28),later_events!F28,""))</f>
        <v/>
      </c>
      <c r="H1578" s="17">
        <f>IF(B1578="","",IF(later_events!G28="","",later_events!G28&amp;""))</f>
        <v/>
      </c>
      <c r="I1578" s="17">
        <f>IF(B1578="","","")</f>
        <v/>
      </c>
      <c r="J1578" s="17">
        <f>IF(B1578="","",IF(later_events!H28="","",later_events!H28&amp;""))</f>
        <v/>
      </c>
      <c r="K1578" t="inlineStr">
        <is>
          <t>later events</t>
        </is>
      </c>
    </row>
    <row r="1579">
      <c r="A1579" s="17">
        <f>IF(B1579="","",B1579+(11*1000+28)/10000000)</f>
        <v/>
      </c>
      <c r="B1579" s="23">
        <f>IF(AND(ISNUMBER(later_events!A29),TRIM(later_events!C29)&lt;&gt;"",OR(later_events!E29="renewal_answer",later_events!E29="opt_out"),OR(LEFT(later_events!C29,6)&lt;&gt;"SAMPLE",Config!$B$19="Y")),later_events!A29,"")</f>
        <v/>
      </c>
      <c r="C1579" s="17">
        <f>IF(B1579="","",later_events!B29&amp;"")</f>
        <v/>
      </c>
      <c r="D1579" s="17">
        <f>IF(B1579="","",later_events!C29&amp;"")</f>
        <v/>
      </c>
      <c r="E1579" s="17">
        <f>IF(B1579="","",IF(later_events!D29="","",later_events!D29&amp;""))</f>
        <v/>
      </c>
      <c r="F1579" s="17">
        <f>IF(B1579="","",later_events!E29&amp;"")</f>
        <v/>
      </c>
      <c r="G1579" s="17">
        <f>IF(B1579="","",IF(ISNUMBER(later_events!F29),later_events!F29,""))</f>
        <v/>
      </c>
      <c r="H1579" s="17">
        <f>IF(B1579="","",IF(later_events!G29="","",later_events!G29&amp;""))</f>
        <v/>
      </c>
      <c r="I1579" s="17">
        <f>IF(B1579="","","")</f>
        <v/>
      </c>
      <c r="J1579" s="17">
        <f>IF(B1579="","",IF(later_events!H29="","",later_events!H29&amp;""))</f>
        <v/>
      </c>
      <c r="K1579" t="inlineStr">
        <is>
          <t>later events</t>
        </is>
      </c>
    </row>
    <row r="1580">
      <c r="A1580" s="17">
        <f>IF(B1580="","",B1580+(11*1000+29)/10000000)</f>
        <v/>
      </c>
      <c r="B1580" s="23">
        <f>IF(AND(ISNUMBER(later_events!A30),TRIM(later_events!C30)&lt;&gt;"",OR(later_events!E30="renewal_answer",later_events!E30="opt_out"),OR(LEFT(later_events!C30,6)&lt;&gt;"SAMPLE",Config!$B$19="Y")),later_events!A30,"")</f>
        <v/>
      </c>
      <c r="C1580" s="17">
        <f>IF(B1580="","",later_events!B30&amp;"")</f>
        <v/>
      </c>
      <c r="D1580" s="17">
        <f>IF(B1580="","",later_events!C30&amp;"")</f>
        <v/>
      </c>
      <c r="E1580" s="17">
        <f>IF(B1580="","",IF(later_events!D30="","",later_events!D30&amp;""))</f>
        <v/>
      </c>
      <c r="F1580" s="17">
        <f>IF(B1580="","",later_events!E30&amp;"")</f>
        <v/>
      </c>
      <c r="G1580" s="17">
        <f>IF(B1580="","",IF(ISNUMBER(later_events!F30),later_events!F30,""))</f>
        <v/>
      </c>
      <c r="H1580" s="17">
        <f>IF(B1580="","",IF(later_events!G30="","",later_events!G30&amp;""))</f>
        <v/>
      </c>
      <c r="I1580" s="17">
        <f>IF(B1580="","","")</f>
        <v/>
      </c>
      <c r="J1580" s="17">
        <f>IF(B1580="","",IF(later_events!H30="","",later_events!H30&amp;""))</f>
        <v/>
      </c>
      <c r="K1580" t="inlineStr">
        <is>
          <t>later events</t>
        </is>
      </c>
    </row>
    <row r="1581">
      <c r="A1581" s="17">
        <f>IF(B1581="","",B1581+(11*1000+30)/10000000)</f>
        <v/>
      </c>
      <c r="B1581" s="23">
        <f>IF(AND(ISNUMBER(later_events!A31),TRIM(later_events!C31)&lt;&gt;"",OR(later_events!E31="renewal_answer",later_events!E31="opt_out"),OR(LEFT(later_events!C31,6)&lt;&gt;"SAMPLE",Config!$B$19="Y")),later_events!A31,"")</f>
        <v/>
      </c>
      <c r="C1581" s="17">
        <f>IF(B1581="","",later_events!B31&amp;"")</f>
        <v/>
      </c>
      <c r="D1581" s="17">
        <f>IF(B1581="","",later_events!C31&amp;"")</f>
        <v/>
      </c>
      <c r="E1581" s="17">
        <f>IF(B1581="","",IF(later_events!D31="","",later_events!D31&amp;""))</f>
        <v/>
      </c>
      <c r="F1581" s="17">
        <f>IF(B1581="","",later_events!E31&amp;"")</f>
        <v/>
      </c>
      <c r="G1581" s="17">
        <f>IF(B1581="","",IF(ISNUMBER(later_events!F31),later_events!F31,""))</f>
        <v/>
      </c>
      <c r="H1581" s="17">
        <f>IF(B1581="","",IF(later_events!G31="","",later_events!G31&amp;""))</f>
        <v/>
      </c>
      <c r="I1581" s="17">
        <f>IF(B1581="","","")</f>
        <v/>
      </c>
      <c r="J1581" s="17">
        <f>IF(B1581="","",IF(later_events!H31="","",later_events!H31&amp;""))</f>
        <v/>
      </c>
      <c r="K1581" t="inlineStr">
        <is>
          <t>later events</t>
        </is>
      </c>
    </row>
    <row r="1582">
      <c r="A1582" s="17">
        <f>IF(B1582="","",B1582+(11*1000+31)/10000000)</f>
        <v/>
      </c>
      <c r="B1582" s="23">
        <f>IF(AND(ISNUMBER(later_events!A32),TRIM(later_events!C32)&lt;&gt;"",OR(later_events!E32="renewal_answer",later_events!E32="opt_out"),OR(LEFT(later_events!C32,6)&lt;&gt;"SAMPLE",Config!$B$19="Y")),later_events!A32,"")</f>
        <v/>
      </c>
      <c r="C1582" s="17">
        <f>IF(B1582="","",later_events!B32&amp;"")</f>
        <v/>
      </c>
      <c r="D1582" s="17">
        <f>IF(B1582="","",later_events!C32&amp;"")</f>
        <v/>
      </c>
      <c r="E1582" s="17">
        <f>IF(B1582="","",IF(later_events!D32="","",later_events!D32&amp;""))</f>
        <v/>
      </c>
      <c r="F1582" s="17">
        <f>IF(B1582="","",later_events!E32&amp;"")</f>
        <v/>
      </c>
      <c r="G1582" s="17">
        <f>IF(B1582="","",IF(ISNUMBER(later_events!F32),later_events!F32,""))</f>
        <v/>
      </c>
      <c r="H1582" s="17">
        <f>IF(B1582="","",IF(later_events!G32="","",later_events!G32&amp;""))</f>
        <v/>
      </c>
      <c r="I1582" s="17">
        <f>IF(B1582="","","")</f>
        <v/>
      </c>
      <c r="J1582" s="17">
        <f>IF(B1582="","",IF(later_events!H32="","",later_events!H32&amp;""))</f>
        <v/>
      </c>
      <c r="K1582" t="inlineStr">
        <is>
          <t>later events</t>
        </is>
      </c>
    </row>
    <row r="1583">
      <c r="A1583" s="17">
        <f>IF(B1583="","",B1583+(11*1000+32)/10000000)</f>
        <v/>
      </c>
      <c r="B1583" s="23">
        <f>IF(AND(ISNUMBER(later_events!A33),TRIM(later_events!C33)&lt;&gt;"",OR(later_events!E33="renewal_answer",later_events!E33="opt_out"),OR(LEFT(later_events!C33,6)&lt;&gt;"SAMPLE",Config!$B$19="Y")),later_events!A33,"")</f>
        <v/>
      </c>
      <c r="C1583" s="17">
        <f>IF(B1583="","",later_events!B33&amp;"")</f>
        <v/>
      </c>
      <c r="D1583" s="17">
        <f>IF(B1583="","",later_events!C33&amp;"")</f>
        <v/>
      </c>
      <c r="E1583" s="17">
        <f>IF(B1583="","",IF(later_events!D33="","",later_events!D33&amp;""))</f>
        <v/>
      </c>
      <c r="F1583" s="17">
        <f>IF(B1583="","",later_events!E33&amp;"")</f>
        <v/>
      </c>
      <c r="G1583" s="17">
        <f>IF(B1583="","",IF(ISNUMBER(later_events!F33),later_events!F33,""))</f>
        <v/>
      </c>
      <c r="H1583" s="17">
        <f>IF(B1583="","",IF(later_events!G33="","",later_events!G33&amp;""))</f>
        <v/>
      </c>
      <c r="I1583" s="17">
        <f>IF(B1583="","","")</f>
        <v/>
      </c>
      <c r="J1583" s="17">
        <f>IF(B1583="","",IF(later_events!H33="","",later_events!H33&amp;""))</f>
        <v/>
      </c>
      <c r="K1583" t="inlineStr">
        <is>
          <t>later events</t>
        </is>
      </c>
    </row>
    <row r="1584">
      <c r="A1584" s="17">
        <f>IF(B1584="","",B1584+(11*1000+33)/10000000)</f>
        <v/>
      </c>
      <c r="B1584" s="23">
        <f>IF(AND(ISNUMBER(later_events!A34),TRIM(later_events!C34)&lt;&gt;"",OR(later_events!E34="renewal_answer",later_events!E34="opt_out"),OR(LEFT(later_events!C34,6)&lt;&gt;"SAMPLE",Config!$B$19="Y")),later_events!A34,"")</f>
        <v/>
      </c>
      <c r="C1584" s="17">
        <f>IF(B1584="","",later_events!B34&amp;"")</f>
        <v/>
      </c>
      <c r="D1584" s="17">
        <f>IF(B1584="","",later_events!C34&amp;"")</f>
        <v/>
      </c>
      <c r="E1584" s="17">
        <f>IF(B1584="","",IF(later_events!D34="","",later_events!D34&amp;""))</f>
        <v/>
      </c>
      <c r="F1584" s="17">
        <f>IF(B1584="","",later_events!E34&amp;"")</f>
        <v/>
      </c>
      <c r="G1584" s="17">
        <f>IF(B1584="","",IF(ISNUMBER(later_events!F34),later_events!F34,""))</f>
        <v/>
      </c>
      <c r="H1584" s="17">
        <f>IF(B1584="","",IF(later_events!G34="","",later_events!G34&amp;""))</f>
        <v/>
      </c>
      <c r="I1584" s="17">
        <f>IF(B1584="","","")</f>
        <v/>
      </c>
      <c r="J1584" s="17">
        <f>IF(B1584="","",IF(later_events!H34="","",later_events!H34&amp;""))</f>
        <v/>
      </c>
      <c r="K1584" t="inlineStr">
        <is>
          <t>later events</t>
        </is>
      </c>
    </row>
    <row r="1585">
      <c r="A1585" s="17">
        <f>IF(B1585="","",B1585+(11*1000+34)/10000000)</f>
        <v/>
      </c>
      <c r="B1585" s="23">
        <f>IF(AND(ISNUMBER(later_events!A35),TRIM(later_events!C35)&lt;&gt;"",OR(later_events!E35="renewal_answer",later_events!E35="opt_out"),OR(LEFT(later_events!C35,6)&lt;&gt;"SAMPLE",Config!$B$19="Y")),later_events!A35,"")</f>
        <v/>
      </c>
      <c r="C1585" s="17">
        <f>IF(B1585="","",later_events!B35&amp;"")</f>
        <v/>
      </c>
      <c r="D1585" s="17">
        <f>IF(B1585="","",later_events!C35&amp;"")</f>
        <v/>
      </c>
      <c r="E1585" s="17">
        <f>IF(B1585="","",IF(later_events!D35="","",later_events!D35&amp;""))</f>
        <v/>
      </c>
      <c r="F1585" s="17">
        <f>IF(B1585="","",later_events!E35&amp;"")</f>
        <v/>
      </c>
      <c r="G1585" s="17">
        <f>IF(B1585="","",IF(ISNUMBER(later_events!F35),later_events!F35,""))</f>
        <v/>
      </c>
      <c r="H1585" s="17">
        <f>IF(B1585="","",IF(later_events!G35="","",later_events!G35&amp;""))</f>
        <v/>
      </c>
      <c r="I1585" s="17">
        <f>IF(B1585="","","")</f>
        <v/>
      </c>
      <c r="J1585" s="17">
        <f>IF(B1585="","",IF(later_events!H35="","",later_events!H35&amp;""))</f>
        <v/>
      </c>
      <c r="K1585" t="inlineStr">
        <is>
          <t>later events</t>
        </is>
      </c>
    </row>
    <row r="1586">
      <c r="A1586" s="17">
        <f>IF(B1586="","",B1586+(11*1000+35)/10000000)</f>
        <v/>
      </c>
      <c r="B1586" s="23">
        <f>IF(AND(ISNUMBER(later_events!A36),TRIM(later_events!C36)&lt;&gt;"",OR(later_events!E36="renewal_answer",later_events!E36="opt_out"),OR(LEFT(later_events!C36,6)&lt;&gt;"SAMPLE",Config!$B$19="Y")),later_events!A36,"")</f>
        <v/>
      </c>
      <c r="C1586" s="17">
        <f>IF(B1586="","",later_events!B36&amp;"")</f>
        <v/>
      </c>
      <c r="D1586" s="17">
        <f>IF(B1586="","",later_events!C36&amp;"")</f>
        <v/>
      </c>
      <c r="E1586" s="17">
        <f>IF(B1586="","",IF(later_events!D36="","",later_events!D36&amp;""))</f>
        <v/>
      </c>
      <c r="F1586" s="17">
        <f>IF(B1586="","",later_events!E36&amp;"")</f>
        <v/>
      </c>
      <c r="G1586" s="17">
        <f>IF(B1586="","",IF(ISNUMBER(later_events!F36),later_events!F36,""))</f>
        <v/>
      </c>
      <c r="H1586" s="17">
        <f>IF(B1586="","",IF(later_events!G36="","",later_events!G36&amp;""))</f>
        <v/>
      </c>
      <c r="I1586" s="17">
        <f>IF(B1586="","","")</f>
        <v/>
      </c>
      <c r="J1586" s="17">
        <f>IF(B1586="","",IF(later_events!H36="","",later_events!H36&amp;""))</f>
        <v/>
      </c>
      <c r="K1586" t="inlineStr">
        <is>
          <t>later events</t>
        </is>
      </c>
    </row>
    <row r="1587">
      <c r="A1587" s="17">
        <f>IF(B1587="","",B1587+(11*1000+36)/10000000)</f>
        <v/>
      </c>
      <c r="B1587" s="23">
        <f>IF(AND(ISNUMBER(later_events!A37),TRIM(later_events!C37)&lt;&gt;"",OR(later_events!E37="renewal_answer",later_events!E37="opt_out"),OR(LEFT(later_events!C37,6)&lt;&gt;"SAMPLE",Config!$B$19="Y")),later_events!A37,"")</f>
        <v/>
      </c>
      <c r="C1587" s="17">
        <f>IF(B1587="","",later_events!B37&amp;"")</f>
        <v/>
      </c>
      <c r="D1587" s="17">
        <f>IF(B1587="","",later_events!C37&amp;"")</f>
        <v/>
      </c>
      <c r="E1587" s="17">
        <f>IF(B1587="","",IF(later_events!D37="","",later_events!D37&amp;""))</f>
        <v/>
      </c>
      <c r="F1587" s="17">
        <f>IF(B1587="","",later_events!E37&amp;"")</f>
        <v/>
      </c>
      <c r="G1587" s="17">
        <f>IF(B1587="","",IF(ISNUMBER(later_events!F37),later_events!F37,""))</f>
        <v/>
      </c>
      <c r="H1587" s="17">
        <f>IF(B1587="","",IF(later_events!G37="","",later_events!G37&amp;""))</f>
        <v/>
      </c>
      <c r="I1587" s="17">
        <f>IF(B1587="","","")</f>
        <v/>
      </c>
      <c r="J1587" s="17">
        <f>IF(B1587="","",IF(later_events!H37="","",later_events!H37&amp;""))</f>
        <v/>
      </c>
      <c r="K1587" t="inlineStr">
        <is>
          <t>later events</t>
        </is>
      </c>
    </row>
    <row r="1588">
      <c r="A1588" s="17">
        <f>IF(B1588="","",B1588+(11*1000+37)/10000000)</f>
        <v/>
      </c>
      <c r="B1588" s="23">
        <f>IF(AND(ISNUMBER(later_events!A38),TRIM(later_events!C38)&lt;&gt;"",OR(later_events!E38="renewal_answer",later_events!E38="opt_out"),OR(LEFT(later_events!C38,6)&lt;&gt;"SAMPLE",Config!$B$19="Y")),later_events!A38,"")</f>
        <v/>
      </c>
      <c r="C1588" s="17">
        <f>IF(B1588="","",later_events!B38&amp;"")</f>
        <v/>
      </c>
      <c r="D1588" s="17">
        <f>IF(B1588="","",later_events!C38&amp;"")</f>
        <v/>
      </c>
      <c r="E1588" s="17">
        <f>IF(B1588="","",IF(later_events!D38="","",later_events!D38&amp;""))</f>
        <v/>
      </c>
      <c r="F1588" s="17">
        <f>IF(B1588="","",later_events!E38&amp;"")</f>
        <v/>
      </c>
      <c r="G1588" s="17">
        <f>IF(B1588="","",IF(ISNUMBER(later_events!F38),later_events!F38,""))</f>
        <v/>
      </c>
      <c r="H1588" s="17">
        <f>IF(B1588="","",IF(later_events!G38="","",later_events!G38&amp;""))</f>
        <v/>
      </c>
      <c r="I1588" s="17">
        <f>IF(B1588="","","")</f>
        <v/>
      </c>
      <c r="J1588" s="17">
        <f>IF(B1588="","",IF(later_events!H38="","",later_events!H38&amp;""))</f>
        <v/>
      </c>
      <c r="K1588" t="inlineStr">
        <is>
          <t>later events</t>
        </is>
      </c>
    </row>
    <row r="1589">
      <c r="A1589" s="17">
        <f>IF(B1589="","",B1589+(11*1000+38)/10000000)</f>
        <v/>
      </c>
      <c r="B1589" s="23">
        <f>IF(AND(ISNUMBER(later_events!A39),TRIM(later_events!C39)&lt;&gt;"",OR(later_events!E39="renewal_answer",later_events!E39="opt_out"),OR(LEFT(later_events!C39,6)&lt;&gt;"SAMPLE",Config!$B$19="Y")),later_events!A39,"")</f>
        <v/>
      </c>
      <c r="C1589" s="17">
        <f>IF(B1589="","",later_events!B39&amp;"")</f>
        <v/>
      </c>
      <c r="D1589" s="17">
        <f>IF(B1589="","",later_events!C39&amp;"")</f>
        <v/>
      </c>
      <c r="E1589" s="17">
        <f>IF(B1589="","",IF(later_events!D39="","",later_events!D39&amp;""))</f>
        <v/>
      </c>
      <c r="F1589" s="17">
        <f>IF(B1589="","",later_events!E39&amp;"")</f>
        <v/>
      </c>
      <c r="G1589" s="17">
        <f>IF(B1589="","",IF(ISNUMBER(later_events!F39),later_events!F39,""))</f>
        <v/>
      </c>
      <c r="H1589" s="17">
        <f>IF(B1589="","",IF(later_events!G39="","",later_events!G39&amp;""))</f>
        <v/>
      </c>
      <c r="I1589" s="17">
        <f>IF(B1589="","","")</f>
        <v/>
      </c>
      <c r="J1589" s="17">
        <f>IF(B1589="","",IF(later_events!H39="","",later_events!H39&amp;""))</f>
        <v/>
      </c>
      <c r="K1589" t="inlineStr">
        <is>
          <t>later events</t>
        </is>
      </c>
    </row>
    <row r="1590">
      <c r="A1590" s="17">
        <f>IF(B1590="","",B1590+(11*1000+39)/10000000)</f>
        <v/>
      </c>
      <c r="B1590" s="23">
        <f>IF(AND(ISNUMBER(later_events!A40),TRIM(later_events!C40)&lt;&gt;"",OR(later_events!E40="renewal_answer",later_events!E40="opt_out"),OR(LEFT(later_events!C40,6)&lt;&gt;"SAMPLE",Config!$B$19="Y")),later_events!A40,"")</f>
        <v/>
      </c>
      <c r="C1590" s="17">
        <f>IF(B1590="","",later_events!B40&amp;"")</f>
        <v/>
      </c>
      <c r="D1590" s="17">
        <f>IF(B1590="","",later_events!C40&amp;"")</f>
        <v/>
      </c>
      <c r="E1590" s="17">
        <f>IF(B1590="","",IF(later_events!D40="","",later_events!D40&amp;""))</f>
        <v/>
      </c>
      <c r="F1590" s="17">
        <f>IF(B1590="","",later_events!E40&amp;"")</f>
        <v/>
      </c>
      <c r="G1590" s="17">
        <f>IF(B1590="","",IF(ISNUMBER(later_events!F40),later_events!F40,""))</f>
        <v/>
      </c>
      <c r="H1590" s="17">
        <f>IF(B1590="","",IF(later_events!G40="","",later_events!G40&amp;""))</f>
        <v/>
      </c>
      <c r="I1590" s="17">
        <f>IF(B1590="","","")</f>
        <v/>
      </c>
      <c r="J1590" s="17">
        <f>IF(B1590="","",IF(later_events!H40="","",later_events!H40&amp;""))</f>
        <v/>
      </c>
      <c r="K1590" t="inlineStr">
        <is>
          <t>later events</t>
        </is>
      </c>
    </row>
    <row r="1591">
      <c r="A1591" s="17">
        <f>IF(B1591="","",B1591+(11*1000+40)/10000000)</f>
        <v/>
      </c>
      <c r="B1591" s="23">
        <f>IF(AND(ISNUMBER(later_events!A41),TRIM(later_events!C41)&lt;&gt;"",OR(later_events!E41="renewal_answer",later_events!E41="opt_out"),OR(LEFT(later_events!C41,6)&lt;&gt;"SAMPLE",Config!$B$19="Y")),later_events!A41,"")</f>
        <v/>
      </c>
      <c r="C1591" s="17">
        <f>IF(B1591="","",later_events!B41&amp;"")</f>
        <v/>
      </c>
      <c r="D1591" s="17">
        <f>IF(B1591="","",later_events!C41&amp;"")</f>
        <v/>
      </c>
      <c r="E1591" s="17">
        <f>IF(B1591="","",IF(later_events!D41="","",later_events!D41&amp;""))</f>
        <v/>
      </c>
      <c r="F1591" s="17">
        <f>IF(B1591="","",later_events!E41&amp;"")</f>
        <v/>
      </c>
      <c r="G1591" s="17">
        <f>IF(B1591="","",IF(ISNUMBER(later_events!F41),later_events!F41,""))</f>
        <v/>
      </c>
      <c r="H1591" s="17">
        <f>IF(B1591="","",IF(later_events!G41="","",later_events!G41&amp;""))</f>
        <v/>
      </c>
      <c r="I1591" s="17">
        <f>IF(B1591="","","")</f>
        <v/>
      </c>
      <c r="J1591" s="17">
        <f>IF(B1591="","",IF(later_events!H41="","",later_events!H41&amp;""))</f>
        <v/>
      </c>
      <c r="K1591" t="inlineStr">
        <is>
          <t>later events</t>
        </is>
      </c>
    </row>
    <row r="1592">
      <c r="A1592" s="17">
        <f>IF(B1592="","",B1592+(11*1000+41)/10000000)</f>
        <v/>
      </c>
      <c r="B1592" s="23">
        <f>IF(AND(ISNUMBER(later_events!A42),TRIM(later_events!C42)&lt;&gt;"",OR(later_events!E42="renewal_answer",later_events!E42="opt_out"),OR(LEFT(later_events!C42,6)&lt;&gt;"SAMPLE",Config!$B$19="Y")),later_events!A42,"")</f>
        <v/>
      </c>
      <c r="C1592" s="17">
        <f>IF(B1592="","",later_events!B42&amp;"")</f>
        <v/>
      </c>
      <c r="D1592" s="17">
        <f>IF(B1592="","",later_events!C42&amp;"")</f>
        <v/>
      </c>
      <c r="E1592" s="17">
        <f>IF(B1592="","",IF(later_events!D42="","",later_events!D42&amp;""))</f>
        <v/>
      </c>
      <c r="F1592" s="17">
        <f>IF(B1592="","",later_events!E42&amp;"")</f>
        <v/>
      </c>
      <c r="G1592" s="17">
        <f>IF(B1592="","",IF(ISNUMBER(later_events!F42),later_events!F42,""))</f>
        <v/>
      </c>
      <c r="H1592" s="17">
        <f>IF(B1592="","",IF(later_events!G42="","",later_events!G42&amp;""))</f>
        <v/>
      </c>
      <c r="I1592" s="17">
        <f>IF(B1592="","","")</f>
        <v/>
      </c>
      <c r="J1592" s="17">
        <f>IF(B1592="","",IF(later_events!H42="","",later_events!H42&amp;""))</f>
        <v/>
      </c>
      <c r="K1592" t="inlineStr">
        <is>
          <t>later events</t>
        </is>
      </c>
    </row>
    <row r="1593">
      <c r="A1593" s="17">
        <f>IF(B1593="","",B1593+(11*1000+42)/10000000)</f>
        <v/>
      </c>
      <c r="B1593" s="23">
        <f>IF(AND(ISNUMBER(later_events!A43),TRIM(later_events!C43)&lt;&gt;"",OR(later_events!E43="renewal_answer",later_events!E43="opt_out"),OR(LEFT(later_events!C43,6)&lt;&gt;"SAMPLE",Config!$B$19="Y")),later_events!A43,"")</f>
        <v/>
      </c>
      <c r="C1593" s="17">
        <f>IF(B1593="","",later_events!B43&amp;"")</f>
        <v/>
      </c>
      <c r="D1593" s="17">
        <f>IF(B1593="","",later_events!C43&amp;"")</f>
        <v/>
      </c>
      <c r="E1593" s="17">
        <f>IF(B1593="","",IF(later_events!D43="","",later_events!D43&amp;""))</f>
        <v/>
      </c>
      <c r="F1593" s="17">
        <f>IF(B1593="","",later_events!E43&amp;"")</f>
        <v/>
      </c>
      <c r="G1593" s="17">
        <f>IF(B1593="","",IF(ISNUMBER(later_events!F43),later_events!F43,""))</f>
        <v/>
      </c>
      <c r="H1593" s="17">
        <f>IF(B1593="","",IF(later_events!G43="","",later_events!G43&amp;""))</f>
        <v/>
      </c>
      <c r="I1593" s="17">
        <f>IF(B1593="","","")</f>
        <v/>
      </c>
      <c r="J1593" s="17">
        <f>IF(B1593="","",IF(later_events!H43="","",later_events!H43&amp;""))</f>
        <v/>
      </c>
      <c r="K1593" t="inlineStr">
        <is>
          <t>later events</t>
        </is>
      </c>
    </row>
    <row r="1594">
      <c r="A1594" s="17">
        <f>IF(B1594="","",B1594+(11*1000+43)/10000000)</f>
        <v/>
      </c>
      <c r="B1594" s="23">
        <f>IF(AND(ISNUMBER(later_events!A44),TRIM(later_events!C44)&lt;&gt;"",OR(later_events!E44="renewal_answer",later_events!E44="opt_out"),OR(LEFT(later_events!C44,6)&lt;&gt;"SAMPLE",Config!$B$19="Y")),later_events!A44,"")</f>
        <v/>
      </c>
      <c r="C1594" s="17">
        <f>IF(B1594="","",later_events!B44&amp;"")</f>
        <v/>
      </c>
      <c r="D1594" s="17">
        <f>IF(B1594="","",later_events!C44&amp;"")</f>
        <v/>
      </c>
      <c r="E1594" s="17">
        <f>IF(B1594="","",IF(later_events!D44="","",later_events!D44&amp;""))</f>
        <v/>
      </c>
      <c r="F1594" s="17">
        <f>IF(B1594="","",later_events!E44&amp;"")</f>
        <v/>
      </c>
      <c r="G1594" s="17">
        <f>IF(B1594="","",IF(ISNUMBER(later_events!F44),later_events!F44,""))</f>
        <v/>
      </c>
      <c r="H1594" s="17">
        <f>IF(B1594="","",IF(later_events!G44="","",later_events!G44&amp;""))</f>
        <v/>
      </c>
      <c r="I1594" s="17">
        <f>IF(B1594="","","")</f>
        <v/>
      </c>
      <c r="J1594" s="17">
        <f>IF(B1594="","",IF(later_events!H44="","",later_events!H44&amp;""))</f>
        <v/>
      </c>
      <c r="K1594" t="inlineStr">
        <is>
          <t>later events</t>
        </is>
      </c>
    </row>
    <row r="1595">
      <c r="A1595" s="17">
        <f>IF(B1595="","",B1595+(11*1000+44)/10000000)</f>
        <v/>
      </c>
      <c r="B1595" s="23">
        <f>IF(AND(ISNUMBER(later_events!A45),TRIM(later_events!C45)&lt;&gt;"",OR(later_events!E45="renewal_answer",later_events!E45="opt_out"),OR(LEFT(later_events!C45,6)&lt;&gt;"SAMPLE",Config!$B$19="Y")),later_events!A45,"")</f>
        <v/>
      </c>
      <c r="C1595" s="17">
        <f>IF(B1595="","",later_events!B45&amp;"")</f>
        <v/>
      </c>
      <c r="D1595" s="17">
        <f>IF(B1595="","",later_events!C45&amp;"")</f>
        <v/>
      </c>
      <c r="E1595" s="17">
        <f>IF(B1595="","",IF(later_events!D45="","",later_events!D45&amp;""))</f>
        <v/>
      </c>
      <c r="F1595" s="17">
        <f>IF(B1595="","",later_events!E45&amp;"")</f>
        <v/>
      </c>
      <c r="G1595" s="17">
        <f>IF(B1595="","",IF(ISNUMBER(later_events!F45),later_events!F45,""))</f>
        <v/>
      </c>
      <c r="H1595" s="17">
        <f>IF(B1595="","",IF(later_events!G45="","",later_events!G45&amp;""))</f>
        <v/>
      </c>
      <c r="I1595" s="17">
        <f>IF(B1595="","","")</f>
        <v/>
      </c>
      <c r="J1595" s="17">
        <f>IF(B1595="","",IF(later_events!H45="","",later_events!H45&amp;""))</f>
        <v/>
      </c>
      <c r="K1595" t="inlineStr">
        <is>
          <t>later events</t>
        </is>
      </c>
    </row>
    <row r="1596">
      <c r="A1596" s="17">
        <f>IF(B1596="","",B1596+(11*1000+45)/10000000)</f>
        <v/>
      </c>
      <c r="B1596" s="23">
        <f>IF(AND(ISNUMBER(later_events!A46),TRIM(later_events!C46)&lt;&gt;"",OR(later_events!E46="renewal_answer",later_events!E46="opt_out"),OR(LEFT(later_events!C46,6)&lt;&gt;"SAMPLE",Config!$B$19="Y")),later_events!A46,"")</f>
        <v/>
      </c>
      <c r="C1596" s="17">
        <f>IF(B1596="","",later_events!B46&amp;"")</f>
        <v/>
      </c>
      <c r="D1596" s="17">
        <f>IF(B1596="","",later_events!C46&amp;"")</f>
        <v/>
      </c>
      <c r="E1596" s="17">
        <f>IF(B1596="","",IF(later_events!D46="","",later_events!D46&amp;""))</f>
        <v/>
      </c>
      <c r="F1596" s="17">
        <f>IF(B1596="","",later_events!E46&amp;"")</f>
        <v/>
      </c>
      <c r="G1596" s="17">
        <f>IF(B1596="","",IF(ISNUMBER(later_events!F46),later_events!F46,""))</f>
        <v/>
      </c>
      <c r="H1596" s="17">
        <f>IF(B1596="","",IF(later_events!G46="","",later_events!G46&amp;""))</f>
        <v/>
      </c>
      <c r="I1596" s="17">
        <f>IF(B1596="","","")</f>
        <v/>
      </c>
      <c r="J1596" s="17">
        <f>IF(B1596="","",IF(later_events!H46="","",later_events!H46&amp;""))</f>
        <v/>
      </c>
      <c r="K1596" t="inlineStr">
        <is>
          <t>later events</t>
        </is>
      </c>
    </row>
    <row r="1597">
      <c r="A1597" s="17">
        <f>IF(B1597="","",B1597+(11*1000+46)/10000000)</f>
        <v/>
      </c>
      <c r="B1597" s="23">
        <f>IF(AND(ISNUMBER(later_events!A47),TRIM(later_events!C47)&lt;&gt;"",OR(later_events!E47="renewal_answer",later_events!E47="opt_out"),OR(LEFT(later_events!C47,6)&lt;&gt;"SAMPLE",Config!$B$19="Y")),later_events!A47,"")</f>
        <v/>
      </c>
      <c r="C1597" s="17">
        <f>IF(B1597="","",later_events!B47&amp;"")</f>
        <v/>
      </c>
      <c r="D1597" s="17">
        <f>IF(B1597="","",later_events!C47&amp;"")</f>
        <v/>
      </c>
      <c r="E1597" s="17">
        <f>IF(B1597="","",IF(later_events!D47="","",later_events!D47&amp;""))</f>
        <v/>
      </c>
      <c r="F1597" s="17">
        <f>IF(B1597="","",later_events!E47&amp;"")</f>
        <v/>
      </c>
      <c r="G1597" s="17">
        <f>IF(B1597="","",IF(ISNUMBER(later_events!F47),later_events!F47,""))</f>
        <v/>
      </c>
      <c r="H1597" s="17">
        <f>IF(B1597="","",IF(later_events!G47="","",later_events!G47&amp;""))</f>
        <v/>
      </c>
      <c r="I1597" s="17">
        <f>IF(B1597="","","")</f>
        <v/>
      </c>
      <c r="J1597" s="17">
        <f>IF(B1597="","",IF(later_events!H47="","",later_events!H47&amp;""))</f>
        <v/>
      </c>
      <c r="K1597" t="inlineStr">
        <is>
          <t>later events</t>
        </is>
      </c>
    </row>
    <row r="1598">
      <c r="A1598" s="17">
        <f>IF(B1598="","",B1598+(11*1000+47)/10000000)</f>
        <v/>
      </c>
      <c r="B1598" s="23">
        <f>IF(AND(ISNUMBER(later_events!A48),TRIM(later_events!C48)&lt;&gt;"",OR(later_events!E48="renewal_answer",later_events!E48="opt_out"),OR(LEFT(later_events!C48,6)&lt;&gt;"SAMPLE",Config!$B$19="Y")),later_events!A48,"")</f>
        <v/>
      </c>
      <c r="C1598" s="17">
        <f>IF(B1598="","",later_events!B48&amp;"")</f>
        <v/>
      </c>
      <c r="D1598" s="17">
        <f>IF(B1598="","",later_events!C48&amp;"")</f>
        <v/>
      </c>
      <c r="E1598" s="17">
        <f>IF(B1598="","",IF(later_events!D48="","",later_events!D48&amp;""))</f>
        <v/>
      </c>
      <c r="F1598" s="17">
        <f>IF(B1598="","",later_events!E48&amp;"")</f>
        <v/>
      </c>
      <c r="G1598" s="17">
        <f>IF(B1598="","",IF(ISNUMBER(later_events!F48),later_events!F48,""))</f>
        <v/>
      </c>
      <c r="H1598" s="17">
        <f>IF(B1598="","",IF(later_events!G48="","",later_events!G48&amp;""))</f>
        <v/>
      </c>
      <c r="I1598" s="17">
        <f>IF(B1598="","","")</f>
        <v/>
      </c>
      <c r="J1598" s="17">
        <f>IF(B1598="","",IF(later_events!H48="","",later_events!H48&amp;""))</f>
        <v/>
      </c>
      <c r="K1598" t="inlineStr">
        <is>
          <t>later events</t>
        </is>
      </c>
    </row>
    <row r="1599">
      <c r="A1599" s="17">
        <f>IF(B1599="","",B1599+(11*1000+48)/10000000)</f>
        <v/>
      </c>
      <c r="B1599" s="23">
        <f>IF(AND(ISNUMBER(later_events!A49),TRIM(later_events!C49)&lt;&gt;"",OR(later_events!E49="renewal_answer",later_events!E49="opt_out"),OR(LEFT(later_events!C49,6)&lt;&gt;"SAMPLE",Config!$B$19="Y")),later_events!A49,"")</f>
        <v/>
      </c>
      <c r="C1599" s="17">
        <f>IF(B1599="","",later_events!B49&amp;"")</f>
        <v/>
      </c>
      <c r="D1599" s="17">
        <f>IF(B1599="","",later_events!C49&amp;"")</f>
        <v/>
      </c>
      <c r="E1599" s="17">
        <f>IF(B1599="","",IF(later_events!D49="","",later_events!D49&amp;""))</f>
        <v/>
      </c>
      <c r="F1599" s="17">
        <f>IF(B1599="","",later_events!E49&amp;"")</f>
        <v/>
      </c>
      <c r="G1599" s="17">
        <f>IF(B1599="","",IF(ISNUMBER(later_events!F49),later_events!F49,""))</f>
        <v/>
      </c>
      <c r="H1599" s="17">
        <f>IF(B1599="","",IF(later_events!G49="","",later_events!G49&amp;""))</f>
        <v/>
      </c>
      <c r="I1599" s="17">
        <f>IF(B1599="","","")</f>
        <v/>
      </c>
      <c r="J1599" s="17">
        <f>IF(B1599="","",IF(later_events!H49="","",later_events!H49&amp;""))</f>
        <v/>
      </c>
      <c r="K1599" t="inlineStr">
        <is>
          <t>later events</t>
        </is>
      </c>
    </row>
    <row r="1600">
      <c r="A1600" s="17">
        <f>IF(B1600="","",B1600+(11*1000+49)/10000000)</f>
        <v/>
      </c>
      <c r="B1600" s="23">
        <f>IF(AND(ISNUMBER(later_events!A50),TRIM(later_events!C50)&lt;&gt;"",OR(later_events!E50="renewal_answer",later_events!E50="opt_out"),OR(LEFT(later_events!C50,6)&lt;&gt;"SAMPLE",Config!$B$19="Y")),later_events!A50,"")</f>
        <v/>
      </c>
      <c r="C1600" s="17">
        <f>IF(B1600="","",later_events!B50&amp;"")</f>
        <v/>
      </c>
      <c r="D1600" s="17">
        <f>IF(B1600="","",later_events!C50&amp;"")</f>
        <v/>
      </c>
      <c r="E1600" s="17">
        <f>IF(B1600="","",IF(later_events!D50="","",later_events!D50&amp;""))</f>
        <v/>
      </c>
      <c r="F1600" s="17">
        <f>IF(B1600="","",later_events!E50&amp;"")</f>
        <v/>
      </c>
      <c r="G1600" s="17">
        <f>IF(B1600="","",IF(ISNUMBER(later_events!F50),later_events!F50,""))</f>
        <v/>
      </c>
      <c r="H1600" s="17">
        <f>IF(B1600="","",IF(later_events!G50="","",later_events!G50&amp;""))</f>
        <v/>
      </c>
      <c r="I1600" s="17">
        <f>IF(B1600="","","")</f>
        <v/>
      </c>
      <c r="J1600" s="17">
        <f>IF(B1600="","",IF(later_events!H50="","",later_events!H50&amp;""))</f>
        <v/>
      </c>
      <c r="K1600" t="inlineStr">
        <is>
          <t>later events</t>
        </is>
      </c>
    </row>
    <row r="1601">
      <c r="A1601" s="17">
        <f>IF(B1601="","",B1601+(11*1000+50)/10000000)</f>
        <v/>
      </c>
      <c r="B1601" s="23">
        <f>IF(AND(ISNUMBER(later_events!A51),TRIM(later_events!C51)&lt;&gt;"",OR(later_events!E51="renewal_answer",later_events!E51="opt_out"),OR(LEFT(later_events!C51,6)&lt;&gt;"SAMPLE",Config!$B$19="Y")),later_events!A51,"")</f>
        <v/>
      </c>
      <c r="C1601" s="17">
        <f>IF(B1601="","",later_events!B51&amp;"")</f>
        <v/>
      </c>
      <c r="D1601" s="17">
        <f>IF(B1601="","",later_events!C51&amp;"")</f>
        <v/>
      </c>
      <c r="E1601" s="17">
        <f>IF(B1601="","",IF(later_events!D51="","",later_events!D51&amp;""))</f>
        <v/>
      </c>
      <c r="F1601" s="17">
        <f>IF(B1601="","",later_events!E51&amp;"")</f>
        <v/>
      </c>
      <c r="G1601" s="17">
        <f>IF(B1601="","",IF(ISNUMBER(later_events!F51),later_events!F51,""))</f>
        <v/>
      </c>
      <c r="H1601" s="17">
        <f>IF(B1601="","",IF(later_events!G51="","",later_events!G51&amp;""))</f>
        <v/>
      </c>
      <c r="I1601" s="17">
        <f>IF(B1601="","","")</f>
        <v/>
      </c>
      <c r="J1601" s="17">
        <f>IF(B1601="","",IF(later_events!H51="","",later_events!H51&amp;""))</f>
        <v/>
      </c>
      <c r="K1601" t="inlineStr">
        <is>
          <t>later events</t>
        </is>
      </c>
    </row>
    <row r="1602">
      <c r="A1602" s="17">
        <f>IF(B1602="","",B1602+(11*1000+51)/10000000)</f>
        <v/>
      </c>
      <c r="B1602" s="23">
        <f>IF(AND(ISNUMBER(later_events!A52),TRIM(later_events!C52)&lt;&gt;"",OR(later_events!E52="renewal_answer",later_events!E52="opt_out"),OR(LEFT(later_events!C52,6)&lt;&gt;"SAMPLE",Config!$B$19="Y")),later_events!A52,"")</f>
        <v/>
      </c>
      <c r="C1602" s="17">
        <f>IF(B1602="","",later_events!B52&amp;"")</f>
        <v/>
      </c>
      <c r="D1602" s="17">
        <f>IF(B1602="","",later_events!C52&amp;"")</f>
        <v/>
      </c>
      <c r="E1602" s="17">
        <f>IF(B1602="","",IF(later_events!D52="","",later_events!D52&amp;""))</f>
        <v/>
      </c>
      <c r="F1602" s="17">
        <f>IF(B1602="","",later_events!E52&amp;"")</f>
        <v/>
      </c>
      <c r="G1602" s="17">
        <f>IF(B1602="","",IF(ISNUMBER(later_events!F52),later_events!F52,""))</f>
        <v/>
      </c>
      <c r="H1602" s="17">
        <f>IF(B1602="","",IF(later_events!G52="","",later_events!G52&amp;""))</f>
        <v/>
      </c>
      <c r="I1602" s="17">
        <f>IF(B1602="","","")</f>
        <v/>
      </c>
      <c r="J1602" s="17">
        <f>IF(B1602="","",IF(later_events!H52="","",later_events!H52&amp;""))</f>
        <v/>
      </c>
      <c r="K1602" t="inlineStr">
        <is>
          <t>later events</t>
        </is>
      </c>
    </row>
    <row r="1603">
      <c r="A1603" s="17">
        <f>IF(B1603="","",B1603+(11*1000+52)/10000000)</f>
        <v/>
      </c>
      <c r="B1603" s="23">
        <f>IF(AND(ISNUMBER(later_events!A53),TRIM(later_events!C53)&lt;&gt;"",OR(later_events!E53="renewal_answer",later_events!E53="opt_out"),OR(LEFT(later_events!C53,6)&lt;&gt;"SAMPLE",Config!$B$19="Y")),later_events!A53,"")</f>
        <v/>
      </c>
      <c r="C1603" s="17">
        <f>IF(B1603="","",later_events!B53&amp;"")</f>
        <v/>
      </c>
      <c r="D1603" s="17">
        <f>IF(B1603="","",later_events!C53&amp;"")</f>
        <v/>
      </c>
      <c r="E1603" s="17">
        <f>IF(B1603="","",IF(later_events!D53="","",later_events!D53&amp;""))</f>
        <v/>
      </c>
      <c r="F1603" s="17">
        <f>IF(B1603="","",later_events!E53&amp;"")</f>
        <v/>
      </c>
      <c r="G1603" s="17">
        <f>IF(B1603="","",IF(ISNUMBER(later_events!F53),later_events!F53,""))</f>
        <v/>
      </c>
      <c r="H1603" s="17">
        <f>IF(B1603="","",IF(later_events!G53="","",later_events!G53&amp;""))</f>
        <v/>
      </c>
      <c r="I1603" s="17">
        <f>IF(B1603="","","")</f>
        <v/>
      </c>
      <c r="J1603" s="17">
        <f>IF(B1603="","",IF(later_events!H53="","",later_events!H53&amp;""))</f>
        <v/>
      </c>
      <c r="K1603" t="inlineStr">
        <is>
          <t>later events</t>
        </is>
      </c>
    </row>
    <row r="1604">
      <c r="A1604" s="17">
        <f>IF(B1604="","",B1604+(11*1000+53)/10000000)</f>
        <v/>
      </c>
      <c r="B1604" s="23">
        <f>IF(AND(ISNUMBER(later_events!A54),TRIM(later_events!C54)&lt;&gt;"",OR(later_events!E54="renewal_answer",later_events!E54="opt_out"),OR(LEFT(later_events!C54,6)&lt;&gt;"SAMPLE",Config!$B$19="Y")),later_events!A54,"")</f>
        <v/>
      </c>
      <c r="C1604" s="17">
        <f>IF(B1604="","",later_events!B54&amp;"")</f>
        <v/>
      </c>
      <c r="D1604" s="17">
        <f>IF(B1604="","",later_events!C54&amp;"")</f>
        <v/>
      </c>
      <c r="E1604" s="17">
        <f>IF(B1604="","",IF(later_events!D54="","",later_events!D54&amp;""))</f>
        <v/>
      </c>
      <c r="F1604" s="17">
        <f>IF(B1604="","",later_events!E54&amp;"")</f>
        <v/>
      </c>
      <c r="G1604" s="17">
        <f>IF(B1604="","",IF(ISNUMBER(later_events!F54),later_events!F54,""))</f>
        <v/>
      </c>
      <c r="H1604" s="17">
        <f>IF(B1604="","",IF(later_events!G54="","",later_events!G54&amp;""))</f>
        <v/>
      </c>
      <c r="I1604" s="17">
        <f>IF(B1604="","","")</f>
        <v/>
      </c>
      <c r="J1604" s="17">
        <f>IF(B1604="","",IF(later_events!H54="","",later_events!H54&amp;""))</f>
        <v/>
      </c>
      <c r="K1604" t="inlineStr">
        <is>
          <t>later events</t>
        </is>
      </c>
    </row>
    <row r="1605">
      <c r="A1605" s="17">
        <f>IF(B1605="","",B1605+(11*1000+54)/10000000)</f>
        <v/>
      </c>
      <c r="B1605" s="23">
        <f>IF(AND(ISNUMBER(later_events!A55),TRIM(later_events!C55)&lt;&gt;"",OR(later_events!E55="renewal_answer",later_events!E55="opt_out"),OR(LEFT(later_events!C55,6)&lt;&gt;"SAMPLE",Config!$B$19="Y")),later_events!A55,"")</f>
        <v/>
      </c>
      <c r="C1605" s="17">
        <f>IF(B1605="","",later_events!B55&amp;"")</f>
        <v/>
      </c>
      <c r="D1605" s="17">
        <f>IF(B1605="","",later_events!C55&amp;"")</f>
        <v/>
      </c>
      <c r="E1605" s="17">
        <f>IF(B1605="","",IF(later_events!D55="","",later_events!D55&amp;""))</f>
        <v/>
      </c>
      <c r="F1605" s="17">
        <f>IF(B1605="","",later_events!E55&amp;"")</f>
        <v/>
      </c>
      <c r="G1605" s="17">
        <f>IF(B1605="","",IF(ISNUMBER(later_events!F55),later_events!F55,""))</f>
        <v/>
      </c>
      <c r="H1605" s="17">
        <f>IF(B1605="","",IF(later_events!G55="","",later_events!G55&amp;""))</f>
        <v/>
      </c>
      <c r="I1605" s="17">
        <f>IF(B1605="","","")</f>
        <v/>
      </c>
      <c r="J1605" s="17">
        <f>IF(B1605="","",IF(later_events!H55="","",later_events!H55&amp;""))</f>
        <v/>
      </c>
      <c r="K1605" t="inlineStr">
        <is>
          <t>later events</t>
        </is>
      </c>
    </row>
    <row r="1606">
      <c r="A1606" s="17">
        <f>IF(B1606="","",B1606+(11*1000+55)/10000000)</f>
        <v/>
      </c>
      <c r="B1606" s="23">
        <f>IF(AND(ISNUMBER(later_events!A56),TRIM(later_events!C56)&lt;&gt;"",OR(later_events!E56="renewal_answer",later_events!E56="opt_out"),OR(LEFT(later_events!C56,6)&lt;&gt;"SAMPLE",Config!$B$19="Y")),later_events!A56,"")</f>
        <v/>
      </c>
      <c r="C1606" s="17">
        <f>IF(B1606="","",later_events!B56&amp;"")</f>
        <v/>
      </c>
      <c r="D1606" s="17">
        <f>IF(B1606="","",later_events!C56&amp;"")</f>
        <v/>
      </c>
      <c r="E1606" s="17">
        <f>IF(B1606="","",IF(later_events!D56="","",later_events!D56&amp;""))</f>
        <v/>
      </c>
      <c r="F1606" s="17">
        <f>IF(B1606="","",later_events!E56&amp;"")</f>
        <v/>
      </c>
      <c r="G1606" s="17">
        <f>IF(B1606="","",IF(ISNUMBER(later_events!F56),later_events!F56,""))</f>
        <v/>
      </c>
      <c r="H1606" s="17">
        <f>IF(B1606="","",IF(later_events!G56="","",later_events!G56&amp;""))</f>
        <v/>
      </c>
      <c r="I1606" s="17">
        <f>IF(B1606="","","")</f>
        <v/>
      </c>
      <c r="J1606" s="17">
        <f>IF(B1606="","",IF(later_events!H56="","",later_events!H56&amp;""))</f>
        <v/>
      </c>
      <c r="K1606" t="inlineStr">
        <is>
          <t>later events</t>
        </is>
      </c>
    </row>
    <row r="1607">
      <c r="A1607" s="17">
        <f>IF(B1607="","",B1607+(11*1000+56)/10000000)</f>
        <v/>
      </c>
      <c r="B1607" s="23">
        <f>IF(AND(ISNUMBER(later_events!A57),TRIM(later_events!C57)&lt;&gt;"",OR(later_events!E57="renewal_answer",later_events!E57="opt_out"),OR(LEFT(later_events!C57,6)&lt;&gt;"SAMPLE",Config!$B$19="Y")),later_events!A57,"")</f>
        <v/>
      </c>
      <c r="C1607" s="17">
        <f>IF(B1607="","",later_events!B57&amp;"")</f>
        <v/>
      </c>
      <c r="D1607" s="17">
        <f>IF(B1607="","",later_events!C57&amp;"")</f>
        <v/>
      </c>
      <c r="E1607" s="17">
        <f>IF(B1607="","",IF(later_events!D57="","",later_events!D57&amp;""))</f>
        <v/>
      </c>
      <c r="F1607" s="17">
        <f>IF(B1607="","",later_events!E57&amp;"")</f>
        <v/>
      </c>
      <c r="G1607" s="17">
        <f>IF(B1607="","",IF(ISNUMBER(later_events!F57),later_events!F57,""))</f>
        <v/>
      </c>
      <c r="H1607" s="17">
        <f>IF(B1607="","",IF(later_events!G57="","",later_events!G57&amp;""))</f>
        <v/>
      </c>
      <c r="I1607" s="17">
        <f>IF(B1607="","","")</f>
        <v/>
      </c>
      <c r="J1607" s="17">
        <f>IF(B1607="","",IF(later_events!H57="","",later_events!H57&amp;""))</f>
        <v/>
      </c>
      <c r="K1607" t="inlineStr">
        <is>
          <t>later events</t>
        </is>
      </c>
    </row>
    <row r="1608">
      <c r="A1608" s="17">
        <f>IF(B1608="","",B1608+(11*1000+57)/10000000)</f>
        <v/>
      </c>
      <c r="B1608" s="23">
        <f>IF(AND(ISNUMBER(later_events!A58),TRIM(later_events!C58)&lt;&gt;"",OR(later_events!E58="renewal_answer",later_events!E58="opt_out"),OR(LEFT(later_events!C58,6)&lt;&gt;"SAMPLE",Config!$B$19="Y")),later_events!A58,"")</f>
        <v/>
      </c>
      <c r="C1608" s="17">
        <f>IF(B1608="","",later_events!B58&amp;"")</f>
        <v/>
      </c>
      <c r="D1608" s="17">
        <f>IF(B1608="","",later_events!C58&amp;"")</f>
        <v/>
      </c>
      <c r="E1608" s="17">
        <f>IF(B1608="","",IF(later_events!D58="","",later_events!D58&amp;""))</f>
        <v/>
      </c>
      <c r="F1608" s="17">
        <f>IF(B1608="","",later_events!E58&amp;"")</f>
        <v/>
      </c>
      <c r="G1608" s="17">
        <f>IF(B1608="","",IF(ISNUMBER(later_events!F58),later_events!F58,""))</f>
        <v/>
      </c>
      <c r="H1608" s="17">
        <f>IF(B1608="","",IF(later_events!G58="","",later_events!G58&amp;""))</f>
        <v/>
      </c>
      <c r="I1608" s="17">
        <f>IF(B1608="","","")</f>
        <v/>
      </c>
      <c r="J1608" s="17">
        <f>IF(B1608="","",IF(later_events!H58="","",later_events!H58&amp;""))</f>
        <v/>
      </c>
      <c r="K1608" t="inlineStr">
        <is>
          <t>later events</t>
        </is>
      </c>
    </row>
    <row r="1609">
      <c r="A1609" s="17">
        <f>IF(B1609="","",B1609+(11*1000+58)/10000000)</f>
        <v/>
      </c>
      <c r="B1609" s="23">
        <f>IF(AND(ISNUMBER(later_events!A59),TRIM(later_events!C59)&lt;&gt;"",OR(later_events!E59="renewal_answer",later_events!E59="opt_out"),OR(LEFT(later_events!C59,6)&lt;&gt;"SAMPLE",Config!$B$19="Y")),later_events!A59,"")</f>
        <v/>
      </c>
      <c r="C1609" s="17">
        <f>IF(B1609="","",later_events!B59&amp;"")</f>
        <v/>
      </c>
      <c r="D1609" s="17">
        <f>IF(B1609="","",later_events!C59&amp;"")</f>
        <v/>
      </c>
      <c r="E1609" s="17">
        <f>IF(B1609="","",IF(later_events!D59="","",later_events!D59&amp;""))</f>
        <v/>
      </c>
      <c r="F1609" s="17">
        <f>IF(B1609="","",later_events!E59&amp;"")</f>
        <v/>
      </c>
      <c r="G1609" s="17">
        <f>IF(B1609="","",IF(ISNUMBER(later_events!F59),later_events!F59,""))</f>
        <v/>
      </c>
      <c r="H1609" s="17">
        <f>IF(B1609="","",IF(later_events!G59="","",later_events!G59&amp;""))</f>
        <v/>
      </c>
      <c r="I1609" s="17">
        <f>IF(B1609="","","")</f>
        <v/>
      </c>
      <c r="J1609" s="17">
        <f>IF(B1609="","",IF(later_events!H59="","",later_events!H59&amp;""))</f>
        <v/>
      </c>
      <c r="K1609" t="inlineStr">
        <is>
          <t>later events</t>
        </is>
      </c>
    </row>
    <row r="1610">
      <c r="A1610" s="17">
        <f>IF(B1610="","",B1610+(11*1000+59)/10000000)</f>
        <v/>
      </c>
      <c r="B1610" s="23">
        <f>IF(AND(ISNUMBER(later_events!A60),TRIM(later_events!C60)&lt;&gt;"",OR(later_events!E60="renewal_answer",later_events!E60="opt_out"),OR(LEFT(later_events!C60,6)&lt;&gt;"SAMPLE",Config!$B$19="Y")),later_events!A60,"")</f>
        <v/>
      </c>
      <c r="C1610" s="17">
        <f>IF(B1610="","",later_events!B60&amp;"")</f>
        <v/>
      </c>
      <c r="D1610" s="17">
        <f>IF(B1610="","",later_events!C60&amp;"")</f>
        <v/>
      </c>
      <c r="E1610" s="17">
        <f>IF(B1610="","",IF(later_events!D60="","",later_events!D60&amp;""))</f>
        <v/>
      </c>
      <c r="F1610" s="17">
        <f>IF(B1610="","",later_events!E60&amp;"")</f>
        <v/>
      </c>
      <c r="G1610" s="17">
        <f>IF(B1610="","",IF(ISNUMBER(later_events!F60),later_events!F60,""))</f>
        <v/>
      </c>
      <c r="H1610" s="17">
        <f>IF(B1610="","",IF(later_events!G60="","",later_events!G60&amp;""))</f>
        <v/>
      </c>
      <c r="I1610" s="17">
        <f>IF(B1610="","","")</f>
        <v/>
      </c>
      <c r="J1610" s="17">
        <f>IF(B1610="","",IF(later_events!H60="","",later_events!H60&amp;""))</f>
        <v/>
      </c>
      <c r="K1610" t="inlineStr">
        <is>
          <t>later events</t>
        </is>
      </c>
    </row>
    <row r="1611">
      <c r="A1611" s="17">
        <f>IF(B1611="","",B1611+(11*1000+60)/10000000)</f>
        <v/>
      </c>
      <c r="B1611" s="23">
        <f>IF(AND(ISNUMBER(later_events!A61),TRIM(later_events!C61)&lt;&gt;"",OR(later_events!E61="renewal_answer",later_events!E61="opt_out"),OR(LEFT(later_events!C61,6)&lt;&gt;"SAMPLE",Config!$B$19="Y")),later_events!A61,"")</f>
        <v/>
      </c>
      <c r="C1611" s="17">
        <f>IF(B1611="","",later_events!B61&amp;"")</f>
        <v/>
      </c>
      <c r="D1611" s="17">
        <f>IF(B1611="","",later_events!C61&amp;"")</f>
        <v/>
      </c>
      <c r="E1611" s="17">
        <f>IF(B1611="","",IF(later_events!D61="","",later_events!D61&amp;""))</f>
        <v/>
      </c>
      <c r="F1611" s="17">
        <f>IF(B1611="","",later_events!E61&amp;"")</f>
        <v/>
      </c>
      <c r="G1611" s="17">
        <f>IF(B1611="","",IF(ISNUMBER(later_events!F61),later_events!F61,""))</f>
        <v/>
      </c>
      <c r="H1611" s="17">
        <f>IF(B1611="","",IF(later_events!G61="","",later_events!G61&amp;""))</f>
        <v/>
      </c>
      <c r="I1611" s="17">
        <f>IF(B1611="","","")</f>
        <v/>
      </c>
      <c r="J1611" s="17">
        <f>IF(B1611="","",IF(later_events!H61="","",later_events!H61&amp;""))</f>
        <v/>
      </c>
      <c r="K1611" t="inlineStr">
        <is>
          <t>later events</t>
        </is>
      </c>
    </row>
    <row r="1612">
      <c r="A1612" s="17">
        <f>IF(B1612="","",B1612+(11*1000+61)/10000000)</f>
        <v/>
      </c>
      <c r="B1612" s="23">
        <f>IF(AND(ISNUMBER(later_events!A62),TRIM(later_events!C62)&lt;&gt;"",OR(later_events!E62="renewal_answer",later_events!E62="opt_out"),OR(LEFT(later_events!C62,6)&lt;&gt;"SAMPLE",Config!$B$19="Y")),later_events!A62,"")</f>
        <v/>
      </c>
      <c r="C1612" s="17">
        <f>IF(B1612="","",later_events!B62&amp;"")</f>
        <v/>
      </c>
      <c r="D1612" s="17">
        <f>IF(B1612="","",later_events!C62&amp;"")</f>
        <v/>
      </c>
      <c r="E1612" s="17">
        <f>IF(B1612="","",IF(later_events!D62="","",later_events!D62&amp;""))</f>
        <v/>
      </c>
      <c r="F1612" s="17">
        <f>IF(B1612="","",later_events!E62&amp;"")</f>
        <v/>
      </c>
      <c r="G1612" s="17">
        <f>IF(B1612="","",IF(ISNUMBER(later_events!F62),later_events!F62,""))</f>
        <v/>
      </c>
      <c r="H1612" s="17">
        <f>IF(B1612="","",IF(later_events!G62="","",later_events!G62&amp;""))</f>
        <v/>
      </c>
      <c r="I1612" s="17">
        <f>IF(B1612="","","")</f>
        <v/>
      </c>
      <c r="J1612" s="17">
        <f>IF(B1612="","",IF(later_events!H62="","",later_events!H62&amp;""))</f>
        <v/>
      </c>
      <c r="K1612" t="inlineStr">
        <is>
          <t>later events</t>
        </is>
      </c>
    </row>
    <row r="1613">
      <c r="A1613" s="17">
        <f>IF(B1613="","",B1613+(11*1000+62)/10000000)</f>
        <v/>
      </c>
      <c r="B1613" s="23">
        <f>IF(AND(ISNUMBER(later_events!A63),TRIM(later_events!C63)&lt;&gt;"",OR(later_events!E63="renewal_answer",later_events!E63="opt_out"),OR(LEFT(later_events!C63,6)&lt;&gt;"SAMPLE",Config!$B$19="Y")),later_events!A63,"")</f>
        <v/>
      </c>
      <c r="C1613" s="17">
        <f>IF(B1613="","",later_events!B63&amp;"")</f>
        <v/>
      </c>
      <c r="D1613" s="17">
        <f>IF(B1613="","",later_events!C63&amp;"")</f>
        <v/>
      </c>
      <c r="E1613" s="17">
        <f>IF(B1613="","",IF(later_events!D63="","",later_events!D63&amp;""))</f>
        <v/>
      </c>
      <c r="F1613" s="17">
        <f>IF(B1613="","",later_events!E63&amp;"")</f>
        <v/>
      </c>
      <c r="G1613" s="17">
        <f>IF(B1613="","",IF(ISNUMBER(later_events!F63),later_events!F63,""))</f>
        <v/>
      </c>
      <c r="H1613" s="17">
        <f>IF(B1613="","",IF(later_events!G63="","",later_events!G63&amp;""))</f>
        <v/>
      </c>
      <c r="I1613" s="17">
        <f>IF(B1613="","","")</f>
        <v/>
      </c>
      <c r="J1613" s="17">
        <f>IF(B1613="","",IF(later_events!H63="","",later_events!H63&amp;""))</f>
        <v/>
      </c>
      <c r="K1613" t="inlineStr">
        <is>
          <t>later events</t>
        </is>
      </c>
    </row>
    <row r="1614">
      <c r="A1614" s="17">
        <f>IF(B1614="","",B1614+(11*1000+63)/10000000)</f>
        <v/>
      </c>
      <c r="B1614" s="23">
        <f>IF(AND(ISNUMBER(later_events!A64),TRIM(later_events!C64)&lt;&gt;"",OR(later_events!E64="renewal_answer",later_events!E64="opt_out"),OR(LEFT(later_events!C64,6)&lt;&gt;"SAMPLE",Config!$B$19="Y")),later_events!A64,"")</f>
        <v/>
      </c>
      <c r="C1614" s="17">
        <f>IF(B1614="","",later_events!B64&amp;"")</f>
        <v/>
      </c>
      <c r="D1614" s="17">
        <f>IF(B1614="","",later_events!C64&amp;"")</f>
        <v/>
      </c>
      <c r="E1614" s="17">
        <f>IF(B1614="","",IF(later_events!D64="","",later_events!D64&amp;""))</f>
        <v/>
      </c>
      <c r="F1614" s="17">
        <f>IF(B1614="","",later_events!E64&amp;"")</f>
        <v/>
      </c>
      <c r="G1614" s="17">
        <f>IF(B1614="","",IF(ISNUMBER(later_events!F64),later_events!F64,""))</f>
        <v/>
      </c>
      <c r="H1614" s="17">
        <f>IF(B1614="","",IF(later_events!G64="","",later_events!G64&amp;""))</f>
        <v/>
      </c>
      <c r="I1614" s="17">
        <f>IF(B1614="","","")</f>
        <v/>
      </c>
      <c r="J1614" s="17">
        <f>IF(B1614="","",IF(later_events!H64="","",later_events!H64&amp;""))</f>
        <v/>
      </c>
      <c r="K1614" t="inlineStr">
        <is>
          <t>later events</t>
        </is>
      </c>
    </row>
    <row r="1615">
      <c r="A1615" s="17">
        <f>IF(B1615="","",B1615+(11*1000+64)/10000000)</f>
        <v/>
      </c>
      <c r="B1615" s="23">
        <f>IF(AND(ISNUMBER(later_events!A65),TRIM(later_events!C65)&lt;&gt;"",OR(later_events!E65="renewal_answer",later_events!E65="opt_out"),OR(LEFT(later_events!C65,6)&lt;&gt;"SAMPLE",Config!$B$19="Y")),later_events!A65,"")</f>
        <v/>
      </c>
      <c r="C1615" s="17">
        <f>IF(B1615="","",later_events!B65&amp;"")</f>
        <v/>
      </c>
      <c r="D1615" s="17">
        <f>IF(B1615="","",later_events!C65&amp;"")</f>
        <v/>
      </c>
      <c r="E1615" s="17">
        <f>IF(B1615="","",IF(later_events!D65="","",later_events!D65&amp;""))</f>
        <v/>
      </c>
      <c r="F1615" s="17">
        <f>IF(B1615="","",later_events!E65&amp;"")</f>
        <v/>
      </c>
      <c r="G1615" s="17">
        <f>IF(B1615="","",IF(ISNUMBER(later_events!F65),later_events!F65,""))</f>
        <v/>
      </c>
      <c r="H1615" s="17">
        <f>IF(B1615="","",IF(later_events!G65="","",later_events!G65&amp;""))</f>
        <v/>
      </c>
      <c r="I1615" s="17">
        <f>IF(B1615="","","")</f>
        <v/>
      </c>
      <c r="J1615" s="17">
        <f>IF(B1615="","",IF(later_events!H65="","",later_events!H65&amp;""))</f>
        <v/>
      </c>
      <c r="K1615" t="inlineStr">
        <is>
          <t>later events</t>
        </is>
      </c>
    </row>
    <row r="1616">
      <c r="A1616" s="17">
        <f>IF(B1616="","",B1616+(11*1000+65)/10000000)</f>
        <v/>
      </c>
      <c r="B1616" s="23">
        <f>IF(AND(ISNUMBER(later_events!A66),TRIM(later_events!C66)&lt;&gt;"",OR(later_events!E66="renewal_answer",later_events!E66="opt_out"),OR(LEFT(later_events!C66,6)&lt;&gt;"SAMPLE",Config!$B$19="Y")),later_events!A66,"")</f>
        <v/>
      </c>
      <c r="C1616" s="17">
        <f>IF(B1616="","",later_events!B66&amp;"")</f>
        <v/>
      </c>
      <c r="D1616" s="17">
        <f>IF(B1616="","",later_events!C66&amp;"")</f>
        <v/>
      </c>
      <c r="E1616" s="17">
        <f>IF(B1616="","",IF(later_events!D66="","",later_events!D66&amp;""))</f>
        <v/>
      </c>
      <c r="F1616" s="17">
        <f>IF(B1616="","",later_events!E66&amp;"")</f>
        <v/>
      </c>
      <c r="G1616" s="17">
        <f>IF(B1616="","",IF(ISNUMBER(later_events!F66),later_events!F66,""))</f>
        <v/>
      </c>
      <c r="H1616" s="17">
        <f>IF(B1616="","",IF(later_events!G66="","",later_events!G66&amp;""))</f>
        <v/>
      </c>
      <c r="I1616" s="17">
        <f>IF(B1616="","","")</f>
        <v/>
      </c>
      <c r="J1616" s="17">
        <f>IF(B1616="","",IF(later_events!H66="","",later_events!H66&amp;""))</f>
        <v/>
      </c>
      <c r="K1616" t="inlineStr">
        <is>
          <t>later events</t>
        </is>
      </c>
    </row>
    <row r="1617">
      <c r="A1617" s="17">
        <f>IF(B1617="","",B1617+(11*1000+66)/10000000)</f>
        <v/>
      </c>
      <c r="B1617" s="23">
        <f>IF(AND(ISNUMBER(later_events!A67),TRIM(later_events!C67)&lt;&gt;"",OR(later_events!E67="renewal_answer",later_events!E67="opt_out"),OR(LEFT(later_events!C67,6)&lt;&gt;"SAMPLE",Config!$B$19="Y")),later_events!A67,"")</f>
        <v/>
      </c>
      <c r="C1617" s="17">
        <f>IF(B1617="","",later_events!B67&amp;"")</f>
        <v/>
      </c>
      <c r="D1617" s="17">
        <f>IF(B1617="","",later_events!C67&amp;"")</f>
        <v/>
      </c>
      <c r="E1617" s="17">
        <f>IF(B1617="","",IF(later_events!D67="","",later_events!D67&amp;""))</f>
        <v/>
      </c>
      <c r="F1617" s="17">
        <f>IF(B1617="","",later_events!E67&amp;"")</f>
        <v/>
      </c>
      <c r="G1617" s="17">
        <f>IF(B1617="","",IF(ISNUMBER(later_events!F67),later_events!F67,""))</f>
        <v/>
      </c>
      <c r="H1617" s="17">
        <f>IF(B1617="","",IF(later_events!G67="","",later_events!G67&amp;""))</f>
        <v/>
      </c>
      <c r="I1617" s="17">
        <f>IF(B1617="","","")</f>
        <v/>
      </c>
      <c r="J1617" s="17">
        <f>IF(B1617="","",IF(later_events!H67="","",later_events!H67&amp;""))</f>
        <v/>
      </c>
      <c r="K1617" t="inlineStr">
        <is>
          <t>later events</t>
        </is>
      </c>
    </row>
    <row r="1618">
      <c r="A1618" s="17">
        <f>IF(B1618="","",B1618+(11*1000+67)/10000000)</f>
        <v/>
      </c>
      <c r="B1618" s="23">
        <f>IF(AND(ISNUMBER(later_events!A68),TRIM(later_events!C68)&lt;&gt;"",OR(later_events!E68="renewal_answer",later_events!E68="opt_out"),OR(LEFT(later_events!C68,6)&lt;&gt;"SAMPLE",Config!$B$19="Y")),later_events!A68,"")</f>
        <v/>
      </c>
      <c r="C1618" s="17">
        <f>IF(B1618="","",later_events!B68&amp;"")</f>
        <v/>
      </c>
      <c r="D1618" s="17">
        <f>IF(B1618="","",later_events!C68&amp;"")</f>
        <v/>
      </c>
      <c r="E1618" s="17">
        <f>IF(B1618="","",IF(later_events!D68="","",later_events!D68&amp;""))</f>
        <v/>
      </c>
      <c r="F1618" s="17">
        <f>IF(B1618="","",later_events!E68&amp;"")</f>
        <v/>
      </c>
      <c r="G1618" s="17">
        <f>IF(B1618="","",IF(ISNUMBER(later_events!F68),later_events!F68,""))</f>
        <v/>
      </c>
      <c r="H1618" s="17">
        <f>IF(B1618="","",IF(later_events!G68="","",later_events!G68&amp;""))</f>
        <v/>
      </c>
      <c r="I1618" s="17">
        <f>IF(B1618="","","")</f>
        <v/>
      </c>
      <c r="J1618" s="17">
        <f>IF(B1618="","",IF(later_events!H68="","",later_events!H68&amp;""))</f>
        <v/>
      </c>
      <c r="K1618" t="inlineStr">
        <is>
          <t>later events</t>
        </is>
      </c>
    </row>
    <row r="1619">
      <c r="A1619" s="17">
        <f>IF(B1619="","",B1619+(11*1000+68)/10000000)</f>
        <v/>
      </c>
      <c r="B1619" s="23">
        <f>IF(AND(ISNUMBER(later_events!A69),TRIM(later_events!C69)&lt;&gt;"",OR(later_events!E69="renewal_answer",later_events!E69="opt_out"),OR(LEFT(later_events!C69,6)&lt;&gt;"SAMPLE",Config!$B$19="Y")),later_events!A69,"")</f>
        <v/>
      </c>
      <c r="C1619" s="17">
        <f>IF(B1619="","",later_events!B69&amp;"")</f>
        <v/>
      </c>
      <c r="D1619" s="17">
        <f>IF(B1619="","",later_events!C69&amp;"")</f>
        <v/>
      </c>
      <c r="E1619" s="17">
        <f>IF(B1619="","",IF(later_events!D69="","",later_events!D69&amp;""))</f>
        <v/>
      </c>
      <c r="F1619" s="17">
        <f>IF(B1619="","",later_events!E69&amp;"")</f>
        <v/>
      </c>
      <c r="G1619" s="17">
        <f>IF(B1619="","",IF(ISNUMBER(later_events!F69),later_events!F69,""))</f>
        <v/>
      </c>
      <c r="H1619" s="17">
        <f>IF(B1619="","",IF(later_events!G69="","",later_events!G69&amp;""))</f>
        <v/>
      </c>
      <c r="I1619" s="17">
        <f>IF(B1619="","","")</f>
        <v/>
      </c>
      <c r="J1619" s="17">
        <f>IF(B1619="","",IF(later_events!H69="","",later_events!H69&amp;""))</f>
        <v/>
      </c>
      <c r="K1619" t="inlineStr">
        <is>
          <t>later events</t>
        </is>
      </c>
    </row>
    <row r="1620">
      <c r="A1620" s="17">
        <f>IF(B1620="","",B1620+(11*1000+69)/10000000)</f>
        <v/>
      </c>
      <c r="B1620" s="23">
        <f>IF(AND(ISNUMBER(later_events!A70),TRIM(later_events!C70)&lt;&gt;"",OR(later_events!E70="renewal_answer",later_events!E70="opt_out"),OR(LEFT(later_events!C70,6)&lt;&gt;"SAMPLE",Config!$B$19="Y")),later_events!A70,"")</f>
        <v/>
      </c>
      <c r="C1620" s="17">
        <f>IF(B1620="","",later_events!B70&amp;"")</f>
        <v/>
      </c>
      <c r="D1620" s="17">
        <f>IF(B1620="","",later_events!C70&amp;"")</f>
        <v/>
      </c>
      <c r="E1620" s="17">
        <f>IF(B1620="","",IF(later_events!D70="","",later_events!D70&amp;""))</f>
        <v/>
      </c>
      <c r="F1620" s="17">
        <f>IF(B1620="","",later_events!E70&amp;"")</f>
        <v/>
      </c>
      <c r="G1620" s="17">
        <f>IF(B1620="","",IF(ISNUMBER(later_events!F70),later_events!F70,""))</f>
        <v/>
      </c>
      <c r="H1620" s="17">
        <f>IF(B1620="","",IF(later_events!G70="","",later_events!G70&amp;""))</f>
        <v/>
      </c>
      <c r="I1620" s="17">
        <f>IF(B1620="","","")</f>
        <v/>
      </c>
      <c r="J1620" s="17">
        <f>IF(B1620="","",IF(later_events!H70="","",later_events!H70&amp;""))</f>
        <v/>
      </c>
      <c r="K1620" t="inlineStr">
        <is>
          <t>later events</t>
        </is>
      </c>
    </row>
    <row r="1621">
      <c r="A1621" s="17">
        <f>IF(B1621="","",B1621+(11*1000+70)/10000000)</f>
        <v/>
      </c>
      <c r="B1621" s="23">
        <f>IF(AND(ISNUMBER(later_events!A71),TRIM(later_events!C71)&lt;&gt;"",OR(later_events!E71="renewal_answer",later_events!E71="opt_out"),OR(LEFT(later_events!C71,6)&lt;&gt;"SAMPLE",Config!$B$19="Y")),later_events!A71,"")</f>
        <v/>
      </c>
      <c r="C1621" s="17">
        <f>IF(B1621="","",later_events!B71&amp;"")</f>
        <v/>
      </c>
      <c r="D1621" s="17">
        <f>IF(B1621="","",later_events!C71&amp;"")</f>
        <v/>
      </c>
      <c r="E1621" s="17">
        <f>IF(B1621="","",IF(later_events!D71="","",later_events!D71&amp;""))</f>
        <v/>
      </c>
      <c r="F1621" s="17">
        <f>IF(B1621="","",later_events!E71&amp;"")</f>
        <v/>
      </c>
      <c r="G1621" s="17">
        <f>IF(B1621="","",IF(ISNUMBER(later_events!F71),later_events!F71,""))</f>
        <v/>
      </c>
      <c r="H1621" s="17">
        <f>IF(B1621="","",IF(later_events!G71="","",later_events!G71&amp;""))</f>
        <v/>
      </c>
      <c r="I1621" s="17">
        <f>IF(B1621="","","")</f>
        <v/>
      </c>
      <c r="J1621" s="17">
        <f>IF(B1621="","",IF(later_events!H71="","",later_events!H71&amp;""))</f>
        <v/>
      </c>
      <c r="K1621" t="inlineStr">
        <is>
          <t>later events</t>
        </is>
      </c>
    </row>
    <row r="1622">
      <c r="A1622" s="17">
        <f>IF(B1622="","",B1622+(11*1000+71)/10000000)</f>
        <v/>
      </c>
      <c r="B1622" s="23">
        <f>IF(AND(ISNUMBER(later_events!A72),TRIM(later_events!C72)&lt;&gt;"",OR(later_events!E72="renewal_answer",later_events!E72="opt_out"),OR(LEFT(later_events!C72,6)&lt;&gt;"SAMPLE",Config!$B$19="Y")),later_events!A72,"")</f>
        <v/>
      </c>
      <c r="C1622" s="17">
        <f>IF(B1622="","",later_events!B72&amp;"")</f>
        <v/>
      </c>
      <c r="D1622" s="17">
        <f>IF(B1622="","",later_events!C72&amp;"")</f>
        <v/>
      </c>
      <c r="E1622" s="17">
        <f>IF(B1622="","",IF(later_events!D72="","",later_events!D72&amp;""))</f>
        <v/>
      </c>
      <c r="F1622" s="17">
        <f>IF(B1622="","",later_events!E72&amp;"")</f>
        <v/>
      </c>
      <c r="G1622" s="17">
        <f>IF(B1622="","",IF(ISNUMBER(later_events!F72),later_events!F72,""))</f>
        <v/>
      </c>
      <c r="H1622" s="17">
        <f>IF(B1622="","",IF(later_events!G72="","",later_events!G72&amp;""))</f>
        <v/>
      </c>
      <c r="I1622" s="17">
        <f>IF(B1622="","","")</f>
        <v/>
      </c>
      <c r="J1622" s="17">
        <f>IF(B1622="","",IF(later_events!H72="","",later_events!H72&amp;""))</f>
        <v/>
      </c>
      <c r="K1622" t="inlineStr">
        <is>
          <t>later events</t>
        </is>
      </c>
    </row>
    <row r="1623">
      <c r="A1623" s="17">
        <f>IF(B1623="","",B1623+(11*1000+72)/10000000)</f>
        <v/>
      </c>
      <c r="B1623" s="23">
        <f>IF(AND(ISNUMBER(later_events!A73),TRIM(later_events!C73)&lt;&gt;"",OR(later_events!E73="renewal_answer",later_events!E73="opt_out"),OR(LEFT(later_events!C73,6)&lt;&gt;"SAMPLE",Config!$B$19="Y")),later_events!A73,"")</f>
        <v/>
      </c>
      <c r="C1623" s="17">
        <f>IF(B1623="","",later_events!B73&amp;"")</f>
        <v/>
      </c>
      <c r="D1623" s="17">
        <f>IF(B1623="","",later_events!C73&amp;"")</f>
        <v/>
      </c>
      <c r="E1623" s="17">
        <f>IF(B1623="","",IF(later_events!D73="","",later_events!D73&amp;""))</f>
        <v/>
      </c>
      <c r="F1623" s="17">
        <f>IF(B1623="","",later_events!E73&amp;"")</f>
        <v/>
      </c>
      <c r="G1623" s="17">
        <f>IF(B1623="","",IF(ISNUMBER(later_events!F73),later_events!F73,""))</f>
        <v/>
      </c>
      <c r="H1623" s="17">
        <f>IF(B1623="","",IF(later_events!G73="","",later_events!G73&amp;""))</f>
        <v/>
      </c>
      <c r="I1623" s="17">
        <f>IF(B1623="","","")</f>
        <v/>
      </c>
      <c r="J1623" s="17">
        <f>IF(B1623="","",IF(later_events!H73="","",later_events!H73&amp;""))</f>
        <v/>
      </c>
      <c r="K1623" t="inlineStr">
        <is>
          <t>later events</t>
        </is>
      </c>
    </row>
    <row r="1624">
      <c r="A1624" s="17">
        <f>IF(B1624="","",B1624+(11*1000+73)/10000000)</f>
        <v/>
      </c>
      <c r="B1624" s="23">
        <f>IF(AND(ISNUMBER(later_events!A74),TRIM(later_events!C74)&lt;&gt;"",OR(later_events!E74="renewal_answer",later_events!E74="opt_out"),OR(LEFT(later_events!C74,6)&lt;&gt;"SAMPLE",Config!$B$19="Y")),later_events!A74,"")</f>
        <v/>
      </c>
      <c r="C1624" s="17">
        <f>IF(B1624="","",later_events!B74&amp;"")</f>
        <v/>
      </c>
      <c r="D1624" s="17">
        <f>IF(B1624="","",later_events!C74&amp;"")</f>
        <v/>
      </c>
      <c r="E1624" s="17">
        <f>IF(B1624="","",IF(later_events!D74="","",later_events!D74&amp;""))</f>
        <v/>
      </c>
      <c r="F1624" s="17">
        <f>IF(B1624="","",later_events!E74&amp;"")</f>
        <v/>
      </c>
      <c r="G1624" s="17">
        <f>IF(B1624="","",IF(ISNUMBER(later_events!F74),later_events!F74,""))</f>
        <v/>
      </c>
      <c r="H1624" s="17">
        <f>IF(B1624="","",IF(later_events!G74="","",later_events!G74&amp;""))</f>
        <v/>
      </c>
      <c r="I1624" s="17">
        <f>IF(B1624="","","")</f>
        <v/>
      </c>
      <c r="J1624" s="17">
        <f>IF(B1624="","",IF(later_events!H74="","",later_events!H74&amp;""))</f>
        <v/>
      </c>
      <c r="K1624" t="inlineStr">
        <is>
          <t>later events</t>
        </is>
      </c>
    </row>
    <row r="1625">
      <c r="A1625" s="17">
        <f>IF(B1625="","",B1625+(11*1000+74)/10000000)</f>
        <v/>
      </c>
      <c r="B1625" s="23">
        <f>IF(AND(ISNUMBER(later_events!A75),TRIM(later_events!C75)&lt;&gt;"",OR(later_events!E75="renewal_answer",later_events!E75="opt_out"),OR(LEFT(later_events!C75,6)&lt;&gt;"SAMPLE",Config!$B$19="Y")),later_events!A75,"")</f>
        <v/>
      </c>
      <c r="C1625" s="17">
        <f>IF(B1625="","",later_events!B75&amp;"")</f>
        <v/>
      </c>
      <c r="D1625" s="17">
        <f>IF(B1625="","",later_events!C75&amp;"")</f>
        <v/>
      </c>
      <c r="E1625" s="17">
        <f>IF(B1625="","",IF(later_events!D75="","",later_events!D75&amp;""))</f>
        <v/>
      </c>
      <c r="F1625" s="17">
        <f>IF(B1625="","",later_events!E75&amp;"")</f>
        <v/>
      </c>
      <c r="G1625" s="17">
        <f>IF(B1625="","",IF(ISNUMBER(later_events!F75),later_events!F75,""))</f>
        <v/>
      </c>
      <c r="H1625" s="17">
        <f>IF(B1625="","",IF(later_events!G75="","",later_events!G75&amp;""))</f>
        <v/>
      </c>
      <c r="I1625" s="17">
        <f>IF(B1625="","","")</f>
        <v/>
      </c>
      <c r="J1625" s="17">
        <f>IF(B1625="","",IF(later_events!H75="","",later_events!H75&amp;""))</f>
        <v/>
      </c>
      <c r="K1625" t="inlineStr">
        <is>
          <t>later events</t>
        </is>
      </c>
    </row>
    <row r="1626">
      <c r="A1626" s="17">
        <f>IF(B1626="","",B1626+(11*1000+75)/10000000)</f>
        <v/>
      </c>
      <c r="B1626" s="23">
        <f>IF(AND(ISNUMBER(later_events!A76),TRIM(later_events!C76)&lt;&gt;"",OR(later_events!E76="renewal_answer",later_events!E76="opt_out"),OR(LEFT(later_events!C76,6)&lt;&gt;"SAMPLE",Config!$B$19="Y")),later_events!A76,"")</f>
        <v/>
      </c>
      <c r="C1626" s="17">
        <f>IF(B1626="","",later_events!B76&amp;"")</f>
        <v/>
      </c>
      <c r="D1626" s="17">
        <f>IF(B1626="","",later_events!C76&amp;"")</f>
        <v/>
      </c>
      <c r="E1626" s="17">
        <f>IF(B1626="","",IF(later_events!D76="","",later_events!D76&amp;""))</f>
        <v/>
      </c>
      <c r="F1626" s="17">
        <f>IF(B1626="","",later_events!E76&amp;"")</f>
        <v/>
      </c>
      <c r="G1626" s="17">
        <f>IF(B1626="","",IF(ISNUMBER(later_events!F76),later_events!F76,""))</f>
        <v/>
      </c>
      <c r="H1626" s="17">
        <f>IF(B1626="","",IF(later_events!G76="","",later_events!G76&amp;""))</f>
        <v/>
      </c>
      <c r="I1626" s="17">
        <f>IF(B1626="","","")</f>
        <v/>
      </c>
      <c r="J1626" s="17">
        <f>IF(B1626="","",IF(later_events!H76="","",later_events!H76&amp;""))</f>
        <v/>
      </c>
      <c r="K1626" t="inlineStr">
        <is>
          <t>later events</t>
        </is>
      </c>
    </row>
    <row r="1627">
      <c r="A1627" s="17">
        <f>IF(B1627="","",B1627+(11*1000+76)/10000000)</f>
        <v/>
      </c>
      <c r="B1627" s="23">
        <f>IF(AND(ISNUMBER(later_events!A77),TRIM(later_events!C77)&lt;&gt;"",OR(later_events!E77="renewal_answer",later_events!E77="opt_out"),OR(LEFT(later_events!C77,6)&lt;&gt;"SAMPLE",Config!$B$19="Y")),later_events!A77,"")</f>
        <v/>
      </c>
      <c r="C1627" s="17">
        <f>IF(B1627="","",later_events!B77&amp;"")</f>
        <v/>
      </c>
      <c r="D1627" s="17">
        <f>IF(B1627="","",later_events!C77&amp;"")</f>
        <v/>
      </c>
      <c r="E1627" s="17">
        <f>IF(B1627="","",IF(later_events!D77="","",later_events!D77&amp;""))</f>
        <v/>
      </c>
      <c r="F1627" s="17">
        <f>IF(B1627="","",later_events!E77&amp;"")</f>
        <v/>
      </c>
      <c r="G1627" s="17">
        <f>IF(B1627="","",IF(ISNUMBER(later_events!F77),later_events!F77,""))</f>
        <v/>
      </c>
      <c r="H1627" s="17">
        <f>IF(B1627="","",IF(later_events!G77="","",later_events!G77&amp;""))</f>
        <v/>
      </c>
      <c r="I1627" s="17">
        <f>IF(B1627="","","")</f>
        <v/>
      </c>
      <c r="J1627" s="17">
        <f>IF(B1627="","",IF(later_events!H77="","",later_events!H77&amp;""))</f>
        <v/>
      </c>
      <c r="K1627" t="inlineStr">
        <is>
          <t>later events</t>
        </is>
      </c>
    </row>
    <row r="1628">
      <c r="A1628" s="17">
        <f>IF(B1628="","",B1628+(11*1000+77)/10000000)</f>
        <v/>
      </c>
      <c r="B1628" s="23">
        <f>IF(AND(ISNUMBER(later_events!A78),TRIM(later_events!C78)&lt;&gt;"",OR(later_events!E78="renewal_answer",later_events!E78="opt_out"),OR(LEFT(later_events!C78,6)&lt;&gt;"SAMPLE",Config!$B$19="Y")),later_events!A78,"")</f>
        <v/>
      </c>
      <c r="C1628" s="17">
        <f>IF(B1628="","",later_events!B78&amp;"")</f>
        <v/>
      </c>
      <c r="D1628" s="17">
        <f>IF(B1628="","",later_events!C78&amp;"")</f>
        <v/>
      </c>
      <c r="E1628" s="17">
        <f>IF(B1628="","",IF(later_events!D78="","",later_events!D78&amp;""))</f>
        <v/>
      </c>
      <c r="F1628" s="17">
        <f>IF(B1628="","",later_events!E78&amp;"")</f>
        <v/>
      </c>
      <c r="G1628" s="17">
        <f>IF(B1628="","",IF(ISNUMBER(later_events!F78),later_events!F78,""))</f>
        <v/>
      </c>
      <c r="H1628" s="17">
        <f>IF(B1628="","",IF(later_events!G78="","",later_events!G78&amp;""))</f>
        <v/>
      </c>
      <c r="I1628" s="17">
        <f>IF(B1628="","","")</f>
        <v/>
      </c>
      <c r="J1628" s="17">
        <f>IF(B1628="","",IF(later_events!H78="","",later_events!H78&amp;""))</f>
        <v/>
      </c>
      <c r="K1628" t="inlineStr">
        <is>
          <t>later events</t>
        </is>
      </c>
    </row>
    <row r="1629">
      <c r="A1629" s="17">
        <f>IF(B1629="","",B1629+(11*1000+78)/10000000)</f>
        <v/>
      </c>
      <c r="B1629" s="23">
        <f>IF(AND(ISNUMBER(later_events!A79),TRIM(later_events!C79)&lt;&gt;"",OR(later_events!E79="renewal_answer",later_events!E79="opt_out"),OR(LEFT(later_events!C79,6)&lt;&gt;"SAMPLE",Config!$B$19="Y")),later_events!A79,"")</f>
        <v/>
      </c>
      <c r="C1629" s="17">
        <f>IF(B1629="","",later_events!B79&amp;"")</f>
        <v/>
      </c>
      <c r="D1629" s="17">
        <f>IF(B1629="","",later_events!C79&amp;"")</f>
        <v/>
      </c>
      <c r="E1629" s="17">
        <f>IF(B1629="","",IF(later_events!D79="","",later_events!D79&amp;""))</f>
        <v/>
      </c>
      <c r="F1629" s="17">
        <f>IF(B1629="","",later_events!E79&amp;"")</f>
        <v/>
      </c>
      <c r="G1629" s="17">
        <f>IF(B1629="","",IF(ISNUMBER(later_events!F79),later_events!F79,""))</f>
        <v/>
      </c>
      <c r="H1629" s="17">
        <f>IF(B1629="","",IF(later_events!G79="","",later_events!G79&amp;""))</f>
        <v/>
      </c>
      <c r="I1629" s="17">
        <f>IF(B1629="","","")</f>
        <v/>
      </c>
      <c r="J1629" s="17">
        <f>IF(B1629="","",IF(later_events!H79="","",later_events!H79&amp;""))</f>
        <v/>
      </c>
      <c r="K1629" t="inlineStr">
        <is>
          <t>later events</t>
        </is>
      </c>
    </row>
    <row r="1630">
      <c r="A1630" s="17">
        <f>IF(B1630="","",B1630+(11*1000+79)/10000000)</f>
        <v/>
      </c>
      <c r="B1630" s="23">
        <f>IF(AND(ISNUMBER(later_events!A80),TRIM(later_events!C80)&lt;&gt;"",OR(later_events!E80="renewal_answer",later_events!E80="opt_out"),OR(LEFT(later_events!C80,6)&lt;&gt;"SAMPLE",Config!$B$19="Y")),later_events!A80,"")</f>
        <v/>
      </c>
      <c r="C1630" s="17">
        <f>IF(B1630="","",later_events!B80&amp;"")</f>
        <v/>
      </c>
      <c r="D1630" s="17">
        <f>IF(B1630="","",later_events!C80&amp;"")</f>
        <v/>
      </c>
      <c r="E1630" s="17">
        <f>IF(B1630="","",IF(later_events!D80="","",later_events!D80&amp;""))</f>
        <v/>
      </c>
      <c r="F1630" s="17">
        <f>IF(B1630="","",later_events!E80&amp;"")</f>
        <v/>
      </c>
      <c r="G1630" s="17">
        <f>IF(B1630="","",IF(ISNUMBER(later_events!F80),later_events!F80,""))</f>
        <v/>
      </c>
      <c r="H1630" s="17">
        <f>IF(B1630="","",IF(later_events!G80="","",later_events!G80&amp;""))</f>
        <v/>
      </c>
      <c r="I1630" s="17">
        <f>IF(B1630="","","")</f>
        <v/>
      </c>
      <c r="J1630" s="17">
        <f>IF(B1630="","",IF(later_events!H80="","",later_events!H80&amp;""))</f>
        <v/>
      </c>
      <c r="K1630" t="inlineStr">
        <is>
          <t>later events</t>
        </is>
      </c>
    </row>
    <row r="1631">
      <c r="A1631" s="17">
        <f>IF(B1631="","",B1631+(11*1000+80)/10000000)</f>
        <v/>
      </c>
      <c r="B1631" s="23">
        <f>IF(AND(ISNUMBER(later_events!A81),TRIM(later_events!C81)&lt;&gt;"",OR(later_events!E81="renewal_answer",later_events!E81="opt_out"),OR(LEFT(later_events!C81,6)&lt;&gt;"SAMPLE",Config!$B$19="Y")),later_events!A81,"")</f>
        <v/>
      </c>
      <c r="C1631" s="17">
        <f>IF(B1631="","",later_events!B81&amp;"")</f>
        <v/>
      </c>
      <c r="D1631" s="17">
        <f>IF(B1631="","",later_events!C81&amp;"")</f>
        <v/>
      </c>
      <c r="E1631" s="17">
        <f>IF(B1631="","",IF(later_events!D81="","",later_events!D81&amp;""))</f>
        <v/>
      </c>
      <c r="F1631" s="17">
        <f>IF(B1631="","",later_events!E81&amp;"")</f>
        <v/>
      </c>
      <c r="G1631" s="17">
        <f>IF(B1631="","",IF(ISNUMBER(later_events!F81),later_events!F81,""))</f>
        <v/>
      </c>
      <c r="H1631" s="17">
        <f>IF(B1631="","",IF(later_events!G81="","",later_events!G81&amp;""))</f>
        <v/>
      </c>
      <c r="I1631" s="17">
        <f>IF(B1631="","","")</f>
        <v/>
      </c>
      <c r="J1631" s="17">
        <f>IF(B1631="","",IF(later_events!H81="","",later_events!H81&amp;""))</f>
        <v/>
      </c>
      <c r="K1631" t="inlineStr">
        <is>
          <t>later events</t>
        </is>
      </c>
    </row>
    <row r="1632">
      <c r="A1632" s="17">
        <f>IF(B1632="","",B1632+(11*1000+81)/10000000)</f>
        <v/>
      </c>
      <c r="B1632" s="23">
        <f>IF(AND(ISNUMBER(later_events!A82),TRIM(later_events!C82)&lt;&gt;"",OR(later_events!E82="renewal_answer",later_events!E82="opt_out"),OR(LEFT(later_events!C82,6)&lt;&gt;"SAMPLE",Config!$B$19="Y")),later_events!A82,"")</f>
        <v/>
      </c>
      <c r="C1632" s="17">
        <f>IF(B1632="","",later_events!B82&amp;"")</f>
        <v/>
      </c>
      <c r="D1632" s="17">
        <f>IF(B1632="","",later_events!C82&amp;"")</f>
        <v/>
      </c>
      <c r="E1632" s="17">
        <f>IF(B1632="","",IF(later_events!D82="","",later_events!D82&amp;""))</f>
        <v/>
      </c>
      <c r="F1632" s="17">
        <f>IF(B1632="","",later_events!E82&amp;"")</f>
        <v/>
      </c>
      <c r="G1632" s="17">
        <f>IF(B1632="","",IF(ISNUMBER(later_events!F82),later_events!F82,""))</f>
        <v/>
      </c>
      <c r="H1632" s="17">
        <f>IF(B1632="","",IF(later_events!G82="","",later_events!G82&amp;""))</f>
        <v/>
      </c>
      <c r="I1632" s="17">
        <f>IF(B1632="","","")</f>
        <v/>
      </c>
      <c r="J1632" s="17">
        <f>IF(B1632="","",IF(later_events!H82="","",later_events!H82&amp;""))</f>
        <v/>
      </c>
      <c r="K1632" t="inlineStr">
        <is>
          <t>later events</t>
        </is>
      </c>
    </row>
    <row r="1633">
      <c r="A1633" s="17">
        <f>IF(B1633="","",B1633+(11*1000+82)/10000000)</f>
        <v/>
      </c>
      <c r="B1633" s="23">
        <f>IF(AND(ISNUMBER(later_events!A83),TRIM(later_events!C83)&lt;&gt;"",OR(later_events!E83="renewal_answer",later_events!E83="opt_out"),OR(LEFT(later_events!C83,6)&lt;&gt;"SAMPLE",Config!$B$19="Y")),later_events!A83,"")</f>
        <v/>
      </c>
      <c r="C1633" s="17">
        <f>IF(B1633="","",later_events!B83&amp;"")</f>
        <v/>
      </c>
      <c r="D1633" s="17">
        <f>IF(B1633="","",later_events!C83&amp;"")</f>
        <v/>
      </c>
      <c r="E1633" s="17">
        <f>IF(B1633="","",IF(later_events!D83="","",later_events!D83&amp;""))</f>
        <v/>
      </c>
      <c r="F1633" s="17">
        <f>IF(B1633="","",later_events!E83&amp;"")</f>
        <v/>
      </c>
      <c r="G1633" s="17">
        <f>IF(B1633="","",IF(ISNUMBER(later_events!F83),later_events!F83,""))</f>
        <v/>
      </c>
      <c r="H1633" s="17">
        <f>IF(B1633="","",IF(later_events!G83="","",later_events!G83&amp;""))</f>
        <v/>
      </c>
      <c r="I1633" s="17">
        <f>IF(B1633="","","")</f>
        <v/>
      </c>
      <c r="J1633" s="17">
        <f>IF(B1633="","",IF(later_events!H83="","",later_events!H83&amp;""))</f>
        <v/>
      </c>
      <c r="K1633" t="inlineStr">
        <is>
          <t>later events</t>
        </is>
      </c>
    </row>
    <row r="1634">
      <c r="A1634" s="17">
        <f>IF(B1634="","",B1634+(11*1000+83)/10000000)</f>
        <v/>
      </c>
      <c r="B1634" s="23">
        <f>IF(AND(ISNUMBER(later_events!A84),TRIM(later_events!C84)&lt;&gt;"",OR(later_events!E84="renewal_answer",later_events!E84="opt_out"),OR(LEFT(later_events!C84,6)&lt;&gt;"SAMPLE",Config!$B$19="Y")),later_events!A84,"")</f>
        <v/>
      </c>
      <c r="C1634" s="17">
        <f>IF(B1634="","",later_events!B84&amp;"")</f>
        <v/>
      </c>
      <c r="D1634" s="17">
        <f>IF(B1634="","",later_events!C84&amp;"")</f>
        <v/>
      </c>
      <c r="E1634" s="17">
        <f>IF(B1634="","",IF(later_events!D84="","",later_events!D84&amp;""))</f>
        <v/>
      </c>
      <c r="F1634" s="17">
        <f>IF(B1634="","",later_events!E84&amp;"")</f>
        <v/>
      </c>
      <c r="G1634" s="17">
        <f>IF(B1634="","",IF(ISNUMBER(later_events!F84),later_events!F84,""))</f>
        <v/>
      </c>
      <c r="H1634" s="17">
        <f>IF(B1634="","",IF(later_events!G84="","",later_events!G84&amp;""))</f>
        <v/>
      </c>
      <c r="I1634" s="17">
        <f>IF(B1634="","","")</f>
        <v/>
      </c>
      <c r="J1634" s="17">
        <f>IF(B1634="","",IF(later_events!H84="","",later_events!H84&amp;""))</f>
        <v/>
      </c>
      <c r="K1634" t="inlineStr">
        <is>
          <t>later events</t>
        </is>
      </c>
    </row>
    <row r="1635">
      <c r="A1635" s="17">
        <f>IF(B1635="","",B1635+(11*1000+84)/10000000)</f>
        <v/>
      </c>
      <c r="B1635" s="23">
        <f>IF(AND(ISNUMBER(later_events!A85),TRIM(later_events!C85)&lt;&gt;"",OR(later_events!E85="renewal_answer",later_events!E85="opt_out"),OR(LEFT(later_events!C85,6)&lt;&gt;"SAMPLE",Config!$B$19="Y")),later_events!A85,"")</f>
        <v/>
      </c>
      <c r="C1635" s="17">
        <f>IF(B1635="","",later_events!B85&amp;"")</f>
        <v/>
      </c>
      <c r="D1635" s="17">
        <f>IF(B1635="","",later_events!C85&amp;"")</f>
        <v/>
      </c>
      <c r="E1635" s="17">
        <f>IF(B1635="","",IF(later_events!D85="","",later_events!D85&amp;""))</f>
        <v/>
      </c>
      <c r="F1635" s="17">
        <f>IF(B1635="","",later_events!E85&amp;"")</f>
        <v/>
      </c>
      <c r="G1635" s="17">
        <f>IF(B1635="","",IF(ISNUMBER(later_events!F85),later_events!F85,""))</f>
        <v/>
      </c>
      <c r="H1635" s="17">
        <f>IF(B1635="","",IF(later_events!G85="","",later_events!G85&amp;""))</f>
        <v/>
      </c>
      <c r="I1635" s="17">
        <f>IF(B1635="","","")</f>
        <v/>
      </c>
      <c r="J1635" s="17">
        <f>IF(B1635="","",IF(later_events!H85="","",later_events!H85&amp;""))</f>
        <v/>
      </c>
      <c r="K1635" t="inlineStr">
        <is>
          <t>later events</t>
        </is>
      </c>
    </row>
    <row r="1636">
      <c r="A1636" s="17">
        <f>IF(B1636="","",B1636+(11*1000+85)/10000000)</f>
        <v/>
      </c>
      <c r="B1636" s="23">
        <f>IF(AND(ISNUMBER(later_events!A86),TRIM(later_events!C86)&lt;&gt;"",OR(later_events!E86="renewal_answer",later_events!E86="opt_out"),OR(LEFT(later_events!C86,6)&lt;&gt;"SAMPLE",Config!$B$19="Y")),later_events!A86,"")</f>
        <v/>
      </c>
      <c r="C1636" s="17">
        <f>IF(B1636="","",later_events!B86&amp;"")</f>
        <v/>
      </c>
      <c r="D1636" s="17">
        <f>IF(B1636="","",later_events!C86&amp;"")</f>
        <v/>
      </c>
      <c r="E1636" s="17">
        <f>IF(B1636="","",IF(later_events!D86="","",later_events!D86&amp;""))</f>
        <v/>
      </c>
      <c r="F1636" s="17">
        <f>IF(B1636="","",later_events!E86&amp;"")</f>
        <v/>
      </c>
      <c r="G1636" s="17">
        <f>IF(B1636="","",IF(ISNUMBER(later_events!F86),later_events!F86,""))</f>
        <v/>
      </c>
      <c r="H1636" s="17">
        <f>IF(B1636="","",IF(later_events!G86="","",later_events!G86&amp;""))</f>
        <v/>
      </c>
      <c r="I1636" s="17">
        <f>IF(B1636="","","")</f>
        <v/>
      </c>
      <c r="J1636" s="17">
        <f>IF(B1636="","",IF(later_events!H86="","",later_events!H86&amp;""))</f>
        <v/>
      </c>
      <c r="K1636" t="inlineStr">
        <is>
          <t>later events</t>
        </is>
      </c>
    </row>
    <row r="1637">
      <c r="A1637" s="17">
        <f>IF(B1637="","",B1637+(11*1000+86)/10000000)</f>
        <v/>
      </c>
      <c r="B1637" s="23">
        <f>IF(AND(ISNUMBER(later_events!A87),TRIM(later_events!C87)&lt;&gt;"",OR(later_events!E87="renewal_answer",later_events!E87="opt_out"),OR(LEFT(later_events!C87,6)&lt;&gt;"SAMPLE",Config!$B$19="Y")),later_events!A87,"")</f>
        <v/>
      </c>
      <c r="C1637" s="17">
        <f>IF(B1637="","",later_events!B87&amp;"")</f>
        <v/>
      </c>
      <c r="D1637" s="17">
        <f>IF(B1637="","",later_events!C87&amp;"")</f>
        <v/>
      </c>
      <c r="E1637" s="17">
        <f>IF(B1637="","",IF(later_events!D87="","",later_events!D87&amp;""))</f>
        <v/>
      </c>
      <c r="F1637" s="17">
        <f>IF(B1637="","",later_events!E87&amp;"")</f>
        <v/>
      </c>
      <c r="G1637" s="17">
        <f>IF(B1637="","",IF(ISNUMBER(later_events!F87),later_events!F87,""))</f>
        <v/>
      </c>
      <c r="H1637" s="17">
        <f>IF(B1637="","",IF(later_events!G87="","",later_events!G87&amp;""))</f>
        <v/>
      </c>
      <c r="I1637" s="17">
        <f>IF(B1637="","","")</f>
        <v/>
      </c>
      <c r="J1637" s="17">
        <f>IF(B1637="","",IF(later_events!H87="","",later_events!H87&amp;""))</f>
        <v/>
      </c>
      <c r="K1637" t="inlineStr">
        <is>
          <t>later events</t>
        </is>
      </c>
    </row>
    <row r="1638">
      <c r="A1638" s="17">
        <f>IF(B1638="","",B1638+(11*1000+87)/10000000)</f>
        <v/>
      </c>
      <c r="B1638" s="23">
        <f>IF(AND(ISNUMBER(later_events!A88),TRIM(later_events!C88)&lt;&gt;"",OR(later_events!E88="renewal_answer",later_events!E88="opt_out"),OR(LEFT(later_events!C88,6)&lt;&gt;"SAMPLE",Config!$B$19="Y")),later_events!A88,"")</f>
        <v/>
      </c>
      <c r="C1638" s="17">
        <f>IF(B1638="","",later_events!B88&amp;"")</f>
        <v/>
      </c>
      <c r="D1638" s="17">
        <f>IF(B1638="","",later_events!C88&amp;"")</f>
        <v/>
      </c>
      <c r="E1638" s="17">
        <f>IF(B1638="","",IF(later_events!D88="","",later_events!D88&amp;""))</f>
        <v/>
      </c>
      <c r="F1638" s="17">
        <f>IF(B1638="","",later_events!E88&amp;"")</f>
        <v/>
      </c>
      <c r="G1638" s="17">
        <f>IF(B1638="","",IF(ISNUMBER(later_events!F88),later_events!F88,""))</f>
        <v/>
      </c>
      <c r="H1638" s="17">
        <f>IF(B1638="","",IF(later_events!G88="","",later_events!G88&amp;""))</f>
        <v/>
      </c>
      <c r="I1638" s="17">
        <f>IF(B1638="","","")</f>
        <v/>
      </c>
      <c r="J1638" s="17">
        <f>IF(B1638="","",IF(later_events!H88="","",later_events!H88&amp;""))</f>
        <v/>
      </c>
      <c r="K1638" t="inlineStr">
        <is>
          <t>later events</t>
        </is>
      </c>
    </row>
    <row r="1639">
      <c r="A1639" s="17">
        <f>IF(B1639="","",B1639+(11*1000+88)/10000000)</f>
        <v/>
      </c>
      <c r="B1639" s="23">
        <f>IF(AND(ISNUMBER(later_events!A89),TRIM(later_events!C89)&lt;&gt;"",OR(later_events!E89="renewal_answer",later_events!E89="opt_out"),OR(LEFT(later_events!C89,6)&lt;&gt;"SAMPLE",Config!$B$19="Y")),later_events!A89,"")</f>
        <v/>
      </c>
      <c r="C1639" s="17">
        <f>IF(B1639="","",later_events!B89&amp;"")</f>
        <v/>
      </c>
      <c r="D1639" s="17">
        <f>IF(B1639="","",later_events!C89&amp;"")</f>
        <v/>
      </c>
      <c r="E1639" s="17">
        <f>IF(B1639="","",IF(later_events!D89="","",later_events!D89&amp;""))</f>
        <v/>
      </c>
      <c r="F1639" s="17">
        <f>IF(B1639="","",later_events!E89&amp;"")</f>
        <v/>
      </c>
      <c r="G1639" s="17">
        <f>IF(B1639="","",IF(ISNUMBER(later_events!F89),later_events!F89,""))</f>
        <v/>
      </c>
      <c r="H1639" s="17">
        <f>IF(B1639="","",IF(later_events!G89="","",later_events!G89&amp;""))</f>
        <v/>
      </c>
      <c r="I1639" s="17">
        <f>IF(B1639="","","")</f>
        <v/>
      </c>
      <c r="J1639" s="17">
        <f>IF(B1639="","",IF(later_events!H89="","",later_events!H89&amp;""))</f>
        <v/>
      </c>
      <c r="K1639" t="inlineStr">
        <is>
          <t>later events</t>
        </is>
      </c>
    </row>
    <row r="1640">
      <c r="A1640" s="17">
        <f>IF(B1640="","",B1640+(11*1000+89)/10000000)</f>
        <v/>
      </c>
      <c r="B1640" s="23">
        <f>IF(AND(ISNUMBER(later_events!A90),TRIM(later_events!C90)&lt;&gt;"",OR(later_events!E90="renewal_answer",later_events!E90="opt_out"),OR(LEFT(later_events!C90,6)&lt;&gt;"SAMPLE",Config!$B$19="Y")),later_events!A90,"")</f>
        <v/>
      </c>
      <c r="C1640" s="17">
        <f>IF(B1640="","",later_events!B90&amp;"")</f>
        <v/>
      </c>
      <c r="D1640" s="17">
        <f>IF(B1640="","",later_events!C90&amp;"")</f>
        <v/>
      </c>
      <c r="E1640" s="17">
        <f>IF(B1640="","",IF(later_events!D90="","",later_events!D90&amp;""))</f>
        <v/>
      </c>
      <c r="F1640" s="17">
        <f>IF(B1640="","",later_events!E90&amp;"")</f>
        <v/>
      </c>
      <c r="G1640" s="17">
        <f>IF(B1640="","",IF(ISNUMBER(later_events!F90),later_events!F90,""))</f>
        <v/>
      </c>
      <c r="H1640" s="17">
        <f>IF(B1640="","",IF(later_events!G90="","",later_events!G90&amp;""))</f>
        <v/>
      </c>
      <c r="I1640" s="17">
        <f>IF(B1640="","","")</f>
        <v/>
      </c>
      <c r="J1640" s="17">
        <f>IF(B1640="","",IF(later_events!H90="","",later_events!H90&amp;""))</f>
        <v/>
      </c>
      <c r="K1640" t="inlineStr">
        <is>
          <t>later events</t>
        </is>
      </c>
    </row>
    <row r="1641">
      <c r="A1641" s="17">
        <f>IF(B1641="","",B1641+(11*1000+90)/10000000)</f>
        <v/>
      </c>
      <c r="B1641" s="23">
        <f>IF(AND(ISNUMBER(later_events!A91),TRIM(later_events!C91)&lt;&gt;"",OR(later_events!E91="renewal_answer",later_events!E91="opt_out"),OR(LEFT(later_events!C91,6)&lt;&gt;"SAMPLE",Config!$B$19="Y")),later_events!A91,"")</f>
        <v/>
      </c>
      <c r="C1641" s="17">
        <f>IF(B1641="","",later_events!B91&amp;"")</f>
        <v/>
      </c>
      <c r="D1641" s="17">
        <f>IF(B1641="","",later_events!C91&amp;"")</f>
        <v/>
      </c>
      <c r="E1641" s="17">
        <f>IF(B1641="","",IF(later_events!D91="","",later_events!D91&amp;""))</f>
        <v/>
      </c>
      <c r="F1641" s="17">
        <f>IF(B1641="","",later_events!E91&amp;"")</f>
        <v/>
      </c>
      <c r="G1641" s="17">
        <f>IF(B1641="","",IF(ISNUMBER(later_events!F91),later_events!F91,""))</f>
        <v/>
      </c>
      <c r="H1641" s="17">
        <f>IF(B1641="","",IF(later_events!G91="","",later_events!G91&amp;""))</f>
        <v/>
      </c>
      <c r="I1641" s="17">
        <f>IF(B1641="","","")</f>
        <v/>
      </c>
      <c r="J1641" s="17">
        <f>IF(B1641="","",IF(later_events!H91="","",later_events!H91&amp;""))</f>
        <v/>
      </c>
      <c r="K1641" t="inlineStr">
        <is>
          <t>later events</t>
        </is>
      </c>
    </row>
    <row r="1642">
      <c r="A1642" s="17">
        <f>IF(B1642="","",B1642+(11*1000+91)/10000000)</f>
        <v/>
      </c>
      <c r="B1642" s="23">
        <f>IF(AND(ISNUMBER(later_events!A92),TRIM(later_events!C92)&lt;&gt;"",OR(later_events!E92="renewal_answer",later_events!E92="opt_out"),OR(LEFT(later_events!C92,6)&lt;&gt;"SAMPLE",Config!$B$19="Y")),later_events!A92,"")</f>
        <v/>
      </c>
      <c r="C1642" s="17">
        <f>IF(B1642="","",later_events!B92&amp;"")</f>
        <v/>
      </c>
      <c r="D1642" s="17">
        <f>IF(B1642="","",later_events!C92&amp;"")</f>
        <v/>
      </c>
      <c r="E1642" s="17">
        <f>IF(B1642="","",IF(later_events!D92="","",later_events!D92&amp;""))</f>
        <v/>
      </c>
      <c r="F1642" s="17">
        <f>IF(B1642="","",later_events!E92&amp;"")</f>
        <v/>
      </c>
      <c r="G1642" s="17">
        <f>IF(B1642="","",IF(ISNUMBER(later_events!F92),later_events!F92,""))</f>
        <v/>
      </c>
      <c r="H1642" s="17">
        <f>IF(B1642="","",IF(later_events!G92="","",later_events!G92&amp;""))</f>
        <v/>
      </c>
      <c r="I1642" s="17">
        <f>IF(B1642="","","")</f>
        <v/>
      </c>
      <c r="J1642" s="17">
        <f>IF(B1642="","",IF(later_events!H92="","",later_events!H92&amp;""))</f>
        <v/>
      </c>
      <c r="K1642" t="inlineStr">
        <is>
          <t>later events</t>
        </is>
      </c>
    </row>
    <row r="1643">
      <c r="A1643" s="17">
        <f>IF(B1643="","",B1643+(11*1000+92)/10000000)</f>
        <v/>
      </c>
      <c r="B1643" s="23">
        <f>IF(AND(ISNUMBER(later_events!A93),TRIM(later_events!C93)&lt;&gt;"",OR(later_events!E93="renewal_answer",later_events!E93="opt_out"),OR(LEFT(later_events!C93,6)&lt;&gt;"SAMPLE",Config!$B$19="Y")),later_events!A93,"")</f>
        <v/>
      </c>
      <c r="C1643" s="17">
        <f>IF(B1643="","",later_events!B93&amp;"")</f>
        <v/>
      </c>
      <c r="D1643" s="17">
        <f>IF(B1643="","",later_events!C93&amp;"")</f>
        <v/>
      </c>
      <c r="E1643" s="17">
        <f>IF(B1643="","",IF(later_events!D93="","",later_events!D93&amp;""))</f>
        <v/>
      </c>
      <c r="F1643" s="17">
        <f>IF(B1643="","",later_events!E93&amp;"")</f>
        <v/>
      </c>
      <c r="G1643" s="17">
        <f>IF(B1643="","",IF(ISNUMBER(later_events!F93),later_events!F93,""))</f>
        <v/>
      </c>
      <c r="H1643" s="17">
        <f>IF(B1643="","",IF(later_events!G93="","",later_events!G93&amp;""))</f>
        <v/>
      </c>
      <c r="I1643" s="17">
        <f>IF(B1643="","","")</f>
        <v/>
      </c>
      <c r="J1643" s="17">
        <f>IF(B1643="","",IF(later_events!H93="","",later_events!H93&amp;""))</f>
        <v/>
      </c>
      <c r="K1643" t="inlineStr">
        <is>
          <t>later events</t>
        </is>
      </c>
    </row>
    <row r="1644">
      <c r="A1644" s="17">
        <f>IF(B1644="","",B1644+(11*1000+93)/10000000)</f>
        <v/>
      </c>
      <c r="B1644" s="23">
        <f>IF(AND(ISNUMBER(later_events!A94),TRIM(later_events!C94)&lt;&gt;"",OR(later_events!E94="renewal_answer",later_events!E94="opt_out"),OR(LEFT(later_events!C94,6)&lt;&gt;"SAMPLE",Config!$B$19="Y")),later_events!A94,"")</f>
        <v/>
      </c>
      <c r="C1644" s="17">
        <f>IF(B1644="","",later_events!B94&amp;"")</f>
        <v/>
      </c>
      <c r="D1644" s="17">
        <f>IF(B1644="","",later_events!C94&amp;"")</f>
        <v/>
      </c>
      <c r="E1644" s="17">
        <f>IF(B1644="","",IF(later_events!D94="","",later_events!D94&amp;""))</f>
        <v/>
      </c>
      <c r="F1644" s="17">
        <f>IF(B1644="","",later_events!E94&amp;"")</f>
        <v/>
      </c>
      <c r="G1644" s="17">
        <f>IF(B1644="","",IF(ISNUMBER(later_events!F94),later_events!F94,""))</f>
        <v/>
      </c>
      <c r="H1644" s="17">
        <f>IF(B1644="","",IF(later_events!G94="","",later_events!G94&amp;""))</f>
        <v/>
      </c>
      <c r="I1644" s="17">
        <f>IF(B1644="","","")</f>
        <v/>
      </c>
      <c r="J1644" s="17">
        <f>IF(B1644="","",IF(later_events!H94="","",later_events!H94&amp;""))</f>
        <v/>
      </c>
      <c r="K1644" t="inlineStr">
        <is>
          <t>later events</t>
        </is>
      </c>
    </row>
    <row r="1645">
      <c r="A1645" s="17">
        <f>IF(B1645="","",B1645+(11*1000+94)/10000000)</f>
        <v/>
      </c>
      <c r="B1645" s="23">
        <f>IF(AND(ISNUMBER(later_events!A95),TRIM(later_events!C95)&lt;&gt;"",OR(later_events!E95="renewal_answer",later_events!E95="opt_out"),OR(LEFT(later_events!C95,6)&lt;&gt;"SAMPLE",Config!$B$19="Y")),later_events!A95,"")</f>
        <v/>
      </c>
      <c r="C1645" s="17">
        <f>IF(B1645="","",later_events!B95&amp;"")</f>
        <v/>
      </c>
      <c r="D1645" s="17">
        <f>IF(B1645="","",later_events!C95&amp;"")</f>
        <v/>
      </c>
      <c r="E1645" s="17">
        <f>IF(B1645="","",IF(later_events!D95="","",later_events!D95&amp;""))</f>
        <v/>
      </c>
      <c r="F1645" s="17">
        <f>IF(B1645="","",later_events!E95&amp;"")</f>
        <v/>
      </c>
      <c r="G1645" s="17">
        <f>IF(B1645="","",IF(ISNUMBER(later_events!F95),later_events!F95,""))</f>
        <v/>
      </c>
      <c r="H1645" s="17">
        <f>IF(B1645="","",IF(later_events!G95="","",later_events!G95&amp;""))</f>
        <v/>
      </c>
      <c r="I1645" s="17">
        <f>IF(B1645="","","")</f>
        <v/>
      </c>
      <c r="J1645" s="17">
        <f>IF(B1645="","",IF(later_events!H95="","",later_events!H95&amp;""))</f>
        <v/>
      </c>
      <c r="K1645" t="inlineStr">
        <is>
          <t>later events</t>
        </is>
      </c>
    </row>
    <row r="1646">
      <c r="A1646" s="17">
        <f>IF(B1646="","",B1646+(11*1000+95)/10000000)</f>
        <v/>
      </c>
      <c r="B1646" s="23">
        <f>IF(AND(ISNUMBER(later_events!A96),TRIM(later_events!C96)&lt;&gt;"",OR(later_events!E96="renewal_answer",later_events!E96="opt_out"),OR(LEFT(later_events!C96,6)&lt;&gt;"SAMPLE",Config!$B$19="Y")),later_events!A96,"")</f>
        <v/>
      </c>
      <c r="C1646" s="17">
        <f>IF(B1646="","",later_events!B96&amp;"")</f>
        <v/>
      </c>
      <c r="D1646" s="17">
        <f>IF(B1646="","",later_events!C96&amp;"")</f>
        <v/>
      </c>
      <c r="E1646" s="17">
        <f>IF(B1646="","",IF(later_events!D96="","",later_events!D96&amp;""))</f>
        <v/>
      </c>
      <c r="F1646" s="17">
        <f>IF(B1646="","",later_events!E96&amp;"")</f>
        <v/>
      </c>
      <c r="G1646" s="17">
        <f>IF(B1646="","",IF(ISNUMBER(later_events!F96),later_events!F96,""))</f>
        <v/>
      </c>
      <c r="H1646" s="17">
        <f>IF(B1646="","",IF(later_events!G96="","",later_events!G96&amp;""))</f>
        <v/>
      </c>
      <c r="I1646" s="17">
        <f>IF(B1646="","","")</f>
        <v/>
      </c>
      <c r="J1646" s="17">
        <f>IF(B1646="","",IF(later_events!H96="","",later_events!H96&amp;""))</f>
        <v/>
      </c>
      <c r="K1646" t="inlineStr">
        <is>
          <t>later events</t>
        </is>
      </c>
    </row>
    <row r="1647">
      <c r="A1647" s="17">
        <f>IF(B1647="","",B1647+(11*1000+96)/10000000)</f>
        <v/>
      </c>
      <c r="B1647" s="23">
        <f>IF(AND(ISNUMBER(later_events!A97),TRIM(later_events!C97)&lt;&gt;"",OR(later_events!E97="renewal_answer",later_events!E97="opt_out"),OR(LEFT(later_events!C97,6)&lt;&gt;"SAMPLE",Config!$B$19="Y")),later_events!A97,"")</f>
        <v/>
      </c>
      <c r="C1647" s="17">
        <f>IF(B1647="","",later_events!B97&amp;"")</f>
        <v/>
      </c>
      <c r="D1647" s="17">
        <f>IF(B1647="","",later_events!C97&amp;"")</f>
        <v/>
      </c>
      <c r="E1647" s="17">
        <f>IF(B1647="","",IF(later_events!D97="","",later_events!D97&amp;""))</f>
        <v/>
      </c>
      <c r="F1647" s="17">
        <f>IF(B1647="","",later_events!E97&amp;"")</f>
        <v/>
      </c>
      <c r="G1647" s="17">
        <f>IF(B1647="","",IF(ISNUMBER(later_events!F97),later_events!F97,""))</f>
        <v/>
      </c>
      <c r="H1647" s="17">
        <f>IF(B1647="","",IF(later_events!G97="","",later_events!G97&amp;""))</f>
        <v/>
      </c>
      <c r="I1647" s="17">
        <f>IF(B1647="","","")</f>
        <v/>
      </c>
      <c r="J1647" s="17">
        <f>IF(B1647="","",IF(later_events!H97="","",later_events!H97&amp;""))</f>
        <v/>
      </c>
      <c r="K1647" t="inlineStr">
        <is>
          <t>later events</t>
        </is>
      </c>
    </row>
    <row r="1648">
      <c r="A1648" s="17">
        <f>IF(B1648="","",B1648+(11*1000+97)/10000000)</f>
        <v/>
      </c>
      <c r="B1648" s="23">
        <f>IF(AND(ISNUMBER(later_events!A98),TRIM(later_events!C98)&lt;&gt;"",OR(later_events!E98="renewal_answer",later_events!E98="opt_out"),OR(LEFT(later_events!C98,6)&lt;&gt;"SAMPLE",Config!$B$19="Y")),later_events!A98,"")</f>
        <v/>
      </c>
      <c r="C1648" s="17">
        <f>IF(B1648="","",later_events!B98&amp;"")</f>
        <v/>
      </c>
      <c r="D1648" s="17">
        <f>IF(B1648="","",later_events!C98&amp;"")</f>
        <v/>
      </c>
      <c r="E1648" s="17">
        <f>IF(B1648="","",IF(later_events!D98="","",later_events!D98&amp;""))</f>
        <v/>
      </c>
      <c r="F1648" s="17">
        <f>IF(B1648="","",later_events!E98&amp;"")</f>
        <v/>
      </c>
      <c r="G1648" s="17">
        <f>IF(B1648="","",IF(ISNUMBER(later_events!F98),later_events!F98,""))</f>
        <v/>
      </c>
      <c r="H1648" s="17">
        <f>IF(B1648="","",IF(later_events!G98="","",later_events!G98&amp;""))</f>
        <v/>
      </c>
      <c r="I1648" s="17">
        <f>IF(B1648="","","")</f>
        <v/>
      </c>
      <c r="J1648" s="17">
        <f>IF(B1648="","",IF(later_events!H98="","",later_events!H98&amp;""))</f>
        <v/>
      </c>
      <c r="K1648" t="inlineStr">
        <is>
          <t>later events</t>
        </is>
      </c>
    </row>
    <row r="1649">
      <c r="A1649" s="17">
        <f>IF(B1649="","",B1649+(11*1000+98)/10000000)</f>
        <v/>
      </c>
      <c r="B1649" s="23">
        <f>IF(AND(ISNUMBER(later_events!A99),TRIM(later_events!C99)&lt;&gt;"",OR(later_events!E99="renewal_answer",later_events!E99="opt_out"),OR(LEFT(later_events!C99,6)&lt;&gt;"SAMPLE",Config!$B$19="Y")),later_events!A99,"")</f>
        <v/>
      </c>
      <c r="C1649" s="17">
        <f>IF(B1649="","",later_events!B99&amp;"")</f>
        <v/>
      </c>
      <c r="D1649" s="17">
        <f>IF(B1649="","",later_events!C99&amp;"")</f>
        <v/>
      </c>
      <c r="E1649" s="17">
        <f>IF(B1649="","",IF(later_events!D99="","",later_events!D99&amp;""))</f>
        <v/>
      </c>
      <c r="F1649" s="17">
        <f>IF(B1649="","",later_events!E99&amp;"")</f>
        <v/>
      </c>
      <c r="G1649" s="17">
        <f>IF(B1649="","",IF(ISNUMBER(later_events!F99),later_events!F99,""))</f>
        <v/>
      </c>
      <c r="H1649" s="17">
        <f>IF(B1649="","",IF(later_events!G99="","",later_events!G99&amp;""))</f>
        <v/>
      </c>
      <c r="I1649" s="17">
        <f>IF(B1649="","","")</f>
        <v/>
      </c>
      <c r="J1649" s="17">
        <f>IF(B1649="","",IF(later_events!H99="","",later_events!H99&amp;""))</f>
        <v/>
      </c>
      <c r="K1649" t="inlineStr">
        <is>
          <t>later events</t>
        </is>
      </c>
    </row>
    <row r="1650">
      <c r="A1650" s="17">
        <f>IF(B1650="","",B1650+(11*1000+99)/10000000)</f>
        <v/>
      </c>
      <c r="B1650" s="23">
        <f>IF(AND(ISNUMBER(later_events!A100),TRIM(later_events!C100)&lt;&gt;"",OR(later_events!E100="renewal_answer",later_events!E100="opt_out"),OR(LEFT(later_events!C100,6)&lt;&gt;"SAMPLE",Config!$B$19="Y")),later_events!A100,"")</f>
        <v/>
      </c>
      <c r="C1650" s="17">
        <f>IF(B1650="","",later_events!B100&amp;"")</f>
        <v/>
      </c>
      <c r="D1650" s="17">
        <f>IF(B1650="","",later_events!C100&amp;"")</f>
        <v/>
      </c>
      <c r="E1650" s="17">
        <f>IF(B1650="","",IF(later_events!D100="","",later_events!D100&amp;""))</f>
        <v/>
      </c>
      <c r="F1650" s="17">
        <f>IF(B1650="","",later_events!E100&amp;"")</f>
        <v/>
      </c>
      <c r="G1650" s="17">
        <f>IF(B1650="","",IF(ISNUMBER(later_events!F100),later_events!F100,""))</f>
        <v/>
      </c>
      <c r="H1650" s="17">
        <f>IF(B1650="","",IF(later_events!G100="","",later_events!G100&amp;""))</f>
        <v/>
      </c>
      <c r="I1650" s="17">
        <f>IF(B1650="","","")</f>
        <v/>
      </c>
      <c r="J1650" s="17">
        <f>IF(B1650="","",IF(later_events!H100="","",later_events!H100&amp;""))</f>
        <v/>
      </c>
      <c r="K1650" t="inlineStr">
        <is>
          <t>later events</t>
        </is>
      </c>
    </row>
    <row r="1651">
      <c r="A1651" s="17">
        <f>IF(B1651="","",B1651+(11*1000+100)/10000000)</f>
        <v/>
      </c>
      <c r="B1651" s="23">
        <f>IF(AND(ISNUMBER(later_events!A101),TRIM(later_events!C101)&lt;&gt;"",OR(later_events!E101="renewal_answer",later_events!E101="opt_out"),OR(LEFT(later_events!C101,6)&lt;&gt;"SAMPLE",Config!$B$19="Y")),later_events!A101,"")</f>
        <v/>
      </c>
      <c r="C1651" s="17">
        <f>IF(B1651="","",later_events!B101&amp;"")</f>
        <v/>
      </c>
      <c r="D1651" s="17">
        <f>IF(B1651="","",later_events!C101&amp;"")</f>
        <v/>
      </c>
      <c r="E1651" s="17">
        <f>IF(B1651="","",IF(later_events!D101="","",later_events!D101&amp;""))</f>
        <v/>
      </c>
      <c r="F1651" s="17">
        <f>IF(B1651="","",later_events!E101&amp;"")</f>
        <v/>
      </c>
      <c r="G1651" s="17">
        <f>IF(B1651="","",IF(ISNUMBER(later_events!F101),later_events!F101,""))</f>
        <v/>
      </c>
      <c r="H1651" s="17">
        <f>IF(B1651="","",IF(later_events!G101="","",later_events!G101&amp;""))</f>
        <v/>
      </c>
      <c r="I1651" s="17">
        <f>IF(B1651="","","")</f>
        <v/>
      </c>
      <c r="J1651" s="17">
        <f>IF(B1651="","",IF(later_events!H101="","",later_events!H101&amp;""))</f>
        <v/>
      </c>
      <c r="K1651" t="inlineStr">
        <is>
          <t>later events</t>
        </is>
      </c>
    </row>
    <row r="1652">
      <c r="A1652" s="17">
        <f>IF(B1652="","",B1652+(12*1000+1)/10000000)</f>
        <v/>
      </c>
      <c r="B1652" s="23">
        <f>IF(AND(IFERROR(N(INDEX(Clay_Offices!$A$2:$FZ$601,1,Sync!$C$11)),0)&gt;0,IFERROR(INDEX(Clay_Offices!$A$2:$FZ$601,1,Sync!$C$5)&amp;"","")&lt;&gt;"",OR(LEFT(IFERROR(INDEX(Clay_Offices!$A$2:$FZ$601,1,Sync!$C$5)&amp;"",""),6)&lt;&gt;"SAMPLE",Config!$B$19="Y")),IFERROR(N(INDEX(Clay_Offices!$A$2:$FZ$601,1,Sync!$C$11)),0),"")</f>
        <v/>
      </c>
      <c r="C1652" s="17">
        <f>IF(B1652="","","office")</f>
        <v/>
      </c>
      <c r="D1652" s="17">
        <f>IF(B1652="","",IFERROR(INDEX(Clay_Offices!$A$2:$FZ$601,1,Sync!$C$5)&amp;"",""))</f>
        <v/>
      </c>
      <c r="E1652" s="17">
        <f>IF(B1652="","",IFERROR(INDEX(Clay_Offices!$A$2:$FZ$601,1,Sync!$C$6)&amp;"",""))</f>
        <v/>
      </c>
      <c r="F1652" s="17">
        <f>IF(B1652="","","outreach_sent")</f>
        <v/>
      </c>
      <c r="G1652" s="17">
        <f>IF(B1652="","","")</f>
        <v/>
      </c>
      <c r="H1652" s="17">
        <f>IF(B1652="","","")</f>
        <v/>
      </c>
      <c r="I1652" s="17">
        <f>IF(B1652="","","")</f>
        <v/>
      </c>
      <c r="J1652" s="17">
        <f>IF(B1652="","","touch_1; "&amp;IFERROR(INDEX(Clay_Offices!$A$2:$FZ$601,1,Sync!$C$10)&amp;"","")&amp;"; "&amp;IFERROR(INDEX(Clay_Offices!$A$2:$FZ$601,1,Sync!$C$9)&amp;"",""))</f>
        <v/>
      </c>
      <c r="K1652" t="inlineStr">
        <is>
          <t>office outreach touch 1</t>
        </is>
      </c>
    </row>
    <row r="1653">
      <c r="A1653" s="17">
        <f>IF(B1653="","",B1653+(12*1000+2)/10000000)</f>
        <v/>
      </c>
      <c r="B1653" s="23">
        <f>IF(AND(IFERROR(N(INDEX(Clay_Offices!$A$2:$FZ$601,2,Sync!$C$11)),0)&gt;0,IFERROR(INDEX(Clay_Offices!$A$2:$FZ$601,2,Sync!$C$5)&amp;"","")&lt;&gt;"",OR(LEFT(IFERROR(INDEX(Clay_Offices!$A$2:$FZ$601,2,Sync!$C$5)&amp;"",""),6)&lt;&gt;"SAMPLE",Config!$B$19="Y")),IFERROR(N(INDEX(Clay_Offices!$A$2:$FZ$601,2,Sync!$C$11)),0),"")</f>
        <v/>
      </c>
      <c r="C1653" s="17">
        <f>IF(B1653="","","office")</f>
        <v/>
      </c>
      <c r="D1653" s="17">
        <f>IF(B1653="","",IFERROR(INDEX(Clay_Offices!$A$2:$FZ$601,2,Sync!$C$5)&amp;"",""))</f>
        <v/>
      </c>
      <c r="E1653" s="17">
        <f>IF(B1653="","",IFERROR(INDEX(Clay_Offices!$A$2:$FZ$601,2,Sync!$C$6)&amp;"",""))</f>
        <v/>
      </c>
      <c r="F1653" s="17">
        <f>IF(B1653="","","outreach_sent")</f>
        <v/>
      </c>
      <c r="G1653" s="17">
        <f>IF(B1653="","","")</f>
        <v/>
      </c>
      <c r="H1653" s="17">
        <f>IF(B1653="","","")</f>
        <v/>
      </c>
      <c r="I1653" s="17">
        <f>IF(B1653="","","")</f>
        <v/>
      </c>
      <c r="J1653" s="17">
        <f>IF(B1653="","","touch_1; "&amp;IFERROR(INDEX(Clay_Offices!$A$2:$FZ$601,2,Sync!$C$10)&amp;"","")&amp;"; "&amp;IFERROR(INDEX(Clay_Offices!$A$2:$FZ$601,2,Sync!$C$9)&amp;"",""))</f>
        <v/>
      </c>
      <c r="K1653" t="inlineStr">
        <is>
          <t>office outreach touch 1</t>
        </is>
      </c>
    </row>
    <row r="1654">
      <c r="A1654" s="17">
        <f>IF(B1654="","",B1654+(12*1000+3)/10000000)</f>
        <v/>
      </c>
      <c r="B1654" s="23">
        <f>IF(AND(IFERROR(N(INDEX(Clay_Offices!$A$2:$FZ$601,3,Sync!$C$11)),0)&gt;0,IFERROR(INDEX(Clay_Offices!$A$2:$FZ$601,3,Sync!$C$5)&amp;"","")&lt;&gt;"",OR(LEFT(IFERROR(INDEX(Clay_Offices!$A$2:$FZ$601,3,Sync!$C$5)&amp;"",""),6)&lt;&gt;"SAMPLE",Config!$B$19="Y")),IFERROR(N(INDEX(Clay_Offices!$A$2:$FZ$601,3,Sync!$C$11)),0),"")</f>
        <v/>
      </c>
      <c r="C1654" s="17">
        <f>IF(B1654="","","office")</f>
        <v/>
      </c>
      <c r="D1654" s="17">
        <f>IF(B1654="","",IFERROR(INDEX(Clay_Offices!$A$2:$FZ$601,3,Sync!$C$5)&amp;"",""))</f>
        <v/>
      </c>
      <c r="E1654" s="17">
        <f>IF(B1654="","",IFERROR(INDEX(Clay_Offices!$A$2:$FZ$601,3,Sync!$C$6)&amp;"",""))</f>
        <v/>
      </c>
      <c r="F1654" s="17">
        <f>IF(B1654="","","outreach_sent")</f>
        <v/>
      </c>
      <c r="G1654" s="17">
        <f>IF(B1654="","","")</f>
        <v/>
      </c>
      <c r="H1654" s="17">
        <f>IF(B1654="","","")</f>
        <v/>
      </c>
      <c r="I1654" s="17">
        <f>IF(B1654="","","")</f>
        <v/>
      </c>
      <c r="J1654" s="17">
        <f>IF(B1654="","","touch_1; "&amp;IFERROR(INDEX(Clay_Offices!$A$2:$FZ$601,3,Sync!$C$10)&amp;"","")&amp;"; "&amp;IFERROR(INDEX(Clay_Offices!$A$2:$FZ$601,3,Sync!$C$9)&amp;"",""))</f>
        <v/>
      </c>
      <c r="K1654" t="inlineStr">
        <is>
          <t>office outreach touch 1</t>
        </is>
      </c>
    </row>
    <row r="1655">
      <c r="A1655" s="17">
        <f>IF(B1655="","",B1655+(12*1000+4)/10000000)</f>
        <v/>
      </c>
      <c r="B1655" s="23">
        <f>IF(AND(IFERROR(N(INDEX(Clay_Offices!$A$2:$FZ$601,4,Sync!$C$11)),0)&gt;0,IFERROR(INDEX(Clay_Offices!$A$2:$FZ$601,4,Sync!$C$5)&amp;"","")&lt;&gt;"",OR(LEFT(IFERROR(INDEX(Clay_Offices!$A$2:$FZ$601,4,Sync!$C$5)&amp;"",""),6)&lt;&gt;"SAMPLE",Config!$B$19="Y")),IFERROR(N(INDEX(Clay_Offices!$A$2:$FZ$601,4,Sync!$C$11)),0),"")</f>
        <v/>
      </c>
      <c r="C1655" s="17">
        <f>IF(B1655="","","office")</f>
        <v/>
      </c>
      <c r="D1655" s="17">
        <f>IF(B1655="","",IFERROR(INDEX(Clay_Offices!$A$2:$FZ$601,4,Sync!$C$5)&amp;"",""))</f>
        <v/>
      </c>
      <c r="E1655" s="17">
        <f>IF(B1655="","",IFERROR(INDEX(Clay_Offices!$A$2:$FZ$601,4,Sync!$C$6)&amp;"",""))</f>
        <v/>
      </c>
      <c r="F1655" s="17">
        <f>IF(B1655="","","outreach_sent")</f>
        <v/>
      </c>
      <c r="G1655" s="17">
        <f>IF(B1655="","","")</f>
        <v/>
      </c>
      <c r="H1655" s="17">
        <f>IF(B1655="","","")</f>
        <v/>
      </c>
      <c r="I1655" s="17">
        <f>IF(B1655="","","")</f>
        <v/>
      </c>
      <c r="J1655" s="17">
        <f>IF(B1655="","","touch_1; "&amp;IFERROR(INDEX(Clay_Offices!$A$2:$FZ$601,4,Sync!$C$10)&amp;"","")&amp;"; "&amp;IFERROR(INDEX(Clay_Offices!$A$2:$FZ$601,4,Sync!$C$9)&amp;"",""))</f>
        <v/>
      </c>
      <c r="K1655" t="inlineStr">
        <is>
          <t>office outreach touch 1</t>
        </is>
      </c>
    </row>
    <row r="1656">
      <c r="A1656" s="17">
        <f>IF(B1656="","",B1656+(12*1000+5)/10000000)</f>
        <v/>
      </c>
      <c r="B1656" s="23">
        <f>IF(AND(IFERROR(N(INDEX(Clay_Offices!$A$2:$FZ$601,5,Sync!$C$11)),0)&gt;0,IFERROR(INDEX(Clay_Offices!$A$2:$FZ$601,5,Sync!$C$5)&amp;"","")&lt;&gt;"",OR(LEFT(IFERROR(INDEX(Clay_Offices!$A$2:$FZ$601,5,Sync!$C$5)&amp;"",""),6)&lt;&gt;"SAMPLE",Config!$B$19="Y")),IFERROR(N(INDEX(Clay_Offices!$A$2:$FZ$601,5,Sync!$C$11)),0),"")</f>
        <v/>
      </c>
      <c r="C1656" s="17">
        <f>IF(B1656="","","office")</f>
        <v/>
      </c>
      <c r="D1656" s="17">
        <f>IF(B1656="","",IFERROR(INDEX(Clay_Offices!$A$2:$FZ$601,5,Sync!$C$5)&amp;"",""))</f>
        <v/>
      </c>
      <c r="E1656" s="17">
        <f>IF(B1656="","",IFERROR(INDEX(Clay_Offices!$A$2:$FZ$601,5,Sync!$C$6)&amp;"",""))</f>
        <v/>
      </c>
      <c r="F1656" s="17">
        <f>IF(B1656="","","outreach_sent")</f>
        <v/>
      </c>
      <c r="G1656" s="17">
        <f>IF(B1656="","","")</f>
        <v/>
      </c>
      <c r="H1656" s="17">
        <f>IF(B1656="","","")</f>
        <v/>
      </c>
      <c r="I1656" s="17">
        <f>IF(B1656="","","")</f>
        <v/>
      </c>
      <c r="J1656" s="17">
        <f>IF(B1656="","","touch_1; "&amp;IFERROR(INDEX(Clay_Offices!$A$2:$FZ$601,5,Sync!$C$10)&amp;"","")&amp;"; "&amp;IFERROR(INDEX(Clay_Offices!$A$2:$FZ$601,5,Sync!$C$9)&amp;"",""))</f>
        <v/>
      </c>
      <c r="K1656" t="inlineStr">
        <is>
          <t>office outreach touch 1</t>
        </is>
      </c>
    </row>
    <row r="1657">
      <c r="A1657" s="17">
        <f>IF(B1657="","",B1657+(12*1000+6)/10000000)</f>
        <v/>
      </c>
      <c r="B1657" s="23">
        <f>IF(AND(IFERROR(N(INDEX(Clay_Offices!$A$2:$FZ$601,6,Sync!$C$11)),0)&gt;0,IFERROR(INDEX(Clay_Offices!$A$2:$FZ$601,6,Sync!$C$5)&amp;"","")&lt;&gt;"",OR(LEFT(IFERROR(INDEX(Clay_Offices!$A$2:$FZ$601,6,Sync!$C$5)&amp;"",""),6)&lt;&gt;"SAMPLE",Config!$B$19="Y")),IFERROR(N(INDEX(Clay_Offices!$A$2:$FZ$601,6,Sync!$C$11)),0),"")</f>
        <v/>
      </c>
      <c r="C1657" s="17">
        <f>IF(B1657="","","office")</f>
        <v/>
      </c>
      <c r="D1657" s="17">
        <f>IF(B1657="","",IFERROR(INDEX(Clay_Offices!$A$2:$FZ$601,6,Sync!$C$5)&amp;"",""))</f>
        <v/>
      </c>
      <c r="E1657" s="17">
        <f>IF(B1657="","",IFERROR(INDEX(Clay_Offices!$A$2:$FZ$601,6,Sync!$C$6)&amp;"",""))</f>
        <v/>
      </c>
      <c r="F1657" s="17">
        <f>IF(B1657="","","outreach_sent")</f>
        <v/>
      </c>
      <c r="G1657" s="17">
        <f>IF(B1657="","","")</f>
        <v/>
      </c>
      <c r="H1657" s="17">
        <f>IF(B1657="","","")</f>
        <v/>
      </c>
      <c r="I1657" s="17">
        <f>IF(B1657="","","")</f>
        <v/>
      </c>
      <c r="J1657" s="17">
        <f>IF(B1657="","","touch_1; "&amp;IFERROR(INDEX(Clay_Offices!$A$2:$FZ$601,6,Sync!$C$10)&amp;"","")&amp;"; "&amp;IFERROR(INDEX(Clay_Offices!$A$2:$FZ$601,6,Sync!$C$9)&amp;"",""))</f>
        <v/>
      </c>
      <c r="K1657" t="inlineStr">
        <is>
          <t>office outreach touch 1</t>
        </is>
      </c>
    </row>
    <row r="1658">
      <c r="A1658" s="17">
        <f>IF(B1658="","",B1658+(12*1000+7)/10000000)</f>
        <v/>
      </c>
      <c r="B1658" s="23">
        <f>IF(AND(IFERROR(N(INDEX(Clay_Offices!$A$2:$FZ$601,7,Sync!$C$11)),0)&gt;0,IFERROR(INDEX(Clay_Offices!$A$2:$FZ$601,7,Sync!$C$5)&amp;"","")&lt;&gt;"",OR(LEFT(IFERROR(INDEX(Clay_Offices!$A$2:$FZ$601,7,Sync!$C$5)&amp;"",""),6)&lt;&gt;"SAMPLE",Config!$B$19="Y")),IFERROR(N(INDEX(Clay_Offices!$A$2:$FZ$601,7,Sync!$C$11)),0),"")</f>
        <v/>
      </c>
      <c r="C1658" s="17">
        <f>IF(B1658="","","office")</f>
        <v/>
      </c>
      <c r="D1658" s="17">
        <f>IF(B1658="","",IFERROR(INDEX(Clay_Offices!$A$2:$FZ$601,7,Sync!$C$5)&amp;"",""))</f>
        <v/>
      </c>
      <c r="E1658" s="17">
        <f>IF(B1658="","",IFERROR(INDEX(Clay_Offices!$A$2:$FZ$601,7,Sync!$C$6)&amp;"",""))</f>
        <v/>
      </c>
      <c r="F1658" s="17">
        <f>IF(B1658="","","outreach_sent")</f>
        <v/>
      </c>
      <c r="G1658" s="17">
        <f>IF(B1658="","","")</f>
        <v/>
      </c>
      <c r="H1658" s="17">
        <f>IF(B1658="","","")</f>
        <v/>
      </c>
      <c r="I1658" s="17">
        <f>IF(B1658="","","")</f>
        <v/>
      </c>
      <c r="J1658" s="17">
        <f>IF(B1658="","","touch_1; "&amp;IFERROR(INDEX(Clay_Offices!$A$2:$FZ$601,7,Sync!$C$10)&amp;"","")&amp;"; "&amp;IFERROR(INDEX(Clay_Offices!$A$2:$FZ$601,7,Sync!$C$9)&amp;"",""))</f>
        <v/>
      </c>
      <c r="K1658" t="inlineStr">
        <is>
          <t>office outreach touch 1</t>
        </is>
      </c>
    </row>
    <row r="1659">
      <c r="A1659" s="17">
        <f>IF(B1659="","",B1659+(12*1000+8)/10000000)</f>
        <v/>
      </c>
      <c r="B1659" s="23">
        <f>IF(AND(IFERROR(N(INDEX(Clay_Offices!$A$2:$FZ$601,8,Sync!$C$11)),0)&gt;0,IFERROR(INDEX(Clay_Offices!$A$2:$FZ$601,8,Sync!$C$5)&amp;"","")&lt;&gt;"",OR(LEFT(IFERROR(INDEX(Clay_Offices!$A$2:$FZ$601,8,Sync!$C$5)&amp;"",""),6)&lt;&gt;"SAMPLE",Config!$B$19="Y")),IFERROR(N(INDEX(Clay_Offices!$A$2:$FZ$601,8,Sync!$C$11)),0),"")</f>
        <v/>
      </c>
      <c r="C1659" s="17">
        <f>IF(B1659="","","office")</f>
        <v/>
      </c>
      <c r="D1659" s="17">
        <f>IF(B1659="","",IFERROR(INDEX(Clay_Offices!$A$2:$FZ$601,8,Sync!$C$5)&amp;"",""))</f>
        <v/>
      </c>
      <c r="E1659" s="17">
        <f>IF(B1659="","",IFERROR(INDEX(Clay_Offices!$A$2:$FZ$601,8,Sync!$C$6)&amp;"",""))</f>
        <v/>
      </c>
      <c r="F1659" s="17">
        <f>IF(B1659="","","outreach_sent")</f>
        <v/>
      </c>
      <c r="G1659" s="17">
        <f>IF(B1659="","","")</f>
        <v/>
      </c>
      <c r="H1659" s="17">
        <f>IF(B1659="","","")</f>
        <v/>
      </c>
      <c r="I1659" s="17">
        <f>IF(B1659="","","")</f>
        <v/>
      </c>
      <c r="J1659" s="17">
        <f>IF(B1659="","","touch_1; "&amp;IFERROR(INDEX(Clay_Offices!$A$2:$FZ$601,8,Sync!$C$10)&amp;"","")&amp;"; "&amp;IFERROR(INDEX(Clay_Offices!$A$2:$FZ$601,8,Sync!$C$9)&amp;"",""))</f>
        <v/>
      </c>
      <c r="K1659" t="inlineStr">
        <is>
          <t>office outreach touch 1</t>
        </is>
      </c>
    </row>
    <row r="1660">
      <c r="A1660" s="17">
        <f>IF(B1660="","",B1660+(12*1000+9)/10000000)</f>
        <v/>
      </c>
      <c r="B1660" s="23">
        <f>IF(AND(IFERROR(N(INDEX(Clay_Offices!$A$2:$FZ$601,9,Sync!$C$11)),0)&gt;0,IFERROR(INDEX(Clay_Offices!$A$2:$FZ$601,9,Sync!$C$5)&amp;"","")&lt;&gt;"",OR(LEFT(IFERROR(INDEX(Clay_Offices!$A$2:$FZ$601,9,Sync!$C$5)&amp;"",""),6)&lt;&gt;"SAMPLE",Config!$B$19="Y")),IFERROR(N(INDEX(Clay_Offices!$A$2:$FZ$601,9,Sync!$C$11)),0),"")</f>
        <v/>
      </c>
      <c r="C1660" s="17">
        <f>IF(B1660="","","office")</f>
        <v/>
      </c>
      <c r="D1660" s="17">
        <f>IF(B1660="","",IFERROR(INDEX(Clay_Offices!$A$2:$FZ$601,9,Sync!$C$5)&amp;"",""))</f>
        <v/>
      </c>
      <c r="E1660" s="17">
        <f>IF(B1660="","",IFERROR(INDEX(Clay_Offices!$A$2:$FZ$601,9,Sync!$C$6)&amp;"",""))</f>
        <v/>
      </c>
      <c r="F1660" s="17">
        <f>IF(B1660="","","outreach_sent")</f>
        <v/>
      </c>
      <c r="G1660" s="17">
        <f>IF(B1660="","","")</f>
        <v/>
      </c>
      <c r="H1660" s="17">
        <f>IF(B1660="","","")</f>
        <v/>
      </c>
      <c r="I1660" s="17">
        <f>IF(B1660="","","")</f>
        <v/>
      </c>
      <c r="J1660" s="17">
        <f>IF(B1660="","","touch_1; "&amp;IFERROR(INDEX(Clay_Offices!$A$2:$FZ$601,9,Sync!$C$10)&amp;"","")&amp;"; "&amp;IFERROR(INDEX(Clay_Offices!$A$2:$FZ$601,9,Sync!$C$9)&amp;"",""))</f>
        <v/>
      </c>
      <c r="K1660" t="inlineStr">
        <is>
          <t>office outreach touch 1</t>
        </is>
      </c>
    </row>
    <row r="1661">
      <c r="A1661" s="17">
        <f>IF(B1661="","",B1661+(12*1000+10)/10000000)</f>
        <v/>
      </c>
      <c r="B1661" s="23">
        <f>IF(AND(IFERROR(N(INDEX(Clay_Offices!$A$2:$FZ$601,10,Sync!$C$11)),0)&gt;0,IFERROR(INDEX(Clay_Offices!$A$2:$FZ$601,10,Sync!$C$5)&amp;"","")&lt;&gt;"",OR(LEFT(IFERROR(INDEX(Clay_Offices!$A$2:$FZ$601,10,Sync!$C$5)&amp;"",""),6)&lt;&gt;"SAMPLE",Config!$B$19="Y")),IFERROR(N(INDEX(Clay_Offices!$A$2:$FZ$601,10,Sync!$C$11)),0),"")</f>
        <v/>
      </c>
      <c r="C1661" s="17">
        <f>IF(B1661="","","office")</f>
        <v/>
      </c>
      <c r="D1661" s="17">
        <f>IF(B1661="","",IFERROR(INDEX(Clay_Offices!$A$2:$FZ$601,10,Sync!$C$5)&amp;"",""))</f>
        <v/>
      </c>
      <c r="E1661" s="17">
        <f>IF(B1661="","",IFERROR(INDEX(Clay_Offices!$A$2:$FZ$601,10,Sync!$C$6)&amp;"",""))</f>
        <v/>
      </c>
      <c r="F1661" s="17">
        <f>IF(B1661="","","outreach_sent")</f>
        <v/>
      </c>
      <c r="G1661" s="17">
        <f>IF(B1661="","","")</f>
        <v/>
      </c>
      <c r="H1661" s="17">
        <f>IF(B1661="","","")</f>
        <v/>
      </c>
      <c r="I1661" s="17">
        <f>IF(B1661="","","")</f>
        <v/>
      </c>
      <c r="J1661" s="17">
        <f>IF(B1661="","","touch_1; "&amp;IFERROR(INDEX(Clay_Offices!$A$2:$FZ$601,10,Sync!$C$10)&amp;"","")&amp;"; "&amp;IFERROR(INDEX(Clay_Offices!$A$2:$FZ$601,10,Sync!$C$9)&amp;"",""))</f>
        <v/>
      </c>
      <c r="K1661" t="inlineStr">
        <is>
          <t>office outreach touch 1</t>
        </is>
      </c>
    </row>
    <row r="1662">
      <c r="A1662" s="17">
        <f>IF(B1662="","",B1662+(12*1000+11)/10000000)</f>
        <v/>
      </c>
      <c r="B1662" s="23">
        <f>IF(AND(IFERROR(N(INDEX(Clay_Offices!$A$2:$FZ$601,11,Sync!$C$11)),0)&gt;0,IFERROR(INDEX(Clay_Offices!$A$2:$FZ$601,11,Sync!$C$5)&amp;"","")&lt;&gt;"",OR(LEFT(IFERROR(INDEX(Clay_Offices!$A$2:$FZ$601,11,Sync!$C$5)&amp;"",""),6)&lt;&gt;"SAMPLE",Config!$B$19="Y")),IFERROR(N(INDEX(Clay_Offices!$A$2:$FZ$601,11,Sync!$C$11)),0),"")</f>
        <v/>
      </c>
      <c r="C1662" s="17">
        <f>IF(B1662="","","office")</f>
        <v/>
      </c>
      <c r="D1662" s="17">
        <f>IF(B1662="","",IFERROR(INDEX(Clay_Offices!$A$2:$FZ$601,11,Sync!$C$5)&amp;"",""))</f>
        <v/>
      </c>
      <c r="E1662" s="17">
        <f>IF(B1662="","",IFERROR(INDEX(Clay_Offices!$A$2:$FZ$601,11,Sync!$C$6)&amp;"",""))</f>
        <v/>
      </c>
      <c r="F1662" s="17">
        <f>IF(B1662="","","outreach_sent")</f>
        <v/>
      </c>
      <c r="G1662" s="17">
        <f>IF(B1662="","","")</f>
        <v/>
      </c>
      <c r="H1662" s="17">
        <f>IF(B1662="","","")</f>
        <v/>
      </c>
      <c r="I1662" s="17">
        <f>IF(B1662="","","")</f>
        <v/>
      </c>
      <c r="J1662" s="17">
        <f>IF(B1662="","","touch_1; "&amp;IFERROR(INDEX(Clay_Offices!$A$2:$FZ$601,11,Sync!$C$10)&amp;"","")&amp;"; "&amp;IFERROR(INDEX(Clay_Offices!$A$2:$FZ$601,11,Sync!$C$9)&amp;"",""))</f>
        <v/>
      </c>
      <c r="K1662" t="inlineStr">
        <is>
          <t>office outreach touch 1</t>
        </is>
      </c>
    </row>
    <row r="1663">
      <c r="A1663" s="17">
        <f>IF(B1663="","",B1663+(12*1000+12)/10000000)</f>
        <v/>
      </c>
      <c r="B1663" s="23">
        <f>IF(AND(IFERROR(N(INDEX(Clay_Offices!$A$2:$FZ$601,12,Sync!$C$11)),0)&gt;0,IFERROR(INDEX(Clay_Offices!$A$2:$FZ$601,12,Sync!$C$5)&amp;"","")&lt;&gt;"",OR(LEFT(IFERROR(INDEX(Clay_Offices!$A$2:$FZ$601,12,Sync!$C$5)&amp;"",""),6)&lt;&gt;"SAMPLE",Config!$B$19="Y")),IFERROR(N(INDEX(Clay_Offices!$A$2:$FZ$601,12,Sync!$C$11)),0),"")</f>
        <v/>
      </c>
      <c r="C1663" s="17">
        <f>IF(B1663="","","office")</f>
        <v/>
      </c>
      <c r="D1663" s="17">
        <f>IF(B1663="","",IFERROR(INDEX(Clay_Offices!$A$2:$FZ$601,12,Sync!$C$5)&amp;"",""))</f>
        <v/>
      </c>
      <c r="E1663" s="17">
        <f>IF(B1663="","",IFERROR(INDEX(Clay_Offices!$A$2:$FZ$601,12,Sync!$C$6)&amp;"",""))</f>
        <v/>
      </c>
      <c r="F1663" s="17">
        <f>IF(B1663="","","outreach_sent")</f>
        <v/>
      </c>
      <c r="G1663" s="17">
        <f>IF(B1663="","","")</f>
        <v/>
      </c>
      <c r="H1663" s="17">
        <f>IF(B1663="","","")</f>
        <v/>
      </c>
      <c r="I1663" s="17">
        <f>IF(B1663="","","")</f>
        <v/>
      </c>
      <c r="J1663" s="17">
        <f>IF(B1663="","","touch_1; "&amp;IFERROR(INDEX(Clay_Offices!$A$2:$FZ$601,12,Sync!$C$10)&amp;"","")&amp;"; "&amp;IFERROR(INDEX(Clay_Offices!$A$2:$FZ$601,12,Sync!$C$9)&amp;"",""))</f>
        <v/>
      </c>
      <c r="K1663" t="inlineStr">
        <is>
          <t>office outreach touch 1</t>
        </is>
      </c>
    </row>
    <row r="1664">
      <c r="A1664" s="17">
        <f>IF(B1664="","",B1664+(12*1000+13)/10000000)</f>
        <v/>
      </c>
      <c r="B1664" s="23">
        <f>IF(AND(IFERROR(N(INDEX(Clay_Offices!$A$2:$FZ$601,13,Sync!$C$11)),0)&gt;0,IFERROR(INDEX(Clay_Offices!$A$2:$FZ$601,13,Sync!$C$5)&amp;"","")&lt;&gt;"",OR(LEFT(IFERROR(INDEX(Clay_Offices!$A$2:$FZ$601,13,Sync!$C$5)&amp;"",""),6)&lt;&gt;"SAMPLE",Config!$B$19="Y")),IFERROR(N(INDEX(Clay_Offices!$A$2:$FZ$601,13,Sync!$C$11)),0),"")</f>
        <v/>
      </c>
      <c r="C1664" s="17">
        <f>IF(B1664="","","office")</f>
        <v/>
      </c>
      <c r="D1664" s="17">
        <f>IF(B1664="","",IFERROR(INDEX(Clay_Offices!$A$2:$FZ$601,13,Sync!$C$5)&amp;"",""))</f>
        <v/>
      </c>
      <c r="E1664" s="17">
        <f>IF(B1664="","",IFERROR(INDEX(Clay_Offices!$A$2:$FZ$601,13,Sync!$C$6)&amp;"",""))</f>
        <v/>
      </c>
      <c r="F1664" s="17">
        <f>IF(B1664="","","outreach_sent")</f>
        <v/>
      </c>
      <c r="G1664" s="17">
        <f>IF(B1664="","","")</f>
        <v/>
      </c>
      <c r="H1664" s="17">
        <f>IF(B1664="","","")</f>
        <v/>
      </c>
      <c r="I1664" s="17">
        <f>IF(B1664="","","")</f>
        <v/>
      </c>
      <c r="J1664" s="17">
        <f>IF(B1664="","","touch_1; "&amp;IFERROR(INDEX(Clay_Offices!$A$2:$FZ$601,13,Sync!$C$10)&amp;"","")&amp;"; "&amp;IFERROR(INDEX(Clay_Offices!$A$2:$FZ$601,13,Sync!$C$9)&amp;"",""))</f>
        <v/>
      </c>
      <c r="K1664" t="inlineStr">
        <is>
          <t>office outreach touch 1</t>
        </is>
      </c>
    </row>
    <row r="1665">
      <c r="A1665" s="17">
        <f>IF(B1665="","",B1665+(12*1000+14)/10000000)</f>
        <v/>
      </c>
      <c r="B1665" s="23">
        <f>IF(AND(IFERROR(N(INDEX(Clay_Offices!$A$2:$FZ$601,14,Sync!$C$11)),0)&gt;0,IFERROR(INDEX(Clay_Offices!$A$2:$FZ$601,14,Sync!$C$5)&amp;"","")&lt;&gt;"",OR(LEFT(IFERROR(INDEX(Clay_Offices!$A$2:$FZ$601,14,Sync!$C$5)&amp;"",""),6)&lt;&gt;"SAMPLE",Config!$B$19="Y")),IFERROR(N(INDEX(Clay_Offices!$A$2:$FZ$601,14,Sync!$C$11)),0),"")</f>
        <v/>
      </c>
      <c r="C1665" s="17">
        <f>IF(B1665="","","office")</f>
        <v/>
      </c>
      <c r="D1665" s="17">
        <f>IF(B1665="","",IFERROR(INDEX(Clay_Offices!$A$2:$FZ$601,14,Sync!$C$5)&amp;"",""))</f>
        <v/>
      </c>
      <c r="E1665" s="17">
        <f>IF(B1665="","",IFERROR(INDEX(Clay_Offices!$A$2:$FZ$601,14,Sync!$C$6)&amp;"",""))</f>
        <v/>
      </c>
      <c r="F1665" s="17">
        <f>IF(B1665="","","outreach_sent")</f>
        <v/>
      </c>
      <c r="G1665" s="17">
        <f>IF(B1665="","","")</f>
        <v/>
      </c>
      <c r="H1665" s="17">
        <f>IF(B1665="","","")</f>
        <v/>
      </c>
      <c r="I1665" s="17">
        <f>IF(B1665="","","")</f>
        <v/>
      </c>
      <c r="J1665" s="17">
        <f>IF(B1665="","","touch_1; "&amp;IFERROR(INDEX(Clay_Offices!$A$2:$FZ$601,14,Sync!$C$10)&amp;"","")&amp;"; "&amp;IFERROR(INDEX(Clay_Offices!$A$2:$FZ$601,14,Sync!$C$9)&amp;"",""))</f>
        <v/>
      </c>
      <c r="K1665" t="inlineStr">
        <is>
          <t>office outreach touch 1</t>
        </is>
      </c>
    </row>
    <row r="1666">
      <c r="A1666" s="17">
        <f>IF(B1666="","",B1666+(12*1000+15)/10000000)</f>
        <v/>
      </c>
      <c r="B1666" s="23">
        <f>IF(AND(IFERROR(N(INDEX(Clay_Offices!$A$2:$FZ$601,15,Sync!$C$11)),0)&gt;0,IFERROR(INDEX(Clay_Offices!$A$2:$FZ$601,15,Sync!$C$5)&amp;"","")&lt;&gt;"",OR(LEFT(IFERROR(INDEX(Clay_Offices!$A$2:$FZ$601,15,Sync!$C$5)&amp;"",""),6)&lt;&gt;"SAMPLE",Config!$B$19="Y")),IFERROR(N(INDEX(Clay_Offices!$A$2:$FZ$601,15,Sync!$C$11)),0),"")</f>
        <v/>
      </c>
      <c r="C1666" s="17">
        <f>IF(B1666="","","office")</f>
        <v/>
      </c>
      <c r="D1666" s="17">
        <f>IF(B1666="","",IFERROR(INDEX(Clay_Offices!$A$2:$FZ$601,15,Sync!$C$5)&amp;"",""))</f>
        <v/>
      </c>
      <c r="E1666" s="17">
        <f>IF(B1666="","",IFERROR(INDEX(Clay_Offices!$A$2:$FZ$601,15,Sync!$C$6)&amp;"",""))</f>
        <v/>
      </c>
      <c r="F1666" s="17">
        <f>IF(B1666="","","outreach_sent")</f>
        <v/>
      </c>
      <c r="G1666" s="17">
        <f>IF(B1666="","","")</f>
        <v/>
      </c>
      <c r="H1666" s="17">
        <f>IF(B1666="","","")</f>
        <v/>
      </c>
      <c r="I1666" s="17">
        <f>IF(B1666="","","")</f>
        <v/>
      </c>
      <c r="J1666" s="17">
        <f>IF(B1666="","","touch_1; "&amp;IFERROR(INDEX(Clay_Offices!$A$2:$FZ$601,15,Sync!$C$10)&amp;"","")&amp;"; "&amp;IFERROR(INDEX(Clay_Offices!$A$2:$FZ$601,15,Sync!$C$9)&amp;"",""))</f>
        <v/>
      </c>
      <c r="K1666" t="inlineStr">
        <is>
          <t>office outreach touch 1</t>
        </is>
      </c>
    </row>
    <row r="1667">
      <c r="A1667" s="17">
        <f>IF(B1667="","",B1667+(12*1000+16)/10000000)</f>
        <v/>
      </c>
      <c r="B1667" s="23">
        <f>IF(AND(IFERROR(N(INDEX(Clay_Offices!$A$2:$FZ$601,16,Sync!$C$11)),0)&gt;0,IFERROR(INDEX(Clay_Offices!$A$2:$FZ$601,16,Sync!$C$5)&amp;"","")&lt;&gt;"",OR(LEFT(IFERROR(INDEX(Clay_Offices!$A$2:$FZ$601,16,Sync!$C$5)&amp;"",""),6)&lt;&gt;"SAMPLE",Config!$B$19="Y")),IFERROR(N(INDEX(Clay_Offices!$A$2:$FZ$601,16,Sync!$C$11)),0),"")</f>
        <v/>
      </c>
      <c r="C1667" s="17">
        <f>IF(B1667="","","office")</f>
        <v/>
      </c>
      <c r="D1667" s="17">
        <f>IF(B1667="","",IFERROR(INDEX(Clay_Offices!$A$2:$FZ$601,16,Sync!$C$5)&amp;"",""))</f>
        <v/>
      </c>
      <c r="E1667" s="17">
        <f>IF(B1667="","",IFERROR(INDEX(Clay_Offices!$A$2:$FZ$601,16,Sync!$C$6)&amp;"",""))</f>
        <v/>
      </c>
      <c r="F1667" s="17">
        <f>IF(B1667="","","outreach_sent")</f>
        <v/>
      </c>
      <c r="G1667" s="17">
        <f>IF(B1667="","","")</f>
        <v/>
      </c>
      <c r="H1667" s="17">
        <f>IF(B1667="","","")</f>
        <v/>
      </c>
      <c r="I1667" s="17">
        <f>IF(B1667="","","")</f>
        <v/>
      </c>
      <c r="J1667" s="17">
        <f>IF(B1667="","","touch_1; "&amp;IFERROR(INDEX(Clay_Offices!$A$2:$FZ$601,16,Sync!$C$10)&amp;"","")&amp;"; "&amp;IFERROR(INDEX(Clay_Offices!$A$2:$FZ$601,16,Sync!$C$9)&amp;"",""))</f>
        <v/>
      </c>
      <c r="K1667" t="inlineStr">
        <is>
          <t>office outreach touch 1</t>
        </is>
      </c>
    </row>
    <row r="1668">
      <c r="A1668" s="17">
        <f>IF(B1668="","",B1668+(12*1000+17)/10000000)</f>
        <v/>
      </c>
      <c r="B1668" s="23">
        <f>IF(AND(IFERROR(N(INDEX(Clay_Offices!$A$2:$FZ$601,17,Sync!$C$11)),0)&gt;0,IFERROR(INDEX(Clay_Offices!$A$2:$FZ$601,17,Sync!$C$5)&amp;"","")&lt;&gt;"",OR(LEFT(IFERROR(INDEX(Clay_Offices!$A$2:$FZ$601,17,Sync!$C$5)&amp;"",""),6)&lt;&gt;"SAMPLE",Config!$B$19="Y")),IFERROR(N(INDEX(Clay_Offices!$A$2:$FZ$601,17,Sync!$C$11)),0),"")</f>
        <v/>
      </c>
      <c r="C1668" s="17">
        <f>IF(B1668="","","office")</f>
        <v/>
      </c>
      <c r="D1668" s="17">
        <f>IF(B1668="","",IFERROR(INDEX(Clay_Offices!$A$2:$FZ$601,17,Sync!$C$5)&amp;"",""))</f>
        <v/>
      </c>
      <c r="E1668" s="17">
        <f>IF(B1668="","",IFERROR(INDEX(Clay_Offices!$A$2:$FZ$601,17,Sync!$C$6)&amp;"",""))</f>
        <v/>
      </c>
      <c r="F1668" s="17">
        <f>IF(B1668="","","outreach_sent")</f>
        <v/>
      </c>
      <c r="G1668" s="17">
        <f>IF(B1668="","","")</f>
        <v/>
      </c>
      <c r="H1668" s="17">
        <f>IF(B1668="","","")</f>
        <v/>
      </c>
      <c r="I1668" s="17">
        <f>IF(B1668="","","")</f>
        <v/>
      </c>
      <c r="J1668" s="17">
        <f>IF(B1668="","","touch_1; "&amp;IFERROR(INDEX(Clay_Offices!$A$2:$FZ$601,17,Sync!$C$10)&amp;"","")&amp;"; "&amp;IFERROR(INDEX(Clay_Offices!$A$2:$FZ$601,17,Sync!$C$9)&amp;"",""))</f>
        <v/>
      </c>
      <c r="K1668" t="inlineStr">
        <is>
          <t>office outreach touch 1</t>
        </is>
      </c>
    </row>
    <row r="1669">
      <c r="A1669" s="17">
        <f>IF(B1669="","",B1669+(12*1000+18)/10000000)</f>
        <v/>
      </c>
      <c r="B1669" s="23">
        <f>IF(AND(IFERROR(N(INDEX(Clay_Offices!$A$2:$FZ$601,18,Sync!$C$11)),0)&gt;0,IFERROR(INDEX(Clay_Offices!$A$2:$FZ$601,18,Sync!$C$5)&amp;"","")&lt;&gt;"",OR(LEFT(IFERROR(INDEX(Clay_Offices!$A$2:$FZ$601,18,Sync!$C$5)&amp;"",""),6)&lt;&gt;"SAMPLE",Config!$B$19="Y")),IFERROR(N(INDEX(Clay_Offices!$A$2:$FZ$601,18,Sync!$C$11)),0),"")</f>
        <v/>
      </c>
      <c r="C1669" s="17">
        <f>IF(B1669="","","office")</f>
        <v/>
      </c>
      <c r="D1669" s="17">
        <f>IF(B1669="","",IFERROR(INDEX(Clay_Offices!$A$2:$FZ$601,18,Sync!$C$5)&amp;"",""))</f>
        <v/>
      </c>
      <c r="E1669" s="17">
        <f>IF(B1669="","",IFERROR(INDEX(Clay_Offices!$A$2:$FZ$601,18,Sync!$C$6)&amp;"",""))</f>
        <v/>
      </c>
      <c r="F1669" s="17">
        <f>IF(B1669="","","outreach_sent")</f>
        <v/>
      </c>
      <c r="G1669" s="17">
        <f>IF(B1669="","","")</f>
        <v/>
      </c>
      <c r="H1669" s="17">
        <f>IF(B1669="","","")</f>
        <v/>
      </c>
      <c r="I1669" s="17">
        <f>IF(B1669="","","")</f>
        <v/>
      </c>
      <c r="J1669" s="17">
        <f>IF(B1669="","","touch_1; "&amp;IFERROR(INDEX(Clay_Offices!$A$2:$FZ$601,18,Sync!$C$10)&amp;"","")&amp;"; "&amp;IFERROR(INDEX(Clay_Offices!$A$2:$FZ$601,18,Sync!$C$9)&amp;"",""))</f>
        <v/>
      </c>
      <c r="K1669" t="inlineStr">
        <is>
          <t>office outreach touch 1</t>
        </is>
      </c>
    </row>
    <row r="1670">
      <c r="A1670" s="17">
        <f>IF(B1670="","",B1670+(12*1000+19)/10000000)</f>
        <v/>
      </c>
      <c r="B1670" s="23">
        <f>IF(AND(IFERROR(N(INDEX(Clay_Offices!$A$2:$FZ$601,19,Sync!$C$11)),0)&gt;0,IFERROR(INDEX(Clay_Offices!$A$2:$FZ$601,19,Sync!$C$5)&amp;"","")&lt;&gt;"",OR(LEFT(IFERROR(INDEX(Clay_Offices!$A$2:$FZ$601,19,Sync!$C$5)&amp;"",""),6)&lt;&gt;"SAMPLE",Config!$B$19="Y")),IFERROR(N(INDEX(Clay_Offices!$A$2:$FZ$601,19,Sync!$C$11)),0),"")</f>
        <v/>
      </c>
      <c r="C1670" s="17">
        <f>IF(B1670="","","office")</f>
        <v/>
      </c>
      <c r="D1670" s="17">
        <f>IF(B1670="","",IFERROR(INDEX(Clay_Offices!$A$2:$FZ$601,19,Sync!$C$5)&amp;"",""))</f>
        <v/>
      </c>
      <c r="E1670" s="17">
        <f>IF(B1670="","",IFERROR(INDEX(Clay_Offices!$A$2:$FZ$601,19,Sync!$C$6)&amp;"",""))</f>
        <v/>
      </c>
      <c r="F1670" s="17">
        <f>IF(B1670="","","outreach_sent")</f>
        <v/>
      </c>
      <c r="G1670" s="17">
        <f>IF(B1670="","","")</f>
        <v/>
      </c>
      <c r="H1670" s="17">
        <f>IF(B1670="","","")</f>
        <v/>
      </c>
      <c r="I1670" s="17">
        <f>IF(B1670="","","")</f>
        <v/>
      </c>
      <c r="J1670" s="17">
        <f>IF(B1670="","","touch_1; "&amp;IFERROR(INDEX(Clay_Offices!$A$2:$FZ$601,19,Sync!$C$10)&amp;"","")&amp;"; "&amp;IFERROR(INDEX(Clay_Offices!$A$2:$FZ$601,19,Sync!$C$9)&amp;"",""))</f>
        <v/>
      </c>
      <c r="K1670" t="inlineStr">
        <is>
          <t>office outreach touch 1</t>
        </is>
      </c>
    </row>
    <row r="1671">
      <c r="A1671" s="17">
        <f>IF(B1671="","",B1671+(12*1000+20)/10000000)</f>
        <v/>
      </c>
      <c r="B1671" s="23">
        <f>IF(AND(IFERROR(N(INDEX(Clay_Offices!$A$2:$FZ$601,20,Sync!$C$11)),0)&gt;0,IFERROR(INDEX(Clay_Offices!$A$2:$FZ$601,20,Sync!$C$5)&amp;"","")&lt;&gt;"",OR(LEFT(IFERROR(INDEX(Clay_Offices!$A$2:$FZ$601,20,Sync!$C$5)&amp;"",""),6)&lt;&gt;"SAMPLE",Config!$B$19="Y")),IFERROR(N(INDEX(Clay_Offices!$A$2:$FZ$601,20,Sync!$C$11)),0),"")</f>
        <v/>
      </c>
      <c r="C1671" s="17">
        <f>IF(B1671="","","office")</f>
        <v/>
      </c>
      <c r="D1671" s="17">
        <f>IF(B1671="","",IFERROR(INDEX(Clay_Offices!$A$2:$FZ$601,20,Sync!$C$5)&amp;"",""))</f>
        <v/>
      </c>
      <c r="E1671" s="17">
        <f>IF(B1671="","",IFERROR(INDEX(Clay_Offices!$A$2:$FZ$601,20,Sync!$C$6)&amp;"",""))</f>
        <v/>
      </c>
      <c r="F1671" s="17">
        <f>IF(B1671="","","outreach_sent")</f>
        <v/>
      </c>
      <c r="G1671" s="17">
        <f>IF(B1671="","","")</f>
        <v/>
      </c>
      <c r="H1671" s="17">
        <f>IF(B1671="","","")</f>
        <v/>
      </c>
      <c r="I1671" s="17">
        <f>IF(B1671="","","")</f>
        <v/>
      </c>
      <c r="J1671" s="17">
        <f>IF(B1671="","","touch_1; "&amp;IFERROR(INDEX(Clay_Offices!$A$2:$FZ$601,20,Sync!$C$10)&amp;"","")&amp;"; "&amp;IFERROR(INDEX(Clay_Offices!$A$2:$FZ$601,20,Sync!$C$9)&amp;"",""))</f>
        <v/>
      </c>
      <c r="K1671" t="inlineStr">
        <is>
          <t>office outreach touch 1</t>
        </is>
      </c>
    </row>
    <row r="1672">
      <c r="A1672" s="17">
        <f>IF(B1672="","",B1672+(12*1000+21)/10000000)</f>
        <v/>
      </c>
      <c r="B1672" s="23">
        <f>IF(AND(IFERROR(N(INDEX(Clay_Offices!$A$2:$FZ$601,21,Sync!$C$11)),0)&gt;0,IFERROR(INDEX(Clay_Offices!$A$2:$FZ$601,21,Sync!$C$5)&amp;"","")&lt;&gt;"",OR(LEFT(IFERROR(INDEX(Clay_Offices!$A$2:$FZ$601,21,Sync!$C$5)&amp;"",""),6)&lt;&gt;"SAMPLE",Config!$B$19="Y")),IFERROR(N(INDEX(Clay_Offices!$A$2:$FZ$601,21,Sync!$C$11)),0),"")</f>
        <v/>
      </c>
      <c r="C1672" s="17">
        <f>IF(B1672="","","office")</f>
        <v/>
      </c>
      <c r="D1672" s="17">
        <f>IF(B1672="","",IFERROR(INDEX(Clay_Offices!$A$2:$FZ$601,21,Sync!$C$5)&amp;"",""))</f>
        <v/>
      </c>
      <c r="E1672" s="17">
        <f>IF(B1672="","",IFERROR(INDEX(Clay_Offices!$A$2:$FZ$601,21,Sync!$C$6)&amp;"",""))</f>
        <v/>
      </c>
      <c r="F1672" s="17">
        <f>IF(B1672="","","outreach_sent")</f>
        <v/>
      </c>
      <c r="G1672" s="17">
        <f>IF(B1672="","","")</f>
        <v/>
      </c>
      <c r="H1672" s="17">
        <f>IF(B1672="","","")</f>
        <v/>
      </c>
      <c r="I1672" s="17">
        <f>IF(B1672="","","")</f>
        <v/>
      </c>
      <c r="J1672" s="17">
        <f>IF(B1672="","","touch_1; "&amp;IFERROR(INDEX(Clay_Offices!$A$2:$FZ$601,21,Sync!$C$10)&amp;"","")&amp;"; "&amp;IFERROR(INDEX(Clay_Offices!$A$2:$FZ$601,21,Sync!$C$9)&amp;"",""))</f>
        <v/>
      </c>
      <c r="K1672" t="inlineStr">
        <is>
          <t>office outreach touch 1</t>
        </is>
      </c>
    </row>
    <row r="1673">
      <c r="A1673" s="17">
        <f>IF(B1673="","",B1673+(12*1000+22)/10000000)</f>
        <v/>
      </c>
      <c r="B1673" s="23">
        <f>IF(AND(IFERROR(N(INDEX(Clay_Offices!$A$2:$FZ$601,22,Sync!$C$11)),0)&gt;0,IFERROR(INDEX(Clay_Offices!$A$2:$FZ$601,22,Sync!$C$5)&amp;"","")&lt;&gt;"",OR(LEFT(IFERROR(INDEX(Clay_Offices!$A$2:$FZ$601,22,Sync!$C$5)&amp;"",""),6)&lt;&gt;"SAMPLE",Config!$B$19="Y")),IFERROR(N(INDEX(Clay_Offices!$A$2:$FZ$601,22,Sync!$C$11)),0),"")</f>
        <v/>
      </c>
      <c r="C1673" s="17">
        <f>IF(B1673="","","office")</f>
        <v/>
      </c>
      <c r="D1673" s="17">
        <f>IF(B1673="","",IFERROR(INDEX(Clay_Offices!$A$2:$FZ$601,22,Sync!$C$5)&amp;"",""))</f>
        <v/>
      </c>
      <c r="E1673" s="17">
        <f>IF(B1673="","",IFERROR(INDEX(Clay_Offices!$A$2:$FZ$601,22,Sync!$C$6)&amp;"",""))</f>
        <v/>
      </c>
      <c r="F1673" s="17">
        <f>IF(B1673="","","outreach_sent")</f>
        <v/>
      </c>
      <c r="G1673" s="17">
        <f>IF(B1673="","","")</f>
        <v/>
      </c>
      <c r="H1673" s="17">
        <f>IF(B1673="","","")</f>
        <v/>
      </c>
      <c r="I1673" s="17">
        <f>IF(B1673="","","")</f>
        <v/>
      </c>
      <c r="J1673" s="17">
        <f>IF(B1673="","","touch_1; "&amp;IFERROR(INDEX(Clay_Offices!$A$2:$FZ$601,22,Sync!$C$10)&amp;"","")&amp;"; "&amp;IFERROR(INDEX(Clay_Offices!$A$2:$FZ$601,22,Sync!$C$9)&amp;"",""))</f>
        <v/>
      </c>
      <c r="K1673" t="inlineStr">
        <is>
          <t>office outreach touch 1</t>
        </is>
      </c>
    </row>
    <row r="1674">
      <c r="A1674" s="17">
        <f>IF(B1674="","",B1674+(12*1000+23)/10000000)</f>
        <v/>
      </c>
      <c r="B1674" s="23">
        <f>IF(AND(IFERROR(N(INDEX(Clay_Offices!$A$2:$FZ$601,23,Sync!$C$11)),0)&gt;0,IFERROR(INDEX(Clay_Offices!$A$2:$FZ$601,23,Sync!$C$5)&amp;"","")&lt;&gt;"",OR(LEFT(IFERROR(INDEX(Clay_Offices!$A$2:$FZ$601,23,Sync!$C$5)&amp;"",""),6)&lt;&gt;"SAMPLE",Config!$B$19="Y")),IFERROR(N(INDEX(Clay_Offices!$A$2:$FZ$601,23,Sync!$C$11)),0),"")</f>
        <v/>
      </c>
      <c r="C1674" s="17">
        <f>IF(B1674="","","office")</f>
        <v/>
      </c>
      <c r="D1674" s="17">
        <f>IF(B1674="","",IFERROR(INDEX(Clay_Offices!$A$2:$FZ$601,23,Sync!$C$5)&amp;"",""))</f>
        <v/>
      </c>
      <c r="E1674" s="17">
        <f>IF(B1674="","",IFERROR(INDEX(Clay_Offices!$A$2:$FZ$601,23,Sync!$C$6)&amp;"",""))</f>
        <v/>
      </c>
      <c r="F1674" s="17">
        <f>IF(B1674="","","outreach_sent")</f>
        <v/>
      </c>
      <c r="G1674" s="17">
        <f>IF(B1674="","","")</f>
        <v/>
      </c>
      <c r="H1674" s="17">
        <f>IF(B1674="","","")</f>
        <v/>
      </c>
      <c r="I1674" s="17">
        <f>IF(B1674="","","")</f>
        <v/>
      </c>
      <c r="J1674" s="17">
        <f>IF(B1674="","","touch_1; "&amp;IFERROR(INDEX(Clay_Offices!$A$2:$FZ$601,23,Sync!$C$10)&amp;"","")&amp;"; "&amp;IFERROR(INDEX(Clay_Offices!$A$2:$FZ$601,23,Sync!$C$9)&amp;"",""))</f>
        <v/>
      </c>
      <c r="K1674" t="inlineStr">
        <is>
          <t>office outreach touch 1</t>
        </is>
      </c>
    </row>
    <row r="1675">
      <c r="A1675" s="17">
        <f>IF(B1675="","",B1675+(12*1000+24)/10000000)</f>
        <v/>
      </c>
      <c r="B1675" s="23">
        <f>IF(AND(IFERROR(N(INDEX(Clay_Offices!$A$2:$FZ$601,24,Sync!$C$11)),0)&gt;0,IFERROR(INDEX(Clay_Offices!$A$2:$FZ$601,24,Sync!$C$5)&amp;"","")&lt;&gt;"",OR(LEFT(IFERROR(INDEX(Clay_Offices!$A$2:$FZ$601,24,Sync!$C$5)&amp;"",""),6)&lt;&gt;"SAMPLE",Config!$B$19="Y")),IFERROR(N(INDEX(Clay_Offices!$A$2:$FZ$601,24,Sync!$C$11)),0),"")</f>
        <v/>
      </c>
      <c r="C1675" s="17">
        <f>IF(B1675="","","office")</f>
        <v/>
      </c>
      <c r="D1675" s="17">
        <f>IF(B1675="","",IFERROR(INDEX(Clay_Offices!$A$2:$FZ$601,24,Sync!$C$5)&amp;"",""))</f>
        <v/>
      </c>
      <c r="E1675" s="17">
        <f>IF(B1675="","",IFERROR(INDEX(Clay_Offices!$A$2:$FZ$601,24,Sync!$C$6)&amp;"",""))</f>
        <v/>
      </c>
      <c r="F1675" s="17">
        <f>IF(B1675="","","outreach_sent")</f>
        <v/>
      </c>
      <c r="G1675" s="17">
        <f>IF(B1675="","","")</f>
        <v/>
      </c>
      <c r="H1675" s="17">
        <f>IF(B1675="","","")</f>
        <v/>
      </c>
      <c r="I1675" s="17">
        <f>IF(B1675="","","")</f>
        <v/>
      </c>
      <c r="J1675" s="17">
        <f>IF(B1675="","","touch_1; "&amp;IFERROR(INDEX(Clay_Offices!$A$2:$FZ$601,24,Sync!$C$10)&amp;"","")&amp;"; "&amp;IFERROR(INDEX(Clay_Offices!$A$2:$FZ$601,24,Sync!$C$9)&amp;"",""))</f>
        <v/>
      </c>
      <c r="K1675" t="inlineStr">
        <is>
          <t>office outreach touch 1</t>
        </is>
      </c>
    </row>
    <row r="1676">
      <c r="A1676" s="17">
        <f>IF(B1676="","",B1676+(12*1000+25)/10000000)</f>
        <v/>
      </c>
      <c r="B1676" s="23">
        <f>IF(AND(IFERROR(N(INDEX(Clay_Offices!$A$2:$FZ$601,25,Sync!$C$11)),0)&gt;0,IFERROR(INDEX(Clay_Offices!$A$2:$FZ$601,25,Sync!$C$5)&amp;"","")&lt;&gt;"",OR(LEFT(IFERROR(INDEX(Clay_Offices!$A$2:$FZ$601,25,Sync!$C$5)&amp;"",""),6)&lt;&gt;"SAMPLE",Config!$B$19="Y")),IFERROR(N(INDEX(Clay_Offices!$A$2:$FZ$601,25,Sync!$C$11)),0),"")</f>
        <v/>
      </c>
      <c r="C1676" s="17">
        <f>IF(B1676="","","office")</f>
        <v/>
      </c>
      <c r="D1676" s="17">
        <f>IF(B1676="","",IFERROR(INDEX(Clay_Offices!$A$2:$FZ$601,25,Sync!$C$5)&amp;"",""))</f>
        <v/>
      </c>
      <c r="E1676" s="17">
        <f>IF(B1676="","",IFERROR(INDEX(Clay_Offices!$A$2:$FZ$601,25,Sync!$C$6)&amp;"",""))</f>
        <v/>
      </c>
      <c r="F1676" s="17">
        <f>IF(B1676="","","outreach_sent")</f>
        <v/>
      </c>
      <c r="G1676" s="17">
        <f>IF(B1676="","","")</f>
        <v/>
      </c>
      <c r="H1676" s="17">
        <f>IF(B1676="","","")</f>
        <v/>
      </c>
      <c r="I1676" s="17">
        <f>IF(B1676="","","")</f>
        <v/>
      </c>
      <c r="J1676" s="17">
        <f>IF(B1676="","","touch_1; "&amp;IFERROR(INDEX(Clay_Offices!$A$2:$FZ$601,25,Sync!$C$10)&amp;"","")&amp;"; "&amp;IFERROR(INDEX(Clay_Offices!$A$2:$FZ$601,25,Sync!$C$9)&amp;"",""))</f>
        <v/>
      </c>
      <c r="K1676" t="inlineStr">
        <is>
          <t>office outreach touch 1</t>
        </is>
      </c>
    </row>
    <row r="1677">
      <c r="A1677" s="17">
        <f>IF(B1677="","",B1677+(12*1000+26)/10000000)</f>
        <v/>
      </c>
      <c r="B1677" s="23">
        <f>IF(AND(IFERROR(N(INDEX(Clay_Offices!$A$2:$FZ$601,26,Sync!$C$11)),0)&gt;0,IFERROR(INDEX(Clay_Offices!$A$2:$FZ$601,26,Sync!$C$5)&amp;"","")&lt;&gt;"",OR(LEFT(IFERROR(INDEX(Clay_Offices!$A$2:$FZ$601,26,Sync!$C$5)&amp;"",""),6)&lt;&gt;"SAMPLE",Config!$B$19="Y")),IFERROR(N(INDEX(Clay_Offices!$A$2:$FZ$601,26,Sync!$C$11)),0),"")</f>
        <v/>
      </c>
      <c r="C1677" s="17">
        <f>IF(B1677="","","office")</f>
        <v/>
      </c>
      <c r="D1677" s="17">
        <f>IF(B1677="","",IFERROR(INDEX(Clay_Offices!$A$2:$FZ$601,26,Sync!$C$5)&amp;"",""))</f>
        <v/>
      </c>
      <c r="E1677" s="17">
        <f>IF(B1677="","",IFERROR(INDEX(Clay_Offices!$A$2:$FZ$601,26,Sync!$C$6)&amp;"",""))</f>
        <v/>
      </c>
      <c r="F1677" s="17">
        <f>IF(B1677="","","outreach_sent")</f>
        <v/>
      </c>
      <c r="G1677" s="17">
        <f>IF(B1677="","","")</f>
        <v/>
      </c>
      <c r="H1677" s="17">
        <f>IF(B1677="","","")</f>
        <v/>
      </c>
      <c r="I1677" s="17">
        <f>IF(B1677="","","")</f>
        <v/>
      </c>
      <c r="J1677" s="17">
        <f>IF(B1677="","","touch_1; "&amp;IFERROR(INDEX(Clay_Offices!$A$2:$FZ$601,26,Sync!$C$10)&amp;"","")&amp;"; "&amp;IFERROR(INDEX(Clay_Offices!$A$2:$FZ$601,26,Sync!$C$9)&amp;"",""))</f>
        <v/>
      </c>
      <c r="K1677" t="inlineStr">
        <is>
          <t>office outreach touch 1</t>
        </is>
      </c>
    </row>
    <row r="1678">
      <c r="A1678" s="17">
        <f>IF(B1678="","",B1678+(12*1000+27)/10000000)</f>
        <v/>
      </c>
      <c r="B1678" s="23">
        <f>IF(AND(IFERROR(N(INDEX(Clay_Offices!$A$2:$FZ$601,27,Sync!$C$11)),0)&gt;0,IFERROR(INDEX(Clay_Offices!$A$2:$FZ$601,27,Sync!$C$5)&amp;"","")&lt;&gt;"",OR(LEFT(IFERROR(INDEX(Clay_Offices!$A$2:$FZ$601,27,Sync!$C$5)&amp;"",""),6)&lt;&gt;"SAMPLE",Config!$B$19="Y")),IFERROR(N(INDEX(Clay_Offices!$A$2:$FZ$601,27,Sync!$C$11)),0),"")</f>
        <v/>
      </c>
      <c r="C1678" s="17">
        <f>IF(B1678="","","office")</f>
        <v/>
      </c>
      <c r="D1678" s="17">
        <f>IF(B1678="","",IFERROR(INDEX(Clay_Offices!$A$2:$FZ$601,27,Sync!$C$5)&amp;"",""))</f>
        <v/>
      </c>
      <c r="E1678" s="17">
        <f>IF(B1678="","",IFERROR(INDEX(Clay_Offices!$A$2:$FZ$601,27,Sync!$C$6)&amp;"",""))</f>
        <v/>
      </c>
      <c r="F1678" s="17">
        <f>IF(B1678="","","outreach_sent")</f>
        <v/>
      </c>
      <c r="G1678" s="17">
        <f>IF(B1678="","","")</f>
        <v/>
      </c>
      <c r="H1678" s="17">
        <f>IF(B1678="","","")</f>
        <v/>
      </c>
      <c r="I1678" s="17">
        <f>IF(B1678="","","")</f>
        <v/>
      </c>
      <c r="J1678" s="17">
        <f>IF(B1678="","","touch_1; "&amp;IFERROR(INDEX(Clay_Offices!$A$2:$FZ$601,27,Sync!$C$10)&amp;"","")&amp;"; "&amp;IFERROR(INDEX(Clay_Offices!$A$2:$FZ$601,27,Sync!$C$9)&amp;"",""))</f>
        <v/>
      </c>
      <c r="K1678" t="inlineStr">
        <is>
          <t>office outreach touch 1</t>
        </is>
      </c>
    </row>
    <row r="1679">
      <c r="A1679" s="17">
        <f>IF(B1679="","",B1679+(12*1000+28)/10000000)</f>
        <v/>
      </c>
      <c r="B1679" s="23">
        <f>IF(AND(IFERROR(N(INDEX(Clay_Offices!$A$2:$FZ$601,28,Sync!$C$11)),0)&gt;0,IFERROR(INDEX(Clay_Offices!$A$2:$FZ$601,28,Sync!$C$5)&amp;"","")&lt;&gt;"",OR(LEFT(IFERROR(INDEX(Clay_Offices!$A$2:$FZ$601,28,Sync!$C$5)&amp;"",""),6)&lt;&gt;"SAMPLE",Config!$B$19="Y")),IFERROR(N(INDEX(Clay_Offices!$A$2:$FZ$601,28,Sync!$C$11)),0),"")</f>
        <v/>
      </c>
      <c r="C1679" s="17">
        <f>IF(B1679="","","office")</f>
        <v/>
      </c>
      <c r="D1679" s="17">
        <f>IF(B1679="","",IFERROR(INDEX(Clay_Offices!$A$2:$FZ$601,28,Sync!$C$5)&amp;"",""))</f>
        <v/>
      </c>
      <c r="E1679" s="17">
        <f>IF(B1679="","",IFERROR(INDEX(Clay_Offices!$A$2:$FZ$601,28,Sync!$C$6)&amp;"",""))</f>
        <v/>
      </c>
      <c r="F1679" s="17">
        <f>IF(B1679="","","outreach_sent")</f>
        <v/>
      </c>
      <c r="G1679" s="17">
        <f>IF(B1679="","","")</f>
        <v/>
      </c>
      <c r="H1679" s="17">
        <f>IF(B1679="","","")</f>
        <v/>
      </c>
      <c r="I1679" s="17">
        <f>IF(B1679="","","")</f>
        <v/>
      </c>
      <c r="J1679" s="17">
        <f>IF(B1679="","","touch_1; "&amp;IFERROR(INDEX(Clay_Offices!$A$2:$FZ$601,28,Sync!$C$10)&amp;"","")&amp;"; "&amp;IFERROR(INDEX(Clay_Offices!$A$2:$FZ$601,28,Sync!$C$9)&amp;"",""))</f>
        <v/>
      </c>
      <c r="K1679" t="inlineStr">
        <is>
          <t>office outreach touch 1</t>
        </is>
      </c>
    </row>
    <row r="1680">
      <c r="A1680" s="17">
        <f>IF(B1680="","",B1680+(12*1000+29)/10000000)</f>
        <v/>
      </c>
      <c r="B1680" s="23">
        <f>IF(AND(IFERROR(N(INDEX(Clay_Offices!$A$2:$FZ$601,29,Sync!$C$11)),0)&gt;0,IFERROR(INDEX(Clay_Offices!$A$2:$FZ$601,29,Sync!$C$5)&amp;"","")&lt;&gt;"",OR(LEFT(IFERROR(INDEX(Clay_Offices!$A$2:$FZ$601,29,Sync!$C$5)&amp;"",""),6)&lt;&gt;"SAMPLE",Config!$B$19="Y")),IFERROR(N(INDEX(Clay_Offices!$A$2:$FZ$601,29,Sync!$C$11)),0),"")</f>
        <v/>
      </c>
      <c r="C1680" s="17">
        <f>IF(B1680="","","office")</f>
        <v/>
      </c>
      <c r="D1680" s="17">
        <f>IF(B1680="","",IFERROR(INDEX(Clay_Offices!$A$2:$FZ$601,29,Sync!$C$5)&amp;"",""))</f>
        <v/>
      </c>
      <c r="E1680" s="17">
        <f>IF(B1680="","",IFERROR(INDEX(Clay_Offices!$A$2:$FZ$601,29,Sync!$C$6)&amp;"",""))</f>
        <v/>
      </c>
      <c r="F1680" s="17">
        <f>IF(B1680="","","outreach_sent")</f>
        <v/>
      </c>
      <c r="G1680" s="17">
        <f>IF(B1680="","","")</f>
        <v/>
      </c>
      <c r="H1680" s="17">
        <f>IF(B1680="","","")</f>
        <v/>
      </c>
      <c r="I1680" s="17">
        <f>IF(B1680="","","")</f>
        <v/>
      </c>
      <c r="J1680" s="17">
        <f>IF(B1680="","","touch_1; "&amp;IFERROR(INDEX(Clay_Offices!$A$2:$FZ$601,29,Sync!$C$10)&amp;"","")&amp;"; "&amp;IFERROR(INDEX(Clay_Offices!$A$2:$FZ$601,29,Sync!$C$9)&amp;"",""))</f>
        <v/>
      </c>
      <c r="K1680" t="inlineStr">
        <is>
          <t>office outreach touch 1</t>
        </is>
      </c>
    </row>
    <row r="1681">
      <c r="A1681" s="17">
        <f>IF(B1681="","",B1681+(12*1000+30)/10000000)</f>
        <v/>
      </c>
      <c r="B1681" s="23">
        <f>IF(AND(IFERROR(N(INDEX(Clay_Offices!$A$2:$FZ$601,30,Sync!$C$11)),0)&gt;0,IFERROR(INDEX(Clay_Offices!$A$2:$FZ$601,30,Sync!$C$5)&amp;"","")&lt;&gt;"",OR(LEFT(IFERROR(INDEX(Clay_Offices!$A$2:$FZ$601,30,Sync!$C$5)&amp;"",""),6)&lt;&gt;"SAMPLE",Config!$B$19="Y")),IFERROR(N(INDEX(Clay_Offices!$A$2:$FZ$601,30,Sync!$C$11)),0),"")</f>
        <v/>
      </c>
      <c r="C1681" s="17">
        <f>IF(B1681="","","office")</f>
        <v/>
      </c>
      <c r="D1681" s="17">
        <f>IF(B1681="","",IFERROR(INDEX(Clay_Offices!$A$2:$FZ$601,30,Sync!$C$5)&amp;"",""))</f>
        <v/>
      </c>
      <c r="E1681" s="17">
        <f>IF(B1681="","",IFERROR(INDEX(Clay_Offices!$A$2:$FZ$601,30,Sync!$C$6)&amp;"",""))</f>
        <v/>
      </c>
      <c r="F1681" s="17">
        <f>IF(B1681="","","outreach_sent")</f>
        <v/>
      </c>
      <c r="G1681" s="17">
        <f>IF(B1681="","","")</f>
        <v/>
      </c>
      <c r="H1681" s="17">
        <f>IF(B1681="","","")</f>
        <v/>
      </c>
      <c r="I1681" s="17">
        <f>IF(B1681="","","")</f>
        <v/>
      </c>
      <c r="J1681" s="17">
        <f>IF(B1681="","","touch_1; "&amp;IFERROR(INDEX(Clay_Offices!$A$2:$FZ$601,30,Sync!$C$10)&amp;"","")&amp;"; "&amp;IFERROR(INDEX(Clay_Offices!$A$2:$FZ$601,30,Sync!$C$9)&amp;"",""))</f>
        <v/>
      </c>
      <c r="K1681" t="inlineStr">
        <is>
          <t>office outreach touch 1</t>
        </is>
      </c>
    </row>
    <row r="1682">
      <c r="A1682" s="17">
        <f>IF(B1682="","",B1682+(12*1000+31)/10000000)</f>
        <v/>
      </c>
      <c r="B1682" s="23">
        <f>IF(AND(IFERROR(N(INDEX(Clay_Offices!$A$2:$FZ$601,31,Sync!$C$11)),0)&gt;0,IFERROR(INDEX(Clay_Offices!$A$2:$FZ$601,31,Sync!$C$5)&amp;"","")&lt;&gt;"",OR(LEFT(IFERROR(INDEX(Clay_Offices!$A$2:$FZ$601,31,Sync!$C$5)&amp;"",""),6)&lt;&gt;"SAMPLE",Config!$B$19="Y")),IFERROR(N(INDEX(Clay_Offices!$A$2:$FZ$601,31,Sync!$C$11)),0),"")</f>
        <v/>
      </c>
      <c r="C1682" s="17">
        <f>IF(B1682="","","office")</f>
        <v/>
      </c>
      <c r="D1682" s="17">
        <f>IF(B1682="","",IFERROR(INDEX(Clay_Offices!$A$2:$FZ$601,31,Sync!$C$5)&amp;"",""))</f>
        <v/>
      </c>
      <c r="E1682" s="17">
        <f>IF(B1682="","",IFERROR(INDEX(Clay_Offices!$A$2:$FZ$601,31,Sync!$C$6)&amp;"",""))</f>
        <v/>
      </c>
      <c r="F1682" s="17">
        <f>IF(B1682="","","outreach_sent")</f>
        <v/>
      </c>
      <c r="G1682" s="17">
        <f>IF(B1682="","","")</f>
        <v/>
      </c>
      <c r="H1682" s="17">
        <f>IF(B1682="","","")</f>
        <v/>
      </c>
      <c r="I1682" s="17">
        <f>IF(B1682="","","")</f>
        <v/>
      </c>
      <c r="J1682" s="17">
        <f>IF(B1682="","","touch_1; "&amp;IFERROR(INDEX(Clay_Offices!$A$2:$FZ$601,31,Sync!$C$10)&amp;"","")&amp;"; "&amp;IFERROR(INDEX(Clay_Offices!$A$2:$FZ$601,31,Sync!$C$9)&amp;"",""))</f>
        <v/>
      </c>
      <c r="K1682" t="inlineStr">
        <is>
          <t>office outreach touch 1</t>
        </is>
      </c>
    </row>
    <row r="1683">
      <c r="A1683" s="17">
        <f>IF(B1683="","",B1683+(12*1000+32)/10000000)</f>
        <v/>
      </c>
      <c r="B1683" s="23">
        <f>IF(AND(IFERROR(N(INDEX(Clay_Offices!$A$2:$FZ$601,32,Sync!$C$11)),0)&gt;0,IFERROR(INDEX(Clay_Offices!$A$2:$FZ$601,32,Sync!$C$5)&amp;"","")&lt;&gt;"",OR(LEFT(IFERROR(INDEX(Clay_Offices!$A$2:$FZ$601,32,Sync!$C$5)&amp;"",""),6)&lt;&gt;"SAMPLE",Config!$B$19="Y")),IFERROR(N(INDEX(Clay_Offices!$A$2:$FZ$601,32,Sync!$C$11)),0),"")</f>
        <v/>
      </c>
      <c r="C1683" s="17">
        <f>IF(B1683="","","office")</f>
        <v/>
      </c>
      <c r="D1683" s="17">
        <f>IF(B1683="","",IFERROR(INDEX(Clay_Offices!$A$2:$FZ$601,32,Sync!$C$5)&amp;"",""))</f>
        <v/>
      </c>
      <c r="E1683" s="17">
        <f>IF(B1683="","",IFERROR(INDEX(Clay_Offices!$A$2:$FZ$601,32,Sync!$C$6)&amp;"",""))</f>
        <v/>
      </c>
      <c r="F1683" s="17">
        <f>IF(B1683="","","outreach_sent")</f>
        <v/>
      </c>
      <c r="G1683" s="17">
        <f>IF(B1683="","","")</f>
        <v/>
      </c>
      <c r="H1683" s="17">
        <f>IF(B1683="","","")</f>
        <v/>
      </c>
      <c r="I1683" s="17">
        <f>IF(B1683="","","")</f>
        <v/>
      </c>
      <c r="J1683" s="17">
        <f>IF(B1683="","","touch_1; "&amp;IFERROR(INDEX(Clay_Offices!$A$2:$FZ$601,32,Sync!$C$10)&amp;"","")&amp;"; "&amp;IFERROR(INDEX(Clay_Offices!$A$2:$FZ$601,32,Sync!$C$9)&amp;"",""))</f>
        <v/>
      </c>
      <c r="K1683" t="inlineStr">
        <is>
          <t>office outreach touch 1</t>
        </is>
      </c>
    </row>
    <row r="1684">
      <c r="A1684" s="17">
        <f>IF(B1684="","",B1684+(12*1000+33)/10000000)</f>
        <v/>
      </c>
      <c r="B1684" s="23">
        <f>IF(AND(IFERROR(N(INDEX(Clay_Offices!$A$2:$FZ$601,33,Sync!$C$11)),0)&gt;0,IFERROR(INDEX(Clay_Offices!$A$2:$FZ$601,33,Sync!$C$5)&amp;"","")&lt;&gt;"",OR(LEFT(IFERROR(INDEX(Clay_Offices!$A$2:$FZ$601,33,Sync!$C$5)&amp;"",""),6)&lt;&gt;"SAMPLE",Config!$B$19="Y")),IFERROR(N(INDEX(Clay_Offices!$A$2:$FZ$601,33,Sync!$C$11)),0),"")</f>
        <v/>
      </c>
      <c r="C1684" s="17">
        <f>IF(B1684="","","office")</f>
        <v/>
      </c>
      <c r="D1684" s="17">
        <f>IF(B1684="","",IFERROR(INDEX(Clay_Offices!$A$2:$FZ$601,33,Sync!$C$5)&amp;"",""))</f>
        <v/>
      </c>
      <c r="E1684" s="17">
        <f>IF(B1684="","",IFERROR(INDEX(Clay_Offices!$A$2:$FZ$601,33,Sync!$C$6)&amp;"",""))</f>
        <v/>
      </c>
      <c r="F1684" s="17">
        <f>IF(B1684="","","outreach_sent")</f>
        <v/>
      </c>
      <c r="G1684" s="17">
        <f>IF(B1684="","","")</f>
        <v/>
      </c>
      <c r="H1684" s="17">
        <f>IF(B1684="","","")</f>
        <v/>
      </c>
      <c r="I1684" s="17">
        <f>IF(B1684="","","")</f>
        <v/>
      </c>
      <c r="J1684" s="17">
        <f>IF(B1684="","","touch_1; "&amp;IFERROR(INDEX(Clay_Offices!$A$2:$FZ$601,33,Sync!$C$10)&amp;"","")&amp;"; "&amp;IFERROR(INDEX(Clay_Offices!$A$2:$FZ$601,33,Sync!$C$9)&amp;"",""))</f>
        <v/>
      </c>
      <c r="K1684" t="inlineStr">
        <is>
          <t>office outreach touch 1</t>
        </is>
      </c>
    </row>
    <row r="1685">
      <c r="A1685" s="17">
        <f>IF(B1685="","",B1685+(12*1000+34)/10000000)</f>
        <v/>
      </c>
      <c r="B1685" s="23">
        <f>IF(AND(IFERROR(N(INDEX(Clay_Offices!$A$2:$FZ$601,34,Sync!$C$11)),0)&gt;0,IFERROR(INDEX(Clay_Offices!$A$2:$FZ$601,34,Sync!$C$5)&amp;"","")&lt;&gt;"",OR(LEFT(IFERROR(INDEX(Clay_Offices!$A$2:$FZ$601,34,Sync!$C$5)&amp;"",""),6)&lt;&gt;"SAMPLE",Config!$B$19="Y")),IFERROR(N(INDEX(Clay_Offices!$A$2:$FZ$601,34,Sync!$C$11)),0),"")</f>
        <v/>
      </c>
      <c r="C1685" s="17">
        <f>IF(B1685="","","office")</f>
        <v/>
      </c>
      <c r="D1685" s="17">
        <f>IF(B1685="","",IFERROR(INDEX(Clay_Offices!$A$2:$FZ$601,34,Sync!$C$5)&amp;"",""))</f>
        <v/>
      </c>
      <c r="E1685" s="17">
        <f>IF(B1685="","",IFERROR(INDEX(Clay_Offices!$A$2:$FZ$601,34,Sync!$C$6)&amp;"",""))</f>
        <v/>
      </c>
      <c r="F1685" s="17">
        <f>IF(B1685="","","outreach_sent")</f>
        <v/>
      </c>
      <c r="G1685" s="17">
        <f>IF(B1685="","","")</f>
        <v/>
      </c>
      <c r="H1685" s="17">
        <f>IF(B1685="","","")</f>
        <v/>
      </c>
      <c r="I1685" s="17">
        <f>IF(B1685="","","")</f>
        <v/>
      </c>
      <c r="J1685" s="17">
        <f>IF(B1685="","","touch_1; "&amp;IFERROR(INDEX(Clay_Offices!$A$2:$FZ$601,34,Sync!$C$10)&amp;"","")&amp;"; "&amp;IFERROR(INDEX(Clay_Offices!$A$2:$FZ$601,34,Sync!$C$9)&amp;"",""))</f>
        <v/>
      </c>
      <c r="K1685" t="inlineStr">
        <is>
          <t>office outreach touch 1</t>
        </is>
      </c>
    </row>
    <row r="1686">
      <c r="A1686" s="17">
        <f>IF(B1686="","",B1686+(12*1000+35)/10000000)</f>
        <v/>
      </c>
      <c r="B1686" s="23">
        <f>IF(AND(IFERROR(N(INDEX(Clay_Offices!$A$2:$FZ$601,35,Sync!$C$11)),0)&gt;0,IFERROR(INDEX(Clay_Offices!$A$2:$FZ$601,35,Sync!$C$5)&amp;"","")&lt;&gt;"",OR(LEFT(IFERROR(INDEX(Clay_Offices!$A$2:$FZ$601,35,Sync!$C$5)&amp;"",""),6)&lt;&gt;"SAMPLE",Config!$B$19="Y")),IFERROR(N(INDEX(Clay_Offices!$A$2:$FZ$601,35,Sync!$C$11)),0),"")</f>
        <v/>
      </c>
      <c r="C1686" s="17">
        <f>IF(B1686="","","office")</f>
        <v/>
      </c>
      <c r="D1686" s="17">
        <f>IF(B1686="","",IFERROR(INDEX(Clay_Offices!$A$2:$FZ$601,35,Sync!$C$5)&amp;"",""))</f>
        <v/>
      </c>
      <c r="E1686" s="17">
        <f>IF(B1686="","",IFERROR(INDEX(Clay_Offices!$A$2:$FZ$601,35,Sync!$C$6)&amp;"",""))</f>
        <v/>
      </c>
      <c r="F1686" s="17">
        <f>IF(B1686="","","outreach_sent")</f>
        <v/>
      </c>
      <c r="G1686" s="17">
        <f>IF(B1686="","","")</f>
        <v/>
      </c>
      <c r="H1686" s="17">
        <f>IF(B1686="","","")</f>
        <v/>
      </c>
      <c r="I1686" s="17">
        <f>IF(B1686="","","")</f>
        <v/>
      </c>
      <c r="J1686" s="17">
        <f>IF(B1686="","","touch_1; "&amp;IFERROR(INDEX(Clay_Offices!$A$2:$FZ$601,35,Sync!$C$10)&amp;"","")&amp;"; "&amp;IFERROR(INDEX(Clay_Offices!$A$2:$FZ$601,35,Sync!$C$9)&amp;"",""))</f>
        <v/>
      </c>
      <c r="K1686" t="inlineStr">
        <is>
          <t>office outreach touch 1</t>
        </is>
      </c>
    </row>
    <row r="1687">
      <c r="A1687" s="17">
        <f>IF(B1687="","",B1687+(12*1000+36)/10000000)</f>
        <v/>
      </c>
      <c r="B1687" s="23">
        <f>IF(AND(IFERROR(N(INDEX(Clay_Offices!$A$2:$FZ$601,36,Sync!$C$11)),0)&gt;0,IFERROR(INDEX(Clay_Offices!$A$2:$FZ$601,36,Sync!$C$5)&amp;"","")&lt;&gt;"",OR(LEFT(IFERROR(INDEX(Clay_Offices!$A$2:$FZ$601,36,Sync!$C$5)&amp;"",""),6)&lt;&gt;"SAMPLE",Config!$B$19="Y")),IFERROR(N(INDEX(Clay_Offices!$A$2:$FZ$601,36,Sync!$C$11)),0),"")</f>
        <v/>
      </c>
      <c r="C1687" s="17">
        <f>IF(B1687="","","office")</f>
        <v/>
      </c>
      <c r="D1687" s="17">
        <f>IF(B1687="","",IFERROR(INDEX(Clay_Offices!$A$2:$FZ$601,36,Sync!$C$5)&amp;"",""))</f>
        <v/>
      </c>
      <c r="E1687" s="17">
        <f>IF(B1687="","",IFERROR(INDEX(Clay_Offices!$A$2:$FZ$601,36,Sync!$C$6)&amp;"",""))</f>
        <v/>
      </c>
      <c r="F1687" s="17">
        <f>IF(B1687="","","outreach_sent")</f>
        <v/>
      </c>
      <c r="G1687" s="17">
        <f>IF(B1687="","","")</f>
        <v/>
      </c>
      <c r="H1687" s="17">
        <f>IF(B1687="","","")</f>
        <v/>
      </c>
      <c r="I1687" s="17">
        <f>IF(B1687="","","")</f>
        <v/>
      </c>
      <c r="J1687" s="17">
        <f>IF(B1687="","","touch_1; "&amp;IFERROR(INDEX(Clay_Offices!$A$2:$FZ$601,36,Sync!$C$10)&amp;"","")&amp;"; "&amp;IFERROR(INDEX(Clay_Offices!$A$2:$FZ$601,36,Sync!$C$9)&amp;"",""))</f>
        <v/>
      </c>
      <c r="K1687" t="inlineStr">
        <is>
          <t>office outreach touch 1</t>
        </is>
      </c>
    </row>
    <row r="1688">
      <c r="A1688" s="17">
        <f>IF(B1688="","",B1688+(12*1000+37)/10000000)</f>
        <v/>
      </c>
      <c r="B1688" s="23">
        <f>IF(AND(IFERROR(N(INDEX(Clay_Offices!$A$2:$FZ$601,37,Sync!$C$11)),0)&gt;0,IFERROR(INDEX(Clay_Offices!$A$2:$FZ$601,37,Sync!$C$5)&amp;"","")&lt;&gt;"",OR(LEFT(IFERROR(INDEX(Clay_Offices!$A$2:$FZ$601,37,Sync!$C$5)&amp;"",""),6)&lt;&gt;"SAMPLE",Config!$B$19="Y")),IFERROR(N(INDEX(Clay_Offices!$A$2:$FZ$601,37,Sync!$C$11)),0),"")</f>
        <v/>
      </c>
      <c r="C1688" s="17">
        <f>IF(B1688="","","office")</f>
        <v/>
      </c>
      <c r="D1688" s="17">
        <f>IF(B1688="","",IFERROR(INDEX(Clay_Offices!$A$2:$FZ$601,37,Sync!$C$5)&amp;"",""))</f>
        <v/>
      </c>
      <c r="E1688" s="17">
        <f>IF(B1688="","",IFERROR(INDEX(Clay_Offices!$A$2:$FZ$601,37,Sync!$C$6)&amp;"",""))</f>
        <v/>
      </c>
      <c r="F1688" s="17">
        <f>IF(B1688="","","outreach_sent")</f>
        <v/>
      </c>
      <c r="G1688" s="17">
        <f>IF(B1688="","","")</f>
        <v/>
      </c>
      <c r="H1688" s="17">
        <f>IF(B1688="","","")</f>
        <v/>
      </c>
      <c r="I1688" s="17">
        <f>IF(B1688="","","")</f>
        <v/>
      </c>
      <c r="J1688" s="17">
        <f>IF(B1688="","","touch_1; "&amp;IFERROR(INDEX(Clay_Offices!$A$2:$FZ$601,37,Sync!$C$10)&amp;"","")&amp;"; "&amp;IFERROR(INDEX(Clay_Offices!$A$2:$FZ$601,37,Sync!$C$9)&amp;"",""))</f>
        <v/>
      </c>
      <c r="K1688" t="inlineStr">
        <is>
          <t>office outreach touch 1</t>
        </is>
      </c>
    </row>
    <row r="1689">
      <c r="A1689" s="17">
        <f>IF(B1689="","",B1689+(12*1000+38)/10000000)</f>
        <v/>
      </c>
      <c r="B1689" s="23">
        <f>IF(AND(IFERROR(N(INDEX(Clay_Offices!$A$2:$FZ$601,38,Sync!$C$11)),0)&gt;0,IFERROR(INDEX(Clay_Offices!$A$2:$FZ$601,38,Sync!$C$5)&amp;"","")&lt;&gt;"",OR(LEFT(IFERROR(INDEX(Clay_Offices!$A$2:$FZ$601,38,Sync!$C$5)&amp;"",""),6)&lt;&gt;"SAMPLE",Config!$B$19="Y")),IFERROR(N(INDEX(Clay_Offices!$A$2:$FZ$601,38,Sync!$C$11)),0),"")</f>
        <v/>
      </c>
      <c r="C1689" s="17">
        <f>IF(B1689="","","office")</f>
        <v/>
      </c>
      <c r="D1689" s="17">
        <f>IF(B1689="","",IFERROR(INDEX(Clay_Offices!$A$2:$FZ$601,38,Sync!$C$5)&amp;"",""))</f>
        <v/>
      </c>
      <c r="E1689" s="17">
        <f>IF(B1689="","",IFERROR(INDEX(Clay_Offices!$A$2:$FZ$601,38,Sync!$C$6)&amp;"",""))</f>
        <v/>
      </c>
      <c r="F1689" s="17">
        <f>IF(B1689="","","outreach_sent")</f>
        <v/>
      </c>
      <c r="G1689" s="17">
        <f>IF(B1689="","","")</f>
        <v/>
      </c>
      <c r="H1689" s="17">
        <f>IF(B1689="","","")</f>
        <v/>
      </c>
      <c r="I1689" s="17">
        <f>IF(B1689="","","")</f>
        <v/>
      </c>
      <c r="J1689" s="17">
        <f>IF(B1689="","","touch_1; "&amp;IFERROR(INDEX(Clay_Offices!$A$2:$FZ$601,38,Sync!$C$10)&amp;"","")&amp;"; "&amp;IFERROR(INDEX(Clay_Offices!$A$2:$FZ$601,38,Sync!$C$9)&amp;"",""))</f>
        <v/>
      </c>
      <c r="K1689" t="inlineStr">
        <is>
          <t>office outreach touch 1</t>
        </is>
      </c>
    </row>
    <row r="1690">
      <c r="A1690" s="17">
        <f>IF(B1690="","",B1690+(12*1000+39)/10000000)</f>
        <v/>
      </c>
      <c r="B1690" s="23">
        <f>IF(AND(IFERROR(N(INDEX(Clay_Offices!$A$2:$FZ$601,39,Sync!$C$11)),0)&gt;0,IFERROR(INDEX(Clay_Offices!$A$2:$FZ$601,39,Sync!$C$5)&amp;"","")&lt;&gt;"",OR(LEFT(IFERROR(INDEX(Clay_Offices!$A$2:$FZ$601,39,Sync!$C$5)&amp;"",""),6)&lt;&gt;"SAMPLE",Config!$B$19="Y")),IFERROR(N(INDEX(Clay_Offices!$A$2:$FZ$601,39,Sync!$C$11)),0),"")</f>
        <v/>
      </c>
      <c r="C1690" s="17">
        <f>IF(B1690="","","office")</f>
        <v/>
      </c>
      <c r="D1690" s="17">
        <f>IF(B1690="","",IFERROR(INDEX(Clay_Offices!$A$2:$FZ$601,39,Sync!$C$5)&amp;"",""))</f>
        <v/>
      </c>
      <c r="E1690" s="17">
        <f>IF(B1690="","",IFERROR(INDEX(Clay_Offices!$A$2:$FZ$601,39,Sync!$C$6)&amp;"",""))</f>
        <v/>
      </c>
      <c r="F1690" s="17">
        <f>IF(B1690="","","outreach_sent")</f>
        <v/>
      </c>
      <c r="G1690" s="17">
        <f>IF(B1690="","","")</f>
        <v/>
      </c>
      <c r="H1690" s="17">
        <f>IF(B1690="","","")</f>
        <v/>
      </c>
      <c r="I1690" s="17">
        <f>IF(B1690="","","")</f>
        <v/>
      </c>
      <c r="J1690" s="17">
        <f>IF(B1690="","","touch_1; "&amp;IFERROR(INDEX(Clay_Offices!$A$2:$FZ$601,39,Sync!$C$10)&amp;"","")&amp;"; "&amp;IFERROR(INDEX(Clay_Offices!$A$2:$FZ$601,39,Sync!$C$9)&amp;"",""))</f>
        <v/>
      </c>
      <c r="K1690" t="inlineStr">
        <is>
          <t>office outreach touch 1</t>
        </is>
      </c>
    </row>
    <row r="1691">
      <c r="A1691" s="17">
        <f>IF(B1691="","",B1691+(12*1000+40)/10000000)</f>
        <v/>
      </c>
      <c r="B1691" s="23">
        <f>IF(AND(IFERROR(N(INDEX(Clay_Offices!$A$2:$FZ$601,40,Sync!$C$11)),0)&gt;0,IFERROR(INDEX(Clay_Offices!$A$2:$FZ$601,40,Sync!$C$5)&amp;"","")&lt;&gt;"",OR(LEFT(IFERROR(INDEX(Clay_Offices!$A$2:$FZ$601,40,Sync!$C$5)&amp;"",""),6)&lt;&gt;"SAMPLE",Config!$B$19="Y")),IFERROR(N(INDEX(Clay_Offices!$A$2:$FZ$601,40,Sync!$C$11)),0),"")</f>
        <v/>
      </c>
      <c r="C1691" s="17">
        <f>IF(B1691="","","office")</f>
        <v/>
      </c>
      <c r="D1691" s="17">
        <f>IF(B1691="","",IFERROR(INDEX(Clay_Offices!$A$2:$FZ$601,40,Sync!$C$5)&amp;"",""))</f>
        <v/>
      </c>
      <c r="E1691" s="17">
        <f>IF(B1691="","",IFERROR(INDEX(Clay_Offices!$A$2:$FZ$601,40,Sync!$C$6)&amp;"",""))</f>
        <v/>
      </c>
      <c r="F1691" s="17">
        <f>IF(B1691="","","outreach_sent")</f>
        <v/>
      </c>
      <c r="G1691" s="17">
        <f>IF(B1691="","","")</f>
        <v/>
      </c>
      <c r="H1691" s="17">
        <f>IF(B1691="","","")</f>
        <v/>
      </c>
      <c r="I1691" s="17">
        <f>IF(B1691="","","")</f>
        <v/>
      </c>
      <c r="J1691" s="17">
        <f>IF(B1691="","","touch_1; "&amp;IFERROR(INDEX(Clay_Offices!$A$2:$FZ$601,40,Sync!$C$10)&amp;"","")&amp;"; "&amp;IFERROR(INDEX(Clay_Offices!$A$2:$FZ$601,40,Sync!$C$9)&amp;"",""))</f>
        <v/>
      </c>
      <c r="K1691" t="inlineStr">
        <is>
          <t>office outreach touch 1</t>
        </is>
      </c>
    </row>
    <row r="1692">
      <c r="A1692" s="17">
        <f>IF(B1692="","",B1692+(12*1000+41)/10000000)</f>
        <v/>
      </c>
      <c r="B1692" s="23">
        <f>IF(AND(IFERROR(N(INDEX(Clay_Offices!$A$2:$FZ$601,41,Sync!$C$11)),0)&gt;0,IFERROR(INDEX(Clay_Offices!$A$2:$FZ$601,41,Sync!$C$5)&amp;"","")&lt;&gt;"",OR(LEFT(IFERROR(INDEX(Clay_Offices!$A$2:$FZ$601,41,Sync!$C$5)&amp;"",""),6)&lt;&gt;"SAMPLE",Config!$B$19="Y")),IFERROR(N(INDEX(Clay_Offices!$A$2:$FZ$601,41,Sync!$C$11)),0),"")</f>
        <v/>
      </c>
      <c r="C1692" s="17">
        <f>IF(B1692="","","office")</f>
        <v/>
      </c>
      <c r="D1692" s="17">
        <f>IF(B1692="","",IFERROR(INDEX(Clay_Offices!$A$2:$FZ$601,41,Sync!$C$5)&amp;"",""))</f>
        <v/>
      </c>
      <c r="E1692" s="17">
        <f>IF(B1692="","",IFERROR(INDEX(Clay_Offices!$A$2:$FZ$601,41,Sync!$C$6)&amp;"",""))</f>
        <v/>
      </c>
      <c r="F1692" s="17">
        <f>IF(B1692="","","outreach_sent")</f>
        <v/>
      </c>
      <c r="G1692" s="17">
        <f>IF(B1692="","","")</f>
        <v/>
      </c>
      <c r="H1692" s="17">
        <f>IF(B1692="","","")</f>
        <v/>
      </c>
      <c r="I1692" s="17">
        <f>IF(B1692="","","")</f>
        <v/>
      </c>
      <c r="J1692" s="17">
        <f>IF(B1692="","","touch_1; "&amp;IFERROR(INDEX(Clay_Offices!$A$2:$FZ$601,41,Sync!$C$10)&amp;"","")&amp;"; "&amp;IFERROR(INDEX(Clay_Offices!$A$2:$FZ$601,41,Sync!$C$9)&amp;"",""))</f>
        <v/>
      </c>
      <c r="K1692" t="inlineStr">
        <is>
          <t>office outreach touch 1</t>
        </is>
      </c>
    </row>
    <row r="1693">
      <c r="A1693" s="17">
        <f>IF(B1693="","",B1693+(12*1000+42)/10000000)</f>
        <v/>
      </c>
      <c r="B1693" s="23">
        <f>IF(AND(IFERROR(N(INDEX(Clay_Offices!$A$2:$FZ$601,42,Sync!$C$11)),0)&gt;0,IFERROR(INDEX(Clay_Offices!$A$2:$FZ$601,42,Sync!$C$5)&amp;"","")&lt;&gt;"",OR(LEFT(IFERROR(INDEX(Clay_Offices!$A$2:$FZ$601,42,Sync!$C$5)&amp;"",""),6)&lt;&gt;"SAMPLE",Config!$B$19="Y")),IFERROR(N(INDEX(Clay_Offices!$A$2:$FZ$601,42,Sync!$C$11)),0),"")</f>
        <v/>
      </c>
      <c r="C1693" s="17">
        <f>IF(B1693="","","office")</f>
        <v/>
      </c>
      <c r="D1693" s="17">
        <f>IF(B1693="","",IFERROR(INDEX(Clay_Offices!$A$2:$FZ$601,42,Sync!$C$5)&amp;"",""))</f>
        <v/>
      </c>
      <c r="E1693" s="17">
        <f>IF(B1693="","",IFERROR(INDEX(Clay_Offices!$A$2:$FZ$601,42,Sync!$C$6)&amp;"",""))</f>
        <v/>
      </c>
      <c r="F1693" s="17">
        <f>IF(B1693="","","outreach_sent")</f>
        <v/>
      </c>
      <c r="G1693" s="17">
        <f>IF(B1693="","","")</f>
        <v/>
      </c>
      <c r="H1693" s="17">
        <f>IF(B1693="","","")</f>
        <v/>
      </c>
      <c r="I1693" s="17">
        <f>IF(B1693="","","")</f>
        <v/>
      </c>
      <c r="J1693" s="17">
        <f>IF(B1693="","","touch_1; "&amp;IFERROR(INDEX(Clay_Offices!$A$2:$FZ$601,42,Sync!$C$10)&amp;"","")&amp;"; "&amp;IFERROR(INDEX(Clay_Offices!$A$2:$FZ$601,42,Sync!$C$9)&amp;"",""))</f>
        <v/>
      </c>
      <c r="K1693" t="inlineStr">
        <is>
          <t>office outreach touch 1</t>
        </is>
      </c>
    </row>
    <row r="1694">
      <c r="A1694" s="17">
        <f>IF(B1694="","",B1694+(12*1000+43)/10000000)</f>
        <v/>
      </c>
      <c r="B1694" s="23">
        <f>IF(AND(IFERROR(N(INDEX(Clay_Offices!$A$2:$FZ$601,43,Sync!$C$11)),0)&gt;0,IFERROR(INDEX(Clay_Offices!$A$2:$FZ$601,43,Sync!$C$5)&amp;"","")&lt;&gt;"",OR(LEFT(IFERROR(INDEX(Clay_Offices!$A$2:$FZ$601,43,Sync!$C$5)&amp;"",""),6)&lt;&gt;"SAMPLE",Config!$B$19="Y")),IFERROR(N(INDEX(Clay_Offices!$A$2:$FZ$601,43,Sync!$C$11)),0),"")</f>
        <v/>
      </c>
      <c r="C1694" s="17">
        <f>IF(B1694="","","office")</f>
        <v/>
      </c>
      <c r="D1694" s="17">
        <f>IF(B1694="","",IFERROR(INDEX(Clay_Offices!$A$2:$FZ$601,43,Sync!$C$5)&amp;"",""))</f>
        <v/>
      </c>
      <c r="E1694" s="17">
        <f>IF(B1694="","",IFERROR(INDEX(Clay_Offices!$A$2:$FZ$601,43,Sync!$C$6)&amp;"",""))</f>
        <v/>
      </c>
      <c r="F1694" s="17">
        <f>IF(B1694="","","outreach_sent")</f>
        <v/>
      </c>
      <c r="G1694" s="17">
        <f>IF(B1694="","","")</f>
        <v/>
      </c>
      <c r="H1694" s="17">
        <f>IF(B1694="","","")</f>
        <v/>
      </c>
      <c r="I1694" s="17">
        <f>IF(B1694="","","")</f>
        <v/>
      </c>
      <c r="J1694" s="17">
        <f>IF(B1694="","","touch_1; "&amp;IFERROR(INDEX(Clay_Offices!$A$2:$FZ$601,43,Sync!$C$10)&amp;"","")&amp;"; "&amp;IFERROR(INDEX(Clay_Offices!$A$2:$FZ$601,43,Sync!$C$9)&amp;"",""))</f>
        <v/>
      </c>
      <c r="K1694" t="inlineStr">
        <is>
          <t>office outreach touch 1</t>
        </is>
      </c>
    </row>
    <row r="1695">
      <c r="A1695" s="17">
        <f>IF(B1695="","",B1695+(12*1000+44)/10000000)</f>
        <v/>
      </c>
      <c r="B1695" s="23">
        <f>IF(AND(IFERROR(N(INDEX(Clay_Offices!$A$2:$FZ$601,44,Sync!$C$11)),0)&gt;0,IFERROR(INDEX(Clay_Offices!$A$2:$FZ$601,44,Sync!$C$5)&amp;"","")&lt;&gt;"",OR(LEFT(IFERROR(INDEX(Clay_Offices!$A$2:$FZ$601,44,Sync!$C$5)&amp;"",""),6)&lt;&gt;"SAMPLE",Config!$B$19="Y")),IFERROR(N(INDEX(Clay_Offices!$A$2:$FZ$601,44,Sync!$C$11)),0),"")</f>
        <v/>
      </c>
      <c r="C1695" s="17">
        <f>IF(B1695="","","office")</f>
        <v/>
      </c>
      <c r="D1695" s="17">
        <f>IF(B1695="","",IFERROR(INDEX(Clay_Offices!$A$2:$FZ$601,44,Sync!$C$5)&amp;"",""))</f>
        <v/>
      </c>
      <c r="E1695" s="17">
        <f>IF(B1695="","",IFERROR(INDEX(Clay_Offices!$A$2:$FZ$601,44,Sync!$C$6)&amp;"",""))</f>
        <v/>
      </c>
      <c r="F1695" s="17">
        <f>IF(B1695="","","outreach_sent")</f>
        <v/>
      </c>
      <c r="G1695" s="17">
        <f>IF(B1695="","","")</f>
        <v/>
      </c>
      <c r="H1695" s="17">
        <f>IF(B1695="","","")</f>
        <v/>
      </c>
      <c r="I1695" s="17">
        <f>IF(B1695="","","")</f>
        <v/>
      </c>
      <c r="J1695" s="17">
        <f>IF(B1695="","","touch_1; "&amp;IFERROR(INDEX(Clay_Offices!$A$2:$FZ$601,44,Sync!$C$10)&amp;"","")&amp;"; "&amp;IFERROR(INDEX(Clay_Offices!$A$2:$FZ$601,44,Sync!$C$9)&amp;"",""))</f>
        <v/>
      </c>
      <c r="K1695" t="inlineStr">
        <is>
          <t>office outreach touch 1</t>
        </is>
      </c>
    </row>
    <row r="1696">
      <c r="A1696" s="17">
        <f>IF(B1696="","",B1696+(12*1000+45)/10000000)</f>
        <v/>
      </c>
      <c r="B1696" s="23">
        <f>IF(AND(IFERROR(N(INDEX(Clay_Offices!$A$2:$FZ$601,45,Sync!$C$11)),0)&gt;0,IFERROR(INDEX(Clay_Offices!$A$2:$FZ$601,45,Sync!$C$5)&amp;"","")&lt;&gt;"",OR(LEFT(IFERROR(INDEX(Clay_Offices!$A$2:$FZ$601,45,Sync!$C$5)&amp;"",""),6)&lt;&gt;"SAMPLE",Config!$B$19="Y")),IFERROR(N(INDEX(Clay_Offices!$A$2:$FZ$601,45,Sync!$C$11)),0),"")</f>
        <v/>
      </c>
      <c r="C1696" s="17">
        <f>IF(B1696="","","office")</f>
        <v/>
      </c>
      <c r="D1696" s="17">
        <f>IF(B1696="","",IFERROR(INDEX(Clay_Offices!$A$2:$FZ$601,45,Sync!$C$5)&amp;"",""))</f>
        <v/>
      </c>
      <c r="E1696" s="17">
        <f>IF(B1696="","",IFERROR(INDEX(Clay_Offices!$A$2:$FZ$601,45,Sync!$C$6)&amp;"",""))</f>
        <v/>
      </c>
      <c r="F1696" s="17">
        <f>IF(B1696="","","outreach_sent")</f>
        <v/>
      </c>
      <c r="G1696" s="17">
        <f>IF(B1696="","","")</f>
        <v/>
      </c>
      <c r="H1696" s="17">
        <f>IF(B1696="","","")</f>
        <v/>
      </c>
      <c r="I1696" s="17">
        <f>IF(B1696="","","")</f>
        <v/>
      </c>
      <c r="J1696" s="17">
        <f>IF(B1696="","","touch_1; "&amp;IFERROR(INDEX(Clay_Offices!$A$2:$FZ$601,45,Sync!$C$10)&amp;"","")&amp;"; "&amp;IFERROR(INDEX(Clay_Offices!$A$2:$FZ$601,45,Sync!$C$9)&amp;"",""))</f>
        <v/>
      </c>
      <c r="K1696" t="inlineStr">
        <is>
          <t>office outreach touch 1</t>
        </is>
      </c>
    </row>
    <row r="1697">
      <c r="A1697" s="17">
        <f>IF(B1697="","",B1697+(12*1000+46)/10000000)</f>
        <v/>
      </c>
      <c r="B1697" s="23">
        <f>IF(AND(IFERROR(N(INDEX(Clay_Offices!$A$2:$FZ$601,46,Sync!$C$11)),0)&gt;0,IFERROR(INDEX(Clay_Offices!$A$2:$FZ$601,46,Sync!$C$5)&amp;"","")&lt;&gt;"",OR(LEFT(IFERROR(INDEX(Clay_Offices!$A$2:$FZ$601,46,Sync!$C$5)&amp;"",""),6)&lt;&gt;"SAMPLE",Config!$B$19="Y")),IFERROR(N(INDEX(Clay_Offices!$A$2:$FZ$601,46,Sync!$C$11)),0),"")</f>
        <v/>
      </c>
      <c r="C1697" s="17">
        <f>IF(B1697="","","office")</f>
        <v/>
      </c>
      <c r="D1697" s="17">
        <f>IF(B1697="","",IFERROR(INDEX(Clay_Offices!$A$2:$FZ$601,46,Sync!$C$5)&amp;"",""))</f>
        <v/>
      </c>
      <c r="E1697" s="17">
        <f>IF(B1697="","",IFERROR(INDEX(Clay_Offices!$A$2:$FZ$601,46,Sync!$C$6)&amp;"",""))</f>
        <v/>
      </c>
      <c r="F1697" s="17">
        <f>IF(B1697="","","outreach_sent")</f>
        <v/>
      </c>
      <c r="G1697" s="17">
        <f>IF(B1697="","","")</f>
        <v/>
      </c>
      <c r="H1697" s="17">
        <f>IF(B1697="","","")</f>
        <v/>
      </c>
      <c r="I1697" s="17">
        <f>IF(B1697="","","")</f>
        <v/>
      </c>
      <c r="J1697" s="17">
        <f>IF(B1697="","","touch_1; "&amp;IFERROR(INDEX(Clay_Offices!$A$2:$FZ$601,46,Sync!$C$10)&amp;"","")&amp;"; "&amp;IFERROR(INDEX(Clay_Offices!$A$2:$FZ$601,46,Sync!$C$9)&amp;"",""))</f>
        <v/>
      </c>
      <c r="K1697" t="inlineStr">
        <is>
          <t>office outreach touch 1</t>
        </is>
      </c>
    </row>
    <row r="1698">
      <c r="A1698" s="17">
        <f>IF(B1698="","",B1698+(12*1000+47)/10000000)</f>
        <v/>
      </c>
      <c r="B1698" s="23">
        <f>IF(AND(IFERROR(N(INDEX(Clay_Offices!$A$2:$FZ$601,47,Sync!$C$11)),0)&gt;0,IFERROR(INDEX(Clay_Offices!$A$2:$FZ$601,47,Sync!$C$5)&amp;"","")&lt;&gt;"",OR(LEFT(IFERROR(INDEX(Clay_Offices!$A$2:$FZ$601,47,Sync!$C$5)&amp;"",""),6)&lt;&gt;"SAMPLE",Config!$B$19="Y")),IFERROR(N(INDEX(Clay_Offices!$A$2:$FZ$601,47,Sync!$C$11)),0),"")</f>
        <v/>
      </c>
      <c r="C1698" s="17">
        <f>IF(B1698="","","office")</f>
        <v/>
      </c>
      <c r="D1698" s="17">
        <f>IF(B1698="","",IFERROR(INDEX(Clay_Offices!$A$2:$FZ$601,47,Sync!$C$5)&amp;"",""))</f>
        <v/>
      </c>
      <c r="E1698" s="17">
        <f>IF(B1698="","",IFERROR(INDEX(Clay_Offices!$A$2:$FZ$601,47,Sync!$C$6)&amp;"",""))</f>
        <v/>
      </c>
      <c r="F1698" s="17">
        <f>IF(B1698="","","outreach_sent")</f>
        <v/>
      </c>
      <c r="G1698" s="17">
        <f>IF(B1698="","","")</f>
        <v/>
      </c>
      <c r="H1698" s="17">
        <f>IF(B1698="","","")</f>
        <v/>
      </c>
      <c r="I1698" s="17">
        <f>IF(B1698="","","")</f>
        <v/>
      </c>
      <c r="J1698" s="17">
        <f>IF(B1698="","","touch_1; "&amp;IFERROR(INDEX(Clay_Offices!$A$2:$FZ$601,47,Sync!$C$10)&amp;"","")&amp;"; "&amp;IFERROR(INDEX(Clay_Offices!$A$2:$FZ$601,47,Sync!$C$9)&amp;"",""))</f>
        <v/>
      </c>
      <c r="K1698" t="inlineStr">
        <is>
          <t>office outreach touch 1</t>
        </is>
      </c>
    </row>
    <row r="1699">
      <c r="A1699" s="17">
        <f>IF(B1699="","",B1699+(12*1000+48)/10000000)</f>
        <v/>
      </c>
      <c r="B1699" s="23">
        <f>IF(AND(IFERROR(N(INDEX(Clay_Offices!$A$2:$FZ$601,48,Sync!$C$11)),0)&gt;0,IFERROR(INDEX(Clay_Offices!$A$2:$FZ$601,48,Sync!$C$5)&amp;"","")&lt;&gt;"",OR(LEFT(IFERROR(INDEX(Clay_Offices!$A$2:$FZ$601,48,Sync!$C$5)&amp;"",""),6)&lt;&gt;"SAMPLE",Config!$B$19="Y")),IFERROR(N(INDEX(Clay_Offices!$A$2:$FZ$601,48,Sync!$C$11)),0),"")</f>
        <v/>
      </c>
      <c r="C1699" s="17">
        <f>IF(B1699="","","office")</f>
        <v/>
      </c>
      <c r="D1699" s="17">
        <f>IF(B1699="","",IFERROR(INDEX(Clay_Offices!$A$2:$FZ$601,48,Sync!$C$5)&amp;"",""))</f>
        <v/>
      </c>
      <c r="E1699" s="17">
        <f>IF(B1699="","",IFERROR(INDEX(Clay_Offices!$A$2:$FZ$601,48,Sync!$C$6)&amp;"",""))</f>
        <v/>
      </c>
      <c r="F1699" s="17">
        <f>IF(B1699="","","outreach_sent")</f>
        <v/>
      </c>
      <c r="G1699" s="17">
        <f>IF(B1699="","","")</f>
        <v/>
      </c>
      <c r="H1699" s="17">
        <f>IF(B1699="","","")</f>
        <v/>
      </c>
      <c r="I1699" s="17">
        <f>IF(B1699="","","")</f>
        <v/>
      </c>
      <c r="J1699" s="17">
        <f>IF(B1699="","","touch_1; "&amp;IFERROR(INDEX(Clay_Offices!$A$2:$FZ$601,48,Sync!$C$10)&amp;"","")&amp;"; "&amp;IFERROR(INDEX(Clay_Offices!$A$2:$FZ$601,48,Sync!$C$9)&amp;"",""))</f>
        <v/>
      </c>
      <c r="K1699" t="inlineStr">
        <is>
          <t>office outreach touch 1</t>
        </is>
      </c>
    </row>
    <row r="1700">
      <c r="A1700" s="17">
        <f>IF(B1700="","",B1700+(12*1000+49)/10000000)</f>
        <v/>
      </c>
      <c r="B1700" s="23">
        <f>IF(AND(IFERROR(N(INDEX(Clay_Offices!$A$2:$FZ$601,49,Sync!$C$11)),0)&gt;0,IFERROR(INDEX(Clay_Offices!$A$2:$FZ$601,49,Sync!$C$5)&amp;"","")&lt;&gt;"",OR(LEFT(IFERROR(INDEX(Clay_Offices!$A$2:$FZ$601,49,Sync!$C$5)&amp;"",""),6)&lt;&gt;"SAMPLE",Config!$B$19="Y")),IFERROR(N(INDEX(Clay_Offices!$A$2:$FZ$601,49,Sync!$C$11)),0),"")</f>
        <v/>
      </c>
      <c r="C1700" s="17">
        <f>IF(B1700="","","office")</f>
        <v/>
      </c>
      <c r="D1700" s="17">
        <f>IF(B1700="","",IFERROR(INDEX(Clay_Offices!$A$2:$FZ$601,49,Sync!$C$5)&amp;"",""))</f>
        <v/>
      </c>
      <c r="E1700" s="17">
        <f>IF(B1700="","",IFERROR(INDEX(Clay_Offices!$A$2:$FZ$601,49,Sync!$C$6)&amp;"",""))</f>
        <v/>
      </c>
      <c r="F1700" s="17">
        <f>IF(B1700="","","outreach_sent")</f>
        <v/>
      </c>
      <c r="G1700" s="17">
        <f>IF(B1700="","","")</f>
        <v/>
      </c>
      <c r="H1700" s="17">
        <f>IF(B1700="","","")</f>
        <v/>
      </c>
      <c r="I1700" s="17">
        <f>IF(B1700="","","")</f>
        <v/>
      </c>
      <c r="J1700" s="17">
        <f>IF(B1700="","","touch_1; "&amp;IFERROR(INDEX(Clay_Offices!$A$2:$FZ$601,49,Sync!$C$10)&amp;"","")&amp;"; "&amp;IFERROR(INDEX(Clay_Offices!$A$2:$FZ$601,49,Sync!$C$9)&amp;"",""))</f>
        <v/>
      </c>
      <c r="K1700" t="inlineStr">
        <is>
          <t>office outreach touch 1</t>
        </is>
      </c>
    </row>
    <row r="1701">
      <c r="A1701" s="17">
        <f>IF(B1701="","",B1701+(12*1000+50)/10000000)</f>
        <v/>
      </c>
      <c r="B1701" s="23">
        <f>IF(AND(IFERROR(N(INDEX(Clay_Offices!$A$2:$FZ$601,50,Sync!$C$11)),0)&gt;0,IFERROR(INDEX(Clay_Offices!$A$2:$FZ$601,50,Sync!$C$5)&amp;"","")&lt;&gt;"",OR(LEFT(IFERROR(INDEX(Clay_Offices!$A$2:$FZ$601,50,Sync!$C$5)&amp;"",""),6)&lt;&gt;"SAMPLE",Config!$B$19="Y")),IFERROR(N(INDEX(Clay_Offices!$A$2:$FZ$601,50,Sync!$C$11)),0),"")</f>
        <v/>
      </c>
      <c r="C1701" s="17">
        <f>IF(B1701="","","office")</f>
        <v/>
      </c>
      <c r="D1701" s="17">
        <f>IF(B1701="","",IFERROR(INDEX(Clay_Offices!$A$2:$FZ$601,50,Sync!$C$5)&amp;"",""))</f>
        <v/>
      </c>
      <c r="E1701" s="17">
        <f>IF(B1701="","",IFERROR(INDEX(Clay_Offices!$A$2:$FZ$601,50,Sync!$C$6)&amp;"",""))</f>
        <v/>
      </c>
      <c r="F1701" s="17">
        <f>IF(B1701="","","outreach_sent")</f>
        <v/>
      </c>
      <c r="G1701" s="17">
        <f>IF(B1701="","","")</f>
        <v/>
      </c>
      <c r="H1701" s="17">
        <f>IF(B1701="","","")</f>
        <v/>
      </c>
      <c r="I1701" s="17">
        <f>IF(B1701="","","")</f>
        <v/>
      </c>
      <c r="J1701" s="17">
        <f>IF(B1701="","","touch_1; "&amp;IFERROR(INDEX(Clay_Offices!$A$2:$FZ$601,50,Sync!$C$10)&amp;"","")&amp;"; "&amp;IFERROR(INDEX(Clay_Offices!$A$2:$FZ$601,50,Sync!$C$9)&amp;"",""))</f>
        <v/>
      </c>
      <c r="K1701" t="inlineStr">
        <is>
          <t>office outreach touch 1</t>
        </is>
      </c>
    </row>
    <row r="1702">
      <c r="A1702" s="17">
        <f>IF(B1702="","",B1702+(12*1000+51)/10000000)</f>
        <v/>
      </c>
      <c r="B1702" s="23">
        <f>IF(AND(IFERROR(N(INDEX(Clay_Offices!$A$2:$FZ$601,51,Sync!$C$11)),0)&gt;0,IFERROR(INDEX(Clay_Offices!$A$2:$FZ$601,51,Sync!$C$5)&amp;"","")&lt;&gt;"",OR(LEFT(IFERROR(INDEX(Clay_Offices!$A$2:$FZ$601,51,Sync!$C$5)&amp;"",""),6)&lt;&gt;"SAMPLE",Config!$B$19="Y")),IFERROR(N(INDEX(Clay_Offices!$A$2:$FZ$601,51,Sync!$C$11)),0),"")</f>
        <v/>
      </c>
      <c r="C1702" s="17">
        <f>IF(B1702="","","office")</f>
        <v/>
      </c>
      <c r="D1702" s="17">
        <f>IF(B1702="","",IFERROR(INDEX(Clay_Offices!$A$2:$FZ$601,51,Sync!$C$5)&amp;"",""))</f>
        <v/>
      </c>
      <c r="E1702" s="17">
        <f>IF(B1702="","",IFERROR(INDEX(Clay_Offices!$A$2:$FZ$601,51,Sync!$C$6)&amp;"",""))</f>
        <v/>
      </c>
      <c r="F1702" s="17">
        <f>IF(B1702="","","outreach_sent")</f>
        <v/>
      </c>
      <c r="G1702" s="17">
        <f>IF(B1702="","","")</f>
        <v/>
      </c>
      <c r="H1702" s="17">
        <f>IF(B1702="","","")</f>
        <v/>
      </c>
      <c r="I1702" s="17">
        <f>IF(B1702="","","")</f>
        <v/>
      </c>
      <c r="J1702" s="17">
        <f>IF(B1702="","","touch_1; "&amp;IFERROR(INDEX(Clay_Offices!$A$2:$FZ$601,51,Sync!$C$10)&amp;"","")&amp;"; "&amp;IFERROR(INDEX(Clay_Offices!$A$2:$FZ$601,51,Sync!$C$9)&amp;"",""))</f>
        <v/>
      </c>
      <c r="K1702" t="inlineStr">
        <is>
          <t>office outreach touch 1</t>
        </is>
      </c>
    </row>
    <row r="1703">
      <c r="A1703" s="17">
        <f>IF(B1703="","",B1703+(12*1000+52)/10000000)</f>
        <v/>
      </c>
      <c r="B1703" s="23">
        <f>IF(AND(IFERROR(N(INDEX(Clay_Offices!$A$2:$FZ$601,52,Sync!$C$11)),0)&gt;0,IFERROR(INDEX(Clay_Offices!$A$2:$FZ$601,52,Sync!$C$5)&amp;"","")&lt;&gt;"",OR(LEFT(IFERROR(INDEX(Clay_Offices!$A$2:$FZ$601,52,Sync!$C$5)&amp;"",""),6)&lt;&gt;"SAMPLE",Config!$B$19="Y")),IFERROR(N(INDEX(Clay_Offices!$A$2:$FZ$601,52,Sync!$C$11)),0),"")</f>
        <v/>
      </c>
      <c r="C1703" s="17">
        <f>IF(B1703="","","office")</f>
        <v/>
      </c>
      <c r="D1703" s="17">
        <f>IF(B1703="","",IFERROR(INDEX(Clay_Offices!$A$2:$FZ$601,52,Sync!$C$5)&amp;"",""))</f>
        <v/>
      </c>
      <c r="E1703" s="17">
        <f>IF(B1703="","",IFERROR(INDEX(Clay_Offices!$A$2:$FZ$601,52,Sync!$C$6)&amp;"",""))</f>
        <v/>
      </c>
      <c r="F1703" s="17">
        <f>IF(B1703="","","outreach_sent")</f>
        <v/>
      </c>
      <c r="G1703" s="17">
        <f>IF(B1703="","","")</f>
        <v/>
      </c>
      <c r="H1703" s="17">
        <f>IF(B1703="","","")</f>
        <v/>
      </c>
      <c r="I1703" s="17">
        <f>IF(B1703="","","")</f>
        <v/>
      </c>
      <c r="J1703" s="17">
        <f>IF(B1703="","","touch_1; "&amp;IFERROR(INDEX(Clay_Offices!$A$2:$FZ$601,52,Sync!$C$10)&amp;"","")&amp;"; "&amp;IFERROR(INDEX(Clay_Offices!$A$2:$FZ$601,52,Sync!$C$9)&amp;"",""))</f>
        <v/>
      </c>
      <c r="K1703" t="inlineStr">
        <is>
          <t>office outreach touch 1</t>
        </is>
      </c>
    </row>
    <row r="1704">
      <c r="A1704" s="17">
        <f>IF(B1704="","",B1704+(12*1000+53)/10000000)</f>
        <v/>
      </c>
      <c r="B1704" s="23">
        <f>IF(AND(IFERROR(N(INDEX(Clay_Offices!$A$2:$FZ$601,53,Sync!$C$11)),0)&gt;0,IFERROR(INDEX(Clay_Offices!$A$2:$FZ$601,53,Sync!$C$5)&amp;"","")&lt;&gt;"",OR(LEFT(IFERROR(INDEX(Clay_Offices!$A$2:$FZ$601,53,Sync!$C$5)&amp;"",""),6)&lt;&gt;"SAMPLE",Config!$B$19="Y")),IFERROR(N(INDEX(Clay_Offices!$A$2:$FZ$601,53,Sync!$C$11)),0),"")</f>
        <v/>
      </c>
      <c r="C1704" s="17">
        <f>IF(B1704="","","office")</f>
        <v/>
      </c>
      <c r="D1704" s="17">
        <f>IF(B1704="","",IFERROR(INDEX(Clay_Offices!$A$2:$FZ$601,53,Sync!$C$5)&amp;"",""))</f>
        <v/>
      </c>
      <c r="E1704" s="17">
        <f>IF(B1704="","",IFERROR(INDEX(Clay_Offices!$A$2:$FZ$601,53,Sync!$C$6)&amp;"",""))</f>
        <v/>
      </c>
      <c r="F1704" s="17">
        <f>IF(B1704="","","outreach_sent")</f>
        <v/>
      </c>
      <c r="G1704" s="17">
        <f>IF(B1704="","","")</f>
        <v/>
      </c>
      <c r="H1704" s="17">
        <f>IF(B1704="","","")</f>
        <v/>
      </c>
      <c r="I1704" s="17">
        <f>IF(B1704="","","")</f>
        <v/>
      </c>
      <c r="J1704" s="17">
        <f>IF(B1704="","","touch_1; "&amp;IFERROR(INDEX(Clay_Offices!$A$2:$FZ$601,53,Sync!$C$10)&amp;"","")&amp;"; "&amp;IFERROR(INDEX(Clay_Offices!$A$2:$FZ$601,53,Sync!$C$9)&amp;"",""))</f>
        <v/>
      </c>
      <c r="K1704" t="inlineStr">
        <is>
          <t>office outreach touch 1</t>
        </is>
      </c>
    </row>
    <row r="1705">
      <c r="A1705" s="17">
        <f>IF(B1705="","",B1705+(12*1000+54)/10000000)</f>
        <v/>
      </c>
      <c r="B1705" s="23">
        <f>IF(AND(IFERROR(N(INDEX(Clay_Offices!$A$2:$FZ$601,54,Sync!$C$11)),0)&gt;0,IFERROR(INDEX(Clay_Offices!$A$2:$FZ$601,54,Sync!$C$5)&amp;"","")&lt;&gt;"",OR(LEFT(IFERROR(INDEX(Clay_Offices!$A$2:$FZ$601,54,Sync!$C$5)&amp;"",""),6)&lt;&gt;"SAMPLE",Config!$B$19="Y")),IFERROR(N(INDEX(Clay_Offices!$A$2:$FZ$601,54,Sync!$C$11)),0),"")</f>
        <v/>
      </c>
      <c r="C1705" s="17">
        <f>IF(B1705="","","office")</f>
        <v/>
      </c>
      <c r="D1705" s="17">
        <f>IF(B1705="","",IFERROR(INDEX(Clay_Offices!$A$2:$FZ$601,54,Sync!$C$5)&amp;"",""))</f>
        <v/>
      </c>
      <c r="E1705" s="17">
        <f>IF(B1705="","",IFERROR(INDEX(Clay_Offices!$A$2:$FZ$601,54,Sync!$C$6)&amp;"",""))</f>
        <v/>
      </c>
      <c r="F1705" s="17">
        <f>IF(B1705="","","outreach_sent")</f>
        <v/>
      </c>
      <c r="G1705" s="17">
        <f>IF(B1705="","","")</f>
        <v/>
      </c>
      <c r="H1705" s="17">
        <f>IF(B1705="","","")</f>
        <v/>
      </c>
      <c r="I1705" s="17">
        <f>IF(B1705="","","")</f>
        <v/>
      </c>
      <c r="J1705" s="17">
        <f>IF(B1705="","","touch_1; "&amp;IFERROR(INDEX(Clay_Offices!$A$2:$FZ$601,54,Sync!$C$10)&amp;"","")&amp;"; "&amp;IFERROR(INDEX(Clay_Offices!$A$2:$FZ$601,54,Sync!$C$9)&amp;"",""))</f>
        <v/>
      </c>
      <c r="K1705" t="inlineStr">
        <is>
          <t>office outreach touch 1</t>
        </is>
      </c>
    </row>
    <row r="1706">
      <c r="A1706" s="17">
        <f>IF(B1706="","",B1706+(12*1000+55)/10000000)</f>
        <v/>
      </c>
      <c r="B1706" s="23">
        <f>IF(AND(IFERROR(N(INDEX(Clay_Offices!$A$2:$FZ$601,55,Sync!$C$11)),0)&gt;0,IFERROR(INDEX(Clay_Offices!$A$2:$FZ$601,55,Sync!$C$5)&amp;"","")&lt;&gt;"",OR(LEFT(IFERROR(INDEX(Clay_Offices!$A$2:$FZ$601,55,Sync!$C$5)&amp;"",""),6)&lt;&gt;"SAMPLE",Config!$B$19="Y")),IFERROR(N(INDEX(Clay_Offices!$A$2:$FZ$601,55,Sync!$C$11)),0),"")</f>
        <v/>
      </c>
      <c r="C1706" s="17">
        <f>IF(B1706="","","office")</f>
        <v/>
      </c>
      <c r="D1706" s="17">
        <f>IF(B1706="","",IFERROR(INDEX(Clay_Offices!$A$2:$FZ$601,55,Sync!$C$5)&amp;"",""))</f>
        <v/>
      </c>
      <c r="E1706" s="17">
        <f>IF(B1706="","",IFERROR(INDEX(Clay_Offices!$A$2:$FZ$601,55,Sync!$C$6)&amp;"",""))</f>
        <v/>
      </c>
      <c r="F1706" s="17">
        <f>IF(B1706="","","outreach_sent")</f>
        <v/>
      </c>
      <c r="G1706" s="17">
        <f>IF(B1706="","","")</f>
        <v/>
      </c>
      <c r="H1706" s="17">
        <f>IF(B1706="","","")</f>
        <v/>
      </c>
      <c r="I1706" s="17">
        <f>IF(B1706="","","")</f>
        <v/>
      </c>
      <c r="J1706" s="17">
        <f>IF(B1706="","","touch_1; "&amp;IFERROR(INDEX(Clay_Offices!$A$2:$FZ$601,55,Sync!$C$10)&amp;"","")&amp;"; "&amp;IFERROR(INDEX(Clay_Offices!$A$2:$FZ$601,55,Sync!$C$9)&amp;"",""))</f>
        <v/>
      </c>
      <c r="K1706" t="inlineStr">
        <is>
          <t>office outreach touch 1</t>
        </is>
      </c>
    </row>
    <row r="1707">
      <c r="A1707" s="17">
        <f>IF(B1707="","",B1707+(12*1000+56)/10000000)</f>
        <v/>
      </c>
      <c r="B1707" s="23">
        <f>IF(AND(IFERROR(N(INDEX(Clay_Offices!$A$2:$FZ$601,56,Sync!$C$11)),0)&gt;0,IFERROR(INDEX(Clay_Offices!$A$2:$FZ$601,56,Sync!$C$5)&amp;"","")&lt;&gt;"",OR(LEFT(IFERROR(INDEX(Clay_Offices!$A$2:$FZ$601,56,Sync!$C$5)&amp;"",""),6)&lt;&gt;"SAMPLE",Config!$B$19="Y")),IFERROR(N(INDEX(Clay_Offices!$A$2:$FZ$601,56,Sync!$C$11)),0),"")</f>
        <v/>
      </c>
      <c r="C1707" s="17">
        <f>IF(B1707="","","office")</f>
        <v/>
      </c>
      <c r="D1707" s="17">
        <f>IF(B1707="","",IFERROR(INDEX(Clay_Offices!$A$2:$FZ$601,56,Sync!$C$5)&amp;"",""))</f>
        <v/>
      </c>
      <c r="E1707" s="17">
        <f>IF(B1707="","",IFERROR(INDEX(Clay_Offices!$A$2:$FZ$601,56,Sync!$C$6)&amp;"",""))</f>
        <v/>
      </c>
      <c r="F1707" s="17">
        <f>IF(B1707="","","outreach_sent")</f>
        <v/>
      </c>
      <c r="G1707" s="17">
        <f>IF(B1707="","","")</f>
        <v/>
      </c>
      <c r="H1707" s="17">
        <f>IF(B1707="","","")</f>
        <v/>
      </c>
      <c r="I1707" s="17">
        <f>IF(B1707="","","")</f>
        <v/>
      </c>
      <c r="J1707" s="17">
        <f>IF(B1707="","","touch_1; "&amp;IFERROR(INDEX(Clay_Offices!$A$2:$FZ$601,56,Sync!$C$10)&amp;"","")&amp;"; "&amp;IFERROR(INDEX(Clay_Offices!$A$2:$FZ$601,56,Sync!$C$9)&amp;"",""))</f>
        <v/>
      </c>
      <c r="K1707" t="inlineStr">
        <is>
          <t>office outreach touch 1</t>
        </is>
      </c>
    </row>
    <row r="1708">
      <c r="A1708" s="17">
        <f>IF(B1708="","",B1708+(12*1000+57)/10000000)</f>
        <v/>
      </c>
      <c r="B1708" s="23">
        <f>IF(AND(IFERROR(N(INDEX(Clay_Offices!$A$2:$FZ$601,57,Sync!$C$11)),0)&gt;0,IFERROR(INDEX(Clay_Offices!$A$2:$FZ$601,57,Sync!$C$5)&amp;"","")&lt;&gt;"",OR(LEFT(IFERROR(INDEX(Clay_Offices!$A$2:$FZ$601,57,Sync!$C$5)&amp;"",""),6)&lt;&gt;"SAMPLE",Config!$B$19="Y")),IFERROR(N(INDEX(Clay_Offices!$A$2:$FZ$601,57,Sync!$C$11)),0),"")</f>
        <v/>
      </c>
      <c r="C1708" s="17">
        <f>IF(B1708="","","office")</f>
        <v/>
      </c>
      <c r="D1708" s="17">
        <f>IF(B1708="","",IFERROR(INDEX(Clay_Offices!$A$2:$FZ$601,57,Sync!$C$5)&amp;"",""))</f>
        <v/>
      </c>
      <c r="E1708" s="17">
        <f>IF(B1708="","",IFERROR(INDEX(Clay_Offices!$A$2:$FZ$601,57,Sync!$C$6)&amp;"",""))</f>
        <v/>
      </c>
      <c r="F1708" s="17">
        <f>IF(B1708="","","outreach_sent")</f>
        <v/>
      </c>
      <c r="G1708" s="17">
        <f>IF(B1708="","","")</f>
        <v/>
      </c>
      <c r="H1708" s="17">
        <f>IF(B1708="","","")</f>
        <v/>
      </c>
      <c r="I1708" s="17">
        <f>IF(B1708="","","")</f>
        <v/>
      </c>
      <c r="J1708" s="17">
        <f>IF(B1708="","","touch_1; "&amp;IFERROR(INDEX(Clay_Offices!$A$2:$FZ$601,57,Sync!$C$10)&amp;"","")&amp;"; "&amp;IFERROR(INDEX(Clay_Offices!$A$2:$FZ$601,57,Sync!$C$9)&amp;"",""))</f>
        <v/>
      </c>
      <c r="K1708" t="inlineStr">
        <is>
          <t>office outreach touch 1</t>
        </is>
      </c>
    </row>
    <row r="1709">
      <c r="A1709" s="17">
        <f>IF(B1709="","",B1709+(12*1000+58)/10000000)</f>
        <v/>
      </c>
      <c r="B1709" s="23">
        <f>IF(AND(IFERROR(N(INDEX(Clay_Offices!$A$2:$FZ$601,58,Sync!$C$11)),0)&gt;0,IFERROR(INDEX(Clay_Offices!$A$2:$FZ$601,58,Sync!$C$5)&amp;"","")&lt;&gt;"",OR(LEFT(IFERROR(INDEX(Clay_Offices!$A$2:$FZ$601,58,Sync!$C$5)&amp;"",""),6)&lt;&gt;"SAMPLE",Config!$B$19="Y")),IFERROR(N(INDEX(Clay_Offices!$A$2:$FZ$601,58,Sync!$C$11)),0),"")</f>
        <v/>
      </c>
      <c r="C1709" s="17">
        <f>IF(B1709="","","office")</f>
        <v/>
      </c>
      <c r="D1709" s="17">
        <f>IF(B1709="","",IFERROR(INDEX(Clay_Offices!$A$2:$FZ$601,58,Sync!$C$5)&amp;"",""))</f>
        <v/>
      </c>
      <c r="E1709" s="17">
        <f>IF(B1709="","",IFERROR(INDEX(Clay_Offices!$A$2:$FZ$601,58,Sync!$C$6)&amp;"",""))</f>
        <v/>
      </c>
      <c r="F1709" s="17">
        <f>IF(B1709="","","outreach_sent")</f>
        <v/>
      </c>
      <c r="G1709" s="17">
        <f>IF(B1709="","","")</f>
        <v/>
      </c>
      <c r="H1709" s="17">
        <f>IF(B1709="","","")</f>
        <v/>
      </c>
      <c r="I1709" s="17">
        <f>IF(B1709="","","")</f>
        <v/>
      </c>
      <c r="J1709" s="17">
        <f>IF(B1709="","","touch_1; "&amp;IFERROR(INDEX(Clay_Offices!$A$2:$FZ$601,58,Sync!$C$10)&amp;"","")&amp;"; "&amp;IFERROR(INDEX(Clay_Offices!$A$2:$FZ$601,58,Sync!$C$9)&amp;"",""))</f>
        <v/>
      </c>
      <c r="K1709" t="inlineStr">
        <is>
          <t>office outreach touch 1</t>
        </is>
      </c>
    </row>
    <row r="1710">
      <c r="A1710" s="17">
        <f>IF(B1710="","",B1710+(12*1000+59)/10000000)</f>
        <v/>
      </c>
      <c r="B1710" s="23">
        <f>IF(AND(IFERROR(N(INDEX(Clay_Offices!$A$2:$FZ$601,59,Sync!$C$11)),0)&gt;0,IFERROR(INDEX(Clay_Offices!$A$2:$FZ$601,59,Sync!$C$5)&amp;"","")&lt;&gt;"",OR(LEFT(IFERROR(INDEX(Clay_Offices!$A$2:$FZ$601,59,Sync!$C$5)&amp;"",""),6)&lt;&gt;"SAMPLE",Config!$B$19="Y")),IFERROR(N(INDEX(Clay_Offices!$A$2:$FZ$601,59,Sync!$C$11)),0),"")</f>
        <v/>
      </c>
      <c r="C1710" s="17">
        <f>IF(B1710="","","office")</f>
        <v/>
      </c>
      <c r="D1710" s="17">
        <f>IF(B1710="","",IFERROR(INDEX(Clay_Offices!$A$2:$FZ$601,59,Sync!$C$5)&amp;"",""))</f>
        <v/>
      </c>
      <c r="E1710" s="17">
        <f>IF(B1710="","",IFERROR(INDEX(Clay_Offices!$A$2:$FZ$601,59,Sync!$C$6)&amp;"",""))</f>
        <v/>
      </c>
      <c r="F1710" s="17">
        <f>IF(B1710="","","outreach_sent")</f>
        <v/>
      </c>
      <c r="G1710" s="17">
        <f>IF(B1710="","","")</f>
        <v/>
      </c>
      <c r="H1710" s="17">
        <f>IF(B1710="","","")</f>
        <v/>
      </c>
      <c r="I1710" s="17">
        <f>IF(B1710="","","")</f>
        <v/>
      </c>
      <c r="J1710" s="17">
        <f>IF(B1710="","","touch_1; "&amp;IFERROR(INDEX(Clay_Offices!$A$2:$FZ$601,59,Sync!$C$10)&amp;"","")&amp;"; "&amp;IFERROR(INDEX(Clay_Offices!$A$2:$FZ$601,59,Sync!$C$9)&amp;"",""))</f>
        <v/>
      </c>
      <c r="K1710" t="inlineStr">
        <is>
          <t>office outreach touch 1</t>
        </is>
      </c>
    </row>
    <row r="1711">
      <c r="A1711" s="17">
        <f>IF(B1711="","",B1711+(12*1000+60)/10000000)</f>
        <v/>
      </c>
      <c r="B1711" s="23">
        <f>IF(AND(IFERROR(N(INDEX(Clay_Offices!$A$2:$FZ$601,60,Sync!$C$11)),0)&gt;0,IFERROR(INDEX(Clay_Offices!$A$2:$FZ$601,60,Sync!$C$5)&amp;"","")&lt;&gt;"",OR(LEFT(IFERROR(INDEX(Clay_Offices!$A$2:$FZ$601,60,Sync!$C$5)&amp;"",""),6)&lt;&gt;"SAMPLE",Config!$B$19="Y")),IFERROR(N(INDEX(Clay_Offices!$A$2:$FZ$601,60,Sync!$C$11)),0),"")</f>
        <v/>
      </c>
      <c r="C1711" s="17">
        <f>IF(B1711="","","office")</f>
        <v/>
      </c>
      <c r="D1711" s="17">
        <f>IF(B1711="","",IFERROR(INDEX(Clay_Offices!$A$2:$FZ$601,60,Sync!$C$5)&amp;"",""))</f>
        <v/>
      </c>
      <c r="E1711" s="17">
        <f>IF(B1711="","",IFERROR(INDEX(Clay_Offices!$A$2:$FZ$601,60,Sync!$C$6)&amp;"",""))</f>
        <v/>
      </c>
      <c r="F1711" s="17">
        <f>IF(B1711="","","outreach_sent")</f>
        <v/>
      </c>
      <c r="G1711" s="17">
        <f>IF(B1711="","","")</f>
        <v/>
      </c>
      <c r="H1711" s="17">
        <f>IF(B1711="","","")</f>
        <v/>
      </c>
      <c r="I1711" s="17">
        <f>IF(B1711="","","")</f>
        <v/>
      </c>
      <c r="J1711" s="17">
        <f>IF(B1711="","","touch_1; "&amp;IFERROR(INDEX(Clay_Offices!$A$2:$FZ$601,60,Sync!$C$10)&amp;"","")&amp;"; "&amp;IFERROR(INDEX(Clay_Offices!$A$2:$FZ$601,60,Sync!$C$9)&amp;"",""))</f>
        <v/>
      </c>
      <c r="K1711" t="inlineStr">
        <is>
          <t>office outreach touch 1</t>
        </is>
      </c>
    </row>
    <row r="1712">
      <c r="A1712" s="17">
        <f>IF(B1712="","",B1712+(12*1000+61)/10000000)</f>
        <v/>
      </c>
      <c r="B1712" s="23">
        <f>IF(AND(IFERROR(N(INDEX(Clay_Offices!$A$2:$FZ$601,61,Sync!$C$11)),0)&gt;0,IFERROR(INDEX(Clay_Offices!$A$2:$FZ$601,61,Sync!$C$5)&amp;"","")&lt;&gt;"",OR(LEFT(IFERROR(INDEX(Clay_Offices!$A$2:$FZ$601,61,Sync!$C$5)&amp;"",""),6)&lt;&gt;"SAMPLE",Config!$B$19="Y")),IFERROR(N(INDEX(Clay_Offices!$A$2:$FZ$601,61,Sync!$C$11)),0),"")</f>
        <v/>
      </c>
      <c r="C1712" s="17">
        <f>IF(B1712="","","office")</f>
        <v/>
      </c>
      <c r="D1712" s="17">
        <f>IF(B1712="","",IFERROR(INDEX(Clay_Offices!$A$2:$FZ$601,61,Sync!$C$5)&amp;"",""))</f>
        <v/>
      </c>
      <c r="E1712" s="17">
        <f>IF(B1712="","",IFERROR(INDEX(Clay_Offices!$A$2:$FZ$601,61,Sync!$C$6)&amp;"",""))</f>
        <v/>
      </c>
      <c r="F1712" s="17">
        <f>IF(B1712="","","outreach_sent")</f>
        <v/>
      </c>
      <c r="G1712" s="17">
        <f>IF(B1712="","","")</f>
        <v/>
      </c>
      <c r="H1712" s="17">
        <f>IF(B1712="","","")</f>
        <v/>
      </c>
      <c r="I1712" s="17">
        <f>IF(B1712="","","")</f>
        <v/>
      </c>
      <c r="J1712" s="17">
        <f>IF(B1712="","","touch_1; "&amp;IFERROR(INDEX(Clay_Offices!$A$2:$FZ$601,61,Sync!$C$10)&amp;"","")&amp;"; "&amp;IFERROR(INDEX(Clay_Offices!$A$2:$FZ$601,61,Sync!$C$9)&amp;"",""))</f>
        <v/>
      </c>
      <c r="K1712" t="inlineStr">
        <is>
          <t>office outreach touch 1</t>
        </is>
      </c>
    </row>
    <row r="1713">
      <c r="A1713" s="17">
        <f>IF(B1713="","",B1713+(12*1000+62)/10000000)</f>
        <v/>
      </c>
      <c r="B1713" s="23">
        <f>IF(AND(IFERROR(N(INDEX(Clay_Offices!$A$2:$FZ$601,62,Sync!$C$11)),0)&gt;0,IFERROR(INDEX(Clay_Offices!$A$2:$FZ$601,62,Sync!$C$5)&amp;"","")&lt;&gt;"",OR(LEFT(IFERROR(INDEX(Clay_Offices!$A$2:$FZ$601,62,Sync!$C$5)&amp;"",""),6)&lt;&gt;"SAMPLE",Config!$B$19="Y")),IFERROR(N(INDEX(Clay_Offices!$A$2:$FZ$601,62,Sync!$C$11)),0),"")</f>
        <v/>
      </c>
      <c r="C1713" s="17">
        <f>IF(B1713="","","office")</f>
        <v/>
      </c>
      <c r="D1713" s="17">
        <f>IF(B1713="","",IFERROR(INDEX(Clay_Offices!$A$2:$FZ$601,62,Sync!$C$5)&amp;"",""))</f>
        <v/>
      </c>
      <c r="E1713" s="17">
        <f>IF(B1713="","",IFERROR(INDEX(Clay_Offices!$A$2:$FZ$601,62,Sync!$C$6)&amp;"",""))</f>
        <v/>
      </c>
      <c r="F1713" s="17">
        <f>IF(B1713="","","outreach_sent")</f>
        <v/>
      </c>
      <c r="G1713" s="17">
        <f>IF(B1713="","","")</f>
        <v/>
      </c>
      <c r="H1713" s="17">
        <f>IF(B1713="","","")</f>
        <v/>
      </c>
      <c r="I1713" s="17">
        <f>IF(B1713="","","")</f>
        <v/>
      </c>
      <c r="J1713" s="17">
        <f>IF(B1713="","","touch_1; "&amp;IFERROR(INDEX(Clay_Offices!$A$2:$FZ$601,62,Sync!$C$10)&amp;"","")&amp;"; "&amp;IFERROR(INDEX(Clay_Offices!$A$2:$FZ$601,62,Sync!$C$9)&amp;"",""))</f>
        <v/>
      </c>
      <c r="K1713" t="inlineStr">
        <is>
          <t>office outreach touch 1</t>
        </is>
      </c>
    </row>
    <row r="1714">
      <c r="A1714" s="17">
        <f>IF(B1714="","",B1714+(12*1000+63)/10000000)</f>
        <v/>
      </c>
      <c r="B1714" s="23">
        <f>IF(AND(IFERROR(N(INDEX(Clay_Offices!$A$2:$FZ$601,63,Sync!$C$11)),0)&gt;0,IFERROR(INDEX(Clay_Offices!$A$2:$FZ$601,63,Sync!$C$5)&amp;"","")&lt;&gt;"",OR(LEFT(IFERROR(INDEX(Clay_Offices!$A$2:$FZ$601,63,Sync!$C$5)&amp;"",""),6)&lt;&gt;"SAMPLE",Config!$B$19="Y")),IFERROR(N(INDEX(Clay_Offices!$A$2:$FZ$601,63,Sync!$C$11)),0),"")</f>
        <v/>
      </c>
      <c r="C1714" s="17">
        <f>IF(B1714="","","office")</f>
        <v/>
      </c>
      <c r="D1714" s="17">
        <f>IF(B1714="","",IFERROR(INDEX(Clay_Offices!$A$2:$FZ$601,63,Sync!$C$5)&amp;"",""))</f>
        <v/>
      </c>
      <c r="E1714" s="17">
        <f>IF(B1714="","",IFERROR(INDEX(Clay_Offices!$A$2:$FZ$601,63,Sync!$C$6)&amp;"",""))</f>
        <v/>
      </c>
      <c r="F1714" s="17">
        <f>IF(B1714="","","outreach_sent")</f>
        <v/>
      </c>
      <c r="G1714" s="17">
        <f>IF(B1714="","","")</f>
        <v/>
      </c>
      <c r="H1714" s="17">
        <f>IF(B1714="","","")</f>
        <v/>
      </c>
      <c r="I1714" s="17">
        <f>IF(B1714="","","")</f>
        <v/>
      </c>
      <c r="J1714" s="17">
        <f>IF(B1714="","","touch_1; "&amp;IFERROR(INDEX(Clay_Offices!$A$2:$FZ$601,63,Sync!$C$10)&amp;"","")&amp;"; "&amp;IFERROR(INDEX(Clay_Offices!$A$2:$FZ$601,63,Sync!$C$9)&amp;"",""))</f>
        <v/>
      </c>
      <c r="K1714" t="inlineStr">
        <is>
          <t>office outreach touch 1</t>
        </is>
      </c>
    </row>
    <row r="1715">
      <c r="A1715" s="17">
        <f>IF(B1715="","",B1715+(12*1000+64)/10000000)</f>
        <v/>
      </c>
      <c r="B1715" s="23">
        <f>IF(AND(IFERROR(N(INDEX(Clay_Offices!$A$2:$FZ$601,64,Sync!$C$11)),0)&gt;0,IFERROR(INDEX(Clay_Offices!$A$2:$FZ$601,64,Sync!$C$5)&amp;"","")&lt;&gt;"",OR(LEFT(IFERROR(INDEX(Clay_Offices!$A$2:$FZ$601,64,Sync!$C$5)&amp;"",""),6)&lt;&gt;"SAMPLE",Config!$B$19="Y")),IFERROR(N(INDEX(Clay_Offices!$A$2:$FZ$601,64,Sync!$C$11)),0),"")</f>
        <v/>
      </c>
      <c r="C1715" s="17">
        <f>IF(B1715="","","office")</f>
        <v/>
      </c>
      <c r="D1715" s="17">
        <f>IF(B1715="","",IFERROR(INDEX(Clay_Offices!$A$2:$FZ$601,64,Sync!$C$5)&amp;"",""))</f>
        <v/>
      </c>
      <c r="E1715" s="17">
        <f>IF(B1715="","",IFERROR(INDEX(Clay_Offices!$A$2:$FZ$601,64,Sync!$C$6)&amp;"",""))</f>
        <v/>
      </c>
      <c r="F1715" s="17">
        <f>IF(B1715="","","outreach_sent")</f>
        <v/>
      </c>
      <c r="G1715" s="17">
        <f>IF(B1715="","","")</f>
        <v/>
      </c>
      <c r="H1715" s="17">
        <f>IF(B1715="","","")</f>
        <v/>
      </c>
      <c r="I1715" s="17">
        <f>IF(B1715="","","")</f>
        <v/>
      </c>
      <c r="J1715" s="17">
        <f>IF(B1715="","","touch_1; "&amp;IFERROR(INDEX(Clay_Offices!$A$2:$FZ$601,64,Sync!$C$10)&amp;"","")&amp;"; "&amp;IFERROR(INDEX(Clay_Offices!$A$2:$FZ$601,64,Sync!$C$9)&amp;"",""))</f>
        <v/>
      </c>
      <c r="K1715" t="inlineStr">
        <is>
          <t>office outreach touch 1</t>
        </is>
      </c>
    </row>
    <row r="1716">
      <c r="A1716" s="17">
        <f>IF(B1716="","",B1716+(12*1000+65)/10000000)</f>
        <v/>
      </c>
      <c r="B1716" s="23">
        <f>IF(AND(IFERROR(N(INDEX(Clay_Offices!$A$2:$FZ$601,65,Sync!$C$11)),0)&gt;0,IFERROR(INDEX(Clay_Offices!$A$2:$FZ$601,65,Sync!$C$5)&amp;"","")&lt;&gt;"",OR(LEFT(IFERROR(INDEX(Clay_Offices!$A$2:$FZ$601,65,Sync!$C$5)&amp;"",""),6)&lt;&gt;"SAMPLE",Config!$B$19="Y")),IFERROR(N(INDEX(Clay_Offices!$A$2:$FZ$601,65,Sync!$C$11)),0),"")</f>
        <v/>
      </c>
      <c r="C1716" s="17">
        <f>IF(B1716="","","office")</f>
        <v/>
      </c>
      <c r="D1716" s="17">
        <f>IF(B1716="","",IFERROR(INDEX(Clay_Offices!$A$2:$FZ$601,65,Sync!$C$5)&amp;"",""))</f>
        <v/>
      </c>
      <c r="E1716" s="17">
        <f>IF(B1716="","",IFERROR(INDEX(Clay_Offices!$A$2:$FZ$601,65,Sync!$C$6)&amp;"",""))</f>
        <v/>
      </c>
      <c r="F1716" s="17">
        <f>IF(B1716="","","outreach_sent")</f>
        <v/>
      </c>
      <c r="G1716" s="17">
        <f>IF(B1716="","","")</f>
        <v/>
      </c>
      <c r="H1716" s="17">
        <f>IF(B1716="","","")</f>
        <v/>
      </c>
      <c r="I1716" s="17">
        <f>IF(B1716="","","")</f>
        <v/>
      </c>
      <c r="J1716" s="17">
        <f>IF(B1716="","","touch_1; "&amp;IFERROR(INDEX(Clay_Offices!$A$2:$FZ$601,65,Sync!$C$10)&amp;"","")&amp;"; "&amp;IFERROR(INDEX(Clay_Offices!$A$2:$FZ$601,65,Sync!$C$9)&amp;"",""))</f>
        <v/>
      </c>
      <c r="K1716" t="inlineStr">
        <is>
          <t>office outreach touch 1</t>
        </is>
      </c>
    </row>
    <row r="1717">
      <c r="A1717" s="17">
        <f>IF(B1717="","",B1717+(12*1000+66)/10000000)</f>
        <v/>
      </c>
      <c r="B1717" s="23">
        <f>IF(AND(IFERROR(N(INDEX(Clay_Offices!$A$2:$FZ$601,66,Sync!$C$11)),0)&gt;0,IFERROR(INDEX(Clay_Offices!$A$2:$FZ$601,66,Sync!$C$5)&amp;"","")&lt;&gt;"",OR(LEFT(IFERROR(INDEX(Clay_Offices!$A$2:$FZ$601,66,Sync!$C$5)&amp;"",""),6)&lt;&gt;"SAMPLE",Config!$B$19="Y")),IFERROR(N(INDEX(Clay_Offices!$A$2:$FZ$601,66,Sync!$C$11)),0),"")</f>
        <v/>
      </c>
      <c r="C1717" s="17">
        <f>IF(B1717="","","office")</f>
        <v/>
      </c>
      <c r="D1717" s="17">
        <f>IF(B1717="","",IFERROR(INDEX(Clay_Offices!$A$2:$FZ$601,66,Sync!$C$5)&amp;"",""))</f>
        <v/>
      </c>
      <c r="E1717" s="17">
        <f>IF(B1717="","",IFERROR(INDEX(Clay_Offices!$A$2:$FZ$601,66,Sync!$C$6)&amp;"",""))</f>
        <v/>
      </c>
      <c r="F1717" s="17">
        <f>IF(B1717="","","outreach_sent")</f>
        <v/>
      </c>
      <c r="G1717" s="17">
        <f>IF(B1717="","","")</f>
        <v/>
      </c>
      <c r="H1717" s="17">
        <f>IF(B1717="","","")</f>
        <v/>
      </c>
      <c r="I1717" s="17">
        <f>IF(B1717="","","")</f>
        <v/>
      </c>
      <c r="J1717" s="17">
        <f>IF(B1717="","","touch_1; "&amp;IFERROR(INDEX(Clay_Offices!$A$2:$FZ$601,66,Sync!$C$10)&amp;"","")&amp;"; "&amp;IFERROR(INDEX(Clay_Offices!$A$2:$FZ$601,66,Sync!$C$9)&amp;"",""))</f>
        <v/>
      </c>
      <c r="K1717" t="inlineStr">
        <is>
          <t>office outreach touch 1</t>
        </is>
      </c>
    </row>
    <row r="1718">
      <c r="A1718" s="17">
        <f>IF(B1718="","",B1718+(12*1000+67)/10000000)</f>
        <v/>
      </c>
      <c r="B1718" s="23">
        <f>IF(AND(IFERROR(N(INDEX(Clay_Offices!$A$2:$FZ$601,67,Sync!$C$11)),0)&gt;0,IFERROR(INDEX(Clay_Offices!$A$2:$FZ$601,67,Sync!$C$5)&amp;"","")&lt;&gt;"",OR(LEFT(IFERROR(INDEX(Clay_Offices!$A$2:$FZ$601,67,Sync!$C$5)&amp;"",""),6)&lt;&gt;"SAMPLE",Config!$B$19="Y")),IFERROR(N(INDEX(Clay_Offices!$A$2:$FZ$601,67,Sync!$C$11)),0),"")</f>
        <v/>
      </c>
      <c r="C1718" s="17">
        <f>IF(B1718="","","office")</f>
        <v/>
      </c>
      <c r="D1718" s="17">
        <f>IF(B1718="","",IFERROR(INDEX(Clay_Offices!$A$2:$FZ$601,67,Sync!$C$5)&amp;"",""))</f>
        <v/>
      </c>
      <c r="E1718" s="17">
        <f>IF(B1718="","",IFERROR(INDEX(Clay_Offices!$A$2:$FZ$601,67,Sync!$C$6)&amp;"",""))</f>
        <v/>
      </c>
      <c r="F1718" s="17">
        <f>IF(B1718="","","outreach_sent")</f>
        <v/>
      </c>
      <c r="G1718" s="17">
        <f>IF(B1718="","","")</f>
        <v/>
      </c>
      <c r="H1718" s="17">
        <f>IF(B1718="","","")</f>
        <v/>
      </c>
      <c r="I1718" s="17">
        <f>IF(B1718="","","")</f>
        <v/>
      </c>
      <c r="J1718" s="17">
        <f>IF(B1718="","","touch_1; "&amp;IFERROR(INDEX(Clay_Offices!$A$2:$FZ$601,67,Sync!$C$10)&amp;"","")&amp;"; "&amp;IFERROR(INDEX(Clay_Offices!$A$2:$FZ$601,67,Sync!$C$9)&amp;"",""))</f>
        <v/>
      </c>
      <c r="K1718" t="inlineStr">
        <is>
          <t>office outreach touch 1</t>
        </is>
      </c>
    </row>
    <row r="1719">
      <c r="A1719" s="17">
        <f>IF(B1719="","",B1719+(12*1000+68)/10000000)</f>
        <v/>
      </c>
      <c r="B1719" s="23">
        <f>IF(AND(IFERROR(N(INDEX(Clay_Offices!$A$2:$FZ$601,68,Sync!$C$11)),0)&gt;0,IFERROR(INDEX(Clay_Offices!$A$2:$FZ$601,68,Sync!$C$5)&amp;"","")&lt;&gt;"",OR(LEFT(IFERROR(INDEX(Clay_Offices!$A$2:$FZ$601,68,Sync!$C$5)&amp;"",""),6)&lt;&gt;"SAMPLE",Config!$B$19="Y")),IFERROR(N(INDEX(Clay_Offices!$A$2:$FZ$601,68,Sync!$C$11)),0),"")</f>
        <v/>
      </c>
      <c r="C1719" s="17">
        <f>IF(B1719="","","office")</f>
        <v/>
      </c>
      <c r="D1719" s="17">
        <f>IF(B1719="","",IFERROR(INDEX(Clay_Offices!$A$2:$FZ$601,68,Sync!$C$5)&amp;"",""))</f>
        <v/>
      </c>
      <c r="E1719" s="17">
        <f>IF(B1719="","",IFERROR(INDEX(Clay_Offices!$A$2:$FZ$601,68,Sync!$C$6)&amp;"",""))</f>
        <v/>
      </c>
      <c r="F1719" s="17">
        <f>IF(B1719="","","outreach_sent")</f>
        <v/>
      </c>
      <c r="G1719" s="17">
        <f>IF(B1719="","","")</f>
        <v/>
      </c>
      <c r="H1719" s="17">
        <f>IF(B1719="","","")</f>
        <v/>
      </c>
      <c r="I1719" s="17">
        <f>IF(B1719="","","")</f>
        <v/>
      </c>
      <c r="J1719" s="17">
        <f>IF(B1719="","","touch_1; "&amp;IFERROR(INDEX(Clay_Offices!$A$2:$FZ$601,68,Sync!$C$10)&amp;"","")&amp;"; "&amp;IFERROR(INDEX(Clay_Offices!$A$2:$FZ$601,68,Sync!$C$9)&amp;"",""))</f>
        <v/>
      </c>
      <c r="K1719" t="inlineStr">
        <is>
          <t>office outreach touch 1</t>
        </is>
      </c>
    </row>
    <row r="1720">
      <c r="A1720" s="17">
        <f>IF(B1720="","",B1720+(12*1000+69)/10000000)</f>
        <v/>
      </c>
      <c r="B1720" s="23">
        <f>IF(AND(IFERROR(N(INDEX(Clay_Offices!$A$2:$FZ$601,69,Sync!$C$11)),0)&gt;0,IFERROR(INDEX(Clay_Offices!$A$2:$FZ$601,69,Sync!$C$5)&amp;"","")&lt;&gt;"",OR(LEFT(IFERROR(INDEX(Clay_Offices!$A$2:$FZ$601,69,Sync!$C$5)&amp;"",""),6)&lt;&gt;"SAMPLE",Config!$B$19="Y")),IFERROR(N(INDEX(Clay_Offices!$A$2:$FZ$601,69,Sync!$C$11)),0),"")</f>
        <v/>
      </c>
      <c r="C1720" s="17">
        <f>IF(B1720="","","office")</f>
        <v/>
      </c>
      <c r="D1720" s="17">
        <f>IF(B1720="","",IFERROR(INDEX(Clay_Offices!$A$2:$FZ$601,69,Sync!$C$5)&amp;"",""))</f>
        <v/>
      </c>
      <c r="E1720" s="17">
        <f>IF(B1720="","",IFERROR(INDEX(Clay_Offices!$A$2:$FZ$601,69,Sync!$C$6)&amp;"",""))</f>
        <v/>
      </c>
      <c r="F1720" s="17">
        <f>IF(B1720="","","outreach_sent")</f>
        <v/>
      </c>
      <c r="G1720" s="17">
        <f>IF(B1720="","","")</f>
        <v/>
      </c>
      <c r="H1720" s="17">
        <f>IF(B1720="","","")</f>
        <v/>
      </c>
      <c r="I1720" s="17">
        <f>IF(B1720="","","")</f>
        <v/>
      </c>
      <c r="J1720" s="17">
        <f>IF(B1720="","","touch_1; "&amp;IFERROR(INDEX(Clay_Offices!$A$2:$FZ$601,69,Sync!$C$10)&amp;"","")&amp;"; "&amp;IFERROR(INDEX(Clay_Offices!$A$2:$FZ$601,69,Sync!$C$9)&amp;"",""))</f>
        <v/>
      </c>
      <c r="K1720" t="inlineStr">
        <is>
          <t>office outreach touch 1</t>
        </is>
      </c>
    </row>
    <row r="1721">
      <c r="A1721" s="17">
        <f>IF(B1721="","",B1721+(12*1000+70)/10000000)</f>
        <v/>
      </c>
      <c r="B1721" s="23">
        <f>IF(AND(IFERROR(N(INDEX(Clay_Offices!$A$2:$FZ$601,70,Sync!$C$11)),0)&gt;0,IFERROR(INDEX(Clay_Offices!$A$2:$FZ$601,70,Sync!$C$5)&amp;"","")&lt;&gt;"",OR(LEFT(IFERROR(INDEX(Clay_Offices!$A$2:$FZ$601,70,Sync!$C$5)&amp;"",""),6)&lt;&gt;"SAMPLE",Config!$B$19="Y")),IFERROR(N(INDEX(Clay_Offices!$A$2:$FZ$601,70,Sync!$C$11)),0),"")</f>
        <v/>
      </c>
      <c r="C1721" s="17">
        <f>IF(B1721="","","office")</f>
        <v/>
      </c>
      <c r="D1721" s="17">
        <f>IF(B1721="","",IFERROR(INDEX(Clay_Offices!$A$2:$FZ$601,70,Sync!$C$5)&amp;"",""))</f>
        <v/>
      </c>
      <c r="E1721" s="17">
        <f>IF(B1721="","",IFERROR(INDEX(Clay_Offices!$A$2:$FZ$601,70,Sync!$C$6)&amp;"",""))</f>
        <v/>
      </c>
      <c r="F1721" s="17">
        <f>IF(B1721="","","outreach_sent")</f>
        <v/>
      </c>
      <c r="G1721" s="17">
        <f>IF(B1721="","","")</f>
        <v/>
      </c>
      <c r="H1721" s="17">
        <f>IF(B1721="","","")</f>
        <v/>
      </c>
      <c r="I1721" s="17">
        <f>IF(B1721="","","")</f>
        <v/>
      </c>
      <c r="J1721" s="17">
        <f>IF(B1721="","","touch_1; "&amp;IFERROR(INDEX(Clay_Offices!$A$2:$FZ$601,70,Sync!$C$10)&amp;"","")&amp;"; "&amp;IFERROR(INDEX(Clay_Offices!$A$2:$FZ$601,70,Sync!$C$9)&amp;"",""))</f>
        <v/>
      </c>
      <c r="K1721" t="inlineStr">
        <is>
          <t>office outreach touch 1</t>
        </is>
      </c>
    </row>
    <row r="1722">
      <c r="A1722" s="17">
        <f>IF(B1722="","",B1722+(12*1000+71)/10000000)</f>
        <v/>
      </c>
      <c r="B1722" s="23">
        <f>IF(AND(IFERROR(N(INDEX(Clay_Offices!$A$2:$FZ$601,71,Sync!$C$11)),0)&gt;0,IFERROR(INDEX(Clay_Offices!$A$2:$FZ$601,71,Sync!$C$5)&amp;"","")&lt;&gt;"",OR(LEFT(IFERROR(INDEX(Clay_Offices!$A$2:$FZ$601,71,Sync!$C$5)&amp;"",""),6)&lt;&gt;"SAMPLE",Config!$B$19="Y")),IFERROR(N(INDEX(Clay_Offices!$A$2:$FZ$601,71,Sync!$C$11)),0),"")</f>
        <v/>
      </c>
      <c r="C1722" s="17">
        <f>IF(B1722="","","office")</f>
        <v/>
      </c>
      <c r="D1722" s="17">
        <f>IF(B1722="","",IFERROR(INDEX(Clay_Offices!$A$2:$FZ$601,71,Sync!$C$5)&amp;"",""))</f>
        <v/>
      </c>
      <c r="E1722" s="17">
        <f>IF(B1722="","",IFERROR(INDEX(Clay_Offices!$A$2:$FZ$601,71,Sync!$C$6)&amp;"",""))</f>
        <v/>
      </c>
      <c r="F1722" s="17">
        <f>IF(B1722="","","outreach_sent")</f>
        <v/>
      </c>
      <c r="G1722" s="17">
        <f>IF(B1722="","","")</f>
        <v/>
      </c>
      <c r="H1722" s="17">
        <f>IF(B1722="","","")</f>
        <v/>
      </c>
      <c r="I1722" s="17">
        <f>IF(B1722="","","")</f>
        <v/>
      </c>
      <c r="J1722" s="17">
        <f>IF(B1722="","","touch_1; "&amp;IFERROR(INDEX(Clay_Offices!$A$2:$FZ$601,71,Sync!$C$10)&amp;"","")&amp;"; "&amp;IFERROR(INDEX(Clay_Offices!$A$2:$FZ$601,71,Sync!$C$9)&amp;"",""))</f>
        <v/>
      </c>
      <c r="K1722" t="inlineStr">
        <is>
          <t>office outreach touch 1</t>
        </is>
      </c>
    </row>
    <row r="1723">
      <c r="A1723" s="17">
        <f>IF(B1723="","",B1723+(12*1000+72)/10000000)</f>
        <v/>
      </c>
      <c r="B1723" s="23">
        <f>IF(AND(IFERROR(N(INDEX(Clay_Offices!$A$2:$FZ$601,72,Sync!$C$11)),0)&gt;0,IFERROR(INDEX(Clay_Offices!$A$2:$FZ$601,72,Sync!$C$5)&amp;"","")&lt;&gt;"",OR(LEFT(IFERROR(INDEX(Clay_Offices!$A$2:$FZ$601,72,Sync!$C$5)&amp;"",""),6)&lt;&gt;"SAMPLE",Config!$B$19="Y")),IFERROR(N(INDEX(Clay_Offices!$A$2:$FZ$601,72,Sync!$C$11)),0),"")</f>
        <v/>
      </c>
      <c r="C1723" s="17">
        <f>IF(B1723="","","office")</f>
        <v/>
      </c>
      <c r="D1723" s="17">
        <f>IF(B1723="","",IFERROR(INDEX(Clay_Offices!$A$2:$FZ$601,72,Sync!$C$5)&amp;"",""))</f>
        <v/>
      </c>
      <c r="E1723" s="17">
        <f>IF(B1723="","",IFERROR(INDEX(Clay_Offices!$A$2:$FZ$601,72,Sync!$C$6)&amp;"",""))</f>
        <v/>
      </c>
      <c r="F1723" s="17">
        <f>IF(B1723="","","outreach_sent")</f>
        <v/>
      </c>
      <c r="G1723" s="17">
        <f>IF(B1723="","","")</f>
        <v/>
      </c>
      <c r="H1723" s="17">
        <f>IF(B1723="","","")</f>
        <v/>
      </c>
      <c r="I1723" s="17">
        <f>IF(B1723="","","")</f>
        <v/>
      </c>
      <c r="J1723" s="17">
        <f>IF(B1723="","","touch_1; "&amp;IFERROR(INDEX(Clay_Offices!$A$2:$FZ$601,72,Sync!$C$10)&amp;"","")&amp;"; "&amp;IFERROR(INDEX(Clay_Offices!$A$2:$FZ$601,72,Sync!$C$9)&amp;"",""))</f>
        <v/>
      </c>
      <c r="K1723" t="inlineStr">
        <is>
          <t>office outreach touch 1</t>
        </is>
      </c>
    </row>
    <row r="1724">
      <c r="A1724" s="17">
        <f>IF(B1724="","",B1724+(12*1000+73)/10000000)</f>
        <v/>
      </c>
      <c r="B1724" s="23">
        <f>IF(AND(IFERROR(N(INDEX(Clay_Offices!$A$2:$FZ$601,73,Sync!$C$11)),0)&gt;0,IFERROR(INDEX(Clay_Offices!$A$2:$FZ$601,73,Sync!$C$5)&amp;"","")&lt;&gt;"",OR(LEFT(IFERROR(INDEX(Clay_Offices!$A$2:$FZ$601,73,Sync!$C$5)&amp;"",""),6)&lt;&gt;"SAMPLE",Config!$B$19="Y")),IFERROR(N(INDEX(Clay_Offices!$A$2:$FZ$601,73,Sync!$C$11)),0),"")</f>
        <v/>
      </c>
      <c r="C1724" s="17">
        <f>IF(B1724="","","office")</f>
        <v/>
      </c>
      <c r="D1724" s="17">
        <f>IF(B1724="","",IFERROR(INDEX(Clay_Offices!$A$2:$FZ$601,73,Sync!$C$5)&amp;"",""))</f>
        <v/>
      </c>
      <c r="E1724" s="17">
        <f>IF(B1724="","",IFERROR(INDEX(Clay_Offices!$A$2:$FZ$601,73,Sync!$C$6)&amp;"",""))</f>
        <v/>
      </c>
      <c r="F1724" s="17">
        <f>IF(B1724="","","outreach_sent")</f>
        <v/>
      </c>
      <c r="G1724" s="17">
        <f>IF(B1724="","","")</f>
        <v/>
      </c>
      <c r="H1724" s="17">
        <f>IF(B1724="","","")</f>
        <v/>
      </c>
      <c r="I1724" s="17">
        <f>IF(B1724="","","")</f>
        <v/>
      </c>
      <c r="J1724" s="17">
        <f>IF(B1724="","","touch_1; "&amp;IFERROR(INDEX(Clay_Offices!$A$2:$FZ$601,73,Sync!$C$10)&amp;"","")&amp;"; "&amp;IFERROR(INDEX(Clay_Offices!$A$2:$FZ$601,73,Sync!$C$9)&amp;"",""))</f>
        <v/>
      </c>
      <c r="K1724" t="inlineStr">
        <is>
          <t>office outreach touch 1</t>
        </is>
      </c>
    </row>
    <row r="1725">
      <c r="A1725" s="17">
        <f>IF(B1725="","",B1725+(12*1000+74)/10000000)</f>
        <v/>
      </c>
      <c r="B1725" s="23">
        <f>IF(AND(IFERROR(N(INDEX(Clay_Offices!$A$2:$FZ$601,74,Sync!$C$11)),0)&gt;0,IFERROR(INDEX(Clay_Offices!$A$2:$FZ$601,74,Sync!$C$5)&amp;"","")&lt;&gt;"",OR(LEFT(IFERROR(INDEX(Clay_Offices!$A$2:$FZ$601,74,Sync!$C$5)&amp;"",""),6)&lt;&gt;"SAMPLE",Config!$B$19="Y")),IFERROR(N(INDEX(Clay_Offices!$A$2:$FZ$601,74,Sync!$C$11)),0),"")</f>
        <v/>
      </c>
      <c r="C1725" s="17">
        <f>IF(B1725="","","office")</f>
        <v/>
      </c>
      <c r="D1725" s="17">
        <f>IF(B1725="","",IFERROR(INDEX(Clay_Offices!$A$2:$FZ$601,74,Sync!$C$5)&amp;"",""))</f>
        <v/>
      </c>
      <c r="E1725" s="17">
        <f>IF(B1725="","",IFERROR(INDEX(Clay_Offices!$A$2:$FZ$601,74,Sync!$C$6)&amp;"",""))</f>
        <v/>
      </c>
      <c r="F1725" s="17">
        <f>IF(B1725="","","outreach_sent")</f>
        <v/>
      </c>
      <c r="G1725" s="17">
        <f>IF(B1725="","","")</f>
        <v/>
      </c>
      <c r="H1725" s="17">
        <f>IF(B1725="","","")</f>
        <v/>
      </c>
      <c r="I1725" s="17">
        <f>IF(B1725="","","")</f>
        <v/>
      </c>
      <c r="J1725" s="17">
        <f>IF(B1725="","","touch_1; "&amp;IFERROR(INDEX(Clay_Offices!$A$2:$FZ$601,74,Sync!$C$10)&amp;"","")&amp;"; "&amp;IFERROR(INDEX(Clay_Offices!$A$2:$FZ$601,74,Sync!$C$9)&amp;"",""))</f>
        <v/>
      </c>
      <c r="K1725" t="inlineStr">
        <is>
          <t>office outreach touch 1</t>
        </is>
      </c>
    </row>
    <row r="1726">
      <c r="A1726" s="17">
        <f>IF(B1726="","",B1726+(12*1000+75)/10000000)</f>
        <v/>
      </c>
      <c r="B1726" s="23">
        <f>IF(AND(IFERROR(N(INDEX(Clay_Offices!$A$2:$FZ$601,75,Sync!$C$11)),0)&gt;0,IFERROR(INDEX(Clay_Offices!$A$2:$FZ$601,75,Sync!$C$5)&amp;"","")&lt;&gt;"",OR(LEFT(IFERROR(INDEX(Clay_Offices!$A$2:$FZ$601,75,Sync!$C$5)&amp;"",""),6)&lt;&gt;"SAMPLE",Config!$B$19="Y")),IFERROR(N(INDEX(Clay_Offices!$A$2:$FZ$601,75,Sync!$C$11)),0),"")</f>
        <v/>
      </c>
      <c r="C1726" s="17">
        <f>IF(B1726="","","office")</f>
        <v/>
      </c>
      <c r="D1726" s="17">
        <f>IF(B1726="","",IFERROR(INDEX(Clay_Offices!$A$2:$FZ$601,75,Sync!$C$5)&amp;"",""))</f>
        <v/>
      </c>
      <c r="E1726" s="17">
        <f>IF(B1726="","",IFERROR(INDEX(Clay_Offices!$A$2:$FZ$601,75,Sync!$C$6)&amp;"",""))</f>
        <v/>
      </c>
      <c r="F1726" s="17">
        <f>IF(B1726="","","outreach_sent")</f>
        <v/>
      </c>
      <c r="G1726" s="17">
        <f>IF(B1726="","","")</f>
        <v/>
      </c>
      <c r="H1726" s="17">
        <f>IF(B1726="","","")</f>
        <v/>
      </c>
      <c r="I1726" s="17">
        <f>IF(B1726="","","")</f>
        <v/>
      </c>
      <c r="J1726" s="17">
        <f>IF(B1726="","","touch_1; "&amp;IFERROR(INDEX(Clay_Offices!$A$2:$FZ$601,75,Sync!$C$10)&amp;"","")&amp;"; "&amp;IFERROR(INDEX(Clay_Offices!$A$2:$FZ$601,75,Sync!$C$9)&amp;"",""))</f>
        <v/>
      </c>
      <c r="K1726" t="inlineStr">
        <is>
          <t>office outreach touch 1</t>
        </is>
      </c>
    </row>
    <row r="1727">
      <c r="A1727" s="17">
        <f>IF(B1727="","",B1727+(12*1000+76)/10000000)</f>
        <v/>
      </c>
      <c r="B1727" s="23">
        <f>IF(AND(IFERROR(N(INDEX(Clay_Offices!$A$2:$FZ$601,76,Sync!$C$11)),0)&gt;0,IFERROR(INDEX(Clay_Offices!$A$2:$FZ$601,76,Sync!$C$5)&amp;"","")&lt;&gt;"",OR(LEFT(IFERROR(INDEX(Clay_Offices!$A$2:$FZ$601,76,Sync!$C$5)&amp;"",""),6)&lt;&gt;"SAMPLE",Config!$B$19="Y")),IFERROR(N(INDEX(Clay_Offices!$A$2:$FZ$601,76,Sync!$C$11)),0),"")</f>
        <v/>
      </c>
      <c r="C1727" s="17">
        <f>IF(B1727="","","office")</f>
        <v/>
      </c>
      <c r="D1727" s="17">
        <f>IF(B1727="","",IFERROR(INDEX(Clay_Offices!$A$2:$FZ$601,76,Sync!$C$5)&amp;"",""))</f>
        <v/>
      </c>
      <c r="E1727" s="17">
        <f>IF(B1727="","",IFERROR(INDEX(Clay_Offices!$A$2:$FZ$601,76,Sync!$C$6)&amp;"",""))</f>
        <v/>
      </c>
      <c r="F1727" s="17">
        <f>IF(B1727="","","outreach_sent")</f>
        <v/>
      </c>
      <c r="G1727" s="17">
        <f>IF(B1727="","","")</f>
        <v/>
      </c>
      <c r="H1727" s="17">
        <f>IF(B1727="","","")</f>
        <v/>
      </c>
      <c r="I1727" s="17">
        <f>IF(B1727="","","")</f>
        <v/>
      </c>
      <c r="J1727" s="17">
        <f>IF(B1727="","","touch_1; "&amp;IFERROR(INDEX(Clay_Offices!$A$2:$FZ$601,76,Sync!$C$10)&amp;"","")&amp;"; "&amp;IFERROR(INDEX(Clay_Offices!$A$2:$FZ$601,76,Sync!$C$9)&amp;"",""))</f>
        <v/>
      </c>
      <c r="K1727" t="inlineStr">
        <is>
          <t>office outreach touch 1</t>
        </is>
      </c>
    </row>
    <row r="1728">
      <c r="A1728" s="17">
        <f>IF(B1728="","",B1728+(12*1000+77)/10000000)</f>
        <v/>
      </c>
      <c r="B1728" s="23">
        <f>IF(AND(IFERROR(N(INDEX(Clay_Offices!$A$2:$FZ$601,77,Sync!$C$11)),0)&gt;0,IFERROR(INDEX(Clay_Offices!$A$2:$FZ$601,77,Sync!$C$5)&amp;"","")&lt;&gt;"",OR(LEFT(IFERROR(INDEX(Clay_Offices!$A$2:$FZ$601,77,Sync!$C$5)&amp;"",""),6)&lt;&gt;"SAMPLE",Config!$B$19="Y")),IFERROR(N(INDEX(Clay_Offices!$A$2:$FZ$601,77,Sync!$C$11)),0),"")</f>
        <v/>
      </c>
      <c r="C1728" s="17">
        <f>IF(B1728="","","office")</f>
        <v/>
      </c>
      <c r="D1728" s="17">
        <f>IF(B1728="","",IFERROR(INDEX(Clay_Offices!$A$2:$FZ$601,77,Sync!$C$5)&amp;"",""))</f>
        <v/>
      </c>
      <c r="E1728" s="17">
        <f>IF(B1728="","",IFERROR(INDEX(Clay_Offices!$A$2:$FZ$601,77,Sync!$C$6)&amp;"",""))</f>
        <v/>
      </c>
      <c r="F1728" s="17">
        <f>IF(B1728="","","outreach_sent")</f>
        <v/>
      </c>
      <c r="G1728" s="17">
        <f>IF(B1728="","","")</f>
        <v/>
      </c>
      <c r="H1728" s="17">
        <f>IF(B1728="","","")</f>
        <v/>
      </c>
      <c r="I1728" s="17">
        <f>IF(B1728="","","")</f>
        <v/>
      </c>
      <c r="J1728" s="17">
        <f>IF(B1728="","","touch_1; "&amp;IFERROR(INDEX(Clay_Offices!$A$2:$FZ$601,77,Sync!$C$10)&amp;"","")&amp;"; "&amp;IFERROR(INDEX(Clay_Offices!$A$2:$FZ$601,77,Sync!$C$9)&amp;"",""))</f>
        <v/>
      </c>
      <c r="K1728" t="inlineStr">
        <is>
          <t>office outreach touch 1</t>
        </is>
      </c>
    </row>
    <row r="1729">
      <c r="A1729" s="17">
        <f>IF(B1729="","",B1729+(12*1000+78)/10000000)</f>
        <v/>
      </c>
      <c r="B1729" s="23">
        <f>IF(AND(IFERROR(N(INDEX(Clay_Offices!$A$2:$FZ$601,78,Sync!$C$11)),0)&gt;0,IFERROR(INDEX(Clay_Offices!$A$2:$FZ$601,78,Sync!$C$5)&amp;"","")&lt;&gt;"",OR(LEFT(IFERROR(INDEX(Clay_Offices!$A$2:$FZ$601,78,Sync!$C$5)&amp;"",""),6)&lt;&gt;"SAMPLE",Config!$B$19="Y")),IFERROR(N(INDEX(Clay_Offices!$A$2:$FZ$601,78,Sync!$C$11)),0),"")</f>
        <v/>
      </c>
      <c r="C1729" s="17">
        <f>IF(B1729="","","office")</f>
        <v/>
      </c>
      <c r="D1729" s="17">
        <f>IF(B1729="","",IFERROR(INDEX(Clay_Offices!$A$2:$FZ$601,78,Sync!$C$5)&amp;"",""))</f>
        <v/>
      </c>
      <c r="E1729" s="17">
        <f>IF(B1729="","",IFERROR(INDEX(Clay_Offices!$A$2:$FZ$601,78,Sync!$C$6)&amp;"",""))</f>
        <v/>
      </c>
      <c r="F1729" s="17">
        <f>IF(B1729="","","outreach_sent")</f>
        <v/>
      </c>
      <c r="G1729" s="17">
        <f>IF(B1729="","","")</f>
        <v/>
      </c>
      <c r="H1729" s="17">
        <f>IF(B1729="","","")</f>
        <v/>
      </c>
      <c r="I1729" s="17">
        <f>IF(B1729="","","")</f>
        <v/>
      </c>
      <c r="J1729" s="17">
        <f>IF(B1729="","","touch_1; "&amp;IFERROR(INDEX(Clay_Offices!$A$2:$FZ$601,78,Sync!$C$10)&amp;"","")&amp;"; "&amp;IFERROR(INDEX(Clay_Offices!$A$2:$FZ$601,78,Sync!$C$9)&amp;"",""))</f>
        <v/>
      </c>
      <c r="K1729" t="inlineStr">
        <is>
          <t>office outreach touch 1</t>
        </is>
      </c>
    </row>
    <row r="1730">
      <c r="A1730" s="17">
        <f>IF(B1730="","",B1730+(12*1000+79)/10000000)</f>
        <v/>
      </c>
      <c r="B1730" s="23">
        <f>IF(AND(IFERROR(N(INDEX(Clay_Offices!$A$2:$FZ$601,79,Sync!$C$11)),0)&gt;0,IFERROR(INDEX(Clay_Offices!$A$2:$FZ$601,79,Sync!$C$5)&amp;"","")&lt;&gt;"",OR(LEFT(IFERROR(INDEX(Clay_Offices!$A$2:$FZ$601,79,Sync!$C$5)&amp;"",""),6)&lt;&gt;"SAMPLE",Config!$B$19="Y")),IFERROR(N(INDEX(Clay_Offices!$A$2:$FZ$601,79,Sync!$C$11)),0),"")</f>
        <v/>
      </c>
      <c r="C1730" s="17">
        <f>IF(B1730="","","office")</f>
        <v/>
      </c>
      <c r="D1730" s="17">
        <f>IF(B1730="","",IFERROR(INDEX(Clay_Offices!$A$2:$FZ$601,79,Sync!$C$5)&amp;"",""))</f>
        <v/>
      </c>
      <c r="E1730" s="17">
        <f>IF(B1730="","",IFERROR(INDEX(Clay_Offices!$A$2:$FZ$601,79,Sync!$C$6)&amp;"",""))</f>
        <v/>
      </c>
      <c r="F1730" s="17">
        <f>IF(B1730="","","outreach_sent")</f>
        <v/>
      </c>
      <c r="G1730" s="17">
        <f>IF(B1730="","","")</f>
        <v/>
      </c>
      <c r="H1730" s="17">
        <f>IF(B1730="","","")</f>
        <v/>
      </c>
      <c r="I1730" s="17">
        <f>IF(B1730="","","")</f>
        <v/>
      </c>
      <c r="J1730" s="17">
        <f>IF(B1730="","","touch_1; "&amp;IFERROR(INDEX(Clay_Offices!$A$2:$FZ$601,79,Sync!$C$10)&amp;"","")&amp;"; "&amp;IFERROR(INDEX(Clay_Offices!$A$2:$FZ$601,79,Sync!$C$9)&amp;"",""))</f>
        <v/>
      </c>
      <c r="K1730" t="inlineStr">
        <is>
          <t>office outreach touch 1</t>
        </is>
      </c>
    </row>
    <row r="1731">
      <c r="A1731" s="17">
        <f>IF(B1731="","",B1731+(12*1000+80)/10000000)</f>
        <v/>
      </c>
      <c r="B1731" s="23">
        <f>IF(AND(IFERROR(N(INDEX(Clay_Offices!$A$2:$FZ$601,80,Sync!$C$11)),0)&gt;0,IFERROR(INDEX(Clay_Offices!$A$2:$FZ$601,80,Sync!$C$5)&amp;"","")&lt;&gt;"",OR(LEFT(IFERROR(INDEX(Clay_Offices!$A$2:$FZ$601,80,Sync!$C$5)&amp;"",""),6)&lt;&gt;"SAMPLE",Config!$B$19="Y")),IFERROR(N(INDEX(Clay_Offices!$A$2:$FZ$601,80,Sync!$C$11)),0),"")</f>
        <v/>
      </c>
      <c r="C1731" s="17">
        <f>IF(B1731="","","office")</f>
        <v/>
      </c>
      <c r="D1731" s="17">
        <f>IF(B1731="","",IFERROR(INDEX(Clay_Offices!$A$2:$FZ$601,80,Sync!$C$5)&amp;"",""))</f>
        <v/>
      </c>
      <c r="E1731" s="17">
        <f>IF(B1731="","",IFERROR(INDEX(Clay_Offices!$A$2:$FZ$601,80,Sync!$C$6)&amp;"",""))</f>
        <v/>
      </c>
      <c r="F1731" s="17">
        <f>IF(B1731="","","outreach_sent")</f>
        <v/>
      </c>
      <c r="G1731" s="17">
        <f>IF(B1731="","","")</f>
        <v/>
      </c>
      <c r="H1731" s="17">
        <f>IF(B1731="","","")</f>
        <v/>
      </c>
      <c r="I1731" s="17">
        <f>IF(B1731="","","")</f>
        <v/>
      </c>
      <c r="J1731" s="17">
        <f>IF(B1731="","","touch_1; "&amp;IFERROR(INDEX(Clay_Offices!$A$2:$FZ$601,80,Sync!$C$10)&amp;"","")&amp;"; "&amp;IFERROR(INDEX(Clay_Offices!$A$2:$FZ$601,80,Sync!$C$9)&amp;"",""))</f>
        <v/>
      </c>
      <c r="K1731" t="inlineStr">
        <is>
          <t>office outreach touch 1</t>
        </is>
      </c>
    </row>
    <row r="1732">
      <c r="A1732" s="17">
        <f>IF(B1732="","",B1732+(12*1000+81)/10000000)</f>
        <v/>
      </c>
      <c r="B1732" s="23">
        <f>IF(AND(IFERROR(N(INDEX(Clay_Offices!$A$2:$FZ$601,81,Sync!$C$11)),0)&gt;0,IFERROR(INDEX(Clay_Offices!$A$2:$FZ$601,81,Sync!$C$5)&amp;"","")&lt;&gt;"",OR(LEFT(IFERROR(INDEX(Clay_Offices!$A$2:$FZ$601,81,Sync!$C$5)&amp;"",""),6)&lt;&gt;"SAMPLE",Config!$B$19="Y")),IFERROR(N(INDEX(Clay_Offices!$A$2:$FZ$601,81,Sync!$C$11)),0),"")</f>
        <v/>
      </c>
      <c r="C1732" s="17">
        <f>IF(B1732="","","office")</f>
        <v/>
      </c>
      <c r="D1732" s="17">
        <f>IF(B1732="","",IFERROR(INDEX(Clay_Offices!$A$2:$FZ$601,81,Sync!$C$5)&amp;"",""))</f>
        <v/>
      </c>
      <c r="E1732" s="17">
        <f>IF(B1732="","",IFERROR(INDEX(Clay_Offices!$A$2:$FZ$601,81,Sync!$C$6)&amp;"",""))</f>
        <v/>
      </c>
      <c r="F1732" s="17">
        <f>IF(B1732="","","outreach_sent")</f>
        <v/>
      </c>
      <c r="G1732" s="17">
        <f>IF(B1732="","","")</f>
        <v/>
      </c>
      <c r="H1732" s="17">
        <f>IF(B1732="","","")</f>
        <v/>
      </c>
      <c r="I1732" s="17">
        <f>IF(B1732="","","")</f>
        <v/>
      </c>
      <c r="J1732" s="17">
        <f>IF(B1732="","","touch_1; "&amp;IFERROR(INDEX(Clay_Offices!$A$2:$FZ$601,81,Sync!$C$10)&amp;"","")&amp;"; "&amp;IFERROR(INDEX(Clay_Offices!$A$2:$FZ$601,81,Sync!$C$9)&amp;"",""))</f>
        <v/>
      </c>
      <c r="K1732" t="inlineStr">
        <is>
          <t>office outreach touch 1</t>
        </is>
      </c>
    </row>
    <row r="1733">
      <c r="A1733" s="17">
        <f>IF(B1733="","",B1733+(12*1000+82)/10000000)</f>
        <v/>
      </c>
      <c r="B1733" s="23">
        <f>IF(AND(IFERROR(N(INDEX(Clay_Offices!$A$2:$FZ$601,82,Sync!$C$11)),0)&gt;0,IFERROR(INDEX(Clay_Offices!$A$2:$FZ$601,82,Sync!$C$5)&amp;"","")&lt;&gt;"",OR(LEFT(IFERROR(INDEX(Clay_Offices!$A$2:$FZ$601,82,Sync!$C$5)&amp;"",""),6)&lt;&gt;"SAMPLE",Config!$B$19="Y")),IFERROR(N(INDEX(Clay_Offices!$A$2:$FZ$601,82,Sync!$C$11)),0),"")</f>
        <v/>
      </c>
      <c r="C1733" s="17">
        <f>IF(B1733="","","office")</f>
        <v/>
      </c>
      <c r="D1733" s="17">
        <f>IF(B1733="","",IFERROR(INDEX(Clay_Offices!$A$2:$FZ$601,82,Sync!$C$5)&amp;"",""))</f>
        <v/>
      </c>
      <c r="E1733" s="17">
        <f>IF(B1733="","",IFERROR(INDEX(Clay_Offices!$A$2:$FZ$601,82,Sync!$C$6)&amp;"",""))</f>
        <v/>
      </c>
      <c r="F1733" s="17">
        <f>IF(B1733="","","outreach_sent")</f>
        <v/>
      </c>
      <c r="G1733" s="17">
        <f>IF(B1733="","","")</f>
        <v/>
      </c>
      <c r="H1733" s="17">
        <f>IF(B1733="","","")</f>
        <v/>
      </c>
      <c r="I1733" s="17">
        <f>IF(B1733="","","")</f>
        <v/>
      </c>
      <c r="J1733" s="17">
        <f>IF(B1733="","","touch_1; "&amp;IFERROR(INDEX(Clay_Offices!$A$2:$FZ$601,82,Sync!$C$10)&amp;"","")&amp;"; "&amp;IFERROR(INDEX(Clay_Offices!$A$2:$FZ$601,82,Sync!$C$9)&amp;"",""))</f>
        <v/>
      </c>
      <c r="K1733" t="inlineStr">
        <is>
          <t>office outreach touch 1</t>
        </is>
      </c>
    </row>
    <row r="1734">
      <c r="A1734" s="17">
        <f>IF(B1734="","",B1734+(12*1000+83)/10000000)</f>
        <v/>
      </c>
      <c r="B1734" s="23">
        <f>IF(AND(IFERROR(N(INDEX(Clay_Offices!$A$2:$FZ$601,83,Sync!$C$11)),0)&gt;0,IFERROR(INDEX(Clay_Offices!$A$2:$FZ$601,83,Sync!$C$5)&amp;"","")&lt;&gt;"",OR(LEFT(IFERROR(INDEX(Clay_Offices!$A$2:$FZ$601,83,Sync!$C$5)&amp;"",""),6)&lt;&gt;"SAMPLE",Config!$B$19="Y")),IFERROR(N(INDEX(Clay_Offices!$A$2:$FZ$601,83,Sync!$C$11)),0),"")</f>
        <v/>
      </c>
      <c r="C1734" s="17">
        <f>IF(B1734="","","office")</f>
        <v/>
      </c>
      <c r="D1734" s="17">
        <f>IF(B1734="","",IFERROR(INDEX(Clay_Offices!$A$2:$FZ$601,83,Sync!$C$5)&amp;"",""))</f>
        <v/>
      </c>
      <c r="E1734" s="17">
        <f>IF(B1734="","",IFERROR(INDEX(Clay_Offices!$A$2:$FZ$601,83,Sync!$C$6)&amp;"",""))</f>
        <v/>
      </c>
      <c r="F1734" s="17">
        <f>IF(B1734="","","outreach_sent")</f>
        <v/>
      </c>
      <c r="G1734" s="17">
        <f>IF(B1734="","","")</f>
        <v/>
      </c>
      <c r="H1734" s="17">
        <f>IF(B1734="","","")</f>
        <v/>
      </c>
      <c r="I1734" s="17">
        <f>IF(B1734="","","")</f>
        <v/>
      </c>
      <c r="J1734" s="17">
        <f>IF(B1734="","","touch_1; "&amp;IFERROR(INDEX(Clay_Offices!$A$2:$FZ$601,83,Sync!$C$10)&amp;"","")&amp;"; "&amp;IFERROR(INDEX(Clay_Offices!$A$2:$FZ$601,83,Sync!$C$9)&amp;"",""))</f>
        <v/>
      </c>
      <c r="K1734" t="inlineStr">
        <is>
          <t>office outreach touch 1</t>
        </is>
      </c>
    </row>
    <row r="1735">
      <c r="A1735" s="17">
        <f>IF(B1735="","",B1735+(12*1000+84)/10000000)</f>
        <v/>
      </c>
      <c r="B1735" s="23">
        <f>IF(AND(IFERROR(N(INDEX(Clay_Offices!$A$2:$FZ$601,84,Sync!$C$11)),0)&gt;0,IFERROR(INDEX(Clay_Offices!$A$2:$FZ$601,84,Sync!$C$5)&amp;"","")&lt;&gt;"",OR(LEFT(IFERROR(INDEX(Clay_Offices!$A$2:$FZ$601,84,Sync!$C$5)&amp;"",""),6)&lt;&gt;"SAMPLE",Config!$B$19="Y")),IFERROR(N(INDEX(Clay_Offices!$A$2:$FZ$601,84,Sync!$C$11)),0),"")</f>
        <v/>
      </c>
      <c r="C1735" s="17">
        <f>IF(B1735="","","office")</f>
        <v/>
      </c>
      <c r="D1735" s="17">
        <f>IF(B1735="","",IFERROR(INDEX(Clay_Offices!$A$2:$FZ$601,84,Sync!$C$5)&amp;"",""))</f>
        <v/>
      </c>
      <c r="E1735" s="17">
        <f>IF(B1735="","",IFERROR(INDEX(Clay_Offices!$A$2:$FZ$601,84,Sync!$C$6)&amp;"",""))</f>
        <v/>
      </c>
      <c r="F1735" s="17">
        <f>IF(B1735="","","outreach_sent")</f>
        <v/>
      </c>
      <c r="G1735" s="17">
        <f>IF(B1735="","","")</f>
        <v/>
      </c>
      <c r="H1735" s="17">
        <f>IF(B1735="","","")</f>
        <v/>
      </c>
      <c r="I1735" s="17">
        <f>IF(B1735="","","")</f>
        <v/>
      </c>
      <c r="J1735" s="17">
        <f>IF(B1735="","","touch_1; "&amp;IFERROR(INDEX(Clay_Offices!$A$2:$FZ$601,84,Sync!$C$10)&amp;"","")&amp;"; "&amp;IFERROR(INDEX(Clay_Offices!$A$2:$FZ$601,84,Sync!$C$9)&amp;"",""))</f>
        <v/>
      </c>
      <c r="K1735" t="inlineStr">
        <is>
          <t>office outreach touch 1</t>
        </is>
      </c>
    </row>
    <row r="1736">
      <c r="A1736" s="17">
        <f>IF(B1736="","",B1736+(12*1000+85)/10000000)</f>
        <v/>
      </c>
      <c r="B1736" s="23">
        <f>IF(AND(IFERROR(N(INDEX(Clay_Offices!$A$2:$FZ$601,85,Sync!$C$11)),0)&gt;0,IFERROR(INDEX(Clay_Offices!$A$2:$FZ$601,85,Sync!$C$5)&amp;"","")&lt;&gt;"",OR(LEFT(IFERROR(INDEX(Clay_Offices!$A$2:$FZ$601,85,Sync!$C$5)&amp;"",""),6)&lt;&gt;"SAMPLE",Config!$B$19="Y")),IFERROR(N(INDEX(Clay_Offices!$A$2:$FZ$601,85,Sync!$C$11)),0),"")</f>
        <v/>
      </c>
      <c r="C1736" s="17">
        <f>IF(B1736="","","office")</f>
        <v/>
      </c>
      <c r="D1736" s="17">
        <f>IF(B1736="","",IFERROR(INDEX(Clay_Offices!$A$2:$FZ$601,85,Sync!$C$5)&amp;"",""))</f>
        <v/>
      </c>
      <c r="E1736" s="17">
        <f>IF(B1736="","",IFERROR(INDEX(Clay_Offices!$A$2:$FZ$601,85,Sync!$C$6)&amp;"",""))</f>
        <v/>
      </c>
      <c r="F1736" s="17">
        <f>IF(B1736="","","outreach_sent")</f>
        <v/>
      </c>
      <c r="G1736" s="17">
        <f>IF(B1736="","","")</f>
        <v/>
      </c>
      <c r="H1736" s="17">
        <f>IF(B1736="","","")</f>
        <v/>
      </c>
      <c r="I1736" s="17">
        <f>IF(B1736="","","")</f>
        <v/>
      </c>
      <c r="J1736" s="17">
        <f>IF(B1736="","","touch_1; "&amp;IFERROR(INDEX(Clay_Offices!$A$2:$FZ$601,85,Sync!$C$10)&amp;"","")&amp;"; "&amp;IFERROR(INDEX(Clay_Offices!$A$2:$FZ$601,85,Sync!$C$9)&amp;"",""))</f>
        <v/>
      </c>
      <c r="K1736" t="inlineStr">
        <is>
          <t>office outreach touch 1</t>
        </is>
      </c>
    </row>
    <row r="1737">
      <c r="A1737" s="17">
        <f>IF(B1737="","",B1737+(12*1000+86)/10000000)</f>
        <v/>
      </c>
      <c r="B1737" s="23">
        <f>IF(AND(IFERROR(N(INDEX(Clay_Offices!$A$2:$FZ$601,86,Sync!$C$11)),0)&gt;0,IFERROR(INDEX(Clay_Offices!$A$2:$FZ$601,86,Sync!$C$5)&amp;"","")&lt;&gt;"",OR(LEFT(IFERROR(INDEX(Clay_Offices!$A$2:$FZ$601,86,Sync!$C$5)&amp;"",""),6)&lt;&gt;"SAMPLE",Config!$B$19="Y")),IFERROR(N(INDEX(Clay_Offices!$A$2:$FZ$601,86,Sync!$C$11)),0),"")</f>
        <v/>
      </c>
      <c r="C1737" s="17">
        <f>IF(B1737="","","office")</f>
        <v/>
      </c>
      <c r="D1737" s="17">
        <f>IF(B1737="","",IFERROR(INDEX(Clay_Offices!$A$2:$FZ$601,86,Sync!$C$5)&amp;"",""))</f>
        <v/>
      </c>
      <c r="E1737" s="17">
        <f>IF(B1737="","",IFERROR(INDEX(Clay_Offices!$A$2:$FZ$601,86,Sync!$C$6)&amp;"",""))</f>
        <v/>
      </c>
      <c r="F1737" s="17">
        <f>IF(B1737="","","outreach_sent")</f>
        <v/>
      </c>
      <c r="G1737" s="17">
        <f>IF(B1737="","","")</f>
        <v/>
      </c>
      <c r="H1737" s="17">
        <f>IF(B1737="","","")</f>
        <v/>
      </c>
      <c r="I1737" s="17">
        <f>IF(B1737="","","")</f>
        <v/>
      </c>
      <c r="J1737" s="17">
        <f>IF(B1737="","","touch_1; "&amp;IFERROR(INDEX(Clay_Offices!$A$2:$FZ$601,86,Sync!$C$10)&amp;"","")&amp;"; "&amp;IFERROR(INDEX(Clay_Offices!$A$2:$FZ$601,86,Sync!$C$9)&amp;"",""))</f>
        <v/>
      </c>
      <c r="K1737" t="inlineStr">
        <is>
          <t>office outreach touch 1</t>
        </is>
      </c>
    </row>
    <row r="1738">
      <c r="A1738" s="17">
        <f>IF(B1738="","",B1738+(12*1000+87)/10000000)</f>
        <v/>
      </c>
      <c r="B1738" s="23">
        <f>IF(AND(IFERROR(N(INDEX(Clay_Offices!$A$2:$FZ$601,87,Sync!$C$11)),0)&gt;0,IFERROR(INDEX(Clay_Offices!$A$2:$FZ$601,87,Sync!$C$5)&amp;"","")&lt;&gt;"",OR(LEFT(IFERROR(INDEX(Clay_Offices!$A$2:$FZ$601,87,Sync!$C$5)&amp;"",""),6)&lt;&gt;"SAMPLE",Config!$B$19="Y")),IFERROR(N(INDEX(Clay_Offices!$A$2:$FZ$601,87,Sync!$C$11)),0),"")</f>
        <v/>
      </c>
      <c r="C1738" s="17">
        <f>IF(B1738="","","office")</f>
        <v/>
      </c>
      <c r="D1738" s="17">
        <f>IF(B1738="","",IFERROR(INDEX(Clay_Offices!$A$2:$FZ$601,87,Sync!$C$5)&amp;"",""))</f>
        <v/>
      </c>
      <c r="E1738" s="17">
        <f>IF(B1738="","",IFERROR(INDEX(Clay_Offices!$A$2:$FZ$601,87,Sync!$C$6)&amp;"",""))</f>
        <v/>
      </c>
      <c r="F1738" s="17">
        <f>IF(B1738="","","outreach_sent")</f>
        <v/>
      </c>
      <c r="G1738" s="17">
        <f>IF(B1738="","","")</f>
        <v/>
      </c>
      <c r="H1738" s="17">
        <f>IF(B1738="","","")</f>
        <v/>
      </c>
      <c r="I1738" s="17">
        <f>IF(B1738="","","")</f>
        <v/>
      </c>
      <c r="J1738" s="17">
        <f>IF(B1738="","","touch_1; "&amp;IFERROR(INDEX(Clay_Offices!$A$2:$FZ$601,87,Sync!$C$10)&amp;"","")&amp;"; "&amp;IFERROR(INDEX(Clay_Offices!$A$2:$FZ$601,87,Sync!$C$9)&amp;"",""))</f>
        <v/>
      </c>
      <c r="K1738" t="inlineStr">
        <is>
          <t>office outreach touch 1</t>
        </is>
      </c>
    </row>
    <row r="1739">
      <c r="A1739" s="17">
        <f>IF(B1739="","",B1739+(12*1000+88)/10000000)</f>
        <v/>
      </c>
      <c r="B1739" s="23">
        <f>IF(AND(IFERROR(N(INDEX(Clay_Offices!$A$2:$FZ$601,88,Sync!$C$11)),0)&gt;0,IFERROR(INDEX(Clay_Offices!$A$2:$FZ$601,88,Sync!$C$5)&amp;"","")&lt;&gt;"",OR(LEFT(IFERROR(INDEX(Clay_Offices!$A$2:$FZ$601,88,Sync!$C$5)&amp;"",""),6)&lt;&gt;"SAMPLE",Config!$B$19="Y")),IFERROR(N(INDEX(Clay_Offices!$A$2:$FZ$601,88,Sync!$C$11)),0),"")</f>
        <v/>
      </c>
      <c r="C1739" s="17">
        <f>IF(B1739="","","office")</f>
        <v/>
      </c>
      <c r="D1739" s="17">
        <f>IF(B1739="","",IFERROR(INDEX(Clay_Offices!$A$2:$FZ$601,88,Sync!$C$5)&amp;"",""))</f>
        <v/>
      </c>
      <c r="E1739" s="17">
        <f>IF(B1739="","",IFERROR(INDEX(Clay_Offices!$A$2:$FZ$601,88,Sync!$C$6)&amp;"",""))</f>
        <v/>
      </c>
      <c r="F1739" s="17">
        <f>IF(B1739="","","outreach_sent")</f>
        <v/>
      </c>
      <c r="G1739" s="17">
        <f>IF(B1739="","","")</f>
        <v/>
      </c>
      <c r="H1739" s="17">
        <f>IF(B1739="","","")</f>
        <v/>
      </c>
      <c r="I1739" s="17">
        <f>IF(B1739="","","")</f>
        <v/>
      </c>
      <c r="J1739" s="17">
        <f>IF(B1739="","","touch_1; "&amp;IFERROR(INDEX(Clay_Offices!$A$2:$FZ$601,88,Sync!$C$10)&amp;"","")&amp;"; "&amp;IFERROR(INDEX(Clay_Offices!$A$2:$FZ$601,88,Sync!$C$9)&amp;"",""))</f>
        <v/>
      </c>
      <c r="K1739" t="inlineStr">
        <is>
          <t>office outreach touch 1</t>
        </is>
      </c>
    </row>
    <row r="1740">
      <c r="A1740" s="17">
        <f>IF(B1740="","",B1740+(12*1000+89)/10000000)</f>
        <v/>
      </c>
      <c r="B1740" s="23">
        <f>IF(AND(IFERROR(N(INDEX(Clay_Offices!$A$2:$FZ$601,89,Sync!$C$11)),0)&gt;0,IFERROR(INDEX(Clay_Offices!$A$2:$FZ$601,89,Sync!$C$5)&amp;"","")&lt;&gt;"",OR(LEFT(IFERROR(INDEX(Clay_Offices!$A$2:$FZ$601,89,Sync!$C$5)&amp;"",""),6)&lt;&gt;"SAMPLE",Config!$B$19="Y")),IFERROR(N(INDEX(Clay_Offices!$A$2:$FZ$601,89,Sync!$C$11)),0),"")</f>
        <v/>
      </c>
      <c r="C1740" s="17">
        <f>IF(B1740="","","office")</f>
        <v/>
      </c>
      <c r="D1740" s="17">
        <f>IF(B1740="","",IFERROR(INDEX(Clay_Offices!$A$2:$FZ$601,89,Sync!$C$5)&amp;"",""))</f>
        <v/>
      </c>
      <c r="E1740" s="17">
        <f>IF(B1740="","",IFERROR(INDEX(Clay_Offices!$A$2:$FZ$601,89,Sync!$C$6)&amp;"",""))</f>
        <v/>
      </c>
      <c r="F1740" s="17">
        <f>IF(B1740="","","outreach_sent")</f>
        <v/>
      </c>
      <c r="G1740" s="17">
        <f>IF(B1740="","","")</f>
        <v/>
      </c>
      <c r="H1740" s="17">
        <f>IF(B1740="","","")</f>
        <v/>
      </c>
      <c r="I1740" s="17">
        <f>IF(B1740="","","")</f>
        <v/>
      </c>
      <c r="J1740" s="17">
        <f>IF(B1740="","","touch_1; "&amp;IFERROR(INDEX(Clay_Offices!$A$2:$FZ$601,89,Sync!$C$10)&amp;"","")&amp;"; "&amp;IFERROR(INDEX(Clay_Offices!$A$2:$FZ$601,89,Sync!$C$9)&amp;"",""))</f>
        <v/>
      </c>
      <c r="K1740" t="inlineStr">
        <is>
          <t>office outreach touch 1</t>
        </is>
      </c>
    </row>
    <row r="1741">
      <c r="A1741" s="17">
        <f>IF(B1741="","",B1741+(12*1000+90)/10000000)</f>
        <v/>
      </c>
      <c r="B1741" s="23">
        <f>IF(AND(IFERROR(N(INDEX(Clay_Offices!$A$2:$FZ$601,90,Sync!$C$11)),0)&gt;0,IFERROR(INDEX(Clay_Offices!$A$2:$FZ$601,90,Sync!$C$5)&amp;"","")&lt;&gt;"",OR(LEFT(IFERROR(INDEX(Clay_Offices!$A$2:$FZ$601,90,Sync!$C$5)&amp;"",""),6)&lt;&gt;"SAMPLE",Config!$B$19="Y")),IFERROR(N(INDEX(Clay_Offices!$A$2:$FZ$601,90,Sync!$C$11)),0),"")</f>
        <v/>
      </c>
      <c r="C1741" s="17">
        <f>IF(B1741="","","office")</f>
        <v/>
      </c>
      <c r="D1741" s="17">
        <f>IF(B1741="","",IFERROR(INDEX(Clay_Offices!$A$2:$FZ$601,90,Sync!$C$5)&amp;"",""))</f>
        <v/>
      </c>
      <c r="E1741" s="17">
        <f>IF(B1741="","",IFERROR(INDEX(Clay_Offices!$A$2:$FZ$601,90,Sync!$C$6)&amp;"",""))</f>
        <v/>
      </c>
      <c r="F1741" s="17">
        <f>IF(B1741="","","outreach_sent")</f>
        <v/>
      </c>
      <c r="G1741" s="17">
        <f>IF(B1741="","","")</f>
        <v/>
      </c>
      <c r="H1741" s="17">
        <f>IF(B1741="","","")</f>
        <v/>
      </c>
      <c r="I1741" s="17">
        <f>IF(B1741="","","")</f>
        <v/>
      </c>
      <c r="J1741" s="17">
        <f>IF(B1741="","","touch_1; "&amp;IFERROR(INDEX(Clay_Offices!$A$2:$FZ$601,90,Sync!$C$10)&amp;"","")&amp;"; "&amp;IFERROR(INDEX(Clay_Offices!$A$2:$FZ$601,90,Sync!$C$9)&amp;"",""))</f>
        <v/>
      </c>
      <c r="K1741" t="inlineStr">
        <is>
          <t>office outreach touch 1</t>
        </is>
      </c>
    </row>
    <row r="1742">
      <c r="A1742" s="17">
        <f>IF(B1742="","",B1742+(12*1000+91)/10000000)</f>
        <v/>
      </c>
      <c r="B1742" s="23">
        <f>IF(AND(IFERROR(N(INDEX(Clay_Offices!$A$2:$FZ$601,91,Sync!$C$11)),0)&gt;0,IFERROR(INDEX(Clay_Offices!$A$2:$FZ$601,91,Sync!$C$5)&amp;"","")&lt;&gt;"",OR(LEFT(IFERROR(INDEX(Clay_Offices!$A$2:$FZ$601,91,Sync!$C$5)&amp;"",""),6)&lt;&gt;"SAMPLE",Config!$B$19="Y")),IFERROR(N(INDEX(Clay_Offices!$A$2:$FZ$601,91,Sync!$C$11)),0),"")</f>
        <v/>
      </c>
      <c r="C1742" s="17">
        <f>IF(B1742="","","office")</f>
        <v/>
      </c>
      <c r="D1742" s="17">
        <f>IF(B1742="","",IFERROR(INDEX(Clay_Offices!$A$2:$FZ$601,91,Sync!$C$5)&amp;"",""))</f>
        <v/>
      </c>
      <c r="E1742" s="17">
        <f>IF(B1742="","",IFERROR(INDEX(Clay_Offices!$A$2:$FZ$601,91,Sync!$C$6)&amp;"",""))</f>
        <v/>
      </c>
      <c r="F1742" s="17">
        <f>IF(B1742="","","outreach_sent")</f>
        <v/>
      </c>
      <c r="G1742" s="17">
        <f>IF(B1742="","","")</f>
        <v/>
      </c>
      <c r="H1742" s="17">
        <f>IF(B1742="","","")</f>
        <v/>
      </c>
      <c r="I1742" s="17">
        <f>IF(B1742="","","")</f>
        <v/>
      </c>
      <c r="J1742" s="17">
        <f>IF(B1742="","","touch_1; "&amp;IFERROR(INDEX(Clay_Offices!$A$2:$FZ$601,91,Sync!$C$10)&amp;"","")&amp;"; "&amp;IFERROR(INDEX(Clay_Offices!$A$2:$FZ$601,91,Sync!$C$9)&amp;"",""))</f>
        <v/>
      </c>
      <c r="K1742" t="inlineStr">
        <is>
          <t>office outreach touch 1</t>
        </is>
      </c>
    </row>
    <row r="1743">
      <c r="A1743" s="17">
        <f>IF(B1743="","",B1743+(12*1000+92)/10000000)</f>
        <v/>
      </c>
      <c r="B1743" s="23">
        <f>IF(AND(IFERROR(N(INDEX(Clay_Offices!$A$2:$FZ$601,92,Sync!$C$11)),0)&gt;0,IFERROR(INDEX(Clay_Offices!$A$2:$FZ$601,92,Sync!$C$5)&amp;"","")&lt;&gt;"",OR(LEFT(IFERROR(INDEX(Clay_Offices!$A$2:$FZ$601,92,Sync!$C$5)&amp;"",""),6)&lt;&gt;"SAMPLE",Config!$B$19="Y")),IFERROR(N(INDEX(Clay_Offices!$A$2:$FZ$601,92,Sync!$C$11)),0),"")</f>
        <v/>
      </c>
      <c r="C1743" s="17">
        <f>IF(B1743="","","office")</f>
        <v/>
      </c>
      <c r="D1743" s="17">
        <f>IF(B1743="","",IFERROR(INDEX(Clay_Offices!$A$2:$FZ$601,92,Sync!$C$5)&amp;"",""))</f>
        <v/>
      </c>
      <c r="E1743" s="17">
        <f>IF(B1743="","",IFERROR(INDEX(Clay_Offices!$A$2:$FZ$601,92,Sync!$C$6)&amp;"",""))</f>
        <v/>
      </c>
      <c r="F1743" s="17">
        <f>IF(B1743="","","outreach_sent")</f>
        <v/>
      </c>
      <c r="G1743" s="17">
        <f>IF(B1743="","","")</f>
        <v/>
      </c>
      <c r="H1743" s="17">
        <f>IF(B1743="","","")</f>
        <v/>
      </c>
      <c r="I1743" s="17">
        <f>IF(B1743="","","")</f>
        <v/>
      </c>
      <c r="J1743" s="17">
        <f>IF(B1743="","","touch_1; "&amp;IFERROR(INDEX(Clay_Offices!$A$2:$FZ$601,92,Sync!$C$10)&amp;"","")&amp;"; "&amp;IFERROR(INDEX(Clay_Offices!$A$2:$FZ$601,92,Sync!$C$9)&amp;"",""))</f>
        <v/>
      </c>
      <c r="K1743" t="inlineStr">
        <is>
          <t>office outreach touch 1</t>
        </is>
      </c>
    </row>
    <row r="1744">
      <c r="A1744" s="17">
        <f>IF(B1744="","",B1744+(12*1000+93)/10000000)</f>
        <v/>
      </c>
      <c r="B1744" s="23">
        <f>IF(AND(IFERROR(N(INDEX(Clay_Offices!$A$2:$FZ$601,93,Sync!$C$11)),0)&gt;0,IFERROR(INDEX(Clay_Offices!$A$2:$FZ$601,93,Sync!$C$5)&amp;"","")&lt;&gt;"",OR(LEFT(IFERROR(INDEX(Clay_Offices!$A$2:$FZ$601,93,Sync!$C$5)&amp;"",""),6)&lt;&gt;"SAMPLE",Config!$B$19="Y")),IFERROR(N(INDEX(Clay_Offices!$A$2:$FZ$601,93,Sync!$C$11)),0),"")</f>
        <v/>
      </c>
      <c r="C1744" s="17">
        <f>IF(B1744="","","office")</f>
        <v/>
      </c>
      <c r="D1744" s="17">
        <f>IF(B1744="","",IFERROR(INDEX(Clay_Offices!$A$2:$FZ$601,93,Sync!$C$5)&amp;"",""))</f>
        <v/>
      </c>
      <c r="E1744" s="17">
        <f>IF(B1744="","",IFERROR(INDEX(Clay_Offices!$A$2:$FZ$601,93,Sync!$C$6)&amp;"",""))</f>
        <v/>
      </c>
      <c r="F1744" s="17">
        <f>IF(B1744="","","outreach_sent")</f>
        <v/>
      </c>
      <c r="G1744" s="17">
        <f>IF(B1744="","","")</f>
        <v/>
      </c>
      <c r="H1744" s="17">
        <f>IF(B1744="","","")</f>
        <v/>
      </c>
      <c r="I1744" s="17">
        <f>IF(B1744="","","")</f>
        <v/>
      </c>
      <c r="J1744" s="17">
        <f>IF(B1744="","","touch_1; "&amp;IFERROR(INDEX(Clay_Offices!$A$2:$FZ$601,93,Sync!$C$10)&amp;"","")&amp;"; "&amp;IFERROR(INDEX(Clay_Offices!$A$2:$FZ$601,93,Sync!$C$9)&amp;"",""))</f>
        <v/>
      </c>
      <c r="K1744" t="inlineStr">
        <is>
          <t>office outreach touch 1</t>
        </is>
      </c>
    </row>
    <row r="1745">
      <c r="A1745" s="17">
        <f>IF(B1745="","",B1745+(12*1000+94)/10000000)</f>
        <v/>
      </c>
      <c r="B1745" s="23">
        <f>IF(AND(IFERROR(N(INDEX(Clay_Offices!$A$2:$FZ$601,94,Sync!$C$11)),0)&gt;0,IFERROR(INDEX(Clay_Offices!$A$2:$FZ$601,94,Sync!$C$5)&amp;"","")&lt;&gt;"",OR(LEFT(IFERROR(INDEX(Clay_Offices!$A$2:$FZ$601,94,Sync!$C$5)&amp;"",""),6)&lt;&gt;"SAMPLE",Config!$B$19="Y")),IFERROR(N(INDEX(Clay_Offices!$A$2:$FZ$601,94,Sync!$C$11)),0),"")</f>
        <v/>
      </c>
      <c r="C1745" s="17">
        <f>IF(B1745="","","office")</f>
        <v/>
      </c>
      <c r="D1745" s="17">
        <f>IF(B1745="","",IFERROR(INDEX(Clay_Offices!$A$2:$FZ$601,94,Sync!$C$5)&amp;"",""))</f>
        <v/>
      </c>
      <c r="E1745" s="17">
        <f>IF(B1745="","",IFERROR(INDEX(Clay_Offices!$A$2:$FZ$601,94,Sync!$C$6)&amp;"",""))</f>
        <v/>
      </c>
      <c r="F1745" s="17">
        <f>IF(B1745="","","outreach_sent")</f>
        <v/>
      </c>
      <c r="G1745" s="17">
        <f>IF(B1745="","","")</f>
        <v/>
      </c>
      <c r="H1745" s="17">
        <f>IF(B1745="","","")</f>
        <v/>
      </c>
      <c r="I1745" s="17">
        <f>IF(B1745="","","")</f>
        <v/>
      </c>
      <c r="J1745" s="17">
        <f>IF(B1745="","","touch_1; "&amp;IFERROR(INDEX(Clay_Offices!$A$2:$FZ$601,94,Sync!$C$10)&amp;"","")&amp;"; "&amp;IFERROR(INDEX(Clay_Offices!$A$2:$FZ$601,94,Sync!$C$9)&amp;"",""))</f>
        <v/>
      </c>
      <c r="K1745" t="inlineStr">
        <is>
          <t>office outreach touch 1</t>
        </is>
      </c>
    </row>
    <row r="1746">
      <c r="A1746" s="17">
        <f>IF(B1746="","",B1746+(12*1000+95)/10000000)</f>
        <v/>
      </c>
      <c r="B1746" s="23">
        <f>IF(AND(IFERROR(N(INDEX(Clay_Offices!$A$2:$FZ$601,95,Sync!$C$11)),0)&gt;0,IFERROR(INDEX(Clay_Offices!$A$2:$FZ$601,95,Sync!$C$5)&amp;"","")&lt;&gt;"",OR(LEFT(IFERROR(INDEX(Clay_Offices!$A$2:$FZ$601,95,Sync!$C$5)&amp;"",""),6)&lt;&gt;"SAMPLE",Config!$B$19="Y")),IFERROR(N(INDEX(Clay_Offices!$A$2:$FZ$601,95,Sync!$C$11)),0),"")</f>
        <v/>
      </c>
      <c r="C1746" s="17">
        <f>IF(B1746="","","office")</f>
        <v/>
      </c>
      <c r="D1746" s="17">
        <f>IF(B1746="","",IFERROR(INDEX(Clay_Offices!$A$2:$FZ$601,95,Sync!$C$5)&amp;"",""))</f>
        <v/>
      </c>
      <c r="E1746" s="17">
        <f>IF(B1746="","",IFERROR(INDEX(Clay_Offices!$A$2:$FZ$601,95,Sync!$C$6)&amp;"",""))</f>
        <v/>
      </c>
      <c r="F1746" s="17">
        <f>IF(B1746="","","outreach_sent")</f>
        <v/>
      </c>
      <c r="G1746" s="17">
        <f>IF(B1746="","","")</f>
        <v/>
      </c>
      <c r="H1746" s="17">
        <f>IF(B1746="","","")</f>
        <v/>
      </c>
      <c r="I1746" s="17">
        <f>IF(B1746="","","")</f>
        <v/>
      </c>
      <c r="J1746" s="17">
        <f>IF(B1746="","","touch_1; "&amp;IFERROR(INDEX(Clay_Offices!$A$2:$FZ$601,95,Sync!$C$10)&amp;"","")&amp;"; "&amp;IFERROR(INDEX(Clay_Offices!$A$2:$FZ$601,95,Sync!$C$9)&amp;"",""))</f>
        <v/>
      </c>
      <c r="K1746" t="inlineStr">
        <is>
          <t>office outreach touch 1</t>
        </is>
      </c>
    </row>
    <row r="1747">
      <c r="A1747" s="17">
        <f>IF(B1747="","",B1747+(12*1000+96)/10000000)</f>
        <v/>
      </c>
      <c r="B1747" s="23">
        <f>IF(AND(IFERROR(N(INDEX(Clay_Offices!$A$2:$FZ$601,96,Sync!$C$11)),0)&gt;0,IFERROR(INDEX(Clay_Offices!$A$2:$FZ$601,96,Sync!$C$5)&amp;"","")&lt;&gt;"",OR(LEFT(IFERROR(INDEX(Clay_Offices!$A$2:$FZ$601,96,Sync!$C$5)&amp;"",""),6)&lt;&gt;"SAMPLE",Config!$B$19="Y")),IFERROR(N(INDEX(Clay_Offices!$A$2:$FZ$601,96,Sync!$C$11)),0),"")</f>
        <v/>
      </c>
      <c r="C1747" s="17">
        <f>IF(B1747="","","office")</f>
        <v/>
      </c>
      <c r="D1747" s="17">
        <f>IF(B1747="","",IFERROR(INDEX(Clay_Offices!$A$2:$FZ$601,96,Sync!$C$5)&amp;"",""))</f>
        <v/>
      </c>
      <c r="E1747" s="17">
        <f>IF(B1747="","",IFERROR(INDEX(Clay_Offices!$A$2:$FZ$601,96,Sync!$C$6)&amp;"",""))</f>
        <v/>
      </c>
      <c r="F1747" s="17">
        <f>IF(B1747="","","outreach_sent")</f>
        <v/>
      </c>
      <c r="G1747" s="17">
        <f>IF(B1747="","","")</f>
        <v/>
      </c>
      <c r="H1747" s="17">
        <f>IF(B1747="","","")</f>
        <v/>
      </c>
      <c r="I1747" s="17">
        <f>IF(B1747="","","")</f>
        <v/>
      </c>
      <c r="J1747" s="17">
        <f>IF(B1747="","","touch_1; "&amp;IFERROR(INDEX(Clay_Offices!$A$2:$FZ$601,96,Sync!$C$10)&amp;"","")&amp;"; "&amp;IFERROR(INDEX(Clay_Offices!$A$2:$FZ$601,96,Sync!$C$9)&amp;"",""))</f>
        <v/>
      </c>
      <c r="K1747" t="inlineStr">
        <is>
          <t>office outreach touch 1</t>
        </is>
      </c>
    </row>
    <row r="1748">
      <c r="A1748" s="17">
        <f>IF(B1748="","",B1748+(12*1000+97)/10000000)</f>
        <v/>
      </c>
      <c r="B1748" s="23">
        <f>IF(AND(IFERROR(N(INDEX(Clay_Offices!$A$2:$FZ$601,97,Sync!$C$11)),0)&gt;0,IFERROR(INDEX(Clay_Offices!$A$2:$FZ$601,97,Sync!$C$5)&amp;"","")&lt;&gt;"",OR(LEFT(IFERROR(INDEX(Clay_Offices!$A$2:$FZ$601,97,Sync!$C$5)&amp;"",""),6)&lt;&gt;"SAMPLE",Config!$B$19="Y")),IFERROR(N(INDEX(Clay_Offices!$A$2:$FZ$601,97,Sync!$C$11)),0),"")</f>
        <v/>
      </c>
      <c r="C1748" s="17">
        <f>IF(B1748="","","office")</f>
        <v/>
      </c>
      <c r="D1748" s="17">
        <f>IF(B1748="","",IFERROR(INDEX(Clay_Offices!$A$2:$FZ$601,97,Sync!$C$5)&amp;"",""))</f>
        <v/>
      </c>
      <c r="E1748" s="17">
        <f>IF(B1748="","",IFERROR(INDEX(Clay_Offices!$A$2:$FZ$601,97,Sync!$C$6)&amp;"",""))</f>
        <v/>
      </c>
      <c r="F1748" s="17">
        <f>IF(B1748="","","outreach_sent")</f>
        <v/>
      </c>
      <c r="G1748" s="17">
        <f>IF(B1748="","","")</f>
        <v/>
      </c>
      <c r="H1748" s="17">
        <f>IF(B1748="","","")</f>
        <v/>
      </c>
      <c r="I1748" s="17">
        <f>IF(B1748="","","")</f>
        <v/>
      </c>
      <c r="J1748" s="17">
        <f>IF(B1748="","","touch_1; "&amp;IFERROR(INDEX(Clay_Offices!$A$2:$FZ$601,97,Sync!$C$10)&amp;"","")&amp;"; "&amp;IFERROR(INDEX(Clay_Offices!$A$2:$FZ$601,97,Sync!$C$9)&amp;"",""))</f>
        <v/>
      </c>
      <c r="K1748" t="inlineStr">
        <is>
          <t>office outreach touch 1</t>
        </is>
      </c>
    </row>
    <row r="1749">
      <c r="A1749" s="17">
        <f>IF(B1749="","",B1749+(12*1000+98)/10000000)</f>
        <v/>
      </c>
      <c r="B1749" s="23">
        <f>IF(AND(IFERROR(N(INDEX(Clay_Offices!$A$2:$FZ$601,98,Sync!$C$11)),0)&gt;0,IFERROR(INDEX(Clay_Offices!$A$2:$FZ$601,98,Sync!$C$5)&amp;"","")&lt;&gt;"",OR(LEFT(IFERROR(INDEX(Clay_Offices!$A$2:$FZ$601,98,Sync!$C$5)&amp;"",""),6)&lt;&gt;"SAMPLE",Config!$B$19="Y")),IFERROR(N(INDEX(Clay_Offices!$A$2:$FZ$601,98,Sync!$C$11)),0),"")</f>
        <v/>
      </c>
      <c r="C1749" s="17">
        <f>IF(B1749="","","office")</f>
        <v/>
      </c>
      <c r="D1749" s="17">
        <f>IF(B1749="","",IFERROR(INDEX(Clay_Offices!$A$2:$FZ$601,98,Sync!$C$5)&amp;"",""))</f>
        <v/>
      </c>
      <c r="E1749" s="17">
        <f>IF(B1749="","",IFERROR(INDEX(Clay_Offices!$A$2:$FZ$601,98,Sync!$C$6)&amp;"",""))</f>
        <v/>
      </c>
      <c r="F1749" s="17">
        <f>IF(B1749="","","outreach_sent")</f>
        <v/>
      </c>
      <c r="G1749" s="17">
        <f>IF(B1749="","","")</f>
        <v/>
      </c>
      <c r="H1749" s="17">
        <f>IF(B1749="","","")</f>
        <v/>
      </c>
      <c r="I1749" s="17">
        <f>IF(B1749="","","")</f>
        <v/>
      </c>
      <c r="J1749" s="17">
        <f>IF(B1749="","","touch_1; "&amp;IFERROR(INDEX(Clay_Offices!$A$2:$FZ$601,98,Sync!$C$10)&amp;"","")&amp;"; "&amp;IFERROR(INDEX(Clay_Offices!$A$2:$FZ$601,98,Sync!$C$9)&amp;"",""))</f>
        <v/>
      </c>
      <c r="K1749" t="inlineStr">
        <is>
          <t>office outreach touch 1</t>
        </is>
      </c>
    </row>
    <row r="1750">
      <c r="A1750" s="17">
        <f>IF(B1750="","",B1750+(12*1000+99)/10000000)</f>
        <v/>
      </c>
      <c r="B1750" s="23">
        <f>IF(AND(IFERROR(N(INDEX(Clay_Offices!$A$2:$FZ$601,99,Sync!$C$11)),0)&gt;0,IFERROR(INDEX(Clay_Offices!$A$2:$FZ$601,99,Sync!$C$5)&amp;"","")&lt;&gt;"",OR(LEFT(IFERROR(INDEX(Clay_Offices!$A$2:$FZ$601,99,Sync!$C$5)&amp;"",""),6)&lt;&gt;"SAMPLE",Config!$B$19="Y")),IFERROR(N(INDEX(Clay_Offices!$A$2:$FZ$601,99,Sync!$C$11)),0),"")</f>
        <v/>
      </c>
      <c r="C1750" s="17">
        <f>IF(B1750="","","office")</f>
        <v/>
      </c>
      <c r="D1750" s="17">
        <f>IF(B1750="","",IFERROR(INDEX(Clay_Offices!$A$2:$FZ$601,99,Sync!$C$5)&amp;"",""))</f>
        <v/>
      </c>
      <c r="E1750" s="17">
        <f>IF(B1750="","",IFERROR(INDEX(Clay_Offices!$A$2:$FZ$601,99,Sync!$C$6)&amp;"",""))</f>
        <v/>
      </c>
      <c r="F1750" s="17">
        <f>IF(B1750="","","outreach_sent")</f>
        <v/>
      </c>
      <c r="G1750" s="17">
        <f>IF(B1750="","","")</f>
        <v/>
      </c>
      <c r="H1750" s="17">
        <f>IF(B1750="","","")</f>
        <v/>
      </c>
      <c r="I1750" s="17">
        <f>IF(B1750="","","")</f>
        <v/>
      </c>
      <c r="J1750" s="17">
        <f>IF(B1750="","","touch_1; "&amp;IFERROR(INDEX(Clay_Offices!$A$2:$FZ$601,99,Sync!$C$10)&amp;"","")&amp;"; "&amp;IFERROR(INDEX(Clay_Offices!$A$2:$FZ$601,99,Sync!$C$9)&amp;"",""))</f>
        <v/>
      </c>
      <c r="K1750" t="inlineStr">
        <is>
          <t>office outreach touch 1</t>
        </is>
      </c>
    </row>
    <row r="1751">
      <c r="A1751" s="17">
        <f>IF(B1751="","",B1751+(12*1000+100)/10000000)</f>
        <v/>
      </c>
      <c r="B1751" s="23">
        <f>IF(AND(IFERROR(N(INDEX(Clay_Offices!$A$2:$FZ$601,100,Sync!$C$11)),0)&gt;0,IFERROR(INDEX(Clay_Offices!$A$2:$FZ$601,100,Sync!$C$5)&amp;"","")&lt;&gt;"",OR(LEFT(IFERROR(INDEX(Clay_Offices!$A$2:$FZ$601,100,Sync!$C$5)&amp;"",""),6)&lt;&gt;"SAMPLE",Config!$B$19="Y")),IFERROR(N(INDEX(Clay_Offices!$A$2:$FZ$601,100,Sync!$C$11)),0),"")</f>
        <v/>
      </c>
      <c r="C1751" s="17">
        <f>IF(B1751="","","office")</f>
        <v/>
      </c>
      <c r="D1751" s="17">
        <f>IF(B1751="","",IFERROR(INDEX(Clay_Offices!$A$2:$FZ$601,100,Sync!$C$5)&amp;"",""))</f>
        <v/>
      </c>
      <c r="E1751" s="17">
        <f>IF(B1751="","",IFERROR(INDEX(Clay_Offices!$A$2:$FZ$601,100,Sync!$C$6)&amp;"",""))</f>
        <v/>
      </c>
      <c r="F1751" s="17">
        <f>IF(B1751="","","outreach_sent")</f>
        <v/>
      </c>
      <c r="G1751" s="17">
        <f>IF(B1751="","","")</f>
        <v/>
      </c>
      <c r="H1751" s="17">
        <f>IF(B1751="","","")</f>
        <v/>
      </c>
      <c r="I1751" s="17">
        <f>IF(B1751="","","")</f>
        <v/>
      </c>
      <c r="J1751" s="17">
        <f>IF(B1751="","","touch_1; "&amp;IFERROR(INDEX(Clay_Offices!$A$2:$FZ$601,100,Sync!$C$10)&amp;"","")&amp;"; "&amp;IFERROR(INDEX(Clay_Offices!$A$2:$FZ$601,100,Sync!$C$9)&amp;"",""))</f>
        <v/>
      </c>
      <c r="K1751" t="inlineStr">
        <is>
          <t>office outreach touch 1</t>
        </is>
      </c>
    </row>
    <row r="1752">
      <c r="A1752" s="17">
        <f>IF(B1752="","",B1752+(12*1000+101)/10000000)</f>
        <v/>
      </c>
      <c r="B1752" s="23">
        <f>IF(AND(IFERROR(N(INDEX(Clay_Offices!$A$2:$FZ$601,101,Sync!$C$11)),0)&gt;0,IFERROR(INDEX(Clay_Offices!$A$2:$FZ$601,101,Sync!$C$5)&amp;"","")&lt;&gt;"",OR(LEFT(IFERROR(INDEX(Clay_Offices!$A$2:$FZ$601,101,Sync!$C$5)&amp;"",""),6)&lt;&gt;"SAMPLE",Config!$B$19="Y")),IFERROR(N(INDEX(Clay_Offices!$A$2:$FZ$601,101,Sync!$C$11)),0),"")</f>
        <v/>
      </c>
      <c r="C1752" s="17">
        <f>IF(B1752="","","office")</f>
        <v/>
      </c>
      <c r="D1752" s="17">
        <f>IF(B1752="","",IFERROR(INDEX(Clay_Offices!$A$2:$FZ$601,101,Sync!$C$5)&amp;"",""))</f>
        <v/>
      </c>
      <c r="E1752" s="17">
        <f>IF(B1752="","",IFERROR(INDEX(Clay_Offices!$A$2:$FZ$601,101,Sync!$C$6)&amp;"",""))</f>
        <v/>
      </c>
      <c r="F1752" s="17">
        <f>IF(B1752="","","outreach_sent")</f>
        <v/>
      </c>
      <c r="G1752" s="17">
        <f>IF(B1752="","","")</f>
        <v/>
      </c>
      <c r="H1752" s="17">
        <f>IF(B1752="","","")</f>
        <v/>
      </c>
      <c r="I1752" s="17">
        <f>IF(B1752="","","")</f>
        <v/>
      </c>
      <c r="J1752" s="17">
        <f>IF(B1752="","","touch_1; "&amp;IFERROR(INDEX(Clay_Offices!$A$2:$FZ$601,101,Sync!$C$10)&amp;"","")&amp;"; "&amp;IFERROR(INDEX(Clay_Offices!$A$2:$FZ$601,101,Sync!$C$9)&amp;"",""))</f>
        <v/>
      </c>
      <c r="K1752" t="inlineStr">
        <is>
          <t>office outreach touch 1</t>
        </is>
      </c>
    </row>
    <row r="1753">
      <c r="A1753" s="17">
        <f>IF(B1753="","",B1753+(12*1000+102)/10000000)</f>
        <v/>
      </c>
      <c r="B1753" s="23">
        <f>IF(AND(IFERROR(N(INDEX(Clay_Offices!$A$2:$FZ$601,102,Sync!$C$11)),0)&gt;0,IFERROR(INDEX(Clay_Offices!$A$2:$FZ$601,102,Sync!$C$5)&amp;"","")&lt;&gt;"",OR(LEFT(IFERROR(INDEX(Clay_Offices!$A$2:$FZ$601,102,Sync!$C$5)&amp;"",""),6)&lt;&gt;"SAMPLE",Config!$B$19="Y")),IFERROR(N(INDEX(Clay_Offices!$A$2:$FZ$601,102,Sync!$C$11)),0),"")</f>
        <v/>
      </c>
      <c r="C1753" s="17">
        <f>IF(B1753="","","office")</f>
        <v/>
      </c>
      <c r="D1753" s="17">
        <f>IF(B1753="","",IFERROR(INDEX(Clay_Offices!$A$2:$FZ$601,102,Sync!$C$5)&amp;"",""))</f>
        <v/>
      </c>
      <c r="E1753" s="17">
        <f>IF(B1753="","",IFERROR(INDEX(Clay_Offices!$A$2:$FZ$601,102,Sync!$C$6)&amp;"",""))</f>
        <v/>
      </c>
      <c r="F1753" s="17">
        <f>IF(B1753="","","outreach_sent")</f>
        <v/>
      </c>
      <c r="G1753" s="17">
        <f>IF(B1753="","","")</f>
        <v/>
      </c>
      <c r="H1753" s="17">
        <f>IF(B1753="","","")</f>
        <v/>
      </c>
      <c r="I1753" s="17">
        <f>IF(B1753="","","")</f>
        <v/>
      </c>
      <c r="J1753" s="17">
        <f>IF(B1753="","","touch_1; "&amp;IFERROR(INDEX(Clay_Offices!$A$2:$FZ$601,102,Sync!$C$10)&amp;"","")&amp;"; "&amp;IFERROR(INDEX(Clay_Offices!$A$2:$FZ$601,102,Sync!$C$9)&amp;"",""))</f>
        <v/>
      </c>
      <c r="K1753" t="inlineStr">
        <is>
          <t>office outreach touch 1</t>
        </is>
      </c>
    </row>
    <row r="1754">
      <c r="A1754" s="17">
        <f>IF(B1754="","",B1754+(12*1000+103)/10000000)</f>
        <v/>
      </c>
      <c r="B1754" s="23">
        <f>IF(AND(IFERROR(N(INDEX(Clay_Offices!$A$2:$FZ$601,103,Sync!$C$11)),0)&gt;0,IFERROR(INDEX(Clay_Offices!$A$2:$FZ$601,103,Sync!$C$5)&amp;"","")&lt;&gt;"",OR(LEFT(IFERROR(INDEX(Clay_Offices!$A$2:$FZ$601,103,Sync!$C$5)&amp;"",""),6)&lt;&gt;"SAMPLE",Config!$B$19="Y")),IFERROR(N(INDEX(Clay_Offices!$A$2:$FZ$601,103,Sync!$C$11)),0),"")</f>
        <v/>
      </c>
      <c r="C1754" s="17">
        <f>IF(B1754="","","office")</f>
        <v/>
      </c>
      <c r="D1754" s="17">
        <f>IF(B1754="","",IFERROR(INDEX(Clay_Offices!$A$2:$FZ$601,103,Sync!$C$5)&amp;"",""))</f>
        <v/>
      </c>
      <c r="E1754" s="17">
        <f>IF(B1754="","",IFERROR(INDEX(Clay_Offices!$A$2:$FZ$601,103,Sync!$C$6)&amp;"",""))</f>
        <v/>
      </c>
      <c r="F1754" s="17">
        <f>IF(B1754="","","outreach_sent")</f>
        <v/>
      </c>
      <c r="G1754" s="17">
        <f>IF(B1754="","","")</f>
        <v/>
      </c>
      <c r="H1754" s="17">
        <f>IF(B1754="","","")</f>
        <v/>
      </c>
      <c r="I1754" s="17">
        <f>IF(B1754="","","")</f>
        <v/>
      </c>
      <c r="J1754" s="17">
        <f>IF(B1754="","","touch_1; "&amp;IFERROR(INDEX(Clay_Offices!$A$2:$FZ$601,103,Sync!$C$10)&amp;"","")&amp;"; "&amp;IFERROR(INDEX(Clay_Offices!$A$2:$FZ$601,103,Sync!$C$9)&amp;"",""))</f>
        <v/>
      </c>
      <c r="K1754" t="inlineStr">
        <is>
          <t>office outreach touch 1</t>
        </is>
      </c>
    </row>
    <row r="1755">
      <c r="A1755" s="17">
        <f>IF(B1755="","",B1755+(12*1000+104)/10000000)</f>
        <v/>
      </c>
      <c r="B1755" s="23">
        <f>IF(AND(IFERROR(N(INDEX(Clay_Offices!$A$2:$FZ$601,104,Sync!$C$11)),0)&gt;0,IFERROR(INDEX(Clay_Offices!$A$2:$FZ$601,104,Sync!$C$5)&amp;"","")&lt;&gt;"",OR(LEFT(IFERROR(INDEX(Clay_Offices!$A$2:$FZ$601,104,Sync!$C$5)&amp;"",""),6)&lt;&gt;"SAMPLE",Config!$B$19="Y")),IFERROR(N(INDEX(Clay_Offices!$A$2:$FZ$601,104,Sync!$C$11)),0),"")</f>
        <v/>
      </c>
      <c r="C1755" s="17">
        <f>IF(B1755="","","office")</f>
        <v/>
      </c>
      <c r="D1755" s="17">
        <f>IF(B1755="","",IFERROR(INDEX(Clay_Offices!$A$2:$FZ$601,104,Sync!$C$5)&amp;"",""))</f>
        <v/>
      </c>
      <c r="E1755" s="17">
        <f>IF(B1755="","",IFERROR(INDEX(Clay_Offices!$A$2:$FZ$601,104,Sync!$C$6)&amp;"",""))</f>
        <v/>
      </c>
      <c r="F1755" s="17">
        <f>IF(B1755="","","outreach_sent")</f>
        <v/>
      </c>
      <c r="G1755" s="17">
        <f>IF(B1755="","","")</f>
        <v/>
      </c>
      <c r="H1755" s="17">
        <f>IF(B1755="","","")</f>
        <v/>
      </c>
      <c r="I1755" s="17">
        <f>IF(B1755="","","")</f>
        <v/>
      </c>
      <c r="J1755" s="17">
        <f>IF(B1755="","","touch_1; "&amp;IFERROR(INDEX(Clay_Offices!$A$2:$FZ$601,104,Sync!$C$10)&amp;"","")&amp;"; "&amp;IFERROR(INDEX(Clay_Offices!$A$2:$FZ$601,104,Sync!$C$9)&amp;"",""))</f>
        <v/>
      </c>
      <c r="K1755" t="inlineStr">
        <is>
          <t>office outreach touch 1</t>
        </is>
      </c>
    </row>
    <row r="1756">
      <c r="A1756" s="17">
        <f>IF(B1756="","",B1756+(12*1000+105)/10000000)</f>
        <v/>
      </c>
      <c r="B1756" s="23">
        <f>IF(AND(IFERROR(N(INDEX(Clay_Offices!$A$2:$FZ$601,105,Sync!$C$11)),0)&gt;0,IFERROR(INDEX(Clay_Offices!$A$2:$FZ$601,105,Sync!$C$5)&amp;"","")&lt;&gt;"",OR(LEFT(IFERROR(INDEX(Clay_Offices!$A$2:$FZ$601,105,Sync!$C$5)&amp;"",""),6)&lt;&gt;"SAMPLE",Config!$B$19="Y")),IFERROR(N(INDEX(Clay_Offices!$A$2:$FZ$601,105,Sync!$C$11)),0),"")</f>
        <v/>
      </c>
      <c r="C1756" s="17">
        <f>IF(B1756="","","office")</f>
        <v/>
      </c>
      <c r="D1756" s="17">
        <f>IF(B1756="","",IFERROR(INDEX(Clay_Offices!$A$2:$FZ$601,105,Sync!$C$5)&amp;"",""))</f>
        <v/>
      </c>
      <c r="E1756" s="17">
        <f>IF(B1756="","",IFERROR(INDEX(Clay_Offices!$A$2:$FZ$601,105,Sync!$C$6)&amp;"",""))</f>
        <v/>
      </c>
      <c r="F1756" s="17">
        <f>IF(B1756="","","outreach_sent")</f>
        <v/>
      </c>
      <c r="G1756" s="17">
        <f>IF(B1756="","","")</f>
        <v/>
      </c>
      <c r="H1756" s="17">
        <f>IF(B1756="","","")</f>
        <v/>
      </c>
      <c r="I1756" s="17">
        <f>IF(B1756="","","")</f>
        <v/>
      </c>
      <c r="J1756" s="17">
        <f>IF(B1756="","","touch_1; "&amp;IFERROR(INDEX(Clay_Offices!$A$2:$FZ$601,105,Sync!$C$10)&amp;"","")&amp;"; "&amp;IFERROR(INDEX(Clay_Offices!$A$2:$FZ$601,105,Sync!$C$9)&amp;"",""))</f>
        <v/>
      </c>
      <c r="K1756" t="inlineStr">
        <is>
          <t>office outreach touch 1</t>
        </is>
      </c>
    </row>
    <row r="1757">
      <c r="A1757" s="17">
        <f>IF(B1757="","",B1757+(12*1000+106)/10000000)</f>
        <v/>
      </c>
      <c r="B1757" s="23">
        <f>IF(AND(IFERROR(N(INDEX(Clay_Offices!$A$2:$FZ$601,106,Sync!$C$11)),0)&gt;0,IFERROR(INDEX(Clay_Offices!$A$2:$FZ$601,106,Sync!$C$5)&amp;"","")&lt;&gt;"",OR(LEFT(IFERROR(INDEX(Clay_Offices!$A$2:$FZ$601,106,Sync!$C$5)&amp;"",""),6)&lt;&gt;"SAMPLE",Config!$B$19="Y")),IFERROR(N(INDEX(Clay_Offices!$A$2:$FZ$601,106,Sync!$C$11)),0),"")</f>
        <v/>
      </c>
      <c r="C1757" s="17">
        <f>IF(B1757="","","office")</f>
        <v/>
      </c>
      <c r="D1757" s="17">
        <f>IF(B1757="","",IFERROR(INDEX(Clay_Offices!$A$2:$FZ$601,106,Sync!$C$5)&amp;"",""))</f>
        <v/>
      </c>
      <c r="E1757" s="17">
        <f>IF(B1757="","",IFERROR(INDEX(Clay_Offices!$A$2:$FZ$601,106,Sync!$C$6)&amp;"",""))</f>
        <v/>
      </c>
      <c r="F1757" s="17">
        <f>IF(B1757="","","outreach_sent")</f>
        <v/>
      </c>
      <c r="G1757" s="17">
        <f>IF(B1757="","","")</f>
        <v/>
      </c>
      <c r="H1757" s="17">
        <f>IF(B1757="","","")</f>
        <v/>
      </c>
      <c r="I1757" s="17">
        <f>IF(B1757="","","")</f>
        <v/>
      </c>
      <c r="J1757" s="17">
        <f>IF(B1757="","","touch_1; "&amp;IFERROR(INDEX(Clay_Offices!$A$2:$FZ$601,106,Sync!$C$10)&amp;"","")&amp;"; "&amp;IFERROR(INDEX(Clay_Offices!$A$2:$FZ$601,106,Sync!$C$9)&amp;"",""))</f>
        <v/>
      </c>
      <c r="K1757" t="inlineStr">
        <is>
          <t>office outreach touch 1</t>
        </is>
      </c>
    </row>
    <row r="1758">
      <c r="A1758" s="17">
        <f>IF(B1758="","",B1758+(12*1000+107)/10000000)</f>
        <v/>
      </c>
      <c r="B1758" s="23">
        <f>IF(AND(IFERROR(N(INDEX(Clay_Offices!$A$2:$FZ$601,107,Sync!$C$11)),0)&gt;0,IFERROR(INDEX(Clay_Offices!$A$2:$FZ$601,107,Sync!$C$5)&amp;"","")&lt;&gt;"",OR(LEFT(IFERROR(INDEX(Clay_Offices!$A$2:$FZ$601,107,Sync!$C$5)&amp;"",""),6)&lt;&gt;"SAMPLE",Config!$B$19="Y")),IFERROR(N(INDEX(Clay_Offices!$A$2:$FZ$601,107,Sync!$C$11)),0),"")</f>
        <v/>
      </c>
      <c r="C1758" s="17">
        <f>IF(B1758="","","office")</f>
        <v/>
      </c>
      <c r="D1758" s="17">
        <f>IF(B1758="","",IFERROR(INDEX(Clay_Offices!$A$2:$FZ$601,107,Sync!$C$5)&amp;"",""))</f>
        <v/>
      </c>
      <c r="E1758" s="17">
        <f>IF(B1758="","",IFERROR(INDEX(Clay_Offices!$A$2:$FZ$601,107,Sync!$C$6)&amp;"",""))</f>
        <v/>
      </c>
      <c r="F1758" s="17">
        <f>IF(B1758="","","outreach_sent")</f>
        <v/>
      </c>
      <c r="G1758" s="17">
        <f>IF(B1758="","","")</f>
        <v/>
      </c>
      <c r="H1758" s="17">
        <f>IF(B1758="","","")</f>
        <v/>
      </c>
      <c r="I1758" s="17">
        <f>IF(B1758="","","")</f>
        <v/>
      </c>
      <c r="J1758" s="17">
        <f>IF(B1758="","","touch_1; "&amp;IFERROR(INDEX(Clay_Offices!$A$2:$FZ$601,107,Sync!$C$10)&amp;"","")&amp;"; "&amp;IFERROR(INDEX(Clay_Offices!$A$2:$FZ$601,107,Sync!$C$9)&amp;"",""))</f>
        <v/>
      </c>
      <c r="K1758" t="inlineStr">
        <is>
          <t>office outreach touch 1</t>
        </is>
      </c>
    </row>
    <row r="1759">
      <c r="A1759" s="17">
        <f>IF(B1759="","",B1759+(12*1000+108)/10000000)</f>
        <v/>
      </c>
      <c r="B1759" s="23">
        <f>IF(AND(IFERROR(N(INDEX(Clay_Offices!$A$2:$FZ$601,108,Sync!$C$11)),0)&gt;0,IFERROR(INDEX(Clay_Offices!$A$2:$FZ$601,108,Sync!$C$5)&amp;"","")&lt;&gt;"",OR(LEFT(IFERROR(INDEX(Clay_Offices!$A$2:$FZ$601,108,Sync!$C$5)&amp;"",""),6)&lt;&gt;"SAMPLE",Config!$B$19="Y")),IFERROR(N(INDEX(Clay_Offices!$A$2:$FZ$601,108,Sync!$C$11)),0),"")</f>
        <v/>
      </c>
      <c r="C1759" s="17">
        <f>IF(B1759="","","office")</f>
        <v/>
      </c>
      <c r="D1759" s="17">
        <f>IF(B1759="","",IFERROR(INDEX(Clay_Offices!$A$2:$FZ$601,108,Sync!$C$5)&amp;"",""))</f>
        <v/>
      </c>
      <c r="E1759" s="17">
        <f>IF(B1759="","",IFERROR(INDEX(Clay_Offices!$A$2:$FZ$601,108,Sync!$C$6)&amp;"",""))</f>
        <v/>
      </c>
      <c r="F1759" s="17">
        <f>IF(B1759="","","outreach_sent")</f>
        <v/>
      </c>
      <c r="G1759" s="17">
        <f>IF(B1759="","","")</f>
        <v/>
      </c>
      <c r="H1759" s="17">
        <f>IF(B1759="","","")</f>
        <v/>
      </c>
      <c r="I1759" s="17">
        <f>IF(B1759="","","")</f>
        <v/>
      </c>
      <c r="J1759" s="17">
        <f>IF(B1759="","","touch_1; "&amp;IFERROR(INDEX(Clay_Offices!$A$2:$FZ$601,108,Sync!$C$10)&amp;"","")&amp;"; "&amp;IFERROR(INDEX(Clay_Offices!$A$2:$FZ$601,108,Sync!$C$9)&amp;"",""))</f>
        <v/>
      </c>
      <c r="K1759" t="inlineStr">
        <is>
          <t>office outreach touch 1</t>
        </is>
      </c>
    </row>
    <row r="1760">
      <c r="A1760" s="17">
        <f>IF(B1760="","",B1760+(12*1000+109)/10000000)</f>
        <v/>
      </c>
      <c r="B1760" s="23">
        <f>IF(AND(IFERROR(N(INDEX(Clay_Offices!$A$2:$FZ$601,109,Sync!$C$11)),0)&gt;0,IFERROR(INDEX(Clay_Offices!$A$2:$FZ$601,109,Sync!$C$5)&amp;"","")&lt;&gt;"",OR(LEFT(IFERROR(INDEX(Clay_Offices!$A$2:$FZ$601,109,Sync!$C$5)&amp;"",""),6)&lt;&gt;"SAMPLE",Config!$B$19="Y")),IFERROR(N(INDEX(Clay_Offices!$A$2:$FZ$601,109,Sync!$C$11)),0),"")</f>
        <v/>
      </c>
      <c r="C1760" s="17">
        <f>IF(B1760="","","office")</f>
        <v/>
      </c>
      <c r="D1760" s="17">
        <f>IF(B1760="","",IFERROR(INDEX(Clay_Offices!$A$2:$FZ$601,109,Sync!$C$5)&amp;"",""))</f>
        <v/>
      </c>
      <c r="E1760" s="17">
        <f>IF(B1760="","",IFERROR(INDEX(Clay_Offices!$A$2:$FZ$601,109,Sync!$C$6)&amp;"",""))</f>
        <v/>
      </c>
      <c r="F1760" s="17">
        <f>IF(B1760="","","outreach_sent")</f>
        <v/>
      </c>
      <c r="G1760" s="17">
        <f>IF(B1760="","","")</f>
        <v/>
      </c>
      <c r="H1760" s="17">
        <f>IF(B1760="","","")</f>
        <v/>
      </c>
      <c r="I1760" s="17">
        <f>IF(B1760="","","")</f>
        <v/>
      </c>
      <c r="J1760" s="17">
        <f>IF(B1760="","","touch_1; "&amp;IFERROR(INDEX(Clay_Offices!$A$2:$FZ$601,109,Sync!$C$10)&amp;"","")&amp;"; "&amp;IFERROR(INDEX(Clay_Offices!$A$2:$FZ$601,109,Sync!$C$9)&amp;"",""))</f>
        <v/>
      </c>
      <c r="K1760" t="inlineStr">
        <is>
          <t>office outreach touch 1</t>
        </is>
      </c>
    </row>
    <row r="1761">
      <c r="A1761" s="17">
        <f>IF(B1761="","",B1761+(12*1000+110)/10000000)</f>
        <v/>
      </c>
      <c r="B1761" s="23">
        <f>IF(AND(IFERROR(N(INDEX(Clay_Offices!$A$2:$FZ$601,110,Sync!$C$11)),0)&gt;0,IFERROR(INDEX(Clay_Offices!$A$2:$FZ$601,110,Sync!$C$5)&amp;"","")&lt;&gt;"",OR(LEFT(IFERROR(INDEX(Clay_Offices!$A$2:$FZ$601,110,Sync!$C$5)&amp;"",""),6)&lt;&gt;"SAMPLE",Config!$B$19="Y")),IFERROR(N(INDEX(Clay_Offices!$A$2:$FZ$601,110,Sync!$C$11)),0),"")</f>
        <v/>
      </c>
      <c r="C1761" s="17">
        <f>IF(B1761="","","office")</f>
        <v/>
      </c>
      <c r="D1761" s="17">
        <f>IF(B1761="","",IFERROR(INDEX(Clay_Offices!$A$2:$FZ$601,110,Sync!$C$5)&amp;"",""))</f>
        <v/>
      </c>
      <c r="E1761" s="17">
        <f>IF(B1761="","",IFERROR(INDEX(Clay_Offices!$A$2:$FZ$601,110,Sync!$C$6)&amp;"",""))</f>
        <v/>
      </c>
      <c r="F1761" s="17">
        <f>IF(B1761="","","outreach_sent")</f>
        <v/>
      </c>
      <c r="G1761" s="17">
        <f>IF(B1761="","","")</f>
        <v/>
      </c>
      <c r="H1761" s="17">
        <f>IF(B1761="","","")</f>
        <v/>
      </c>
      <c r="I1761" s="17">
        <f>IF(B1761="","","")</f>
        <v/>
      </c>
      <c r="J1761" s="17">
        <f>IF(B1761="","","touch_1; "&amp;IFERROR(INDEX(Clay_Offices!$A$2:$FZ$601,110,Sync!$C$10)&amp;"","")&amp;"; "&amp;IFERROR(INDEX(Clay_Offices!$A$2:$FZ$601,110,Sync!$C$9)&amp;"",""))</f>
        <v/>
      </c>
      <c r="K1761" t="inlineStr">
        <is>
          <t>office outreach touch 1</t>
        </is>
      </c>
    </row>
    <row r="1762">
      <c r="A1762" s="17">
        <f>IF(B1762="","",B1762+(12*1000+111)/10000000)</f>
        <v/>
      </c>
      <c r="B1762" s="23">
        <f>IF(AND(IFERROR(N(INDEX(Clay_Offices!$A$2:$FZ$601,111,Sync!$C$11)),0)&gt;0,IFERROR(INDEX(Clay_Offices!$A$2:$FZ$601,111,Sync!$C$5)&amp;"","")&lt;&gt;"",OR(LEFT(IFERROR(INDEX(Clay_Offices!$A$2:$FZ$601,111,Sync!$C$5)&amp;"",""),6)&lt;&gt;"SAMPLE",Config!$B$19="Y")),IFERROR(N(INDEX(Clay_Offices!$A$2:$FZ$601,111,Sync!$C$11)),0),"")</f>
        <v/>
      </c>
      <c r="C1762" s="17">
        <f>IF(B1762="","","office")</f>
        <v/>
      </c>
      <c r="D1762" s="17">
        <f>IF(B1762="","",IFERROR(INDEX(Clay_Offices!$A$2:$FZ$601,111,Sync!$C$5)&amp;"",""))</f>
        <v/>
      </c>
      <c r="E1762" s="17">
        <f>IF(B1762="","",IFERROR(INDEX(Clay_Offices!$A$2:$FZ$601,111,Sync!$C$6)&amp;"",""))</f>
        <v/>
      </c>
      <c r="F1762" s="17">
        <f>IF(B1762="","","outreach_sent")</f>
        <v/>
      </c>
      <c r="G1762" s="17">
        <f>IF(B1762="","","")</f>
        <v/>
      </c>
      <c r="H1762" s="17">
        <f>IF(B1762="","","")</f>
        <v/>
      </c>
      <c r="I1762" s="17">
        <f>IF(B1762="","","")</f>
        <v/>
      </c>
      <c r="J1762" s="17">
        <f>IF(B1762="","","touch_1; "&amp;IFERROR(INDEX(Clay_Offices!$A$2:$FZ$601,111,Sync!$C$10)&amp;"","")&amp;"; "&amp;IFERROR(INDEX(Clay_Offices!$A$2:$FZ$601,111,Sync!$C$9)&amp;"",""))</f>
        <v/>
      </c>
      <c r="K1762" t="inlineStr">
        <is>
          <t>office outreach touch 1</t>
        </is>
      </c>
    </row>
    <row r="1763">
      <c r="A1763" s="17">
        <f>IF(B1763="","",B1763+(12*1000+112)/10000000)</f>
        <v/>
      </c>
      <c r="B1763" s="23">
        <f>IF(AND(IFERROR(N(INDEX(Clay_Offices!$A$2:$FZ$601,112,Sync!$C$11)),0)&gt;0,IFERROR(INDEX(Clay_Offices!$A$2:$FZ$601,112,Sync!$C$5)&amp;"","")&lt;&gt;"",OR(LEFT(IFERROR(INDEX(Clay_Offices!$A$2:$FZ$601,112,Sync!$C$5)&amp;"",""),6)&lt;&gt;"SAMPLE",Config!$B$19="Y")),IFERROR(N(INDEX(Clay_Offices!$A$2:$FZ$601,112,Sync!$C$11)),0),"")</f>
        <v/>
      </c>
      <c r="C1763" s="17">
        <f>IF(B1763="","","office")</f>
        <v/>
      </c>
      <c r="D1763" s="17">
        <f>IF(B1763="","",IFERROR(INDEX(Clay_Offices!$A$2:$FZ$601,112,Sync!$C$5)&amp;"",""))</f>
        <v/>
      </c>
      <c r="E1763" s="17">
        <f>IF(B1763="","",IFERROR(INDEX(Clay_Offices!$A$2:$FZ$601,112,Sync!$C$6)&amp;"",""))</f>
        <v/>
      </c>
      <c r="F1763" s="17">
        <f>IF(B1763="","","outreach_sent")</f>
        <v/>
      </c>
      <c r="G1763" s="17">
        <f>IF(B1763="","","")</f>
        <v/>
      </c>
      <c r="H1763" s="17">
        <f>IF(B1763="","","")</f>
        <v/>
      </c>
      <c r="I1763" s="17">
        <f>IF(B1763="","","")</f>
        <v/>
      </c>
      <c r="J1763" s="17">
        <f>IF(B1763="","","touch_1; "&amp;IFERROR(INDEX(Clay_Offices!$A$2:$FZ$601,112,Sync!$C$10)&amp;"","")&amp;"; "&amp;IFERROR(INDEX(Clay_Offices!$A$2:$FZ$601,112,Sync!$C$9)&amp;"",""))</f>
        <v/>
      </c>
      <c r="K1763" t="inlineStr">
        <is>
          <t>office outreach touch 1</t>
        </is>
      </c>
    </row>
    <row r="1764">
      <c r="A1764" s="17">
        <f>IF(B1764="","",B1764+(12*1000+113)/10000000)</f>
        <v/>
      </c>
      <c r="B1764" s="23">
        <f>IF(AND(IFERROR(N(INDEX(Clay_Offices!$A$2:$FZ$601,113,Sync!$C$11)),0)&gt;0,IFERROR(INDEX(Clay_Offices!$A$2:$FZ$601,113,Sync!$C$5)&amp;"","")&lt;&gt;"",OR(LEFT(IFERROR(INDEX(Clay_Offices!$A$2:$FZ$601,113,Sync!$C$5)&amp;"",""),6)&lt;&gt;"SAMPLE",Config!$B$19="Y")),IFERROR(N(INDEX(Clay_Offices!$A$2:$FZ$601,113,Sync!$C$11)),0),"")</f>
        <v/>
      </c>
      <c r="C1764" s="17">
        <f>IF(B1764="","","office")</f>
        <v/>
      </c>
      <c r="D1764" s="17">
        <f>IF(B1764="","",IFERROR(INDEX(Clay_Offices!$A$2:$FZ$601,113,Sync!$C$5)&amp;"",""))</f>
        <v/>
      </c>
      <c r="E1764" s="17">
        <f>IF(B1764="","",IFERROR(INDEX(Clay_Offices!$A$2:$FZ$601,113,Sync!$C$6)&amp;"",""))</f>
        <v/>
      </c>
      <c r="F1764" s="17">
        <f>IF(B1764="","","outreach_sent")</f>
        <v/>
      </c>
      <c r="G1764" s="17">
        <f>IF(B1764="","","")</f>
        <v/>
      </c>
      <c r="H1764" s="17">
        <f>IF(B1764="","","")</f>
        <v/>
      </c>
      <c r="I1764" s="17">
        <f>IF(B1764="","","")</f>
        <v/>
      </c>
      <c r="J1764" s="17">
        <f>IF(B1764="","","touch_1; "&amp;IFERROR(INDEX(Clay_Offices!$A$2:$FZ$601,113,Sync!$C$10)&amp;"","")&amp;"; "&amp;IFERROR(INDEX(Clay_Offices!$A$2:$FZ$601,113,Sync!$C$9)&amp;"",""))</f>
        <v/>
      </c>
      <c r="K1764" t="inlineStr">
        <is>
          <t>office outreach touch 1</t>
        </is>
      </c>
    </row>
    <row r="1765">
      <c r="A1765" s="17">
        <f>IF(B1765="","",B1765+(12*1000+114)/10000000)</f>
        <v/>
      </c>
      <c r="B1765" s="23">
        <f>IF(AND(IFERROR(N(INDEX(Clay_Offices!$A$2:$FZ$601,114,Sync!$C$11)),0)&gt;0,IFERROR(INDEX(Clay_Offices!$A$2:$FZ$601,114,Sync!$C$5)&amp;"","")&lt;&gt;"",OR(LEFT(IFERROR(INDEX(Clay_Offices!$A$2:$FZ$601,114,Sync!$C$5)&amp;"",""),6)&lt;&gt;"SAMPLE",Config!$B$19="Y")),IFERROR(N(INDEX(Clay_Offices!$A$2:$FZ$601,114,Sync!$C$11)),0),"")</f>
        <v/>
      </c>
      <c r="C1765" s="17">
        <f>IF(B1765="","","office")</f>
        <v/>
      </c>
      <c r="D1765" s="17">
        <f>IF(B1765="","",IFERROR(INDEX(Clay_Offices!$A$2:$FZ$601,114,Sync!$C$5)&amp;"",""))</f>
        <v/>
      </c>
      <c r="E1765" s="17">
        <f>IF(B1765="","",IFERROR(INDEX(Clay_Offices!$A$2:$FZ$601,114,Sync!$C$6)&amp;"",""))</f>
        <v/>
      </c>
      <c r="F1765" s="17">
        <f>IF(B1765="","","outreach_sent")</f>
        <v/>
      </c>
      <c r="G1765" s="17">
        <f>IF(B1765="","","")</f>
        <v/>
      </c>
      <c r="H1765" s="17">
        <f>IF(B1765="","","")</f>
        <v/>
      </c>
      <c r="I1765" s="17">
        <f>IF(B1765="","","")</f>
        <v/>
      </c>
      <c r="J1765" s="17">
        <f>IF(B1765="","","touch_1; "&amp;IFERROR(INDEX(Clay_Offices!$A$2:$FZ$601,114,Sync!$C$10)&amp;"","")&amp;"; "&amp;IFERROR(INDEX(Clay_Offices!$A$2:$FZ$601,114,Sync!$C$9)&amp;"",""))</f>
        <v/>
      </c>
      <c r="K1765" t="inlineStr">
        <is>
          <t>office outreach touch 1</t>
        </is>
      </c>
    </row>
    <row r="1766">
      <c r="A1766" s="17">
        <f>IF(B1766="","",B1766+(12*1000+115)/10000000)</f>
        <v/>
      </c>
      <c r="B1766" s="23">
        <f>IF(AND(IFERROR(N(INDEX(Clay_Offices!$A$2:$FZ$601,115,Sync!$C$11)),0)&gt;0,IFERROR(INDEX(Clay_Offices!$A$2:$FZ$601,115,Sync!$C$5)&amp;"","")&lt;&gt;"",OR(LEFT(IFERROR(INDEX(Clay_Offices!$A$2:$FZ$601,115,Sync!$C$5)&amp;"",""),6)&lt;&gt;"SAMPLE",Config!$B$19="Y")),IFERROR(N(INDEX(Clay_Offices!$A$2:$FZ$601,115,Sync!$C$11)),0),"")</f>
        <v/>
      </c>
      <c r="C1766" s="17">
        <f>IF(B1766="","","office")</f>
        <v/>
      </c>
      <c r="D1766" s="17">
        <f>IF(B1766="","",IFERROR(INDEX(Clay_Offices!$A$2:$FZ$601,115,Sync!$C$5)&amp;"",""))</f>
        <v/>
      </c>
      <c r="E1766" s="17">
        <f>IF(B1766="","",IFERROR(INDEX(Clay_Offices!$A$2:$FZ$601,115,Sync!$C$6)&amp;"",""))</f>
        <v/>
      </c>
      <c r="F1766" s="17">
        <f>IF(B1766="","","outreach_sent")</f>
        <v/>
      </c>
      <c r="G1766" s="17">
        <f>IF(B1766="","","")</f>
        <v/>
      </c>
      <c r="H1766" s="17">
        <f>IF(B1766="","","")</f>
        <v/>
      </c>
      <c r="I1766" s="17">
        <f>IF(B1766="","","")</f>
        <v/>
      </c>
      <c r="J1766" s="17">
        <f>IF(B1766="","","touch_1; "&amp;IFERROR(INDEX(Clay_Offices!$A$2:$FZ$601,115,Sync!$C$10)&amp;"","")&amp;"; "&amp;IFERROR(INDEX(Clay_Offices!$A$2:$FZ$601,115,Sync!$C$9)&amp;"",""))</f>
        <v/>
      </c>
      <c r="K1766" t="inlineStr">
        <is>
          <t>office outreach touch 1</t>
        </is>
      </c>
    </row>
    <row r="1767">
      <c r="A1767" s="17">
        <f>IF(B1767="","",B1767+(12*1000+116)/10000000)</f>
        <v/>
      </c>
      <c r="B1767" s="23">
        <f>IF(AND(IFERROR(N(INDEX(Clay_Offices!$A$2:$FZ$601,116,Sync!$C$11)),0)&gt;0,IFERROR(INDEX(Clay_Offices!$A$2:$FZ$601,116,Sync!$C$5)&amp;"","")&lt;&gt;"",OR(LEFT(IFERROR(INDEX(Clay_Offices!$A$2:$FZ$601,116,Sync!$C$5)&amp;"",""),6)&lt;&gt;"SAMPLE",Config!$B$19="Y")),IFERROR(N(INDEX(Clay_Offices!$A$2:$FZ$601,116,Sync!$C$11)),0),"")</f>
        <v/>
      </c>
      <c r="C1767" s="17">
        <f>IF(B1767="","","office")</f>
        <v/>
      </c>
      <c r="D1767" s="17">
        <f>IF(B1767="","",IFERROR(INDEX(Clay_Offices!$A$2:$FZ$601,116,Sync!$C$5)&amp;"",""))</f>
        <v/>
      </c>
      <c r="E1767" s="17">
        <f>IF(B1767="","",IFERROR(INDEX(Clay_Offices!$A$2:$FZ$601,116,Sync!$C$6)&amp;"",""))</f>
        <v/>
      </c>
      <c r="F1767" s="17">
        <f>IF(B1767="","","outreach_sent")</f>
        <v/>
      </c>
      <c r="G1767" s="17">
        <f>IF(B1767="","","")</f>
        <v/>
      </c>
      <c r="H1767" s="17">
        <f>IF(B1767="","","")</f>
        <v/>
      </c>
      <c r="I1767" s="17">
        <f>IF(B1767="","","")</f>
        <v/>
      </c>
      <c r="J1767" s="17">
        <f>IF(B1767="","","touch_1; "&amp;IFERROR(INDEX(Clay_Offices!$A$2:$FZ$601,116,Sync!$C$10)&amp;"","")&amp;"; "&amp;IFERROR(INDEX(Clay_Offices!$A$2:$FZ$601,116,Sync!$C$9)&amp;"",""))</f>
        <v/>
      </c>
      <c r="K1767" t="inlineStr">
        <is>
          <t>office outreach touch 1</t>
        </is>
      </c>
    </row>
    <row r="1768">
      <c r="A1768" s="17">
        <f>IF(B1768="","",B1768+(12*1000+117)/10000000)</f>
        <v/>
      </c>
      <c r="B1768" s="23">
        <f>IF(AND(IFERROR(N(INDEX(Clay_Offices!$A$2:$FZ$601,117,Sync!$C$11)),0)&gt;0,IFERROR(INDEX(Clay_Offices!$A$2:$FZ$601,117,Sync!$C$5)&amp;"","")&lt;&gt;"",OR(LEFT(IFERROR(INDEX(Clay_Offices!$A$2:$FZ$601,117,Sync!$C$5)&amp;"",""),6)&lt;&gt;"SAMPLE",Config!$B$19="Y")),IFERROR(N(INDEX(Clay_Offices!$A$2:$FZ$601,117,Sync!$C$11)),0),"")</f>
        <v/>
      </c>
      <c r="C1768" s="17">
        <f>IF(B1768="","","office")</f>
        <v/>
      </c>
      <c r="D1768" s="17">
        <f>IF(B1768="","",IFERROR(INDEX(Clay_Offices!$A$2:$FZ$601,117,Sync!$C$5)&amp;"",""))</f>
        <v/>
      </c>
      <c r="E1768" s="17">
        <f>IF(B1768="","",IFERROR(INDEX(Clay_Offices!$A$2:$FZ$601,117,Sync!$C$6)&amp;"",""))</f>
        <v/>
      </c>
      <c r="F1768" s="17">
        <f>IF(B1768="","","outreach_sent")</f>
        <v/>
      </c>
      <c r="G1768" s="17">
        <f>IF(B1768="","","")</f>
        <v/>
      </c>
      <c r="H1768" s="17">
        <f>IF(B1768="","","")</f>
        <v/>
      </c>
      <c r="I1768" s="17">
        <f>IF(B1768="","","")</f>
        <v/>
      </c>
      <c r="J1768" s="17">
        <f>IF(B1768="","","touch_1; "&amp;IFERROR(INDEX(Clay_Offices!$A$2:$FZ$601,117,Sync!$C$10)&amp;"","")&amp;"; "&amp;IFERROR(INDEX(Clay_Offices!$A$2:$FZ$601,117,Sync!$C$9)&amp;"",""))</f>
        <v/>
      </c>
      <c r="K1768" t="inlineStr">
        <is>
          <t>office outreach touch 1</t>
        </is>
      </c>
    </row>
    <row r="1769">
      <c r="A1769" s="17">
        <f>IF(B1769="","",B1769+(12*1000+118)/10000000)</f>
        <v/>
      </c>
      <c r="B1769" s="23">
        <f>IF(AND(IFERROR(N(INDEX(Clay_Offices!$A$2:$FZ$601,118,Sync!$C$11)),0)&gt;0,IFERROR(INDEX(Clay_Offices!$A$2:$FZ$601,118,Sync!$C$5)&amp;"","")&lt;&gt;"",OR(LEFT(IFERROR(INDEX(Clay_Offices!$A$2:$FZ$601,118,Sync!$C$5)&amp;"",""),6)&lt;&gt;"SAMPLE",Config!$B$19="Y")),IFERROR(N(INDEX(Clay_Offices!$A$2:$FZ$601,118,Sync!$C$11)),0),"")</f>
        <v/>
      </c>
      <c r="C1769" s="17">
        <f>IF(B1769="","","office")</f>
        <v/>
      </c>
      <c r="D1769" s="17">
        <f>IF(B1769="","",IFERROR(INDEX(Clay_Offices!$A$2:$FZ$601,118,Sync!$C$5)&amp;"",""))</f>
        <v/>
      </c>
      <c r="E1769" s="17">
        <f>IF(B1769="","",IFERROR(INDEX(Clay_Offices!$A$2:$FZ$601,118,Sync!$C$6)&amp;"",""))</f>
        <v/>
      </c>
      <c r="F1769" s="17">
        <f>IF(B1769="","","outreach_sent")</f>
        <v/>
      </c>
      <c r="G1769" s="17">
        <f>IF(B1769="","","")</f>
        <v/>
      </c>
      <c r="H1769" s="17">
        <f>IF(B1769="","","")</f>
        <v/>
      </c>
      <c r="I1769" s="17">
        <f>IF(B1769="","","")</f>
        <v/>
      </c>
      <c r="J1769" s="17">
        <f>IF(B1769="","","touch_1; "&amp;IFERROR(INDEX(Clay_Offices!$A$2:$FZ$601,118,Sync!$C$10)&amp;"","")&amp;"; "&amp;IFERROR(INDEX(Clay_Offices!$A$2:$FZ$601,118,Sync!$C$9)&amp;"",""))</f>
        <v/>
      </c>
      <c r="K1769" t="inlineStr">
        <is>
          <t>office outreach touch 1</t>
        </is>
      </c>
    </row>
    <row r="1770">
      <c r="A1770" s="17">
        <f>IF(B1770="","",B1770+(12*1000+119)/10000000)</f>
        <v/>
      </c>
      <c r="B1770" s="23">
        <f>IF(AND(IFERROR(N(INDEX(Clay_Offices!$A$2:$FZ$601,119,Sync!$C$11)),0)&gt;0,IFERROR(INDEX(Clay_Offices!$A$2:$FZ$601,119,Sync!$C$5)&amp;"","")&lt;&gt;"",OR(LEFT(IFERROR(INDEX(Clay_Offices!$A$2:$FZ$601,119,Sync!$C$5)&amp;"",""),6)&lt;&gt;"SAMPLE",Config!$B$19="Y")),IFERROR(N(INDEX(Clay_Offices!$A$2:$FZ$601,119,Sync!$C$11)),0),"")</f>
        <v/>
      </c>
      <c r="C1770" s="17">
        <f>IF(B1770="","","office")</f>
        <v/>
      </c>
      <c r="D1770" s="17">
        <f>IF(B1770="","",IFERROR(INDEX(Clay_Offices!$A$2:$FZ$601,119,Sync!$C$5)&amp;"",""))</f>
        <v/>
      </c>
      <c r="E1770" s="17">
        <f>IF(B1770="","",IFERROR(INDEX(Clay_Offices!$A$2:$FZ$601,119,Sync!$C$6)&amp;"",""))</f>
        <v/>
      </c>
      <c r="F1770" s="17">
        <f>IF(B1770="","","outreach_sent")</f>
        <v/>
      </c>
      <c r="G1770" s="17">
        <f>IF(B1770="","","")</f>
        <v/>
      </c>
      <c r="H1770" s="17">
        <f>IF(B1770="","","")</f>
        <v/>
      </c>
      <c r="I1770" s="17">
        <f>IF(B1770="","","")</f>
        <v/>
      </c>
      <c r="J1770" s="17">
        <f>IF(B1770="","","touch_1; "&amp;IFERROR(INDEX(Clay_Offices!$A$2:$FZ$601,119,Sync!$C$10)&amp;"","")&amp;"; "&amp;IFERROR(INDEX(Clay_Offices!$A$2:$FZ$601,119,Sync!$C$9)&amp;"",""))</f>
        <v/>
      </c>
      <c r="K1770" t="inlineStr">
        <is>
          <t>office outreach touch 1</t>
        </is>
      </c>
    </row>
    <row r="1771">
      <c r="A1771" s="17">
        <f>IF(B1771="","",B1771+(12*1000+120)/10000000)</f>
        <v/>
      </c>
      <c r="B1771" s="23">
        <f>IF(AND(IFERROR(N(INDEX(Clay_Offices!$A$2:$FZ$601,120,Sync!$C$11)),0)&gt;0,IFERROR(INDEX(Clay_Offices!$A$2:$FZ$601,120,Sync!$C$5)&amp;"","")&lt;&gt;"",OR(LEFT(IFERROR(INDEX(Clay_Offices!$A$2:$FZ$601,120,Sync!$C$5)&amp;"",""),6)&lt;&gt;"SAMPLE",Config!$B$19="Y")),IFERROR(N(INDEX(Clay_Offices!$A$2:$FZ$601,120,Sync!$C$11)),0),"")</f>
        <v/>
      </c>
      <c r="C1771" s="17">
        <f>IF(B1771="","","office")</f>
        <v/>
      </c>
      <c r="D1771" s="17">
        <f>IF(B1771="","",IFERROR(INDEX(Clay_Offices!$A$2:$FZ$601,120,Sync!$C$5)&amp;"",""))</f>
        <v/>
      </c>
      <c r="E1771" s="17">
        <f>IF(B1771="","",IFERROR(INDEX(Clay_Offices!$A$2:$FZ$601,120,Sync!$C$6)&amp;"",""))</f>
        <v/>
      </c>
      <c r="F1771" s="17">
        <f>IF(B1771="","","outreach_sent")</f>
        <v/>
      </c>
      <c r="G1771" s="17">
        <f>IF(B1771="","","")</f>
        <v/>
      </c>
      <c r="H1771" s="17">
        <f>IF(B1771="","","")</f>
        <v/>
      </c>
      <c r="I1771" s="17">
        <f>IF(B1771="","","")</f>
        <v/>
      </c>
      <c r="J1771" s="17">
        <f>IF(B1771="","","touch_1; "&amp;IFERROR(INDEX(Clay_Offices!$A$2:$FZ$601,120,Sync!$C$10)&amp;"","")&amp;"; "&amp;IFERROR(INDEX(Clay_Offices!$A$2:$FZ$601,120,Sync!$C$9)&amp;"",""))</f>
        <v/>
      </c>
      <c r="K1771" t="inlineStr">
        <is>
          <t>office outreach touch 1</t>
        </is>
      </c>
    </row>
    <row r="1772">
      <c r="A1772" s="17">
        <f>IF(B1772="","",B1772+(12*1000+121)/10000000)</f>
        <v/>
      </c>
      <c r="B1772" s="23">
        <f>IF(AND(IFERROR(N(INDEX(Clay_Offices!$A$2:$FZ$601,121,Sync!$C$11)),0)&gt;0,IFERROR(INDEX(Clay_Offices!$A$2:$FZ$601,121,Sync!$C$5)&amp;"","")&lt;&gt;"",OR(LEFT(IFERROR(INDEX(Clay_Offices!$A$2:$FZ$601,121,Sync!$C$5)&amp;"",""),6)&lt;&gt;"SAMPLE",Config!$B$19="Y")),IFERROR(N(INDEX(Clay_Offices!$A$2:$FZ$601,121,Sync!$C$11)),0),"")</f>
        <v/>
      </c>
      <c r="C1772" s="17">
        <f>IF(B1772="","","office")</f>
        <v/>
      </c>
      <c r="D1772" s="17">
        <f>IF(B1772="","",IFERROR(INDEX(Clay_Offices!$A$2:$FZ$601,121,Sync!$C$5)&amp;"",""))</f>
        <v/>
      </c>
      <c r="E1772" s="17">
        <f>IF(B1772="","",IFERROR(INDEX(Clay_Offices!$A$2:$FZ$601,121,Sync!$C$6)&amp;"",""))</f>
        <v/>
      </c>
      <c r="F1772" s="17">
        <f>IF(B1772="","","outreach_sent")</f>
        <v/>
      </c>
      <c r="G1772" s="17">
        <f>IF(B1772="","","")</f>
        <v/>
      </c>
      <c r="H1772" s="17">
        <f>IF(B1772="","","")</f>
        <v/>
      </c>
      <c r="I1772" s="17">
        <f>IF(B1772="","","")</f>
        <v/>
      </c>
      <c r="J1772" s="17">
        <f>IF(B1772="","","touch_1; "&amp;IFERROR(INDEX(Clay_Offices!$A$2:$FZ$601,121,Sync!$C$10)&amp;"","")&amp;"; "&amp;IFERROR(INDEX(Clay_Offices!$A$2:$FZ$601,121,Sync!$C$9)&amp;"",""))</f>
        <v/>
      </c>
      <c r="K1772" t="inlineStr">
        <is>
          <t>office outreach touch 1</t>
        </is>
      </c>
    </row>
    <row r="1773">
      <c r="A1773" s="17">
        <f>IF(B1773="","",B1773+(12*1000+122)/10000000)</f>
        <v/>
      </c>
      <c r="B1773" s="23">
        <f>IF(AND(IFERROR(N(INDEX(Clay_Offices!$A$2:$FZ$601,122,Sync!$C$11)),0)&gt;0,IFERROR(INDEX(Clay_Offices!$A$2:$FZ$601,122,Sync!$C$5)&amp;"","")&lt;&gt;"",OR(LEFT(IFERROR(INDEX(Clay_Offices!$A$2:$FZ$601,122,Sync!$C$5)&amp;"",""),6)&lt;&gt;"SAMPLE",Config!$B$19="Y")),IFERROR(N(INDEX(Clay_Offices!$A$2:$FZ$601,122,Sync!$C$11)),0),"")</f>
        <v/>
      </c>
      <c r="C1773" s="17">
        <f>IF(B1773="","","office")</f>
        <v/>
      </c>
      <c r="D1773" s="17">
        <f>IF(B1773="","",IFERROR(INDEX(Clay_Offices!$A$2:$FZ$601,122,Sync!$C$5)&amp;"",""))</f>
        <v/>
      </c>
      <c r="E1773" s="17">
        <f>IF(B1773="","",IFERROR(INDEX(Clay_Offices!$A$2:$FZ$601,122,Sync!$C$6)&amp;"",""))</f>
        <v/>
      </c>
      <c r="F1773" s="17">
        <f>IF(B1773="","","outreach_sent")</f>
        <v/>
      </c>
      <c r="G1773" s="17">
        <f>IF(B1773="","","")</f>
        <v/>
      </c>
      <c r="H1773" s="17">
        <f>IF(B1773="","","")</f>
        <v/>
      </c>
      <c r="I1773" s="17">
        <f>IF(B1773="","","")</f>
        <v/>
      </c>
      <c r="J1773" s="17">
        <f>IF(B1773="","","touch_1; "&amp;IFERROR(INDEX(Clay_Offices!$A$2:$FZ$601,122,Sync!$C$10)&amp;"","")&amp;"; "&amp;IFERROR(INDEX(Clay_Offices!$A$2:$FZ$601,122,Sync!$C$9)&amp;"",""))</f>
        <v/>
      </c>
      <c r="K1773" t="inlineStr">
        <is>
          <t>office outreach touch 1</t>
        </is>
      </c>
    </row>
    <row r="1774">
      <c r="A1774" s="17">
        <f>IF(B1774="","",B1774+(12*1000+123)/10000000)</f>
        <v/>
      </c>
      <c r="B1774" s="23">
        <f>IF(AND(IFERROR(N(INDEX(Clay_Offices!$A$2:$FZ$601,123,Sync!$C$11)),0)&gt;0,IFERROR(INDEX(Clay_Offices!$A$2:$FZ$601,123,Sync!$C$5)&amp;"","")&lt;&gt;"",OR(LEFT(IFERROR(INDEX(Clay_Offices!$A$2:$FZ$601,123,Sync!$C$5)&amp;"",""),6)&lt;&gt;"SAMPLE",Config!$B$19="Y")),IFERROR(N(INDEX(Clay_Offices!$A$2:$FZ$601,123,Sync!$C$11)),0),"")</f>
        <v/>
      </c>
      <c r="C1774" s="17">
        <f>IF(B1774="","","office")</f>
        <v/>
      </c>
      <c r="D1774" s="17">
        <f>IF(B1774="","",IFERROR(INDEX(Clay_Offices!$A$2:$FZ$601,123,Sync!$C$5)&amp;"",""))</f>
        <v/>
      </c>
      <c r="E1774" s="17">
        <f>IF(B1774="","",IFERROR(INDEX(Clay_Offices!$A$2:$FZ$601,123,Sync!$C$6)&amp;"",""))</f>
        <v/>
      </c>
      <c r="F1774" s="17">
        <f>IF(B1774="","","outreach_sent")</f>
        <v/>
      </c>
      <c r="G1774" s="17">
        <f>IF(B1774="","","")</f>
        <v/>
      </c>
      <c r="H1774" s="17">
        <f>IF(B1774="","","")</f>
        <v/>
      </c>
      <c r="I1774" s="17">
        <f>IF(B1774="","","")</f>
        <v/>
      </c>
      <c r="J1774" s="17">
        <f>IF(B1774="","","touch_1; "&amp;IFERROR(INDEX(Clay_Offices!$A$2:$FZ$601,123,Sync!$C$10)&amp;"","")&amp;"; "&amp;IFERROR(INDEX(Clay_Offices!$A$2:$FZ$601,123,Sync!$C$9)&amp;"",""))</f>
        <v/>
      </c>
      <c r="K1774" t="inlineStr">
        <is>
          <t>office outreach touch 1</t>
        </is>
      </c>
    </row>
    <row r="1775">
      <c r="A1775" s="17">
        <f>IF(B1775="","",B1775+(12*1000+124)/10000000)</f>
        <v/>
      </c>
      <c r="B1775" s="23">
        <f>IF(AND(IFERROR(N(INDEX(Clay_Offices!$A$2:$FZ$601,124,Sync!$C$11)),0)&gt;0,IFERROR(INDEX(Clay_Offices!$A$2:$FZ$601,124,Sync!$C$5)&amp;"","")&lt;&gt;"",OR(LEFT(IFERROR(INDEX(Clay_Offices!$A$2:$FZ$601,124,Sync!$C$5)&amp;"",""),6)&lt;&gt;"SAMPLE",Config!$B$19="Y")),IFERROR(N(INDEX(Clay_Offices!$A$2:$FZ$601,124,Sync!$C$11)),0),"")</f>
        <v/>
      </c>
      <c r="C1775" s="17">
        <f>IF(B1775="","","office")</f>
        <v/>
      </c>
      <c r="D1775" s="17">
        <f>IF(B1775="","",IFERROR(INDEX(Clay_Offices!$A$2:$FZ$601,124,Sync!$C$5)&amp;"",""))</f>
        <v/>
      </c>
      <c r="E1775" s="17">
        <f>IF(B1775="","",IFERROR(INDEX(Clay_Offices!$A$2:$FZ$601,124,Sync!$C$6)&amp;"",""))</f>
        <v/>
      </c>
      <c r="F1775" s="17">
        <f>IF(B1775="","","outreach_sent")</f>
        <v/>
      </c>
      <c r="G1775" s="17">
        <f>IF(B1775="","","")</f>
        <v/>
      </c>
      <c r="H1775" s="17">
        <f>IF(B1775="","","")</f>
        <v/>
      </c>
      <c r="I1775" s="17">
        <f>IF(B1775="","","")</f>
        <v/>
      </c>
      <c r="J1775" s="17">
        <f>IF(B1775="","","touch_1; "&amp;IFERROR(INDEX(Clay_Offices!$A$2:$FZ$601,124,Sync!$C$10)&amp;"","")&amp;"; "&amp;IFERROR(INDEX(Clay_Offices!$A$2:$FZ$601,124,Sync!$C$9)&amp;"",""))</f>
        <v/>
      </c>
      <c r="K1775" t="inlineStr">
        <is>
          <t>office outreach touch 1</t>
        </is>
      </c>
    </row>
    <row r="1776">
      <c r="A1776" s="17">
        <f>IF(B1776="","",B1776+(12*1000+125)/10000000)</f>
        <v/>
      </c>
      <c r="B1776" s="23">
        <f>IF(AND(IFERROR(N(INDEX(Clay_Offices!$A$2:$FZ$601,125,Sync!$C$11)),0)&gt;0,IFERROR(INDEX(Clay_Offices!$A$2:$FZ$601,125,Sync!$C$5)&amp;"","")&lt;&gt;"",OR(LEFT(IFERROR(INDEX(Clay_Offices!$A$2:$FZ$601,125,Sync!$C$5)&amp;"",""),6)&lt;&gt;"SAMPLE",Config!$B$19="Y")),IFERROR(N(INDEX(Clay_Offices!$A$2:$FZ$601,125,Sync!$C$11)),0),"")</f>
        <v/>
      </c>
      <c r="C1776" s="17">
        <f>IF(B1776="","","office")</f>
        <v/>
      </c>
      <c r="D1776" s="17">
        <f>IF(B1776="","",IFERROR(INDEX(Clay_Offices!$A$2:$FZ$601,125,Sync!$C$5)&amp;"",""))</f>
        <v/>
      </c>
      <c r="E1776" s="17">
        <f>IF(B1776="","",IFERROR(INDEX(Clay_Offices!$A$2:$FZ$601,125,Sync!$C$6)&amp;"",""))</f>
        <v/>
      </c>
      <c r="F1776" s="17">
        <f>IF(B1776="","","outreach_sent")</f>
        <v/>
      </c>
      <c r="G1776" s="17">
        <f>IF(B1776="","","")</f>
        <v/>
      </c>
      <c r="H1776" s="17">
        <f>IF(B1776="","","")</f>
        <v/>
      </c>
      <c r="I1776" s="17">
        <f>IF(B1776="","","")</f>
        <v/>
      </c>
      <c r="J1776" s="17">
        <f>IF(B1776="","","touch_1; "&amp;IFERROR(INDEX(Clay_Offices!$A$2:$FZ$601,125,Sync!$C$10)&amp;"","")&amp;"; "&amp;IFERROR(INDEX(Clay_Offices!$A$2:$FZ$601,125,Sync!$C$9)&amp;"",""))</f>
        <v/>
      </c>
      <c r="K1776" t="inlineStr">
        <is>
          <t>office outreach touch 1</t>
        </is>
      </c>
    </row>
    <row r="1777">
      <c r="A1777" s="17">
        <f>IF(B1777="","",B1777+(12*1000+126)/10000000)</f>
        <v/>
      </c>
      <c r="B1777" s="23">
        <f>IF(AND(IFERROR(N(INDEX(Clay_Offices!$A$2:$FZ$601,126,Sync!$C$11)),0)&gt;0,IFERROR(INDEX(Clay_Offices!$A$2:$FZ$601,126,Sync!$C$5)&amp;"","")&lt;&gt;"",OR(LEFT(IFERROR(INDEX(Clay_Offices!$A$2:$FZ$601,126,Sync!$C$5)&amp;"",""),6)&lt;&gt;"SAMPLE",Config!$B$19="Y")),IFERROR(N(INDEX(Clay_Offices!$A$2:$FZ$601,126,Sync!$C$11)),0),"")</f>
        <v/>
      </c>
      <c r="C1777" s="17">
        <f>IF(B1777="","","office")</f>
        <v/>
      </c>
      <c r="D1777" s="17">
        <f>IF(B1777="","",IFERROR(INDEX(Clay_Offices!$A$2:$FZ$601,126,Sync!$C$5)&amp;"",""))</f>
        <v/>
      </c>
      <c r="E1777" s="17">
        <f>IF(B1777="","",IFERROR(INDEX(Clay_Offices!$A$2:$FZ$601,126,Sync!$C$6)&amp;"",""))</f>
        <v/>
      </c>
      <c r="F1777" s="17">
        <f>IF(B1777="","","outreach_sent")</f>
        <v/>
      </c>
      <c r="G1777" s="17">
        <f>IF(B1777="","","")</f>
        <v/>
      </c>
      <c r="H1777" s="17">
        <f>IF(B1777="","","")</f>
        <v/>
      </c>
      <c r="I1777" s="17">
        <f>IF(B1777="","","")</f>
        <v/>
      </c>
      <c r="J1777" s="17">
        <f>IF(B1777="","","touch_1; "&amp;IFERROR(INDEX(Clay_Offices!$A$2:$FZ$601,126,Sync!$C$10)&amp;"","")&amp;"; "&amp;IFERROR(INDEX(Clay_Offices!$A$2:$FZ$601,126,Sync!$C$9)&amp;"",""))</f>
        <v/>
      </c>
      <c r="K1777" t="inlineStr">
        <is>
          <t>office outreach touch 1</t>
        </is>
      </c>
    </row>
    <row r="1778">
      <c r="A1778" s="17">
        <f>IF(B1778="","",B1778+(12*1000+127)/10000000)</f>
        <v/>
      </c>
      <c r="B1778" s="23">
        <f>IF(AND(IFERROR(N(INDEX(Clay_Offices!$A$2:$FZ$601,127,Sync!$C$11)),0)&gt;0,IFERROR(INDEX(Clay_Offices!$A$2:$FZ$601,127,Sync!$C$5)&amp;"","")&lt;&gt;"",OR(LEFT(IFERROR(INDEX(Clay_Offices!$A$2:$FZ$601,127,Sync!$C$5)&amp;"",""),6)&lt;&gt;"SAMPLE",Config!$B$19="Y")),IFERROR(N(INDEX(Clay_Offices!$A$2:$FZ$601,127,Sync!$C$11)),0),"")</f>
        <v/>
      </c>
      <c r="C1778" s="17">
        <f>IF(B1778="","","office")</f>
        <v/>
      </c>
      <c r="D1778" s="17">
        <f>IF(B1778="","",IFERROR(INDEX(Clay_Offices!$A$2:$FZ$601,127,Sync!$C$5)&amp;"",""))</f>
        <v/>
      </c>
      <c r="E1778" s="17">
        <f>IF(B1778="","",IFERROR(INDEX(Clay_Offices!$A$2:$FZ$601,127,Sync!$C$6)&amp;"",""))</f>
        <v/>
      </c>
      <c r="F1778" s="17">
        <f>IF(B1778="","","outreach_sent")</f>
        <v/>
      </c>
      <c r="G1778" s="17">
        <f>IF(B1778="","","")</f>
        <v/>
      </c>
      <c r="H1778" s="17">
        <f>IF(B1778="","","")</f>
        <v/>
      </c>
      <c r="I1778" s="17">
        <f>IF(B1778="","","")</f>
        <v/>
      </c>
      <c r="J1778" s="17">
        <f>IF(B1778="","","touch_1; "&amp;IFERROR(INDEX(Clay_Offices!$A$2:$FZ$601,127,Sync!$C$10)&amp;"","")&amp;"; "&amp;IFERROR(INDEX(Clay_Offices!$A$2:$FZ$601,127,Sync!$C$9)&amp;"",""))</f>
        <v/>
      </c>
      <c r="K1778" t="inlineStr">
        <is>
          <t>office outreach touch 1</t>
        </is>
      </c>
    </row>
    <row r="1779">
      <c r="A1779" s="17">
        <f>IF(B1779="","",B1779+(12*1000+128)/10000000)</f>
        <v/>
      </c>
      <c r="B1779" s="23">
        <f>IF(AND(IFERROR(N(INDEX(Clay_Offices!$A$2:$FZ$601,128,Sync!$C$11)),0)&gt;0,IFERROR(INDEX(Clay_Offices!$A$2:$FZ$601,128,Sync!$C$5)&amp;"","")&lt;&gt;"",OR(LEFT(IFERROR(INDEX(Clay_Offices!$A$2:$FZ$601,128,Sync!$C$5)&amp;"",""),6)&lt;&gt;"SAMPLE",Config!$B$19="Y")),IFERROR(N(INDEX(Clay_Offices!$A$2:$FZ$601,128,Sync!$C$11)),0),"")</f>
        <v/>
      </c>
      <c r="C1779" s="17">
        <f>IF(B1779="","","office")</f>
        <v/>
      </c>
      <c r="D1779" s="17">
        <f>IF(B1779="","",IFERROR(INDEX(Clay_Offices!$A$2:$FZ$601,128,Sync!$C$5)&amp;"",""))</f>
        <v/>
      </c>
      <c r="E1779" s="17">
        <f>IF(B1779="","",IFERROR(INDEX(Clay_Offices!$A$2:$FZ$601,128,Sync!$C$6)&amp;"",""))</f>
        <v/>
      </c>
      <c r="F1779" s="17">
        <f>IF(B1779="","","outreach_sent")</f>
        <v/>
      </c>
      <c r="G1779" s="17">
        <f>IF(B1779="","","")</f>
        <v/>
      </c>
      <c r="H1779" s="17">
        <f>IF(B1779="","","")</f>
        <v/>
      </c>
      <c r="I1779" s="17">
        <f>IF(B1779="","","")</f>
        <v/>
      </c>
      <c r="J1779" s="17">
        <f>IF(B1779="","","touch_1; "&amp;IFERROR(INDEX(Clay_Offices!$A$2:$FZ$601,128,Sync!$C$10)&amp;"","")&amp;"; "&amp;IFERROR(INDEX(Clay_Offices!$A$2:$FZ$601,128,Sync!$C$9)&amp;"",""))</f>
        <v/>
      </c>
      <c r="K1779" t="inlineStr">
        <is>
          <t>office outreach touch 1</t>
        </is>
      </c>
    </row>
    <row r="1780">
      <c r="A1780" s="17">
        <f>IF(B1780="","",B1780+(12*1000+129)/10000000)</f>
        <v/>
      </c>
      <c r="B1780" s="23">
        <f>IF(AND(IFERROR(N(INDEX(Clay_Offices!$A$2:$FZ$601,129,Sync!$C$11)),0)&gt;0,IFERROR(INDEX(Clay_Offices!$A$2:$FZ$601,129,Sync!$C$5)&amp;"","")&lt;&gt;"",OR(LEFT(IFERROR(INDEX(Clay_Offices!$A$2:$FZ$601,129,Sync!$C$5)&amp;"",""),6)&lt;&gt;"SAMPLE",Config!$B$19="Y")),IFERROR(N(INDEX(Clay_Offices!$A$2:$FZ$601,129,Sync!$C$11)),0),"")</f>
        <v/>
      </c>
      <c r="C1780" s="17">
        <f>IF(B1780="","","office")</f>
        <v/>
      </c>
      <c r="D1780" s="17">
        <f>IF(B1780="","",IFERROR(INDEX(Clay_Offices!$A$2:$FZ$601,129,Sync!$C$5)&amp;"",""))</f>
        <v/>
      </c>
      <c r="E1780" s="17">
        <f>IF(B1780="","",IFERROR(INDEX(Clay_Offices!$A$2:$FZ$601,129,Sync!$C$6)&amp;"",""))</f>
        <v/>
      </c>
      <c r="F1780" s="17">
        <f>IF(B1780="","","outreach_sent")</f>
        <v/>
      </c>
      <c r="G1780" s="17">
        <f>IF(B1780="","","")</f>
        <v/>
      </c>
      <c r="H1780" s="17">
        <f>IF(B1780="","","")</f>
        <v/>
      </c>
      <c r="I1780" s="17">
        <f>IF(B1780="","","")</f>
        <v/>
      </c>
      <c r="J1780" s="17">
        <f>IF(B1780="","","touch_1; "&amp;IFERROR(INDEX(Clay_Offices!$A$2:$FZ$601,129,Sync!$C$10)&amp;"","")&amp;"; "&amp;IFERROR(INDEX(Clay_Offices!$A$2:$FZ$601,129,Sync!$C$9)&amp;"",""))</f>
        <v/>
      </c>
      <c r="K1780" t="inlineStr">
        <is>
          <t>office outreach touch 1</t>
        </is>
      </c>
    </row>
    <row r="1781">
      <c r="A1781" s="17">
        <f>IF(B1781="","",B1781+(12*1000+130)/10000000)</f>
        <v/>
      </c>
      <c r="B1781" s="23">
        <f>IF(AND(IFERROR(N(INDEX(Clay_Offices!$A$2:$FZ$601,130,Sync!$C$11)),0)&gt;0,IFERROR(INDEX(Clay_Offices!$A$2:$FZ$601,130,Sync!$C$5)&amp;"","")&lt;&gt;"",OR(LEFT(IFERROR(INDEX(Clay_Offices!$A$2:$FZ$601,130,Sync!$C$5)&amp;"",""),6)&lt;&gt;"SAMPLE",Config!$B$19="Y")),IFERROR(N(INDEX(Clay_Offices!$A$2:$FZ$601,130,Sync!$C$11)),0),"")</f>
        <v/>
      </c>
      <c r="C1781" s="17">
        <f>IF(B1781="","","office")</f>
        <v/>
      </c>
      <c r="D1781" s="17">
        <f>IF(B1781="","",IFERROR(INDEX(Clay_Offices!$A$2:$FZ$601,130,Sync!$C$5)&amp;"",""))</f>
        <v/>
      </c>
      <c r="E1781" s="17">
        <f>IF(B1781="","",IFERROR(INDEX(Clay_Offices!$A$2:$FZ$601,130,Sync!$C$6)&amp;"",""))</f>
        <v/>
      </c>
      <c r="F1781" s="17">
        <f>IF(B1781="","","outreach_sent")</f>
        <v/>
      </c>
      <c r="G1781" s="17">
        <f>IF(B1781="","","")</f>
        <v/>
      </c>
      <c r="H1781" s="17">
        <f>IF(B1781="","","")</f>
        <v/>
      </c>
      <c r="I1781" s="17">
        <f>IF(B1781="","","")</f>
        <v/>
      </c>
      <c r="J1781" s="17">
        <f>IF(B1781="","","touch_1; "&amp;IFERROR(INDEX(Clay_Offices!$A$2:$FZ$601,130,Sync!$C$10)&amp;"","")&amp;"; "&amp;IFERROR(INDEX(Clay_Offices!$A$2:$FZ$601,130,Sync!$C$9)&amp;"",""))</f>
        <v/>
      </c>
      <c r="K1781" t="inlineStr">
        <is>
          <t>office outreach touch 1</t>
        </is>
      </c>
    </row>
    <row r="1782">
      <c r="A1782" s="17">
        <f>IF(B1782="","",B1782+(12*1000+131)/10000000)</f>
        <v/>
      </c>
      <c r="B1782" s="23">
        <f>IF(AND(IFERROR(N(INDEX(Clay_Offices!$A$2:$FZ$601,131,Sync!$C$11)),0)&gt;0,IFERROR(INDEX(Clay_Offices!$A$2:$FZ$601,131,Sync!$C$5)&amp;"","")&lt;&gt;"",OR(LEFT(IFERROR(INDEX(Clay_Offices!$A$2:$FZ$601,131,Sync!$C$5)&amp;"",""),6)&lt;&gt;"SAMPLE",Config!$B$19="Y")),IFERROR(N(INDEX(Clay_Offices!$A$2:$FZ$601,131,Sync!$C$11)),0),"")</f>
        <v/>
      </c>
      <c r="C1782" s="17">
        <f>IF(B1782="","","office")</f>
        <v/>
      </c>
      <c r="D1782" s="17">
        <f>IF(B1782="","",IFERROR(INDEX(Clay_Offices!$A$2:$FZ$601,131,Sync!$C$5)&amp;"",""))</f>
        <v/>
      </c>
      <c r="E1782" s="17">
        <f>IF(B1782="","",IFERROR(INDEX(Clay_Offices!$A$2:$FZ$601,131,Sync!$C$6)&amp;"",""))</f>
        <v/>
      </c>
      <c r="F1782" s="17">
        <f>IF(B1782="","","outreach_sent")</f>
        <v/>
      </c>
      <c r="G1782" s="17">
        <f>IF(B1782="","","")</f>
        <v/>
      </c>
      <c r="H1782" s="17">
        <f>IF(B1782="","","")</f>
        <v/>
      </c>
      <c r="I1782" s="17">
        <f>IF(B1782="","","")</f>
        <v/>
      </c>
      <c r="J1782" s="17">
        <f>IF(B1782="","","touch_1; "&amp;IFERROR(INDEX(Clay_Offices!$A$2:$FZ$601,131,Sync!$C$10)&amp;"","")&amp;"; "&amp;IFERROR(INDEX(Clay_Offices!$A$2:$FZ$601,131,Sync!$C$9)&amp;"",""))</f>
        <v/>
      </c>
      <c r="K1782" t="inlineStr">
        <is>
          <t>office outreach touch 1</t>
        </is>
      </c>
    </row>
    <row r="1783">
      <c r="A1783" s="17">
        <f>IF(B1783="","",B1783+(12*1000+132)/10000000)</f>
        <v/>
      </c>
      <c r="B1783" s="23">
        <f>IF(AND(IFERROR(N(INDEX(Clay_Offices!$A$2:$FZ$601,132,Sync!$C$11)),0)&gt;0,IFERROR(INDEX(Clay_Offices!$A$2:$FZ$601,132,Sync!$C$5)&amp;"","")&lt;&gt;"",OR(LEFT(IFERROR(INDEX(Clay_Offices!$A$2:$FZ$601,132,Sync!$C$5)&amp;"",""),6)&lt;&gt;"SAMPLE",Config!$B$19="Y")),IFERROR(N(INDEX(Clay_Offices!$A$2:$FZ$601,132,Sync!$C$11)),0),"")</f>
        <v/>
      </c>
      <c r="C1783" s="17">
        <f>IF(B1783="","","office")</f>
        <v/>
      </c>
      <c r="D1783" s="17">
        <f>IF(B1783="","",IFERROR(INDEX(Clay_Offices!$A$2:$FZ$601,132,Sync!$C$5)&amp;"",""))</f>
        <v/>
      </c>
      <c r="E1783" s="17">
        <f>IF(B1783="","",IFERROR(INDEX(Clay_Offices!$A$2:$FZ$601,132,Sync!$C$6)&amp;"",""))</f>
        <v/>
      </c>
      <c r="F1783" s="17">
        <f>IF(B1783="","","outreach_sent")</f>
        <v/>
      </c>
      <c r="G1783" s="17">
        <f>IF(B1783="","","")</f>
        <v/>
      </c>
      <c r="H1783" s="17">
        <f>IF(B1783="","","")</f>
        <v/>
      </c>
      <c r="I1783" s="17">
        <f>IF(B1783="","","")</f>
        <v/>
      </c>
      <c r="J1783" s="17">
        <f>IF(B1783="","","touch_1; "&amp;IFERROR(INDEX(Clay_Offices!$A$2:$FZ$601,132,Sync!$C$10)&amp;"","")&amp;"; "&amp;IFERROR(INDEX(Clay_Offices!$A$2:$FZ$601,132,Sync!$C$9)&amp;"",""))</f>
        <v/>
      </c>
      <c r="K1783" t="inlineStr">
        <is>
          <t>office outreach touch 1</t>
        </is>
      </c>
    </row>
    <row r="1784">
      <c r="A1784" s="17">
        <f>IF(B1784="","",B1784+(12*1000+133)/10000000)</f>
        <v/>
      </c>
      <c r="B1784" s="23">
        <f>IF(AND(IFERROR(N(INDEX(Clay_Offices!$A$2:$FZ$601,133,Sync!$C$11)),0)&gt;0,IFERROR(INDEX(Clay_Offices!$A$2:$FZ$601,133,Sync!$C$5)&amp;"","")&lt;&gt;"",OR(LEFT(IFERROR(INDEX(Clay_Offices!$A$2:$FZ$601,133,Sync!$C$5)&amp;"",""),6)&lt;&gt;"SAMPLE",Config!$B$19="Y")),IFERROR(N(INDEX(Clay_Offices!$A$2:$FZ$601,133,Sync!$C$11)),0),"")</f>
        <v/>
      </c>
      <c r="C1784" s="17">
        <f>IF(B1784="","","office")</f>
        <v/>
      </c>
      <c r="D1784" s="17">
        <f>IF(B1784="","",IFERROR(INDEX(Clay_Offices!$A$2:$FZ$601,133,Sync!$C$5)&amp;"",""))</f>
        <v/>
      </c>
      <c r="E1784" s="17">
        <f>IF(B1784="","",IFERROR(INDEX(Clay_Offices!$A$2:$FZ$601,133,Sync!$C$6)&amp;"",""))</f>
        <v/>
      </c>
      <c r="F1784" s="17">
        <f>IF(B1784="","","outreach_sent")</f>
        <v/>
      </c>
      <c r="G1784" s="17">
        <f>IF(B1784="","","")</f>
        <v/>
      </c>
      <c r="H1784" s="17">
        <f>IF(B1784="","","")</f>
        <v/>
      </c>
      <c r="I1784" s="17">
        <f>IF(B1784="","","")</f>
        <v/>
      </c>
      <c r="J1784" s="17">
        <f>IF(B1784="","","touch_1; "&amp;IFERROR(INDEX(Clay_Offices!$A$2:$FZ$601,133,Sync!$C$10)&amp;"","")&amp;"; "&amp;IFERROR(INDEX(Clay_Offices!$A$2:$FZ$601,133,Sync!$C$9)&amp;"",""))</f>
        <v/>
      </c>
      <c r="K1784" t="inlineStr">
        <is>
          <t>office outreach touch 1</t>
        </is>
      </c>
    </row>
    <row r="1785">
      <c r="A1785" s="17">
        <f>IF(B1785="","",B1785+(12*1000+134)/10000000)</f>
        <v/>
      </c>
      <c r="B1785" s="23">
        <f>IF(AND(IFERROR(N(INDEX(Clay_Offices!$A$2:$FZ$601,134,Sync!$C$11)),0)&gt;0,IFERROR(INDEX(Clay_Offices!$A$2:$FZ$601,134,Sync!$C$5)&amp;"","")&lt;&gt;"",OR(LEFT(IFERROR(INDEX(Clay_Offices!$A$2:$FZ$601,134,Sync!$C$5)&amp;"",""),6)&lt;&gt;"SAMPLE",Config!$B$19="Y")),IFERROR(N(INDEX(Clay_Offices!$A$2:$FZ$601,134,Sync!$C$11)),0),"")</f>
        <v/>
      </c>
      <c r="C1785" s="17">
        <f>IF(B1785="","","office")</f>
        <v/>
      </c>
      <c r="D1785" s="17">
        <f>IF(B1785="","",IFERROR(INDEX(Clay_Offices!$A$2:$FZ$601,134,Sync!$C$5)&amp;"",""))</f>
        <v/>
      </c>
      <c r="E1785" s="17">
        <f>IF(B1785="","",IFERROR(INDEX(Clay_Offices!$A$2:$FZ$601,134,Sync!$C$6)&amp;"",""))</f>
        <v/>
      </c>
      <c r="F1785" s="17">
        <f>IF(B1785="","","outreach_sent")</f>
        <v/>
      </c>
      <c r="G1785" s="17">
        <f>IF(B1785="","","")</f>
        <v/>
      </c>
      <c r="H1785" s="17">
        <f>IF(B1785="","","")</f>
        <v/>
      </c>
      <c r="I1785" s="17">
        <f>IF(B1785="","","")</f>
        <v/>
      </c>
      <c r="J1785" s="17">
        <f>IF(B1785="","","touch_1; "&amp;IFERROR(INDEX(Clay_Offices!$A$2:$FZ$601,134,Sync!$C$10)&amp;"","")&amp;"; "&amp;IFERROR(INDEX(Clay_Offices!$A$2:$FZ$601,134,Sync!$C$9)&amp;"",""))</f>
        <v/>
      </c>
      <c r="K1785" t="inlineStr">
        <is>
          <t>office outreach touch 1</t>
        </is>
      </c>
    </row>
    <row r="1786">
      <c r="A1786" s="17">
        <f>IF(B1786="","",B1786+(12*1000+135)/10000000)</f>
        <v/>
      </c>
      <c r="B1786" s="23">
        <f>IF(AND(IFERROR(N(INDEX(Clay_Offices!$A$2:$FZ$601,135,Sync!$C$11)),0)&gt;0,IFERROR(INDEX(Clay_Offices!$A$2:$FZ$601,135,Sync!$C$5)&amp;"","")&lt;&gt;"",OR(LEFT(IFERROR(INDEX(Clay_Offices!$A$2:$FZ$601,135,Sync!$C$5)&amp;"",""),6)&lt;&gt;"SAMPLE",Config!$B$19="Y")),IFERROR(N(INDEX(Clay_Offices!$A$2:$FZ$601,135,Sync!$C$11)),0),"")</f>
        <v/>
      </c>
      <c r="C1786" s="17">
        <f>IF(B1786="","","office")</f>
        <v/>
      </c>
      <c r="D1786" s="17">
        <f>IF(B1786="","",IFERROR(INDEX(Clay_Offices!$A$2:$FZ$601,135,Sync!$C$5)&amp;"",""))</f>
        <v/>
      </c>
      <c r="E1786" s="17">
        <f>IF(B1786="","",IFERROR(INDEX(Clay_Offices!$A$2:$FZ$601,135,Sync!$C$6)&amp;"",""))</f>
        <v/>
      </c>
      <c r="F1786" s="17">
        <f>IF(B1786="","","outreach_sent")</f>
        <v/>
      </c>
      <c r="G1786" s="17">
        <f>IF(B1786="","","")</f>
        <v/>
      </c>
      <c r="H1786" s="17">
        <f>IF(B1786="","","")</f>
        <v/>
      </c>
      <c r="I1786" s="17">
        <f>IF(B1786="","","")</f>
        <v/>
      </c>
      <c r="J1786" s="17">
        <f>IF(B1786="","","touch_1; "&amp;IFERROR(INDEX(Clay_Offices!$A$2:$FZ$601,135,Sync!$C$10)&amp;"","")&amp;"; "&amp;IFERROR(INDEX(Clay_Offices!$A$2:$FZ$601,135,Sync!$C$9)&amp;"",""))</f>
        <v/>
      </c>
      <c r="K1786" t="inlineStr">
        <is>
          <t>office outreach touch 1</t>
        </is>
      </c>
    </row>
    <row r="1787">
      <c r="A1787" s="17">
        <f>IF(B1787="","",B1787+(12*1000+136)/10000000)</f>
        <v/>
      </c>
      <c r="B1787" s="23">
        <f>IF(AND(IFERROR(N(INDEX(Clay_Offices!$A$2:$FZ$601,136,Sync!$C$11)),0)&gt;0,IFERROR(INDEX(Clay_Offices!$A$2:$FZ$601,136,Sync!$C$5)&amp;"","")&lt;&gt;"",OR(LEFT(IFERROR(INDEX(Clay_Offices!$A$2:$FZ$601,136,Sync!$C$5)&amp;"",""),6)&lt;&gt;"SAMPLE",Config!$B$19="Y")),IFERROR(N(INDEX(Clay_Offices!$A$2:$FZ$601,136,Sync!$C$11)),0),"")</f>
        <v/>
      </c>
      <c r="C1787" s="17">
        <f>IF(B1787="","","office")</f>
        <v/>
      </c>
      <c r="D1787" s="17">
        <f>IF(B1787="","",IFERROR(INDEX(Clay_Offices!$A$2:$FZ$601,136,Sync!$C$5)&amp;"",""))</f>
        <v/>
      </c>
      <c r="E1787" s="17">
        <f>IF(B1787="","",IFERROR(INDEX(Clay_Offices!$A$2:$FZ$601,136,Sync!$C$6)&amp;"",""))</f>
        <v/>
      </c>
      <c r="F1787" s="17">
        <f>IF(B1787="","","outreach_sent")</f>
        <v/>
      </c>
      <c r="G1787" s="17">
        <f>IF(B1787="","","")</f>
        <v/>
      </c>
      <c r="H1787" s="17">
        <f>IF(B1787="","","")</f>
        <v/>
      </c>
      <c r="I1787" s="17">
        <f>IF(B1787="","","")</f>
        <v/>
      </c>
      <c r="J1787" s="17">
        <f>IF(B1787="","","touch_1; "&amp;IFERROR(INDEX(Clay_Offices!$A$2:$FZ$601,136,Sync!$C$10)&amp;"","")&amp;"; "&amp;IFERROR(INDEX(Clay_Offices!$A$2:$FZ$601,136,Sync!$C$9)&amp;"",""))</f>
        <v/>
      </c>
      <c r="K1787" t="inlineStr">
        <is>
          <t>office outreach touch 1</t>
        </is>
      </c>
    </row>
    <row r="1788">
      <c r="A1788" s="17">
        <f>IF(B1788="","",B1788+(12*1000+137)/10000000)</f>
        <v/>
      </c>
      <c r="B1788" s="23">
        <f>IF(AND(IFERROR(N(INDEX(Clay_Offices!$A$2:$FZ$601,137,Sync!$C$11)),0)&gt;0,IFERROR(INDEX(Clay_Offices!$A$2:$FZ$601,137,Sync!$C$5)&amp;"","")&lt;&gt;"",OR(LEFT(IFERROR(INDEX(Clay_Offices!$A$2:$FZ$601,137,Sync!$C$5)&amp;"",""),6)&lt;&gt;"SAMPLE",Config!$B$19="Y")),IFERROR(N(INDEX(Clay_Offices!$A$2:$FZ$601,137,Sync!$C$11)),0),"")</f>
        <v/>
      </c>
      <c r="C1788" s="17">
        <f>IF(B1788="","","office")</f>
        <v/>
      </c>
      <c r="D1788" s="17">
        <f>IF(B1788="","",IFERROR(INDEX(Clay_Offices!$A$2:$FZ$601,137,Sync!$C$5)&amp;"",""))</f>
        <v/>
      </c>
      <c r="E1788" s="17">
        <f>IF(B1788="","",IFERROR(INDEX(Clay_Offices!$A$2:$FZ$601,137,Sync!$C$6)&amp;"",""))</f>
        <v/>
      </c>
      <c r="F1788" s="17">
        <f>IF(B1788="","","outreach_sent")</f>
        <v/>
      </c>
      <c r="G1788" s="17">
        <f>IF(B1788="","","")</f>
        <v/>
      </c>
      <c r="H1788" s="17">
        <f>IF(B1788="","","")</f>
        <v/>
      </c>
      <c r="I1788" s="17">
        <f>IF(B1788="","","")</f>
        <v/>
      </c>
      <c r="J1788" s="17">
        <f>IF(B1788="","","touch_1; "&amp;IFERROR(INDEX(Clay_Offices!$A$2:$FZ$601,137,Sync!$C$10)&amp;"","")&amp;"; "&amp;IFERROR(INDEX(Clay_Offices!$A$2:$FZ$601,137,Sync!$C$9)&amp;"",""))</f>
        <v/>
      </c>
      <c r="K1788" t="inlineStr">
        <is>
          <t>office outreach touch 1</t>
        </is>
      </c>
    </row>
    <row r="1789">
      <c r="A1789" s="17">
        <f>IF(B1789="","",B1789+(12*1000+138)/10000000)</f>
        <v/>
      </c>
      <c r="B1789" s="23">
        <f>IF(AND(IFERROR(N(INDEX(Clay_Offices!$A$2:$FZ$601,138,Sync!$C$11)),0)&gt;0,IFERROR(INDEX(Clay_Offices!$A$2:$FZ$601,138,Sync!$C$5)&amp;"","")&lt;&gt;"",OR(LEFT(IFERROR(INDEX(Clay_Offices!$A$2:$FZ$601,138,Sync!$C$5)&amp;"",""),6)&lt;&gt;"SAMPLE",Config!$B$19="Y")),IFERROR(N(INDEX(Clay_Offices!$A$2:$FZ$601,138,Sync!$C$11)),0),"")</f>
        <v/>
      </c>
      <c r="C1789" s="17">
        <f>IF(B1789="","","office")</f>
        <v/>
      </c>
      <c r="D1789" s="17">
        <f>IF(B1789="","",IFERROR(INDEX(Clay_Offices!$A$2:$FZ$601,138,Sync!$C$5)&amp;"",""))</f>
        <v/>
      </c>
      <c r="E1789" s="17">
        <f>IF(B1789="","",IFERROR(INDEX(Clay_Offices!$A$2:$FZ$601,138,Sync!$C$6)&amp;"",""))</f>
        <v/>
      </c>
      <c r="F1789" s="17">
        <f>IF(B1789="","","outreach_sent")</f>
        <v/>
      </c>
      <c r="G1789" s="17">
        <f>IF(B1789="","","")</f>
        <v/>
      </c>
      <c r="H1789" s="17">
        <f>IF(B1789="","","")</f>
        <v/>
      </c>
      <c r="I1789" s="17">
        <f>IF(B1789="","","")</f>
        <v/>
      </c>
      <c r="J1789" s="17">
        <f>IF(B1789="","","touch_1; "&amp;IFERROR(INDEX(Clay_Offices!$A$2:$FZ$601,138,Sync!$C$10)&amp;"","")&amp;"; "&amp;IFERROR(INDEX(Clay_Offices!$A$2:$FZ$601,138,Sync!$C$9)&amp;"",""))</f>
        <v/>
      </c>
      <c r="K1789" t="inlineStr">
        <is>
          <t>office outreach touch 1</t>
        </is>
      </c>
    </row>
    <row r="1790">
      <c r="A1790" s="17">
        <f>IF(B1790="","",B1790+(12*1000+139)/10000000)</f>
        <v/>
      </c>
      <c r="B1790" s="23">
        <f>IF(AND(IFERROR(N(INDEX(Clay_Offices!$A$2:$FZ$601,139,Sync!$C$11)),0)&gt;0,IFERROR(INDEX(Clay_Offices!$A$2:$FZ$601,139,Sync!$C$5)&amp;"","")&lt;&gt;"",OR(LEFT(IFERROR(INDEX(Clay_Offices!$A$2:$FZ$601,139,Sync!$C$5)&amp;"",""),6)&lt;&gt;"SAMPLE",Config!$B$19="Y")),IFERROR(N(INDEX(Clay_Offices!$A$2:$FZ$601,139,Sync!$C$11)),0),"")</f>
        <v/>
      </c>
      <c r="C1790" s="17">
        <f>IF(B1790="","","office")</f>
        <v/>
      </c>
      <c r="D1790" s="17">
        <f>IF(B1790="","",IFERROR(INDEX(Clay_Offices!$A$2:$FZ$601,139,Sync!$C$5)&amp;"",""))</f>
        <v/>
      </c>
      <c r="E1790" s="17">
        <f>IF(B1790="","",IFERROR(INDEX(Clay_Offices!$A$2:$FZ$601,139,Sync!$C$6)&amp;"",""))</f>
        <v/>
      </c>
      <c r="F1790" s="17">
        <f>IF(B1790="","","outreach_sent")</f>
        <v/>
      </c>
      <c r="G1790" s="17">
        <f>IF(B1790="","","")</f>
        <v/>
      </c>
      <c r="H1790" s="17">
        <f>IF(B1790="","","")</f>
        <v/>
      </c>
      <c r="I1790" s="17">
        <f>IF(B1790="","","")</f>
        <v/>
      </c>
      <c r="J1790" s="17">
        <f>IF(B1790="","","touch_1; "&amp;IFERROR(INDEX(Clay_Offices!$A$2:$FZ$601,139,Sync!$C$10)&amp;"","")&amp;"; "&amp;IFERROR(INDEX(Clay_Offices!$A$2:$FZ$601,139,Sync!$C$9)&amp;"",""))</f>
        <v/>
      </c>
      <c r="K1790" t="inlineStr">
        <is>
          <t>office outreach touch 1</t>
        </is>
      </c>
    </row>
    <row r="1791">
      <c r="A1791" s="17">
        <f>IF(B1791="","",B1791+(12*1000+140)/10000000)</f>
        <v/>
      </c>
      <c r="B1791" s="23">
        <f>IF(AND(IFERROR(N(INDEX(Clay_Offices!$A$2:$FZ$601,140,Sync!$C$11)),0)&gt;0,IFERROR(INDEX(Clay_Offices!$A$2:$FZ$601,140,Sync!$C$5)&amp;"","")&lt;&gt;"",OR(LEFT(IFERROR(INDEX(Clay_Offices!$A$2:$FZ$601,140,Sync!$C$5)&amp;"",""),6)&lt;&gt;"SAMPLE",Config!$B$19="Y")),IFERROR(N(INDEX(Clay_Offices!$A$2:$FZ$601,140,Sync!$C$11)),0),"")</f>
        <v/>
      </c>
      <c r="C1791" s="17">
        <f>IF(B1791="","","office")</f>
        <v/>
      </c>
      <c r="D1791" s="17">
        <f>IF(B1791="","",IFERROR(INDEX(Clay_Offices!$A$2:$FZ$601,140,Sync!$C$5)&amp;"",""))</f>
        <v/>
      </c>
      <c r="E1791" s="17">
        <f>IF(B1791="","",IFERROR(INDEX(Clay_Offices!$A$2:$FZ$601,140,Sync!$C$6)&amp;"",""))</f>
        <v/>
      </c>
      <c r="F1791" s="17">
        <f>IF(B1791="","","outreach_sent")</f>
        <v/>
      </c>
      <c r="G1791" s="17">
        <f>IF(B1791="","","")</f>
        <v/>
      </c>
      <c r="H1791" s="17">
        <f>IF(B1791="","","")</f>
        <v/>
      </c>
      <c r="I1791" s="17">
        <f>IF(B1791="","","")</f>
        <v/>
      </c>
      <c r="J1791" s="17">
        <f>IF(B1791="","","touch_1; "&amp;IFERROR(INDEX(Clay_Offices!$A$2:$FZ$601,140,Sync!$C$10)&amp;"","")&amp;"; "&amp;IFERROR(INDEX(Clay_Offices!$A$2:$FZ$601,140,Sync!$C$9)&amp;"",""))</f>
        <v/>
      </c>
      <c r="K1791" t="inlineStr">
        <is>
          <t>office outreach touch 1</t>
        </is>
      </c>
    </row>
    <row r="1792">
      <c r="A1792" s="17">
        <f>IF(B1792="","",B1792+(12*1000+141)/10000000)</f>
        <v/>
      </c>
      <c r="B1792" s="23">
        <f>IF(AND(IFERROR(N(INDEX(Clay_Offices!$A$2:$FZ$601,141,Sync!$C$11)),0)&gt;0,IFERROR(INDEX(Clay_Offices!$A$2:$FZ$601,141,Sync!$C$5)&amp;"","")&lt;&gt;"",OR(LEFT(IFERROR(INDEX(Clay_Offices!$A$2:$FZ$601,141,Sync!$C$5)&amp;"",""),6)&lt;&gt;"SAMPLE",Config!$B$19="Y")),IFERROR(N(INDEX(Clay_Offices!$A$2:$FZ$601,141,Sync!$C$11)),0),"")</f>
        <v/>
      </c>
      <c r="C1792" s="17">
        <f>IF(B1792="","","office")</f>
        <v/>
      </c>
      <c r="D1792" s="17">
        <f>IF(B1792="","",IFERROR(INDEX(Clay_Offices!$A$2:$FZ$601,141,Sync!$C$5)&amp;"",""))</f>
        <v/>
      </c>
      <c r="E1792" s="17">
        <f>IF(B1792="","",IFERROR(INDEX(Clay_Offices!$A$2:$FZ$601,141,Sync!$C$6)&amp;"",""))</f>
        <v/>
      </c>
      <c r="F1792" s="17">
        <f>IF(B1792="","","outreach_sent")</f>
        <v/>
      </c>
      <c r="G1792" s="17">
        <f>IF(B1792="","","")</f>
        <v/>
      </c>
      <c r="H1792" s="17">
        <f>IF(B1792="","","")</f>
        <v/>
      </c>
      <c r="I1792" s="17">
        <f>IF(B1792="","","")</f>
        <v/>
      </c>
      <c r="J1792" s="17">
        <f>IF(B1792="","","touch_1; "&amp;IFERROR(INDEX(Clay_Offices!$A$2:$FZ$601,141,Sync!$C$10)&amp;"","")&amp;"; "&amp;IFERROR(INDEX(Clay_Offices!$A$2:$FZ$601,141,Sync!$C$9)&amp;"",""))</f>
        <v/>
      </c>
      <c r="K1792" t="inlineStr">
        <is>
          <t>office outreach touch 1</t>
        </is>
      </c>
    </row>
    <row r="1793">
      <c r="A1793" s="17">
        <f>IF(B1793="","",B1793+(12*1000+142)/10000000)</f>
        <v/>
      </c>
      <c r="B1793" s="23">
        <f>IF(AND(IFERROR(N(INDEX(Clay_Offices!$A$2:$FZ$601,142,Sync!$C$11)),0)&gt;0,IFERROR(INDEX(Clay_Offices!$A$2:$FZ$601,142,Sync!$C$5)&amp;"","")&lt;&gt;"",OR(LEFT(IFERROR(INDEX(Clay_Offices!$A$2:$FZ$601,142,Sync!$C$5)&amp;"",""),6)&lt;&gt;"SAMPLE",Config!$B$19="Y")),IFERROR(N(INDEX(Clay_Offices!$A$2:$FZ$601,142,Sync!$C$11)),0),"")</f>
        <v/>
      </c>
      <c r="C1793" s="17">
        <f>IF(B1793="","","office")</f>
        <v/>
      </c>
      <c r="D1793" s="17">
        <f>IF(B1793="","",IFERROR(INDEX(Clay_Offices!$A$2:$FZ$601,142,Sync!$C$5)&amp;"",""))</f>
        <v/>
      </c>
      <c r="E1793" s="17">
        <f>IF(B1793="","",IFERROR(INDEX(Clay_Offices!$A$2:$FZ$601,142,Sync!$C$6)&amp;"",""))</f>
        <v/>
      </c>
      <c r="F1793" s="17">
        <f>IF(B1793="","","outreach_sent")</f>
        <v/>
      </c>
      <c r="G1793" s="17">
        <f>IF(B1793="","","")</f>
        <v/>
      </c>
      <c r="H1793" s="17">
        <f>IF(B1793="","","")</f>
        <v/>
      </c>
      <c r="I1793" s="17">
        <f>IF(B1793="","","")</f>
        <v/>
      </c>
      <c r="J1793" s="17">
        <f>IF(B1793="","","touch_1; "&amp;IFERROR(INDEX(Clay_Offices!$A$2:$FZ$601,142,Sync!$C$10)&amp;"","")&amp;"; "&amp;IFERROR(INDEX(Clay_Offices!$A$2:$FZ$601,142,Sync!$C$9)&amp;"",""))</f>
        <v/>
      </c>
      <c r="K1793" t="inlineStr">
        <is>
          <t>office outreach touch 1</t>
        </is>
      </c>
    </row>
    <row r="1794">
      <c r="A1794" s="17">
        <f>IF(B1794="","",B1794+(12*1000+143)/10000000)</f>
        <v/>
      </c>
      <c r="B1794" s="23">
        <f>IF(AND(IFERROR(N(INDEX(Clay_Offices!$A$2:$FZ$601,143,Sync!$C$11)),0)&gt;0,IFERROR(INDEX(Clay_Offices!$A$2:$FZ$601,143,Sync!$C$5)&amp;"","")&lt;&gt;"",OR(LEFT(IFERROR(INDEX(Clay_Offices!$A$2:$FZ$601,143,Sync!$C$5)&amp;"",""),6)&lt;&gt;"SAMPLE",Config!$B$19="Y")),IFERROR(N(INDEX(Clay_Offices!$A$2:$FZ$601,143,Sync!$C$11)),0),"")</f>
        <v/>
      </c>
      <c r="C1794" s="17">
        <f>IF(B1794="","","office")</f>
        <v/>
      </c>
      <c r="D1794" s="17">
        <f>IF(B1794="","",IFERROR(INDEX(Clay_Offices!$A$2:$FZ$601,143,Sync!$C$5)&amp;"",""))</f>
        <v/>
      </c>
      <c r="E1794" s="17">
        <f>IF(B1794="","",IFERROR(INDEX(Clay_Offices!$A$2:$FZ$601,143,Sync!$C$6)&amp;"",""))</f>
        <v/>
      </c>
      <c r="F1794" s="17">
        <f>IF(B1794="","","outreach_sent")</f>
        <v/>
      </c>
      <c r="G1794" s="17">
        <f>IF(B1794="","","")</f>
        <v/>
      </c>
      <c r="H1794" s="17">
        <f>IF(B1794="","","")</f>
        <v/>
      </c>
      <c r="I1794" s="17">
        <f>IF(B1794="","","")</f>
        <v/>
      </c>
      <c r="J1794" s="17">
        <f>IF(B1794="","","touch_1; "&amp;IFERROR(INDEX(Clay_Offices!$A$2:$FZ$601,143,Sync!$C$10)&amp;"","")&amp;"; "&amp;IFERROR(INDEX(Clay_Offices!$A$2:$FZ$601,143,Sync!$C$9)&amp;"",""))</f>
        <v/>
      </c>
      <c r="K1794" t="inlineStr">
        <is>
          <t>office outreach touch 1</t>
        </is>
      </c>
    </row>
    <row r="1795">
      <c r="A1795" s="17">
        <f>IF(B1795="","",B1795+(12*1000+144)/10000000)</f>
        <v/>
      </c>
      <c r="B1795" s="23">
        <f>IF(AND(IFERROR(N(INDEX(Clay_Offices!$A$2:$FZ$601,144,Sync!$C$11)),0)&gt;0,IFERROR(INDEX(Clay_Offices!$A$2:$FZ$601,144,Sync!$C$5)&amp;"","")&lt;&gt;"",OR(LEFT(IFERROR(INDEX(Clay_Offices!$A$2:$FZ$601,144,Sync!$C$5)&amp;"",""),6)&lt;&gt;"SAMPLE",Config!$B$19="Y")),IFERROR(N(INDEX(Clay_Offices!$A$2:$FZ$601,144,Sync!$C$11)),0),"")</f>
        <v/>
      </c>
      <c r="C1795" s="17">
        <f>IF(B1795="","","office")</f>
        <v/>
      </c>
      <c r="D1795" s="17">
        <f>IF(B1795="","",IFERROR(INDEX(Clay_Offices!$A$2:$FZ$601,144,Sync!$C$5)&amp;"",""))</f>
        <v/>
      </c>
      <c r="E1795" s="17">
        <f>IF(B1795="","",IFERROR(INDEX(Clay_Offices!$A$2:$FZ$601,144,Sync!$C$6)&amp;"",""))</f>
        <v/>
      </c>
      <c r="F1795" s="17">
        <f>IF(B1795="","","outreach_sent")</f>
        <v/>
      </c>
      <c r="G1795" s="17">
        <f>IF(B1795="","","")</f>
        <v/>
      </c>
      <c r="H1795" s="17">
        <f>IF(B1795="","","")</f>
        <v/>
      </c>
      <c r="I1795" s="17">
        <f>IF(B1795="","","")</f>
        <v/>
      </c>
      <c r="J1795" s="17">
        <f>IF(B1795="","","touch_1; "&amp;IFERROR(INDEX(Clay_Offices!$A$2:$FZ$601,144,Sync!$C$10)&amp;"","")&amp;"; "&amp;IFERROR(INDEX(Clay_Offices!$A$2:$FZ$601,144,Sync!$C$9)&amp;"",""))</f>
        <v/>
      </c>
      <c r="K1795" t="inlineStr">
        <is>
          <t>office outreach touch 1</t>
        </is>
      </c>
    </row>
    <row r="1796">
      <c r="A1796" s="17">
        <f>IF(B1796="","",B1796+(12*1000+145)/10000000)</f>
        <v/>
      </c>
      <c r="B1796" s="23">
        <f>IF(AND(IFERROR(N(INDEX(Clay_Offices!$A$2:$FZ$601,145,Sync!$C$11)),0)&gt;0,IFERROR(INDEX(Clay_Offices!$A$2:$FZ$601,145,Sync!$C$5)&amp;"","")&lt;&gt;"",OR(LEFT(IFERROR(INDEX(Clay_Offices!$A$2:$FZ$601,145,Sync!$C$5)&amp;"",""),6)&lt;&gt;"SAMPLE",Config!$B$19="Y")),IFERROR(N(INDEX(Clay_Offices!$A$2:$FZ$601,145,Sync!$C$11)),0),"")</f>
        <v/>
      </c>
      <c r="C1796" s="17">
        <f>IF(B1796="","","office")</f>
        <v/>
      </c>
      <c r="D1796" s="17">
        <f>IF(B1796="","",IFERROR(INDEX(Clay_Offices!$A$2:$FZ$601,145,Sync!$C$5)&amp;"",""))</f>
        <v/>
      </c>
      <c r="E1796" s="17">
        <f>IF(B1796="","",IFERROR(INDEX(Clay_Offices!$A$2:$FZ$601,145,Sync!$C$6)&amp;"",""))</f>
        <v/>
      </c>
      <c r="F1796" s="17">
        <f>IF(B1796="","","outreach_sent")</f>
        <v/>
      </c>
      <c r="G1796" s="17">
        <f>IF(B1796="","","")</f>
        <v/>
      </c>
      <c r="H1796" s="17">
        <f>IF(B1796="","","")</f>
        <v/>
      </c>
      <c r="I1796" s="17">
        <f>IF(B1796="","","")</f>
        <v/>
      </c>
      <c r="J1796" s="17">
        <f>IF(B1796="","","touch_1; "&amp;IFERROR(INDEX(Clay_Offices!$A$2:$FZ$601,145,Sync!$C$10)&amp;"","")&amp;"; "&amp;IFERROR(INDEX(Clay_Offices!$A$2:$FZ$601,145,Sync!$C$9)&amp;"",""))</f>
        <v/>
      </c>
      <c r="K1796" t="inlineStr">
        <is>
          <t>office outreach touch 1</t>
        </is>
      </c>
    </row>
    <row r="1797">
      <c r="A1797" s="17">
        <f>IF(B1797="","",B1797+(12*1000+146)/10000000)</f>
        <v/>
      </c>
      <c r="B1797" s="23">
        <f>IF(AND(IFERROR(N(INDEX(Clay_Offices!$A$2:$FZ$601,146,Sync!$C$11)),0)&gt;0,IFERROR(INDEX(Clay_Offices!$A$2:$FZ$601,146,Sync!$C$5)&amp;"","")&lt;&gt;"",OR(LEFT(IFERROR(INDEX(Clay_Offices!$A$2:$FZ$601,146,Sync!$C$5)&amp;"",""),6)&lt;&gt;"SAMPLE",Config!$B$19="Y")),IFERROR(N(INDEX(Clay_Offices!$A$2:$FZ$601,146,Sync!$C$11)),0),"")</f>
        <v/>
      </c>
      <c r="C1797" s="17">
        <f>IF(B1797="","","office")</f>
        <v/>
      </c>
      <c r="D1797" s="17">
        <f>IF(B1797="","",IFERROR(INDEX(Clay_Offices!$A$2:$FZ$601,146,Sync!$C$5)&amp;"",""))</f>
        <v/>
      </c>
      <c r="E1797" s="17">
        <f>IF(B1797="","",IFERROR(INDEX(Clay_Offices!$A$2:$FZ$601,146,Sync!$C$6)&amp;"",""))</f>
        <v/>
      </c>
      <c r="F1797" s="17">
        <f>IF(B1797="","","outreach_sent")</f>
        <v/>
      </c>
      <c r="G1797" s="17">
        <f>IF(B1797="","","")</f>
        <v/>
      </c>
      <c r="H1797" s="17">
        <f>IF(B1797="","","")</f>
        <v/>
      </c>
      <c r="I1797" s="17">
        <f>IF(B1797="","","")</f>
        <v/>
      </c>
      <c r="J1797" s="17">
        <f>IF(B1797="","","touch_1; "&amp;IFERROR(INDEX(Clay_Offices!$A$2:$FZ$601,146,Sync!$C$10)&amp;"","")&amp;"; "&amp;IFERROR(INDEX(Clay_Offices!$A$2:$FZ$601,146,Sync!$C$9)&amp;"",""))</f>
        <v/>
      </c>
      <c r="K1797" t="inlineStr">
        <is>
          <t>office outreach touch 1</t>
        </is>
      </c>
    </row>
    <row r="1798">
      <c r="A1798" s="17">
        <f>IF(B1798="","",B1798+(12*1000+147)/10000000)</f>
        <v/>
      </c>
      <c r="B1798" s="23">
        <f>IF(AND(IFERROR(N(INDEX(Clay_Offices!$A$2:$FZ$601,147,Sync!$C$11)),0)&gt;0,IFERROR(INDEX(Clay_Offices!$A$2:$FZ$601,147,Sync!$C$5)&amp;"","")&lt;&gt;"",OR(LEFT(IFERROR(INDEX(Clay_Offices!$A$2:$FZ$601,147,Sync!$C$5)&amp;"",""),6)&lt;&gt;"SAMPLE",Config!$B$19="Y")),IFERROR(N(INDEX(Clay_Offices!$A$2:$FZ$601,147,Sync!$C$11)),0),"")</f>
        <v/>
      </c>
      <c r="C1798" s="17">
        <f>IF(B1798="","","office")</f>
        <v/>
      </c>
      <c r="D1798" s="17">
        <f>IF(B1798="","",IFERROR(INDEX(Clay_Offices!$A$2:$FZ$601,147,Sync!$C$5)&amp;"",""))</f>
        <v/>
      </c>
      <c r="E1798" s="17">
        <f>IF(B1798="","",IFERROR(INDEX(Clay_Offices!$A$2:$FZ$601,147,Sync!$C$6)&amp;"",""))</f>
        <v/>
      </c>
      <c r="F1798" s="17">
        <f>IF(B1798="","","outreach_sent")</f>
        <v/>
      </c>
      <c r="G1798" s="17">
        <f>IF(B1798="","","")</f>
        <v/>
      </c>
      <c r="H1798" s="17">
        <f>IF(B1798="","","")</f>
        <v/>
      </c>
      <c r="I1798" s="17">
        <f>IF(B1798="","","")</f>
        <v/>
      </c>
      <c r="J1798" s="17">
        <f>IF(B1798="","","touch_1; "&amp;IFERROR(INDEX(Clay_Offices!$A$2:$FZ$601,147,Sync!$C$10)&amp;"","")&amp;"; "&amp;IFERROR(INDEX(Clay_Offices!$A$2:$FZ$601,147,Sync!$C$9)&amp;"",""))</f>
        <v/>
      </c>
      <c r="K1798" t="inlineStr">
        <is>
          <t>office outreach touch 1</t>
        </is>
      </c>
    </row>
    <row r="1799">
      <c r="A1799" s="17">
        <f>IF(B1799="","",B1799+(12*1000+148)/10000000)</f>
        <v/>
      </c>
      <c r="B1799" s="23">
        <f>IF(AND(IFERROR(N(INDEX(Clay_Offices!$A$2:$FZ$601,148,Sync!$C$11)),0)&gt;0,IFERROR(INDEX(Clay_Offices!$A$2:$FZ$601,148,Sync!$C$5)&amp;"","")&lt;&gt;"",OR(LEFT(IFERROR(INDEX(Clay_Offices!$A$2:$FZ$601,148,Sync!$C$5)&amp;"",""),6)&lt;&gt;"SAMPLE",Config!$B$19="Y")),IFERROR(N(INDEX(Clay_Offices!$A$2:$FZ$601,148,Sync!$C$11)),0),"")</f>
        <v/>
      </c>
      <c r="C1799" s="17">
        <f>IF(B1799="","","office")</f>
        <v/>
      </c>
      <c r="D1799" s="17">
        <f>IF(B1799="","",IFERROR(INDEX(Clay_Offices!$A$2:$FZ$601,148,Sync!$C$5)&amp;"",""))</f>
        <v/>
      </c>
      <c r="E1799" s="17">
        <f>IF(B1799="","",IFERROR(INDEX(Clay_Offices!$A$2:$FZ$601,148,Sync!$C$6)&amp;"",""))</f>
        <v/>
      </c>
      <c r="F1799" s="17">
        <f>IF(B1799="","","outreach_sent")</f>
        <v/>
      </c>
      <c r="G1799" s="17">
        <f>IF(B1799="","","")</f>
        <v/>
      </c>
      <c r="H1799" s="17">
        <f>IF(B1799="","","")</f>
        <v/>
      </c>
      <c r="I1799" s="17">
        <f>IF(B1799="","","")</f>
        <v/>
      </c>
      <c r="J1799" s="17">
        <f>IF(B1799="","","touch_1; "&amp;IFERROR(INDEX(Clay_Offices!$A$2:$FZ$601,148,Sync!$C$10)&amp;"","")&amp;"; "&amp;IFERROR(INDEX(Clay_Offices!$A$2:$FZ$601,148,Sync!$C$9)&amp;"",""))</f>
        <v/>
      </c>
      <c r="K1799" t="inlineStr">
        <is>
          <t>office outreach touch 1</t>
        </is>
      </c>
    </row>
    <row r="1800">
      <c r="A1800" s="17">
        <f>IF(B1800="","",B1800+(12*1000+149)/10000000)</f>
        <v/>
      </c>
      <c r="B1800" s="23">
        <f>IF(AND(IFERROR(N(INDEX(Clay_Offices!$A$2:$FZ$601,149,Sync!$C$11)),0)&gt;0,IFERROR(INDEX(Clay_Offices!$A$2:$FZ$601,149,Sync!$C$5)&amp;"","")&lt;&gt;"",OR(LEFT(IFERROR(INDEX(Clay_Offices!$A$2:$FZ$601,149,Sync!$C$5)&amp;"",""),6)&lt;&gt;"SAMPLE",Config!$B$19="Y")),IFERROR(N(INDEX(Clay_Offices!$A$2:$FZ$601,149,Sync!$C$11)),0),"")</f>
        <v/>
      </c>
      <c r="C1800" s="17">
        <f>IF(B1800="","","office")</f>
        <v/>
      </c>
      <c r="D1800" s="17">
        <f>IF(B1800="","",IFERROR(INDEX(Clay_Offices!$A$2:$FZ$601,149,Sync!$C$5)&amp;"",""))</f>
        <v/>
      </c>
      <c r="E1800" s="17">
        <f>IF(B1800="","",IFERROR(INDEX(Clay_Offices!$A$2:$FZ$601,149,Sync!$C$6)&amp;"",""))</f>
        <v/>
      </c>
      <c r="F1800" s="17">
        <f>IF(B1800="","","outreach_sent")</f>
        <v/>
      </c>
      <c r="G1800" s="17">
        <f>IF(B1800="","","")</f>
        <v/>
      </c>
      <c r="H1800" s="17">
        <f>IF(B1800="","","")</f>
        <v/>
      </c>
      <c r="I1800" s="17">
        <f>IF(B1800="","","")</f>
        <v/>
      </c>
      <c r="J1800" s="17">
        <f>IF(B1800="","","touch_1; "&amp;IFERROR(INDEX(Clay_Offices!$A$2:$FZ$601,149,Sync!$C$10)&amp;"","")&amp;"; "&amp;IFERROR(INDEX(Clay_Offices!$A$2:$FZ$601,149,Sync!$C$9)&amp;"",""))</f>
        <v/>
      </c>
      <c r="K1800" t="inlineStr">
        <is>
          <t>office outreach touch 1</t>
        </is>
      </c>
    </row>
    <row r="1801">
      <c r="A1801" s="17">
        <f>IF(B1801="","",B1801+(12*1000+150)/10000000)</f>
        <v/>
      </c>
      <c r="B1801" s="23">
        <f>IF(AND(IFERROR(N(INDEX(Clay_Offices!$A$2:$FZ$601,150,Sync!$C$11)),0)&gt;0,IFERROR(INDEX(Clay_Offices!$A$2:$FZ$601,150,Sync!$C$5)&amp;"","")&lt;&gt;"",OR(LEFT(IFERROR(INDEX(Clay_Offices!$A$2:$FZ$601,150,Sync!$C$5)&amp;"",""),6)&lt;&gt;"SAMPLE",Config!$B$19="Y")),IFERROR(N(INDEX(Clay_Offices!$A$2:$FZ$601,150,Sync!$C$11)),0),"")</f>
        <v/>
      </c>
      <c r="C1801" s="17">
        <f>IF(B1801="","","office")</f>
        <v/>
      </c>
      <c r="D1801" s="17">
        <f>IF(B1801="","",IFERROR(INDEX(Clay_Offices!$A$2:$FZ$601,150,Sync!$C$5)&amp;"",""))</f>
        <v/>
      </c>
      <c r="E1801" s="17">
        <f>IF(B1801="","",IFERROR(INDEX(Clay_Offices!$A$2:$FZ$601,150,Sync!$C$6)&amp;"",""))</f>
        <v/>
      </c>
      <c r="F1801" s="17">
        <f>IF(B1801="","","outreach_sent")</f>
        <v/>
      </c>
      <c r="G1801" s="17">
        <f>IF(B1801="","","")</f>
        <v/>
      </c>
      <c r="H1801" s="17">
        <f>IF(B1801="","","")</f>
        <v/>
      </c>
      <c r="I1801" s="17">
        <f>IF(B1801="","","")</f>
        <v/>
      </c>
      <c r="J1801" s="17">
        <f>IF(B1801="","","touch_1; "&amp;IFERROR(INDEX(Clay_Offices!$A$2:$FZ$601,150,Sync!$C$10)&amp;"","")&amp;"; "&amp;IFERROR(INDEX(Clay_Offices!$A$2:$FZ$601,150,Sync!$C$9)&amp;"",""))</f>
        <v/>
      </c>
      <c r="K1801" t="inlineStr">
        <is>
          <t>office outreach touch 1</t>
        </is>
      </c>
    </row>
    <row r="1802">
      <c r="A1802" s="17">
        <f>IF(B1802="","",B1802+(12*1000+151)/10000000)</f>
        <v/>
      </c>
      <c r="B1802" s="23">
        <f>IF(AND(IFERROR(N(INDEX(Clay_Offices!$A$2:$FZ$601,151,Sync!$C$11)),0)&gt;0,IFERROR(INDEX(Clay_Offices!$A$2:$FZ$601,151,Sync!$C$5)&amp;"","")&lt;&gt;"",OR(LEFT(IFERROR(INDEX(Clay_Offices!$A$2:$FZ$601,151,Sync!$C$5)&amp;"",""),6)&lt;&gt;"SAMPLE",Config!$B$19="Y")),IFERROR(N(INDEX(Clay_Offices!$A$2:$FZ$601,151,Sync!$C$11)),0),"")</f>
        <v/>
      </c>
      <c r="C1802" s="17">
        <f>IF(B1802="","","office")</f>
        <v/>
      </c>
      <c r="D1802" s="17">
        <f>IF(B1802="","",IFERROR(INDEX(Clay_Offices!$A$2:$FZ$601,151,Sync!$C$5)&amp;"",""))</f>
        <v/>
      </c>
      <c r="E1802" s="17">
        <f>IF(B1802="","",IFERROR(INDEX(Clay_Offices!$A$2:$FZ$601,151,Sync!$C$6)&amp;"",""))</f>
        <v/>
      </c>
      <c r="F1802" s="17">
        <f>IF(B1802="","","outreach_sent")</f>
        <v/>
      </c>
      <c r="G1802" s="17">
        <f>IF(B1802="","","")</f>
        <v/>
      </c>
      <c r="H1802" s="17">
        <f>IF(B1802="","","")</f>
        <v/>
      </c>
      <c r="I1802" s="17">
        <f>IF(B1802="","","")</f>
        <v/>
      </c>
      <c r="J1802" s="17">
        <f>IF(B1802="","","touch_1; "&amp;IFERROR(INDEX(Clay_Offices!$A$2:$FZ$601,151,Sync!$C$10)&amp;"","")&amp;"; "&amp;IFERROR(INDEX(Clay_Offices!$A$2:$FZ$601,151,Sync!$C$9)&amp;"",""))</f>
        <v/>
      </c>
      <c r="K1802" t="inlineStr">
        <is>
          <t>office outreach touch 1</t>
        </is>
      </c>
    </row>
    <row r="1803">
      <c r="A1803" s="17">
        <f>IF(B1803="","",B1803+(12*1000+152)/10000000)</f>
        <v/>
      </c>
      <c r="B1803" s="23">
        <f>IF(AND(IFERROR(N(INDEX(Clay_Offices!$A$2:$FZ$601,152,Sync!$C$11)),0)&gt;0,IFERROR(INDEX(Clay_Offices!$A$2:$FZ$601,152,Sync!$C$5)&amp;"","")&lt;&gt;"",OR(LEFT(IFERROR(INDEX(Clay_Offices!$A$2:$FZ$601,152,Sync!$C$5)&amp;"",""),6)&lt;&gt;"SAMPLE",Config!$B$19="Y")),IFERROR(N(INDEX(Clay_Offices!$A$2:$FZ$601,152,Sync!$C$11)),0),"")</f>
        <v/>
      </c>
      <c r="C1803" s="17">
        <f>IF(B1803="","","office")</f>
        <v/>
      </c>
      <c r="D1803" s="17">
        <f>IF(B1803="","",IFERROR(INDEX(Clay_Offices!$A$2:$FZ$601,152,Sync!$C$5)&amp;"",""))</f>
        <v/>
      </c>
      <c r="E1803" s="17">
        <f>IF(B1803="","",IFERROR(INDEX(Clay_Offices!$A$2:$FZ$601,152,Sync!$C$6)&amp;"",""))</f>
        <v/>
      </c>
      <c r="F1803" s="17">
        <f>IF(B1803="","","outreach_sent")</f>
        <v/>
      </c>
      <c r="G1803" s="17">
        <f>IF(B1803="","","")</f>
        <v/>
      </c>
      <c r="H1803" s="17">
        <f>IF(B1803="","","")</f>
        <v/>
      </c>
      <c r="I1803" s="17">
        <f>IF(B1803="","","")</f>
        <v/>
      </c>
      <c r="J1803" s="17">
        <f>IF(B1803="","","touch_1; "&amp;IFERROR(INDEX(Clay_Offices!$A$2:$FZ$601,152,Sync!$C$10)&amp;"","")&amp;"; "&amp;IFERROR(INDEX(Clay_Offices!$A$2:$FZ$601,152,Sync!$C$9)&amp;"",""))</f>
        <v/>
      </c>
      <c r="K1803" t="inlineStr">
        <is>
          <t>office outreach touch 1</t>
        </is>
      </c>
    </row>
    <row r="1804">
      <c r="A1804" s="17">
        <f>IF(B1804="","",B1804+(12*1000+153)/10000000)</f>
        <v/>
      </c>
      <c r="B1804" s="23">
        <f>IF(AND(IFERROR(N(INDEX(Clay_Offices!$A$2:$FZ$601,153,Sync!$C$11)),0)&gt;0,IFERROR(INDEX(Clay_Offices!$A$2:$FZ$601,153,Sync!$C$5)&amp;"","")&lt;&gt;"",OR(LEFT(IFERROR(INDEX(Clay_Offices!$A$2:$FZ$601,153,Sync!$C$5)&amp;"",""),6)&lt;&gt;"SAMPLE",Config!$B$19="Y")),IFERROR(N(INDEX(Clay_Offices!$A$2:$FZ$601,153,Sync!$C$11)),0),"")</f>
        <v/>
      </c>
      <c r="C1804" s="17">
        <f>IF(B1804="","","office")</f>
        <v/>
      </c>
      <c r="D1804" s="17">
        <f>IF(B1804="","",IFERROR(INDEX(Clay_Offices!$A$2:$FZ$601,153,Sync!$C$5)&amp;"",""))</f>
        <v/>
      </c>
      <c r="E1804" s="17">
        <f>IF(B1804="","",IFERROR(INDEX(Clay_Offices!$A$2:$FZ$601,153,Sync!$C$6)&amp;"",""))</f>
        <v/>
      </c>
      <c r="F1804" s="17">
        <f>IF(B1804="","","outreach_sent")</f>
        <v/>
      </c>
      <c r="G1804" s="17">
        <f>IF(B1804="","","")</f>
        <v/>
      </c>
      <c r="H1804" s="17">
        <f>IF(B1804="","","")</f>
        <v/>
      </c>
      <c r="I1804" s="17">
        <f>IF(B1804="","","")</f>
        <v/>
      </c>
      <c r="J1804" s="17">
        <f>IF(B1804="","","touch_1; "&amp;IFERROR(INDEX(Clay_Offices!$A$2:$FZ$601,153,Sync!$C$10)&amp;"","")&amp;"; "&amp;IFERROR(INDEX(Clay_Offices!$A$2:$FZ$601,153,Sync!$C$9)&amp;"",""))</f>
        <v/>
      </c>
      <c r="K1804" t="inlineStr">
        <is>
          <t>office outreach touch 1</t>
        </is>
      </c>
    </row>
    <row r="1805">
      <c r="A1805" s="17">
        <f>IF(B1805="","",B1805+(12*1000+154)/10000000)</f>
        <v/>
      </c>
      <c r="B1805" s="23">
        <f>IF(AND(IFERROR(N(INDEX(Clay_Offices!$A$2:$FZ$601,154,Sync!$C$11)),0)&gt;0,IFERROR(INDEX(Clay_Offices!$A$2:$FZ$601,154,Sync!$C$5)&amp;"","")&lt;&gt;"",OR(LEFT(IFERROR(INDEX(Clay_Offices!$A$2:$FZ$601,154,Sync!$C$5)&amp;"",""),6)&lt;&gt;"SAMPLE",Config!$B$19="Y")),IFERROR(N(INDEX(Clay_Offices!$A$2:$FZ$601,154,Sync!$C$11)),0),"")</f>
        <v/>
      </c>
      <c r="C1805" s="17">
        <f>IF(B1805="","","office")</f>
        <v/>
      </c>
      <c r="D1805" s="17">
        <f>IF(B1805="","",IFERROR(INDEX(Clay_Offices!$A$2:$FZ$601,154,Sync!$C$5)&amp;"",""))</f>
        <v/>
      </c>
      <c r="E1805" s="17">
        <f>IF(B1805="","",IFERROR(INDEX(Clay_Offices!$A$2:$FZ$601,154,Sync!$C$6)&amp;"",""))</f>
        <v/>
      </c>
      <c r="F1805" s="17">
        <f>IF(B1805="","","outreach_sent")</f>
        <v/>
      </c>
      <c r="G1805" s="17">
        <f>IF(B1805="","","")</f>
        <v/>
      </c>
      <c r="H1805" s="17">
        <f>IF(B1805="","","")</f>
        <v/>
      </c>
      <c r="I1805" s="17">
        <f>IF(B1805="","","")</f>
        <v/>
      </c>
      <c r="J1805" s="17">
        <f>IF(B1805="","","touch_1; "&amp;IFERROR(INDEX(Clay_Offices!$A$2:$FZ$601,154,Sync!$C$10)&amp;"","")&amp;"; "&amp;IFERROR(INDEX(Clay_Offices!$A$2:$FZ$601,154,Sync!$C$9)&amp;"",""))</f>
        <v/>
      </c>
      <c r="K1805" t="inlineStr">
        <is>
          <t>office outreach touch 1</t>
        </is>
      </c>
    </row>
    <row r="1806">
      <c r="A1806" s="17">
        <f>IF(B1806="","",B1806+(12*1000+155)/10000000)</f>
        <v/>
      </c>
      <c r="B1806" s="23">
        <f>IF(AND(IFERROR(N(INDEX(Clay_Offices!$A$2:$FZ$601,155,Sync!$C$11)),0)&gt;0,IFERROR(INDEX(Clay_Offices!$A$2:$FZ$601,155,Sync!$C$5)&amp;"","")&lt;&gt;"",OR(LEFT(IFERROR(INDEX(Clay_Offices!$A$2:$FZ$601,155,Sync!$C$5)&amp;"",""),6)&lt;&gt;"SAMPLE",Config!$B$19="Y")),IFERROR(N(INDEX(Clay_Offices!$A$2:$FZ$601,155,Sync!$C$11)),0),"")</f>
        <v/>
      </c>
      <c r="C1806" s="17">
        <f>IF(B1806="","","office")</f>
        <v/>
      </c>
      <c r="D1806" s="17">
        <f>IF(B1806="","",IFERROR(INDEX(Clay_Offices!$A$2:$FZ$601,155,Sync!$C$5)&amp;"",""))</f>
        <v/>
      </c>
      <c r="E1806" s="17">
        <f>IF(B1806="","",IFERROR(INDEX(Clay_Offices!$A$2:$FZ$601,155,Sync!$C$6)&amp;"",""))</f>
        <v/>
      </c>
      <c r="F1806" s="17">
        <f>IF(B1806="","","outreach_sent")</f>
        <v/>
      </c>
      <c r="G1806" s="17">
        <f>IF(B1806="","","")</f>
        <v/>
      </c>
      <c r="H1806" s="17">
        <f>IF(B1806="","","")</f>
        <v/>
      </c>
      <c r="I1806" s="17">
        <f>IF(B1806="","","")</f>
        <v/>
      </c>
      <c r="J1806" s="17">
        <f>IF(B1806="","","touch_1; "&amp;IFERROR(INDEX(Clay_Offices!$A$2:$FZ$601,155,Sync!$C$10)&amp;"","")&amp;"; "&amp;IFERROR(INDEX(Clay_Offices!$A$2:$FZ$601,155,Sync!$C$9)&amp;"",""))</f>
        <v/>
      </c>
      <c r="K1806" t="inlineStr">
        <is>
          <t>office outreach touch 1</t>
        </is>
      </c>
    </row>
    <row r="1807">
      <c r="A1807" s="17">
        <f>IF(B1807="","",B1807+(12*1000+156)/10000000)</f>
        <v/>
      </c>
      <c r="B1807" s="23">
        <f>IF(AND(IFERROR(N(INDEX(Clay_Offices!$A$2:$FZ$601,156,Sync!$C$11)),0)&gt;0,IFERROR(INDEX(Clay_Offices!$A$2:$FZ$601,156,Sync!$C$5)&amp;"","")&lt;&gt;"",OR(LEFT(IFERROR(INDEX(Clay_Offices!$A$2:$FZ$601,156,Sync!$C$5)&amp;"",""),6)&lt;&gt;"SAMPLE",Config!$B$19="Y")),IFERROR(N(INDEX(Clay_Offices!$A$2:$FZ$601,156,Sync!$C$11)),0),"")</f>
        <v/>
      </c>
      <c r="C1807" s="17">
        <f>IF(B1807="","","office")</f>
        <v/>
      </c>
      <c r="D1807" s="17">
        <f>IF(B1807="","",IFERROR(INDEX(Clay_Offices!$A$2:$FZ$601,156,Sync!$C$5)&amp;"",""))</f>
        <v/>
      </c>
      <c r="E1807" s="17">
        <f>IF(B1807="","",IFERROR(INDEX(Clay_Offices!$A$2:$FZ$601,156,Sync!$C$6)&amp;"",""))</f>
        <v/>
      </c>
      <c r="F1807" s="17">
        <f>IF(B1807="","","outreach_sent")</f>
        <v/>
      </c>
      <c r="G1807" s="17">
        <f>IF(B1807="","","")</f>
        <v/>
      </c>
      <c r="H1807" s="17">
        <f>IF(B1807="","","")</f>
        <v/>
      </c>
      <c r="I1807" s="17">
        <f>IF(B1807="","","")</f>
        <v/>
      </c>
      <c r="J1807" s="17">
        <f>IF(B1807="","","touch_1; "&amp;IFERROR(INDEX(Clay_Offices!$A$2:$FZ$601,156,Sync!$C$10)&amp;"","")&amp;"; "&amp;IFERROR(INDEX(Clay_Offices!$A$2:$FZ$601,156,Sync!$C$9)&amp;"",""))</f>
        <v/>
      </c>
      <c r="K1807" t="inlineStr">
        <is>
          <t>office outreach touch 1</t>
        </is>
      </c>
    </row>
    <row r="1808">
      <c r="A1808" s="17">
        <f>IF(B1808="","",B1808+(12*1000+157)/10000000)</f>
        <v/>
      </c>
      <c r="B1808" s="23">
        <f>IF(AND(IFERROR(N(INDEX(Clay_Offices!$A$2:$FZ$601,157,Sync!$C$11)),0)&gt;0,IFERROR(INDEX(Clay_Offices!$A$2:$FZ$601,157,Sync!$C$5)&amp;"","")&lt;&gt;"",OR(LEFT(IFERROR(INDEX(Clay_Offices!$A$2:$FZ$601,157,Sync!$C$5)&amp;"",""),6)&lt;&gt;"SAMPLE",Config!$B$19="Y")),IFERROR(N(INDEX(Clay_Offices!$A$2:$FZ$601,157,Sync!$C$11)),0),"")</f>
        <v/>
      </c>
      <c r="C1808" s="17">
        <f>IF(B1808="","","office")</f>
        <v/>
      </c>
      <c r="D1808" s="17">
        <f>IF(B1808="","",IFERROR(INDEX(Clay_Offices!$A$2:$FZ$601,157,Sync!$C$5)&amp;"",""))</f>
        <v/>
      </c>
      <c r="E1808" s="17">
        <f>IF(B1808="","",IFERROR(INDEX(Clay_Offices!$A$2:$FZ$601,157,Sync!$C$6)&amp;"",""))</f>
        <v/>
      </c>
      <c r="F1808" s="17">
        <f>IF(B1808="","","outreach_sent")</f>
        <v/>
      </c>
      <c r="G1808" s="17">
        <f>IF(B1808="","","")</f>
        <v/>
      </c>
      <c r="H1808" s="17">
        <f>IF(B1808="","","")</f>
        <v/>
      </c>
      <c r="I1808" s="17">
        <f>IF(B1808="","","")</f>
        <v/>
      </c>
      <c r="J1808" s="17">
        <f>IF(B1808="","","touch_1; "&amp;IFERROR(INDEX(Clay_Offices!$A$2:$FZ$601,157,Sync!$C$10)&amp;"","")&amp;"; "&amp;IFERROR(INDEX(Clay_Offices!$A$2:$FZ$601,157,Sync!$C$9)&amp;"",""))</f>
        <v/>
      </c>
      <c r="K1808" t="inlineStr">
        <is>
          <t>office outreach touch 1</t>
        </is>
      </c>
    </row>
    <row r="1809">
      <c r="A1809" s="17">
        <f>IF(B1809="","",B1809+(12*1000+158)/10000000)</f>
        <v/>
      </c>
      <c r="B1809" s="23">
        <f>IF(AND(IFERROR(N(INDEX(Clay_Offices!$A$2:$FZ$601,158,Sync!$C$11)),0)&gt;0,IFERROR(INDEX(Clay_Offices!$A$2:$FZ$601,158,Sync!$C$5)&amp;"","")&lt;&gt;"",OR(LEFT(IFERROR(INDEX(Clay_Offices!$A$2:$FZ$601,158,Sync!$C$5)&amp;"",""),6)&lt;&gt;"SAMPLE",Config!$B$19="Y")),IFERROR(N(INDEX(Clay_Offices!$A$2:$FZ$601,158,Sync!$C$11)),0),"")</f>
        <v/>
      </c>
      <c r="C1809" s="17">
        <f>IF(B1809="","","office")</f>
        <v/>
      </c>
      <c r="D1809" s="17">
        <f>IF(B1809="","",IFERROR(INDEX(Clay_Offices!$A$2:$FZ$601,158,Sync!$C$5)&amp;"",""))</f>
        <v/>
      </c>
      <c r="E1809" s="17">
        <f>IF(B1809="","",IFERROR(INDEX(Clay_Offices!$A$2:$FZ$601,158,Sync!$C$6)&amp;"",""))</f>
        <v/>
      </c>
      <c r="F1809" s="17">
        <f>IF(B1809="","","outreach_sent")</f>
        <v/>
      </c>
      <c r="G1809" s="17">
        <f>IF(B1809="","","")</f>
        <v/>
      </c>
      <c r="H1809" s="17">
        <f>IF(B1809="","","")</f>
        <v/>
      </c>
      <c r="I1809" s="17">
        <f>IF(B1809="","","")</f>
        <v/>
      </c>
      <c r="J1809" s="17">
        <f>IF(B1809="","","touch_1; "&amp;IFERROR(INDEX(Clay_Offices!$A$2:$FZ$601,158,Sync!$C$10)&amp;"","")&amp;"; "&amp;IFERROR(INDEX(Clay_Offices!$A$2:$FZ$601,158,Sync!$C$9)&amp;"",""))</f>
        <v/>
      </c>
      <c r="K1809" t="inlineStr">
        <is>
          <t>office outreach touch 1</t>
        </is>
      </c>
    </row>
    <row r="1810">
      <c r="A1810" s="17">
        <f>IF(B1810="","",B1810+(12*1000+159)/10000000)</f>
        <v/>
      </c>
      <c r="B1810" s="23">
        <f>IF(AND(IFERROR(N(INDEX(Clay_Offices!$A$2:$FZ$601,159,Sync!$C$11)),0)&gt;0,IFERROR(INDEX(Clay_Offices!$A$2:$FZ$601,159,Sync!$C$5)&amp;"","")&lt;&gt;"",OR(LEFT(IFERROR(INDEX(Clay_Offices!$A$2:$FZ$601,159,Sync!$C$5)&amp;"",""),6)&lt;&gt;"SAMPLE",Config!$B$19="Y")),IFERROR(N(INDEX(Clay_Offices!$A$2:$FZ$601,159,Sync!$C$11)),0),"")</f>
        <v/>
      </c>
      <c r="C1810" s="17">
        <f>IF(B1810="","","office")</f>
        <v/>
      </c>
      <c r="D1810" s="17">
        <f>IF(B1810="","",IFERROR(INDEX(Clay_Offices!$A$2:$FZ$601,159,Sync!$C$5)&amp;"",""))</f>
        <v/>
      </c>
      <c r="E1810" s="17">
        <f>IF(B1810="","",IFERROR(INDEX(Clay_Offices!$A$2:$FZ$601,159,Sync!$C$6)&amp;"",""))</f>
        <v/>
      </c>
      <c r="F1810" s="17">
        <f>IF(B1810="","","outreach_sent")</f>
        <v/>
      </c>
      <c r="G1810" s="17">
        <f>IF(B1810="","","")</f>
        <v/>
      </c>
      <c r="H1810" s="17">
        <f>IF(B1810="","","")</f>
        <v/>
      </c>
      <c r="I1810" s="17">
        <f>IF(B1810="","","")</f>
        <v/>
      </c>
      <c r="J1810" s="17">
        <f>IF(B1810="","","touch_1; "&amp;IFERROR(INDEX(Clay_Offices!$A$2:$FZ$601,159,Sync!$C$10)&amp;"","")&amp;"; "&amp;IFERROR(INDEX(Clay_Offices!$A$2:$FZ$601,159,Sync!$C$9)&amp;"",""))</f>
        <v/>
      </c>
      <c r="K1810" t="inlineStr">
        <is>
          <t>office outreach touch 1</t>
        </is>
      </c>
    </row>
    <row r="1811">
      <c r="A1811" s="17">
        <f>IF(B1811="","",B1811+(12*1000+160)/10000000)</f>
        <v/>
      </c>
      <c r="B1811" s="23">
        <f>IF(AND(IFERROR(N(INDEX(Clay_Offices!$A$2:$FZ$601,160,Sync!$C$11)),0)&gt;0,IFERROR(INDEX(Clay_Offices!$A$2:$FZ$601,160,Sync!$C$5)&amp;"","")&lt;&gt;"",OR(LEFT(IFERROR(INDEX(Clay_Offices!$A$2:$FZ$601,160,Sync!$C$5)&amp;"",""),6)&lt;&gt;"SAMPLE",Config!$B$19="Y")),IFERROR(N(INDEX(Clay_Offices!$A$2:$FZ$601,160,Sync!$C$11)),0),"")</f>
        <v/>
      </c>
      <c r="C1811" s="17">
        <f>IF(B1811="","","office")</f>
        <v/>
      </c>
      <c r="D1811" s="17">
        <f>IF(B1811="","",IFERROR(INDEX(Clay_Offices!$A$2:$FZ$601,160,Sync!$C$5)&amp;"",""))</f>
        <v/>
      </c>
      <c r="E1811" s="17">
        <f>IF(B1811="","",IFERROR(INDEX(Clay_Offices!$A$2:$FZ$601,160,Sync!$C$6)&amp;"",""))</f>
        <v/>
      </c>
      <c r="F1811" s="17">
        <f>IF(B1811="","","outreach_sent")</f>
        <v/>
      </c>
      <c r="G1811" s="17">
        <f>IF(B1811="","","")</f>
        <v/>
      </c>
      <c r="H1811" s="17">
        <f>IF(B1811="","","")</f>
        <v/>
      </c>
      <c r="I1811" s="17">
        <f>IF(B1811="","","")</f>
        <v/>
      </c>
      <c r="J1811" s="17">
        <f>IF(B1811="","","touch_1; "&amp;IFERROR(INDEX(Clay_Offices!$A$2:$FZ$601,160,Sync!$C$10)&amp;"","")&amp;"; "&amp;IFERROR(INDEX(Clay_Offices!$A$2:$FZ$601,160,Sync!$C$9)&amp;"",""))</f>
        <v/>
      </c>
      <c r="K1811" t="inlineStr">
        <is>
          <t>office outreach touch 1</t>
        </is>
      </c>
    </row>
    <row r="1812">
      <c r="A1812" s="17">
        <f>IF(B1812="","",B1812+(12*1000+161)/10000000)</f>
        <v/>
      </c>
      <c r="B1812" s="23">
        <f>IF(AND(IFERROR(N(INDEX(Clay_Offices!$A$2:$FZ$601,161,Sync!$C$11)),0)&gt;0,IFERROR(INDEX(Clay_Offices!$A$2:$FZ$601,161,Sync!$C$5)&amp;"","")&lt;&gt;"",OR(LEFT(IFERROR(INDEX(Clay_Offices!$A$2:$FZ$601,161,Sync!$C$5)&amp;"",""),6)&lt;&gt;"SAMPLE",Config!$B$19="Y")),IFERROR(N(INDEX(Clay_Offices!$A$2:$FZ$601,161,Sync!$C$11)),0),"")</f>
        <v/>
      </c>
      <c r="C1812" s="17">
        <f>IF(B1812="","","office")</f>
        <v/>
      </c>
      <c r="D1812" s="17">
        <f>IF(B1812="","",IFERROR(INDEX(Clay_Offices!$A$2:$FZ$601,161,Sync!$C$5)&amp;"",""))</f>
        <v/>
      </c>
      <c r="E1812" s="17">
        <f>IF(B1812="","",IFERROR(INDEX(Clay_Offices!$A$2:$FZ$601,161,Sync!$C$6)&amp;"",""))</f>
        <v/>
      </c>
      <c r="F1812" s="17">
        <f>IF(B1812="","","outreach_sent")</f>
        <v/>
      </c>
      <c r="G1812" s="17">
        <f>IF(B1812="","","")</f>
        <v/>
      </c>
      <c r="H1812" s="17">
        <f>IF(B1812="","","")</f>
        <v/>
      </c>
      <c r="I1812" s="17">
        <f>IF(B1812="","","")</f>
        <v/>
      </c>
      <c r="J1812" s="17">
        <f>IF(B1812="","","touch_1; "&amp;IFERROR(INDEX(Clay_Offices!$A$2:$FZ$601,161,Sync!$C$10)&amp;"","")&amp;"; "&amp;IFERROR(INDEX(Clay_Offices!$A$2:$FZ$601,161,Sync!$C$9)&amp;"",""))</f>
        <v/>
      </c>
      <c r="K1812" t="inlineStr">
        <is>
          <t>office outreach touch 1</t>
        </is>
      </c>
    </row>
    <row r="1813">
      <c r="A1813" s="17">
        <f>IF(B1813="","",B1813+(12*1000+162)/10000000)</f>
        <v/>
      </c>
      <c r="B1813" s="23">
        <f>IF(AND(IFERROR(N(INDEX(Clay_Offices!$A$2:$FZ$601,162,Sync!$C$11)),0)&gt;0,IFERROR(INDEX(Clay_Offices!$A$2:$FZ$601,162,Sync!$C$5)&amp;"","")&lt;&gt;"",OR(LEFT(IFERROR(INDEX(Clay_Offices!$A$2:$FZ$601,162,Sync!$C$5)&amp;"",""),6)&lt;&gt;"SAMPLE",Config!$B$19="Y")),IFERROR(N(INDEX(Clay_Offices!$A$2:$FZ$601,162,Sync!$C$11)),0),"")</f>
        <v/>
      </c>
      <c r="C1813" s="17">
        <f>IF(B1813="","","office")</f>
        <v/>
      </c>
      <c r="D1813" s="17">
        <f>IF(B1813="","",IFERROR(INDEX(Clay_Offices!$A$2:$FZ$601,162,Sync!$C$5)&amp;"",""))</f>
        <v/>
      </c>
      <c r="E1813" s="17">
        <f>IF(B1813="","",IFERROR(INDEX(Clay_Offices!$A$2:$FZ$601,162,Sync!$C$6)&amp;"",""))</f>
        <v/>
      </c>
      <c r="F1813" s="17">
        <f>IF(B1813="","","outreach_sent")</f>
        <v/>
      </c>
      <c r="G1813" s="17">
        <f>IF(B1813="","","")</f>
        <v/>
      </c>
      <c r="H1813" s="17">
        <f>IF(B1813="","","")</f>
        <v/>
      </c>
      <c r="I1813" s="17">
        <f>IF(B1813="","","")</f>
        <v/>
      </c>
      <c r="J1813" s="17">
        <f>IF(B1813="","","touch_1; "&amp;IFERROR(INDEX(Clay_Offices!$A$2:$FZ$601,162,Sync!$C$10)&amp;"","")&amp;"; "&amp;IFERROR(INDEX(Clay_Offices!$A$2:$FZ$601,162,Sync!$C$9)&amp;"",""))</f>
        <v/>
      </c>
      <c r="K1813" t="inlineStr">
        <is>
          <t>office outreach touch 1</t>
        </is>
      </c>
    </row>
    <row r="1814">
      <c r="A1814" s="17">
        <f>IF(B1814="","",B1814+(12*1000+163)/10000000)</f>
        <v/>
      </c>
      <c r="B1814" s="23">
        <f>IF(AND(IFERROR(N(INDEX(Clay_Offices!$A$2:$FZ$601,163,Sync!$C$11)),0)&gt;0,IFERROR(INDEX(Clay_Offices!$A$2:$FZ$601,163,Sync!$C$5)&amp;"","")&lt;&gt;"",OR(LEFT(IFERROR(INDEX(Clay_Offices!$A$2:$FZ$601,163,Sync!$C$5)&amp;"",""),6)&lt;&gt;"SAMPLE",Config!$B$19="Y")),IFERROR(N(INDEX(Clay_Offices!$A$2:$FZ$601,163,Sync!$C$11)),0),"")</f>
        <v/>
      </c>
      <c r="C1814" s="17">
        <f>IF(B1814="","","office")</f>
        <v/>
      </c>
      <c r="D1814" s="17">
        <f>IF(B1814="","",IFERROR(INDEX(Clay_Offices!$A$2:$FZ$601,163,Sync!$C$5)&amp;"",""))</f>
        <v/>
      </c>
      <c r="E1814" s="17">
        <f>IF(B1814="","",IFERROR(INDEX(Clay_Offices!$A$2:$FZ$601,163,Sync!$C$6)&amp;"",""))</f>
        <v/>
      </c>
      <c r="F1814" s="17">
        <f>IF(B1814="","","outreach_sent")</f>
        <v/>
      </c>
      <c r="G1814" s="17">
        <f>IF(B1814="","","")</f>
        <v/>
      </c>
      <c r="H1814" s="17">
        <f>IF(B1814="","","")</f>
        <v/>
      </c>
      <c r="I1814" s="17">
        <f>IF(B1814="","","")</f>
        <v/>
      </c>
      <c r="J1814" s="17">
        <f>IF(B1814="","","touch_1; "&amp;IFERROR(INDEX(Clay_Offices!$A$2:$FZ$601,163,Sync!$C$10)&amp;"","")&amp;"; "&amp;IFERROR(INDEX(Clay_Offices!$A$2:$FZ$601,163,Sync!$C$9)&amp;"",""))</f>
        <v/>
      </c>
      <c r="K1814" t="inlineStr">
        <is>
          <t>office outreach touch 1</t>
        </is>
      </c>
    </row>
    <row r="1815">
      <c r="A1815" s="17">
        <f>IF(B1815="","",B1815+(12*1000+164)/10000000)</f>
        <v/>
      </c>
      <c r="B1815" s="23">
        <f>IF(AND(IFERROR(N(INDEX(Clay_Offices!$A$2:$FZ$601,164,Sync!$C$11)),0)&gt;0,IFERROR(INDEX(Clay_Offices!$A$2:$FZ$601,164,Sync!$C$5)&amp;"","")&lt;&gt;"",OR(LEFT(IFERROR(INDEX(Clay_Offices!$A$2:$FZ$601,164,Sync!$C$5)&amp;"",""),6)&lt;&gt;"SAMPLE",Config!$B$19="Y")),IFERROR(N(INDEX(Clay_Offices!$A$2:$FZ$601,164,Sync!$C$11)),0),"")</f>
        <v/>
      </c>
      <c r="C1815" s="17">
        <f>IF(B1815="","","office")</f>
        <v/>
      </c>
      <c r="D1815" s="17">
        <f>IF(B1815="","",IFERROR(INDEX(Clay_Offices!$A$2:$FZ$601,164,Sync!$C$5)&amp;"",""))</f>
        <v/>
      </c>
      <c r="E1815" s="17">
        <f>IF(B1815="","",IFERROR(INDEX(Clay_Offices!$A$2:$FZ$601,164,Sync!$C$6)&amp;"",""))</f>
        <v/>
      </c>
      <c r="F1815" s="17">
        <f>IF(B1815="","","outreach_sent")</f>
        <v/>
      </c>
      <c r="G1815" s="17">
        <f>IF(B1815="","","")</f>
        <v/>
      </c>
      <c r="H1815" s="17">
        <f>IF(B1815="","","")</f>
        <v/>
      </c>
      <c r="I1815" s="17">
        <f>IF(B1815="","","")</f>
        <v/>
      </c>
      <c r="J1815" s="17">
        <f>IF(B1815="","","touch_1; "&amp;IFERROR(INDEX(Clay_Offices!$A$2:$FZ$601,164,Sync!$C$10)&amp;"","")&amp;"; "&amp;IFERROR(INDEX(Clay_Offices!$A$2:$FZ$601,164,Sync!$C$9)&amp;"",""))</f>
        <v/>
      </c>
      <c r="K1815" t="inlineStr">
        <is>
          <t>office outreach touch 1</t>
        </is>
      </c>
    </row>
    <row r="1816">
      <c r="A1816" s="17">
        <f>IF(B1816="","",B1816+(12*1000+165)/10000000)</f>
        <v/>
      </c>
      <c r="B1816" s="23">
        <f>IF(AND(IFERROR(N(INDEX(Clay_Offices!$A$2:$FZ$601,165,Sync!$C$11)),0)&gt;0,IFERROR(INDEX(Clay_Offices!$A$2:$FZ$601,165,Sync!$C$5)&amp;"","")&lt;&gt;"",OR(LEFT(IFERROR(INDEX(Clay_Offices!$A$2:$FZ$601,165,Sync!$C$5)&amp;"",""),6)&lt;&gt;"SAMPLE",Config!$B$19="Y")),IFERROR(N(INDEX(Clay_Offices!$A$2:$FZ$601,165,Sync!$C$11)),0),"")</f>
        <v/>
      </c>
      <c r="C1816" s="17">
        <f>IF(B1816="","","office")</f>
        <v/>
      </c>
      <c r="D1816" s="17">
        <f>IF(B1816="","",IFERROR(INDEX(Clay_Offices!$A$2:$FZ$601,165,Sync!$C$5)&amp;"",""))</f>
        <v/>
      </c>
      <c r="E1816" s="17">
        <f>IF(B1816="","",IFERROR(INDEX(Clay_Offices!$A$2:$FZ$601,165,Sync!$C$6)&amp;"",""))</f>
        <v/>
      </c>
      <c r="F1816" s="17">
        <f>IF(B1816="","","outreach_sent")</f>
        <v/>
      </c>
      <c r="G1816" s="17">
        <f>IF(B1816="","","")</f>
        <v/>
      </c>
      <c r="H1816" s="17">
        <f>IF(B1816="","","")</f>
        <v/>
      </c>
      <c r="I1816" s="17">
        <f>IF(B1816="","","")</f>
        <v/>
      </c>
      <c r="J1816" s="17">
        <f>IF(B1816="","","touch_1; "&amp;IFERROR(INDEX(Clay_Offices!$A$2:$FZ$601,165,Sync!$C$10)&amp;"","")&amp;"; "&amp;IFERROR(INDEX(Clay_Offices!$A$2:$FZ$601,165,Sync!$C$9)&amp;"",""))</f>
        <v/>
      </c>
      <c r="K1816" t="inlineStr">
        <is>
          <t>office outreach touch 1</t>
        </is>
      </c>
    </row>
    <row r="1817">
      <c r="A1817" s="17">
        <f>IF(B1817="","",B1817+(12*1000+166)/10000000)</f>
        <v/>
      </c>
      <c r="B1817" s="23">
        <f>IF(AND(IFERROR(N(INDEX(Clay_Offices!$A$2:$FZ$601,166,Sync!$C$11)),0)&gt;0,IFERROR(INDEX(Clay_Offices!$A$2:$FZ$601,166,Sync!$C$5)&amp;"","")&lt;&gt;"",OR(LEFT(IFERROR(INDEX(Clay_Offices!$A$2:$FZ$601,166,Sync!$C$5)&amp;"",""),6)&lt;&gt;"SAMPLE",Config!$B$19="Y")),IFERROR(N(INDEX(Clay_Offices!$A$2:$FZ$601,166,Sync!$C$11)),0),"")</f>
        <v/>
      </c>
      <c r="C1817" s="17">
        <f>IF(B1817="","","office")</f>
        <v/>
      </c>
      <c r="D1817" s="17">
        <f>IF(B1817="","",IFERROR(INDEX(Clay_Offices!$A$2:$FZ$601,166,Sync!$C$5)&amp;"",""))</f>
        <v/>
      </c>
      <c r="E1817" s="17">
        <f>IF(B1817="","",IFERROR(INDEX(Clay_Offices!$A$2:$FZ$601,166,Sync!$C$6)&amp;"",""))</f>
        <v/>
      </c>
      <c r="F1817" s="17">
        <f>IF(B1817="","","outreach_sent")</f>
        <v/>
      </c>
      <c r="G1817" s="17">
        <f>IF(B1817="","","")</f>
        <v/>
      </c>
      <c r="H1817" s="17">
        <f>IF(B1817="","","")</f>
        <v/>
      </c>
      <c r="I1817" s="17">
        <f>IF(B1817="","","")</f>
        <v/>
      </c>
      <c r="J1817" s="17">
        <f>IF(B1817="","","touch_1; "&amp;IFERROR(INDEX(Clay_Offices!$A$2:$FZ$601,166,Sync!$C$10)&amp;"","")&amp;"; "&amp;IFERROR(INDEX(Clay_Offices!$A$2:$FZ$601,166,Sync!$C$9)&amp;"",""))</f>
        <v/>
      </c>
      <c r="K1817" t="inlineStr">
        <is>
          <t>office outreach touch 1</t>
        </is>
      </c>
    </row>
    <row r="1818">
      <c r="A1818" s="17">
        <f>IF(B1818="","",B1818+(12*1000+167)/10000000)</f>
        <v/>
      </c>
      <c r="B1818" s="23">
        <f>IF(AND(IFERROR(N(INDEX(Clay_Offices!$A$2:$FZ$601,167,Sync!$C$11)),0)&gt;0,IFERROR(INDEX(Clay_Offices!$A$2:$FZ$601,167,Sync!$C$5)&amp;"","")&lt;&gt;"",OR(LEFT(IFERROR(INDEX(Clay_Offices!$A$2:$FZ$601,167,Sync!$C$5)&amp;"",""),6)&lt;&gt;"SAMPLE",Config!$B$19="Y")),IFERROR(N(INDEX(Clay_Offices!$A$2:$FZ$601,167,Sync!$C$11)),0),"")</f>
        <v/>
      </c>
      <c r="C1818" s="17">
        <f>IF(B1818="","","office")</f>
        <v/>
      </c>
      <c r="D1818" s="17">
        <f>IF(B1818="","",IFERROR(INDEX(Clay_Offices!$A$2:$FZ$601,167,Sync!$C$5)&amp;"",""))</f>
        <v/>
      </c>
      <c r="E1818" s="17">
        <f>IF(B1818="","",IFERROR(INDEX(Clay_Offices!$A$2:$FZ$601,167,Sync!$C$6)&amp;"",""))</f>
        <v/>
      </c>
      <c r="F1818" s="17">
        <f>IF(B1818="","","outreach_sent")</f>
        <v/>
      </c>
      <c r="G1818" s="17">
        <f>IF(B1818="","","")</f>
        <v/>
      </c>
      <c r="H1818" s="17">
        <f>IF(B1818="","","")</f>
        <v/>
      </c>
      <c r="I1818" s="17">
        <f>IF(B1818="","","")</f>
        <v/>
      </c>
      <c r="J1818" s="17">
        <f>IF(B1818="","","touch_1; "&amp;IFERROR(INDEX(Clay_Offices!$A$2:$FZ$601,167,Sync!$C$10)&amp;"","")&amp;"; "&amp;IFERROR(INDEX(Clay_Offices!$A$2:$FZ$601,167,Sync!$C$9)&amp;"",""))</f>
        <v/>
      </c>
      <c r="K1818" t="inlineStr">
        <is>
          <t>office outreach touch 1</t>
        </is>
      </c>
    </row>
    <row r="1819">
      <c r="A1819" s="17">
        <f>IF(B1819="","",B1819+(12*1000+168)/10000000)</f>
        <v/>
      </c>
      <c r="B1819" s="23">
        <f>IF(AND(IFERROR(N(INDEX(Clay_Offices!$A$2:$FZ$601,168,Sync!$C$11)),0)&gt;0,IFERROR(INDEX(Clay_Offices!$A$2:$FZ$601,168,Sync!$C$5)&amp;"","")&lt;&gt;"",OR(LEFT(IFERROR(INDEX(Clay_Offices!$A$2:$FZ$601,168,Sync!$C$5)&amp;"",""),6)&lt;&gt;"SAMPLE",Config!$B$19="Y")),IFERROR(N(INDEX(Clay_Offices!$A$2:$FZ$601,168,Sync!$C$11)),0),"")</f>
        <v/>
      </c>
      <c r="C1819" s="17">
        <f>IF(B1819="","","office")</f>
        <v/>
      </c>
      <c r="D1819" s="17">
        <f>IF(B1819="","",IFERROR(INDEX(Clay_Offices!$A$2:$FZ$601,168,Sync!$C$5)&amp;"",""))</f>
        <v/>
      </c>
      <c r="E1819" s="17">
        <f>IF(B1819="","",IFERROR(INDEX(Clay_Offices!$A$2:$FZ$601,168,Sync!$C$6)&amp;"",""))</f>
        <v/>
      </c>
      <c r="F1819" s="17">
        <f>IF(B1819="","","outreach_sent")</f>
        <v/>
      </c>
      <c r="G1819" s="17">
        <f>IF(B1819="","","")</f>
        <v/>
      </c>
      <c r="H1819" s="17">
        <f>IF(B1819="","","")</f>
        <v/>
      </c>
      <c r="I1819" s="17">
        <f>IF(B1819="","","")</f>
        <v/>
      </c>
      <c r="J1819" s="17">
        <f>IF(B1819="","","touch_1; "&amp;IFERROR(INDEX(Clay_Offices!$A$2:$FZ$601,168,Sync!$C$10)&amp;"","")&amp;"; "&amp;IFERROR(INDEX(Clay_Offices!$A$2:$FZ$601,168,Sync!$C$9)&amp;"",""))</f>
        <v/>
      </c>
      <c r="K1819" t="inlineStr">
        <is>
          <t>office outreach touch 1</t>
        </is>
      </c>
    </row>
    <row r="1820">
      <c r="A1820" s="17">
        <f>IF(B1820="","",B1820+(12*1000+169)/10000000)</f>
        <v/>
      </c>
      <c r="B1820" s="23">
        <f>IF(AND(IFERROR(N(INDEX(Clay_Offices!$A$2:$FZ$601,169,Sync!$C$11)),0)&gt;0,IFERROR(INDEX(Clay_Offices!$A$2:$FZ$601,169,Sync!$C$5)&amp;"","")&lt;&gt;"",OR(LEFT(IFERROR(INDEX(Clay_Offices!$A$2:$FZ$601,169,Sync!$C$5)&amp;"",""),6)&lt;&gt;"SAMPLE",Config!$B$19="Y")),IFERROR(N(INDEX(Clay_Offices!$A$2:$FZ$601,169,Sync!$C$11)),0),"")</f>
        <v/>
      </c>
      <c r="C1820" s="17">
        <f>IF(B1820="","","office")</f>
        <v/>
      </c>
      <c r="D1820" s="17">
        <f>IF(B1820="","",IFERROR(INDEX(Clay_Offices!$A$2:$FZ$601,169,Sync!$C$5)&amp;"",""))</f>
        <v/>
      </c>
      <c r="E1820" s="17">
        <f>IF(B1820="","",IFERROR(INDEX(Clay_Offices!$A$2:$FZ$601,169,Sync!$C$6)&amp;"",""))</f>
        <v/>
      </c>
      <c r="F1820" s="17">
        <f>IF(B1820="","","outreach_sent")</f>
        <v/>
      </c>
      <c r="G1820" s="17">
        <f>IF(B1820="","","")</f>
        <v/>
      </c>
      <c r="H1820" s="17">
        <f>IF(B1820="","","")</f>
        <v/>
      </c>
      <c r="I1820" s="17">
        <f>IF(B1820="","","")</f>
        <v/>
      </c>
      <c r="J1820" s="17">
        <f>IF(B1820="","","touch_1; "&amp;IFERROR(INDEX(Clay_Offices!$A$2:$FZ$601,169,Sync!$C$10)&amp;"","")&amp;"; "&amp;IFERROR(INDEX(Clay_Offices!$A$2:$FZ$601,169,Sync!$C$9)&amp;"",""))</f>
        <v/>
      </c>
      <c r="K1820" t="inlineStr">
        <is>
          <t>office outreach touch 1</t>
        </is>
      </c>
    </row>
    <row r="1821">
      <c r="A1821" s="17">
        <f>IF(B1821="","",B1821+(12*1000+170)/10000000)</f>
        <v/>
      </c>
      <c r="B1821" s="23">
        <f>IF(AND(IFERROR(N(INDEX(Clay_Offices!$A$2:$FZ$601,170,Sync!$C$11)),0)&gt;0,IFERROR(INDEX(Clay_Offices!$A$2:$FZ$601,170,Sync!$C$5)&amp;"","")&lt;&gt;"",OR(LEFT(IFERROR(INDEX(Clay_Offices!$A$2:$FZ$601,170,Sync!$C$5)&amp;"",""),6)&lt;&gt;"SAMPLE",Config!$B$19="Y")),IFERROR(N(INDEX(Clay_Offices!$A$2:$FZ$601,170,Sync!$C$11)),0),"")</f>
        <v/>
      </c>
      <c r="C1821" s="17">
        <f>IF(B1821="","","office")</f>
        <v/>
      </c>
      <c r="D1821" s="17">
        <f>IF(B1821="","",IFERROR(INDEX(Clay_Offices!$A$2:$FZ$601,170,Sync!$C$5)&amp;"",""))</f>
        <v/>
      </c>
      <c r="E1821" s="17">
        <f>IF(B1821="","",IFERROR(INDEX(Clay_Offices!$A$2:$FZ$601,170,Sync!$C$6)&amp;"",""))</f>
        <v/>
      </c>
      <c r="F1821" s="17">
        <f>IF(B1821="","","outreach_sent")</f>
        <v/>
      </c>
      <c r="G1821" s="17">
        <f>IF(B1821="","","")</f>
        <v/>
      </c>
      <c r="H1821" s="17">
        <f>IF(B1821="","","")</f>
        <v/>
      </c>
      <c r="I1821" s="17">
        <f>IF(B1821="","","")</f>
        <v/>
      </c>
      <c r="J1821" s="17">
        <f>IF(B1821="","","touch_1; "&amp;IFERROR(INDEX(Clay_Offices!$A$2:$FZ$601,170,Sync!$C$10)&amp;"","")&amp;"; "&amp;IFERROR(INDEX(Clay_Offices!$A$2:$FZ$601,170,Sync!$C$9)&amp;"",""))</f>
        <v/>
      </c>
      <c r="K1821" t="inlineStr">
        <is>
          <t>office outreach touch 1</t>
        </is>
      </c>
    </row>
    <row r="1822">
      <c r="A1822" s="17">
        <f>IF(B1822="","",B1822+(12*1000+171)/10000000)</f>
        <v/>
      </c>
      <c r="B1822" s="23">
        <f>IF(AND(IFERROR(N(INDEX(Clay_Offices!$A$2:$FZ$601,171,Sync!$C$11)),0)&gt;0,IFERROR(INDEX(Clay_Offices!$A$2:$FZ$601,171,Sync!$C$5)&amp;"","")&lt;&gt;"",OR(LEFT(IFERROR(INDEX(Clay_Offices!$A$2:$FZ$601,171,Sync!$C$5)&amp;"",""),6)&lt;&gt;"SAMPLE",Config!$B$19="Y")),IFERROR(N(INDEX(Clay_Offices!$A$2:$FZ$601,171,Sync!$C$11)),0),"")</f>
        <v/>
      </c>
      <c r="C1822" s="17">
        <f>IF(B1822="","","office")</f>
        <v/>
      </c>
      <c r="D1822" s="17">
        <f>IF(B1822="","",IFERROR(INDEX(Clay_Offices!$A$2:$FZ$601,171,Sync!$C$5)&amp;"",""))</f>
        <v/>
      </c>
      <c r="E1822" s="17">
        <f>IF(B1822="","",IFERROR(INDEX(Clay_Offices!$A$2:$FZ$601,171,Sync!$C$6)&amp;"",""))</f>
        <v/>
      </c>
      <c r="F1822" s="17">
        <f>IF(B1822="","","outreach_sent")</f>
        <v/>
      </c>
      <c r="G1822" s="17">
        <f>IF(B1822="","","")</f>
        <v/>
      </c>
      <c r="H1822" s="17">
        <f>IF(B1822="","","")</f>
        <v/>
      </c>
      <c r="I1822" s="17">
        <f>IF(B1822="","","")</f>
        <v/>
      </c>
      <c r="J1822" s="17">
        <f>IF(B1822="","","touch_1; "&amp;IFERROR(INDEX(Clay_Offices!$A$2:$FZ$601,171,Sync!$C$10)&amp;"","")&amp;"; "&amp;IFERROR(INDEX(Clay_Offices!$A$2:$FZ$601,171,Sync!$C$9)&amp;"",""))</f>
        <v/>
      </c>
      <c r="K1822" t="inlineStr">
        <is>
          <t>office outreach touch 1</t>
        </is>
      </c>
    </row>
    <row r="1823">
      <c r="A1823" s="17">
        <f>IF(B1823="","",B1823+(12*1000+172)/10000000)</f>
        <v/>
      </c>
      <c r="B1823" s="23">
        <f>IF(AND(IFERROR(N(INDEX(Clay_Offices!$A$2:$FZ$601,172,Sync!$C$11)),0)&gt;0,IFERROR(INDEX(Clay_Offices!$A$2:$FZ$601,172,Sync!$C$5)&amp;"","")&lt;&gt;"",OR(LEFT(IFERROR(INDEX(Clay_Offices!$A$2:$FZ$601,172,Sync!$C$5)&amp;"",""),6)&lt;&gt;"SAMPLE",Config!$B$19="Y")),IFERROR(N(INDEX(Clay_Offices!$A$2:$FZ$601,172,Sync!$C$11)),0),"")</f>
        <v/>
      </c>
      <c r="C1823" s="17">
        <f>IF(B1823="","","office")</f>
        <v/>
      </c>
      <c r="D1823" s="17">
        <f>IF(B1823="","",IFERROR(INDEX(Clay_Offices!$A$2:$FZ$601,172,Sync!$C$5)&amp;"",""))</f>
        <v/>
      </c>
      <c r="E1823" s="17">
        <f>IF(B1823="","",IFERROR(INDEX(Clay_Offices!$A$2:$FZ$601,172,Sync!$C$6)&amp;"",""))</f>
        <v/>
      </c>
      <c r="F1823" s="17">
        <f>IF(B1823="","","outreach_sent")</f>
        <v/>
      </c>
      <c r="G1823" s="17">
        <f>IF(B1823="","","")</f>
        <v/>
      </c>
      <c r="H1823" s="17">
        <f>IF(B1823="","","")</f>
        <v/>
      </c>
      <c r="I1823" s="17">
        <f>IF(B1823="","","")</f>
        <v/>
      </c>
      <c r="J1823" s="17">
        <f>IF(B1823="","","touch_1; "&amp;IFERROR(INDEX(Clay_Offices!$A$2:$FZ$601,172,Sync!$C$10)&amp;"","")&amp;"; "&amp;IFERROR(INDEX(Clay_Offices!$A$2:$FZ$601,172,Sync!$C$9)&amp;"",""))</f>
        <v/>
      </c>
      <c r="K1823" t="inlineStr">
        <is>
          <t>office outreach touch 1</t>
        </is>
      </c>
    </row>
    <row r="1824">
      <c r="A1824" s="17">
        <f>IF(B1824="","",B1824+(12*1000+173)/10000000)</f>
        <v/>
      </c>
      <c r="B1824" s="23">
        <f>IF(AND(IFERROR(N(INDEX(Clay_Offices!$A$2:$FZ$601,173,Sync!$C$11)),0)&gt;0,IFERROR(INDEX(Clay_Offices!$A$2:$FZ$601,173,Sync!$C$5)&amp;"","")&lt;&gt;"",OR(LEFT(IFERROR(INDEX(Clay_Offices!$A$2:$FZ$601,173,Sync!$C$5)&amp;"",""),6)&lt;&gt;"SAMPLE",Config!$B$19="Y")),IFERROR(N(INDEX(Clay_Offices!$A$2:$FZ$601,173,Sync!$C$11)),0),"")</f>
        <v/>
      </c>
      <c r="C1824" s="17">
        <f>IF(B1824="","","office")</f>
        <v/>
      </c>
      <c r="D1824" s="17">
        <f>IF(B1824="","",IFERROR(INDEX(Clay_Offices!$A$2:$FZ$601,173,Sync!$C$5)&amp;"",""))</f>
        <v/>
      </c>
      <c r="E1824" s="17">
        <f>IF(B1824="","",IFERROR(INDEX(Clay_Offices!$A$2:$FZ$601,173,Sync!$C$6)&amp;"",""))</f>
        <v/>
      </c>
      <c r="F1824" s="17">
        <f>IF(B1824="","","outreach_sent")</f>
        <v/>
      </c>
      <c r="G1824" s="17">
        <f>IF(B1824="","","")</f>
        <v/>
      </c>
      <c r="H1824" s="17">
        <f>IF(B1824="","","")</f>
        <v/>
      </c>
      <c r="I1824" s="17">
        <f>IF(B1824="","","")</f>
        <v/>
      </c>
      <c r="J1824" s="17">
        <f>IF(B1824="","","touch_1; "&amp;IFERROR(INDEX(Clay_Offices!$A$2:$FZ$601,173,Sync!$C$10)&amp;"","")&amp;"; "&amp;IFERROR(INDEX(Clay_Offices!$A$2:$FZ$601,173,Sync!$C$9)&amp;"",""))</f>
        <v/>
      </c>
      <c r="K1824" t="inlineStr">
        <is>
          <t>office outreach touch 1</t>
        </is>
      </c>
    </row>
    <row r="1825">
      <c r="A1825" s="17">
        <f>IF(B1825="","",B1825+(12*1000+174)/10000000)</f>
        <v/>
      </c>
      <c r="B1825" s="23">
        <f>IF(AND(IFERROR(N(INDEX(Clay_Offices!$A$2:$FZ$601,174,Sync!$C$11)),0)&gt;0,IFERROR(INDEX(Clay_Offices!$A$2:$FZ$601,174,Sync!$C$5)&amp;"","")&lt;&gt;"",OR(LEFT(IFERROR(INDEX(Clay_Offices!$A$2:$FZ$601,174,Sync!$C$5)&amp;"",""),6)&lt;&gt;"SAMPLE",Config!$B$19="Y")),IFERROR(N(INDEX(Clay_Offices!$A$2:$FZ$601,174,Sync!$C$11)),0),"")</f>
        <v/>
      </c>
      <c r="C1825" s="17">
        <f>IF(B1825="","","office")</f>
        <v/>
      </c>
      <c r="D1825" s="17">
        <f>IF(B1825="","",IFERROR(INDEX(Clay_Offices!$A$2:$FZ$601,174,Sync!$C$5)&amp;"",""))</f>
        <v/>
      </c>
      <c r="E1825" s="17">
        <f>IF(B1825="","",IFERROR(INDEX(Clay_Offices!$A$2:$FZ$601,174,Sync!$C$6)&amp;"",""))</f>
        <v/>
      </c>
      <c r="F1825" s="17">
        <f>IF(B1825="","","outreach_sent")</f>
        <v/>
      </c>
      <c r="G1825" s="17">
        <f>IF(B1825="","","")</f>
        <v/>
      </c>
      <c r="H1825" s="17">
        <f>IF(B1825="","","")</f>
        <v/>
      </c>
      <c r="I1825" s="17">
        <f>IF(B1825="","","")</f>
        <v/>
      </c>
      <c r="J1825" s="17">
        <f>IF(B1825="","","touch_1; "&amp;IFERROR(INDEX(Clay_Offices!$A$2:$FZ$601,174,Sync!$C$10)&amp;"","")&amp;"; "&amp;IFERROR(INDEX(Clay_Offices!$A$2:$FZ$601,174,Sync!$C$9)&amp;"",""))</f>
        <v/>
      </c>
      <c r="K1825" t="inlineStr">
        <is>
          <t>office outreach touch 1</t>
        </is>
      </c>
    </row>
    <row r="1826">
      <c r="A1826" s="17">
        <f>IF(B1826="","",B1826+(12*1000+175)/10000000)</f>
        <v/>
      </c>
      <c r="B1826" s="23">
        <f>IF(AND(IFERROR(N(INDEX(Clay_Offices!$A$2:$FZ$601,175,Sync!$C$11)),0)&gt;0,IFERROR(INDEX(Clay_Offices!$A$2:$FZ$601,175,Sync!$C$5)&amp;"","")&lt;&gt;"",OR(LEFT(IFERROR(INDEX(Clay_Offices!$A$2:$FZ$601,175,Sync!$C$5)&amp;"",""),6)&lt;&gt;"SAMPLE",Config!$B$19="Y")),IFERROR(N(INDEX(Clay_Offices!$A$2:$FZ$601,175,Sync!$C$11)),0),"")</f>
        <v/>
      </c>
      <c r="C1826" s="17">
        <f>IF(B1826="","","office")</f>
        <v/>
      </c>
      <c r="D1826" s="17">
        <f>IF(B1826="","",IFERROR(INDEX(Clay_Offices!$A$2:$FZ$601,175,Sync!$C$5)&amp;"",""))</f>
        <v/>
      </c>
      <c r="E1826" s="17">
        <f>IF(B1826="","",IFERROR(INDEX(Clay_Offices!$A$2:$FZ$601,175,Sync!$C$6)&amp;"",""))</f>
        <v/>
      </c>
      <c r="F1826" s="17">
        <f>IF(B1826="","","outreach_sent")</f>
        <v/>
      </c>
      <c r="G1826" s="17">
        <f>IF(B1826="","","")</f>
        <v/>
      </c>
      <c r="H1826" s="17">
        <f>IF(B1826="","","")</f>
        <v/>
      </c>
      <c r="I1826" s="17">
        <f>IF(B1826="","","")</f>
        <v/>
      </c>
      <c r="J1826" s="17">
        <f>IF(B1826="","","touch_1; "&amp;IFERROR(INDEX(Clay_Offices!$A$2:$FZ$601,175,Sync!$C$10)&amp;"","")&amp;"; "&amp;IFERROR(INDEX(Clay_Offices!$A$2:$FZ$601,175,Sync!$C$9)&amp;"",""))</f>
        <v/>
      </c>
      <c r="K1826" t="inlineStr">
        <is>
          <t>office outreach touch 1</t>
        </is>
      </c>
    </row>
    <row r="1827">
      <c r="A1827" s="17">
        <f>IF(B1827="","",B1827+(12*1000+176)/10000000)</f>
        <v/>
      </c>
      <c r="B1827" s="23">
        <f>IF(AND(IFERROR(N(INDEX(Clay_Offices!$A$2:$FZ$601,176,Sync!$C$11)),0)&gt;0,IFERROR(INDEX(Clay_Offices!$A$2:$FZ$601,176,Sync!$C$5)&amp;"","")&lt;&gt;"",OR(LEFT(IFERROR(INDEX(Clay_Offices!$A$2:$FZ$601,176,Sync!$C$5)&amp;"",""),6)&lt;&gt;"SAMPLE",Config!$B$19="Y")),IFERROR(N(INDEX(Clay_Offices!$A$2:$FZ$601,176,Sync!$C$11)),0),"")</f>
        <v/>
      </c>
      <c r="C1827" s="17">
        <f>IF(B1827="","","office")</f>
        <v/>
      </c>
      <c r="D1827" s="17">
        <f>IF(B1827="","",IFERROR(INDEX(Clay_Offices!$A$2:$FZ$601,176,Sync!$C$5)&amp;"",""))</f>
        <v/>
      </c>
      <c r="E1827" s="17">
        <f>IF(B1827="","",IFERROR(INDEX(Clay_Offices!$A$2:$FZ$601,176,Sync!$C$6)&amp;"",""))</f>
        <v/>
      </c>
      <c r="F1827" s="17">
        <f>IF(B1827="","","outreach_sent")</f>
        <v/>
      </c>
      <c r="G1827" s="17">
        <f>IF(B1827="","","")</f>
        <v/>
      </c>
      <c r="H1827" s="17">
        <f>IF(B1827="","","")</f>
        <v/>
      </c>
      <c r="I1827" s="17">
        <f>IF(B1827="","","")</f>
        <v/>
      </c>
      <c r="J1827" s="17">
        <f>IF(B1827="","","touch_1; "&amp;IFERROR(INDEX(Clay_Offices!$A$2:$FZ$601,176,Sync!$C$10)&amp;"","")&amp;"; "&amp;IFERROR(INDEX(Clay_Offices!$A$2:$FZ$601,176,Sync!$C$9)&amp;"",""))</f>
        <v/>
      </c>
      <c r="K1827" t="inlineStr">
        <is>
          <t>office outreach touch 1</t>
        </is>
      </c>
    </row>
    <row r="1828">
      <c r="A1828" s="17">
        <f>IF(B1828="","",B1828+(12*1000+177)/10000000)</f>
        <v/>
      </c>
      <c r="B1828" s="23">
        <f>IF(AND(IFERROR(N(INDEX(Clay_Offices!$A$2:$FZ$601,177,Sync!$C$11)),0)&gt;0,IFERROR(INDEX(Clay_Offices!$A$2:$FZ$601,177,Sync!$C$5)&amp;"","")&lt;&gt;"",OR(LEFT(IFERROR(INDEX(Clay_Offices!$A$2:$FZ$601,177,Sync!$C$5)&amp;"",""),6)&lt;&gt;"SAMPLE",Config!$B$19="Y")),IFERROR(N(INDEX(Clay_Offices!$A$2:$FZ$601,177,Sync!$C$11)),0),"")</f>
        <v/>
      </c>
      <c r="C1828" s="17">
        <f>IF(B1828="","","office")</f>
        <v/>
      </c>
      <c r="D1828" s="17">
        <f>IF(B1828="","",IFERROR(INDEX(Clay_Offices!$A$2:$FZ$601,177,Sync!$C$5)&amp;"",""))</f>
        <v/>
      </c>
      <c r="E1828" s="17">
        <f>IF(B1828="","",IFERROR(INDEX(Clay_Offices!$A$2:$FZ$601,177,Sync!$C$6)&amp;"",""))</f>
        <v/>
      </c>
      <c r="F1828" s="17">
        <f>IF(B1828="","","outreach_sent")</f>
        <v/>
      </c>
      <c r="G1828" s="17">
        <f>IF(B1828="","","")</f>
        <v/>
      </c>
      <c r="H1828" s="17">
        <f>IF(B1828="","","")</f>
        <v/>
      </c>
      <c r="I1828" s="17">
        <f>IF(B1828="","","")</f>
        <v/>
      </c>
      <c r="J1828" s="17">
        <f>IF(B1828="","","touch_1; "&amp;IFERROR(INDEX(Clay_Offices!$A$2:$FZ$601,177,Sync!$C$10)&amp;"","")&amp;"; "&amp;IFERROR(INDEX(Clay_Offices!$A$2:$FZ$601,177,Sync!$C$9)&amp;"",""))</f>
        <v/>
      </c>
      <c r="K1828" t="inlineStr">
        <is>
          <t>office outreach touch 1</t>
        </is>
      </c>
    </row>
    <row r="1829">
      <c r="A1829" s="17">
        <f>IF(B1829="","",B1829+(12*1000+178)/10000000)</f>
        <v/>
      </c>
      <c r="B1829" s="23">
        <f>IF(AND(IFERROR(N(INDEX(Clay_Offices!$A$2:$FZ$601,178,Sync!$C$11)),0)&gt;0,IFERROR(INDEX(Clay_Offices!$A$2:$FZ$601,178,Sync!$C$5)&amp;"","")&lt;&gt;"",OR(LEFT(IFERROR(INDEX(Clay_Offices!$A$2:$FZ$601,178,Sync!$C$5)&amp;"",""),6)&lt;&gt;"SAMPLE",Config!$B$19="Y")),IFERROR(N(INDEX(Clay_Offices!$A$2:$FZ$601,178,Sync!$C$11)),0),"")</f>
        <v/>
      </c>
      <c r="C1829" s="17">
        <f>IF(B1829="","","office")</f>
        <v/>
      </c>
      <c r="D1829" s="17">
        <f>IF(B1829="","",IFERROR(INDEX(Clay_Offices!$A$2:$FZ$601,178,Sync!$C$5)&amp;"",""))</f>
        <v/>
      </c>
      <c r="E1829" s="17">
        <f>IF(B1829="","",IFERROR(INDEX(Clay_Offices!$A$2:$FZ$601,178,Sync!$C$6)&amp;"",""))</f>
        <v/>
      </c>
      <c r="F1829" s="17">
        <f>IF(B1829="","","outreach_sent")</f>
        <v/>
      </c>
      <c r="G1829" s="17">
        <f>IF(B1829="","","")</f>
        <v/>
      </c>
      <c r="H1829" s="17">
        <f>IF(B1829="","","")</f>
        <v/>
      </c>
      <c r="I1829" s="17">
        <f>IF(B1829="","","")</f>
        <v/>
      </c>
      <c r="J1829" s="17">
        <f>IF(B1829="","","touch_1; "&amp;IFERROR(INDEX(Clay_Offices!$A$2:$FZ$601,178,Sync!$C$10)&amp;"","")&amp;"; "&amp;IFERROR(INDEX(Clay_Offices!$A$2:$FZ$601,178,Sync!$C$9)&amp;"",""))</f>
        <v/>
      </c>
      <c r="K1829" t="inlineStr">
        <is>
          <t>office outreach touch 1</t>
        </is>
      </c>
    </row>
    <row r="1830">
      <c r="A1830" s="17">
        <f>IF(B1830="","",B1830+(12*1000+179)/10000000)</f>
        <v/>
      </c>
      <c r="B1830" s="23">
        <f>IF(AND(IFERROR(N(INDEX(Clay_Offices!$A$2:$FZ$601,179,Sync!$C$11)),0)&gt;0,IFERROR(INDEX(Clay_Offices!$A$2:$FZ$601,179,Sync!$C$5)&amp;"","")&lt;&gt;"",OR(LEFT(IFERROR(INDEX(Clay_Offices!$A$2:$FZ$601,179,Sync!$C$5)&amp;"",""),6)&lt;&gt;"SAMPLE",Config!$B$19="Y")),IFERROR(N(INDEX(Clay_Offices!$A$2:$FZ$601,179,Sync!$C$11)),0),"")</f>
        <v/>
      </c>
      <c r="C1830" s="17">
        <f>IF(B1830="","","office")</f>
        <v/>
      </c>
      <c r="D1830" s="17">
        <f>IF(B1830="","",IFERROR(INDEX(Clay_Offices!$A$2:$FZ$601,179,Sync!$C$5)&amp;"",""))</f>
        <v/>
      </c>
      <c r="E1830" s="17">
        <f>IF(B1830="","",IFERROR(INDEX(Clay_Offices!$A$2:$FZ$601,179,Sync!$C$6)&amp;"",""))</f>
        <v/>
      </c>
      <c r="F1830" s="17">
        <f>IF(B1830="","","outreach_sent")</f>
        <v/>
      </c>
      <c r="G1830" s="17">
        <f>IF(B1830="","","")</f>
        <v/>
      </c>
      <c r="H1830" s="17">
        <f>IF(B1830="","","")</f>
        <v/>
      </c>
      <c r="I1830" s="17">
        <f>IF(B1830="","","")</f>
        <v/>
      </c>
      <c r="J1830" s="17">
        <f>IF(B1830="","","touch_1; "&amp;IFERROR(INDEX(Clay_Offices!$A$2:$FZ$601,179,Sync!$C$10)&amp;"","")&amp;"; "&amp;IFERROR(INDEX(Clay_Offices!$A$2:$FZ$601,179,Sync!$C$9)&amp;"",""))</f>
        <v/>
      </c>
      <c r="K1830" t="inlineStr">
        <is>
          <t>office outreach touch 1</t>
        </is>
      </c>
    </row>
    <row r="1831">
      <c r="A1831" s="17">
        <f>IF(B1831="","",B1831+(12*1000+180)/10000000)</f>
        <v/>
      </c>
      <c r="B1831" s="23">
        <f>IF(AND(IFERROR(N(INDEX(Clay_Offices!$A$2:$FZ$601,180,Sync!$C$11)),0)&gt;0,IFERROR(INDEX(Clay_Offices!$A$2:$FZ$601,180,Sync!$C$5)&amp;"","")&lt;&gt;"",OR(LEFT(IFERROR(INDEX(Clay_Offices!$A$2:$FZ$601,180,Sync!$C$5)&amp;"",""),6)&lt;&gt;"SAMPLE",Config!$B$19="Y")),IFERROR(N(INDEX(Clay_Offices!$A$2:$FZ$601,180,Sync!$C$11)),0),"")</f>
        <v/>
      </c>
      <c r="C1831" s="17">
        <f>IF(B1831="","","office")</f>
        <v/>
      </c>
      <c r="D1831" s="17">
        <f>IF(B1831="","",IFERROR(INDEX(Clay_Offices!$A$2:$FZ$601,180,Sync!$C$5)&amp;"",""))</f>
        <v/>
      </c>
      <c r="E1831" s="17">
        <f>IF(B1831="","",IFERROR(INDEX(Clay_Offices!$A$2:$FZ$601,180,Sync!$C$6)&amp;"",""))</f>
        <v/>
      </c>
      <c r="F1831" s="17">
        <f>IF(B1831="","","outreach_sent")</f>
        <v/>
      </c>
      <c r="G1831" s="17">
        <f>IF(B1831="","","")</f>
        <v/>
      </c>
      <c r="H1831" s="17">
        <f>IF(B1831="","","")</f>
        <v/>
      </c>
      <c r="I1831" s="17">
        <f>IF(B1831="","","")</f>
        <v/>
      </c>
      <c r="J1831" s="17">
        <f>IF(B1831="","","touch_1; "&amp;IFERROR(INDEX(Clay_Offices!$A$2:$FZ$601,180,Sync!$C$10)&amp;"","")&amp;"; "&amp;IFERROR(INDEX(Clay_Offices!$A$2:$FZ$601,180,Sync!$C$9)&amp;"",""))</f>
        <v/>
      </c>
      <c r="K1831" t="inlineStr">
        <is>
          <t>office outreach touch 1</t>
        </is>
      </c>
    </row>
    <row r="1832">
      <c r="A1832" s="17">
        <f>IF(B1832="","",B1832+(12*1000+181)/10000000)</f>
        <v/>
      </c>
      <c r="B1832" s="23">
        <f>IF(AND(IFERROR(N(INDEX(Clay_Offices!$A$2:$FZ$601,181,Sync!$C$11)),0)&gt;0,IFERROR(INDEX(Clay_Offices!$A$2:$FZ$601,181,Sync!$C$5)&amp;"","")&lt;&gt;"",OR(LEFT(IFERROR(INDEX(Clay_Offices!$A$2:$FZ$601,181,Sync!$C$5)&amp;"",""),6)&lt;&gt;"SAMPLE",Config!$B$19="Y")),IFERROR(N(INDEX(Clay_Offices!$A$2:$FZ$601,181,Sync!$C$11)),0),"")</f>
        <v/>
      </c>
      <c r="C1832" s="17">
        <f>IF(B1832="","","office")</f>
        <v/>
      </c>
      <c r="D1832" s="17">
        <f>IF(B1832="","",IFERROR(INDEX(Clay_Offices!$A$2:$FZ$601,181,Sync!$C$5)&amp;"",""))</f>
        <v/>
      </c>
      <c r="E1832" s="17">
        <f>IF(B1832="","",IFERROR(INDEX(Clay_Offices!$A$2:$FZ$601,181,Sync!$C$6)&amp;"",""))</f>
        <v/>
      </c>
      <c r="F1832" s="17">
        <f>IF(B1832="","","outreach_sent")</f>
        <v/>
      </c>
      <c r="G1832" s="17">
        <f>IF(B1832="","","")</f>
        <v/>
      </c>
      <c r="H1832" s="17">
        <f>IF(B1832="","","")</f>
        <v/>
      </c>
      <c r="I1832" s="17">
        <f>IF(B1832="","","")</f>
        <v/>
      </c>
      <c r="J1832" s="17">
        <f>IF(B1832="","","touch_1; "&amp;IFERROR(INDEX(Clay_Offices!$A$2:$FZ$601,181,Sync!$C$10)&amp;"","")&amp;"; "&amp;IFERROR(INDEX(Clay_Offices!$A$2:$FZ$601,181,Sync!$C$9)&amp;"",""))</f>
        <v/>
      </c>
      <c r="K1832" t="inlineStr">
        <is>
          <t>office outreach touch 1</t>
        </is>
      </c>
    </row>
    <row r="1833">
      <c r="A1833" s="17">
        <f>IF(B1833="","",B1833+(12*1000+182)/10000000)</f>
        <v/>
      </c>
      <c r="B1833" s="23">
        <f>IF(AND(IFERROR(N(INDEX(Clay_Offices!$A$2:$FZ$601,182,Sync!$C$11)),0)&gt;0,IFERROR(INDEX(Clay_Offices!$A$2:$FZ$601,182,Sync!$C$5)&amp;"","")&lt;&gt;"",OR(LEFT(IFERROR(INDEX(Clay_Offices!$A$2:$FZ$601,182,Sync!$C$5)&amp;"",""),6)&lt;&gt;"SAMPLE",Config!$B$19="Y")),IFERROR(N(INDEX(Clay_Offices!$A$2:$FZ$601,182,Sync!$C$11)),0),"")</f>
        <v/>
      </c>
      <c r="C1833" s="17">
        <f>IF(B1833="","","office")</f>
        <v/>
      </c>
      <c r="D1833" s="17">
        <f>IF(B1833="","",IFERROR(INDEX(Clay_Offices!$A$2:$FZ$601,182,Sync!$C$5)&amp;"",""))</f>
        <v/>
      </c>
      <c r="E1833" s="17">
        <f>IF(B1833="","",IFERROR(INDEX(Clay_Offices!$A$2:$FZ$601,182,Sync!$C$6)&amp;"",""))</f>
        <v/>
      </c>
      <c r="F1833" s="17">
        <f>IF(B1833="","","outreach_sent")</f>
        <v/>
      </c>
      <c r="G1833" s="17">
        <f>IF(B1833="","","")</f>
        <v/>
      </c>
      <c r="H1833" s="17">
        <f>IF(B1833="","","")</f>
        <v/>
      </c>
      <c r="I1833" s="17">
        <f>IF(B1833="","","")</f>
        <v/>
      </c>
      <c r="J1833" s="17">
        <f>IF(B1833="","","touch_1; "&amp;IFERROR(INDEX(Clay_Offices!$A$2:$FZ$601,182,Sync!$C$10)&amp;"","")&amp;"; "&amp;IFERROR(INDEX(Clay_Offices!$A$2:$FZ$601,182,Sync!$C$9)&amp;"",""))</f>
        <v/>
      </c>
      <c r="K1833" t="inlineStr">
        <is>
          <t>office outreach touch 1</t>
        </is>
      </c>
    </row>
    <row r="1834">
      <c r="A1834" s="17">
        <f>IF(B1834="","",B1834+(12*1000+183)/10000000)</f>
        <v/>
      </c>
      <c r="B1834" s="23">
        <f>IF(AND(IFERROR(N(INDEX(Clay_Offices!$A$2:$FZ$601,183,Sync!$C$11)),0)&gt;0,IFERROR(INDEX(Clay_Offices!$A$2:$FZ$601,183,Sync!$C$5)&amp;"","")&lt;&gt;"",OR(LEFT(IFERROR(INDEX(Clay_Offices!$A$2:$FZ$601,183,Sync!$C$5)&amp;"",""),6)&lt;&gt;"SAMPLE",Config!$B$19="Y")),IFERROR(N(INDEX(Clay_Offices!$A$2:$FZ$601,183,Sync!$C$11)),0),"")</f>
        <v/>
      </c>
      <c r="C1834" s="17">
        <f>IF(B1834="","","office")</f>
        <v/>
      </c>
      <c r="D1834" s="17">
        <f>IF(B1834="","",IFERROR(INDEX(Clay_Offices!$A$2:$FZ$601,183,Sync!$C$5)&amp;"",""))</f>
        <v/>
      </c>
      <c r="E1834" s="17">
        <f>IF(B1834="","",IFERROR(INDEX(Clay_Offices!$A$2:$FZ$601,183,Sync!$C$6)&amp;"",""))</f>
        <v/>
      </c>
      <c r="F1834" s="17">
        <f>IF(B1834="","","outreach_sent")</f>
        <v/>
      </c>
      <c r="G1834" s="17">
        <f>IF(B1834="","","")</f>
        <v/>
      </c>
      <c r="H1834" s="17">
        <f>IF(B1834="","","")</f>
        <v/>
      </c>
      <c r="I1834" s="17">
        <f>IF(B1834="","","")</f>
        <v/>
      </c>
      <c r="J1834" s="17">
        <f>IF(B1834="","","touch_1; "&amp;IFERROR(INDEX(Clay_Offices!$A$2:$FZ$601,183,Sync!$C$10)&amp;"","")&amp;"; "&amp;IFERROR(INDEX(Clay_Offices!$A$2:$FZ$601,183,Sync!$C$9)&amp;"",""))</f>
        <v/>
      </c>
      <c r="K1834" t="inlineStr">
        <is>
          <t>office outreach touch 1</t>
        </is>
      </c>
    </row>
    <row r="1835">
      <c r="A1835" s="17">
        <f>IF(B1835="","",B1835+(12*1000+184)/10000000)</f>
        <v/>
      </c>
      <c r="B1835" s="23">
        <f>IF(AND(IFERROR(N(INDEX(Clay_Offices!$A$2:$FZ$601,184,Sync!$C$11)),0)&gt;0,IFERROR(INDEX(Clay_Offices!$A$2:$FZ$601,184,Sync!$C$5)&amp;"","")&lt;&gt;"",OR(LEFT(IFERROR(INDEX(Clay_Offices!$A$2:$FZ$601,184,Sync!$C$5)&amp;"",""),6)&lt;&gt;"SAMPLE",Config!$B$19="Y")),IFERROR(N(INDEX(Clay_Offices!$A$2:$FZ$601,184,Sync!$C$11)),0),"")</f>
        <v/>
      </c>
      <c r="C1835" s="17">
        <f>IF(B1835="","","office")</f>
        <v/>
      </c>
      <c r="D1835" s="17">
        <f>IF(B1835="","",IFERROR(INDEX(Clay_Offices!$A$2:$FZ$601,184,Sync!$C$5)&amp;"",""))</f>
        <v/>
      </c>
      <c r="E1835" s="17">
        <f>IF(B1835="","",IFERROR(INDEX(Clay_Offices!$A$2:$FZ$601,184,Sync!$C$6)&amp;"",""))</f>
        <v/>
      </c>
      <c r="F1835" s="17">
        <f>IF(B1835="","","outreach_sent")</f>
        <v/>
      </c>
      <c r="G1835" s="17">
        <f>IF(B1835="","","")</f>
        <v/>
      </c>
      <c r="H1835" s="17">
        <f>IF(B1835="","","")</f>
        <v/>
      </c>
      <c r="I1835" s="17">
        <f>IF(B1835="","","")</f>
        <v/>
      </c>
      <c r="J1835" s="17">
        <f>IF(B1835="","","touch_1; "&amp;IFERROR(INDEX(Clay_Offices!$A$2:$FZ$601,184,Sync!$C$10)&amp;"","")&amp;"; "&amp;IFERROR(INDEX(Clay_Offices!$A$2:$FZ$601,184,Sync!$C$9)&amp;"",""))</f>
        <v/>
      </c>
      <c r="K1835" t="inlineStr">
        <is>
          <t>office outreach touch 1</t>
        </is>
      </c>
    </row>
    <row r="1836">
      <c r="A1836" s="17">
        <f>IF(B1836="","",B1836+(12*1000+185)/10000000)</f>
        <v/>
      </c>
      <c r="B1836" s="23">
        <f>IF(AND(IFERROR(N(INDEX(Clay_Offices!$A$2:$FZ$601,185,Sync!$C$11)),0)&gt;0,IFERROR(INDEX(Clay_Offices!$A$2:$FZ$601,185,Sync!$C$5)&amp;"","")&lt;&gt;"",OR(LEFT(IFERROR(INDEX(Clay_Offices!$A$2:$FZ$601,185,Sync!$C$5)&amp;"",""),6)&lt;&gt;"SAMPLE",Config!$B$19="Y")),IFERROR(N(INDEX(Clay_Offices!$A$2:$FZ$601,185,Sync!$C$11)),0),"")</f>
        <v/>
      </c>
      <c r="C1836" s="17">
        <f>IF(B1836="","","office")</f>
        <v/>
      </c>
      <c r="D1836" s="17">
        <f>IF(B1836="","",IFERROR(INDEX(Clay_Offices!$A$2:$FZ$601,185,Sync!$C$5)&amp;"",""))</f>
        <v/>
      </c>
      <c r="E1836" s="17">
        <f>IF(B1836="","",IFERROR(INDEX(Clay_Offices!$A$2:$FZ$601,185,Sync!$C$6)&amp;"",""))</f>
        <v/>
      </c>
      <c r="F1836" s="17">
        <f>IF(B1836="","","outreach_sent")</f>
        <v/>
      </c>
      <c r="G1836" s="17">
        <f>IF(B1836="","","")</f>
        <v/>
      </c>
      <c r="H1836" s="17">
        <f>IF(B1836="","","")</f>
        <v/>
      </c>
      <c r="I1836" s="17">
        <f>IF(B1836="","","")</f>
        <v/>
      </c>
      <c r="J1836" s="17">
        <f>IF(B1836="","","touch_1; "&amp;IFERROR(INDEX(Clay_Offices!$A$2:$FZ$601,185,Sync!$C$10)&amp;"","")&amp;"; "&amp;IFERROR(INDEX(Clay_Offices!$A$2:$FZ$601,185,Sync!$C$9)&amp;"",""))</f>
        <v/>
      </c>
      <c r="K1836" t="inlineStr">
        <is>
          <t>office outreach touch 1</t>
        </is>
      </c>
    </row>
    <row r="1837">
      <c r="A1837" s="17">
        <f>IF(B1837="","",B1837+(12*1000+186)/10000000)</f>
        <v/>
      </c>
      <c r="B1837" s="23">
        <f>IF(AND(IFERROR(N(INDEX(Clay_Offices!$A$2:$FZ$601,186,Sync!$C$11)),0)&gt;0,IFERROR(INDEX(Clay_Offices!$A$2:$FZ$601,186,Sync!$C$5)&amp;"","")&lt;&gt;"",OR(LEFT(IFERROR(INDEX(Clay_Offices!$A$2:$FZ$601,186,Sync!$C$5)&amp;"",""),6)&lt;&gt;"SAMPLE",Config!$B$19="Y")),IFERROR(N(INDEX(Clay_Offices!$A$2:$FZ$601,186,Sync!$C$11)),0),"")</f>
        <v/>
      </c>
      <c r="C1837" s="17">
        <f>IF(B1837="","","office")</f>
        <v/>
      </c>
      <c r="D1837" s="17">
        <f>IF(B1837="","",IFERROR(INDEX(Clay_Offices!$A$2:$FZ$601,186,Sync!$C$5)&amp;"",""))</f>
        <v/>
      </c>
      <c r="E1837" s="17">
        <f>IF(B1837="","",IFERROR(INDEX(Clay_Offices!$A$2:$FZ$601,186,Sync!$C$6)&amp;"",""))</f>
        <v/>
      </c>
      <c r="F1837" s="17">
        <f>IF(B1837="","","outreach_sent")</f>
        <v/>
      </c>
      <c r="G1837" s="17">
        <f>IF(B1837="","","")</f>
        <v/>
      </c>
      <c r="H1837" s="17">
        <f>IF(B1837="","","")</f>
        <v/>
      </c>
      <c r="I1837" s="17">
        <f>IF(B1837="","","")</f>
        <v/>
      </c>
      <c r="J1837" s="17">
        <f>IF(B1837="","","touch_1; "&amp;IFERROR(INDEX(Clay_Offices!$A$2:$FZ$601,186,Sync!$C$10)&amp;"","")&amp;"; "&amp;IFERROR(INDEX(Clay_Offices!$A$2:$FZ$601,186,Sync!$C$9)&amp;"",""))</f>
        <v/>
      </c>
      <c r="K1837" t="inlineStr">
        <is>
          <t>office outreach touch 1</t>
        </is>
      </c>
    </row>
    <row r="1838">
      <c r="A1838" s="17">
        <f>IF(B1838="","",B1838+(12*1000+187)/10000000)</f>
        <v/>
      </c>
      <c r="B1838" s="23">
        <f>IF(AND(IFERROR(N(INDEX(Clay_Offices!$A$2:$FZ$601,187,Sync!$C$11)),0)&gt;0,IFERROR(INDEX(Clay_Offices!$A$2:$FZ$601,187,Sync!$C$5)&amp;"","")&lt;&gt;"",OR(LEFT(IFERROR(INDEX(Clay_Offices!$A$2:$FZ$601,187,Sync!$C$5)&amp;"",""),6)&lt;&gt;"SAMPLE",Config!$B$19="Y")),IFERROR(N(INDEX(Clay_Offices!$A$2:$FZ$601,187,Sync!$C$11)),0),"")</f>
        <v/>
      </c>
      <c r="C1838" s="17">
        <f>IF(B1838="","","office")</f>
        <v/>
      </c>
      <c r="D1838" s="17">
        <f>IF(B1838="","",IFERROR(INDEX(Clay_Offices!$A$2:$FZ$601,187,Sync!$C$5)&amp;"",""))</f>
        <v/>
      </c>
      <c r="E1838" s="17">
        <f>IF(B1838="","",IFERROR(INDEX(Clay_Offices!$A$2:$FZ$601,187,Sync!$C$6)&amp;"",""))</f>
        <v/>
      </c>
      <c r="F1838" s="17">
        <f>IF(B1838="","","outreach_sent")</f>
        <v/>
      </c>
      <c r="G1838" s="17">
        <f>IF(B1838="","","")</f>
        <v/>
      </c>
      <c r="H1838" s="17">
        <f>IF(B1838="","","")</f>
        <v/>
      </c>
      <c r="I1838" s="17">
        <f>IF(B1838="","","")</f>
        <v/>
      </c>
      <c r="J1838" s="17">
        <f>IF(B1838="","","touch_1; "&amp;IFERROR(INDEX(Clay_Offices!$A$2:$FZ$601,187,Sync!$C$10)&amp;"","")&amp;"; "&amp;IFERROR(INDEX(Clay_Offices!$A$2:$FZ$601,187,Sync!$C$9)&amp;"",""))</f>
        <v/>
      </c>
      <c r="K1838" t="inlineStr">
        <is>
          <t>office outreach touch 1</t>
        </is>
      </c>
    </row>
    <row r="1839">
      <c r="A1839" s="17">
        <f>IF(B1839="","",B1839+(12*1000+188)/10000000)</f>
        <v/>
      </c>
      <c r="B1839" s="23">
        <f>IF(AND(IFERROR(N(INDEX(Clay_Offices!$A$2:$FZ$601,188,Sync!$C$11)),0)&gt;0,IFERROR(INDEX(Clay_Offices!$A$2:$FZ$601,188,Sync!$C$5)&amp;"","")&lt;&gt;"",OR(LEFT(IFERROR(INDEX(Clay_Offices!$A$2:$FZ$601,188,Sync!$C$5)&amp;"",""),6)&lt;&gt;"SAMPLE",Config!$B$19="Y")),IFERROR(N(INDEX(Clay_Offices!$A$2:$FZ$601,188,Sync!$C$11)),0),"")</f>
        <v/>
      </c>
      <c r="C1839" s="17">
        <f>IF(B1839="","","office")</f>
        <v/>
      </c>
      <c r="D1839" s="17">
        <f>IF(B1839="","",IFERROR(INDEX(Clay_Offices!$A$2:$FZ$601,188,Sync!$C$5)&amp;"",""))</f>
        <v/>
      </c>
      <c r="E1839" s="17">
        <f>IF(B1839="","",IFERROR(INDEX(Clay_Offices!$A$2:$FZ$601,188,Sync!$C$6)&amp;"",""))</f>
        <v/>
      </c>
      <c r="F1839" s="17">
        <f>IF(B1839="","","outreach_sent")</f>
        <v/>
      </c>
      <c r="G1839" s="17">
        <f>IF(B1839="","","")</f>
        <v/>
      </c>
      <c r="H1839" s="17">
        <f>IF(B1839="","","")</f>
        <v/>
      </c>
      <c r="I1839" s="17">
        <f>IF(B1839="","","")</f>
        <v/>
      </c>
      <c r="J1839" s="17">
        <f>IF(B1839="","","touch_1; "&amp;IFERROR(INDEX(Clay_Offices!$A$2:$FZ$601,188,Sync!$C$10)&amp;"","")&amp;"; "&amp;IFERROR(INDEX(Clay_Offices!$A$2:$FZ$601,188,Sync!$C$9)&amp;"",""))</f>
        <v/>
      </c>
      <c r="K1839" t="inlineStr">
        <is>
          <t>office outreach touch 1</t>
        </is>
      </c>
    </row>
    <row r="1840">
      <c r="A1840" s="17">
        <f>IF(B1840="","",B1840+(12*1000+189)/10000000)</f>
        <v/>
      </c>
      <c r="B1840" s="23">
        <f>IF(AND(IFERROR(N(INDEX(Clay_Offices!$A$2:$FZ$601,189,Sync!$C$11)),0)&gt;0,IFERROR(INDEX(Clay_Offices!$A$2:$FZ$601,189,Sync!$C$5)&amp;"","")&lt;&gt;"",OR(LEFT(IFERROR(INDEX(Clay_Offices!$A$2:$FZ$601,189,Sync!$C$5)&amp;"",""),6)&lt;&gt;"SAMPLE",Config!$B$19="Y")),IFERROR(N(INDEX(Clay_Offices!$A$2:$FZ$601,189,Sync!$C$11)),0),"")</f>
        <v/>
      </c>
      <c r="C1840" s="17">
        <f>IF(B1840="","","office")</f>
        <v/>
      </c>
      <c r="D1840" s="17">
        <f>IF(B1840="","",IFERROR(INDEX(Clay_Offices!$A$2:$FZ$601,189,Sync!$C$5)&amp;"",""))</f>
        <v/>
      </c>
      <c r="E1840" s="17">
        <f>IF(B1840="","",IFERROR(INDEX(Clay_Offices!$A$2:$FZ$601,189,Sync!$C$6)&amp;"",""))</f>
        <v/>
      </c>
      <c r="F1840" s="17">
        <f>IF(B1840="","","outreach_sent")</f>
        <v/>
      </c>
      <c r="G1840" s="17">
        <f>IF(B1840="","","")</f>
        <v/>
      </c>
      <c r="H1840" s="17">
        <f>IF(B1840="","","")</f>
        <v/>
      </c>
      <c r="I1840" s="17">
        <f>IF(B1840="","","")</f>
        <v/>
      </c>
      <c r="J1840" s="17">
        <f>IF(B1840="","","touch_1; "&amp;IFERROR(INDEX(Clay_Offices!$A$2:$FZ$601,189,Sync!$C$10)&amp;"","")&amp;"; "&amp;IFERROR(INDEX(Clay_Offices!$A$2:$FZ$601,189,Sync!$C$9)&amp;"",""))</f>
        <v/>
      </c>
      <c r="K1840" t="inlineStr">
        <is>
          <t>office outreach touch 1</t>
        </is>
      </c>
    </row>
    <row r="1841">
      <c r="A1841" s="17">
        <f>IF(B1841="","",B1841+(12*1000+190)/10000000)</f>
        <v/>
      </c>
      <c r="B1841" s="23">
        <f>IF(AND(IFERROR(N(INDEX(Clay_Offices!$A$2:$FZ$601,190,Sync!$C$11)),0)&gt;0,IFERROR(INDEX(Clay_Offices!$A$2:$FZ$601,190,Sync!$C$5)&amp;"","")&lt;&gt;"",OR(LEFT(IFERROR(INDEX(Clay_Offices!$A$2:$FZ$601,190,Sync!$C$5)&amp;"",""),6)&lt;&gt;"SAMPLE",Config!$B$19="Y")),IFERROR(N(INDEX(Clay_Offices!$A$2:$FZ$601,190,Sync!$C$11)),0),"")</f>
        <v/>
      </c>
      <c r="C1841" s="17">
        <f>IF(B1841="","","office")</f>
        <v/>
      </c>
      <c r="D1841" s="17">
        <f>IF(B1841="","",IFERROR(INDEX(Clay_Offices!$A$2:$FZ$601,190,Sync!$C$5)&amp;"",""))</f>
        <v/>
      </c>
      <c r="E1841" s="17">
        <f>IF(B1841="","",IFERROR(INDEX(Clay_Offices!$A$2:$FZ$601,190,Sync!$C$6)&amp;"",""))</f>
        <v/>
      </c>
      <c r="F1841" s="17">
        <f>IF(B1841="","","outreach_sent")</f>
        <v/>
      </c>
      <c r="G1841" s="17">
        <f>IF(B1841="","","")</f>
        <v/>
      </c>
      <c r="H1841" s="17">
        <f>IF(B1841="","","")</f>
        <v/>
      </c>
      <c r="I1841" s="17">
        <f>IF(B1841="","","")</f>
        <v/>
      </c>
      <c r="J1841" s="17">
        <f>IF(B1841="","","touch_1; "&amp;IFERROR(INDEX(Clay_Offices!$A$2:$FZ$601,190,Sync!$C$10)&amp;"","")&amp;"; "&amp;IFERROR(INDEX(Clay_Offices!$A$2:$FZ$601,190,Sync!$C$9)&amp;"",""))</f>
        <v/>
      </c>
      <c r="K1841" t="inlineStr">
        <is>
          <t>office outreach touch 1</t>
        </is>
      </c>
    </row>
    <row r="1842">
      <c r="A1842" s="17">
        <f>IF(B1842="","",B1842+(12*1000+191)/10000000)</f>
        <v/>
      </c>
      <c r="B1842" s="23">
        <f>IF(AND(IFERROR(N(INDEX(Clay_Offices!$A$2:$FZ$601,191,Sync!$C$11)),0)&gt;0,IFERROR(INDEX(Clay_Offices!$A$2:$FZ$601,191,Sync!$C$5)&amp;"","")&lt;&gt;"",OR(LEFT(IFERROR(INDEX(Clay_Offices!$A$2:$FZ$601,191,Sync!$C$5)&amp;"",""),6)&lt;&gt;"SAMPLE",Config!$B$19="Y")),IFERROR(N(INDEX(Clay_Offices!$A$2:$FZ$601,191,Sync!$C$11)),0),"")</f>
        <v/>
      </c>
      <c r="C1842" s="17">
        <f>IF(B1842="","","office")</f>
        <v/>
      </c>
      <c r="D1842" s="17">
        <f>IF(B1842="","",IFERROR(INDEX(Clay_Offices!$A$2:$FZ$601,191,Sync!$C$5)&amp;"",""))</f>
        <v/>
      </c>
      <c r="E1842" s="17">
        <f>IF(B1842="","",IFERROR(INDEX(Clay_Offices!$A$2:$FZ$601,191,Sync!$C$6)&amp;"",""))</f>
        <v/>
      </c>
      <c r="F1842" s="17">
        <f>IF(B1842="","","outreach_sent")</f>
        <v/>
      </c>
      <c r="G1842" s="17">
        <f>IF(B1842="","","")</f>
        <v/>
      </c>
      <c r="H1842" s="17">
        <f>IF(B1842="","","")</f>
        <v/>
      </c>
      <c r="I1842" s="17">
        <f>IF(B1842="","","")</f>
        <v/>
      </c>
      <c r="J1842" s="17">
        <f>IF(B1842="","","touch_1; "&amp;IFERROR(INDEX(Clay_Offices!$A$2:$FZ$601,191,Sync!$C$10)&amp;"","")&amp;"; "&amp;IFERROR(INDEX(Clay_Offices!$A$2:$FZ$601,191,Sync!$C$9)&amp;"",""))</f>
        <v/>
      </c>
      <c r="K1842" t="inlineStr">
        <is>
          <t>office outreach touch 1</t>
        </is>
      </c>
    </row>
    <row r="1843">
      <c r="A1843" s="17">
        <f>IF(B1843="","",B1843+(12*1000+192)/10000000)</f>
        <v/>
      </c>
      <c r="B1843" s="23">
        <f>IF(AND(IFERROR(N(INDEX(Clay_Offices!$A$2:$FZ$601,192,Sync!$C$11)),0)&gt;0,IFERROR(INDEX(Clay_Offices!$A$2:$FZ$601,192,Sync!$C$5)&amp;"","")&lt;&gt;"",OR(LEFT(IFERROR(INDEX(Clay_Offices!$A$2:$FZ$601,192,Sync!$C$5)&amp;"",""),6)&lt;&gt;"SAMPLE",Config!$B$19="Y")),IFERROR(N(INDEX(Clay_Offices!$A$2:$FZ$601,192,Sync!$C$11)),0),"")</f>
        <v/>
      </c>
      <c r="C1843" s="17">
        <f>IF(B1843="","","office")</f>
        <v/>
      </c>
      <c r="D1843" s="17">
        <f>IF(B1843="","",IFERROR(INDEX(Clay_Offices!$A$2:$FZ$601,192,Sync!$C$5)&amp;"",""))</f>
        <v/>
      </c>
      <c r="E1843" s="17">
        <f>IF(B1843="","",IFERROR(INDEX(Clay_Offices!$A$2:$FZ$601,192,Sync!$C$6)&amp;"",""))</f>
        <v/>
      </c>
      <c r="F1843" s="17">
        <f>IF(B1843="","","outreach_sent")</f>
        <v/>
      </c>
      <c r="G1843" s="17">
        <f>IF(B1843="","","")</f>
        <v/>
      </c>
      <c r="H1843" s="17">
        <f>IF(B1843="","","")</f>
        <v/>
      </c>
      <c r="I1843" s="17">
        <f>IF(B1843="","","")</f>
        <v/>
      </c>
      <c r="J1843" s="17">
        <f>IF(B1843="","","touch_1; "&amp;IFERROR(INDEX(Clay_Offices!$A$2:$FZ$601,192,Sync!$C$10)&amp;"","")&amp;"; "&amp;IFERROR(INDEX(Clay_Offices!$A$2:$FZ$601,192,Sync!$C$9)&amp;"",""))</f>
        <v/>
      </c>
      <c r="K1843" t="inlineStr">
        <is>
          <t>office outreach touch 1</t>
        </is>
      </c>
    </row>
    <row r="1844">
      <c r="A1844" s="17">
        <f>IF(B1844="","",B1844+(12*1000+193)/10000000)</f>
        <v/>
      </c>
      <c r="B1844" s="23">
        <f>IF(AND(IFERROR(N(INDEX(Clay_Offices!$A$2:$FZ$601,193,Sync!$C$11)),0)&gt;0,IFERROR(INDEX(Clay_Offices!$A$2:$FZ$601,193,Sync!$C$5)&amp;"","")&lt;&gt;"",OR(LEFT(IFERROR(INDEX(Clay_Offices!$A$2:$FZ$601,193,Sync!$C$5)&amp;"",""),6)&lt;&gt;"SAMPLE",Config!$B$19="Y")),IFERROR(N(INDEX(Clay_Offices!$A$2:$FZ$601,193,Sync!$C$11)),0),"")</f>
        <v/>
      </c>
      <c r="C1844" s="17">
        <f>IF(B1844="","","office")</f>
        <v/>
      </c>
      <c r="D1844" s="17">
        <f>IF(B1844="","",IFERROR(INDEX(Clay_Offices!$A$2:$FZ$601,193,Sync!$C$5)&amp;"",""))</f>
        <v/>
      </c>
      <c r="E1844" s="17">
        <f>IF(B1844="","",IFERROR(INDEX(Clay_Offices!$A$2:$FZ$601,193,Sync!$C$6)&amp;"",""))</f>
        <v/>
      </c>
      <c r="F1844" s="17">
        <f>IF(B1844="","","outreach_sent")</f>
        <v/>
      </c>
      <c r="G1844" s="17">
        <f>IF(B1844="","","")</f>
        <v/>
      </c>
      <c r="H1844" s="17">
        <f>IF(B1844="","","")</f>
        <v/>
      </c>
      <c r="I1844" s="17">
        <f>IF(B1844="","","")</f>
        <v/>
      </c>
      <c r="J1844" s="17">
        <f>IF(B1844="","","touch_1; "&amp;IFERROR(INDEX(Clay_Offices!$A$2:$FZ$601,193,Sync!$C$10)&amp;"","")&amp;"; "&amp;IFERROR(INDEX(Clay_Offices!$A$2:$FZ$601,193,Sync!$C$9)&amp;"",""))</f>
        <v/>
      </c>
      <c r="K1844" t="inlineStr">
        <is>
          <t>office outreach touch 1</t>
        </is>
      </c>
    </row>
    <row r="1845">
      <c r="A1845" s="17">
        <f>IF(B1845="","",B1845+(12*1000+194)/10000000)</f>
        <v/>
      </c>
      <c r="B1845" s="23">
        <f>IF(AND(IFERROR(N(INDEX(Clay_Offices!$A$2:$FZ$601,194,Sync!$C$11)),0)&gt;0,IFERROR(INDEX(Clay_Offices!$A$2:$FZ$601,194,Sync!$C$5)&amp;"","")&lt;&gt;"",OR(LEFT(IFERROR(INDEX(Clay_Offices!$A$2:$FZ$601,194,Sync!$C$5)&amp;"",""),6)&lt;&gt;"SAMPLE",Config!$B$19="Y")),IFERROR(N(INDEX(Clay_Offices!$A$2:$FZ$601,194,Sync!$C$11)),0),"")</f>
        <v/>
      </c>
      <c r="C1845" s="17">
        <f>IF(B1845="","","office")</f>
        <v/>
      </c>
      <c r="D1845" s="17">
        <f>IF(B1845="","",IFERROR(INDEX(Clay_Offices!$A$2:$FZ$601,194,Sync!$C$5)&amp;"",""))</f>
        <v/>
      </c>
      <c r="E1845" s="17">
        <f>IF(B1845="","",IFERROR(INDEX(Clay_Offices!$A$2:$FZ$601,194,Sync!$C$6)&amp;"",""))</f>
        <v/>
      </c>
      <c r="F1845" s="17">
        <f>IF(B1845="","","outreach_sent")</f>
        <v/>
      </c>
      <c r="G1845" s="17">
        <f>IF(B1845="","","")</f>
        <v/>
      </c>
      <c r="H1845" s="17">
        <f>IF(B1845="","","")</f>
        <v/>
      </c>
      <c r="I1845" s="17">
        <f>IF(B1845="","","")</f>
        <v/>
      </c>
      <c r="J1845" s="17">
        <f>IF(B1845="","","touch_1; "&amp;IFERROR(INDEX(Clay_Offices!$A$2:$FZ$601,194,Sync!$C$10)&amp;"","")&amp;"; "&amp;IFERROR(INDEX(Clay_Offices!$A$2:$FZ$601,194,Sync!$C$9)&amp;"",""))</f>
        <v/>
      </c>
      <c r="K1845" t="inlineStr">
        <is>
          <t>office outreach touch 1</t>
        </is>
      </c>
    </row>
    <row r="1846">
      <c r="A1846" s="17">
        <f>IF(B1846="","",B1846+(12*1000+195)/10000000)</f>
        <v/>
      </c>
      <c r="B1846" s="23">
        <f>IF(AND(IFERROR(N(INDEX(Clay_Offices!$A$2:$FZ$601,195,Sync!$C$11)),0)&gt;0,IFERROR(INDEX(Clay_Offices!$A$2:$FZ$601,195,Sync!$C$5)&amp;"","")&lt;&gt;"",OR(LEFT(IFERROR(INDEX(Clay_Offices!$A$2:$FZ$601,195,Sync!$C$5)&amp;"",""),6)&lt;&gt;"SAMPLE",Config!$B$19="Y")),IFERROR(N(INDEX(Clay_Offices!$A$2:$FZ$601,195,Sync!$C$11)),0),"")</f>
        <v/>
      </c>
      <c r="C1846" s="17">
        <f>IF(B1846="","","office")</f>
        <v/>
      </c>
      <c r="D1846" s="17">
        <f>IF(B1846="","",IFERROR(INDEX(Clay_Offices!$A$2:$FZ$601,195,Sync!$C$5)&amp;"",""))</f>
        <v/>
      </c>
      <c r="E1846" s="17">
        <f>IF(B1846="","",IFERROR(INDEX(Clay_Offices!$A$2:$FZ$601,195,Sync!$C$6)&amp;"",""))</f>
        <v/>
      </c>
      <c r="F1846" s="17">
        <f>IF(B1846="","","outreach_sent")</f>
        <v/>
      </c>
      <c r="G1846" s="17">
        <f>IF(B1846="","","")</f>
        <v/>
      </c>
      <c r="H1846" s="17">
        <f>IF(B1846="","","")</f>
        <v/>
      </c>
      <c r="I1846" s="17">
        <f>IF(B1846="","","")</f>
        <v/>
      </c>
      <c r="J1846" s="17">
        <f>IF(B1846="","","touch_1; "&amp;IFERROR(INDEX(Clay_Offices!$A$2:$FZ$601,195,Sync!$C$10)&amp;"","")&amp;"; "&amp;IFERROR(INDEX(Clay_Offices!$A$2:$FZ$601,195,Sync!$C$9)&amp;"",""))</f>
        <v/>
      </c>
      <c r="K1846" t="inlineStr">
        <is>
          <t>office outreach touch 1</t>
        </is>
      </c>
    </row>
    <row r="1847">
      <c r="A1847" s="17">
        <f>IF(B1847="","",B1847+(12*1000+196)/10000000)</f>
        <v/>
      </c>
      <c r="B1847" s="23">
        <f>IF(AND(IFERROR(N(INDEX(Clay_Offices!$A$2:$FZ$601,196,Sync!$C$11)),0)&gt;0,IFERROR(INDEX(Clay_Offices!$A$2:$FZ$601,196,Sync!$C$5)&amp;"","")&lt;&gt;"",OR(LEFT(IFERROR(INDEX(Clay_Offices!$A$2:$FZ$601,196,Sync!$C$5)&amp;"",""),6)&lt;&gt;"SAMPLE",Config!$B$19="Y")),IFERROR(N(INDEX(Clay_Offices!$A$2:$FZ$601,196,Sync!$C$11)),0),"")</f>
        <v/>
      </c>
      <c r="C1847" s="17">
        <f>IF(B1847="","","office")</f>
        <v/>
      </c>
      <c r="D1847" s="17">
        <f>IF(B1847="","",IFERROR(INDEX(Clay_Offices!$A$2:$FZ$601,196,Sync!$C$5)&amp;"",""))</f>
        <v/>
      </c>
      <c r="E1847" s="17">
        <f>IF(B1847="","",IFERROR(INDEX(Clay_Offices!$A$2:$FZ$601,196,Sync!$C$6)&amp;"",""))</f>
        <v/>
      </c>
      <c r="F1847" s="17">
        <f>IF(B1847="","","outreach_sent")</f>
        <v/>
      </c>
      <c r="G1847" s="17">
        <f>IF(B1847="","","")</f>
        <v/>
      </c>
      <c r="H1847" s="17">
        <f>IF(B1847="","","")</f>
        <v/>
      </c>
      <c r="I1847" s="17">
        <f>IF(B1847="","","")</f>
        <v/>
      </c>
      <c r="J1847" s="17">
        <f>IF(B1847="","","touch_1; "&amp;IFERROR(INDEX(Clay_Offices!$A$2:$FZ$601,196,Sync!$C$10)&amp;"","")&amp;"; "&amp;IFERROR(INDEX(Clay_Offices!$A$2:$FZ$601,196,Sync!$C$9)&amp;"",""))</f>
        <v/>
      </c>
      <c r="K1847" t="inlineStr">
        <is>
          <t>office outreach touch 1</t>
        </is>
      </c>
    </row>
    <row r="1848">
      <c r="A1848" s="17">
        <f>IF(B1848="","",B1848+(12*1000+197)/10000000)</f>
        <v/>
      </c>
      <c r="B1848" s="23">
        <f>IF(AND(IFERROR(N(INDEX(Clay_Offices!$A$2:$FZ$601,197,Sync!$C$11)),0)&gt;0,IFERROR(INDEX(Clay_Offices!$A$2:$FZ$601,197,Sync!$C$5)&amp;"","")&lt;&gt;"",OR(LEFT(IFERROR(INDEX(Clay_Offices!$A$2:$FZ$601,197,Sync!$C$5)&amp;"",""),6)&lt;&gt;"SAMPLE",Config!$B$19="Y")),IFERROR(N(INDEX(Clay_Offices!$A$2:$FZ$601,197,Sync!$C$11)),0),"")</f>
        <v/>
      </c>
      <c r="C1848" s="17">
        <f>IF(B1848="","","office")</f>
        <v/>
      </c>
      <c r="D1848" s="17">
        <f>IF(B1848="","",IFERROR(INDEX(Clay_Offices!$A$2:$FZ$601,197,Sync!$C$5)&amp;"",""))</f>
        <v/>
      </c>
      <c r="E1848" s="17">
        <f>IF(B1848="","",IFERROR(INDEX(Clay_Offices!$A$2:$FZ$601,197,Sync!$C$6)&amp;"",""))</f>
        <v/>
      </c>
      <c r="F1848" s="17">
        <f>IF(B1848="","","outreach_sent")</f>
        <v/>
      </c>
      <c r="G1848" s="17">
        <f>IF(B1848="","","")</f>
        <v/>
      </c>
      <c r="H1848" s="17">
        <f>IF(B1848="","","")</f>
        <v/>
      </c>
      <c r="I1848" s="17">
        <f>IF(B1848="","","")</f>
        <v/>
      </c>
      <c r="J1848" s="17">
        <f>IF(B1848="","","touch_1; "&amp;IFERROR(INDEX(Clay_Offices!$A$2:$FZ$601,197,Sync!$C$10)&amp;"","")&amp;"; "&amp;IFERROR(INDEX(Clay_Offices!$A$2:$FZ$601,197,Sync!$C$9)&amp;"",""))</f>
        <v/>
      </c>
      <c r="K1848" t="inlineStr">
        <is>
          <t>office outreach touch 1</t>
        </is>
      </c>
    </row>
    <row r="1849">
      <c r="A1849" s="17">
        <f>IF(B1849="","",B1849+(12*1000+198)/10000000)</f>
        <v/>
      </c>
      <c r="B1849" s="23">
        <f>IF(AND(IFERROR(N(INDEX(Clay_Offices!$A$2:$FZ$601,198,Sync!$C$11)),0)&gt;0,IFERROR(INDEX(Clay_Offices!$A$2:$FZ$601,198,Sync!$C$5)&amp;"","")&lt;&gt;"",OR(LEFT(IFERROR(INDEX(Clay_Offices!$A$2:$FZ$601,198,Sync!$C$5)&amp;"",""),6)&lt;&gt;"SAMPLE",Config!$B$19="Y")),IFERROR(N(INDEX(Clay_Offices!$A$2:$FZ$601,198,Sync!$C$11)),0),"")</f>
        <v/>
      </c>
      <c r="C1849" s="17">
        <f>IF(B1849="","","office")</f>
        <v/>
      </c>
      <c r="D1849" s="17">
        <f>IF(B1849="","",IFERROR(INDEX(Clay_Offices!$A$2:$FZ$601,198,Sync!$C$5)&amp;"",""))</f>
        <v/>
      </c>
      <c r="E1849" s="17">
        <f>IF(B1849="","",IFERROR(INDEX(Clay_Offices!$A$2:$FZ$601,198,Sync!$C$6)&amp;"",""))</f>
        <v/>
      </c>
      <c r="F1849" s="17">
        <f>IF(B1849="","","outreach_sent")</f>
        <v/>
      </c>
      <c r="G1849" s="17">
        <f>IF(B1849="","","")</f>
        <v/>
      </c>
      <c r="H1849" s="17">
        <f>IF(B1849="","","")</f>
        <v/>
      </c>
      <c r="I1849" s="17">
        <f>IF(B1849="","","")</f>
        <v/>
      </c>
      <c r="J1849" s="17">
        <f>IF(B1849="","","touch_1; "&amp;IFERROR(INDEX(Clay_Offices!$A$2:$FZ$601,198,Sync!$C$10)&amp;"","")&amp;"; "&amp;IFERROR(INDEX(Clay_Offices!$A$2:$FZ$601,198,Sync!$C$9)&amp;"",""))</f>
        <v/>
      </c>
      <c r="K1849" t="inlineStr">
        <is>
          <t>office outreach touch 1</t>
        </is>
      </c>
    </row>
    <row r="1850">
      <c r="A1850" s="17">
        <f>IF(B1850="","",B1850+(12*1000+199)/10000000)</f>
        <v/>
      </c>
      <c r="B1850" s="23">
        <f>IF(AND(IFERROR(N(INDEX(Clay_Offices!$A$2:$FZ$601,199,Sync!$C$11)),0)&gt;0,IFERROR(INDEX(Clay_Offices!$A$2:$FZ$601,199,Sync!$C$5)&amp;"","")&lt;&gt;"",OR(LEFT(IFERROR(INDEX(Clay_Offices!$A$2:$FZ$601,199,Sync!$C$5)&amp;"",""),6)&lt;&gt;"SAMPLE",Config!$B$19="Y")),IFERROR(N(INDEX(Clay_Offices!$A$2:$FZ$601,199,Sync!$C$11)),0),"")</f>
        <v/>
      </c>
      <c r="C1850" s="17">
        <f>IF(B1850="","","office")</f>
        <v/>
      </c>
      <c r="D1850" s="17">
        <f>IF(B1850="","",IFERROR(INDEX(Clay_Offices!$A$2:$FZ$601,199,Sync!$C$5)&amp;"",""))</f>
        <v/>
      </c>
      <c r="E1850" s="17">
        <f>IF(B1850="","",IFERROR(INDEX(Clay_Offices!$A$2:$FZ$601,199,Sync!$C$6)&amp;"",""))</f>
        <v/>
      </c>
      <c r="F1850" s="17">
        <f>IF(B1850="","","outreach_sent")</f>
        <v/>
      </c>
      <c r="G1850" s="17">
        <f>IF(B1850="","","")</f>
        <v/>
      </c>
      <c r="H1850" s="17">
        <f>IF(B1850="","","")</f>
        <v/>
      </c>
      <c r="I1850" s="17">
        <f>IF(B1850="","","")</f>
        <v/>
      </c>
      <c r="J1850" s="17">
        <f>IF(B1850="","","touch_1; "&amp;IFERROR(INDEX(Clay_Offices!$A$2:$FZ$601,199,Sync!$C$10)&amp;"","")&amp;"; "&amp;IFERROR(INDEX(Clay_Offices!$A$2:$FZ$601,199,Sync!$C$9)&amp;"",""))</f>
        <v/>
      </c>
      <c r="K1850" t="inlineStr">
        <is>
          <t>office outreach touch 1</t>
        </is>
      </c>
    </row>
    <row r="1851">
      <c r="A1851" s="17">
        <f>IF(B1851="","",B1851+(12*1000+200)/10000000)</f>
        <v/>
      </c>
      <c r="B1851" s="23">
        <f>IF(AND(IFERROR(N(INDEX(Clay_Offices!$A$2:$FZ$601,200,Sync!$C$11)),0)&gt;0,IFERROR(INDEX(Clay_Offices!$A$2:$FZ$601,200,Sync!$C$5)&amp;"","")&lt;&gt;"",OR(LEFT(IFERROR(INDEX(Clay_Offices!$A$2:$FZ$601,200,Sync!$C$5)&amp;"",""),6)&lt;&gt;"SAMPLE",Config!$B$19="Y")),IFERROR(N(INDEX(Clay_Offices!$A$2:$FZ$601,200,Sync!$C$11)),0),"")</f>
        <v/>
      </c>
      <c r="C1851" s="17">
        <f>IF(B1851="","","office")</f>
        <v/>
      </c>
      <c r="D1851" s="17">
        <f>IF(B1851="","",IFERROR(INDEX(Clay_Offices!$A$2:$FZ$601,200,Sync!$C$5)&amp;"",""))</f>
        <v/>
      </c>
      <c r="E1851" s="17">
        <f>IF(B1851="","",IFERROR(INDEX(Clay_Offices!$A$2:$FZ$601,200,Sync!$C$6)&amp;"",""))</f>
        <v/>
      </c>
      <c r="F1851" s="17">
        <f>IF(B1851="","","outreach_sent")</f>
        <v/>
      </c>
      <c r="G1851" s="17">
        <f>IF(B1851="","","")</f>
        <v/>
      </c>
      <c r="H1851" s="17">
        <f>IF(B1851="","","")</f>
        <v/>
      </c>
      <c r="I1851" s="17">
        <f>IF(B1851="","","")</f>
        <v/>
      </c>
      <c r="J1851" s="17">
        <f>IF(B1851="","","touch_1; "&amp;IFERROR(INDEX(Clay_Offices!$A$2:$FZ$601,200,Sync!$C$10)&amp;"","")&amp;"; "&amp;IFERROR(INDEX(Clay_Offices!$A$2:$FZ$601,200,Sync!$C$9)&amp;"",""))</f>
        <v/>
      </c>
      <c r="K1851" t="inlineStr">
        <is>
          <t>office outreach touch 1</t>
        </is>
      </c>
    </row>
    <row r="1852">
      <c r="A1852" s="17">
        <f>IF(B1852="","",B1852+(12*1000+201)/10000000)</f>
        <v/>
      </c>
      <c r="B1852" s="23">
        <f>IF(AND(IFERROR(N(INDEX(Clay_Offices!$A$2:$FZ$601,201,Sync!$C$11)),0)&gt;0,IFERROR(INDEX(Clay_Offices!$A$2:$FZ$601,201,Sync!$C$5)&amp;"","")&lt;&gt;"",OR(LEFT(IFERROR(INDEX(Clay_Offices!$A$2:$FZ$601,201,Sync!$C$5)&amp;"",""),6)&lt;&gt;"SAMPLE",Config!$B$19="Y")),IFERROR(N(INDEX(Clay_Offices!$A$2:$FZ$601,201,Sync!$C$11)),0),"")</f>
        <v/>
      </c>
      <c r="C1852" s="17">
        <f>IF(B1852="","","office")</f>
        <v/>
      </c>
      <c r="D1852" s="17">
        <f>IF(B1852="","",IFERROR(INDEX(Clay_Offices!$A$2:$FZ$601,201,Sync!$C$5)&amp;"",""))</f>
        <v/>
      </c>
      <c r="E1852" s="17">
        <f>IF(B1852="","",IFERROR(INDEX(Clay_Offices!$A$2:$FZ$601,201,Sync!$C$6)&amp;"",""))</f>
        <v/>
      </c>
      <c r="F1852" s="17">
        <f>IF(B1852="","","outreach_sent")</f>
        <v/>
      </c>
      <c r="G1852" s="17">
        <f>IF(B1852="","","")</f>
        <v/>
      </c>
      <c r="H1852" s="17">
        <f>IF(B1852="","","")</f>
        <v/>
      </c>
      <c r="I1852" s="17">
        <f>IF(B1852="","","")</f>
        <v/>
      </c>
      <c r="J1852" s="17">
        <f>IF(B1852="","","touch_1; "&amp;IFERROR(INDEX(Clay_Offices!$A$2:$FZ$601,201,Sync!$C$10)&amp;"","")&amp;"; "&amp;IFERROR(INDEX(Clay_Offices!$A$2:$FZ$601,201,Sync!$C$9)&amp;"",""))</f>
        <v/>
      </c>
      <c r="K1852" t="inlineStr">
        <is>
          <t>office outreach touch 1</t>
        </is>
      </c>
    </row>
    <row r="1853">
      <c r="A1853" s="17">
        <f>IF(B1853="","",B1853+(12*1000+202)/10000000)</f>
        <v/>
      </c>
      <c r="B1853" s="23">
        <f>IF(AND(IFERROR(N(INDEX(Clay_Offices!$A$2:$FZ$601,202,Sync!$C$11)),0)&gt;0,IFERROR(INDEX(Clay_Offices!$A$2:$FZ$601,202,Sync!$C$5)&amp;"","")&lt;&gt;"",OR(LEFT(IFERROR(INDEX(Clay_Offices!$A$2:$FZ$601,202,Sync!$C$5)&amp;"",""),6)&lt;&gt;"SAMPLE",Config!$B$19="Y")),IFERROR(N(INDEX(Clay_Offices!$A$2:$FZ$601,202,Sync!$C$11)),0),"")</f>
        <v/>
      </c>
      <c r="C1853" s="17">
        <f>IF(B1853="","","office")</f>
        <v/>
      </c>
      <c r="D1853" s="17">
        <f>IF(B1853="","",IFERROR(INDEX(Clay_Offices!$A$2:$FZ$601,202,Sync!$C$5)&amp;"",""))</f>
        <v/>
      </c>
      <c r="E1853" s="17">
        <f>IF(B1853="","",IFERROR(INDEX(Clay_Offices!$A$2:$FZ$601,202,Sync!$C$6)&amp;"",""))</f>
        <v/>
      </c>
      <c r="F1853" s="17">
        <f>IF(B1853="","","outreach_sent")</f>
        <v/>
      </c>
      <c r="G1853" s="17">
        <f>IF(B1853="","","")</f>
        <v/>
      </c>
      <c r="H1853" s="17">
        <f>IF(B1853="","","")</f>
        <v/>
      </c>
      <c r="I1853" s="17">
        <f>IF(B1853="","","")</f>
        <v/>
      </c>
      <c r="J1853" s="17">
        <f>IF(B1853="","","touch_1; "&amp;IFERROR(INDEX(Clay_Offices!$A$2:$FZ$601,202,Sync!$C$10)&amp;"","")&amp;"; "&amp;IFERROR(INDEX(Clay_Offices!$A$2:$FZ$601,202,Sync!$C$9)&amp;"",""))</f>
        <v/>
      </c>
      <c r="K1853" t="inlineStr">
        <is>
          <t>office outreach touch 1</t>
        </is>
      </c>
    </row>
    <row r="1854">
      <c r="A1854" s="17">
        <f>IF(B1854="","",B1854+(12*1000+203)/10000000)</f>
        <v/>
      </c>
      <c r="B1854" s="23">
        <f>IF(AND(IFERROR(N(INDEX(Clay_Offices!$A$2:$FZ$601,203,Sync!$C$11)),0)&gt;0,IFERROR(INDEX(Clay_Offices!$A$2:$FZ$601,203,Sync!$C$5)&amp;"","")&lt;&gt;"",OR(LEFT(IFERROR(INDEX(Clay_Offices!$A$2:$FZ$601,203,Sync!$C$5)&amp;"",""),6)&lt;&gt;"SAMPLE",Config!$B$19="Y")),IFERROR(N(INDEX(Clay_Offices!$A$2:$FZ$601,203,Sync!$C$11)),0),"")</f>
        <v/>
      </c>
      <c r="C1854" s="17">
        <f>IF(B1854="","","office")</f>
        <v/>
      </c>
      <c r="D1854" s="17">
        <f>IF(B1854="","",IFERROR(INDEX(Clay_Offices!$A$2:$FZ$601,203,Sync!$C$5)&amp;"",""))</f>
        <v/>
      </c>
      <c r="E1854" s="17">
        <f>IF(B1854="","",IFERROR(INDEX(Clay_Offices!$A$2:$FZ$601,203,Sync!$C$6)&amp;"",""))</f>
        <v/>
      </c>
      <c r="F1854" s="17">
        <f>IF(B1854="","","outreach_sent")</f>
        <v/>
      </c>
      <c r="G1854" s="17">
        <f>IF(B1854="","","")</f>
        <v/>
      </c>
      <c r="H1854" s="17">
        <f>IF(B1854="","","")</f>
        <v/>
      </c>
      <c r="I1854" s="17">
        <f>IF(B1854="","","")</f>
        <v/>
      </c>
      <c r="J1854" s="17">
        <f>IF(B1854="","","touch_1; "&amp;IFERROR(INDEX(Clay_Offices!$A$2:$FZ$601,203,Sync!$C$10)&amp;"","")&amp;"; "&amp;IFERROR(INDEX(Clay_Offices!$A$2:$FZ$601,203,Sync!$C$9)&amp;"",""))</f>
        <v/>
      </c>
      <c r="K1854" t="inlineStr">
        <is>
          <t>office outreach touch 1</t>
        </is>
      </c>
    </row>
    <row r="1855">
      <c r="A1855" s="17">
        <f>IF(B1855="","",B1855+(12*1000+204)/10000000)</f>
        <v/>
      </c>
      <c r="B1855" s="23">
        <f>IF(AND(IFERROR(N(INDEX(Clay_Offices!$A$2:$FZ$601,204,Sync!$C$11)),0)&gt;0,IFERROR(INDEX(Clay_Offices!$A$2:$FZ$601,204,Sync!$C$5)&amp;"","")&lt;&gt;"",OR(LEFT(IFERROR(INDEX(Clay_Offices!$A$2:$FZ$601,204,Sync!$C$5)&amp;"",""),6)&lt;&gt;"SAMPLE",Config!$B$19="Y")),IFERROR(N(INDEX(Clay_Offices!$A$2:$FZ$601,204,Sync!$C$11)),0),"")</f>
        <v/>
      </c>
      <c r="C1855" s="17">
        <f>IF(B1855="","","office")</f>
        <v/>
      </c>
      <c r="D1855" s="17">
        <f>IF(B1855="","",IFERROR(INDEX(Clay_Offices!$A$2:$FZ$601,204,Sync!$C$5)&amp;"",""))</f>
        <v/>
      </c>
      <c r="E1855" s="17">
        <f>IF(B1855="","",IFERROR(INDEX(Clay_Offices!$A$2:$FZ$601,204,Sync!$C$6)&amp;"",""))</f>
        <v/>
      </c>
      <c r="F1855" s="17">
        <f>IF(B1855="","","outreach_sent")</f>
        <v/>
      </c>
      <c r="G1855" s="17">
        <f>IF(B1855="","","")</f>
        <v/>
      </c>
      <c r="H1855" s="17">
        <f>IF(B1855="","","")</f>
        <v/>
      </c>
      <c r="I1855" s="17">
        <f>IF(B1855="","","")</f>
        <v/>
      </c>
      <c r="J1855" s="17">
        <f>IF(B1855="","","touch_1; "&amp;IFERROR(INDEX(Clay_Offices!$A$2:$FZ$601,204,Sync!$C$10)&amp;"","")&amp;"; "&amp;IFERROR(INDEX(Clay_Offices!$A$2:$FZ$601,204,Sync!$C$9)&amp;"",""))</f>
        <v/>
      </c>
      <c r="K1855" t="inlineStr">
        <is>
          <t>office outreach touch 1</t>
        </is>
      </c>
    </row>
    <row r="1856">
      <c r="A1856" s="17">
        <f>IF(B1856="","",B1856+(12*1000+205)/10000000)</f>
        <v/>
      </c>
      <c r="B1856" s="23">
        <f>IF(AND(IFERROR(N(INDEX(Clay_Offices!$A$2:$FZ$601,205,Sync!$C$11)),0)&gt;0,IFERROR(INDEX(Clay_Offices!$A$2:$FZ$601,205,Sync!$C$5)&amp;"","")&lt;&gt;"",OR(LEFT(IFERROR(INDEX(Clay_Offices!$A$2:$FZ$601,205,Sync!$C$5)&amp;"",""),6)&lt;&gt;"SAMPLE",Config!$B$19="Y")),IFERROR(N(INDEX(Clay_Offices!$A$2:$FZ$601,205,Sync!$C$11)),0),"")</f>
        <v/>
      </c>
      <c r="C1856" s="17">
        <f>IF(B1856="","","office")</f>
        <v/>
      </c>
      <c r="D1856" s="17">
        <f>IF(B1856="","",IFERROR(INDEX(Clay_Offices!$A$2:$FZ$601,205,Sync!$C$5)&amp;"",""))</f>
        <v/>
      </c>
      <c r="E1856" s="17">
        <f>IF(B1856="","",IFERROR(INDEX(Clay_Offices!$A$2:$FZ$601,205,Sync!$C$6)&amp;"",""))</f>
        <v/>
      </c>
      <c r="F1856" s="17">
        <f>IF(B1856="","","outreach_sent")</f>
        <v/>
      </c>
      <c r="G1856" s="17">
        <f>IF(B1856="","","")</f>
        <v/>
      </c>
      <c r="H1856" s="17">
        <f>IF(B1856="","","")</f>
        <v/>
      </c>
      <c r="I1856" s="17">
        <f>IF(B1856="","","")</f>
        <v/>
      </c>
      <c r="J1856" s="17">
        <f>IF(B1856="","","touch_1; "&amp;IFERROR(INDEX(Clay_Offices!$A$2:$FZ$601,205,Sync!$C$10)&amp;"","")&amp;"; "&amp;IFERROR(INDEX(Clay_Offices!$A$2:$FZ$601,205,Sync!$C$9)&amp;"",""))</f>
        <v/>
      </c>
      <c r="K1856" t="inlineStr">
        <is>
          <t>office outreach touch 1</t>
        </is>
      </c>
    </row>
    <row r="1857">
      <c r="A1857" s="17">
        <f>IF(B1857="","",B1857+(12*1000+206)/10000000)</f>
        <v/>
      </c>
      <c r="B1857" s="23">
        <f>IF(AND(IFERROR(N(INDEX(Clay_Offices!$A$2:$FZ$601,206,Sync!$C$11)),0)&gt;0,IFERROR(INDEX(Clay_Offices!$A$2:$FZ$601,206,Sync!$C$5)&amp;"","")&lt;&gt;"",OR(LEFT(IFERROR(INDEX(Clay_Offices!$A$2:$FZ$601,206,Sync!$C$5)&amp;"",""),6)&lt;&gt;"SAMPLE",Config!$B$19="Y")),IFERROR(N(INDEX(Clay_Offices!$A$2:$FZ$601,206,Sync!$C$11)),0),"")</f>
        <v/>
      </c>
      <c r="C1857" s="17">
        <f>IF(B1857="","","office")</f>
        <v/>
      </c>
      <c r="D1857" s="17">
        <f>IF(B1857="","",IFERROR(INDEX(Clay_Offices!$A$2:$FZ$601,206,Sync!$C$5)&amp;"",""))</f>
        <v/>
      </c>
      <c r="E1857" s="17">
        <f>IF(B1857="","",IFERROR(INDEX(Clay_Offices!$A$2:$FZ$601,206,Sync!$C$6)&amp;"",""))</f>
        <v/>
      </c>
      <c r="F1857" s="17">
        <f>IF(B1857="","","outreach_sent")</f>
        <v/>
      </c>
      <c r="G1857" s="17">
        <f>IF(B1857="","","")</f>
        <v/>
      </c>
      <c r="H1857" s="17">
        <f>IF(B1857="","","")</f>
        <v/>
      </c>
      <c r="I1857" s="17">
        <f>IF(B1857="","","")</f>
        <v/>
      </c>
      <c r="J1857" s="17">
        <f>IF(B1857="","","touch_1; "&amp;IFERROR(INDEX(Clay_Offices!$A$2:$FZ$601,206,Sync!$C$10)&amp;"","")&amp;"; "&amp;IFERROR(INDEX(Clay_Offices!$A$2:$FZ$601,206,Sync!$C$9)&amp;"",""))</f>
        <v/>
      </c>
      <c r="K1857" t="inlineStr">
        <is>
          <t>office outreach touch 1</t>
        </is>
      </c>
    </row>
    <row r="1858">
      <c r="A1858" s="17">
        <f>IF(B1858="","",B1858+(12*1000+207)/10000000)</f>
        <v/>
      </c>
      <c r="B1858" s="23">
        <f>IF(AND(IFERROR(N(INDEX(Clay_Offices!$A$2:$FZ$601,207,Sync!$C$11)),0)&gt;0,IFERROR(INDEX(Clay_Offices!$A$2:$FZ$601,207,Sync!$C$5)&amp;"","")&lt;&gt;"",OR(LEFT(IFERROR(INDEX(Clay_Offices!$A$2:$FZ$601,207,Sync!$C$5)&amp;"",""),6)&lt;&gt;"SAMPLE",Config!$B$19="Y")),IFERROR(N(INDEX(Clay_Offices!$A$2:$FZ$601,207,Sync!$C$11)),0),"")</f>
        <v/>
      </c>
      <c r="C1858" s="17">
        <f>IF(B1858="","","office")</f>
        <v/>
      </c>
      <c r="D1858" s="17">
        <f>IF(B1858="","",IFERROR(INDEX(Clay_Offices!$A$2:$FZ$601,207,Sync!$C$5)&amp;"",""))</f>
        <v/>
      </c>
      <c r="E1858" s="17">
        <f>IF(B1858="","",IFERROR(INDEX(Clay_Offices!$A$2:$FZ$601,207,Sync!$C$6)&amp;"",""))</f>
        <v/>
      </c>
      <c r="F1858" s="17">
        <f>IF(B1858="","","outreach_sent")</f>
        <v/>
      </c>
      <c r="G1858" s="17">
        <f>IF(B1858="","","")</f>
        <v/>
      </c>
      <c r="H1858" s="17">
        <f>IF(B1858="","","")</f>
        <v/>
      </c>
      <c r="I1858" s="17">
        <f>IF(B1858="","","")</f>
        <v/>
      </c>
      <c r="J1858" s="17">
        <f>IF(B1858="","","touch_1; "&amp;IFERROR(INDEX(Clay_Offices!$A$2:$FZ$601,207,Sync!$C$10)&amp;"","")&amp;"; "&amp;IFERROR(INDEX(Clay_Offices!$A$2:$FZ$601,207,Sync!$C$9)&amp;"",""))</f>
        <v/>
      </c>
      <c r="K1858" t="inlineStr">
        <is>
          <t>office outreach touch 1</t>
        </is>
      </c>
    </row>
    <row r="1859">
      <c r="A1859" s="17">
        <f>IF(B1859="","",B1859+(12*1000+208)/10000000)</f>
        <v/>
      </c>
      <c r="B1859" s="23">
        <f>IF(AND(IFERROR(N(INDEX(Clay_Offices!$A$2:$FZ$601,208,Sync!$C$11)),0)&gt;0,IFERROR(INDEX(Clay_Offices!$A$2:$FZ$601,208,Sync!$C$5)&amp;"","")&lt;&gt;"",OR(LEFT(IFERROR(INDEX(Clay_Offices!$A$2:$FZ$601,208,Sync!$C$5)&amp;"",""),6)&lt;&gt;"SAMPLE",Config!$B$19="Y")),IFERROR(N(INDEX(Clay_Offices!$A$2:$FZ$601,208,Sync!$C$11)),0),"")</f>
        <v/>
      </c>
      <c r="C1859" s="17">
        <f>IF(B1859="","","office")</f>
        <v/>
      </c>
      <c r="D1859" s="17">
        <f>IF(B1859="","",IFERROR(INDEX(Clay_Offices!$A$2:$FZ$601,208,Sync!$C$5)&amp;"",""))</f>
        <v/>
      </c>
      <c r="E1859" s="17">
        <f>IF(B1859="","",IFERROR(INDEX(Clay_Offices!$A$2:$FZ$601,208,Sync!$C$6)&amp;"",""))</f>
        <v/>
      </c>
      <c r="F1859" s="17">
        <f>IF(B1859="","","outreach_sent")</f>
        <v/>
      </c>
      <c r="G1859" s="17">
        <f>IF(B1859="","","")</f>
        <v/>
      </c>
      <c r="H1859" s="17">
        <f>IF(B1859="","","")</f>
        <v/>
      </c>
      <c r="I1859" s="17">
        <f>IF(B1859="","","")</f>
        <v/>
      </c>
      <c r="J1859" s="17">
        <f>IF(B1859="","","touch_1; "&amp;IFERROR(INDEX(Clay_Offices!$A$2:$FZ$601,208,Sync!$C$10)&amp;"","")&amp;"; "&amp;IFERROR(INDEX(Clay_Offices!$A$2:$FZ$601,208,Sync!$C$9)&amp;"",""))</f>
        <v/>
      </c>
      <c r="K1859" t="inlineStr">
        <is>
          <t>office outreach touch 1</t>
        </is>
      </c>
    </row>
    <row r="1860">
      <c r="A1860" s="17">
        <f>IF(B1860="","",B1860+(12*1000+209)/10000000)</f>
        <v/>
      </c>
      <c r="B1860" s="23">
        <f>IF(AND(IFERROR(N(INDEX(Clay_Offices!$A$2:$FZ$601,209,Sync!$C$11)),0)&gt;0,IFERROR(INDEX(Clay_Offices!$A$2:$FZ$601,209,Sync!$C$5)&amp;"","")&lt;&gt;"",OR(LEFT(IFERROR(INDEX(Clay_Offices!$A$2:$FZ$601,209,Sync!$C$5)&amp;"",""),6)&lt;&gt;"SAMPLE",Config!$B$19="Y")),IFERROR(N(INDEX(Clay_Offices!$A$2:$FZ$601,209,Sync!$C$11)),0),"")</f>
        <v/>
      </c>
      <c r="C1860" s="17">
        <f>IF(B1860="","","office")</f>
        <v/>
      </c>
      <c r="D1860" s="17">
        <f>IF(B1860="","",IFERROR(INDEX(Clay_Offices!$A$2:$FZ$601,209,Sync!$C$5)&amp;"",""))</f>
        <v/>
      </c>
      <c r="E1860" s="17">
        <f>IF(B1860="","",IFERROR(INDEX(Clay_Offices!$A$2:$FZ$601,209,Sync!$C$6)&amp;"",""))</f>
        <v/>
      </c>
      <c r="F1860" s="17">
        <f>IF(B1860="","","outreach_sent")</f>
        <v/>
      </c>
      <c r="G1860" s="17">
        <f>IF(B1860="","","")</f>
        <v/>
      </c>
      <c r="H1860" s="17">
        <f>IF(B1860="","","")</f>
        <v/>
      </c>
      <c r="I1860" s="17">
        <f>IF(B1860="","","")</f>
        <v/>
      </c>
      <c r="J1860" s="17">
        <f>IF(B1860="","","touch_1; "&amp;IFERROR(INDEX(Clay_Offices!$A$2:$FZ$601,209,Sync!$C$10)&amp;"","")&amp;"; "&amp;IFERROR(INDEX(Clay_Offices!$A$2:$FZ$601,209,Sync!$C$9)&amp;"",""))</f>
        <v/>
      </c>
      <c r="K1860" t="inlineStr">
        <is>
          <t>office outreach touch 1</t>
        </is>
      </c>
    </row>
    <row r="1861">
      <c r="A1861" s="17">
        <f>IF(B1861="","",B1861+(12*1000+210)/10000000)</f>
        <v/>
      </c>
      <c r="B1861" s="23">
        <f>IF(AND(IFERROR(N(INDEX(Clay_Offices!$A$2:$FZ$601,210,Sync!$C$11)),0)&gt;0,IFERROR(INDEX(Clay_Offices!$A$2:$FZ$601,210,Sync!$C$5)&amp;"","")&lt;&gt;"",OR(LEFT(IFERROR(INDEX(Clay_Offices!$A$2:$FZ$601,210,Sync!$C$5)&amp;"",""),6)&lt;&gt;"SAMPLE",Config!$B$19="Y")),IFERROR(N(INDEX(Clay_Offices!$A$2:$FZ$601,210,Sync!$C$11)),0),"")</f>
        <v/>
      </c>
      <c r="C1861" s="17">
        <f>IF(B1861="","","office")</f>
        <v/>
      </c>
      <c r="D1861" s="17">
        <f>IF(B1861="","",IFERROR(INDEX(Clay_Offices!$A$2:$FZ$601,210,Sync!$C$5)&amp;"",""))</f>
        <v/>
      </c>
      <c r="E1861" s="17">
        <f>IF(B1861="","",IFERROR(INDEX(Clay_Offices!$A$2:$FZ$601,210,Sync!$C$6)&amp;"",""))</f>
        <v/>
      </c>
      <c r="F1861" s="17">
        <f>IF(B1861="","","outreach_sent")</f>
        <v/>
      </c>
      <c r="G1861" s="17">
        <f>IF(B1861="","","")</f>
        <v/>
      </c>
      <c r="H1861" s="17">
        <f>IF(B1861="","","")</f>
        <v/>
      </c>
      <c r="I1861" s="17">
        <f>IF(B1861="","","")</f>
        <v/>
      </c>
      <c r="J1861" s="17">
        <f>IF(B1861="","","touch_1; "&amp;IFERROR(INDEX(Clay_Offices!$A$2:$FZ$601,210,Sync!$C$10)&amp;"","")&amp;"; "&amp;IFERROR(INDEX(Clay_Offices!$A$2:$FZ$601,210,Sync!$C$9)&amp;"",""))</f>
        <v/>
      </c>
      <c r="K1861" t="inlineStr">
        <is>
          <t>office outreach touch 1</t>
        </is>
      </c>
    </row>
    <row r="1862">
      <c r="A1862" s="17">
        <f>IF(B1862="","",B1862+(12*1000+211)/10000000)</f>
        <v/>
      </c>
      <c r="B1862" s="23">
        <f>IF(AND(IFERROR(N(INDEX(Clay_Offices!$A$2:$FZ$601,211,Sync!$C$11)),0)&gt;0,IFERROR(INDEX(Clay_Offices!$A$2:$FZ$601,211,Sync!$C$5)&amp;"","")&lt;&gt;"",OR(LEFT(IFERROR(INDEX(Clay_Offices!$A$2:$FZ$601,211,Sync!$C$5)&amp;"",""),6)&lt;&gt;"SAMPLE",Config!$B$19="Y")),IFERROR(N(INDEX(Clay_Offices!$A$2:$FZ$601,211,Sync!$C$11)),0),"")</f>
        <v/>
      </c>
      <c r="C1862" s="17">
        <f>IF(B1862="","","office")</f>
        <v/>
      </c>
      <c r="D1862" s="17">
        <f>IF(B1862="","",IFERROR(INDEX(Clay_Offices!$A$2:$FZ$601,211,Sync!$C$5)&amp;"",""))</f>
        <v/>
      </c>
      <c r="E1862" s="17">
        <f>IF(B1862="","",IFERROR(INDEX(Clay_Offices!$A$2:$FZ$601,211,Sync!$C$6)&amp;"",""))</f>
        <v/>
      </c>
      <c r="F1862" s="17">
        <f>IF(B1862="","","outreach_sent")</f>
        <v/>
      </c>
      <c r="G1862" s="17">
        <f>IF(B1862="","","")</f>
        <v/>
      </c>
      <c r="H1862" s="17">
        <f>IF(B1862="","","")</f>
        <v/>
      </c>
      <c r="I1862" s="17">
        <f>IF(B1862="","","")</f>
        <v/>
      </c>
      <c r="J1862" s="17">
        <f>IF(B1862="","","touch_1; "&amp;IFERROR(INDEX(Clay_Offices!$A$2:$FZ$601,211,Sync!$C$10)&amp;"","")&amp;"; "&amp;IFERROR(INDEX(Clay_Offices!$A$2:$FZ$601,211,Sync!$C$9)&amp;"",""))</f>
        <v/>
      </c>
      <c r="K1862" t="inlineStr">
        <is>
          <t>office outreach touch 1</t>
        </is>
      </c>
    </row>
    <row r="1863">
      <c r="A1863" s="17">
        <f>IF(B1863="","",B1863+(12*1000+212)/10000000)</f>
        <v/>
      </c>
      <c r="B1863" s="23">
        <f>IF(AND(IFERROR(N(INDEX(Clay_Offices!$A$2:$FZ$601,212,Sync!$C$11)),0)&gt;0,IFERROR(INDEX(Clay_Offices!$A$2:$FZ$601,212,Sync!$C$5)&amp;"","")&lt;&gt;"",OR(LEFT(IFERROR(INDEX(Clay_Offices!$A$2:$FZ$601,212,Sync!$C$5)&amp;"",""),6)&lt;&gt;"SAMPLE",Config!$B$19="Y")),IFERROR(N(INDEX(Clay_Offices!$A$2:$FZ$601,212,Sync!$C$11)),0),"")</f>
        <v/>
      </c>
      <c r="C1863" s="17">
        <f>IF(B1863="","","office")</f>
        <v/>
      </c>
      <c r="D1863" s="17">
        <f>IF(B1863="","",IFERROR(INDEX(Clay_Offices!$A$2:$FZ$601,212,Sync!$C$5)&amp;"",""))</f>
        <v/>
      </c>
      <c r="E1863" s="17">
        <f>IF(B1863="","",IFERROR(INDEX(Clay_Offices!$A$2:$FZ$601,212,Sync!$C$6)&amp;"",""))</f>
        <v/>
      </c>
      <c r="F1863" s="17">
        <f>IF(B1863="","","outreach_sent")</f>
        <v/>
      </c>
      <c r="G1863" s="17">
        <f>IF(B1863="","","")</f>
        <v/>
      </c>
      <c r="H1863" s="17">
        <f>IF(B1863="","","")</f>
        <v/>
      </c>
      <c r="I1863" s="17">
        <f>IF(B1863="","","")</f>
        <v/>
      </c>
      <c r="J1863" s="17">
        <f>IF(B1863="","","touch_1; "&amp;IFERROR(INDEX(Clay_Offices!$A$2:$FZ$601,212,Sync!$C$10)&amp;"","")&amp;"; "&amp;IFERROR(INDEX(Clay_Offices!$A$2:$FZ$601,212,Sync!$C$9)&amp;"",""))</f>
        <v/>
      </c>
      <c r="K1863" t="inlineStr">
        <is>
          <t>office outreach touch 1</t>
        </is>
      </c>
    </row>
    <row r="1864">
      <c r="A1864" s="17">
        <f>IF(B1864="","",B1864+(12*1000+213)/10000000)</f>
        <v/>
      </c>
      <c r="B1864" s="23">
        <f>IF(AND(IFERROR(N(INDEX(Clay_Offices!$A$2:$FZ$601,213,Sync!$C$11)),0)&gt;0,IFERROR(INDEX(Clay_Offices!$A$2:$FZ$601,213,Sync!$C$5)&amp;"","")&lt;&gt;"",OR(LEFT(IFERROR(INDEX(Clay_Offices!$A$2:$FZ$601,213,Sync!$C$5)&amp;"",""),6)&lt;&gt;"SAMPLE",Config!$B$19="Y")),IFERROR(N(INDEX(Clay_Offices!$A$2:$FZ$601,213,Sync!$C$11)),0),"")</f>
        <v/>
      </c>
      <c r="C1864" s="17">
        <f>IF(B1864="","","office")</f>
        <v/>
      </c>
      <c r="D1864" s="17">
        <f>IF(B1864="","",IFERROR(INDEX(Clay_Offices!$A$2:$FZ$601,213,Sync!$C$5)&amp;"",""))</f>
        <v/>
      </c>
      <c r="E1864" s="17">
        <f>IF(B1864="","",IFERROR(INDEX(Clay_Offices!$A$2:$FZ$601,213,Sync!$C$6)&amp;"",""))</f>
        <v/>
      </c>
      <c r="F1864" s="17">
        <f>IF(B1864="","","outreach_sent")</f>
        <v/>
      </c>
      <c r="G1864" s="17">
        <f>IF(B1864="","","")</f>
        <v/>
      </c>
      <c r="H1864" s="17">
        <f>IF(B1864="","","")</f>
        <v/>
      </c>
      <c r="I1864" s="17">
        <f>IF(B1864="","","")</f>
        <v/>
      </c>
      <c r="J1864" s="17">
        <f>IF(B1864="","","touch_1; "&amp;IFERROR(INDEX(Clay_Offices!$A$2:$FZ$601,213,Sync!$C$10)&amp;"","")&amp;"; "&amp;IFERROR(INDEX(Clay_Offices!$A$2:$FZ$601,213,Sync!$C$9)&amp;"",""))</f>
        <v/>
      </c>
      <c r="K1864" t="inlineStr">
        <is>
          <t>office outreach touch 1</t>
        </is>
      </c>
    </row>
    <row r="1865">
      <c r="A1865" s="17">
        <f>IF(B1865="","",B1865+(12*1000+214)/10000000)</f>
        <v/>
      </c>
      <c r="B1865" s="23">
        <f>IF(AND(IFERROR(N(INDEX(Clay_Offices!$A$2:$FZ$601,214,Sync!$C$11)),0)&gt;0,IFERROR(INDEX(Clay_Offices!$A$2:$FZ$601,214,Sync!$C$5)&amp;"","")&lt;&gt;"",OR(LEFT(IFERROR(INDEX(Clay_Offices!$A$2:$FZ$601,214,Sync!$C$5)&amp;"",""),6)&lt;&gt;"SAMPLE",Config!$B$19="Y")),IFERROR(N(INDEX(Clay_Offices!$A$2:$FZ$601,214,Sync!$C$11)),0),"")</f>
        <v/>
      </c>
      <c r="C1865" s="17">
        <f>IF(B1865="","","office")</f>
        <v/>
      </c>
      <c r="D1865" s="17">
        <f>IF(B1865="","",IFERROR(INDEX(Clay_Offices!$A$2:$FZ$601,214,Sync!$C$5)&amp;"",""))</f>
        <v/>
      </c>
      <c r="E1865" s="17">
        <f>IF(B1865="","",IFERROR(INDEX(Clay_Offices!$A$2:$FZ$601,214,Sync!$C$6)&amp;"",""))</f>
        <v/>
      </c>
      <c r="F1865" s="17">
        <f>IF(B1865="","","outreach_sent")</f>
        <v/>
      </c>
      <c r="G1865" s="17">
        <f>IF(B1865="","","")</f>
        <v/>
      </c>
      <c r="H1865" s="17">
        <f>IF(B1865="","","")</f>
        <v/>
      </c>
      <c r="I1865" s="17">
        <f>IF(B1865="","","")</f>
        <v/>
      </c>
      <c r="J1865" s="17">
        <f>IF(B1865="","","touch_1; "&amp;IFERROR(INDEX(Clay_Offices!$A$2:$FZ$601,214,Sync!$C$10)&amp;"","")&amp;"; "&amp;IFERROR(INDEX(Clay_Offices!$A$2:$FZ$601,214,Sync!$C$9)&amp;"",""))</f>
        <v/>
      </c>
      <c r="K1865" t="inlineStr">
        <is>
          <t>office outreach touch 1</t>
        </is>
      </c>
    </row>
    <row r="1866">
      <c r="A1866" s="17">
        <f>IF(B1866="","",B1866+(12*1000+215)/10000000)</f>
        <v/>
      </c>
      <c r="B1866" s="23">
        <f>IF(AND(IFERROR(N(INDEX(Clay_Offices!$A$2:$FZ$601,215,Sync!$C$11)),0)&gt;0,IFERROR(INDEX(Clay_Offices!$A$2:$FZ$601,215,Sync!$C$5)&amp;"","")&lt;&gt;"",OR(LEFT(IFERROR(INDEX(Clay_Offices!$A$2:$FZ$601,215,Sync!$C$5)&amp;"",""),6)&lt;&gt;"SAMPLE",Config!$B$19="Y")),IFERROR(N(INDEX(Clay_Offices!$A$2:$FZ$601,215,Sync!$C$11)),0),"")</f>
        <v/>
      </c>
      <c r="C1866" s="17">
        <f>IF(B1866="","","office")</f>
        <v/>
      </c>
      <c r="D1866" s="17">
        <f>IF(B1866="","",IFERROR(INDEX(Clay_Offices!$A$2:$FZ$601,215,Sync!$C$5)&amp;"",""))</f>
        <v/>
      </c>
      <c r="E1866" s="17">
        <f>IF(B1866="","",IFERROR(INDEX(Clay_Offices!$A$2:$FZ$601,215,Sync!$C$6)&amp;"",""))</f>
        <v/>
      </c>
      <c r="F1866" s="17">
        <f>IF(B1866="","","outreach_sent")</f>
        <v/>
      </c>
      <c r="G1866" s="17">
        <f>IF(B1866="","","")</f>
        <v/>
      </c>
      <c r="H1866" s="17">
        <f>IF(B1866="","","")</f>
        <v/>
      </c>
      <c r="I1866" s="17">
        <f>IF(B1866="","","")</f>
        <v/>
      </c>
      <c r="J1866" s="17">
        <f>IF(B1866="","","touch_1; "&amp;IFERROR(INDEX(Clay_Offices!$A$2:$FZ$601,215,Sync!$C$10)&amp;"","")&amp;"; "&amp;IFERROR(INDEX(Clay_Offices!$A$2:$FZ$601,215,Sync!$C$9)&amp;"",""))</f>
        <v/>
      </c>
      <c r="K1866" t="inlineStr">
        <is>
          <t>office outreach touch 1</t>
        </is>
      </c>
    </row>
    <row r="1867">
      <c r="A1867" s="17">
        <f>IF(B1867="","",B1867+(12*1000+216)/10000000)</f>
        <v/>
      </c>
      <c r="B1867" s="23">
        <f>IF(AND(IFERROR(N(INDEX(Clay_Offices!$A$2:$FZ$601,216,Sync!$C$11)),0)&gt;0,IFERROR(INDEX(Clay_Offices!$A$2:$FZ$601,216,Sync!$C$5)&amp;"","")&lt;&gt;"",OR(LEFT(IFERROR(INDEX(Clay_Offices!$A$2:$FZ$601,216,Sync!$C$5)&amp;"",""),6)&lt;&gt;"SAMPLE",Config!$B$19="Y")),IFERROR(N(INDEX(Clay_Offices!$A$2:$FZ$601,216,Sync!$C$11)),0),"")</f>
        <v/>
      </c>
      <c r="C1867" s="17">
        <f>IF(B1867="","","office")</f>
        <v/>
      </c>
      <c r="D1867" s="17">
        <f>IF(B1867="","",IFERROR(INDEX(Clay_Offices!$A$2:$FZ$601,216,Sync!$C$5)&amp;"",""))</f>
        <v/>
      </c>
      <c r="E1867" s="17">
        <f>IF(B1867="","",IFERROR(INDEX(Clay_Offices!$A$2:$FZ$601,216,Sync!$C$6)&amp;"",""))</f>
        <v/>
      </c>
      <c r="F1867" s="17">
        <f>IF(B1867="","","outreach_sent")</f>
        <v/>
      </c>
      <c r="G1867" s="17">
        <f>IF(B1867="","","")</f>
        <v/>
      </c>
      <c r="H1867" s="17">
        <f>IF(B1867="","","")</f>
        <v/>
      </c>
      <c r="I1867" s="17">
        <f>IF(B1867="","","")</f>
        <v/>
      </c>
      <c r="J1867" s="17">
        <f>IF(B1867="","","touch_1; "&amp;IFERROR(INDEX(Clay_Offices!$A$2:$FZ$601,216,Sync!$C$10)&amp;"","")&amp;"; "&amp;IFERROR(INDEX(Clay_Offices!$A$2:$FZ$601,216,Sync!$C$9)&amp;"",""))</f>
        <v/>
      </c>
      <c r="K1867" t="inlineStr">
        <is>
          <t>office outreach touch 1</t>
        </is>
      </c>
    </row>
    <row r="1868">
      <c r="A1868" s="17">
        <f>IF(B1868="","",B1868+(12*1000+217)/10000000)</f>
        <v/>
      </c>
      <c r="B1868" s="23">
        <f>IF(AND(IFERROR(N(INDEX(Clay_Offices!$A$2:$FZ$601,217,Sync!$C$11)),0)&gt;0,IFERROR(INDEX(Clay_Offices!$A$2:$FZ$601,217,Sync!$C$5)&amp;"","")&lt;&gt;"",OR(LEFT(IFERROR(INDEX(Clay_Offices!$A$2:$FZ$601,217,Sync!$C$5)&amp;"",""),6)&lt;&gt;"SAMPLE",Config!$B$19="Y")),IFERROR(N(INDEX(Clay_Offices!$A$2:$FZ$601,217,Sync!$C$11)),0),"")</f>
        <v/>
      </c>
      <c r="C1868" s="17">
        <f>IF(B1868="","","office")</f>
        <v/>
      </c>
      <c r="D1868" s="17">
        <f>IF(B1868="","",IFERROR(INDEX(Clay_Offices!$A$2:$FZ$601,217,Sync!$C$5)&amp;"",""))</f>
        <v/>
      </c>
      <c r="E1868" s="17">
        <f>IF(B1868="","",IFERROR(INDEX(Clay_Offices!$A$2:$FZ$601,217,Sync!$C$6)&amp;"",""))</f>
        <v/>
      </c>
      <c r="F1868" s="17">
        <f>IF(B1868="","","outreach_sent")</f>
        <v/>
      </c>
      <c r="G1868" s="17">
        <f>IF(B1868="","","")</f>
        <v/>
      </c>
      <c r="H1868" s="17">
        <f>IF(B1868="","","")</f>
        <v/>
      </c>
      <c r="I1868" s="17">
        <f>IF(B1868="","","")</f>
        <v/>
      </c>
      <c r="J1868" s="17">
        <f>IF(B1868="","","touch_1; "&amp;IFERROR(INDEX(Clay_Offices!$A$2:$FZ$601,217,Sync!$C$10)&amp;"","")&amp;"; "&amp;IFERROR(INDEX(Clay_Offices!$A$2:$FZ$601,217,Sync!$C$9)&amp;"",""))</f>
        <v/>
      </c>
      <c r="K1868" t="inlineStr">
        <is>
          <t>office outreach touch 1</t>
        </is>
      </c>
    </row>
    <row r="1869">
      <c r="A1869" s="17">
        <f>IF(B1869="","",B1869+(12*1000+218)/10000000)</f>
        <v/>
      </c>
      <c r="B1869" s="23">
        <f>IF(AND(IFERROR(N(INDEX(Clay_Offices!$A$2:$FZ$601,218,Sync!$C$11)),0)&gt;0,IFERROR(INDEX(Clay_Offices!$A$2:$FZ$601,218,Sync!$C$5)&amp;"","")&lt;&gt;"",OR(LEFT(IFERROR(INDEX(Clay_Offices!$A$2:$FZ$601,218,Sync!$C$5)&amp;"",""),6)&lt;&gt;"SAMPLE",Config!$B$19="Y")),IFERROR(N(INDEX(Clay_Offices!$A$2:$FZ$601,218,Sync!$C$11)),0),"")</f>
        <v/>
      </c>
      <c r="C1869" s="17">
        <f>IF(B1869="","","office")</f>
        <v/>
      </c>
      <c r="D1869" s="17">
        <f>IF(B1869="","",IFERROR(INDEX(Clay_Offices!$A$2:$FZ$601,218,Sync!$C$5)&amp;"",""))</f>
        <v/>
      </c>
      <c r="E1869" s="17">
        <f>IF(B1869="","",IFERROR(INDEX(Clay_Offices!$A$2:$FZ$601,218,Sync!$C$6)&amp;"",""))</f>
        <v/>
      </c>
      <c r="F1869" s="17">
        <f>IF(B1869="","","outreach_sent")</f>
        <v/>
      </c>
      <c r="G1869" s="17">
        <f>IF(B1869="","","")</f>
        <v/>
      </c>
      <c r="H1869" s="17">
        <f>IF(B1869="","","")</f>
        <v/>
      </c>
      <c r="I1869" s="17">
        <f>IF(B1869="","","")</f>
        <v/>
      </c>
      <c r="J1869" s="17">
        <f>IF(B1869="","","touch_1; "&amp;IFERROR(INDEX(Clay_Offices!$A$2:$FZ$601,218,Sync!$C$10)&amp;"","")&amp;"; "&amp;IFERROR(INDEX(Clay_Offices!$A$2:$FZ$601,218,Sync!$C$9)&amp;"",""))</f>
        <v/>
      </c>
      <c r="K1869" t="inlineStr">
        <is>
          <t>office outreach touch 1</t>
        </is>
      </c>
    </row>
    <row r="1870">
      <c r="A1870" s="17">
        <f>IF(B1870="","",B1870+(12*1000+219)/10000000)</f>
        <v/>
      </c>
      <c r="B1870" s="23">
        <f>IF(AND(IFERROR(N(INDEX(Clay_Offices!$A$2:$FZ$601,219,Sync!$C$11)),0)&gt;0,IFERROR(INDEX(Clay_Offices!$A$2:$FZ$601,219,Sync!$C$5)&amp;"","")&lt;&gt;"",OR(LEFT(IFERROR(INDEX(Clay_Offices!$A$2:$FZ$601,219,Sync!$C$5)&amp;"",""),6)&lt;&gt;"SAMPLE",Config!$B$19="Y")),IFERROR(N(INDEX(Clay_Offices!$A$2:$FZ$601,219,Sync!$C$11)),0),"")</f>
        <v/>
      </c>
      <c r="C1870" s="17">
        <f>IF(B1870="","","office")</f>
        <v/>
      </c>
      <c r="D1870" s="17">
        <f>IF(B1870="","",IFERROR(INDEX(Clay_Offices!$A$2:$FZ$601,219,Sync!$C$5)&amp;"",""))</f>
        <v/>
      </c>
      <c r="E1870" s="17">
        <f>IF(B1870="","",IFERROR(INDEX(Clay_Offices!$A$2:$FZ$601,219,Sync!$C$6)&amp;"",""))</f>
        <v/>
      </c>
      <c r="F1870" s="17">
        <f>IF(B1870="","","outreach_sent")</f>
        <v/>
      </c>
      <c r="G1870" s="17">
        <f>IF(B1870="","","")</f>
        <v/>
      </c>
      <c r="H1870" s="17">
        <f>IF(B1870="","","")</f>
        <v/>
      </c>
      <c r="I1870" s="17">
        <f>IF(B1870="","","")</f>
        <v/>
      </c>
      <c r="J1870" s="17">
        <f>IF(B1870="","","touch_1; "&amp;IFERROR(INDEX(Clay_Offices!$A$2:$FZ$601,219,Sync!$C$10)&amp;"","")&amp;"; "&amp;IFERROR(INDEX(Clay_Offices!$A$2:$FZ$601,219,Sync!$C$9)&amp;"",""))</f>
        <v/>
      </c>
      <c r="K1870" t="inlineStr">
        <is>
          <t>office outreach touch 1</t>
        </is>
      </c>
    </row>
    <row r="1871">
      <c r="A1871" s="17">
        <f>IF(B1871="","",B1871+(12*1000+220)/10000000)</f>
        <v/>
      </c>
      <c r="B1871" s="23">
        <f>IF(AND(IFERROR(N(INDEX(Clay_Offices!$A$2:$FZ$601,220,Sync!$C$11)),0)&gt;0,IFERROR(INDEX(Clay_Offices!$A$2:$FZ$601,220,Sync!$C$5)&amp;"","")&lt;&gt;"",OR(LEFT(IFERROR(INDEX(Clay_Offices!$A$2:$FZ$601,220,Sync!$C$5)&amp;"",""),6)&lt;&gt;"SAMPLE",Config!$B$19="Y")),IFERROR(N(INDEX(Clay_Offices!$A$2:$FZ$601,220,Sync!$C$11)),0),"")</f>
        <v/>
      </c>
      <c r="C1871" s="17">
        <f>IF(B1871="","","office")</f>
        <v/>
      </c>
      <c r="D1871" s="17">
        <f>IF(B1871="","",IFERROR(INDEX(Clay_Offices!$A$2:$FZ$601,220,Sync!$C$5)&amp;"",""))</f>
        <v/>
      </c>
      <c r="E1871" s="17">
        <f>IF(B1871="","",IFERROR(INDEX(Clay_Offices!$A$2:$FZ$601,220,Sync!$C$6)&amp;"",""))</f>
        <v/>
      </c>
      <c r="F1871" s="17">
        <f>IF(B1871="","","outreach_sent")</f>
        <v/>
      </c>
      <c r="G1871" s="17">
        <f>IF(B1871="","","")</f>
        <v/>
      </c>
      <c r="H1871" s="17">
        <f>IF(B1871="","","")</f>
        <v/>
      </c>
      <c r="I1871" s="17">
        <f>IF(B1871="","","")</f>
        <v/>
      </c>
      <c r="J1871" s="17">
        <f>IF(B1871="","","touch_1; "&amp;IFERROR(INDEX(Clay_Offices!$A$2:$FZ$601,220,Sync!$C$10)&amp;"","")&amp;"; "&amp;IFERROR(INDEX(Clay_Offices!$A$2:$FZ$601,220,Sync!$C$9)&amp;"",""))</f>
        <v/>
      </c>
      <c r="K1871" t="inlineStr">
        <is>
          <t>office outreach touch 1</t>
        </is>
      </c>
    </row>
    <row r="1872">
      <c r="A1872" s="17">
        <f>IF(B1872="","",B1872+(12*1000+221)/10000000)</f>
        <v/>
      </c>
      <c r="B1872" s="23">
        <f>IF(AND(IFERROR(N(INDEX(Clay_Offices!$A$2:$FZ$601,221,Sync!$C$11)),0)&gt;0,IFERROR(INDEX(Clay_Offices!$A$2:$FZ$601,221,Sync!$C$5)&amp;"","")&lt;&gt;"",OR(LEFT(IFERROR(INDEX(Clay_Offices!$A$2:$FZ$601,221,Sync!$C$5)&amp;"",""),6)&lt;&gt;"SAMPLE",Config!$B$19="Y")),IFERROR(N(INDEX(Clay_Offices!$A$2:$FZ$601,221,Sync!$C$11)),0),"")</f>
        <v/>
      </c>
      <c r="C1872" s="17">
        <f>IF(B1872="","","office")</f>
        <v/>
      </c>
      <c r="D1872" s="17">
        <f>IF(B1872="","",IFERROR(INDEX(Clay_Offices!$A$2:$FZ$601,221,Sync!$C$5)&amp;"",""))</f>
        <v/>
      </c>
      <c r="E1872" s="17">
        <f>IF(B1872="","",IFERROR(INDEX(Clay_Offices!$A$2:$FZ$601,221,Sync!$C$6)&amp;"",""))</f>
        <v/>
      </c>
      <c r="F1872" s="17">
        <f>IF(B1872="","","outreach_sent")</f>
        <v/>
      </c>
      <c r="G1872" s="17">
        <f>IF(B1872="","","")</f>
        <v/>
      </c>
      <c r="H1872" s="17">
        <f>IF(B1872="","","")</f>
        <v/>
      </c>
      <c r="I1872" s="17">
        <f>IF(B1872="","","")</f>
        <v/>
      </c>
      <c r="J1872" s="17">
        <f>IF(B1872="","","touch_1; "&amp;IFERROR(INDEX(Clay_Offices!$A$2:$FZ$601,221,Sync!$C$10)&amp;"","")&amp;"; "&amp;IFERROR(INDEX(Clay_Offices!$A$2:$FZ$601,221,Sync!$C$9)&amp;"",""))</f>
        <v/>
      </c>
      <c r="K1872" t="inlineStr">
        <is>
          <t>office outreach touch 1</t>
        </is>
      </c>
    </row>
    <row r="1873">
      <c r="A1873" s="17">
        <f>IF(B1873="","",B1873+(12*1000+222)/10000000)</f>
        <v/>
      </c>
      <c r="B1873" s="23">
        <f>IF(AND(IFERROR(N(INDEX(Clay_Offices!$A$2:$FZ$601,222,Sync!$C$11)),0)&gt;0,IFERROR(INDEX(Clay_Offices!$A$2:$FZ$601,222,Sync!$C$5)&amp;"","")&lt;&gt;"",OR(LEFT(IFERROR(INDEX(Clay_Offices!$A$2:$FZ$601,222,Sync!$C$5)&amp;"",""),6)&lt;&gt;"SAMPLE",Config!$B$19="Y")),IFERROR(N(INDEX(Clay_Offices!$A$2:$FZ$601,222,Sync!$C$11)),0),"")</f>
        <v/>
      </c>
      <c r="C1873" s="17">
        <f>IF(B1873="","","office")</f>
        <v/>
      </c>
      <c r="D1873" s="17">
        <f>IF(B1873="","",IFERROR(INDEX(Clay_Offices!$A$2:$FZ$601,222,Sync!$C$5)&amp;"",""))</f>
        <v/>
      </c>
      <c r="E1873" s="17">
        <f>IF(B1873="","",IFERROR(INDEX(Clay_Offices!$A$2:$FZ$601,222,Sync!$C$6)&amp;"",""))</f>
        <v/>
      </c>
      <c r="F1873" s="17">
        <f>IF(B1873="","","outreach_sent")</f>
        <v/>
      </c>
      <c r="G1873" s="17">
        <f>IF(B1873="","","")</f>
        <v/>
      </c>
      <c r="H1873" s="17">
        <f>IF(B1873="","","")</f>
        <v/>
      </c>
      <c r="I1873" s="17">
        <f>IF(B1873="","","")</f>
        <v/>
      </c>
      <c r="J1873" s="17">
        <f>IF(B1873="","","touch_1; "&amp;IFERROR(INDEX(Clay_Offices!$A$2:$FZ$601,222,Sync!$C$10)&amp;"","")&amp;"; "&amp;IFERROR(INDEX(Clay_Offices!$A$2:$FZ$601,222,Sync!$C$9)&amp;"",""))</f>
        <v/>
      </c>
      <c r="K1873" t="inlineStr">
        <is>
          <t>office outreach touch 1</t>
        </is>
      </c>
    </row>
    <row r="1874">
      <c r="A1874" s="17">
        <f>IF(B1874="","",B1874+(12*1000+223)/10000000)</f>
        <v/>
      </c>
      <c r="B1874" s="23">
        <f>IF(AND(IFERROR(N(INDEX(Clay_Offices!$A$2:$FZ$601,223,Sync!$C$11)),0)&gt;0,IFERROR(INDEX(Clay_Offices!$A$2:$FZ$601,223,Sync!$C$5)&amp;"","")&lt;&gt;"",OR(LEFT(IFERROR(INDEX(Clay_Offices!$A$2:$FZ$601,223,Sync!$C$5)&amp;"",""),6)&lt;&gt;"SAMPLE",Config!$B$19="Y")),IFERROR(N(INDEX(Clay_Offices!$A$2:$FZ$601,223,Sync!$C$11)),0),"")</f>
        <v/>
      </c>
      <c r="C1874" s="17">
        <f>IF(B1874="","","office")</f>
        <v/>
      </c>
      <c r="D1874" s="17">
        <f>IF(B1874="","",IFERROR(INDEX(Clay_Offices!$A$2:$FZ$601,223,Sync!$C$5)&amp;"",""))</f>
        <v/>
      </c>
      <c r="E1874" s="17">
        <f>IF(B1874="","",IFERROR(INDEX(Clay_Offices!$A$2:$FZ$601,223,Sync!$C$6)&amp;"",""))</f>
        <v/>
      </c>
      <c r="F1874" s="17">
        <f>IF(B1874="","","outreach_sent")</f>
        <v/>
      </c>
      <c r="G1874" s="17">
        <f>IF(B1874="","","")</f>
        <v/>
      </c>
      <c r="H1874" s="17">
        <f>IF(B1874="","","")</f>
        <v/>
      </c>
      <c r="I1874" s="17">
        <f>IF(B1874="","","")</f>
        <v/>
      </c>
      <c r="J1874" s="17">
        <f>IF(B1874="","","touch_1; "&amp;IFERROR(INDEX(Clay_Offices!$A$2:$FZ$601,223,Sync!$C$10)&amp;"","")&amp;"; "&amp;IFERROR(INDEX(Clay_Offices!$A$2:$FZ$601,223,Sync!$C$9)&amp;"",""))</f>
        <v/>
      </c>
      <c r="K1874" t="inlineStr">
        <is>
          <t>office outreach touch 1</t>
        </is>
      </c>
    </row>
    <row r="1875">
      <c r="A1875" s="17">
        <f>IF(B1875="","",B1875+(12*1000+224)/10000000)</f>
        <v/>
      </c>
      <c r="B1875" s="23">
        <f>IF(AND(IFERROR(N(INDEX(Clay_Offices!$A$2:$FZ$601,224,Sync!$C$11)),0)&gt;0,IFERROR(INDEX(Clay_Offices!$A$2:$FZ$601,224,Sync!$C$5)&amp;"","")&lt;&gt;"",OR(LEFT(IFERROR(INDEX(Clay_Offices!$A$2:$FZ$601,224,Sync!$C$5)&amp;"",""),6)&lt;&gt;"SAMPLE",Config!$B$19="Y")),IFERROR(N(INDEX(Clay_Offices!$A$2:$FZ$601,224,Sync!$C$11)),0),"")</f>
        <v/>
      </c>
      <c r="C1875" s="17">
        <f>IF(B1875="","","office")</f>
        <v/>
      </c>
      <c r="D1875" s="17">
        <f>IF(B1875="","",IFERROR(INDEX(Clay_Offices!$A$2:$FZ$601,224,Sync!$C$5)&amp;"",""))</f>
        <v/>
      </c>
      <c r="E1875" s="17">
        <f>IF(B1875="","",IFERROR(INDEX(Clay_Offices!$A$2:$FZ$601,224,Sync!$C$6)&amp;"",""))</f>
        <v/>
      </c>
      <c r="F1875" s="17">
        <f>IF(B1875="","","outreach_sent")</f>
        <v/>
      </c>
      <c r="G1875" s="17">
        <f>IF(B1875="","","")</f>
        <v/>
      </c>
      <c r="H1875" s="17">
        <f>IF(B1875="","","")</f>
        <v/>
      </c>
      <c r="I1875" s="17">
        <f>IF(B1875="","","")</f>
        <v/>
      </c>
      <c r="J1875" s="17">
        <f>IF(B1875="","","touch_1; "&amp;IFERROR(INDEX(Clay_Offices!$A$2:$FZ$601,224,Sync!$C$10)&amp;"","")&amp;"; "&amp;IFERROR(INDEX(Clay_Offices!$A$2:$FZ$601,224,Sync!$C$9)&amp;"",""))</f>
        <v/>
      </c>
      <c r="K1875" t="inlineStr">
        <is>
          <t>office outreach touch 1</t>
        </is>
      </c>
    </row>
    <row r="1876">
      <c r="A1876" s="17">
        <f>IF(B1876="","",B1876+(12*1000+225)/10000000)</f>
        <v/>
      </c>
      <c r="B1876" s="23">
        <f>IF(AND(IFERROR(N(INDEX(Clay_Offices!$A$2:$FZ$601,225,Sync!$C$11)),0)&gt;0,IFERROR(INDEX(Clay_Offices!$A$2:$FZ$601,225,Sync!$C$5)&amp;"","")&lt;&gt;"",OR(LEFT(IFERROR(INDEX(Clay_Offices!$A$2:$FZ$601,225,Sync!$C$5)&amp;"",""),6)&lt;&gt;"SAMPLE",Config!$B$19="Y")),IFERROR(N(INDEX(Clay_Offices!$A$2:$FZ$601,225,Sync!$C$11)),0),"")</f>
        <v/>
      </c>
      <c r="C1876" s="17">
        <f>IF(B1876="","","office")</f>
        <v/>
      </c>
      <c r="D1876" s="17">
        <f>IF(B1876="","",IFERROR(INDEX(Clay_Offices!$A$2:$FZ$601,225,Sync!$C$5)&amp;"",""))</f>
        <v/>
      </c>
      <c r="E1876" s="17">
        <f>IF(B1876="","",IFERROR(INDEX(Clay_Offices!$A$2:$FZ$601,225,Sync!$C$6)&amp;"",""))</f>
        <v/>
      </c>
      <c r="F1876" s="17">
        <f>IF(B1876="","","outreach_sent")</f>
        <v/>
      </c>
      <c r="G1876" s="17">
        <f>IF(B1876="","","")</f>
        <v/>
      </c>
      <c r="H1876" s="17">
        <f>IF(B1876="","","")</f>
        <v/>
      </c>
      <c r="I1876" s="17">
        <f>IF(B1876="","","")</f>
        <v/>
      </c>
      <c r="J1876" s="17">
        <f>IF(B1876="","","touch_1; "&amp;IFERROR(INDEX(Clay_Offices!$A$2:$FZ$601,225,Sync!$C$10)&amp;"","")&amp;"; "&amp;IFERROR(INDEX(Clay_Offices!$A$2:$FZ$601,225,Sync!$C$9)&amp;"",""))</f>
        <v/>
      </c>
      <c r="K1876" t="inlineStr">
        <is>
          <t>office outreach touch 1</t>
        </is>
      </c>
    </row>
    <row r="1877">
      <c r="A1877" s="17">
        <f>IF(B1877="","",B1877+(12*1000+226)/10000000)</f>
        <v/>
      </c>
      <c r="B1877" s="23">
        <f>IF(AND(IFERROR(N(INDEX(Clay_Offices!$A$2:$FZ$601,226,Sync!$C$11)),0)&gt;0,IFERROR(INDEX(Clay_Offices!$A$2:$FZ$601,226,Sync!$C$5)&amp;"","")&lt;&gt;"",OR(LEFT(IFERROR(INDEX(Clay_Offices!$A$2:$FZ$601,226,Sync!$C$5)&amp;"",""),6)&lt;&gt;"SAMPLE",Config!$B$19="Y")),IFERROR(N(INDEX(Clay_Offices!$A$2:$FZ$601,226,Sync!$C$11)),0),"")</f>
        <v/>
      </c>
      <c r="C1877" s="17">
        <f>IF(B1877="","","office")</f>
        <v/>
      </c>
      <c r="D1877" s="17">
        <f>IF(B1877="","",IFERROR(INDEX(Clay_Offices!$A$2:$FZ$601,226,Sync!$C$5)&amp;"",""))</f>
        <v/>
      </c>
      <c r="E1877" s="17">
        <f>IF(B1877="","",IFERROR(INDEX(Clay_Offices!$A$2:$FZ$601,226,Sync!$C$6)&amp;"",""))</f>
        <v/>
      </c>
      <c r="F1877" s="17">
        <f>IF(B1877="","","outreach_sent")</f>
        <v/>
      </c>
      <c r="G1877" s="17">
        <f>IF(B1877="","","")</f>
        <v/>
      </c>
      <c r="H1877" s="17">
        <f>IF(B1877="","","")</f>
        <v/>
      </c>
      <c r="I1877" s="17">
        <f>IF(B1877="","","")</f>
        <v/>
      </c>
      <c r="J1877" s="17">
        <f>IF(B1877="","","touch_1; "&amp;IFERROR(INDEX(Clay_Offices!$A$2:$FZ$601,226,Sync!$C$10)&amp;"","")&amp;"; "&amp;IFERROR(INDEX(Clay_Offices!$A$2:$FZ$601,226,Sync!$C$9)&amp;"",""))</f>
        <v/>
      </c>
      <c r="K1877" t="inlineStr">
        <is>
          <t>office outreach touch 1</t>
        </is>
      </c>
    </row>
    <row r="1878">
      <c r="A1878" s="17">
        <f>IF(B1878="","",B1878+(12*1000+227)/10000000)</f>
        <v/>
      </c>
      <c r="B1878" s="23">
        <f>IF(AND(IFERROR(N(INDEX(Clay_Offices!$A$2:$FZ$601,227,Sync!$C$11)),0)&gt;0,IFERROR(INDEX(Clay_Offices!$A$2:$FZ$601,227,Sync!$C$5)&amp;"","")&lt;&gt;"",OR(LEFT(IFERROR(INDEX(Clay_Offices!$A$2:$FZ$601,227,Sync!$C$5)&amp;"",""),6)&lt;&gt;"SAMPLE",Config!$B$19="Y")),IFERROR(N(INDEX(Clay_Offices!$A$2:$FZ$601,227,Sync!$C$11)),0),"")</f>
        <v/>
      </c>
      <c r="C1878" s="17">
        <f>IF(B1878="","","office")</f>
        <v/>
      </c>
      <c r="D1878" s="17">
        <f>IF(B1878="","",IFERROR(INDEX(Clay_Offices!$A$2:$FZ$601,227,Sync!$C$5)&amp;"",""))</f>
        <v/>
      </c>
      <c r="E1878" s="17">
        <f>IF(B1878="","",IFERROR(INDEX(Clay_Offices!$A$2:$FZ$601,227,Sync!$C$6)&amp;"",""))</f>
        <v/>
      </c>
      <c r="F1878" s="17">
        <f>IF(B1878="","","outreach_sent")</f>
        <v/>
      </c>
      <c r="G1878" s="17">
        <f>IF(B1878="","","")</f>
        <v/>
      </c>
      <c r="H1878" s="17">
        <f>IF(B1878="","","")</f>
        <v/>
      </c>
      <c r="I1878" s="17">
        <f>IF(B1878="","","")</f>
        <v/>
      </c>
      <c r="J1878" s="17">
        <f>IF(B1878="","","touch_1; "&amp;IFERROR(INDEX(Clay_Offices!$A$2:$FZ$601,227,Sync!$C$10)&amp;"","")&amp;"; "&amp;IFERROR(INDEX(Clay_Offices!$A$2:$FZ$601,227,Sync!$C$9)&amp;"",""))</f>
        <v/>
      </c>
      <c r="K1878" t="inlineStr">
        <is>
          <t>office outreach touch 1</t>
        </is>
      </c>
    </row>
    <row r="1879">
      <c r="A1879" s="17">
        <f>IF(B1879="","",B1879+(12*1000+228)/10000000)</f>
        <v/>
      </c>
      <c r="B1879" s="23">
        <f>IF(AND(IFERROR(N(INDEX(Clay_Offices!$A$2:$FZ$601,228,Sync!$C$11)),0)&gt;0,IFERROR(INDEX(Clay_Offices!$A$2:$FZ$601,228,Sync!$C$5)&amp;"","")&lt;&gt;"",OR(LEFT(IFERROR(INDEX(Clay_Offices!$A$2:$FZ$601,228,Sync!$C$5)&amp;"",""),6)&lt;&gt;"SAMPLE",Config!$B$19="Y")),IFERROR(N(INDEX(Clay_Offices!$A$2:$FZ$601,228,Sync!$C$11)),0),"")</f>
        <v/>
      </c>
      <c r="C1879" s="17">
        <f>IF(B1879="","","office")</f>
        <v/>
      </c>
      <c r="D1879" s="17">
        <f>IF(B1879="","",IFERROR(INDEX(Clay_Offices!$A$2:$FZ$601,228,Sync!$C$5)&amp;"",""))</f>
        <v/>
      </c>
      <c r="E1879" s="17">
        <f>IF(B1879="","",IFERROR(INDEX(Clay_Offices!$A$2:$FZ$601,228,Sync!$C$6)&amp;"",""))</f>
        <v/>
      </c>
      <c r="F1879" s="17">
        <f>IF(B1879="","","outreach_sent")</f>
        <v/>
      </c>
      <c r="G1879" s="17">
        <f>IF(B1879="","","")</f>
        <v/>
      </c>
      <c r="H1879" s="17">
        <f>IF(B1879="","","")</f>
        <v/>
      </c>
      <c r="I1879" s="17">
        <f>IF(B1879="","","")</f>
        <v/>
      </c>
      <c r="J1879" s="17">
        <f>IF(B1879="","","touch_1; "&amp;IFERROR(INDEX(Clay_Offices!$A$2:$FZ$601,228,Sync!$C$10)&amp;"","")&amp;"; "&amp;IFERROR(INDEX(Clay_Offices!$A$2:$FZ$601,228,Sync!$C$9)&amp;"",""))</f>
        <v/>
      </c>
      <c r="K1879" t="inlineStr">
        <is>
          <t>office outreach touch 1</t>
        </is>
      </c>
    </row>
    <row r="1880">
      <c r="A1880" s="17">
        <f>IF(B1880="","",B1880+(12*1000+229)/10000000)</f>
        <v/>
      </c>
      <c r="B1880" s="23">
        <f>IF(AND(IFERROR(N(INDEX(Clay_Offices!$A$2:$FZ$601,229,Sync!$C$11)),0)&gt;0,IFERROR(INDEX(Clay_Offices!$A$2:$FZ$601,229,Sync!$C$5)&amp;"","")&lt;&gt;"",OR(LEFT(IFERROR(INDEX(Clay_Offices!$A$2:$FZ$601,229,Sync!$C$5)&amp;"",""),6)&lt;&gt;"SAMPLE",Config!$B$19="Y")),IFERROR(N(INDEX(Clay_Offices!$A$2:$FZ$601,229,Sync!$C$11)),0),"")</f>
        <v/>
      </c>
      <c r="C1880" s="17">
        <f>IF(B1880="","","office")</f>
        <v/>
      </c>
      <c r="D1880" s="17">
        <f>IF(B1880="","",IFERROR(INDEX(Clay_Offices!$A$2:$FZ$601,229,Sync!$C$5)&amp;"",""))</f>
        <v/>
      </c>
      <c r="E1880" s="17">
        <f>IF(B1880="","",IFERROR(INDEX(Clay_Offices!$A$2:$FZ$601,229,Sync!$C$6)&amp;"",""))</f>
        <v/>
      </c>
      <c r="F1880" s="17">
        <f>IF(B1880="","","outreach_sent")</f>
        <v/>
      </c>
      <c r="G1880" s="17">
        <f>IF(B1880="","","")</f>
        <v/>
      </c>
      <c r="H1880" s="17">
        <f>IF(B1880="","","")</f>
        <v/>
      </c>
      <c r="I1880" s="17">
        <f>IF(B1880="","","")</f>
        <v/>
      </c>
      <c r="J1880" s="17">
        <f>IF(B1880="","","touch_1; "&amp;IFERROR(INDEX(Clay_Offices!$A$2:$FZ$601,229,Sync!$C$10)&amp;"","")&amp;"; "&amp;IFERROR(INDEX(Clay_Offices!$A$2:$FZ$601,229,Sync!$C$9)&amp;"",""))</f>
        <v/>
      </c>
      <c r="K1880" t="inlineStr">
        <is>
          <t>office outreach touch 1</t>
        </is>
      </c>
    </row>
    <row r="1881">
      <c r="A1881" s="17">
        <f>IF(B1881="","",B1881+(12*1000+230)/10000000)</f>
        <v/>
      </c>
      <c r="B1881" s="23">
        <f>IF(AND(IFERROR(N(INDEX(Clay_Offices!$A$2:$FZ$601,230,Sync!$C$11)),0)&gt;0,IFERROR(INDEX(Clay_Offices!$A$2:$FZ$601,230,Sync!$C$5)&amp;"","")&lt;&gt;"",OR(LEFT(IFERROR(INDEX(Clay_Offices!$A$2:$FZ$601,230,Sync!$C$5)&amp;"",""),6)&lt;&gt;"SAMPLE",Config!$B$19="Y")),IFERROR(N(INDEX(Clay_Offices!$A$2:$FZ$601,230,Sync!$C$11)),0),"")</f>
        <v/>
      </c>
      <c r="C1881" s="17">
        <f>IF(B1881="","","office")</f>
        <v/>
      </c>
      <c r="D1881" s="17">
        <f>IF(B1881="","",IFERROR(INDEX(Clay_Offices!$A$2:$FZ$601,230,Sync!$C$5)&amp;"",""))</f>
        <v/>
      </c>
      <c r="E1881" s="17">
        <f>IF(B1881="","",IFERROR(INDEX(Clay_Offices!$A$2:$FZ$601,230,Sync!$C$6)&amp;"",""))</f>
        <v/>
      </c>
      <c r="F1881" s="17">
        <f>IF(B1881="","","outreach_sent")</f>
        <v/>
      </c>
      <c r="G1881" s="17">
        <f>IF(B1881="","","")</f>
        <v/>
      </c>
      <c r="H1881" s="17">
        <f>IF(B1881="","","")</f>
        <v/>
      </c>
      <c r="I1881" s="17">
        <f>IF(B1881="","","")</f>
        <v/>
      </c>
      <c r="J1881" s="17">
        <f>IF(B1881="","","touch_1; "&amp;IFERROR(INDEX(Clay_Offices!$A$2:$FZ$601,230,Sync!$C$10)&amp;"","")&amp;"; "&amp;IFERROR(INDEX(Clay_Offices!$A$2:$FZ$601,230,Sync!$C$9)&amp;"",""))</f>
        <v/>
      </c>
      <c r="K1881" t="inlineStr">
        <is>
          <t>office outreach touch 1</t>
        </is>
      </c>
    </row>
    <row r="1882">
      <c r="A1882" s="17">
        <f>IF(B1882="","",B1882+(12*1000+231)/10000000)</f>
        <v/>
      </c>
      <c r="B1882" s="23">
        <f>IF(AND(IFERROR(N(INDEX(Clay_Offices!$A$2:$FZ$601,231,Sync!$C$11)),0)&gt;0,IFERROR(INDEX(Clay_Offices!$A$2:$FZ$601,231,Sync!$C$5)&amp;"","")&lt;&gt;"",OR(LEFT(IFERROR(INDEX(Clay_Offices!$A$2:$FZ$601,231,Sync!$C$5)&amp;"",""),6)&lt;&gt;"SAMPLE",Config!$B$19="Y")),IFERROR(N(INDEX(Clay_Offices!$A$2:$FZ$601,231,Sync!$C$11)),0),"")</f>
        <v/>
      </c>
      <c r="C1882" s="17">
        <f>IF(B1882="","","office")</f>
        <v/>
      </c>
      <c r="D1882" s="17">
        <f>IF(B1882="","",IFERROR(INDEX(Clay_Offices!$A$2:$FZ$601,231,Sync!$C$5)&amp;"",""))</f>
        <v/>
      </c>
      <c r="E1882" s="17">
        <f>IF(B1882="","",IFERROR(INDEX(Clay_Offices!$A$2:$FZ$601,231,Sync!$C$6)&amp;"",""))</f>
        <v/>
      </c>
      <c r="F1882" s="17">
        <f>IF(B1882="","","outreach_sent")</f>
        <v/>
      </c>
      <c r="G1882" s="17">
        <f>IF(B1882="","","")</f>
        <v/>
      </c>
      <c r="H1882" s="17">
        <f>IF(B1882="","","")</f>
        <v/>
      </c>
      <c r="I1882" s="17">
        <f>IF(B1882="","","")</f>
        <v/>
      </c>
      <c r="J1882" s="17">
        <f>IF(B1882="","","touch_1; "&amp;IFERROR(INDEX(Clay_Offices!$A$2:$FZ$601,231,Sync!$C$10)&amp;"","")&amp;"; "&amp;IFERROR(INDEX(Clay_Offices!$A$2:$FZ$601,231,Sync!$C$9)&amp;"",""))</f>
        <v/>
      </c>
      <c r="K1882" t="inlineStr">
        <is>
          <t>office outreach touch 1</t>
        </is>
      </c>
    </row>
    <row r="1883">
      <c r="A1883" s="17">
        <f>IF(B1883="","",B1883+(12*1000+232)/10000000)</f>
        <v/>
      </c>
      <c r="B1883" s="23">
        <f>IF(AND(IFERROR(N(INDEX(Clay_Offices!$A$2:$FZ$601,232,Sync!$C$11)),0)&gt;0,IFERROR(INDEX(Clay_Offices!$A$2:$FZ$601,232,Sync!$C$5)&amp;"","")&lt;&gt;"",OR(LEFT(IFERROR(INDEX(Clay_Offices!$A$2:$FZ$601,232,Sync!$C$5)&amp;"",""),6)&lt;&gt;"SAMPLE",Config!$B$19="Y")),IFERROR(N(INDEX(Clay_Offices!$A$2:$FZ$601,232,Sync!$C$11)),0),"")</f>
        <v/>
      </c>
      <c r="C1883" s="17">
        <f>IF(B1883="","","office")</f>
        <v/>
      </c>
      <c r="D1883" s="17">
        <f>IF(B1883="","",IFERROR(INDEX(Clay_Offices!$A$2:$FZ$601,232,Sync!$C$5)&amp;"",""))</f>
        <v/>
      </c>
      <c r="E1883" s="17">
        <f>IF(B1883="","",IFERROR(INDEX(Clay_Offices!$A$2:$FZ$601,232,Sync!$C$6)&amp;"",""))</f>
        <v/>
      </c>
      <c r="F1883" s="17">
        <f>IF(B1883="","","outreach_sent")</f>
        <v/>
      </c>
      <c r="G1883" s="17">
        <f>IF(B1883="","","")</f>
        <v/>
      </c>
      <c r="H1883" s="17">
        <f>IF(B1883="","","")</f>
        <v/>
      </c>
      <c r="I1883" s="17">
        <f>IF(B1883="","","")</f>
        <v/>
      </c>
      <c r="J1883" s="17">
        <f>IF(B1883="","","touch_1; "&amp;IFERROR(INDEX(Clay_Offices!$A$2:$FZ$601,232,Sync!$C$10)&amp;"","")&amp;"; "&amp;IFERROR(INDEX(Clay_Offices!$A$2:$FZ$601,232,Sync!$C$9)&amp;"",""))</f>
        <v/>
      </c>
      <c r="K1883" t="inlineStr">
        <is>
          <t>office outreach touch 1</t>
        </is>
      </c>
    </row>
    <row r="1884">
      <c r="A1884" s="17">
        <f>IF(B1884="","",B1884+(12*1000+233)/10000000)</f>
        <v/>
      </c>
      <c r="B1884" s="23">
        <f>IF(AND(IFERROR(N(INDEX(Clay_Offices!$A$2:$FZ$601,233,Sync!$C$11)),0)&gt;0,IFERROR(INDEX(Clay_Offices!$A$2:$FZ$601,233,Sync!$C$5)&amp;"","")&lt;&gt;"",OR(LEFT(IFERROR(INDEX(Clay_Offices!$A$2:$FZ$601,233,Sync!$C$5)&amp;"",""),6)&lt;&gt;"SAMPLE",Config!$B$19="Y")),IFERROR(N(INDEX(Clay_Offices!$A$2:$FZ$601,233,Sync!$C$11)),0),"")</f>
        <v/>
      </c>
      <c r="C1884" s="17">
        <f>IF(B1884="","","office")</f>
        <v/>
      </c>
      <c r="D1884" s="17">
        <f>IF(B1884="","",IFERROR(INDEX(Clay_Offices!$A$2:$FZ$601,233,Sync!$C$5)&amp;"",""))</f>
        <v/>
      </c>
      <c r="E1884" s="17">
        <f>IF(B1884="","",IFERROR(INDEX(Clay_Offices!$A$2:$FZ$601,233,Sync!$C$6)&amp;"",""))</f>
        <v/>
      </c>
      <c r="F1884" s="17">
        <f>IF(B1884="","","outreach_sent")</f>
        <v/>
      </c>
      <c r="G1884" s="17">
        <f>IF(B1884="","","")</f>
        <v/>
      </c>
      <c r="H1884" s="17">
        <f>IF(B1884="","","")</f>
        <v/>
      </c>
      <c r="I1884" s="17">
        <f>IF(B1884="","","")</f>
        <v/>
      </c>
      <c r="J1884" s="17">
        <f>IF(B1884="","","touch_1; "&amp;IFERROR(INDEX(Clay_Offices!$A$2:$FZ$601,233,Sync!$C$10)&amp;"","")&amp;"; "&amp;IFERROR(INDEX(Clay_Offices!$A$2:$FZ$601,233,Sync!$C$9)&amp;"",""))</f>
        <v/>
      </c>
      <c r="K1884" t="inlineStr">
        <is>
          <t>office outreach touch 1</t>
        </is>
      </c>
    </row>
    <row r="1885">
      <c r="A1885" s="17">
        <f>IF(B1885="","",B1885+(12*1000+234)/10000000)</f>
        <v/>
      </c>
      <c r="B1885" s="23">
        <f>IF(AND(IFERROR(N(INDEX(Clay_Offices!$A$2:$FZ$601,234,Sync!$C$11)),0)&gt;0,IFERROR(INDEX(Clay_Offices!$A$2:$FZ$601,234,Sync!$C$5)&amp;"","")&lt;&gt;"",OR(LEFT(IFERROR(INDEX(Clay_Offices!$A$2:$FZ$601,234,Sync!$C$5)&amp;"",""),6)&lt;&gt;"SAMPLE",Config!$B$19="Y")),IFERROR(N(INDEX(Clay_Offices!$A$2:$FZ$601,234,Sync!$C$11)),0),"")</f>
        <v/>
      </c>
      <c r="C1885" s="17">
        <f>IF(B1885="","","office")</f>
        <v/>
      </c>
      <c r="D1885" s="17">
        <f>IF(B1885="","",IFERROR(INDEX(Clay_Offices!$A$2:$FZ$601,234,Sync!$C$5)&amp;"",""))</f>
        <v/>
      </c>
      <c r="E1885" s="17">
        <f>IF(B1885="","",IFERROR(INDEX(Clay_Offices!$A$2:$FZ$601,234,Sync!$C$6)&amp;"",""))</f>
        <v/>
      </c>
      <c r="F1885" s="17">
        <f>IF(B1885="","","outreach_sent")</f>
        <v/>
      </c>
      <c r="G1885" s="17">
        <f>IF(B1885="","","")</f>
        <v/>
      </c>
      <c r="H1885" s="17">
        <f>IF(B1885="","","")</f>
        <v/>
      </c>
      <c r="I1885" s="17">
        <f>IF(B1885="","","")</f>
        <v/>
      </c>
      <c r="J1885" s="17">
        <f>IF(B1885="","","touch_1; "&amp;IFERROR(INDEX(Clay_Offices!$A$2:$FZ$601,234,Sync!$C$10)&amp;"","")&amp;"; "&amp;IFERROR(INDEX(Clay_Offices!$A$2:$FZ$601,234,Sync!$C$9)&amp;"",""))</f>
        <v/>
      </c>
      <c r="K1885" t="inlineStr">
        <is>
          <t>office outreach touch 1</t>
        </is>
      </c>
    </row>
    <row r="1886">
      <c r="A1886" s="17">
        <f>IF(B1886="","",B1886+(12*1000+235)/10000000)</f>
        <v/>
      </c>
      <c r="B1886" s="23">
        <f>IF(AND(IFERROR(N(INDEX(Clay_Offices!$A$2:$FZ$601,235,Sync!$C$11)),0)&gt;0,IFERROR(INDEX(Clay_Offices!$A$2:$FZ$601,235,Sync!$C$5)&amp;"","")&lt;&gt;"",OR(LEFT(IFERROR(INDEX(Clay_Offices!$A$2:$FZ$601,235,Sync!$C$5)&amp;"",""),6)&lt;&gt;"SAMPLE",Config!$B$19="Y")),IFERROR(N(INDEX(Clay_Offices!$A$2:$FZ$601,235,Sync!$C$11)),0),"")</f>
        <v/>
      </c>
      <c r="C1886" s="17">
        <f>IF(B1886="","","office")</f>
        <v/>
      </c>
      <c r="D1886" s="17">
        <f>IF(B1886="","",IFERROR(INDEX(Clay_Offices!$A$2:$FZ$601,235,Sync!$C$5)&amp;"",""))</f>
        <v/>
      </c>
      <c r="E1886" s="17">
        <f>IF(B1886="","",IFERROR(INDEX(Clay_Offices!$A$2:$FZ$601,235,Sync!$C$6)&amp;"",""))</f>
        <v/>
      </c>
      <c r="F1886" s="17">
        <f>IF(B1886="","","outreach_sent")</f>
        <v/>
      </c>
      <c r="G1886" s="17">
        <f>IF(B1886="","","")</f>
        <v/>
      </c>
      <c r="H1886" s="17">
        <f>IF(B1886="","","")</f>
        <v/>
      </c>
      <c r="I1886" s="17">
        <f>IF(B1886="","","")</f>
        <v/>
      </c>
      <c r="J1886" s="17">
        <f>IF(B1886="","","touch_1; "&amp;IFERROR(INDEX(Clay_Offices!$A$2:$FZ$601,235,Sync!$C$10)&amp;"","")&amp;"; "&amp;IFERROR(INDEX(Clay_Offices!$A$2:$FZ$601,235,Sync!$C$9)&amp;"",""))</f>
        <v/>
      </c>
      <c r="K1886" t="inlineStr">
        <is>
          <t>office outreach touch 1</t>
        </is>
      </c>
    </row>
    <row r="1887">
      <c r="A1887" s="17">
        <f>IF(B1887="","",B1887+(12*1000+236)/10000000)</f>
        <v/>
      </c>
      <c r="B1887" s="23">
        <f>IF(AND(IFERROR(N(INDEX(Clay_Offices!$A$2:$FZ$601,236,Sync!$C$11)),0)&gt;0,IFERROR(INDEX(Clay_Offices!$A$2:$FZ$601,236,Sync!$C$5)&amp;"","")&lt;&gt;"",OR(LEFT(IFERROR(INDEX(Clay_Offices!$A$2:$FZ$601,236,Sync!$C$5)&amp;"",""),6)&lt;&gt;"SAMPLE",Config!$B$19="Y")),IFERROR(N(INDEX(Clay_Offices!$A$2:$FZ$601,236,Sync!$C$11)),0),"")</f>
        <v/>
      </c>
      <c r="C1887" s="17">
        <f>IF(B1887="","","office")</f>
        <v/>
      </c>
      <c r="D1887" s="17">
        <f>IF(B1887="","",IFERROR(INDEX(Clay_Offices!$A$2:$FZ$601,236,Sync!$C$5)&amp;"",""))</f>
        <v/>
      </c>
      <c r="E1887" s="17">
        <f>IF(B1887="","",IFERROR(INDEX(Clay_Offices!$A$2:$FZ$601,236,Sync!$C$6)&amp;"",""))</f>
        <v/>
      </c>
      <c r="F1887" s="17">
        <f>IF(B1887="","","outreach_sent")</f>
        <v/>
      </c>
      <c r="G1887" s="17">
        <f>IF(B1887="","","")</f>
        <v/>
      </c>
      <c r="H1887" s="17">
        <f>IF(B1887="","","")</f>
        <v/>
      </c>
      <c r="I1887" s="17">
        <f>IF(B1887="","","")</f>
        <v/>
      </c>
      <c r="J1887" s="17">
        <f>IF(B1887="","","touch_1; "&amp;IFERROR(INDEX(Clay_Offices!$A$2:$FZ$601,236,Sync!$C$10)&amp;"","")&amp;"; "&amp;IFERROR(INDEX(Clay_Offices!$A$2:$FZ$601,236,Sync!$C$9)&amp;"",""))</f>
        <v/>
      </c>
      <c r="K1887" t="inlineStr">
        <is>
          <t>office outreach touch 1</t>
        </is>
      </c>
    </row>
    <row r="1888">
      <c r="A1888" s="17">
        <f>IF(B1888="","",B1888+(12*1000+237)/10000000)</f>
        <v/>
      </c>
      <c r="B1888" s="23">
        <f>IF(AND(IFERROR(N(INDEX(Clay_Offices!$A$2:$FZ$601,237,Sync!$C$11)),0)&gt;0,IFERROR(INDEX(Clay_Offices!$A$2:$FZ$601,237,Sync!$C$5)&amp;"","")&lt;&gt;"",OR(LEFT(IFERROR(INDEX(Clay_Offices!$A$2:$FZ$601,237,Sync!$C$5)&amp;"",""),6)&lt;&gt;"SAMPLE",Config!$B$19="Y")),IFERROR(N(INDEX(Clay_Offices!$A$2:$FZ$601,237,Sync!$C$11)),0),"")</f>
        <v/>
      </c>
      <c r="C1888" s="17">
        <f>IF(B1888="","","office")</f>
        <v/>
      </c>
      <c r="D1888" s="17">
        <f>IF(B1888="","",IFERROR(INDEX(Clay_Offices!$A$2:$FZ$601,237,Sync!$C$5)&amp;"",""))</f>
        <v/>
      </c>
      <c r="E1888" s="17">
        <f>IF(B1888="","",IFERROR(INDEX(Clay_Offices!$A$2:$FZ$601,237,Sync!$C$6)&amp;"",""))</f>
        <v/>
      </c>
      <c r="F1888" s="17">
        <f>IF(B1888="","","outreach_sent")</f>
        <v/>
      </c>
      <c r="G1888" s="17">
        <f>IF(B1888="","","")</f>
        <v/>
      </c>
      <c r="H1888" s="17">
        <f>IF(B1888="","","")</f>
        <v/>
      </c>
      <c r="I1888" s="17">
        <f>IF(B1888="","","")</f>
        <v/>
      </c>
      <c r="J1888" s="17">
        <f>IF(B1888="","","touch_1; "&amp;IFERROR(INDEX(Clay_Offices!$A$2:$FZ$601,237,Sync!$C$10)&amp;"","")&amp;"; "&amp;IFERROR(INDEX(Clay_Offices!$A$2:$FZ$601,237,Sync!$C$9)&amp;"",""))</f>
        <v/>
      </c>
      <c r="K1888" t="inlineStr">
        <is>
          <t>office outreach touch 1</t>
        </is>
      </c>
    </row>
    <row r="1889">
      <c r="A1889" s="17">
        <f>IF(B1889="","",B1889+(12*1000+238)/10000000)</f>
        <v/>
      </c>
      <c r="B1889" s="23">
        <f>IF(AND(IFERROR(N(INDEX(Clay_Offices!$A$2:$FZ$601,238,Sync!$C$11)),0)&gt;0,IFERROR(INDEX(Clay_Offices!$A$2:$FZ$601,238,Sync!$C$5)&amp;"","")&lt;&gt;"",OR(LEFT(IFERROR(INDEX(Clay_Offices!$A$2:$FZ$601,238,Sync!$C$5)&amp;"",""),6)&lt;&gt;"SAMPLE",Config!$B$19="Y")),IFERROR(N(INDEX(Clay_Offices!$A$2:$FZ$601,238,Sync!$C$11)),0),"")</f>
        <v/>
      </c>
      <c r="C1889" s="17">
        <f>IF(B1889="","","office")</f>
        <v/>
      </c>
      <c r="D1889" s="17">
        <f>IF(B1889="","",IFERROR(INDEX(Clay_Offices!$A$2:$FZ$601,238,Sync!$C$5)&amp;"",""))</f>
        <v/>
      </c>
      <c r="E1889" s="17">
        <f>IF(B1889="","",IFERROR(INDEX(Clay_Offices!$A$2:$FZ$601,238,Sync!$C$6)&amp;"",""))</f>
        <v/>
      </c>
      <c r="F1889" s="17">
        <f>IF(B1889="","","outreach_sent")</f>
        <v/>
      </c>
      <c r="G1889" s="17">
        <f>IF(B1889="","","")</f>
        <v/>
      </c>
      <c r="H1889" s="17">
        <f>IF(B1889="","","")</f>
        <v/>
      </c>
      <c r="I1889" s="17">
        <f>IF(B1889="","","")</f>
        <v/>
      </c>
      <c r="J1889" s="17">
        <f>IF(B1889="","","touch_1; "&amp;IFERROR(INDEX(Clay_Offices!$A$2:$FZ$601,238,Sync!$C$10)&amp;"","")&amp;"; "&amp;IFERROR(INDEX(Clay_Offices!$A$2:$FZ$601,238,Sync!$C$9)&amp;"",""))</f>
        <v/>
      </c>
      <c r="K1889" t="inlineStr">
        <is>
          <t>office outreach touch 1</t>
        </is>
      </c>
    </row>
    <row r="1890">
      <c r="A1890" s="17">
        <f>IF(B1890="","",B1890+(12*1000+239)/10000000)</f>
        <v/>
      </c>
      <c r="B1890" s="23">
        <f>IF(AND(IFERROR(N(INDEX(Clay_Offices!$A$2:$FZ$601,239,Sync!$C$11)),0)&gt;0,IFERROR(INDEX(Clay_Offices!$A$2:$FZ$601,239,Sync!$C$5)&amp;"","")&lt;&gt;"",OR(LEFT(IFERROR(INDEX(Clay_Offices!$A$2:$FZ$601,239,Sync!$C$5)&amp;"",""),6)&lt;&gt;"SAMPLE",Config!$B$19="Y")),IFERROR(N(INDEX(Clay_Offices!$A$2:$FZ$601,239,Sync!$C$11)),0),"")</f>
        <v/>
      </c>
      <c r="C1890" s="17">
        <f>IF(B1890="","","office")</f>
        <v/>
      </c>
      <c r="D1890" s="17">
        <f>IF(B1890="","",IFERROR(INDEX(Clay_Offices!$A$2:$FZ$601,239,Sync!$C$5)&amp;"",""))</f>
        <v/>
      </c>
      <c r="E1890" s="17">
        <f>IF(B1890="","",IFERROR(INDEX(Clay_Offices!$A$2:$FZ$601,239,Sync!$C$6)&amp;"",""))</f>
        <v/>
      </c>
      <c r="F1890" s="17">
        <f>IF(B1890="","","outreach_sent")</f>
        <v/>
      </c>
      <c r="G1890" s="17">
        <f>IF(B1890="","","")</f>
        <v/>
      </c>
      <c r="H1890" s="17">
        <f>IF(B1890="","","")</f>
        <v/>
      </c>
      <c r="I1890" s="17">
        <f>IF(B1890="","","")</f>
        <v/>
      </c>
      <c r="J1890" s="17">
        <f>IF(B1890="","","touch_1; "&amp;IFERROR(INDEX(Clay_Offices!$A$2:$FZ$601,239,Sync!$C$10)&amp;"","")&amp;"; "&amp;IFERROR(INDEX(Clay_Offices!$A$2:$FZ$601,239,Sync!$C$9)&amp;"",""))</f>
        <v/>
      </c>
      <c r="K1890" t="inlineStr">
        <is>
          <t>office outreach touch 1</t>
        </is>
      </c>
    </row>
    <row r="1891">
      <c r="A1891" s="17">
        <f>IF(B1891="","",B1891+(12*1000+240)/10000000)</f>
        <v/>
      </c>
      <c r="B1891" s="23">
        <f>IF(AND(IFERROR(N(INDEX(Clay_Offices!$A$2:$FZ$601,240,Sync!$C$11)),0)&gt;0,IFERROR(INDEX(Clay_Offices!$A$2:$FZ$601,240,Sync!$C$5)&amp;"","")&lt;&gt;"",OR(LEFT(IFERROR(INDEX(Clay_Offices!$A$2:$FZ$601,240,Sync!$C$5)&amp;"",""),6)&lt;&gt;"SAMPLE",Config!$B$19="Y")),IFERROR(N(INDEX(Clay_Offices!$A$2:$FZ$601,240,Sync!$C$11)),0),"")</f>
        <v/>
      </c>
      <c r="C1891" s="17">
        <f>IF(B1891="","","office")</f>
        <v/>
      </c>
      <c r="D1891" s="17">
        <f>IF(B1891="","",IFERROR(INDEX(Clay_Offices!$A$2:$FZ$601,240,Sync!$C$5)&amp;"",""))</f>
        <v/>
      </c>
      <c r="E1891" s="17">
        <f>IF(B1891="","",IFERROR(INDEX(Clay_Offices!$A$2:$FZ$601,240,Sync!$C$6)&amp;"",""))</f>
        <v/>
      </c>
      <c r="F1891" s="17">
        <f>IF(B1891="","","outreach_sent")</f>
        <v/>
      </c>
      <c r="G1891" s="17">
        <f>IF(B1891="","","")</f>
        <v/>
      </c>
      <c r="H1891" s="17">
        <f>IF(B1891="","","")</f>
        <v/>
      </c>
      <c r="I1891" s="17">
        <f>IF(B1891="","","")</f>
        <v/>
      </c>
      <c r="J1891" s="17">
        <f>IF(B1891="","","touch_1; "&amp;IFERROR(INDEX(Clay_Offices!$A$2:$FZ$601,240,Sync!$C$10)&amp;"","")&amp;"; "&amp;IFERROR(INDEX(Clay_Offices!$A$2:$FZ$601,240,Sync!$C$9)&amp;"",""))</f>
        <v/>
      </c>
      <c r="K1891" t="inlineStr">
        <is>
          <t>office outreach touch 1</t>
        </is>
      </c>
    </row>
    <row r="1892">
      <c r="A1892" s="17">
        <f>IF(B1892="","",B1892+(12*1000+241)/10000000)</f>
        <v/>
      </c>
      <c r="B1892" s="23">
        <f>IF(AND(IFERROR(N(INDEX(Clay_Offices!$A$2:$FZ$601,241,Sync!$C$11)),0)&gt;0,IFERROR(INDEX(Clay_Offices!$A$2:$FZ$601,241,Sync!$C$5)&amp;"","")&lt;&gt;"",OR(LEFT(IFERROR(INDEX(Clay_Offices!$A$2:$FZ$601,241,Sync!$C$5)&amp;"",""),6)&lt;&gt;"SAMPLE",Config!$B$19="Y")),IFERROR(N(INDEX(Clay_Offices!$A$2:$FZ$601,241,Sync!$C$11)),0),"")</f>
        <v/>
      </c>
      <c r="C1892" s="17">
        <f>IF(B1892="","","office")</f>
        <v/>
      </c>
      <c r="D1892" s="17">
        <f>IF(B1892="","",IFERROR(INDEX(Clay_Offices!$A$2:$FZ$601,241,Sync!$C$5)&amp;"",""))</f>
        <v/>
      </c>
      <c r="E1892" s="17">
        <f>IF(B1892="","",IFERROR(INDEX(Clay_Offices!$A$2:$FZ$601,241,Sync!$C$6)&amp;"",""))</f>
        <v/>
      </c>
      <c r="F1892" s="17">
        <f>IF(B1892="","","outreach_sent")</f>
        <v/>
      </c>
      <c r="G1892" s="17">
        <f>IF(B1892="","","")</f>
        <v/>
      </c>
      <c r="H1892" s="17">
        <f>IF(B1892="","","")</f>
        <v/>
      </c>
      <c r="I1892" s="17">
        <f>IF(B1892="","","")</f>
        <v/>
      </c>
      <c r="J1892" s="17">
        <f>IF(B1892="","","touch_1; "&amp;IFERROR(INDEX(Clay_Offices!$A$2:$FZ$601,241,Sync!$C$10)&amp;"","")&amp;"; "&amp;IFERROR(INDEX(Clay_Offices!$A$2:$FZ$601,241,Sync!$C$9)&amp;"",""))</f>
        <v/>
      </c>
      <c r="K1892" t="inlineStr">
        <is>
          <t>office outreach touch 1</t>
        </is>
      </c>
    </row>
    <row r="1893">
      <c r="A1893" s="17">
        <f>IF(B1893="","",B1893+(12*1000+242)/10000000)</f>
        <v/>
      </c>
      <c r="B1893" s="23">
        <f>IF(AND(IFERROR(N(INDEX(Clay_Offices!$A$2:$FZ$601,242,Sync!$C$11)),0)&gt;0,IFERROR(INDEX(Clay_Offices!$A$2:$FZ$601,242,Sync!$C$5)&amp;"","")&lt;&gt;"",OR(LEFT(IFERROR(INDEX(Clay_Offices!$A$2:$FZ$601,242,Sync!$C$5)&amp;"",""),6)&lt;&gt;"SAMPLE",Config!$B$19="Y")),IFERROR(N(INDEX(Clay_Offices!$A$2:$FZ$601,242,Sync!$C$11)),0),"")</f>
        <v/>
      </c>
      <c r="C1893" s="17">
        <f>IF(B1893="","","office")</f>
        <v/>
      </c>
      <c r="D1893" s="17">
        <f>IF(B1893="","",IFERROR(INDEX(Clay_Offices!$A$2:$FZ$601,242,Sync!$C$5)&amp;"",""))</f>
        <v/>
      </c>
      <c r="E1893" s="17">
        <f>IF(B1893="","",IFERROR(INDEX(Clay_Offices!$A$2:$FZ$601,242,Sync!$C$6)&amp;"",""))</f>
        <v/>
      </c>
      <c r="F1893" s="17">
        <f>IF(B1893="","","outreach_sent")</f>
        <v/>
      </c>
      <c r="G1893" s="17">
        <f>IF(B1893="","","")</f>
        <v/>
      </c>
      <c r="H1893" s="17">
        <f>IF(B1893="","","")</f>
        <v/>
      </c>
      <c r="I1893" s="17">
        <f>IF(B1893="","","")</f>
        <v/>
      </c>
      <c r="J1893" s="17">
        <f>IF(B1893="","","touch_1; "&amp;IFERROR(INDEX(Clay_Offices!$A$2:$FZ$601,242,Sync!$C$10)&amp;"","")&amp;"; "&amp;IFERROR(INDEX(Clay_Offices!$A$2:$FZ$601,242,Sync!$C$9)&amp;"",""))</f>
        <v/>
      </c>
      <c r="K1893" t="inlineStr">
        <is>
          <t>office outreach touch 1</t>
        </is>
      </c>
    </row>
    <row r="1894">
      <c r="A1894" s="17">
        <f>IF(B1894="","",B1894+(12*1000+243)/10000000)</f>
        <v/>
      </c>
      <c r="B1894" s="23">
        <f>IF(AND(IFERROR(N(INDEX(Clay_Offices!$A$2:$FZ$601,243,Sync!$C$11)),0)&gt;0,IFERROR(INDEX(Clay_Offices!$A$2:$FZ$601,243,Sync!$C$5)&amp;"","")&lt;&gt;"",OR(LEFT(IFERROR(INDEX(Clay_Offices!$A$2:$FZ$601,243,Sync!$C$5)&amp;"",""),6)&lt;&gt;"SAMPLE",Config!$B$19="Y")),IFERROR(N(INDEX(Clay_Offices!$A$2:$FZ$601,243,Sync!$C$11)),0),"")</f>
        <v/>
      </c>
      <c r="C1894" s="17">
        <f>IF(B1894="","","office")</f>
        <v/>
      </c>
      <c r="D1894" s="17">
        <f>IF(B1894="","",IFERROR(INDEX(Clay_Offices!$A$2:$FZ$601,243,Sync!$C$5)&amp;"",""))</f>
        <v/>
      </c>
      <c r="E1894" s="17">
        <f>IF(B1894="","",IFERROR(INDEX(Clay_Offices!$A$2:$FZ$601,243,Sync!$C$6)&amp;"",""))</f>
        <v/>
      </c>
      <c r="F1894" s="17">
        <f>IF(B1894="","","outreach_sent")</f>
        <v/>
      </c>
      <c r="G1894" s="17">
        <f>IF(B1894="","","")</f>
        <v/>
      </c>
      <c r="H1894" s="17">
        <f>IF(B1894="","","")</f>
        <v/>
      </c>
      <c r="I1894" s="17">
        <f>IF(B1894="","","")</f>
        <v/>
      </c>
      <c r="J1894" s="17">
        <f>IF(B1894="","","touch_1; "&amp;IFERROR(INDEX(Clay_Offices!$A$2:$FZ$601,243,Sync!$C$10)&amp;"","")&amp;"; "&amp;IFERROR(INDEX(Clay_Offices!$A$2:$FZ$601,243,Sync!$C$9)&amp;"",""))</f>
        <v/>
      </c>
      <c r="K1894" t="inlineStr">
        <is>
          <t>office outreach touch 1</t>
        </is>
      </c>
    </row>
    <row r="1895">
      <c r="A1895" s="17">
        <f>IF(B1895="","",B1895+(12*1000+244)/10000000)</f>
        <v/>
      </c>
      <c r="B1895" s="23">
        <f>IF(AND(IFERROR(N(INDEX(Clay_Offices!$A$2:$FZ$601,244,Sync!$C$11)),0)&gt;0,IFERROR(INDEX(Clay_Offices!$A$2:$FZ$601,244,Sync!$C$5)&amp;"","")&lt;&gt;"",OR(LEFT(IFERROR(INDEX(Clay_Offices!$A$2:$FZ$601,244,Sync!$C$5)&amp;"",""),6)&lt;&gt;"SAMPLE",Config!$B$19="Y")),IFERROR(N(INDEX(Clay_Offices!$A$2:$FZ$601,244,Sync!$C$11)),0),"")</f>
        <v/>
      </c>
      <c r="C1895" s="17">
        <f>IF(B1895="","","office")</f>
        <v/>
      </c>
      <c r="D1895" s="17">
        <f>IF(B1895="","",IFERROR(INDEX(Clay_Offices!$A$2:$FZ$601,244,Sync!$C$5)&amp;"",""))</f>
        <v/>
      </c>
      <c r="E1895" s="17">
        <f>IF(B1895="","",IFERROR(INDEX(Clay_Offices!$A$2:$FZ$601,244,Sync!$C$6)&amp;"",""))</f>
        <v/>
      </c>
      <c r="F1895" s="17">
        <f>IF(B1895="","","outreach_sent")</f>
        <v/>
      </c>
      <c r="G1895" s="17">
        <f>IF(B1895="","","")</f>
        <v/>
      </c>
      <c r="H1895" s="17">
        <f>IF(B1895="","","")</f>
        <v/>
      </c>
      <c r="I1895" s="17">
        <f>IF(B1895="","","")</f>
        <v/>
      </c>
      <c r="J1895" s="17">
        <f>IF(B1895="","","touch_1; "&amp;IFERROR(INDEX(Clay_Offices!$A$2:$FZ$601,244,Sync!$C$10)&amp;"","")&amp;"; "&amp;IFERROR(INDEX(Clay_Offices!$A$2:$FZ$601,244,Sync!$C$9)&amp;"",""))</f>
        <v/>
      </c>
      <c r="K1895" t="inlineStr">
        <is>
          <t>office outreach touch 1</t>
        </is>
      </c>
    </row>
    <row r="1896">
      <c r="A1896" s="17">
        <f>IF(B1896="","",B1896+(12*1000+245)/10000000)</f>
        <v/>
      </c>
      <c r="B1896" s="23">
        <f>IF(AND(IFERROR(N(INDEX(Clay_Offices!$A$2:$FZ$601,245,Sync!$C$11)),0)&gt;0,IFERROR(INDEX(Clay_Offices!$A$2:$FZ$601,245,Sync!$C$5)&amp;"","")&lt;&gt;"",OR(LEFT(IFERROR(INDEX(Clay_Offices!$A$2:$FZ$601,245,Sync!$C$5)&amp;"",""),6)&lt;&gt;"SAMPLE",Config!$B$19="Y")),IFERROR(N(INDEX(Clay_Offices!$A$2:$FZ$601,245,Sync!$C$11)),0),"")</f>
        <v/>
      </c>
      <c r="C1896" s="17">
        <f>IF(B1896="","","office")</f>
        <v/>
      </c>
      <c r="D1896" s="17">
        <f>IF(B1896="","",IFERROR(INDEX(Clay_Offices!$A$2:$FZ$601,245,Sync!$C$5)&amp;"",""))</f>
        <v/>
      </c>
      <c r="E1896" s="17">
        <f>IF(B1896="","",IFERROR(INDEX(Clay_Offices!$A$2:$FZ$601,245,Sync!$C$6)&amp;"",""))</f>
        <v/>
      </c>
      <c r="F1896" s="17">
        <f>IF(B1896="","","outreach_sent")</f>
        <v/>
      </c>
      <c r="G1896" s="17">
        <f>IF(B1896="","","")</f>
        <v/>
      </c>
      <c r="H1896" s="17">
        <f>IF(B1896="","","")</f>
        <v/>
      </c>
      <c r="I1896" s="17">
        <f>IF(B1896="","","")</f>
        <v/>
      </c>
      <c r="J1896" s="17">
        <f>IF(B1896="","","touch_1; "&amp;IFERROR(INDEX(Clay_Offices!$A$2:$FZ$601,245,Sync!$C$10)&amp;"","")&amp;"; "&amp;IFERROR(INDEX(Clay_Offices!$A$2:$FZ$601,245,Sync!$C$9)&amp;"",""))</f>
        <v/>
      </c>
      <c r="K1896" t="inlineStr">
        <is>
          <t>office outreach touch 1</t>
        </is>
      </c>
    </row>
    <row r="1897">
      <c r="A1897" s="17">
        <f>IF(B1897="","",B1897+(12*1000+246)/10000000)</f>
        <v/>
      </c>
      <c r="B1897" s="23">
        <f>IF(AND(IFERROR(N(INDEX(Clay_Offices!$A$2:$FZ$601,246,Sync!$C$11)),0)&gt;0,IFERROR(INDEX(Clay_Offices!$A$2:$FZ$601,246,Sync!$C$5)&amp;"","")&lt;&gt;"",OR(LEFT(IFERROR(INDEX(Clay_Offices!$A$2:$FZ$601,246,Sync!$C$5)&amp;"",""),6)&lt;&gt;"SAMPLE",Config!$B$19="Y")),IFERROR(N(INDEX(Clay_Offices!$A$2:$FZ$601,246,Sync!$C$11)),0),"")</f>
        <v/>
      </c>
      <c r="C1897" s="17">
        <f>IF(B1897="","","office")</f>
        <v/>
      </c>
      <c r="D1897" s="17">
        <f>IF(B1897="","",IFERROR(INDEX(Clay_Offices!$A$2:$FZ$601,246,Sync!$C$5)&amp;"",""))</f>
        <v/>
      </c>
      <c r="E1897" s="17">
        <f>IF(B1897="","",IFERROR(INDEX(Clay_Offices!$A$2:$FZ$601,246,Sync!$C$6)&amp;"",""))</f>
        <v/>
      </c>
      <c r="F1897" s="17">
        <f>IF(B1897="","","outreach_sent")</f>
        <v/>
      </c>
      <c r="G1897" s="17">
        <f>IF(B1897="","","")</f>
        <v/>
      </c>
      <c r="H1897" s="17">
        <f>IF(B1897="","","")</f>
        <v/>
      </c>
      <c r="I1897" s="17">
        <f>IF(B1897="","","")</f>
        <v/>
      </c>
      <c r="J1897" s="17">
        <f>IF(B1897="","","touch_1; "&amp;IFERROR(INDEX(Clay_Offices!$A$2:$FZ$601,246,Sync!$C$10)&amp;"","")&amp;"; "&amp;IFERROR(INDEX(Clay_Offices!$A$2:$FZ$601,246,Sync!$C$9)&amp;"",""))</f>
        <v/>
      </c>
      <c r="K1897" t="inlineStr">
        <is>
          <t>office outreach touch 1</t>
        </is>
      </c>
    </row>
    <row r="1898">
      <c r="A1898" s="17">
        <f>IF(B1898="","",B1898+(12*1000+247)/10000000)</f>
        <v/>
      </c>
      <c r="B1898" s="23">
        <f>IF(AND(IFERROR(N(INDEX(Clay_Offices!$A$2:$FZ$601,247,Sync!$C$11)),0)&gt;0,IFERROR(INDEX(Clay_Offices!$A$2:$FZ$601,247,Sync!$C$5)&amp;"","")&lt;&gt;"",OR(LEFT(IFERROR(INDEX(Clay_Offices!$A$2:$FZ$601,247,Sync!$C$5)&amp;"",""),6)&lt;&gt;"SAMPLE",Config!$B$19="Y")),IFERROR(N(INDEX(Clay_Offices!$A$2:$FZ$601,247,Sync!$C$11)),0),"")</f>
        <v/>
      </c>
      <c r="C1898" s="17">
        <f>IF(B1898="","","office")</f>
        <v/>
      </c>
      <c r="D1898" s="17">
        <f>IF(B1898="","",IFERROR(INDEX(Clay_Offices!$A$2:$FZ$601,247,Sync!$C$5)&amp;"",""))</f>
        <v/>
      </c>
      <c r="E1898" s="17">
        <f>IF(B1898="","",IFERROR(INDEX(Clay_Offices!$A$2:$FZ$601,247,Sync!$C$6)&amp;"",""))</f>
        <v/>
      </c>
      <c r="F1898" s="17">
        <f>IF(B1898="","","outreach_sent")</f>
        <v/>
      </c>
      <c r="G1898" s="17">
        <f>IF(B1898="","","")</f>
        <v/>
      </c>
      <c r="H1898" s="17">
        <f>IF(B1898="","","")</f>
        <v/>
      </c>
      <c r="I1898" s="17">
        <f>IF(B1898="","","")</f>
        <v/>
      </c>
      <c r="J1898" s="17">
        <f>IF(B1898="","","touch_1; "&amp;IFERROR(INDEX(Clay_Offices!$A$2:$FZ$601,247,Sync!$C$10)&amp;"","")&amp;"; "&amp;IFERROR(INDEX(Clay_Offices!$A$2:$FZ$601,247,Sync!$C$9)&amp;"",""))</f>
        <v/>
      </c>
      <c r="K1898" t="inlineStr">
        <is>
          <t>office outreach touch 1</t>
        </is>
      </c>
    </row>
    <row r="1899">
      <c r="A1899" s="17">
        <f>IF(B1899="","",B1899+(12*1000+248)/10000000)</f>
        <v/>
      </c>
      <c r="B1899" s="23">
        <f>IF(AND(IFERROR(N(INDEX(Clay_Offices!$A$2:$FZ$601,248,Sync!$C$11)),0)&gt;0,IFERROR(INDEX(Clay_Offices!$A$2:$FZ$601,248,Sync!$C$5)&amp;"","")&lt;&gt;"",OR(LEFT(IFERROR(INDEX(Clay_Offices!$A$2:$FZ$601,248,Sync!$C$5)&amp;"",""),6)&lt;&gt;"SAMPLE",Config!$B$19="Y")),IFERROR(N(INDEX(Clay_Offices!$A$2:$FZ$601,248,Sync!$C$11)),0),"")</f>
        <v/>
      </c>
      <c r="C1899" s="17">
        <f>IF(B1899="","","office")</f>
        <v/>
      </c>
      <c r="D1899" s="17">
        <f>IF(B1899="","",IFERROR(INDEX(Clay_Offices!$A$2:$FZ$601,248,Sync!$C$5)&amp;"",""))</f>
        <v/>
      </c>
      <c r="E1899" s="17">
        <f>IF(B1899="","",IFERROR(INDEX(Clay_Offices!$A$2:$FZ$601,248,Sync!$C$6)&amp;"",""))</f>
        <v/>
      </c>
      <c r="F1899" s="17">
        <f>IF(B1899="","","outreach_sent")</f>
        <v/>
      </c>
      <c r="G1899" s="17">
        <f>IF(B1899="","","")</f>
        <v/>
      </c>
      <c r="H1899" s="17">
        <f>IF(B1899="","","")</f>
        <v/>
      </c>
      <c r="I1899" s="17">
        <f>IF(B1899="","","")</f>
        <v/>
      </c>
      <c r="J1899" s="17">
        <f>IF(B1899="","","touch_1; "&amp;IFERROR(INDEX(Clay_Offices!$A$2:$FZ$601,248,Sync!$C$10)&amp;"","")&amp;"; "&amp;IFERROR(INDEX(Clay_Offices!$A$2:$FZ$601,248,Sync!$C$9)&amp;"",""))</f>
        <v/>
      </c>
      <c r="K1899" t="inlineStr">
        <is>
          <t>office outreach touch 1</t>
        </is>
      </c>
    </row>
    <row r="1900">
      <c r="A1900" s="17">
        <f>IF(B1900="","",B1900+(12*1000+249)/10000000)</f>
        <v/>
      </c>
      <c r="B1900" s="23">
        <f>IF(AND(IFERROR(N(INDEX(Clay_Offices!$A$2:$FZ$601,249,Sync!$C$11)),0)&gt;0,IFERROR(INDEX(Clay_Offices!$A$2:$FZ$601,249,Sync!$C$5)&amp;"","")&lt;&gt;"",OR(LEFT(IFERROR(INDEX(Clay_Offices!$A$2:$FZ$601,249,Sync!$C$5)&amp;"",""),6)&lt;&gt;"SAMPLE",Config!$B$19="Y")),IFERROR(N(INDEX(Clay_Offices!$A$2:$FZ$601,249,Sync!$C$11)),0),"")</f>
        <v/>
      </c>
      <c r="C1900" s="17">
        <f>IF(B1900="","","office")</f>
        <v/>
      </c>
      <c r="D1900" s="17">
        <f>IF(B1900="","",IFERROR(INDEX(Clay_Offices!$A$2:$FZ$601,249,Sync!$C$5)&amp;"",""))</f>
        <v/>
      </c>
      <c r="E1900" s="17">
        <f>IF(B1900="","",IFERROR(INDEX(Clay_Offices!$A$2:$FZ$601,249,Sync!$C$6)&amp;"",""))</f>
        <v/>
      </c>
      <c r="F1900" s="17">
        <f>IF(B1900="","","outreach_sent")</f>
        <v/>
      </c>
      <c r="G1900" s="17">
        <f>IF(B1900="","","")</f>
        <v/>
      </c>
      <c r="H1900" s="17">
        <f>IF(B1900="","","")</f>
        <v/>
      </c>
      <c r="I1900" s="17">
        <f>IF(B1900="","","")</f>
        <v/>
      </c>
      <c r="J1900" s="17">
        <f>IF(B1900="","","touch_1; "&amp;IFERROR(INDEX(Clay_Offices!$A$2:$FZ$601,249,Sync!$C$10)&amp;"","")&amp;"; "&amp;IFERROR(INDEX(Clay_Offices!$A$2:$FZ$601,249,Sync!$C$9)&amp;"",""))</f>
        <v/>
      </c>
      <c r="K1900" t="inlineStr">
        <is>
          <t>office outreach touch 1</t>
        </is>
      </c>
    </row>
    <row r="1901">
      <c r="A1901" s="17">
        <f>IF(B1901="","",B1901+(12*1000+250)/10000000)</f>
        <v/>
      </c>
      <c r="B1901" s="23">
        <f>IF(AND(IFERROR(N(INDEX(Clay_Offices!$A$2:$FZ$601,250,Sync!$C$11)),0)&gt;0,IFERROR(INDEX(Clay_Offices!$A$2:$FZ$601,250,Sync!$C$5)&amp;"","")&lt;&gt;"",OR(LEFT(IFERROR(INDEX(Clay_Offices!$A$2:$FZ$601,250,Sync!$C$5)&amp;"",""),6)&lt;&gt;"SAMPLE",Config!$B$19="Y")),IFERROR(N(INDEX(Clay_Offices!$A$2:$FZ$601,250,Sync!$C$11)),0),"")</f>
        <v/>
      </c>
      <c r="C1901" s="17">
        <f>IF(B1901="","","office")</f>
        <v/>
      </c>
      <c r="D1901" s="17">
        <f>IF(B1901="","",IFERROR(INDEX(Clay_Offices!$A$2:$FZ$601,250,Sync!$C$5)&amp;"",""))</f>
        <v/>
      </c>
      <c r="E1901" s="17">
        <f>IF(B1901="","",IFERROR(INDEX(Clay_Offices!$A$2:$FZ$601,250,Sync!$C$6)&amp;"",""))</f>
        <v/>
      </c>
      <c r="F1901" s="17">
        <f>IF(B1901="","","outreach_sent")</f>
        <v/>
      </c>
      <c r="G1901" s="17">
        <f>IF(B1901="","","")</f>
        <v/>
      </c>
      <c r="H1901" s="17">
        <f>IF(B1901="","","")</f>
        <v/>
      </c>
      <c r="I1901" s="17">
        <f>IF(B1901="","","")</f>
        <v/>
      </c>
      <c r="J1901" s="17">
        <f>IF(B1901="","","touch_1; "&amp;IFERROR(INDEX(Clay_Offices!$A$2:$FZ$601,250,Sync!$C$10)&amp;"","")&amp;"; "&amp;IFERROR(INDEX(Clay_Offices!$A$2:$FZ$601,250,Sync!$C$9)&amp;"",""))</f>
        <v/>
      </c>
      <c r="K1901" t="inlineStr">
        <is>
          <t>office outreach touch 1</t>
        </is>
      </c>
    </row>
    <row r="1902">
      <c r="A1902" s="17">
        <f>IF(B1902="","",B1902+(12*1000+251)/10000000)</f>
        <v/>
      </c>
      <c r="B1902" s="23">
        <f>IF(AND(IFERROR(N(INDEX(Clay_Offices!$A$2:$FZ$601,251,Sync!$C$11)),0)&gt;0,IFERROR(INDEX(Clay_Offices!$A$2:$FZ$601,251,Sync!$C$5)&amp;"","")&lt;&gt;"",OR(LEFT(IFERROR(INDEX(Clay_Offices!$A$2:$FZ$601,251,Sync!$C$5)&amp;"",""),6)&lt;&gt;"SAMPLE",Config!$B$19="Y")),IFERROR(N(INDEX(Clay_Offices!$A$2:$FZ$601,251,Sync!$C$11)),0),"")</f>
        <v/>
      </c>
      <c r="C1902" s="17">
        <f>IF(B1902="","","office")</f>
        <v/>
      </c>
      <c r="D1902" s="17">
        <f>IF(B1902="","",IFERROR(INDEX(Clay_Offices!$A$2:$FZ$601,251,Sync!$C$5)&amp;"",""))</f>
        <v/>
      </c>
      <c r="E1902" s="17">
        <f>IF(B1902="","",IFERROR(INDEX(Clay_Offices!$A$2:$FZ$601,251,Sync!$C$6)&amp;"",""))</f>
        <v/>
      </c>
      <c r="F1902" s="17">
        <f>IF(B1902="","","outreach_sent")</f>
        <v/>
      </c>
      <c r="G1902" s="17">
        <f>IF(B1902="","","")</f>
        <v/>
      </c>
      <c r="H1902" s="17">
        <f>IF(B1902="","","")</f>
        <v/>
      </c>
      <c r="I1902" s="17">
        <f>IF(B1902="","","")</f>
        <v/>
      </c>
      <c r="J1902" s="17">
        <f>IF(B1902="","","touch_1; "&amp;IFERROR(INDEX(Clay_Offices!$A$2:$FZ$601,251,Sync!$C$10)&amp;"","")&amp;"; "&amp;IFERROR(INDEX(Clay_Offices!$A$2:$FZ$601,251,Sync!$C$9)&amp;"",""))</f>
        <v/>
      </c>
      <c r="K1902" t="inlineStr">
        <is>
          <t>office outreach touch 1</t>
        </is>
      </c>
    </row>
    <row r="1903">
      <c r="A1903" s="17">
        <f>IF(B1903="","",B1903+(12*1000+252)/10000000)</f>
        <v/>
      </c>
      <c r="B1903" s="23">
        <f>IF(AND(IFERROR(N(INDEX(Clay_Offices!$A$2:$FZ$601,252,Sync!$C$11)),0)&gt;0,IFERROR(INDEX(Clay_Offices!$A$2:$FZ$601,252,Sync!$C$5)&amp;"","")&lt;&gt;"",OR(LEFT(IFERROR(INDEX(Clay_Offices!$A$2:$FZ$601,252,Sync!$C$5)&amp;"",""),6)&lt;&gt;"SAMPLE",Config!$B$19="Y")),IFERROR(N(INDEX(Clay_Offices!$A$2:$FZ$601,252,Sync!$C$11)),0),"")</f>
        <v/>
      </c>
      <c r="C1903" s="17">
        <f>IF(B1903="","","office")</f>
        <v/>
      </c>
      <c r="D1903" s="17">
        <f>IF(B1903="","",IFERROR(INDEX(Clay_Offices!$A$2:$FZ$601,252,Sync!$C$5)&amp;"",""))</f>
        <v/>
      </c>
      <c r="E1903" s="17">
        <f>IF(B1903="","",IFERROR(INDEX(Clay_Offices!$A$2:$FZ$601,252,Sync!$C$6)&amp;"",""))</f>
        <v/>
      </c>
      <c r="F1903" s="17">
        <f>IF(B1903="","","outreach_sent")</f>
        <v/>
      </c>
      <c r="G1903" s="17">
        <f>IF(B1903="","","")</f>
        <v/>
      </c>
      <c r="H1903" s="17">
        <f>IF(B1903="","","")</f>
        <v/>
      </c>
      <c r="I1903" s="17">
        <f>IF(B1903="","","")</f>
        <v/>
      </c>
      <c r="J1903" s="17">
        <f>IF(B1903="","","touch_1; "&amp;IFERROR(INDEX(Clay_Offices!$A$2:$FZ$601,252,Sync!$C$10)&amp;"","")&amp;"; "&amp;IFERROR(INDEX(Clay_Offices!$A$2:$FZ$601,252,Sync!$C$9)&amp;"",""))</f>
        <v/>
      </c>
      <c r="K1903" t="inlineStr">
        <is>
          <t>office outreach touch 1</t>
        </is>
      </c>
    </row>
    <row r="1904">
      <c r="A1904" s="17">
        <f>IF(B1904="","",B1904+(12*1000+253)/10000000)</f>
        <v/>
      </c>
      <c r="B1904" s="23">
        <f>IF(AND(IFERROR(N(INDEX(Clay_Offices!$A$2:$FZ$601,253,Sync!$C$11)),0)&gt;0,IFERROR(INDEX(Clay_Offices!$A$2:$FZ$601,253,Sync!$C$5)&amp;"","")&lt;&gt;"",OR(LEFT(IFERROR(INDEX(Clay_Offices!$A$2:$FZ$601,253,Sync!$C$5)&amp;"",""),6)&lt;&gt;"SAMPLE",Config!$B$19="Y")),IFERROR(N(INDEX(Clay_Offices!$A$2:$FZ$601,253,Sync!$C$11)),0),"")</f>
        <v/>
      </c>
      <c r="C1904" s="17">
        <f>IF(B1904="","","office")</f>
        <v/>
      </c>
      <c r="D1904" s="17">
        <f>IF(B1904="","",IFERROR(INDEX(Clay_Offices!$A$2:$FZ$601,253,Sync!$C$5)&amp;"",""))</f>
        <v/>
      </c>
      <c r="E1904" s="17">
        <f>IF(B1904="","",IFERROR(INDEX(Clay_Offices!$A$2:$FZ$601,253,Sync!$C$6)&amp;"",""))</f>
        <v/>
      </c>
      <c r="F1904" s="17">
        <f>IF(B1904="","","outreach_sent")</f>
        <v/>
      </c>
      <c r="G1904" s="17">
        <f>IF(B1904="","","")</f>
        <v/>
      </c>
      <c r="H1904" s="17">
        <f>IF(B1904="","","")</f>
        <v/>
      </c>
      <c r="I1904" s="17">
        <f>IF(B1904="","","")</f>
        <v/>
      </c>
      <c r="J1904" s="17">
        <f>IF(B1904="","","touch_1; "&amp;IFERROR(INDEX(Clay_Offices!$A$2:$FZ$601,253,Sync!$C$10)&amp;"","")&amp;"; "&amp;IFERROR(INDEX(Clay_Offices!$A$2:$FZ$601,253,Sync!$C$9)&amp;"",""))</f>
        <v/>
      </c>
      <c r="K1904" t="inlineStr">
        <is>
          <t>office outreach touch 1</t>
        </is>
      </c>
    </row>
    <row r="1905">
      <c r="A1905" s="17">
        <f>IF(B1905="","",B1905+(12*1000+254)/10000000)</f>
        <v/>
      </c>
      <c r="B1905" s="23">
        <f>IF(AND(IFERROR(N(INDEX(Clay_Offices!$A$2:$FZ$601,254,Sync!$C$11)),0)&gt;0,IFERROR(INDEX(Clay_Offices!$A$2:$FZ$601,254,Sync!$C$5)&amp;"","")&lt;&gt;"",OR(LEFT(IFERROR(INDEX(Clay_Offices!$A$2:$FZ$601,254,Sync!$C$5)&amp;"",""),6)&lt;&gt;"SAMPLE",Config!$B$19="Y")),IFERROR(N(INDEX(Clay_Offices!$A$2:$FZ$601,254,Sync!$C$11)),0),"")</f>
        <v/>
      </c>
      <c r="C1905" s="17">
        <f>IF(B1905="","","office")</f>
        <v/>
      </c>
      <c r="D1905" s="17">
        <f>IF(B1905="","",IFERROR(INDEX(Clay_Offices!$A$2:$FZ$601,254,Sync!$C$5)&amp;"",""))</f>
        <v/>
      </c>
      <c r="E1905" s="17">
        <f>IF(B1905="","",IFERROR(INDEX(Clay_Offices!$A$2:$FZ$601,254,Sync!$C$6)&amp;"",""))</f>
        <v/>
      </c>
      <c r="F1905" s="17">
        <f>IF(B1905="","","outreach_sent")</f>
        <v/>
      </c>
      <c r="G1905" s="17">
        <f>IF(B1905="","","")</f>
        <v/>
      </c>
      <c r="H1905" s="17">
        <f>IF(B1905="","","")</f>
        <v/>
      </c>
      <c r="I1905" s="17">
        <f>IF(B1905="","","")</f>
        <v/>
      </c>
      <c r="J1905" s="17">
        <f>IF(B1905="","","touch_1; "&amp;IFERROR(INDEX(Clay_Offices!$A$2:$FZ$601,254,Sync!$C$10)&amp;"","")&amp;"; "&amp;IFERROR(INDEX(Clay_Offices!$A$2:$FZ$601,254,Sync!$C$9)&amp;"",""))</f>
        <v/>
      </c>
      <c r="K1905" t="inlineStr">
        <is>
          <t>office outreach touch 1</t>
        </is>
      </c>
    </row>
    <row r="1906">
      <c r="A1906" s="17">
        <f>IF(B1906="","",B1906+(12*1000+255)/10000000)</f>
        <v/>
      </c>
      <c r="B1906" s="23">
        <f>IF(AND(IFERROR(N(INDEX(Clay_Offices!$A$2:$FZ$601,255,Sync!$C$11)),0)&gt;0,IFERROR(INDEX(Clay_Offices!$A$2:$FZ$601,255,Sync!$C$5)&amp;"","")&lt;&gt;"",OR(LEFT(IFERROR(INDEX(Clay_Offices!$A$2:$FZ$601,255,Sync!$C$5)&amp;"",""),6)&lt;&gt;"SAMPLE",Config!$B$19="Y")),IFERROR(N(INDEX(Clay_Offices!$A$2:$FZ$601,255,Sync!$C$11)),0),"")</f>
        <v/>
      </c>
      <c r="C1906" s="17">
        <f>IF(B1906="","","office")</f>
        <v/>
      </c>
      <c r="D1906" s="17">
        <f>IF(B1906="","",IFERROR(INDEX(Clay_Offices!$A$2:$FZ$601,255,Sync!$C$5)&amp;"",""))</f>
        <v/>
      </c>
      <c r="E1906" s="17">
        <f>IF(B1906="","",IFERROR(INDEX(Clay_Offices!$A$2:$FZ$601,255,Sync!$C$6)&amp;"",""))</f>
        <v/>
      </c>
      <c r="F1906" s="17">
        <f>IF(B1906="","","outreach_sent")</f>
        <v/>
      </c>
      <c r="G1906" s="17">
        <f>IF(B1906="","","")</f>
        <v/>
      </c>
      <c r="H1906" s="17">
        <f>IF(B1906="","","")</f>
        <v/>
      </c>
      <c r="I1906" s="17">
        <f>IF(B1906="","","")</f>
        <v/>
      </c>
      <c r="J1906" s="17">
        <f>IF(B1906="","","touch_1; "&amp;IFERROR(INDEX(Clay_Offices!$A$2:$FZ$601,255,Sync!$C$10)&amp;"","")&amp;"; "&amp;IFERROR(INDEX(Clay_Offices!$A$2:$FZ$601,255,Sync!$C$9)&amp;"",""))</f>
        <v/>
      </c>
      <c r="K1906" t="inlineStr">
        <is>
          <t>office outreach touch 1</t>
        </is>
      </c>
    </row>
    <row r="1907">
      <c r="A1907" s="17">
        <f>IF(B1907="","",B1907+(12*1000+256)/10000000)</f>
        <v/>
      </c>
      <c r="B1907" s="23">
        <f>IF(AND(IFERROR(N(INDEX(Clay_Offices!$A$2:$FZ$601,256,Sync!$C$11)),0)&gt;0,IFERROR(INDEX(Clay_Offices!$A$2:$FZ$601,256,Sync!$C$5)&amp;"","")&lt;&gt;"",OR(LEFT(IFERROR(INDEX(Clay_Offices!$A$2:$FZ$601,256,Sync!$C$5)&amp;"",""),6)&lt;&gt;"SAMPLE",Config!$B$19="Y")),IFERROR(N(INDEX(Clay_Offices!$A$2:$FZ$601,256,Sync!$C$11)),0),"")</f>
        <v/>
      </c>
      <c r="C1907" s="17">
        <f>IF(B1907="","","office")</f>
        <v/>
      </c>
      <c r="D1907" s="17">
        <f>IF(B1907="","",IFERROR(INDEX(Clay_Offices!$A$2:$FZ$601,256,Sync!$C$5)&amp;"",""))</f>
        <v/>
      </c>
      <c r="E1907" s="17">
        <f>IF(B1907="","",IFERROR(INDEX(Clay_Offices!$A$2:$FZ$601,256,Sync!$C$6)&amp;"",""))</f>
        <v/>
      </c>
      <c r="F1907" s="17">
        <f>IF(B1907="","","outreach_sent")</f>
        <v/>
      </c>
      <c r="G1907" s="17">
        <f>IF(B1907="","","")</f>
        <v/>
      </c>
      <c r="H1907" s="17">
        <f>IF(B1907="","","")</f>
        <v/>
      </c>
      <c r="I1907" s="17">
        <f>IF(B1907="","","")</f>
        <v/>
      </c>
      <c r="J1907" s="17">
        <f>IF(B1907="","","touch_1; "&amp;IFERROR(INDEX(Clay_Offices!$A$2:$FZ$601,256,Sync!$C$10)&amp;"","")&amp;"; "&amp;IFERROR(INDEX(Clay_Offices!$A$2:$FZ$601,256,Sync!$C$9)&amp;"",""))</f>
        <v/>
      </c>
      <c r="K1907" t="inlineStr">
        <is>
          <t>office outreach touch 1</t>
        </is>
      </c>
    </row>
    <row r="1908">
      <c r="A1908" s="17">
        <f>IF(B1908="","",B1908+(12*1000+257)/10000000)</f>
        <v/>
      </c>
      <c r="B1908" s="23">
        <f>IF(AND(IFERROR(N(INDEX(Clay_Offices!$A$2:$FZ$601,257,Sync!$C$11)),0)&gt;0,IFERROR(INDEX(Clay_Offices!$A$2:$FZ$601,257,Sync!$C$5)&amp;"","")&lt;&gt;"",OR(LEFT(IFERROR(INDEX(Clay_Offices!$A$2:$FZ$601,257,Sync!$C$5)&amp;"",""),6)&lt;&gt;"SAMPLE",Config!$B$19="Y")),IFERROR(N(INDEX(Clay_Offices!$A$2:$FZ$601,257,Sync!$C$11)),0),"")</f>
        <v/>
      </c>
      <c r="C1908" s="17">
        <f>IF(B1908="","","office")</f>
        <v/>
      </c>
      <c r="D1908" s="17">
        <f>IF(B1908="","",IFERROR(INDEX(Clay_Offices!$A$2:$FZ$601,257,Sync!$C$5)&amp;"",""))</f>
        <v/>
      </c>
      <c r="E1908" s="17">
        <f>IF(B1908="","",IFERROR(INDEX(Clay_Offices!$A$2:$FZ$601,257,Sync!$C$6)&amp;"",""))</f>
        <v/>
      </c>
      <c r="F1908" s="17">
        <f>IF(B1908="","","outreach_sent")</f>
        <v/>
      </c>
      <c r="G1908" s="17">
        <f>IF(B1908="","","")</f>
        <v/>
      </c>
      <c r="H1908" s="17">
        <f>IF(B1908="","","")</f>
        <v/>
      </c>
      <c r="I1908" s="17">
        <f>IF(B1908="","","")</f>
        <v/>
      </c>
      <c r="J1908" s="17">
        <f>IF(B1908="","","touch_1; "&amp;IFERROR(INDEX(Clay_Offices!$A$2:$FZ$601,257,Sync!$C$10)&amp;"","")&amp;"; "&amp;IFERROR(INDEX(Clay_Offices!$A$2:$FZ$601,257,Sync!$C$9)&amp;"",""))</f>
        <v/>
      </c>
      <c r="K1908" t="inlineStr">
        <is>
          <t>office outreach touch 1</t>
        </is>
      </c>
    </row>
    <row r="1909">
      <c r="A1909" s="17">
        <f>IF(B1909="","",B1909+(12*1000+258)/10000000)</f>
        <v/>
      </c>
      <c r="B1909" s="23">
        <f>IF(AND(IFERROR(N(INDEX(Clay_Offices!$A$2:$FZ$601,258,Sync!$C$11)),0)&gt;0,IFERROR(INDEX(Clay_Offices!$A$2:$FZ$601,258,Sync!$C$5)&amp;"","")&lt;&gt;"",OR(LEFT(IFERROR(INDEX(Clay_Offices!$A$2:$FZ$601,258,Sync!$C$5)&amp;"",""),6)&lt;&gt;"SAMPLE",Config!$B$19="Y")),IFERROR(N(INDEX(Clay_Offices!$A$2:$FZ$601,258,Sync!$C$11)),0),"")</f>
        <v/>
      </c>
      <c r="C1909" s="17">
        <f>IF(B1909="","","office")</f>
        <v/>
      </c>
      <c r="D1909" s="17">
        <f>IF(B1909="","",IFERROR(INDEX(Clay_Offices!$A$2:$FZ$601,258,Sync!$C$5)&amp;"",""))</f>
        <v/>
      </c>
      <c r="E1909" s="17">
        <f>IF(B1909="","",IFERROR(INDEX(Clay_Offices!$A$2:$FZ$601,258,Sync!$C$6)&amp;"",""))</f>
        <v/>
      </c>
      <c r="F1909" s="17">
        <f>IF(B1909="","","outreach_sent")</f>
        <v/>
      </c>
      <c r="G1909" s="17">
        <f>IF(B1909="","","")</f>
        <v/>
      </c>
      <c r="H1909" s="17">
        <f>IF(B1909="","","")</f>
        <v/>
      </c>
      <c r="I1909" s="17">
        <f>IF(B1909="","","")</f>
        <v/>
      </c>
      <c r="J1909" s="17">
        <f>IF(B1909="","","touch_1; "&amp;IFERROR(INDEX(Clay_Offices!$A$2:$FZ$601,258,Sync!$C$10)&amp;"","")&amp;"; "&amp;IFERROR(INDEX(Clay_Offices!$A$2:$FZ$601,258,Sync!$C$9)&amp;"",""))</f>
        <v/>
      </c>
      <c r="K1909" t="inlineStr">
        <is>
          <t>office outreach touch 1</t>
        </is>
      </c>
    </row>
    <row r="1910">
      <c r="A1910" s="17">
        <f>IF(B1910="","",B1910+(12*1000+259)/10000000)</f>
        <v/>
      </c>
      <c r="B1910" s="23">
        <f>IF(AND(IFERROR(N(INDEX(Clay_Offices!$A$2:$FZ$601,259,Sync!$C$11)),0)&gt;0,IFERROR(INDEX(Clay_Offices!$A$2:$FZ$601,259,Sync!$C$5)&amp;"","")&lt;&gt;"",OR(LEFT(IFERROR(INDEX(Clay_Offices!$A$2:$FZ$601,259,Sync!$C$5)&amp;"",""),6)&lt;&gt;"SAMPLE",Config!$B$19="Y")),IFERROR(N(INDEX(Clay_Offices!$A$2:$FZ$601,259,Sync!$C$11)),0),"")</f>
        <v/>
      </c>
      <c r="C1910" s="17">
        <f>IF(B1910="","","office")</f>
        <v/>
      </c>
      <c r="D1910" s="17">
        <f>IF(B1910="","",IFERROR(INDEX(Clay_Offices!$A$2:$FZ$601,259,Sync!$C$5)&amp;"",""))</f>
        <v/>
      </c>
      <c r="E1910" s="17">
        <f>IF(B1910="","",IFERROR(INDEX(Clay_Offices!$A$2:$FZ$601,259,Sync!$C$6)&amp;"",""))</f>
        <v/>
      </c>
      <c r="F1910" s="17">
        <f>IF(B1910="","","outreach_sent")</f>
        <v/>
      </c>
      <c r="G1910" s="17">
        <f>IF(B1910="","","")</f>
        <v/>
      </c>
      <c r="H1910" s="17">
        <f>IF(B1910="","","")</f>
        <v/>
      </c>
      <c r="I1910" s="17">
        <f>IF(B1910="","","")</f>
        <v/>
      </c>
      <c r="J1910" s="17">
        <f>IF(B1910="","","touch_1; "&amp;IFERROR(INDEX(Clay_Offices!$A$2:$FZ$601,259,Sync!$C$10)&amp;"","")&amp;"; "&amp;IFERROR(INDEX(Clay_Offices!$A$2:$FZ$601,259,Sync!$C$9)&amp;"",""))</f>
        <v/>
      </c>
      <c r="K1910" t="inlineStr">
        <is>
          <t>office outreach touch 1</t>
        </is>
      </c>
    </row>
    <row r="1911">
      <c r="A1911" s="17">
        <f>IF(B1911="","",B1911+(12*1000+260)/10000000)</f>
        <v/>
      </c>
      <c r="B1911" s="23">
        <f>IF(AND(IFERROR(N(INDEX(Clay_Offices!$A$2:$FZ$601,260,Sync!$C$11)),0)&gt;0,IFERROR(INDEX(Clay_Offices!$A$2:$FZ$601,260,Sync!$C$5)&amp;"","")&lt;&gt;"",OR(LEFT(IFERROR(INDEX(Clay_Offices!$A$2:$FZ$601,260,Sync!$C$5)&amp;"",""),6)&lt;&gt;"SAMPLE",Config!$B$19="Y")),IFERROR(N(INDEX(Clay_Offices!$A$2:$FZ$601,260,Sync!$C$11)),0),"")</f>
        <v/>
      </c>
      <c r="C1911" s="17">
        <f>IF(B1911="","","office")</f>
        <v/>
      </c>
      <c r="D1911" s="17">
        <f>IF(B1911="","",IFERROR(INDEX(Clay_Offices!$A$2:$FZ$601,260,Sync!$C$5)&amp;"",""))</f>
        <v/>
      </c>
      <c r="E1911" s="17">
        <f>IF(B1911="","",IFERROR(INDEX(Clay_Offices!$A$2:$FZ$601,260,Sync!$C$6)&amp;"",""))</f>
        <v/>
      </c>
      <c r="F1911" s="17">
        <f>IF(B1911="","","outreach_sent")</f>
        <v/>
      </c>
      <c r="G1911" s="17">
        <f>IF(B1911="","","")</f>
        <v/>
      </c>
      <c r="H1911" s="17">
        <f>IF(B1911="","","")</f>
        <v/>
      </c>
      <c r="I1911" s="17">
        <f>IF(B1911="","","")</f>
        <v/>
      </c>
      <c r="J1911" s="17">
        <f>IF(B1911="","","touch_1; "&amp;IFERROR(INDEX(Clay_Offices!$A$2:$FZ$601,260,Sync!$C$10)&amp;"","")&amp;"; "&amp;IFERROR(INDEX(Clay_Offices!$A$2:$FZ$601,260,Sync!$C$9)&amp;"",""))</f>
        <v/>
      </c>
      <c r="K1911" t="inlineStr">
        <is>
          <t>office outreach touch 1</t>
        </is>
      </c>
    </row>
    <row r="1912">
      <c r="A1912" s="17">
        <f>IF(B1912="","",B1912+(12*1000+261)/10000000)</f>
        <v/>
      </c>
      <c r="B1912" s="23">
        <f>IF(AND(IFERROR(N(INDEX(Clay_Offices!$A$2:$FZ$601,261,Sync!$C$11)),0)&gt;0,IFERROR(INDEX(Clay_Offices!$A$2:$FZ$601,261,Sync!$C$5)&amp;"","")&lt;&gt;"",OR(LEFT(IFERROR(INDEX(Clay_Offices!$A$2:$FZ$601,261,Sync!$C$5)&amp;"",""),6)&lt;&gt;"SAMPLE",Config!$B$19="Y")),IFERROR(N(INDEX(Clay_Offices!$A$2:$FZ$601,261,Sync!$C$11)),0),"")</f>
        <v/>
      </c>
      <c r="C1912" s="17">
        <f>IF(B1912="","","office")</f>
        <v/>
      </c>
      <c r="D1912" s="17">
        <f>IF(B1912="","",IFERROR(INDEX(Clay_Offices!$A$2:$FZ$601,261,Sync!$C$5)&amp;"",""))</f>
        <v/>
      </c>
      <c r="E1912" s="17">
        <f>IF(B1912="","",IFERROR(INDEX(Clay_Offices!$A$2:$FZ$601,261,Sync!$C$6)&amp;"",""))</f>
        <v/>
      </c>
      <c r="F1912" s="17">
        <f>IF(B1912="","","outreach_sent")</f>
        <v/>
      </c>
      <c r="G1912" s="17">
        <f>IF(B1912="","","")</f>
        <v/>
      </c>
      <c r="H1912" s="17">
        <f>IF(B1912="","","")</f>
        <v/>
      </c>
      <c r="I1912" s="17">
        <f>IF(B1912="","","")</f>
        <v/>
      </c>
      <c r="J1912" s="17">
        <f>IF(B1912="","","touch_1; "&amp;IFERROR(INDEX(Clay_Offices!$A$2:$FZ$601,261,Sync!$C$10)&amp;"","")&amp;"; "&amp;IFERROR(INDEX(Clay_Offices!$A$2:$FZ$601,261,Sync!$C$9)&amp;"",""))</f>
        <v/>
      </c>
      <c r="K1912" t="inlineStr">
        <is>
          <t>office outreach touch 1</t>
        </is>
      </c>
    </row>
    <row r="1913">
      <c r="A1913" s="17">
        <f>IF(B1913="","",B1913+(12*1000+262)/10000000)</f>
        <v/>
      </c>
      <c r="B1913" s="23">
        <f>IF(AND(IFERROR(N(INDEX(Clay_Offices!$A$2:$FZ$601,262,Sync!$C$11)),0)&gt;0,IFERROR(INDEX(Clay_Offices!$A$2:$FZ$601,262,Sync!$C$5)&amp;"","")&lt;&gt;"",OR(LEFT(IFERROR(INDEX(Clay_Offices!$A$2:$FZ$601,262,Sync!$C$5)&amp;"",""),6)&lt;&gt;"SAMPLE",Config!$B$19="Y")),IFERROR(N(INDEX(Clay_Offices!$A$2:$FZ$601,262,Sync!$C$11)),0),"")</f>
        <v/>
      </c>
      <c r="C1913" s="17">
        <f>IF(B1913="","","office")</f>
        <v/>
      </c>
      <c r="D1913" s="17">
        <f>IF(B1913="","",IFERROR(INDEX(Clay_Offices!$A$2:$FZ$601,262,Sync!$C$5)&amp;"",""))</f>
        <v/>
      </c>
      <c r="E1913" s="17">
        <f>IF(B1913="","",IFERROR(INDEX(Clay_Offices!$A$2:$FZ$601,262,Sync!$C$6)&amp;"",""))</f>
        <v/>
      </c>
      <c r="F1913" s="17">
        <f>IF(B1913="","","outreach_sent")</f>
        <v/>
      </c>
      <c r="G1913" s="17">
        <f>IF(B1913="","","")</f>
        <v/>
      </c>
      <c r="H1913" s="17">
        <f>IF(B1913="","","")</f>
        <v/>
      </c>
      <c r="I1913" s="17">
        <f>IF(B1913="","","")</f>
        <v/>
      </c>
      <c r="J1913" s="17">
        <f>IF(B1913="","","touch_1; "&amp;IFERROR(INDEX(Clay_Offices!$A$2:$FZ$601,262,Sync!$C$10)&amp;"","")&amp;"; "&amp;IFERROR(INDEX(Clay_Offices!$A$2:$FZ$601,262,Sync!$C$9)&amp;"",""))</f>
        <v/>
      </c>
      <c r="K1913" t="inlineStr">
        <is>
          <t>office outreach touch 1</t>
        </is>
      </c>
    </row>
    <row r="1914">
      <c r="A1914" s="17">
        <f>IF(B1914="","",B1914+(12*1000+263)/10000000)</f>
        <v/>
      </c>
      <c r="B1914" s="23">
        <f>IF(AND(IFERROR(N(INDEX(Clay_Offices!$A$2:$FZ$601,263,Sync!$C$11)),0)&gt;0,IFERROR(INDEX(Clay_Offices!$A$2:$FZ$601,263,Sync!$C$5)&amp;"","")&lt;&gt;"",OR(LEFT(IFERROR(INDEX(Clay_Offices!$A$2:$FZ$601,263,Sync!$C$5)&amp;"",""),6)&lt;&gt;"SAMPLE",Config!$B$19="Y")),IFERROR(N(INDEX(Clay_Offices!$A$2:$FZ$601,263,Sync!$C$11)),0),"")</f>
        <v/>
      </c>
      <c r="C1914" s="17">
        <f>IF(B1914="","","office")</f>
        <v/>
      </c>
      <c r="D1914" s="17">
        <f>IF(B1914="","",IFERROR(INDEX(Clay_Offices!$A$2:$FZ$601,263,Sync!$C$5)&amp;"",""))</f>
        <v/>
      </c>
      <c r="E1914" s="17">
        <f>IF(B1914="","",IFERROR(INDEX(Clay_Offices!$A$2:$FZ$601,263,Sync!$C$6)&amp;"",""))</f>
        <v/>
      </c>
      <c r="F1914" s="17">
        <f>IF(B1914="","","outreach_sent")</f>
        <v/>
      </c>
      <c r="G1914" s="17">
        <f>IF(B1914="","","")</f>
        <v/>
      </c>
      <c r="H1914" s="17">
        <f>IF(B1914="","","")</f>
        <v/>
      </c>
      <c r="I1914" s="17">
        <f>IF(B1914="","","")</f>
        <v/>
      </c>
      <c r="J1914" s="17">
        <f>IF(B1914="","","touch_1; "&amp;IFERROR(INDEX(Clay_Offices!$A$2:$FZ$601,263,Sync!$C$10)&amp;"","")&amp;"; "&amp;IFERROR(INDEX(Clay_Offices!$A$2:$FZ$601,263,Sync!$C$9)&amp;"",""))</f>
        <v/>
      </c>
      <c r="K1914" t="inlineStr">
        <is>
          <t>office outreach touch 1</t>
        </is>
      </c>
    </row>
    <row r="1915">
      <c r="A1915" s="17">
        <f>IF(B1915="","",B1915+(12*1000+264)/10000000)</f>
        <v/>
      </c>
      <c r="B1915" s="23">
        <f>IF(AND(IFERROR(N(INDEX(Clay_Offices!$A$2:$FZ$601,264,Sync!$C$11)),0)&gt;0,IFERROR(INDEX(Clay_Offices!$A$2:$FZ$601,264,Sync!$C$5)&amp;"","")&lt;&gt;"",OR(LEFT(IFERROR(INDEX(Clay_Offices!$A$2:$FZ$601,264,Sync!$C$5)&amp;"",""),6)&lt;&gt;"SAMPLE",Config!$B$19="Y")),IFERROR(N(INDEX(Clay_Offices!$A$2:$FZ$601,264,Sync!$C$11)),0),"")</f>
        <v/>
      </c>
      <c r="C1915" s="17">
        <f>IF(B1915="","","office")</f>
        <v/>
      </c>
      <c r="D1915" s="17">
        <f>IF(B1915="","",IFERROR(INDEX(Clay_Offices!$A$2:$FZ$601,264,Sync!$C$5)&amp;"",""))</f>
        <v/>
      </c>
      <c r="E1915" s="17">
        <f>IF(B1915="","",IFERROR(INDEX(Clay_Offices!$A$2:$FZ$601,264,Sync!$C$6)&amp;"",""))</f>
        <v/>
      </c>
      <c r="F1915" s="17">
        <f>IF(B1915="","","outreach_sent")</f>
        <v/>
      </c>
      <c r="G1915" s="17">
        <f>IF(B1915="","","")</f>
        <v/>
      </c>
      <c r="H1915" s="17">
        <f>IF(B1915="","","")</f>
        <v/>
      </c>
      <c r="I1915" s="17">
        <f>IF(B1915="","","")</f>
        <v/>
      </c>
      <c r="J1915" s="17">
        <f>IF(B1915="","","touch_1; "&amp;IFERROR(INDEX(Clay_Offices!$A$2:$FZ$601,264,Sync!$C$10)&amp;"","")&amp;"; "&amp;IFERROR(INDEX(Clay_Offices!$A$2:$FZ$601,264,Sync!$C$9)&amp;"",""))</f>
        <v/>
      </c>
      <c r="K1915" t="inlineStr">
        <is>
          <t>office outreach touch 1</t>
        </is>
      </c>
    </row>
    <row r="1916">
      <c r="A1916" s="17">
        <f>IF(B1916="","",B1916+(12*1000+265)/10000000)</f>
        <v/>
      </c>
      <c r="B1916" s="23">
        <f>IF(AND(IFERROR(N(INDEX(Clay_Offices!$A$2:$FZ$601,265,Sync!$C$11)),0)&gt;0,IFERROR(INDEX(Clay_Offices!$A$2:$FZ$601,265,Sync!$C$5)&amp;"","")&lt;&gt;"",OR(LEFT(IFERROR(INDEX(Clay_Offices!$A$2:$FZ$601,265,Sync!$C$5)&amp;"",""),6)&lt;&gt;"SAMPLE",Config!$B$19="Y")),IFERROR(N(INDEX(Clay_Offices!$A$2:$FZ$601,265,Sync!$C$11)),0),"")</f>
        <v/>
      </c>
      <c r="C1916" s="17">
        <f>IF(B1916="","","office")</f>
        <v/>
      </c>
      <c r="D1916" s="17">
        <f>IF(B1916="","",IFERROR(INDEX(Clay_Offices!$A$2:$FZ$601,265,Sync!$C$5)&amp;"",""))</f>
        <v/>
      </c>
      <c r="E1916" s="17">
        <f>IF(B1916="","",IFERROR(INDEX(Clay_Offices!$A$2:$FZ$601,265,Sync!$C$6)&amp;"",""))</f>
        <v/>
      </c>
      <c r="F1916" s="17">
        <f>IF(B1916="","","outreach_sent")</f>
        <v/>
      </c>
      <c r="G1916" s="17">
        <f>IF(B1916="","","")</f>
        <v/>
      </c>
      <c r="H1916" s="17">
        <f>IF(B1916="","","")</f>
        <v/>
      </c>
      <c r="I1916" s="17">
        <f>IF(B1916="","","")</f>
        <v/>
      </c>
      <c r="J1916" s="17">
        <f>IF(B1916="","","touch_1; "&amp;IFERROR(INDEX(Clay_Offices!$A$2:$FZ$601,265,Sync!$C$10)&amp;"","")&amp;"; "&amp;IFERROR(INDEX(Clay_Offices!$A$2:$FZ$601,265,Sync!$C$9)&amp;"",""))</f>
        <v/>
      </c>
      <c r="K1916" t="inlineStr">
        <is>
          <t>office outreach touch 1</t>
        </is>
      </c>
    </row>
    <row r="1917">
      <c r="A1917" s="17">
        <f>IF(B1917="","",B1917+(12*1000+266)/10000000)</f>
        <v/>
      </c>
      <c r="B1917" s="23">
        <f>IF(AND(IFERROR(N(INDEX(Clay_Offices!$A$2:$FZ$601,266,Sync!$C$11)),0)&gt;0,IFERROR(INDEX(Clay_Offices!$A$2:$FZ$601,266,Sync!$C$5)&amp;"","")&lt;&gt;"",OR(LEFT(IFERROR(INDEX(Clay_Offices!$A$2:$FZ$601,266,Sync!$C$5)&amp;"",""),6)&lt;&gt;"SAMPLE",Config!$B$19="Y")),IFERROR(N(INDEX(Clay_Offices!$A$2:$FZ$601,266,Sync!$C$11)),0),"")</f>
        <v/>
      </c>
      <c r="C1917" s="17">
        <f>IF(B1917="","","office")</f>
        <v/>
      </c>
      <c r="D1917" s="17">
        <f>IF(B1917="","",IFERROR(INDEX(Clay_Offices!$A$2:$FZ$601,266,Sync!$C$5)&amp;"",""))</f>
        <v/>
      </c>
      <c r="E1917" s="17">
        <f>IF(B1917="","",IFERROR(INDEX(Clay_Offices!$A$2:$FZ$601,266,Sync!$C$6)&amp;"",""))</f>
        <v/>
      </c>
      <c r="F1917" s="17">
        <f>IF(B1917="","","outreach_sent")</f>
        <v/>
      </c>
      <c r="G1917" s="17">
        <f>IF(B1917="","","")</f>
        <v/>
      </c>
      <c r="H1917" s="17">
        <f>IF(B1917="","","")</f>
        <v/>
      </c>
      <c r="I1917" s="17">
        <f>IF(B1917="","","")</f>
        <v/>
      </c>
      <c r="J1917" s="17">
        <f>IF(B1917="","","touch_1; "&amp;IFERROR(INDEX(Clay_Offices!$A$2:$FZ$601,266,Sync!$C$10)&amp;"","")&amp;"; "&amp;IFERROR(INDEX(Clay_Offices!$A$2:$FZ$601,266,Sync!$C$9)&amp;"",""))</f>
        <v/>
      </c>
      <c r="K1917" t="inlineStr">
        <is>
          <t>office outreach touch 1</t>
        </is>
      </c>
    </row>
    <row r="1918">
      <c r="A1918" s="17">
        <f>IF(B1918="","",B1918+(12*1000+267)/10000000)</f>
        <v/>
      </c>
      <c r="B1918" s="23">
        <f>IF(AND(IFERROR(N(INDEX(Clay_Offices!$A$2:$FZ$601,267,Sync!$C$11)),0)&gt;0,IFERROR(INDEX(Clay_Offices!$A$2:$FZ$601,267,Sync!$C$5)&amp;"","")&lt;&gt;"",OR(LEFT(IFERROR(INDEX(Clay_Offices!$A$2:$FZ$601,267,Sync!$C$5)&amp;"",""),6)&lt;&gt;"SAMPLE",Config!$B$19="Y")),IFERROR(N(INDEX(Clay_Offices!$A$2:$FZ$601,267,Sync!$C$11)),0),"")</f>
        <v/>
      </c>
      <c r="C1918" s="17">
        <f>IF(B1918="","","office")</f>
        <v/>
      </c>
      <c r="D1918" s="17">
        <f>IF(B1918="","",IFERROR(INDEX(Clay_Offices!$A$2:$FZ$601,267,Sync!$C$5)&amp;"",""))</f>
        <v/>
      </c>
      <c r="E1918" s="17">
        <f>IF(B1918="","",IFERROR(INDEX(Clay_Offices!$A$2:$FZ$601,267,Sync!$C$6)&amp;"",""))</f>
        <v/>
      </c>
      <c r="F1918" s="17">
        <f>IF(B1918="","","outreach_sent")</f>
        <v/>
      </c>
      <c r="G1918" s="17">
        <f>IF(B1918="","","")</f>
        <v/>
      </c>
      <c r="H1918" s="17">
        <f>IF(B1918="","","")</f>
        <v/>
      </c>
      <c r="I1918" s="17">
        <f>IF(B1918="","","")</f>
        <v/>
      </c>
      <c r="J1918" s="17">
        <f>IF(B1918="","","touch_1; "&amp;IFERROR(INDEX(Clay_Offices!$A$2:$FZ$601,267,Sync!$C$10)&amp;"","")&amp;"; "&amp;IFERROR(INDEX(Clay_Offices!$A$2:$FZ$601,267,Sync!$C$9)&amp;"",""))</f>
        <v/>
      </c>
      <c r="K1918" t="inlineStr">
        <is>
          <t>office outreach touch 1</t>
        </is>
      </c>
    </row>
    <row r="1919">
      <c r="A1919" s="17">
        <f>IF(B1919="","",B1919+(12*1000+268)/10000000)</f>
        <v/>
      </c>
      <c r="B1919" s="23">
        <f>IF(AND(IFERROR(N(INDEX(Clay_Offices!$A$2:$FZ$601,268,Sync!$C$11)),0)&gt;0,IFERROR(INDEX(Clay_Offices!$A$2:$FZ$601,268,Sync!$C$5)&amp;"","")&lt;&gt;"",OR(LEFT(IFERROR(INDEX(Clay_Offices!$A$2:$FZ$601,268,Sync!$C$5)&amp;"",""),6)&lt;&gt;"SAMPLE",Config!$B$19="Y")),IFERROR(N(INDEX(Clay_Offices!$A$2:$FZ$601,268,Sync!$C$11)),0),"")</f>
        <v/>
      </c>
      <c r="C1919" s="17">
        <f>IF(B1919="","","office")</f>
        <v/>
      </c>
      <c r="D1919" s="17">
        <f>IF(B1919="","",IFERROR(INDEX(Clay_Offices!$A$2:$FZ$601,268,Sync!$C$5)&amp;"",""))</f>
        <v/>
      </c>
      <c r="E1919" s="17">
        <f>IF(B1919="","",IFERROR(INDEX(Clay_Offices!$A$2:$FZ$601,268,Sync!$C$6)&amp;"",""))</f>
        <v/>
      </c>
      <c r="F1919" s="17">
        <f>IF(B1919="","","outreach_sent")</f>
        <v/>
      </c>
      <c r="G1919" s="17">
        <f>IF(B1919="","","")</f>
        <v/>
      </c>
      <c r="H1919" s="17">
        <f>IF(B1919="","","")</f>
        <v/>
      </c>
      <c r="I1919" s="17">
        <f>IF(B1919="","","")</f>
        <v/>
      </c>
      <c r="J1919" s="17">
        <f>IF(B1919="","","touch_1; "&amp;IFERROR(INDEX(Clay_Offices!$A$2:$FZ$601,268,Sync!$C$10)&amp;"","")&amp;"; "&amp;IFERROR(INDEX(Clay_Offices!$A$2:$FZ$601,268,Sync!$C$9)&amp;"",""))</f>
        <v/>
      </c>
      <c r="K1919" t="inlineStr">
        <is>
          <t>office outreach touch 1</t>
        </is>
      </c>
    </row>
    <row r="1920">
      <c r="A1920" s="17">
        <f>IF(B1920="","",B1920+(12*1000+269)/10000000)</f>
        <v/>
      </c>
      <c r="B1920" s="23">
        <f>IF(AND(IFERROR(N(INDEX(Clay_Offices!$A$2:$FZ$601,269,Sync!$C$11)),0)&gt;0,IFERROR(INDEX(Clay_Offices!$A$2:$FZ$601,269,Sync!$C$5)&amp;"","")&lt;&gt;"",OR(LEFT(IFERROR(INDEX(Clay_Offices!$A$2:$FZ$601,269,Sync!$C$5)&amp;"",""),6)&lt;&gt;"SAMPLE",Config!$B$19="Y")),IFERROR(N(INDEX(Clay_Offices!$A$2:$FZ$601,269,Sync!$C$11)),0),"")</f>
        <v/>
      </c>
      <c r="C1920" s="17">
        <f>IF(B1920="","","office")</f>
        <v/>
      </c>
      <c r="D1920" s="17">
        <f>IF(B1920="","",IFERROR(INDEX(Clay_Offices!$A$2:$FZ$601,269,Sync!$C$5)&amp;"",""))</f>
        <v/>
      </c>
      <c r="E1920" s="17">
        <f>IF(B1920="","",IFERROR(INDEX(Clay_Offices!$A$2:$FZ$601,269,Sync!$C$6)&amp;"",""))</f>
        <v/>
      </c>
      <c r="F1920" s="17">
        <f>IF(B1920="","","outreach_sent")</f>
        <v/>
      </c>
      <c r="G1920" s="17">
        <f>IF(B1920="","","")</f>
        <v/>
      </c>
      <c r="H1920" s="17">
        <f>IF(B1920="","","")</f>
        <v/>
      </c>
      <c r="I1920" s="17">
        <f>IF(B1920="","","")</f>
        <v/>
      </c>
      <c r="J1920" s="17">
        <f>IF(B1920="","","touch_1; "&amp;IFERROR(INDEX(Clay_Offices!$A$2:$FZ$601,269,Sync!$C$10)&amp;"","")&amp;"; "&amp;IFERROR(INDEX(Clay_Offices!$A$2:$FZ$601,269,Sync!$C$9)&amp;"",""))</f>
        <v/>
      </c>
      <c r="K1920" t="inlineStr">
        <is>
          <t>office outreach touch 1</t>
        </is>
      </c>
    </row>
    <row r="1921">
      <c r="A1921" s="17">
        <f>IF(B1921="","",B1921+(12*1000+270)/10000000)</f>
        <v/>
      </c>
      <c r="B1921" s="23">
        <f>IF(AND(IFERROR(N(INDEX(Clay_Offices!$A$2:$FZ$601,270,Sync!$C$11)),0)&gt;0,IFERROR(INDEX(Clay_Offices!$A$2:$FZ$601,270,Sync!$C$5)&amp;"","")&lt;&gt;"",OR(LEFT(IFERROR(INDEX(Clay_Offices!$A$2:$FZ$601,270,Sync!$C$5)&amp;"",""),6)&lt;&gt;"SAMPLE",Config!$B$19="Y")),IFERROR(N(INDEX(Clay_Offices!$A$2:$FZ$601,270,Sync!$C$11)),0),"")</f>
        <v/>
      </c>
      <c r="C1921" s="17">
        <f>IF(B1921="","","office")</f>
        <v/>
      </c>
      <c r="D1921" s="17">
        <f>IF(B1921="","",IFERROR(INDEX(Clay_Offices!$A$2:$FZ$601,270,Sync!$C$5)&amp;"",""))</f>
        <v/>
      </c>
      <c r="E1921" s="17">
        <f>IF(B1921="","",IFERROR(INDEX(Clay_Offices!$A$2:$FZ$601,270,Sync!$C$6)&amp;"",""))</f>
        <v/>
      </c>
      <c r="F1921" s="17">
        <f>IF(B1921="","","outreach_sent")</f>
        <v/>
      </c>
      <c r="G1921" s="17">
        <f>IF(B1921="","","")</f>
        <v/>
      </c>
      <c r="H1921" s="17">
        <f>IF(B1921="","","")</f>
        <v/>
      </c>
      <c r="I1921" s="17">
        <f>IF(B1921="","","")</f>
        <v/>
      </c>
      <c r="J1921" s="17">
        <f>IF(B1921="","","touch_1; "&amp;IFERROR(INDEX(Clay_Offices!$A$2:$FZ$601,270,Sync!$C$10)&amp;"","")&amp;"; "&amp;IFERROR(INDEX(Clay_Offices!$A$2:$FZ$601,270,Sync!$C$9)&amp;"",""))</f>
        <v/>
      </c>
      <c r="K1921" t="inlineStr">
        <is>
          <t>office outreach touch 1</t>
        </is>
      </c>
    </row>
    <row r="1922">
      <c r="A1922" s="17">
        <f>IF(B1922="","",B1922+(12*1000+271)/10000000)</f>
        <v/>
      </c>
      <c r="B1922" s="23">
        <f>IF(AND(IFERROR(N(INDEX(Clay_Offices!$A$2:$FZ$601,271,Sync!$C$11)),0)&gt;0,IFERROR(INDEX(Clay_Offices!$A$2:$FZ$601,271,Sync!$C$5)&amp;"","")&lt;&gt;"",OR(LEFT(IFERROR(INDEX(Clay_Offices!$A$2:$FZ$601,271,Sync!$C$5)&amp;"",""),6)&lt;&gt;"SAMPLE",Config!$B$19="Y")),IFERROR(N(INDEX(Clay_Offices!$A$2:$FZ$601,271,Sync!$C$11)),0),"")</f>
        <v/>
      </c>
      <c r="C1922" s="17">
        <f>IF(B1922="","","office")</f>
        <v/>
      </c>
      <c r="D1922" s="17">
        <f>IF(B1922="","",IFERROR(INDEX(Clay_Offices!$A$2:$FZ$601,271,Sync!$C$5)&amp;"",""))</f>
        <v/>
      </c>
      <c r="E1922" s="17">
        <f>IF(B1922="","",IFERROR(INDEX(Clay_Offices!$A$2:$FZ$601,271,Sync!$C$6)&amp;"",""))</f>
        <v/>
      </c>
      <c r="F1922" s="17">
        <f>IF(B1922="","","outreach_sent")</f>
        <v/>
      </c>
      <c r="G1922" s="17">
        <f>IF(B1922="","","")</f>
        <v/>
      </c>
      <c r="H1922" s="17">
        <f>IF(B1922="","","")</f>
        <v/>
      </c>
      <c r="I1922" s="17">
        <f>IF(B1922="","","")</f>
        <v/>
      </c>
      <c r="J1922" s="17">
        <f>IF(B1922="","","touch_1; "&amp;IFERROR(INDEX(Clay_Offices!$A$2:$FZ$601,271,Sync!$C$10)&amp;"","")&amp;"; "&amp;IFERROR(INDEX(Clay_Offices!$A$2:$FZ$601,271,Sync!$C$9)&amp;"",""))</f>
        <v/>
      </c>
      <c r="K1922" t="inlineStr">
        <is>
          <t>office outreach touch 1</t>
        </is>
      </c>
    </row>
    <row r="1923">
      <c r="A1923" s="17">
        <f>IF(B1923="","",B1923+(12*1000+272)/10000000)</f>
        <v/>
      </c>
      <c r="B1923" s="23">
        <f>IF(AND(IFERROR(N(INDEX(Clay_Offices!$A$2:$FZ$601,272,Sync!$C$11)),0)&gt;0,IFERROR(INDEX(Clay_Offices!$A$2:$FZ$601,272,Sync!$C$5)&amp;"","")&lt;&gt;"",OR(LEFT(IFERROR(INDEX(Clay_Offices!$A$2:$FZ$601,272,Sync!$C$5)&amp;"",""),6)&lt;&gt;"SAMPLE",Config!$B$19="Y")),IFERROR(N(INDEX(Clay_Offices!$A$2:$FZ$601,272,Sync!$C$11)),0),"")</f>
        <v/>
      </c>
      <c r="C1923" s="17">
        <f>IF(B1923="","","office")</f>
        <v/>
      </c>
      <c r="D1923" s="17">
        <f>IF(B1923="","",IFERROR(INDEX(Clay_Offices!$A$2:$FZ$601,272,Sync!$C$5)&amp;"",""))</f>
        <v/>
      </c>
      <c r="E1923" s="17">
        <f>IF(B1923="","",IFERROR(INDEX(Clay_Offices!$A$2:$FZ$601,272,Sync!$C$6)&amp;"",""))</f>
        <v/>
      </c>
      <c r="F1923" s="17">
        <f>IF(B1923="","","outreach_sent")</f>
        <v/>
      </c>
      <c r="G1923" s="17">
        <f>IF(B1923="","","")</f>
        <v/>
      </c>
      <c r="H1923" s="17">
        <f>IF(B1923="","","")</f>
        <v/>
      </c>
      <c r="I1923" s="17">
        <f>IF(B1923="","","")</f>
        <v/>
      </c>
      <c r="J1923" s="17">
        <f>IF(B1923="","","touch_1; "&amp;IFERROR(INDEX(Clay_Offices!$A$2:$FZ$601,272,Sync!$C$10)&amp;"","")&amp;"; "&amp;IFERROR(INDEX(Clay_Offices!$A$2:$FZ$601,272,Sync!$C$9)&amp;"",""))</f>
        <v/>
      </c>
      <c r="K1923" t="inlineStr">
        <is>
          <t>office outreach touch 1</t>
        </is>
      </c>
    </row>
    <row r="1924">
      <c r="A1924" s="17">
        <f>IF(B1924="","",B1924+(12*1000+273)/10000000)</f>
        <v/>
      </c>
      <c r="B1924" s="23">
        <f>IF(AND(IFERROR(N(INDEX(Clay_Offices!$A$2:$FZ$601,273,Sync!$C$11)),0)&gt;0,IFERROR(INDEX(Clay_Offices!$A$2:$FZ$601,273,Sync!$C$5)&amp;"","")&lt;&gt;"",OR(LEFT(IFERROR(INDEX(Clay_Offices!$A$2:$FZ$601,273,Sync!$C$5)&amp;"",""),6)&lt;&gt;"SAMPLE",Config!$B$19="Y")),IFERROR(N(INDEX(Clay_Offices!$A$2:$FZ$601,273,Sync!$C$11)),0),"")</f>
        <v/>
      </c>
      <c r="C1924" s="17">
        <f>IF(B1924="","","office")</f>
        <v/>
      </c>
      <c r="D1924" s="17">
        <f>IF(B1924="","",IFERROR(INDEX(Clay_Offices!$A$2:$FZ$601,273,Sync!$C$5)&amp;"",""))</f>
        <v/>
      </c>
      <c r="E1924" s="17">
        <f>IF(B1924="","",IFERROR(INDEX(Clay_Offices!$A$2:$FZ$601,273,Sync!$C$6)&amp;"",""))</f>
        <v/>
      </c>
      <c r="F1924" s="17">
        <f>IF(B1924="","","outreach_sent")</f>
        <v/>
      </c>
      <c r="G1924" s="17">
        <f>IF(B1924="","","")</f>
        <v/>
      </c>
      <c r="H1924" s="17">
        <f>IF(B1924="","","")</f>
        <v/>
      </c>
      <c r="I1924" s="17">
        <f>IF(B1924="","","")</f>
        <v/>
      </c>
      <c r="J1924" s="17">
        <f>IF(B1924="","","touch_1; "&amp;IFERROR(INDEX(Clay_Offices!$A$2:$FZ$601,273,Sync!$C$10)&amp;"","")&amp;"; "&amp;IFERROR(INDEX(Clay_Offices!$A$2:$FZ$601,273,Sync!$C$9)&amp;"",""))</f>
        <v/>
      </c>
      <c r="K1924" t="inlineStr">
        <is>
          <t>office outreach touch 1</t>
        </is>
      </c>
    </row>
    <row r="1925">
      <c r="A1925" s="17">
        <f>IF(B1925="","",B1925+(12*1000+274)/10000000)</f>
        <v/>
      </c>
      <c r="B1925" s="23">
        <f>IF(AND(IFERROR(N(INDEX(Clay_Offices!$A$2:$FZ$601,274,Sync!$C$11)),0)&gt;0,IFERROR(INDEX(Clay_Offices!$A$2:$FZ$601,274,Sync!$C$5)&amp;"","")&lt;&gt;"",OR(LEFT(IFERROR(INDEX(Clay_Offices!$A$2:$FZ$601,274,Sync!$C$5)&amp;"",""),6)&lt;&gt;"SAMPLE",Config!$B$19="Y")),IFERROR(N(INDEX(Clay_Offices!$A$2:$FZ$601,274,Sync!$C$11)),0),"")</f>
        <v/>
      </c>
      <c r="C1925" s="17">
        <f>IF(B1925="","","office")</f>
        <v/>
      </c>
      <c r="D1925" s="17">
        <f>IF(B1925="","",IFERROR(INDEX(Clay_Offices!$A$2:$FZ$601,274,Sync!$C$5)&amp;"",""))</f>
        <v/>
      </c>
      <c r="E1925" s="17">
        <f>IF(B1925="","",IFERROR(INDEX(Clay_Offices!$A$2:$FZ$601,274,Sync!$C$6)&amp;"",""))</f>
        <v/>
      </c>
      <c r="F1925" s="17">
        <f>IF(B1925="","","outreach_sent")</f>
        <v/>
      </c>
      <c r="G1925" s="17">
        <f>IF(B1925="","","")</f>
        <v/>
      </c>
      <c r="H1925" s="17">
        <f>IF(B1925="","","")</f>
        <v/>
      </c>
      <c r="I1925" s="17">
        <f>IF(B1925="","","")</f>
        <v/>
      </c>
      <c r="J1925" s="17">
        <f>IF(B1925="","","touch_1; "&amp;IFERROR(INDEX(Clay_Offices!$A$2:$FZ$601,274,Sync!$C$10)&amp;"","")&amp;"; "&amp;IFERROR(INDEX(Clay_Offices!$A$2:$FZ$601,274,Sync!$C$9)&amp;"",""))</f>
        <v/>
      </c>
      <c r="K1925" t="inlineStr">
        <is>
          <t>office outreach touch 1</t>
        </is>
      </c>
    </row>
    <row r="1926">
      <c r="A1926" s="17">
        <f>IF(B1926="","",B1926+(12*1000+275)/10000000)</f>
        <v/>
      </c>
      <c r="B1926" s="23">
        <f>IF(AND(IFERROR(N(INDEX(Clay_Offices!$A$2:$FZ$601,275,Sync!$C$11)),0)&gt;0,IFERROR(INDEX(Clay_Offices!$A$2:$FZ$601,275,Sync!$C$5)&amp;"","")&lt;&gt;"",OR(LEFT(IFERROR(INDEX(Clay_Offices!$A$2:$FZ$601,275,Sync!$C$5)&amp;"",""),6)&lt;&gt;"SAMPLE",Config!$B$19="Y")),IFERROR(N(INDEX(Clay_Offices!$A$2:$FZ$601,275,Sync!$C$11)),0),"")</f>
        <v/>
      </c>
      <c r="C1926" s="17">
        <f>IF(B1926="","","office")</f>
        <v/>
      </c>
      <c r="D1926" s="17">
        <f>IF(B1926="","",IFERROR(INDEX(Clay_Offices!$A$2:$FZ$601,275,Sync!$C$5)&amp;"",""))</f>
        <v/>
      </c>
      <c r="E1926" s="17">
        <f>IF(B1926="","",IFERROR(INDEX(Clay_Offices!$A$2:$FZ$601,275,Sync!$C$6)&amp;"",""))</f>
        <v/>
      </c>
      <c r="F1926" s="17">
        <f>IF(B1926="","","outreach_sent")</f>
        <v/>
      </c>
      <c r="G1926" s="17">
        <f>IF(B1926="","","")</f>
        <v/>
      </c>
      <c r="H1926" s="17">
        <f>IF(B1926="","","")</f>
        <v/>
      </c>
      <c r="I1926" s="17">
        <f>IF(B1926="","","")</f>
        <v/>
      </c>
      <c r="J1926" s="17">
        <f>IF(B1926="","","touch_1; "&amp;IFERROR(INDEX(Clay_Offices!$A$2:$FZ$601,275,Sync!$C$10)&amp;"","")&amp;"; "&amp;IFERROR(INDEX(Clay_Offices!$A$2:$FZ$601,275,Sync!$C$9)&amp;"",""))</f>
        <v/>
      </c>
      <c r="K1926" t="inlineStr">
        <is>
          <t>office outreach touch 1</t>
        </is>
      </c>
    </row>
    <row r="1927">
      <c r="A1927" s="17">
        <f>IF(B1927="","",B1927+(12*1000+276)/10000000)</f>
        <v/>
      </c>
      <c r="B1927" s="23">
        <f>IF(AND(IFERROR(N(INDEX(Clay_Offices!$A$2:$FZ$601,276,Sync!$C$11)),0)&gt;0,IFERROR(INDEX(Clay_Offices!$A$2:$FZ$601,276,Sync!$C$5)&amp;"","")&lt;&gt;"",OR(LEFT(IFERROR(INDEX(Clay_Offices!$A$2:$FZ$601,276,Sync!$C$5)&amp;"",""),6)&lt;&gt;"SAMPLE",Config!$B$19="Y")),IFERROR(N(INDEX(Clay_Offices!$A$2:$FZ$601,276,Sync!$C$11)),0),"")</f>
        <v/>
      </c>
      <c r="C1927" s="17">
        <f>IF(B1927="","","office")</f>
        <v/>
      </c>
      <c r="D1927" s="17">
        <f>IF(B1927="","",IFERROR(INDEX(Clay_Offices!$A$2:$FZ$601,276,Sync!$C$5)&amp;"",""))</f>
        <v/>
      </c>
      <c r="E1927" s="17">
        <f>IF(B1927="","",IFERROR(INDEX(Clay_Offices!$A$2:$FZ$601,276,Sync!$C$6)&amp;"",""))</f>
        <v/>
      </c>
      <c r="F1927" s="17">
        <f>IF(B1927="","","outreach_sent")</f>
        <v/>
      </c>
      <c r="G1927" s="17">
        <f>IF(B1927="","","")</f>
        <v/>
      </c>
      <c r="H1927" s="17">
        <f>IF(B1927="","","")</f>
        <v/>
      </c>
      <c r="I1927" s="17">
        <f>IF(B1927="","","")</f>
        <v/>
      </c>
      <c r="J1927" s="17">
        <f>IF(B1927="","","touch_1; "&amp;IFERROR(INDEX(Clay_Offices!$A$2:$FZ$601,276,Sync!$C$10)&amp;"","")&amp;"; "&amp;IFERROR(INDEX(Clay_Offices!$A$2:$FZ$601,276,Sync!$C$9)&amp;"",""))</f>
        <v/>
      </c>
      <c r="K1927" t="inlineStr">
        <is>
          <t>office outreach touch 1</t>
        </is>
      </c>
    </row>
    <row r="1928">
      <c r="A1928" s="17">
        <f>IF(B1928="","",B1928+(12*1000+277)/10000000)</f>
        <v/>
      </c>
      <c r="B1928" s="23">
        <f>IF(AND(IFERROR(N(INDEX(Clay_Offices!$A$2:$FZ$601,277,Sync!$C$11)),0)&gt;0,IFERROR(INDEX(Clay_Offices!$A$2:$FZ$601,277,Sync!$C$5)&amp;"","")&lt;&gt;"",OR(LEFT(IFERROR(INDEX(Clay_Offices!$A$2:$FZ$601,277,Sync!$C$5)&amp;"",""),6)&lt;&gt;"SAMPLE",Config!$B$19="Y")),IFERROR(N(INDEX(Clay_Offices!$A$2:$FZ$601,277,Sync!$C$11)),0),"")</f>
        <v/>
      </c>
      <c r="C1928" s="17">
        <f>IF(B1928="","","office")</f>
        <v/>
      </c>
      <c r="D1928" s="17">
        <f>IF(B1928="","",IFERROR(INDEX(Clay_Offices!$A$2:$FZ$601,277,Sync!$C$5)&amp;"",""))</f>
        <v/>
      </c>
      <c r="E1928" s="17">
        <f>IF(B1928="","",IFERROR(INDEX(Clay_Offices!$A$2:$FZ$601,277,Sync!$C$6)&amp;"",""))</f>
        <v/>
      </c>
      <c r="F1928" s="17">
        <f>IF(B1928="","","outreach_sent")</f>
        <v/>
      </c>
      <c r="G1928" s="17">
        <f>IF(B1928="","","")</f>
        <v/>
      </c>
      <c r="H1928" s="17">
        <f>IF(B1928="","","")</f>
        <v/>
      </c>
      <c r="I1928" s="17">
        <f>IF(B1928="","","")</f>
        <v/>
      </c>
      <c r="J1928" s="17">
        <f>IF(B1928="","","touch_1; "&amp;IFERROR(INDEX(Clay_Offices!$A$2:$FZ$601,277,Sync!$C$10)&amp;"","")&amp;"; "&amp;IFERROR(INDEX(Clay_Offices!$A$2:$FZ$601,277,Sync!$C$9)&amp;"",""))</f>
        <v/>
      </c>
      <c r="K1928" t="inlineStr">
        <is>
          <t>office outreach touch 1</t>
        </is>
      </c>
    </row>
    <row r="1929">
      <c r="A1929" s="17">
        <f>IF(B1929="","",B1929+(12*1000+278)/10000000)</f>
        <v/>
      </c>
      <c r="B1929" s="23">
        <f>IF(AND(IFERROR(N(INDEX(Clay_Offices!$A$2:$FZ$601,278,Sync!$C$11)),0)&gt;0,IFERROR(INDEX(Clay_Offices!$A$2:$FZ$601,278,Sync!$C$5)&amp;"","")&lt;&gt;"",OR(LEFT(IFERROR(INDEX(Clay_Offices!$A$2:$FZ$601,278,Sync!$C$5)&amp;"",""),6)&lt;&gt;"SAMPLE",Config!$B$19="Y")),IFERROR(N(INDEX(Clay_Offices!$A$2:$FZ$601,278,Sync!$C$11)),0),"")</f>
        <v/>
      </c>
      <c r="C1929" s="17">
        <f>IF(B1929="","","office")</f>
        <v/>
      </c>
      <c r="D1929" s="17">
        <f>IF(B1929="","",IFERROR(INDEX(Clay_Offices!$A$2:$FZ$601,278,Sync!$C$5)&amp;"",""))</f>
        <v/>
      </c>
      <c r="E1929" s="17">
        <f>IF(B1929="","",IFERROR(INDEX(Clay_Offices!$A$2:$FZ$601,278,Sync!$C$6)&amp;"",""))</f>
        <v/>
      </c>
      <c r="F1929" s="17">
        <f>IF(B1929="","","outreach_sent")</f>
        <v/>
      </c>
      <c r="G1929" s="17">
        <f>IF(B1929="","","")</f>
        <v/>
      </c>
      <c r="H1929" s="17">
        <f>IF(B1929="","","")</f>
        <v/>
      </c>
      <c r="I1929" s="17">
        <f>IF(B1929="","","")</f>
        <v/>
      </c>
      <c r="J1929" s="17">
        <f>IF(B1929="","","touch_1; "&amp;IFERROR(INDEX(Clay_Offices!$A$2:$FZ$601,278,Sync!$C$10)&amp;"","")&amp;"; "&amp;IFERROR(INDEX(Clay_Offices!$A$2:$FZ$601,278,Sync!$C$9)&amp;"",""))</f>
        <v/>
      </c>
      <c r="K1929" t="inlineStr">
        <is>
          <t>office outreach touch 1</t>
        </is>
      </c>
    </row>
    <row r="1930">
      <c r="A1930" s="17">
        <f>IF(B1930="","",B1930+(12*1000+279)/10000000)</f>
        <v/>
      </c>
      <c r="B1930" s="23">
        <f>IF(AND(IFERROR(N(INDEX(Clay_Offices!$A$2:$FZ$601,279,Sync!$C$11)),0)&gt;0,IFERROR(INDEX(Clay_Offices!$A$2:$FZ$601,279,Sync!$C$5)&amp;"","")&lt;&gt;"",OR(LEFT(IFERROR(INDEX(Clay_Offices!$A$2:$FZ$601,279,Sync!$C$5)&amp;"",""),6)&lt;&gt;"SAMPLE",Config!$B$19="Y")),IFERROR(N(INDEX(Clay_Offices!$A$2:$FZ$601,279,Sync!$C$11)),0),"")</f>
        <v/>
      </c>
      <c r="C1930" s="17">
        <f>IF(B1930="","","office")</f>
        <v/>
      </c>
      <c r="D1930" s="17">
        <f>IF(B1930="","",IFERROR(INDEX(Clay_Offices!$A$2:$FZ$601,279,Sync!$C$5)&amp;"",""))</f>
        <v/>
      </c>
      <c r="E1930" s="17">
        <f>IF(B1930="","",IFERROR(INDEX(Clay_Offices!$A$2:$FZ$601,279,Sync!$C$6)&amp;"",""))</f>
        <v/>
      </c>
      <c r="F1930" s="17">
        <f>IF(B1930="","","outreach_sent")</f>
        <v/>
      </c>
      <c r="G1930" s="17">
        <f>IF(B1930="","","")</f>
        <v/>
      </c>
      <c r="H1930" s="17">
        <f>IF(B1930="","","")</f>
        <v/>
      </c>
      <c r="I1930" s="17">
        <f>IF(B1930="","","")</f>
        <v/>
      </c>
      <c r="J1930" s="17">
        <f>IF(B1930="","","touch_1; "&amp;IFERROR(INDEX(Clay_Offices!$A$2:$FZ$601,279,Sync!$C$10)&amp;"","")&amp;"; "&amp;IFERROR(INDEX(Clay_Offices!$A$2:$FZ$601,279,Sync!$C$9)&amp;"",""))</f>
        <v/>
      </c>
      <c r="K1930" t="inlineStr">
        <is>
          <t>office outreach touch 1</t>
        </is>
      </c>
    </row>
    <row r="1931">
      <c r="A1931" s="17">
        <f>IF(B1931="","",B1931+(12*1000+280)/10000000)</f>
        <v/>
      </c>
      <c r="B1931" s="23">
        <f>IF(AND(IFERROR(N(INDEX(Clay_Offices!$A$2:$FZ$601,280,Sync!$C$11)),0)&gt;0,IFERROR(INDEX(Clay_Offices!$A$2:$FZ$601,280,Sync!$C$5)&amp;"","")&lt;&gt;"",OR(LEFT(IFERROR(INDEX(Clay_Offices!$A$2:$FZ$601,280,Sync!$C$5)&amp;"",""),6)&lt;&gt;"SAMPLE",Config!$B$19="Y")),IFERROR(N(INDEX(Clay_Offices!$A$2:$FZ$601,280,Sync!$C$11)),0),"")</f>
        <v/>
      </c>
      <c r="C1931" s="17">
        <f>IF(B1931="","","office")</f>
        <v/>
      </c>
      <c r="D1931" s="17">
        <f>IF(B1931="","",IFERROR(INDEX(Clay_Offices!$A$2:$FZ$601,280,Sync!$C$5)&amp;"",""))</f>
        <v/>
      </c>
      <c r="E1931" s="17">
        <f>IF(B1931="","",IFERROR(INDEX(Clay_Offices!$A$2:$FZ$601,280,Sync!$C$6)&amp;"",""))</f>
        <v/>
      </c>
      <c r="F1931" s="17">
        <f>IF(B1931="","","outreach_sent")</f>
        <v/>
      </c>
      <c r="G1931" s="17">
        <f>IF(B1931="","","")</f>
        <v/>
      </c>
      <c r="H1931" s="17">
        <f>IF(B1931="","","")</f>
        <v/>
      </c>
      <c r="I1931" s="17">
        <f>IF(B1931="","","")</f>
        <v/>
      </c>
      <c r="J1931" s="17">
        <f>IF(B1931="","","touch_1; "&amp;IFERROR(INDEX(Clay_Offices!$A$2:$FZ$601,280,Sync!$C$10)&amp;"","")&amp;"; "&amp;IFERROR(INDEX(Clay_Offices!$A$2:$FZ$601,280,Sync!$C$9)&amp;"",""))</f>
        <v/>
      </c>
      <c r="K1931" t="inlineStr">
        <is>
          <t>office outreach touch 1</t>
        </is>
      </c>
    </row>
    <row r="1932">
      <c r="A1932" s="17">
        <f>IF(B1932="","",B1932+(12*1000+281)/10000000)</f>
        <v/>
      </c>
      <c r="B1932" s="23">
        <f>IF(AND(IFERROR(N(INDEX(Clay_Offices!$A$2:$FZ$601,281,Sync!$C$11)),0)&gt;0,IFERROR(INDEX(Clay_Offices!$A$2:$FZ$601,281,Sync!$C$5)&amp;"","")&lt;&gt;"",OR(LEFT(IFERROR(INDEX(Clay_Offices!$A$2:$FZ$601,281,Sync!$C$5)&amp;"",""),6)&lt;&gt;"SAMPLE",Config!$B$19="Y")),IFERROR(N(INDEX(Clay_Offices!$A$2:$FZ$601,281,Sync!$C$11)),0),"")</f>
        <v/>
      </c>
      <c r="C1932" s="17">
        <f>IF(B1932="","","office")</f>
        <v/>
      </c>
      <c r="D1932" s="17">
        <f>IF(B1932="","",IFERROR(INDEX(Clay_Offices!$A$2:$FZ$601,281,Sync!$C$5)&amp;"",""))</f>
        <v/>
      </c>
      <c r="E1932" s="17">
        <f>IF(B1932="","",IFERROR(INDEX(Clay_Offices!$A$2:$FZ$601,281,Sync!$C$6)&amp;"",""))</f>
        <v/>
      </c>
      <c r="F1932" s="17">
        <f>IF(B1932="","","outreach_sent")</f>
        <v/>
      </c>
      <c r="G1932" s="17">
        <f>IF(B1932="","","")</f>
        <v/>
      </c>
      <c r="H1932" s="17">
        <f>IF(B1932="","","")</f>
        <v/>
      </c>
      <c r="I1932" s="17">
        <f>IF(B1932="","","")</f>
        <v/>
      </c>
      <c r="J1932" s="17">
        <f>IF(B1932="","","touch_1; "&amp;IFERROR(INDEX(Clay_Offices!$A$2:$FZ$601,281,Sync!$C$10)&amp;"","")&amp;"; "&amp;IFERROR(INDEX(Clay_Offices!$A$2:$FZ$601,281,Sync!$C$9)&amp;"",""))</f>
        <v/>
      </c>
      <c r="K1932" t="inlineStr">
        <is>
          <t>office outreach touch 1</t>
        </is>
      </c>
    </row>
    <row r="1933">
      <c r="A1933" s="17">
        <f>IF(B1933="","",B1933+(12*1000+282)/10000000)</f>
        <v/>
      </c>
      <c r="B1933" s="23">
        <f>IF(AND(IFERROR(N(INDEX(Clay_Offices!$A$2:$FZ$601,282,Sync!$C$11)),0)&gt;0,IFERROR(INDEX(Clay_Offices!$A$2:$FZ$601,282,Sync!$C$5)&amp;"","")&lt;&gt;"",OR(LEFT(IFERROR(INDEX(Clay_Offices!$A$2:$FZ$601,282,Sync!$C$5)&amp;"",""),6)&lt;&gt;"SAMPLE",Config!$B$19="Y")),IFERROR(N(INDEX(Clay_Offices!$A$2:$FZ$601,282,Sync!$C$11)),0),"")</f>
        <v/>
      </c>
      <c r="C1933" s="17">
        <f>IF(B1933="","","office")</f>
        <v/>
      </c>
      <c r="D1933" s="17">
        <f>IF(B1933="","",IFERROR(INDEX(Clay_Offices!$A$2:$FZ$601,282,Sync!$C$5)&amp;"",""))</f>
        <v/>
      </c>
      <c r="E1933" s="17">
        <f>IF(B1933="","",IFERROR(INDEX(Clay_Offices!$A$2:$FZ$601,282,Sync!$C$6)&amp;"",""))</f>
        <v/>
      </c>
      <c r="F1933" s="17">
        <f>IF(B1933="","","outreach_sent")</f>
        <v/>
      </c>
      <c r="G1933" s="17">
        <f>IF(B1933="","","")</f>
        <v/>
      </c>
      <c r="H1933" s="17">
        <f>IF(B1933="","","")</f>
        <v/>
      </c>
      <c r="I1933" s="17">
        <f>IF(B1933="","","")</f>
        <v/>
      </c>
      <c r="J1933" s="17">
        <f>IF(B1933="","","touch_1; "&amp;IFERROR(INDEX(Clay_Offices!$A$2:$FZ$601,282,Sync!$C$10)&amp;"","")&amp;"; "&amp;IFERROR(INDEX(Clay_Offices!$A$2:$FZ$601,282,Sync!$C$9)&amp;"",""))</f>
        <v/>
      </c>
      <c r="K1933" t="inlineStr">
        <is>
          <t>office outreach touch 1</t>
        </is>
      </c>
    </row>
    <row r="1934">
      <c r="A1934" s="17">
        <f>IF(B1934="","",B1934+(12*1000+283)/10000000)</f>
        <v/>
      </c>
      <c r="B1934" s="23">
        <f>IF(AND(IFERROR(N(INDEX(Clay_Offices!$A$2:$FZ$601,283,Sync!$C$11)),0)&gt;0,IFERROR(INDEX(Clay_Offices!$A$2:$FZ$601,283,Sync!$C$5)&amp;"","")&lt;&gt;"",OR(LEFT(IFERROR(INDEX(Clay_Offices!$A$2:$FZ$601,283,Sync!$C$5)&amp;"",""),6)&lt;&gt;"SAMPLE",Config!$B$19="Y")),IFERROR(N(INDEX(Clay_Offices!$A$2:$FZ$601,283,Sync!$C$11)),0),"")</f>
        <v/>
      </c>
      <c r="C1934" s="17">
        <f>IF(B1934="","","office")</f>
        <v/>
      </c>
      <c r="D1934" s="17">
        <f>IF(B1934="","",IFERROR(INDEX(Clay_Offices!$A$2:$FZ$601,283,Sync!$C$5)&amp;"",""))</f>
        <v/>
      </c>
      <c r="E1934" s="17">
        <f>IF(B1934="","",IFERROR(INDEX(Clay_Offices!$A$2:$FZ$601,283,Sync!$C$6)&amp;"",""))</f>
        <v/>
      </c>
      <c r="F1934" s="17">
        <f>IF(B1934="","","outreach_sent")</f>
        <v/>
      </c>
      <c r="G1934" s="17">
        <f>IF(B1934="","","")</f>
        <v/>
      </c>
      <c r="H1934" s="17">
        <f>IF(B1934="","","")</f>
        <v/>
      </c>
      <c r="I1934" s="17">
        <f>IF(B1934="","","")</f>
        <v/>
      </c>
      <c r="J1934" s="17">
        <f>IF(B1934="","","touch_1; "&amp;IFERROR(INDEX(Clay_Offices!$A$2:$FZ$601,283,Sync!$C$10)&amp;"","")&amp;"; "&amp;IFERROR(INDEX(Clay_Offices!$A$2:$FZ$601,283,Sync!$C$9)&amp;"",""))</f>
        <v/>
      </c>
      <c r="K1934" t="inlineStr">
        <is>
          <t>office outreach touch 1</t>
        </is>
      </c>
    </row>
    <row r="1935">
      <c r="A1935" s="17">
        <f>IF(B1935="","",B1935+(12*1000+284)/10000000)</f>
        <v/>
      </c>
      <c r="B1935" s="23">
        <f>IF(AND(IFERROR(N(INDEX(Clay_Offices!$A$2:$FZ$601,284,Sync!$C$11)),0)&gt;0,IFERROR(INDEX(Clay_Offices!$A$2:$FZ$601,284,Sync!$C$5)&amp;"","")&lt;&gt;"",OR(LEFT(IFERROR(INDEX(Clay_Offices!$A$2:$FZ$601,284,Sync!$C$5)&amp;"",""),6)&lt;&gt;"SAMPLE",Config!$B$19="Y")),IFERROR(N(INDEX(Clay_Offices!$A$2:$FZ$601,284,Sync!$C$11)),0),"")</f>
        <v/>
      </c>
      <c r="C1935" s="17">
        <f>IF(B1935="","","office")</f>
        <v/>
      </c>
      <c r="D1935" s="17">
        <f>IF(B1935="","",IFERROR(INDEX(Clay_Offices!$A$2:$FZ$601,284,Sync!$C$5)&amp;"",""))</f>
        <v/>
      </c>
      <c r="E1935" s="17">
        <f>IF(B1935="","",IFERROR(INDEX(Clay_Offices!$A$2:$FZ$601,284,Sync!$C$6)&amp;"",""))</f>
        <v/>
      </c>
      <c r="F1935" s="17">
        <f>IF(B1935="","","outreach_sent")</f>
        <v/>
      </c>
      <c r="G1935" s="17">
        <f>IF(B1935="","","")</f>
        <v/>
      </c>
      <c r="H1935" s="17">
        <f>IF(B1935="","","")</f>
        <v/>
      </c>
      <c r="I1935" s="17">
        <f>IF(B1935="","","")</f>
        <v/>
      </c>
      <c r="J1935" s="17">
        <f>IF(B1935="","","touch_1; "&amp;IFERROR(INDEX(Clay_Offices!$A$2:$FZ$601,284,Sync!$C$10)&amp;"","")&amp;"; "&amp;IFERROR(INDEX(Clay_Offices!$A$2:$FZ$601,284,Sync!$C$9)&amp;"",""))</f>
        <v/>
      </c>
      <c r="K1935" t="inlineStr">
        <is>
          <t>office outreach touch 1</t>
        </is>
      </c>
    </row>
    <row r="1936">
      <c r="A1936" s="17">
        <f>IF(B1936="","",B1936+(12*1000+285)/10000000)</f>
        <v/>
      </c>
      <c r="B1936" s="23">
        <f>IF(AND(IFERROR(N(INDEX(Clay_Offices!$A$2:$FZ$601,285,Sync!$C$11)),0)&gt;0,IFERROR(INDEX(Clay_Offices!$A$2:$FZ$601,285,Sync!$C$5)&amp;"","")&lt;&gt;"",OR(LEFT(IFERROR(INDEX(Clay_Offices!$A$2:$FZ$601,285,Sync!$C$5)&amp;"",""),6)&lt;&gt;"SAMPLE",Config!$B$19="Y")),IFERROR(N(INDEX(Clay_Offices!$A$2:$FZ$601,285,Sync!$C$11)),0),"")</f>
        <v/>
      </c>
      <c r="C1936" s="17">
        <f>IF(B1936="","","office")</f>
        <v/>
      </c>
      <c r="D1936" s="17">
        <f>IF(B1936="","",IFERROR(INDEX(Clay_Offices!$A$2:$FZ$601,285,Sync!$C$5)&amp;"",""))</f>
        <v/>
      </c>
      <c r="E1936" s="17">
        <f>IF(B1936="","",IFERROR(INDEX(Clay_Offices!$A$2:$FZ$601,285,Sync!$C$6)&amp;"",""))</f>
        <v/>
      </c>
      <c r="F1936" s="17">
        <f>IF(B1936="","","outreach_sent")</f>
        <v/>
      </c>
      <c r="G1936" s="17">
        <f>IF(B1936="","","")</f>
        <v/>
      </c>
      <c r="H1936" s="17">
        <f>IF(B1936="","","")</f>
        <v/>
      </c>
      <c r="I1936" s="17">
        <f>IF(B1936="","","")</f>
        <v/>
      </c>
      <c r="J1936" s="17">
        <f>IF(B1936="","","touch_1; "&amp;IFERROR(INDEX(Clay_Offices!$A$2:$FZ$601,285,Sync!$C$10)&amp;"","")&amp;"; "&amp;IFERROR(INDEX(Clay_Offices!$A$2:$FZ$601,285,Sync!$C$9)&amp;"",""))</f>
        <v/>
      </c>
      <c r="K1936" t="inlineStr">
        <is>
          <t>office outreach touch 1</t>
        </is>
      </c>
    </row>
    <row r="1937">
      <c r="A1937" s="17">
        <f>IF(B1937="","",B1937+(12*1000+286)/10000000)</f>
        <v/>
      </c>
      <c r="B1937" s="23">
        <f>IF(AND(IFERROR(N(INDEX(Clay_Offices!$A$2:$FZ$601,286,Sync!$C$11)),0)&gt;0,IFERROR(INDEX(Clay_Offices!$A$2:$FZ$601,286,Sync!$C$5)&amp;"","")&lt;&gt;"",OR(LEFT(IFERROR(INDEX(Clay_Offices!$A$2:$FZ$601,286,Sync!$C$5)&amp;"",""),6)&lt;&gt;"SAMPLE",Config!$B$19="Y")),IFERROR(N(INDEX(Clay_Offices!$A$2:$FZ$601,286,Sync!$C$11)),0),"")</f>
        <v/>
      </c>
      <c r="C1937" s="17">
        <f>IF(B1937="","","office")</f>
        <v/>
      </c>
      <c r="D1937" s="17">
        <f>IF(B1937="","",IFERROR(INDEX(Clay_Offices!$A$2:$FZ$601,286,Sync!$C$5)&amp;"",""))</f>
        <v/>
      </c>
      <c r="E1937" s="17">
        <f>IF(B1937="","",IFERROR(INDEX(Clay_Offices!$A$2:$FZ$601,286,Sync!$C$6)&amp;"",""))</f>
        <v/>
      </c>
      <c r="F1937" s="17">
        <f>IF(B1937="","","outreach_sent")</f>
        <v/>
      </c>
      <c r="G1937" s="17">
        <f>IF(B1937="","","")</f>
        <v/>
      </c>
      <c r="H1937" s="17">
        <f>IF(B1937="","","")</f>
        <v/>
      </c>
      <c r="I1937" s="17">
        <f>IF(B1937="","","")</f>
        <v/>
      </c>
      <c r="J1937" s="17">
        <f>IF(B1937="","","touch_1; "&amp;IFERROR(INDEX(Clay_Offices!$A$2:$FZ$601,286,Sync!$C$10)&amp;"","")&amp;"; "&amp;IFERROR(INDEX(Clay_Offices!$A$2:$FZ$601,286,Sync!$C$9)&amp;"",""))</f>
        <v/>
      </c>
      <c r="K1937" t="inlineStr">
        <is>
          <t>office outreach touch 1</t>
        </is>
      </c>
    </row>
    <row r="1938">
      <c r="A1938" s="17">
        <f>IF(B1938="","",B1938+(12*1000+287)/10000000)</f>
        <v/>
      </c>
      <c r="B1938" s="23">
        <f>IF(AND(IFERROR(N(INDEX(Clay_Offices!$A$2:$FZ$601,287,Sync!$C$11)),0)&gt;0,IFERROR(INDEX(Clay_Offices!$A$2:$FZ$601,287,Sync!$C$5)&amp;"","")&lt;&gt;"",OR(LEFT(IFERROR(INDEX(Clay_Offices!$A$2:$FZ$601,287,Sync!$C$5)&amp;"",""),6)&lt;&gt;"SAMPLE",Config!$B$19="Y")),IFERROR(N(INDEX(Clay_Offices!$A$2:$FZ$601,287,Sync!$C$11)),0),"")</f>
        <v/>
      </c>
      <c r="C1938" s="17">
        <f>IF(B1938="","","office")</f>
        <v/>
      </c>
      <c r="D1938" s="17">
        <f>IF(B1938="","",IFERROR(INDEX(Clay_Offices!$A$2:$FZ$601,287,Sync!$C$5)&amp;"",""))</f>
        <v/>
      </c>
      <c r="E1938" s="17">
        <f>IF(B1938="","",IFERROR(INDEX(Clay_Offices!$A$2:$FZ$601,287,Sync!$C$6)&amp;"",""))</f>
        <v/>
      </c>
      <c r="F1938" s="17">
        <f>IF(B1938="","","outreach_sent")</f>
        <v/>
      </c>
      <c r="G1938" s="17">
        <f>IF(B1938="","","")</f>
        <v/>
      </c>
      <c r="H1938" s="17">
        <f>IF(B1938="","","")</f>
        <v/>
      </c>
      <c r="I1938" s="17">
        <f>IF(B1938="","","")</f>
        <v/>
      </c>
      <c r="J1938" s="17">
        <f>IF(B1938="","","touch_1; "&amp;IFERROR(INDEX(Clay_Offices!$A$2:$FZ$601,287,Sync!$C$10)&amp;"","")&amp;"; "&amp;IFERROR(INDEX(Clay_Offices!$A$2:$FZ$601,287,Sync!$C$9)&amp;"",""))</f>
        <v/>
      </c>
      <c r="K1938" t="inlineStr">
        <is>
          <t>office outreach touch 1</t>
        </is>
      </c>
    </row>
    <row r="1939">
      <c r="A1939" s="17">
        <f>IF(B1939="","",B1939+(12*1000+288)/10000000)</f>
        <v/>
      </c>
      <c r="B1939" s="23">
        <f>IF(AND(IFERROR(N(INDEX(Clay_Offices!$A$2:$FZ$601,288,Sync!$C$11)),0)&gt;0,IFERROR(INDEX(Clay_Offices!$A$2:$FZ$601,288,Sync!$C$5)&amp;"","")&lt;&gt;"",OR(LEFT(IFERROR(INDEX(Clay_Offices!$A$2:$FZ$601,288,Sync!$C$5)&amp;"",""),6)&lt;&gt;"SAMPLE",Config!$B$19="Y")),IFERROR(N(INDEX(Clay_Offices!$A$2:$FZ$601,288,Sync!$C$11)),0),"")</f>
        <v/>
      </c>
      <c r="C1939" s="17">
        <f>IF(B1939="","","office")</f>
        <v/>
      </c>
      <c r="D1939" s="17">
        <f>IF(B1939="","",IFERROR(INDEX(Clay_Offices!$A$2:$FZ$601,288,Sync!$C$5)&amp;"",""))</f>
        <v/>
      </c>
      <c r="E1939" s="17">
        <f>IF(B1939="","",IFERROR(INDEX(Clay_Offices!$A$2:$FZ$601,288,Sync!$C$6)&amp;"",""))</f>
        <v/>
      </c>
      <c r="F1939" s="17">
        <f>IF(B1939="","","outreach_sent")</f>
        <v/>
      </c>
      <c r="G1939" s="17">
        <f>IF(B1939="","","")</f>
        <v/>
      </c>
      <c r="H1939" s="17">
        <f>IF(B1939="","","")</f>
        <v/>
      </c>
      <c r="I1939" s="17">
        <f>IF(B1939="","","")</f>
        <v/>
      </c>
      <c r="J1939" s="17">
        <f>IF(B1939="","","touch_1; "&amp;IFERROR(INDEX(Clay_Offices!$A$2:$FZ$601,288,Sync!$C$10)&amp;"","")&amp;"; "&amp;IFERROR(INDEX(Clay_Offices!$A$2:$FZ$601,288,Sync!$C$9)&amp;"",""))</f>
        <v/>
      </c>
      <c r="K1939" t="inlineStr">
        <is>
          <t>office outreach touch 1</t>
        </is>
      </c>
    </row>
    <row r="1940">
      <c r="A1940" s="17">
        <f>IF(B1940="","",B1940+(12*1000+289)/10000000)</f>
        <v/>
      </c>
      <c r="B1940" s="23">
        <f>IF(AND(IFERROR(N(INDEX(Clay_Offices!$A$2:$FZ$601,289,Sync!$C$11)),0)&gt;0,IFERROR(INDEX(Clay_Offices!$A$2:$FZ$601,289,Sync!$C$5)&amp;"","")&lt;&gt;"",OR(LEFT(IFERROR(INDEX(Clay_Offices!$A$2:$FZ$601,289,Sync!$C$5)&amp;"",""),6)&lt;&gt;"SAMPLE",Config!$B$19="Y")),IFERROR(N(INDEX(Clay_Offices!$A$2:$FZ$601,289,Sync!$C$11)),0),"")</f>
        <v/>
      </c>
      <c r="C1940" s="17">
        <f>IF(B1940="","","office")</f>
        <v/>
      </c>
      <c r="D1940" s="17">
        <f>IF(B1940="","",IFERROR(INDEX(Clay_Offices!$A$2:$FZ$601,289,Sync!$C$5)&amp;"",""))</f>
        <v/>
      </c>
      <c r="E1940" s="17">
        <f>IF(B1940="","",IFERROR(INDEX(Clay_Offices!$A$2:$FZ$601,289,Sync!$C$6)&amp;"",""))</f>
        <v/>
      </c>
      <c r="F1940" s="17">
        <f>IF(B1940="","","outreach_sent")</f>
        <v/>
      </c>
      <c r="G1940" s="17">
        <f>IF(B1940="","","")</f>
        <v/>
      </c>
      <c r="H1940" s="17">
        <f>IF(B1940="","","")</f>
        <v/>
      </c>
      <c r="I1940" s="17">
        <f>IF(B1940="","","")</f>
        <v/>
      </c>
      <c r="J1940" s="17">
        <f>IF(B1940="","","touch_1; "&amp;IFERROR(INDEX(Clay_Offices!$A$2:$FZ$601,289,Sync!$C$10)&amp;"","")&amp;"; "&amp;IFERROR(INDEX(Clay_Offices!$A$2:$FZ$601,289,Sync!$C$9)&amp;"",""))</f>
        <v/>
      </c>
      <c r="K1940" t="inlineStr">
        <is>
          <t>office outreach touch 1</t>
        </is>
      </c>
    </row>
    <row r="1941">
      <c r="A1941" s="17">
        <f>IF(B1941="","",B1941+(12*1000+290)/10000000)</f>
        <v/>
      </c>
      <c r="B1941" s="23">
        <f>IF(AND(IFERROR(N(INDEX(Clay_Offices!$A$2:$FZ$601,290,Sync!$C$11)),0)&gt;0,IFERROR(INDEX(Clay_Offices!$A$2:$FZ$601,290,Sync!$C$5)&amp;"","")&lt;&gt;"",OR(LEFT(IFERROR(INDEX(Clay_Offices!$A$2:$FZ$601,290,Sync!$C$5)&amp;"",""),6)&lt;&gt;"SAMPLE",Config!$B$19="Y")),IFERROR(N(INDEX(Clay_Offices!$A$2:$FZ$601,290,Sync!$C$11)),0),"")</f>
        <v/>
      </c>
      <c r="C1941" s="17">
        <f>IF(B1941="","","office")</f>
        <v/>
      </c>
      <c r="D1941" s="17">
        <f>IF(B1941="","",IFERROR(INDEX(Clay_Offices!$A$2:$FZ$601,290,Sync!$C$5)&amp;"",""))</f>
        <v/>
      </c>
      <c r="E1941" s="17">
        <f>IF(B1941="","",IFERROR(INDEX(Clay_Offices!$A$2:$FZ$601,290,Sync!$C$6)&amp;"",""))</f>
        <v/>
      </c>
      <c r="F1941" s="17">
        <f>IF(B1941="","","outreach_sent")</f>
        <v/>
      </c>
      <c r="G1941" s="17">
        <f>IF(B1941="","","")</f>
        <v/>
      </c>
      <c r="H1941" s="17">
        <f>IF(B1941="","","")</f>
        <v/>
      </c>
      <c r="I1941" s="17">
        <f>IF(B1941="","","")</f>
        <v/>
      </c>
      <c r="J1941" s="17">
        <f>IF(B1941="","","touch_1; "&amp;IFERROR(INDEX(Clay_Offices!$A$2:$FZ$601,290,Sync!$C$10)&amp;"","")&amp;"; "&amp;IFERROR(INDEX(Clay_Offices!$A$2:$FZ$601,290,Sync!$C$9)&amp;"",""))</f>
        <v/>
      </c>
      <c r="K1941" t="inlineStr">
        <is>
          <t>office outreach touch 1</t>
        </is>
      </c>
    </row>
    <row r="1942">
      <c r="A1942" s="17">
        <f>IF(B1942="","",B1942+(12*1000+291)/10000000)</f>
        <v/>
      </c>
      <c r="B1942" s="23">
        <f>IF(AND(IFERROR(N(INDEX(Clay_Offices!$A$2:$FZ$601,291,Sync!$C$11)),0)&gt;0,IFERROR(INDEX(Clay_Offices!$A$2:$FZ$601,291,Sync!$C$5)&amp;"","")&lt;&gt;"",OR(LEFT(IFERROR(INDEX(Clay_Offices!$A$2:$FZ$601,291,Sync!$C$5)&amp;"",""),6)&lt;&gt;"SAMPLE",Config!$B$19="Y")),IFERROR(N(INDEX(Clay_Offices!$A$2:$FZ$601,291,Sync!$C$11)),0),"")</f>
        <v/>
      </c>
      <c r="C1942" s="17">
        <f>IF(B1942="","","office")</f>
        <v/>
      </c>
      <c r="D1942" s="17">
        <f>IF(B1942="","",IFERROR(INDEX(Clay_Offices!$A$2:$FZ$601,291,Sync!$C$5)&amp;"",""))</f>
        <v/>
      </c>
      <c r="E1942" s="17">
        <f>IF(B1942="","",IFERROR(INDEX(Clay_Offices!$A$2:$FZ$601,291,Sync!$C$6)&amp;"",""))</f>
        <v/>
      </c>
      <c r="F1942" s="17">
        <f>IF(B1942="","","outreach_sent")</f>
        <v/>
      </c>
      <c r="G1942" s="17">
        <f>IF(B1942="","","")</f>
        <v/>
      </c>
      <c r="H1942" s="17">
        <f>IF(B1942="","","")</f>
        <v/>
      </c>
      <c r="I1942" s="17">
        <f>IF(B1942="","","")</f>
        <v/>
      </c>
      <c r="J1942" s="17">
        <f>IF(B1942="","","touch_1; "&amp;IFERROR(INDEX(Clay_Offices!$A$2:$FZ$601,291,Sync!$C$10)&amp;"","")&amp;"; "&amp;IFERROR(INDEX(Clay_Offices!$A$2:$FZ$601,291,Sync!$C$9)&amp;"",""))</f>
        <v/>
      </c>
      <c r="K1942" t="inlineStr">
        <is>
          <t>office outreach touch 1</t>
        </is>
      </c>
    </row>
    <row r="1943">
      <c r="A1943" s="17">
        <f>IF(B1943="","",B1943+(12*1000+292)/10000000)</f>
        <v/>
      </c>
      <c r="B1943" s="23">
        <f>IF(AND(IFERROR(N(INDEX(Clay_Offices!$A$2:$FZ$601,292,Sync!$C$11)),0)&gt;0,IFERROR(INDEX(Clay_Offices!$A$2:$FZ$601,292,Sync!$C$5)&amp;"","")&lt;&gt;"",OR(LEFT(IFERROR(INDEX(Clay_Offices!$A$2:$FZ$601,292,Sync!$C$5)&amp;"",""),6)&lt;&gt;"SAMPLE",Config!$B$19="Y")),IFERROR(N(INDEX(Clay_Offices!$A$2:$FZ$601,292,Sync!$C$11)),0),"")</f>
        <v/>
      </c>
      <c r="C1943" s="17">
        <f>IF(B1943="","","office")</f>
        <v/>
      </c>
      <c r="D1943" s="17">
        <f>IF(B1943="","",IFERROR(INDEX(Clay_Offices!$A$2:$FZ$601,292,Sync!$C$5)&amp;"",""))</f>
        <v/>
      </c>
      <c r="E1943" s="17">
        <f>IF(B1943="","",IFERROR(INDEX(Clay_Offices!$A$2:$FZ$601,292,Sync!$C$6)&amp;"",""))</f>
        <v/>
      </c>
      <c r="F1943" s="17">
        <f>IF(B1943="","","outreach_sent")</f>
        <v/>
      </c>
      <c r="G1943" s="17">
        <f>IF(B1943="","","")</f>
        <v/>
      </c>
      <c r="H1943" s="17">
        <f>IF(B1943="","","")</f>
        <v/>
      </c>
      <c r="I1943" s="17">
        <f>IF(B1943="","","")</f>
        <v/>
      </c>
      <c r="J1943" s="17">
        <f>IF(B1943="","","touch_1; "&amp;IFERROR(INDEX(Clay_Offices!$A$2:$FZ$601,292,Sync!$C$10)&amp;"","")&amp;"; "&amp;IFERROR(INDEX(Clay_Offices!$A$2:$FZ$601,292,Sync!$C$9)&amp;"",""))</f>
        <v/>
      </c>
      <c r="K1943" t="inlineStr">
        <is>
          <t>office outreach touch 1</t>
        </is>
      </c>
    </row>
    <row r="1944">
      <c r="A1944" s="17">
        <f>IF(B1944="","",B1944+(12*1000+293)/10000000)</f>
        <v/>
      </c>
      <c r="B1944" s="23">
        <f>IF(AND(IFERROR(N(INDEX(Clay_Offices!$A$2:$FZ$601,293,Sync!$C$11)),0)&gt;0,IFERROR(INDEX(Clay_Offices!$A$2:$FZ$601,293,Sync!$C$5)&amp;"","")&lt;&gt;"",OR(LEFT(IFERROR(INDEX(Clay_Offices!$A$2:$FZ$601,293,Sync!$C$5)&amp;"",""),6)&lt;&gt;"SAMPLE",Config!$B$19="Y")),IFERROR(N(INDEX(Clay_Offices!$A$2:$FZ$601,293,Sync!$C$11)),0),"")</f>
        <v/>
      </c>
      <c r="C1944" s="17">
        <f>IF(B1944="","","office")</f>
        <v/>
      </c>
      <c r="D1944" s="17">
        <f>IF(B1944="","",IFERROR(INDEX(Clay_Offices!$A$2:$FZ$601,293,Sync!$C$5)&amp;"",""))</f>
        <v/>
      </c>
      <c r="E1944" s="17">
        <f>IF(B1944="","",IFERROR(INDEX(Clay_Offices!$A$2:$FZ$601,293,Sync!$C$6)&amp;"",""))</f>
        <v/>
      </c>
      <c r="F1944" s="17">
        <f>IF(B1944="","","outreach_sent")</f>
        <v/>
      </c>
      <c r="G1944" s="17">
        <f>IF(B1944="","","")</f>
        <v/>
      </c>
      <c r="H1944" s="17">
        <f>IF(B1944="","","")</f>
        <v/>
      </c>
      <c r="I1944" s="17">
        <f>IF(B1944="","","")</f>
        <v/>
      </c>
      <c r="J1944" s="17">
        <f>IF(B1944="","","touch_1; "&amp;IFERROR(INDEX(Clay_Offices!$A$2:$FZ$601,293,Sync!$C$10)&amp;"","")&amp;"; "&amp;IFERROR(INDEX(Clay_Offices!$A$2:$FZ$601,293,Sync!$C$9)&amp;"",""))</f>
        <v/>
      </c>
      <c r="K1944" t="inlineStr">
        <is>
          <t>office outreach touch 1</t>
        </is>
      </c>
    </row>
    <row r="1945">
      <c r="A1945" s="17">
        <f>IF(B1945="","",B1945+(12*1000+294)/10000000)</f>
        <v/>
      </c>
      <c r="B1945" s="23">
        <f>IF(AND(IFERROR(N(INDEX(Clay_Offices!$A$2:$FZ$601,294,Sync!$C$11)),0)&gt;0,IFERROR(INDEX(Clay_Offices!$A$2:$FZ$601,294,Sync!$C$5)&amp;"","")&lt;&gt;"",OR(LEFT(IFERROR(INDEX(Clay_Offices!$A$2:$FZ$601,294,Sync!$C$5)&amp;"",""),6)&lt;&gt;"SAMPLE",Config!$B$19="Y")),IFERROR(N(INDEX(Clay_Offices!$A$2:$FZ$601,294,Sync!$C$11)),0),"")</f>
        <v/>
      </c>
      <c r="C1945" s="17">
        <f>IF(B1945="","","office")</f>
        <v/>
      </c>
      <c r="D1945" s="17">
        <f>IF(B1945="","",IFERROR(INDEX(Clay_Offices!$A$2:$FZ$601,294,Sync!$C$5)&amp;"",""))</f>
        <v/>
      </c>
      <c r="E1945" s="17">
        <f>IF(B1945="","",IFERROR(INDEX(Clay_Offices!$A$2:$FZ$601,294,Sync!$C$6)&amp;"",""))</f>
        <v/>
      </c>
      <c r="F1945" s="17">
        <f>IF(B1945="","","outreach_sent")</f>
        <v/>
      </c>
      <c r="G1945" s="17">
        <f>IF(B1945="","","")</f>
        <v/>
      </c>
      <c r="H1945" s="17">
        <f>IF(B1945="","","")</f>
        <v/>
      </c>
      <c r="I1945" s="17">
        <f>IF(B1945="","","")</f>
        <v/>
      </c>
      <c r="J1945" s="17">
        <f>IF(B1945="","","touch_1; "&amp;IFERROR(INDEX(Clay_Offices!$A$2:$FZ$601,294,Sync!$C$10)&amp;"","")&amp;"; "&amp;IFERROR(INDEX(Clay_Offices!$A$2:$FZ$601,294,Sync!$C$9)&amp;"",""))</f>
        <v/>
      </c>
      <c r="K1945" t="inlineStr">
        <is>
          <t>office outreach touch 1</t>
        </is>
      </c>
    </row>
    <row r="1946">
      <c r="A1946" s="17">
        <f>IF(B1946="","",B1946+(12*1000+295)/10000000)</f>
        <v/>
      </c>
      <c r="B1946" s="23">
        <f>IF(AND(IFERROR(N(INDEX(Clay_Offices!$A$2:$FZ$601,295,Sync!$C$11)),0)&gt;0,IFERROR(INDEX(Clay_Offices!$A$2:$FZ$601,295,Sync!$C$5)&amp;"","")&lt;&gt;"",OR(LEFT(IFERROR(INDEX(Clay_Offices!$A$2:$FZ$601,295,Sync!$C$5)&amp;"",""),6)&lt;&gt;"SAMPLE",Config!$B$19="Y")),IFERROR(N(INDEX(Clay_Offices!$A$2:$FZ$601,295,Sync!$C$11)),0),"")</f>
        <v/>
      </c>
      <c r="C1946" s="17">
        <f>IF(B1946="","","office")</f>
        <v/>
      </c>
      <c r="D1946" s="17">
        <f>IF(B1946="","",IFERROR(INDEX(Clay_Offices!$A$2:$FZ$601,295,Sync!$C$5)&amp;"",""))</f>
        <v/>
      </c>
      <c r="E1946" s="17">
        <f>IF(B1946="","",IFERROR(INDEX(Clay_Offices!$A$2:$FZ$601,295,Sync!$C$6)&amp;"",""))</f>
        <v/>
      </c>
      <c r="F1946" s="17">
        <f>IF(B1946="","","outreach_sent")</f>
        <v/>
      </c>
      <c r="G1946" s="17">
        <f>IF(B1946="","","")</f>
        <v/>
      </c>
      <c r="H1946" s="17">
        <f>IF(B1946="","","")</f>
        <v/>
      </c>
      <c r="I1946" s="17">
        <f>IF(B1946="","","")</f>
        <v/>
      </c>
      <c r="J1946" s="17">
        <f>IF(B1946="","","touch_1; "&amp;IFERROR(INDEX(Clay_Offices!$A$2:$FZ$601,295,Sync!$C$10)&amp;"","")&amp;"; "&amp;IFERROR(INDEX(Clay_Offices!$A$2:$FZ$601,295,Sync!$C$9)&amp;"",""))</f>
        <v/>
      </c>
      <c r="K1946" t="inlineStr">
        <is>
          <t>office outreach touch 1</t>
        </is>
      </c>
    </row>
    <row r="1947">
      <c r="A1947" s="17">
        <f>IF(B1947="","",B1947+(12*1000+296)/10000000)</f>
        <v/>
      </c>
      <c r="B1947" s="23">
        <f>IF(AND(IFERROR(N(INDEX(Clay_Offices!$A$2:$FZ$601,296,Sync!$C$11)),0)&gt;0,IFERROR(INDEX(Clay_Offices!$A$2:$FZ$601,296,Sync!$C$5)&amp;"","")&lt;&gt;"",OR(LEFT(IFERROR(INDEX(Clay_Offices!$A$2:$FZ$601,296,Sync!$C$5)&amp;"",""),6)&lt;&gt;"SAMPLE",Config!$B$19="Y")),IFERROR(N(INDEX(Clay_Offices!$A$2:$FZ$601,296,Sync!$C$11)),0),"")</f>
        <v/>
      </c>
      <c r="C1947" s="17">
        <f>IF(B1947="","","office")</f>
        <v/>
      </c>
      <c r="D1947" s="17">
        <f>IF(B1947="","",IFERROR(INDEX(Clay_Offices!$A$2:$FZ$601,296,Sync!$C$5)&amp;"",""))</f>
        <v/>
      </c>
      <c r="E1947" s="17">
        <f>IF(B1947="","",IFERROR(INDEX(Clay_Offices!$A$2:$FZ$601,296,Sync!$C$6)&amp;"",""))</f>
        <v/>
      </c>
      <c r="F1947" s="17">
        <f>IF(B1947="","","outreach_sent")</f>
        <v/>
      </c>
      <c r="G1947" s="17">
        <f>IF(B1947="","","")</f>
        <v/>
      </c>
      <c r="H1947" s="17">
        <f>IF(B1947="","","")</f>
        <v/>
      </c>
      <c r="I1947" s="17">
        <f>IF(B1947="","","")</f>
        <v/>
      </c>
      <c r="J1947" s="17">
        <f>IF(B1947="","","touch_1; "&amp;IFERROR(INDEX(Clay_Offices!$A$2:$FZ$601,296,Sync!$C$10)&amp;"","")&amp;"; "&amp;IFERROR(INDEX(Clay_Offices!$A$2:$FZ$601,296,Sync!$C$9)&amp;"",""))</f>
        <v/>
      </c>
      <c r="K1947" t="inlineStr">
        <is>
          <t>office outreach touch 1</t>
        </is>
      </c>
    </row>
    <row r="1948">
      <c r="A1948" s="17">
        <f>IF(B1948="","",B1948+(12*1000+297)/10000000)</f>
        <v/>
      </c>
      <c r="B1948" s="23">
        <f>IF(AND(IFERROR(N(INDEX(Clay_Offices!$A$2:$FZ$601,297,Sync!$C$11)),0)&gt;0,IFERROR(INDEX(Clay_Offices!$A$2:$FZ$601,297,Sync!$C$5)&amp;"","")&lt;&gt;"",OR(LEFT(IFERROR(INDEX(Clay_Offices!$A$2:$FZ$601,297,Sync!$C$5)&amp;"",""),6)&lt;&gt;"SAMPLE",Config!$B$19="Y")),IFERROR(N(INDEX(Clay_Offices!$A$2:$FZ$601,297,Sync!$C$11)),0),"")</f>
        <v/>
      </c>
      <c r="C1948" s="17">
        <f>IF(B1948="","","office")</f>
        <v/>
      </c>
      <c r="D1948" s="17">
        <f>IF(B1948="","",IFERROR(INDEX(Clay_Offices!$A$2:$FZ$601,297,Sync!$C$5)&amp;"",""))</f>
        <v/>
      </c>
      <c r="E1948" s="17">
        <f>IF(B1948="","",IFERROR(INDEX(Clay_Offices!$A$2:$FZ$601,297,Sync!$C$6)&amp;"",""))</f>
        <v/>
      </c>
      <c r="F1948" s="17">
        <f>IF(B1948="","","outreach_sent")</f>
        <v/>
      </c>
      <c r="G1948" s="17">
        <f>IF(B1948="","","")</f>
        <v/>
      </c>
      <c r="H1948" s="17">
        <f>IF(B1948="","","")</f>
        <v/>
      </c>
      <c r="I1948" s="17">
        <f>IF(B1948="","","")</f>
        <v/>
      </c>
      <c r="J1948" s="17">
        <f>IF(B1948="","","touch_1; "&amp;IFERROR(INDEX(Clay_Offices!$A$2:$FZ$601,297,Sync!$C$10)&amp;"","")&amp;"; "&amp;IFERROR(INDEX(Clay_Offices!$A$2:$FZ$601,297,Sync!$C$9)&amp;"",""))</f>
        <v/>
      </c>
      <c r="K1948" t="inlineStr">
        <is>
          <t>office outreach touch 1</t>
        </is>
      </c>
    </row>
    <row r="1949">
      <c r="A1949" s="17">
        <f>IF(B1949="","",B1949+(12*1000+298)/10000000)</f>
        <v/>
      </c>
      <c r="B1949" s="23">
        <f>IF(AND(IFERROR(N(INDEX(Clay_Offices!$A$2:$FZ$601,298,Sync!$C$11)),0)&gt;0,IFERROR(INDEX(Clay_Offices!$A$2:$FZ$601,298,Sync!$C$5)&amp;"","")&lt;&gt;"",OR(LEFT(IFERROR(INDEX(Clay_Offices!$A$2:$FZ$601,298,Sync!$C$5)&amp;"",""),6)&lt;&gt;"SAMPLE",Config!$B$19="Y")),IFERROR(N(INDEX(Clay_Offices!$A$2:$FZ$601,298,Sync!$C$11)),0),"")</f>
        <v/>
      </c>
      <c r="C1949" s="17">
        <f>IF(B1949="","","office")</f>
        <v/>
      </c>
      <c r="D1949" s="17">
        <f>IF(B1949="","",IFERROR(INDEX(Clay_Offices!$A$2:$FZ$601,298,Sync!$C$5)&amp;"",""))</f>
        <v/>
      </c>
      <c r="E1949" s="17">
        <f>IF(B1949="","",IFERROR(INDEX(Clay_Offices!$A$2:$FZ$601,298,Sync!$C$6)&amp;"",""))</f>
        <v/>
      </c>
      <c r="F1949" s="17">
        <f>IF(B1949="","","outreach_sent")</f>
        <v/>
      </c>
      <c r="G1949" s="17">
        <f>IF(B1949="","","")</f>
        <v/>
      </c>
      <c r="H1949" s="17">
        <f>IF(B1949="","","")</f>
        <v/>
      </c>
      <c r="I1949" s="17">
        <f>IF(B1949="","","")</f>
        <v/>
      </c>
      <c r="J1949" s="17">
        <f>IF(B1949="","","touch_1; "&amp;IFERROR(INDEX(Clay_Offices!$A$2:$FZ$601,298,Sync!$C$10)&amp;"","")&amp;"; "&amp;IFERROR(INDEX(Clay_Offices!$A$2:$FZ$601,298,Sync!$C$9)&amp;"",""))</f>
        <v/>
      </c>
      <c r="K1949" t="inlineStr">
        <is>
          <t>office outreach touch 1</t>
        </is>
      </c>
    </row>
    <row r="1950">
      <c r="A1950" s="17">
        <f>IF(B1950="","",B1950+(12*1000+299)/10000000)</f>
        <v/>
      </c>
      <c r="B1950" s="23">
        <f>IF(AND(IFERROR(N(INDEX(Clay_Offices!$A$2:$FZ$601,299,Sync!$C$11)),0)&gt;0,IFERROR(INDEX(Clay_Offices!$A$2:$FZ$601,299,Sync!$C$5)&amp;"","")&lt;&gt;"",OR(LEFT(IFERROR(INDEX(Clay_Offices!$A$2:$FZ$601,299,Sync!$C$5)&amp;"",""),6)&lt;&gt;"SAMPLE",Config!$B$19="Y")),IFERROR(N(INDEX(Clay_Offices!$A$2:$FZ$601,299,Sync!$C$11)),0),"")</f>
        <v/>
      </c>
      <c r="C1950" s="17">
        <f>IF(B1950="","","office")</f>
        <v/>
      </c>
      <c r="D1950" s="17">
        <f>IF(B1950="","",IFERROR(INDEX(Clay_Offices!$A$2:$FZ$601,299,Sync!$C$5)&amp;"",""))</f>
        <v/>
      </c>
      <c r="E1950" s="17">
        <f>IF(B1950="","",IFERROR(INDEX(Clay_Offices!$A$2:$FZ$601,299,Sync!$C$6)&amp;"",""))</f>
        <v/>
      </c>
      <c r="F1950" s="17">
        <f>IF(B1950="","","outreach_sent")</f>
        <v/>
      </c>
      <c r="G1950" s="17">
        <f>IF(B1950="","","")</f>
        <v/>
      </c>
      <c r="H1950" s="17">
        <f>IF(B1950="","","")</f>
        <v/>
      </c>
      <c r="I1950" s="17">
        <f>IF(B1950="","","")</f>
        <v/>
      </c>
      <c r="J1950" s="17">
        <f>IF(B1950="","","touch_1; "&amp;IFERROR(INDEX(Clay_Offices!$A$2:$FZ$601,299,Sync!$C$10)&amp;"","")&amp;"; "&amp;IFERROR(INDEX(Clay_Offices!$A$2:$FZ$601,299,Sync!$C$9)&amp;"",""))</f>
        <v/>
      </c>
      <c r="K1950" t="inlineStr">
        <is>
          <t>office outreach touch 1</t>
        </is>
      </c>
    </row>
    <row r="1951">
      <c r="A1951" s="17">
        <f>IF(B1951="","",B1951+(12*1000+300)/10000000)</f>
        <v/>
      </c>
      <c r="B1951" s="23">
        <f>IF(AND(IFERROR(N(INDEX(Clay_Offices!$A$2:$FZ$601,300,Sync!$C$11)),0)&gt;0,IFERROR(INDEX(Clay_Offices!$A$2:$FZ$601,300,Sync!$C$5)&amp;"","")&lt;&gt;"",OR(LEFT(IFERROR(INDEX(Clay_Offices!$A$2:$FZ$601,300,Sync!$C$5)&amp;"",""),6)&lt;&gt;"SAMPLE",Config!$B$19="Y")),IFERROR(N(INDEX(Clay_Offices!$A$2:$FZ$601,300,Sync!$C$11)),0),"")</f>
        <v/>
      </c>
      <c r="C1951" s="17">
        <f>IF(B1951="","","office")</f>
        <v/>
      </c>
      <c r="D1951" s="17">
        <f>IF(B1951="","",IFERROR(INDEX(Clay_Offices!$A$2:$FZ$601,300,Sync!$C$5)&amp;"",""))</f>
        <v/>
      </c>
      <c r="E1951" s="17">
        <f>IF(B1951="","",IFERROR(INDEX(Clay_Offices!$A$2:$FZ$601,300,Sync!$C$6)&amp;"",""))</f>
        <v/>
      </c>
      <c r="F1951" s="17">
        <f>IF(B1951="","","outreach_sent")</f>
        <v/>
      </c>
      <c r="G1951" s="17">
        <f>IF(B1951="","","")</f>
        <v/>
      </c>
      <c r="H1951" s="17">
        <f>IF(B1951="","","")</f>
        <v/>
      </c>
      <c r="I1951" s="17">
        <f>IF(B1951="","","")</f>
        <v/>
      </c>
      <c r="J1951" s="17">
        <f>IF(B1951="","","touch_1; "&amp;IFERROR(INDEX(Clay_Offices!$A$2:$FZ$601,300,Sync!$C$10)&amp;"","")&amp;"; "&amp;IFERROR(INDEX(Clay_Offices!$A$2:$FZ$601,300,Sync!$C$9)&amp;"",""))</f>
        <v/>
      </c>
      <c r="K1951" t="inlineStr">
        <is>
          <t>office outreach touch 1</t>
        </is>
      </c>
    </row>
    <row r="1952">
      <c r="A1952" s="17">
        <f>IF(B1952="","",B1952+(12*1000+301)/10000000)</f>
        <v/>
      </c>
      <c r="B1952" s="23">
        <f>IF(AND(IFERROR(N(INDEX(Clay_Offices!$A$2:$FZ$601,301,Sync!$C$11)),0)&gt;0,IFERROR(INDEX(Clay_Offices!$A$2:$FZ$601,301,Sync!$C$5)&amp;"","")&lt;&gt;"",OR(LEFT(IFERROR(INDEX(Clay_Offices!$A$2:$FZ$601,301,Sync!$C$5)&amp;"",""),6)&lt;&gt;"SAMPLE",Config!$B$19="Y")),IFERROR(N(INDEX(Clay_Offices!$A$2:$FZ$601,301,Sync!$C$11)),0),"")</f>
        <v/>
      </c>
      <c r="C1952" s="17">
        <f>IF(B1952="","","office")</f>
        <v/>
      </c>
      <c r="D1952" s="17">
        <f>IF(B1952="","",IFERROR(INDEX(Clay_Offices!$A$2:$FZ$601,301,Sync!$C$5)&amp;"",""))</f>
        <v/>
      </c>
      <c r="E1952" s="17">
        <f>IF(B1952="","",IFERROR(INDEX(Clay_Offices!$A$2:$FZ$601,301,Sync!$C$6)&amp;"",""))</f>
        <v/>
      </c>
      <c r="F1952" s="17">
        <f>IF(B1952="","","outreach_sent")</f>
        <v/>
      </c>
      <c r="G1952" s="17">
        <f>IF(B1952="","","")</f>
        <v/>
      </c>
      <c r="H1952" s="17">
        <f>IF(B1952="","","")</f>
        <v/>
      </c>
      <c r="I1952" s="17">
        <f>IF(B1952="","","")</f>
        <v/>
      </c>
      <c r="J1952" s="17">
        <f>IF(B1952="","","touch_1; "&amp;IFERROR(INDEX(Clay_Offices!$A$2:$FZ$601,301,Sync!$C$10)&amp;"","")&amp;"; "&amp;IFERROR(INDEX(Clay_Offices!$A$2:$FZ$601,301,Sync!$C$9)&amp;"",""))</f>
        <v/>
      </c>
      <c r="K1952" t="inlineStr">
        <is>
          <t>office outreach touch 1</t>
        </is>
      </c>
    </row>
    <row r="1953">
      <c r="A1953" s="17">
        <f>IF(B1953="","",B1953+(12*1000+302)/10000000)</f>
        <v/>
      </c>
      <c r="B1953" s="23">
        <f>IF(AND(IFERROR(N(INDEX(Clay_Offices!$A$2:$FZ$601,302,Sync!$C$11)),0)&gt;0,IFERROR(INDEX(Clay_Offices!$A$2:$FZ$601,302,Sync!$C$5)&amp;"","")&lt;&gt;"",OR(LEFT(IFERROR(INDEX(Clay_Offices!$A$2:$FZ$601,302,Sync!$C$5)&amp;"",""),6)&lt;&gt;"SAMPLE",Config!$B$19="Y")),IFERROR(N(INDEX(Clay_Offices!$A$2:$FZ$601,302,Sync!$C$11)),0),"")</f>
        <v/>
      </c>
      <c r="C1953" s="17">
        <f>IF(B1953="","","office")</f>
        <v/>
      </c>
      <c r="D1953" s="17">
        <f>IF(B1953="","",IFERROR(INDEX(Clay_Offices!$A$2:$FZ$601,302,Sync!$C$5)&amp;"",""))</f>
        <v/>
      </c>
      <c r="E1953" s="17">
        <f>IF(B1953="","",IFERROR(INDEX(Clay_Offices!$A$2:$FZ$601,302,Sync!$C$6)&amp;"",""))</f>
        <v/>
      </c>
      <c r="F1953" s="17">
        <f>IF(B1953="","","outreach_sent")</f>
        <v/>
      </c>
      <c r="G1953" s="17">
        <f>IF(B1953="","","")</f>
        <v/>
      </c>
      <c r="H1953" s="17">
        <f>IF(B1953="","","")</f>
        <v/>
      </c>
      <c r="I1953" s="17">
        <f>IF(B1953="","","")</f>
        <v/>
      </c>
      <c r="J1953" s="17">
        <f>IF(B1953="","","touch_1; "&amp;IFERROR(INDEX(Clay_Offices!$A$2:$FZ$601,302,Sync!$C$10)&amp;"","")&amp;"; "&amp;IFERROR(INDEX(Clay_Offices!$A$2:$FZ$601,302,Sync!$C$9)&amp;"",""))</f>
        <v/>
      </c>
      <c r="K1953" t="inlineStr">
        <is>
          <t>office outreach touch 1</t>
        </is>
      </c>
    </row>
    <row r="1954">
      <c r="A1954" s="17">
        <f>IF(B1954="","",B1954+(12*1000+303)/10000000)</f>
        <v/>
      </c>
      <c r="B1954" s="23">
        <f>IF(AND(IFERROR(N(INDEX(Clay_Offices!$A$2:$FZ$601,303,Sync!$C$11)),0)&gt;0,IFERROR(INDEX(Clay_Offices!$A$2:$FZ$601,303,Sync!$C$5)&amp;"","")&lt;&gt;"",OR(LEFT(IFERROR(INDEX(Clay_Offices!$A$2:$FZ$601,303,Sync!$C$5)&amp;"",""),6)&lt;&gt;"SAMPLE",Config!$B$19="Y")),IFERROR(N(INDEX(Clay_Offices!$A$2:$FZ$601,303,Sync!$C$11)),0),"")</f>
        <v/>
      </c>
      <c r="C1954" s="17">
        <f>IF(B1954="","","office")</f>
        <v/>
      </c>
      <c r="D1954" s="17">
        <f>IF(B1954="","",IFERROR(INDEX(Clay_Offices!$A$2:$FZ$601,303,Sync!$C$5)&amp;"",""))</f>
        <v/>
      </c>
      <c r="E1954" s="17">
        <f>IF(B1954="","",IFERROR(INDEX(Clay_Offices!$A$2:$FZ$601,303,Sync!$C$6)&amp;"",""))</f>
        <v/>
      </c>
      <c r="F1954" s="17">
        <f>IF(B1954="","","outreach_sent")</f>
        <v/>
      </c>
      <c r="G1954" s="17">
        <f>IF(B1954="","","")</f>
        <v/>
      </c>
      <c r="H1954" s="17">
        <f>IF(B1954="","","")</f>
        <v/>
      </c>
      <c r="I1954" s="17">
        <f>IF(B1954="","","")</f>
        <v/>
      </c>
      <c r="J1954" s="17">
        <f>IF(B1954="","","touch_1; "&amp;IFERROR(INDEX(Clay_Offices!$A$2:$FZ$601,303,Sync!$C$10)&amp;"","")&amp;"; "&amp;IFERROR(INDEX(Clay_Offices!$A$2:$FZ$601,303,Sync!$C$9)&amp;"",""))</f>
        <v/>
      </c>
      <c r="K1954" t="inlineStr">
        <is>
          <t>office outreach touch 1</t>
        </is>
      </c>
    </row>
    <row r="1955">
      <c r="A1955" s="17">
        <f>IF(B1955="","",B1955+(12*1000+304)/10000000)</f>
        <v/>
      </c>
      <c r="B1955" s="23">
        <f>IF(AND(IFERROR(N(INDEX(Clay_Offices!$A$2:$FZ$601,304,Sync!$C$11)),0)&gt;0,IFERROR(INDEX(Clay_Offices!$A$2:$FZ$601,304,Sync!$C$5)&amp;"","")&lt;&gt;"",OR(LEFT(IFERROR(INDEX(Clay_Offices!$A$2:$FZ$601,304,Sync!$C$5)&amp;"",""),6)&lt;&gt;"SAMPLE",Config!$B$19="Y")),IFERROR(N(INDEX(Clay_Offices!$A$2:$FZ$601,304,Sync!$C$11)),0),"")</f>
        <v/>
      </c>
      <c r="C1955" s="17">
        <f>IF(B1955="","","office")</f>
        <v/>
      </c>
      <c r="D1955" s="17">
        <f>IF(B1955="","",IFERROR(INDEX(Clay_Offices!$A$2:$FZ$601,304,Sync!$C$5)&amp;"",""))</f>
        <v/>
      </c>
      <c r="E1955" s="17">
        <f>IF(B1955="","",IFERROR(INDEX(Clay_Offices!$A$2:$FZ$601,304,Sync!$C$6)&amp;"",""))</f>
        <v/>
      </c>
      <c r="F1955" s="17">
        <f>IF(B1955="","","outreach_sent")</f>
        <v/>
      </c>
      <c r="G1955" s="17">
        <f>IF(B1955="","","")</f>
        <v/>
      </c>
      <c r="H1955" s="17">
        <f>IF(B1955="","","")</f>
        <v/>
      </c>
      <c r="I1955" s="17">
        <f>IF(B1955="","","")</f>
        <v/>
      </c>
      <c r="J1955" s="17">
        <f>IF(B1955="","","touch_1; "&amp;IFERROR(INDEX(Clay_Offices!$A$2:$FZ$601,304,Sync!$C$10)&amp;"","")&amp;"; "&amp;IFERROR(INDEX(Clay_Offices!$A$2:$FZ$601,304,Sync!$C$9)&amp;"",""))</f>
        <v/>
      </c>
      <c r="K1955" t="inlineStr">
        <is>
          <t>office outreach touch 1</t>
        </is>
      </c>
    </row>
    <row r="1956">
      <c r="A1956" s="17">
        <f>IF(B1956="","",B1956+(12*1000+305)/10000000)</f>
        <v/>
      </c>
      <c r="B1956" s="23">
        <f>IF(AND(IFERROR(N(INDEX(Clay_Offices!$A$2:$FZ$601,305,Sync!$C$11)),0)&gt;0,IFERROR(INDEX(Clay_Offices!$A$2:$FZ$601,305,Sync!$C$5)&amp;"","")&lt;&gt;"",OR(LEFT(IFERROR(INDEX(Clay_Offices!$A$2:$FZ$601,305,Sync!$C$5)&amp;"",""),6)&lt;&gt;"SAMPLE",Config!$B$19="Y")),IFERROR(N(INDEX(Clay_Offices!$A$2:$FZ$601,305,Sync!$C$11)),0),"")</f>
        <v/>
      </c>
      <c r="C1956" s="17">
        <f>IF(B1956="","","office")</f>
        <v/>
      </c>
      <c r="D1956" s="17">
        <f>IF(B1956="","",IFERROR(INDEX(Clay_Offices!$A$2:$FZ$601,305,Sync!$C$5)&amp;"",""))</f>
        <v/>
      </c>
      <c r="E1956" s="17">
        <f>IF(B1956="","",IFERROR(INDEX(Clay_Offices!$A$2:$FZ$601,305,Sync!$C$6)&amp;"",""))</f>
        <v/>
      </c>
      <c r="F1956" s="17">
        <f>IF(B1956="","","outreach_sent")</f>
        <v/>
      </c>
      <c r="G1956" s="17">
        <f>IF(B1956="","","")</f>
        <v/>
      </c>
      <c r="H1956" s="17">
        <f>IF(B1956="","","")</f>
        <v/>
      </c>
      <c r="I1956" s="17">
        <f>IF(B1956="","","")</f>
        <v/>
      </c>
      <c r="J1956" s="17">
        <f>IF(B1956="","","touch_1; "&amp;IFERROR(INDEX(Clay_Offices!$A$2:$FZ$601,305,Sync!$C$10)&amp;"","")&amp;"; "&amp;IFERROR(INDEX(Clay_Offices!$A$2:$FZ$601,305,Sync!$C$9)&amp;"",""))</f>
        <v/>
      </c>
      <c r="K1956" t="inlineStr">
        <is>
          <t>office outreach touch 1</t>
        </is>
      </c>
    </row>
    <row r="1957">
      <c r="A1957" s="17">
        <f>IF(B1957="","",B1957+(12*1000+306)/10000000)</f>
        <v/>
      </c>
      <c r="B1957" s="23">
        <f>IF(AND(IFERROR(N(INDEX(Clay_Offices!$A$2:$FZ$601,306,Sync!$C$11)),0)&gt;0,IFERROR(INDEX(Clay_Offices!$A$2:$FZ$601,306,Sync!$C$5)&amp;"","")&lt;&gt;"",OR(LEFT(IFERROR(INDEX(Clay_Offices!$A$2:$FZ$601,306,Sync!$C$5)&amp;"",""),6)&lt;&gt;"SAMPLE",Config!$B$19="Y")),IFERROR(N(INDEX(Clay_Offices!$A$2:$FZ$601,306,Sync!$C$11)),0),"")</f>
        <v/>
      </c>
      <c r="C1957" s="17">
        <f>IF(B1957="","","office")</f>
        <v/>
      </c>
      <c r="D1957" s="17">
        <f>IF(B1957="","",IFERROR(INDEX(Clay_Offices!$A$2:$FZ$601,306,Sync!$C$5)&amp;"",""))</f>
        <v/>
      </c>
      <c r="E1957" s="17">
        <f>IF(B1957="","",IFERROR(INDEX(Clay_Offices!$A$2:$FZ$601,306,Sync!$C$6)&amp;"",""))</f>
        <v/>
      </c>
      <c r="F1957" s="17">
        <f>IF(B1957="","","outreach_sent")</f>
        <v/>
      </c>
      <c r="G1957" s="17">
        <f>IF(B1957="","","")</f>
        <v/>
      </c>
      <c r="H1957" s="17">
        <f>IF(B1957="","","")</f>
        <v/>
      </c>
      <c r="I1957" s="17">
        <f>IF(B1957="","","")</f>
        <v/>
      </c>
      <c r="J1957" s="17">
        <f>IF(B1957="","","touch_1; "&amp;IFERROR(INDEX(Clay_Offices!$A$2:$FZ$601,306,Sync!$C$10)&amp;"","")&amp;"; "&amp;IFERROR(INDEX(Clay_Offices!$A$2:$FZ$601,306,Sync!$C$9)&amp;"",""))</f>
        <v/>
      </c>
      <c r="K1957" t="inlineStr">
        <is>
          <t>office outreach touch 1</t>
        </is>
      </c>
    </row>
    <row r="1958">
      <c r="A1958" s="17">
        <f>IF(B1958="","",B1958+(12*1000+307)/10000000)</f>
        <v/>
      </c>
      <c r="B1958" s="23">
        <f>IF(AND(IFERROR(N(INDEX(Clay_Offices!$A$2:$FZ$601,307,Sync!$C$11)),0)&gt;0,IFERROR(INDEX(Clay_Offices!$A$2:$FZ$601,307,Sync!$C$5)&amp;"","")&lt;&gt;"",OR(LEFT(IFERROR(INDEX(Clay_Offices!$A$2:$FZ$601,307,Sync!$C$5)&amp;"",""),6)&lt;&gt;"SAMPLE",Config!$B$19="Y")),IFERROR(N(INDEX(Clay_Offices!$A$2:$FZ$601,307,Sync!$C$11)),0),"")</f>
        <v/>
      </c>
      <c r="C1958" s="17">
        <f>IF(B1958="","","office")</f>
        <v/>
      </c>
      <c r="D1958" s="17">
        <f>IF(B1958="","",IFERROR(INDEX(Clay_Offices!$A$2:$FZ$601,307,Sync!$C$5)&amp;"",""))</f>
        <v/>
      </c>
      <c r="E1958" s="17">
        <f>IF(B1958="","",IFERROR(INDEX(Clay_Offices!$A$2:$FZ$601,307,Sync!$C$6)&amp;"",""))</f>
        <v/>
      </c>
      <c r="F1958" s="17">
        <f>IF(B1958="","","outreach_sent")</f>
        <v/>
      </c>
      <c r="G1958" s="17">
        <f>IF(B1958="","","")</f>
        <v/>
      </c>
      <c r="H1958" s="17">
        <f>IF(B1958="","","")</f>
        <v/>
      </c>
      <c r="I1958" s="17">
        <f>IF(B1958="","","")</f>
        <v/>
      </c>
      <c r="J1958" s="17">
        <f>IF(B1958="","","touch_1; "&amp;IFERROR(INDEX(Clay_Offices!$A$2:$FZ$601,307,Sync!$C$10)&amp;"","")&amp;"; "&amp;IFERROR(INDEX(Clay_Offices!$A$2:$FZ$601,307,Sync!$C$9)&amp;"",""))</f>
        <v/>
      </c>
      <c r="K1958" t="inlineStr">
        <is>
          <t>office outreach touch 1</t>
        </is>
      </c>
    </row>
    <row r="1959">
      <c r="A1959" s="17">
        <f>IF(B1959="","",B1959+(12*1000+308)/10000000)</f>
        <v/>
      </c>
      <c r="B1959" s="23">
        <f>IF(AND(IFERROR(N(INDEX(Clay_Offices!$A$2:$FZ$601,308,Sync!$C$11)),0)&gt;0,IFERROR(INDEX(Clay_Offices!$A$2:$FZ$601,308,Sync!$C$5)&amp;"","")&lt;&gt;"",OR(LEFT(IFERROR(INDEX(Clay_Offices!$A$2:$FZ$601,308,Sync!$C$5)&amp;"",""),6)&lt;&gt;"SAMPLE",Config!$B$19="Y")),IFERROR(N(INDEX(Clay_Offices!$A$2:$FZ$601,308,Sync!$C$11)),0),"")</f>
        <v/>
      </c>
      <c r="C1959" s="17">
        <f>IF(B1959="","","office")</f>
        <v/>
      </c>
      <c r="D1959" s="17">
        <f>IF(B1959="","",IFERROR(INDEX(Clay_Offices!$A$2:$FZ$601,308,Sync!$C$5)&amp;"",""))</f>
        <v/>
      </c>
      <c r="E1959" s="17">
        <f>IF(B1959="","",IFERROR(INDEX(Clay_Offices!$A$2:$FZ$601,308,Sync!$C$6)&amp;"",""))</f>
        <v/>
      </c>
      <c r="F1959" s="17">
        <f>IF(B1959="","","outreach_sent")</f>
        <v/>
      </c>
      <c r="G1959" s="17">
        <f>IF(B1959="","","")</f>
        <v/>
      </c>
      <c r="H1959" s="17">
        <f>IF(B1959="","","")</f>
        <v/>
      </c>
      <c r="I1959" s="17">
        <f>IF(B1959="","","")</f>
        <v/>
      </c>
      <c r="J1959" s="17">
        <f>IF(B1959="","","touch_1; "&amp;IFERROR(INDEX(Clay_Offices!$A$2:$FZ$601,308,Sync!$C$10)&amp;"","")&amp;"; "&amp;IFERROR(INDEX(Clay_Offices!$A$2:$FZ$601,308,Sync!$C$9)&amp;"",""))</f>
        <v/>
      </c>
      <c r="K1959" t="inlineStr">
        <is>
          <t>office outreach touch 1</t>
        </is>
      </c>
    </row>
    <row r="1960">
      <c r="A1960" s="17">
        <f>IF(B1960="","",B1960+(12*1000+309)/10000000)</f>
        <v/>
      </c>
      <c r="B1960" s="23">
        <f>IF(AND(IFERROR(N(INDEX(Clay_Offices!$A$2:$FZ$601,309,Sync!$C$11)),0)&gt;0,IFERROR(INDEX(Clay_Offices!$A$2:$FZ$601,309,Sync!$C$5)&amp;"","")&lt;&gt;"",OR(LEFT(IFERROR(INDEX(Clay_Offices!$A$2:$FZ$601,309,Sync!$C$5)&amp;"",""),6)&lt;&gt;"SAMPLE",Config!$B$19="Y")),IFERROR(N(INDEX(Clay_Offices!$A$2:$FZ$601,309,Sync!$C$11)),0),"")</f>
        <v/>
      </c>
      <c r="C1960" s="17">
        <f>IF(B1960="","","office")</f>
        <v/>
      </c>
      <c r="D1960" s="17">
        <f>IF(B1960="","",IFERROR(INDEX(Clay_Offices!$A$2:$FZ$601,309,Sync!$C$5)&amp;"",""))</f>
        <v/>
      </c>
      <c r="E1960" s="17">
        <f>IF(B1960="","",IFERROR(INDEX(Clay_Offices!$A$2:$FZ$601,309,Sync!$C$6)&amp;"",""))</f>
        <v/>
      </c>
      <c r="F1960" s="17">
        <f>IF(B1960="","","outreach_sent")</f>
        <v/>
      </c>
      <c r="G1960" s="17">
        <f>IF(B1960="","","")</f>
        <v/>
      </c>
      <c r="H1960" s="17">
        <f>IF(B1960="","","")</f>
        <v/>
      </c>
      <c r="I1960" s="17">
        <f>IF(B1960="","","")</f>
        <v/>
      </c>
      <c r="J1960" s="17">
        <f>IF(B1960="","","touch_1; "&amp;IFERROR(INDEX(Clay_Offices!$A$2:$FZ$601,309,Sync!$C$10)&amp;"","")&amp;"; "&amp;IFERROR(INDEX(Clay_Offices!$A$2:$FZ$601,309,Sync!$C$9)&amp;"",""))</f>
        <v/>
      </c>
      <c r="K1960" t="inlineStr">
        <is>
          <t>office outreach touch 1</t>
        </is>
      </c>
    </row>
    <row r="1961">
      <c r="A1961" s="17">
        <f>IF(B1961="","",B1961+(12*1000+310)/10000000)</f>
        <v/>
      </c>
      <c r="B1961" s="23">
        <f>IF(AND(IFERROR(N(INDEX(Clay_Offices!$A$2:$FZ$601,310,Sync!$C$11)),0)&gt;0,IFERROR(INDEX(Clay_Offices!$A$2:$FZ$601,310,Sync!$C$5)&amp;"","")&lt;&gt;"",OR(LEFT(IFERROR(INDEX(Clay_Offices!$A$2:$FZ$601,310,Sync!$C$5)&amp;"",""),6)&lt;&gt;"SAMPLE",Config!$B$19="Y")),IFERROR(N(INDEX(Clay_Offices!$A$2:$FZ$601,310,Sync!$C$11)),0),"")</f>
        <v/>
      </c>
      <c r="C1961" s="17">
        <f>IF(B1961="","","office")</f>
        <v/>
      </c>
      <c r="D1961" s="17">
        <f>IF(B1961="","",IFERROR(INDEX(Clay_Offices!$A$2:$FZ$601,310,Sync!$C$5)&amp;"",""))</f>
        <v/>
      </c>
      <c r="E1961" s="17">
        <f>IF(B1961="","",IFERROR(INDEX(Clay_Offices!$A$2:$FZ$601,310,Sync!$C$6)&amp;"",""))</f>
        <v/>
      </c>
      <c r="F1961" s="17">
        <f>IF(B1961="","","outreach_sent")</f>
        <v/>
      </c>
      <c r="G1961" s="17">
        <f>IF(B1961="","","")</f>
        <v/>
      </c>
      <c r="H1961" s="17">
        <f>IF(B1961="","","")</f>
        <v/>
      </c>
      <c r="I1961" s="17">
        <f>IF(B1961="","","")</f>
        <v/>
      </c>
      <c r="J1961" s="17">
        <f>IF(B1961="","","touch_1; "&amp;IFERROR(INDEX(Clay_Offices!$A$2:$FZ$601,310,Sync!$C$10)&amp;"","")&amp;"; "&amp;IFERROR(INDEX(Clay_Offices!$A$2:$FZ$601,310,Sync!$C$9)&amp;"",""))</f>
        <v/>
      </c>
      <c r="K1961" t="inlineStr">
        <is>
          <t>office outreach touch 1</t>
        </is>
      </c>
    </row>
    <row r="1962">
      <c r="A1962" s="17">
        <f>IF(B1962="","",B1962+(12*1000+311)/10000000)</f>
        <v/>
      </c>
      <c r="B1962" s="23">
        <f>IF(AND(IFERROR(N(INDEX(Clay_Offices!$A$2:$FZ$601,311,Sync!$C$11)),0)&gt;0,IFERROR(INDEX(Clay_Offices!$A$2:$FZ$601,311,Sync!$C$5)&amp;"","")&lt;&gt;"",OR(LEFT(IFERROR(INDEX(Clay_Offices!$A$2:$FZ$601,311,Sync!$C$5)&amp;"",""),6)&lt;&gt;"SAMPLE",Config!$B$19="Y")),IFERROR(N(INDEX(Clay_Offices!$A$2:$FZ$601,311,Sync!$C$11)),0),"")</f>
        <v/>
      </c>
      <c r="C1962" s="17">
        <f>IF(B1962="","","office")</f>
        <v/>
      </c>
      <c r="D1962" s="17">
        <f>IF(B1962="","",IFERROR(INDEX(Clay_Offices!$A$2:$FZ$601,311,Sync!$C$5)&amp;"",""))</f>
        <v/>
      </c>
      <c r="E1962" s="17">
        <f>IF(B1962="","",IFERROR(INDEX(Clay_Offices!$A$2:$FZ$601,311,Sync!$C$6)&amp;"",""))</f>
        <v/>
      </c>
      <c r="F1962" s="17">
        <f>IF(B1962="","","outreach_sent")</f>
        <v/>
      </c>
      <c r="G1962" s="17">
        <f>IF(B1962="","","")</f>
        <v/>
      </c>
      <c r="H1962" s="17">
        <f>IF(B1962="","","")</f>
        <v/>
      </c>
      <c r="I1962" s="17">
        <f>IF(B1962="","","")</f>
        <v/>
      </c>
      <c r="J1962" s="17">
        <f>IF(B1962="","","touch_1; "&amp;IFERROR(INDEX(Clay_Offices!$A$2:$FZ$601,311,Sync!$C$10)&amp;"","")&amp;"; "&amp;IFERROR(INDEX(Clay_Offices!$A$2:$FZ$601,311,Sync!$C$9)&amp;"",""))</f>
        <v/>
      </c>
      <c r="K1962" t="inlineStr">
        <is>
          <t>office outreach touch 1</t>
        </is>
      </c>
    </row>
    <row r="1963">
      <c r="A1963" s="17">
        <f>IF(B1963="","",B1963+(12*1000+312)/10000000)</f>
        <v/>
      </c>
      <c r="B1963" s="23">
        <f>IF(AND(IFERROR(N(INDEX(Clay_Offices!$A$2:$FZ$601,312,Sync!$C$11)),0)&gt;0,IFERROR(INDEX(Clay_Offices!$A$2:$FZ$601,312,Sync!$C$5)&amp;"","")&lt;&gt;"",OR(LEFT(IFERROR(INDEX(Clay_Offices!$A$2:$FZ$601,312,Sync!$C$5)&amp;"",""),6)&lt;&gt;"SAMPLE",Config!$B$19="Y")),IFERROR(N(INDEX(Clay_Offices!$A$2:$FZ$601,312,Sync!$C$11)),0),"")</f>
        <v/>
      </c>
      <c r="C1963" s="17">
        <f>IF(B1963="","","office")</f>
        <v/>
      </c>
      <c r="D1963" s="17">
        <f>IF(B1963="","",IFERROR(INDEX(Clay_Offices!$A$2:$FZ$601,312,Sync!$C$5)&amp;"",""))</f>
        <v/>
      </c>
      <c r="E1963" s="17">
        <f>IF(B1963="","",IFERROR(INDEX(Clay_Offices!$A$2:$FZ$601,312,Sync!$C$6)&amp;"",""))</f>
        <v/>
      </c>
      <c r="F1963" s="17">
        <f>IF(B1963="","","outreach_sent")</f>
        <v/>
      </c>
      <c r="G1963" s="17">
        <f>IF(B1963="","","")</f>
        <v/>
      </c>
      <c r="H1963" s="17">
        <f>IF(B1963="","","")</f>
        <v/>
      </c>
      <c r="I1963" s="17">
        <f>IF(B1963="","","")</f>
        <v/>
      </c>
      <c r="J1963" s="17">
        <f>IF(B1963="","","touch_1; "&amp;IFERROR(INDEX(Clay_Offices!$A$2:$FZ$601,312,Sync!$C$10)&amp;"","")&amp;"; "&amp;IFERROR(INDEX(Clay_Offices!$A$2:$FZ$601,312,Sync!$C$9)&amp;"",""))</f>
        <v/>
      </c>
      <c r="K1963" t="inlineStr">
        <is>
          <t>office outreach touch 1</t>
        </is>
      </c>
    </row>
    <row r="1964">
      <c r="A1964" s="17">
        <f>IF(B1964="","",B1964+(12*1000+313)/10000000)</f>
        <v/>
      </c>
      <c r="B1964" s="23">
        <f>IF(AND(IFERROR(N(INDEX(Clay_Offices!$A$2:$FZ$601,313,Sync!$C$11)),0)&gt;0,IFERROR(INDEX(Clay_Offices!$A$2:$FZ$601,313,Sync!$C$5)&amp;"","")&lt;&gt;"",OR(LEFT(IFERROR(INDEX(Clay_Offices!$A$2:$FZ$601,313,Sync!$C$5)&amp;"",""),6)&lt;&gt;"SAMPLE",Config!$B$19="Y")),IFERROR(N(INDEX(Clay_Offices!$A$2:$FZ$601,313,Sync!$C$11)),0),"")</f>
        <v/>
      </c>
      <c r="C1964" s="17">
        <f>IF(B1964="","","office")</f>
        <v/>
      </c>
      <c r="D1964" s="17">
        <f>IF(B1964="","",IFERROR(INDEX(Clay_Offices!$A$2:$FZ$601,313,Sync!$C$5)&amp;"",""))</f>
        <v/>
      </c>
      <c r="E1964" s="17">
        <f>IF(B1964="","",IFERROR(INDEX(Clay_Offices!$A$2:$FZ$601,313,Sync!$C$6)&amp;"",""))</f>
        <v/>
      </c>
      <c r="F1964" s="17">
        <f>IF(B1964="","","outreach_sent")</f>
        <v/>
      </c>
      <c r="G1964" s="17">
        <f>IF(B1964="","","")</f>
        <v/>
      </c>
      <c r="H1964" s="17">
        <f>IF(B1964="","","")</f>
        <v/>
      </c>
      <c r="I1964" s="17">
        <f>IF(B1964="","","")</f>
        <v/>
      </c>
      <c r="J1964" s="17">
        <f>IF(B1964="","","touch_1; "&amp;IFERROR(INDEX(Clay_Offices!$A$2:$FZ$601,313,Sync!$C$10)&amp;"","")&amp;"; "&amp;IFERROR(INDEX(Clay_Offices!$A$2:$FZ$601,313,Sync!$C$9)&amp;"",""))</f>
        <v/>
      </c>
      <c r="K1964" t="inlineStr">
        <is>
          <t>office outreach touch 1</t>
        </is>
      </c>
    </row>
    <row r="1965">
      <c r="A1965" s="17">
        <f>IF(B1965="","",B1965+(12*1000+314)/10000000)</f>
        <v/>
      </c>
      <c r="B1965" s="23">
        <f>IF(AND(IFERROR(N(INDEX(Clay_Offices!$A$2:$FZ$601,314,Sync!$C$11)),0)&gt;0,IFERROR(INDEX(Clay_Offices!$A$2:$FZ$601,314,Sync!$C$5)&amp;"","")&lt;&gt;"",OR(LEFT(IFERROR(INDEX(Clay_Offices!$A$2:$FZ$601,314,Sync!$C$5)&amp;"",""),6)&lt;&gt;"SAMPLE",Config!$B$19="Y")),IFERROR(N(INDEX(Clay_Offices!$A$2:$FZ$601,314,Sync!$C$11)),0),"")</f>
        <v/>
      </c>
      <c r="C1965" s="17">
        <f>IF(B1965="","","office")</f>
        <v/>
      </c>
      <c r="D1965" s="17">
        <f>IF(B1965="","",IFERROR(INDEX(Clay_Offices!$A$2:$FZ$601,314,Sync!$C$5)&amp;"",""))</f>
        <v/>
      </c>
      <c r="E1965" s="17">
        <f>IF(B1965="","",IFERROR(INDEX(Clay_Offices!$A$2:$FZ$601,314,Sync!$C$6)&amp;"",""))</f>
        <v/>
      </c>
      <c r="F1965" s="17">
        <f>IF(B1965="","","outreach_sent")</f>
        <v/>
      </c>
      <c r="G1965" s="17">
        <f>IF(B1965="","","")</f>
        <v/>
      </c>
      <c r="H1965" s="17">
        <f>IF(B1965="","","")</f>
        <v/>
      </c>
      <c r="I1965" s="17">
        <f>IF(B1965="","","")</f>
        <v/>
      </c>
      <c r="J1965" s="17">
        <f>IF(B1965="","","touch_1; "&amp;IFERROR(INDEX(Clay_Offices!$A$2:$FZ$601,314,Sync!$C$10)&amp;"","")&amp;"; "&amp;IFERROR(INDEX(Clay_Offices!$A$2:$FZ$601,314,Sync!$C$9)&amp;"",""))</f>
        <v/>
      </c>
      <c r="K1965" t="inlineStr">
        <is>
          <t>office outreach touch 1</t>
        </is>
      </c>
    </row>
    <row r="1966">
      <c r="A1966" s="17">
        <f>IF(B1966="","",B1966+(12*1000+315)/10000000)</f>
        <v/>
      </c>
      <c r="B1966" s="23">
        <f>IF(AND(IFERROR(N(INDEX(Clay_Offices!$A$2:$FZ$601,315,Sync!$C$11)),0)&gt;0,IFERROR(INDEX(Clay_Offices!$A$2:$FZ$601,315,Sync!$C$5)&amp;"","")&lt;&gt;"",OR(LEFT(IFERROR(INDEX(Clay_Offices!$A$2:$FZ$601,315,Sync!$C$5)&amp;"",""),6)&lt;&gt;"SAMPLE",Config!$B$19="Y")),IFERROR(N(INDEX(Clay_Offices!$A$2:$FZ$601,315,Sync!$C$11)),0),"")</f>
        <v/>
      </c>
      <c r="C1966" s="17">
        <f>IF(B1966="","","office")</f>
        <v/>
      </c>
      <c r="D1966" s="17">
        <f>IF(B1966="","",IFERROR(INDEX(Clay_Offices!$A$2:$FZ$601,315,Sync!$C$5)&amp;"",""))</f>
        <v/>
      </c>
      <c r="E1966" s="17">
        <f>IF(B1966="","",IFERROR(INDEX(Clay_Offices!$A$2:$FZ$601,315,Sync!$C$6)&amp;"",""))</f>
        <v/>
      </c>
      <c r="F1966" s="17">
        <f>IF(B1966="","","outreach_sent")</f>
        <v/>
      </c>
      <c r="G1966" s="17">
        <f>IF(B1966="","","")</f>
        <v/>
      </c>
      <c r="H1966" s="17">
        <f>IF(B1966="","","")</f>
        <v/>
      </c>
      <c r="I1966" s="17">
        <f>IF(B1966="","","")</f>
        <v/>
      </c>
      <c r="J1966" s="17">
        <f>IF(B1966="","","touch_1; "&amp;IFERROR(INDEX(Clay_Offices!$A$2:$FZ$601,315,Sync!$C$10)&amp;"","")&amp;"; "&amp;IFERROR(INDEX(Clay_Offices!$A$2:$FZ$601,315,Sync!$C$9)&amp;"",""))</f>
        <v/>
      </c>
      <c r="K1966" t="inlineStr">
        <is>
          <t>office outreach touch 1</t>
        </is>
      </c>
    </row>
    <row r="1967">
      <c r="A1967" s="17">
        <f>IF(B1967="","",B1967+(12*1000+316)/10000000)</f>
        <v/>
      </c>
      <c r="B1967" s="23">
        <f>IF(AND(IFERROR(N(INDEX(Clay_Offices!$A$2:$FZ$601,316,Sync!$C$11)),0)&gt;0,IFERROR(INDEX(Clay_Offices!$A$2:$FZ$601,316,Sync!$C$5)&amp;"","")&lt;&gt;"",OR(LEFT(IFERROR(INDEX(Clay_Offices!$A$2:$FZ$601,316,Sync!$C$5)&amp;"",""),6)&lt;&gt;"SAMPLE",Config!$B$19="Y")),IFERROR(N(INDEX(Clay_Offices!$A$2:$FZ$601,316,Sync!$C$11)),0),"")</f>
        <v/>
      </c>
      <c r="C1967" s="17">
        <f>IF(B1967="","","office")</f>
        <v/>
      </c>
      <c r="D1967" s="17">
        <f>IF(B1967="","",IFERROR(INDEX(Clay_Offices!$A$2:$FZ$601,316,Sync!$C$5)&amp;"",""))</f>
        <v/>
      </c>
      <c r="E1967" s="17">
        <f>IF(B1967="","",IFERROR(INDEX(Clay_Offices!$A$2:$FZ$601,316,Sync!$C$6)&amp;"",""))</f>
        <v/>
      </c>
      <c r="F1967" s="17">
        <f>IF(B1967="","","outreach_sent")</f>
        <v/>
      </c>
      <c r="G1967" s="17">
        <f>IF(B1967="","","")</f>
        <v/>
      </c>
      <c r="H1967" s="17">
        <f>IF(B1967="","","")</f>
        <v/>
      </c>
      <c r="I1967" s="17">
        <f>IF(B1967="","","")</f>
        <v/>
      </c>
      <c r="J1967" s="17">
        <f>IF(B1967="","","touch_1; "&amp;IFERROR(INDEX(Clay_Offices!$A$2:$FZ$601,316,Sync!$C$10)&amp;"","")&amp;"; "&amp;IFERROR(INDEX(Clay_Offices!$A$2:$FZ$601,316,Sync!$C$9)&amp;"",""))</f>
        <v/>
      </c>
      <c r="K1967" t="inlineStr">
        <is>
          <t>office outreach touch 1</t>
        </is>
      </c>
    </row>
    <row r="1968">
      <c r="A1968" s="17">
        <f>IF(B1968="","",B1968+(12*1000+317)/10000000)</f>
        <v/>
      </c>
      <c r="B1968" s="23">
        <f>IF(AND(IFERROR(N(INDEX(Clay_Offices!$A$2:$FZ$601,317,Sync!$C$11)),0)&gt;0,IFERROR(INDEX(Clay_Offices!$A$2:$FZ$601,317,Sync!$C$5)&amp;"","")&lt;&gt;"",OR(LEFT(IFERROR(INDEX(Clay_Offices!$A$2:$FZ$601,317,Sync!$C$5)&amp;"",""),6)&lt;&gt;"SAMPLE",Config!$B$19="Y")),IFERROR(N(INDEX(Clay_Offices!$A$2:$FZ$601,317,Sync!$C$11)),0),"")</f>
        <v/>
      </c>
      <c r="C1968" s="17">
        <f>IF(B1968="","","office")</f>
        <v/>
      </c>
      <c r="D1968" s="17">
        <f>IF(B1968="","",IFERROR(INDEX(Clay_Offices!$A$2:$FZ$601,317,Sync!$C$5)&amp;"",""))</f>
        <v/>
      </c>
      <c r="E1968" s="17">
        <f>IF(B1968="","",IFERROR(INDEX(Clay_Offices!$A$2:$FZ$601,317,Sync!$C$6)&amp;"",""))</f>
        <v/>
      </c>
      <c r="F1968" s="17">
        <f>IF(B1968="","","outreach_sent")</f>
        <v/>
      </c>
      <c r="G1968" s="17">
        <f>IF(B1968="","","")</f>
        <v/>
      </c>
      <c r="H1968" s="17">
        <f>IF(B1968="","","")</f>
        <v/>
      </c>
      <c r="I1968" s="17">
        <f>IF(B1968="","","")</f>
        <v/>
      </c>
      <c r="J1968" s="17">
        <f>IF(B1968="","","touch_1; "&amp;IFERROR(INDEX(Clay_Offices!$A$2:$FZ$601,317,Sync!$C$10)&amp;"","")&amp;"; "&amp;IFERROR(INDEX(Clay_Offices!$A$2:$FZ$601,317,Sync!$C$9)&amp;"",""))</f>
        <v/>
      </c>
      <c r="K1968" t="inlineStr">
        <is>
          <t>office outreach touch 1</t>
        </is>
      </c>
    </row>
    <row r="1969">
      <c r="A1969" s="17">
        <f>IF(B1969="","",B1969+(12*1000+318)/10000000)</f>
        <v/>
      </c>
      <c r="B1969" s="23">
        <f>IF(AND(IFERROR(N(INDEX(Clay_Offices!$A$2:$FZ$601,318,Sync!$C$11)),0)&gt;0,IFERROR(INDEX(Clay_Offices!$A$2:$FZ$601,318,Sync!$C$5)&amp;"","")&lt;&gt;"",OR(LEFT(IFERROR(INDEX(Clay_Offices!$A$2:$FZ$601,318,Sync!$C$5)&amp;"",""),6)&lt;&gt;"SAMPLE",Config!$B$19="Y")),IFERROR(N(INDEX(Clay_Offices!$A$2:$FZ$601,318,Sync!$C$11)),0),"")</f>
        <v/>
      </c>
      <c r="C1969" s="17">
        <f>IF(B1969="","","office")</f>
        <v/>
      </c>
      <c r="D1969" s="17">
        <f>IF(B1969="","",IFERROR(INDEX(Clay_Offices!$A$2:$FZ$601,318,Sync!$C$5)&amp;"",""))</f>
        <v/>
      </c>
      <c r="E1969" s="17">
        <f>IF(B1969="","",IFERROR(INDEX(Clay_Offices!$A$2:$FZ$601,318,Sync!$C$6)&amp;"",""))</f>
        <v/>
      </c>
      <c r="F1969" s="17">
        <f>IF(B1969="","","outreach_sent")</f>
        <v/>
      </c>
      <c r="G1969" s="17">
        <f>IF(B1969="","","")</f>
        <v/>
      </c>
      <c r="H1969" s="17">
        <f>IF(B1969="","","")</f>
        <v/>
      </c>
      <c r="I1969" s="17">
        <f>IF(B1969="","","")</f>
        <v/>
      </c>
      <c r="J1969" s="17">
        <f>IF(B1969="","","touch_1; "&amp;IFERROR(INDEX(Clay_Offices!$A$2:$FZ$601,318,Sync!$C$10)&amp;"","")&amp;"; "&amp;IFERROR(INDEX(Clay_Offices!$A$2:$FZ$601,318,Sync!$C$9)&amp;"",""))</f>
        <v/>
      </c>
      <c r="K1969" t="inlineStr">
        <is>
          <t>office outreach touch 1</t>
        </is>
      </c>
    </row>
    <row r="1970">
      <c r="A1970" s="17">
        <f>IF(B1970="","",B1970+(12*1000+319)/10000000)</f>
        <v/>
      </c>
      <c r="B1970" s="23">
        <f>IF(AND(IFERROR(N(INDEX(Clay_Offices!$A$2:$FZ$601,319,Sync!$C$11)),0)&gt;0,IFERROR(INDEX(Clay_Offices!$A$2:$FZ$601,319,Sync!$C$5)&amp;"","")&lt;&gt;"",OR(LEFT(IFERROR(INDEX(Clay_Offices!$A$2:$FZ$601,319,Sync!$C$5)&amp;"",""),6)&lt;&gt;"SAMPLE",Config!$B$19="Y")),IFERROR(N(INDEX(Clay_Offices!$A$2:$FZ$601,319,Sync!$C$11)),0),"")</f>
        <v/>
      </c>
      <c r="C1970" s="17">
        <f>IF(B1970="","","office")</f>
        <v/>
      </c>
      <c r="D1970" s="17">
        <f>IF(B1970="","",IFERROR(INDEX(Clay_Offices!$A$2:$FZ$601,319,Sync!$C$5)&amp;"",""))</f>
        <v/>
      </c>
      <c r="E1970" s="17">
        <f>IF(B1970="","",IFERROR(INDEX(Clay_Offices!$A$2:$FZ$601,319,Sync!$C$6)&amp;"",""))</f>
        <v/>
      </c>
      <c r="F1970" s="17">
        <f>IF(B1970="","","outreach_sent")</f>
        <v/>
      </c>
      <c r="G1970" s="17">
        <f>IF(B1970="","","")</f>
        <v/>
      </c>
      <c r="H1970" s="17">
        <f>IF(B1970="","","")</f>
        <v/>
      </c>
      <c r="I1970" s="17">
        <f>IF(B1970="","","")</f>
        <v/>
      </c>
      <c r="J1970" s="17">
        <f>IF(B1970="","","touch_1; "&amp;IFERROR(INDEX(Clay_Offices!$A$2:$FZ$601,319,Sync!$C$10)&amp;"","")&amp;"; "&amp;IFERROR(INDEX(Clay_Offices!$A$2:$FZ$601,319,Sync!$C$9)&amp;"",""))</f>
        <v/>
      </c>
      <c r="K1970" t="inlineStr">
        <is>
          <t>office outreach touch 1</t>
        </is>
      </c>
    </row>
    <row r="1971">
      <c r="A1971" s="17">
        <f>IF(B1971="","",B1971+(12*1000+320)/10000000)</f>
        <v/>
      </c>
      <c r="B1971" s="23">
        <f>IF(AND(IFERROR(N(INDEX(Clay_Offices!$A$2:$FZ$601,320,Sync!$C$11)),0)&gt;0,IFERROR(INDEX(Clay_Offices!$A$2:$FZ$601,320,Sync!$C$5)&amp;"","")&lt;&gt;"",OR(LEFT(IFERROR(INDEX(Clay_Offices!$A$2:$FZ$601,320,Sync!$C$5)&amp;"",""),6)&lt;&gt;"SAMPLE",Config!$B$19="Y")),IFERROR(N(INDEX(Clay_Offices!$A$2:$FZ$601,320,Sync!$C$11)),0),"")</f>
        <v/>
      </c>
      <c r="C1971" s="17">
        <f>IF(B1971="","","office")</f>
        <v/>
      </c>
      <c r="D1971" s="17">
        <f>IF(B1971="","",IFERROR(INDEX(Clay_Offices!$A$2:$FZ$601,320,Sync!$C$5)&amp;"",""))</f>
        <v/>
      </c>
      <c r="E1971" s="17">
        <f>IF(B1971="","",IFERROR(INDEX(Clay_Offices!$A$2:$FZ$601,320,Sync!$C$6)&amp;"",""))</f>
        <v/>
      </c>
      <c r="F1971" s="17">
        <f>IF(B1971="","","outreach_sent")</f>
        <v/>
      </c>
      <c r="G1971" s="17">
        <f>IF(B1971="","","")</f>
        <v/>
      </c>
      <c r="H1971" s="17">
        <f>IF(B1971="","","")</f>
        <v/>
      </c>
      <c r="I1971" s="17">
        <f>IF(B1971="","","")</f>
        <v/>
      </c>
      <c r="J1971" s="17">
        <f>IF(B1971="","","touch_1; "&amp;IFERROR(INDEX(Clay_Offices!$A$2:$FZ$601,320,Sync!$C$10)&amp;"","")&amp;"; "&amp;IFERROR(INDEX(Clay_Offices!$A$2:$FZ$601,320,Sync!$C$9)&amp;"",""))</f>
        <v/>
      </c>
      <c r="K1971" t="inlineStr">
        <is>
          <t>office outreach touch 1</t>
        </is>
      </c>
    </row>
    <row r="1972">
      <c r="A1972" s="17">
        <f>IF(B1972="","",B1972+(12*1000+321)/10000000)</f>
        <v/>
      </c>
      <c r="B1972" s="23">
        <f>IF(AND(IFERROR(N(INDEX(Clay_Offices!$A$2:$FZ$601,321,Sync!$C$11)),0)&gt;0,IFERROR(INDEX(Clay_Offices!$A$2:$FZ$601,321,Sync!$C$5)&amp;"","")&lt;&gt;"",OR(LEFT(IFERROR(INDEX(Clay_Offices!$A$2:$FZ$601,321,Sync!$C$5)&amp;"",""),6)&lt;&gt;"SAMPLE",Config!$B$19="Y")),IFERROR(N(INDEX(Clay_Offices!$A$2:$FZ$601,321,Sync!$C$11)),0),"")</f>
        <v/>
      </c>
      <c r="C1972" s="17">
        <f>IF(B1972="","","office")</f>
        <v/>
      </c>
      <c r="D1972" s="17">
        <f>IF(B1972="","",IFERROR(INDEX(Clay_Offices!$A$2:$FZ$601,321,Sync!$C$5)&amp;"",""))</f>
        <v/>
      </c>
      <c r="E1972" s="17">
        <f>IF(B1972="","",IFERROR(INDEX(Clay_Offices!$A$2:$FZ$601,321,Sync!$C$6)&amp;"",""))</f>
        <v/>
      </c>
      <c r="F1972" s="17">
        <f>IF(B1972="","","outreach_sent")</f>
        <v/>
      </c>
      <c r="G1972" s="17">
        <f>IF(B1972="","","")</f>
        <v/>
      </c>
      <c r="H1972" s="17">
        <f>IF(B1972="","","")</f>
        <v/>
      </c>
      <c r="I1972" s="17">
        <f>IF(B1972="","","")</f>
        <v/>
      </c>
      <c r="J1972" s="17">
        <f>IF(B1972="","","touch_1; "&amp;IFERROR(INDEX(Clay_Offices!$A$2:$FZ$601,321,Sync!$C$10)&amp;"","")&amp;"; "&amp;IFERROR(INDEX(Clay_Offices!$A$2:$FZ$601,321,Sync!$C$9)&amp;"",""))</f>
        <v/>
      </c>
      <c r="K1972" t="inlineStr">
        <is>
          <t>office outreach touch 1</t>
        </is>
      </c>
    </row>
    <row r="1973">
      <c r="A1973" s="17">
        <f>IF(B1973="","",B1973+(12*1000+322)/10000000)</f>
        <v/>
      </c>
      <c r="B1973" s="23">
        <f>IF(AND(IFERROR(N(INDEX(Clay_Offices!$A$2:$FZ$601,322,Sync!$C$11)),0)&gt;0,IFERROR(INDEX(Clay_Offices!$A$2:$FZ$601,322,Sync!$C$5)&amp;"","")&lt;&gt;"",OR(LEFT(IFERROR(INDEX(Clay_Offices!$A$2:$FZ$601,322,Sync!$C$5)&amp;"",""),6)&lt;&gt;"SAMPLE",Config!$B$19="Y")),IFERROR(N(INDEX(Clay_Offices!$A$2:$FZ$601,322,Sync!$C$11)),0),"")</f>
        <v/>
      </c>
      <c r="C1973" s="17">
        <f>IF(B1973="","","office")</f>
        <v/>
      </c>
      <c r="D1973" s="17">
        <f>IF(B1973="","",IFERROR(INDEX(Clay_Offices!$A$2:$FZ$601,322,Sync!$C$5)&amp;"",""))</f>
        <v/>
      </c>
      <c r="E1973" s="17">
        <f>IF(B1973="","",IFERROR(INDEX(Clay_Offices!$A$2:$FZ$601,322,Sync!$C$6)&amp;"",""))</f>
        <v/>
      </c>
      <c r="F1973" s="17">
        <f>IF(B1973="","","outreach_sent")</f>
        <v/>
      </c>
      <c r="G1973" s="17">
        <f>IF(B1973="","","")</f>
        <v/>
      </c>
      <c r="H1973" s="17">
        <f>IF(B1973="","","")</f>
        <v/>
      </c>
      <c r="I1973" s="17">
        <f>IF(B1973="","","")</f>
        <v/>
      </c>
      <c r="J1973" s="17">
        <f>IF(B1973="","","touch_1; "&amp;IFERROR(INDEX(Clay_Offices!$A$2:$FZ$601,322,Sync!$C$10)&amp;"","")&amp;"; "&amp;IFERROR(INDEX(Clay_Offices!$A$2:$FZ$601,322,Sync!$C$9)&amp;"",""))</f>
        <v/>
      </c>
      <c r="K1973" t="inlineStr">
        <is>
          <t>office outreach touch 1</t>
        </is>
      </c>
    </row>
    <row r="1974">
      <c r="A1974" s="17">
        <f>IF(B1974="","",B1974+(12*1000+323)/10000000)</f>
        <v/>
      </c>
      <c r="B1974" s="23">
        <f>IF(AND(IFERROR(N(INDEX(Clay_Offices!$A$2:$FZ$601,323,Sync!$C$11)),0)&gt;0,IFERROR(INDEX(Clay_Offices!$A$2:$FZ$601,323,Sync!$C$5)&amp;"","")&lt;&gt;"",OR(LEFT(IFERROR(INDEX(Clay_Offices!$A$2:$FZ$601,323,Sync!$C$5)&amp;"",""),6)&lt;&gt;"SAMPLE",Config!$B$19="Y")),IFERROR(N(INDEX(Clay_Offices!$A$2:$FZ$601,323,Sync!$C$11)),0),"")</f>
        <v/>
      </c>
      <c r="C1974" s="17">
        <f>IF(B1974="","","office")</f>
        <v/>
      </c>
      <c r="D1974" s="17">
        <f>IF(B1974="","",IFERROR(INDEX(Clay_Offices!$A$2:$FZ$601,323,Sync!$C$5)&amp;"",""))</f>
        <v/>
      </c>
      <c r="E1974" s="17">
        <f>IF(B1974="","",IFERROR(INDEX(Clay_Offices!$A$2:$FZ$601,323,Sync!$C$6)&amp;"",""))</f>
        <v/>
      </c>
      <c r="F1974" s="17">
        <f>IF(B1974="","","outreach_sent")</f>
        <v/>
      </c>
      <c r="G1974" s="17">
        <f>IF(B1974="","","")</f>
        <v/>
      </c>
      <c r="H1974" s="17">
        <f>IF(B1974="","","")</f>
        <v/>
      </c>
      <c r="I1974" s="17">
        <f>IF(B1974="","","")</f>
        <v/>
      </c>
      <c r="J1974" s="17">
        <f>IF(B1974="","","touch_1; "&amp;IFERROR(INDEX(Clay_Offices!$A$2:$FZ$601,323,Sync!$C$10)&amp;"","")&amp;"; "&amp;IFERROR(INDEX(Clay_Offices!$A$2:$FZ$601,323,Sync!$C$9)&amp;"",""))</f>
        <v/>
      </c>
      <c r="K1974" t="inlineStr">
        <is>
          <t>office outreach touch 1</t>
        </is>
      </c>
    </row>
    <row r="1975">
      <c r="A1975" s="17">
        <f>IF(B1975="","",B1975+(12*1000+324)/10000000)</f>
        <v/>
      </c>
      <c r="B1975" s="23">
        <f>IF(AND(IFERROR(N(INDEX(Clay_Offices!$A$2:$FZ$601,324,Sync!$C$11)),0)&gt;0,IFERROR(INDEX(Clay_Offices!$A$2:$FZ$601,324,Sync!$C$5)&amp;"","")&lt;&gt;"",OR(LEFT(IFERROR(INDEX(Clay_Offices!$A$2:$FZ$601,324,Sync!$C$5)&amp;"",""),6)&lt;&gt;"SAMPLE",Config!$B$19="Y")),IFERROR(N(INDEX(Clay_Offices!$A$2:$FZ$601,324,Sync!$C$11)),0),"")</f>
        <v/>
      </c>
      <c r="C1975" s="17">
        <f>IF(B1975="","","office")</f>
        <v/>
      </c>
      <c r="D1975" s="17">
        <f>IF(B1975="","",IFERROR(INDEX(Clay_Offices!$A$2:$FZ$601,324,Sync!$C$5)&amp;"",""))</f>
        <v/>
      </c>
      <c r="E1975" s="17">
        <f>IF(B1975="","",IFERROR(INDEX(Clay_Offices!$A$2:$FZ$601,324,Sync!$C$6)&amp;"",""))</f>
        <v/>
      </c>
      <c r="F1975" s="17">
        <f>IF(B1975="","","outreach_sent")</f>
        <v/>
      </c>
      <c r="G1975" s="17">
        <f>IF(B1975="","","")</f>
        <v/>
      </c>
      <c r="H1975" s="17">
        <f>IF(B1975="","","")</f>
        <v/>
      </c>
      <c r="I1975" s="17">
        <f>IF(B1975="","","")</f>
        <v/>
      </c>
      <c r="J1975" s="17">
        <f>IF(B1975="","","touch_1; "&amp;IFERROR(INDEX(Clay_Offices!$A$2:$FZ$601,324,Sync!$C$10)&amp;"","")&amp;"; "&amp;IFERROR(INDEX(Clay_Offices!$A$2:$FZ$601,324,Sync!$C$9)&amp;"",""))</f>
        <v/>
      </c>
      <c r="K1975" t="inlineStr">
        <is>
          <t>office outreach touch 1</t>
        </is>
      </c>
    </row>
    <row r="1976">
      <c r="A1976" s="17">
        <f>IF(B1976="","",B1976+(12*1000+325)/10000000)</f>
        <v/>
      </c>
      <c r="B1976" s="23">
        <f>IF(AND(IFERROR(N(INDEX(Clay_Offices!$A$2:$FZ$601,325,Sync!$C$11)),0)&gt;0,IFERROR(INDEX(Clay_Offices!$A$2:$FZ$601,325,Sync!$C$5)&amp;"","")&lt;&gt;"",OR(LEFT(IFERROR(INDEX(Clay_Offices!$A$2:$FZ$601,325,Sync!$C$5)&amp;"",""),6)&lt;&gt;"SAMPLE",Config!$B$19="Y")),IFERROR(N(INDEX(Clay_Offices!$A$2:$FZ$601,325,Sync!$C$11)),0),"")</f>
        <v/>
      </c>
      <c r="C1976" s="17">
        <f>IF(B1976="","","office")</f>
        <v/>
      </c>
      <c r="D1976" s="17">
        <f>IF(B1976="","",IFERROR(INDEX(Clay_Offices!$A$2:$FZ$601,325,Sync!$C$5)&amp;"",""))</f>
        <v/>
      </c>
      <c r="E1976" s="17">
        <f>IF(B1976="","",IFERROR(INDEX(Clay_Offices!$A$2:$FZ$601,325,Sync!$C$6)&amp;"",""))</f>
        <v/>
      </c>
      <c r="F1976" s="17">
        <f>IF(B1976="","","outreach_sent")</f>
        <v/>
      </c>
      <c r="G1976" s="17">
        <f>IF(B1976="","","")</f>
        <v/>
      </c>
      <c r="H1976" s="17">
        <f>IF(B1976="","","")</f>
        <v/>
      </c>
      <c r="I1976" s="17">
        <f>IF(B1976="","","")</f>
        <v/>
      </c>
      <c r="J1976" s="17">
        <f>IF(B1976="","","touch_1; "&amp;IFERROR(INDEX(Clay_Offices!$A$2:$FZ$601,325,Sync!$C$10)&amp;"","")&amp;"; "&amp;IFERROR(INDEX(Clay_Offices!$A$2:$FZ$601,325,Sync!$C$9)&amp;"",""))</f>
        <v/>
      </c>
      <c r="K1976" t="inlineStr">
        <is>
          <t>office outreach touch 1</t>
        </is>
      </c>
    </row>
    <row r="1977">
      <c r="A1977" s="17">
        <f>IF(B1977="","",B1977+(12*1000+326)/10000000)</f>
        <v/>
      </c>
      <c r="B1977" s="23">
        <f>IF(AND(IFERROR(N(INDEX(Clay_Offices!$A$2:$FZ$601,326,Sync!$C$11)),0)&gt;0,IFERROR(INDEX(Clay_Offices!$A$2:$FZ$601,326,Sync!$C$5)&amp;"","")&lt;&gt;"",OR(LEFT(IFERROR(INDEX(Clay_Offices!$A$2:$FZ$601,326,Sync!$C$5)&amp;"",""),6)&lt;&gt;"SAMPLE",Config!$B$19="Y")),IFERROR(N(INDEX(Clay_Offices!$A$2:$FZ$601,326,Sync!$C$11)),0),"")</f>
        <v/>
      </c>
      <c r="C1977" s="17">
        <f>IF(B1977="","","office")</f>
        <v/>
      </c>
      <c r="D1977" s="17">
        <f>IF(B1977="","",IFERROR(INDEX(Clay_Offices!$A$2:$FZ$601,326,Sync!$C$5)&amp;"",""))</f>
        <v/>
      </c>
      <c r="E1977" s="17">
        <f>IF(B1977="","",IFERROR(INDEX(Clay_Offices!$A$2:$FZ$601,326,Sync!$C$6)&amp;"",""))</f>
        <v/>
      </c>
      <c r="F1977" s="17">
        <f>IF(B1977="","","outreach_sent")</f>
        <v/>
      </c>
      <c r="G1977" s="17">
        <f>IF(B1977="","","")</f>
        <v/>
      </c>
      <c r="H1977" s="17">
        <f>IF(B1977="","","")</f>
        <v/>
      </c>
      <c r="I1977" s="17">
        <f>IF(B1977="","","")</f>
        <v/>
      </c>
      <c r="J1977" s="17">
        <f>IF(B1977="","","touch_1; "&amp;IFERROR(INDEX(Clay_Offices!$A$2:$FZ$601,326,Sync!$C$10)&amp;"","")&amp;"; "&amp;IFERROR(INDEX(Clay_Offices!$A$2:$FZ$601,326,Sync!$C$9)&amp;"",""))</f>
        <v/>
      </c>
      <c r="K1977" t="inlineStr">
        <is>
          <t>office outreach touch 1</t>
        </is>
      </c>
    </row>
    <row r="1978">
      <c r="A1978" s="17">
        <f>IF(B1978="","",B1978+(12*1000+327)/10000000)</f>
        <v/>
      </c>
      <c r="B1978" s="23">
        <f>IF(AND(IFERROR(N(INDEX(Clay_Offices!$A$2:$FZ$601,327,Sync!$C$11)),0)&gt;0,IFERROR(INDEX(Clay_Offices!$A$2:$FZ$601,327,Sync!$C$5)&amp;"","")&lt;&gt;"",OR(LEFT(IFERROR(INDEX(Clay_Offices!$A$2:$FZ$601,327,Sync!$C$5)&amp;"",""),6)&lt;&gt;"SAMPLE",Config!$B$19="Y")),IFERROR(N(INDEX(Clay_Offices!$A$2:$FZ$601,327,Sync!$C$11)),0),"")</f>
        <v/>
      </c>
      <c r="C1978" s="17">
        <f>IF(B1978="","","office")</f>
        <v/>
      </c>
      <c r="D1978" s="17">
        <f>IF(B1978="","",IFERROR(INDEX(Clay_Offices!$A$2:$FZ$601,327,Sync!$C$5)&amp;"",""))</f>
        <v/>
      </c>
      <c r="E1978" s="17">
        <f>IF(B1978="","",IFERROR(INDEX(Clay_Offices!$A$2:$FZ$601,327,Sync!$C$6)&amp;"",""))</f>
        <v/>
      </c>
      <c r="F1978" s="17">
        <f>IF(B1978="","","outreach_sent")</f>
        <v/>
      </c>
      <c r="G1978" s="17">
        <f>IF(B1978="","","")</f>
        <v/>
      </c>
      <c r="H1978" s="17">
        <f>IF(B1978="","","")</f>
        <v/>
      </c>
      <c r="I1978" s="17">
        <f>IF(B1978="","","")</f>
        <v/>
      </c>
      <c r="J1978" s="17">
        <f>IF(B1978="","","touch_1; "&amp;IFERROR(INDEX(Clay_Offices!$A$2:$FZ$601,327,Sync!$C$10)&amp;"","")&amp;"; "&amp;IFERROR(INDEX(Clay_Offices!$A$2:$FZ$601,327,Sync!$C$9)&amp;"",""))</f>
        <v/>
      </c>
      <c r="K1978" t="inlineStr">
        <is>
          <t>office outreach touch 1</t>
        </is>
      </c>
    </row>
    <row r="1979">
      <c r="A1979" s="17">
        <f>IF(B1979="","",B1979+(12*1000+328)/10000000)</f>
        <v/>
      </c>
      <c r="B1979" s="23">
        <f>IF(AND(IFERROR(N(INDEX(Clay_Offices!$A$2:$FZ$601,328,Sync!$C$11)),0)&gt;0,IFERROR(INDEX(Clay_Offices!$A$2:$FZ$601,328,Sync!$C$5)&amp;"","")&lt;&gt;"",OR(LEFT(IFERROR(INDEX(Clay_Offices!$A$2:$FZ$601,328,Sync!$C$5)&amp;"",""),6)&lt;&gt;"SAMPLE",Config!$B$19="Y")),IFERROR(N(INDEX(Clay_Offices!$A$2:$FZ$601,328,Sync!$C$11)),0),"")</f>
        <v/>
      </c>
      <c r="C1979" s="17">
        <f>IF(B1979="","","office")</f>
        <v/>
      </c>
      <c r="D1979" s="17">
        <f>IF(B1979="","",IFERROR(INDEX(Clay_Offices!$A$2:$FZ$601,328,Sync!$C$5)&amp;"",""))</f>
        <v/>
      </c>
      <c r="E1979" s="17">
        <f>IF(B1979="","",IFERROR(INDEX(Clay_Offices!$A$2:$FZ$601,328,Sync!$C$6)&amp;"",""))</f>
        <v/>
      </c>
      <c r="F1979" s="17">
        <f>IF(B1979="","","outreach_sent")</f>
        <v/>
      </c>
      <c r="G1979" s="17">
        <f>IF(B1979="","","")</f>
        <v/>
      </c>
      <c r="H1979" s="17">
        <f>IF(B1979="","","")</f>
        <v/>
      </c>
      <c r="I1979" s="17">
        <f>IF(B1979="","","")</f>
        <v/>
      </c>
      <c r="J1979" s="17">
        <f>IF(B1979="","","touch_1; "&amp;IFERROR(INDEX(Clay_Offices!$A$2:$FZ$601,328,Sync!$C$10)&amp;"","")&amp;"; "&amp;IFERROR(INDEX(Clay_Offices!$A$2:$FZ$601,328,Sync!$C$9)&amp;"",""))</f>
        <v/>
      </c>
      <c r="K1979" t="inlineStr">
        <is>
          <t>office outreach touch 1</t>
        </is>
      </c>
    </row>
    <row r="1980">
      <c r="A1980" s="17">
        <f>IF(B1980="","",B1980+(12*1000+329)/10000000)</f>
        <v/>
      </c>
      <c r="B1980" s="23">
        <f>IF(AND(IFERROR(N(INDEX(Clay_Offices!$A$2:$FZ$601,329,Sync!$C$11)),0)&gt;0,IFERROR(INDEX(Clay_Offices!$A$2:$FZ$601,329,Sync!$C$5)&amp;"","")&lt;&gt;"",OR(LEFT(IFERROR(INDEX(Clay_Offices!$A$2:$FZ$601,329,Sync!$C$5)&amp;"",""),6)&lt;&gt;"SAMPLE",Config!$B$19="Y")),IFERROR(N(INDEX(Clay_Offices!$A$2:$FZ$601,329,Sync!$C$11)),0),"")</f>
        <v/>
      </c>
      <c r="C1980" s="17">
        <f>IF(B1980="","","office")</f>
        <v/>
      </c>
      <c r="D1980" s="17">
        <f>IF(B1980="","",IFERROR(INDEX(Clay_Offices!$A$2:$FZ$601,329,Sync!$C$5)&amp;"",""))</f>
        <v/>
      </c>
      <c r="E1980" s="17">
        <f>IF(B1980="","",IFERROR(INDEX(Clay_Offices!$A$2:$FZ$601,329,Sync!$C$6)&amp;"",""))</f>
        <v/>
      </c>
      <c r="F1980" s="17">
        <f>IF(B1980="","","outreach_sent")</f>
        <v/>
      </c>
      <c r="G1980" s="17">
        <f>IF(B1980="","","")</f>
        <v/>
      </c>
      <c r="H1980" s="17">
        <f>IF(B1980="","","")</f>
        <v/>
      </c>
      <c r="I1980" s="17">
        <f>IF(B1980="","","")</f>
        <v/>
      </c>
      <c r="J1980" s="17">
        <f>IF(B1980="","","touch_1; "&amp;IFERROR(INDEX(Clay_Offices!$A$2:$FZ$601,329,Sync!$C$10)&amp;"","")&amp;"; "&amp;IFERROR(INDEX(Clay_Offices!$A$2:$FZ$601,329,Sync!$C$9)&amp;"",""))</f>
        <v/>
      </c>
      <c r="K1980" t="inlineStr">
        <is>
          <t>office outreach touch 1</t>
        </is>
      </c>
    </row>
    <row r="1981">
      <c r="A1981" s="17">
        <f>IF(B1981="","",B1981+(12*1000+330)/10000000)</f>
        <v/>
      </c>
      <c r="B1981" s="23">
        <f>IF(AND(IFERROR(N(INDEX(Clay_Offices!$A$2:$FZ$601,330,Sync!$C$11)),0)&gt;0,IFERROR(INDEX(Clay_Offices!$A$2:$FZ$601,330,Sync!$C$5)&amp;"","")&lt;&gt;"",OR(LEFT(IFERROR(INDEX(Clay_Offices!$A$2:$FZ$601,330,Sync!$C$5)&amp;"",""),6)&lt;&gt;"SAMPLE",Config!$B$19="Y")),IFERROR(N(INDEX(Clay_Offices!$A$2:$FZ$601,330,Sync!$C$11)),0),"")</f>
        <v/>
      </c>
      <c r="C1981" s="17">
        <f>IF(B1981="","","office")</f>
        <v/>
      </c>
      <c r="D1981" s="17">
        <f>IF(B1981="","",IFERROR(INDEX(Clay_Offices!$A$2:$FZ$601,330,Sync!$C$5)&amp;"",""))</f>
        <v/>
      </c>
      <c r="E1981" s="17">
        <f>IF(B1981="","",IFERROR(INDEX(Clay_Offices!$A$2:$FZ$601,330,Sync!$C$6)&amp;"",""))</f>
        <v/>
      </c>
      <c r="F1981" s="17">
        <f>IF(B1981="","","outreach_sent")</f>
        <v/>
      </c>
      <c r="G1981" s="17">
        <f>IF(B1981="","","")</f>
        <v/>
      </c>
      <c r="H1981" s="17">
        <f>IF(B1981="","","")</f>
        <v/>
      </c>
      <c r="I1981" s="17">
        <f>IF(B1981="","","")</f>
        <v/>
      </c>
      <c r="J1981" s="17">
        <f>IF(B1981="","","touch_1; "&amp;IFERROR(INDEX(Clay_Offices!$A$2:$FZ$601,330,Sync!$C$10)&amp;"","")&amp;"; "&amp;IFERROR(INDEX(Clay_Offices!$A$2:$FZ$601,330,Sync!$C$9)&amp;"",""))</f>
        <v/>
      </c>
      <c r="K1981" t="inlineStr">
        <is>
          <t>office outreach touch 1</t>
        </is>
      </c>
    </row>
    <row r="1982">
      <c r="A1982" s="17">
        <f>IF(B1982="","",B1982+(12*1000+331)/10000000)</f>
        <v/>
      </c>
      <c r="B1982" s="23">
        <f>IF(AND(IFERROR(N(INDEX(Clay_Offices!$A$2:$FZ$601,331,Sync!$C$11)),0)&gt;0,IFERROR(INDEX(Clay_Offices!$A$2:$FZ$601,331,Sync!$C$5)&amp;"","")&lt;&gt;"",OR(LEFT(IFERROR(INDEX(Clay_Offices!$A$2:$FZ$601,331,Sync!$C$5)&amp;"",""),6)&lt;&gt;"SAMPLE",Config!$B$19="Y")),IFERROR(N(INDEX(Clay_Offices!$A$2:$FZ$601,331,Sync!$C$11)),0),"")</f>
        <v/>
      </c>
      <c r="C1982" s="17">
        <f>IF(B1982="","","office")</f>
        <v/>
      </c>
      <c r="D1982" s="17">
        <f>IF(B1982="","",IFERROR(INDEX(Clay_Offices!$A$2:$FZ$601,331,Sync!$C$5)&amp;"",""))</f>
        <v/>
      </c>
      <c r="E1982" s="17">
        <f>IF(B1982="","",IFERROR(INDEX(Clay_Offices!$A$2:$FZ$601,331,Sync!$C$6)&amp;"",""))</f>
        <v/>
      </c>
      <c r="F1982" s="17">
        <f>IF(B1982="","","outreach_sent")</f>
        <v/>
      </c>
      <c r="G1982" s="17">
        <f>IF(B1982="","","")</f>
        <v/>
      </c>
      <c r="H1982" s="17">
        <f>IF(B1982="","","")</f>
        <v/>
      </c>
      <c r="I1982" s="17">
        <f>IF(B1982="","","")</f>
        <v/>
      </c>
      <c r="J1982" s="17">
        <f>IF(B1982="","","touch_1; "&amp;IFERROR(INDEX(Clay_Offices!$A$2:$FZ$601,331,Sync!$C$10)&amp;"","")&amp;"; "&amp;IFERROR(INDEX(Clay_Offices!$A$2:$FZ$601,331,Sync!$C$9)&amp;"",""))</f>
        <v/>
      </c>
      <c r="K1982" t="inlineStr">
        <is>
          <t>office outreach touch 1</t>
        </is>
      </c>
    </row>
    <row r="1983">
      <c r="A1983" s="17">
        <f>IF(B1983="","",B1983+(12*1000+332)/10000000)</f>
        <v/>
      </c>
      <c r="B1983" s="23">
        <f>IF(AND(IFERROR(N(INDEX(Clay_Offices!$A$2:$FZ$601,332,Sync!$C$11)),0)&gt;0,IFERROR(INDEX(Clay_Offices!$A$2:$FZ$601,332,Sync!$C$5)&amp;"","")&lt;&gt;"",OR(LEFT(IFERROR(INDEX(Clay_Offices!$A$2:$FZ$601,332,Sync!$C$5)&amp;"",""),6)&lt;&gt;"SAMPLE",Config!$B$19="Y")),IFERROR(N(INDEX(Clay_Offices!$A$2:$FZ$601,332,Sync!$C$11)),0),"")</f>
        <v/>
      </c>
      <c r="C1983" s="17">
        <f>IF(B1983="","","office")</f>
        <v/>
      </c>
      <c r="D1983" s="17">
        <f>IF(B1983="","",IFERROR(INDEX(Clay_Offices!$A$2:$FZ$601,332,Sync!$C$5)&amp;"",""))</f>
        <v/>
      </c>
      <c r="E1983" s="17">
        <f>IF(B1983="","",IFERROR(INDEX(Clay_Offices!$A$2:$FZ$601,332,Sync!$C$6)&amp;"",""))</f>
        <v/>
      </c>
      <c r="F1983" s="17">
        <f>IF(B1983="","","outreach_sent")</f>
        <v/>
      </c>
      <c r="G1983" s="17">
        <f>IF(B1983="","","")</f>
        <v/>
      </c>
      <c r="H1983" s="17">
        <f>IF(B1983="","","")</f>
        <v/>
      </c>
      <c r="I1983" s="17">
        <f>IF(B1983="","","")</f>
        <v/>
      </c>
      <c r="J1983" s="17">
        <f>IF(B1983="","","touch_1; "&amp;IFERROR(INDEX(Clay_Offices!$A$2:$FZ$601,332,Sync!$C$10)&amp;"","")&amp;"; "&amp;IFERROR(INDEX(Clay_Offices!$A$2:$FZ$601,332,Sync!$C$9)&amp;"",""))</f>
        <v/>
      </c>
      <c r="K1983" t="inlineStr">
        <is>
          <t>office outreach touch 1</t>
        </is>
      </c>
    </row>
    <row r="1984">
      <c r="A1984" s="17">
        <f>IF(B1984="","",B1984+(12*1000+333)/10000000)</f>
        <v/>
      </c>
      <c r="B1984" s="23">
        <f>IF(AND(IFERROR(N(INDEX(Clay_Offices!$A$2:$FZ$601,333,Sync!$C$11)),0)&gt;0,IFERROR(INDEX(Clay_Offices!$A$2:$FZ$601,333,Sync!$C$5)&amp;"","")&lt;&gt;"",OR(LEFT(IFERROR(INDEX(Clay_Offices!$A$2:$FZ$601,333,Sync!$C$5)&amp;"",""),6)&lt;&gt;"SAMPLE",Config!$B$19="Y")),IFERROR(N(INDEX(Clay_Offices!$A$2:$FZ$601,333,Sync!$C$11)),0),"")</f>
        <v/>
      </c>
      <c r="C1984" s="17">
        <f>IF(B1984="","","office")</f>
        <v/>
      </c>
      <c r="D1984" s="17">
        <f>IF(B1984="","",IFERROR(INDEX(Clay_Offices!$A$2:$FZ$601,333,Sync!$C$5)&amp;"",""))</f>
        <v/>
      </c>
      <c r="E1984" s="17">
        <f>IF(B1984="","",IFERROR(INDEX(Clay_Offices!$A$2:$FZ$601,333,Sync!$C$6)&amp;"",""))</f>
        <v/>
      </c>
      <c r="F1984" s="17">
        <f>IF(B1984="","","outreach_sent")</f>
        <v/>
      </c>
      <c r="G1984" s="17">
        <f>IF(B1984="","","")</f>
        <v/>
      </c>
      <c r="H1984" s="17">
        <f>IF(B1984="","","")</f>
        <v/>
      </c>
      <c r="I1984" s="17">
        <f>IF(B1984="","","")</f>
        <v/>
      </c>
      <c r="J1984" s="17">
        <f>IF(B1984="","","touch_1; "&amp;IFERROR(INDEX(Clay_Offices!$A$2:$FZ$601,333,Sync!$C$10)&amp;"","")&amp;"; "&amp;IFERROR(INDEX(Clay_Offices!$A$2:$FZ$601,333,Sync!$C$9)&amp;"",""))</f>
        <v/>
      </c>
      <c r="K1984" t="inlineStr">
        <is>
          <t>office outreach touch 1</t>
        </is>
      </c>
    </row>
    <row r="1985">
      <c r="A1985" s="17">
        <f>IF(B1985="","",B1985+(12*1000+334)/10000000)</f>
        <v/>
      </c>
      <c r="B1985" s="23">
        <f>IF(AND(IFERROR(N(INDEX(Clay_Offices!$A$2:$FZ$601,334,Sync!$C$11)),0)&gt;0,IFERROR(INDEX(Clay_Offices!$A$2:$FZ$601,334,Sync!$C$5)&amp;"","")&lt;&gt;"",OR(LEFT(IFERROR(INDEX(Clay_Offices!$A$2:$FZ$601,334,Sync!$C$5)&amp;"",""),6)&lt;&gt;"SAMPLE",Config!$B$19="Y")),IFERROR(N(INDEX(Clay_Offices!$A$2:$FZ$601,334,Sync!$C$11)),0),"")</f>
        <v/>
      </c>
      <c r="C1985" s="17">
        <f>IF(B1985="","","office")</f>
        <v/>
      </c>
      <c r="D1985" s="17">
        <f>IF(B1985="","",IFERROR(INDEX(Clay_Offices!$A$2:$FZ$601,334,Sync!$C$5)&amp;"",""))</f>
        <v/>
      </c>
      <c r="E1985" s="17">
        <f>IF(B1985="","",IFERROR(INDEX(Clay_Offices!$A$2:$FZ$601,334,Sync!$C$6)&amp;"",""))</f>
        <v/>
      </c>
      <c r="F1985" s="17">
        <f>IF(B1985="","","outreach_sent")</f>
        <v/>
      </c>
      <c r="G1985" s="17">
        <f>IF(B1985="","","")</f>
        <v/>
      </c>
      <c r="H1985" s="17">
        <f>IF(B1985="","","")</f>
        <v/>
      </c>
      <c r="I1985" s="17">
        <f>IF(B1985="","","")</f>
        <v/>
      </c>
      <c r="J1985" s="17">
        <f>IF(B1985="","","touch_1; "&amp;IFERROR(INDEX(Clay_Offices!$A$2:$FZ$601,334,Sync!$C$10)&amp;"","")&amp;"; "&amp;IFERROR(INDEX(Clay_Offices!$A$2:$FZ$601,334,Sync!$C$9)&amp;"",""))</f>
        <v/>
      </c>
      <c r="K1985" t="inlineStr">
        <is>
          <t>office outreach touch 1</t>
        </is>
      </c>
    </row>
    <row r="1986">
      <c r="A1986" s="17">
        <f>IF(B1986="","",B1986+(12*1000+335)/10000000)</f>
        <v/>
      </c>
      <c r="B1986" s="23">
        <f>IF(AND(IFERROR(N(INDEX(Clay_Offices!$A$2:$FZ$601,335,Sync!$C$11)),0)&gt;0,IFERROR(INDEX(Clay_Offices!$A$2:$FZ$601,335,Sync!$C$5)&amp;"","")&lt;&gt;"",OR(LEFT(IFERROR(INDEX(Clay_Offices!$A$2:$FZ$601,335,Sync!$C$5)&amp;"",""),6)&lt;&gt;"SAMPLE",Config!$B$19="Y")),IFERROR(N(INDEX(Clay_Offices!$A$2:$FZ$601,335,Sync!$C$11)),0),"")</f>
        <v/>
      </c>
      <c r="C1986" s="17">
        <f>IF(B1986="","","office")</f>
        <v/>
      </c>
      <c r="D1986" s="17">
        <f>IF(B1986="","",IFERROR(INDEX(Clay_Offices!$A$2:$FZ$601,335,Sync!$C$5)&amp;"",""))</f>
        <v/>
      </c>
      <c r="E1986" s="17">
        <f>IF(B1986="","",IFERROR(INDEX(Clay_Offices!$A$2:$FZ$601,335,Sync!$C$6)&amp;"",""))</f>
        <v/>
      </c>
      <c r="F1986" s="17">
        <f>IF(B1986="","","outreach_sent")</f>
        <v/>
      </c>
      <c r="G1986" s="17">
        <f>IF(B1986="","","")</f>
        <v/>
      </c>
      <c r="H1986" s="17">
        <f>IF(B1986="","","")</f>
        <v/>
      </c>
      <c r="I1986" s="17">
        <f>IF(B1986="","","")</f>
        <v/>
      </c>
      <c r="J1986" s="17">
        <f>IF(B1986="","","touch_1; "&amp;IFERROR(INDEX(Clay_Offices!$A$2:$FZ$601,335,Sync!$C$10)&amp;"","")&amp;"; "&amp;IFERROR(INDEX(Clay_Offices!$A$2:$FZ$601,335,Sync!$C$9)&amp;"",""))</f>
        <v/>
      </c>
      <c r="K1986" t="inlineStr">
        <is>
          <t>office outreach touch 1</t>
        </is>
      </c>
    </row>
    <row r="1987">
      <c r="A1987" s="17">
        <f>IF(B1987="","",B1987+(12*1000+336)/10000000)</f>
        <v/>
      </c>
      <c r="B1987" s="23">
        <f>IF(AND(IFERROR(N(INDEX(Clay_Offices!$A$2:$FZ$601,336,Sync!$C$11)),0)&gt;0,IFERROR(INDEX(Clay_Offices!$A$2:$FZ$601,336,Sync!$C$5)&amp;"","")&lt;&gt;"",OR(LEFT(IFERROR(INDEX(Clay_Offices!$A$2:$FZ$601,336,Sync!$C$5)&amp;"",""),6)&lt;&gt;"SAMPLE",Config!$B$19="Y")),IFERROR(N(INDEX(Clay_Offices!$A$2:$FZ$601,336,Sync!$C$11)),0),"")</f>
        <v/>
      </c>
      <c r="C1987" s="17">
        <f>IF(B1987="","","office")</f>
        <v/>
      </c>
      <c r="D1987" s="17">
        <f>IF(B1987="","",IFERROR(INDEX(Clay_Offices!$A$2:$FZ$601,336,Sync!$C$5)&amp;"",""))</f>
        <v/>
      </c>
      <c r="E1987" s="17">
        <f>IF(B1987="","",IFERROR(INDEX(Clay_Offices!$A$2:$FZ$601,336,Sync!$C$6)&amp;"",""))</f>
        <v/>
      </c>
      <c r="F1987" s="17">
        <f>IF(B1987="","","outreach_sent")</f>
        <v/>
      </c>
      <c r="G1987" s="17">
        <f>IF(B1987="","","")</f>
        <v/>
      </c>
      <c r="H1987" s="17">
        <f>IF(B1987="","","")</f>
        <v/>
      </c>
      <c r="I1987" s="17">
        <f>IF(B1987="","","")</f>
        <v/>
      </c>
      <c r="J1987" s="17">
        <f>IF(B1987="","","touch_1; "&amp;IFERROR(INDEX(Clay_Offices!$A$2:$FZ$601,336,Sync!$C$10)&amp;"","")&amp;"; "&amp;IFERROR(INDEX(Clay_Offices!$A$2:$FZ$601,336,Sync!$C$9)&amp;"",""))</f>
        <v/>
      </c>
      <c r="K1987" t="inlineStr">
        <is>
          <t>office outreach touch 1</t>
        </is>
      </c>
    </row>
    <row r="1988">
      <c r="A1988" s="17">
        <f>IF(B1988="","",B1988+(12*1000+337)/10000000)</f>
        <v/>
      </c>
      <c r="B1988" s="23">
        <f>IF(AND(IFERROR(N(INDEX(Clay_Offices!$A$2:$FZ$601,337,Sync!$C$11)),0)&gt;0,IFERROR(INDEX(Clay_Offices!$A$2:$FZ$601,337,Sync!$C$5)&amp;"","")&lt;&gt;"",OR(LEFT(IFERROR(INDEX(Clay_Offices!$A$2:$FZ$601,337,Sync!$C$5)&amp;"",""),6)&lt;&gt;"SAMPLE",Config!$B$19="Y")),IFERROR(N(INDEX(Clay_Offices!$A$2:$FZ$601,337,Sync!$C$11)),0),"")</f>
        <v/>
      </c>
      <c r="C1988" s="17">
        <f>IF(B1988="","","office")</f>
        <v/>
      </c>
      <c r="D1988" s="17">
        <f>IF(B1988="","",IFERROR(INDEX(Clay_Offices!$A$2:$FZ$601,337,Sync!$C$5)&amp;"",""))</f>
        <v/>
      </c>
      <c r="E1988" s="17">
        <f>IF(B1988="","",IFERROR(INDEX(Clay_Offices!$A$2:$FZ$601,337,Sync!$C$6)&amp;"",""))</f>
        <v/>
      </c>
      <c r="F1988" s="17">
        <f>IF(B1988="","","outreach_sent")</f>
        <v/>
      </c>
      <c r="G1988" s="17">
        <f>IF(B1988="","","")</f>
        <v/>
      </c>
      <c r="H1988" s="17">
        <f>IF(B1988="","","")</f>
        <v/>
      </c>
      <c r="I1988" s="17">
        <f>IF(B1988="","","")</f>
        <v/>
      </c>
      <c r="J1988" s="17">
        <f>IF(B1988="","","touch_1; "&amp;IFERROR(INDEX(Clay_Offices!$A$2:$FZ$601,337,Sync!$C$10)&amp;"","")&amp;"; "&amp;IFERROR(INDEX(Clay_Offices!$A$2:$FZ$601,337,Sync!$C$9)&amp;"",""))</f>
        <v/>
      </c>
      <c r="K1988" t="inlineStr">
        <is>
          <t>office outreach touch 1</t>
        </is>
      </c>
    </row>
    <row r="1989">
      <c r="A1989" s="17">
        <f>IF(B1989="","",B1989+(12*1000+338)/10000000)</f>
        <v/>
      </c>
      <c r="B1989" s="23">
        <f>IF(AND(IFERROR(N(INDEX(Clay_Offices!$A$2:$FZ$601,338,Sync!$C$11)),0)&gt;0,IFERROR(INDEX(Clay_Offices!$A$2:$FZ$601,338,Sync!$C$5)&amp;"","")&lt;&gt;"",OR(LEFT(IFERROR(INDEX(Clay_Offices!$A$2:$FZ$601,338,Sync!$C$5)&amp;"",""),6)&lt;&gt;"SAMPLE",Config!$B$19="Y")),IFERROR(N(INDEX(Clay_Offices!$A$2:$FZ$601,338,Sync!$C$11)),0),"")</f>
        <v/>
      </c>
      <c r="C1989" s="17">
        <f>IF(B1989="","","office")</f>
        <v/>
      </c>
      <c r="D1989" s="17">
        <f>IF(B1989="","",IFERROR(INDEX(Clay_Offices!$A$2:$FZ$601,338,Sync!$C$5)&amp;"",""))</f>
        <v/>
      </c>
      <c r="E1989" s="17">
        <f>IF(B1989="","",IFERROR(INDEX(Clay_Offices!$A$2:$FZ$601,338,Sync!$C$6)&amp;"",""))</f>
        <v/>
      </c>
      <c r="F1989" s="17">
        <f>IF(B1989="","","outreach_sent")</f>
        <v/>
      </c>
      <c r="G1989" s="17">
        <f>IF(B1989="","","")</f>
        <v/>
      </c>
      <c r="H1989" s="17">
        <f>IF(B1989="","","")</f>
        <v/>
      </c>
      <c r="I1989" s="17">
        <f>IF(B1989="","","")</f>
        <v/>
      </c>
      <c r="J1989" s="17">
        <f>IF(B1989="","","touch_1; "&amp;IFERROR(INDEX(Clay_Offices!$A$2:$FZ$601,338,Sync!$C$10)&amp;"","")&amp;"; "&amp;IFERROR(INDEX(Clay_Offices!$A$2:$FZ$601,338,Sync!$C$9)&amp;"",""))</f>
        <v/>
      </c>
      <c r="K1989" t="inlineStr">
        <is>
          <t>office outreach touch 1</t>
        </is>
      </c>
    </row>
    <row r="1990">
      <c r="A1990" s="17">
        <f>IF(B1990="","",B1990+(12*1000+339)/10000000)</f>
        <v/>
      </c>
      <c r="B1990" s="23">
        <f>IF(AND(IFERROR(N(INDEX(Clay_Offices!$A$2:$FZ$601,339,Sync!$C$11)),0)&gt;0,IFERROR(INDEX(Clay_Offices!$A$2:$FZ$601,339,Sync!$C$5)&amp;"","")&lt;&gt;"",OR(LEFT(IFERROR(INDEX(Clay_Offices!$A$2:$FZ$601,339,Sync!$C$5)&amp;"",""),6)&lt;&gt;"SAMPLE",Config!$B$19="Y")),IFERROR(N(INDEX(Clay_Offices!$A$2:$FZ$601,339,Sync!$C$11)),0),"")</f>
        <v/>
      </c>
      <c r="C1990" s="17">
        <f>IF(B1990="","","office")</f>
        <v/>
      </c>
      <c r="D1990" s="17">
        <f>IF(B1990="","",IFERROR(INDEX(Clay_Offices!$A$2:$FZ$601,339,Sync!$C$5)&amp;"",""))</f>
        <v/>
      </c>
      <c r="E1990" s="17">
        <f>IF(B1990="","",IFERROR(INDEX(Clay_Offices!$A$2:$FZ$601,339,Sync!$C$6)&amp;"",""))</f>
        <v/>
      </c>
      <c r="F1990" s="17">
        <f>IF(B1990="","","outreach_sent")</f>
        <v/>
      </c>
      <c r="G1990" s="17">
        <f>IF(B1990="","","")</f>
        <v/>
      </c>
      <c r="H1990" s="17">
        <f>IF(B1990="","","")</f>
        <v/>
      </c>
      <c r="I1990" s="17">
        <f>IF(B1990="","","")</f>
        <v/>
      </c>
      <c r="J1990" s="17">
        <f>IF(B1990="","","touch_1; "&amp;IFERROR(INDEX(Clay_Offices!$A$2:$FZ$601,339,Sync!$C$10)&amp;"","")&amp;"; "&amp;IFERROR(INDEX(Clay_Offices!$A$2:$FZ$601,339,Sync!$C$9)&amp;"",""))</f>
        <v/>
      </c>
      <c r="K1990" t="inlineStr">
        <is>
          <t>office outreach touch 1</t>
        </is>
      </c>
    </row>
    <row r="1991">
      <c r="A1991" s="17">
        <f>IF(B1991="","",B1991+(12*1000+340)/10000000)</f>
        <v/>
      </c>
      <c r="B1991" s="23">
        <f>IF(AND(IFERROR(N(INDEX(Clay_Offices!$A$2:$FZ$601,340,Sync!$C$11)),0)&gt;0,IFERROR(INDEX(Clay_Offices!$A$2:$FZ$601,340,Sync!$C$5)&amp;"","")&lt;&gt;"",OR(LEFT(IFERROR(INDEX(Clay_Offices!$A$2:$FZ$601,340,Sync!$C$5)&amp;"",""),6)&lt;&gt;"SAMPLE",Config!$B$19="Y")),IFERROR(N(INDEX(Clay_Offices!$A$2:$FZ$601,340,Sync!$C$11)),0),"")</f>
        <v/>
      </c>
      <c r="C1991" s="17">
        <f>IF(B1991="","","office")</f>
        <v/>
      </c>
      <c r="D1991" s="17">
        <f>IF(B1991="","",IFERROR(INDEX(Clay_Offices!$A$2:$FZ$601,340,Sync!$C$5)&amp;"",""))</f>
        <v/>
      </c>
      <c r="E1991" s="17">
        <f>IF(B1991="","",IFERROR(INDEX(Clay_Offices!$A$2:$FZ$601,340,Sync!$C$6)&amp;"",""))</f>
        <v/>
      </c>
      <c r="F1991" s="17">
        <f>IF(B1991="","","outreach_sent")</f>
        <v/>
      </c>
      <c r="G1991" s="17">
        <f>IF(B1991="","","")</f>
        <v/>
      </c>
      <c r="H1991" s="17">
        <f>IF(B1991="","","")</f>
        <v/>
      </c>
      <c r="I1991" s="17">
        <f>IF(B1991="","","")</f>
        <v/>
      </c>
      <c r="J1991" s="17">
        <f>IF(B1991="","","touch_1; "&amp;IFERROR(INDEX(Clay_Offices!$A$2:$FZ$601,340,Sync!$C$10)&amp;"","")&amp;"; "&amp;IFERROR(INDEX(Clay_Offices!$A$2:$FZ$601,340,Sync!$C$9)&amp;"",""))</f>
        <v/>
      </c>
      <c r="K1991" t="inlineStr">
        <is>
          <t>office outreach touch 1</t>
        </is>
      </c>
    </row>
    <row r="1992">
      <c r="A1992" s="17">
        <f>IF(B1992="","",B1992+(12*1000+341)/10000000)</f>
        <v/>
      </c>
      <c r="B1992" s="23">
        <f>IF(AND(IFERROR(N(INDEX(Clay_Offices!$A$2:$FZ$601,341,Sync!$C$11)),0)&gt;0,IFERROR(INDEX(Clay_Offices!$A$2:$FZ$601,341,Sync!$C$5)&amp;"","")&lt;&gt;"",OR(LEFT(IFERROR(INDEX(Clay_Offices!$A$2:$FZ$601,341,Sync!$C$5)&amp;"",""),6)&lt;&gt;"SAMPLE",Config!$B$19="Y")),IFERROR(N(INDEX(Clay_Offices!$A$2:$FZ$601,341,Sync!$C$11)),0),"")</f>
        <v/>
      </c>
      <c r="C1992" s="17">
        <f>IF(B1992="","","office")</f>
        <v/>
      </c>
      <c r="D1992" s="17">
        <f>IF(B1992="","",IFERROR(INDEX(Clay_Offices!$A$2:$FZ$601,341,Sync!$C$5)&amp;"",""))</f>
        <v/>
      </c>
      <c r="E1992" s="17">
        <f>IF(B1992="","",IFERROR(INDEX(Clay_Offices!$A$2:$FZ$601,341,Sync!$C$6)&amp;"",""))</f>
        <v/>
      </c>
      <c r="F1992" s="17">
        <f>IF(B1992="","","outreach_sent")</f>
        <v/>
      </c>
      <c r="G1992" s="17">
        <f>IF(B1992="","","")</f>
        <v/>
      </c>
      <c r="H1992" s="17">
        <f>IF(B1992="","","")</f>
        <v/>
      </c>
      <c r="I1992" s="17">
        <f>IF(B1992="","","")</f>
        <v/>
      </c>
      <c r="J1992" s="17">
        <f>IF(B1992="","","touch_1; "&amp;IFERROR(INDEX(Clay_Offices!$A$2:$FZ$601,341,Sync!$C$10)&amp;"","")&amp;"; "&amp;IFERROR(INDEX(Clay_Offices!$A$2:$FZ$601,341,Sync!$C$9)&amp;"",""))</f>
        <v/>
      </c>
      <c r="K1992" t="inlineStr">
        <is>
          <t>office outreach touch 1</t>
        </is>
      </c>
    </row>
    <row r="1993">
      <c r="A1993" s="17">
        <f>IF(B1993="","",B1993+(12*1000+342)/10000000)</f>
        <v/>
      </c>
      <c r="B1993" s="23">
        <f>IF(AND(IFERROR(N(INDEX(Clay_Offices!$A$2:$FZ$601,342,Sync!$C$11)),0)&gt;0,IFERROR(INDEX(Clay_Offices!$A$2:$FZ$601,342,Sync!$C$5)&amp;"","")&lt;&gt;"",OR(LEFT(IFERROR(INDEX(Clay_Offices!$A$2:$FZ$601,342,Sync!$C$5)&amp;"",""),6)&lt;&gt;"SAMPLE",Config!$B$19="Y")),IFERROR(N(INDEX(Clay_Offices!$A$2:$FZ$601,342,Sync!$C$11)),0),"")</f>
        <v/>
      </c>
      <c r="C1993" s="17">
        <f>IF(B1993="","","office")</f>
        <v/>
      </c>
      <c r="D1993" s="17">
        <f>IF(B1993="","",IFERROR(INDEX(Clay_Offices!$A$2:$FZ$601,342,Sync!$C$5)&amp;"",""))</f>
        <v/>
      </c>
      <c r="E1993" s="17">
        <f>IF(B1993="","",IFERROR(INDEX(Clay_Offices!$A$2:$FZ$601,342,Sync!$C$6)&amp;"",""))</f>
        <v/>
      </c>
      <c r="F1993" s="17">
        <f>IF(B1993="","","outreach_sent")</f>
        <v/>
      </c>
      <c r="G1993" s="17">
        <f>IF(B1993="","","")</f>
        <v/>
      </c>
      <c r="H1993" s="17">
        <f>IF(B1993="","","")</f>
        <v/>
      </c>
      <c r="I1993" s="17">
        <f>IF(B1993="","","")</f>
        <v/>
      </c>
      <c r="J1993" s="17">
        <f>IF(B1993="","","touch_1; "&amp;IFERROR(INDEX(Clay_Offices!$A$2:$FZ$601,342,Sync!$C$10)&amp;"","")&amp;"; "&amp;IFERROR(INDEX(Clay_Offices!$A$2:$FZ$601,342,Sync!$C$9)&amp;"",""))</f>
        <v/>
      </c>
      <c r="K1993" t="inlineStr">
        <is>
          <t>office outreach touch 1</t>
        </is>
      </c>
    </row>
    <row r="1994">
      <c r="A1994" s="17">
        <f>IF(B1994="","",B1994+(12*1000+343)/10000000)</f>
        <v/>
      </c>
      <c r="B1994" s="23">
        <f>IF(AND(IFERROR(N(INDEX(Clay_Offices!$A$2:$FZ$601,343,Sync!$C$11)),0)&gt;0,IFERROR(INDEX(Clay_Offices!$A$2:$FZ$601,343,Sync!$C$5)&amp;"","")&lt;&gt;"",OR(LEFT(IFERROR(INDEX(Clay_Offices!$A$2:$FZ$601,343,Sync!$C$5)&amp;"",""),6)&lt;&gt;"SAMPLE",Config!$B$19="Y")),IFERROR(N(INDEX(Clay_Offices!$A$2:$FZ$601,343,Sync!$C$11)),0),"")</f>
        <v/>
      </c>
      <c r="C1994" s="17">
        <f>IF(B1994="","","office")</f>
        <v/>
      </c>
      <c r="D1994" s="17">
        <f>IF(B1994="","",IFERROR(INDEX(Clay_Offices!$A$2:$FZ$601,343,Sync!$C$5)&amp;"",""))</f>
        <v/>
      </c>
      <c r="E1994" s="17">
        <f>IF(B1994="","",IFERROR(INDEX(Clay_Offices!$A$2:$FZ$601,343,Sync!$C$6)&amp;"",""))</f>
        <v/>
      </c>
      <c r="F1994" s="17">
        <f>IF(B1994="","","outreach_sent")</f>
        <v/>
      </c>
      <c r="G1994" s="17">
        <f>IF(B1994="","","")</f>
        <v/>
      </c>
      <c r="H1994" s="17">
        <f>IF(B1994="","","")</f>
        <v/>
      </c>
      <c r="I1994" s="17">
        <f>IF(B1994="","","")</f>
        <v/>
      </c>
      <c r="J1994" s="17">
        <f>IF(B1994="","","touch_1; "&amp;IFERROR(INDEX(Clay_Offices!$A$2:$FZ$601,343,Sync!$C$10)&amp;"","")&amp;"; "&amp;IFERROR(INDEX(Clay_Offices!$A$2:$FZ$601,343,Sync!$C$9)&amp;"",""))</f>
        <v/>
      </c>
      <c r="K1994" t="inlineStr">
        <is>
          <t>office outreach touch 1</t>
        </is>
      </c>
    </row>
    <row r="1995">
      <c r="A1995" s="17">
        <f>IF(B1995="","",B1995+(12*1000+344)/10000000)</f>
        <v/>
      </c>
      <c r="B1995" s="23">
        <f>IF(AND(IFERROR(N(INDEX(Clay_Offices!$A$2:$FZ$601,344,Sync!$C$11)),0)&gt;0,IFERROR(INDEX(Clay_Offices!$A$2:$FZ$601,344,Sync!$C$5)&amp;"","")&lt;&gt;"",OR(LEFT(IFERROR(INDEX(Clay_Offices!$A$2:$FZ$601,344,Sync!$C$5)&amp;"",""),6)&lt;&gt;"SAMPLE",Config!$B$19="Y")),IFERROR(N(INDEX(Clay_Offices!$A$2:$FZ$601,344,Sync!$C$11)),0),"")</f>
        <v/>
      </c>
      <c r="C1995" s="17">
        <f>IF(B1995="","","office")</f>
        <v/>
      </c>
      <c r="D1995" s="17">
        <f>IF(B1995="","",IFERROR(INDEX(Clay_Offices!$A$2:$FZ$601,344,Sync!$C$5)&amp;"",""))</f>
        <v/>
      </c>
      <c r="E1995" s="17">
        <f>IF(B1995="","",IFERROR(INDEX(Clay_Offices!$A$2:$FZ$601,344,Sync!$C$6)&amp;"",""))</f>
        <v/>
      </c>
      <c r="F1995" s="17">
        <f>IF(B1995="","","outreach_sent")</f>
        <v/>
      </c>
      <c r="G1995" s="17">
        <f>IF(B1995="","","")</f>
        <v/>
      </c>
      <c r="H1995" s="17">
        <f>IF(B1995="","","")</f>
        <v/>
      </c>
      <c r="I1995" s="17">
        <f>IF(B1995="","","")</f>
        <v/>
      </c>
      <c r="J1995" s="17">
        <f>IF(B1995="","","touch_1; "&amp;IFERROR(INDEX(Clay_Offices!$A$2:$FZ$601,344,Sync!$C$10)&amp;"","")&amp;"; "&amp;IFERROR(INDEX(Clay_Offices!$A$2:$FZ$601,344,Sync!$C$9)&amp;"",""))</f>
        <v/>
      </c>
      <c r="K1995" t="inlineStr">
        <is>
          <t>office outreach touch 1</t>
        </is>
      </c>
    </row>
    <row r="1996">
      <c r="A1996" s="17">
        <f>IF(B1996="","",B1996+(12*1000+345)/10000000)</f>
        <v/>
      </c>
      <c r="B1996" s="23">
        <f>IF(AND(IFERROR(N(INDEX(Clay_Offices!$A$2:$FZ$601,345,Sync!$C$11)),0)&gt;0,IFERROR(INDEX(Clay_Offices!$A$2:$FZ$601,345,Sync!$C$5)&amp;"","")&lt;&gt;"",OR(LEFT(IFERROR(INDEX(Clay_Offices!$A$2:$FZ$601,345,Sync!$C$5)&amp;"",""),6)&lt;&gt;"SAMPLE",Config!$B$19="Y")),IFERROR(N(INDEX(Clay_Offices!$A$2:$FZ$601,345,Sync!$C$11)),0),"")</f>
        <v/>
      </c>
      <c r="C1996" s="17">
        <f>IF(B1996="","","office")</f>
        <v/>
      </c>
      <c r="D1996" s="17">
        <f>IF(B1996="","",IFERROR(INDEX(Clay_Offices!$A$2:$FZ$601,345,Sync!$C$5)&amp;"",""))</f>
        <v/>
      </c>
      <c r="E1996" s="17">
        <f>IF(B1996="","",IFERROR(INDEX(Clay_Offices!$A$2:$FZ$601,345,Sync!$C$6)&amp;"",""))</f>
        <v/>
      </c>
      <c r="F1996" s="17">
        <f>IF(B1996="","","outreach_sent")</f>
        <v/>
      </c>
      <c r="G1996" s="17">
        <f>IF(B1996="","","")</f>
        <v/>
      </c>
      <c r="H1996" s="17">
        <f>IF(B1996="","","")</f>
        <v/>
      </c>
      <c r="I1996" s="17">
        <f>IF(B1996="","","")</f>
        <v/>
      </c>
      <c r="J1996" s="17">
        <f>IF(B1996="","","touch_1; "&amp;IFERROR(INDEX(Clay_Offices!$A$2:$FZ$601,345,Sync!$C$10)&amp;"","")&amp;"; "&amp;IFERROR(INDEX(Clay_Offices!$A$2:$FZ$601,345,Sync!$C$9)&amp;"",""))</f>
        <v/>
      </c>
      <c r="K1996" t="inlineStr">
        <is>
          <t>office outreach touch 1</t>
        </is>
      </c>
    </row>
    <row r="1997">
      <c r="A1997" s="17">
        <f>IF(B1997="","",B1997+(12*1000+346)/10000000)</f>
        <v/>
      </c>
      <c r="B1997" s="23">
        <f>IF(AND(IFERROR(N(INDEX(Clay_Offices!$A$2:$FZ$601,346,Sync!$C$11)),0)&gt;0,IFERROR(INDEX(Clay_Offices!$A$2:$FZ$601,346,Sync!$C$5)&amp;"","")&lt;&gt;"",OR(LEFT(IFERROR(INDEX(Clay_Offices!$A$2:$FZ$601,346,Sync!$C$5)&amp;"",""),6)&lt;&gt;"SAMPLE",Config!$B$19="Y")),IFERROR(N(INDEX(Clay_Offices!$A$2:$FZ$601,346,Sync!$C$11)),0),"")</f>
        <v/>
      </c>
      <c r="C1997" s="17">
        <f>IF(B1997="","","office")</f>
        <v/>
      </c>
      <c r="D1997" s="17">
        <f>IF(B1997="","",IFERROR(INDEX(Clay_Offices!$A$2:$FZ$601,346,Sync!$C$5)&amp;"",""))</f>
        <v/>
      </c>
      <c r="E1997" s="17">
        <f>IF(B1997="","",IFERROR(INDEX(Clay_Offices!$A$2:$FZ$601,346,Sync!$C$6)&amp;"",""))</f>
        <v/>
      </c>
      <c r="F1997" s="17">
        <f>IF(B1997="","","outreach_sent")</f>
        <v/>
      </c>
      <c r="G1997" s="17">
        <f>IF(B1997="","","")</f>
        <v/>
      </c>
      <c r="H1997" s="17">
        <f>IF(B1997="","","")</f>
        <v/>
      </c>
      <c r="I1997" s="17">
        <f>IF(B1997="","","")</f>
        <v/>
      </c>
      <c r="J1997" s="17">
        <f>IF(B1997="","","touch_1; "&amp;IFERROR(INDEX(Clay_Offices!$A$2:$FZ$601,346,Sync!$C$10)&amp;"","")&amp;"; "&amp;IFERROR(INDEX(Clay_Offices!$A$2:$FZ$601,346,Sync!$C$9)&amp;"",""))</f>
        <v/>
      </c>
      <c r="K1997" t="inlineStr">
        <is>
          <t>office outreach touch 1</t>
        </is>
      </c>
    </row>
    <row r="1998">
      <c r="A1998" s="17">
        <f>IF(B1998="","",B1998+(12*1000+347)/10000000)</f>
        <v/>
      </c>
      <c r="B1998" s="23">
        <f>IF(AND(IFERROR(N(INDEX(Clay_Offices!$A$2:$FZ$601,347,Sync!$C$11)),0)&gt;0,IFERROR(INDEX(Clay_Offices!$A$2:$FZ$601,347,Sync!$C$5)&amp;"","")&lt;&gt;"",OR(LEFT(IFERROR(INDEX(Clay_Offices!$A$2:$FZ$601,347,Sync!$C$5)&amp;"",""),6)&lt;&gt;"SAMPLE",Config!$B$19="Y")),IFERROR(N(INDEX(Clay_Offices!$A$2:$FZ$601,347,Sync!$C$11)),0),"")</f>
        <v/>
      </c>
      <c r="C1998" s="17">
        <f>IF(B1998="","","office")</f>
        <v/>
      </c>
      <c r="D1998" s="17">
        <f>IF(B1998="","",IFERROR(INDEX(Clay_Offices!$A$2:$FZ$601,347,Sync!$C$5)&amp;"",""))</f>
        <v/>
      </c>
      <c r="E1998" s="17">
        <f>IF(B1998="","",IFERROR(INDEX(Clay_Offices!$A$2:$FZ$601,347,Sync!$C$6)&amp;"",""))</f>
        <v/>
      </c>
      <c r="F1998" s="17">
        <f>IF(B1998="","","outreach_sent")</f>
        <v/>
      </c>
      <c r="G1998" s="17">
        <f>IF(B1998="","","")</f>
        <v/>
      </c>
      <c r="H1998" s="17">
        <f>IF(B1998="","","")</f>
        <v/>
      </c>
      <c r="I1998" s="17">
        <f>IF(B1998="","","")</f>
        <v/>
      </c>
      <c r="J1998" s="17">
        <f>IF(B1998="","","touch_1; "&amp;IFERROR(INDEX(Clay_Offices!$A$2:$FZ$601,347,Sync!$C$10)&amp;"","")&amp;"; "&amp;IFERROR(INDEX(Clay_Offices!$A$2:$FZ$601,347,Sync!$C$9)&amp;"",""))</f>
        <v/>
      </c>
      <c r="K1998" t="inlineStr">
        <is>
          <t>office outreach touch 1</t>
        </is>
      </c>
    </row>
    <row r="1999">
      <c r="A1999" s="17">
        <f>IF(B1999="","",B1999+(12*1000+348)/10000000)</f>
        <v/>
      </c>
      <c r="B1999" s="23">
        <f>IF(AND(IFERROR(N(INDEX(Clay_Offices!$A$2:$FZ$601,348,Sync!$C$11)),0)&gt;0,IFERROR(INDEX(Clay_Offices!$A$2:$FZ$601,348,Sync!$C$5)&amp;"","")&lt;&gt;"",OR(LEFT(IFERROR(INDEX(Clay_Offices!$A$2:$FZ$601,348,Sync!$C$5)&amp;"",""),6)&lt;&gt;"SAMPLE",Config!$B$19="Y")),IFERROR(N(INDEX(Clay_Offices!$A$2:$FZ$601,348,Sync!$C$11)),0),"")</f>
        <v/>
      </c>
      <c r="C1999" s="17">
        <f>IF(B1999="","","office")</f>
        <v/>
      </c>
      <c r="D1999" s="17">
        <f>IF(B1999="","",IFERROR(INDEX(Clay_Offices!$A$2:$FZ$601,348,Sync!$C$5)&amp;"",""))</f>
        <v/>
      </c>
      <c r="E1999" s="17">
        <f>IF(B1999="","",IFERROR(INDEX(Clay_Offices!$A$2:$FZ$601,348,Sync!$C$6)&amp;"",""))</f>
        <v/>
      </c>
      <c r="F1999" s="17">
        <f>IF(B1999="","","outreach_sent")</f>
        <v/>
      </c>
      <c r="G1999" s="17">
        <f>IF(B1999="","","")</f>
        <v/>
      </c>
      <c r="H1999" s="17">
        <f>IF(B1999="","","")</f>
        <v/>
      </c>
      <c r="I1999" s="17">
        <f>IF(B1999="","","")</f>
        <v/>
      </c>
      <c r="J1999" s="17">
        <f>IF(B1999="","","touch_1; "&amp;IFERROR(INDEX(Clay_Offices!$A$2:$FZ$601,348,Sync!$C$10)&amp;"","")&amp;"; "&amp;IFERROR(INDEX(Clay_Offices!$A$2:$FZ$601,348,Sync!$C$9)&amp;"",""))</f>
        <v/>
      </c>
      <c r="K1999" t="inlineStr">
        <is>
          <t>office outreach touch 1</t>
        </is>
      </c>
    </row>
    <row r="2000">
      <c r="A2000" s="17">
        <f>IF(B2000="","",B2000+(12*1000+349)/10000000)</f>
        <v/>
      </c>
      <c r="B2000" s="23">
        <f>IF(AND(IFERROR(N(INDEX(Clay_Offices!$A$2:$FZ$601,349,Sync!$C$11)),0)&gt;0,IFERROR(INDEX(Clay_Offices!$A$2:$FZ$601,349,Sync!$C$5)&amp;"","")&lt;&gt;"",OR(LEFT(IFERROR(INDEX(Clay_Offices!$A$2:$FZ$601,349,Sync!$C$5)&amp;"",""),6)&lt;&gt;"SAMPLE",Config!$B$19="Y")),IFERROR(N(INDEX(Clay_Offices!$A$2:$FZ$601,349,Sync!$C$11)),0),"")</f>
        <v/>
      </c>
      <c r="C2000" s="17">
        <f>IF(B2000="","","office")</f>
        <v/>
      </c>
      <c r="D2000" s="17">
        <f>IF(B2000="","",IFERROR(INDEX(Clay_Offices!$A$2:$FZ$601,349,Sync!$C$5)&amp;"",""))</f>
        <v/>
      </c>
      <c r="E2000" s="17">
        <f>IF(B2000="","",IFERROR(INDEX(Clay_Offices!$A$2:$FZ$601,349,Sync!$C$6)&amp;"",""))</f>
        <v/>
      </c>
      <c r="F2000" s="17">
        <f>IF(B2000="","","outreach_sent")</f>
        <v/>
      </c>
      <c r="G2000" s="17">
        <f>IF(B2000="","","")</f>
        <v/>
      </c>
      <c r="H2000" s="17">
        <f>IF(B2000="","","")</f>
        <v/>
      </c>
      <c r="I2000" s="17">
        <f>IF(B2000="","","")</f>
        <v/>
      </c>
      <c r="J2000" s="17">
        <f>IF(B2000="","","touch_1; "&amp;IFERROR(INDEX(Clay_Offices!$A$2:$FZ$601,349,Sync!$C$10)&amp;"","")&amp;"; "&amp;IFERROR(INDEX(Clay_Offices!$A$2:$FZ$601,349,Sync!$C$9)&amp;"",""))</f>
        <v/>
      </c>
      <c r="K2000" t="inlineStr">
        <is>
          <t>office outreach touch 1</t>
        </is>
      </c>
    </row>
    <row r="2001">
      <c r="A2001" s="17">
        <f>IF(B2001="","",B2001+(12*1000+350)/10000000)</f>
        <v/>
      </c>
      <c r="B2001" s="23">
        <f>IF(AND(IFERROR(N(INDEX(Clay_Offices!$A$2:$FZ$601,350,Sync!$C$11)),0)&gt;0,IFERROR(INDEX(Clay_Offices!$A$2:$FZ$601,350,Sync!$C$5)&amp;"","")&lt;&gt;"",OR(LEFT(IFERROR(INDEX(Clay_Offices!$A$2:$FZ$601,350,Sync!$C$5)&amp;"",""),6)&lt;&gt;"SAMPLE",Config!$B$19="Y")),IFERROR(N(INDEX(Clay_Offices!$A$2:$FZ$601,350,Sync!$C$11)),0),"")</f>
        <v/>
      </c>
      <c r="C2001" s="17">
        <f>IF(B2001="","","office")</f>
        <v/>
      </c>
      <c r="D2001" s="17">
        <f>IF(B2001="","",IFERROR(INDEX(Clay_Offices!$A$2:$FZ$601,350,Sync!$C$5)&amp;"",""))</f>
        <v/>
      </c>
      <c r="E2001" s="17">
        <f>IF(B2001="","",IFERROR(INDEX(Clay_Offices!$A$2:$FZ$601,350,Sync!$C$6)&amp;"",""))</f>
        <v/>
      </c>
      <c r="F2001" s="17">
        <f>IF(B2001="","","outreach_sent")</f>
        <v/>
      </c>
      <c r="G2001" s="17">
        <f>IF(B2001="","","")</f>
        <v/>
      </c>
      <c r="H2001" s="17">
        <f>IF(B2001="","","")</f>
        <v/>
      </c>
      <c r="I2001" s="17">
        <f>IF(B2001="","","")</f>
        <v/>
      </c>
      <c r="J2001" s="17">
        <f>IF(B2001="","","touch_1; "&amp;IFERROR(INDEX(Clay_Offices!$A$2:$FZ$601,350,Sync!$C$10)&amp;"","")&amp;"; "&amp;IFERROR(INDEX(Clay_Offices!$A$2:$FZ$601,350,Sync!$C$9)&amp;"",""))</f>
        <v/>
      </c>
      <c r="K2001" t="inlineStr">
        <is>
          <t>office outreach touch 1</t>
        </is>
      </c>
    </row>
    <row r="2002">
      <c r="A2002" s="17">
        <f>IF(B2002="","",B2002+(12*1000+351)/10000000)</f>
        <v/>
      </c>
      <c r="B2002" s="23">
        <f>IF(AND(IFERROR(N(INDEX(Clay_Offices!$A$2:$FZ$601,351,Sync!$C$11)),0)&gt;0,IFERROR(INDEX(Clay_Offices!$A$2:$FZ$601,351,Sync!$C$5)&amp;"","")&lt;&gt;"",OR(LEFT(IFERROR(INDEX(Clay_Offices!$A$2:$FZ$601,351,Sync!$C$5)&amp;"",""),6)&lt;&gt;"SAMPLE",Config!$B$19="Y")),IFERROR(N(INDEX(Clay_Offices!$A$2:$FZ$601,351,Sync!$C$11)),0),"")</f>
        <v/>
      </c>
      <c r="C2002" s="17">
        <f>IF(B2002="","","office")</f>
        <v/>
      </c>
      <c r="D2002" s="17">
        <f>IF(B2002="","",IFERROR(INDEX(Clay_Offices!$A$2:$FZ$601,351,Sync!$C$5)&amp;"",""))</f>
        <v/>
      </c>
      <c r="E2002" s="17">
        <f>IF(B2002="","",IFERROR(INDEX(Clay_Offices!$A$2:$FZ$601,351,Sync!$C$6)&amp;"",""))</f>
        <v/>
      </c>
      <c r="F2002" s="17">
        <f>IF(B2002="","","outreach_sent")</f>
        <v/>
      </c>
      <c r="G2002" s="17">
        <f>IF(B2002="","","")</f>
        <v/>
      </c>
      <c r="H2002" s="17">
        <f>IF(B2002="","","")</f>
        <v/>
      </c>
      <c r="I2002" s="17">
        <f>IF(B2002="","","")</f>
        <v/>
      </c>
      <c r="J2002" s="17">
        <f>IF(B2002="","","touch_1; "&amp;IFERROR(INDEX(Clay_Offices!$A$2:$FZ$601,351,Sync!$C$10)&amp;"","")&amp;"; "&amp;IFERROR(INDEX(Clay_Offices!$A$2:$FZ$601,351,Sync!$C$9)&amp;"",""))</f>
        <v/>
      </c>
      <c r="K2002" t="inlineStr">
        <is>
          <t>office outreach touch 1</t>
        </is>
      </c>
    </row>
    <row r="2003">
      <c r="A2003" s="17">
        <f>IF(B2003="","",B2003+(12*1000+352)/10000000)</f>
        <v/>
      </c>
      <c r="B2003" s="23">
        <f>IF(AND(IFERROR(N(INDEX(Clay_Offices!$A$2:$FZ$601,352,Sync!$C$11)),0)&gt;0,IFERROR(INDEX(Clay_Offices!$A$2:$FZ$601,352,Sync!$C$5)&amp;"","")&lt;&gt;"",OR(LEFT(IFERROR(INDEX(Clay_Offices!$A$2:$FZ$601,352,Sync!$C$5)&amp;"",""),6)&lt;&gt;"SAMPLE",Config!$B$19="Y")),IFERROR(N(INDEX(Clay_Offices!$A$2:$FZ$601,352,Sync!$C$11)),0),"")</f>
        <v/>
      </c>
      <c r="C2003" s="17">
        <f>IF(B2003="","","office")</f>
        <v/>
      </c>
      <c r="D2003" s="17">
        <f>IF(B2003="","",IFERROR(INDEX(Clay_Offices!$A$2:$FZ$601,352,Sync!$C$5)&amp;"",""))</f>
        <v/>
      </c>
      <c r="E2003" s="17">
        <f>IF(B2003="","",IFERROR(INDEX(Clay_Offices!$A$2:$FZ$601,352,Sync!$C$6)&amp;"",""))</f>
        <v/>
      </c>
      <c r="F2003" s="17">
        <f>IF(B2003="","","outreach_sent")</f>
        <v/>
      </c>
      <c r="G2003" s="17">
        <f>IF(B2003="","","")</f>
        <v/>
      </c>
      <c r="H2003" s="17">
        <f>IF(B2003="","","")</f>
        <v/>
      </c>
      <c r="I2003" s="17">
        <f>IF(B2003="","","")</f>
        <v/>
      </c>
      <c r="J2003" s="17">
        <f>IF(B2003="","","touch_1; "&amp;IFERROR(INDEX(Clay_Offices!$A$2:$FZ$601,352,Sync!$C$10)&amp;"","")&amp;"; "&amp;IFERROR(INDEX(Clay_Offices!$A$2:$FZ$601,352,Sync!$C$9)&amp;"",""))</f>
        <v/>
      </c>
      <c r="K2003" t="inlineStr">
        <is>
          <t>office outreach touch 1</t>
        </is>
      </c>
    </row>
    <row r="2004">
      <c r="A2004" s="17">
        <f>IF(B2004="","",B2004+(12*1000+353)/10000000)</f>
        <v/>
      </c>
      <c r="B2004" s="23">
        <f>IF(AND(IFERROR(N(INDEX(Clay_Offices!$A$2:$FZ$601,353,Sync!$C$11)),0)&gt;0,IFERROR(INDEX(Clay_Offices!$A$2:$FZ$601,353,Sync!$C$5)&amp;"","")&lt;&gt;"",OR(LEFT(IFERROR(INDEX(Clay_Offices!$A$2:$FZ$601,353,Sync!$C$5)&amp;"",""),6)&lt;&gt;"SAMPLE",Config!$B$19="Y")),IFERROR(N(INDEX(Clay_Offices!$A$2:$FZ$601,353,Sync!$C$11)),0),"")</f>
        <v/>
      </c>
      <c r="C2004" s="17">
        <f>IF(B2004="","","office")</f>
        <v/>
      </c>
      <c r="D2004" s="17">
        <f>IF(B2004="","",IFERROR(INDEX(Clay_Offices!$A$2:$FZ$601,353,Sync!$C$5)&amp;"",""))</f>
        <v/>
      </c>
      <c r="E2004" s="17">
        <f>IF(B2004="","",IFERROR(INDEX(Clay_Offices!$A$2:$FZ$601,353,Sync!$C$6)&amp;"",""))</f>
        <v/>
      </c>
      <c r="F2004" s="17">
        <f>IF(B2004="","","outreach_sent")</f>
        <v/>
      </c>
      <c r="G2004" s="17">
        <f>IF(B2004="","","")</f>
        <v/>
      </c>
      <c r="H2004" s="17">
        <f>IF(B2004="","","")</f>
        <v/>
      </c>
      <c r="I2004" s="17">
        <f>IF(B2004="","","")</f>
        <v/>
      </c>
      <c r="J2004" s="17">
        <f>IF(B2004="","","touch_1; "&amp;IFERROR(INDEX(Clay_Offices!$A$2:$FZ$601,353,Sync!$C$10)&amp;"","")&amp;"; "&amp;IFERROR(INDEX(Clay_Offices!$A$2:$FZ$601,353,Sync!$C$9)&amp;"",""))</f>
        <v/>
      </c>
      <c r="K2004" t="inlineStr">
        <is>
          <t>office outreach touch 1</t>
        </is>
      </c>
    </row>
    <row r="2005">
      <c r="A2005" s="17">
        <f>IF(B2005="","",B2005+(12*1000+354)/10000000)</f>
        <v/>
      </c>
      <c r="B2005" s="23">
        <f>IF(AND(IFERROR(N(INDEX(Clay_Offices!$A$2:$FZ$601,354,Sync!$C$11)),0)&gt;0,IFERROR(INDEX(Clay_Offices!$A$2:$FZ$601,354,Sync!$C$5)&amp;"","")&lt;&gt;"",OR(LEFT(IFERROR(INDEX(Clay_Offices!$A$2:$FZ$601,354,Sync!$C$5)&amp;"",""),6)&lt;&gt;"SAMPLE",Config!$B$19="Y")),IFERROR(N(INDEX(Clay_Offices!$A$2:$FZ$601,354,Sync!$C$11)),0),"")</f>
        <v/>
      </c>
      <c r="C2005" s="17">
        <f>IF(B2005="","","office")</f>
        <v/>
      </c>
      <c r="D2005" s="17">
        <f>IF(B2005="","",IFERROR(INDEX(Clay_Offices!$A$2:$FZ$601,354,Sync!$C$5)&amp;"",""))</f>
        <v/>
      </c>
      <c r="E2005" s="17">
        <f>IF(B2005="","",IFERROR(INDEX(Clay_Offices!$A$2:$FZ$601,354,Sync!$C$6)&amp;"",""))</f>
        <v/>
      </c>
      <c r="F2005" s="17">
        <f>IF(B2005="","","outreach_sent")</f>
        <v/>
      </c>
      <c r="G2005" s="17">
        <f>IF(B2005="","","")</f>
        <v/>
      </c>
      <c r="H2005" s="17">
        <f>IF(B2005="","","")</f>
        <v/>
      </c>
      <c r="I2005" s="17">
        <f>IF(B2005="","","")</f>
        <v/>
      </c>
      <c r="J2005" s="17">
        <f>IF(B2005="","","touch_1; "&amp;IFERROR(INDEX(Clay_Offices!$A$2:$FZ$601,354,Sync!$C$10)&amp;"","")&amp;"; "&amp;IFERROR(INDEX(Clay_Offices!$A$2:$FZ$601,354,Sync!$C$9)&amp;"",""))</f>
        <v/>
      </c>
      <c r="K2005" t="inlineStr">
        <is>
          <t>office outreach touch 1</t>
        </is>
      </c>
    </row>
    <row r="2006">
      <c r="A2006" s="17">
        <f>IF(B2006="","",B2006+(12*1000+355)/10000000)</f>
        <v/>
      </c>
      <c r="B2006" s="23">
        <f>IF(AND(IFERROR(N(INDEX(Clay_Offices!$A$2:$FZ$601,355,Sync!$C$11)),0)&gt;0,IFERROR(INDEX(Clay_Offices!$A$2:$FZ$601,355,Sync!$C$5)&amp;"","")&lt;&gt;"",OR(LEFT(IFERROR(INDEX(Clay_Offices!$A$2:$FZ$601,355,Sync!$C$5)&amp;"",""),6)&lt;&gt;"SAMPLE",Config!$B$19="Y")),IFERROR(N(INDEX(Clay_Offices!$A$2:$FZ$601,355,Sync!$C$11)),0),"")</f>
        <v/>
      </c>
      <c r="C2006" s="17">
        <f>IF(B2006="","","office")</f>
        <v/>
      </c>
      <c r="D2006" s="17">
        <f>IF(B2006="","",IFERROR(INDEX(Clay_Offices!$A$2:$FZ$601,355,Sync!$C$5)&amp;"",""))</f>
        <v/>
      </c>
      <c r="E2006" s="17">
        <f>IF(B2006="","",IFERROR(INDEX(Clay_Offices!$A$2:$FZ$601,355,Sync!$C$6)&amp;"",""))</f>
        <v/>
      </c>
      <c r="F2006" s="17">
        <f>IF(B2006="","","outreach_sent")</f>
        <v/>
      </c>
      <c r="G2006" s="17">
        <f>IF(B2006="","","")</f>
        <v/>
      </c>
      <c r="H2006" s="17">
        <f>IF(B2006="","","")</f>
        <v/>
      </c>
      <c r="I2006" s="17">
        <f>IF(B2006="","","")</f>
        <v/>
      </c>
      <c r="J2006" s="17">
        <f>IF(B2006="","","touch_1; "&amp;IFERROR(INDEX(Clay_Offices!$A$2:$FZ$601,355,Sync!$C$10)&amp;"","")&amp;"; "&amp;IFERROR(INDEX(Clay_Offices!$A$2:$FZ$601,355,Sync!$C$9)&amp;"",""))</f>
        <v/>
      </c>
      <c r="K2006" t="inlineStr">
        <is>
          <t>office outreach touch 1</t>
        </is>
      </c>
    </row>
    <row r="2007">
      <c r="A2007" s="17">
        <f>IF(B2007="","",B2007+(12*1000+356)/10000000)</f>
        <v/>
      </c>
      <c r="B2007" s="23">
        <f>IF(AND(IFERROR(N(INDEX(Clay_Offices!$A$2:$FZ$601,356,Sync!$C$11)),0)&gt;0,IFERROR(INDEX(Clay_Offices!$A$2:$FZ$601,356,Sync!$C$5)&amp;"","")&lt;&gt;"",OR(LEFT(IFERROR(INDEX(Clay_Offices!$A$2:$FZ$601,356,Sync!$C$5)&amp;"",""),6)&lt;&gt;"SAMPLE",Config!$B$19="Y")),IFERROR(N(INDEX(Clay_Offices!$A$2:$FZ$601,356,Sync!$C$11)),0),"")</f>
        <v/>
      </c>
      <c r="C2007" s="17">
        <f>IF(B2007="","","office")</f>
        <v/>
      </c>
      <c r="D2007" s="17">
        <f>IF(B2007="","",IFERROR(INDEX(Clay_Offices!$A$2:$FZ$601,356,Sync!$C$5)&amp;"",""))</f>
        <v/>
      </c>
      <c r="E2007" s="17">
        <f>IF(B2007="","",IFERROR(INDEX(Clay_Offices!$A$2:$FZ$601,356,Sync!$C$6)&amp;"",""))</f>
        <v/>
      </c>
      <c r="F2007" s="17">
        <f>IF(B2007="","","outreach_sent")</f>
        <v/>
      </c>
      <c r="G2007" s="17">
        <f>IF(B2007="","","")</f>
        <v/>
      </c>
      <c r="H2007" s="17">
        <f>IF(B2007="","","")</f>
        <v/>
      </c>
      <c r="I2007" s="17">
        <f>IF(B2007="","","")</f>
        <v/>
      </c>
      <c r="J2007" s="17">
        <f>IF(B2007="","","touch_1; "&amp;IFERROR(INDEX(Clay_Offices!$A$2:$FZ$601,356,Sync!$C$10)&amp;"","")&amp;"; "&amp;IFERROR(INDEX(Clay_Offices!$A$2:$FZ$601,356,Sync!$C$9)&amp;"",""))</f>
        <v/>
      </c>
      <c r="K2007" t="inlineStr">
        <is>
          <t>office outreach touch 1</t>
        </is>
      </c>
    </row>
    <row r="2008">
      <c r="A2008" s="17">
        <f>IF(B2008="","",B2008+(12*1000+357)/10000000)</f>
        <v/>
      </c>
      <c r="B2008" s="23">
        <f>IF(AND(IFERROR(N(INDEX(Clay_Offices!$A$2:$FZ$601,357,Sync!$C$11)),0)&gt;0,IFERROR(INDEX(Clay_Offices!$A$2:$FZ$601,357,Sync!$C$5)&amp;"","")&lt;&gt;"",OR(LEFT(IFERROR(INDEX(Clay_Offices!$A$2:$FZ$601,357,Sync!$C$5)&amp;"",""),6)&lt;&gt;"SAMPLE",Config!$B$19="Y")),IFERROR(N(INDEX(Clay_Offices!$A$2:$FZ$601,357,Sync!$C$11)),0),"")</f>
        <v/>
      </c>
      <c r="C2008" s="17">
        <f>IF(B2008="","","office")</f>
        <v/>
      </c>
      <c r="D2008" s="17">
        <f>IF(B2008="","",IFERROR(INDEX(Clay_Offices!$A$2:$FZ$601,357,Sync!$C$5)&amp;"",""))</f>
        <v/>
      </c>
      <c r="E2008" s="17">
        <f>IF(B2008="","",IFERROR(INDEX(Clay_Offices!$A$2:$FZ$601,357,Sync!$C$6)&amp;"",""))</f>
        <v/>
      </c>
      <c r="F2008" s="17">
        <f>IF(B2008="","","outreach_sent")</f>
        <v/>
      </c>
      <c r="G2008" s="17">
        <f>IF(B2008="","","")</f>
        <v/>
      </c>
      <c r="H2008" s="17">
        <f>IF(B2008="","","")</f>
        <v/>
      </c>
      <c r="I2008" s="17">
        <f>IF(B2008="","","")</f>
        <v/>
      </c>
      <c r="J2008" s="17">
        <f>IF(B2008="","","touch_1; "&amp;IFERROR(INDEX(Clay_Offices!$A$2:$FZ$601,357,Sync!$C$10)&amp;"","")&amp;"; "&amp;IFERROR(INDEX(Clay_Offices!$A$2:$FZ$601,357,Sync!$C$9)&amp;"",""))</f>
        <v/>
      </c>
      <c r="K2008" t="inlineStr">
        <is>
          <t>office outreach touch 1</t>
        </is>
      </c>
    </row>
    <row r="2009">
      <c r="A2009" s="17">
        <f>IF(B2009="","",B2009+(12*1000+358)/10000000)</f>
        <v/>
      </c>
      <c r="B2009" s="23">
        <f>IF(AND(IFERROR(N(INDEX(Clay_Offices!$A$2:$FZ$601,358,Sync!$C$11)),0)&gt;0,IFERROR(INDEX(Clay_Offices!$A$2:$FZ$601,358,Sync!$C$5)&amp;"","")&lt;&gt;"",OR(LEFT(IFERROR(INDEX(Clay_Offices!$A$2:$FZ$601,358,Sync!$C$5)&amp;"",""),6)&lt;&gt;"SAMPLE",Config!$B$19="Y")),IFERROR(N(INDEX(Clay_Offices!$A$2:$FZ$601,358,Sync!$C$11)),0),"")</f>
        <v/>
      </c>
      <c r="C2009" s="17">
        <f>IF(B2009="","","office")</f>
        <v/>
      </c>
      <c r="D2009" s="17">
        <f>IF(B2009="","",IFERROR(INDEX(Clay_Offices!$A$2:$FZ$601,358,Sync!$C$5)&amp;"",""))</f>
        <v/>
      </c>
      <c r="E2009" s="17">
        <f>IF(B2009="","",IFERROR(INDEX(Clay_Offices!$A$2:$FZ$601,358,Sync!$C$6)&amp;"",""))</f>
        <v/>
      </c>
      <c r="F2009" s="17">
        <f>IF(B2009="","","outreach_sent")</f>
        <v/>
      </c>
      <c r="G2009" s="17">
        <f>IF(B2009="","","")</f>
        <v/>
      </c>
      <c r="H2009" s="17">
        <f>IF(B2009="","","")</f>
        <v/>
      </c>
      <c r="I2009" s="17">
        <f>IF(B2009="","","")</f>
        <v/>
      </c>
      <c r="J2009" s="17">
        <f>IF(B2009="","","touch_1; "&amp;IFERROR(INDEX(Clay_Offices!$A$2:$FZ$601,358,Sync!$C$10)&amp;"","")&amp;"; "&amp;IFERROR(INDEX(Clay_Offices!$A$2:$FZ$601,358,Sync!$C$9)&amp;"",""))</f>
        <v/>
      </c>
      <c r="K2009" t="inlineStr">
        <is>
          <t>office outreach touch 1</t>
        </is>
      </c>
    </row>
    <row r="2010">
      <c r="A2010" s="17">
        <f>IF(B2010="","",B2010+(12*1000+359)/10000000)</f>
        <v/>
      </c>
      <c r="B2010" s="23">
        <f>IF(AND(IFERROR(N(INDEX(Clay_Offices!$A$2:$FZ$601,359,Sync!$C$11)),0)&gt;0,IFERROR(INDEX(Clay_Offices!$A$2:$FZ$601,359,Sync!$C$5)&amp;"","")&lt;&gt;"",OR(LEFT(IFERROR(INDEX(Clay_Offices!$A$2:$FZ$601,359,Sync!$C$5)&amp;"",""),6)&lt;&gt;"SAMPLE",Config!$B$19="Y")),IFERROR(N(INDEX(Clay_Offices!$A$2:$FZ$601,359,Sync!$C$11)),0),"")</f>
        <v/>
      </c>
      <c r="C2010" s="17">
        <f>IF(B2010="","","office")</f>
        <v/>
      </c>
      <c r="D2010" s="17">
        <f>IF(B2010="","",IFERROR(INDEX(Clay_Offices!$A$2:$FZ$601,359,Sync!$C$5)&amp;"",""))</f>
        <v/>
      </c>
      <c r="E2010" s="17">
        <f>IF(B2010="","",IFERROR(INDEX(Clay_Offices!$A$2:$FZ$601,359,Sync!$C$6)&amp;"",""))</f>
        <v/>
      </c>
      <c r="F2010" s="17">
        <f>IF(B2010="","","outreach_sent")</f>
        <v/>
      </c>
      <c r="G2010" s="17">
        <f>IF(B2010="","","")</f>
        <v/>
      </c>
      <c r="H2010" s="17">
        <f>IF(B2010="","","")</f>
        <v/>
      </c>
      <c r="I2010" s="17">
        <f>IF(B2010="","","")</f>
        <v/>
      </c>
      <c r="J2010" s="17">
        <f>IF(B2010="","","touch_1; "&amp;IFERROR(INDEX(Clay_Offices!$A$2:$FZ$601,359,Sync!$C$10)&amp;"","")&amp;"; "&amp;IFERROR(INDEX(Clay_Offices!$A$2:$FZ$601,359,Sync!$C$9)&amp;"",""))</f>
        <v/>
      </c>
      <c r="K2010" t="inlineStr">
        <is>
          <t>office outreach touch 1</t>
        </is>
      </c>
    </row>
    <row r="2011">
      <c r="A2011" s="17">
        <f>IF(B2011="","",B2011+(12*1000+360)/10000000)</f>
        <v/>
      </c>
      <c r="B2011" s="23">
        <f>IF(AND(IFERROR(N(INDEX(Clay_Offices!$A$2:$FZ$601,360,Sync!$C$11)),0)&gt;0,IFERROR(INDEX(Clay_Offices!$A$2:$FZ$601,360,Sync!$C$5)&amp;"","")&lt;&gt;"",OR(LEFT(IFERROR(INDEX(Clay_Offices!$A$2:$FZ$601,360,Sync!$C$5)&amp;"",""),6)&lt;&gt;"SAMPLE",Config!$B$19="Y")),IFERROR(N(INDEX(Clay_Offices!$A$2:$FZ$601,360,Sync!$C$11)),0),"")</f>
        <v/>
      </c>
      <c r="C2011" s="17">
        <f>IF(B2011="","","office")</f>
        <v/>
      </c>
      <c r="D2011" s="17">
        <f>IF(B2011="","",IFERROR(INDEX(Clay_Offices!$A$2:$FZ$601,360,Sync!$C$5)&amp;"",""))</f>
        <v/>
      </c>
      <c r="E2011" s="17">
        <f>IF(B2011="","",IFERROR(INDEX(Clay_Offices!$A$2:$FZ$601,360,Sync!$C$6)&amp;"",""))</f>
        <v/>
      </c>
      <c r="F2011" s="17">
        <f>IF(B2011="","","outreach_sent")</f>
        <v/>
      </c>
      <c r="G2011" s="17">
        <f>IF(B2011="","","")</f>
        <v/>
      </c>
      <c r="H2011" s="17">
        <f>IF(B2011="","","")</f>
        <v/>
      </c>
      <c r="I2011" s="17">
        <f>IF(B2011="","","")</f>
        <v/>
      </c>
      <c r="J2011" s="17">
        <f>IF(B2011="","","touch_1; "&amp;IFERROR(INDEX(Clay_Offices!$A$2:$FZ$601,360,Sync!$C$10)&amp;"","")&amp;"; "&amp;IFERROR(INDEX(Clay_Offices!$A$2:$FZ$601,360,Sync!$C$9)&amp;"",""))</f>
        <v/>
      </c>
      <c r="K2011" t="inlineStr">
        <is>
          <t>office outreach touch 1</t>
        </is>
      </c>
    </row>
    <row r="2012">
      <c r="A2012" s="17">
        <f>IF(B2012="","",B2012+(12*1000+361)/10000000)</f>
        <v/>
      </c>
      <c r="B2012" s="23">
        <f>IF(AND(IFERROR(N(INDEX(Clay_Offices!$A$2:$FZ$601,361,Sync!$C$11)),0)&gt;0,IFERROR(INDEX(Clay_Offices!$A$2:$FZ$601,361,Sync!$C$5)&amp;"","")&lt;&gt;"",OR(LEFT(IFERROR(INDEX(Clay_Offices!$A$2:$FZ$601,361,Sync!$C$5)&amp;"",""),6)&lt;&gt;"SAMPLE",Config!$B$19="Y")),IFERROR(N(INDEX(Clay_Offices!$A$2:$FZ$601,361,Sync!$C$11)),0),"")</f>
        <v/>
      </c>
      <c r="C2012" s="17">
        <f>IF(B2012="","","office")</f>
        <v/>
      </c>
      <c r="D2012" s="17">
        <f>IF(B2012="","",IFERROR(INDEX(Clay_Offices!$A$2:$FZ$601,361,Sync!$C$5)&amp;"",""))</f>
        <v/>
      </c>
      <c r="E2012" s="17">
        <f>IF(B2012="","",IFERROR(INDEX(Clay_Offices!$A$2:$FZ$601,361,Sync!$C$6)&amp;"",""))</f>
        <v/>
      </c>
      <c r="F2012" s="17">
        <f>IF(B2012="","","outreach_sent")</f>
        <v/>
      </c>
      <c r="G2012" s="17">
        <f>IF(B2012="","","")</f>
        <v/>
      </c>
      <c r="H2012" s="17">
        <f>IF(B2012="","","")</f>
        <v/>
      </c>
      <c r="I2012" s="17">
        <f>IF(B2012="","","")</f>
        <v/>
      </c>
      <c r="J2012" s="17">
        <f>IF(B2012="","","touch_1; "&amp;IFERROR(INDEX(Clay_Offices!$A$2:$FZ$601,361,Sync!$C$10)&amp;"","")&amp;"; "&amp;IFERROR(INDEX(Clay_Offices!$A$2:$FZ$601,361,Sync!$C$9)&amp;"",""))</f>
        <v/>
      </c>
      <c r="K2012" t="inlineStr">
        <is>
          <t>office outreach touch 1</t>
        </is>
      </c>
    </row>
    <row r="2013">
      <c r="A2013" s="17">
        <f>IF(B2013="","",B2013+(12*1000+362)/10000000)</f>
        <v/>
      </c>
      <c r="B2013" s="23">
        <f>IF(AND(IFERROR(N(INDEX(Clay_Offices!$A$2:$FZ$601,362,Sync!$C$11)),0)&gt;0,IFERROR(INDEX(Clay_Offices!$A$2:$FZ$601,362,Sync!$C$5)&amp;"","")&lt;&gt;"",OR(LEFT(IFERROR(INDEX(Clay_Offices!$A$2:$FZ$601,362,Sync!$C$5)&amp;"",""),6)&lt;&gt;"SAMPLE",Config!$B$19="Y")),IFERROR(N(INDEX(Clay_Offices!$A$2:$FZ$601,362,Sync!$C$11)),0),"")</f>
        <v/>
      </c>
      <c r="C2013" s="17">
        <f>IF(B2013="","","office")</f>
        <v/>
      </c>
      <c r="D2013" s="17">
        <f>IF(B2013="","",IFERROR(INDEX(Clay_Offices!$A$2:$FZ$601,362,Sync!$C$5)&amp;"",""))</f>
        <v/>
      </c>
      <c r="E2013" s="17">
        <f>IF(B2013="","",IFERROR(INDEX(Clay_Offices!$A$2:$FZ$601,362,Sync!$C$6)&amp;"",""))</f>
        <v/>
      </c>
      <c r="F2013" s="17">
        <f>IF(B2013="","","outreach_sent")</f>
        <v/>
      </c>
      <c r="G2013" s="17">
        <f>IF(B2013="","","")</f>
        <v/>
      </c>
      <c r="H2013" s="17">
        <f>IF(B2013="","","")</f>
        <v/>
      </c>
      <c r="I2013" s="17">
        <f>IF(B2013="","","")</f>
        <v/>
      </c>
      <c r="J2013" s="17">
        <f>IF(B2013="","","touch_1; "&amp;IFERROR(INDEX(Clay_Offices!$A$2:$FZ$601,362,Sync!$C$10)&amp;"","")&amp;"; "&amp;IFERROR(INDEX(Clay_Offices!$A$2:$FZ$601,362,Sync!$C$9)&amp;"",""))</f>
        <v/>
      </c>
      <c r="K2013" t="inlineStr">
        <is>
          <t>office outreach touch 1</t>
        </is>
      </c>
    </row>
    <row r="2014">
      <c r="A2014" s="17">
        <f>IF(B2014="","",B2014+(12*1000+363)/10000000)</f>
        <v/>
      </c>
      <c r="B2014" s="23">
        <f>IF(AND(IFERROR(N(INDEX(Clay_Offices!$A$2:$FZ$601,363,Sync!$C$11)),0)&gt;0,IFERROR(INDEX(Clay_Offices!$A$2:$FZ$601,363,Sync!$C$5)&amp;"","")&lt;&gt;"",OR(LEFT(IFERROR(INDEX(Clay_Offices!$A$2:$FZ$601,363,Sync!$C$5)&amp;"",""),6)&lt;&gt;"SAMPLE",Config!$B$19="Y")),IFERROR(N(INDEX(Clay_Offices!$A$2:$FZ$601,363,Sync!$C$11)),0),"")</f>
        <v/>
      </c>
      <c r="C2014" s="17">
        <f>IF(B2014="","","office")</f>
        <v/>
      </c>
      <c r="D2014" s="17">
        <f>IF(B2014="","",IFERROR(INDEX(Clay_Offices!$A$2:$FZ$601,363,Sync!$C$5)&amp;"",""))</f>
        <v/>
      </c>
      <c r="E2014" s="17">
        <f>IF(B2014="","",IFERROR(INDEX(Clay_Offices!$A$2:$FZ$601,363,Sync!$C$6)&amp;"",""))</f>
        <v/>
      </c>
      <c r="F2014" s="17">
        <f>IF(B2014="","","outreach_sent")</f>
        <v/>
      </c>
      <c r="G2014" s="17">
        <f>IF(B2014="","","")</f>
        <v/>
      </c>
      <c r="H2014" s="17">
        <f>IF(B2014="","","")</f>
        <v/>
      </c>
      <c r="I2014" s="17">
        <f>IF(B2014="","","")</f>
        <v/>
      </c>
      <c r="J2014" s="17">
        <f>IF(B2014="","","touch_1; "&amp;IFERROR(INDEX(Clay_Offices!$A$2:$FZ$601,363,Sync!$C$10)&amp;"","")&amp;"; "&amp;IFERROR(INDEX(Clay_Offices!$A$2:$FZ$601,363,Sync!$C$9)&amp;"",""))</f>
        <v/>
      </c>
      <c r="K2014" t="inlineStr">
        <is>
          <t>office outreach touch 1</t>
        </is>
      </c>
    </row>
    <row r="2015">
      <c r="A2015" s="17">
        <f>IF(B2015="","",B2015+(12*1000+364)/10000000)</f>
        <v/>
      </c>
      <c r="B2015" s="23">
        <f>IF(AND(IFERROR(N(INDEX(Clay_Offices!$A$2:$FZ$601,364,Sync!$C$11)),0)&gt;0,IFERROR(INDEX(Clay_Offices!$A$2:$FZ$601,364,Sync!$C$5)&amp;"","")&lt;&gt;"",OR(LEFT(IFERROR(INDEX(Clay_Offices!$A$2:$FZ$601,364,Sync!$C$5)&amp;"",""),6)&lt;&gt;"SAMPLE",Config!$B$19="Y")),IFERROR(N(INDEX(Clay_Offices!$A$2:$FZ$601,364,Sync!$C$11)),0),"")</f>
        <v/>
      </c>
      <c r="C2015" s="17">
        <f>IF(B2015="","","office")</f>
        <v/>
      </c>
      <c r="D2015" s="17">
        <f>IF(B2015="","",IFERROR(INDEX(Clay_Offices!$A$2:$FZ$601,364,Sync!$C$5)&amp;"",""))</f>
        <v/>
      </c>
      <c r="E2015" s="17">
        <f>IF(B2015="","",IFERROR(INDEX(Clay_Offices!$A$2:$FZ$601,364,Sync!$C$6)&amp;"",""))</f>
        <v/>
      </c>
      <c r="F2015" s="17">
        <f>IF(B2015="","","outreach_sent")</f>
        <v/>
      </c>
      <c r="G2015" s="17">
        <f>IF(B2015="","","")</f>
        <v/>
      </c>
      <c r="H2015" s="17">
        <f>IF(B2015="","","")</f>
        <v/>
      </c>
      <c r="I2015" s="17">
        <f>IF(B2015="","","")</f>
        <v/>
      </c>
      <c r="J2015" s="17">
        <f>IF(B2015="","","touch_1; "&amp;IFERROR(INDEX(Clay_Offices!$A$2:$FZ$601,364,Sync!$C$10)&amp;"","")&amp;"; "&amp;IFERROR(INDEX(Clay_Offices!$A$2:$FZ$601,364,Sync!$C$9)&amp;"",""))</f>
        <v/>
      </c>
      <c r="K2015" t="inlineStr">
        <is>
          <t>office outreach touch 1</t>
        </is>
      </c>
    </row>
    <row r="2016">
      <c r="A2016" s="17">
        <f>IF(B2016="","",B2016+(12*1000+365)/10000000)</f>
        <v/>
      </c>
      <c r="B2016" s="23">
        <f>IF(AND(IFERROR(N(INDEX(Clay_Offices!$A$2:$FZ$601,365,Sync!$C$11)),0)&gt;0,IFERROR(INDEX(Clay_Offices!$A$2:$FZ$601,365,Sync!$C$5)&amp;"","")&lt;&gt;"",OR(LEFT(IFERROR(INDEX(Clay_Offices!$A$2:$FZ$601,365,Sync!$C$5)&amp;"",""),6)&lt;&gt;"SAMPLE",Config!$B$19="Y")),IFERROR(N(INDEX(Clay_Offices!$A$2:$FZ$601,365,Sync!$C$11)),0),"")</f>
        <v/>
      </c>
      <c r="C2016" s="17">
        <f>IF(B2016="","","office")</f>
        <v/>
      </c>
      <c r="D2016" s="17">
        <f>IF(B2016="","",IFERROR(INDEX(Clay_Offices!$A$2:$FZ$601,365,Sync!$C$5)&amp;"",""))</f>
        <v/>
      </c>
      <c r="E2016" s="17">
        <f>IF(B2016="","",IFERROR(INDEX(Clay_Offices!$A$2:$FZ$601,365,Sync!$C$6)&amp;"",""))</f>
        <v/>
      </c>
      <c r="F2016" s="17">
        <f>IF(B2016="","","outreach_sent")</f>
        <v/>
      </c>
      <c r="G2016" s="17">
        <f>IF(B2016="","","")</f>
        <v/>
      </c>
      <c r="H2016" s="17">
        <f>IF(B2016="","","")</f>
        <v/>
      </c>
      <c r="I2016" s="17">
        <f>IF(B2016="","","")</f>
        <v/>
      </c>
      <c r="J2016" s="17">
        <f>IF(B2016="","","touch_1; "&amp;IFERROR(INDEX(Clay_Offices!$A$2:$FZ$601,365,Sync!$C$10)&amp;"","")&amp;"; "&amp;IFERROR(INDEX(Clay_Offices!$A$2:$FZ$601,365,Sync!$C$9)&amp;"",""))</f>
        <v/>
      </c>
      <c r="K2016" t="inlineStr">
        <is>
          <t>office outreach touch 1</t>
        </is>
      </c>
    </row>
    <row r="2017">
      <c r="A2017" s="17">
        <f>IF(B2017="","",B2017+(12*1000+366)/10000000)</f>
        <v/>
      </c>
      <c r="B2017" s="23">
        <f>IF(AND(IFERROR(N(INDEX(Clay_Offices!$A$2:$FZ$601,366,Sync!$C$11)),0)&gt;0,IFERROR(INDEX(Clay_Offices!$A$2:$FZ$601,366,Sync!$C$5)&amp;"","")&lt;&gt;"",OR(LEFT(IFERROR(INDEX(Clay_Offices!$A$2:$FZ$601,366,Sync!$C$5)&amp;"",""),6)&lt;&gt;"SAMPLE",Config!$B$19="Y")),IFERROR(N(INDEX(Clay_Offices!$A$2:$FZ$601,366,Sync!$C$11)),0),"")</f>
        <v/>
      </c>
      <c r="C2017" s="17">
        <f>IF(B2017="","","office")</f>
        <v/>
      </c>
      <c r="D2017" s="17">
        <f>IF(B2017="","",IFERROR(INDEX(Clay_Offices!$A$2:$FZ$601,366,Sync!$C$5)&amp;"",""))</f>
        <v/>
      </c>
      <c r="E2017" s="17">
        <f>IF(B2017="","",IFERROR(INDEX(Clay_Offices!$A$2:$FZ$601,366,Sync!$C$6)&amp;"",""))</f>
        <v/>
      </c>
      <c r="F2017" s="17">
        <f>IF(B2017="","","outreach_sent")</f>
        <v/>
      </c>
      <c r="G2017" s="17">
        <f>IF(B2017="","","")</f>
        <v/>
      </c>
      <c r="H2017" s="17">
        <f>IF(B2017="","","")</f>
        <v/>
      </c>
      <c r="I2017" s="17">
        <f>IF(B2017="","","")</f>
        <v/>
      </c>
      <c r="J2017" s="17">
        <f>IF(B2017="","","touch_1; "&amp;IFERROR(INDEX(Clay_Offices!$A$2:$FZ$601,366,Sync!$C$10)&amp;"","")&amp;"; "&amp;IFERROR(INDEX(Clay_Offices!$A$2:$FZ$601,366,Sync!$C$9)&amp;"",""))</f>
        <v/>
      </c>
      <c r="K2017" t="inlineStr">
        <is>
          <t>office outreach touch 1</t>
        </is>
      </c>
    </row>
    <row r="2018">
      <c r="A2018" s="17">
        <f>IF(B2018="","",B2018+(12*1000+367)/10000000)</f>
        <v/>
      </c>
      <c r="B2018" s="23">
        <f>IF(AND(IFERROR(N(INDEX(Clay_Offices!$A$2:$FZ$601,367,Sync!$C$11)),0)&gt;0,IFERROR(INDEX(Clay_Offices!$A$2:$FZ$601,367,Sync!$C$5)&amp;"","")&lt;&gt;"",OR(LEFT(IFERROR(INDEX(Clay_Offices!$A$2:$FZ$601,367,Sync!$C$5)&amp;"",""),6)&lt;&gt;"SAMPLE",Config!$B$19="Y")),IFERROR(N(INDEX(Clay_Offices!$A$2:$FZ$601,367,Sync!$C$11)),0),"")</f>
        <v/>
      </c>
      <c r="C2018" s="17">
        <f>IF(B2018="","","office")</f>
        <v/>
      </c>
      <c r="D2018" s="17">
        <f>IF(B2018="","",IFERROR(INDEX(Clay_Offices!$A$2:$FZ$601,367,Sync!$C$5)&amp;"",""))</f>
        <v/>
      </c>
      <c r="E2018" s="17">
        <f>IF(B2018="","",IFERROR(INDEX(Clay_Offices!$A$2:$FZ$601,367,Sync!$C$6)&amp;"",""))</f>
        <v/>
      </c>
      <c r="F2018" s="17">
        <f>IF(B2018="","","outreach_sent")</f>
        <v/>
      </c>
      <c r="G2018" s="17">
        <f>IF(B2018="","","")</f>
        <v/>
      </c>
      <c r="H2018" s="17">
        <f>IF(B2018="","","")</f>
        <v/>
      </c>
      <c r="I2018" s="17">
        <f>IF(B2018="","","")</f>
        <v/>
      </c>
      <c r="J2018" s="17">
        <f>IF(B2018="","","touch_1; "&amp;IFERROR(INDEX(Clay_Offices!$A$2:$FZ$601,367,Sync!$C$10)&amp;"","")&amp;"; "&amp;IFERROR(INDEX(Clay_Offices!$A$2:$FZ$601,367,Sync!$C$9)&amp;"",""))</f>
        <v/>
      </c>
      <c r="K2018" t="inlineStr">
        <is>
          <t>office outreach touch 1</t>
        </is>
      </c>
    </row>
    <row r="2019">
      <c r="A2019" s="17">
        <f>IF(B2019="","",B2019+(12*1000+368)/10000000)</f>
        <v/>
      </c>
      <c r="B2019" s="23">
        <f>IF(AND(IFERROR(N(INDEX(Clay_Offices!$A$2:$FZ$601,368,Sync!$C$11)),0)&gt;0,IFERROR(INDEX(Clay_Offices!$A$2:$FZ$601,368,Sync!$C$5)&amp;"","")&lt;&gt;"",OR(LEFT(IFERROR(INDEX(Clay_Offices!$A$2:$FZ$601,368,Sync!$C$5)&amp;"",""),6)&lt;&gt;"SAMPLE",Config!$B$19="Y")),IFERROR(N(INDEX(Clay_Offices!$A$2:$FZ$601,368,Sync!$C$11)),0),"")</f>
        <v/>
      </c>
      <c r="C2019" s="17">
        <f>IF(B2019="","","office")</f>
        <v/>
      </c>
      <c r="D2019" s="17">
        <f>IF(B2019="","",IFERROR(INDEX(Clay_Offices!$A$2:$FZ$601,368,Sync!$C$5)&amp;"",""))</f>
        <v/>
      </c>
      <c r="E2019" s="17">
        <f>IF(B2019="","",IFERROR(INDEX(Clay_Offices!$A$2:$FZ$601,368,Sync!$C$6)&amp;"",""))</f>
        <v/>
      </c>
      <c r="F2019" s="17">
        <f>IF(B2019="","","outreach_sent")</f>
        <v/>
      </c>
      <c r="G2019" s="17">
        <f>IF(B2019="","","")</f>
        <v/>
      </c>
      <c r="H2019" s="17">
        <f>IF(B2019="","","")</f>
        <v/>
      </c>
      <c r="I2019" s="17">
        <f>IF(B2019="","","")</f>
        <v/>
      </c>
      <c r="J2019" s="17">
        <f>IF(B2019="","","touch_1; "&amp;IFERROR(INDEX(Clay_Offices!$A$2:$FZ$601,368,Sync!$C$10)&amp;"","")&amp;"; "&amp;IFERROR(INDEX(Clay_Offices!$A$2:$FZ$601,368,Sync!$C$9)&amp;"",""))</f>
        <v/>
      </c>
      <c r="K2019" t="inlineStr">
        <is>
          <t>office outreach touch 1</t>
        </is>
      </c>
    </row>
    <row r="2020">
      <c r="A2020" s="17">
        <f>IF(B2020="","",B2020+(12*1000+369)/10000000)</f>
        <v/>
      </c>
      <c r="B2020" s="23">
        <f>IF(AND(IFERROR(N(INDEX(Clay_Offices!$A$2:$FZ$601,369,Sync!$C$11)),0)&gt;0,IFERROR(INDEX(Clay_Offices!$A$2:$FZ$601,369,Sync!$C$5)&amp;"","")&lt;&gt;"",OR(LEFT(IFERROR(INDEX(Clay_Offices!$A$2:$FZ$601,369,Sync!$C$5)&amp;"",""),6)&lt;&gt;"SAMPLE",Config!$B$19="Y")),IFERROR(N(INDEX(Clay_Offices!$A$2:$FZ$601,369,Sync!$C$11)),0),"")</f>
        <v/>
      </c>
      <c r="C2020" s="17">
        <f>IF(B2020="","","office")</f>
        <v/>
      </c>
      <c r="D2020" s="17">
        <f>IF(B2020="","",IFERROR(INDEX(Clay_Offices!$A$2:$FZ$601,369,Sync!$C$5)&amp;"",""))</f>
        <v/>
      </c>
      <c r="E2020" s="17">
        <f>IF(B2020="","",IFERROR(INDEX(Clay_Offices!$A$2:$FZ$601,369,Sync!$C$6)&amp;"",""))</f>
        <v/>
      </c>
      <c r="F2020" s="17">
        <f>IF(B2020="","","outreach_sent")</f>
        <v/>
      </c>
      <c r="G2020" s="17">
        <f>IF(B2020="","","")</f>
        <v/>
      </c>
      <c r="H2020" s="17">
        <f>IF(B2020="","","")</f>
        <v/>
      </c>
      <c r="I2020" s="17">
        <f>IF(B2020="","","")</f>
        <v/>
      </c>
      <c r="J2020" s="17">
        <f>IF(B2020="","","touch_1; "&amp;IFERROR(INDEX(Clay_Offices!$A$2:$FZ$601,369,Sync!$C$10)&amp;"","")&amp;"; "&amp;IFERROR(INDEX(Clay_Offices!$A$2:$FZ$601,369,Sync!$C$9)&amp;"",""))</f>
        <v/>
      </c>
      <c r="K2020" t="inlineStr">
        <is>
          <t>office outreach touch 1</t>
        </is>
      </c>
    </row>
    <row r="2021">
      <c r="A2021" s="17">
        <f>IF(B2021="","",B2021+(12*1000+370)/10000000)</f>
        <v/>
      </c>
      <c r="B2021" s="23">
        <f>IF(AND(IFERROR(N(INDEX(Clay_Offices!$A$2:$FZ$601,370,Sync!$C$11)),0)&gt;0,IFERROR(INDEX(Clay_Offices!$A$2:$FZ$601,370,Sync!$C$5)&amp;"","")&lt;&gt;"",OR(LEFT(IFERROR(INDEX(Clay_Offices!$A$2:$FZ$601,370,Sync!$C$5)&amp;"",""),6)&lt;&gt;"SAMPLE",Config!$B$19="Y")),IFERROR(N(INDEX(Clay_Offices!$A$2:$FZ$601,370,Sync!$C$11)),0),"")</f>
        <v/>
      </c>
      <c r="C2021" s="17">
        <f>IF(B2021="","","office")</f>
        <v/>
      </c>
      <c r="D2021" s="17">
        <f>IF(B2021="","",IFERROR(INDEX(Clay_Offices!$A$2:$FZ$601,370,Sync!$C$5)&amp;"",""))</f>
        <v/>
      </c>
      <c r="E2021" s="17">
        <f>IF(B2021="","",IFERROR(INDEX(Clay_Offices!$A$2:$FZ$601,370,Sync!$C$6)&amp;"",""))</f>
        <v/>
      </c>
      <c r="F2021" s="17">
        <f>IF(B2021="","","outreach_sent")</f>
        <v/>
      </c>
      <c r="G2021" s="17">
        <f>IF(B2021="","","")</f>
        <v/>
      </c>
      <c r="H2021" s="17">
        <f>IF(B2021="","","")</f>
        <v/>
      </c>
      <c r="I2021" s="17">
        <f>IF(B2021="","","")</f>
        <v/>
      </c>
      <c r="J2021" s="17">
        <f>IF(B2021="","","touch_1; "&amp;IFERROR(INDEX(Clay_Offices!$A$2:$FZ$601,370,Sync!$C$10)&amp;"","")&amp;"; "&amp;IFERROR(INDEX(Clay_Offices!$A$2:$FZ$601,370,Sync!$C$9)&amp;"",""))</f>
        <v/>
      </c>
      <c r="K2021" t="inlineStr">
        <is>
          <t>office outreach touch 1</t>
        </is>
      </c>
    </row>
    <row r="2022">
      <c r="A2022" s="17">
        <f>IF(B2022="","",B2022+(12*1000+371)/10000000)</f>
        <v/>
      </c>
      <c r="B2022" s="23">
        <f>IF(AND(IFERROR(N(INDEX(Clay_Offices!$A$2:$FZ$601,371,Sync!$C$11)),0)&gt;0,IFERROR(INDEX(Clay_Offices!$A$2:$FZ$601,371,Sync!$C$5)&amp;"","")&lt;&gt;"",OR(LEFT(IFERROR(INDEX(Clay_Offices!$A$2:$FZ$601,371,Sync!$C$5)&amp;"",""),6)&lt;&gt;"SAMPLE",Config!$B$19="Y")),IFERROR(N(INDEX(Clay_Offices!$A$2:$FZ$601,371,Sync!$C$11)),0),"")</f>
        <v/>
      </c>
      <c r="C2022" s="17">
        <f>IF(B2022="","","office")</f>
        <v/>
      </c>
      <c r="D2022" s="17">
        <f>IF(B2022="","",IFERROR(INDEX(Clay_Offices!$A$2:$FZ$601,371,Sync!$C$5)&amp;"",""))</f>
        <v/>
      </c>
      <c r="E2022" s="17">
        <f>IF(B2022="","",IFERROR(INDEX(Clay_Offices!$A$2:$FZ$601,371,Sync!$C$6)&amp;"",""))</f>
        <v/>
      </c>
      <c r="F2022" s="17">
        <f>IF(B2022="","","outreach_sent")</f>
        <v/>
      </c>
      <c r="G2022" s="17">
        <f>IF(B2022="","","")</f>
        <v/>
      </c>
      <c r="H2022" s="17">
        <f>IF(B2022="","","")</f>
        <v/>
      </c>
      <c r="I2022" s="17">
        <f>IF(B2022="","","")</f>
        <v/>
      </c>
      <c r="J2022" s="17">
        <f>IF(B2022="","","touch_1; "&amp;IFERROR(INDEX(Clay_Offices!$A$2:$FZ$601,371,Sync!$C$10)&amp;"","")&amp;"; "&amp;IFERROR(INDEX(Clay_Offices!$A$2:$FZ$601,371,Sync!$C$9)&amp;"",""))</f>
        <v/>
      </c>
      <c r="K2022" t="inlineStr">
        <is>
          <t>office outreach touch 1</t>
        </is>
      </c>
    </row>
    <row r="2023">
      <c r="A2023" s="17">
        <f>IF(B2023="","",B2023+(12*1000+372)/10000000)</f>
        <v/>
      </c>
      <c r="B2023" s="23">
        <f>IF(AND(IFERROR(N(INDEX(Clay_Offices!$A$2:$FZ$601,372,Sync!$C$11)),0)&gt;0,IFERROR(INDEX(Clay_Offices!$A$2:$FZ$601,372,Sync!$C$5)&amp;"","")&lt;&gt;"",OR(LEFT(IFERROR(INDEX(Clay_Offices!$A$2:$FZ$601,372,Sync!$C$5)&amp;"",""),6)&lt;&gt;"SAMPLE",Config!$B$19="Y")),IFERROR(N(INDEX(Clay_Offices!$A$2:$FZ$601,372,Sync!$C$11)),0),"")</f>
        <v/>
      </c>
      <c r="C2023" s="17">
        <f>IF(B2023="","","office")</f>
        <v/>
      </c>
      <c r="D2023" s="17">
        <f>IF(B2023="","",IFERROR(INDEX(Clay_Offices!$A$2:$FZ$601,372,Sync!$C$5)&amp;"",""))</f>
        <v/>
      </c>
      <c r="E2023" s="17">
        <f>IF(B2023="","",IFERROR(INDEX(Clay_Offices!$A$2:$FZ$601,372,Sync!$C$6)&amp;"",""))</f>
        <v/>
      </c>
      <c r="F2023" s="17">
        <f>IF(B2023="","","outreach_sent")</f>
        <v/>
      </c>
      <c r="G2023" s="17">
        <f>IF(B2023="","","")</f>
        <v/>
      </c>
      <c r="H2023" s="17">
        <f>IF(B2023="","","")</f>
        <v/>
      </c>
      <c r="I2023" s="17">
        <f>IF(B2023="","","")</f>
        <v/>
      </c>
      <c r="J2023" s="17">
        <f>IF(B2023="","","touch_1; "&amp;IFERROR(INDEX(Clay_Offices!$A$2:$FZ$601,372,Sync!$C$10)&amp;"","")&amp;"; "&amp;IFERROR(INDEX(Clay_Offices!$A$2:$FZ$601,372,Sync!$C$9)&amp;"",""))</f>
        <v/>
      </c>
      <c r="K2023" t="inlineStr">
        <is>
          <t>office outreach touch 1</t>
        </is>
      </c>
    </row>
    <row r="2024">
      <c r="A2024" s="17">
        <f>IF(B2024="","",B2024+(12*1000+373)/10000000)</f>
        <v/>
      </c>
      <c r="B2024" s="23">
        <f>IF(AND(IFERROR(N(INDEX(Clay_Offices!$A$2:$FZ$601,373,Sync!$C$11)),0)&gt;0,IFERROR(INDEX(Clay_Offices!$A$2:$FZ$601,373,Sync!$C$5)&amp;"","")&lt;&gt;"",OR(LEFT(IFERROR(INDEX(Clay_Offices!$A$2:$FZ$601,373,Sync!$C$5)&amp;"",""),6)&lt;&gt;"SAMPLE",Config!$B$19="Y")),IFERROR(N(INDEX(Clay_Offices!$A$2:$FZ$601,373,Sync!$C$11)),0),"")</f>
        <v/>
      </c>
      <c r="C2024" s="17">
        <f>IF(B2024="","","office")</f>
        <v/>
      </c>
      <c r="D2024" s="17">
        <f>IF(B2024="","",IFERROR(INDEX(Clay_Offices!$A$2:$FZ$601,373,Sync!$C$5)&amp;"",""))</f>
        <v/>
      </c>
      <c r="E2024" s="17">
        <f>IF(B2024="","",IFERROR(INDEX(Clay_Offices!$A$2:$FZ$601,373,Sync!$C$6)&amp;"",""))</f>
        <v/>
      </c>
      <c r="F2024" s="17">
        <f>IF(B2024="","","outreach_sent")</f>
        <v/>
      </c>
      <c r="G2024" s="17">
        <f>IF(B2024="","","")</f>
        <v/>
      </c>
      <c r="H2024" s="17">
        <f>IF(B2024="","","")</f>
        <v/>
      </c>
      <c r="I2024" s="17">
        <f>IF(B2024="","","")</f>
        <v/>
      </c>
      <c r="J2024" s="17">
        <f>IF(B2024="","","touch_1; "&amp;IFERROR(INDEX(Clay_Offices!$A$2:$FZ$601,373,Sync!$C$10)&amp;"","")&amp;"; "&amp;IFERROR(INDEX(Clay_Offices!$A$2:$FZ$601,373,Sync!$C$9)&amp;"",""))</f>
        <v/>
      </c>
      <c r="K2024" t="inlineStr">
        <is>
          <t>office outreach touch 1</t>
        </is>
      </c>
    </row>
    <row r="2025">
      <c r="A2025" s="17">
        <f>IF(B2025="","",B2025+(12*1000+374)/10000000)</f>
        <v/>
      </c>
      <c r="B2025" s="23">
        <f>IF(AND(IFERROR(N(INDEX(Clay_Offices!$A$2:$FZ$601,374,Sync!$C$11)),0)&gt;0,IFERROR(INDEX(Clay_Offices!$A$2:$FZ$601,374,Sync!$C$5)&amp;"","")&lt;&gt;"",OR(LEFT(IFERROR(INDEX(Clay_Offices!$A$2:$FZ$601,374,Sync!$C$5)&amp;"",""),6)&lt;&gt;"SAMPLE",Config!$B$19="Y")),IFERROR(N(INDEX(Clay_Offices!$A$2:$FZ$601,374,Sync!$C$11)),0),"")</f>
        <v/>
      </c>
      <c r="C2025" s="17">
        <f>IF(B2025="","","office")</f>
        <v/>
      </c>
      <c r="D2025" s="17">
        <f>IF(B2025="","",IFERROR(INDEX(Clay_Offices!$A$2:$FZ$601,374,Sync!$C$5)&amp;"",""))</f>
        <v/>
      </c>
      <c r="E2025" s="17">
        <f>IF(B2025="","",IFERROR(INDEX(Clay_Offices!$A$2:$FZ$601,374,Sync!$C$6)&amp;"",""))</f>
        <v/>
      </c>
      <c r="F2025" s="17">
        <f>IF(B2025="","","outreach_sent")</f>
        <v/>
      </c>
      <c r="G2025" s="17">
        <f>IF(B2025="","","")</f>
        <v/>
      </c>
      <c r="H2025" s="17">
        <f>IF(B2025="","","")</f>
        <v/>
      </c>
      <c r="I2025" s="17">
        <f>IF(B2025="","","")</f>
        <v/>
      </c>
      <c r="J2025" s="17">
        <f>IF(B2025="","","touch_1; "&amp;IFERROR(INDEX(Clay_Offices!$A$2:$FZ$601,374,Sync!$C$10)&amp;"","")&amp;"; "&amp;IFERROR(INDEX(Clay_Offices!$A$2:$FZ$601,374,Sync!$C$9)&amp;"",""))</f>
        <v/>
      </c>
      <c r="K2025" t="inlineStr">
        <is>
          <t>office outreach touch 1</t>
        </is>
      </c>
    </row>
    <row r="2026">
      <c r="A2026" s="17">
        <f>IF(B2026="","",B2026+(12*1000+375)/10000000)</f>
        <v/>
      </c>
      <c r="B2026" s="23">
        <f>IF(AND(IFERROR(N(INDEX(Clay_Offices!$A$2:$FZ$601,375,Sync!$C$11)),0)&gt;0,IFERROR(INDEX(Clay_Offices!$A$2:$FZ$601,375,Sync!$C$5)&amp;"","")&lt;&gt;"",OR(LEFT(IFERROR(INDEX(Clay_Offices!$A$2:$FZ$601,375,Sync!$C$5)&amp;"",""),6)&lt;&gt;"SAMPLE",Config!$B$19="Y")),IFERROR(N(INDEX(Clay_Offices!$A$2:$FZ$601,375,Sync!$C$11)),0),"")</f>
        <v/>
      </c>
      <c r="C2026" s="17">
        <f>IF(B2026="","","office")</f>
        <v/>
      </c>
      <c r="D2026" s="17">
        <f>IF(B2026="","",IFERROR(INDEX(Clay_Offices!$A$2:$FZ$601,375,Sync!$C$5)&amp;"",""))</f>
        <v/>
      </c>
      <c r="E2026" s="17">
        <f>IF(B2026="","",IFERROR(INDEX(Clay_Offices!$A$2:$FZ$601,375,Sync!$C$6)&amp;"",""))</f>
        <v/>
      </c>
      <c r="F2026" s="17">
        <f>IF(B2026="","","outreach_sent")</f>
        <v/>
      </c>
      <c r="G2026" s="17">
        <f>IF(B2026="","","")</f>
        <v/>
      </c>
      <c r="H2026" s="17">
        <f>IF(B2026="","","")</f>
        <v/>
      </c>
      <c r="I2026" s="17">
        <f>IF(B2026="","","")</f>
        <v/>
      </c>
      <c r="J2026" s="17">
        <f>IF(B2026="","","touch_1; "&amp;IFERROR(INDEX(Clay_Offices!$A$2:$FZ$601,375,Sync!$C$10)&amp;"","")&amp;"; "&amp;IFERROR(INDEX(Clay_Offices!$A$2:$FZ$601,375,Sync!$C$9)&amp;"",""))</f>
        <v/>
      </c>
      <c r="K2026" t="inlineStr">
        <is>
          <t>office outreach touch 1</t>
        </is>
      </c>
    </row>
    <row r="2027">
      <c r="A2027" s="17">
        <f>IF(B2027="","",B2027+(12*1000+376)/10000000)</f>
        <v/>
      </c>
      <c r="B2027" s="23">
        <f>IF(AND(IFERROR(N(INDEX(Clay_Offices!$A$2:$FZ$601,376,Sync!$C$11)),0)&gt;0,IFERROR(INDEX(Clay_Offices!$A$2:$FZ$601,376,Sync!$C$5)&amp;"","")&lt;&gt;"",OR(LEFT(IFERROR(INDEX(Clay_Offices!$A$2:$FZ$601,376,Sync!$C$5)&amp;"",""),6)&lt;&gt;"SAMPLE",Config!$B$19="Y")),IFERROR(N(INDEX(Clay_Offices!$A$2:$FZ$601,376,Sync!$C$11)),0),"")</f>
        <v/>
      </c>
      <c r="C2027" s="17">
        <f>IF(B2027="","","office")</f>
        <v/>
      </c>
      <c r="D2027" s="17">
        <f>IF(B2027="","",IFERROR(INDEX(Clay_Offices!$A$2:$FZ$601,376,Sync!$C$5)&amp;"",""))</f>
        <v/>
      </c>
      <c r="E2027" s="17">
        <f>IF(B2027="","",IFERROR(INDEX(Clay_Offices!$A$2:$FZ$601,376,Sync!$C$6)&amp;"",""))</f>
        <v/>
      </c>
      <c r="F2027" s="17">
        <f>IF(B2027="","","outreach_sent")</f>
        <v/>
      </c>
      <c r="G2027" s="17">
        <f>IF(B2027="","","")</f>
        <v/>
      </c>
      <c r="H2027" s="17">
        <f>IF(B2027="","","")</f>
        <v/>
      </c>
      <c r="I2027" s="17">
        <f>IF(B2027="","","")</f>
        <v/>
      </c>
      <c r="J2027" s="17">
        <f>IF(B2027="","","touch_1; "&amp;IFERROR(INDEX(Clay_Offices!$A$2:$FZ$601,376,Sync!$C$10)&amp;"","")&amp;"; "&amp;IFERROR(INDEX(Clay_Offices!$A$2:$FZ$601,376,Sync!$C$9)&amp;"",""))</f>
        <v/>
      </c>
      <c r="K2027" t="inlineStr">
        <is>
          <t>office outreach touch 1</t>
        </is>
      </c>
    </row>
    <row r="2028">
      <c r="A2028" s="17">
        <f>IF(B2028="","",B2028+(12*1000+377)/10000000)</f>
        <v/>
      </c>
      <c r="B2028" s="23">
        <f>IF(AND(IFERROR(N(INDEX(Clay_Offices!$A$2:$FZ$601,377,Sync!$C$11)),0)&gt;0,IFERROR(INDEX(Clay_Offices!$A$2:$FZ$601,377,Sync!$C$5)&amp;"","")&lt;&gt;"",OR(LEFT(IFERROR(INDEX(Clay_Offices!$A$2:$FZ$601,377,Sync!$C$5)&amp;"",""),6)&lt;&gt;"SAMPLE",Config!$B$19="Y")),IFERROR(N(INDEX(Clay_Offices!$A$2:$FZ$601,377,Sync!$C$11)),0),"")</f>
        <v/>
      </c>
      <c r="C2028" s="17">
        <f>IF(B2028="","","office")</f>
        <v/>
      </c>
      <c r="D2028" s="17">
        <f>IF(B2028="","",IFERROR(INDEX(Clay_Offices!$A$2:$FZ$601,377,Sync!$C$5)&amp;"",""))</f>
        <v/>
      </c>
      <c r="E2028" s="17">
        <f>IF(B2028="","",IFERROR(INDEX(Clay_Offices!$A$2:$FZ$601,377,Sync!$C$6)&amp;"",""))</f>
        <v/>
      </c>
      <c r="F2028" s="17">
        <f>IF(B2028="","","outreach_sent")</f>
        <v/>
      </c>
      <c r="G2028" s="17">
        <f>IF(B2028="","","")</f>
        <v/>
      </c>
      <c r="H2028" s="17">
        <f>IF(B2028="","","")</f>
        <v/>
      </c>
      <c r="I2028" s="17">
        <f>IF(B2028="","","")</f>
        <v/>
      </c>
      <c r="J2028" s="17">
        <f>IF(B2028="","","touch_1; "&amp;IFERROR(INDEX(Clay_Offices!$A$2:$FZ$601,377,Sync!$C$10)&amp;"","")&amp;"; "&amp;IFERROR(INDEX(Clay_Offices!$A$2:$FZ$601,377,Sync!$C$9)&amp;"",""))</f>
        <v/>
      </c>
      <c r="K2028" t="inlineStr">
        <is>
          <t>office outreach touch 1</t>
        </is>
      </c>
    </row>
    <row r="2029">
      <c r="A2029" s="17">
        <f>IF(B2029="","",B2029+(12*1000+378)/10000000)</f>
        <v/>
      </c>
      <c r="B2029" s="23">
        <f>IF(AND(IFERROR(N(INDEX(Clay_Offices!$A$2:$FZ$601,378,Sync!$C$11)),0)&gt;0,IFERROR(INDEX(Clay_Offices!$A$2:$FZ$601,378,Sync!$C$5)&amp;"","")&lt;&gt;"",OR(LEFT(IFERROR(INDEX(Clay_Offices!$A$2:$FZ$601,378,Sync!$C$5)&amp;"",""),6)&lt;&gt;"SAMPLE",Config!$B$19="Y")),IFERROR(N(INDEX(Clay_Offices!$A$2:$FZ$601,378,Sync!$C$11)),0),"")</f>
        <v/>
      </c>
      <c r="C2029" s="17">
        <f>IF(B2029="","","office")</f>
        <v/>
      </c>
      <c r="D2029" s="17">
        <f>IF(B2029="","",IFERROR(INDEX(Clay_Offices!$A$2:$FZ$601,378,Sync!$C$5)&amp;"",""))</f>
        <v/>
      </c>
      <c r="E2029" s="17">
        <f>IF(B2029="","",IFERROR(INDEX(Clay_Offices!$A$2:$FZ$601,378,Sync!$C$6)&amp;"",""))</f>
        <v/>
      </c>
      <c r="F2029" s="17">
        <f>IF(B2029="","","outreach_sent")</f>
        <v/>
      </c>
      <c r="G2029" s="17">
        <f>IF(B2029="","","")</f>
        <v/>
      </c>
      <c r="H2029" s="17">
        <f>IF(B2029="","","")</f>
        <v/>
      </c>
      <c r="I2029" s="17">
        <f>IF(B2029="","","")</f>
        <v/>
      </c>
      <c r="J2029" s="17">
        <f>IF(B2029="","","touch_1; "&amp;IFERROR(INDEX(Clay_Offices!$A$2:$FZ$601,378,Sync!$C$10)&amp;"","")&amp;"; "&amp;IFERROR(INDEX(Clay_Offices!$A$2:$FZ$601,378,Sync!$C$9)&amp;"",""))</f>
        <v/>
      </c>
      <c r="K2029" t="inlineStr">
        <is>
          <t>office outreach touch 1</t>
        </is>
      </c>
    </row>
    <row r="2030">
      <c r="A2030" s="17">
        <f>IF(B2030="","",B2030+(12*1000+379)/10000000)</f>
        <v/>
      </c>
      <c r="B2030" s="23">
        <f>IF(AND(IFERROR(N(INDEX(Clay_Offices!$A$2:$FZ$601,379,Sync!$C$11)),0)&gt;0,IFERROR(INDEX(Clay_Offices!$A$2:$FZ$601,379,Sync!$C$5)&amp;"","")&lt;&gt;"",OR(LEFT(IFERROR(INDEX(Clay_Offices!$A$2:$FZ$601,379,Sync!$C$5)&amp;"",""),6)&lt;&gt;"SAMPLE",Config!$B$19="Y")),IFERROR(N(INDEX(Clay_Offices!$A$2:$FZ$601,379,Sync!$C$11)),0),"")</f>
        <v/>
      </c>
      <c r="C2030" s="17">
        <f>IF(B2030="","","office")</f>
        <v/>
      </c>
      <c r="D2030" s="17">
        <f>IF(B2030="","",IFERROR(INDEX(Clay_Offices!$A$2:$FZ$601,379,Sync!$C$5)&amp;"",""))</f>
        <v/>
      </c>
      <c r="E2030" s="17">
        <f>IF(B2030="","",IFERROR(INDEX(Clay_Offices!$A$2:$FZ$601,379,Sync!$C$6)&amp;"",""))</f>
        <v/>
      </c>
      <c r="F2030" s="17">
        <f>IF(B2030="","","outreach_sent")</f>
        <v/>
      </c>
      <c r="G2030" s="17">
        <f>IF(B2030="","","")</f>
        <v/>
      </c>
      <c r="H2030" s="17">
        <f>IF(B2030="","","")</f>
        <v/>
      </c>
      <c r="I2030" s="17">
        <f>IF(B2030="","","")</f>
        <v/>
      </c>
      <c r="J2030" s="17">
        <f>IF(B2030="","","touch_1; "&amp;IFERROR(INDEX(Clay_Offices!$A$2:$FZ$601,379,Sync!$C$10)&amp;"","")&amp;"; "&amp;IFERROR(INDEX(Clay_Offices!$A$2:$FZ$601,379,Sync!$C$9)&amp;"",""))</f>
        <v/>
      </c>
      <c r="K2030" t="inlineStr">
        <is>
          <t>office outreach touch 1</t>
        </is>
      </c>
    </row>
    <row r="2031">
      <c r="A2031" s="17">
        <f>IF(B2031="","",B2031+(12*1000+380)/10000000)</f>
        <v/>
      </c>
      <c r="B2031" s="23">
        <f>IF(AND(IFERROR(N(INDEX(Clay_Offices!$A$2:$FZ$601,380,Sync!$C$11)),0)&gt;0,IFERROR(INDEX(Clay_Offices!$A$2:$FZ$601,380,Sync!$C$5)&amp;"","")&lt;&gt;"",OR(LEFT(IFERROR(INDEX(Clay_Offices!$A$2:$FZ$601,380,Sync!$C$5)&amp;"",""),6)&lt;&gt;"SAMPLE",Config!$B$19="Y")),IFERROR(N(INDEX(Clay_Offices!$A$2:$FZ$601,380,Sync!$C$11)),0),"")</f>
        <v/>
      </c>
      <c r="C2031" s="17">
        <f>IF(B2031="","","office")</f>
        <v/>
      </c>
      <c r="D2031" s="17">
        <f>IF(B2031="","",IFERROR(INDEX(Clay_Offices!$A$2:$FZ$601,380,Sync!$C$5)&amp;"",""))</f>
        <v/>
      </c>
      <c r="E2031" s="17">
        <f>IF(B2031="","",IFERROR(INDEX(Clay_Offices!$A$2:$FZ$601,380,Sync!$C$6)&amp;"",""))</f>
        <v/>
      </c>
      <c r="F2031" s="17">
        <f>IF(B2031="","","outreach_sent")</f>
        <v/>
      </c>
      <c r="G2031" s="17">
        <f>IF(B2031="","","")</f>
        <v/>
      </c>
      <c r="H2031" s="17">
        <f>IF(B2031="","","")</f>
        <v/>
      </c>
      <c r="I2031" s="17">
        <f>IF(B2031="","","")</f>
        <v/>
      </c>
      <c r="J2031" s="17">
        <f>IF(B2031="","","touch_1; "&amp;IFERROR(INDEX(Clay_Offices!$A$2:$FZ$601,380,Sync!$C$10)&amp;"","")&amp;"; "&amp;IFERROR(INDEX(Clay_Offices!$A$2:$FZ$601,380,Sync!$C$9)&amp;"",""))</f>
        <v/>
      </c>
      <c r="K2031" t="inlineStr">
        <is>
          <t>office outreach touch 1</t>
        </is>
      </c>
    </row>
    <row r="2032">
      <c r="A2032" s="17">
        <f>IF(B2032="","",B2032+(12*1000+381)/10000000)</f>
        <v/>
      </c>
      <c r="B2032" s="23">
        <f>IF(AND(IFERROR(N(INDEX(Clay_Offices!$A$2:$FZ$601,381,Sync!$C$11)),0)&gt;0,IFERROR(INDEX(Clay_Offices!$A$2:$FZ$601,381,Sync!$C$5)&amp;"","")&lt;&gt;"",OR(LEFT(IFERROR(INDEX(Clay_Offices!$A$2:$FZ$601,381,Sync!$C$5)&amp;"",""),6)&lt;&gt;"SAMPLE",Config!$B$19="Y")),IFERROR(N(INDEX(Clay_Offices!$A$2:$FZ$601,381,Sync!$C$11)),0),"")</f>
        <v/>
      </c>
      <c r="C2032" s="17">
        <f>IF(B2032="","","office")</f>
        <v/>
      </c>
      <c r="D2032" s="17">
        <f>IF(B2032="","",IFERROR(INDEX(Clay_Offices!$A$2:$FZ$601,381,Sync!$C$5)&amp;"",""))</f>
        <v/>
      </c>
      <c r="E2032" s="17">
        <f>IF(B2032="","",IFERROR(INDEX(Clay_Offices!$A$2:$FZ$601,381,Sync!$C$6)&amp;"",""))</f>
        <v/>
      </c>
      <c r="F2032" s="17">
        <f>IF(B2032="","","outreach_sent")</f>
        <v/>
      </c>
      <c r="G2032" s="17">
        <f>IF(B2032="","","")</f>
        <v/>
      </c>
      <c r="H2032" s="17">
        <f>IF(B2032="","","")</f>
        <v/>
      </c>
      <c r="I2032" s="17">
        <f>IF(B2032="","","")</f>
        <v/>
      </c>
      <c r="J2032" s="17">
        <f>IF(B2032="","","touch_1; "&amp;IFERROR(INDEX(Clay_Offices!$A$2:$FZ$601,381,Sync!$C$10)&amp;"","")&amp;"; "&amp;IFERROR(INDEX(Clay_Offices!$A$2:$FZ$601,381,Sync!$C$9)&amp;"",""))</f>
        <v/>
      </c>
      <c r="K2032" t="inlineStr">
        <is>
          <t>office outreach touch 1</t>
        </is>
      </c>
    </row>
    <row r="2033">
      <c r="A2033" s="17">
        <f>IF(B2033="","",B2033+(12*1000+382)/10000000)</f>
        <v/>
      </c>
      <c r="B2033" s="23">
        <f>IF(AND(IFERROR(N(INDEX(Clay_Offices!$A$2:$FZ$601,382,Sync!$C$11)),0)&gt;0,IFERROR(INDEX(Clay_Offices!$A$2:$FZ$601,382,Sync!$C$5)&amp;"","")&lt;&gt;"",OR(LEFT(IFERROR(INDEX(Clay_Offices!$A$2:$FZ$601,382,Sync!$C$5)&amp;"",""),6)&lt;&gt;"SAMPLE",Config!$B$19="Y")),IFERROR(N(INDEX(Clay_Offices!$A$2:$FZ$601,382,Sync!$C$11)),0),"")</f>
        <v/>
      </c>
      <c r="C2033" s="17">
        <f>IF(B2033="","","office")</f>
        <v/>
      </c>
      <c r="D2033" s="17">
        <f>IF(B2033="","",IFERROR(INDEX(Clay_Offices!$A$2:$FZ$601,382,Sync!$C$5)&amp;"",""))</f>
        <v/>
      </c>
      <c r="E2033" s="17">
        <f>IF(B2033="","",IFERROR(INDEX(Clay_Offices!$A$2:$FZ$601,382,Sync!$C$6)&amp;"",""))</f>
        <v/>
      </c>
      <c r="F2033" s="17">
        <f>IF(B2033="","","outreach_sent")</f>
        <v/>
      </c>
      <c r="G2033" s="17">
        <f>IF(B2033="","","")</f>
        <v/>
      </c>
      <c r="H2033" s="17">
        <f>IF(B2033="","","")</f>
        <v/>
      </c>
      <c r="I2033" s="17">
        <f>IF(B2033="","","")</f>
        <v/>
      </c>
      <c r="J2033" s="17">
        <f>IF(B2033="","","touch_1; "&amp;IFERROR(INDEX(Clay_Offices!$A$2:$FZ$601,382,Sync!$C$10)&amp;"","")&amp;"; "&amp;IFERROR(INDEX(Clay_Offices!$A$2:$FZ$601,382,Sync!$C$9)&amp;"",""))</f>
        <v/>
      </c>
      <c r="K2033" t="inlineStr">
        <is>
          <t>office outreach touch 1</t>
        </is>
      </c>
    </row>
    <row r="2034">
      <c r="A2034" s="17">
        <f>IF(B2034="","",B2034+(12*1000+383)/10000000)</f>
        <v/>
      </c>
      <c r="B2034" s="23">
        <f>IF(AND(IFERROR(N(INDEX(Clay_Offices!$A$2:$FZ$601,383,Sync!$C$11)),0)&gt;0,IFERROR(INDEX(Clay_Offices!$A$2:$FZ$601,383,Sync!$C$5)&amp;"","")&lt;&gt;"",OR(LEFT(IFERROR(INDEX(Clay_Offices!$A$2:$FZ$601,383,Sync!$C$5)&amp;"",""),6)&lt;&gt;"SAMPLE",Config!$B$19="Y")),IFERROR(N(INDEX(Clay_Offices!$A$2:$FZ$601,383,Sync!$C$11)),0),"")</f>
        <v/>
      </c>
      <c r="C2034" s="17">
        <f>IF(B2034="","","office")</f>
        <v/>
      </c>
      <c r="D2034" s="17">
        <f>IF(B2034="","",IFERROR(INDEX(Clay_Offices!$A$2:$FZ$601,383,Sync!$C$5)&amp;"",""))</f>
        <v/>
      </c>
      <c r="E2034" s="17">
        <f>IF(B2034="","",IFERROR(INDEX(Clay_Offices!$A$2:$FZ$601,383,Sync!$C$6)&amp;"",""))</f>
        <v/>
      </c>
      <c r="F2034" s="17">
        <f>IF(B2034="","","outreach_sent")</f>
        <v/>
      </c>
      <c r="G2034" s="17">
        <f>IF(B2034="","","")</f>
        <v/>
      </c>
      <c r="H2034" s="17">
        <f>IF(B2034="","","")</f>
        <v/>
      </c>
      <c r="I2034" s="17">
        <f>IF(B2034="","","")</f>
        <v/>
      </c>
      <c r="J2034" s="17">
        <f>IF(B2034="","","touch_1; "&amp;IFERROR(INDEX(Clay_Offices!$A$2:$FZ$601,383,Sync!$C$10)&amp;"","")&amp;"; "&amp;IFERROR(INDEX(Clay_Offices!$A$2:$FZ$601,383,Sync!$C$9)&amp;"",""))</f>
        <v/>
      </c>
      <c r="K2034" t="inlineStr">
        <is>
          <t>office outreach touch 1</t>
        </is>
      </c>
    </row>
    <row r="2035">
      <c r="A2035" s="17">
        <f>IF(B2035="","",B2035+(12*1000+384)/10000000)</f>
        <v/>
      </c>
      <c r="B2035" s="23">
        <f>IF(AND(IFERROR(N(INDEX(Clay_Offices!$A$2:$FZ$601,384,Sync!$C$11)),0)&gt;0,IFERROR(INDEX(Clay_Offices!$A$2:$FZ$601,384,Sync!$C$5)&amp;"","")&lt;&gt;"",OR(LEFT(IFERROR(INDEX(Clay_Offices!$A$2:$FZ$601,384,Sync!$C$5)&amp;"",""),6)&lt;&gt;"SAMPLE",Config!$B$19="Y")),IFERROR(N(INDEX(Clay_Offices!$A$2:$FZ$601,384,Sync!$C$11)),0),"")</f>
        <v/>
      </c>
      <c r="C2035" s="17">
        <f>IF(B2035="","","office")</f>
        <v/>
      </c>
      <c r="D2035" s="17">
        <f>IF(B2035="","",IFERROR(INDEX(Clay_Offices!$A$2:$FZ$601,384,Sync!$C$5)&amp;"",""))</f>
        <v/>
      </c>
      <c r="E2035" s="17">
        <f>IF(B2035="","",IFERROR(INDEX(Clay_Offices!$A$2:$FZ$601,384,Sync!$C$6)&amp;"",""))</f>
        <v/>
      </c>
      <c r="F2035" s="17">
        <f>IF(B2035="","","outreach_sent")</f>
        <v/>
      </c>
      <c r="G2035" s="17">
        <f>IF(B2035="","","")</f>
        <v/>
      </c>
      <c r="H2035" s="17">
        <f>IF(B2035="","","")</f>
        <v/>
      </c>
      <c r="I2035" s="17">
        <f>IF(B2035="","","")</f>
        <v/>
      </c>
      <c r="J2035" s="17">
        <f>IF(B2035="","","touch_1; "&amp;IFERROR(INDEX(Clay_Offices!$A$2:$FZ$601,384,Sync!$C$10)&amp;"","")&amp;"; "&amp;IFERROR(INDEX(Clay_Offices!$A$2:$FZ$601,384,Sync!$C$9)&amp;"",""))</f>
        <v/>
      </c>
      <c r="K2035" t="inlineStr">
        <is>
          <t>office outreach touch 1</t>
        </is>
      </c>
    </row>
    <row r="2036">
      <c r="A2036" s="17">
        <f>IF(B2036="","",B2036+(12*1000+385)/10000000)</f>
        <v/>
      </c>
      <c r="B2036" s="23">
        <f>IF(AND(IFERROR(N(INDEX(Clay_Offices!$A$2:$FZ$601,385,Sync!$C$11)),0)&gt;0,IFERROR(INDEX(Clay_Offices!$A$2:$FZ$601,385,Sync!$C$5)&amp;"","")&lt;&gt;"",OR(LEFT(IFERROR(INDEX(Clay_Offices!$A$2:$FZ$601,385,Sync!$C$5)&amp;"",""),6)&lt;&gt;"SAMPLE",Config!$B$19="Y")),IFERROR(N(INDEX(Clay_Offices!$A$2:$FZ$601,385,Sync!$C$11)),0),"")</f>
        <v/>
      </c>
      <c r="C2036" s="17">
        <f>IF(B2036="","","office")</f>
        <v/>
      </c>
      <c r="D2036" s="17">
        <f>IF(B2036="","",IFERROR(INDEX(Clay_Offices!$A$2:$FZ$601,385,Sync!$C$5)&amp;"",""))</f>
        <v/>
      </c>
      <c r="E2036" s="17">
        <f>IF(B2036="","",IFERROR(INDEX(Clay_Offices!$A$2:$FZ$601,385,Sync!$C$6)&amp;"",""))</f>
        <v/>
      </c>
      <c r="F2036" s="17">
        <f>IF(B2036="","","outreach_sent")</f>
        <v/>
      </c>
      <c r="G2036" s="17">
        <f>IF(B2036="","","")</f>
        <v/>
      </c>
      <c r="H2036" s="17">
        <f>IF(B2036="","","")</f>
        <v/>
      </c>
      <c r="I2036" s="17">
        <f>IF(B2036="","","")</f>
        <v/>
      </c>
      <c r="J2036" s="17">
        <f>IF(B2036="","","touch_1; "&amp;IFERROR(INDEX(Clay_Offices!$A$2:$FZ$601,385,Sync!$C$10)&amp;"","")&amp;"; "&amp;IFERROR(INDEX(Clay_Offices!$A$2:$FZ$601,385,Sync!$C$9)&amp;"",""))</f>
        <v/>
      </c>
      <c r="K2036" t="inlineStr">
        <is>
          <t>office outreach touch 1</t>
        </is>
      </c>
    </row>
    <row r="2037">
      <c r="A2037" s="17">
        <f>IF(B2037="","",B2037+(12*1000+386)/10000000)</f>
        <v/>
      </c>
      <c r="B2037" s="23">
        <f>IF(AND(IFERROR(N(INDEX(Clay_Offices!$A$2:$FZ$601,386,Sync!$C$11)),0)&gt;0,IFERROR(INDEX(Clay_Offices!$A$2:$FZ$601,386,Sync!$C$5)&amp;"","")&lt;&gt;"",OR(LEFT(IFERROR(INDEX(Clay_Offices!$A$2:$FZ$601,386,Sync!$C$5)&amp;"",""),6)&lt;&gt;"SAMPLE",Config!$B$19="Y")),IFERROR(N(INDEX(Clay_Offices!$A$2:$FZ$601,386,Sync!$C$11)),0),"")</f>
        <v/>
      </c>
      <c r="C2037" s="17">
        <f>IF(B2037="","","office")</f>
        <v/>
      </c>
      <c r="D2037" s="17">
        <f>IF(B2037="","",IFERROR(INDEX(Clay_Offices!$A$2:$FZ$601,386,Sync!$C$5)&amp;"",""))</f>
        <v/>
      </c>
      <c r="E2037" s="17">
        <f>IF(B2037="","",IFERROR(INDEX(Clay_Offices!$A$2:$FZ$601,386,Sync!$C$6)&amp;"",""))</f>
        <v/>
      </c>
      <c r="F2037" s="17">
        <f>IF(B2037="","","outreach_sent")</f>
        <v/>
      </c>
      <c r="G2037" s="17">
        <f>IF(B2037="","","")</f>
        <v/>
      </c>
      <c r="H2037" s="17">
        <f>IF(B2037="","","")</f>
        <v/>
      </c>
      <c r="I2037" s="17">
        <f>IF(B2037="","","")</f>
        <v/>
      </c>
      <c r="J2037" s="17">
        <f>IF(B2037="","","touch_1; "&amp;IFERROR(INDEX(Clay_Offices!$A$2:$FZ$601,386,Sync!$C$10)&amp;"","")&amp;"; "&amp;IFERROR(INDEX(Clay_Offices!$A$2:$FZ$601,386,Sync!$C$9)&amp;"",""))</f>
        <v/>
      </c>
      <c r="K2037" t="inlineStr">
        <is>
          <t>office outreach touch 1</t>
        </is>
      </c>
    </row>
    <row r="2038">
      <c r="A2038" s="17">
        <f>IF(B2038="","",B2038+(12*1000+387)/10000000)</f>
        <v/>
      </c>
      <c r="B2038" s="23">
        <f>IF(AND(IFERROR(N(INDEX(Clay_Offices!$A$2:$FZ$601,387,Sync!$C$11)),0)&gt;0,IFERROR(INDEX(Clay_Offices!$A$2:$FZ$601,387,Sync!$C$5)&amp;"","")&lt;&gt;"",OR(LEFT(IFERROR(INDEX(Clay_Offices!$A$2:$FZ$601,387,Sync!$C$5)&amp;"",""),6)&lt;&gt;"SAMPLE",Config!$B$19="Y")),IFERROR(N(INDEX(Clay_Offices!$A$2:$FZ$601,387,Sync!$C$11)),0),"")</f>
        <v/>
      </c>
      <c r="C2038" s="17">
        <f>IF(B2038="","","office")</f>
        <v/>
      </c>
      <c r="D2038" s="17">
        <f>IF(B2038="","",IFERROR(INDEX(Clay_Offices!$A$2:$FZ$601,387,Sync!$C$5)&amp;"",""))</f>
        <v/>
      </c>
      <c r="E2038" s="17">
        <f>IF(B2038="","",IFERROR(INDEX(Clay_Offices!$A$2:$FZ$601,387,Sync!$C$6)&amp;"",""))</f>
        <v/>
      </c>
      <c r="F2038" s="17">
        <f>IF(B2038="","","outreach_sent")</f>
        <v/>
      </c>
      <c r="G2038" s="17">
        <f>IF(B2038="","","")</f>
        <v/>
      </c>
      <c r="H2038" s="17">
        <f>IF(B2038="","","")</f>
        <v/>
      </c>
      <c r="I2038" s="17">
        <f>IF(B2038="","","")</f>
        <v/>
      </c>
      <c r="J2038" s="17">
        <f>IF(B2038="","","touch_1; "&amp;IFERROR(INDEX(Clay_Offices!$A$2:$FZ$601,387,Sync!$C$10)&amp;"","")&amp;"; "&amp;IFERROR(INDEX(Clay_Offices!$A$2:$FZ$601,387,Sync!$C$9)&amp;"",""))</f>
        <v/>
      </c>
      <c r="K2038" t="inlineStr">
        <is>
          <t>office outreach touch 1</t>
        </is>
      </c>
    </row>
    <row r="2039">
      <c r="A2039" s="17">
        <f>IF(B2039="","",B2039+(12*1000+388)/10000000)</f>
        <v/>
      </c>
      <c r="B2039" s="23">
        <f>IF(AND(IFERROR(N(INDEX(Clay_Offices!$A$2:$FZ$601,388,Sync!$C$11)),0)&gt;0,IFERROR(INDEX(Clay_Offices!$A$2:$FZ$601,388,Sync!$C$5)&amp;"","")&lt;&gt;"",OR(LEFT(IFERROR(INDEX(Clay_Offices!$A$2:$FZ$601,388,Sync!$C$5)&amp;"",""),6)&lt;&gt;"SAMPLE",Config!$B$19="Y")),IFERROR(N(INDEX(Clay_Offices!$A$2:$FZ$601,388,Sync!$C$11)),0),"")</f>
        <v/>
      </c>
      <c r="C2039" s="17">
        <f>IF(B2039="","","office")</f>
        <v/>
      </c>
      <c r="D2039" s="17">
        <f>IF(B2039="","",IFERROR(INDEX(Clay_Offices!$A$2:$FZ$601,388,Sync!$C$5)&amp;"",""))</f>
        <v/>
      </c>
      <c r="E2039" s="17">
        <f>IF(B2039="","",IFERROR(INDEX(Clay_Offices!$A$2:$FZ$601,388,Sync!$C$6)&amp;"",""))</f>
        <v/>
      </c>
      <c r="F2039" s="17">
        <f>IF(B2039="","","outreach_sent")</f>
        <v/>
      </c>
      <c r="G2039" s="17">
        <f>IF(B2039="","","")</f>
        <v/>
      </c>
      <c r="H2039" s="17">
        <f>IF(B2039="","","")</f>
        <v/>
      </c>
      <c r="I2039" s="17">
        <f>IF(B2039="","","")</f>
        <v/>
      </c>
      <c r="J2039" s="17">
        <f>IF(B2039="","","touch_1; "&amp;IFERROR(INDEX(Clay_Offices!$A$2:$FZ$601,388,Sync!$C$10)&amp;"","")&amp;"; "&amp;IFERROR(INDEX(Clay_Offices!$A$2:$FZ$601,388,Sync!$C$9)&amp;"",""))</f>
        <v/>
      </c>
      <c r="K2039" t="inlineStr">
        <is>
          <t>office outreach touch 1</t>
        </is>
      </c>
    </row>
    <row r="2040">
      <c r="A2040" s="17">
        <f>IF(B2040="","",B2040+(12*1000+389)/10000000)</f>
        <v/>
      </c>
      <c r="B2040" s="23">
        <f>IF(AND(IFERROR(N(INDEX(Clay_Offices!$A$2:$FZ$601,389,Sync!$C$11)),0)&gt;0,IFERROR(INDEX(Clay_Offices!$A$2:$FZ$601,389,Sync!$C$5)&amp;"","")&lt;&gt;"",OR(LEFT(IFERROR(INDEX(Clay_Offices!$A$2:$FZ$601,389,Sync!$C$5)&amp;"",""),6)&lt;&gt;"SAMPLE",Config!$B$19="Y")),IFERROR(N(INDEX(Clay_Offices!$A$2:$FZ$601,389,Sync!$C$11)),0),"")</f>
        <v/>
      </c>
      <c r="C2040" s="17">
        <f>IF(B2040="","","office")</f>
        <v/>
      </c>
      <c r="D2040" s="17">
        <f>IF(B2040="","",IFERROR(INDEX(Clay_Offices!$A$2:$FZ$601,389,Sync!$C$5)&amp;"",""))</f>
        <v/>
      </c>
      <c r="E2040" s="17">
        <f>IF(B2040="","",IFERROR(INDEX(Clay_Offices!$A$2:$FZ$601,389,Sync!$C$6)&amp;"",""))</f>
        <v/>
      </c>
      <c r="F2040" s="17">
        <f>IF(B2040="","","outreach_sent")</f>
        <v/>
      </c>
      <c r="G2040" s="17">
        <f>IF(B2040="","","")</f>
        <v/>
      </c>
      <c r="H2040" s="17">
        <f>IF(B2040="","","")</f>
        <v/>
      </c>
      <c r="I2040" s="17">
        <f>IF(B2040="","","")</f>
        <v/>
      </c>
      <c r="J2040" s="17">
        <f>IF(B2040="","","touch_1; "&amp;IFERROR(INDEX(Clay_Offices!$A$2:$FZ$601,389,Sync!$C$10)&amp;"","")&amp;"; "&amp;IFERROR(INDEX(Clay_Offices!$A$2:$FZ$601,389,Sync!$C$9)&amp;"",""))</f>
        <v/>
      </c>
      <c r="K2040" t="inlineStr">
        <is>
          <t>office outreach touch 1</t>
        </is>
      </c>
    </row>
    <row r="2041">
      <c r="A2041" s="17">
        <f>IF(B2041="","",B2041+(12*1000+390)/10000000)</f>
        <v/>
      </c>
      <c r="B2041" s="23">
        <f>IF(AND(IFERROR(N(INDEX(Clay_Offices!$A$2:$FZ$601,390,Sync!$C$11)),0)&gt;0,IFERROR(INDEX(Clay_Offices!$A$2:$FZ$601,390,Sync!$C$5)&amp;"","")&lt;&gt;"",OR(LEFT(IFERROR(INDEX(Clay_Offices!$A$2:$FZ$601,390,Sync!$C$5)&amp;"",""),6)&lt;&gt;"SAMPLE",Config!$B$19="Y")),IFERROR(N(INDEX(Clay_Offices!$A$2:$FZ$601,390,Sync!$C$11)),0),"")</f>
        <v/>
      </c>
      <c r="C2041" s="17">
        <f>IF(B2041="","","office")</f>
        <v/>
      </c>
      <c r="D2041" s="17">
        <f>IF(B2041="","",IFERROR(INDEX(Clay_Offices!$A$2:$FZ$601,390,Sync!$C$5)&amp;"",""))</f>
        <v/>
      </c>
      <c r="E2041" s="17">
        <f>IF(B2041="","",IFERROR(INDEX(Clay_Offices!$A$2:$FZ$601,390,Sync!$C$6)&amp;"",""))</f>
        <v/>
      </c>
      <c r="F2041" s="17">
        <f>IF(B2041="","","outreach_sent")</f>
        <v/>
      </c>
      <c r="G2041" s="17">
        <f>IF(B2041="","","")</f>
        <v/>
      </c>
      <c r="H2041" s="17">
        <f>IF(B2041="","","")</f>
        <v/>
      </c>
      <c r="I2041" s="17">
        <f>IF(B2041="","","")</f>
        <v/>
      </c>
      <c r="J2041" s="17">
        <f>IF(B2041="","","touch_1; "&amp;IFERROR(INDEX(Clay_Offices!$A$2:$FZ$601,390,Sync!$C$10)&amp;"","")&amp;"; "&amp;IFERROR(INDEX(Clay_Offices!$A$2:$FZ$601,390,Sync!$C$9)&amp;"",""))</f>
        <v/>
      </c>
      <c r="K2041" t="inlineStr">
        <is>
          <t>office outreach touch 1</t>
        </is>
      </c>
    </row>
    <row r="2042">
      <c r="A2042" s="17">
        <f>IF(B2042="","",B2042+(12*1000+391)/10000000)</f>
        <v/>
      </c>
      <c r="B2042" s="23">
        <f>IF(AND(IFERROR(N(INDEX(Clay_Offices!$A$2:$FZ$601,391,Sync!$C$11)),0)&gt;0,IFERROR(INDEX(Clay_Offices!$A$2:$FZ$601,391,Sync!$C$5)&amp;"","")&lt;&gt;"",OR(LEFT(IFERROR(INDEX(Clay_Offices!$A$2:$FZ$601,391,Sync!$C$5)&amp;"",""),6)&lt;&gt;"SAMPLE",Config!$B$19="Y")),IFERROR(N(INDEX(Clay_Offices!$A$2:$FZ$601,391,Sync!$C$11)),0),"")</f>
        <v/>
      </c>
      <c r="C2042" s="17">
        <f>IF(B2042="","","office")</f>
        <v/>
      </c>
      <c r="D2042" s="17">
        <f>IF(B2042="","",IFERROR(INDEX(Clay_Offices!$A$2:$FZ$601,391,Sync!$C$5)&amp;"",""))</f>
        <v/>
      </c>
      <c r="E2042" s="17">
        <f>IF(B2042="","",IFERROR(INDEX(Clay_Offices!$A$2:$FZ$601,391,Sync!$C$6)&amp;"",""))</f>
        <v/>
      </c>
      <c r="F2042" s="17">
        <f>IF(B2042="","","outreach_sent")</f>
        <v/>
      </c>
      <c r="G2042" s="17">
        <f>IF(B2042="","","")</f>
        <v/>
      </c>
      <c r="H2042" s="17">
        <f>IF(B2042="","","")</f>
        <v/>
      </c>
      <c r="I2042" s="17">
        <f>IF(B2042="","","")</f>
        <v/>
      </c>
      <c r="J2042" s="17">
        <f>IF(B2042="","","touch_1; "&amp;IFERROR(INDEX(Clay_Offices!$A$2:$FZ$601,391,Sync!$C$10)&amp;"","")&amp;"; "&amp;IFERROR(INDEX(Clay_Offices!$A$2:$FZ$601,391,Sync!$C$9)&amp;"",""))</f>
        <v/>
      </c>
      <c r="K2042" t="inlineStr">
        <is>
          <t>office outreach touch 1</t>
        </is>
      </c>
    </row>
    <row r="2043">
      <c r="A2043" s="17">
        <f>IF(B2043="","",B2043+(12*1000+392)/10000000)</f>
        <v/>
      </c>
      <c r="B2043" s="23">
        <f>IF(AND(IFERROR(N(INDEX(Clay_Offices!$A$2:$FZ$601,392,Sync!$C$11)),0)&gt;0,IFERROR(INDEX(Clay_Offices!$A$2:$FZ$601,392,Sync!$C$5)&amp;"","")&lt;&gt;"",OR(LEFT(IFERROR(INDEX(Clay_Offices!$A$2:$FZ$601,392,Sync!$C$5)&amp;"",""),6)&lt;&gt;"SAMPLE",Config!$B$19="Y")),IFERROR(N(INDEX(Clay_Offices!$A$2:$FZ$601,392,Sync!$C$11)),0),"")</f>
        <v/>
      </c>
      <c r="C2043" s="17">
        <f>IF(B2043="","","office")</f>
        <v/>
      </c>
      <c r="D2043" s="17">
        <f>IF(B2043="","",IFERROR(INDEX(Clay_Offices!$A$2:$FZ$601,392,Sync!$C$5)&amp;"",""))</f>
        <v/>
      </c>
      <c r="E2043" s="17">
        <f>IF(B2043="","",IFERROR(INDEX(Clay_Offices!$A$2:$FZ$601,392,Sync!$C$6)&amp;"",""))</f>
        <v/>
      </c>
      <c r="F2043" s="17">
        <f>IF(B2043="","","outreach_sent")</f>
        <v/>
      </c>
      <c r="G2043" s="17">
        <f>IF(B2043="","","")</f>
        <v/>
      </c>
      <c r="H2043" s="17">
        <f>IF(B2043="","","")</f>
        <v/>
      </c>
      <c r="I2043" s="17">
        <f>IF(B2043="","","")</f>
        <v/>
      </c>
      <c r="J2043" s="17">
        <f>IF(B2043="","","touch_1; "&amp;IFERROR(INDEX(Clay_Offices!$A$2:$FZ$601,392,Sync!$C$10)&amp;"","")&amp;"; "&amp;IFERROR(INDEX(Clay_Offices!$A$2:$FZ$601,392,Sync!$C$9)&amp;"",""))</f>
        <v/>
      </c>
      <c r="K2043" t="inlineStr">
        <is>
          <t>office outreach touch 1</t>
        </is>
      </c>
    </row>
    <row r="2044">
      <c r="A2044" s="17">
        <f>IF(B2044="","",B2044+(12*1000+393)/10000000)</f>
        <v/>
      </c>
      <c r="B2044" s="23">
        <f>IF(AND(IFERROR(N(INDEX(Clay_Offices!$A$2:$FZ$601,393,Sync!$C$11)),0)&gt;0,IFERROR(INDEX(Clay_Offices!$A$2:$FZ$601,393,Sync!$C$5)&amp;"","")&lt;&gt;"",OR(LEFT(IFERROR(INDEX(Clay_Offices!$A$2:$FZ$601,393,Sync!$C$5)&amp;"",""),6)&lt;&gt;"SAMPLE",Config!$B$19="Y")),IFERROR(N(INDEX(Clay_Offices!$A$2:$FZ$601,393,Sync!$C$11)),0),"")</f>
        <v/>
      </c>
      <c r="C2044" s="17">
        <f>IF(B2044="","","office")</f>
        <v/>
      </c>
      <c r="D2044" s="17">
        <f>IF(B2044="","",IFERROR(INDEX(Clay_Offices!$A$2:$FZ$601,393,Sync!$C$5)&amp;"",""))</f>
        <v/>
      </c>
      <c r="E2044" s="17">
        <f>IF(B2044="","",IFERROR(INDEX(Clay_Offices!$A$2:$FZ$601,393,Sync!$C$6)&amp;"",""))</f>
        <v/>
      </c>
      <c r="F2044" s="17">
        <f>IF(B2044="","","outreach_sent")</f>
        <v/>
      </c>
      <c r="G2044" s="17">
        <f>IF(B2044="","","")</f>
        <v/>
      </c>
      <c r="H2044" s="17">
        <f>IF(B2044="","","")</f>
        <v/>
      </c>
      <c r="I2044" s="17">
        <f>IF(B2044="","","")</f>
        <v/>
      </c>
      <c r="J2044" s="17">
        <f>IF(B2044="","","touch_1; "&amp;IFERROR(INDEX(Clay_Offices!$A$2:$FZ$601,393,Sync!$C$10)&amp;"","")&amp;"; "&amp;IFERROR(INDEX(Clay_Offices!$A$2:$FZ$601,393,Sync!$C$9)&amp;"",""))</f>
        <v/>
      </c>
      <c r="K2044" t="inlineStr">
        <is>
          <t>office outreach touch 1</t>
        </is>
      </c>
    </row>
    <row r="2045">
      <c r="A2045" s="17">
        <f>IF(B2045="","",B2045+(12*1000+394)/10000000)</f>
        <v/>
      </c>
      <c r="B2045" s="23">
        <f>IF(AND(IFERROR(N(INDEX(Clay_Offices!$A$2:$FZ$601,394,Sync!$C$11)),0)&gt;0,IFERROR(INDEX(Clay_Offices!$A$2:$FZ$601,394,Sync!$C$5)&amp;"","")&lt;&gt;"",OR(LEFT(IFERROR(INDEX(Clay_Offices!$A$2:$FZ$601,394,Sync!$C$5)&amp;"",""),6)&lt;&gt;"SAMPLE",Config!$B$19="Y")),IFERROR(N(INDEX(Clay_Offices!$A$2:$FZ$601,394,Sync!$C$11)),0),"")</f>
        <v/>
      </c>
      <c r="C2045" s="17">
        <f>IF(B2045="","","office")</f>
        <v/>
      </c>
      <c r="D2045" s="17">
        <f>IF(B2045="","",IFERROR(INDEX(Clay_Offices!$A$2:$FZ$601,394,Sync!$C$5)&amp;"",""))</f>
        <v/>
      </c>
      <c r="E2045" s="17">
        <f>IF(B2045="","",IFERROR(INDEX(Clay_Offices!$A$2:$FZ$601,394,Sync!$C$6)&amp;"",""))</f>
        <v/>
      </c>
      <c r="F2045" s="17">
        <f>IF(B2045="","","outreach_sent")</f>
        <v/>
      </c>
      <c r="G2045" s="17">
        <f>IF(B2045="","","")</f>
        <v/>
      </c>
      <c r="H2045" s="17">
        <f>IF(B2045="","","")</f>
        <v/>
      </c>
      <c r="I2045" s="17">
        <f>IF(B2045="","","")</f>
        <v/>
      </c>
      <c r="J2045" s="17">
        <f>IF(B2045="","","touch_1; "&amp;IFERROR(INDEX(Clay_Offices!$A$2:$FZ$601,394,Sync!$C$10)&amp;"","")&amp;"; "&amp;IFERROR(INDEX(Clay_Offices!$A$2:$FZ$601,394,Sync!$C$9)&amp;"",""))</f>
        <v/>
      </c>
      <c r="K2045" t="inlineStr">
        <is>
          <t>office outreach touch 1</t>
        </is>
      </c>
    </row>
    <row r="2046">
      <c r="A2046" s="17">
        <f>IF(B2046="","",B2046+(12*1000+395)/10000000)</f>
        <v/>
      </c>
      <c r="B2046" s="23">
        <f>IF(AND(IFERROR(N(INDEX(Clay_Offices!$A$2:$FZ$601,395,Sync!$C$11)),0)&gt;0,IFERROR(INDEX(Clay_Offices!$A$2:$FZ$601,395,Sync!$C$5)&amp;"","")&lt;&gt;"",OR(LEFT(IFERROR(INDEX(Clay_Offices!$A$2:$FZ$601,395,Sync!$C$5)&amp;"",""),6)&lt;&gt;"SAMPLE",Config!$B$19="Y")),IFERROR(N(INDEX(Clay_Offices!$A$2:$FZ$601,395,Sync!$C$11)),0),"")</f>
        <v/>
      </c>
      <c r="C2046" s="17">
        <f>IF(B2046="","","office")</f>
        <v/>
      </c>
      <c r="D2046" s="17">
        <f>IF(B2046="","",IFERROR(INDEX(Clay_Offices!$A$2:$FZ$601,395,Sync!$C$5)&amp;"",""))</f>
        <v/>
      </c>
      <c r="E2046" s="17">
        <f>IF(B2046="","",IFERROR(INDEX(Clay_Offices!$A$2:$FZ$601,395,Sync!$C$6)&amp;"",""))</f>
        <v/>
      </c>
      <c r="F2046" s="17">
        <f>IF(B2046="","","outreach_sent")</f>
        <v/>
      </c>
      <c r="G2046" s="17">
        <f>IF(B2046="","","")</f>
        <v/>
      </c>
      <c r="H2046" s="17">
        <f>IF(B2046="","","")</f>
        <v/>
      </c>
      <c r="I2046" s="17">
        <f>IF(B2046="","","")</f>
        <v/>
      </c>
      <c r="J2046" s="17">
        <f>IF(B2046="","","touch_1; "&amp;IFERROR(INDEX(Clay_Offices!$A$2:$FZ$601,395,Sync!$C$10)&amp;"","")&amp;"; "&amp;IFERROR(INDEX(Clay_Offices!$A$2:$FZ$601,395,Sync!$C$9)&amp;"",""))</f>
        <v/>
      </c>
      <c r="K2046" t="inlineStr">
        <is>
          <t>office outreach touch 1</t>
        </is>
      </c>
    </row>
    <row r="2047">
      <c r="A2047" s="17">
        <f>IF(B2047="","",B2047+(12*1000+396)/10000000)</f>
        <v/>
      </c>
      <c r="B2047" s="23">
        <f>IF(AND(IFERROR(N(INDEX(Clay_Offices!$A$2:$FZ$601,396,Sync!$C$11)),0)&gt;0,IFERROR(INDEX(Clay_Offices!$A$2:$FZ$601,396,Sync!$C$5)&amp;"","")&lt;&gt;"",OR(LEFT(IFERROR(INDEX(Clay_Offices!$A$2:$FZ$601,396,Sync!$C$5)&amp;"",""),6)&lt;&gt;"SAMPLE",Config!$B$19="Y")),IFERROR(N(INDEX(Clay_Offices!$A$2:$FZ$601,396,Sync!$C$11)),0),"")</f>
        <v/>
      </c>
      <c r="C2047" s="17">
        <f>IF(B2047="","","office")</f>
        <v/>
      </c>
      <c r="D2047" s="17">
        <f>IF(B2047="","",IFERROR(INDEX(Clay_Offices!$A$2:$FZ$601,396,Sync!$C$5)&amp;"",""))</f>
        <v/>
      </c>
      <c r="E2047" s="17">
        <f>IF(B2047="","",IFERROR(INDEX(Clay_Offices!$A$2:$FZ$601,396,Sync!$C$6)&amp;"",""))</f>
        <v/>
      </c>
      <c r="F2047" s="17">
        <f>IF(B2047="","","outreach_sent")</f>
        <v/>
      </c>
      <c r="G2047" s="17">
        <f>IF(B2047="","","")</f>
        <v/>
      </c>
      <c r="H2047" s="17">
        <f>IF(B2047="","","")</f>
        <v/>
      </c>
      <c r="I2047" s="17">
        <f>IF(B2047="","","")</f>
        <v/>
      </c>
      <c r="J2047" s="17">
        <f>IF(B2047="","","touch_1; "&amp;IFERROR(INDEX(Clay_Offices!$A$2:$FZ$601,396,Sync!$C$10)&amp;"","")&amp;"; "&amp;IFERROR(INDEX(Clay_Offices!$A$2:$FZ$601,396,Sync!$C$9)&amp;"",""))</f>
        <v/>
      </c>
      <c r="K2047" t="inlineStr">
        <is>
          <t>office outreach touch 1</t>
        </is>
      </c>
    </row>
    <row r="2048">
      <c r="A2048" s="17">
        <f>IF(B2048="","",B2048+(12*1000+397)/10000000)</f>
        <v/>
      </c>
      <c r="B2048" s="23">
        <f>IF(AND(IFERROR(N(INDEX(Clay_Offices!$A$2:$FZ$601,397,Sync!$C$11)),0)&gt;0,IFERROR(INDEX(Clay_Offices!$A$2:$FZ$601,397,Sync!$C$5)&amp;"","")&lt;&gt;"",OR(LEFT(IFERROR(INDEX(Clay_Offices!$A$2:$FZ$601,397,Sync!$C$5)&amp;"",""),6)&lt;&gt;"SAMPLE",Config!$B$19="Y")),IFERROR(N(INDEX(Clay_Offices!$A$2:$FZ$601,397,Sync!$C$11)),0),"")</f>
        <v/>
      </c>
      <c r="C2048" s="17">
        <f>IF(B2048="","","office")</f>
        <v/>
      </c>
      <c r="D2048" s="17">
        <f>IF(B2048="","",IFERROR(INDEX(Clay_Offices!$A$2:$FZ$601,397,Sync!$C$5)&amp;"",""))</f>
        <v/>
      </c>
      <c r="E2048" s="17">
        <f>IF(B2048="","",IFERROR(INDEX(Clay_Offices!$A$2:$FZ$601,397,Sync!$C$6)&amp;"",""))</f>
        <v/>
      </c>
      <c r="F2048" s="17">
        <f>IF(B2048="","","outreach_sent")</f>
        <v/>
      </c>
      <c r="G2048" s="17">
        <f>IF(B2048="","","")</f>
        <v/>
      </c>
      <c r="H2048" s="17">
        <f>IF(B2048="","","")</f>
        <v/>
      </c>
      <c r="I2048" s="17">
        <f>IF(B2048="","","")</f>
        <v/>
      </c>
      <c r="J2048" s="17">
        <f>IF(B2048="","","touch_1; "&amp;IFERROR(INDEX(Clay_Offices!$A$2:$FZ$601,397,Sync!$C$10)&amp;"","")&amp;"; "&amp;IFERROR(INDEX(Clay_Offices!$A$2:$FZ$601,397,Sync!$C$9)&amp;"",""))</f>
        <v/>
      </c>
      <c r="K2048" t="inlineStr">
        <is>
          <t>office outreach touch 1</t>
        </is>
      </c>
    </row>
    <row r="2049">
      <c r="A2049" s="17">
        <f>IF(B2049="","",B2049+(12*1000+398)/10000000)</f>
        <v/>
      </c>
      <c r="B2049" s="23">
        <f>IF(AND(IFERROR(N(INDEX(Clay_Offices!$A$2:$FZ$601,398,Sync!$C$11)),0)&gt;0,IFERROR(INDEX(Clay_Offices!$A$2:$FZ$601,398,Sync!$C$5)&amp;"","")&lt;&gt;"",OR(LEFT(IFERROR(INDEX(Clay_Offices!$A$2:$FZ$601,398,Sync!$C$5)&amp;"",""),6)&lt;&gt;"SAMPLE",Config!$B$19="Y")),IFERROR(N(INDEX(Clay_Offices!$A$2:$FZ$601,398,Sync!$C$11)),0),"")</f>
        <v/>
      </c>
      <c r="C2049" s="17">
        <f>IF(B2049="","","office")</f>
        <v/>
      </c>
      <c r="D2049" s="17">
        <f>IF(B2049="","",IFERROR(INDEX(Clay_Offices!$A$2:$FZ$601,398,Sync!$C$5)&amp;"",""))</f>
        <v/>
      </c>
      <c r="E2049" s="17">
        <f>IF(B2049="","",IFERROR(INDEX(Clay_Offices!$A$2:$FZ$601,398,Sync!$C$6)&amp;"",""))</f>
        <v/>
      </c>
      <c r="F2049" s="17">
        <f>IF(B2049="","","outreach_sent")</f>
        <v/>
      </c>
      <c r="G2049" s="17">
        <f>IF(B2049="","","")</f>
        <v/>
      </c>
      <c r="H2049" s="17">
        <f>IF(B2049="","","")</f>
        <v/>
      </c>
      <c r="I2049" s="17">
        <f>IF(B2049="","","")</f>
        <v/>
      </c>
      <c r="J2049" s="17">
        <f>IF(B2049="","","touch_1; "&amp;IFERROR(INDEX(Clay_Offices!$A$2:$FZ$601,398,Sync!$C$10)&amp;"","")&amp;"; "&amp;IFERROR(INDEX(Clay_Offices!$A$2:$FZ$601,398,Sync!$C$9)&amp;"",""))</f>
        <v/>
      </c>
      <c r="K2049" t="inlineStr">
        <is>
          <t>office outreach touch 1</t>
        </is>
      </c>
    </row>
    <row r="2050">
      <c r="A2050" s="17">
        <f>IF(B2050="","",B2050+(12*1000+399)/10000000)</f>
        <v/>
      </c>
      <c r="B2050" s="23">
        <f>IF(AND(IFERROR(N(INDEX(Clay_Offices!$A$2:$FZ$601,399,Sync!$C$11)),0)&gt;0,IFERROR(INDEX(Clay_Offices!$A$2:$FZ$601,399,Sync!$C$5)&amp;"","")&lt;&gt;"",OR(LEFT(IFERROR(INDEX(Clay_Offices!$A$2:$FZ$601,399,Sync!$C$5)&amp;"",""),6)&lt;&gt;"SAMPLE",Config!$B$19="Y")),IFERROR(N(INDEX(Clay_Offices!$A$2:$FZ$601,399,Sync!$C$11)),0),"")</f>
        <v/>
      </c>
      <c r="C2050" s="17">
        <f>IF(B2050="","","office")</f>
        <v/>
      </c>
      <c r="D2050" s="17">
        <f>IF(B2050="","",IFERROR(INDEX(Clay_Offices!$A$2:$FZ$601,399,Sync!$C$5)&amp;"",""))</f>
        <v/>
      </c>
      <c r="E2050" s="17">
        <f>IF(B2050="","",IFERROR(INDEX(Clay_Offices!$A$2:$FZ$601,399,Sync!$C$6)&amp;"",""))</f>
        <v/>
      </c>
      <c r="F2050" s="17">
        <f>IF(B2050="","","outreach_sent")</f>
        <v/>
      </c>
      <c r="G2050" s="17">
        <f>IF(B2050="","","")</f>
        <v/>
      </c>
      <c r="H2050" s="17">
        <f>IF(B2050="","","")</f>
        <v/>
      </c>
      <c r="I2050" s="17">
        <f>IF(B2050="","","")</f>
        <v/>
      </c>
      <c r="J2050" s="17">
        <f>IF(B2050="","","touch_1; "&amp;IFERROR(INDEX(Clay_Offices!$A$2:$FZ$601,399,Sync!$C$10)&amp;"","")&amp;"; "&amp;IFERROR(INDEX(Clay_Offices!$A$2:$FZ$601,399,Sync!$C$9)&amp;"",""))</f>
        <v/>
      </c>
      <c r="K2050" t="inlineStr">
        <is>
          <t>office outreach touch 1</t>
        </is>
      </c>
    </row>
    <row r="2051">
      <c r="A2051" s="17">
        <f>IF(B2051="","",B2051+(12*1000+400)/10000000)</f>
        <v/>
      </c>
      <c r="B2051" s="23">
        <f>IF(AND(IFERROR(N(INDEX(Clay_Offices!$A$2:$FZ$601,400,Sync!$C$11)),0)&gt;0,IFERROR(INDEX(Clay_Offices!$A$2:$FZ$601,400,Sync!$C$5)&amp;"","")&lt;&gt;"",OR(LEFT(IFERROR(INDEX(Clay_Offices!$A$2:$FZ$601,400,Sync!$C$5)&amp;"",""),6)&lt;&gt;"SAMPLE",Config!$B$19="Y")),IFERROR(N(INDEX(Clay_Offices!$A$2:$FZ$601,400,Sync!$C$11)),0),"")</f>
        <v/>
      </c>
      <c r="C2051" s="17">
        <f>IF(B2051="","","office")</f>
        <v/>
      </c>
      <c r="D2051" s="17">
        <f>IF(B2051="","",IFERROR(INDEX(Clay_Offices!$A$2:$FZ$601,400,Sync!$C$5)&amp;"",""))</f>
        <v/>
      </c>
      <c r="E2051" s="17">
        <f>IF(B2051="","",IFERROR(INDEX(Clay_Offices!$A$2:$FZ$601,400,Sync!$C$6)&amp;"",""))</f>
        <v/>
      </c>
      <c r="F2051" s="17">
        <f>IF(B2051="","","outreach_sent")</f>
        <v/>
      </c>
      <c r="G2051" s="17">
        <f>IF(B2051="","","")</f>
        <v/>
      </c>
      <c r="H2051" s="17">
        <f>IF(B2051="","","")</f>
        <v/>
      </c>
      <c r="I2051" s="17">
        <f>IF(B2051="","","")</f>
        <v/>
      </c>
      <c r="J2051" s="17">
        <f>IF(B2051="","","touch_1; "&amp;IFERROR(INDEX(Clay_Offices!$A$2:$FZ$601,400,Sync!$C$10)&amp;"","")&amp;"; "&amp;IFERROR(INDEX(Clay_Offices!$A$2:$FZ$601,400,Sync!$C$9)&amp;"",""))</f>
        <v/>
      </c>
      <c r="K2051" t="inlineStr">
        <is>
          <t>office outreach touch 1</t>
        </is>
      </c>
    </row>
    <row r="2052">
      <c r="A2052" s="17">
        <f>IF(B2052="","",B2052+(12*1000+401)/10000000)</f>
        <v/>
      </c>
      <c r="B2052" s="23">
        <f>IF(AND(IFERROR(N(INDEX(Clay_Offices!$A$2:$FZ$601,401,Sync!$C$11)),0)&gt;0,IFERROR(INDEX(Clay_Offices!$A$2:$FZ$601,401,Sync!$C$5)&amp;"","")&lt;&gt;"",OR(LEFT(IFERROR(INDEX(Clay_Offices!$A$2:$FZ$601,401,Sync!$C$5)&amp;"",""),6)&lt;&gt;"SAMPLE",Config!$B$19="Y")),IFERROR(N(INDEX(Clay_Offices!$A$2:$FZ$601,401,Sync!$C$11)),0),"")</f>
        <v/>
      </c>
      <c r="C2052" s="17">
        <f>IF(B2052="","","office")</f>
        <v/>
      </c>
      <c r="D2052" s="17">
        <f>IF(B2052="","",IFERROR(INDEX(Clay_Offices!$A$2:$FZ$601,401,Sync!$C$5)&amp;"",""))</f>
        <v/>
      </c>
      <c r="E2052" s="17">
        <f>IF(B2052="","",IFERROR(INDEX(Clay_Offices!$A$2:$FZ$601,401,Sync!$C$6)&amp;"",""))</f>
        <v/>
      </c>
      <c r="F2052" s="17">
        <f>IF(B2052="","","outreach_sent")</f>
        <v/>
      </c>
      <c r="G2052" s="17">
        <f>IF(B2052="","","")</f>
        <v/>
      </c>
      <c r="H2052" s="17">
        <f>IF(B2052="","","")</f>
        <v/>
      </c>
      <c r="I2052" s="17">
        <f>IF(B2052="","","")</f>
        <v/>
      </c>
      <c r="J2052" s="17">
        <f>IF(B2052="","","touch_1; "&amp;IFERROR(INDEX(Clay_Offices!$A$2:$FZ$601,401,Sync!$C$10)&amp;"","")&amp;"; "&amp;IFERROR(INDEX(Clay_Offices!$A$2:$FZ$601,401,Sync!$C$9)&amp;"",""))</f>
        <v/>
      </c>
      <c r="K2052" t="inlineStr">
        <is>
          <t>office outreach touch 1</t>
        </is>
      </c>
    </row>
    <row r="2053">
      <c r="A2053" s="17">
        <f>IF(B2053="","",B2053+(12*1000+402)/10000000)</f>
        <v/>
      </c>
      <c r="B2053" s="23">
        <f>IF(AND(IFERROR(N(INDEX(Clay_Offices!$A$2:$FZ$601,402,Sync!$C$11)),0)&gt;0,IFERROR(INDEX(Clay_Offices!$A$2:$FZ$601,402,Sync!$C$5)&amp;"","")&lt;&gt;"",OR(LEFT(IFERROR(INDEX(Clay_Offices!$A$2:$FZ$601,402,Sync!$C$5)&amp;"",""),6)&lt;&gt;"SAMPLE",Config!$B$19="Y")),IFERROR(N(INDEX(Clay_Offices!$A$2:$FZ$601,402,Sync!$C$11)),0),"")</f>
        <v/>
      </c>
      <c r="C2053" s="17">
        <f>IF(B2053="","","office")</f>
        <v/>
      </c>
      <c r="D2053" s="17">
        <f>IF(B2053="","",IFERROR(INDEX(Clay_Offices!$A$2:$FZ$601,402,Sync!$C$5)&amp;"",""))</f>
        <v/>
      </c>
      <c r="E2053" s="17">
        <f>IF(B2053="","",IFERROR(INDEX(Clay_Offices!$A$2:$FZ$601,402,Sync!$C$6)&amp;"",""))</f>
        <v/>
      </c>
      <c r="F2053" s="17">
        <f>IF(B2053="","","outreach_sent")</f>
        <v/>
      </c>
      <c r="G2053" s="17">
        <f>IF(B2053="","","")</f>
        <v/>
      </c>
      <c r="H2053" s="17">
        <f>IF(B2053="","","")</f>
        <v/>
      </c>
      <c r="I2053" s="17">
        <f>IF(B2053="","","")</f>
        <v/>
      </c>
      <c r="J2053" s="17">
        <f>IF(B2053="","","touch_1; "&amp;IFERROR(INDEX(Clay_Offices!$A$2:$FZ$601,402,Sync!$C$10)&amp;"","")&amp;"; "&amp;IFERROR(INDEX(Clay_Offices!$A$2:$FZ$601,402,Sync!$C$9)&amp;"",""))</f>
        <v/>
      </c>
      <c r="K2053" t="inlineStr">
        <is>
          <t>office outreach touch 1</t>
        </is>
      </c>
    </row>
    <row r="2054">
      <c r="A2054" s="17">
        <f>IF(B2054="","",B2054+(12*1000+403)/10000000)</f>
        <v/>
      </c>
      <c r="B2054" s="23">
        <f>IF(AND(IFERROR(N(INDEX(Clay_Offices!$A$2:$FZ$601,403,Sync!$C$11)),0)&gt;0,IFERROR(INDEX(Clay_Offices!$A$2:$FZ$601,403,Sync!$C$5)&amp;"","")&lt;&gt;"",OR(LEFT(IFERROR(INDEX(Clay_Offices!$A$2:$FZ$601,403,Sync!$C$5)&amp;"",""),6)&lt;&gt;"SAMPLE",Config!$B$19="Y")),IFERROR(N(INDEX(Clay_Offices!$A$2:$FZ$601,403,Sync!$C$11)),0),"")</f>
        <v/>
      </c>
      <c r="C2054" s="17">
        <f>IF(B2054="","","office")</f>
        <v/>
      </c>
      <c r="D2054" s="17">
        <f>IF(B2054="","",IFERROR(INDEX(Clay_Offices!$A$2:$FZ$601,403,Sync!$C$5)&amp;"",""))</f>
        <v/>
      </c>
      <c r="E2054" s="17">
        <f>IF(B2054="","",IFERROR(INDEX(Clay_Offices!$A$2:$FZ$601,403,Sync!$C$6)&amp;"",""))</f>
        <v/>
      </c>
      <c r="F2054" s="17">
        <f>IF(B2054="","","outreach_sent")</f>
        <v/>
      </c>
      <c r="G2054" s="17">
        <f>IF(B2054="","","")</f>
        <v/>
      </c>
      <c r="H2054" s="17">
        <f>IF(B2054="","","")</f>
        <v/>
      </c>
      <c r="I2054" s="17">
        <f>IF(B2054="","","")</f>
        <v/>
      </c>
      <c r="J2054" s="17">
        <f>IF(B2054="","","touch_1; "&amp;IFERROR(INDEX(Clay_Offices!$A$2:$FZ$601,403,Sync!$C$10)&amp;"","")&amp;"; "&amp;IFERROR(INDEX(Clay_Offices!$A$2:$FZ$601,403,Sync!$C$9)&amp;"",""))</f>
        <v/>
      </c>
      <c r="K2054" t="inlineStr">
        <is>
          <t>office outreach touch 1</t>
        </is>
      </c>
    </row>
    <row r="2055">
      <c r="A2055" s="17">
        <f>IF(B2055="","",B2055+(12*1000+404)/10000000)</f>
        <v/>
      </c>
      <c r="B2055" s="23">
        <f>IF(AND(IFERROR(N(INDEX(Clay_Offices!$A$2:$FZ$601,404,Sync!$C$11)),0)&gt;0,IFERROR(INDEX(Clay_Offices!$A$2:$FZ$601,404,Sync!$C$5)&amp;"","")&lt;&gt;"",OR(LEFT(IFERROR(INDEX(Clay_Offices!$A$2:$FZ$601,404,Sync!$C$5)&amp;"",""),6)&lt;&gt;"SAMPLE",Config!$B$19="Y")),IFERROR(N(INDEX(Clay_Offices!$A$2:$FZ$601,404,Sync!$C$11)),0),"")</f>
        <v/>
      </c>
      <c r="C2055" s="17">
        <f>IF(B2055="","","office")</f>
        <v/>
      </c>
      <c r="D2055" s="17">
        <f>IF(B2055="","",IFERROR(INDEX(Clay_Offices!$A$2:$FZ$601,404,Sync!$C$5)&amp;"",""))</f>
        <v/>
      </c>
      <c r="E2055" s="17">
        <f>IF(B2055="","",IFERROR(INDEX(Clay_Offices!$A$2:$FZ$601,404,Sync!$C$6)&amp;"",""))</f>
        <v/>
      </c>
      <c r="F2055" s="17">
        <f>IF(B2055="","","outreach_sent")</f>
        <v/>
      </c>
      <c r="G2055" s="17">
        <f>IF(B2055="","","")</f>
        <v/>
      </c>
      <c r="H2055" s="17">
        <f>IF(B2055="","","")</f>
        <v/>
      </c>
      <c r="I2055" s="17">
        <f>IF(B2055="","","")</f>
        <v/>
      </c>
      <c r="J2055" s="17">
        <f>IF(B2055="","","touch_1; "&amp;IFERROR(INDEX(Clay_Offices!$A$2:$FZ$601,404,Sync!$C$10)&amp;"","")&amp;"; "&amp;IFERROR(INDEX(Clay_Offices!$A$2:$FZ$601,404,Sync!$C$9)&amp;"",""))</f>
        <v/>
      </c>
      <c r="K2055" t="inlineStr">
        <is>
          <t>office outreach touch 1</t>
        </is>
      </c>
    </row>
    <row r="2056">
      <c r="A2056" s="17">
        <f>IF(B2056="","",B2056+(12*1000+405)/10000000)</f>
        <v/>
      </c>
      <c r="B2056" s="23">
        <f>IF(AND(IFERROR(N(INDEX(Clay_Offices!$A$2:$FZ$601,405,Sync!$C$11)),0)&gt;0,IFERROR(INDEX(Clay_Offices!$A$2:$FZ$601,405,Sync!$C$5)&amp;"","")&lt;&gt;"",OR(LEFT(IFERROR(INDEX(Clay_Offices!$A$2:$FZ$601,405,Sync!$C$5)&amp;"",""),6)&lt;&gt;"SAMPLE",Config!$B$19="Y")),IFERROR(N(INDEX(Clay_Offices!$A$2:$FZ$601,405,Sync!$C$11)),0),"")</f>
        <v/>
      </c>
      <c r="C2056" s="17">
        <f>IF(B2056="","","office")</f>
        <v/>
      </c>
      <c r="D2056" s="17">
        <f>IF(B2056="","",IFERROR(INDEX(Clay_Offices!$A$2:$FZ$601,405,Sync!$C$5)&amp;"",""))</f>
        <v/>
      </c>
      <c r="E2056" s="17">
        <f>IF(B2056="","",IFERROR(INDEX(Clay_Offices!$A$2:$FZ$601,405,Sync!$C$6)&amp;"",""))</f>
        <v/>
      </c>
      <c r="F2056" s="17">
        <f>IF(B2056="","","outreach_sent")</f>
        <v/>
      </c>
      <c r="G2056" s="17">
        <f>IF(B2056="","","")</f>
        <v/>
      </c>
      <c r="H2056" s="17">
        <f>IF(B2056="","","")</f>
        <v/>
      </c>
      <c r="I2056" s="17">
        <f>IF(B2056="","","")</f>
        <v/>
      </c>
      <c r="J2056" s="17">
        <f>IF(B2056="","","touch_1; "&amp;IFERROR(INDEX(Clay_Offices!$A$2:$FZ$601,405,Sync!$C$10)&amp;"","")&amp;"; "&amp;IFERROR(INDEX(Clay_Offices!$A$2:$FZ$601,405,Sync!$C$9)&amp;"",""))</f>
        <v/>
      </c>
      <c r="K2056" t="inlineStr">
        <is>
          <t>office outreach touch 1</t>
        </is>
      </c>
    </row>
    <row r="2057">
      <c r="A2057" s="17">
        <f>IF(B2057="","",B2057+(12*1000+406)/10000000)</f>
        <v/>
      </c>
      <c r="B2057" s="23">
        <f>IF(AND(IFERROR(N(INDEX(Clay_Offices!$A$2:$FZ$601,406,Sync!$C$11)),0)&gt;0,IFERROR(INDEX(Clay_Offices!$A$2:$FZ$601,406,Sync!$C$5)&amp;"","")&lt;&gt;"",OR(LEFT(IFERROR(INDEX(Clay_Offices!$A$2:$FZ$601,406,Sync!$C$5)&amp;"",""),6)&lt;&gt;"SAMPLE",Config!$B$19="Y")),IFERROR(N(INDEX(Clay_Offices!$A$2:$FZ$601,406,Sync!$C$11)),0),"")</f>
        <v/>
      </c>
      <c r="C2057" s="17">
        <f>IF(B2057="","","office")</f>
        <v/>
      </c>
      <c r="D2057" s="17">
        <f>IF(B2057="","",IFERROR(INDEX(Clay_Offices!$A$2:$FZ$601,406,Sync!$C$5)&amp;"",""))</f>
        <v/>
      </c>
      <c r="E2057" s="17">
        <f>IF(B2057="","",IFERROR(INDEX(Clay_Offices!$A$2:$FZ$601,406,Sync!$C$6)&amp;"",""))</f>
        <v/>
      </c>
      <c r="F2057" s="17">
        <f>IF(B2057="","","outreach_sent")</f>
        <v/>
      </c>
      <c r="G2057" s="17">
        <f>IF(B2057="","","")</f>
        <v/>
      </c>
      <c r="H2057" s="17">
        <f>IF(B2057="","","")</f>
        <v/>
      </c>
      <c r="I2057" s="17">
        <f>IF(B2057="","","")</f>
        <v/>
      </c>
      <c r="J2057" s="17">
        <f>IF(B2057="","","touch_1; "&amp;IFERROR(INDEX(Clay_Offices!$A$2:$FZ$601,406,Sync!$C$10)&amp;"","")&amp;"; "&amp;IFERROR(INDEX(Clay_Offices!$A$2:$FZ$601,406,Sync!$C$9)&amp;"",""))</f>
        <v/>
      </c>
      <c r="K2057" t="inlineStr">
        <is>
          <t>office outreach touch 1</t>
        </is>
      </c>
    </row>
    <row r="2058">
      <c r="A2058" s="17">
        <f>IF(B2058="","",B2058+(12*1000+407)/10000000)</f>
        <v/>
      </c>
      <c r="B2058" s="23">
        <f>IF(AND(IFERROR(N(INDEX(Clay_Offices!$A$2:$FZ$601,407,Sync!$C$11)),0)&gt;0,IFERROR(INDEX(Clay_Offices!$A$2:$FZ$601,407,Sync!$C$5)&amp;"","")&lt;&gt;"",OR(LEFT(IFERROR(INDEX(Clay_Offices!$A$2:$FZ$601,407,Sync!$C$5)&amp;"",""),6)&lt;&gt;"SAMPLE",Config!$B$19="Y")),IFERROR(N(INDEX(Clay_Offices!$A$2:$FZ$601,407,Sync!$C$11)),0),"")</f>
        <v/>
      </c>
      <c r="C2058" s="17">
        <f>IF(B2058="","","office")</f>
        <v/>
      </c>
      <c r="D2058" s="17">
        <f>IF(B2058="","",IFERROR(INDEX(Clay_Offices!$A$2:$FZ$601,407,Sync!$C$5)&amp;"",""))</f>
        <v/>
      </c>
      <c r="E2058" s="17">
        <f>IF(B2058="","",IFERROR(INDEX(Clay_Offices!$A$2:$FZ$601,407,Sync!$C$6)&amp;"",""))</f>
        <v/>
      </c>
      <c r="F2058" s="17">
        <f>IF(B2058="","","outreach_sent")</f>
        <v/>
      </c>
      <c r="G2058" s="17">
        <f>IF(B2058="","","")</f>
        <v/>
      </c>
      <c r="H2058" s="17">
        <f>IF(B2058="","","")</f>
        <v/>
      </c>
      <c r="I2058" s="17">
        <f>IF(B2058="","","")</f>
        <v/>
      </c>
      <c r="J2058" s="17">
        <f>IF(B2058="","","touch_1; "&amp;IFERROR(INDEX(Clay_Offices!$A$2:$FZ$601,407,Sync!$C$10)&amp;"","")&amp;"; "&amp;IFERROR(INDEX(Clay_Offices!$A$2:$FZ$601,407,Sync!$C$9)&amp;"",""))</f>
        <v/>
      </c>
      <c r="K2058" t="inlineStr">
        <is>
          <t>office outreach touch 1</t>
        </is>
      </c>
    </row>
    <row r="2059">
      <c r="A2059" s="17">
        <f>IF(B2059="","",B2059+(12*1000+408)/10000000)</f>
        <v/>
      </c>
      <c r="B2059" s="23">
        <f>IF(AND(IFERROR(N(INDEX(Clay_Offices!$A$2:$FZ$601,408,Sync!$C$11)),0)&gt;0,IFERROR(INDEX(Clay_Offices!$A$2:$FZ$601,408,Sync!$C$5)&amp;"","")&lt;&gt;"",OR(LEFT(IFERROR(INDEX(Clay_Offices!$A$2:$FZ$601,408,Sync!$C$5)&amp;"",""),6)&lt;&gt;"SAMPLE",Config!$B$19="Y")),IFERROR(N(INDEX(Clay_Offices!$A$2:$FZ$601,408,Sync!$C$11)),0),"")</f>
        <v/>
      </c>
      <c r="C2059" s="17">
        <f>IF(B2059="","","office")</f>
        <v/>
      </c>
      <c r="D2059" s="17">
        <f>IF(B2059="","",IFERROR(INDEX(Clay_Offices!$A$2:$FZ$601,408,Sync!$C$5)&amp;"",""))</f>
        <v/>
      </c>
      <c r="E2059" s="17">
        <f>IF(B2059="","",IFERROR(INDEX(Clay_Offices!$A$2:$FZ$601,408,Sync!$C$6)&amp;"",""))</f>
        <v/>
      </c>
      <c r="F2059" s="17">
        <f>IF(B2059="","","outreach_sent")</f>
        <v/>
      </c>
      <c r="G2059" s="17">
        <f>IF(B2059="","","")</f>
        <v/>
      </c>
      <c r="H2059" s="17">
        <f>IF(B2059="","","")</f>
        <v/>
      </c>
      <c r="I2059" s="17">
        <f>IF(B2059="","","")</f>
        <v/>
      </c>
      <c r="J2059" s="17">
        <f>IF(B2059="","","touch_1; "&amp;IFERROR(INDEX(Clay_Offices!$A$2:$FZ$601,408,Sync!$C$10)&amp;"","")&amp;"; "&amp;IFERROR(INDEX(Clay_Offices!$A$2:$FZ$601,408,Sync!$C$9)&amp;"",""))</f>
        <v/>
      </c>
      <c r="K2059" t="inlineStr">
        <is>
          <t>office outreach touch 1</t>
        </is>
      </c>
    </row>
    <row r="2060">
      <c r="A2060" s="17">
        <f>IF(B2060="","",B2060+(12*1000+409)/10000000)</f>
        <v/>
      </c>
      <c r="B2060" s="23">
        <f>IF(AND(IFERROR(N(INDEX(Clay_Offices!$A$2:$FZ$601,409,Sync!$C$11)),0)&gt;0,IFERROR(INDEX(Clay_Offices!$A$2:$FZ$601,409,Sync!$C$5)&amp;"","")&lt;&gt;"",OR(LEFT(IFERROR(INDEX(Clay_Offices!$A$2:$FZ$601,409,Sync!$C$5)&amp;"",""),6)&lt;&gt;"SAMPLE",Config!$B$19="Y")),IFERROR(N(INDEX(Clay_Offices!$A$2:$FZ$601,409,Sync!$C$11)),0),"")</f>
        <v/>
      </c>
      <c r="C2060" s="17">
        <f>IF(B2060="","","office")</f>
        <v/>
      </c>
      <c r="D2060" s="17">
        <f>IF(B2060="","",IFERROR(INDEX(Clay_Offices!$A$2:$FZ$601,409,Sync!$C$5)&amp;"",""))</f>
        <v/>
      </c>
      <c r="E2060" s="17">
        <f>IF(B2060="","",IFERROR(INDEX(Clay_Offices!$A$2:$FZ$601,409,Sync!$C$6)&amp;"",""))</f>
        <v/>
      </c>
      <c r="F2060" s="17">
        <f>IF(B2060="","","outreach_sent")</f>
        <v/>
      </c>
      <c r="G2060" s="17">
        <f>IF(B2060="","","")</f>
        <v/>
      </c>
      <c r="H2060" s="17">
        <f>IF(B2060="","","")</f>
        <v/>
      </c>
      <c r="I2060" s="17">
        <f>IF(B2060="","","")</f>
        <v/>
      </c>
      <c r="J2060" s="17">
        <f>IF(B2060="","","touch_1; "&amp;IFERROR(INDEX(Clay_Offices!$A$2:$FZ$601,409,Sync!$C$10)&amp;"","")&amp;"; "&amp;IFERROR(INDEX(Clay_Offices!$A$2:$FZ$601,409,Sync!$C$9)&amp;"",""))</f>
        <v/>
      </c>
      <c r="K2060" t="inlineStr">
        <is>
          <t>office outreach touch 1</t>
        </is>
      </c>
    </row>
    <row r="2061">
      <c r="A2061" s="17">
        <f>IF(B2061="","",B2061+(12*1000+410)/10000000)</f>
        <v/>
      </c>
      <c r="B2061" s="23">
        <f>IF(AND(IFERROR(N(INDEX(Clay_Offices!$A$2:$FZ$601,410,Sync!$C$11)),0)&gt;0,IFERROR(INDEX(Clay_Offices!$A$2:$FZ$601,410,Sync!$C$5)&amp;"","")&lt;&gt;"",OR(LEFT(IFERROR(INDEX(Clay_Offices!$A$2:$FZ$601,410,Sync!$C$5)&amp;"",""),6)&lt;&gt;"SAMPLE",Config!$B$19="Y")),IFERROR(N(INDEX(Clay_Offices!$A$2:$FZ$601,410,Sync!$C$11)),0),"")</f>
        <v/>
      </c>
      <c r="C2061" s="17">
        <f>IF(B2061="","","office")</f>
        <v/>
      </c>
      <c r="D2061" s="17">
        <f>IF(B2061="","",IFERROR(INDEX(Clay_Offices!$A$2:$FZ$601,410,Sync!$C$5)&amp;"",""))</f>
        <v/>
      </c>
      <c r="E2061" s="17">
        <f>IF(B2061="","",IFERROR(INDEX(Clay_Offices!$A$2:$FZ$601,410,Sync!$C$6)&amp;"",""))</f>
        <v/>
      </c>
      <c r="F2061" s="17">
        <f>IF(B2061="","","outreach_sent")</f>
        <v/>
      </c>
      <c r="G2061" s="17">
        <f>IF(B2061="","","")</f>
        <v/>
      </c>
      <c r="H2061" s="17">
        <f>IF(B2061="","","")</f>
        <v/>
      </c>
      <c r="I2061" s="17">
        <f>IF(B2061="","","")</f>
        <v/>
      </c>
      <c r="J2061" s="17">
        <f>IF(B2061="","","touch_1; "&amp;IFERROR(INDEX(Clay_Offices!$A$2:$FZ$601,410,Sync!$C$10)&amp;"","")&amp;"; "&amp;IFERROR(INDEX(Clay_Offices!$A$2:$FZ$601,410,Sync!$C$9)&amp;"",""))</f>
        <v/>
      </c>
      <c r="K2061" t="inlineStr">
        <is>
          <t>office outreach touch 1</t>
        </is>
      </c>
    </row>
    <row r="2062">
      <c r="A2062" s="17">
        <f>IF(B2062="","",B2062+(12*1000+411)/10000000)</f>
        <v/>
      </c>
      <c r="B2062" s="23">
        <f>IF(AND(IFERROR(N(INDEX(Clay_Offices!$A$2:$FZ$601,411,Sync!$C$11)),0)&gt;0,IFERROR(INDEX(Clay_Offices!$A$2:$FZ$601,411,Sync!$C$5)&amp;"","")&lt;&gt;"",OR(LEFT(IFERROR(INDEX(Clay_Offices!$A$2:$FZ$601,411,Sync!$C$5)&amp;"",""),6)&lt;&gt;"SAMPLE",Config!$B$19="Y")),IFERROR(N(INDEX(Clay_Offices!$A$2:$FZ$601,411,Sync!$C$11)),0),"")</f>
        <v/>
      </c>
      <c r="C2062" s="17">
        <f>IF(B2062="","","office")</f>
        <v/>
      </c>
      <c r="D2062" s="17">
        <f>IF(B2062="","",IFERROR(INDEX(Clay_Offices!$A$2:$FZ$601,411,Sync!$C$5)&amp;"",""))</f>
        <v/>
      </c>
      <c r="E2062" s="17">
        <f>IF(B2062="","",IFERROR(INDEX(Clay_Offices!$A$2:$FZ$601,411,Sync!$C$6)&amp;"",""))</f>
        <v/>
      </c>
      <c r="F2062" s="17">
        <f>IF(B2062="","","outreach_sent")</f>
        <v/>
      </c>
      <c r="G2062" s="17">
        <f>IF(B2062="","","")</f>
        <v/>
      </c>
      <c r="H2062" s="17">
        <f>IF(B2062="","","")</f>
        <v/>
      </c>
      <c r="I2062" s="17">
        <f>IF(B2062="","","")</f>
        <v/>
      </c>
      <c r="J2062" s="17">
        <f>IF(B2062="","","touch_1; "&amp;IFERROR(INDEX(Clay_Offices!$A$2:$FZ$601,411,Sync!$C$10)&amp;"","")&amp;"; "&amp;IFERROR(INDEX(Clay_Offices!$A$2:$FZ$601,411,Sync!$C$9)&amp;"",""))</f>
        <v/>
      </c>
      <c r="K2062" t="inlineStr">
        <is>
          <t>office outreach touch 1</t>
        </is>
      </c>
    </row>
    <row r="2063">
      <c r="A2063" s="17">
        <f>IF(B2063="","",B2063+(12*1000+412)/10000000)</f>
        <v/>
      </c>
      <c r="B2063" s="23">
        <f>IF(AND(IFERROR(N(INDEX(Clay_Offices!$A$2:$FZ$601,412,Sync!$C$11)),0)&gt;0,IFERROR(INDEX(Clay_Offices!$A$2:$FZ$601,412,Sync!$C$5)&amp;"","")&lt;&gt;"",OR(LEFT(IFERROR(INDEX(Clay_Offices!$A$2:$FZ$601,412,Sync!$C$5)&amp;"",""),6)&lt;&gt;"SAMPLE",Config!$B$19="Y")),IFERROR(N(INDEX(Clay_Offices!$A$2:$FZ$601,412,Sync!$C$11)),0),"")</f>
        <v/>
      </c>
      <c r="C2063" s="17">
        <f>IF(B2063="","","office")</f>
        <v/>
      </c>
      <c r="D2063" s="17">
        <f>IF(B2063="","",IFERROR(INDEX(Clay_Offices!$A$2:$FZ$601,412,Sync!$C$5)&amp;"",""))</f>
        <v/>
      </c>
      <c r="E2063" s="17">
        <f>IF(B2063="","",IFERROR(INDEX(Clay_Offices!$A$2:$FZ$601,412,Sync!$C$6)&amp;"",""))</f>
        <v/>
      </c>
      <c r="F2063" s="17">
        <f>IF(B2063="","","outreach_sent")</f>
        <v/>
      </c>
      <c r="G2063" s="17">
        <f>IF(B2063="","","")</f>
        <v/>
      </c>
      <c r="H2063" s="17">
        <f>IF(B2063="","","")</f>
        <v/>
      </c>
      <c r="I2063" s="17">
        <f>IF(B2063="","","")</f>
        <v/>
      </c>
      <c r="J2063" s="17">
        <f>IF(B2063="","","touch_1; "&amp;IFERROR(INDEX(Clay_Offices!$A$2:$FZ$601,412,Sync!$C$10)&amp;"","")&amp;"; "&amp;IFERROR(INDEX(Clay_Offices!$A$2:$FZ$601,412,Sync!$C$9)&amp;"",""))</f>
        <v/>
      </c>
      <c r="K2063" t="inlineStr">
        <is>
          <t>office outreach touch 1</t>
        </is>
      </c>
    </row>
    <row r="2064">
      <c r="A2064" s="17">
        <f>IF(B2064="","",B2064+(12*1000+413)/10000000)</f>
        <v/>
      </c>
      <c r="B2064" s="23">
        <f>IF(AND(IFERROR(N(INDEX(Clay_Offices!$A$2:$FZ$601,413,Sync!$C$11)),0)&gt;0,IFERROR(INDEX(Clay_Offices!$A$2:$FZ$601,413,Sync!$C$5)&amp;"","")&lt;&gt;"",OR(LEFT(IFERROR(INDEX(Clay_Offices!$A$2:$FZ$601,413,Sync!$C$5)&amp;"",""),6)&lt;&gt;"SAMPLE",Config!$B$19="Y")),IFERROR(N(INDEX(Clay_Offices!$A$2:$FZ$601,413,Sync!$C$11)),0),"")</f>
        <v/>
      </c>
      <c r="C2064" s="17">
        <f>IF(B2064="","","office")</f>
        <v/>
      </c>
      <c r="D2064" s="17">
        <f>IF(B2064="","",IFERROR(INDEX(Clay_Offices!$A$2:$FZ$601,413,Sync!$C$5)&amp;"",""))</f>
        <v/>
      </c>
      <c r="E2064" s="17">
        <f>IF(B2064="","",IFERROR(INDEX(Clay_Offices!$A$2:$FZ$601,413,Sync!$C$6)&amp;"",""))</f>
        <v/>
      </c>
      <c r="F2064" s="17">
        <f>IF(B2064="","","outreach_sent")</f>
        <v/>
      </c>
      <c r="G2064" s="17">
        <f>IF(B2064="","","")</f>
        <v/>
      </c>
      <c r="H2064" s="17">
        <f>IF(B2064="","","")</f>
        <v/>
      </c>
      <c r="I2064" s="17">
        <f>IF(B2064="","","")</f>
        <v/>
      </c>
      <c r="J2064" s="17">
        <f>IF(B2064="","","touch_1; "&amp;IFERROR(INDEX(Clay_Offices!$A$2:$FZ$601,413,Sync!$C$10)&amp;"","")&amp;"; "&amp;IFERROR(INDEX(Clay_Offices!$A$2:$FZ$601,413,Sync!$C$9)&amp;"",""))</f>
        <v/>
      </c>
      <c r="K2064" t="inlineStr">
        <is>
          <t>office outreach touch 1</t>
        </is>
      </c>
    </row>
    <row r="2065">
      <c r="A2065" s="17">
        <f>IF(B2065="","",B2065+(12*1000+414)/10000000)</f>
        <v/>
      </c>
      <c r="B2065" s="23">
        <f>IF(AND(IFERROR(N(INDEX(Clay_Offices!$A$2:$FZ$601,414,Sync!$C$11)),0)&gt;0,IFERROR(INDEX(Clay_Offices!$A$2:$FZ$601,414,Sync!$C$5)&amp;"","")&lt;&gt;"",OR(LEFT(IFERROR(INDEX(Clay_Offices!$A$2:$FZ$601,414,Sync!$C$5)&amp;"",""),6)&lt;&gt;"SAMPLE",Config!$B$19="Y")),IFERROR(N(INDEX(Clay_Offices!$A$2:$FZ$601,414,Sync!$C$11)),0),"")</f>
        <v/>
      </c>
      <c r="C2065" s="17">
        <f>IF(B2065="","","office")</f>
        <v/>
      </c>
      <c r="D2065" s="17">
        <f>IF(B2065="","",IFERROR(INDEX(Clay_Offices!$A$2:$FZ$601,414,Sync!$C$5)&amp;"",""))</f>
        <v/>
      </c>
      <c r="E2065" s="17">
        <f>IF(B2065="","",IFERROR(INDEX(Clay_Offices!$A$2:$FZ$601,414,Sync!$C$6)&amp;"",""))</f>
        <v/>
      </c>
      <c r="F2065" s="17">
        <f>IF(B2065="","","outreach_sent")</f>
        <v/>
      </c>
      <c r="G2065" s="17">
        <f>IF(B2065="","","")</f>
        <v/>
      </c>
      <c r="H2065" s="17">
        <f>IF(B2065="","","")</f>
        <v/>
      </c>
      <c r="I2065" s="17">
        <f>IF(B2065="","","")</f>
        <v/>
      </c>
      <c r="J2065" s="17">
        <f>IF(B2065="","","touch_1; "&amp;IFERROR(INDEX(Clay_Offices!$A$2:$FZ$601,414,Sync!$C$10)&amp;"","")&amp;"; "&amp;IFERROR(INDEX(Clay_Offices!$A$2:$FZ$601,414,Sync!$C$9)&amp;"",""))</f>
        <v/>
      </c>
      <c r="K2065" t="inlineStr">
        <is>
          <t>office outreach touch 1</t>
        </is>
      </c>
    </row>
    <row r="2066">
      <c r="A2066" s="17">
        <f>IF(B2066="","",B2066+(12*1000+415)/10000000)</f>
        <v/>
      </c>
      <c r="B2066" s="23">
        <f>IF(AND(IFERROR(N(INDEX(Clay_Offices!$A$2:$FZ$601,415,Sync!$C$11)),0)&gt;0,IFERROR(INDEX(Clay_Offices!$A$2:$FZ$601,415,Sync!$C$5)&amp;"","")&lt;&gt;"",OR(LEFT(IFERROR(INDEX(Clay_Offices!$A$2:$FZ$601,415,Sync!$C$5)&amp;"",""),6)&lt;&gt;"SAMPLE",Config!$B$19="Y")),IFERROR(N(INDEX(Clay_Offices!$A$2:$FZ$601,415,Sync!$C$11)),0),"")</f>
        <v/>
      </c>
      <c r="C2066" s="17">
        <f>IF(B2066="","","office")</f>
        <v/>
      </c>
      <c r="D2066" s="17">
        <f>IF(B2066="","",IFERROR(INDEX(Clay_Offices!$A$2:$FZ$601,415,Sync!$C$5)&amp;"",""))</f>
        <v/>
      </c>
      <c r="E2066" s="17">
        <f>IF(B2066="","",IFERROR(INDEX(Clay_Offices!$A$2:$FZ$601,415,Sync!$C$6)&amp;"",""))</f>
        <v/>
      </c>
      <c r="F2066" s="17">
        <f>IF(B2066="","","outreach_sent")</f>
        <v/>
      </c>
      <c r="G2066" s="17">
        <f>IF(B2066="","","")</f>
        <v/>
      </c>
      <c r="H2066" s="17">
        <f>IF(B2066="","","")</f>
        <v/>
      </c>
      <c r="I2066" s="17">
        <f>IF(B2066="","","")</f>
        <v/>
      </c>
      <c r="J2066" s="17">
        <f>IF(B2066="","","touch_1; "&amp;IFERROR(INDEX(Clay_Offices!$A$2:$FZ$601,415,Sync!$C$10)&amp;"","")&amp;"; "&amp;IFERROR(INDEX(Clay_Offices!$A$2:$FZ$601,415,Sync!$C$9)&amp;"",""))</f>
        <v/>
      </c>
      <c r="K2066" t="inlineStr">
        <is>
          <t>office outreach touch 1</t>
        </is>
      </c>
    </row>
    <row r="2067">
      <c r="A2067" s="17">
        <f>IF(B2067="","",B2067+(12*1000+416)/10000000)</f>
        <v/>
      </c>
      <c r="B2067" s="23">
        <f>IF(AND(IFERROR(N(INDEX(Clay_Offices!$A$2:$FZ$601,416,Sync!$C$11)),0)&gt;0,IFERROR(INDEX(Clay_Offices!$A$2:$FZ$601,416,Sync!$C$5)&amp;"","")&lt;&gt;"",OR(LEFT(IFERROR(INDEX(Clay_Offices!$A$2:$FZ$601,416,Sync!$C$5)&amp;"",""),6)&lt;&gt;"SAMPLE",Config!$B$19="Y")),IFERROR(N(INDEX(Clay_Offices!$A$2:$FZ$601,416,Sync!$C$11)),0),"")</f>
        <v/>
      </c>
      <c r="C2067" s="17">
        <f>IF(B2067="","","office")</f>
        <v/>
      </c>
      <c r="D2067" s="17">
        <f>IF(B2067="","",IFERROR(INDEX(Clay_Offices!$A$2:$FZ$601,416,Sync!$C$5)&amp;"",""))</f>
        <v/>
      </c>
      <c r="E2067" s="17">
        <f>IF(B2067="","",IFERROR(INDEX(Clay_Offices!$A$2:$FZ$601,416,Sync!$C$6)&amp;"",""))</f>
        <v/>
      </c>
      <c r="F2067" s="17">
        <f>IF(B2067="","","outreach_sent")</f>
        <v/>
      </c>
      <c r="G2067" s="17">
        <f>IF(B2067="","","")</f>
        <v/>
      </c>
      <c r="H2067" s="17">
        <f>IF(B2067="","","")</f>
        <v/>
      </c>
      <c r="I2067" s="17">
        <f>IF(B2067="","","")</f>
        <v/>
      </c>
      <c r="J2067" s="17">
        <f>IF(B2067="","","touch_1; "&amp;IFERROR(INDEX(Clay_Offices!$A$2:$FZ$601,416,Sync!$C$10)&amp;"","")&amp;"; "&amp;IFERROR(INDEX(Clay_Offices!$A$2:$FZ$601,416,Sync!$C$9)&amp;"",""))</f>
        <v/>
      </c>
      <c r="K2067" t="inlineStr">
        <is>
          <t>office outreach touch 1</t>
        </is>
      </c>
    </row>
    <row r="2068">
      <c r="A2068" s="17">
        <f>IF(B2068="","",B2068+(12*1000+417)/10000000)</f>
        <v/>
      </c>
      <c r="B2068" s="23">
        <f>IF(AND(IFERROR(N(INDEX(Clay_Offices!$A$2:$FZ$601,417,Sync!$C$11)),0)&gt;0,IFERROR(INDEX(Clay_Offices!$A$2:$FZ$601,417,Sync!$C$5)&amp;"","")&lt;&gt;"",OR(LEFT(IFERROR(INDEX(Clay_Offices!$A$2:$FZ$601,417,Sync!$C$5)&amp;"",""),6)&lt;&gt;"SAMPLE",Config!$B$19="Y")),IFERROR(N(INDEX(Clay_Offices!$A$2:$FZ$601,417,Sync!$C$11)),0),"")</f>
        <v/>
      </c>
      <c r="C2068" s="17">
        <f>IF(B2068="","","office")</f>
        <v/>
      </c>
      <c r="D2068" s="17">
        <f>IF(B2068="","",IFERROR(INDEX(Clay_Offices!$A$2:$FZ$601,417,Sync!$C$5)&amp;"",""))</f>
        <v/>
      </c>
      <c r="E2068" s="17">
        <f>IF(B2068="","",IFERROR(INDEX(Clay_Offices!$A$2:$FZ$601,417,Sync!$C$6)&amp;"",""))</f>
        <v/>
      </c>
      <c r="F2068" s="17">
        <f>IF(B2068="","","outreach_sent")</f>
        <v/>
      </c>
      <c r="G2068" s="17">
        <f>IF(B2068="","","")</f>
        <v/>
      </c>
      <c r="H2068" s="17">
        <f>IF(B2068="","","")</f>
        <v/>
      </c>
      <c r="I2068" s="17">
        <f>IF(B2068="","","")</f>
        <v/>
      </c>
      <c r="J2068" s="17">
        <f>IF(B2068="","","touch_1; "&amp;IFERROR(INDEX(Clay_Offices!$A$2:$FZ$601,417,Sync!$C$10)&amp;"","")&amp;"; "&amp;IFERROR(INDEX(Clay_Offices!$A$2:$FZ$601,417,Sync!$C$9)&amp;"",""))</f>
        <v/>
      </c>
      <c r="K2068" t="inlineStr">
        <is>
          <t>office outreach touch 1</t>
        </is>
      </c>
    </row>
    <row r="2069">
      <c r="A2069" s="17">
        <f>IF(B2069="","",B2069+(12*1000+418)/10000000)</f>
        <v/>
      </c>
      <c r="B2069" s="23">
        <f>IF(AND(IFERROR(N(INDEX(Clay_Offices!$A$2:$FZ$601,418,Sync!$C$11)),0)&gt;0,IFERROR(INDEX(Clay_Offices!$A$2:$FZ$601,418,Sync!$C$5)&amp;"","")&lt;&gt;"",OR(LEFT(IFERROR(INDEX(Clay_Offices!$A$2:$FZ$601,418,Sync!$C$5)&amp;"",""),6)&lt;&gt;"SAMPLE",Config!$B$19="Y")),IFERROR(N(INDEX(Clay_Offices!$A$2:$FZ$601,418,Sync!$C$11)),0),"")</f>
        <v/>
      </c>
      <c r="C2069" s="17">
        <f>IF(B2069="","","office")</f>
        <v/>
      </c>
      <c r="D2069" s="17">
        <f>IF(B2069="","",IFERROR(INDEX(Clay_Offices!$A$2:$FZ$601,418,Sync!$C$5)&amp;"",""))</f>
        <v/>
      </c>
      <c r="E2069" s="17">
        <f>IF(B2069="","",IFERROR(INDEX(Clay_Offices!$A$2:$FZ$601,418,Sync!$C$6)&amp;"",""))</f>
        <v/>
      </c>
      <c r="F2069" s="17">
        <f>IF(B2069="","","outreach_sent")</f>
        <v/>
      </c>
      <c r="G2069" s="17">
        <f>IF(B2069="","","")</f>
        <v/>
      </c>
      <c r="H2069" s="17">
        <f>IF(B2069="","","")</f>
        <v/>
      </c>
      <c r="I2069" s="17">
        <f>IF(B2069="","","")</f>
        <v/>
      </c>
      <c r="J2069" s="17">
        <f>IF(B2069="","","touch_1; "&amp;IFERROR(INDEX(Clay_Offices!$A$2:$FZ$601,418,Sync!$C$10)&amp;"","")&amp;"; "&amp;IFERROR(INDEX(Clay_Offices!$A$2:$FZ$601,418,Sync!$C$9)&amp;"",""))</f>
        <v/>
      </c>
      <c r="K2069" t="inlineStr">
        <is>
          <t>office outreach touch 1</t>
        </is>
      </c>
    </row>
    <row r="2070">
      <c r="A2070" s="17">
        <f>IF(B2070="","",B2070+(12*1000+419)/10000000)</f>
        <v/>
      </c>
      <c r="B2070" s="23">
        <f>IF(AND(IFERROR(N(INDEX(Clay_Offices!$A$2:$FZ$601,419,Sync!$C$11)),0)&gt;0,IFERROR(INDEX(Clay_Offices!$A$2:$FZ$601,419,Sync!$C$5)&amp;"","")&lt;&gt;"",OR(LEFT(IFERROR(INDEX(Clay_Offices!$A$2:$FZ$601,419,Sync!$C$5)&amp;"",""),6)&lt;&gt;"SAMPLE",Config!$B$19="Y")),IFERROR(N(INDEX(Clay_Offices!$A$2:$FZ$601,419,Sync!$C$11)),0),"")</f>
        <v/>
      </c>
      <c r="C2070" s="17">
        <f>IF(B2070="","","office")</f>
        <v/>
      </c>
      <c r="D2070" s="17">
        <f>IF(B2070="","",IFERROR(INDEX(Clay_Offices!$A$2:$FZ$601,419,Sync!$C$5)&amp;"",""))</f>
        <v/>
      </c>
      <c r="E2070" s="17">
        <f>IF(B2070="","",IFERROR(INDEX(Clay_Offices!$A$2:$FZ$601,419,Sync!$C$6)&amp;"",""))</f>
        <v/>
      </c>
      <c r="F2070" s="17">
        <f>IF(B2070="","","outreach_sent")</f>
        <v/>
      </c>
      <c r="G2070" s="17">
        <f>IF(B2070="","","")</f>
        <v/>
      </c>
      <c r="H2070" s="17">
        <f>IF(B2070="","","")</f>
        <v/>
      </c>
      <c r="I2070" s="17">
        <f>IF(B2070="","","")</f>
        <v/>
      </c>
      <c r="J2070" s="17">
        <f>IF(B2070="","","touch_1; "&amp;IFERROR(INDEX(Clay_Offices!$A$2:$FZ$601,419,Sync!$C$10)&amp;"","")&amp;"; "&amp;IFERROR(INDEX(Clay_Offices!$A$2:$FZ$601,419,Sync!$C$9)&amp;"",""))</f>
        <v/>
      </c>
      <c r="K2070" t="inlineStr">
        <is>
          <t>office outreach touch 1</t>
        </is>
      </c>
    </row>
    <row r="2071">
      <c r="A2071" s="17">
        <f>IF(B2071="","",B2071+(12*1000+420)/10000000)</f>
        <v/>
      </c>
      <c r="B2071" s="23">
        <f>IF(AND(IFERROR(N(INDEX(Clay_Offices!$A$2:$FZ$601,420,Sync!$C$11)),0)&gt;0,IFERROR(INDEX(Clay_Offices!$A$2:$FZ$601,420,Sync!$C$5)&amp;"","")&lt;&gt;"",OR(LEFT(IFERROR(INDEX(Clay_Offices!$A$2:$FZ$601,420,Sync!$C$5)&amp;"",""),6)&lt;&gt;"SAMPLE",Config!$B$19="Y")),IFERROR(N(INDEX(Clay_Offices!$A$2:$FZ$601,420,Sync!$C$11)),0),"")</f>
        <v/>
      </c>
      <c r="C2071" s="17">
        <f>IF(B2071="","","office")</f>
        <v/>
      </c>
      <c r="D2071" s="17">
        <f>IF(B2071="","",IFERROR(INDEX(Clay_Offices!$A$2:$FZ$601,420,Sync!$C$5)&amp;"",""))</f>
        <v/>
      </c>
      <c r="E2071" s="17">
        <f>IF(B2071="","",IFERROR(INDEX(Clay_Offices!$A$2:$FZ$601,420,Sync!$C$6)&amp;"",""))</f>
        <v/>
      </c>
      <c r="F2071" s="17">
        <f>IF(B2071="","","outreach_sent")</f>
        <v/>
      </c>
      <c r="G2071" s="17">
        <f>IF(B2071="","","")</f>
        <v/>
      </c>
      <c r="H2071" s="17">
        <f>IF(B2071="","","")</f>
        <v/>
      </c>
      <c r="I2071" s="17">
        <f>IF(B2071="","","")</f>
        <v/>
      </c>
      <c r="J2071" s="17">
        <f>IF(B2071="","","touch_1; "&amp;IFERROR(INDEX(Clay_Offices!$A$2:$FZ$601,420,Sync!$C$10)&amp;"","")&amp;"; "&amp;IFERROR(INDEX(Clay_Offices!$A$2:$FZ$601,420,Sync!$C$9)&amp;"",""))</f>
        <v/>
      </c>
      <c r="K2071" t="inlineStr">
        <is>
          <t>office outreach touch 1</t>
        </is>
      </c>
    </row>
    <row r="2072">
      <c r="A2072" s="17">
        <f>IF(B2072="","",B2072+(12*1000+421)/10000000)</f>
        <v/>
      </c>
      <c r="B2072" s="23">
        <f>IF(AND(IFERROR(N(INDEX(Clay_Offices!$A$2:$FZ$601,421,Sync!$C$11)),0)&gt;0,IFERROR(INDEX(Clay_Offices!$A$2:$FZ$601,421,Sync!$C$5)&amp;"","")&lt;&gt;"",OR(LEFT(IFERROR(INDEX(Clay_Offices!$A$2:$FZ$601,421,Sync!$C$5)&amp;"",""),6)&lt;&gt;"SAMPLE",Config!$B$19="Y")),IFERROR(N(INDEX(Clay_Offices!$A$2:$FZ$601,421,Sync!$C$11)),0),"")</f>
        <v/>
      </c>
      <c r="C2072" s="17">
        <f>IF(B2072="","","office")</f>
        <v/>
      </c>
      <c r="D2072" s="17">
        <f>IF(B2072="","",IFERROR(INDEX(Clay_Offices!$A$2:$FZ$601,421,Sync!$C$5)&amp;"",""))</f>
        <v/>
      </c>
      <c r="E2072" s="17">
        <f>IF(B2072="","",IFERROR(INDEX(Clay_Offices!$A$2:$FZ$601,421,Sync!$C$6)&amp;"",""))</f>
        <v/>
      </c>
      <c r="F2072" s="17">
        <f>IF(B2072="","","outreach_sent")</f>
        <v/>
      </c>
      <c r="G2072" s="17">
        <f>IF(B2072="","","")</f>
        <v/>
      </c>
      <c r="H2072" s="17">
        <f>IF(B2072="","","")</f>
        <v/>
      </c>
      <c r="I2072" s="17">
        <f>IF(B2072="","","")</f>
        <v/>
      </c>
      <c r="J2072" s="17">
        <f>IF(B2072="","","touch_1; "&amp;IFERROR(INDEX(Clay_Offices!$A$2:$FZ$601,421,Sync!$C$10)&amp;"","")&amp;"; "&amp;IFERROR(INDEX(Clay_Offices!$A$2:$FZ$601,421,Sync!$C$9)&amp;"",""))</f>
        <v/>
      </c>
      <c r="K2072" t="inlineStr">
        <is>
          <t>office outreach touch 1</t>
        </is>
      </c>
    </row>
    <row r="2073">
      <c r="A2073" s="17">
        <f>IF(B2073="","",B2073+(12*1000+422)/10000000)</f>
        <v/>
      </c>
      <c r="B2073" s="23">
        <f>IF(AND(IFERROR(N(INDEX(Clay_Offices!$A$2:$FZ$601,422,Sync!$C$11)),0)&gt;0,IFERROR(INDEX(Clay_Offices!$A$2:$FZ$601,422,Sync!$C$5)&amp;"","")&lt;&gt;"",OR(LEFT(IFERROR(INDEX(Clay_Offices!$A$2:$FZ$601,422,Sync!$C$5)&amp;"",""),6)&lt;&gt;"SAMPLE",Config!$B$19="Y")),IFERROR(N(INDEX(Clay_Offices!$A$2:$FZ$601,422,Sync!$C$11)),0),"")</f>
        <v/>
      </c>
      <c r="C2073" s="17">
        <f>IF(B2073="","","office")</f>
        <v/>
      </c>
      <c r="D2073" s="17">
        <f>IF(B2073="","",IFERROR(INDEX(Clay_Offices!$A$2:$FZ$601,422,Sync!$C$5)&amp;"",""))</f>
        <v/>
      </c>
      <c r="E2073" s="17">
        <f>IF(B2073="","",IFERROR(INDEX(Clay_Offices!$A$2:$FZ$601,422,Sync!$C$6)&amp;"",""))</f>
        <v/>
      </c>
      <c r="F2073" s="17">
        <f>IF(B2073="","","outreach_sent")</f>
        <v/>
      </c>
      <c r="G2073" s="17">
        <f>IF(B2073="","","")</f>
        <v/>
      </c>
      <c r="H2073" s="17">
        <f>IF(B2073="","","")</f>
        <v/>
      </c>
      <c r="I2073" s="17">
        <f>IF(B2073="","","")</f>
        <v/>
      </c>
      <c r="J2073" s="17">
        <f>IF(B2073="","","touch_1; "&amp;IFERROR(INDEX(Clay_Offices!$A$2:$FZ$601,422,Sync!$C$10)&amp;"","")&amp;"; "&amp;IFERROR(INDEX(Clay_Offices!$A$2:$FZ$601,422,Sync!$C$9)&amp;"",""))</f>
        <v/>
      </c>
      <c r="K2073" t="inlineStr">
        <is>
          <t>office outreach touch 1</t>
        </is>
      </c>
    </row>
    <row r="2074">
      <c r="A2074" s="17">
        <f>IF(B2074="","",B2074+(12*1000+423)/10000000)</f>
        <v/>
      </c>
      <c r="B2074" s="23">
        <f>IF(AND(IFERROR(N(INDEX(Clay_Offices!$A$2:$FZ$601,423,Sync!$C$11)),0)&gt;0,IFERROR(INDEX(Clay_Offices!$A$2:$FZ$601,423,Sync!$C$5)&amp;"","")&lt;&gt;"",OR(LEFT(IFERROR(INDEX(Clay_Offices!$A$2:$FZ$601,423,Sync!$C$5)&amp;"",""),6)&lt;&gt;"SAMPLE",Config!$B$19="Y")),IFERROR(N(INDEX(Clay_Offices!$A$2:$FZ$601,423,Sync!$C$11)),0),"")</f>
        <v/>
      </c>
      <c r="C2074" s="17">
        <f>IF(B2074="","","office")</f>
        <v/>
      </c>
      <c r="D2074" s="17">
        <f>IF(B2074="","",IFERROR(INDEX(Clay_Offices!$A$2:$FZ$601,423,Sync!$C$5)&amp;"",""))</f>
        <v/>
      </c>
      <c r="E2074" s="17">
        <f>IF(B2074="","",IFERROR(INDEX(Clay_Offices!$A$2:$FZ$601,423,Sync!$C$6)&amp;"",""))</f>
        <v/>
      </c>
      <c r="F2074" s="17">
        <f>IF(B2074="","","outreach_sent")</f>
        <v/>
      </c>
      <c r="G2074" s="17">
        <f>IF(B2074="","","")</f>
        <v/>
      </c>
      <c r="H2074" s="17">
        <f>IF(B2074="","","")</f>
        <v/>
      </c>
      <c r="I2074" s="17">
        <f>IF(B2074="","","")</f>
        <v/>
      </c>
      <c r="J2074" s="17">
        <f>IF(B2074="","","touch_1; "&amp;IFERROR(INDEX(Clay_Offices!$A$2:$FZ$601,423,Sync!$C$10)&amp;"","")&amp;"; "&amp;IFERROR(INDEX(Clay_Offices!$A$2:$FZ$601,423,Sync!$C$9)&amp;"",""))</f>
        <v/>
      </c>
      <c r="K2074" t="inlineStr">
        <is>
          <t>office outreach touch 1</t>
        </is>
      </c>
    </row>
    <row r="2075">
      <c r="A2075" s="17">
        <f>IF(B2075="","",B2075+(12*1000+424)/10000000)</f>
        <v/>
      </c>
      <c r="B2075" s="23">
        <f>IF(AND(IFERROR(N(INDEX(Clay_Offices!$A$2:$FZ$601,424,Sync!$C$11)),0)&gt;0,IFERROR(INDEX(Clay_Offices!$A$2:$FZ$601,424,Sync!$C$5)&amp;"","")&lt;&gt;"",OR(LEFT(IFERROR(INDEX(Clay_Offices!$A$2:$FZ$601,424,Sync!$C$5)&amp;"",""),6)&lt;&gt;"SAMPLE",Config!$B$19="Y")),IFERROR(N(INDEX(Clay_Offices!$A$2:$FZ$601,424,Sync!$C$11)),0),"")</f>
        <v/>
      </c>
      <c r="C2075" s="17">
        <f>IF(B2075="","","office")</f>
        <v/>
      </c>
      <c r="D2075" s="17">
        <f>IF(B2075="","",IFERROR(INDEX(Clay_Offices!$A$2:$FZ$601,424,Sync!$C$5)&amp;"",""))</f>
        <v/>
      </c>
      <c r="E2075" s="17">
        <f>IF(B2075="","",IFERROR(INDEX(Clay_Offices!$A$2:$FZ$601,424,Sync!$C$6)&amp;"",""))</f>
        <v/>
      </c>
      <c r="F2075" s="17">
        <f>IF(B2075="","","outreach_sent")</f>
        <v/>
      </c>
      <c r="G2075" s="17">
        <f>IF(B2075="","","")</f>
        <v/>
      </c>
      <c r="H2075" s="17">
        <f>IF(B2075="","","")</f>
        <v/>
      </c>
      <c r="I2075" s="17">
        <f>IF(B2075="","","")</f>
        <v/>
      </c>
      <c r="J2075" s="17">
        <f>IF(B2075="","","touch_1; "&amp;IFERROR(INDEX(Clay_Offices!$A$2:$FZ$601,424,Sync!$C$10)&amp;"","")&amp;"; "&amp;IFERROR(INDEX(Clay_Offices!$A$2:$FZ$601,424,Sync!$C$9)&amp;"",""))</f>
        <v/>
      </c>
      <c r="K2075" t="inlineStr">
        <is>
          <t>office outreach touch 1</t>
        </is>
      </c>
    </row>
    <row r="2076">
      <c r="A2076" s="17">
        <f>IF(B2076="","",B2076+(12*1000+425)/10000000)</f>
        <v/>
      </c>
      <c r="B2076" s="23">
        <f>IF(AND(IFERROR(N(INDEX(Clay_Offices!$A$2:$FZ$601,425,Sync!$C$11)),0)&gt;0,IFERROR(INDEX(Clay_Offices!$A$2:$FZ$601,425,Sync!$C$5)&amp;"","")&lt;&gt;"",OR(LEFT(IFERROR(INDEX(Clay_Offices!$A$2:$FZ$601,425,Sync!$C$5)&amp;"",""),6)&lt;&gt;"SAMPLE",Config!$B$19="Y")),IFERROR(N(INDEX(Clay_Offices!$A$2:$FZ$601,425,Sync!$C$11)),0),"")</f>
        <v/>
      </c>
      <c r="C2076" s="17">
        <f>IF(B2076="","","office")</f>
        <v/>
      </c>
      <c r="D2076" s="17">
        <f>IF(B2076="","",IFERROR(INDEX(Clay_Offices!$A$2:$FZ$601,425,Sync!$C$5)&amp;"",""))</f>
        <v/>
      </c>
      <c r="E2076" s="17">
        <f>IF(B2076="","",IFERROR(INDEX(Clay_Offices!$A$2:$FZ$601,425,Sync!$C$6)&amp;"",""))</f>
        <v/>
      </c>
      <c r="F2076" s="17">
        <f>IF(B2076="","","outreach_sent")</f>
        <v/>
      </c>
      <c r="G2076" s="17">
        <f>IF(B2076="","","")</f>
        <v/>
      </c>
      <c r="H2076" s="17">
        <f>IF(B2076="","","")</f>
        <v/>
      </c>
      <c r="I2076" s="17">
        <f>IF(B2076="","","")</f>
        <v/>
      </c>
      <c r="J2076" s="17">
        <f>IF(B2076="","","touch_1; "&amp;IFERROR(INDEX(Clay_Offices!$A$2:$FZ$601,425,Sync!$C$10)&amp;"","")&amp;"; "&amp;IFERROR(INDEX(Clay_Offices!$A$2:$FZ$601,425,Sync!$C$9)&amp;"",""))</f>
        <v/>
      </c>
      <c r="K2076" t="inlineStr">
        <is>
          <t>office outreach touch 1</t>
        </is>
      </c>
    </row>
    <row r="2077">
      <c r="A2077" s="17">
        <f>IF(B2077="","",B2077+(12*1000+426)/10000000)</f>
        <v/>
      </c>
      <c r="B2077" s="23">
        <f>IF(AND(IFERROR(N(INDEX(Clay_Offices!$A$2:$FZ$601,426,Sync!$C$11)),0)&gt;0,IFERROR(INDEX(Clay_Offices!$A$2:$FZ$601,426,Sync!$C$5)&amp;"","")&lt;&gt;"",OR(LEFT(IFERROR(INDEX(Clay_Offices!$A$2:$FZ$601,426,Sync!$C$5)&amp;"",""),6)&lt;&gt;"SAMPLE",Config!$B$19="Y")),IFERROR(N(INDEX(Clay_Offices!$A$2:$FZ$601,426,Sync!$C$11)),0),"")</f>
        <v/>
      </c>
      <c r="C2077" s="17">
        <f>IF(B2077="","","office")</f>
        <v/>
      </c>
      <c r="D2077" s="17">
        <f>IF(B2077="","",IFERROR(INDEX(Clay_Offices!$A$2:$FZ$601,426,Sync!$C$5)&amp;"",""))</f>
        <v/>
      </c>
      <c r="E2077" s="17">
        <f>IF(B2077="","",IFERROR(INDEX(Clay_Offices!$A$2:$FZ$601,426,Sync!$C$6)&amp;"",""))</f>
        <v/>
      </c>
      <c r="F2077" s="17">
        <f>IF(B2077="","","outreach_sent")</f>
        <v/>
      </c>
      <c r="G2077" s="17">
        <f>IF(B2077="","","")</f>
        <v/>
      </c>
      <c r="H2077" s="17">
        <f>IF(B2077="","","")</f>
        <v/>
      </c>
      <c r="I2077" s="17">
        <f>IF(B2077="","","")</f>
        <v/>
      </c>
      <c r="J2077" s="17">
        <f>IF(B2077="","","touch_1; "&amp;IFERROR(INDEX(Clay_Offices!$A$2:$FZ$601,426,Sync!$C$10)&amp;"","")&amp;"; "&amp;IFERROR(INDEX(Clay_Offices!$A$2:$FZ$601,426,Sync!$C$9)&amp;"",""))</f>
        <v/>
      </c>
      <c r="K2077" t="inlineStr">
        <is>
          <t>office outreach touch 1</t>
        </is>
      </c>
    </row>
    <row r="2078">
      <c r="A2078" s="17">
        <f>IF(B2078="","",B2078+(12*1000+427)/10000000)</f>
        <v/>
      </c>
      <c r="B2078" s="23">
        <f>IF(AND(IFERROR(N(INDEX(Clay_Offices!$A$2:$FZ$601,427,Sync!$C$11)),0)&gt;0,IFERROR(INDEX(Clay_Offices!$A$2:$FZ$601,427,Sync!$C$5)&amp;"","")&lt;&gt;"",OR(LEFT(IFERROR(INDEX(Clay_Offices!$A$2:$FZ$601,427,Sync!$C$5)&amp;"",""),6)&lt;&gt;"SAMPLE",Config!$B$19="Y")),IFERROR(N(INDEX(Clay_Offices!$A$2:$FZ$601,427,Sync!$C$11)),0),"")</f>
        <v/>
      </c>
      <c r="C2078" s="17">
        <f>IF(B2078="","","office")</f>
        <v/>
      </c>
      <c r="D2078" s="17">
        <f>IF(B2078="","",IFERROR(INDEX(Clay_Offices!$A$2:$FZ$601,427,Sync!$C$5)&amp;"",""))</f>
        <v/>
      </c>
      <c r="E2078" s="17">
        <f>IF(B2078="","",IFERROR(INDEX(Clay_Offices!$A$2:$FZ$601,427,Sync!$C$6)&amp;"",""))</f>
        <v/>
      </c>
      <c r="F2078" s="17">
        <f>IF(B2078="","","outreach_sent")</f>
        <v/>
      </c>
      <c r="G2078" s="17">
        <f>IF(B2078="","","")</f>
        <v/>
      </c>
      <c r="H2078" s="17">
        <f>IF(B2078="","","")</f>
        <v/>
      </c>
      <c r="I2078" s="17">
        <f>IF(B2078="","","")</f>
        <v/>
      </c>
      <c r="J2078" s="17">
        <f>IF(B2078="","","touch_1; "&amp;IFERROR(INDEX(Clay_Offices!$A$2:$FZ$601,427,Sync!$C$10)&amp;"","")&amp;"; "&amp;IFERROR(INDEX(Clay_Offices!$A$2:$FZ$601,427,Sync!$C$9)&amp;"",""))</f>
        <v/>
      </c>
      <c r="K2078" t="inlineStr">
        <is>
          <t>office outreach touch 1</t>
        </is>
      </c>
    </row>
    <row r="2079">
      <c r="A2079" s="17">
        <f>IF(B2079="","",B2079+(12*1000+428)/10000000)</f>
        <v/>
      </c>
      <c r="B2079" s="23">
        <f>IF(AND(IFERROR(N(INDEX(Clay_Offices!$A$2:$FZ$601,428,Sync!$C$11)),0)&gt;0,IFERROR(INDEX(Clay_Offices!$A$2:$FZ$601,428,Sync!$C$5)&amp;"","")&lt;&gt;"",OR(LEFT(IFERROR(INDEX(Clay_Offices!$A$2:$FZ$601,428,Sync!$C$5)&amp;"",""),6)&lt;&gt;"SAMPLE",Config!$B$19="Y")),IFERROR(N(INDEX(Clay_Offices!$A$2:$FZ$601,428,Sync!$C$11)),0),"")</f>
        <v/>
      </c>
      <c r="C2079" s="17">
        <f>IF(B2079="","","office")</f>
        <v/>
      </c>
      <c r="D2079" s="17">
        <f>IF(B2079="","",IFERROR(INDEX(Clay_Offices!$A$2:$FZ$601,428,Sync!$C$5)&amp;"",""))</f>
        <v/>
      </c>
      <c r="E2079" s="17">
        <f>IF(B2079="","",IFERROR(INDEX(Clay_Offices!$A$2:$FZ$601,428,Sync!$C$6)&amp;"",""))</f>
        <v/>
      </c>
      <c r="F2079" s="17">
        <f>IF(B2079="","","outreach_sent")</f>
        <v/>
      </c>
      <c r="G2079" s="17">
        <f>IF(B2079="","","")</f>
        <v/>
      </c>
      <c r="H2079" s="17">
        <f>IF(B2079="","","")</f>
        <v/>
      </c>
      <c r="I2079" s="17">
        <f>IF(B2079="","","")</f>
        <v/>
      </c>
      <c r="J2079" s="17">
        <f>IF(B2079="","","touch_1; "&amp;IFERROR(INDEX(Clay_Offices!$A$2:$FZ$601,428,Sync!$C$10)&amp;"","")&amp;"; "&amp;IFERROR(INDEX(Clay_Offices!$A$2:$FZ$601,428,Sync!$C$9)&amp;"",""))</f>
        <v/>
      </c>
      <c r="K2079" t="inlineStr">
        <is>
          <t>office outreach touch 1</t>
        </is>
      </c>
    </row>
    <row r="2080">
      <c r="A2080" s="17">
        <f>IF(B2080="","",B2080+(12*1000+429)/10000000)</f>
        <v/>
      </c>
      <c r="B2080" s="23">
        <f>IF(AND(IFERROR(N(INDEX(Clay_Offices!$A$2:$FZ$601,429,Sync!$C$11)),0)&gt;0,IFERROR(INDEX(Clay_Offices!$A$2:$FZ$601,429,Sync!$C$5)&amp;"","")&lt;&gt;"",OR(LEFT(IFERROR(INDEX(Clay_Offices!$A$2:$FZ$601,429,Sync!$C$5)&amp;"",""),6)&lt;&gt;"SAMPLE",Config!$B$19="Y")),IFERROR(N(INDEX(Clay_Offices!$A$2:$FZ$601,429,Sync!$C$11)),0),"")</f>
        <v/>
      </c>
      <c r="C2080" s="17">
        <f>IF(B2080="","","office")</f>
        <v/>
      </c>
      <c r="D2080" s="17">
        <f>IF(B2080="","",IFERROR(INDEX(Clay_Offices!$A$2:$FZ$601,429,Sync!$C$5)&amp;"",""))</f>
        <v/>
      </c>
      <c r="E2080" s="17">
        <f>IF(B2080="","",IFERROR(INDEX(Clay_Offices!$A$2:$FZ$601,429,Sync!$C$6)&amp;"",""))</f>
        <v/>
      </c>
      <c r="F2080" s="17">
        <f>IF(B2080="","","outreach_sent")</f>
        <v/>
      </c>
      <c r="G2080" s="17">
        <f>IF(B2080="","","")</f>
        <v/>
      </c>
      <c r="H2080" s="17">
        <f>IF(B2080="","","")</f>
        <v/>
      </c>
      <c r="I2080" s="17">
        <f>IF(B2080="","","")</f>
        <v/>
      </c>
      <c r="J2080" s="17">
        <f>IF(B2080="","","touch_1; "&amp;IFERROR(INDEX(Clay_Offices!$A$2:$FZ$601,429,Sync!$C$10)&amp;"","")&amp;"; "&amp;IFERROR(INDEX(Clay_Offices!$A$2:$FZ$601,429,Sync!$C$9)&amp;"",""))</f>
        <v/>
      </c>
      <c r="K2080" t="inlineStr">
        <is>
          <t>office outreach touch 1</t>
        </is>
      </c>
    </row>
    <row r="2081">
      <c r="A2081" s="17">
        <f>IF(B2081="","",B2081+(12*1000+430)/10000000)</f>
        <v/>
      </c>
      <c r="B2081" s="23">
        <f>IF(AND(IFERROR(N(INDEX(Clay_Offices!$A$2:$FZ$601,430,Sync!$C$11)),0)&gt;0,IFERROR(INDEX(Clay_Offices!$A$2:$FZ$601,430,Sync!$C$5)&amp;"","")&lt;&gt;"",OR(LEFT(IFERROR(INDEX(Clay_Offices!$A$2:$FZ$601,430,Sync!$C$5)&amp;"",""),6)&lt;&gt;"SAMPLE",Config!$B$19="Y")),IFERROR(N(INDEX(Clay_Offices!$A$2:$FZ$601,430,Sync!$C$11)),0),"")</f>
        <v/>
      </c>
      <c r="C2081" s="17">
        <f>IF(B2081="","","office")</f>
        <v/>
      </c>
      <c r="D2081" s="17">
        <f>IF(B2081="","",IFERROR(INDEX(Clay_Offices!$A$2:$FZ$601,430,Sync!$C$5)&amp;"",""))</f>
        <v/>
      </c>
      <c r="E2081" s="17">
        <f>IF(B2081="","",IFERROR(INDEX(Clay_Offices!$A$2:$FZ$601,430,Sync!$C$6)&amp;"",""))</f>
        <v/>
      </c>
      <c r="F2081" s="17">
        <f>IF(B2081="","","outreach_sent")</f>
        <v/>
      </c>
      <c r="G2081" s="17">
        <f>IF(B2081="","","")</f>
        <v/>
      </c>
      <c r="H2081" s="17">
        <f>IF(B2081="","","")</f>
        <v/>
      </c>
      <c r="I2081" s="17">
        <f>IF(B2081="","","")</f>
        <v/>
      </c>
      <c r="J2081" s="17">
        <f>IF(B2081="","","touch_1; "&amp;IFERROR(INDEX(Clay_Offices!$A$2:$FZ$601,430,Sync!$C$10)&amp;"","")&amp;"; "&amp;IFERROR(INDEX(Clay_Offices!$A$2:$FZ$601,430,Sync!$C$9)&amp;"",""))</f>
        <v/>
      </c>
      <c r="K2081" t="inlineStr">
        <is>
          <t>office outreach touch 1</t>
        </is>
      </c>
    </row>
    <row r="2082">
      <c r="A2082" s="17">
        <f>IF(B2082="","",B2082+(12*1000+431)/10000000)</f>
        <v/>
      </c>
      <c r="B2082" s="23">
        <f>IF(AND(IFERROR(N(INDEX(Clay_Offices!$A$2:$FZ$601,431,Sync!$C$11)),0)&gt;0,IFERROR(INDEX(Clay_Offices!$A$2:$FZ$601,431,Sync!$C$5)&amp;"","")&lt;&gt;"",OR(LEFT(IFERROR(INDEX(Clay_Offices!$A$2:$FZ$601,431,Sync!$C$5)&amp;"",""),6)&lt;&gt;"SAMPLE",Config!$B$19="Y")),IFERROR(N(INDEX(Clay_Offices!$A$2:$FZ$601,431,Sync!$C$11)),0),"")</f>
        <v/>
      </c>
      <c r="C2082" s="17">
        <f>IF(B2082="","","office")</f>
        <v/>
      </c>
      <c r="D2082" s="17">
        <f>IF(B2082="","",IFERROR(INDEX(Clay_Offices!$A$2:$FZ$601,431,Sync!$C$5)&amp;"",""))</f>
        <v/>
      </c>
      <c r="E2082" s="17">
        <f>IF(B2082="","",IFERROR(INDEX(Clay_Offices!$A$2:$FZ$601,431,Sync!$C$6)&amp;"",""))</f>
        <v/>
      </c>
      <c r="F2082" s="17">
        <f>IF(B2082="","","outreach_sent")</f>
        <v/>
      </c>
      <c r="G2082" s="17">
        <f>IF(B2082="","","")</f>
        <v/>
      </c>
      <c r="H2082" s="17">
        <f>IF(B2082="","","")</f>
        <v/>
      </c>
      <c r="I2082" s="17">
        <f>IF(B2082="","","")</f>
        <v/>
      </c>
      <c r="J2082" s="17">
        <f>IF(B2082="","","touch_1; "&amp;IFERROR(INDEX(Clay_Offices!$A$2:$FZ$601,431,Sync!$C$10)&amp;"","")&amp;"; "&amp;IFERROR(INDEX(Clay_Offices!$A$2:$FZ$601,431,Sync!$C$9)&amp;"",""))</f>
        <v/>
      </c>
      <c r="K2082" t="inlineStr">
        <is>
          <t>office outreach touch 1</t>
        </is>
      </c>
    </row>
    <row r="2083">
      <c r="A2083" s="17">
        <f>IF(B2083="","",B2083+(12*1000+432)/10000000)</f>
        <v/>
      </c>
      <c r="B2083" s="23">
        <f>IF(AND(IFERROR(N(INDEX(Clay_Offices!$A$2:$FZ$601,432,Sync!$C$11)),0)&gt;0,IFERROR(INDEX(Clay_Offices!$A$2:$FZ$601,432,Sync!$C$5)&amp;"","")&lt;&gt;"",OR(LEFT(IFERROR(INDEX(Clay_Offices!$A$2:$FZ$601,432,Sync!$C$5)&amp;"",""),6)&lt;&gt;"SAMPLE",Config!$B$19="Y")),IFERROR(N(INDEX(Clay_Offices!$A$2:$FZ$601,432,Sync!$C$11)),0),"")</f>
        <v/>
      </c>
      <c r="C2083" s="17">
        <f>IF(B2083="","","office")</f>
        <v/>
      </c>
      <c r="D2083" s="17">
        <f>IF(B2083="","",IFERROR(INDEX(Clay_Offices!$A$2:$FZ$601,432,Sync!$C$5)&amp;"",""))</f>
        <v/>
      </c>
      <c r="E2083" s="17">
        <f>IF(B2083="","",IFERROR(INDEX(Clay_Offices!$A$2:$FZ$601,432,Sync!$C$6)&amp;"",""))</f>
        <v/>
      </c>
      <c r="F2083" s="17">
        <f>IF(B2083="","","outreach_sent")</f>
        <v/>
      </c>
      <c r="G2083" s="17">
        <f>IF(B2083="","","")</f>
        <v/>
      </c>
      <c r="H2083" s="17">
        <f>IF(B2083="","","")</f>
        <v/>
      </c>
      <c r="I2083" s="17">
        <f>IF(B2083="","","")</f>
        <v/>
      </c>
      <c r="J2083" s="17">
        <f>IF(B2083="","","touch_1; "&amp;IFERROR(INDEX(Clay_Offices!$A$2:$FZ$601,432,Sync!$C$10)&amp;"","")&amp;"; "&amp;IFERROR(INDEX(Clay_Offices!$A$2:$FZ$601,432,Sync!$C$9)&amp;"",""))</f>
        <v/>
      </c>
      <c r="K2083" t="inlineStr">
        <is>
          <t>office outreach touch 1</t>
        </is>
      </c>
    </row>
    <row r="2084">
      <c r="A2084" s="17">
        <f>IF(B2084="","",B2084+(12*1000+433)/10000000)</f>
        <v/>
      </c>
      <c r="B2084" s="23">
        <f>IF(AND(IFERROR(N(INDEX(Clay_Offices!$A$2:$FZ$601,433,Sync!$C$11)),0)&gt;0,IFERROR(INDEX(Clay_Offices!$A$2:$FZ$601,433,Sync!$C$5)&amp;"","")&lt;&gt;"",OR(LEFT(IFERROR(INDEX(Clay_Offices!$A$2:$FZ$601,433,Sync!$C$5)&amp;"",""),6)&lt;&gt;"SAMPLE",Config!$B$19="Y")),IFERROR(N(INDEX(Clay_Offices!$A$2:$FZ$601,433,Sync!$C$11)),0),"")</f>
        <v/>
      </c>
      <c r="C2084" s="17">
        <f>IF(B2084="","","office")</f>
        <v/>
      </c>
      <c r="D2084" s="17">
        <f>IF(B2084="","",IFERROR(INDEX(Clay_Offices!$A$2:$FZ$601,433,Sync!$C$5)&amp;"",""))</f>
        <v/>
      </c>
      <c r="E2084" s="17">
        <f>IF(B2084="","",IFERROR(INDEX(Clay_Offices!$A$2:$FZ$601,433,Sync!$C$6)&amp;"",""))</f>
        <v/>
      </c>
      <c r="F2084" s="17">
        <f>IF(B2084="","","outreach_sent")</f>
        <v/>
      </c>
      <c r="G2084" s="17">
        <f>IF(B2084="","","")</f>
        <v/>
      </c>
      <c r="H2084" s="17">
        <f>IF(B2084="","","")</f>
        <v/>
      </c>
      <c r="I2084" s="17">
        <f>IF(B2084="","","")</f>
        <v/>
      </c>
      <c r="J2084" s="17">
        <f>IF(B2084="","","touch_1; "&amp;IFERROR(INDEX(Clay_Offices!$A$2:$FZ$601,433,Sync!$C$10)&amp;"","")&amp;"; "&amp;IFERROR(INDEX(Clay_Offices!$A$2:$FZ$601,433,Sync!$C$9)&amp;"",""))</f>
        <v/>
      </c>
      <c r="K2084" t="inlineStr">
        <is>
          <t>office outreach touch 1</t>
        </is>
      </c>
    </row>
    <row r="2085">
      <c r="A2085" s="17">
        <f>IF(B2085="","",B2085+(12*1000+434)/10000000)</f>
        <v/>
      </c>
      <c r="B2085" s="23">
        <f>IF(AND(IFERROR(N(INDEX(Clay_Offices!$A$2:$FZ$601,434,Sync!$C$11)),0)&gt;0,IFERROR(INDEX(Clay_Offices!$A$2:$FZ$601,434,Sync!$C$5)&amp;"","")&lt;&gt;"",OR(LEFT(IFERROR(INDEX(Clay_Offices!$A$2:$FZ$601,434,Sync!$C$5)&amp;"",""),6)&lt;&gt;"SAMPLE",Config!$B$19="Y")),IFERROR(N(INDEX(Clay_Offices!$A$2:$FZ$601,434,Sync!$C$11)),0),"")</f>
        <v/>
      </c>
      <c r="C2085" s="17">
        <f>IF(B2085="","","office")</f>
        <v/>
      </c>
      <c r="D2085" s="17">
        <f>IF(B2085="","",IFERROR(INDEX(Clay_Offices!$A$2:$FZ$601,434,Sync!$C$5)&amp;"",""))</f>
        <v/>
      </c>
      <c r="E2085" s="17">
        <f>IF(B2085="","",IFERROR(INDEX(Clay_Offices!$A$2:$FZ$601,434,Sync!$C$6)&amp;"",""))</f>
        <v/>
      </c>
      <c r="F2085" s="17">
        <f>IF(B2085="","","outreach_sent")</f>
        <v/>
      </c>
      <c r="G2085" s="17">
        <f>IF(B2085="","","")</f>
        <v/>
      </c>
      <c r="H2085" s="17">
        <f>IF(B2085="","","")</f>
        <v/>
      </c>
      <c r="I2085" s="17">
        <f>IF(B2085="","","")</f>
        <v/>
      </c>
      <c r="J2085" s="17">
        <f>IF(B2085="","","touch_1; "&amp;IFERROR(INDEX(Clay_Offices!$A$2:$FZ$601,434,Sync!$C$10)&amp;"","")&amp;"; "&amp;IFERROR(INDEX(Clay_Offices!$A$2:$FZ$601,434,Sync!$C$9)&amp;"",""))</f>
        <v/>
      </c>
      <c r="K2085" t="inlineStr">
        <is>
          <t>office outreach touch 1</t>
        </is>
      </c>
    </row>
    <row r="2086">
      <c r="A2086" s="17">
        <f>IF(B2086="","",B2086+(12*1000+435)/10000000)</f>
        <v/>
      </c>
      <c r="B2086" s="23">
        <f>IF(AND(IFERROR(N(INDEX(Clay_Offices!$A$2:$FZ$601,435,Sync!$C$11)),0)&gt;0,IFERROR(INDEX(Clay_Offices!$A$2:$FZ$601,435,Sync!$C$5)&amp;"","")&lt;&gt;"",OR(LEFT(IFERROR(INDEX(Clay_Offices!$A$2:$FZ$601,435,Sync!$C$5)&amp;"",""),6)&lt;&gt;"SAMPLE",Config!$B$19="Y")),IFERROR(N(INDEX(Clay_Offices!$A$2:$FZ$601,435,Sync!$C$11)),0),"")</f>
        <v/>
      </c>
      <c r="C2086" s="17">
        <f>IF(B2086="","","office")</f>
        <v/>
      </c>
      <c r="D2086" s="17">
        <f>IF(B2086="","",IFERROR(INDEX(Clay_Offices!$A$2:$FZ$601,435,Sync!$C$5)&amp;"",""))</f>
        <v/>
      </c>
      <c r="E2086" s="17">
        <f>IF(B2086="","",IFERROR(INDEX(Clay_Offices!$A$2:$FZ$601,435,Sync!$C$6)&amp;"",""))</f>
        <v/>
      </c>
      <c r="F2086" s="17">
        <f>IF(B2086="","","outreach_sent")</f>
        <v/>
      </c>
      <c r="G2086" s="17">
        <f>IF(B2086="","","")</f>
        <v/>
      </c>
      <c r="H2086" s="17">
        <f>IF(B2086="","","")</f>
        <v/>
      </c>
      <c r="I2086" s="17">
        <f>IF(B2086="","","")</f>
        <v/>
      </c>
      <c r="J2086" s="17">
        <f>IF(B2086="","","touch_1; "&amp;IFERROR(INDEX(Clay_Offices!$A$2:$FZ$601,435,Sync!$C$10)&amp;"","")&amp;"; "&amp;IFERROR(INDEX(Clay_Offices!$A$2:$FZ$601,435,Sync!$C$9)&amp;"",""))</f>
        <v/>
      </c>
      <c r="K2086" t="inlineStr">
        <is>
          <t>office outreach touch 1</t>
        </is>
      </c>
    </row>
    <row r="2087">
      <c r="A2087" s="17">
        <f>IF(B2087="","",B2087+(12*1000+436)/10000000)</f>
        <v/>
      </c>
      <c r="B2087" s="23">
        <f>IF(AND(IFERROR(N(INDEX(Clay_Offices!$A$2:$FZ$601,436,Sync!$C$11)),0)&gt;0,IFERROR(INDEX(Clay_Offices!$A$2:$FZ$601,436,Sync!$C$5)&amp;"","")&lt;&gt;"",OR(LEFT(IFERROR(INDEX(Clay_Offices!$A$2:$FZ$601,436,Sync!$C$5)&amp;"",""),6)&lt;&gt;"SAMPLE",Config!$B$19="Y")),IFERROR(N(INDEX(Clay_Offices!$A$2:$FZ$601,436,Sync!$C$11)),0),"")</f>
        <v/>
      </c>
      <c r="C2087" s="17">
        <f>IF(B2087="","","office")</f>
        <v/>
      </c>
      <c r="D2087" s="17">
        <f>IF(B2087="","",IFERROR(INDEX(Clay_Offices!$A$2:$FZ$601,436,Sync!$C$5)&amp;"",""))</f>
        <v/>
      </c>
      <c r="E2087" s="17">
        <f>IF(B2087="","",IFERROR(INDEX(Clay_Offices!$A$2:$FZ$601,436,Sync!$C$6)&amp;"",""))</f>
        <v/>
      </c>
      <c r="F2087" s="17">
        <f>IF(B2087="","","outreach_sent")</f>
        <v/>
      </c>
      <c r="G2087" s="17">
        <f>IF(B2087="","","")</f>
        <v/>
      </c>
      <c r="H2087" s="17">
        <f>IF(B2087="","","")</f>
        <v/>
      </c>
      <c r="I2087" s="17">
        <f>IF(B2087="","","")</f>
        <v/>
      </c>
      <c r="J2087" s="17">
        <f>IF(B2087="","","touch_1; "&amp;IFERROR(INDEX(Clay_Offices!$A$2:$FZ$601,436,Sync!$C$10)&amp;"","")&amp;"; "&amp;IFERROR(INDEX(Clay_Offices!$A$2:$FZ$601,436,Sync!$C$9)&amp;"",""))</f>
        <v/>
      </c>
      <c r="K2087" t="inlineStr">
        <is>
          <t>office outreach touch 1</t>
        </is>
      </c>
    </row>
    <row r="2088">
      <c r="A2088" s="17">
        <f>IF(B2088="","",B2088+(12*1000+437)/10000000)</f>
        <v/>
      </c>
      <c r="B2088" s="23">
        <f>IF(AND(IFERROR(N(INDEX(Clay_Offices!$A$2:$FZ$601,437,Sync!$C$11)),0)&gt;0,IFERROR(INDEX(Clay_Offices!$A$2:$FZ$601,437,Sync!$C$5)&amp;"","")&lt;&gt;"",OR(LEFT(IFERROR(INDEX(Clay_Offices!$A$2:$FZ$601,437,Sync!$C$5)&amp;"",""),6)&lt;&gt;"SAMPLE",Config!$B$19="Y")),IFERROR(N(INDEX(Clay_Offices!$A$2:$FZ$601,437,Sync!$C$11)),0),"")</f>
        <v/>
      </c>
      <c r="C2088" s="17">
        <f>IF(B2088="","","office")</f>
        <v/>
      </c>
      <c r="D2088" s="17">
        <f>IF(B2088="","",IFERROR(INDEX(Clay_Offices!$A$2:$FZ$601,437,Sync!$C$5)&amp;"",""))</f>
        <v/>
      </c>
      <c r="E2088" s="17">
        <f>IF(B2088="","",IFERROR(INDEX(Clay_Offices!$A$2:$FZ$601,437,Sync!$C$6)&amp;"",""))</f>
        <v/>
      </c>
      <c r="F2088" s="17">
        <f>IF(B2088="","","outreach_sent")</f>
        <v/>
      </c>
      <c r="G2088" s="17">
        <f>IF(B2088="","","")</f>
        <v/>
      </c>
      <c r="H2088" s="17">
        <f>IF(B2088="","","")</f>
        <v/>
      </c>
      <c r="I2088" s="17">
        <f>IF(B2088="","","")</f>
        <v/>
      </c>
      <c r="J2088" s="17">
        <f>IF(B2088="","","touch_1; "&amp;IFERROR(INDEX(Clay_Offices!$A$2:$FZ$601,437,Sync!$C$10)&amp;"","")&amp;"; "&amp;IFERROR(INDEX(Clay_Offices!$A$2:$FZ$601,437,Sync!$C$9)&amp;"",""))</f>
        <v/>
      </c>
      <c r="K2088" t="inlineStr">
        <is>
          <t>office outreach touch 1</t>
        </is>
      </c>
    </row>
    <row r="2089">
      <c r="A2089" s="17">
        <f>IF(B2089="","",B2089+(12*1000+438)/10000000)</f>
        <v/>
      </c>
      <c r="B2089" s="23">
        <f>IF(AND(IFERROR(N(INDEX(Clay_Offices!$A$2:$FZ$601,438,Sync!$C$11)),0)&gt;0,IFERROR(INDEX(Clay_Offices!$A$2:$FZ$601,438,Sync!$C$5)&amp;"","")&lt;&gt;"",OR(LEFT(IFERROR(INDEX(Clay_Offices!$A$2:$FZ$601,438,Sync!$C$5)&amp;"",""),6)&lt;&gt;"SAMPLE",Config!$B$19="Y")),IFERROR(N(INDEX(Clay_Offices!$A$2:$FZ$601,438,Sync!$C$11)),0),"")</f>
        <v/>
      </c>
      <c r="C2089" s="17">
        <f>IF(B2089="","","office")</f>
        <v/>
      </c>
      <c r="D2089" s="17">
        <f>IF(B2089="","",IFERROR(INDEX(Clay_Offices!$A$2:$FZ$601,438,Sync!$C$5)&amp;"",""))</f>
        <v/>
      </c>
      <c r="E2089" s="17">
        <f>IF(B2089="","",IFERROR(INDEX(Clay_Offices!$A$2:$FZ$601,438,Sync!$C$6)&amp;"",""))</f>
        <v/>
      </c>
      <c r="F2089" s="17">
        <f>IF(B2089="","","outreach_sent")</f>
        <v/>
      </c>
      <c r="G2089" s="17">
        <f>IF(B2089="","","")</f>
        <v/>
      </c>
      <c r="H2089" s="17">
        <f>IF(B2089="","","")</f>
        <v/>
      </c>
      <c r="I2089" s="17">
        <f>IF(B2089="","","")</f>
        <v/>
      </c>
      <c r="J2089" s="17">
        <f>IF(B2089="","","touch_1; "&amp;IFERROR(INDEX(Clay_Offices!$A$2:$FZ$601,438,Sync!$C$10)&amp;"","")&amp;"; "&amp;IFERROR(INDEX(Clay_Offices!$A$2:$FZ$601,438,Sync!$C$9)&amp;"",""))</f>
        <v/>
      </c>
      <c r="K2089" t="inlineStr">
        <is>
          <t>office outreach touch 1</t>
        </is>
      </c>
    </row>
    <row r="2090">
      <c r="A2090" s="17">
        <f>IF(B2090="","",B2090+(12*1000+439)/10000000)</f>
        <v/>
      </c>
      <c r="B2090" s="23">
        <f>IF(AND(IFERROR(N(INDEX(Clay_Offices!$A$2:$FZ$601,439,Sync!$C$11)),0)&gt;0,IFERROR(INDEX(Clay_Offices!$A$2:$FZ$601,439,Sync!$C$5)&amp;"","")&lt;&gt;"",OR(LEFT(IFERROR(INDEX(Clay_Offices!$A$2:$FZ$601,439,Sync!$C$5)&amp;"",""),6)&lt;&gt;"SAMPLE",Config!$B$19="Y")),IFERROR(N(INDEX(Clay_Offices!$A$2:$FZ$601,439,Sync!$C$11)),0),"")</f>
        <v/>
      </c>
      <c r="C2090" s="17">
        <f>IF(B2090="","","office")</f>
        <v/>
      </c>
      <c r="D2090" s="17">
        <f>IF(B2090="","",IFERROR(INDEX(Clay_Offices!$A$2:$FZ$601,439,Sync!$C$5)&amp;"",""))</f>
        <v/>
      </c>
      <c r="E2090" s="17">
        <f>IF(B2090="","",IFERROR(INDEX(Clay_Offices!$A$2:$FZ$601,439,Sync!$C$6)&amp;"",""))</f>
        <v/>
      </c>
      <c r="F2090" s="17">
        <f>IF(B2090="","","outreach_sent")</f>
        <v/>
      </c>
      <c r="G2090" s="17">
        <f>IF(B2090="","","")</f>
        <v/>
      </c>
      <c r="H2090" s="17">
        <f>IF(B2090="","","")</f>
        <v/>
      </c>
      <c r="I2090" s="17">
        <f>IF(B2090="","","")</f>
        <v/>
      </c>
      <c r="J2090" s="17">
        <f>IF(B2090="","","touch_1; "&amp;IFERROR(INDEX(Clay_Offices!$A$2:$FZ$601,439,Sync!$C$10)&amp;"","")&amp;"; "&amp;IFERROR(INDEX(Clay_Offices!$A$2:$FZ$601,439,Sync!$C$9)&amp;"",""))</f>
        <v/>
      </c>
      <c r="K2090" t="inlineStr">
        <is>
          <t>office outreach touch 1</t>
        </is>
      </c>
    </row>
    <row r="2091">
      <c r="A2091" s="17">
        <f>IF(B2091="","",B2091+(12*1000+440)/10000000)</f>
        <v/>
      </c>
      <c r="B2091" s="23">
        <f>IF(AND(IFERROR(N(INDEX(Clay_Offices!$A$2:$FZ$601,440,Sync!$C$11)),0)&gt;0,IFERROR(INDEX(Clay_Offices!$A$2:$FZ$601,440,Sync!$C$5)&amp;"","")&lt;&gt;"",OR(LEFT(IFERROR(INDEX(Clay_Offices!$A$2:$FZ$601,440,Sync!$C$5)&amp;"",""),6)&lt;&gt;"SAMPLE",Config!$B$19="Y")),IFERROR(N(INDEX(Clay_Offices!$A$2:$FZ$601,440,Sync!$C$11)),0),"")</f>
        <v/>
      </c>
      <c r="C2091" s="17">
        <f>IF(B2091="","","office")</f>
        <v/>
      </c>
      <c r="D2091" s="17">
        <f>IF(B2091="","",IFERROR(INDEX(Clay_Offices!$A$2:$FZ$601,440,Sync!$C$5)&amp;"",""))</f>
        <v/>
      </c>
      <c r="E2091" s="17">
        <f>IF(B2091="","",IFERROR(INDEX(Clay_Offices!$A$2:$FZ$601,440,Sync!$C$6)&amp;"",""))</f>
        <v/>
      </c>
      <c r="F2091" s="17">
        <f>IF(B2091="","","outreach_sent")</f>
        <v/>
      </c>
      <c r="G2091" s="17">
        <f>IF(B2091="","","")</f>
        <v/>
      </c>
      <c r="H2091" s="17">
        <f>IF(B2091="","","")</f>
        <v/>
      </c>
      <c r="I2091" s="17">
        <f>IF(B2091="","","")</f>
        <v/>
      </c>
      <c r="J2091" s="17">
        <f>IF(B2091="","","touch_1; "&amp;IFERROR(INDEX(Clay_Offices!$A$2:$FZ$601,440,Sync!$C$10)&amp;"","")&amp;"; "&amp;IFERROR(INDEX(Clay_Offices!$A$2:$FZ$601,440,Sync!$C$9)&amp;"",""))</f>
        <v/>
      </c>
      <c r="K2091" t="inlineStr">
        <is>
          <t>office outreach touch 1</t>
        </is>
      </c>
    </row>
    <row r="2092">
      <c r="A2092" s="17">
        <f>IF(B2092="","",B2092+(12*1000+441)/10000000)</f>
        <v/>
      </c>
      <c r="B2092" s="23">
        <f>IF(AND(IFERROR(N(INDEX(Clay_Offices!$A$2:$FZ$601,441,Sync!$C$11)),0)&gt;0,IFERROR(INDEX(Clay_Offices!$A$2:$FZ$601,441,Sync!$C$5)&amp;"","")&lt;&gt;"",OR(LEFT(IFERROR(INDEX(Clay_Offices!$A$2:$FZ$601,441,Sync!$C$5)&amp;"",""),6)&lt;&gt;"SAMPLE",Config!$B$19="Y")),IFERROR(N(INDEX(Clay_Offices!$A$2:$FZ$601,441,Sync!$C$11)),0),"")</f>
        <v/>
      </c>
      <c r="C2092" s="17">
        <f>IF(B2092="","","office")</f>
        <v/>
      </c>
      <c r="D2092" s="17">
        <f>IF(B2092="","",IFERROR(INDEX(Clay_Offices!$A$2:$FZ$601,441,Sync!$C$5)&amp;"",""))</f>
        <v/>
      </c>
      <c r="E2092" s="17">
        <f>IF(B2092="","",IFERROR(INDEX(Clay_Offices!$A$2:$FZ$601,441,Sync!$C$6)&amp;"",""))</f>
        <v/>
      </c>
      <c r="F2092" s="17">
        <f>IF(B2092="","","outreach_sent")</f>
        <v/>
      </c>
      <c r="G2092" s="17">
        <f>IF(B2092="","","")</f>
        <v/>
      </c>
      <c r="H2092" s="17">
        <f>IF(B2092="","","")</f>
        <v/>
      </c>
      <c r="I2092" s="17">
        <f>IF(B2092="","","")</f>
        <v/>
      </c>
      <c r="J2092" s="17">
        <f>IF(B2092="","","touch_1; "&amp;IFERROR(INDEX(Clay_Offices!$A$2:$FZ$601,441,Sync!$C$10)&amp;"","")&amp;"; "&amp;IFERROR(INDEX(Clay_Offices!$A$2:$FZ$601,441,Sync!$C$9)&amp;"",""))</f>
        <v/>
      </c>
      <c r="K2092" t="inlineStr">
        <is>
          <t>office outreach touch 1</t>
        </is>
      </c>
    </row>
    <row r="2093">
      <c r="A2093" s="17">
        <f>IF(B2093="","",B2093+(12*1000+442)/10000000)</f>
        <v/>
      </c>
      <c r="B2093" s="23">
        <f>IF(AND(IFERROR(N(INDEX(Clay_Offices!$A$2:$FZ$601,442,Sync!$C$11)),0)&gt;0,IFERROR(INDEX(Clay_Offices!$A$2:$FZ$601,442,Sync!$C$5)&amp;"","")&lt;&gt;"",OR(LEFT(IFERROR(INDEX(Clay_Offices!$A$2:$FZ$601,442,Sync!$C$5)&amp;"",""),6)&lt;&gt;"SAMPLE",Config!$B$19="Y")),IFERROR(N(INDEX(Clay_Offices!$A$2:$FZ$601,442,Sync!$C$11)),0),"")</f>
        <v/>
      </c>
      <c r="C2093" s="17">
        <f>IF(B2093="","","office")</f>
        <v/>
      </c>
      <c r="D2093" s="17">
        <f>IF(B2093="","",IFERROR(INDEX(Clay_Offices!$A$2:$FZ$601,442,Sync!$C$5)&amp;"",""))</f>
        <v/>
      </c>
      <c r="E2093" s="17">
        <f>IF(B2093="","",IFERROR(INDEX(Clay_Offices!$A$2:$FZ$601,442,Sync!$C$6)&amp;"",""))</f>
        <v/>
      </c>
      <c r="F2093" s="17">
        <f>IF(B2093="","","outreach_sent")</f>
        <v/>
      </c>
      <c r="G2093" s="17">
        <f>IF(B2093="","","")</f>
        <v/>
      </c>
      <c r="H2093" s="17">
        <f>IF(B2093="","","")</f>
        <v/>
      </c>
      <c r="I2093" s="17">
        <f>IF(B2093="","","")</f>
        <v/>
      </c>
      <c r="J2093" s="17">
        <f>IF(B2093="","","touch_1; "&amp;IFERROR(INDEX(Clay_Offices!$A$2:$FZ$601,442,Sync!$C$10)&amp;"","")&amp;"; "&amp;IFERROR(INDEX(Clay_Offices!$A$2:$FZ$601,442,Sync!$C$9)&amp;"",""))</f>
        <v/>
      </c>
      <c r="K2093" t="inlineStr">
        <is>
          <t>office outreach touch 1</t>
        </is>
      </c>
    </row>
    <row r="2094">
      <c r="A2094" s="17">
        <f>IF(B2094="","",B2094+(12*1000+443)/10000000)</f>
        <v/>
      </c>
      <c r="B2094" s="23">
        <f>IF(AND(IFERROR(N(INDEX(Clay_Offices!$A$2:$FZ$601,443,Sync!$C$11)),0)&gt;0,IFERROR(INDEX(Clay_Offices!$A$2:$FZ$601,443,Sync!$C$5)&amp;"","")&lt;&gt;"",OR(LEFT(IFERROR(INDEX(Clay_Offices!$A$2:$FZ$601,443,Sync!$C$5)&amp;"",""),6)&lt;&gt;"SAMPLE",Config!$B$19="Y")),IFERROR(N(INDEX(Clay_Offices!$A$2:$FZ$601,443,Sync!$C$11)),0),"")</f>
        <v/>
      </c>
      <c r="C2094" s="17">
        <f>IF(B2094="","","office")</f>
        <v/>
      </c>
      <c r="D2094" s="17">
        <f>IF(B2094="","",IFERROR(INDEX(Clay_Offices!$A$2:$FZ$601,443,Sync!$C$5)&amp;"",""))</f>
        <v/>
      </c>
      <c r="E2094" s="17">
        <f>IF(B2094="","",IFERROR(INDEX(Clay_Offices!$A$2:$FZ$601,443,Sync!$C$6)&amp;"",""))</f>
        <v/>
      </c>
      <c r="F2094" s="17">
        <f>IF(B2094="","","outreach_sent")</f>
        <v/>
      </c>
      <c r="G2094" s="17">
        <f>IF(B2094="","","")</f>
        <v/>
      </c>
      <c r="H2094" s="17">
        <f>IF(B2094="","","")</f>
        <v/>
      </c>
      <c r="I2094" s="17">
        <f>IF(B2094="","","")</f>
        <v/>
      </c>
      <c r="J2094" s="17">
        <f>IF(B2094="","","touch_1; "&amp;IFERROR(INDEX(Clay_Offices!$A$2:$FZ$601,443,Sync!$C$10)&amp;"","")&amp;"; "&amp;IFERROR(INDEX(Clay_Offices!$A$2:$FZ$601,443,Sync!$C$9)&amp;"",""))</f>
        <v/>
      </c>
      <c r="K2094" t="inlineStr">
        <is>
          <t>office outreach touch 1</t>
        </is>
      </c>
    </row>
    <row r="2095">
      <c r="A2095" s="17">
        <f>IF(B2095="","",B2095+(12*1000+444)/10000000)</f>
        <v/>
      </c>
      <c r="B2095" s="23">
        <f>IF(AND(IFERROR(N(INDEX(Clay_Offices!$A$2:$FZ$601,444,Sync!$C$11)),0)&gt;0,IFERROR(INDEX(Clay_Offices!$A$2:$FZ$601,444,Sync!$C$5)&amp;"","")&lt;&gt;"",OR(LEFT(IFERROR(INDEX(Clay_Offices!$A$2:$FZ$601,444,Sync!$C$5)&amp;"",""),6)&lt;&gt;"SAMPLE",Config!$B$19="Y")),IFERROR(N(INDEX(Clay_Offices!$A$2:$FZ$601,444,Sync!$C$11)),0),"")</f>
        <v/>
      </c>
      <c r="C2095" s="17">
        <f>IF(B2095="","","office")</f>
        <v/>
      </c>
      <c r="D2095" s="17">
        <f>IF(B2095="","",IFERROR(INDEX(Clay_Offices!$A$2:$FZ$601,444,Sync!$C$5)&amp;"",""))</f>
        <v/>
      </c>
      <c r="E2095" s="17">
        <f>IF(B2095="","",IFERROR(INDEX(Clay_Offices!$A$2:$FZ$601,444,Sync!$C$6)&amp;"",""))</f>
        <v/>
      </c>
      <c r="F2095" s="17">
        <f>IF(B2095="","","outreach_sent")</f>
        <v/>
      </c>
      <c r="G2095" s="17">
        <f>IF(B2095="","","")</f>
        <v/>
      </c>
      <c r="H2095" s="17">
        <f>IF(B2095="","","")</f>
        <v/>
      </c>
      <c r="I2095" s="17">
        <f>IF(B2095="","","")</f>
        <v/>
      </c>
      <c r="J2095" s="17">
        <f>IF(B2095="","","touch_1; "&amp;IFERROR(INDEX(Clay_Offices!$A$2:$FZ$601,444,Sync!$C$10)&amp;"","")&amp;"; "&amp;IFERROR(INDEX(Clay_Offices!$A$2:$FZ$601,444,Sync!$C$9)&amp;"",""))</f>
        <v/>
      </c>
      <c r="K2095" t="inlineStr">
        <is>
          <t>office outreach touch 1</t>
        </is>
      </c>
    </row>
    <row r="2096">
      <c r="A2096" s="17">
        <f>IF(B2096="","",B2096+(12*1000+445)/10000000)</f>
        <v/>
      </c>
      <c r="B2096" s="23">
        <f>IF(AND(IFERROR(N(INDEX(Clay_Offices!$A$2:$FZ$601,445,Sync!$C$11)),0)&gt;0,IFERROR(INDEX(Clay_Offices!$A$2:$FZ$601,445,Sync!$C$5)&amp;"","")&lt;&gt;"",OR(LEFT(IFERROR(INDEX(Clay_Offices!$A$2:$FZ$601,445,Sync!$C$5)&amp;"",""),6)&lt;&gt;"SAMPLE",Config!$B$19="Y")),IFERROR(N(INDEX(Clay_Offices!$A$2:$FZ$601,445,Sync!$C$11)),0),"")</f>
        <v/>
      </c>
      <c r="C2096" s="17">
        <f>IF(B2096="","","office")</f>
        <v/>
      </c>
      <c r="D2096" s="17">
        <f>IF(B2096="","",IFERROR(INDEX(Clay_Offices!$A$2:$FZ$601,445,Sync!$C$5)&amp;"",""))</f>
        <v/>
      </c>
      <c r="E2096" s="17">
        <f>IF(B2096="","",IFERROR(INDEX(Clay_Offices!$A$2:$FZ$601,445,Sync!$C$6)&amp;"",""))</f>
        <v/>
      </c>
      <c r="F2096" s="17">
        <f>IF(B2096="","","outreach_sent")</f>
        <v/>
      </c>
      <c r="G2096" s="17">
        <f>IF(B2096="","","")</f>
        <v/>
      </c>
      <c r="H2096" s="17">
        <f>IF(B2096="","","")</f>
        <v/>
      </c>
      <c r="I2096" s="17">
        <f>IF(B2096="","","")</f>
        <v/>
      </c>
      <c r="J2096" s="17">
        <f>IF(B2096="","","touch_1; "&amp;IFERROR(INDEX(Clay_Offices!$A$2:$FZ$601,445,Sync!$C$10)&amp;"","")&amp;"; "&amp;IFERROR(INDEX(Clay_Offices!$A$2:$FZ$601,445,Sync!$C$9)&amp;"",""))</f>
        <v/>
      </c>
      <c r="K2096" t="inlineStr">
        <is>
          <t>office outreach touch 1</t>
        </is>
      </c>
    </row>
    <row r="2097">
      <c r="A2097" s="17">
        <f>IF(B2097="","",B2097+(12*1000+446)/10000000)</f>
        <v/>
      </c>
      <c r="B2097" s="23">
        <f>IF(AND(IFERROR(N(INDEX(Clay_Offices!$A$2:$FZ$601,446,Sync!$C$11)),0)&gt;0,IFERROR(INDEX(Clay_Offices!$A$2:$FZ$601,446,Sync!$C$5)&amp;"","")&lt;&gt;"",OR(LEFT(IFERROR(INDEX(Clay_Offices!$A$2:$FZ$601,446,Sync!$C$5)&amp;"",""),6)&lt;&gt;"SAMPLE",Config!$B$19="Y")),IFERROR(N(INDEX(Clay_Offices!$A$2:$FZ$601,446,Sync!$C$11)),0),"")</f>
        <v/>
      </c>
      <c r="C2097" s="17">
        <f>IF(B2097="","","office")</f>
        <v/>
      </c>
      <c r="D2097" s="17">
        <f>IF(B2097="","",IFERROR(INDEX(Clay_Offices!$A$2:$FZ$601,446,Sync!$C$5)&amp;"",""))</f>
        <v/>
      </c>
      <c r="E2097" s="17">
        <f>IF(B2097="","",IFERROR(INDEX(Clay_Offices!$A$2:$FZ$601,446,Sync!$C$6)&amp;"",""))</f>
        <v/>
      </c>
      <c r="F2097" s="17">
        <f>IF(B2097="","","outreach_sent")</f>
        <v/>
      </c>
      <c r="G2097" s="17">
        <f>IF(B2097="","","")</f>
        <v/>
      </c>
      <c r="H2097" s="17">
        <f>IF(B2097="","","")</f>
        <v/>
      </c>
      <c r="I2097" s="17">
        <f>IF(B2097="","","")</f>
        <v/>
      </c>
      <c r="J2097" s="17">
        <f>IF(B2097="","","touch_1; "&amp;IFERROR(INDEX(Clay_Offices!$A$2:$FZ$601,446,Sync!$C$10)&amp;"","")&amp;"; "&amp;IFERROR(INDEX(Clay_Offices!$A$2:$FZ$601,446,Sync!$C$9)&amp;"",""))</f>
        <v/>
      </c>
      <c r="K2097" t="inlineStr">
        <is>
          <t>office outreach touch 1</t>
        </is>
      </c>
    </row>
    <row r="2098">
      <c r="A2098" s="17">
        <f>IF(B2098="","",B2098+(12*1000+447)/10000000)</f>
        <v/>
      </c>
      <c r="B2098" s="23">
        <f>IF(AND(IFERROR(N(INDEX(Clay_Offices!$A$2:$FZ$601,447,Sync!$C$11)),0)&gt;0,IFERROR(INDEX(Clay_Offices!$A$2:$FZ$601,447,Sync!$C$5)&amp;"","")&lt;&gt;"",OR(LEFT(IFERROR(INDEX(Clay_Offices!$A$2:$FZ$601,447,Sync!$C$5)&amp;"",""),6)&lt;&gt;"SAMPLE",Config!$B$19="Y")),IFERROR(N(INDEX(Clay_Offices!$A$2:$FZ$601,447,Sync!$C$11)),0),"")</f>
        <v/>
      </c>
      <c r="C2098" s="17">
        <f>IF(B2098="","","office")</f>
        <v/>
      </c>
      <c r="D2098" s="17">
        <f>IF(B2098="","",IFERROR(INDEX(Clay_Offices!$A$2:$FZ$601,447,Sync!$C$5)&amp;"",""))</f>
        <v/>
      </c>
      <c r="E2098" s="17">
        <f>IF(B2098="","",IFERROR(INDEX(Clay_Offices!$A$2:$FZ$601,447,Sync!$C$6)&amp;"",""))</f>
        <v/>
      </c>
      <c r="F2098" s="17">
        <f>IF(B2098="","","outreach_sent")</f>
        <v/>
      </c>
      <c r="G2098" s="17">
        <f>IF(B2098="","","")</f>
        <v/>
      </c>
      <c r="H2098" s="17">
        <f>IF(B2098="","","")</f>
        <v/>
      </c>
      <c r="I2098" s="17">
        <f>IF(B2098="","","")</f>
        <v/>
      </c>
      <c r="J2098" s="17">
        <f>IF(B2098="","","touch_1; "&amp;IFERROR(INDEX(Clay_Offices!$A$2:$FZ$601,447,Sync!$C$10)&amp;"","")&amp;"; "&amp;IFERROR(INDEX(Clay_Offices!$A$2:$FZ$601,447,Sync!$C$9)&amp;"",""))</f>
        <v/>
      </c>
      <c r="K2098" t="inlineStr">
        <is>
          <t>office outreach touch 1</t>
        </is>
      </c>
    </row>
    <row r="2099">
      <c r="A2099" s="17">
        <f>IF(B2099="","",B2099+(12*1000+448)/10000000)</f>
        <v/>
      </c>
      <c r="B2099" s="23">
        <f>IF(AND(IFERROR(N(INDEX(Clay_Offices!$A$2:$FZ$601,448,Sync!$C$11)),0)&gt;0,IFERROR(INDEX(Clay_Offices!$A$2:$FZ$601,448,Sync!$C$5)&amp;"","")&lt;&gt;"",OR(LEFT(IFERROR(INDEX(Clay_Offices!$A$2:$FZ$601,448,Sync!$C$5)&amp;"",""),6)&lt;&gt;"SAMPLE",Config!$B$19="Y")),IFERROR(N(INDEX(Clay_Offices!$A$2:$FZ$601,448,Sync!$C$11)),0),"")</f>
        <v/>
      </c>
      <c r="C2099" s="17">
        <f>IF(B2099="","","office")</f>
        <v/>
      </c>
      <c r="D2099" s="17">
        <f>IF(B2099="","",IFERROR(INDEX(Clay_Offices!$A$2:$FZ$601,448,Sync!$C$5)&amp;"",""))</f>
        <v/>
      </c>
      <c r="E2099" s="17">
        <f>IF(B2099="","",IFERROR(INDEX(Clay_Offices!$A$2:$FZ$601,448,Sync!$C$6)&amp;"",""))</f>
        <v/>
      </c>
      <c r="F2099" s="17">
        <f>IF(B2099="","","outreach_sent")</f>
        <v/>
      </c>
      <c r="G2099" s="17">
        <f>IF(B2099="","","")</f>
        <v/>
      </c>
      <c r="H2099" s="17">
        <f>IF(B2099="","","")</f>
        <v/>
      </c>
      <c r="I2099" s="17">
        <f>IF(B2099="","","")</f>
        <v/>
      </c>
      <c r="J2099" s="17">
        <f>IF(B2099="","","touch_1; "&amp;IFERROR(INDEX(Clay_Offices!$A$2:$FZ$601,448,Sync!$C$10)&amp;"","")&amp;"; "&amp;IFERROR(INDEX(Clay_Offices!$A$2:$FZ$601,448,Sync!$C$9)&amp;"",""))</f>
        <v/>
      </c>
      <c r="K2099" t="inlineStr">
        <is>
          <t>office outreach touch 1</t>
        </is>
      </c>
    </row>
    <row r="2100">
      <c r="A2100" s="17">
        <f>IF(B2100="","",B2100+(12*1000+449)/10000000)</f>
        <v/>
      </c>
      <c r="B2100" s="23">
        <f>IF(AND(IFERROR(N(INDEX(Clay_Offices!$A$2:$FZ$601,449,Sync!$C$11)),0)&gt;0,IFERROR(INDEX(Clay_Offices!$A$2:$FZ$601,449,Sync!$C$5)&amp;"","")&lt;&gt;"",OR(LEFT(IFERROR(INDEX(Clay_Offices!$A$2:$FZ$601,449,Sync!$C$5)&amp;"",""),6)&lt;&gt;"SAMPLE",Config!$B$19="Y")),IFERROR(N(INDEX(Clay_Offices!$A$2:$FZ$601,449,Sync!$C$11)),0),"")</f>
        <v/>
      </c>
      <c r="C2100" s="17">
        <f>IF(B2100="","","office")</f>
        <v/>
      </c>
      <c r="D2100" s="17">
        <f>IF(B2100="","",IFERROR(INDEX(Clay_Offices!$A$2:$FZ$601,449,Sync!$C$5)&amp;"",""))</f>
        <v/>
      </c>
      <c r="E2100" s="17">
        <f>IF(B2100="","",IFERROR(INDEX(Clay_Offices!$A$2:$FZ$601,449,Sync!$C$6)&amp;"",""))</f>
        <v/>
      </c>
      <c r="F2100" s="17">
        <f>IF(B2100="","","outreach_sent")</f>
        <v/>
      </c>
      <c r="G2100" s="17">
        <f>IF(B2100="","","")</f>
        <v/>
      </c>
      <c r="H2100" s="17">
        <f>IF(B2100="","","")</f>
        <v/>
      </c>
      <c r="I2100" s="17">
        <f>IF(B2100="","","")</f>
        <v/>
      </c>
      <c r="J2100" s="17">
        <f>IF(B2100="","","touch_1; "&amp;IFERROR(INDEX(Clay_Offices!$A$2:$FZ$601,449,Sync!$C$10)&amp;"","")&amp;"; "&amp;IFERROR(INDEX(Clay_Offices!$A$2:$FZ$601,449,Sync!$C$9)&amp;"",""))</f>
        <v/>
      </c>
      <c r="K2100" t="inlineStr">
        <is>
          <t>office outreach touch 1</t>
        </is>
      </c>
    </row>
    <row r="2101">
      <c r="A2101" s="17">
        <f>IF(B2101="","",B2101+(12*1000+450)/10000000)</f>
        <v/>
      </c>
      <c r="B2101" s="23">
        <f>IF(AND(IFERROR(N(INDEX(Clay_Offices!$A$2:$FZ$601,450,Sync!$C$11)),0)&gt;0,IFERROR(INDEX(Clay_Offices!$A$2:$FZ$601,450,Sync!$C$5)&amp;"","")&lt;&gt;"",OR(LEFT(IFERROR(INDEX(Clay_Offices!$A$2:$FZ$601,450,Sync!$C$5)&amp;"",""),6)&lt;&gt;"SAMPLE",Config!$B$19="Y")),IFERROR(N(INDEX(Clay_Offices!$A$2:$FZ$601,450,Sync!$C$11)),0),"")</f>
        <v/>
      </c>
      <c r="C2101" s="17">
        <f>IF(B2101="","","office")</f>
        <v/>
      </c>
      <c r="D2101" s="17">
        <f>IF(B2101="","",IFERROR(INDEX(Clay_Offices!$A$2:$FZ$601,450,Sync!$C$5)&amp;"",""))</f>
        <v/>
      </c>
      <c r="E2101" s="17">
        <f>IF(B2101="","",IFERROR(INDEX(Clay_Offices!$A$2:$FZ$601,450,Sync!$C$6)&amp;"",""))</f>
        <v/>
      </c>
      <c r="F2101" s="17">
        <f>IF(B2101="","","outreach_sent")</f>
        <v/>
      </c>
      <c r="G2101" s="17">
        <f>IF(B2101="","","")</f>
        <v/>
      </c>
      <c r="H2101" s="17">
        <f>IF(B2101="","","")</f>
        <v/>
      </c>
      <c r="I2101" s="17">
        <f>IF(B2101="","","")</f>
        <v/>
      </c>
      <c r="J2101" s="17">
        <f>IF(B2101="","","touch_1; "&amp;IFERROR(INDEX(Clay_Offices!$A$2:$FZ$601,450,Sync!$C$10)&amp;"","")&amp;"; "&amp;IFERROR(INDEX(Clay_Offices!$A$2:$FZ$601,450,Sync!$C$9)&amp;"",""))</f>
        <v/>
      </c>
      <c r="K2101" t="inlineStr">
        <is>
          <t>office outreach touch 1</t>
        </is>
      </c>
    </row>
    <row r="2102">
      <c r="A2102" s="17">
        <f>IF(B2102="","",B2102+(12*1000+451)/10000000)</f>
        <v/>
      </c>
      <c r="B2102" s="23">
        <f>IF(AND(IFERROR(N(INDEX(Clay_Offices!$A$2:$FZ$601,451,Sync!$C$11)),0)&gt;0,IFERROR(INDEX(Clay_Offices!$A$2:$FZ$601,451,Sync!$C$5)&amp;"","")&lt;&gt;"",OR(LEFT(IFERROR(INDEX(Clay_Offices!$A$2:$FZ$601,451,Sync!$C$5)&amp;"",""),6)&lt;&gt;"SAMPLE",Config!$B$19="Y")),IFERROR(N(INDEX(Clay_Offices!$A$2:$FZ$601,451,Sync!$C$11)),0),"")</f>
        <v/>
      </c>
      <c r="C2102" s="17">
        <f>IF(B2102="","","office")</f>
        <v/>
      </c>
      <c r="D2102" s="17">
        <f>IF(B2102="","",IFERROR(INDEX(Clay_Offices!$A$2:$FZ$601,451,Sync!$C$5)&amp;"",""))</f>
        <v/>
      </c>
      <c r="E2102" s="17">
        <f>IF(B2102="","",IFERROR(INDEX(Clay_Offices!$A$2:$FZ$601,451,Sync!$C$6)&amp;"",""))</f>
        <v/>
      </c>
      <c r="F2102" s="17">
        <f>IF(B2102="","","outreach_sent")</f>
        <v/>
      </c>
      <c r="G2102" s="17">
        <f>IF(B2102="","","")</f>
        <v/>
      </c>
      <c r="H2102" s="17">
        <f>IF(B2102="","","")</f>
        <v/>
      </c>
      <c r="I2102" s="17">
        <f>IF(B2102="","","")</f>
        <v/>
      </c>
      <c r="J2102" s="17">
        <f>IF(B2102="","","touch_1; "&amp;IFERROR(INDEX(Clay_Offices!$A$2:$FZ$601,451,Sync!$C$10)&amp;"","")&amp;"; "&amp;IFERROR(INDEX(Clay_Offices!$A$2:$FZ$601,451,Sync!$C$9)&amp;"",""))</f>
        <v/>
      </c>
      <c r="K2102" t="inlineStr">
        <is>
          <t>office outreach touch 1</t>
        </is>
      </c>
    </row>
    <row r="2103">
      <c r="A2103" s="17">
        <f>IF(B2103="","",B2103+(12*1000+452)/10000000)</f>
        <v/>
      </c>
      <c r="B2103" s="23">
        <f>IF(AND(IFERROR(N(INDEX(Clay_Offices!$A$2:$FZ$601,452,Sync!$C$11)),0)&gt;0,IFERROR(INDEX(Clay_Offices!$A$2:$FZ$601,452,Sync!$C$5)&amp;"","")&lt;&gt;"",OR(LEFT(IFERROR(INDEX(Clay_Offices!$A$2:$FZ$601,452,Sync!$C$5)&amp;"",""),6)&lt;&gt;"SAMPLE",Config!$B$19="Y")),IFERROR(N(INDEX(Clay_Offices!$A$2:$FZ$601,452,Sync!$C$11)),0),"")</f>
        <v/>
      </c>
      <c r="C2103" s="17">
        <f>IF(B2103="","","office")</f>
        <v/>
      </c>
      <c r="D2103" s="17">
        <f>IF(B2103="","",IFERROR(INDEX(Clay_Offices!$A$2:$FZ$601,452,Sync!$C$5)&amp;"",""))</f>
        <v/>
      </c>
      <c r="E2103" s="17">
        <f>IF(B2103="","",IFERROR(INDEX(Clay_Offices!$A$2:$FZ$601,452,Sync!$C$6)&amp;"",""))</f>
        <v/>
      </c>
      <c r="F2103" s="17">
        <f>IF(B2103="","","outreach_sent")</f>
        <v/>
      </c>
      <c r="G2103" s="17">
        <f>IF(B2103="","","")</f>
        <v/>
      </c>
      <c r="H2103" s="17">
        <f>IF(B2103="","","")</f>
        <v/>
      </c>
      <c r="I2103" s="17">
        <f>IF(B2103="","","")</f>
        <v/>
      </c>
      <c r="J2103" s="17">
        <f>IF(B2103="","","touch_1; "&amp;IFERROR(INDEX(Clay_Offices!$A$2:$FZ$601,452,Sync!$C$10)&amp;"","")&amp;"; "&amp;IFERROR(INDEX(Clay_Offices!$A$2:$FZ$601,452,Sync!$C$9)&amp;"",""))</f>
        <v/>
      </c>
      <c r="K2103" t="inlineStr">
        <is>
          <t>office outreach touch 1</t>
        </is>
      </c>
    </row>
    <row r="2104">
      <c r="A2104" s="17">
        <f>IF(B2104="","",B2104+(12*1000+453)/10000000)</f>
        <v/>
      </c>
      <c r="B2104" s="23">
        <f>IF(AND(IFERROR(N(INDEX(Clay_Offices!$A$2:$FZ$601,453,Sync!$C$11)),0)&gt;0,IFERROR(INDEX(Clay_Offices!$A$2:$FZ$601,453,Sync!$C$5)&amp;"","")&lt;&gt;"",OR(LEFT(IFERROR(INDEX(Clay_Offices!$A$2:$FZ$601,453,Sync!$C$5)&amp;"",""),6)&lt;&gt;"SAMPLE",Config!$B$19="Y")),IFERROR(N(INDEX(Clay_Offices!$A$2:$FZ$601,453,Sync!$C$11)),0),"")</f>
        <v/>
      </c>
      <c r="C2104" s="17">
        <f>IF(B2104="","","office")</f>
        <v/>
      </c>
      <c r="D2104" s="17">
        <f>IF(B2104="","",IFERROR(INDEX(Clay_Offices!$A$2:$FZ$601,453,Sync!$C$5)&amp;"",""))</f>
        <v/>
      </c>
      <c r="E2104" s="17">
        <f>IF(B2104="","",IFERROR(INDEX(Clay_Offices!$A$2:$FZ$601,453,Sync!$C$6)&amp;"",""))</f>
        <v/>
      </c>
      <c r="F2104" s="17">
        <f>IF(B2104="","","outreach_sent")</f>
        <v/>
      </c>
      <c r="G2104" s="17">
        <f>IF(B2104="","","")</f>
        <v/>
      </c>
      <c r="H2104" s="17">
        <f>IF(B2104="","","")</f>
        <v/>
      </c>
      <c r="I2104" s="17">
        <f>IF(B2104="","","")</f>
        <v/>
      </c>
      <c r="J2104" s="17">
        <f>IF(B2104="","","touch_1; "&amp;IFERROR(INDEX(Clay_Offices!$A$2:$FZ$601,453,Sync!$C$10)&amp;"","")&amp;"; "&amp;IFERROR(INDEX(Clay_Offices!$A$2:$FZ$601,453,Sync!$C$9)&amp;"",""))</f>
        <v/>
      </c>
      <c r="K2104" t="inlineStr">
        <is>
          <t>office outreach touch 1</t>
        </is>
      </c>
    </row>
    <row r="2105">
      <c r="A2105" s="17">
        <f>IF(B2105="","",B2105+(12*1000+454)/10000000)</f>
        <v/>
      </c>
      <c r="B2105" s="23">
        <f>IF(AND(IFERROR(N(INDEX(Clay_Offices!$A$2:$FZ$601,454,Sync!$C$11)),0)&gt;0,IFERROR(INDEX(Clay_Offices!$A$2:$FZ$601,454,Sync!$C$5)&amp;"","")&lt;&gt;"",OR(LEFT(IFERROR(INDEX(Clay_Offices!$A$2:$FZ$601,454,Sync!$C$5)&amp;"",""),6)&lt;&gt;"SAMPLE",Config!$B$19="Y")),IFERROR(N(INDEX(Clay_Offices!$A$2:$FZ$601,454,Sync!$C$11)),0),"")</f>
        <v/>
      </c>
      <c r="C2105" s="17">
        <f>IF(B2105="","","office")</f>
        <v/>
      </c>
      <c r="D2105" s="17">
        <f>IF(B2105="","",IFERROR(INDEX(Clay_Offices!$A$2:$FZ$601,454,Sync!$C$5)&amp;"",""))</f>
        <v/>
      </c>
      <c r="E2105" s="17">
        <f>IF(B2105="","",IFERROR(INDEX(Clay_Offices!$A$2:$FZ$601,454,Sync!$C$6)&amp;"",""))</f>
        <v/>
      </c>
      <c r="F2105" s="17">
        <f>IF(B2105="","","outreach_sent")</f>
        <v/>
      </c>
      <c r="G2105" s="17">
        <f>IF(B2105="","","")</f>
        <v/>
      </c>
      <c r="H2105" s="17">
        <f>IF(B2105="","","")</f>
        <v/>
      </c>
      <c r="I2105" s="17">
        <f>IF(B2105="","","")</f>
        <v/>
      </c>
      <c r="J2105" s="17">
        <f>IF(B2105="","","touch_1; "&amp;IFERROR(INDEX(Clay_Offices!$A$2:$FZ$601,454,Sync!$C$10)&amp;"","")&amp;"; "&amp;IFERROR(INDEX(Clay_Offices!$A$2:$FZ$601,454,Sync!$C$9)&amp;"",""))</f>
        <v/>
      </c>
      <c r="K2105" t="inlineStr">
        <is>
          <t>office outreach touch 1</t>
        </is>
      </c>
    </row>
    <row r="2106">
      <c r="A2106" s="17">
        <f>IF(B2106="","",B2106+(12*1000+455)/10000000)</f>
        <v/>
      </c>
      <c r="B2106" s="23">
        <f>IF(AND(IFERROR(N(INDEX(Clay_Offices!$A$2:$FZ$601,455,Sync!$C$11)),0)&gt;0,IFERROR(INDEX(Clay_Offices!$A$2:$FZ$601,455,Sync!$C$5)&amp;"","")&lt;&gt;"",OR(LEFT(IFERROR(INDEX(Clay_Offices!$A$2:$FZ$601,455,Sync!$C$5)&amp;"",""),6)&lt;&gt;"SAMPLE",Config!$B$19="Y")),IFERROR(N(INDEX(Clay_Offices!$A$2:$FZ$601,455,Sync!$C$11)),0),"")</f>
        <v/>
      </c>
      <c r="C2106" s="17">
        <f>IF(B2106="","","office")</f>
        <v/>
      </c>
      <c r="D2106" s="17">
        <f>IF(B2106="","",IFERROR(INDEX(Clay_Offices!$A$2:$FZ$601,455,Sync!$C$5)&amp;"",""))</f>
        <v/>
      </c>
      <c r="E2106" s="17">
        <f>IF(B2106="","",IFERROR(INDEX(Clay_Offices!$A$2:$FZ$601,455,Sync!$C$6)&amp;"",""))</f>
        <v/>
      </c>
      <c r="F2106" s="17">
        <f>IF(B2106="","","outreach_sent")</f>
        <v/>
      </c>
      <c r="G2106" s="17">
        <f>IF(B2106="","","")</f>
        <v/>
      </c>
      <c r="H2106" s="17">
        <f>IF(B2106="","","")</f>
        <v/>
      </c>
      <c r="I2106" s="17">
        <f>IF(B2106="","","")</f>
        <v/>
      </c>
      <c r="J2106" s="17">
        <f>IF(B2106="","","touch_1; "&amp;IFERROR(INDEX(Clay_Offices!$A$2:$FZ$601,455,Sync!$C$10)&amp;"","")&amp;"; "&amp;IFERROR(INDEX(Clay_Offices!$A$2:$FZ$601,455,Sync!$C$9)&amp;"",""))</f>
        <v/>
      </c>
      <c r="K2106" t="inlineStr">
        <is>
          <t>office outreach touch 1</t>
        </is>
      </c>
    </row>
    <row r="2107">
      <c r="A2107" s="17">
        <f>IF(B2107="","",B2107+(12*1000+456)/10000000)</f>
        <v/>
      </c>
      <c r="B2107" s="23">
        <f>IF(AND(IFERROR(N(INDEX(Clay_Offices!$A$2:$FZ$601,456,Sync!$C$11)),0)&gt;0,IFERROR(INDEX(Clay_Offices!$A$2:$FZ$601,456,Sync!$C$5)&amp;"","")&lt;&gt;"",OR(LEFT(IFERROR(INDEX(Clay_Offices!$A$2:$FZ$601,456,Sync!$C$5)&amp;"",""),6)&lt;&gt;"SAMPLE",Config!$B$19="Y")),IFERROR(N(INDEX(Clay_Offices!$A$2:$FZ$601,456,Sync!$C$11)),0),"")</f>
        <v/>
      </c>
      <c r="C2107" s="17">
        <f>IF(B2107="","","office")</f>
        <v/>
      </c>
      <c r="D2107" s="17">
        <f>IF(B2107="","",IFERROR(INDEX(Clay_Offices!$A$2:$FZ$601,456,Sync!$C$5)&amp;"",""))</f>
        <v/>
      </c>
      <c r="E2107" s="17">
        <f>IF(B2107="","",IFERROR(INDEX(Clay_Offices!$A$2:$FZ$601,456,Sync!$C$6)&amp;"",""))</f>
        <v/>
      </c>
      <c r="F2107" s="17">
        <f>IF(B2107="","","outreach_sent")</f>
        <v/>
      </c>
      <c r="G2107" s="17">
        <f>IF(B2107="","","")</f>
        <v/>
      </c>
      <c r="H2107" s="17">
        <f>IF(B2107="","","")</f>
        <v/>
      </c>
      <c r="I2107" s="17">
        <f>IF(B2107="","","")</f>
        <v/>
      </c>
      <c r="J2107" s="17">
        <f>IF(B2107="","","touch_1; "&amp;IFERROR(INDEX(Clay_Offices!$A$2:$FZ$601,456,Sync!$C$10)&amp;"","")&amp;"; "&amp;IFERROR(INDEX(Clay_Offices!$A$2:$FZ$601,456,Sync!$C$9)&amp;"",""))</f>
        <v/>
      </c>
      <c r="K2107" t="inlineStr">
        <is>
          <t>office outreach touch 1</t>
        </is>
      </c>
    </row>
    <row r="2108">
      <c r="A2108" s="17">
        <f>IF(B2108="","",B2108+(12*1000+457)/10000000)</f>
        <v/>
      </c>
      <c r="B2108" s="23">
        <f>IF(AND(IFERROR(N(INDEX(Clay_Offices!$A$2:$FZ$601,457,Sync!$C$11)),0)&gt;0,IFERROR(INDEX(Clay_Offices!$A$2:$FZ$601,457,Sync!$C$5)&amp;"","")&lt;&gt;"",OR(LEFT(IFERROR(INDEX(Clay_Offices!$A$2:$FZ$601,457,Sync!$C$5)&amp;"",""),6)&lt;&gt;"SAMPLE",Config!$B$19="Y")),IFERROR(N(INDEX(Clay_Offices!$A$2:$FZ$601,457,Sync!$C$11)),0),"")</f>
        <v/>
      </c>
      <c r="C2108" s="17">
        <f>IF(B2108="","","office")</f>
        <v/>
      </c>
      <c r="D2108" s="17">
        <f>IF(B2108="","",IFERROR(INDEX(Clay_Offices!$A$2:$FZ$601,457,Sync!$C$5)&amp;"",""))</f>
        <v/>
      </c>
      <c r="E2108" s="17">
        <f>IF(B2108="","",IFERROR(INDEX(Clay_Offices!$A$2:$FZ$601,457,Sync!$C$6)&amp;"",""))</f>
        <v/>
      </c>
      <c r="F2108" s="17">
        <f>IF(B2108="","","outreach_sent")</f>
        <v/>
      </c>
      <c r="G2108" s="17">
        <f>IF(B2108="","","")</f>
        <v/>
      </c>
      <c r="H2108" s="17">
        <f>IF(B2108="","","")</f>
        <v/>
      </c>
      <c r="I2108" s="17">
        <f>IF(B2108="","","")</f>
        <v/>
      </c>
      <c r="J2108" s="17">
        <f>IF(B2108="","","touch_1; "&amp;IFERROR(INDEX(Clay_Offices!$A$2:$FZ$601,457,Sync!$C$10)&amp;"","")&amp;"; "&amp;IFERROR(INDEX(Clay_Offices!$A$2:$FZ$601,457,Sync!$C$9)&amp;"",""))</f>
        <v/>
      </c>
      <c r="K2108" t="inlineStr">
        <is>
          <t>office outreach touch 1</t>
        </is>
      </c>
    </row>
    <row r="2109">
      <c r="A2109" s="17">
        <f>IF(B2109="","",B2109+(12*1000+458)/10000000)</f>
        <v/>
      </c>
      <c r="B2109" s="23">
        <f>IF(AND(IFERROR(N(INDEX(Clay_Offices!$A$2:$FZ$601,458,Sync!$C$11)),0)&gt;0,IFERROR(INDEX(Clay_Offices!$A$2:$FZ$601,458,Sync!$C$5)&amp;"","")&lt;&gt;"",OR(LEFT(IFERROR(INDEX(Clay_Offices!$A$2:$FZ$601,458,Sync!$C$5)&amp;"",""),6)&lt;&gt;"SAMPLE",Config!$B$19="Y")),IFERROR(N(INDEX(Clay_Offices!$A$2:$FZ$601,458,Sync!$C$11)),0),"")</f>
        <v/>
      </c>
      <c r="C2109" s="17">
        <f>IF(B2109="","","office")</f>
        <v/>
      </c>
      <c r="D2109" s="17">
        <f>IF(B2109="","",IFERROR(INDEX(Clay_Offices!$A$2:$FZ$601,458,Sync!$C$5)&amp;"",""))</f>
        <v/>
      </c>
      <c r="E2109" s="17">
        <f>IF(B2109="","",IFERROR(INDEX(Clay_Offices!$A$2:$FZ$601,458,Sync!$C$6)&amp;"",""))</f>
        <v/>
      </c>
      <c r="F2109" s="17">
        <f>IF(B2109="","","outreach_sent")</f>
        <v/>
      </c>
      <c r="G2109" s="17">
        <f>IF(B2109="","","")</f>
        <v/>
      </c>
      <c r="H2109" s="17">
        <f>IF(B2109="","","")</f>
        <v/>
      </c>
      <c r="I2109" s="17">
        <f>IF(B2109="","","")</f>
        <v/>
      </c>
      <c r="J2109" s="17">
        <f>IF(B2109="","","touch_1; "&amp;IFERROR(INDEX(Clay_Offices!$A$2:$FZ$601,458,Sync!$C$10)&amp;"","")&amp;"; "&amp;IFERROR(INDEX(Clay_Offices!$A$2:$FZ$601,458,Sync!$C$9)&amp;"",""))</f>
        <v/>
      </c>
      <c r="K2109" t="inlineStr">
        <is>
          <t>office outreach touch 1</t>
        </is>
      </c>
    </row>
    <row r="2110">
      <c r="A2110" s="17">
        <f>IF(B2110="","",B2110+(12*1000+459)/10000000)</f>
        <v/>
      </c>
      <c r="B2110" s="23">
        <f>IF(AND(IFERROR(N(INDEX(Clay_Offices!$A$2:$FZ$601,459,Sync!$C$11)),0)&gt;0,IFERROR(INDEX(Clay_Offices!$A$2:$FZ$601,459,Sync!$C$5)&amp;"","")&lt;&gt;"",OR(LEFT(IFERROR(INDEX(Clay_Offices!$A$2:$FZ$601,459,Sync!$C$5)&amp;"",""),6)&lt;&gt;"SAMPLE",Config!$B$19="Y")),IFERROR(N(INDEX(Clay_Offices!$A$2:$FZ$601,459,Sync!$C$11)),0),"")</f>
        <v/>
      </c>
      <c r="C2110" s="17">
        <f>IF(B2110="","","office")</f>
        <v/>
      </c>
      <c r="D2110" s="17">
        <f>IF(B2110="","",IFERROR(INDEX(Clay_Offices!$A$2:$FZ$601,459,Sync!$C$5)&amp;"",""))</f>
        <v/>
      </c>
      <c r="E2110" s="17">
        <f>IF(B2110="","",IFERROR(INDEX(Clay_Offices!$A$2:$FZ$601,459,Sync!$C$6)&amp;"",""))</f>
        <v/>
      </c>
      <c r="F2110" s="17">
        <f>IF(B2110="","","outreach_sent")</f>
        <v/>
      </c>
      <c r="G2110" s="17">
        <f>IF(B2110="","","")</f>
        <v/>
      </c>
      <c r="H2110" s="17">
        <f>IF(B2110="","","")</f>
        <v/>
      </c>
      <c r="I2110" s="17">
        <f>IF(B2110="","","")</f>
        <v/>
      </c>
      <c r="J2110" s="17">
        <f>IF(B2110="","","touch_1; "&amp;IFERROR(INDEX(Clay_Offices!$A$2:$FZ$601,459,Sync!$C$10)&amp;"","")&amp;"; "&amp;IFERROR(INDEX(Clay_Offices!$A$2:$FZ$601,459,Sync!$C$9)&amp;"",""))</f>
        <v/>
      </c>
      <c r="K2110" t="inlineStr">
        <is>
          <t>office outreach touch 1</t>
        </is>
      </c>
    </row>
    <row r="2111">
      <c r="A2111" s="17">
        <f>IF(B2111="","",B2111+(12*1000+460)/10000000)</f>
        <v/>
      </c>
      <c r="B2111" s="23">
        <f>IF(AND(IFERROR(N(INDEX(Clay_Offices!$A$2:$FZ$601,460,Sync!$C$11)),0)&gt;0,IFERROR(INDEX(Clay_Offices!$A$2:$FZ$601,460,Sync!$C$5)&amp;"","")&lt;&gt;"",OR(LEFT(IFERROR(INDEX(Clay_Offices!$A$2:$FZ$601,460,Sync!$C$5)&amp;"",""),6)&lt;&gt;"SAMPLE",Config!$B$19="Y")),IFERROR(N(INDEX(Clay_Offices!$A$2:$FZ$601,460,Sync!$C$11)),0),"")</f>
        <v/>
      </c>
      <c r="C2111" s="17">
        <f>IF(B2111="","","office")</f>
        <v/>
      </c>
      <c r="D2111" s="17">
        <f>IF(B2111="","",IFERROR(INDEX(Clay_Offices!$A$2:$FZ$601,460,Sync!$C$5)&amp;"",""))</f>
        <v/>
      </c>
      <c r="E2111" s="17">
        <f>IF(B2111="","",IFERROR(INDEX(Clay_Offices!$A$2:$FZ$601,460,Sync!$C$6)&amp;"",""))</f>
        <v/>
      </c>
      <c r="F2111" s="17">
        <f>IF(B2111="","","outreach_sent")</f>
        <v/>
      </c>
      <c r="G2111" s="17">
        <f>IF(B2111="","","")</f>
        <v/>
      </c>
      <c r="H2111" s="17">
        <f>IF(B2111="","","")</f>
        <v/>
      </c>
      <c r="I2111" s="17">
        <f>IF(B2111="","","")</f>
        <v/>
      </c>
      <c r="J2111" s="17">
        <f>IF(B2111="","","touch_1; "&amp;IFERROR(INDEX(Clay_Offices!$A$2:$FZ$601,460,Sync!$C$10)&amp;"","")&amp;"; "&amp;IFERROR(INDEX(Clay_Offices!$A$2:$FZ$601,460,Sync!$C$9)&amp;"",""))</f>
        <v/>
      </c>
      <c r="K2111" t="inlineStr">
        <is>
          <t>office outreach touch 1</t>
        </is>
      </c>
    </row>
    <row r="2112">
      <c r="A2112" s="17">
        <f>IF(B2112="","",B2112+(12*1000+461)/10000000)</f>
        <v/>
      </c>
      <c r="B2112" s="23">
        <f>IF(AND(IFERROR(N(INDEX(Clay_Offices!$A$2:$FZ$601,461,Sync!$C$11)),0)&gt;0,IFERROR(INDEX(Clay_Offices!$A$2:$FZ$601,461,Sync!$C$5)&amp;"","")&lt;&gt;"",OR(LEFT(IFERROR(INDEX(Clay_Offices!$A$2:$FZ$601,461,Sync!$C$5)&amp;"",""),6)&lt;&gt;"SAMPLE",Config!$B$19="Y")),IFERROR(N(INDEX(Clay_Offices!$A$2:$FZ$601,461,Sync!$C$11)),0),"")</f>
        <v/>
      </c>
      <c r="C2112" s="17">
        <f>IF(B2112="","","office")</f>
        <v/>
      </c>
      <c r="D2112" s="17">
        <f>IF(B2112="","",IFERROR(INDEX(Clay_Offices!$A$2:$FZ$601,461,Sync!$C$5)&amp;"",""))</f>
        <v/>
      </c>
      <c r="E2112" s="17">
        <f>IF(B2112="","",IFERROR(INDEX(Clay_Offices!$A$2:$FZ$601,461,Sync!$C$6)&amp;"",""))</f>
        <v/>
      </c>
      <c r="F2112" s="17">
        <f>IF(B2112="","","outreach_sent")</f>
        <v/>
      </c>
      <c r="G2112" s="17">
        <f>IF(B2112="","","")</f>
        <v/>
      </c>
      <c r="H2112" s="17">
        <f>IF(B2112="","","")</f>
        <v/>
      </c>
      <c r="I2112" s="17">
        <f>IF(B2112="","","")</f>
        <v/>
      </c>
      <c r="J2112" s="17">
        <f>IF(B2112="","","touch_1; "&amp;IFERROR(INDEX(Clay_Offices!$A$2:$FZ$601,461,Sync!$C$10)&amp;"","")&amp;"; "&amp;IFERROR(INDEX(Clay_Offices!$A$2:$FZ$601,461,Sync!$C$9)&amp;"",""))</f>
        <v/>
      </c>
      <c r="K2112" t="inlineStr">
        <is>
          <t>office outreach touch 1</t>
        </is>
      </c>
    </row>
    <row r="2113">
      <c r="A2113" s="17">
        <f>IF(B2113="","",B2113+(12*1000+462)/10000000)</f>
        <v/>
      </c>
      <c r="B2113" s="23">
        <f>IF(AND(IFERROR(N(INDEX(Clay_Offices!$A$2:$FZ$601,462,Sync!$C$11)),0)&gt;0,IFERROR(INDEX(Clay_Offices!$A$2:$FZ$601,462,Sync!$C$5)&amp;"","")&lt;&gt;"",OR(LEFT(IFERROR(INDEX(Clay_Offices!$A$2:$FZ$601,462,Sync!$C$5)&amp;"",""),6)&lt;&gt;"SAMPLE",Config!$B$19="Y")),IFERROR(N(INDEX(Clay_Offices!$A$2:$FZ$601,462,Sync!$C$11)),0),"")</f>
        <v/>
      </c>
      <c r="C2113" s="17">
        <f>IF(B2113="","","office")</f>
        <v/>
      </c>
      <c r="D2113" s="17">
        <f>IF(B2113="","",IFERROR(INDEX(Clay_Offices!$A$2:$FZ$601,462,Sync!$C$5)&amp;"",""))</f>
        <v/>
      </c>
      <c r="E2113" s="17">
        <f>IF(B2113="","",IFERROR(INDEX(Clay_Offices!$A$2:$FZ$601,462,Sync!$C$6)&amp;"",""))</f>
        <v/>
      </c>
      <c r="F2113" s="17">
        <f>IF(B2113="","","outreach_sent")</f>
        <v/>
      </c>
      <c r="G2113" s="17">
        <f>IF(B2113="","","")</f>
        <v/>
      </c>
      <c r="H2113" s="17">
        <f>IF(B2113="","","")</f>
        <v/>
      </c>
      <c r="I2113" s="17">
        <f>IF(B2113="","","")</f>
        <v/>
      </c>
      <c r="J2113" s="17">
        <f>IF(B2113="","","touch_1; "&amp;IFERROR(INDEX(Clay_Offices!$A$2:$FZ$601,462,Sync!$C$10)&amp;"","")&amp;"; "&amp;IFERROR(INDEX(Clay_Offices!$A$2:$FZ$601,462,Sync!$C$9)&amp;"",""))</f>
        <v/>
      </c>
      <c r="K2113" t="inlineStr">
        <is>
          <t>office outreach touch 1</t>
        </is>
      </c>
    </row>
    <row r="2114">
      <c r="A2114" s="17">
        <f>IF(B2114="","",B2114+(12*1000+463)/10000000)</f>
        <v/>
      </c>
      <c r="B2114" s="23">
        <f>IF(AND(IFERROR(N(INDEX(Clay_Offices!$A$2:$FZ$601,463,Sync!$C$11)),0)&gt;0,IFERROR(INDEX(Clay_Offices!$A$2:$FZ$601,463,Sync!$C$5)&amp;"","")&lt;&gt;"",OR(LEFT(IFERROR(INDEX(Clay_Offices!$A$2:$FZ$601,463,Sync!$C$5)&amp;"",""),6)&lt;&gt;"SAMPLE",Config!$B$19="Y")),IFERROR(N(INDEX(Clay_Offices!$A$2:$FZ$601,463,Sync!$C$11)),0),"")</f>
        <v/>
      </c>
      <c r="C2114" s="17">
        <f>IF(B2114="","","office")</f>
        <v/>
      </c>
      <c r="D2114" s="17">
        <f>IF(B2114="","",IFERROR(INDEX(Clay_Offices!$A$2:$FZ$601,463,Sync!$C$5)&amp;"",""))</f>
        <v/>
      </c>
      <c r="E2114" s="17">
        <f>IF(B2114="","",IFERROR(INDEX(Clay_Offices!$A$2:$FZ$601,463,Sync!$C$6)&amp;"",""))</f>
        <v/>
      </c>
      <c r="F2114" s="17">
        <f>IF(B2114="","","outreach_sent")</f>
        <v/>
      </c>
      <c r="G2114" s="17">
        <f>IF(B2114="","","")</f>
        <v/>
      </c>
      <c r="H2114" s="17">
        <f>IF(B2114="","","")</f>
        <v/>
      </c>
      <c r="I2114" s="17">
        <f>IF(B2114="","","")</f>
        <v/>
      </c>
      <c r="J2114" s="17">
        <f>IF(B2114="","","touch_1; "&amp;IFERROR(INDEX(Clay_Offices!$A$2:$FZ$601,463,Sync!$C$10)&amp;"","")&amp;"; "&amp;IFERROR(INDEX(Clay_Offices!$A$2:$FZ$601,463,Sync!$C$9)&amp;"",""))</f>
        <v/>
      </c>
      <c r="K2114" t="inlineStr">
        <is>
          <t>office outreach touch 1</t>
        </is>
      </c>
    </row>
    <row r="2115">
      <c r="A2115" s="17">
        <f>IF(B2115="","",B2115+(12*1000+464)/10000000)</f>
        <v/>
      </c>
      <c r="B2115" s="23">
        <f>IF(AND(IFERROR(N(INDEX(Clay_Offices!$A$2:$FZ$601,464,Sync!$C$11)),0)&gt;0,IFERROR(INDEX(Clay_Offices!$A$2:$FZ$601,464,Sync!$C$5)&amp;"","")&lt;&gt;"",OR(LEFT(IFERROR(INDEX(Clay_Offices!$A$2:$FZ$601,464,Sync!$C$5)&amp;"",""),6)&lt;&gt;"SAMPLE",Config!$B$19="Y")),IFERROR(N(INDEX(Clay_Offices!$A$2:$FZ$601,464,Sync!$C$11)),0),"")</f>
        <v/>
      </c>
      <c r="C2115" s="17">
        <f>IF(B2115="","","office")</f>
        <v/>
      </c>
      <c r="D2115" s="17">
        <f>IF(B2115="","",IFERROR(INDEX(Clay_Offices!$A$2:$FZ$601,464,Sync!$C$5)&amp;"",""))</f>
        <v/>
      </c>
      <c r="E2115" s="17">
        <f>IF(B2115="","",IFERROR(INDEX(Clay_Offices!$A$2:$FZ$601,464,Sync!$C$6)&amp;"",""))</f>
        <v/>
      </c>
      <c r="F2115" s="17">
        <f>IF(B2115="","","outreach_sent")</f>
        <v/>
      </c>
      <c r="G2115" s="17">
        <f>IF(B2115="","","")</f>
        <v/>
      </c>
      <c r="H2115" s="17">
        <f>IF(B2115="","","")</f>
        <v/>
      </c>
      <c r="I2115" s="17">
        <f>IF(B2115="","","")</f>
        <v/>
      </c>
      <c r="J2115" s="17">
        <f>IF(B2115="","","touch_1; "&amp;IFERROR(INDEX(Clay_Offices!$A$2:$FZ$601,464,Sync!$C$10)&amp;"","")&amp;"; "&amp;IFERROR(INDEX(Clay_Offices!$A$2:$FZ$601,464,Sync!$C$9)&amp;"",""))</f>
        <v/>
      </c>
      <c r="K2115" t="inlineStr">
        <is>
          <t>office outreach touch 1</t>
        </is>
      </c>
    </row>
    <row r="2116">
      <c r="A2116" s="17">
        <f>IF(B2116="","",B2116+(12*1000+465)/10000000)</f>
        <v/>
      </c>
      <c r="B2116" s="23">
        <f>IF(AND(IFERROR(N(INDEX(Clay_Offices!$A$2:$FZ$601,465,Sync!$C$11)),0)&gt;0,IFERROR(INDEX(Clay_Offices!$A$2:$FZ$601,465,Sync!$C$5)&amp;"","")&lt;&gt;"",OR(LEFT(IFERROR(INDEX(Clay_Offices!$A$2:$FZ$601,465,Sync!$C$5)&amp;"",""),6)&lt;&gt;"SAMPLE",Config!$B$19="Y")),IFERROR(N(INDEX(Clay_Offices!$A$2:$FZ$601,465,Sync!$C$11)),0),"")</f>
        <v/>
      </c>
      <c r="C2116" s="17">
        <f>IF(B2116="","","office")</f>
        <v/>
      </c>
      <c r="D2116" s="17">
        <f>IF(B2116="","",IFERROR(INDEX(Clay_Offices!$A$2:$FZ$601,465,Sync!$C$5)&amp;"",""))</f>
        <v/>
      </c>
      <c r="E2116" s="17">
        <f>IF(B2116="","",IFERROR(INDEX(Clay_Offices!$A$2:$FZ$601,465,Sync!$C$6)&amp;"",""))</f>
        <v/>
      </c>
      <c r="F2116" s="17">
        <f>IF(B2116="","","outreach_sent")</f>
        <v/>
      </c>
      <c r="G2116" s="17">
        <f>IF(B2116="","","")</f>
        <v/>
      </c>
      <c r="H2116" s="17">
        <f>IF(B2116="","","")</f>
        <v/>
      </c>
      <c r="I2116" s="17">
        <f>IF(B2116="","","")</f>
        <v/>
      </c>
      <c r="J2116" s="17">
        <f>IF(B2116="","","touch_1; "&amp;IFERROR(INDEX(Clay_Offices!$A$2:$FZ$601,465,Sync!$C$10)&amp;"","")&amp;"; "&amp;IFERROR(INDEX(Clay_Offices!$A$2:$FZ$601,465,Sync!$C$9)&amp;"",""))</f>
        <v/>
      </c>
      <c r="K2116" t="inlineStr">
        <is>
          <t>office outreach touch 1</t>
        </is>
      </c>
    </row>
    <row r="2117">
      <c r="A2117" s="17">
        <f>IF(B2117="","",B2117+(12*1000+466)/10000000)</f>
        <v/>
      </c>
      <c r="B2117" s="23">
        <f>IF(AND(IFERROR(N(INDEX(Clay_Offices!$A$2:$FZ$601,466,Sync!$C$11)),0)&gt;0,IFERROR(INDEX(Clay_Offices!$A$2:$FZ$601,466,Sync!$C$5)&amp;"","")&lt;&gt;"",OR(LEFT(IFERROR(INDEX(Clay_Offices!$A$2:$FZ$601,466,Sync!$C$5)&amp;"",""),6)&lt;&gt;"SAMPLE",Config!$B$19="Y")),IFERROR(N(INDEX(Clay_Offices!$A$2:$FZ$601,466,Sync!$C$11)),0),"")</f>
        <v/>
      </c>
      <c r="C2117" s="17">
        <f>IF(B2117="","","office")</f>
        <v/>
      </c>
      <c r="D2117" s="17">
        <f>IF(B2117="","",IFERROR(INDEX(Clay_Offices!$A$2:$FZ$601,466,Sync!$C$5)&amp;"",""))</f>
        <v/>
      </c>
      <c r="E2117" s="17">
        <f>IF(B2117="","",IFERROR(INDEX(Clay_Offices!$A$2:$FZ$601,466,Sync!$C$6)&amp;"",""))</f>
        <v/>
      </c>
      <c r="F2117" s="17">
        <f>IF(B2117="","","outreach_sent")</f>
        <v/>
      </c>
      <c r="G2117" s="17">
        <f>IF(B2117="","","")</f>
        <v/>
      </c>
      <c r="H2117" s="17">
        <f>IF(B2117="","","")</f>
        <v/>
      </c>
      <c r="I2117" s="17">
        <f>IF(B2117="","","")</f>
        <v/>
      </c>
      <c r="J2117" s="17">
        <f>IF(B2117="","","touch_1; "&amp;IFERROR(INDEX(Clay_Offices!$A$2:$FZ$601,466,Sync!$C$10)&amp;"","")&amp;"; "&amp;IFERROR(INDEX(Clay_Offices!$A$2:$FZ$601,466,Sync!$C$9)&amp;"",""))</f>
        <v/>
      </c>
      <c r="K2117" t="inlineStr">
        <is>
          <t>office outreach touch 1</t>
        </is>
      </c>
    </row>
    <row r="2118">
      <c r="A2118" s="17">
        <f>IF(B2118="","",B2118+(12*1000+467)/10000000)</f>
        <v/>
      </c>
      <c r="B2118" s="23">
        <f>IF(AND(IFERROR(N(INDEX(Clay_Offices!$A$2:$FZ$601,467,Sync!$C$11)),0)&gt;0,IFERROR(INDEX(Clay_Offices!$A$2:$FZ$601,467,Sync!$C$5)&amp;"","")&lt;&gt;"",OR(LEFT(IFERROR(INDEX(Clay_Offices!$A$2:$FZ$601,467,Sync!$C$5)&amp;"",""),6)&lt;&gt;"SAMPLE",Config!$B$19="Y")),IFERROR(N(INDEX(Clay_Offices!$A$2:$FZ$601,467,Sync!$C$11)),0),"")</f>
        <v/>
      </c>
      <c r="C2118" s="17">
        <f>IF(B2118="","","office")</f>
        <v/>
      </c>
      <c r="D2118" s="17">
        <f>IF(B2118="","",IFERROR(INDEX(Clay_Offices!$A$2:$FZ$601,467,Sync!$C$5)&amp;"",""))</f>
        <v/>
      </c>
      <c r="E2118" s="17">
        <f>IF(B2118="","",IFERROR(INDEX(Clay_Offices!$A$2:$FZ$601,467,Sync!$C$6)&amp;"",""))</f>
        <v/>
      </c>
      <c r="F2118" s="17">
        <f>IF(B2118="","","outreach_sent")</f>
        <v/>
      </c>
      <c r="G2118" s="17">
        <f>IF(B2118="","","")</f>
        <v/>
      </c>
      <c r="H2118" s="17">
        <f>IF(B2118="","","")</f>
        <v/>
      </c>
      <c r="I2118" s="17">
        <f>IF(B2118="","","")</f>
        <v/>
      </c>
      <c r="J2118" s="17">
        <f>IF(B2118="","","touch_1; "&amp;IFERROR(INDEX(Clay_Offices!$A$2:$FZ$601,467,Sync!$C$10)&amp;"","")&amp;"; "&amp;IFERROR(INDEX(Clay_Offices!$A$2:$FZ$601,467,Sync!$C$9)&amp;"",""))</f>
        <v/>
      </c>
      <c r="K2118" t="inlineStr">
        <is>
          <t>office outreach touch 1</t>
        </is>
      </c>
    </row>
    <row r="2119">
      <c r="A2119" s="17">
        <f>IF(B2119="","",B2119+(12*1000+468)/10000000)</f>
        <v/>
      </c>
      <c r="B2119" s="23">
        <f>IF(AND(IFERROR(N(INDEX(Clay_Offices!$A$2:$FZ$601,468,Sync!$C$11)),0)&gt;0,IFERROR(INDEX(Clay_Offices!$A$2:$FZ$601,468,Sync!$C$5)&amp;"","")&lt;&gt;"",OR(LEFT(IFERROR(INDEX(Clay_Offices!$A$2:$FZ$601,468,Sync!$C$5)&amp;"",""),6)&lt;&gt;"SAMPLE",Config!$B$19="Y")),IFERROR(N(INDEX(Clay_Offices!$A$2:$FZ$601,468,Sync!$C$11)),0),"")</f>
        <v/>
      </c>
      <c r="C2119" s="17">
        <f>IF(B2119="","","office")</f>
        <v/>
      </c>
      <c r="D2119" s="17">
        <f>IF(B2119="","",IFERROR(INDEX(Clay_Offices!$A$2:$FZ$601,468,Sync!$C$5)&amp;"",""))</f>
        <v/>
      </c>
      <c r="E2119" s="17">
        <f>IF(B2119="","",IFERROR(INDEX(Clay_Offices!$A$2:$FZ$601,468,Sync!$C$6)&amp;"",""))</f>
        <v/>
      </c>
      <c r="F2119" s="17">
        <f>IF(B2119="","","outreach_sent")</f>
        <v/>
      </c>
      <c r="G2119" s="17">
        <f>IF(B2119="","","")</f>
        <v/>
      </c>
      <c r="H2119" s="17">
        <f>IF(B2119="","","")</f>
        <v/>
      </c>
      <c r="I2119" s="17">
        <f>IF(B2119="","","")</f>
        <v/>
      </c>
      <c r="J2119" s="17">
        <f>IF(B2119="","","touch_1; "&amp;IFERROR(INDEX(Clay_Offices!$A$2:$FZ$601,468,Sync!$C$10)&amp;"","")&amp;"; "&amp;IFERROR(INDEX(Clay_Offices!$A$2:$FZ$601,468,Sync!$C$9)&amp;"",""))</f>
        <v/>
      </c>
      <c r="K2119" t="inlineStr">
        <is>
          <t>office outreach touch 1</t>
        </is>
      </c>
    </row>
    <row r="2120">
      <c r="A2120" s="17">
        <f>IF(B2120="","",B2120+(12*1000+469)/10000000)</f>
        <v/>
      </c>
      <c r="B2120" s="23">
        <f>IF(AND(IFERROR(N(INDEX(Clay_Offices!$A$2:$FZ$601,469,Sync!$C$11)),0)&gt;0,IFERROR(INDEX(Clay_Offices!$A$2:$FZ$601,469,Sync!$C$5)&amp;"","")&lt;&gt;"",OR(LEFT(IFERROR(INDEX(Clay_Offices!$A$2:$FZ$601,469,Sync!$C$5)&amp;"",""),6)&lt;&gt;"SAMPLE",Config!$B$19="Y")),IFERROR(N(INDEX(Clay_Offices!$A$2:$FZ$601,469,Sync!$C$11)),0),"")</f>
        <v/>
      </c>
      <c r="C2120" s="17">
        <f>IF(B2120="","","office")</f>
        <v/>
      </c>
      <c r="D2120" s="17">
        <f>IF(B2120="","",IFERROR(INDEX(Clay_Offices!$A$2:$FZ$601,469,Sync!$C$5)&amp;"",""))</f>
        <v/>
      </c>
      <c r="E2120" s="17">
        <f>IF(B2120="","",IFERROR(INDEX(Clay_Offices!$A$2:$FZ$601,469,Sync!$C$6)&amp;"",""))</f>
        <v/>
      </c>
      <c r="F2120" s="17">
        <f>IF(B2120="","","outreach_sent")</f>
        <v/>
      </c>
      <c r="G2120" s="17">
        <f>IF(B2120="","","")</f>
        <v/>
      </c>
      <c r="H2120" s="17">
        <f>IF(B2120="","","")</f>
        <v/>
      </c>
      <c r="I2120" s="17">
        <f>IF(B2120="","","")</f>
        <v/>
      </c>
      <c r="J2120" s="17">
        <f>IF(B2120="","","touch_1; "&amp;IFERROR(INDEX(Clay_Offices!$A$2:$FZ$601,469,Sync!$C$10)&amp;"","")&amp;"; "&amp;IFERROR(INDEX(Clay_Offices!$A$2:$FZ$601,469,Sync!$C$9)&amp;"",""))</f>
        <v/>
      </c>
      <c r="K2120" t="inlineStr">
        <is>
          <t>office outreach touch 1</t>
        </is>
      </c>
    </row>
    <row r="2121">
      <c r="A2121" s="17">
        <f>IF(B2121="","",B2121+(12*1000+470)/10000000)</f>
        <v/>
      </c>
      <c r="B2121" s="23">
        <f>IF(AND(IFERROR(N(INDEX(Clay_Offices!$A$2:$FZ$601,470,Sync!$C$11)),0)&gt;0,IFERROR(INDEX(Clay_Offices!$A$2:$FZ$601,470,Sync!$C$5)&amp;"","")&lt;&gt;"",OR(LEFT(IFERROR(INDEX(Clay_Offices!$A$2:$FZ$601,470,Sync!$C$5)&amp;"",""),6)&lt;&gt;"SAMPLE",Config!$B$19="Y")),IFERROR(N(INDEX(Clay_Offices!$A$2:$FZ$601,470,Sync!$C$11)),0),"")</f>
        <v/>
      </c>
      <c r="C2121" s="17">
        <f>IF(B2121="","","office")</f>
        <v/>
      </c>
      <c r="D2121" s="17">
        <f>IF(B2121="","",IFERROR(INDEX(Clay_Offices!$A$2:$FZ$601,470,Sync!$C$5)&amp;"",""))</f>
        <v/>
      </c>
      <c r="E2121" s="17">
        <f>IF(B2121="","",IFERROR(INDEX(Clay_Offices!$A$2:$FZ$601,470,Sync!$C$6)&amp;"",""))</f>
        <v/>
      </c>
      <c r="F2121" s="17">
        <f>IF(B2121="","","outreach_sent")</f>
        <v/>
      </c>
      <c r="G2121" s="17">
        <f>IF(B2121="","","")</f>
        <v/>
      </c>
      <c r="H2121" s="17">
        <f>IF(B2121="","","")</f>
        <v/>
      </c>
      <c r="I2121" s="17">
        <f>IF(B2121="","","")</f>
        <v/>
      </c>
      <c r="J2121" s="17">
        <f>IF(B2121="","","touch_1; "&amp;IFERROR(INDEX(Clay_Offices!$A$2:$FZ$601,470,Sync!$C$10)&amp;"","")&amp;"; "&amp;IFERROR(INDEX(Clay_Offices!$A$2:$FZ$601,470,Sync!$C$9)&amp;"",""))</f>
        <v/>
      </c>
      <c r="K2121" t="inlineStr">
        <is>
          <t>office outreach touch 1</t>
        </is>
      </c>
    </row>
    <row r="2122">
      <c r="A2122" s="17">
        <f>IF(B2122="","",B2122+(12*1000+471)/10000000)</f>
        <v/>
      </c>
      <c r="B2122" s="23">
        <f>IF(AND(IFERROR(N(INDEX(Clay_Offices!$A$2:$FZ$601,471,Sync!$C$11)),0)&gt;0,IFERROR(INDEX(Clay_Offices!$A$2:$FZ$601,471,Sync!$C$5)&amp;"","")&lt;&gt;"",OR(LEFT(IFERROR(INDEX(Clay_Offices!$A$2:$FZ$601,471,Sync!$C$5)&amp;"",""),6)&lt;&gt;"SAMPLE",Config!$B$19="Y")),IFERROR(N(INDEX(Clay_Offices!$A$2:$FZ$601,471,Sync!$C$11)),0),"")</f>
        <v/>
      </c>
      <c r="C2122" s="17">
        <f>IF(B2122="","","office")</f>
        <v/>
      </c>
      <c r="D2122" s="17">
        <f>IF(B2122="","",IFERROR(INDEX(Clay_Offices!$A$2:$FZ$601,471,Sync!$C$5)&amp;"",""))</f>
        <v/>
      </c>
      <c r="E2122" s="17">
        <f>IF(B2122="","",IFERROR(INDEX(Clay_Offices!$A$2:$FZ$601,471,Sync!$C$6)&amp;"",""))</f>
        <v/>
      </c>
      <c r="F2122" s="17">
        <f>IF(B2122="","","outreach_sent")</f>
        <v/>
      </c>
      <c r="G2122" s="17">
        <f>IF(B2122="","","")</f>
        <v/>
      </c>
      <c r="H2122" s="17">
        <f>IF(B2122="","","")</f>
        <v/>
      </c>
      <c r="I2122" s="17">
        <f>IF(B2122="","","")</f>
        <v/>
      </c>
      <c r="J2122" s="17">
        <f>IF(B2122="","","touch_1; "&amp;IFERROR(INDEX(Clay_Offices!$A$2:$FZ$601,471,Sync!$C$10)&amp;"","")&amp;"; "&amp;IFERROR(INDEX(Clay_Offices!$A$2:$FZ$601,471,Sync!$C$9)&amp;"",""))</f>
        <v/>
      </c>
      <c r="K2122" t="inlineStr">
        <is>
          <t>office outreach touch 1</t>
        </is>
      </c>
    </row>
    <row r="2123">
      <c r="A2123" s="17">
        <f>IF(B2123="","",B2123+(12*1000+472)/10000000)</f>
        <v/>
      </c>
      <c r="B2123" s="23">
        <f>IF(AND(IFERROR(N(INDEX(Clay_Offices!$A$2:$FZ$601,472,Sync!$C$11)),0)&gt;0,IFERROR(INDEX(Clay_Offices!$A$2:$FZ$601,472,Sync!$C$5)&amp;"","")&lt;&gt;"",OR(LEFT(IFERROR(INDEX(Clay_Offices!$A$2:$FZ$601,472,Sync!$C$5)&amp;"",""),6)&lt;&gt;"SAMPLE",Config!$B$19="Y")),IFERROR(N(INDEX(Clay_Offices!$A$2:$FZ$601,472,Sync!$C$11)),0),"")</f>
        <v/>
      </c>
      <c r="C2123" s="17">
        <f>IF(B2123="","","office")</f>
        <v/>
      </c>
      <c r="D2123" s="17">
        <f>IF(B2123="","",IFERROR(INDEX(Clay_Offices!$A$2:$FZ$601,472,Sync!$C$5)&amp;"",""))</f>
        <v/>
      </c>
      <c r="E2123" s="17">
        <f>IF(B2123="","",IFERROR(INDEX(Clay_Offices!$A$2:$FZ$601,472,Sync!$C$6)&amp;"",""))</f>
        <v/>
      </c>
      <c r="F2123" s="17">
        <f>IF(B2123="","","outreach_sent")</f>
        <v/>
      </c>
      <c r="G2123" s="17">
        <f>IF(B2123="","","")</f>
        <v/>
      </c>
      <c r="H2123" s="17">
        <f>IF(B2123="","","")</f>
        <v/>
      </c>
      <c r="I2123" s="17">
        <f>IF(B2123="","","")</f>
        <v/>
      </c>
      <c r="J2123" s="17">
        <f>IF(B2123="","","touch_1; "&amp;IFERROR(INDEX(Clay_Offices!$A$2:$FZ$601,472,Sync!$C$10)&amp;"","")&amp;"; "&amp;IFERROR(INDEX(Clay_Offices!$A$2:$FZ$601,472,Sync!$C$9)&amp;"",""))</f>
        <v/>
      </c>
      <c r="K2123" t="inlineStr">
        <is>
          <t>office outreach touch 1</t>
        </is>
      </c>
    </row>
    <row r="2124">
      <c r="A2124" s="17">
        <f>IF(B2124="","",B2124+(12*1000+473)/10000000)</f>
        <v/>
      </c>
      <c r="B2124" s="23">
        <f>IF(AND(IFERROR(N(INDEX(Clay_Offices!$A$2:$FZ$601,473,Sync!$C$11)),0)&gt;0,IFERROR(INDEX(Clay_Offices!$A$2:$FZ$601,473,Sync!$C$5)&amp;"","")&lt;&gt;"",OR(LEFT(IFERROR(INDEX(Clay_Offices!$A$2:$FZ$601,473,Sync!$C$5)&amp;"",""),6)&lt;&gt;"SAMPLE",Config!$B$19="Y")),IFERROR(N(INDEX(Clay_Offices!$A$2:$FZ$601,473,Sync!$C$11)),0),"")</f>
        <v/>
      </c>
      <c r="C2124" s="17">
        <f>IF(B2124="","","office")</f>
        <v/>
      </c>
      <c r="D2124" s="17">
        <f>IF(B2124="","",IFERROR(INDEX(Clay_Offices!$A$2:$FZ$601,473,Sync!$C$5)&amp;"",""))</f>
        <v/>
      </c>
      <c r="E2124" s="17">
        <f>IF(B2124="","",IFERROR(INDEX(Clay_Offices!$A$2:$FZ$601,473,Sync!$C$6)&amp;"",""))</f>
        <v/>
      </c>
      <c r="F2124" s="17">
        <f>IF(B2124="","","outreach_sent")</f>
        <v/>
      </c>
      <c r="G2124" s="17">
        <f>IF(B2124="","","")</f>
        <v/>
      </c>
      <c r="H2124" s="17">
        <f>IF(B2124="","","")</f>
        <v/>
      </c>
      <c r="I2124" s="17">
        <f>IF(B2124="","","")</f>
        <v/>
      </c>
      <c r="J2124" s="17">
        <f>IF(B2124="","","touch_1; "&amp;IFERROR(INDEX(Clay_Offices!$A$2:$FZ$601,473,Sync!$C$10)&amp;"","")&amp;"; "&amp;IFERROR(INDEX(Clay_Offices!$A$2:$FZ$601,473,Sync!$C$9)&amp;"",""))</f>
        <v/>
      </c>
      <c r="K2124" t="inlineStr">
        <is>
          <t>office outreach touch 1</t>
        </is>
      </c>
    </row>
    <row r="2125">
      <c r="A2125" s="17">
        <f>IF(B2125="","",B2125+(12*1000+474)/10000000)</f>
        <v/>
      </c>
      <c r="B2125" s="23">
        <f>IF(AND(IFERROR(N(INDEX(Clay_Offices!$A$2:$FZ$601,474,Sync!$C$11)),0)&gt;0,IFERROR(INDEX(Clay_Offices!$A$2:$FZ$601,474,Sync!$C$5)&amp;"","")&lt;&gt;"",OR(LEFT(IFERROR(INDEX(Clay_Offices!$A$2:$FZ$601,474,Sync!$C$5)&amp;"",""),6)&lt;&gt;"SAMPLE",Config!$B$19="Y")),IFERROR(N(INDEX(Clay_Offices!$A$2:$FZ$601,474,Sync!$C$11)),0),"")</f>
        <v/>
      </c>
      <c r="C2125" s="17">
        <f>IF(B2125="","","office")</f>
        <v/>
      </c>
      <c r="D2125" s="17">
        <f>IF(B2125="","",IFERROR(INDEX(Clay_Offices!$A$2:$FZ$601,474,Sync!$C$5)&amp;"",""))</f>
        <v/>
      </c>
      <c r="E2125" s="17">
        <f>IF(B2125="","",IFERROR(INDEX(Clay_Offices!$A$2:$FZ$601,474,Sync!$C$6)&amp;"",""))</f>
        <v/>
      </c>
      <c r="F2125" s="17">
        <f>IF(B2125="","","outreach_sent")</f>
        <v/>
      </c>
      <c r="G2125" s="17">
        <f>IF(B2125="","","")</f>
        <v/>
      </c>
      <c r="H2125" s="17">
        <f>IF(B2125="","","")</f>
        <v/>
      </c>
      <c r="I2125" s="17">
        <f>IF(B2125="","","")</f>
        <v/>
      </c>
      <c r="J2125" s="17">
        <f>IF(B2125="","","touch_1; "&amp;IFERROR(INDEX(Clay_Offices!$A$2:$FZ$601,474,Sync!$C$10)&amp;"","")&amp;"; "&amp;IFERROR(INDEX(Clay_Offices!$A$2:$FZ$601,474,Sync!$C$9)&amp;"",""))</f>
        <v/>
      </c>
      <c r="K2125" t="inlineStr">
        <is>
          <t>office outreach touch 1</t>
        </is>
      </c>
    </row>
    <row r="2126">
      <c r="A2126" s="17">
        <f>IF(B2126="","",B2126+(12*1000+475)/10000000)</f>
        <v/>
      </c>
      <c r="B2126" s="23">
        <f>IF(AND(IFERROR(N(INDEX(Clay_Offices!$A$2:$FZ$601,475,Sync!$C$11)),0)&gt;0,IFERROR(INDEX(Clay_Offices!$A$2:$FZ$601,475,Sync!$C$5)&amp;"","")&lt;&gt;"",OR(LEFT(IFERROR(INDEX(Clay_Offices!$A$2:$FZ$601,475,Sync!$C$5)&amp;"",""),6)&lt;&gt;"SAMPLE",Config!$B$19="Y")),IFERROR(N(INDEX(Clay_Offices!$A$2:$FZ$601,475,Sync!$C$11)),0),"")</f>
        <v/>
      </c>
      <c r="C2126" s="17">
        <f>IF(B2126="","","office")</f>
        <v/>
      </c>
      <c r="D2126" s="17">
        <f>IF(B2126="","",IFERROR(INDEX(Clay_Offices!$A$2:$FZ$601,475,Sync!$C$5)&amp;"",""))</f>
        <v/>
      </c>
      <c r="E2126" s="17">
        <f>IF(B2126="","",IFERROR(INDEX(Clay_Offices!$A$2:$FZ$601,475,Sync!$C$6)&amp;"",""))</f>
        <v/>
      </c>
      <c r="F2126" s="17">
        <f>IF(B2126="","","outreach_sent")</f>
        <v/>
      </c>
      <c r="G2126" s="17">
        <f>IF(B2126="","","")</f>
        <v/>
      </c>
      <c r="H2126" s="17">
        <f>IF(B2126="","","")</f>
        <v/>
      </c>
      <c r="I2126" s="17">
        <f>IF(B2126="","","")</f>
        <v/>
      </c>
      <c r="J2126" s="17">
        <f>IF(B2126="","","touch_1; "&amp;IFERROR(INDEX(Clay_Offices!$A$2:$FZ$601,475,Sync!$C$10)&amp;"","")&amp;"; "&amp;IFERROR(INDEX(Clay_Offices!$A$2:$FZ$601,475,Sync!$C$9)&amp;"",""))</f>
        <v/>
      </c>
      <c r="K2126" t="inlineStr">
        <is>
          <t>office outreach touch 1</t>
        </is>
      </c>
    </row>
    <row r="2127">
      <c r="A2127" s="17">
        <f>IF(B2127="","",B2127+(12*1000+476)/10000000)</f>
        <v/>
      </c>
      <c r="B2127" s="23">
        <f>IF(AND(IFERROR(N(INDEX(Clay_Offices!$A$2:$FZ$601,476,Sync!$C$11)),0)&gt;0,IFERROR(INDEX(Clay_Offices!$A$2:$FZ$601,476,Sync!$C$5)&amp;"","")&lt;&gt;"",OR(LEFT(IFERROR(INDEX(Clay_Offices!$A$2:$FZ$601,476,Sync!$C$5)&amp;"",""),6)&lt;&gt;"SAMPLE",Config!$B$19="Y")),IFERROR(N(INDEX(Clay_Offices!$A$2:$FZ$601,476,Sync!$C$11)),0),"")</f>
        <v/>
      </c>
      <c r="C2127" s="17">
        <f>IF(B2127="","","office")</f>
        <v/>
      </c>
      <c r="D2127" s="17">
        <f>IF(B2127="","",IFERROR(INDEX(Clay_Offices!$A$2:$FZ$601,476,Sync!$C$5)&amp;"",""))</f>
        <v/>
      </c>
      <c r="E2127" s="17">
        <f>IF(B2127="","",IFERROR(INDEX(Clay_Offices!$A$2:$FZ$601,476,Sync!$C$6)&amp;"",""))</f>
        <v/>
      </c>
      <c r="F2127" s="17">
        <f>IF(B2127="","","outreach_sent")</f>
        <v/>
      </c>
      <c r="G2127" s="17">
        <f>IF(B2127="","","")</f>
        <v/>
      </c>
      <c r="H2127" s="17">
        <f>IF(B2127="","","")</f>
        <v/>
      </c>
      <c r="I2127" s="17">
        <f>IF(B2127="","","")</f>
        <v/>
      </c>
      <c r="J2127" s="17">
        <f>IF(B2127="","","touch_1; "&amp;IFERROR(INDEX(Clay_Offices!$A$2:$FZ$601,476,Sync!$C$10)&amp;"","")&amp;"; "&amp;IFERROR(INDEX(Clay_Offices!$A$2:$FZ$601,476,Sync!$C$9)&amp;"",""))</f>
        <v/>
      </c>
      <c r="K2127" t="inlineStr">
        <is>
          <t>office outreach touch 1</t>
        </is>
      </c>
    </row>
    <row r="2128">
      <c r="A2128" s="17">
        <f>IF(B2128="","",B2128+(12*1000+477)/10000000)</f>
        <v/>
      </c>
      <c r="B2128" s="23">
        <f>IF(AND(IFERROR(N(INDEX(Clay_Offices!$A$2:$FZ$601,477,Sync!$C$11)),0)&gt;0,IFERROR(INDEX(Clay_Offices!$A$2:$FZ$601,477,Sync!$C$5)&amp;"","")&lt;&gt;"",OR(LEFT(IFERROR(INDEX(Clay_Offices!$A$2:$FZ$601,477,Sync!$C$5)&amp;"",""),6)&lt;&gt;"SAMPLE",Config!$B$19="Y")),IFERROR(N(INDEX(Clay_Offices!$A$2:$FZ$601,477,Sync!$C$11)),0),"")</f>
        <v/>
      </c>
      <c r="C2128" s="17">
        <f>IF(B2128="","","office")</f>
        <v/>
      </c>
      <c r="D2128" s="17">
        <f>IF(B2128="","",IFERROR(INDEX(Clay_Offices!$A$2:$FZ$601,477,Sync!$C$5)&amp;"",""))</f>
        <v/>
      </c>
      <c r="E2128" s="17">
        <f>IF(B2128="","",IFERROR(INDEX(Clay_Offices!$A$2:$FZ$601,477,Sync!$C$6)&amp;"",""))</f>
        <v/>
      </c>
      <c r="F2128" s="17">
        <f>IF(B2128="","","outreach_sent")</f>
        <v/>
      </c>
      <c r="G2128" s="17">
        <f>IF(B2128="","","")</f>
        <v/>
      </c>
      <c r="H2128" s="17">
        <f>IF(B2128="","","")</f>
        <v/>
      </c>
      <c r="I2128" s="17">
        <f>IF(B2128="","","")</f>
        <v/>
      </c>
      <c r="J2128" s="17">
        <f>IF(B2128="","","touch_1; "&amp;IFERROR(INDEX(Clay_Offices!$A$2:$FZ$601,477,Sync!$C$10)&amp;"","")&amp;"; "&amp;IFERROR(INDEX(Clay_Offices!$A$2:$FZ$601,477,Sync!$C$9)&amp;"",""))</f>
        <v/>
      </c>
      <c r="K2128" t="inlineStr">
        <is>
          <t>office outreach touch 1</t>
        </is>
      </c>
    </row>
    <row r="2129">
      <c r="A2129" s="17">
        <f>IF(B2129="","",B2129+(12*1000+478)/10000000)</f>
        <v/>
      </c>
      <c r="B2129" s="23">
        <f>IF(AND(IFERROR(N(INDEX(Clay_Offices!$A$2:$FZ$601,478,Sync!$C$11)),0)&gt;0,IFERROR(INDEX(Clay_Offices!$A$2:$FZ$601,478,Sync!$C$5)&amp;"","")&lt;&gt;"",OR(LEFT(IFERROR(INDEX(Clay_Offices!$A$2:$FZ$601,478,Sync!$C$5)&amp;"",""),6)&lt;&gt;"SAMPLE",Config!$B$19="Y")),IFERROR(N(INDEX(Clay_Offices!$A$2:$FZ$601,478,Sync!$C$11)),0),"")</f>
        <v/>
      </c>
      <c r="C2129" s="17">
        <f>IF(B2129="","","office")</f>
        <v/>
      </c>
      <c r="D2129" s="17">
        <f>IF(B2129="","",IFERROR(INDEX(Clay_Offices!$A$2:$FZ$601,478,Sync!$C$5)&amp;"",""))</f>
        <v/>
      </c>
      <c r="E2129" s="17">
        <f>IF(B2129="","",IFERROR(INDEX(Clay_Offices!$A$2:$FZ$601,478,Sync!$C$6)&amp;"",""))</f>
        <v/>
      </c>
      <c r="F2129" s="17">
        <f>IF(B2129="","","outreach_sent")</f>
        <v/>
      </c>
      <c r="G2129" s="17">
        <f>IF(B2129="","","")</f>
        <v/>
      </c>
      <c r="H2129" s="17">
        <f>IF(B2129="","","")</f>
        <v/>
      </c>
      <c r="I2129" s="17">
        <f>IF(B2129="","","")</f>
        <v/>
      </c>
      <c r="J2129" s="17">
        <f>IF(B2129="","","touch_1; "&amp;IFERROR(INDEX(Clay_Offices!$A$2:$FZ$601,478,Sync!$C$10)&amp;"","")&amp;"; "&amp;IFERROR(INDEX(Clay_Offices!$A$2:$FZ$601,478,Sync!$C$9)&amp;"",""))</f>
        <v/>
      </c>
      <c r="K2129" t="inlineStr">
        <is>
          <t>office outreach touch 1</t>
        </is>
      </c>
    </row>
    <row r="2130">
      <c r="A2130" s="17">
        <f>IF(B2130="","",B2130+(12*1000+479)/10000000)</f>
        <v/>
      </c>
      <c r="B2130" s="23">
        <f>IF(AND(IFERROR(N(INDEX(Clay_Offices!$A$2:$FZ$601,479,Sync!$C$11)),0)&gt;0,IFERROR(INDEX(Clay_Offices!$A$2:$FZ$601,479,Sync!$C$5)&amp;"","")&lt;&gt;"",OR(LEFT(IFERROR(INDEX(Clay_Offices!$A$2:$FZ$601,479,Sync!$C$5)&amp;"",""),6)&lt;&gt;"SAMPLE",Config!$B$19="Y")),IFERROR(N(INDEX(Clay_Offices!$A$2:$FZ$601,479,Sync!$C$11)),0),"")</f>
        <v/>
      </c>
      <c r="C2130" s="17">
        <f>IF(B2130="","","office")</f>
        <v/>
      </c>
      <c r="D2130" s="17">
        <f>IF(B2130="","",IFERROR(INDEX(Clay_Offices!$A$2:$FZ$601,479,Sync!$C$5)&amp;"",""))</f>
        <v/>
      </c>
      <c r="E2130" s="17">
        <f>IF(B2130="","",IFERROR(INDEX(Clay_Offices!$A$2:$FZ$601,479,Sync!$C$6)&amp;"",""))</f>
        <v/>
      </c>
      <c r="F2130" s="17">
        <f>IF(B2130="","","outreach_sent")</f>
        <v/>
      </c>
      <c r="G2130" s="17">
        <f>IF(B2130="","","")</f>
        <v/>
      </c>
      <c r="H2130" s="17">
        <f>IF(B2130="","","")</f>
        <v/>
      </c>
      <c r="I2130" s="17">
        <f>IF(B2130="","","")</f>
        <v/>
      </c>
      <c r="J2130" s="17">
        <f>IF(B2130="","","touch_1; "&amp;IFERROR(INDEX(Clay_Offices!$A$2:$FZ$601,479,Sync!$C$10)&amp;"","")&amp;"; "&amp;IFERROR(INDEX(Clay_Offices!$A$2:$FZ$601,479,Sync!$C$9)&amp;"",""))</f>
        <v/>
      </c>
      <c r="K2130" t="inlineStr">
        <is>
          <t>office outreach touch 1</t>
        </is>
      </c>
    </row>
    <row r="2131">
      <c r="A2131" s="17">
        <f>IF(B2131="","",B2131+(12*1000+480)/10000000)</f>
        <v/>
      </c>
      <c r="B2131" s="23">
        <f>IF(AND(IFERROR(N(INDEX(Clay_Offices!$A$2:$FZ$601,480,Sync!$C$11)),0)&gt;0,IFERROR(INDEX(Clay_Offices!$A$2:$FZ$601,480,Sync!$C$5)&amp;"","")&lt;&gt;"",OR(LEFT(IFERROR(INDEX(Clay_Offices!$A$2:$FZ$601,480,Sync!$C$5)&amp;"",""),6)&lt;&gt;"SAMPLE",Config!$B$19="Y")),IFERROR(N(INDEX(Clay_Offices!$A$2:$FZ$601,480,Sync!$C$11)),0),"")</f>
        <v/>
      </c>
      <c r="C2131" s="17">
        <f>IF(B2131="","","office")</f>
        <v/>
      </c>
      <c r="D2131" s="17">
        <f>IF(B2131="","",IFERROR(INDEX(Clay_Offices!$A$2:$FZ$601,480,Sync!$C$5)&amp;"",""))</f>
        <v/>
      </c>
      <c r="E2131" s="17">
        <f>IF(B2131="","",IFERROR(INDEX(Clay_Offices!$A$2:$FZ$601,480,Sync!$C$6)&amp;"",""))</f>
        <v/>
      </c>
      <c r="F2131" s="17">
        <f>IF(B2131="","","outreach_sent")</f>
        <v/>
      </c>
      <c r="G2131" s="17">
        <f>IF(B2131="","","")</f>
        <v/>
      </c>
      <c r="H2131" s="17">
        <f>IF(B2131="","","")</f>
        <v/>
      </c>
      <c r="I2131" s="17">
        <f>IF(B2131="","","")</f>
        <v/>
      </c>
      <c r="J2131" s="17">
        <f>IF(B2131="","","touch_1; "&amp;IFERROR(INDEX(Clay_Offices!$A$2:$FZ$601,480,Sync!$C$10)&amp;"","")&amp;"; "&amp;IFERROR(INDEX(Clay_Offices!$A$2:$FZ$601,480,Sync!$C$9)&amp;"",""))</f>
        <v/>
      </c>
      <c r="K2131" t="inlineStr">
        <is>
          <t>office outreach touch 1</t>
        </is>
      </c>
    </row>
    <row r="2132">
      <c r="A2132" s="17">
        <f>IF(B2132="","",B2132+(12*1000+481)/10000000)</f>
        <v/>
      </c>
      <c r="B2132" s="23">
        <f>IF(AND(IFERROR(N(INDEX(Clay_Offices!$A$2:$FZ$601,481,Sync!$C$11)),0)&gt;0,IFERROR(INDEX(Clay_Offices!$A$2:$FZ$601,481,Sync!$C$5)&amp;"","")&lt;&gt;"",OR(LEFT(IFERROR(INDEX(Clay_Offices!$A$2:$FZ$601,481,Sync!$C$5)&amp;"",""),6)&lt;&gt;"SAMPLE",Config!$B$19="Y")),IFERROR(N(INDEX(Clay_Offices!$A$2:$FZ$601,481,Sync!$C$11)),0),"")</f>
        <v/>
      </c>
      <c r="C2132" s="17">
        <f>IF(B2132="","","office")</f>
        <v/>
      </c>
      <c r="D2132" s="17">
        <f>IF(B2132="","",IFERROR(INDEX(Clay_Offices!$A$2:$FZ$601,481,Sync!$C$5)&amp;"",""))</f>
        <v/>
      </c>
      <c r="E2132" s="17">
        <f>IF(B2132="","",IFERROR(INDEX(Clay_Offices!$A$2:$FZ$601,481,Sync!$C$6)&amp;"",""))</f>
        <v/>
      </c>
      <c r="F2132" s="17">
        <f>IF(B2132="","","outreach_sent")</f>
        <v/>
      </c>
      <c r="G2132" s="17">
        <f>IF(B2132="","","")</f>
        <v/>
      </c>
      <c r="H2132" s="17">
        <f>IF(B2132="","","")</f>
        <v/>
      </c>
      <c r="I2132" s="17">
        <f>IF(B2132="","","")</f>
        <v/>
      </c>
      <c r="J2132" s="17">
        <f>IF(B2132="","","touch_1; "&amp;IFERROR(INDEX(Clay_Offices!$A$2:$FZ$601,481,Sync!$C$10)&amp;"","")&amp;"; "&amp;IFERROR(INDEX(Clay_Offices!$A$2:$FZ$601,481,Sync!$C$9)&amp;"",""))</f>
        <v/>
      </c>
      <c r="K2132" t="inlineStr">
        <is>
          <t>office outreach touch 1</t>
        </is>
      </c>
    </row>
    <row r="2133">
      <c r="A2133" s="17">
        <f>IF(B2133="","",B2133+(12*1000+482)/10000000)</f>
        <v/>
      </c>
      <c r="B2133" s="23">
        <f>IF(AND(IFERROR(N(INDEX(Clay_Offices!$A$2:$FZ$601,482,Sync!$C$11)),0)&gt;0,IFERROR(INDEX(Clay_Offices!$A$2:$FZ$601,482,Sync!$C$5)&amp;"","")&lt;&gt;"",OR(LEFT(IFERROR(INDEX(Clay_Offices!$A$2:$FZ$601,482,Sync!$C$5)&amp;"",""),6)&lt;&gt;"SAMPLE",Config!$B$19="Y")),IFERROR(N(INDEX(Clay_Offices!$A$2:$FZ$601,482,Sync!$C$11)),0),"")</f>
        <v/>
      </c>
      <c r="C2133" s="17">
        <f>IF(B2133="","","office")</f>
        <v/>
      </c>
      <c r="D2133" s="17">
        <f>IF(B2133="","",IFERROR(INDEX(Clay_Offices!$A$2:$FZ$601,482,Sync!$C$5)&amp;"",""))</f>
        <v/>
      </c>
      <c r="E2133" s="17">
        <f>IF(B2133="","",IFERROR(INDEX(Clay_Offices!$A$2:$FZ$601,482,Sync!$C$6)&amp;"",""))</f>
        <v/>
      </c>
      <c r="F2133" s="17">
        <f>IF(B2133="","","outreach_sent")</f>
        <v/>
      </c>
      <c r="G2133" s="17">
        <f>IF(B2133="","","")</f>
        <v/>
      </c>
      <c r="H2133" s="17">
        <f>IF(B2133="","","")</f>
        <v/>
      </c>
      <c r="I2133" s="17">
        <f>IF(B2133="","","")</f>
        <v/>
      </c>
      <c r="J2133" s="17">
        <f>IF(B2133="","","touch_1; "&amp;IFERROR(INDEX(Clay_Offices!$A$2:$FZ$601,482,Sync!$C$10)&amp;"","")&amp;"; "&amp;IFERROR(INDEX(Clay_Offices!$A$2:$FZ$601,482,Sync!$C$9)&amp;"",""))</f>
        <v/>
      </c>
      <c r="K2133" t="inlineStr">
        <is>
          <t>office outreach touch 1</t>
        </is>
      </c>
    </row>
    <row r="2134">
      <c r="A2134" s="17">
        <f>IF(B2134="","",B2134+(12*1000+483)/10000000)</f>
        <v/>
      </c>
      <c r="B2134" s="23">
        <f>IF(AND(IFERROR(N(INDEX(Clay_Offices!$A$2:$FZ$601,483,Sync!$C$11)),0)&gt;0,IFERROR(INDEX(Clay_Offices!$A$2:$FZ$601,483,Sync!$C$5)&amp;"","")&lt;&gt;"",OR(LEFT(IFERROR(INDEX(Clay_Offices!$A$2:$FZ$601,483,Sync!$C$5)&amp;"",""),6)&lt;&gt;"SAMPLE",Config!$B$19="Y")),IFERROR(N(INDEX(Clay_Offices!$A$2:$FZ$601,483,Sync!$C$11)),0),"")</f>
        <v/>
      </c>
      <c r="C2134" s="17">
        <f>IF(B2134="","","office")</f>
        <v/>
      </c>
      <c r="D2134" s="17">
        <f>IF(B2134="","",IFERROR(INDEX(Clay_Offices!$A$2:$FZ$601,483,Sync!$C$5)&amp;"",""))</f>
        <v/>
      </c>
      <c r="E2134" s="17">
        <f>IF(B2134="","",IFERROR(INDEX(Clay_Offices!$A$2:$FZ$601,483,Sync!$C$6)&amp;"",""))</f>
        <v/>
      </c>
      <c r="F2134" s="17">
        <f>IF(B2134="","","outreach_sent")</f>
        <v/>
      </c>
      <c r="G2134" s="17">
        <f>IF(B2134="","","")</f>
        <v/>
      </c>
      <c r="H2134" s="17">
        <f>IF(B2134="","","")</f>
        <v/>
      </c>
      <c r="I2134" s="17">
        <f>IF(B2134="","","")</f>
        <v/>
      </c>
      <c r="J2134" s="17">
        <f>IF(B2134="","","touch_1; "&amp;IFERROR(INDEX(Clay_Offices!$A$2:$FZ$601,483,Sync!$C$10)&amp;"","")&amp;"; "&amp;IFERROR(INDEX(Clay_Offices!$A$2:$FZ$601,483,Sync!$C$9)&amp;"",""))</f>
        <v/>
      </c>
      <c r="K2134" t="inlineStr">
        <is>
          <t>office outreach touch 1</t>
        </is>
      </c>
    </row>
    <row r="2135">
      <c r="A2135" s="17">
        <f>IF(B2135="","",B2135+(12*1000+484)/10000000)</f>
        <v/>
      </c>
      <c r="B2135" s="23">
        <f>IF(AND(IFERROR(N(INDEX(Clay_Offices!$A$2:$FZ$601,484,Sync!$C$11)),0)&gt;0,IFERROR(INDEX(Clay_Offices!$A$2:$FZ$601,484,Sync!$C$5)&amp;"","")&lt;&gt;"",OR(LEFT(IFERROR(INDEX(Clay_Offices!$A$2:$FZ$601,484,Sync!$C$5)&amp;"",""),6)&lt;&gt;"SAMPLE",Config!$B$19="Y")),IFERROR(N(INDEX(Clay_Offices!$A$2:$FZ$601,484,Sync!$C$11)),0),"")</f>
        <v/>
      </c>
      <c r="C2135" s="17">
        <f>IF(B2135="","","office")</f>
        <v/>
      </c>
      <c r="D2135" s="17">
        <f>IF(B2135="","",IFERROR(INDEX(Clay_Offices!$A$2:$FZ$601,484,Sync!$C$5)&amp;"",""))</f>
        <v/>
      </c>
      <c r="E2135" s="17">
        <f>IF(B2135="","",IFERROR(INDEX(Clay_Offices!$A$2:$FZ$601,484,Sync!$C$6)&amp;"",""))</f>
        <v/>
      </c>
      <c r="F2135" s="17">
        <f>IF(B2135="","","outreach_sent")</f>
        <v/>
      </c>
      <c r="G2135" s="17">
        <f>IF(B2135="","","")</f>
        <v/>
      </c>
      <c r="H2135" s="17">
        <f>IF(B2135="","","")</f>
        <v/>
      </c>
      <c r="I2135" s="17">
        <f>IF(B2135="","","")</f>
        <v/>
      </c>
      <c r="J2135" s="17">
        <f>IF(B2135="","","touch_1; "&amp;IFERROR(INDEX(Clay_Offices!$A$2:$FZ$601,484,Sync!$C$10)&amp;"","")&amp;"; "&amp;IFERROR(INDEX(Clay_Offices!$A$2:$FZ$601,484,Sync!$C$9)&amp;"",""))</f>
        <v/>
      </c>
      <c r="K2135" t="inlineStr">
        <is>
          <t>office outreach touch 1</t>
        </is>
      </c>
    </row>
    <row r="2136">
      <c r="A2136" s="17">
        <f>IF(B2136="","",B2136+(12*1000+485)/10000000)</f>
        <v/>
      </c>
      <c r="B2136" s="23">
        <f>IF(AND(IFERROR(N(INDEX(Clay_Offices!$A$2:$FZ$601,485,Sync!$C$11)),0)&gt;0,IFERROR(INDEX(Clay_Offices!$A$2:$FZ$601,485,Sync!$C$5)&amp;"","")&lt;&gt;"",OR(LEFT(IFERROR(INDEX(Clay_Offices!$A$2:$FZ$601,485,Sync!$C$5)&amp;"",""),6)&lt;&gt;"SAMPLE",Config!$B$19="Y")),IFERROR(N(INDEX(Clay_Offices!$A$2:$FZ$601,485,Sync!$C$11)),0),"")</f>
        <v/>
      </c>
      <c r="C2136" s="17">
        <f>IF(B2136="","","office")</f>
        <v/>
      </c>
      <c r="D2136" s="17">
        <f>IF(B2136="","",IFERROR(INDEX(Clay_Offices!$A$2:$FZ$601,485,Sync!$C$5)&amp;"",""))</f>
        <v/>
      </c>
      <c r="E2136" s="17">
        <f>IF(B2136="","",IFERROR(INDEX(Clay_Offices!$A$2:$FZ$601,485,Sync!$C$6)&amp;"",""))</f>
        <v/>
      </c>
      <c r="F2136" s="17">
        <f>IF(B2136="","","outreach_sent")</f>
        <v/>
      </c>
      <c r="G2136" s="17">
        <f>IF(B2136="","","")</f>
        <v/>
      </c>
      <c r="H2136" s="17">
        <f>IF(B2136="","","")</f>
        <v/>
      </c>
      <c r="I2136" s="17">
        <f>IF(B2136="","","")</f>
        <v/>
      </c>
      <c r="J2136" s="17">
        <f>IF(B2136="","","touch_1; "&amp;IFERROR(INDEX(Clay_Offices!$A$2:$FZ$601,485,Sync!$C$10)&amp;"","")&amp;"; "&amp;IFERROR(INDEX(Clay_Offices!$A$2:$FZ$601,485,Sync!$C$9)&amp;"",""))</f>
        <v/>
      </c>
      <c r="K2136" t="inlineStr">
        <is>
          <t>office outreach touch 1</t>
        </is>
      </c>
    </row>
    <row r="2137">
      <c r="A2137" s="17">
        <f>IF(B2137="","",B2137+(12*1000+486)/10000000)</f>
        <v/>
      </c>
      <c r="B2137" s="23">
        <f>IF(AND(IFERROR(N(INDEX(Clay_Offices!$A$2:$FZ$601,486,Sync!$C$11)),0)&gt;0,IFERROR(INDEX(Clay_Offices!$A$2:$FZ$601,486,Sync!$C$5)&amp;"","")&lt;&gt;"",OR(LEFT(IFERROR(INDEX(Clay_Offices!$A$2:$FZ$601,486,Sync!$C$5)&amp;"",""),6)&lt;&gt;"SAMPLE",Config!$B$19="Y")),IFERROR(N(INDEX(Clay_Offices!$A$2:$FZ$601,486,Sync!$C$11)),0),"")</f>
        <v/>
      </c>
      <c r="C2137" s="17">
        <f>IF(B2137="","","office")</f>
        <v/>
      </c>
      <c r="D2137" s="17">
        <f>IF(B2137="","",IFERROR(INDEX(Clay_Offices!$A$2:$FZ$601,486,Sync!$C$5)&amp;"",""))</f>
        <v/>
      </c>
      <c r="E2137" s="17">
        <f>IF(B2137="","",IFERROR(INDEX(Clay_Offices!$A$2:$FZ$601,486,Sync!$C$6)&amp;"",""))</f>
        <v/>
      </c>
      <c r="F2137" s="17">
        <f>IF(B2137="","","outreach_sent")</f>
        <v/>
      </c>
      <c r="G2137" s="17">
        <f>IF(B2137="","","")</f>
        <v/>
      </c>
      <c r="H2137" s="17">
        <f>IF(B2137="","","")</f>
        <v/>
      </c>
      <c r="I2137" s="17">
        <f>IF(B2137="","","")</f>
        <v/>
      </c>
      <c r="J2137" s="17">
        <f>IF(B2137="","","touch_1; "&amp;IFERROR(INDEX(Clay_Offices!$A$2:$FZ$601,486,Sync!$C$10)&amp;"","")&amp;"; "&amp;IFERROR(INDEX(Clay_Offices!$A$2:$FZ$601,486,Sync!$C$9)&amp;"",""))</f>
        <v/>
      </c>
      <c r="K2137" t="inlineStr">
        <is>
          <t>office outreach touch 1</t>
        </is>
      </c>
    </row>
    <row r="2138">
      <c r="A2138" s="17">
        <f>IF(B2138="","",B2138+(12*1000+487)/10000000)</f>
        <v/>
      </c>
      <c r="B2138" s="23">
        <f>IF(AND(IFERROR(N(INDEX(Clay_Offices!$A$2:$FZ$601,487,Sync!$C$11)),0)&gt;0,IFERROR(INDEX(Clay_Offices!$A$2:$FZ$601,487,Sync!$C$5)&amp;"","")&lt;&gt;"",OR(LEFT(IFERROR(INDEX(Clay_Offices!$A$2:$FZ$601,487,Sync!$C$5)&amp;"",""),6)&lt;&gt;"SAMPLE",Config!$B$19="Y")),IFERROR(N(INDEX(Clay_Offices!$A$2:$FZ$601,487,Sync!$C$11)),0),"")</f>
        <v/>
      </c>
      <c r="C2138" s="17">
        <f>IF(B2138="","","office")</f>
        <v/>
      </c>
      <c r="D2138" s="17">
        <f>IF(B2138="","",IFERROR(INDEX(Clay_Offices!$A$2:$FZ$601,487,Sync!$C$5)&amp;"",""))</f>
        <v/>
      </c>
      <c r="E2138" s="17">
        <f>IF(B2138="","",IFERROR(INDEX(Clay_Offices!$A$2:$FZ$601,487,Sync!$C$6)&amp;"",""))</f>
        <v/>
      </c>
      <c r="F2138" s="17">
        <f>IF(B2138="","","outreach_sent")</f>
        <v/>
      </c>
      <c r="G2138" s="17">
        <f>IF(B2138="","","")</f>
        <v/>
      </c>
      <c r="H2138" s="17">
        <f>IF(B2138="","","")</f>
        <v/>
      </c>
      <c r="I2138" s="17">
        <f>IF(B2138="","","")</f>
        <v/>
      </c>
      <c r="J2138" s="17">
        <f>IF(B2138="","","touch_1; "&amp;IFERROR(INDEX(Clay_Offices!$A$2:$FZ$601,487,Sync!$C$10)&amp;"","")&amp;"; "&amp;IFERROR(INDEX(Clay_Offices!$A$2:$FZ$601,487,Sync!$C$9)&amp;"",""))</f>
        <v/>
      </c>
      <c r="K2138" t="inlineStr">
        <is>
          <t>office outreach touch 1</t>
        </is>
      </c>
    </row>
    <row r="2139">
      <c r="A2139" s="17">
        <f>IF(B2139="","",B2139+(12*1000+488)/10000000)</f>
        <v/>
      </c>
      <c r="B2139" s="23">
        <f>IF(AND(IFERROR(N(INDEX(Clay_Offices!$A$2:$FZ$601,488,Sync!$C$11)),0)&gt;0,IFERROR(INDEX(Clay_Offices!$A$2:$FZ$601,488,Sync!$C$5)&amp;"","")&lt;&gt;"",OR(LEFT(IFERROR(INDEX(Clay_Offices!$A$2:$FZ$601,488,Sync!$C$5)&amp;"",""),6)&lt;&gt;"SAMPLE",Config!$B$19="Y")),IFERROR(N(INDEX(Clay_Offices!$A$2:$FZ$601,488,Sync!$C$11)),0),"")</f>
        <v/>
      </c>
      <c r="C2139" s="17">
        <f>IF(B2139="","","office")</f>
        <v/>
      </c>
      <c r="D2139" s="17">
        <f>IF(B2139="","",IFERROR(INDEX(Clay_Offices!$A$2:$FZ$601,488,Sync!$C$5)&amp;"",""))</f>
        <v/>
      </c>
      <c r="E2139" s="17">
        <f>IF(B2139="","",IFERROR(INDEX(Clay_Offices!$A$2:$FZ$601,488,Sync!$C$6)&amp;"",""))</f>
        <v/>
      </c>
      <c r="F2139" s="17">
        <f>IF(B2139="","","outreach_sent")</f>
        <v/>
      </c>
      <c r="G2139" s="17">
        <f>IF(B2139="","","")</f>
        <v/>
      </c>
      <c r="H2139" s="17">
        <f>IF(B2139="","","")</f>
        <v/>
      </c>
      <c r="I2139" s="17">
        <f>IF(B2139="","","")</f>
        <v/>
      </c>
      <c r="J2139" s="17">
        <f>IF(B2139="","","touch_1; "&amp;IFERROR(INDEX(Clay_Offices!$A$2:$FZ$601,488,Sync!$C$10)&amp;"","")&amp;"; "&amp;IFERROR(INDEX(Clay_Offices!$A$2:$FZ$601,488,Sync!$C$9)&amp;"",""))</f>
        <v/>
      </c>
      <c r="K2139" t="inlineStr">
        <is>
          <t>office outreach touch 1</t>
        </is>
      </c>
    </row>
    <row r="2140">
      <c r="A2140" s="17">
        <f>IF(B2140="","",B2140+(12*1000+489)/10000000)</f>
        <v/>
      </c>
      <c r="B2140" s="23">
        <f>IF(AND(IFERROR(N(INDEX(Clay_Offices!$A$2:$FZ$601,489,Sync!$C$11)),0)&gt;0,IFERROR(INDEX(Clay_Offices!$A$2:$FZ$601,489,Sync!$C$5)&amp;"","")&lt;&gt;"",OR(LEFT(IFERROR(INDEX(Clay_Offices!$A$2:$FZ$601,489,Sync!$C$5)&amp;"",""),6)&lt;&gt;"SAMPLE",Config!$B$19="Y")),IFERROR(N(INDEX(Clay_Offices!$A$2:$FZ$601,489,Sync!$C$11)),0),"")</f>
        <v/>
      </c>
      <c r="C2140" s="17">
        <f>IF(B2140="","","office")</f>
        <v/>
      </c>
      <c r="D2140" s="17">
        <f>IF(B2140="","",IFERROR(INDEX(Clay_Offices!$A$2:$FZ$601,489,Sync!$C$5)&amp;"",""))</f>
        <v/>
      </c>
      <c r="E2140" s="17">
        <f>IF(B2140="","",IFERROR(INDEX(Clay_Offices!$A$2:$FZ$601,489,Sync!$C$6)&amp;"",""))</f>
        <v/>
      </c>
      <c r="F2140" s="17">
        <f>IF(B2140="","","outreach_sent")</f>
        <v/>
      </c>
      <c r="G2140" s="17">
        <f>IF(B2140="","","")</f>
        <v/>
      </c>
      <c r="H2140" s="17">
        <f>IF(B2140="","","")</f>
        <v/>
      </c>
      <c r="I2140" s="17">
        <f>IF(B2140="","","")</f>
        <v/>
      </c>
      <c r="J2140" s="17">
        <f>IF(B2140="","","touch_1; "&amp;IFERROR(INDEX(Clay_Offices!$A$2:$FZ$601,489,Sync!$C$10)&amp;"","")&amp;"; "&amp;IFERROR(INDEX(Clay_Offices!$A$2:$FZ$601,489,Sync!$C$9)&amp;"",""))</f>
        <v/>
      </c>
      <c r="K2140" t="inlineStr">
        <is>
          <t>office outreach touch 1</t>
        </is>
      </c>
    </row>
    <row r="2141">
      <c r="A2141" s="17">
        <f>IF(B2141="","",B2141+(12*1000+490)/10000000)</f>
        <v/>
      </c>
      <c r="B2141" s="23">
        <f>IF(AND(IFERROR(N(INDEX(Clay_Offices!$A$2:$FZ$601,490,Sync!$C$11)),0)&gt;0,IFERROR(INDEX(Clay_Offices!$A$2:$FZ$601,490,Sync!$C$5)&amp;"","")&lt;&gt;"",OR(LEFT(IFERROR(INDEX(Clay_Offices!$A$2:$FZ$601,490,Sync!$C$5)&amp;"",""),6)&lt;&gt;"SAMPLE",Config!$B$19="Y")),IFERROR(N(INDEX(Clay_Offices!$A$2:$FZ$601,490,Sync!$C$11)),0),"")</f>
        <v/>
      </c>
      <c r="C2141" s="17">
        <f>IF(B2141="","","office")</f>
        <v/>
      </c>
      <c r="D2141" s="17">
        <f>IF(B2141="","",IFERROR(INDEX(Clay_Offices!$A$2:$FZ$601,490,Sync!$C$5)&amp;"",""))</f>
        <v/>
      </c>
      <c r="E2141" s="17">
        <f>IF(B2141="","",IFERROR(INDEX(Clay_Offices!$A$2:$FZ$601,490,Sync!$C$6)&amp;"",""))</f>
        <v/>
      </c>
      <c r="F2141" s="17">
        <f>IF(B2141="","","outreach_sent")</f>
        <v/>
      </c>
      <c r="G2141" s="17">
        <f>IF(B2141="","","")</f>
        <v/>
      </c>
      <c r="H2141" s="17">
        <f>IF(B2141="","","")</f>
        <v/>
      </c>
      <c r="I2141" s="17">
        <f>IF(B2141="","","")</f>
        <v/>
      </c>
      <c r="J2141" s="17">
        <f>IF(B2141="","","touch_1; "&amp;IFERROR(INDEX(Clay_Offices!$A$2:$FZ$601,490,Sync!$C$10)&amp;"","")&amp;"; "&amp;IFERROR(INDEX(Clay_Offices!$A$2:$FZ$601,490,Sync!$C$9)&amp;"",""))</f>
        <v/>
      </c>
      <c r="K2141" t="inlineStr">
        <is>
          <t>office outreach touch 1</t>
        </is>
      </c>
    </row>
    <row r="2142">
      <c r="A2142" s="17">
        <f>IF(B2142="","",B2142+(12*1000+491)/10000000)</f>
        <v/>
      </c>
      <c r="B2142" s="23">
        <f>IF(AND(IFERROR(N(INDEX(Clay_Offices!$A$2:$FZ$601,491,Sync!$C$11)),0)&gt;0,IFERROR(INDEX(Clay_Offices!$A$2:$FZ$601,491,Sync!$C$5)&amp;"","")&lt;&gt;"",OR(LEFT(IFERROR(INDEX(Clay_Offices!$A$2:$FZ$601,491,Sync!$C$5)&amp;"",""),6)&lt;&gt;"SAMPLE",Config!$B$19="Y")),IFERROR(N(INDEX(Clay_Offices!$A$2:$FZ$601,491,Sync!$C$11)),0),"")</f>
        <v/>
      </c>
      <c r="C2142" s="17">
        <f>IF(B2142="","","office")</f>
        <v/>
      </c>
      <c r="D2142" s="17">
        <f>IF(B2142="","",IFERROR(INDEX(Clay_Offices!$A$2:$FZ$601,491,Sync!$C$5)&amp;"",""))</f>
        <v/>
      </c>
      <c r="E2142" s="17">
        <f>IF(B2142="","",IFERROR(INDEX(Clay_Offices!$A$2:$FZ$601,491,Sync!$C$6)&amp;"",""))</f>
        <v/>
      </c>
      <c r="F2142" s="17">
        <f>IF(B2142="","","outreach_sent")</f>
        <v/>
      </c>
      <c r="G2142" s="17">
        <f>IF(B2142="","","")</f>
        <v/>
      </c>
      <c r="H2142" s="17">
        <f>IF(B2142="","","")</f>
        <v/>
      </c>
      <c r="I2142" s="17">
        <f>IF(B2142="","","")</f>
        <v/>
      </c>
      <c r="J2142" s="17">
        <f>IF(B2142="","","touch_1; "&amp;IFERROR(INDEX(Clay_Offices!$A$2:$FZ$601,491,Sync!$C$10)&amp;"","")&amp;"; "&amp;IFERROR(INDEX(Clay_Offices!$A$2:$FZ$601,491,Sync!$C$9)&amp;"",""))</f>
        <v/>
      </c>
      <c r="K2142" t="inlineStr">
        <is>
          <t>office outreach touch 1</t>
        </is>
      </c>
    </row>
    <row r="2143">
      <c r="A2143" s="17">
        <f>IF(B2143="","",B2143+(12*1000+492)/10000000)</f>
        <v/>
      </c>
      <c r="B2143" s="23">
        <f>IF(AND(IFERROR(N(INDEX(Clay_Offices!$A$2:$FZ$601,492,Sync!$C$11)),0)&gt;0,IFERROR(INDEX(Clay_Offices!$A$2:$FZ$601,492,Sync!$C$5)&amp;"","")&lt;&gt;"",OR(LEFT(IFERROR(INDEX(Clay_Offices!$A$2:$FZ$601,492,Sync!$C$5)&amp;"",""),6)&lt;&gt;"SAMPLE",Config!$B$19="Y")),IFERROR(N(INDEX(Clay_Offices!$A$2:$FZ$601,492,Sync!$C$11)),0),"")</f>
        <v/>
      </c>
      <c r="C2143" s="17">
        <f>IF(B2143="","","office")</f>
        <v/>
      </c>
      <c r="D2143" s="17">
        <f>IF(B2143="","",IFERROR(INDEX(Clay_Offices!$A$2:$FZ$601,492,Sync!$C$5)&amp;"",""))</f>
        <v/>
      </c>
      <c r="E2143" s="17">
        <f>IF(B2143="","",IFERROR(INDEX(Clay_Offices!$A$2:$FZ$601,492,Sync!$C$6)&amp;"",""))</f>
        <v/>
      </c>
      <c r="F2143" s="17">
        <f>IF(B2143="","","outreach_sent")</f>
        <v/>
      </c>
      <c r="G2143" s="17">
        <f>IF(B2143="","","")</f>
        <v/>
      </c>
      <c r="H2143" s="17">
        <f>IF(B2143="","","")</f>
        <v/>
      </c>
      <c r="I2143" s="17">
        <f>IF(B2143="","","")</f>
        <v/>
      </c>
      <c r="J2143" s="17">
        <f>IF(B2143="","","touch_1; "&amp;IFERROR(INDEX(Clay_Offices!$A$2:$FZ$601,492,Sync!$C$10)&amp;"","")&amp;"; "&amp;IFERROR(INDEX(Clay_Offices!$A$2:$FZ$601,492,Sync!$C$9)&amp;"",""))</f>
        <v/>
      </c>
      <c r="K2143" t="inlineStr">
        <is>
          <t>office outreach touch 1</t>
        </is>
      </c>
    </row>
    <row r="2144">
      <c r="A2144" s="17">
        <f>IF(B2144="","",B2144+(12*1000+493)/10000000)</f>
        <v/>
      </c>
      <c r="B2144" s="23">
        <f>IF(AND(IFERROR(N(INDEX(Clay_Offices!$A$2:$FZ$601,493,Sync!$C$11)),0)&gt;0,IFERROR(INDEX(Clay_Offices!$A$2:$FZ$601,493,Sync!$C$5)&amp;"","")&lt;&gt;"",OR(LEFT(IFERROR(INDEX(Clay_Offices!$A$2:$FZ$601,493,Sync!$C$5)&amp;"",""),6)&lt;&gt;"SAMPLE",Config!$B$19="Y")),IFERROR(N(INDEX(Clay_Offices!$A$2:$FZ$601,493,Sync!$C$11)),0),"")</f>
        <v/>
      </c>
      <c r="C2144" s="17">
        <f>IF(B2144="","","office")</f>
        <v/>
      </c>
      <c r="D2144" s="17">
        <f>IF(B2144="","",IFERROR(INDEX(Clay_Offices!$A$2:$FZ$601,493,Sync!$C$5)&amp;"",""))</f>
        <v/>
      </c>
      <c r="E2144" s="17">
        <f>IF(B2144="","",IFERROR(INDEX(Clay_Offices!$A$2:$FZ$601,493,Sync!$C$6)&amp;"",""))</f>
        <v/>
      </c>
      <c r="F2144" s="17">
        <f>IF(B2144="","","outreach_sent")</f>
        <v/>
      </c>
      <c r="G2144" s="17">
        <f>IF(B2144="","","")</f>
        <v/>
      </c>
      <c r="H2144" s="17">
        <f>IF(B2144="","","")</f>
        <v/>
      </c>
      <c r="I2144" s="17">
        <f>IF(B2144="","","")</f>
        <v/>
      </c>
      <c r="J2144" s="17">
        <f>IF(B2144="","","touch_1; "&amp;IFERROR(INDEX(Clay_Offices!$A$2:$FZ$601,493,Sync!$C$10)&amp;"","")&amp;"; "&amp;IFERROR(INDEX(Clay_Offices!$A$2:$FZ$601,493,Sync!$C$9)&amp;"",""))</f>
        <v/>
      </c>
      <c r="K2144" t="inlineStr">
        <is>
          <t>office outreach touch 1</t>
        </is>
      </c>
    </row>
    <row r="2145">
      <c r="A2145" s="17">
        <f>IF(B2145="","",B2145+(12*1000+494)/10000000)</f>
        <v/>
      </c>
      <c r="B2145" s="23">
        <f>IF(AND(IFERROR(N(INDEX(Clay_Offices!$A$2:$FZ$601,494,Sync!$C$11)),0)&gt;0,IFERROR(INDEX(Clay_Offices!$A$2:$FZ$601,494,Sync!$C$5)&amp;"","")&lt;&gt;"",OR(LEFT(IFERROR(INDEX(Clay_Offices!$A$2:$FZ$601,494,Sync!$C$5)&amp;"",""),6)&lt;&gt;"SAMPLE",Config!$B$19="Y")),IFERROR(N(INDEX(Clay_Offices!$A$2:$FZ$601,494,Sync!$C$11)),0),"")</f>
        <v/>
      </c>
      <c r="C2145" s="17">
        <f>IF(B2145="","","office")</f>
        <v/>
      </c>
      <c r="D2145" s="17">
        <f>IF(B2145="","",IFERROR(INDEX(Clay_Offices!$A$2:$FZ$601,494,Sync!$C$5)&amp;"",""))</f>
        <v/>
      </c>
      <c r="E2145" s="17">
        <f>IF(B2145="","",IFERROR(INDEX(Clay_Offices!$A$2:$FZ$601,494,Sync!$C$6)&amp;"",""))</f>
        <v/>
      </c>
      <c r="F2145" s="17">
        <f>IF(B2145="","","outreach_sent")</f>
        <v/>
      </c>
      <c r="G2145" s="17">
        <f>IF(B2145="","","")</f>
        <v/>
      </c>
      <c r="H2145" s="17">
        <f>IF(B2145="","","")</f>
        <v/>
      </c>
      <c r="I2145" s="17">
        <f>IF(B2145="","","")</f>
        <v/>
      </c>
      <c r="J2145" s="17">
        <f>IF(B2145="","","touch_1; "&amp;IFERROR(INDEX(Clay_Offices!$A$2:$FZ$601,494,Sync!$C$10)&amp;"","")&amp;"; "&amp;IFERROR(INDEX(Clay_Offices!$A$2:$FZ$601,494,Sync!$C$9)&amp;"",""))</f>
        <v/>
      </c>
      <c r="K2145" t="inlineStr">
        <is>
          <t>office outreach touch 1</t>
        </is>
      </c>
    </row>
    <row r="2146">
      <c r="A2146" s="17">
        <f>IF(B2146="","",B2146+(12*1000+495)/10000000)</f>
        <v/>
      </c>
      <c r="B2146" s="23">
        <f>IF(AND(IFERROR(N(INDEX(Clay_Offices!$A$2:$FZ$601,495,Sync!$C$11)),0)&gt;0,IFERROR(INDEX(Clay_Offices!$A$2:$FZ$601,495,Sync!$C$5)&amp;"","")&lt;&gt;"",OR(LEFT(IFERROR(INDEX(Clay_Offices!$A$2:$FZ$601,495,Sync!$C$5)&amp;"",""),6)&lt;&gt;"SAMPLE",Config!$B$19="Y")),IFERROR(N(INDEX(Clay_Offices!$A$2:$FZ$601,495,Sync!$C$11)),0),"")</f>
        <v/>
      </c>
      <c r="C2146" s="17">
        <f>IF(B2146="","","office")</f>
        <v/>
      </c>
      <c r="D2146" s="17">
        <f>IF(B2146="","",IFERROR(INDEX(Clay_Offices!$A$2:$FZ$601,495,Sync!$C$5)&amp;"",""))</f>
        <v/>
      </c>
      <c r="E2146" s="17">
        <f>IF(B2146="","",IFERROR(INDEX(Clay_Offices!$A$2:$FZ$601,495,Sync!$C$6)&amp;"",""))</f>
        <v/>
      </c>
      <c r="F2146" s="17">
        <f>IF(B2146="","","outreach_sent")</f>
        <v/>
      </c>
      <c r="G2146" s="17">
        <f>IF(B2146="","","")</f>
        <v/>
      </c>
      <c r="H2146" s="17">
        <f>IF(B2146="","","")</f>
        <v/>
      </c>
      <c r="I2146" s="17">
        <f>IF(B2146="","","")</f>
        <v/>
      </c>
      <c r="J2146" s="17">
        <f>IF(B2146="","","touch_1; "&amp;IFERROR(INDEX(Clay_Offices!$A$2:$FZ$601,495,Sync!$C$10)&amp;"","")&amp;"; "&amp;IFERROR(INDEX(Clay_Offices!$A$2:$FZ$601,495,Sync!$C$9)&amp;"",""))</f>
        <v/>
      </c>
      <c r="K2146" t="inlineStr">
        <is>
          <t>office outreach touch 1</t>
        </is>
      </c>
    </row>
    <row r="2147">
      <c r="A2147" s="17">
        <f>IF(B2147="","",B2147+(12*1000+496)/10000000)</f>
        <v/>
      </c>
      <c r="B2147" s="23">
        <f>IF(AND(IFERROR(N(INDEX(Clay_Offices!$A$2:$FZ$601,496,Sync!$C$11)),0)&gt;0,IFERROR(INDEX(Clay_Offices!$A$2:$FZ$601,496,Sync!$C$5)&amp;"","")&lt;&gt;"",OR(LEFT(IFERROR(INDEX(Clay_Offices!$A$2:$FZ$601,496,Sync!$C$5)&amp;"",""),6)&lt;&gt;"SAMPLE",Config!$B$19="Y")),IFERROR(N(INDEX(Clay_Offices!$A$2:$FZ$601,496,Sync!$C$11)),0),"")</f>
        <v/>
      </c>
      <c r="C2147" s="17">
        <f>IF(B2147="","","office")</f>
        <v/>
      </c>
      <c r="D2147" s="17">
        <f>IF(B2147="","",IFERROR(INDEX(Clay_Offices!$A$2:$FZ$601,496,Sync!$C$5)&amp;"",""))</f>
        <v/>
      </c>
      <c r="E2147" s="17">
        <f>IF(B2147="","",IFERROR(INDEX(Clay_Offices!$A$2:$FZ$601,496,Sync!$C$6)&amp;"",""))</f>
        <v/>
      </c>
      <c r="F2147" s="17">
        <f>IF(B2147="","","outreach_sent")</f>
        <v/>
      </c>
      <c r="G2147" s="17">
        <f>IF(B2147="","","")</f>
        <v/>
      </c>
      <c r="H2147" s="17">
        <f>IF(B2147="","","")</f>
        <v/>
      </c>
      <c r="I2147" s="17">
        <f>IF(B2147="","","")</f>
        <v/>
      </c>
      <c r="J2147" s="17">
        <f>IF(B2147="","","touch_1; "&amp;IFERROR(INDEX(Clay_Offices!$A$2:$FZ$601,496,Sync!$C$10)&amp;"","")&amp;"; "&amp;IFERROR(INDEX(Clay_Offices!$A$2:$FZ$601,496,Sync!$C$9)&amp;"",""))</f>
        <v/>
      </c>
      <c r="K2147" t="inlineStr">
        <is>
          <t>office outreach touch 1</t>
        </is>
      </c>
    </row>
    <row r="2148">
      <c r="A2148" s="17">
        <f>IF(B2148="","",B2148+(12*1000+497)/10000000)</f>
        <v/>
      </c>
      <c r="B2148" s="23">
        <f>IF(AND(IFERROR(N(INDEX(Clay_Offices!$A$2:$FZ$601,497,Sync!$C$11)),0)&gt;0,IFERROR(INDEX(Clay_Offices!$A$2:$FZ$601,497,Sync!$C$5)&amp;"","")&lt;&gt;"",OR(LEFT(IFERROR(INDEX(Clay_Offices!$A$2:$FZ$601,497,Sync!$C$5)&amp;"",""),6)&lt;&gt;"SAMPLE",Config!$B$19="Y")),IFERROR(N(INDEX(Clay_Offices!$A$2:$FZ$601,497,Sync!$C$11)),0),"")</f>
        <v/>
      </c>
      <c r="C2148" s="17">
        <f>IF(B2148="","","office")</f>
        <v/>
      </c>
      <c r="D2148" s="17">
        <f>IF(B2148="","",IFERROR(INDEX(Clay_Offices!$A$2:$FZ$601,497,Sync!$C$5)&amp;"",""))</f>
        <v/>
      </c>
      <c r="E2148" s="17">
        <f>IF(B2148="","",IFERROR(INDEX(Clay_Offices!$A$2:$FZ$601,497,Sync!$C$6)&amp;"",""))</f>
        <v/>
      </c>
      <c r="F2148" s="17">
        <f>IF(B2148="","","outreach_sent")</f>
        <v/>
      </c>
      <c r="G2148" s="17">
        <f>IF(B2148="","","")</f>
        <v/>
      </c>
      <c r="H2148" s="17">
        <f>IF(B2148="","","")</f>
        <v/>
      </c>
      <c r="I2148" s="17">
        <f>IF(B2148="","","")</f>
        <v/>
      </c>
      <c r="J2148" s="17">
        <f>IF(B2148="","","touch_1; "&amp;IFERROR(INDEX(Clay_Offices!$A$2:$FZ$601,497,Sync!$C$10)&amp;"","")&amp;"; "&amp;IFERROR(INDEX(Clay_Offices!$A$2:$FZ$601,497,Sync!$C$9)&amp;"",""))</f>
        <v/>
      </c>
      <c r="K2148" t="inlineStr">
        <is>
          <t>office outreach touch 1</t>
        </is>
      </c>
    </row>
    <row r="2149">
      <c r="A2149" s="17">
        <f>IF(B2149="","",B2149+(12*1000+498)/10000000)</f>
        <v/>
      </c>
      <c r="B2149" s="23">
        <f>IF(AND(IFERROR(N(INDEX(Clay_Offices!$A$2:$FZ$601,498,Sync!$C$11)),0)&gt;0,IFERROR(INDEX(Clay_Offices!$A$2:$FZ$601,498,Sync!$C$5)&amp;"","")&lt;&gt;"",OR(LEFT(IFERROR(INDEX(Clay_Offices!$A$2:$FZ$601,498,Sync!$C$5)&amp;"",""),6)&lt;&gt;"SAMPLE",Config!$B$19="Y")),IFERROR(N(INDEX(Clay_Offices!$A$2:$FZ$601,498,Sync!$C$11)),0),"")</f>
        <v/>
      </c>
      <c r="C2149" s="17">
        <f>IF(B2149="","","office")</f>
        <v/>
      </c>
      <c r="D2149" s="17">
        <f>IF(B2149="","",IFERROR(INDEX(Clay_Offices!$A$2:$FZ$601,498,Sync!$C$5)&amp;"",""))</f>
        <v/>
      </c>
      <c r="E2149" s="17">
        <f>IF(B2149="","",IFERROR(INDEX(Clay_Offices!$A$2:$FZ$601,498,Sync!$C$6)&amp;"",""))</f>
        <v/>
      </c>
      <c r="F2149" s="17">
        <f>IF(B2149="","","outreach_sent")</f>
        <v/>
      </c>
      <c r="G2149" s="17">
        <f>IF(B2149="","","")</f>
        <v/>
      </c>
      <c r="H2149" s="17">
        <f>IF(B2149="","","")</f>
        <v/>
      </c>
      <c r="I2149" s="17">
        <f>IF(B2149="","","")</f>
        <v/>
      </c>
      <c r="J2149" s="17">
        <f>IF(B2149="","","touch_1; "&amp;IFERROR(INDEX(Clay_Offices!$A$2:$FZ$601,498,Sync!$C$10)&amp;"","")&amp;"; "&amp;IFERROR(INDEX(Clay_Offices!$A$2:$FZ$601,498,Sync!$C$9)&amp;"",""))</f>
        <v/>
      </c>
      <c r="K2149" t="inlineStr">
        <is>
          <t>office outreach touch 1</t>
        </is>
      </c>
    </row>
    <row r="2150">
      <c r="A2150" s="17">
        <f>IF(B2150="","",B2150+(12*1000+499)/10000000)</f>
        <v/>
      </c>
      <c r="B2150" s="23">
        <f>IF(AND(IFERROR(N(INDEX(Clay_Offices!$A$2:$FZ$601,499,Sync!$C$11)),0)&gt;0,IFERROR(INDEX(Clay_Offices!$A$2:$FZ$601,499,Sync!$C$5)&amp;"","")&lt;&gt;"",OR(LEFT(IFERROR(INDEX(Clay_Offices!$A$2:$FZ$601,499,Sync!$C$5)&amp;"",""),6)&lt;&gt;"SAMPLE",Config!$B$19="Y")),IFERROR(N(INDEX(Clay_Offices!$A$2:$FZ$601,499,Sync!$C$11)),0),"")</f>
        <v/>
      </c>
      <c r="C2150" s="17">
        <f>IF(B2150="","","office")</f>
        <v/>
      </c>
      <c r="D2150" s="17">
        <f>IF(B2150="","",IFERROR(INDEX(Clay_Offices!$A$2:$FZ$601,499,Sync!$C$5)&amp;"",""))</f>
        <v/>
      </c>
      <c r="E2150" s="17">
        <f>IF(B2150="","",IFERROR(INDEX(Clay_Offices!$A$2:$FZ$601,499,Sync!$C$6)&amp;"",""))</f>
        <v/>
      </c>
      <c r="F2150" s="17">
        <f>IF(B2150="","","outreach_sent")</f>
        <v/>
      </c>
      <c r="G2150" s="17">
        <f>IF(B2150="","","")</f>
        <v/>
      </c>
      <c r="H2150" s="17">
        <f>IF(B2150="","","")</f>
        <v/>
      </c>
      <c r="I2150" s="17">
        <f>IF(B2150="","","")</f>
        <v/>
      </c>
      <c r="J2150" s="17">
        <f>IF(B2150="","","touch_1; "&amp;IFERROR(INDEX(Clay_Offices!$A$2:$FZ$601,499,Sync!$C$10)&amp;"","")&amp;"; "&amp;IFERROR(INDEX(Clay_Offices!$A$2:$FZ$601,499,Sync!$C$9)&amp;"",""))</f>
        <v/>
      </c>
      <c r="K2150" t="inlineStr">
        <is>
          <t>office outreach touch 1</t>
        </is>
      </c>
    </row>
    <row r="2151">
      <c r="A2151" s="17">
        <f>IF(B2151="","",B2151+(12*1000+500)/10000000)</f>
        <v/>
      </c>
      <c r="B2151" s="23">
        <f>IF(AND(IFERROR(N(INDEX(Clay_Offices!$A$2:$FZ$601,500,Sync!$C$11)),0)&gt;0,IFERROR(INDEX(Clay_Offices!$A$2:$FZ$601,500,Sync!$C$5)&amp;"","")&lt;&gt;"",OR(LEFT(IFERROR(INDEX(Clay_Offices!$A$2:$FZ$601,500,Sync!$C$5)&amp;"",""),6)&lt;&gt;"SAMPLE",Config!$B$19="Y")),IFERROR(N(INDEX(Clay_Offices!$A$2:$FZ$601,500,Sync!$C$11)),0),"")</f>
        <v/>
      </c>
      <c r="C2151" s="17">
        <f>IF(B2151="","","office")</f>
        <v/>
      </c>
      <c r="D2151" s="17">
        <f>IF(B2151="","",IFERROR(INDEX(Clay_Offices!$A$2:$FZ$601,500,Sync!$C$5)&amp;"",""))</f>
        <v/>
      </c>
      <c r="E2151" s="17">
        <f>IF(B2151="","",IFERROR(INDEX(Clay_Offices!$A$2:$FZ$601,500,Sync!$C$6)&amp;"",""))</f>
        <v/>
      </c>
      <c r="F2151" s="17">
        <f>IF(B2151="","","outreach_sent")</f>
        <v/>
      </c>
      <c r="G2151" s="17">
        <f>IF(B2151="","","")</f>
        <v/>
      </c>
      <c r="H2151" s="17">
        <f>IF(B2151="","","")</f>
        <v/>
      </c>
      <c r="I2151" s="17">
        <f>IF(B2151="","","")</f>
        <v/>
      </c>
      <c r="J2151" s="17">
        <f>IF(B2151="","","touch_1; "&amp;IFERROR(INDEX(Clay_Offices!$A$2:$FZ$601,500,Sync!$C$10)&amp;"","")&amp;"; "&amp;IFERROR(INDEX(Clay_Offices!$A$2:$FZ$601,500,Sync!$C$9)&amp;"",""))</f>
        <v/>
      </c>
      <c r="K2151" t="inlineStr">
        <is>
          <t>office outreach touch 1</t>
        </is>
      </c>
    </row>
    <row r="2152">
      <c r="A2152" s="17">
        <f>IF(B2152="","",B2152+(12*1000+501)/10000000)</f>
        <v/>
      </c>
      <c r="B2152" s="23">
        <f>IF(AND(IFERROR(N(INDEX(Clay_Offices!$A$2:$FZ$601,501,Sync!$C$11)),0)&gt;0,IFERROR(INDEX(Clay_Offices!$A$2:$FZ$601,501,Sync!$C$5)&amp;"","")&lt;&gt;"",OR(LEFT(IFERROR(INDEX(Clay_Offices!$A$2:$FZ$601,501,Sync!$C$5)&amp;"",""),6)&lt;&gt;"SAMPLE",Config!$B$19="Y")),IFERROR(N(INDEX(Clay_Offices!$A$2:$FZ$601,501,Sync!$C$11)),0),"")</f>
        <v/>
      </c>
      <c r="C2152" s="17">
        <f>IF(B2152="","","office")</f>
        <v/>
      </c>
      <c r="D2152" s="17">
        <f>IF(B2152="","",IFERROR(INDEX(Clay_Offices!$A$2:$FZ$601,501,Sync!$C$5)&amp;"",""))</f>
        <v/>
      </c>
      <c r="E2152" s="17">
        <f>IF(B2152="","",IFERROR(INDEX(Clay_Offices!$A$2:$FZ$601,501,Sync!$C$6)&amp;"",""))</f>
        <v/>
      </c>
      <c r="F2152" s="17">
        <f>IF(B2152="","","outreach_sent")</f>
        <v/>
      </c>
      <c r="G2152" s="17">
        <f>IF(B2152="","","")</f>
        <v/>
      </c>
      <c r="H2152" s="17">
        <f>IF(B2152="","","")</f>
        <v/>
      </c>
      <c r="I2152" s="17">
        <f>IF(B2152="","","")</f>
        <v/>
      </c>
      <c r="J2152" s="17">
        <f>IF(B2152="","","touch_1; "&amp;IFERROR(INDEX(Clay_Offices!$A$2:$FZ$601,501,Sync!$C$10)&amp;"","")&amp;"; "&amp;IFERROR(INDEX(Clay_Offices!$A$2:$FZ$601,501,Sync!$C$9)&amp;"",""))</f>
        <v/>
      </c>
      <c r="K2152" t="inlineStr">
        <is>
          <t>office outreach touch 1</t>
        </is>
      </c>
    </row>
    <row r="2153">
      <c r="A2153" s="17">
        <f>IF(B2153="","",B2153+(12*1000+502)/10000000)</f>
        <v/>
      </c>
      <c r="B2153" s="23">
        <f>IF(AND(IFERROR(N(INDEX(Clay_Offices!$A$2:$FZ$601,502,Sync!$C$11)),0)&gt;0,IFERROR(INDEX(Clay_Offices!$A$2:$FZ$601,502,Sync!$C$5)&amp;"","")&lt;&gt;"",OR(LEFT(IFERROR(INDEX(Clay_Offices!$A$2:$FZ$601,502,Sync!$C$5)&amp;"",""),6)&lt;&gt;"SAMPLE",Config!$B$19="Y")),IFERROR(N(INDEX(Clay_Offices!$A$2:$FZ$601,502,Sync!$C$11)),0),"")</f>
        <v/>
      </c>
      <c r="C2153" s="17">
        <f>IF(B2153="","","office")</f>
        <v/>
      </c>
      <c r="D2153" s="17">
        <f>IF(B2153="","",IFERROR(INDEX(Clay_Offices!$A$2:$FZ$601,502,Sync!$C$5)&amp;"",""))</f>
        <v/>
      </c>
      <c r="E2153" s="17">
        <f>IF(B2153="","",IFERROR(INDEX(Clay_Offices!$A$2:$FZ$601,502,Sync!$C$6)&amp;"",""))</f>
        <v/>
      </c>
      <c r="F2153" s="17">
        <f>IF(B2153="","","outreach_sent")</f>
        <v/>
      </c>
      <c r="G2153" s="17">
        <f>IF(B2153="","","")</f>
        <v/>
      </c>
      <c r="H2153" s="17">
        <f>IF(B2153="","","")</f>
        <v/>
      </c>
      <c r="I2153" s="17">
        <f>IF(B2153="","","")</f>
        <v/>
      </c>
      <c r="J2153" s="17">
        <f>IF(B2153="","","touch_1; "&amp;IFERROR(INDEX(Clay_Offices!$A$2:$FZ$601,502,Sync!$C$10)&amp;"","")&amp;"; "&amp;IFERROR(INDEX(Clay_Offices!$A$2:$FZ$601,502,Sync!$C$9)&amp;"",""))</f>
        <v/>
      </c>
      <c r="K2153" t="inlineStr">
        <is>
          <t>office outreach touch 1</t>
        </is>
      </c>
    </row>
    <row r="2154">
      <c r="A2154" s="17">
        <f>IF(B2154="","",B2154+(12*1000+503)/10000000)</f>
        <v/>
      </c>
      <c r="B2154" s="23">
        <f>IF(AND(IFERROR(N(INDEX(Clay_Offices!$A$2:$FZ$601,503,Sync!$C$11)),0)&gt;0,IFERROR(INDEX(Clay_Offices!$A$2:$FZ$601,503,Sync!$C$5)&amp;"","")&lt;&gt;"",OR(LEFT(IFERROR(INDEX(Clay_Offices!$A$2:$FZ$601,503,Sync!$C$5)&amp;"",""),6)&lt;&gt;"SAMPLE",Config!$B$19="Y")),IFERROR(N(INDEX(Clay_Offices!$A$2:$FZ$601,503,Sync!$C$11)),0),"")</f>
        <v/>
      </c>
      <c r="C2154" s="17">
        <f>IF(B2154="","","office")</f>
        <v/>
      </c>
      <c r="D2154" s="17">
        <f>IF(B2154="","",IFERROR(INDEX(Clay_Offices!$A$2:$FZ$601,503,Sync!$C$5)&amp;"",""))</f>
        <v/>
      </c>
      <c r="E2154" s="17">
        <f>IF(B2154="","",IFERROR(INDEX(Clay_Offices!$A$2:$FZ$601,503,Sync!$C$6)&amp;"",""))</f>
        <v/>
      </c>
      <c r="F2154" s="17">
        <f>IF(B2154="","","outreach_sent")</f>
        <v/>
      </c>
      <c r="G2154" s="17">
        <f>IF(B2154="","","")</f>
        <v/>
      </c>
      <c r="H2154" s="17">
        <f>IF(B2154="","","")</f>
        <v/>
      </c>
      <c r="I2154" s="17">
        <f>IF(B2154="","","")</f>
        <v/>
      </c>
      <c r="J2154" s="17">
        <f>IF(B2154="","","touch_1; "&amp;IFERROR(INDEX(Clay_Offices!$A$2:$FZ$601,503,Sync!$C$10)&amp;"","")&amp;"; "&amp;IFERROR(INDEX(Clay_Offices!$A$2:$FZ$601,503,Sync!$C$9)&amp;"",""))</f>
        <v/>
      </c>
      <c r="K2154" t="inlineStr">
        <is>
          <t>office outreach touch 1</t>
        </is>
      </c>
    </row>
    <row r="2155">
      <c r="A2155" s="17">
        <f>IF(B2155="","",B2155+(12*1000+504)/10000000)</f>
        <v/>
      </c>
      <c r="B2155" s="23">
        <f>IF(AND(IFERROR(N(INDEX(Clay_Offices!$A$2:$FZ$601,504,Sync!$C$11)),0)&gt;0,IFERROR(INDEX(Clay_Offices!$A$2:$FZ$601,504,Sync!$C$5)&amp;"","")&lt;&gt;"",OR(LEFT(IFERROR(INDEX(Clay_Offices!$A$2:$FZ$601,504,Sync!$C$5)&amp;"",""),6)&lt;&gt;"SAMPLE",Config!$B$19="Y")),IFERROR(N(INDEX(Clay_Offices!$A$2:$FZ$601,504,Sync!$C$11)),0),"")</f>
        <v/>
      </c>
      <c r="C2155" s="17">
        <f>IF(B2155="","","office")</f>
        <v/>
      </c>
      <c r="D2155" s="17">
        <f>IF(B2155="","",IFERROR(INDEX(Clay_Offices!$A$2:$FZ$601,504,Sync!$C$5)&amp;"",""))</f>
        <v/>
      </c>
      <c r="E2155" s="17">
        <f>IF(B2155="","",IFERROR(INDEX(Clay_Offices!$A$2:$FZ$601,504,Sync!$C$6)&amp;"",""))</f>
        <v/>
      </c>
      <c r="F2155" s="17">
        <f>IF(B2155="","","outreach_sent")</f>
        <v/>
      </c>
      <c r="G2155" s="17">
        <f>IF(B2155="","","")</f>
        <v/>
      </c>
      <c r="H2155" s="17">
        <f>IF(B2155="","","")</f>
        <v/>
      </c>
      <c r="I2155" s="17">
        <f>IF(B2155="","","")</f>
        <v/>
      </c>
      <c r="J2155" s="17">
        <f>IF(B2155="","","touch_1; "&amp;IFERROR(INDEX(Clay_Offices!$A$2:$FZ$601,504,Sync!$C$10)&amp;"","")&amp;"; "&amp;IFERROR(INDEX(Clay_Offices!$A$2:$FZ$601,504,Sync!$C$9)&amp;"",""))</f>
        <v/>
      </c>
      <c r="K2155" t="inlineStr">
        <is>
          <t>office outreach touch 1</t>
        </is>
      </c>
    </row>
    <row r="2156">
      <c r="A2156" s="17">
        <f>IF(B2156="","",B2156+(12*1000+505)/10000000)</f>
        <v/>
      </c>
      <c r="B2156" s="23">
        <f>IF(AND(IFERROR(N(INDEX(Clay_Offices!$A$2:$FZ$601,505,Sync!$C$11)),0)&gt;0,IFERROR(INDEX(Clay_Offices!$A$2:$FZ$601,505,Sync!$C$5)&amp;"","")&lt;&gt;"",OR(LEFT(IFERROR(INDEX(Clay_Offices!$A$2:$FZ$601,505,Sync!$C$5)&amp;"",""),6)&lt;&gt;"SAMPLE",Config!$B$19="Y")),IFERROR(N(INDEX(Clay_Offices!$A$2:$FZ$601,505,Sync!$C$11)),0),"")</f>
        <v/>
      </c>
      <c r="C2156" s="17">
        <f>IF(B2156="","","office")</f>
        <v/>
      </c>
      <c r="D2156" s="17">
        <f>IF(B2156="","",IFERROR(INDEX(Clay_Offices!$A$2:$FZ$601,505,Sync!$C$5)&amp;"",""))</f>
        <v/>
      </c>
      <c r="E2156" s="17">
        <f>IF(B2156="","",IFERROR(INDEX(Clay_Offices!$A$2:$FZ$601,505,Sync!$C$6)&amp;"",""))</f>
        <v/>
      </c>
      <c r="F2156" s="17">
        <f>IF(B2156="","","outreach_sent")</f>
        <v/>
      </c>
      <c r="G2156" s="17">
        <f>IF(B2156="","","")</f>
        <v/>
      </c>
      <c r="H2156" s="17">
        <f>IF(B2156="","","")</f>
        <v/>
      </c>
      <c r="I2156" s="17">
        <f>IF(B2156="","","")</f>
        <v/>
      </c>
      <c r="J2156" s="17">
        <f>IF(B2156="","","touch_1; "&amp;IFERROR(INDEX(Clay_Offices!$A$2:$FZ$601,505,Sync!$C$10)&amp;"","")&amp;"; "&amp;IFERROR(INDEX(Clay_Offices!$A$2:$FZ$601,505,Sync!$C$9)&amp;"",""))</f>
        <v/>
      </c>
      <c r="K2156" t="inlineStr">
        <is>
          <t>office outreach touch 1</t>
        </is>
      </c>
    </row>
    <row r="2157">
      <c r="A2157" s="17">
        <f>IF(B2157="","",B2157+(12*1000+506)/10000000)</f>
        <v/>
      </c>
      <c r="B2157" s="23">
        <f>IF(AND(IFERROR(N(INDEX(Clay_Offices!$A$2:$FZ$601,506,Sync!$C$11)),0)&gt;0,IFERROR(INDEX(Clay_Offices!$A$2:$FZ$601,506,Sync!$C$5)&amp;"","")&lt;&gt;"",OR(LEFT(IFERROR(INDEX(Clay_Offices!$A$2:$FZ$601,506,Sync!$C$5)&amp;"",""),6)&lt;&gt;"SAMPLE",Config!$B$19="Y")),IFERROR(N(INDEX(Clay_Offices!$A$2:$FZ$601,506,Sync!$C$11)),0),"")</f>
        <v/>
      </c>
      <c r="C2157" s="17">
        <f>IF(B2157="","","office")</f>
        <v/>
      </c>
      <c r="D2157" s="17">
        <f>IF(B2157="","",IFERROR(INDEX(Clay_Offices!$A$2:$FZ$601,506,Sync!$C$5)&amp;"",""))</f>
        <v/>
      </c>
      <c r="E2157" s="17">
        <f>IF(B2157="","",IFERROR(INDEX(Clay_Offices!$A$2:$FZ$601,506,Sync!$C$6)&amp;"",""))</f>
        <v/>
      </c>
      <c r="F2157" s="17">
        <f>IF(B2157="","","outreach_sent")</f>
        <v/>
      </c>
      <c r="G2157" s="17">
        <f>IF(B2157="","","")</f>
        <v/>
      </c>
      <c r="H2157" s="17">
        <f>IF(B2157="","","")</f>
        <v/>
      </c>
      <c r="I2157" s="17">
        <f>IF(B2157="","","")</f>
        <v/>
      </c>
      <c r="J2157" s="17">
        <f>IF(B2157="","","touch_1; "&amp;IFERROR(INDEX(Clay_Offices!$A$2:$FZ$601,506,Sync!$C$10)&amp;"","")&amp;"; "&amp;IFERROR(INDEX(Clay_Offices!$A$2:$FZ$601,506,Sync!$C$9)&amp;"",""))</f>
        <v/>
      </c>
      <c r="K2157" t="inlineStr">
        <is>
          <t>office outreach touch 1</t>
        </is>
      </c>
    </row>
    <row r="2158">
      <c r="A2158" s="17">
        <f>IF(B2158="","",B2158+(12*1000+507)/10000000)</f>
        <v/>
      </c>
      <c r="B2158" s="23">
        <f>IF(AND(IFERROR(N(INDEX(Clay_Offices!$A$2:$FZ$601,507,Sync!$C$11)),0)&gt;0,IFERROR(INDEX(Clay_Offices!$A$2:$FZ$601,507,Sync!$C$5)&amp;"","")&lt;&gt;"",OR(LEFT(IFERROR(INDEX(Clay_Offices!$A$2:$FZ$601,507,Sync!$C$5)&amp;"",""),6)&lt;&gt;"SAMPLE",Config!$B$19="Y")),IFERROR(N(INDEX(Clay_Offices!$A$2:$FZ$601,507,Sync!$C$11)),0),"")</f>
        <v/>
      </c>
      <c r="C2158" s="17">
        <f>IF(B2158="","","office")</f>
        <v/>
      </c>
      <c r="D2158" s="17">
        <f>IF(B2158="","",IFERROR(INDEX(Clay_Offices!$A$2:$FZ$601,507,Sync!$C$5)&amp;"",""))</f>
        <v/>
      </c>
      <c r="E2158" s="17">
        <f>IF(B2158="","",IFERROR(INDEX(Clay_Offices!$A$2:$FZ$601,507,Sync!$C$6)&amp;"",""))</f>
        <v/>
      </c>
      <c r="F2158" s="17">
        <f>IF(B2158="","","outreach_sent")</f>
        <v/>
      </c>
      <c r="G2158" s="17">
        <f>IF(B2158="","","")</f>
        <v/>
      </c>
      <c r="H2158" s="17">
        <f>IF(B2158="","","")</f>
        <v/>
      </c>
      <c r="I2158" s="17">
        <f>IF(B2158="","","")</f>
        <v/>
      </c>
      <c r="J2158" s="17">
        <f>IF(B2158="","","touch_1; "&amp;IFERROR(INDEX(Clay_Offices!$A$2:$FZ$601,507,Sync!$C$10)&amp;"","")&amp;"; "&amp;IFERROR(INDEX(Clay_Offices!$A$2:$FZ$601,507,Sync!$C$9)&amp;"",""))</f>
        <v/>
      </c>
      <c r="K2158" t="inlineStr">
        <is>
          <t>office outreach touch 1</t>
        </is>
      </c>
    </row>
    <row r="2159">
      <c r="A2159" s="17">
        <f>IF(B2159="","",B2159+(12*1000+508)/10000000)</f>
        <v/>
      </c>
      <c r="B2159" s="23">
        <f>IF(AND(IFERROR(N(INDEX(Clay_Offices!$A$2:$FZ$601,508,Sync!$C$11)),0)&gt;0,IFERROR(INDEX(Clay_Offices!$A$2:$FZ$601,508,Sync!$C$5)&amp;"","")&lt;&gt;"",OR(LEFT(IFERROR(INDEX(Clay_Offices!$A$2:$FZ$601,508,Sync!$C$5)&amp;"",""),6)&lt;&gt;"SAMPLE",Config!$B$19="Y")),IFERROR(N(INDEX(Clay_Offices!$A$2:$FZ$601,508,Sync!$C$11)),0),"")</f>
        <v/>
      </c>
      <c r="C2159" s="17">
        <f>IF(B2159="","","office")</f>
        <v/>
      </c>
      <c r="D2159" s="17">
        <f>IF(B2159="","",IFERROR(INDEX(Clay_Offices!$A$2:$FZ$601,508,Sync!$C$5)&amp;"",""))</f>
        <v/>
      </c>
      <c r="E2159" s="17">
        <f>IF(B2159="","",IFERROR(INDEX(Clay_Offices!$A$2:$FZ$601,508,Sync!$C$6)&amp;"",""))</f>
        <v/>
      </c>
      <c r="F2159" s="17">
        <f>IF(B2159="","","outreach_sent")</f>
        <v/>
      </c>
      <c r="G2159" s="17">
        <f>IF(B2159="","","")</f>
        <v/>
      </c>
      <c r="H2159" s="17">
        <f>IF(B2159="","","")</f>
        <v/>
      </c>
      <c r="I2159" s="17">
        <f>IF(B2159="","","")</f>
        <v/>
      </c>
      <c r="J2159" s="17">
        <f>IF(B2159="","","touch_1; "&amp;IFERROR(INDEX(Clay_Offices!$A$2:$FZ$601,508,Sync!$C$10)&amp;"","")&amp;"; "&amp;IFERROR(INDEX(Clay_Offices!$A$2:$FZ$601,508,Sync!$C$9)&amp;"",""))</f>
        <v/>
      </c>
      <c r="K2159" t="inlineStr">
        <is>
          <t>office outreach touch 1</t>
        </is>
      </c>
    </row>
    <row r="2160">
      <c r="A2160" s="17">
        <f>IF(B2160="","",B2160+(12*1000+509)/10000000)</f>
        <v/>
      </c>
      <c r="B2160" s="23">
        <f>IF(AND(IFERROR(N(INDEX(Clay_Offices!$A$2:$FZ$601,509,Sync!$C$11)),0)&gt;0,IFERROR(INDEX(Clay_Offices!$A$2:$FZ$601,509,Sync!$C$5)&amp;"","")&lt;&gt;"",OR(LEFT(IFERROR(INDEX(Clay_Offices!$A$2:$FZ$601,509,Sync!$C$5)&amp;"",""),6)&lt;&gt;"SAMPLE",Config!$B$19="Y")),IFERROR(N(INDEX(Clay_Offices!$A$2:$FZ$601,509,Sync!$C$11)),0),"")</f>
        <v/>
      </c>
      <c r="C2160" s="17">
        <f>IF(B2160="","","office")</f>
        <v/>
      </c>
      <c r="D2160" s="17">
        <f>IF(B2160="","",IFERROR(INDEX(Clay_Offices!$A$2:$FZ$601,509,Sync!$C$5)&amp;"",""))</f>
        <v/>
      </c>
      <c r="E2160" s="17">
        <f>IF(B2160="","",IFERROR(INDEX(Clay_Offices!$A$2:$FZ$601,509,Sync!$C$6)&amp;"",""))</f>
        <v/>
      </c>
      <c r="F2160" s="17">
        <f>IF(B2160="","","outreach_sent")</f>
        <v/>
      </c>
      <c r="G2160" s="17">
        <f>IF(B2160="","","")</f>
        <v/>
      </c>
      <c r="H2160" s="17">
        <f>IF(B2160="","","")</f>
        <v/>
      </c>
      <c r="I2160" s="17">
        <f>IF(B2160="","","")</f>
        <v/>
      </c>
      <c r="J2160" s="17">
        <f>IF(B2160="","","touch_1; "&amp;IFERROR(INDEX(Clay_Offices!$A$2:$FZ$601,509,Sync!$C$10)&amp;"","")&amp;"; "&amp;IFERROR(INDEX(Clay_Offices!$A$2:$FZ$601,509,Sync!$C$9)&amp;"",""))</f>
        <v/>
      </c>
      <c r="K2160" t="inlineStr">
        <is>
          <t>office outreach touch 1</t>
        </is>
      </c>
    </row>
    <row r="2161">
      <c r="A2161" s="17">
        <f>IF(B2161="","",B2161+(12*1000+510)/10000000)</f>
        <v/>
      </c>
      <c r="B2161" s="23">
        <f>IF(AND(IFERROR(N(INDEX(Clay_Offices!$A$2:$FZ$601,510,Sync!$C$11)),0)&gt;0,IFERROR(INDEX(Clay_Offices!$A$2:$FZ$601,510,Sync!$C$5)&amp;"","")&lt;&gt;"",OR(LEFT(IFERROR(INDEX(Clay_Offices!$A$2:$FZ$601,510,Sync!$C$5)&amp;"",""),6)&lt;&gt;"SAMPLE",Config!$B$19="Y")),IFERROR(N(INDEX(Clay_Offices!$A$2:$FZ$601,510,Sync!$C$11)),0),"")</f>
        <v/>
      </c>
      <c r="C2161" s="17">
        <f>IF(B2161="","","office")</f>
        <v/>
      </c>
      <c r="D2161" s="17">
        <f>IF(B2161="","",IFERROR(INDEX(Clay_Offices!$A$2:$FZ$601,510,Sync!$C$5)&amp;"",""))</f>
        <v/>
      </c>
      <c r="E2161" s="17">
        <f>IF(B2161="","",IFERROR(INDEX(Clay_Offices!$A$2:$FZ$601,510,Sync!$C$6)&amp;"",""))</f>
        <v/>
      </c>
      <c r="F2161" s="17">
        <f>IF(B2161="","","outreach_sent")</f>
        <v/>
      </c>
      <c r="G2161" s="17">
        <f>IF(B2161="","","")</f>
        <v/>
      </c>
      <c r="H2161" s="17">
        <f>IF(B2161="","","")</f>
        <v/>
      </c>
      <c r="I2161" s="17">
        <f>IF(B2161="","","")</f>
        <v/>
      </c>
      <c r="J2161" s="17">
        <f>IF(B2161="","","touch_1; "&amp;IFERROR(INDEX(Clay_Offices!$A$2:$FZ$601,510,Sync!$C$10)&amp;"","")&amp;"; "&amp;IFERROR(INDEX(Clay_Offices!$A$2:$FZ$601,510,Sync!$C$9)&amp;"",""))</f>
        <v/>
      </c>
      <c r="K2161" t="inlineStr">
        <is>
          <t>office outreach touch 1</t>
        </is>
      </c>
    </row>
    <row r="2162">
      <c r="A2162" s="17">
        <f>IF(B2162="","",B2162+(12*1000+511)/10000000)</f>
        <v/>
      </c>
      <c r="B2162" s="23">
        <f>IF(AND(IFERROR(N(INDEX(Clay_Offices!$A$2:$FZ$601,511,Sync!$C$11)),0)&gt;0,IFERROR(INDEX(Clay_Offices!$A$2:$FZ$601,511,Sync!$C$5)&amp;"","")&lt;&gt;"",OR(LEFT(IFERROR(INDEX(Clay_Offices!$A$2:$FZ$601,511,Sync!$C$5)&amp;"",""),6)&lt;&gt;"SAMPLE",Config!$B$19="Y")),IFERROR(N(INDEX(Clay_Offices!$A$2:$FZ$601,511,Sync!$C$11)),0),"")</f>
        <v/>
      </c>
      <c r="C2162" s="17">
        <f>IF(B2162="","","office")</f>
        <v/>
      </c>
      <c r="D2162" s="17">
        <f>IF(B2162="","",IFERROR(INDEX(Clay_Offices!$A$2:$FZ$601,511,Sync!$C$5)&amp;"",""))</f>
        <v/>
      </c>
      <c r="E2162" s="17">
        <f>IF(B2162="","",IFERROR(INDEX(Clay_Offices!$A$2:$FZ$601,511,Sync!$C$6)&amp;"",""))</f>
        <v/>
      </c>
      <c r="F2162" s="17">
        <f>IF(B2162="","","outreach_sent")</f>
        <v/>
      </c>
      <c r="G2162" s="17">
        <f>IF(B2162="","","")</f>
        <v/>
      </c>
      <c r="H2162" s="17">
        <f>IF(B2162="","","")</f>
        <v/>
      </c>
      <c r="I2162" s="17">
        <f>IF(B2162="","","")</f>
        <v/>
      </c>
      <c r="J2162" s="17">
        <f>IF(B2162="","","touch_1; "&amp;IFERROR(INDEX(Clay_Offices!$A$2:$FZ$601,511,Sync!$C$10)&amp;"","")&amp;"; "&amp;IFERROR(INDEX(Clay_Offices!$A$2:$FZ$601,511,Sync!$C$9)&amp;"",""))</f>
        <v/>
      </c>
      <c r="K2162" t="inlineStr">
        <is>
          <t>office outreach touch 1</t>
        </is>
      </c>
    </row>
    <row r="2163">
      <c r="A2163" s="17">
        <f>IF(B2163="","",B2163+(12*1000+512)/10000000)</f>
        <v/>
      </c>
      <c r="B2163" s="23">
        <f>IF(AND(IFERROR(N(INDEX(Clay_Offices!$A$2:$FZ$601,512,Sync!$C$11)),0)&gt;0,IFERROR(INDEX(Clay_Offices!$A$2:$FZ$601,512,Sync!$C$5)&amp;"","")&lt;&gt;"",OR(LEFT(IFERROR(INDEX(Clay_Offices!$A$2:$FZ$601,512,Sync!$C$5)&amp;"",""),6)&lt;&gt;"SAMPLE",Config!$B$19="Y")),IFERROR(N(INDEX(Clay_Offices!$A$2:$FZ$601,512,Sync!$C$11)),0),"")</f>
        <v/>
      </c>
      <c r="C2163" s="17">
        <f>IF(B2163="","","office")</f>
        <v/>
      </c>
      <c r="D2163" s="17">
        <f>IF(B2163="","",IFERROR(INDEX(Clay_Offices!$A$2:$FZ$601,512,Sync!$C$5)&amp;"",""))</f>
        <v/>
      </c>
      <c r="E2163" s="17">
        <f>IF(B2163="","",IFERROR(INDEX(Clay_Offices!$A$2:$FZ$601,512,Sync!$C$6)&amp;"",""))</f>
        <v/>
      </c>
      <c r="F2163" s="17">
        <f>IF(B2163="","","outreach_sent")</f>
        <v/>
      </c>
      <c r="G2163" s="17">
        <f>IF(B2163="","","")</f>
        <v/>
      </c>
      <c r="H2163" s="17">
        <f>IF(B2163="","","")</f>
        <v/>
      </c>
      <c r="I2163" s="17">
        <f>IF(B2163="","","")</f>
        <v/>
      </c>
      <c r="J2163" s="17">
        <f>IF(B2163="","","touch_1; "&amp;IFERROR(INDEX(Clay_Offices!$A$2:$FZ$601,512,Sync!$C$10)&amp;"","")&amp;"; "&amp;IFERROR(INDEX(Clay_Offices!$A$2:$FZ$601,512,Sync!$C$9)&amp;"",""))</f>
        <v/>
      </c>
      <c r="K2163" t="inlineStr">
        <is>
          <t>office outreach touch 1</t>
        </is>
      </c>
    </row>
    <row r="2164">
      <c r="A2164" s="17">
        <f>IF(B2164="","",B2164+(12*1000+513)/10000000)</f>
        <v/>
      </c>
      <c r="B2164" s="23">
        <f>IF(AND(IFERROR(N(INDEX(Clay_Offices!$A$2:$FZ$601,513,Sync!$C$11)),0)&gt;0,IFERROR(INDEX(Clay_Offices!$A$2:$FZ$601,513,Sync!$C$5)&amp;"","")&lt;&gt;"",OR(LEFT(IFERROR(INDEX(Clay_Offices!$A$2:$FZ$601,513,Sync!$C$5)&amp;"",""),6)&lt;&gt;"SAMPLE",Config!$B$19="Y")),IFERROR(N(INDEX(Clay_Offices!$A$2:$FZ$601,513,Sync!$C$11)),0),"")</f>
        <v/>
      </c>
      <c r="C2164" s="17">
        <f>IF(B2164="","","office")</f>
        <v/>
      </c>
      <c r="D2164" s="17">
        <f>IF(B2164="","",IFERROR(INDEX(Clay_Offices!$A$2:$FZ$601,513,Sync!$C$5)&amp;"",""))</f>
        <v/>
      </c>
      <c r="E2164" s="17">
        <f>IF(B2164="","",IFERROR(INDEX(Clay_Offices!$A$2:$FZ$601,513,Sync!$C$6)&amp;"",""))</f>
        <v/>
      </c>
      <c r="F2164" s="17">
        <f>IF(B2164="","","outreach_sent")</f>
        <v/>
      </c>
      <c r="G2164" s="17">
        <f>IF(B2164="","","")</f>
        <v/>
      </c>
      <c r="H2164" s="17">
        <f>IF(B2164="","","")</f>
        <v/>
      </c>
      <c r="I2164" s="17">
        <f>IF(B2164="","","")</f>
        <v/>
      </c>
      <c r="J2164" s="17">
        <f>IF(B2164="","","touch_1; "&amp;IFERROR(INDEX(Clay_Offices!$A$2:$FZ$601,513,Sync!$C$10)&amp;"","")&amp;"; "&amp;IFERROR(INDEX(Clay_Offices!$A$2:$FZ$601,513,Sync!$C$9)&amp;"",""))</f>
        <v/>
      </c>
      <c r="K2164" t="inlineStr">
        <is>
          <t>office outreach touch 1</t>
        </is>
      </c>
    </row>
    <row r="2165">
      <c r="A2165" s="17">
        <f>IF(B2165="","",B2165+(12*1000+514)/10000000)</f>
        <v/>
      </c>
      <c r="B2165" s="23">
        <f>IF(AND(IFERROR(N(INDEX(Clay_Offices!$A$2:$FZ$601,514,Sync!$C$11)),0)&gt;0,IFERROR(INDEX(Clay_Offices!$A$2:$FZ$601,514,Sync!$C$5)&amp;"","")&lt;&gt;"",OR(LEFT(IFERROR(INDEX(Clay_Offices!$A$2:$FZ$601,514,Sync!$C$5)&amp;"",""),6)&lt;&gt;"SAMPLE",Config!$B$19="Y")),IFERROR(N(INDEX(Clay_Offices!$A$2:$FZ$601,514,Sync!$C$11)),0),"")</f>
        <v/>
      </c>
      <c r="C2165" s="17">
        <f>IF(B2165="","","office")</f>
        <v/>
      </c>
      <c r="D2165" s="17">
        <f>IF(B2165="","",IFERROR(INDEX(Clay_Offices!$A$2:$FZ$601,514,Sync!$C$5)&amp;"",""))</f>
        <v/>
      </c>
      <c r="E2165" s="17">
        <f>IF(B2165="","",IFERROR(INDEX(Clay_Offices!$A$2:$FZ$601,514,Sync!$C$6)&amp;"",""))</f>
        <v/>
      </c>
      <c r="F2165" s="17">
        <f>IF(B2165="","","outreach_sent")</f>
        <v/>
      </c>
      <c r="G2165" s="17">
        <f>IF(B2165="","","")</f>
        <v/>
      </c>
      <c r="H2165" s="17">
        <f>IF(B2165="","","")</f>
        <v/>
      </c>
      <c r="I2165" s="17">
        <f>IF(B2165="","","")</f>
        <v/>
      </c>
      <c r="J2165" s="17">
        <f>IF(B2165="","","touch_1; "&amp;IFERROR(INDEX(Clay_Offices!$A$2:$FZ$601,514,Sync!$C$10)&amp;"","")&amp;"; "&amp;IFERROR(INDEX(Clay_Offices!$A$2:$FZ$601,514,Sync!$C$9)&amp;"",""))</f>
        <v/>
      </c>
      <c r="K2165" t="inlineStr">
        <is>
          <t>office outreach touch 1</t>
        </is>
      </c>
    </row>
    <row r="2166">
      <c r="A2166" s="17">
        <f>IF(B2166="","",B2166+(12*1000+515)/10000000)</f>
        <v/>
      </c>
      <c r="B2166" s="23">
        <f>IF(AND(IFERROR(N(INDEX(Clay_Offices!$A$2:$FZ$601,515,Sync!$C$11)),0)&gt;0,IFERROR(INDEX(Clay_Offices!$A$2:$FZ$601,515,Sync!$C$5)&amp;"","")&lt;&gt;"",OR(LEFT(IFERROR(INDEX(Clay_Offices!$A$2:$FZ$601,515,Sync!$C$5)&amp;"",""),6)&lt;&gt;"SAMPLE",Config!$B$19="Y")),IFERROR(N(INDEX(Clay_Offices!$A$2:$FZ$601,515,Sync!$C$11)),0),"")</f>
        <v/>
      </c>
      <c r="C2166" s="17">
        <f>IF(B2166="","","office")</f>
        <v/>
      </c>
      <c r="D2166" s="17">
        <f>IF(B2166="","",IFERROR(INDEX(Clay_Offices!$A$2:$FZ$601,515,Sync!$C$5)&amp;"",""))</f>
        <v/>
      </c>
      <c r="E2166" s="17">
        <f>IF(B2166="","",IFERROR(INDEX(Clay_Offices!$A$2:$FZ$601,515,Sync!$C$6)&amp;"",""))</f>
        <v/>
      </c>
      <c r="F2166" s="17">
        <f>IF(B2166="","","outreach_sent")</f>
        <v/>
      </c>
      <c r="G2166" s="17">
        <f>IF(B2166="","","")</f>
        <v/>
      </c>
      <c r="H2166" s="17">
        <f>IF(B2166="","","")</f>
        <v/>
      </c>
      <c r="I2166" s="17">
        <f>IF(B2166="","","")</f>
        <v/>
      </c>
      <c r="J2166" s="17">
        <f>IF(B2166="","","touch_1; "&amp;IFERROR(INDEX(Clay_Offices!$A$2:$FZ$601,515,Sync!$C$10)&amp;"","")&amp;"; "&amp;IFERROR(INDEX(Clay_Offices!$A$2:$FZ$601,515,Sync!$C$9)&amp;"",""))</f>
        <v/>
      </c>
      <c r="K2166" t="inlineStr">
        <is>
          <t>office outreach touch 1</t>
        </is>
      </c>
    </row>
    <row r="2167">
      <c r="A2167" s="17">
        <f>IF(B2167="","",B2167+(12*1000+516)/10000000)</f>
        <v/>
      </c>
      <c r="B2167" s="23">
        <f>IF(AND(IFERROR(N(INDEX(Clay_Offices!$A$2:$FZ$601,516,Sync!$C$11)),0)&gt;0,IFERROR(INDEX(Clay_Offices!$A$2:$FZ$601,516,Sync!$C$5)&amp;"","")&lt;&gt;"",OR(LEFT(IFERROR(INDEX(Clay_Offices!$A$2:$FZ$601,516,Sync!$C$5)&amp;"",""),6)&lt;&gt;"SAMPLE",Config!$B$19="Y")),IFERROR(N(INDEX(Clay_Offices!$A$2:$FZ$601,516,Sync!$C$11)),0),"")</f>
        <v/>
      </c>
      <c r="C2167" s="17">
        <f>IF(B2167="","","office")</f>
        <v/>
      </c>
      <c r="D2167" s="17">
        <f>IF(B2167="","",IFERROR(INDEX(Clay_Offices!$A$2:$FZ$601,516,Sync!$C$5)&amp;"",""))</f>
        <v/>
      </c>
      <c r="E2167" s="17">
        <f>IF(B2167="","",IFERROR(INDEX(Clay_Offices!$A$2:$FZ$601,516,Sync!$C$6)&amp;"",""))</f>
        <v/>
      </c>
      <c r="F2167" s="17">
        <f>IF(B2167="","","outreach_sent")</f>
        <v/>
      </c>
      <c r="G2167" s="17">
        <f>IF(B2167="","","")</f>
        <v/>
      </c>
      <c r="H2167" s="17">
        <f>IF(B2167="","","")</f>
        <v/>
      </c>
      <c r="I2167" s="17">
        <f>IF(B2167="","","")</f>
        <v/>
      </c>
      <c r="J2167" s="17">
        <f>IF(B2167="","","touch_1; "&amp;IFERROR(INDEX(Clay_Offices!$A$2:$FZ$601,516,Sync!$C$10)&amp;"","")&amp;"; "&amp;IFERROR(INDEX(Clay_Offices!$A$2:$FZ$601,516,Sync!$C$9)&amp;"",""))</f>
        <v/>
      </c>
      <c r="K2167" t="inlineStr">
        <is>
          <t>office outreach touch 1</t>
        </is>
      </c>
    </row>
    <row r="2168">
      <c r="A2168" s="17">
        <f>IF(B2168="","",B2168+(12*1000+517)/10000000)</f>
        <v/>
      </c>
      <c r="B2168" s="23">
        <f>IF(AND(IFERROR(N(INDEX(Clay_Offices!$A$2:$FZ$601,517,Sync!$C$11)),0)&gt;0,IFERROR(INDEX(Clay_Offices!$A$2:$FZ$601,517,Sync!$C$5)&amp;"","")&lt;&gt;"",OR(LEFT(IFERROR(INDEX(Clay_Offices!$A$2:$FZ$601,517,Sync!$C$5)&amp;"",""),6)&lt;&gt;"SAMPLE",Config!$B$19="Y")),IFERROR(N(INDEX(Clay_Offices!$A$2:$FZ$601,517,Sync!$C$11)),0),"")</f>
        <v/>
      </c>
      <c r="C2168" s="17">
        <f>IF(B2168="","","office")</f>
        <v/>
      </c>
      <c r="D2168" s="17">
        <f>IF(B2168="","",IFERROR(INDEX(Clay_Offices!$A$2:$FZ$601,517,Sync!$C$5)&amp;"",""))</f>
        <v/>
      </c>
      <c r="E2168" s="17">
        <f>IF(B2168="","",IFERROR(INDEX(Clay_Offices!$A$2:$FZ$601,517,Sync!$C$6)&amp;"",""))</f>
        <v/>
      </c>
      <c r="F2168" s="17">
        <f>IF(B2168="","","outreach_sent")</f>
        <v/>
      </c>
      <c r="G2168" s="17">
        <f>IF(B2168="","","")</f>
        <v/>
      </c>
      <c r="H2168" s="17">
        <f>IF(B2168="","","")</f>
        <v/>
      </c>
      <c r="I2168" s="17">
        <f>IF(B2168="","","")</f>
        <v/>
      </c>
      <c r="J2168" s="17">
        <f>IF(B2168="","","touch_1; "&amp;IFERROR(INDEX(Clay_Offices!$A$2:$FZ$601,517,Sync!$C$10)&amp;"","")&amp;"; "&amp;IFERROR(INDEX(Clay_Offices!$A$2:$FZ$601,517,Sync!$C$9)&amp;"",""))</f>
        <v/>
      </c>
      <c r="K2168" t="inlineStr">
        <is>
          <t>office outreach touch 1</t>
        </is>
      </c>
    </row>
    <row r="2169">
      <c r="A2169" s="17">
        <f>IF(B2169="","",B2169+(12*1000+518)/10000000)</f>
        <v/>
      </c>
      <c r="B2169" s="23">
        <f>IF(AND(IFERROR(N(INDEX(Clay_Offices!$A$2:$FZ$601,518,Sync!$C$11)),0)&gt;0,IFERROR(INDEX(Clay_Offices!$A$2:$FZ$601,518,Sync!$C$5)&amp;"","")&lt;&gt;"",OR(LEFT(IFERROR(INDEX(Clay_Offices!$A$2:$FZ$601,518,Sync!$C$5)&amp;"",""),6)&lt;&gt;"SAMPLE",Config!$B$19="Y")),IFERROR(N(INDEX(Clay_Offices!$A$2:$FZ$601,518,Sync!$C$11)),0),"")</f>
        <v/>
      </c>
      <c r="C2169" s="17">
        <f>IF(B2169="","","office")</f>
        <v/>
      </c>
      <c r="D2169" s="17">
        <f>IF(B2169="","",IFERROR(INDEX(Clay_Offices!$A$2:$FZ$601,518,Sync!$C$5)&amp;"",""))</f>
        <v/>
      </c>
      <c r="E2169" s="17">
        <f>IF(B2169="","",IFERROR(INDEX(Clay_Offices!$A$2:$FZ$601,518,Sync!$C$6)&amp;"",""))</f>
        <v/>
      </c>
      <c r="F2169" s="17">
        <f>IF(B2169="","","outreach_sent")</f>
        <v/>
      </c>
      <c r="G2169" s="17">
        <f>IF(B2169="","","")</f>
        <v/>
      </c>
      <c r="H2169" s="17">
        <f>IF(B2169="","","")</f>
        <v/>
      </c>
      <c r="I2169" s="17">
        <f>IF(B2169="","","")</f>
        <v/>
      </c>
      <c r="J2169" s="17">
        <f>IF(B2169="","","touch_1; "&amp;IFERROR(INDEX(Clay_Offices!$A$2:$FZ$601,518,Sync!$C$10)&amp;"","")&amp;"; "&amp;IFERROR(INDEX(Clay_Offices!$A$2:$FZ$601,518,Sync!$C$9)&amp;"",""))</f>
        <v/>
      </c>
      <c r="K2169" t="inlineStr">
        <is>
          <t>office outreach touch 1</t>
        </is>
      </c>
    </row>
    <row r="2170">
      <c r="A2170" s="17">
        <f>IF(B2170="","",B2170+(12*1000+519)/10000000)</f>
        <v/>
      </c>
      <c r="B2170" s="23">
        <f>IF(AND(IFERROR(N(INDEX(Clay_Offices!$A$2:$FZ$601,519,Sync!$C$11)),0)&gt;0,IFERROR(INDEX(Clay_Offices!$A$2:$FZ$601,519,Sync!$C$5)&amp;"","")&lt;&gt;"",OR(LEFT(IFERROR(INDEX(Clay_Offices!$A$2:$FZ$601,519,Sync!$C$5)&amp;"",""),6)&lt;&gt;"SAMPLE",Config!$B$19="Y")),IFERROR(N(INDEX(Clay_Offices!$A$2:$FZ$601,519,Sync!$C$11)),0),"")</f>
        <v/>
      </c>
      <c r="C2170" s="17">
        <f>IF(B2170="","","office")</f>
        <v/>
      </c>
      <c r="D2170" s="17">
        <f>IF(B2170="","",IFERROR(INDEX(Clay_Offices!$A$2:$FZ$601,519,Sync!$C$5)&amp;"",""))</f>
        <v/>
      </c>
      <c r="E2170" s="17">
        <f>IF(B2170="","",IFERROR(INDEX(Clay_Offices!$A$2:$FZ$601,519,Sync!$C$6)&amp;"",""))</f>
        <v/>
      </c>
      <c r="F2170" s="17">
        <f>IF(B2170="","","outreach_sent")</f>
        <v/>
      </c>
      <c r="G2170" s="17">
        <f>IF(B2170="","","")</f>
        <v/>
      </c>
      <c r="H2170" s="17">
        <f>IF(B2170="","","")</f>
        <v/>
      </c>
      <c r="I2170" s="17">
        <f>IF(B2170="","","")</f>
        <v/>
      </c>
      <c r="J2170" s="17">
        <f>IF(B2170="","","touch_1; "&amp;IFERROR(INDEX(Clay_Offices!$A$2:$FZ$601,519,Sync!$C$10)&amp;"","")&amp;"; "&amp;IFERROR(INDEX(Clay_Offices!$A$2:$FZ$601,519,Sync!$C$9)&amp;"",""))</f>
        <v/>
      </c>
      <c r="K2170" t="inlineStr">
        <is>
          <t>office outreach touch 1</t>
        </is>
      </c>
    </row>
    <row r="2171">
      <c r="A2171" s="17">
        <f>IF(B2171="","",B2171+(12*1000+520)/10000000)</f>
        <v/>
      </c>
      <c r="B2171" s="23">
        <f>IF(AND(IFERROR(N(INDEX(Clay_Offices!$A$2:$FZ$601,520,Sync!$C$11)),0)&gt;0,IFERROR(INDEX(Clay_Offices!$A$2:$FZ$601,520,Sync!$C$5)&amp;"","")&lt;&gt;"",OR(LEFT(IFERROR(INDEX(Clay_Offices!$A$2:$FZ$601,520,Sync!$C$5)&amp;"",""),6)&lt;&gt;"SAMPLE",Config!$B$19="Y")),IFERROR(N(INDEX(Clay_Offices!$A$2:$FZ$601,520,Sync!$C$11)),0),"")</f>
        <v/>
      </c>
      <c r="C2171" s="17">
        <f>IF(B2171="","","office")</f>
        <v/>
      </c>
      <c r="D2171" s="17">
        <f>IF(B2171="","",IFERROR(INDEX(Clay_Offices!$A$2:$FZ$601,520,Sync!$C$5)&amp;"",""))</f>
        <v/>
      </c>
      <c r="E2171" s="17">
        <f>IF(B2171="","",IFERROR(INDEX(Clay_Offices!$A$2:$FZ$601,520,Sync!$C$6)&amp;"",""))</f>
        <v/>
      </c>
      <c r="F2171" s="17">
        <f>IF(B2171="","","outreach_sent")</f>
        <v/>
      </c>
      <c r="G2171" s="17">
        <f>IF(B2171="","","")</f>
        <v/>
      </c>
      <c r="H2171" s="17">
        <f>IF(B2171="","","")</f>
        <v/>
      </c>
      <c r="I2171" s="17">
        <f>IF(B2171="","","")</f>
        <v/>
      </c>
      <c r="J2171" s="17">
        <f>IF(B2171="","","touch_1; "&amp;IFERROR(INDEX(Clay_Offices!$A$2:$FZ$601,520,Sync!$C$10)&amp;"","")&amp;"; "&amp;IFERROR(INDEX(Clay_Offices!$A$2:$FZ$601,520,Sync!$C$9)&amp;"",""))</f>
        <v/>
      </c>
      <c r="K2171" t="inlineStr">
        <is>
          <t>office outreach touch 1</t>
        </is>
      </c>
    </row>
    <row r="2172">
      <c r="A2172" s="17">
        <f>IF(B2172="","",B2172+(12*1000+521)/10000000)</f>
        <v/>
      </c>
      <c r="B2172" s="23">
        <f>IF(AND(IFERROR(N(INDEX(Clay_Offices!$A$2:$FZ$601,521,Sync!$C$11)),0)&gt;0,IFERROR(INDEX(Clay_Offices!$A$2:$FZ$601,521,Sync!$C$5)&amp;"","")&lt;&gt;"",OR(LEFT(IFERROR(INDEX(Clay_Offices!$A$2:$FZ$601,521,Sync!$C$5)&amp;"",""),6)&lt;&gt;"SAMPLE",Config!$B$19="Y")),IFERROR(N(INDEX(Clay_Offices!$A$2:$FZ$601,521,Sync!$C$11)),0),"")</f>
        <v/>
      </c>
      <c r="C2172" s="17">
        <f>IF(B2172="","","office")</f>
        <v/>
      </c>
      <c r="D2172" s="17">
        <f>IF(B2172="","",IFERROR(INDEX(Clay_Offices!$A$2:$FZ$601,521,Sync!$C$5)&amp;"",""))</f>
        <v/>
      </c>
      <c r="E2172" s="17">
        <f>IF(B2172="","",IFERROR(INDEX(Clay_Offices!$A$2:$FZ$601,521,Sync!$C$6)&amp;"",""))</f>
        <v/>
      </c>
      <c r="F2172" s="17">
        <f>IF(B2172="","","outreach_sent")</f>
        <v/>
      </c>
      <c r="G2172" s="17">
        <f>IF(B2172="","","")</f>
        <v/>
      </c>
      <c r="H2172" s="17">
        <f>IF(B2172="","","")</f>
        <v/>
      </c>
      <c r="I2172" s="17">
        <f>IF(B2172="","","")</f>
        <v/>
      </c>
      <c r="J2172" s="17">
        <f>IF(B2172="","","touch_1; "&amp;IFERROR(INDEX(Clay_Offices!$A$2:$FZ$601,521,Sync!$C$10)&amp;"","")&amp;"; "&amp;IFERROR(INDEX(Clay_Offices!$A$2:$FZ$601,521,Sync!$C$9)&amp;"",""))</f>
        <v/>
      </c>
      <c r="K2172" t="inlineStr">
        <is>
          <t>office outreach touch 1</t>
        </is>
      </c>
    </row>
    <row r="2173">
      <c r="A2173" s="17">
        <f>IF(B2173="","",B2173+(12*1000+522)/10000000)</f>
        <v/>
      </c>
      <c r="B2173" s="23">
        <f>IF(AND(IFERROR(N(INDEX(Clay_Offices!$A$2:$FZ$601,522,Sync!$C$11)),0)&gt;0,IFERROR(INDEX(Clay_Offices!$A$2:$FZ$601,522,Sync!$C$5)&amp;"","")&lt;&gt;"",OR(LEFT(IFERROR(INDEX(Clay_Offices!$A$2:$FZ$601,522,Sync!$C$5)&amp;"",""),6)&lt;&gt;"SAMPLE",Config!$B$19="Y")),IFERROR(N(INDEX(Clay_Offices!$A$2:$FZ$601,522,Sync!$C$11)),0),"")</f>
        <v/>
      </c>
      <c r="C2173" s="17">
        <f>IF(B2173="","","office")</f>
        <v/>
      </c>
      <c r="D2173" s="17">
        <f>IF(B2173="","",IFERROR(INDEX(Clay_Offices!$A$2:$FZ$601,522,Sync!$C$5)&amp;"",""))</f>
        <v/>
      </c>
      <c r="E2173" s="17">
        <f>IF(B2173="","",IFERROR(INDEX(Clay_Offices!$A$2:$FZ$601,522,Sync!$C$6)&amp;"",""))</f>
        <v/>
      </c>
      <c r="F2173" s="17">
        <f>IF(B2173="","","outreach_sent")</f>
        <v/>
      </c>
      <c r="G2173" s="17">
        <f>IF(B2173="","","")</f>
        <v/>
      </c>
      <c r="H2173" s="17">
        <f>IF(B2173="","","")</f>
        <v/>
      </c>
      <c r="I2173" s="17">
        <f>IF(B2173="","","")</f>
        <v/>
      </c>
      <c r="J2173" s="17">
        <f>IF(B2173="","","touch_1; "&amp;IFERROR(INDEX(Clay_Offices!$A$2:$FZ$601,522,Sync!$C$10)&amp;"","")&amp;"; "&amp;IFERROR(INDEX(Clay_Offices!$A$2:$FZ$601,522,Sync!$C$9)&amp;"",""))</f>
        <v/>
      </c>
      <c r="K2173" t="inlineStr">
        <is>
          <t>office outreach touch 1</t>
        </is>
      </c>
    </row>
    <row r="2174">
      <c r="A2174" s="17">
        <f>IF(B2174="","",B2174+(12*1000+523)/10000000)</f>
        <v/>
      </c>
      <c r="B2174" s="23">
        <f>IF(AND(IFERROR(N(INDEX(Clay_Offices!$A$2:$FZ$601,523,Sync!$C$11)),0)&gt;0,IFERROR(INDEX(Clay_Offices!$A$2:$FZ$601,523,Sync!$C$5)&amp;"","")&lt;&gt;"",OR(LEFT(IFERROR(INDEX(Clay_Offices!$A$2:$FZ$601,523,Sync!$C$5)&amp;"",""),6)&lt;&gt;"SAMPLE",Config!$B$19="Y")),IFERROR(N(INDEX(Clay_Offices!$A$2:$FZ$601,523,Sync!$C$11)),0),"")</f>
        <v/>
      </c>
      <c r="C2174" s="17">
        <f>IF(B2174="","","office")</f>
        <v/>
      </c>
      <c r="D2174" s="17">
        <f>IF(B2174="","",IFERROR(INDEX(Clay_Offices!$A$2:$FZ$601,523,Sync!$C$5)&amp;"",""))</f>
        <v/>
      </c>
      <c r="E2174" s="17">
        <f>IF(B2174="","",IFERROR(INDEX(Clay_Offices!$A$2:$FZ$601,523,Sync!$C$6)&amp;"",""))</f>
        <v/>
      </c>
      <c r="F2174" s="17">
        <f>IF(B2174="","","outreach_sent")</f>
        <v/>
      </c>
      <c r="G2174" s="17">
        <f>IF(B2174="","","")</f>
        <v/>
      </c>
      <c r="H2174" s="17">
        <f>IF(B2174="","","")</f>
        <v/>
      </c>
      <c r="I2174" s="17">
        <f>IF(B2174="","","")</f>
        <v/>
      </c>
      <c r="J2174" s="17">
        <f>IF(B2174="","","touch_1; "&amp;IFERROR(INDEX(Clay_Offices!$A$2:$FZ$601,523,Sync!$C$10)&amp;"","")&amp;"; "&amp;IFERROR(INDEX(Clay_Offices!$A$2:$FZ$601,523,Sync!$C$9)&amp;"",""))</f>
        <v/>
      </c>
      <c r="K2174" t="inlineStr">
        <is>
          <t>office outreach touch 1</t>
        </is>
      </c>
    </row>
    <row r="2175">
      <c r="A2175" s="17">
        <f>IF(B2175="","",B2175+(12*1000+524)/10000000)</f>
        <v/>
      </c>
      <c r="B2175" s="23">
        <f>IF(AND(IFERROR(N(INDEX(Clay_Offices!$A$2:$FZ$601,524,Sync!$C$11)),0)&gt;0,IFERROR(INDEX(Clay_Offices!$A$2:$FZ$601,524,Sync!$C$5)&amp;"","")&lt;&gt;"",OR(LEFT(IFERROR(INDEX(Clay_Offices!$A$2:$FZ$601,524,Sync!$C$5)&amp;"",""),6)&lt;&gt;"SAMPLE",Config!$B$19="Y")),IFERROR(N(INDEX(Clay_Offices!$A$2:$FZ$601,524,Sync!$C$11)),0),"")</f>
        <v/>
      </c>
      <c r="C2175" s="17">
        <f>IF(B2175="","","office")</f>
        <v/>
      </c>
      <c r="D2175" s="17">
        <f>IF(B2175="","",IFERROR(INDEX(Clay_Offices!$A$2:$FZ$601,524,Sync!$C$5)&amp;"",""))</f>
        <v/>
      </c>
      <c r="E2175" s="17">
        <f>IF(B2175="","",IFERROR(INDEX(Clay_Offices!$A$2:$FZ$601,524,Sync!$C$6)&amp;"",""))</f>
        <v/>
      </c>
      <c r="F2175" s="17">
        <f>IF(B2175="","","outreach_sent")</f>
        <v/>
      </c>
      <c r="G2175" s="17">
        <f>IF(B2175="","","")</f>
        <v/>
      </c>
      <c r="H2175" s="17">
        <f>IF(B2175="","","")</f>
        <v/>
      </c>
      <c r="I2175" s="17">
        <f>IF(B2175="","","")</f>
        <v/>
      </c>
      <c r="J2175" s="17">
        <f>IF(B2175="","","touch_1; "&amp;IFERROR(INDEX(Clay_Offices!$A$2:$FZ$601,524,Sync!$C$10)&amp;"","")&amp;"; "&amp;IFERROR(INDEX(Clay_Offices!$A$2:$FZ$601,524,Sync!$C$9)&amp;"",""))</f>
        <v/>
      </c>
      <c r="K2175" t="inlineStr">
        <is>
          <t>office outreach touch 1</t>
        </is>
      </c>
    </row>
    <row r="2176">
      <c r="A2176" s="17">
        <f>IF(B2176="","",B2176+(12*1000+525)/10000000)</f>
        <v/>
      </c>
      <c r="B2176" s="23">
        <f>IF(AND(IFERROR(N(INDEX(Clay_Offices!$A$2:$FZ$601,525,Sync!$C$11)),0)&gt;0,IFERROR(INDEX(Clay_Offices!$A$2:$FZ$601,525,Sync!$C$5)&amp;"","")&lt;&gt;"",OR(LEFT(IFERROR(INDEX(Clay_Offices!$A$2:$FZ$601,525,Sync!$C$5)&amp;"",""),6)&lt;&gt;"SAMPLE",Config!$B$19="Y")),IFERROR(N(INDEX(Clay_Offices!$A$2:$FZ$601,525,Sync!$C$11)),0),"")</f>
        <v/>
      </c>
      <c r="C2176" s="17">
        <f>IF(B2176="","","office")</f>
        <v/>
      </c>
      <c r="D2176" s="17">
        <f>IF(B2176="","",IFERROR(INDEX(Clay_Offices!$A$2:$FZ$601,525,Sync!$C$5)&amp;"",""))</f>
        <v/>
      </c>
      <c r="E2176" s="17">
        <f>IF(B2176="","",IFERROR(INDEX(Clay_Offices!$A$2:$FZ$601,525,Sync!$C$6)&amp;"",""))</f>
        <v/>
      </c>
      <c r="F2176" s="17">
        <f>IF(B2176="","","outreach_sent")</f>
        <v/>
      </c>
      <c r="G2176" s="17">
        <f>IF(B2176="","","")</f>
        <v/>
      </c>
      <c r="H2176" s="17">
        <f>IF(B2176="","","")</f>
        <v/>
      </c>
      <c r="I2176" s="17">
        <f>IF(B2176="","","")</f>
        <v/>
      </c>
      <c r="J2176" s="17">
        <f>IF(B2176="","","touch_1; "&amp;IFERROR(INDEX(Clay_Offices!$A$2:$FZ$601,525,Sync!$C$10)&amp;"","")&amp;"; "&amp;IFERROR(INDEX(Clay_Offices!$A$2:$FZ$601,525,Sync!$C$9)&amp;"",""))</f>
        <v/>
      </c>
      <c r="K2176" t="inlineStr">
        <is>
          <t>office outreach touch 1</t>
        </is>
      </c>
    </row>
    <row r="2177">
      <c r="A2177" s="17">
        <f>IF(B2177="","",B2177+(12*1000+526)/10000000)</f>
        <v/>
      </c>
      <c r="B2177" s="23">
        <f>IF(AND(IFERROR(N(INDEX(Clay_Offices!$A$2:$FZ$601,526,Sync!$C$11)),0)&gt;0,IFERROR(INDEX(Clay_Offices!$A$2:$FZ$601,526,Sync!$C$5)&amp;"","")&lt;&gt;"",OR(LEFT(IFERROR(INDEX(Clay_Offices!$A$2:$FZ$601,526,Sync!$C$5)&amp;"",""),6)&lt;&gt;"SAMPLE",Config!$B$19="Y")),IFERROR(N(INDEX(Clay_Offices!$A$2:$FZ$601,526,Sync!$C$11)),0),"")</f>
        <v/>
      </c>
      <c r="C2177" s="17">
        <f>IF(B2177="","","office")</f>
        <v/>
      </c>
      <c r="D2177" s="17">
        <f>IF(B2177="","",IFERROR(INDEX(Clay_Offices!$A$2:$FZ$601,526,Sync!$C$5)&amp;"",""))</f>
        <v/>
      </c>
      <c r="E2177" s="17">
        <f>IF(B2177="","",IFERROR(INDEX(Clay_Offices!$A$2:$FZ$601,526,Sync!$C$6)&amp;"",""))</f>
        <v/>
      </c>
      <c r="F2177" s="17">
        <f>IF(B2177="","","outreach_sent")</f>
        <v/>
      </c>
      <c r="G2177" s="17">
        <f>IF(B2177="","","")</f>
        <v/>
      </c>
      <c r="H2177" s="17">
        <f>IF(B2177="","","")</f>
        <v/>
      </c>
      <c r="I2177" s="17">
        <f>IF(B2177="","","")</f>
        <v/>
      </c>
      <c r="J2177" s="17">
        <f>IF(B2177="","","touch_1; "&amp;IFERROR(INDEX(Clay_Offices!$A$2:$FZ$601,526,Sync!$C$10)&amp;"","")&amp;"; "&amp;IFERROR(INDEX(Clay_Offices!$A$2:$FZ$601,526,Sync!$C$9)&amp;"",""))</f>
        <v/>
      </c>
      <c r="K2177" t="inlineStr">
        <is>
          <t>office outreach touch 1</t>
        </is>
      </c>
    </row>
    <row r="2178">
      <c r="A2178" s="17">
        <f>IF(B2178="","",B2178+(12*1000+527)/10000000)</f>
        <v/>
      </c>
      <c r="B2178" s="23">
        <f>IF(AND(IFERROR(N(INDEX(Clay_Offices!$A$2:$FZ$601,527,Sync!$C$11)),0)&gt;0,IFERROR(INDEX(Clay_Offices!$A$2:$FZ$601,527,Sync!$C$5)&amp;"","")&lt;&gt;"",OR(LEFT(IFERROR(INDEX(Clay_Offices!$A$2:$FZ$601,527,Sync!$C$5)&amp;"",""),6)&lt;&gt;"SAMPLE",Config!$B$19="Y")),IFERROR(N(INDEX(Clay_Offices!$A$2:$FZ$601,527,Sync!$C$11)),0),"")</f>
        <v/>
      </c>
      <c r="C2178" s="17">
        <f>IF(B2178="","","office")</f>
        <v/>
      </c>
      <c r="D2178" s="17">
        <f>IF(B2178="","",IFERROR(INDEX(Clay_Offices!$A$2:$FZ$601,527,Sync!$C$5)&amp;"",""))</f>
        <v/>
      </c>
      <c r="E2178" s="17">
        <f>IF(B2178="","",IFERROR(INDEX(Clay_Offices!$A$2:$FZ$601,527,Sync!$C$6)&amp;"",""))</f>
        <v/>
      </c>
      <c r="F2178" s="17">
        <f>IF(B2178="","","outreach_sent")</f>
        <v/>
      </c>
      <c r="G2178" s="17">
        <f>IF(B2178="","","")</f>
        <v/>
      </c>
      <c r="H2178" s="17">
        <f>IF(B2178="","","")</f>
        <v/>
      </c>
      <c r="I2178" s="17">
        <f>IF(B2178="","","")</f>
        <v/>
      </c>
      <c r="J2178" s="17">
        <f>IF(B2178="","","touch_1; "&amp;IFERROR(INDEX(Clay_Offices!$A$2:$FZ$601,527,Sync!$C$10)&amp;"","")&amp;"; "&amp;IFERROR(INDEX(Clay_Offices!$A$2:$FZ$601,527,Sync!$C$9)&amp;"",""))</f>
        <v/>
      </c>
      <c r="K2178" t="inlineStr">
        <is>
          <t>office outreach touch 1</t>
        </is>
      </c>
    </row>
    <row r="2179">
      <c r="A2179" s="17">
        <f>IF(B2179="","",B2179+(12*1000+528)/10000000)</f>
        <v/>
      </c>
      <c r="B2179" s="23">
        <f>IF(AND(IFERROR(N(INDEX(Clay_Offices!$A$2:$FZ$601,528,Sync!$C$11)),0)&gt;0,IFERROR(INDEX(Clay_Offices!$A$2:$FZ$601,528,Sync!$C$5)&amp;"","")&lt;&gt;"",OR(LEFT(IFERROR(INDEX(Clay_Offices!$A$2:$FZ$601,528,Sync!$C$5)&amp;"",""),6)&lt;&gt;"SAMPLE",Config!$B$19="Y")),IFERROR(N(INDEX(Clay_Offices!$A$2:$FZ$601,528,Sync!$C$11)),0),"")</f>
        <v/>
      </c>
      <c r="C2179" s="17">
        <f>IF(B2179="","","office")</f>
        <v/>
      </c>
      <c r="D2179" s="17">
        <f>IF(B2179="","",IFERROR(INDEX(Clay_Offices!$A$2:$FZ$601,528,Sync!$C$5)&amp;"",""))</f>
        <v/>
      </c>
      <c r="E2179" s="17">
        <f>IF(B2179="","",IFERROR(INDEX(Clay_Offices!$A$2:$FZ$601,528,Sync!$C$6)&amp;"",""))</f>
        <v/>
      </c>
      <c r="F2179" s="17">
        <f>IF(B2179="","","outreach_sent")</f>
        <v/>
      </c>
      <c r="G2179" s="17">
        <f>IF(B2179="","","")</f>
        <v/>
      </c>
      <c r="H2179" s="17">
        <f>IF(B2179="","","")</f>
        <v/>
      </c>
      <c r="I2179" s="17">
        <f>IF(B2179="","","")</f>
        <v/>
      </c>
      <c r="J2179" s="17">
        <f>IF(B2179="","","touch_1; "&amp;IFERROR(INDEX(Clay_Offices!$A$2:$FZ$601,528,Sync!$C$10)&amp;"","")&amp;"; "&amp;IFERROR(INDEX(Clay_Offices!$A$2:$FZ$601,528,Sync!$C$9)&amp;"",""))</f>
        <v/>
      </c>
      <c r="K2179" t="inlineStr">
        <is>
          <t>office outreach touch 1</t>
        </is>
      </c>
    </row>
    <row r="2180">
      <c r="A2180" s="17">
        <f>IF(B2180="","",B2180+(12*1000+529)/10000000)</f>
        <v/>
      </c>
      <c r="B2180" s="23">
        <f>IF(AND(IFERROR(N(INDEX(Clay_Offices!$A$2:$FZ$601,529,Sync!$C$11)),0)&gt;0,IFERROR(INDEX(Clay_Offices!$A$2:$FZ$601,529,Sync!$C$5)&amp;"","")&lt;&gt;"",OR(LEFT(IFERROR(INDEX(Clay_Offices!$A$2:$FZ$601,529,Sync!$C$5)&amp;"",""),6)&lt;&gt;"SAMPLE",Config!$B$19="Y")),IFERROR(N(INDEX(Clay_Offices!$A$2:$FZ$601,529,Sync!$C$11)),0),"")</f>
        <v/>
      </c>
      <c r="C2180" s="17">
        <f>IF(B2180="","","office")</f>
        <v/>
      </c>
      <c r="D2180" s="17">
        <f>IF(B2180="","",IFERROR(INDEX(Clay_Offices!$A$2:$FZ$601,529,Sync!$C$5)&amp;"",""))</f>
        <v/>
      </c>
      <c r="E2180" s="17">
        <f>IF(B2180="","",IFERROR(INDEX(Clay_Offices!$A$2:$FZ$601,529,Sync!$C$6)&amp;"",""))</f>
        <v/>
      </c>
      <c r="F2180" s="17">
        <f>IF(B2180="","","outreach_sent")</f>
        <v/>
      </c>
      <c r="G2180" s="17">
        <f>IF(B2180="","","")</f>
        <v/>
      </c>
      <c r="H2180" s="17">
        <f>IF(B2180="","","")</f>
        <v/>
      </c>
      <c r="I2180" s="17">
        <f>IF(B2180="","","")</f>
        <v/>
      </c>
      <c r="J2180" s="17">
        <f>IF(B2180="","","touch_1; "&amp;IFERROR(INDEX(Clay_Offices!$A$2:$FZ$601,529,Sync!$C$10)&amp;"","")&amp;"; "&amp;IFERROR(INDEX(Clay_Offices!$A$2:$FZ$601,529,Sync!$C$9)&amp;"",""))</f>
        <v/>
      </c>
      <c r="K2180" t="inlineStr">
        <is>
          <t>office outreach touch 1</t>
        </is>
      </c>
    </row>
    <row r="2181">
      <c r="A2181" s="17">
        <f>IF(B2181="","",B2181+(12*1000+530)/10000000)</f>
        <v/>
      </c>
      <c r="B2181" s="23">
        <f>IF(AND(IFERROR(N(INDEX(Clay_Offices!$A$2:$FZ$601,530,Sync!$C$11)),0)&gt;0,IFERROR(INDEX(Clay_Offices!$A$2:$FZ$601,530,Sync!$C$5)&amp;"","")&lt;&gt;"",OR(LEFT(IFERROR(INDEX(Clay_Offices!$A$2:$FZ$601,530,Sync!$C$5)&amp;"",""),6)&lt;&gt;"SAMPLE",Config!$B$19="Y")),IFERROR(N(INDEX(Clay_Offices!$A$2:$FZ$601,530,Sync!$C$11)),0),"")</f>
        <v/>
      </c>
      <c r="C2181" s="17">
        <f>IF(B2181="","","office")</f>
        <v/>
      </c>
      <c r="D2181" s="17">
        <f>IF(B2181="","",IFERROR(INDEX(Clay_Offices!$A$2:$FZ$601,530,Sync!$C$5)&amp;"",""))</f>
        <v/>
      </c>
      <c r="E2181" s="17">
        <f>IF(B2181="","",IFERROR(INDEX(Clay_Offices!$A$2:$FZ$601,530,Sync!$C$6)&amp;"",""))</f>
        <v/>
      </c>
      <c r="F2181" s="17">
        <f>IF(B2181="","","outreach_sent")</f>
        <v/>
      </c>
      <c r="G2181" s="17">
        <f>IF(B2181="","","")</f>
        <v/>
      </c>
      <c r="H2181" s="17">
        <f>IF(B2181="","","")</f>
        <v/>
      </c>
      <c r="I2181" s="17">
        <f>IF(B2181="","","")</f>
        <v/>
      </c>
      <c r="J2181" s="17">
        <f>IF(B2181="","","touch_1; "&amp;IFERROR(INDEX(Clay_Offices!$A$2:$FZ$601,530,Sync!$C$10)&amp;"","")&amp;"; "&amp;IFERROR(INDEX(Clay_Offices!$A$2:$FZ$601,530,Sync!$C$9)&amp;"",""))</f>
        <v/>
      </c>
      <c r="K2181" t="inlineStr">
        <is>
          <t>office outreach touch 1</t>
        </is>
      </c>
    </row>
    <row r="2182">
      <c r="A2182" s="17">
        <f>IF(B2182="","",B2182+(12*1000+531)/10000000)</f>
        <v/>
      </c>
      <c r="B2182" s="23">
        <f>IF(AND(IFERROR(N(INDEX(Clay_Offices!$A$2:$FZ$601,531,Sync!$C$11)),0)&gt;0,IFERROR(INDEX(Clay_Offices!$A$2:$FZ$601,531,Sync!$C$5)&amp;"","")&lt;&gt;"",OR(LEFT(IFERROR(INDEX(Clay_Offices!$A$2:$FZ$601,531,Sync!$C$5)&amp;"",""),6)&lt;&gt;"SAMPLE",Config!$B$19="Y")),IFERROR(N(INDEX(Clay_Offices!$A$2:$FZ$601,531,Sync!$C$11)),0),"")</f>
        <v/>
      </c>
      <c r="C2182" s="17">
        <f>IF(B2182="","","office")</f>
        <v/>
      </c>
      <c r="D2182" s="17">
        <f>IF(B2182="","",IFERROR(INDEX(Clay_Offices!$A$2:$FZ$601,531,Sync!$C$5)&amp;"",""))</f>
        <v/>
      </c>
      <c r="E2182" s="17">
        <f>IF(B2182="","",IFERROR(INDEX(Clay_Offices!$A$2:$FZ$601,531,Sync!$C$6)&amp;"",""))</f>
        <v/>
      </c>
      <c r="F2182" s="17">
        <f>IF(B2182="","","outreach_sent")</f>
        <v/>
      </c>
      <c r="G2182" s="17">
        <f>IF(B2182="","","")</f>
        <v/>
      </c>
      <c r="H2182" s="17">
        <f>IF(B2182="","","")</f>
        <v/>
      </c>
      <c r="I2182" s="17">
        <f>IF(B2182="","","")</f>
        <v/>
      </c>
      <c r="J2182" s="17">
        <f>IF(B2182="","","touch_1; "&amp;IFERROR(INDEX(Clay_Offices!$A$2:$FZ$601,531,Sync!$C$10)&amp;"","")&amp;"; "&amp;IFERROR(INDEX(Clay_Offices!$A$2:$FZ$601,531,Sync!$C$9)&amp;"",""))</f>
        <v/>
      </c>
      <c r="K2182" t="inlineStr">
        <is>
          <t>office outreach touch 1</t>
        </is>
      </c>
    </row>
    <row r="2183">
      <c r="A2183" s="17">
        <f>IF(B2183="","",B2183+(12*1000+532)/10000000)</f>
        <v/>
      </c>
      <c r="B2183" s="23">
        <f>IF(AND(IFERROR(N(INDEX(Clay_Offices!$A$2:$FZ$601,532,Sync!$C$11)),0)&gt;0,IFERROR(INDEX(Clay_Offices!$A$2:$FZ$601,532,Sync!$C$5)&amp;"","")&lt;&gt;"",OR(LEFT(IFERROR(INDEX(Clay_Offices!$A$2:$FZ$601,532,Sync!$C$5)&amp;"",""),6)&lt;&gt;"SAMPLE",Config!$B$19="Y")),IFERROR(N(INDEX(Clay_Offices!$A$2:$FZ$601,532,Sync!$C$11)),0),"")</f>
        <v/>
      </c>
      <c r="C2183" s="17">
        <f>IF(B2183="","","office")</f>
        <v/>
      </c>
      <c r="D2183" s="17">
        <f>IF(B2183="","",IFERROR(INDEX(Clay_Offices!$A$2:$FZ$601,532,Sync!$C$5)&amp;"",""))</f>
        <v/>
      </c>
      <c r="E2183" s="17">
        <f>IF(B2183="","",IFERROR(INDEX(Clay_Offices!$A$2:$FZ$601,532,Sync!$C$6)&amp;"",""))</f>
        <v/>
      </c>
      <c r="F2183" s="17">
        <f>IF(B2183="","","outreach_sent")</f>
        <v/>
      </c>
      <c r="G2183" s="17">
        <f>IF(B2183="","","")</f>
        <v/>
      </c>
      <c r="H2183" s="17">
        <f>IF(B2183="","","")</f>
        <v/>
      </c>
      <c r="I2183" s="17">
        <f>IF(B2183="","","")</f>
        <v/>
      </c>
      <c r="J2183" s="17">
        <f>IF(B2183="","","touch_1; "&amp;IFERROR(INDEX(Clay_Offices!$A$2:$FZ$601,532,Sync!$C$10)&amp;"","")&amp;"; "&amp;IFERROR(INDEX(Clay_Offices!$A$2:$FZ$601,532,Sync!$C$9)&amp;"",""))</f>
        <v/>
      </c>
      <c r="K2183" t="inlineStr">
        <is>
          <t>office outreach touch 1</t>
        </is>
      </c>
    </row>
    <row r="2184">
      <c r="A2184" s="17">
        <f>IF(B2184="","",B2184+(12*1000+533)/10000000)</f>
        <v/>
      </c>
      <c r="B2184" s="23">
        <f>IF(AND(IFERROR(N(INDEX(Clay_Offices!$A$2:$FZ$601,533,Sync!$C$11)),0)&gt;0,IFERROR(INDEX(Clay_Offices!$A$2:$FZ$601,533,Sync!$C$5)&amp;"","")&lt;&gt;"",OR(LEFT(IFERROR(INDEX(Clay_Offices!$A$2:$FZ$601,533,Sync!$C$5)&amp;"",""),6)&lt;&gt;"SAMPLE",Config!$B$19="Y")),IFERROR(N(INDEX(Clay_Offices!$A$2:$FZ$601,533,Sync!$C$11)),0),"")</f>
        <v/>
      </c>
      <c r="C2184" s="17">
        <f>IF(B2184="","","office")</f>
        <v/>
      </c>
      <c r="D2184" s="17">
        <f>IF(B2184="","",IFERROR(INDEX(Clay_Offices!$A$2:$FZ$601,533,Sync!$C$5)&amp;"",""))</f>
        <v/>
      </c>
      <c r="E2184" s="17">
        <f>IF(B2184="","",IFERROR(INDEX(Clay_Offices!$A$2:$FZ$601,533,Sync!$C$6)&amp;"",""))</f>
        <v/>
      </c>
      <c r="F2184" s="17">
        <f>IF(B2184="","","outreach_sent")</f>
        <v/>
      </c>
      <c r="G2184" s="17">
        <f>IF(B2184="","","")</f>
        <v/>
      </c>
      <c r="H2184" s="17">
        <f>IF(B2184="","","")</f>
        <v/>
      </c>
      <c r="I2184" s="17">
        <f>IF(B2184="","","")</f>
        <v/>
      </c>
      <c r="J2184" s="17">
        <f>IF(B2184="","","touch_1; "&amp;IFERROR(INDEX(Clay_Offices!$A$2:$FZ$601,533,Sync!$C$10)&amp;"","")&amp;"; "&amp;IFERROR(INDEX(Clay_Offices!$A$2:$FZ$601,533,Sync!$C$9)&amp;"",""))</f>
        <v/>
      </c>
      <c r="K2184" t="inlineStr">
        <is>
          <t>office outreach touch 1</t>
        </is>
      </c>
    </row>
    <row r="2185">
      <c r="A2185" s="17">
        <f>IF(B2185="","",B2185+(12*1000+534)/10000000)</f>
        <v/>
      </c>
      <c r="B2185" s="23">
        <f>IF(AND(IFERROR(N(INDEX(Clay_Offices!$A$2:$FZ$601,534,Sync!$C$11)),0)&gt;0,IFERROR(INDEX(Clay_Offices!$A$2:$FZ$601,534,Sync!$C$5)&amp;"","")&lt;&gt;"",OR(LEFT(IFERROR(INDEX(Clay_Offices!$A$2:$FZ$601,534,Sync!$C$5)&amp;"",""),6)&lt;&gt;"SAMPLE",Config!$B$19="Y")),IFERROR(N(INDEX(Clay_Offices!$A$2:$FZ$601,534,Sync!$C$11)),0),"")</f>
        <v/>
      </c>
      <c r="C2185" s="17">
        <f>IF(B2185="","","office")</f>
        <v/>
      </c>
      <c r="D2185" s="17">
        <f>IF(B2185="","",IFERROR(INDEX(Clay_Offices!$A$2:$FZ$601,534,Sync!$C$5)&amp;"",""))</f>
        <v/>
      </c>
      <c r="E2185" s="17">
        <f>IF(B2185="","",IFERROR(INDEX(Clay_Offices!$A$2:$FZ$601,534,Sync!$C$6)&amp;"",""))</f>
        <v/>
      </c>
      <c r="F2185" s="17">
        <f>IF(B2185="","","outreach_sent")</f>
        <v/>
      </c>
      <c r="G2185" s="17">
        <f>IF(B2185="","","")</f>
        <v/>
      </c>
      <c r="H2185" s="17">
        <f>IF(B2185="","","")</f>
        <v/>
      </c>
      <c r="I2185" s="17">
        <f>IF(B2185="","","")</f>
        <v/>
      </c>
      <c r="J2185" s="17">
        <f>IF(B2185="","","touch_1; "&amp;IFERROR(INDEX(Clay_Offices!$A$2:$FZ$601,534,Sync!$C$10)&amp;"","")&amp;"; "&amp;IFERROR(INDEX(Clay_Offices!$A$2:$FZ$601,534,Sync!$C$9)&amp;"",""))</f>
        <v/>
      </c>
      <c r="K2185" t="inlineStr">
        <is>
          <t>office outreach touch 1</t>
        </is>
      </c>
    </row>
    <row r="2186">
      <c r="A2186" s="17">
        <f>IF(B2186="","",B2186+(12*1000+535)/10000000)</f>
        <v/>
      </c>
      <c r="B2186" s="23">
        <f>IF(AND(IFERROR(N(INDEX(Clay_Offices!$A$2:$FZ$601,535,Sync!$C$11)),0)&gt;0,IFERROR(INDEX(Clay_Offices!$A$2:$FZ$601,535,Sync!$C$5)&amp;"","")&lt;&gt;"",OR(LEFT(IFERROR(INDEX(Clay_Offices!$A$2:$FZ$601,535,Sync!$C$5)&amp;"",""),6)&lt;&gt;"SAMPLE",Config!$B$19="Y")),IFERROR(N(INDEX(Clay_Offices!$A$2:$FZ$601,535,Sync!$C$11)),0),"")</f>
        <v/>
      </c>
      <c r="C2186" s="17">
        <f>IF(B2186="","","office")</f>
        <v/>
      </c>
      <c r="D2186" s="17">
        <f>IF(B2186="","",IFERROR(INDEX(Clay_Offices!$A$2:$FZ$601,535,Sync!$C$5)&amp;"",""))</f>
        <v/>
      </c>
      <c r="E2186" s="17">
        <f>IF(B2186="","",IFERROR(INDEX(Clay_Offices!$A$2:$FZ$601,535,Sync!$C$6)&amp;"",""))</f>
        <v/>
      </c>
      <c r="F2186" s="17">
        <f>IF(B2186="","","outreach_sent")</f>
        <v/>
      </c>
      <c r="G2186" s="17">
        <f>IF(B2186="","","")</f>
        <v/>
      </c>
      <c r="H2186" s="17">
        <f>IF(B2186="","","")</f>
        <v/>
      </c>
      <c r="I2186" s="17">
        <f>IF(B2186="","","")</f>
        <v/>
      </c>
      <c r="J2186" s="17">
        <f>IF(B2186="","","touch_1; "&amp;IFERROR(INDEX(Clay_Offices!$A$2:$FZ$601,535,Sync!$C$10)&amp;"","")&amp;"; "&amp;IFERROR(INDEX(Clay_Offices!$A$2:$FZ$601,535,Sync!$C$9)&amp;"",""))</f>
        <v/>
      </c>
      <c r="K2186" t="inlineStr">
        <is>
          <t>office outreach touch 1</t>
        </is>
      </c>
    </row>
    <row r="2187">
      <c r="A2187" s="17">
        <f>IF(B2187="","",B2187+(12*1000+536)/10000000)</f>
        <v/>
      </c>
      <c r="B2187" s="23">
        <f>IF(AND(IFERROR(N(INDEX(Clay_Offices!$A$2:$FZ$601,536,Sync!$C$11)),0)&gt;0,IFERROR(INDEX(Clay_Offices!$A$2:$FZ$601,536,Sync!$C$5)&amp;"","")&lt;&gt;"",OR(LEFT(IFERROR(INDEX(Clay_Offices!$A$2:$FZ$601,536,Sync!$C$5)&amp;"",""),6)&lt;&gt;"SAMPLE",Config!$B$19="Y")),IFERROR(N(INDEX(Clay_Offices!$A$2:$FZ$601,536,Sync!$C$11)),0),"")</f>
        <v/>
      </c>
      <c r="C2187" s="17">
        <f>IF(B2187="","","office")</f>
        <v/>
      </c>
      <c r="D2187" s="17">
        <f>IF(B2187="","",IFERROR(INDEX(Clay_Offices!$A$2:$FZ$601,536,Sync!$C$5)&amp;"",""))</f>
        <v/>
      </c>
      <c r="E2187" s="17">
        <f>IF(B2187="","",IFERROR(INDEX(Clay_Offices!$A$2:$FZ$601,536,Sync!$C$6)&amp;"",""))</f>
        <v/>
      </c>
      <c r="F2187" s="17">
        <f>IF(B2187="","","outreach_sent")</f>
        <v/>
      </c>
      <c r="G2187" s="17">
        <f>IF(B2187="","","")</f>
        <v/>
      </c>
      <c r="H2187" s="17">
        <f>IF(B2187="","","")</f>
        <v/>
      </c>
      <c r="I2187" s="17">
        <f>IF(B2187="","","")</f>
        <v/>
      </c>
      <c r="J2187" s="17">
        <f>IF(B2187="","","touch_1; "&amp;IFERROR(INDEX(Clay_Offices!$A$2:$FZ$601,536,Sync!$C$10)&amp;"","")&amp;"; "&amp;IFERROR(INDEX(Clay_Offices!$A$2:$FZ$601,536,Sync!$C$9)&amp;"",""))</f>
        <v/>
      </c>
      <c r="K2187" t="inlineStr">
        <is>
          <t>office outreach touch 1</t>
        </is>
      </c>
    </row>
    <row r="2188">
      <c r="A2188" s="17">
        <f>IF(B2188="","",B2188+(12*1000+537)/10000000)</f>
        <v/>
      </c>
      <c r="B2188" s="23">
        <f>IF(AND(IFERROR(N(INDEX(Clay_Offices!$A$2:$FZ$601,537,Sync!$C$11)),0)&gt;0,IFERROR(INDEX(Clay_Offices!$A$2:$FZ$601,537,Sync!$C$5)&amp;"","")&lt;&gt;"",OR(LEFT(IFERROR(INDEX(Clay_Offices!$A$2:$FZ$601,537,Sync!$C$5)&amp;"",""),6)&lt;&gt;"SAMPLE",Config!$B$19="Y")),IFERROR(N(INDEX(Clay_Offices!$A$2:$FZ$601,537,Sync!$C$11)),0),"")</f>
        <v/>
      </c>
      <c r="C2188" s="17">
        <f>IF(B2188="","","office")</f>
        <v/>
      </c>
      <c r="D2188" s="17">
        <f>IF(B2188="","",IFERROR(INDEX(Clay_Offices!$A$2:$FZ$601,537,Sync!$C$5)&amp;"",""))</f>
        <v/>
      </c>
      <c r="E2188" s="17">
        <f>IF(B2188="","",IFERROR(INDEX(Clay_Offices!$A$2:$FZ$601,537,Sync!$C$6)&amp;"",""))</f>
        <v/>
      </c>
      <c r="F2188" s="17">
        <f>IF(B2188="","","outreach_sent")</f>
        <v/>
      </c>
      <c r="G2188" s="17">
        <f>IF(B2188="","","")</f>
        <v/>
      </c>
      <c r="H2188" s="17">
        <f>IF(B2188="","","")</f>
        <v/>
      </c>
      <c r="I2188" s="17">
        <f>IF(B2188="","","")</f>
        <v/>
      </c>
      <c r="J2188" s="17">
        <f>IF(B2188="","","touch_1; "&amp;IFERROR(INDEX(Clay_Offices!$A$2:$FZ$601,537,Sync!$C$10)&amp;"","")&amp;"; "&amp;IFERROR(INDEX(Clay_Offices!$A$2:$FZ$601,537,Sync!$C$9)&amp;"",""))</f>
        <v/>
      </c>
      <c r="K2188" t="inlineStr">
        <is>
          <t>office outreach touch 1</t>
        </is>
      </c>
    </row>
    <row r="2189">
      <c r="A2189" s="17">
        <f>IF(B2189="","",B2189+(12*1000+538)/10000000)</f>
        <v/>
      </c>
      <c r="B2189" s="23">
        <f>IF(AND(IFERROR(N(INDEX(Clay_Offices!$A$2:$FZ$601,538,Sync!$C$11)),0)&gt;0,IFERROR(INDEX(Clay_Offices!$A$2:$FZ$601,538,Sync!$C$5)&amp;"","")&lt;&gt;"",OR(LEFT(IFERROR(INDEX(Clay_Offices!$A$2:$FZ$601,538,Sync!$C$5)&amp;"",""),6)&lt;&gt;"SAMPLE",Config!$B$19="Y")),IFERROR(N(INDEX(Clay_Offices!$A$2:$FZ$601,538,Sync!$C$11)),0),"")</f>
        <v/>
      </c>
      <c r="C2189" s="17">
        <f>IF(B2189="","","office")</f>
        <v/>
      </c>
      <c r="D2189" s="17">
        <f>IF(B2189="","",IFERROR(INDEX(Clay_Offices!$A$2:$FZ$601,538,Sync!$C$5)&amp;"",""))</f>
        <v/>
      </c>
      <c r="E2189" s="17">
        <f>IF(B2189="","",IFERROR(INDEX(Clay_Offices!$A$2:$FZ$601,538,Sync!$C$6)&amp;"",""))</f>
        <v/>
      </c>
      <c r="F2189" s="17">
        <f>IF(B2189="","","outreach_sent")</f>
        <v/>
      </c>
      <c r="G2189" s="17">
        <f>IF(B2189="","","")</f>
        <v/>
      </c>
      <c r="H2189" s="17">
        <f>IF(B2189="","","")</f>
        <v/>
      </c>
      <c r="I2189" s="17">
        <f>IF(B2189="","","")</f>
        <v/>
      </c>
      <c r="J2189" s="17">
        <f>IF(B2189="","","touch_1; "&amp;IFERROR(INDEX(Clay_Offices!$A$2:$FZ$601,538,Sync!$C$10)&amp;"","")&amp;"; "&amp;IFERROR(INDEX(Clay_Offices!$A$2:$FZ$601,538,Sync!$C$9)&amp;"",""))</f>
        <v/>
      </c>
      <c r="K2189" t="inlineStr">
        <is>
          <t>office outreach touch 1</t>
        </is>
      </c>
    </row>
    <row r="2190">
      <c r="A2190" s="17">
        <f>IF(B2190="","",B2190+(12*1000+539)/10000000)</f>
        <v/>
      </c>
      <c r="B2190" s="23">
        <f>IF(AND(IFERROR(N(INDEX(Clay_Offices!$A$2:$FZ$601,539,Sync!$C$11)),0)&gt;0,IFERROR(INDEX(Clay_Offices!$A$2:$FZ$601,539,Sync!$C$5)&amp;"","")&lt;&gt;"",OR(LEFT(IFERROR(INDEX(Clay_Offices!$A$2:$FZ$601,539,Sync!$C$5)&amp;"",""),6)&lt;&gt;"SAMPLE",Config!$B$19="Y")),IFERROR(N(INDEX(Clay_Offices!$A$2:$FZ$601,539,Sync!$C$11)),0),"")</f>
        <v/>
      </c>
      <c r="C2190" s="17">
        <f>IF(B2190="","","office")</f>
        <v/>
      </c>
      <c r="D2190" s="17">
        <f>IF(B2190="","",IFERROR(INDEX(Clay_Offices!$A$2:$FZ$601,539,Sync!$C$5)&amp;"",""))</f>
        <v/>
      </c>
      <c r="E2190" s="17">
        <f>IF(B2190="","",IFERROR(INDEX(Clay_Offices!$A$2:$FZ$601,539,Sync!$C$6)&amp;"",""))</f>
        <v/>
      </c>
      <c r="F2190" s="17">
        <f>IF(B2190="","","outreach_sent")</f>
        <v/>
      </c>
      <c r="G2190" s="17">
        <f>IF(B2190="","","")</f>
        <v/>
      </c>
      <c r="H2190" s="17">
        <f>IF(B2190="","","")</f>
        <v/>
      </c>
      <c r="I2190" s="17">
        <f>IF(B2190="","","")</f>
        <v/>
      </c>
      <c r="J2190" s="17">
        <f>IF(B2190="","","touch_1; "&amp;IFERROR(INDEX(Clay_Offices!$A$2:$FZ$601,539,Sync!$C$10)&amp;"","")&amp;"; "&amp;IFERROR(INDEX(Clay_Offices!$A$2:$FZ$601,539,Sync!$C$9)&amp;"",""))</f>
        <v/>
      </c>
      <c r="K2190" t="inlineStr">
        <is>
          <t>office outreach touch 1</t>
        </is>
      </c>
    </row>
    <row r="2191">
      <c r="A2191" s="17">
        <f>IF(B2191="","",B2191+(12*1000+540)/10000000)</f>
        <v/>
      </c>
      <c r="B2191" s="23">
        <f>IF(AND(IFERROR(N(INDEX(Clay_Offices!$A$2:$FZ$601,540,Sync!$C$11)),0)&gt;0,IFERROR(INDEX(Clay_Offices!$A$2:$FZ$601,540,Sync!$C$5)&amp;"","")&lt;&gt;"",OR(LEFT(IFERROR(INDEX(Clay_Offices!$A$2:$FZ$601,540,Sync!$C$5)&amp;"",""),6)&lt;&gt;"SAMPLE",Config!$B$19="Y")),IFERROR(N(INDEX(Clay_Offices!$A$2:$FZ$601,540,Sync!$C$11)),0),"")</f>
        <v/>
      </c>
      <c r="C2191" s="17">
        <f>IF(B2191="","","office")</f>
        <v/>
      </c>
      <c r="D2191" s="17">
        <f>IF(B2191="","",IFERROR(INDEX(Clay_Offices!$A$2:$FZ$601,540,Sync!$C$5)&amp;"",""))</f>
        <v/>
      </c>
      <c r="E2191" s="17">
        <f>IF(B2191="","",IFERROR(INDEX(Clay_Offices!$A$2:$FZ$601,540,Sync!$C$6)&amp;"",""))</f>
        <v/>
      </c>
      <c r="F2191" s="17">
        <f>IF(B2191="","","outreach_sent")</f>
        <v/>
      </c>
      <c r="G2191" s="17">
        <f>IF(B2191="","","")</f>
        <v/>
      </c>
      <c r="H2191" s="17">
        <f>IF(B2191="","","")</f>
        <v/>
      </c>
      <c r="I2191" s="17">
        <f>IF(B2191="","","")</f>
        <v/>
      </c>
      <c r="J2191" s="17">
        <f>IF(B2191="","","touch_1; "&amp;IFERROR(INDEX(Clay_Offices!$A$2:$FZ$601,540,Sync!$C$10)&amp;"","")&amp;"; "&amp;IFERROR(INDEX(Clay_Offices!$A$2:$FZ$601,540,Sync!$C$9)&amp;"",""))</f>
        <v/>
      </c>
      <c r="K2191" t="inlineStr">
        <is>
          <t>office outreach touch 1</t>
        </is>
      </c>
    </row>
    <row r="2192">
      <c r="A2192" s="17">
        <f>IF(B2192="","",B2192+(12*1000+541)/10000000)</f>
        <v/>
      </c>
      <c r="B2192" s="23">
        <f>IF(AND(IFERROR(N(INDEX(Clay_Offices!$A$2:$FZ$601,541,Sync!$C$11)),0)&gt;0,IFERROR(INDEX(Clay_Offices!$A$2:$FZ$601,541,Sync!$C$5)&amp;"","")&lt;&gt;"",OR(LEFT(IFERROR(INDEX(Clay_Offices!$A$2:$FZ$601,541,Sync!$C$5)&amp;"",""),6)&lt;&gt;"SAMPLE",Config!$B$19="Y")),IFERROR(N(INDEX(Clay_Offices!$A$2:$FZ$601,541,Sync!$C$11)),0),"")</f>
        <v/>
      </c>
      <c r="C2192" s="17">
        <f>IF(B2192="","","office")</f>
        <v/>
      </c>
      <c r="D2192" s="17">
        <f>IF(B2192="","",IFERROR(INDEX(Clay_Offices!$A$2:$FZ$601,541,Sync!$C$5)&amp;"",""))</f>
        <v/>
      </c>
      <c r="E2192" s="17">
        <f>IF(B2192="","",IFERROR(INDEX(Clay_Offices!$A$2:$FZ$601,541,Sync!$C$6)&amp;"",""))</f>
        <v/>
      </c>
      <c r="F2192" s="17">
        <f>IF(B2192="","","outreach_sent")</f>
        <v/>
      </c>
      <c r="G2192" s="17">
        <f>IF(B2192="","","")</f>
        <v/>
      </c>
      <c r="H2192" s="17">
        <f>IF(B2192="","","")</f>
        <v/>
      </c>
      <c r="I2192" s="17">
        <f>IF(B2192="","","")</f>
        <v/>
      </c>
      <c r="J2192" s="17">
        <f>IF(B2192="","","touch_1; "&amp;IFERROR(INDEX(Clay_Offices!$A$2:$FZ$601,541,Sync!$C$10)&amp;"","")&amp;"; "&amp;IFERROR(INDEX(Clay_Offices!$A$2:$FZ$601,541,Sync!$C$9)&amp;"",""))</f>
        <v/>
      </c>
      <c r="K2192" t="inlineStr">
        <is>
          <t>office outreach touch 1</t>
        </is>
      </c>
    </row>
    <row r="2193">
      <c r="A2193" s="17">
        <f>IF(B2193="","",B2193+(12*1000+542)/10000000)</f>
        <v/>
      </c>
      <c r="B2193" s="23">
        <f>IF(AND(IFERROR(N(INDEX(Clay_Offices!$A$2:$FZ$601,542,Sync!$C$11)),0)&gt;0,IFERROR(INDEX(Clay_Offices!$A$2:$FZ$601,542,Sync!$C$5)&amp;"","")&lt;&gt;"",OR(LEFT(IFERROR(INDEX(Clay_Offices!$A$2:$FZ$601,542,Sync!$C$5)&amp;"",""),6)&lt;&gt;"SAMPLE",Config!$B$19="Y")),IFERROR(N(INDEX(Clay_Offices!$A$2:$FZ$601,542,Sync!$C$11)),0),"")</f>
        <v/>
      </c>
      <c r="C2193" s="17">
        <f>IF(B2193="","","office")</f>
        <v/>
      </c>
      <c r="D2193" s="17">
        <f>IF(B2193="","",IFERROR(INDEX(Clay_Offices!$A$2:$FZ$601,542,Sync!$C$5)&amp;"",""))</f>
        <v/>
      </c>
      <c r="E2193" s="17">
        <f>IF(B2193="","",IFERROR(INDEX(Clay_Offices!$A$2:$FZ$601,542,Sync!$C$6)&amp;"",""))</f>
        <v/>
      </c>
      <c r="F2193" s="17">
        <f>IF(B2193="","","outreach_sent")</f>
        <v/>
      </c>
      <c r="G2193" s="17">
        <f>IF(B2193="","","")</f>
        <v/>
      </c>
      <c r="H2193" s="17">
        <f>IF(B2193="","","")</f>
        <v/>
      </c>
      <c r="I2193" s="17">
        <f>IF(B2193="","","")</f>
        <v/>
      </c>
      <c r="J2193" s="17">
        <f>IF(B2193="","","touch_1; "&amp;IFERROR(INDEX(Clay_Offices!$A$2:$FZ$601,542,Sync!$C$10)&amp;"","")&amp;"; "&amp;IFERROR(INDEX(Clay_Offices!$A$2:$FZ$601,542,Sync!$C$9)&amp;"",""))</f>
        <v/>
      </c>
      <c r="K2193" t="inlineStr">
        <is>
          <t>office outreach touch 1</t>
        </is>
      </c>
    </row>
    <row r="2194">
      <c r="A2194" s="17">
        <f>IF(B2194="","",B2194+(12*1000+543)/10000000)</f>
        <v/>
      </c>
      <c r="B2194" s="23">
        <f>IF(AND(IFERROR(N(INDEX(Clay_Offices!$A$2:$FZ$601,543,Sync!$C$11)),0)&gt;0,IFERROR(INDEX(Clay_Offices!$A$2:$FZ$601,543,Sync!$C$5)&amp;"","")&lt;&gt;"",OR(LEFT(IFERROR(INDEX(Clay_Offices!$A$2:$FZ$601,543,Sync!$C$5)&amp;"",""),6)&lt;&gt;"SAMPLE",Config!$B$19="Y")),IFERROR(N(INDEX(Clay_Offices!$A$2:$FZ$601,543,Sync!$C$11)),0),"")</f>
        <v/>
      </c>
      <c r="C2194" s="17">
        <f>IF(B2194="","","office")</f>
        <v/>
      </c>
      <c r="D2194" s="17">
        <f>IF(B2194="","",IFERROR(INDEX(Clay_Offices!$A$2:$FZ$601,543,Sync!$C$5)&amp;"",""))</f>
        <v/>
      </c>
      <c r="E2194" s="17">
        <f>IF(B2194="","",IFERROR(INDEX(Clay_Offices!$A$2:$FZ$601,543,Sync!$C$6)&amp;"",""))</f>
        <v/>
      </c>
      <c r="F2194" s="17">
        <f>IF(B2194="","","outreach_sent")</f>
        <v/>
      </c>
      <c r="G2194" s="17">
        <f>IF(B2194="","","")</f>
        <v/>
      </c>
      <c r="H2194" s="17">
        <f>IF(B2194="","","")</f>
        <v/>
      </c>
      <c r="I2194" s="17">
        <f>IF(B2194="","","")</f>
        <v/>
      </c>
      <c r="J2194" s="17">
        <f>IF(B2194="","","touch_1; "&amp;IFERROR(INDEX(Clay_Offices!$A$2:$FZ$601,543,Sync!$C$10)&amp;"","")&amp;"; "&amp;IFERROR(INDEX(Clay_Offices!$A$2:$FZ$601,543,Sync!$C$9)&amp;"",""))</f>
        <v/>
      </c>
      <c r="K2194" t="inlineStr">
        <is>
          <t>office outreach touch 1</t>
        </is>
      </c>
    </row>
    <row r="2195">
      <c r="A2195" s="17">
        <f>IF(B2195="","",B2195+(12*1000+544)/10000000)</f>
        <v/>
      </c>
      <c r="B2195" s="23">
        <f>IF(AND(IFERROR(N(INDEX(Clay_Offices!$A$2:$FZ$601,544,Sync!$C$11)),0)&gt;0,IFERROR(INDEX(Clay_Offices!$A$2:$FZ$601,544,Sync!$C$5)&amp;"","")&lt;&gt;"",OR(LEFT(IFERROR(INDEX(Clay_Offices!$A$2:$FZ$601,544,Sync!$C$5)&amp;"",""),6)&lt;&gt;"SAMPLE",Config!$B$19="Y")),IFERROR(N(INDEX(Clay_Offices!$A$2:$FZ$601,544,Sync!$C$11)),0),"")</f>
        <v/>
      </c>
      <c r="C2195" s="17">
        <f>IF(B2195="","","office")</f>
        <v/>
      </c>
      <c r="D2195" s="17">
        <f>IF(B2195="","",IFERROR(INDEX(Clay_Offices!$A$2:$FZ$601,544,Sync!$C$5)&amp;"",""))</f>
        <v/>
      </c>
      <c r="E2195" s="17">
        <f>IF(B2195="","",IFERROR(INDEX(Clay_Offices!$A$2:$FZ$601,544,Sync!$C$6)&amp;"",""))</f>
        <v/>
      </c>
      <c r="F2195" s="17">
        <f>IF(B2195="","","outreach_sent")</f>
        <v/>
      </c>
      <c r="G2195" s="17">
        <f>IF(B2195="","","")</f>
        <v/>
      </c>
      <c r="H2195" s="17">
        <f>IF(B2195="","","")</f>
        <v/>
      </c>
      <c r="I2195" s="17">
        <f>IF(B2195="","","")</f>
        <v/>
      </c>
      <c r="J2195" s="17">
        <f>IF(B2195="","","touch_1; "&amp;IFERROR(INDEX(Clay_Offices!$A$2:$FZ$601,544,Sync!$C$10)&amp;"","")&amp;"; "&amp;IFERROR(INDEX(Clay_Offices!$A$2:$FZ$601,544,Sync!$C$9)&amp;"",""))</f>
        <v/>
      </c>
      <c r="K2195" t="inlineStr">
        <is>
          <t>office outreach touch 1</t>
        </is>
      </c>
    </row>
    <row r="2196">
      <c r="A2196" s="17">
        <f>IF(B2196="","",B2196+(12*1000+545)/10000000)</f>
        <v/>
      </c>
      <c r="B2196" s="23">
        <f>IF(AND(IFERROR(N(INDEX(Clay_Offices!$A$2:$FZ$601,545,Sync!$C$11)),0)&gt;0,IFERROR(INDEX(Clay_Offices!$A$2:$FZ$601,545,Sync!$C$5)&amp;"","")&lt;&gt;"",OR(LEFT(IFERROR(INDEX(Clay_Offices!$A$2:$FZ$601,545,Sync!$C$5)&amp;"",""),6)&lt;&gt;"SAMPLE",Config!$B$19="Y")),IFERROR(N(INDEX(Clay_Offices!$A$2:$FZ$601,545,Sync!$C$11)),0),"")</f>
        <v/>
      </c>
      <c r="C2196" s="17">
        <f>IF(B2196="","","office")</f>
        <v/>
      </c>
      <c r="D2196" s="17">
        <f>IF(B2196="","",IFERROR(INDEX(Clay_Offices!$A$2:$FZ$601,545,Sync!$C$5)&amp;"",""))</f>
        <v/>
      </c>
      <c r="E2196" s="17">
        <f>IF(B2196="","",IFERROR(INDEX(Clay_Offices!$A$2:$FZ$601,545,Sync!$C$6)&amp;"",""))</f>
        <v/>
      </c>
      <c r="F2196" s="17">
        <f>IF(B2196="","","outreach_sent")</f>
        <v/>
      </c>
      <c r="G2196" s="17">
        <f>IF(B2196="","","")</f>
        <v/>
      </c>
      <c r="H2196" s="17">
        <f>IF(B2196="","","")</f>
        <v/>
      </c>
      <c r="I2196" s="17">
        <f>IF(B2196="","","")</f>
        <v/>
      </c>
      <c r="J2196" s="17">
        <f>IF(B2196="","","touch_1; "&amp;IFERROR(INDEX(Clay_Offices!$A$2:$FZ$601,545,Sync!$C$10)&amp;"","")&amp;"; "&amp;IFERROR(INDEX(Clay_Offices!$A$2:$FZ$601,545,Sync!$C$9)&amp;"",""))</f>
        <v/>
      </c>
      <c r="K2196" t="inlineStr">
        <is>
          <t>office outreach touch 1</t>
        </is>
      </c>
    </row>
    <row r="2197">
      <c r="A2197" s="17">
        <f>IF(B2197="","",B2197+(12*1000+546)/10000000)</f>
        <v/>
      </c>
      <c r="B2197" s="23">
        <f>IF(AND(IFERROR(N(INDEX(Clay_Offices!$A$2:$FZ$601,546,Sync!$C$11)),0)&gt;0,IFERROR(INDEX(Clay_Offices!$A$2:$FZ$601,546,Sync!$C$5)&amp;"","")&lt;&gt;"",OR(LEFT(IFERROR(INDEX(Clay_Offices!$A$2:$FZ$601,546,Sync!$C$5)&amp;"",""),6)&lt;&gt;"SAMPLE",Config!$B$19="Y")),IFERROR(N(INDEX(Clay_Offices!$A$2:$FZ$601,546,Sync!$C$11)),0),"")</f>
        <v/>
      </c>
      <c r="C2197" s="17">
        <f>IF(B2197="","","office")</f>
        <v/>
      </c>
      <c r="D2197" s="17">
        <f>IF(B2197="","",IFERROR(INDEX(Clay_Offices!$A$2:$FZ$601,546,Sync!$C$5)&amp;"",""))</f>
        <v/>
      </c>
      <c r="E2197" s="17">
        <f>IF(B2197="","",IFERROR(INDEX(Clay_Offices!$A$2:$FZ$601,546,Sync!$C$6)&amp;"",""))</f>
        <v/>
      </c>
      <c r="F2197" s="17">
        <f>IF(B2197="","","outreach_sent")</f>
        <v/>
      </c>
      <c r="G2197" s="17">
        <f>IF(B2197="","","")</f>
        <v/>
      </c>
      <c r="H2197" s="17">
        <f>IF(B2197="","","")</f>
        <v/>
      </c>
      <c r="I2197" s="17">
        <f>IF(B2197="","","")</f>
        <v/>
      </c>
      <c r="J2197" s="17">
        <f>IF(B2197="","","touch_1; "&amp;IFERROR(INDEX(Clay_Offices!$A$2:$FZ$601,546,Sync!$C$10)&amp;"","")&amp;"; "&amp;IFERROR(INDEX(Clay_Offices!$A$2:$FZ$601,546,Sync!$C$9)&amp;"",""))</f>
        <v/>
      </c>
      <c r="K2197" t="inlineStr">
        <is>
          <t>office outreach touch 1</t>
        </is>
      </c>
    </row>
    <row r="2198">
      <c r="A2198" s="17">
        <f>IF(B2198="","",B2198+(12*1000+547)/10000000)</f>
        <v/>
      </c>
      <c r="B2198" s="23">
        <f>IF(AND(IFERROR(N(INDEX(Clay_Offices!$A$2:$FZ$601,547,Sync!$C$11)),0)&gt;0,IFERROR(INDEX(Clay_Offices!$A$2:$FZ$601,547,Sync!$C$5)&amp;"","")&lt;&gt;"",OR(LEFT(IFERROR(INDEX(Clay_Offices!$A$2:$FZ$601,547,Sync!$C$5)&amp;"",""),6)&lt;&gt;"SAMPLE",Config!$B$19="Y")),IFERROR(N(INDEX(Clay_Offices!$A$2:$FZ$601,547,Sync!$C$11)),0),"")</f>
        <v/>
      </c>
      <c r="C2198" s="17">
        <f>IF(B2198="","","office")</f>
        <v/>
      </c>
      <c r="D2198" s="17">
        <f>IF(B2198="","",IFERROR(INDEX(Clay_Offices!$A$2:$FZ$601,547,Sync!$C$5)&amp;"",""))</f>
        <v/>
      </c>
      <c r="E2198" s="17">
        <f>IF(B2198="","",IFERROR(INDEX(Clay_Offices!$A$2:$FZ$601,547,Sync!$C$6)&amp;"",""))</f>
        <v/>
      </c>
      <c r="F2198" s="17">
        <f>IF(B2198="","","outreach_sent")</f>
        <v/>
      </c>
      <c r="G2198" s="17">
        <f>IF(B2198="","","")</f>
        <v/>
      </c>
      <c r="H2198" s="17">
        <f>IF(B2198="","","")</f>
        <v/>
      </c>
      <c r="I2198" s="17">
        <f>IF(B2198="","","")</f>
        <v/>
      </c>
      <c r="J2198" s="17">
        <f>IF(B2198="","","touch_1; "&amp;IFERROR(INDEX(Clay_Offices!$A$2:$FZ$601,547,Sync!$C$10)&amp;"","")&amp;"; "&amp;IFERROR(INDEX(Clay_Offices!$A$2:$FZ$601,547,Sync!$C$9)&amp;"",""))</f>
        <v/>
      </c>
      <c r="K2198" t="inlineStr">
        <is>
          <t>office outreach touch 1</t>
        </is>
      </c>
    </row>
    <row r="2199">
      <c r="A2199" s="17">
        <f>IF(B2199="","",B2199+(12*1000+548)/10000000)</f>
        <v/>
      </c>
      <c r="B2199" s="23">
        <f>IF(AND(IFERROR(N(INDEX(Clay_Offices!$A$2:$FZ$601,548,Sync!$C$11)),0)&gt;0,IFERROR(INDEX(Clay_Offices!$A$2:$FZ$601,548,Sync!$C$5)&amp;"","")&lt;&gt;"",OR(LEFT(IFERROR(INDEX(Clay_Offices!$A$2:$FZ$601,548,Sync!$C$5)&amp;"",""),6)&lt;&gt;"SAMPLE",Config!$B$19="Y")),IFERROR(N(INDEX(Clay_Offices!$A$2:$FZ$601,548,Sync!$C$11)),0),"")</f>
        <v/>
      </c>
      <c r="C2199" s="17">
        <f>IF(B2199="","","office")</f>
        <v/>
      </c>
      <c r="D2199" s="17">
        <f>IF(B2199="","",IFERROR(INDEX(Clay_Offices!$A$2:$FZ$601,548,Sync!$C$5)&amp;"",""))</f>
        <v/>
      </c>
      <c r="E2199" s="17">
        <f>IF(B2199="","",IFERROR(INDEX(Clay_Offices!$A$2:$FZ$601,548,Sync!$C$6)&amp;"",""))</f>
        <v/>
      </c>
      <c r="F2199" s="17">
        <f>IF(B2199="","","outreach_sent")</f>
        <v/>
      </c>
      <c r="G2199" s="17">
        <f>IF(B2199="","","")</f>
        <v/>
      </c>
      <c r="H2199" s="17">
        <f>IF(B2199="","","")</f>
        <v/>
      </c>
      <c r="I2199" s="17">
        <f>IF(B2199="","","")</f>
        <v/>
      </c>
      <c r="J2199" s="17">
        <f>IF(B2199="","","touch_1; "&amp;IFERROR(INDEX(Clay_Offices!$A$2:$FZ$601,548,Sync!$C$10)&amp;"","")&amp;"; "&amp;IFERROR(INDEX(Clay_Offices!$A$2:$FZ$601,548,Sync!$C$9)&amp;"",""))</f>
        <v/>
      </c>
      <c r="K2199" t="inlineStr">
        <is>
          <t>office outreach touch 1</t>
        </is>
      </c>
    </row>
    <row r="2200">
      <c r="A2200" s="17">
        <f>IF(B2200="","",B2200+(12*1000+549)/10000000)</f>
        <v/>
      </c>
      <c r="B2200" s="23">
        <f>IF(AND(IFERROR(N(INDEX(Clay_Offices!$A$2:$FZ$601,549,Sync!$C$11)),0)&gt;0,IFERROR(INDEX(Clay_Offices!$A$2:$FZ$601,549,Sync!$C$5)&amp;"","")&lt;&gt;"",OR(LEFT(IFERROR(INDEX(Clay_Offices!$A$2:$FZ$601,549,Sync!$C$5)&amp;"",""),6)&lt;&gt;"SAMPLE",Config!$B$19="Y")),IFERROR(N(INDEX(Clay_Offices!$A$2:$FZ$601,549,Sync!$C$11)),0),"")</f>
        <v/>
      </c>
      <c r="C2200" s="17">
        <f>IF(B2200="","","office")</f>
        <v/>
      </c>
      <c r="D2200" s="17">
        <f>IF(B2200="","",IFERROR(INDEX(Clay_Offices!$A$2:$FZ$601,549,Sync!$C$5)&amp;"",""))</f>
        <v/>
      </c>
      <c r="E2200" s="17">
        <f>IF(B2200="","",IFERROR(INDEX(Clay_Offices!$A$2:$FZ$601,549,Sync!$C$6)&amp;"",""))</f>
        <v/>
      </c>
      <c r="F2200" s="17">
        <f>IF(B2200="","","outreach_sent")</f>
        <v/>
      </c>
      <c r="G2200" s="17">
        <f>IF(B2200="","","")</f>
        <v/>
      </c>
      <c r="H2200" s="17">
        <f>IF(B2200="","","")</f>
        <v/>
      </c>
      <c r="I2200" s="17">
        <f>IF(B2200="","","")</f>
        <v/>
      </c>
      <c r="J2200" s="17">
        <f>IF(B2200="","","touch_1; "&amp;IFERROR(INDEX(Clay_Offices!$A$2:$FZ$601,549,Sync!$C$10)&amp;"","")&amp;"; "&amp;IFERROR(INDEX(Clay_Offices!$A$2:$FZ$601,549,Sync!$C$9)&amp;"",""))</f>
        <v/>
      </c>
      <c r="K2200" t="inlineStr">
        <is>
          <t>office outreach touch 1</t>
        </is>
      </c>
    </row>
    <row r="2201">
      <c r="A2201" s="17">
        <f>IF(B2201="","",B2201+(12*1000+550)/10000000)</f>
        <v/>
      </c>
      <c r="B2201" s="23">
        <f>IF(AND(IFERROR(N(INDEX(Clay_Offices!$A$2:$FZ$601,550,Sync!$C$11)),0)&gt;0,IFERROR(INDEX(Clay_Offices!$A$2:$FZ$601,550,Sync!$C$5)&amp;"","")&lt;&gt;"",OR(LEFT(IFERROR(INDEX(Clay_Offices!$A$2:$FZ$601,550,Sync!$C$5)&amp;"",""),6)&lt;&gt;"SAMPLE",Config!$B$19="Y")),IFERROR(N(INDEX(Clay_Offices!$A$2:$FZ$601,550,Sync!$C$11)),0),"")</f>
        <v/>
      </c>
      <c r="C2201" s="17">
        <f>IF(B2201="","","office")</f>
        <v/>
      </c>
      <c r="D2201" s="17">
        <f>IF(B2201="","",IFERROR(INDEX(Clay_Offices!$A$2:$FZ$601,550,Sync!$C$5)&amp;"",""))</f>
        <v/>
      </c>
      <c r="E2201" s="17">
        <f>IF(B2201="","",IFERROR(INDEX(Clay_Offices!$A$2:$FZ$601,550,Sync!$C$6)&amp;"",""))</f>
        <v/>
      </c>
      <c r="F2201" s="17">
        <f>IF(B2201="","","outreach_sent")</f>
        <v/>
      </c>
      <c r="G2201" s="17">
        <f>IF(B2201="","","")</f>
        <v/>
      </c>
      <c r="H2201" s="17">
        <f>IF(B2201="","","")</f>
        <v/>
      </c>
      <c r="I2201" s="17">
        <f>IF(B2201="","","")</f>
        <v/>
      </c>
      <c r="J2201" s="17">
        <f>IF(B2201="","","touch_1; "&amp;IFERROR(INDEX(Clay_Offices!$A$2:$FZ$601,550,Sync!$C$10)&amp;"","")&amp;"; "&amp;IFERROR(INDEX(Clay_Offices!$A$2:$FZ$601,550,Sync!$C$9)&amp;"",""))</f>
        <v/>
      </c>
      <c r="K2201" t="inlineStr">
        <is>
          <t>office outreach touch 1</t>
        </is>
      </c>
    </row>
    <row r="2202">
      <c r="A2202" s="17">
        <f>IF(B2202="","",B2202+(12*1000+551)/10000000)</f>
        <v/>
      </c>
      <c r="B2202" s="23">
        <f>IF(AND(IFERROR(N(INDEX(Clay_Offices!$A$2:$FZ$601,551,Sync!$C$11)),0)&gt;0,IFERROR(INDEX(Clay_Offices!$A$2:$FZ$601,551,Sync!$C$5)&amp;"","")&lt;&gt;"",OR(LEFT(IFERROR(INDEX(Clay_Offices!$A$2:$FZ$601,551,Sync!$C$5)&amp;"",""),6)&lt;&gt;"SAMPLE",Config!$B$19="Y")),IFERROR(N(INDEX(Clay_Offices!$A$2:$FZ$601,551,Sync!$C$11)),0),"")</f>
        <v/>
      </c>
      <c r="C2202" s="17">
        <f>IF(B2202="","","office")</f>
        <v/>
      </c>
      <c r="D2202" s="17">
        <f>IF(B2202="","",IFERROR(INDEX(Clay_Offices!$A$2:$FZ$601,551,Sync!$C$5)&amp;"",""))</f>
        <v/>
      </c>
      <c r="E2202" s="17">
        <f>IF(B2202="","",IFERROR(INDEX(Clay_Offices!$A$2:$FZ$601,551,Sync!$C$6)&amp;"",""))</f>
        <v/>
      </c>
      <c r="F2202" s="17">
        <f>IF(B2202="","","outreach_sent")</f>
        <v/>
      </c>
      <c r="G2202" s="17">
        <f>IF(B2202="","","")</f>
        <v/>
      </c>
      <c r="H2202" s="17">
        <f>IF(B2202="","","")</f>
        <v/>
      </c>
      <c r="I2202" s="17">
        <f>IF(B2202="","","")</f>
        <v/>
      </c>
      <c r="J2202" s="17">
        <f>IF(B2202="","","touch_1; "&amp;IFERROR(INDEX(Clay_Offices!$A$2:$FZ$601,551,Sync!$C$10)&amp;"","")&amp;"; "&amp;IFERROR(INDEX(Clay_Offices!$A$2:$FZ$601,551,Sync!$C$9)&amp;"",""))</f>
        <v/>
      </c>
      <c r="K2202" t="inlineStr">
        <is>
          <t>office outreach touch 1</t>
        </is>
      </c>
    </row>
    <row r="2203">
      <c r="A2203" s="17">
        <f>IF(B2203="","",B2203+(12*1000+552)/10000000)</f>
        <v/>
      </c>
      <c r="B2203" s="23">
        <f>IF(AND(IFERROR(N(INDEX(Clay_Offices!$A$2:$FZ$601,552,Sync!$C$11)),0)&gt;0,IFERROR(INDEX(Clay_Offices!$A$2:$FZ$601,552,Sync!$C$5)&amp;"","")&lt;&gt;"",OR(LEFT(IFERROR(INDEX(Clay_Offices!$A$2:$FZ$601,552,Sync!$C$5)&amp;"",""),6)&lt;&gt;"SAMPLE",Config!$B$19="Y")),IFERROR(N(INDEX(Clay_Offices!$A$2:$FZ$601,552,Sync!$C$11)),0),"")</f>
        <v/>
      </c>
      <c r="C2203" s="17">
        <f>IF(B2203="","","office")</f>
        <v/>
      </c>
      <c r="D2203" s="17">
        <f>IF(B2203="","",IFERROR(INDEX(Clay_Offices!$A$2:$FZ$601,552,Sync!$C$5)&amp;"",""))</f>
        <v/>
      </c>
      <c r="E2203" s="17">
        <f>IF(B2203="","",IFERROR(INDEX(Clay_Offices!$A$2:$FZ$601,552,Sync!$C$6)&amp;"",""))</f>
        <v/>
      </c>
      <c r="F2203" s="17">
        <f>IF(B2203="","","outreach_sent")</f>
        <v/>
      </c>
      <c r="G2203" s="17">
        <f>IF(B2203="","","")</f>
        <v/>
      </c>
      <c r="H2203" s="17">
        <f>IF(B2203="","","")</f>
        <v/>
      </c>
      <c r="I2203" s="17">
        <f>IF(B2203="","","")</f>
        <v/>
      </c>
      <c r="J2203" s="17">
        <f>IF(B2203="","","touch_1; "&amp;IFERROR(INDEX(Clay_Offices!$A$2:$FZ$601,552,Sync!$C$10)&amp;"","")&amp;"; "&amp;IFERROR(INDEX(Clay_Offices!$A$2:$FZ$601,552,Sync!$C$9)&amp;"",""))</f>
        <v/>
      </c>
      <c r="K2203" t="inlineStr">
        <is>
          <t>office outreach touch 1</t>
        </is>
      </c>
    </row>
    <row r="2204">
      <c r="A2204" s="17">
        <f>IF(B2204="","",B2204+(12*1000+553)/10000000)</f>
        <v/>
      </c>
      <c r="B2204" s="23">
        <f>IF(AND(IFERROR(N(INDEX(Clay_Offices!$A$2:$FZ$601,553,Sync!$C$11)),0)&gt;0,IFERROR(INDEX(Clay_Offices!$A$2:$FZ$601,553,Sync!$C$5)&amp;"","")&lt;&gt;"",OR(LEFT(IFERROR(INDEX(Clay_Offices!$A$2:$FZ$601,553,Sync!$C$5)&amp;"",""),6)&lt;&gt;"SAMPLE",Config!$B$19="Y")),IFERROR(N(INDEX(Clay_Offices!$A$2:$FZ$601,553,Sync!$C$11)),0),"")</f>
        <v/>
      </c>
      <c r="C2204" s="17">
        <f>IF(B2204="","","office")</f>
        <v/>
      </c>
      <c r="D2204" s="17">
        <f>IF(B2204="","",IFERROR(INDEX(Clay_Offices!$A$2:$FZ$601,553,Sync!$C$5)&amp;"",""))</f>
        <v/>
      </c>
      <c r="E2204" s="17">
        <f>IF(B2204="","",IFERROR(INDEX(Clay_Offices!$A$2:$FZ$601,553,Sync!$C$6)&amp;"",""))</f>
        <v/>
      </c>
      <c r="F2204" s="17">
        <f>IF(B2204="","","outreach_sent")</f>
        <v/>
      </c>
      <c r="G2204" s="17">
        <f>IF(B2204="","","")</f>
        <v/>
      </c>
      <c r="H2204" s="17">
        <f>IF(B2204="","","")</f>
        <v/>
      </c>
      <c r="I2204" s="17">
        <f>IF(B2204="","","")</f>
        <v/>
      </c>
      <c r="J2204" s="17">
        <f>IF(B2204="","","touch_1; "&amp;IFERROR(INDEX(Clay_Offices!$A$2:$FZ$601,553,Sync!$C$10)&amp;"","")&amp;"; "&amp;IFERROR(INDEX(Clay_Offices!$A$2:$FZ$601,553,Sync!$C$9)&amp;"",""))</f>
        <v/>
      </c>
      <c r="K2204" t="inlineStr">
        <is>
          <t>office outreach touch 1</t>
        </is>
      </c>
    </row>
    <row r="2205">
      <c r="A2205" s="17">
        <f>IF(B2205="","",B2205+(12*1000+554)/10000000)</f>
        <v/>
      </c>
      <c r="B2205" s="23">
        <f>IF(AND(IFERROR(N(INDEX(Clay_Offices!$A$2:$FZ$601,554,Sync!$C$11)),0)&gt;0,IFERROR(INDEX(Clay_Offices!$A$2:$FZ$601,554,Sync!$C$5)&amp;"","")&lt;&gt;"",OR(LEFT(IFERROR(INDEX(Clay_Offices!$A$2:$FZ$601,554,Sync!$C$5)&amp;"",""),6)&lt;&gt;"SAMPLE",Config!$B$19="Y")),IFERROR(N(INDEX(Clay_Offices!$A$2:$FZ$601,554,Sync!$C$11)),0),"")</f>
        <v/>
      </c>
      <c r="C2205" s="17">
        <f>IF(B2205="","","office")</f>
        <v/>
      </c>
      <c r="D2205" s="17">
        <f>IF(B2205="","",IFERROR(INDEX(Clay_Offices!$A$2:$FZ$601,554,Sync!$C$5)&amp;"",""))</f>
        <v/>
      </c>
      <c r="E2205" s="17">
        <f>IF(B2205="","",IFERROR(INDEX(Clay_Offices!$A$2:$FZ$601,554,Sync!$C$6)&amp;"",""))</f>
        <v/>
      </c>
      <c r="F2205" s="17">
        <f>IF(B2205="","","outreach_sent")</f>
        <v/>
      </c>
      <c r="G2205" s="17">
        <f>IF(B2205="","","")</f>
        <v/>
      </c>
      <c r="H2205" s="17">
        <f>IF(B2205="","","")</f>
        <v/>
      </c>
      <c r="I2205" s="17">
        <f>IF(B2205="","","")</f>
        <v/>
      </c>
      <c r="J2205" s="17">
        <f>IF(B2205="","","touch_1; "&amp;IFERROR(INDEX(Clay_Offices!$A$2:$FZ$601,554,Sync!$C$10)&amp;"","")&amp;"; "&amp;IFERROR(INDEX(Clay_Offices!$A$2:$FZ$601,554,Sync!$C$9)&amp;"",""))</f>
        <v/>
      </c>
      <c r="K2205" t="inlineStr">
        <is>
          <t>office outreach touch 1</t>
        </is>
      </c>
    </row>
    <row r="2206">
      <c r="A2206" s="17">
        <f>IF(B2206="","",B2206+(12*1000+555)/10000000)</f>
        <v/>
      </c>
      <c r="B2206" s="23">
        <f>IF(AND(IFERROR(N(INDEX(Clay_Offices!$A$2:$FZ$601,555,Sync!$C$11)),0)&gt;0,IFERROR(INDEX(Clay_Offices!$A$2:$FZ$601,555,Sync!$C$5)&amp;"","")&lt;&gt;"",OR(LEFT(IFERROR(INDEX(Clay_Offices!$A$2:$FZ$601,555,Sync!$C$5)&amp;"",""),6)&lt;&gt;"SAMPLE",Config!$B$19="Y")),IFERROR(N(INDEX(Clay_Offices!$A$2:$FZ$601,555,Sync!$C$11)),0),"")</f>
        <v/>
      </c>
      <c r="C2206" s="17">
        <f>IF(B2206="","","office")</f>
        <v/>
      </c>
      <c r="D2206" s="17">
        <f>IF(B2206="","",IFERROR(INDEX(Clay_Offices!$A$2:$FZ$601,555,Sync!$C$5)&amp;"",""))</f>
        <v/>
      </c>
      <c r="E2206" s="17">
        <f>IF(B2206="","",IFERROR(INDEX(Clay_Offices!$A$2:$FZ$601,555,Sync!$C$6)&amp;"",""))</f>
        <v/>
      </c>
      <c r="F2206" s="17">
        <f>IF(B2206="","","outreach_sent")</f>
        <v/>
      </c>
      <c r="G2206" s="17">
        <f>IF(B2206="","","")</f>
        <v/>
      </c>
      <c r="H2206" s="17">
        <f>IF(B2206="","","")</f>
        <v/>
      </c>
      <c r="I2206" s="17">
        <f>IF(B2206="","","")</f>
        <v/>
      </c>
      <c r="J2206" s="17">
        <f>IF(B2206="","","touch_1; "&amp;IFERROR(INDEX(Clay_Offices!$A$2:$FZ$601,555,Sync!$C$10)&amp;"","")&amp;"; "&amp;IFERROR(INDEX(Clay_Offices!$A$2:$FZ$601,555,Sync!$C$9)&amp;"",""))</f>
        <v/>
      </c>
      <c r="K2206" t="inlineStr">
        <is>
          <t>office outreach touch 1</t>
        </is>
      </c>
    </row>
    <row r="2207">
      <c r="A2207" s="17">
        <f>IF(B2207="","",B2207+(12*1000+556)/10000000)</f>
        <v/>
      </c>
      <c r="B2207" s="23">
        <f>IF(AND(IFERROR(N(INDEX(Clay_Offices!$A$2:$FZ$601,556,Sync!$C$11)),0)&gt;0,IFERROR(INDEX(Clay_Offices!$A$2:$FZ$601,556,Sync!$C$5)&amp;"","")&lt;&gt;"",OR(LEFT(IFERROR(INDEX(Clay_Offices!$A$2:$FZ$601,556,Sync!$C$5)&amp;"",""),6)&lt;&gt;"SAMPLE",Config!$B$19="Y")),IFERROR(N(INDEX(Clay_Offices!$A$2:$FZ$601,556,Sync!$C$11)),0),"")</f>
        <v/>
      </c>
      <c r="C2207" s="17">
        <f>IF(B2207="","","office")</f>
        <v/>
      </c>
      <c r="D2207" s="17">
        <f>IF(B2207="","",IFERROR(INDEX(Clay_Offices!$A$2:$FZ$601,556,Sync!$C$5)&amp;"",""))</f>
        <v/>
      </c>
      <c r="E2207" s="17">
        <f>IF(B2207="","",IFERROR(INDEX(Clay_Offices!$A$2:$FZ$601,556,Sync!$C$6)&amp;"",""))</f>
        <v/>
      </c>
      <c r="F2207" s="17">
        <f>IF(B2207="","","outreach_sent")</f>
        <v/>
      </c>
      <c r="G2207" s="17">
        <f>IF(B2207="","","")</f>
        <v/>
      </c>
      <c r="H2207" s="17">
        <f>IF(B2207="","","")</f>
        <v/>
      </c>
      <c r="I2207" s="17">
        <f>IF(B2207="","","")</f>
        <v/>
      </c>
      <c r="J2207" s="17">
        <f>IF(B2207="","","touch_1; "&amp;IFERROR(INDEX(Clay_Offices!$A$2:$FZ$601,556,Sync!$C$10)&amp;"","")&amp;"; "&amp;IFERROR(INDEX(Clay_Offices!$A$2:$FZ$601,556,Sync!$C$9)&amp;"",""))</f>
        <v/>
      </c>
      <c r="K2207" t="inlineStr">
        <is>
          <t>office outreach touch 1</t>
        </is>
      </c>
    </row>
    <row r="2208">
      <c r="A2208" s="17">
        <f>IF(B2208="","",B2208+(12*1000+557)/10000000)</f>
        <v/>
      </c>
      <c r="B2208" s="23">
        <f>IF(AND(IFERROR(N(INDEX(Clay_Offices!$A$2:$FZ$601,557,Sync!$C$11)),0)&gt;0,IFERROR(INDEX(Clay_Offices!$A$2:$FZ$601,557,Sync!$C$5)&amp;"","")&lt;&gt;"",OR(LEFT(IFERROR(INDEX(Clay_Offices!$A$2:$FZ$601,557,Sync!$C$5)&amp;"",""),6)&lt;&gt;"SAMPLE",Config!$B$19="Y")),IFERROR(N(INDEX(Clay_Offices!$A$2:$FZ$601,557,Sync!$C$11)),0),"")</f>
        <v/>
      </c>
      <c r="C2208" s="17">
        <f>IF(B2208="","","office")</f>
        <v/>
      </c>
      <c r="D2208" s="17">
        <f>IF(B2208="","",IFERROR(INDEX(Clay_Offices!$A$2:$FZ$601,557,Sync!$C$5)&amp;"",""))</f>
        <v/>
      </c>
      <c r="E2208" s="17">
        <f>IF(B2208="","",IFERROR(INDEX(Clay_Offices!$A$2:$FZ$601,557,Sync!$C$6)&amp;"",""))</f>
        <v/>
      </c>
      <c r="F2208" s="17">
        <f>IF(B2208="","","outreach_sent")</f>
        <v/>
      </c>
      <c r="G2208" s="17">
        <f>IF(B2208="","","")</f>
        <v/>
      </c>
      <c r="H2208" s="17">
        <f>IF(B2208="","","")</f>
        <v/>
      </c>
      <c r="I2208" s="17">
        <f>IF(B2208="","","")</f>
        <v/>
      </c>
      <c r="J2208" s="17">
        <f>IF(B2208="","","touch_1; "&amp;IFERROR(INDEX(Clay_Offices!$A$2:$FZ$601,557,Sync!$C$10)&amp;"","")&amp;"; "&amp;IFERROR(INDEX(Clay_Offices!$A$2:$FZ$601,557,Sync!$C$9)&amp;"",""))</f>
        <v/>
      </c>
      <c r="K2208" t="inlineStr">
        <is>
          <t>office outreach touch 1</t>
        </is>
      </c>
    </row>
    <row r="2209">
      <c r="A2209" s="17">
        <f>IF(B2209="","",B2209+(12*1000+558)/10000000)</f>
        <v/>
      </c>
      <c r="B2209" s="23">
        <f>IF(AND(IFERROR(N(INDEX(Clay_Offices!$A$2:$FZ$601,558,Sync!$C$11)),0)&gt;0,IFERROR(INDEX(Clay_Offices!$A$2:$FZ$601,558,Sync!$C$5)&amp;"","")&lt;&gt;"",OR(LEFT(IFERROR(INDEX(Clay_Offices!$A$2:$FZ$601,558,Sync!$C$5)&amp;"",""),6)&lt;&gt;"SAMPLE",Config!$B$19="Y")),IFERROR(N(INDEX(Clay_Offices!$A$2:$FZ$601,558,Sync!$C$11)),0),"")</f>
        <v/>
      </c>
      <c r="C2209" s="17">
        <f>IF(B2209="","","office")</f>
        <v/>
      </c>
      <c r="D2209" s="17">
        <f>IF(B2209="","",IFERROR(INDEX(Clay_Offices!$A$2:$FZ$601,558,Sync!$C$5)&amp;"",""))</f>
        <v/>
      </c>
      <c r="E2209" s="17">
        <f>IF(B2209="","",IFERROR(INDEX(Clay_Offices!$A$2:$FZ$601,558,Sync!$C$6)&amp;"",""))</f>
        <v/>
      </c>
      <c r="F2209" s="17">
        <f>IF(B2209="","","outreach_sent")</f>
        <v/>
      </c>
      <c r="G2209" s="17">
        <f>IF(B2209="","","")</f>
        <v/>
      </c>
      <c r="H2209" s="17">
        <f>IF(B2209="","","")</f>
        <v/>
      </c>
      <c r="I2209" s="17">
        <f>IF(B2209="","","")</f>
        <v/>
      </c>
      <c r="J2209" s="17">
        <f>IF(B2209="","","touch_1; "&amp;IFERROR(INDEX(Clay_Offices!$A$2:$FZ$601,558,Sync!$C$10)&amp;"","")&amp;"; "&amp;IFERROR(INDEX(Clay_Offices!$A$2:$FZ$601,558,Sync!$C$9)&amp;"",""))</f>
        <v/>
      </c>
      <c r="K2209" t="inlineStr">
        <is>
          <t>office outreach touch 1</t>
        </is>
      </c>
    </row>
    <row r="2210">
      <c r="A2210" s="17">
        <f>IF(B2210="","",B2210+(12*1000+559)/10000000)</f>
        <v/>
      </c>
      <c r="B2210" s="23">
        <f>IF(AND(IFERROR(N(INDEX(Clay_Offices!$A$2:$FZ$601,559,Sync!$C$11)),0)&gt;0,IFERROR(INDEX(Clay_Offices!$A$2:$FZ$601,559,Sync!$C$5)&amp;"","")&lt;&gt;"",OR(LEFT(IFERROR(INDEX(Clay_Offices!$A$2:$FZ$601,559,Sync!$C$5)&amp;"",""),6)&lt;&gt;"SAMPLE",Config!$B$19="Y")),IFERROR(N(INDEX(Clay_Offices!$A$2:$FZ$601,559,Sync!$C$11)),0),"")</f>
        <v/>
      </c>
      <c r="C2210" s="17">
        <f>IF(B2210="","","office")</f>
        <v/>
      </c>
      <c r="D2210" s="17">
        <f>IF(B2210="","",IFERROR(INDEX(Clay_Offices!$A$2:$FZ$601,559,Sync!$C$5)&amp;"",""))</f>
        <v/>
      </c>
      <c r="E2210" s="17">
        <f>IF(B2210="","",IFERROR(INDEX(Clay_Offices!$A$2:$FZ$601,559,Sync!$C$6)&amp;"",""))</f>
        <v/>
      </c>
      <c r="F2210" s="17">
        <f>IF(B2210="","","outreach_sent")</f>
        <v/>
      </c>
      <c r="G2210" s="17">
        <f>IF(B2210="","","")</f>
        <v/>
      </c>
      <c r="H2210" s="17">
        <f>IF(B2210="","","")</f>
        <v/>
      </c>
      <c r="I2210" s="17">
        <f>IF(B2210="","","")</f>
        <v/>
      </c>
      <c r="J2210" s="17">
        <f>IF(B2210="","","touch_1; "&amp;IFERROR(INDEX(Clay_Offices!$A$2:$FZ$601,559,Sync!$C$10)&amp;"","")&amp;"; "&amp;IFERROR(INDEX(Clay_Offices!$A$2:$FZ$601,559,Sync!$C$9)&amp;"",""))</f>
        <v/>
      </c>
      <c r="K2210" t="inlineStr">
        <is>
          <t>office outreach touch 1</t>
        </is>
      </c>
    </row>
    <row r="2211">
      <c r="A2211" s="17">
        <f>IF(B2211="","",B2211+(12*1000+560)/10000000)</f>
        <v/>
      </c>
      <c r="B2211" s="23">
        <f>IF(AND(IFERROR(N(INDEX(Clay_Offices!$A$2:$FZ$601,560,Sync!$C$11)),0)&gt;0,IFERROR(INDEX(Clay_Offices!$A$2:$FZ$601,560,Sync!$C$5)&amp;"","")&lt;&gt;"",OR(LEFT(IFERROR(INDEX(Clay_Offices!$A$2:$FZ$601,560,Sync!$C$5)&amp;"",""),6)&lt;&gt;"SAMPLE",Config!$B$19="Y")),IFERROR(N(INDEX(Clay_Offices!$A$2:$FZ$601,560,Sync!$C$11)),0),"")</f>
        <v/>
      </c>
      <c r="C2211" s="17">
        <f>IF(B2211="","","office")</f>
        <v/>
      </c>
      <c r="D2211" s="17">
        <f>IF(B2211="","",IFERROR(INDEX(Clay_Offices!$A$2:$FZ$601,560,Sync!$C$5)&amp;"",""))</f>
        <v/>
      </c>
      <c r="E2211" s="17">
        <f>IF(B2211="","",IFERROR(INDEX(Clay_Offices!$A$2:$FZ$601,560,Sync!$C$6)&amp;"",""))</f>
        <v/>
      </c>
      <c r="F2211" s="17">
        <f>IF(B2211="","","outreach_sent")</f>
        <v/>
      </c>
      <c r="G2211" s="17">
        <f>IF(B2211="","","")</f>
        <v/>
      </c>
      <c r="H2211" s="17">
        <f>IF(B2211="","","")</f>
        <v/>
      </c>
      <c r="I2211" s="17">
        <f>IF(B2211="","","")</f>
        <v/>
      </c>
      <c r="J2211" s="17">
        <f>IF(B2211="","","touch_1; "&amp;IFERROR(INDEX(Clay_Offices!$A$2:$FZ$601,560,Sync!$C$10)&amp;"","")&amp;"; "&amp;IFERROR(INDEX(Clay_Offices!$A$2:$FZ$601,560,Sync!$C$9)&amp;"",""))</f>
        <v/>
      </c>
      <c r="K2211" t="inlineStr">
        <is>
          <t>office outreach touch 1</t>
        </is>
      </c>
    </row>
    <row r="2212">
      <c r="A2212" s="17">
        <f>IF(B2212="","",B2212+(12*1000+561)/10000000)</f>
        <v/>
      </c>
      <c r="B2212" s="23">
        <f>IF(AND(IFERROR(N(INDEX(Clay_Offices!$A$2:$FZ$601,561,Sync!$C$11)),0)&gt;0,IFERROR(INDEX(Clay_Offices!$A$2:$FZ$601,561,Sync!$C$5)&amp;"","")&lt;&gt;"",OR(LEFT(IFERROR(INDEX(Clay_Offices!$A$2:$FZ$601,561,Sync!$C$5)&amp;"",""),6)&lt;&gt;"SAMPLE",Config!$B$19="Y")),IFERROR(N(INDEX(Clay_Offices!$A$2:$FZ$601,561,Sync!$C$11)),0),"")</f>
        <v/>
      </c>
      <c r="C2212" s="17">
        <f>IF(B2212="","","office")</f>
        <v/>
      </c>
      <c r="D2212" s="17">
        <f>IF(B2212="","",IFERROR(INDEX(Clay_Offices!$A$2:$FZ$601,561,Sync!$C$5)&amp;"",""))</f>
        <v/>
      </c>
      <c r="E2212" s="17">
        <f>IF(B2212="","",IFERROR(INDEX(Clay_Offices!$A$2:$FZ$601,561,Sync!$C$6)&amp;"",""))</f>
        <v/>
      </c>
      <c r="F2212" s="17">
        <f>IF(B2212="","","outreach_sent")</f>
        <v/>
      </c>
      <c r="G2212" s="17">
        <f>IF(B2212="","","")</f>
        <v/>
      </c>
      <c r="H2212" s="17">
        <f>IF(B2212="","","")</f>
        <v/>
      </c>
      <c r="I2212" s="17">
        <f>IF(B2212="","","")</f>
        <v/>
      </c>
      <c r="J2212" s="17">
        <f>IF(B2212="","","touch_1; "&amp;IFERROR(INDEX(Clay_Offices!$A$2:$FZ$601,561,Sync!$C$10)&amp;"","")&amp;"; "&amp;IFERROR(INDEX(Clay_Offices!$A$2:$FZ$601,561,Sync!$C$9)&amp;"",""))</f>
        <v/>
      </c>
      <c r="K2212" t="inlineStr">
        <is>
          <t>office outreach touch 1</t>
        </is>
      </c>
    </row>
    <row r="2213">
      <c r="A2213" s="17">
        <f>IF(B2213="","",B2213+(12*1000+562)/10000000)</f>
        <v/>
      </c>
      <c r="B2213" s="23">
        <f>IF(AND(IFERROR(N(INDEX(Clay_Offices!$A$2:$FZ$601,562,Sync!$C$11)),0)&gt;0,IFERROR(INDEX(Clay_Offices!$A$2:$FZ$601,562,Sync!$C$5)&amp;"","")&lt;&gt;"",OR(LEFT(IFERROR(INDEX(Clay_Offices!$A$2:$FZ$601,562,Sync!$C$5)&amp;"",""),6)&lt;&gt;"SAMPLE",Config!$B$19="Y")),IFERROR(N(INDEX(Clay_Offices!$A$2:$FZ$601,562,Sync!$C$11)),0),"")</f>
        <v/>
      </c>
      <c r="C2213" s="17">
        <f>IF(B2213="","","office")</f>
        <v/>
      </c>
      <c r="D2213" s="17">
        <f>IF(B2213="","",IFERROR(INDEX(Clay_Offices!$A$2:$FZ$601,562,Sync!$C$5)&amp;"",""))</f>
        <v/>
      </c>
      <c r="E2213" s="17">
        <f>IF(B2213="","",IFERROR(INDEX(Clay_Offices!$A$2:$FZ$601,562,Sync!$C$6)&amp;"",""))</f>
        <v/>
      </c>
      <c r="F2213" s="17">
        <f>IF(B2213="","","outreach_sent")</f>
        <v/>
      </c>
      <c r="G2213" s="17">
        <f>IF(B2213="","","")</f>
        <v/>
      </c>
      <c r="H2213" s="17">
        <f>IF(B2213="","","")</f>
        <v/>
      </c>
      <c r="I2213" s="17">
        <f>IF(B2213="","","")</f>
        <v/>
      </c>
      <c r="J2213" s="17">
        <f>IF(B2213="","","touch_1; "&amp;IFERROR(INDEX(Clay_Offices!$A$2:$FZ$601,562,Sync!$C$10)&amp;"","")&amp;"; "&amp;IFERROR(INDEX(Clay_Offices!$A$2:$FZ$601,562,Sync!$C$9)&amp;"",""))</f>
        <v/>
      </c>
      <c r="K2213" t="inlineStr">
        <is>
          <t>office outreach touch 1</t>
        </is>
      </c>
    </row>
    <row r="2214">
      <c r="A2214" s="17">
        <f>IF(B2214="","",B2214+(12*1000+563)/10000000)</f>
        <v/>
      </c>
      <c r="B2214" s="23">
        <f>IF(AND(IFERROR(N(INDEX(Clay_Offices!$A$2:$FZ$601,563,Sync!$C$11)),0)&gt;0,IFERROR(INDEX(Clay_Offices!$A$2:$FZ$601,563,Sync!$C$5)&amp;"","")&lt;&gt;"",OR(LEFT(IFERROR(INDEX(Clay_Offices!$A$2:$FZ$601,563,Sync!$C$5)&amp;"",""),6)&lt;&gt;"SAMPLE",Config!$B$19="Y")),IFERROR(N(INDEX(Clay_Offices!$A$2:$FZ$601,563,Sync!$C$11)),0),"")</f>
        <v/>
      </c>
      <c r="C2214" s="17">
        <f>IF(B2214="","","office")</f>
        <v/>
      </c>
      <c r="D2214" s="17">
        <f>IF(B2214="","",IFERROR(INDEX(Clay_Offices!$A$2:$FZ$601,563,Sync!$C$5)&amp;"",""))</f>
        <v/>
      </c>
      <c r="E2214" s="17">
        <f>IF(B2214="","",IFERROR(INDEX(Clay_Offices!$A$2:$FZ$601,563,Sync!$C$6)&amp;"",""))</f>
        <v/>
      </c>
      <c r="F2214" s="17">
        <f>IF(B2214="","","outreach_sent")</f>
        <v/>
      </c>
      <c r="G2214" s="17">
        <f>IF(B2214="","","")</f>
        <v/>
      </c>
      <c r="H2214" s="17">
        <f>IF(B2214="","","")</f>
        <v/>
      </c>
      <c r="I2214" s="17">
        <f>IF(B2214="","","")</f>
        <v/>
      </c>
      <c r="J2214" s="17">
        <f>IF(B2214="","","touch_1; "&amp;IFERROR(INDEX(Clay_Offices!$A$2:$FZ$601,563,Sync!$C$10)&amp;"","")&amp;"; "&amp;IFERROR(INDEX(Clay_Offices!$A$2:$FZ$601,563,Sync!$C$9)&amp;"",""))</f>
        <v/>
      </c>
      <c r="K2214" t="inlineStr">
        <is>
          <t>office outreach touch 1</t>
        </is>
      </c>
    </row>
    <row r="2215">
      <c r="A2215" s="17">
        <f>IF(B2215="","",B2215+(12*1000+564)/10000000)</f>
        <v/>
      </c>
      <c r="B2215" s="23">
        <f>IF(AND(IFERROR(N(INDEX(Clay_Offices!$A$2:$FZ$601,564,Sync!$C$11)),0)&gt;0,IFERROR(INDEX(Clay_Offices!$A$2:$FZ$601,564,Sync!$C$5)&amp;"","")&lt;&gt;"",OR(LEFT(IFERROR(INDEX(Clay_Offices!$A$2:$FZ$601,564,Sync!$C$5)&amp;"",""),6)&lt;&gt;"SAMPLE",Config!$B$19="Y")),IFERROR(N(INDEX(Clay_Offices!$A$2:$FZ$601,564,Sync!$C$11)),0),"")</f>
        <v/>
      </c>
      <c r="C2215" s="17">
        <f>IF(B2215="","","office")</f>
        <v/>
      </c>
      <c r="D2215" s="17">
        <f>IF(B2215="","",IFERROR(INDEX(Clay_Offices!$A$2:$FZ$601,564,Sync!$C$5)&amp;"",""))</f>
        <v/>
      </c>
      <c r="E2215" s="17">
        <f>IF(B2215="","",IFERROR(INDEX(Clay_Offices!$A$2:$FZ$601,564,Sync!$C$6)&amp;"",""))</f>
        <v/>
      </c>
      <c r="F2215" s="17">
        <f>IF(B2215="","","outreach_sent")</f>
        <v/>
      </c>
      <c r="G2215" s="17">
        <f>IF(B2215="","","")</f>
        <v/>
      </c>
      <c r="H2215" s="17">
        <f>IF(B2215="","","")</f>
        <v/>
      </c>
      <c r="I2215" s="17">
        <f>IF(B2215="","","")</f>
        <v/>
      </c>
      <c r="J2215" s="17">
        <f>IF(B2215="","","touch_1; "&amp;IFERROR(INDEX(Clay_Offices!$A$2:$FZ$601,564,Sync!$C$10)&amp;"","")&amp;"; "&amp;IFERROR(INDEX(Clay_Offices!$A$2:$FZ$601,564,Sync!$C$9)&amp;"",""))</f>
        <v/>
      </c>
      <c r="K2215" t="inlineStr">
        <is>
          <t>office outreach touch 1</t>
        </is>
      </c>
    </row>
    <row r="2216">
      <c r="A2216" s="17">
        <f>IF(B2216="","",B2216+(12*1000+565)/10000000)</f>
        <v/>
      </c>
      <c r="B2216" s="23">
        <f>IF(AND(IFERROR(N(INDEX(Clay_Offices!$A$2:$FZ$601,565,Sync!$C$11)),0)&gt;0,IFERROR(INDEX(Clay_Offices!$A$2:$FZ$601,565,Sync!$C$5)&amp;"","")&lt;&gt;"",OR(LEFT(IFERROR(INDEX(Clay_Offices!$A$2:$FZ$601,565,Sync!$C$5)&amp;"",""),6)&lt;&gt;"SAMPLE",Config!$B$19="Y")),IFERROR(N(INDEX(Clay_Offices!$A$2:$FZ$601,565,Sync!$C$11)),0),"")</f>
        <v/>
      </c>
      <c r="C2216" s="17">
        <f>IF(B2216="","","office")</f>
        <v/>
      </c>
      <c r="D2216" s="17">
        <f>IF(B2216="","",IFERROR(INDEX(Clay_Offices!$A$2:$FZ$601,565,Sync!$C$5)&amp;"",""))</f>
        <v/>
      </c>
      <c r="E2216" s="17">
        <f>IF(B2216="","",IFERROR(INDEX(Clay_Offices!$A$2:$FZ$601,565,Sync!$C$6)&amp;"",""))</f>
        <v/>
      </c>
      <c r="F2216" s="17">
        <f>IF(B2216="","","outreach_sent")</f>
        <v/>
      </c>
      <c r="G2216" s="17">
        <f>IF(B2216="","","")</f>
        <v/>
      </c>
      <c r="H2216" s="17">
        <f>IF(B2216="","","")</f>
        <v/>
      </c>
      <c r="I2216" s="17">
        <f>IF(B2216="","","")</f>
        <v/>
      </c>
      <c r="J2216" s="17">
        <f>IF(B2216="","","touch_1; "&amp;IFERROR(INDEX(Clay_Offices!$A$2:$FZ$601,565,Sync!$C$10)&amp;"","")&amp;"; "&amp;IFERROR(INDEX(Clay_Offices!$A$2:$FZ$601,565,Sync!$C$9)&amp;"",""))</f>
        <v/>
      </c>
      <c r="K2216" t="inlineStr">
        <is>
          <t>office outreach touch 1</t>
        </is>
      </c>
    </row>
    <row r="2217">
      <c r="A2217" s="17">
        <f>IF(B2217="","",B2217+(12*1000+566)/10000000)</f>
        <v/>
      </c>
      <c r="B2217" s="23">
        <f>IF(AND(IFERROR(N(INDEX(Clay_Offices!$A$2:$FZ$601,566,Sync!$C$11)),0)&gt;0,IFERROR(INDEX(Clay_Offices!$A$2:$FZ$601,566,Sync!$C$5)&amp;"","")&lt;&gt;"",OR(LEFT(IFERROR(INDEX(Clay_Offices!$A$2:$FZ$601,566,Sync!$C$5)&amp;"",""),6)&lt;&gt;"SAMPLE",Config!$B$19="Y")),IFERROR(N(INDEX(Clay_Offices!$A$2:$FZ$601,566,Sync!$C$11)),0),"")</f>
        <v/>
      </c>
      <c r="C2217" s="17">
        <f>IF(B2217="","","office")</f>
        <v/>
      </c>
      <c r="D2217" s="17">
        <f>IF(B2217="","",IFERROR(INDEX(Clay_Offices!$A$2:$FZ$601,566,Sync!$C$5)&amp;"",""))</f>
        <v/>
      </c>
      <c r="E2217" s="17">
        <f>IF(B2217="","",IFERROR(INDEX(Clay_Offices!$A$2:$FZ$601,566,Sync!$C$6)&amp;"",""))</f>
        <v/>
      </c>
      <c r="F2217" s="17">
        <f>IF(B2217="","","outreach_sent")</f>
        <v/>
      </c>
      <c r="G2217" s="17">
        <f>IF(B2217="","","")</f>
        <v/>
      </c>
      <c r="H2217" s="17">
        <f>IF(B2217="","","")</f>
        <v/>
      </c>
      <c r="I2217" s="17">
        <f>IF(B2217="","","")</f>
        <v/>
      </c>
      <c r="J2217" s="17">
        <f>IF(B2217="","","touch_1; "&amp;IFERROR(INDEX(Clay_Offices!$A$2:$FZ$601,566,Sync!$C$10)&amp;"","")&amp;"; "&amp;IFERROR(INDEX(Clay_Offices!$A$2:$FZ$601,566,Sync!$C$9)&amp;"",""))</f>
        <v/>
      </c>
      <c r="K2217" t="inlineStr">
        <is>
          <t>office outreach touch 1</t>
        </is>
      </c>
    </row>
    <row r="2218">
      <c r="A2218" s="17">
        <f>IF(B2218="","",B2218+(12*1000+567)/10000000)</f>
        <v/>
      </c>
      <c r="B2218" s="23">
        <f>IF(AND(IFERROR(N(INDEX(Clay_Offices!$A$2:$FZ$601,567,Sync!$C$11)),0)&gt;0,IFERROR(INDEX(Clay_Offices!$A$2:$FZ$601,567,Sync!$C$5)&amp;"","")&lt;&gt;"",OR(LEFT(IFERROR(INDEX(Clay_Offices!$A$2:$FZ$601,567,Sync!$C$5)&amp;"",""),6)&lt;&gt;"SAMPLE",Config!$B$19="Y")),IFERROR(N(INDEX(Clay_Offices!$A$2:$FZ$601,567,Sync!$C$11)),0),"")</f>
        <v/>
      </c>
      <c r="C2218" s="17">
        <f>IF(B2218="","","office")</f>
        <v/>
      </c>
      <c r="D2218" s="17">
        <f>IF(B2218="","",IFERROR(INDEX(Clay_Offices!$A$2:$FZ$601,567,Sync!$C$5)&amp;"",""))</f>
        <v/>
      </c>
      <c r="E2218" s="17">
        <f>IF(B2218="","",IFERROR(INDEX(Clay_Offices!$A$2:$FZ$601,567,Sync!$C$6)&amp;"",""))</f>
        <v/>
      </c>
      <c r="F2218" s="17">
        <f>IF(B2218="","","outreach_sent")</f>
        <v/>
      </c>
      <c r="G2218" s="17">
        <f>IF(B2218="","","")</f>
        <v/>
      </c>
      <c r="H2218" s="17">
        <f>IF(B2218="","","")</f>
        <v/>
      </c>
      <c r="I2218" s="17">
        <f>IF(B2218="","","")</f>
        <v/>
      </c>
      <c r="J2218" s="17">
        <f>IF(B2218="","","touch_1; "&amp;IFERROR(INDEX(Clay_Offices!$A$2:$FZ$601,567,Sync!$C$10)&amp;"","")&amp;"; "&amp;IFERROR(INDEX(Clay_Offices!$A$2:$FZ$601,567,Sync!$C$9)&amp;"",""))</f>
        <v/>
      </c>
      <c r="K2218" t="inlineStr">
        <is>
          <t>office outreach touch 1</t>
        </is>
      </c>
    </row>
    <row r="2219">
      <c r="A2219" s="17">
        <f>IF(B2219="","",B2219+(12*1000+568)/10000000)</f>
        <v/>
      </c>
      <c r="B2219" s="23">
        <f>IF(AND(IFERROR(N(INDEX(Clay_Offices!$A$2:$FZ$601,568,Sync!$C$11)),0)&gt;0,IFERROR(INDEX(Clay_Offices!$A$2:$FZ$601,568,Sync!$C$5)&amp;"","")&lt;&gt;"",OR(LEFT(IFERROR(INDEX(Clay_Offices!$A$2:$FZ$601,568,Sync!$C$5)&amp;"",""),6)&lt;&gt;"SAMPLE",Config!$B$19="Y")),IFERROR(N(INDEX(Clay_Offices!$A$2:$FZ$601,568,Sync!$C$11)),0),"")</f>
        <v/>
      </c>
      <c r="C2219" s="17">
        <f>IF(B2219="","","office")</f>
        <v/>
      </c>
      <c r="D2219" s="17">
        <f>IF(B2219="","",IFERROR(INDEX(Clay_Offices!$A$2:$FZ$601,568,Sync!$C$5)&amp;"",""))</f>
        <v/>
      </c>
      <c r="E2219" s="17">
        <f>IF(B2219="","",IFERROR(INDEX(Clay_Offices!$A$2:$FZ$601,568,Sync!$C$6)&amp;"",""))</f>
        <v/>
      </c>
      <c r="F2219" s="17">
        <f>IF(B2219="","","outreach_sent")</f>
        <v/>
      </c>
      <c r="G2219" s="17">
        <f>IF(B2219="","","")</f>
        <v/>
      </c>
      <c r="H2219" s="17">
        <f>IF(B2219="","","")</f>
        <v/>
      </c>
      <c r="I2219" s="17">
        <f>IF(B2219="","","")</f>
        <v/>
      </c>
      <c r="J2219" s="17">
        <f>IF(B2219="","","touch_1; "&amp;IFERROR(INDEX(Clay_Offices!$A$2:$FZ$601,568,Sync!$C$10)&amp;"","")&amp;"; "&amp;IFERROR(INDEX(Clay_Offices!$A$2:$FZ$601,568,Sync!$C$9)&amp;"",""))</f>
        <v/>
      </c>
      <c r="K2219" t="inlineStr">
        <is>
          <t>office outreach touch 1</t>
        </is>
      </c>
    </row>
    <row r="2220">
      <c r="A2220" s="17">
        <f>IF(B2220="","",B2220+(12*1000+569)/10000000)</f>
        <v/>
      </c>
      <c r="B2220" s="23">
        <f>IF(AND(IFERROR(N(INDEX(Clay_Offices!$A$2:$FZ$601,569,Sync!$C$11)),0)&gt;0,IFERROR(INDEX(Clay_Offices!$A$2:$FZ$601,569,Sync!$C$5)&amp;"","")&lt;&gt;"",OR(LEFT(IFERROR(INDEX(Clay_Offices!$A$2:$FZ$601,569,Sync!$C$5)&amp;"",""),6)&lt;&gt;"SAMPLE",Config!$B$19="Y")),IFERROR(N(INDEX(Clay_Offices!$A$2:$FZ$601,569,Sync!$C$11)),0),"")</f>
        <v/>
      </c>
      <c r="C2220" s="17">
        <f>IF(B2220="","","office")</f>
        <v/>
      </c>
      <c r="D2220" s="17">
        <f>IF(B2220="","",IFERROR(INDEX(Clay_Offices!$A$2:$FZ$601,569,Sync!$C$5)&amp;"",""))</f>
        <v/>
      </c>
      <c r="E2220" s="17">
        <f>IF(B2220="","",IFERROR(INDEX(Clay_Offices!$A$2:$FZ$601,569,Sync!$C$6)&amp;"",""))</f>
        <v/>
      </c>
      <c r="F2220" s="17">
        <f>IF(B2220="","","outreach_sent")</f>
        <v/>
      </c>
      <c r="G2220" s="17">
        <f>IF(B2220="","","")</f>
        <v/>
      </c>
      <c r="H2220" s="17">
        <f>IF(B2220="","","")</f>
        <v/>
      </c>
      <c r="I2220" s="17">
        <f>IF(B2220="","","")</f>
        <v/>
      </c>
      <c r="J2220" s="17">
        <f>IF(B2220="","","touch_1; "&amp;IFERROR(INDEX(Clay_Offices!$A$2:$FZ$601,569,Sync!$C$10)&amp;"","")&amp;"; "&amp;IFERROR(INDEX(Clay_Offices!$A$2:$FZ$601,569,Sync!$C$9)&amp;"",""))</f>
        <v/>
      </c>
      <c r="K2220" t="inlineStr">
        <is>
          <t>office outreach touch 1</t>
        </is>
      </c>
    </row>
    <row r="2221">
      <c r="A2221" s="17">
        <f>IF(B2221="","",B2221+(12*1000+570)/10000000)</f>
        <v/>
      </c>
      <c r="B2221" s="23">
        <f>IF(AND(IFERROR(N(INDEX(Clay_Offices!$A$2:$FZ$601,570,Sync!$C$11)),0)&gt;0,IFERROR(INDEX(Clay_Offices!$A$2:$FZ$601,570,Sync!$C$5)&amp;"","")&lt;&gt;"",OR(LEFT(IFERROR(INDEX(Clay_Offices!$A$2:$FZ$601,570,Sync!$C$5)&amp;"",""),6)&lt;&gt;"SAMPLE",Config!$B$19="Y")),IFERROR(N(INDEX(Clay_Offices!$A$2:$FZ$601,570,Sync!$C$11)),0),"")</f>
        <v/>
      </c>
      <c r="C2221" s="17">
        <f>IF(B2221="","","office")</f>
        <v/>
      </c>
      <c r="D2221" s="17">
        <f>IF(B2221="","",IFERROR(INDEX(Clay_Offices!$A$2:$FZ$601,570,Sync!$C$5)&amp;"",""))</f>
        <v/>
      </c>
      <c r="E2221" s="17">
        <f>IF(B2221="","",IFERROR(INDEX(Clay_Offices!$A$2:$FZ$601,570,Sync!$C$6)&amp;"",""))</f>
        <v/>
      </c>
      <c r="F2221" s="17">
        <f>IF(B2221="","","outreach_sent")</f>
        <v/>
      </c>
      <c r="G2221" s="17">
        <f>IF(B2221="","","")</f>
        <v/>
      </c>
      <c r="H2221" s="17">
        <f>IF(B2221="","","")</f>
        <v/>
      </c>
      <c r="I2221" s="17">
        <f>IF(B2221="","","")</f>
        <v/>
      </c>
      <c r="J2221" s="17">
        <f>IF(B2221="","","touch_1; "&amp;IFERROR(INDEX(Clay_Offices!$A$2:$FZ$601,570,Sync!$C$10)&amp;"","")&amp;"; "&amp;IFERROR(INDEX(Clay_Offices!$A$2:$FZ$601,570,Sync!$C$9)&amp;"",""))</f>
        <v/>
      </c>
      <c r="K2221" t="inlineStr">
        <is>
          <t>office outreach touch 1</t>
        </is>
      </c>
    </row>
    <row r="2222">
      <c r="A2222" s="17">
        <f>IF(B2222="","",B2222+(12*1000+571)/10000000)</f>
        <v/>
      </c>
      <c r="B2222" s="23">
        <f>IF(AND(IFERROR(N(INDEX(Clay_Offices!$A$2:$FZ$601,571,Sync!$C$11)),0)&gt;0,IFERROR(INDEX(Clay_Offices!$A$2:$FZ$601,571,Sync!$C$5)&amp;"","")&lt;&gt;"",OR(LEFT(IFERROR(INDEX(Clay_Offices!$A$2:$FZ$601,571,Sync!$C$5)&amp;"",""),6)&lt;&gt;"SAMPLE",Config!$B$19="Y")),IFERROR(N(INDEX(Clay_Offices!$A$2:$FZ$601,571,Sync!$C$11)),0),"")</f>
        <v/>
      </c>
      <c r="C2222" s="17">
        <f>IF(B2222="","","office")</f>
        <v/>
      </c>
      <c r="D2222" s="17">
        <f>IF(B2222="","",IFERROR(INDEX(Clay_Offices!$A$2:$FZ$601,571,Sync!$C$5)&amp;"",""))</f>
        <v/>
      </c>
      <c r="E2222" s="17">
        <f>IF(B2222="","",IFERROR(INDEX(Clay_Offices!$A$2:$FZ$601,571,Sync!$C$6)&amp;"",""))</f>
        <v/>
      </c>
      <c r="F2222" s="17">
        <f>IF(B2222="","","outreach_sent")</f>
        <v/>
      </c>
      <c r="G2222" s="17">
        <f>IF(B2222="","","")</f>
        <v/>
      </c>
      <c r="H2222" s="17">
        <f>IF(B2222="","","")</f>
        <v/>
      </c>
      <c r="I2222" s="17">
        <f>IF(B2222="","","")</f>
        <v/>
      </c>
      <c r="J2222" s="17">
        <f>IF(B2222="","","touch_1; "&amp;IFERROR(INDEX(Clay_Offices!$A$2:$FZ$601,571,Sync!$C$10)&amp;"","")&amp;"; "&amp;IFERROR(INDEX(Clay_Offices!$A$2:$FZ$601,571,Sync!$C$9)&amp;"",""))</f>
        <v/>
      </c>
      <c r="K2222" t="inlineStr">
        <is>
          <t>office outreach touch 1</t>
        </is>
      </c>
    </row>
    <row r="2223">
      <c r="A2223" s="17">
        <f>IF(B2223="","",B2223+(12*1000+572)/10000000)</f>
        <v/>
      </c>
      <c r="B2223" s="23">
        <f>IF(AND(IFERROR(N(INDEX(Clay_Offices!$A$2:$FZ$601,572,Sync!$C$11)),0)&gt;0,IFERROR(INDEX(Clay_Offices!$A$2:$FZ$601,572,Sync!$C$5)&amp;"","")&lt;&gt;"",OR(LEFT(IFERROR(INDEX(Clay_Offices!$A$2:$FZ$601,572,Sync!$C$5)&amp;"",""),6)&lt;&gt;"SAMPLE",Config!$B$19="Y")),IFERROR(N(INDEX(Clay_Offices!$A$2:$FZ$601,572,Sync!$C$11)),0),"")</f>
        <v/>
      </c>
      <c r="C2223" s="17">
        <f>IF(B2223="","","office")</f>
        <v/>
      </c>
      <c r="D2223" s="17">
        <f>IF(B2223="","",IFERROR(INDEX(Clay_Offices!$A$2:$FZ$601,572,Sync!$C$5)&amp;"",""))</f>
        <v/>
      </c>
      <c r="E2223" s="17">
        <f>IF(B2223="","",IFERROR(INDEX(Clay_Offices!$A$2:$FZ$601,572,Sync!$C$6)&amp;"",""))</f>
        <v/>
      </c>
      <c r="F2223" s="17">
        <f>IF(B2223="","","outreach_sent")</f>
        <v/>
      </c>
      <c r="G2223" s="17">
        <f>IF(B2223="","","")</f>
        <v/>
      </c>
      <c r="H2223" s="17">
        <f>IF(B2223="","","")</f>
        <v/>
      </c>
      <c r="I2223" s="17">
        <f>IF(B2223="","","")</f>
        <v/>
      </c>
      <c r="J2223" s="17">
        <f>IF(B2223="","","touch_1; "&amp;IFERROR(INDEX(Clay_Offices!$A$2:$FZ$601,572,Sync!$C$10)&amp;"","")&amp;"; "&amp;IFERROR(INDEX(Clay_Offices!$A$2:$FZ$601,572,Sync!$C$9)&amp;"",""))</f>
        <v/>
      </c>
      <c r="K2223" t="inlineStr">
        <is>
          <t>office outreach touch 1</t>
        </is>
      </c>
    </row>
    <row r="2224">
      <c r="A2224" s="17">
        <f>IF(B2224="","",B2224+(12*1000+573)/10000000)</f>
        <v/>
      </c>
      <c r="B2224" s="23">
        <f>IF(AND(IFERROR(N(INDEX(Clay_Offices!$A$2:$FZ$601,573,Sync!$C$11)),0)&gt;0,IFERROR(INDEX(Clay_Offices!$A$2:$FZ$601,573,Sync!$C$5)&amp;"","")&lt;&gt;"",OR(LEFT(IFERROR(INDEX(Clay_Offices!$A$2:$FZ$601,573,Sync!$C$5)&amp;"",""),6)&lt;&gt;"SAMPLE",Config!$B$19="Y")),IFERROR(N(INDEX(Clay_Offices!$A$2:$FZ$601,573,Sync!$C$11)),0),"")</f>
        <v/>
      </c>
      <c r="C2224" s="17">
        <f>IF(B2224="","","office")</f>
        <v/>
      </c>
      <c r="D2224" s="17">
        <f>IF(B2224="","",IFERROR(INDEX(Clay_Offices!$A$2:$FZ$601,573,Sync!$C$5)&amp;"",""))</f>
        <v/>
      </c>
      <c r="E2224" s="17">
        <f>IF(B2224="","",IFERROR(INDEX(Clay_Offices!$A$2:$FZ$601,573,Sync!$C$6)&amp;"",""))</f>
        <v/>
      </c>
      <c r="F2224" s="17">
        <f>IF(B2224="","","outreach_sent")</f>
        <v/>
      </c>
      <c r="G2224" s="17">
        <f>IF(B2224="","","")</f>
        <v/>
      </c>
      <c r="H2224" s="17">
        <f>IF(B2224="","","")</f>
        <v/>
      </c>
      <c r="I2224" s="17">
        <f>IF(B2224="","","")</f>
        <v/>
      </c>
      <c r="J2224" s="17">
        <f>IF(B2224="","","touch_1; "&amp;IFERROR(INDEX(Clay_Offices!$A$2:$FZ$601,573,Sync!$C$10)&amp;"","")&amp;"; "&amp;IFERROR(INDEX(Clay_Offices!$A$2:$FZ$601,573,Sync!$C$9)&amp;"",""))</f>
        <v/>
      </c>
      <c r="K2224" t="inlineStr">
        <is>
          <t>office outreach touch 1</t>
        </is>
      </c>
    </row>
    <row r="2225">
      <c r="A2225" s="17">
        <f>IF(B2225="","",B2225+(12*1000+574)/10000000)</f>
        <v/>
      </c>
      <c r="B2225" s="23">
        <f>IF(AND(IFERROR(N(INDEX(Clay_Offices!$A$2:$FZ$601,574,Sync!$C$11)),0)&gt;0,IFERROR(INDEX(Clay_Offices!$A$2:$FZ$601,574,Sync!$C$5)&amp;"","")&lt;&gt;"",OR(LEFT(IFERROR(INDEX(Clay_Offices!$A$2:$FZ$601,574,Sync!$C$5)&amp;"",""),6)&lt;&gt;"SAMPLE",Config!$B$19="Y")),IFERROR(N(INDEX(Clay_Offices!$A$2:$FZ$601,574,Sync!$C$11)),0),"")</f>
        <v/>
      </c>
      <c r="C2225" s="17">
        <f>IF(B2225="","","office")</f>
        <v/>
      </c>
      <c r="D2225" s="17">
        <f>IF(B2225="","",IFERROR(INDEX(Clay_Offices!$A$2:$FZ$601,574,Sync!$C$5)&amp;"",""))</f>
        <v/>
      </c>
      <c r="E2225" s="17">
        <f>IF(B2225="","",IFERROR(INDEX(Clay_Offices!$A$2:$FZ$601,574,Sync!$C$6)&amp;"",""))</f>
        <v/>
      </c>
      <c r="F2225" s="17">
        <f>IF(B2225="","","outreach_sent")</f>
        <v/>
      </c>
      <c r="G2225" s="17">
        <f>IF(B2225="","","")</f>
        <v/>
      </c>
      <c r="H2225" s="17">
        <f>IF(B2225="","","")</f>
        <v/>
      </c>
      <c r="I2225" s="17">
        <f>IF(B2225="","","")</f>
        <v/>
      </c>
      <c r="J2225" s="17">
        <f>IF(B2225="","","touch_1; "&amp;IFERROR(INDEX(Clay_Offices!$A$2:$FZ$601,574,Sync!$C$10)&amp;"","")&amp;"; "&amp;IFERROR(INDEX(Clay_Offices!$A$2:$FZ$601,574,Sync!$C$9)&amp;"",""))</f>
        <v/>
      </c>
      <c r="K2225" t="inlineStr">
        <is>
          <t>office outreach touch 1</t>
        </is>
      </c>
    </row>
    <row r="2226">
      <c r="A2226" s="17">
        <f>IF(B2226="","",B2226+(12*1000+575)/10000000)</f>
        <v/>
      </c>
      <c r="B2226" s="23">
        <f>IF(AND(IFERROR(N(INDEX(Clay_Offices!$A$2:$FZ$601,575,Sync!$C$11)),0)&gt;0,IFERROR(INDEX(Clay_Offices!$A$2:$FZ$601,575,Sync!$C$5)&amp;"","")&lt;&gt;"",OR(LEFT(IFERROR(INDEX(Clay_Offices!$A$2:$FZ$601,575,Sync!$C$5)&amp;"",""),6)&lt;&gt;"SAMPLE",Config!$B$19="Y")),IFERROR(N(INDEX(Clay_Offices!$A$2:$FZ$601,575,Sync!$C$11)),0),"")</f>
        <v/>
      </c>
      <c r="C2226" s="17">
        <f>IF(B2226="","","office")</f>
        <v/>
      </c>
      <c r="D2226" s="17">
        <f>IF(B2226="","",IFERROR(INDEX(Clay_Offices!$A$2:$FZ$601,575,Sync!$C$5)&amp;"",""))</f>
        <v/>
      </c>
      <c r="E2226" s="17">
        <f>IF(B2226="","",IFERROR(INDEX(Clay_Offices!$A$2:$FZ$601,575,Sync!$C$6)&amp;"",""))</f>
        <v/>
      </c>
      <c r="F2226" s="17">
        <f>IF(B2226="","","outreach_sent")</f>
        <v/>
      </c>
      <c r="G2226" s="17">
        <f>IF(B2226="","","")</f>
        <v/>
      </c>
      <c r="H2226" s="17">
        <f>IF(B2226="","","")</f>
        <v/>
      </c>
      <c r="I2226" s="17">
        <f>IF(B2226="","","")</f>
        <v/>
      </c>
      <c r="J2226" s="17">
        <f>IF(B2226="","","touch_1; "&amp;IFERROR(INDEX(Clay_Offices!$A$2:$FZ$601,575,Sync!$C$10)&amp;"","")&amp;"; "&amp;IFERROR(INDEX(Clay_Offices!$A$2:$FZ$601,575,Sync!$C$9)&amp;"",""))</f>
        <v/>
      </c>
      <c r="K2226" t="inlineStr">
        <is>
          <t>office outreach touch 1</t>
        </is>
      </c>
    </row>
    <row r="2227">
      <c r="A2227" s="17">
        <f>IF(B2227="","",B2227+(12*1000+576)/10000000)</f>
        <v/>
      </c>
      <c r="B2227" s="23">
        <f>IF(AND(IFERROR(N(INDEX(Clay_Offices!$A$2:$FZ$601,576,Sync!$C$11)),0)&gt;0,IFERROR(INDEX(Clay_Offices!$A$2:$FZ$601,576,Sync!$C$5)&amp;"","")&lt;&gt;"",OR(LEFT(IFERROR(INDEX(Clay_Offices!$A$2:$FZ$601,576,Sync!$C$5)&amp;"",""),6)&lt;&gt;"SAMPLE",Config!$B$19="Y")),IFERROR(N(INDEX(Clay_Offices!$A$2:$FZ$601,576,Sync!$C$11)),0),"")</f>
        <v/>
      </c>
      <c r="C2227" s="17">
        <f>IF(B2227="","","office")</f>
        <v/>
      </c>
      <c r="D2227" s="17">
        <f>IF(B2227="","",IFERROR(INDEX(Clay_Offices!$A$2:$FZ$601,576,Sync!$C$5)&amp;"",""))</f>
        <v/>
      </c>
      <c r="E2227" s="17">
        <f>IF(B2227="","",IFERROR(INDEX(Clay_Offices!$A$2:$FZ$601,576,Sync!$C$6)&amp;"",""))</f>
        <v/>
      </c>
      <c r="F2227" s="17">
        <f>IF(B2227="","","outreach_sent")</f>
        <v/>
      </c>
      <c r="G2227" s="17">
        <f>IF(B2227="","","")</f>
        <v/>
      </c>
      <c r="H2227" s="17">
        <f>IF(B2227="","","")</f>
        <v/>
      </c>
      <c r="I2227" s="17">
        <f>IF(B2227="","","")</f>
        <v/>
      </c>
      <c r="J2227" s="17">
        <f>IF(B2227="","","touch_1; "&amp;IFERROR(INDEX(Clay_Offices!$A$2:$FZ$601,576,Sync!$C$10)&amp;"","")&amp;"; "&amp;IFERROR(INDEX(Clay_Offices!$A$2:$FZ$601,576,Sync!$C$9)&amp;"",""))</f>
        <v/>
      </c>
      <c r="K2227" t="inlineStr">
        <is>
          <t>office outreach touch 1</t>
        </is>
      </c>
    </row>
    <row r="2228">
      <c r="A2228" s="17">
        <f>IF(B2228="","",B2228+(12*1000+577)/10000000)</f>
        <v/>
      </c>
      <c r="B2228" s="23">
        <f>IF(AND(IFERROR(N(INDEX(Clay_Offices!$A$2:$FZ$601,577,Sync!$C$11)),0)&gt;0,IFERROR(INDEX(Clay_Offices!$A$2:$FZ$601,577,Sync!$C$5)&amp;"","")&lt;&gt;"",OR(LEFT(IFERROR(INDEX(Clay_Offices!$A$2:$FZ$601,577,Sync!$C$5)&amp;"",""),6)&lt;&gt;"SAMPLE",Config!$B$19="Y")),IFERROR(N(INDEX(Clay_Offices!$A$2:$FZ$601,577,Sync!$C$11)),0),"")</f>
        <v/>
      </c>
      <c r="C2228" s="17">
        <f>IF(B2228="","","office")</f>
        <v/>
      </c>
      <c r="D2228" s="17">
        <f>IF(B2228="","",IFERROR(INDEX(Clay_Offices!$A$2:$FZ$601,577,Sync!$C$5)&amp;"",""))</f>
        <v/>
      </c>
      <c r="E2228" s="17">
        <f>IF(B2228="","",IFERROR(INDEX(Clay_Offices!$A$2:$FZ$601,577,Sync!$C$6)&amp;"",""))</f>
        <v/>
      </c>
      <c r="F2228" s="17">
        <f>IF(B2228="","","outreach_sent")</f>
        <v/>
      </c>
      <c r="G2228" s="17">
        <f>IF(B2228="","","")</f>
        <v/>
      </c>
      <c r="H2228" s="17">
        <f>IF(B2228="","","")</f>
        <v/>
      </c>
      <c r="I2228" s="17">
        <f>IF(B2228="","","")</f>
        <v/>
      </c>
      <c r="J2228" s="17">
        <f>IF(B2228="","","touch_1; "&amp;IFERROR(INDEX(Clay_Offices!$A$2:$FZ$601,577,Sync!$C$10)&amp;"","")&amp;"; "&amp;IFERROR(INDEX(Clay_Offices!$A$2:$FZ$601,577,Sync!$C$9)&amp;"",""))</f>
        <v/>
      </c>
      <c r="K2228" t="inlineStr">
        <is>
          <t>office outreach touch 1</t>
        </is>
      </c>
    </row>
    <row r="2229">
      <c r="A2229" s="17">
        <f>IF(B2229="","",B2229+(12*1000+578)/10000000)</f>
        <v/>
      </c>
      <c r="B2229" s="23">
        <f>IF(AND(IFERROR(N(INDEX(Clay_Offices!$A$2:$FZ$601,578,Sync!$C$11)),0)&gt;0,IFERROR(INDEX(Clay_Offices!$A$2:$FZ$601,578,Sync!$C$5)&amp;"","")&lt;&gt;"",OR(LEFT(IFERROR(INDEX(Clay_Offices!$A$2:$FZ$601,578,Sync!$C$5)&amp;"",""),6)&lt;&gt;"SAMPLE",Config!$B$19="Y")),IFERROR(N(INDEX(Clay_Offices!$A$2:$FZ$601,578,Sync!$C$11)),0),"")</f>
        <v/>
      </c>
      <c r="C2229" s="17">
        <f>IF(B2229="","","office")</f>
        <v/>
      </c>
      <c r="D2229" s="17">
        <f>IF(B2229="","",IFERROR(INDEX(Clay_Offices!$A$2:$FZ$601,578,Sync!$C$5)&amp;"",""))</f>
        <v/>
      </c>
      <c r="E2229" s="17">
        <f>IF(B2229="","",IFERROR(INDEX(Clay_Offices!$A$2:$FZ$601,578,Sync!$C$6)&amp;"",""))</f>
        <v/>
      </c>
      <c r="F2229" s="17">
        <f>IF(B2229="","","outreach_sent")</f>
        <v/>
      </c>
      <c r="G2229" s="17">
        <f>IF(B2229="","","")</f>
        <v/>
      </c>
      <c r="H2229" s="17">
        <f>IF(B2229="","","")</f>
        <v/>
      </c>
      <c r="I2229" s="17">
        <f>IF(B2229="","","")</f>
        <v/>
      </c>
      <c r="J2229" s="17">
        <f>IF(B2229="","","touch_1; "&amp;IFERROR(INDEX(Clay_Offices!$A$2:$FZ$601,578,Sync!$C$10)&amp;"","")&amp;"; "&amp;IFERROR(INDEX(Clay_Offices!$A$2:$FZ$601,578,Sync!$C$9)&amp;"",""))</f>
        <v/>
      </c>
      <c r="K2229" t="inlineStr">
        <is>
          <t>office outreach touch 1</t>
        </is>
      </c>
    </row>
    <row r="2230">
      <c r="A2230" s="17">
        <f>IF(B2230="","",B2230+(12*1000+579)/10000000)</f>
        <v/>
      </c>
      <c r="B2230" s="23">
        <f>IF(AND(IFERROR(N(INDEX(Clay_Offices!$A$2:$FZ$601,579,Sync!$C$11)),0)&gt;0,IFERROR(INDEX(Clay_Offices!$A$2:$FZ$601,579,Sync!$C$5)&amp;"","")&lt;&gt;"",OR(LEFT(IFERROR(INDEX(Clay_Offices!$A$2:$FZ$601,579,Sync!$C$5)&amp;"",""),6)&lt;&gt;"SAMPLE",Config!$B$19="Y")),IFERROR(N(INDEX(Clay_Offices!$A$2:$FZ$601,579,Sync!$C$11)),0),"")</f>
        <v/>
      </c>
      <c r="C2230" s="17">
        <f>IF(B2230="","","office")</f>
        <v/>
      </c>
      <c r="D2230" s="17">
        <f>IF(B2230="","",IFERROR(INDEX(Clay_Offices!$A$2:$FZ$601,579,Sync!$C$5)&amp;"",""))</f>
        <v/>
      </c>
      <c r="E2230" s="17">
        <f>IF(B2230="","",IFERROR(INDEX(Clay_Offices!$A$2:$FZ$601,579,Sync!$C$6)&amp;"",""))</f>
        <v/>
      </c>
      <c r="F2230" s="17">
        <f>IF(B2230="","","outreach_sent")</f>
        <v/>
      </c>
      <c r="G2230" s="17">
        <f>IF(B2230="","","")</f>
        <v/>
      </c>
      <c r="H2230" s="17">
        <f>IF(B2230="","","")</f>
        <v/>
      </c>
      <c r="I2230" s="17">
        <f>IF(B2230="","","")</f>
        <v/>
      </c>
      <c r="J2230" s="17">
        <f>IF(B2230="","","touch_1; "&amp;IFERROR(INDEX(Clay_Offices!$A$2:$FZ$601,579,Sync!$C$10)&amp;"","")&amp;"; "&amp;IFERROR(INDEX(Clay_Offices!$A$2:$FZ$601,579,Sync!$C$9)&amp;"",""))</f>
        <v/>
      </c>
      <c r="K2230" t="inlineStr">
        <is>
          <t>office outreach touch 1</t>
        </is>
      </c>
    </row>
    <row r="2231">
      <c r="A2231" s="17">
        <f>IF(B2231="","",B2231+(12*1000+580)/10000000)</f>
        <v/>
      </c>
      <c r="B2231" s="23">
        <f>IF(AND(IFERROR(N(INDEX(Clay_Offices!$A$2:$FZ$601,580,Sync!$C$11)),0)&gt;0,IFERROR(INDEX(Clay_Offices!$A$2:$FZ$601,580,Sync!$C$5)&amp;"","")&lt;&gt;"",OR(LEFT(IFERROR(INDEX(Clay_Offices!$A$2:$FZ$601,580,Sync!$C$5)&amp;"",""),6)&lt;&gt;"SAMPLE",Config!$B$19="Y")),IFERROR(N(INDEX(Clay_Offices!$A$2:$FZ$601,580,Sync!$C$11)),0),"")</f>
        <v/>
      </c>
      <c r="C2231" s="17">
        <f>IF(B2231="","","office")</f>
        <v/>
      </c>
      <c r="D2231" s="17">
        <f>IF(B2231="","",IFERROR(INDEX(Clay_Offices!$A$2:$FZ$601,580,Sync!$C$5)&amp;"",""))</f>
        <v/>
      </c>
      <c r="E2231" s="17">
        <f>IF(B2231="","",IFERROR(INDEX(Clay_Offices!$A$2:$FZ$601,580,Sync!$C$6)&amp;"",""))</f>
        <v/>
      </c>
      <c r="F2231" s="17">
        <f>IF(B2231="","","outreach_sent")</f>
        <v/>
      </c>
      <c r="G2231" s="17">
        <f>IF(B2231="","","")</f>
        <v/>
      </c>
      <c r="H2231" s="17">
        <f>IF(B2231="","","")</f>
        <v/>
      </c>
      <c r="I2231" s="17">
        <f>IF(B2231="","","")</f>
        <v/>
      </c>
      <c r="J2231" s="17">
        <f>IF(B2231="","","touch_1; "&amp;IFERROR(INDEX(Clay_Offices!$A$2:$FZ$601,580,Sync!$C$10)&amp;"","")&amp;"; "&amp;IFERROR(INDEX(Clay_Offices!$A$2:$FZ$601,580,Sync!$C$9)&amp;"",""))</f>
        <v/>
      </c>
      <c r="K2231" t="inlineStr">
        <is>
          <t>office outreach touch 1</t>
        </is>
      </c>
    </row>
    <row r="2232">
      <c r="A2232" s="17">
        <f>IF(B2232="","",B2232+(12*1000+581)/10000000)</f>
        <v/>
      </c>
      <c r="B2232" s="23">
        <f>IF(AND(IFERROR(N(INDEX(Clay_Offices!$A$2:$FZ$601,581,Sync!$C$11)),0)&gt;0,IFERROR(INDEX(Clay_Offices!$A$2:$FZ$601,581,Sync!$C$5)&amp;"","")&lt;&gt;"",OR(LEFT(IFERROR(INDEX(Clay_Offices!$A$2:$FZ$601,581,Sync!$C$5)&amp;"",""),6)&lt;&gt;"SAMPLE",Config!$B$19="Y")),IFERROR(N(INDEX(Clay_Offices!$A$2:$FZ$601,581,Sync!$C$11)),0),"")</f>
        <v/>
      </c>
      <c r="C2232" s="17">
        <f>IF(B2232="","","office")</f>
        <v/>
      </c>
      <c r="D2232" s="17">
        <f>IF(B2232="","",IFERROR(INDEX(Clay_Offices!$A$2:$FZ$601,581,Sync!$C$5)&amp;"",""))</f>
        <v/>
      </c>
      <c r="E2232" s="17">
        <f>IF(B2232="","",IFERROR(INDEX(Clay_Offices!$A$2:$FZ$601,581,Sync!$C$6)&amp;"",""))</f>
        <v/>
      </c>
      <c r="F2232" s="17">
        <f>IF(B2232="","","outreach_sent")</f>
        <v/>
      </c>
      <c r="G2232" s="17">
        <f>IF(B2232="","","")</f>
        <v/>
      </c>
      <c r="H2232" s="17">
        <f>IF(B2232="","","")</f>
        <v/>
      </c>
      <c r="I2232" s="17">
        <f>IF(B2232="","","")</f>
        <v/>
      </c>
      <c r="J2232" s="17">
        <f>IF(B2232="","","touch_1; "&amp;IFERROR(INDEX(Clay_Offices!$A$2:$FZ$601,581,Sync!$C$10)&amp;"","")&amp;"; "&amp;IFERROR(INDEX(Clay_Offices!$A$2:$FZ$601,581,Sync!$C$9)&amp;"",""))</f>
        <v/>
      </c>
      <c r="K2232" t="inlineStr">
        <is>
          <t>office outreach touch 1</t>
        </is>
      </c>
    </row>
    <row r="2233">
      <c r="A2233" s="17">
        <f>IF(B2233="","",B2233+(12*1000+582)/10000000)</f>
        <v/>
      </c>
      <c r="B2233" s="23">
        <f>IF(AND(IFERROR(N(INDEX(Clay_Offices!$A$2:$FZ$601,582,Sync!$C$11)),0)&gt;0,IFERROR(INDEX(Clay_Offices!$A$2:$FZ$601,582,Sync!$C$5)&amp;"","")&lt;&gt;"",OR(LEFT(IFERROR(INDEX(Clay_Offices!$A$2:$FZ$601,582,Sync!$C$5)&amp;"",""),6)&lt;&gt;"SAMPLE",Config!$B$19="Y")),IFERROR(N(INDEX(Clay_Offices!$A$2:$FZ$601,582,Sync!$C$11)),0),"")</f>
        <v/>
      </c>
      <c r="C2233" s="17">
        <f>IF(B2233="","","office")</f>
        <v/>
      </c>
      <c r="D2233" s="17">
        <f>IF(B2233="","",IFERROR(INDEX(Clay_Offices!$A$2:$FZ$601,582,Sync!$C$5)&amp;"",""))</f>
        <v/>
      </c>
      <c r="E2233" s="17">
        <f>IF(B2233="","",IFERROR(INDEX(Clay_Offices!$A$2:$FZ$601,582,Sync!$C$6)&amp;"",""))</f>
        <v/>
      </c>
      <c r="F2233" s="17">
        <f>IF(B2233="","","outreach_sent")</f>
        <v/>
      </c>
      <c r="G2233" s="17">
        <f>IF(B2233="","","")</f>
        <v/>
      </c>
      <c r="H2233" s="17">
        <f>IF(B2233="","","")</f>
        <v/>
      </c>
      <c r="I2233" s="17">
        <f>IF(B2233="","","")</f>
        <v/>
      </c>
      <c r="J2233" s="17">
        <f>IF(B2233="","","touch_1; "&amp;IFERROR(INDEX(Clay_Offices!$A$2:$FZ$601,582,Sync!$C$10)&amp;"","")&amp;"; "&amp;IFERROR(INDEX(Clay_Offices!$A$2:$FZ$601,582,Sync!$C$9)&amp;"",""))</f>
        <v/>
      </c>
      <c r="K2233" t="inlineStr">
        <is>
          <t>office outreach touch 1</t>
        </is>
      </c>
    </row>
    <row r="2234">
      <c r="A2234" s="17">
        <f>IF(B2234="","",B2234+(12*1000+583)/10000000)</f>
        <v/>
      </c>
      <c r="B2234" s="23">
        <f>IF(AND(IFERROR(N(INDEX(Clay_Offices!$A$2:$FZ$601,583,Sync!$C$11)),0)&gt;0,IFERROR(INDEX(Clay_Offices!$A$2:$FZ$601,583,Sync!$C$5)&amp;"","")&lt;&gt;"",OR(LEFT(IFERROR(INDEX(Clay_Offices!$A$2:$FZ$601,583,Sync!$C$5)&amp;"",""),6)&lt;&gt;"SAMPLE",Config!$B$19="Y")),IFERROR(N(INDEX(Clay_Offices!$A$2:$FZ$601,583,Sync!$C$11)),0),"")</f>
        <v/>
      </c>
      <c r="C2234" s="17">
        <f>IF(B2234="","","office")</f>
        <v/>
      </c>
      <c r="D2234" s="17">
        <f>IF(B2234="","",IFERROR(INDEX(Clay_Offices!$A$2:$FZ$601,583,Sync!$C$5)&amp;"",""))</f>
        <v/>
      </c>
      <c r="E2234" s="17">
        <f>IF(B2234="","",IFERROR(INDEX(Clay_Offices!$A$2:$FZ$601,583,Sync!$C$6)&amp;"",""))</f>
        <v/>
      </c>
      <c r="F2234" s="17">
        <f>IF(B2234="","","outreach_sent")</f>
        <v/>
      </c>
      <c r="G2234" s="17">
        <f>IF(B2234="","","")</f>
        <v/>
      </c>
      <c r="H2234" s="17">
        <f>IF(B2234="","","")</f>
        <v/>
      </c>
      <c r="I2234" s="17">
        <f>IF(B2234="","","")</f>
        <v/>
      </c>
      <c r="J2234" s="17">
        <f>IF(B2234="","","touch_1; "&amp;IFERROR(INDEX(Clay_Offices!$A$2:$FZ$601,583,Sync!$C$10)&amp;"","")&amp;"; "&amp;IFERROR(INDEX(Clay_Offices!$A$2:$FZ$601,583,Sync!$C$9)&amp;"",""))</f>
        <v/>
      </c>
      <c r="K2234" t="inlineStr">
        <is>
          <t>office outreach touch 1</t>
        </is>
      </c>
    </row>
    <row r="2235">
      <c r="A2235" s="17">
        <f>IF(B2235="","",B2235+(12*1000+584)/10000000)</f>
        <v/>
      </c>
      <c r="B2235" s="23">
        <f>IF(AND(IFERROR(N(INDEX(Clay_Offices!$A$2:$FZ$601,584,Sync!$C$11)),0)&gt;0,IFERROR(INDEX(Clay_Offices!$A$2:$FZ$601,584,Sync!$C$5)&amp;"","")&lt;&gt;"",OR(LEFT(IFERROR(INDEX(Clay_Offices!$A$2:$FZ$601,584,Sync!$C$5)&amp;"",""),6)&lt;&gt;"SAMPLE",Config!$B$19="Y")),IFERROR(N(INDEX(Clay_Offices!$A$2:$FZ$601,584,Sync!$C$11)),0),"")</f>
        <v/>
      </c>
      <c r="C2235" s="17">
        <f>IF(B2235="","","office")</f>
        <v/>
      </c>
      <c r="D2235" s="17">
        <f>IF(B2235="","",IFERROR(INDEX(Clay_Offices!$A$2:$FZ$601,584,Sync!$C$5)&amp;"",""))</f>
        <v/>
      </c>
      <c r="E2235" s="17">
        <f>IF(B2235="","",IFERROR(INDEX(Clay_Offices!$A$2:$FZ$601,584,Sync!$C$6)&amp;"",""))</f>
        <v/>
      </c>
      <c r="F2235" s="17">
        <f>IF(B2235="","","outreach_sent")</f>
        <v/>
      </c>
      <c r="G2235" s="17">
        <f>IF(B2235="","","")</f>
        <v/>
      </c>
      <c r="H2235" s="17">
        <f>IF(B2235="","","")</f>
        <v/>
      </c>
      <c r="I2235" s="17">
        <f>IF(B2235="","","")</f>
        <v/>
      </c>
      <c r="J2235" s="17">
        <f>IF(B2235="","","touch_1; "&amp;IFERROR(INDEX(Clay_Offices!$A$2:$FZ$601,584,Sync!$C$10)&amp;"","")&amp;"; "&amp;IFERROR(INDEX(Clay_Offices!$A$2:$FZ$601,584,Sync!$C$9)&amp;"",""))</f>
        <v/>
      </c>
      <c r="K2235" t="inlineStr">
        <is>
          <t>office outreach touch 1</t>
        </is>
      </c>
    </row>
    <row r="2236">
      <c r="A2236" s="17">
        <f>IF(B2236="","",B2236+(12*1000+585)/10000000)</f>
        <v/>
      </c>
      <c r="B2236" s="23">
        <f>IF(AND(IFERROR(N(INDEX(Clay_Offices!$A$2:$FZ$601,585,Sync!$C$11)),0)&gt;0,IFERROR(INDEX(Clay_Offices!$A$2:$FZ$601,585,Sync!$C$5)&amp;"","")&lt;&gt;"",OR(LEFT(IFERROR(INDEX(Clay_Offices!$A$2:$FZ$601,585,Sync!$C$5)&amp;"",""),6)&lt;&gt;"SAMPLE",Config!$B$19="Y")),IFERROR(N(INDEX(Clay_Offices!$A$2:$FZ$601,585,Sync!$C$11)),0),"")</f>
        <v/>
      </c>
      <c r="C2236" s="17">
        <f>IF(B2236="","","office")</f>
        <v/>
      </c>
      <c r="D2236" s="17">
        <f>IF(B2236="","",IFERROR(INDEX(Clay_Offices!$A$2:$FZ$601,585,Sync!$C$5)&amp;"",""))</f>
        <v/>
      </c>
      <c r="E2236" s="17">
        <f>IF(B2236="","",IFERROR(INDEX(Clay_Offices!$A$2:$FZ$601,585,Sync!$C$6)&amp;"",""))</f>
        <v/>
      </c>
      <c r="F2236" s="17">
        <f>IF(B2236="","","outreach_sent")</f>
        <v/>
      </c>
      <c r="G2236" s="17">
        <f>IF(B2236="","","")</f>
        <v/>
      </c>
      <c r="H2236" s="17">
        <f>IF(B2236="","","")</f>
        <v/>
      </c>
      <c r="I2236" s="17">
        <f>IF(B2236="","","")</f>
        <v/>
      </c>
      <c r="J2236" s="17">
        <f>IF(B2236="","","touch_1; "&amp;IFERROR(INDEX(Clay_Offices!$A$2:$FZ$601,585,Sync!$C$10)&amp;"","")&amp;"; "&amp;IFERROR(INDEX(Clay_Offices!$A$2:$FZ$601,585,Sync!$C$9)&amp;"",""))</f>
        <v/>
      </c>
      <c r="K2236" t="inlineStr">
        <is>
          <t>office outreach touch 1</t>
        </is>
      </c>
    </row>
    <row r="2237">
      <c r="A2237" s="17">
        <f>IF(B2237="","",B2237+(12*1000+586)/10000000)</f>
        <v/>
      </c>
      <c r="B2237" s="23">
        <f>IF(AND(IFERROR(N(INDEX(Clay_Offices!$A$2:$FZ$601,586,Sync!$C$11)),0)&gt;0,IFERROR(INDEX(Clay_Offices!$A$2:$FZ$601,586,Sync!$C$5)&amp;"","")&lt;&gt;"",OR(LEFT(IFERROR(INDEX(Clay_Offices!$A$2:$FZ$601,586,Sync!$C$5)&amp;"",""),6)&lt;&gt;"SAMPLE",Config!$B$19="Y")),IFERROR(N(INDEX(Clay_Offices!$A$2:$FZ$601,586,Sync!$C$11)),0),"")</f>
        <v/>
      </c>
      <c r="C2237" s="17">
        <f>IF(B2237="","","office")</f>
        <v/>
      </c>
      <c r="D2237" s="17">
        <f>IF(B2237="","",IFERROR(INDEX(Clay_Offices!$A$2:$FZ$601,586,Sync!$C$5)&amp;"",""))</f>
        <v/>
      </c>
      <c r="E2237" s="17">
        <f>IF(B2237="","",IFERROR(INDEX(Clay_Offices!$A$2:$FZ$601,586,Sync!$C$6)&amp;"",""))</f>
        <v/>
      </c>
      <c r="F2237" s="17">
        <f>IF(B2237="","","outreach_sent")</f>
        <v/>
      </c>
      <c r="G2237" s="17">
        <f>IF(B2237="","","")</f>
        <v/>
      </c>
      <c r="H2237" s="17">
        <f>IF(B2237="","","")</f>
        <v/>
      </c>
      <c r="I2237" s="17">
        <f>IF(B2237="","","")</f>
        <v/>
      </c>
      <c r="J2237" s="17">
        <f>IF(B2237="","","touch_1; "&amp;IFERROR(INDEX(Clay_Offices!$A$2:$FZ$601,586,Sync!$C$10)&amp;"","")&amp;"; "&amp;IFERROR(INDEX(Clay_Offices!$A$2:$FZ$601,586,Sync!$C$9)&amp;"",""))</f>
        <v/>
      </c>
      <c r="K2237" t="inlineStr">
        <is>
          <t>office outreach touch 1</t>
        </is>
      </c>
    </row>
    <row r="2238">
      <c r="A2238" s="17">
        <f>IF(B2238="","",B2238+(12*1000+587)/10000000)</f>
        <v/>
      </c>
      <c r="B2238" s="23">
        <f>IF(AND(IFERROR(N(INDEX(Clay_Offices!$A$2:$FZ$601,587,Sync!$C$11)),0)&gt;0,IFERROR(INDEX(Clay_Offices!$A$2:$FZ$601,587,Sync!$C$5)&amp;"","")&lt;&gt;"",OR(LEFT(IFERROR(INDEX(Clay_Offices!$A$2:$FZ$601,587,Sync!$C$5)&amp;"",""),6)&lt;&gt;"SAMPLE",Config!$B$19="Y")),IFERROR(N(INDEX(Clay_Offices!$A$2:$FZ$601,587,Sync!$C$11)),0),"")</f>
        <v/>
      </c>
      <c r="C2238" s="17">
        <f>IF(B2238="","","office")</f>
        <v/>
      </c>
      <c r="D2238" s="17">
        <f>IF(B2238="","",IFERROR(INDEX(Clay_Offices!$A$2:$FZ$601,587,Sync!$C$5)&amp;"",""))</f>
        <v/>
      </c>
      <c r="E2238" s="17">
        <f>IF(B2238="","",IFERROR(INDEX(Clay_Offices!$A$2:$FZ$601,587,Sync!$C$6)&amp;"",""))</f>
        <v/>
      </c>
      <c r="F2238" s="17">
        <f>IF(B2238="","","outreach_sent")</f>
        <v/>
      </c>
      <c r="G2238" s="17">
        <f>IF(B2238="","","")</f>
        <v/>
      </c>
      <c r="H2238" s="17">
        <f>IF(B2238="","","")</f>
        <v/>
      </c>
      <c r="I2238" s="17">
        <f>IF(B2238="","","")</f>
        <v/>
      </c>
      <c r="J2238" s="17">
        <f>IF(B2238="","","touch_1; "&amp;IFERROR(INDEX(Clay_Offices!$A$2:$FZ$601,587,Sync!$C$10)&amp;"","")&amp;"; "&amp;IFERROR(INDEX(Clay_Offices!$A$2:$FZ$601,587,Sync!$C$9)&amp;"",""))</f>
        <v/>
      </c>
      <c r="K2238" t="inlineStr">
        <is>
          <t>office outreach touch 1</t>
        </is>
      </c>
    </row>
    <row r="2239">
      <c r="A2239" s="17">
        <f>IF(B2239="","",B2239+(12*1000+588)/10000000)</f>
        <v/>
      </c>
      <c r="B2239" s="23">
        <f>IF(AND(IFERROR(N(INDEX(Clay_Offices!$A$2:$FZ$601,588,Sync!$C$11)),0)&gt;0,IFERROR(INDEX(Clay_Offices!$A$2:$FZ$601,588,Sync!$C$5)&amp;"","")&lt;&gt;"",OR(LEFT(IFERROR(INDEX(Clay_Offices!$A$2:$FZ$601,588,Sync!$C$5)&amp;"",""),6)&lt;&gt;"SAMPLE",Config!$B$19="Y")),IFERROR(N(INDEX(Clay_Offices!$A$2:$FZ$601,588,Sync!$C$11)),0),"")</f>
        <v/>
      </c>
      <c r="C2239" s="17">
        <f>IF(B2239="","","office")</f>
        <v/>
      </c>
      <c r="D2239" s="17">
        <f>IF(B2239="","",IFERROR(INDEX(Clay_Offices!$A$2:$FZ$601,588,Sync!$C$5)&amp;"",""))</f>
        <v/>
      </c>
      <c r="E2239" s="17">
        <f>IF(B2239="","",IFERROR(INDEX(Clay_Offices!$A$2:$FZ$601,588,Sync!$C$6)&amp;"",""))</f>
        <v/>
      </c>
      <c r="F2239" s="17">
        <f>IF(B2239="","","outreach_sent")</f>
        <v/>
      </c>
      <c r="G2239" s="17">
        <f>IF(B2239="","","")</f>
        <v/>
      </c>
      <c r="H2239" s="17">
        <f>IF(B2239="","","")</f>
        <v/>
      </c>
      <c r="I2239" s="17">
        <f>IF(B2239="","","")</f>
        <v/>
      </c>
      <c r="J2239" s="17">
        <f>IF(B2239="","","touch_1; "&amp;IFERROR(INDEX(Clay_Offices!$A$2:$FZ$601,588,Sync!$C$10)&amp;"","")&amp;"; "&amp;IFERROR(INDEX(Clay_Offices!$A$2:$FZ$601,588,Sync!$C$9)&amp;"",""))</f>
        <v/>
      </c>
      <c r="K2239" t="inlineStr">
        <is>
          <t>office outreach touch 1</t>
        </is>
      </c>
    </row>
    <row r="2240">
      <c r="A2240" s="17">
        <f>IF(B2240="","",B2240+(12*1000+589)/10000000)</f>
        <v/>
      </c>
      <c r="B2240" s="23">
        <f>IF(AND(IFERROR(N(INDEX(Clay_Offices!$A$2:$FZ$601,589,Sync!$C$11)),0)&gt;0,IFERROR(INDEX(Clay_Offices!$A$2:$FZ$601,589,Sync!$C$5)&amp;"","")&lt;&gt;"",OR(LEFT(IFERROR(INDEX(Clay_Offices!$A$2:$FZ$601,589,Sync!$C$5)&amp;"",""),6)&lt;&gt;"SAMPLE",Config!$B$19="Y")),IFERROR(N(INDEX(Clay_Offices!$A$2:$FZ$601,589,Sync!$C$11)),0),"")</f>
        <v/>
      </c>
      <c r="C2240" s="17">
        <f>IF(B2240="","","office")</f>
        <v/>
      </c>
      <c r="D2240" s="17">
        <f>IF(B2240="","",IFERROR(INDEX(Clay_Offices!$A$2:$FZ$601,589,Sync!$C$5)&amp;"",""))</f>
        <v/>
      </c>
      <c r="E2240" s="17">
        <f>IF(B2240="","",IFERROR(INDEX(Clay_Offices!$A$2:$FZ$601,589,Sync!$C$6)&amp;"",""))</f>
        <v/>
      </c>
      <c r="F2240" s="17">
        <f>IF(B2240="","","outreach_sent")</f>
        <v/>
      </c>
      <c r="G2240" s="17">
        <f>IF(B2240="","","")</f>
        <v/>
      </c>
      <c r="H2240" s="17">
        <f>IF(B2240="","","")</f>
        <v/>
      </c>
      <c r="I2240" s="17">
        <f>IF(B2240="","","")</f>
        <v/>
      </c>
      <c r="J2240" s="17">
        <f>IF(B2240="","","touch_1; "&amp;IFERROR(INDEX(Clay_Offices!$A$2:$FZ$601,589,Sync!$C$10)&amp;"","")&amp;"; "&amp;IFERROR(INDEX(Clay_Offices!$A$2:$FZ$601,589,Sync!$C$9)&amp;"",""))</f>
        <v/>
      </c>
      <c r="K2240" t="inlineStr">
        <is>
          <t>office outreach touch 1</t>
        </is>
      </c>
    </row>
    <row r="2241">
      <c r="A2241" s="17">
        <f>IF(B2241="","",B2241+(12*1000+590)/10000000)</f>
        <v/>
      </c>
      <c r="B2241" s="23">
        <f>IF(AND(IFERROR(N(INDEX(Clay_Offices!$A$2:$FZ$601,590,Sync!$C$11)),0)&gt;0,IFERROR(INDEX(Clay_Offices!$A$2:$FZ$601,590,Sync!$C$5)&amp;"","")&lt;&gt;"",OR(LEFT(IFERROR(INDEX(Clay_Offices!$A$2:$FZ$601,590,Sync!$C$5)&amp;"",""),6)&lt;&gt;"SAMPLE",Config!$B$19="Y")),IFERROR(N(INDEX(Clay_Offices!$A$2:$FZ$601,590,Sync!$C$11)),0),"")</f>
        <v/>
      </c>
      <c r="C2241" s="17">
        <f>IF(B2241="","","office")</f>
        <v/>
      </c>
      <c r="D2241" s="17">
        <f>IF(B2241="","",IFERROR(INDEX(Clay_Offices!$A$2:$FZ$601,590,Sync!$C$5)&amp;"",""))</f>
        <v/>
      </c>
      <c r="E2241" s="17">
        <f>IF(B2241="","",IFERROR(INDEX(Clay_Offices!$A$2:$FZ$601,590,Sync!$C$6)&amp;"",""))</f>
        <v/>
      </c>
      <c r="F2241" s="17">
        <f>IF(B2241="","","outreach_sent")</f>
        <v/>
      </c>
      <c r="G2241" s="17">
        <f>IF(B2241="","","")</f>
        <v/>
      </c>
      <c r="H2241" s="17">
        <f>IF(B2241="","","")</f>
        <v/>
      </c>
      <c r="I2241" s="17">
        <f>IF(B2241="","","")</f>
        <v/>
      </c>
      <c r="J2241" s="17">
        <f>IF(B2241="","","touch_1; "&amp;IFERROR(INDEX(Clay_Offices!$A$2:$FZ$601,590,Sync!$C$10)&amp;"","")&amp;"; "&amp;IFERROR(INDEX(Clay_Offices!$A$2:$FZ$601,590,Sync!$C$9)&amp;"",""))</f>
        <v/>
      </c>
      <c r="K2241" t="inlineStr">
        <is>
          <t>office outreach touch 1</t>
        </is>
      </c>
    </row>
    <row r="2242">
      <c r="A2242" s="17">
        <f>IF(B2242="","",B2242+(12*1000+591)/10000000)</f>
        <v/>
      </c>
      <c r="B2242" s="23">
        <f>IF(AND(IFERROR(N(INDEX(Clay_Offices!$A$2:$FZ$601,591,Sync!$C$11)),0)&gt;0,IFERROR(INDEX(Clay_Offices!$A$2:$FZ$601,591,Sync!$C$5)&amp;"","")&lt;&gt;"",OR(LEFT(IFERROR(INDEX(Clay_Offices!$A$2:$FZ$601,591,Sync!$C$5)&amp;"",""),6)&lt;&gt;"SAMPLE",Config!$B$19="Y")),IFERROR(N(INDEX(Clay_Offices!$A$2:$FZ$601,591,Sync!$C$11)),0),"")</f>
        <v/>
      </c>
      <c r="C2242" s="17">
        <f>IF(B2242="","","office")</f>
        <v/>
      </c>
      <c r="D2242" s="17">
        <f>IF(B2242="","",IFERROR(INDEX(Clay_Offices!$A$2:$FZ$601,591,Sync!$C$5)&amp;"",""))</f>
        <v/>
      </c>
      <c r="E2242" s="17">
        <f>IF(B2242="","",IFERROR(INDEX(Clay_Offices!$A$2:$FZ$601,591,Sync!$C$6)&amp;"",""))</f>
        <v/>
      </c>
      <c r="F2242" s="17">
        <f>IF(B2242="","","outreach_sent")</f>
        <v/>
      </c>
      <c r="G2242" s="17">
        <f>IF(B2242="","","")</f>
        <v/>
      </c>
      <c r="H2242" s="17">
        <f>IF(B2242="","","")</f>
        <v/>
      </c>
      <c r="I2242" s="17">
        <f>IF(B2242="","","")</f>
        <v/>
      </c>
      <c r="J2242" s="17">
        <f>IF(B2242="","","touch_1; "&amp;IFERROR(INDEX(Clay_Offices!$A$2:$FZ$601,591,Sync!$C$10)&amp;"","")&amp;"; "&amp;IFERROR(INDEX(Clay_Offices!$A$2:$FZ$601,591,Sync!$C$9)&amp;"",""))</f>
        <v/>
      </c>
      <c r="K2242" t="inlineStr">
        <is>
          <t>office outreach touch 1</t>
        </is>
      </c>
    </row>
    <row r="2243">
      <c r="A2243" s="17">
        <f>IF(B2243="","",B2243+(12*1000+592)/10000000)</f>
        <v/>
      </c>
      <c r="B2243" s="23">
        <f>IF(AND(IFERROR(N(INDEX(Clay_Offices!$A$2:$FZ$601,592,Sync!$C$11)),0)&gt;0,IFERROR(INDEX(Clay_Offices!$A$2:$FZ$601,592,Sync!$C$5)&amp;"","")&lt;&gt;"",OR(LEFT(IFERROR(INDEX(Clay_Offices!$A$2:$FZ$601,592,Sync!$C$5)&amp;"",""),6)&lt;&gt;"SAMPLE",Config!$B$19="Y")),IFERROR(N(INDEX(Clay_Offices!$A$2:$FZ$601,592,Sync!$C$11)),0),"")</f>
        <v/>
      </c>
      <c r="C2243" s="17">
        <f>IF(B2243="","","office")</f>
        <v/>
      </c>
      <c r="D2243" s="17">
        <f>IF(B2243="","",IFERROR(INDEX(Clay_Offices!$A$2:$FZ$601,592,Sync!$C$5)&amp;"",""))</f>
        <v/>
      </c>
      <c r="E2243" s="17">
        <f>IF(B2243="","",IFERROR(INDEX(Clay_Offices!$A$2:$FZ$601,592,Sync!$C$6)&amp;"",""))</f>
        <v/>
      </c>
      <c r="F2243" s="17">
        <f>IF(B2243="","","outreach_sent")</f>
        <v/>
      </c>
      <c r="G2243" s="17">
        <f>IF(B2243="","","")</f>
        <v/>
      </c>
      <c r="H2243" s="17">
        <f>IF(B2243="","","")</f>
        <v/>
      </c>
      <c r="I2243" s="17">
        <f>IF(B2243="","","")</f>
        <v/>
      </c>
      <c r="J2243" s="17">
        <f>IF(B2243="","","touch_1; "&amp;IFERROR(INDEX(Clay_Offices!$A$2:$FZ$601,592,Sync!$C$10)&amp;"","")&amp;"; "&amp;IFERROR(INDEX(Clay_Offices!$A$2:$FZ$601,592,Sync!$C$9)&amp;"",""))</f>
        <v/>
      </c>
      <c r="K2243" t="inlineStr">
        <is>
          <t>office outreach touch 1</t>
        </is>
      </c>
    </row>
    <row r="2244">
      <c r="A2244" s="17">
        <f>IF(B2244="","",B2244+(12*1000+593)/10000000)</f>
        <v/>
      </c>
      <c r="B2244" s="23">
        <f>IF(AND(IFERROR(N(INDEX(Clay_Offices!$A$2:$FZ$601,593,Sync!$C$11)),0)&gt;0,IFERROR(INDEX(Clay_Offices!$A$2:$FZ$601,593,Sync!$C$5)&amp;"","")&lt;&gt;"",OR(LEFT(IFERROR(INDEX(Clay_Offices!$A$2:$FZ$601,593,Sync!$C$5)&amp;"",""),6)&lt;&gt;"SAMPLE",Config!$B$19="Y")),IFERROR(N(INDEX(Clay_Offices!$A$2:$FZ$601,593,Sync!$C$11)),0),"")</f>
        <v/>
      </c>
      <c r="C2244" s="17">
        <f>IF(B2244="","","office")</f>
        <v/>
      </c>
      <c r="D2244" s="17">
        <f>IF(B2244="","",IFERROR(INDEX(Clay_Offices!$A$2:$FZ$601,593,Sync!$C$5)&amp;"",""))</f>
        <v/>
      </c>
      <c r="E2244" s="17">
        <f>IF(B2244="","",IFERROR(INDEX(Clay_Offices!$A$2:$FZ$601,593,Sync!$C$6)&amp;"",""))</f>
        <v/>
      </c>
      <c r="F2244" s="17">
        <f>IF(B2244="","","outreach_sent")</f>
        <v/>
      </c>
      <c r="G2244" s="17">
        <f>IF(B2244="","","")</f>
        <v/>
      </c>
      <c r="H2244" s="17">
        <f>IF(B2244="","","")</f>
        <v/>
      </c>
      <c r="I2244" s="17">
        <f>IF(B2244="","","")</f>
        <v/>
      </c>
      <c r="J2244" s="17">
        <f>IF(B2244="","","touch_1; "&amp;IFERROR(INDEX(Clay_Offices!$A$2:$FZ$601,593,Sync!$C$10)&amp;"","")&amp;"; "&amp;IFERROR(INDEX(Clay_Offices!$A$2:$FZ$601,593,Sync!$C$9)&amp;"",""))</f>
        <v/>
      </c>
      <c r="K2244" t="inlineStr">
        <is>
          <t>office outreach touch 1</t>
        </is>
      </c>
    </row>
    <row r="2245">
      <c r="A2245" s="17">
        <f>IF(B2245="","",B2245+(12*1000+594)/10000000)</f>
        <v/>
      </c>
      <c r="B2245" s="23">
        <f>IF(AND(IFERROR(N(INDEX(Clay_Offices!$A$2:$FZ$601,594,Sync!$C$11)),0)&gt;0,IFERROR(INDEX(Clay_Offices!$A$2:$FZ$601,594,Sync!$C$5)&amp;"","")&lt;&gt;"",OR(LEFT(IFERROR(INDEX(Clay_Offices!$A$2:$FZ$601,594,Sync!$C$5)&amp;"",""),6)&lt;&gt;"SAMPLE",Config!$B$19="Y")),IFERROR(N(INDEX(Clay_Offices!$A$2:$FZ$601,594,Sync!$C$11)),0),"")</f>
        <v/>
      </c>
      <c r="C2245" s="17">
        <f>IF(B2245="","","office")</f>
        <v/>
      </c>
      <c r="D2245" s="17">
        <f>IF(B2245="","",IFERROR(INDEX(Clay_Offices!$A$2:$FZ$601,594,Sync!$C$5)&amp;"",""))</f>
        <v/>
      </c>
      <c r="E2245" s="17">
        <f>IF(B2245="","",IFERROR(INDEX(Clay_Offices!$A$2:$FZ$601,594,Sync!$C$6)&amp;"",""))</f>
        <v/>
      </c>
      <c r="F2245" s="17">
        <f>IF(B2245="","","outreach_sent")</f>
        <v/>
      </c>
      <c r="G2245" s="17">
        <f>IF(B2245="","","")</f>
        <v/>
      </c>
      <c r="H2245" s="17">
        <f>IF(B2245="","","")</f>
        <v/>
      </c>
      <c r="I2245" s="17">
        <f>IF(B2245="","","")</f>
        <v/>
      </c>
      <c r="J2245" s="17">
        <f>IF(B2245="","","touch_1; "&amp;IFERROR(INDEX(Clay_Offices!$A$2:$FZ$601,594,Sync!$C$10)&amp;"","")&amp;"; "&amp;IFERROR(INDEX(Clay_Offices!$A$2:$FZ$601,594,Sync!$C$9)&amp;"",""))</f>
        <v/>
      </c>
      <c r="K2245" t="inlineStr">
        <is>
          <t>office outreach touch 1</t>
        </is>
      </c>
    </row>
    <row r="2246">
      <c r="A2246" s="17">
        <f>IF(B2246="","",B2246+(12*1000+595)/10000000)</f>
        <v/>
      </c>
      <c r="B2246" s="23">
        <f>IF(AND(IFERROR(N(INDEX(Clay_Offices!$A$2:$FZ$601,595,Sync!$C$11)),0)&gt;0,IFERROR(INDEX(Clay_Offices!$A$2:$FZ$601,595,Sync!$C$5)&amp;"","")&lt;&gt;"",OR(LEFT(IFERROR(INDEX(Clay_Offices!$A$2:$FZ$601,595,Sync!$C$5)&amp;"",""),6)&lt;&gt;"SAMPLE",Config!$B$19="Y")),IFERROR(N(INDEX(Clay_Offices!$A$2:$FZ$601,595,Sync!$C$11)),0),"")</f>
        <v/>
      </c>
      <c r="C2246" s="17">
        <f>IF(B2246="","","office")</f>
        <v/>
      </c>
      <c r="D2246" s="17">
        <f>IF(B2246="","",IFERROR(INDEX(Clay_Offices!$A$2:$FZ$601,595,Sync!$C$5)&amp;"",""))</f>
        <v/>
      </c>
      <c r="E2246" s="17">
        <f>IF(B2246="","",IFERROR(INDEX(Clay_Offices!$A$2:$FZ$601,595,Sync!$C$6)&amp;"",""))</f>
        <v/>
      </c>
      <c r="F2246" s="17">
        <f>IF(B2246="","","outreach_sent")</f>
        <v/>
      </c>
      <c r="G2246" s="17">
        <f>IF(B2246="","","")</f>
        <v/>
      </c>
      <c r="H2246" s="17">
        <f>IF(B2246="","","")</f>
        <v/>
      </c>
      <c r="I2246" s="17">
        <f>IF(B2246="","","")</f>
        <v/>
      </c>
      <c r="J2246" s="17">
        <f>IF(B2246="","","touch_1; "&amp;IFERROR(INDEX(Clay_Offices!$A$2:$FZ$601,595,Sync!$C$10)&amp;"","")&amp;"; "&amp;IFERROR(INDEX(Clay_Offices!$A$2:$FZ$601,595,Sync!$C$9)&amp;"",""))</f>
        <v/>
      </c>
      <c r="K2246" t="inlineStr">
        <is>
          <t>office outreach touch 1</t>
        </is>
      </c>
    </row>
    <row r="2247">
      <c r="A2247" s="17">
        <f>IF(B2247="","",B2247+(12*1000+596)/10000000)</f>
        <v/>
      </c>
      <c r="B2247" s="23">
        <f>IF(AND(IFERROR(N(INDEX(Clay_Offices!$A$2:$FZ$601,596,Sync!$C$11)),0)&gt;0,IFERROR(INDEX(Clay_Offices!$A$2:$FZ$601,596,Sync!$C$5)&amp;"","")&lt;&gt;"",OR(LEFT(IFERROR(INDEX(Clay_Offices!$A$2:$FZ$601,596,Sync!$C$5)&amp;"",""),6)&lt;&gt;"SAMPLE",Config!$B$19="Y")),IFERROR(N(INDEX(Clay_Offices!$A$2:$FZ$601,596,Sync!$C$11)),0),"")</f>
        <v/>
      </c>
      <c r="C2247" s="17">
        <f>IF(B2247="","","office")</f>
        <v/>
      </c>
      <c r="D2247" s="17">
        <f>IF(B2247="","",IFERROR(INDEX(Clay_Offices!$A$2:$FZ$601,596,Sync!$C$5)&amp;"",""))</f>
        <v/>
      </c>
      <c r="E2247" s="17">
        <f>IF(B2247="","",IFERROR(INDEX(Clay_Offices!$A$2:$FZ$601,596,Sync!$C$6)&amp;"",""))</f>
        <v/>
      </c>
      <c r="F2247" s="17">
        <f>IF(B2247="","","outreach_sent")</f>
        <v/>
      </c>
      <c r="G2247" s="17">
        <f>IF(B2247="","","")</f>
        <v/>
      </c>
      <c r="H2247" s="17">
        <f>IF(B2247="","","")</f>
        <v/>
      </c>
      <c r="I2247" s="17">
        <f>IF(B2247="","","")</f>
        <v/>
      </c>
      <c r="J2247" s="17">
        <f>IF(B2247="","","touch_1; "&amp;IFERROR(INDEX(Clay_Offices!$A$2:$FZ$601,596,Sync!$C$10)&amp;"","")&amp;"; "&amp;IFERROR(INDEX(Clay_Offices!$A$2:$FZ$601,596,Sync!$C$9)&amp;"",""))</f>
        <v/>
      </c>
      <c r="K2247" t="inlineStr">
        <is>
          <t>office outreach touch 1</t>
        </is>
      </c>
    </row>
    <row r="2248">
      <c r="A2248" s="17">
        <f>IF(B2248="","",B2248+(12*1000+597)/10000000)</f>
        <v/>
      </c>
      <c r="B2248" s="23">
        <f>IF(AND(IFERROR(N(INDEX(Clay_Offices!$A$2:$FZ$601,597,Sync!$C$11)),0)&gt;0,IFERROR(INDEX(Clay_Offices!$A$2:$FZ$601,597,Sync!$C$5)&amp;"","")&lt;&gt;"",OR(LEFT(IFERROR(INDEX(Clay_Offices!$A$2:$FZ$601,597,Sync!$C$5)&amp;"",""),6)&lt;&gt;"SAMPLE",Config!$B$19="Y")),IFERROR(N(INDEX(Clay_Offices!$A$2:$FZ$601,597,Sync!$C$11)),0),"")</f>
        <v/>
      </c>
      <c r="C2248" s="17">
        <f>IF(B2248="","","office")</f>
        <v/>
      </c>
      <c r="D2248" s="17">
        <f>IF(B2248="","",IFERROR(INDEX(Clay_Offices!$A$2:$FZ$601,597,Sync!$C$5)&amp;"",""))</f>
        <v/>
      </c>
      <c r="E2248" s="17">
        <f>IF(B2248="","",IFERROR(INDEX(Clay_Offices!$A$2:$FZ$601,597,Sync!$C$6)&amp;"",""))</f>
        <v/>
      </c>
      <c r="F2248" s="17">
        <f>IF(B2248="","","outreach_sent")</f>
        <v/>
      </c>
      <c r="G2248" s="17">
        <f>IF(B2248="","","")</f>
        <v/>
      </c>
      <c r="H2248" s="17">
        <f>IF(B2248="","","")</f>
        <v/>
      </c>
      <c r="I2248" s="17">
        <f>IF(B2248="","","")</f>
        <v/>
      </c>
      <c r="J2248" s="17">
        <f>IF(B2248="","","touch_1; "&amp;IFERROR(INDEX(Clay_Offices!$A$2:$FZ$601,597,Sync!$C$10)&amp;"","")&amp;"; "&amp;IFERROR(INDEX(Clay_Offices!$A$2:$FZ$601,597,Sync!$C$9)&amp;"",""))</f>
        <v/>
      </c>
      <c r="K2248" t="inlineStr">
        <is>
          <t>office outreach touch 1</t>
        </is>
      </c>
    </row>
    <row r="2249">
      <c r="A2249" s="17">
        <f>IF(B2249="","",B2249+(12*1000+598)/10000000)</f>
        <v/>
      </c>
      <c r="B2249" s="23">
        <f>IF(AND(IFERROR(N(INDEX(Clay_Offices!$A$2:$FZ$601,598,Sync!$C$11)),0)&gt;0,IFERROR(INDEX(Clay_Offices!$A$2:$FZ$601,598,Sync!$C$5)&amp;"","")&lt;&gt;"",OR(LEFT(IFERROR(INDEX(Clay_Offices!$A$2:$FZ$601,598,Sync!$C$5)&amp;"",""),6)&lt;&gt;"SAMPLE",Config!$B$19="Y")),IFERROR(N(INDEX(Clay_Offices!$A$2:$FZ$601,598,Sync!$C$11)),0),"")</f>
        <v/>
      </c>
      <c r="C2249" s="17">
        <f>IF(B2249="","","office")</f>
        <v/>
      </c>
      <c r="D2249" s="17">
        <f>IF(B2249="","",IFERROR(INDEX(Clay_Offices!$A$2:$FZ$601,598,Sync!$C$5)&amp;"",""))</f>
        <v/>
      </c>
      <c r="E2249" s="17">
        <f>IF(B2249="","",IFERROR(INDEX(Clay_Offices!$A$2:$FZ$601,598,Sync!$C$6)&amp;"",""))</f>
        <v/>
      </c>
      <c r="F2249" s="17">
        <f>IF(B2249="","","outreach_sent")</f>
        <v/>
      </c>
      <c r="G2249" s="17">
        <f>IF(B2249="","","")</f>
        <v/>
      </c>
      <c r="H2249" s="17">
        <f>IF(B2249="","","")</f>
        <v/>
      </c>
      <c r="I2249" s="17">
        <f>IF(B2249="","","")</f>
        <v/>
      </c>
      <c r="J2249" s="17">
        <f>IF(B2249="","","touch_1; "&amp;IFERROR(INDEX(Clay_Offices!$A$2:$FZ$601,598,Sync!$C$10)&amp;"","")&amp;"; "&amp;IFERROR(INDEX(Clay_Offices!$A$2:$FZ$601,598,Sync!$C$9)&amp;"",""))</f>
        <v/>
      </c>
      <c r="K2249" t="inlineStr">
        <is>
          <t>office outreach touch 1</t>
        </is>
      </c>
    </row>
    <row r="2250">
      <c r="A2250" s="17">
        <f>IF(B2250="","",B2250+(12*1000+599)/10000000)</f>
        <v/>
      </c>
      <c r="B2250" s="23">
        <f>IF(AND(IFERROR(N(INDEX(Clay_Offices!$A$2:$FZ$601,599,Sync!$C$11)),0)&gt;0,IFERROR(INDEX(Clay_Offices!$A$2:$FZ$601,599,Sync!$C$5)&amp;"","")&lt;&gt;"",OR(LEFT(IFERROR(INDEX(Clay_Offices!$A$2:$FZ$601,599,Sync!$C$5)&amp;"",""),6)&lt;&gt;"SAMPLE",Config!$B$19="Y")),IFERROR(N(INDEX(Clay_Offices!$A$2:$FZ$601,599,Sync!$C$11)),0),"")</f>
        <v/>
      </c>
      <c r="C2250" s="17">
        <f>IF(B2250="","","office")</f>
        <v/>
      </c>
      <c r="D2250" s="17">
        <f>IF(B2250="","",IFERROR(INDEX(Clay_Offices!$A$2:$FZ$601,599,Sync!$C$5)&amp;"",""))</f>
        <v/>
      </c>
      <c r="E2250" s="17">
        <f>IF(B2250="","",IFERROR(INDEX(Clay_Offices!$A$2:$FZ$601,599,Sync!$C$6)&amp;"",""))</f>
        <v/>
      </c>
      <c r="F2250" s="17">
        <f>IF(B2250="","","outreach_sent")</f>
        <v/>
      </c>
      <c r="G2250" s="17">
        <f>IF(B2250="","","")</f>
        <v/>
      </c>
      <c r="H2250" s="17">
        <f>IF(B2250="","","")</f>
        <v/>
      </c>
      <c r="I2250" s="17">
        <f>IF(B2250="","","")</f>
        <v/>
      </c>
      <c r="J2250" s="17">
        <f>IF(B2250="","","touch_1; "&amp;IFERROR(INDEX(Clay_Offices!$A$2:$FZ$601,599,Sync!$C$10)&amp;"","")&amp;"; "&amp;IFERROR(INDEX(Clay_Offices!$A$2:$FZ$601,599,Sync!$C$9)&amp;"",""))</f>
        <v/>
      </c>
      <c r="K2250" t="inlineStr">
        <is>
          <t>office outreach touch 1</t>
        </is>
      </c>
    </row>
    <row r="2251">
      <c r="A2251" s="17">
        <f>IF(B2251="","",B2251+(12*1000+600)/10000000)</f>
        <v/>
      </c>
      <c r="B2251" s="23">
        <f>IF(AND(IFERROR(N(INDEX(Clay_Offices!$A$2:$FZ$601,600,Sync!$C$11)),0)&gt;0,IFERROR(INDEX(Clay_Offices!$A$2:$FZ$601,600,Sync!$C$5)&amp;"","")&lt;&gt;"",OR(LEFT(IFERROR(INDEX(Clay_Offices!$A$2:$FZ$601,600,Sync!$C$5)&amp;"",""),6)&lt;&gt;"SAMPLE",Config!$B$19="Y")),IFERROR(N(INDEX(Clay_Offices!$A$2:$FZ$601,600,Sync!$C$11)),0),"")</f>
        <v/>
      </c>
      <c r="C2251" s="17">
        <f>IF(B2251="","","office")</f>
        <v/>
      </c>
      <c r="D2251" s="17">
        <f>IF(B2251="","",IFERROR(INDEX(Clay_Offices!$A$2:$FZ$601,600,Sync!$C$5)&amp;"",""))</f>
        <v/>
      </c>
      <c r="E2251" s="17">
        <f>IF(B2251="","",IFERROR(INDEX(Clay_Offices!$A$2:$FZ$601,600,Sync!$C$6)&amp;"",""))</f>
        <v/>
      </c>
      <c r="F2251" s="17">
        <f>IF(B2251="","","outreach_sent")</f>
        <v/>
      </c>
      <c r="G2251" s="17">
        <f>IF(B2251="","","")</f>
        <v/>
      </c>
      <c r="H2251" s="17">
        <f>IF(B2251="","","")</f>
        <v/>
      </c>
      <c r="I2251" s="17">
        <f>IF(B2251="","","")</f>
        <v/>
      </c>
      <c r="J2251" s="17">
        <f>IF(B2251="","","touch_1; "&amp;IFERROR(INDEX(Clay_Offices!$A$2:$FZ$601,600,Sync!$C$10)&amp;"","")&amp;"; "&amp;IFERROR(INDEX(Clay_Offices!$A$2:$FZ$601,600,Sync!$C$9)&amp;"",""))</f>
        <v/>
      </c>
      <c r="K2251" t="inlineStr">
        <is>
          <t>office outreach touch 1</t>
        </is>
      </c>
    </row>
    <row r="2252">
      <c r="A2252" s="17">
        <f>IF(B2252="","",B2252+(13*1000+1)/10000000)</f>
        <v/>
      </c>
      <c r="B2252" s="23">
        <f>IF(AND(IFERROR(N(INDEX(Clay_Offices!$A$2:$FZ$601,1,Sync!$C$12)),0)&gt;0,IFERROR(INDEX(Clay_Offices!$A$2:$FZ$601,1,Sync!$C$5)&amp;"","")&lt;&gt;"",OR(LEFT(IFERROR(INDEX(Clay_Offices!$A$2:$FZ$601,1,Sync!$C$5)&amp;"",""),6)&lt;&gt;"SAMPLE",Config!$B$19="Y")),IFERROR(N(INDEX(Clay_Offices!$A$2:$FZ$601,1,Sync!$C$12)),0),"")</f>
        <v/>
      </c>
      <c r="C2252" s="17">
        <f>IF(B2252="","","office")</f>
        <v/>
      </c>
      <c r="D2252" s="17">
        <f>IF(B2252="","",IFERROR(INDEX(Clay_Offices!$A$2:$FZ$601,1,Sync!$C$5)&amp;"",""))</f>
        <v/>
      </c>
      <c r="E2252" s="17">
        <f>IF(B2252="","",IFERROR(INDEX(Clay_Offices!$A$2:$FZ$601,1,Sync!$C$6)&amp;"",""))</f>
        <v/>
      </c>
      <c r="F2252" s="17">
        <f>IF(B2252="","","outreach_sent")</f>
        <v/>
      </c>
      <c r="G2252" s="17">
        <f>IF(B2252="","","")</f>
        <v/>
      </c>
      <c r="H2252" s="17">
        <f>IF(B2252="","","")</f>
        <v/>
      </c>
      <c r="I2252" s="17">
        <f>IF(B2252="","","")</f>
        <v/>
      </c>
      <c r="J2252" s="17">
        <f>IF(B2252="","","touch_2; "&amp;IFERROR(INDEX(Clay_Offices!$A$2:$FZ$601,1,Sync!$C$10)&amp;"","")&amp;"; "&amp;IFERROR(INDEX(Clay_Offices!$A$2:$FZ$601,1,Sync!$C$9)&amp;"",""))</f>
        <v/>
      </c>
      <c r="K2252" t="inlineStr">
        <is>
          <t>office outreach touch 2</t>
        </is>
      </c>
    </row>
    <row r="2253">
      <c r="A2253" s="17">
        <f>IF(B2253="","",B2253+(13*1000+2)/10000000)</f>
        <v/>
      </c>
      <c r="B2253" s="23">
        <f>IF(AND(IFERROR(N(INDEX(Clay_Offices!$A$2:$FZ$601,2,Sync!$C$12)),0)&gt;0,IFERROR(INDEX(Clay_Offices!$A$2:$FZ$601,2,Sync!$C$5)&amp;"","")&lt;&gt;"",OR(LEFT(IFERROR(INDEX(Clay_Offices!$A$2:$FZ$601,2,Sync!$C$5)&amp;"",""),6)&lt;&gt;"SAMPLE",Config!$B$19="Y")),IFERROR(N(INDEX(Clay_Offices!$A$2:$FZ$601,2,Sync!$C$12)),0),"")</f>
        <v/>
      </c>
      <c r="C2253" s="17">
        <f>IF(B2253="","","office")</f>
        <v/>
      </c>
      <c r="D2253" s="17">
        <f>IF(B2253="","",IFERROR(INDEX(Clay_Offices!$A$2:$FZ$601,2,Sync!$C$5)&amp;"",""))</f>
        <v/>
      </c>
      <c r="E2253" s="17">
        <f>IF(B2253="","",IFERROR(INDEX(Clay_Offices!$A$2:$FZ$601,2,Sync!$C$6)&amp;"",""))</f>
        <v/>
      </c>
      <c r="F2253" s="17">
        <f>IF(B2253="","","outreach_sent")</f>
        <v/>
      </c>
      <c r="G2253" s="17">
        <f>IF(B2253="","","")</f>
        <v/>
      </c>
      <c r="H2253" s="17">
        <f>IF(B2253="","","")</f>
        <v/>
      </c>
      <c r="I2253" s="17">
        <f>IF(B2253="","","")</f>
        <v/>
      </c>
      <c r="J2253" s="17">
        <f>IF(B2253="","","touch_2; "&amp;IFERROR(INDEX(Clay_Offices!$A$2:$FZ$601,2,Sync!$C$10)&amp;"","")&amp;"; "&amp;IFERROR(INDEX(Clay_Offices!$A$2:$FZ$601,2,Sync!$C$9)&amp;"",""))</f>
        <v/>
      </c>
      <c r="K2253" t="inlineStr">
        <is>
          <t>office outreach touch 2</t>
        </is>
      </c>
    </row>
    <row r="2254">
      <c r="A2254" s="17">
        <f>IF(B2254="","",B2254+(13*1000+3)/10000000)</f>
        <v/>
      </c>
      <c r="B2254" s="23">
        <f>IF(AND(IFERROR(N(INDEX(Clay_Offices!$A$2:$FZ$601,3,Sync!$C$12)),0)&gt;0,IFERROR(INDEX(Clay_Offices!$A$2:$FZ$601,3,Sync!$C$5)&amp;"","")&lt;&gt;"",OR(LEFT(IFERROR(INDEX(Clay_Offices!$A$2:$FZ$601,3,Sync!$C$5)&amp;"",""),6)&lt;&gt;"SAMPLE",Config!$B$19="Y")),IFERROR(N(INDEX(Clay_Offices!$A$2:$FZ$601,3,Sync!$C$12)),0),"")</f>
        <v/>
      </c>
      <c r="C2254" s="17">
        <f>IF(B2254="","","office")</f>
        <v/>
      </c>
      <c r="D2254" s="17">
        <f>IF(B2254="","",IFERROR(INDEX(Clay_Offices!$A$2:$FZ$601,3,Sync!$C$5)&amp;"",""))</f>
        <v/>
      </c>
      <c r="E2254" s="17">
        <f>IF(B2254="","",IFERROR(INDEX(Clay_Offices!$A$2:$FZ$601,3,Sync!$C$6)&amp;"",""))</f>
        <v/>
      </c>
      <c r="F2254" s="17">
        <f>IF(B2254="","","outreach_sent")</f>
        <v/>
      </c>
      <c r="G2254" s="17">
        <f>IF(B2254="","","")</f>
        <v/>
      </c>
      <c r="H2254" s="17">
        <f>IF(B2254="","","")</f>
        <v/>
      </c>
      <c r="I2254" s="17">
        <f>IF(B2254="","","")</f>
        <v/>
      </c>
      <c r="J2254" s="17">
        <f>IF(B2254="","","touch_2; "&amp;IFERROR(INDEX(Clay_Offices!$A$2:$FZ$601,3,Sync!$C$10)&amp;"","")&amp;"; "&amp;IFERROR(INDEX(Clay_Offices!$A$2:$FZ$601,3,Sync!$C$9)&amp;"",""))</f>
        <v/>
      </c>
      <c r="K2254" t="inlineStr">
        <is>
          <t>office outreach touch 2</t>
        </is>
      </c>
    </row>
    <row r="2255">
      <c r="A2255" s="17">
        <f>IF(B2255="","",B2255+(13*1000+4)/10000000)</f>
        <v/>
      </c>
      <c r="B2255" s="23">
        <f>IF(AND(IFERROR(N(INDEX(Clay_Offices!$A$2:$FZ$601,4,Sync!$C$12)),0)&gt;0,IFERROR(INDEX(Clay_Offices!$A$2:$FZ$601,4,Sync!$C$5)&amp;"","")&lt;&gt;"",OR(LEFT(IFERROR(INDEX(Clay_Offices!$A$2:$FZ$601,4,Sync!$C$5)&amp;"",""),6)&lt;&gt;"SAMPLE",Config!$B$19="Y")),IFERROR(N(INDEX(Clay_Offices!$A$2:$FZ$601,4,Sync!$C$12)),0),"")</f>
        <v/>
      </c>
      <c r="C2255" s="17">
        <f>IF(B2255="","","office")</f>
        <v/>
      </c>
      <c r="D2255" s="17">
        <f>IF(B2255="","",IFERROR(INDEX(Clay_Offices!$A$2:$FZ$601,4,Sync!$C$5)&amp;"",""))</f>
        <v/>
      </c>
      <c r="E2255" s="17">
        <f>IF(B2255="","",IFERROR(INDEX(Clay_Offices!$A$2:$FZ$601,4,Sync!$C$6)&amp;"",""))</f>
        <v/>
      </c>
      <c r="F2255" s="17">
        <f>IF(B2255="","","outreach_sent")</f>
        <v/>
      </c>
      <c r="G2255" s="17">
        <f>IF(B2255="","","")</f>
        <v/>
      </c>
      <c r="H2255" s="17">
        <f>IF(B2255="","","")</f>
        <v/>
      </c>
      <c r="I2255" s="17">
        <f>IF(B2255="","","")</f>
        <v/>
      </c>
      <c r="J2255" s="17">
        <f>IF(B2255="","","touch_2; "&amp;IFERROR(INDEX(Clay_Offices!$A$2:$FZ$601,4,Sync!$C$10)&amp;"","")&amp;"; "&amp;IFERROR(INDEX(Clay_Offices!$A$2:$FZ$601,4,Sync!$C$9)&amp;"",""))</f>
        <v/>
      </c>
      <c r="K2255" t="inlineStr">
        <is>
          <t>office outreach touch 2</t>
        </is>
      </c>
    </row>
    <row r="2256">
      <c r="A2256" s="17">
        <f>IF(B2256="","",B2256+(13*1000+5)/10000000)</f>
        <v/>
      </c>
      <c r="B2256" s="23">
        <f>IF(AND(IFERROR(N(INDEX(Clay_Offices!$A$2:$FZ$601,5,Sync!$C$12)),0)&gt;0,IFERROR(INDEX(Clay_Offices!$A$2:$FZ$601,5,Sync!$C$5)&amp;"","")&lt;&gt;"",OR(LEFT(IFERROR(INDEX(Clay_Offices!$A$2:$FZ$601,5,Sync!$C$5)&amp;"",""),6)&lt;&gt;"SAMPLE",Config!$B$19="Y")),IFERROR(N(INDEX(Clay_Offices!$A$2:$FZ$601,5,Sync!$C$12)),0),"")</f>
        <v/>
      </c>
      <c r="C2256" s="17">
        <f>IF(B2256="","","office")</f>
        <v/>
      </c>
      <c r="D2256" s="17">
        <f>IF(B2256="","",IFERROR(INDEX(Clay_Offices!$A$2:$FZ$601,5,Sync!$C$5)&amp;"",""))</f>
        <v/>
      </c>
      <c r="E2256" s="17">
        <f>IF(B2256="","",IFERROR(INDEX(Clay_Offices!$A$2:$FZ$601,5,Sync!$C$6)&amp;"",""))</f>
        <v/>
      </c>
      <c r="F2256" s="17">
        <f>IF(B2256="","","outreach_sent")</f>
        <v/>
      </c>
      <c r="G2256" s="17">
        <f>IF(B2256="","","")</f>
        <v/>
      </c>
      <c r="H2256" s="17">
        <f>IF(B2256="","","")</f>
        <v/>
      </c>
      <c r="I2256" s="17">
        <f>IF(B2256="","","")</f>
        <v/>
      </c>
      <c r="J2256" s="17">
        <f>IF(B2256="","","touch_2; "&amp;IFERROR(INDEX(Clay_Offices!$A$2:$FZ$601,5,Sync!$C$10)&amp;"","")&amp;"; "&amp;IFERROR(INDEX(Clay_Offices!$A$2:$FZ$601,5,Sync!$C$9)&amp;"",""))</f>
        <v/>
      </c>
      <c r="K2256" t="inlineStr">
        <is>
          <t>office outreach touch 2</t>
        </is>
      </c>
    </row>
    <row r="2257">
      <c r="A2257" s="17">
        <f>IF(B2257="","",B2257+(13*1000+6)/10000000)</f>
        <v/>
      </c>
      <c r="B2257" s="23">
        <f>IF(AND(IFERROR(N(INDEX(Clay_Offices!$A$2:$FZ$601,6,Sync!$C$12)),0)&gt;0,IFERROR(INDEX(Clay_Offices!$A$2:$FZ$601,6,Sync!$C$5)&amp;"","")&lt;&gt;"",OR(LEFT(IFERROR(INDEX(Clay_Offices!$A$2:$FZ$601,6,Sync!$C$5)&amp;"",""),6)&lt;&gt;"SAMPLE",Config!$B$19="Y")),IFERROR(N(INDEX(Clay_Offices!$A$2:$FZ$601,6,Sync!$C$12)),0),"")</f>
        <v/>
      </c>
      <c r="C2257" s="17">
        <f>IF(B2257="","","office")</f>
        <v/>
      </c>
      <c r="D2257" s="17">
        <f>IF(B2257="","",IFERROR(INDEX(Clay_Offices!$A$2:$FZ$601,6,Sync!$C$5)&amp;"",""))</f>
        <v/>
      </c>
      <c r="E2257" s="17">
        <f>IF(B2257="","",IFERROR(INDEX(Clay_Offices!$A$2:$FZ$601,6,Sync!$C$6)&amp;"",""))</f>
        <v/>
      </c>
      <c r="F2257" s="17">
        <f>IF(B2257="","","outreach_sent")</f>
        <v/>
      </c>
      <c r="G2257" s="17">
        <f>IF(B2257="","","")</f>
        <v/>
      </c>
      <c r="H2257" s="17">
        <f>IF(B2257="","","")</f>
        <v/>
      </c>
      <c r="I2257" s="17">
        <f>IF(B2257="","","")</f>
        <v/>
      </c>
      <c r="J2257" s="17">
        <f>IF(B2257="","","touch_2; "&amp;IFERROR(INDEX(Clay_Offices!$A$2:$FZ$601,6,Sync!$C$10)&amp;"","")&amp;"; "&amp;IFERROR(INDEX(Clay_Offices!$A$2:$FZ$601,6,Sync!$C$9)&amp;"",""))</f>
        <v/>
      </c>
      <c r="K2257" t="inlineStr">
        <is>
          <t>office outreach touch 2</t>
        </is>
      </c>
    </row>
    <row r="2258">
      <c r="A2258" s="17">
        <f>IF(B2258="","",B2258+(13*1000+7)/10000000)</f>
        <v/>
      </c>
      <c r="B2258" s="23">
        <f>IF(AND(IFERROR(N(INDEX(Clay_Offices!$A$2:$FZ$601,7,Sync!$C$12)),0)&gt;0,IFERROR(INDEX(Clay_Offices!$A$2:$FZ$601,7,Sync!$C$5)&amp;"","")&lt;&gt;"",OR(LEFT(IFERROR(INDEX(Clay_Offices!$A$2:$FZ$601,7,Sync!$C$5)&amp;"",""),6)&lt;&gt;"SAMPLE",Config!$B$19="Y")),IFERROR(N(INDEX(Clay_Offices!$A$2:$FZ$601,7,Sync!$C$12)),0),"")</f>
        <v/>
      </c>
      <c r="C2258" s="17">
        <f>IF(B2258="","","office")</f>
        <v/>
      </c>
      <c r="D2258" s="17">
        <f>IF(B2258="","",IFERROR(INDEX(Clay_Offices!$A$2:$FZ$601,7,Sync!$C$5)&amp;"",""))</f>
        <v/>
      </c>
      <c r="E2258" s="17">
        <f>IF(B2258="","",IFERROR(INDEX(Clay_Offices!$A$2:$FZ$601,7,Sync!$C$6)&amp;"",""))</f>
        <v/>
      </c>
      <c r="F2258" s="17">
        <f>IF(B2258="","","outreach_sent")</f>
        <v/>
      </c>
      <c r="G2258" s="17">
        <f>IF(B2258="","","")</f>
        <v/>
      </c>
      <c r="H2258" s="17">
        <f>IF(B2258="","","")</f>
        <v/>
      </c>
      <c r="I2258" s="17">
        <f>IF(B2258="","","")</f>
        <v/>
      </c>
      <c r="J2258" s="17">
        <f>IF(B2258="","","touch_2; "&amp;IFERROR(INDEX(Clay_Offices!$A$2:$FZ$601,7,Sync!$C$10)&amp;"","")&amp;"; "&amp;IFERROR(INDEX(Clay_Offices!$A$2:$FZ$601,7,Sync!$C$9)&amp;"",""))</f>
        <v/>
      </c>
      <c r="K2258" t="inlineStr">
        <is>
          <t>office outreach touch 2</t>
        </is>
      </c>
    </row>
    <row r="2259">
      <c r="A2259" s="17">
        <f>IF(B2259="","",B2259+(13*1000+8)/10000000)</f>
        <v/>
      </c>
      <c r="B2259" s="23">
        <f>IF(AND(IFERROR(N(INDEX(Clay_Offices!$A$2:$FZ$601,8,Sync!$C$12)),0)&gt;0,IFERROR(INDEX(Clay_Offices!$A$2:$FZ$601,8,Sync!$C$5)&amp;"","")&lt;&gt;"",OR(LEFT(IFERROR(INDEX(Clay_Offices!$A$2:$FZ$601,8,Sync!$C$5)&amp;"",""),6)&lt;&gt;"SAMPLE",Config!$B$19="Y")),IFERROR(N(INDEX(Clay_Offices!$A$2:$FZ$601,8,Sync!$C$12)),0),"")</f>
        <v/>
      </c>
      <c r="C2259" s="17">
        <f>IF(B2259="","","office")</f>
        <v/>
      </c>
      <c r="D2259" s="17">
        <f>IF(B2259="","",IFERROR(INDEX(Clay_Offices!$A$2:$FZ$601,8,Sync!$C$5)&amp;"",""))</f>
        <v/>
      </c>
      <c r="E2259" s="17">
        <f>IF(B2259="","",IFERROR(INDEX(Clay_Offices!$A$2:$FZ$601,8,Sync!$C$6)&amp;"",""))</f>
        <v/>
      </c>
      <c r="F2259" s="17">
        <f>IF(B2259="","","outreach_sent")</f>
        <v/>
      </c>
      <c r="G2259" s="17">
        <f>IF(B2259="","","")</f>
        <v/>
      </c>
      <c r="H2259" s="17">
        <f>IF(B2259="","","")</f>
        <v/>
      </c>
      <c r="I2259" s="17">
        <f>IF(B2259="","","")</f>
        <v/>
      </c>
      <c r="J2259" s="17">
        <f>IF(B2259="","","touch_2; "&amp;IFERROR(INDEX(Clay_Offices!$A$2:$FZ$601,8,Sync!$C$10)&amp;"","")&amp;"; "&amp;IFERROR(INDEX(Clay_Offices!$A$2:$FZ$601,8,Sync!$C$9)&amp;"",""))</f>
        <v/>
      </c>
      <c r="K2259" t="inlineStr">
        <is>
          <t>office outreach touch 2</t>
        </is>
      </c>
    </row>
    <row r="2260">
      <c r="A2260" s="17">
        <f>IF(B2260="","",B2260+(13*1000+9)/10000000)</f>
        <v/>
      </c>
      <c r="B2260" s="23">
        <f>IF(AND(IFERROR(N(INDEX(Clay_Offices!$A$2:$FZ$601,9,Sync!$C$12)),0)&gt;0,IFERROR(INDEX(Clay_Offices!$A$2:$FZ$601,9,Sync!$C$5)&amp;"","")&lt;&gt;"",OR(LEFT(IFERROR(INDEX(Clay_Offices!$A$2:$FZ$601,9,Sync!$C$5)&amp;"",""),6)&lt;&gt;"SAMPLE",Config!$B$19="Y")),IFERROR(N(INDEX(Clay_Offices!$A$2:$FZ$601,9,Sync!$C$12)),0),"")</f>
        <v/>
      </c>
      <c r="C2260" s="17">
        <f>IF(B2260="","","office")</f>
        <v/>
      </c>
      <c r="D2260" s="17">
        <f>IF(B2260="","",IFERROR(INDEX(Clay_Offices!$A$2:$FZ$601,9,Sync!$C$5)&amp;"",""))</f>
        <v/>
      </c>
      <c r="E2260" s="17">
        <f>IF(B2260="","",IFERROR(INDEX(Clay_Offices!$A$2:$FZ$601,9,Sync!$C$6)&amp;"",""))</f>
        <v/>
      </c>
      <c r="F2260" s="17">
        <f>IF(B2260="","","outreach_sent")</f>
        <v/>
      </c>
      <c r="G2260" s="17">
        <f>IF(B2260="","","")</f>
        <v/>
      </c>
      <c r="H2260" s="17">
        <f>IF(B2260="","","")</f>
        <v/>
      </c>
      <c r="I2260" s="17">
        <f>IF(B2260="","","")</f>
        <v/>
      </c>
      <c r="J2260" s="17">
        <f>IF(B2260="","","touch_2; "&amp;IFERROR(INDEX(Clay_Offices!$A$2:$FZ$601,9,Sync!$C$10)&amp;"","")&amp;"; "&amp;IFERROR(INDEX(Clay_Offices!$A$2:$FZ$601,9,Sync!$C$9)&amp;"",""))</f>
        <v/>
      </c>
      <c r="K2260" t="inlineStr">
        <is>
          <t>office outreach touch 2</t>
        </is>
      </c>
    </row>
    <row r="2261">
      <c r="A2261" s="17">
        <f>IF(B2261="","",B2261+(13*1000+10)/10000000)</f>
        <v/>
      </c>
      <c r="B2261" s="23">
        <f>IF(AND(IFERROR(N(INDEX(Clay_Offices!$A$2:$FZ$601,10,Sync!$C$12)),0)&gt;0,IFERROR(INDEX(Clay_Offices!$A$2:$FZ$601,10,Sync!$C$5)&amp;"","")&lt;&gt;"",OR(LEFT(IFERROR(INDEX(Clay_Offices!$A$2:$FZ$601,10,Sync!$C$5)&amp;"",""),6)&lt;&gt;"SAMPLE",Config!$B$19="Y")),IFERROR(N(INDEX(Clay_Offices!$A$2:$FZ$601,10,Sync!$C$12)),0),"")</f>
        <v/>
      </c>
      <c r="C2261" s="17">
        <f>IF(B2261="","","office")</f>
        <v/>
      </c>
      <c r="D2261" s="17">
        <f>IF(B2261="","",IFERROR(INDEX(Clay_Offices!$A$2:$FZ$601,10,Sync!$C$5)&amp;"",""))</f>
        <v/>
      </c>
      <c r="E2261" s="17">
        <f>IF(B2261="","",IFERROR(INDEX(Clay_Offices!$A$2:$FZ$601,10,Sync!$C$6)&amp;"",""))</f>
        <v/>
      </c>
      <c r="F2261" s="17">
        <f>IF(B2261="","","outreach_sent")</f>
        <v/>
      </c>
      <c r="G2261" s="17">
        <f>IF(B2261="","","")</f>
        <v/>
      </c>
      <c r="H2261" s="17">
        <f>IF(B2261="","","")</f>
        <v/>
      </c>
      <c r="I2261" s="17">
        <f>IF(B2261="","","")</f>
        <v/>
      </c>
      <c r="J2261" s="17">
        <f>IF(B2261="","","touch_2; "&amp;IFERROR(INDEX(Clay_Offices!$A$2:$FZ$601,10,Sync!$C$10)&amp;"","")&amp;"; "&amp;IFERROR(INDEX(Clay_Offices!$A$2:$FZ$601,10,Sync!$C$9)&amp;"",""))</f>
        <v/>
      </c>
      <c r="K2261" t="inlineStr">
        <is>
          <t>office outreach touch 2</t>
        </is>
      </c>
    </row>
    <row r="2262">
      <c r="A2262" s="17">
        <f>IF(B2262="","",B2262+(13*1000+11)/10000000)</f>
        <v/>
      </c>
      <c r="B2262" s="23">
        <f>IF(AND(IFERROR(N(INDEX(Clay_Offices!$A$2:$FZ$601,11,Sync!$C$12)),0)&gt;0,IFERROR(INDEX(Clay_Offices!$A$2:$FZ$601,11,Sync!$C$5)&amp;"","")&lt;&gt;"",OR(LEFT(IFERROR(INDEX(Clay_Offices!$A$2:$FZ$601,11,Sync!$C$5)&amp;"",""),6)&lt;&gt;"SAMPLE",Config!$B$19="Y")),IFERROR(N(INDEX(Clay_Offices!$A$2:$FZ$601,11,Sync!$C$12)),0),"")</f>
        <v/>
      </c>
      <c r="C2262" s="17">
        <f>IF(B2262="","","office")</f>
        <v/>
      </c>
      <c r="D2262" s="17">
        <f>IF(B2262="","",IFERROR(INDEX(Clay_Offices!$A$2:$FZ$601,11,Sync!$C$5)&amp;"",""))</f>
        <v/>
      </c>
      <c r="E2262" s="17">
        <f>IF(B2262="","",IFERROR(INDEX(Clay_Offices!$A$2:$FZ$601,11,Sync!$C$6)&amp;"",""))</f>
        <v/>
      </c>
      <c r="F2262" s="17">
        <f>IF(B2262="","","outreach_sent")</f>
        <v/>
      </c>
      <c r="G2262" s="17">
        <f>IF(B2262="","","")</f>
        <v/>
      </c>
      <c r="H2262" s="17">
        <f>IF(B2262="","","")</f>
        <v/>
      </c>
      <c r="I2262" s="17">
        <f>IF(B2262="","","")</f>
        <v/>
      </c>
      <c r="J2262" s="17">
        <f>IF(B2262="","","touch_2; "&amp;IFERROR(INDEX(Clay_Offices!$A$2:$FZ$601,11,Sync!$C$10)&amp;"","")&amp;"; "&amp;IFERROR(INDEX(Clay_Offices!$A$2:$FZ$601,11,Sync!$C$9)&amp;"",""))</f>
        <v/>
      </c>
      <c r="K2262" t="inlineStr">
        <is>
          <t>office outreach touch 2</t>
        </is>
      </c>
    </row>
    <row r="2263">
      <c r="A2263" s="17">
        <f>IF(B2263="","",B2263+(13*1000+12)/10000000)</f>
        <v/>
      </c>
      <c r="B2263" s="23">
        <f>IF(AND(IFERROR(N(INDEX(Clay_Offices!$A$2:$FZ$601,12,Sync!$C$12)),0)&gt;0,IFERROR(INDEX(Clay_Offices!$A$2:$FZ$601,12,Sync!$C$5)&amp;"","")&lt;&gt;"",OR(LEFT(IFERROR(INDEX(Clay_Offices!$A$2:$FZ$601,12,Sync!$C$5)&amp;"",""),6)&lt;&gt;"SAMPLE",Config!$B$19="Y")),IFERROR(N(INDEX(Clay_Offices!$A$2:$FZ$601,12,Sync!$C$12)),0),"")</f>
        <v/>
      </c>
      <c r="C2263" s="17">
        <f>IF(B2263="","","office")</f>
        <v/>
      </c>
      <c r="D2263" s="17">
        <f>IF(B2263="","",IFERROR(INDEX(Clay_Offices!$A$2:$FZ$601,12,Sync!$C$5)&amp;"",""))</f>
        <v/>
      </c>
      <c r="E2263" s="17">
        <f>IF(B2263="","",IFERROR(INDEX(Clay_Offices!$A$2:$FZ$601,12,Sync!$C$6)&amp;"",""))</f>
        <v/>
      </c>
      <c r="F2263" s="17">
        <f>IF(B2263="","","outreach_sent")</f>
        <v/>
      </c>
      <c r="G2263" s="17">
        <f>IF(B2263="","","")</f>
        <v/>
      </c>
      <c r="H2263" s="17">
        <f>IF(B2263="","","")</f>
        <v/>
      </c>
      <c r="I2263" s="17">
        <f>IF(B2263="","","")</f>
        <v/>
      </c>
      <c r="J2263" s="17">
        <f>IF(B2263="","","touch_2; "&amp;IFERROR(INDEX(Clay_Offices!$A$2:$FZ$601,12,Sync!$C$10)&amp;"","")&amp;"; "&amp;IFERROR(INDEX(Clay_Offices!$A$2:$FZ$601,12,Sync!$C$9)&amp;"",""))</f>
        <v/>
      </c>
      <c r="K2263" t="inlineStr">
        <is>
          <t>office outreach touch 2</t>
        </is>
      </c>
    </row>
    <row r="2264">
      <c r="A2264" s="17">
        <f>IF(B2264="","",B2264+(13*1000+13)/10000000)</f>
        <v/>
      </c>
      <c r="B2264" s="23">
        <f>IF(AND(IFERROR(N(INDEX(Clay_Offices!$A$2:$FZ$601,13,Sync!$C$12)),0)&gt;0,IFERROR(INDEX(Clay_Offices!$A$2:$FZ$601,13,Sync!$C$5)&amp;"","")&lt;&gt;"",OR(LEFT(IFERROR(INDEX(Clay_Offices!$A$2:$FZ$601,13,Sync!$C$5)&amp;"",""),6)&lt;&gt;"SAMPLE",Config!$B$19="Y")),IFERROR(N(INDEX(Clay_Offices!$A$2:$FZ$601,13,Sync!$C$12)),0),"")</f>
        <v/>
      </c>
      <c r="C2264" s="17">
        <f>IF(B2264="","","office")</f>
        <v/>
      </c>
      <c r="D2264" s="17">
        <f>IF(B2264="","",IFERROR(INDEX(Clay_Offices!$A$2:$FZ$601,13,Sync!$C$5)&amp;"",""))</f>
        <v/>
      </c>
      <c r="E2264" s="17">
        <f>IF(B2264="","",IFERROR(INDEX(Clay_Offices!$A$2:$FZ$601,13,Sync!$C$6)&amp;"",""))</f>
        <v/>
      </c>
      <c r="F2264" s="17">
        <f>IF(B2264="","","outreach_sent")</f>
        <v/>
      </c>
      <c r="G2264" s="17">
        <f>IF(B2264="","","")</f>
        <v/>
      </c>
      <c r="H2264" s="17">
        <f>IF(B2264="","","")</f>
        <v/>
      </c>
      <c r="I2264" s="17">
        <f>IF(B2264="","","")</f>
        <v/>
      </c>
      <c r="J2264" s="17">
        <f>IF(B2264="","","touch_2; "&amp;IFERROR(INDEX(Clay_Offices!$A$2:$FZ$601,13,Sync!$C$10)&amp;"","")&amp;"; "&amp;IFERROR(INDEX(Clay_Offices!$A$2:$FZ$601,13,Sync!$C$9)&amp;"",""))</f>
        <v/>
      </c>
      <c r="K2264" t="inlineStr">
        <is>
          <t>office outreach touch 2</t>
        </is>
      </c>
    </row>
    <row r="2265">
      <c r="A2265" s="17">
        <f>IF(B2265="","",B2265+(13*1000+14)/10000000)</f>
        <v/>
      </c>
      <c r="B2265" s="23">
        <f>IF(AND(IFERROR(N(INDEX(Clay_Offices!$A$2:$FZ$601,14,Sync!$C$12)),0)&gt;0,IFERROR(INDEX(Clay_Offices!$A$2:$FZ$601,14,Sync!$C$5)&amp;"","")&lt;&gt;"",OR(LEFT(IFERROR(INDEX(Clay_Offices!$A$2:$FZ$601,14,Sync!$C$5)&amp;"",""),6)&lt;&gt;"SAMPLE",Config!$B$19="Y")),IFERROR(N(INDEX(Clay_Offices!$A$2:$FZ$601,14,Sync!$C$12)),0),"")</f>
        <v/>
      </c>
      <c r="C2265" s="17">
        <f>IF(B2265="","","office")</f>
        <v/>
      </c>
      <c r="D2265" s="17">
        <f>IF(B2265="","",IFERROR(INDEX(Clay_Offices!$A$2:$FZ$601,14,Sync!$C$5)&amp;"",""))</f>
        <v/>
      </c>
      <c r="E2265" s="17">
        <f>IF(B2265="","",IFERROR(INDEX(Clay_Offices!$A$2:$FZ$601,14,Sync!$C$6)&amp;"",""))</f>
        <v/>
      </c>
      <c r="F2265" s="17">
        <f>IF(B2265="","","outreach_sent")</f>
        <v/>
      </c>
      <c r="G2265" s="17">
        <f>IF(B2265="","","")</f>
        <v/>
      </c>
      <c r="H2265" s="17">
        <f>IF(B2265="","","")</f>
        <v/>
      </c>
      <c r="I2265" s="17">
        <f>IF(B2265="","","")</f>
        <v/>
      </c>
      <c r="J2265" s="17">
        <f>IF(B2265="","","touch_2; "&amp;IFERROR(INDEX(Clay_Offices!$A$2:$FZ$601,14,Sync!$C$10)&amp;"","")&amp;"; "&amp;IFERROR(INDEX(Clay_Offices!$A$2:$FZ$601,14,Sync!$C$9)&amp;"",""))</f>
        <v/>
      </c>
      <c r="K2265" t="inlineStr">
        <is>
          <t>office outreach touch 2</t>
        </is>
      </c>
    </row>
    <row r="2266">
      <c r="A2266" s="17">
        <f>IF(B2266="","",B2266+(13*1000+15)/10000000)</f>
        <v/>
      </c>
      <c r="B2266" s="23">
        <f>IF(AND(IFERROR(N(INDEX(Clay_Offices!$A$2:$FZ$601,15,Sync!$C$12)),0)&gt;0,IFERROR(INDEX(Clay_Offices!$A$2:$FZ$601,15,Sync!$C$5)&amp;"","")&lt;&gt;"",OR(LEFT(IFERROR(INDEX(Clay_Offices!$A$2:$FZ$601,15,Sync!$C$5)&amp;"",""),6)&lt;&gt;"SAMPLE",Config!$B$19="Y")),IFERROR(N(INDEX(Clay_Offices!$A$2:$FZ$601,15,Sync!$C$12)),0),"")</f>
        <v/>
      </c>
      <c r="C2266" s="17">
        <f>IF(B2266="","","office")</f>
        <v/>
      </c>
      <c r="D2266" s="17">
        <f>IF(B2266="","",IFERROR(INDEX(Clay_Offices!$A$2:$FZ$601,15,Sync!$C$5)&amp;"",""))</f>
        <v/>
      </c>
      <c r="E2266" s="17">
        <f>IF(B2266="","",IFERROR(INDEX(Clay_Offices!$A$2:$FZ$601,15,Sync!$C$6)&amp;"",""))</f>
        <v/>
      </c>
      <c r="F2266" s="17">
        <f>IF(B2266="","","outreach_sent")</f>
        <v/>
      </c>
      <c r="G2266" s="17">
        <f>IF(B2266="","","")</f>
        <v/>
      </c>
      <c r="H2266" s="17">
        <f>IF(B2266="","","")</f>
        <v/>
      </c>
      <c r="I2266" s="17">
        <f>IF(B2266="","","")</f>
        <v/>
      </c>
      <c r="J2266" s="17">
        <f>IF(B2266="","","touch_2; "&amp;IFERROR(INDEX(Clay_Offices!$A$2:$FZ$601,15,Sync!$C$10)&amp;"","")&amp;"; "&amp;IFERROR(INDEX(Clay_Offices!$A$2:$FZ$601,15,Sync!$C$9)&amp;"",""))</f>
        <v/>
      </c>
      <c r="K2266" t="inlineStr">
        <is>
          <t>office outreach touch 2</t>
        </is>
      </c>
    </row>
    <row r="2267">
      <c r="A2267" s="17">
        <f>IF(B2267="","",B2267+(13*1000+16)/10000000)</f>
        <v/>
      </c>
      <c r="B2267" s="23">
        <f>IF(AND(IFERROR(N(INDEX(Clay_Offices!$A$2:$FZ$601,16,Sync!$C$12)),0)&gt;0,IFERROR(INDEX(Clay_Offices!$A$2:$FZ$601,16,Sync!$C$5)&amp;"","")&lt;&gt;"",OR(LEFT(IFERROR(INDEX(Clay_Offices!$A$2:$FZ$601,16,Sync!$C$5)&amp;"",""),6)&lt;&gt;"SAMPLE",Config!$B$19="Y")),IFERROR(N(INDEX(Clay_Offices!$A$2:$FZ$601,16,Sync!$C$12)),0),"")</f>
        <v/>
      </c>
      <c r="C2267" s="17">
        <f>IF(B2267="","","office")</f>
        <v/>
      </c>
      <c r="D2267" s="17">
        <f>IF(B2267="","",IFERROR(INDEX(Clay_Offices!$A$2:$FZ$601,16,Sync!$C$5)&amp;"",""))</f>
        <v/>
      </c>
      <c r="E2267" s="17">
        <f>IF(B2267="","",IFERROR(INDEX(Clay_Offices!$A$2:$FZ$601,16,Sync!$C$6)&amp;"",""))</f>
        <v/>
      </c>
      <c r="F2267" s="17">
        <f>IF(B2267="","","outreach_sent")</f>
        <v/>
      </c>
      <c r="G2267" s="17">
        <f>IF(B2267="","","")</f>
        <v/>
      </c>
      <c r="H2267" s="17">
        <f>IF(B2267="","","")</f>
        <v/>
      </c>
      <c r="I2267" s="17">
        <f>IF(B2267="","","")</f>
        <v/>
      </c>
      <c r="J2267" s="17">
        <f>IF(B2267="","","touch_2; "&amp;IFERROR(INDEX(Clay_Offices!$A$2:$FZ$601,16,Sync!$C$10)&amp;"","")&amp;"; "&amp;IFERROR(INDEX(Clay_Offices!$A$2:$FZ$601,16,Sync!$C$9)&amp;"",""))</f>
        <v/>
      </c>
      <c r="K2267" t="inlineStr">
        <is>
          <t>office outreach touch 2</t>
        </is>
      </c>
    </row>
    <row r="2268">
      <c r="A2268" s="17">
        <f>IF(B2268="","",B2268+(13*1000+17)/10000000)</f>
        <v/>
      </c>
      <c r="B2268" s="23">
        <f>IF(AND(IFERROR(N(INDEX(Clay_Offices!$A$2:$FZ$601,17,Sync!$C$12)),0)&gt;0,IFERROR(INDEX(Clay_Offices!$A$2:$FZ$601,17,Sync!$C$5)&amp;"","")&lt;&gt;"",OR(LEFT(IFERROR(INDEX(Clay_Offices!$A$2:$FZ$601,17,Sync!$C$5)&amp;"",""),6)&lt;&gt;"SAMPLE",Config!$B$19="Y")),IFERROR(N(INDEX(Clay_Offices!$A$2:$FZ$601,17,Sync!$C$12)),0),"")</f>
        <v/>
      </c>
      <c r="C2268" s="17">
        <f>IF(B2268="","","office")</f>
        <v/>
      </c>
      <c r="D2268" s="17">
        <f>IF(B2268="","",IFERROR(INDEX(Clay_Offices!$A$2:$FZ$601,17,Sync!$C$5)&amp;"",""))</f>
        <v/>
      </c>
      <c r="E2268" s="17">
        <f>IF(B2268="","",IFERROR(INDEX(Clay_Offices!$A$2:$FZ$601,17,Sync!$C$6)&amp;"",""))</f>
        <v/>
      </c>
      <c r="F2268" s="17">
        <f>IF(B2268="","","outreach_sent")</f>
        <v/>
      </c>
      <c r="G2268" s="17">
        <f>IF(B2268="","","")</f>
        <v/>
      </c>
      <c r="H2268" s="17">
        <f>IF(B2268="","","")</f>
        <v/>
      </c>
      <c r="I2268" s="17">
        <f>IF(B2268="","","")</f>
        <v/>
      </c>
      <c r="J2268" s="17">
        <f>IF(B2268="","","touch_2; "&amp;IFERROR(INDEX(Clay_Offices!$A$2:$FZ$601,17,Sync!$C$10)&amp;"","")&amp;"; "&amp;IFERROR(INDEX(Clay_Offices!$A$2:$FZ$601,17,Sync!$C$9)&amp;"",""))</f>
        <v/>
      </c>
      <c r="K2268" t="inlineStr">
        <is>
          <t>office outreach touch 2</t>
        </is>
      </c>
    </row>
    <row r="2269">
      <c r="A2269" s="17">
        <f>IF(B2269="","",B2269+(13*1000+18)/10000000)</f>
        <v/>
      </c>
      <c r="B2269" s="23">
        <f>IF(AND(IFERROR(N(INDEX(Clay_Offices!$A$2:$FZ$601,18,Sync!$C$12)),0)&gt;0,IFERROR(INDEX(Clay_Offices!$A$2:$FZ$601,18,Sync!$C$5)&amp;"","")&lt;&gt;"",OR(LEFT(IFERROR(INDEX(Clay_Offices!$A$2:$FZ$601,18,Sync!$C$5)&amp;"",""),6)&lt;&gt;"SAMPLE",Config!$B$19="Y")),IFERROR(N(INDEX(Clay_Offices!$A$2:$FZ$601,18,Sync!$C$12)),0),"")</f>
        <v/>
      </c>
      <c r="C2269" s="17">
        <f>IF(B2269="","","office")</f>
        <v/>
      </c>
      <c r="D2269" s="17">
        <f>IF(B2269="","",IFERROR(INDEX(Clay_Offices!$A$2:$FZ$601,18,Sync!$C$5)&amp;"",""))</f>
        <v/>
      </c>
      <c r="E2269" s="17">
        <f>IF(B2269="","",IFERROR(INDEX(Clay_Offices!$A$2:$FZ$601,18,Sync!$C$6)&amp;"",""))</f>
        <v/>
      </c>
      <c r="F2269" s="17">
        <f>IF(B2269="","","outreach_sent")</f>
        <v/>
      </c>
      <c r="G2269" s="17">
        <f>IF(B2269="","","")</f>
        <v/>
      </c>
      <c r="H2269" s="17">
        <f>IF(B2269="","","")</f>
        <v/>
      </c>
      <c r="I2269" s="17">
        <f>IF(B2269="","","")</f>
        <v/>
      </c>
      <c r="J2269" s="17">
        <f>IF(B2269="","","touch_2; "&amp;IFERROR(INDEX(Clay_Offices!$A$2:$FZ$601,18,Sync!$C$10)&amp;"","")&amp;"; "&amp;IFERROR(INDEX(Clay_Offices!$A$2:$FZ$601,18,Sync!$C$9)&amp;"",""))</f>
        <v/>
      </c>
      <c r="K2269" t="inlineStr">
        <is>
          <t>office outreach touch 2</t>
        </is>
      </c>
    </row>
    <row r="2270">
      <c r="A2270" s="17">
        <f>IF(B2270="","",B2270+(13*1000+19)/10000000)</f>
        <v/>
      </c>
      <c r="B2270" s="23">
        <f>IF(AND(IFERROR(N(INDEX(Clay_Offices!$A$2:$FZ$601,19,Sync!$C$12)),0)&gt;0,IFERROR(INDEX(Clay_Offices!$A$2:$FZ$601,19,Sync!$C$5)&amp;"","")&lt;&gt;"",OR(LEFT(IFERROR(INDEX(Clay_Offices!$A$2:$FZ$601,19,Sync!$C$5)&amp;"",""),6)&lt;&gt;"SAMPLE",Config!$B$19="Y")),IFERROR(N(INDEX(Clay_Offices!$A$2:$FZ$601,19,Sync!$C$12)),0),"")</f>
        <v/>
      </c>
      <c r="C2270" s="17">
        <f>IF(B2270="","","office")</f>
        <v/>
      </c>
      <c r="D2270" s="17">
        <f>IF(B2270="","",IFERROR(INDEX(Clay_Offices!$A$2:$FZ$601,19,Sync!$C$5)&amp;"",""))</f>
        <v/>
      </c>
      <c r="E2270" s="17">
        <f>IF(B2270="","",IFERROR(INDEX(Clay_Offices!$A$2:$FZ$601,19,Sync!$C$6)&amp;"",""))</f>
        <v/>
      </c>
      <c r="F2270" s="17">
        <f>IF(B2270="","","outreach_sent")</f>
        <v/>
      </c>
      <c r="G2270" s="17">
        <f>IF(B2270="","","")</f>
        <v/>
      </c>
      <c r="H2270" s="17">
        <f>IF(B2270="","","")</f>
        <v/>
      </c>
      <c r="I2270" s="17">
        <f>IF(B2270="","","")</f>
        <v/>
      </c>
      <c r="J2270" s="17">
        <f>IF(B2270="","","touch_2; "&amp;IFERROR(INDEX(Clay_Offices!$A$2:$FZ$601,19,Sync!$C$10)&amp;"","")&amp;"; "&amp;IFERROR(INDEX(Clay_Offices!$A$2:$FZ$601,19,Sync!$C$9)&amp;"",""))</f>
        <v/>
      </c>
      <c r="K2270" t="inlineStr">
        <is>
          <t>office outreach touch 2</t>
        </is>
      </c>
    </row>
    <row r="2271">
      <c r="A2271" s="17">
        <f>IF(B2271="","",B2271+(13*1000+20)/10000000)</f>
        <v/>
      </c>
      <c r="B2271" s="23">
        <f>IF(AND(IFERROR(N(INDEX(Clay_Offices!$A$2:$FZ$601,20,Sync!$C$12)),0)&gt;0,IFERROR(INDEX(Clay_Offices!$A$2:$FZ$601,20,Sync!$C$5)&amp;"","")&lt;&gt;"",OR(LEFT(IFERROR(INDEX(Clay_Offices!$A$2:$FZ$601,20,Sync!$C$5)&amp;"",""),6)&lt;&gt;"SAMPLE",Config!$B$19="Y")),IFERROR(N(INDEX(Clay_Offices!$A$2:$FZ$601,20,Sync!$C$12)),0),"")</f>
        <v/>
      </c>
      <c r="C2271" s="17">
        <f>IF(B2271="","","office")</f>
        <v/>
      </c>
      <c r="D2271" s="17">
        <f>IF(B2271="","",IFERROR(INDEX(Clay_Offices!$A$2:$FZ$601,20,Sync!$C$5)&amp;"",""))</f>
        <v/>
      </c>
      <c r="E2271" s="17">
        <f>IF(B2271="","",IFERROR(INDEX(Clay_Offices!$A$2:$FZ$601,20,Sync!$C$6)&amp;"",""))</f>
        <v/>
      </c>
      <c r="F2271" s="17">
        <f>IF(B2271="","","outreach_sent")</f>
        <v/>
      </c>
      <c r="G2271" s="17">
        <f>IF(B2271="","","")</f>
        <v/>
      </c>
      <c r="H2271" s="17">
        <f>IF(B2271="","","")</f>
        <v/>
      </c>
      <c r="I2271" s="17">
        <f>IF(B2271="","","")</f>
        <v/>
      </c>
      <c r="J2271" s="17">
        <f>IF(B2271="","","touch_2; "&amp;IFERROR(INDEX(Clay_Offices!$A$2:$FZ$601,20,Sync!$C$10)&amp;"","")&amp;"; "&amp;IFERROR(INDEX(Clay_Offices!$A$2:$FZ$601,20,Sync!$C$9)&amp;"",""))</f>
        <v/>
      </c>
      <c r="K2271" t="inlineStr">
        <is>
          <t>office outreach touch 2</t>
        </is>
      </c>
    </row>
    <row r="2272">
      <c r="A2272" s="17">
        <f>IF(B2272="","",B2272+(13*1000+21)/10000000)</f>
        <v/>
      </c>
      <c r="B2272" s="23">
        <f>IF(AND(IFERROR(N(INDEX(Clay_Offices!$A$2:$FZ$601,21,Sync!$C$12)),0)&gt;0,IFERROR(INDEX(Clay_Offices!$A$2:$FZ$601,21,Sync!$C$5)&amp;"","")&lt;&gt;"",OR(LEFT(IFERROR(INDEX(Clay_Offices!$A$2:$FZ$601,21,Sync!$C$5)&amp;"",""),6)&lt;&gt;"SAMPLE",Config!$B$19="Y")),IFERROR(N(INDEX(Clay_Offices!$A$2:$FZ$601,21,Sync!$C$12)),0),"")</f>
        <v/>
      </c>
      <c r="C2272" s="17">
        <f>IF(B2272="","","office")</f>
        <v/>
      </c>
      <c r="D2272" s="17">
        <f>IF(B2272="","",IFERROR(INDEX(Clay_Offices!$A$2:$FZ$601,21,Sync!$C$5)&amp;"",""))</f>
        <v/>
      </c>
      <c r="E2272" s="17">
        <f>IF(B2272="","",IFERROR(INDEX(Clay_Offices!$A$2:$FZ$601,21,Sync!$C$6)&amp;"",""))</f>
        <v/>
      </c>
      <c r="F2272" s="17">
        <f>IF(B2272="","","outreach_sent")</f>
        <v/>
      </c>
      <c r="G2272" s="17">
        <f>IF(B2272="","","")</f>
        <v/>
      </c>
      <c r="H2272" s="17">
        <f>IF(B2272="","","")</f>
        <v/>
      </c>
      <c r="I2272" s="17">
        <f>IF(B2272="","","")</f>
        <v/>
      </c>
      <c r="J2272" s="17">
        <f>IF(B2272="","","touch_2; "&amp;IFERROR(INDEX(Clay_Offices!$A$2:$FZ$601,21,Sync!$C$10)&amp;"","")&amp;"; "&amp;IFERROR(INDEX(Clay_Offices!$A$2:$FZ$601,21,Sync!$C$9)&amp;"",""))</f>
        <v/>
      </c>
      <c r="K2272" t="inlineStr">
        <is>
          <t>office outreach touch 2</t>
        </is>
      </c>
    </row>
    <row r="2273">
      <c r="A2273" s="17">
        <f>IF(B2273="","",B2273+(13*1000+22)/10000000)</f>
        <v/>
      </c>
      <c r="B2273" s="23">
        <f>IF(AND(IFERROR(N(INDEX(Clay_Offices!$A$2:$FZ$601,22,Sync!$C$12)),0)&gt;0,IFERROR(INDEX(Clay_Offices!$A$2:$FZ$601,22,Sync!$C$5)&amp;"","")&lt;&gt;"",OR(LEFT(IFERROR(INDEX(Clay_Offices!$A$2:$FZ$601,22,Sync!$C$5)&amp;"",""),6)&lt;&gt;"SAMPLE",Config!$B$19="Y")),IFERROR(N(INDEX(Clay_Offices!$A$2:$FZ$601,22,Sync!$C$12)),0),"")</f>
        <v/>
      </c>
      <c r="C2273" s="17">
        <f>IF(B2273="","","office")</f>
        <v/>
      </c>
      <c r="D2273" s="17">
        <f>IF(B2273="","",IFERROR(INDEX(Clay_Offices!$A$2:$FZ$601,22,Sync!$C$5)&amp;"",""))</f>
        <v/>
      </c>
      <c r="E2273" s="17">
        <f>IF(B2273="","",IFERROR(INDEX(Clay_Offices!$A$2:$FZ$601,22,Sync!$C$6)&amp;"",""))</f>
        <v/>
      </c>
      <c r="F2273" s="17">
        <f>IF(B2273="","","outreach_sent")</f>
        <v/>
      </c>
      <c r="G2273" s="17">
        <f>IF(B2273="","","")</f>
        <v/>
      </c>
      <c r="H2273" s="17">
        <f>IF(B2273="","","")</f>
        <v/>
      </c>
      <c r="I2273" s="17">
        <f>IF(B2273="","","")</f>
        <v/>
      </c>
      <c r="J2273" s="17">
        <f>IF(B2273="","","touch_2; "&amp;IFERROR(INDEX(Clay_Offices!$A$2:$FZ$601,22,Sync!$C$10)&amp;"","")&amp;"; "&amp;IFERROR(INDEX(Clay_Offices!$A$2:$FZ$601,22,Sync!$C$9)&amp;"",""))</f>
        <v/>
      </c>
      <c r="K2273" t="inlineStr">
        <is>
          <t>office outreach touch 2</t>
        </is>
      </c>
    </row>
    <row r="2274">
      <c r="A2274" s="17">
        <f>IF(B2274="","",B2274+(13*1000+23)/10000000)</f>
        <v/>
      </c>
      <c r="B2274" s="23">
        <f>IF(AND(IFERROR(N(INDEX(Clay_Offices!$A$2:$FZ$601,23,Sync!$C$12)),0)&gt;0,IFERROR(INDEX(Clay_Offices!$A$2:$FZ$601,23,Sync!$C$5)&amp;"","")&lt;&gt;"",OR(LEFT(IFERROR(INDEX(Clay_Offices!$A$2:$FZ$601,23,Sync!$C$5)&amp;"",""),6)&lt;&gt;"SAMPLE",Config!$B$19="Y")),IFERROR(N(INDEX(Clay_Offices!$A$2:$FZ$601,23,Sync!$C$12)),0),"")</f>
        <v/>
      </c>
      <c r="C2274" s="17">
        <f>IF(B2274="","","office")</f>
        <v/>
      </c>
      <c r="D2274" s="17">
        <f>IF(B2274="","",IFERROR(INDEX(Clay_Offices!$A$2:$FZ$601,23,Sync!$C$5)&amp;"",""))</f>
        <v/>
      </c>
      <c r="E2274" s="17">
        <f>IF(B2274="","",IFERROR(INDEX(Clay_Offices!$A$2:$FZ$601,23,Sync!$C$6)&amp;"",""))</f>
        <v/>
      </c>
      <c r="F2274" s="17">
        <f>IF(B2274="","","outreach_sent")</f>
        <v/>
      </c>
      <c r="G2274" s="17">
        <f>IF(B2274="","","")</f>
        <v/>
      </c>
      <c r="H2274" s="17">
        <f>IF(B2274="","","")</f>
        <v/>
      </c>
      <c r="I2274" s="17">
        <f>IF(B2274="","","")</f>
        <v/>
      </c>
      <c r="J2274" s="17">
        <f>IF(B2274="","","touch_2; "&amp;IFERROR(INDEX(Clay_Offices!$A$2:$FZ$601,23,Sync!$C$10)&amp;"","")&amp;"; "&amp;IFERROR(INDEX(Clay_Offices!$A$2:$FZ$601,23,Sync!$C$9)&amp;"",""))</f>
        <v/>
      </c>
      <c r="K2274" t="inlineStr">
        <is>
          <t>office outreach touch 2</t>
        </is>
      </c>
    </row>
    <row r="2275">
      <c r="A2275" s="17">
        <f>IF(B2275="","",B2275+(13*1000+24)/10000000)</f>
        <v/>
      </c>
      <c r="B2275" s="23">
        <f>IF(AND(IFERROR(N(INDEX(Clay_Offices!$A$2:$FZ$601,24,Sync!$C$12)),0)&gt;0,IFERROR(INDEX(Clay_Offices!$A$2:$FZ$601,24,Sync!$C$5)&amp;"","")&lt;&gt;"",OR(LEFT(IFERROR(INDEX(Clay_Offices!$A$2:$FZ$601,24,Sync!$C$5)&amp;"",""),6)&lt;&gt;"SAMPLE",Config!$B$19="Y")),IFERROR(N(INDEX(Clay_Offices!$A$2:$FZ$601,24,Sync!$C$12)),0),"")</f>
        <v/>
      </c>
      <c r="C2275" s="17">
        <f>IF(B2275="","","office")</f>
        <v/>
      </c>
      <c r="D2275" s="17">
        <f>IF(B2275="","",IFERROR(INDEX(Clay_Offices!$A$2:$FZ$601,24,Sync!$C$5)&amp;"",""))</f>
        <v/>
      </c>
      <c r="E2275" s="17">
        <f>IF(B2275="","",IFERROR(INDEX(Clay_Offices!$A$2:$FZ$601,24,Sync!$C$6)&amp;"",""))</f>
        <v/>
      </c>
      <c r="F2275" s="17">
        <f>IF(B2275="","","outreach_sent")</f>
        <v/>
      </c>
      <c r="G2275" s="17">
        <f>IF(B2275="","","")</f>
        <v/>
      </c>
      <c r="H2275" s="17">
        <f>IF(B2275="","","")</f>
        <v/>
      </c>
      <c r="I2275" s="17">
        <f>IF(B2275="","","")</f>
        <v/>
      </c>
      <c r="J2275" s="17">
        <f>IF(B2275="","","touch_2; "&amp;IFERROR(INDEX(Clay_Offices!$A$2:$FZ$601,24,Sync!$C$10)&amp;"","")&amp;"; "&amp;IFERROR(INDEX(Clay_Offices!$A$2:$FZ$601,24,Sync!$C$9)&amp;"",""))</f>
        <v/>
      </c>
      <c r="K2275" t="inlineStr">
        <is>
          <t>office outreach touch 2</t>
        </is>
      </c>
    </row>
    <row r="2276">
      <c r="A2276" s="17">
        <f>IF(B2276="","",B2276+(13*1000+25)/10000000)</f>
        <v/>
      </c>
      <c r="B2276" s="23">
        <f>IF(AND(IFERROR(N(INDEX(Clay_Offices!$A$2:$FZ$601,25,Sync!$C$12)),0)&gt;0,IFERROR(INDEX(Clay_Offices!$A$2:$FZ$601,25,Sync!$C$5)&amp;"","")&lt;&gt;"",OR(LEFT(IFERROR(INDEX(Clay_Offices!$A$2:$FZ$601,25,Sync!$C$5)&amp;"",""),6)&lt;&gt;"SAMPLE",Config!$B$19="Y")),IFERROR(N(INDEX(Clay_Offices!$A$2:$FZ$601,25,Sync!$C$12)),0),"")</f>
        <v/>
      </c>
      <c r="C2276" s="17">
        <f>IF(B2276="","","office")</f>
        <v/>
      </c>
      <c r="D2276" s="17">
        <f>IF(B2276="","",IFERROR(INDEX(Clay_Offices!$A$2:$FZ$601,25,Sync!$C$5)&amp;"",""))</f>
        <v/>
      </c>
      <c r="E2276" s="17">
        <f>IF(B2276="","",IFERROR(INDEX(Clay_Offices!$A$2:$FZ$601,25,Sync!$C$6)&amp;"",""))</f>
        <v/>
      </c>
      <c r="F2276" s="17">
        <f>IF(B2276="","","outreach_sent")</f>
        <v/>
      </c>
      <c r="G2276" s="17">
        <f>IF(B2276="","","")</f>
        <v/>
      </c>
      <c r="H2276" s="17">
        <f>IF(B2276="","","")</f>
        <v/>
      </c>
      <c r="I2276" s="17">
        <f>IF(B2276="","","")</f>
        <v/>
      </c>
      <c r="J2276" s="17">
        <f>IF(B2276="","","touch_2; "&amp;IFERROR(INDEX(Clay_Offices!$A$2:$FZ$601,25,Sync!$C$10)&amp;"","")&amp;"; "&amp;IFERROR(INDEX(Clay_Offices!$A$2:$FZ$601,25,Sync!$C$9)&amp;"",""))</f>
        <v/>
      </c>
      <c r="K2276" t="inlineStr">
        <is>
          <t>office outreach touch 2</t>
        </is>
      </c>
    </row>
    <row r="2277">
      <c r="A2277" s="17">
        <f>IF(B2277="","",B2277+(13*1000+26)/10000000)</f>
        <v/>
      </c>
      <c r="B2277" s="23">
        <f>IF(AND(IFERROR(N(INDEX(Clay_Offices!$A$2:$FZ$601,26,Sync!$C$12)),0)&gt;0,IFERROR(INDEX(Clay_Offices!$A$2:$FZ$601,26,Sync!$C$5)&amp;"","")&lt;&gt;"",OR(LEFT(IFERROR(INDEX(Clay_Offices!$A$2:$FZ$601,26,Sync!$C$5)&amp;"",""),6)&lt;&gt;"SAMPLE",Config!$B$19="Y")),IFERROR(N(INDEX(Clay_Offices!$A$2:$FZ$601,26,Sync!$C$12)),0),"")</f>
        <v/>
      </c>
      <c r="C2277" s="17">
        <f>IF(B2277="","","office")</f>
        <v/>
      </c>
      <c r="D2277" s="17">
        <f>IF(B2277="","",IFERROR(INDEX(Clay_Offices!$A$2:$FZ$601,26,Sync!$C$5)&amp;"",""))</f>
        <v/>
      </c>
      <c r="E2277" s="17">
        <f>IF(B2277="","",IFERROR(INDEX(Clay_Offices!$A$2:$FZ$601,26,Sync!$C$6)&amp;"",""))</f>
        <v/>
      </c>
      <c r="F2277" s="17">
        <f>IF(B2277="","","outreach_sent")</f>
        <v/>
      </c>
      <c r="G2277" s="17">
        <f>IF(B2277="","","")</f>
        <v/>
      </c>
      <c r="H2277" s="17">
        <f>IF(B2277="","","")</f>
        <v/>
      </c>
      <c r="I2277" s="17">
        <f>IF(B2277="","","")</f>
        <v/>
      </c>
      <c r="J2277" s="17">
        <f>IF(B2277="","","touch_2; "&amp;IFERROR(INDEX(Clay_Offices!$A$2:$FZ$601,26,Sync!$C$10)&amp;"","")&amp;"; "&amp;IFERROR(INDEX(Clay_Offices!$A$2:$FZ$601,26,Sync!$C$9)&amp;"",""))</f>
        <v/>
      </c>
      <c r="K2277" t="inlineStr">
        <is>
          <t>office outreach touch 2</t>
        </is>
      </c>
    </row>
    <row r="2278">
      <c r="A2278" s="17">
        <f>IF(B2278="","",B2278+(13*1000+27)/10000000)</f>
        <v/>
      </c>
      <c r="B2278" s="23">
        <f>IF(AND(IFERROR(N(INDEX(Clay_Offices!$A$2:$FZ$601,27,Sync!$C$12)),0)&gt;0,IFERROR(INDEX(Clay_Offices!$A$2:$FZ$601,27,Sync!$C$5)&amp;"","")&lt;&gt;"",OR(LEFT(IFERROR(INDEX(Clay_Offices!$A$2:$FZ$601,27,Sync!$C$5)&amp;"",""),6)&lt;&gt;"SAMPLE",Config!$B$19="Y")),IFERROR(N(INDEX(Clay_Offices!$A$2:$FZ$601,27,Sync!$C$12)),0),"")</f>
        <v/>
      </c>
      <c r="C2278" s="17">
        <f>IF(B2278="","","office")</f>
        <v/>
      </c>
      <c r="D2278" s="17">
        <f>IF(B2278="","",IFERROR(INDEX(Clay_Offices!$A$2:$FZ$601,27,Sync!$C$5)&amp;"",""))</f>
        <v/>
      </c>
      <c r="E2278" s="17">
        <f>IF(B2278="","",IFERROR(INDEX(Clay_Offices!$A$2:$FZ$601,27,Sync!$C$6)&amp;"",""))</f>
        <v/>
      </c>
      <c r="F2278" s="17">
        <f>IF(B2278="","","outreach_sent")</f>
        <v/>
      </c>
      <c r="G2278" s="17">
        <f>IF(B2278="","","")</f>
        <v/>
      </c>
      <c r="H2278" s="17">
        <f>IF(B2278="","","")</f>
        <v/>
      </c>
      <c r="I2278" s="17">
        <f>IF(B2278="","","")</f>
        <v/>
      </c>
      <c r="J2278" s="17">
        <f>IF(B2278="","","touch_2; "&amp;IFERROR(INDEX(Clay_Offices!$A$2:$FZ$601,27,Sync!$C$10)&amp;"","")&amp;"; "&amp;IFERROR(INDEX(Clay_Offices!$A$2:$FZ$601,27,Sync!$C$9)&amp;"",""))</f>
        <v/>
      </c>
      <c r="K2278" t="inlineStr">
        <is>
          <t>office outreach touch 2</t>
        </is>
      </c>
    </row>
    <row r="2279">
      <c r="A2279" s="17">
        <f>IF(B2279="","",B2279+(13*1000+28)/10000000)</f>
        <v/>
      </c>
      <c r="B2279" s="23">
        <f>IF(AND(IFERROR(N(INDEX(Clay_Offices!$A$2:$FZ$601,28,Sync!$C$12)),0)&gt;0,IFERROR(INDEX(Clay_Offices!$A$2:$FZ$601,28,Sync!$C$5)&amp;"","")&lt;&gt;"",OR(LEFT(IFERROR(INDEX(Clay_Offices!$A$2:$FZ$601,28,Sync!$C$5)&amp;"",""),6)&lt;&gt;"SAMPLE",Config!$B$19="Y")),IFERROR(N(INDEX(Clay_Offices!$A$2:$FZ$601,28,Sync!$C$12)),0),"")</f>
        <v/>
      </c>
      <c r="C2279" s="17">
        <f>IF(B2279="","","office")</f>
        <v/>
      </c>
      <c r="D2279" s="17">
        <f>IF(B2279="","",IFERROR(INDEX(Clay_Offices!$A$2:$FZ$601,28,Sync!$C$5)&amp;"",""))</f>
        <v/>
      </c>
      <c r="E2279" s="17">
        <f>IF(B2279="","",IFERROR(INDEX(Clay_Offices!$A$2:$FZ$601,28,Sync!$C$6)&amp;"",""))</f>
        <v/>
      </c>
      <c r="F2279" s="17">
        <f>IF(B2279="","","outreach_sent")</f>
        <v/>
      </c>
      <c r="G2279" s="17">
        <f>IF(B2279="","","")</f>
        <v/>
      </c>
      <c r="H2279" s="17">
        <f>IF(B2279="","","")</f>
        <v/>
      </c>
      <c r="I2279" s="17">
        <f>IF(B2279="","","")</f>
        <v/>
      </c>
      <c r="J2279" s="17">
        <f>IF(B2279="","","touch_2; "&amp;IFERROR(INDEX(Clay_Offices!$A$2:$FZ$601,28,Sync!$C$10)&amp;"","")&amp;"; "&amp;IFERROR(INDEX(Clay_Offices!$A$2:$FZ$601,28,Sync!$C$9)&amp;"",""))</f>
        <v/>
      </c>
      <c r="K2279" t="inlineStr">
        <is>
          <t>office outreach touch 2</t>
        </is>
      </c>
    </row>
    <row r="2280">
      <c r="A2280" s="17">
        <f>IF(B2280="","",B2280+(13*1000+29)/10000000)</f>
        <v/>
      </c>
      <c r="B2280" s="23">
        <f>IF(AND(IFERROR(N(INDEX(Clay_Offices!$A$2:$FZ$601,29,Sync!$C$12)),0)&gt;0,IFERROR(INDEX(Clay_Offices!$A$2:$FZ$601,29,Sync!$C$5)&amp;"","")&lt;&gt;"",OR(LEFT(IFERROR(INDEX(Clay_Offices!$A$2:$FZ$601,29,Sync!$C$5)&amp;"",""),6)&lt;&gt;"SAMPLE",Config!$B$19="Y")),IFERROR(N(INDEX(Clay_Offices!$A$2:$FZ$601,29,Sync!$C$12)),0),"")</f>
        <v/>
      </c>
      <c r="C2280" s="17">
        <f>IF(B2280="","","office")</f>
        <v/>
      </c>
      <c r="D2280" s="17">
        <f>IF(B2280="","",IFERROR(INDEX(Clay_Offices!$A$2:$FZ$601,29,Sync!$C$5)&amp;"",""))</f>
        <v/>
      </c>
      <c r="E2280" s="17">
        <f>IF(B2280="","",IFERROR(INDEX(Clay_Offices!$A$2:$FZ$601,29,Sync!$C$6)&amp;"",""))</f>
        <v/>
      </c>
      <c r="F2280" s="17">
        <f>IF(B2280="","","outreach_sent")</f>
        <v/>
      </c>
      <c r="G2280" s="17">
        <f>IF(B2280="","","")</f>
        <v/>
      </c>
      <c r="H2280" s="17">
        <f>IF(B2280="","","")</f>
        <v/>
      </c>
      <c r="I2280" s="17">
        <f>IF(B2280="","","")</f>
        <v/>
      </c>
      <c r="J2280" s="17">
        <f>IF(B2280="","","touch_2; "&amp;IFERROR(INDEX(Clay_Offices!$A$2:$FZ$601,29,Sync!$C$10)&amp;"","")&amp;"; "&amp;IFERROR(INDEX(Clay_Offices!$A$2:$FZ$601,29,Sync!$C$9)&amp;"",""))</f>
        <v/>
      </c>
      <c r="K2280" t="inlineStr">
        <is>
          <t>office outreach touch 2</t>
        </is>
      </c>
    </row>
    <row r="2281">
      <c r="A2281" s="17">
        <f>IF(B2281="","",B2281+(13*1000+30)/10000000)</f>
        <v/>
      </c>
      <c r="B2281" s="23">
        <f>IF(AND(IFERROR(N(INDEX(Clay_Offices!$A$2:$FZ$601,30,Sync!$C$12)),0)&gt;0,IFERROR(INDEX(Clay_Offices!$A$2:$FZ$601,30,Sync!$C$5)&amp;"","")&lt;&gt;"",OR(LEFT(IFERROR(INDEX(Clay_Offices!$A$2:$FZ$601,30,Sync!$C$5)&amp;"",""),6)&lt;&gt;"SAMPLE",Config!$B$19="Y")),IFERROR(N(INDEX(Clay_Offices!$A$2:$FZ$601,30,Sync!$C$12)),0),"")</f>
        <v/>
      </c>
      <c r="C2281" s="17">
        <f>IF(B2281="","","office")</f>
        <v/>
      </c>
      <c r="D2281" s="17">
        <f>IF(B2281="","",IFERROR(INDEX(Clay_Offices!$A$2:$FZ$601,30,Sync!$C$5)&amp;"",""))</f>
        <v/>
      </c>
      <c r="E2281" s="17">
        <f>IF(B2281="","",IFERROR(INDEX(Clay_Offices!$A$2:$FZ$601,30,Sync!$C$6)&amp;"",""))</f>
        <v/>
      </c>
      <c r="F2281" s="17">
        <f>IF(B2281="","","outreach_sent")</f>
        <v/>
      </c>
      <c r="G2281" s="17">
        <f>IF(B2281="","","")</f>
        <v/>
      </c>
      <c r="H2281" s="17">
        <f>IF(B2281="","","")</f>
        <v/>
      </c>
      <c r="I2281" s="17">
        <f>IF(B2281="","","")</f>
        <v/>
      </c>
      <c r="J2281" s="17">
        <f>IF(B2281="","","touch_2; "&amp;IFERROR(INDEX(Clay_Offices!$A$2:$FZ$601,30,Sync!$C$10)&amp;"","")&amp;"; "&amp;IFERROR(INDEX(Clay_Offices!$A$2:$FZ$601,30,Sync!$C$9)&amp;"",""))</f>
        <v/>
      </c>
      <c r="K2281" t="inlineStr">
        <is>
          <t>office outreach touch 2</t>
        </is>
      </c>
    </row>
    <row r="2282">
      <c r="A2282" s="17">
        <f>IF(B2282="","",B2282+(13*1000+31)/10000000)</f>
        <v/>
      </c>
      <c r="B2282" s="23">
        <f>IF(AND(IFERROR(N(INDEX(Clay_Offices!$A$2:$FZ$601,31,Sync!$C$12)),0)&gt;0,IFERROR(INDEX(Clay_Offices!$A$2:$FZ$601,31,Sync!$C$5)&amp;"","")&lt;&gt;"",OR(LEFT(IFERROR(INDEX(Clay_Offices!$A$2:$FZ$601,31,Sync!$C$5)&amp;"",""),6)&lt;&gt;"SAMPLE",Config!$B$19="Y")),IFERROR(N(INDEX(Clay_Offices!$A$2:$FZ$601,31,Sync!$C$12)),0),"")</f>
        <v/>
      </c>
      <c r="C2282" s="17">
        <f>IF(B2282="","","office")</f>
        <v/>
      </c>
      <c r="D2282" s="17">
        <f>IF(B2282="","",IFERROR(INDEX(Clay_Offices!$A$2:$FZ$601,31,Sync!$C$5)&amp;"",""))</f>
        <v/>
      </c>
      <c r="E2282" s="17">
        <f>IF(B2282="","",IFERROR(INDEX(Clay_Offices!$A$2:$FZ$601,31,Sync!$C$6)&amp;"",""))</f>
        <v/>
      </c>
      <c r="F2282" s="17">
        <f>IF(B2282="","","outreach_sent")</f>
        <v/>
      </c>
      <c r="G2282" s="17">
        <f>IF(B2282="","","")</f>
        <v/>
      </c>
      <c r="H2282" s="17">
        <f>IF(B2282="","","")</f>
        <v/>
      </c>
      <c r="I2282" s="17">
        <f>IF(B2282="","","")</f>
        <v/>
      </c>
      <c r="J2282" s="17">
        <f>IF(B2282="","","touch_2; "&amp;IFERROR(INDEX(Clay_Offices!$A$2:$FZ$601,31,Sync!$C$10)&amp;"","")&amp;"; "&amp;IFERROR(INDEX(Clay_Offices!$A$2:$FZ$601,31,Sync!$C$9)&amp;"",""))</f>
        <v/>
      </c>
      <c r="K2282" t="inlineStr">
        <is>
          <t>office outreach touch 2</t>
        </is>
      </c>
    </row>
    <row r="2283">
      <c r="A2283" s="17">
        <f>IF(B2283="","",B2283+(13*1000+32)/10000000)</f>
        <v/>
      </c>
      <c r="B2283" s="23">
        <f>IF(AND(IFERROR(N(INDEX(Clay_Offices!$A$2:$FZ$601,32,Sync!$C$12)),0)&gt;0,IFERROR(INDEX(Clay_Offices!$A$2:$FZ$601,32,Sync!$C$5)&amp;"","")&lt;&gt;"",OR(LEFT(IFERROR(INDEX(Clay_Offices!$A$2:$FZ$601,32,Sync!$C$5)&amp;"",""),6)&lt;&gt;"SAMPLE",Config!$B$19="Y")),IFERROR(N(INDEX(Clay_Offices!$A$2:$FZ$601,32,Sync!$C$12)),0),"")</f>
        <v/>
      </c>
      <c r="C2283" s="17">
        <f>IF(B2283="","","office")</f>
        <v/>
      </c>
      <c r="D2283" s="17">
        <f>IF(B2283="","",IFERROR(INDEX(Clay_Offices!$A$2:$FZ$601,32,Sync!$C$5)&amp;"",""))</f>
        <v/>
      </c>
      <c r="E2283" s="17">
        <f>IF(B2283="","",IFERROR(INDEX(Clay_Offices!$A$2:$FZ$601,32,Sync!$C$6)&amp;"",""))</f>
        <v/>
      </c>
      <c r="F2283" s="17">
        <f>IF(B2283="","","outreach_sent")</f>
        <v/>
      </c>
      <c r="G2283" s="17">
        <f>IF(B2283="","","")</f>
        <v/>
      </c>
      <c r="H2283" s="17">
        <f>IF(B2283="","","")</f>
        <v/>
      </c>
      <c r="I2283" s="17">
        <f>IF(B2283="","","")</f>
        <v/>
      </c>
      <c r="J2283" s="17">
        <f>IF(B2283="","","touch_2; "&amp;IFERROR(INDEX(Clay_Offices!$A$2:$FZ$601,32,Sync!$C$10)&amp;"","")&amp;"; "&amp;IFERROR(INDEX(Clay_Offices!$A$2:$FZ$601,32,Sync!$C$9)&amp;"",""))</f>
        <v/>
      </c>
      <c r="K2283" t="inlineStr">
        <is>
          <t>office outreach touch 2</t>
        </is>
      </c>
    </row>
    <row r="2284">
      <c r="A2284" s="17">
        <f>IF(B2284="","",B2284+(13*1000+33)/10000000)</f>
        <v/>
      </c>
      <c r="B2284" s="23">
        <f>IF(AND(IFERROR(N(INDEX(Clay_Offices!$A$2:$FZ$601,33,Sync!$C$12)),0)&gt;0,IFERROR(INDEX(Clay_Offices!$A$2:$FZ$601,33,Sync!$C$5)&amp;"","")&lt;&gt;"",OR(LEFT(IFERROR(INDEX(Clay_Offices!$A$2:$FZ$601,33,Sync!$C$5)&amp;"",""),6)&lt;&gt;"SAMPLE",Config!$B$19="Y")),IFERROR(N(INDEX(Clay_Offices!$A$2:$FZ$601,33,Sync!$C$12)),0),"")</f>
        <v/>
      </c>
      <c r="C2284" s="17">
        <f>IF(B2284="","","office")</f>
        <v/>
      </c>
      <c r="D2284" s="17">
        <f>IF(B2284="","",IFERROR(INDEX(Clay_Offices!$A$2:$FZ$601,33,Sync!$C$5)&amp;"",""))</f>
        <v/>
      </c>
      <c r="E2284" s="17">
        <f>IF(B2284="","",IFERROR(INDEX(Clay_Offices!$A$2:$FZ$601,33,Sync!$C$6)&amp;"",""))</f>
        <v/>
      </c>
      <c r="F2284" s="17">
        <f>IF(B2284="","","outreach_sent")</f>
        <v/>
      </c>
      <c r="G2284" s="17">
        <f>IF(B2284="","","")</f>
        <v/>
      </c>
      <c r="H2284" s="17">
        <f>IF(B2284="","","")</f>
        <v/>
      </c>
      <c r="I2284" s="17">
        <f>IF(B2284="","","")</f>
        <v/>
      </c>
      <c r="J2284" s="17">
        <f>IF(B2284="","","touch_2; "&amp;IFERROR(INDEX(Clay_Offices!$A$2:$FZ$601,33,Sync!$C$10)&amp;"","")&amp;"; "&amp;IFERROR(INDEX(Clay_Offices!$A$2:$FZ$601,33,Sync!$C$9)&amp;"",""))</f>
        <v/>
      </c>
      <c r="K2284" t="inlineStr">
        <is>
          <t>office outreach touch 2</t>
        </is>
      </c>
    </row>
    <row r="2285">
      <c r="A2285" s="17">
        <f>IF(B2285="","",B2285+(13*1000+34)/10000000)</f>
        <v/>
      </c>
      <c r="B2285" s="23">
        <f>IF(AND(IFERROR(N(INDEX(Clay_Offices!$A$2:$FZ$601,34,Sync!$C$12)),0)&gt;0,IFERROR(INDEX(Clay_Offices!$A$2:$FZ$601,34,Sync!$C$5)&amp;"","")&lt;&gt;"",OR(LEFT(IFERROR(INDEX(Clay_Offices!$A$2:$FZ$601,34,Sync!$C$5)&amp;"",""),6)&lt;&gt;"SAMPLE",Config!$B$19="Y")),IFERROR(N(INDEX(Clay_Offices!$A$2:$FZ$601,34,Sync!$C$12)),0),"")</f>
        <v/>
      </c>
      <c r="C2285" s="17">
        <f>IF(B2285="","","office")</f>
        <v/>
      </c>
      <c r="D2285" s="17">
        <f>IF(B2285="","",IFERROR(INDEX(Clay_Offices!$A$2:$FZ$601,34,Sync!$C$5)&amp;"",""))</f>
        <v/>
      </c>
      <c r="E2285" s="17">
        <f>IF(B2285="","",IFERROR(INDEX(Clay_Offices!$A$2:$FZ$601,34,Sync!$C$6)&amp;"",""))</f>
        <v/>
      </c>
      <c r="F2285" s="17">
        <f>IF(B2285="","","outreach_sent")</f>
        <v/>
      </c>
      <c r="G2285" s="17">
        <f>IF(B2285="","","")</f>
        <v/>
      </c>
      <c r="H2285" s="17">
        <f>IF(B2285="","","")</f>
        <v/>
      </c>
      <c r="I2285" s="17">
        <f>IF(B2285="","","")</f>
        <v/>
      </c>
      <c r="J2285" s="17">
        <f>IF(B2285="","","touch_2; "&amp;IFERROR(INDEX(Clay_Offices!$A$2:$FZ$601,34,Sync!$C$10)&amp;"","")&amp;"; "&amp;IFERROR(INDEX(Clay_Offices!$A$2:$FZ$601,34,Sync!$C$9)&amp;"",""))</f>
        <v/>
      </c>
      <c r="K2285" t="inlineStr">
        <is>
          <t>office outreach touch 2</t>
        </is>
      </c>
    </row>
    <row r="2286">
      <c r="A2286" s="17">
        <f>IF(B2286="","",B2286+(13*1000+35)/10000000)</f>
        <v/>
      </c>
      <c r="B2286" s="23">
        <f>IF(AND(IFERROR(N(INDEX(Clay_Offices!$A$2:$FZ$601,35,Sync!$C$12)),0)&gt;0,IFERROR(INDEX(Clay_Offices!$A$2:$FZ$601,35,Sync!$C$5)&amp;"","")&lt;&gt;"",OR(LEFT(IFERROR(INDEX(Clay_Offices!$A$2:$FZ$601,35,Sync!$C$5)&amp;"",""),6)&lt;&gt;"SAMPLE",Config!$B$19="Y")),IFERROR(N(INDEX(Clay_Offices!$A$2:$FZ$601,35,Sync!$C$12)),0),"")</f>
        <v/>
      </c>
      <c r="C2286" s="17">
        <f>IF(B2286="","","office")</f>
        <v/>
      </c>
      <c r="D2286" s="17">
        <f>IF(B2286="","",IFERROR(INDEX(Clay_Offices!$A$2:$FZ$601,35,Sync!$C$5)&amp;"",""))</f>
        <v/>
      </c>
      <c r="E2286" s="17">
        <f>IF(B2286="","",IFERROR(INDEX(Clay_Offices!$A$2:$FZ$601,35,Sync!$C$6)&amp;"",""))</f>
        <v/>
      </c>
      <c r="F2286" s="17">
        <f>IF(B2286="","","outreach_sent")</f>
        <v/>
      </c>
      <c r="G2286" s="17">
        <f>IF(B2286="","","")</f>
        <v/>
      </c>
      <c r="H2286" s="17">
        <f>IF(B2286="","","")</f>
        <v/>
      </c>
      <c r="I2286" s="17">
        <f>IF(B2286="","","")</f>
        <v/>
      </c>
      <c r="J2286" s="17">
        <f>IF(B2286="","","touch_2; "&amp;IFERROR(INDEX(Clay_Offices!$A$2:$FZ$601,35,Sync!$C$10)&amp;"","")&amp;"; "&amp;IFERROR(INDEX(Clay_Offices!$A$2:$FZ$601,35,Sync!$C$9)&amp;"",""))</f>
        <v/>
      </c>
      <c r="K2286" t="inlineStr">
        <is>
          <t>office outreach touch 2</t>
        </is>
      </c>
    </row>
    <row r="2287">
      <c r="A2287" s="17">
        <f>IF(B2287="","",B2287+(13*1000+36)/10000000)</f>
        <v/>
      </c>
      <c r="B2287" s="23">
        <f>IF(AND(IFERROR(N(INDEX(Clay_Offices!$A$2:$FZ$601,36,Sync!$C$12)),0)&gt;0,IFERROR(INDEX(Clay_Offices!$A$2:$FZ$601,36,Sync!$C$5)&amp;"","")&lt;&gt;"",OR(LEFT(IFERROR(INDEX(Clay_Offices!$A$2:$FZ$601,36,Sync!$C$5)&amp;"",""),6)&lt;&gt;"SAMPLE",Config!$B$19="Y")),IFERROR(N(INDEX(Clay_Offices!$A$2:$FZ$601,36,Sync!$C$12)),0),"")</f>
        <v/>
      </c>
      <c r="C2287" s="17">
        <f>IF(B2287="","","office")</f>
        <v/>
      </c>
      <c r="D2287" s="17">
        <f>IF(B2287="","",IFERROR(INDEX(Clay_Offices!$A$2:$FZ$601,36,Sync!$C$5)&amp;"",""))</f>
        <v/>
      </c>
      <c r="E2287" s="17">
        <f>IF(B2287="","",IFERROR(INDEX(Clay_Offices!$A$2:$FZ$601,36,Sync!$C$6)&amp;"",""))</f>
        <v/>
      </c>
      <c r="F2287" s="17">
        <f>IF(B2287="","","outreach_sent")</f>
        <v/>
      </c>
      <c r="G2287" s="17">
        <f>IF(B2287="","","")</f>
        <v/>
      </c>
      <c r="H2287" s="17">
        <f>IF(B2287="","","")</f>
        <v/>
      </c>
      <c r="I2287" s="17">
        <f>IF(B2287="","","")</f>
        <v/>
      </c>
      <c r="J2287" s="17">
        <f>IF(B2287="","","touch_2; "&amp;IFERROR(INDEX(Clay_Offices!$A$2:$FZ$601,36,Sync!$C$10)&amp;"","")&amp;"; "&amp;IFERROR(INDEX(Clay_Offices!$A$2:$FZ$601,36,Sync!$C$9)&amp;"",""))</f>
        <v/>
      </c>
      <c r="K2287" t="inlineStr">
        <is>
          <t>office outreach touch 2</t>
        </is>
      </c>
    </row>
    <row r="2288">
      <c r="A2288" s="17">
        <f>IF(B2288="","",B2288+(13*1000+37)/10000000)</f>
        <v/>
      </c>
      <c r="B2288" s="23">
        <f>IF(AND(IFERROR(N(INDEX(Clay_Offices!$A$2:$FZ$601,37,Sync!$C$12)),0)&gt;0,IFERROR(INDEX(Clay_Offices!$A$2:$FZ$601,37,Sync!$C$5)&amp;"","")&lt;&gt;"",OR(LEFT(IFERROR(INDEX(Clay_Offices!$A$2:$FZ$601,37,Sync!$C$5)&amp;"",""),6)&lt;&gt;"SAMPLE",Config!$B$19="Y")),IFERROR(N(INDEX(Clay_Offices!$A$2:$FZ$601,37,Sync!$C$12)),0),"")</f>
        <v/>
      </c>
      <c r="C2288" s="17">
        <f>IF(B2288="","","office")</f>
        <v/>
      </c>
      <c r="D2288" s="17">
        <f>IF(B2288="","",IFERROR(INDEX(Clay_Offices!$A$2:$FZ$601,37,Sync!$C$5)&amp;"",""))</f>
        <v/>
      </c>
      <c r="E2288" s="17">
        <f>IF(B2288="","",IFERROR(INDEX(Clay_Offices!$A$2:$FZ$601,37,Sync!$C$6)&amp;"",""))</f>
        <v/>
      </c>
      <c r="F2288" s="17">
        <f>IF(B2288="","","outreach_sent")</f>
        <v/>
      </c>
      <c r="G2288" s="17">
        <f>IF(B2288="","","")</f>
        <v/>
      </c>
      <c r="H2288" s="17">
        <f>IF(B2288="","","")</f>
        <v/>
      </c>
      <c r="I2288" s="17">
        <f>IF(B2288="","","")</f>
        <v/>
      </c>
      <c r="J2288" s="17">
        <f>IF(B2288="","","touch_2; "&amp;IFERROR(INDEX(Clay_Offices!$A$2:$FZ$601,37,Sync!$C$10)&amp;"","")&amp;"; "&amp;IFERROR(INDEX(Clay_Offices!$A$2:$FZ$601,37,Sync!$C$9)&amp;"",""))</f>
        <v/>
      </c>
      <c r="K2288" t="inlineStr">
        <is>
          <t>office outreach touch 2</t>
        </is>
      </c>
    </row>
    <row r="2289">
      <c r="A2289" s="17">
        <f>IF(B2289="","",B2289+(13*1000+38)/10000000)</f>
        <v/>
      </c>
      <c r="B2289" s="23">
        <f>IF(AND(IFERROR(N(INDEX(Clay_Offices!$A$2:$FZ$601,38,Sync!$C$12)),0)&gt;0,IFERROR(INDEX(Clay_Offices!$A$2:$FZ$601,38,Sync!$C$5)&amp;"","")&lt;&gt;"",OR(LEFT(IFERROR(INDEX(Clay_Offices!$A$2:$FZ$601,38,Sync!$C$5)&amp;"",""),6)&lt;&gt;"SAMPLE",Config!$B$19="Y")),IFERROR(N(INDEX(Clay_Offices!$A$2:$FZ$601,38,Sync!$C$12)),0),"")</f>
        <v/>
      </c>
      <c r="C2289" s="17">
        <f>IF(B2289="","","office")</f>
        <v/>
      </c>
      <c r="D2289" s="17">
        <f>IF(B2289="","",IFERROR(INDEX(Clay_Offices!$A$2:$FZ$601,38,Sync!$C$5)&amp;"",""))</f>
        <v/>
      </c>
      <c r="E2289" s="17">
        <f>IF(B2289="","",IFERROR(INDEX(Clay_Offices!$A$2:$FZ$601,38,Sync!$C$6)&amp;"",""))</f>
        <v/>
      </c>
      <c r="F2289" s="17">
        <f>IF(B2289="","","outreach_sent")</f>
        <v/>
      </c>
      <c r="G2289" s="17">
        <f>IF(B2289="","","")</f>
        <v/>
      </c>
      <c r="H2289" s="17">
        <f>IF(B2289="","","")</f>
        <v/>
      </c>
      <c r="I2289" s="17">
        <f>IF(B2289="","","")</f>
        <v/>
      </c>
      <c r="J2289" s="17">
        <f>IF(B2289="","","touch_2; "&amp;IFERROR(INDEX(Clay_Offices!$A$2:$FZ$601,38,Sync!$C$10)&amp;"","")&amp;"; "&amp;IFERROR(INDEX(Clay_Offices!$A$2:$FZ$601,38,Sync!$C$9)&amp;"",""))</f>
        <v/>
      </c>
      <c r="K2289" t="inlineStr">
        <is>
          <t>office outreach touch 2</t>
        </is>
      </c>
    </row>
    <row r="2290">
      <c r="A2290" s="17">
        <f>IF(B2290="","",B2290+(13*1000+39)/10000000)</f>
        <v/>
      </c>
      <c r="B2290" s="23">
        <f>IF(AND(IFERROR(N(INDEX(Clay_Offices!$A$2:$FZ$601,39,Sync!$C$12)),0)&gt;0,IFERROR(INDEX(Clay_Offices!$A$2:$FZ$601,39,Sync!$C$5)&amp;"","")&lt;&gt;"",OR(LEFT(IFERROR(INDEX(Clay_Offices!$A$2:$FZ$601,39,Sync!$C$5)&amp;"",""),6)&lt;&gt;"SAMPLE",Config!$B$19="Y")),IFERROR(N(INDEX(Clay_Offices!$A$2:$FZ$601,39,Sync!$C$12)),0),"")</f>
        <v/>
      </c>
      <c r="C2290" s="17">
        <f>IF(B2290="","","office")</f>
        <v/>
      </c>
      <c r="D2290" s="17">
        <f>IF(B2290="","",IFERROR(INDEX(Clay_Offices!$A$2:$FZ$601,39,Sync!$C$5)&amp;"",""))</f>
        <v/>
      </c>
      <c r="E2290" s="17">
        <f>IF(B2290="","",IFERROR(INDEX(Clay_Offices!$A$2:$FZ$601,39,Sync!$C$6)&amp;"",""))</f>
        <v/>
      </c>
      <c r="F2290" s="17">
        <f>IF(B2290="","","outreach_sent")</f>
        <v/>
      </c>
      <c r="G2290" s="17">
        <f>IF(B2290="","","")</f>
        <v/>
      </c>
      <c r="H2290" s="17">
        <f>IF(B2290="","","")</f>
        <v/>
      </c>
      <c r="I2290" s="17">
        <f>IF(B2290="","","")</f>
        <v/>
      </c>
      <c r="J2290" s="17">
        <f>IF(B2290="","","touch_2; "&amp;IFERROR(INDEX(Clay_Offices!$A$2:$FZ$601,39,Sync!$C$10)&amp;"","")&amp;"; "&amp;IFERROR(INDEX(Clay_Offices!$A$2:$FZ$601,39,Sync!$C$9)&amp;"",""))</f>
        <v/>
      </c>
      <c r="K2290" t="inlineStr">
        <is>
          <t>office outreach touch 2</t>
        </is>
      </c>
    </row>
    <row r="2291">
      <c r="A2291" s="17">
        <f>IF(B2291="","",B2291+(13*1000+40)/10000000)</f>
        <v/>
      </c>
      <c r="B2291" s="23">
        <f>IF(AND(IFERROR(N(INDEX(Clay_Offices!$A$2:$FZ$601,40,Sync!$C$12)),0)&gt;0,IFERROR(INDEX(Clay_Offices!$A$2:$FZ$601,40,Sync!$C$5)&amp;"","")&lt;&gt;"",OR(LEFT(IFERROR(INDEX(Clay_Offices!$A$2:$FZ$601,40,Sync!$C$5)&amp;"",""),6)&lt;&gt;"SAMPLE",Config!$B$19="Y")),IFERROR(N(INDEX(Clay_Offices!$A$2:$FZ$601,40,Sync!$C$12)),0),"")</f>
        <v/>
      </c>
      <c r="C2291" s="17">
        <f>IF(B2291="","","office")</f>
        <v/>
      </c>
      <c r="D2291" s="17">
        <f>IF(B2291="","",IFERROR(INDEX(Clay_Offices!$A$2:$FZ$601,40,Sync!$C$5)&amp;"",""))</f>
        <v/>
      </c>
      <c r="E2291" s="17">
        <f>IF(B2291="","",IFERROR(INDEX(Clay_Offices!$A$2:$FZ$601,40,Sync!$C$6)&amp;"",""))</f>
        <v/>
      </c>
      <c r="F2291" s="17">
        <f>IF(B2291="","","outreach_sent")</f>
        <v/>
      </c>
      <c r="G2291" s="17">
        <f>IF(B2291="","","")</f>
        <v/>
      </c>
      <c r="H2291" s="17">
        <f>IF(B2291="","","")</f>
        <v/>
      </c>
      <c r="I2291" s="17">
        <f>IF(B2291="","","")</f>
        <v/>
      </c>
      <c r="J2291" s="17">
        <f>IF(B2291="","","touch_2; "&amp;IFERROR(INDEX(Clay_Offices!$A$2:$FZ$601,40,Sync!$C$10)&amp;"","")&amp;"; "&amp;IFERROR(INDEX(Clay_Offices!$A$2:$FZ$601,40,Sync!$C$9)&amp;"",""))</f>
        <v/>
      </c>
      <c r="K2291" t="inlineStr">
        <is>
          <t>office outreach touch 2</t>
        </is>
      </c>
    </row>
    <row r="2292">
      <c r="A2292" s="17">
        <f>IF(B2292="","",B2292+(13*1000+41)/10000000)</f>
        <v/>
      </c>
      <c r="B2292" s="23">
        <f>IF(AND(IFERROR(N(INDEX(Clay_Offices!$A$2:$FZ$601,41,Sync!$C$12)),0)&gt;0,IFERROR(INDEX(Clay_Offices!$A$2:$FZ$601,41,Sync!$C$5)&amp;"","")&lt;&gt;"",OR(LEFT(IFERROR(INDEX(Clay_Offices!$A$2:$FZ$601,41,Sync!$C$5)&amp;"",""),6)&lt;&gt;"SAMPLE",Config!$B$19="Y")),IFERROR(N(INDEX(Clay_Offices!$A$2:$FZ$601,41,Sync!$C$12)),0),"")</f>
        <v/>
      </c>
      <c r="C2292" s="17">
        <f>IF(B2292="","","office")</f>
        <v/>
      </c>
      <c r="D2292" s="17">
        <f>IF(B2292="","",IFERROR(INDEX(Clay_Offices!$A$2:$FZ$601,41,Sync!$C$5)&amp;"",""))</f>
        <v/>
      </c>
      <c r="E2292" s="17">
        <f>IF(B2292="","",IFERROR(INDEX(Clay_Offices!$A$2:$FZ$601,41,Sync!$C$6)&amp;"",""))</f>
        <v/>
      </c>
      <c r="F2292" s="17">
        <f>IF(B2292="","","outreach_sent")</f>
        <v/>
      </c>
      <c r="G2292" s="17">
        <f>IF(B2292="","","")</f>
        <v/>
      </c>
      <c r="H2292" s="17">
        <f>IF(B2292="","","")</f>
        <v/>
      </c>
      <c r="I2292" s="17">
        <f>IF(B2292="","","")</f>
        <v/>
      </c>
      <c r="J2292" s="17">
        <f>IF(B2292="","","touch_2; "&amp;IFERROR(INDEX(Clay_Offices!$A$2:$FZ$601,41,Sync!$C$10)&amp;"","")&amp;"; "&amp;IFERROR(INDEX(Clay_Offices!$A$2:$FZ$601,41,Sync!$C$9)&amp;"",""))</f>
        <v/>
      </c>
      <c r="K2292" t="inlineStr">
        <is>
          <t>office outreach touch 2</t>
        </is>
      </c>
    </row>
    <row r="2293">
      <c r="A2293" s="17">
        <f>IF(B2293="","",B2293+(13*1000+42)/10000000)</f>
        <v/>
      </c>
      <c r="B2293" s="23">
        <f>IF(AND(IFERROR(N(INDEX(Clay_Offices!$A$2:$FZ$601,42,Sync!$C$12)),0)&gt;0,IFERROR(INDEX(Clay_Offices!$A$2:$FZ$601,42,Sync!$C$5)&amp;"","")&lt;&gt;"",OR(LEFT(IFERROR(INDEX(Clay_Offices!$A$2:$FZ$601,42,Sync!$C$5)&amp;"",""),6)&lt;&gt;"SAMPLE",Config!$B$19="Y")),IFERROR(N(INDEX(Clay_Offices!$A$2:$FZ$601,42,Sync!$C$12)),0),"")</f>
        <v/>
      </c>
      <c r="C2293" s="17">
        <f>IF(B2293="","","office")</f>
        <v/>
      </c>
      <c r="D2293" s="17">
        <f>IF(B2293="","",IFERROR(INDEX(Clay_Offices!$A$2:$FZ$601,42,Sync!$C$5)&amp;"",""))</f>
        <v/>
      </c>
      <c r="E2293" s="17">
        <f>IF(B2293="","",IFERROR(INDEX(Clay_Offices!$A$2:$FZ$601,42,Sync!$C$6)&amp;"",""))</f>
        <v/>
      </c>
      <c r="F2293" s="17">
        <f>IF(B2293="","","outreach_sent")</f>
        <v/>
      </c>
      <c r="G2293" s="17">
        <f>IF(B2293="","","")</f>
        <v/>
      </c>
      <c r="H2293" s="17">
        <f>IF(B2293="","","")</f>
        <v/>
      </c>
      <c r="I2293" s="17">
        <f>IF(B2293="","","")</f>
        <v/>
      </c>
      <c r="J2293" s="17">
        <f>IF(B2293="","","touch_2; "&amp;IFERROR(INDEX(Clay_Offices!$A$2:$FZ$601,42,Sync!$C$10)&amp;"","")&amp;"; "&amp;IFERROR(INDEX(Clay_Offices!$A$2:$FZ$601,42,Sync!$C$9)&amp;"",""))</f>
        <v/>
      </c>
      <c r="K2293" t="inlineStr">
        <is>
          <t>office outreach touch 2</t>
        </is>
      </c>
    </row>
    <row r="2294">
      <c r="A2294" s="17">
        <f>IF(B2294="","",B2294+(13*1000+43)/10000000)</f>
        <v/>
      </c>
      <c r="B2294" s="23">
        <f>IF(AND(IFERROR(N(INDEX(Clay_Offices!$A$2:$FZ$601,43,Sync!$C$12)),0)&gt;0,IFERROR(INDEX(Clay_Offices!$A$2:$FZ$601,43,Sync!$C$5)&amp;"","")&lt;&gt;"",OR(LEFT(IFERROR(INDEX(Clay_Offices!$A$2:$FZ$601,43,Sync!$C$5)&amp;"",""),6)&lt;&gt;"SAMPLE",Config!$B$19="Y")),IFERROR(N(INDEX(Clay_Offices!$A$2:$FZ$601,43,Sync!$C$12)),0),"")</f>
        <v/>
      </c>
      <c r="C2294" s="17">
        <f>IF(B2294="","","office")</f>
        <v/>
      </c>
      <c r="D2294" s="17">
        <f>IF(B2294="","",IFERROR(INDEX(Clay_Offices!$A$2:$FZ$601,43,Sync!$C$5)&amp;"",""))</f>
        <v/>
      </c>
      <c r="E2294" s="17">
        <f>IF(B2294="","",IFERROR(INDEX(Clay_Offices!$A$2:$FZ$601,43,Sync!$C$6)&amp;"",""))</f>
        <v/>
      </c>
      <c r="F2294" s="17">
        <f>IF(B2294="","","outreach_sent")</f>
        <v/>
      </c>
      <c r="G2294" s="17">
        <f>IF(B2294="","","")</f>
        <v/>
      </c>
      <c r="H2294" s="17">
        <f>IF(B2294="","","")</f>
        <v/>
      </c>
      <c r="I2294" s="17">
        <f>IF(B2294="","","")</f>
        <v/>
      </c>
      <c r="J2294" s="17">
        <f>IF(B2294="","","touch_2; "&amp;IFERROR(INDEX(Clay_Offices!$A$2:$FZ$601,43,Sync!$C$10)&amp;"","")&amp;"; "&amp;IFERROR(INDEX(Clay_Offices!$A$2:$FZ$601,43,Sync!$C$9)&amp;"",""))</f>
        <v/>
      </c>
      <c r="K2294" t="inlineStr">
        <is>
          <t>office outreach touch 2</t>
        </is>
      </c>
    </row>
    <row r="2295">
      <c r="A2295" s="17">
        <f>IF(B2295="","",B2295+(13*1000+44)/10000000)</f>
        <v/>
      </c>
      <c r="B2295" s="23">
        <f>IF(AND(IFERROR(N(INDEX(Clay_Offices!$A$2:$FZ$601,44,Sync!$C$12)),0)&gt;0,IFERROR(INDEX(Clay_Offices!$A$2:$FZ$601,44,Sync!$C$5)&amp;"","")&lt;&gt;"",OR(LEFT(IFERROR(INDEX(Clay_Offices!$A$2:$FZ$601,44,Sync!$C$5)&amp;"",""),6)&lt;&gt;"SAMPLE",Config!$B$19="Y")),IFERROR(N(INDEX(Clay_Offices!$A$2:$FZ$601,44,Sync!$C$12)),0),"")</f>
        <v/>
      </c>
      <c r="C2295" s="17">
        <f>IF(B2295="","","office")</f>
        <v/>
      </c>
      <c r="D2295" s="17">
        <f>IF(B2295="","",IFERROR(INDEX(Clay_Offices!$A$2:$FZ$601,44,Sync!$C$5)&amp;"",""))</f>
        <v/>
      </c>
      <c r="E2295" s="17">
        <f>IF(B2295="","",IFERROR(INDEX(Clay_Offices!$A$2:$FZ$601,44,Sync!$C$6)&amp;"",""))</f>
        <v/>
      </c>
      <c r="F2295" s="17">
        <f>IF(B2295="","","outreach_sent")</f>
        <v/>
      </c>
      <c r="G2295" s="17">
        <f>IF(B2295="","","")</f>
        <v/>
      </c>
      <c r="H2295" s="17">
        <f>IF(B2295="","","")</f>
        <v/>
      </c>
      <c r="I2295" s="17">
        <f>IF(B2295="","","")</f>
        <v/>
      </c>
      <c r="J2295" s="17">
        <f>IF(B2295="","","touch_2; "&amp;IFERROR(INDEX(Clay_Offices!$A$2:$FZ$601,44,Sync!$C$10)&amp;"","")&amp;"; "&amp;IFERROR(INDEX(Clay_Offices!$A$2:$FZ$601,44,Sync!$C$9)&amp;"",""))</f>
        <v/>
      </c>
      <c r="K2295" t="inlineStr">
        <is>
          <t>office outreach touch 2</t>
        </is>
      </c>
    </row>
    <row r="2296">
      <c r="A2296" s="17">
        <f>IF(B2296="","",B2296+(13*1000+45)/10000000)</f>
        <v/>
      </c>
      <c r="B2296" s="23">
        <f>IF(AND(IFERROR(N(INDEX(Clay_Offices!$A$2:$FZ$601,45,Sync!$C$12)),0)&gt;0,IFERROR(INDEX(Clay_Offices!$A$2:$FZ$601,45,Sync!$C$5)&amp;"","")&lt;&gt;"",OR(LEFT(IFERROR(INDEX(Clay_Offices!$A$2:$FZ$601,45,Sync!$C$5)&amp;"",""),6)&lt;&gt;"SAMPLE",Config!$B$19="Y")),IFERROR(N(INDEX(Clay_Offices!$A$2:$FZ$601,45,Sync!$C$12)),0),"")</f>
        <v/>
      </c>
      <c r="C2296" s="17">
        <f>IF(B2296="","","office")</f>
        <v/>
      </c>
      <c r="D2296" s="17">
        <f>IF(B2296="","",IFERROR(INDEX(Clay_Offices!$A$2:$FZ$601,45,Sync!$C$5)&amp;"",""))</f>
        <v/>
      </c>
      <c r="E2296" s="17">
        <f>IF(B2296="","",IFERROR(INDEX(Clay_Offices!$A$2:$FZ$601,45,Sync!$C$6)&amp;"",""))</f>
        <v/>
      </c>
      <c r="F2296" s="17">
        <f>IF(B2296="","","outreach_sent")</f>
        <v/>
      </c>
      <c r="G2296" s="17">
        <f>IF(B2296="","","")</f>
        <v/>
      </c>
      <c r="H2296" s="17">
        <f>IF(B2296="","","")</f>
        <v/>
      </c>
      <c r="I2296" s="17">
        <f>IF(B2296="","","")</f>
        <v/>
      </c>
      <c r="J2296" s="17">
        <f>IF(B2296="","","touch_2; "&amp;IFERROR(INDEX(Clay_Offices!$A$2:$FZ$601,45,Sync!$C$10)&amp;"","")&amp;"; "&amp;IFERROR(INDEX(Clay_Offices!$A$2:$FZ$601,45,Sync!$C$9)&amp;"",""))</f>
        <v/>
      </c>
      <c r="K2296" t="inlineStr">
        <is>
          <t>office outreach touch 2</t>
        </is>
      </c>
    </row>
    <row r="2297">
      <c r="A2297" s="17">
        <f>IF(B2297="","",B2297+(13*1000+46)/10000000)</f>
        <v/>
      </c>
      <c r="B2297" s="23">
        <f>IF(AND(IFERROR(N(INDEX(Clay_Offices!$A$2:$FZ$601,46,Sync!$C$12)),0)&gt;0,IFERROR(INDEX(Clay_Offices!$A$2:$FZ$601,46,Sync!$C$5)&amp;"","")&lt;&gt;"",OR(LEFT(IFERROR(INDEX(Clay_Offices!$A$2:$FZ$601,46,Sync!$C$5)&amp;"",""),6)&lt;&gt;"SAMPLE",Config!$B$19="Y")),IFERROR(N(INDEX(Clay_Offices!$A$2:$FZ$601,46,Sync!$C$12)),0),"")</f>
        <v/>
      </c>
      <c r="C2297" s="17">
        <f>IF(B2297="","","office")</f>
        <v/>
      </c>
      <c r="D2297" s="17">
        <f>IF(B2297="","",IFERROR(INDEX(Clay_Offices!$A$2:$FZ$601,46,Sync!$C$5)&amp;"",""))</f>
        <v/>
      </c>
      <c r="E2297" s="17">
        <f>IF(B2297="","",IFERROR(INDEX(Clay_Offices!$A$2:$FZ$601,46,Sync!$C$6)&amp;"",""))</f>
        <v/>
      </c>
      <c r="F2297" s="17">
        <f>IF(B2297="","","outreach_sent")</f>
        <v/>
      </c>
      <c r="G2297" s="17">
        <f>IF(B2297="","","")</f>
        <v/>
      </c>
      <c r="H2297" s="17">
        <f>IF(B2297="","","")</f>
        <v/>
      </c>
      <c r="I2297" s="17">
        <f>IF(B2297="","","")</f>
        <v/>
      </c>
      <c r="J2297" s="17">
        <f>IF(B2297="","","touch_2; "&amp;IFERROR(INDEX(Clay_Offices!$A$2:$FZ$601,46,Sync!$C$10)&amp;"","")&amp;"; "&amp;IFERROR(INDEX(Clay_Offices!$A$2:$FZ$601,46,Sync!$C$9)&amp;"",""))</f>
        <v/>
      </c>
      <c r="K2297" t="inlineStr">
        <is>
          <t>office outreach touch 2</t>
        </is>
      </c>
    </row>
    <row r="2298">
      <c r="A2298" s="17">
        <f>IF(B2298="","",B2298+(13*1000+47)/10000000)</f>
        <v/>
      </c>
      <c r="B2298" s="23">
        <f>IF(AND(IFERROR(N(INDEX(Clay_Offices!$A$2:$FZ$601,47,Sync!$C$12)),0)&gt;0,IFERROR(INDEX(Clay_Offices!$A$2:$FZ$601,47,Sync!$C$5)&amp;"","")&lt;&gt;"",OR(LEFT(IFERROR(INDEX(Clay_Offices!$A$2:$FZ$601,47,Sync!$C$5)&amp;"",""),6)&lt;&gt;"SAMPLE",Config!$B$19="Y")),IFERROR(N(INDEX(Clay_Offices!$A$2:$FZ$601,47,Sync!$C$12)),0),"")</f>
        <v/>
      </c>
      <c r="C2298" s="17">
        <f>IF(B2298="","","office")</f>
        <v/>
      </c>
      <c r="D2298" s="17">
        <f>IF(B2298="","",IFERROR(INDEX(Clay_Offices!$A$2:$FZ$601,47,Sync!$C$5)&amp;"",""))</f>
        <v/>
      </c>
      <c r="E2298" s="17">
        <f>IF(B2298="","",IFERROR(INDEX(Clay_Offices!$A$2:$FZ$601,47,Sync!$C$6)&amp;"",""))</f>
        <v/>
      </c>
      <c r="F2298" s="17">
        <f>IF(B2298="","","outreach_sent")</f>
        <v/>
      </c>
      <c r="G2298" s="17">
        <f>IF(B2298="","","")</f>
        <v/>
      </c>
      <c r="H2298" s="17">
        <f>IF(B2298="","","")</f>
        <v/>
      </c>
      <c r="I2298" s="17">
        <f>IF(B2298="","","")</f>
        <v/>
      </c>
      <c r="J2298" s="17">
        <f>IF(B2298="","","touch_2; "&amp;IFERROR(INDEX(Clay_Offices!$A$2:$FZ$601,47,Sync!$C$10)&amp;"","")&amp;"; "&amp;IFERROR(INDEX(Clay_Offices!$A$2:$FZ$601,47,Sync!$C$9)&amp;"",""))</f>
        <v/>
      </c>
      <c r="K2298" t="inlineStr">
        <is>
          <t>office outreach touch 2</t>
        </is>
      </c>
    </row>
    <row r="2299">
      <c r="A2299" s="17">
        <f>IF(B2299="","",B2299+(13*1000+48)/10000000)</f>
        <v/>
      </c>
      <c r="B2299" s="23">
        <f>IF(AND(IFERROR(N(INDEX(Clay_Offices!$A$2:$FZ$601,48,Sync!$C$12)),0)&gt;0,IFERROR(INDEX(Clay_Offices!$A$2:$FZ$601,48,Sync!$C$5)&amp;"","")&lt;&gt;"",OR(LEFT(IFERROR(INDEX(Clay_Offices!$A$2:$FZ$601,48,Sync!$C$5)&amp;"",""),6)&lt;&gt;"SAMPLE",Config!$B$19="Y")),IFERROR(N(INDEX(Clay_Offices!$A$2:$FZ$601,48,Sync!$C$12)),0),"")</f>
        <v/>
      </c>
      <c r="C2299" s="17">
        <f>IF(B2299="","","office")</f>
        <v/>
      </c>
      <c r="D2299" s="17">
        <f>IF(B2299="","",IFERROR(INDEX(Clay_Offices!$A$2:$FZ$601,48,Sync!$C$5)&amp;"",""))</f>
        <v/>
      </c>
      <c r="E2299" s="17">
        <f>IF(B2299="","",IFERROR(INDEX(Clay_Offices!$A$2:$FZ$601,48,Sync!$C$6)&amp;"",""))</f>
        <v/>
      </c>
      <c r="F2299" s="17">
        <f>IF(B2299="","","outreach_sent")</f>
        <v/>
      </c>
      <c r="G2299" s="17">
        <f>IF(B2299="","","")</f>
        <v/>
      </c>
      <c r="H2299" s="17">
        <f>IF(B2299="","","")</f>
        <v/>
      </c>
      <c r="I2299" s="17">
        <f>IF(B2299="","","")</f>
        <v/>
      </c>
      <c r="J2299" s="17">
        <f>IF(B2299="","","touch_2; "&amp;IFERROR(INDEX(Clay_Offices!$A$2:$FZ$601,48,Sync!$C$10)&amp;"","")&amp;"; "&amp;IFERROR(INDEX(Clay_Offices!$A$2:$FZ$601,48,Sync!$C$9)&amp;"",""))</f>
        <v/>
      </c>
      <c r="K2299" t="inlineStr">
        <is>
          <t>office outreach touch 2</t>
        </is>
      </c>
    </row>
    <row r="2300">
      <c r="A2300" s="17">
        <f>IF(B2300="","",B2300+(13*1000+49)/10000000)</f>
        <v/>
      </c>
      <c r="B2300" s="23">
        <f>IF(AND(IFERROR(N(INDEX(Clay_Offices!$A$2:$FZ$601,49,Sync!$C$12)),0)&gt;0,IFERROR(INDEX(Clay_Offices!$A$2:$FZ$601,49,Sync!$C$5)&amp;"","")&lt;&gt;"",OR(LEFT(IFERROR(INDEX(Clay_Offices!$A$2:$FZ$601,49,Sync!$C$5)&amp;"",""),6)&lt;&gt;"SAMPLE",Config!$B$19="Y")),IFERROR(N(INDEX(Clay_Offices!$A$2:$FZ$601,49,Sync!$C$12)),0),"")</f>
        <v/>
      </c>
      <c r="C2300" s="17">
        <f>IF(B2300="","","office")</f>
        <v/>
      </c>
      <c r="D2300" s="17">
        <f>IF(B2300="","",IFERROR(INDEX(Clay_Offices!$A$2:$FZ$601,49,Sync!$C$5)&amp;"",""))</f>
        <v/>
      </c>
      <c r="E2300" s="17">
        <f>IF(B2300="","",IFERROR(INDEX(Clay_Offices!$A$2:$FZ$601,49,Sync!$C$6)&amp;"",""))</f>
        <v/>
      </c>
      <c r="F2300" s="17">
        <f>IF(B2300="","","outreach_sent")</f>
        <v/>
      </c>
      <c r="G2300" s="17">
        <f>IF(B2300="","","")</f>
        <v/>
      </c>
      <c r="H2300" s="17">
        <f>IF(B2300="","","")</f>
        <v/>
      </c>
      <c r="I2300" s="17">
        <f>IF(B2300="","","")</f>
        <v/>
      </c>
      <c r="J2300" s="17">
        <f>IF(B2300="","","touch_2; "&amp;IFERROR(INDEX(Clay_Offices!$A$2:$FZ$601,49,Sync!$C$10)&amp;"","")&amp;"; "&amp;IFERROR(INDEX(Clay_Offices!$A$2:$FZ$601,49,Sync!$C$9)&amp;"",""))</f>
        <v/>
      </c>
      <c r="K2300" t="inlineStr">
        <is>
          <t>office outreach touch 2</t>
        </is>
      </c>
    </row>
    <row r="2301">
      <c r="A2301" s="17">
        <f>IF(B2301="","",B2301+(13*1000+50)/10000000)</f>
        <v/>
      </c>
      <c r="B2301" s="23">
        <f>IF(AND(IFERROR(N(INDEX(Clay_Offices!$A$2:$FZ$601,50,Sync!$C$12)),0)&gt;0,IFERROR(INDEX(Clay_Offices!$A$2:$FZ$601,50,Sync!$C$5)&amp;"","")&lt;&gt;"",OR(LEFT(IFERROR(INDEX(Clay_Offices!$A$2:$FZ$601,50,Sync!$C$5)&amp;"",""),6)&lt;&gt;"SAMPLE",Config!$B$19="Y")),IFERROR(N(INDEX(Clay_Offices!$A$2:$FZ$601,50,Sync!$C$12)),0),"")</f>
        <v/>
      </c>
      <c r="C2301" s="17">
        <f>IF(B2301="","","office")</f>
        <v/>
      </c>
      <c r="D2301" s="17">
        <f>IF(B2301="","",IFERROR(INDEX(Clay_Offices!$A$2:$FZ$601,50,Sync!$C$5)&amp;"",""))</f>
        <v/>
      </c>
      <c r="E2301" s="17">
        <f>IF(B2301="","",IFERROR(INDEX(Clay_Offices!$A$2:$FZ$601,50,Sync!$C$6)&amp;"",""))</f>
        <v/>
      </c>
      <c r="F2301" s="17">
        <f>IF(B2301="","","outreach_sent")</f>
        <v/>
      </c>
      <c r="G2301" s="17">
        <f>IF(B2301="","","")</f>
        <v/>
      </c>
      <c r="H2301" s="17">
        <f>IF(B2301="","","")</f>
        <v/>
      </c>
      <c r="I2301" s="17">
        <f>IF(B2301="","","")</f>
        <v/>
      </c>
      <c r="J2301" s="17">
        <f>IF(B2301="","","touch_2; "&amp;IFERROR(INDEX(Clay_Offices!$A$2:$FZ$601,50,Sync!$C$10)&amp;"","")&amp;"; "&amp;IFERROR(INDEX(Clay_Offices!$A$2:$FZ$601,50,Sync!$C$9)&amp;"",""))</f>
        <v/>
      </c>
      <c r="K2301" t="inlineStr">
        <is>
          <t>office outreach touch 2</t>
        </is>
      </c>
    </row>
    <row r="2302">
      <c r="A2302" s="17">
        <f>IF(B2302="","",B2302+(13*1000+51)/10000000)</f>
        <v/>
      </c>
      <c r="B2302" s="23">
        <f>IF(AND(IFERROR(N(INDEX(Clay_Offices!$A$2:$FZ$601,51,Sync!$C$12)),0)&gt;0,IFERROR(INDEX(Clay_Offices!$A$2:$FZ$601,51,Sync!$C$5)&amp;"","")&lt;&gt;"",OR(LEFT(IFERROR(INDEX(Clay_Offices!$A$2:$FZ$601,51,Sync!$C$5)&amp;"",""),6)&lt;&gt;"SAMPLE",Config!$B$19="Y")),IFERROR(N(INDEX(Clay_Offices!$A$2:$FZ$601,51,Sync!$C$12)),0),"")</f>
        <v/>
      </c>
      <c r="C2302" s="17">
        <f>IF(B2302="","","office")</f>
        <v/>
      </c>
      <c r="D2302" s="17">
        <f>IF(B2302="","",IFERROR(INDEX(Clay_Offices!$A$2:$FZ$601,51,Sync!$C$5)&amp;"",""))</f>
        <v/>
      </c>
      <c r="E2302" s="17">
        <f>IF(B2302="","",IFERROR(INDEX(Clay_Offices!$A$2:$FZ$601,51,Sync!$C$6)&amp;"",""))</f>
        <v/>
      </c>
      <c r="F2302" s="17">
        <f>IF(B2302="","","outreach_sent")</f>
        <v/>
      </c>
      <c r="G2302" s="17">
        <f>IF(B2302="","","")</f>
        <v/>
      </c>
      <c r="H2302" s="17">
        <f>IF(B2302="","","")</f>
        <v/>
      </c>
      <c r="I2302" s="17">
        <f>IF(B2302="","","")</f>
        <v/>
      </c>
      <c r="J2302" s="17">
        <f>IF(B2302="","","touch_2; "&amp;IFERROR(INDEX(Clay_Offices!$A$2:$FZ$601,51,Sync!$C$10)&amp;"","")&amp;"; "&amp;IFERROR(INDEX(Clay_Offices!$A$2:$FZ$601,51,Sync!$C$9)&amp;"",""))</f>
        <v/>
      </c>
      <c r="K2302" t="inlineStr">
        <is>
          <t>office outreach touch 2</t>
        </is>
      </c>
    </row>
    <row r="2303">
      <c r="A2303" s="17">
        <f>IF(B2303="","",B2303+(13*1000+52)/10000000)</f>
        <v/>
      </c>
      <c r="B2303" s="23">
        <f>IF(AND(IFERROR(N(INDEX(Clay_Offices!$A$2:$FZ$601,52,Sync!$C$12)),0)&gt;0,IFERROR(INDEX(Clay_Offices!$A$2:$FZ$601,52,Sync!$C$5)&amp;"","")&lt;&gt;"",OR(LEFT(IFERROR(INDEX(Clay_Offices!$A$2:$FZ$601,52,Sync!$C$5)&amp;"",""),6)&lt;&gt;"SAMPLE",Config!$B$19="Y")),IFERROR(N(INDEX(Clay_Offices!$A$2:$FZ$601,52,Sync!$C$12)),0),"")</f>
        <v/>
      </c>
      <c r="C2303" s="17">
        <f>IF(B2303="","","office")</f>
        <v/>
      </c>
      <c r="D2303" s="17">
        <f>IF(B2303="","",IFERROR(INDEX(Clay_Offices!$A$2:$FZ$601,52,Sync!$C$5)&amp;"",""))</f>
        <v/>
      </c>
      <c r="E2303" s="17">
        <f>IF(B2303="","",IFERROR(INDEX(Clay_Offices!$A$2:$FZ$601,52,Sync!$C$6)&amp;"",""))</f>
        <v/>
      </c>
      <c r="F2303" s="17">
        <f>IF(B2303="","","outreach_sent")</f>
        <v/>
      </c>
      <c r="G2303" s="17">
        <f>IF(B2303="","","")</f>
        <v/>
      </c>
      <c r="H2303" s="17">
        <f>IF(B2303="","","")</f>
        <v/>
      </c>
      <c r="I2303" s="17">
        <f>IF(B2303="","","")</f>
        <v/>
      </c>
      <c r="J2303" s="17">
        <f>IF(B2303="","","touch_2; "&amp;IFERROR(INDEX(Clay_Offices!$A$2:$FZ$601,52,Sync!$C$10)&amp;"","")&amp;"; "&amp;IFERROR(INDEX(Clay_Offices!$A$2:$FZ$601,52,Sync!$C$9)&amp;"",""))</f>
        <v/>
      </c>
      <c r="K2303" t="inlineStr">
        <is>
          <t>office outreach touch 2</t>
        </is>
      </c>
    </row>
    <row r="2304">
      <c r="A2304" s="17">
        <f>IF(B2304="","",B2304+(13*1000+53)/10000000)</f>
        <v/>
      </c>
      <c r="B2304" s="23">
        <f>IF(AND(IFERROR(N(INDEX(Clay_Offices!$A$2:$FZ$601,53,Sync!$C$12)),0)&gt;0,IFERROR(INDEX(Clay_Offices!$A$2:$FZ$601,53,Sync!$C$5)&amp;"","")&lt;&gt;"",OR(LEFT(IFERROR(INDEX(Clay_Offices!$A$2:$FZ$601,53,Sync!$C$5)&amp;"",""),6)&lt;&gt;"SAMPLE",Config!$B$19="Y")),IFERROR(N(INDEX(Clay_Offices!$A$2:$FZ$601,53,Sync!$C$12)),0),"")</f>
        <v/>
      </c>
      <c r="C2304" s="17">
        <f>IF(B2304="","","office")</f>
        <v/>
      </c>
      <c r="D2304" s="17">
        <f>IF(B2304="","",IFERROR(INDEX(Clay_Offices!$A$2:$FZ$601,53,Sync!$C$5)&amp;"",""))</f>
        <v/>
      </c>
      <c r="E2304" s="17">
        <f>IF(B2304="","",IFERROR(INDEX(Clay_Offices!$A$2:$FZ$601,53,Sync!$C$6)&amp;"",""))</f>
        <v/>
      </c>
      <c r="F2304" s="17">
        <f>IF(B2304="","","outreach_sent")</f>
        <v/>
      </c>
      <c r="G2304" s="17">
        <f>IF(B2304="","","")</f>
        <v/>
      </c>
      <c r="H2304" s="17">
        <f>IF(B2304="","","")</f>
        <v/>
      </c>
      <c r="I2304" s="17">
        <f>IF(B2304="","","")</f>
        <v/>
      </c>
      <c r="J2304" s="17">
        <f>IF(B2304="","","touch_2; "&amp;IFERROR(INDEX(Clay_Offices!$A$2:$FZ$601,53,Sync!$C$10)&amp;"","")&amp;"; "&amp;IFERROR(INDEX(Clay_Offices!$A$2:$FZ$601,53,Sync!$C$9)&amp;"",""))</f>
        <v/>
      </c>
      <c r="K2304" t="inlineStr">
        <is>
          <t>office outreach touch 2</t>
        </is>
      </c>
    </row>
    <row r="2305">
      <c r="A2305" s="17">
        <f>IF(B2305="","",B2305+(13*1000+54)/10000000)</f>
        <v/>
      </c>
      <c r="B2305" s="23">
        <f>IF(AND(IFERROR(N(INDEX(Clay_Offices!$A$2:$FZ$601,54,Sync!$C$12)),0)&gt;0,IFERROR(INDEX(Clay_Offices!$A$2:$FZ$601,54,Sync!$C$5)&amp;"","")&lt;&gt;"",OR(LEFT(IFERROR(INDEX(Clay_Offices!$A$2:$FZ$601,54,Sync!$C$5)&amp;"",""),6)&lt;&gt;"SAMPLE",Config!$B$19="Y")),IFERROR(N(INDEX(Clay_Offices!$A$2:$FZ$601,54,Sync!$C$12)),0),"")</f>
        <v/>
      </c>
      <c r="C2305" s="17">
        <f>IF(B2305="","","office")</f>
        <v/>
      </c>
      <c r="D2305" s="17">
        <f>IF(B2305="","",IFERROR(INDEX(Clay_Offices!$A$2:$FZ$601,54,Sync!$C$5)&amp;"",""))</f>
        <v/>
      </c>
      <c r="E2305" s="17">
        <f>IF(B2305="","",IFERROR(INDEX(Clay_Offices!$A$2:$FZ$601,54,Sync!$C$6)&amp;"",""))</f>
        <v/>
      </c>
      <c r="F2305" s="17">
        <f>IF(B2305="","","outreach_sent")</f>
        <v/>
      </c>
      <c r="G2305" s="17">
        <f>IF(B2305="","","")</f>
        <v/>
      </c>
      <c r="H2305" s="17">
        <f>IF(B2305="","","")</f>
        <v/>
      </c>
      <c r="I2305" s="17">
        <f>IF(B2305="","","")</f>
        <v/>
      </c>
      <c r="J2305" s="17">
        <f>IF(B2305="","","touch_2; "&amp;IFERROR(INDEX(Clay_Offices!$A$2:$FZ$601,54,Sync!$C$10)&amp;"","")&amp;"; "&amp;IFERROR(INDEX(Clay_Offices!$A$2:$FZ$601,54,Sync!$C$9)&amp;"",""))</f>
        <v/>
      </c>
      <c r="K2305" t="inlineStr">
        <is>
          <t>office outreach touch 2</t>
        </is>
      </c>
    </row>
    <row r="2306">
      <c r="A2306" s="17">
        <f>IF(B2306="","",B2306+(13*1000+55)/10000000)</f>
        <v/>
      </c>
      <c r="B2306" s="23">
        <f>IF(AND(IFERROR(N(INDEX(Clay_Offices!$A$2:$FZ$601,55,Sync!$C$12)),0)&gt;0,IFERROR(INDEX(Clay_Offices!$A$2:$FZ$601,55,Sync!$C$5)&amp;"","")&lt;&gt;"",OR(LEFT(IFERROR(INDEX(Clay_Offices!$A$2:$FZ$601,55,Sync!$C$5)&amp;"",""),6)&lt;&gt;"SAMPLE",Config!$B$19="Y")),IFERROR(N(INDEX(Clay_Offices!$A$2:$FZ$601,55,Sync!$C$12)),0),"")</f>
        <v/>
      </c>
      <c r="C2306" s="17">
        <f>IF(B2306="","","office")</f>
        <v/>
      </c>
      <c r="D2306" s="17">
        <f>IF(B2306="","",IFERROR(INDEX(Clay_Offices!$A$2:$FZ$601,55,Sync!$C$5)&amp;"",""))</f>
        <v/>
      </c>
      <c r="E2306" s="17">
        <f>IF(B2306="","",IFERROR(INDEX(Clay_Offices!$A$2:$FZ$601,55,Sync!$C$6)&amp;"",""))</f>
        <v/>
      </c>
      <c r="F2306" s="17">
        <f>IF(B2306="","","outreach_sent")</f>
        <v/>
      </c>
      <c r="G2306" s="17">
        <f>IF(B2306="","","")</f>
        <v/>
      </c>
      <c r="H2306" s="17">
        <f>IF(B2306="","","")</f>
        <v/>
      </c>
      <c r="I2306" s="17">
        <f>IF(B2306="","","")</f>
        <v/>
      </c>
      <c r="J2306" s="17">
        <f>IF(B2306="","","touch_2; "&amp;IFERROR(INDEX(Clay_Offices!$A$2:$FZ$601,55,Sync!$C$10)&amp;"","")&amp;"; "&amp;IFERROR(INDEX(Clay_Offices!$A$2:$FZ$601,55,Sync!$C$9)&amp;"",""))</f>
        <v/>
      </c>
      <c r="K2306" t="inlineStr">
        <is>
          <t>office outreach touch 2</t>
        </is>
      </c>
    </row>
    <row r="2307">
      <c r="A2307" s="17">
        <f>IF(B2307="","",B2307+(13*1000+56)/10000000)</f>
        <v/>
      </c>
      <c r="B2307" s="23">
        <f>IF(AND(IFERROR(N(INDEX(Clay_Offices!$A$2:$FZ$601,56,Sync!$C$12)),0)&gt;0,IFERROR(INDEX(Clay_Offices!$A$2:$FZ$601,56,Sync!$C$5)&amp;"","")&lt;&gt;"",OR(LEFT(IFERROR(INDEX(Clay_Offices!$A$2:$FZ$601,56,Sync!$C$5)&amp;"",""),6)&lt;&gt;"SAMPLE",Config!$B$19="Y")),IFERROR(N(INDEX(Clay_Offices!$A$2:$FZ$601,56,Sync!$C$12)),0),"")</f>
        <v/>
      </c>
      <c r="C2307" s="17">
        <f>IF(B2307="","","office")</f>
        <v/>
      </c>
      <c r="D2307" s="17">
        <f>IF(B2307="","",IFERROR(INDEX(Clay_Offices!$A$2:$FZ$601,56,Sync!$C$5)&amp;"",""))</f>
        <v/>
      </c>
      <c r="E2307" s="17">
        <f>IF(B2307="","",IFERROR(INDEX(Clay_Offices!$A$2:$FZ$601,56,Sync!$C$6)&amp;"",""))</f>
        <v/>
      </c>
      <c r="F2307" s="17">
        <f>IF(B2307="","","outreach_sent")</f>
        <v/>
      </c>
      <c r="G2307" s="17">
        <f>IF(B2307="","","")</f>
        <v/>
      </c>
      <c r="H2307" s="17">
        <f>IF(B2307="","","")</f>
        <v/>
      </c>
      <c r="I2307" s="17">
        <f>IF(B2307="","","")</f>
        <v/>
      </c>
      <c r="J2307" s="17">
        <f>IF(B2307="","","touch_2; "&amp;IFERROR(INDEX(Clay_Offices!$A$2:$FZ$601,56,Sync!$C$10)&amp;"","")&amp;"; "&amp;IFERROR(INDEX(Clay_Offices!$A$2:$FZ$601,56,Sync!$C$9)&amp;"",""))</f>
        <v/>
      </c>
      <c r="K2307" t="inlineStr">
        <is>
          <t>office outreach touch 2</t>
        </is>
      </c>
    </row>
    <row r="2308">
      <c r="A2308" s="17">
        <f>IF(B2308="","",B2308+(13*1000+57)/10000000)</f>
        <v/>
      </c>
      <c r="B2308" s="23">
        <f>IF(AND(IFERROR(N(INDEX(Clay_Offices!$A$2:$FZ$601,57,Sync!$C$12)),0)&gt;0,IFERROR(INDEX(Clay_Offices!$A$2:$FZ$601,57,Sync!$C$5)&amp;"","")&lt;&gt;"",OR(LEFT(IFERROR(INDEX(Clay_Offices!$A$2:$FZ$601,57,Sync!$C$5)&amp;"",""),6)&lt;&gt;"SAMPLE",Config!$B$19="Y")),IFERROR(N(INDEX(Clay_Offices!$A$2:$FZ$601,57,Sync!$C$12)),0),"")</f>
        <v/>
      </c>
      <c r="C2308" s="17">
        <f>IF(B2308="","","office")</f>
        <v/>
      </c>
      <c r="D2308" s="17">
        <f>IF(B2308="","",IFERROR(INDEX(Clay_Offices!$A$2:$FZ$601,57,Sync!$C$5)&amp;"",""))</f>
        <v/>
      </c>
      <c r="E2308" s="17">
        <f>IF(B2308="","",IFERROR(INDEX(Clay_Offices!$A$2:$FZ$601,57,Sync!$C$6)&amp;"",""))</f>
        <v/>
      </c>
      <c r="F2308" s="17">
        <f>IF(B2308="","","outreach_sent")</f>
        <v/>
      </c>
      <c r="G2308" s="17">
        <f>IF(B2308="","","")</f>
        <v/>
      </c>
      <c r="H2308" s="17">
        <f>IF(B2308="","","")</f>
        <v/>
      </c>
      <c r="I2308" s="17">
        <f>IF(B2308="","","")</f>
        <v/>
      </c>
      <c r="J2308" s="17">
        <f>IF(B2308="","","touch_2; "&amp;IFERROR(INDEX(Clay_Offices!$A$2:$FZ$601,57,Sync!$C$10)&amp;"","")&amp;"; "&amp;IFERROR(INDEX(Clay_Offices!$A$2:$FZ$601,57,Sync!$C$9)&amp;"",""))</f>
        <v/>
      </c>
      <c r="K2308" t="inlineStr">
        <is>
          <t>office outreach touch 2</t>
        </is>
      </c>
    </row>
    <row r="2309">
      <c r="A2309" s="17">
        <f>IF(B2309="","",B2309+(13*1000+58)/10000000)</f>
        <v/>
      </c>
      <c r="B2309" s="23">
        <f>IF(AND(IFERROR(N(INDEX(Clay_Offices!$A$2:$FZ$601,58,Sync!$C$12)),0)&gt;0,IFERROR(INDEX(Clay_Offices!$A$2:$FZ$601,58,Sync!$C$5)&amp;"","")&lt;&gt;"",OR(LEFT(IFERROR(INDEX(Clay_Offices!$A$2:$FZ$601,58,Sync!$C$5)&amp;"",""),6)&lt;&gt;"SAMPLE",Config!$B$19="Y")),IFERROR(N(INDEX(Clay_Offices!$A$2:$FZ$601,58,Sync!$C$12)),0),"")</f>
        <v/>
      </c>
      <c r="C2309" s="17">
        <f>IF(B2309="","","office")</f>
        <v/>
      </c>
      <c r="D2309" s="17">
        <f>IF(B2309="","",IFERROR(INDEX(Clay_Offices!$A$2:$FZ$601,58,Sync!$C$5)&amp;"",""))</f>
        <v/>
      </c>
      <c r="E2309" s="17">
        <f>IF(B2309="","",IFERROR(INDEX(Clay_Offices!$A$2:$FZ$601,58,Sync!$C$6)&amp;"",""))</f>
        <v/>
      </c>
      <c r="F2309" s="17">
        <f>IF(B2309="","","outreach_sent")</f>
        <v/>
      </c>
      <c r="G2309" s="17">
        <f>IF(B2309="","","")</f>
        <v/>
      </c>
      <c r="H2309" s="17">
        <f>IF(B2309="","","")</f>
        <v/>
      </c>
      <c r="I2309" s="17">
        <f>IF(B2309="","","")</f>
        <v/>
      </c>
      <c r="J2309" s="17">
        <f>IF(B2309="","","touch_2; "&amp;IFERROR(INDEX(Clay_Offices!$A$2:$FZ$601,58,Sync!$C$10)&amp;"","")&amp;"; "&amp;IFERROR(INDEX(Clay_Offices!$A$2:$FZ$601,58,Sync!$C$9)&amp;"",""))</f>
        <v/>
      </c>
      <c r="K2309" t="inlineStr">
        <is>
          <t>office outreach touch 2</t>
        </is>
      </c>
    </row>
    <row r="2310">
      <c r="A2310" s="17">
        <f>IF(B2310="","",B2310+(13*1000+59)/10000000)</f>
        <v/>
      </c>
      <c r="B2310" s="23">
        <f>IF(AND(IFERROR(N(INDEX(Clay_Offices!$A$2:$FZ$601,59,Sync!$C$12)),0)&gt;0,IFERROR(INDEX(Clay_Offices!$A$2:$FZ$601,59,Sync!$C$5)&amp;"","")&lt;&gt;"",OR(LEFT(IFERROR(INDEX(Clay_Offices!$A$2:$FZ$601,59,Sync!$C$5)&amp;"",""),6)&lt;&gt;"SAMPLE",Config!$B$19="Y")),IFERROR(N(INDEX(Clay_Offices!$A$2:$FZ$601,59,Sync!$C$12)),0),"")</f>
        <v/>
      </c>
      <c r="C2310" s="17">
        <f>IF(B2310="","","office")</f>
        <v/>
      </c>
      <c r="D2310" s="17">
        <f>IF(B2310="","",IFERROR(INDEX(Clay_Offices!$A$2:$FZ$601,59,Sync!$C$5)&amp;"",""))</f>
        <v/>
      </c>
      <c r="E2310" s="17">
        <f>IF(B2310="","",IFERROR(INDEX(Clay_Offices!$A$2:$FZ$601,59,Sync!$C$6)&amp;"",""))</f>
        <v/>
      </c>
      <c r="F2310" s="17">
        <f>IF(B2310="","","outreach_sent")</f>
        <v/>
      </c>
      <c r="G2310" s="17">
        <f>IF(B2310="","","")</f>
        <v/>
      </c>
      <c r="H2310" s="17">
        <f>IF(B2310="","","")</f>
        <v/>
      </c>
      <c r="I2310" s="17">
        <f>IF(B2310="","","")</f>
        <v/>
      </c>
      <c r="J2310" s="17">
        <f>IF(B2310="","","touch_2; "&amp;IFERROR(INDEX(Clay_Offices!$A$2:$FZ$601,59,Sync!$C$10)&amp;"","")&amp;"; "&amp;IFERROR(INDEX(Clay_Offices!$A$2:$FZ$601,59,Sync!$C$9)&amp;"",""))</f>
        <v/>
      </c>
      <c r="K2310" t="inlineStr">
        <is>
          <t>office outreach touch 2</t>
        </is>
      </c>
    </row>
    <row r="2311">
      <c r="A2311" s="17">
        <f>IF(B2311="","",B2311+(13*1000+60)/10000000)</f>
        <v/>
      </c>
      <c r="B2311" s="23">
        <f>IF(AND(IFERROR(N(INDEX(Clay_Offices!$A$2:$FZ$601,60,Sync!$C$12)),0)&gt;0,IFERROR(INDEX(Clay_Offices!$A$2:$FZ$601,60,Sync!$C$5)&amp;"","")&lt;&gt;"",OR(LEFT(IFERROR(INDEX(Clay_Offices!$A$2:$FZ$601,60,Sync!$C$5)&amp;"",""),6)&lt;&gt;"SAMPLE",Config!$B$19="Y")),IFERROR(N(INDEX(Clay_Offices!$A$2:$FZ$601,60,Sync!$C$12)),0),"")</f>
        <v/>
      </c>
      <c r="C2311" s="17">
        <f>IF(B2311="","","office")</f>
        <v/>
      </c>
      <c r="D2311" s="17">
        <f>IF(B2311="","",IFERROR(INDEX(Clay_Offices!$A$2:$FZ$601,60,Sync!$C$5)&amp;"",""))</f>
        <v/>
      </c>
      <c r="E2311" s="17">
        <f>IF(B2311="","",IFERROR(INDEX(Clay_Offices!$A$2:$FZ$601,60,Sync!$C$6)&amp;"",""))</f>
        <v/>
      </c>
      <c r="F2311" s="17">
        <f>IF(B2311="","","outreach_sent")</f>
        <v/>
      </c>
      <c r="G2311" s="17">
        <f>IF(B2311="","","")</f>
        <v/>
      </c>
      <c r="H2311" s="17">
        <f>IF(B2311="","","")</f>
        <v/>
      </c>
      <c r="I2311" s="17">
        <f>IF(B2311="","","")</f>
        <v/>
      </c>
      <c r="J2311" s="17">
        <f>IF(B2311="","","touch_2; "&amp;IFERROR(INDEX(Clay_Offices!$A$2:$FZ$601,60,Sync!$C$10)&amp;"","")&amp;"; "&amp;IFERROR(INDEX(Clay_Offices!$A$2:$FZ$601,60,Sync!$C$9)&amp;"",""))</f>
        <v/>
      </c>
      <c r="K2311" t="inlineStr">
        <is>
          <t>office outreach touch 2</t>
        </is>
      </c>
    </row>
    <row r="2312">
      <c r="A2312" s="17">
        <f>IF(B2312="","",B2312+(13*1000+61)/10000000)</f>
        <v/>
      </c>
      <c r="B2312" s="23">
        <f>IF(AND(IFERROR(N(INDEX(Clay_Offices!$A$2:$FZ$601,61,Sync!$C$12)),0)&gt;0,IFERROR(INDEX(Clay_Offices!$A$2:$FZ$601,61,Sync!$C$5)&amp;"","")&lt;&gt;"",OR(LEFT(IFERROR(INDEX(Clay_Offices!$A$2:$FZ$601,61,Sync!$C$5)&amp;"",""),6)&lt;&gt;"SAMPLE",Config!$B$19="Y")),IFERROR(N(INDEX(Clay_Offices!$A$2:$FZ$601,61,Sync!$C$12)),0),"")</f>
        <v/>
      </c>
      <c r="C2312" s="17">
        <f>IF(B2312="","","office")</f>
        <v/>
      </c>
      <c r="D2312" s="17">
        <f>IF(B2312="","",IFERROR(INDEX(Clay_Offices!$A$2:$FZ$601,61,Sync!$C$5)&amp;"",""))</f>
        <v/>
      </c>
      <c r="E2312" s="17">
        <f>IF(B2312="","",IFERROR(INDEX(Clay_Offices!$A$2:$FZ$601,61,Sync!$C$6)&amp;"",""))</f>
        <v/>
      </c>
      <c r="F2312" s="17">
        <f>IF(B2312="","","outreach_sent")</f>
        <v/>
      </c>
      <c r="G2312" s="17">
        <f>IF(B2312="","","")</f>
        <v/>
      </c>
      <c r="H2312" s="17">
        <f>IF(B2312="","","")</f>
        <v/>
      </c>
      <c r="I2312" s="17">
        <f>IF(B2312="","","")</f>
        <v/>
      </c>
      <c r="J2312" s="17">
        <f>IF(B2312="","","touch_2; "&amp;IFERROR(INDEX(Clay_Offices!$A$2:$FZ$601,61,Sync!$C$10)&amp;"","")&amp;"; "&amp;IFERROR(INDEX(Clay_Offices!$A$2:$FZ$601,61,Sync!$C$9)&amp;"",""))</f>
        <v/>
      </c>
      <c r="K2312" t="inlineStr">
        <is>
          <t>office outreach touch 2</t>
        </is>
      </c>
    </row>
    <row r="2313">
      <c r="A2313" s="17">
        <f>IF(B2313="","",B2313+(13*1000+62)/10000000)</f>
        <v/>
      </c>
      <c r="B2313" s="23">
        <f>IF(AND(IFERROR(N(INDEX(Clay_Offices!$A$2:$FZ$601,62,Sync!$C$12)),0)&gt;0,IFERROR(INDEX(Clay_Offices!$A$2:$FZ$601,62,Sync!$C$5)&amp;"","")&lt;&gt;"",OR(LEFT(IFERROR(INDEX(Clay_Offices!$A$2:$FZ$601,62,Sync!$C$5)&amp;"",""),6)&lt;&gt;"SAMPLE",Config!$B$19="Y")),IFERROR(N(INDEX(Clay_Offices!$A$2:$FZ$601,62,Sync!$C$12)),0),"")</f>
        <v/>
      </c>
      <c r="C2313" s="17">
        <f>IF(B2313="","","office")</f>
        <v/>
      </c>
      <c r="D2313" s="17">
        <f>IF(B2313="","",IFERROR(INDEX(Clay_Offices!$A$2:$FZ$601,62,Sync!$C$5)&amp;"",""))</f>
        <v/>
      </c>
      <c r="E2313" s="17">
        <f>IF(B2313="","",IFERROR(INDEX(Clay_Offices!$A$2:$FZ$601,62,Sync!$C$6)&amp;"",""))</f>
        <v/>
      </c>
      <c r="F2313" s="17">
        <f>IF(B2313="","","outreach_sent")</f>
        <v/>
      </c>
      <c r="G2313" s="17">
        <f>IF(B2313="","","")</f>
        <v/>
      </c>
      <c r="H2313" s="17">
        <f>IF(B2313="","","")</f>
        <v/>
      </c>
      <c r="I2313" s="17">
        <f>IF(B2313="","","")</f>
        <v/>
      </c>
      <c r="J2313" s="17">
        <f>IF(B2313="","","touch_2; "&amp;IFERROR(INDEX(Clay_Offices!$A$2:$FZ$601,62,Sync!$C$10)&amp;"","")&amp;"; "&amp;IFERROR(INDEX(Clay_Offices!$A$2:$FZ$601,62,Sync!$C$9)&amp;"",""))</f>
        <v/>
      </c>
      <c r="K2313" t="inlineStr">
        <is>
          <t>office outreach touch 2</t>
        </is>
      </c>
    </row>
    <row r="2314">
      <c r="A2314" s="17">
        <f>IF(B2314="","",B2314+(13*1000+63)/10000000)</f>
        <v/>
      </c>
      <c r="B2314" s="23">
        <f>IF(AND(IFERROR(N(INDEX(Clay_Offices!$A$2:$FZ$601,63,Sync!$C$12)),0)&gt;0,IFERROR(INDEX(Clay_Offices!$A$2:$FZ$601,63,Sync!$C$5)&amp;"","")&lt;&gt;"",OR(LEFT(IFERROR(INDEX(Clay_Offices!$A$2:$FZ$601,63,Sync!$C$5)&amp;"",""),6)&lt;&gt;"SAMPLE",Config!$B$19="Y")),IFERROR(N(INDEX(Clay_Offices!$A$2:$FZ$601,63,Sync!$C$12)),0),"")</f>
        <v/>
      </c>
      <c r="C2314" s="17">
        <f>IF(B2314="","","office")</f>
        <v/>
      </c>
      <c r="D2314" s="17">
        <f>IF(B2314="","",IFERROR(INDEX(Clay_Offices!$A$2:$FZ$601,63,Sync!$C$5)&amp;"",""))</f>
        <v/>
      </c>
      <c r="E2314" s="17">
        <f>IF(B2314="","",IFERROR(INDEX(Clay_Offices!$A$2:$FZ$601,63,Sync!$C$6)&amp;"",""))</f>
        <v/>
      </c>
      <c r="F2314" s="17">
        <f>IF(B2314="","","outreach_sent")</f>
        <v/>
      </c>
      <c r="G2314" s="17">
        <f>IF(B2314="","","")</f>
        <v/>
      </c>
      <c r="H2314" s="17">
        <f>IF(B2314="","","")</f>
        <v/>
      </c>
      <c r="I2314" s="17">
        <f>IF(B2314="","","")</f>
        <v/>
      </c>
      <c r="J2314" s="17">
        <f>IF(B2314="","","touch_2; "&amp;IFERROR(INDEX(Clay_Offices!$A$2:$FZ$601,63,Sync!$C$10)&amp;"","")&amp;"; "&amp;IFERROR(INDEX(Clay_Offices!$A$2:$FZ$601,63,Sync!$C$9)&amp;"",""))</f>
        <v/>
      </c>
      <c r="K2314" t="inlineStr">
        <is>
          <t>office outreach touch 2</t>
        </is>
      </c>
    </row>
    <row r="2315">
      <c r="A2315" s="17">
        <f>IF(B2315="","",B2315+(13*1000+64)/10000000)</f>
        <v/>
      </c>
      <c r="B2315" s="23">
        <f>IF(AND(IFERROR(N(INDEX(Clay_Offices!$A$2:$FZ$601,64,Sync!$C$12)),0)&gt;0,IFERROR(INDEX(Clay_Offices!$A$2:$FZ$601,64,Sync!$C$5)&amp;"","")&lt;&gt;"",OR(LEFT(IFERROR(INDEX(Clay_Offices!$A$2:$FZ$601,64,Sync!$C$5)&amp;"",""),6)&lt;&gt;"SAMPLE",Config!$B$19="Y")),IFERROR(N(INDEX(Clay_Offices!$A$2:$FZ$601,64,Sync!$C$12)),0),"")</f>
        <v/>
      </c>
      <c r="C2315" s="17">
        <f>IF(B2315="","","office")</f>
        <v/>
      </c>
      <c r="D2315" s="17">
        <f>IF(B2315="","",IFERROR(INDEX(Clay_Offices!$A$2:$FZ$601,64,Sync!$C$5)&amp;"",""))</f>
        <v/>
      </c>
      <c r="E2315" s="17">
        <f>IF(B2315="","",IFERROR(INDEX(Clay_Offices!$A$2:$FZ$601,64,Sync!$C$6)&amp;"",""))</f>
        <v/>
      </c>
      <c r="F2315" s="17">
        <f>IF(B2315="","","outreach_sent")</f>
        <v/>
      </c>
      <c r="G2315" s="17">
        <f>IF(B2315="","","")</f>
        <v/>
      </c>
      <c r="H2315" s="17">
        <f>IF(B2315="","","")</f>
        <v/>
      </c>
      <c r="I2315" s="17">
        <f>IF(B2315="","","")</f>
        <v/>
      </c>
      <c r="J2315" s="17">
        <f>IF(B2315="","","touch_2; "&amp;IFERROR(INDEX(Clay_Offices!$A$2:$FZ$601,64,Sync!$C$10)&amp;"","")&amp;"; "&amp;IFERROR(INDEX(Clay_Offices!$A$2:$FZ$601,64,Sync!$C$9)&amp;"",""))</f>
        <v/>
      </c>
      <c r="K2315" t="inlineStr">
        <is>
          <t>office outreach touch 2</t>
        </is>
      </c>
    </row>
    <row r="2316">
      <c r="A2316" s="17">
        <f>IF(B2316="","",B2316+(13*1000+65)/10000000)</f>
        <v/>
      </c>
      <c r="B2316" s="23">
        <f>IF(AND(IFERROR(N(INDEX(Clay_Offices!$A$2:$FZ$601,65,Sync!$C$12)),0)&gt;0,IFERROR(INDEX(Clay_Offices!$A$2:$FZ$601,65,Sync!$C$5)&amp;"","")&lt;&gt;"",OR(LEFT(IFERROR(INDEX(Clay_Offices!$A$2:$FZ$601,65,Sync!$C$5)&amp;"",""),6)&lt;&gt;"SAMPLE",Config!$B$19="Y")),IFERROR(N(INDEX(Clay_Offices!$A$2:$FZ$601,65,Sync!$C$12)),0),"")</f>
        <v/>
      </c>
      <c r="C2316" s="17">
        <f>IF(B2316="","","office")</f>
        <v/>
      </c>
      <c r="D2316" s="17">
        <f>IF(B2316="","",IFERROR(INDEX(Clay_Offices!$A$2:$FZ$601,65,Sync!$C$5)&amp;"",""))</f>
        <v/>
      </c>
      <c r="E2316" s="17">
        <f>IF(B2316="","",IFERROR(INDEX(Clay_Offices!$A$2:$FZ$601,65,Sync!$C$6)&amp;"",""))</f>
        <v/>
      </c>
      <c r="F2316" s="17">
        <f>IF(B2316="","","outreach_sent")</f>
        <v/>
      </c>
      <c r="G2316" s="17">
        <f>IF(B2316="","","")</f>
        <v/>
      </c>
      <c r="H2316" s="17">
        <f>IF(B2316="","","")</f>
        <v/>
      </c>
      <c r="I2316" s="17">
        <f>IF(B2316="","","")</f>
        <v/>
      </c>
      <c r="J2316" s="17">
        <f>IF(B2316="","","touch_2; "&amp;IFERROR(INDEX(Clay_Offices!$A$2:$FZ$601,65,Sync!$C$10)&amp;"","")&amp;"; "&amp;IFERROR(INDEX(Clay_Offices!$A$2:$FZ$601,65,Sync!$C$9)&amp;"",""))</f>
        <v/>
      </c>
      <c r="K2316" t="inlineStr">
        <is>
          <t>office outreach touch 2</t>
        </is>
      </c>
    </row>
    <row r="2317">
      <c r="A2317" s="17">
        <f>IF(B2317="","",B2317+(13*1000+66)/10000000)</f>
        <v/>
      </c>
      <c r="B2317" s="23">
        <f>IF(AND(IFERROR(N(INDEX(Clay_Offices!$A$2:$FZ$601,66,Sync!$C$12)),0)&gt;0,IFERROR(INDEX(Clay_Offices!$A$2:$FZ$601,66,Sync!$C$5)&amp;"","")&lt;&gt;"",OR(LEFT(IFERROR(INDEX(Clay_Offices!$A$2:$FZ$601,66,Sync!$C$5)&amp;"",""),6)&lt;&gt;"SAMPLE",Config!$B$19="Y")),IFERROR(N(INDEX(Clay_Offices!$A$2:$FZ$601,66,Sync!$C$12)),0),"")</f>
        <v/>
      </c>
      <c r="C2317" s="17">
        <f>IF(B2317="","","office")</f>
        <v/>
      </c>
      <c r="D2317" s="17">
        <f>IF(B2317="","",IFERROR(INDEX(Clay_Offices!$A$2:$FZ$601,66,Sync!$C$5)&amp;"",""))</f>
        <v/>
      </c>
      <c r="E2317" s="17">
        <f>IF(B2317="","",IFERROR(INDEX(Clay_Offices!$A$2:$FZ$601,66,Sync!$C$6)&amp;"",""))</f>
        <v/>
      </c>
      <c r="F2317" s="17">
        <f>IF(B2317="","","outreach_sent")</f>
        <v/>
      </c>
      <c r="G2317" s="17">
        <f>IF(B2317="","","")</f>
        <v/>
      </c>
      <c r="H2317" s="17">
        <f>IF(B2317="","","")</f>
        <v/>
      </c>
      <c r="I2317" s="17">
        <f>IF(B2317="","","")</f>
        <v/>
      </c>
      <c r="J2317" s="17">
        <f>IF(B2317="","","touch_2; "&amp;IFERROR(INDEX(Clay_Offices!$A$2:$FZ$601,66,Sync!$C$10)&amp;"","")&amp;"; "&amp;IFERROR(INDEX(Clay_Offices!$A$2:$FZ$601,66,Sync!$C$9)&amp;"",""))</f>
        <v/>
      </c>
      <c r="K2317" t="inlineStr">
        <is>
          <t>office outreach touch 2</t>
        </is>
      </c>
    </row>
    <row r="2318">
      <c r="A2318" s="17">
        <f>IF(B2318="","",B2318+(13*1000+67)/10000000)</f>
        <v/>
      </c>
      <c r="B2318" s="23">
        <f>IF(AND(IFERROR(N(INDEX(Clay_Offices!$A$2:$FZ$601,67,Sync!$C$12)),0)&gt;0,IFERROR(INDEX(Clay_Offices!$A$2:$FZ$601,67,Sync!$C$5)&amp;"","")&lt;&gt;"",OR(LEFT(IFERROR(INDEX(Clay_Offices!$A$2:$FZ$601,67,Sync!$C$5)&amp;"",""),6)&lt;&gt;"SAMPLE",Config!$B$19="Y")),IFERROR(N(INDEX(Clay_Offices!$A$2:$FZ$601,67,Sync!$C$12)),0),"")</f>
        <v/>
      </c>
      <c r="C2318" s="17">
        <f>IF(B2318="","","office")</f>
        <v/>
      </c>
      <c r="D2318" s="17">
        <f>IF(B2318="","",IFERROR(INDEX(Clay_Offices!$A$2:$FZ$601,67,Sync!$C$5)&amp;"",""))</f>
        <v/>
      </c>
      <c r="E2318" s="17">
        <f>IF(B2318="","",IFERROR(INDEX(Clay_Offices!$A$2:$FZ$601,67,Sync!$C$6)&amp;"",""))</f>
        <v/>
      </c>
      <c r="F2318" s="17">
        <f>IF(B2318="","","outreach_sent")</f>
        <v/>
      </c>
      <c r="G2318" s="17">
        <f>IF(B2318="","","")</f>
        <v/>
      </c>
      <c r="H2318" s="17">
        <f>IF(B2318="","","")</f>
        <v/>
      </c>
      <c r="I2318" s="17">
        <f>IF(B2318="","","")</f>
        <v/>
      </c>
      <c r="J2318" s="17">
        <f>IF(B2318="","","touch_2; "&amp;IFERROR(INDEX(Clay_Offices!$A$2:$FZ$601,67,Sync!$C$10)&amp;"","")&amp;"; "&amp;IFERROR(INDEX(Clay_Offices!$A$2:$FZ$601,67,Sync!$C$9)&amp;"",""))</f>
        <v/>
      </c>
      <c r="K2318" t="inlineStr">
        <is>
          <t>office outreach touch 2</t>
        </is>
      </c>
    </row>
    <row r="2319">
      <c r="A2319" s="17">
        <f>IF(B2319="","",B2319+(13*1000+68)/10000000)</f>
        <v/>
      </c>
      <c r="B2319" s="23">
        <f>IF(AND(IFERROR(N(INDEX(Clay_Offices!$A$2:$FZ$601,68,Sync!$C$12)),0)&gt;0,IFERROR(INDEX(Clay_Offices!$A$2:$FZ$601,68,Sync!$C$5)&amp;"","")&lt;&gt;"",OR(LEFT(IFERROR(INDEX(Clay_Offices!$A$2:$FZ$601,68,Sync!$C$5)&amp;"",""),6)&lt;&gt;"SAMPLE",Config!$B$19="Y")),IFERROR(N(INDEX(Clay_Offices!$A$2:$FZ$601,68,Sync!$C$12)),0),"")</f>
        <v/>
      </c>
      <c r="C2319" s="17">
        <f>IF(B2319="","","office")</f>
        <v/>
      </c>
      <c r="D2319" s="17">
        <f>IF(B2319="","",IFERROR(INDEX(Clay_Offices!$A$2:$FZ$601,68,Sync!$C$5)&amp;"",""))</f>
        <v/>
      </c>
      <c r="E2319" s="17">
        <f>IF(B2319="","",IFERROR(INDEX(Clay_Offices!$A$2:$FZ$601,68,Sync!$C$6)&amp;"",""))</f>
        <v/>
      </c>
      <c r="F2319" s="17">
        <f>IF(B2319="","","outreach_sent")</f>
        <v/>
      </c>
      <c r="G2319" s="17">
        <f>IF(B2319="","","")</f>
        <v/>
      </c>
      <c r="H2319" s="17">
        <f>IF(B2319="","","")</f>
        <v/>
      </c>
      <c r="I2319" s="17">
        <f>IF(B2319="","","")</f>
        <v/>
      </c>
      <c r="J2319" s="17">
        <f>IF(B2319="","","touch_2; "&amp;IFERROR(INDEX(Clay_Offices!$A$2:$FZ$601,68,Sync!$C$10)&amp;"","")&amp;"; "&amp;IFERROR(INDEX(Clay_Offices!$A$2:$FZ$601,68,Sync!$C$9)&amp;"",""))</f>
        <v/>
      </c>
      <c r="K2319" t="inlineStr">
        <is>
          <t>office outreach touch 2</t>
        </is>
      </c>
    </row>
    <row r="2320">
      <c r="A2320" s="17">
        <f>IF(B2320="","",B2320+(13*1000+69)/10000000)</f>
        <v/>
      </c>
      <c r="B2320" s="23">
        <f>IF(AND(IFERROR(N(INDEX(Clay_Offices!$A$2:$FZ$601,69,Sync!$C$12)),0)&gt;0,IFERROR(INDEX(Clay_Offices!$A$2:$FZ$601,69,Sync!$C$5)&amp;"","")&lt;&gt;"",OR(LEFT(IFERROR(INDEX(Clay_Offices!$A$2:$FZ$601,69,Sync!$C$5)&amp;"",""),6)&lt;&gt;"SAMPLE",Config!$B$19="Y")),IFERROR(N(INDEX(Clay_Offices!$A$2:$FZ$601,69,Sync!$C$12)),0),"")</f>
        <v/>
      </c>
      <c r="C2320" s="17">
        <f>IF(B2320="","","office")</f>
        <v/>
      </c>
      <c r="D2320" s="17">
        <f>IF(B2320="","",IFERROR(INDEX(Clay_Offices!$A$2:$FZ$601,69,Sync!$C$5)&amp;"",""))</f>
        <v/>
      </c>
      <c r="E2320" s="17">
        <f>IF(B2320="","",IFERROR(INDEX(Clay_Offices!$A$2:$FZ$601,69,Sync!$C$6)&amp;"",""))</f>
        <v/>
      </c>
      <c r="F2320" s="17">
        <f>IF(B2320="","","outreach_sent")</f>
        <v/>
      </c>
      <c r="G2320" s="17">
        <f>IF(B2320="","","")</f>
        <v/>
      </c>
      <c r="H2320" s="17">
        <f>IF(B2320="","","")</f>
        <v/>
      </c>
      <c r="I2320" s="17">
        <f>IF(B2320="","","")</f>
        <v/>
      </c>
      <c r="J2320" s="17">
        <f>IF(B2320="","","touch_2; "&amp;IFERROR(INDEX(Clay_Offices!$A$2:$FZ$601,69,Sync!$C$10)&amp;"","")&amp;"; "&amp;IFERROR(INDEX(Clay_Offices!$A$2:$FZ$601,69,Sync!$C$9)&amp;"",""))</f>
        <v/>
      </c>
      <c r="K2320" t="inlineStr">
        <is>
          <t>office outreach touch 2</t>
        </is>
      </c>
    </row>
    <row r="2321">
      <c r="A2321" s="17">
        <f>IF(B2321="","",B2321+(13*1000+70)/10000000)</f>
        <v/>
      </c>
      <c r="B2321" s="23">
        <f>IF(AND(IFERROR(N(INDEX(Clay_Offices!$A$2:$FZ$601,70,Sync!$C$12)),0)&gt;0,IFERROR(INDEX(Clay_Offices!$A$2:$FZ$601,70,Sync!$C$5)&amp;"","")&lt;&gt;"",OR(LEFT(IFERROR(INDEX(Clay_Offices!$A$2:$FZ$601,70,Sync!$C$5)&amp;"",""),6)&lt;&gt;"SAMPLE",Config!$B$19="Y")),IFERROR(N(INDEX(Clay_Offices!$A$2:$FZ$601,70,Sync!$C$12)),0),"")</f>
        <v/>
      </c>
      <c r="C2321" s="17">
        <f>IF(B2321="","","office")</f>
        <v/>
      </c>
      <c r="D2321" s="17">
        <f>IF(B2321="","",IFERROR(INDEX(Clay_Offices!$A$2:$FZ$601,70,Sync!$C$5)&amp;"",""))</f>
        <v/>
      </c>
      <c r="E2321" s="17">
        <f>IF(B2321="","",IFERROR(INDEX(Clay_Offices!$A$2:$FZ$601,70,Sync!$C$6)&amp;"",""))</f>
        <v/>
      </c>
      <c r="F2321" s="17">
        <f>IF(B2321="","","outreach_sent")</f>
        <v/>
      </c>
      <c r="G2321" s="17">
        <f>IF(B2321="","","")</f>
        <v/>
      </c>
      <c r="H2321" s="17">
        <f>IF(B2321="","","")</f>
        <v/>
      </c>
      <c r="I2321" s="17">
        <f>IF(B2321="","","")</f>
        <v/>
      </c>
      <c r="J2321" s="17">
        <f>IF(B2321="","","touch_2; "&amp;IFERROR(INDEX(Clay_Offices!$A$2:$FZ$601,70,Sync!$C$10)&amp;"","")&amp;"; "&amp;IFERROR(INDEX(Clay_Offices!$A$2:$FZ$601,70,Sync!$C$9)&amp;"",""))</f>
        <v/>
      </c>
      <c r="K2321" t="inlineStr">
        <is>
          <t>office outreach touch 2</t>
        </is>
      </c>
    </row>
    <row r="2322">
      <c r="A2322" s="17">
        <f>IF(B2322="","",B2322+(13*1000+71)/10000000)</f>
        <v/>
      </c>
      <c r="B2322" s="23">
        <f>IF(AND(IFERROR(N(INDEX(Clay_Offices!$A$2:$FZ$601,71,Sync!$C$12)),0)&gt;0,IFERROR(INDEX(Clay_Offices!$A$2:$FZ$601,71,Sync!$C$5)&amp;"","")&lt;&gt;"",OR(LEFT(IFERROR(INDEX(Clay_Offices!$A$2:$FZ$601,71,Sync!$C$5)&amp;"",""),6)&lt;&gt;"SAMPLE",Config!$B$19="Y")),IFERROR(N(INDEX(Clay_Offices!$A$2:$FZ$601,71,Sync!$C$12)),0),"")</f>
        <v/>
      </c>
      <c r="C2322" s="17">
        <f>IF(B2322="","","office")</f>
        <v/>
      </c>
      <c r="D2322" s="17">
        <f>IF(B2322="","",IFERROR(INDEX(Clay_Offices!$A$2:$FZ$601,71,Sync!$C$5)&amp;"",""))</f>
        <v/>
      </c>
      <c r="E2322" s="17">
        <f>IF(B2322="","",IFERROR(INDEX(Clay_Offices!$A$2:$FZ$601,71,Sync!$C$6)&amp;"",""))</f>
        <v/>
      </c>
      <c r="F2322" s="17">
        <f>IF(B2322="","","outreach_sent")</f>
        <v/>
      </c>
      <c r="G2322" s="17">
        <f>IF(B2322="","","")</f>
        <v/>
      </c>
      <c r="H2322" s="17">
        <f>IF(B2322="","","")</f>
        <v/>
      </c>
      <c r="I2322" s="17">
        <f>IF(B2322="","","")</f>
        <v/>
      </c>
      <c r="J2322" s="17">
        <f>IF(B2322="","","touch_2; "&amp;IFERROR(INDEX(Clay_Offices!$A$2:$FZ$601,71,Sync!$C$10)&amp;"","")&amp;"; "&amp;IFERROR(INDEX(Clay_Offices!$A$2:$FZ$601,71,Sync!$C$9)&amp;"",""))</f>
        <v/>
      </c>
      <c r="K2322" t="inlineStr">
        <is>
          <t>office outreach touch 2</t>
        </is>
      </c>
    </row>
    <row r="2323">
      <c r="A2323" s="17">
        <f>IF(B2323="","",B2323+(13*1000+72)/10000000)</f>
        <v/>
      </c>
      <c r="B2323" s="23">
        <f>IF(AND(IFERROR(N(INDEX(Clay_Offices!$A$2:$FZ$601,72,Sync!$C$12)),0)&gt;0,IFERROR(INDEX(Clay_Offices!$A$2:$FZ$601,72,Sync!$C$5)&amp;"","")&lt;&gt;"",OR(LEFT(IFERROR(INDEX(Clay_Offices!$A$2:$FZ$601,72,Sync!$C$5)&amp;"",""),6)&lt;&gt;"SAMPLE",Config!$B$19="Y")),IFERROR(N(INDEX(Clay_Offices!$A$2:$FZ$601,72,Sync!$C$12)),0),"")</f>
        <v/>
      </c>
      <c r="C2323" s="17">
        <f>IF(B2323="","","office")</f>
        <v/>
      </c>
      <c r="D2323" s="17">
        <f>IF(B2323="","",IFERROR(INDEX(Clay_Offices!$A$2:$FZ$601,72,Sync!$C$5)&amp;"",""))</f>
        <v/>
      </c>
      <c r="E2323" s="17">
        <f>IF(B2323="","",IFERROR(INDEX(Clay_Offices!$A$2:$FZ$601,72,Sync!$C$6)&amp;"",""))</f>
        <v/>
      </c>
      <c r="F2323" s="17">
        <f>IF(B2323="","","outreach_sent")</f>
        <v/>
      </c>
      <c r="G2323" s="17">
        <f>IF(B2323="","","")</f>
        <v/>
      </c>
      <c r="H2323" s="17">
        <f>IF(B2323="","","")</f>
        <v/>
      </c>
      <c r="I2323" s="17">
        <f>IF(B2323="","","")</f>
        <v/>
      </c>
      <c r="J2323" s="17">
        <f>IF(B2323="","","touch_2; "&amp;IFERROR(INDEX(Clay_Offices!$A$2:$FZ$601,72,Sync!$C$10)&amp;"","")&amp;"; "&amp;IFERROR(INDEX(Clay_Offices!$A$2:$FZ$601,72,Sync!$C$9)&amp;"",""))</f>
        <v/>
      </c>
      <c r="K2323" t="inlineStr">
        <is>
          <t>office outreach touch 2</t>
        </is>
      </c>
    </row>
    <row r="2324">
      <c r="A2324" s="17">
        <f>IF(B2324="","",B2324+(13*1000+73)/10000000)</f>
        <v/>
      </c>
      <c r="B2324" s="23">
        <f>IF(AND(IFERROR(N(INDEX(Clay_Offices!$A$2:$FZ$601,73,Sync!$C$12)),0)&gt;0,IFERROR(INDEX(Clay_Offices!$A$2:$FZ$601,73,Sync!$C$5)&amp;"","")&lt;&gt;"",OR(LEFT(IFERROR(INDEX(Clay_Offices!$A$2:$FZ$601,73,Sync!$C$5)&amp;"",""),6)&lt;&gt;"SAMPLE",Config!$B$19="Y")),IFERROR(N(INDEX(Clay_Offices!$A$2:$FZ$601,73,Sync!$C$12)),0),"")</f>
        <v/>
      </c>
      <c r="C2324" s="17">
        <f>IF(B2324="","","office")</f>
        <v/>
      </c>
      <c r="D2324" s="17">
        <f>IF(B2324="","",IFERROR(INDEX(Clay_Offices!$A$2:$FZ$601,73,Sync!$C$5)&amp;"",""))</f>
        <v/>
      </c>
      <c r="E2324" s="17">
        <f>IF(B2324="","",IFERROR(INDEX(Clay_Offices!$A$2:$FZ$601,73,Sync!$C$6)&amp;"",""))</f>
        <v/>
      </c>
      <c r="F2324" s="17">
        <f>IF(B2324="","","outreach_sent")</f>
        <v/>
      </c>
      <c r="G2324" s="17">
        <f>IF(B2324="","","")</f>
        <v/>
      </c>
      <c r="H2324" s="17">
        <f>IF(B2324="","","")</f>
        <v/>
      </c>
      <c r="I2324" s="17">
        <f>IF(B2324="","","")</f>
        <v/>
      </c>
      <c r="J2324" s="17">
        <f>IF(B2324="","","touch_2; "&amp;IFERROR(INDEX(Clay_Offices!$A$2:$FZ$601,73,Sync!$C$10)&amp;"","")&amp;"; "&amp;IFERROR(INDEX(Clay_Offices!$A$2:$FZ$601,73,Sync!$C$9)&amp;"",""))</f>
        <v/>
      </c>
      <c r="K2324" t="inlineStr">
        <is>
          <t>office outreach touch 2</t>
        </is>
      </c>
    </row>
    <row r="2325">
      <c r="A2325" s="17">
        <f>IF(B2325="","",B2325+(13*1000+74)/10000000)</f>
        <v/>
      </c>
      <c r="B2325" s="23">
        <f>IF(AND(IFERROR(N(INDEX(Clay_Offices!$A$2:$FZ$601,74,Sync!$C$12)),0)&gt;0,IFERROR(INDEX(Clay_Offices!$A$2:$FZ$601,74,Sync!$C$5)&amp;"","")&lt;&gt;"",OR(LEFT(IFERROR(INDEX(Clay_Offices!$A$2:$FZ$601,74,Sync!$C$5)&amp;"",""),6)&lt;&gt;"SAMPLE",Config!$B$19="Y")),IFERROR(N(INDEX(Clay_Offices!$A$2:$FZ$601,74,Sync!$C$12)),0),"")</f>
        <v/>
      </c>
      <c r="C2325" s="17">
        <f>IF(B2325="","","office")</f>
        <v/>
      </c>
      <c r="D2325" s="17">
        <f>IF(B2325="","",IFERROR(INDEX(Clay_Offices!$A$2:$FZ$601,74,Sync!$C$5)&amp;"",""))</f>
        <v/>
      </c>
      <c r="E2325" s="17">
        <f>IF(B2325="","",IFERROR(INDEX(Clay_Offices!$A$2:$FZ$601,74,Sync!$C$6)&amp;"",""))</f>
        <v/>
      </c>
      <c r="F2325" s="17">
        <f>IF(B2325="","","outreach_sent")</f>
        <v/>
      </c>
      <c r="G2325" s="17">
        <f>IF(B2325="","","")</f>
        <v/>
      </c>
      <c r="H2325" s="17">
        <f>IF(B2325="","","")</f>
        <v/>
      </c>
      <c r="I2325" s="17">
        <f>IF(B2325="","","")</f>
        <v/>
      </c>
      <c r="J2325" s="17">
        <f>IF(B2325="","","touch_2; "&amp;IFERROR(INDEX(Clay_Offices!$A$2:$FZ$601,74,Sync!$C$10)&amp;"","")&amp;"; "&amp;IFERROR(INDEX(Clay_Offices!$A$2:$FZ$601,74,Sync!$C$9)&amp;"",""))</f>
        <v/>
      </c>
      <c r="K2325" t="inlineStr">
        <is>
          <t>office outreach touch 2</t>
        </is>
      </c>
    </row>
    <row r="2326">
      <c r="A2326" s="17">
        <f>IF(B2326="","",B2326+(13*1000+75)/10000000)</f>
        <v/>
      </c>
      <c r="B2326" s="23">
        <f>IF(AND(IFERROR(N(INDEX(Clay_Offices!$A$2:$FZ$601,75,Sync!$C$12)),0)&gt;0,IFERROR(INDEX(Clay_Offices!$A$2:$FZ$601,75,Sync!$C$5)&amp;"","")&lt;&gt;"",OR(LEFT(IFERROR(INDEX(Clay_Offices!$A$2:$FZ$601,75,Sync!$C$5)&amp;"",""),6)&lt;&gt;"SAMPLE",Config!$B$19="Y")),IFERROR(N(INDEX(Clay_Offices!$A$2:$FZ$601,75,Sync!$C$12)),0),"")</f>
        <v/>
      </c>
      <c r="C2326" s="17">
        <f>IF(B2326="","","office")</f>
        <v/>
      </c>
      <c r="D2326" s="17">
        <f>IF(B2326="","",IFERROR(INDEX(Clay_Offices!$A$2:$FZ$601,75,Sync!$C$5)&amp;"",""))</f>
        <v/>
      </c>
      <c r="E2326" s="17">
        <f>IF(B2326="","",IFERROR(INDEX(Clay_Offices!$A$2:$FZ$601,75,Sync!$C$6)&amp;"",""))</f>
        <v/>
      </c>
      <c r="F2326" s="17">
        <f>IF(B2326="","","outreach_sent")</f>
        <v/>
      </c>
      <c r="G2326" s="17">
        <f>IF(B2326="","","")</f>
        <v/>
      </c>
      <c r="H2326" s="17">
        <f>IF(B2326="","","")</f>
        <v/>
      </c>
      <c r="I2326" s="17">
        <f>IF(B2326="","","")</f>
        <v/>
      </c>
      <c r="J2326" s="17">
        <f>IF(B2326="","","touch_2; "&amp;IFERROR(INDEX(Clay_Offices!$A$2:$FZ$601,75,Sync!$C$10)&amp;"","")&amp;"; "&amp;IFERROR(INDEX(Clay_Offices!$A$2:$FZ$601,75,Sync!$C$9)&amp;"",""))</f>
        <v/>
      </c>
      <c r="K2326" t="inlineStr">
        <is>
          <t>office outreach touch 2</t>
        </is>
      </c>
    </row>
    <row r="2327">
      <c r="A2327" s="17">
        <f>IF(B2327="","",B2327+(13*1000+76)/10000000)</f>
        <v/>
      </c>
      <c r="B2327" s="23">
        <f>IF(AND(IFERROR(N(INDEX(Clay_Offices!$A$2:$FZ$601,76,Sync!$C$12)),0)&gt;0,IFERROR(INDEX(Clay_Offices!$A$2:$FZ$601,76,Sync!$C$5)&amp;"","")&lt;&gt;"",OR(LEFT(IFERROR(INDEX(Clay_Offices!$A$2:$FZ$601,76,Sync!$C$5)&amp;"",""),6)&lt;&gt;"SAMPLE",Config!$B$19="Y")),IFERROR(N(INDEX(Clay_Offices!$A$2:$FZ$601,76,Sync!$C$12)),0),"")</f>
        <v/>
      </c>
      <c r="C2327" s="17">
        <f>IF(B2327="","","office")</f>
        <v/>
      </c>
      <c r="D2327" s="17">
        <f>IF(B2327="","",IFERROR(INDEX(Clay_Offices!$A$2:$FZ$601,76,Sync!$C$5)&amp;"",""))</f>
        <v/>
      </c>
      <c r="E2327" s="17">
        <f>IF(B2327="","",IFERROR(INDEX(Clay_Offices!$A$2:$FZ$601,76,Sync!$C$6)&amp;"",""))</f>
        <v/>
      </c>
      <c r="F2327" s="17">
        <f>IF(B2327="","","outreach_sent")</f>
        <v/>
      </c>
      <c r="G2327" s="17">
        <f>IF(B2327="","","")</f>
        <v/>
      </c>
      <c r="H2327" s="17">
        <f>IF(B2327="","","")</f>
        <v/>
      </c>
      <c r="I2327" s="17">
        <f>IF(B2327="","","")</f>
        <v/>
      </c>
      <c r="J2327" s="17">
        <f>IF(B2327="","","touch_2; "&amp;IFERROR(INDEX(Clay_Offices!$A$2:$FZ$601,76,Sync!$C$10)&amp;"","")&amp;"; "&amp;IFERROR(INDEX(Clay_Offices!$A$2:$FZ$601,76,Sync!$C$9)&amp;"",""))</f>
        <v/>
      </c>
      <c r="K2327" t="inlineStr">
        <is>
          <t>office outreach touch 2</t>
        </is>
      </c>
    </row>
    <row r="2328">
      <c r="A2328" s="17">
        <f>IF(B2328="","",B2328+(13*1000+77)/10000000)</f>
        <v/>
      </c>
      <c r="B2328" s="23">
        <f>IF(AND(IFERROR(N(INDEX(Clay_Offices!$A$2:$FZ$601,77,Sync!$C$12)),0)&gt;0,IFERROR(INDEX(Clay_Offices!$A$2:$FZ$601,77,Sync!$C$5)&amp;"","")&lt;&gt;"",OR(LEFT(IFERROR(INDEX(Clay_Offices!$A$2:$FZ$601,77,Sync!$C$5)&amp;"",""),6)&lt;&gt;"SAMPLE",Config!$B$19="Y")),IFERROR(N(INDEX(Clay_Offices!$A$2:$FZ$601,77,Sync!$C$12)),0),"")</f>
        <v/>
      </c>
      <c r="C2328" s="17">
        <f>IF(B2328="","","office")</f>
        <v/>
      </c>
      <c r="D2328" s="17">
        <f>IF(B2328="","",IFERROR(INDEX(Clay_Offices!$A$2:$FZ$601,77,Sync!$C$5)&amp;"",""))</f>
        <v/>
      </c>
      <c r="E2328" s="17">
        <f>IF(B2328="","",IFERROR(INDEX(Clay_Offices!$A$2:$FZ$601,77,Sync!$C$6)&amp;"",""))</f>
        <v/>
      </c>
      <c r="F2328" s="17">
        <f>IF(B2328="","","outreach_sent")</f>
        <v/>
      </c>
      <c r="G2328" s="17">
        <f>IF(B2328="","","")</f>
        <v/>
      </c>
      <c r="H2328" s="17">
        <f>IF(B2328="","","")</f>
        <v/>
      </c>
      <c r="I2328" s="17">
        <f>IF(B2328="","","")</f>
        <v/>
      </c>
      <c r="J2328" s="17">
        <f>IF(B2328="","","touch_2; "&amp;IFERROR(INDEX(Clay_Offices!$A$2:$FZ$601,77,Sync!$C$10)&amp;"","")&amp;"; "&amp;IFERROR(INDEX(Clay_Offices!$A$2:$FZ$601,77,Sync!$C$9)&amp;"",""))</f>
        <v/>
      </c>
      <c r="K2328" t="inlineStr">
        <is>
          <t>office outreach touch 2</t>
        </is>
      </c>
    </row>
    <row r="2329">
      <c r="A2329" s="17">
        <f>IF(B2329="","",B2329+(13*1000+78)/10000000)</f>
        <v/>
      </c>
      <c r="B2329" s="23">
        <f>IF(AND(IFERROR(N(INDEX(Clay_Offices!$A$2:$FZ$601,78,Sync!$C$12)),0)&gt;0,IFERROR(INDEX(Clay_Offices!$A$2:$FZ$601,78,Sync!$C$5)&amp;"","")&lt;&gt;"",OR(LEFT(IFERROR(INDEX(Clay_Offices!$A$2:$FZ$601,78,Sync!$C$5)&amp;"",""),6)&lt;&gt;"SAMPLE",Config!$B$19="Y")),IFERROR(N(INDEX(Clay_Offices!$A$2:$FZ$601,78,Sync!$C$12)),0),"")</f>
        <v/>
      </c>
      <c r="C2329" s="17">
        <f>IF(B2329="","","office")</f>
        <v/>
      </c>
      <c r="D2329" s="17">
        <f>IF(B2329="","",IFERROR(INDEX(Clay_Offices!$A$2:$FZ$601,78,Sync!$C$5)&amp;"",""))</f>
        <v/>
      </c>
      <c r="E2329" s="17">
        <f>IF(B2329="","",IFERROR(INDEX(Clay_Offices!$A$2:$FZ$601,78,Sync!$C$6)&amp;"",""))</f>
        <v/>
      </c>
      <c r="F2329" s="17">
        <f>IF(B2329="","","outreach_sent")</f>
        <v/>
      </c>
      <c r="G2329" s="17">
        <f>IF(B2329="","","")</f>
        <v/>
      </c>
      <c r="H2329" s="17">
        <f>IF(B2329="","","")</f>
        <v/>
      </c>
      <c r="I2329" s="17">
        <f>IF(B2329="","","")</f>
        <v/>
      </c>
      <c r="J2329" s="17">
        <f>IF(B2329="","","touch_2; "&amp;IFERROR(INDEX(Clay_Offices!$A$2:$FZ$601,78,Sync!$C$10)&amp;"","")&amp;"; "&amp;IFERROR(INDEX(Clay_Offices!$A$2:$FZ$601,78,Sync!$C$9)&amp;"",""))</f>
        <v/>
      </c>
      <c r="K2329" t="inlineStr">
        <is>
          <t>office outreach touch 2</t>
        </is>
      </c>
    </row>
    <row r="2330">
      <c r="A2330" s="17">
        <f>IF(B2330="","",B2330+(13*1000+79)/10000000)</f>
        <v/>
      </c>
      <c r="B2330" s="23">
        <f>IF(AND(IFERROR(N(INDEX(Clay_Offices!$A$2:$FZ$601,79,Sync!$C$12)),0)&gt;0,IFERROR(INDEX(Clay_Offices!$A$2:$FZ$601,79,Sync!$C$5)&amp;"","")&lt;&gt;"",OR(LEFT(IFERROR(INDEX(Clay_Offices!$A$2:$FZ$601,79,Sync!$C$5)&amp;"",""),6)&lt;&gt;"SAMPLE",Config!$B$19="Y")),IFERROR(N(INDEX(Clay_Offices!$A$2:$FZ$601,79,Sync!$C$12)),0),"")</f>
        <v/>
      </c>
      <c r="C2330" s="17">
        <f>IF(B2330="","","office")</f>
        <v/>
      </c>
      <c r="D2330" s="17">
        <f>IF(B2330="","",IFERROR(INDEX(Clay_Offices!$A$2:$FZ$601,79,Sync!$C$5)&amp;"",""))</f>
        <v/>
      </c>
      <c r="E2330" s="17">
        <f>IF(B2330="","",IFERROR(INDEX(Clay_Offices!$A$2:$FZ$601,79,Sync!$C$6)&amp;"",""))</f>
        <v/>
      </c>
      <c r="F2330" s="17">
        <f>IF(B2330="","","outreach_sent")</f>
        <v/>
      </c>
      <c r="G2330" s="17">
        <f>IF(B2330="","","")</f>
        <v/>
      </c>
      <c r="H2330" s="17">
        <f>IF(B2330="","","")</f>
        <v/>
      </c>
      <c r="I2330" s="17">
        <f>IF(B2330="","","")</f>
        <v/>
      </c>
      <c r="J2330" s="17">
        <f>IF(B2330="","","touch_2; "&amp;IFERROR(INDEX(Clay_Offices!$A$2:$FZ$601,79,Sync!$C$10)&amp;"","")&amp;"; "&amp;IFERROR(INDEX(Clay_Offices!$A$2:$FZ$601,79,Sync!$C$9)&amp;"",""))</f>
        <v/>
      </c>
      <c r="K2330" t="inlineStr">
        <is>
          <t>office outreach touch 2</t>
        </is>
      </c>
    </row>
    <row r="2331">
      <c r="A2331" s="17">
        <f>IF(B2331="","",B2331+(13*1000+80)/10000000)</f>
        <v/>
      </c>
      <c r="B2331" s="23">
        <f>IF(AND(IFERROR(N(INDEX(Clay_Offices!$A$2:$FZ$601,80,Sync!$C$12)),0)&gt;0,IFERROR(INDEX(Clay_Offices!$A$2:$FZ$601,80,Sync!$C$5)&amp;"","")&lt;&gt;"",OR(LEFT(IFERROR(INDEX(Clay_Offices!$A$2:$FZ$601,80,Sync!$C$5)&amp;"",""),6)&lt;&gt;"SAMPLE",Config!$B$19="Y")),IFERROR(N(INDEX(Clay_Offices!$A$2:$FZ$601,80,Sync!$C$12)),0),"")</f>
        <v/>
      </c>
      <c r="C2331" s="17">
        <f>IF(B2331="","","office")</f>
        <v/>
      </c>
      <c r="D2331" s="17">
        <f>IF(B2331="","",IFERROR(INDEX(Clay_Offices!$A$2:$FZ$601,80,Sync!$C$5)&amp;"",""))</f>
        <v/>
      </c>
      <c r="E2331" s="17">
        <f>IF(B2331="","",IFERROR(INDEX(Clay_Offices!$A$2:$FZ$601,80,Sync!$C$6)&amp;"",""))</f>
        <v/>
      </c>
      <c r="F2331" s="17">
        <f>IF(B2331="","","outreach_sent")</f>
        <v/>
      </c>
      <c r="G2331" s="17">
        <f>IF(B2331="","","")</f>
        <v/>
      </c>
      <c r="H2331" s="17">
        <f>IF(B2331="","","")</f>
        <v/>
      </c>
      <c r="I2331" s="17">
        <f>IF(B2331="","","")</f>
        <v/>
      </c>
      <c r="J2331" s="17">
        <f>IF(B2331="","","touch_2; "&amp;IFERROR(INDEX(Clay_Offices!$A$2:$FZ$601,80,Sync!$C$10)&amp;"","")&amp;"; "&amp;IFERROR(INDEX(Clay_Offices!$A$2:$FZ$601,80,Sync!$C$9)&amp;"",""))</f>
        <v/>
      </c>
      <c r="K2331" t="inlineStr">
        <is>
          <t>office outreach touch 2</t>
        </is>
      </c>
    </row>
    <row r="2332">
      <c r="A2332" s="17">
        <f>IF(B2332="","",B2332+(13*1000+81)/10000000)</f>
        <v/>
      </c>
      <c r="B2332" s="23">
        <f>IF(AND(IFERROR(N(INDEX(Clay_Offices!$A$2:$FZ$601,81,Sync!$C$12)),0)&gt;0,IFERROR(INDEX(Clay_Offices!$A$2:$FZ$601,81,Sync!$C$5)&amp;"","")&lt;&gt;"",OR(LEFT(IFERROR(INDEX(Clay_Offices!$A$2:$FZ$601,81,Sync!$C$5)&amp;"",""),6)&lt;&gt;"SAMPLE",Config!$B$19="Y")),IFERROR(N(INDEX(Clay_Offices!$A$2:$FZ$601,81,Sync!$C$12)),0),"")</f>
        <v/>
      </c>
      <c r="C2332" s="17">
        <f>IF(B2332="","","office")</f>
        <v/>
      </c>
      <c r="D2332" s="17">
        <f>IF(B2332="","",IFERROR(INDEX(Clay_Offices!$A$2:$FZ$601,81,Sync!$C$5)&amp;"",""))</f>
        <v/>
      </c>
      <c r="E2332" s="17">
        <f>IF(B2332="","",IFERROR(INDEX(Clay_Offices!$A$2:$FZ$601,81,Sync!$C$6)&amp;"",""))</f>
        <v/>
      </c>
      <c r="F2332" s="17">
        <f>IF(B2332="","","outreach_sent")</f>
        <v/>
      </c>
      <c r="G2332" s="17">
        <f>IF(B2332="","","")</f>
        <v/>
      </c>
      <c r="H2332" s="17">
        <f>IF(B2332="","","")</f>
        <v/>
      </c>
      <c r="I2332" s="17">
        <f>IF(B2332="","","")</f>
        <v/>
      </c>
      <c r="J2332" s="17">
        <f>IF(B2332="","","touch_2; "&amp;IFERROR(INDEX(Clay_Offices!$A$2:$FZ$601,81,Sync!$C$10)&amp;"","")&amp;"; "&amp;IFERROR(INDEX(Clay_Offices!$A$2:$FZ$601,81,Sync!$C$9)&amp;"",""))</f>
        <v/>
      </c>
      <c r="K2332" t="inlineStr">
        <is>
          <t>office outreach touch 2</t>
        </is>
      </c>
    </row>
    <row r="2333">
      <c r="A2333" s="17">
        <f>IF(B2333="","",B2333+(13*1000+82)/10000000)</f>
        <v/>
      </c>
      <c r="B2333" s="23">
        <f>IF(AND(IFERROR(N(INDEX(Clay_Offices!$A$2:$FZ$601,82,Sync!$C$12)),0)&gt;0,IFERROR(INDEX(Clay_Offices!$A$2:$FZ$601,82,Sync!$C$5)&amp;"","")&lt;&gt;"",OR(LEFT(IFERROR(INDEX(Clay_Offices!$A$2:$FZ$601,82,Sync!$C$5)&amp;"",""),6)&lt;&gt;"SAMPLE",Config!$B$19="Y")),IFERROR(N(INDEX(Clay_Offices!$A$2:$FZ$601,82,Sync!$C$12)),0),"")</f>
        <v/>
      </c>
      <c r="C2333" s="17">
        <f>IF(B2333="","","office")</f>
        <v/>
      </c>
      <c r="D2333" s="17">
        <f>IF(B2333="","",IFERROR(INDEX(Clay_Offices!$A$2:$FZ$601,82,Sync!$C$5)&amp;"",""))</f>
        <v/>
      </c>
      <c r="E2333" s="17">
        <f>IF(B2333="","",IFERROR(INDEX(Clay_Offices!$A$2:$FZ$601,82,Sync!$C$6)&amp;"",""))</f>
        <v/>
      </c>
      <c r="F2333" s="17">
        <f>IF(B2333="","","outreach_sent")</f>
        <v/>
      </c>
      <c r="G2333" s="17">
        <f>IF(B2333="","","")</f>
        <v/>
      </c>
      <c r="H2333" s="17">
        <f>IF(B2333="","","")</f>
        <v/>
      </c>
      <c r="I2333" s="17">
        <f>IF(B2333="","","")</f>
        <v/>
      </c>
      <c r="J2333" s="17">
        <f>IF(B2333="","","touch_2; "&amp;IFERROR(INDEX(Clay_Offices!$A$2:$FZ$601,82,Sync!$C$10)&amp;"","")&amp;"; "&amp;IFERROR(INDEX(Clay_Offices!$A$2:$FZ$601,82,Sync!$C$9)&amp;"",""))</f>
        <v/>
      </c>
      <c r="K2333" t="inlineStr">
        <is>
          <t>office outreach touch 2</t>
        </is>
      </c>
    </row>
    <row r="2334">
      <c r="A2334" s="17">
        <f>IF(B2334="","",B2334+(13*1000+83)/10000000)</f>
        <v/>
      </c>
      <c r="B2334" s="23">
        <f>IF(AND(IFERROR(N(INDEX(Clay_Offices!$A$2:$FZ$601,83,Sync!$C$12)),0)&gt;0,IFERROR(INDEX(Clay_Offices!$A$2:$FZ$601,83,Sync!$C$5)&amp;"","")&lt;&gt;"",OR(LEFT(IFERROR(INDEX(Clay_Offices!$A$2:$FZ$601,83,Sync!$C$5)&amp;"",""),6)&lt;&gt;"SAMPLE",Config!$B$19="Y")),IFERROR(N(INDEX(Clay_Offices!$A$2:$FZ$601,83,Sync!$C$12)),0),"")</f>
        <v/>
      </c>
      <c r="C2334" s="17">
        <f>IF(B2334="","","office")</f>
        <v/>
      </c>
      <c r="D2334" s="17">
        <f>IF(B2334="","",IFERROR(INDEX(Clay_Offices!$A$2:$FZ$601,83,Sync!$C$5)&amp;"",""))</f>
        <v/>
      </c>
      <c r="E2334" s="17">
        <f>IF(B2334="","",IFERROR(INDEX(Clay_Offices!$A$2:$FZ$601,83,Sync!$C$6)&amp;"",""))</f>
        <v/>
      </c>
      <c r="F2334" s="17">
        <f>IF(B2334="","","outreach_sent")</f>
        <v/>
      </c>
      <c r="G2334" s="17">
        <f>IF(B2334="","","")</f>
        <v/>
      </c>
      <c r="H2334" s="17">
        <f>IF(B2334="","","")</f>
        <v/>
      </c>
      <c r="I2334" s="17">
        <f>IF(B2334="","","")</f>
        <v/>
      </c>
      <c r="J2334" s="17">
        <f>IF(B2334="","","touch_2; "&amp;IFERROR(INDEX(Clay_Offices!$A$2:$FZ$601,83,Sync!$C$10)&amp;"","")&amp;"; "&amp;IFERROR(INDEX(Clay_Offices!$A$2:$FZ$601,83,Sync!$C$9)&amp;"",""))</f>
        <v/>
      </c>
      <c r="K2334" t="inlineStr">
        <is>
          <t>office outreach touch 2</t>
        </is>
      </c>
    </row>
    <row r="2335">
      <c r="A2335" s="17">
        <f>IF(B2335="","",B2335+(13*1000+84)/10000000)</f>
        <v/>
      </c>
      <c r="B2335" s="23">
        <f>IF(AND(IFERROR(N(INDEX(Clay_Offices!$A$2:$FZ$601,84,Sync!$C$12)),0)&gt;0,IFERROR(INDEX(Clay_Offices!$A$2:$FZ$601,84,Sync!$C$5)&amp;"","")&lt;&gt;"",OR(LEFT(IFERROR(INDEX(Clay_Offices!$A$2:$FZ$601,84,Sync!$C$5)&amp;"",""),6)&lt;&gt;"SAMPLE",Config!$B$19="Y")),IFERROR(N(INDEX(Clay_Offices!$A$2:$FZ$601,84,Sync!$C$12)),0),"")</f>
        <v/>
      </c>
      <c r="C2335" s="17">
        <f>IF(B2335="","","office")</f>
        <v/>
      </c>
      <c r="D2335" s="17">
        <f>IF(B2335="","",IFERROR(INDEX(Clay_Offices!$A$2:$FZ$601,84,Sync!$C$5)&amp;"",""))</f>
        <v/>
      </c>
      <c r="E2335" s="17">
        <f>IF(B2335="","",IFERROR(INDEX(Clay_Offices!$A$2:$FZ$601,84,Sync!$C$6)&amp;"",""))</f>
        <v/>
      </c>
      <c r="F2335" s="17">
        <f>IF(B2335="","","outreach_sent")</f>
        <v/>
      </c>
      <c r="G2335" s="17">
        <f>IF(B2335="","","")</f>
        <v/>
      </c>
      <c r="H2335" s="17">
        <f>IF(B2335="","","")</f>
        <v/>
      </c>
      <c r="I2335" s="17">
        <f>IF(B2335="","","")</f>
        <v/>
      </c>
      <c r="J2335" s="17">
        <f>IF(B2335="","","touch_2; "&amp;IFERROR(INDEX(Clay_Offices!$A$2:$FZ$601,84,Sync!$C$10)&amp;"","")&amp;"; "&amp;IFERROR(INDEX(Clay_Offices!$A$2:$FZ$601,84,Sync!$C$9)&amp;"",""))</f>
        <v/>
      </c>
      <c r="K2335" t="inlineStr">
        <is>
          <t>office outreach touch 2</t>
        </is>
      </c>
    </row>
    <row r="2336">
      <c r="A2336" s="17">
        <f>IF(B2336="","",B2336+(13*1000+85)/10000000)</f>
        <v/>
      </c>
      <c r="B2336" s="23">
        <f>IF(AND(IFERROR(N(INDEX(Clay_Offices!$A$2:$FZ$601,85,Sync!$C$12)),0)&gt;0,IFERROR(INDEX(Clay_Offices!$A$2:$FZ$601,85,Sync!$C$5)&amp;"","")&lt;&gt;"",OR(LEFT(IFERROR(INDEX(Clay_Offices!$A$2:$FZ$601,85,Sync!$C$5)&amp;"",""),6)&lt;&gt;"SAMPLE",Config!$B$19="Y")),IFERROR(N(INDEX(Clay_Offices!$A$2:$FZ$601,85,Sync!$C$12)),0),"")</f>
        <v/>
      </c>
      <c r="C2336" s="17">
        <f>IF(B2336="","","office")</f>
        <v/>
      </c>
      <c r="D2336" s="17">
        <f>IF(B2336="","",IFERROR(INDEX(Clay_Offices!$A$2:$FZ$601,85,Sync!$C$5)&amp;"",""))</f>
        <v/>
      </c>
      <c r="E2336" s="17">
        <f>IF(B2336="","",IFERROR(INDEX(Clay_Offices!$A$2:$FZ$601,85,Sync!$C$6)&amp;"",""))</f>
        <v/>
      </c>
      <c r="F2336" s="17">
        <f>IF(B2336="","","outreach_sent")</f>
        <v/>
      </c>
      <c r="G2336" s="17">
        <f>IF(B2336="","","")</f>
        <v/>
      </c>
      <c r="H2336" s="17">
        <f>IF(B2336="","","")</f>
        <v/>
      </c>
      <c r="I2336" s="17">
        <f>IF(B2336="","","")</f>
        <v/>
      </c>
      <c r="J2336" s="17">
        <f>IF(B2336="","","touch_2; "&amp;IFERROR(INDEX(Clay_Offices!$A$2:$FZ$601,85,Sync!$C$10)&amp;"","")&amp;"; "&amp;IFERROR(INDEX(Clay_Offices!$A$2:$FZ$601,85,Sync!$C$9)&amp;"",""))</f>
        <v/>
      </c>
      <c r="K2336" t="inlineStr">
        <is>
          <t>office outreach touch 2</t>
        </is>
      </c>
    </row>
    <row r="2337">
      <c r="A2337" s="17">
        <f>IF(B2337="","",B2337+(13*1000+86)/10000000)</f>
        <v/>
      </c>
      <c r="B2337" s="23">
        <f>IF(AND(IFERROR(N(INDEX(Clay_Offices!$A$2:$FZ$601,86,Sync!$C$12)),0)&gt;0,IFERROR(INDEX(Clay_Offices!$A$2:$FZ$601,86,Sync!$C$5)&amp;"","")&lt;&gt;"",OR(LEFT(IFERROR(INDEX(Clay_Offices!$A$2:$FZ$601,86,Sync!$C$5)&amp;"",""),6)&lt;&gt;"SAMPLE",Config!$B$19="Y")),IFERROR(N(INDEX(Clay_Offices!$A$2:$FZ$601,86,Sync!$C$12)),0),"")</f>
        <v/>
      </c>
      <c r="C2337" s="17">
        <f>IF(B2337="","","office")</f>
        <v/>
      </c>
      <c r="D2337" s="17">
        <f>IF(B2337="","",IFERROR(INDEX(Clay_Offices!$A$2:$FZ$601,86,Sync!$C$5)&amp;"",""))</f>
        <v/>
      </c>
      <c r="E2337" s="17">
        <f>IF(B2337="","",IFERROR(INDEX(Clay_Offices!$A$2:$FZ$601,86,Sync!$C$6)&amp;"",""))</f>
        <v/>
      </c>
      <c r="F2337" s="17">
        <f>IF(B2337="","","outreach_sent")</f>
        <v/>
      </c>
      <c r="G2337" s="17">
        <f>IF(B2337="","","")</f>
        <v/>
      </c>
      <c r="H2337" s="17">
        <f>IF(B2337="","","")</f>
        <v/>
      </c>
      <c r="I2337" s="17">
        <f>IF(B2337="","","")</f>
        <v/>
      </c>
      <c r="J2337" s="17">
        <f>IF(B2337="","","touch_2; "&amp;IFERROR(INDEX(Clay_Offices!$A$2:$FZ$601,86,Sync!$C$10)&amp;"","")&amp;"; "&amp;IFERROR(INDEX(Clay_Offices!$A$2:$FZ$601,86,Sync!$C$9)&amp;"",""))</f>
        <v/>
      </c>
      <c r="K2337" t="inlineStr">
        <is>
          <t>office outreach touch 2</t>
        </is>
      </c>
    </row>
    <row r="2338">
      <c r="A2338" s="17">
        <f>IF(B2338="","",B2338+(13*1000+87)/10000000)</f>
        <v/>
      </c>
      <c r="B2338" s="23">
        <f>IF(AND(IFERROR(N(INDEX(Clay_Offices!$A$2:$FZ$601,87,Sync!$C$12)),0)&gt;0,IFERROR(INDEX(Clay_Offices!$A$2:$FZ$601,87,Sync!$C$5)&amp;"","")&lt;&gt;"",OR(LEFT(IFERROR(INDEX(Clay_Offices!$A$2:$FZ$601,87,Sync!$C$5)&amp;"",""),6)&lt;&gt;"SAMPLE",Config!$B$19="Y")),IFERROR(N(INDEX(Clay_Offices!$A$2:$FZ$601,87,Sync!$C$12)),0),"")</f>
        <v/>
      </c>
      <c r="C2338" s="17">
        <f>IF(B2338="","","office")</f>
        <v/>
      </c>
      <c r="D2338" s="17">
        <f>IF(B2338="","",IFERROR(INDEX(Clay_Offices!$A$2:$FZ$601,87,Sync!$C$5)&amp;"",""))</f>
        <v/>
      </c>
      <c r="E2338" s="17">
        <f>IF(B2338="","",IFERROR(INDEX(Clay_Offices!$A$2:$FZ$601,87,Sync!$C$6)&amp;"",""))</f>
        <v/>
      </c>
      <c r="F2338" s="17">
        <f>IF(B2338="","","outreach_sent")</f>
        <v/>
      </c>
      <c r="G2338" s="17">
        <f>IF(B2338="","","")</f>
        <v/>
      </c>
      <c r="H2338" s="17">
        <f>IF(B2338="","","")</f>
        <v/>
      </c>
      <c r="I2338" s="17">
        <f>IF(B2338="","","")</f>
        <v/>
      </c>
      <c r="J2338" s="17">
        <f>IF(B2338="","","touch_2; "&amp;IFERROR(INDEX(Clay_Offices!$A$2:$FZ$601,87,Sync!$C$10)&amp;"","")&amp;"; "&amp;IFERROR(INDEX(Clay_Offices!$A$2:$FZ$601,87,Sync!$C$9)&amp;"",""))</f>
        <v/>
      </c>
      <c r="K2338" t="inlineStr">
        <is>
          <t>office outreach touch 2</t>
        </is>
      </c>
    </row>
    <row r="2339">
      <c r="A2339" s="17">
        <f>IF(B2339="","",B2339+(13*1000+88)/10000000)</f>
        <v/>
      </c>
      <c r="B2339" s="23">
        <f>IF(AND(IFERROR(N(INDEX(Clay_Offices!$A$2:$FZ$601,88,Sync!$C$12)),0)&gt;0,IFERROR(INDEX(Clay_Offices!$A$2:$FZ$601,88,Sync!$C$5)&amp;"","")&lt;&gt;"",OR(LEFT(IFERROR(INDEX(Clay_Offices!$A$2:$FZ$601,88,Sync!$C$5)&amp;"",""),6)&lt;&gt;"SAMPLE",Config!$B$19="Y")),IFERROR(N(INDEX(Clay_Offices!$A$2:$FZ$601,88,Sync!$C$12)),0),"")</f>
        <v/>
      </c>
      <c r="C2339" s="17">
        <f>IF(B2339="","","office")</f>
        <v/>
      </c>
      <c r="D2339" s="17">
        <f>IF(B2339="","",IFERROR(INDEX(Clay_Offices!$A$2:$FZ$601,88,Sync!$C$5)&amp;"",""))</f>
        <v/>
      </c>
      <c r="E2339" s="17">
        <f>IF(B2339="","",IFERROR(INDEX(Clay_Offices!$A$2:$FZ$601,88,Sync!$C$6)&amp;"",""))</f>
        <v/>
      </c>
      <c r="F2339" s="17">
        <f>IF(B2339="","","outreach_sent")</f>
        <v/>
      </c>
      <c r="G2339" s="17">
        <f>IF(B2339="","","")</f>
        <v/>
      </c>
      <c r="H2339" s="17">
        <f>IF(B2339="","","")</f>
        <v/>
      </c>
      <c r="I2339" s="17">
        <f>IF(B2339="","","")</f>
        <v/>
      </c>
      <c r="J2339" s="17">
        <f>IF(B2339="","","touch_2; "&amp;IFERROR(INDEX(Clay_Offices!$A$2:$FZ$601,88,Sync!$C$10)&amp;"","")&amp;"; "&amp;IFERROR(INDEX(Clay_Offices!$A$2:$FZ$601,88,Sync!$C$9)&amp;"",""))</f>
        <v/>
      </c>
      <c r="K2339" t="inlineStr">
        <is>
          <t>office outreach touch 2</t>
        </is>
      </c>
    </row>
    <row r="2340">
      <c r="A2340" s="17">
        <f>IF(B2340="","",B2340+(13*1000+89)/10000000)</f>
        <v/>
      </c>
      <c r="B2340" s="23">
        <f>IF(AND(IFERROR(N(INDEX(Clay_Offices!$A$2:$FZ$601,89,Sync!$C$12)),0)&gt;0,IFERROR(INDEX(Clay_Offices!$A$2:$FZ$601,89,Sync!$C$5)&amp;"","")&lt;&gt;"",OR(LEFT(IFERROR(INDEX(Clay_Offices!$A$2:$FZ$601,89,Sync!$C$5)&amp;"",""),6)&lt;&gt;"SAMPLE",Config!$B$19="Y")),IFERROR(N(INDEX(Clay_Offices!$A$2:$FZ$601,89,Sync!$C$12)),0),"")</f>
        <v/>
      </c>
      <c r="C2340" s="17">
        <f>IF(B2340="","","office")</f>
        <v/>
      </c>
      <c r="D2340" s="17">
        <f>IF(B2340="","",IFERROR(INDEX(Clay_Offices!$A$2:$FZ$601,89,Sync!$C$5)&amp;"",""))</f>
        <v/>
      </c>
      <c r="E2340" s="17">
        <f>IF(B2340="","",IFERROR(INDEX(Clay_Offices!$A$2:$FZ$601,89,Sync!$C$6)&amp;"",""))</f>
        <v/>
      </c>
      <c r="F2340" s="17">
        <f>IF(B2340="","","outreach_sent")</f>
        <v/>
      </c>
      <c r="G2340" s="17">
        <f>IF(B2340="","","")</f>
        <v/>
      </c>
      <c r="H2340" s="17">
        <f>IF(B2340="","","")</f>
        <v/>
      </c>
      <c r="I2340" s="17">
        <f>IF(B2340="","","")</f>
        <v/>
      </c>
      <c r="J2340" s="17">
        <f>IF(B2340="","","touch_2; "&amp;IFERROR(INDEX(Clay_Offices!$A$2:$FZ$601,89,Sync!$C$10)&amp;"","")&amp;"; "&amp;IFERROR(INDEX(Clay_Offices!$A$2:$FZ$601,89,Sync!$C$9)&amp;"",""))</f>
        <v/>
      </c>
      <c r="K2340" t="inlineStr">
        <is>
          <t>office outreach touch 2</t>
        </is>
      </c>
    </row>
    <row r="2341">
      <c r="A2341" s="17">
        <f>IF(B2341="","",B2341+(13*1000+90)/10000000)</f>
        <v/>
      </c>
      <c r="B2341" s="23">
        <f>IF(AND(IFERROR(N(INDEX(Clay_Offices!$A$2:$FZ$601,90,Sync!$C$12)),0)&gt;0,IFERROR(INDEX(Clay_Offices!$A$2:$FZ$601,90,Sync!$C$5)&amp;"","")&lt;&gt;"",OR(LEFT(IFERROR(INDEX(Clay_Offices!$A$2:$FZ$601,90,Sync!$C$5)&amp;"",""),6)&lt;&gt;"SAMPLE",Config!$B$19="Y")),IFERROR(N(INDEX(Clay_Offices!$A$2:$FZ$601,90,Sync!$C$12)),0),"")</f>
        <v/>
      </c>
      <c r="C2341" s="17">
        <f>IF(B2341="","","office")</f>
        <v/>
      </c>
      <c r="D2341" s="17">
        <f>IF(B2341="","",IFERROR(INDEX(Clay_Offices!$A$2:$FZ$601,90,Sync!$C$5)&amp;"",""))</f>
        <v/>
      </c>
      <c r="E2341" s="17">
        <f>IF(B2341="","",IFERROR(INDEX(Clay_Offices!$A$2:$FZ$601,90,Sync!$C$6)&amp;"",""))</f>
        <v/>
      </c>
      <c r="F2341" s="17">
        <f>IF(B2341="","","outreach_sent")</f>
        <v/>
      </c>
      <c r="G2341" s="17">
        <f>IF(B2341="","","")</f>
        <v/>
      </c>
      <c r="H2341" s="17">
        <f>IF(B2341="","","")</f>
        <v/>
      </c>
      <c r="I2341" s="17">
        <f>IF(B2341="","","")</f>
        <v/>
      </c>
      <c r="J2341" s="17">
        <f>IF(B2341="","","touch_2; "&amp;IFERROR(INDEX(Clay_Offices!$A$2:$FZ$601,90,Sync!$C$10)&amp;"","")&amp;"; "&amp;IFERROR(INDEX(Clay_Offices!$A$2:$FZ$601,90,Sync!$C$9)&amp;"",""))</f>
        <v/>
      </c>
      <c r="K2341" t="inlineStr">
        <is>
          <t>office outreach touch 2</t>
        </is>
      </c>
    </row>
    <row r="2342">
      <c r="A2342" s="17">
        <f>IF(B2342="","",B2342+(13*1000+91)/10000000)</f>
        <v/>
      </c>
      <c r="B2342" s="23">
        <f>IF(AND(IFERROR(N(INDEX(Clay_Offices!$A$2:$FZ$601,91,Sync!$C$12)),0)&gt;0,IFERROR(INDEX(Clay_Offices!$A$2:$FZ$601,91,Sync!$C$5)&amp;"","")&lt;&gt;"",OR(LEFT(IFERROR(INDEX(Clay_Offices!$A$2:$FZ$601,91,Sync!$C$5)&amp;"",""),6)&lt;&gt;"SAMPLE",Config!$B$19="Y")),IFERROR(N(INDEX(Clay_Offices!$A$2:$FZ$601,91,Sync!$C$12)),0),"")</f>
        <v/>
      </c>
      <c r="C2342" s="17">
        <f>IF(B2342="","","office")</f>
        <v/>
      </c>
      <c r="D2342" s="17">
        <f>IF(B2342="","",IFERROR(INDEX(Clay_Offices!$A$2:$FZ$601,91,Sync!$C$5)&amp;"",""))</f>
        <v/>
      </c>
      <c r="E2342" s="17">
        <f>IF(B2342="","",IFERROR(INDEX(Clay_Offices!$A$2:$FZ$601,91,Sync!$C$6)&amp;"",""))</f>
        <v/>
      </c>
      <c r="F2342" s="17">
        <f>IF(B2342="","","outreach_sent")</f>
        <v/>
      </c>
      <c r="G2342" s="17">
        <f>IF(B2342="","","")</f>
        <v/>
      </c>
      <c r="H2342" s="17">
        <f>IF(B2342="","","")</f>
        <v/>
      </c>
      <c r="I2342" s="17">
        <f>IF(B2342="","","")</f>
        <v/>
      </c>
      <c r="J2342" s="17">
        <f>IF(B2342="","","touch_2; "&amp;IFERROR(INDEX(Clay_Offices!$A$2:$FZ$601,91,Sync!$C$10)&amp;"","")&amp;"; "&amp;IFERROR(INDEX(Clay_Offices!$A$2:$FZ$601,91,Sync!$C$9)&amp;"",""))</f>
        <v/>
      </c>
      <c r="K2342" t="inlineStr">
        <is>
          <t>office outreach touch 2</t>
        </is>
      </c>
    </row>
    <row r="2343">
      <c r="A2343" s="17">
        <f>IF(B2343="","",B2343+(13*1000+92)/10000000)</f>
        <v/>
      </c>
      <c r="B2343" s="23">
        <f>IF(AND(IFERROR(N(INDEX(Clay_Offices!$A$2:$FZ$601,92,Sync!$C$12)),0)&gt;0,IFERROR(INDEX(Clay_Offices!$A$2:$FZ$601,92,Sync!$C$5)&amp;"","")&lt;&gt;"",OR(LEFT(IFERROR(INDEX(Clay_Offices!$A$2:$FZ$601,92,Sync!$C$5)&amp;"",""),6)&lt;&gt;"SAMPLE",Config!$B$19="Y")),IFERROR(N(INDEX(Clay_Offices!$A$2:$FZ$601,92,Sync!$C$12)),0),"")</f>
        <v/>
      </c>
      <c r="C2343" s="17">
        <f>IF(B2343="","","office")</f>
        <v/>
      </c>
      <c r="D2343" s="17">
        <f>IF(B2343="","",IFERROR(INDEX(Clay_Offices!$A$2:$FZ$601,92,Sync!$C$5)&amp;"",""))</f>
        <v/>
      </c>
      <c r="E2343" s="17">
        <f>IF(B2343="","",IFERROR(INDEX(Clay_Offices!$A$2:$FZ$601,92,Sync!$C$6)&amp;"",""))</f>
        <v/>
      </c>
      <c r="F2343" s="17">
        <f>IF(B2343="","","outreach_sent")</f>
        <v/>
      </c>
      <c r="G2343" s="17">
        <f>IF(B2343="","","")</f>
        <v/>
      </c>
      <c r="H2343" s="17">
        <f>IF(B2343="","","")</f>
        <v/>
      </c>
      <c r="I2343" s="17">
        <f>IF(B2343="","","")</f>
        <v/>
      </c>
      <c r="J2343" s="17">
        <f>IF(B2343="","","touch_2; "&amp;IFERROR(INDEX(Clay_Offices!$A$2:$FZ$601,92,Sync!$C$10)&amp;"","")&amp;"; "&amp;IFERROR(INDEX(Clay_Offices!$A$2:$FZ$601,92,Sync!$C$9)&amp;"",""))</f>
        <v/>
      </c>
      <c r="K2343" t="inlineStr">
        <is>
          <t>office outreach touch 2</t>
        </is>
      </c>
    </row>
    <row r="2344">
      <c r="A2344" s="17">
        <f>IF(B2344="","",B2344+(13*1000+93)/10000000)</f>
        <v/>
      </c>
      <c r="B2344" s="23">
        <f>IF(AND(IFERROR(N(INDEX(Clay_Offices!$A$2:$FZ$601,93,Sync!$C$12)),0)&gt;0,IFERROR(INDEX(Clay_Offices!$A$2:$FZ$601,93,Sync!$C$5)&amp;"","")&lt;&gt;"",OR(LEFT(IFERROR(INDEX(Clay_Offices!$A$2:$FZ$601,93,Sync!$C$5)&amp;"",""),6)&lt;&gt;"SAMPLE",Config!$B$19="Y")),IFERROR(N(INDEX(Clay_Offices!$A$2:$FZ$601,93,Sync!$C$12)),0),"")</f>
        <v/>
      </c>
      <c r="C2344" s="17">
        <f>IF(B2344="","","office")</f>
        <v/>
      </c>
      <c r="D2344" s="17">
        <f>IF(B2344="","",IFERROR(INDEX(Clay_Offices!$A$2:$FZ$601,93,Sync!$C$5)&amp;"",""))</f>
        <v/>
      </c>
      <c r="E2344" s="17">
        <f>IF(B2344="","",IFERROR(INDEX(Clay_Offices!$A$2:$FZ$601,93,Sync!$C$6)&amp;"",""))</f>
        <v/>
      </c>
      <c r="F2344" s="17">
        <f>IF(B2344="","","outreach_sent")</f>
        <v/>
      </c>
      <c r="G2344" s="17">
        <f>IF(B2344="","","")</f>
        <v/>
      </c>
      <c r="H2344" s="17">
        <f>IF(B2344="","","")</f>
        <v/>
      </c>
      <c r="I2344" s="17">
        <f>IF(B2344="","","")</f>
        <v/>
      </c>
      <c r="J2344" s="17">
        <f>IF(B2344="","","touch_2; "&amp;IFERROR(INDEX(Clay_Offices!$A$2:$FZ$601,93,Sync!$C$10)&amp;"","")&amp;"; "&amp;IFERROR(INDEX(Clay_Offices!$A$2:$FZ$601,93,Sync!$C$9)&amp;"",""))</f>
        <v/>
      </c>
      <c r="K2344" t="inlineStr">
        <is>
          <t>office outreach touch 2</t>
        </is>
      </c>
    </row>
    <row r="2345">
      <c r="A2345" s="17">
        <f>IF(B2345="","",B2345+(13*1000+94)/10000000)</f>
        <v/>
      </c>
      <c r="B2345" s="23">
        <f>IF(AND(IFERROR(N(INDEX(Clay_Offices!$A$2:$FZ$601,94,Sync!$C$12)),0)&gt;0,IFERROR(INDEX(Clay_Offices!$A$2:$FZ$601,94,Sync!$C$5)&amp;"","")&lt;&gt;"",OR(LEFT(IFERROR(INDEX(Clay_Offices!$A$2:$FZ$601,94,Sync!$C$5)&amp;"",""),6)&lt;&gt;"SAMPLE",Config!$B$19="Y")),IFERROR(N(INDEX(Clay_Offices!$A$2:$FZ$601,94,Sync!$C$12)),0),"")</f>
        <v/>
      </c>
      <c r="C2345" s="17">
        <f>IF(B2345="","","office")</f>
        <v/>
      </c>
      <c r="D2345" s="17">
        <f>IF(B2345="","",IFERROR(INDEX(Clay_Offices!$A$2:$FZ$601,94,Sync!$C$5)&amp;"",""))</f>
        <v/>
      </c>
      <c r="E2345" s="17">
        <f>IF(B2345="","",IFERROR(INDEX(Clay_Offices!$A$2:$FZ$601,94,Sync!$C$6)&amp;"",""))</f>
        <v/>
      </c>
      <c r="F2345" s="17">
        <f>IF(B2345="","","outreach_sent")</f>
        <v/>
      </c>
      <c r="G2345" s="17">
        <f>IF(B2345="","","")</f>
        <v/>
      </c>
      <c r="H2345" s="17">
        <f>IF(B2345="","","")</f>
        <v/>
      </c>
      <c r="I2345" s="17">
        <f>IF(B2345="","","")</f>
        <v/>
      </c>
      <c r="J2345" s="17">
        <f>IF(B2345="","","touch_2; "&amp;IFERROR(INDEX(Clay_Offices!$A$2:$FZ$601,94,Sync!$C$10)&amp;"","")&amp;"; "&amp;IFERROR(INDEX(Clay_Offices!$A$2:$FZ$601,94,Sync!$C$9)&amp;"",""))</f>
        <v/>
      </c>
      <c r="K2345" t="inlineStr">
        <is>
          <t>office outreach touch 2</t>
        </is>
      </c>
    </row>
    <row r="2346">
      <c r="A2346" s="17">
        <f>IF(B2346="","",B2346+(13*1000+95)/10000000)</f>
        <v/>
      </c>
      <c r="B2346" s="23">
        <f>IF(AND(IFERROR(N(INDEX(Clay_Offices!$A$2:$FZ$601,95,Sync!$C$12)),0)&gt;0,IFERROR(INDEX(Clay_Offices!$A$2:$FZ$601,95,Sync!$C$5)&amp;"","")&lt;&gt;"",OR(LEFT(IFERROR(INDEX(Clay_Offices!$A$2:$FZ$601,95,Sync!$C$5)&amp;"",""),6)&lt;&gt;"SAMPLE",Config!$B$19="Y")),IFERROR(N(INDEX(Clay_Offices!$A$2:$FZ$601,95,Sync!$C$12)),0),"")</f>
        <v/>
      </c>
      <c r="C2346" s="17">
        <f>IF(B2346="","","office")</f>
        <v/>
      </c>
      <c r="D2346" s="17">
        <f>IF(B2346="","",IFERROR(INDEX(Clay_Offices!$A$2:$FZ$601,95,Sync!$C$5)&amp;"",""))</f>
        <v/>
      </c>
      <c r="E2346" s="17">
        <f>IF(B2346="","",IFERROR(INDEX(Clay_Offices!$A$2:$FZ$601,95,Sync!$C$6)&amp;"",""))</f>
        <v/>
      </c>
      <c r="F2346" s="17">
        <f>IF(B2346="","","outreach_sent")</f>
        <v/>
      </c>
      <c r="G2346" s="17">
        <f>IF(B2346="","","")</f>
        <v/>
      </c>
      <c r="H2346" s="17">
        <f>IF(B2346="","","")</f>
        <v/>
      </c>
      <c r="I2346" s="17">
        <f>IF(B2346="","","")</f>
        <v/>
      </c>
      <c r="J2346" s="17">
        <f>IF(B2346="","","touch_2; "&amp;IFERROR(INDEX(Clay_Offices!$A$2:$FZ$601,95,Sync!$C$10)&amp;"","")&amp;"; "&amp;IFERROR(INDEX(Clay_Offices!$A$2:$FZ$601,95,Sync!$C$9)&amp;"",""))</f>
        <v/>
      </c>
      <c r="K2346" t="inlineStr">
        <is>
          <t>office outreach touch 2</t>
        </is>
      </c>
    </row>
    <row r="2347">
      <c r="A2347" s="17">
        <f>IF(B2347="","",B2347+(13*1000+96)/10000000)</f>
        <v/>
      </c>
      <c r="B2347" s="23">
        <f>IF(AND(IFERROR(N(INDEX(Clay_Offices!$A$2:$FZ$601,96,Sync!$C$12)),0)&gt;0,IFERROR(INDEX(Clay_Offices!$A$2:$FZ$601,96,Sync!$C$5)&amp;"","")&lt;&gt;"",OR(LEFT(IFERROR(INDEX(Clay_Offices!$A$2:$FZ$601,96,Sync!$C$5)&amp;"",""),6)&lt;&gt;"SAMPLE",Config!$B$19="Y")),IFERROR(N(INDEX(Clay_Offices!$A$2:$FZ$601,96,Sync!$C$12)),0),"")</f>
        <v/>
      </c>
      <c r="C2347" s="17">
        <f>IF(B2347="","","office")</f>
        <v/>
      </c>
      <c r="D2347" s="17">
        <f>IF(B2347="","",IFERROR(INDEX(Clay_Offices!$A$2:$FZ$601,96,Sync!$C$5)&amp;"",""))</f>
        <v/>
      </c>
      <c r="E2347" s="17">
        <f>IF(B2347="","",IFERROR(INDEX(Clay_Offices!$A$2:$FZ$601,96,Sync!$C$6)&amp;"",""))</f>
        <v/>
      </c>
      <c r="F2347" s="17">
        <f>IF(B2347="","","outreach_sent")</f>
        <v/>
      </c>
      <c r="G2347" s="17">
        <f>IF(B2347="","","")</f>
        <v/>
      </c>
      <c r="H2347" s="17">
        <f>IF(B2347="","","")</f>
        <v/>
      </c>
      <c r="I2347" s="17">
        <f>IF(B2347="","","")</f>
        <v/>
      </c>
      <c r="J2347" s="17">
        <f>IF(B2347="","","touch_2; "&amp;IFERROR(INDEX(Clay_Offices!$A$2:$FZ$601,96,Sync!$C$10)&amp;"","")&amp;"; "&amp;IFERROR(INDEX(Clay_Offices!$A$2:$FZ$601,96,Sync!$C$9)&amp;"",""))</f>
        <v/>
      </c>
      <c r="K2347" t="inlineStr">
        <is>
          <t>office outreach touch 2</t>
        </is>
      </c>
    </row>
    <row r="2348">
      <c r="A2348" s="17">
        <f>IF(B2348="","",B2348+(13*1000+97)/10000000)</f>
        <v/>
      </c>
      <c r="B2348" s="23">
        <f>IF(AND(IFERROR(N(INDEX(Clay_Offices!$A$2:$FZ$601,97,Sync!$C$12)),0)&gt;0,IFERROR(INDEX(Clay_Offices!$A$2:$FZ$601,97,Sync!$C$5)&amp;"","")&lt;&gt;"",OR(LEFT(IFERROR(INDEX(Clay_Offices!$A$2:$FZ$601,97,Sync!$C$5)&amp;"",""),6)&lt;&gt;"SAMPLE",Config!$B$19="Y")),IFERROR(N(INDEX(Clay_Offices!$A$2:$FZ$601,97,Sync!$C$12)),0),"")</f>
        <v/>
      </c>
      <c r="C2348" s="17">
        <f>IF(B2348="","","office")</f>
        <v/>
      </c>
      <c r="D2348" s="17">
        <f>IF(B2348="","",IFERROR(INDEX(Clay_Offices!$A$2:$FZ$601,97,Sync!$C$5)&amp;"",""))</f>
        <v/>
      </c>
      <c r="E2348" s="17">
        <f>IF(B2348="","",IFERROR(INDEX(Clay_Offices!$A$2:$FZ$601,97,Sync!$C$6)&amp;"",""))</f>
        <v/>
      </c>
      <c r="F2348" s="17">
        <f>IF(B2348="","","outreach_sent")</f>
        <v/>
      </c>
      <c r="G2348" s="17">
        <f>IF(B2348="","","")</f>
        <v/>
      </c>
      <c r="H2348" s="17">
        <f>IF(B2348="","","")</f>
        <v/>
      </c>
      <c r="I2348" s="17">
        <f>IF(B2348="","","")</f>
        <v/>
      </c>
      <c r="J2348" s="17">
        <f>IF(B2348="","","touch_2; "&amp;IFERROR(INDEX(Clay_Offices!$A$2:$FZ$601,97,Sync!$C$10)&amp;"","")&amp;"; "&amp;IFERROR(INDEX(Clay_Offices!$A$2:$FZ$601,97,Sync!$C$9)&amp;"",""))</f>
        <v/>
      </c>
      <c r="K2348" t="inlineStr">
        <is>
          <t>office outreach touch 2</t>
        </is>
      </c>
    </row>
    <row r="2349">
      <c r="A2349" s="17">
        <f>IF(B2349="","",B2349+(13*1000+98)/10000000)</f>
        <v/>
      </c>
      <c r="B2349" s="23">
        <f>IF(AND(IFERROR(N(INDEX(Clay_Offices!$A$2:$FZ$601,98,Sync!$C$12)),0)&gt;0,IFERROR(INDEX(Clay_Offices!$A$2:$FZ$601,98,Sync!$C$5)&amp;"","")&lt;&gt;"",OR(LEFT(IFERROR(INDEX(Clay_Offices!$A$2:$FZ$601,98,Sync!$C$5)&amp;"",""),6)&lt;&gt;"SAMPLE",Config!$B$19="Y")),IFERROR(N(INDEX(Clay_Offices!$A$2:$FZ$601,98,Sync!$C$12)),0),"")</f>
        <v/>
      </c>
      <c r="C2349" s="17">
        <f>IF(B2349="","","office")</f>
        <v/>
      </c>
      <c r="D2349" s="17">
        <f>IF(B2349="","",IFERROR(INDEX(Clay_Offices!$A$2:$FZ$601,98,Sync!$C$5)&amp;"",""))</f>
        <v/>
      </c>
      <c r="E2349" s="17">
        <f>IF(B2349="","",IFERROR(INDEX(Clay_Offices!$A$2:$FZ$601,98,Sync!$C$6)&amp;"",""))</f>
        <v/>
      </c>
      <c r="F2349" s="17">
        <f>IF(B2349="","","outreach_sent")</f>
        <v/>
      </c>
      <c r="G2349" s="17">
        <f>IF(B2349="","","")</f>
        <v/>
      </c>
      <c r="H2349" s="17">
        <f>IF(B2349="","","")</f>
        <v/>
      </c>
      <c r="I2349" s="17">
        <f>IF(B2349="","","")</f>
        <v/>
      </c>
      <c r="J2349" s="17">
        <f>IF(B2349="","","touch_2; "&amp;IFERROR(INDEX(Clay_Offices!$A$2:$FZ$601,98,Sync!$C$10)&amp;"","")&amp;"; "&amp;IFERROR(INDEX(Clay_Offices!$A$2:$FZ$601,98,Sync!$C$9)&amp;"",""))</f>
        <v/>
      </c>
      <c r="K2349" t="inlineStr">
        <is>
          <t>office outreach touch 2</t>
        </is>
      </c>
    </row>
    <row r="2350">
      <c r="A2350" s="17">
        <f>IF(B2350="","",B2350+(13*1000+99)/10000000)</f>
        <v/>
      </c>
      <c r="B2350" s="23">
        <f>IF(AND(IFERROR(N(INDEX(Clay_Offices!$A$2:$FZ$601,99,Sync!$C$12)),0)&gt;0,IFERROR(INDEX(Clay_Offices!$A$2:$FZ$601,99,Sync!$C$5)&amp;"","")&lt;&gt;"",OR(LEFT(IFERROR(INDEX(Clay_Offices!$A$2:$FZ$601,99,Sync!$C$5)&amp;"",""),6)&lt;&gt;"SAMPLE",Config!$B$19="Y")),IFERROR(N(INDEX(Clay_Offices!$A$2:$FZ$601,99,Sync!$C$12)),0),"")</f>
        <v/>
      </c>
      <c r="C2350" s="17">
        <f>IF(B2350="","","office")</f>
        <v/>
      </c>
      <c r="D2350" s="17">
        <f>IF(B2350="","",IFERROR(INDEX(Clay_Offices!$A$2:$FZ$601,99,Sync!$C$5)&amp;"",""))</f>
        <v/>
      </c>
      <c r="E2350" s="17">
        <f>IF(B2350="","",IFERROR(INDEX(Clay_Offices!$A$2:$FZ$601,99,Sync!$C$6)&amp;"",""))</f>
        <v/>
      </c>
      <c r="F2350" s="17">
        <f>IF(B2350="","","outreach_sent")</f>
        <v/>
      </c>
      <c r="G2350" s="17">
        <f>IF(B2350="","","")</f>
        <v/>
      </c>
      <c r="H2350" s="17">
        <f>IF(B2350="","","")</f>
        <v/>
      </c>
      <c r="I2350" s="17">
        <f>IF(B2350="","","")</f>
        <v/>
      </c>
      <c r="J2350" s="17">
        <f>IF(B2350="","","touch_2; "&amp;IFERROR(INDEX(Clay_Offices!$A$2:$FZ$601,99,Sync!$C$10)&amp;"","")&amp;"; "&amp;IFERROR(INDEX(Clay_Offices!$A$2:$FZ$601,99,Sync!$C$9)&amp;"",""))</f>
        <v/>
      </c>
      <c r="K2350" t="inlineStr">
        <is>
          <t>office outreach touch 2</t>
        </is>
      </c>
    </row>
    <row r="2351">
      <c r="A2351" s="17">
        <f>IF(B2351="","",B2351+(13*1000+100)/10000000)</f>
        <v/>
      </c>
      <c r="B2351" s="23">
        <f>IF(AND(IFERROR(N(INDEX(Clay_Offices!$A$2:$FZ$601,100,Sync!$C$12)),0)&gt;0,IFERROR(INDEX(Clay_Offices!$A$2:$FZ$601,100,Sync!$C$5)&amp;"","")&lt;&gt;"",OR(LEFT(IFERROR(INDEX(Clay_Offices!$A$2:$FZ$601,100,Sync!$C$5)&amp;"",""),6)&lt;&gt;"SAMPLE",Config!$B$19="Y")),IFERROR(N(INDEX(Clay_Offices!$A$2:$FZ$601,100,Sync!$C$12)),0),"")</f>
        <v/>
      </c>
      <c r="C2351" s="17">
        <f>IF(B2351="","","office")</f>
        <v/>
      </c>
      <c r="D2351" s="17">
        <f>IF(B2351="","",IFERROR(INDEX(Clay_Offices!$A$2:$FZ$601,100,Sync!$C$5)&amp;"",""))</f>
        <v/>
      </c>
      <c r="E2351" s="17">
        <f>IF(B2351="","",IFERROR(INDEX(Clay_Offices!$A$2:$FZ$601,100,Sync!$C$6)&amp;"",""))</f>
        <v/>
      </c>
      <c r="F2351" s="17">
        <f>IF(B2351="","","outreach_sent")</f>
        <v/>
      </c>
      <c r="G2351" s="17">
        <f>IF(B2351="","","")</f>
        <v/>
      </c>
      <c r="H2351" s="17">
        <f>IF(B2351="","","")</f>
        <v/>
      </c>
      <c r="I2351" s="17">
        <f>IF(B2351="","","")</f>
        <v/>
      </c>
      <c r="J2351" s="17">
        <f>IF(B2351="","","touch_2; "&amp;IFERROR(INDEX(Clay_Offices!$A$2:$FZ$601,100,Sync!$C$10)&amp;"","")&amp;"; "&amp;IFERROR(INDEX(Clay_Offices!$A$2:$FZ$601,100,Sync!$C$9)&amp;"",""))</f>
        <v/>
      </c>
      <c r="K2351" t="inlineStr">
        <is>
          <t>office outreach touch 2</t>
        </is>
      </c>
    </row>
    <row r="2352">
      <c r="A2352" s="17">
        <f>IF(B2352="","",B2352+(13*1000+101)/10000000)</f>
        <v/>
      </c>
      <c r="B2352" s="23">
        <f>IF(AND(IFERROR(N(INDEX(Clay_Offices!$A$2:$FZ$601,101,Sync!$C$12)),0)&gt;0,IFERROR(INDEX(Clay_Offices!$A$2:$FZ$601,101,Sync!$C$5)&amp;"","")&lt;&gt;"",OR(LEFT(IFERROR(INDEX(Clay_Offices!$A$2:$FZ$601,101,Sync!$C$5)&amp;"",""),6)&lt;&gt;"SAMPLE",Config!$B$19="Y")),IFERROR(N(INDEX(Clay_Offices!$A$2:$FZ$601,101,Sync!$C$12)),0),"")</f>
        <v/>
      </c>
      <c r="C2352" s="17">
        <f>IF(B2352="","","office")</f>
        <v/>
      </c>
      <c r="D2352" s="17">
        <f>IF(B2352="","",IFERROR(INDEX(Clay_Offices!$A$2:$FZ$601,101,Sync!$C$5)&amp;"",""))</f>
        <v/>
      </c>
      <c r="E2352" s="17">
        <f>IF(B2352="","",IFERROR(INDEX(Clay_Offices!$A$2:$FZ$601,101,Sync!$C$6)&amp;"",""))</f>
        <v/>
      </c>
      <c r="F2352" s="17">
        <f>IF(B2352="","","outreach_sent")</f>
        <v/>
      </c>
      <c r="G2352" s="17">
        <f>IF(B2352="","","")</f>
        <v/>
      </c>
      <c r="H2352" s="17">
        <f>IF(B2352="","","")</f>
        <v/>
      </c>
      <c r="I2352" s="17">
        <f>IF(B2352="","","")</f>
        <v/>
      </c>
      <c r="J2352" s="17">
        <f>IF(B2352="","","touch_2; "&amp;IFERROR(INDEX(Clay_Offices!$A$2:$FZ$601,101,Sync!$C$10)&amp;"","")&amp;"; "&amp;IFERROR(INDEX(Clay_Offices!$A$2:$FZ$601,101,Sync!$C$9)&amp;"",""))</f>
        <v/>
      </c>
      <c r="K2352" t="inlineStr">
        <is>
          <t>office outreach touch 2</t>
        </is>
      </c>
    </row>
    <row r="2353">
      <c r="A2353" s="17">
        <f>IF(B2353="","",B2353+(13*1000+102)/10000000)</f>
        <v/>
      </c>
      <c r="B2353" s="23">
        <f>IF(AND(IFERROR(N(INDEX(Clay_Offices!$A$2:$FZ$601,102,Sync!$C$12)),0)&gt;0,IFERROR(INDEX(Clay_Offices!$A$2:$FZ$601,102,Sync!$C$5)&amp;"","")&lt;&gt;"",OR(LEFT(IFERROR(INDEX(Clay_Offices!$A$2:$FZ$601,102,Sync!$C$5)&amp;"",""),6)&lt;&gt;"SAMPLE",Config!$B$19="Y")),IFERROR(N(INDEX(Clay_Offices!$A$2:$FZ$601,102,Sync!$C$12)),0),"")</f>
        <v/>
      </c>
      <c r="C2353" s="17">
        <f>IF(B2353="","","office")</f>
        <v/>
      </c>
      <c r="D2353" s="17">
        <f>IF(B2353="","",IFERROR(INDEX(Clay_Offices!$A$2:$FZ$601,102,Sync!$C$5)&amp;"",""))</f>
        <v/>
      </c>
      <c r="E2353" s="17">
        <f>IF(B2353="","",IFERROR(INDEX(Clay_Offices!$A$2:$FZ$601,102,Sync!$C$6)&amp;"",""))</f>
        <v/>
      </c>
      <c r="F2353" s="17">
        <f>IF(B2353="","","outreach_sent")</f>
        <v/>
      </c>
      <c r="G2353" s="17">
        <f>IF(B2353="","","")</f>
        <v/>
      </c>
      <c r="H2353" s="17">
        <f>IF(B2353="","","")</f>
        <v/>
      </c>
      <c r="I2353" s="17">
        <f>IF(B2353="","","")</f>
        <v/>
      </c>
      <c r="J2353" s="17">
        <f>IF(B2353="","","touch_2; "&amp;IFERROR(INDEX(Clay_Offices!$A$2:$FZ$601,102,Sync!$C$10)&amp;"","")&amp;"; "&amp;IFERROR(INDEX(Clay_Offices!$A$2:$FZ$601,102,Sync!$C$9)&amp;"",""))</f>
        <v/>
      </c>
      <c r="K2353" t="inlineStr">
        <is>
          <t>office outreach touch 2</t>
        </is>
      </c>
    </row>
    <row r="2354">
      <c r="A2354" s="17">
        <f>IF(B2354="","",B2354+(13*1000+103)/10000000)</f>
        <v/>
      </c>
      <c r="B2354" s="23">
        <f>IF(AND(IFERROR(N(INDEX(Clay_Offices!$A$2:$FZ$601,103,Sync!$C$12)),0)&gt;0,IFERROR(INDEX(Clay_Offices!$A$2:$FZ$601,103,Sync!$C$5)&amp;"","")&lt;&gt;"",OR(LEFT(IFERROR(INDEX(Clay_Offices!$A$2:$FZ$601,103,Sync!$C$5)&amp;"",""),6)&lt;&gt;"SAMPLE",Config!$B$19="Y")),IFERROR(N(INDEX(Clay_Offices!$A$2:$FZ$601,103,Sync!$C$12)),0),"")</f>
        <v/>
      </c>
      <c r="C2354" s="17">
        <f>IF(B2354="","","office")</f>
        <v/>
      </c>
      <c r="D2354" s="17">
        <f>IF(B2354="","",IFERROR(INDEX(Clay_Offices!$A$2:$FZ$601,103,Sync!$C$5)&amp;"",""))</f>
        <v/>
      </c>
      <c r="E2354" s="17">
        <f>IF(B2354="","",IFERROR(INDEX(Clay_Offices!$A$2:$FZ$601,103,Sync!$C$6)&amp;"",""))</f>
        <v/>
      </c>
      <c r="F2354" s="17">
        <f>IF(B2354="","","outreach_sent")</f>
        <v/>
      </c>
      <c r="G2354" s="17">
        <f>IF(B2354="","","")</f>
        <v/>
      </c>
      <c r="H2354" s="17">
        <f>IF(B2354="","","")</f>
        <v/>
      </c>
      <c r="I2354" s="17">
        <f>IF(B2354="","","")</f>
        <v/>
      </c>
      <c r="J2354" s="17">
        <f>IF(B2354="","","touch_2; "&amp;IFERROR(INDEX(Clay_Offices!$A$2:$FZ$601,103,Sync!$C$10)&amp;"","")&amp;"; "&amp;IFERROR(INDEX(Clay_Offices!$A$2:$FZ$601,103,Sync!$C$9)&amp;"",""))</f>
        <v/>
      </c>
      <c r="K2354" t="inlineStr">
        <is>
          <t>office outreach touch 2</t>
        </is>
      </c>
    </row>
    <row r="2355">
      <c r="A2355" s="17">
        <f>IF(B2355="","",B2355+(13*1000+104)/10000000)</f>
        <v/>
      </c>
      <c r="B2355" s="23">
        <f>IF(AND(IFERROR(N(INDEX(Clay_Offices!$A$2:$FZ$601,104,Sync!$C$12)),0)&gt;0,IFERROR(INDEX(Clay_Offices!$A$2:$FZ$601,104,Sync!$C$5)&amp;"","")&lt;&gt;"",OR(LEFT(IFERROR(INDEX(Clay_Offices!$A$2:$FZ$601,104,Sync!$C$5)&amp;"",""),6)&lt;&gt;"SAMPLE",Config!$B$19="Y")),IFERROR(N(INDEX(Clay_Offices!$A$2:$FZ$601,104,Sync!$C$12)),0),"")</f>
        <v/>
      </c>
      <c r="C2355" s="17">
        <f>IF(B2355="","","office")</f>
        <v/>
      </c>
      <c r="D2355" s="17">
        <f>IF(B2355="","",IFERROR(INDEX(Clay_Offices!$A$2:$FZ$601,104,Sync!$C$5)&amp;"",""))</f>
        <v/>
      </c>
      <c r="E2355" s="17">
        <f>IF(B2355="","",IFERROR(INDEX(Clay_Offices!$A$2:$FZ$601,104,Sync!$C$6)&amp;"",""))</f>
        <v/>
      </c>
      <c r="F2355" s="17">
        <f>IF(B2355="","","outreach_sent")</f>
        <v/>
      </c>
      <c r="G2355" s="17">
        <f>IF(B2355="","","")</f>
        <v/>
      </c>
      <c r="H2355" s="17">
        <f>IF(B2355="","","")</f>
        <v/>
      </c>
      <c r="I2355" s="17">
        <f>IF(B2355="","","")</f>
        <v/>
      </c>
      <c r="J2355" s="17">
        <f>IF(B2355="","","touch_2; "&amp;IFERROR(INDEX(Clay_Offices!$A$2:$FZ$601,104,Sync!$C$10)&amp;"","")&amp;"; "&amp;IFERROR(INDEX(Clay_Offices!$A$2:$FZ$601,104,Sync!$C$9)&amp;"",""))</f>
        <v/>
      </c>
      <c r="K2355" t="inlineStr">
        <is>
          <t>office outreach touch 2</t>
        </is>
      </c>
    </row>
    <row r="2356">
      <c r="A2356" s="17">
        <f>IF(B2356="","",B2356+(13*1000+105)/10000000)</f>
        <v/>
      </c>
      <c r="B2356" s="23">
        <f>IF(AND(IFERROR(N(INDEX(Clay_Offices!$A$2:$FZ$601,105,Sync!$C$12)),0)&gt;0,IFERROR(INDEX(Clay_Offices!$A$2:$FZ$601,105,Sync!$C$5)&amp;"","")&lt;&gt;"",OR(LEFT(IFERROR(INDEX(Clay_Offices!$A$2:$FZ$601,105,Sync!$C$5)&amp;"",""),6)&lt;&gt;"SAMPLE",Config!$B$19="Y")),IFERROR(N(INDEX(Clay_Offices!$A$2:$FZ$601,105,Sync!$C$12)),0),"")</f>
        <v/>
      </c>
      <c r="C2356" s="17">
        <f>IF(B2356="","","office")</f>
        <v/>
      </c>
      <c r="D2356" s="17">
        <f>IF(B2356="","",IFERROR(INDEX(Clay_Offices!$A$2:$FZ$601,105,Sync!$C$5)&amp;"",""))</f>
        <v/>
      </c>
      <c r="E2356" s="17">
        <f>IF(B2356="","",IFERROR(INDEX(Clay_Offices!$A$2:$FZ$601,105,Sync!$C$6)&amp;"",""))</f>
        <v/>
      </c>
      <c r="F2356" s="17">
        <f>IF(B2356="","","outreach_sent")</f>
        <v/>
      </c>
      <c r="G2356" s="17">
        <f>IF(B2356="","","")</f>
        <v/>
      </c>
      <c r="H2356" s="17">
        <f>IF(B2356="","","")</f>
        <v/>
      </c>
      <c r="I2356" s="17">
        <f>IF(B2356="","","")</f>
        <v/>
      </c>
      <c r="J2356" s="17">
        <f>IF(B2356="","","touch_2; "&amp;IFERROR(INDEX(Clay_Offices!$A$2:$FZ$601,105,Sync!$C$10)&amp;"","")&amp;"; "&amp;IFERROR(INDEX(Clay_Offices!$A$2:$FZ$601,105,Sync!$C$9)&amp;"",""))</f>
        <v/>
      </c>
      <c r="K2356" t="inlineStr">
        <is>
          <t>office outreach touch 2</t>
        </is>
      </c>
    </row>
    <row r="2357">
      <c r="A2357" s="17">
        <f>IF(B2357="","",B2357+(13*1000+106)/10000000)</f>
        <v/>
      </c>
      <c r="B2357" s="23">
        <f>IF(AND(IFERROR(N(INDEX(Clay_Offices!$A$2:$FZ$601,106,Sync!$C$12)),0)&gt;0,IFERROR(INDEX(Clay_Offices!$A$2:$FZ$601,106,Sync!$C$5)&amp;"","")&lt;&gt;"",OR(LEFT(IFERROR(INDEX(Clay_Offices!$A$2:$FZ$601,106,Sync!$C$5)&amp;"",""),6)&lt;&gt;"SAMPLE",Config!$B$19="Y")),IFERROR(N(INDEX(Clay_Offices!$A$2:$FZ$601,106,Sync!$C$12)),0),"")</f>
        <v/>
      </c>
      <c r="C2357" s="17">
        <f>IF(B2357="","","office")</f>
        <v/>
      </c>
      <c r="D2357" s="17">
        <f>IF(B2357="","",IFERROR(INDEX(Clay_Offices!$A$2:$FZ$601,106,Sync!$C$5)&amp;"",""))</f>
        <v/>
      </c>
      <c r="E2357" s="17">
        <f>IF(B2357="","",IFERROR(INDEX(Clay_Offices!$A$2:$FZ$601,106,Sync!$C$6)&amp;"",""))</f>
        <v/>
      </c>
      <c r="F2357" s="17">
        <f>IF(B2357="","","outreach_sent")</f>
        <v/>
      </c>
      <c r="G2357" s="17">
        <f>IF(B2357="","","")</f>
        <v/>
      </c>
      <c r="H2357" s="17">
        <f>IF(B2357="","","")</f>
        <v/>
      </c>
      <c r="I2357" s="17">
        <f>IF(B2357="","","")</f>
        <v/>
      </c>
      <c r="J2357" s="17">
        <f>IF(B2357="","","touch_2; "&amp;IFERROR(INDEX(Clay_Offices!$A$2:$FZ$601,106,Sync!$C$10)&amp;"","")&amp;"; "&amp;IFERROR(INDEX(Clay_Offices!$A$2:$FZ$601,106,Sync!$C$9)&amp;"",""))</f>
        <v/>
      </c>
      <c r="K2357" t="inlineStr">
        <is>
          <t>office outreach touch 2</t>
        </is>
      </c>
    </row>
    <row r="2358">
      <c r="A2358" s="17">
        <f>IF(B2358="","",B2358+(13*1000+107)/10000000)</f>
        <v/>
      </c>
      <c r="B2358" s="23">
        <f>IF(AND(IFERROR(N(INDEX(Clay_Offices!$A$2:$FZ$601,107,Sync!$C$12)),0)&gt;0,IFERROR(INDEX(Clay_Offices!$A$2:$FZ$601,107,Sync!$C$5)&amp;"","")&lt;&gt;"",OR(LEFT(IFERROR(INDEX(Clay_Offices!$A$2:$FZ$601,107,Sync!$C$5)&amp;"",""),6)&lt;&gt;"SAMPLE",Config!$B$19="Y")),IFERROR(N(INDEX(Clay_Offices!$A$2:$FZ$601,107,Sync!$C$12)),0),"")</f>
        <v/>
      </c>
      <c r="C2358" s="17">
        <f>IF(B2358="","","office")</f>
        <v/>
      </c>
      <c r="D2358" s="17">
        <f>IF(B2358="","",IFERROR(INDEX(Clay_Offices!$A$2:$FZ$601,107,Sync!$C$5)&amp;"",""))</f>
        <v/>
      </c>
      <c r="E2358" s="17">
        <f>IF(B2358="","",IFERROR(INDEX(Clay_Offices!$A$2:$FZ$601,107,Sync!$C$6)&amp;"",""))</f>
        <v/>
      </c>
      <c r="F2358" s="17">
        <f>IF(B2358="","","outreach_sent")</f>
        <v/>
      </c>
      <c r="G2358" s="17">
        <f>IF(B2358="","","")</f>
        <v/>
      </c>
      <c r="H2358" s="17">
        <f>IF(B2358="","","")</f>
        <v/>
      </c>
      <c r="I2358" s="17">
        <f>IF(B2358="","","")</f>
        <v/>
      </c>
      <c r="J2358" s="17">
        <f>IF(B2358="","","touch_2; "&amp;IFERROR(INDEX(Clay_Offices!$A$2:$FZ$601,107,Sync!$C$10)&amp;"","")&amp;"; "&amp;IFERROR(INDEX(Clay_Offices!$A$2:$FZ$601,107,Sync!$C$9)&amp;"",""))</f>
        <v/>
      </c>
      <c r="K2358" t="inlineStr">
        <is>
          <t>office outreach touch 2</t>
        </is>
      </c>
    </row>
    <row r="2359">
      <c r="A2359" s="17">
        <f>IF(B2359="","",B2359+(13*1000+108)/10000000)</f>
        <v/>
      </c>
      <c r="B2359" s="23">
        <f>IF(AND(IFERROR(N(INDEX(Clay_Offices!$A$2:$FZ$601,108,Sync!$C$12)),0)&gt;0,IFERROR(INDEX(Clay_Offices!$A$2:$FZ$601,108,Sync!$C$5)&amp;"","")&lt;&gt;"",OR(LEFT(IFERROR(INDEX(Clay_Offices!$A$2:$FZ$601,108,Sync!$C$5)&amp;"",""),6)&lt;&gt;"SAMPLE",Config!$B$19="Y")),IFERROR(N(INDEX(Clay_Offices!$A$2:$FZ$601,108,Sync!$C$12)),0),"")</f>
        <v/>
      </c>
      <c r="C2359" s="17">
        <f>IF(B2359="","","office")</f>
        <v/>
      </c>
      <c r="D2359" s="17">
        <f>IF(B2359="","",IFERROR(INDEX(Clay_Offices!$A$2:$FZ$601,108,Sync!$C$5)&amp;"",""))</f>
        <v/>
      </c>
      <c r="E2359" s="17">
        <f>IF(B2359="","",IFERROR(INDEX(Clay_Offices!$A$2:$FZ$601,108,Sync!$C$6)&amp;"",""))</f>
        <v/>
      </c>
      <c r="F2359" s="17">
        <f>IF(B2359="","","outreach_sent")</f>
        <v/>
      </c>
      <c r="G2359" s="17">
        <f>IF(B2359="","","")</f>
        <v/>
      </c>
      <c r="H2359" s="17">
        <f>IF(B2359="","","")</f>
        <v/>
      </c>
      <c r="I2359" s="17">
        <f>IF(B2359="","","")</f>
        <v/>
      </c>
      <c r="J2359" s="17">
        <f>IF(B2359="","","touch_2; "&amp;IFERROR(INDEX(Clay_Offices!$A$2:$FZ$601,108,Sync!$C$10)&amp;"","")&amp;"; "&amp;IFERROR(INDEX(Clay_Offices!$A$2:$FZ$601,108,Sync!$C$9)&amp;"",""))</f>
        <v/>
      </c>
      <c r="K2359" t="inlineStr">
        <is>
          <t>office outreach touch 2</t>
        </is>
      </c>
    </row>
    <row r="2360">
      <c r="A2360" s="17">
        <f>IF(B2360="","",B2360+(13*1000+109)/10000000)</f>
        <v/>
      </c>
      <c r="B2360" s="23">
        <f>IF(AND(IFERROR(N(INDEX(Clay_Offices!$A$2:$FZ$601,109,Sync!$C$12)),0)&gt;0,IFERROR(INDEX(Clay_Offices!$A$2:$FZ$601,109,Sync!$C$5)&amp;"","")&lt;&gt;"",OR(LEFT(IFERROR(INDEX(Clay_Offices!$A$2:$FZ$601,109,Sync!$C$5)&amp;"",""),6)&lt;&gt;"SAMPLE",Config!$B$19="Y")),IFERROR(N(INDEX(Clay_Offices!$A$2:$FZ$601,109,Sync!$C$12)),0),"")</f>
        <v/>
      </c>
      <c r="C2360" s="17">
        <f>IF(B2360="","","office")</f>
        <v/>
      </c>
      <c r="D2360" s="17">
        <f>IF(B2360="","",IFERROR(INDEX(Clay_Offices!$A$2:$FZ$601,109,Sync!$C$5)&amp;"",""))</f>
        <v/>
      </c>
      <c r="E2360" s="17">
        <f>IF(B2360="","",IFERROR(INDEX(Clay_Offices!$A$2:$FZ$601,109,Sync!$C$6)&amp;"",""))</f>
        <v/>
      </c>
      <c r="F2360" s="17">
        <f>IF(B2360="","","outreach_sent")</f>
        <v/>
      </c>
      <c r="G2360" s="17">
        <f>IF(B2360="","","")</f>
        <v/>
      </c>
      <c r="H2360" s="17">
        <f>IF(B2360="","","")</f>
        <v/>
      </c>
      <c r="I2360" s="17">
        <f>IF(B2360="","","")</f>
        <v/>
      </c>
      <c r="J2360" s="17">
        <f>IF(B2360="","","touch_2; "&amp;IFERROR(INDEX(Clay_Offices!$A$2:$FZ$601,109,Sync!$C$10)&amp;"","")&amp;"; "&amp;IFERROR(INDEX(Clay_Offices!$A$2:$FZ$601,109,Sync!$C$9)&amp;"",""))</f>
        <v/>
      </c>
      <c r="K2360" t="inlineStr">
        <is>
          <t>office outreach touch 2</t>
        </is>
      </c>
    </row>
    <row r="2361">
      <c r="A2361" s="17">
        <f>IF(B2361="","",B2361+(13*1000+110)/10000000)</f>
        <v/>
      </c>
      <c r="B2361" s="23">
        <f>IF(AND(IFERROR(N(INDEX(Clay_Offices!$A$2:$FZ$601,110,Sync!$C$12)),0)&gt;0,IFERROR(INDEX(Clay_Offices!$A$2:$FZ$601,110,Sync!$C$5)&amp;"","")&lt;&gt;"",OR(LEFT(IFERROR(INDEX(Clay_Offices!$A$2:$FZ$601,110,Sync!$C$5)&amp;"",""),6)&lt;&gt;"SAMPLE",Config!$B$19="Y")),IFERROR(N(INDEX(Clay_Offices!$A$2:$FZ$601,110,Sync!$C$12)),0),"")</f>
        <v/>
      </c>
      <c r="C2361" s="17">
        <f>IF(B2361="","","office")</f>
        <v/>
      </c>
      <c r="D2361" s="17">
        <f>IF(B2361="","",IFERROR(INDEX(Clay_Offices!$A$2:$FZ$601,110,Sync!$C$5)&amp;"",""))</f>
        <v/>
      </c>
      <c r="E2361" s="17">
        <f>IF(B2361="","",IFERROR(INDEX(Clay_Offices!$A$2:$FZ$601,110,Sync!$C$6)&amp;"",""))</f>
        <v/>
      </c>
      <c r="F2361" s="17">
        <f>IF(B2361="","","outreach_sent")</f>
        <v/>
      </c>
      <c r="G2361" s="17">
        <f>IF(B2361="","","")</f>
        <v/>
      </c>
      <c r="H2361" s="17">
        <f>IF(B2361="","","")</f>
        <v/>
      </c>
      <c r="I2361" s="17">
        <f>IF(B2361="","","")</f>
        <v/>
      </c>
      <c r="J2361" s="17">
        <f>IF(B2361="","","touch_2; "&amp;IFERROR(INDEX(Clay_Offices!$A$2:$FZ$601,110,Sync!$C$10)&amp;"","")&amp;"; "&amp;IFERROR(INDEX(Clay_Offices!$A$2:$FZ$601,110,Sync!$C$9)&amp;"",""))</f>
        <v/>
      </c>
      <c r="K2361" t="inlineStr">
        <is>
          <t>office outreach touch 2</t>
        </is>
      </c>
    </row>
    <row r="2362">
      <c r="A2362" s="17">
        <f>IF(B2362="","",B2362+(13*1000+111)/10000000)</f>
        <v/>
      </c>
      <c r="B2362" s="23">
        <f>IF(AND(IFERROR(N(INDEX(Clay_Offices!$A$2:$FZ$601,111,Sync!$C$12)),0)&gt;0,IFERROR(INDEX(Clay_Offices!$A$2:$FZ$601,111,Sync!$C$5)&amp;"","")&lt;&gt;"",OR(LEFT(IFERROR(INDEX(Clay_Offices!$A$2:$FZ$601,111,Sync!$C$5)&amp;"",""),6)&lt;&gt;"SAMPLE",Config!$B$19="Y")),IFERROR(N(INDEX(Clay_Offices!$A$2:$FZ$601,111,Sync!$C$12)),0),"")</f>
        <v/>
      </c>
      <c r="C2362" s="17">
        <f>IF(B2362="","","office")</f>
        <v/>
      </c>
      <c r="D2362" s="17">
        <f>IF(B2362="","",IFERROR(INDEX(Clay_Offices!$A$2:$FZ$601,111,Sync!$C$5)&amp;"",""))</f>
        <v/>
      </c>
      <c r="E2362" s="17">
        <f>IF(B2362="","",IFERROR(INDEX(Clay_Offices!$A$2:$FZ$601,111,Sync!$C$6)&amp;"",""))</f>
        <v/>
      </c>
      <c r="F2362" s="17">
        <f>IF(B2362="","","outreach_sent")</f>
        <v/>
      </c>
      <c r="G2362" s="17">
        <f>IF(B2362="","","")</f>
        <v/>
      </c>
      <c r="H2362" s="17">
        <f>IF(B2362="","","")</f>
        <v/>
      </c>
      <c r="I2362" s="17">
        <f>IF(B2362="","","")</f>
        <v/>
      </c>
      <c r="J2362" s="17">
        <f>IF(B2362="","","touch_2; "&amp;IFERROR(INDEX(Clay_Offices!$A$2:$FZ$601,111,Sync!$C$10)&amp;"","")&amp;"; "&amp;IFERROR(INDEX(Clay_Offices!$A$2:$FZ$601,111,Sync!$C$9)&amp;"",""))</f>
        <v/>
      </c>
      <c r="K2362" t="inlineStr">
        <is>
          <t>office outreach touch 2</t>
        </is>
      </c>
    </row>
    <row r="2363">
      <c r="A2363" s="17">
        <f>IF(B2363="","",B2363+(13*1000+112)/10000000)</f>
        <v/>
      </c>
      <c r="B2363" s="23">
        <f>IF(AND(IFERROR(N(INDEX(Clay_Offices!$A$2:$FZ$601,112,Sync!$C$12)),0)&gt;0,IFERROR(INDEX(Clay_Offices!$A$2:$FZ$601,112,Sync!$C$5)&amp;"","")&lt;&gt;"",OR(LEFT(IFERROR(INDEX(Clay_Offices!$A$2:$FZ$601,112,Sync!$C$5)&amp;"",""),6)&lt;&gt;"SAMPLE",Config!$B$19="Y")),IFERROR(N(INDEX(Clay_Offices!$A$2:$FZ$601,112,Sync!$C$12)),0),"")</f>
        <v/>
      </c>
      <c r="C2363" s="17">
        <f>IF(B2363="","","office")</f>
        <v/>
      </c>
      <c r="D2363" s="17">
        <f>IF(B2363="","",IFERROR(INDEX(Clay_Offices!$A$2:$FZ$601,112,Sync!$C$5)&amp;"",""))</f>
        <v/>
      </c>
      <c r="E2363" s="17">
        <f>IF(B2363="","",IFERROR(INDEX(Clay_Offices!$A$2:$FZ$601,112,Sync!$C$6)&amp;"",""))</f>
        <v/>
      </c>
      <c r="F2363" s="17">
        <f>IF(B2363="","","outreach_sent")</f>
        <v/>
      </c>
      <c r="G2363" s="17">
        <f>IF(B2363="","","")</f>
        <v/>
      </c>
      <c r="H2363" s="17">
        <f>IF(B2363="","","")</f>
        <v/>
      </c>
      <c r="I2363" s="17">
        <f>IF(B2363="","","")</f>
        <v/>
      </c>
      <c r="J2363" s="17">
        <f>IF(B2363="","","touch_2; "&amp;IFERROR(INDEX(Clay_Offices!$A$2:$FZ$601,112,Sync!$C$10)&amp;"","")&amp;"; "&amp;IFERROR(INDEX(Clay_Offices!$A$2:$FZ$601,112,Sync!$C$9)&amp;"",""))</f>
        <v/>
      </c>
      <c r="K2363" t="inlineStr">
        <is>
          <t>office outreach touch 2</t>
        </is>
      </c>
    </row>
    <row r="2364">
      <c r="A2364" s="17">
        <f>IF(B2364="","",B2364+(13*1000+113)/10000000)</f>
        <v/>
      </c>
      <c r="B2364" s="23">
        <f>IF(AND(IFERROR(N(INDEX(Clay_Offices!$A$2:$FZ$601,113,Sync!$C$12)),0)&gt;0,IFERROR(INDEX(Clay_Offices!$A$2:$FZ$601,113,Sync!$C$5)&amp;"","")&lt;&gt;"",OR(LEFT(IFERROR(INDEX(Clay_Offices!$A$2:$FZ$601,113,Sync!$C$5)&amp;"",""),6)&lt;&gt;"SAMPLE",Config!$B$19="Y")),IFERROR(N(INDEX(Clay_Offices!$A$2:$FZ$601,113,Sync!$C$12)),0),"")</f>
        <v/>
      </c>
      <c r="C2364" s="17">
        <f>IF(B2364="","","office")</f>
        <v/>
      </c>
      <c r="D2364" s="17">
        <f>IF(B2364="","",IFERROR(INDEX(Clay_Offices!$A$2:$FZ$601,113,Sync!$C$5)&amp;"",""))</f>
        <v/>
      </c>
      <c r="E2364" s="17">
        <f>IF(B2364="","",IFERROR(INDEX(Clay_Offices!$A$2:$FZ$601,113,Sync!$C$6)&amp;"",""))</f>
        <v/>
      </c>
      <c r="F2364" s="17">
        <f>IF(B2364="","","outreach_sent")</f>
        <v/>
      </c>
      <c r="G2364" s="17">
        <f>IF(B2364="","","")</f>
        <v/>
      </c>
      <c r="H2364" s="17">
        <f>IF(B2364="","","")</f>
        <v/>
      </c>
      <c r="I2364" s="17">
        <f>IF(B2364="","","")</f>
        <v/>
      </c>
      <c r="J2364" s="17">
        <f>IF(B2364="","","touch_2; "&amp;IFERROR(INDEX(Clay_Offices!$A$2:$FZ$601,113,Sync!$C$10)&amp;"","")&amp;"; "&amp;IFERROR(INDEX(Clay_Offices!$A$2:$FZ$601,113,Sync!$C$9)&amp;"",""))</f>
        <v/>
      </c>
      <c r="K2364" t="inlineStr">
        <is>
          <t>office outreach touch 2</t>
        </is>
      </c>
    </row>
    <row r="2365">
      <c r="A2365" s="17">
        <f>IF(B2365="","",B2365+(13*1000+114)/10000000)</f>
        <v/>
      </c>
      <c r="B2365" s="23">
        <f>IF(AND(IFERROR(N(INDEX(Clay_Offices!$A$2:$FZ$601,114,Sync!$C$12)),0)&gt;0,IFERROR(INDEX(Clay_Offices!$A$2:$FZ$601,114,Sync!$C$5)&amp;"","")&lt;&gt;"",OR(LEFT(IFERROR(INDEX(Clay_Offices!$A$2:$FZ$601,114,Sync!$C$5)&amp;"",""),6)&lt;&gt;"SAMPLE",Config!$B$19="Y")),IFERROR(N(INDEX(Clay_Offices!$A$2:$FZ$601,114,Sync!$C$12)),0),"")</f>
        <v/>
      </c>
      <c r="C2365" s="17">
        <f>IF(B2365="","","office")</f>
        <v/>
      </c>
      <c r="D2365" s="17">
        <f>IF(B2365="","",IFERROR(INDEX(Clay_Offices!$A$2:$FZ$601,114,Sync!$C$5)&amp;"",""))</f>
        <v/>
      </c>
      <c r="E2365" s="17">
        <f>IF(B2365="","",IFERROR(INDEX(Clay_Offices!$A$2:$FZ$601,114,Sync!$C$6)&amp;"",""))</f>
        <v/>
      </c>
      <c r="F2365" s="17">
        <f>IF(B2365="","","outreach_sent")</f>
        <v/>
      </c>
      <c r="G2365" s="17">
        <f>IF(B2365="","","")</f>
        <v/>
      </c>
      <c r="H2365" s="17">
        <f>IF(B2365="","","")</f>
        <v/>
      </c>
      <c r="I2365" s="17">
        <f>IF(B2365="","","")</f>
        <v/>
      </c>
      <c r="J2365" s="17">
        <f>IF(B2365="","","touch_2; "&amp;IFERROR(INDEX(Clay_Offices!$A$2:$FZ$601,114,Sync!$C$10)&amp;"","")&amp;"; "&amp;IFERROR(INDEX(Clay_Offices!$A$2:$FZ$601,114,Sync!$C$9)&amp;"",""))</f>
        <v/>
      </c>
      <c r="K2365" t="inlineStr">
        <is>
          <t>office outreach touch 2</t>
        </is>
      </c>
    </row>
    <row r="2366">
      <c r="A2366" s="17">
        <f>IF(B2366="","",B2366+(13*1000+115)/10000000)</f>
        <v/>
      </c>
      <c r="B2366" s="23">
        <f>IF(AND(IFERROR(N(INDEX(Clay_Offices!$A$2:$FZ$601,115,Sync!$C$12)),0)&gt;0,IFERROR(INDEX(Clay_Offices!$A$2:$FZ$601,115,Sync!$C$5)&amp;"","")&lt;&gt;"",OR(LEFT(IFERROR(INDEX(Clay_Offices!$A$2:$FZ$601,115,Sync!$C$5)&amp;"",""),6)&lt;&gt;"SAMPLE",Config!$B$19="Y")),IFERROR(N(INDEX(Clay_Offices!$A$2:$FZ$601,115,Sync!$C$12)),0),"")</f>
        <v/>
      </c>
      <c r="C2366" s="17">
        <f>IF(B2366="","","office")</f>
        <v/>
      </c>
      <c r="D2366" s="17">
        <f>IF(B2366="","",IFERROR(INDEX(Clay_Offices!$A$2:$FZ$601,115,Sync!$C$5)&amp;"",""))</f>
        <v/>
      </c>
      <c r="E2366" s="17">
        <f>IF(B2366="","",IFERROR(INDEX(Clay_Offices!$A$2:$FZ$601,115,Sync!$C$6)&amp;"",""))</f>
        <v/>
      </c>
      <c r="F2366" s="17">
        <f>IF(B2366="","","outreach_sent")</f>
        <v/>
      </c>
      <c r="G2366" s="17">
        <f>IF(B2366="","","")</f>
        <v/>
      </c>
      <c r="H2366" s="17">
        <f>IF(B2366="","","")</f>
        <v/>
      </c>
      <c r="I2366" s="17">
        <f>IF(B2366="","","")</f>
        <v/>
      </c>
      <c r="J2366" s="17">
        <f>IF(B2366="","","touch_2; "&amp;IFERROR(INDEX(Clay_Offices!$A$2:$FZ$601,115,Sync!$C$10)&amp;"","")&amp;"; "&amp;IFERROR(INDEX(Clay_Offices!$A$2:$FZ$601,115,Sync!$C$9)&amp;"",""))</f>
        <v/>
      </c>
      <c r="K2366" t="inlineStr">
        <is>
          <t>office outreach touch 2</t>
        </is>
      </c>
    </row>
    <row r="2367">
      <c r="A2367" s="17">
        <f>IF(B2367="","",B2367+(13*1000+116)/10000000)</f>
        <v/>
      </c>
      <c r="B2367" s="23">
        <f>IF(AND(IFERROR(N(INDEX(Clay_Offices!$A$2:$FZ$601,116,Sync!$C$12)),0)&gt;0,IFERROR(INDEX(Clay_Offices!$A$2:$FZ$601,116,Sync!$C$5)&amp;"","")&lt;&gt;"",OR(LEFT(IFERROR(INDEX(Clay_Offices!$A$2:$FZ$601,116,Sync!$C$5)&amp;"",""),6)&lt;&gt;"SAMPLE",Config!$B$19="Y")),IFERROR(N(INDEX(Clay_Offices!$A$2:$FZ$601,116,Sync!$C$12)),0),"")</f>
        <v/>
      </c>
      <c r="C2367" s="17">
        <f>IF(B2367="","","office")</f>
        <v/>
      </c>
      <c r="D2367" s="17">
        <f>IF(B2367="","",IFERROR(INDEX(Clay_Offices!$A$2:$FZ$601,116,Sync!$C$5)&amp;"",""))</f>
        <v/>
      </c>
      <c r="E2367" s="17">
        <f>IF(B2367="","",IFERROR(INDEX(Clay_Offices!$A$2:$FZ$601,116,Sync!$C$6)&amp;"",""))</f>
        <v/>
      </c>
      <c r="F2367" s="17">
        <f>IF(B2367="","","outreach_sent")</f>
        <v/>
      </c>
      <c r="G2367" s="17">
        <f>IF(B2367="","","")</f>
        <v/>
      </c>
      <c r="H2367" s="17">
        <f>IF(B2367="","","")</f>
        <v/>
      </c>
      <c r="I2367" s="17">
        <f>IF(B2367="","","")</f>
        <v/>
      </c>
      <c r="J2367" s="17">
        <f>IF(B2367="","","touch_2; "&amp;IFERROR(INDEX(Clay_Offices!$A$2:$FZ$601,116,Sync!$C$10)&amp;"","")&amp;"; "&amp;IFERROR(INDEX(Clay_Offices!$A$2:$FZ$601,116,Sync!$C$9)&amp;"",""))</f>
        <v/>
      </c>
      <c r="K2367" t="inlineStr">
        <is>
          <t>office outreach touch 2</t>
        </is>
      </c>
    </row>
    <row r="2368">
      <c r="A2368" s="17">
        <f>IF(B2368="","",B2368+(13*1000+117)/10000000)</f>
        <v/>
      </c>
      <c r="B2368" s="23">
        <f>IF(AND(IFERROR(N(INDEX(Clay_Offices!$A$2:$FZ$601,117,Sync!$C$12)),0)&gt;0,IFERROR(INDEX(Clay_Offices!$A$2:$FZ$601,117,Sync!$C$5)&amp;"","")&lt;&gt;"",OR(LEFT(IFERROR(INDEX(Clay_Offices!$A$2:$FZ$601,117,Sync!$C$5)&amp;"",""),6)&lt;&gt;"SAMPLE",Config!$B$19="Y")),IFERROR(N(INDEX(Clay_Offices!$A$2:$FZ$601,117,Sync!$C$12)),0),"")</f>
        <v/>
      </c>
      <c r="C2368" s="17">
        <f>IF(B2368="","","office")</f>
        <v/>
      </c>
      <c r="D2368" s="17">
        <f>IF(B2368="","",IFERROR(INDEX(Clay_Offices!$A$2:$FZ$601,117,Sync!$C$5)&amp;"",""))</f>
        <v/>
      </c>
      <c r="E2368" s="17">
        <f>IF(B2368="","",IFERROR(INDEX(Clay_Offices!$A$2:$FZ$601,117,Sync!$C$6)&amp;"",""))</f>
        <v/>
      </c>
      <c r="F2368" s="17">
        <f>IF(B2368="","","outreach_sent")</f>
        <v/>
      </c>
      <c r="G2368" s="17">
        <f>IF(B2368="","","")</f>
        <v/>
      </c>
      <c r="H2368" s="17">
        <f>IF(B2368="","","")</f>
        <v/>
      </c>
      <c r="I2368" s="17">
        <f>IF(B2368="","","")</f>
        <v/>
      </c>
      <c r="J2368" s="17">
        <f>IF(B2368="","","touch_2; "&amp;IFERROR(INDEX(Clay_Offices!$A$2:$FZ$601,117,Sync!$C$10)&amp;"","")&amp;"; "&amp;IFERROR(INDEX(Clay_Offices!$A$2:$FZ$601,117,Sync!$C$9)&amp;"",""))</f>
        <v/>
      </c>
      <c r="K2368" t="inlineStr">
        <is>
          <t>office outreach touch 2</t>
        </is>
      </c>
    </row>
    <row r="2369">
      <c r="A2369" s="17">
        <f>IF(B2369="","",B2369+(13*1000+118)/10000000)</f>
        <v/>
      </c>
      <c r="B2369" s="23">
        <f>IF(AND(IFERROR(N(INDEX(Clay_Offices!$A$2:$FZ$601,118,Sync!$C$12)),0)&gt;0,IFERROR(INDEX(Clay_Offices!$A$2:$FZ$601,118,Sync!$C$5)&amp;"","")&lt;&gt;"",OR(LEFT(IFERROR(INDEX(Clay_Offices!$A$2:$FZ$601,118,Sync!$C$5)&amp;"",""),6)&lt;&gt;"SAMPLE",Config!$B$19="Y")),IFERROR(N(INDEX(Clay_Offices!$A$2:$FZ$601,118,Sync!$C$12)),0),"")</f>
        <v/>
      </c>
      <c r="C2369" s="17">
        <f>IF(B2369="","","office")</f>
        <v/>
      </c>
      <c r="D2369" s="17">
        <f>IF(B2369="","",IFERROR(INDEX(Clay_Offices!$A$2:$FZ$601,118,Sync!$C$5)&amp;"",""))</f>
        <v/>
      </c>
      <c r="E2369" s="17">
        <f>IF(B2369="","",IFERROR(INDEX(Clay_Offices!$A$2:$FZ$601,118,Sync!$C$6)&amp;"",""))</f>
        <v/>
      </c>
      <c r="F2369" s="17">
        <f>IF(B2369="","","outreach_sent")</f>
        <v/>
      </c>
      <c r="G2369" s="17">
        <f>IF(B2369="","","")</f>
        <v/>
      </c>
      <c r="H2369" s="17">
        <f>IF(B2369="","","")</f>
        <v/>
      </c>
      <c r="I2369" s="17">
        <f>IF(B2369="","","")</f>
        <v/>
      </c>
      <c r="J2369" s="17">
        <f>IF(B2369="","","touch_2; "&amp;IFERROR(INDEX(Clay_Offices!$A$2:$FZ$601,118,Sync!$C$10)&amp;"","")&amp;"; "&amp;IFERROR(INDEX(Clay_Offices!$A$2:$FZ$601,118,Sync!$C$9)&amp;"",""))</f>
        <v/>
      </c>
      <c r="K2369" t="inlineStr">
        <is>
          <t>office outreach touch 2</t>
        </is>
      </c>
    </row>
    <row r="2370">
      <c r="A2370" s="17">
        <f>IF(B2370="","",B2370+(13*1000+119)/10000000)</f>
        <v/>
      </c>
      <c r="B2370" s="23">
        <f>IF(AND(IFERROR(N(INDEX(Clay_Offices!$A$2:$FZ$601,119,Sync!$C$12)),0)&gt;0,IFERROR(INDEX(Clay_Offices!$A$2:$FZ$601,119,Sync!$C$5)&amp;"","")&lt;&gt;"",OR(LEFT(IFERROR(INDEX(Clay_Offices!$A$2:$FZ$601,119,Sync!$C$5)&amp;"",""),6)&lt;&gt;"SAMPLE",Config!$B$19="Y")),IFERROR(N(INDEX(Clay_Offices!$A$2:$FZ$601,119,Sync!$C$12)),0),"")</f>
        <v/>
      </c>
      <c r="C2370" s="17">
        <f>IF(B2370="","","office")</f>
        <v/>
      </c>
      <c r="D2370" s="17">
        <f>IF(B2370="","",IFERROR(INDEX(Clay_Offices!$A$2:$FZ$601,119,Sync!$C$5)&amp;"",""))</f>
        <v/>
      </c>
      <c r="E2370" s="17">
        <f>IF(B2370="","",IFERROR(INDEX(Clay_Offices!$A$2:$FZ$601,119,Sync!$C$6)&amp;"",""))</f>
        <v/>
      </c>
      <c r="F2370" s="17">
        <f>IF(B2370="","","outreach_sent")</f>
        <v/>
      </c>
      <c r="G2370" s="17">
        <f>IF(B2370="","","")</f>
        <v/>
      </c>
      <c r="H2370" s="17">
        <f>IF(B2370="","","")</f>
        <v/>
      </c>
      <c r="I2370" s="17">
        <f>IF(B2370="","","")</f>
        <v/>
      </c>
      <c r="J2370" s="17">
        <f>IF(B2370="","","touch_2; "&amp;IFERROR(INDEX(Clay_Offices!$A$2:$FZ$601,119,Sync!$C$10)&amp;"","")&amp;"; "&amp;IFERROR(INDEX(Clay_Offices!$A$2:$FZ$601,119,Sync!$C$9)&amp;"",""))</f>
        <v/>
      </c>
      <c r="K2370" t="inlineStr">
        <is>
          <t>office outreach touch 2</t>
        </is>
      </c>
    </row>
    <row r="2371">
      <c r="A2371" s="17">
        <f>IF(B2371="","",B2371+(13*1000+120)/10000000)</f>
        <v/>
      </c>
      <c r="B2371" s="23">
        <f>IF(AND(IFERROR(N(INDEX(Clay_Offices!$A$2:$FZ$601,120,Sync!$C$12)),0)&gt;0,IFERROR(INDEX(Clay_Offices!$A$2:$FZ$601,120,Sync!$C$5)&amp;"","")&lt;&gt;"",OR(LEFT(IFERROR(INDEX(Clay_Offices!$A$2:$FZ$601,120,Sync!$C$5)&amp;"",""),6)&lt;&gt;"SAMPLE",Config!$B$19="Y")),IFERROR(N(INDEX(Clay_Offices!$A$2:$FZ$601,120,Sync!$C$12)),0),"")</f>
        <v/>
      </c>
      <c r="C2371" s="17">
        <f>IF(B2371="","","office")</f>
        <v/>
      </c>
      <c r="D2371" s="17">
        <f>IF(B2371="","",IFERROR(INDEX(Clay_Offices!$A$2:$FZ$601,120,Sync!$C$5)&amp;"",""))</f>
        <v/>
      </c>
      <c r="E2371" s="17">
        <f>IF(B2371="","",IFERROR(INDEX(Clay_Offices!$A$2:$FZ$601,120,Sync!$C$6)&amp;"",""))</f>
        <v/>
      </c>
      <c r="F2371" s="17">
        <f>IF(B2371="","","outreach_sent")</f>
        <v/>
      </c>
      <c r="G2371" s="17">
        <f>IF(B2371="","","")</f>
        <v/>
      </c>
      <c r="H2371" s="17">
        <f>IF(B2371="","","")</f>
        <v/>
      </c>
      <c r="I2371" s="17">
        <f>IF(B2371="","","")</f>
        <v/>
      </c>
      <c r="J2371" s="17">
        <f>IF(B2371="","","touch_2; "&amp;IFERROR(INDEX(Clay_Offices!$A$2:$FZ$601,120,Sync!$C$10)&amp;"","")&amp;"; "&amp;IFERROR(INDEX(Clay_Offices!$A$2:$FZ$601,120,Sync!$C$9)&amp;"",""))</f>
        <v/>
      </c>
      <c r="K2371" t="inlineStr">
        <is>
          <t>office outreach touch 2</t>
        </is>
      </c>
    </row>
    <row r="2372">
      <c r="A2372" s="17">
        <f>IF(B2372="","",B2372+(13*1000+121)/10000000)</f>
        <v/>
      </c>
      <c r="B2372" s="23">
        <f>IF(AND(IFERROR(N(INDEX(Clay_Offices!$A$2:$FZ$601,121,Sync!$C$12)),0)&gt;0,IFERROR(INDEX(Clay_Offices!$A$2:$FZ$601,121,Sync!$C$5)&amp;"","")&lt;&gt;"",OR(LEFT(IFERROR(INDEX(Clay_Offices!$A$2:$FZ$601,121,Sync!$C$5)&amp;"",""),6)&lt;&gt;"SAMPLE",Config!$B$19="Y")),IFERROR(N(INDEX(Clay_Offices!$A$2:$FZ$601,121,Sync!$C$12)),0),"")</f>
        <v/>
      </c>
      <c r="C2372" s="17">
        <f>IF(B2372="","","office")</f>
        <v/>
      </c>
      <c r="D2372" s="17">
        <f>IF(B2372="","",IFERROR(INDEX(Clay_Offices!$A$2:$FZ$601,121,Sync!$C$5)&amp;"",""))</f>
        <v/>
      </c>
      <c r="E2372" s="17">
        <f>IF(B2372="","",IFERROR(INDEX(Clay_Offices!$A$2:$FZ$601,121,Sync!$C$6)&amp;"",""))</f>
        <v/>
      </c>
      <c r="F2372" s="17">
        <f>IF(B2372="","","outreach_sent")</f>
        <v/>
      </c>
      <c r="G2372" s="17">
        <f>IF(B2372="","","")</f>
        <v/>
      </c>
      <c r="H2372" s="17">
        <f>IF(B2372="","","")</f>
        <v/>
      </c>
      <c r="I2372" s="17">
        <f>IF(B2372="","","")</f>
        <v/>
      </c>
      <c r="J2372" s="17">
        <f>IF(B2372="","","touch_2; "&amp;IFERROR(INDEX(Clay_Offices!$A$2:$FZ$601,121,Sync!$C$10)&amp;"","")&amp;"; "&amp;IFERROR(INDEX(Clay_Offices!$A$2:$FZ$601,121,Sync!$C$9)&amp;"",""))</f>
        <v/>
      </c>
      <c r="K2372" t="inlineStr">
        <is>
          <t>office outreach touch 2</t>
        </is>
      </c>
    </row>
    <row r="2373">
      <c r="A2373" s="17">
        <f>IF(B2373="","",B2373+(13*1000+122)/10000000)</f>
        <v/>
      </c>
      <c r="B2373" s="23">
        <f>IF(AND(IFERROR(N(INDEX(Clay_Offices!$A$2:$FZ$601,122,Sync!$C$12)),0)&gt;0,IFERROR(INDEX(Clay_Offices!$A$2:$FZ$601,122,Sync!$C$5)&amp;"","")&lt;&gt;"",OR(LEFT(IFERROR(INDEX(Clay_Offices!$A$2:$FZ$601,122,Sync!$C$5)&amp;"",""),6)&lt;&gt;"SAMPLE",Config!$B$19="Y")),IFERROR(N(INDEX(Clay_Offices!$A$2:$FZ$601,122,Sync!$C$12)),0),"")</f>
        <v/>
      </c>
      <c r="C2373" s="17">
        <f>IF(B2373="","","office")</f>
        <v/>
      </c>
      <c r="D2373" s="17">
        <f>IF(B2373="","",IFERROR(INDEX(Clay_Offices!$A$2:$FZ$601,122,Sync!$C$5)&amp;"",""))</f>
        <v/>
      </c>
      <c r="E2373" s="17">
        <f>IF(B2373="","",IFERROR(INDEX(Clay_Offices!$A$2:$FZ$601,122,Sync!$C$6)&amp;"",""))</f>
        <v/>
      </c>
      <c r="F2373" s="17">
        <f>IF(B2373="","","outreach_sent")</f>
        <v/>
      </c>
      <c r="G2373" s="17">
        <f>IF(B2373="","","")</f>
        <v/>
      </c>
      <c r="H2373" s="17">
        <f>IF(B2373="","","")</f>
        <v/>
      </c>
      <c r="I2373" s="17">
        <f>IF(B2373="","","")</f>
        <v/>
      </c>
      <c r="J2373" s="17">
        <f>IF(B2373="","","touch_2; "&amp;IFERROR(INDEX(Clay_Offices!$A$2:$FZ$601,122,Sync!$C$10)&amp;"","")&amp;"; "&amp;IFERROR(INDEX(Clay_Offices!$A$2:$FZ$601,122,Sync!$C$9)&amp;"",""))</f>
        <v/>
      </c>
      <c r="K2373" t="inlineStr">
        <is>
          <t>office outreach touch 2</t>
        </is>
      </c>
    </row>
    <row r="2374">
      <c r="A2374" s="17">
        <f>IF(B2374="","",B2374+(13*1000+123)/10000000)</f>
        <v/>
      </c>
      <c r="B2374" s="23">
        <f>IF(AND(IFERROR(N(INDEX(Clay_Offices!$A$2:$FZ$601,123,Sync!$C$12)),0)&gt;0,IFERROR(INDEX(Clay_Offices!$A$2:$FZ$601,123,Sync!$C$5)&amp;"","")&lt;&gt;"",OR(LEFT(IFERROR(INDEX(Clay_Offices!$A$2:$FZ$601,123,Sync!$C$5)&amp;"",""),6)&lt;&gt;"SAMPLE",Config!$B$19="Y")),IFERROR(N(INDEX(Clay_Offices!$A$2:$FZ$601,123,Sync!$C$12)),0),"")</f>
        <v/>
      </c>
      <c r="C2374" s="17">
        <f>IF(B2374="","","office")</f>
        <v/>
      </c>
      <c r="D2374" s="17">
        <f>IF(B2374="","",IFERROR(INDEX(Clay_Offices!$A$2:$FZ$601,123,Sync!$C$5)&amp;"",""))</f>
        <v/>
      </c>
      <c r="E2374" s="17">
        <f>IF(B2374="","",IFERROR(INDEX(Clay_Offices!$A$2:$FZ$601,123,Sync!$C$6)&amp;"",""))</f>
        <v/>
      </c>
      <c r="F2374" s="17">
        <f>IF(B2374="","","outreach_sent")</f>
        <v/>
      </c>
      <c r="G2374" s="17">
        <f>IF(B2374="","","")</f>
        <v/>
      </c>
      <c r="H2374" s="17">
        <f>IF(B2374="","","")</f>
        <v/>
      </c>
      <c r="I2374" s="17">
        <f>IF(B2374="","","")</f>
        <v/>
      </c>
      <c r="J2374" s="17">
        <f>IF(B2374="","","touch_2; "&amp;IFERROR(INDEX(Clay_Offices!$A$2:$FZ$601,123,Sync!$C$10)&amp;"","")&amp;"; "&amp;IFERROR(INDEX(Clay_Offices!$A$2:$FZ$601,123,Sync!$C$9)&amp;"",""))</f>
        <v/>
      </c>
      <c r="K2374" t="inlineStr">
        <is>
          <t>office outreach touch 2</t>
        </is>
      </c>
    </row>
    <row r="2375">
      <c r="A2375" s="17">
        <f>IF(B2375="","",B2375+(13*1000+124)/10000000)</f>
        <v/>
      </c>
      <c r="B2375" s="23">
        <f>IF(AND(IFERROR(N(INDEX(Clay_Offices!$A$2:$FZ$601,124,Sync!$C$12)),0)&gt;0,IFERROR(INDEX(Clay_Offices!$A$2:$FZ$601,124,Sync!$C$5)&amp;"","")&lt;&gt;"",OR(LEFT(IFERROR(INDEX(Clay_Offices!$A$2:$FZ$601,124,Sync!$C$5)&amp;"",""),6)&lt;&gt;"SAMPLE",Config!$B$19="Y")),IFERROR(N(INDEX(Clay_Offices!$A$2:$FZ$601,124,Sync!$C$12)),0),"")</f>
        <v/>
      </c>
      <c r="C2375" s="17">
        <f>IF(B2375="","","office")</f>
        <v/>
      </c>
      <c r="D2375" s="17">
        <f>IF(B2375="","",IFERROR(INDEX(Clay_Offices!$A$2:$FZ$601,124,Sync!$C$5)&amp;"",""))</f>
        <v/>
      </c>
      <c r="E2375" s="17">
        <f>IF(B2375="","",IFERROR(INDEX(Clay_Offices!$A$2:$FZ$601,124,Sync!$C$6)&amp;"",""))</f>
        <v/>
      </c>
      <c r="F2375" s="17">
        <f>IF(B2375="","","outreach_sent")</f>
        <v/>
      </c>
      <c r="G2375" s="17">
        <f>IF(B2375="","","")</f>
        <v/>
      </c>
      <c r="H2375" s="17">
        <f>IF(B2375="","","")</f>
        <v/>
      </c>
      <c r="I2375" s="17">
        <f>IF(B2375="","","")</f>
        <v/>
      </c>
      <c r="J2375" s="17">
        <f>IF(B2375="","","touch_2; "&amp;IFERROR(INDEX(Clay_Offices!$A$2:$FZ$601,124,Sync!$C$10)&amp;"","")&amp;"; "&amp;IFERROR(INDEX(Clay_Offices!$A$2:$FZ$601,124,Sync!$C$9)&amp;"",""))</f>
        <v/>
      </c>
      <c r="K2375" t="inlineStr">
        <is>
          <t>office outreach touch 2</t>
        </is>
      </c>
    </row>
    <row r="2376">
      <c r="A2376" s="17">
        <f>IF(B2376="","",B2376+(13*1000+125)/10000000)</f>
        <v/>
      </c>
      <c r="B2376" s="23">
        <f>IF(AND(IFERROR(N(INDEX(Clay_Offices!$A$2:$FZ$601,125,Sync!$C$12)),0)&gt;0,IFERROR(INDEX(Clay_Offices!$A$2:$FZ$601,125,Sync!$C$5)&amp;"","")&lt;&gt;"",OR(LEFT(IFERROR(INDEX(Clay_Offices!$A$2:$FZ$601,125,Sync!$C$5)&amp;"",""),6)&lt;&gt;"SAMPLE",Config!$B$19="Y")),IFERROR(N(INDEX(Clay_Offices!$A$2:$FZ$601,125,Sync!$C$12)),0),"")</f>
        <v/>
      </c>
      <c r="C2376" s="17">
        <f>IF(B2376="","","office")</f>
        <v/>
      </c>
      <c r="D2376" s="17">
        <f>IF(B2376="","",IFERROR(INDEX(Clay_Offices!$A$2:$FZ$601,125,Sync!$C$5)&amp;"",""))</f>
        <v/>
      </c>
      <c r="E2376" s="17">
        <f>IF(B2376="","",IFERROR(INDEX(Clay_Offices!$A$2:$FZ$601,125,Sync!$C$6)&amp;"",""))</f>
        <v/>
      </c>
      <c r="F2376" s="17">
        <f>IF(B2376="","","outreach_sent")</f>
        <v/>
      </c>
      <c r="G2376" s="17">
        <f>IF(B2376="","","")</f>
        <v/>
      </c>
      <c r="H2376" s="17">
        <f>IF(B2376="","","")</f>
        <v/>
      </c>
      <c r="I2376" s="17">
        <f>IF(B2376="","","")</f>
        <v/>
      </c>
      <c r="J2376" s="17">
        <f>IF(B2376="","","touch_2; "&amp;IFERROR(INDEX(Clay_Offices!$A$2:$FZ$601,125,Sync!$C$10)&amp;"","")&amp;"; "&amp;IFERROR(INDEX(Clay_Offices!$A$2:$FZ$601,125,Sync!$C$9)&amp;"",""))</f>
        <v/>
      </c>
      <c r="K2376" t="inlineStr">
        <is>
          <t>office outreach touch 2</t>
        </is>
      </c>
    </row>
    <row r="2377">
      <c r="A2377" s="17">
        <f>IF(B2377="","",B2377+(13*1000+126)/10000000)</f>
        <v/>
      </c>
      <c r="B2377" s="23">
        <f>IF(AND(IFERROR(N(INDEX(Clay_Offices!$A$2:$FZ$601,126,Sync!$C$12)),0)&gt;0,IFERROR(INDEX(Clay_Offices!$A$2:$FZ$601,126,Sync!$C$5)&amp;"","")&lt;&gt;"",OR(LEFT(IFERROR(INDEX(Clay_Offices!$A$2:$FZ$601,126,Sync!$C$5)&amp;"",""),6)&lt;&gt;"SAMPLE",Config!$B$19="Y")),IFERROR(N(INDEX(Clay_Offices!$A$2:$FZ$601,126,Sync!$C$12)),0),"")</f>
        <v/>
      </c>
      <c r="C2377" s="17">
        <f>IF(B2377="","","office")</f>
        <v/>
      </c>
      <c r="D2377" s="17">
        <f>IF(B2377="","",IFERROR(INDEX(Clay_Offices!$A$2:$FZ$601,126,Sync!$C$5)&amp;"",""))</f>
        <v/>
      </c>
      <c r="E2377" s="17">
        <f>IF(B2377="","",IFERROR(INDEX(Clay_Offices!$A$2:$FZ$601,126,Sync!$C$6)&amp;"",""))</f>
        <v/>
      </c>
      <c r="F2377" s="17">
        <f>IF(B2377="","","outreach_sent")</f>
        <v/>
      </c>
      <c r="G2377" s="17">
        <f>IF(B2377="","","")</f>
        <v/>
      </c>
      <c r="H2377" s="17">
        <f>IF(B2377="","","")</f>
        <v/>
      </c>
      <c r="I2377" s="17">
        <f>IF(B2377="","","")</f>
        <v/>
      </c>
      <c r="J2377" s="17">
        <f>IF(B2377="","","touch_2; "&amp;IFERROR(INDEX(Clay_Offices!$A$2:$FZ$601,126,Sync!$C$10)&amp;"","")&amp;"; "&amp;IFERROR(INDEX(Clay_Offices!$A$2:$FZ$601,126,Sync!$C$9)&amp;"",""))</f>
        <v/>
      </c>
      <c r="K2377" t="inlineStr">
        <is>
          <t>office outreach touch 2</t>
        </is>
      </c>
    </row>
    <row r="2378">
      <c r="A2378" s="17">
        <f>IF(B2378="","",B2378+(13*1000+127)/10000000)</f>
        <v/>
      </c>
      <c r="B2378" s="23">
        <f>IF(AND(IFERROR(N(INDEX(Clay_Offices!$A$2:$FZ$601,127,Sync!$C$12)),0)&gt;0,IFERROR(INDEX(Clay_Offices!$A$2:$FZ$601,127,Sync!$C$5)&amp;"","")&lt;&gt;"",OR(LEFT(IFERROR(INDEX(Clay_Offices!$A$2:$FZ$601,127,Sync!$C$5)&amp;"",""),6)&lt;&gt;"SAMPLE",Config!$B$19="Y")),IFERROR(N(INDEX(Clay_Offices!$A$2:$FZ$601,127,Sync!$C$12)),0),"")</f>
        <v/>
      </c>
      <c r="C2378" s="17">
        <f>IF(B2378="","","office")</f>
        <v/>
      </c>
      <c r="D2378" s="17">
        <f>IF(B2378="","",IFERROR(INDEX(Clay_Offices!$A$2:$FZ$601,127,Sync!$C$5)&amp;"",""))</f>
        <v/>
      </c>
      <c r="E2378" s="17">
        <f>IF(B2378="","",IFERROR(INDEX(Clay_Offices!$A$2:$FZ$601,127,Sync!$C$6)&amp;"",""))</f>
        <v/>
      </c>
      <c r="F2378" s="17">
        <f>IF(B2378="","","outreach_sent")</f>
        <v/>
      </c>
      <c r="G2378" s="17">
        <f>IF(B2378="","","")</f>
        <v/>
      </c>
      <c r="H2378" s="17">
        <f>IF(B2378="","","")</f>
        <v/>
      </c>
      <c r="I2378" s="17">
        <f>IF(B2378="","","")</f>
        <v/>
      </c>
      <c r="J2378" s="17">
        <f>IF(B2378="","","touch_2; "&amp;IFERROR(INDEX(Clay_Offices!$A$2:$FZ$601,127,Sync!$C$10)&amp;"","")&amp;"; "&amp;IFERROR(INDEX(Clay_Offices!$A$2:$FZ$601,127,Sync!$C$9)&amp;"",""))</f>
        <v/>
      </c>
      <c r="K2378" t="inlineStr">
        <is>
          <t>office outreach touch 2</t>
        </is>
      </c>
    </row>
    <row r="2379">
      <c r="A2379" s="17">
        <f>IF(B2379="","",B2379+(13*1000+128)/10000000)</f>
        <v/>
      </c>
      <c r="B2379" s="23">
        <f>IF(AND(IFERROR(N(INDEX(Clay_Offices!$A$2:$FZ$601,128,Sync!$C$12)),0)&gt;0,IFERROR(INDEX(Clay_Offices!$A$2:$FZ$601,128,Sync!$C$5)&amp;"","")&lt;&gt;"",OR(LEFT(IFERROR(INDEX(Clay_Offices!$A$2:$FZ$601,128,Sync!$C$5)&amp;"",""),6)&lt;&gt;"SAMPLE",Config!$B$19="Y")),IFERROR(N(INDEX(Clay_Offices!$A$2:$FZ$601,128,Sync!$C$12)),0),"")</f>
        <v/>
      </c>
      <c r="C2379" s="17">
        <f>IF(B2379="","","office")</f>
        <v/>
      </c>
      <c r="D2379" s="17">
        <f>IF(B2379="","",IFERROR(INDEX(Clay_Offices!$A$2:$FZ$601,128,Sync!$C$5)&amp;"",""))</f>
        <v/>
      </c>
      <c r="E2379" s="17">
        <f>IF(B2379="","",IFERROR(INDEX(Clay_Offices!$A$2:$FZ$601,128,Sync!$C$6)&amp;"",""))</f>
        <v/>
      </c>
      <c r="F2379" s="17">
        <f>IF(B2379="","","outreach_sent")</f>
        <v/>
      </c>
      <c r="G2379" s="17">
        <f>IF(B2379="","","")</f>
        <v/>
      </c>
      <c r="H2379" s="17">
        <f>IF(B2379="","","")</f>
        <v/>
      </c>
      <c r="I2379" s="17">
        <f>IF(B2379="","","")</f>
        <v/>
      </c>
      <c r="J2379" s="17">
        <f>IF(B2379="","","touch_2; "&amp;IFERROR(INDEX(Clay_Offices!$A$2:$FZ$601,128,Sync!$C$10)&amp;"","")&amp;"; "&amp;IFERROR(INDEX(Clay_Offices!$A$2:$FZ$601,128,Sync!$C$9)&amp;"",""))</f>
        <v/>
      </c>
      <c r="K2379" t="inlineStr">
        <is>
          <t>office outreach touch 2</t>
        </is>
      </c>
    </row>
    <row r="2380">
      <c r="A2380" s="17">
        <f>IF(B2380="","",B2380+(13*1000+129)/10000000)</f>
        <v/>
      </c>
      <c r="B2380" s="23">
        <f>IF(AND(IFERROR(N(INDEX(Clay_Offices!$A$2:$FZ$601,129,Sync!$C$12)),0)&gt;0,IFERROR(INDEX(Clay_Offices!$A$2:$FZ$601,129,Sync!$C$5)&amp;"","")&lt;&gt;"",OR(LEFT(IFERROR(INDEX(Clay_Offices!$A$2:$FZ$601,129,Sync!$C$5)&amp;"",""),6)&lt;&gt;"SAMPLE",Config!$B$19="Y")),IFERROR(N(INDEX(Clay_Offices!$A$2:$FZ$601,129,Sync!$C$12)),0),"")</f>
        <v/>
      </c>
      <c r="C2380" s="17">
        <f>IF(B2380="","","office")</f>
        <v/>
      </c>
      <c r="D2380" s="17">
        <f>IF(B2380="","",IFERROR(INDEX(Clay_Offices!$A$2:$FZ$601,129,Sync!$C$5)&amp;"",""))</f>
        <v/>
      </c>
      <c r="E2380" s="17">
        <f>IF(B2380="","",IFERROR(INDEX(Clay_Offices!$A$2:$FZ$601,129,Sync!$C$6)&amp;"",""))</f>
        <v/>
      </c>
      <c r="F2380" s="17">
        <f>IF(B2380="","","outreach_sent")</f>
        <v/>
      </c>
      <c r="G2380" s="17">
        <f>IF(B2380="","","")</f>
        <v/>
      </c>
      <c r="H2380" s="17">
        <f>IF(B2380="","","")</f>
        <v/>
      </c>
      <c r="I2380" s="17">
        <f>IF(B2380="","","")</f>
        <v/>
      </c>
      <c r="J2380" s="17">
        <f>IF(B2380="","","touch_2; "&amp;IFERROR(INDEX(Clay_Offices!$A$2:$FZ$601,129,Sync!$C$10)&amp;"","")&amp;"; "&amp;IFERROR(INDEX(Clay_Offices!$A$2:$FZ$601,129,Sync!$C$9)&amp;"",""))</f>
        <v/>
      </c>
      <c r="K2380" t="inlineStr">
        <is>
          <t>office outreach touch 2</t>
        </is>
      </c>
    </row>
    <row r="2381">
      <c r="A2381" s="17">
        <f>IF(B2381="","",B2381+(13*1000+130)/10000000)</f>
        <v/>
      </c>
      <c r="B2381" s="23">
        <f>IF(AND(IFERROR(N(INDEX(Clay_Offices!$A$2:$FZ$601,130,Sync!$C$12)),0)&gt;0,IFERROR(INDEX(Clay_Offices!$A$2:$FZ$601,130,Sync!$C$5)&amp;"","")&lt;&gt;"",OR(LEFT(IFERROR(INDEX(Clay_Offices!$A$2:$FZ$601,130,Sync!$C$5)&amp;"",""),6)&lt;&gt;"SAMPLE",Config!$B$19="Y")),IFERROR(N(INDEX(Clay_Offices!$A$2:$FZ$601,130,Sync!$C$12)),0),"")</f>
        <v/>
      </c>
      <c r="C2381" s="17">
        <f>IF(B2381="","","office")</f>
        <v/>
      </c>
      <c r="D2381" s="17">
        <f>IF(B2381="","",IFERROR(INDEX(Clay_Offices!$A$2:$FZ$601,130,Sync!$C$5)&amp;"",""))</f>
        <v/>
      </c>
      <c r="E2381" s="17">
        <f>IF(B2381="","",IFERROR(INDEX(Clay_Offices!$A$2:$FZ$601,130,Sync!$C$6)&amp;"",""))</f>
        <v/>
      </c>
      <c r="F2381" s="17">
        <f>IF(B2381="","","outreach_sent")</f>
        <v/>
      </c>
      <c r="G2381" s="17">
        <f>IF(B2381="","","")</f>
        <v/>
      </c>
      <c r="H2381" s="17">
        <f>IF(B2381="","","")</f>
        <v/>
      </c>
      <c r="I2381" s="17">
        <f>IF(B2381="","","")</f>
        <v/>
      </c>
      <c r="J2381" s="17">
        <f>IF(B2381="","","touch_2; "&amp;IFERROR(INDEX(Clay_Offices!$A$2:$FZ$601,130,Sync!$C$10)&amp;"","")&amp;"; "&amp;IFERROR(INDEX(Clay_Offices!$A$2:$FZ$601,130,Sync!$C$9)&amp;"",""))</f>
        <v/>
      </c>
      <c r="K2381" t="inlineStr">
        <is>
          <t>office outreach touch 2</t>
        </is>
      </c>
    </row>
    <row r="2382">
      <c r="A2382" s="17">
        <f>IF(B2382="","",B2382+(13*1000+131)/10000000)</f>
        <v/>
      </c>
      <c r="B2382" s="23">
        <f>IF(AND(IFERROR(N(INDEX(Clay_Offices!$A$2:$FZ$601,131,Sync!$C$12)),0)&gt;0,IFERROR(INDEX(Clay_Offices!$A$2:$FZ$601,131,Sync!$C$5)&amp;"","")&lt;&gt;"",OR(LEFT(IFERROR(INDEX(Clay_Offices!$A$2:$FZ$601,131,Sync!$C$5)&amp;"",""),6)&lt;&gt;"SAMPLE",Config!$B$19="Y")),IFERROR(N(INDEX(Clay_Offices!$A$2:$FZ$601,131,Sync!$C$12)),0),"")</f>
        <v/>
      </c>
      <c r="C2382" s="17">
        <f>IF(B2382="","","office")</f>
        <v/>
      </c>
      <c r="D2382" s="17">
        <f>IF(B2382="","",IFERROR(INDEX(Clay_Offices!$A$2:$FZ$601,131,Sync!$C$5)&amp;"",""))</f>
        <v/>
      </c>
      <c r="E2382" s="17">
        <f>IF(B2382="","",IFERROR(INDEX(Clay_Offices!$A$2:$FZ$601,131,Sync!$C$6)&amp;"",""))</f>
        <v/>
      </c>
      <c r="F2382" s="17">
        <f>IF(B2382="","","outreach_sent")</f>
        <v/>
      </c>
      <c r="G2382" s="17">
        <f>IF(B2382="","","")</f>
        <v/>
      </c>
      <c r="H2382" s="17">
        <f>IF(B2382="","","")</f>
        <v/>
      </c>
      <c r="I2382" s="17">
        <f>IF(B2382="","","")</f>
        <v/>
      </c>
      <c r="J2382" s="17">
        <f>IF(B2382="","","touch_2; "&amp;IFERROR(INDEX(Clay_Offices!$A$2:$FZ$601,131,Sync!$C$10)&amp;"","")&amp;"; "&amp;IFERROR(INDEX(Clay_Offices!$A$2:$FZ$601,131,Sync!$C$9)&amp;"",""))</f>
        <v/>
      </c>
      <c r="K2382" t="inlineStr">
        <is>
          <t>office outreach touch 2</t>
        </is>
      </c>
    </row>
    <row r="2383">
      <c r="A2383" s="17">
        <f>IF(B2383="","",B2383+(13*1000+132)/10000000)</f>
        <v/>
      </c>
      <c r="B2383" s="23">
        <f>IF(AND(IFERROR(N(INDEX(Clay_Offices!$A$2:$FZ$601,132,Sync!$C$12)),0)&gt;0,IFERROR(INDEX(Clay_Offices!$A$2:$FZ$601,132,Sync!$C$5)&amp;"","")&lt;&gt;"",OR(LEFT(IFERROR(INDEX(Clay_Offices!$A$2:$FZ$601,132,Sync!$C$5)&amp;"",""),6)&lt;&gt;"SAMPLE",Config!$B$19="Y")),IFERROR(N(INDEX(Clay_Offices!$A$2:$FZ$601,132,Sync!$C$12)),0),"")</f>
        <v/>
      </c>
      <c r="C2383" s="17">
        <f>IF(B2383="","","office")</f>
        <v/>
      </c>
      <c r="D2383" s="17">
        <f>IF(B2383="","",IFERROR(INDEX(Clay_Offices!$A$2:$FZ$601,132,Sync!$C$5)&amp;"",""))</f>
        <v/>
      </c>
      <c r="E2383" s="17">
        <f>IF(B2383="","",IFERROR(INDEX(Clay_Offices!$A$2:$FZ$601,132,Sync!$C$6)&amp;"",""))</f>
        <v/>
      </c>
      <c r="F2383" s="17">
        <f>IF(B2383="","","outreach_sent")</f>
        <v/>
      </c>
      <c r="G2383" s="17">
        <f>IF(B2383="","","")</f>
        <v/>
      </c>
      <c r="H2383" s="17">
        <f>IF(B2383="","","")</f>
        <v/>
      </c>
      <c r="I2383" s="17">
        <f>IF(B2383="","","")</f>
        <v/>
      </c>
      <c r="J2383" s="17">
        <f>IF(B2383="","","touch_2; "&amp;IFERROR(INDEX(Clay_Offices!$A$2:$FZ$601,132,Sync!$C$10)&amp;"","")&amp;"; "&amp;IFERROR(INDEX(Clay_Offices!$A$2:$FZ$601,132,Sync!$C$9)&amp;"",""))</f>
        <v/>
      </c>
      <c r="K2383" t="inlineStr">
        <is>
          <t>office outreach touch 2</t>
        </is>
      </c>
    </row>
    <row r="2384">
      <c r="A2384" s="17">
        <f>IF(B2384="","",B2384+(13*1000+133)/10000000)</f>
        <v/>
      </c>
      <c r="B2384" s="23">
        <f>IF(AND(IFERROR(N(INDEX(Clay_Offices!$A$2:$FZ$601,133,Sync!$C$12)),0)&gt;0,IFERROR(INDEX(Clay_Offices!$A$2:$FZ$601,133,Sync!$C$5)&amp;"","")&lt;&gt;"",OR(LEFT(IFERROR(INDEX(Clay_Offices!$A$2:$FZ$601,133,Sync!$C$5)&amp;"",""),6)&lt;&gt;"SAMPLE",Config!$B$19="Y")),IFERROR(N(INDEX(Clay_Offices!$A$2:$FZ$601,133,Sync!$C$12)),0),"")</f>
        <v/>
      </c>
      <c r="C2384" s="17">
        <f>IF(B2384="","","office")</f>
        <v/>
      </c>
      <c r="D2384" s="17">
        <f>IF(B2384="","",IFERROR(INDEX(Clay_Offices!$A$2:$FZ$601,133,Sync!$C$5)&amp;"",""))</f>
        <v/>
      </c>
      <c r="E2384" s="17">
        <f>IF(B2384="","",IFERROR(INDEX(Clay_Offices!$A$2:$FZ$601,133,Sync!$C$6)&amp;"",""))</f>
        <v/>
      </c>
      <c r="F2384" s="17">
        <f>IF(B2384="","","outreach_sent")</f>
        <v/>
      </c>
      <c r="G2384" s="17">
        <f>IF(B2384="","","")</f>
        <v/>
      </c>
      <c r="H2384" s="17">
        <f>IF(B2384="","","")</f>
        <v/>
      </c>
      <c r="I2384" s="17">
        <f>IF(B2384="","","")</f>
        <v/>
      </c>
      <c r="J2384" s="17">
        <f>IF(B2384="","","touch_2; "&amp;IFERROR(INDEX(Clay_Offices!$A$2:$FZ$601,133,Sync!$C$10)&amp;"","")&amp;"; "&amp;IFERROR(INDEX(Clay_Offices!$A$2:$FZ$601,133,Sync!$C$9)&amp;"",""))</f>
        <v/>
      </c>
      <c r="K2384" t="inlineStr">
        <is>
          <t>office outreach touch 2</t>
        </is>
      </c>
    </row>
    <row r="2385">
      <c r="A2385" s="17">
        <f>IF(B2385="","",B2385+(13*1000+134)/10000000)</f>
        <v/>
      </c>
      <c r="B2385" s="23">
        <f>IF(AND(IFERROR(N(INDEX(Clay_Offices!$A$2:$FZ$601,134,Sync!$C$12)),0)&gt;0,IFERROR(INDEX(Clay_Offices!$A$2:$FZ$601,134,Sync!$C$5)&amp;"","")&lt;&gt;"",OR(LEFT(IFERROR(INDEX(Clay_Offices!$A$2:$FZ$601,134,Sync!$C$5)&amp;"",""),6)&lt;&gt;"SAMPLE",Config!$B$19="Y")),IFERROR(N(INDEX(Clay_Offices!$A$2:$FZ$601,134,Sync!$C$12)),0),"")</f>
        <v/>
      </c>
      <c r="C2385" s="17">
        <f>IF(B2385="","","office")</f>
        <v/>
      </c>
      <c r="D2385" s="17">
        <f>IF(B2385="","",IFERROR(INDEX(Clay_Offices!$A$2:$FZ$601,134,Sync!$C$5)&amp;"",""))</f>
        <v/>
      </c>
      <c r="E2385" s="17">
        <f>IF(B2385="","",IFERROR(INDEX(Clay_Offices!$A$2:$FZ$601,134,Sync!$C$6)&amp;"",""))</f>
        <v/>
      </c>
      <c r="F2385" s="17">
        <f>IF(B2385="","","outreach_sent")</f>
        <v/>
      </c>
      <c r="G2385" s="17">
        <f>IF(B2385="","","")</f>
        <v/>
      </c>
      <c r="H2385" s="17">
        <f>IF(B2385="","","")</f>
        <v/>
      </c>
      <c r="I2385" s="17">
        <f>IF(B2385="","","")</f>
        <v/>
      </c>
      <c r="J2385" s="17">
        <f>IF(B2385="","","touch_2; "&amp;IFERROR(INDEX(Clay_Offices!$A$2:$FZ$601,134,Sync!$C$10)&amp;"","")&amp;"; "&amp;IFERROR(INDEX(Clay_Offices!$A$2:$FZ$601,134,Sync!$C$9)&amp;"",""))</f>
        <v/>
      </c>
      <c r="K2385" t="inlineStr">
        <is>
          <t>office outreach touch 2</t>
        </is>
      </c>
    </row>
    <row r="2386">
      <c r="A2386" s="17">
        <f>IF(B2386="","",B2386+(13*1000+135)/10000000)</f>
        <v/>
      </c>
      <c r="B2386" s="23">
        <f>IF(AND(IFERROR(N(INDEX(Clay_Offices!$A$2:$FZ$601,135,Sync!$C$12)),0)&gt;0,IFERROR(INDEX(Clay_Offices!$A$2:$FZ$601,135,Sync!$C$5)&amp;"","")&lt;&gt;"",OR(LEFT(IFERROR(INDEX(Clay_Offices!$A$2:$FZ$601,135,Sync!$C$5)&amp;"",""),6)&lt;&gt;"SAMPLE",Config!$B$19="Y")),IFERROR(N(INDEX(Clay_Offices!$A$2:$FZ$601,135,Sync!$C$12)),0),"")</f>
        <v/>
      </c>
      <c r="C2386" s="17">
        <f>IF(B2386="","","office")</f>
        <v/>
      </c>
      <c r="D2386" s="17">
        <f>IF(B2386="","",IFERROR(INDEX(Clay_Offices!$A$2:$FZ$601,135,Sync!$C$5)&amp;"",""))</f>
        <v/>
      </c>
      <c r="E2386" s="17">
        <f>IF(B2386="","",IFERROR(INDEX(Clay_Offices!$A$2:$FZ$601,135,Sync!$C$6)&amp;"",""))</f>
        <v/>
      </c>
      <c r="F2386" s="17">
        <f>IF(B2386="","","outreach_sent")</f>
        <v/>
      </c>
      <c r="G2386" s="17">
        <f>IF(B2386="","","")</f>
        <v/>
      </c>
      <c r="H2386" s="17">
        <f>IF(B2386="","","")</f>
        <v/>
      </c>
      <c r="I2386" s="17">
        <f>IF(B2386="","","")</f>
        <v/>
      </c>
      <c r="J2386" s="17">
        <f>IF(B2386="","","touch_2; "&amp;IFERROR(INDEX(Clay_Offices!$A$2:$FZ$601,135,Sync!$C$10)&amp;"","")&amp;"; "&amp;IFERROR(INDEX(Clay_Offices!$A$2:$FZ$601,135,Sync!$C$9)&amp;"",""))</f>
        <v/>
      </c>
      <c r="K2386" t="inlineStr">
        <is>
          <t>office outreach touch 2</t>
        </is>
      </c>
    </row>
    <row r="2387">
      <c r="A2387" s="17">
        <f>IF(B2387="","",B2387+(13*1000+136)/10000000)</f>
        <v/>
      </c>
      <c r="B2387" s="23">
        <f>IF(AND(IFERROR(N(INDEX(Clay_Offices!$A$2:$FZ$601,136,Sync!$C$12)),0)&gt;0,IFERROR(INDEX(Clay_Offices!$A$2:$FZ$601,136,Sync!$C$5)&amp;"","")&lt;&gt;"",OR(LEFT(IFERROR(INDEX(Clay_Offices!$A$2:$FZ$601,136,Sync!$C$5)&amp;"",""),6)&lt;&gt;"SAMPLE",Config!$B$19="Y")),IFERROR(N(INDEX(Clay_Offices!$A$2:$FZ$601,136,Sync!$C$12)),0),"")</f>
        <v/>
      </c>
      <c r="C2387" s="17">
        <f>IF(B2387="","","office")</f>
        <v/>
      </c>
      <c r="D2387" s="17">
        <f>IF(B2387="","",IFERROR(INDEX(Clay_Offices!$A$2:$FZ$601,136,Sync!$C$5)&amp;"",""))</f>
        <v/>
      </c>
      <c r="E2387" s="17">
        <f>IF(B2387="","",IFERROR(INDEX(Clay_Offices!$A$2:$FZ$601,136,Sync!$C$6)&amp;"",""))</f>
        <v/>
      </c>
      <c r="F2387" s="17">
        <f>IF(B2387="","","outreach_sent")</f>
        <v/>
      </c>
      <c r="G2387" s="17">
        <f>IF(B2387="","","")</f>
        <v/>
      </c>
      <c r="H2387" s="17">
        <f>IF(B2387="","","")</f>
        <v/>
      </c>
      <c r="I2387" s="17">
        <f>IF(B2387="","","")</f>
        <v/>
      </c>
      <c r="J2387" s="17">
        <f>IF(B2387="","","touch_2; "&amp;IFERROR(INDEX(Clay_Offices!$A$2:$FZ$601,136,Sync!$C$10)&amp;"","")&amp;"; "&amp;IFERROR(INDEX(Clay_Offices!$A$2:$FZ$601,136,Sync!$C$9)&amp;"",""))</f>
        <v/>
      </c>
      <c r="K2387" t="inlineStr">
        <is>
          <t>office outreach touch 2</t>
        </is>
      </c>
    </row>
    <row r="2388">
      <c r="A2388" s="17">
        <f>IF(B2388="","",B2388+(13*1000+137)/10000000)</f>
        <v/>
      </c>
      <c r="B2388" s="23">
        <f>IF(AND(IFERROR(N(INDEX(Clay_Offices!$A$2:$FZ$601,137,Sync!$C$12)),0)&gt;0,IFERROR(INDEX(Clay_Offices!$A$2:$FZ$601,137,Sync!$C$5)&amp;"","")&lt;&gt;"",OR(LEFT(IFERROR(INDEX(Clay_Offices!$A$2:$FZ$601,137,Sync!$C$5)&amp;"",""),6)&lt;&gt;"SAMPLE",Config!$B$19="Y")),IFERROR(N(INDEX(Clay_Offices!$A$2:$FZ$601,137,Sync!$C$12)),0),"")</f>
        <v/>
      </c>
      <c r="C2388" s="17">
        <f>IF(B2388="","","office")</f>
        <v/>
      </c>
      <c r="D2388" s="17">
        <f>IF(B2388="","",IFERROR(INDEX(Clay_Offices!$A$2:$FZ$601,137,Sync!$C$5)&amp;"",""))</f>
        <v/>
      </c>
      <c r="E2388" s="17">
        <f>IF(B2388="","",IFERROR(INDEX(Clay_Offices!$A$2:$FZ$601,137,Sync!$C$6)&amp;"",""))</f>
        <v/>
      </c>
      <c r="F2388" s="17">
        <f>IF(B2388="","","outreach_sent")</f>
        <v/>
      </c>
      <c r="G2388" s="17">
        <f>IF(B2388="","","")</f>
        <v/>
      </c>
      <c r="H2388" s="17">
        <f>IF(B2388="","","")</f>
        <v/>
      </c>
      <c r="I2388" s="17">
        <f>IF(B2388="","","")</f>
        <v/>
      </c>
      <c r="J2388" s="17">
        <f>IF(B2388="","","touch_2; "&amp;IFERROR(INDEX(Clay_Offices!$A$2:$FZ$601,137,Sync!$C$10)&amp;"","")&amp;"; "&amp;IFERROR(INDEX(Clay_Offices!$A$2:$FZ$601,137,Sync!$C$9)&amp;"",""))</f>
        <v/>
      </c>
      <c r="K2388" t="inlineStr">
        <is>
          <t>office outreach touch 2</t>
        </is>
      </c>
    </row>
    <row r="2389">
      <c r="A2389" s="17">
        <f>IF(B2389="","",B2389+(13*1000+138)/10000000)</f>
        <v/>
      </c>
      <c r="B2389" s="23">
        <f>IF(AND(IFERROR(N(INDEX(Clay_Offices!$A$2:$FZ$601,138,Sync!$C$12)),0)&gt;0,IFERROR(INDEX(Clay_Offices!$A$2:$FZ$601,138,Sync!$C$5)&amp;"","")&lt;&gt;"",OR(LEFT(IFERROR(INDEX(Clay_Offices!$A$2:$FZ$601,138,Sync!$C$5)&amp;"",""),6)&lt;&gt;"SAMPLE",Config!$B$19="Y")),IFERROR(N(INDEX(Clay_Offices!$A$2:$FZ$601,138,Sync!$C$12)),0),"")</f>
        <v/>
      </c>
      <c r="C2389" s="17">
        <f>IF(B2389="","","office")</f>
        <v/>
      </c>
      <c r="D2389" s="17">
        <f>IF(B2389="","",IFERROR(INDEX(Clay_Offices!$A$2:$FZ$601,138,Sync!$C$5)&amp;"",""))</f>
        <v/>
      </c>
      <c r="E2389" s="17">
        <f>IF(B2389="","",IFERROR(INDEX(Clay_Offices!$A$2:$FZ$601,138,Sync!$C$6)&amp;"",""))</f>
        <v/>
      </c>
      <c r="F2389" s="17">
        <f>IF(B2389="","","outreach_sent")</f>
        <v/>
      </c>
      <c r="G2389" s="17">
        <f>IF(B2389="","","")</f>
        <v/>
      </c>
      <c r="H2389" s="17">
        <f>IF(B2389="","","")</f>
        <v/>
      </c>
      <c r="I2389" s="17">
        <f>IF(B2389="","","")</f>
        <v/>
      </c>
      <c r="J2389" s="17">
        <f>IF(B2389="","","touch_2; "&amp;IFERROR(INDEX(Clay_Offices!$A$2:$FZ$601,138,Sync!$C$10)&amp;"","")&amp;"; "&amp;IFERROR(INDEX(Clay_Offices!$A$2:$FZ$601,138,Sync!$C$9)&amp;"",""))</f>
        <v/>
      </c>
      <c r="K2389" t="inlineStr">
        <is>
          <t>office outreach touch 2</t>
        </is>
      </c>
    </row>
    <row r="2390">
      <c r="A2390" s="17">
        <f>IF(B2390="","",B2390+(13*1000+139)/10000000)</f>
        <v/>
      </c>
      <c r="B2390" s="23">
        <f>IF(AND(IFERROR(N(INDEX(Clay_Offices!$A$2:$FZ$601,139,Sync!$C$12)),0)&gt;0,IFERROR(INDEX(Clay_Offices!$A$2:$FZ$601,139,Sync!$C$5)&amp;"","")&lt;&gt;"",OR(LEFT(IFERROR(INDEX(Clay_Offices!$A$2:$FZ$601,139,Sync!$C$5)&amp;"",""),6)&lt;&gt;"SAMPLE",Config!$B$19="Y")),IFERROR(N(INDEX(Clay_Offices!$A$2:$FZ$601,139,Sync!$C$12)),0),"")</f>
        <v/>
      </c>
      <c r="C2390" s="17">
        <f>IF(B2390="","","office")</f>
        <v/>
      </c>
      <c r="D2390" s="17">
        <f>IF(B2390="","",IFERROR(INDEX(Clay_Offices!$A$2:$FZ$601,139,Sync!$C$5)&amp;"",""))</f>
        <v/>
      </c>
      <c r="E2390" s="17">
        <f>IF(B2390="","",IFERROR(INDEX(Clay_Offices!$A$2:$FZ$601,139,Sync!$C$6)&amp;"",""))</f>
        <v/>
      </c>
      <c r="F2390" s="17">
        <f>IF(B2390="","","outreach_sent")</f>
        <v/>
      </c>
      <c r="G2390" s="17">
        <f>IF(B2390="","","")</f>
        <v/>
      </c>
      <c r="H2390" s="17">
        <f>IF(B2390="","","")</f>
        <v/>
      </c>
      <c r="I2390" s="17">
        <f>IF(B2390="","","")</f>
        <v/>
      </c>
      <c r="J2390" s="17">
        <f>IF(B2390="","","touch_2; "&amp;IFERROR(INDEX(Clay_Offices!$A$2:$FZ$601,139,Sync!$C$10)&amp;"","")&amp;"; "&amp;IFERROR(INDEX(Clay_Offices!$A$2:$FZ$601,139,Sync!$C$9)&amp;"",""))</f>
        <v/>
      </c>
      <c r="K2390" t="inlineStr">
        <is>
          <t>office outreach touch 2</t>
        </is>
      </c>
    </row>
    <row r="2391">
      <c r="A2391" s="17">
        <f>IF(B2391="","",B2391+(13*1000+140)/10000000)</f>
        <v/>
      </c>
      <c r="B2391" s="23">
        <f>IF(AND(IFERROR(N(INDEX(Clay_Offices!$A$2:$FZ$601,140,Sync!$C$12)),0)&gt;0,IFERROR(INDEX(Clay_Offices!$A$2:$FZ$601,140,Sync!$C$5)&amp;"","")&lt;&gt;"",OR(LEFT(IFERROR(INDEX(Clay_Offices!$A$2:$FZ$601,140,Sync!$C$5)&amp;"",""),6)&lt;&gt;"SAMPLE",Config!$B$19="Y")),IFERROR(N(INDEX(Clay_Offices!$A$2:$FZ$601,140,Sync!$C$12)),0),"")</f>
        <v/>
      </c>
      <c r="C2391" s="17">
        <f>IF(B2391="","","office")</f>
        <v/>
      </c>
      <c r="D2391" s="17">
        <f>IF(B2391="","",IFERROR(INDEX(Clay_Offices!$A$2:$FZ$601,140,Sync!$C$5)&amp;"",""))</f>
        <v/>
      </c>
      <c r="E2391" s="17">
        <f>IF(B2391="","",IFERROR(INDEX(Clay_Offices!$A$2:$FZ$601,140,Sync!$C$6)&amp;"",""))</f>
        <v/>
      </c>
      <c r="F2391" s="17">
        <f>IF(B2391="","","outreach_sent")</f>
        <v/>
      </c>
      <c r="G2391" s="17">
        <f>IF(B2391="","","")</f>
        <v/>
      </c>
      <c r="H2391" s="17">
        <f>IF(B2391="","","")</f>
        <v/>
      </c>
      <c r="I2391" s="17">
        <f>IF(B2391="","","")</f>
        <v/>
      </c>
      <c r="J2391" s="17">
        <f>IF(B2391="","","touch_2; "&amp;IFERROR(INDEX(Clay_Offices!$A$2:$FZ$601,140,Sync!$C$10)&amp;"","")&amp;"; "&amp;IFERROR(INDEX(Clay_Offices!$A$2:$FZ$601,140,Sync!$C$9)&amp;"",""))</f>
        <v/>
      </c>
      <c r="K2391" t="inlineStr">
        <is>
          <t>office outreach touch 2</t>
        </is>
      </c>
    </row>
    <row r="2392">
      <c r="A2392" s="17">
        <f>IF(B2392="","",B2392+(13*1000+141)/10000000)</f>
        <v/>
      </c>
      <c r="B2392" s="23">
        <f>IF(AND(IFERROR(N(INDEX(Clay_Offices!$A$2:$FZ$601,141,Sync!$C$12)),0)&gt;0,IFERROR(INDEX(Clay_Offices!$A$2:$FZ$601,141,Sync!$C$5)&amp;"","")&lt;&gt;"",OR(LEFT(IFERROR(INDEX(Clay_Offices!$A$2:$FZ$601,141,Sync!$C$5)&amp;"",""),6)&lt;&gt;"SAMPLE",Config!$B$19="Y")),IFERROR(N(INDEX(Clay_Offices!$A$2:$FZ$601,141,Sync!$C$12)),0),"")</f>
        <v/>
      </c>
      <c r="C2392" s="17">
        <f>IF(B2392="","","office")</f>
        <v/>
      </c>
      <c r="D2392" s="17">
        <f>IF(B2392="","",IFERROR(INDEX(Clay_Offices!$A$2:$FZ$601,141,Sync!$C$5)&amp;"",""))</f>
        <v/>
      </c>
      <c r="E2392" s="17">
        <f>IF(B2392="","",IFERROR(INDEX(Clay_Offices!$A$2:$FZ$601,141,Sync!$C$6)&amp;"",""))</f>
        <v/>
      </c>
      <c r="F2392" s="17">
        <f>IF(B2392="","","outreach_sent")</f>
        <v/>
      </c>
      <c r="G2392" s="17">
        <f>IF(B2392="","","")</f>
        <v/>
      </c>
      <c r="H2392" s="17">
        <f>IF(B2392="","","")</f>
        <v/>
      </c>
      <c r="I2392" s="17">
        <f>IF(B2392="","","")</f>
        <v/>
      </c>
      <c r="J2392" s="17">
        <f>IF(B2392="","","touch_2; "&amp;IFERROR(INDEX(Clay_Offices!$A$2:$FZ$601,141,Sync!$C$10)&amp;"","")&amp;"; "&amp;IFERROR(INDEX(Clay_Offices!$A$2:$FZ$601,141,Sync!$C$9)&amp;"",""))</f>
        <v/>
      </c>
      <c r="K2392" t="inlineStr">
        <is>
          <t>office outreach touch 2</t>
        </is>
      </c>
    </row>
    <row r="2393">
      <c r="A2393" s="17">
        <f>IF(B2393="","",B2393+(13*1000+142)/10000000)</f>
        <v/>
      </c>
      <c r="B2393" s="23">
        <f>IF(AND(IFERROR(N(INDEX(Clay_Offices!$A$2:$FZ$601,142,Sync!$C$12)),0)&gt;0,IFERROR(INDEX(Clay_Offices!$A$2:$FZ$601,142,Sync!$C$5)&amp;"","")&lt;&gt;"",OR(LEFT(IFERROR(INDEX(Clay_Offices!$A$2:$FZ$601,142,Sync!$C$5)&amp;"",""),6)&lt;&gt;"SAMPLE",Config!$B$19="Y")),IFERROR(N(INDEX(Clay_Offices!$A$2:$FZ$601,142,Sync!$C$12)),0),"")</f>
        <v/>
      </c>
      <c r="C2393" s="17">
        <f>IF(B2393="","","office")</f>
        <v/>
      </c>
      <c r="D2393" s="17">
        <f>IF(B2393="","",IFERROR(INDEX(Clay_Offices!$A$2:$FZ$601,142,Sync!$C$5)&amp;"",""))</f>
        <v/>
      </c>
      <c r="E2393" s="17">
        <f>IF(B2393="","",IFERROR(INDEX(Clay_Offices!$A$2:$FZ$601,142,Sync!$C$6)&amp;"",""))</f>
        <v/>
      </c>
      <c r="F2393" s="17">
        <f>IF(B2393="","","outreach_sent")</f>
        <v/>
      </c>
      <c r="G2393" s="17">
        <f>IF(B2393="","","")</f>
        <v/>
      </c>
      <c r="H2393" s="17">
        <f>IF(B2393="","","")</f>
        <v/>
      </c>
      <c r="I2393" s="17">
        <f>IF(B2393="","","")</f>
        <v/>
      </c>
      <c r="J2393" s="17">
        <f>IF(B2393="","","touch_2; "&amp;IFERROR(INDEX(Clay_Offices!$A$2:$FZ$601,142,Sync!$C$10)&amp;"","")&amp;"; "&amp;IFERROR(INDEX(Clay_Offices!$A$2:$FZ$601,142,Sync!$C$9)&amp;"",""))</f>
        <v/>
      </c>
      <c r="K2393" t="inlineStr">
        <is>
          <t>office outreach touch 2</t>
        </is>
      </c>
    </row>
    <row r="2394">
      <c r="A2394" s="17">
        <f>IF(B2394="","",B2394+(13*1000+143)/10000000)</f>
        <v/>
      </c>
      <c r="B2394" s="23">
        <f>IF(AND(IFERROR(N(INDEX(Clay_Offices!$A$2:$FZ$601,143,Sync!$C$12)),0)&gt;0,IFERROR(INDEX(Clay_Offices!$A$2:$FZ$601,143,Sync!$C$5)&amp;"","")&lt;&gt;"",OR(LEFT(IFERROR(INDEX(Clay_Offices!$A$2:$FZ$601,143,Sync!$C$5)&amp;"",""),6)&lt;&gt;"SAMPLE",Config!$B$19="Y")),IFERROR(N(INDEX(Clay_Offices!$A$2:$FZ$601,143,Sync!$C$12)),0),"")</f>
        <v/>
      </c>
      <c r="C2394" s="17">
        <f>IF(B2394="","","office")</f>
        <v/>
      </c>
      <c r="D2394" s="17">
        <f>IF(B2394="","",IFERROR(INDEX(Clay_Offices!$A$2:$FZ$601,143,Sync!$C$5)&amp;"",""))</f>
        <v/>
      </c>
      <c r="E2394" s="17">
        <f>IF(B2394="","",IFERROR(INDEX(Clay_Offices!$A$2:$FZ$601,143,Sync!$C$6)&amp;"",""))</f>
        <v/>
      </c>
      <c r="F2394" s="17">
        <f>IF(B2394="","","outreach_sent")</f>
        <v/>
      </c>
      <c r="G2394" s="17">
        <f>IF(B2394="","","")</f>
        <v/>
      </c>
      <c r="H2394" s="17">
        <f>IF(B2394="","","")</f>
        <v/>
      </c>
      <c r="I2394" s="17">
        <f>IF(B2394="","","")</f>
        <v/>
      </c>
      <c r="J2394" s="17">
        <f>IF(B2394="","","touch_2; "&amp;IFERROR(INDEX(Clay_Offices!$A$2:$FZ$601,143,Sync!$C$10)&amp;"","")&amp;"; "&amp;IFERROR(INDEX(Clay_Offices!$A$2:$FZ$601,143,Sync!$C$9)&amp;"",""))</f>
        <v/>
      </c>
      <c r="K2394" t="inlineStr">
        <is>
          <t>office outreach touch 2</t>
        </is>
      </c>
    </row>
    <row r="2395">
      <c r="A2395" s="17">
        <f>IF(B2395="","",B2395+(13*1000+144)/10000000)</f>
        <v/>
      </c>
      <c r="B2395" s="23">
        <f>IF(AND(IFERROR(N(INDEX(Clay_Offices!$A$2:$FZ$601,144,Sync!$C$12)),0)&gt;0,IFERROR(INDEX(Clay_Offices!$A$2:$FZ$601,144,Sync!$C$5)&amp;"","")&lt;&gt;"",OR(LEFT(IFERROR(INDEX(Clay_Offices!$A$2:$FZ$601,144,Sync!$C$5)&amp;"",""),6)&lt;&gt;"SAMPLE",Config!$B$19="Y")),IFERROR(N(INDEX(Clay_Offices!$A$2:$FZ$601,144,Sync!$C$12)),0),"")</f>
        <v/>
      </c>
      <c r="C2395" s="17">
        <f>IF(B2395="","","office")</f>
        <v/>
      </c>
      <c r="D2395" s="17">
        <f>IF(B2395="","",IFERROR(INDEX(Clay_Offices!$A$2:$FZ$601,144,Sync!$C$5)&amp;"",""))</f>
        <v/>
      </c>
      <c r="E2395" s="17">
        <f>IF(B2395="","",IFERROR(INDEX(Clay_Offices!$A$2:$FZ$601,144,Sync!$C$6)&amp;"",""))</f>
        <v/>
      </c>
      <c r="F2395" s="17">
        <f>IF(B2395="","","outreach_sent")</f>
        <v/>
      </c>
      <c r="G2395" s="17">
        <f>IF(B2395="","","")</f>
        <v/>
      </c>
      <c r="H2395" s="17">
        <f>IF(B2395="","","")</f>
        <v/>
      </c>
      <c r="I2395" s="17">
        <f>IF(B2395="","","")</f>
        <v/>
      </c>
      <c r="J2395" s="17">
        <f>IF(B2395="","","touch_2; "&amp;IFERROR(INDEX(Clay_Offices!$A$2:$FZ$601,144,Sync!$C$10)&amp;"","")&amp;"; "&amp;IFERROR(INDEX(Clay_Offices!$A$2:$FZ$601,144,Sync!$C$9)&amp;"",""))</f>
        <v/>
      </c>
      <c r="K2395" t="inlineStr">
        <is>
          <t>office outreach touch 2</t>
        </is>
      </c>
    </row>
    <row r="2396">
      <c r="A2396" s="17">
        <f>IF(B2396="","",B2396+(13*1000+145)/10000000)</f>
        <v/>
      </c>
      <c r="B2396" s="23">
        <f>IF(AND(IFERROR(N(INDEX(Clay_Offices!$A$2:$FZ$601,145,Sync!$C$12)),0)&gt;0,IFERROR(INDEX(Clay_Offices!$A$2:$FZ$601,145,Sync!$C$5)&amp;"","")&lt;&gt;"",OR(LEFT(IFERROR(INDEX(Clay_Offices!$A$2:$FZ$601,145,Sync!$C$5)&amp;"",""),6)&lt;&gt;"SAMPLE",Config!$B$19="Y")),IFERROR(N(INDEX(Clay_Offices!$A$2:$FZ$601,145,Sync!$C$12)),0),"")</f>
        <v/>
      </c>
      <c r="C2396" s="17">
        <f>IF(B2396="","","office")</f>
        <v/>
      </c>
      <c r="D2396" s="17">
        <f>IF(B2396="","",IFERROR(INDEX(Clay_Offices!$A$2:$FZ$601,145,Sync!$C$5)&amp;"",""))</f>
        <v/>
      </c>
      <c r="E2396" s="17">
        <f>IF(B2396="","",IFERROR(INDEX(Clay_Offices!$A$2:$FZ$601,145,Sync!$C$6)&amp;"",""))</f>
        <v/>
      </c>
      <c r="F2396" s="17">
        <f>IF(B2396="","","outreach_sent")</f>
        <v/>
      </c>
      <c r="G2396" s="17">
        <f>IF(B2396="","","")</f>
        <v/>
      </c>
      <c r="H2396" s="17">
        <f>IF(B2396="","","")</f>
        <v/>
      </c>
      <c r="I2396" s="17">
        <f>IF(B2396="","","")</f>
        <v/>
      </c>
      <c r="J2396" s="17">
        <f>IF(B2396="","","touch_2; "&amp;IFERROR(INDEX(Clay_Offices!$A$2:$FZ$601,145,Sync!$C$10)&amp;"","")&amp;"; "&amp;IFERROR(INDEX(Clay_Offices!$A$2:$FZ$601,145,Sync!$C$9)&amp;"",""))</f>
        <v/>
      </c>
      <c r="K2396" t="inlineStr">
        <is>
          <t>office outreach touch 2</t>
        </is>
      </c>
    </row>
    <row r="2397">
      <c r="A2397" s="17">
        <f>IF(B2397="","",B2397+(13*1000+146)/10000000)</f>
        <v/>
      </c>
      <c r="B2397" s="23">
        <f>IF(AND(IFERROR(N(INDEX(Clay_Offices!$A$2:$FZ$601,146,Sync!$C$12)),0)&gt;0,IFERROR(INDEX(Clay_Offices!$A$2:$FZ$601,146,Sync!$C$5)&amp;"","")&lt;&gt;"",OR(LEFT(IFERROR(INDEX(Clay_Offices!$A$2:$FZ$601,146,Sync!$C$5)&amp;"",""),6)&lt;&gt;"SAMPLE",Config!$B$19="Y")),IFERROR(N(INDEX(Clay_Offices!$A$2:$FZ$601,146,Sync!$C$12)),0),"")</f>
        <v/>
      </c>
      <c r="C2397" s="17">
        <f>IF(B2397="","","office")</f>
        <v/>
      </c>
      <c r="D2397" s="17">
        <f>IF(B2397="","",IFERROR(INDEX(Clay_Offices!$A$2:$FZ$601,146,Sync!$C$5)&amp;"",""))</f>
        <v/>
      </c>
      <c r="E2397" s="17">
        <f>IF(B2397="","",IFERROR(INDEX(Clay_Offices!$A$2:$FZ$601,146,Sync!$C$6)&amp;"",""))</f>
        <v/>
      </c>
      <c r="F2397" s="17">
        <f>IF(B2397="","","outreach_sent")</f>
        <v/>
      </c>
      <c r="G2397" s="17">
        <f>IF(B2397="","","")</f>
        <v/>
      </c>
      <c r="H2397" s="17">
        <f>IF(B2397="","","")</f>
        <v/>
      </c>
      <c r="I2397" s="17">
        <f>IF(B2397="","","")</f>
        <v/>
      </c>
      <c r="J2397" s="17">
        <f>IF(B2397="","","touch_2; "&amp;IFERROR(INDEX(Clay_Offices!$A$2:$FZ$601,146,Sync!$C$10)&amp;"","")&amp;"; "&amp;IFERROR(INDEX(Clay_Offices!$A$2:$FZ$601,146,Sync!$C$9)&amp;"",""))</f>
        <v/>
      </c>
      <c r="K2397" t="inlineStr">
        <is>
          <t>office outreach touch 2</t>
        </is>
      </c>
    </row>
    <row r="2398">
      <c r="A2398" s="17">
        <f>IF(B2398="","",B2398+(13*1000+147)/10000000)</f>
        <v/>
      </c>
      <c r="B2398" s="23">
        <f>IF(AND(IFERROR(N(INDEX(Clay_Offices!$A$2:$FZ$601,147,Sync!$C$12)),0)&gt;0,IFERROR(INDEX(Clay_Offices!$A$2:$FZ$601,147,Sync!$C$5)&amp;"","")&lt;&gt;"",OR(LEFT(IFERROR(INDEX(Clay_Offices!$A$2:$FZ$601,147,Sync!$C$5)&amp;"",""),6)&lt;&gt;"SAMPLE",Config!$B$19="Y")),IFERROR(N(INDEX(Clay_Offices!$A$2:$FZ$601,147,Sync!$C$12)),0),"")</f>
        <v/>
      </c>
      <c r="C2398" s="17">
        <f>IF(B2398="","","office")</f>
        <v/>
      </c>
      <c r="D2398" s="17">
        <f>IF(B2398="","",IFERROR(INDEX(Clay_Offices!$A$2:$FZ$601,147,Sync!$C$5)&amp;"",""))</f>
        <v/>
      </c>
      <c r="E2398" s="17">
        <f>IF(B2398="","",IFERROR(INDEX(Clay_Offices!$A$2:$FZ$601,147,Sync!$C$6)&amp;"",""))</f>
        <v/>
      </c>
      <c r="F2398" s="17">
        <f>IF(B2398="","","outreach_sent")</f>
        <v/>
      </c>
      <c r="G2398" s="17">
        <f>IF(B2398="","","")</f>
        <v/>
      </c>
      <c r="H2398" s="17">
        <f>IF(B2398="","","")</f>
        <v/>
      </c>
      <c r="I2398" s="17">
        <f>IF(B2398="","","")</f>
        <v/>
      </c>
      <c r="J2398" s="17">
        <f>IF(B2398="","","touch_2; "&amp;IFERROR(INDEX(Clay_Offices!$A$2:$FZ$601,147,Sync!$C$10)&amp;"","")&amp;"; "&amp;IFERROR(INDEX(Clay_Offices!$A$2:$FZ$601,147,Sync!$C$9)&amp;"",""))</f>
        <v/>
      </c>
      <c r="K2398" t="inlineStr">
        <is>
          <t>office outreach touch 2</t>
        </is>
      </c>
    </row>
    <row r="2399">
      <c r="A2399" s="17">
        <f>IF(B2399="","",B2399+(13*1000+148)/10000000)</f>
        <v/>
      </c>
      <c r="B2399" s="23">
        <f>IF(AND(IFERROR(N(INDEX(Clay_Offices!$A$2:$FZ$601,148,Sync!$C$12)),0)&gt;0,IFERROR(INDEX(Clay_Offices!$A$2:$FZ$601,148,Sync!$C$5)&amp;"","")&lt;&gt;"",OR(LEFT(IFERROR(INDEX(Clay_Offices!$A$2:$FZ$601,148,Sync!$C$5)&amp;"",""),6)&lt;&gt;"SAMPLE",Config!$B$19="Y")),IFERROR(N(INDEX(Clay_Offices!$A$2:$FZ$601,148,Sync!$C$12)),0),"")</f>
        <v/>
      </c>
      <c r="C2399" s="17">
        <f>IF(B2399="","","office")</f>
        <v/>
      </c>
      <c r="D2399" s="17">
        <f>IF(B2399="","",IFERROR(INDEX(Clay_Offices!$A$2:$FZ$601,148,Sync!$C$5)&amp;"",""))</f>
        <v/>
      </c>
      <c r="E2399" s="17">
        <f>IF(B2399="","",IFERROR(INDEX(Clay_Offices!$A$2:$FZ$601,148,Sync!$C$6)&amp;"",""))</f>
        <v/>
      </c>
      <c r="F2399" s="17">
        <f>IF(B2399="","","outreach_sent")</f>
        <v/>
      </c>
      <c r="G2399" s="17">
        <f>IF(B2399="","","")</f>
        <v/>
      </c>
      <c r="H2399" s="17">
        <f>IF(B2399="","","")</f>
        <v/>
      </c>
      <c r="I2399" s="17">
        <f>IF(B2399="","","")</f>
        <v/>
      </c>
      <c r="J2399" s="17">
        <f>IF(B2399="","","touch_2; "&amp;IFERROR(INDEX(Clay_Offices!$A$2:$FZ$601,148,Sync!$C$10)&amp;"","")&amp;"; "&amp;IFERROR(INDEX(Clay_Offices!$A$2:$FZ$601,148,Sync!$C$9)&amp;"",""))</f>
        <v/>
      </c>
      <c r="K2399" t="inlineStr">
        <is>
          <t>office outreach touch 2</t>
        </is>
      </c>
    </row>
    <row r="2400">
      <c r="A2400" s="17">
        <f>IF(B2400="","",B2400+(13*1000+149)/10000000)</f>
        <v/>
      </c>
      <c r="B2400" s="23">
        <f>IF(AND(IFERROR(N(INDEX(Clay_Offices!$A$2:$FZ$601,149,Sync!$C$12)),0)&gt;0,IFERROR(INDEX(Clay_Offices!$A$2:$FZ$601,149,Sync!$C$5)&amp;"","")&lt;&gt;"",OR(LEFT(IFERROR(INDEX(Clay_Offices!$A$2:$FZ$601,149,Sync!$C$5)&amp;"",""),6)&lt;&gt;"SAMPLE",Config!$B$19="Y")),IFERROR(N(INDEX(Clay_Offices!$A$2:$FZ$601,149,Sync!$C$12)),0),"")</f>
        <v/>
      </c>
      <c r="C2400" s="17">
        <f>IF(B2400="","","office")</f>
        <v/>
      </c>
      <c r="D2400" s="17">
        <f>IF(B2400="","",IFERROR(INDEX(Clay_Offices!$A$2:$FZ$601,149,Sync!$C$5)&amp;"",""))</f>
        <v/>
      </c>
      <c r="E2400" s="17">
        <f>IF(B2400="","",IFERROR(INDEX(Clay_Offices!$A$2:$FZ$601,149,Sync!$C$6)&amp;"",""))</f>
        <v/>
      </c>
      <c r="F2400" s="17">
        <f>IF(B2400="","","outreach_sent")</f>
        <v/>
      </c>
      <c r="G2400" s="17">
        <f>IF(B2400="","","")</f>
        <v/>
      </c>
      <c r="H2400" s="17">
        <f>IF(B2400="","","")</f>
        <v/>
      </c>
      <c r="I2400" s="17">
        <f>IF(B2400="","","")</f>
        <v/>
      </c>
      <c r="J2400" s="17">
        <f>IF(B2400="","","touch_2; "&amp;IFERROR(INDEX(Clay_Offices!$A$2:$FZ$601,149,Sync!$C$10)&amp;"","")&amp;"; "&amp;IFERROR(INDEX(Clay_Offices!$A$2:$FZ$601,149,Sync!$C$9)&amp;"",""))</f>
        <v/>
      </c>
      <c r="K2400" t="inlineStr">
        <is>
          <t>office outreach touch 2</t>
        </is>
      </c>
    </row>
    <row r="2401">
      <c r="A2401" s="17">
        <f>IF(B2401="","",B2401+(13*1000+150)/10000000)</f>
        <v/>
      </c>
      <c r="B2401" s="23">
        <f>IF(AND(IFERROR(N(INDEX(Clay_Offices!$A$2:$FZ$601,150,Sync!$C$12)),0)&gt;0,IFERROR(INDEX(Clay_Offices!$A$2:$FZ$601,150,Sync!$C$5)&amp;"","")&lt;&gt;"",OR(LEFT(IFERROR(INDEX(Clay_Offices!$A$2:$FZ$601,150,Sync!$C$5)&amp;"",""),6)&lt;&gt;"SAMPLE",Config!$B$19="Y")),IFERROR(N(INDEX(Clay_Offices!$A$2:$FZ$601,150,Sync!$C$12)),0),"")</f>
        <v/>
      </c>
      <c r="C2401" s="17">
        <f>IF(B2401="","","office")</f>
        <v/>
      </c>
      <c r="D2401" s="17">
        <f>IF(B2401="","",IFERROR(INDEX(Clay_Offices!$A$2:$FZ$601,150,Sync!$C$5)&amp;"",""))</f>
        <v/>
      </c>
      <c r="E2401" s="17">
        <f>IF(B2401="","",IFERROR(INDEX(Clay_Offices!$A$2:$FZ$601,150,Sync!$C$6)&amp;"",""))</f>
        <v/>
      </c>
      <c r="F2401" s="17">
        <f>IF(B2401="","","outreach_sent")</f>
        <v/>
      </c>
      <c r="G2401" s="17">
        <f>IF(B2401="","","")</f>
        <v/>
      </c>
      <c r="H2401" s="17">
        <f>IF(B2401="","","")</f>
        <v/>
      </c>
      <c r="I2401" s="17">
        <f>IF(B2401="","","")</f>
        <v/>
      </c>
      <c r="J2401" s="17">
        <f>IF(B2401="","","touch_2; "&amp;IFERROR(INDEX(Clay_Offices!$A$2:$FZ$601,150,Sync!$C$10)&amp;"","")&amp;"; "&amp;IFERROR(INDEX(Clay_Offices!$A$2:$FZ$601,150,Sync!$C$9)&amp;"",""))</f>
        <v/>
      </c>
      <c r="K2401" t="inlineStr">
        <is>
          <t>office outreach touch 2</t>
        </is>
      </c>
    </row>
    <row r="2402">
      <c r="A2402" s="17">
        <f>IF(B2402="","",B2402+(13*1000+151)/10000000)</f>
        <v/>
      </c>
      <c r="B2402" s="23">
        <f>IF(AND(IFERROR(N(INDEX(Clay_Offices!$A$2:$FZ$601,151,Sync!$C$12)),0)&gt;0,IFERROR(INDEX(Clay_Offices!$A$2:$FZ$601,151,Sync!$C$5)&amp;"","")&lt;&gt;"",OR(LEFT(IFERROR(INDEX(Clay_Offices!$A$2:$FZ$601,151,Sync!$C$5)&amp;"",""),6)&lt;&gt;"SAMPLE",Config!$B$19="Y")),IFERROR(N(INDEX(Clay_Offices!$A$2:$FZ$601,151,Sync!$C$12)),0),"")</f>
        <v/>
      </c>
      <c r="C2402" s="17">
        <f>IF(B2402="","","office")</f>
        <v/>
      </c>
      <c r="D2402" s="17">
        <f>IF(B2402="","",IFERROR(INDEX(Clay_Offices!$A$2:$FZ$601,151,Sync!$C$5)&amp;"",""))</f>
        <v/>
      </c>
      <c r="E2402" s="17">
        <f>IF(B2402="","",IFERROR(INDEX(Clay_Offices!$A$2:$FZ$601,151,Sync!$C$6)&amp;"",""))</f>
        <v/>
      </c>
      <c r="F2402" s="17">
        <f>IF(B2402="","","outreach_sent")</f>
        <v/>
      </c>
      <c r="G2402" s="17">
        <f>IF(B2402="","","")</f>
        <v/>
      </c>
      <c r="H2402" s="17">
        <f>IF(B2402="","","")</f>
        <v/>
      </c>
      <c r="I2402" s="17">
        <f>IF(B2402="","","")</f>
        <v/>
      </c>
      <c r="J2402" s="17">
        <f>IF(B2402="","","touch_2; "&amp;IFERROR(INDEX(Clay_Offices!$A$2:$FZ$601,151,Sync!$C$10)&amp;"","")&amp;"; "&amp;IFERROR(INDEX(Clay_Offices!$A$2:$FZ$601,151,Sync!$C$9)&amp;"",""))</f>
        <v/>
      </c>
      <c r="K2402" t="inlineStr">
        <is>
          <t>office outreach touch 2</t>
        </is>
      </c>
    </row>
    <row r="2403">
      <c r="A2403" s="17">
        <f>IF(B2403="","",B2403+(13*1000+152)/10000000)</f>
        <v/>
      </c>
      <c r="B2403" s="23">
        <f>IF(AND(IFERROR(N(INDEX(Clay_Offices!$A$2:$FZ$601,152,Sync!$C$12)),0)&gt;0,IFERROR(INDEX(Clay_Offices!$A$2:$FZ$601,152,Sync!$C$5)&amp;"","")&lt;&gt;"",OR(LEFT(IFERROR(INDEX(Clay_Offices!$A$2:$FZ$601,152,Sync!$C$5)&amp;"",""),6)&lt;&gt;"SAMPLE",Config!$B$19="Y")),IFERROR(N(INDEX(Clay_Offices!$A$2:$FZ$601,152,Sync!$C$12)),0),"")</f>
        <v/>
      </c>
      <c r="C2403" s="17">
        <f>IF(B2403="","","office")</f>
        <v/>
      </c>
      <c r="D2403" s="17">
        <f>IF(B2403="","",IFERROR(INDEX(Clay_Offices!$A$2:$FZ$601,152,Sync!$C$5)&amp;"",""))</f>
        <v/>
      </c>
      <c r="E2403" s="17">
        <f>IF(B2403="","",IFERROR(INDEX(Clay_Offices!$A$2:$FZ$601,152,Sync!$C$6)&amp;"",""))</f>
        <v/>
      </c>
      <c r="F2403" s="17">
        <f>IF(B2403="","","outreach_sent")</f>
        <v/>
      </c>
      <c r="G2403" s="17">
        <f>IF(B2403="","","")</f>
        <v/>
      </c>
      <c r="H2403" s="17">
        <f>IF(B2403="","","")</f>
        <v/>
      </c>
      <c r="I2403" s="17">
        <f>IF(B2403="","","")</f>
        <v/>
      </c>
      <c r="J2403" s="17">
        <f>IF(B2403="","","touch_2; "&amp;IFERROR(INDEX(Clay_Offices!$A$2:$FZ$601,152,Sync!$C$10)&amp;"","")&amp;"; "&amp;IFERROR(INDEX(Clay_Offices!$A$2:$FZ$601,152,Sync!$C$9)&amp;"",""))</f>
        <v/>
      </c>
      <c r="K2403" t="inlineStr">
        <is>
          <t>office outreach touch 2</t>
        </is>
      </c>
    </row>
    <row r="2404">
      <c r="A2404" s="17">
        <f>IF(B2404="","",B2404+(13*1000+153)/10000000)</f>
        <v/>
      </c>
      <c r="B2404" s="23">
        <f>IF(AND(IFERROR(N(INDEX(Clay_Offices!$A$2:$FZ$601,153,Sync!$C$12)),0)&gt;0,IFERROR(INDEX(Clay_Offices!$A$2:$FZ$601,153,Sync!$C$5)&amp;"","")&lt;&gt;"",OR(LEFT(IFERROR(INDEX(Clay_Offices!$A$2:$FZ$601,153,Sync!$C$5)&amp;"",""),6)&lt;&gt;"SAMPLE",Config!$B$19="Y")),IFERROR(N(INDEX(Clay_Offices!$A$2:$FZ$601,153,Sync!$C$12)),0),"")</f>
        <v/>
      </c>
      <c r="C2404" s="17">
        <f>IF(B2404="","","office")</f>
        <v/>
      </c>
      <c r="D2404" s="17">
        <f>IF(B2404="","",IFERROR(INDEX(Clay_Offices!$A$2:$FZ$601,153,Sync!$C$5)&amp;"",""))</f>
        <v/>
      </c>
      <c r="E2404" s="17">
        <f>IF(B2404="","",IFERROR(INDEX(Clay_Offices!$A$2:$FZ$601,153,Sync!$C$6)&amp;"",""))</f>
        <v/>
      </c>
      <c r="F2404" s="17">
        <f>IF(B2404="","","outreach_sent")</f>
        <v/>
      </c>
      <c r="G2404" s="17">
        <f>IF(B2404="","","")</f>
        <v/>
      </c>
      <c r="H2404" s="17">
        <f>IF(B2404="","","")</f>
        <v/>
      </c>
      <c r="I2404" s="17">
        <f>IF(B2404="","","")</f>
        <v/>
      </c>
      <c r="J2404" s="17">
        <f>IF(B2404="","","touch_2; "&amp;IFERROR(INDEX(Clay_Offices!$A$2:$FZ$601,153,Sync!$C$10)&amp;"","")&amp;"; "&amp;IFERROR(INDEX(Clay_Offices!$A$2:$FZ$601,153,Sync!$C$9)&amp;"",""))</f>
        <v/>
      </c>
      <c r="K2404" t="inlineStr">
        <is>
          <t>office outreach touch 2</t>
        </is>
      </c>
    </row>
    <row r="2405">
      <c r="A2405" s="17">
        <f>IF(B2405="","",B2405+(13*1000+154)/10000000)</f>
        <v/>
      </c>
      <c r="B2405" s="23">
        <f>IF(AND(IFERROR(N(INDEX(Clay_Offices!$A$2:$FZ$601,154,Sync!$C$12)),0)&gt;0,IFERROR(INDEX(Clay_Offices!$A$2:$FZ$601,154,Sync!$C$5)&amp;"","")&lt;&gt;"",OR(LEFT(IFERROR(INDEX(Clay_Offices!$A$2:$FZ$601,154,Sync!$C$5)&amp;"",""),6)&lt;&gt;"SAMPLE",Config!$B$19="Y")),IFERROR(N(INDEX(Clay_Offices!$A$2:$FZ$601,154,Sync!$C$12)),0),"")</f>
        <v/>
      </c>
      <c r="C2405" s="17">
        <f>IF(B2405="","","office")</f>
        <v/>
      </c>
      <c r="D2405" s="17">
        <f>IF(B2405="","",IFERROR(INDEX(Clay_Offices!$A$2:$FZ$601,154,Sync!$C$5)&amp;"",""))</f>
        <v/>
      </c>
      <c r="E2405" s="17">
        <f>IF(B2405="","",IFERROR(INDEX(Clay_Offices!$A$2:$FZ$601,154,Sync!$C$6)&amp;"",""))</f>
        <v/>
      </c>
      <c r="F2405" s="17">
        <f>IF(B2405="","","outreach_sent")</f>
        <v/>
      </c>
      <c r="G2405" s="17">
        <f>IF(B2405="","","")</f>
        <v/>
      </c>
      <c r="H2405" s="17">
        <f>IF(B2405="","","")</f>
        <v/>
      </c>
      <c r="I2405" s="17">
        <f>IF(B2405="","","")</f>
        <v/>
      </c>
      <c r="J2405" s="17">
        <f>IF(B2405="","","touch_2; "&amp;IFERROR(INDEX(Clay_Offices!$A$2:$FZ$601,154,Sync!$C$10)&amp;"","")&amp;"; "&amp;IFERROR(INDEX(Clay_Offices!$A$2:$FZ$601,154,Sync!$C$9)&amp;"",""))</f>
        <v/>
      </c>
      <c r="K2405" t="inlineStr">
        <is>
          <t>office outreach touch 2</t>
        </is>
      </c>
    </row>
    <row r="2406">
      <c r="A2406" s="17">
        <f>IF(B2406="","",B2406+(13*1000+155)/10000000)</f>
        <v/>
      </c>
      <c r="B2406" s="23">
        <f>IF(AND(IFERROR(N(INDEX(Clay_Offices!$A$2:$FZ$601,155,Sync!$C$12)),0)&gt;0,IFERROR(INDEX(Clay_Offices!$A$2:$FZ$601,155,Sync!$C$5)&amp;"","")&lt;&gt;"",OR(LEFT(IFERROR(INDEX(Clay_Offices!$A$2:$FZ$601,155,Sync!$C$5)&amp;"",""),6)&lt;&gt;"SAMPLE",Config!$B$19="Y")),IFERROR(N(INDEX(Clay_Offices!$A$2:$FZ$601,155,Sync!$C$12)),0),"")</f>
        <v/>
      </c>
      <c r="C2406" s="17">
        <f>IF(B2406="","","office")</f>
        <v/>
      </c>
      <c r="D2406" s="17">
        <f>IF(B2406="","",IFERROR(INDEX(Clay_Offices!$A$2:$FZ$601,155,Sync!$C$5)&amp;"",""))</f>
        <v/>
      </c>
      <c r="E2406" s="17">
        <f>IF(B2406="","",IFERROR(INDEX(Clay_Offices!$A$2:$FZ$601,155,Sync!$C$6)&amp;"",""))</f>
        <v/>
      </c>
      <c r="F2406" s="17">
        <f>IF(B2406="","","outreach_sent")</f>
        <v/>
      </c>
      <c r="G2406" s="17">
        <f>IF(B2406="","","")</f>
        <v/>
      </c>
      <c r="H2406" s="17">
        <f>IF(B2406="","","")</f>
        <v/>
      </c>
      <c r="I2406" s="17">
        <f>IF(B2406="","","")</f>
        <v/>
      </c>
      <c r="J2406" s="17">
        <f>IF(B2406="","","touch_2; "&amp;IFERROR(INDEX(Clay_Offices!$A$2:$FZ$601,155,Sync!$C$10)&amp;"","")&amp;"; "&amp;IFERROR(INDEX(Clay_Offices!$A$2:$FZ$601,155,Sync!$C$9)&amp;"",""))</f>
        <v/>
      </c>
      <c r="K2406" t="inlineStr">
        <is>
          <t>office outreach touch 2</t>
        </is>
      </c>
    </row>
    <row r="2407">
      <c r="A2407" s="17">
        <f>IF(B2407="","",B2407+(13*1000+156)/10000000)</f>
        <v/>
      </c>
      <c r="B2407" s="23">
        <f>IF(AND(IFERROR(N(INDEX(Clay_Offices!$A$2:$FZ$601,156,Sync!$C$12)),0)&gt;0,IFERROR(INDEX(Clay_Offices!$A$2:$FZ$601,156,Sync!$C$5)&amp;"","")&lt;&gt;"",OR(LEFT(IFERROR(INDEX(Clay_Offices!$A$2:$FZ$601,156,Sync!$C$5)&amp;"",""),6)&lt;&gt;"SAMPLE",Config!$B$19="Y")),IFERROR(N(INDEX(Clay_Offices!$A$2:$FZ$601,156,Sync!$C$12)),0),"")</f>
        <v/>
      </c>
      <c r="C2407" s="17">
        <f>IF(B2407="","","office")</f>
        <v/>
      </c>
      <c r="D2407" s="17">
        <f>IF(B2407="","",IFERROR(INDEX(Clay_Offices!$A$2:$FZ$601,156,Sync!$C$5)&amp;"",""))</f>
        <v/>
      </c>
      <c r="E2407" s="17">
        <f>IF(B2407="","",IFERROR(INDEX(Clay_Offices!$A$2:$FZ$601,156,Sync!$C$6)&amp;"",""))</f>
        <v/>
      </c>
      <c r="F2407" s="17">
        <f>IF(B2407="","","outreach_sent")</f>
        <v/>
      </c>
      <c r="G2407" s="17">
        <f>IF(B2407="","","")</f>
        <v/>
      </c>
      <c r="H2407" s="17">
        <f>IF(B2407="","","")</f>
        <v/>
      </c>
      <c r="I2407" s="17">
        <f>IF(B2407="","","")</f>
        <v/>
      </c>
      <c r="J2407" s="17">
        <f>IF(B2407="","","touch_2; "&amp;IFERROR(INDEX(Clay_Offices!$A$2:$FZ$601,156,Sync!$C$10)&amp;"","")&amp;"; "&amp;IFERROR(INDEX(Clay_Offices!$A$2:$FZ$601,156,Sync!$C$9)&amp;"",""))</f>
        <v/>
      </c>
      <c r="K2407" t="inlineStr">
        <is>
          <t>office outreach touch 2</t>
        </is>
      </c>
    </row>
    <row r="2408">
      <c r="A2408" s="17">
        <f>IF(B2408="","",B2408+(13*1000+157)/10000000)</f>
        <v/>
      </c>
      <c r="B2408" s="23">
        <f>IF(AND(IFERROR(N(INDEX(Clay_Offices!$A$2:$FZ$601,157,Sync!$C$12)),0)&gt;0,IFERROR(INDEX(Clay_Offices!$A$2:$FZ$601,157,Sync!$C$5)&amp;"","")&lt;&gt;"",OR(LEFT(IFERROR(INDEX(Clay_Offices!$A$2:$FZ$601,157,Sync!$C$5)&amp;"",""),6)&lt;&gt;"SAMPLE",Config!$B$19="Y")),IFERROR(N(INDEX(Clay_Offices!$A$2:$FZ$601,157,Sync!$C$12)),0),"")</f>
        <v/>
      </c>
      <c r="C2408" s="17">
        <f>IF(B2408="","","office")</f>
        <v/>
      </c>
      <c r="D2408" s="17">
        <f>IF(B2408="","",IFERROR(INDEX(Clay_Offices!$A$2:$FZ$601,157,Sync!$C$5)&amp;"",""))</f>
        <v/>
      </c>
      <c r="E2408" s="17">
        <f>IF(B2408="","",IFERROR(INDEX(Clay_Offices!$A$2:$FZ$601,157,Sync!$C$6)&amp;"",""))</f>
        <v/>
      </c>
      <c r="F2408" s="17">
        <f>IF(B2408="","","outreach_sent")</f>
        <v/>
      </c>
      <c r="G2408" s="17">
        <f>IF(B2408="","","")</f>
        <v/>
      </c>
      <c r="H2408" s="17">
        <f>IF(B2408="","","")</f>
        <v/>
      </c>
      <c r="I2408" s="17">
        <f>IF(B2408="","","")</f>
        <v/>
      </c>
      <c r="J2408" s="17">
        <f>IF(B2408="","","touch_2; "&amp;IFERROR(INDEX(Clay_Offices!$A$2:$FZ$601,157,Sync!$C$10)&amp;"","")&amp;"; "&amp;IFERROR(INDEX(Clay_Offices!$A$2:$FZ$601,157,Sync!$C$9)&amp;"",""))</f>
        <v/>
      </c>
      <c r="K2408" t="inlineStr">
        <is>
          <t>office outreach touch 2</t>
        </is>
      </c>
    </row>
    <row r="2409">
      <c r="A2409" s="17">
        <f>IF(B2409="","",B2409+(13*1000+158)/10000000)</f>
        <v/>
      </c>
      <c r="B2409" s="23">
        <f>IF(AND(IFERROR(N(INDEX(Clay_Offices!$A$2:$FZ$601,158,Sync!$C$12)),0)&gt;0,IFERROR(INDEX(Clay_Offices!$A$2:$FZ$601,158,Sync!$C$5)&amp;"","")&lt;&gt;"",OR(LEFT(IFERROR(INDEX(Clay_Offices!$A$2:$FZ$601,158,Sync!$C$5)&amp;"",""),6)&lt;&gt;"SAMPLE",Config!$B$19="Y")),IFERROR(N(INDEX(Clay_Offices!$A$2:$FZ$601,158,Sync!$C$12)),0),"")</f>
        <v/>
      </c>
      <c r="C2409" s="17">
        <f>IF(B2409="","","office")</f>
        <v/>
      </c>
      <c r="D2409" s="17">
        <f>IF(B2409="","",IFERROR(INDEX(Clay_Offices!$A$2:$FZ$601,158,Sync!$C$5)&amp;"",""))</f>
        <v/>
      </c>
      <c r="E2409" s="17">
        <f>IF(B2409="","",IFERROR(INDEX(Clay_Offices!$A$2:$FZ$601,158,Sync!$C$6)&amp;"",""))</f>
        <v/>
      </c>
      <c r="F2409" s="17">
        <f>IF(B2409="","","outreach_sent")</f>
        <v/>
      </c>
      <c r="G2409" s="17">
        <f>IF(B2409="","","")</f>
        <v/>
      </c>
      <c r="H2409" s="17">
        <f>IF(B2409="","","")</f>
        <v/>
      </c>
      <c r="I2409" s="17">
        <f>IF(B2409="","","")</f>
        <v/>
      </c>
      <c r="J2409" s="17">
        <f>IF(B2409="","","touch_2; "&amp;IFERROR(INDEX(Clay_Offices!$A$2:$FZ$601,158,Sync!$C$10)&amp;"","")&amp;"; "&amp;IFERROR(INDEX(Clay_Offices!$A$2:$FZ$601,158,Sync!$C$9)&amp;"",""))</f>
        <v/>
      </c>
      <c r="K2409" t="inlineStr">
        <is>
          <t>office outreach touch 2</t>
        </is>
      </c>
    </row>
    <row r="2410">
      <c r="A2410" s="17">
        <f>IF(B2410="","",B2410+(13*1000+159)/10000000)</f>
        <v/>
      </c>
      <c r="B2410" s="23">
        <f>IF(AND(IFERROR(N(INDEX(Clay_Offices!$A$2:$FZ$601,159,Sync!$C$12)),0)&gt;0,IFERROR(INDEX(Clay_Offices!$A$2:$FZ$601,159,Sync!$C$5)&amp;"","")&lt;&gt;"",OR(LEFT(IFERROR(INDEX(Clay_Offices!$A$2:$FZ$601,159,Sync!$C$5)&amp;"",""),6)&lt;&gt;"SAMPLE",Config!$B$19="Y")),IFERROR(N(INDEX(Clay_Offices!$A$2:$FZ$601,159,Sync!$C$12)),0),"")</f>
        <v/>
      </c>
      <c r="C2410" s="17">
        <f>IF(B2410="","","office")</f>
        <v/>
      </c>
      <c r="D2410" s="17">
        <f>IF(B2410="","",IFERROR(INDEX(Clay_Offices!$A$2:$FZ$601,159,Sync!$C$5)&amp;"",""))</f>
        <v/>
      </c>
      <c r="E2410" s="17">
        <f>IF(B2410="","",IFERROR(INDEX(Clay_Offices!$A$2:$FZ$601,159,Sync!$C$6)&amp;"",""))</f>
        <v/>
      </c>
      <c r="F2410" s="17">
        <f>IF(B2410="","","outreach_sent")</f>
        <v/>
      </c>
      <c r="G2410" s="17">
        <f>IF(B2410="","","")</f>
        <v/>
      </c>
      <c r="H2410" s="17">
        <f>IF(B2410="","","")</f>
        <v/>
      </c>
      <c r="I2410" s="17">
        <f>IF(B2410="","","")</f>
        <v/>
      </c>
      <c r="J2410" s="17">
        <f>IF(B2410="","","touch_2; "&amp;IFERROR(INDEX(Clay_Offices!$A$2:$FZ$601,159,Sync!$C$10)&amp;"","")&amp;"; "&amp;IFERROR(INDEX(Clay_Offices!$A$2:$FZ$601,159,Sync!$C$9)&amp;"",""))</f>
        <v/>
      </c>
      <c r="K2410" t="inlineStr">
        <is>
          <t>office outreach touch 2</t>
        </is>
      </c>
    </row>
    <row r="2411">
      <c r="A2411" s="17">
        <f>IF(B2411="","",B2411+(13*1000+160)/10000000)</f>
        <v/>
      </c>
      <c r="B2411" s="23">
        <f>IF(AND(IFERROR(N(INDEX(Clay_Offices!$A$2:$FZ$601,160,Sync!$C$12)),0)&gt;0,IFERROR(INDEX(Clay_Offices!$A$2:$FZ$601,160,Sync!$C$5)&amp;"","")&lt;&gt;"",OR(LEFT(IFERROR(INDEX(Clay_Offices!$A$2:$FZ$601,160,Sync!$C$5)&amp;"",""),6)&lt;&gt;"SAMPLE",Config!$B$19="Y")),IFERROR(N(INDEX(Clay_Offices!$A$2:$FZ$601,160,Sync!$C$12)),0),"")</f>
        <v/>
      </c>
      <c r="C2411" s="17">
        <f>IF(B2411="","","office")</f>
        <v/>
      </c>
      <c r="D2411" s="17">
        <f>IF(B2411="","",IFERROR(INDEX(Clay_Offices!$A$2:$FZ$601,160,Sync!$C$5)&amp;"",""))</f>
        <v/>
      </c>
      <c r="E2411" s="17">
        <f>IF(B2411="","",IFERROR(INDEX(Clay_Offices!$A$2:$FZ$601,160,Sync!$C$6)&amp;"",""))</f>
        <v/>
      </c>
      <c r="F2411" s="17">
        <f>IF(B2411="","","outreach_sent")</f>
        <v/>
      </c>
      <c r="G2411" s="17">
        <f>IF(B2411="","","")</f>
        <v/>
      </c>
      <c r="H2411" s="17">
        <f>IF(B2411="","","")</f>
        <v/>
      </c>
      <c r="I2411" s="17">
        <f>IF(B2411="","","")</f>
        <v/>
      </c>
      <c r="J2411" s="17">
        <f>IF(B2411="","","touch_2; "&amp;IFERROR(INDEX(Clay_Offices!$A$2:$FZ$601,160,Sync!$C$10)&amp;"","")&amp;"; "&amp;IFERROR(INDEX(Clay_Offices!$A$2:$FZ$601,160,Sync!$C$9)&amp;"",""))</f>
        <v/>
      </c>
      <c r="K2411" t="inlineStr">
        <is>
          <t>office outreach touch 2</t>
        </is>
      </c>
    </row>
    <row r="2412">
      <c r="A2412" s="17">
        <f>IF(B2412="","",B2412+(13*1000+161)/10000000)</f>
        <v/>
      </c>
      <c r="B2412" s="23">
        <f>IF(AND(IFERROR(N(INDEX(Clay_Offices!$A$2:$FZ$601,161,Sync!$C$12)),0)&gt;0,IFERROR(INDEX(Clay_Offices!$A$2:$FZ$601,161,Sync!$C$5)&amp;"","")&lt;&gt;"",OR(LEFT(IFERROR(INDEX(Clay_Offices!$A$2:$FZ$601,161,Sync!$C$5)&amp;"",""),6)&lt;&gt;"SAMPLE",Config!$B$19="Y")),IFERROR(N(INDEX(Clay_Offices!$A$2:$FZ$601,161,Sync!$C$12)),0),"")</f>
        <v/>
      </c>
      <c r="C2412" s="17">
        <f>IF(B2412="","","office")</f>
        <v/>
      </c>
      <c r="D2412" s="17">
        <f>IF(B2412="","",IFERROR(INDEX(Clay_Offices!$A$2:$FZ$601,161,Sync!$C$5)&amp;"",""))</f>
        <v/>
      </c>
      <c r="E2412" s="17">
        <f>IF(B2412="","",IFERROR(INDEX(Clay_Offices!$A$2:$FZ$601,161,Sync!$C$6)&amp;"",""))</f>
        <v/>
      </c>
      <c r="F2412" s="17">
        <f>IF(B2412="","","outreach_sent")</f>
        <v/>
      </c>
      <c r="G2412" s="17">
        <f>IF(B2412="","","")</f>
        <v/>
      </c>
      <c r="H2412" s="17">
        <f>IF(B2412="","","")</f>
        <v/>
      </c>
      <c r="I2412" s="17">
        <f>IF(B2412="","","")</f>
        <v/>
      </c>
      <c r="J2412" s="17">
        <f>IF(B2412="","","touch_2; "&amp;IFERROR(INDEX(Clay_Offices!$A$2:$FZ$601,161,Sync!$C$10)&amp;"","")&amp;"; "&amp;IFERROR(INDEX(Clay_Offices!$A$2:$FZ$601,161,Sync!$C$9)&amp;"",""))</f>
        <v/>
      </c>
      <c r="K2412" t="inlineStr">
        <is>
          <t>office outreach touch 2</t>
        </is>
      </c>
    </row>
    <row r="2413">
      <c r="A2413" s="17">
        <f>IF(B2413="","",B2413+(13*1000+162)/10000000)</f>
        <v/>
      </c>
      <c r="B2413" s="23">
        <f>IF(AND(IFERROR(N(INDEX(Clay_Offices!$A$2:$FZ$601,162,Sync!$C$12)),0)&gt;0,IFERROR(INDEX(Clay_Offices!$A$2:$FZ$601,162,Sync!$C$5)&amp;"","")&lt;&gt;"",OR(LEFT(IFERROR(INDEX(Clay_Offices!$A$2:$FZ$601,162,Sync!$C$5)&amp;"",""),6)&lt;&gt;"SAMPLE",Config!$B$19="Y")),IFERROR(N(INDEX(Clay_Offices!$A$2:$FZ$601,162,Sync!$C$12)),0),"")</f>
        <v/>
      </c>
      <c r="C2413" s="17">
        <f>IF(B2413="","","office")</f>
        <v/>
      </c>
      <c r="D2413" s="17">
        <f>IF(B2413="","",IFERROR(INDEX(Clay_Offices!$A$2:$FZ$601,162,Sync!$C$5)&amp;"",""))</f>
        <v/>
      </c>
      <c r="E2413" s="17">
        <f>IF(B2413="","",IFERROR(INDEX(Clay_Offices!$A$2:$FZ$601,162,Sync!$C$6)&amp;"",""))</f>
        <v/>
      </c>
      <c r="F2413" s="17">
        <f>IF(B2413="","","outreach_sent")</f>
        <v/>
      </c>
      <c r="G2413" s="17">
        <f>IF(B2413="","","")</f>
        <v/>
      </c>
      <c r="H2413" s="17">
        <f>IF(B2413="","","")</f>
        <v/>
      </c>
      <c r="I2413" s="17">
        <f>IF(B2413="","","")</f>
        <v/>
      </c>
      <c r="J2413" s="17">
        <f>IF(B2413="","","touch_2; "&amp;IFERROR(INDEX(Clay_Offices!$A$2:$FZ$601,162,Sync!$C$10)&amp;"","")&amp;"; "&amp;IFERROR(INDEX(Clay_Offices!$A$2:$FZ$601,162,Sync!$C$9)&amp;"",""))</f>
        <v/>
      </c>
      <c r="K2413" t="inlineStr">
        <is>
          <t>office outreach touch 2</t>
        </is>
      </c>
    </row>
    <row r="2414">
      <c r="A2414" s="17">
        <f>IF(B2414="","",B2414+(13*1000+163)/10000000)</f>
        <v/>
      </c>
      <c r="B2414" s="23">
        <f>IF(AND(IFERROR(N(INDEX(Clay_Offices!$A$2:$FZ$601,163,Sync!$C$12)),0)&gt;0,IFERROR(INDEX(Clay_Offices!$A$2:$FZ$601,163,Sync!$C$5)&amp;"","")&lt;&gt;"",OR(LEFT(IFERROR(INDEX(Clay_Offices!$A$2:$FZ$601,163,Sync!$C$5)&amp;"",""),6)&lt;&gt;"SAMPLE",Config!$B$19="Y")),IFERROR(N(INDEX(Clay_Offices!$A$2:$FZ$601,163,Sync!$C$12)),0),"")</f>
        <v/>
      </c>
      <c r="C2414" s="17">
        <f>IF(B2414="","","office")</f>
        <v/>
      </c>
      <c r="D2414" s="17">
        <f>IF(B2414="","",IFERROR(INDEX(Clay_Offices!$A$2:$FZ$601,163,Sync!$C$5)&amp;"",""))</f>
        <v/>
      </c>
      <c r="E2414" s="17">
        <f>IF(B2414="","",IFERROR(INDEX(Clay_Offices!$A$2:$FZ$601,163,Sync!$C$6)&amp;"",""))</f>
        <v/>
      </c>
      <c r="F2414" s="17">
        <f>IF(B2414="","","outreach_sent")</f>
        <v/>
      </c>
      <c r="G2414" s="17">
        <f>IF(B2414="","","")</f>
        <v/>
      </c>
      <c r="H2414" s="17">
        <f>IF(B2414="","","")</f>
        <v/>
      </c>
      <c r="I2414" s="17">
        <f>IF(B2414="","","")</f>
        <v/>
      </c>
      <c r="J2414" s="17">
        <f>IF(B2414="","","touch_2; "&amp;IFERROR(INDEX(Clay_Offices!$A$2:$FZ$601,163,Sync!$C$10)&amp;"","")&amp;"; "&amp;IFERROR(INDEX(Clay_Offices!$A$2:$FZ$601,163,Sync!$C$9)&amp;"",""))</f>
        <v/>
      </c>
      <c r="K2414" t="inlineStr">
        <is>
          <t>office outreach touch 2</t>
        </is>
      </c>
    </row>
    <row r="2415">
      <c r="A2415" s="17">
        <f>IF(B2415="","",B2415+(13*1000+164)/10000000)</f>
        <v/>
      </c>
      <c r="B2415" s="23">
        <f>IF(AND(IFERROR(N(INDEX(Clay_Offices!$A$2:$FZ$601,164,Sync!$C$12)),0)&gt;0,IFERROR(INDEX(Clay_Offices!$A$2:$FZ$601,164,Sync!$C$5)&amp;"","")&lt;&gt;"",OR(LEFT(IFERROR(INDEX(Clay_Offices!$A$2:$FZ$601,164,Sync!$C$5)&amp;"",""),6)&lt;&gt;"SAMPLE",Config!$B$19="Y")),IFERROR(N(INDEX(Clay_Offices!$A$2:$FZ$601,164,Sync!$C$12)),0),"")</f>
        <v/>
      </c>
      <c r="C2415" s="17">
        <f>IF(B2415="","","office")</f>
        <v/>
      </c>
      <c r="D2415" s="17">
        <f>IF(B2415="","",IFERROR(INDEX(Clay_Offices!$A$2:$FZ$601,164,Sync!$C$5)&amp;"",""))</f>
        <v/>
      </c>
      <c r="E2415" s="17">
        <f>IF(B2415="","",IFERROR(INDEX(Clay_Offices!$A$2:$FZ$601,164,Sync!$C$6)&amp;"",""))</f>
        <v/>
      </c>
      <c r="F2415" s="17">
        <f>IF(B2415="","","outreach_sent")</f>
        <v/>
      </c>
      <c r="G2415" s="17">
        <f>IF(B2415="","","")</f>
        <v/>
      </c>
      <c r="H2415" s="17">
        <f>IF(B2415="","","")</f>
        <v/>
      </c>
      <c r="I2415" s="17">
        <f>IF(B2415="","","")</f>
        <v/>
      </c>
      <c r="J2415" s="17">
        <f>IF(B2415="","","touch_2; "&amp;IFERROR(INDEX(Clay_Offices!$A$2:$FZ$601,164,Sync!$C$10)&amp;"","")&amp;"; "&amp;IFERROR(INDEX(Clay_Offices!$A$2:$FZ$601,164,Sync!$C$9)&amp;"",""))</f>
        <v/>
      </c>
      <c r="K2415" t="inlineStr">
        <is>
          <t>office outreach touch 2</t>
        </is>
      </c>
    </row>
    <row r="2416">
      <c r="A2416" s="17">
        <f>IF(B2416="","",B2416+(13*1000+165)/10000000)</f>
        <v/>
      </c>
      <c r="B2416" s="23">
        <f>IF(AND(IFERROR(N(INDEX(Clay_Offices!$A$2:$FZ$601,165,Sync!$C$12)),0)&gt;0,IFERROR(INDEX(Clay_Offices!$A$2:$FZ$601,165,Sync!$C$5)&amp;"","")&lt;&gt;"",OR(LEFT(IFERROR(INDEX(Clay_Offices!$A$2:$FZ$601,165,Sync!$C$5)&amp;"",""),6)&lt;&gt;"SAMPLE",Config!$B$19="Y")),IFERROR(N(INDEX(Clay_Offices!$A$2:$FZ$601,165,Sync!$C$12)),0),"")</f>
        <v/>
      </c>
      <c r="C2416" s="17">
        <f>IF(B2416="","","office")</f>
        <v/>
      </c>
      <c r="D2416" s="17">
        <f>IF(B2416="","",IFERROR(INDEX(Clay_Offices!$A$2:$FZ$601,165,Sync!$C$5)&amp;"",""))</f>
        <v/>
      </c>
      <c r="E2416" s="17">
        <f>IF(B2416="","",IFERROR(INDEX(Clay_Offices!$A$2:$FZ$601,165,Sync!$C$6)&amp;"",""))</f>
        <v/>
      </c>
      <c r="F2416" s="17">
        <f>IF(B2416="","","outreach_sent")</f>
        <v/>
      </c>
      <c r="G2416" s="17">
        <f>IF(B2416="","","")</f>
        <v/>
      </c>
      <c r="H2416" s="17">
        <f>IF(B2416="","","")</f>
        <v/>
      </c>
      <c r="I2416" s="17">
        <f>IF(B2416="","","")</f>
        <v/>
      </c>
      <c r="J2416" s="17">
        <f>IF(B2416="","","touch_2; "&amp;IFERROR(INDEX(Clay_Offices!$A$2:$FZ$601,165,Sync!$C$10)&amp;"","")&amp;"; "&amp;IFERROR(INDEX(Clay_Offices!$A$2:$FZ$601,165,Sync!$C$9)&amp;"",""))</f>
        <v/>
      </c>
      <c r="K2416" t="inlineStr">
        <is>
          <t>office outreach touch 2</t>
        </is>
      </c>
    </row>
    <row r="2417">
      <c r="A2417" s="17">
        <f>IF(B2417="","",B2417+(13*1000+166)/10000000)</f>
        <v/>
      </c>
      <c r="B2417" s="23">
        <f>IF(AND(IFERROR(N(INDEX(Clay_Offices!$A$2:$FZ$601,166,Sync!$C$12)),0)&gt;0,IFERROR(INDEX(Clay_Offices!$A$2:$FZ$601,166,Sync!$C$5)&amp;"","")&lt;&gt;"",OR(LEFT(IFERROR(INDEX(Clay_Offices!$A$2:$FZ$601,166,Sync!$C$5)&amp;"",""),6)&lt;&gt;"SAMPLE",Config!$B$19="Y")),IFERROR(N(INDEX(Clay_Offices!$A$2:$FZ$601,166,Sync!$C$12)),0),"")</f>
        <v/>
      </c>
      <c r="C2417" s="17">
        <f>IF(B2417="","","office")</f>
        <v/>
      </c>
      <c r="D2417" s="17">
        <f>IF(B2417="","",IFERROR(INDEX(Clay_Offices!$A$2:$FZ$601,166,Sync!$C$5)&amp;"",""))</f>
        <v/>
      </c>
      <c r="E2417" s="17">
        <f>IF(B2417="","",IFERROR(INDEX(Clay_Offices!$A$2:$FZ$601,166,Sync!$C$6)&amp;"",""))</f>
        <v/>
      </c>
      <c r="F2417" s="17">
        <f>IF(B2417="","","outreach_sent")</f>
        <v/>
      </c>
      <c r="G2417" s="17">
        <f>IF(B2417="","","")</f>
        <v/>
      </c>
      <c r="H2417" s="17">
        <f>IF(B2417="","","")</f>
        <v/>
      </c>
      <c r="I2417" s="17">
        <f>IF(B2417="","","")</f>
        <v/>
      </c>
      <c r="J2417" s="17">
        <f>IF(B2417="","","touch_2; "&amp;IFERROR(INDEX(Clay_Offices!$A$2:$FZ$601,166,Sync!$C$10)&amp;"","")&amp;"; "&amp;IFERROR(INDEX(Clay_Offices!$A$2:$FZ$601,166,Sync!$C$9)&amp;"",""))</f>
        <v/>
      </c>
      <c r="K2417" t="inlineStr">
        <is>
          <t>office outreach touch 2</t>
        </is>
      </c>
    </row>
    <row r="2418">
      <c r="A2418" s="17">
        <f>IF(B2418="","",B2418+(13*1000+167)/10000000)</f>
        <v/>
      </c>
      <c r="B2418" s="23">
        <f>IF(AND(IFERROR(N(INDEX(Clay_Offices!$A$2:$FZ$601,167,Sync!$C$12)),0)&gt;0,IFERROR(INDEX(Clay_Offices!$A$2:$FZ$601,167,Sync!$C$5)&amp;"","")&lt;&gt;"",OR(LEFT(IFERROR(INDEX(Clay_Offices!$A$2:$FZ$601,167,Sync!$C$5)&amp;"",""),6)&lt;&gt;"SAMPLE",Config!$B$19="Y")),IFERROR(N(INDEX(Clay_Offices!$A$2:$FZ$601,167,Sync!$C$12)),0),"")</f>
        <v/>
      </c>
      <c r="C2418" s="17">
        <f>IF(B2418="","","office")</f>
        <v/>
      </c>
      <c r="D2418" s="17">
        <f>IF(B2418="","",IFERROR(INDEX(Clay_Offices!$A$2:$FZ$601,167,Sync!$C$5)&amp;"",""))</f>
        <v/>
      </c>
      <c r="E2418" s="17">
        <f>IF(B2418="","",IFERROR(INDEX(Clay_Offices!$A$2:$FZ$601,167,Sync!$C$6)&amp;"",""))</f>
        <v/>
      </c>
      <c r="F2418" s="17">
        <f>IF(B2418="","","outreach_sent")</f>
        <v/>
      </c>
      <c r="G2418" s="17">
        <f>IF(B2418="","","")</f>
        <v/>
      </c>
      <c r="H2418" s="17">
        <f>IF(B2418="","","")</f>
        <v/>
      </c>
      <c r="I2418" s="17">
        <f>IF(B2418="","","")</f>
        <v/>
      </c>
      <c r="J2418" s="17">
        <f>IF(B2418="","","touch_2; "&amp;IFERROR(INDEX(Clay_Offices!$A$2:$FZ$601,167,Sync!$C$10)&amp;"","")&amp;"; "&amp;IFERROR(INDEX(Clay_Offices!$A$2:$FZ$601,167,Sync!$C$9)&amp;"",""))</f>
        <v/>
      </c>
      <c r="K2418" t="inlineStr">
        <is>
          <t>office outreach touch 2</t>
        </is>
      </c>
    </row>
    <row r="2419">
      <c r="A2419" s="17">
        <f>IF(B2419="","",B2419+(13*1000+168)/10000000)</f>
        <v/>
      </c>
      <c r="B2419" s="23">
        <f>IF(AND(IFERROR(N(INDEX(Clay_Offices!$A$2:$FZ$601,168,Sync!$C$12)),0)&gt;0,IFERROR(INDEX(Clay_Offices!$A$2:$FZ$601,168,Sync!$C$5)&amp;"","")&lt;&gt;"",OR(LEFT(IFERROR(INDEX(Clay_Offices!$A$2:$FZ$601,168,Sync!$C$5)&amp;"",""),6)&lt;&gt;"SAMPLE",Config!$B$19="Y")),IFERROR(N(INDEX(Clay_Offices!$A$2:$FZ$601,168,Sync!$C$12)),0),"")</f>
        <v/>
      </c>
      <c r="C2419" s="17">
        <f>IF(B2419="","","office")</f>
        <v/>
      </c>
      <c r="D2419" s="17">
        <f>IF(B2419="","",IFERROR(INDEX(Clay_Offices!$A$2:$FZ$601,168,Sync!$C$5)&amp;"",""))</f>
        <v/>
      </c>
      <c r="E2419" s="17">
        <f>IF(B2419="","",IFERROR(INDEX(Clay_Offices!$A$2:$FZ$601,168,Sync!$C$6)&amp;"",""))</f>
        <v/>
      </c>
      <c r="F2419" s="17">
        <f>IF(B2419="","","outreach_sent")</f>
        <v/>
      </c>
      <c r="G2419" s="17">
        <f>IF(B2419="","","")</f>
        <v/>
      </c>
      <c r="H2419" s="17">
        <f>IF(B2419="","","")</f>
        <v/>
      </c>
      <c r="I2419" s="17">
        <f>IF(B2419="","","")</f>
        <v/>
      </c>
      <c r="J2419" s="17">
        <f>IF(B2419="","","touch_2; "&amp;IFERROR(INDEX(Clay_Offices!$A$2:$FZ$601,168,Sync!$C$10)&amp;"","")&amp;"; "&amp;IFERROR(INDEX(Clay_Offices!$A$2:$FZ$601,168,Sync!$C$9)&amp;"",""))</f>
        <v/>
      </c>
      <c r="K2419" t="inlineStr">
        <is>
          <t>office outreach touch 2</t>
        </is>
      </c>
    </row>
    <row r="2420">
      <c r="A2420" s="17">
        <f>IF(B2420="","",B2420+(13*1000+169)/10000000)</f>
        <v/>
      </c>
      <c r="B2420" s="23">
        <f>IF(AND(IFERROR(N(INDEX(Clay_Offices!$A$2:$FZ$601,169,Sync!$C$12)),0)&gt;0,IFERROR(INDEX(Clay_Offices!$A$2:$FZ$601,169,Sync!$C$5)&amp;"","")&lt;&gt;"",OR(LEFT(IFERROR(INDEX(Clay_Offices!$A$2:$FZ$601,169,Sync!$C$5)&amp;"",""),6)&lt;&gt;"SAMPLE",Config!$B$19="Y")),IFERROR(N(INDEX(Clay_Offices!$A$2:$FZ$601,169,Sync!$C$12)),0),"")</f>
        <v/>
      </c>
      <c r="C2420" s="17">
        <f>IF(B2420="","","office")</f>
        <v/>
      </c>
      <c r="D2420" s="17">
        <f>IF(B2420="","",IFERROR(INDEX(Clay_Offices!$A$2:$FZ$601,169,Sync!$C$5)&amp;"",""))</f>
        <v/>
      </c>
      <c r="E2420" s="17">
        <f>IF(B2420="","",IFERROR(INDEX(Clay_Offices!$A$2:$FZ$601,169,Sync!$C$6)&amp;"",""))</f>
        <v/>
      </c>
      <c r="F2420" s="17">
        <f>IF(B2420="","","outreach_sent")</f>
        <v/>
      </c>
      <c r="G2420" s="17">
        <f>IF(B2420="","","")</f>
        <v/>
      </c>
      <c r="H2420" s="17">
        <f>IF(B2420="","","")</f>
        <v/>
      </c>
      <c r="I2420" s="17">
        <f>IF(B2420="","","")</f>
        <v/>
      </c>
      <c r="J2420" s="17">
        <f>IF(B2420="","","touch_2; "&amp;IFERROR(INDEX(Clay_Offices!$A$2:$FZ$601,169,Sync!$C$10)&amp;"","")&amp;"; "&amp;IFERROR(INDEX(Clay_Offices!$A$2:$FZ$601,169,Sync!$C$9)&amp;"",""))</f>
        <v/>
      </c>
      <c r="K2420" t="inlineStr">
        <is>
          <t>office outreach touch 2</t>
        </is>
      </c>
    </row>
    <row r="2421">
      <c r="A2421" s="17">
        <f>IF(B2421="","",B2421+(13*1000+170)/10000000)</f>
        <v/>
      </c>
      <c r="B2421" s="23">
        <f>IF(AND(IFERROR(N(INDEX(Clay_Offices!$A$2:$FZ$601,170,Sync!$C$12)),0)&gt;0,IFERROR(INDEX(Clay_Offices!$A$2:$FZ$601,170,Sync!$C$5)&amp;"","")&lt;&gt;"",OR(LEFT(IFERROR(INDEX(Clay_Offices!$A$2:$FZ$601,170,Sync!$C$5)&amp;"",""),6)&lt;&gt;"SAMPLE",Config!$B$19="Y")),IFERROR(N(INDEX(Clay_Offices!$A$2:$FZ$601,170,Sync!$C$12)),0),"")</f>
        <v/>
      </c>
      <c r="C2421" s="17">
        <f>IF(B2421="","","office")</f>
        <v/>
      </c>
      <c r="D2421" s="17">
        <f>IF(B2421="","",IFERROR(INDEX(Clay_Offices!$A$2:$FZ$601,170,Sync!$C$5)&amp;"",""))</f>
        <v/>
      </c>
      <c r="E2421" s="17">
        <f>IF(B2421="","",IFERROR(INDEX(Clay_Offices!$A$2:$FZ$601,170,Sync!$C$6)&amp;"",""))</f>
        <v/>
      </c>
      <c r="F2421" s="17">
        <f>IF(B2421="","","outreach_sent")</f>
        <v/>
      </c>
      <c r="G2421" s="17">
        <f>IF(B2421="","","")</f>
        <v/>
      </c>
      <c r="H2421" s="17">
        <f>IF(B2421="","","")</f>
        <v/>
      </c>
      <c r="I2421" s="17">
        <f>IF(B2421="","","")</f>
        <v/>
      </c>
      <c r="J2421" s="17">
        <f>IF(B2421="","","touch_2; "&amp;IFERROR(INDEX(Clay_Offices!$A$2:$FZ$601,170,Sync!$C$10)&amp;"","")&amp;"; "&amp;IFERROR(INDEX(Clay_Offices!$A$2:$FZ$601,170,Sync!$C$9)&amp;"",""))</f>
        <v/>
      </c>
      <c r="K2421" t="inlineStr">
        <is>
          <t>office outreach touch 2</t>
        </is>
      </c>
    </row>
    <row r="2422">
      <c r="A2422" s="17">
        <f>IF(B2422="","",B2422+(13*1000+171)/10000000)</f>
        <v/>
      </c>
      <c r="B2422" s="23">
        <f>IF(AND(IFERROR(N(INDEX(Clay_Offices!$A$2:$FZ$601,171,Sync!$C$12)),0)&gt;0,IFERROR(INDEX(Clay_Offices!$A$2:$FZ$601,171,Sync!$C$5)&amp;"","")&lt;&gt;"",OR(LEFT(IFERROR(INDEX(Clay_Offices!$A$2:$FZ$601,171,Sync!$C$5)&amp;"",""),6)&lt;&gt;"SAMPLE",Config!$B$19="Y")),IFERROR(N(INDEX(Clay_Offices!$A$2:$FZ$601,171,Sync!$C$12)),0),"")</f>
        <v/>
      </c>
      <c r="C2422" s="17">
        <f>IF(B2422="","","office")</f>
        <v/>
      </c>
      <c r="D2422" s="17">
        <f>IF(B2422="","",IFERROR(INDEX(Clay_Offices!$A$2:$FZ$601,171,Sync!$C$5)&amp;"",""))</f>
        <v/>
      </c>
      <c r="E2422" s="17">
        <f>IF(B2422="","",IFERROR(INDEX(Clay_Offices!$A$2:$FZ$601,171,Sync!$C$6)&amp;"",""))</f>
        <v/>
      </c>
      <c r="F2422" s="17">
        <f>IF(B2422="","","outreach_sent")</f>
        <v/>
      </c>
      <c r="G2422" s="17">
        <f>IF(B2422="","","")</f>
        <v/>
      </c>
      <c r="H2422" s="17">
        <f>IF(B2422="","","")</f>
        <v/>
      </c>
      <c r="I2422" s="17">
        <f>IF(B2422="","","")</f>
        <v/>
      </c>
      <c r="J2422" s="17">
        <f>IF(B2422="","","touch_2; "&amp;IFERROR(INDEX(Clay_Offices!$A$2:$FZ$601,171,Sync!$C$10)&amp;"","")&amp;"; "&amp;IFERROR(INDEX(Clay_Offices!$A$2:$FZ$601,171,Sync!$C$9)&amp;"",""))</f>
        <v/>
      </c>
      <c r="K2422" t="inlineStr">
        <is>
          <t>office outreach touch 2</t>
        </is>
      </c>
    </row>
    <row r="2423">
      <c r="A2423" s="17">
        <f>IF(B2423="","",B2423+(13*1000+172)/10000000)</f>
        <v/>
      </c>
      <c r="B2423" s="23">
        <f>IF(AND(IFERROR(N(INDEX(Clay_Offices!$A$2:$FZ$601,172,Sync!$C$12)),0)&gt;0,IFERROR(INDEX(Clay_Offices!$A$2:$FZ$601,172,Sync!$C$5)&amp;"","")&lt;&gt;"",OR(LEFT(IFERROR(INDEX(Clay_Offices!$A$2:$FZ$601,172,Sync!$C$5)&amp;"",""),6)&lt;&gt;"SAMPLE",Config!$B$19="Y")),IFERROR(N(INDEX(Clay_Offices!$A$2:$FZ$601,172,Sync!$C$12)),0),"")</f>
        <v/>
      </c>
      <c r="C2423" s="17">
        <f>IF(B2423="","","office")</f>
        <v/>
      </c>
      <c r="D2423" s="17">
        <f>IF(B2423="","",IFERROR(INDEX(Clay_Offices!$A$2:$FZ$601,172,Sync!$C$5)&amp;"",""))</f>
        <v/>
      </c>
      <c r="E2423" s="17">
        <f>IF(B2423="","",IFERROR(INDEX(Clay_Offices!$A$2:$FZ$601,172,Sync!$C$6)&amp;"",""))</f>
        <v/>
      </c>
      <c r="F2423" s="17">
        <f>IF(B2423="","","outreach_sent")</f>
        <v/>
      </c>
      <c r="G2423" s="17">
        <f>IF(B2423="","","")</f>
        <v/>
      </c>
      <c r="H2423" s="17">
        <f>IF(B2423="","","")</f>
        <v/>
      </c>
      <c r="I2423" s="17">
        <f>IF(B2423="","","")</f>
        <v/>
      </c>
      <c r="J2423" s="17">
        <f>IF(B2423="","","touch_2; "&amp;IFERROR(INDEX(Clay_Offices!$A$2:$FZ$601,172,Sync!$C$10)&amp;"","")&amp;"; "&amp;IFERROR(INDEX(Clay_Offices!$A$2:$FZ$601,172,Sync!$C$9)&amp;"",""))</f>
        <v/>
      </c>
      <c r="K2423" t="inlineStr">
        <is>
          <t>office outreach touch 2</t>
        </is>
      </c>
    </row>
    <row r="2424">
      <c r="A2424" s="17">
        <f>IF(B2424="","",B2424+(13*1000+173)/10000000)</f>
        <v/>
      </c>
      <c r="B2424" s="23">
        <f>IF(AND(IFERROR(N(INDEX(Clay_Offices!$A$2:$FZ$601,173,Sync!$C$12)),0)&gt;0,IFERROR(INDEX(Clay_Offices!$A$2:$FZ$601,173,Sync!$C$5)&amp;"","")&lt;&gt;"",OR(LEFT(IFERROR(INDEX(Clay_Offices!$A$2:$FZ$601,173,Sync!$C$5)&amp;"",""),6)&lt;&gt;"SAMPLE",Config!$B$19="Y")),IFERROR(N(INDEX(Clay_Offices!$A$2:$FZ$601,173,Sync!$C$12)),0),"")</f>
        <v/>
      </c>
      <c r="C2424" s="17">
        <f>IF(B2424="","","office")</f>
        <v/>
      </c>
      <c r="D2424" s="17">
        <f>IF(B2424="","",IFERROR(INDEX(Clay_Offices!$A$2:$FZ$601,173,Sync!$C$5)&amp;"",""))</f>
        <v/>
      </c>
      <c r="E2424" s="17">
        <f>IF(B2424="","",IFERROR(INDEX(Clay_Offices!$A$2:$FZ$601,173,Sync!$C$6)&amp;"",""))</f>
        <v/>
      </c>
      <c r="F2424" s="17">
        <f>IF(B2424="","","outreach_sent")</f>
        <v/>
      </c>
      <c r="G2424" s="17">
        <f>IF(B2424="","","")</f>
        <v/>
      </c>
      <c r="H2424" s="17">
        <f>IF(B2424="","","")</f>
        <v/>
      </c>
      <c r="I2424" s="17">
        <f>IF(B2424="","","")</f>
        <v/>
      </c>
      <c r="J2424" s="17">
        <f>IF(B2424="","","touch_2; "&amp;IFERROR(INDEX(Clay_Offices!$A$2:$FZ$601,173,Sync!$C$10)&amp;"","")&amp;"; "&amp;IFERROR(INDEX(Clay_Offices!$A$2:$FZ$601,173,Sync!$C$9)&amp;"",""))</f>
        <v/>
      </c>
      <c r="K2424" t="inlineStr">
        <is>
          <t>office outreach touch 2</t>
        </is>
      </c>
    </row>
    <row r="2425">
      <c r="A2425" s="17">
        <f>IF(B2425="","",B2425+(13*1000+174)/10000000)</f>
        <v/>
      </c>
      <c r="B2425" s="23">
        <f>IF(AND(IFERROR(N(INDEX(Clay_Offices!$A$2:$FZ$601,174,Sync!$C$12)),0)&gt;0,IFERROR(INDEX(Clay_Offices!$A$2:$FZ$601,174,Sync!$C$5)&amp;"","")&lt;&gt;"",OR(LEFT(IFERROR(INDEX(Clay_Offices!$A$2:$FZ$601,174,Sync!$C$5)&amp;"",""),6)&lt;&gt;"SAMPLE",Config!$B$19="Y")),IFERROR(N(INDEX(Clay_Offices!$A$2:$FZ$601,174,Sync!$C$12)),0),"")</f>
        <v/>
      </c>
      <c r="C2425" s="17">
        <f>IF(B2425="","","office")</f>
        <v/>
      </c>
      <c r="D2425" s="17">
        <f>IF(B2425="","",IFERROR(INDEX(Clay_Offices!$A$2:$FZ$601,174,Sync!$C$5)&amp;"",""))</f>
        <v/>
      </c>
      <c r="E2425" s="17">
        <f>IF(B2425="","",IFERROR(INDEX(Clay_Offices!$A$2:$FZ$601,174,Sync!$C$6)&amp;"",""))</f>
        <v/>
      </c>
      <c r="F2425" s="17">
        <f>IF(B2425="","","outreach_sent")</f>
        <v/>
      </c>
      <c r="G2425" s="17">
        <f>IF(B2425="","","")</f>
        <v/>
      </c>
      <c r="H2425" s="17">
        <f>IF(B2425="","","")</f>
        <v/>
      </c>
      <c r="I2425" s="17">
        <f>IF(B2425="","","")</f>
        <v/>
      </c>
      <c r="J2425" s="17">
        <f>IF(B2425="","","touch_2; "&amp;IFERROR(INDEX(Clay_Offices!$A$2:$FZ$601,174,Sync!$C$10)&amp;"","")&amp;"; "&amp;IFERROR(INDEX(Clay_Offices!$A$2:$FZ$601,174,Sync!$C$9)&amp;"",""))</f>
        <v/>
      </c>
      <c r="K2425" t="inlineStr">
        <is>
          <t>office outreach touch 2</t>
        </is>
      </c>
    </row>
    <row r="2426">
      <c r="A2426" s="17">
        <f>IF(B2426="","",B2426+(13*1000+175)/10000000)</f>
        <v/>
      </c>
      <c r="B2426" s="23">
        <f>IF(AND(IFERROR(N(INDEX(Clay_Offices!$A$2:$FZ$601,175,Sync!$C$12)),0)&gt;0,IFERROR(INDEX(Clay_Offices!$A$2:$FZ$601,175,Sync!$C$5)&amp;"","")&lt;&gt;"",OR(LEFT(IFERROR(INDEX(Clay_Offices!$A$2:$FZ$601,175,Sync!$C$5)&amp;"",""),6)&lt;&gt;"SAMPLE",Config!$B$19="Y")),IFERROR(N(INDEX(Clay_Offices!$A$2:$FZ$601,175,Sync!$C$12)),0),"")</f>
        <v/>
      </c>
      <c r="C2426" s="17">
        <f>IF(B2426="","","office")</f>
        <v/>
      </c>
      <c r="D2426" s="17">
        <f>IF(B2426="","",IFERROR(INDEX(Clay_Offices!$A$2:$FZ$601,175,Sync!$C$5)&amp;"",""))</f>
        <v/>
      </c>
      <c r="E2426" s="17">
        <f>IF(B2426="","",IFERROR(INDEX(Clay_Offices!$A$2:$FZ$601,175,Sync!$C$6)&amp;"",""))</f>
        <v/>
      </c>
      <c r="F2426" s="17">
        <f>IF(B2426="","","outreach_sent")</f>
        <v/>
      </c>
      <c r="G2426" s="17">
        <f>IF(B2426="","","")</f>
        <v/>
      </c>
      <c r="H2426" s="17">
        <f>IF(B2426="","","")</f>
        <v/>
      </c>
      <c r="I2426" s="17">
        <f>IF(B2426="","","")</f>
        <v/>
      </c>
      <c r="J2426" s="17">
        <f>IF(B2426="","","touch_2; "&amp;IFERROR(INDEX(Clay_Offices!$A$2:$FZ$601,175,Sync!$C$10)&amp;"","")&amp;"; "&amp;IFERROR(INDEX(Clay_Offices!$A$2:$FZ$601,175,Sync!$C$9)&amp;"",""))</f>
        <v/>
      </c>
      <c r="K2426" t="inlineStr">
        <is>
          <t>office outreach touch 2</t>
        </is>
      </c>
    </row>
    <row r="2427">
      <c r="A2427" s="17">
        <f>IF(B2427="","",B2427+(13*1000+176)/10000000)</f>
        <v/>
      </c>
      <c r="B2427" s="23">
        <f>IF(AND(IFERROR(N(INDEX(Clay_Offices!$A$2:$FZ$601,176,Sync!$C$12)),0)&gt;0,IFERROR(INDEX(Clay_Offices!$A$2:$FZ$601,176,Sync!$C$5)&amp;"","")&lt;&gt;"",OR(LEFT(IFERROR(INDEX(Clay_Offices!$A$2:$FZ$601,176,Sync!$C$5)&amp;"",""),6)&lt;&gt;"SAMPLE",Config!$B$19="Y")),IFERROR(N(INDEX(Clay_Offices!$A$2:$FZ$601,176,Sync!$C$12)),0),"")</f>
        <v/>
      </c>
      <c r="C2427" s="17">
        <f>IF(B2427="","","office")</f>
        <v/>
      </c>
      <c r="D2427" s="17">
        <f>IF(B2427="","",IFERROR(INDEX(Clay_Offices!$A$2:$FZ$601,176,Sync!$C$5)&amp;"",""))</f>
        <v/>
      </c>
      <c r="E2427" s="17">
        <f>IF(B2427="","",IFERROR(INDEX(Clay_Offices!$A$2:$FZ$601,176,Sync!$C$6)&amp;"",""))</f>
        <v/>
      </c>
      <c r="F2427" s="17">
        <f>IF(B2427="","","outreach_sent")</f>
        <v/>
      </c>
      <c r="G2427" s="17">
        <f>IF(B2427="","","")</f>
        <v/>
      </c>
      <c r="H2427" s="17">
        <f>IF(B2427="","","")</f>
        <v/>
      </c>
      <c r="I2427" s="17">
        <f>IF(B2427="","","")</f>
        <v/>
      </c>
      <c r="J2427" s="17">
        <f>IF(B2427="","","touch_2; "&amp;IFERROR(INDEX(Clay_Offices!$A$2:$FZ$601,176,Sync!$C$10)&amp;"","")&amp;"; "&amp;IFERROR(INDEX(Clay_Offices!$A$2:$FZ$601,176,Sync!$C$9)&amp;"",""))</f>
        <v/>
      </c>
      <c r="K2427" t="inlineStr">
        <is>
          <t>office outreach touch 2</t>
        </is>
      </c>
    </row>
    <row r="2428">
      <c r="A2428" s="17">
        <f>IF(B2428="","",B2428+(13*1000+177)/10000000)</f>
        <v/>
      </c>
      <c r="B2428" s="23">
        <f>IF(AND(IFERROR(N(INDEX(Clay_Offices!$A$2:$FZ$601,177,Sync!$C$12)),0)&gt;0,IFERROR(INDEX(Clay_Offices!$A$2:$FZ$601,177,Sync!$C$5)&amp;"","")&lt;&gt;"",OR(LEFT(IFERROR(INDEX(Clay_Offices!$A$2:$FZ$601,177,Sync!$C$5)&amp;"",""),6)&lt;&gt;"SAMPLE",Config!$B$19="Y")),IFERROR(N(INDEX(Clay_Offices!$A$2:$FZ$601,177,Sync!$C$12)),0),"")</f>
        <v/>
      </c>
      <c r="C2428" s="17">
        <f>IF(B2428="","","office")</f>
        <v/>
      </c>
      <c r="D2428" s="17">
        <f>IF(B2428="","",IFERROR(INDEX(Clay_Offices!$A$2:$FZ$601,177,Sync!$C$5)&amp;"",""))</f>
        <v/>
      </c>
      <c r="E2428" s="17">
        <f>IF(B2428="","",IFERROR(INDEX(Clay_Offices!$A$2:$FZ$601,177,Sync!$C$6)&amp;"",""))</f>
        <v/>
      </c>
      <c r="F2428" s="17">
        <f>IF(B2428="","","outreach_sent")</f>
        <v/>
      </c>
      <c r="G2428" s="17">
        <f>IF(B2428="","","")</f>
        <v/>
      </c>
      <c r="H2428" s="17">
        <f>IF(B2428="","","")</f>
        <v/>
      </c>
      <c r="I2428" s="17">
        <f>IF(B2428="","","")</f>
        <v/>
      </c>
      <c r="J2428" s="17">
        <f>IF(B2428="","","touch_2; "&amp;IFERROR(INDEX(Clay_Offices!$A$2:$FZ$601,177,Sync!$C$10)&amp;"","")&amp;"; "&amp;IFERROR(INDEX(Clay_Offices!$A$2:$FZ$601,177,Sync!$C$9)&amp;"",""))</f>
        <v/>
      </c>
      <c r="K2428" t="inlineStr">
        <is>
          <t>office outreach touch 2</t>
        </is>
      </c>
    </row>
    <row r="2429">
      <c r="A2429" s="17">
        <f>IF(B2429="","",B2429+(13*1000+178)/10000000)</f>
        <v/>
      </c>
      <c r="B2429" s="23">
        <f>IF(AND(IFERROR(N(INDEX(Clay_Offices!$A$2:$FZ$601,178,Sync!$C$12)),0)&gt;0,IFERROR(INDEX(Clay_Offices!$A$2:$FZ$601,178,Sync!$C$5)&amp;"","")&lt;&gt;"",OR(LEFT(IFERROR(INDEX(Clay_Offices!$A$2:$FZ$601,178,Sync!$C$5)&amp;"",""),6)&lt;&gt;"SAMPLE",Config!$B$19="Y")),IFERROR(N(INDEX(Clay_Offices!$A$2:$FZ$601,178,Sync!$C$12)),0),"")</f>
        <v/>
      </c>
      <c r="C2429" s="17">
        <f>IF(B2429="","","office")</f>
        <v/>
      </c>
      <c r="D2429" s="17">
        <f>IF(B2429="","",IFERROR(INDEX(Clay_Offices!$A$2:$FZ$601,178,Sync!$C$5)&amp;"",""))</f>
        <v/>
      </c>
      <c r="E2429" s="17">
        <f>IF(B2429="","",IFERROR(INDEX(Clay_Offices!$A$2:$FZ$601,178,Sync!$C$6)&amp;"",""))</f>
        <v/>
      </c>
      <c r="F2429" s="17">
        <f>IF(B2429="","","outreach_sent")</f>
        <v/>
      </c>
      <c r="G2429" s="17">
        <f>IF(B2429="","","")</f>
        <v/>
      </c>
      <c r="H2429" s="17">
        <f>IF(B2429="","","")</f>
        <v/>
      </c>
      <c r="I2429" s="17">
        <f>IF(B2429="","","")</f>
        <v/>
      </c>
      <c r="J2429" s="17">
        <f>IF(B2429="","","touch_2; "&amp;IFERROR(INDEX(Clay_Offices!$A$2:$FZ$601,178,Sync!$C$10)&amp;"","")&amp;"; "&amp;IFERROR(INDEX(Clay_Offices!$A$2:$FZ$601,178,Sync!$C$9)&amp;"",""))</f>
        <v/>
      </c>
      <c r="K2429" t="inlineStr">
        <is>
          <t>office outreach touch 2</t>
        </is>
      </c>
    </row>
    <row r="2430">
      <c r="A2430" s="17">
        <f>IF(B2430="","",B2430+(13*1000+179)/10000000)</f>
        <v/>
      </c>
      <c r="B2430" s="23">
        <f>IF(AND(IFERROR(N(INDEX(Clay_Offices!$A$2:$FZ$601,179,Sync!$C$12)),0)&gt;0,IFERROR(INDEX(Clay_Offices!$A$2:$FZ$601,179,Sync!$C$5)&amp;"","")&lt;&gt;"",OR(LEFT(IFERROR(INDEX(Clay_Offices!$A$2:$FZ$601,179,Sync!$C$5)&amp;"",""),6)&lt;&gt;"SAMPLE",Config!$B$19="Y")),IFERROR(N(INDEX(Clay_Offices!$A$2:$FZ$601,179,Sync!$C$12)),0),"")</f>
        <v/>
      </c>
      <c r="C2430" s="17">
        <f>IF(B2430="","","office")</f>
        <v/>
      </c>
      <c r="D2430" s="17">
        <f>IF(B2430="","",IFERROR(INDEX(Clay_Offices!$A$2:$FZ$601,179,Sync!$C$5)&amp;"",""))</f>
        <v/>
      </c>
      <c r="E2430" s="17">
        <f>IF(B2430="","",IFERROR(INDEX(Clay_Offices!$A$2:$FZ$601,179,Sync!$C$6)&amp;"",""))</f>
        <v/>
      </c>
      <c r="F2430" s="17">
        <f>IF(B2430="","","outreach_sent")</f>
        <v/>
      </c>
      <c r="G2430" s="17">
        <f>IF(B2430="","","")</f>
        <v/>
      </c>
      <c r="H2430" s="17">
        <f>IF(B2430="","","")</f>
        <v/>
      </c>
      <c r="I2430" s="17">
        <f>IF(B2430="","","")</f>
        <v/>
      </c>
      <c r="J2430" s="17">
        <f>IF(B2430="","","touch_2; "&amp;IFERROR(INDEX(Clay_Offices!$A$2:$FZ$601,179,Sync!$C$10)&amp;"","")&amp;"; "&amp;IFERROR(INDEX(Clay_Offices!$A$2:$FZ$601,179,Sync!$C$9)&amp;"",""))</f>
        <v/>
      </c>
      <c r="K2430" t="inlineStr">
        <is>
          <t>office outreach touch 2</t>
        </is>
      </c>
    </row>
    <row r="2431">
      <c r="A2431" s="17">
        <f>IF(B2431="","",B2431+(13*1000+180)/10000000)</f>
        <v/>
      </c>
      <c r="B2431" s="23">
        <f>IF(AND(IFERROR(N(INDEX(Clay_Offices!$A$2:$FZ$601,180,Sync!$C$12)),0)&gt;0,IFERROR(INDEX(Clay_Offices!$A$2:$FZ$601,180,Sync!$C$5)&amp;"","")&lt;&gt;"",OR(LEFT(IFERROR(INDEX(Clay_Offices!$A$2:$FZ$601,180,Sync!$C$5)&amp;"",""),6)&lt;&gt;"SAMPLE",Config!$B$19="Y")),IFERROR(N(INDEX(Clay_Offices!$A$2:$FZ$601,180,Sync!$C$12)),0),"")</f>
        <v/>
      </c>
      <c r="C2431" s="17">
        <f>IF(B2431="","","office")</f>
        <v/>
      </c>
      <c r="D2431" s="17">
        <f>IF(B2431="","",IFERROR(INDEX(Clay_Offices!$A$2:$FZ$601,180,Sync!$C$5)&amp;"",""))</f>
        <v/>
      </c>
      <c r="E2431" s="17">
        <f>IF(B2431="","",IFERROR(INDEX(Clay_Offices!$A$2:$FZ$601,180,Sync!$C$6)&amp;"",""))</f>
        <v/>
      </c>
      <c r="F2431" s="17">
        <f>IF(B2431="","","outreach_sent")</f>
        <v/>
      </c>
      <c r="G2431" s="17">
        <f>IF(B2431="","","")</f>
        <v/>
      </c>
      <c r="H2431" s="17">
        <f>IF(B2431="","","")</f>
        <v/>
      </c>
      <c r="I2431" s="17">
        <f>IF(B2431="","","")</f>
        <v/>
      </c>
      <c r="J2431" s="17">
        <f>IF(B2431="","","touch_2; "&amp;IFERROR(INDEX(Clay_Offices!$A$2:$FZ$601,180,Sync!$C$10)&amp;"","")&amp;"; "&amp;IFERROR(INDEX(Clay_Offices!$A$2:$FZ$601,180,Sync!$C$9)&amp;"",""))</f>
        <v/>
      </c>
      <c r="K2431" t="inlineStr">
        <is>
          <t>office outreach touch 2</t>
        </is>
      </c>
    </row>
    <row r="2432">
      <c r="A2432" s="17">
        <f>IF(B2432="","",B2432+(13*1000+181)/10000000)</f>
        <v/>
      </c>
      <c r="B2432" s="23">
        <f>IF(AND(IFERROR(N(INDEX(Clay_Offices!$A$2:$FZ$601,181,Sync!$C$12)),0)&gt;0,IFERROR(INDEX(Clay_Offices!$A$2:$FZ$601,181,Sync!$C$5)&amp;"","")&lt;&gt;"",OR(LEFT(IFERROR(INDEX(Clay_Offices!$A$2:$FZ$601,181,Sync!$C$5)&amp;"",""),6)&lt;&gt;"SAMPLE",Config!$B$19="Y")),IFERROR(N(INDEX(Clay_Offices!$A$2:$FZ$601,181,Sync!$C$12)),0),"")</f>
        <v/>
      </c>
      <c r="C2432" s="17">
        <f>IF(B2432="","","office")</f>
        <v/>
      </c>
      <c r="D2432" s="17">
        <f>IF(B2432="","",IFERROR(INDEX(Clay_Offices!$A$2:$FZ$601,181,Sync!$C$5)&amp;"",""))</f>
        <v/>
      </c>
      <c r="E2432" s="17">
        <f>IF(B2432="","",IFERROR(INDEX(Clay_Offices!$A$2:$FZ$601,181,Sync!$C$6)&amp;"",""))</f>
        <v/>
      </c>
      <c r="F2432" s="17">
        <f>IF(B2432="","","outreach_sent")</f>
        <v/>
      </c>
      <c r="G2432" s="17">
        <f>IF(B2432="","","")</f>
        <v/>
      </c>
      <c r="H2432" s="17">
        <f>IF(B2432="","","")</f>
        <v/>
      </c>
      <c r="I2432" s="17">
        <f>IF(B2432="","","")</f>
        <v/>
      </c>
      <c r="J2432" s="17">
        <f>IF(B2432="","","touch_2; "&amp;IFERROR(INDEX(Clay_Offices!$A$2:$FZ$601,181,Sync!$C$10)&amp;"","")&amp;"; "&amp;IFERROR(INDEX(Clay_Offices!$A$2:$FZ$601,181,Sync!$C$9)&amp;"",""))</f>
        <v/>
      </c>
      <c r="K2432" t="inlineStr">
        <is>
          <t>office outreach touch 2</t>
        </is>
      </c>
    </row>
    <row r="2433">
      <c r="A2433" s="17">
        <f>IF(B2433="","",B2433+(13*1000+182)/10000000)</f>
        <v/>
      </c>
      <c r="B2433" s="23">
        <f>IF(AND(IFERROR(N(INDEX(Clay_Offices!$A$2:$FZ$601,182,Sync!$C$12)),0)&gt;0,IFERROR(INDEX(Clay_Offices!$A$2:$FZ$601,182,Sync!$C$5)&amp;"","")&lt;&gt;"",OR(LEFT(IFERROR(INDEX(Clay_Offices!$A$2:$FZ$601,182,Sync!$C$5)&amp;"",""),6)&lt;&gt;"SAMPLE",Config!$B$19="Y")),IFERROR(N(INDEX(Clay_Offices!$A$2:$FZ$601,182,Sync!$C$12)),0),"")</f>
        <v/>
      </c>
      <c r="C2433" s="17">
        <f>IF(B2433="","","office")</f>
        <v/>
      </c>
      <c r="D2433" s="17">
        <f>IF(B2433="","",IFERROR(INDEX(Clay_Offices!$A$2:$FZ$601,182,Sync!$C$5)&amp;"",""))</f>
        <v/>
      </c>
      <c r="E2433" s="17">
        <f>IF(B2433="","",IFERROR(INDEX(Clay_Offices!$A$2:$FZ$601,182,Sync!$C$6)&amp;"",""))</f>
        <v/>
      </c>
      <c r="F2433" s="17">
        <f>IF(B2433="","","outreach_sent")</f>
        <v/>
      </c>
      <c r="G2433" s="17">
        <f>IF(B2433="","","")</f>
        <v/>
      </c>
      <c r="H2433" s="17">
        <f>IF(B2433="","","")</f>
        <v/>
      </c>
      <c r="I2433" s="17">
        <f>IF(B2433="","","")</f>
        <v/>
      </c>
      <c r="J2433" s="17">
        <f>IF(B2433="","","touch_2; "&amp;IFERROR(INDEX(Clay_Offices!$A$2:$FZ$601,182,Sync!$C$10)&amp;"","")&amp;"; "&amp;IFERROR(INDEX(Clay_Offices!$A$2:$FZ$601,182,Sync!$C$9)&amp;"",""))</f>
        <v/>
      </c>
      <c r="K2433" t="inlineStr">
        <is>
          <t>office outreach touch 2</t>
        </is>
      </c>
    </row>
    <row r="2434">
      <c r="A2434" s="17">
        <f>IF(B2434="","",B2434+(13*1000+183)/10000000)</f>
        <v/>
      </c>
      <c r="B2434" s="23">
        <f>IF(AND(IFERROR(N(INDEX(Clay_Offices!$A$2:$FZ$601,183,Sync!$C$12)),0)&gt;0,IFERROR(INDEX(Clay_Offices!$A$2:$FZ$601,183,Sync!$C$5)&amp;"","")&lt;&gt;"",OR(LEFT(IFERROR(INDEX(Clay_Offices!$A$2:$FZ$601,183,Sync!$C$5)&amp;"",""),6)&lt;&gt;"SAMPLE",Config!$B$19="Y")),IFERROR(N(INDEX(Clay_Offices!$A$2:$FZ$601,183,Sync!$C$12)),0),"")</f>
        <v/>
      </c>
      <c r="C2434" s="17">
        <f>IF(B2434="","","office")</f>
        <v/>
      </c>
      <c r="D2434" s="17">
        <f>IF(B2434="","",IFERROR(INDEX(Clay_Offices!$A$2:$FZ$601,183,Sync!$C$5)&amp;"",""))</f>
        <v/>
      </c>
      <c r="E2434" s="17">
        <f>IF(B2434="","",IFERROR(INDEX(Clay_Offices!$A$2:$FZ$601,183,Sync!$C$6)&amp;"",""))</f>
        <v/>
      </c>
      <c r="F2434" s="17">
        <f>IF(B2434="","","outreach_sent")</f>
        <v/>
      </c>
      <c r="G2434" s="17">
        <f>IF(B2434="","","")</f>
        <v/>
      </c>
      <c r="H2434" s="17">
        <f>IF(B2434="","","")</f>
        <v/>
      </c>
      <c r="I2434" s="17">
        <f>IF(B2434="","","")</f>
        <v/>
      </c>
      <c r="J2434" s="17">
        <f>IF(B2434="","","touch_2; "&amp;IFERROR(INDEX(Clay_Offices!$A$2:$FZ$601,183,Sync!$C$10)&amp;"","")&amp;"; "&amp;IFERROR(INDEX(Clay_Offices!$A$2:$FZ$601,183,Sync!$C$9)&amp;"",""))</f>
        <v/>
      </c>
      <c r="K2434" t="inlineStr">
        <is>
          <t>office outreach touch 2</t>
        </is>
      </c>
    </row>
    <row r="2435">
      <c r="A2435" s="17">
        <f>IF(B2435="","",B2435+(13*1000+184)/10000000)</f>
        <v/>
      </c>
      <c r="B2435" s="23">
        <f>IF(AND(IFERROR(N(INDEX(Clay_Offices!$A$2:$FZ$601,184,Sync!$C$12)),0)&gt;0,IFERROR(INDEX(Clay_Offices!$A$2:$FZ$601,184,Sync!$C$5)&amp;"","")&lt;&gt;"",OR(LEFT(IFERROR(INDEX(Clay_Offices!$A$2:$FZ$601,184,Sync!$C$5)&amp;"",""),6)&lt;&gt;"SAMPLE",Config!$B$19="Y")),IFERROR(N(INDEX(Clay_Offices!$A$2:$FZ$601,184,Sync!$C$12)),0),"")</f>
        <v/>
      </c>
      <c r="C2435" s="17">
        <f>IF(B2435="","","office")</f>
        <v/>
      </c>
      <c r="D2435" s="17">
        <f>IF(B2435="","",IFERROR(INDEX(Clay_Offices!$A$2:$FZ$601,184,Sync!$C$5)&amp;"",""))</f>
        <v/>
      </c>
      <c r="E2435" s="17">
        <f>IF(B2435="","",IFERROR(INDEX(Clay_Offices!$A$2:$FZ$601,184,Sync!$C$6)&amp;"",""))</f>
        <v/>
      </c>
      <c r="F2435" s="17">
        <f>IF(B2435="","","outreach_sent")</f>
        <v/>
      </c>
      <c r="G2435" s="17">
        <f>IF(B2435="","","")</f>
        <v/>
      </c>
      <c r="H2435" s="17">
        <f>IF(B2435="","","")</f>
        <v/>
      </c>
      <c r="I2435" s="17">
        <f>IF(B2435="","","")</f>
        <v/>
      </c>
      <c r="J2435" s="17">
        <f>IF(B2435="","","touch_2; "&amp;IFERROR(INDEX(Clay_Offices!$A$2:$FZ$601,184,Sync!$C$10)&amp;"","")&amp;"; "&amp;IFERROR(INDEX(Clay_Offices!$A$2:$FZ$601,184,Sync!$C$9)&amp;"",""))</f>
        <v/>
      </c>
      <c r="K2435" t="inlineStr">
        <is>
          <t>office outreach touch 2</t>
        </is>
      </c>
    </row>
    <row r="2436">
      <c r="A2436" s="17">
        <f>IF(B2436="","",B2436+(13*1000+185)/10000000)</f>
        <v/>
      </c>
      <c r="B2436" s="23">
        <f>IF(AND(IFERROR(N(INDEX(Clay_Offices!$A$2:$FZ$601,185,Sync!$C$12)),0)&gt;0,IFERROR(INDEX(Clay_Offices!$A$2:$FZ$601,185,Sync!$C$5)&amp;"","")&lt;&gt;"",OR(LEFT(IFERROR(INDEX(Clay_Offices!$A$2:$FZ$601,185,Sync!$C$5)&amp;"",""),6)&lt;&gt;"SAMPLE",Config!$B$19="Y")),IFERROR(N(INDEX(Clay_Offices!$A$2:$FZ$601,185,Sync!$C$12)),0),"")</f>
        <v/>
      </c>
      <c r="C2436" s="17">
        <f>IF(B2436="","","office")</f>
        <v/>
      </c>
      <c r="D2436" s="17">
        <f>IF(B2436="","",IFERROR(INDEX(Clay_Offices!$A$2:$FZ$601,185,Sync!$C$5)&amp;"",""))</f>
        <v/>
      </c>
      <c r="E2436" s="17">
        <f>IF(B2436="","",IFERROR(INDEX(Clay_Offices!$A$2:$FZ$601,185,Sync!$C$6)&amp;"",""))</f>
        <v/>
      </c>
      <c r="F2436" s="17">
        <f>IF(B2436="","","outreach_sent")</f>
        <v/>
      </c>
      <c r="G2436" s="17">
        <f>IF(B2436="","","")</f>
        <v/>
      </c>
      <c r="H2436" s="17">
        <f>IF(B2436="","","")</f>
        <v/>
      </c>
      <c r="I2436" s="17">
        <f>IF(B2436="","","")</f>
        <v/>
      </c>
      <c r="J2436" s="17">
        <f>IF(B2436="","","touch_2; "&amp;IFERROR(INDEX(Clay_Offices!$A$2:$FZ$601,185,Sync!$C$10)&amp;"","")&amp;"; "&amp;IFERROR(INDEX(Clay_Offices!$A$2:$FZ$601,185,Sync!$C$9)&amp;"",""))</f>
        <v/>
      </c>
      <c r="K2436" t="inlineStr">
        <is>
          <t>office outreach touch 2</t>
        </is>
      </c>
    </row>
    <row r="2437">
      <c r="A2437" s="17">
        <f>IF(B2437="","",B2437+(13*1000+186)/10000000)</f>
        <v/>
      </c>
      <c r="B2437" s="23">
        <f>IF(AND(IFERROR(N(INDEX(Clay_Offices!$A$2:$FZ$601,186,Sync!$C$12)),0)&gt;0,IFERROR(INDEX(Clay_Offices!$A$2:$FZ$601,186,Sync!$C$5)&amp;"","")&lt;&gt;"",OR(LEFT(IFERROR(INDEX(Clay_Offices!$A$2:$FZ$601,186,Sync!$C$5)&amp;"",""),6)&lt;&gt;"SAMPLE",Config!$B$19="Y")),IFERROR(N(INDEX(Clay_Offices!$A$2:$FZ$601,186,Sync!$C$12)),0),"")</f>
        <v/>
      </c>
      <c r="C2437" s="17">
        <f>IF(B2437="","","office")</f>
        <v/>
      </c>
      <c r="D2437" s="17">
        <f>IF(B2437="","",IFERROR(INDEX(Clay_Offices!$A$2:$FZ$601,186,Sync!$C$5)&amp;"",""))</f>
        <v/>
      </c>
      <c r="E2437" s="17">
        <f>IF(B2437="","",IFERROR(INDEX(Clay_Offices!$A$2:$FZ$601,186,Sync!$C$6)&amp;"",""))</f>
        <v/>
      </c>
      <c r="F2437" s="17">
        <f>IF(B2437="","","outreach_sent")</f>
        <v/>
      </c>
      <c r="G2437" s="17">
        <f>IF(B2437="","","")</f>
        <v/>
      </c>
      <c r="H2437" s="17">
        <f>IF(B2437="","","")</f>
        <v/>
      </c>
      <c r="I2437" s="17">
        <f>IF(B2437="","","")</f>
        <v/>
      </c>
      <c r="J2437" s="17">
        <f>IF(B2437="","","touch_2; "&amp;IFERROR(INDEX(Clay_Offices!$A$2:$FZ$601,186,Sync!$C$10)&amp;"","")&amp;"; "&amp;IFERROR(INDEX(Clay_Offices!$A$2:$FZ$601,186,Sync!$C$9)&amp;"",""))</f>
        <v/>
      </c>
      <c r="K2437" t="inlineStr">
        <is>
          <t>office outreach touch 2</t>
        </is>
      </c>
    </row>
    <row r="2438">
      <c r="A2438" s="17">
        <f>IF(B2438="","",B2438+(13*1000+187)/10000000)</f>
        <v/>
      </c>
      <c r="B2438" s="23">
        <f>IF(AND(IFERROR(N(INDEX(Clay_Offices!$A$2:$FZ$601,187,Sync!$C$12)),0)&gt;0,IFERROR(INDEX(Clay_Offices!$A$2:$FZ$601,187,Sync!$C$5)&amp;"","")&lt;&gt;"",OR(LEFT(IFERROR(INDEX(Clay_Offices!$A$2:$FZ$601,187,Sync!$C$5)&amp;"",""),6)&lt;&gt;"SAMPLE",Config!$B$19="Y")),IFERROR(N(INDEX(Clay_Offices!$A$2:$FZ$601,187,Sync!$C$12)),0),"")</f>
        <v/>
      </c>
      <c r="C2438" s="17">
        <f>IF(B2438="","","office")</f>
        <v/>
      </c>
      <c r="D2438" s="17">
        <f>IF(B2438="","",IFERROR(INDEX(Clay_Offices!$A$2:$FZ$601,187,Sync!$C$5)&amp;"",""))</f>
        <v/>
      </c>
      <c r="E2438" s="17">
        <f>IF(B2438="","",IFERROR(INDEX(Clay_Offices!$A$2:$FZ$601,187,Sync!$C$6)&amp;"",""))</f>
        <v/>
      </c>
      <c r="F2438" s="17">
        <f>IF(B2438="","","outreach_sent")</f>
        <v/>
      </c>
      <c r="G2438" s="17">
        <f>IF(B2438="","","")</f>
        <v/>
      </c>
      <c r="H2438" s="17">
        <f>IF(B2438="","","")</f>
        <v/>
      </c>
      <c r="I2438" s="17">
        <f>IF(B2438="","","")</f>
        <v/>
      </c>
      <c r="J2438" s="17">
        <f>IF(B2438="","","touch_2; "&amp;IFERROR(INDEX(Clay_Offices!$A$2:$FZ$601,187,Sync!$C$10)&amp;"","")&amp;"; "&amp;IFERROR(INDEX(Clay_Offices!$A$2:$FZ$601,187,Sync!$C$9)&amp;"",""))</f>
        <v/>
      </c>
      <c r="K2438" t="inlineStr">
        <is>
          <t>office outreach touch 2</t>
        </is>
      </c>
    </row>
    <row r="2439">
      <c r="A2439" s="17">
        <f>IF(B2439="","",B2439+(13*1000+188)/10000000)</f>
        <v/>
      </c>
      <c r="B2439" s="23">
        <f>IF(AND(IFERROR(N(INDEX(Clay_Offices!$A$2:$FZ$601,188,Sync!$C$12)),0)&gt;0,IFERROR(INDEX(Clay_Offices!$A$2:$FZ$601,188,Sync!$C$5)&amp;"","")&lt;&gt;"",OR(LEFT(IFERROR(INDEX(Clay_Offices!$A$2:$FZ$601,188,Sync!$C$5)&amp;"",""),6)&lt;&gt;"SAMPLE",Config!$B$19="Y")),IFERROR(N(INDEX(Clay_Offices!$A$2:$FZ$601,188,Sync!$C$12)),0),"")</f>
        <v/>
      </c>
      <c r="C2439" s="17">
        <f>IF(B2439="","","office")</f>
        <v/>
      </c>
      <c r="D2439" s="17">
        <f>IF(B2439="","",IFERROR(INDEX(Clay_Offices!$A$2:$FZ$601,188,Sync!$C$5)&amp;"",""))</f>
        <v/>
      </c>
      <c r="E2439" s="17">
        <f>IF(B2439="","",IFERROR(INDEX(Clay_Offices!$A$2:$FZ$601,188,Sync!$C$6)&amp;"",""))</f>
        <v/>
      </c>
      <c r="F2439" s="17">
        <f>IF(B2439="","","outreach_sent")</f>
        <v/>
      </c>
      <c r="G2439" s="17">
        <f>IF(B2439="","","")</f>
        <v/>
      </c>
      <c r="H2439" s="17">
        <f>IF(B2439="","","")</f>
        <v/>
      </c>
      <c r="I2439" s="17">
        <f>IF(B2439="","","")</f>
        <v/>
      </c>
      <c r="J2439" s="17">
        <f>IF(B2439="","","touch_2; "&amp;IFERROR(INDEX(Clay_Offices!$A$2:$FZ$601,188,Sync!$C$10)&amp;"","")&amp;"; "&amp;IFERROR(INDEX(Clay_Offices!$A$2:$FZ$601,188,Sync!$C$9)&amp;"",""))</f>
        <v/>
      </c>
      <c r="K2439" t="inlineStr">
        <is>
          <t>office outreach touch 2</t>
        </is>
      </c>
    </row>
    <row r="2440">
      <c r="A2440" s="17">
        <f>IF(B2440="","",B2440+(13*1000+189)/10000000)</f>
        <v/>
      </c>
      <c r="B2440" s="23">
        <f>IF(AND(IFERROR(N(INDEX(Clay_Offices!$A$2:$FZ$601,189,Sync!$C$12)),0)&gt;0,IFERROR(INDEX(Clay_Offices!$A$2:$FZ$601,189,Sync!$C$5)&amp;"","")&lt;&gt;"",OR(LEFT(IFERROR(INDEX(Clay_Offices!$A$2:$FZ$601,189,Sync!$C$5)&amp;"",""),6)&lt;&gt;"SAMPLE",Config!$B$19="Y")),IFERROR(N(INDEX(Clay_Offices!$A$2:$FZ$601,189,Sync!$C$12)),0),"")</f>
        <v/>
      </c>
      <c r="C2440" s="17">
        <f>IF(B2440="","","office")</f>
        <v/>
      </c>
      <c r="D2440" s="17">
        <f>IF(B2440="","",IFERROR(INDEX(Clay_Offices!$A$2:$FZ$601,189,Sync!$C$5)&amp;"",""))</f>
        <v/>
      </c>
      <c r="E2440" s="17">
        <f>IF(B2440="","",IFERROR(INDEX(Clay_Offices!$A$2:$FZ$601,189,Sync!$C$6)&amp;"",""))</f>
        <v/>
      </c>
      <c r="F2440" s="17">
        <f>IF(B2440="","","outreach_sent")</f>
        <v/>
      </c>
      <c r="G2440" s="17">
        <f>IF(B2440="","","")</f>
        <v/>
      </c>
      <c r="H2440" s="17">
        <f>IF(B2440="","","")</f>
        <v/>
      </c>
      <c r="I2440" s="17">
        <f>IF(B2440="","","")</f>
        <v/>
      </c>
      <c r="J2440" s="17">
        <f>IF(B2440="","","touch_2; "&amp;IFERROR(INDEX(Clay_Offices!$A$2:$FZ$601,189,Sync!$C$10)&amp;"","")&amp;"; "&amp;IFERROR(INDEX(Clay_Offices!$A$2:$FZ$601,189,Sync!$C$9)&amp;"",""))</f>
        <v/>
      </c>
      <c r="K2440" t="inlineStr">
        <is>
          <t>office outreach touch 2</t>
        </is>
      </c>
    </row>
    <row r="2441">
      <c r="A2441" s="17">
        <f>IF(B2441="","",B2441+(13*1000+190)/10000000)</f>
        <v/>
      </c>
      <c r="B2441" s="23">
        <f>IF(AND(IFERROR(N(INDEX(Clay_Offices!$A$2:$FZ$601,190,Sync!$C$12)),0)&gt;0,IFERROR(INDEX(Clay_Offices!$A$2:$FZ$601,190,Sync!$C$5)&amp;"","")&lt;&gt;"",OR(LEFT(IFERROR(INDEX(Clay_Offices!$A$2:$FZ$601,190,Sync!$C$5)&amp;"",""),6)&lt;&gt;"SAMPLE",Config!$B$19="Y")),IFERROR(N(INDEX(Clay_Offices!$A$2:$FZ$601,190,Sync!$C$12)),0),"")</f>
        <v/>
      </c>
      <c r="C2441" s="17">
        <f>IF(B2441="","","office")</f>
        <v/>
      </c>
      <c r="D2441" s="17">
        <f>IF(B2441="","",IFERROR(INDEX(Clay_Offices!$A$2:$FZ$601,190,Sync!$C$5)&amp;"",""))</f>
        <v/>
      </c>
      <c r="E2441" s="17">
        <f>IF(B2441="","",IFERROR(INDEX(Clay_Offices!$A$2:$FZ$601,190,Sync!$C$6)&amp;"",""))</f>
        <v/>
      </c>
      <c r="F2441" s="17">
        <f>IF(B2441="","","outreach_sent")</f>
        <v/>
      </c>
      <c r="G2441" s="17">
        <f>IF(B2441="","","")</f>
        <v/>
      </c>
      <c r="H2441" s="17">
        <f>IF(B2441="","","")</f>
        <v/>
      </c>
      <c r="I2441" s="17">
        <f>IF(B2441="","","")</f>
        <v/>
      </c>
      <c r="J2441" s="17">
        <f>IF(B2441="","","touch_2; "&amp;IFERROR(INDEX(Clay_Offices!$A$2:$FZ$601,190,Sync!$C$10)&amp;"","")&amp;"; "&amp;IFERROR(INDEX(Clay_Offices!$A$2:$FZ$601,190,Sync!$C$9)&amp;"",""))</f>
        <v/>
      </c>
      <c r="K2441" t="inlineStr">
        <is>
          <t>office outreach touch 2</t>
        </is>
      </c>
    </row>
    <row r="2442">
      <c r="A2442" s="17">
        <f>IF(B2442="","",B2442+(13*1000+191)/10000000)</f>
        <v/>
      </c>
      <c r="B2442" s="23">
        <f>IF(AND(IFERROR(N(INDEX(Clay_Offices!$A$2:$FZ$601,191,Sync!$C$12)),0)&gt;0,IFERROR(INDEX(Clay_Offices!$A$2:$FZ$601,191,Sync!$C$5)&amp;"","")&lt;&gt;"",OR(LEFT(IFERROR(INDEX(Clay_Offices!$A$2:$FZ$601,191,Sync!$C$5)&amp;"",""),6)&lt;&gt;"SAMPLE",Config!$B$19="Y")),IFERROR(N(INDEX(Clay_Offices!$A$2:$FZ$601,191,Sync!$C$12)),0),"")</f>
        <v/>
      </c>
      <c r="C2442" s="17">
        <f>IF(B2442="","","office")</f>
        <v/>
      </c>
      <c r="D2442" s="17">
        <f>IF(B2442="","",IFERROR(INDEX(Clay_Offices!$A$2:$FZ$601,191,Sync!$C$5)&amp;"",""))</f>
        <v/>
      </c>
      <c r="E2442" s="17">
        <f>IF(B2442="","",IFERROR(INDEX(Clay_Offices!$A$2:$FZ$601,191,Sync!$C$6)&amp;"",""))</f>
        <v/>
      </c>
      <c r="F2442" s="17">
        <f>IF(B2442="","","outreach_sent")</f>
        <v/>
      </c>
      <c r="G2442" s="17">
        <f>IF(B2442="","","")</f>
        <v/>
      </c>
      <c r="H2442" s="17">
        <f>IF(B2442="","","")</f>
        <v/>
      </c>
      <c r="I2442" s="17">
        <f>IF(B2442="","","")</f>
        <v/>
      </c>
      <c r="J2442" s="17">
        <f>IF(B2442="","","touch_2; "&amp;IFERROR(INDEX(Clay_Offices!$A$2:$FZ$601,191,Sync!$C$10)&amp;"","")&amp;"; "&amp;IFERROR(INDEX(Clay_Offices!$A$2:$FZ$601,191,Sync!$C$9)&amp;"",""))</f>
        <v/>
      </c>
      <c r="K2442" t="inlineStr">
        <is>
          <t>office outreach touch 2</t>
        </is>
      </c>
    </row>
    <row r="2443">
      <c r="A2443" s="17">
        <f>IF(B2443="","",B2443+(13*1000+192)/10000000)</f>
        <v/>
      </c>
      <c r="B2443" s="23">
        <f>IF(AND(IFERROR(N(INDEX(Clay_Offices!$A$2:$FZ$601,192,Sync!$C$12)),0)&gt;0,IFERROR(INDEX(Clay_Offices!$A$2:$FZ$601,192,Sync!$C$5)&amp;"","")&lt;&gt;"",OR(LEFT(IFERROR(INDEX(Clay_Offices!$A$2:$FZ$601,192,Sync!$C$5)&amp;"",""),6)&lt;&gt;"SAMPLE",Config!$B$19="Y")),IFERROR(N(INDEX(Clay_Offices!$A$2:$FZ$601,192,Sync!$C$12)),0),"")</f>
        <v/>
      </c>
      <c r="C2443" s="17">
        <f>IF(B2443="","","office")</f>
        <v/>
      </c>
      <c r="D2443" s="17">
        <f>IF(B2443="","",IFERROR(INDEX(Clay_Offices!$A$2:$FZ$601,192,Sync!$C$5)&amp;"",""))</f>
        <v/>
      </c>
      <c r="E2443" s="17">
        <f>IF(B2443="","",IFERROR(INDEX(Clay_Offices!$A$2:$FZ$601,192,Sync!$C$6)&amp;"",""))</f>
        <v/>
      </c>
      <c r="F2443" s="17">
        <f>IF(B2443="","","outreach_sent")</f>
        <v/>
      </c>
      <c r="G2443" s="17">
        <f>IF(B2443="","","")</f>
        <v/>
      </c>
      <c r="H2443" s="17">
        <f>IF(B2443="","","")</f>
        <v/>
      </c>
      <c r="I2443" s="17">
        <f>IF(B2443="","","")</f>
        <v/>
      </c>
      <c r="J2443" s="17">
        <f>IF(B2443="","","touch_2; "&amp;IFERROR(INDEX(Clay_Offices!$A$2:$FZ$601,192,Sync!$C$10)&amp;"","")&amp;"; "&amp;IFERROR(INDEX(Clay_Offices!$A$2:$FZ$601,192,Sync!$C$9)&amp;"",""))</f>
        <v/>
      </c>
      <c r="K2443" t="inlineStr">
        <is>
          <t>office outreach touch 2</t>
        </is>
      </c>
    </row>
    <row r="2444">
      <c r="A2444" s="17">
        <f>IF(B2444="","",B2444+(13*1000+193)/10000000)</f>
        <v/>
      </c>
      <c r="B2444" s="23">
        <f>IF(AND(IFERROR(N(INDEX(Clay_Offices!$A$2:$FZ$601,193,Sync!$C$12)),0)&gt;0,IFERROR(INDEX(Clay_Offices!$A$2:$FZ$601,193,Sync!$C$5)&amp;"","")&lt;&gt;"",OR(LEFT(IFERROR(INDEX(Clay_Offices!$A$2:$FZ$601,193,Sync!$C$5)&amp;"",""),6)&lt;&gt;"SAMPLE",Config!$B$19="Y")),IFERROR(N(INDEX(Clay_Offices!$A$2:$FZ$601,193,Sync!$C$12)),0),"")</f>
        <v/>
      </c>
      <c r="C2444" s="17">
        <f>IF(B2444="","","office")</f>
        <v/>
      </c>
      <c r="D2444" s="17">
        <f>IF(B2444="","",IFERROR(INDEX(Clay_Offices!$A$2:$FZ$601,193,Sync!$C$5)&amp;"",""))</f>
        <v/>
      </c>
      <c r="E2444" s="17">
        <f>IF(B2444="","",IFERROR(INDEX(Clay_Offices!$A$2:$FZ$601,193,Sync!$C$6)&amp;"",""))</f>
        <v/>
      </c>
      <c r="F2444" s="17">
        <f>IF(B2444="","","outreach_sent")</f>
        <v/>
      </c>
      <c r="G2444" s="17">
        <f>IF(B2444="","","")</f>
        <v/>
      </c>
      <c r="H2444" s="17">
        <f>IF(B2444="","","")</f>
        <v/>
      </c>
      <c r="I2444" s="17">
        <f>IF(B2444="","","")</f>
        <v/>
      </c>
      <c r="J2444" s="17">
        <f>IF(B2444="","","touch_2; "&amp;IFERROR(INDEX(Clay_Offices!$A$2:$FZ$601,193,Sync!$C$10)&amp;"","")&amp;"; "&amp;IFERROR(INDEX(Clay_Offices!$A$2:$FZ$601,193,Sync!$C$9)&amp;"",""))</f>
        <v/>
      </c>
      <c r="K2444" t="inlineStr">
        <is>
          <t>office outreach touch 2</t>
        </is>
      </c>
    </row>
    <row r="2445">
      <c r="A2445" s="17">
        <f>IF(B2445="","",B2445+(13*1000+194)/10000000)</f>
        <v/>
      </c>
      <c r="B2445" s="23">
        <f>IF(AND(IFERROR(N(INDEX(Clay_Offices!$A$2:$FZ$601,194,Sync!$C$12)),0)&gt;0,IFERROR(INDEX(Clay_Offices!$A$2:$FZ$601,194,Sync!$C$5)&amp;"","")&lt;&gt;"",OR(LEFT(IFERROR(INDEX(Clay_Offices!$A$2:$FZ$601,194,Sync!$C$5)&amp;"",""),6)&lt;&gt;"SAMPLE",Config!$B$19="Y")),IFERROR(N(INDEX(Clay_Offices!$A$2:$FZ$601,194,Sync!$C$12)),0),"")</f>
        <v/>
      </c>
      <c r="C2445" s="17">
        <f>IF(B2445="","","office")</f>
        <v/>
      </c>
      <c r="D2445" s="17">
        <f>IF(B2445="","",IFERROR(INDEX(Clay_Offices!$A$2:$FZ$601,194,Sync!$C$5)&amp;"",""))</f>
        <v/>
      </c>
      <c r="E2445" s="17">
        <f>IF(B2445="","",IFERROR(INDEX(Clay_Offices!$A$2:$FZ$601,194,Sync!$C$6)&amp;"",""))</f>
        <v/>
      </c>
      <c r="F2445" s="17">
        <f>IF(B2445="","","outreach_sent")</f>
        <v/>
      </c>
      <c r="G2445" s="17">
        <f>IF(B2445="","","")</f>
        <v/>
      </c>
      <c r="H2445" s="17">
        <f>IF(B2445="","","")</f>
        <v/>
      </c>
      <c r="I2445" s="17">
        <f>IF(B2445="","","")</f>
        <v/>
      </c>
      <c r="J2445" s="17">
        <f>IF(B2445="","","touch_2; "&amp;IFERROR(INDEX(Clay_Offices!$A$2:$FZ$601,194,Sync!$C$10)&amp;"","")&amp;"; "&amp;IFERROR(INDEX(Clay_Offices!$A$2:$FZ$601,194,Sync!$C$9)&amp;"",""))</f>
        <v/>
      </c>
      <c r="K2445" t="inlineStr">
        <is>
          <t>office outreach touch 2</t>
        </is>
      </c>
    </row>
    <row r="2446">
      <c r="A2446" s="17">
        <f>IF(B2446="","",B2446+(13*1000+195)/10000000)</f>
        <v/>
      </c>
      <c r="B2446" s="23">
        <f>IF(AND(IFERROR(N(INDEX(Clay_Offices!$A$2:$FZ$601,195,Sync!$C$12)),0)&gt;0,IFERROR(INDEX(Clay_Offices!$A$2:$FZ$601,195,Sync!$C$5)&amp;"","")&lt;&gt;"",OR(LEFT(IFERROR(INDEX(Clay_Offices!$A$2:$FZ$601,195,Sync!$C$5)&amp;"",""),6)&lt;&gt;"SAMPLE",Config!$B$19="Y")),IFERROR(N(INDEX(Clay_Offices!$A$2:$FZ$601,195,Sync!$C$12)),0),"")</f>
        <v/>
      </c>
      <c r="C2446" s="17">
        <f>IF(B2446="","","office")</f>
        <v/>
      </c>
      <c r="D2446" s="17">
        <f>IF(B2446="","",IFERROR(INDEX(Clay_Offices!$A$2:$FZ$601,195,Sync!$C$5)&amp;"",""))</f>
        <v/>
      </c>
      <c r="E2446" s="17">
        <f>IF(B2446="","",IFERROR(INDEX(Clay_Offices!$A$2:$FZ$601,195,Sync!$C$6)&amp;"",""))</f>
        <v/>
      </c>
      <c r="F2446" s="17">
        <f>IF(B2446="","","outreach_sent")</f>
        <v/>
      </c>
      <c r="G2446" s="17">
        <f>IF(B2446="","","")</f>
        <v/>
      </c>
      <c r="H2446" s="17">
        <f>IF(B2446="","","")</f>
        <v/>
      </c>
      <c r="I2446" s="17">
        <f>IF(B2446="","","")</f>
        <v/>
      </c>
      <c r="J2446" s="17">
        <f>IF(B2446="","","touch_2; "&amp;IFERROR(INDEX(Clay_Offices!$A$2:$FZ$601,195,Sync!$C$10)&amp;"","")&amp;"; "&amp;IFERROR(INDEX(Clay_Offices!$A$2:$FZ$601,195,Sync!$C$9)&amp;"",""))</f>
        <v/>
      </c>
      <c r="K2446" t="inlineStr">
        <is>
          <t>office outreach touch 2</t>
        </is>
      </c>
    </row>
    <row r="2447">
      <c r="A2447" s="17">
        <f>IF(B2447="","",B2447+(13*1000+196)/10000000)</f>
        <v/>
      </c>
      <c r="B2447" s="23">
        <f>IF(AND(IFERROR(N(INDEX(Clay_Offices!$A$2:$FZ$601,196,Sync!$C$12)),0)&gt;0,IFERROR(INDEX(Clay_Offices!$A$2:$FZ$601,196,Sync!$C$5)&amp;"","")&lt;&gt;"",OR(LEFT(IFERROR(INDEX(Clay_Offices!$A$2:$FZ$601,196,Sync!$C$5)&amp;"",""),6)&lt;&gt;"SAMPLE",Config!$B$19="Y")),IFERROR(N(INDEX(Clay_Offices!$A$2:$FZ$601,196,Sync!$C$12)),0),"")</f>
        <v/>
      </c>
      <c r="C2447" s="17">
        <f>IF(B2447="","","office")</f>
        <v/>
      </c>
      <c r="D2447" s="17">
        <f>IF(B2447="","",IFERROR(INDEX(Clay_Offices!$A$2:$FZ$601,196,Sync!$C$5)&amp;"",""))</f>
        <v/>
      </c>
      <c r="E2447" s="17">
        <f>IF(B2447="","",IFERROR(INDEX(Clay_Offices!$A$2:$FZ$601,196,Sync!$C$6)&amp;"",""))</f>
        <v/>
      </c>
      <c r="F2447" s="17">
        <f>IF(B2447="","","outreach_sent")</f>
        <v/>
      </c>
      <c r="G2447" s="17">
        <f>IF(B2447="","","")</f>
        <v/>
      </c>
      <c r="H2447" s="17">
        <f>IF(B2447="","","")</f>
        <v/>
      </c>
      <c r="I2447" s="17">
        <f>IF(B2447="","","")</f>
        <v/>
      </c>
      <c r="J2447" s="17">
        <f>IF(B2447="","","touch_2; "&amp;IFERROR(INDEX(Clay_Offices!$A$2:$FZ$601,196,Sync!$C$10)&amp;"","")&amp;"; "&amp;IFERROR(INDEX(Clay_Offices!$A$2:$FZ$601,196,Sync!$C$9)&amp;"",""))</f>
        <v/>
      </c>
      <c r="K2447" t="inlineStr">
        <is>
          <t>office outreach touch 2</t>
        </is>
      </c>
    </row>
    <row r="2448">
      <c r="A2448" s="17">
        <f>IF(B2448="","",B2448+(13*1000+197)/10000000)</f>
        <v/>
      </c>
      <c r="B2448" s="23">
        <f>IF(AND(IFERROR(N(INDEX(Clay_Offices!$A$2:$FZ$601,197,Sync!$C$12)),0)&gt;0,IFERROR(INDEX(Clay_Offices!$A$2:$FZ$601,197,Sync!$C$5)&amp;"","")&lt;&gt;"",OR(LEFT(IFERROR(INDEX(Clay_Offices!$A$2:$FZ$601,197,Sync!$C$5)&amp;"",""),6)&lt;&gt;"SAMPLE",Config!$B$19="Y")),IFERROR(N(INDEX(Clay_Offices!$A$2:$FZ$601,197,Sync!$C$12)),0),"")</f>
        <v/>
      </c>
      <c r="C2448" s="17">
        <f>IF(B2448="","","office")</f>
        <v/>
      </c>
      <c r="D2448" s="17">
        <f>IF(B2448="","",IFERROR(INDEX(Clay_Offices!$A$2:$FZ$601,197,Sync!$C$5)&amp;"",""))</f>
        <v/>
      </c>
      <c r="E2448" s="17">
        <f>IF(B2448="","",IFERROR(INDEX(Clay_Offices!$A$2:$FZ$601,197,Sync!$C$6)&amp;"",""))</f>
        <v/>
      </c>
      <c r="F2448" s="17">
        <f>IF(B2448="","","outreach_sent")</f>
        <v/>
      </c>
      <c r="G2448" s="17">
        <f>IF(B2448="","","")</f>
        <v/>
      </c>
      <c r="H2448" s="17">
        <f>IF(B2448="","","")</f>
        <v/>
      </c>
      <c r="I2448" s="17">
        <f>IF(B2448="","","")</f>
        <v/>
      </c>
      <c r="J2448" s="17">
        <f>IF(B2448="","","touch_2; "&amp;IFERROR(INDEX(Clay_Offices!$A$2:$FZ$601,197,Sync!$C$10)&amp;"","")&amp;"; "&amp;IFERROR(INDEX(Clay_Offices!$A$2:$FZ$601,197,Sync!$C$9)&amp;"",""))</f>
        <v/>
      </c>
      <c r="K2448" t="inlineStr">
        <is>
          <t>office outreach touch 2</t>
        </is>
      </c>
    </row>
    <row r="2449">
      <c r="A2449" s="17">
        <f>IF(B2449="","",B2449+(13*1000+198)/10000000)</f>
        <v/>
      </c>
      <c r="B2449" s="23">
        <f>IF(AND(IFERROR(N(INDEX(Clay_Offices!$A$2:$FZ$601,198,Sync!$C$12)),0)&gt;0,IFERROR(INDEX(Clay_Offices!$A$2:$FZ$601,198,Sync!$C$5)&amp;"","")&lt;&gt;"",OR(LEFT(IFERROR(INDEX(Clay_Offices!$A$2:$FZ$601,198,Sync!$C$5)&amp;"",""),6)&lt;&gt;"SAMPLE",Config!$B$19="Y")),IFERROR(N(INDEX(Clay_Offices!$A$2:$FZ$601,198,Sync!$C$12)),0),"")</f>
        <v/>
      </c>
      <c r="C2449" s="17">
        <f>IF(B2449="","","office")</f>
        <v/>
      </c>
      <c r="D2449" s="17">
        <f>IF(B2449="","",IFERROR(INDEX(Clay_Offices!$A$2:$FZ$601,198,Sync!$C$5)&amp;"",""))</f>
        <v/>
      </c>
      <c r="E2449" s="17">
        <f>IF(B2449="","",IFERROR(INDEX(Clay_Offices!$A$2:$FZ$601,198,Sync!$C$6)&amp;"",""))</f>
        <v/>
      </c>
      <c r="F2449" s="17">
        <f>IF(B2449="","","outreach_sent")</f>
        <v/>
      </c>
      <c r="G2449" s="17">
        <f>IF(B2449="","","")</f>
        <v/>
      </c>
      <c r="H2449" s="17">
        <f>IF(B2449="","","")</f>
        <v/>
      </c>
      <c r="I2449" s="17">
        <f>IF(B2449="","","")</f>
        <v/>
      </c>
      <c r="J2449" s="17">
        <f>IF(B2449="","","touch_2; "&amp;IFERROR(INDEX(Clay_Offices!$A$2:$FZ$601,198,Sync!$C$10)&amp;"","")&amp;"; "&amp;IFERROR(INDEX(Clay_Offices!$A$2:$FZ$601,198,Sync!$C$9)&amp;"",""))</f>
        <v/>
      </c>
      <c r="K2449" t="inlineStr">
        <is>
          <t>office outreach touch 2</t>
        </is>
      </c>
    </row>
    <row r="2450">
      <c r="A2450" s="17">
        <f>IF(B2450="","",B2450+(13*1000+199)/10000000)</f>
        <v/>
      </c>
      <c r="B2450" s="23">
        <f>IF(AND(IFERROR(N(INDEX(Clay_Offices!$A$2:$FZ$601,199,Sync!$C$12)),0)&gt;0,IFERROR(INDEX(Clay_Offices!$A$2:$FZ$601,199,Sync!$C$5)&amp;"","")&lt;&gt;"",OR(LEFT(IFERROR(INDEX(Clay_Offices!$A$2:$FZ$601,199,Sync!$C$5)&amp;"",""),6)&lt;&gt;"SAMPLE",Config!$B$19="Y")),IFERROR(N(INDEX(Clay_Offices!$A$2:$FZ$601,199,Sync!$C$12)),0),"")</f>
        <v/>
      </c>
      <c r="C2450" s="17">
        <f>IF(B2450="","","office")</f>
        <v/>
      </c>
      <c r="D2450" s="17">
        <f>IF(B2450="","",IFERROR(INDEX(Clay_Offices!$A$2:$FZ$601,199,Sync!$C$5)&amp;"",""))</f>
        <v/>
      </c>
      <c r="E2450" s="17">
        <f>IF(B2450="","",IFERROR(INDEX(Clay_Offices!$A$2:$FZ$601,199,Sync!$C$6)&amp;"",""))</f>
        <v/>
      </c>
      <c r="F2450" s="17">
        <f>IF(B2450="","","outreach_sent")</f>
        <v/>
      </c>
      <c r="G2450" s="17">
        <f>IF(B2450="","","")</f>
        <v/>
      </c>
      <c r="H2450" s="17">
        <f>IF(B2450="","","")</f>
        <v/>
      </c>
      <c r="I2450" s="17">
        <f>IF(B2450="","","")</f>
        <v/>
      </c>
      <c r="J2450" s="17">
        <f>IF(B2450="","","touch_2; "&amp;IFERROR(INDEX(Clay_Offices!$A$2:$FZ$601,199,Sync!$C$10)&amp;"","")&amp;"; "&amp;IFERROR(INDEX(Clay_Offices!$A$2:$FZ$601,199,Sync!$C$9)&amp;"",""))</f>
        <v/>
      </c>
      <c r="K2450" t="inlineStr">
        <is>
          <t>office outreach touch 2</t>
        </is>
      </c>
    </row>
    <row r="2451">
      <c r="A2451" s="17">
        <f>IF(B2451="","",B2451+(13*1000+200)/10000000)</f>
        <v/>
      </c>
      <c r="B2451" s="23">
        <f>IF(AND(IFERROR(N(INDEX(Clay_Offices!$A$2:$FZ$601,200,Sync!$C$12)),0)&gt;0,IFERROR(INDEX(Clay_Offices!$A$2:$FZ$601,200,Sync!$C$5)&amp;"","")&lt;&gt;"",OR(LEFT(IFERROR(INDEX(Clay_Offices!$A$2:$FZ$601,200,Sync!$C$5)&amp;"",""),6)&lt;&gt;"SAMPLE",Config!$B$19="Y")),IFERROR(N(INDEX(Clay_Offices!$A$2:$FZ$601,200,Sync!$C$12)),0),"")</f>
        <v/>
      </c>
      <c r="C2451" s="17">
        <f>IF(B2451="","","office")</f>
        <v/>
      </c>
      <c r="D2451" s="17">
        <f>IF(B2451="","",IFERROR(INDEX(Clay_Offices!$A$2:$FZ$601,200,Sync!$C$5)&amp;"",""))</f>
        <v/>
      </c>
      <c r="E2451" s="17">
        <f>IF(B2451="","",IFERROR(INDEX(Clay_Offices!$A$2:$FZ$601,200,Sync!$C$6)&amp;"",""))</f>
        <v/>
      </c>
      <c r="F2451" s="17">
        <f>IF(B2451="","","outreach_sent")</f>
        <v/>
      </c>
      <c r="G2451" s="17">
        <f>IF(B2451="","","")</f>
        <v/>
      </c>
      <c r="H2451" s="17">
        <f>IF(B2451="","","")</f>
        <v/>
      </c>
      <c r="I2451" s="17">
        <f>IF(B2451="","","")</f>
        <v/>
      </c>
      <c r="J2451" s="17">
        <f>IF(B2451="","","touch_2; "&amp;IFERROR(INDEX(Clay_Offices!$A$2:$FZ$601,200,Sync!$C$10)&amp;"","")&amp;"; "&amp;IFERROR(INDEX(Clay_Offices!$A$2:$FZ$601,200,Sync!$C$9)&amp;"",""))</f>
        <v/>
      </c>
      <c r="K2451" t="inlineStr">
        <is>
          <t>office outreach touch 2</t>
        </is>
      </c>
    </row>
    <row r="2452">
      <c r="A2452" s="17">
        <f>IF(B2452="","",B2452+(13*1000+201)/10000000)</f>
        <v/>
      </c>
      <c r="B2452" s="23">
        <f>IF(AND(IFERROR(N(INDEX(Clay_Offices!$A$2:$FZ$601,201,Sync!$C$12)),0)&gt;0,IFERROR(INDEX(Clay_Offices!$A$2:$FZ$601,201,Sync!$C$5)&amp;"","")&lt;&gt;"",OR(LEFT(IFERROR(INDEX(Clay_Offices!$A$2:$FZ$601,201,Sync!$C$5)&amp;"",""),6)&lt;&gt;"SAMPLE",Config!$B$19="Y")),IFERROR(N(INDEX(Clay_Offices!$A$2:$FZ$601,201,Sync!$C$12)),0),"")</f>
        <v/>
      </c>
      <c r="C2452" s="17">
        <f>IF(B2452="","","office")</f>
        <v/>
      </c>
      <c r="D2452" s="17">
        <f>IF(B2452="","",IFERROR(INDEX(Clay_Offices!$A$2:$FZ$601,201,Sync!$C$5)&amp;"",""))</f>
        <v/>
      </c>
      <c r="E2452" s="17">
        <f>IF(B2452="","",IFERROR(INDEX(Clay_Offices!$A$2:$FZ$601,201,Sync!$C$6)&amp;"",""))</f>
        <v/>
      </c>
      <c r="F2452" s="17">
        <f>IF(B2452="","","outreach_sent")</f>
        <v/>
      </c>
      <c r="G2452" s="17">
        <f>IF(B2452="","","")</f>
        <v/>
      </c>
      <c r="H2452" s="17">
        <f>IF(B2452="","","")</f>
        <v/>
      </c>
      <c r="I2452" s="17">
        <f>IF(B2452="","","")</f>
        <v/>
      </c>
      <c r="J2452" s="17">
        <f>IF(B2452="","","touch_2; "&amp;IFERROR(INDEX(Clay_Offices!$A$2:$FZ$601,201,Sync!$C$10)&amp;"","")&amp;"; "&amp;IFERROR(INDEX(Clay_Offices!$A$2:$FZ$601,201,Sync!$C$9)&amp;"",""))</f>
        <v/>
      </c>
      <c r="K2452" t="inlineStr">
        <is>
          <t>office outreach touch 2</t>
        </is>
      </c>
    </row>
    <row r="2453">
      <c r="A2453" s="17">
        <f>IF(B2453="","",B2453+(13*1000+202)/10000000)</f>
        <v/>
      </c>
      <c r="B2453" s="23">
        <f>IF(AND(IFERROR(N(INDEX(Clay_Offices!$A$2:$FZ$601,202,Sync!$C$12)),0)&gt;0,IFERROR(INDEX(Clay_Offices!$A$2:$FZ$601,202,Sync!$C$5)&amp;"","")&lt;&gt;"",OR(LEFT(IFERROR(INDEX(Clay_Offices!$A$2:$FZ$601,202,Sync!$C$5)&amp;"",""),6)&lt;&gt;"SAMPLE",Config!$B$19="Y")),IFERROR(N(INDEX(Clay_Offices!$A$2:$FZ$601,202,Sync!$C$12)),0),"")</f>
        <v/>
      </c>
      <c r="C2453" s="17">
        <f>IF(B2453="","","office")</f>
        <v/>
      </c>
      <c r="D2453" s="17">
        <f>IF(B2453="","",IFERROR(INDEX(Clay_Offices!$A$2:$FZ$601,202,Sync!$C$5)&amp;"",""))</f>
        <v/>
      </c>
      <c r="E2453" s="17">
        <f>IF(B2453="","",IFERROR(INDEX(Clay_Offices!$A$2:$FZ$601,202,Sync!$C$6)&amp;"",""))</f>
        <v/>
      </c>
      <c r="F2453" s="17">
        <f>IF(B2453="","","outreach_sent")</f>
        <v/>
      </c>
      <c r="G2453" s="17">
        <f>IF(B2453="","","")</f>
        <v/>
      </c>
      <c r="H2453" s="17">
        <f>IF(B2453="","","")</f>
        <v/>
      </c>
      <c r="I2453" s="17">
        <f>IF(B2453="","","")</f>
        <v/>
      </c>
      <c r="J2453" s="17">
        <f>IF(B2453="","","touch_2; "&amp;IFERROR(INDEX(Clay_Offices!$A$2:$FZ$601,202,Sync!$C$10)&amp;"","")&amp;"; "&amp;IFERROR(INDEX(Clay_Offices!$A$2:$FZ$601,202,Sync!$C$9)&amp;"",""))</f>
        <v/>
      </c>
      <c r="K2453" t="inlineStr">
        <is>
          <t>office outreach touch 2</t>
        </is>
      </c>
    </row>
    <row r="2454">
      <c r="A2454" s="17">
        <f>IF(B2454="","",B2454+(13*1000+203)/10000000)</f>
        <v/>
      </c>
      <c r="B2454" s="23">
        <f>IF(AND(IFERROR(N(INDEX(Clay_Offices!$A$2:$FZ$601,203,Sync!$C$12)),0)&gt;0,IFERROR(INDEX(Clay_Offices!$A$2:$FZ$601,203,Sync!$C$5)&amp;"","")&lt;&gt;"",OR(LEFT(IFERROR(INDEX(Clay_Offices!$A$2:$FZ$601,203,Sync!$C$5)&amp;"",""),6)&lt;&gt;"SAMPLE",Config!$B$19="Y")),IFERROR(N(INDEX(Clay_Offices!$A$2:$FZ$601,203,Sync!$C$12)),0),"")</f>
        <v/>
      </c>
      <c r="C2454" s="17">
        <f>IF(B2454="","","office")</f>
        <v/>
      </c>
      <c r="D2454" s="17">
        <f>IF(B2454="","",IFERROR(INDEX(Clay_Offices!$A$2:$FZ$601,203,Sync!$C$5)&amp;"",""))</f>
        <v/>
      </c>
      <c r="E2454" s="17">
        <f>IF(B2454="","",IFERROR(INDEX(Clay_Offices!$A$2:$FZ$601,203,Sync!$C$6)&amp;"",""))</f>
        <v/>
      </c>
      <c r="F2454" s="17">
        <f>IF(B2454="","","outreach_sent")</f>
        <v/>
      </c>
      <c r="G2454" s="17">
        <f>IF(B2454="","","")</f>
        <v/>
      </c>
      <c r="H2454" s="17">
        <f>IF(B2454="","","")</f>
        <v/>
      </c>
      <c r="I2454" s="17">
        <f>IF(B2454="","","")</f>
        <v/>
      </c>
      <c r="J2454" s="17">
        <f>IF(B2454="","","touch_2; "&amp;IFERROR(INDEX(Clay_Offices!$A$2:$FZ$601,203,Sync!$C$10)&amp;"","")&amp;"; "&amp;IFERROR(INDEX(Clay_Offices!$A$2:$FZ$601,203,Sync!$C$9)&amp;"",""))</f>
        <v/>
      </c>
      <c r="K2454" t="inlineStr">
        <is>
          <t>office outreach touch 2</t>
        </is>
      </c>
    </row>
    <row r="2455">
      <c r="A2455" s="17">
        <f>IF(B2455="","",B2455+(13*1000+204)/10000000)</f>
        <v/>
      </c>
      <c r="B2455" s="23">
        <f>IF(AND(IFERROR(N(INDEX(Clay_Offices!$A$2:$FZ$601,204,Sync!$C$12)),0)&gt;0,IFERROR(INDEX(Clay_Offices!$A$2:$FZ$601,204,Sync!$C$5)&amp;"","")&lt;&gt;"",OR(LEFT(IFERROR(INDEX(Clay_Offices!$A$2:$FZ$601,204,Sync!$C$5)&amp;"",""),6)&lt;&gt;"SAMPLE",Config!$B$19="Y")),IFERROR(N(INDEX(Clay_Offices!$A$2:$FZ$601,204,Sync!$C$12)),0),"")</f>
        <v/>
      </c>
      <c r="C2455" s="17">
        <f>IF(B2455="","","office")</f>
        <v/>
      </c>
      <c r="D2455" s="17">
        <f>IF(B2455="","",IFERROR(INDEX(Clay_Offices!$A$2:$FZ$601,204,Sync!$C$5)&amp;"",""))</f>
        <v/>
      </c>
      <c r="E2455" s="17">
        <f>IF(B2455="","",IFERROR(INDEX(Clay_Offices!$A$2:$FZ$601,204,Sync!$C$6)&amp;"",""))</f>
        <v/>
      </c>
      <c r="F2455" s="17">
        <f>IF(B2455="","","outreach_sent")</f>
        <v/>
      </c>
      <c r="G2455" s="17">
        <f>IF(B2455="","","")</f>
        <v/>
      </c>
      <c r="H2455" s="17">
        <f>IF(B2455="","","")</f>
        <v/>
      </c>
      <c r="I2455" s="17">
        <f>IF(B2455="","","")</f>
        <v/>
      </c>
      <c r="J2455" s="17">
        <f>IF(B2455="","","touch_2; "&amp;IFERROR(INDEX(Clay_Offices!$A$2:$FZ$601,204,Sync!$C$10)&amp;"","")&amp;"; "&amp;IFERROR(INDEX(Clay_Offices!$A$2:$FZ$601,204,Sync!$C$9)&amp;"",""))</f>
        <v/>
      </c>
      <c r="K2455" t="inlineStr">
        <is>
          <t>office outreach touch 2</t>
        </is>
      </c>
    </row>
    <row r="2456">
      <c r="A2456" s="17">
        <f>IF(B2456="","",B2456+(13*1000+205)/10000000)</f>
        <v/>
      </c>
      <c r="B2456" s="23">
        <f>IF(AND(IFERROR(N(INDEX(Clay_Offices!$A$2:$FZ$601,205,Sync!$C$12)),0)&gt;0,IFERROR(INDEX(Clay_Offices!$A$2:$FZ$601,205,Sync!$C$5)&amp;"","")&lt;&gt;"",OR(LEFT(IFERROR(INDEX(Clay_Offices!$A$2:$FZ$601,205,Sync!$C$5)&amp;"",""),6)&lt;&gt;"SAMPLE",Config!$B$19="Y")),IFERROR(N(INDEX(Clay_Offices!$A$2:$FZ$601,205,Sync!$C$12)),0),"")</f>
        <v/>
      </c>
      <c r="C2456" s="17">
        <f>IF(B2456="","","office")</f>
        <v/>
      </c>
      <c r="D2456" s="17">
        <f>IF(B2456="","",IFERROR(INDEX(Clay_Offices!$A$2:$FZ$601,205,Sync!$C$5)&amp;"",""))</f>
        <v/>
      </c>
      <c r="E2456" s="17">
        <f>IF(B2456="","",IFERROR(INDEX(Clay_Offices!$A$2:$FZ$601,205,Sync!$C$6)&amp;"",""))</f>
        <v/>
      </c>
      <c r="F2456" s="17">
        <f>IF(B2456="","","outreach_sent")</f>
        <v/>
      </c>
      <c r="G2456" s="17">
        <f>IF(B2456="","","")</f>
        <v/>
      </c>
      <c r="H2456" s="17">
        <f>IF(B2456="","","")</f>
        <v/>
      </c>
      <c r="I2456" s="17">
        <f>IF(B2456="","","")</f>
        <v/>
      </c>
      <c r="J2456" s="17">
        <f>IF(B2456="","","touch_2; "&amp;IFERROR(INDEX(Clay_Offices!$A$2:$FZ$601,205,Sync!$C$10)&amp;"","")&amp;"; "&amp;IFERROR(INDEX(Clay_Offices!$A$2:$FZ$601,205,Sync!$C$9)&amp;"",""))</f>
        <v/>
      </c>
      <c r="K2456" t="inlineStr">
        <is>
          <t>office outreach touch 2</t>
        </is>
      </c>
    </row>
    <row r="2457">
      <c r="A2457" s="17">
        <f>IF(B2457="","",B2457+(13*1000+206)/10000000)</f>
        <v/>
      </c>
      <c r="B2457" s="23">
        <f>IF(AND(IFERROR(N(INDEX(Clay_Offices!$A$2:$FZ$601,206,Sync!$C$12)),0)&gt;0,IFERROR(INDEX(Clay_Offices!$A$2:$FZ$601,206,Sync!$C$5)&amp;"","")&lt;&gt;"",OR(LEFT(IFERROR(INDEX(Clay_Offices!$A$2:$FZ$601,206,Sync!$C$5)&amp;"",""),6)&lt;&gt;"SAMPLE",Config!$B$19="Y")),IFERROR(N(INDEX(Clay_Offices!$A$2:$FZ$601,206,Sync!$C$12)),0),"")</f>
        <v/>
      </c>
      <c r="C2457" s="17">
        <f>IF(B2457="","","office")</f>
        <v/>
      </c>
      <c r="D2457" s="17">
        <f>IF(B2457="","",IFERROR(INDEX(Clay_Offices!$A$2:$FZ$601,206,Sync!$C$5)&amp;"",""))</f>
        <v/>
      </c>
      <c r="E2457" s="17">
        <f>IF(B2457="","",IFERROR(INDEX(Clay_Offices!$A$2:$FZ$601,206,Sync!$C$6)&amp;"",""))</f>
        <v/>
      </c>
      <c r="F2457" s="17">
        <f>IF(B2457="","","outreach_sent")</f>
        <v/>
      </c>
      <c r="G2457" s="17">
        <f>IF(B2457="","","")</f>
        <v/>
      </c>
      <c r="H2457" s="17">
        <f>IF(B2457="","","")</f>
        <v/>
      </c>
      <c r="I2457" s="17">
        <f>IF(B2457="","","")</f>
        <v/>
      </c>
      <c r="J2457" s="17">
        <f>IF(B2457="","","touch_2; "&amp;IFERROR(INDEX(Clay_Offices!$A$2:$FZ$601,206,Sync!$C$10)&amp;"","")&amp;"; "&amp;IFERROR(INDEX(Clay_Offices!$A$2:$FZ$601,206,Sync!$C$9)&amp;"",""))</f>
        <v/>
      </c>
      <c r="K2457" t="inlineStr">
        <is>
          <t>office outreach touch 2</t>
        </is>
      </c>
    </row>
    <row r="2458">
      <c r="A2458" s="17">
        <f>IF(B2458="","",B2458+(13*1000+207)/10000000)</f>
        <v/>
      </c>
      <c r="B2458" s="23">
        <f>IF(AND(IFERROR(N(INDEX(Clay_Offices!$A$2:$FZ$601,207,Sync!$C$12)),0)&gt;0,IFERROR(INDEX(Clay_Offices!$A$2:$FZ$601,207,Sync!$C$5)&amp;"","")&lt;&gt;"",OR(LEFT(IFERROR(INDEX(Clay_Offices!$A$2:$FZ$601,207,Sync!$C$5)&amp;"",""),6)&lt;&gt;"SAMPLE",Config!$B$19="Y")),IFERROR(N(INDEX(Clay_Offices!$A$2:$FZ$601,207,Sync!$C$12)),0),"")</f>
        <v/>
      </c>
      <c r="C2458" s="17">
        <f>IF(B2458="","","office")</f>
        <v/>
      </c>
      <c r="D2458" s="17">
        <f>IF(B2458="","",IFERROR(INDEX(Clay_Offices!$A$2:$FZ$601,207,Sync!$C$5)&amp;"",""))</f>
        <v/>
      </c>
      <c r="E2458" s="17">
        <f>IF(B2458="","",IFERROR(INDEX(Clay_Offices!$A$2:$FZ$601,207,Sync!$C$6)&amp;"",""))</f>
        <v/>
      </c>
      <c r="F2458" s="17">
        <f>IF(B2458="","","outreach_sent")</f>
        <v/>
      </c>
      <c r="G2458" s="17">
        <f>IF(B2458="","","")</f>
        <v/>
      </c>
      <c r="H2458" s="17">
        <f>IF(B2458="","","")</f>
        <v/>
      </c>
      <c r="I2458" s="17">
        <f>IF(B2458="","","")</f>
        <v/>
      </c>
      <c r="J2458" s="17">
        <f>IF(B2458="","","touch_2; "&amp;IFERROR(INDEX(Clay_Offices!$A$2:$FZ$601,207,Sync!$C$10)&amp;"","")&amp;"; "&amp;IFERROR(INDEX(Clay_Offices!$A$2:$FZ$601,207,Sync!$C$9)&amp;"",""))</f>
        <v/>
      </c>
      <c r="K2458" t="inlineStr">
        <is>
          <t>office outreach touch 2</t>
        </is>
      </c>
    </row>
    <row r="2459">
      <c r="A2459" s="17">
        <f>IF(B2459="","",B2459+(13*1000+208)/10000000)</f>
        <v/>
      </c>
      <c r="B2459" s="23">
        <f>IF(AND(IFERROR(N(INDEX(Clay_Offices!$A$2:$FZ$601,208,Sync!$C$12)),0)&gt;0,IFERROR(INDEX(Clay_Offices!$A$2:$FZ$601,208,Sync!$C$5)&amp;"","")&lt;&gt;"",OR(LEFT(IFERROR(INDEX(Clay_Offices!$A$2:$FZ$601,208,Sync!$C$5)&amp;"",""),6)&lt;&gt;"SAMPLE",Config!$B$19="Y")),IFERROR(N(INDEX(Clay_Offices!$A$2:$FZ$601,208,Sync!$C$12)),0),"")</f>
        <v/>
      </c>
      <c r="C2459" s="17">
        <f>IF(B2459="","","office")</f>
        <v/>
      </c>
      <c r="D2459" s="17">
        <f>IF(B2459="","",IFERROR(INDEX(Clay_Offices!$A$2:$FZ$601,208,Sync!$C$5)&amp;"",""))</f>
        <v/>
      </c>
      <c r="E2459" s="17">
        <f>IF(B2459="","",IFERROR(INDEX(Clay_Offices!$A$2:$FZ$601,208,Sync!$C$6)&amp;"",""))</f>
        <v/>
      </c>
      <c r="F2459" s="17">
        <f>IF(B2459="","","outreach_sent")</f>
        <v/>
      </c>
      <c r="G2459" s="17">
        <f>IF(B2459="","","")</f>
        <v/>
      </c>
      <c r="H2459" s="17">
        <f>IF(B2459="","","")</f>
        <v/>
      </c>
      <c r="I2459" s="17">
        <f>IF(B2459="","","")</f>
        <v/>
      </c>
      <c r="J2459" s="17">
        <f>IF(B2459="","","touch_2; "&amp;IFERROR(INDEX(Clay_Offices!$A$2:$FZ$601,208,Sync!$C$10)&amp;"","")&amp;"; "&amp;IFERROR(INDEX(Clay_Offices!$A$2:$FZ$601,208,Sync!$C$9)&amp;"",""))</f>
        <v/>
      </c>
      <c r="K2459" t="inlineStr">
        <is>
          <t>office outreach touch 2</t>
        </is>
      </c>
    </row>
    <row r="2460">
      <c r="A2460" s="17">
        <f>IF(B2460="","",B2460+(13*1000+209)/10000000)</f>
        <v/>
      </c>
      <c r="B2460" s="23">
        <f>IF(AND(IFERROR(N(INDEX(Clay_Offices!$A$2:$FZ$601,209,Sync!$C$12)),0)&gt;0,IFERROR(INDEX(Clay_Offices!$A$2:$FZ$601,209,Sync!$C$5)&amp;"","")&lt;&gt;"",OR(LEFT(IFERROR(INDEX(Clay_Offices!$A$2:$FZ$601,209,Sync!$C$5)&amp;"",""),6)&lt;&gt;"SAMPLE",Config!$B$19="Y")),IFERROR(N(INDEX(Clay_Offices!$A$2:$FZ$601,209,Sync!$C$12)),0),"")</f>
        <v/>
      </c>
      <c r="C2460" s="17">
        <f>IF(B2460="","","office")</f>
        <v/>
      </c>
      <c r="D2460" s="17">
        <f>IF(B2460="","",IFERROR(INDEX(Clay_Offices!$A$2:$FZ$601,209,Sync!$C$5)&amp;"",""))</f>
        <v/>
      </c>
      <c r="E2460" s="17">
        <f>IF(B2460="","",IFERROR(INDEX(Clay_Offices!$A$2:$FZ$601,209,Sync!$C$6)&amp;"",""))</f>
        <v/>
      </c>
      <c r="F2460" s="17">
        <f>IF(B2460="","","outreach_sent")</f>
        <v/>
      </c>
      <c r="G2460" s="17">
        <f>IF(B2460="","","")</f>
        <v/>
      </c>
      <c r="H2460" s="17">
        <f>IF(B2460="","","")</f>
        <v/>
      </c>
      <c r="I2460" s="17">
        <f>IF(B2460="","","")</f>
        <v/>
      </c>
      <c r="J2460" s="17">
        <f>IF(B2460="","","touch_2; "&amp;IFERROR(INDEX(Clay_Offices!$A$2:$FZ$601,209,Sync!$C$10)&amp;"","")&amp;"; "&amp;IFERROR(INDEX(Clay_Offices!$A$2:$FZ$601,209,Sync!$C$9)&amp;"",""))</f>
        <v/>
      </c>
      <c r="K2460" t="inlineStr">
        <is>
          <t>office outreach touch 2</t>
        </is>
      </c>
    </row>
    <row r="2461">
      <c r="A2461" s="17">
        <f>IF(B2461="","",B2461+(13*1000+210)/10000000)</f>
        <v/>
      </c>
      <c r="B2461" s="23">
        <f>IF(AND(IFERROR(N(INDEX(Clay_Offices!$A$2:$FZ$601,210,Sync!$C$12)),0)&gt;0,IFERROR(INDEX(Clay_Offices!$A$2:$FZ$601,210,Sync!$C$5)&amp;"","")&lt;&gt;"",OR(LEFT(IFERROR(INDEX(Clay_Offices!$A$2:$FZ$601,210,Sync!$C$5)&amp;"",""),6)&lt;&gt;"SAMPLE",Config!$B$19="Y")),IFERROR(N(INDEX(Clay_Offices!$A$2:$FZ$601,210,Sync!$C$12)),0),"")</f>
        <v/>
      </c>
      <c r="C2461" s="17">
        <f>IF(B2461="","","office")</f>
        <v/>
      </c>
      <c r="D2461" s="17">
        <f>IF(B2461="","",IFERROR(INDEX(Clay_Offices!$A$2:$FZ$601,210,Sync!$C$5)&amp;"",""))</f>
        <v/>
      </c>
      <c r="E2461" s="17">
        <f>IF(B2461="","",IFERROR(INDEX(Clay_Offices!$A$2:$FZ$601,210,Sync!$C$6)&amp;"",""))</f>
        <v/>
      </c>
      <c r="F2461" s="17">
        <f>IF(B2461="","","outreach_sent")</f>
        <v/>
      </c>
      <c r="G2461" s="17">
        <f>IF(B2461="","","")</f>
        <v/>
      </c>
      <c r="H2461" s="17">
        <f>IF(B2461="","","")</f>
        <v/>
      </c>
      <c r="I2461" s="17">
        <f>IF(B2461="","","")</f>
        <v/>
      </c>
      <c r="J2461" s="17">
        <f>IF(B2461="","","touch_2; "&amp;IFERROR(INDEX(Clay_Offices!$A$2:$FZ$601,210,Sync!$C$10)&amp;"","")&amp;"; "&amp;IFERROR(INDEX(Clay_Offices!$A$2:$FZ$601,210,Sync!$C$9)&amp;"",""))</f>
        <v/>
      </c>
      <c r="K2461" t="inlineStr">
        <is>
          <t>office outreach touch 2</t>
        </is>
      </c>
    </row>
    <row r="2462">
      <c r="A2462" s="17">
        <f>IF(B2462="","",B2462+(13*1000+211)/10000000)</f>
        <v/>
      </c>
      <c r="B2462" s="23">
        <f>IF(AND(IFERROR(N(INDEX(Clay_Offices!$A$2:$FZ$601,211,Sync!$C$12)),0)&gt;0,IFERROR(INDEX(Clay_Offices!$A$2:$FZ$601,211,Sync!$C$5)&amp;"","")&lt;&gt;"",OR(LEFT(IFERROR(INDEX(Clay_Offices!$A$2:$FZ$601,211,Sync!$C$5)&amp;"",""),6)&lt;&gt;"SAMPLE",Config!$B$19="Y")),IFERROR(N(INDEX(Clay_Offices!$A$2:$FZ$601,211,Sync!$C$12)),0),"")</f>
        <v/>
      </c>
      <c r="C2462" s="17">
        <f>IF(B2462="","","office")</f>
        <v/>
      </c>
      <c r="D2462" s="17">
        <f>IF(B2462="","",IFERROR(INDEX(Clay_Offices!$A$2:$FZ$601,211,Sync!$C$5)&amp;"",""))</f>
        <v/>
      </c>
      <c r="E2462" s="17">
        <f>IF(B2462="","",IFERROR(INDEX(Clay_Offices!$A$2:$FZ$601,211,Sync!$C$6)&amp;"",""))</f>
        <v/>
      </c>
      <c r="F2462" s="17">
        <f>IF(B2462="","","outreach_sent")</f>
        <v/>
      </c>
      <c r="G2462" s="17">
        <f>IF(B2462="","","")</f>
        <v/>
      </c>
      <c r="H2462" s="17">
        <f>IF(B2462="","","")</f>
        <v/>
      </c>
      <c r="I2462" s="17">
        <f>IF(B2462="","","")</f>
        <v/>
      </c>
      <c r="J2462" s="17">
        <f>IF(B2462="","","touch_2; "&amp;IFERROR(INDEX(Clay_Offices!$A$2:$FZ$601,211,Sync!$C$10)&amp;"","")&amp;"; "&amp;IFERROR(INDEX(Clay_Offices!$A$2:$FZ$601,211,Sync!$C$9)&amp;"",""))</f>
        <v/>
      </c>
      <c r="K2462" t="inlineStr">
        <is>
          <t>office outreach touch 2</t>
        </is>
      </c>
    </row>
    <row r="2463">
      <c r="A2463" s="17">
        <f>IF(B2463="","",B2463+(13*1000+212)/10000000)</f>
        <v/>
      </c>
      <c r="B2463" s="23">
        <f>IF(AND(IFERROR(N(INDEX(Clay_Offices!$A$2:$FZ$601,212,Sync!$C$12)),0)&gt;0,IFERROR(INDEX(Clay_Offices!$A$2:$FZ$601,212,Sync!$C$5)&amp;"","")&lt;&gt;"",OR(LEFT(IFERROR(INDEX(Clay_Offices!$A$2:$FZ$601,212,Sync!$C$5)&amp;"",""),6)&lt;&gt;"SAMPLE",Config!$B$19="Y")),IFERROR(N(INDEX(Clay_Offices!$A$2:$FZ$601,212,Sync!$C$12)),0),"")</f>
        <v/>
      </c>
      <c r="C2463" s="17">
        <f>IF(B2463="","","office")</f>
        <v/>
      </c>
      <c r="D2463" s="17">
        <f>IF(B2463="","",IFERROR(INDEX(Clay_Offices!$A$2:$FZ$601,212,Sync!$C$5)&amp;"",""))</f>
        <v/>
      </c>
      <c r="E2463" s="17">
        <f>IF(B2463="","",IFERROR(INDEX(Clay_Offices!$A$2:$FZ$601,212,Sync!$C$6)&amp;"",""))</f>
        <v/>
      </c>
      <c r="F2463" s="17">
        <f>IF(B2463="","","outreach_sent")</f>
        <v/>
      </c>
      <c r="G2463" s="17">
        <f>IF(B2463="","","")</f>
        <v/>
      </c>
      <c r="H2463" s="17">
        <f>IF(B2463="","","")</f>
        <v/>
      </c>
      <c r="I2463" s="17">
        <f>IF(B2463="","","")</f>
        <v/>
      </c>
      <c r="J2463" s="17">
        <f>IF(B2463="","","touch_2; "&amp;IFERROR(INDEX(Clay_Offices!$A$2:$FZ$601,212,Sync!$C$10)&amp;"","")&amp;"; "&amp;IFERROR(INDEX(Clay_Offices!$A$2:$FZ$601,212,Sync!$C$9)&amp;"",""))</f>
        <v/>
      </c>
      <c r="K2463" t="inlineStr">
        <is>
          <t>office outreach touch 2</t>
        </is>
      </c>
    </row>
    <row r="2464">
      <c r="A2464" s="17">
        <f>IF(B2464="","",B2464+(13*1000+213)/10000000)</f>
        <v/>
      </c>
      <c r="B2464" s="23">
        <f>IF(AND(IFERROR(N(INDEX(Clay_Offices!$A$2:$FZ$601,213,Sync!$C$12)),0)&gt;0,IFERROR(INDEX(Clay_Offices!$A$2:$FZ$601,213,Sync!$C$5)&amp;"","")&lt;&gt;"",OR(LEFT(IFERROR(INDEX(Clay_Offices!$A$2:$FZ$601,213,Sync!$C$5)&amp;"",""),6)&lt;&gt;"SAMPLE",Config!$B$19="Y")),IFERROR(N(INDEX(Clay_Offices!$A$2:$FZ$601,213,Sync!$C$12)),0),"")</f>
        <v/>
      </c>
      <c r="C2464" s="17">
        <f>IF(B2464="","","office")</f>
        <v/>
      </c>
      <c r="D2464" s="17">
        <f>IF(B2464="","",IFERROR(INDEX(Clay_Offices!$A$2:$FZ$601,213,Sync!$C$5)&amp;"",""))</f>
        <v/>
      </c>
      <c r="E2464" s="17">
        <f>IF(B2464="","",IFERROR(INDEX(Clay_Offices!$A$2:$FZ$601,213,Sync!$C$6)&amp;"",""))</f>
        <v/>
      </c>
      <c r="F2464" s="17">
        <f>IF(B2464="","","outreach_sent")</f>
        <v/>
      </c>
      <c r="G2464" s="17">
        <f>IF(B2464="","","")</f>
        <v/>
      </c>
      <c r="H2464" s="17">
        <f>IF(B2464="","","")</f>
        <v/>
      </c>
      <c r="I2464" s="17">
        <f>IF(B2464="","","")</f>
        <v/>
      </c>
      <c r="J2464" s="17">
        <f>IF(B2464="","","touch_2; "&amp;IFERROR(INDEX(Clay_Offices!$A$2:$FZ$601,213,Sync!$C$10)&amp;"","")&amp;"; "&amp;IFERROR(INDEX(Clay_Offices!$A$2:$FZ$601,213,Sync!$C$9)&amp;"",""))</f>
        <v/>
      </c>
      <c r="K2464" t="inlineStr">
        <is>
          <t>office outreach touch 2</t>
        </is>
      </c>
    </row>
    <row r="2465">
      <c r="A2465" s="17">
        <f>IF(B2465="","",B2465+(13*1000+214)/10000000)</f>
        <v/>
      </c>
      <c r="B2465" s="23">
        <f>IF(AND(IFERROR(N(INDEX(Clay_Offices!$A$2:$FZ$601,214,Sync!$C$12)),0)&gt;0,IFERROR(INDEX(Clay_Offices!$A$2:$FZ$601,214,Sync!$C$5)&amp;"","")&lt;&gt;"",OR(LEFT(IFERROR(INDEX(Clay_Offices!$A$2:$FZ$601,214,Sync!$C$5)&amp;"",""),6)&lt;&gt;"SAMPLE",Config!$B$19="Y")),IFERROR(N(INDEX(Clay_Offices!$A$2:$FZ$601,214,Sync!$C$12)),0),"")</f>
        <v/>
      </c>
      <c r="C2465" s="17">
        <f>IF(B2465="","","office")</f>
        <v/>
      </c>
      <c r="D2465" s="17">
        <f>IF(B2465="","",IFERROR(INDEX(Clay_Offices!$A$2:$FZ$601,214,Sync!$C$5)&amp;"",""))</f>
        <v/>
      </c>
      <c r="E2465" s="17">
        <f>IF(B2465="","",IFERROR(INDEX(Clay_Offices!$A$2:$FZ$601,214,Sync!$C$6)&amp;"",""))</f>
        <v/>
      </c>
      <c r="F2465" s="17">
        <f>IF(B2465="","","outreach_sent")</f>
        <v/>
      </c>
      <c r="G2465" s="17">
        <f>IF(B2465="","","")</f>
        <v/>
      </c>
      <c r="H2465" s="17">
        <f>IF(B2465="","","")</f>
        <v/>
      </c>
      <c r="I2465" s="17">
        <f>IF(B2465="","","")</f>
        <v/>
      </c>
      <c r="J2465" s="17">
        <f>IF(B2465="","","touch_2; "&amp;IFERROR(INDEX(Clay_Offices!$A$2:$FZ$601,214,Sync!$C$10)&amp;"","")&amp;"; "&amp;IFERROR(INDEX(Clay_Offices!$A$2:$FZ$601,214,Sync!$C$9)&amp;"",""))</f>
        <v/>
      </c>
      <c r="K2465" t="inlineStr">
        <is>
          <t>office outreach touch 2</t>
        </is>
      </c>
    </row>
    <row r="2466">
      <c r="A2466" s="17">
        <f>IF(B2466="","",B2466+(13*1000+215)/10000000)</f>
        <v/>
      </c>
      <c r="B2466" s="23">
        <f>IF(AND(IFERROR(N(INDEX(Clay_Offices!$A$2:$FZ$601,215,Sync!$C$12)),0)&gt;0,IFERROR(INDEX(Clay_Offices!$A$2:$FZ$601,215,Sync!$C$5)&amp;"","")&lt;&gt;"",OR(LEFT(IFERROR(INDEX(Clay_Offices!$A$2:$FZ$601,215,Sync!$C$5)&amp;"",""),6)&lt;&gt;"SAMPLE",Config!$B$19="Y")),IFERROR(N(INDEX(Clay_Offices!$A$2:$FZ$601,215,Sync!$C$12)),0),"")</f>
        <v/>
      </c>
      <c r="C2466" s="17">
        <f>IF(B2466="","","office")</f>
        <v/>
      </c>
      <c r="D2466" s="17">
        <f>IF(B2466="","",IFERROR(INDEX(Clay_Offices!$A$2:$FZ$601,215,Sync!$C$5)&amp;"",""))</f>
        <v/>
      </c>
      <c r="E2466" s="17">
        <f>IF(B2466="","",IFERROR(INDEX(Clay_Offices!$A$2:$FZ$601,215,Sync!$C$6)&amp;"",""))</f>
        <v/>
      </c>
      <c r="F2466" s="17">
        <f>IF(B2466="","","outreach_sent")</f>
        <v/>
      </c>
      <c r="G2466" s="17">
        <f>IF(B2466="","","")</f>
        <v/>
      </c>
      <c r="H2466" s="17">
        <f>IF(B2466="","","")</f>
        <v/>
      </c>
      <c r="I2466" s="17">
        <f>IF(B2466="","","")</f>
        <v/>
      </c>
      <c r="J2466" s="17">
        <f>IF(B2466="","","touch_2; "&amp;IFERROR(INDEX(Clay_Offices!$A$2:$FZ$601,215,Sync!$C$10)&amp;"","")&amp;"; "&amp;IFERROR(INDEX(Clay_Offices!$A$2:$FZ$601,215,Sync!$C$9)&amp;"",""))</f>
        <v/>
      </c>
      <c r="K2466" t="inlineStr">
        <is>
          <t>office outreach touch 2</t>
        </is>
      </c>
    </row>
    <row r="2467">
      <c r="A2467" s="17">
        <f>IF(B2467="","",B2467+(13*1000+216)/10000000)</f>
        <v/>
      </c>
      <c r="B2467" s="23">
        <f>IF(AND(IFERROR(N(INDEX(Clay_Offices!$A$2:$FZ$601,216,Sync!$C$12)),0)&gt;0,IFERROR(INDEX(Clay_Offices!$A$2:$FZ$601,216,Sync!$C$5)&amp;"","")&lt;&gt;"",OR(LEFT(IFERROR(INDEX(Clay_Offices!$A$2:$FZ$601,216,Sync!$C$5)&amp;"",""),6)&lt;&gt;"SAMPLE",Config!$B$19="Y")),IFERROR(N(INDEX(Clay_Offices!$A$2:$FZ$601,216,Sync!$C$12)),0),"")</f>
        <v/>
      </c>
      <c r="C2467" s="17">
        <f>IF(B2467="","","office")</f>
        <v/>
      </c>
      <c r="D2467" s="17">
        <f>IF(B2467="","",IFERROR(INDEX(Clay_Offices!$A$2:$FZ$601,216,Sync!$C$5)&amp;"",""))</f>
        <v/>
      </c>
      <c r="E2467" s="17">
        <f>IF(B2467="","",IFERROR(INDEX(Clay_Offices!$A$2:$FZ$601,216,Sync!$C$6)&amp;"",""))</f>
        <v/>
      </c>
      <c r="F2467" s="17">
        <f>IF(B2467="","","outreach_sent")</f>
        <v/>
      </c>
      <c r="G2467" s="17">
        <f>IF(B2467="","","")</f>
        <v/>
      </c>
      <c r="H2467" s="17">
        <f>IF(B2467="","","")</f>
        <v/>
      </c>
      <c r="I2467" s="17">
        <f>IF(B2467="","","")</f>
        <v/>
      </c>
      <c r="J2467" s="17">
        <f>IF(B2467="","","touch_2; "&amp;IFERROR(INDEX(Clay_Offices!$A$2:$FZ$601,216,Sync!$C$10)&amp;"","")&amp;"; "&amp;IFERROR(INDEX(Clay_Offices!$A$2:$FZ$601,216,Sync!$C$9)&amp;"",""))</f>
        <v/>
      </c>
      <c r="K2467" t="inlineStr">
        <is>
          <t>office outreach touch 2</t>
        </is>
      </c>
    </row>
    <row r="2468">
      <c r="A2468" s="17">
        <f>IF(B2468="","",B2468+(13*1000+217)/10000000)</f>
        <v/>
      </c>
      <c r="B2468" s="23">
        <f>IF(AND(IFERROR(N(INDEX(Clay_Offices!$A$2:$FZ$601,217,Sync!$C$12)),0)&gt;0,IFERROR(INDEX(Clay_Offices!$A$2:$FZ$601,217,Sync!$C$5)&amp;"","")&lt;&gt;"",OR(LEFT(IFERROR(INDEX(Clay_Offices!$A$2:$FZ$601,217,Sync!$C$5)&amp;"",""),6)&lt;&gt;"SAMPLE",Config!$B$19="Y")),IFERROR(N(INDEX(Clay_Offices!$A$2:$FZ$601,217,Sync!$C$12)),0),"")</f>
        <v/>
      </c>
      <c r="C2468" s="17">
        <f>IF(B2468="","","office")</f>
        <v/>
      </c>
      <c r="D2468" s="17">
        <f>IF(B2468="","",IFERROR(INDEX(Clay_Offices!$A$2:$FZ$601,217,Sync!$C$5)&amp;"",""))</f>
        <v/>
      </c>
      <c r="E2468" s="17">
        <f>IF(B2468="","",IFERROR(INDEX(Clay_Offices!$A$2:$FZ$601,217,Sync!$C$6)&amp;"",""))</f>
        <v/>
      </c>
      <c r="F2468" s="17">
        <f>IF(B2468="","","outreach_sent")</f>
        <v/>
      </c>
      <c r="G2468" s="17">
        <f>IF(B2468="","","")</f>
        <v/>
      </c>
      <c r="H2468" s="17">
        <f>IF(B2468="","","")</f>
        <v/>
      </c>
      <c r="I2468" s="17">
        <f>IF(B2468="","","")</f>
        <v/>
      </c>
      <c r="J2468" s="17">
        <f>IF(B2468="","","touch_2; "&amp;IFERROR(INDEX(Clay_Offices!$A$2:$FZ$601,217,Sync!$C$10)&amp;"","")&amp;"; "&amp;IFERROR(INDEX(Clay_Offices!$A$2:$FZ$601,217,Sync!$C$9)&amp;"",""))</f>
        <v/>
      </c>
      <c r="K2468" t="inlineStr">
        <is>
          <t>office outreach touch 2</t>
        </is>
      </c>
    </row>
    <row r="2469">
      <c r="A2469" s="17">
        <f>IF(B2469="","",B2469+(13*1000+218)/10000000)</f>
        <v/>
      </c>
      <c r="B2469" s="23">
        <f>IF(AND(IFERROR(N(INDEX(Clay_Offices!$A$2:$FZ$601,218,Sync!$C$12)),0)&gt;0,IFERROR(INDEX(Clay_Offices!$A$2:$FZ$601,218,Sync!$C$5)&amp;"","")&lt;&gt;"",OR(LEFT(IFERROR(INDEX(Clay_Offices!$A$2:$FZ$601,218,Sync!$C$5)&amp;"",""),6)&lt;&gt;"SAMPLE",Config!$B$19="Y")),IFERROR(N(INDEX(Clay_Offices!$A$2:$FZ$601,218,Sync!$C$12)),0),"")</f>
        <v/>
      </c>
      <c r="C2469" s="17">
        <f>IF(B2469="","","office")</f>
        <v/>
      </c>
      <c r="D2469" s="17">
        <f>IF(B2469="","",IFERROR(INDEX(Clay_Offices!$A$2:$FZ$601,218,Sync!$C$5)&amp;"",""))</f>
        <v/>
      </c>
      <c r="E2469" s="17">
        <f>IF(B2469="","",IFERROR(INDEX(Clay_Offices!$A$2:$FZ$601,218,Sync!$C$6)&amp;"",""))</f>
        <v/>
      </c>
      <c r="F2469" s="17">
        <f>IF(B2469="","","outreach_sent")</f>
        <v/>
      </c>
      <c r="G2469" s="17">
        <f>IF(B2469="","","")</f>
        <v/>
      </c>
      <c r="H2469" s="17">
        <f>IF(B2469="","","")</f>
        <v/>
      </c>
      <c r="I2469" s="17">
        <f>IF(B2469="","","")</f>
        <v/>
      </c>
      <c r="J2469" s="17">
        <f>IF(B2469="","","touch_2; "&amp;IFERROR(INDEX(Clay_Offices!$A$2:$FZ$601,218,Sync!$C$10)&amp;"","")&amp;"; "&amp;IFERROR(INDEX(Clay_Offices!$A$2:$FZ$601,218,Sync!$C$9)&amp;"",""))</f>
        <v/>
      </c>
      <c r="K2469" t="inlineStr">
        <is>
          <t>office outreach touch 2</t>
        </is>
      </c>
    </row>
    <row r="2470">
      <c r="A2470" s="17">
        <f>IF(B2470="","",B2470+(13*1000+219)/10000000)</f>
        <v/>
      </c>
      <c r="B2470" s="23">
        <f>IF(AND(IFERROR(N(INDEX(Clay_Offices!$A$2:$FZ$601,219,Sync!$C$12)),0)&gt;0,IFERROR(INDEX(Clay_Offices!$A$2:$FZ$601,219,Sync!$C$5)&amp;"","")&lt;&gt;"",OR(LEFT(IFERROR(INDEX(Clay_Offices!$A$2:$FZ$601,219,Sync!$C$5)&amp;"",""),6)&lt;&gt;"SAMPLE",Config!$B$19="Y")),IFERROR(N(INDEX(Clay_Offices!$A$2:$FZ$601,219,Sync!$C$12)),0),"")</f>
        <v/>
      </c>
      <c r="C2470" s="17">
        <f>IF(B2470="","","office")</f>
        <v/>
      </c>
      <c r="D2470" s="17">
        <f>IF(B2470="","",IFERROR(INDEX(Clay_Offices!$A$2:$FZ$601,219,Sync!$C$5)&amp;"",""))</f>
        <v/>
      </c>
      <c r="E2470" s="17">
        <f>IF(B2470="","",IFERROR(INDEX(Clay_Offices!$A$2:$FZ$601,219,Sync!$C$6)&amp;"",""))</f>
        <v/>
      </c>
      <c r="F2470" s="17">
        <f>IF(B2470="","","outreach_sent")</f>
        <v/>
      </c>
      <c r="G2470" s="17">
        <f>IF(B2470="","","")</f>
        <v/>
      </c>
      <c r="H2470" s="17">
        <f>IF(B2470="","","")</f>
        <v/>
      </c>
      <c r="I2470" s="17">
        <f>IF(B2470="","","")</f>
        <v/>
      </c>
      <c r="J2470" s="17">
        <f>IF(B2470="","","touch_2; "&amp;IFERROR(INDEX(Clay_Offices!$A$2:$FZ$601,219,Sync!$C$10)&amp;"","")&amp;"; "&amp;IFERROR(INDEX(Clay_Offices!$A$2:$FZ$601,219,Sync!$C$9)&amp;"",""))</f>
        <v/>
      </c>
      <c r="K2470" t="inlineStr">
        <is>
          <t>office outreach touch 2</t>
        </is>
      </c>
    </row>
    <row r="2471">
      <c r="A2471" s="17">
        <f>IF(B2471="","",B2471+(13*1000+220)/10000000)</f>
        <v/>
      </c>
      <c r="B2471" s="23">
        <f>IF(AND(IFERROR(N(INDEX(Clay_Offices!$A$2:$FZ$601,220,Sync!$C$12)),0)&gt;0,IFERROR(INDEX(Clay_Offices!$A$2:$FZ$601,220,Sync!$C$5)&amp;"","")&lt;&gt;"",OR(LEFT(IFERROR(INDEX(Clay_Offices!$A$2:$FZ$601,220,Sync!$C$5)&amp;"",""),6)&lt;&gt;"SAMPLE",Config!$B$19="Y")),IFERROR(N(INDEX(Clay_Offices!$A$2:$FZ$601,220,Sync!$C$12)),0),"")</f>
        <v/>
      </c>
      <c r="C2471" s="17">
        <f>IF(B2471="","","office")</f>
        <v/>
      </c>
      <c r="D2471" s="17">
        <f>IF(B2471="","",IFERROR(INDEX(Clay_Offices!$A$2:$FZ$601,220,Sync!$C$5)&amp;"",""))</f>
        <v/>
      </c>
      <c r="E2471" s="17">
        <f>IF(B2471="","",IFERROR(INDEX(Clay_Offices!$A$2:$FZ$601,220,Sync!$C$6)&amp;"",""))</f>
        <v/>
      </c>
      <c r="F2471" s="17">
        <f>IF(B2471="","","outreach_sent")</f>
        <v/>
      </c>
      <c r="G2471" s="17">
        <f>IF(B2471="","","")</f>
        <v/>
      </c>
      <c r="H2471" s="17">
        <f>IF(B2471="","","")</f>
        <v/>
      </c>
      <c r="I2471" s="17">
        <f>IF(B2471="","","")</f>
        <v/>
      </c>
      <c r="J2471" s="17">
        <f>IF(B2471="","","touch_2; "&amp;IFERROR(INDEX(Clay_Offices!$A$2:$FZ$601,220,Sync!$C$10)&amp;"","")&amp;"; "&amp;IFERROR(INDEX(Clay_Offices!$A$2:$FZ$601,220,Sync!$C$9)&amp;"",""))</f>
        <v/>
      </c>
      <c r="K2471" t="inlineStr">
        <is>
          <t>office outreach touch 2</t>
        </is>
      </c>
    </row>
    <row r="2472">
      <c r="A2472" s="17">
        <f>IF(B2472="","",B2472+(13*1000+221)/10000000)</f>
        <v/>
      </c>
      <c r="B2472" s="23">
        <f>IF(AND(IFERROR(N(INDEX(Clay_Offices!$A$2:$FZ$601,221,Sync!$C$12)),0)&gt;0,IFERROR(INDEX(Clay_Offices!$A$2:$FZ$601,221,Sync!$C$5)&amp;"","")&lt;&gt;"",OR(LEFT(IFERROR(INDEX(Clay_Offices!$A$2:$FZ$601,221,Sync!$C$5)&amp;"",""),6)&lt;&gt;"SAMPLE",Config!$B$19="Y")),IFERROR(N(INDEX(Clay_Offices!$A$2:$FZ$601,221,Sync!$C$12)),0),"")</f>
        <v/>
      </c>
      <c r="C2472" s="17">
        <f>IF(B2472="","","office")</f>
        <v/>
      </c>
      <c r="D2472" s="17">
        <f>IF(B2472="","",IFERROR(INDEX(Clay_Offices!$A$2:$FZ$601,221,Sync!$C$5)&amp;"",""))</f>
        <v/>
      </c>
      <c r="E2472" s="17">
        <f>IF(B2472="","",IFERROR(INDEX(Clay_Offices!$A$2:$FZ$601,221,Sync!$C$6)&amp;"",""))</f>
        <v/>
      </c>
      <c r="F2472" s="17">
        <f>IF(B2472="","","outreach_sent")</f>
        <v/>
      </c>
      <c r="G2472" s="17">
        <f>IF(B2472="","","")</f>
        <v/>
      </c>
      <c r="H2472" s="17">
        <f>IF(B2472="","","")</f>
        <v/>
      </c>
      <c r="I2472" s="17">
        <f>IF(B2472="","","")</f>
        <v/>
      </c>
      <c r="J2472" s="17">
        <f>IF(B2472="","","touch_2; "&amp;IFERROR(INDEX(Clay_Offices!$A$2:$FZ$601,221,Sync!$C$10)&amp;"","")&amp;"; "&amp;IFERROR(INDEX(Clay_Offices!$A$2:$FZ$601,221,Sync!$C$9)&amp;"",""))</f>
        <v/>
      </c>
      <c r="K2472" t="inlineStr">
        <is>
          <t>office outreach touch 2</t>
        </is>
      </c>
    </row>
    <row r="2473">
      <c r="A2473" s="17">
        <f>IF(B2473="","",B2473+(13*1000+222)/10000000)</f>
        <v/>
      </c>
      <c r="B2473" s="23">
        <f>IF(AND(IFERROR(N(INDEX(Clay_Offices!$A$2:$FZ$601,222,Sync!$C$12)),0)&gt;0,IFERROR(INDEX(Clay_Offices!$A$2:$FZ$601,222,Sync!$C$5)&amp;"","")&lt;&gt;"",OR(LEFT(IFERROR(INDEX(Clay_Offices!$A$2:$FZ$601,222,Sync!$C$5)&amp;"",""),6)&lt;&gt;"SAMPLE",Config!$B$19="Y")),IFERROR(N(INDEX(Clay_Offices!$A$2:$FZ$601,222,Sync!$C$12)),0),"")</f>
        <v/>
      </c>
      <c r="C2473" s="17">
        <f>IF(B2473="","","office")</f>
        <v/>
      </c>
      <c r="D2473" s="17">
        <f>IF(B2473="","",IFERROR(INDEX(Clay_Offices!$A$2:$FZ$601,222,Sync!$C$5)&amp;"",""))</f>
        <v/>
      </c>
      <c r="E2473" s="17">
        <f>IF(B2473="","",IFERROR(INDEX(Clay_Offices!$A$2:$FZ$601,222,Sync!$C$6)&amp;"",""))</f>
        <v/>
      </c>
      <c r="F2473" s="17">
        <f>IF(B2473="","","outreach_sent")</f>
        <v/>
      </c>
      <c r="G2473" s="17">
        <f>IF(B2473="","","")</f>
        <v/>
      </c>
      <c r="H2473" s="17">
        <f>IF(B2473="","","")</f>
        <v/>
      </c>
      <c r="I2473" s="17">
        <f>IF(B2473="","","")</f>
        <v/>
      </c>
      <c r="J2473" s="17">
        <f>IF(B2473="","","touch_2; "&amp;IFERROR(INDEX(Clay_Offices!$A$2:$FZ$601,222,Sync!$C$10)&amp;"","")&amp;"; "&amp;IFERROR(INDEX(Clay_Offices!$A$2:$FZ$601,222,Sync!$C$9)&amp;"",""))</f>
        <v/>
      </c>
      <c r="K2473" t="inlineStr">
        <is>
          <t>office outreach touch 2</t>
        </is>
      </c>
    </row>
    <row r="2474">
      <c r="A2474" s="17">
        <f>IF(B2474="","",B2474+(13*1000+223)/10000000)</f>
        <v/>
      </c>
      <c r="B2474" s="23">
        <f>IF(AND(IFERROR(N(INDEX(Clay_Offices!$A$2:$FZ$601,223,Sync!$C$12)),0)&gt;0,IFERROR(INDEX(Clay_Offices!$A$2:$FZ$601,223,Sync!$C$5)&amp;"","")&lt;&gt;"",OR(LEFT(IFERROR(INDEX(Clay_Offices!$A$2:$FZ$601,223,Sync!$C$5)&amp;"",""),6)&lt;&gt;"SAMPLE",Config!$B$19="Y")),IFERROR(N(INDEX(Clay_Offices!$A$2:$FZ$601,223,Sync!$C$12)),0),"")</f>
        <v/>
      </c>
      <c r="C2474" s="17">
        <f>IF(B2474="","","office")</f>
        <v/>
      </c>
      <c r="D2474" s="17">
        <f>IF(B2474="","",IFERROR(INDEX(Clay_Offices!$A$2:$FZ$601,223,Sync!$C$5)&amp;"",""))</f>
        <v/>
      </c>
      <c r="E2474" s="17">
        <f>IF(B2474="","",IFERROR(INDEX(Clay_Offices!$A$2:$FZ$601,223,Sync!$C$6)&amp;"",""))</f>
        <v/>
      </c>
      <c r="F2474" s="17">
        <f>IF(B2474="","","outreach_sent")</f>
        <v/>
      </c>
      <c r="G2474" s="17">
        <f>IF(B2474="","","")</f>
        <v/>
      </c>
      <c r="H2474" s="17">
        <f>IF(B2474="","","")</f>
        <v/>
      </c>
      <c r="I2474" s="17">
        <f>IF(B2474="","","")</f>
        <v/>
      </c>
      <c r="J2474" s="17">
        <f>IF(B2474="","","touch_2; "&amp;IFERROR(INDEX(Clay_Offices!$A$2:$FZ$601,223,Sync!$C$10)&amp;"","")&amp;"; "&amp;IFERROR(INDEX(Clay_Offices!$A$2:$FZ$601,223,Sync!$C$9)&amp;"",""))</f>
        <v/>
      </c>
      <c r="K2474" t="inlineStr">
        <is>
          <t>office outreach touch 2</t>
        </is>
      </c>
    </row>
    <row r="2475">
      <c r="A2475" s="17">
        <f>IF(B2475="","",B2475+(13*1000+224)/10000000)</f>
        <v/>
      </c>
      <c r="B2475" s="23">
        <f>IF(AND(IFERROR(N(INDEX(Clay_Offices!$A$2:$FZ$601,224,Sync!$C$12)),0)&gt;0,IFERROR(INDEX(Clay_Offices!$A$2:$FZ$601,224,Sync!$C$5)&amp;"","")&lt;&gt;"",OR(LEFT(IFERROR(INDEX(Clay_Offices!$A$2:$FZ$601,224,Sync!$C$5)&amp;"",""),6)&lt;&gt;"SAMPLE",Config!$B$19="Y")),IFERROR(N(INDEX(Clay_Offices!$A$2:$FZ$601,224,Sync!$C$12)),0),"")</f>
        <v/>
      </c>
      <c r="C2475" s="17">
        <f>IF(B2475="","","office")</f>
        <v/>
      </c>
      <c r="D2475" s="17">
        <f>IF(B2475="","",IFERROR(INDEX(Clay_Offices!$A$2:$FZ$601,224,Sync!$C$5)&amp;"",""))</f>
        <v/>
      </c>
      <c r="E2475" s="17">
        <f>IF(B2475="","",IFERROR(INDEX(Clay_Offices!$A$2:$FZ$601,224,Sync!$C$6)&amp;"",""))</f>
        <v/>
      </c>
      <c r="F2475" s="17">
        <f>IF(B2475="","","outreach_sent")</f>
        <v/>
      </c>
      <c r="G2475" s="17">
        <f>IF(B2475="","","")</f>
        <v/>
      </c>
      <c r="H2475" s="17">
        <f>IF(B2475="","","")</f>
        <v/>
      </c>
      <c r="I2475" s="17">
        <f>IF(B2475="","","")</f>
        <v/>
      </c>
      <c r="J2475" s="17">
        <f>IF(B2475="","","touch_2; "&amp;IFERROR(INDEX(Clay_Offices!$A$2:$FZ$601,224,Sync!$C$10)&amp;"","")&amp;"; "&amp;IFERROR(INDEX(Clay_Offices!$A$2:$FZ$601,224,Sync!$C$9)&amp;"",""))</f>
        <v/>
      </c>
      <c r="K2475" t="inlineStr">
        <is>
          <t>office outreach touch 2</t>
        </is>
      </c>
    </row>
    <row r="2476">
      <c r="A2476" s="17">
        <f>IF(B2476="","",B2476+(13*1000+225)/10000000)</f>
        <v/>
      </c>
      <c r="B2476" s="23">
        <f>IF(AND(IFERROR(N(INDEX(Clay_Offices!$A$2:$FZ$601,225,Sync!$C$12)),0)&gt;0,IFERROR(INDEX(Clay_Offices!$A$2:$FZ$601,225,Sync!$C$5)&amp;"","")&lt;&gt;"",OR(LEFT(IFERROR(INDEX(Clay_Offices!$A$2:$FZ$601,225,Sync!$C$5)&amp;"",""),6)&lt;&gt;"SAMPLE",Config!$B$19="Y")),IFERROR(N(INDEX(Clay_Offices!$A$2:$FZ$601,225,Sync!$C$12)),0),"")</f>
        <v/>
      </c>
      <c r="C2476" s="17">
        <f>IF(B2476="","","office")</f>
        <v/>
      </c>
      <c r="D2476" s="17">
        <f>IF(B2476="","",IFERROR(INDEX(Clay_Offices!$A$2:$FZ$601,225,Sync!$C$5)&amp;"",""))</f>
        <v/>
      </c>
      <c r="E2476" s="17">
        <f>IF(B2476="","",IFERROR(INDEX(Clay_Offices!$A$2:$FZ$601,225,Sync!$C$6)&amp;"",""))</f>
        <v/>
      </c>
      <c r="F2476" s="17">
        <f>IF(B2476="","","outreach_sent")</f>
        <v/>
      </c>
      <c r="G2476" s="17">
        <f>IF(B2476="","","")</f>
        <v/>
      </c>
      <c r="H2476" s="17">
        <f>IF(B2476="","","")</f>
        <v/>
      </c>
      <c r="I2476" s="17">
        <f>IF(B2476="","","")</f>
        <v/>
      </c>
      <c r="J2476" s="17">
        <f>IF(B2476="","","touch_2; "&amp;IFERROR(INDEX(Clay_Offices!$A$2:$FZ$601,225,Sync!$C$10)&amp;"","")&amp;"; "&amp;IFERROR(INDEX(Clay_Offices!$A$2:$FZ$601,225,Sync!$C$9)&amp;"",""))</f>
        <v/>
      </c>
      <c r="K2476" t="inlineStr">
        <is>
          <t>office outreach touch 2</t>
        </is>
      </c>
    </row>
    <row r="2477">
      <c r="A2477" s="17">
        <f>IF(B2477="","",B2477+(13*1000+226)/10000000)</f>
        <v/>
      </c>
      <c r="B2477" s="23">
        <f>IF(AND(IFERROR(N(INDEX(Clay_Offices!$A$2:$FZ$601,226,Sync!$C$12)),0)&gt;0,IFERROR(INDEX(Clay_Offices!$A$2:$FZ$601,226,Sync!$C$5)&amp;"","")&lt;&gt;"",OR(LEFT(IFERROR(INDEX(Clay_Offices!$A$2:$FZ$601,226,Sync!$C$5)&amp;"",""),6)&lt;&gt;"SAMPLE",Config!$B$19="Y")),IFERROR(N(INDEX(Clay_Offices!$A$2:$FZ$601,226,Sync!$C$12)),0),"")</f>
        <v/>
      </c>
      <c r="C2477" s="17">
        <f>IF(B2477="","","office")</f>
        <v/>
      </c>
      <c r="D2477" s="17">
        <f>IF(B2477="","",IFERROR(INDEX(Clay_Offices!$A$2:$FZ$601,226,Sync!$C$5)&amp;"",""))</f>
        <v/>
      </c>
      <c r="E2477" s="17">
        <f>IF(B2477="","",IFERROR(INDEX(Clay_Offices!$A$2:$FZ$601,226,Sync!$C$6)&amp;"",""))</f>
        <v/>
      </c>
      <c r="F2477" s="17">
        <f>IF(B2477="","","outreach_sent")</f>
        <v/>
      </c>
      <c r="G2477" s="17">
        <f>IF(B2477="","","")</f>
        <v/>
      </c>
      <c r="H2477" s="17">
        <f>IF(B2477="","","")</f>
        <v/>
      </c>
      <c r="I2477" s="17">
        <f>IF(B2477="","","")</f>
        <v/>
      </c>
      <c r="J2477" s="17">
        <f>IF(B2477="","","touch_2; "&amp;IFERROR(INDEX(Clay_Offices!$A$2:$FZ$601,226,Sync!$C$10)&amp;"","")&amp;"; "&amp;IFERROR(INDEX(Clay_Offices!$A$2:$FZ$601,226,Sync!$C$9)&amp;"",""))</f>
        <v/>
      </c>
      <c r="K2477" t="inlineStr">
        <is>
          <t>office outreach touch 2</t>
        </is>
      </c>
    </row>
    <row r="2478">
      <c r="A2478" s="17">
        <f>IF(B2478="","",B2478+(13*1000+227)/10000000)</f>
        <v/>
      </c>
      <c r="B2478" s="23">
        <f>IF(AND(IFERROR(N(INDEX(Clay_Offices!$A$2:$FZ$601,227,Sync!$C$12)),0)&gt;0,IFERROR(INDEX(Clay_Offices!$A$2:$FZ$601,227,Sync!$C$5)&amp;"","")&lt;&gt;"",OR(LEFT(IFERROR(INDEX(Clay_Offices!$A$2:$FZ$601,227,Sync!$C$5)&amp;"",""),6)&lt;&gt;"SAMPLE",Config!$B$19="Y")),IFERROR(N(INDEX(Clay_Offices!$A$2:$FZ$601,227,Sync!$C$12)),0),"")</f>
        <v/>
      </c>
      <c r="C2478" s="17">
        <f>IF(B2478="","","office")</f>
        <v/>
      </c>
      <c r="D2478" s="17">
        <f>IF(B2478="","",IFERROR(INDEX(Clay_Offices!$A$2:$FZ$601,227,Sync!$C$5)&amp;"",""))</f>
        <v/>
      </c>
      <c r="E2478" s="17">
        <f>IF(B2478="","",IFERROR(INDEX(Clay_Offices!$A$2:$FZ$601,227,Sync!$C$6)&amp;"",""))</f>
        <v/>
      </c>
      <c r="F2478" s="17">
        <f>IF(B2478="","","outreach_sent")</f>
        <v/>
      </c>
      <c r="G2478" s="17">
        <f>IF(B2478="","","")</f>
        <v/>
      </c>
      <c r="H2478" s="17">
        <f>IF(B2478="","","")</f>
        <v/>
      </c>
      <c r="I2478" s="17">
        <f>IF(B2478="","","")</f>
        <v/>
      </c>
      <c r="J2478" s="17">
        <f>IF(B2478="","","touch_2; "&amp;IFERROR(INDEX(Clay_Offices!$A$2:$FZ$601,227,Sync!$C$10)&amp;"","")&amp;"; "&amp;IFERROR(INDEX(Clay_Offices!$A$2:$FZ$601,227,Sync!$C$9)&amp;"",""))</f>
        <v/>
      </c>
      <c r="K2478" t="inlineStr">
        <is>
          <t>office outreach touch 2</t>
        </is>
      </c>
    </row>
    <row r="2479">
      <c r="A2479" s="17">
        <f>IF(B2479="","",B2479+(13*1000+228)/10000000)</f>
        <v/>
      </c>
      <c r="B2479" s="23">
        <f>IF(AND(IFERROR(N(INDEX(Clay_Offices!$A$2:$FZ$601,228,Sync!$C$12)),0)&gt;0,IFERROR(INDEX(Clay_Offices!$A$2:$FZ$601,228,Sync!$C$5)&amp;"","")&lt;&gt;"",OR(LEFT(IFERROR(INDEX(Clay_Offices!$A$2:$FZ$601,228,Sync!$C$5)&amp;"",""),6)&lt;&gt;"SAMPLE",Config!$B$19="Y")),IFERROR(N(INDEX(Clay_Offices!$A$2:$FZ$601,228,Sync!$C$12)),0),"")</f>
        <v/>
      </c>
      <c r="C2479" s="17">
        <f>IF(B2479="","","office")</f>
        <v/>
      </c>
      <c r="D2479" s="17">
        <f>IF(B2479="","",IFERROR(INDEX(Clay_Offices!$A$2:$FZ$601,228,Sync!$C$5)&amp;"",""))</f>
        <v/>
      </c>
      <c r="E2479" s="17">
        <f>IF(B2479="","",IFERROR(INDEX(Clay_Offices!$A$2:$FZ$601,228,Sync!$C$6)&amp;"",""))</f>
        <v/>
      </c>
      <c r="F2479" s="17">
        <f>IF(B2479="","","outreach_sent")</f>
        <v/>
      </c>
      <c r="G2479" s="17">
        <f>IF(B2479="","","")</f>
        <v/>
      </c>
      <c r="H2479" s="17">
        <f>IF(B2479="","","")</f>
        <v/>
      </c>
      <c r="I2479" s="17">
        <f>IF(B2479="","","")</f>
        <v/>
      </c>
      <c r="J2479" s="17">
        <f>IF(B2479="","","touch_2; "&amp;IFERROR(INDEX(Clay_Offices!$A$2:$FZ$601,228,Sync!$C$10)&amp;"","")&amp;"; "&amp;IFERROR(INDEX(Clay_Offices!$A$2:$FZ$601,228,Sync!$C$9)&amp;"",""))</f>
        <v/>
      </c>
      <c r="K2479" t="inlineStr">
        <is>
          <t>office outreach touch 2</t>
        </is>
      </c>
    </row>
    <row r="2480">
      <c r="A2480" s="17">
        <f>IF(B2480="","",B2480+(13*1000+229)/10000000)</f>
        <v/>
      </c>
      <c r="B2480" s="23">
        <f>IF(AND(IFERROR(N(INDEX(Clay_Offices!$A$2:$FZ$601,229,Sync!$C$12)),0)&gt;0,IFERROR(INDEX(Clay_Offices!$A$2:$FZ$601,229,Sync!$C$5)&amp;"","")&lt;&gt;"",OR(LEFT(IFERROR(INDEX(Clay_Offices!$A$2:$FZ$601,229,Sync!$C$5)&amp;"",""),6)&lt;&gt;"SAMPLE",Config!$B$19="Y")),IFERROR(N(INDEX(Clay_Offices!$A$2:$FZ$601,229,Sync!$C$12)),0),"")</f>
        <v/>
      </c>
      <c r="C2480" s="17">
        <f>IF(B2480="","","office")</f>
        <v/>
      </c>
      <c r="D2480" s="17">
        <f>IF(B2480="","",IFERROR(INDEX(Clay_Offices!$A$2:$FZ$601,229,Sync!$C$5)&amp;"",""))</f>
        <v/>
      </c>
      <c r="E2480" s="17">
        <f>IF(B2480="","",IFERROR(INDEX(Clay_Offices!$A$2:$FZ$601,229,Sync!$C$6)&amp;"",""))</f>
        <v/>
      </c>
      <c r="F2480" s="17">
        <f>IF(B2480="","","outreach_sent")</f>
        <v/>
      </c>
      <c r="G2480" s="17">
        <f>IF(B2480="","","")</f>
        <v/>
      </c>
      <c r="H2480" s="17">
        <f>IF(B2480="","","")</f>
        <v/>
      </c>
      <c r="I2480" s="17">
        <f>IF(B2480="","","")</f>
        <v/>
      </c>
      <c r="J2480" s="17">
        <f>IF(B2480="","","touch_2; "&amp;IFERROR(INDEX(Clay_Offices!$A$2:$FZ$601,229,Sync!$C$10)&amp;"","")&amp;"; "&amp;IFERROR(INDEX(Clay_Offices!$A$2:$FZ$601,229,Sync!$C$9)&amp;"",""))</f>
        <v/>
      </c>
      <c r="K2480" t="inlineStr">
        <is>
          <t>office outreach touch 2</t>
        </is>
      </c>
    </row>
    <row r="2481">
      <c r="A2481" s="17">
        <f>IF(B2481="","",B2481+(13*1000+230)/10000000)</f>
        <v/>
      </c>
      <c r="B2481" s="23">
        <f>IF(AND(IFERROR(N(INDEX(Clay_Offices!$A$2:$FZ$601,230,Sync!$C$12)),0)&gt;0,IFERROR(INDEX(Clay_Offices!$A$2:$FZ$601,230,Sync!$C$5)&amp;"","")&lt;&gt;"",OR(LEFT(IFERROR(INDEX(Clay_Offices!$A$2:$FZ$601,230,Sync!$C$5)&amp;"",""),6)&lt;&gt;"SAMPLE",Config!$B$19="Y")),IFERROR(N(INDEX(Clay_Offices!$A$2:$FZ$601,230,Sync!$C$12)),0),"")</f>
        <v/>
      </c>
      <c r="C2481" s="17">
        <f>IF(B2481="","","office")</f>
        <v/>
      </c>
      <c r="D2481" s="17">
        <f>IF(B2481="","",IFERROR(INDEX(Clay_Offices!$A$2:$FZ$601,230,Sync!$C$5)&amp;"",""))</f>
        <v/>
      </c>
      <c r="E2481" s="17">
        <f>IF(B2481="","",IFERROR(INDEX(Clay_Offices!$A$2:$FZ$601,230,Sync!$C$6)&amp;"",""))</f>
        <v/>
      </c>
      <c r="F2481" s="17">
        <f>IF(B2481="","","outreach_sent")</f>
        <v/>
      </c>
      <c r="G2481" s="17">
        <f>IF(B2481="","","")</f>
        <v/>
      </c>
      <c r="H2481" s="17">
        <f>IF(B2481="","","")</f>
        <v/>
      </c>
      <c r="I2481" s="17">
        <f>IF(B2481="","","")</f>
        <v/>
      </c>
      <c r="J2481" s="17">
        <f>IF(B2481="","","touch_2; "&amp;IFERROR(INDEX(Clay_Offices!$A$2:$FZ$601,230,Sync!$C$10)&amp;"","")&amp;"; "&amp;IFERROR(INDEX(Clay_Offices!$A$2:$FZ$601,230,Sync!$C$9)&amp;"",""))</f>
        <v/>
      </c>
      <c r="K2481" t="inlineStr">
        <is>
          <t>office outreach touch 2</t>
        </is>
      </c>
    </row>
    <row r="2482">
      <c r="A2482" s="17">
        <f>IF(B2482="","",B2482+(13*1000+231)/10000000)</f>
        <v/>
      </c>
      <c r="B2482" s="23">
        <f>IF(AND(IFERROR(N(INDEX(Clay_Offices!$A$2:$FZ$601,231,Sync!$C$12)),0)&gt;0,IFERROR(INDEX(Clay_Offices!$A$2:$FZ$601,231,Sync!$C$5)&amp;"","")&lt;&gt;"",OR(LEFT(IFERROR(INDEX(Clay_Offices!$A$2:$FZ$601,231,Sync!$C$5)&amp;"",""),6)&lt;&gt;"SAMPLE",Config!$B$19="Y")),IFERROR(N(INDEX(Clay_Offices!$A$2:$FZ$601,231,Sync!$C$12)),0),"")</f>
        <v/>
      </c>
      <c r="C2482" s="17">
        <f>IF(B2482="","","office")</f>
        <v/>
      </c>
      <c r="D2482" s="17">
        <f>IF(B2482="","",IFERROR(INDEX(Clay_Offices!$A$2:$FZ$601,231,Sync!$C$5)&amp;"",""))</f>
        <v/>
      </c>
      <c r="E2482" s="17">
        <f>IF(B2482="","",IFERROR(INDEX(Clay_Offices!$A$2:$FZ$601,231,Sync!$C$6)&amp;"",""))</f>
        <v/>
      </c>
      <c r="F2482" s="17">
        <f>IF(B2482="","","outreach_sent")</f>
        <v/>
      </c>
      <c r="G2482" s="17">
        <f>IF(B2482="","","")</f>
        <v/>
      </c>
      <c r="H2482" s="17">
        <f>IF(B2482="","","")</f>
        <v/>
      </c>
      <c r="I2482" s="17">
        <f>IF(B2482="","","")</f>
        <v/>
      </c>
      <c r="J2482" s="17">
        <f>IF(B2482="","","touch_2; "&amp;IFERROR(INDEX(Clay_Offices!$A$2:$FZ$601,231,Sync!$C$10)&amp;"","")&amp;"; "&amp;IFERROR(INDEX(Clay_Offices!$A$2:$FZ$601,231,Sync!$C$9)&amp;"",""))</f>
        <v/>
      </c>
      <c r="K2482" t="inlineStr">
        <is>
          <t>office outreach touch 2</t>
        </is>
      </c>
    </row>
    <row r="2483">
      <c r="A2483" s="17">
        <f>IF(B2483="","",B2483+(13*1000+232)/10000000)</f>
        <v/>
      </c>
      <c r="B2483" s="23">
        <f>IF(AND(IFERROR(N(INDEX(Clay_Offices!$A$2:$FZ$601,232,Sync!$C$12)),0)&gt;0,IFERROR(INDEX(Clay_Offices!$A$2:$FZ$601,232,Sync!$C$5)&amp;"","")&lt;&gt;"",OR(LEFT(IFERROR(INDEX(Clay_Offices!$A$2:$FZ$601,232,Sync!$C$5)&amp;"",""),6)&lt;&gt;"SAMPLE",Config!$B$19="Y")),IFERROR(N(INDEX(Clay_Offices!$A$2:$FZ$601,232,Sync!$C$12)),0),"")</f>
        <v/>
      </c>
      <c r="C2483" s="17">
        <f>IF(B2483="","","office")</f>
        <v/>
      </c>
      <c r="D2483" s="17">
        <f>IF(B2483="","",IFERROR(INDEX(Clay_Offices!$A$2:$FZ$601,232,Sync!$C$5)&amp;"",""))</f>
        <v/>
      </c>
      <c r="E2483" s="17">
        <f>IF(B2483="","",IFERROR(INDEX(Clay_Offices!$A$2:$FZ$601,232,Sync!$C$6)&amp;"",""))</f>
        <v/>
      </c>
      <c r="F2483" s="17">
        <f>IF(B2483="","","outreach_sent")</f>
        <v/>
      </c>
      <c r="G2483" s="17">
        <f>IF(B2483="","","")</f>
        <v/>
      </c>
      <c r="H2483" s="17">
        <f>IF(B2483="","","")</f>
        <v/>
      </c>
      <c r="I2483" s="17">
        <f>IF(B2483="","","")</f>
        <v/>
      </c>
      <c r="J2483" s="17">
        <f>IF(B2483="","","touch_2; "&amp;IFERROR(INDEX(Clay_Offices!$A$2:$FZ$601,232,Sync!$C$10)&amp;"","")&amp;"; "&amp;IFERROR(INDEX(Clay_Offices!$A$2:$FZ$601,232,Sync!$C$9)&amp;"",""))</f>
        <v/>
      </c>
      <c r="K2483" t="inlineStr">
        <is>
          <t>office outreach touch 2</t>
        </is>
      </c>
    </row>
    <row r="2484">
      <c r="A2484" s="17">
        <f>IF(B2484="","",B2484+(13*1000+233)/10000000)</f>
        <v/>
      </c>
      <c r="B2484" s="23">
        <f>IF(AND(IFERROR(N(INDEX(Clay_Offices!$A$2:$FZ$601,233,Sync!$C$12)),0)&gt;0,IFERROR(INDEX(Clay_Offices!$A$2:$FZ$601,233,Sync!$C$5)&amp;"","")&lt;&gt;"",OR(LEFT(IFERROR(INDEX(Clay_Offices!$A$2:$FZ$601,233,Sync!$C$5)&amp;"",""),6)&lt;&gt;"SAMPLE",Config!$B$19="Y")),IFERROR(N(INDEX(Clay_Offices!$A$2:$FZ$601,233,Sync!$C$12)),0),"")</f>
        <v/>
      </c>
      <c r="C2484" s="17">
        <f>IF(B2484="","","office")</f>
        <v/>
      </c>
      <c r="D2484" s="17">
        <f>IF(B2484="","",IFERROR(INDEX(Clay_Offices!$A$2:$FZ$601,233,Sync!$C$5)&amp;"",""))</f>
        <v/>
      </c>
      <c r="E2484" s="17">
        <f>IF(B2484="","",IFERROR(INDEX(Clay_Offices!$A$2:$FZ$601,233,Sync!$C$6)&amp;"",""))</f>
        <v/>
      </c>
      <c r="F2484" s="17">
        <f>IF(B2484="","","outreach_sent")</f>
        <v/>
      </c>
      <c r="G2484" s="17">
        <f>IF(B2484="","","")</f>
        <v/>
      </c>
      <c r="H2484" s="17">
        <f>IF(B2484="","","")</f>
        <v/>
      </c>
      <c r="I2484" s="17">
        <f>IF(B2484="","","")</f>
        <v/>
      </c>
      <c r="J2484" s="17">
        <f>IF(B2484="","","touch_2; "&amp;IFERROR(INDEX(Clay_Offices!$A$2:$FZ$601,233,Sync!$C$10)&amp;"","")&amp;"; "&amp;IFERROR(INDEX(Clay_Offices!$A$2:$FZ$601,233,Sync!$C$9)&amp;"",""))</f>
        <v/>
      </c>
      <c r="K2484" t="inlineStr">
        <is>
          <t>office outreach touch 2</t>
        </is>
      </c>
    </row>
    <row r="2485">
      <c r="A2485" s="17">
        <f>IF(B2485="","",B2485+(13*1000+234)/10000000)</f>
        <v/>
      </c>
      <c r="B2485" s="23">
        <f>IF(AND(IFERROR(N(INDEX(Clay_Offices!$A$2:$FZ$601,234,Sync!$C$12)),0)&gt;0,IFERROR(INDEX(Clay_Offices!$A$2:$FZ$601,234,Sync!$C$5)&amp;"","")&lt;&gt;"",OR(LEFT(IFERROR(INDEX(Clay_Offices!$A$2:$FZ$601,234,Sync!$C$5)&amp;"",""),6)&lt;&gt;"SAMPLE",Config!$B$19="Y")),IFERROR(N(INDEX(Clay_Offices!$A$2:$FZ$601,234,Sync!$C$12)),0),"")</f>
        <v/>
      </c>
      <c r="C2485" s="17">
        <f>IF(B2485="","","office")</f>
        <v/>
      </c>
      <c r="D2485" s="17">
        <f>IF(B2485="","",IFERROR(INDEX(Clay_Offices!$A$2:$FZ$601,234,Sync!$C$5)&amp;"",""))</f>
        <v/>
      </c>
      <c r="E2485" s="17">
        <f>IF(B2485="","",IFERROR(INDEX(Clay_Offices!$A$2:$FZ$601,234,Sync!$C$6)&amp;"",""))</f>
        <v/>
      </c>
      <c r="F2485" s="17">
        <f>IF(B2485="","","outreach_sent")</f>
        <v/>
      </c>
      <c r="G2485" s="17">
        <f>IF(B2485="","","")</f>
        <v/>
      </c>
      <c r="H2485" s="17">
        <f>IF(B2485="","","")</f>
        <v/>
      </c>
      <c r="I2485" s="17">
        <f>IF(B2485="","","")</f>
        <v/>
      </c>
      <c r="J2485" s="17">
        <f>IF(B2485="","","touch_2; "&amp;IFERROR(INDEX(Clay_Offices!$A$2:$FZ$601,234,Sync!$C$10)&amp;"","")&amp;"; "&amp;IFERROR(INDEX(Clay_Offices!$A$2:$FZ$601,234,Sync!$C$9)&amp;"",""))</f>
        <v/>
      </c>
      <c r="K2485" t="inlineStr">
        <is>
          <t>office outreach touch 2</t>
        </is>
      </c>
    </row>
    <row r="2486">
      <c r="A2486" s="17">
        <f>IF(B2486="","",B2486+(13*1000+235)/10000000)</f>
        <v/>
      </c>
      <c r="B2486" s="23">
        <f>IF(AND(IFERROR(N(INDEX(Clay_Offices!$A$2:$FZ$601,235,Sync!$C$12)),0)&gt;0,IFERROR(INDEX(Clay_Offices!$A$2:$FZ$601,235,Sync!$C$5)&amp;"","")&lt;&gt;"",OR(LEFT(IFERROR(INDEX(Clay_Offices!$A$2:$FZ$601,235,Sync!$C$5)&amp;"",""),6)&lt;&gt;"SAMPLE",Config!$B$19="Y")),IFERROR(N(INDEX(Clay_Offices!$A$2:$FZ$601,235,Sync!$C$12)),0),"")</f>
        <v/>
      </c>
      <c r="C2486" s="17">
        <f>IF(B2486="","","office")</f>
        <v/>
      </c>
      <c r="D2486" s="17">
        <f>IF(B2486="","",IFERROR(INDEX(Clay_Offices!$A$2:$FZ$601,235,Sync!$C$5)&amp;"",""))</f>
        <v/>
      </c>
      <c r="E2486" s="17">
        <f>IF(B2486="","",IFERROR(INDEX(Clay_Offices!$A$2:$FZ$601,235,Sync!$C$6)&amp;"",""))</f>
        <v/>
      </c>
      <c r="F2486" s="17">
        <f>IF(B2486="","","outreach_sent")</f>
        <v/>
      </c>
      <c r="G2486" s="17">
        <f>IF(B2486="","","")</f>
        <v/>
      </c>
      <c r="H2486" s="17">
        <f>IF(B2486="","","")</f>
        <v/>
      </c>
      <c r="I2486" s="17">
        <f>IF(B2486="","","")</f>
        <v/>
      </c>
      <c r="J2486" s="17">
        <f>IF(B2486="","","touch_2; "&amp;IFERROR(INDEX(Clay_Offices!$A$2:$FZ$601,235,Sync!$C$10)&amp;"","")&amp;"; "&amp;IFERROR(INDEX(Clay_Offices!$A$2:$FZ$601,235,Sync!$C$9)&amp;"",""))</f>
        <v/>
      </c>
      <c r="K2486" t="inlineStr">
        <is>
          <t>office outreach touch 2</t>
        </is>
      </c>
    </row>
    <row r="2487">
      <c r="A2487" s="17">
        <f>IF(B2487="","",B2487+(13*1000+236)/10000000)</f>
        <v/>
      </c>
      <c r="B2487" s="23">
        <f>IF(AND(IFERROR(N(INDEX(Clay_Offices!$A$2:$FZ$601,236,Sync!$C$12)),0)&gt;0,IFERROR(INDEX(Clay_Offices!$A$2:$FZ$601,236,Sync!$C$5)&amp;"","")&lt;&gt;"",OR(LEFT(IFERROR(INDEX(Clay_Offices!$A$2:$FZ$601,236,Sync!$C$5)&amp;"",""),6)&lt;&gt;"SAMPLE",Config!$B$19="Y")),IFERROR(N(INDEX(Clay_Offices!$A$2:$FZ$601,236,Sync!$C$12)),0),"")</f>
        <v/>
      </c>
      <c r="C2487" s="17">
        <f>IF(B2487="","","office")</f>
        <v/>
      </c>
      <c r="D2487" s="17">
        <f>IF(B2487="","",IFERROR(INDEX(Clay_Offices!$A$2:$FZ$601,236,Sync!$C$5)&amp;"",""))</f>
        <v/>
      </c>
      <c r="E2487" s="17">
        <f>IF(B2487="","",IFERROR(INDEX(Clay_Offices!$A$2:$FZ$601,236,Sync!$C$6)&amp;"",""))</f>
        <v/>
      </c>
      <c r="F2487" s="17">
        <f>IF(B2487="","","outreach_sent")</f>
        <v/>
      </c>
      <c r="G2487" s="17">
        <f>IF(B2487="","","")</f>
        <v/>
      </c>
      <c r="H2487" s="17">
        <f>IF(B2487="","","")</f>
        <v/>
      </c>
      <c r="I2487" s="17">
        <f>IF(B2487="","","")</f>
        <v/>
      </c>
      <c r="J2487" s="17">
        <f>IF(B2487="","","touch_2; "&amp;IFERROR(INDEX(Clay_Offices!$A$2:$FZ$601,236,Sync!$C$10)&amp;"","")&amp;"; "&amp;IFERROR(INDEX(Clay_Offices!$A$2:$FZ$601,236,Sync!$C$9)&amp;"",""))</f>
        <v/>
      </c>
      <c r="K2487" t="inlineStr">
        <is>
          <t>office outreach touch 2</t>
        </is>
      </c>
    </row>
    <row r="2488">
      <c r="A2488" s="17">
        <f>IF(B2488="","",B2488+(13*1000+237)/10000000)</f>
        <v/>
      </c>
      <c r="B2488" s="23">
        <f>IF(AND(IFERROR(N(INDEX(Clay_Offices!$A$2:$FZ$601,237,Sync!$C$12)),0)&gt;0,IFERROR(INDEX(Clay_Offices!$A$2:$FZ$601,237,Sync!$C$5)&amp;"","")&lt;&gt;"",OR(LEFT(IFERROR(INDEX(Clay_Offices!$A$2:$FZ$601,237,Sync!$C$5)&amp;"",""),6)&lt;&gt;"SAMPLE",Config!$B$19="Y")),IFERROR(N(INDEX(Clay_Offices!$A$2:$FZ$601,237,Sync!$C$12)),0),"")</f>
        <v/>
      </c>
      <c r="C2488" s="17">
        <f>IF(B2488="","","office")</f>
        <v/>
      </c>
      <c r="D2488" s="17">
        <f>IF(B2488="","",IFERROR(INDEX(Clay_Offices!$A$2:$FZ$601,237,Sync!$C$5)&amp;"",""))</f>
        <v/>
      </c>
      <c r="E2488" s="17">
        <f>IF(B2488="","",IFERROR(INDEX(Clay_Offices!$A$2:$FZ$601,237,Sync!$C$6)&amp;"",""))</f>
        <v/>
      </c>
      <c r="F2488" s="17">
        <f>IF(B2488="","","outreach_sent")</f>
        <v/>
      </c>
      <c r="G2488" s="17">
        <f>IF(B2488="","","")</f>
        <v/>
      </c>
      <c r="H2488" s="17">
        <f>IF(B2488="","","")</f>
        <v/>
      </c>
      <c r="I2488" s="17">
        <f>IF(B2488="","","")</f>
        <v/>
      </c>
      <c r="J2488" s="17">
        <f>IF(B2488="","","touch_2; "&amp;IFERROR(INDEX(Clay_Offices!$A$2:$FZ$601,237,Sync!$C$10)&amp;"","")&amp;"; "&amp;IFERROR(INDEX(Clay_Offices!$A$2:$FZ$601,237,Sync!$C$9)&amp;"",""))</f>
        <v/>
      </c>
      <c r="K2488" t="inlineStr">
        <is>
          <t>office outreach touch 2</t>
        </is>
      </c>
    </row>
    <row r="2489">
      <c r="A2489" s="17">
        <f>IF(B2489="","",B2489+(13*1000+238)/10000000)</f>
        <v/>
      </c>
      <c r="B2489" s="23">
        <f>IF(AND(IFERROR(N(INDEX(Clay_Offices!$A$2:$FZ$601,238,Sync!$C$12)),0)&gt;0,IFERROR(INDEX(Clay_Offices!$A$2:$FZ$601,238,Sync!$C$5)&amp;"","")&lt;&gt;"",OR(LEFT(IFERROR(INDEX(Clay_Offices!$A$2:$FZ$601,238,Sync!$C$5)&amp;"",""),6)&lt;&gt;"SAMPLE",Config!$B$19="Y")),IFERROR(N(INDEX(Clay_Offices!$A$2:$FZ$601,238,Sync!$C$12)),0),"")</f>
        <v/>
      </c>
      <c r="C2489" s="17">
        <f>IF(B2489="","","office")</f>
        <v/>
      </c>
      <c r="D2489" s="17">
        <f>IF(B2489="","",IFERROR(INDEX(Clay_Offices!$A$2:$FZ$601,238,Sync!$C$5)&amp;"",""))</f>
        <v/>
      </c>
      <c r="E2489" s="17">
        <f>IF(B2489="","",IFERROR(INDEX(Clay_Offices!$A$2:$FZ$601,238,Sync!$C$6)&amp;"",""))</f>
        <v/>
      </c>
      <c r="F2489" s="17">
        <f>IF(B2489="","","outreach_sent")</f>
        <v/>
      </c>
      <c r="G2489" s="17">
        <f>IF(B2489="","","")</f>
        <v/>
      </c>
      <c r="H2489" s="17">
        <f>IF(B2489="","","")</f>
        <v/>
      </c>
      <c r="I2489" s="17">
        <f>IF(B2489="","","")</f>
        <v/>
      </c>
      <c r="J2489" s="17">
        <f>IF(B2489="","","touch_2; "&amp;IFERROR(INDEX(Clay_Offices!$A$2:$FZ$601,238,Sync!$C$10)&amp;"","")&amp;"; "&amp;IFERROR(INDEX(Clay_Offices!$A$2:$FZ$601,238,Sync!$C$9)&amp;"",""))</f>
        <v/>
      </c>
      <c r="K2489" t="inlineStr">
        <is>
          <t>office outreach touch 2</t>
        </is>
      </c>
    </row>
    <row r="2490">
      <c r="A2490" s="17">
        <f>IF(B2490="","",B2490+(13*1000+239)/10000000)</f>
        <v/>
      </c>
      <c r="B2490" s="23">
        <f>IF(AND(IFERROR(N(INDEX(Clay_Offices!$A$2:$FZ$601,239,Sync!$C$12)),0)&gt;0,IFERROR(INDEX(Clay_Offices!$A$2:$FZ$601,239,Sync!$C$5)&amp;"","")&lt;&gt;"",OR(LEFT(IFERROR(INDEX(Clay_Offices!$A$2:$FZ$601,239,Sync!$C$5)&amp;"",""),6)&lt;&gt;"SAMPLE",Config!$B$19="Y")),IFERROR(N(INDEX(Clay_Offices!$A$2:$FZ$601,239,Sync!$C$12)),0),"")</f>
        <v/>
      </c>
      <c r="C2490" s="17">
        <f>IF(B2490="","","office")</f>
        <v/>
      </c>
      <c r="D2490" s="17">
        <f>IF(B2490="","",IFERROR(INDEX(Clay_Offices!$A$2:$FZ$601,239,Sync!$C$5)&amp;"",""))</f>
        <v/>
      </c>
      <c r="E2490" s="17">
        <f>IF(B2490="","",IFERROR(INDEX(Clay_Offices!$A$2:$FZ$601,239,Sync!$C$6)&amp;"",""))</f>
        <v/>
      </c>
      <c r="F2490" s="17">
        <f>IF(B2490="","","outreach_sent")</f>
        <v/>
      </c>
      <c r="G2490" s="17">
        <f>IF(B2490="","","")</f>
        <v/>
      </c>
      <c r="H2490" s="17">
        <f>IF(B2490="","","")</f>
        <v/>
      </c>
      <c r="I2490" s="17">
        <f>IF(B2490="","","")</f>
        <v/>
      </c>
      <c r="J2490" s="17">
        <f>IF(B2490="","","touch_2; "&amp;IFERROR(INDEX(Clay_Offices!$A$2:$FZ$601,239,Sync!$C$10)&amp;"","")&amp;"; "&amp;IFERROR(INDEX(Clay_Offices!$A$2:$FZ$601,239,Sync!$C$9)&amp;"",""))</f>
        <v/>
      </c>
      <c r="K2490" t="inlineStr">
        <is>
          <t>office outreach touch 2</t>
        </is>
      </c>
    </row>
    <row r="2491">
      <c r="A2491" s="17">
        <f>IF(B2491="","",B2491+(13*1000+240)/10000000)</f>
        <v/>
      </c>
      <c r="B2491" s="23">
        <f>IF(AND(IFERROR(N(INDEX(Clay_Offices!$A$2:$FZ$601,240,Sync!$C$12)),0)&gt;0,IFERROR(INDEX(Clay_Offices!$A$2:$FZ$601,240,Sync!$C$5)&amp;"","")&lt;&gt;"",OR(LEFT(IFERROR(INDEX(Clay_Offices!$A$2:$FZ$601,240,Sync!$C$5)&amp;"",""),6)&lt;&gt;"SAMPLE",Config!$B$19="Y")),IFERROR(N(INDEX(Clay_Offices!$A$2:$FZ$601,240,Sync!$C$12)),0),"")</f>
        <v/>
      </c>
      <c r="C2491" s="17">
        <f>IF(B2491="","","office")</f>
        <v/>
      </c>
      <c r="D2491" s="17">
        <f>IF(B2491="","",IFERROR(INDEX(Clay_Offices!$A$2:$FZ$601,240,Sync!$C$5)&amp;"",""))</f>
        <v/>
      </c>
      <c r="E2491" s="17">
        <f>IF(B2491="","",IFERROR(INDEX(Clay_Offices!$A$2:$FZ$601,240,Sync!$C$6)&amp;"",""))</f>
        <v/>
      </c>
      <c r="F2491" s="17">
        <f>IF(B2491="","","outreach_sent")</f>
        <v/>
      </c>
      <c r="G2491" s="17">
        <f>IF(B2491="","","")</f>
        <v/>
      </c>
      <c r="H2491" s="17">
        <f>IF(B2491="","","")</f>
        <v/>
      </c>
      <c r="I2491" s="17">
        <f>IF(B2491="","","")</f>
        <v/>
      </c>
      <c r="J2491" s="17">
        <f>IF(B2491="","","touch_2; "&amp;IFERROR(INDEX(Clay_Offices!$A$2:$FZ$601,240,Sync!$C$10)&amp;"","")&amp;"; "&amp;IFERROR(INDEX(Clay_Offices!$A$2:$FZ$601,240,Sync!$C$9)&amp;"",""))</f>
        <v/>
      </c>
      <c r="K2491" t="inlineStr">
        <is>
          <t>office outreach touch 2</t>
        </is>
      </c>
    </row>
    <row r="2492">
      <c r="A2492" s="17">
        <f>IF(B2492="","",B2492+(13*1000+241)/10000000)</f>
        <v/>
      </c>
      <c r="B2492" s="23">
        <f>IF(AND(IFERROR(N(INDEX(Clay_Offices!$A$2:$FZ$601,241,Sync!$C$12)),0)&gt;0,IFERROR(INDEX(Clay_Offices!$A$2:$FZ$601,241,Sync!$C$5)&amp;"","")&lt;&gt;"",OR(LEFT(IFERROR(INDEX(Clay_Offices!$A$2:$FZ$601,241,Sync!$C$5)&amp;"",""),6)&lt;&gt;"SAMPLE",Config!$B$19="Y")),IFERROR(N(INDEX(Clay_Offices!$A$2:$FZ$601,241,Sync!$C$12)),0),"")</f>
        <v/>
      </c>
      <c r="C2492" s="17">
        <f>IF(B2492="","","office")</f>
        <v/>
      </c>
      <c r="D2492" s="17">
        <f>IF(B2492="","",IFERROR(INDEX(Clay_Offices!$A$2:$FZ$601,241,Sync!$C$5)&amp;"",""))</f>
        <v/>
      </c>
      <c r="E2492" s="17">
        <f>IF(B2492="","",IFERROR(INDEX(Clay_Offices!$A$2:$FZ$601,241,Sync!$C$6)&amp;"",""))</f>
        <v/>
      </c>
      <c r="F2492" s="17">
        <f>IF(B2492="","","outreach_sent")</f>
        <v/>
      </c>
      <c r="G2492" s="17">
        <f>IF(B2492="","","")</f>
        <v/>
      </c>
      <c r="H2492" s="17">
        <f>IF(B2492="","","")</f>
        <v/>
      </c>
      <c r="I2492" s="17">
        <f>IF(B2492="","","")</f>
        <v/>
      </c>
      <c r="J2492" s="17">
        <f>IF(B2492="","","touch_2; "&amp;IFERROR(INDEX(Clay_Offices!$A$2:$FZ$601,241,Sync!$C$10)&amp;"","")&amp;"; "&amp;IFERROR(INDEX(Clay_Offices!$A$2:$FZ$601,241,Sync!$C$9)&amp;"",""))</f>
        <v/>
      </c>
      <c r="K2492" t="inlineStr">
        <is>
          <t>office outreach touch 2</t>
        </is>
      </c>
    </row>
    <row r="2493">
      <c r="A2493" s="17">
        <f>IF(B2493="","",B2493+(13*1000+242)/10000000)</f>
        <v/>
      </c>
      <c r="B2493" s="23">
        <f>IF(AND(IFERROR(N(INDEX(Clay_Offices!$A$2:$FZ$601,242,Sync!$C$12)),0)&gt;0,IFERROR(INDEX(Clay_Offices!$A$2:$FZ$601,242,Sync!$C$5)&amp;"","")&lt;&gt;"",OR(LEFT(IFERROR(INDEX(Clay_Offices!$A$2:$FZ$601,242,Sync!$C$5)&amp;"",""),6)&lt;&gt;"SAMPLE",Config!$B$19="Y")),IFERROR(N(INDEX(Clay_Offices!$A$2:$FZ$601,242,Sync!$C$12)),0),"")</f>
        <v/>
      </c>
      <c r="C2493" s="17">
        <f>IF(B2493="","","office")</f>
        <v/>
      </c>
      <c r="D2493" s="17">
        <f>IF(B2493="","",IFERROR(INDEX(Clay_Offices!$A$2:$FZ$601,242,Sync!$C$5)&amp;"",""))</f>
        <v/>
      </c>
      <c r="E2493" s="17">
        <f>IF(B2493="","",IFERROR(INDEX(Clay_Offices!$A$2:$FZ$601,242,Sync!$C$6)&amp;"",""))</f>
        <v/>
      </c>
      <c r="F2493" s="17">
        <f>IF(B2493="","","outreach_sent")</f>
        <v/>
      </c>
      <c r="G2493" s="17">
        <f>IF(B2493="","","")</f>
        <v/>
      </c>
      <c r="H2493" s="17">
        <f>IF(B2493="","","")</f>
        <v/>
      </c>
      <c r="I2493" s="17">
        <f>IF(B2493="","","")</f>
        <v/>
      </c>
      <c r="J2493" s="17">
        <f>IF(B2493="","","touch_2; "&amp;IFERROR(INDEX(Clay_Offices!$A$2:$FZ$601,242,Sync!$C$10)&amp;"","")&amp;"; "&amp;IFERROR(INDEX(Clay_Offices!$A$2:$FZ$601,242,Sync!$C$9)&amp;"",""))</f>
        <v/>
      </c>
      <c r="K2493" t="inlineStr">
        <is>
          <t>office outreach touch 2</t>
        </is>
      </c>
    </row>
    <row r="2494">
      <c r="A2494" s="17">
        <f>IF(B2494="","",B2494+(13*1000+243)/10000000)</f>
        <v/>
      </c>
      <c r="B2494" s="23">
        <f>IF(AND(IFERROR(N(INDEX(Clay_Offices!$A$2:$FZ$601,243,Sync!$C$12)),0)&gt;0,IFERROR(INDEX(Clay_Offices!$A$2:$FZ$601,243,Sync!$C$5)&amp;"","")&lt;&gt;"",OR(LEFT(IFERROR(INDEX(Clay_Offices!$A$2:$FZ$601,243,Sync!$C$5)&amp;"",""),6)&lt;&gt;"SAMPLE",Config!$B$19="Y")),IFERROR(N(INDEX(Clay_Offices!$A$2:$FZ$601,243,Sync!$C$12)),0),"")</f>
        <v/>
      </c>
      <c r="C2494" s="17">
        <f>IF(B2494="","","office")</f>
        <v/>
      </c>
      <c r="D2494" s="17">
        <f>IF(B2494="","",IFERROR(INDEX(Clay_Offices!$A$2:$FZ$601,243,Sync!$C$5)&amp;"",""))</f>
        <v/>
      </c>
      <c r="E2494" s="17">
        <f>IF(B2494="","",IFERROR(INDEX(Clay_Offices!$A$2:$FZ$601,243,Sync!$C$6)&amp;"",""))</f>
        <v/>
      </c>
      <c r="F2494" s="17">
        <f>IF(B2494="","","outreach_sent")</f>
        <v/>
      </c>
      <c r="G2494" s="17">
        <f>IF(B2494="","","")</f>
        <v/>
      </c>
      <c r="H2494" s="17">
        <f>IF(B2494="","","")</f>
        <v/>
      </c>
      <c r="I2494" s="17">
        <f>IF(B2494="","","")</f>
        <v/>
      </c>
      <c r="J2494" s="17">
        <f>IF(B2494="","","touch_2; "&amp;IFERROR(INDEX(Clay_Offices!$A$2:$FZ$601,243,Sync!$C$10)&amp;"","")&amp;"; "&amp;IFERROR(INDEX(Clay_Offices!$A$2:$FZ$601,243,Sync!$C$9)&amp;"",""))</f>
        <v/>
      </c>
      <c r="K2494" t="inlineStr">
        <is>
          <t>office outreach touch 2</t>
        </is>
      </c>
    </row>
    <row r="2495">
      <c r="A2495" s="17">
        <f>IF(B2495="","",B2495+(13*1000+244)/10000000)</f>
        <v/>
      </c>
      <c r="B2495" s="23">
        <f>IF(AND(IFERROR(N(INDEX(Clay_Offices!$A$2:$FZ$601,244,Sync!$C$12)),0)&gt;0,IFERROR(INDEX(Clay_Offices!$A$2:$FZ$601,244,Sync!$C$5)&amp;"","")&lt;&gt;"",OR(LEFT(IFERROR(INDEX(Clay_Offices!$A$2:$FZ$601,244,Sync!$C$5)&amp;"",""),6)&lt;&gt;"SAMPLE",Config!$B$19="Y")),IFERROR(N(INDEX(Clay_Offices!$A$2:$FZ$601,244,Sync!$C$12)),0),"")</f>
        <v/>
      </c>
      <c r="C2495" s="17">
        <f>IF(B2495="","","office")</f>
        <v/>
      </c>
      <c r="D2495" s="17">
        <f>IF(B2495="","",IFERROR(INDEX(Clay_Offices!$A$2:$FZ$601,244,Sync!$C$5)&amp;"",""))</f>
        <v/>
      </c>
      <c r="E2495" s="17">
        <f>IF(B2495="","",IFERROR(INDEX(Clay_Offices!$A$2:$FZ$601,244,Sync!$C$6)&amp;"",""))</f>
        <v/>
      </c>
      <c r="F2495" s="17">
        <f>IF(B2495="","","outreach_sent")</f>
        <v/>
      </c>
      <c r="G2495" s="17">
        <f>IF(B2495="","","")</f>
        <v/>
      </c>
      <c r="H2495" s="17">
        <f>IF(B2495="","","")</f>
        <v/>
      </c>
      <c r="I2495" s="17">
        <f>IF(B2495="","","")</f>
        <v/>
      </c>
      <c r="J2495" s="17">
        <f>IF(B2495="","","touch_2; "&amp;IFERROR(INDEX(Clay_Offices!$A$2:$FZ$601,244,Sync!$C$10)&amp;"","")&amp;"; "&amp;IFERROR(INDEX(Clay_Offices!$A$2:$FZ$601,244,Sync!$C$9)&amp;"",""))</f>
        <v/>
      </c>
      <c r="K2495" t="inlineStr">
        <is>
          <t>office outreach touch 2</t>
        </is>
      </c>
    </row>
    <row r="2496">
      <c r="A2496" s="17">
        <f>IF(B2496="","",B2496+(13*1000+245)/10000000)</f>
        <v/>
      </c>
      <c r="B2496" s="23">
        <f>IF(AND(IFERROR(N(INDEX(Clay_Offices!$A$2:$FZ$601,245,Sync!$C$12)),0)&gt;0,IFERROR(INDEX(Clay_Offices!$A$2:$FZ$601,245,Sync!$C$5)&amp;"","")&lt;&gt;"",OR(LEFT(IFERROR(INDEX(Clay_Offices!$A$2:$FZ$601,245,Sync!$C$5)&amp;"",""),6)&lt;&gt;"SAMPLE",Config!$B$19="Y")),IFERROR(N(INDEX(Clay_Offices!$A$2:$FZ$601,245,Sync!$C$12)),0),"")</f>
        <v/>
      </c>
      <c r="C2496" s="17">
        <f>IF(B2496="","","office")</f>
        <v/>
      </c>
      <c r="D2496" s="17">
        <f>IF(B2496="","",IFERROR(INDEX(Clay_Offices!$A$2:$FZ$601,245,Sync!$C$5)&amp;"",""))</f>
        <v/>
      </c>
      <c r="E2496" s="17">
        <f>IF(B2496="","",IFERROR(INDEX(Clay_Offices!$A$2:$FZ$601,245,Sync!$C$6)&amp;"",""))</f>
        <v/>
      </c>
      <c r="F2496" s="17">
        <f>IF(B2496="","","outreach_sent")</f>
        <v/>
      </c>
      <c r="G2496" s="17">
        <f>IF(B2496="","","")</f>
        <v/>
      </c>
      <c r="H2496" s="17">
        <f>IF(B2496="","","")</f>
        <v/>
      </c>
      <c r="I2496" s="17">
        <f>IF(B2496="","","")</f>
        <v/>
      </c>
      <c r="J2496" s="17">
        <f>IF(B2496="","","touch_2; "&amp;IFERROR(INDEX(Clay_Offices!$A$2:$FZ$601,245,Sync!$C$10)&amp;"","")&amp;"; "&amp;IFERROR(INDEX(Clay_Offices!$A$2:$FZ$601,245,Sync!$C$9)&amp;"",""))</f>
        <v/>
      </c>
      <c r="K2496" t="inlineStr">
        <is>
          <t>office outreach touch 2</t>
        </is>
      </c>
    </row>
    <row r="2497">
      <c r="A2497" s="17">
        <f>IF(B2497="","",B2497+(13*1000+246)/10000000)</f>
        <v/>
      </c>
      <c r="B2497" s="23">
        <f>IF(AND(IFERROR(N(INDEX(Clay_Offices!$A$2:$FZ$601,246,Sync!$C$12)),0)&gt;0,IFERROR(INDEX(Clay_Offices!$A$2:$FZ$601,246,Sync!$C$5)&amp;"","")&lt;&gt;"",OR(LEFT(IFERROR(INDEX(Clay_Offices!$A$2:$FZ$601,246,Sync!$C$5)&amp;"",""),6)&lt;&gt;"SAMPLE",Config!$B$19="Y")),IFERROR(N(INDEX(Clay_Offices!$A$2:$FZ$601,246,Sync!$C$12)),0),"")</f>
        <v/>
      </c>
      <c r="C2497" s="17">
        <f>IF(B2497="","","office")</f>
        <v/>
      </c>
      <c r="D2497" s="17">
        <f>IF(B2497="","",IFERROR(INDEX(Clay_Offices!$A$2:$FZ$601,246,Sync!$C$5)&amp;"",""))</f>
        <v/>
      </c>
      <c r="E2497" s="17">
        <f>IF(B2497="","",IFERROR(INDEX(Clay_Offices!$A$2:$FZ$601,246,Sync!$C$6)&amp;"",""))</f>
        <v/>
      </c>
      <c r="F2497" s="17">
        <f>IF(B2497="","","outreach_sent")</f>
        <v/>
      </c>
      <c r="G2497" s="17">
        <f>IF(B2497="","","")</f>
        <v/>
      </c>
      <c r="H2497" s="17">
        <f>IF(B2497="","","")</f>
        <v/>
      </c>
      <c r="I2497" s="17">
        <f>IF(B2497="","","")</f>
        <v/>
      </c>
      <c r="J2497" s="17">
        <f>IF(B2497="","","touch_2; "&amp;IFERROR(INDEX(Clay_Offices!$A$2:$FZ$601,246,Sync!$C$10)&amp;"","")&amp;"; "&amp;IFERROR(INDEX(Clay_Offices!$A$2:$FZ$601,246,Sync!$C$9)&amp;"",""))</f>
        <v/>
      </c>
      <c r="K2497" t="inlineStr">
        <is>
          <t>office outreach touch 2</t>
        </is>
      </c>
    </row>
    <row r="2498">
      <c r="A2498" s="17">
        <f>IF(B2498="","",B2498+(13*1000+247)/10000000)</f>
        <v/>
      </c>
      <c r="B2498" s="23">
        <f>IF(AND(IFERROR(N(INDEX(Clay_Offices!$A$2:$FZ$601,247,Sync!$C$12)),0)&gt;0,IFERROR(INDEX(Clay_Offices!$A$2:$FZ$601,247,Sync!$C$5)&amp;"","")&lt;&gt;"",OR(LEFT(IFERROR(INDEX(Clay_Offices!$A$2:$FZ$601,247,Sync!$C$5)&amp;"",""),6)&lt;&gt;"SAMPLE",Config!$B$19="Y")),IFERROR(N(INDEX(Clay_Offices!$A$2:$FZ$601,247,Sync!$C$12)),0),"")</f>
        <v/>
      </c>
      <c r="C2498" s="17">
        <f>IF(B2498="","","office")</f>
        <v/>
      </c>
      <c r="D2498" s="17">
        <f>IF(B2498="","",IFERROR(INDEX(Clay_Offices!$A$2:$FZ$601,247,Sync!$C$5)&amp;"",""))</f>
        <v/>
      </c>
      <c r="E2498" s="17">
        <f>IF(B2498="","",IFERROR(INDEX(Clay_Offices!$A$2:$FZ$601,247,Sync!$C$6)&amp;"",""))</f>
        <v/>
      </c>
      <c r="F2498" s="17">
        <f>IF(B2498="","","outreach_sent")</f>
        <v/>
      </c>
      <c r="G2498" s="17">
        <f>IF(B2498="","","")</f>
        <v/>
      </c>
      <c r="H2498" s="17">
        <f>IF(B2498="","","")</f>
        <v/>
      </c>
      <c r="I2498" s="17">
        <f>IF(B2498="","","")</f>
        <v/>
      </c>
      <c r="J2498" s="17">
        <f>IF(B2498="","","touch_2; "&amp;IFERROR(INDEX(Clay_Offices!$A$2:$FZ$601,247,Sync!$C$10)&amp;"","")&amp;"; "&amp;IFERROR(INDEX(Clay_Offices!$A$2:$FZ$601,247,Sync!$C$9)&amp;"",""))</f>
        <v/>
      </c>
      <c r="K2498" t="inlineStr">
        <is>
          <t>office outreach touch 2</t>
        </is>
      </c>
    </row>
    <row r="2499">
      <c r="A2499" s="17">
        <f>IF(B2499="","",B2499+(13*1000+248)/10000000)</f>
        <v/>
      </c>
      <c r="B2499" s="23">
        <f>IF(AND(IFERROR(N(INDEX(Clay_Offices!$A$2:$FZ$601,248,Sync!$C$12)),0)&gt;0,IFERROR(INDEX(Clay_Offices!$A$2:$FZ$601,248,Sync!$C$5)&amp;"","")&lt;&gt;"",OR(LEFT(IFERROR(INDEX(Clay_Offices!$A$2:$FZ$601,248,Sync!$C$5)&amp;"",""),6)&lt;&gt;"SAMPLE",Config!$B$19="Y")),IFERROR(N(INDEX(Clay_Offices!$A$2:$FZ$601,248,Sync!$C$12)),0),"")</f>
        <v/>
      </c>
      <c r="C2499" s="17">
        <f>IF(B2499="","","office")</f>
        <v/>
      </c>
      <c r="D2499" s="17">
        <f>IF(B2499="","",IFERROR(INDEX(Clay_Offices!$A$2:$FZ$601,248,Sync!$C$5)&amp;"",""))</f>
        <v/>
      </c>
      <c r="E2499" s="17">
        <f>IF(B2499="","",IFERROR(INDEX(Clay_Offices!$A$2:$FZ$601,248,Sync!$C$6)&amp;"",""))</f>
        <v/>
      </c>
      <c r="F2499" s="17">
        <f>IF(B2499="","","outreach_sent")</f>
        <v/>
      </c>
      <c r="G2499" s="17">
        <f>IF(B2499="","","")</f>
        <v/>
      </c>
      <c r="H2499" s="17">
        <f>IF(B2499="","","")</f>
        <v/>
      </c>
      <c r="I2499" s="17">
        <f>IF(B2499="","","")</f>
        <v/>
      </c>
      <c r="J2499" s="17">
        <f>IF(B2499="","","touch_2; "&amp;IFERROR(INDEX(Clay_Offices!$A$2:$FZ$601,248,Sync!$C$10)&amp;"","")&amp;"; "&amp;IFERROR(INDEX(Clay_Offices!$A$2:$FZ$601,248,Sync!$C$9)&amp;"",""))</f>
        <v/>
      </c>
      <c r="K2499" t="inlineStr">
        <is>
          <t>office outreach touch 2</t>
        </is>
      </c>
    </row>
    <row r="2500">
      <c r="A2500" s="17">
        <f>IF(B2500="","",B2500+(13*1000+249)/10000000)</f>
        <v/>
      </c>
      <c r="B2500" s="23">
        <f>IF(AND(IFERROR(N(INDEX(Clay_Offices!$A$2:$FZ$601,249,Sync!$C$12)),0)&gt;0,IFERROR(INDEX(Clay_Offices!$A$2:$FZ$601,249,Sync!$C$5)&amp;"","")&lt;&gt;"",OR(LEFT(IFERROR(INDEX(Clay_Offices!$A$2:$FZ$601,249,Sync!$C$5)&amp;"",""),6)&lt;&gt;"SAMPLE",Config!$B$19="Y")),IFERROR(N(INDEX(Clay_Offices!$A$2:$FZ$601,249,Sync!$C$12)),0),"")</f>
        <v/>
      </c>
      <c r="C2500" s="17">
        <f>IF(B2500="","","office")</f>
        <v/>
      </c>
      <c r="D2500" s="17">
        <f>IF(B2500="","",IFERROR(INDEX(Clay_Offices!$A$2:$FZ$601,249,Sync!$C$5)&amp;"",""))</f>
        <v/>
      </c>
      <c r="E2500" s="17">
        <f>IF(B2500="","",IFERROR(INDEX(Clay_Offices!$A$2:$FZ$601,249,Sync!$C$6)&amp;"",""))</f>
        <v/>
      </c>
      <c r="F2500" s="17">
        <f>IF(B2500="","","outreach_sent")</f>
        <v/>
      </c>
      <c r="G2500" s="17">
        <f>IF(B2500="","","")</f>
        <v/>
      </c>
      <c r="H2500" s="17">
        <f>IF(B2500="","","")</f>
        <v/>
      </c>
      <c r="I2500" s="17">
        <f>IF(B2500="","","")</f>
        <v/>
      </c>
      <c r="J2500" s="17">
        <f>IF(B2500="","","touch_2; "&amp;IFERROR(INDEX(Clay_Offices!$A$2:$FZ$601,249,Sync!$C$10)&amp;"","")&amp;"; "&amp;IFERROR(INDEX(Clay_Offices!$A$2:$FZ$601,249,Sync!$C$9)&amp;"",""))</f>
        <v/>
      </c>
      <c r="K2500" t="inlineStr">
        <is>
          <t>office outreach touch 2</t>
        </is>
      </c>
    </row>
    <row r="2501">
      <c r="A2501" s="17">
        <f>IF(B2501="","",B2501+(13*1000+250)/10000000)</f>
        <v/>
      </c>
      <c r="B2501" s="23">
        <f>IF(AND(IFERROR(N(INDEX(Clay_Offices!$A$2:$FZ$601,250,Sync!$C$12)),0)&gt;0,IFERROR(INDEX(Clay_Offices!$A$2:$FZ$601,250,Sync!$C$5)&amp;"","")&lt;&gt;"",OR(LEFT(IFERROR(INDEX(Clay_Offices!$A$2:$FZ$601,250,Sync!$C$5)&amp;"",""),6)&lt;&gt;"SAMPLE",Config!$B$19="Y")),IFERROR(N(INDEX(Clay_Offices!$A$2:$FZ$601,250,Sync!$C$12)),0),"")</f>
        <v/>
      </c>
      <c r="C2501" s="17">
        <f>IF(B2501="","","office")</f>
        <v/>
      </c>
      <c r="D2501" s="17">
        <f>IF(B2501="","",IFERROR(INDEX(Clay_Offices!$A$2:$FZ$601,250,Sync!$C$5)&amp;"",""))</f>
        <v/>
      </c>
      <c r="E2501" s="17">
        <f>IF(B2501="","",IFERROR(INDEX(Clay_Offices!$A$2:$FZ$601,250,Sync!$C$6)&amp;"",""))</f>
        <v/>
      </c>
      <c r="F2501" s="17">
        <f>IF(B2501="","","outreach_sent")</f>
        <v/>
      </c>
      <c r="G2501" s="17">
        <f>IF(B2501="","","")</f>
        <v/>
      </c>
      <c r="H2501" s="17">
        <f>IF(B2501="","","")</f>
        <v/>
      </c>
      <c r="I2501" s="17">
        <f>IF(B2501="","","")</f>
        <v/>
      </c>
      <c r="J2501" s="17">
        <f>IF(B2501="","","touch_2; "&amp;IFERROR(INDEX(Clay_Offices!$A$2:$FZ$601,250,Sync!$C$10)&amp;"","")&amp;"; "&amp;IFERROR(INDEX(Clay_Offices!$A$2:$FZ$601,250,Sync!$C$9)&amp;"",""))</f>
        <v/>
      </c>
      <c r="K2501" t="inlineStr">
        <is>
          <t>office outreach touch 2</t>
        </is>
      </c>
    </row>
    <row r="2502">
      <c r="A2502" s="17">
        <f>IF(B2502="","",B2502+(13*1000+251)/10000000)</f>
        <v/>
      </c>
      <c r="B2502" s="23">
        <f>IF(AND(IFERROR(N(INDEX(Clay_Offices!$A$2:$FZ$601,251,Sync!$C$12)),0)&gt;0,IFERROR(INDEX(Clay_Offices!$A$2:$FZ$601,251,Sync!$C$5)&amp;"","")&lt;&gt;"",OR(LEFT(IFERROR(INDEX(Clay_Offices!$A$2:$FZ$601,251,Sync!$C$5)&amp;"",""),6)&lt;&gt;"SAMPLE",Config!$B$19="Y")),IFERROR(N(INDEX(Clay_Offices!$A$2:$FZ$601,251,Sync!$C$12)),0),"")</f>
        <v/>
      </c>
      <c r="C2502" s="17">
        <f>IF(B2502="","","office")</f>
        <v/>
      </c>
      <c r="D2502" s="17">
        <f>IF(B2502="","",IFERROR(INDEX(Clay_Offices!$A$2:$FZ$601,251,Sync!$C$5)&amp;"",""))</f>
        <v/>
      </c>
      <c r="E2502" s="17">
        <f>IF(B2502="","",IFERROR(INDEX(Clay_Offices!$A$2:$FZ$601,251,Sync!$C$6)&amp;"",""))</f>
        <v/>
      </c>
      <c r="F2502" s="17">
        <f>IF(B2502="","","outreach_sent")</f>
        <v/>
      </c>
      <c r="G2502" s="17">
        <f>IF(B2502="","","")</f>
        <v/>
      </c>
      <c r="H2502" s="17">
        <f>IF(B2502="","","")</f>
        <v/>
      </c>
      <c r="I2502" s="17">
        <f>IF(B2502="","","")</f>
        <v/>
      </c>
      <c r="J2502" s="17">
        <f>IF(B2502="","","touch_2; "&amp;IFERROR(INDEX(Clay_Offices!$A$2:$FZ$601,251,Sync!$C$10)&amp;"","")&amp;"; "&amp;IFERROR(INDEX(Clay_Offices!$A$2:$FZ$601,251,Sync!$C$9)&amp;"",""))</f>
        <v/>
      </c>
      <c r="K2502" t="inlineStr">
        <is>
          <t>office outreach touch 2</t>
        </is>
      </c>
    </row>
    <row r="2503">
      <c r="A2503" s="17">
        <f>IF(B2503="","",B2503+(13*1000+252)/10000000)</f>
        <v/>
      </c>
      <c r="B2503" s="23">
        <f>IF(AND(IFERROR(N(INDEX(Clay_Offices!$A$2:$FZ$601,252,Sync!$C$12)),0)&gt;0,IFERROR(INDEX(Clay_Offices!$A$2:$FZ$601,252,Sync!$C$5)&amp;"","")&lt;&gt;"",OR(LEFT(IFERROR(INDEX(Clay_Offices!$A$2:$FZ$601,252,Sync!$C$5)&amp;"",""),6)&lt;&gt;"SAMPLE",Config!$B$19="Y")),IFERROR(N(INDEX(Clay_Offices!$A$2:$FZ$601,252,Sync!$C$12)),0),"")</f>
        <v/>
      </c>
      <c r="C2503" s="17">
        <f>IF(B2503="","","office")</f>
        <v/>
      </c>
      <c r="D2503" s="17">
        <f>IF(B2503="","",IFERROR(INDEX(Clay_Offices!$A$2:$FZ$601,252,Sync!$C$5)&amp;"",""))</f>
        <v/>
      </c>
      <c r="E2503" s="17">
        <f>IF(B2503="","",IFERROR(INDEX(Clay_Offices!$A$2:$FZ$601,252,Sync!$C$6)&amp;"",""))</f>
        <v/>
      </c>
      <c r="F2503" s="17">
        <f>IF(B2503="","","outreach_sent")</f>
        <v/>
      </c>
      <c r="G2503" s="17">
        <f>IF(B2503="","","")</f>
        <v/>
      </c>
      <c r="H2503" s="17">
        <f>IF(B2503="","","")</f>
        <v/>
      </c>
      <c r="I2503" s="17">
        <f>IF(B2503="","","")</f>
        <v/>
      </c>
      <c r="J2503" s="17">
        <f>IF(B2503="","","touch_2; "&amp;IFERROR(INDEX(Clay_Offices!$A$2:$FZ$601,252,Sync!$C$10)&amp;"","")&amp;"; "&amp;IFERROR(INDEX(Clay_Offices!$A$2:$FZ$601,252,Sync!$C$9)&amp;"",""))</f>
        <v/>
      </c>
      <c r="K2503" t="inlineStr">
        <is>
          <t>office outreach touch 2</t>
        </is>
      </c>
    </row>
    <row r="2504">
      <c r="A2504" s="17">
        <f>IF(B2504="","",B2504+(13*1000+253)/10000000)</f>
        <v/>
      </c>
      <c r="B2504" s="23">
        <f>IF(AND(IFERROR(N(INDEX(Clay_Offices!$A$2:$FZ$601,253,Sync!$C$12)),0)&gt;0,IFERROR(INDEX(Clay_Offices!$A$2:$FZ$601,253,Sync!$C$5)&amp;"","")&lt;&gt;"",OR(LEFT(IFERROR(INDEX(Clay_Offices!$A$2:$FZ$601,253,Sync!$C$5)&amp;"",""),6)&lt;&gt;"SAMPLE",Config!$B$19="Y")),IFERROR(N(INDEX(Clay_Offices!$A$2:$FZ$601,253,Sync!$C$12)),0),"")</f>
        <v/>
      </c>
      <c r="C2504" s="17">
        <f>IF(B2504="","","office")</f>
        <v/>
      </c>
      <c r="D2504" s="17">
        <f>IF(B2504="","",IFERROR(INDEX(Clay_Offices!$A$2:$FZ$601,253,Sync!$C$5)&amp;"",""))</f>
        <v/>
      </c>
      <c r="E2504" s="17">
        <f>IF(B2504="","",IFERROR(INDEX(Clay_Offices!$A$2:$FZ$601,253,Sync!$C$6)&amp;"",""))</f>
        <v/>
      </c>
      <c r="F2504" s="17">
        <f>IF(B2504="","","outreach_sent")</f>
        <v/>
      </c>
      <c r="G2504" s="17">
        <f>IF(B2504="","","")</f>
        <v/>
      </c>
      <c r="H2504" s="17">
        <f>IF(B2504="","","")</f>
        <v/>
      </c>
      <c r="I2504" s="17">
        <f>IF(B2504="","","")</f>
        <v/>
      </c>
      <c r="J2504" s="17">
        <f>IF(B2504="","","touch_2; "&amp;IFERROR(INDEX(Clay_Offices!$A$2:$FZ$601,253,Sync!$C$10)&amp;"","")&amp;"; "&amp;IFERROR(INDEX(Clay_Offices!$A$2:$FZ$601,253,Sync!$C$9)&amp;"",""))</f>
        <v/>
      </c>
      <c r="K2504" t="inlineStr">
        <is>
          <t>office outreach touch 2</t>
        </is>
      </c>
    </row>
    <row r="2505">
      <c r="A2505" s="17">
        <f>IF(B2505="","",B2505+(13*1000+254)/10000000)</f>
        <v/>
      </c>
      <c r="B2505" s="23">
        <f>IF(AND(IFERROR(N(INDEX(Clay_Offices!$A$2:$FZ$601,254,Sync!$C$12)),0)&gt;0,IFERROR(INDEX(Clay_Offices!$A$2:$FZ$601,254,Sync!$C$5)&amp;"","")&lt;&gt;"",OR(LEFT(IFERROR(INDEX(Clay_Offices!$A$2:$FZ$601,254,Sync!$C$5)&amp;"",""),6)&lt;&gt;"SAMPLE",Config!$B$19="Y")),IFERROR(N(INDEX(Clay_Offices!$A$2:$FZ$601,254,Sync!$C$12)),0),"")</f>
        <v/>
      </c>
      <c r="C2505" s="17">
        <f>IF(B2505="","","office")</f>
        <v/>
      </c>
      <c r="D2505" s="17">
        <f>IF(B2505="","",IFERROR(INDEX(Clay_Offices!$A$2:$FZ$601,254,Sync!$C$5)&amp;"",""))</f>
        <v/>
      </c>
      <c r="E2505" s="17">
        <f>IF(B2505="","",IFERROR(INDEX(Clay_Offices!$A$2:$FZ$601,254,Sync!$C$6)&amp;"",""))</f>
        <v/>
      </c>
      <c r="F2505" s="17">
        <f>IF(B2505="","","outreach_sent")</f>
        <v/>
      </c>
      <c r="G2505" s="17">
        <f>IF(B2505="","","")</f>
        <v/>
      </c>
      <c r="H2505" s="17">
        <f>IF(B2505="","","")</f>
        <v/>
      </c>
      <c r="I2505" s="17">
        <f>IF(B2505="","","")</f>
        <v/>
      </c>
      <c r="J2505" s="17">
        <f>IF(B2505="","","touch_2; "&amp;IFERROR(INDEX(Clay_Offices!$A$2:$FZ$601,254,Sync!$C$10)&amp;"","")&amp;"; "&amp;IFERROR(INDEX(Clay_Offices!$A$2:$FZ$601,254,Sync!$C$9)&amp;"",""))</f>
        <v/>
      </c>
      <c r="K2505" t="inlineStr">
        <is>
          <t>office outreach touch 2</t>
        </is>
      </c>
    </row>
    <row r="2506">
      <c r="A2506" s="17">
        <f>IF(B2506="","",B2506+(13*1000+255)/10000000)</f>
        <v/>
      </c>
      <c r="B2506" s="23">
        <f>IF(AND(IFERROR(N(INDEX(Clay_Offices!$A$2:$FZ$601,255,Sync!$C$12)),0)&gt;0,IFERROR(INDEX(Clay_Offices!$A$2:$FZ$601,255,Sync!$C$5)&amp;"","")&lt;&gt;"",OR(LEFT(IFERROR(INDEX(Clay_Offices!$A$2:$FZ$601,255,Sync!$C$5)&amp;"",""),6)&lt;&gt;"SAMPLE",Config!$B$19="Y")),IFERROR(N(INDEX(Clay_Offices!$A$2:$FZ$601,255,Sync!$C$12)),0),"")</f>
        <v/>
      </c>
      <c r="C2506" s="17">
        <f>IF(B2506="","","office")</f>
        <v/>
      </c>
      <c r="D2506" s="17">
        <f>IF(B2506="","",IFERROR(INDEX(Clay_Offices!$A$2:$FZ$601,255,Sync!$C$5)&amp;"",""))</f>
        <v/>
      </c>
      <c r="E2506" s="17">
        <f>IF(B2506="","",IFERROR(INDEX(Clay_Offices!$A$2:$FZ$601,255,Sync!$C$6)&amp;"",""))</f>
        <v/>
      </c>
      <c r="F2506" s="17">
        <f>IF(B2506="","","outreach_sent")</f>
        <v/>
      </c>
      <c r="G2506" s="17">
        <f>IF(B2506="","","")</f>
        <v/>
      </c>
      <c r="H2506" s="17">
        <f>IF(B2506="","","")</f>
        <v/>
      </c>
      <c r="I2506" s="17">
        <f>IF(B2506="","","")</f>
        <v/>
      </c>
      <c r="J2506" s="17">
        <f>IF(B2506="","","touch_2; "&amp;IFERROR(INDEX(Clay_Offices!$A$2:$FZ$601,255,Sync!$C$10)&amp;"","")&amp;"; "&amp;IFERROR(INDEX(Clay_Offices!$A$2:$FZ$601,255,Sync!$C$9)&amp;"",""))</f>
        <v/>
      </c>
      <c r="K2506" t="inlineStr">
        <is>
          <t>office outreach touch 2</t>
        </is>
      </c>
    </row>
    <row r="2507">
      <c r="A2507" s="17">
        <f>IF(B2507="","",B2507+(13*1000+256)/10000000)</f>
        <v/>
      </c>
      <c r="B2507" s="23">
        <f>IF(AND(IFERROR(N(INDEX(Clay_Offices!$A$2:$FZ$601,256,Sync!$C$12)),0)&gt;0,IFERROR(INDEX(Clay_Offices!$A$2:$FZ$601,256,Sync!$C$5)&amp;"","")&lt;&gt;"",OR(LEFT(IFERROR(INDEX(Clay_Offices!$A$2:$FZ$601,256,Sync!$C$5)&amp;"",""),6)&lt;&gt;"SAMPLE",Config!$B$19="Y")),IFERROR(N(INDEX(Clay_Offices!$A$2:$FZ$601,256,Sync!$C$12)),0),"")</f>
        <v/>
      </c>
      <c r="C2507" s="17">
        <f>IF(B2507="","","office")</f>
        <v/>
      </c>
      <c r="D2507" s="17">
        <f>IF(B2507="","",IFERROR(INDEX(Clay_Offices!$A$2:$FZ$601,256,Sync!$C$5)&amp;"",""))</f>
        <v/>
      </c>
      <c r="E2507" s="17">
        <f>IF(B2507="","",IFERROR(INDEX(Clay_Offices!$A$2:$FZ$601,256,Sync!$C$6)&amp;"",""))</f>
        <v/>
      </c>
      <c r="F2507" s="17">
        <f>IF(B2507="","","outreach_sent")</f>
        <v/>
      </c>
      <c r="G2507" s="17">
        <f>IF(B2507="","","")</f>
        <v/>
      </c>
      <c r="H2507" s="17">
        <f>IF(B2507="","","")</f>
        <v/>
      </c>
      <c r="I2507" s="17">
        <f>IF(B2507="","","")</f>
        <v/>
      </c>
      <c r="J2507" s="17">
        <f>IF(B2507="","","touch_2; "&amp;IFERROR(INDEX(Clay_Offices!$A$2:$FZ$601,256,Sync!$C$10)&amp;"","")&amp;"; "&amp;IFERROR(INDEX(Clay_Offices!$A$2:$FZ$601,256,Sync!$C$9)&amp;"",""))</f>
        <v/>
      </c>
      <c r="K2507" t="inlineStr">
        <is>
          <t>office outreach touch 2</t>
        </is>
      </c>
    </row>
    <row r="2508">
      <c r="A2508" s="17">
        <f>IF(B2508="","",B2508+(13*1000+257)/10000000)</f>
        <v/>
      </c>
      <c r="B2508" s="23">
        <f>IF(AND(IFERROR(N(INDEX(Clay_Offices!$A$2:$FZ$601,257,Sync!$C$12)),0)&gt;0,IFERROR(INDEX(Clay_Offices!$A$2:$FZ$601,257,Sync!$C$5)&amp;"","")&lt;&gt;"",OR(LEFT(IFERROR(INDEX(Clay_Offices!$A$2:$FZ$601,257,Sync!$C$5)&amp;"",""),6)&lt;&gt;"SAMPLE",Config!$B$19="Y")),IFERROR(N(INDEX(Clay_Offices!$A$2:$FZ$601,257,Sync!$C$12)),0),"")</f>
        <v/>
      </c>
      <c r="C2508" s="17">
        <f>IF(B2508="","","office")</f>
        <v/>
      </c>
      <c r="D2508" s="17">
        <f>IF(B2508="","",IFERROR(INDEX(Clay_Offices!$A$2:$FZ$601,257,Sync!$C$5)&amp;"",""))</f>
        <v/>
      </c>
      <c r="E2508" s="17">
        <f>IF(B2508="","",IFERROR(INDEX(Clay_Offices!$A$2:$FZ$601,257,Sync!$C$6)&amp;"",""))</f>
        <v/>
      </c>
      <c r="F2508" s="17">
        <f>IF(B2508="","","outreach_sent")</f>
        <v/>
      </c>
      <c r="G2508" s="17">
        <f>IF(B2508="","","")</f>
        <v/>
      </c>
      <c r="H2508" s="17">
        <f>IF(B2508="","","")</f>
        <v/>
      </c>
      <c r="I2508" s="17">
        <f>IF(B2508="","","")</f>
        <v/>
      </c>
      <c r="J2508" s="17">
        <f>IF(B2508="","","touch_2; "&amp;IFERROR(INDEX(Clay_Offices!$A$2:$FZ$601,257,Sync!$C$10)&amp;"","")&amp;"; "&amp;IFERROR(INDEX(Clay_Offices!$A$2:$FZ$601,257,Sync!$C$9)&amp;"",""))</f>
        <v/>
      </c>
      <c r="K2508" t="inlineStr">
        <is>
          <t>office outreach touch 2</t>
        </is>
      </c>
    </row>
    <row r="2509">
      <c r="A2509" s="17">
        <f>IF(B2509="","",B2509+(13*1000+258)/10000000)</f>
        <v/>
      </c>
      <c r="B2509" s="23">
        <f>IF(AND(IFERROR(N(INDEX(Clay_Offices!$A$2:$FZ$601,258,Sync!$C$12)),0)&gt;0,IFERROR(INDEX(Clay_Offices!$A$2:$FZ$601,258,Sync!$C$5)&amp;"","")&lt;&gt;"",OR(LEFT(IFERROR(INDEX(Clay_Offices!$A$2:$FZ$601,258,Sync!$C$5)&amp;"",""),6)&lt;&gt;"SAMPLE",Config!$B$19="Y")),IFERROR(N(INDEX(Clay_Offices!$A$2:$FZ$601,258,Sync!$C$12)),0),"")</f>
        <v/>
      </c>
      <c r="C2509" s="17">
        <f>IF(B2509="","","office")</f>
        <v/>
      </c>
      <c r="D2509" s="17">
        <f>IF(B2509="","",IFERROR(INDEX(Clay_Offices!$A$2:$FZ$601,258,Sync!$C$5)&amp;"",""))</f>
        <v/>
      </c>
      <c r="E2509" s="17">
        <f>IF(B2509="","",IFERROR(INDEX(Clay_Offices!$A$2:$FZ$601,258,Sync!$C$6)&amp;"",""))</f>
        <v/>
      </c>
      <c r="F2509" s="17">
        <f>IF(B2509="","","outreach_sent")</f>
        <v/>
      </c>
      <c r="G2509" s="17">
        <f>IF(B2509="","","")</f>
        <v/>
      </c>
      <c r="H2509" s="17">
        <f>IF(B2509="","","")</f>
        <v/>
      </c>
      <c r="I2509" s="17">
        <f>IF(B2509="","","")</f>
        <v/>
      </c>
      <c r="J2509" s="17">
        <f>IF(B2509="","","touch_2; "&amp;IFERROR(INDEX(Clay_Offices!$A$2:$FZ$601,258,Sync!$C$10)&amp;"","")&amp;"; "&amp;IFERROR(INDEX(Clay_Offices!$A$2:$FZ$601,258,Sync!$C$9)&amp;"",""))</f>
        <v/>
      </c>
      <c r="K2509" t="inlineStr">
        <is>
          <t>office outreach touch 2</t>
        </is>
      </c>
    </row>
    <row r="2510">
      <c r="A2510" s="17">
        <f>IF(B2510="","",B2510+(13*1000+259)/10000000)</f>
        <v/>
      </c>
      <c r="B2510" s="23">
        <f>IF(AND(IFERROR(N(INDEX(Clay_Offices!$A$2:$FZ$601,259,Sync!$C$12)),0)&gt;0,IFERROR(INDEX(Clay_Offices!$A$2:$FZ$601,259,Sync!$C$5)&amp;"","")&lt;&gt;"",OR(LEFT(IFERROR(INDEX(Clay_Offices!$A$2:$FZ$601,259,Sync!$C$5)&amp;"",""),6)&lt;&gt;"SAMPLE",Config!$B$19="Y")),IFERROR(N(INDEX(Clay_Offices!$A$2:$FZ$601,259,Sync!$C$12)),0),"")</f>
        <v/>
      </c>
      <c r="C2510" s="17">
        <f>IF(B2510="","","office")</f>
        <v/>
      </c>
      <c r="D2510" s="17">
        <f>IF(B2510="","",IFERROR(INDEX(Clay_Offices!$A$2:$FZ$601,259,Sync!$C$5)&amp;"",""))</f>
        <v/>
      </c>
      <c r="E2510" s="17">
        <f>IF(B2510="","",IFERROR(INDEX(Clay_Offices!$A$2:$FZ$601,259,Sync!$C$6)&amp;"",""))</f>
        <v/>
      </c>
      <c r="F2510" s="17">
        <f>IF(B2510="","","outreach_sent")</f>
        <v/>
      </c>
      <c r="G2510" s="17">
        <f>IF(B2510="","","")</f>
        <v/>
      </c>
      <c r="H2510" s="17">
        <f>IF(B2510="","","")</f>
        <v/>
      </c>
      <c r="I2510" s="17">
        <f>IF(B2510="","","")</f>
        <v/>
      </c>
      <c r="J2510" s="17">
        <f>IF(B2510="","","touch_2; "&amp;IFERROR(INDEX(Clay_Offices!$A$2:$FZ$601,259,Sync!$C$10)&amp;"","")&amp;"; "&amp;IFERROR(INDEX(Clay_Offices!$A$2:$FZ$601,259,Sync!$C$9)&amp;"",""))</f>
        <v/>
      </c>
      <c r="K2510" t="inlineStr">
        <is>
          <t>office outreach touch 2</t>
        </is>
      </c>
    </row>
    <row r="2511">
      <c r="A2511" s="17">
        <f>IF(B2511="","",B2511+(13*1000+260)/10000000)</f>
        <v/>
      </c>
      <c r="B2511" s="23">
        <f>IF(AND(IFERROR(N(INDEX(Clay_Offices!$A$2:$FZ$601,260,Sync!$C$12)),0)&gt;0,IFERROR(INDEX(Clay_Offices!$A$2:$FZ$601,260,Sync!$C$5)&amp;"","")&lt;&gt;"",OR(LEFT(IFERROR(INDEX(Clay_Offices!$A$2:$FZ$601,260,Sync!$C$5)&amp;"",""),6)&lt;&gt;"SAMPLE",Config!$B$19="Y")),IFERROR(N(INDEX(Clay_Offices!$A$2:$FZ$601,260,Sync!$C$12)),0),"")</f>
        <v/>
      </c>
      <c r="C2511" s="17">
        <f>IF(B2511="","","office")</f>
        <v/>
      </c>
      <c r="D2511" s="17">
        <f>IF(B2511="","",IFERROR(INDEX(Clay_Offices!$A$2:$FZ$601,260,Sync!$C$5)&amp;"",""))</f>
        <v/>
      </c>
      <c r="E2511" s="17">
        <f>IF(B2511="","",IFERROR(INDEX(Clay_Offices!$A$2:$FZ$601,260,Sync!$C$6)&amp;"",""))</f>
        <v/>
      </c>
      <c r="F2511" s="17">
        <f>IF(B2511="","","outreach_sent")</f>
        <v/>
      </c>
      <c r="G2511" s="17">
        <f>IF(B2511="","","")</f>
        <v/>
      </c>
      <c r="H2511" s="17">
        <f>IF(B2511="","","")</f>
        <v/>
      </c>
      <c r="I2511" s="17">
        <f>IF(B2511="","","")</f>
        <v/>
      </c>
      <c r="J2511" s="17">
        <f>IF(B2511="","","touch_2; "&amp;IFERROR(INDEX(Clay_Offices!$A$2:$FZ$601,260,Sync!$C$10)&amp;"","")&amp;"; "&amp;IFERROR(INDEX(Clay_Offices!$A$2:$FZ$601,260,Sync!$C$9)&amp;"",""))</f>
        <v/>
      </c>
      <c r="K2511" t="inlineStr">
        <is>
          <t>office outreach touch 2</t>
        </is>
      </c>
    </row>
    <row r="2512">
      <c r="A2512" s="17">
        <f>IF(B2512="","",B2512+(13*1000+261)/10000000)</f>
        <v/>
      </c>
      <c r="B2512" s="23">
        <f>IF(AND(IFERROR(N(INDEX(Clay_Offices!$A$2:$FZ$601,261,Sync!$C$12)),0)&gt;0,IFERROR(INDEX(Clay_Offices!$A$2:$FZ$601,261,Sync!$C$5)&amp;"","")&lt;&gt;"",OR(LEFT(IFERROR(INDEX(Clay_Offices!$A$2:$FZ$601,261,Sync!$C$5)&amp;"",""),6)&lt;&gt;"SAMPLE",Config!$B$19="Y")),IFERROR(N(INDEX(Clay_Offices!$A$2:$FZ$601,261,Sync!$C$12)),0),"")</f>
        <v/>
      </c>
      <c r="C2512" s="17">
        <f>IF(B2512="","","office")</f>
        <v/>
      </c>
      <c r="D2512" s="17">
        <f>IF(B2512="","",IFERROR(INDEX(Clay_Offices!$A$2:$FZ$601,261,Sync!$C$5)&amp;"",""))</f>
        <v/>
      </c>
      <c r="E2512" s="17">
        <f>IF(B2512="","",IFERROR(INDEX(Clay_Offices!$A$2:$FZ$601,261,Sync!$C$6)&amp;"",""))</f>
        <v/>
      </c>
      <c r="F2512" s="17">
        <f>IF(B2512="","","outreach_sent")</f>
        <v/>
      </c>
      <c r="G2512" s="17">
        <f>IF(B2512="","","")</f>
        <v/>
      </c>
      <c r="H2512" s="17">
        <f>IF(B2512="","","")</f>
        <v/>
      </c>
      <c r="I2512" s="17">
        <f>IF(B2512="","","")</f>
        <v/>
      </c>
      <c r="J2512" s="17">
        <f>IF(B2512="","","touch_2; "&amp;IFERROR(INDEX(Clay_Offices!$A$2:$FZ$601,261,Sync!$C$10)&amp;"","")&amp;"; "&amp;IFERROR(INDEX(Clay_Offices!$A$2:$FZ$601,261,Sync!$C$9)&amp;"",""))</f>
        <v/>
      </c>
      <c r="K2512" t="inlineStr">
        <is>
          <t>office outreach touch 2</t>
        </is>
      </c>
    </row>
    <row r="2513">
      <c r="A2513" s="17">
        <f>IF(B2513="","",B2513+(13*1000+262)/10000000)</f>
        <v/>
      </c>
      <c r="B2513" s="23">
        <f>IF(AND(IFERROR(N(INDEX(Clay_Offices!$A$2:$FZ$601,262,Sync!$C$12)),0)&gt;0,IFERROR(INDEX(Clay_Offices!$A$2:$FZ$601,262,Sync!$C$5)&amp;"","")&lt;&gt;"",OR(LEFT(IFERROR(INDEX(Clay_Offices!$A$2:$FZ$601,262,Sync!$C$5)&amp;"",""),6)&lt;&gt;"SAMPLE",Config!$B$19="Y")),IFERROR(N(INDEX(Clay_Offices!$A$2:$FZ$601,262,Sync!$C$12)),0),"")</f>
        <v/>
      </c>
      <c r="C2513" s="17">
        <f>IF(B2513="","","office")</f>
        <v/>
      </c>
      <c r="D2513" s="17">
        <f>IF(B2513="","",IFERROR(INDEX(Clay_Offices!$A$2:$FZ$601,262,Sync!$C$5)&amp;"",""))</f>
        <v/>
      </c>
      <c r="E2513" s="17">
        <f>IF(B2513="","",IFERROR(INDEX(Clay_Offices!$A$2:$FZ$601,262,Sync!$C$6)&amp;"",""))</f>
        <v/>
      </c>
      <c r="F2513" s="17">
        <f>IF(B2513="","","outreach_sent")</f>
        <v/>
      </c>
      <c r="G2513" s="17">
        <f>IF(B2513="","","")</f>
        <v/>
      </c>
      <c r="H2513" s="17">
        <f>IF(B2513="","","")</f>
        <v/>
      </c>
      <c r="I2513" s="17">
        <f>IF(B2513="","","")</f>
        <v/>
      </c>
      <c r="J2513" s="17">
        <f>IF(B2513="","","touch_2; "&amp;IFERROR(INDEX(Clay_Offices!$A$2:$FZ$601,262,Sync!$C$10)&amp;"","")&amp;"; "&amp;IFERROR(INDEX(Clay_Offices!$A$2:$FZ$601,262,Sync!$C$9)&amp;"",""))</f>
        <v/>
      </c>
      <c r="K2513" t="inlineStr">
        <is>
          <t>office outreach touch 2</t>
        </is>
      </c>
    </row>
    <row r="2514">
      <c r="A2514" s="17">
        <f>IF(B2514="","",B2514+(13*1000+263)/10000000)</f>
        <v/>
      </c>
      <c r="B2514" s="23">
        <f>IF(AND(IFERROR(N(INDEX(Clay_Offices!$A$2:$FZ$601,263,Sync!$C$12)),0)&gt;0,IFERROR(INDEX(Clay_Offices!$A$2:$FZ$601,263,Sync!$C$5)&amp;"","")&lt;&gt;"",OR(LEFT(IFERROR(INDEX(Clay_Offices!$A$2:$FZ$601,263,Sync!$C$5)&amp;"",""),6)&lt;&gt;"SAMPLE",Config!$B$19="Y")),IFERROR(N(INDEX(Clay_Offices!$A$2:$FZ$601,263,Sync!$C$12)),0),"")</f>
        <v/>
      </c>
      <c r="C2514" s="17">
        <f>IF(B2514="","","office")</f>
        <v/>
      </c>
      <c r="D2514" s="17">
        <f>IF(B2514="","",IFERROR(INDEX(Clay_Offices!$A$2:$FZ$601,263,Sync!$C$5)&amp;"",""))</f>
        <v/>
      </c>
      <c r="E2514" s="17">
        <f>IF(B2514="","",IFERROR(INDEX(Clay_Offices!$A$2:$FZ$601,263,Sync!$C$6)&amp;"",""))</f>
        <v/>
      </c>
      <c r="F2514" s="17">
        <f>IF(B2514="","","outreach_sent")</f>
        <v/>
      </c>
      <c r="G2514" s="17">
        <f>IF(B2514="","","")</f>
        <v/>
      </c>
      <c r="H2514" s="17">
        <f>IF(B2514="","","")</f>
        <v/>
      </c>
      <c r="I2514" s="17">
        <f>IF(B2514="","","")</f>
        <v/>
      </c>
      <c r="J2514" s="17">
        <f>IF(B2514="","","touch_2; "&amp;IFERROR(INDEX(Clay_Offices!$A$2:$FZ$601,263,Sync!$C$10)&amp;"","")&amp;"; "&amp;IFERROR(INDEX(Clay_Offices!$A$2:$FZ$601,263,Sync!$C$9)&amp;"",""))</f>
        <v/>
      </c>
      <c r="K2514" t="inlineStr">
        <is>
          <t>office outreach touch 2</t>
        </is>
      </c>
    </row>
    <row r="2515">
      <c r="A2515" s="17">
        <f>IF(B2515="","",B2515+(13*1000+264)/10000000)</f>
        <v/>
      </c>
      <c r="B2515" s="23">
        <f>IF(AND(IFERROR(N(INDEX(Clay_Offices!$A$2:$FZ$601,264,Sync!$C$12)),0)&gt;0,IFERROR(INDEX(Clay_Offices!$A$2:$FZ$601,264,Sync!$C$5)&amp;"","")&lt;&gt;"",OR(LEFT(IFERROR(INDEX(Clay_Offices!$A$2:$FZ$601,264,Sync!$C$5)&amp;"",""),6)&lt;&gt;"SAMPLE",Config!$B$19="Y")),IFERROR(N(INDEX(Clay_Offices!$A$2:$FZ$601,264,Sync!$C$12)),0),"")</f>
        <v/>
      </c>
      <c r="C2515" s="17">
        <f>IF(B2515="","","office")</f>
        <v/>
      </c>
      <c r="D2515" s="17">
        <f>IF(B2515="","",IFERROR(INDEX(Clay_Offices!$A$2:$FZ$601,264,Sync!$C$5)&amp;"",""))</f>
        <v/>
      </c>
      <c r="E2515" s="17">
        <f>IF(B2515="","",IFERROR(INDEX(Clay_Offices!$A$2:$FZ$601,264,Sync!$C$6)&amp;"",""))</f>
        <v/>
      </c>
      <c r="F2515" s="17">
        <f>IF(B2515="","","outreach_sent")</f>
        <v/>
      </c>
      <c r="G2515" s="17">
        <f>IF(B2515="","","")</f>
        <v/>
      </c>
      <c r="H2515" s="17">
        <f>IF(B2515="","","")</f>
        <v/>
      </c>
      <c r="I2515" s="17">
        <f>IF(B2515="","","")</f>
        <v/>
      </c>
      <c r="J2515" s="17">
        <f>IF(B2515="","","touch_2; "&amp;IFERROR(INDEX(Clay_Offices!$A$2:$FZ$601,264,Sync!$C$10)&amp;"","")&amp;"; "&amp;IFERROR(INDEX(Clay_Offices!$A$2:$FZ$601,264,Sync!$C$9)&amp;"",""))</f>
        <v/>
      </c>
      <c r="K2515" t="inlineStr">
        <is>
          <t>office outreach touch 2</t>
        </is>
      </c>
    </row>
    <row r="2516">
      <c r="A2516" s="17">
        <f>IF(B2516="","",B2516+(13*1000+265)/10000000)</f>
        <v/>
      </c>
      <c r="B2516" s="23">
        <f>IF(AND(IFERROR(N(INDEX(Clay_Offices!$A$2:$FZ$601,265,Sync!$C$12)),0)&gt;0,IFERROR(INDEX(Clay_Offices!$A$2:$FZ$601,265,Sync!$C$5)&amp;"","")&lt;&gt;"",OR(LEFT(IFERROR(INDEX(Clay_Offices!$A$2:$FZ$601,265,Sync!$C$5)&amp;"",""),6)&lt;&gt;"SAMPLE",Config!$B$19="Y")),IFERROR(N(INDEX(Clay_Offices!$A$2:$FZ$601,265,Sync!$C$12)),0),"")</f>
        <v/>
      </c>
      <c r="C2516" s="17">
        <f>IF(B2516="","","office")</f>
        <v/>
      </c>
      <c r="D2516" s="17">
        <f>IF(B2516="","",IFERROR(INDEX(Clay_Offices!$A$2:$FZ$601,265,Sync!$C$5)&amp;"",""))</f>
        <v/>
      </c>
      <c r="E2516" s="17">
        <f>IF(B2516="","",IFERROR(INDEX(Clay_Offices!$A$2:$FZ$601,265,Sync!$C$6)&amp;"",""))</f>
        <v/>
      </c>
      <c r="F2516" s="17">
        <f>IF(B2516="","","outreach_sent")</f>
        <v/>
      </c>
      <c r="G2516" s="17">
        <f>IF(B2516="","","")</f>
        <v/>
      </c>
      <c r="H2516" s="17">
        <f>IF(B2516="","","")</f>
        <v/>
      </c>
      <c r="I2516" s="17">
        <f>IF(B2516="","","")</f>
        <v/>
      </c>
      <c r="J2516" s="17">
        <f>IF(B2516="","","touch_2; "&amp;IFERROR(INDEX(Clay_Offices!$A$2:$FZ$601,265,Sync!$C$10)&amp;"","")&amp;"; "&amp;IFERROR(INDEX(Clay_Offices!$A$2:$FZ$601,265,Sync!$C$9)&amp;"",""))</f>
        <v/>
      </c>
      <c r="K2516" t="inlineStr">
        <is>
          <t>office outreach touch 2</t>
        </is>
      </c>
    </row>
    <row r="2517">
      <c r="A2517" s="17">
        <f>IF(B2517="","",B2517+(13*1000+266)/10000000)</f>
        <v/>
      </c>
      <c r="B2517" s="23">
        <f>IF(AND(IFERROR(N(INDEX(Clay_Offices!$A$2:$FZ$601,266,Sync!$C$12)),0)&gt;0,IFERROR(INDEX(Clay_Offices!$A$2:$FZ$601,266,Sync!$C$5)&amp;"","")&lt;&gt;"",OR(LEFT(IFERROR(INDEX(Clay_Offices!$A$2:$FZ$601,266,Sync!$C$5)&amp;"",""),6)&lt;&gt;"SAMPLE",Config!$B$19="Y")),IFERROR(N(INDEX(Clay_Offices!$A$2:$FZ$601,266,Sync!$C$12)),0),"")</f>
        <v/>
      </c>
      <c r="C2517" s="17">
        <f>IF(B2517="","","office")</f>
        <v/>
      </c>
      <c r="D2517" s="17">
        <f>IF(B2517="","",IFERROR(INDEX(Clay_Offices!$A$2:$FZ$601,266,Sync!$C$5)&amp;"",""))</f>
        <v/>
      </c>
      <c r="E2517" s="17">
        <f>IF(B2517="","",IFERROR(INDEX(Clay_Offices!$A$2:$FZ$601,266,Sync!$C$6)&amp;"",""))</f>
        <v/>
      </c>
      <c r="F2517" s="17">
        <f>IF(B2517="","","outreach_sent")</f>
        <v/>
      </c>
      <c r="G2517" s="17">
        <f>IF(B2517="","","")</f>
        <v/>
      </c>
      <c r="H2517" s="17">
        <f>IF(B2517="","","")</f>
        <v/>
      </c>
      <c r="I2517" s="17">
        <f>IF(B2517="","","")</f>
        <v/>
      </c>
      <c r="J2517" s="17">
        <f>IF(B2517="","","touch_2; "&amp;IFERROR(INDEX(Clay_Offices!$A$2:$FZ$601,266,Sync!$C$10)&amp;"","")&amp;"; "&amp;IFERROR(INDEX(Clay_Offices!$A$2:$FZ$601,266,Sync!$C$9)&amp;"",""))</f>
        <v/>
      </c>
      <c r="K2517" t="inlineStr">
        <is>
          <t>office outreach touch 2</t>
        </is>
      </c>
    </row>
    <row r="2518">
      <c r="A2518" s="17">
        <f>IF(B2518="","",B2518+(13*1000+267)/10000000)</f>
        <v/>
      </c>
      <c r="B2518" s="23">
        <f>IF(AND(IFERROR(N(INDEX(Clay_Offices!$A$2:$FZ$601,267,Sync!$C$12)),0)&gt;0,IFERROR(INDEX(Clay_Offices!$A$2:$FZ$601,267,Sync!$C$5)&amp;"","")&lt;&gt;"",OR(LEFT(IFERROR(INDEX(Clay_Offices!$A$2:$FZ$601,267,Sync!$C$5)&amp;"",""),6)&lt;&gt;"SAMPLE",Config!$B$19="Y")),IFERROR(N(INDEX(Clay_Offices!$A$2:$FZ$601,267,Sync!$C$12)),0),"")</f>
        <v/>
      </c>
      <c r="C2518" s="17">
        <f>IF(B2518="","","office")</f>
        <v/>
      </c>
      <c r="D2518" s="17">
        <f>IF(B2518="","",IFERROR(INDEX(Clay_Offices!$A$2:$FZ$601,267,Sync!$C$5)&amp;"",""))</f>
        <v/>
      </c>
      <c r="E2518" s="17">
        <f>IF(B2518="","",IFERROR(INDEX(Clay_Offices!$A$2:$FZ$601,267,Sync!$C$6)&amp;"",""))</f>
        <v/>
      </c>
      <c r="F2518" s="17">
        <f>IF(B2518="","","outreach_sent")</f>
        <v/>
      </c>
      <c r="G2518" s="17">
        <f>IF(B2518="","","")</f>
        <v/>
      </c>
      <c r="H2518" s="17">
        <f>IF(B2518="","","")</f>
        <v/>
      </c>
      <c r="I2518" s="17">
        <f>IF(B2518="","","")</f>
        <v/>
      </c>
      <c r="J2518" s="17">
        <f>IF(B2518="","","touch_2; "&amp;IFERROR(INDEX(Clay_Offices!$A$2:$FZ$601,267,Sync!$C$10)&amp;"","")&amp;"; "&amp;IFERROR(INDEX(Clay_Offices!$A$2:$FZ$601,267,Sync!$C$9)&amp;"",""))</f>
        <v/>
      </c>
      <c r="K2518" t="inlineStr">
        <is>
          <t>office outreach touch 2</t>
        </is>
      </c>
    </row>
    <row r="2519">
      <c r="A2519" s="17">
        <f>IF(B2519="","",B2519+(13*1000+268)/10000000)</f>
        <v/>
      </c>
      <c r="B2519" s="23">
        <f>IF(AND(IFERROR(N(INDEX(Clay_Offices!$A$2:$FZ$601,268,Sync!$C$12)),0)&gt;0,IFERROR(INDEX(Clay_Offices!$A$2:$FZ$601,268,Sync!$C$5)&amp;"","")&lt;&gt;"",OR(LEFT(IFERROR(INDEX(Clay_Offices!$A$2:$FZ$601,268,Sync!$C$5)&amp;"",""),6)&lt;&gt;"SAMPLE",Config!$B$19="Y")),IFERROR(N(INDEX(Clay_Offices!$A$2:$FZ$601,268,Sync!$C$12)),0),"")</f>
        <v/>
      </c>
      <c r="C2519" s="17">
        <f>IF(B2519="","","office")</f>
        <v/>
      </c>
      <c r="D2519" s="17">
        <f>IF(B2519="","",IFERROR(INDEX(Clay_Offices!$A$2:$FZ$601,268,Sync!$C$5)&amp;"",""))</f>
        <v/>
      </c>
      <c r="E2519" s="17">
        <f>IF(B2519="","",IFERROR(INDEX(Clay_Offices!$A$2:$FZ$601,268,Sync!$C$6)&amp;"",""))</f>
        <v/>
      </c>
      <c r="F2519" s="17">
        <f>IF(B2519="","","outreach_sent")</f>
        <v/>
      </c>
      <c r="G2519" s="17">
        <f>IF(B2519="","","")</f>
        <v/>
      </c>
      <c r="H2519" s="17">
        <f>IF(B2519="","","")</f>
        <v/>
      </c>
      <c r="I2519" s="17">
        <f>IF(B2519="","","")</f>
        <v/>
      </c>
      <c r="J2519" s="17">
        <f>IF(B2519="","","touch_2; "&amp;IFERROR(INDEX(Clay_Offices!$A$2:$FZ$601,268,Sync!$C$10)&amp;"","")&amp;"; "&amp;IFERROR(INDEX(Clay_Offices!$A$2:$FZ$601,268,Sync!$C$9)&amp;"",""))</f>
        <v/>
      </c>
      <c r="K2519" t="inlineStr">
        <is>
          <t>office outreach touch 2</t>
        </is>
      </c>
    </row>
    <row r="2520">
      <c r="A2520" s="17">
        <f>IF(B2520="","",B2520+(13*1000+269)/10000000)</f>
        <v/>
      </c>
      <c r="B2520" s="23">
        <f>IF(AND(IFERROR(N(INDEX(Clay_Offices!$A$2:$FZ$601,269,Sync!$C$12)),0)&gt;0,IFERROR(INDEX(Clay_Offices!$A$2:$FZ$601,269,Sync!$C$5)&amp;"","")&lt;&gt;"",OR(LEFT(IFERROR(INDEX(Clay_Offices!$A$2:$FZ$601,269,Sync!$C$5)&amp;"",""),6)&lt;&gt;"SAMPLE",Config!$B$19="Y")),IFERROR(N(INDEX(Clay_Offices!$A$2:$FZ$601,269,Sync!$C$12)),0),"")</f>
        <v/>
      </c>
      <c r="C2520" s="17">
        <f>IF(B2520="","","office")</f>
        <v/>
      </c>
      <c r="D2520" s="17">
        <f>IF(B2520="","",IFERROR(INDEX(Clay_Offices!$A$2:$FZ$601,269,Sync!$C$5)&amp;"",""))</f>
        <v/>
      </c>
      <c r="E2520" s="17">
        <f>IF(B2520="","",IFERROR(INDEX(Clay_Offices!$A$2:$FZ$601,269,Sync!$C$6)&amp;"",""))</f>
        <v/>
      </c>
      <c r="F2520" s="17">
        <f>IF(B2520="","","outreach_sent")</f>
        <v/>
      </c>
      <c r="G2520" s="17">
        <f>IF(B2520="","","")</f>
        <v/>
      </c>
      <c r="H2520" s="17">
        <f>IF(B2520="","","")</f>
        <v/>
      </c>
      <c r="I2520" s="17">
        <f>IF(B2520="","","")</f>
        <v/>
      </c>
      <c r="J2520" s="17">
        <f>IF(B2520="","","touch_2; "&amp;IFERROR(INDEX(Clay_Offices!$A$2:$FZ$601,269,Sync!$C$10)&amp;"","")&amp;"; "&amp;IFERROR(INDEX(Clay_Offices!$A$2:$FZ$601,269,Sync!$C$9)&amp;"",""))</f>
        <v/>
      </c>
      <c r="K2520" t="inlineStr">
        <is>
          <t>office outreach touch 2</t>
        </is>
      </c>
    </row>
    <row r="2521">
      <c r="A2521" s="17">
        <f>IF(B2521="","",B2521+(13*1000+270)/10000000)</f>
        <v/>
      </c>
      <c r="B2521" s="23">
        <f>IF(AND(IFERROR(N(INDEX(Clay_Offices!$A$2:$FZ$601,270,Sync!$C$12)),0)&gt;0,IFERROR(INDEX(Clay_Offices!$A$2:$FZ$601,270,Sync!$C$5)&amp;"","")&lt;&gt;"",OR(LEFT(IFERROR(INDEX(Clay_Offices!$A$2:$FZ$601,270,Sync!$C$5)&amp;"",""),6)&lt;&gt;"SAMPLE",Config!$B$19="Y")),IFERROR(N(INDEX(Clay_Offices!$A$2:$FZ$601,270,Sync!$C$12)),0),"")</f>
        <v/>
      </c>
      <c r="C2521" s="17">
        <f>IF(B2521="","","office")</f>
        <v/>
      </c>
      <c r="D2521" s="17">
        <f>IF(B2521="","",IFERROR(INDEX(Clay_Offices!$A$2:$FZ$601,270,Sync!$C$5)&amp;"",""))</f>
        <v/>
      </c>
      <c r="E2521" s="17">
        <f>IF(B2521="","",IFERROR(INDEX(Clay_Offices!$A$2:$FZ$601,270,Sync!$C$6)&amp;"",""))</f>
        <v/>
      </c>
      <c r="F2521" s="17">
        <f>IF(B2521="","","outreach_sent")</f>
        <v/>
      </c>
      <c r="G2521" s="17">
        <f>IF(B2521="","","")</f>
        <v/>
      </c>
      <c r="H2521" s="17">
        <f>IF(B2521="","","")</f>
        <v/>
      </c>
      <c r="I2521" s="17">
        <f>IF(B2521="","","")</f>
        <v/>
      </c>
      <c r="J2521" s="17">
        <f>IF(B2521="","","touch_2; "&amp;IFERROR(INDEX(Clay_Offices!$A$2:$FZ$601,270,Sync!$C$10)&amp;"","")&amp;"; "&amp;IFERROR(INDEX(Clay_Offices!$A$2:$FZ$601,270,Sync!$C$9)&amp;"",""))</f>
        <v/>
      </c>
      <c r="K2521" t="inlineStr">
        <is>
          <t>office outreach touch 2</t>
        </is>
      </c>
    </row>
    <row r="2522">
      <c r="A2522" s="17">
        <f>IF(B2522="","",B2522+(13*1000+271)/10000000)</f>
        <v/>
      </c>
      <c r="B2522" s="23">
        <f>IF(AND(IFERROR(N(INDEX(Clay_Offices!$A$2:$FZ$601,271,Sync!$C$12)),0)&gt;0,IFERROR(INDEX(Clay_Offices!$A$2:$FZ$601,271,Sync!$C$5)&amp;"","")&lt;&gt;"",OR(LEFT(IFERROR(INDEX(Clay_Offices!$A$2:$FZ$601,271,Sync!$C$5)&amp;"",""),6)&lt;&gt;"SAMPLE",Config!$B$19="Y")),IFERROR(N(INDEX(Clay_Offices!$A$2:$FZ$601,271,Sync!$C$12)),0),"")</f>
        <v/>
      </c>
      <c r="C2522" s="17">
        <f>IF(B2522="","","office")</f>
        <v/>
      </c>
      <c r="D2522" s="17">
        <f>IF(B2522="","",IFERROR(INDEX(Clay_Offices!$A$2:$FZ$601,271,Sync!$C$5)&amp;"",""))</f>
        <v/>
      </c>
      <c r="E2522" s="17">
        <f>IF(B2522="","",IFERROR(INDEX(Clay_Offices!$A$2:$FZ$601,271,Sync!$C$6)&amp;"",""))</f>
        <v/>
      </c>
      <c r="F2522" s="17">
        <f>IF(B2522="","","outreach_sent")</f>
        <v/>
      </c>
      <c r="G2522" s="17">
        <f>IF(B2522="","","")</f>
        <v/>
      </c>
      <c r="H2522" s="17">
        <f>IF(B2522="","","")</f>
        <v/>
      </c>
      <c r="I2522" s="17">
        <f>IF(B2522="","","")</f>
        <v/>
      </c>
      <c r="J2522" s="17">
        <f>IF(B2522="","","touch_2; "&amp;IFERROR(INDEX(Clay_Offices!$A$2:$FZ$601,271,Sync!$C$10)&amp;"","")&amp;"; "&amp;IFERROR(INDEX(Clay_Offices!$A$2:$FZ$601,271,Sync!$C$9)&amp;"",""))</f>
        <v/>
      </c>
      <c r="K2522" t="inlineStr">
        <is>
          <t>office outreach touch 2</t>
        </is>
      </c>
    </row>
    <row r="2523">
      <c r="A2523" s="17">
        <f>IF(B2523="","",B2523+(13*1000+272)/10000000)</f>
        <v/>
      </c>
      <c r="B2523" s="23">
        <f>IF(AND(IFERROR(N(INDEX(Clay_Offices!$A$2:$FZ$601,272,Sync!$C$12)),0)&gt;0,IFERROR(INDEX(Clay_Offices!$A$2:$FZ$601,272,Sync!$C$5)&amp;"","")&lt;&gt;"",OR(LEFT(IFERROR(INDEX(Clay_Offices!$A$2:$FZ$601,272,Sync!$C$5)&amp;"",""),6)&lt;&gt;"SAMPLE",Config!$B$19="Y")),IFERROR(N(INDEX(Clay_Offices!$A$2:$FZ$601,272,Sync!$C$12)),0),"")</f>
        <v/>
      </c>
      <c r="C2523" s="17">
        <f>IF(B2523="","","office")</f>
        <v/>
      </c>
      <c r="D2523" s="17">
        <f>IF(B2523="","",IFERROR(INDEX(Clay_Offices!$A$2:$FZ$601,272,Sync!$C$5)&amp;"",""))</f>
        <v/>
      </c>
      <c r="E2523" s="17">
        <f>IF(B2523="","",IFERROR(INDEX(Clay_Offices!$A$2:$FZ$601,272,Sync!$C$6)&amp;"",""))</f>
        <v/>
      </c>
      <c r="F2523" s="17">
        <f>IF(B2523="","","outreach_sent")</f>
        <v/>
      </c>
      <c r="G2523" s="17">
        <f>IF(B2523="","","")</f>
        <v/>
      </c>
      <c r="H2523" s="17">
        <f>IF(B2523="","","")</f>
        <v/>
      </c>
      <c r="I2523" s="17">
        <f>IF(B2523="","","")</f>
        <v/>
      </c>
      <c r="J2523" s="17">
        <f>IF(B2523="","","touch_2; "&amp;IFERROR(INDEX(Clay_Offices!$A$2:$FZ$601,272,Sync!$C$10)&amp;"","")&amp;"; "&amp;IFERROR(INDEX(Clay_Offices!$A$2:$FZ$601,272,Sync!$C$9)&amp;"",""))</f>
        <v/>
      </c>
      <c r="K2523" t="inlineStr">
        <is>
          <t>office outreach touch 2</t>
        </is>
      </c>
    </row>
    <row r="2524">
      <c r="A2524" s="17">
        <f>IF(B2524="","",B2524+(13*1000+273)/10000000)</f>
        <v/>
      </c>
      <c r="B2524" s="23">
        <f>IF(AND(IFERROR(N(INDEX(Clay_Offices!$A$2:$FZ$601,273,Sync!$C$12)),0)&gt;0,IFERROR(INDEX(Clay_Offices!$A$2:$FZ$601,273,Sync!$C$5)&amp;"","")&lt;&gt;"",OR(LEFT(IFERROR(INDEX(Clay_Offices!$A$2:$FZ$601,273,Sync!$C$5)&amp;"",""),6)&lt;&gt;"SAMPLE",Config!$B$19="Y")),IFERROR(N(INDEX(Clay_Offices!$A$2:$FZ$601,273,Sync!$C$12)),0),"")</f>
        <v/>
      </c>
      <c r="C2524" s="17">
        <f>IF(B2524="","","office")</f>
        <v/>
      </c>
      <c r="D2524" s="17">
        <f>IF(B2524="","",IFERROR(INDEX(Clay_Offices!$A$2:$FZ$601,273,Sync!$C$5)&amp;"",""))</f>
        <v/>
      </c>
      <c r="E2524" s="17">
        <f>IF(B2524="","",IFERROR(INDEX(Clay_Offices!$A$2:$FZ$601,273,Sync!$C$6)&amp;"",""))</f>
        <v/>
      </c>
      <c r="F2524" s="17">
        <f>IF(B2524="","","outreach_sent")</f>
        <v/>
      </c>
      <c r="G2524" s="17">
        <f>IF(B2524="","","")</f>
        <v/>
      </c>
      <c r="H2524" s="17">
        <f>IF(B2524="","","")</f>
        <v/>
      </c>
      <c r="I2524" s="17">
        <f>IF(B2524="","","")</f>
        <v/>
      </c>
      <c r="J2524" s="17">
        <f>IF(B2524="","","touch_2; "&amp;IFERROR(INDEX(Clay_Offices!$A$2:$FZ$601,273,Sync!$C$10)&amp;"","")&amp;"; "&amp;IFERROR(INDEX(Clay_Offices!$A$2:$FZ$601,273,Sync!$C$9)&amp;"",""))</f>
        <v/>
      </c>
      <c r="K2524" t="inlineStr">
        <is>
          <t>office outreach touch 2</t>
        </is>
      </c>
    </row>
    <row r="2525">
      <c r="A2525" s="17">
        <f>IF(B2525="","",B2525+(13*1000+274)/10000000)</f>
        <v/>
      </c>
      <c r="B2525" s="23">
        <f>IF(AND(IFERROR(N(INDEX(Clay_Offices!$A$2:$FZ$601,274,Sync!$C$12)),0)&gt;0,IFERROR(INDEX(Clay_Offices!$A$2:$FZ$601,274,Sync!$C$5)&amp;"","")&lt;&gt;"",OR(LEFT(IFERROR(INDEX(Clay_Offices!$A$2:$FZ$601,274,Sync!$C$5)&amp;"",""),6)&lt;&gt;"SAMPLE",Config!$B$19="Y")),IFERROR(N(INDEX(Clay_Offices!$A$2:$FZ$601,274,Sync!$C$12)),0),"")</f>
        <v/>
      </c>
      <c r="C2525" s="17">
        <f>IF(B2525="","","office")</f>
        <v/>
      </c>
      <c r="D2525" s="17">
        <f>IF(B2525="","",IFERROR(INDEX(Clay_Offices!$A$2:$FZ$601,274,Sync!$C$5)&amp;"",""))</f>
        <v/>
      </c>
      <c r="E2525" s="17">
        <f>IF(B2525="","",IFERROR(INDEX(Clay_Offices!$A$2:$FZ$601,274,Sync!$C$6)&amp;"",""))</f>
        <v/>
      </c>
      <c r="F2525" s="17">
        <f>IF(B2525="","","outreach_sent")</f>
        <v/>
      </c>
      <c r="G2525" s="17">
        <f>IF(B2525="","","")</f>
        <v/>
      </c>
      <c r="H2525" s="17">
        <f>IF(B2525="","","")</f>
        <v/>
      </c>
      <c r="I2525" s="17">
        <f>IF(B2525="","","")</f>
        <v/>
      </c>
      <c r="J2525" s="17">
        <f>IF(B2525="","","touch_2; "&amp;IFERROR(INDEX(Clay_Offices!$A$2:$FZ$601,274,Sync!$C$10)&amp;"","")&amp;"; "&amp;IFERROR(INDEX(Clay_Offices!$A$2:$FZ$601,274,Sync!$C$9)&amp;"",""))</f>
        <v/>
      </c>
      <c r="K2525" t="inlineStr">
        <is>
          <t>office outreach touch 2</t>
        </is>
      </c>
    </row>
    <row r="2526">
      <c r="A2526" s="17">
        <f>IF(B2526="","",B2526+(13*1000+275)/10000000)</f>
        <v/>
      </c>
      <c r="B2526" s="23">
        <f>IF(AND(IFERROR(N(INDEX(Clay_Offices!$A$2:$FZ$601,275,Sync!$C$12)),0)&gt;0,IFERROR(INDEX(Clay_Offices!$A$2:$FZ$601,275,Sync!$C$5)&amp;"","")&lt;&gt;"",OR(LEFT(IFERROR(INDEX(Clay_Offices!$A$2:$FZ$601,275,Sync!$C$5)&amp;"",""),6)&lt;&gt;"SAMPLE",Config!$B$19="Y")),IFERROR(N(INDEX(Clay_Offices!$A$2:$FZ$601,275,Sync!$C$12)),0),"")</f>
        <v/>
      </c>
      <c r="C2526" s="17">
        <f>IF(B2526="","","office")</f>
        <v/>
      </c>
      <c r="D2526" s="17">
        <f>IF(B2526="","",IFERROR(INDEX(Clay_Offices!$A$2:$FZ$601,275,Sync!$C$5)&amp;"",""))</f>
        <v/>
      </c>
      <c r="E2526" s="17">
        <f>IF(B2526="","",IFERROR(INDEX(Clay_Offices!$A$2:$FZ$601,275,Sync!$C$6)&amp;"",""))</f>
        <v/>
      </c>
      <c r="F2526" s="17">
        <f>IF(B2526="","","outreach_sent")</f>
        <v/>
      </c>
      <c r="G2526" s="17">
        <f>IF(B2526="","","")</f>
        <v/>
      </c>
      <c r="H2526" s="17">
        <f>IF(B2526="","","")</f>
        <v/>
      </c>
      <c r="I2526" s="17">
        <f>IF(B2526="","","")</f>
        <v/>
      </c>
      <c r="J2526" s="17">
        <f>IF(B2526="","","touch_2; "&amp;IFERROR(INDEX(Clay_Offices!$A$2:$FZ$601,275,Sync!$C$10)&amp;"","")&amp;"; "&amp;IFERROR(INDEX(Clay_Offices!$A$2:$FZ$601,275,Sync!$C$9)&amp;"",""))</f>
        <v/>
      </c>
      <c r="K2526" t="inlineStr">
        <is>
          <t>office outreach touch 2</t>
        </is>
      </c>
    </row>
    <row r="2527">
      <c r="A2527" s="17">
        <f>IF(B2527="","",B2527+(13*1000+276)/10000000)</f>
        <v/>
      </c>
      <c r="B2527" s="23">
        <f>IF(AND(IFERROR(N(INDEX(Clay_Offices!$A$2:$FZ$601,276,Sync!$C$12)),0)&gt;0,IFERROR(INDEX(Clay_Offices!$A$2:$FZ$601,276,Sync!$C$5)&amp;"","")&lt;&gt;"",OR(LEFT(IFERROR(INDEX(Clay_Offices!$A$2:$FZ$601,276,Sync!$C$5)&amp;"",""),6)&lt;&gt;"SAMPLE",Config!$B$19="Y")),IFERROR(N(INDEX(Clay_Offices!$A$2:$FZ$601,276,Sync!$C$12)),0),"")</f>
        <v/>
      </c>
      <c r="C2527" s="17">
        <f>IF(B2527="","","office")</f>
        <v/>
      </c>
      <c r="D2527" s="17">
        <f>IF(B2527="","",IFERROR(INDEX(Clay_Offices!$A$2:$FZ$601,276,Sync!$C$5)&amp;"",""))</f>
        <v/>
      </c>
      <c r="E2527" s="17">
        <f>IF(B2527="","",IFERROR(INDEX(Clay_Offices!$A$2:$FZ$601,276,Sync!$C$6)&amp;"",""))</f>
        <v/>
      </c>
      <c r="F2527" s="17">
        <f>IF(B2527="","","outreach_sent")</f>
        <v/>
      </c>
      <c r="G2527" s="17">
        <f>IF(B2527="","","")</f>
        <v/>
      </c>
      <c r="H2527" s="17">
        <f>IF(B2527="","","")</f>
        <v/>
      </c>
      <c r="I2527" s="17">
        <f>IF(B2527="","","")</f>
        <v/>
      </c>
      <c r="J2527" s="17">
        <f>IF(B2527="","","touch_2; "&amp;IFERROR(INDEX(Clay_Offices!$A$2:$FZ$601,276,Sync!$C$10)&amp;"","")&amp;"; "&amp;IFERROR(INDEX(Clay_Offices!$A$2:$FZ$601,276,Sync!$C$9)&amp;"",""))</f>
        <v/>
      </c>
      <c r="K2527" t="inlineStr">
        <is>
          <t>office outreach touch 2</t>
        </is>
      </c>
    </row>
    <row r="2528">
      <c r="A2528" s="17">
        <f>IF(B2528="","",B2528+(13*1000+277)/10000000)</f>
        <v/>
      </c>
      <c r="B2528" s="23">
        <f>IF(AND(IFERROR(N(INDEX(Clay_Offices!$A$2:$FZ$601,277,Sync!$C$12)),0)&gt;0,IFERROR(INDEX(Clay_Offices!$A$2:$FZ$601,277,Sync!$C$5)&amp;"","")&lt;&gt;"",OR(LEFT(IFERROR(INDEX(Clay_Offices!$A$2:$FZ$601,277,Sync!$C$5)&amp;"",""),6)&lt;&gt;"SAMPLE",Config!$B$19="Y")),IFERROR(N(INDEX(Clay_Offices!$A$2:$FZ$601,277,Sync!$C$12)),0),"")</f>
        <v/>
      </c>
      <c r="C2528" s="17">
        <f>IF(B2528="","","office")</f>
        <v/>
      </c>
      <c r="D2528" s="17">
        <f>IF(B2528="","",IFERROR(INDEX(Clay_Offices!$A$2:$FZ$601,277,Sync!$C$5)&amp;"",""))</f>
        <v/>
      </c>
      <c r="E2528" s="17">
        <f>IF(B2528="","",IFERROR(INDEX(Clay_Offices!$A$2:$FZ$601,277,Sync!$C$6)&amp;"",""))</f>
        <v/>
      </c>
      <c r="F2528" s="17">
        <f>IF(B2528="","","outreach_sent")</f>
        <v/>
      </c>
      <c r="G2528" s="17">
        <f>IF(B2528="","","")</f>
        <v/>
      </c>
      <c r="H2528" s="17">
        <f>IF(B2528="","","")</f>
        <v/>
      </c>
      <c r="I2528" s="17">
        <f>IF(B2528="","","")</f>
        <v/>
      </c>
      <c r="J2528" s="17">
        <f>IF(B2528="","","touch_2; "&amp;IFERROR(INDEX(Clay_Offices!$A$2:$FZ$601,277,Sync!$C$10)&amp;"","")&amp;"; "&amp;IFERROR(INDEX(Clay_Offices!$A$2:$FZ$601,277,Sync!$C$9)&amp;"",""))</f>
        <v/>
      </c>
      <c r="K2528" t="inlineStr">
        <is>
          <t>office outreach touch 2</t>
        </is>
      </c>
    </row>
    <row r="2529">
      <c r="A2529" s="17">
        <f>IF(B2529="","",B2529+(13*1000+278)/10000000)</f>
        <v/>
      </c>
      <c r="B2529" s="23">
        <f>IF(AND(IFERROR(N(INDEX(Clay_Offices!$A$2:$FZ$601,278,Sync!$C$12)),0)&gt;0,IFERROR(INDEX(Clay_Offices!$A$2:$FZ$601,278,Sync!$C$5)&amp;"","")&lt;&gt;"",OR(LEFT(IFERROR(INDEX(Clay_Offices!$A$2:$FZ$601,278,Sync!$C$5)&amp;"",""),6)&lt;&gt;"SAMPLE",Config!$B$19="Y")),IFERROR(N(INDEX(Clay_Offices!$A$2:$FZ$601,278,Sync!$C$12)),0),"")</f>
        <v/>
      </c>
      <c r="C2529" s="17">
        <f>IF(B2529="","","office")</f>
        <v/>
      </c>
      <c r="D2529" s="17">
        <f>IF(B2529="","",IFERROR(INDEX(Clay_Offices!$A$2:$FZ$601,278,Sync!$C$5)&amp;"",""))</f>
        <v/>
      </c>
      <c r="E2529" s="17">
        <f>IF(B2529="","",IFERROR(INDEX(Clay_Offices!$A$2:$FZ$601,278,Sync!$C$6)&amp;"",""))</f>
        <v/>
      </c>
      <c r="F2529" s="17">
        <f>IF(B2529="","","outreach_sent")</f>
        <v/>
      </c>
      <c r="G2529" s="17">
        <f>IF(B2529="","","")</f>
        <v/>
      </c>
      <c r="H2529" s="17">
        <f>IF(B2529="","","")</f>
        <v/>
      </c>
      <c r="I2529" s="17">
        <f>IF(B2529="","","")</f>
        <v/>
      </c>
      <c r="J2529" s="17">
        <f>IF(B2529="","","touch_2; "&amp;IFERROR(INDEX(Clay_Offices!$A$2:$FZ$601,278,Sync!$C$10)&amp;"","")&amp;"; "&amp;IFERROR(INDEX(Clay_Offices!$A$2:$FZ$601,278,Sync!$C$9)&amp;"",""))</f>
        <v/>
      </c>
      <c r="K2529" t="inlineStr">
        <is>
          <t>office outreach touch 2</t>
        </is>
      </c>
    </row>
    <row r="2530">
      <c r="A2530" s="17">
        <f>IF(B2530="","",B2530+(13*1000+279)/10000000)</f>
        <v/>
      </c>
      <c r="B2530" s="23">
        <f>IF(AND(IFERROR(N(INDEX(Clay_Offices!$A$2:$FZ$601,279,Sync!$C$12)),0)&gt;0,IFERROR(INDEX(Clay_Offices!$A$2:$FZ$601,279,Sync!$C$5)&amp;"","")&lt;&gt;"",OR(LEFT(IFERROR(INDEX(Clay_Offices!$A$2:$FZ$601,279,Sync!$C$5)&amp;"",""),6)&lt;&gt;"SAMPLE",Config!$B$19="Y")),IFERROR(N(INDEX(Clay_Offices!$A$2:$FZ$601,279,Sync!$C$12)),0),"")</f>
        <v/>
      </c>
      <c r="C2530" s="17">
        <f>IF(B2530="","","office")</f>
        <v/>
      </c>
      <c r="D2530" s="17">
        <f>IF(B2530="","",IFERROR(INDEX(Clay_Offices!$A$2:$FZ$601,279,Sync!$C$5)&amp;"",""))</f>
        <v/>
      </c>
      <c r="E2530" s="17">
        <f>IF(B2530="","",IFERROR(INDEX(Clay_Offices!$A$2:$FZ$601,279,Sync!$C$6)&amp;"",""))</f>
        <v/>
      </c>
      <c r="F2530" s="17">
        <f>IF(B2530="","","outreach_sent")</f>
        <v/>
      </c>
      <c r="G2530" s="17">
        <f>IF(B2530="","","")</f>
        <v/>
      </c>
      <c r="H2530" s="17">
        <f>IF(B2530="","","")</f>
        <v/>
      </c>
      <c r="I2530" s="17">
        <f>IF(B2530="","","")</f>
        <v/>
      </c>
      <c r="J2530" s="17">
        <f>IF(B2530="","","touch_2; "&amp;IFERROR(INDEX(Clay_Offices!$A$2:$FZ$601,279,Sync!$C$10)&amp;"","")&amp;"; "&amp;IFERROR(INDEX(Clay_Offices!$A$2:$FZ$601,279,Sync!$C$9)&amp;"",""))</f>
        <v/>
      </c>
      <c r="K2530" t="inlineStr">
        <is>
          <t>office outreach touch 2</t>
        </is>
      </c>
    </row>
    <row r="2531">
      <c r="A2531" s="17">
        <f>IF(B2531="","",B2531+(13*1000+280)/10000000)</f>
        <v/>
      </c>
      <c r="B2531" s="23">
        <f>IF(AND(IFERROR(N(INDEX(Clay_Offices!$A$2:$FZ$601,280,Sync!$C$12)),0)&gt;0,IFERROR(INDEX(Clay_Offices!$A$2:$FZ$601,280,Sync!$C$5)&amp;"","")&lt;&gt;"",OR(LEFT(IFERROR(INDEX(Clay_Offices!$A$2:$FZ$601,280,Sync!$C$5)&amp;"",""),6)&lt;&gt;"SAMPLE",Config!$B$19="Y")),IFERROR(N(INDEX(Clay_Offices!$A$2:$FZ$601,280,Sync!$C$12)),0),"")</f>
        <v/>
      </c>
      <c r="C2531" s="17">
        <f>IF(B2531="","","office")</f>
        <v/>
      </c>
      <c r="D2531" s="17">
        <f>IF(B2531="","",IFERROR(INDEX(Clay_Offices!$A$2:$FZ$601,280,Sync!$C$5)&amp;"",""))</f>
        <v/>
      </c>
      <c r="E2531" s="17">
        <f>IF(B2531="","",IFERROR(INDEX(Clay_Offices!$A$2:$FZ$601,280,Sync!$C$6)&amp;"",""))</f>
        <v/>
      </c>
      <c r="F2531" s="17">
        <f>IF(B2531="","","outreach_sent")</f>
        <v/>
      </c>
      <c r="G2531" s="17">
        <f>IF(B2531="","","")</f>
        <v/>
      </c>
      <c r="H2531" s="17">
        <f>IF(B2531="","","")</f>
        <v/>
      </c>
      <c r="I2531" s="17">
        <f>IF(B2531="","","")</f>
        <v/>
      </c>
      <c r="J2531" s="17">
        <f>IF(B2531="","","touch_2; "&amp;IFERROR(INDEX(Clay_Offices!$A$2:$FZ$601,280,Sync!$C$10)&amp;"","")&amp;"; "&amp;IFERROR(INDEX(Clay_Offices!$A$2:$FZ$601,280,Sync!$C$9)&amp;"",""))</f>
        <v/>
      </c>
      <c r="K2531" t="inlineStr">
        <is>
          <t>office outreach touch 2</t>
        </is>
      </c>
    </row>
    <row r="2532">
      <c r="A2532" s="17">
        <f>IF(B2532="","",B2532+(13*1000+281)/10000000)</f>
        <v/>
      </c>
      <c r="B2532" s="23">
        <f>IF(AND(IFERROR(N(INDEX(Clay_Offices!$A$2:$FZ$601,281,Sync!$C$12)),0)&gt;0,IFERROR(INDEX(Clay_Offices!$A$2:$FZ$601,281,Sync!$C$5)&amp;"","")&lt;&gt;"",OR(LEFT(IFERROR(INDEX(Clay_Offices!$A$2:$FZ$601,281,Sync!$C$5)&amp;"",""),6)&lt;&gt;"SAMPLE",Config!$B$19="Y")),IFERROR(N(INDEX(Clay_Offices!$A$2:$FZ$601,281,Sync!$C$12)),0),"")</f>
        <v/>
      </c>
      <c r="C2532" s="17">
        <f>IF(B2532="","","office")</f>
        <v/>
      </c>
      <c r="D2532" s="17">
        <f>IF(B2532="","",IFERROR(INDEX(Clay_Offices!$A$2:$FZ$601,281,Sync!$C$5)&amp;"",""))</f>
        <v/>
      </c>
      <c r="E2532" s="17">
        <f>IF(B2532="","",IFERROR(INDEX(Clay_Offices!$A$2:$FZ$601,281,Sync!$C$6)&amp;"",""))</f>
        <v/>
      </c>
      <c r="F2532" s="17">
        <f>IF(B2532="","","outreach_sent")</f>
        <v/>
      </c>
      <c r="G2532" s="17">
        <f>IF(B2532="","","")</f>
        <v/>
      </c>
      <c r="H2532" s="17">
        <f>IF(B2532="","","")</f>
        <v/>
      </c>
      <c r="I2532" s="17">
        <f>IF(B2532="","","")</f>
        <v/>
      </c>
      <c r="J2532" s="17">
        <f>IF(B2532="","","touch_2; "&amp;IFERROR(INDEX(Clay_Offices!$A$2:$FZ$601,281,Sync!$C$10)&amp;"","")&amp;"; "&amp;IFERROR(INDEX(Clay_Offices!$A$2:$FZ$601,281,Sync!$C$9)&amp;"",""))</f>
        <v/>
      </c>
      <c r="K2532" t="inlineStr">
        <is>
          <t>office outreach touch 2</t>
        </is>
      </c>
    </row>
    <row r="2533">
      <c r="A2533" s="17">
        <f>IF(B2533="","",B2533+(13*1000+282)/10000000)</f>
        <v/>
      </c>
      <c r="B2533" s="23">
        <f>IF(AND(IFERROR(N(INDEX(Clay_Offices!$A$2:$FZ$601,282,Sync!$C$12)),0)&gt;0,IFERROR(INDEX(Clay_Offices!$A$2:$FZ$601,282,Sync!$C$5)&amp;"","")&lt;&gt;"",OR(LEFT(IFERROR(INDEX(Clay_Offices!$A$2:$FZ$601,282,Sync!$C$5)&amp;"",""),6)&lt;&gt;"SAMPLE",Config!$B$19="Y")),IFERROR(N(INDEX(Clay_Offices!$A$2:$FZ$601,282,Sync!$C$12)),0),"")</f>
        <v/>
      </c>
      <c r="C2533" s="17">
        <f>IF(B2533="","","office")</f>
        <v/>
      </c>
      <c r="D2533" s="17">
        <f>IF(B2533="","",IFERROR(INDEX(Clay_Offices!$A$2:$FZ$601,282,Sync!$C$5)&amp;"",""))</f>
        <v/>
      </c>
      <c r="E2533" s="17">
        <f>IF(B2533="","",IFERROR(INDEX(Clay_Offices!$A$2:$FZ$601,282,Sync!$C$6)&amp;"",""))</f>
        <v/>
      </c>
      <c r="F2533" s="17">
        <f>IF(B2533="","","outreach_sent")</f>
        <v/>
      </c>
      <c r="G2533" s="17">
        <f>IF(B2533="","","")</f>
        <v/>
      </c>
      <c r="H2533" s="17">
        <f>IF(B2533="","","")</f>
        <v/>
      </c>
      <c r="I2533" s="17">
        <f>IF(B2533="","","")</f>
        <v/>
      </c>
      <c r="J2533" s="17">
        <f>IF(B2533="","","touch_2; "&amp;IFERROR(INDEX(Clay_Offices!$A$2:$FZ$601,282,Sync!$C$10)&amp;"","")&amp;"; "&amp;IFERROR(INDEX(Clay_Offices!$A$2:$FZ$601,282,Sync!$C$9)&amp;"",""))</f>
        <v/>
      </c>
      <c r="K2533" t="inlineStr">
        <is>
          <t>office outreach touch 2</t>
        </is>
      </c>
    </row>
    <row r="2534">
      <c r="A2534" s="17">
        <f>IF(B2534="","",B2534+(13*1000+283)/10000000)</f>
        <v/>
      </c>
      <c r="B2534" s="23">
        <f>IF(AND(IFERROR(N(INDEX(Clay_Offices!$A$2:$FZ$601,283,Sync!$C$12)),0)&gt;0,IFERROR(INDEX(Clay_Offices!$A$2:$FZ$601,283,Sync!$C$5)&amp;"","")&lt;&gt;"",OR(LEFT(IFERROR(INDEX(Clay_Offices!$A$2:$FZ$601,283,Sync!$C$5)&amp;"",""),6)&lt;&gt;"SAMPLE",Config!$B$19="Y")),IFERROR(N(INDEX(Clay_Offices!$A$2:$FZ$601,283,Sync!$C$12)),0),"")</f>
        <v/>
      </c>
      <c r="C2534" s="17">
        <f>IF(B2534="","","office")</f>
        <v/>
      </c>
      <c r="D2534" s="17">
        <f>IF(B2534="","",IFERROR(INDEX(Clay_Offices!$A$2:$FZ$601,283,Sync!$C$5)&amp;"",""))</f>
        <v/>
      </c>
      <c r="E2534" s="17">
        <f>IF(B2534="","",IFERROR(INDEX(Clay_Offices!$A$2:$FZ$601,283,Sync!$C$6)&amp;"",""))</f>
        <v/>
      </c>
      <c r="F2534" s="17">
        <f>IF(B2534="","","outreach_sent")</f>
        <v/>
      </c>
      <c r="G2534" s="17">
        <f>IF(B2534="","","")</f>
        <v/>
      </c>
      <c r="H2534" s="17">
        <f>IF(B2534="","","")</f>
        <v/>
      </c>
      <c r="I2534" s="17">
        <f>IF(B2534="","","")</f>
        <v/>
      </c>
      <c r="J2534" s="17">
        <f>IF(B2534="","","touch_2; "&amp;IFERROR(INDEX(Clay_Offices!$A$2:$FZ$601,283,Sync!$C$10)&amp;"","")&amp;"; "&amp;IFERROR(INDEX(Clay_Offices!$A$2:$FZ$601,283,Sync!$C$9)&amp;"",""))</f>
        <v/>
      </c>
      <c r="K2534" t="inlineStr">
        <is>
          <t>office outreach touch 2</t>
        </is>
      </c>
    </row>
    <row r="2535">
      <c r="A2535" s="17">
        <f>IF(B2535="","",B2535+(13*1000+284)/10000000)</f>
        <v/>
      </c>
      <c r="B2535" s="23">
        <f>IF(AND(IFERROR(N(INDEX(Clay_Offices!$A$2:$FZ$601,284,Sync!$C$12)),0)&gt;0,IFERROR(INDEX(Clay_Offices!$A$2:$FZ$601,284,Sync!$C$5)&amp;"","")&lt;&gt;"",OR(LEFT(IFERROR(INDEX(Clay_Offices!$A$2:$FZ$601,284,Sync!$C$5)&amp;"",""),6)&lt;&gt;"SAMPLE",Config!$B$19="Y")),IFERROR(N(INDEX(Clay_Offices!$A$2:$FZ$601,284,Sync!$C$12)),0),"")</f>
        <v/>
      </c>
      <c r="C2535" s="17">
        <f>IF(B2535="","","office")</f>
        <v/>
      </c>
      <c r="D2535" s="17">
        <f>IF(B2535="","",IFERROR(INDEX(Clay_Offices!$A$2:$FZ$601,284,Sync!$C$5)&amp;"",""))</f>
        <v/>
      </c>
      <c r="E2535" s="17">
        <f>IF(B2535="","",IFERROR(INDEX(Clay_Offices!$A$2:$FZ$601,284,Sync!$C$6)&amp;"",""))</f>
        <v/>
      </c>
      <c r="F2535" s="17">
        <f>IF(B2535="","","outreach_sent")</f>
        <v/>
      </c>
      <c r="G2535" s="17">
        <f>IF(B2535="","","")</f>
        <v/>
      </c>
      <c r="H2535" s="17">
        <f>IF(B2535="","","")</f>
        <v/>
      </c>
      <c r="I2535" s="17">
        <f>IF(B2535="","","")</f>
        <v/>
      </c>
      <c r="J2535" s="17">
        <f>IF(B2535="","","touch_2; "&amp;IFERROR(INDEX(Clay_Offices!$A$2:$FZ$601,284,Sync!$C$10)&amp;"","")&amp;"; "&amp;IFERROR(INDEX(Clay_Offices!$A$2:$FZ$601,284,Sync!$C$9)&amp;"",""))</f>
        <v/>
      </c>
      <c r="K2535" t="inlineStr">
        <is>
          <t>office outreach touch 2</t>
        </is>
      </c>
    </row>
    <row r="2536">
      <c r="A2536" s="17">
        <f>IF(B2536="","",B2536+(13*1000+285)/10000000)</f>
        <v/>
      </c>
      <c r="B2536" s="23">
        <f>IF(AND(IFERROR(N(INDEX(Clay_Offices!$A$2:$FZ$601,285,Sync!$C$12)),0)&gt;0,IFERROR(INDEX(Clay_Offices!$A$2:$FZ$601,285,Sync!$C$5)&amp;"","")&lt;&gt;"",OR(LEFT(IFERROR(INDEX(Clay_Offices!$A$2:$FZ$601,285,Sync!$C$5)&amp;"",""),6)&lt;&gt;"SAMPLE",Config!$B$19="Y")),IFERROR(N(INDEX(Clay_Offices!$A$2:$FZ$601,285,Sync!$C$12)),0),"")</f>
        <v/>
      </c>
      <c r="C2536" s="17">
        <f>IF(B2536="","","office")</f>
        <v/>
      </c>
      <c r="D2536" s="17">
        <f>IF(B2536="","",IFERROR(INDEX(Clay_Offices!$A$2:$FZ$601,285,Sync!$C$5)&amp;"",""))</f>
        <v/>
      </c>
      <c r="E2536" s="17">
        <f>IF(B2536="","",IFERROR(INDEX(Clay_Offices!$A$2:$FZ$601,285,Sync!$C$6)&amp;"",""))</f>
        <v/>
      </c>
      <c r="F2536" s="17">
        <f>IF(B2536="","","outreach_sent")</f>
        <v/>
      </c>
      <c r="G2536" s="17">
        <f>IF(B2536="","","")</f>
        <v/>
      </c>
      <c r="H2536" s="17">
        <f>IF(B2536="","","")</f>
        <v/>
      </c>
      <c r="I2536" s="17">
        <f>IF(B2536="","","")</f>
        <v/>
      </c>
      <c r="J2536" s="17">
        <f>IF(B2536="","","touch_2; "&amp;IFERROR(INDEX(Clay_Offices!$A$2:$FZ$601,285,Sync!$C$10)&amp;"","")&amp;"; "&amp;IFERROR(INDEX(Clay_Offices!$A$2:$FZ$601,285,Sync!$C$9)&amp;"",""))</f>
        <v/>
      </c>
      <c r="K2536" t="inlineStr">
        <is>
          <t>office outreach touch 2</t>
        </is>
      </c>
    </row>
    <row r="2537">
      <c r="A2537" s="17">
        <f>IF(B2537="","",B2537+(13*1000+286)/10000000)</f>
        <v/>
      </c>
      <c r="B2537" s="23">
        <f>IF(AND(IFERROR(N(INDEX(Clay_Offices!$A$2:$FZ$601,286,Sync!$C$12)),0)&gt;0,IFERROR(INDEX(Clay_Offices!$A$2:$FZ$601,286,Sync!$C$5)&amp;"","")&lt;&gt;"",OR(LEFT(IFERROR(INDEX(Clay_Offices!$A$2:$FZ$601,286,Sync!$C$5)&amp;"",""),6)&lt;&gt;"SAMPLE",Config!$B$19="Y")),IFERROR(N(INDEX(Clay_Offices!$A$2:$FZ$601,286,Sync!$C$12)),0),"")</f>
        <v/>
      </c>
      <c r="C2537" s="17">
        <f>IF(B2537="","","office")</f>
        <v/>
      </c>
      <c r="D2537" s="17">
        <f>IF(B2537="","",IFERROR(INDEX(Clay_Offices!$A$2:$FZ$601,286,Sync!$C$5)&amp;"",""))</f>
        <v/>
      </c>
      <c r="E2537" s="17">
        <f>IF(B2537="","",IFERROR(INDEX(Clay_Offices!$A$2:$FZ$601,286,Sync!$C$6)&amp;"",""))</f>
        <v/>
      </c>
      <c r="F2537" s="17">
        <f>IF(B2537="","","outreach_sent")</f>
        <v/>
      </c>
      <c r="G2537" s="17">
        <f>IF(B2537="","","")</f>
        <v/>
      </c>
      <c r="H2537" s="17">
        <f>IF(B2537="","","")</f>
        <v/>
      </c>
      <c r="I2537" s="17">
        <f>IF(B2537="","","")</f>
        <v/>
      </c>
      <c r="J2537" s="17">
        <f>IF(B2537="","","touch_2; "&amp;IFERROR(INDEX(Clay_Offices!$A$2:$FZ$601,286,Sync!$C$10)&amp;"","")&amp;"; "&amp;IFERROR(INDEX(Clay_Offices!$A$2:$FZ$601,286,Sync!$C$9)&amp;"",""))</f>
        <v/>
      </c>
      <c r="K2537" t="inlineStr">
        <is>
          <t>office outreach touch 2</t>
        </is>
      </c>
    </row>
    <row r="2538">
      <c r="A2538" s="17">
        <f>IF(B2538="","",B2538+(13*1000+287)/10000000)</f>
        <v/>
      </c>
      <c r="B2538" s="23">
        <f>IF(AND(IFERROR(N(INDEX(Clay_Offices!$A$2:$FZ$601,287,Sync!$C$12)),0)&gt;0,IFERROR(INDEX(Clay_Offices!$A$2:$FZ$601,287,Sync!$C$5)&amp;"","")&lt;&gt;"",OR(LEFT(IFERROR(INDEX(Clay_Offices!$A$2:$FZ$601,287,Sync!$C$5)&amp;"",""),6)&lt;&gt;"SAMPLE",Config!$B$19="Y")),IFERROR(N(INDEX(Clay_Offices!$A$2:$FZ$601,287,Sync!$C$12)),0),"")</f>
        <v/>
      </c>
      <c r="C2538" s="17">
        <f>IF(B2538="","","office")</f>
        <v/>
      </c>
      <c r="D2538" s="17">
        <f>IF(B2538="","",IFERROR(INDEX(Clay_Offices!$A$2:$FZ$601,287,Sync!$C$5)&amp;"",""))</f>
        <v/>
      </c>
      <c r="E2538" s="17">
        <f>IF(B2538="","",IFERROR(INDEX(Clay_Offices!$A$2:$FZ$601,287,Sync!$C$6)&amp;"",""))</f>
        <v/>
      </c>
      <c r="F2538" s="17">
        <f>IF(B2538="","","outreach_sent")</f>
        <v/>
      </c>
      <c r="G2538" s="17">
        <f>IF(B2538="","","")</f>
        <v/>
      </c>
      <c r="H2538" s="17">
        <f>IF(B2538="","","")</f>
        <v/>
      </c>
      <c r="I2538" s="17">
        <f>IF(B2538="","","")</f>
        <v/>
      </c>
      <c r="J2538" s="17">
        <f>IF(B2538="","","touch_2; "&amp;IFERROR(INDEX(Clay_Offices!$A$2:$FZ$601,287,Sync!$C$10)&amp;"","")&amp;"; "&amp;IFERROR(INDEX(Clay_Offices!$A$2:$FZ$601,287,Sync!$C$9)&amp;"",""))</f>
        <v/>
      </c>
      <c r="K2538" t="inlineStr">
        <is>
          <t>office outreach touch 2</t>
        </is>
      </c>
    </row>
    <row r="2539">
      <c r="A2539" s="17">
        <f>IF(B2539="","",B2539+(13*1000+288)/10000000)</f>
        <v/>
      </c>
      <c r="B2539" s="23">
        <f>IF(AND(IFERROR(N(INDEX(Clay_Offices!$A$2:$FZ$601,288,Sync!$C$12)),0)&gt;0,IFERROR(INDEX(Clay_Offices!$A$2:$FZ$601,288,Sync!$C$5)&amp;"","")&lt;&gt;"",OR(LEFT(IFERROR(INDEX(Clay_Offices!$A$2:$FZ$601,288,Sync!$C$5)&amp;"",""),6)&lt;&gt;"SAMPLE",Config!$B$19="Y")),IFERROR(N(INDEX(Clay_Offices!$A$2:$FZ$601,288,Sync!$C$12)),0),"")</f>
        <v/>
      </c>
      <c r="C2539" s="17">
        <f>IF(B2539="","","office")</f>
        <v/>
      </c>
      <c r="D2539" s="17">
        <f>IF(B2539="","",IFERROR(INDEX(Clay_Offices!$A$2:$FZ$601,288,Sync!$C$5)&amp;"",""))</f>
        <v/>
      </c>
      <c r="E2539" s="17">
        <f>IF(B2539="","",IFERROR(INDEX(Clay_Offices!$A$2:$FZ$601,288,Sync!$C$6)&amp;"",""))</f>
        <v/>
      </c>
      <c r="F2539" s="17">
        <f>IF(B2539="","","outreach_sent")</f>
        <v/>
      </c>
      <c r="G2539" s="17">
        <f>IF(B2539="","","")</f>
        <v/>
      </c>
      <c r="H2539" s="17">
        <f>IF(B2539="","","")</f>
        <v/>
      </c>
      <c r="I2539" s="17">
        <f>IF(B2539="","","")</f>
        <v/>
      </c>
      <c r="J2539" s="17">
        <f>IF(B2539="","","touch_2; "&amp;IFERROR(INDEX(Clay_Offices!$A$2:$FZ$601,288,Sync!$C$10)&amp;"","")&amp;"; "&amp;IFERROR(INDEX(Clay_Offices!$A$2:$FZ$601,288,Sync!$C$9)&amp;"",""))</f>
        <v/>
      </c>
      <c r="K2539" t="inlineStr">
        <is>
          <t>office outreach touch 2</t>
        </is>
      </c>
    </row>
    <row r="2540">
      <c r="A2540" s="17">
        <f>IF(B2540="","",B2540+(13*1000+289)/10000000)</f>
        <v/>
      </c>
      <c r="B2540" s="23">
        <f>IF(AND(IFERROR(N(INDEX(Clay_Offices!$A$2:$FZ$601,289,Sync!$C$12)),0)&gt;0,IFERROR(INDEX(Clay_Offices!$A$2:$FZ$601,289,Sync!$C$5)&amp;"","")&lt;&gt;"",OR(LEFT(IFERROR(INDEX(Clay_Offices!$A$2:$FZ$601,289,Sync!$C$5)&amp;"",""),6)&lt;&gt;"SAMPLE",Config!$B$19="Y")),IFERROR(N(INDEX(Clay_Offices!$A$2:$FZ$601,289,Sync!$C$12)),0),"")</f>
        <v/>
      </c>
      <c r="C2540" s="17">
        <f>IF(B2540="","","office")</f>
        <v/>
      </c>
      <c r="D2540" s="17">
        <f>IF(B2540="","",IFERROR(INDEX(Clay_Offices!$A$2:$FZ$601,289,Sync!$C$5)&amp;"",""))</f>
        <v/>
      </c>
      <c r="E2540" s="17">
        <f>IF(B2540="","",IFERROR(INDEX(Clay_Offices!$A$2:$FZ$601,289,Sync!$C$6)&amp;"",""))</f>
        <v/>
      </c>
      <c r="F2540" s="17">
        <f>IF(B2540="","","outreach_sent")</f>
        <v/>
      </c>
      <c r="G2540" s="17">
        <f>IF(B2540="","","")</f>
        <v/>
      </c>
      <c r="H2540" s="17">
        <f>IF(B2540="","","")</f>
        <v/>
      </c>
      <c r="I2540" s="17">
        <f>IF(B2540="","","")</f>
        <v/>
      </c>
      <c r="J2540" s="17">
        <f>IF(B2540="","","touch_2; "&amp;IFERROR(INDEX(Clay_Offices!$A$2:$FZ$601,289,Sync!$C$10)&amp;"","")&amp;"; "&amp;IFERROR(INDEX(Clay_Offices!$A$2:$FZ$601,289,Sync!$C$9)&amp;"",""))</f>
        <v/>
      </c>
      <c r="K2540" t="inlineStr">
        <is>
          <t>office outreach touch 2</t>
        </is>
      </c>
    </row>
    <row r="2541">
      <c r="A2541" s="17">
        <f>IF(B2541="","",B2541+(13*1000+290)/10000000)</f>
        <v/>
      </c>
      <c r="B2541" s="23">
        <f>IF(AND(IFERROR(N(INDEX(Clay_Offices!$A$2:$FZ$601,290,Sync!$C$12)),0)&gt;0,IFERROR(INDEX(Clay_Offices!$A$2:$FZ$601,290,Sync!$C$5)&amp;"","")&lt;&gt;"",OR(LEFT(IFERROR(INDEX(Clay_Offices!$A$2:$FZ$601,290,Sync!$C$5)&amp;"",""),6)&lt;&gt;"SAMPLE",Config!$B$19="Y")),IFERROR(N(INDEX(Clay_Offices!$A$2:$FZ$601,290,Sync!$C$12)),0),"")</f>
        <v/>
      </c>
      <c r="C2541" s="17">
        <f>IF(B2541="","","office")</f>
        <v/>
      </c>
      <c r="D2541" s="17">
        <f>IF(B2541="","",IFERROR(INDEX(Clay_Offices!$A$2:$FZ$601,290,Sync!$C$5)&amp;"",""))</f>
        <v/>
      </c>
      <c r="E2541" s="17">
        <f>IF(B2541="","",IFERROR(INDEX(Clay_Offices!$A$2:$FZ$601,290,Sync!$C$6)&amp;"",""))</f>
        <v/>
      </c>
      <c r="F2541" s="17">
        <f>IF(B2541="","","outreach_sent")</f>
        <v/>
      </c>
      <c r="G2541" s="17">
        <f>IF(B2541="","","")</f>
        <v/>
      </c>
      <c r="H2541" s="17">
        <f>IF(B2541="","","")</f>
        <v/>
      </c>
      <c r="I2541" s="17">
        <f>IF(B2541="","","")</f>
        <v/>
      </c>
      <c r="J2541" s="17">
        <f>IF(B2541="","","touch_2; "&amp;IFERROR(INDEX(Clay_Offices!$A$2:$FZ$601,290,Sync!$C$10)&amp;"","")&amp;"; "&amp;IFERROR(INDEX(Clay_Offices!$A$2:$FZ$601,290,Sync!$C$9)&amp;"",""))</f>
        <v/>
      </c>
      <c r="K2541" t="inlineStr">
        <is>
          <t>office outreach touch 2</t>
        </is>
      </c>
    </row>
    <row r="2542">
      <c r="A2542" s="17">
        <f>IF(B2542="","",B2542+(13*1000+291)/10000000)</f>
        <v/>
      </c>
      <c r="B2542" s="23">
        <f>IF(AND(IFERROR(N(INDEX(Clay_Offices!$A$2:$FZ$601,291,Sync!$C$12)),0)&gt;0,IFERROR(INDEX(Clay_Offices!$A$2:$FZ$601,291,Sync!$C$5)&amp;"","")&lt;&gt;"",OR(LEFT(IFERROR(INDEX(Clay_Offices!$A$2:$FZ$601,291,Sync!$C$5)&amp;"",""),6)&lt;&gt;"SAMPLE",Config!$B$19="Y")),IFERROR(N(INDEX(Clay_Offices!$A$2:$FZ$601,291,Sync!$C$12)),0),"")</f>
        <v/>
      </c>
      <c r="C2542" s="17">
        <f>IF(B2542="","","office")</f>
        <v/>
      </c>
      <c r="D2542" s="17">
        <f>IF(B2542="","",IFERROR(INDEX(Clay_Offices!$A$2:$FZ$601,291,Sync!$C$5)&amp;"",""))</f>
        <v/>
      </c>
      <c r="E2542" s="17">
        <f>IF(B2542="","",IFERROR(INDEX(Clay_Offices!$A$2:$FZ$601,291,Sync!$C$6)&amp;"",""))</f>
        <v/>
      </c>
      <c r="F2542" s="17">
        <f>IF(B2542="","","outreach_sent")</f>
        <v/>
      </c>
      <c r="G2542" s="17">
        <f>IF(B2542="","","")</f>
        <v/>
      </c>
      <c r="H2542" s="17">
        <f>IF(B2542="","","")</f>
        <v/>
      </c>
      <c r="I2542" s="17">
        <f>IF(B2542="","","")</f>
        <v/>
      </c>
      <c r="J2542" s="17">
        <f>IF(B2542="","","touch_2; "&amp;IFERROR(INDEX(Clay_Offices!$A$2:$FZ$601,291,Sync!$C$10)&amp;"","")&amp;"; "&amp;IFERROR(INDEX(Clay_Offices!$A$2:$FZ$601,291,Sync!$C$9)&amp;"",""))</f>
        <v/>
      </c>
      <c r="K2542" t="inlineStr">
        <is>
          <t>office outreach touch 2</t>
        </is>
      </c>
    </row>
    <row r="2543">
      <c r="A2543" s="17">
        <f>IF(B2543="","",B2543+(13*1000+292)/10000000)</f>
        <v/>
      </c>
      <c r="B2543" s="23">
        <f>IF(AND(IFERROR(N(INDEX(Clay_Offices!$A$2:$FZ$601,292,Sync!$C$12)),0)&gt;0,IFERROR(INDEX(Clay_Offices!$A$2:$FZ$601,292,Sync!$C$5)&amp;"","")&lt;&gt;"",OR(LEFT(IFERROR(INDEX(Clay_Offices!$A$2:$FZ$601,292,Sync!$C$5)&amp;"",""),6)&lt;&gt;"SAMPLE",Config!$B$19="Y")),IFERROR(N(INDEX(Clay_Offices!$A$2:$FZ$601,292,Sync!$C$12)),0),"")</f>
        <v/>
      </c>
      <c r="C2543" s="17">
        <f>IF(B2543="","","office")</f>
        <v/>
      </c>
      <c r="D2543" s="17">
        <f>IF(B2543="","",IFERROR(INDEX(Clay_Offices!$A$2:$FZ$601,292,Sync!$C$5)&amp;"",""))</f>
        <v/>
      </c>
      <c r="E2543" s="17">
        <f>IF(B2543="","",IFERROR(INDEX(Clay_Offices!$A$2:$FZ$601,292,Sync!$C$6)&amp;"",""))</f>
        <v/>
      </c>
      <c r="F2543" s="17">
        <f>IF(B2543="","","outreach_sent")</f>
        <v/>
      </c>
      <c r="G2543" s="17">
        <f>IF(B2543="","","")</f>
        <v/>
      </c>
      <c r="H2543" s="17">
        <f>IF(B2543="","","")</f>
        <v/>
      </c>
      <c r="I2543" s="17">
        <f>IF(B2543="","","")</f>
        <v/>
      </c>
      <c r="J2543" s="17">
        <f>IF(B2543="","","touch_2; "&amp;IFERROR(INDEX(Clay_Offices!$A$2:$FZ$601,292,Sync!$C$10)&amp;"","")&amp;"; "&amp;IFERROR(INDEX(Clay_Offices!$A$2:$FZ$601,292,Sync!$C$9)&amp;"",""))</f>
        <v/>
      </c>
      <c r="K2543" t="inlineStr">
        <is>
          <t>office outreach touch 2</t>
        </is>
      </c>
    </row>
    <row r="2544">
      <c r="A2544" s="17">
        <f>IF(B2544="","",B2544+(13*1000+293)/10000000)</f>
        <v/>
      </c>
      <c r="B2544" s="23">
        <f>IF(AND(IFERROR(N(INDEX(Clay_Offices!$A$2:$FZ$601,293,Sync!$C$12)),0)&gt;0,IFERROR(INDEX(Clay_Offices!$A$2:$FZ$601,293,Sync!$C$5)&amp;"","")&lt;&gt;"",OR(LEFT(IFERROR(INDEX(Clay_Offices!$A$2:$FZ$601,293,Sync!$C$5)&amp;"",""),6)&lt;&gt;"SAMPLE",Config!$B$19="Y")),IFERROR(N(INDEX(Clay_Offices!$A$2:$FZ$601,293,Sync!$C$12)),0),"")</f>
        <v/>
      </c>
      <c r="C2544" s="17">
        <f>IF(B2544="","","office")</f>
        <v/>
      </c>
      <c r="D2544" s="17">
        <f>IF(B2544="","",IFERROR(INDEX(Clay_Offices!$A$2:$FZ$601,293,Sync!$C$5)&amp;"",""))</f>
        <v/>
      </c>
      <c r="E2544" s="17">
        <f>IF(B2544="","",IFERROR(INDEX(Clay_Offices!$A$2:$FZ$601,293,Sync!$C$6)&amp;"",""))</f>
        <v/>
      </c>
      <c r="F2544" s="17">
        <f>IF(B2544="","","outreach_sent")</f>
        <v/>
      </c>
      <c r="G2544" s="17">
        <f>IF(B2544="","","")</f>
        <v/>
      </c>
      <c r="H2544" s="17">
        <f>IF(B2544="","","")</f>
        <v/>
      </c>
      <c r="I2544" s="17">
        <f>IF(B2544="","","")</f>
        <v/>
      </c>
      <c r="J2544" s="17">
        <f>IF(B2544="","","touch_2; "&amp;IFERROR(INDEX(Clay_Offices!$A$2:$FZ$601,293,Sync!$C$10)&amp;"","")&amp;"; "&amp;IFERROR(INDEX(Clay_Offices!$A$2:$FZ$601,293,Sync!$C$9)&amp;"",""))</f>
        <v/>
      </c>
      <c r="K2544" t="inlineStr">
        <is>
          <t>office outreach touch 2</t>
        </is>
      </c>
    </row>
    <row r="2545">
      <c r="A2545" s="17">
        <f>IF(B2545="","",B2545+(13*1000+294)/10000000)</f>
        <v/>
      </c>
      <c r="B2545" s="23">
        <f>IF(AND(IFERROR(N(INDEX(Clay_Offices!$A$2:$FZ$601,294,Sync!$C$12)),0)&gt;0,IFERROR(INDEX(Clay_Offices!$A$2:$FZ$601,294,Sync!$C$5)&amp;"","")&lt;&gt;"",OR(LEFT(IFERROR(INDEX(Clay_Offices!$A$2:$FZ$601,294,Sync!$C$5)&amp;"",""),6)&lt;&gt;"SAMPLE",Config!$B$19="Y")),IFERROR(N(INDEX(Clay_Offices!$A$2:$FZ$601,294,Sync!$C$12)),0),"")</f>
        <v/>
      </c>
      <c r="C2545" s="17">
        <f>IF(B2545="","","office")</f>
        <v/>
      </c>
      <c r="D2545" s="17">
        <f>IF(B2545="","",IFERROR(INDEX(Clay_Offices!$A$2:$FZ$601,294,Sync!$C$5)&amp;"",""))</f>
        <v/>
      </c>
      <c r="E2545" s="17">
        <f>IF(B2545="","",IFERROR(INDEX(Clay_Offices!$A$2:$FZ$601,294,Sync!$C$6)&amp;"",""))</f>
        <v/>
      </c>
      <c r="F2545" s="17">
        <f>IF(B2545="","","outreach_sent")</f>
        <v/>
      </c>
      <c r="G2545" s="17">
        <f>IF(B2545="","","")</f>
        <v/>
      </c>
      <c r="H2545" s="17">
        <f>IF(B2545="","","")</f>
        <v/>
      </c>
      <c r="I2545" s="17">
        <f>IF(B2545="","","")</f>
        <v/>
      </c>
      <c r="J2545" s="17">
        <f>IF(B2545="","","touch_2; "&amp;IFERROR(INDEX(Clay_Offices!$A$2:$FZ$601,294,Sync!$C$10)&amp;"","")&amp;"; "&amp;IFERROR(INDEX(Clay_Offices!$A$2:$FZ$601,294,Sync!$C$9)&amp;"",""))</f>
        <v/>
      </c>
      <c r="K2545" t="inlineStr">
        <is>
          <t>office outreach touch 2</t>
        </is>
      </c>
    </row>
    <row r="2546">
      <c r="A2546" s="17">
        <f>IF(B2546="","",B2546+(13*1000+295)/10000000)</f>
        <v/>
      </c>
      <c r="B2546" s="23">
        <f>IF(AND(IFERROR(N(INDEX(Clay_Offices!$A$2:$FZ$601,295,Sync!$C$12)),0)&gt;0,IFERROR(INDEX(Clay_Offices!$A$2:$FZ$601,295,Sync!$C$5)&amp;"","")&lt;&gt;"",OR(LEFT(IFERROR(INDEX(Clay_Offices!$A$2:$FZ$601,295,Sync!$C$5)&amp;"",""),6)&lt;&gt;"SAMPLE",Config!$B$19="Y")),IFERROR(N(INDEX(Clay_Offices!$A$2:$FZ$601,295,Sync!$C$12)),0),"")</f>
        <v/>
      </c>
      <c r="C2546" s="17">
        <f>IF(B2546="","","office")</f>
        <v/>
      </c>
      <c r="D2546" s="17">
        <f>IF(B2546="","",IFERROR(INDEX(Clay_Offices!$A$2:$FZ$601,295,Sync!$C$5)&amp;"",""))</f>
        <v/>
      </c>
      <c r="E2546" s="17">
        <f>IF(B2546="","",IFERROR(INDEX(Clay_Offices!$A$2:$FZ$601,295,Sync!$C$6)&amp;"",""))</f>
        <v/>
      </c>
      <c r="F2546" s="17">
        <f>IF(B2546="","","outreach_sent")</f>
        <v/>
      </c>
      <c r="G2546" s="17">
        <f>IF(B2546="","","")</f>
        <v/>
      </c>
      <c r="H2546" s="17">
        <f>IF(B2546="","","")</f>
        <v/>
      </c>
      <c r="I2546" s="17">
        <f>IF(B2546="","","")</f>
        <v/>
      </c>
      <c r="J2546" s="17">
        <f>IF(B2546="","","touch_2; "&amp;IFERROR(INDEX(Clay_Offices!$A$2:$FZ$601,295,Sync!$C$10)&amp;"","")&amp;"; "&amp;IFERROR(INDEX(Clay_Offices!$A$2:$FZ$601,295,Sync!$C$9)&amp;"",""))</f>
        <v/>
      </c>
      <c r="K2546" t="inlineStr">
        <is>
          <t>office outreach touch 2</t>
        </is>
      </c>
    </row>
    <row r="2547">
      <c r="A2547" s="17">
        <f>IF(B2547="","",B2547+(13*1000+296)/10000000)</f>
        <v/>
      </c>
      <c r="B2547" s="23">
        <f>IF(AND(IFERROR(N(INDEX(Clay_Offices!$A$2:$FZ$601,296,Sync!$C$12)),0)&gt;0,IFERROR(INDEX(Clay_Offices!$A$2:$FZ$601,296,Sync!$C$5)&amp;"","")&lt;&gt;"",OR(LEFT(IFERROR(INDEX(Clay_Offices!$A$2:$FZ$601,296,Sync!$C$5)&amp;"",""),6)&lt;&gt;"SAMPLE",Config!$B$19="Y")),IFERROR(N(INDEX(Clay_Offices!$A$2:$FZ$601,296,Sync!$C$12)),0),"")</f>
        <v/>
      </c>
      <c r="C2547" s="17">
        <f>IF(B2547="","","office")</f>
        <v/>
      </c>
      <c r="D2547" s="17">
        <f>IF(B2547="","",IFERROR(INDEX(Clay_Offices!$A$2:$FZ$601,296,Sync!$C$5)&amp;"",""))</f>
        <v/>
      </c>
      <c r="E2547" s="17">
        <f>IF(B2547="","",IFERROR(INDEX(Clay_Offices!$A$2:$FZ$601,296,Sync!$C$6)&amp;"",""))</f>
        <v/>
      </c>
      <c r="F2547" s="17">
        <f>IF(B2547="","","outreach_sent")</f>
        <v/>
      </c>
      <c r="G2547" s="17">
        <f>IF(B2547="","","")</f>
        <v/>
      </c>
      <c r="H2547" s="17">
        <f>IF(B2547="","","")</f>
        <v/>
      </c>
      <c r="I2547" s="17">
        <f>IF(B2547="","","")</f>
        <v/>
      </c>
      <c r="J2547" s="17">
        <f>IF(B2547="","","touch_2; "&amp;IFERROR(INDEX(Clay_Offices!$A$2:$FZ$601,296,Sync!$C$10)&amp;"","")&amp;"; "&amp;IFERROR(INDEX(Clay_Offices!$A$2:$FZ$601,296,Sync!$C$9)&amp;"",""))</f>
        <v/>
      </c>
      <c r="K2547" t="inlineStr">
        <is>
          <t>office outreach touch 2</t>
        </is>
      </c>
    </row>
    <row r="2548">
      <c r="A2548" s="17">
        <f>IF(B2548="","",B2548+(13*1000+297)/10000000)</f>
        <v/>
      </c>
      <c r="B2548" s="23">
        <f>IF(AND(IFERROR(N(INDEX(Clay_Offices!$A$2:$FZ$601,297,Sync!$C$12)),0)&gt;0,IFERROR(INDEX(Clay_Offices!$A$2:$FZ$601,297,Sync!$C$5)&amp;"","")&lt;&gt;"",OR(LEFT(IFERROR(INDEX(Clay_Offices!$A$2:$FZ$601,297,Sync!$C$5)&amp;"",""),6)&lt;&gt;"SAMPLE",Config!$B$19="Y")),IFERROR(N(INDEX(Clay_Offices!$A$2:$FZ$601,297,Sync!$C$12)),0),"")</f>
        <v/>
      </c>
      <c r="C2548" s="17">
        <f>IF(B2548="","","office")</f>
        <v/>
      </c>
      <c r="D2548" s="17">
        <f>IF(B2548="","",IFERROR(INDEX(Clay_Offices!$A$2:$FZ$601,297,Sync!$C$5)&amp;"",""))</f>
        <v/>
      </c>
      <c r="E2548" s="17">
        <f>IF(B2548="","",IFERROR(INDEX(Clay_Offices!$A$2:$FZ$601,297,Sync!$C$6)&amp;"",""))</f>
        <v/>
      </c>
      <c r="F2548" s="17">
        <f>IF(B2548="","","outreach_sent")</f>
        <v/>
      </c>
      <c r="G2548" s="17">
        <f>IF(B2548="","","")</f>
        <v/>
      </c>
      <c r="H2548" s="17">
        <f>IF(B2548="","","")</f>
        <v/>
      </c>
      <c r="I2548" s="17">
        <f>IF(B2548="","","")</f>
        <v/>
      </c>
      <c r="J2548" s="17">
        <f>IF(B2548="","","touch_2; "&amp;IFERROR(INDEX(Clay_Offices!$A$2:$FZ$601,297,Sync!$C$10)&amp;"","")&amp;"; "&amp;IFERROR(INDEX(Clay_Offices!$A$2:$FZ$601,297,Sync!$C$9)&amp;"",""))</f>
        <v/>
      </c>
      <c r="K2548" t="inlineStr">
        <is>
          <t>office outreach touch 2</t>
        </is>
      </c>
    </row>
    <row r="2549">
      <c r="A2549" s="17">
        <f>IF(B2549="","",B2549+(13*1000+298)/10000000)</f>
        <v/>
      </c>
      <c r="B2549" s="23">
        <f>IF(AND(IFERROR(N(INDEX(Clay_Offices!$A$2:$FZ$601,298,Sync!$C$12)),0)&gt;0,IFERROR(INDEX(Clay_Offices!$A$2:$FZ$601,298,Sync!$C$5)&amp;"","")&lt;&gt;"",OR(LEFT(IFERROR(INDEX(Clay_Offices!$A$2:$FZ$601,298,Sync!$C$5)&amp;"",""),6)&lt;&gt;"SAMPLE",Config!$B$19="Y")),IFERROR(N(INDEX(Clay_Offices!$A$2:$FZ$601,298,Sync!$C$12)),0),"")</f>
        <v/>
      </c>
      <c r="C2549" s="17">
        <f>IF(B2549="","","office")</f>
        <v/>
      </c>
      <c r="D2549" s="17">
        <f>IF(B2549="","",IFERROR(INDEX(Clay_Offices!$A$2:$FZ$601,298,Sync!$C$5)&amp;"",""))</f>
        <v/>
      </c>
      <c r="E2549" s="17">
        <f>IF(B2549="","",IFERROR(INDEX(Clay_Offices!$A$2:$FZ$601,298,Sync!$C$6)&amp;"",""))</f>
        <v/>
      </c>
      <c r="F2549" s="17">
        <f>IF(B2549="","","outreach_sent")</f>
        <v/>
      </c>
      <c r="G2549" s="17">
        <f>IF(B2549="","","")</f>
        <v/>
      </c>
      <c r="H2549" s="17">
        <f>IF(B2549="","","")</f>
        <v/>
      </c>
      <c r="I2549" s="17">
        <f>IF(B2549="","","")</f>
        <v/>
      </c>
      <c r="J2549" s="17">
        <f>IF(B2549="","","touch_2; "&amp;IFERROR(INDEX(Clay_Offices!$A$2:$FZ$601,298,Sync!$C$10)&amp;"","")&amp;"; "&amp;IFERROR(INDEX(Clay_Offices!$A$2:$FZ$601,298,Sync!$C$9)&amp;"",""))</f>
        <v/>
      </c>
      <c r="K2549" t="inlineStr">
        <is>
          <t>office outreach touch 2</t>
        </is>
      </c>
    </row>
    <row r="2550">
      <c r="A2550" s="17">
        <f>IF(B2550="","",B2550+(13*1000+299)/10000000)</f>
        <v/>
      </c>
      <c r="B2550" s="23">
        <f>IF(AND(IFERROR(N(INDEX(Clay_Offices!$A$2:$FZ$601,299,Sync!$C$12)),0)&gt;0,IFERROR(INDEX(Clay_Offices!$A$2:$FZ$601,299,Sync!$C$5)&amp;"","")&lt;&gt;"",OR(LEFT(IFERROR(INDEX(Clay_Offices!$A$2:$FZ$601,299,Sync!$C$5)&amp;"",""),6)&lt;&gt;"SAMPLE",Config!$B$19="Y")),IFERROR(N(INDEX(Clay_Offices!$A$2:$FZ$601,299,Sync!$C$12)),0),"")</f>
        <v/>
      </c>
      <c r="C2550" s="17">
        <f>IF(B2550="","","office")</f>
        <v/>
      </c>
      <c r="D2550" s="17">
        <f>IF(B2550="","",IFERROR(INDEX(Clay_Offices!$A$2:$FZ$601,299,Sync!$C$5)&amp;"",""))</f>
        <v/>
      </c>
      <c r="E2550" s="17">
        <f>IF(B2550="","",IFERROR(INDEX(Clay_Offices!$A$2:$FZ$601,299,Sync!$C$6)&amp;"",""))</f>
        <v/>
      </c>
      <c r="F2550" s="17">
        <f>IF(B2550="","","outreach_sent")</f>
        <v/>
      </c>
      <c r="G2550" s="17">
        <f>IF(B2550="","","")</f>
        <v/>
      </c>
      <c r="H2550" s="17">
        <f>IF(B2550="","","")</f>
        <v/>
      </c>
      <c r="I2550" s="17">
        <f>IF(B2550="","","")</f>
        <v/>
      </c>
      <c r="J2550" s="17">
        <f>IF(B2550="","","touch_2; "&amp;IFERROR(INDEX(Clay_Offices!$A$2:$FZ$601,299,Sync!$C$10)&amp;"","")&amp;"; "&amp;IFERROR(INDEX(Clay_Offices!$A$2:$FZ$601,299,Sync!$C$9)&amp;"",""))</f>
        <v/>
      </c>
      <c r="K2550" t="inlineStr">
        <is>
          <t>office outreach touch 2</t>
        </is>
      </c>
    </row>
    <row r="2551">
      <c r="A2551" s="17">
        <f>IF(B2551="","",B2551+(13*1000+300)/10000000)</f>
        <v/>
      </c>
      <c r="B2551" s="23">
        <f>IF(AND(IFERROR(N(INDEX(Clay_Offices!$A$2:$FZ$601,300,Sync!$C$12)),0)&gt;0,IFERROR(INDEX(Clay_Offices!$A$2:$FZ$601,300,Sync!$C$5)&amp;"","")&lt;&gt;"",OR(LEFT(IFERROR(INDEX(Clay_Offices!$A$2:$FZ$601,300,Sync!$C$5)&amp;"",""),6)&lt;&gt;"SAMPLE",Config!$B$19="Y")),IFERROR(N(INDEX(Clay_Offices!$A$2:$FZ$601,300,Sync!$C$12)),0),"")</f>
        <v/>
      </c>
      <c r="C2551" s="17">
        <f>IF(B2551="","","office")</f>
        <v/>
      </c>
      <c r="D2551" s="17">
        <f>IF(B2551="","",IFERROR(INDEX(Clay_Offices!$A$2:$FZ$601,300,Sync!$C$5)&amp;"",""))</f>
        <v/>
      </c>
      <c r="E2551" s="17">
        <f>IF(B2551="","",IFERROR(INDEX(Clay_Offices!$A$2:$FZ$601,300,Sync!$C$6)&amp;"",""))</f>
        <v/>
      </c>
      <c r="F2551" s="17">
        <f>IF(B2551="","","outreach_sent")</f>
        <v/>
      </c>
      <c r="G2551" s="17">
        <f>IF(B2551="","","")</f>
        <v/>
      </c>
      <c r="H2551" s="17">
        <f>IF(B2551="","","")</f>
        <v/>
      </c>
      <c r="I2551" s="17">
        <f>IF(B2551="","","")</f>
        <v/>
      </c>
      <c r="J2551" s="17">
        <f>IF(B2551="","","touch_2; "&amp;IFERROR(INDEX(Clay_Offices!$A$2:$FZ$601,300,Sync!$C$10)&amp;"","")&amp;"; "&amp;IFERROR(INDEX(Clay_Offices!$A$2:$FZ$601,300,Sync!$C$9)&amp;"",""))</f>
        <v/>
      </c>
      <c r="K2551" t="inlineStr">
        <is>
          <t>office outreach touch 2</t>
        </is>
      </c>
    </row>
    <row r="2552">
      <c r="A2552" s="17">
        <f>IF(B2552="","",B2552+(13*1000+301)/10000000)</f>
        <v/>
      </c>
      <c r="B2552" s="23">
        <f>IF(AND(IFERROR(N(INDEX(Clay_Offices!$A$2:$FZ$601,301,Sync!$C$12)),0)&gt;0,IFERROR(INDEX(Clay_Offices!$A$2:$FZ$601,301,Sync!$C$5)&amp;"","")&lt;&gt;"",OR(LEFT(IFERROR(INDEX(Clay_Offices!$A$2:$FZ$601,301,Sync!$C$5)&amp;"",""),6)&lt;&gt;"SAMPLE",Config!$B$19="Y")),IFERROR(N(INDEX(Clay_Offices!$A$2:$FZ$601,301,Sync!$C$12)),0),"")</f>
        <v/>
      </c>
      <c r="C2552" s="17">
        <f>IF(B2552="","","office")</f>
        <v/>
      </c>
      <c r="D2552" s="17">
        <f>IF(B2552="","",IFERROR(INDEX(Clay_Offices!$A$2:$FZ$601,301,Sync!$C$5)&amp;"",""))</f>
        <v/>
      </c>
      <c r="E2552" s="17">
        <f>IF(B2552="","",IFERROR(INDEX(Clay_Offices!$A$2:$FZ$601,301,Sync!$C$6)&amp;"",""))</f>
        <v/>
      </c>
      <c r="F2552" s="17">
        <f>IF(B2552="","","outreach_sent")</f>
        <v/>
      </c>
      <c r="G2552" s="17">
        <f>IF(B2552="","","")</f>
        <v/>
      </c>
      <c r="H2552" s="17">
        <f>IF(B2552="","","")</f>
        <v/>
      </c>
      <c r="I2552" s="17">
        <f>IF(B2552="","","")</f>
        <v/>
      </c>
      <c r="J2552" s="17">
        <f>IF(B2552="","","touch_2; "&amp;IFERROR(INDEX(Clay_Offices!$A$2:$FZ$601,301,Sync!$C$10)&amp;"","")&amp;"; "&amp;IFERROR(INDEX(Clay_Offices!$A$2:$FZ$601,301,Sync!$C$9)&amp;"",""))</f>
        <v/>
      </c>
      <c r="K2552" t="inlineStr">
        <is>
          <t>office outreach touch 2</t>
        </is>
      </c>
    </row>
    <row r="2553">
      <c r="A2553" s="17">
        <f>IF(B2553="","",B2553+(13*1000+302)/10000000)</f>
        <v/>
      </c>
      <c r="B2553" s="23">
        <f>IF(AND(IFERROR(N(INDEX(Clay_Offices!$A$2:$FZ$601,302,Sync!$C$12)),0)&gt;0,IFERROR(INDEX(Clay_Offices!$A$2:$FZ$601,302,Sync!$C$5)&amp;"","")&lt;&gt;"",OR(LEFT(IFERROR(INDEX(Clay_Offices!$A$2:$FZ$601,302,Sync!$C$5)&amp;"",""),6)&lt;&gt;"SAMPLE",Config!$B$19="Y")),IFERROR(N(INDEX(Clay_Offices!$A$2:$FZ$601,302,Sync!$C$12)),0),"")</f>
        <v/>
      </c>
      <c r="C2553" s="17">
        <f>IF(B2553="","","office")</f>
        <v/>
      </c>
      <c r="D2553" s="17">
        <f>IF(B2553="","",IFERROR(INDEX(Clay_Offices!$A$2:$FZ$601,302,Sync!$C$5)&amp;"",""))</f>
        <v/>
      </c>
      <c r="E2553" s="17">
        <f>IF(B2553="","",IFERROR(INDEX(Clay_Offices!$A$2:$FZ$601,302,Sync!$C$6)&amp;"",""))</f>
        <v/>
      </c>
      <c r="F2553" s="17">
        <f>IF(B2553="","","outreach_sent")</f>
        <v/>
      </c>
      <c r="G2553" s="17">
        <f>IF(B2553="","","")</f>
        <v/>
      </c>
      <c r="H2553" s="17">
        <f>IF(B2553="","","")</f>
        <v/>
      </c>
      <c r="I2553" s="17">
        <f>IF(B2553="","","")</f>
        <v/>
      </c>
      <c r="J2553" s="17">
        <f>IF(B2553="","","touch_2; "&amp;IFERROR(INDEX(Clay_Offices!$A$2:$FZ$601,302,Sync!$C$10)&amp;"","")&amp;"; "&amp;IFERROR(INDEX(Clay_Offices!$A$2:$FZ$601,302,Sync!$C$9)&amp;"",""))</f>
        <v/>
      </c>
      <c r="K2553" t="inlineStr">
        <is>
          <t>office outreach touch 2</t>
        </is>
      </c>
    </row>
    <row r="2554">
      <c r="A2554" s="17">
        <f>IF(B2554="","",B2554+(13*1000+303)/10000000)</f>
        <v/>
      </c>
      <c r="B2554" s="23">
        <f>IF(AND(IFERROR(N(INDEX(Clay_Offices!$A$2:$FZ$601,303,Sync!$C$12)),0)&gt;0,IFERROR(INDEX(Clay_Offices!$A$2:$FZ$601,303,Sync!$C$5)&amp;"","")&lt;&gt;"",OR(LEFT(IFERROR(INDEX(Clay_Offices!$A$2:$FZ$601,303,Sync!$C$5)&amp;"",""),6)&lt;&gt;"SAMPLE",Config!$B$19="Y")),IFERROR(N(INDEX(Clay_Offices!$A$2:$FZ$601,303,Sync!$C$12)),0),"")</f>
        <v/>
      </c>
      <c r="C2554" s="17">
        <f>IF(B2554="","","office")</f>
        <v/>
      </c>
      <c r="D2554" s="17">
        <f>IF(B2554="","",IFERROR(INDEX(Clay_Offices!$A$2:$FZ$601,303,Sync!$C$5)&amp;"",""))</f>
        <v/>
      </c>
      <c r="E2554" s="17">
        <f>IF(B2554="","",IFERROR(INDEX(Clay_Offices!$A$2:$FZ$601,303,Sync!$C$6)&amp;"",""))</f>
        <v/>
      </c>
      <c r="F2554" s="17">
        <f>IF(B2554="","","outreach_sent")</f>
        <v/>
      </c>
      <c r="G2554" s="17">
        <f>IF(B2554="","","")</f>
        <v/>
      </c>
      <c r="H2554" s="17">
        <f>IF(B2554="","","")</f>
        <v/>
      </c>
      <c r="I2554" s="17">
        <f>IF(B2554="","","")</f>
        <v/>
      </c>
      <c r="J2554" s="17">
        <f>IF(B2554="","","touch_2; "&amp;IFERROR(INDEX(Clay_Offices!$A$2:$FZ$601,303,Sync!$C$10)&amp;"","")&amp;"; "&amp;IFERROR(INDEX(Clay_Offices!$A$2:$FZ$601,303,Sync!$C$9)&amp;"",""))</f>
        <v/>
      </c>
      <c r="K2554" t="inlineStr">
        <is>
          <t>office outreach touch 2</t>
        </is>
      </c>
    </row>
    <row r="2555">
      <c r="A2555" s="17">
        <f>IF(B2555="","",B2555+(13*1000+304)/10000000)</f>
        <v/>
      </c>
      <c r="B2555" s="23">
        <f>IF(AND(IFERROR(N(INDEX(Clay_Offices!$A$2:$FZ$601,304,Sync!$C$12)),0)&gt;0,IFERROR(INDEX(Clay_Offices!$A$2:$FZ$601,304,Sync!$C$5)&amp;"","")&lt;&gt;"",OR(LEFT(IFERROR(INDEX(Clay_Offices!$A$2:$FZ$601,304,Sync!$C$5)&amp;"",""),6)&lt;&gt;"SAMPLE",Config!$B$19="Y")),IFERROR(N(INDEX(Clay_Offices!$A$2:$FZ$601,304,Sync!$C$12)),0),"")</f>
        <v/>
      </c>
      <c r="C2555" s="17">
        <f>IF(B2555="","","office")</f>
        <v/>
      </c>
      <c r="D2555" s="17">
        <f>IF(B2555="","",IFERROR(INDEX(Clay_Offices!$A$2:$FZ$601,304,Sync!$C$5)&amp;"",""))</f>
        <v/>
      </c>
      <c r="E2555" s="17">
        <f>IF(B2555="","",IFERROR(INDEX(Clay_Offices!$A$2:$FZ$601,304,Sync!$C$6)&amp;"",""))</f>
        <v/>
      </c>
      <c r="F2555" s="17">
        <f>IF(B2555="","","outreach_sent")</f>
        <v/>
      </c>
      <c r="G2555" s="17">
        <f>IF(B2555="","","")</f>
        <v/>
      </c>
      <c r="H2555" s="17">
        <f>IF(B2555="","","")</f>
        <v/>
      </c>
      <c r="I2555" s="17">
        <f>IF(B2555="","","")</f>
        <v/>
      </c>
      <c r="J2555" s="17">
        <f>IF(B2555="","","touch_2; "&amp;IFERROR(INDEX(Clay_Offices!$A$2:$FZ$601,304,Sync!$C$10)&amp;"","")&amp;"; "&amp;IFERROR(INDEX(Clay_Offices!$A$2:$FZ$601,304,Sync!$C$9)&amp;"",""))</f>
        <v/>
      </c>
      <c r="K2555" t="inlineStr">
        <is>
          <t>office outreach touch 2</t>
        </is>
      </c>
    </row>
    <row r="2556">
      <c r="A2556" s="17">
        <f>IF(B2556="","",B2556+(13*1000+305)/10000000)</f>
        <v/>
      </c>
      <c r="B2556" s="23">
        <f>IF(AND(IFERROR(N(INDEX(Clay_Offices!$A$2:$FZ$601,305,Sync!$C$12)),0)&gt;0,IFERROR(INDEX(Clay_Offices!$A$2:$FZ$601,305,Sync!$C$5)&amp;"","")&lt;&gt;"",OR(LEFT(IFERROR(INDEX(Clay_Offices!$A$2:$FZ$601,305,Sync!$C$5)&amp;"",""),6)&lt;&gt;"SAMPLE",Config!$B$19="Y")),IFERROR(N(INDEX(Clay_Offices!$A$2:$FZ$601,305,Sync!$C$12)),0),"")</f>
        <v/>
      </c>
      <c r="C2556" s="17">
        <f>IF(B2556="","","office")</f>
        <v/>
      </c>
      <c r="D2556" s="17">
        <f>IF(B2556="","",IFERROR(INDEX(Clay_Offices!$A$2:$FZ$601,305,Sync!$C$5)&amp;"",""))</f>
        <v/>
      </c>
      <c r="E2556" s="17">
        <f>IF(B2556="","",IFERROR(INDEX(Clay_Offices!$A$2:$FZ$601,305,Sync!$C$6)&amp;"",""))</f>
        <v/>
      </c>
      <c r="F2556" s="17">
        <f>IF(B2556="","","outreach_sent")</f>
        <v/>
      </c>
      <c r="G2556" s="17">
        <f>IF(B2556="","","")</f>
        <v/>
      </c>
      <c r="H2556" s="17">
        <f>IF(B2556="","","")</f>
        <v/>
      </c>
      <c r="I2556" s="17">
        <f>IF(B2556="","","")</f>
        <v/>
      </c>
      <c r="J2556" s="17">
        <f>IF(B2556="","","touch_2; "&amp;IFERROR(INDEX(Clay_Offices!$A$2:$FZ$601,305,Sync!$C$10)&amp;"","")&amp;"; "&amp;IFERROR(INDEX(Clay_Offices!$A$2:$FZ$601,305,Sync!$C$9)&amp;"",""))</f>
        <v/>
      </c>
      <c r="K2556" t="inlineStr">
        <is>
          <t>office outreach touch 2</t>
        </is>
      </c>
    </row>
    <row r="2557">
      <c r="A2557" s="17">
        <f>IF(B2557="","",B2557+(13*1000+306)/10000000)</f>
        <v/>
      </c>
      <c r="B2557" s="23">
        <f>IF(AND(IFERROR(N(INDEX(Clay_Offices!$A$2:$FZ$601,306,Sync!$C$12)),0)&gt;0,IFERROR(INDEX(Clay_Offices!$A$2:$FZ$601,306,Sync!$C$5)&amp;"","")&lt;&gt;"",OR(LEFT(IFERROR(INDEX(Clay_Offices!$A$2:$FZ$601,306,Sync!$C$5)&amp;"",""),6)&lt;&gt;"SAMPLE",Config!$B$19="Y")),IFERROR(N(INDEX(Clay_Offices!$A$2:$FZ$601,306,Sync!$C$12)),0),"")</f>
        <v/>
      </c>
      <c r="C2557" s="17">
        <f>IF(B2557="","","office")</f>
        <v/>
      </c>
      <c r="D2557" s="17">
        <f>IF(B2557="","",IFERROR(INDEX(Clay_Offices!$A$2:$FZ$601,306,Sync!$C$5)&amp;"",""))</f>
        <v/>
      </c>
      <c r="E2557" s="17">
        <f>IF(B2557="","",IFERROR(INDEX(Clay_Offices!$A$2:$FZ$601,306,Sync!$C$6)&amp;"",""))</f>
        <v/>
      </c>
      <c r="F2557" s="17">
        <f>IF(B2557="","","outreach_sent")</f>
        <v/>
      </c>
      <c r="G2557" s="17">
        <f>IF(B2557="","","")</f>
        <v/>
      </c>
      <c r="H2557" s="17">
        <f>IF(B2557="","","")</f>
        <v/>
      </c>
      <c r="I2557" s="17">
        <f>IF(B2557="","","")</f>
        <v/>
      </c>
      <c r="J2557" s="17">
        <f>IF(B2557="","","touch_2; "&amp;IFERROR(INDEX(Clay_Offices!$A$2:$FZ$601,306,Sync!$C$10)&amp;"","")&amp;"; "&amp;IFERROR(INDEX(Clay_Offices!$A$2:$FZ$601,306,Sync!$C$9)&amp;"",""))</f>
        <v/>
      </c>
      <c r="K2557" t="inlineStr">
        <is>
          <t>office outreach touch 2</t>
        </is>
      </c>
    </row>
    <row r="2558">
      <c r="A2558" s="17">
        <f>IF(B2558="","",B2558+(13*1000+307)/10000000)</f>
        <v/>
      </c>
      <c r="B2558" s="23">
        <f>IF(AND(IFERROR(N(INDEX(Clay_Offices!$A$2:$FZ$601,307,Sync!$C$12)),0)&gt;0,IFERROR(INDEX(Clay_Offices!$A$2:$FZ$601,307,Sync!$C$5)&amp;"","")&lt;&gt;"",OR(LEFT(IFERROR(INDEX(Clay_Offices!$A$2:$FZ$601,307,Sync!$C$5)&amp;"",""),6)&lt;&gt;"SAMPLE",Config!$B$19="Y")),IFERROR(N(INDEX(Clay_Offices!$A$2:$FZ$601,307,Sync!$C$12)),0),"")</f>
        <v/>
      </c>
      <c r="C2558" s="17">
        <f>IF(B2558="","","office")</f>
        <v/>
      </c>
      <c r="D2558" s="17">
        <f>IF(B2558="","",IFERROR(INDEX(Clay_Offices!$A$2:$FZ$601,307,Sync!$C$5)&amp;"",""))</f>
        <v/>
      </c>
      <c r="E2558" s="17">
        <f>IF(B2558="","",IFERROR(INDEX(Clay_Offices!$A$2:$FZ$601,307,Sync!$C$6)&amp;"",""))</f>
        <v/>
      </c>
      <c r="F2558" s="17">
        <f>IF(B2558="","","outreach_sent")</f>
        <v/>
      </c>
      <c r="G2558" s="17">
        <f>IF(B2558="","","")</f>
        <v/>
      </c>
      <c r="H2558" s="17">
        <f>IF(B2558="","","")</f>
        <v/>
      </c>
      <c r="I2558" s="17">
        <f>IF(B2558="","","")</f>
        <v/>
      </c>
      <c r="J2558" s="17">
        <f>IF(B2558="","","touch_2; "&amp;IFERROR(INDEX(Clay_Offices!$A$2:$FZ$601,307,Sync!$C$10)&amp;"","")&amp;"; "&amp;IFERROR(INDEX(Clay_Offices!$A$2:$FZ$601,307,Sync!$C$9)&amp;"",""))</f>
        <v/>
      </c>
      <c r="K2558" t="inlineStr">
        <is>
          <t>office outreach touch 2</t>
        </is>
      </c>
    </row>
    <row r="2559">
      <c r="A2559" s="17">
        <f>IF(B2559="","",B2559+(13*1000+308)/10000000)</f>
        <v/>
      </c>
      <c r="B2559" s="23">
        <f>IF(AND(IFERROR(N(INDEX(Clay_Offices!$A$2:$FZ$601,308,Sync!$C$12)),0)&gt;0,IFERROR(INDEX(Clay_Offices!$A$2:$FZ$601,308,Sync!$C$5)&amp;"","")&lt;&gt;"",OR(LEFT(IFERROR(INDEX(Clay_Offices!$A$2:$FZ$601,308,Sync!$C$5)&amp;"",""),6)&lt;&gt;"SAMPLE",Config!$B$19="Y")),IFERROR(N(INDEX(Clay_Offices!$A$2:$FZ$601,308,Sync!$C$12)),0),"")</f>
        <v/>
      </c>
      <c r="C2559" s="17">
        <f>IF(B2559="","","office")</f>
        <v/>
      </c>
      <c r="D2559" s="17">
        <f>IF(B2559="","",IFERROR(INDEX(Clay_Offices!$A$2:$FZ$601,308,Sync!$C$5)&amp;"",""))</f>
        <v/>
      </c>
      <c r="E2559" s="17">
        <f>IF(B2559="","",IFERROR(INDEX(Clay_Offices!$A$2:$FZ$601,308,Sync!$C$6)&amp;"",""))</f>
        <v/>
      </c>
      <c r="F2559" s="17">
        <f>IF(B2559="","","outreach_sent")</f>
        <v/>
      </c>
      <c r="G2559" s="17">
        <f>IF(B2559="","","")</f>
        <v/>
      </c>
      <c r="H2559" s="17">
        <f>IF(B2559="","","")</f>
        <v/>
      </c>
      <c r="I2559" s="17">
        <f>IF(B2559="","","")</f>
        <v/>
      </c>
      <c r="J2559" s="17">
        <f>IF(B2559="","","touch_2; "&amp;IFERROR(INDEX(Clay_Offices!$A$2:$FZ$601,308,Sync!$C$10)&amp;"","")&amp;"; "&amp;IFERROR(INDEX(Clay_Offices!$A$2:$FZ$601,308,Sync!$C$9)&amp;"",""))</f>
        <v/>
      </c>
      <c r="K2559" t="inlineStr">
        <is>
          <t>office outreach touch 2</t>
        </is>
      </c>
    </row>
    <row r="2560">
      <c r="A2560" s="17">
        <f>IF(B2560="","",B2560+(13*1000+309)/10000000)</f>
        <v/>
      </c>
      <c r="B2560" s="23">
        <f>IF(AND(IFERROR(N(INDEX(Clay_Offices!$A$2:$FZ$601,309,Sync!$C$12)),0)&gt;0,IFERROR(INDEX(Clay_Offices!$A$2:$FZ$601,309,Sync!$C$5)&amp;"","")&lt;&gt;"",OR(LEFT(IFERROR(INDEX(Clay_Offices!$A$2:$FZ$601,309,Sync!$C$5)&amp;"",""),6)&lt;&gt;"SAMPLE",Config!$B$19="Y")),IFERROR(N(INDEX(Clay_Offices!$A$2:$FZ$601,309,Sync!$C$12)),0),"")</f>
        <v/>
      </c>
      <c r="C2560" s="17">
        <f>IF(B2560="","","office")</f>
        <v/>
      </c>
      <c r="D2560" s="17">
        <f>IF(B2560="","",IFERROR(INDEX(Clay_Offices!$A$2:$FZ$601,309,Sync!$C$5)&amp;"",""))</f>
        <v/>
      </c>
      <c r="E2560" s="17">
        <f>IF(B2560="","",IFERROR(INDEX(Clay_Offices!$A$2:$FZ$601,309,Sync!$C$6)&amp;"",""))</f>
        <v/>
      </c>
      <c r="F2560" s="17">
        <f>IF(B2560="","","outreach_sent")</f>
        <v/>
      </c>
      <c r="G2560" s="17">
        <f>IF(B2560="","","")</f>
        <v/>
      </c>
      <c r="H2560" s="17">
        <f>IF(B2560="","","")</f>
        <v/>
      </c>
      <c r="I2560" s="17">
        <f>IF(B2560="","","")</f>
        <v/>
      </c>
      <c r="J2560" s="17">
        <f>IF(B2560="","","touch_2; "&amp;IFERROR(INDEX(Clay_Offices!$A$2:$FZ$601,309,Sync!$C$10)&amp;"","")&amp;"; "&amp;IFERROR(INDEX(Clay_Offices!$A$2:$FZ$601,309,Sync!$C$9)&amp;"",""))</f>
        <v/>
      </c>
      <c r="K2560" t="inlineStr">
        <is>
          <t>office outreach touch 2</t>
        </is>
      </c>
    </row>
    <row r="2561">
      <c r="A2561" s="17">
        <f>IF(B2561="","",B2561+(13*1000+310)/10000000)</f>
        <v/>
      </c>
      <c r="B2561" s="23">
        <f>IF(AND(IFERROR(N(INDEX(Clay_Offices!$A$2:$FZ$601,310,Sync!$C$12)),0)&gt;0,IFERROR(INDEX(Clay_Offices!$A$2:$FZ$601,310,Sync!$C$5)&amp;"","")&lt;&gt;"",OR(LEFT(IFERROR(INDEX(Clay_Offices!$A$2:$FZ$601,310,Sync!$C$5)&amp;"",""),6)&lt;&gt;"SAMPLE",Config!$B$19="Y")),IFERROR(N(INDEX(Clay_Offices!$A$2:$FZ$601,310,Sync!$C$12)),0),"")</f>
        <v/>
      </c>
      <c r="C2561" s="17">
        <f>IF(B2561="","","office")</f>
        <v/>
      </c>
      <c r="D2561" s="17">
        <f>IF(B2561="","",IFERROR(INDEX(Clay_Offices!$A$2:$FZ$601,310,Sync!$C$5)&amp;"",""))</f>
        <v/>
      </c>
      <c r="E2561" s="17">
        <f>IF(B2561="","",IFERROR(INDEX(Clay_Offices!$A$2:$FZ$601,310,Sync!$C$6)&amp;"",""))</f>
        <v/>
      </c>
      <c r="F2561" s="17">
        <f>IF(B2561="","","outreach_sent")</f>
        <v/>
      </c>
      <c r="G2561" s="17">
        <f>IF(B2561="","","")</f>
        <v/>
      </c>
      <c r="H2561" s="17">
        <f>IF(B2561="","","")</f>
        <v/>
      </c>
      <c r="I2561" s="17">
        <f>IF(B2561="","","")</f>
        <v/>
      </c>
      <c r="J2561" s="17">
        <f>IF(B2561="","","touch_2; "&amp;IFERROR(INDEX(Clay_Offices!$A$2:$FZ$601,310,Sync!$C$10)&amp;"","")&amp;"; "&amp;IFERROR(INDEX(Clay_Offices!$A$2:$FZ$601,310,Sync!$C$9)&amp;"",""))</f>
        <v/>
      </c>
      <c r="K2561" t="inlineStr">
        <is>
          <t>office outreach touch 2</t>
        </is>
      </c>
    </row>
    <row r="2562">
      <c r="A2562" s="17">
        <f>IF(B2562="","",B2562+(13*1000+311)/10000000)</f>
        <v/>
      </c>
      <c r="B2562" s="23">
        <f>IF(AND(IFERROR(N(INDEX(Clay_Offices!$A$2:$FZ$601,311,Sync!$C$12)),0)&gt;0,IFERROR(INDEX(Clay_Offices!$A$2:$FZ$601,311,Sync!$C$5)&amp;"","")&lt;&gt;"",OR(LEFT(IFERROR(INDEX(Clay_Offices!$A$2:$FZ$601,311,Sync!$C$5)&amp;"",""),6)&lt;&gt;"SAMPLE",Config!$B$19="Y")),IFERROR(N(INDEX(Clay_Offices!$A$2:$FZ$601,311,Sync!$C$12)),0),"")</f>
        <v/>
      </c>
      <c r="C2562" s="17">
        <f>IF(B2562="","","office")</f>
        <v/>
      </c>
      <c r="D2562" s="17">
        <f>IF(B2562="","",IFERROR(INDEX(Clay_Offices!$A$2:$FZ$601,311,Sync!$C$5)&amp;"",""))</f>
        <v/>
      </c>
      <c r="E2562" s="17">
        <f>IF(B2562="","",IFERROR(INDEX(Clay_Offices!$A$2:$FZ$601,311,Sync!$C$6)&amp;"",""))</f>
        <v/>
      </c>
      <c r="F2562" s="17">
        <f>IF(B2562="","","outreach_sent")</f>
        <v/>
      </c>
      <c r="G2562" s="17">
        <f>IF(B2562="","","")</f>
        <v/>
      </c>
      <c r="H2562" s="17">
        <f>IF(B2562="","","")</f>
        <v/>
      </c>
      <c r="I2562" s="17">
        <f>IF(B2562="","","")</f>
        <v/>
      </c>
      <c r="J2562" s="17">
        <f>IF(B2562="","","touch_2; "&amp;IFERROR(INDEX(Clay_Offices!$A$2:$FZ$601,311,Sync!$C$10)&amp;"","")&amp;"; "&amp;IFERROR(INDEX(Clay_Offices!$A$2:$FZ$601,311,Sync!$C$9)&amp;"",""))</f>
        <v/>
      </c>
      <c r="K2562" t="inlineStr">
        <is>
          <t>office outreach touch 2</t>
        </is>
      </c>
    </row>
    <row r="2563">
      <c r="A2563" s="17">
        <f>IF(B2563="","",B2563+(13*1000+312)/10000000)</f>
        <v/>
      </c>
      <c r="B2563" s="23">
        <f>IF(AND(IFERROR(N(INDEX(Clay_Offices!$A$2:$FZ$601,312,Sync!$C$12)),0)&gt;0,IFERROR(INDEX(Clay_Offices!$A$2:$FZ$601,312,Sync!$C$5)&amp;"","")&lt;&gt;"",OR(LEFT(IFERROR(INDEX(Clay_Offices!$A$2:$FZ$601,312,Sync!$C$5)&amp;"",""),6)&lt;&gt;"SAMPLE",Config!$B$19="Y")),IFERROR(N(INDEX(Clay_Offices!$A$2:$FZ$601,312,Sync!$C$12)),0),"")</f>
        <v/>
      </c>
      <c r="C2563" s="17">
        <f>IF(B2563="","","office")</f>
        <v/>
      </c>
      <c r="D2563" s="17">
        <f>IF(B2563="","",IFERROR(INDEX(Clay_Offices!$A$2:$FZ$601,312,Sync!$C$5)&amp;"",""))</f>
        <v/>
      </c>
      <c r="E2563" s="17">
        <f>IF(B2563="","",IFERROR(INDEX(Clay_Offices!$A$2:$FZ$601,312,Sync!$C$6)&amp;"",""))</f>
        <v/>
      </c>
      <c r="F2563" s="17">
        <f>IF(B2563="","","outreach_sent")</f>
        <v/>
      </c>
      <c r="G2563" s="17">
        <f>IF(B2563="","","")</f>
        <v/>
      </c>
      <c r="H2563" s="17">
        <f>IF(B2563="","","")</f>
        <v/>
      </c>
      <c r="I2563" s="17">
        <f>IF(B2563="","","")</f>
        <v/>
      </c>
      <c r="J2563" s="17">
        <f>IF(B2563="","","touch_2; "&amp;IFERROR(INDEX(Clay_Offices!$A$2:$FZ$601,312,Sync!$C$10)&amp;"","")&amp;"; "&amp;IFERROR(INDEX(Clay_Offices!$A$2:$FZ$601,312,Sync!$C$9)&amp;"",""))</f>
        <v/>
      </c>
      <c r="K2563" t="inlineStr">
        <is>
          <t>office outreach touch 2</t>
        </is>
      </c>
    </row>
    <row r="2564">
      <c r="A2564" s="17">
        <f>IF(B2564="","",B2564+(13*1000+313)/10000000)</f>
        <v/>
      </c>
      <c r="B2564" s="23">
        <f>IF(AND(IFERROR(N(INDEX(Clay_Offices!$A$2:$FZ$601,313,Sync!$C$12)),0)&gt;0,IFERROR(INDEX(Clay_Offices!$A$2:$FZ$601,313,Sync!$C$5)&amp;"","")&lt;&gt;"",OR(LEFT(IFERROR(INDEX(Clay_Offices!$A$2:$FZ$601,313,Sync!$C$5)&amp;"",""),6)&lt;&gt;"SAMPLE",Config!$B$19="Y")),IFERROR(N(INDEX(Clay_Offices!$A$2:$FZ$601,313,Sync!$C$12)),0),"")</f>
        <v/>
      </c>
      <c r="C2564" s="17">
        <f>IF(B2564="","","office")</f>
        <v/>
      </c>
      <c r="D2564" s="17">
        <f>IF(B2564="","",IFERROR(INDEX(Clay_Offices!$A$2:$FZ$601,313,Sync!$C$5)&amp;"",""))</f>
        <v/>
      </c>
      <c r="E2564" s="17">
        <f>IF(B2564="","",IFERROR(INDEX(Clay_Offices!$A$2:$FZ$601,313,Sync!$C$6)&amp;"",""))</f>
        <v/>
      </c>
      <c r="F2564" s="17">
        <f>IF(B2564="","","outreach_sent")</f>
        <v/>
      </c>
      <c r="G2564" s="17">
        <f>IF(B2564="","","")</f>
        <v/>
      </c>
      <c r="H2564" s="17">
        <f>IF(B2564="","","")</f>
        <v/>
      </c>
      <c r="I2564" s="17">
        <f>IF(B2564="","","")</f>
        <v/>
      </c>
      <c r="J2564" s="17">
        <f>IF(B2564="","","touch_2; "&amp;IFERROR(INDEX(Clay_Offices!$A$2:$FZ$601,313,Sync!$C$10)&amp;"","")&amp;"; "&amp;IFERROR(INDEX(Clay_Offices!$A$2:$FZ$601,313,Sync!$C$9)&amp;"",""))</f>
        <v/>
      </c>
      <c r="K2564" t="inlineStr">
        <is>
          <t>office outreach touch 2</t>
        </is>
      </c>
    </row>
    <row r="2565">
      <c r="A2565" s="17">
        <f>IF(B2565="","",B2565+(13*1000+314)/10000000)</f>
        <v/>
      </c>
      <c r="B2565" s="23">
        <f>IF(AND(IFERROR(N(INDEX(Clay_Offices!$A$2:$FZ$601,314,Sync!$C$12)),0)&gt;0,IFERROR(INDEX(Clay_Offices!$A$2:$FZ$601,314,Sync!$C$5)&amp;"","")&lt;&gt;"",OR(LEFT(IFERROR(INDEX(Clay_Offices!$A$2:$FZ$601,314,Sync!$C$5)&amp;"",""),6)&lt;&gt;"SAMPLE",Config!$B$19="Y")),IFERROR(N(INDEX(Clay_Offices!$A$2:$FZ$601,314,Sync!$C$12)),0),"")</f>
        <v/>
      </c>
      <c r="C2565" s="17">
        <f>IF(B2565="","","office")</f>
        <v/>
      </c>
      <c r="D2565" s="17">
        <f>IF(B2565="","",IFERROR(INDEX(Clay_Offices!$A$2:$FZ$601,314,Sync!$C$5)&amp;"",""))</f>
        <v/>
      </c>
      <c r="E2565" s="17">
        <f>IF(B2565="","",IFERROR(INDEX(Clay_Offices!$A$2:$FZ$601,314,Sync!$C$6)&amp;"",""))</f>
        <v/>
      </c>
      <c r="F2565" s="17">
        <f>IF(B2565="","","outreach_sent")</f>
        <v/>
      </c>
      <c r="G2565" s="17">
        <f>IF(B2565="","","")</f>
        <v/>
      </c>
      <c r="H2565" s="17">
        <f>IF(B2565="","","")</f>
        <v/>
      </c>
      <c r="I2565" s="17">
        <f>IF(B2565="","","")</f>
        <v/>
      </c>
      <c r="J2565" s="17">
        <f>IF(B2565="","","touch_2; "&amp;IFERROR(INDEX(Clay_Offices!$A$2:$FZ$601,314,Sync!$C$10)&amp;"","")&amp;"; "&amp;IFERROR(INDEX(Clay_Offices!$A$2:$FZ$601,314,Sync!$C$9)&amp;"",""))</f>
        <v/>
      </c>
      <c r="K2565" t="inlineStr">
        <is>
          <t>office outreach touch 2</t>
        </is>
      </c>
    </row>
    <row r="2566">
      <c r="A2566" s="17">
        <f>IF(B2566="","",B2566+(13*1000+315)/10000000)</f>
        <v/>
      </c>
      <c r="B2566" s="23">
        <f>IF(AND(IFERROR(N(INDEX(Clay_Offices!$A$2:$FZ$601,315,Sync!$C$12)),0)&gt;0,IFERROR(INDEX(Clay_Offices!$A$2:$FZ$601,315,Sync!$C$5)&amp;"","")&lt;&gt;"",OR(LEFT(IFERROR(INDEX(Clay_Offices!$A$2:$FZ$601,315,Sync!$C$5)&amp;"",""),6)&lt;&gt;"SAMPLE",Config!$B$19="Y")),IFERROR(N(INDEX(Clay_Offices!$A$2:$FZ$601,315,Sync!$C$12)),0),"")</f>
        <v/>
      </c>
      <c r="C2566" s="17">
        <f>IF(B2566="","","office")</f>
        <v/>
      </c>
      <c r="D2566" s="17">
        <f>IF(B2566="","",IFERROR(INDEX(Clay_Offices!$A$2:$FZ$601,315,Sync!$C$5)&amp;"",""))</f>
        <v/>
      </c>
      <c r="E2566" s="17">
        <f>IF(B2566="","",IFERROR(INDEX(Clay_Offices!$A$2:$FZ$601,315,Sync!$C$6)&amp;"",""))</f>
        <v/>
      </c>
      <c r="F2566" s="17">
        <f>IF(B2566="","","outreach_sent")</f>
        <v/>
      </c>
      <c r="G2566" s="17">
        <f>IF(B2566="","","")</f>
        <v/>
      </c>
      <c r="H2566" s="17">
        <f>IF(B2566="","","")</f>
        <v/>
      </c>
      <c r="I2566" s="17">
        <f>IF(B2566="","","")</f>
        <v/>
      </c>
      <c r="J2566" s="17">
        <f>IF(B2566="","","touch_2; "&amp;IFERROR(INDEX(Clay_Offices!$A$2:$FZ$601,315,Sync!$C$10)&amp;"","")&amp;"; "&amp;IFERROR(INDEX(Clay_Offices!$A$2:$FZ$601,315,Sync!$C$9)&amp;"",""))</f>
        <v/>
      </c>
      <c r="K2566" t="inlineStr">
        <is>
          <t>office outreach touch 2</t>
        </is>
      </c>
    </row>
    <row r="2567">
      <c r="A2567" s="17">
        <f>IF(B2567="","",B2567+(13*1000+316)/10000000)</f>
        <v/>
      </c>
      <c r="B2567" s="23">
        <f>IF(AND(IFERROR(N(INDEX(Clay_Offices!$A$2:$FZ$601,316,Sync!$C$12)),0)&gt;0,IFERROR(INDEX(Clay_Offices!$A$2:$FZ$601,316,Sync!$C$5)&amp;"","")&lt;&gt;"",OR(LEFT(IFERROR(INDEX(Clay_Offices!$A$2:$FZ$601,316,Sync!$C$5)&amp;"",""),6)&lt;&gt;"SAMPLE",Config!$B$19="Y")),IFERROR(N(INDEX(Clay_Offices!$A$2:$FZ$601,316,Sync!$C$12)),0),"")</f>
        <v/>
      </c>
      <c r="C2567" s="17">
        <f>IF(B2567="","","office")</f>
        <v/>
      </c>
      <c r="D2567" s="17">
        <f>IF(B2567="","",IFERROR(INDEX(Clay_Offices!$A$2:$FZ$601,316,Sync!$C$5)&amp;"",""))</f>
        <v/>
      </c>
      <c r="E2567" s="17">
        <f>IF(B2567="","",IFERROR(INDEX(Clay_Offices!$A$2:$FZ$601,316,Sync!$C$6)&amp;"",""))</f>
        <v/>
      </c>
      <c r="F2567" s="17">
        <f>IF(B2567="","","outreach_sent")</f>
        <v/>
      </c>
      <c r="G2567" s="17">
        <f>IF(B2567="","","")</f>
        <v/>
      </c>
      <c r="H2567" s="17">
        <f>IF(B2567="","","")</f>
        <v/>
      </c>
      <c r="I2567" s="17">
        <f>IF(B2567="","","")</f>
        <v/>
      </c>
      <c r="J2567" s="17">
        <f>IF(B2567="","","touch_2; "&amp;IFERROR(INDEX(Clay_Offices!$A$2:$FZ$601,316,Sync!$C$10)&amp;"","")&amp;"; "&amp;IFERROR(INDEX(Clay_Offices!$A$2:$FZ$601,316,Sync!$C$9)&amp;"",""))</f>
        <v/>
      </c>
      <c r="K2567" t="inlineStr">
        <is>
          <t>office outreach touch 2</t>
        </is>
      </c>
    </row>
    <row r="2568">
      <c r="A2568" s="17">
        <f>IF(B2568="","",B2568+(13*1000+317)/10000000)</f>
        <v/>
      </c>
      <c r="B2568" s="23">
        <f>IF(AND(IFERROR(N(INDEX(Clay_Offices!$A$2:$FZ$601,317,Sync!$C$12)),0)&gt;0,IFERROR(INDEX(Clay_Offices!$A$2:$FZ$601,317,Sync!$C$5)&amp;"","")&lt;&gt;"",OR(LEFT(IFERROR(INDEX(Clay_Offices!$A$2:$FZ$601,317,Sync!$C$5)&amp;"",""),6)&lt;&gt;"SAMPLE",Config!$B$19="Y")),IFERROR(N(INDEX(Clay_Offices!$A$2:$FZ$601,317,Sync!$C$12)),0),"")</f>
        <v/>
      </c>
      <c r="C2568" s="17">
        <f>IF(B2568="","","office")</f>
        <v/>
      </c>
      <c r="D2568" s="17">
        <f>IF(B2568="","",IFERROR(INDEX(Clay_Offices!$A$2:$FZ$601,317,Sync!$C$5)&amp;"",""))</f>
        <v/>
      </c>
      <c r="E2568" s="17">
        <f>IF(B2568="","",IFERROR(INDEX(Clay_Offices!$A$2:$FZ$601,317,Sync!$C$6)&amp;"",""))</f>
        <v/>
      </c>
      <c r="F2568" s="17">
        <f>IF(B2568="","","outreach_sent")</f>
        <v/>
      </c>
      <c r="G2568" s="17">
        <f>IF(B2568="","","")</f>
        <v/>
      </c>
      <c r="H2568" s="17">
        <f>IF(B2568="","","")</f>
        <v/>
      </c>
      <c r="I2568" s="17">
        <f>IF(B2568="","","")</f>
        <v/>
      </c>
      <c r="J2568" s="17">
        <f>IF(B2568="","","touch_2; "&amp;IFERROR(INDEX(Clay_Offices!$A$2:$FZ$601,317,Sync!$C$10)&amp;"","")&amp;"; "&amp;IFERROR(INDEX(Clay_Offices!$A$2:$FZ$601,317,Sync!$C$9)&amp;"",""))</f>
        <v/>
      </c>
      <c r="K2568" t="inlineStr">
        <is>
          <t>office outreach touch 2</t>
        </is>
      </c>
    </row>
    <row r="2569">
      <c r="A2569" s="17">
        <f>IF(B2569="","",B2569+(13*1000+318)/10000000)</f>
        <v/>
      </c>
      <c r="B2569" s="23">
        <f>IF(AND(IFERROR(N(INDEX(Clay_Offices!$A$2:$FZ$601,318,Sync!$C$12)),0)&gt;0,IFERROR(INDEX(Clay_Offices!$A$2:$FZ$601,318,Sync!$C$5)&amp;"","")&lt;&gt;"",OR(LEFT(IFERROR(INDEX(Clay_Offices!$A$2:$FZ$601,318,Sync!$C$5)&amp;"",""),6)&lt;&gt;"SAMPLE",Config!$B$19="Y")),IFERROR(N(INDEX(Clay_Offices!$A$2:$FZ$601,318,Sync!$C$12)),0),"")</f>
        <v/>
      </c>
      <c r="C2569" s="17">
        <f>IF(B2569="","","office")</f>
        <v/>
      </c>
      <c r="D2569" s="17">
        <f>IF(B2569="","",IFERROR(INDEX(Clay_Offices!$A$2:$FZ$601,318,Sync!$C$5)&amp;"",""))</f>
        <v/>
      </c>
      <c r="E2569" s="17">
        <f>IF(B2569="","",IFERROR(INDEX(Clay_Offices!$A$2:$FZ$601,318,Sync!$C$6)&amp;"",""))</f>
        <v/>
      </c>
      <c r="F2569" s="17">
        <f>IF(B2569="","","outreach_sent")</f>
        <v/>
      </c>
      <c r="G2569" s="17">
        <f>IF(B2569="","","")</f>
        <v/>
      </c>
      <c r="H2569" s="17">
        <f>IF(B2569="","","")</f>
        <v/>
      </c>
      <c r="I2569" s="17">
        <f>IF(B2569="","","")</f>
        <v/>
      </c>
      <c r="J2569" s="17">
        <f>IF(B2569="","","touch_2; "&amp;IFERROR(INDEX(Clay_Offices!$A$2:$FZ$601,318,Sync!$C$10)&amp;"","")&amp;"; "&amp;IFERROR(INDEX(Clay_Offices!$A$2:$FZ$601,318,Sync!$C$9)&amp;"",""))</f>
        <v/>
      </c>
      <c r="K2569" t="inlineStr">
        <is>
          <t>office outreach touch 2</t>
        </is>
      </c>
    </row>
    <row r="2570">
      <c r="A2570" s="17">
        <f>IF(B2570="","",B2570+(13*1000+319)/10000000)</f>
        <v/>
      </c>
      <c r="B2570" s="23">
        <f>IF(AND(IFERROR(N(INDEX(Clay_Offices!$A$2:$FZ$601,319,Sync!$C$12)),0)&gt;0,IFERROR(INDEX(Clay_Offices!$A$2:$FZ$601,319,Sync!$C$5)&amp;"","")&lt;&gt;"",OR(LEFT(IFERROR(INDEX(Clay_Offices!$A$2:$FZ$601,319,Sync!$C$5)&amp;"",""),6)&lt;&gt;"SAMPLE",Config!$B$19="Y")),IFERROR(N(INDEX(Clay_Offices!$A$2:$FZ$601,319,Sync!$C$12)),0),"")</f>
        <v/>
      </c>
      <c r="C2570" s="17">
        <f>IF(B2570="","","office")</f>
        <v/>
      </c>
      <c r="D2570" s="17">
        <f>IF(B2570="","",IFERROR(INDEX(Clay_Offices!$A$2:$FZ$601,319,Sync!$C$5)&amp;"",""))</f>
        <v/>
      </c>
      <c r="E2570" s="17">
        <f>IF(B2570="","",IFERROR(INDEX(Clay_Offices!$A$2:$FZ$601,319,Sync!$C$6)&amp;"",""))</f>
        <v/>
      </c>
      <c r="F2570" s="17">
        <f>IF(B2570="","","outreach_sent")</f>
        <v/>
      </c>
      <c r="G2570" s="17">
        <f>IF(B2570="","","")</f>
        <v/>
      </c>
      <c r="H2570" s="17">
        <f>IF(B2570="","","")</f>
        <v/>
      </c>
      <c r="I2570" s="17">
        <f>IF(B2570="","","")</f>
        <v/>
      </c>
      <c r="J2570" s="17">
        <f>IF(B2570="","","touch_2; "&amp;IFERROR(INDEX(Clay_Offices!$A$2:$FZ$601,319,Sync!$C$10)&amp;"","")&amp;"; "&amp;IFERROR(INDEX(Clay_Offices!$A$2:$FZ$601,319,Sync!$C$9)&amp;"",""))</f>
        <v/>
      </c>
      <c r="K2570" t="inlineStr">
        <is>
          <t>office outreach touch 2</t>
        </is>
      </c>
    </row>
    <row r="2571">
      <c r="A2571" s="17">
        <f>IF(B2571="","",B2571+(13*1000+320)/10000000)</f>
        <v/>
      </c>
      <c r="B2571" s="23">
        <f>IF(AND(IFERROR(N(INDEX(Clay_Offices!$A$2:$FZ$601,320,Sync!$C$12)),0)&gt;0,IFERROR(INDEX(Clay_Offices!$A$2:$FZ$601,320,Sync!$C$5)&amp;"","")&lt;&gt;"",OR(LEFT(IFERROR(INDEX(Clay_Offices!$A$2:$FZ$601,320,Sync!$C$5)&amp;"",""),6)&lt;&gt;"SAMPLE",Config!$B$19="Y")),IFERROR(N(INDEX(Clay_Offices!$A$2:$FZ$601,320,Sync!$C$12)),0),"")</f>
        <v/>
      </c>
      <c r="C2571" s="17">
        <f>IF(B2571="","","office")</f>
        <v/>
      </c>
      <c r="D2571" s="17">
        <f>IF(B2571="","",IFERROR(INDEX(Clay_Offices!$A$2:$FZ$601,320,Sync!$C$5)&amp;"",""))</f>
        <v/>
      </c>
      <c r="E2571" s="17">
        <f>IF(B2571="","",IFERROR(INDEX(Clay_Offices!$A$2:$FZ$601,320,Sync!$C$6)&amp;"",""))</f>
        <v/>
      </c>
      <c r="F2571" s="17">
        <f>IF(B2571="","","outreach_sent")</f>
        <v/>
      </c>
      <c r="G2571" s="17">
        <f>IF(B2571="","","")</f>
        <v/>
      </c>
      <c r="H2571" s="17">
        <f>IF(B2571="","","")</f>
        <v/>
      </c>
      <c r="I2571" s="17">
        <f>IF(B2571="","","")</f>
        <v/>
      </c>
      <c r="J2571" s="17">
        <f>IF(B2571="","","touch_2; "&amp;IFERROR(INDEX(Clay_Offices!$A$2:$FZ$601,320,Sync!$C$10)&amp;"","")&amp;"; "&amp;IFERROR(INDEX(Clay_Offices!$A$2:$FZ$601,320,Sync!$C$9)&amp;"",""))</f>
        <v/>
      </c>
      <c r="K2571" t="inlineStr">
        <is>
          <t>office outreach touch 2</t>
        </is>
      </c>
    </row>
    <row r="2572">
      <c r="A2572" s="17">
        <f>IF(B2572="","",B2572+(13*1000+321)/10000000)</f>
        <v/>
      </c>
      <c r="B2572" s="23">
        <f>IF(AND(IFERROR(N(INDEX(Clay_Offices!$A$2:$FZ$601,321,Sync!$C$12)),0)&gt;0,IFERROR(INDEX(Clay_Offices!$A$2:$FZ$601,321,Sync!$C$5)&amp;"","")&lt;&gt;"",OR(LEFT(IFERROR(INDEX(Clay_Offices!$A$2:$FZ$601,321,Sync!$C$5)&amp;"",""),6)&lt;&gt;"SAMPLE",Config!$B$19="Y")),IFERROR(N(INDEX(Clay_Offices!$A$2:$FZ$601,321,Sync!$C$12)),0),"")</f>
        <v/>
      </c>
      <c r="C2572" s="17">
        <f>IF(B2572="","","office")</f>
        <v/>
      </c>
      <c r="D2572" s="17">
        <f>IF(B2572="","",IFERROR(INDEX(Clay_Offices!$A$2:$FZ$601,321,Sync!$C$5)&amp;"",""))</f>
        <v/>
      </c>
      <c r="E2572" s="17">
        <f>IF(B2572="","",IFERROR(INDEX(Clay_Offices!$A$2:$FZ$601,321,Sync!$C$6)&amp;"",""))</f>
        <v/>
      </c>
      <c r="F2572" s="17">
        <f>IF(B2572="","","outreach_sent")</f>
        <v/>
      </c>
      <c r="G2572" s="17">
        <f>IF(B2572="","","")</f>
        <v/>
      </c>
      <c r="H2572" s="17">
        <f>IF(B2572="","","")</f>
        <v/>
      </c>
      <c r="I2572" s="17">
        <f>IF(B2572="","","")</f>
        <v/>
      </c>
      <c r="J2572" s="17">
        <f>IF(B2572="","","touch_2; "&amp;IFERROR(INDEX(Clay_Offices!$A$2:$FZ$601,321,Sync!$C$10)&amp;"","")&amp;"; "&amp;IFERROR(INDEX(Clay_Offices!$A$2:$FZ$601,321,Sync!$C$9)&amp;"",""))</f>
        <v/>
      </c>
      <c r="K2572" t="inlineStr">
        <is>
          <t>office outreach touch 2</t>
        </is>
      </c>
    </row>
    <row r="2573">
      <c r="A2573" s="17">
        <f>IF(B2573="","",B2573+(13*1000+322)/10000000)</f>
        <v/>
      </c>
      <c r="B2573" s="23">
        <f>IF(AND(IFERROR(N(INDEX(Clay_Offices!$A$2:$FZ$601,322,Sync!$C$12)),0)&gt;0,IFERROR(INDEX(Clay_Offices!$A$2:$FZ$601,322,Sync!$C$5)&amp;"","")&lt;&gt;"",OR(LEFT(IFERROR(INDEX(Clay_Offices!$A$2:$FZ$601,322,Sync!$C$5)&amp;"",""),6)&lt;&gt;"SAMPLE",Config!$B$19="Y")),IFERROR(N(INDEX(Clay_Offices!$A$2:$FZ$601,322,Sync!$C$12)),0),"")</f>
        <v/>
      </c>
      <c r="C2573" s="17">
        <f>IF(B2573="","","office")</f>
        <v/>
      </c>
      <c r="D2573" s="17">
        <f>IF(B2573="","",IFERROR(INDEX(Clay_Offices!$A$2:$FZ$601,322,Sync!$C$5)&amp;"",""))</f>
        <v/>
      </c>
      <c r="E2573" s="17">
        <f>IF(B2573="","",IFERROR(INDEX(Clay_Offices!$A$2:$FZ$601,322,Sync!$C$6)&amp;"",""))</f>
        <v/>
      </c>
      <c r="F2573" s="17">
        <f>IF(B2573="","","outreach_sent")</f>
        <v/>
      </c>
      <c r="G2573" s="17">
        <f>IF(B2573="","","")</f>
        <v/>
      </c>
      <c r="H2573" s="17">
        <f>IF(B2573="","","")</f>
        <v/>
      </c>
      <c r="I2573" s="17">
        <f>IF(B2573="","","")</f>
        <v/>
      </c>
      <c r="J2573" s="17">
        <f>IF(B2573="","","touch_2; "&amp;IFERROR(INDEX(Clay_Offices!$A$2:$FZ$601,322,Sync!$C$10)&amp;"","")&amp;"; "&amp;IFERROR(INDEX(Clay_Offices!$A$2:$FZ$601,322,Sync!$C$9)&amp;"",""))</f>
        <v/>
      </c>
      <c r="K2573" t="inlineStr">
        <is>
          <t>office outreach touch 2</t>
        </is>
      </c>
    </row>
    <row r="2574">
      <c r="A2574" s="17">
        <f>IF(B2574="","",B2574+(13*1000+323)/10000000)</f>
        <v/>
      </c>
      <c r="B2574" s="23">
        <f>IF(AND(IFERROR(N(INDEX(Clay_Offices!$A$2:$FZ$601,323,Sync!$C$12)),0)&gt;0,IFERROR(INDEX(Clay_Offices!$A$2:$FZ$601,323,Sync!$C$5)&amp;"","")&lt;&gt;"",OR(LEFT(IFERROR(INDEX(Clay_Offices!$A$2:$FZ$601,323,Sync!$C$5)&amp;"",""),6)&lt;&gt;"SAMPLE",Config!$B$19="Y")),IFERROR(N(INDEX(Clay_Offices!$A$2:$FZ$601,323,Sync!$C$12)),0),"")</f>
        <v/>
      </c>
      <c r="C2574" s="17">
        <f>IF(B2574="","","office")</f>
        <v/>
      </c>
      <c r="D2574" s="17">
        <f>IF(B2574="","",IFERROR(INDEX(Clay_Offices!$A$2:$FZ$601,323,Sync!$C$5)&amp;"",""))</f>
        <v/>
      </c>
      <c r="E2574" s="17">
        <f>IF(B2574="","",IFERROR(INDEX(Clay_Offices!$A$2:$FZ$601,323,Sync!$C$6)&amp;"",""))</f>
        <v/>
      </c>
      <c r="F2574" s="17">
        <f>IF(B2574="","","outreach_sent")</f>
        <v/>
      </c>
      <c r="G2574" s="17">
        <f>IF(B2574="","","")</f>
        <v/>
      </c>
      <c r="H2574" s="17">
        <f>IF(B2574="","","")</f>
        <v/>
      </c>
      <c r="I2574" s="17">
        <f>IF(B2574="","","")</f>
        <v/>
      </c>
      <c r="J2574" s="17">
        <f>IF(B2574="","","touch_2; "&amp;IFERROR(INDEX(Clay_Offices!$A$2:$FZ$601,323,Sync!$C$10)&amp;"","")&amp;"; "&amp;IFERROR(INDEX(Clay_Offices!$A$2:$FZ$601,323,Sync!$C$9)&amp;"",""))</f>
        <v/>
      </c>
      <c r="K2574" t="inlineStr">
        <is>
          <t>office outreach touch 2</t>
        </is>
      </c>
    </row>
    <row r="2575">
      <c r="A2575" s="17">
        <f>IF(B2575="","",B2575+(13*1000+324)/10000000)</f>
        <v/>
      </c>
      <c r="B2575" s="23">
        <f>IF(AND(IFERROR(N(INDEX(Clay_Offices!$A$2:$FZ$601,324,Sync!$C$12)),0)&gt;0,IFERROR(INDEX(Clay_Offices!$A$2:$FZ$601,324,Sync!$C$5)&amp;"","")&lt;&gt;"",OR(LEFT(IFERROR(INDEX(Clay_Offices!$A$2:$FZ$601,324,Sync!$C$5)&amp;"",""),6)&lt;&gt;"SAMPLE",Config!$B$19="Y")),IFERROR(N(INDEX(Clay_Offices!$A$2:$FZ$601,324,Sync!$C$12)),0),"")</f>
        <v/>
      </c>
      <c r="C2575" s="17">
        <f>IF(B2575="","","office")</f>
        <v/>
      </c>
      <c r="D2575" s="17">
        <f>IF(B2575="","",IFERROR(INDEX(Clay_Offices!$A$2:$FZ$601,324,Sync!$C$5)&amp;"",""))</f>
        <v/>
      </c>
      <c r="E2575" s="17">
        <f>IF(B2575="","",IFERROR(INDEX(Clay_Offices!$A$2:$FZ$601,324,Sync!$C$6)&amp;"",""))</f>
        <v/>
      </c>
      <c r="F2575" s="17">
        <f>IF(B2575="","","outreach_sent")</f>
        <v/>
      </c>
      <c r="G2575" s="17">
        <f>IF(B2575="","","")</f>
        <v/>
      </c>
      <c r="H2575" s="17">
        <f>IF(B2575="","","")</f>
        <v/>
      </c>
      <c r="I2575" s="17">
        <f>IF(B2575="","","")</f>
        <v/>
      </c>
      <c r="J2575" s="17">
        <f>IF(B2575="","","touch_2; "&amp;IFERROR(INDEX(Clay_Offices!$A$2:$FZ$601,324,Sync!$C$10)&amp;"","")&amp;"; "&amp;IFERROR(INDEX(Clay_Offices!$A$2:$FZ$601,324,Sync!$C$9)&amp;"",""))</f>
        <v/>
      </c>
      <c r="K2575" t="inlineStr">
        <is>
          <t>office outreach touch 2</t>
        </is>
      </c>
    </row>
    <row r="2576">
      <c r="A2576" s="17">
        <f>IF(B2576="","",B2576+(13*1000+325)/10000000)</f>
        <v/>
      </c>
      <c r="B2576" s="23">
        <f>IF(AND(IFERROR(N(INDEX(Clay_Offices!$A$2:$FZ$601,325,Sync!$C$12)),0)&gt;0,IFERROR(INDEX(Clay_Offices!$A$2:$FZ$601,325,Sync!$C$5)&amp;"","")&lt;&gt;"",OR(LEFT(IFERROR(INDEX(Clay_Offices!$A$2:$FZ$601,325,Sync!$C$5)&amp;"",""),6)&lt;&gt;"SAMPLE",Config!$B$19="Y")),IFERROR(N(INDEX(Clay_Offices!$A$2:$FZ$601,325,Sync!$C$12)),0),"")</f>
        <v/>
      </c>
      <c r="C2576" s="17">
        <f>IF(B2576="","","office")</f>
        <v/>
      </c>
      <c r="D2576" s="17">
        <f>IF(B2576="","",IFERROR(INDEX(Clay_Offices!$A$2:$FZ$601,325,Sync!$C$5)&amp;"",""))</f>
        <v/>
      </c>
      <c r="E2576" s="17">
        <f>IF(B2576="","",IFERROR(INDEX(Clay_Offices!$A$2:$FZ$601,325,Sync!$C$6)&amp;"",""))</f>
        <v/>
      </c>
      <c r="F2576" s="17">
        <f>IF(B2576="","","outreach_sent")</f>
        <v/>
      </c>
      <c r="G2576" s="17">
        <f>IF(B2576="","","")</f>
        <v/>
      </c>
      <c r="H2576" s="17">
        <f>IF(B2576="","","")</f>
        <v/>
      </c>
      <c r="I2576" s="17">
        <f>IF(B2576="","","")</f>
        <v/>
      </c>
      <c r="J2576" s="17">
        <f>IF(B2576="","","touch_2; "&amp;IFERROR(INDEX(Clay_Offices!$A$2:$FZ$601,325,Sync!$C$10)&amp;"","")&amp;"; "&amp;IFERROR(INDEX(Clay_Offices!$A$2:$FZ$601,325,Sync!$C$9)&amp;"",""))</f>
        <v/>
      </c>
      <c r="K2576" t="inlineStr">
        <is>
          <t>office outreach touch 2</t>
        </is>
      </c>
    </row>
    <row r="2577">
      <c r="A2577" s="17">
        <f>IF(B2577="","",B2577+(13*1000+326)/10000000)</f>
        <v/>
      </c>
      <c r="B2577" s="23">
        <f>IF(AND(IFERROR(N(INDEX(Clay_Offices!$A$2:$FZ$601,326,Sync!$C$12)),0)&gt;0,IFERROR(INDEX(Clay_Offices!$A$2:$FZ$601,326,Sync!$C$5)&amp;"","")&lt;&gt;"",OR(LEFT(IFERROR(INDEX(Clay_Offices!$A$2:$FZ$601,326,Sync!$C$5)&amp;"",""),6)&lt;&gt;"SAMPLE",Config!$B$19="Y")),IFERROR(N(INDEX(Clay_Offices!$A$2:$FZ$601,326,Sync!$C$12)),0),"")</f>
        <v/>
      </c>
      <c r="C2577" s="17">
        <f>IF(B2577="","","office")</f>
        <v/>
      </c>
      <c r="D2577" s="17">
        <f>IF(B2577="","",IFERROR(INDEX(Clay_Offices!$A$2:$FZ$601,326,Sync!$C$5)&amp;"",""))</f>
        <v/>
      </c>
      <c r="E2577" s="17">
        <f>IF(B2577="","",IFERROR(INDEX(Clay_Offices!$A$2:$FZ$601,326,Sync!$C$6)&amp;"",""))</f>
        <v/>
      </c>
      <c r="F2577" s="17">
        <f>IF(B2577="","","outreach_sent")</f>
        <v/>
      </c>
      <c r="G2577" s="17">
        <f>IF(B2577="","","")</f>
        <v/>
      </c>
      <c r="H2577" s="17">
        <f>IF(B2577="","","")</f>
        <v/>
      </c>
      <c r="I2577" s="17">
        <f>IF(B2577="","","")</f>
        <v/>
      </c>
      <c r="J2577" s="17">
        <f>IF(B2577="","","touch_2; "&amp;IFERROR(INDEX(Clay_Offices!$A$2:$FZ$601,326,Sync!$C$10)&amp;"","")&amp;"; "&amp;IFERROR(INDEX(Clay_Offices!$A$2:$FZ$601,326,Sync!$C$9)&amp;"",""))</f>
        <v/>
      </c>
      <c r="K2577" t="inlineStr">
        <is>
          <t>office outreach touch 2</t>
        </is>
      </c>
    </row>
    <row r="2578">
      <c r="A2578" s="17">
        <f>IF(B2578="","",B2578+(13*1000+327)/10000000)</f>
        <v/>
      </c>
      <c r="B2578" s="23">
        <f>IF(AND(IFERROR(N(INDEX(Clay_Offices!$A$2:$FZ$601,327,Sync!$C$12)),0)&gt;0,IFERROR(INDEX(Clay_Offices!$A$2:$FZ$601,327,Sync!$C$5)&amp;"","")&lt;&gt;"",OR(LEFT(IFERROR(INDEX(Clay_Offices!$A$2:$FZ$601,327,Sync!$C$5)&amp;"",""),6)&lt;&gt;"SAMPLE",Config!$B$19="Y")),IFERROR(N(INDEX(Clay_Offices!$A$2:$FZ$601,327,Sync!$C$12)),0),"")</f>
        <v/>
      </c>
      <c r="C2578" s="17">
        <f>IF(B2578="","","office")</f>
        <v/>
      </c>
      <c r="D2578" s="17">
        <f>IF(B2578="","",IFERROR(INDEX(Clay_Offices!$A$2:$FZ$601,327,Sync!$C$5)&amp;"",""))</f>
        <v/>
      </c>
      <c r="E2578" s="17">
        <f>IF(B2578="","",IFERROR(INDEX(Clay_Offices!$A$2:$FZ$601,327,Sync!$C$6)&amp;"",""))</f>
        <v/>
      </c>
      <c r="F2578" s="17">
        <f>IF(B2578="","","outreach_sent")</f>
        <v/>
      </c>
      <c r="G2578" s="17">
        <f>IF(B2578="","","")</f>
        <v/>
      </c>
      <c r="H2578" s="17">
        <f>IF(B2578="","","")</f>
        <v/>
      </c>
      <c r="I2578" s="17">
        <f>IF(B2578="","","")</f>
        <v/>
      </c>
      <c r="J2578" s="17">
        <f>IF(B2578="","","touch_2; "&amp;IFERROR(INDEX(Clay_Offices!$A$2:$FZ$601,327,Sync!$C$10)&amp;"","")&amp;"; "&amp;IFERROR(INDEX(Clay_Offices!$A$2:$FZ$601,327,Sync!$C$9)&amp;"",""))</f>
        <v/>
      </c>
      <c r="K2578" t="inlineStr">
        <is>
          <t>office outreach touch 2</t>
        </is>
      </c>
    </row>
    <row r="2579">
      <c r="A2579" s="17">
        <f>IF(B2579="","",B2579+(13*1000+328)/10000000)</f>
        <v/>
      </c>
      <c r="B2579" s="23">
        <f>IF(AND(IFERROR(N(INDEX(Clay_Offices!$A$2:$FZ$601,328,Sync!$C$12)),0)&gt;0,IFERROR(INDEX(Clay_Offices!$A$2:$FZ$601,328,Sync!$C$5)&amp;"","")&lt;&gt;"",OR(LEFT(IFERROR(INDEX(Clay_Offices!$A$2:$FZ$601,328,Sync!$C$5)&amp;"",""),6)&lt;&gt;"SAMPLE",Config!$B$19="Y")),IFERROR(N(INDEX(Clay_Offices!$A$2:$FZ$601,328,Sync!$C$12)),0),"")</f>
        <v/>
      </c>
      <c r="C2579" s="17">
        <f>IF(B2579="","","office")</f>
        <v/>
      </c>
      <c r="D2579" s="17">
        <f>IF(B2579="","",IFERROR(INDEX(Clay_Offices!$A$2:$FZ$601,328,Sync!$C$5)&amp;"",""))</f>
        <v/>
      </c>
      <c r="E2579" s="17">
        <f>IF(B2579="","",IFERROR(INDEX(Clay_Offices!$A$2:$FZ$601,328,Sync!$C$6)&amp;"",""))</f>
        <v/>
      </c>
      <c r="F2579" s="17">
        <f>IF(B2579="","","outreach_sent")</f>
        <v/>
      </c>
      <c r="G2579" s="17">
        <f>IF(B2579="","","")</f>
        <v/>
      </c>
      <c r="H2579" s="17">
        <f>IF(B2579="","","")</f>
        <v/>
      </c>
      <c r="I2579" s="17">
        <f>IF(B2579="","","")</f>
        <v/>
      </c>
      <c r="J2579" s="17">
        <f>IF(B2579="","","touch_2; "&amp;IFERROR(INDEX(Clay_Offices!$A$2:$FZ$601,328,Sync!$C$10)&amp;"","")&amp;"; "&amp;IFERROR(INDEX(Clay_Offices!$A$2:$FZ$601,328,Sync!$C$9)&amp;"",""))</f>
        <v/>
      </c>
      <c r="K2579" t="inlineStr">
        <is>
          <t>office outreach touch 2</t>
        </is>
      </c>
    </row>
    <row r="2580">
      <c r="A2580" s="17">
        <f>IF(B2580="","",B2580+(13*1000+329)/10000000)</f>
        <v/>
      </c>
      <c r="B2580" s="23">
        <f>IF(AND(IFERROR(N(INDEX(Clay_Offices!$A$2:$FZ$601,329,Sync!$C$12)),0)&gt;0,IFERROR(INDEX(Clay_Offices!$A$2:$FZ$601,329,Sync!$C$5)&amp;"","")&lt;&gt;"",OR(LEFT(IFERROR(INDEX(Clay_Offices!$A$2:$FZ$601,329,Sync!$C$5)&amp;"",""),6)&lt;&gt;"SAMPLE",Config!$B$19="Y")),IFERROR(N(INDEX(Clay_Offices!$A$2:$FZ$601,329,Sync!$C$12)),0),"")</f>
        <v/>
      </c>
      <c r="C2580" s="17">
        <f>IF(B2580="","","office")</f>
        <v/>
      </c>
      <c r="D2580" s="17">
        <f>IF(B2580="","",IFERROR(INDEX(Clay_Offices!$A$2:$FZ$601,329,Sync!$C$5)&amp;"",""))</f>
        <v/>
      </c>
      <c r="E2580" s="17">
        <f>IF(B2580="","",IFERROR(INDEX(Clay_Offices!$A$2:$FZ$601,329,Sync!$C$6)&amp;"",""))</f>
        <v/>
      </c>
      <c r="F2580" s="17">
        <f>IF(B2580="","","outreach_sent")</f>
        <v/>
      </c>
      <c r="G2580" s="17">
        <f>IF(B2580="","","")</f>
        <v/>
      </c>
      <c r="H2580" s="17">
        <f>IF(B2580="","","")</f>
        <v/>
      </c>
      <c r="I2580" s="17">
        <f>IF(B2580="","","")</f>
        <v/>
      </c>
      <c r="J2580" s="17">
        <f>IF(B2580="","","touch_2; "&amp;IFERROR(INDEX(Clay_Offices!$A$2:$FZ$601,329,Sync!$C$10)&amp;"","")&amp;"; "&amp;IFERROR(INDEX(Clay_Offices!$A$2:$FZ$601,329,Sync!$C$9)&amp;"",""))</f>
        <v/>
      </c>
      <c r="K2580" t="inlineStr">
        <is>
          <t>office outreach touch 2</t>
        </is>
      </c>
    </row>
    <row r="2581">
      <c r="A2581" s="17">
        <f>IF(B2581="","",B2581+(13*1000+330)/10000000)</f>
        <v/>
      </c>
      <c r="B2581" s="23">
        <f>IF(AND(IFERROR(N(INDEX(Clay_Offices!$A$2:$FZ$601,330,Sync!$C$12)),0)&gt;0,IFERROR(INDEX(Clay_Offices!$A$2:$FZ$601,330,Sync!$C$5)&amp;"","")&lt;&gt;"",OR(LEFT(IFERROR(INDEX(Clay_Offices!$A$2:$FZ$601,330,Sync!$C$5)&amp;"",""),6)&lt;&gt;"SAMPLE",Config!$B$19="Y")),IFERROR(N(INDEX(Clay_Offices!$A$2:$FZ$601,330,Sync!$C$12)),0),"")</f>
        <v/>
      </c>
      <c r="C2581" s="17">
        <f>IF(B2581="","","office")</f>
        <v/>
      </c>
      <c r="D2581" s="17">
        <f>IF(B2581="","",IFERROR(INDEX(Clay_Offices!$A$2:$FZ$601,330,Sync!$C$5)&amp;"",""))</f>
        <v/>
      </c>
      <c r="E2581" s="17">
        <f>IF(B2581="","",IFERROR(INDEX(Clay_Offices!$A$2:$FZ$601,330,Sync!$C$6)&amp;"",""))</f>
        <v/>
      </c>
      <c r="F2581" s="17">
        <f>IF(B2581="","","outreach_sent")</f>
        <v/>
      </c>
      <c r="G2581" s="17">
        <f>IF(B2581="","","")</f>
        <v/>
      </c>
      <c r="H2581" s="17">
        <f>IF(B2581="","","")</f>
        <v/>
      </c>
      <c r="I2581" s="17">
        <f>IF(B2581="","","")</f>
        <v/>
      </c>
      <c r="J2581" s="17">
        <f>IF(B2581="","","touch_2; "&amp;IFERROR(INDEX(Clay_Offices!$A$2:$FZ$601,330,Sync!$C$10)&amp;"","")&amp;"; "&amp;IFERROR(INDEX(Clay_Offices!$A$2:$FZ$601,330,Sync!$C$9)&amp;"",""))</f>
        <v/>
      </c>
      <c r="K2581" t="inlineStr">
        <is>
          <t>office outreach touch 2</t>
        </is>
      </c>
    </row>
    <row r="2582">
      <c r="A2582" s="17">
        <f>IF(B2582="","",B2582+(13*1000+331)/10000000)</f>
        <v/>
      </c>
      <c r="B2582" s="23">
        <f>IF(AND(IFERROR(N(INDEX(Clay_Offices!$A$2:$FZ$601,331,Sync!$C$12)),0)&gt;0,IFERROR(INDEX(Clay_Offices!$A$2:$FZ$601,331,Sync!$C$5)&amp;"","")&lt;&gt;"",OR(LEFT(IFERROR(INDEX(Clay_Offices!$A$2:$FZ$601,331,Sync!$C$5)&amp;"",""),6)&lt;&gt;"SAMPLE",Config!$B$19="Y")),IFERROR(N(INDEX(Clay_Offices!$A$2:$FZ$601,331,Sync!$C$12)),0),"")</f>
        <v/>
      </c>
      <c r="C2582" s="17">
        <f>IF(B2582="","","office")</f>
        <v/>
      </c>
      <c r="D2582" s="17">
        <f>IF(B2582="","",IFERROR(INDEX(Clay_Offices!$A$2:$FZ$601,331,Sync!$C$5)&amp;"",""))</f>
        <v/>
      </c>
      <c r="E2582" s="17">
        <f>IF(B2582="","",IFERROR(INDEX(Clay_Offices!$A$2:$FZ$601,331,Sync!$C$6)&amp;"",""))</f>
        <v/>
      </c>
      <c r="F2582" s="17">
        <f>IF(B2582="","","outreach_sent")</f>
        <v/>
      </c>
      <c r="G2582" s="17">
        <f>IF(B2582="","","")</f>
        <v/>
      </c>
      <c r="H2582" s="17">
        <f>IF(B2582="","","")</f>
        <v/>
      </c>
      <c r="I2582" s="17">
        <f>IF(B2582="","","")</f>
        <v/>
      </c>
      <c r="J2582" s="17">
        <f>IF(B2582="","","touch_2; "&amp;IFERROR(INDEX(Clay_Offices!$A$2:$FZ$601,331,Sync!$C$10)&amp;"","")&amp;"; "&amp;IFERROR(INDEX(Clay_Offices!$A$2:$FZ$601,331,Sync!$C$9)&amp;"",""))</f>
        <v/>
      </c>
      <c r="K2582" t="inlineStr">
        <is>
          <t>office outreach touch 2</t>
        </is>
      </c>
    </row>
    <row r="2583">
      <c r="A2583" s="17">
        <f>IF(B2583="","",B2583+(13*1000+332)/10000000)</f>
        <v/>
      </c>
      <c r="B2583" s="23">
        <f>IF(AND(IFERROR(N(INDEX(Clay_Offices!$A$2:$FZ$601,332,Sync!$C$12)),0)&gt;0,IFERROR(INDEX(Clay_Offices!$A$2:$FZ$601,332,Sync!$C$5)&amp;"","")&lt;&gt;"",OR(LEFT(IFERROR(INDEX(Clay_Offices!$A$2:$FZ$601,332,Sync!$C$5)&amp;"",""),6)&lt;&gt;"SAMPLE",Config!$B$19="Y")),IFERROR(N(INDEX(Clay_Offices!$A$2:$FZ$601,332,Sync!$C$12)),0),"")</f>
        <v/>
      </c>
      <c r="C2583" s="17">
        <f>IF(B2583="","","office")</f>
        <v/>
      </c>
      <c r="D2583" s="17">
        <f>IF(B2583="","",IFERROR(INDEX(Clay_Offices!$A$2:$FZ$601,332,Sync!$C$5)&amp;"",""))</f>
        <v/>
      </c>
      <c r="E2583" s="17">
        <f>IF(B2583="","",IFERROR(INDEX(Clay_Offices!$A$2:$FZ$601,332,Sync!$C$6)&amp;"",""))</f>
        <v/>
      </c>
      <c r="F2583" s="17">
        <f>IF(B2583="","","outreach_sent")</f>
        <v/>
      </c>
      <c r="G2583" s="17">
        <f>IF(B2583="","","")</f>
        <v/>
      </c>
      <c r="H2583" s="17">
        <f>IF(B2583="","","")</f>
        <v/>
      </c>
      <c r="I2583" s="17">
        <f>IF(B2583="","","")</f>
        <v/>
      </c>
      <c r="J2583" s="17">
        <f>IF(B2583="","","touch_2; "&amp;IFERROR(INDEX(Clay_Offices!$A$2:$FZ$601,332,Sync!$C$10)&amp;"","")&amp;"; "&amp;IFERROR(INDEX(Clay_Offices!$A$2:$FZ$601,332,Sync!$C$9)&amp;"",""))</f>
        <v/>
      </c>
      <c r="K2583" t="inlineStr">
        <is>
          <t>office outreach touch 2</t>
        </is>
      </c>
    </row>
    <row r="2584">
      <c r="A2584" s="17">
        <f>IF(B2584="","",B2584+(13*1000+333)/10000000)</f>
        <v/>
      </c>
      <c r="B2584" s="23">
        <f>IF(AND(IFERROR(N(INDEX(Clay_Offices!$A$2:$FZ$601,333,Sync!$C$12)),0)&gt;0,IFERROR(INDEX(Clay_Offices!$A$2:$FZ$601,333,Sync!$C$5)&amp;"","")&lt;&gt;"",OR(LEFT(IFERROR(INDEX(Clay_Offices!$A$2:$FZ$601,333,Sync!$C$5)&amp;"",""),6)&lt;&gt;"SAMPLE",Config!$B$19="Y")),IFERROR(N(INDEX(Clay_Offices!$A$2:$FZ$601,333,Sync!$C$12)),0),"")</f>
        <v/>
      </c>
      <c r="C2584" s="17">
        <f>IF(B2584="","","office")</f>
        <v/>
      </c>
      <c r="D2584" s="17">
        <f>IF(B2584="","",IFERROR(INDEX(Clay_Offices!$A$2:$FZ$601,333,Sync!$C$5)&amp;"",""))</f>
        <v/>
      </c>
      <c r="E2584" s="17">
        <f>IF(B2584="","",IFERROR(INDEX(Clay_Offices!$A$2:$FZ$601,333,Sync!$C$6)&amp;"",""))</f>
        <v/>
      </c>
      <c r="F2584" s="17">
        <f>IF(B2584="","","outreach_sent")</f>
        <v/>
      </c>
      <c r="G2584" s="17">
        <f>IF(B2584="","","")</f>
        <v/>
      </c>
      <c r="H2584" s="17">
        <f>IF(B2584="","","")</f>
        <v/>
      </c>
      <c r="I2584" s="17">
        <f>IF(B2584="","","")</f>
        <v/>
      </c>
      <c r="J2584" s="17">
        <f>IF(B2584="","","touch_2; "&amp;IFERROR(INDEX(Clay_Offices!$A$2:$FZ$601,333,Sync!$C$10)&amp;"","")&amp;"; "&amp;IFERROR(INDEX(Clay_Offices!$A$2:$FZ$601,333,Sync!$C$9)&amp;"",""))</f>
        <v/>
      </c>
      <c r="K2584" t="inlineStr">
        <is>
          <t>office outreach touch 2</t>
        </is>
      </c>
    </row>
    <row r="2585">
      <c r="A2585" s="17">
        <f>IF(B2585="","",B2585+(13*1000+334)/10000000)</f>
        <v/>
      </c>
      <c r="B2585" s="23">
        <f>IF(AND(IFERROR(N(INDEX(Clay_Offices!$A$2:$FZ$601,334,Sync!$C$12)),0)&gt;0,IFERROR(INDEX(Clay_Offices!$A$2:$FZ$601,334,Sync!$C$5)&amp;"","")&lt;&gt;"",OR(LEFT(IFERROR(INDEX(Clay_Offices!$A$2:$FZ$601,334,Sync!$C$5)&amp;"",""),6)&lt;&gt;"SAMPLE",Config!$B$19="Y")),IFERROR(N(INDEX(Clay_Offices!$A$2:$FZ$601,334,Sync!$C$12)),0),"")</f>
        <v/>
      </c>
      <c r="C2585" s="17">
        <f>IF(B2585="","","office")</f>
        <v/>
      </c>
      <c r="D2585" s="17">
        <f>IF(B2585="","",IFERROR(INDEX(Clay_Offices!$A$2:$FZ$601,334,Sync!$C$5)&amp;"",""))</f>
        <v/>
      </c>
      <c r="E2585" s="17">
        <f>IF(B2585="","",IFERROR(INDEX(Clay_Offices!$A$2:$FZ$601,334,Sync!$C$6)&amp;"",""))</f>
        <v/>
      </c>
      <c r="F2585" s="17">
        <f>IF(B2585="","","outreach_sent")</f>
        <v/>
      </c>
      <c r="G2585" s="17">
        <f>IF(B2585="","","")</f>
        <v/>
      </c>
      <c r="H2585" s="17">
        <f>IF(B2585="","","")</f>
        <v/>
      </c>
      <c r="I2585" s="17">
        <f>IF(B2585="","","")</f>
        <v/>
      </c>
      <c r="J2585" s="17">
        <f>IF(B2585="","","touch_2; "&amp;IFERROR(INDEX(Clay_Offices!$A$2:$FZ$601,334,Sync!$C$10)&amp;"","")&amp;"; "&amp;IFERROR(INDEX(Clay_Offices!$A$2:$FZ$601,334,Sync!$C$9)&amp;"",""))</f>
        <v/>
      </c>
      <c r="K2585" t="inlineStr">
        <is>
          <t>office outreach touch 2</t>
        </is>
      </c>
    </row>
    <row r="2586">
      <c r="A2586" s="17">
        <f>IF(B2586="","",B2586+(13*1000+335)/10000000)</f>
        <v/>
      </c>
      <c r="B2586" s="23">
        <f>IF(AND(IFERROR(N(INDEX(Clay_Offices!$A$2:$FZ$601,335,Sync!$C$12)),0)&gt;0,IFERROR(INDEX(Clay_Offices!$A$2:$FZ$601,335,Sync!$C$5)&amp;"","")&lt;&gt;"",OR(LEFT(IFERROR(INDEX(Clay_Offices!$A$2:$FZ$601,335,Sync!$C$5)&amp;"",""),6)&lt;&gt;"SAMPLE",Config!$B$19="Y")),IFERROR(N(INDEX(Clay_Offices!$A$2:$FZ$601,335,Sync!$C$12)),0),"")</f>
        <v/>
      </c>
      <c r="C2586" s="17">
        <f>IF(B2586="","","office")</f>
        <v/>
      </c>
      <c r="D2586" s="17">
        <f>IF(B2586="","",IFERROR(INDEX(Clay_Offices!$A$2:$FZ$601,335,Sync!$C$5)&amp;"",""))</f>
        <v/>
      </c>
      <c r="E2586" s="17">
        <f>IF(B2586="","",IFERROR(INDEX(Clay_Offices!$A$2:$FZ$601,335,Sync!$C$6)&amp;"",""))</f>
        <v/>
      </c>
      <c r="F2586" s="17">
        <f>IF(B2586="","","outreach_sent")</f>
        <v/>
      </c>
      <c r="G2586" s="17">
        <f>IF(B2586="","","")</f>
        <v/>
      </c>
      <c r="H2586" s="17">
        <f>IF(B2586="","","")</f>
        <v/>
      </c>
      <c r="I2586" s="17">
        <f>IF(B2586="","","")</f>
        <v/>
      </c>
      <c r="J2586" s="17">
        <f>IF(B2586="","","touch_2; "&amp;IFERROR(INDEX(Clay_Offices!$A$2:$FZ$601,335,Sync!$C$10)&amp;"","")&amp;"; "&amp;IFERROR(INDEX(Clay_Offices!$A$2:$FZ$601,335,Sync!$C$9)&amp;"",""))</f>
        <v/>
      </c>
      <c r="K2586" t="inlineStr">
        <is>
          <t>office outreach touch 2</t>
        </is>
      </c>
    </row>
    <row r="2587">
      <c r="A2587" s="17">
        <f>IF(B2587="","",B2587+(13*1000+336)/10000000)</f>
        <v/>
      </c>
      <c r="B2587" s="23">
        <f>IF(AND(IFERROR(N(INDEX(Clay_Offices!$A$2:$FZ$601,336,Sync!$C$12)),0)&gt;0,IFERROR(INDEX(Clay_Offices!$A$2:$FZ$601,336,Sync!$C$5)&amp;"","")&lt;&gt;"",OR(LEFT(IFERROR(INDEX(Clay_Offices!$A$2:$FZ$601,336,Sync!$C$5)&amp;"",""),6)&lt;&gt;"SAMPLE",Config!$B$19="Y")),IFERROR(N(INDEX(Clay_Offices!$A$2:$FZ$601,336,Sync!$C$12)),0),"")</f>
        <v/>
      </c>
      <c r="C2587" s="17">
        <f>IF(B2587="","","office")</f>
        <v/>
      </c>
      <c r="D2587" s="17">
        <f>IF(B2587="","",IFERROR(INDEX(Clay_Offices!$A$2:$FZ$601,336,Sync!$C$5)&amp;"",""))</f>
        <v/>
      </c>
      <c r="E2587" s="17">
        <f>IF(B2587="","",IFERROR(INDEX(Clay_Offices!$A$2:$FZ$601,336,Sync!$C$6)&amp;"",""))</f>
        <v/>
      </c>
      <c r="F2587" s="17">
        <f>IF(B2587="","","outreach_sent")</f>
        <v/>
      </c>
      <c r="G2587" s="17">
        <f>IF(B2587="","","")</f>
        <v/>
      </c>
      <c r="H2587" s="17">
        <f>IF(B2587="","","")</f>
        <v/>
      </c>
      <c r="I2587" s="17">
        <f>IF(B2587="","","")</f>
        <v/>
      </c>
      <c r="J2587" s="17">
        <f>IF(B2587="","","touch_2; "&amp;IFERROR(INDEX(Clay_Offices!$A$2:$FZ$601,336,Sync!$C$10)&amp;"","")&amp;"; "&amp;IFERROR(INDEX(Clay_Offices!$A$2:$FZ$601,336,Sync!$C$9)&amp;"",""))</f>
        <v/>
      </c>
      <c r="K2587" t="inlineStr">
        <is>
          <t>office outreach touch 2</t>
        </is>
      </c>
    </row>
    <row r="2588">
      <c r="A2588" s="17">
        <f>IF(B2588="","",B2588+(13*1000+337)/10000000)</f>
        <v/>
      </c>
      <c r="B2588" s="23">
        <f>IF(AND(IFERROR(N(INDEX(Clay_Offices!$A$2:$FZ$601,337,Sync!$C$12)),0)&gt;0,IFERROR(INDEX(Clay_Offices!$A$2:$FZ$601,337,Sync!$C$5)&amp;"","")&lt;&gt;"",OR(LEFT(IFERROR(INDEX(Clay_Offices!$A$2:$FZ$601,337,Sync!$C$5)&amp;"",""),6)&lt;&gt;"SAMPLE",Config!$B$19="Y")),IFERROR(N(INDEX(Clay_Offices!$A$2:$FZ$601,337,Sync!$C$12)),0),"")</f>
        <v/>
      </c>
      <c r="C2588" s="17">
        <f>IF(B2588="","","office")</f>
        <v/>
      </c>
      <c r="D2588" s="17">
        <f>IF(B2588="","",IFERROR(INDEX(Clay_Offices!$A$2:$FZ$601,337,Sync!$C$5)&amp;"",""))</f>
        <v/>
      </c>
      <c r="E2588" s="17">
        <f>IF(B2588="","",IFERROR(INDEX(Clay_Offices!$A$2:$FZ$601,337,Sync!$C$6)&amp;"",""))</f>
        <v/>
      </c>
      <c r="F2588" s="17">
        <f>IF(B2588="","","outreach_sent")</f>
        <v/>
      </c>
      <c r="G2588" s="17">
        <f>IF(B2588="","","")</f>
        <v/>
      </c>
      <c r="H2588" s="17">
        <f>IF(B2588="","","")</f>
        <v/>
      </c>
      <c r="I2588" s="17">
        <f>IF(B2588="","","")</f>
        <v/>
      </c>
      <c r="J2588" s="17">
        <f>IF(B2588="","","touch_2; "&amp;IFERROR(INDEX(Clay_Offices!$A$2:$FZ$601,337,Sync!$C$10)&amp;"","")&amp;"; "&amp;IFERROR(INDEX(Clay_Offices!$A$2:$FZ$601,337,Sync!$C$9)&amp;"",""))</f>
        <v/>
      </c>
      <c r="K2588" t="inlineStr">
        <is>
          <t>office outreach touch 2</t>
        </is>
      </c>
    </row>
    <row r="2589">
      <c r="A2589" s="17">
        <f>IF(B2589="","",B2589+(13*1000+338)/10000000)</f>
        <v/>
      </c>
      <c r="B2589" s="23">
        <f>IF(AND(IFERROR(N(INDEX(Clay_Offices!$A$2:$FZ$601,338,Sync!$C$12)),0)&gt;0,IFERROR(INDEX(Clay_Offices!$A$2:$FZ$601,338,Sync!$C$5)&amp;"","")&lt;&gt;"",OR(LEFT(IFERROR(INDEX(Clay_Offices!$A$2:$FZ$601,338,Sync!$C$5)&amp;"",""),6)&lt;&gt;"SAMPLE",Config!$B$19="Y")),IFERROR(N(INDEX(Clay_Offices!$A$2:$FZ$601,338,Sync!$C$12)),0),"")</f>
        <v/>
      </c>
      <c r="C2589" s="17">
        <f>IF(B2589="","","office")</f>
        <v/>
      </c>
      <c r="D2589" s="17">
        <f>IF(B2589="","",IFERROR(INDEX(Clay_Offices!$A$2:$FZ$601,338,Sync!$C$5)&amp;"",""))</f>
        <v/>
      </c>
      <c r="E2589" s="17">
        <f>IF(B2589="","",IFERROR(INDEX(Clay_Offices!$A$2:$FZ$601,338,Sync!$C$6)&amp;"",""))</f>
        <v/>
      </c>
      <c r="F2589" s="17">
        <f>IF(B2589="","","outreach_sent")</f>
        <v/>
      </c>
      <c r="G2589" s="17">
        <f>IF(B2589="","","")</f>
        <v/>
      </c>
      <c r="H2589" s="17">
        <f>IF(B2589="","","")</f>
        <v/>
      </c>
      <c r="I2589" s="17">
        <f>IF(B2589="","","")</f>
        <v/>
      </c>
      <c r="J2589" s="17">
        <f>IF(B2589="","","touch_2; "&amp;IFERROR(INDEX(Clay_Offices!$A$2:$FZ$601,338,Sync!$C$10)&amp;"","")&amp;"; "&amp;IFERROR(INDEX(Clay_Offices!$A$2:$FZ$601,338,Sync!$C$9)&amp;"",""))</f>
        <v/>
      </c>
      <c r="K2589" t="inlineStr">
        <is>
          <t>office outreach touch 2</t>
        </is>
      </c>
    </row>
    <row r="2590">
      <c r="A2590" s="17">
        <f>IF(B2590="","",B2590+(13*1000+339)/10000000)</f>
        <v/>
      </c>
      <c r="B2590" s="23">
        <f>IF(AND(IFERROR(N(INDEX(Clay_Offices!$A$2:$FZ$601,339,Sync!$C$12)),0)&gt;0,IFERROR(INDEX(Clay_Offices!$A$2:$FZ$601,339,Sync!$C$5)&amp;"","")&lt;&gt;"",OR(LEFT(IFERROR(INDEX(Clay_Offices!$A$2:$FZ$601,339,Sync!$C$5)&amp;"",""),6)&lt;&gt;"SAMPLE",Config!$B$19="Y")),IFERROR(N(INDEX(Clay_Offices!$A$2:$FZ$601,339,Sync!$C$12)),0),"")</f>
        <v/>
      </c>
      <c r="C2590" s="17">
        <f>IF(B2590="","","office")</f>
        <v/>
      </c>
      <c r="D2590" s="17">
        <f>IF(B2590="","",IFERROR(INDEX(Clay_Offices!$A$2:$FZ$601,339,Sync!$C$5)&amp;"",""))</f>
        <v/>
      </c>
      <c r="E2590" s="17">
        <f>IF(B2590="","",IFERROR(INDEX(Clay_Offices!$A$2:$FZ$601,339,Sync!$C$6)&amp;"",""))</f>
        <v/>
      </c>
      <c r="F2590" s="17">
        <f>IF(B2590="","","outreach_sent")</f>
        <v/>
      </c>
      <c r="G2590" s="17">
        <f>IF(B2590="","","")</f>
        <v/>
      </c>
      <c r="H2590" s="17">
        <f>IF(B2590="","","")</f>
        <v/>
      </c>
      <c r="I2590" s="17">
        <f>IF(B2590="","","")</f>
        <v/>
      </c>
      <c r="J2590" s="17">
        <f>IF(B2590="","","touch_2; "&amp;IFERROR(INDEX(Clay_Offices!$A$2:$FZ$601,339,Sync!$C$10)&amp;"","")&amp;"; "&amp;IFERROR(INDEX(Clay_Offices!$A$2:$FZ$601,339,Sync!$C$9)&amp;"",""))</f>
        <v/>
      </c>
      <c r="K2590" t="inlineStr">
        <is>
          <t>office outreach touch 2</t>
        </is>
      </c>
    </row>
    <row r="2591">
      <c r="A2591" s="17">
        <f>IF(B2591="","",B2591+(13*1000+340)/10000000)</f>
        <v/>
      </c>
      <c r="B2591" s="23">
        <f>IF(AND(IFERROR(N(INDEX(Clay_Offices!$A$2:$FZ$601,340,Sync!$C$12)),0)&gt;0,IFERROR(INDEX(Clay_Offices!$A$2:$FZ$601,340,Sync!$C$5)&amp;"","")&lt;&gt;"",OR(LEFT(IFERROR(INDEX(Clay_Offices!$A$2:$FZ$601,340,Sync!$C$5)&amp;"",""),6)&lt;&gt;"SAMPLE",Config!$B$19="Y")),IFERROR(N(INDEX(Clay_Offices!$A$2:$FZ$601,340,Sync!$C$12)),0),"")</f>
        <v/>
      </c>
      <c r="C2591" s="17">
        <f>IF(B2591="","","office")</f>
        <v/>
      </c>
      <c r="D2591" s="17">
        <f>IF(B2591="","",IFERROR(INDEX(Clay_Offices!$A$2:$FZ$601,340,Sync!$C$5)&amp;"",""))</f>
        <v/>
      </c>
      <c r="E2591" s="17">
        <f>IF(B2591="","",IFERROR(INDEX(Clay_Offices!$A$2:$FZ$601,340,Sync!$C$6)&amp;"",""))</f>
        <v/>
      </c>
      <c r="F2591" s="17">
        <f>IF(B2591="","","outreach_sent")</f>
        <v/>
      </c>
      <c r="G2591" s="17">
        <f>IF(B2591="","","")</f>
        <v/>
      </c>
      <c r="H2591" s="17">
        <f>IF(B2591="","","")</f>
        <v/>
      </c>
      <c r="I2591" s="17">
        <f>IF(B2591="","","")</f>
        <v/>
      </c>
      <c r="J2591" s="17">
        <f>IF(B2591="","","touch_2; "&amp;IFERROR(INDEX(Clay_Offices!$A$2:$FZ$601,340,Sync!$C$10)&amp;"","")&amp;"; "&amp;IFERROR(INDEX(Clay_Offices!$A$2:$FZ$601,340,Sync!$C$9)&amp;"",""))</f>
        <v/>
      </c>
      <c r="K2591" t="inlineStr">
        <is>
          <t>office outreach touch 2</t>
        </is>
      </c>
    </row>
    <row r="2592">
      <c r="A2592" s="17">
        <f>IF(B2592="","",B2592+(13*1000+341)/10000000)</f>
        <v/>
      </c>
      <c r="B2592" s="23">
        <f>IF(AND(IFERROR(N(INDEX(Clay_Offices!$A$2:$FZ$601,341,Sync!$C$12)),0)&gt;0,IFERROR(INDEX(Clay_Offices!$A$2:$FZ$601,341,Sync!$C$5)&amp;"","")&lt;&gt;"",OR(LEFT(IFERROR(INDEX(Clay_Offices!$A$2:$FZ$601,341,Sync!$C$5)&amp;"",""),6)&lt;&gt;"SAMPLE",Config!$B$19="Y")),IFERROR(N(INDEX(Clay_Offices!$A$2:$FZ$601,341,Sync!$C$12)),0),"")</f>
        <v/>
      </c>
      <c r="C2592" s="17">
        <f>IF(B2592="","","office")</f>
        <v/>
      </c>
      <c r="D2592" s="17">
        <f>IF(B2592="","",IFERROR(INDEX(Clay_Offices!$A$2:$FZ$601,341,Sync!$C$5)&amp;"",""))</f>
        <v/>
      </c>
      <c r="E2592" s="17">
        <f>IF(B2592="","",IFERROR(INDEX(Clay_Offices!$A$2:$FZ$601,341,Sync!$C$6)&amp;"",""))</f>
        <v/>
      </c>
      <c r="F2592" s="17">
        <f>IF(B2592="","","outreach_sent")</f>
        <v/>
      </c>
      <c r="G2592" s="17">
        <f>IF(B2592="","","")</f>
        <v/>
      </c>
      <c r="H2592" s="17">
        <f>IF(B2592="","","")</f>
        <v/>
      </c>
      <c r="I2592" s="17">
        <f>IF(B2592="","","")</f>
        <v/>
      </c>
      <c r="J2592" s="17">
        <f>IF(B2592="","","touch_2; "&amp;IFERROR(INDEX(Clay_Offices!$A$2:$FZ$601,341,Sync!$C$10)&amp;"","")&amp;"; "&amp;IFERROR(INDEX(Clay_Offices!$A$2:$FZ$601,341,Sync!$C$9)&amp;"",""))</f>
        <v/>
      </c>
      <c r="K2592" t="inlineStr">
        <is>
          <t>office outreach touch 2</t>
        </is>
      </c>
    </row>
    <row r="2593">
      <c r="A2593" s="17">
        <f>IF(B2593="","",B2593+(13*1000+342)/10000000)</f>
        <v/>
      </c>
      <c r="B2593" s="23">
        <f>IF(AND(IFERROR(N(INDEX(Clay_Offices!$A$2:$FZ$601,342,Sync!$C$12)),0)&gt;0,IFERROR(INDEX(Clay_Offices!$A$2:$FZ$601,342,Sync!$C$5)&amp;"","")&lt;&gt;"",OR(LEFT(IFERROR(INDEX(Clay_Offices!$A$2:$FZ$601,342,Sync!$C$5)&amp;"",""),6)&lt;&gt;"SAMPLE",Config!$B$19="Y")),IFERROR(N(INDEX(Clay_Offices!$A$2:$FZ$601,342,Sync!$C$12)),0),"")</f>
        <v/>
      </c>
      <c r="C2593" s="17">
        <f>IF(B2593="","","office")</f>
        <v/>
      </c>
      <c r="D2593" s="17">
        <f>IF(B2593="","",IFERROR(INDEX(Clay_Offices!$A$2:$FZ$601,342,Sync!$C$5)&amp;"",""))</f>
        <v/>
      </c>
      <c r="E2593" s="17">
        <f>IF(B2593="","",IFERROR(INDEX(Clay_Offices!$A$2:$FZ$601,342,Sync!$C$6)&amp;"",""))</f>
        <v/>
      </c>
      <c r="F2593" s="17">
        <f>IF(B2593="","","outreach_sent")</f>
        <v/>
      </c>
      <c r="G2593" s="17">
        <f>IF(B2593="","","")</f>
        <v/>
      </c>
      <c r="H2593" s="17">
        <f>IF(B2593="","","")</f>
        <v/>
      </c>
      <c r="I2593" s="17">
        <f>IF(B2593="","","")</f>
        <v/>
      </c>
      <c r="J2593" s="17">
        <f>IF(B2593="","","touch_2; "&amp;IFERROR(INDEX(Clay_Offices!$A$2:$FZ$601,342,Sync!$C$10)&amp;"","")&amp;"; "&amp;IFERROR(INDEX(Clay_Offices!$A$2:$FZ$601,342,Sync!$C$9)&amp;"",""))</f>
        <v/>
      </c>
      <c r="K2593" t="inlineStr">
        <is>
          <t>office outreach touch 2</t>
        </is>
      </c>
    </row>
    <row r="2594">
      <c r="A2594" s="17">
        <f>IF(B2594="","",B2594+(13*1000+343)/10000000)</f>
        <v/>
      </c>
      <c r="B2594" s="23">
        <f>IF(AND(IFERROR(N(INDEX(Clay_Offices!$A$2:$FZ$601,343,Sync!$C$12)),0)&gt;0,IFERROR(INDEX(Clay_Offices!$A$2:$FZ$601,343,Sync!$C$5)&amp;"","")&lt;&gt;"",OR(LEFT(IFERROR(INDEX(Clay_Offices!$A$2:$FZ$601,343,Sync!$C$5)&amp;"",""),6)&lt;&gt;"SAMPLE",Config!$B$19="Y")),IFERROR(N(INDEX(Clay_Offices!$A$2:$FZ$601,343,Sync!$C$12)),0),"")</f>
        <v/>
      </c>
      <c r="C2594" s="17">
        <f>IF(B2594="","","office")</f>
        <v/>
      </c>
      <c r="D2594" s="17">
        <f>IF(B2594="","",IFERROR(INDEX(Clay_Offices!$A$2:$FZ$601,343,Sync!$C$5)&amp;"",""))</f>
        <v/>
      </c>
      <c r="E2594" s="17">
        <f>IF(B2594="","",IFERROR(INDEX(Clay_Offices!$A$2:$FZ$601,343,Sync!$C$6)&amp;"",""))</f>
        <v/>
      </c>
      <c r="F2594" s="17">
        <f>IF(B2594="","","outreach_sent")</f>
        <v/>
      </c>
      <c r="G2594" s="17">
        <f>IF(B2594="","","")</f>
        <v/>
      </c>
      <c r="H2594" s="17">
        <f>IF(B2594="","","")</f>
        <v/>
      </c>
      <c r="I2594" s="17">
        <f>IF(B2594="","","")</f>
        <v/>
      </c>
      <c r="J2594" s="17">
        <f>IF(B2594="","","touch_2; "&amp;IFERROR(INDEX(Clay_Offices!$A$2:$FZ$601,343,Sync!$C$10)&amp;"","")&amp;"; "&amp;IFERROR(INDEX(Clay_Offices!$A$2:$FZ$601,343,Sync!$C$9)&amp;"",""))</f>
        <v/>
      </c>
      <c r="K2594" t="inlineStr">
        <is>
          <t>office outreach touch 2</t>
        </is>
      </c>
    </row>
    <row r="2595">
      <c r="A2595" s="17">
        <f>IF(B2595="","",B2595+(13*1000+344)/10000000)</f>
        <v/>
      </c>
      <c r="B2595" s="23">
        <f>IF(AND(IFERROR(N(INDEX(Clay_Offices!$A$2:$FZ$601,344,Sync!$C$12)),0)&gt;0,IFERROR(INDEX(Clay_Offices!$A$2:$FZ$601,344,Sync!$C$5)&amp;"","")&lt;&gt;"",OR(LEFT(IFERROR(INDEX(Clay_Offices!$A$2:$FZ$601,344,Sync!$C$5)&amp;"",""),6)&lt;&gt;"SAMPLE",Config!$B$19="Y")),IFERROR(N(INDEX(Clay_Offices!$A$2:$FZ$601,344,Sync!$C$12)),0),"")</f>
        <v/>
      </c>
      <c r="C2595" s="17">
        <f>IF(B2595="","","office")</f>
        <v/>
      </c>
      <c r="D2595" s="17">
        <f>IF(B2595="","",IFERROR(INDEX(Clay_Offices!$A$2:$FZ$601,344,Sync!$C$5)&amp;"",""))</f>
        <v/>
      </c>
      <c r="E2595" s="17">
        <f>IF(B2595="","",IFERROR(INDEX(Clay_Offices!$A$2:$FZ$601,344,Sync!$C$6)&amp;"",""))</f>
        <v/>
      </c>
      <c r="F2595" s="17">
        <f>IF(B2595="","","outreach_sent")</f>
        <v/>
      </c>
      <c r="G2595" s="17">
        <f>IF(B2595="","","")</f>
        <v/>
      </c>
      <c r="H2595" s="17">
        <f>IF(B2595="","","")</f>
        <v/>
      </c>
      <c r="I2595" s="17">
        <f>IF(B2595="","","")</f>
        <v/>
      </c>
      <c r="J2595" s="17">
        <f>IF(B2595="","","touch_2; "&amp;IFERROR(INDEX(Clay_Offices!$A$2:$FZ$601,344,Sync!$C$10)&amp;"","")&amp;"; "&amp;IFERROR(INDEX(Clay_Offices!$A$2:$FZ$601,344,Sync!$C$9)&amp;"",""))</f>
        <v/>
      </c>
      <c r="K2595" t="inlineStr">
        <is>
          <t>office outreach touch 2</t>
        </is>
      </c>
    </row>
    <row r="2596">
      <c r="A2596" s="17">
        <f>IF(B2596="","",B2596+(13*1000+345)/10000000)</f>
        <v/>
      </c>
      <c r="B2596" s="23">
        <f>IF(AND(IFERROR(N(INDEX(Clay_Offices!$A$2:$FZ$601,345,Sync!$C$12)),0)&gt;0,IFERROR(INDEX(Clay_Offices!$A$2:$FZ$601,345,Sync!$C$5)&amp;"","")&lt;&gt;"",OR(LEFT(IFERROR(INDEX(Clay_Offices!$A$2:$FZ$601,345,Sync!$C$5)&amp;"",""),6)&lt;&gt;"SAMPLE",Config!$B$19="Y")),IFERROR(N(INDEX(Clay_Offices!$A$2:$FZ$601,345,Sync!$C$12)),0),"")</f>
        <v/>
      </c>
      <c r="C2596" s="17">
        <f>IF(B2596="","","office")</f>
        <v/>
      </c>
      <c r="D2596" s="17">
        <f>IF(B2596="","",IFERROR(INDEX(Clay_Offices!$A$2:$FZ$601,345,Sync!$C$5)&amp;"",""))</f>
        <v/>
      </c>
      <c r="E2596" s="17">
        <f>IF(B2596="","",IFERROR(INDEX(Clay_Offices!$A$2:$FZ$601,345,Sync!$C$6)&amp;"",""))</f>
        <v/>
      </c>
      <c r="F2596" s="17">
        <f>IF(B2596="","","outreach_sent")</f>
        <v/>
      </c>
      <c r="G2596" s="17">
        <f>IF(B2596="","","")</f>
        <v/>
      </c>
      <c r="H2596" s="17">
        <f>IF(B2596="","","")</f>
        <v/>
      </c>
      <c r="I2596" s="17">
        <f>IF(B2596="","","")</f>
        <v/>
      </c>
      <c r="J2596" s="17">
        <f>IF(B2596="","","touch_2; "&amp;IFERROR(INDEX(Clay_Offices!$A$2:$FZ$601,345,Sync!$C$10)&amp;"","")&amp;"; "&amp;IFERROR(INDEX(Clay_Offices!$A$2:$FZ$601,345,Sync!$C$9)&amp;"",""))</f>
        <v/>
      </c>
      <c r="K2596" t="inlineStr">
        <is>
          <t>office outreach touch 2</t>
        </is>
      </c>
    </row>
    <row r="2597">
      <c r="A2597" s="17">
        <f>IF(B2597="","",B2597+(13*1000+346)/10000000)</f>
        <v/>
      </c>
      <c r="B2597" s="23">
        <f>IF(AND(IFERROR(N(INDEX(Clay_Offices!$A$2:$FZ$601,346,Sync!$C$12)),0)&gt;0,IFERROR(INDEX(Clay_Offices!$A$2:$FZ$601,346,Sync!$C$5)&amp;"","")&lt;&gt;"",OR(LEFT(IFERROR(INDEX(Clay_Offices!$A$2:$FZ$601,346,Sync!$C$5)&amp;"",""),6)&lt;&gt;"SAMPLE",Config!$B$19="Y")),IFERROR(N(INDEX(Clay_Offices!$A$2:$FZ$601,346,Sync!$C$12)),0),"")</f>
        <v/>
      </c>
      <c r="C2597" s="17">
        <f>IF(B2597="","","office")</f>
        <v/>
      </c>
      <c r="D2597" s="17">
        <f>IF(B2597="","",IFERROR(INDEX(Clay_Offices!$A$2:$FZ$601,346,Sync!$C$5)&amp;"",""))</f>
        <v/>
      </c>
      <c r="E2597" s="17">
        <f>IF(B2597="","",IFERROR(INDEX(Clay_Offices!$A$2:$FZ$601,346,Sync!$C$6)&amp;"",""))</f>
        <v/>
      </c>
      <c r="F2597" s="17">
        <f>IF(B2597="","","outreach_sent")</f>
        <v/>
      </c>
      <c r="G2597" s="17">
        <f>IF(B2597="","","")</f>
        <v/>
      </c>
      <c r="H2597" s="17">
        <f>IF(B2597="","","")</f>
        <v/>
      </c>
      <c r="I2597" s="17">
        <f>IF(B2597="","","")</f>
        <v/>
      </c>
      <c r="J2597" s="17">
        <f>IF(B2597="","","touch_2; "&amp;IFERROR(INDEX(Clay_Offices!$A$2:$FZ$601,346,Sync!$C$10)&amp;"","")&amp;"; "&amp;IFERROR(INDEX(Clay_Offices!$A$2:$FZ$601,346,Sync!$C$9)&amp;"",""))</f>
        <v/>
      </c>
      <c r="K2597" t="inlineStr">
        <is>
          <t>office outreach touch 2</t>
        </is>
      </c>
    </row>
    <row r="2598">
      <c r="A2598" s="17">
        <f>IF(B2598="","",B2598+(13*1000+347)/10000000)</f>
        <v/>
      </c>
      <c r="B2598" s="23">
        <f>IF(AND(IFERROR(N(INDEX(Clay_Offices!$A$2:$FZ$601,347,Sync!$C$12)),0)&gt;0,IFERROR(INDEX(Clay_Offices!$A$2:$FZ$601,347,Sync!$C$5)&amp;"","")&lt;&gt;"",OR(LEFT(IFERROR(INDEX(Clay_Offices!$A$2:$FZ$601,347,Sync!$C$5)&amp;"",""),6)&lt;&gt;"SAMPLE",Config!$B$19="Y")),IFERROR(N(INDEX(Clay_Offices!$A$2:$FZ$601,347,Sync!$C$12)),0),"")</f>
        <v/>
      </c>
      <c r="C2598" s="17">
        <f>IF(B2598="","","office")</f>
        <v/>
      </c>
      <c r="D2598" s="17">
        <f>IF(B2598="","",IFERROR(INDEX(Clay_Offices!$A$2:$FZ$601,347,Sync!$C$5)&amp;"",""))</f>
        <v/>
      </c>
      <c r="E2598" s="17">
        <f>IF(B2598="","",IFERROR(INDEX(Clay_Offices!$A$2:$FZ$601,347,Sync!$C$6)&amp;"",""))</f>
        <v/>
      </c>
      <c r="F2598" s="17">
        <f>IF(B2598="","","outreach_sent")</f>
        <v/>
      </c>
      <c r="G2598" s="17">
        <f>IF(B2598="","","")</f>
        <v/>
      </c>
      <c r="H2598" s="17">
        <f>IF(B2598="","","")</f>
        <v/>
      </c>
      <c r="I2598" s="17">
        <f>IF(B2598="","","")</f>
        <v/>
      </c>
      <c r="J2598" s="17">
        <f>IF(B2598="","","touch_2; "&amp;IFERROR(INDEX(Clay_Offices!$A$2:$FZ$601,347,Sync!$C$10)&amp;"","")&amp;"; "&amp;IFERROR(INDEX(Clay_Offices!$A$2:$FZ$601,347,Sync!$C$9)&amp;"",""))</f>
        <v/>
      </c>
      <c r="K2598" t="inlineStr">
        <is>
          <t>office outreach touch 2</t>
        </is>
      </c>
    </row>
    <row r="2599">
      <c r="A2599" s="17">
        <f>IF(B2599="","",B2599+(13*1000+348)/10000000)</f>
        <v/>
      </c>
      <c r="B2599" s="23">
        <f>IF(AND(IFERROR(N(INDEX(Clay_Offices!$A$2:$FZ$601,348,Sync!$C$12)),0)&gt;0,IFERROR(INDEX(Clay_Offices!$A$2:$FZ$601,348,Sync!$C$5)&amp;"","")&lt;&gt;"",OR(LEFT(IFERROR(INDEX(Clay_Offices!$A$2:$FZ$601,348,Sync!$C$5)&amp;"",""),6)&lt;&gt;"SAMPLE",Config!$B$19="Y")),IFERROR(N(INDEX(Clay_Offices!$A$2:$FZ$601,348,Sync!$C$12)),0),"")</f>
        <v/>
      </c>
      <c r="C2599" s="17">
        <f>IF(B2599="","","office")</f>
        <v/>
      </c>
      <c r="D2599" s="17">
        <f>IF(B2599="","",IFERROR(INDEX(Clay_Offices!$A$2:$FZ$601,348,Sync!$C$5)&amp;"",""))</f>
        <v/>
      </c>
      <c r="E2599" s="17">
        <f>IF(B2599="","",IFERROR(INDEX(Clay_Offices!$A$2:$FZ$601,348,Sync!$C$6)&amp;"",""))</f>
        <v/>
      </c>
      <c r="F2599" s="17">
        <f>IF(B2599="","","outreach_sent")</f>
        <v/>
      </c>
      <c r="G2599" s="17">
        <f>IF(B2599="","","")</f>
        <v/>
      </c>
      <c r="H2599" s="17">
        <f>IF(B2599="","","")</f>
        <v/>
      </c>
      <c r="I2599" s="17">
        <f>IF(B2599="","","")</f>
        <v/>
      </c>
      <c r="J2599" s="17">
        <f>IF(B2599="","","touch_2; "&amp;IFERROR(INDEX(Clay_Offices!$A$2:$FZ$601,348,Sync!$C$10)&amp;"","")&amp;"; "&amp;IFERROR(INDEX(Clay_Offices!$A$2:$FZ$601,348,Sync!$C$9)&amp;"",""))</f>
        <v/>
      </c>
      <c r="K2599" t="inlineStr">
        <is>
          <t>office outreach touch 2</t>
        </is>
      </c>
    </row>
    <row r="2600">
      <c r="A2600" s="17">
        <f>IF(B2600="","",B2600+(13*1000+349)/10000000)</f>
        <v/>
      </c>
      <c r="B2600" s="23">
        <f>IF(AND(IFERROR(N(INDEX(Clay_Offices!$A$2:$FZ$601,349,Sync!$C$12)),0)&gt;0,IFERROR(INDEX(Clay_Offices!$A$2:$FZ$601,349,Sync!$C$5)&amp;"","")&lt;&gt;"",OR(LEFT(IFERROR(INDEX(Clay_Offices!$A$2:$FZ$601,349,Sync!$C$5)&amp;"",""),6)&lt;&gt;"SAMPLE",Config!$B$19="Y")),IFERROR(N(INDEX(Clay_Offices!$A$2:$FZ$601,349,Sync!$C$12)),0),"")</f>
        <v/>
      </c>
      <c r="C2600" s="17">
        <f>IF(B2600="","","office")</f>
        <v/>
      </c>
      <c r="D2600" s="17">
        <f>IF(B2600="","",IFERROR(INDEX(Clay_Offices!$A$2:$FZ$601,349,Sync!$C$5)&amp;"",""))</f>
        <v/>
      </c>
      <c r="E2600" s="17">
        <f>IF(B2600="","",IFERROR(INDEX(Clay_Offices!$A$2:$FZ$601,349,Sync!$C$6)&amp;"",""))</f>
        <v/>
      </c>
      <c r="F2600" s="17">
        <f>IF(B2600="","","outreach_sent")</f>
        <v/>
      </c>
      <c r="G2600" s="17">
        <f>IF(B2600="","","")</f>
        <v/>
      </c>
      <c r="H2600" s="17">
        <f>IF(B2600="","","")</f>
        <v/>
      </c>
      <c r="I2600" s="17">
        <f>IF(B2600="","","")</f>
        <v/>
      </c>
      <c r="J2600" s="17">
        <f>IF(B2600="","","touch_2; "&amp;IFERROR(INDEX(Clay_Offices!$A$2:$FZ$601,349,Sync!$C$10)&amp;"","")&amp;"; "&amp;IFERROR(INDEX(Clay_Offices!$A$2:$FZ$601,349,Sync!$C$9)&amp;"",""))</f>
        <v/>
      </c>
      <c r="K2600" t="inlineStr">
        <is>
          <t>office outreach touch 2</t>
        </is>
      </c>
    </row>
    <row r="2601">
      <c r="A2601" s="17">
        <f>IF(B2601="","",B2601+(13*1000+350)/10000000)</f>
        <v/>
      </c>
      <c r="B2601" s="23">
        <f>IF(AND(IFERROR(N(INDEX(Clay_Offices!$A$2:$FZ$601,350,Sync!$C$12)),0)&gt;0,IFERROR(INDEX(Clay_Offices!$A$2:$FZ$601,350,Sync!$C$5)&amp;"","")&lt;&gt;"",OR(LEFT(IFERROR(INDEX(Clay_Offices!$A$2:$FZ$601,350,Sync!$C$5)&amp;"",""),6)&lt;&gt;"SAMPLE",Config!$B$19="Y")),IFERROR(N(INDEX(Clay_Offices!$A$2:$FZ$601,350,Sync!$C$12)),0),"")</f>
        <v/>
      </c>
      <c r="C2601" s="17">
        <f>IF(B2601="","","office")</f>
        <v/>
      </c>
      <c r="D2601" s="17">
        <f>IF(B2601="","",IFERROR(INDEX(Clay_Offices!$A$2:$FZ$601,350,Sync!$C$5)&amp;"",""))</f>
        <v/>
      </c>
      <c r="E2601" s="17">
        <f>IF(B2601="","",IFERROR(INDEX(Clay_Offices!$A$2:$FZ$601,350,Sync!$C$6)&amp;"",""))</f>
        <v/>
      </c>
      <c r="F2601" s="17">
        <f>IF(B2601="","","outreach_sent")</f>
        <v/>
      </c>
      <c r="G2601" s="17">
        <f>IF(B2601="","","")</f>
        <v/>
      </c>
      <c r="H2601" s="17">
        <f>IF(B2601="","","")</f>
        <v/>
      </c>
      <c r="I2601" s="17">
        <f>IF(B2601="","","")</f>
        <v/>
      </c>
      <c r="J2601" s="17">
        <f>IF(B2601="","","touch_2; "&amp;IFERROR(INDEX(Clay_Offices!$A$2:$FZ$601,350,Sync!$C$10)&amp;"","")&amp;"; "&amp;IFERROR(INDEX(Clay_Offices!$A$2:$FZ$601,350,Sync!$C$9)&amp;"",""))</f>
        <v/>
      </c>
      <c r="K2601" t="inlineStr">
        <is>
          <t>office outreach touch 2</t>
        </is>
      </c>
    </row>
    <row r="2602">
      <c r="A2602" s="17">
        <f>IF(B2602="","",B2602+(13*1000+351)/10000000)</f>
        <v/>
      </c>
      <c r="B2602" s="23">
        <f>IF(AND(IFERROR(N(INDEX(Clay_Offices!$A$2:$FZ$601,351,Sync!$C$12)),0)&gt;0,IFERROR(INDEX(Clay_Offices!$A$2:$FZ$601,351,Sync!$C$5)&amp;"","")&lt;&gt;"",OR(LEFT(IFERROR(INDEX(Clay_Offices!$A$2:$FZ$601,351,Sync!$C$5)&amp;"",""),6)&lt;&gt;"SAMPLE",Config!$B$19="Y")),IFERROR(N(INDEX(Clay_Offices!$A$2:$FZ$601,351,Sync!$C$12)),0),"")</f>
        <v/>
      </c>
      <c r="C2602" s="17">
        <f>IF(B2602="","","office")</f>
        <v/>
      </c>
      <c r="D2602" s="17">
        <f>IF(B2602="","",IFERROR(INDEX(Clay_Offices!$A$2:$FZ$601,351,Sync!$C$5)&amp;"",""))</f>
        <v/>
      </c>
      <c r="E2602" s="17">
        <f>IF(B2602="","",IFERROR(INDEX(Clay_Offices!$A$2:$FZ$601,351,Sync!$C$6)&amp;"",""))</f>
        <v/>
      </c>
      <c r="F2602" s="17">
        <f>IF(B2602="","","outreach_sent")</f>
        <v/>
      </c>
      <c r="G2602" s="17">
        <f>IF(B2602="","","")</f>
        <v/>
      </c>
      <c r="H2602" s="17">
        <f>IF(B2602="","","")</f>
        <v/>
      </c>
      <c r="I2602" s="17">
        <f>IF(B2602="","","")</f>
        <v/>
      </c>
      <c r="J2602" s="17">
        <f>IF(B2602="","","touch_2; "&amp;IFERROR(INDEX(Clay_Offices!$A$2:$FZ$601,351,Sync!$C$10)&amp;"","")&amp;"; "&amp;IFERROR(INDEX(Clay_Offices!$A$2:$FZ$601,351,Sync!$C$9)&amp;"",""))</f>
        <v/>
      </c>
      <c r="K2602" t="inlineStr">
        <is>
          <t>office outreach touch 2</t>
        </is>
      </c>
    </row>
    <row r="2603">
      <c r="A2603" s="17">
        <f>IF(B2603="","",B2603+(13*1000+352)/10000000)</f>
        <v/>
      </c>
      <c r="B2603" s="23">
        <f>IF(AND(IFERROR(N(INDEX(Clay_Offices!$A$2:$FZ$601,352,Sync!$C$12)),0)&gt;0,IFERROR(INDEX(Clay_Offices!$A$2:$FZ$601,352,Sync!$C$5)&amp;"","")&lt;&gt;"",OR(LEFT(IFERROR(INDEX(Clay_Offices!$A$2:$FZ$601,352,Sync!$C$5)&amp;"",""),6)&lt;&gt;"SAMPLE",Config!$B$19="Y")),IFERROR(N(INDEX(Clay_Offices!$A$2:$FZ$601,352,Sync!$C$12)),0),"")</f>
        <v/>
      </c>
      <c r="C2603" s="17">
        <f>IF(B2603="","","office")</f>
        <v/>
      </c>
      <c r="D2603" s="17">
        <f>IF(B2603="","",IFERROR(INDEX(Clay_Offices!$A$2:$FZ$601,352,Sync!$C$5)&amp;"",""))</f>
        <v/>
      </c>
      <c r="E2603" s="17">
        <f>IF(B2603="","",IFERROR(INDEX(Clay_Offices!$A$2:$FZ$601,352,Sync!$C$6)&amp;"",""))</f>
        <v/>
      </c>
      <c r="F2603" s="17">
        <f>IF(B2603="","","outreach_sent")</f>
        <v/>
      </c>
      <c r="G2603" s="17">
        <f>IF(B2603="","","")</f>
        <v/>
      </c>
      <c r="H2603" s="17">
        <f>IF(B2603="","","")</f>
        <v/>
      </c>
      <c r="I2603" s="17">
        <f>IF(B2603="","","")</f>
        <v/>
      </c>
      <c r="J2603" s="17">
        <f>IF(B2603="","","touch_2; "&amp;IFERROR(INDEX(Clay_Offices!$A$2:$FZ$601,352,Sync!$C$10)&amp;"","")&amp;"; "&amp;IFERROR(INDEX(Clay_Offices!$A$2:$FZ$601,352,Sync!$C$9)&amp;"",""))</f>
        <v/>
      </c>
      <c r="K2603" t="inlineStr">
        <is>
          <t>office outreach touch 2</t>
        </is>
      </c>
    </row>
    <row r="2604">
      <c r="A2604" s="17">
        <f>IF(B2604="","",B2604+(13*1000+353)/10000000)</f>
        <v/>
      </c>
      <c r="B2604" s="23">
        <f>IF(AND(IFERROR(N(INDEX(Clay_Offices!$A$2:$FZ$601,353,Sync!$C$12)),0)&gt;0,IFERROR(INDEX(Clay_Offices!$A$2:$FZ$601,353,Sync!$C$5)&amp;"","")&lt;&gt;"",OR(LEFT(IFERROR(INDEX(Clay_Offices!$A$2:$FZ$601,353,Sync!$C$5)&amp;"",""),6)&lt;&gt;"SAMPLE",Config!$B$19="Y")),IFERROR(N(INDEX(Clay_Offices!$A$2:$FZ$601,353,Sync!$C$12)),0),"")</f>
        <v/>
      </c>
      <c r="C2604" s="17">
        <f>IF(B2604="","","office")</f>
        <v/>
      </c>
      <c r="D2604" s="17">
        <f>IF(B2604="","",IFERROR(INDEX(Clay_Offices!$A$2:$FZ$601,353,Sync!$C$5)&amp;"",""))</f>
        <v/>
      </c>
      <c r="E2604" s="17">
        <f>IF(B2604="","",IFERROR(INDEX(Clay_Offices!$A$2:$FZ$601,353,Sync!$C$6)&amp;"",""))</f>
        <v/>
      </c>
      <c r="F2604" s="17">
        <f>IF(B2604="","","outreach_sent")</f>
        <v/>
      </c>
      <c r="G2604" s="17">
        <f>IF(B2604="","","")</f>
        <v/>
      </c>
      <c r="H2604" s="17">
        <f>IF(B2604="","","")</f>
        <v/>
      </c>
      <c r="I2604" s="17">
        <f>IF(B2604="","","")</f>
        <v/>
      </c>
      <c r="J2604" s="17">
        <f>IF(B2604="","","touch_2; "&amp;IFERROR(INDEX(Clay_Offices!$A$2:$FZ$601,353,Sync!$C$10)&amp;"","")&amp;"; "&amp;IFERROR(INDEX(Clay_Offices!$A$2:$FZ$601,353,Sync!$C$9)&amp;"",""))</f>
        <v/>
      </c>
      <c r="K2604" t="inlineStr">
        <is>
          <t>office outreach touch 2</t>
        </is>
      </c>
    </row>
    <row r="2605">
      <c r="A2605" s="17">
        <f>IF(B2605="","",B2605+(13*1000+354)/10000000)</f>
        <v/>
      </c>
      <c r="B2605" s="23">
        <f>IF(AND(IFERROR(N(INDEX(Clay_Offices!$A$2:$FZ$601,354,Sync!$C$12)),0)&gt;0,IFERROR(INDEX(Clay_Offices!$A$2:$FZ$601,354,Sync!$C$5)&amp;"","")&lt;&gt;"",OR(LEFT(IFERROR(INDEX(Clay_Offices!$A$2:$FZ$601,354,Sync!$C$5)&amp;"",""),6)&lt;&gt;"SAMPLE",Config!$B$19="Y")),IFERROR(N(INDEX(Clay_Offices!$A$2:$FZ$601,354,Sync!$C$12)),0),"")</f>
        <v/>
      </c>
      <c r="C2605" s="17">
        <f>IF(B2605="","","office")</f>
        <v/>
      </c>
      <c r="D2605" s="17">
        <f>IF(B2605="","",IFERROR(INDEX(Clay_Offices!$A$2:$FZ$601,354,Sync!$C$5)&amp;"",""))</f>
        <v/>
      </c>
      <c r="E2605" s="17">
        <f>IF(B2605="","",IFERROR(INDEX(Clay_Offices!$A$2:$FZ$601,354,Sync!$C$6)&amp;"",""))</f>
        <v/>
      </c>
      <c r="F2605" s="17">
        <f>IF(B2605="","","outreach_sent")</f>
        <v/>
      </c>
      <c r="G2605" s="17">
        <f>IF(B2605="","","")</f>
        <v/>
      </c>
      <c r="H2605" s="17">
        <f>IF(B2605="","","")</f>
        <v/>
      </c>
      <c r="I2605" s="17">
        <f>IF(B2605="","","")</f>
        <v/>
      </c>
      <c r="J2605" s="17">
        <f>IF(B2605="","","touch_2; "&amp;IFERROR(INDEX(Clay_Offices!$A$2:$FZ$601,354,Sync!$C$10)&amp;"","")&amp;"; "&amp;IFERROR(INDEX(Clay_Offices!$A$2:$FZ$601,354,Sync!$C$9)&amp;"",""))</f>
        <v/>
      </c>
      <c r="K2605" t="inlineStr">
        <is>
          <t>office outreach touch 2</t>
        </is>
      </c>
    </row>
    <row r="2606">
      <c r="A2606" s="17">
        <f>IF(B2606="","",B2606+(13*1000+355)/10000000)</f>
        <v/>
      </c>
      <c r="B2606" s="23">
        <f>IF(AND(IFERROR(N(INDEX(Clay_Offices!$A$2:$FZ$601,355,Sync!$C$12)),0)&gt;0,IFERROR(INDEX(Clay_Offices!$A$2:$FZ$601,355,Sync!$C$5)&amp;"","")&lt;&gt;"",OR(LEFT(IFERROR(INDEX(Clay_Offices!$A$2:$FZ$601,355,Sync!$C$5)&amp;"",""),6)&lt;&gt;"SAMPLE",Config!$B$19="Y")),IFERROR(N(INDEX(Clay_Offices!$A$2:$FZ$601,355,Sync!$C$12)),0),"")</f>
        <v/>
      </c>
      <c r="C2606" s="17">
        <f>IF(B2606="","","office")</f>
        <v/>
      </c>
      <c r="D2606" s="17">
        <f>IF(B2606="","",IFERROR(INDEX(Clay_Offices!$A$2:$FZ$601,355,Sync!$C$5)&amp;"",""))</f>
        <v/>
      </c>
      <c r="E2606" s="17">
        <f>IF(B2606="","",IFERROR(INDEX(Clay_Offices!$A$2:$FZ$601,355,Sync!$C$6)&amp;"",""))</f>
        <v/>
      </c>
      <c r="F2606" s="17">
        <f>IF(B2606="","","outreach_sent")</f>
        <v/>
      </c>
      <c r="G2606" s="17">
        <f>IF(B2606="","","")</f>
        <v/>
      </c>
      <c r="H2606" s="17">
        <f>IF(B2606="","","")</f>
        <v/>
      </c>
      <c r="I2606" s="17">
        <f>IF(B2606="","","")</f>
        <v/>
      </c>
      <c r="J2606" s="17">
        <f>IF(B2606="","","touch_2; "&amp;IFERROR(INDEX(Clay_Offices!$A$2:$FZ$601,355,Sync!$C$10)&amp;"","")&amp;"; "&amp;IFERROR(INDEX(Clay_Offices!$A$2:$FZ$601,355,Sync!$C$9)&amp;"",""))</f>
        <v/>
      </c>
      <c r="K2606" t="inlineStr">
        <is>
          <t>office outreach touch 2</t>
        </is>
      </c>
    </row>
    <row r="2607">
      <c r="A2607" s="17">
        <f>IF(B2607="","",B2607+(13*1000+356)/10000000)</f>
        <v/>
      </c>
      <c r="B2607" s="23">
        <f>IF(AND(IFERROR(N(INDEX(Clay_Offices!$A$2:$FZ$601,356,Sync!$C$12)),0)&gt;0,IFERROR(INDEX(Clay_Offices!$A$2:$FZ$601,356,Sync!$C$5)&amp;"","")&lt;&gt;"",OR(LEFT(IFERROR(INDEX(Clay_Offices!$A$2:$FZ$601,356,Sync!$C$5)&amp;"",""),6)&lt;&gt;"SAMPLE",Config!$B$19="Y")),IFERROR(N(INDEX(Clay_Offices!$A$2:$FZ$601,356,Sync!$C$12)),0),"")</f>
        <v/>
      </c>
      <c r="C2607" s="17">
        <f>IF(B2607="","","office")</f>
        <v/>
      </c>
      <c r="D2607" s="17">
        <f>IF(B2607="","",IFERROR(INDEX(Clay_Offices!$A$2:$FZ$601,356,Sync!$C$5)&amp;"",""))</f>
        <v/>
      </c>
      <c r="E2607" s="17">
        <f>IF(B2607="","",IFERROR(INDEX(Clay_Offices!$A$2:$FZ$601,356,Sync!$C$6)&amp;"",""))</f>
        <v/>
      </c>
      <c r="F2607" s="17">
        <f>IF(B2607="","","outreach_sent")</f>
        <v/>
      </c>
      <c r="G2607" s="17">
        <f>IF(B2607="","","")</f>
        <v/>
      </c>
      <c r="H2607" s="17">
        <f>IF(B2607="","","")</f>
        <v/>
      </c>
      <c r="I2607" s="17">
        <f>IF(B2607="","","")</f>
        <v/>
      </c>
      <c r="J2607" s="17">
        <f>IF(B2607="","","touch_2; "&amp;IFERROR(INDEX(Clay_Offices!$A$2:$FZ$601,356,Sync!$C$10)&amp;"","")&amp;"; "&amp;IFERROR(INDEX(Clay_Offices!$A$2:$FZ$601,356,Sync!$C$9)&amp;"",""))</f>
        <v/>
      </c>
      <c r="K2607" t="inlineStr">
        <is>
          <t>office outreach touch 2</t>
        </is>
      </c>
    </row>
    <row r="2608">
      <c r="A2608" s="17">
        <f>IF(B2608="","",B2608+(13*1000+357)/10000000)</f>
        <v/>
      </c>
      <c r="B2608" s="23">
        <f>IF(AND(IFERROR(N(INDEX(Clay_Offices!$A$2:$FZ$601,357,Sync!$C$12)),0)&gt;0,IFERROR(INDEX(Clay_Offices!$A$2:$FZ$601,357,Sync!$C$5)&amp;"","")&lt;&gt;"",OR(LEFT(IFERROR(INDEX(Clay_Offices!$A$2:$FZ$601,357,Sync!$C$5)&amp;"",""),6)&lt;&gt;"SAMPLE",Config!$B$19="Y")),IFERROR(N(INDEX(Clay_Offices!$A$2:$FZ$601,357,Sync!$C$12)),0),"")</f>
        <v/>
      </c>
      <c r="C2608" s="17">
        <f>IF(B2608="","","office")</f>
        <v/>
      </c>
      <c r="D2608" s="17">
        <f>IF(B2608="","",IFERROR(INDEX(Clay_Offices!$A$2:$FZ$601,357,Sync!$C$5)&amp;"",""))</f>
        <v/>
      </c>
      <c r="E2608" s="17">
        <f>IF(B2608="","",IFERROR(INDEX(Clay_Offices!$A$2:$FZ$601,357,Sync!$C$6)&amp;"",""))</f>
        <v/>
      </c>
      <c r="F2608" s="17">
        <f>IF(B2608="","","outreach_sent")</f>
        <v/>
      </c>
      <c r="G2608" s="17">
        <f>IF(B2608="","","")</f>
        <v/>
      </c>
      <c r="H2608" s="17">
        <f>IF(B2608="","","")</f>
        <v/>
      </c>
      <c r="I2608" s="17">
        <f>IF(B2608="","","")</f>
        <v/>
      </c>
      <c r="J2608" s="17">
        <f>IF(B2608="","","touch_2; "&amp;IFERROR(INDEX(Clay_Offices!$A$2:$FZ$601,357,Sync!$C$10)&amp;"","")&amp;"; "&amp;IFERROR(INDEX(Clay_Offices!$A$2:$FZ$601,357,Sync!$C$9)&amp;"",""))</f>
        <v/>
      </c>
      <c r="K2608" t="inlineStr">
        <is>
          <t>office outreach touch 2</t>
        </is>
      </c>
    </row>
    <row r="2609">
      <c r="A2609" s="17">
        <f>IF(B2609="","",B2609+(13*1000+358)/10000000)</f>
        <v/>
      </c>
      <c r="B2609" s="23">
        <f>IF(AND(IFERROR(N(INDEX(Clay_Offices!$A$2:$FZ$601,358,Sync!$C$12)),0)&gt;0,IFERROR(INDEX(Clay_Offices!$A$2:$FZ$601,358,Sync!$C$5)&amp;"","")&lt;&gt;"",OR(LEFT(IFERROR(INDEX(Clay_Offices!$A$2:$FZ$601,358,Sync!$C$5)&amp;"",""),6)&lt;&gt;"SAMPLE",Config!$B$19="Y")),IFERROR(N(INDEX(Clay_Offices!$A$2:$FZ$601,358,Sync!$C$12)),0),"")</f>
        <v/>
      </c>
      <c r="C2609" s="17">
        <f>IF(B2609="","","office")</f>
        <v/>
      </c>
      <c r="D2609" s="17">
        <f>IF(B2609="","",IFERROR(INDEX(Clay_Offices!$A$2:$FZ$601,358,Sync!$C$5)&amp;"",""))</f>
        <v/>
      </c>
      <c r="E2609" s="17">
        <f>IF(B2609="","",IFERROR(INDEX(Clay_Offices!$A$2:$FZ$601,358,Sync!$C$6)&amp;"",""))</f>
        <v/>
      </c>
      <c r="F2609" s="17">
        <f>IF(B2609="","","outreach_sent")</f>
        <v/>
      </c>
      <c r="G2609" s="17">
        <f>IF(B2609="","","")</f>
        <v/>
      </c>
      <c r="H2609" s="17">
        <f>IF(B2609="","","")</f>
        <v/>
      </c>
      <c r="I2609" s="17">
        <f>IF(B2609="","","")</f>
        <v/>
      </c>
      <c r="J2609" s="17">
        <f>IF(B2609="","","touch_2; "&amp;IFERROR(INDEX(Clay_Offices!$A$2:$FZ$601,358,Sync!$C$10)&amp;"","")&amp;"; "&amp;IFERROR(INDEX(Clay_Offices!$A$2:$FZ$601,358,Sync!$C$9)&amp;"",""))</f>
        <v/>
      </c>
      <c r="K2609" t="inlineStr">
        <is>
          <t>office outreach touch 2</t>
        </is>
      </c>
    </row>
    <row r="2610">
      <c r="A2610" s="17">
        <f>IF(B2610="","",B2610+(13*1000+359)/10000000)</f>
        <v/>
      </c>
      <c r="B2610" s="23">
        <f>IF(AND(IFERROR(N(INDEX(Clay_Offices!$A$2:$FZ$601,359,Sync!$C$12)),0)&gt;0,IFERROR(INDEX(Clay_Offices!$A$2:$FZ$601,359,Sync!$C$5)&amp;"","")&lt;&gt;"",OR(LEFT(IFERROR(INDEX(Clay_Offices!$A$2:$FZ$601,359,Sync!$C$5)&amp;"",""),6)&lt;&gt;"SAMPLE",Config!$B$19="Y")),IFERROR(N(INDEX(Clay_Offices!$A$2:$FZ$601,359,Sync!$C$12)),0),"")</f>
        <v/>
      </c>
      <c r="C2610" s="17">
        <f>IF(B2610="","","office")</f>
        <v/>
      </c>
      <c r="D2610" s="17">
        <f>IF(B2610="","",IFERROR(INDEX(Clay_Offices!$A$2:$FZ$601,359,Sync!$C$5)&amp;"",""))</f>
        <v/>
      </c>
      <c r="E2610" s="17">
        <f>IF(B2610="","",IFERROR(INDEX(Clay_Offices!$A$2:$FZ$601,359,Sync!$C$6)&amp;"",""))</f>
        <v/>
      </c>
      <c r="F2610" s="17">
        <f>IF(B2610="","","outreach_sent")</f>
        <v/>
      </c>
      <c r="G2610" s="17">
        <f>IF(B2610="","","")</f>
        <v/>
      </c>
      <c r="H2610" s="17">
        <f>IF(B2610="","","")</f>
        <v/>
      </c>
      <c r="I2610" s="17">
        <f>IF(B2610="","","")</f>
        <v/>
      </c>
      <c r="J2610" s="17">
        <f>IF(B2610="","","touch_2; "&amp;IFERROR(INDEX(Clay_Offices!$A$2:$FZ$601,359,Sync!$C$10)&amp;"","")&amp;"; "&amp;IFERROR(INDEX(Clay_Offices!$A$2:$FZ$601,359,Sync!$C$9)&amp;"",""))</f>
        <v/>
      </c>
      <c r="K2610" t="inlineStr">
        <is>
          <t>office outreach touch 2</t>
        </is>
      </c>
    </row>
    <row r="2611">
      <c r="A2611" s="17">
        <f>IF(B2611="","",B2611+(13*1000+360)/10000000)</f>
        <v/>
      </c>
      <c r="B2611" s="23">
        <f>IF(AND(IFERROR(N(INDEX(Clay_Offices!$A$2:$FZ$601,360,Sync!$C$12)),0)&gt;0,IFERROR(INDEX(Clay_Offices!$A$2:$FZ$601,360,Sync!$C$5)&amp;"","")&lt;&gt;"",OR(LEFT(IFERROR(INDEX(Clay_Offices!$A$2:$FZ$601,360,Sync!$C$5)&amp;"",""),6)&lt;&gt;"SAMPLE",Config!$B$19="Y")),IFERROR(N(INDEX(Clay_Offices!$A$2:$FZ$601,360,Sync!$C$12)),0),"")</f>
        <v/>
      </c>
      <c r="C2611" s="17">
        <f>IF(B2611="","","office")</f>
        <v/>
      </c>
      <c r="D2611" s="17">
        <f>IF(B2611="","",IFERROR(INDEX(Clay_Offices!$A$2:$FZ$601,360,Sync!$C$5)&amp;"",""))</f>
        <v/>
      </c>
      <c r="E2611" s="17">
        <f>IF(B2611="","",IFERROR(INDEX(Clay_Offices!$A$2:$FZ$601,360,Sync!$C$6)&amp;"",""))</f>
        <v/>
      </c>
      <c r="F2611" s="17">
        <f>IF(B2611="","","outreach_sent")</f>
        <v/>
      </c>
      <c r="G2611" s="17">
        <f>IF(B2611="","","")</f>
        <v/>
      </c>
      <c r="H2611" s="17">
        <f>IF(B2611="","","")</f>
        <v/>
      </c>
      <c r="I2611" s="17">
        <f>IF(B2611="","","")</f>
        <v/>
      </c>
      <c r="J2611" s="17">
        <f>IF(B2611="","","touch_2; "&amp;IFERROR(INDEX(Clay_Offices!$A$2:$FZ$601,360,Sync!$C$10)&amp;"","")&amp;"; "&amp;IFERROR(INDEX(Clay_Offices!$A$2:$FZ$601,360,Sync!$C$9)&amp;"",""))</f>
        <v/>
      </c>
      <c r="K2611" t="inlineStr">
        <is>
          <t>office outreach touch 2</t>
        </is>
      </c>
    </row>
    <row r="2612">
      <c r="A2612" s="17">
        <f>IF(B2612="","",B2612+(13*1000+361)/10000000)</f>
        <v/>
      </c>
      <c r="B2612" s="23">
        <f>IF(AND(IFERROR(N(INDEX(Clay_Offices!$A$2:$FZ$601,361,Sync!$C$12)),0)&gt;0,IFERROR(INDEX(Clay_Offices!$A$2:$FZ$601,361,Sync!$C$5)&amp;"","")&lt;&gt;"",OR(LEFT(IFERROR(INDEX(Clay_Offices!$A$2:$FZ$601,361,Sync!$C$5)&amp;"",""),6)&lt;&gt;"SAMPLE",Config!$B$19="Y")),IFERROR(N(INDEX(Clay_Offices!$A$2:$FZ$601,361,Sync!$C$12)),0),"")</f>
        <v/>
      </c>
      <c r="C2612" s="17">
        <f>IF(B2612="","","office")</f>
        <v/>
      </c>
      <c r="D2612" s="17">
        <f>IF(B2612="","",IFERROR(INDEX(Clay_Offices!$A$2:$FZ$601,361,Sync!$C$5)&amp;"",""))</f>
        <v/>
      </c>
      <c r="E2612" s="17">
        <f>IF(B2612="","",IFERROR(INDEX(Clay_Offices!$A$2:$FZ$601,361,Sync!$C$6)&amp;"",""))</f>
        <v/>
      </c>
      <c r="F2612" s="17">
        <f>IF(B2612="","","outreach_sent")</f>
        <v/>
      </c>
      <c r="G2612" s="17">
        <f>IF(B2612="","","")</f>
        <v/>
      </c>
      <c r="H2612" s="17">
        <f>IF(B2612="","","")</f>
        <v/>
      </c>
      <c r="I2612" s="17">
        <f>IF(B2612="","","")</f>
        <v/>
      </c>
      <c r="J2612" s="17">
        <f>IF(B2612="","","touch_2; "&amp;IFERROR(INDEX(Clay_Offices!$A$2:$FZ$601,361,Sync!$C$10)&amp;"","")&amp;"; "&amp;IFERROR(INDEX(Clay_Offices!$A$2:$FZ$601,361,Sync!$C$9)&amp;"",""))</f>
        <v/>
      </c>
      <c r="K2612" t="inlineStr">
        <is>
          <t>office outreach touch 2</t>
        </is>
      </c>
    </row>
    <row r="2613">
      <c r="A2613" s="17">
        <f>IF(B2613="","",B2613+(13*1000+362)/10000000)</f>
        <v/>
      </c>
      <c r="B2613" s="23">
        <f>IF(AND(IFERROR(N(INDEX(Clay_Offices!$A$2:$FZ$601,362,Sync!$C$12)),0)&gt;0,IFERROR(INDEX(Clay_Offices!$A$2:$FZ$601,362,Sync!$C$5)&amp;"","")&lt;&gt;"",OR(LEFT(IFERROR(INDEX(Clay_Offices!$A$2:$FZ$601,362,Sync!$C$5)&amp;"",""),6)&lt;&gt;"SAMPLE",Config!$B$19="Y")),IFERROR(N(INDEX(Clay_Offices!$A$2:$FZ$601,362,Sync!$C$12)),0),"")</f>
        <v/>
      </c>
      <c r="C2613" s="17">
        <f>IF(B2613="","","office")</f>
        <v/>
      </c>
      <c r="D2613" s="17">
        <f>IF(B2613="","",IFERROR(INDEX(Clay_Offices!$A$2:$FZ$601,362,Sync!$C$5)&amp;"",""))</f>
        <v/>
      </c>
      <c r="E2613" s="17">
        <f>IF(B2613="","",IFERROR(INDEX(Clay_Offices!$A$2:$FZ$601,362,Sync!$C$6)&amp;"",""))</f>
        <v/>
      </c>
      <c r="F2613" s="17">
        <f>IF(B2613="","","outreach_sent")</f>
        <v/>
      </c>
      <c r="G2613" s="17">
        <f>IF(B2613="","","")</f>
        <v/>
      </c>
      <c r="H2613" s="17">
        <f>IF(B2613="","","")</f>
        <v/>
      </c>
      <c r="I2613" s="17">
        <f>IF(B2613="","","")</f>
        <v/>
      </c>
      <c r="J2613" s="17">
        <f>IF(B2613="","","touch_2; "&amp;IFERROR(INDEX(Clay_Offices!$A$2:$FZ$601,362,Sync!$C$10)&amp;"","")&amp;"; "&amp;IFERROR(INDEX(Clay_Offices!$A$2:$FZ$601,362,Sync!$C$9)&amp;"",""))</f>
        <v/>
      </c>
      <c r="K2613" t="inlineStr">
        <is>
          <t>office outreach touch 2</t>
        </is>
      </c>
    </row>
    <row r="2614">
      <c r="A2614" s="17">
        <f>IF(B2614="","",B2614+(13*1000+363)/10000000)</f>
        <v/>
      </c>
      <c r="B2614" s="23">
        <f>IF(AND(IFERROR(N(INDEX(Clay_Offices!$A$2:$FZ$601,363,Sync!$C$12)),0)&gt;0,IFERROR(INDEX(Clay_Offices!$A$2:$FZ$601,363,Sync!$C$5)&amp;"","")&lt;&gt;"",OR(LEFT(IFERROR(INDEX(Clay_Offices!$A$2:$FZ$601,363,Sync!$C$5)&amp;"",""),6)&lt;&gt;"SAMPLE",Config!$B$19="Y")),IFERROR(N(INDEX(Clay_Offices!$A$2:$FZ$601,363,Sync!$C$12)),0),"")</f>
        <v/>
      </c>
      <c r="C2614" s="17">
        <f>IF(B2614="","","office")</f>
        <v/>
      </c>
      <c r="D2614" s="17">
        <f>IF(B2614="","",IFERROR(INDEX(Clay_Offices!$A$2:$FZ$601,363,Sync!$C$5)&amp;"",""))</f>
        <v/>
      </c>
      <c r="E2614" s="17">
        <f>IF(B2614="","",IFERROR(INDEX(Clay_Offices!$A$2:$FZ$601,363,Sync!$C$6)&amp;"",""))</f>
        <v/>
      </c>
      <c r="F2614" s="17">
        <f>IF(B2614="","","outreach_sent")</f>
        <v/>
      </c>
      <c r="G2614" s="17">
        <f>IF(B2614="","","")</f>
        <v/>
      </c>
      <c r="H2614" s="17">
        <f>IF(B2614="","","")</f>
        <v/>
      </c>
      <c r="I2614" s="17">
        <f>IF(B2614="","","")</f>
        <v/>
      </c>
      <c r="J2614" s="17">
        <f>IF(B2614="","","touch_2; "&amp;IFERROR(INDEX(Clay_Offices!$A$2:$FZ$601,363,Sync!$C$10)&amp;"","")&amp;"; "&amp;IFERROR(INDEX(Clay_Offices!$A$2:$FZ$601,363,Sync!$C$9)&amp;"",""))</f>
        <v/>
      </c>
      <c r="K2614" t="inlineStr">
        <is>
          <t>office outreach touch 2</t>
        </is>
      </c>
    </row>
    <row r="2615">
      <c r="A2615" s="17">
        <f>IF(B2615="","",B2615+(13*1000+364)/10000000)</f>
        <v/>
      </c>
      <c r="B2615" s="23">
        <f>IF(AND(IFERROR(N(INDEX(Clay_Offices!$A$2:$FZ$601,364,Sync!$C$12)),0)&gt;0,IFERROR(INDEX(Clay_Offices!$A$2:$FZ$601,364,Sync!$C$5)&amp;"","")&lt;&gt;"",OR(LEFT(IFERROR(INDEX(Clay_Offices!$A$2:$FZ$601,364,Sync!$C$5)&amp;"",""),6)&lt;&gt;"SAMPLE",Config!$B$19="Y")),IFERROR(N(INDEX(Clay_Offices!$A$2:$FZ$601,364,Sync!$C$12)),0),"")</f>
        <v/>
      </c>
      <c r="C2615" s="17">
        <f>IF(B2615="","","office")</f>
        <v/>
      </c>
      <c r="D2615" s="17">
        <f>IF(B2615="","",IFERROR(INDEX(Clay_Offices!$A$2:$FZ$601,364,Sync!$C$5)&amp;"",""))</f>
        <v/>
      </c>
      <c r="E2615" s="17">
        <f>IF(B2615="","",IFERROR(INDEX(Clay_Offices!$A$2:$FZ$601,364,Sync!$C$6)&amp;"",""))</f>
        <v/>
      </c>
      <c r="F2615" s="17">
        <f>IF(B2615="","","outreach_sent")</f>
        <v/>
      </c>
      <c r="G2615" s="17">
        <f>IF(B2615="","","")</f>
        <v/>
      </c>
      <c r="H2615" s="17">
        <f>IF(B2615="","","")</f>
        <v/>
      </c>
      <c r="I2615" s="17">
        <f>IF(B2615="","","")</f>
        <v/>
      </c>
      <c r="J2615" s="17">
        <f>IF(B2615="","","touch_2; "&amp;IFERROR(INDEX(Clay_Offices!$A$2:$FZ$601,364,Sync!$C$10)&amp;"","")&amp;"; "&amp;IFERROR(INDEX(Clay_Offices!$A$2:$FZ$601,364,Sync!$C$9)&amp;"",""))</f>
        <v/>
      </c>
      <c r="K2615" t="inlineStr">
        <is>
          <t>office outreach touch 2</t>
        </is>
      </c>
    </row>
    <row r="2616">
      <c r="A2616" s="17">
        <f>IF(B2616="","",B2616+(13*1000+365)/10000000)</f>
        <v/>
      </c>
      <c r="B2616" s="23">
        <f>IF(AND(IFERROR(N(INDEX(Clay_Offices!$A$2:$FZ$601,365,Sync!$C$12)),0)&gt;0,IFERROR(INDEX(Clay_Offices!$A$2:$FZ$601,365,Sync!$C$5)&amp;"","")&lt;&gt;"",OR(LEFT(IFERROR(INDEX(Clay_Offices!$A$2:$FZ$601,365,Sync!$C$5)&amp;"",""),6)&lt;&gt;"SAMPLE",Config!$B$19="Y")),IFERROR(N(INDEX(Clay_Offices!$A$2:$FZ$601,365,Sync!$C$12)),0),"")</f>
        <v/>
      </c>
      <c r="C2616" s="17">
        <f>IF(B2616="","","office")</f>
        <v/>
      </c>
      <c r="D2616" s="17">
        <f>IF(B2616="","",IFERROR(INDEX(Clay_Offices!$A$2:$FZ$601,365,Sync!$C$5)&amp;"",""))</f>
        <v/>
      </c>
      <c r="E2616" s="17">
        <f>IF(B2616="","",IFERROR(INDEX(Clay_Offices!$A$2:$FZ$601,365,Sync!$C$6)&amp;"",""))</f>
        <v/>
      </c>
      <c r="F2616" s="17">
        <f>IF(B2616="","","outreach_sent")</f>
        <v/>
      </c>
      <c r="G2616" s="17">
        <f>IF(B2616="","","")</f>
        <v/>
      </c>
      <c r="H2616" s="17">
        <f>IF(B2616="","","")</f>
        <v/>
      </c>
      <c r="I2616" s="17">
        <f>IF(B2616="","","")</f>
        <v/>
      </c>
      <c r="J2616" s="17">
        <f>IF(B2616="","","touch_2; "&amp;IFERROR(INDEX(Clay_Offices!$A$2:$FZ$601,365,Sync!$C$10)&amp;"","")&amp;"; "&amp;IFERROR(INDEX(Clay_Offices!$A$2:$FZ$601,365,Sync!$C$9)&amp;"",""))</f>
        <v/>
      </c>
      <c r="K2616" t="inlineStr">
        <is>
          <t>office outreach touch 2</t>
        </is>
      </c>
    </row>
    <row r="2617">
      <c r="A2617" s="17">
        <f>IF(B2617="","",B2617+(13*1000+366)/10000000)</f>
        <v/>
      </c>
      <c r="B2617" s="23">
        <f>IF(AND(IFERROR(N(INDEX(Clay_Offices!$A$2:$FZ$601,366,Sync!$C$12)),0)&gt;0,IFERROR(INDEX(Clay_Offices!$A$2:$FZ$601,366,Sync!$C$5)&amp;"","")&lt;&gt;"",OR(LEFT(IFERROR(INDEX(Clay_Offices!$A$2:$FZ$601,366,Sync!$C$5)&amp;"",""),6)&lt;&gt;"SAMPLE",Config!$B$19="Y")),IFERROR(N(INDEX(Clay_Offices!$A$2:$FZ$601,366,Sync!$C$12)),0),"")</f>
        <v/>
      </c>
      <c r="C2617" s="17">
        <f>IF(B2617="","","office")</f>
        <v/>
      </c>
      <c r="D2617" s="17">
        <f>IF(B2617="","",IFERROR(INDEX(Clay_Offices!$A$2:$FZ$601,366,Sync!$C$5)&amp;"",""))</f>
        <v/>
      </c>
      <c r="E2617" s="17">
        <f>IF(B2617="","",IFERROR(INDEX(Clay_Offices!$A$2:$FZ$601,366,Sync!$C$6)&amp;"",""))</f>
        <v/>
      </c>
      <c r="F2617" s="17">
        <f>IF(B2617="","","outreach_sent")</f>
        <v/>
      </c>
      <c r="G2617" s="17">
        <f>IF(B2617="","","")</f>
        <v/>
      </c>
      <c r="H2617" s="17">
        <f>IF(B2617="","","")</f>
        <v/>
      </c>
      <c r="I2617" s="17">
        <f>IF(B2617="","","")</f>
        <v/>
      </c>
      <c r="J2617" s="17">
        <f>IF(B2617="","","touch_2; "&amp;IFERROR(INDEX(Clay_Offices!$A$2:$FZ$601,366,Sync!$C$10)&amp;"","")&amp;"; "&amp;IFERROR(INDEX(Clay_Offices!$A$2:$FZ$601,366,Sync!$C$9)&amp;"",""))</f>
        <v/>
      </c>
      <c r="K2617" t="inlineStr">
        <is>
          <t>office outreach touch 2</t>
        </is>
      </c>
    </row>
    <row r="2618">
      <c r="A2618" s="17">
        <f>IF(B2618="","",B2618+(13*1000+367)/10000000)</f>
        <v/>
      </c>
      <c r="B2618" s="23">
        <f>IF(AND(IFERROR(N(INDEX(Clay_Offices!$A$2:$FZ$601,367,Sync!$C$12)),0)&gt;0,IFERROR(INDEX(Clay_Offices!$A$2:$FZ$601,367,Sync!$C$5)&amp;"","")&lt;&gt;"",OR(LEFT(IFERROR(INDEX(Clay_Offices!$A$2:$FZ$601,367,Sync!$C$5)&amp;"",""),6)&lt;&gt;"SAMPLE",Config!$B$19="Y")),IFERROR(N(INDEX(Clay_Offices!$A$2:$FZ$601,367,Sync!$C$12)),0),"")</f>
        <v/>
      </c>
      <c r="C2618" s="17">
        <f>IF(B2618="","","office")</f>
        <v/>
      </c>
      <c r="D2618" s="17">
        <f>IF(B2618="","",IFERROR(INDEX(Clay_Offices!$A$2:$FZ$601,367,Sync!$C$5)&amp;"",""))</f>
        <v/>
      </c>
      <c r="E2618" s="17">
        <f>IF(B2618="","",IFERROR(INDEX(Clay_Offices!$A$2:$FZ$601,367,Sync!$C$6)&amp;"",""))</f>
        <v/>
      </c>
      <c r="F2618" s="17">
        <f>IF(B2618="","","outreach_sent")</f>
        <v/>
      </c>
      <c r="G2618" s="17">
        <f>IF(B2618="","","")</f>
        <v/>
      </c>
      <c r="H2618" s="17">
        <f>IF(B2618="","","")</f>
        <v/>
      </c>
      <c r="I2618" s="17">
        <f>IF(B2618="","","")</f>
        <v/>
      </c>
      <c r="J2618" s="17">
        <f>IF(B2618="","","touch_2; "&amp;IFERROR(INDEX(Clay_Offices!$A$2:$FZ$601,367,Sync!$C$10)&amp;"","")&amp;"; "&amp;IFERROR(INDEX(Clay_Offices!$A$2:$FZ$601,367,Sync!$C$9)&amp;"",""))</f>
        <v/>
      </c>
      <c r="K2618" t="inlineStr">
        <is>
          <t>office outreach touch 2</t>
        </is>
      </c>
    </row>
    <row r="2619">
      <c r="A2619" s="17">
        <f>IF(B2619="","",B2619+(13*1000+368)/10000000)</f>
        <v/>
      </c>
      <c r="B2619" s="23">
        <f>IF(AND(IFERROR(N(INDEX(Clay_Offices!$A$2:$FZ$601,368,Sync!$C$12)),0)&gt;0,IFERROR(INDEX(Clay_Offices!$A$2:$FZ$601,368,Sync!$C$5)&amp;"","")&lt;&gt;"",OR(LEFT(IFERROR(INDEX(Clay_Offices!$A$2:$FZ$601,368,Sync!$C$5)&amp;"",""),6)&lt;&gt;"SAMPLE",Config!$B$19="Y")),IFERROR(N(INDEX(Clay_Offices!$A$2:$FZ$601,368,Sync!$C$12)),0),"")</f>
        <v/>
      </c>
      <c r="C2619" s="17">
        <f>IF(B2619="","","office")</f>
        <v/>
      </c>
      <c r="D2619" s="17">
        <f>IF(B2619="","",IFERROR(INDEX(Clay_Offices!$A$2:$FZ$601,368,Sync!$C$5)&amp;"",""))</f>
        <v/>
      </c>
      <c r="E2619" s="17">
        <f>IF(B2619="","",IFERROR(INDEX(Clay_Offices!$A$2:$FZ$601,368,Sync!$C$6)&amp;"",""))</f>
        <v/>
      </c>
      <c r="F2619" s="17">
        <f>IF(B2619="","","outreach_sent")</f>
        <v/>
      </c>
      <c r="G2619" s="17">
        <f>IF(B2619="","","")</f>
        <v/>
      </c>
      <c r="H2619" s="17">
        <f>IF(B2619="","","")</f>
        <v/>
      </c>
      <c r="I2619" s="17">
        <f>IF(B2619="","","")</f>
        <v/>
      </c>
      <c r="J2619" s="17">
        <f>IF(B2619="","","touch_2; "&amp;IFERROR(INDEX(Clay_Offices!$A$2:$FZ$601,368,Sync!$C$10)&amp;"","")&amp;"; "&amp;IFERROR(INDEX(Clay_Offices!$A$2:$FZ$601,368,Sync!$C$9)&amp;"",""))</f>
        <v/>
      </c>
      <c r="K2619" t="inlineStr">
        <is>
          <t>office outreach touch 2</t>
        </is>
      </c>
    </row>
    <row r="2620">
      <c r="A2620" s="17">
        <f>IF(B2620="","",B2620+(13*1000+369)/10000000)</f>
        <v/>
      </c>
      <c r="B2620" s="23">
        <f>IF(AND(IFERROR(N(INDEX(Clay_Offices!$A$2:$FZ$601,369,Sync!$C$12)),0)&gt;0,IFERROR(INDEX(Clay_Offices!$A$2:$FZ$601,369,Sync!$C$5)&amp;"","")&lt;&gt;"",OR(LEFT(IFERROR(INDEX(Clay_Offices!$A$2:$FZ$601,369,Sync!$C$5)&amp;"",""),6)&lt;&gt;"SAMPLE",Config!$B$19="Y")),IFERROR(N(INDEX(Clay_Offices!$A$2:$FZ$601,369,Sync!$C$12)),0),"")</f>
        <v/>
      </c>
      <c r="C2620" s="17">
        <f>IF(B2620="","","office")</f>
        <v/>
      </c>
      <c r="D2620" s="17">
        <f>IF(B2620="","",IFERROR(INDEX(Clay_Offices!$A$2:$FZ$601,369,Sync!$C$5)&amp;"",""))</f>
        <v/>
      </c>
      <c r="E2620" s="17">
        <f>IF(B2620="","",IFERROR(INDEX(Clay_Offices!$A$2:$FZ$601,369,Sync!$C$6)&amp;"",""))</f>
        <v/>
      </c>
      <c r="F2620" s="17">
        <f>IF(B2620="","","outreach_sent")</f>
        <v/>
      </c>
      <c r="G2620" s="17">
        <f>IF(B2620="","","")</f>
        <v/>
      </c>
      <c r="H2620" s="17">
        <f>IF(B2620="","","")</f>
        <v/>
      </c>
      <c r="I2620" s="17">
        <f>IF(B2620="","","")</f>
        <v/>
      </c>
      <c r="J2620" s="17">
        <f>IF(B2620="","","touch_2; "&amp;IFERROR(INDEX(Clay_Offices!$A$2:$FZ$601,369,Sync!$C$10)&amp;"","")&amp;"; "&amp;IFERROR(INDEX(Clay_Offices!$A$2:$FZ$601,369,Sync!$C$9)&amp;"",""))</f>
        <v/>
      </c>
      <c r="K2620" t="inlineStr">
        <is>
          <t>office outreach touch 2</t>
        </is>
      </c>
    </row>
    <row r="2621">
      <c r="A2621" s="17">
        <f>IF(B2621="","",B2621+(13*1000+370)/10000000)</f>
        <v/>
      </c>
      <c r="B2621" s="23">
        <f>IF(AND(IFERROR(N(INDEX(Clay_Offices!$A$2:$FZ$601,370,Sync!$C$12)),0)&gt;0,IFERROR(INDEX(Clay_Offices!$A$2:$FZ$601,370,Sync!$C$5)&amp;"","")&lt;&gt;"",OR(LEFT(IFERROR(INDEX(Clay_Offices!$A$2:$FZ$601,370,Sync!$C$5)&amp;"",""),6)&lt;&gt;"SAMPLE",Config!$B$19="Y")),IFERROR(N(INDEX(Clay_Offices!$A$2:$FZ$601,370,Sync!$C$12)),0),"")</f>
        <v/>
      </c>
      <c r="C2621" s="17">
        <f>IF(B2621="","","office")</f>
        <v/>
      </c>
      <c r="D2621" s="17">
        <f>IF(B2621="","",IFERROR(INDEX(Clay_Offices!$A$2:$FZ$601,370,Sync!$C$5)&amp;"",""))</f>
        <v/>
      </c>
      <c r="E2621" s="17">
        <f>IF(B2621="","",IFERROR(INDEX(Clay_Offices!$A$2:$FZ$601,370,Sync!$C$6)&amp;"",""))</f>
        <v/>
      </c>
      <c r="F2621" s="17">
        <f>IF(B2621="","","outreach_sent")</f>
        <v/>
      </c>
      <c r="G2621" s="17">
        <f>IF(B2621="","","")</f>
        <v/>
      </c>
      <c r="H2621" s="17">
        <f>IF(B2621="","","")</f>
        <v/>
      </c>
      <c r="I2621" s="17">
        <f>IF(B2621="","","")</f>
        <v/>
      </c>
      <c r="J2621" s="17">
        <f>IF(B2621="","","touch_2; "&amp;IFERROR(INDEX(Clay_Offices!$A$2:$FZ$601,370,Sync!$C$10)&amp;"","")&amp;"; "&amp;IFERROR(INDEX(Clay_Offices!$A$2:$FZ$601,370,Sync!$C$9)&amp;"",""))</f>
        <v/>
      </c>
      <c r="K2621" t="inlineStr">
        <is>
          <t>office outreach touch 2</t>
        </is>
      </c>
    </row>
    <row r="2622">
      <c r="A2622" s="17">
        <f>IF(B2622="","",B2622+(13*1000+371)/10000000)</f>
        <v/>
      </c>
      <c r="B2622" s="23">
        <f>IF(AND(IFERROR(N(INDEX(Clay_Offices!$A$2:$FZ$601,371,Sync!$C$12)),0)&gt;0,IFERROR(INDEX(Clay_Offices!$A$2:$FZ$601,371,Sync!$C$5)&amp;"","")&lt;&gt;"",OR(LEFT(IFERROR(INDEX(Clay_Offices!$A$2:$FZ$601,371,Sync!$C$5)&amp;"",""),6)&lt;&gt;"SAMPLE",Config!$B$19="Y")),IFERROR(N(INDEX(Clay_Offices!$A$2:$FZ$601,371,Sync!$C$12)),0),"")</f>
        <v/>
      </c>
      <c r="C2622" s="17">
        <f>IF(B2622="","","office")</f>
        <v/>
      </c>
      <c r="D2622" s="17">
        <f>IF(B2622="","",IFERROR(INDEX(Clay_Offices!$A$2:$FZ$601,371,Sync!$C$5)&amp;"",""))</f>
        <v/>
      </c>
      <c r="E2622" s="17">
        <f>IF(B2622="","",IFERROR(INDEX(Clay_Offices!$A$2:$FZ$601,371,Sync!$C$6)&amp;"",""))</f>
        <v/>
      </c>
      <c r="F2622" s="17">
        <f>IF(B2622="","","outreach_sent")</f>
        <v/>
      </c>
      <c r="G2622" s="17">
        <f>IF(B2622="","","")</f>
        <v/>
      </c>
      <c r="H2622" s="17">
        <f>IF(B2622="","","")</f>
        <v/>
      </c>
      <c r="I2622" s="17">
        <f>IF(B2622="","","")</f>
        <v/>
      </c>
      <c r="J2622" s="17">
        <f>IF(B2622="","","touch_2; "&amp;IFERROR(INDEX(Clay_Offices!$A$2:$FZ$601,371,Sync!$C$10)&amp;"","")&amp;"; "&amp;IFERROR(INDEX(Clay_Offices!$A$2:$FZ$601,371,Sync!$C$9)&amp;"",""))</f>
        <v/>
      </c>
      <c r="K2622" t="inlineStr">
        <is>
          <t>office outreach touch 2</t>
        </is>
      </c>
    </row>
    <row r="2623">
      <c r="A2623" s="17">
        <f>IF(B2623="","",B2623+(13*1000+372)/10000000)</f>
        <v/>
      </c>
      <c r="B2623" s="23">
        <f>IF(AND(IFERROR(N(INDEX(Clay_Offices!$A$2:$FZ$601,372,Sync!$C$12)),0)&gt;0,IFERROR(INDEX(Clay_Offices!$A$2:$FZ$601,372,Sync!$C$5)&amp;"","")&lt;&gt;"",OR(LEFT(IFERROR(INDEX(Clay_Offices!$A$2:$FZ$601,372,Sync!$C$5)&amp;"",""),6)&lt;&gt;"SAMPLE",Config!$B$19="Y")),IFERROR(N(INDEX(Clay_Offices!$A$2:$FZ$601,372,Sync!$C$12)),0),"")</f>
        <v/>
      </c>
      <c r="C2623" s="17">
        <f>IF(B2623="","","office")</f>
        <v/>
      </c>
      <c r="D2623" s="17">
        <f>IF(B2623="","",IFERROR(INDEX(Clay_Offices!$A$2:$FZ$601,372,Sync!$C$5)&amp;"",""))</f>
        <v/>
      </c>
      <c r="E2623" s="17">
        <f>IF(B2623="","",IFERROR(INDEX(Clay_Offices!$A$2:$FZ$601,372,Sync!$C$6)&amp;"",""))</f>
        <v/>
      </c>
      <c r="F2623" s="17">
        <f>IF(B2623="","","outreach_sent")</f>
        <v/>
      </c>
      <c r="G2623" s="17">
        <f>IF(B2623="","","")</f>
        <v/>
      </c>
      <c r="H2623" s="17">
        <f>IF(B2623="","","")</f>
        <v/>
      </c>
      <c r="I2623" s="17">
        <f>IF(B2623="","","")</f>
        <v/>
      </c>
      <c r="J2623" s="17">
        <f>IF(B2623="","","touch_2; "&amp;IFERROR(INDEX(Clay_Offices!$A$2:$FZ$601,372,Sync!$C$10)&amp;"","")&amp;"; "&amp;IFERROR(INDEX(Clay_Offices!$A$2:$FZ$601,372,Sync!$C$9)&amp;"",""))</f>
        <v/>
      </c>
      <c r="K2623" t="inlineStr">
        <is>
          <t>office outreach touch 2</t>
        </is>
      </c>
    </row>
    <row r="2624">
      <c r="A2624" s="17">
        <f>IF(B2624="","",B2624+(13*1000+373)/10000000)</f>
        <v/>
      </c>
      <c r="B2624" s="23">
        <f>IF(AND(IFERROR(N(INDEX(Clay_Offices!$A$2:$FZ$601,373,Sync!$C$12)),0)&gt;0,IFERROR(INDEX(Clay_Offices!$A$2:$FZ$601,373,Sync!$C$5)&amp;"","")&lt;&gt;"",OR(LEFT(IFERROR(INDEX(Clay_Offices!$A$2:$FZ$601,373,Sync!$C$5)&amp;"",""),6)&lt;&gt;"SAMPLE",Config!$B$19="Y")),IFERROR(N(INDEX(Clay_Offices!$A$2:$FZ$601,373,Sync!$C$12)),0),"")</f>
        <v/>
      </c>
      <c r="C2624" s="17">
        <f>IF(B2624="","","office")</f>
        <v/>
      </c>
      <c r="D2624" s="17">
        <f>IF(B2624="","",IFERROR(INDEX(Clay_Offices!$A$2:$FZ$601,373,Sync!$C$5)&amp;"",""))</f>
        <v/>
      </c>
      <c r="E2624" s="17">
        <f>IF(B2624="","",IFERROR(INDEX(Clay_Offices!$A$2:$FZ$601,373,Sync!$C$6)&amp;"",""))</f>
        <v/>
      </c>
      <c r="F2624" s="17">
        <f>IF(B2624="","","outreach_sent")</f>
        <v/>
      </c>
      <c r="G2624" s="17">
        <f>IF(B2624="","","")</f>
        <v/>
      </c>
      <c r="H2624" s="17">
        <f>IF(B2624="","","")</f>
        <v/>
      </c>
      <c r="I2624" s="17">
        <f>IF(B2624="","","")</f>
        <v/>
      </c>
      <c r="J2624" s="17">
        <f>IF(B2624="","","touch_2; "&amp;IFERROR(INDEX(Clay_Offices!$A$2:$FZ$601,373,Sync!$C$10)&amp;"","")&amp;"; "&amp;IFERROR(INDEX(Clay_Offices!$A$2:$FZ$601,373,Sync!$C$9)&amp;"",""))</f>
        <v/>
      </c>
      <c r="K2624" t="inlineStr">
        <is>
          <t>office outreach touch 2</t>
        </is>
      </c>
    </row>
    <row r="2625">
      <c r="A2625" s="17">
        <f>IF(B2625="","",B2625+(13*1000+374)/10000000)</f>
        <v/>
      </c>
      <c r="B2625" s="23">
        <f>IF(AND(IFERROR(N(INDEX(Clay_Offices!$A$2:$FZ$601,374,Sync!$C$12)),0)&gt;0,IFERROR(INDEX(Clay_Offices!$A$2:$FZ$601,374,Sync!$C$5)&amp;"","")&lt;&gt;"",OR(LEFT(IFERROR(INDEX(Clay_Offices!$A$2:$FZ$601,374,Sync!$C$5)&amp;"",""),6)&lt;&gt;"SAMPLE",Config!$B$19="Y")),IFERROR(N(INDEX(Clay_Offices!$A$2:$FZ$601,374,Sync!$C$12)),0),"")</f>
        <v/>
      </c>
      <c r="C2625" s="17">
        <f>IF(B2625="","","office")</f>
        <v/>
      </c>
      <c r="D2625" s="17">
        <f>IF(B2625="","",IFERROR(INDEX(Clay_Offices!$A$2:$FZ$601,374,Sync!$C$5)&amp;"",""))</f>
        <v/>
      </c>
      <c r="E2625" s="17">
        <f>IF(B2625="","",IFERROR(INDEX(Clay_Offices!$A$2:$FZ$601,374,Sync!$C$6)&amp;"",""))</f>
        <v/>
      </c>
      <c r="F2625" s="17">
        <f>IF(B2625="","","outreach_sent")</f>
        <v/>
      </c>
      <c r="G2625" s="17">
        <f>IF(B2625="","","")</f>
        <v/>
      </c>
      <c r="H2625" s="17">
        <f>IF(B2625="","","")</f>
        <v/>
      </c>
      <c r="I2625" s="17">
        <f>IF(B2625="","","")</f>
        <v/>
      </c>
      <c r="J2625" s="17">
        <f>IF(B2625="","","touch_2; "&amp;IFERROR(INDEX(Clay_Offices!$A$2:$FZ$601,374,Sync!$C$10)&amp;"","")&amp;"; "&amp;IFERROR(INDEX(Clay_Offices!$A$2:$FZ$601,374,Sync!$C$9)&amp;"",""))</f>
        <v/>
      </c>
      <c r="K2625" t="inlineStr">
        <is>
          <t>office outreach touch 2</t>
        </is>
      </c>
    </row>
    <row r="2626">
      <c r="A2626" s="17">
        <f>IF(B2626="","",B2626+(13*1000+375)/10000000)</f>
        <v/>
      </c>
      <c r="B2626" s="23">
        <f>IF(AND(IFERROR(N(INDEX(Clay_Offices!$A$2:$FZ$601,375,Sync!$C$12)),0)&gt;0,IFERROR(INDEX(Clay_Offices!$A$2:$FZ$601,375,Sync!$C$5)&amp;"","")&lt;&gt;"",OR(LEFT(IFERROR(INDEX(Clay_Offices!$A$2:$FZ$601,375,Sync!$C$5)&amp;"",""),6)&lt;&gt;"SAMPLE",Config!$B$19="Y")),IFERROR(N(INDEX(Clay_Offices!$A$2:$FZ$601,375,Sync!$C$12)),0),"")</f>
        <v/>
      </c>
      <c r="C2626" s="17">
        <f>IF(B2626="","","office")</f>
        <v/>
      </c>
      <c r="D2626" s="17">
        <f>IF(B2626="","",IFERROR(INDEX(Clay_Offices!$A$2:$FZ$601,375,Sync!$C$5)&amp;"",""))</f>
        <v/>
      </c>
      <c r="E2626" s="17">
        <f>IF(B2626="","",IFERROR(INDEX(Clay_Offices!$A$2:$FZ$601,375,Sync!$C$6)&amp;"",""))</f>
        <v/>
      </c>
      <c r="F2626" s="17">
        <f>IF(B2626="","","outreach_sent")</f>
        <v/>
      </c>
      <c r="G2626" s="17">
        <f>IF(B2626="","","")</f>
        <v/>
      </c>
      <c r="H2626" s="17">
        <f>IF(B2626="","","")</f>
        <v/>
      </c>
      <c r="I2626" s="17">
        <f>IF(B2626="","","")</f>
        <v/>
      </c>
      <c r="J2626" s="17">
        <f>IF(B2626="","","touch_2; "&amp;IFERROR(INDEX(Clay_Offices!$A$2:$FZ$601,375,Sync!$C$10)&amp;"","")&amp;"; "&amp;IFERROR(INDEX(Clay_Offices!$A$2:$FZ$601,375,Sync!$C$9)&amp;"",""))</f>
        <v/>
      </c>
      <c r="K2626" t="inlineStr">
        <is>
          <t>office outreach touch 2</t>
        </is>
      </c>
    </row>
    <row r="2627">
      <c r="A2627" s="17">
        <f>IF(B2627="","",B2627+(13*1000+376)/10000000)</f>
        <v/>
      </c>
      <c r="B2627" s="23">
        <f>IF(AND(IFERROR(N(INDEX(Clay_Offices!$A$2:$FZ$601,376,Sync!$C$12)),0)&gt;0,IFERROR(INDEX(Clay_Offices!$A$2:$FZ$601,376,Sync!$C$5)&amp;"","")&lt;&gt;"",OR(LEFT(IFERROR(INDEX(Clay_Offices!$A$2:$FZ$601,376,Sync!$C$5)&amp;"",""),6)&lt;&gt;"SAMPLE",Config!$B$19="Y")),IFERROR(N(INDEX(Clay_Offices!$A$2:$FZ$601,376,Sync!$C$12)),0),"")</f>
        <v/>
      </c>
      <c r="C2627" s="17">
        <f>IF(B2627="","","office")</f>
        <v/>
      </c>
      <c r="D2627" s="17">
        <f>IF(B2627="","",IFERROR(INDEX(Clay_Offices!$A$2:$FZ$601,376,Sync!$C$5)&amp;"",""))</f>
        <v/>
      </c>
      <c r="E2627" s="17">
        <f>IF(B2627="","",IFERROR(INDEX(Clay_Offices!$A$2:$FZ$601,376,Sync!$C$6)&amp;"",""))</f>
        <v/>
      </c>
      <c r="F2627" s="17">
        <f>IF(B2627="","","outreach_sent")</f>
        <v/>
      </c>
      <c r="G2627" s="17">
        <f>IF(B2627="","","")</f>
        <v/>
      </c>
      <c r="H2627" s="17">
        <f>IF(B2627="","","")</f>
        <v/>
      </c>
      <c r="I2627" s="17">
        <f>IF(B2627="","","")</f>
        <v/>
      </c>
      <c r="J2627" s="17">
        <f>IF(B2627="","","touch_2; "&amp;IFERROR(INDEX(Clay_Offices!$A$2:$FZ$601,376,Sync!$C$10)&amp;"","")&amp;"; "&amp;IFERROR(INDEX(Clay_Offices!$A$2:$FZ$601,376,Sync!$C$9)&amp;"",""))</f>
        <v/>
      </c>
      <c r="K2627" t="inlineStr">
        <is>
          <t>office outreach touch 2</t>
        </is>
      </c>
    </row>
    <row r="2628">
      <c r="A2628" s="17">
        <f>IF(B2628="","",B2628+(13*1000+377)/10000000)</f>
        <v/>
      </c>
      <c r="B2628" s="23">
        <f>IF(AND(IFERROR(N(INDEX(Clay_Offices!$A$2:$FZ$601,377,Sync!$C$12)),0)&gt;0,IFERROR(INDEX(Clay_Offices!$A$2:$FZ$601,377,Sync!$C$5)&amp;"","")&lt;&gt;"",OR(LEFT(IFERROR(INDEX(Clay_Offices!$A$2:$FZ$601,377,Sync!$C$5)&amp;"",""),6)&lt;&gt;"SAMPLE",Config!$B$19="Y")),IFERROR(N(INDEX(Clay_Offices!$A$2:$FZ$601,377,Sync!$C$12)),0),"")</f>
        <v/>
      </c>
      <c r="C2628" s="17">
        <f>IF(B2628="","","office")</f>
        <v/>
      </c>
      <c r="D2628" s="17">
        <f>IF(B2628="","",IFERROR(INDEX(Clay_Offices!$A$2:$FZ$601,377,Sync!$C$5)&amp;"",""))</f>
        <v/>
      </c>
      <c r="E2628" s="17">
        <f>IF(B2628="","",IFERROR(INDEX(Clay_Offices!$A$2:$FZ$601,377,Sync!$C$6)&amp;"",""))</f>
        <v/>
      </c>
      <c r="F2628" s="17">
        <f>IF(B2628="","","outreach_sent")</f>
        <v/>
      </c>
      <c r="G2628" s="17">
        <f>IF(B2628="","","")</f>
        <v/>
      </c>
      <c r="H2628" s="17">
        <f>IF(B2628="","","")</f>
        <v/>
      </c>
      <c r="I2628" s="17">
        <f>IF(B2628="","","")</f>
        <v/>
      </c>
      <c r="J2628" s="17">
        <f>IF(B2628="","","touch_2; "&amp;IFERROR(INDEX(Clay_Offices!$A$2:$FZ$601,377,Sync!$C$10)&amp;"","")&amp;"; "&amp;IFERROR(INDEX(Clay_Offices!$A$2:$FZ$601,377,Sync!$C$9)&amp;"",""))</f>
        <v/>
      </c>
      <c r="K2628" t="inlineStr">
        <is>
          <t>office outreach touch 2</t>
        </is>
      </c>
    </row>
    <row r="2629">
      <c r="A2629" s="17">
        <f>IF(B2629="","",B2629+(13*1000+378)/10000000)</f>
        <v/>
      </c>
      <c r="B2629" s="23">
        <f>IF(AND(IFERROR(N(INDEX(Clay_Offices!$A$2:$FZ$601,378,Sync!$C$12)),0)&gt;0,IFERROR(INDEX(Clay_Offices!$A$2:$FZ$601,378,Sync!$C$5)&amp;"","")&lt;&gt;"",OR(LEFT(IFERROR(INDEX(Clay_Offices!$A$2:$FZ$601,378,Sync!$C$5)&amp;"",""),6)&lt;&gt;"SAMPLE",Config!$B$19="Y")),IFERROR(N(INDEX(Clay_Offices!$A$2:$FZ$601,378,Sync!$C$12)),0),"")</f>
        <v/>
      </c>
      <c r="C2629" s="17">
        <f>IF(B2629="","","office")</f>
        <v/>
      </c>
      <c r="D2629" s="17">
        <f>IF(B2629="","",IFERROR(INDEX(Clay_Offices!$A$2:$FZ$601,378,Sync!$C$5)&amp;"",""))</f>
        <v/>
      </c>
      <c r="E2629" s="17">
        <f>IF(B2629="","",IFERROR(INDEX(Clay_Offices!$A$2:$FZ$601,378,Sync!$C$6)&amp;"",""))</f>
        <v/>
      </c>
      <c r="F2629" s="17">
        <f>IF(B2629="","","outreach_sent")</f>
        <v/>
      </c>
      <c r="G2629" s="17">
        <f>IF(B2629="","","")</f>
        <v/>
      </c>
      <c r="H2629" s="17">
        <f>IF(B2629="","","")</f>
        <v/>
      </c>
      <c r="I2629" s="17">
        <f>IF(B2629="","","")</f>
        <v/>
      </c>
      <c r="J2629" s="17">
        <f>IF(B2629="","","touch_2; "&amp;IFERROR(INDEX(Clay_Offices!$A$2:$FZ$601,378,Sync!$C$10)&amp;"","")&amp;"; "&amp;IFERROR(INDEX(Clay_Offices!$A$2:$FZ$601,378,Sync!$C$9)&amp;"",""))</f>
        <v/>
      </c>
      <c r="K2629" t="inlineStr">
        <is>
          <t>office outreach touch 2</t>
        </is>
      </c>
    </row>
    <row r="2630">
      <c r="A2630" s="17">
        <f>IF(B2630="","",B2630+(13*1000+379)/10000000)</f>
        <v/>
      </c>
      <c r="B2630" s="23">
        <f>IF(AND(IFERROR(N(INDEX(Clay_Offices!$A$2:$FZ$601,379,Sync!$C$12)),0)&gt;0,IFERROR(INDEX(Clay_Offices!$A$2:$FZ$601,379,Sync!$C$5)&amp;"","")&lt;&gt;"",OR(LEFT(IFERROR(INDEX(Clay_Offices!$A$2:$FZ$601,379,Sync!$C$5)&amp;"",""),6)&lt;&gt;"SAMPLE",Config!$B$19="Y")),IFERROR(N(INDEX(Clay_Offices!$A$2:$FZ$601,379,Sync!$C$12)),0),"")</f>
        <v/>
      </c>
      <c r="C2630" s="17">
        <f>IF(B2630="","","office")</f>
        <v/>
      </c>
      <c r="D2630" s="17">
        <f>IF(B2630="","",IFERROR(INDEX(Clay_Offices!$A$2:$FZ$601,379,Sync!$C$5)&amp;"",""))</f>
        <v/>
      </c>
      <c r="E2630" s="17">
        <f>IF(B2630="","",IFERROR(INDEX(Clay_Offices!$A$2:$FZ$601,379,Sync!$C$6)&amp;"",""))</f>
        <v/>
      </c>
      <c r="F2630" s="17">
        <f>IF(B2630="","","outreach_sent")</f>
        <v/>
      </c>
      <c r="G2630" s="17">
        <f>IF(B2630="","","")</f>
        <v/>
      </c>
      <c r="H2630" s="17">
        <f>IF(B2630="","","")</f>
        <v/>
      </c>
      <c r="I2630" s="17">
        <f>IF(B2630="","","")</f>
        <v/>
      </c>
      <c r="J2630" s="17">
        <f>IF(B2630="","","touch_2; "&amp;IFERROR(INDEX(Clay_Offices!$A$2:$FZ$601,379,Sync!$C$10)&amp;"","")&amp;"; "&amp;IFERROR(INDEX(Clay_Offices!$A$2:$FZ$601,379,Sync!$C$9)&amp;"",""))</f>
        <v/>
      </c>
      <c r="K2630" t="inlineStr">
        <is>
          <t>office outreach touch 2</t>
        </is>
      </c>
    </row>
    <row r="2631">
      <c r="A2631" s="17">
        <f>IF(B2631="","",B2631+(13*1000+380)/10000000)</f>
        <v/>
      </c>
      <c r="B2631" s="23">
        <f>IF(AND(IFERROR(N(INDEX(Clay_Offices!$A$2:$FZ$601,380,Sync!$C$12)),0)&gt;0,IFERROR(INDEX(Clay_Offices!$A$2:$FZ$601,380,Sync!$C$5)&amp;"","")&lt;&gt;"",OR(LEFT(IFERROR(INDEX(Clay_Offices!$A$2:$FZ$601,380,Sync!$C$5)&amp;"",""),6)&lt;&gt;"SAMPLE",Config!$B$19="Y")),IFERROR(N(INDEX(Clay_Offices!$A$2:$FZ$601,380,Sync!$C$12)),0),"")</f>
        <v/>
      </c>
      <c r="C2631" s="17">
        <f>IF(B2631="","","office")</f>
        <v/>
      </c>
      <c r="D2631" s="17">
        <f>IF(B2631="","",IFERROR(INDEX(Clay_Offices!$A$2:$FZ$601,380,Sync!$C$5)&amp;"",""))</f>
        <v/>
      </c>
      <c r="E2631" s="17">
        <f>IF(B2631="","",IFERROR(INDEX(Clay_Offices!$A$2:$FZ$601,380,Sync!$C$6)&amp;"",""))</f>
        <v/>
      </c>
      <c r="F2631" s="17">
        <f>IF(B2631="","","outreach_sent")</f>
        <v/>
      </c>
      <c r="G2631" s="17">
        <f>IF(B2631="","","")</f>
        <v/>
      </c>
      <c r="H2631" s="17">
        <f>IF(B2631="","","")</f>
        <v/>
      </c>
      <c r="I2631" s="17">
        <f>IF(B2631="","","")</f>
        <v/>
      </c>
      <c r="J2631" s="17">
        <f>IF(B2631="","","touch_2; "&amp;IFERROR(INDEX(Clay_Offices!$A$2:$FZ$601,380,Sync!$C$10)&amp;"","")&amp;"; "&amp;IFERROR(INDEX(Clay_Offices!$A$2:$FZ$601,380,Sync!$C$9)&amp;"",""))</f>
        <v/>
      </c>
      <c r="K2631" t="inlineStr">
        <is>
          <t>office outreach touch 2</t>
        </is>
      </c>
    </row>
    <row r="2632">
      <c r="A2632" s="17">
        <f>IF(B2632="","",B2632+(13*1000+381)/10000000)</f>
        <v/>
      </c>
      <c r="B2632" s="23">
        <f>IF(AND(IFERROR(N(INDEX(Clay_Offices!$A$2:$FZ$601,381,Sync!$C$12)),0)&gt;0,IFERROR(INDEX(Clay_Offices!$A$2:$FZ$601,381,Sync!$C$5)&amp;"","")&lt;&gt;"",OR(LEFT(IFERROR(INDEX(Clay_Offices!$A$2:$FZ$601,381,Sync!$C$5)&amp;"",""),6)&lt;&gt;"SAMPLE",Config!$B$19="Y")),IFERROR(N(INDEX(Clay_Offices!$A$2:$FZ$601,381,Sync!$C$12)),0),"")</f>
        <v/>
      </c>
      <c r="C2632" s="17">
        <f>IF(B2632="","","office")</f>
        <v/>
      </c>
      <c r="D2632" s="17">
        <f>IF(B2632="","",IFERROR(INDEX(Clay_Offices!$A$2:$FZ$601,381,Sync!$C$5)&amp;"",""))</f>
        <v/>
      </c>
      <c r="E2632" s="17">
        <f>IF(B2632="","",IFERROR(INDEX(Clay_Offices!$A$2:$FZ$601,381,Sync!$C$6)&amp;"",""))</f>
        <v/>
      </c>
      <c r="F2632" s="17">
        <f>IF(B2632="","","outreach_sent")</f>
        <v/>
      </c>
      <c r="G2632" s="17">
        <f>IF(B2632="","","")</f>
        <v/>
      </c>
      <c r="H2632" s="17">
        <f>IF(B2632="","","")</f>
        <v/>
      </c>
      <c r="I2632" s="17">
        <f>IF(B2632="","","")</f>
        <v/>
      </c>
      <c r="J2632" s="17">
        <f>IF(B2632="","","touch_2; "&amp;IFERROR(INDEX(Clay_Offices!$A$2:$FZ$601,381,Sync!$C$10)&amp;"","")&amp;"; "&amp;IFERROR(INDEX(Clay_Offices!$A$2:$FZ$601,381,Sync!$C$9)&amp;"",""))</f>
        <v/>
      </c>
      <c r="K2632" t="inlineStr">
        <is>
          <t>office outreach touch 2</t>
        </is>
      </c>
    </row>
    <row r="2633">
      <c r="A2633" s="17">
        <f>IF(B2633="","",B2633+(13*1000+382)/10000000)</f>
        <v/>
      </c>
      <c r="B2633" s="23">
        <f>IF(AND(IFERROR(N(INDEX(Clay_Offices!$A$2:$FZ$601,382,Sync!$C$12)),0)&gt;0,IFERROR(INDEX(Clay_Offices!$A$2:$FZ$601,382,Sync!$C$5)&amp;"","")&lt;&gt;"",OR(LEFT(IFERROR(INDEX(Clay_Offices!$A$2:$FZ$601,382,Sync!$C$5)&amp;"",""),6)&lt;&gt;"SAMPLE",Config!$B$19="Y")),IFERROR(N(INDEX(Clay_Offices!$A$2:$FZ$601,382,Sync!$C$12)),0),"")</f>
        <v/>
      </c>
      <c r="C2633" s="17">
        <f>IF(B2633="","","office")</f>
        <v/>
      </c>
      <c r="D2633" s="17">
        <f>IF(B2633="","",IFERROR(INDEX(Clay_Offices!$A$2:$FZ$601,382,Sync!$C$5)&amp;"",""))</f>
        <v/>
      </c>
      <c r="E2633" s="17">
        <f>IF(B2633="","",IFERROR(INDEX(Clay_Offices!$A$2:$FZ$601,382,Sync!$C$6)&amp;"",""))</f>
        <v/>
      </c>
      <c r="F2633" s="17">
        <f>IF(B2633="","","outreach_sent")</f>
        <v/>
      </c>
      <c r="G2633" s="17">
        <f>IF(B2633="","","")</f>
        <v/>
      </c>
      <c r="H2633" s="17">
        <f>IF(B2633="","","")</f>
        <v/>
      </c>
      <c r="I2633" s="17">
        <f>IF(B2633="","","")</f>
        <v/>
      </c>
      <c r="J2633" s="17">
        <f>IF(B2633="","","touch_2; "&amp;IFERROR(INDEX(Clay_Offices!$A$2:$FZ$601,382,Sync!$C$10)&amp;"","")&amp;"; "&amp;IFERROR(INDEX(Clay_Offices!$A$2:$FZ$601,382,Sync!$C$9)&amp;"",""))</f>
        <v/>
      </c>
      <c r="K2633" t="inlineStr">
        <is>
          <t>office outreach touch 2</t>
        </is>
      </c>
    </row>
    <row r="2634">
      <c r="A2634" s="17">
        <f>IF(B2634="","",B2634+(13*1000+383)/10000000)</f>
        <v/>
      </c>
      <c r="B2634" s="23">
        <f>IF(AND(IFERROR(N(INDEX(Clay_Offices!$A$2:$FZ$601,383,Sync!$C$12)),0)&gt;0,IFERROR(INDEX(Clay_Offices!$A$2:$FZ$601,383,Sync!$C$5)&amp;"","")&lt;&gt;"",OR(LEFT(IFERROR(INDEX(Clay_Offices!$A$2:$FZ$601,383,Sync!$C$5)&amp;"",""),6)&lt;&gt;"SAMPLE",Config!$B$19="Y")),IFERROR(N(INDEX(Clay_Offices!$A$2:$FZ$601,383,Sync!$C$12)),0),"")</f>
        <v/>
      </c>
      <c r="C2634" s="17">
        <f>IF(B2634="","","office")</f>
        <v/>
      </c>
      <c r="D2634" s="17">
        <f>IF(B2634="","",IFERROR(INDEX(Clay_Offices!$A$2:$FZ$601,383,Sync!$C$5)&amp;"",""))</f>
        <v/>
      </c>
      <c r="E2634" s="17">
        <f>IF(B2634="","",IFERROR(INDEX(Clay_Offices!$A$2:$FZ$601,383,Sync!$C$6)&amp;"",""))</f>
        <v/>
      </c>
      <c r="F2634" s="17">
        <f>IF(B2634="","","outreach_sent")</f>
        <v/>
      </c>
      <c r="G2634" s="17">
        <f>IF(B2634="","","")</f>
        <v/>
      </c>
      <c r="H2634" s="17">
        <f>IF(B2634="","","")</f>
        <v/>
      </c>
      <c r="I2634" s="17">
        <f>IF(B2634="","","")</f>
        <v/>
      </c>
      <c r="J2634" s="17">
        <f>IF(B2634="","","touch_2; "&amp;IFERROR(INDEX(Clay_Offices!$A$2:$FZ$601,383,Sync!$C$10)&amp;"","")&amp;"; "&amp;IFERROR(INDEX(Clay_Offices!$A$2:$FZ$601,383,Sync!$C$9)&amp;"",""))</f>
        <v/>
      </c>
      <c r="K2634" t="inlineStr">
        <is>
          <t>office outreach touch 2</t>
        </is>
      </c>
    </row>
    <row r="2635">
      <c r="A2635" s="17">
        <f>IF(B2635="","",B2635+(13*1000+384)/10000000)</f>
        <v/>
      </c>
      <c r="B2635" s="23">
        <f>IF(AND(IFERROR(N(INDEX(Clay_Offices!$A$2:$FZ$601,384,Sync!$C$12)),0)&gt;0,IFERROR(INDEX(Clay_Offices!$A$2:$FZ$601,384,Sync!$C$5)&amp;"","")&lt;&gt;"",OR(LEFT(IFERROR(INDEX(Clay_Offices!$A$2:$FZ$601,384,Sync!$C$5)&amp;"",""),6)&lt;&gt;"SAMPLE",Config!$B$19="Y")),IFERROR(N(INDEX(Clay_Offices!$A$2:$FZ$601,384,Sync!$C$12)),0),"")</f>
        <v/>
      </c>
      <c r="C2635" s="17">
        <f>IF(B2635="","","office")</f>
        <v/>
      </c>
      <c r="D2635" s="17">
        <f>IF(B2635="","",IFERROR(INDEX(Clay_Offices!$A$2:$FZ$601,384,Sync!$C$5)&amp;"",""))</f>
        <v/>
      </c>
      <c r="E2635" s="17">
        <f>IF(B2635="","",IFERROR(INDEX(Clay_Offices!$A$2:$FZ$601,384,Sync!$C$6)&amp;"",""))</f>
        <v/>
      </c>
      <c r="F2635" s="17">
        <f>IF(B2635="","","outreach_sent")</f>
        <v/>
      </c>
      <c r="G2635" s="17">
        <f>IF(B2635="","","")</f>
        <v/>
      </c>
      <c r="H2635" s="17">
        <f>IF(B2635="","","")</f>
        <v/>
      </c>
      <c r="I2635" s="17">
        <f>IF(B2635="","","")</f>
        <v/>
      </c>
      <c r="J2635" s="17">
        <f>IF(B2635="","","touch_2; "&amp;IFERROR(INDEX(Clay_Offices!$A$2:$FZ$601,384,Sync!$C$10)&amp;"","")&amp;"; "&amp;IFERROR(INDEX(Clay_Offices!$A$2:$FZ$601,384,Sync!$C$9)&amp;"",""))</f>
        <v/>
      </c>
      <c r="K2635" t="inlineStr">
        <is>
          <t>office outreach touch 2</t>
        </is>
      </c>
    </row>
    <row r="2636">
      <c r="A2636" s="17">
        <f>IF(B2636="","",B2636+(13*1000+385)/10000000)</f>
        <v/>
      </c>
      <c r="B2636" s="23">
        <f>IF(AND(IFERROR(N(INDEX(Clay_Offices!$A$2:$FZ$601,385,Sync!$C$12)),0)&gt;0,IFERROR(INDEX(Clay_Offices!$A$2:$FZ$601,385,Sync!$C$5)&amp;"","")&lt;&gt;"",OR(LEFT(IFERROR(INDEX(Clay_Offices!$A$2:$FZ$601,385,Sync!$C$5)&amp;"",""),6)&lt;&gt;"SAMPLE",Config!$B$19="Y")),IFERROR(N(INDEX(Clay_Offices!$A$2:$FZ$601,385,Sync!$C$12)),0),"")</f>
        <v/>
      </c>
      <c r="C2636" s="17">
        <f>IF(B2636="","","office")</f>
        <v/>
      </c>
      <c r="D2636" s="17">
        <f>IF(B2636="","",IFERROR(INDEX(Clay_Offices!$A$2:$FZ$601,385,Sync!$C$5)&amp;"",""))</f>
        <v/>
      </c>
      <c r="E2636" s="17">
        <f>IF(B2636="","",IFERROR(INDEX(Clay_Offices!$A$2:$FZ$601,385,Sync!$C$6)&amp;"",""))</f>
        <v/>
      </c>
      <c r="F2636" s="17">
        <f>IF(B2636="","","outreach_sent")</f>
        <v/>
      </c>
      <c r="G2636" s="17">
        <f>IF(B2636="","","")</f>
        <v/>
      </c>
      <c r="H2636" s="17">
        <f>IF(B2636="","","")</f>
        <v/>
      </c>
      <c r="I2636" s="17">
        <f>IF(B2636="","","")</f>
        <v/>
      </c>
      <c r="J2636" s="17">
        <f>IF(B2636="","","touch_2; "&amp;IFERROR(INDEX(Clay_Offices!$A$2:$FZ$601,385,Sync!$C$10)&amp;"","")&amp;"; "&amp;IFERROR(INDEX(Clay_Offices!$A$2:$FZ$601,385,Sync!$C$9)&amp;"",""))</f>
        <v/>
      </c>
      <c r="K2636" t="inlineStr">
        <is>
          <t>office outreach touch 2</t>
        </is>
      </c>
    </row>
    <row r="2637">
      <c r="A2637" s="17">
        <f>IF(B2637="","",B2637+(13*1000+386)/10000000)</f>
        <v/>
      </c>
      <c r="B2637" s="23">
        <f>IF(AND(IFERROR(N(INDEX(Clay_Offices!$A$2:$FZ$601,386,Sync!$C$12)),0)&gt;0,IFERROR(INDEX(Clay_Offices!$A$2:$FZ$601,386,Sync!$C$5)&amp;"","")&lt;&gt;"",OR(LEFT(IFERROR(INDEX(Clay_Offices!$A$2:$FZ$601,386,Sync!$C$5)&amp;"",""),6)&lt;&gt;"SAMPLE",Config!$B$19="Y")),IFERROR(N(INDEX(Clay_Offices!$A$2:$FZ$601,386,Sync!$C$12)),0),"")</f>
        <v/>
      </c>
      <c r="C2637" s="17">
        <f>IF(B2637="","","office")</f>
        <v/>
      </c>
      <c r="D2637" s="17">
        <f>IF(B2637="","",IFERROR(INDEX(Clay_Offices!$A$2:$FZ$601,386,Sync!$C$5)&amp;"",""))</f>
        <v/>
      </c>
      <c r="E2637" s="17">
        <f>IF(B2637="","",IFERROR(INDEX(Clay_Offices!$A$2:$FZ$601,386,Sync!$C$6)&amp;"",""))</f>
        <v/>
      </c>
      <c r="F2637" s="17">
        <f>IF(B2637="","","outreach_sent")</f>
        <v/>
      </c>
      <c r="G2637" s="17">
        <f>IF(B2637="","","")</f>
        <v/>
      </c>
      <c r="H2637" s="17">
        <f>IF(B2637="","","")</f>
        <v/>
      </c>
      <c r="I2637" s="17">
        <f>IF(B2637="","","")</f>
        <v/>
      </c>
      <c r="J2637" s="17">
        <f>IF(B2637="","","touch_2; "&amp;IFERROR(INDEX(Clay_Offices!$A$2:$FZ$601,386,Sync!$C$10)&amp;"","")&amp;"; "&amp;IFERROR(INDEX(Clay_Offices!$A$2:$FZ$601,386,Sync!$C$9)&amp;"",""))</f>
        <v/>
      </c>
      <c r="K2637" t="inlineStr">
        <is>
          <t>office outreach touch 2</t>
        </is>
      </c>
    </row>
    <row r="2638">
      <c r="A2638" s="17">
        <f>IF(B2638="","",B2638+(13*1000+387)/10000000)</f>
        <v/>
      </c>
      <c r="B2638" s="23">
        <f>IF(AND(IFERROR(N(INDEX(Clay_Offices!$A$2:$FZ$601,387,Sync!$C$12)),0)&gt;0,IFERROR(INDEX(Clay_Offices!$A$2:$FZ$601,387,Sync!$C$5)&amp;"","")&lt;&gt;"",OR(LEFT(IFERROR(INDEX(Clay_Offices!$A$2:$FZ$601,387,Sync!$C$5)&amp;"",""),6)&lt;&gt;"SAMPLE",Config!$B$19="Y")),IFERROR(N(INDEX(Clay_Offices!$A$2:$FZ$601,387,Sync!$C$12)),0),"")</f>
        <v/>
      </c>
      <c r="C2638" s="17">
        <f>IF(B2638="","","office")</f>
        <v/>
      </c>
      <c r="D2638" s="17">
        <f>IF(B2638="","",IFERROR(INDEX(Clay_Offices!$A$2:$FZ$601,387,Sync!$C$5)&amp;"",""))</f>
        <v/>
      </c>
      <c r="E2638" s="17">
        <f>IF(B2638="","",IFERROR(INDEX(Clay_Offices!$A$2:$FZ$601,387,Sync!$C$6)&amp;"",""))</f>
        <v/>
      </c>
      <c r="F2638" s="17">
        <f>IF(B2638="","","outreach_sent")</f>
        <v/>
      </c>
      <c r="G2638" s="17">
        <f>IF(B2638="","","")</f>
        <v/>
      </c>
      <c r="H2638" s="17">
        <f>IF(B2638="","","")</f>
        <v/>
      </c>
      <c r="I2638" s="17">
        <f>IF(B2638="","","")</f>
        <v/>
      </c>
      <c r="J2638" s="17">
        <f>IF(B2638="","","touch_2; "&amp;IFERROR(INDEX(Clay_Offices!$A$2:$FZ$601,387,Sync!$C$10)&amp;"","")&amp;"; "&amp;IFERROR(INDEX(Clay_Offices!$A$2:$FZ$601,387,Sync!$C$9)&amp;"",""))</f>
        <v/>
      </c>
      <c r="K2638" t="inlineStr">
        <is>
          <t>office outreach touch 2</t>
        </is>
      </c>
    </row>
    <row r="2639">
      <c r="A2639" s="17">
        <f>IF(B2639="","",B2639+(13*1000+388)/10000000)</f>
        <v/>
      </c>
      <c r="B2639" s="23">
        <f>IF(AND(IFERROR(N(INDEX(Clay_Offices!$A$2:$FZ$601,388,Sync!$C$12)),0)&gt;0,IFERROR(INDEX(Clay_Offices!$A$2:$FZ$601,388,Sync!$C$5)&amp;"","")&lt;&gt;"",OR(LEFT(IFERROR(INDEX(Clay_Offices!$A$2:$FZ$601,388,Sync!$C$5)&amp;"",""),6)&lt;&gt;"SAMPLE",Config!$B$19="Y")),IFERROR(N(INDEX(Clay_Offices!$A$2:$FZ$601,388,Sync!$C$12)),0),"")</f>
        <v/>
      </c>
      <c r="C2639" s="17">
        <f>IF(B2639="","","office")</f>
        <v/>
      </c>
      <c r="D2639" s="17">
        <f>IF(B2639="","",IFERROR(INDEX(Clay_Offices!$A$2:$FZ$601,388,Sync!$C$5)&amp;"",""))</f>
        <v/>
      </c>
      <c r="E2639" s="17">
        <f>IF(B2639="","",IFERROR(INDEX(Clay_Offices!$A$2:$FZ$601,388,Sync!$C$6)&amp;"",""))</f>
        <v/>
      </c>
      <c r="F2639" s="17">
        <f>IF(B2639="","","outreach_sent")</f>
        <v/>
      </c>
      <c r="G2639" s="17">
        <f>IF(B2639="","","")</f>
        <v/>
      </c>
      <c r="H2639" s="17">
        <f>IF(B2639="","","")</f>
        <v/>
      </c>
      <c r="I2639" s="17">
        <f>IF(B2639="","","")</f>
        <v/>
      </c>
      <c r="J2639" s="17">
        <f>IF(B2639="","","touch_2; "&amp;IFERROR(INDEX(Clay_Offices!$A$2:$FZ$601,388,Sync!$C$10)&amp;"","")&amp;"; "&amp;IFERROR(INDEX(Clay_Offices!$A$2:$FZ$601,388,Sync!$C$9)&amp;"",""))</f>
        <v/>
      </c>
      <c r="K2639" t="inlineStr">
        <is>
          <t>office outreach touch 2</t>
        </is>
      </c>
    </row>
    <row r="2640">
      <c r="A2640" s="17">
        <f>IF(B2640="","",B2640+(13*1000+389)/10000000)</f>
        <v/>
      </c>
      <c r="B2640" s="23">
        <f>IF(AND(IFERROR(N(INDEX(Clay_Offices!$A$2:$FZ$601,389,Sync!$C$12)),0)&gt;0,IFERROR(INDEX(Clay_Offices!$A$2:$FZ$601,389,Sync!$C$5)&amp;"","")&lt;&gt;"",OR(LEFT(IFERROR(INDEX(Clay_Offices!$A$2:$FZ$601,389,Sync!$C$5)&amp;"",""),6)&lt;&gt;"SAMPLE",Config!$B$19="Y")),IFERROR(N(INDEX(Clay_Offices!$A$2:$FZ$601,389,Sync!$C$12)),0),"")</f>
        <v/>
      </c>
      <c r="C2640" s="17">
        <f>IF(B2640="","","office")</f>
        <v/>
      </c>
      <c r="D2640" s="17">
        <f>IF(B2640="","",IFERROR(INDEX(Clay_Offices!$A$2:$FZ$601,389,Sync!$C$5)&amp;"",""))</f>
        <v/>
      </c>
      <c r="E2640" s="17">
        <f>IF(B2640="","",IFERROR(INDEX(Clay_Offices!$A$2:$FZ$601,389,Sync!$C$6)&amp;"",""))</f>
        <v/>
      </c>
      <c r="F2640" s="17">
        <f>IF(B2640="","","outreach_sent")</f>
        <v/>
      </c>
      <c r="G2640" s="17">
        <f>IF(B2640="","","")</f>
        <v/>
      </c>
      <c r="H2640" s="17">
        <f>IF(B2640="","","")</f>
        <v/>
      </c>
      <c r="I2640" s="17">
        <f>IF(B2640="","","")</f>
        <v/>
      </c>
      <c r="J2640" s="17">
        <f>IF(B2640="","","touch_2; "&amp;IFERROR(INDEX(Clay_Offices!$A$2:$FZ$601,389,Sync!$C$10)&amp;"","")&amp;"; "&amp;IFERROR(INDEX(Clay_Offices!$A$2:$FZ$601,389,Sync!$C$9)&amp;"",""))</f>
        <v/>
      </c>
      <c r="K2640" t="inlineStr">
        <is>
          <t>office outreach touch 2</t>
        </is>
      </c>
    </row>
    <row r="2641">
      <c r="A2641" s="17">
        <f>IF(B2641="","",B2641+(13*1000+390)/10000000)</f>
        <v/>
      </c>
      <c r="B2641" s="23">
        <f>IF(AND(IFERROR(N(INDEX(Clay_Offices!$A$2:$FZ$601,390,Sync!$C$12)),0)&gt;0,IFERROR(INDEX(Clay_Offices!$A$2:$FZ$601,390,Sync!$C$5)&amp;"","")&lt;&gt;"",OR(LEFT(IFERROR(INDEX(Clay_Offices!$A$2:$FZ$601,390,Sync!$C$5)&amp;"",""),6)&lt;&gt;"SAMPLE",Config!$B$19="Y")),IFERROR(N(INDEX(Clay_Offices!$A$2:$FZ$601,390,Sync!$C$12)),0),"")</f>
        <v/>
      </c>
      <c r="C2641" s="17">
        <f>IF(B2641="","","office")</f>
        <v/>
      </c>
      <c r="D2641" s="17">
        <f>IF(B2641="","",IFERROR(INDEX(Clay_Offices!$A$2:$FZ$601,390,Sync!$C$5)&amp;"",""))</f>
        <v/>
      </c>
      <c r="E2641" s="17">
        <f>IF(B2641="","",IFERROR(INDEX(Clay_Offices!$A$2:$FZ$601,390,Sync!$C$6)&amp;"",""))</f>
        <v/>
      </c>
      <c r="F2641" s="17">
        <f>IF(B2641="","","outreach_sent")</f>
        <v/>
      </c>
      <c r="G2641" s="17">
        <f>IF(B2641="","","")</f>
        <v/>
      </c>
      <c r="H2641" s="17">
        <f>IF(B2641="","","")</f>
        <v/>
      </c>
      <c r="I2641" s="17">
        <f>IF(B2641="","","")</f>
        <v/>
      </c>
      <c r="J2641" s="17">
        <f>IF(B2641="","","touch_2; "&amp;IFERROR(INDEX(Clay_Offices!$A$2:$FZ$601,390,Sync!$C$10)&amp;"","")&amp;"; "&amp;IFERROR(INDEX(Clay_Offices!$A$2:$FZ$601,390,Sync!$C$9)&amp;"",""))</f>
        <v/>
      </c>
      <c r="K2641" t="inlineStr">
        <is>
          <t>office outreach touch 2</t>
        </is>
      </c>
    </row>
    <row r="2642">
      <c r="A2642" s="17">
        <f>IF(B2642="","",B2642+(13*1000+391)/10000000)</f>
        <v/>
      </c>
      <c r="B2642" s="23">
        <f>IF(AND(IFERROR(N(INDEX(Clay_Offices!$A$2:$FZ$601,391,Sync!$C$12)),0)&gt;0,IFERROR(INDEX(Clay_Offices!$A$2:$FZ$601,391,Sync!$C$5)&amp;"","")&lt;&gt;"",OR(LEFT(IFERROR(INDEX(Clay_Offices!$A$2:$FZ$601,391,Sync!$C$5)&amp;"",""),6)&lt;&gt;"SAMPLE",Config!$B$19="Y")),IFERROR(N(INDEX(Clay_Offices!$A$2:$FZ$601,391,Sync!$C$12)),0),"")</f>
        <v/>
      </c>
      <c r="C2642" s="17">
        <f>IF(B2642="","","office")</f>
        <v/>
      </c>
      <c r="D2642" s="17">
        <f>IF(B2642="","",IFERROR(INDEX(Clay_Offices!$A$2:$FZ$601,391,Sync!$C$5)&amp;"",""))</f>
        <v/>
      </c>
      <c r="E2642" s="17">
        <f>IF(B2642="","",IFERROR(INDEX(Clay_Offices!$A$2:$FZ$601,391,Sync!$C$6)&amp;"",""))</f>
        <v/>
      </c>
      <c r="F2642" s="17">
        <f>IF(B2642="","","outreach_sent")</f>
        <v/>
      </c>
      <c r="G2642" s="17">
        <f>IF(B2642="","","")</f>
        <v/>
      </c>
      <c r="H2642" s="17">
        <f>IF(B2642="","","")</f>
        <v/>
      </c>
      <c r="I2642" s="17">
        <f>IF(B2642="","","")</f>
        <v/>
      </c>
      <c r="J2642" s="17">
        <f>IF(B2642="","","touch_2; "&amp;IFERROR(INDEX(Clay_Offices!$A$2:$FZ$601,391,Sync!$C$10)&amp;"","")&amp;"; "&amp;IFERROR(INDEX(Clay_Offices!$A$2:$FZ$601,391,Sync!$C$9)&amp;"",""))</f>
        <v/>
      </c>
      <c r="K2642" t="inlineStr">
        <is>
          <t>office outreach touch 2</t>
        </is>
      </c>
    </row>
    <row r="2643">
      <c r="A2643" s="17">
        <f>IF(B2643="","",B2643+(13*1000+392)/10000000)</f>
        <v/>
      </c>
      <c r="B2643" s="23">
        <f>IF(AND(IFERROR(N(INDEX(Clay_Offices!$A$2:$FZ$601,392,Sync!$C$12)),0)&gt;0,IFERROR(INDEX(Clay_Offices!$A$2:$FZ$601,392,Sync!$C$5)&amp;"","")&lt;&gt;"",OR(LEFT(IFERROR(INDEX(Clay_Offices!$A$2:$FZ$601,392,Sync!$C$5)&amp;"",""),6)&lt;&gt;"SAMPLE",Config!$B$19="Y")),IFERROR(N(INDEX(Clay_Offices!$A$2:$FZ$601,392,Sync!$C$12)),0),"")</f>
        <v/>
      </c>
      <c r="C2643" s="17">
        <f>IF(B2643="","","office")</f>
        <v/>
      </c>
      <c r="D2643" s="17">
        <f>IF(B2643="","",IFERROR(INDEX(Clay_Offices!$A$2:$FZ$601,392,Sync!$C$5)&amp;"",""))</f>
        <v/>
      </c>
      <c r="E2643" s="17">
        <f>IF(B2643="","",IFERROR(INDEX(Clay_Offices!$A$2:$FZ$601,392,Sync!$C$6)&amp;"",""))</f>
        <v/>
      </c>
      <c r="F2643" s="17">
        <f>IF(B2643="","","outreach_sent")</f>
        <v/>
      </c>
      <c r="G2643" s="17">
        <f>IF(B2643="","","")</f>
        <v/>
      </c>
      <c r="H2643" s="17">
        <f>IF(B2643="","","")</f>
        <v/>
      </c>
      <c r="I2643" s="17">
        <f>IF(B2643="","","")</f>
        <v/>
      </c>
      <c r="J2643" s="17">
        <f>IF(B2643="","","touch_2; "&amp;IFERROR(INDEX(Clay_Offices!$A$2:$FZ$601,392,Sync!$C$10)&amp;"","")&amp;"; "&amp;IFERROR(INDEX(Clay_Offices!$A$2:$FZ$601,392,Sync!$C$9)&amp;"",""))</f>
        <v/>
      </c>
      <c r="K2643" t="inlineStr">
        <is>
          <t>office outreach touch 2</t>
        </is>
      </c>
    </row>
    <row r="2644">
      <c r="A2644" s="17">
        <f>IF(B2644="","",B2644+(13*1000+393)/10000000)</f>
        <v/>
      </c>
      <c r="B2644" s="23">
        <f>IF(AND(IFERROR(N(INDEX(Clay_Offices!$A$2:$FZ$601,393,Sync!$C$12)),0)&gt;0,IFERROR(INDEX(Clay_Offices!$A$2:$FZ$601,393,Sync!$C$5)&amp;"","")&lt;&gt;"",OR(LEFT(IFERROR(INDEX(Clay_Offices!$A$2:$FZ$601,393,Sync!$C$5)&amp;"",""),6)&lt;&gt;"SAMPLE",Config!$B$19="Y")),IFERROR(N(INDEX(Clay_Offices!$A$2:$FZ$601,393,Sync!$C$12)),0),"")</f>
        <v/>
      </c>
      <c r="C2644" s="17">
        <f>IF(B2644="","","office")</f>
        <v/>
      </c>
      <c r="D2644" s="17">
        <f>IF(B2644="","",IFERROR(INDEX(Clay_Offices!$A$2:$FZ$601,393,Sync!$C$5)&amp;"",""))</f>
        <v/>
      </c>
      <c r="E2644" s="17">
        <f>IF(B2644="","",IFERROR(INDEX(Clay_Offices!$A$2:$FZ$601,393,Sync!$C$6)&amp;"",""))</f>
        <v/>
      </c>
      <c r="F2644" s="17">
        <f>IF(B2644="","","outreach_sent")</f>
        <v/>
      </c>
      <c r="G2644" s="17">
        <f>IF(B2644="","","")</f>
        <v/>
      </c>
      <c r="H2644" s="17">
        <f>IF(B2644="","","")</f>
        <v/>
      </c>
      <c r="I2644" s="17">
        <f>IF(B2644="","","")</f>
        <v/>
      </c>
      <c r="J2644" s="17">
        <f>IF(B2644="","","touch_2; "&amp;IFERROR(INDEX(Clay_Offices!$A$2:$FZ$601,393,Sync!$C$10)&amp;"","")&amp;"; "&amp;IFERROR(INDEX(Clay_Offices!$A$2:$FZ$601,393,Sync!$C$9)&amp;"",""))</f>
        <v/>
      </c>
      <c r="K2644" t="inlineStr">
        <is>
          <t>office outreach touch 2</t>
        </is>
      </c>
    </row>
    <row r="2645">
      <c r="A2645" s="17">
        <f>IF(B2645="","",B2645+(13*1000+394)/10000000)</f>
        <v/>
      </c>
      <c r="B2645" s="23">
        <f>IF(AND(IFERROR(N(INDEX(Clay_Offices!$A$2:$FZ$601,394,Sync!$C$12)),0)&gt;0,IFERROR(INDEX(Clay_Offices!$A$2:$FZ$601,394,Sync!$C$5)&amp;"","")&lt;&gt;"",OR(LEFT(IFERROR(INDEX(Clay_Offices!$A$2:$FZ$601,394,Sync!$C$5)&amp;"",""),6)&lt;&gt;"SAMPLE",Config!$B$19="Y")),IFERROR(N(INDEX(Clay_Offices!$A$2:$FZ$601,394,Sync!$C$12)),0),"")</f>
        <v/>
      </c>
      <c r="C2645" s="17">
        <f>IF(B2645="","","office")</f>
        <v/>
      </c>
      <c r="D2645" s="17">
        <f>IF(B2645="","",IFERROR(INDEX(Clay_Offices!$A$2:$FZ$601,394,Sync!$C$5)&amp;"",""))</f>
        <v/>
      </c>
      <c r="E2645" s="17">
        <f>IF(B2645="","",IFERROR(INDEX(Clay_Offices!$A$2:$FZ$601,394,Sync!$C$6)&amp;"",""))</f>
        <v/>
      </c>
      <c r="F2645" s="17">
        <f>IF(B2645="","","outreach_sent")</f>
        <v/>
      </c>
      <c r="G2645" s="17">
        <f>IF(B2645="","","")</f>
        <v/>
      </c>
      <c r="H2645" s="17">
        <f>IF(B2645="","","")</f>
        <v/>
      </c>
      <c r="I2645" s="17">
        <f>IF(B2645="","","")</f>
        <v/>
      </c>
      <c r="J2645" s="17">
        <f>IF(B2645="","","touch_2; "&amp;IFERROR(INDEX(Clay_Offices!$A$2:$FZ$601,394,Sync!$C$10)&amp;"","")&amp;"; "&amp;IFERROR(INDEX(Clay_Offices!$A$2:$FZ$601,394,Sync!$C$9)&amp;"",""))</f>
        <v/>
      </c>
      <c r="K2645" t="inlineStr">
        <is>
          <t>office outreach touch 2</t>
        </is>
      </c>
    </row>
    <row r="2646">
      <c r="A2646" s="17">
        <f>IF(B2646="","",B2646+(13*1000+395)/10000000)</f>
        <v/>
      </c>
      <c r="B2646" s="23">
        <f>IF(AND(IFERROR(N(INDEX(Clay_Offices!$A$2:$FZ$601,395,Sync!$C$12)),0)&gt;0,IFERROR(INDEX(Clay_Offices!$A$2:$FZ$601,395,Sync!$C$5)&amp;"","")&lt;&gt;"",OR(LEFT(IFERROR(INDEX(Clay_Offices!$A$2:$FZ$601,395,Sync!$C$5)&amp;"",""),6)&lt;&gt;"SAMPLE",Config!$B$19="Y")),IFERROR(N(INDEX(Clay_Offices!$A$2:$FZ$601,395,Sync!$C$12)),0),"")</f>
        <v/>
      </c>
      <c r="C2646" s="17">
        <f>IF(B2646="","","office")</f>
        <v/>
      </c>
      <c r="D2646" s="17">
        <f>IF(B2646="","",IFERROR(INDEX(Clay_Offices!$A$2:$FZ$601,395,Sync!$C$5)&amp;"",""))</f>
        <v/>
      </c>
      <c r="E2646" s="17">
        <f>IF(B2646="","",IFERROR(INDEX(Clay_Offices!$A$2:$FZ$601,395,Sync!$C$6)&amp;"",""))</f>
        <v/>
      </c>
      <c r="F2646" s="17">
        <f>IF(B2646="","","outreach_sent")</f>
        <v/>
      </c>
      <c r="G2646" s="17">
        <f>IF(B2646="","","")</f>
        <v/>
      </c>
      <c r="H2646" s="17">
        <f>IF(B2646="","","")</f>
        <v/>
      </c>
      <c r="I2646" s="17">
        <f>IF(B2646="","","")</f>
        <v/>
      </c>
      <c r="J2646" s="17">
        <f>IF(B2646="","","touch_2; "&amp;IFERROR(INDEX(Clay_Offices!$A$2:$FZ$601,395,Sync!$C$10)&amp;"","")&amp;"; "&amp;IFERROR(INDEX(Clay_Offices!$A$2:$FZ$601,395,Sync!$C$9)&amp;"",""))</f>
        <v/>
      </c>
      <c r="K2646" t="inlineStr">
        <is>
          <t>office outreach touch 2</t>
        </is>
      </c>
    </row>
    <row r="2647">
      <c r="A2647" s="17">
        <f>IF(B2647="","",B2647+(13*1000+396)/10000000)</f>
        <v/>
      </c>
      <c r="B2647" s="23">
        <f>IF(AND(IFERROR(N(INDEX(Clay_Offices!$A$2:$FZ$601,396,Sync!$C$12)),0)&gt;0,IFERROR(INDEX(Clay_Offices!$A$2:$FZ$601,396,Sync!$C$5)&amp;"","")&lt;&gt;"",OR(LEFT(IFERROR(INDEX(Clay_Offices!$A$2:$FZ$601,396,Sync!$C$5)&amp;"",""),6)&lt;&gt;"SAMPLE",Config!$B$19="Y")),IFERROR(N(INDEX(Clay_Offices!$A$2:$FZ$601,396,Sync!$C$12)),0),"")</f>
        <v/>
      </c>
      <c r="C2647" s="17">
        <f>IF(B2647="","","office")</f>
        <v/>
      </c>
      <c r="D2647" s="17">
        <f>IF(B2647="","",IFERROR(INDEX(Clay_Offices!$A$2:$FZ$601,396,Sync!$C$5)&amp;"",""))</f>
        <v/>
      </c>
      <c r="E2647" s="17">
        <f>IF(B2647="","",IFERROR(INDEX(Clay_Offices!$A$2:$FZ$601,396,Sync!$C$6)&amp;"",""))</f>
        <v/>
      </c>
      <c r="F2647" s="17">
        <f>IF(B2647="","","outreach_sent")</f>
        <v/>
      </c>
      <c r="G2647" s="17">
        <f>IF(B2647="","","")</f>
        <v/>
      </c>
      <c r="H2647" s="17">
        <f>IF(B2647="","","")</f>
        <v/>
      </c>
      <c r="I2647" s="17">
        <f>IF(B2647="","","")</f>
        <v/>
      </c>
      <c r="J2647" s="17">
        <f>IF(B2647="","","touch_2; "&amp;IFERROR(INDEX(Clay_Offices!$A$2:$FZ$601,396,Sync!$C$10)&amp;"","")&amp;"; "&amp;IFERROR(INDEX(Clay_Offices!$A$2:$FZ$601,396,Sync!$C$9)&amp;"",""))</f>
        <v/>
      </c>
      <c r="K2647" t="inlineStr">
        <is>
          <t>office outreach touch 2</t>
        </is>
      </c>
    </row>
    <row r="2648">
      <c r="A2648" s="17">
        <f>IF(B2648="","",B2648+(13*1000+397)/10000000)</f>
        <v/>
      </c>
      <c r="B2648" s="23">
        <f>IF(AND(IFERROR(N(INDEX(Clay_Offices!$A$2:$FZ$601,397,Sync!$C$12)),0)&gt;0,IFERROR(INDEX(Clay_Offices!$A$2:$FZ$601,397,Sync!$C$5)&amp;"","")&lt;&gt;"",OR(LEFT(IFERROR(INDEX(Clay_Offices!$A$2:$FZ$601,397,Sync!$C$5)&amp;"",""),6)&lt;&gt;"SAMPLE",Config!$B$19="Y")),IFERROR(N(INDEX(Clay_Offices!$A$2:$FZ$601,397,Sync!$C$12)),0),"")</f>
        <v/>
      </c>
      <c r="C2648" s="17">
        <f>IF(B2648="","","office")</f>
        <v/>
      </c>
      <c r="D2648" s="17">
        <f>IF(B2648="","",IFERROR(INDEX(Clay_Offices!$A$2:$FZ$601,397,Sync!$C$5)&amp;"",""))</f>
        <v/>
      </c>
      <c r="E2648" s="17">
        <f>IF(B2648="","",IFERROR(INDEX(Clay_Offices!$A$2:$FZ$601,397,Sync!$C$6)&amp;"",""))</f>
        <v/>
      </c>
      <c r="F2648" s="17">
        <f>IF(B2648="","","outreach_sent")</f>
        <v/>
      </c>
      <c r="G2648" s="17">
        <f>IF(B2648="","","")</f>
        <v/>
      </c>
      <c r="H2648" s="17">
        <f>IF(B2648="","","")</f>
        <v/>
      </c>
      <c r="I2648" s="17">
        <f>IF(B2648="","","")</f>
        <v/>
      </c>
      <c r="J2648" s="17">
        <f>IF(B2648="","","touch_2; "&amp;IFERROR(INDEX(Clay_Offices!$A$2:$FZ$601,397,Sync!$C$10)&amp;"","")&amp;"; "&amp;IFERROR(INDEX(Clay_Offices!$A$2:$FZ$601,397,Sync!$C$9)&amp;"",""))</f>
        <v/>
      </c>
      <c r="K2648" t="inlineStr">
        <is>
          <t>office outreach touch 2</t>
        </is>
      </c>
    </row>
    <row r="2649">
      <c r="A2649" s="17">
        <f>IF(B2649="","",B2649+(13*1000+398)/10000000)</f>
        <v/>
      </c>
      <c r="B2649" s="23">
        <f>IF(AND(IFERROR(N(INDEX(Clay_Offices!$A$2:$FZ$601,398,Sync!$C$12)),0)&gt;0,IFERROR(INDEX(Clay_Offices!$A$2:$FZ$601,398,Sync!$C$5)&amp;"","")&lt;&gt;"",OR(LEFT(IFERROR(INDEX(Clay_Offices!$A$2:$FZ$601,398,Sync!$C$5)&amp;"",""),6)&lt;&gt;"SAMPLE",Config!$B$19="Y")),IFERROR(N(INDEX(Clay_Offices!$A$2:$FZ$601,398,Sync!$C$12)),0),"")</f>
        <v/>
      </c>
      <c r="C2649" s="17">
        <f>IF(B2649="","","office")</f>
        <v/>
      </c>
      <c r="D2649" s="17">
        <f>IF(B2649="","",IFERROR(INDEX(Clay_Offices!$A$2:$FZ$601,398,Sync!$C$5)&amp;"",""))</f>
        <v/>
      </c>
      <c r="E2649" s="17">
        <f>IF(B2649="","",IFERROR(INDEX(Clay_Offices!$A$2:$FZ$601,398,Sync!$C$6)&amp;"",""))</f>
        <v/>
      </c>
      <c r="F2649" s="17">
        <f>IF(B2649="","","outreach_sent")</f>
        <v/>
      </c>
      <c r="G2649" s="17">
        <f>IF(B2649="","","")</f>
        <v/>
      </c>
      <c r="H2649" s="17">
        <f>IF(B2649="","","")</f>
        <v/>
      </c>
      <c r="I2649" s="17">
        <f>IF(B2649="","","")</f>
        <v/>
      </c>
      <c r="J2649" s="17">
        <f>IF(B2649="","","touch_2; "&amp;IFERROR(INDEX(Clay_Offices!$A$2:$FZ$601,398,Sync!$C$10)&amp;"","")&amp;"; "&amp;IFERROR(INDEX(Clay_Offices!$A$2:$FZ$601,398,Sync!$C$9)&amp;"",""))</f>
        <v/>
      </c>
      <c r="K2649" t="inlineStr">
        <is>
          <t>office outreach touch 2</t>
        </is>
      </c>
    </row>
    <row r="2650">
      <c r="A2650" s="17">
        <f>IF(B2650="","",B2650+(13*1000+399)/10000000)</f>
        <v/>
      </c>
      <c r="B2650" s="23">
        <f>IF(AND(IFERROR(N(INDEX(Clay_Offices!$A$2:$FZ$601,399,Sync!$C$12)),0)&gt;0,IFERROR(INDEX(Clay_Offices!$A$2:$FZ$601,399,Sync!$C$5)&amp;"","")&lt;&gt;"",OR(LEFT(IFERROR(INDEX(Clay_Offices!$A$2:$FZ$601,399,Sync!$C$5)&amp;"",""),6)&lt;&gt;"SAMPLE",Config!$B$19="Y")),IFERROR(N(INDEX(Clay_Offices!$A$2:$FZ$601,399,Sync!$C$12)),0),"")</f>
        <v/>
      </c>
      <c r="C2650" s="17">
        <f>IF(B2650="","","office")</f>
        <v/>
      </c>
      <c r="D2650" s="17">
        <f>IF(B2650="","",IFERROR(INDEX(Clay_Offices!$A$2:$FZ$601,399,Sync!$C$5)&amp;"",""))</f>
        <v/>
      </c>
      <c r="E2650" s="17">
        <f>IF(B2650="","",IFERROR(INDEX(Clay_Offices!$A$2:$FZ$601,399,Sync!$C$6)&amp;"",""))</f>
        <v/>
      </c>
      <c r="F2650" s="17">
        <f>IF(B2650="","","outreach_sent")</f>
        <v/>
      </c>
      <c r="G2650" s="17">
        <f>IF(B2650="","","")</f>
        <v/>
      </c>
      <c r="H2650" s="17">
        <f>IF(B2650="","","")</f>
        <v/>
      </c>
      <c r="I2650" s="17">
        <f>IF(B2650="","","")</f>
        <v/>
      </c>
      <c r="J2650" s="17">
        <f>IF(B2650="","","touch_2; "&amp;IFERROR(INDEX(Clay_Offices!$A$2:$FZ$601,399,Sync!$C$10)&amp;"","")&amp;"; "&amp;IFERROR(INDEX(Clay_Offices!$A$2:$FZ$601,399,Sync!$C$9)&amp;"",""))</f>
        <v/>
      </c>
      <c r="K2650" t="inlineStr">
        <is>
          <t>office outreach touch 2</t>
        </is>
      </c>
    </row>
    <row r="2651">
      <c r="A2651" s="17">
        <f>IF(B2651="","",B2651+(13*1000+400)/10000000)</f>
        <v/>
      </c>
      <c r="B2651" s="23">
        <f>IF(AND(IFERROR(N(INDEX(Clay_Offices!$A$2:$FZ$601,400,Sync!$C$12)),0)&gt;0,IFERROR(INDEX(Clay_Offices!$A$2:$FZ$601,400,Sync!$C$5)&amp;"","")&lt;&gt;"",OR(LEFT(IFERROR(INDEX(Clay_Offices!$A$2:$FZ$601,400,Sync!$C$5)&amp;"",""),6)&lt;&gt;"SAMPLE",Config!$B$19="Y")),IFERROR(N(INDEX(Clay_Offices!$A$2:$FZ$601,400,Sync!$C$12)),0),"")</f>
        <v/>
      </c>
      <c r="C2651" s="17">
        <f>IF(B2651="","","office")</f>
        <v/>
      </c>
      <c r="D2651" s="17">
        <f>IF(B2651="","",IFERROR(INDEX(Clay_Offices!$A$2:$FZ$601,400,Sync!$C$5)&amp;"",""))</f>
        <v/>
      </c>
      <c r="E2651" s="17">
        <f>IF(B2651="","",IFERROR(INDEX(Clay_Offices!$A$2:$FZ$601,400,Sync!$C$6)&amp;"",""))</f>
        <v/>
      </c>
      <c r="F2651" s="17">
        <f>IF(B2651="","","outreach_sent")</f>
        <v/>
      </c>
      <c r="G2651" s="17">
        <f>IF(B2651="","","")</f>
        <v/>
      </c>
      <c r="H2651" s="17">
        <f>IF(B2651="","","")</f>
        <v/>
      </c>
      <c r="I2651" s="17">
        <f>IF(B2651="","","")</f>
        <v/>
      </c>
      <c r="J2651" s="17">
        <f>IF(B2651="","","touch_2; "&amp;IFERROR(INDEX(Clay_Offices!$A$2:$FZ$601,400,Sync!$C$10)&amp;"","")&amp;"; "&amp;IFERROR(INDEX(Clay_Offices!$A$2:$FZ$601,400,Sync!$C$9)&amp;"",""))</f>
        <v/>
      </c>
      <c r="K2651" t="inlineStr">
        <is>
          <t>office outreach touch 2</t>
        </is>
      </c>
    </row>
    <row r="2652">
      <c r="A2652" s="17">
        <f>IF(B2652="","",B2652+(13*1000+401)/10000000)</f>
        <v/>
      </c>
      <c r="B2652" s="23">
        <f>IF(AND(IFERROR(N(INDEX(Clay_Offices!$A$2:$FZ$601,401,Sync!$C$12)),0)&gt;0,IFERROR(INDEX(Clay_Offices!$A$2:$FZ$601,401,Sync!$C$5)&amp;"","")&lt;&gt;"",OR(LEFT(IFERROR(INDEX(Clay_Offices!$A$2:$FZ$601,401,Sync!$C$5)&amp;"",""),6)&lt;&gt;"SAMPLE",Config!$B$19="Y")),IFERROR(N(INDEX(Clay_Offices!$A$2:$FZ$601,401,Sync!$C$12)),0),"")</f>
        <v/>
      </c>
      <c r="C2652" s="17">
        <f>IF(B2652="","","office")</f>
        <v/>
      </c>
      <c r="D2652" s="17">
        <f>IF(B2652="","",IFERROR(INDEX(Clay_Offices!$A$2:$FZ$601,401,Sync!$C$5)&amp;"",""))</f>
        <v/>
      </c>
      <c r="E2652" s="17">
        <f>IF(B2652="","",IFERROR(INDEX(Clay_Offices!$A$2:$FZ$601,401,Sync!$C$6)&amp;"",""))</f>
        <v/>
      </c>
      <c r="F2652" s="17">
        <f>IF(B2652="","","outreach_sent")</f>
        <v/>
      </c>
      <c r="G2652" s="17">
        <f>IF(B2652="","","")</f>
        <v/>
      </c>
      <c r="H2652" s="17">
        <f>IF(B2652="","","")</f>
        <v/>
      </c>
      <c r="I2652" s="17">
        <f>IF(B2652="","","")</f>
        <v/>
      </c>
      <c r="J2652" s="17">
        <f>IF(B2652="","","touch_2; "&amp;IFERROR(INDEX(Clay_Offices!$A$2:$FZ$601,401,Sync!$C$10)&amp;"","")&amp;"; "&amp;IFERROR(INDEX(Clay_Offices!$A$2:$FZ$601,401,Sync!$C$9)&amp;"",""))</f>
        <v/>
      </c>
      <c r="K2652" t="inlineStr">
        <is>
          <t>office outreach touch 2</t>
        </is>
      </c>
    </row>
    <row r="2653">
      <c r="A2653" s="17">
        <f>IF(B2653="","",B2653+(13*1000+402)/10000000)</f>
        <v/>
      </c>
      <c r="B2653" s="23">
        <f>IF(AND(IFERROR(N(INDEX(Clay_Offices!$A$2:$FZ$601,402,Sync!$C$12)),0)&gt;0,IFERROR(INDEX(Clay_Offices!$A$2:$FZ$601,402,Sync!$C$5)&amp;"","")&lt;&gt;"",OR(LEFT(IFERROR(INDEX(Clay_Offices!$A$2:$FZ$601,402,Sync!$C$5)&amp;"",""),6)&lt;&gt;"SAMPLE",Config!$B$19="Y")),IFERROR(N(INDEX(Clay_Offices!$A$2:$FZ$601,402,Sync!$C$12)),0),"")</f>
        <v/>
      </c>
      <c r="C2653" s="17">
        <f>IF(B2653="","","office")</f>
        <v/>
      </c>
      <c r="D2653" s="17">
        <f>IF(B2653="","",IFERROR(INDEX(Clay_Offices!$A$2:$FZ$601,402,Sync!$C$5)&amp;"",""))</f>
        <v/>
      </c>
      <c r="E2653" s="17">
        <f>IF(B2653="","",IFERROR(INDEX(Clay_Offices!$A$2:$FZ$601,402,Sync!$C$6)&amp;"",""))</f>
        <v/>
      </c>
      <c r="F2653" s="17">
        <f>IF(B2653="","","outreach_sent")</f>
        <v/>
      </c>
      <c r="G2653" s="17">
        <f>IF(B2653="","","")</f>
        <v/>
      </c>
      <c r="H2653" s="17">
        <f>IF(B2653="","","")</f>
        <v/>
      </c>
      <c r="I2653" s="17">
        <f>IF(B2653="","","")</f>
        <v/>
      </c>
      <c r="J2653" s="17">
        <f>IF(B2653="","","touch_2; "&amp;IFERROR(INDEX(Clay_Offices!$A$2:$FZ$601,402,Sync!$C$10)&amp;"","")&amp;"; "&amp;IFERROR(INDEX(Clay_Offices!$A$2:$FZ$601,402,Sync!$C$9)&amp;"",""))</f>
        <v/>
      </c>
      <c r="K2653" t="inlineStr">
        <is>
          <t>office outreach touch 2</t>
        </is>
      </c>
    </row>
    <row r="2654">
      <c r="A2654" s="17">
        <f>IF(B2654="","",B2654+(13*1000+403)/10000000)</f>
        <v/>
      </c>
      <c r="B2654" s="23">
        <f>IF(AND(IFERROR(N(INDEX(Clay_Offices!$A$2:$FZ$601,403,Sync!$C$12)),0)&gt;0,IFERROR(INDEX(Clay_Offices!$A$2:$FZ$601,403,Sync!$C$5)&amp;"","")&lt;&gt;"",OR(LEFT(IFERROR(INDEX(Clay_Offices!$A$2:$FZ$601,403,Sync!$C$5)&amp;"",""),6)&lt;&gt;"SAMPLE",Config!$B$19="Y")),IFERROR(N(INDEX(Clay_Offices!$A$2:$FZ$601,403,Sync!$C$12)),0),"")</f>
        <v/>
      </c>
      <c r="C2654" s="17">
        <f>IF(B2654="","","office")</f>
        <v/>
      </c>
      <c r="D2654" s="17">
        <f>IF(B2654="","",IFERROR(INDEX(Clay_Offices!$A$2:$FZ$601,403,Sync!$C$5)&amp;"",""))</f>
        <v/>
      </c>
      <c r="E2654" s="17">
        <f>IF(B2654="","",IFERROR(INDEX(Clay_Offices!$A$2:$FZ$601,403,Sync!$C$6)&amp;"",""))</f>
        <v/>
      </c>
      <c r="F2654" s="17">
        <f>IF(B2654="","","outreach_sent")</f>
        <v/>
      </c>
      <c r="G2654" s="17">
        <f>IF(B2654="","","")</f>
        <v/>
      </c>
      <c r="H2654" s="17">
        <f>IF(B2654="","","")</f>
        <v/>
      </c>
      <c r="I2654" s="17">
        <f>IF(B2654="","","")</f>
        <v/>
      </c>
      <c r="J2654" s="17">
        <f>IF(B2654="","","touch_2; "&amp;IFERROR(INDEX(Clay_Offices!$A$2:$FZ$601,403,Sync!$C$10)&amp;"","")&amp;"; "&amp;IFERROR(INDEX(Clay_Offices!$A$2:$FZ$601,403,Sync!$C$9)&amp;"",""))</f>
        <v/>
      </c>
      <c r="K2654" t="inlineStr">
        <is>
          <t>office outreach touch 2</t>
        </is>
      </c>
    </row>
    <row r="2655">
      <c r="A2655" s="17">
        <f>IF(B2655="","",B2655+(13*1000+404)/10000000)</f>
        <v/>
      </c>
      <c r="B2655" s="23">
        <f>IF(AND(IFERROR(N(INDEX(Clay_Offices!$A$2:$FZ$601,404,Sync!$C$12)),0)&gt;0,IFERROR(INDEX(Clay_Offices!$A$2:$FZ$601,404,Sync!$C$5)&amp;"","")&lt;&gt;"",OR(LEFT(IFERROR(INDEX(Clay_Offices!$A$2:$FZ$601,404,Sync!$C$5)&amp;"",""),6)&lt;&gt;"SAMPLE",Config!$B$19="Y")),IFERROR(N(INDEX(Clay_Offices!$A$2:$FZ$601,404,Sync!$C$12)),0),"")</f>
        <v/>
      </c>
      <c r="C2655" s="17">
        <f>IF(B2655="","","office")</f>
        <v/>
      </c>
      <c r="D2655" s="17">
        <f>IF(B2655="","",IFERROR(INDEX(Clay_Offices!$A$2:$FZ$601,404,Sync!$C$5)&amp;"",""))</f>
        <v/>
      </c>
      <c r="E2655" s="17">
        <f>IF(B2655="","",IFERROR(INDEX(Clay_Offices!$A$2:$FZ$601,404,Sync!$C$6)&amp;"",""))</f>
        <v/>
      </c>
      <c r="F2655" s="17">
        <f>IF(B2655="","","outreach_sent")</f>
        <v/>
      </c>
      <c r="G2655" s="17">
        <f>IF(B2655="","","")</f>
        <v/>
      </c>
      <c r="H2655" s="17">
        <f>IF(B2655="","","")</f>
        <v/>
      </c>
      <c r="I2655" s="17">
        <f>IF(B2655="","","")</f>
        <v/>
      </c>
      <c r="J2655" s="17">
        <f>IF(B2655="","","touch_2; "&amp;IFERROR(INDEX(Clay_Offices!$A$2:$FZ$601,404,Sync!$C$10)&amp;"","")&amp;"; "&amp;IFERROR(INDEX(Clay_Offices!$A$2:$FZ$601,404,Sync!$C$9)&amp;"",""))</f>
        <v/>
      </c>
      <c r="K2655" t="inlineStr">
        <is>
          <t>office outreach touch 2</t>
        </is>
      </c>
    </row>
    <row r="2656">
      <c r="A2656" s="17">
        <f>IF(B2656="","",B2656+(13*1000+405)/10000000)</f>
        <v/>
      </c>
      <c r="B2656" s="23">
        <f>IF(AND(IFERROR(N(INDEX(Clay_Offices!$A$2:$FZ$601,405,Sync!$C$12)),0)&gt;0,IFERROR(INDEX(Clay_Offices!$A$2:$FZ$601,405,Sync!$C$5)&amp;"","")&lt;&gt;"",OR(LEFT(IFERROR(INDEX(Clay_Offices!$A$2:$FZ$601,405,Sync!$C$5)&amp;"",""),6)&lt;&gt;"SAMPLE",Config!$B$19="Y")),IFERROR(N(INDEX(Clay_Offices!$A$2:$FZ$601,405,Sync!$C$12)),0),"")</f>
        <v/>
      </c>
      <c r="C2656" s="17">
        <f>IF(B2656="","","office")</f>
        <v/>
      </c>
      <c r="D2656" s="17">
        <f>IF(B2656="","",IFERROR(INDEX(Clay_Offices!$A$2:$FZ$601,405,Sync!$C$5)&amp;"",""))</f>
        <v/>
      </c>
      <c r="E2656" s="17">
        <f>IF(B2656="","",IFERROR(INDEX(Clay_Offices!$A$2:$FZ$601,405,Sync!$C$6)&amp;"",""))</f>
        <v/>
      </c>
      <c r="F2656" s="17">
        <f>IF(B2656="","","outreach_sent")</f>
        <v/>
      </c>
      <c r="G2656" s="17">
        <f>IF(B2656="","","")</f>
        <v/>
      </c>
      <c r="H2656" s="17">
        <f>IF(B2656="","","")</f>
        <v/>
      </c>
      <c r="I2656" s="17">
        <f>IF(B2656="","","")</f>
        <v/>
      </c>
      <c r="J2656" s="17">
        <f>IF(B2656="","","touch_2; "&amp;IFERROR(INDEX(Clay_Offices!$A$2:$FZ$601,405,Sync!$C$10)&amp;"","")&amp;"; "&amp;IFERROR(INDEX(Clay_Offices!$A$2:$FZ$601,405,Sync!$C$9)&amp;"",""))</f>
        <v/>
      </c>
      <c r="K2656" t="inlineStr">
        <is>
          <t>office outreach touch 2</t>
        </is>
      </c>
    </row>
    <row r="2657">
      <c r="A2657" s="17">
        <f>IF(B2657="","",B2657+(13*1000+406)/10000000)</f>
        <v/>
      </c>
      <c r="B2657" s="23">
        <f>IF(AND(IFERROR(N(INDEX(Clay_Offices!$A$2:$FZ$601,406,Sync!$C$12)),0)&gt;0,IFERROR(INDEX(Clay_Offices!$A$2:$FZ$601,406,Sync!$C$5)&amp;"","")&lt;&gt;"",OR(LEFT(IFERROR(INDEX(Clay_Offices!$A$2:$FZ$601,406,Sync!$C$5)&amp;"",""),6)&lt;&gt;"SAMPLE",Config!$B$19="Y")),IFERROR(N(INDEX(Clay_Offices!$A$2:$FZ$601,406,Sync!$C$12)),0),"")</f>
        <v/>
      </c>
      <c r="C2657" s="17">
        <f>IF(B2657="","","office")</f>
        <v/>
      </c>
      <c r="D2657" s="17">
        <f>IF(B2657="","",IFERROR(INDEX(Clay_Offices!$A$2:$FZ$601,406,Sync!$C$5)&amp;"",""))</f>
        <v/>
      </c>
      <c r="E2657" s="17">
        <f>IF(B2657="","",IFERROR(INDEX(Clay_Offices!$A$2:$FZ$601,406,Sync!$C$6)&amp;"",""))</f>
        <v/>
      </c>
      <c r="F2657" s="17">
        <f>IF(B2657="","","outreach_sent")</f>
        <v/>
      </c>
      <c r="G2657" s="17">
        <f>IF(B2657="","","")</f>
        <v/>
      </c>
      <c r="H2657" s="17">
        <f>IF(B2657="","","")</f>
        <v/>
      </c>
      <c r="I2657" s="17">
        <f>IF(B2657="","","")</f>
        <v/>
      </c>
      <c r="J2657" s="17">
        <f>IF(B2657="","","touch_2; "&amp;IFERROR(INDEX(Clay_Offices!$A$2:$FZ$601,406,Sync!$C$10)&amp;"","")&amp;"; "&amp;IFERROR(INDEX(Clay_Offices!$A$2:$FZ$601,406,Sync!$C$9)&amp;"",""))</f>
        <v/>
      </c>
      <c r="K2657" t="inlineStr">
        <is>
          <t>office outreach touch 2</t>
        </is>
      </c>
    </row>
    <row r="2658">
      <c r="A2658" s="17">
        <f>IF(B2658="","",B2658+(13*1000+407)/10000000)</f>
        <v/>
      </c>
      <c r="B2658" s="23">
        <f>IF(AND(IFERROR(N(INDEX(Clay_Offices!$A$2:$FZ$601,407,Sync!$C$12)),0)&gt;0,IFERROR(INDEX(Clay_Offices!$A$2:$FZ$601,407,Sync!$C$5)&amp;"","")&lt;&gt;"",OR(LEFT(IFERROR(INDEX(Clay_Offices!$A$2:$FZ$601,407,Sync!$C$5)&amp;"",""),6)&lt;&gt;"SAMPLE",Config!$B$19="Y")),IFERROR(N(INDEX(Clay_Offices!$A$2:$FZ$601,407,Sync!$C$12)),0),"")</f>
        <v/>
      </c>
      <c r="C2658" s="17">
        <f>IF(B2658="","","office")</f>
        <v/>
      </c>
      <c r="D2658" s="17">
        <f>IF(B2658="","",IFERROR(INDEX(Clay_Offices!$A$2:$FZ$601,407,Sync!$C$5)&amp;"",""))</f>
        <v/>
      </c>
      <c r="E2658" s="17">
        <f>IF(B2658="","",IFERROR(INDEX(Clay_Offices!$A$2:$FZ$601,407,Sync!$C$6)&amp;"",""))</f>
        <v/>
      </c>
      <c r="F2658" s="17">
        <f>IF(B2658="","","outreach_sent")</f>
        <v/>
      </c>
      <c r="G2658" s="17">
        <f>IF(B2658="","","")</f>
        <v/>
      </c>
      <c r="H2658" s="17">
        <f>IF(B2658="","","")</f>
        <v/>
      </c>
      <c r="I2658" s="17">
        <f>IF(B2658="","","")</f>
        <v/>
      </c>
      <c r="J2658" s="17">
        <f>IF(B2658="","","touch_2; "&amp;IFERROR(INDEX(Clay_Offices!$A$2:$FZ$601,407,Sync!$C$10)&amp;"","")&amp;"; "&amp;IFERROR(INDEX(Clay_Offices!$A$2:$FZ$601,407,Sync!$C$9)&amp;"",""))</f>
        <v/>
      </c>
      <c r="K2658" t="inlineStr">
        <is>
          <t>office outreach touch 2</t>
        </is>
      </c>
    </row>
    <row r="2659">
      <c r="A2659" s="17">
        <f>IF(B2659="","",B2659+(13*1000+408)/10000000)</f>
        <v/>
      </c>
      <c r="B2659" s="23">
        <f>IF(AND(IFERROR(N(INDEX(Clay_Offices!$A$2:$FZ$601,408,Sync!$C$12)),0)&gt;0,IFERROR(INDEX(Clay_Offices!$A$2:$FZ$601,408,Sync!$C$5)&amp;"","")&lt;&gt;"",OR(LEFT(IFERROR(INDEX(Clay_Offices!$A$2:$FZ$601,408,Sync!$C$5)&amp;"",""),6)&lt;&gt;"SAMPLE",Config!$B$19="Y")),IFERROR(N(INDEX(Clay_Offices!$A$2:$FZ$601,408,Sync!$C$12)),0),"")</f>
        <v/>
      </c>
      <c r="C2659" s="17">
        <f>IF(B2659="","","office")</f>
        <v/>
      </c>
      <c r="D2659" s="17">
        <f>IF(B2659="","",IFERROR(INDEX(Clay_Offices!$A$2:$FZ$601,408,Sync!$C$5)&amp;"",""))</f>
        <v/>
      </c>
      <c r="E2659" s="17">
        <f>IF(B2659="","",IFERROR(INDEX(Clay_Offices!$A$2:$FZ$601,408,Sync!$C$6)&amp;"",""))</f>
        <v/>
      </c>
      <c r="F2659" s="17">
        <f>IF(B2659="","","outreach_sent")</f>
        <v/>
      </c>
      <c r="G2659" s="17">
        <f>IF(B2659="","","")</f>
        <v/>
      </c>
      <c r="H2659" s="17">
        <f>IF(B2659="","","")</f>
        <v/>
      </c>
      <c r="I2659" s="17">
        <f>IF(B2659="","","")</f>
        <v/>
      </c>
      <c r="J2659" s="17">
        <f>IF(B2659="","","touch_2; "&amp;IFERROR(INDEX(Clay_Offices!$A$2:$FZ$601,408,Sync!$C$10)&amp;"","")&amp;"; "&amp;IFERROR(INDEX(Clay_Offices!$A$2:$FZ$601,408,Sync!$C$9)&amp;"",""))</f>
        <v/>
      </c>
      <c r="K2659" t="inlineStr">
        <is>
          <t>office outreach touch 2</t>
        </is>
      </c>
    </row>
    <row r="2660">
      <c r="A2660" s="17">
        <f>IF(B2660="","",B2660+(13*1000+409)/10000000)</f>
        <v/>
      </c>
      <c r="B2660" s="23">
        <f>IF(AND(IFERROR(N(INDEX(Clay_Offices!$A$2:$FZ$601,409,Sync!$C$12)),0)&gt;0,IFERROR(INDEX(Clay_Offices!$A$2:$FZ$601,409,Sync!$C$5)&amp;"","")&lt;&gt;"",OR(LEFT(IFERROR(INDEX(Clay_Offices!$A$2:$FZ$601,409,Sync!$C$5)&amp;"",""),6)&lt;&gt;"SAMPLE",Config!$B$19="Y")),IFERROR(N(INDEX(Clay_Offices!$A$2:$FZ$601,409,Sync!$C$12)),0),"")</f>
        <v/>
      </c>
      <c r="C2660" s="17">
        <f>IF(B2660="","","office")</f>
        <v/>
      </c>
      <c r="D2660" s="17">
        <f>IF(B2660="","",IFERROR(INDEX(Clay_Offices!$A$2:$FZ$601,409,Sync!$C$5)&amp;"",""))</f>
        <v/>
      </c>
      <c r="E2660" s="17">
        <f>IF(B2660="","",IFERROR(INDEX(Clay_Offices!$A$2:$FZ$601,409,Sync!$C$6)&amp;"",""))</f>
        <v/>
      </c>
      <c r="F2660" s="17">
        <f>IF(B2660="","","outreach_sent")</f>
        <v/>
      </c>
      <c r="G2660" s="17">
        <f>IF(B2660="","","")</f>
        <v/>
      </c>
      <c r="H2660" s="17">
        <f>IF(B2660="","","")</f>
        <v/>
      </c>
      <c r="I2660" s="17">
        <f>IF(B2660="","","")</f>
        <v/>
      </c>
      <c r="J2660" s="17">
        <f>IF(B2660="","","touch_2; "&amp;IFERROR(INDEX(Clay_Offices!$A$2:$FZ$601,409,Sync!$C$10)&amp;"","")&amp;"; "&amp;IFERROR(INDEX(Clay_Offices!$A$2:$FZ$601,409,Sync!$C$9)&amp;"",""))</f>
        <v/>
      </c>
      <c r="K2660" t="inlineStr">
        <is>
          <t>office outreach touch 2</t>
        </is>
      </c>
    </row>
    <row r="2661">
      <c r="A2661" s="17">
        <f>IF(B2661="","",B2661+(13*1000+410)/10000000)</f>
        <v/>
      </c>
      <c r="B2661" s="23">
        <f>IF(AND(IFERROR(N(INDEX(Clay_Offices!$A$2:$FZ$601,410,Sync!$C$12)),0)&gt;0,IFERROR(INDEX(Clay_Offices!$A$2:$FZ$601,410,Sync!$C$5)&amp;"","")&lt;&gt;"",OR(LEFT(IFERROR(INDEX(Clay_Offices!$A$2:$FZ$601,410,Sync!$C$5)&amp;"",""),6)&lt;&gt;"SAMPLE",Config!$B$19="Y")),IFERROR(N(INDEX(Clay_Offices!$A$2:$FZ$601,410,Sync!$C$12)),0),"")</f>
        <v/>
      </c>
      <c r="C2661" s="17">
        <f>IF(B2661="","","office")</f>
        <v/>
      </c>
      <c r="D2661" s="17">
        <f>IF(B2661="","",IFERROR(INDEX(Clay_Offices!$A$2:$FZ$601,410,Sync!$C$5)&amp;"",""))</f>
        <v/>
      </c>
      <c r="E2661" s="17">
        <f>IF(B2661="","",IFERROR(INDEX(Clay_Offices!$A$2:$FZ$601,410,Sync!$C$6)&amp;"",""))</f>
        <v/>
      </c>
      <c r="F2661" s="17">
        <f>IF(B2661="","","outreach_sent")</f>
        <v/>
      </c>
      <c r="G2661" s="17">
        <f>IF(B2661="","","")</f>
        <v/>
      </c>
      <c r="H2661" s="17">
        <f>IF(B2661="","","")</f>
        <v/>
      </c>
      <c r="I2661" s="17">
        <f>IF(B2661="","","")</f>
        <v/>
      </c>
      <c r="J2661" s="17">
        <f>IF(B2661="","","touch_2; "&amp;IFERROR(INDEX(Clay_Offices!$A$2:$FZ$601,410,Sync!$C$10)&amp;"","")&amp;"; "&amp;IFERROR(INDEX(Clay_Offices!$A$2:$FZ$601,410,Sync!$C$9)&amp;"",""))</f>
        <v/>
      </c>
      <c r="K2661" t="inlineStr">
        <is>
          <t>office outreach touch 2</t>
        </is>
      </c>
    </row>
    <row r="2662">
      <c r="A2662" s="17">
        <f>IF(B2662="","",B2662+(13*1000+411)/10000000)</f>
        <v/>
      </c>
      <c r="B2662" s="23">
        <f>IF(AND(IFERROR(N(INDEX(Clay_Offices!$A$2:$FZ$601,411,Sync!$C$12)),0)&gt;0,IFERROR(INDEX(Clay_Offices!$A$2:$FZ$601,411,Sync!$C$5)&amp;"","")&lt;&gt;"",OR(LEFT(IFERROR(INDEX(Clay_Offices!$A$2:$FZ$601,411,Sync!$C$5)&amp;"",""),6)&lt;&gt;"SAMPLE",Config!$B$19="Y")),IFERROR(N(INDEX(Clay_Offices!$A$2:$FZ$601,411,Sync!$C$12)),0),"")</f>
        <v/>
      </c>
      <c r="C2662" s="17">
        <f>IF(B2662="","","office")</f>
        <v/>
      </c>
      <c r="D2662" s="17">
        <f>IF(B2662="","",IFERROR(INDEX(Clay_Offices!$A$2:$FZ$601,411,Sync!$C$5)&amp;"",""))</f>
        <v/>
      </c>
      <c r="E2662" s="17">
        <f>IF(B2662="","",IFERROR(INDEX(Clay_Offices!$A$2:$FZ$601,411,Sync!$C$6)&amp;"",""))</f>
        <v/>
      </c>
      <c r="F2662" s="17">
        <f>IF(B2662="","","outreach_sent")</f>
        <v/>
      </c>
      <c r="G2662" s="17">
        <f>IF(B2662="","","")</f>
        <v/>
      </c>
      <c r="H2662" s="17">
        <f>IF(B2662="","","")</f>
        <v/>
      </c>
      <c r="I2662" s="17">
        <f>IF(B2662="","","")</f>
        <v/>
      </c>
      <c r="J2662" s="17">
        <f>IF(B2662="","","touch_2; "&amp;IFERROR(INDEX(Clay_Offices!$A$2:$FZ$601,411,Sync!$C$10)&amp;"","")&amp;"; "&amp;IFERROR(INDEX(Clay_Offices!$A$2:$FZ$601,411,Sync!$C$9)&amp;"",""))</f>
        <v/>
      </c>
      <c r="K2662" t="inlineStr">
        <is>
          <t>office outreach touch 2</t>
        </is>
      </c>
    </row>
    <row r="2663">
      <c r="A2663" s="17">
        <f>IF(B2663="","",B2663+(13*1000+412)/10000000)</f>
        <v/>
      </c>
      <c r="B2663" s="23">
        <f>IF(AND(IFERROR(N(INDEX(Clay_Offices!$A$2:$FZ$601,412,Sync!$C$12)),0)&gt;0,IFERROR(INDEX(Clay_Offices!$A$2:$FZ$601,412,Sync!$C$5)&amp;"","")&lt;&gt;"",OR(LEFT(IFERROR(INDEX(Clay_Offices!$A$2:$FZ$601,412,Sync!$C$5)&amp;"",""),6)&lt;&gt;"SAMPLE",Config!$B$19="Y")),IFERROR(N(INDEX(Clay_Offices!$A$2:$FZ$601,412,Sync!$C$12)),0),"")</f>
        <v/>
      </c>
      <c r="C2663" s="17">
        <f>IF(B2663="","","office")</f>
        <v/>
      </c>
      <c r="D2663" s="17">
        <f>IF(B2663="","",IFERROR(INDEX(Clay_Offices!$A$2:$FZ$601,412,Sync!$C$5)&amp;"",""))</f>
        <v/>
      </c>
      <c r="E2663" s="17">
        <f>IF(B2663="","",IFERROR(INDEX(Clay_Offices!$A$2:$FZ$601,412,Sync!$C$6)&amp;"",""))</f>
        <v/>
      </c>
      <c r="F2663" s="17">
        <f>IF(B2663="","","outreach_sent")</f>
        <v/>
      </c>
      <c r="G2663" s="17">
        <f>IF(B2663="","","")</f>
        <v/>
      </c>
      <c r="H2663" s="17">
        <f>IF(B2663="","","")</f>
        <v/>
      </c>
      <c r="I2663" s="17">
        <f>IF(B2663="","","")</f>
        <v/>
      </c>
      <c r="J2663" s="17">
        <f>IF(B2663="","","touch_2; "&amp;IFERROR(INDEX(Clay_Offices!$A$2:$FZ$601,412,Sync!$C$10)&amp;"","")&amp;"; "&amp;IFERROR(INDEX(Clay_Offices!$A$2:$FZ$601,412,Sync!$C$9)&amp;"",""))</f>
        <v/>
      </c>
      <c r="K2663" t="inlineStr">
        <is>
          <t>office outreach touch 2</t>
        </is>
      </c>
    </row>
    <row r="2664">
      <c r="A2664" s="17">
        <f>IF(B2664="","",B2664+(13*1000+413)/10000000)</f>
        <v/>
      </c>
      <c r="B2664" s="23">
        <f>IF(AND(IFERROR(N(INDEX(Clay_Offices!$A$2:$FZ$601,413,Sync!$C$12)),0)&gt;0,IFERROR(INDEX(Clay_Offices!$A$2:$FZ$601,413,Sync!$C$5)&amp;"","")&lt;&gt;"",OR(LEFT(IFERROR(INDEX(Clay_Offices!$A$2:$FZ$601,413,Sync!$C$5)&amp;"",""),6)&lt;&gt;"SAMPLE",Config!$B$19="Y")),IFERROR(N(INDEX(Clay_Offices!$A$2:$FZ$601,413,Sync!$C$12)),0),"")</f>
        <v/>
      </c>
      <c r="C2664" s="17">
        <f>IF(B2664="","","office")</f>
        <v/>
      </c>
      <c r="D2664" s="17">
        <f>IF(B2664="","",IFERROR(INDEX(Clay_Offices!$A$2:$FZ$601,413,Sync!$C$5)&amp;"",""))</f>
        <v/>
      </c>
      <c r="E2664" s="17">
        <f>IF(B2664="","",IFERROR(INDEX(Clay_Offices!$A$2:$FZ$601,413,Sync!$C$6)&amp;"",""))</f>
        <v/>
      </c>
      <c r="F2664" s="17">
        <f>IF(B2664="","","outreach_sent")</f>
        <v/>
      </c>
      <c r="G2664" s="17">
        <f>IF(B2664="","","")</f>
        <v/>
      </c>
      <c r="H2664" s="17">
        <f>IF(B2664="","","")</f>
        <v/>
      </c>
      <c r="I2664" s="17">
        <f>IF(B2664="","","")</f>
        <v/>
      </c>
      <c r="J2664" s="17">
        <f>IF(B2664="","","touch_2; "&amp;IFERROR(INDEX(Clay_Offices!$A$2:$FZ$601,413,Sync!$C$10)&amp;"","")&amp;"; "&amp;IFERROR(INDEX(Clay_Offices!$A$2:$FZ$601,413,Sync!$C$9)&amp;"",""))</f>
        <v/>
      </c>
      <c r="K2664" t="inlineStr">
        <is>
          <t>office outreach touch 2</t>
        </is>
      </c>
    </row>
    <row r="2665">
      <c r="A2665" s="17">
        <f>IF(B2665="","",B2665+(13*1000+414)/10000000)</f>
        <v/>
      </c>
      <c r="B2665" s="23">
        <f>IF(AND(IFERROR(N(INDEX(Clay_Offices!$A$2:$FZ$601,414,Sync!$C$12)),0)&gt;0,IFERROR(INDEX(Clay_Offices!$A$2:$FZ$601,414,Sync!$C$5)&amp;"","")&lt;&gt;"",OR(LEFT(IFERROR(INDEX(Clay_Offices!$A$2:$FZ$601,414,Sync!$C$5)&amp;"",""),6)&lt;&gt;"SAMPLE",Config!$B$19="Y")),IFERROR(N(INDEX(Clay_Offices!$A$2:$FZ$601,414,Sync!$C$12)),0),"")</f>
        <v/>
      </c>
      <c r="C2665" s="17">
        <f>IF(B2665="","","office")</f>
        <v/>
      </c>
      <c r="D2665" s="17">
        <f>IF(B2665="","",IFERROR(INDEX(Clay_Offices!$A$2:$FZ$601,414,Sync!$C$5)&amp;"",""))</f>
        <v/>
      </c>
      <c r="E2665" s="17">
        <f>IF(B2665="","",IFERROR(INDEX(Clay_Offices!$A$2:$FZ$601,414,Sync!$C$6)&amp;"",""))</f>
        <v/>
      </c>
      <c r="F2665" s="17">
        <f>IF(B2665="","","outreach_sent")</f>
        <v/>
      </c>
      <c r="G2665" s="17">
        <f>IF(B2665="","","")</f>
        <v/>
      </c>
      <c r="H2665" s="17">
        <f>IF(B2665="","","")</f>
        <v/>
      </c>
      <c r="I2665" s="17">
        <f>IF(B2665="","","")</f>
        <v/>
      </c>
      <c r="J2665" s="17">
        <f>IF(B2665="","","touch_2; "&amp;IFERROR(INDEX(Clay_Offices!$A$2:$FZ$601,414,Sync!$C$10)&amp;"","")&amp;"; "&amp;IFERROR(INDEX(Clay_Offices!$A$2:$FZ$601,414,Sync!$C$9)&amp;"",""))</f>
        <v/>
      </c>
      <c r="K2665" t="inlineStr">
        <is>
          <t>office outreach touch 2</t>
        </is>
      </c>
    </row>
    <row r="2666">
      <c r="A2666" s="17">
        <f>IF(B2666="","",B2666+(13*1000+415)/10000000)</f>
        <v/>
      </c>
      <c r="B2666" s="23">
        <f>IF(AND(IFERROR(N(INDEX(Clay_Offices!$A$2:$FZ$601,415,Sync!$C$12)),0)&gt;0,IFERROR(INDEX(Clay_Offices!$A$2:$FZ$601,415,Sync!$C$5)&amp;"","")&lt;&gt;"",OR(LEFT(IFERROR(INDEX(Clay_Offices!$A$2:$FZ$601,415,Sync!$C$5)&amp;"",""),6)&lt;&gt;"SAMPLE",Config!$B$19="Y")),IFERROR(N(INDEX(Clay_Offices!$A$2:$FZ$601,415,Sync!$C$12)),0),"")</f>
        <v/>
      </c>
      <c r="C2666" s="17">
        <f>IF(B2666="","","office")</f>
        <v/>
      </c>
      <c r="D2666" s="17">
        <f>IF(B2666="","",IFERROR(INDEX(Clay_Offices!$A$2:$FZ$601,415,Sync!$C$5)&amp;"",""))</f>
        <v/>
      </c>
      <c r="E2666" s="17">
        <f>IF(B2666="","",IFERROR(INDEX(Clay_Offices!$A$2:$FZ$601,415,Sync!$C$6)&amp;"",""))</f>
        <v/>
      </c>
      <c r="F2666" s="17">
        <f>IF(B2666="","","outreach_sent")</f>
        <v/>
      </c>
      <c r="G2666" s="17">
        <f>IF(B2666="","","")</f>
        <v/>
      </c>
      <c r="H2666" s="17">
        <f>IF(B2666="","","")</f>
        <v/>
      </c>
      <c r="I2666" s="17">
        <f>IF(B2666="","","")</f>
        <v/>
      </c>
      <c r="J2666" s="17">
        <f>IF(B2666="","","touch_2; "&amp;IFERROR(INDEX(Clay_Offices!$A$2:$FZ$601,415,Sync!$C$10)&amp;"","")&amp;"; "&amp;IFERROR(INDEX(Clay_Offices!$A$2:$FZ$601,415,Sync!$C$9)&amp;"",""))</f>
        <v/>
      </c>
      <c r="K2666" t="inlineStr">
        <is>
          <t>office outreach touch 2</t>
        </is>
      </c>
    </row>
    <row r="2667">
      <c r="A2667" s="17">
        <f>IF(B2667="","",B2667+(13*1000+416)/10000000)</f>
        <v/>
      </c>
      <c r="B2667" s="23">
        <f>IF(AND(IFERROR(N(INDEX(Clay_Offices!$A$2:$FZ$601,416,Sync!$C$12)),0)&gt;0,IFERROR(INDEX(Clay_Offices!$A$2:$FZ$601,416,Sync!$C$5)&amp;"","")&lt;&gt;"",OR(LEFT(IFERROR(INDEX(Clay_Offices!$A$2:$FZ$601,416,Sync!$C$5)&amp;"",""),6)&lt;&gt;"SAMPLE",Config!$B$19="Y")),IFERROR(N(INDEX(Clay_Offices!$A$2:$FZ$601,416,Sync!$C$12)),0),"")</f>
        <v/>
      </c>
      <c r="C2667" s="17">
        <f>IF(B2667="","","office")</f>
        <v/>
      </c>
      <c r="D2667" s="17">
        <f>IF(B2667="","",IFERROR(INDEX(Clay_Offices!$A$2:$FZ$601,416,Sync!$C$5)&amp;"",""))</f>
        <v/>
      </c>
      <c r="E2667" s="17">
        <f>IF(B2667="","",IFERROR(INDEX(Clay_Offices!$A$2:$FZ$601,416,Sync!$C$6)&amp;"",""))</f>
        <v/>
      </c>
      <c r="F2667" s="17">
        <f>IF(B2667="","","outreach_sent")</f>
        <v/>
      </c>
      <c r="G2667" s="17">
        <f>IF(B2667="","","")</f>
        <v/>
      </c>
      <c r="H2667" s="17">
        <f>IF(B2667="","","")</f>
        <v/>
      </c>
      <c r="I2667" s="17">
        <f>IF(B2667="","","")</f>
        <v/>
      </c>
      <c r="J2667" s="17">
        <f>IF(B2667="","","touch_2; "&amp;IFERROR(INDEX(Clay_Offices!$A$2:$FZ$601,416,Sync!$C$10)&amp;"","")&amp;"; "&amp;IFERROR(INDEX(Clay_Offices!$A$2:$FZ$601,416,Sync!$C$9)&amp;"",""))</f>
        <v/>
      </c>
      <c r="K2667" t="inlineStr">
        <is>
          <t>office outreach touch 2</t>
        </is>
      </c>
    </row>
    <row r="2668">
      <c r="A2668" s="17">
        <f>IF(B2668="","",B2668+(13*1000+417)/10000000)</f>
        <v/>
      </c>
      <c r="B2668" s="23">
        <f>IF(AND(IFERROR(N(INDEX(Clay_Offices!$A$2:$FZ$601,417,Sync!$C$12)),0)&gt;0,IFERROR(INDEX(Clay_Offices!$A$2:$FZ$601,417,Sync!$C$5)&amp;"","")&lt;&gt;"",OR(LEFT(IFERROR(INDEX(Clay_Offices!$A$2:$FZ$601,417,Sync!$C$5)&amp;"",""),6)&lt;&gt;"SAMPLE",Config!$B$19="Y")),IFERROR(N(INDEX(Clay_Offices!$A$2:$FZ$601,417,Sync!$C$12)),0),"")</f>
        <v/>
      </c>
      <c r="C2668" s="17">
        <f>IF(B2668="","","office")</f>
        <v/>
      </c>
      <c r="D2668" s="17">
        <f>IF(B2668="","",IFERROR(INDEX(Clay_Offices!$A$2:$FZ$601,417,Sync!$C$5)&amp;"",""))</f>
        <v/>
      </c>
      <c r="E2668" s="17">
        <f>IF(B2668="","",IFERROR(INDEX(Clay_Offices!$A$2:$FZ$601,417,Sync!$C$6)&amp;"",""))</f>
        <v/>
      </c>
      <c r="F2668" s="17">
        <f>IF(B2668="","","outreach_sent")</f>
        <v/>
      </c>
      <c r="G2668" s="17">
        <f>IF(B2668="","","")</f>
        <v/>
      </c>
      <c r="H2668" s="17">
        <f>IF(B2668="","","")</f>
        <v/>
      </c>
      <c r="I2668" s="17">
        <f>IF(B2668="","","")</f>
        <v/>
      </c>
      <c r="J2668" s="17">
        <f>IF(B2668="","","touch_2; "&amp;IFERROR(INDEX(Clay_Offices!$A$2:$FZ$601,417,Sync!$C$10)&amp;"","")&amp;"; "&amp;IFERROR(INDEX(Clay_Offices!$A$2:$FZ$601,417,Sync!$C$9)&amp;"",""))</f>
        <v/>
      </c>
      <c r="K2668" t="inlineStr">
        <is>
          <t>office outreach touch 2</t>
        </is>
      </c>
    </row>
    <row r="2669">
      <c r="A2669" s="17">
        <f>IF(B2669="","",B2669+(13*1000+418)/10000000)</f>
        <v/>
      </c>
      <c r="B2669" s="23">
        <f>IF(AND(IFERROR(N(INDEX(Clay_Offices!$A$2:$FZ$601,418,Sync!$C$12)),0)&gt;0,IFERROR(INDEX(Clay_Offices!$A$2:$FZ$601,418,Sync!$C$5)&amp;"","")&lt;&gt;"",OR(LEFT(IFERROR(INDEX(Clay_Offices!$A$2:$FZ$601,418,Sync!$C$5)&amp;"",""),6)&lt;&gt;"SAMPLE",Config!$B$19="Y")),IFERROR(N(INDEX(Clay_Offices!$A$2:$FZ$601,418,Sync!$C$12)),0),"")</f>
        <v/>
      </c>
      <c r="C2669" s="17">
        <f>IF(B2669="","","office")</f>
        <v/>
      </c>
      <c r="D2669" s="17">
        <f>IF(B2669="","",IFERROR(INDEX(Clay_Offices!$A$2:$FZ$601,418,Sync!$C$5)&amp;"",""))</f>
        <v/>
      </c>
      <c r="E2669" s="17">
        <f>IF(B2669="","",IFERROR(INDEX(Clay_Offices!$A$2:$FZ$601,418,Sync!$C$6)&amp;"",""))</f>
        <v/>
      </c>
      <c r="F2669" s="17">
        <f>IF(B2669="","","outreach_sent")</f>
        <v/>
      </c>
      <c r="G2669" s="17">
        <f>IF(B2669="","","")</f>
        <v/>
      </c>
      <c r="H2669" s="17">
        <f>IF(B2669="","","")</f>
        <v/>
      </c>
      <c r="I2669" s="17">
        <f>IF(B2669="","","")</f>
        <v/>
      </c>
      <c r="J2669" s="17">
        <f>IF(B2669="","","touch_2; "&amp;IFERROR(INDEX(Clay_Offices!$A$2:$FZ$601,418,Sync!$C$10)&amp;"","")&amp;"; "&amp;IFERROR(INDEX(Clay_Offices!$A$2:$FZ$601,418,Sync!$C$9)&amp;"",""))</f>
        <v/>
      </c>
      <c r="K2669" t="inlineStr">
        <is>
          <t>office outreach touch 2</t>
        </is>
      </c>
    </row>
    <row r="2670">
      <c r="A2670" s="17">
        <f>IF(B2670="","",B2670+(13*1000+419)/10000000)</f>
        <v/>
      </c>
      <c r="B2670" s="23">
        <f>IF(AND(IFERROR(N(INDEX(Clay_Offices!$A$2:$FZ$601,419,Sync!$C$12)),0)&gt;0,IFERROR(INDEX(Clay_Offices!$A$2:$FZ$601,419,Sync!$C$5)&amp;"","")&lt;&gt;"",OR(LEFT(IFERROR(INDEX(Clay_Offices!$A$2:$FZ$601,419,Sync!$C$5)&amp;"",""),6)&lt;&gt;"SAMPLE",Config!$B$19="Y")),IFERROR(N(INDEX(Clay_Offices!$A$2:$FZ$601,419,Sync!$C$12)),0),"")</f>
        <v/>
      </c>
      <c r="C2670" s="17">
        <f>IF(B2670="","","office")</f>
        <v/>
      </c>
      <c r="D2670" s="17">
        <f>IF(B2670="","",IFERROR(INDEX(Clay_Offices!$A$2:$FZ$601,419,Sync!$C$5)&amp;"",""))</f>
        <v/>
      </c>
      <c r="E2670" s="17">
        <f>IF(B2670="","",IFERROR(INDEX(Clay_Offices!$A$2:$FZ$601,419,Sync!$C$6)&amp;"",""))</f>
        <v/>
      </c>
      <c r="F2670" s="17">
        <f>IF(B2670="","","outreach_sent")</f>
        <v/>
      </c>
      <c r="G2670" s="17">
        <f>IF(B2670="","","")</f>
        <v/>
      </c>
      <c r="H2670" s="17">
        <f>IF(B2670="","","")</f>
        <v/>
      </c>
      <c r="I2670" s="17">
        <f>IF(B2670="","","")</f>
        <v/>
      </c>
      <c r="J2670" s="17">
        <f>IF(B2670="","","touch_2; "&amp;IFERROR(INDEX(Clay_Offices!$A$2:$FZ$601,419,Sync!$C$10)&amp;"","")&amp;"; "&amp;IFERROR(INDEX(Clay_Offices!$A$2:$FZ$601,419,Sync!$C$9)&amp;"",""))</f>
        <v/>
      </c>
      <c r="K2670" t="inlineStr">
        <is>
          <t>office outreach touch 2</t>
        </is>
      </c>
    </row>
    <row r="2671">
      <c r="A2671" s="17">
        <f>IF(B2671="","",B2671+(13*1000+420)/10000000)</f>
        <v/>
      </c>
      <c r="B2671" s="23">
        <f>IF(AND(IFERROR(N(INDEX(Clay_Offices!$A$2:$FZ$601,420,Sync!$C$12)),0)&gt;0,IFERROR(INDEX(Clay_Offices!$A$2:$FZ$601,420,Sync!$C$5)&amp;"","")&lt;&gt;"",OR(LEFT(IFERROR(INDEX(Clay_Offices!$A$2:$FZ$601,420,Sync!$C$5)&amp;"",""),6)&lt;&gt;"SAMPLE",Config!$B$19="Y")),IFERROR(N(INDEX(Clay_Offices!$A$2:$FZ$601,420,Sync!$C$12)),0),"")</f>
        <v/>
      </c>
      <c r="C2671" s="17">
        <f>IF(B2671="","","office")</f>
        <v/>
      </c>
      <c r="D2671" s="17">
        <f>IF(B2671="","",IFERROR(INDEX(Clay_Offices!$A$2:$FZ$601,420,Sync!$C$5)&amp;"",""))</f>
        <v/>
      </c>
      <c r="E2671" s="17">
        <f>IF(B2671="","",IFERROR(INDEX(Clay_Offices!$A$2:$FZ$601,420,Sync!$C$6)&amp;"",""))</f>
        <v/>
      </c>
      <c r="F2671" s="17">
        <f>IF(B2671="","","outreach_sent")</f>
        <v/>
      </c>
      <c r="G2671" s="17">
        <f>IF(B2671="","","")</f>
        <v/>
      </c>
      <c r="H2671" s="17">
        <f>IF(B2671="","","")</f>
        <v/>
      </c>
      <c r="I2671" s="17">
        <f>IF(B2671="","","")</f>
        <v/>
      </c>
      <c r="J2671" s="17">
        <f>IF(B2671="","","touch_2; "&amp;IFERROR(INDEX(Clay_Offices!$A$2:$FZ$601,420,Sync!$C$10)&amp;"","")&amp;"; "&amp;IFERROR(INDEX(Clay_Offices!$A$2:$FZ$601,420,Sync!$C$9)&amp;"",""))</f>
        <v/>
      </c>
      <c r="K2671" t="inlineStr">
        <is>
          <t>office outreach touch 2</t>
        </is>
      </c>
    </row>
    <row r="2672">
      <c r="A2672" s="17">
        <f>IF(B2672="","",B2672+(13*1000+421)/10000000)</f>
        <v/>
      </c>
      <c r="B2672" s="23">
        <f>IF(AND(IFERROR(N(INDEX(Clay_Offices!$A$2:$FZ$601,421,Sync!$C$12)),0)&gt;0,IFERROR(INDEX(Clay_Offices!$A$2:$FZ$601,421,Sync!$C$5)&amp;"","")&lt;&gt;"",OR(LEFT(IFERROR(INDEX(Clay_Offices!$A$2:$FZ$601,421,Sync!$C$5)&amp;"",""),6)&lt;&gt;"SAMPLE",Config!$B$19="Y")),IFERROR(N(INDEX(Clay_Offices!$A$2:$FZ$601,421,Sync!$C$12)),0),"")</f>
        <v/>
      </c>
      <c r="C2672" s="17">
        <f>IF(B2672="","","office")</f>
        <v/>
      </c>
      <c r="D2672" s="17">
        <f>IF(B2672="","",IFERROR(INDEX(Clay_Offices!$A$2:$FZ$601,421,Sync!$C$5)&amp;"",""))</f>
        <v/>
      </c>
      <c r="E2672" s="17">
        <f>IF(B2672="","",IFERROR(INDEX(Clay_Offices!$A$2:$FZ$601,421,Sync!$C$6)&amp;"",""))</f>
        <v/>
      </c>
      <c r="F2672" s="17">
        <f>IF(B2672="","","outreach_sent")</f>
        <v/>
      </c>
      <c r="G2672" s="17">
        <f>IF(B2672="","","")</f>
        <v/>
      </c>
      <c r="H2672" s="17">
        <f>IF(B2672="","","")</f>
        <v/>
      </c>
      <c r="I2672" s="17">
        <f>IF(B2672="","","")</f>
        <v/>
      </c>
      <c r="J2672" s="17">
        <f>IF(B2672="","","touch_2; "&amp;IFERROR(INDEX(Clay_Offices!$A$2:$FZ$601,421,Sync!$C$10)&amp;"","")&amp;"; "&amp;IFERROR(INDEX(Clay_Offices!$A$2:$FZ$601,421,Sync!$C$9)&amp;"",""))</f>
        <v/>
      </c>
      <c r="K2672" t="inlineStr">
        <is>
          <t>office outreach touch 2</t>
        </is>
      </c>
    </row>
    <row r="2673">
      <c r="A2673" s="17">
        <f>IF(B2673="","",B2673+(13*1000+422)/10000000)</f>
        <v/>
      </c>
      <c r="B2673" s="23">
        <f>IF(AND(IFERROR(N(INDEX(Clay_Offices!$A$2:$FZ$601,422,Sync!$C$12)),0)&gt;0,IFERROR(INDEX(Clay_Offices!$A$2:$FZ$601,422,Sync!$C$5)&amp;"","")&lt;&gt;"",OR(LEFT(IFERROR(INDEX(Clay_Offices!$A$2:$FZ$601,422,Sync!$C$5)&amp;"",""),6)&lt;&gt;"SAMPLE",Config!$B$19="Y")),IFERROR(N(INDEX(Clay_Offices!$A$2:$FZ$601,422,Sync!$C$12)),0),"")</f>
        <v/>
      </c>
      <c r="C2673" s="17">
        <f>IF(B2673="","","office")</f>
        <v/>
      </c>
      <c r="D2673" s="17">
        <f>IF(B2673="","",IFERROR(INDEX(Clay_Offices!$A$2:$FZ$601,422,Sync!$C$5)&amp;"",""))</f>
        <v/>
      </c>
      <c r="E2673" s="17">
        <f>IF(B2673="","",IFERROR(INDEX(Clay_Offices!$A$2:$FZ$601,422,Sync!$C$6)&amp;"",""))</f>
        <v/>
      </c>
      <c r="F2673" s="17">
        <f>IF(B2673="","","outreach_sent")</f>
        <v/>
      </c>
      <c r="G2673" s="17">
        <f>IF(B2673="","","")</f>
        <v/>
      </c>
      <c r="H2673" s="17">
        <f>IF(B2673="","","")</f>
        <v/>
      </c>
      <c r="I2673" s="17">
        <f>IF(B2673="","","")</f>
        <v/>
      </c>
      <c r="J2673" s="17">
        <f>IF(B2673="","","touch_2; "&amp;IFERROR(INDEX(Clay_Offices!$A$2:$FZ$601,422,Sync!$C$10)&amp;"","")&amp;"; "&amp;IFERROR(INDEX(Clay_Offices!$A$2:$FZ$601,422,Sync!$C$9)&amp;"",""))</f>
        <v/>
      </c>
      <c r="K2673" t="inlineStr">
        <is>
          <t>office outreach touch 2</t>
        </is>
      </c>
    </row>
    <row r="2674">
      <c r="A2674" s="17">
        <f>IF(B2674="","",B2674+(13*1000+423)/10000000)</f>
        <v/>
      </c>
      <c r="B2674" s="23">
        <f>IF(AND(IFERROR(N(INDEX(Clay_Offices!$A$2:$FZ$601,423,Sync!$C$12)),0)&gt;0,IFERROR(INDEX(Clay_Offices!$A$2:$FZ$601,423,Sync!$C$5)&amp;"","")&lt;&gt;"",OR(LEFT(IFERROR(INDEX(Clay_Offices!$A$2:$FZ$601,423,Sync!$C$5)&amp;"",""),6)&lt;&gt;"SAMPLE",Config!$B$19="Y")),IFERROR(N(INDEX(Clay_Offices!$A$2:$FZ$601,423,Sync!$C$12)),0),"")</f>
        <v/>
      </c>
      <c r="C2674" s="17">
        <f>IF(B2674="","","office")</f>
        <v/>
      </c>
      <c r="D2674" s="17">
        <f>IF(B2674="","",IFERROR(INDEX(Clay_Offices!$A$2:$FZ$601,423,Sync!$C$5)&amp;"",""))</f>
        <v/>
      </c>
      <c r="E2674" s="17">
        <f>IF(B2674="","",IFERROR(INDEX(Clay_Offices!$A$2:$FZ$601,423,Sync!$C$6)&amp;"",""))</f>
        <v/>
      </c>
      <c r="F2674" s="17">
        <f>IF(B2674="","","outreach_sent")</f>
        <v/>
      </c>
      <c r="G2674" s="17">
        <f>IF(B2674="","","")</f>
        <v/>
      </c>
      <c r="H2674" s="17">
        <f>IF(B2674="","","")</f>
        <v/>
      </c>
      <c r="I2674" s="17">
        <f>IF(B2674="","","")</f>
        <v/>
      </c>
      <c r="J2674" s="17">
        <f>IF(B2674="","","touch_2; "&amp;IFERROR(INDEX(Clay_Offices!$A$2:$FZ$601,423,Sync!$C$10)&amp;"","")&amp;"; "&amp;IFERROR(INDEX(Clay_Offices!$A$2:$FZ$601,423,Sync!$C$9)&amp;"",""))</f>
        <v/>
      </c>
      <c r="K2674" t="inlineStr">
        <is>
          <t>office outreach touch 2</t>
        </is>
      </c>
    </row>
    <row r="2675">
      <c r="A2675" s="17">
        <f>IF(B2675="","",B2675+(13*1000+424)/10000000)</f>
        <v/>
      </c>
      <c r="B2675" s="23">
        <f>IF(AND(IFERROR(N(INDEX(Clay_Offices!$A$2:$FZ$601,424,Sync!$C$12)),0)&gt;0,IFERROR(INDEX(Clay_Offices!$A$2:$FZ$601,424,Sync!$C$5)&amp;"","")&lt;&gt;"",OR(LEFT(IFERROR(INDEX(Clay_Offices!$A$2:$FZ$601,424,Sync!$C$5)&amp;"",""),6)&lt;&gt;"SAMPLE",Config!$B$19="Y")),IFERROR(N(INDEX(Clay_Offices!$A$2:$FZ$601,424,Sync!$C$12)),0),"")</f>
        <v/>
      </c>
      <c r="C2675" s="17">
        <f>IF(B2675="","","office")</f>
        <v/>
      </c>
      <c r="D2675" s="17">
        <f>IF(B2675="","",IFERROR(INDEX(Clay_Offices!$A$2:$FZ$601,424,Sync!$C$5)&amp;"",""))</f>
        <v/>
      </c>
      <c r="E2675" s="17">
        <f>IF(B2675="","",IFERROR(INDEX(Clay_Offices!$A$2:$FZ$601,424,Sync!$C$6)&amp;"",""))</f>
        <v/>
      </c>
      <c r="F2675" s="17">
        <f>IF(B2675="","","outreach_sent")</f>
        <v/>
      </c>
      <c r="G2675" s="17">
        <f>IF(B2675="","","")</f>
        <v/>
      </c>
      <c r="H2675" s="17">
        <f>IF(B2675="","","")</f>
        <v/>
      </c>
      <c r="I2675" s="17">
        <f>IF(B2675="","","")</f>
        <v/>
      </c>
      <c r="J2675" s="17">
        <f>IF(B2675="","","touch_2; "&amp;IFERROR(INDEX(Clay_Offices!$A$2:$FZ$601,424,Sync!$C$10)&amp;"","")&amp;"; "&amp;IFERROR(INDEX(Clay_Offices!$A$2:$FZ$601,424,Sync!$C$9)&amp;"",""))</f>
        <v/>
      </c>
      <c r="K2675" t="inlineStr">
        <is>
          <t>office outreach touch 2</t>
        </is>
      </c>
    </row>
    <row r="2676">
      <c r="A2676" s="17">
        <f>IF(B2676="","",B2676+(13*1000+425)/10000000)</f>
        <v/>
      </c>
      <c r="B2676" s="23">
        <f>IF(AND(IFERROR(N(INDEX(Clay_Offices!$A$2:$FZ$601,425,Sync!$C$12)),0)&gt;0,IFERROR(INDEX(Clay_Offices!$A$2:$FZ$601,425,Sync!$C$5)&amp;"","")&lt;&gt;"",OR(LEFT(IFERROR(INDEX(Clay_Offices!$A$2:$FZ$601,425,Sync!$C$5)&amp;"",""),6)&lt;&gt;"SAMPLE",Config!$B$19="Y")),IFERROR(N(INDEX(Clay_Offices!$A$2:$FZ$601,425,Sync!$C$12)),0),"")</f>
        <v/>
      </c>
      <c r="C2676" s="17">
        <f>IF(B2676="","","office")</f>
        <v/>
      </c>
      <c r="D2676" s="17">
        <f>IF(B2676="","",IFERROR(INDEX(Clay_Offices!$A$2:$FZ$601,425,Sync!$C$5)&amp;"",""))</f>
        <v/>
      </c>
      <c r="E2676" s="17">
        <f>IF(B2676="","",IFERROR(INDEX(Clay_Offices!$A$2:$FZ$601,425,Sync!$C$6)&amp;"",""))</f>
        <v/>
      </c>
      <c r="F2676" s="17">
        <f>IF(B2676="","","outreach_sent")</f>
        <v/>
      </c>
      <c r="G2676" s="17">
        <f>IF(B2676="","","")</f>
        <v/>
      </c>
      <c r="H2676" s="17">
        <f>IF(B2676="","","")</f>
        <v/>
      </c>
      <c r="I2676" s="17">
        <f>IF(B2676="","","")</f>
        <v/>
      </c>
      <c r="J2676" s="17">
        <f>IF(B2676="","","touch_2; "&amp;IFERROR(INDEX(Clay_Offices!$A$2:$FZ$601,425,Sync!$C$10)&amp;"","")&amp;"; "&amp;IFERROR(INDEX(Clay_Offices!$A$2:$FZ$601,425,Sync!$C$9)&amp;"",""))</f>
        <v/>
      </c>
      <c r="K2676" t="inlineStr">
        <is>
          <t>office outreach touch 2</t>
        </is>
      </c>
    </row>
    <row r="2677">
      <c r="A2677" s="17">
        <f>IF(B2677="","",B2677+(13*1000+426)/10000000)</f>
        <v/>
      </c>
      <c r="B2677" s="23">
        <f>IF(AND(IFERROR(N(INDEX(Clay_Offices!$A$2:$FZ$601,426,Sync!$C$12)),0)&gt;0,IFERROR(INDEX(Clay_Offices!$A$2:$FZ$601,426,Sync!$C$5)&amp;"","")&lt;&gt;"",OR(LEFT(IFERROR(INDEX(Clay_Offices!$A$2:$FZ$601,426,Sync!$C$5)&amp;"",""),6)&lt;&gt;"SAMPLE",Config!$B$19="Y")),IFERROR(N(INDEX(Clay_Offices!$A$2:$FZ$601,426,Sync!$C$12)),0),"")</f>
        <v/>
      </c>
      <c r="C2677" s="17">
        <f>IF(B2677="","","office")</f>
        <v/>
      </c>
      <c r="D2677" s="17">
        <f>IF(B2677="","",IFERROR(INDEX(Clay_Offices!$A$2:$FZ$601,426,Sync!$C$5)&amp;"",""))</f>
        <v/>
      </c>
      <c r="E2677" s="17">
        <f>IF(B2677="","",IFERROR(INDEX(Clay_Offices!$A$2:$FZ$601,426,Sync!$C$6)&amp;"",""))</f>
        <v/>
      </c>
      <c r="F2677" s="17">
        <f>IF(B2677="","","outreach_sent")</f>
        <v/>
      </c>
      <c r="G2677" s="17">
        <f>IF(B2677="","","")</f>
        <v/>
      </c>
      <c r="H2677" s="17">
        <f>IF(B2677="","","")</f>
        <v/>
      </c>
      <c r="I2677" s="17">
        <f>IF(B2677="","","")</f>
        <v/>
      </c>
      <c r="J2677" s="17">
        <f>IF(B2677="","","touch_2; "&amp;IFERROR(INDEX(Clay_Offices!$A$2:$FZ$601,426,Sync!$C$10)&amp;"","")&amp;"; "&amp;IFERROR(INDEX(Clay_Offices!$A$2:$FZ$601,426,Sync!$C$9)&amp;"",""))</f>
        <v/>
      </c>
      <c r="K2677" t="inlineStr">
        <is>
          <t>office outreach touch 2</t>
        </is>
      </c>
    </row>
    <row r="2678">
      <c r="A2678" s="17">
        <f>IF(B2678="","",B2678+(13*1000+427)/10000000)</f>
        <v/>
      </c>
      <c r="B2678" s="23">
        <f>IF(AND(IFERROR(N(INDEX(Clay_Offices!$A$2:$FZ$601,427,Sync!$C$12)),0)&gt;0,IFERROR(INDEX(Clay_Offices!$A$2:$FZ$601,427,Sync!$C$5)&amp;"","")&lt;&gt;"",OR(LEFT(IFERROR(INDEX(Clay_Offices!$A$2:$FZ$601,427,Sync!$C$5)&amp;"",""),6)&lt;&gt;"SAMPLE",Config!$B$19="Y")),IFERROR(N(INDEX(Clay_Offices!$A$2:$FZ$601,427,Sync!$C$12)),0),"")</f>
        <v/>
      </c>
      <c r="C2678" s="17">
        <f>IF(B2678="","","office")</f>
        <v/>
      </c>
      <c r="D2678" s="17">
        <f>IF(B2678="","",IFERROR(INDEX(Clay_Offices!$A$2:$FZ$601,427,Sync!$C$5)&amp;"",""))</f>
        <v/>
      </c>
      <c r="E2678" s="17">
        <f>IF(B2678="","",IFERROR(INDEX(Clay_Offices!$A$2:$FZ$601,427,Sync!$C$6)&amp;"",""))</f>
        <v/>
      </c>
      <c r="F2678" s="17">
        <f>IF(B2678="","","outreach_sent")</f>
        <v/>
      </c>
      <c r="G2678" s="17">
        <f>IF(B2678="","","")</f>
        <v/>
      </c>
      <c r="H2678" s="17">
        <f>IF(B2678="","","")</f>
        <v/>
      </c>
      <c r="I2678" s="17">
        <f>IF(B2678="","","")</f>
        <v/>
      </c>
      <c r="J2678" s="17">
        <f>IF(B2678="","","touch_2; "&amp;IFERROR(INDEX(Clay_Offices!$A$2:$FZ$601,427,Sync!$C$10)&amp;"","")&amp;"; "&amp;IFERROR(INDEX(Clay_Offices!$A$2:$FZ$601,427,Sync!$C$9)&amp;"",""))</f>
        <v/>
      </c>
      <c r="K2678" t="inlineStr">
        <is>
          <t>office outreach touch 2</t>
        </is>
      </c>
    </row>
    <row r="2679">
      <c r="A2679" s="17">
        <f>IF(B2679="","",B2679+(13*1000+428)/10000000)</f>
        <v/>
      </c>
      <c r="B2679" s="23">
        <f>IF(AND(IFERROR(N(INDEX(Clay_Offices!$A$2:$FZ$601,428,Sync!$C$12)),0)&gt;0,IFERROR(INDEX(Clay_Offices!$A$2:$FZ$601,428,Sync!$C$5)&amp;"","")&lt;&gt;"",OR(LEFT(IFERROR(INDEX(Clay_Offices!$A$2:$FZ$601,428,Sync!$C$5)&amp;"",""),6)&lt;&gt;"SAMPLE",Config!$B$19="Y")),IFERROR(N(INDEX(Clay_Offices!$A$2:$FZ$601,428,Sync!$C$12)),0),"")</f>
        <v/>
      </c>
      <c r="C2679" s="17">
        <f>IF(B2679="","","office")</f>
        <v/>
      </c>
      <c r="D2679" s="17">
        <f>IF(B2679="","",IFERROR(INDEX(Clay_Offices!$A$2:$FZ$601,428,Sync!$C$5)&amp;"",""))</f>
        <v/>
      </c>
      <c r="E2679" s="17">
        <f>IF(B2679="","",IFERROR(INDEX(Clay_Offices!$A$2:$FZ$601,428,Sync!$C$6)&amp;"",""))</f>
        <v/>
      </c>
      <c r="F2679" s="17">
        <f>IF(B2679="","","outreach_sent")</f>
        <v/>
      </c>
      <c r="G2679" s="17">
        <f>IF(B2679="","","")</f>
        <v/>
      </c>
      <c r="H2679" s="17">
        <f>IF(B2679="","","")</f>
        <v/>
      </c>
      <c r="I2679" s="17">
        <f>IF(B2679="","","")</f>
        <v/>
      </c>
      <c r="J2679" s="17">
        <f>IF(B2679="","","touch_2; "&amp;IFERROR(INDEX(Clay_Offices!$A$2:$FZ$601,428,Sync!$C$10)&amp;"","")&amp;"; "&amp;IFERROR(INDEX(Clay_Offices!$A$2:$FZ$601,428,Sync!$C$9)&amp;"",""))</f>
        <v/>
      </c>
      <c r="K2679" t="inlineStr">
        <is>
          <t>office outreach touch 2</t>
        </is>
      </c>
    </row>
    <row r="2680">
      <c r="A2680" s="17">
        <f>IF(B2680="","",B2680+(13*1000+429)/10000000)</f>
        <v/>
      </c>
      <c r="B2680" s="23">
        <f>IF(AND(IFERROR(N(INDEX(Clay_Offices!$A$2:$FZ$601,429,Sync!$C$12)),0)&gt;0,IFERROR(INDEX(Clay_Offices!$A$2:$FZ$601,429,Sync!$C$5)&amp;"","")&lt;&gt;"",OR(LEFT(IFERROR(INDEX(Clay_Offices!$A$2:$FZ$601,429,Sync!$C$5)&amp;"",""),6)&lt;&gt;"SAMPLE",Config!$B$19="Y")),IFERROR(N(INDEX(Clay_Offices!$A$2:$FZ$601,429,Sync!$C$12)),0),"")</f>
        <v/>
      </c>
      <c r="C2680" s="17">
        <f>IF(B2680="","","office")</f>
        <v/>
      </c>
      <c r="D2680" s="17">
        <f>IF(B2680="","",IFERROR(INDEX(Clay_Offices!$A$2:$FZ$601,429,Sync!$C$5)&amp;"",""))</f>
        <v/>
      </c>
      <c r="E2680" s="17">
        <f>IF(B2680="","",IFERROR(INDEX(Clay_Offices!$A$2:$FZ$601,429,Sync!$C$6)&amp;"",""))</f>
        <v/>
      </c>
      <c r="F2680" s="17">
        <f>IF(B2680="","","outreach_sent")</f>
        <v/>
      </c>
      <c r="G2680" s="17">
        <f>IF(B2680="","","")</f>
        <v/>
      </c>
      <c r="H2680" s="17">
        <f>IF(B2680="","","")</f>
        <v/>
      </c>
      <c r="I2680" s="17">
        <f>IF(B2680="","","")</f>
        <v/>
      </c>
      <c r="J2680" s="17">
        <f>IF(B2680="","","touch_2; "&amp;IFERROR(INDEX(Clay_Offices!$A$2:$FZ$601,429,Sync!$C$10)&amp;"","")&amp;"; "&amp;IFERROR(INDEX(Clay_Offices!$A$2:$FZ$601,429,Sync!$C$9)&amp;"",""))</f>
        <v/>
      </c>
      <c r="K2680" t="inlineStr">
        <is>
          <t>office outreach touch 2</t>
        </is>
      </c>
    </row>
    <row r="2681">
      <c r="A2681" s="17">
        <f>IF(B2681="","",B2681+(13*1000+430)/10000000)</f>
        <v/>
      </c>
      <c r="B2681" s="23">
        <f>IF(AND(IFERROR(N(INDEX(Clay_Offices!$A$2:$FZ$601,430,Sync!$C$12)),0)&gt;0,IFERROR(INDEX(Clay_Offices!$A$2:$FZ$601,430,Sync!$C$5)&amp;"","")&lt;&gt;"",OR(LEFT(IFERROR(INDEX(Clay_Offices!$A$2:$FZ$601,430,Sync!$C$5)&amp;"",""),6)&lt;&gt;"SAMPLE",Config!$B$19="Y")),IFERROR(N(INDEX(Clay_Offices!$A$2:$FZ$601,430,Sync!$C$12)),0),"")</f>
        <v/>
      </c>
      <c r="C2681" s="17">
        <f>IF(B2681="","","office")</f>
        <v/>
      </c>
      <c r="D2681" s="17">
        <f>IF(B2681="","",IFERROR(INDEX(Clay_Offices!$A$2:$FZ$601,430,Sync!$C$5)&amp;"",""))</f>
        <v/>
      </c>
      <c r="E2681" s="17">
        <f>IF(B2681="","",IFERROR(INDEX(Clay_Offices!$A$2:$FZ$601,430,Sync!$C$6)&amp;"",""))</f>
        <v/>
      </c>
      <c r="F2681" s="17">
        <f>IF(B2681="","","outreach_sent")</f>
        <v/>
      </c>
      <c r="G2681" s="17">
        <f>IF(B2681="","","")</f>
        <v/>
      </c>
      <c r="H2681" s="17">
        <f>IF(B2681="","","")</f>
        <v/>
      </c>
      <c r="I2681" s="17">
        <f>IF(B2681="","","")</f>
        <v/>
      </c>
      <c r="J2681" s="17">
        <f>IF(B2681="","","touch_2; "&amp;IFERROR(INDEX(Clay_Offices!$A$2:$FZ$601,430,Sync!$C$10)&amp;"","")&amp;"; "&amp;IFERROR(INDEX(Clay_Offices!$A$2:$FZ$601,430,Sync!$C$9)&amp;"",""))</f>
        <v/>
      </c>
      <c r="K2681" t="inlineStr">
        <is>
          <t>office outreach touch 2</t>
        </is>
      </c>
    </row>
    <row r="2682">
      <c r="A2682" s="17">
        <f>IF(B2682="","",B2682+(13*1000+431)/10000000)</f>
        <v/>
      </c>
      <c r="B2682" s="23">
        <f>IF(AND(IFERROR(N(INDEX(Clay_Offices!$A$2:$FZ$601,431,Sync!$C$12)),0)&gt;0,IFERROR(INDEX(Clay_Offices!$A$2:$FZ$601,431,Sync!$C$5)&amp;"","")&lt;&gt;"",OR(LEFT(IFERROR(INDEX(Clay_Offices!$A$2:$FZ$601,431,Sync!$C$5)&amp;"",""),6)&lt;&gt;"SAMPLE",Config!$B$19="Y")),IFERROR(N(INDEX(Clay_Offices!$A$2:$FZ$601,431,Sync!$C$12)),0),"")</f>
        <v/>
      </c>
      <c r="C2682" s="17">
        <f>IF(B2682="","","office")</f>
        <v/>
      </c>
      <c r="D2682" s="17">
        <f>IF(B2682="","",IFERROR(INDEX(Clay_Offices!$A$2:$FZ$601,431,Sync!$C$5)&amp;"",""))</f>
        <v/>
      </c>
      <c r="E2682" s="17">
        <f>IF(B2682="","",IFERROR(INDEX(Clay_Offices!$A$2:$FZ$601,431,Sync!$C$6)&amp;"",""))</f>
        <v/>
      </c>
      <c r="F2682" s="17">
        <f>IF(B2682="","","outreach_sent")</f>
        <v/>
      </c>
      <c r="G2682" s="17">
        <f>IF(B2682="","","")</f>
        <v/>
      </c>
      <c r="H2682" s="17">
        <f>IF(B2682="","","")</f>
        <v/>
      </c>
      <c r="I2682" s="17">
        <f>IF(B2682="","","")</f>
        <v/>
      </c>
      <c r="J2682" s="17">
        <f>IF(B2682="","","touch_2; "&amp;IFERROR(INDEX(Clay_Offices!$A$2:$FZ$601,431,Sync!$C$10)&amp;"","")&amp;"; "&amp;IFERROR(INDEX(Clay_Offices!$A$2:$FZ$601,431,Sync!$C$9)&amp;"",""))</f>
        <v/>
      </c>
      <c r="K2682" t="inlineStr">
        <is>
          <t>office outreach touch 2</t>
        </is>
      </c>
    </row>
    <row r="2683">
      <c r="A2683" s="17">
        <f>IF(B2683="","",B2683+(13*1000+432)/10000000)</f>
        <v/>
      </c>
      <c r="B2683" s="23">
        <f>IF(AND(IFERROR(N(INDEX(Clay_Offices!$A$2:$FZ$601,432,Sync!$C$12)),0)&gt;0,IFERROR(INDEX(Clay_Offices!$A$2:$FZ$601,432,Sync!$C$5)&amp;"","")&lt;&gt;"",OR(LEFT(IFERROR(INDEX(Clay_Offices!$A$2:$FZ$601,432,Sync!$C$5)&amp;"",""),6)&lt;&gt;"SAMPLE",Config!$B$19="Y")),IFERROR(N(INDEX(Clay_Offices!$A$2:$FZ$601,432,Sync!$C$12)),0),"")</f>
        <v/>
      </c>
      <c r="C2683" s="17">
        <f>IF(B2683="","","office")</f>
        <v/>
      </c>
      <c r="D2683" s="17">
        <f>IF(B2683="","",IFERROR(INDEX(Clay_Offices!$A$2:$FZ$601,432,Sync!$C$5)&amp;"",""))</f>
        <v/>
      </c>
      <c r="E2683" s="17">
        <f>IF(B2683="","",IFERROR(INDEX(Clay_Offices!$A$2:$FZ$601,432,Sync!$C$6)&amp;"",""))</f>
        <v/>
      </c>
      <c r="F2683" s="17">
        <f>IF(B2683="","","outreach_sent")</f>
        <v/>
      </c>
      <c r="G2683" s="17">
        <f>IF(B2683="","","")</f>
        <v/>
      </c>
      <c r="H2683" s="17">
        <f>IF(B2683="","","")</f>
        <v/>
      </c>
      <c r="I2683" s="17">
        <f>IF(B2683="","","")</f>
        <v/>
      </c>
      <c r="J2683" s="17">
        <f>IF(B2683="","","touch_2; "&amp;IFERROR(INDEX(Clay_Offices!$A$2:$FZ$601,432,Sync!$C$10)&amp;"","")&amp;"; "&amp;IFERROR(INDEX(Clay_Offices!$A$2:$FZ$601,432,Sync!$C$9)&amp;"",""))</f>
        <v/>
      </c>
      <c r="K2683" t="inlineStr">
        <is>
          <t>office outreach touch 2</t>
        </is>
      </c>
    </row>
    <row r="2684">
      <c r="A2684" s="17">
        <f>IF(B2684="","",B2684+(13*1000+433)/10000000)</f>
        <v/>
      </c>
      <c r="B2684" s="23">
        <f>IF(AND(IFERROR(N(INDEX(Clay_Offices!$A$2:$FZ$601,433,Sync!$C$12)),0)&gt;0,IFERROR(INDEX(Clay_Offices!$A$2:$FZ$601,433,Sync!$C$5)&amp;"","")&lt;&gt;"",OR(LEFT(IFERROR(INDEX(Clay_Offices!$A$2:$FZ$601,433,Sync!$C$5)&amp;"",""),6)&lt;&gt;"SAMPLE",Config!$B$19="Y")),IFERROR(N(INDEX(Clay_Offices!$A$2:$FZ$601,433,Sync!$C$12)),0),"")</f>
        <v/>
      </c>
      <c r="C2684" s="17">
        <f>IF(B2684="","","office")</f>
        <v/>
      </c>
      <c r="D2684" s="17">
        <f>IF(B2684="","",IFERROR(INDEX(Clay_Offices!$A$2:$FZ$601,433,Sync!$C$5)&amp;"",""))</f>
        <v/>
      </c>
      <c r="E2684" s="17">
        <f>IF(B2684="","",IFERROR(INDEX(Clay_Offices!$A$2:$FZ$601,433,Sync!$C$6)&amp;"",""))</f>
        <v/>
      </c>
      <c r="F2684" s="17">
        <f>IF(B2684="","","outreach_sent")</f>
        <v/>
      </c>
      <c r="G2684" s="17">
        <f>IF(B2684="","","")</f>
        <v/>
      </c>
      <c r="H2684" s="17">
        <f>IF(B2684="","","")</f>
        <v/>
      </c>
      <c r="I2684" s="17">
        <f>IF(B2684="","","")</f>
        <v/>
      </c>
      <c r="J2684" s="17">
        <f>IF(B2684="","","touch_2; "&amp;IFERROR(INDEX(Clay_Offices!$A$2:$FZ$601,433,Sync!$C$10)&amp;"","")&amp;"; "&amp;IFERROR(INDEX(Clay_Offices!$A$2:$FZ$601,433,Sync!$C$9)&amp;"",""))</f>
        <v/>
      </c>
      <c r="K2684" t="inlineStr">
        <is>
          <t>office outreach touch 2</t>
        </is>
      </c>
    </row>
    <row r="2685">
      <c r="A2685" s="17">
        <f>IF(B2685="","",B2685+(13*1000+434)/10000000)</f>
        <v/>
      </c>
      <c r="B2685" s="23">
        <f>IF(AND(IFERROR(N(INDEX(Clay_Offices!$A$2:$FZ$601,434,Sync!$C$12)),0)&gt;0,IFERROR(INDEX(Clay_Offices!$A$2:$FZ$601,434,Sync!$C$5)&amp;"","")&lt;&gt;"",OR(LEFT(IFERROR(INDEX(Clay_Offices!$A$2:$FZ$601,434,Sync!$C$5)&amp;"",""),6)&lt;&gt;"SAMPLE",Config!$B$19="Y")),IFERROR(N(INDEX(Clay_Offices!$A$2:$FZ$601,434,Sync!$C$12)),0),"")</f>
        <v/>
      </c>
      <c r="C2685" s="17">
        <f>IF(B2685="","","office")</f>
        <v/>
      </c>
      <c r="D2685" s="17">
        <f>IF(B2685="","",IFERROR(INDEX(Clay_Offices!$A$2:$FZ$601,434,Sync!$C$5)&amp;"",""))</f>
        <v/>
      </c>
      <c r="E2685" s="17">
        <f>IF(B2685="","",IFERROR(INDEX(Clay_Offices!$A$2:$FZ$601,434,Sync!$C$6)&amp;"",""))</f>
        <v/>
      </c>
      <c r="F2685" s="17">
        <f>IF(B2685="","","outreach_sent")</f>
        <v/>
      </c>
      <c r="G2685" s="17">
        <f>IF(B2685="","","")</f>
        <v/>
      </c>
      <c r="H2685" s="17">
        <f>IF(B2685="","","")</f>
        <v/>
      </c>
      <c r="I2685" s="17">
        <f>IF(B2685="","","")</f>
        <v/>
      </c>
      <c r="J2685" s="17">
        <f>IF(B2685="","","touch_2; "&amp;IFERROR(INDEX(Clay_Offices!$A$2:$FZ$601,434,Sync!$C$10)&amp;"","")&amp;"; "&amp;IFERROR(INDEX(Clay_Offices!$A$2:$FZ$601,434,Sync!$C$9)&amp;"",""))</f>
        <v/>
      </c>
      <c r="K2685" t="inlineStr">
        <is>
          <t>office outreach touch 2</t>
        </is>
      </c>
    </row>
    <row r="2686">
      <c r="A2686" s="17">
        <f>IF(B2686="","",B2686+(13*1000+435)/10000000)</f>
        <v/>
      </c>
      <c r="B2686" s="23">
        <f>IF(AND(IFERROR(N(INDEX(Clay_Offices!$A$2:$FZ$601,435,Sync!$C$12)),0)&gt;0,IFERROR(INDEX(Clay_Offices!$A$2:$FZ$601,435,Sync!$C$5)&amp;"","")&lt;&gt;"",OR(LEFT(IFERROR(INDEX(Clay_Offices!$A$2:$FZ$601,435,Sync!$C$5)&amp;"",""),6)&lt;&gt;"SAMPLE",Config!$B$19="Y")),IFERROR(N(INDEX(Clay_Offices!$A$2:$FZ$601,435,Sync!$C$12)),0),"")</f>
        <v/>
      </c>
      <c r="C2686" s="17">
        <f>IF(B2686="","","office")</f>
        <v/>
      </c>
      <c r="D2686" s="17">
        <f>IF(B2686="","",IFERROR(INDEX(Clay_Offices!$A$2:$FZ$601,435,Sync!$C$5)&amp;"",""))</f>
        <v/>
      </c>
      <c r="E2686" s="17">
        <f>IF(B2686="","",IFERROR(INDEX(Clay_Offices!$A$2:$FZ$601,435,Sync!$C$6)&amp;"",""))</f>
        <v/>
      </c>
      <c r="F2686" s="17">
        <f>IF(B2686="","","outreach_sent")</f>
        <v/>
      </c>
      <c r="G2686" s="17">
        <f>IF(B2686="","","")</f>
        <v/>
      </c>
      <c r="H2686" s="17">
        <f>IF(B2686="","","")</f>
        <v/>
      </c>
      <c r="I2686" s="17">
        <f>IF(B2686="","","")</f>
        <v/>
      </c>
      <c r="J2686" s="17">
        <f>IF(B2686="","","touch_2; "&amp;IFERROR(INDEX(Clay_Offices!$A$2:$FZ$601,435,Sync!$C$10)&amp;"","")&amp;"; "&amp;IFERROR(INDEX(Clay_Offices!$A$2:$FZ$601,435,Sync!$C$9)&amp;"",""))</f>
        <v/>
      </c>
      <c r="K2686" t="inlineStr">
        <is>
          <t>office outreach touch 2</t>
        </is>
      </c>
    </row>
    <row r="2687">
      <c r="A2687" s="17">
        <f>IF(B2687="","",B2687+(13*1000+436)/10000000)</f>
        <v/>
      </c>
      <c r="B2687" s="23">
        <f>IF(AND(IFERROR(N(INDEX(Clay_Offices!$A$2:$FZ$601,436,Sync!$C$12)),0)&gt;0,IFERROR(INDEX(Clay_Offices!$A$2:$FZ$601,436,Sync!$C$5)&amp;"","")&lt;&gt;"",OR(LEFT(IFERROR(INDEX(Clay_Offices!$A$2:$FZ$601,436,Sync!$C$5)&amp;"",""),6)&lt;&gt;"SAMPLE",Config!$B$19="Y")),IFERROR(N(INDEX(Clay_Offices!$A$2:$FZ$601,436,Sync!$C$12)),0),"")</f>
        <v/>
      </c>
      <c r="C2687" s="17">
        <f>IF(B2687="","","office")</f>
        <v/>
      </c>
      <c r="D2687" s="17">
        <f>IF(B2687="","",IFERROR(INDEX(Clay_Offices!$A$2:$FZ$601,436,Sync!$C$5)&amp;"",""))</f>
        <v/>
      </c>
      <c r="E2687" s="17">
        <f>IF(B2687="","",IFERROR(INDEX(Clay_Offices!$A$2:$FZ$601,436,Sync!$C$6)&amp;"",""))</f>
        <v/>
      </c>
      <c r="F2687" s="17">
        <f>IF(B2687="","","outreach_sent")</f>
        <v/>
      </c>
      <c r="G2687" s="17">
        <f>IF(B2687="","","")</f>
        <v/>
      </c>
      <c r="H2687" s="17">
        <f>IF(B2687="","","")</f>
        <v/>
      </c>
      <c r="I2687" s="17">
        <f>IF(B2687="","","")</f>
        <v/>
      </c>
      <c r="J2687" s="17">
        <f>IF(B2687="","","touch_2; "&amp;IFERROR(INDEX(Clay_Offices!$A$2:$FZ$601,436,Sync!$C$10)&amp;"","")&amp;"; "&amp;IFERROR(INDEX(Clay_Offices!$A$2:$FZ$601,436,Sync!$C$9)&amp;"",""))</f>
        <v/>
      </c>
      <c r="K2687" t="inlineStr">
        <is>
          <t>office outreach touch 2</t>
        </is>
      </c>
    </row>
    <row r="2688">
      <c r="A2688" s="17">
        <f>IF(B2688="","",B2688+(13*1000+437)/10000000)</f>
        <v/>
      </c>
      <c r="B2688" s="23">
        <f>IF(AND(IFERROR(N(INDEX(Clay_Offices!$A$2:$FZ$601,437,Sync!$C$12)),0)&gt;0,IFERROR(INDEX(Clay_Offices!$A$2:$FZ$601,437,Sync!$C$5)&amp;"","")&lt;&gt;"",OR(LEFT(IFERROR(INDEX(Clay_Offices!$A$2:$FZ$601,437,Sync!$C$5)&amp;"",""),6)&lt;&gt;"SAMPLE",Config!$B$19="Y")),IFERROR(N(INDEX(Clay_Offices!$A$2:$FZ$601,437,Sync!$C$12)),0),"")</f>
        <v/>
      </c>
      <c r="C2688" s="17">
        <f>IF(B2688="","","office")</f>
        <v/>
      </c>
      <c r="D2688" s="17">
        <f>IF(B2688="","",IFERROR(INDEX(Clay_Offices!$A$2:$FZ$601,437,Sync!$C$5)&amp;"",""))</f>
        <v/>
      </c>
      <c r="E2688" s="17">
        <f>IF(B2688="","",IFERROR(INDEX(Clay_Offices!$A$2:$FZ$601,437,Sync!$C$6)&amp;"",""))</f>
        <v/>
      </c>
      <c r="F2688" s="17">
        <f>IF(B2688="","","outreach_sent")</f>
        <v/>
      </c>
      <c r="G2688" s="17">
        <f>IF(B2688="","","")</f>
        <v/>
      </c>
      <c r="H2688" s="17">
        <f>IF(B2688="","","")</f>
        <v/>
      </c>
      <c r="I2688" s="17">
        <f>IF(B2688="","","")</f>
        <v/>
      </c>
      <c r="J2688" s="17">
        <f>IF(B2688="","","touch_2; "&amp;IFERROR(INDEX(Clay_Offices!$A$2:$FZ$601,437,Sync!$C$10)&amp;"","")&amp;"; "&amp;IFERROR(INDEX(Clay_Offices!$A$2:$FZ$601,437,Sync!$C$9)&amp;"",""))</f>
        <v/>
      </c>
      <c r="K2688" t="inlineStr">
        <is>
          <t>office outreach touch 2</t>
        </is>
      </c>
    </row>
    <row r="2689">
      <c r="A2689" s="17">
        <f>IF(B2689="","",B2689+(13*1000+438)/10000000)</f>
        <v/>
      </c>
      <c r="B2689" s="23">
        <f>IF(AND(IFERROR(N(INDEX(Clay_Offices!$A$2:$FZ$601,438,Sync!$C$12)),0)&gt;0,IFERROR(INDEX(Clay_Offices!$A$2:$FZ$601,438,Sync!$C$5)&amp;"","")&lt;&gt;"",OR(LEFT(IFERROR(INDEX(Clay_Offices!$A$2:$FZ$601,438,Sync!$C$5)&amp;"",""),6)&lt;&gt;"SAMPLE",Config!$B$19="Y")),IFERROR(N(INDEX(Clay_Offices!$A$2:$FZ$601,438,Sync!$C$12)),0),"")</f>
        <v/>
      </c>
      <c r="C2689" s="17">
        <f>IF(B2689="","","office")</f>
        <v/>
      </c>
      <c r="D2689" s="17">
        <f>IF(B2689="","",IFERROR(INDEX(Clay_Offices!$A$2:$FZ$601,438,Sync!$C$5)&amp;"",""))</f>
        <v/>
      </c>
      <c r="E2689" s="17">
        <f>IF(B2689="","",IFERROR(INDEX(Clay_Offices!$A$2:$FZ$601,438,Sync!$C$6)&amp;"",""))</f>
        <v/>
      </c>
      <c r="F2689" s="17">
        <f>IF(B2689="","","outreach_sent")</f>
        <v/>
      </c>
      <c r="G2689" s="17">
        <f>IF(B2689="","","")</f>
        <v/>
      </c>
      <c r="H2689" s="17">
        <f>IF(B2689="","","")</f>
        <v/>
      </c>
      <c r="I2689" s="17">
        <f>IF(B2689="","","")</f>
        <v/>
      </c>
      <c r="J2689" s="17">
        <f>IF(B2689="","","touch_2; "&amp;IFERROR(INDEX(Clay_Offices!$A$2:$FZ$601,438,Sync!$C$10)&amp;"","")&amp;"; "&amp;IFERROR(INDEX(Clay_Offices!$A$2:$FZ$601,438,Sync!$C$9)&amp;"",""))</f>
        <v/>
      </c>
      <c r="K2689" t="inlineStr">
        <is>
          <t>office outreach touch 2</t>
        </is>
      </c>
    </row>
    <row r="2690">
      <c r="A2690" s="17">
        <f>IF(B2690="","",B2690+(13*1000+439)/10000000)</f>
        <v/>
      </c>
      <c r="B2690" s="23">
        <f>IF(AND(IFERROR(N(INDEX(Clay_Offices!$A$2:$FZ$601,439,Sync!$C$12)),0)&gt;0,IFERROR(INDEX(Clay_Offices!$A$2:$FZ$601,439,Sync!$C$5)&amp;"","")&lt;&gt;"",OR(LEFT(IFERROR(INDEX(Clay_Offices!$A$2:$FZ$601,439,Sync!$C$5)&amp;"",""),6)&lt;&gt;"SAMPLE",Config!$B$19="Y")),IFERROR(N(INDEX(Clay_Offices!$A$2:$FZ$601,439,Sync!$C$12)),0),"")</f>
        <v/>
      </c>
      <c r="C2690" s="17">
        <f>IF(B2690="","","office")</f>
        <v/>
      </c>
      <c r="D2690" s="17">
        <f>IF(B2690="","",IFERROR(INDEX(Clay_Offices!$A$2:$FZ$601,439,Sync!$C$5)&amp;"",""))</f>
        <v/>
      </c>
      <c r="E2690" s="17">
        <f>IF(B2690="","",IFERROR(INDEX(Clay_Offices!$A$2:$FZ$601,439,Sync!$C$6)&amp;"",""))</f>
        <v/>
      </c>
      <c r="F2690" s="17">
        <f>IF(B2690="","","outreach_sent")</f>
        <v/>
      </c>
      <c r="G2690" s="17">
        <f>IF(B2690="","","")</f>
        <v/>
      </c>
      <c r="H2690" s="17">
        <f>IF(B2690="","","")</f>
        <v/>
      </c>
      <c r="I2690" s="17">
        <f>IF(B2690="","","")</f>
        <v/>
      </c>
      <c r="J2690" s="17">
        <f>IF(B2690="","","touch_2; "&amp;IFERROR(INDEX(Clay_Offices!$A$2:$FZ$601,439,Sync!$C$10)&amp;"","")&amp;"; "&amp;IFERROR(INDEX(Clay_Offices!$A$2:$FZ$601,439,Sync!$C$9)&amp;"",""))</f>
        <v/>
      </c>
      <c r="K2690" t="inlineStr">
        <is>
          <t>office outreach touch 2</t>
        </is>
      </c>
    </row>
    <row r="2691">
      <c r="A2691" s="17">
        <f>IF(B2691="","",B2691+(13*1000+440)/10000000)</f>
        <v/>
      </c>
      <c r="B2691" s="23">
        <f>IF(AND(IFERROR(N(INDEX(Clay_Offices!$A$2:$FZ$601,440,Sync!$C$12)),0)&gt;0,IFERROR(INDEX(Clay_Offices!$A$2:$FZ$601,440,Sync!$C$5)&amp;"","")&lt;&gt;"",OR(LEFT(IFERROR(INDEX(Clay_Offices!$A$2:$FZ$601,440,Sync!$C$5)&amp;"",""),6)&lt;&gt;"SAMPLE",Config!$B$19="Y")),IFERROR(N(INDEX(Clay_Offices!$A$2:$FZ$601,440,Sync!$C$12)),0),"")</f>
        <v/>
      </c>
      <c r="C2691" s="17">
        <f>IF(B2691="","","office")</f>
        <v/>
      </c>
      <c r="D2691" s="17">
        <f>IF(B2691="","",IFERROR(INDEX(Clay_Offices!$A$2:$FZ$601,440,Sync!$C$5)&amp;"",""))</f>
        <v/>
      </c>
      <c r="E2691" s="17">
        <f>IF(B2691="","",IFERROR(INDEX(Clay_Offices!$A$2:$FZ$601,440,Sync!$C$6)&amp;"",""))</f>
        <v/>
      </c>
      <c r="F2691" s="17">
        <f>IF(B2691="","","outreach_sent")</f>
        <v/>
      </c>
      <c r="G2691" s="17">
        <f>IF(B2691="","","")</f>
        <v/>
      </c>
      <c r="H2691" s="17">
        <f>IF(B2691="","","")</f>
        <v/>
      </c>
      <c r="I2691" s="17">
        <f>IF(B2691="","","")</f>
        <v/>
      </c>
      <c r="J2691" s="17">
        <f>IF(B2691="","","touch_2; "&amp;IFERROR(INDEX(Clay_Offices!$A$2:$FZ$601,440,Sync!$C$10)&amp;"","")&amp;"; "&amp;IFERROR(INDEX(Clay_Offices!$A$2:$FZ$601,440,Sync!$C$9)&amp;"",""))</f>
        <v/>
      </c>
      <c r="K2691" t="inlineStr">
        <is>
          <t>office outreach touch 2</t>
        </is>
      </c>
    </row>
    <row r="2692">
      <c r="A2692" s="17">
        <f>IF(B2692="","",B2692+(13*1000+441)/10000000)</f>
        <v/>
      </c>
      <c r="B2692" s="23">
        <f>IF(AND(IFERROR(N(INDEX(Clay_Offices!$A$2:$FZ$601,441,Sync!$C$12)),0)&gt;0,IFERROR(INDEX(Clay_Offices!$A$2:$FZ$601,441,Sync!$C$5)&amp;"","")&lt;&gt;"",OR(LEFT(IFERROR(INDEX(Clay_Offices!$A$2:$FZ$601,441,Sync!$C$5)&amp;"",""),6)&lt;&gt;"SAMPLE",Config!$B$19="Y")),IFERROR(N(INDEX(Clay_Offices!$A$2:$FZ$601,441,Sync!$C$12)),0),"")</f>
        <v/>
      </c>
      <c r="C2692" s="17">
        <f>IF(B2692="","","office")</f>
        <v/>
      </c>
      <c r="D2692" s="17">
        <f>IF(B2692="","",IFERROR(INDEX(Clay_Offices!$A$2:$FZ$601,441,Sync!$C$5)&amp;"",""))</f>
        <v/>
      </c>
      <c r="E2692" s="17">
        <f>IF(B2692="","",IFERROR(INDEX(Clay_Offices!$A$2:$FZ$601,441,Sync!$C$6)&amp;"",""))</f>
        <v/>
      </c>
      <c r="F2692" s="17">
        <f>IF(B2692="","","outreach_sent")</f>
        <v/>
      </c>
      <c r="G2692" s="17">
        <f>IF(B2692="","","")</f>
        <v/>
      </c>
      <c r="H2692" s="17">
        <f>IF(B2692="","","")</f>
        <v/>
      </c>
      <c r="I2692" s="17">
        <f>IF(B2692="","","")</f>
        <v/>
      </c>
      <c r="J2692" s="17">
        <f>IF(B2692="","","touch_2; "&amp;IFERROR(INDEX(Clay_Offices!$A$2:$FZ$601,441,Sync!$C$10)&amp;"","")&amp;"; "&amp;IFERROR(INDEX(Clay_Offices!$A$2:$FZ$601,441,Sync!$C$9)&amp;"",""))</f>
        <v/>
      </c>
      <c r="K2692" t="inlineStr">
        <is>
          <t>office outreach touch 2</t>
        </is>
      </c>
    </row>
    <row r="2693">
      <c r="A2693" s="17">
        <f>IF(B2693="","",B2693+(13*1000+442)/10000000)</f>
        <v/>
      </c>
      <c r="B2693" s="23">
        <f>IF(AND(IFERROR(N(INDEX(Clay_Offices!$A$2:$FZ$601,442,Sync!$C$12)),0)&gt;0,IFERROR(INDEX(Clay_Offices!$A$2:$FZ$601,442,Sync!$C$5)&amp;"","")&lt;&gt;"",OR(LEFT(IFERROR(INDEX(Clay_Offices!$A$2:$FZ$601,442,Sync!$C$5)&amp;"",""),6)&lt;&gt;"SAMPLE",Config!$B$19="Y")),IFERROR(N(INDEX(Clay_Offices!$A$2:$FZ$601,442,Sync!$C$12)),0),"")</f>
        <v/>
      </c>
      <c r="C2693" s="17">
        <f>IF(B2693="","","office")</f>
        <v/>
      </c>
      <c r="D2693" s="17">
        <f>IF(B2693="","",IFERROR(INDEX(Clay_Offices!$A$2:$FZ$601,442,Sync!$C$5)&amp;"",""))</f>
        <v/>
      </c>
      <c r="E2693" s="17">
        <f>IF(B2693="","",IFERROR(INDEX(Clay_Offices!$A$2:$FZ$601,442,Sync!$C$6)&amp;"",""))</f>
        <v/>
      </c>
      <c r="F2693" s="17">
        <f>IF(B2693="","","outreach_sent")</f>
        <v/>
      </c>
      <c r="G2693" s="17">
        <f>IF(B2693="","","")</f>
        <v/>
      </c>
      <c r="H2693" s="17">
        <f>IF(B2693="","","")</f>
        <v/>
      </c>
      <c r="I2693" s="17">
        <f>IF(B2693="","","")</f>
        <v/>
      </c>
      <c r="J2693" s="17">
        <f>IF(B2693="","","touch_2; "&amp;IFERROR(INDEX(Clay_Offices!$A$2:$FZ$601,442,Sync!$C$10)&amp;"","")&amp;"; "&amp;IFERROR(INDEX(Clay_Offices!$A$2:$FZ$601,442,Sync!$C$9)&amp;"",""))</f>
        <v/>
      </c>
      <c r="K2693" t="inlineStr">
        <is>
          <t>office outreach touch 2</t>
        </is>
      </c>
    </row>
    <row r="2694">
      <c r="A2694" s="17">
        <f>IF(B2694="","",B2694+(13*1000+443)/10000000)</f>
        <v/>
      </c>
      <c r="B2694" s="23">
        <f>IF(AND(IFERROR(N(INDEX(Clay_Offices!$A$2:$FZ$601,443,Sync!$C$12)),0)&gt;0,IFERROR(INDEX(Clay_Offices!$A$2:$FZ$601,443,Sync!$C$5)&amp;"","")&lt;&gt;"",OR(LEFT(IFERROR(INDEX(Clay_Offices!$A$2:$FZ$601,443,Sync!$C$5)&amp;"",""),6)&lt;&gt;"SAMPLE",Config!$B$19="Y")),IFERROR(N(INDEX(Clay_Offices!$A$2:$FZ$601,443,Sync!$C$12)),0),"")</f>
        <v/>
      </c>
      <c r="C2694" s="17">
        <f>IF(B2694="","","office")</f>
        <v/>
      </c>
      <c r="D2694" s="17">
        <f>IF(B2694="","",IFERROR(INDEX(Clay_Offices!$A$2:$FZ$601,443,Sync!$C$5)&amp;"",""))</f>
        <v/>
      </c>
      <c r="E2694" s="17">
        <f>IF(B2694="","",IFERROR(INDEX(Clay_Offices!$A$2:$FZ$601,443,Sync!$C$6)&amp;"",""))</f>
        <v/>
      </c>
      <c r="F2694" s="17">
        <f>IF(B2694="","","outreach_sent")</f>
        <v/>
      </c>
      <c r="G2694" s="17">
        <f>IF(B2694="","","")</f>
        <v/>
      </c>
      <c r="H2694" s="17">
        <f>IF(B2694="","","")</f>
        <v/>
      </c>
      <c r="I2694" s="17">
        <f>IF(B2694="","","")</f>
        <v/>
      </c>
      <c r="J2694" s="17">
        <f>IF(B2694="","","touch_2; "&amp;IFERROR(INDEX(Clay_Offices!$A$2:$FZ$601,443,Sync!$C$10)&amp;"","")&amp;"; "&amp;IFERROR(INDEX(Clay_Offices!$A$2:$FZ$601,443,Sync!$C$9)&amp;"",""))</f>
        <v/>
      </c>
      <c r="K2694" t="inlineStr">
        <is>
          <t>office outreach touch 2</t>
        </is>
      </c>
    </row>
    <row r="2695">
      <c r="A2695" s="17">
        <f>IF(B2695="","",B2695+(13*1000+444)/10000000)</f>
        <v/>
      </c>
      <c r="B2695" s="23">
        <f>IF(AND(IFERROR(N(INDEX(Clay_Offices!$A$2:$FZ$601,444,Sync!$C$12)),0)&gt;0,IFERROR(INDEX(Clay_Offices!$A$2:$FZ$601,444,Sync!$C$5)&amp;"","")&lt;&gt;"",OR(LEFT(IFERROR(INDEX(Clay_Offices!$A$2:$FZ$601,444,Sync!$C$5)&amp;"",""),6)&lt;&gt;"SAMPLE",Config!$B$19="Y")),IFERROR(N(INDEX(Clay_Offices!$A$2:$FZ$601,444,Sync!$C$12)),0),"")</f>
        <v/>
      </c>
      <c r="C2695" s="17">
        <f>IF(B2695="","","office")</f>
        <v/>
      </c>
      <c r="D2695" s="17">
        <f>IF(B2695="","",IFERROR(INDEX(Clay_Offices!$A$2:$FZ$601,444,Sync!$C$5)&amp;"",""))</f>
        <v/>
      </c>
      <c r="E2695" s="17">
        <f>IF(B2695="","",IFERROR(INDEX(Clay_Offices!$A$2:$FZ$601,444,Sync!$C$6)&amp;"",""))</f>
        <v/>
      </c>
      <c r="F2695" s="17">
        <f>IF(B2695="","","outreach_sent")</f>
        <v/>
      </c>
      <c r="G2695" s="17">
        <f>IF(B2695="","","")</f>
        <v/>
      </c>
      <c r="H2695" s="17">
        <f>IF(B2695="","","")</f>
        <v/>
      </c>
      <c r="I2695" s="17">
        <f>IF(B2695="","","")</f>
        <v/>
      </c>
      <c r="J2695" s="17">
        <f>IF(B2695="","","touch_2; "&amp;IFERROR(INDEX(Clay_Offices!$A$2:$FZ$601,444,Sync!$C$10)&amp;"","")&amp;"; "&amp;IFERROR(INDEX(Clay_Offices!$A$2:$FZ$601,444,Sync!$C$9)&amp;"",""))</f>
        <v/>
      </c>
      <c r="K2695" t="inlineStr">
        <is>
          <t>office outreach touch 2</t>
        </is>
      </c>
    </row>
    <row r="2696">
      <c r="A2696" s="17">
        <f>IF(B2696="","",B2696+(13*1000+445)/10000000)</f>
        <v/>
      </c>
      <c r="B2696" s="23">
        <f>IF(AND(IFERROR(N(INDEX(Clay_Offices!$A$2:$FZ$601,445,Sync!$C$12)),0)&gt;0,IFERROR(INDEX(Clay_Offices!$A$2:$FZ$601,445,Sync!$C$5)&amp;"","")&lt;&gt;"",OR(LEFT(IFERROR(INDEX(Clay_Offices!$A$2:$FZ$601,445,Sync!$C$5)&amp;"",""),6)&lt;&gt;"SAMPLE",Config!$B$19="Y")),IFERROR(N(INDEX(Clay_Offices!$A$2:$FZ$601,445,Sync!$C$12)),0),"")</f>
        <v/>
      </c>
      <c r="C2696" s="17">
        <f>IF(B2696="","","office")</f>
        <v/>
      </c>
      <c r="D2696" s="17">
        <f>IF(B2696="","",IFERROR(INDEX(Clay_Offices!$A$2:$FZ$601,445,Sync!$C$5)&amp;"",""))</f>
        <v/>
      </c>
      <c r="E2696" s="17">
        <f>IF(B2696="","",IFERROR(INDEX(Clay_Offices!$A$2:$FZ$601,445,Sync!$C$6)&amp;"",""))</f>
        <v/>
      </c>
      <c r="F2696" s="17">
        <f>IF(B2696="","","outreach_sent")</f>
        <v/>
      </c>
      <c r="G2696" s="17">
        <f>IF(B2696="","","")</f>
        <v/>
      </c>
      <c r="H2696" s="17">
        <f>IF(B2696="","","")</f>
        <v/>
      </c>
      <c r="I2696" s="17">
        <f>IF(B2696="","","")</f>
        <v/>
      </c>
      <c r="J2696" s="17">
        <f>IF(B2696="","","touch_2; "&amp;IFERROR(INDEX(Clay_Offices!$A$2:$FZ$601,445,Sync!$C$10)&amp;"","")&amp;"; "&amp;IFERROR(INDEX(Clay_Offices!$A$2:$FZ$601,445,Sync!$C$9)&amp;"",""))</f>
        <v/>
      </c>
      <c r="K2696" t="inlineStr">
        <is>
          <t>office outreach touch 2</t>
        </is>
      </c>
    </row>
    <row r="2697">
      <c r="A2697" s="17">
        <f>IF(B2697="","",B2697+(13*1000+446)/10000000)</f>
        <v/>
      </c>
      <c r="B2697" s="23">
        <f>IF(AND(IFERROR(N(INDEX(Clay_Offices!$A$2:$FZ$601,446,Sync!$C$12)),0)&gt;0,IFERROR(INDEX(Clay_Offices!$A$2:$FZ$601,446,Sync!$C$5)&amp;"","")&lt;&gt;"",OR(LEFT(IFERROR(INDEX(Clay_Offices!$A$2:$FZ$601,446,Sync!$C$5)&amp;"",""),6)&lt;&gt;"SAMPLE",Config!$B$19="Y")),IFERROR(N(INDEX(Clay_Offices!$A$2:$FZ$601,446,Sync!$C$12)),0),"")</f>
        <v/>
      </c>
      <c r="C2697" s="17">
        <f>IF(B2697="","","office")</f>
        <v/>
      </c>
      <c r="D2697" s="17">
        <f>IF(B2697="","",IFERROR(INDEX(Clay_Offices!$A$2:$FZ$601,446,Sync!$C$5)&amp;"",""))</f>
        <v/>
      </c>
      <c r="E2697" s="17">
        <f>IF(B2697="","",IFERROR(INDEX(Clay_Offices!$A$2:$FZ$601,446,Sync!$C$6)&amp;"",""))</f>
        <v/>
      </c>
      <c r="F2697" s="17">
        <f>IF(B2697="","","outreach_sent")</f>
        <v/>
      </c>
      <c r="G2697" s="17">
        <f>IF(B2697="","","")</f>
        <v/>
      </c>
      <c r="H2697" s="17">
        <f>IF(B2697="","","")</f>
        <v/>
      </c>
      <c r="I2697" s="17">
        <f>IF(B2697="","","")</f>
        <v/>
      </c>
      <c r="J2697" s="17">
        <f>IF(B2697="","","touch_2; "&amp;IFERROR(INDEX(Clay_Offices!$A$2:$FZ$601,446,Sync!$C$10)&amp;"","")&amp;"; "&amp;IFERROR(INDEX(Clay_Offices!$A$2:$FZ$601,446,Sync!$C$9)&amp;"",""))</f>
        <v/>
      </c>
      <c r="K2697" t="inlineStr">
        <is>
          <t>office outreach touch 2</t>
        </is>
      </c>
    </row>
    <row r="2698">
      <c r="A2698" s="17">
        <f>IF(B2698="","",B2698+(13*1000+447)/10000000)</f>
        <v/>
      </c>
      <c r="B2698" s="23">
        <f>IF(AND(IFERROR(N(INDEX(Clay_Offices!$A$2:$FZ$601,447,Sync!$C$12)),0)&gt;0,IFERROR(INDEX(Clay_Offices!$A$2:$FZ$601,447,Sync!$C$5)&amp;"","")&lt;&gt;"",OR(LEFT(IFERROR(INDEX(Clay_Offices!$A$2:$FZ$601,447,Sync!$C$5)&amp;"",""),6)&lt;&gt;"SAMPLE",Config!$B$19="Y")),IFERROR(N(INDEX(Clay_Offices!$A$2:$FZ$601,447,Sync!$C$12)),0),"")</f>
        <v/>
      </c>
      <c r="C2698" s="17">
        <f>IF(B2698="","","office")</f>
        <v/>
      </c>
      <c r="D2698" s="17">
        <f>IF(B2698="","",IFERROR(INDEX(Clay_Offices!$A$2:$FZ$601,447,Sync!$C$5)&amp;"",""))</f>
        <v/>
      </c>
      <c r="E2698" s="17">
        <f>IF(B2698="","",IFERROR(INDEX(Clay_Offices!$A$2:$FZ$601,447,Sync!$C$6)&amp;"",""))</f>
        <v/>
      </c>
      <c r="F2698" s="17">
        <f>IF(B2698="","","outreach_sent")</f>
        <v/>
      </c>
      <c r="G2698" s="17">
        <f>IF(B2698="","","")</f>
        <v/>
      </c>
      <c r="H2698" s="17">
        <f>IF(B2698="","","")</f>
        <v/>
      </c>
      <c r="I2698" s="17">
        <f>IF(B2698="","","")</f>
        <v/>
      </c>
      <c r="J2698" s="17">
        <f>IF(B2698="","","touch_2; "&amp;IFERROR(INDEX(Clay_Offices!$A$2:$FZ$601,447,Sync!$C$10)&amp;"","")&amp;"; "&amp;IFERROR(INDEX(Clay_Offices!$A$2:$FZ$601,447,Sync!$C$9)&amp;"",""))</f>
        <v/>
      </c>
      <c r="K2698" t="inlineStr">
        <is>
          <t>office outreach touch 2</t>
        </is>
      </c>
    </row>
    <row r="2699">
      <c r="A2699" s="17">
        <f>IF(B2699="","",B2699+(13*1000+448)/10000000)</f>
        <v/>
      </c>
      <c r="B2699" s="23">
        <f>IF(AND(IFERROR(N(INDEX(Clay_Offices!$A$2:$FZ$601,448,Sync!$C$12)),0)&gt;0,IFERROR(INDEX(Clay_Offices!$A$2:$FZ$601,448,Sync!$C$5)&amp;"","")&lt;&gt;"",OR(LEFT(IFERROR(INDEX(Clay_Offices!$A$2:$FZ$601,448,Sync!$C$5)&amp;"",""),6)&lt;&gt;"SAMPLE",Config!$B$19="Y")),IFERROR(N(INDEX(Clay_Offices!$A$2:$FZ$601,448,Sync!$C$12)),0),"")</f>
        <v/>
      </c>
      <c r="C2699" s="17">
        <f>IF(B2699="","","office")</f>
        <v/>
      </c>
      <c r="D2699" s="17">
        <f>IF(B2699="","",IFERROR(INDEX(Clay_Offices!$A$2:$FZ$601,448,Sync!$C$5)&amp;"",""))</f>
        <v/>
      </c>
      <c r="E2699" s="17">
        <f>IF(B2699="","",IFERROR(INDEX(Clay_Offices!$A$2:$FZ$601,448,Sync!$C$6)&amp;"",""))</f>
        <v/>
      </c>
      <c r="F2699" s="17">
        <f>IF(B2699="","","outreach_sent")</f>
        <v/>
      </c>
      <c r="G2699" s="17">
        <f>IF(B2699="","","")</f>
        <v/>
      </c>
      <c r="H2699" s="17">
        <f>IF(B2699="","","")</f>
        <v/>
      </c>
      <c r="I2699" s="17">
        <f>IF(B2699="","","")</f>
        <v/>
      </c>
      <c r="J2699" s="17">
        <f>IF(B2699="","","touch_2; "&amp;IFERROR(INDEX(Clay_Offices!$A$2:$FZ$601,448,Sync!$C$10)&amp;"","")&amp;"; "&amp;IFERROR(INDEX(Clay_Offices!$A$2:$FZ$601,448,Sync!$C$9)&amp;"",""))</f>
        <v/>
      </c>
      <c r="K2699" t="inlineStr">
        <is>
          <t>office outreach touch 2</t>
        </is>
      </c>
    </row>
    <row r="2700">
      <c r="A2700" s="17">
        <f>IF(B2700="","",B2700+(13*1000+449)/10000000)</f>
        <v/>
      </c>
      <c r="B2700" s="23">
        <f>IF(AND(IFERROR(N(INDEX(Clay_Offices!$A$2:$FZ$601,449,Sync!$C$12)),0)&gt;0,IFERROR(INDEX(Clay_Offices!$A$2:$FZ$601,449,Sync!$C$5)&amp;"","")&lt;&gt;"",OR(LEFT(IFERROR(INDEX(Clay_Offices!$A$2:$FZ$601,449,Sync!$C$5)&amp;"",""),6)&lt;&gt;"SAMPLE",Config!$B$19="Y")),IFERROR(N(INDEX(Clay_Offices!$A$2:$FZ$601,449,Sync!$C$12)),0),"")</f>
        <v/>
      </c>
      <c r="C2700" s="17">
        <f>IF(B2700="","","office")</f>
        <v/>
      </c>
      <c r="D2700" s="17">
        <f>IF(B2700="","",IFERROR(INDEX(Clay_Offices!$A$2:$FZ$601,449,Sync!$C$5)&amp;"",""))</f>
        <v/>
      </c>
      <c r="E2700" s="17">
        <f>IF(B2700="","",IFERROR(INDEX(Clay_Offices!$A$2:$FZ$601,449,Sync!$C$6)&amp;"",""))</f>
        <v/>
      </c>
      <c r="F2700" s="17">
        <f>IF(B2700="","","outreach_sent")</f>
        <v/>
      </c>
      <c r="G2700" s="17">
        <f>IF(B2700="","","")</f>
        <v/>
      </c>
      <c r="H2700" s="17">
        <f>IF(B2700="","","")</f>
        <v/>
      </c>
      <c r="I2700" s="17">
        <f>IF(B2700="","","")</f>
        <v/>
      </c>
      <c r="J2700" s="17">
        <f>IF(B2700="","","touch_2; "&amp;IFERROR(INDEX(Clay_Offices!$A$2:$FZ$601,449,Sync!$C$10)&amp;"","")&amp;"; "&amp;IFERROR(INDEX(Clay_Offices!$A$2:$FZ$601,449,Sync!$C$9)&amp;"",""))</f>
        <v/>
      </c>
      <c r="K2700" t="inlineStr">
        <is>
          <t>office outreach touch 2</t>
        </is>
      </c>
    </row>
    <row r="2701">
      <c r="A2701" s="17">
        <f>IF(B2701="","",B2701+(13*1000+450)/10000000)</f>
        <v/>
      </c>
      <c r="B2701" s="23">
        <f>IF(AND(IFERROR(N(INDEX(Clay_Offices!$A$2:$FZ$601,450,Sync!$C$12)),0)&gt;0,IFERROR(INDEX(Clay_Offices!$A$2:$FZ$601,450,Sync!$C$5)&amp;"","")&lt;&gt;"",OR(LEFT(IFERROR(INDEX(Clay_Offices!$A$2:$FZ$601,450,Sync!$C$5)&amp;"",""),6)&lt;&gt;"SAMPLE",Config!$B$19="Y")),IFERROR(N(INDEX(Clay_Offices!$A$2:$FZ$601,450,Sync!$C$12)),0),"")</f>
        <v/>
      </c>
      <c r="C2701" s="17">
        <f>IF(B2701="","","office")</f>
        <v/>
      </c>
      <c r="D2701" s="17">
        <f>IF(B2701="","",IFERROR(INDEX(Clay_Offices!$A$2:$FZ$601,450,Sync!$C$5)&amp;"",""))</f>
        <v/>
      </c>
      <c r="E2701" s="17">
        <f>IF(B2701="","",IFERROR(INDEX(Clay_Offices!$A$2:$FZ$601,450,Sync!$C$6)&amp;"",""))</f>
        <v/>
      </c>
      <c r="F2701" s="17">
        <f>IF(B2701="","","outreach_sent")</f>
        <v/>
      </c>
      <c r="G2701" s="17">
        <f>IF(B2701="","","")</f>
        <v/>
      </c>
      <c r="H2701" s="17">
        <f>IF(B2701="","","")</f>
        <v/>
      </c>
      <c r="I2701" s="17">
        <f>IF(B2701="","","")</f>
        <v/>
      </c>
      <c r="J2701" s="17">
        <f>IF(B2701="","","touch_2; "&amp;IFERROR(INDEX(Clay_Offices!$A$2:$FZ$601,450,Sync!$C$10)&amp;"","")&amp;"; "&amp;IFERROR(INDEX(Clay_Offices!$A$2:$FZ$601,450,Sync!$C$9)&amp;"",""))</f>
        <v/>
      </c>
      <c r="K2701" t="inlineStr">
        <is>
          <t>office outreach touch 2</t>
        </is>
      </c>
    </row>
    <row r="2702">
      <c r="A2702" s="17">
        <f>IF(B2702="","",B2702+(13*1000+451)/10000000)</f>
        <v/>
      </c>
      <c r="B2702" s="23">
        <f>IF(AND(IFERROR(N(INDEX(Clay_Offices!$A$2:$FZ$601,451,Sync!$C$12)),0)&gt;0,IFERROR(INDEX(Clay_Offices!$A$2:$FZ$601,451,Sync!$C$5)&amp;"","")&lt;&gt;"",OR(LEFT(IFERROR(INDEX(Clay_Offices!$A$2:$FZ$601,451,Sync!$C$5)&amp;"",""),6)&lt;&gt;"SAMPLE",Config!$B$19="Y")),IFERROR(N(INDEX(Clay_Offices!$A$2:$FZ$601,451,Sync!$C$12)),0),"")</f>
        <v/>
      </c>
      <c r="C2702" s="17">
        <f>IF(B2702="","","office")</f>
        <v/>
      </c>
      <c r="D2702" s="17">
        <f>IF(B2702="","",IFERROR(INDEX(Clay_Offices!$A$2:$FZ$601,451,Sync!$C$5)&amp;"",""))</f>
        <v/>
      </c>
      <c r="E2702" s="17">
        <f>IF(B2702="","",IFERROR(INDEX(Clay_Offices!$A$2:$FZ$601,451,Sync!$C$6)&amp;"",""))</f>
        <v/>
      </c>
      <c r="F2702" s="17">
        <f>IF(B2702="","","outreach_sent")</f>
        <v/>
      </c>
      <c r="G2702" s="17">
        <f>IF(B2702="","","")</f>
        <v/>
      </c>
      <c r="H2702" s="17">
        <f>IF(B2702="","","")</f>
        <v/>
      </c>
      <c r="I2702" s="17">
        <f>IF(B2702="","","")</f>
        <v/>
      </c>
      <c r="J2702" s="17">
        <f>IF(B2702="","","touch_2; "&amp;IFERROR(INDEX(Clay_Offices!$A$2:$FZ$601,451,Sync!$C$10)&amp;"","")&amp;"; "&amp;IFERROR(INDEX(Clay_Offices!$A$2:$FZ$601,451,Sync!$C$9)&amp;"",""))</f>
        <v/>
      </c>
      <c r="K2702" t="inlineStr">
        <is>
          <t>office outreach touch 2</t>
        </is>
      </c>
    </row>
    <row r="2703">
      <c r="A2703" s="17">
        <f>IF(B2703="","",B2703+(13*1000+452)/10000000)</f>
        <v/>
      </c>
      <c r="B2703" s="23">
        <f>IF(AND(IFERROR(N(INDEX(Clay_Offices!$A$2:$FZ$601,452,Sync!$C$12)),0)&gt;0,IFERROR(INDEX(Clay_Offices!$A$2:$FZ$601,452,Sync!$C$5)&amp;"","")&lt;&gt;"",OR(LEFT(IFERROR(INDEX(Clay_Offices!$A$2:$FZ$601,452,Sync!$C$5)&amp;"",""),6)&lt;&gt;"SAMPLE",Config!$B$19="Y")),IFERROR(N(INDEX(Clay_Offices!$A$2:$FZ$601,452,Sync!$C$12)),0),"")</f>
        <v/>
      </c>
      <c r="C2703" s="17">
        <f>IF(B2703="","","office")</f>
        <v/>
      </c>
      <c r="D2703" s="17">
        <f>IF(B2703="","",IFERROR(INDEX(Clay_Offices!$A$2:$FZ$601,452,Sync!$C$5)&amp;"",""))</f>
        <v/>
      </c>
      <c r="E2703" s="17">
        <f>IF(B2703="","",IFERROR(INDEX(Clay_Offices!$A$2:$FZ$601,452,Sync!$C$6)&amp;"",""))</f>
        <v/>
      </c>
      <c r="F2703" s="17">
        <f>IF(B2703="","","outreach_sent")</f>
        <v/>
      </c>
      <c r="G2703" s="17">
        <f>IF(B2703="","","")</f>
        <v/>
      </c>
      <c r="H2703" s="17">
        <f>IF(B2703="","","")</f>
        <v/>
      </c>
      <c r="I2703" s="17">
        <f>IF(B2703="","","")</f>
        <v/>
      </c>
      <c r="J2703" s="17">
        <f>IF(B2703="","","touch_2; "&amp;IFERROR(INDEX(Clay_Offices!$A$2:$FZ$601,452,Sync!$C$10)&amp;"","")&amp;"; "&amp;IFERROR(INDEX(Clay_Offices!$A$2:$FZ$601,452,Sync!$C$9)&amp;"",""))</f>
        <v/>
      </c>
      <c r="K2703" t="inlineStr">
        <is>
          <t>office outreach touch 2</t>
        </is>
      </c>
    </row>
    <row r="2704">
      <c r="A2704" s="17">
        <f>IF(B2704="","",B2704+(13*1000+453)/10000000)</f>
        <v/>
      </c>
      <c r="B2704" s="23">
        <f>IF(AND(IFERROR(N(INDEX(Clay_Offices!$A$2:$FZ$601,453,Sync!$C$12)),0)&gt;0,IFERROR(INDEX(Clay_Offices!$A$2:$FZ$601,453,Sync!$C$5)&amp;"","")&lt;&gt;"",OR(LEFT(IFERROR(INDEX(Clay_Offices!$A$2:$FZ$601,453,Sync!$C$5)&amp;"",""),6)&lt;&gt;"SAMPLE",Config!$B$19="Y")),IFERROR(N(INDEX(Clay_Offices!$A$2:$FZ$601,453,Sync!$C$12)),0),"")</f>
        <v/>
      </c>
      <c r="C2704" s="17">
        <f>IF(B2704="","","office")</f>
        <v/>
      </c>
      <c r="D2704" s="17">
        <f>IF(B2704="","",IFERROR(INDEX(Clay_Offices!$A$2:$FZ$601,453,Sync!$C$5)&amp;"",""))</f>
        <v/>
      </c>
      <c r="E2704" s="17">
        <f>IF(B2704="","",IFERROR(INDEX(Clay_Offices!$A$2:$FZ$601,453,Sync!$C$6)&amp;"",""))</f>
        <v/>
      </c>
      <c r="F2704" s="17">
        <f>IF(B2704="","","outreach_sent")</f>
        <v/>
      </c>
      <c r="G2704" s="17">
        <f>IF(B2704="","","")</f>
        <v/>
      </c>
      <c r="H2704" s="17">
        <f>IF(B2704="","","")</f>
        <v/>
      </c>
      <c r="I2704" s="17">
        <f>IF(B2704="","","")</f>
        <v/>
      </c>
      <c r="J2704" s="17">
        <f>IF(B2704="","","touch_2; "&amp;IFERROR(INDEX(Clay_Offices!$A$2:$FZ$601,453,Sync!$C$10)&amp;"","")&amp;"; "&amp;IFERROR(INDEX(Clay_Offices!$A$2:$FZ$601,453,Sync!$C$9)&amp;"",""))</f>
        <v/>
      </c>
      <c r="K2704" t="inlineStr">
        <is>
          <t>office outreach touch 2</t>
        </is>
      </c>
    </row>
    <row r="2705">
      <c r="A2705" s="17">
        <f>IF(B2705="","",B2705+(13*1000+454)/10000000)</f>
        <v/>
      </c>
      <c r="B2705" s="23">
        <f>IF(AND(IFERROR(N(INDEX(Clay_Offices!$A$2:$FZ$601,454,Sync!$C$12)),0)&gt;0,IFERROR(INDEX(Clay_Offices!$A$2:$FZ$601,454,Sync!$C$5)&amp;"","")&lt;&gt;"",OR(LEFT(IFERROR(INDEX(Clay_Offices!$A$2:$FZ$601,454,Sync!$C$5)&amp;"",""),6)&lt;&gt;"SAMPLE",Config!$B$19="Y")),IFERROR(N(INDEX(Clay_Offices!$A$2:$FZ$601,454,Sync!$C$12)),0),"")</f>
        <v/>
      </c>
      <c r="C2705" s="17">
        <f>IF(B2705="","","office")</f>
        <v/>
      </c>
      <c r="D2705" s="17">
        <f>IF(B2705="","",IFERROR(INDEX(Clay_Offices!$A$2:$FZ$601,454,Sync!$C$5)&amp;"",""))</f>
        <v/>
      </c>
      <c r="E2705" s="17">
        <f>IF(B2705="","",IFERROR(INDEX(Clay_Offices!$A$2:$FZ$601,454,Sync!$C$6)&amp;"",""))</f>
        <v/>
      </c>
      <c r="F2705" s="17">
        <f>IF(B2705="","","outreach_sent")</f>
        <v/>
      </c>
      <c r="G2705" s="17">
        <f>IF(B2705="","","")</f>
        <v/>
      </c>
      <c r="H2705" s="17">
        <f>IF(B2705="","","")</f>
        <v/>
      </c>
      <c r="I2705" s="17">
        <f>IF(B2705="","","")</f>
        <v/>
      </c>
      <c r="J2705" s="17">
        <f>IF(B2705="","","touch_2; "&amp;IFERROR(INDEX(Clay_Offices!$A$2:$FZ$601,454,Sync!$C$10)&amp;"","")&amp;"; "&amp;IFERROR(INDEX(Clay_Offices!$A$2:$FZ$601,454,Sync!$C$9)&amp;"",""))</f>
        <v/>
      </c>
      <c r="K2705" t="inlineStr">
        <is>
          <t>office outreach touch 2</t>
        </is>
      </c>
    </row>
    <row r="2706">
      <c r="A2706" s="17">
        <f>IF(B2706="","",B2706+(13*1000+455)/10000000)</f>
        <v/>
      </c>
      <c r="B2706" s="23">
        <f>IF(AND(IFERROR(N(INDEX(Clay_Offices!$A$2:$FZ$601,455,Sync!$C$12)),0)&gt;0,IFERROR(INDEX(Clay_Offices!$A$2:$FZ$601,455,Sync!$C$5)&amp;"","")&lt;&gt;"",OR(LEFT(IFERROR(INDEX(Clay_Offices!$A$2:$FZ$601,455,Sync!$C$5)&amp;"",""),6)&lt;&gt;"SAMPLE",Config!$B$19="Y")),IFERROR(N(INDEX(Clay_Offices!$A$2:$FZ$601,455,Sync!$C$12)),0),"")</f>
        <v/>
      </c>
      <c r="C2706" s="17">
        <f>IF(B2706="","","office")</f>
        <v/>
      </c>
      <c r="D2706" s="17">
        <f>IF(B2706="","",IFERROR(INDEX(Clay_Offices!$A$2:$FZ$601,455,Sync!$C$5)&amp;"",""))</f>
        <v/>
      </c>
      <c r="E2706" s="17">
        <f>IF(B2706="","",IFERROR(INDEX(Clay_Offices!$A$2:$FZ$601,455,Sync!$C$6)&amp;"",""))</f>
        <v/>
      </c>
      <c r="F2706" s="17">
        <f>IF(B2706="","","outreach_sent")</f>
        <v/>
      </c>
      <c r="G2706" s="17">
        <f>IF(B2706="","","")</f>
        <v/>
      </c>
      <c r="H2706" s="17">
        <f>IF(B2706="","","")</f>
        <v/>
      </c>
      <c r="I2706" s="17">
        <f>IF(B2706="","","")</f>
        <v/>
      </c>
      <c r="J2706" s="17">
        <f>IF(B2706="","","touch_2; "&amp;IFERROR(INDEX(Clay_Offices!$A$2:$FZ$601,455,Sync!$C$10)&amp;"","")&amp;"; "&amp;IFERROR(INDEX(Clay_Offices!$A$2:$FZ$601,455,Sync!$C$9)&amp;"",""))</f>
        <v/>
      </c>
      <c r="K2706" t="inlineStr">
        <is>
          <t>office outreach touch 2</t>
        </is>
      </c>
    </row>
    <row r="2707">
      <c r="A2707" s="17">
        <f>IF(B2707="","",B2707+(13*1000+456)/10000000)</f>
        <v/>
      </c>
      <c r="B2707" s="23">
        <f>IF(AND(IFERROR(N(INDEX(Clay_Offices!$A$2:$FZ$601,456,Sync!$C$12)),0)&gt;0,IFERROR(INDEX(Clay_Offices!$A$2:$FZ$601,456,Sync!$C$5)&amp;"","")&lt;&gt;"",OR(LEFT(IFERROR(INDEX(Clay_Offices!$A$2:$FZ$601,456,Sync!$C$5)&amp;"",""),6)&lt;&gt;"SAMPLE",Config!$B$19="Y")),IFERROR(N(INDEX(Clay_Offices!$A$2:$FZ$601,456,Sync!$C$12)),0),"")</f>
        <v/>
      </c>
      <c r="C2707" s="17">
        <f>IF(B2707="","","office")</f>
        <v/>
      </c>
      <c r="D2707" s="17">
        <f>IF(B2707="","",IFERROR(INDEX(Clay_Offices!$A$2:$FZ$601,456,Sync!$C$5)&amp;"",""))</f>
        <v/>
      </c>
      <c r="E2707" s="17">
        <f>IF(B2707="","",IFERROR(INDEX(Clay_Offices!$A$2:$FZ$601,456,Sync!$C$6)&amp;"",""))</f>
        <v/>
      </c>
      <c r="F2707" s="17">
        <f>IF(B2707="","","outreach_sent")</f>
        <v/>
      </c>
      <c r="G2707" s="17">
        <f>IF(B2707="","","")</f>
        <v/>
      </c>
      <c r="H2707" s="17">
        <f>IF(B2707="","","")</f>
        <v/>
      </c>
      <c r="I2707" s="17">
        <f>IF(B2707="","","")</f>
        <v/>
      </c>
      <c r="J2707" s="17">
        <f>IF(B2707="","","touch_2; "&amp;IFERROR(INDEX(Clay_Offices!$A$2:$FZ$601,456,Sync!$C$10)&amp;"","")&amp;"; "&amp;IFERROR(INDEX(Clay_Offices!$A$2:$FZ$601,456,Sync!$C$9)&amp;"",""))</f>
        <v/>
      </c>
      <c r="K2707" t="inlineStr">
        <is>
          <t>office outreach touch 2</t>
        </is>
      </c>
    </row>
    <row r="2708">
      <c r="A2708" s="17">
        <f>IF(B2708="","",B2708+(13*1000+457)/10000000)</f>
        <v/>
      </c>
      <c r="B2708" s="23">
        <f>IF(AND(IFERROR(N(INDEX(Clay_Offices!$A$2:$FZ$601,457,Sync!$C$12)),0)&gt;0,IFERROR(INDEX(Clay_Offices!$A$2:$FZ$601,457,Sync!$C$5)&amp;"","")&lt;&gt;"",OR(LEFT(IFERROR(INDEX(Clay_Offices!$A$2:$FZ$601,457,Sync!$C$5)&amp;"",""),6)&lt;&gt;"SAMPLE",Config!$B$19="Y")),IFERROR(N(INDEX(Clay_Offices!$A$2:$FZ$601,457,Sync!$C$12)),0),"")</f>
        <v/>
      </c>
      <c r="C2708" s="17">
        <f>IF(B2708="","","office")</f>
        <v/>
      </c>
      <c r="D2708" s="17">
        <f>IF(B2708="","",IFERROR(INDEX(Clay_Offices!$A$2:$FZ$601,457,Sync!$C$5)&amp;"",""))</f>
        <v/>
      </c>
      <c r="E2708" s="17">
        <f>IF(B2708="","",IFERROR(INDEX(Clay_Offices!$A$2:$FZ$601,457,Sync!$C$6)&amp;"",""))</f>
        <v/>
      </c>
      <c r="F2708" s="17">
        <f>IF(B2708="","","outreach_sent")</f>
        <v/>
      </c>
      <c r="G2708" s="17">
        <f>IF(B2708="","","")</f>
        <v/>
      </c>
      <c r="H2708" s="17">
        <f>IF(B2708="","","")</f>
        <v/>
      </c>
      <c r="I2708" s="17">
        <f>IF(B2708="","","")</f>
        <v/>
      </c>
      <c r="J2708" s="17">
        <f>IF(B2708="","","touch_2; "&amp;IFERROR(INDEX(Clay_Offices!$A$2:$FZ$601,457,Sync!$C$10)&amp;"","")&amp;"; "&amp;IFERROR(INDEX(Clay_Offices!$A$2:$FZ$601,457,Sync!$C$9)&amp;"",""))</f>
        <v/>
      </c>
      <c r="K2708" t="inlineStr">
        <is>
          <t>office outreach touch 2</t>
        </is>
      </c>
    </row>
    <row r="2709">
      <c r="A2709" s="17">
        <f>IF(B2709="","",B2709+(13*1000+458)/10000000)</f>
        <v/>
      </c>
      <c r="B2709" s="23">
        <f>IF(AND(IFERROR(N(INDEX(Clay_Offices!$A$2:$FZ$601,458,Sync!$C$12)),0)&gt;0,IFERROR(INDEX(Clay_Offices!$A$2:$FZ$601,458,Sync!$C$5)&amp;"","")&lt;&gt;"",OR(LEFT(IFERROR(INDEX(Clay_Offices!$A$2:$FZ$601,458,Sync!$C$5)&amp;"",""),6)&lt;&gt;"SAMPLE",Config!$B$19="Y")),IFERROR(N(INDEX(Clay_Offices!$A$2:$FZ$601,458,Sync!$C$12)),0),"")</f>
        <v/>
      </c>
      <c r="C2709" s="17">
        <f>IF(B2709="","","office")</f>
        <v/>
      </c>
      <c r="D2709" s="17">
        <f>IF(B2709="","",IFERROR(INDEX(Clay_Offices!$A$2:$FZ$601,458,Sync!$C$5)&amp;"",""))</f>
        <v/>
      </c>
      <c r="E2709" s="17">
        <f>IF(B2709="","",IFERROR(INDEX(Clay_Offices!$A$2:$FZ$601,458,Sync!$C$6)&amp;"",""))</f>
        <v/>
      </c>
      <c r="F2709" s="17">
        <f>IF(B2709="","","outreach_sent")</f>
        <v/>
      </c>
      <c r="G2709" s="17">
        <f>IF(B2709="","","")</f>
        <v/>
      </c>
      <c r="H2709" s="17">
        <f>IF(B2709="","","")</f>
        <v/>
      </c>
      <c r="I2709" s="17">
        <f>IF(B2709="","","")</f>
        <v/>
      </c>
      <c r="J2709" s="17">
        <f>IF(B2709="","","touch_2; "&amp;IFERROR(INDEX(Clay_Offices!$A$2:$FZ$601,458,Sync!$C$10)&amp;"","")&amp;"; "&amp;IFERROR(INDEX(Clay_Offices!$A$2:$FZ$601,458,Sync!$C$9)&amp;"",""))</f>
        <v/>
      </c>
      <c r="K2709" t="inlineStr">
        <is>
          <t>office outreach touch 2</t>
        </is>
      </c>
    </row>
    <row r="2710">
      <c r="A2710" s="17">
        <f>IF(B2710="","",B2710+(13*1000+459)/10000000)</f>
        <v/>
      </c>
      <c r="B2710" s="23">
        <f>IF(AND(IFERROR(N(INDEX(Clay_Offices!$A$2:$FZ$601,459,Sync!$C$12)),0)&gt;0,IFERROR(INDEX(Clay_Offices!$A$2:$FZ$601,459,Sync!$C$5)&amp;"","")&lt;&gt;"",OR(LEFT(IFERROR(INDEX(Clay_Offices!$A$2:$FZ$601,459,Sync!$C$5)&amp;"",""),6)&lt;&gt;"SAMPLE",Config!$B$19="Y")),IFERROR(N(INDEX(Clay_Offices!$A$2:$FZ$601,459,Sync!$C$12)),0),"")</f>
        <v/>
      </c>
      <c r="C2710" s="17">
        <f>IF(B2710="","","office")</f>
        <v/>
      </c>
      <c r="D2710" s="17">
        <f>IF(B2710="","",IFERROR(INDEX(Clay_Offices!$A$2:$FZ$601,459,Sync!$C$5)&amp;"",""))</f>
        <v/>
      </c>
      <c r="E2710" s="17">
        <f>IF(B2710="","",IFERROR(INDEX(Clay_Offices!$A$2:$FZ$601,459,Sync!$C$6)&amp;"",""))</f>
        <v/>
      </c>
      <c r="F2710" s="17">
        <f>IF(B2710="","","outreach_sent")</f>
        <v/>
      </c>
      <c r="G2710" s="17">
        <f>IF(B2710="","","")</f>
        <v/>
      </c>
      <c r="H2710" s="17">
        <f>IF(B2710="","","")</f>
        <v/>
      </c>
      <c r="I2710" s="17">
        <f>IF(B2710="","","")</f>
        <v/>
      </c>
      <c r="J2710" s="17">
        <f>IF(B2710="","","touch_2; "&amp;IFERROR(INDEX(Clay_Offices!$A$2:$FZ$601,459,Sync!$C$10)&amp;"","")&amp;"; "&amp;IFERROR(INDEX(Clay_Offices!$A$2:$FZ$601,459,Sync!$C$9)&amp;"",""))</f>
        <v/>
      </c>
      <c r="K2710" t="inlineStr">
        <is>
          <t>office outreach touch 2</t>
        </is>
      </c>
    </row>
    <row r="2711">
      <c r="A2711" s="17">
        <f>IF(B2711="","",B2711+(13*1000+460)/10000000)</f>
        <v/>
      </c>
      <c r="B2711" s="23">
        <f>IF(AND(IFERROR(N(INDEX(Clay_Offices!$A$2:$FZ$601,460,Sync!$C$12)),0)&gt;0,IFERROR(INDEX(Clay_Offices!$A$2:$FZ$601,460,Sync!$C$5)&amp;"","")&lt;&gt;"",OR(LEFT(IFERROR(INDEX(Clay_Offices!$A$2:$FZ$601,460,Sync!$C$5)&amp;"",""),6)&lt;&gt;"SAMPLE",Config!$B$19="Y")),IFERROR(N(INDEX(Clay_Offices!$A$2:$FZ$601,460,Sync!$C$12)),0),"")</f>
        <v/>
      </c>
      <c r="C2711" s="17">
        <f>IF(B2711="","","office")</f>
        <v/>
      </c>
      <c r="D2711" s="17">
        <f>IF(B2711="","",IFERROR(INDEX(Clay_Offices!$A$2:$FZ$601,460,Sync!$C$5)&amp;"",""))</f>
        <v/>
      </c>
      <c r="E2711" s="17">
        <f>IF(B2711="","",IFERROR(INDEX(Clay_Offices!$A$2:$FZ$601,460,Sync!$C$6)&amp;"",""))</f>
        <v/>
      </c>
      <c r="F2711" s="17">
        <f>IF(B2711="","","outreach_sent")</f>
        <v/>
      </c>
      <c r="G2711" s="17">
        <f>IF(B2711="","","")</f>
        <v/>
      </c>
      <c r="H2711" s="17">
        <f>IF(B2711="","","")</f>
        <v/>
      </c>
      <c r="I2711" s="17">
        <f>IF(B2711="","","")</f>
        <v/>
      </c>
      <c r="J2711" s="17">
        <f>IF(B2711="","","touch_2; "&amp;IFERROR(INDEX(Clay_Offices!$A$2:$FZ$601,460,Sync!$C$10)&amp;"","")&amp;"; "&amp;IFERROR(INDEX(Clay_Offices!$A$2:$FZ$601,460,Sync!$C$9)&amp;"",""))</f>
        <v/>
      </c>
      <c r="K2711" t="inlineStr">
        <is>
          <t>office outreach touch 2</t>
        </is>
      </c>
    </row>
    <row r="2712">
      <c r="A2712" s="17">
        <f>IF(B2712="","",B2712+(13*1000+461)/10000000)</f>
        <v/>
      </c>
      <c r="B2712" s="23">
        <f>IF(AND(IFERROR(N(INDEX(Clay_Offices!$A$2:$FZ$601,461,Sync!$C$12)),0)&gt;0,IFERROR(INDEX(Clay_Offices!$A$2:$FZ$601,461,Sync!$C$5)&amp;"","")&lt;&gt;"",OR(LEFT(IFERROR(INDEX(Clay_Offices!$A$2:$FZ$601,461,Sync!$C$5)&amp;"",""),6)&lt;&gt;"SAMPLE",Config!$B$19="Y")),IFERROR(N(INDEX(Clay_Offices!$A$2:$FZ$601,461,Sync!$C$12)),0),"")</f>
        <v/>
      </c>
      <c r="C2712" s="17">
        <f>IF(B2712="","","office")</f>
        <v/>
      </c>
      <c r="D2712" s="17">
        <f>IF(B2712="","",IFERROR(INDEX(Clay_Offices!$A$2:$FZ$601,461,Sync!$C$5)&amp;"",""))</f>
        <v/>
      </c>
      <c r="E2712" s="17">
        <f>IF(B2712="","",IFERROR(INDEX(Clay_Offices!$A$2:$FZ$601,461,Sync!$C$6)&amp;"",""))</f>
        <v/>
      </c>
      <c r="F2712" s="17">
        <f>IF(B2712="","","outreach_sent")</f>
        <v/>
      </c>
      <c r="G2712" s="17">
        <f>IF(B2712="","","")</f>
        <v/>
      </c>
      <c r="H2712" s="17">
        <f>IF(B2712="","","")</f>
        <v/>
      </c>
      <c r="I2712" s="17">
        <f>IF(B2712="","","")</f>
        <v/>
      </c>
      <c r="J2712" s="17">
        <f>IF(B2712="","","touch_2; "&amp;IFERROR(INDEX(Clay_Offices!$A$2:$FZ$601,461,Sync!$C$10)&amp;"","")&amp;"; "&amp;IFERROR(INDEX(Clay_Offices!$A$2:$FZ$601,461,Sync!$C$9)&amp;"",""))</f>
        <v/>
      </c>
      <c r="K2712" t="inlineStr">
        <is>
          <t>office outreach touch 2</t>
        </is>
      </c>
    </row>
    <row r="2713">
      <c r="A2713" s="17">
        <f>IF(B2713="","",B2713+(13*1000+462)/10000000)</f>
        <v/>
      </c>
      <c r="B2713" s="23">
        <f>IF(AND(IFERROR(N(INDEX(Clay_Offices!$A$2:$FZ$601,462,Sync!$C$12)),0)&gt;0,IFERROR(INDEX(Clay_Offices!$A$2:$FZ$601,462,Sync!$C$5)&amp;"","")&lt;&gt;"",OR(LEFT(IFERROR(INDEX(Clay_Offices!$A$2:$FZ$601,462,Sync!$C$5)&amp;"",""),6)&lt;&gt;"SAMPLE",Config!$B$19="Y")),IFERROR(N(INDEX(Clay_Offices!$A$2:$FZ$601,462,Sync!$C$12)),0),"")</f>
        <v/>
      </c>
      <c r="C2713" s="17">
        <f>IF(B2713="","","office")</f>
        <v/>
      </c>
      <c r="D2713" s="17">
        <f>IF(B2713="","",IFERROR(INDEX(Clay_Offices!$A$2:$FZ$601,462,Sync!$C$5)&amp;"",""))</f>
        <v/>
      </c>
      <c r="E2713" s="17">
        <f>IF(B2713="","",IFERROR(INDEX(Clay_Offices!$A$2:$FZ$601,462,Sync!$C$6)&amp;"",""))</f>
        <v/>
      </c>
      <c r="F2713" s="17">
        <f>IF(B2713="","","outreach_sent")</f>
        <v/>
      </c>
      <c r="G2713" s="17">
        <f>IF(B2713="","","")</f>
        <v/>
      </c>
      <c r="H2713" s="17">
        <f>IF(B2713="","","")</f>
        <v/>
      </c>
      <c r="I2713" s="17">
        <f>IF(B2713="","","")</f>
        <v/>
      </c>
      <c r="J2713" s="17">
        <f>IF(B2713="","","touch_2; "&amp;IFERROR(INDEX(Clay_Offices!$A$2:$FZ$601,462,Sync!$C$10)&amp;"","")&amp;"; "&amp;IFERROR(INDEX(Clay_Offices!$A$2:$FZ$601,462,Sync!$C$9)&amp;"",""))</f>
        <v/>
      </c>
      <c r="K2713" t="inlineStr">
        <is>
          <t>office outreach touch 2</t>
        </is>
      </c>
    </row>
    <row r="2714">
      <c r="A2714" s="17">
        <f>IF(B2714="","",B2714+(13*1000+463)/10000000)</f>
        <v/>
      </c>
      <c r="B2714" s="23">
        <f>IF(AND(IFERROR(N(INDEX(Clay_Offices!$A$2:$FZ$601,463,Sync!$C$12)),0)&gt;0,IFERROR(INDEX(Clay_Offices!$A$2:$FZ$601,463,Sync!$C$5)&amp;"","")&lt;&gt;"",OR(LEFT(IFERROR(INDEX(Clay_Offices!$A$2:$FZ$601,463,Sync!$C$5)&amp;"",""),6)&lt;&gt;"SAMPLE",Config!$B$19="Y")),IFERROR(N(INDEX(Clay_Offices!$A$2:$FZ$601,463,Sync!$C$12)),0),"")</f>
        <v/>
      </c>
      <c r="C2714" s="17">
        <f>IF(B2714="","","office")</f>
        <v/>
      </c>
      <c r="D2714" s="17">
        <f>IF(B2714="","",IFERROR(INDEX(Clay_Offices!$A$2:$FZ$601,463,Sync!$C$5)&amp;"",""))</f>
        <v/>
      </c>
      <c r="E2714" s="17">
        <f>IF(B2714="","",IFERROR(INDEX(Clay_Offices!$A$2:$FZ$601,463,Sync!$C$6)&amp;"",""))</f>
        <v/>
      </c>
      <c r="F2714" s="17">
        <f>IF(B2714="","","outreach_sent")</f>
        <v/>
      </c>
      <c r="G2714" s="17">
        <f>IF(B2714="","","")</f>
        <v/>
      </c>
      <c r="H2714" s="17">
        <f>IF(B2714="","","")</f>
        <v/>
      </c>
      <c r="I2714" s="17">
        <f>IF(B2714="","","")</f>
        <v/>
      </c>
      <c r="J2714" s="17">
        <f>IF(B2714="","","touch_2; "&amp;IFERROR(INDEX(Clay_Offices!$A$2:$FZ$601,463,Sync!$C$10)&amp;"","")&amp;"; "&amp;IFERROR(INDEX(Clay_Offices!$A$2:$FZ$601,463,Sync!$C$9)&amp;"",""))</f>
        <v/>
      </c>
      <c r="K2714" t="inlineStr">
        <is>
          <t>office outreach touch 2</t>
        </is>
      </c>
    </row>
    <row r="2715">
      <c r="A2715" s="17">
        <f>IF(B2715="","",B2715+(13*1000+464)/10000000)</f>
        <v/>
      </c>
      <c r="B2715" s="23">
        <f>IF(AND(IFERROR(N(INDEX(Clay_Offices!$A$2:$FZ$601,464,Sync!$C$12)),0)&gt;0,IFERROR(INDEX(Clay_Offices!$A$2:$FZ$601,464,Sync!$C$5)&amp;"","")&lt;&gt;"",OR(LEFT(IFERROR(INDEX(Clay_Offices!$A$2:$FZ$601,464,Sync!$C$5)&amp;"",""),6)&lt;&gt;"SAMPLE",Config!$B$19="Y")),IFERROR(N(INDEX(Clay_Offices!$A$2:$FZ$601,464,Sync!$C$12)),0),"")</f>
        <v/>
      </c>
      <c r="C2715" s="17">
        <f>IF(B2715="","","office")</f>
        <v/>
      </c>
      <c r="D2715" s="17">
        <f>IF(B2715="","",IFERROR(INDEX(Clay_Offices!$A$2:$FZ$601,464,Sync!$C$5)&amp;"",""))</f>
        <v/>
      </c>
      <c r="E2715" s="17">
        <f>IF(B2715="","",IFERROR(INDEX(Clay_Offices!$A$2:$FZ$601,464,Sync!$C$6)&amp;"",""))</f>
        <v/>
      </c>
      <c r="F2715" s="17">
        <f>IF(B2715="","","outreach_sent")</f>
        <v/>
      </c>
      <c r="G2715" s="17">
        <f>IF(B2715="","","")</f>
        <v/>
      </c>
      <c r="H2715" s="17">
        <f>IF(B2715="","","")</f>
        <v/>
      </c>
      <c r="I2715" s="17">
        <f>IF(B2715="","","")</f>
        <v/>
      </c>
      <c r="J2715" s="17">
        <f>IF(B2715="","","touch_2; "&amp;IFERROR(INDEX(Clay_Offices!$A$2:$FZ$601,464,Sync!$C$10)&amp;"","")&amp;"; "&amp;IFERROR(INDEX(Clay_Offices!$A$2:$FZ$601,464,Sync!$C$9)&amp;"",""))</f>
        <v/>
      </c>
      <c r="K2715" t="inlineStr">
        <is>
          <t>office outreach touch 2</t>
        </is>
      </c>
    </row>
    <row r="2716">
      <c r="A2716" s="17">
        <f>IF(B2716="","",B2716+(13*1000+465)/10000000)</f>
        <v/>
      </c>
      <c r="B2716" s="23">
        <f>IF(AND(IFERROR(N(INDEX(Clay_Offices!$A$2:$FZ$601,465,Sync!$C$12)),0)&gt;0,IFERROR(INDEX(Clay_Offices!$A$2:$FZ$601,465,Sync!$C$5)&amp;"","")&lt;&gt;"",OR(LEFT(IFERROR(INDEX(Clay_Offices!$A$2:$FZ$601,465,Sync!$C$5)&amp;"",""),6)&lt;&gt;"SAMPLE",Config!$B$19="Y")),IFERROR(N(INDEX(Clay_Offices!$A$2:$FZ$601,465,Sync!$C$12)),0),"")</f>
        <v/>
      </c>
      <c r="C2716" s="17">
        <f>IF(B2716="","","office")</f>
        <v/>
      </c>
      <c r="D2716" s="17">
        <f>IF(B2716="","",IFERROR(INDEX(Clay_Offices!$A$2:$FZ$601,465,Sync!$C$5)&amp;"",""))</f>
        <v/>
      </c>
      <c r="E2716" s="17">
        <f>IF(B2716="","",IFERROR(INDEX(Clay_Offices!$A$2:$FZ$601,465,Sync!$C$6)&amp;"",""))</f>
        <v/>
      </c>
      <c r="F2716" s="17">
        <f>IF(B2716="","","outreach_sent")</f>
        <v/>
      </c>
      <c r="G2716" s="17">
        <f>IF(B2716="","","")</f>
        <v/>
      </c>
      <c r="H2716" s="17">
        <f>IF(B2716="","","")</f>
        <v/>
      </c>
      <c r="I2716" s="17">
        <f>IF(B2716="","","")</f>
        <v/>
      </c>
      <c r="J2716" s="17">
        <f>IF(B2716="","","touch_2; "&amp;IFERROR(INDEX(Clay_Offices!$A$2:$FZ$601,465,Sync!$C$10)&amp;"","")&amp;"; "&amp;IFERROR(INDEX(Clay_Offices!$A$2:$FZ$601,465,Sync!$C$9)&amp;"",""))</f>
        <v/>
      </c>
      <c r="K2716" t="inlineStr">
        <is>
          <t>office outreach touch 2</t>
        </is>
      </c>
    </row>
    <row r="2717">
      <c r="A2717" s="17">
        <f>IF(B2717="","",B2717+(13*1000+466)/10000000)</f>
        <v/>
      </c>
      <c r="B2717" s="23">
        <f>IF(AND(IFERROR(N(INDEX(Clay_Offices!$A$2:$FZ$601,466,Sync!$C$12)),0)&gt;0,IFERROR(INDEX(Clay_Offices!$A$2:$FZ$601,466,Sync!$C$5)&amp;"","")&lt;&gt;"",OR(LEFT(IFERROR(INDEX(Clay_Offices!$A$2:$FZ$601,466,Sync!$C$5)&amp;"",""),6)&lt;&gt;"SAMPLE",Config!$B$19="Y")),IFERROR(N(INDEX(Clay_Offices!$A$2:$FZ$601,466,Sync!$C$12)),0),"")</f>
        <v/>
      </c>
      <c r="C2717" s="17">
        <f>IF(B2717="","","office")</f>
        <v/>
      </c>
      <c r="D2717" s="17">
        <f>IF(B2717="","",IFERROR(INDEX(Clay_Offices!$A$2:$FZ$601,466,Sync!$C$5)&amp;"",""))</f>
        <v/>
      </c>
      <c r="E2717" s="17">
        <f>IF(B2717="","",IFERROR(INDEX(Clay_Offices!$A$2:$FZ$601,466,Sync!$C$6)&amp;"",""))</f>
        <v/>
      </c>
      <c r="F2717" s="17">
        <f>IF(B2717="","","outreach_sent")</f>
        <v/>
      </c>
      <c r="G2717" s="17">
        <f>IF(B2717="","","")</f>
        <v/>
      </c>
      <c r="H2717" s="17">
        <f>IF(B2717="","","")</f>
        <v/>
      </c>
      <c r="I2717" s="17">
        <f>IF(B2717="","","")</f>
        <v/>
      </c>
      <c r="J2717" s="17">
        <f>IF(B2717="","","touch_2; "&amp;IFERROR(INDEX(Clay_Offices!$A$2:$FZ$601,466,Sync!$C$10)&amp;"","")&amp;"; "&amp;IFERROR(INDEX(Clay_Offices!$A$2:$FZ$601,466,Sync!$C$9)&amp;"",""))</f>
        <v/>
      </c>
      <c r="K2717" t="inlineStr">
        <is>
          <t>office outreach touch 2</t>
        </is>
      </c>
    </row>
    <row r="2718">
      <c r="A2718" s="17">
        <f>IF(B2718="","",B2718+(13*1000+467)/10000000)</f>
        <v/>
      </c>
      <c r="B2718" s="23">
        <f>IF(AND(IFERROR(N(INDEX(Clay_Offices!$A$2:$FZ$601,467,Sync!$C$12)),0)&gt;0,IFERROR(INDEX(Clay_Offices!$A$2:$FZ$601,467,Sync!$C$5)&amp;"","")&lt;&gt;"",OR(LEFT(IFERROR(INDEX(Clay_Offices!$A$2:$FZ$601,467,Sync!$C$5)&amp;"",""),6)&lt;&gt;"SAMPLE",Config!$B$19="Y")),IFERROR(N(INDEX(Clay_Offices!$A$2:$FZ$601,467,Sync!$C$12)),0),"")</f>
        <v/>
      </c>
      <c r="C2718" s="17">
        <f>IF(B2718="","","office")</f>
        <v/>
      </c>
      <c r="D2718" s="17">
        <f>IF(B2718="","",IFERROR(INDEX(Clay_Offices!$A$2:$FZ$601,467,Sync!$C$5)&amp;"",""))</f>
        <v/>
      </c>
      <c r="E2718" s="17">
        <f>IF(B2718="","",IFERROR(INDEX(Clay_Offices!$A$2:$FZ$601,467,Sync!$C$6)&amp;"",""))</f>
        <v/>
      </c>
      <c r="F2718" s="17">
        <f>IF(B2718="","","outreach_sent")</f>
        <v/>
      </c>
      <c r="G2718" s="17">
        <f>IF(B2718="","","")</f>
        <v/>
      </c>
      <c r="H2718" s="17">
        <f>IF(B2718="","","")</f>
        <v/>
      </c>
      <c r="I2718" s="17">
        <f>IF(B2718="","","")</f>
        <v/>
      </c>
      <c r="J2718" s="17">
        <f>IF(B2718="","","touch_2; "&amp;IFERROR(INDEX(Clay_Offices!$A$2:$FZ$601,467,Sync!$C$10)&amp;"","")&amp;"; "&amp;IFERROR(INDEX(Clay_Offices!$A$2:$FZ$601,467,Sync!$C$9)&amp;"",""))</f>
        <v/>
      </c>
      <c r="K2718" t="inlineStr">
        <is>
          <t>office outreach touch 2</t>
        </is>
      </c>
    </row>
    <row r="2719">
      <c r="A2719" s="17">
        <f>IF(B2719="","",B2719+(13*1000+468)/10000000)</f>
        <v/>
      </c>
      <c r="B2719" s="23">
        <f>IF(AND(IFERROR(N(INDEX(Clay_Offices!$A$2:$FZ$601,468,Sync!$C$12)),0)&gt;0,IFERROR(INDEX(Clay_Offices!$A$2:$FZ$601,468,Sync!$C$5)&amp;"","")&lt;&gt;"",OR(LEFT(IFERROR(INDEX(Clay_Offices!$A$2:$FZ$601,468,Sync!$C$5)&amp;"",""),6)&lt;&gt;"SAMPLE",Config!$B$19="Y")),IFERROR(N(INDEX(Clay_Offices!$A$2:$FZ$601,468,Sync!$C$12)),0),"")</f>
        <v/>
      </c>
      <c r="C2719" s="17">
        <f>IF(B2719="","","office")</f>
        <v/>
      </c>
      <c r="D2719" s="17">
        <f>IF(B2719="","",IFERROR(INDEX(Clay_Offices!$A$2:$FZ$601,468,Sync!$C$5)&amp;"",""))</f>
        <v/>
      </c>
      <c r="E2719" s="17">
        <f>IF(B2719="","",IFERROR(INDEX(Clay_Offices!$A$2:$FZ$601,468,Sync!$C$6)&amp;"",""))</f>
        <v/>
      </c>
      <c r="F2719" s="17">
        <f>IF(B2719="","","outreach_sent")</f>
        <v/>
      </c>
      <c r="G2719" s="17">
        <f>IF(B2719="","","")</f>
        <v/>
      </c>
      <c r="H2719" s="17">
        <f>IF(B2719="","","")</f>
        <v/>
      </c>
      <c r="I2719" s="17">
        <f>IF(B2719="","","")</f>
        <v/>
      </c>
      <c r="J2719" s="17">
        <f>IF(B2719="","","touch_2; "&amp;IFERROR(INDEX(Clay_Offices!$A$2:$FZ$601,468,Sync!$C$10)&amp;"","")&amp;"; "&amp;IFERROR(INDEX(Clay_Offices!$A$2:$FZ$601,468,Sync!$C$9)&amp;"",""))</f>
        <v/>
      </c>
      <c r="K2719" t="inlineStr">
        <is>
          <t>office outreach touch 2</t>
        </is>
      </c>
    </row>
    <row r="2720">
      <c r="A2720" s="17">
        <f>IF(B2720="","",B2720+(13*1000+469)/10000000)</f>
        <v/>
      </c>
      <c r="B2720" s="23">
        <f>IF(AND(IFERROR(N(INDEX(Clay_Offices!$A$2:$FZ$601,469,Sync!$C$12)),0)&gt;0,IFERROR(INDEX(Clay_Offices!$A$2:$FZ$601,469,Sync!$C$5)&amp;"","")&lt;&gt;"",OR(LEFT(IFERROR(INDEX(Clay_Offices!$A$2:$FZ$601,469,Sync!$C$5)&amp;"",""),6)&lt;&gt;"SAMPLE",Config!$B$19="Y")),IFERROR(N(INDEX(Clay_Offices!$A$2:$FZ$601,469,Sync!$C$12)),0),"")</f>
        <v/>
      </c>
      <c r="C2720" s="17">
        <f>IF(B2720="","","office")</f>
        <v/>
      </c>
      <c r="D2720" s="17">
        <f>IF(B2720="","",IFERROR(INDEX(Clay_Offices!$A$2:$FZ$601,469,Sync!$C$5)&amp;"",""))</f>
        <v/>
      </c>
      <c r="E2720" s="17">
        <f>IF(B2720="","",IFERROR(INDEX(Clay_Offices!$A$2:$FZ$601,469,Sync!$C$6)&amp;"",""))</f>
        <v/>
      </c>
      <c r="F2720" s="17">
        <f>IF(B2720="","","outreach_sent")</f>
        <v/>
      </c>
      <c r="G2720" s="17">
        <f>IF(B2720="","","")</f>
        <v/>
      </c>
      <c r="H2720" s="17">
        <f>IF(B2720="","","")</f>
        <v/>
      </c>
      <c r="I2720" s="17">
        <f>IF(B2720="","","")</f>
        <v/>
      </c>
      <c r="J2720" s="17">
        <f>IF(B2720="","","touch_2; "&amp;IFERROR(INDEX(Clay_Offices!$A$2:$FZ$601,469,Sync!$C$10)&amp;"","")&amp;"; "&amp;IFERROR(INDEX(Clay_Offices!$A$2:$FZ$601,469,Sync!$C$9)&amp;"",""))</f>
        <v/>
      </c>
      <c r="K2720" t="inlineStr">
        <is>
          <t>office outreach touch 2</t>
        </is>
      </c>
    </row>
    <row r="2721">
      <c r="A2721" s="17">
        <f>IF(B2721="","",B2721+(13*1000+470)/10000000)</f>
        <v/>
      </c>
      <c r="B2721" s="23">
        <f>IF(AND(IFERROR(N(INDEX(Clay_Offices!$A$2:$FZ$601,470,Sync!$C$12)),0)&gt;0,IFERROR(INDEX(Clay_Offices!$A$2:$FZ$601,470,Sync!$C$5)&amp;"","")&lt;&gt;"",OR(LEFT(IFERROR(INDEX(Clay_Offices!$A$2:$FZ$601,470,Sync!$C$5)&amp;"",""),6)&lt;&gt;"SAMPLE",Config!$B$19="Y")),IFERROR(N(INDEX(Clay_Offices!$A$2:$FZ$601,470,Sync!$C$12)),0),"")</f>
        <v/>
      </c>
      <c r="C2721" s="17">
        <f>IF(B2721="","","office")</f>
        <v/>
      </c>
      <c r="D2721" s="17">
        <f>IF(B2721="","",IFERROR(INDEX(Clay_Offices!$A$2:$FZ$601,470,Sync!$C$5)&amp;"",""))</f>
        <v/>
      </c>
      <c r="E2721" s="17">
        <f>IF(B2721="","",IFERROR(INDEX(Clay_Offices!$A$2:$FZ$601,470,Sync!$C$6)&amp;"",""))</f>
        <v/>
      </c>
      <c r="F2721" s="17">
        <f>IF(B2721="","","outreach_sent")</f>
        <v/>
      </c>
      <c r="G2721" s="17">
        <f>IF(B2721="","","")</f>
        <v/>
      </c>
      <c r="H2721" s="17">
        <f>IF(B2721="","","")</f>
        <v/>
      </c>
      <c r="I2721" s="17">
        <f>IF(B2721="","","")</f>
        <v/>
      </c>
      <c r="J2721" s="17">
        <f>IF(B2721="","","touch_2; "&amp;IFERROR(INDEX(Clay_Offices!$A$2:$FZ$601,470,Sync!$C$10)&amp;"","")&amp;"; "&amp;IFERROR(INDEX(Clay_Offices!$A$2:$FZ$601,470,Sync!$C$9)&amp;"",""))</f>
        <v/>
      </c>
      <c r="K2721" t="inlineStr">
        <is>
          <t>office outreach touch 2</t>
        </is>
      </c>
    </row>
    <row r="2722">
      <c r="A2722" s="17">
        <f>IF(B2722="","",B2722+(13*1000+471)/10000000)</f>
        <v/>
      </c>
      <c r="B2722" s="23">
        <f>IF(AND(IFERROR(N(INDEX(Clay_Offices!$A$2:$FZ$601,471,Sync!$C$12)),0)&gt;0,IFERROR(INDEX(Clay_Offices!$A$2:$FZ$601,471,Sync!$C$5)&amp;"","")&lt;&gt;"",OR(LEFT(IFERROR(INDEX(Clay_Offices!$A$2:$FZ$601,471,Sync!$C$5)&amp;"",""),6)&lt;&gt;"SAMPLE",Config!$B$19="Y")),IFERROR(N(INDEX(Clay_Offices!$A$2:$FZ$601,471,Sync!$C$12)),0),"")</f>
        <v/>
      </c>
      <c r="C2722" s="17">
        <f>IF(B2722="","","office")</f>
        <v/>
      </c>
      <c r="D2722" s="17">
        <f>IF(B2722="","",IFERROR(INDEX(Clay_Offices!$A$2:$FZ$601,471,Sync!$C$5)&amp;"",""))</f>
        <v/>
      </c>
      <c r="E2722" s="17">
        <f>IF(B2722="","",IFERROR(INDEX(Clay_Offices!$A$2:$FZ$601,471,Sync!$C$6)&amp;"",""))</f>
        <v/>
      </c>
      <c r="F2722" s="17">
        <f>IF(B2722="","","outreach_sent")</f>
        <v/>
      </c>
      <c r="G2722" s="17">
        <f>IF(B2722="","","")</f>
        <v/>
      </c>
      <c r="H2722" s="17">
        <f>IF(B2722="","","")</f>
        <v/>
      </c>
      <c r="I2722" s="17">
        <f>IF(B2722="","","")</f>
        <v/>
      </c>
      <c r="J2722" s="17">
        <f>IF(B2722="","","touch_2; "&amp;IFERROR(INDEX(Clay_Offices!$A$2:$FZ$601,471,Sync!$C$10)&amp;"","")&amp;"; "&amp;IFERROR(INDEX(Clay_Offices!$A$2:$FZ$601,471,Sync!$C$9)&amp;"",""))</f>
        <v/>
      </c>
      <c r="K2722" t="inlineStr">
        <is>
          <t>office outreach touch 2</t>
        </is>
      </c>
    </row>
    <row r="2723">
      <c r="A2723" s="17">
        <f>IF(B2723="","",B2723+(13*1000+472)/10000000)</f>
        <v/>
      </c>
      <c r="B2723" s="23">
        <f>IF(AND(IFERROR(N(INDEX(Clay_Offices!$A$2:$FZ$601,472,Sync!$C$12)),0)&gt;0,IFERROR(INDEX(Clay_Offices!$A$2:$FZ$601,472,Sync!$C$5)&amp;"","")&lt;&gt;"",OR(LEFT(IFERROR(INDEX(Clay_Offices!$A$2:$FZ$601,472,Sync!$C$5)&amp;"",""),6)&lt;&gt;"SAMPLE",Config!$B$19="Y")),IFERROR(N(INDEX(Clay_Offices!$A$2:$FZ$601,472,Sync!$C$12)),0),"")</f>
        <v/>
      </c>
      <c r="C2723" s="17">
        <f>IF(B2723="","","office")</f>
        <v/>
      </c>
      <c r="D2723" s="17">
        <f>IF(B2723="","",IFERROR(INDEX(Clay_Offices!$A$2:$FZ$601,472,Sync!$C$5)&amp;"",""))</f>
        <v/>
      </c>
      <c r="E2723" s="17">
        <f>IF(B2723="","",IFERROR(INDEX(Clay_Offices!$A$2:$FZ$601,472,Sync!$C$6)&amp;"",""))</f>
        <v/>
      </c>
      <c r="F2723" s="17">
        <f>IF(B2723="","","outreach_sent")</f>
        <v/>
      </c>
      <c r="G2723" s="17">
        <f>IF(B2723="","","")</f>
        <v/>
      </c>
      <c r="H2723" s="17">
        <f>IF(B2723="","","")</f>
        <v/>
      </c>
      <c r="I2723" s="17">
        <f>IF(B2723="","","")</f>
        <v/>
      </c>
      <c r="J2723" s="17">
        <f>IF(B2723="","","touch_2; "&amp;IFERROR(INDEX(Clay_Offices!$A$2:$FZ$601,472,Sync!$C$10)&amp;"","")&amp;"; "&amp;IFERROR(INDEX(Clay_Offices!$A$2:$FZ$601,472,Sync!$C$9)&amp;"",""))</f>
        <v/>
      </c>
      <c r="K2723" t="inlineStr">
        <is>
          <t>office outreach touch 2</t>
        </is>
      </c>
    </row>
    <row r="2724">
      <c r="A2724" s="17">
        <f>IF(B2724="","",B2724+(13*1000+473)/10000000)</f>
        <v/>
      </c>
      <c r="B2724" s="23">
        <f>IF(AND(IFERROR(N(INDEX(Clay_Offices!$A$2:$FZ$601,473,Sync!$C$12)),0)&gt;0,IFERROR(INDEX(Clay_Offices!$A$2:$FZ$601,473,Sync!$C$5)&amp;"","")&lt;&gt;"",OR(LEFT(IFERROR(INDEX(Clay_Offices!$A$2:$FZ$601,473,Sync!$C$5)&amp;"",""),6)&lt;&gt;"SAMPLE",Config!$B$19="Y")),IFERROR(N(INDEX(Clay_Offices!$A$2:$FZ$601,473,Sync!$C$12)),0),"")</f>
        <v/>
      </c>
      <c r="C2724" s="17">
        <f>IF(B2724="","","office")</f>
        <v/>
      </c>
      <c r="D2724" s="17">
        <f>IF(B2724="","",IFERROR(INDEX(Clay_Offices!$A$2:$FZ$601,473,Sync!$C$5)&amp;"",""))</f>
        <v/>
      </c>
      <c r="E2724" s="17">
        <f>IF(B2724="","",IFERROR(INDEX(Clay_Offices!$A$2:$FZ$601,473,Sync!$C$6)&amp;"",""))</f>
        <v/>
      </c>
      <c r="F2724" s="17">
        <f>IF(B2724="","","outreach_sent")</f>
        <v/>
      </c>
      <c r="G2724" s="17">
        <f>IF(B2724="","","")</f>
        <v/>
      </c>
      <c r="H2724" s="17">
        <f>IF(B2724="","","")</f>
        <v/>
      </c>
      <c r="I2724" s="17">
        <f>IF(B2724="","","")</f>
        <v/>
      </c>
      <c r="J2724" s="17">
        <f>IF(B2724="","","touch_2; "&amp;IFERROR(INDEX(Clay_Offices!$A$2:$FZ$601,473,Sync!$C$10)&amp;"","")&amp;"; "&amp;IFERROR(INDEX(Clay_Offices!$A$2:$FZ$601,473,Sync!$C$9)&amp;"",""))</f>
        <v/>
      </c>
      <c r="K2724" t="inlineStr">
        <is>
          <t>office outreach touch 2</t>
        </is>
      </c>
    </row>
    <row r="2725">
      <c r="A2725" s="17">
        <f>IF(B2725="","",B2725+(13*1000+474)/10000000)</f>
        <v/>
      </c>
      <c r="B2725" s="23">
        <f>IF(AND(IFERROR(N(INDEX(Clay_Offices!$A$2:$FZ$601,474,Sync!$C$12)),0)&gt;0,IFERROR(INDEX(Clay_Offices!$A$2:$FZ$601,474,Sync!$C$5)&amp;"","")&lt;&gt;"",OR(LEFT(IFERROR(INDEX(Clay_Offices!$A$2:$FZ$601,474,Sync!$C$5)&amp;"",""),6)&lt;&gt;"SAMPLE",Config!$B$19="Y")),IFERROR(N(INDEX(Clay_Offices!$A$2:$FZ$601,474,Sync!$C$12)),0),"")</f>
        <v/>
      </c>
      <c r="C2725" s="17">
        <f>IF(B2725="","","office")</f>
        <v/>
      </c>
      <c r="D2725" s="17">
        <f>IF(B2725="","",IFERROR(INDEX(Clay_Offices!$A$2:$FZ$601,474,Sync!$C$5)&amp;"",""))</f>
        <v/>
      </c>
      <c r="E2725" s="17">
        <f>IF(B2725="","",IFERROR(INDEX(Clay_Offices!$A$2:$FZ$601,474,Sync!$C$6)&amp;"",""))</f>
        <v/>
      </c>
      <c r="F2725" s="17">
        <f>IF(B2725="","","outreach_sent")</f>
        <v/>
      </c>
      <c r="G2725" s="17">
        <f>IF(B2725="","","")</f>
        <v/>
      </c>
      <c r="H2725" s="17">
        <f>IF(B2725="","","")</f>
        <v/>
      </c>
      <c r="I2725" s="17">
        <f>IF(B2725="","","")</f>
        <v/>
      </c>
      <c r="J2725" s="17">
        <f>IF(B2725="","","touch_2; "&amp;IFERROR(INDEX(Clay_Offices!$A$2:$FZ$601,474,Sync!$C$10)&amp;"","")&amp;"; "&amp;IFERROR(INDEX(Clay_Offices!$A$2:$FZ$601,474,Sync!$C$9)&amp;"",""))</f>
        <v/>
      </c>
      <c r="K2725" t="inlineStr">
        <is>
          <t>office outreach touch 2</t>
        </is>
      </c>
    </row>
    <row r="2726">
      <c r="A2726" s="17">
        <f>IF(B2726="","",B2726+(13*1000+475)/10000000)</f>
        <v/>
      </c>
      <c r="B2726" s="23">
        <f>IF(AND(IFERROR(N(INDEX(Clay_Offices!$A$2:$FZ$601,475,Sync!$C$12)),0)&gt;0,IFERROR(INDEX(Clay_Offices!$A$2:$FZ$601,475,Sync!$C$5)&amp;"","")&lt;&gt;"",OR(LEFT(IFERROR(INDEX(Clay_Offices!$A$2:$FZ$601,475,Sync!$C$5)&amp;"",""),6)&lt;&gt;"SAMPLE",Config!$B$19="Y")),IFERROR(N(INDEX(Clay_Offices!$A$2:$FZ$601,475,Sync!$C$12)),0),"")</f>
        <v/>
      </c>
      <c r="C2726" s="17">
        <f>IF(B2726="","","office")</f>
        <v/>
      </c>
      <c r="D2726" s="17">
        <f>IF(B2726="","",IFERROR(INDEX(Clay_Offices!$A$2:$FZ$601,475,Sync!$C$5)&amp;"",""))</f>
        <v/>
      </c>
      <c r="E2726" s="17">
        <f>IF(B2726="","",IFERROR(INDEX(Clay_Offices!$A$2:$FZ$601,475,Sync!$C$6)&amp;"",""))</f>
        <v/>
      </c>
      <c r="F2726" s="17">
        <f>IF(B2726="","","outreach_sent")</f>
        <v/>
      </c>
      <c r="G2726" s="17">
        <f>IF(B2726="","","")</f>
        <v/>
      </c>
      <c r="H2726" s="17">
        <f>IF(B2726="","","")</f>
        <v/>
      </c>
      <c r="I2726" s="17">
        <f>IF(B2726="","","")</f>
        <v/>
      </c>
      <c r="J2726" s="17">
        <f>IF(B2726="","","touch_2; "&amp;IFERROR(INDEX(Clay_Offices!$A$2:$FZ$601,475,Sync!$C$10)&amp;"","")&amp;"; "&amp;IFERROR(INDEX(Clay_Offices!$A$2:$FZ$601,475,Sync!$C$9)&amp;"",""))</f>
        <v/>
      </c>
      <c r="K2726" t="inlineStr">
        <is>
          <t>office outreach touch 2</t>
        </is>
      </c>
    </row>
    <row r="2727">
      <c r="A2727" s="17">
        <f>IF(B2727="","",B2727+(13*1000+476)/10000000)</f>
        <v/>
      </c>
      <c r="B2727" s="23">
        <f>IF(AND(IFERROR(N(INDEX(Clay_Offices!$A$2:$FZ$601,476,Sync!$C$12)),0)&gt;0,IFERROR(INDEX(Clay_Offices!$A$2:$FZ$601,476,Sync!$C$5)&amp;"","")&lt;&gt;"",OR(LEFT(IFERROR(INDEX(Clay_Offices!$A$2:$FZ$601,476,Sync!$C$5)&amp;"",""),6)&lt;&gt;"SAMPLE",Config!$B$19="Y")),IFERROR(N(INDEX(Clay_Offices!$A$2:$FZ$601,476,Sync!$C$12)),0),"")</f>
        <v/>
      </c>
      <c r="C2727" s="17">
        <f>IF(B2727="","","office")</f>
        <v/>
      </c>
      <c r="D2727" s="17">
        <f>IF(B2727="","",IFERROR(INDEX(Clay_Offices!$A$2:$FZ$601,476,Sync!$C$5)&amp;"",""))</f>
        <v/>
      </c>
      <c r="E2727" s="17">
        <f>IF(B2727="","",IFERROR(INDEX(Clay_Offices!$A$2:$FZ$601,476,Sync!$C$6)&amp;"",""))</f>
        <v/>
      </c>
      <c r="F2727" s="17">
        <f>IF(B2727="","","outreach_sent")</f>
        <v/>
      </c>
      <c r="G2727" s="17">
        <f>IF(B2727="","","")</f>
        <v/>
      </c>
      <c r="H2727" s="17">
        <f>IF(B2727="","","")</f>
        <v/>
      </c>
      <c r="I2727" s="17">
        <f>IF(B2727="","","")</f>
        <v/>
      </c>
      <c r="J2727" s="17">
        <f>IF(B2727="","","touch_2; "&amp;IFERROR(INDEX(Clay_Offices!$A$2:$FZ$601,476,Sync!$C$10)&amp;"","")&amp;"; "&amp;IFERROR(INDEX(Clay_Offices!$A$2:$FZ$601,476,Sync!$C$9)&amp;"",""))</f>
        <v/>
      </c>
      <c r="K2727" t="inlineStr">
        <is>
          <t>office outreach touch 2</t>
        </is>
      </c>
    </row>
    <row r="2728">
      <c r="A2728" s="17">
        <f>IF(B2728="","",B2728+(13*1000+477)/10000000)</f>
        <v/>
      </c>
      <c r="B2728" s="23">
        <f>IF(AND(IFERROR(N(INDEX(Clay_Offices!$A$2:$FZ$601,477,Sync!$C$12)),0)&gt;0,IFERROR(INDEX(Clay_Offices!$A$2:$FZ$601,477,Sync!$C$5)&amp;"","")&lt;&gt;"",OR(LEFT(IFERROR(INDEX(Clay_Offices!$A$2:$FZ$601,477,Sync!$C$5)&amp;"",""),6)&lt;&gt;"SAMPLE",Config!$B$19="Y")),IFERROR(N(INDEX(Clay_Offices!$A$2:$FZ$601,477,Sync!$C$12)),0),"")</f>
        <v/>
      </c>
      <c r="C2728" s="17">
        <f>IF(B2728="","","office")</f>
        <v/>
      </c>
      <c r="D2728" s="17">
        <f>IF(B2728="","",IFERROR(INDEX(Clay_Offices!$A$2:$FZ$601,477,Sync!$C$5)&amp;"",""))</f>
        <v/>
      </c>
      <c r="E2728" s="17">
        <f>IF(B2728="","",IFERROR(INDEX(Clay_Offices!$A$2:$FZ$601,477,Sync!$C$6)&amp;"",""))</f>
        <v/>
      </c>
      <c r="F2728" s="17">
        <f>IF(B2728="","","outreach_sent")</f>
        <v/>
      </c>
      <c r="G2728" s="17">
        <f>IF(B2728="","","")</f>
        <v/>
      </c>
      <c r="H2728" s="17">
        <f>IF(B2728="","","")</f>
        <v/>
      </c>
      <c r="I2728" s="17">
        <f>IF(B2728="","","")</f>
        <v/>
      </c>
      <c r="J2728" s="17">
        <f>IF(B2728="","","touch_2; "&amp;IFERROR(INDEX(Clay_Offices!$A$2:$FZ$601,477,Sync!$C$10)&amp;"","")&amp;"; "&amp;IFERROR(INDEX(Clay_Offices!$A$2:$FZ$601,477,Sync!$C$9)&amp;"",""))</f>
        <v/>
      </c>
      <c r="K2728" t="inlineStr">
        <is>
          <t>office outreach touch 2</t>
        </is>
      </c>
    </row>
    <row r="2729">
      <c r="A2729" s="17">
        <f>IF(B2729="","",B2729+(13*1000+478)/10000000)</f>
        <v/>
      </c>
      <c r="B2729" s="23">
        <f>IF(AND(IFERROR(N(INDEX(Clay_Offices!$A$2:$FZ$601,478,Sync!$C$12)),0)&gt;0,IFERROR(INDEX(Clay_Offices!$A$2:$FZ$601,478,Sync!$C$5)&amp;"","")&lt;&gt;"",OR(LEFT(IFERROR(INDEX(Clay_Offices!$A$2:$FZ$601,478,Sync!$C$5)&amp;"",""),6)&lt;&gt;"SAMPLE",Config!$B$19="Y")),IFERROR(N(INDEX(Clay_Offices!$A$2:$FZ$601,478,Sync!$C$12)),0),"")</f>
        <v/>
      </c>
      <c r="C2729" s="17">
        <f>IF(B2729="","","office")</f>
        <v/>
      </c>
      <c r="D2729" s="17">
        <f>IF(B2729="","",IFERROR(INDEX(Clay_Offices!$A$2:$FZ$601,478,Sync!$C$5)&amp;"",""))</f>
        <v/>
      </c>
      <c r="E2729" s="17">
        <f>IF(B2729="","",IFERROR(INDEX(Clay_Offices!$A$2:$FZ$601,478,Sync!$C$6)&amp;"",""))</f>
        <v/>
      </c>
      <c r="F2729" s="17">
        <f>IF(B2729="","","outreach_sent")</f>
        <v/>
      </c>
      <c r="G2729" s="17">
        <f>IF(B2729="","","")</f>
        <v/>
      </c>
      <c r="H2729" s="17">
        <f>IF(B2729="","","")</f>
        <v/>
      </c>
      <c r="I2729" s="17">
        <f>IF(B2729="","","")</f>
        <v/>
      </c>
      <c r="J2729" s="17">
        <f>IF(B2729="","","touch_2; "&amp;IFERROR(INDEX(Clay_Offices!$A$2:$FZ$601,478,Sync!$C$10)&amp;"","")&amp;"; "&amp;IFERROR(INDEX(Clay_Offices!$A$2:$FZ$601,478,Sync!$C$9)&amp;"",""))</f>
        <v/>
      </c>
      <c r="K2729" t="inlineStr">
        <is>
          <t>office outreach touch 2</t>
        </is>
      </c>
    </row>
    <row r="2730">
      <c r="A2730" s="17">
        <f>IF(B2730="","",B2730+(13*1000+479)/10000000)</f>
        <v/>
      </c>
      <c r="B2730" s="23">
        <f>IF(AND(IFERROR(N(INDEX(Clay_Offices!$A$2:$FZ$601,479,Sync!$C$12)),0)&gt;0,IFERROR(INDEX(Clay_Offices!$A$2:$FZ$601,479,Sync!$C$5)&amp;"","")&lt;&gt;"",OR(LEFT(IFERROR(INDEX(Clay_Offices!$A$2:$FZ$601,479,Sync!$C$5)&amp;"",""),6)&lt;&gt;"SAMPLE",Config!$B$19="Y")),IFERROR(N(INDEX(Clay_Offices!$A$2:$FZ$601,479,Sync!$C$12)),0),"")</f>
        <v/>
      </c>
      <c r="C2730" s="17">
        <f>IF(B2730="","","office")</f>
        <v/>
      </c>
      <c r="D2730" s="17">
        <f>IF(B2730="","",IFERROR(INDEX(Clay_Offices!$A$2:$FZ$601,479,Sync!$C$5)&amp;"",""))</f>
        <v/>
      </c>
      <c r="E2730" s="17">
        <f>IF(B2730="","",IFERROR(INDEX(Clay_Offices!$A$2:$FZ$601,479,Sync!$C$6)&amp;"",""))</f>
        <v/>
      </c>
      <c r="F2730" s="17">
        <f>IF(B2730="","","outreach_sent")</f>
        <v/>
      </c>
      <c r="G2730" s="17">
        <f>IF(B2730="","","")</f>
        <v/>
      </c>
      <c r="H2730" s="17">
        <f>IF(B2730="","","")</f>
        <v/>
      </c>
      <c r="I2730" s="17">
        <f>IF(B2730="","","")</f>
        <v/>
      </c>
      <c r="J2730" s="17">
        <f>IF(B2730="","","touch_2; "&amp;IFERROR(INDEX(Clay_Offices!$A$2:$FZ$601,479,Sync!$C$10)&amp;"","")&amp;"; "&amp;IFERROR(INDEX(Clay_Offices!$A$2:$FZ$601,479,Sync!$C$9)&amp;"",""))</f>
        <v/>
      </c>
      <c r="K2730" t="inlineStr">
        <is>
          <t>office outreach touch 2</t>
        </is>
      </c>
    </row>
    <row r="2731">
      <c r="A2731" s="17">
        <f>IF(B2731="","",B2731+(13*1000+480)/10000000)</f>
        <v/>
      </c>
      <c r="B2731" s="23">
        <f>IF(AND(IFERROR(N(INDEX(Clay_Offices!$A$2:$FZ$601,480,Sync!$C$12)),0)&gt;0,IFERROR(INDEX(Clay_Offices!$A$2:$FZ$601,480,Sync!$C$5)&amp;"","")&lt;&gt;"",OR(LEFT(IFERROR(INDEX(Clay_Offices!$A$2:$FZ$601,480,Sync!$C$5)&amp;"",""),6)&lt;&gt;"SAMPLE",Config!$B$19="Y")),IFERROR(N(INDEX(Clay_Offices!$A$2:$FZ$601,480,Sync!$C$12)),0),"")</f>
        <v/>
      </c>
      <c r="C2731" s="17">
        <f>IF(B2731="","","office")</f>
        <v/>
      </c>
      <c r="D2731" s="17">
        <f>IF(B2731="","",IFERROR(INDEX(Clay_Offices!$A$2:$FZ$601,480,Sync!$C$5)&amp;"",""))</f>
        <v/>
      </c>
      <c r="E2731" s="17">
        <f>IF(B2731="","",IFERROR(INDEX(Clay_Offices!$A$2:$FZ$601,480,Sync!$C$6)&amp;"",""))</f>
        <v/>
      </c>
      <c r="F2731" s="17">
        <f>IF(B2731="","","outreach_sent")</f>
        <v/>
      </c>
      <c r="G2731" s="17">
        <f>IF(B2731="","","")</f>
        <v/>
      </c>
      <c r="H2731" s="17">
        <f>IF(B2731="","","")</f>
        <v/>
      </c>
      <c r="I2731" s="17">
        <f>IF(B2731="","","")</f>
        <v/>
      </c>
      <c r="J2731" s="17">
        <f>IF(B2731="","","touch_2; "&amp;IFERROR(INDEX(Clay_Offices!$A$2:$FZ$601,480,Sync!$C$10)&amp;"","")&amp;"; "&amp;IFERROR(INDEX(Clay_Offices!$A$2:$FZ$601,480,Sync!$C$9)&amp;"",""))</f>
        <v/>
      </c>
      <c r="K2731" t="inlineStr">
        <is>
          <t>office outreach touch 2</t>
        </is>
      </c>
    </row>
    <row r="2732">
      <c r="A2732" s="17">
        <f>IF(B2732="","",B2732+(13*1000+481)/10000000)</f>
        <v/>
      </c>
      <c r="B2732" s="23">
        <f>IF(AND(IFERROR(N(INDEX(Clay_Offices!$A$2:$FZ$601,481,Sync!$C$12)),0)&gt;0,IFERROR(INDEX(Clay_Offices!$A$2:$FZ$601,481,Sync!$C$5)&amp;"","")&lt;&gt;"",OR(LEFT(IFERROR(INDEX(Clay_Offices!$A$2:$FZ$601,481,Sync!$C$5)&amp;"",""),6)&lt;&gt;"SAMPLE",Config!$B$19="Y")),IFERROR(N(INDEX(Clay_Offices!$A$2:$FZ$601,481,Sync!$C$12)),0),"")</f>
        <v/>
      </c>
      <c r="C2732" s="17">
        <f>IF(B2732="","","office")</f>
        <v/>
      </c>
      <c r="D2732" s="17">
        <f>IF(B2732="","",IFERROR(INDEX(Clay_Offices!$A$2:$FZ$601,481,Sync!$C$5)&amp;"",""))</f>
        <v/>
      </c>
      <c r="E2732" s="17">
        <f>IF(B2732="","",IFERROR(INDEX(Clay_Offices!$A$2:$FZ$601,481,Sync!$C$6)&amp;"",""))</f>
        <v/>
      </c>
      <c r="F2732" s="17">
        <f>IF(B2732="","","outreach_sent")</f>
        <v/>
      </c>
      <c r="G2732" s="17">
        <f>IF(B2732="","","")</f>
        <v/>
      </c>
      <c r="H2732" s="17">
        <f>IF(B2732="","","")</f>
        <v/>
      </c>
      <c r="I2732" s="17">
        <f>IF(B2732="","","")</f>
        <v/>
      </c>
      <c r="J2732" s="17">
        <f>IF(B2732="","","touch_2; "&amp;IFERROR(INDEX(Clay_Offices!$A$2:$FZ$601,481,Sync!$C$10)&amp;"","")&amp;"; "&amp;IFERROR(INDEX(Clay_Offices!$A$2:$FZ$601,481,Sync!$C$9)&amp;"",""))</f>
        <v/>
      </c>
      <c r="K2732" t="inlineStr">
        <is>
          <t>office outreach touch 2</t>
        </is>
      </c>
    </row>
    <row r="2733">
      <c r="A2733" s="17">
        <f>IF(B2733="","",B2733+(13*1000+482)/10000000)</f>
        <v/>
      </c>
      <c r="B2733" s="23">
        <f>IF(AND(IFERROR(N(INDEX(Clay_Offices!$A$2:$FZ$601,482,Sync!$C$12)),0)&gt;0,IFERROR(INDEX(Clay_Offices!$A$2:$FZ$601,482,Sync!$C$5)&amp;"","")&lt;&gt;"",OR(LEFT(IFERROR(INDEX(Clay_Offices!$A$2:$FZ$601,482,Sync!$C$5)&amp;"",""),6)&lt;&gt;"SAMPLE",Config!$B$19="Y")),IFERROR(N(INDEX(Clay_Offices!$A$2:$FZ$601,482,Sync!$C$12)),0),"")</f>
        <v/>
      </c>
      <c r="C2733" s="17">
        <f>IF(B2733="","","office")</f>
        <v/>
      </c>
      <c r="D2733" s="17">
        <f>IF(B2733="","",IFERROR(INDEX(Clay_Offices!$A$2:$FZ$601,482,Sync!$C$5)&amp;"",""))</f>
        <v/>
      </c>
      <c r="E2733" s="17">
        <f>IF(B2733="","",IFERROR(INDEX(Clay_Offices!$A$2:$FZ$601,482,Sync!$C$6)&amp;"",""))</f>
        <v/>
      </c>
      <c r="F2733" s="17">
        <f>IF(B2733="","","outreach_sent")</f>
        <v/>
      </c>
      <c r="G2733" s="17">
        <f>IF(B2733="","","")</f>
        <v/>
      </c>
      <c r="H2733" s="17">
        <f>IF(B2733="","","")</f>
        <v/>
      </c>
      <c r="I2733" s="17">
        <f>IF(B2733="","","")</f>
        <v/>
      </c>
      <c r="J2733" s="17">
        <f>IF(B2733="","","touch_2; "&amp;IFERROR(INDEX(Clay_Offices!$A$2:$FZ$601,482,Sync!$C$10)&amp;"","")&amp;"; "&amp;IFERROR(INDEX(Clay_Offices!$A$2:$FZ$601,482,Sync!$C$9)&amp;"",""))</f>
        <v/>
      </c>
      <c r="K2733" t="inlineStr">
        <is>
          <t>office outreach touch 2</t>
        </is>
      </c>
    </row>
    <row r="2734">
      <c r="A2734" s="17">
        <f>IF(B2734="","",B2734+(13*1000+483)/10000000)</f>
        <v/>
      </c>
      <c r="B2734" s="23">
        <f>IF(AND(IFERROR(N(INDEX(Clay_Offices!$A$2:$FZ$601,483,Sync!$C$12)),0)&gt;0,IFERROR(INDEX(Clay_Offices!$A$2:$FZ$601,483,Sync!$C$5)&amp;"","")&lt;&gt;"",OR(LEFT(IFERROR(INDEX(Clay_Offices!$A$2:$FZ$601,483,Sync!$C$5)&amp;"",""),6)&lt;&gt;"SAMPLE",Config!$B$19="Y")),IFERROR(N(INDEX(Clay_Offices!$A$2:$FZ$601,483,Sync!$C$12)),0),"")</f>
        <v/>
      </c>
      <c r="C2734" s="17">
        <f>IF(B2734="","","office")</f>
        <v/>
      </c>
      <c r="D2734" s="17">
        <f>IF(B2734="","",IFERROR(INDEX(Clay_Offices!$A$2:$FZ$601,483,Sync!$C$5)&amp;"",""))</f>
        <v/>
      </c>
      <c r="E2734" s="17">
        <f>IF(B2734="","",IFERROR(INDEX(Clay_Offices!$A$2:$FZ$601,483,Sync!$C$6)&amp;"",""))</f>
        <v/>
      </c>
      <c r="F2734" s="17">
        <f>IF(B2734="","","outreach_sent")</f>
        <v/>
      </c>
      <c r="G2734" s="17">
        <f>IF(B2734="","","")</f>
        <v/>
      </c>
      <c r="H2734" s="17">
        <f>IF(B2734="","","")</f>
        <v/>
      </c>
      <c r="I2734" s="17">
        <f>IF(B2734="","","")</f>
        <v/>
      </c>
      <c r="J2734" s="17">
        <f>IF(B2734="","","touch_2; "&amp;IFERROR(INDEX(Clay_Offices!$A$2:$FZ$601,483,Sync!$C$10)&amp;"","")&amp;"; "&amp;IFERROR(INDEX(Clay_Offices!$A$2:$FZ$601,483,Sync!$C$9)&amp;"",""))</f>
        <v/>
      </c>
      <c r="K2734" t="inlineStr">
        <is>
          <t>office outreach touch 2</t>
        </is>
      </c>
    </row>
    <row r="2735">
      <c r="A2735" s="17">
        <f>IF(B2735="","",B2735+(13*1000+484)/10000000)</f>
        <v/>
      </c>
      <c r="B2735" s="23">
        <f>IF(AND(IFERROR(N(INDEX(Clay_Offices!$A$2:$FZ$601,484,Sync!$C$12)),0)&gt;0,IFERROR(INDEX(Clay_Offices!$A$2:$FZ$601,484,Sync!$C$5)&amp;"","")&lt;&gt;"",OR(LEFT(IFERROR(INDEX(Clay_Offices!$A$2:$FZ$601,484,Sync!$C$5)&amp;"",""),6)&lt;&gt;"SAMPLE",Config!$B$19="Y")),IFERROR(N(INDEX(Clay_Offices!$A$2:$FZ$601,484,Sync!$C$12)),0),"")</f>
        <v/>
      </c>
      <c r="C2735" s="17">
        <f>IF(B2735="","","office")</f>
        <v/>
      </c>
      <c r="D2735" s="17">
        <f>IF(B2735="","",IFERROR(INDEX(Clay_Offices!$A$2:$FZ$601,484,Sync!$C$5)&amp;"",""))</f>
        <v/>
      </c>
      <c r="E2735" s="17">
        <f>IF(B2735="","",IFERROR(INDEX(Clay_Offices!$A$2:$FZ$601,484,Sync!$C$6)&amp;"",""))</f>
        <v/>
      </c>
      <c r="F2735" s="17">
        <f>IF(B2735="","","outreach_sent")</f>
        <v/>
      </c>
      <c r="G2735" s="17">
        <f>IF(B2735="","","")</f>
        <v/>
      </c>
      <c r="H2735" s="17">
        <f>IF(B2735="","","")</f>
        <v/>
      </c>
      <c r="I2735" s="17">
        <f>IF(B2735="","","")</f>
        <v/>
      </c>
      <c r="J2735" s="17">
        <f>IF(B2735="","","touch_2; "&amp;IFERROR(INDEX(Clay_Offices!$A$2:$FZ$601,484,Sync!$C$10)&amp;"","")&amp;"; "&amp;IFERROR(INDEX(Clay_Offices!$A$2:$FZ$601,484,Sync!$C$9)&amp;"",""))</f>
        <v/>
      </c>
      <c r="K2735" t="inlineStr">
        <is>
          <t>office outreach touch 2</t>
        </is>
      </c>
    </row>
    <row r="2736">
      <c r="A2736" s="17">
        <f>IF(B2736="","",B2736+(13*1000+485)/10000000)</f>
        <v/>
      </c>
      <c r="B2736" s="23">
        <f>IF(AND(IFERROR(N(INDEX(Clay_Offices!$A$2:$FZ$601,485,Sync!$C$12)),0)&gt;0,IFERROR(INDEX(Clay_Offices!$A$2:$FZ$601,485,Sync!$C$5)&amp;"","")&lt;&gt;"",OR(LEFT(IFERROR(INDEX(Clay_Offices!$A$2:$FZ$601,485,Sync!$C$5)&amp;"",""),6)&lt;&gt;"SAMPLE",Config!$B$19="Y")),IFERROR(N(INDEX(Clay_Offices!$A$2:$FZ$601,485,Sync!$C$12)),0),"")</f>
        <v/>
      </c>
      <c r="C2736" s="17">
        <f>IF(B2736="","","office")</f>
        <v/>
      </c>
      <c r="D2736" s="17">
        <f>IF(B2736="","",IFERROR(INDEX(Clay_Offices!$A$2:$FZ$601,485,Sync!$C$5)&amp;"",""))</f>
        <v/>
      </c>
      <c r="E2736" s="17">
        <f>IF(B2736="","",IFERROR(INDEX(Clay_Offices!$A$2:$FZ$601,485,Sync!$C$6)&amp;"",""))</f>
        <v/>
      </c>
      <c r="F2736" s="17">
        <f>IF(B2736="","","outreach_sent")</f>
        <v/>
      </c>
      <c r="G2736" s="17">
        <f>IF(B2736="","","")</f>
        <v/>
      </c>
      <c r="H2736" s="17">
        <f>IF(B2736="","","")</f>
        <v/>
      </c>
      <c r="I2736" s="17">
        <f>IF(B2736="","","")</f>
        <v/>
      </c>
      <c r="J2736" s="17">
        <f>IF(B2736="","","touch_2; "&amp;IFERROR(INDEX(Clay_Offices!$A$2:$FZ$601,485,Sync!$C$10)&amp;"","")&amp;"; "&amp;IFERROR(INDEX(Clay_Offices!$A$2:$FZ$601,485,Sync!$C$9)&amp;"",""))</f>
        <v/>
      </c>
      <c r="K2736" t="inlineStr">
        <is>
          <t>office outreach touch 2</t>
        </is>
      </c>
    </row>
    <row r="2737">
      <c r="A2737" s="17">
        <f>IF(B2737="","",B2737+(13*1000+486)/10000000)</f>
        <v/>
      </c>
      <c r="B2737" s="23">
        <f>IF(AND(IFERROR(N(INDEX(Clay_Offices!$A$2:$FZ$601,486,Sync!$C$12)),0)&gt;0,IFERROR(INDEX(Clay_Offices!$A$2:$FZ$601,486,Sync!$C$5)&amp;"","")&lt;&gt;"",OR(LEFT(IFERROR(INDEX(Clay_Offices!$A$2:$FZ$601,486,Sync!$C$5)&amp;"",""),6)&lt;&gt;"SAMPLE",Config!$B$19="Y")),IFERROR(N(INDEX(Clay_Offices!$A$2:$FZ$601,486,Sync!$C$12)),0),"")</f>
        <v/>
      </c>
      <c r="C2737" s="17">
        <f>IF(B2737="","","office")</f>
        <v/>
      </c>
      <c r="D2737" s="17">
        <f>IF(B2737="","",IFERROR(INDEX(Clay_Offices!$A$2:$FZ$601,486,Sync!$C$5)&amp;"",""))</f>
        <v/>
      </c>
      <c r="E2737" s="17">
        <f>IF(B2737="","",IFERROR(INDEX(Clay_Offices!$A$2:$FZ$601,486,Sync!$C$6)&amp;"",""))</f>
        <v/>
      </c>
      <c r="F2737" s="17">
        <f>IF(B2737="","","outreach_sent")</f>
        <v/>
      </c>
      <c r="G2737" s="17">
        <f>IF(B2737="","","")</f>
        <v/>
      </c>
      <c r="H2737" s="17">
        <f>IF(B2737="","","")</f>
        <v/>
      </c>
      <c r="I2737" s="17">
        <f>IF(B2737="","","")</f>
        <v/>
      </c>
      <c r="J2737" s="17">
        <f>IF(B2737="","","touch_2; "&amp;IFERROR(INDEX(Clay_Offices!$A$2:$FZ$601,486,Sync!$C$10)&amp;"","")&amp;"; "&amp;IFERROR(INDEX(Clay_Offices!$A$2:$FZ$601,486,Sync!$C$9)&amp;"",""))</f>
        <v/>
      </c>
      <c r="K2737" t="inlineStr">
        <is>
          <t>office outreach touch 2</t>
        </is>
      </c>
    </row>
    <row r="2738">
      <c r="A2738" s="17">
        <f>IF(B2738="","",B2738+(13*1000+487)/10000000)</f>
        <v/>
      </c>
      <c r="B2738" s="23">
        <f>IF(AND(IFERROR(N(INDEX(Clay_Offices!$A$2:$FZ$601,487,Sync!$C$12)),0)&gt;0,IFERROR(INDEX(Clay_Offices!$A$2:$FZ$601,487,Sync!$C$5)&amp;"","")&lt;&gt;"",OR(LEFT(IFERROR(INDEX(Clay_Offices!$A$2:$FZ$601,487,Sync!$C$5)&amp;"",""),6)&lt;&gt;"SAMPLE",Config!$B$19="Y")),IFERROR(N(INDEX(Clay_Offices!$A$2:$FZ$601,487,Sync!$C$12)),0),"")</f>
        <v/>
      </c>
      <c r="C2738" s="17">
        <f>IF(B2738="","","office")</f>
        <v/>
      </c>
      <c r="D2738" s="17">
        <f>IF(B2738="","",IFERROR(INDEX(Clay_Offices!$A$2:$FZ$601,487,Sync!$C$5)&amp;"",""))</f>
        <v/>
      </c>
      <c r="E2738" s="17">
        <f>IF(B2738="","",IFERROR(INDEX(Clay_Offices!$A$2:$FZ$601,487,Sync!$C$6)&amp;"",""))</f>
        <v/>
      </c>
      <c r="F2738" s="17">
        <f>IF(B2738="","","outreach_sent")</f>
        <v/>
      </c>
      <c r="G2738" s="17">
        <f>IF(B2738="","","")</f>
        <v/>
      </c>
      <c r="H2738" s="17">
        <f>IF(B2738="","","")</f>
        <v/>
      </c>
      <c r="I2738" s="17">
        <f>IF(B2738="","","")</f>
        <v/>
      </c>
      <c r="J2738" s="17">
        <f>IF(B2738="","","touch_2; "&amp;IFERROR(INDEX(Clay_Offices!$A$2:$FZ$601,487,Sync!$C$10)&amp;"","")&amp;"; "&amp;IFERROR(INDEX(Clay_Offices!$A$2:$FZ$601,487,Sync!$C$9)&amp;"",""))</f>
        <v/>
      </c>
      <c r="K2738" t="inlineStr">
        <is>
          <t>office outreach touch 2</t>
        </is>
      </c>
    </row>
    <row r="2739">
      <c r="A2739" s="17">
        <f>IF(B2739="","",B2739+(13*1000+488)/10000000)</f>
        <v/>
      </c>
      <c r="B2739" s="23">
        <f>IF(AND(IFERROR(N(INDEX(Clay_Offices!$A$2:$FZ$601,488,Sync!$C$12)),0)&gt;0,IFERROR(INDEX(Clay_Offices!$A$2:$FZ$601,488,Sync!$C$5)&amp;"","")&lt;&gt;"",OR(LEFT(IFERROR(INDEX(Clay_Offices!$A$2:$FZ$601,488,Sync!$C$5)&amp;"",""),6)&lt;&gt;"SAMPLE",Config!$B$19="Y")),IFERROR(N(INDEX(Clay_Offices!$A$2:$FZ$601,488,Sync!$C$12)),0),"")</f>
        <v/>
      </c>
      <c r="C2739" s="17">
        <f>IF(B2739="","","office")</f>
        <v/>
      </c>
      <c r="D2739" s="17">
        <f>IF(B2739="","",IFERROR(INDEX(Clay_Offices!$A$2:$FZ$601,488,Sync!$C$5)&amp;"",""))</f>
        <v/>
      </c>
      <c r="E2739" s="17">
        <f>IF(B2739="","",IFERROR(INDEX(Clay_Offices!$A$2:$FZ$601,488,Sync!$C$6)&amp;"",""))</f>
        <v/>
      </c>
      <c r="F2739" s="17">
        <f>IF(B2739="","","outreach_sent")</f>
        <v/>
      </c>
      <c r="G2739" s="17">
        <f>IF(B2739="","","")</f>
        <v/>
      </c>
      <c r="H2739" s="17">
        <f>IF(B2739="","","")</f>
        <v/>
      </c>
      <c r="I2739" s="17">
        <f>IF(B2739="","","")</f>
        <v/>
      </c>
      <c r="J2739" s="17">
        <f>IF(B2739="","","touch_2; "&amp;IFERROR(INDEX(Clay_Offices!$A$2:$FZ$601,488,Sync!$C$10)&amp;"","")&amp;"; "&amp;IFERROR(INDEX(Clay_Offices!$A$2:$FZ$601,488,Sync!$C$9)&amp;"",""))</f>
        <v/>
      </c>
      <c r="K2739" t="inlineStr">
        <is>
          <t>office outreach touch 2</t>
        </is>
      </c>
    </row>
    <row r="2740">
      <c r="A2740" s="17">
        <f>IF(B2740="","",B2740+(13*1000+489)/10000000)</f>
        <v/>
      </c>
      <c r="B2740" s="23">
        <f>IF(AND(IFERROR(N(INDEX(Clay_Offices!$A$2:$FZ$601,489,Sync!$C$12)),0)&gt;0,IFERROR(INDEX(Clay_Offices!$A$2:$FZ$601,489,Sync!$C$5)&amp;"","")&lt;&gt;"",OR(LEFT(IFERROR(INDEX(Clay_Offices!$A$2:$FZ$601,489,Sync!$C$5)&amp;"",""),6)&lt;&gt;"SAMPLE",Config!$B$19="Y")),IFERROR(N(INDEX(Clay_Offices!$A$2:$FZ$601,489,Sync!$C$12)),0),"")</f>
        <v/>
      </c>
      <c r="C2740" s="17">
        <f>IF(B2740="","","office")</f>
        <v/>
      </c>
      <c r="D2740" s="17">
        <f>IF(B2740="","",IFERROR(INDEX(Clay_Offices!$A$2:$FZ$601,489,Sync!$C$5)&amp;"",""))</f>
        <v/>
      </c>
      <c r="E2740" s="17">
        <f>IF(B2740="","",IFERROR(INDEX(Clay_Offices!$A$2:$FZ$601,489,Sync!$C$6)&amp;"",""))</f>
        <v/>
      </c>
      <c r="F2740" s="17">
        <f>IF(B2740="","","outreach_sent")</f>
        <v/>
      </c>
      <c r="G2740" s="17">
        <f>IF(B2740="","","")</f>
        <v/>
      </c>
      <c r="H2740" s="17">
        <f>IF(B2740="","","")</f>
        <v/>
      </c>
      <c r="I2740" s="17">
        <f>IF(B2740="","","")</f>
        <v/>
      </c>
      <c r="J2740" s="17">
        <f>IF(B2740="","","touch_2; "&amp;IFERROR(INDEX(Clay_Offices!$A$2:$FZ$601,489,Sync!$C$10)&amp;"","")&amp;"; "&amp;IFERROR(INDEX(Clay_Offices!$A$2:$FZ$601,489,Sync!$C$9)&amp;"",""))</f>
        <v/>
      </c>
      <c r="K2740" t="inlineStr">
        <is>
          <t>office outreach touch 2</t>
        </is>
      </c>
    </row>
    <row r="2741">
      <c r="A2741" s="17">
        <f>IF(B2741="","",B2741+(13*1000+490)/10000000)</f>
        <v/>
      </c>
      <c r="B2741" s="23">
        <f>IF(AND(IFERROR(N(INDEX(Clay_Offices!$A$2:$FZ$601,490,Sync!$C$12)),0)&gt;0,IFERROR(INDEX(Clay_Offices!$A$2:$FZ$601,490,Sync!$C$5)&amp;"","")&lt;&gt;"",OR(LEFT(IFERROR(INDEX(Clay_Offices!$A$2:$FZ$601,490,Sync!$C$5)&amp;"",""),6)&lt;&gt;"SAMPLE",Config!$B$19="Y")),IFERROR(N(INDEX(Clay_Offices!$A$2:$FZ$601,490,Sync!$C$12)),0),"")</f>
        <v/>
      </c>
      <c r="C2741" s="17">
        <f>IF(B2741="","","office")</f>
        <v/>
      </c>
      <c r="D2741" s="17">
        <f>IF(B2741="","",IFERROR(INDEX(Clay_Offices!$A$2:$FZ$601,490,Sync!$C$5)&amp;"",""))</f>
        <v/>
      </c>
      <c r="E2741" s="17">
        <f>IF(B2741="","",IFERROR(INDEX(Clay_Offices!$A$2:$FZ$601,490,Sync!$C$6)&amp;"",""))</f>
        <v/>
      </c>
      <c r="F2741" s="17">
        <f>IF(B2741="","","outreach_sent")</f>
        <v/>
      </c>
      <c r="G2741" s="17">
        <f>IF(B2741="","","")</f>
        <v/>
      </c>
      <c r="H2741" s="17">
        <f>IF(B2741="","","")</f>
        <v/>
      </c>
      <c r="I2741" s="17">
        <f>IF(B2741="","","")</f>
        <v/>
      </c>
      <c r="J2741" s="17">
        <f>IF(B2741="","","touch_2; "&amp;IFERROR(INDEX(Clay_Offices!$A$2:$FZ$601,490,Sync!$C$10)&amp;"","")&amp;"; "&amp;IFERROR(INDEX(Clay_Offices!$A$2:$FZ$601,490,Sync!$C$9)&amp;"",""))</f>
        <v/>
      </c>
      <c r="K2741" t="inlineStr">
        <is>
          <t>office outreach touch 2</t>
        </is>
      </c>
    </row>
    <row r="2742">
      <c r="A2742" s="17">
        <f>IF(B2742="","",B2742+(13*1000+491)/10000000)</f>
        <v/>
      </c>
      <c r="B2742" s="23">
        <f>IF(AND(IFERROR(N(INDEX(Clay_Offices!$A$2:$FZ$601,491,Sync!$C$12)),0)&gt;0,IFERROR(INDEX(Clay_Offices!$A$2:$FZ$601,491,Sync!$C$5)&amp;"","")&lt;&gt;"",OR(LEFT(IFERROR(INDEX(Clay_Offices!$A$2:$FZ$601,491,Sync!$C$5)&amp;"",""),6)&lt;&gt;"SAMPLE",Config!$B$19="Y")),IFERROR(N(INDEX(Clay_Offices!$A$2:$FZ$601,491,Sync!$C$12)),0),"")</f>
        <v/>
      </c>
      <c r="C2742" s="17">
        <f>IF(B2742="","","office")</f>
        <v/>
      </c>
      <c r="D2742" s="17">
        <f>IF(B2742="","",IFERROR(INDEX(Clay_Offices!$A$2:$FZ$601,491,Sync!$C$5)&amp;"",""))</f>
        <v/>
      </c>
      <c r="E2742" s="17">
        <f>IF(B2742="","",IFERROR(INDEX(Clay_Offices!$A$2:$FZ$601,491,Sync!$C$6)&amp;"",""))</f>
        <v/>
      </c>
      <c r="F2742" s="17">
        <f>IF(B2742="","","outreach_sent")</f>
        <v/>
      </c>
      <c r="G2742" s="17">
        <f>IF(B2742="","","")</f>
        <v/>
      </c>
      <c r="H2742" s="17">
        <f>IF(B2742="","","")</f>
        <v/>
      </c>
      <c r="I2742" s="17">
        <f>IF(B2742="","","")</f>
        <v/>
      </c>
      <c r="J2742" s="17">
        <f>IF(B2742="","","touch_2; "&amp;IFERROR(INDEX(Clay_Offices!$A$2:$FZ$601,491,Sync!$C$10)&amp;"","")&amp;"; "&amp;IFERROR(INDEX(Clay_Offices!$A$2:$FZ$601,491,Sync!$C$9)&amp;"",""))</f>
        <v/>
      </c>
      <c r="K2742" t="inlineStr">
        <is>
          <t>office outreach touch 2</t>
        </is>
      </c>
    </row>
    <row r="2743">
      <c r="A2743" s="17">
        <f>IF(B2743="","",B2743+(13*1000+492)/10000000)</f>
        <v/>
      </c>
      <c r="B2743" s="23">
        <f>IF(AND(IFERROR(N(INDEX(Clay_Offices!$A$2:$FZ$601,492,Sync!$C$12)),0)&gt;0,IFERROR(INDEX(Clay_Offices!$A$2:$FZ$601,492,Sync!$C$5)&amp;"","")&lt;&gt;"",OR(LEFT(IFERROR(INDEX(Clay_Offices!$A$2:$FZ$601,492,Sync!$C$5)&amp;"",""),6)&lt;&gt;"SAMPLE",Config!$B$19="Y")),IFERROR(N(INDEX(Clay_Offices!$A$2:$FZ$601,492,Sync!$C$12)),0),"")</f>
        <v/>
      </c>
      <c r="C2743" s="17">
        <f>IF(B2743="","","office")</f>
        <v/>
      </c>
      <c r="D2743" s="17">
        <f>IF(B2743="","",IFERROR(INDEX(Clay_Offices!$A$2:$FZ$601,492,Sync!$C$5)&amp;"",""))</f>
        <v/>
      </c>
      <c r="E2743" s="17">
        <f>IF(B2743="","",IFERROR(INDEX(Clay_Offices!$A$2:$FZ$601,492,Sync!$C$6)&amp;"",""))</f>
        <v/>
      </c>
      <c r="F2743" s="17">
        <f>IF(B2743="","","outreach_sent")</f>
        <v/>
      </c>
      <c r="G2743" s="17">
        <f>IF(B2743="","","")</f>
        <v/>
      </c>
      <c r="H2743" s="17">
        <f>IF(B2743="","","")</f>
        <v/>
      </c>
      <c r="I2743" s="17">
        <f>IF(B2743="","","")</f>
        <v/>
      </c>
      <c r="J2743" s="17">
        <f>IF(B2743="","","touch_2; "&amp;IFERROR(INDEX(Clay_Offices!$A$2:$FZ$601,492,Sync!$C$10)&amp;"","")&amp;"; "&amp;IFERROR(INDEX(Clay_Offices!$A$2:$FZ$601,492,Sync!$C$9)&amp;"",""))</f>
        <v/>
      </c>
      <c r="K2743" t="inlineStr">
        <is>
          <t>office outreach touch 2</t>
        </is>
      </c>
    </row>
    <row r="2744">
      <c r="A2744" s="17">
        <f>IF(B2744="","",B2744+(13*1000+493)/10000000)</f>
        <v/>
      </c>
      <c r="B2744" s="23">
        <f>IF(AND(IFERROR(N(INDEX(Clay_Offices!$A$2:$FZ$601,493,Sync!$C$12)),0)&gt;0,IFERROR(INDEX(Clay_Offices!$A$2:$FZ$601,493,Sync!$C$5)&amp;"","")&lt;&gt;"",OR(LEFT(IFERROR(INDEX(Clay_Offices!$A$2:$FZ$601,493,Sync!$C$5)&amp;"",""),6)&lt;&gt;"SAMPLE",Config!$B$19="Y")),IFERROR(N(INDEX(Clay_Offices!$A$2:$FZ$601,493,Sync!$C$12)),0),"")</f>
        <v/>
      </c>
      <c r="C2744" s="17">
        <f>IF(B2744="","","office")</f>
        <v/>
      </c>
      <c r="D2744" s="17">
        <f>IF(B2744="","",IFERROR(INDEX(Clay_Offices!$A$2:$FZ$601,493,Sync!$C$5)&amp;"",""))</f>
        <v/>
      </c>
      <c r="E2744" s="17">
        <f>IF(B2744="","",IFERROR(INDEX(Clay_Offices!$A$2:$FZ$601,493,Sync!$C$6)&amp;"",""))</f>
        <v/>
      </c>
      <c r="F2744" s="17">
        <f>IF(B2744="","","outreach_sent")</f>
        <v/>
      </c>
      <c r="G2744" s="17">
        <f>IF(B2744="","","")</f>
        <v/>
      </c>
      <c r="H2744" s="17">
        <f>IF(B2744="","","")</f>
        <v/>
      </c>
      <c r="I2744" s="17">
        <f>IF(B2744="","","")</f>
        <v/>
      </c>
      <c r="J2744" s="17">
        <f>IF(B2744="","","touch_2; "&amp;IFERROR(INDEX(Clay_Offices!$A$2:$FZ$601,493,Sync!$C$10)&amp;"","")&amp;"; "&amp;IFERROR(INDEX(Clay_Offices!$A$2:$FZ$601,493,Sync!$C$9)&amp;"",""))</f>
        <v/>
      </c>
      <c r="K2744" t="inlineStr">
        <is>
          <t>office outreach touch 2</t>
        </is>
      </c>
    </row>
    <row r="2745">
      <c r="A2745" s="17">
        <f>IF(B2745="","",B2745+(13*1000+494)/10000000)</f>
        <v/>
      </c>
      <c r="B2745" s="23">
        <f>IF(AND(IFERROR(N(INDEX(Clay_Offices!$A$2:$FZ$601,494,Sync!$C$12)),0)&gt;0,IFERROR(INDEX(Clay_Offices!$A$2:$FZ$601,494,Sync!$C$5)&amp;"","")&lt;&gt;"",OR(LEFT(IFERROR(INDEX(Clay_Offices!$A$2:$FZ$601,494,Sync!$C$5)&amp;"",""),6)&lt;&gt;"SAMPLE",Config!$B$19="Y")),IFERROR(N(INDEX(Clay_Offices!$A$2:$FZ$601,494,Sync!$C$12)),0),"")</f>
        <v/>
      </c>
      <c r="C2745" s="17">
        <f>IF(B2745="","","office")</f>
        <v/>
      </c>
      <c r="D2745" s="17">
        <f>IF(B2745="","",IFERROR(INDEX(Clay_Offices!$A$2:$FZ$601,494,Sync!$C$5)&amp;"",""))</f>
        <v/>
      </c>
      <c r="E2745" s="17">
        <f>IF(B2745="","",IFERROR(INDEX(Clay_Offices!$A$2:$FZ$601,494,Sync!$C$6)&amp;"",""))</f>
        <v/>
      </c>
      <c r="F2745" s="17">
        <f>IF(B2745="","","outreach_sent")</f>
        <v/>
      </c>
      <c r="G2745" s="17">
        <f>IF(B2745="","","")</f>
        <v/>
      </c>
      <c r="H2745" s="17">
        <f>IF(B2745="","","")</f>
        <v/>
      </c>
      <c r="I2745" s="17">
        <f>IF(B2745="","","")</f>
        <v/>
      </c>
      <c r="J2745" s="17">
        <f>IF(B2745="","","touch_2; "&amp;IFERROR(INDEX(Clay_Offices!$A$2:$FZ$601,494,Sync!$C$10)&amp;"","")&amp;"; "&amp;IFERROR(INDEX(Clay_Offices!$A$2:$FZ$601,494,Sync!$C$9)&amp;"",""))</f>
        <v/>
      </c>
      <c r="K2745" t="inlineStr">
        <is>
          <t>office outreach touch 2</t>
        </is>
      </c>
    </row>
    <row r="2746">
      <c r="A2746" s="17">
        <f>IF(B2746="","",B2746+(13*1000+495)/10000000)</f>
        <v/>
      </c>
      <c r="B2746" s="23">
        <f>IF(AND(IFERROR(N(INDEX(Clay_Offices!$A$2:$FZ$601,495,Sync!$C$12)),0)&gt;0,IFERROR(INDEX(Clay_Offices!$A$2:$FZ$601,495,Sync!$C$5)&amp;"","")&lt;&gt;"",OR(LEFT(IFERROR(INDEX(Clay_Offices!$A$2:$FZ$601,495,Sync!$C$5)&amp;"",""),6)&lt;&gt;"SAMPLE",Config!$B$19="Y")),IFERROR(N(INDEX(Clay_Offices!$A$2:$FZ$601,495,Sync!$C$12)),0),"")</f>
        <v/>
      </c>
      <c r="C2746" s="17">
        <f>IF(B2746="","","office")</f>
        <v/>
      </c>
      <c r="D2746" s="17">
        <f>IF(B2746="","",IFERROR(INDEX(Clay_Offices!$A$2:$FZ$601,495,Sync!$C$5)&amp;"",""))</f>
        <v/>
      </c>
      <c r="E2746" s="17">
        <f>IF(B2746="","",IFERROR(INDEX(Clay_Offices!$A$2:$FZ$601,495,Sync!$C$6)&amp;"",""))</f>
        <v/>
      </c>
      <c r="F2746" s="17">
        <f>IF(B2746="","","outreach_sent")</f>
        <v/>
      </c>
      <c r="G2746" s="17">
        <f>IF(B2746="","","")</f>
        <v/>
      </c>
      <c r="H2746" s="17">
        <f>IF(B2746="","","")</f>
        <v/>
      </c>
      <c r="I2746" s="17">
        <f>IF(B2746="","","")</f>
        <v/>
      </c>
      <c r="J2746" s="17">
        <f>IF(B2746="","","touch_2; "&amp;IFERROR(INDEX(Clay_Offices!$A$2:$FZ$601,495,Sync!$C$10)&amp;"","")&amp;"; "&amp;IFERROR(INDEX(Clay_Offices!$A$2:$FZ$601,495,Sync!$C$9)&amp;"",""))</f>
        <v/>
      </c>
      <c r="K2746" t="inlineStr">
        <is>
          <t>office outreach touch 2</t>
        </is>
      </c>
    </row>
    <row r="2747">
      <c r="A2747" s="17">
        <f>IF(B2747="","",B2747+(13*1000+496)/10000000)</f>
        <v/>
      </c>
      <c r="B2747" s="23">
        <f>IF(AND(IFERROR(N(INDEX(Clay_Offices!$A$2:$FZ$601,496,Sync!$C$12)),0)&gt;0,IFERROR(INDEX(Clay_Offices!$A$2:$FZ$601,496,Sync!$C$5)&amp;"","")&lt;&gt;"",OR(LEFT(IFERROR(INDEX(Clay_Offices!$A$2:$FZ$601,496,Sync!$C$5)&amp;"",""),6)&lt;&gt;"SAMPLE",Config!$B$19="Y")),IFERROR(N(INDEX(Clay_Offices!$A$2:$FZ$601,496,Sync!$C$12)),0),"")</f>
        <v/>
      </c>
      <c r="C2747" s="17">
        <f>IF(B2747="","","office")</f>
        <v/>
      </c>
      <c r="D2747" s="17">
        <f>IF(B2747="","",IFERROR(INDEX(Clay_Offices!$A$2:$FZ$601,496,Sync!$C$5)&amp;"",""))</f>
        <v/>
      </c>
      <c r="E2747" s="17">
        <f>IF(B2747="","",IFERROR(INDEX(Clay_Offices!$A$2:$FZ$601,496,Sync!$C$6)&amp;"",""))</f>
        <v/>
      </c>
      <c r="F2747" s="17">
        <f>IF(B2747="","","outreach_sent")</f>
        <v/>
      </c>
      <c r="G2747" s="17">
        <f>IF(B2747="","","")</f>
        <v/>
      </c>
      <c r="H2747" s="17">
        <f>IF(B2747="","","")</f>
        <v/>
      </c>
      <c r="I2747" s="17">
        <f>IF(B2747="","","")</f>
        <v/>
      </c>
      <c r="J2747" s="17">
        <f>IF(B2747="","","touch_2; "&amp;IFERROR(INDEX(Clay_Offices!$A$2:$FZ$601,496,Sync!$C$10)&amp;"","")&amp;"; "&amp;IFERROR(INDEX(Clay_Offices!$A$2:$FZ$601,496,Sync!$C$9)&amp;"",""))</f>
        <v/>
      </c>
      <c r="K2747" t="inlineStr">
        <is>
          <t>office outreach touch 2</t>
        </is>
      </c>
    </row>
    <row r="2748">
      <c r="A2748" s="17">
        <f>IF(B2748="","",B2748+(13*1000+497)/10000000)</f>
        <v/>
      </c>
      <c r="B2748" s="23">
        <f>IF(AND(IFERROR(N(INDEX(Clay_Offices!$A$2:$FZ$601,497,Sync!$C$12)),0)&gt;0,IFERROR(INDEX(Clay_Offices!$A$2:$FZ$601,497,Sync!$C$5)&amp;"","")&lt;&gt;"",OR(LEFT(IFERROR(INDEX(Clay_Offices!$A$2:$FZ$601,497,Sync!$C$5)&amp;"",""),6)&lt;&gt;"SAMPLE",Config!$B$19="Y")),IFERROR(N(INDEX(Clay_Offices!$A$2:$FZ$601,497,Sync!$C$12)),0),"")</f>
        <v/>
      </c>
      <c r="C2748" s="17">
        <f>IF(B2748="","","office")</f>
        <v/>
      </c>
      <c r="D2748" s="17">
        <f>IF(B2748="","",IFERROR(INDEX(Clay_Offices!$A$2:$FZ$601,497,Sync!$C$5)&amp;"",""))</f>
        <v/>
      </c>
      <c r="E2748" s="17">
        <f>IF(B2748="","",IFERROR(INDEX(Clay_Offices!$A$2:$FZ$601,497,Sync!$C$6)&amp;"",""))</f>
        <v/>
      </c>
      <c r="F2748" s="17">
        <f>IF(B2748="","","outreach_sent")</f>
        <v/>
      </c>
      <c r="G2748" s="17">
        <f>IF(B2748="","","")</f>
        <v/>
      </c>
      <c r="H2748" s="17">
        <f>IF(B2748="","","")</f>
        <v/>
      </c>
      <c r="I2748" s="17">
        <f>IF(B2748="","","")</f>
        <v/>
      </c>
      <c r="J2748" s="17">
        <f>IF(B2748="","","touch_2; "&amp;IFERROR(INDEX(Clay_Offices!$A$2:$FZ$601,497,Sync!$C$10)&amp;"","")&amp;"; "&amp;IFERROR(INDEX(Clay_Offices!$A$2:$FZ$601,497,Sync!$C$9)&amp;"",""))</f>
        <v/>
      </c>
      <c r="K2748" t="inlineStr">
        <is>
          <t>office outreach touch 2</t>
        </is>
      </c>
    </row>
    <row r="2749">
      <c r="A2749" s="17">
        <f>IF(B2749="","",B2749+(13*1000+498)/10000000)</f>
        <v/>
      </c>
      <c r="B2749" s="23">
        <f>IF(AND(IFERROR(N(INDEX(Clay_Offices!$A$2:$FZ$601,498,Sync!$C$12)),0)&gt;0,IFERROR(INDEX(Clay_Offices!$A$2:$FZ$601,498,Sync!$C$5)&amp;"","")&lt;&gt;"",OR(LEFT(IFERROR(INDEX(Clay_Offices!$A$2:$FZ$601,498,Sync!$C$5)&amp;"",""),6)&lt;&gt;"SAMPLE",Config!$B$19="Y")),IFERROR(N(INDEX(Clay_Offices!$A$2:$FZ$601,498,Sync!$C$12)),0),"")</f>
        <v/>
      </c>
      <c r="C2749" s="17">
        <f>IF(B2749="","","office")</f>
        <v/>
      </c>
      <c r="D2749" s="17">
        <f>IF(B2749="","",IFERROR(INDEX(Clay_Offices!$A$2:$FZ$601,498,Sync!$C$5)&amp;"",""))</f>
        <v/>
      </c>
      <c r="E2749" s="17">
        <f>IF(B2749="","",IFERROR(INDEX(Clay_Offices!$A$2:$FZ$601,498,Sync!$C$6)&amp;"",""))</f>
        <v/>
      </c>
      <c r="F2749" s="17">
        <f>IF(B2749="","","outreach_sent")</f>
        <v/>
      </c>
      <c r="G2749" s="17">
        <f>IF(B2749="","","")</f>
        <v/>
      </c>
      <c r="H2749" s="17">
        <f>IF(B2749="","","")</f>
        <v/>
      </c>
      <c r="I2749" s="17">
        <f>IF(B2749="","","")</f>
        <v/>
      </c>
      <c r="J2749" s="17">
        <f>IF(B2749="","","touch_2; "&amp;IFERROR(INDEX(Clay_Offices!$A$2:$FZ$601,498,Sync!$C$10)&amp;"","")&amp;"; "&amp;IFERROR(INDEX(Clay_Offices!$A$2:$FZ$601,498,Sync!$C$9)&amp;"",""))</f>
        <v/>
      </c>
      <c r="K2749" t="inlineStr">
        <is>
          <t>office outreach touch 2</t>
        </is>
      </c>
    </row>
    <row r="2750">
      <c r="A2750" s="17">
        <f>IF(B2750="","",B2750+(13*1000+499)/10000000)</f>
        <v/>
      </c>
      <c r="B2750" s="23">
        <f>IF(AND(IFERROR(N(INDEX(Clay_Offices!$A$2:$FZ$601,499,Sync!$C$12)),0)&gt;0,IFERROR(INDEX(Clay_Offices!$A$2:$FZ$601,499,Sync!$C$5)&amp;"","")&lt;&gt;"",OR(LEFT(IFERROR(INDEX(Clay_Offices!$A$2:$FZ$601,499,Sync!$C$5)&amp;"",""),6)&lt;&gt;"SAMPLE",Config!$B$19="Y")),IFERROR(N(INDEX(Clay_Offices!$A$2:$FZ$601,499,Sync!$C$12)),0),"")</f>
        <v/>
      </c>
      <c r="C2750" s="17">
        <f>IF(B2750="","","office")</f>
        <v/>
      </c>
      <c r="D2750" s="17">
        <f>IF(B2750="","",IFERROR(INDEX(Clay_Offices!$A$2:$FZ$601,499,Sync!$C$5)&amp;"",""))</f>
        <v/>
      </c>
      <c r="E2750" s="17">
        <f>IF(B2750="","",IFERROR(INDEX(Clay_Offices!$A$2:$FZ$601,499,Sync!$C$6)&amp;"",""))</f>
        <v/>
      </c>
      <c r="F2750" s="17">
        <f>IF(B2750="","","outreach_sent")</f>
        <v/>
      </c>
      <c r="G2750" s="17">
        <f>IF(B2750="","","")</f>
        <v/>
      </c>
      <c r="H2750" s="17">
        <f>IF(B2750="","","")</f>
        <v/>
      </c>
      <c r="I2750" s="17">
        <f>IF(B2750="","","")</f>
        <v/>
      </c>
      <c r="J2750" s="17">
        <f>IF(B2750="","","touch_2; "&amp;IFERROR(INDEX(Clay_Offices!$A$2:$FZ$601,499,Sync!$C$10)&amp;"","")&amp;"; "&amp;IFERROR(INDEX(Clay_Offices!$A$2:$FZ$601,499,Sync!$C$9)&amp;"",""))</f>
        <v/>
      </c>
      <c r="K2750" t="inlineStr">
        <is>
          <t>office outreach touch 2</t>
        </is>
      </c>
    </row>
    <row r="2751">
      <c r="A2751" s="17">
        <f>IF(B2751="","",B2751+(13*1000+500)/10000000)</f>
        <v/>
      </c>
      <c r="B2751" s="23">
        <f>IF(AND(IFERROR(N(INDEX(Clay_Offices!$A$2:$FZ$601,500,Sync!$C$12)),0)&gt;0,IFERROR(INDEX(Clay_Offices!$A$2:$FZ$601,500,Sync!$C$5)&amp;"","")&lt;&gt;"",OR(LEFT(IFERROR(INDEX(Clay_Offices!$A$2:$FZ$601,500,Sync!$C$5)&amp;"",""),6)&lt;&gt;"SAMPLE",Config!$B$19="Y")),IFERROR(N(INDEX(Clay_Offices!$A$2:$FZ$601,500,Sync!$C$12)),0),"")</f>
        <v/>
      </c>
      <c r="C2751" s="17">
        <f>IF(B2751="","","office")</f>
        <v/>
      </c>
      <c r="D2751" s="17">
        <f>IF(B2751="","",IFERROR(INDEX(Clay_Offices!$A$2:$FZ$601,500,Sync!$C$5)&amp;"",""))</f>
        <v/>
      </c>
      <c r="E2751" s="17">
        <f>IF(B2751="","",IFERROR(INDEX(Clay_Offices!$A$2:$FZ$601,500,Sync!$C$6)&amp;"",""))</f>
        <v/>
      </c>
      <c r="F2751" s="17">
        <f>IF(B2751="","","outreach_sent")</f>
        <v/>
      </c>
      <c r="G2751" s="17">
        <f>IF(B2751="","","")</f>
        <v/>
      </c>
      <c r="H2751" s="17">
        <f>IF(B2751="","","")</f>
        <v/>
      </c>
      <c r="I2751" s="17">
        <f>IF(B2751="","","")</f>
        <v/>
      </c>
      <c r="J2751" s="17">
        <f>IF(B2751="","","touch_2; "&amp;IFERROR(INDEX(Clay_Offices!$A$2:$FZ$601,500,Sync!$C$10)&amp;"","")&amp;"; "&amp;IFERROR(INDEX(Clay_Offices!$A$2:$FZ$601,500,Sync!$C$9)&amp;"",""))</f>
        <v/>
      </c>
      <c r="K2751" t="inlineStr">
        <is>
          <t>office outreach touch 2</t>
        </is>
      </c>
    </row>
    <row r="2752">
      <c r="A2752" s="17">
        <f>IF(B2752="","",B2752+(13*1000+501)/10000000)</f>
        <v/>
      </c>
      <c r="B2752" s="23">
        <f>IF(AND(IFERROR(N(INDEX(Clay_Offices!$A$2:$FZ$601,501,Sync!$C$12)),0)&gt;0,IFERROR(INDEX(Clay_Offices!$A$2:$FZ$601,501,Sync!$C$5)&amp;"","")&lt;&gt;"",OR(LEFT(IFERROR(INDEX(Clay_Offices!$A$2:$FZ$601,501,Sync!$C$5)&amp;"",""),6)&lt;&gt;"SAMPLE",Config!$B$19="Y")),IFERROR(N(INDEX(Clay_Offices!$A$2:$FZ$601,501,Sync!$C$12)),0),"")</f>
        <v/>
      </c>
      <c r="C2752" s="17">
        <f>IF(B2752="","","office")</f>
        <v/>
      </c>
      <c r="D2752" s="17">
        <f>IF(B2752="","",IFERROR(INDEX(Clay_Offices!$A$2:$FZ$601,501,Sync!$C$5)&amp;"",""))</f>
        <v/>
      </c>
      <c r="E2752" s="17">
        <f>IF(B2752="","",IFERROR(INDEX(Clay_Offices!$A$2:$FZ$601,501,Sync!$C$6)&amp;"",""))</f>
        <v/>
      </c>
      <c r="F2752" s="17">
        <f>IF(B2752="","","outreach_sent")</f>
        <v/>
      </c>
      <c r="G2752" s="17">
        <f>IF(B2752="","","")</f>
        <v/>
      </c>
      <c r="H2752" s="17">
        <f>IF(B2752="","","")</f>
        <v/>
      </c>
      <c r="I2752" s="17">
        <f>IF(B2752="","","")</f>
        <v/>
      </c>
      <c r="J2752" s="17">
        <f>IF(B2752="","","touch_2; "&amp;IFERROR(INDEX(Clay_Offices!$A$2:$FZ$601,501,Sync!$C$10)&amp;"","")&amp;"; "&amp;IFERROR(INDEX(Clay_Offices!$A$2:$FZ$601,501,Sync!$C$9)&amp;"",""))</f>
        <v/>
      </c>
      <c r="K2752" t="inlineStr">
        <is>
          <t>office outreach touch 2</t>
        </is>
      </c>
    </row>
    <row r="2753">
      <c r="A2753" s="17">
        <f>IF(B2753="","",B2753+(13*1000+502)/10000000)</f>
        <v/>
      </c>
      <c r="B2753" s="23">
        <f>IF(AND(IFERROR(N(INDEX(Clay_Offices!$A$2:$FZ$601,502,Sync!$C$12)),0)&gt;0,IFERROR(INDEX(Clay_Offices!$A$2:$FZ$601,502,Sync!$C$5)&amp;"","")&lt;&gt;"",OR(LEFT(IFERROR(INDEX(Clay_Offices!$A$2:$FZ$601,502,Sync!$C$5)&amp;"",""),6)&lt;&gt;"SAMPLE",Config!$B$19="Y")),IFERROR(N(INDEX(Clay_Offices!$A$2:$FZ$601,502,Sync!$C$12)),0),"")</f>
        <v/>
      </c>
      <c r="C2753" s="17">
        <f>IF(B2753="","","office")</f>
        <v/>
      </c>
      <c r="D2753" s="17">
        <f>IF(B2753="","",IFERROR(INDEX(Clay_Offices!$A$2:$FZ$601,502,Sync!$C$5)&amp;"",""))</f>
        <v/>
      </c>
      <c r="E2753" s="17">
        <f>IF(B2753="","",IFERROR(INDEX(Clay_Offices!$A$2:$FZ$601,502,Sync!$C$6)&amp;"",""))</f>
        <v/>
      </c>
      <c r="F2753" s="17">
        <f>IF(B2753="","","outreach_sent")</f>
        <v/>
      </c>
      <c r="G2753" s="17">
        <f>IF(B2753="","","")</f>
        <v/>
      </c>
      <c r="H2753" s="17">
        <f>IF(B2753="","","")</f>
        <v/>
      </c>
      <c r="I2753" s="17">
        <f>IF(B2753="","","")</f>
        <v/>
      </c>
      <c r="J2753" s="17">
        <f>IF(B2753="","","touch_2; "&amp;IFERROR(INDEX(Clay_Offices!$A$2:$FZ$601,502,Sync!$C$10)&amp;"","")&amp;"; "&amp;IFERROR(INDEX(Clay_Offices!$A$2:$FZ$601,502,Sync!$C$9)&amp;"",""))</f>
        <v/>
      </c>
      <c r="K2753" t="inlineStr">
        <is>
          <t>office outreach touch 2</t>
        </is>
      </c>
    </row>
    <row r="2754">
      <c r="A2754" s="17">
        <f>IF(B2754="","",B2754+(13*1000+503)/10000000)</f>
        <v/>
      </c>
      <c r="B2754" s="23">
        <f>IF(AND(IFERROR(N(INDEX(Clay_Offices!$A$2:$FZ$601,503,Sync!$C$12)),0)&gt;0,IFERROR(INDEX(Clay_Offices!$A$2:$FZ$601,503,Sync!$C$5)&amp;"","")&lt;&gt;"",OR(LEFT(IFERROR(INDEX(Clay_Offices!$A$2:$FZ$601,503,Sync!$C$5)&amp;"",""),6)&lt;&gt;"SAMPLE",Config!$B$19="Y")),IFERROR(N(INDEX(Clay_Offices!$A$2:$FZ$601,503,Sync!$C$12)),0),"")</f>
        <v/>
      </c>
      <c r="C2754" s="17">
        <f>IF(B2754="","","office")</f>
        <v/>
      </c>
      <c r="D2754" s="17">
        <f>IF(B2754="","",IFERROR(INDEX(Clay_Offices!$A$2:$FZ$601,503,Sync!$C$5)&amp;"",""))</f>
        <v/>
      </c>
      <c r="E2754" s="17">
        <f>IF(B2754="","",IFERROR(INDEX(Clay_Offices!$A$2:$FZ$601,503,Sync!$C$6)&amp;"",""))</f>
        <v/>
      </c>
      <c r="F2754" s="17">
        <f>IF(B2754="","","outreach_sent")</f>
        <v/>
      </c>
      <c r="G2754" s="17">
        <f>IF(B2754="","","")</f>
        <v/>
      </c>
      <c r="H2754" s="17">
        <f>IF(B2754="","","")</f>
        <v/>
      </c>
      <c r="I2754" s="17">
        <f>IF(B2754="","","")</f>
        <v/>
      </c>
      <c r="J2754" s="17">
        <f>IF(B2754="","","touch_2; "&amp;IFERROR(INDEX(Clay_Offices!$A$2:$FZ$601,503,Sync!$C$10)&amp;"","")&amp;"; "&amp;IFERROR(INDEX(Clay_Offices!$A$2:$FZ$601,503,Sync!$C$9)&amp;"",""))</f>
        <v/>
      </c>
      <c r="K2754" t="inlineStr">
        <is>
          <t>office outreach touch 2</t>
        </is>
      </c>
    </row>
    <row r="2755">
      <c r="A2755" s="17">
        <f>IF(B2755="","",B2755+(13*1000+504)/10000000)</f>
        <v/>
      </c>
      <c r="B2755" s="23">
        <f>IF(AND(IFERROR(N(INDEX(Clay_Offices!$A$2:$FZ$601,504,Sync!$C$12)),0)&gt;0,IFERROR(INDEX(Clay_Offices!$A$2:$FZ$601,504,Sync!$C$5)&amp;"","")&lt;&gt;"",OR(LEFT(IFERROR(INDEX(Clay_Offices!$A$2:$FZ$601,504,Sync!$C$5)&amp;"",""),6)&lt;&gt;"SAMPLE",Config!$B$19="Y")),IFERROR(N(INDEX(Clay_Offices!$A$2:$FZ$601,504,Sync!$C$12)),0),"")</f>
        <v/>
      </c>
      <c r="C2755" s="17">
        <f>IF(B2755="","","office")</f>
        <v/>
      </c>
      <c r="D2755" s="17">
        <f>IF(B2755="","",IFERROR(INDEX(Clay_Offices!$A$2:$FZ$601,504,Sync!$C$5)&amp;"",""))</f>
        <v/>
      </c>
      <c r="E2755" s="17">
        <f>IF(B2755="","",IFERROR(INDEX(Clay_Offices!$A$2:$FZ$601,504,Sync!$C$6)&amp;"",""))</f>
        <v/>
      </c>
      <c r="F2755" s="17">
        <f>IF(B2755="","","outreach_sent")</f>
        <v/>
      </c>
      <c r="G2755" s="17">
        <f>IF(B2755="","","")</f>
        <v/>
      </c>
      <c r="H2755" s="17">
        <f>IF(B2755="","","")</f>
        <v/>
      </c>
      <c r="I2755" s="17">
        <f>IF(B2755="","","")</f>
        <v/>
      </c>
      <c r="J2755" s="17">
        <f>IF(B2755="","","touch_2; "&amp;IFERROR(INDEX(Clay_Offices!$A$2:$FZ$601,504,Sync!$C$10)&amp;"","")&amp;"; "&amp;IFERROR(INDEX(Clay_Offices!$A$2:$FZ$601,504,Sync!$C$9)&amp;"",""))</f>
        <v/>
      </c>
      <c r="K2755" t="inlineStr">
        <is>
          <t>office outreach touch 2</t>
        </is>
      </c>
    </row>
    <row r="2756">
      <c r="A2756" s="17">
        <f>IF(B2756="","",B2756+(13*1000+505)/10000000)</f>
        <v/>
      </c>
      <c r="B2756" s="23">
        <f>IF(AND(IFERROR(N(INDEX(Clay_Offices!$A$2:$FZ$601,505,Sync!$C$12)),0)&gt;0,IFERROR(INDEX(Clay_Offices!$A$2:$FZ$601,505,Sync!$C$5)&amp;"","")&lt;&gt;"",OR(LEFT(IFERROR(INDEX(Clay_Offices!$A$2:$FZ$601,505,Sync!$C$5)&amp;"",""),6)&lt;&gt;"SAMPLE",Config!$B$19="Y")),IFERROR(N(INDEX(Clay_Offices!$A$2:$FZ$601,505,Sync!$C$12)),0),"")</f>
        <v/>
      </c>
      <c r="C2756" s="17">
        <f>IF(B2756="","","office")</f>
        <v/>
      </c>
      <c r="D2756" s="17">
        <f>IF(B2756="","",IFERROR(INDEX(Clay_Offices!$A$2:$FZ$601,505,Sync!$C$5)&amp;"",""))</f>
        <v/>
      </c>
      <c r="E2756" s="17">
        <f>IF(B2756="","",IFERROR(INDEX(Clay_Offices!$A$2:$FZ$601,505,Sync!$C$6)&amp;"",""))</f>
        <v/>
      </c>
      <c r="F2756" s="17">
        <f>IF(B2756="","","outreach_sent")</f>
        <v/>
      </c>
      <c r="G2756" s="17">
        <f>IF(B2756="","","")</f>
        <v/>
      </c>
      <c r="H2756" s="17">
        <f>IF(B2756="","","")</f>
        <v/>
      </c>
      <c r="I2756" s="17">
        <f>IF(B2756="","","")</f>
        <v/>
      </c>
      <c r="J2756" s="17">
        <f>IF(B2756="","","touch_2; "&amp;IFERROR(INDEX(Clay_Offices!$A$2:$FZ$601,505,Sync!$C$10)&amp;"","")&amp;"; "&amp;IFERROR(INDEX(Clay_Offices!$A$2:$FZ$601,505,Sync!$C$9)&amp;"",""))</f>
        <v/>
      </c>
      <c r="K2756" t="inlineStr">
        <is>
          <t>office outreach touch 2</t>
        </is>
      </c>
    </row>
    <row r="2757">
      <c r="A2757" s="17">
        <f>IF(B2757="","",B2757+(13*1000+506)/10000000)</f>
        <v/>
      </c>
      <c r="B2757" s="23">
        <f>IF(AND(IFERROR(N(INDEX(Clay_Offices!$A$2:$FZ$601,506,Sync!$C$12)),0)&gt;0,IFERROR(INDEX(Clay_Offices!$A$2:$FZ$601,506,Sync!$C$5)&amp;"","")&lt;&gt;"",OR(LEFT(IFERROR(INDEX(Clay_Offices!$A$2:$FZ$601,506,Sync!$C$5)&amp;"",""),6)&lt;&gt;"SAMPLE",Config!$B$19="Y")),IFERROR(N(INDEX(Clay_Offices!$A$2:$FZ$601,506,Sync!$C$12)),0),"")</f>
        <v/>
      </c>
      <c r="C2757" s="17">
        <f>IF(B2757="","","office")</f>
        <v/>
      </c>
      <c r="D2757" s="17">
        <f>IF(B2757="","",IFERROR(INDEX(Clay_Offices!$A$2:$FZ$601,506,Sync!$C$5)&amp;"",""))</f>
        <v/>
      </c>
      <c r="E2757" s="17">
        <f>IF(B2757="","",IFERROR(INDEX(Clay_Offices!$A$2:$FZ$601,506,Sync!$C$6)&amp;"",""))</f>
        <v/>
      </c>
      <c r="F2757" s="17">
        <f>IF(B2757="","","outreach_sent")</f>
        <v/>
      </c>
      <c r="G2757" s="17">
        <f>IF(B2757="","","")</f>
        <v/>
      </c>
      <c r="H2757" s="17">
        <f>IF(B2757="","","")</f>
        <v/>
      </c>
      <c r="I2757" s="17">
        <f>IF(B2757="","","")</f>
        <v/>
      </c>
      <c r="J2757" s="17">
        <f>IF(B2757="","","touch_2; "&amp;IFERROR(INDEX(Clay_Offices!$A$2:$FZ$601,506,Sync!$C$10)&amp;"","")&amp;"; "&amp;IFERROR(INDEX(Clay_Offices!$A$2:$FZ$601,506,Sync!$C$9)&amp;"",""))</f>
        <v/>
      </c>
      <c r="K2757" t="inlineStr">
        <is>
          <t>office outreach touch 2</t>
        </is>
      </c>
    </row>
    <row r="2758">
      <c r="A2758" s="17">
        <f>IF(B2758="","",B2758+(13*1000+507)/10000000)</f>
        <v/>
      </c>
      <c r="B2758" s="23">
        <f>IF(AND(IFERROR(N(INDEX(Clay_Offices!$A$2:$FZ$601,507,Sync!$C$12)),0)&gt;0,IFERROR(INDEX(Clay_Offices!$A$2:$FZ$601,507,Sync!$C$5)&amp;"","")&lt;&gt;"",OR(LEFT(IFERROR(INDEX(Clay_Offices!$A$2:$FZ$601,507,Sync!$C$5)&amp;"",""),6)&lt;&gt;"SAMPLE",Config!$B$19="Y")),IFERROR(N(INDEX(Clay_Offices!$A$2:$FZ$601,507,Sync!$C$12)),0),"")</f>
        <v/>
      </c>
      <c r="C2758" s="17">
        <f>IF(B2758="","","office")</f>
        <v/>
      </c>
      <c r="D2758" s="17">
        <f>IF(B2758="","",IFERROR(INDEX(Clay_Offices!$A$2:$FZ$601,507,Sync!$C$5)&amp;"",""))</f>
        <v/>
      </c>
      <c r="E2758" s="17">
        <f>IF(B2758="","",IFERROR(INDEX(Clay_Offices!$A$2:$FZ$601,507,Sync!$C$6)&amp;"",""))</f>
        <v/>
      </c>
      <c r="F2758" s="17">
        <f>IF(B2758="","","outreach_sent")</f>
        <v/>
      </c>
      <c r="G2758" s="17">
        <f>IF(B2758="","","")</f>
        <v/>
      </c>
      <c r="H2758" s="17">
        <f>IF(B2758="","","")</f>
        <v/>
      </c>
      <c r="I2758" s="17">
        <f>IF(B2758="","","")</f>
        <v/>
      </c>
      <c r="J2758" s="17">
        <f>IF(B2758="","","touch_2; "&amp;IFERROR(INDEX(Clay_Offices!$A$2:$FZ$601,507,Sync!$C$10)&amp;"","")&amp;"; "&amp;IFERROR(INDEX(Clay_Offices!$A$2:$FZ$601,507,Sync!$C$9)&amp;"",""))</f>
        <v/>
      </c>
      <c r="K2758" t="inlineStr">
        <is>
          <t>office outreach touch 2</t>
        </is>
      </c>
    </row>
    <row r="2759">
      <c r="A2759" s="17">
        <f>IF(B2759="","",B2759+(13*1000+508)/10000000)</f>
        <v/>
      </c>
      <c r="B2759" s="23">
        <f>IF(AND(IFERROR(N(INDEX(Clay_Offices!$A$2:$FZ$601,508,Sync!$C$12)),0)&gt;0,IFERROR(INDEX(Clay_Offices!$A$2:$FZ$601,508,Sync!$C$5)&amp;"","")&lt;&gt;"",OR(LEFT(IFERROR(INDEX(Clay_Offices!$A$2:$FZ$601,508,Sync!$C$5)&amp;"",""),6)&lt;&gt;"SAMPLE",Config!$B$19="Y")),IFERROR(N(INDEX(Clay_Offices!$A$2:$FZ$601,508,Sync!$C$12)),0),"")</f>
        <v/>
      </c>
      <c r="C2759" s="17">
        <f>IF(B2759="","","office")</f>
        <v/>
      </c>
      <c r="D2759" s="17">
        <f>IF(B2759="","",IFERROR(INDEX(Clay_Offices!$A$2:$FZ$601,508,Sync!$C$5)&amp;"",""))</f>
        <v/>
      </c>
      <c r="E2759" s="17">
        <f>IF(B2759="","",IFERROR(INDEX(Clay_Offices!$A$2:$FZ$601,508,Sync!$C$6)&amp;"",""))</f>
        <v/>
      </c>
      <c r="F2759" s="17">
        <f>IF(B2759="","","outreach_sent")</f>
        <v/>
      </c>
      <c r="G2759" s="17">
        <f>IF(B2759="","","")</f>
        <v/>
      </c>
      <c r="H2759" s="17">
        <f>IF(B2759="","","")</f>
        <v/>
      </c>
      <c r="I2759" s="17">
        <f>IF(B2759="","","")</f>
        <v/>
      </c>
      <c r="J2759" s="17">
        <f>IF(B2759="","","touch_2; "&amp;IFERROR(INDEX(Clay_Offices!$A$2:$FZ$601,508,Sync!$C$10)&amp;"","")&amp;"; "&amp;IFERROR(INDEX(Clay_Offices!$A$2:$FZ$601,508,Sync!$C$9)&amp;"",""))</f>
        <v/>
      </c>
      <c r="K2759" t="inlineStr">
        <is>
          <t>office outreach touch 2</t>
        </is>
      </c>
    </row>
    <row r="2760">
      <c r="A2760" s="17">
        <f>IF(B2760="","",B2760+(13*1000+509)/10000000)</f>
        <v/>
      </c>
      <c r="B2760" s="23">
        <f>IF(AND(IFERROR(N(INDEX(Clay_Offices!$A$2:$FZ$601,509,Sync!$C$12)),0)&gt;0,IFERROR(INDEX(Clay_Offices!$A$2:$FZ$601,509,Sync!$C$5)&amp;"","")&lt;&gt;"",OR(LEFT(IFERROR(INDEX(Clay_Offices!$A$2:$FZ$601,509,Sync!$C$5)&amp;"",""),6)&lt;&gt;"SAMPLE",Config!$B$19="Y")),IFERROR(N(INDEX(Clay_Offices!$A$2:$FZ$601,509,Sync!$C$12)),0),"")</f>
        <v/>
      </c>
      <c r="C2760" s="17">
        <f>IF(B2760="","","office")</f>
        <v/>
      </c>
      <c r="D2760" s="17">
        <f>IF(B2760="","",IFERROR(INDEX(Clay_Offices!$A$2:$FZ$601,509,Sync!$C$5)&amp;"",""))</f>
        <v/>
      </c>
      <c r="E2760" s="17">
        <f>IF(B2760="","",IFERROR(INDEX(Clay_Offices!$A$2:$FZ$601,509,Sync!$C$6)&amp;"",""))</f>
        <v/>
      </c>
      <c r="F2760" s="17">
        <f>IF(B2760="","","outreach_sent")</f>
        <v/>
      </c>
      <c r="G2760" s="17">
        <f>IF(B2760="","","")</f>
        <v/>
      </c>
      <c r="H2760" s="17">
        <f>IF(B2760="","","")</f>
        <v/>
      </c>
      <c r="I2760" s="17">
        <f>IF(B2760="","","")</f>
        <v/>
      </c>
      <c r="J2760" s="17">
        <f>IF(B2760="","","touch_2; "&amp;IFERROR(INDEX(Clay_Offices!$A$2:$FZ$601,509,Sync!$C$10)&amp;"","")&amp;"; "&amp;IFERROR(INDEX(Clay_Offices!$A$2:$FZ$601,509,Sync!$C$9)&amp;"",""))</f>
        <v/>
      </c>
      <c r="K2760" t="inlineStr">
        <is>
          <t>office outreach touch 2</t>
        </is>
      </c>
    </row>
    <row r="2761">
      <c r="A2761" s="17">
        <f>IF(B2761="","",B2761+(13*1000+510)/10000000)</f>
        <v/>
      </c>
      <c r="B2761" s="23">
        <f>IF(AND(IFERROR(N(INDEX(Clay_Offices!$A$2:$FZ$601,510,Sync!$C$12)),0)&gt;0,IFERROR(INDEX(Clay_Offices!$A$2:$FZ$601,510,Sync!$C$5)&amp;"","")&lt;&gt;"",OR(LEFT(IFERROR(INDEX(Clay_Offices!$A$2:$FZ$601,510,Sync!$C$5)&amp;"",""),6)&lt;&gt;"SAMPLE",Config!$B$19="Y")),IFERROR(N(INDEX(Clay_Offices!$A$2:$FZ$601,510,Sync!$C$12)),0),"")</f>
        <v/>
      </c>
      <c r="C2761" s="17">
        <f>IF(B2761="","","office")</f>
        <v/>
      </c>
      <c r="D2761" s="17">
        <f>IF(B2761="","",IFERROR(INDEX(Clay_Offices!$A$2:$FZ$601,510,Sync!$C$5)&amp;"",""))</f>
        <v/>
      </c>
      <c r="E2761" s="17">
        <f>IF(B2761="","",IFERROR(INDEX(Clay_Offices!$A$2:$FZ$601,510,Sync!$C$6)&amp;"",""))</f>
        <v/>
      </c>
      <c r="F2761" s="17">
        <f>IF(B2761="","","outreach_sent")</f>
        <v/>
      </c>
      <c r="G2761" s="17">
        <f>IF(B2761="","","")</f>
        <v/>
      </c>
      <c r="H2761" s="17">
        <f>IF(B2761="","","")</f>
        <v/>
      </c>
      <c r="I2761" s="17">
        <f>IF(B2761="","","")</f>
        <v/>
      </c>
      <c r="J2761" s="17">
        <f>IF(B2761="","","touch_2; "&amp;IFERROR(INDEX(Clay_Offices!$A$2:$FZ$601,510,Sync!$C$10)&amp;"","")&amp;"; "&amp;IFERROR(INDEX(Clay_Offices!$A$2:$FZ$601,510,Sync!$C$9)&amp;"",""))</f>
        <v/>
      </c>
      <c r="K2761" t="inlineStr">
        <is>
          <t>office outreach touch 2</t>
        </is>
      </c>
    </row>
    <row r="2762">
      <c r="A2762" s="17">
        <f>IF(B2762="","",B2762+(13*1000+511)/10000000)</f>
        <v/>
      </c>
      <c r="B2762" s="23">
        <f>IF(AND(IFERROR(N(INDEX(Clay_Offices!$A$2:$FZ$601,511,Sync!$C$12)),0)&gt;0,IFERROR(INDEX(Clay_Offices!$A$2:$FZ$601,511,Sync!$C$5)&amp;"","")&lt;&gt;"",OR(LEFT(IFERROR(INDEX(Clay_Offices!$A$2:$FZ$601,511,Sync!$C$5)&amp;"",""),6)&lt;&gt;"SAMPLE",Config!$B$19="Y")),IFERROR(N(INDEX(Clay_Offices!$A$2:$FZ$601,511,Sync!$C$12)),0),"")</f>
        <v/>
      </c>
      <c r="C2762" s="17">
        <f>IF(B2762="","","office")</f>
        <v/>
      </c>
      <c r="D2762" s="17">
        <f>IF(B2762="","",IFERROR(INDEX(Clay_Offices!$A$2:$FZ$601,511,Sync!$C$5)&amp;"",""))</f>
        <v/>
      </c>
      <c r="E2762" s="17">
        <f>IF(B2762="","",IFERROR(INDEX(Clay_Offices!$A$2:$FZ$601,511,Sync!$C$6)&amp;"",""))</f>
        <v/>
      </c>
      <c r="F2762" s="17">
        <f>IF(B2762="","","outreach_sent")</f>
        <v/>
      </c>
      <c r="G2762" s="17">
        <f>IF(B2762="","","")</f>
        <v/>
      </c>
      <c r="H2762" s="17">
        <f>IF(B2762="","","")</f>
        <v/>
      </c>
      <c r="I2762" s="17">
        <f>IF(B2762="","","")</f>
        <v/>
      </c>
      <c r="J2762" s="17">
        <f>IF(B2762="","","touch_2; "&amp;IFERROR(INDEX(Clay_Offices!$A$2:$FZ$601,511,Sync!$C$10)&amp;"","")&amp;"; "&amp;IFERROR(INDEX(Clay_Offices!$A$2:$FZ$601,511,Sync!$C$9)&amp;"",""))</f>
        <v/>
      </c>
      <c r="K2762" t="inlineStr">
        <is>
          <t>office outreach touch 2</t>
        </is>
      </c>
    </row>
    <row r="2763">
      <c r="A2763" s="17">
        <f>IF(B2763="","",B2763+(13*1000+512)/10000000)</f>
        <v/>
      </c>
      <c r="B2763" s="23">
        <f>IF(AND(IFERROR(N(INDEX(Clay_Offices!$A$2:$FZ$601,512,Sync!$C$12)),0)&gt;0,IFERROR(INDEX(Clay_Offices!$A$2:$FZ$601,512,Sync!$C$5)&amp;"","")&lt;&gt;"",OR(LEFT(IFERROR(INDEX(Clay_Offices!$A$2:$FZ$601,512,Sync!$C$5)&amp;"",""),6)&lt;&gt;"SAMPLE",Config!$B$19="Y")),IFERROR(N(INDEX(Clay_Offices!$A$2:$FZ$601,512,Sync!$C$12)),0),"")</f>
        <v/>
      </c>
      <c r="C2763" s="17">
        <f>IF(B2763="","","office")</f>
        <v/>
      </c>
      <c r="D2763" s="17">
        <f>IF(B2763="","",IFERROR(INDEX(Clay_Offices!$A$2:$FZ$601,512,Sync!$C$5)&amp;"",""))</f>
        <v/>
      </c>
      <c r="E2763" s="17">
        <f>IF(B2763="","",IFERROR(INDEX(Clay_Offices!$A$2:$FZ$601,512,Sync!$C$6)&amp;"",""))</f>
        <v/>
      </c>
      <c r="F2763" s="17">
        <f>IF(B2763="","","outreach_sent")</f>
        <v/>
      </c>
      <c r="G2763" s="17">
        <f>IF(B2763="","","")</f>
        <v/>
      </c>
      <c r="H2763" s="17">
        <f>IF(B2763="","","")</f>
        <v/>
      </c>
      <c r="I2763" s="17">
        <f>IF(B2763="","","")</f>
        <v/>
      </c>
      <c r="J2763" s="17">
        <f>IF(B2763="","","touch_2; "&amp;IFERROR(INDEX(Clay_Offices!$A$2:$FZ$601,512,Sync!$C$10)&amp;"","")&amp;"; "&amp;IFERROR(INDEX(Clay_Offices!$A$2:$FZ$601,512,Sync!$C$9)&amp;"",""))</f>
        <v/>
      </c>
      <c r="K2763" t="inlineStr">
        <is>
          <t>office outreach touch 2</t>
        </is>
      </c>
    </row>
    <row r="2764">
      <c r="A2764" s="17">
        <f>IF(B2764="","",B2764+(13*1000+513)/10000000)</f>
        <v/>
      </c>
      <c r="B2764" s="23">
        <f>IF(AND(IFERROR(N(INDEX(Clay_Offices!$A$2:$FZ$601,513,Sync!$C$12)),0)&gt;0,IFERROR(INDEX(Clay_Offices!$A$2:$FZ$601,513,Sync!$C$5)&amp;"","")&lt;&gt;"",OR(LEFT(IFERROR(INDEX(Clay_Offices!$A$2:$FZ$601,513,Sync!$C$5)&amp;"",""),6)&lt;&gt;"SAMPLE",Config!$B$19="Y")),IFERROR(N(INDEX(Clay_Offices!$A$2:$FZ$601,513,Sync!$C$12)),0),"")</f>
        <v/>
      </c>
      <c r="C2764" s="17">
        <f>IF(B2764="","","office")</f>
        <v/>
      </c>
      <c r="D2764" s="17">
        <f>IF(B2764="","",IFERROR(INDEX(Clay_Offices!$A$2:$FZ$601,513,Sync!$C$5)&amp;"",""))</f>
        <v/>
      </c>
      <c r="E2764" s="17">
        <f>IF(B2764="","",IFERROR(INDEX(Clay_Offices!$A$2:$FZ$601,513,Sync!$C$6)&amp;"",""))</f>
        <v/>
      </c>
      <c r="F2764" s="17">
        <f>IF(B2764="","","outreach_sent")</f>
        <v/>
      </c>
      <c r="G2764" s="17">
        <f>IF(B2764="","","")</f>
        <v/>
      </c>
      <c r="H2764" s="17">
        <f>IF(B2764="","","")</f>
        <v/>
      </c>
      <c r="I2764" s="17">
        <f>IF(B2764="","","")</f>
        <v/>
      </c>
      <c r="J2764" s="17">
        <f>IF(B2764="","","touch_2; "&amp;IFERROR(INDEX(Clay_Offices!$A$2:$FZ$601,513,Sync!$C$10)&amp;"","")&amp;"; "&amp;IFERROR(INDEX(Clay_Offices!$A$2:$FZ$601,513,Sync!$C$9)&amp;"",""))</f>
        <v/>
      </c>
      <c r="K2764" t="inlineStr">
        <is>
          <t>office outreach touch 2</t>
        </is>
      </c>
    </row>
    <row r="2765">
      <c r="A2765" s="17">
        <f>IF(B2765="","",B2765+(13*1000+514)/10000000)</f>
        <v/>
      </c>
      <c r="B2765" s="23">
        <f>IF(AND(IFERROR(N(INDEX(Clay_Offices!$A$2:$FZ$601,514,Sync!$C$12)),0)&gt;0,IFERROR(INDEX(Clay_Offices!$A$2:$FZ$601,514,Sync!$C$5)&amp;"","")&lt;&gt;"",OR(LEFT(IFERROR(INDEX(Clay_Offices!$A$2:$FZ$601,514,Sync!$C$5)&amp;"",""),6)&lt;&gt;"SAMPLE",Config!$B$19="Y")),IFERROR(N(INDEX(Clay_Offices!$A$2:$FZ$601,514,Sync!$C$12)),0),"")</f>
        <v/>
      </c>
      <c r="C2765" s="17">
        <f>IF(B2765="","","office")</f>
        <v/>
      </c>
      <c r="D2765" s="17">
        <f>IF(B2765="","",IFERROR(INDEX(Clay_Offices!$A$2:$FZ$601,514,Sync!$C$5)&amp;"",""))</f>
        <v/>
      </c>
      <c r="E2765" s="17">
        <f>IF(B2765="","",IFERROR(INDEX(Clay_Offices!$A$2:$FZ$601,514,Sync!$C$6)&amp;"",""))</f>
        <v/>
      </c>
      <c r="F2765" s="17">
        <f>IF(B2765="","","outreach_sent")</f>
        <v/>
      </c>
      <c r="G2765" s="17">
        <f>IF(B2765="","","")</f>
        <v/>
      </c>
      <c r="H2765" s="17">
        <f>IF(B2765="","","")</f>
        <v/>
      </c>
      <c r="I2765" s="17">
        <f>IF(B2765="","","")</f>
        <v/>
      </c>
      <c r="J2765" s="17">
        <f>IF(B2765="","","touch_2; "&amp;IFERROR(INDEX(Clay_Offices!$A$2:$FZ$601,514,Sync!$C$10)&amp;"","")&amp;"; "&amp;IFERROR(INDEX(Clay_Offices!$A$2:$FZ$601,514,Sync!$C$9)&amp;"",""))</f>
        <v/>
      </c>
      <c r="K2765" t="inlineStr">
        <is>
          <t>office outreach touch 2</t>
        </is>
      </c>
    </row>
    <row r="2766">
      <c r="A2766" s="17">
        <f>IF(B2766="","",B2766+(13*1000+515)/10000000)</f>
        <v/>
      </c>
      <c r="B2766" s="23">
        <f>IF(AND(IFERROR(N(INDEX(Clay_Offices!$A$2:$FZ$601,515,Sync!$C$12)),0)&gt;0,IFERROR(INDEX(Clay_Offices!$A$2:$FZ$601,515,Sync!$C$5)&amp;"","")&lt;&gt;"",OR(LEFT(IFERROR(INDEX(Clay_Offices!$A$2:$FZ$601,515,Sync!$C$5)&amp;"",""),6)&lt;&gt;"SAMPLE",Config!$B$19="Y")),IFERROR(N(INDEX(Clay_Offices!$A$2:$FZ$601,515,Sync!$C$12)),0),"")</f>
        <v/>
      </c>
      <c r="C2766" s="17">
        <f>IF(B2766="","","office")</f>
        <v/>
      </c>
      <c r="D2766" s="17">
        <f>IF(B2766="","",IFERROR(INDEX(Clay_Offices!$A$2:$FZ$601,515,Sync!$C$5)&amp;"",""))</f>
        <v/>
      </c>
      <c r="E2766" s="17">
        <f>IF(B2766="","",IFERROR(INDEX(Clay_Offices!$A$2:$FZ$601,515,Sync!$C$6)&amp;"",""))</f>
        <v/>
      </c>
      <c r="F2766" s="17">
        <f>IF(B2766="","","outreach_sent")</f>
        <v/>
      </c>
      <c r="G2766" s="17">
        <f>IF(B2766="","","")</f>
        <v/>
      </c>
      <c r="H2766" s="17">
        <f>IF(B2766="","","")</f>
        <v/>
      </c>
      <c r="I2766" s="17">
        <f>IF(B2766="","","")</f>
        <v/>
      </c>
      <c r="J2766" s="17">
        <f>IF(B2766="","","touch_2; "&amp;IFERROR(INDEX(Clay_Offices!$A$2:$FZ$601,515,Sync!$C$10)&amp;"","")&amp;"; "&amp;IFERROR(INDEX(Clay_Offices!$A$2:$FZ$601,515,Sync!$C$9)&amp;"",""))</f>
        <v/>
      </c>
      <c r="K2766" t="inlineStr">
        <is>
          <t>office outreach touch 2</t>
        </is>
      </c>
    </row>
    <row r="2767">
      <c r="A2767" s="17">
        <f>IF(B2767="","",B2767+(13*1000+516)/10000000)</f>
        <v/>
      </c>
      <c r="B2767" s="23">
        <f>IF(AND(IFERROR(N(INDEX(Clay_Offices!$A$2:$FZ$601,516,Sync!$C$12)),0)&gt;0,IFERROR(INDEX(Clay_Offices!$A$2:$FZ$601,516,Sync!$C$5)&amp;"","")&lt;&gt;"",OR(LEFT(IFERROR(INDEX(Clay_Offices!$A$2:$FZ$601,516,Sync!$C$5)&amp;"",""),6)&lt;&gt;"SAMPLE",Config!$B$19="Y")),IFERROR(N(INDEX(Clay_Offices!$A$2:$FZ$601,516,Sync!$C$12)),0),"")</f>
        <v/>
      </c>
      <c r="C2767" s="17">
        <f>IF(B2767="","","office")</f>
        <v/>
      </c>
      <c r="D2767" s="17">
        <f>IF(B2767="","",IFERROR(INDEX(Clay_Offices!$A$2:$FZ$601,516,Sync!$C$5)&amp;"",""))</f>
        <v/>
      </c>
      <c r="E2767" s="17">
        <f>IF(B2767="","",IFERROR(INDEX(Clay_Offices!$A$2:$FZ$601,516,Sync!$C$6)&amp;"",""))</f>
        <v/>
      </c>
      <c r="F2767" s="17">
        <f>IF(B2767="","","outreach_sent")</f>
        <v/>
      </c>
      <c r="G2767" s="17">
        <f>IF(B2767="","","")</f>
        <v/>
      </c>
      <c r="H2767" s="17">
        <f>IF(B2767="","","")</f>
        <v/>
      </c>
      <c r="I2767" s="17">
        <f>IF(B2767="","","")</f>
        <v/>
      </c>
      <c r="J2767" s="17">
        <f>IF(B2767="","","touch_2; "&amp;IFERROR(INDEX(Clay_Offices!$A$2:$FZ$601,516,Sync!$C$10)&amp;"","")&amp;"; "&amp;IFERROR(INDEX(Clay_Offices!$A$2:$FZ$601,516,Sync!$C$9)&amp;"",""))</f>
        <v/>
      </c>
      <c r="K2767" t="inlineStr">
        <is>
          <t>office outreach touch 2</t>
        </is>
      </c>
    </row>
    <row r="2768">
      <c r="A2768" s="17">
        <f>IF(B2768="","",B2768+(13*1000+517)/10000000)</f>
        <v/>
      </c>
      <c r="B2768" s="23">
        <f>IF(AND(IFERROR(N(INDEX(Clay_Offices!$A$2:$FZ$601,517,Sync!$C$12)),0)&gt;0,IFERROR(INDEX(Clay_Offices!$A$2:$FZ$601,517,Sync!$C$5)&amp;"","")&lt;&gt;"",OR(LEFT(IFERROR(INDEX(Clay_Offices!$A$2:$FZ$601,517,Sync!$C$5)&amp;"",""),6)&lt;&gt;"SAMPLE",Config!$B$19="Y")),IFERROR(N(INDEX(Clay_Offices!$A$2:$FZ$601,517,Sync!$C$12)),0),"")</f>
        <v/>
      </c>
      <c r="C2768" s="17">
        <f>IF(B2768="","","office")</f>
        <v/>
      </c>
      <c r="D2768" s="17">
        <f>IF(B2768="","",IFERROR(INDEX(Clay_Offices!$A$2:$FZ$601,517,Sync!$C$5)&amp;"",""))</f>
        <v/>
      </c>
      <c r="E2768" s="17">
        <f>IF(B2768="","",IFERROR(INDEX(Clay_Offices!$A$2:$FZ$601,517,Sync!$C$6)&amp;"",""))</f>
        <v/>
      </c>
      <c r="F2768" s="17">
        <f>IF(B2768="","","outreach_sent")</f>
        <v/>
      </c>
      <c r="G2768" s="17">
        <f>IF(B2768="","","")</f>
        <v/>
      </c>
      <c r="H2768" s="17">
        <f>IF(B2768="","","")</f>
        <v/>
      </c>
      <c r="I2768" s="17">
        <f>IF(B2768="","","")</f>
        <v/>
      </c>
      <c r="J2768" s="17">
        <f>IF(B2768="","","touch_2; "&amp;IFERROR(INDEX(Clay_Offices!$A$2:$FZ$601,517,Sync!$C$10)&amp;"","")&amp;"; "&amp;IFERROR(INDEX(Clay_Offices!$A$2:$FZ$601,517,Sync!$C$9)&amp;"",""))</f>
        <v/>
      </c>
      <c r="K2768" t="inlineStr">
        <is>
          <t>office outreach touch 2</t>
        </is>
      </c>
    </row>
    <row r="2769">
      <c r="A2769" s="17">
        <f>IF(B2769="","",B2769+(13*1000+518)/10000000)</f>
        <v/>
      </c>
      <c r="B2769" s="23">
        <f>IF(AND(IFERROR(N(INDEX(Clay_Offices!$A$2:$FZ$601,518,Sync!$C$12)),0)&gt;0,IFERROR(INDEX(Clay_Offices!$A$2:$FZ$601,518,Sync!$C$5)&amp;"","")&lt;&gt;"",OR(LEFT(IFERROR(INDEX(Clay_Offices!$A$2:$FZ$601,518,Sync!$C$5)&amp;"",""),6)&lt;&gt;"SAMPLE",Config!$B$19="Y")),IFERROR(N(INDEX(Clay_Offices!$A$2:$FZ$601,518,Sync!$C$12)),0),"")</f>
        <v/>
      </c>
      <c r="C2769" s="17">
        <f>IF(B2769="","","office")</f>
        <v/>
      </c>
      <c r="D2769" s="17">
        <f>IF(B2769="","",IFERROR(INDEX(Clay_Offices!$A$2:$FZ$601,518,Sync!$C$5)&amp;"",""))</f>
        <v/>
      </c>
      <c r="E2769" s="17">
        <f>IF(B2769="","",IFERROR(INDEX(Clay_Offices!$A$2:$FZ$601,518,Sync!$C$6)&amp;"",""))</f>
        <v/>
      </c>
      <c r="F2769" s="17">
        <f>IF(B2769="","","outreach_sent")</f>
        <v/>
      </c>
      <c r="G2769" s="17">
        <f>IF(B2769="","","")</f>
        <v/>
      </c>
      <c r="H2769" s="17">
        <f>IF(B2769="","","")</f>
        <v/>
      </c>
      <c r="I2769" s="17">
        <f>IF(B2769="","","")</f>
        <v/>
      </c>
      <c r="J2769" s="17">
        <f>IF(B2769="","","touch_2; "&amp;IFERROR(INDEX(Clay_Offices!$A$2:$FZ$601,518,Sync!$C$10)&amp;"","")&amp;"; "&amp;IFERROR(INDEX(Clay_Offices!$A$2:$FZ$601,518,Sync!$C$9)&amp;"",""))</f>
        <v/>
      </c>
      <c r="K2769" t="inlineStr">
        <is>
          <t>office outreach touch 2</t>
        </is>
      </c>
    </row>
    <row r="2770">
      <c r="A2770" s="17">
        <f>IF(B2770="","",B2770+(13*1000+519)/10000000)</f>
        <v/>
      </c>
      <c r="B2770" s="23">
        <f>IF(AND(IFERROR(N(INDEX(Clay_Offices!$A$2:$FZ$601,519,Sync!$C$12)),0)&gt;0,IFERROR(INDEX(Clay_Offices!$A$2:$FZ$601,519,Sync!$C$5)&amp;"","")&lt;&gt;"",OR(LEFT(IFERROR(INDEX(Clay_Offices!$A$2:$FZ$601,519,Sync!$C$5)&amp;"",""),6)&lt;&gt;"SAMPLE",Config!$B$19="Y")),IFERROR(N(INDEX(Clay_Offices!$A$2:$FZ$601,519,Sync!$C$12)),0),"")</f>
        <v/>
      </c>
      <c r="C2770" s="17">
        <f>IF(B2770="","","office")</f>
        <v/>
      </c>
      <c r="D2770" s="17">
        <f>IF(B2770="","",IFERROR(INDEX(Clay_Offices!$A$2:$FZ$601,519,Sync!$C$5)&amp;"",""))</f>
        <v/>
      </c>
      <c r="E2770" s="17">
        <f>IF(B2770="","",IFERROR(INDEX(Clay_Offices!$A$2:$FZ$601,519,Sync!$C$6)&amp;"",""))</f>
        <v/>
      </c>
      <c r="F2770" s="17">
        <f>IF(B2770="","","outreach_sent")</f>
        <v/>
      </c>
      <c r="G2770" s="17">
        <f>IF(B2770="","","")</f>
        <v/>
      </c>
      <c r="H2770" s="17">
        <f>IF(B2770="","","")</f>
        <v/>
      </c>
      <c r="I2770" s="17">
        <f>IF(B2770="","","")</f>
        <v/>
      </c>
      <c r="J2770" s="17">
        <f>IF(B2770="","","touch_2; "&amp;IFERROR(INDEX(Clay_Offices!$A$2:$FZ$601,519,Sync!$C$10)&amp;"","")&amp;"; "&amp;IFERROR(INDEX(Clay_Offices!$A$2:$FZ$601,519,Sync!$C$9)&amp;"",""))</f>
        <v/>
      </c>
      <c r="K2770" t="inlineStr">
        <is>
          <t>office outreach touch 2</t>
        </is>
      </c>
    </row>
    <row r="2771">
      <c r="A2771" s="17">
        <f>IF(B2771="","",B2771+(13*1000+520)/10000000)</f>
        <v/>
      </c>
      <c r="B2771" s="23">
        <f>IF(AND(IFERROR(N(INDEX(Clay_Offices!$A$2:$FZ$601,520,Sync!$C$12)),0)&gt;0,IFERROR(INDEX(Clay_Offices!$A$2:$FZ$601,520,Sync!$C$5)&amp;"","")&lt;&gt;"",OR(LEFT(IFERROR(INDEX(Clay_Offices!$A$2:$FZ$601,520,Sync!$C$5)&amp;"",""),6)&lt;&gt;"SAMPLE",Config!$B$19="Y")),IFERROR(N(INDEX(Clay_Offices!$A$2:$FZ$601,520,Sync!$C$12)),0),"")</f>
        <v/>
      </c>
      <c r="C2771" s="17">
        <f>IF(B2771="","","office")</f>
        <v/>
      </c>
      <c r="D2771" s="17">
        <f>IF(B2771="","",IFERROR(INDEX(Clay_Offices!$A$2:$FZ$601,520,Sync!$C$5)&amp;"",""))</f>
        <v/>
      </c>
      <c r="E2771" s="17">
        <f>IF(B2771="","",IFERROR(INDEX(Clay_Offices!$A$2:$FZ$601,520,Sync!$C$6)&amp;"",""))</f>
        <v/>
      </c>
      <c r="F2771" s="17">
        <f>IF(B2771="","","outreach_sent")</f>
        <v/>
      </c>
      <c r="G2771" s="17">
        <f>IF(B2771="","","")</f>
        <v/>
      </c>
      <c r="H2771" s="17">
        <f>IF(B2771="","","")</f>
        <v/>
      </c>
      <c r="I2771" s="17">
        <f>IF(B2771="","","")</f>
        <v/>
      </c>
      <c r="J2771" s="17">
        <f>IF(B2771="","","touch_2; "&amp;IFERROR(INDEX(Clay_Offices!$A$2:$FZ$601,520,Sync!$C$10)&amp;"","")&amp;"; "&amp;IFERROR(INDEX(Clay_Offices!$A$2:$FZ$601,520,Sync!$C$9)&amp;"",""))</f>
        <v/>
      </c>
      <c r="K2771" t="inlineStr">
        <is>
          <t>office outreach touch 2</t>
        </is>
      </c>
    </row>
    <row r="2772">
      <c r="A2772" s="17">
        <f>IF(B2772="","",B2772+(13*1000+521)/10000000)</f>
        <v/>
      </c>
      <c r="B2772" s="23">
        <f>IF(AND(IFERROR(N(INDEX(Clay_Offices!$A$2:$FZ$601,521,Sync!$C$12)),0)&gt;0,IFERROR(INDEX(Clay_Offices!$A$2:$FZ$601,521,Sync!$C$5)&amp;"","")&lt;&gt;"",OR(LEFT(IFERROR(INDEX(Clay_Offices!$A$2:$FZ$601,521,Sync!$C$5)&amp;"",""),6)&lt;&gt;"SAMPLE",Config!$B$19="Y")),IFERROR(N(INDEX(Clay_Offices!$A$2:$FZ$601,521,Sync!$C$12)),0),"")</f>
        <v/>
      </c>
      <c r="C2772" s="17">
        <f>IF(B2772="","","office")</f>
        <v/>
      </c>
      <c r="D2772" s="17">
        <f>IF(B2772="","",IFERROR(INDEX(Clay_Offices!$A$2:$FZ$601,521,Sync!$C$5)&amp;"",""))</f>
        <v/>
      </c>
      <c r="E2772" s="17">
        <f>IF(B2772="","",IFERROR(INDEX(Clay_Offices!$A$2:$FZ$601,521,Sync!$C$6)&amp;"",""))</f>
        <v/>
      </c>
      <c r="F2772" s="17">
        <f>IF(B2772="","","outreach_sent")</f>
        <v/>
      </c>
      <c r="G2772" s="17">
        <f>IF(B2772="","","")</f>
        <v/>
      </c>
      <c r="H2772" s="17">
        <f>IF(B2772="","","")</f>
        <v/>
      </c>
      <c r="I2772" s="17">
        <f>IF(B2772="","","")</f>
        <v/>
      </c>
      <c r="J2772" s="17">
        <f>IF(B2772="","","touch_2; "&amp;IFERROR(INDEX(Clay_Offices!$A$2:$FZ$601,521,Sync!$C$10)&amp;"","")&amp;"; "&amp;IFERROR(INDEX(Clay_Offices!$A$2:$FZ$601,521,Sync!$C$9)&amp;"",""))</f>
        <v/>
      </c>
      <c r="K2772" t="inlineStr">
        <is>
          <t>office outreach touch 2</t>
        </is>
      </c>
    </row>
    <row r="2773">
      <c r="A2773" s="17">
        <f>IF(B2773="","",B2773+(13*1000+522)/10000000)</f>
        <v/>
      </c>
      <c r="B2773" s="23">
        <f>IF(AND(IFERROR(N(INDEX(Clay_Offices!$A$2:$FZ$601,522,Sync!$C$12)),0)&gt;0,IFERROR(INDEX(Clay_Offices!$A$2:$FZ$601,522,Sync!$C$5)&amp;"","")&lt;&gt;"",OR(LEFT(IFERROR(INDEX(Clay_Offices!$A$2:$FZ$601,522,Sync!$C$5)&amp;"",""),6)&lt;&gt;"SAMPLE",Config!$B$19="Y")),IFERROR(N(INDEX(Clay_Offices!$A$2:$FZ$601,522,Sync!$C$12)),0),"")</f>
        <v/>
      </c>
      <c r="C2773" s="17">
        <f>IF(B2773="","","office")</f>
        <v/>
      </c>
      <c r="D2773" s="17">
        <f>IF(B2773="","",IFERROR(INDEX(Clay_Offices!$A$2:$FZ$601,522,Sync!$C$5)&amp;"",""))</f>
        <v/>
      </c>
      <c r="E2773" s="17">
        <f>IF(B2773="","",IFERROR(INDEX(Clay_Offices!$A$2:$FZ$601,522,Sync!$C$6)&amp;"",""))</f>
        <v/>
      </c>
      <c r="F2773" s="17">
        <f>IF(B2773="","","outreach_sent")</f>
        <v/>
      </c>
      <c r="G2773" s="17">
        <f>IF(B2773="","","")</f>
        <v/>
      </c>
      <c r="H2773" s="17">
        <f>IF(B2773="","","")</f>
        <v/>
      </c>
      <c r="I2773" s="17">
        <f>IF(B2773="","","")</f>
        <v/>
      </c>
      <c r="J2773" s="17">
        <f>IF(B2773="","","touch_2; "&amp;IFERROR(INDEX(Clay_Offices!$A$2:$FZ$601,522,Sync!$C$10)&amp;"","")&amp;"; "&amp;IFERROR(INDEX(Clay_Offices!$A$2:$FZ$601,522,Sync!$C$9)&amp;"",""))</f>
        <v/>
      </c>
      <c r="K2773" t="inlineStr">
        <is>
          <t>office outreach touch 2</t>
        </is>
      </c>
    </row>
    <row r="2774">
      <c r="A2774" s="17">
        <f>IF(B2774="","",B2774+(13*1000+523)/10000000)</f>
        <v/>
      </c>
      <c r="B2774" s="23">
        <f>IF(AND(IFERROR(N(INDEX(Clay_Offices!$A$2:$FZ$601,523,Sync!$C$12)),0)&gt;0,IFERROR(INDEX(Clay_Offices!$A$2:$FZ$601,523,Sync!$C$5)&amp;"","")&lt;&gt;"",OR(LEFT(IFERROR(INDEX(Clay_Offices!$A$2:$FZ$601,523,Sync!$C$5)&amp;"",""),6)&lt;&gt;"SAMPLE",Config!$B$19="Y")),IFERROR(N(INDEX(Clay_Offices!$A$2:$FZ$601,523,Sync!$C$12)),0),"")</f>
        <v/>
      </c>
      <c r="C2774" s="17">
        <f>IF(B2774="","","office")</f>
        <v/>
      </c>
      <c r="D2774" s="17">
        <f>IF(B2774="","",IFERROR(INDEX(Clay_Offices!$A$2:$FZ$601,523,Sync!$C$5)&amp;"",""))</f>
        <v/>
      </c>
      <c r="E2774" s="17">
        <f>IF(B2774="","",IFERROR(INDEX(Clay_Offices!$A$2:$FZ$601,523,Sync!$C$6)&amp;"",""))</f>
        <v/>
      </c>
      <c r="F2774" s="17">
        <f>IF(B2774="","","outreach_sent")</f>
        <v/>
      </c>
      <c r="G2774" s="17">
        <f>IF(B2774="","","")</f>
        <v/>
      </c>
      <c r="H2774" s="17">
        <f>IF(B2774="","","")</f>
        <v/>
      </c>
      <c r="I2774" s="17">
        <f>IF(B2774="","","")</f>
        <v/>
      </c>
      <c r="J2774" s="17">
        <f>IF(B2774="","","touch_2; "&amp;IFERROR(INDEX(Clay_Offices!$A$2:$FZ$601,523,Sync!$C$10)&amp;"","")&amp;"; "&amp;IFERROR(INDEX(Clay_Offices!$A$2:$FZ$601,523,Sync!$C$9)&amp;"",""))</f>
        <v/>
      </c>
      <c r="K2774" t="inlineStr">
        <is>
          <t>office outreach touch 2</t>
        </is>
      </c>
    </row>
    <row r="2775">
      <c r="A2775" s="17">
        <f>IF(B2775="","",B2775+(13*1000+524)/10000000)</f>
        <v/>
      </c>
      <c r="B2775" s="23">
        <f>IF(AND(IFERROR(N(INDEX(Clay_Offices!$A$2:$FZ$601,524,Sync!$C$12)),0)&gt;0,IFERROR(INDEX(Clay_Offices!$A$2:$FZ$601,524,Sync!$C$5)&amp;"","")&lt;&gt;"",OR(LEFT(IFERROR(INDEX(Clay_Offices!$A$2:$FZ$601,524,Sync!$C$5)&amp;"",""),6)&lt;&gt;"SAMPLE",Config!$B$19="Y")),IFERROR(N(INDEX(Clay_Offices!$A$2:$FZ$601,524,Sync!$C$12)),0),"")</f>
        <v/>
      </c>
      <c r="C2775" s="17">
        <f>IF(B2775="","","office")</f>
        <v/>
      </c>
      <c r="D2775" s="17">
        <f>IF(B2775="","",IFERROR(INDEX(Clay_Offices!$A$2:$FZ$601,524,Sync!$C$5)&amp;"",""))</f>
        <v/>
      </c>
      <c r="E2775" s="17">
        <f>IF(B2775="","",IFERROR(INDEX(Clay_Offices!$A$2:$FZ$601,524,Sync!$C$6)&amp;"",""))</f>
        <v/>
      </c>
      <c r="F2775" s="17">
        <f>IF(B2775="","","outreach_sent")</f>
        <v/>
      </c>
      <c r="G2775" s="17">
        <f>IF(B2775="","","")</f>
        <v/>
      </c>
      <c r="H2775" s="17">
        <f>IF(B2775="","","")</f>
        <v/>
      </c>
      <c r="I2775" s="17">
        <f>IF(B2775="","","")</f>
        <v/>
      </c>
      <c r="J2775" s="17">
        <f>IF(B2775="","","touch_2; "&amp;IFERROR(INDEX(Clay_Offices!$A$2:$FZ$601,524,Sync!$C$10)&amp;"","")&amp;"; "&amp;IFERROR(INDEX(Clay_Offices!$A$2:$FZ$601,524,Sync!$C$9)&amp;"",""))</f>
        <v/>
      </c>
      <c r="K2775" t="inlineStr">
        <is>
          <t>office outreach touch 2</t>
        </is>
      </c>
    </row>
    <row r="2776">
      <c r="A2776" s="17">
        <f>IF(B2776="","",B2776+(13*1000+525)/10000000)</f>
        <v/>
      </c>
      <c r="B2776" s="23">
        <f>IF(AND(IFERROR(N(INDEX(Clay_Offices!$A$2:$FZ$601,525,Sync!$C$12)),0)&gt;0,IFERROR(INDEX(Clay_Offices!$A$2:$FZ$601,525,Sync!$C$5)&amp;"","")&lt;&gt;"",OR(LEFT(IFERROR(INDEX(Clay_Offices!$A$2:$FZ$601,525,Sync!$C$5)&amp;"",""),6)&lt;&gt;"SAMPLE",Config!$B$19="Y")),IFERROR(N(INDEX(Clay_Offices!$A$2:$FZ$601,525,Sync!$C$12)),0),"")</f>
        <v/>
      </c>
      <c r="C2776" s="17">
        <f>IF(B2776="","","office")</f>
        <v/>
      </c>
      <c r="D2776" s="17">
        <f>IF(B2776="","",IFERROR(INDEX(Clay_Offices!$A$2:$FZ$601,525,Sync!$C$5)&amp;"",""))</f>
        <v/>
      </c>
      <c r="E2776" s="17">
        <f>IF(B2776="","",IFERROR(INDEX(Clay_Offices!$A$2:$FZ$601,525,Sync!$C$6)&amp;"",""))</f>
        <v/>
      </c>
      <c r="F2776" s="17">
        <f>IF(B2776="","","outreach_sent")</f>
        <v/>
      </c>
      <c r="G2776" s="17">
        <f>IF(B2776="","","")</f>
        <v/>
      </c>
      <c r="H2776" s="17">
        <f>IF(B2776="","","")</f>
        <v/>
      </c>
      <c r="I2776" s="17">
        <f>IF(B2776="","","")</f>
        <v/>
      </c>
      <c r="J2776" s="17">
        <f>IF(B2776="","","touch_2; "&amp;IFERROR(INDEX(Clay_Offices!$A$2:$FZ$601,525,Sync!$C$10)&amp;"","")&amp;"; "&amp;IFERROR(INDEX(Clay_Offices!$A$2:$FZ$601,525,Sync!$C$9)&amp;"",""))</f>
        <v/>
      </c>
      <c r="K2776" t="inlineStr">
        <is>
          <t>office outreach touch 2</t>
        </is>
      </c>
    </row>
    <row r="2777">
      <c r="A2777" s="17">
        <f>IF(B2777="","",B2777+(13*1000+526)/10000000)</f>
        <v/>
      </c>
      <c r="B2777" s="23">
        <f>IF(AND(IFERROR(N(INDEX(Clay_Offices!$A$2:$FZ$601,526,Sync!$C$12)),0)&gt;0,IFERROR(INDEX(Clay_Offices!$A$2:$FZ$601,526,Sync!$C$5)&amp;"","")&lt;&gt;"",OR(LEFT(IFERROR(INDEX(Clay_Offices!$A$2:$FZ$601,526,Sync!$C$5)&amp;"",""),6)&lt;&gt;"SAMPLE",Config!$B$19="Y")),IFERROR(N(INDEX(Clay_Offices!$A$2:$FZ$601,526,Sync!$C$12)),0),"")</f>
        <v/>
      </c>
      <c r="C2777" s="17">
        <f>IF(B2777="","","office")</f>
        <v/>
      </c>
      <c r="D2777" s="17">
        <f>IF(B2777="","",IFERROR(INDEX(Clay_Offices!$A$2:$FZ$601,526,Sync!$C$5)&amp;"",""))</f>
        <v/>
      </c>
      <c r="E2777" s="17">
        <f>IF(B2777="","",IFERROR(INDEX(Clay_Offices!$A$2:$FZ$601,526,Sync!$C$6)&amp;"",""))</f>
        <v/>
      </c>
      <c r="F2777" s="17">
        <f>IF(B2777="","","outreach_sent")</f>
        <v/>
      </c>
      <c r="G2777" s="17">
        <f>IF(B2777="","","")</f>
        <v/>
      </c>
      <c r="H2777" s="17">
        <f>IF(B2777="","","")</f>
        <v/>
      </c>
      <c r="I2777" s="17">
        <f>IF(B2777="","","")</f>
        <v/>
      </c>
      <c r="J2777" s="17">
        <f>IF(B2777="","","touch_2; "&amp;IFERROR(INDEX(Clay_Offices!$A$2:$FZ$601,526,Sync!$C$10)&amp;"","")&amp;"; "&amp;IFERROR(INDEX(Clay_Offices!$A$2:$FZ$601,526,Sync!$C$9)&amp;"",""))</f>
        <v/>
      </c>
      <c r="K2777" t="inlineStr">
        <is>
          <t>office outreach touch 2</t>
        </is>
      </c>
    </row>
    <row r="2778">
      <c r="A2778" s="17">
        <f>IF(B2778="","",B2778+(13*1000+527)/10000000)</f>
        <v/>
      </c>
      <c r="B2778" s="23">
        <f>IF(AND(IFERROR(N(INDEX(Clay_Offices!$A$2:$FZ$601,527,Sync!$C$12)),0)&gt;0,IFERROR(INDEX(Clay_Offices!$A$2:$FZ$601,527,Sync!$C$5)&amp;"","")&lt;&gt;"",OR(LEFT(IFERROR(INDEX(Clay_Offices!$A$2:$FZ$601,527,Sync!$C$5)&amp;"",""),6)&lt;&gt;"SAMPLE",Config!$B$19="Y")),IFERROR(N(INDEX(Clay_Offices!$A$2:$FZ$601,527,Sync!$C$12)),0),"")</f>
        <v/>
      </c>
      <c r="C2778" s="17">
        <f>IF(B2778="","","office")</f>
        <v/>
      </c>
      <c r="D2778" s="17">
        <f>IF(B2778="","",IFERROR(INDEX(Clay_Offices!$A$2:$FZ$601,527,Sync!$C$5)&amp;"",""))</f>
        <v/>
      </c>
      <c r="E2778" s="17">
        <f>IF(B2778="","",IFERROR(INDEX(Clay_Offices!$A$2:$FZ$601,527,Sync!$C$6)&amp;"",""))</f>
        <v/>
      </c>
      <c r="F2778" s="17">
        <f>IF(B2778="","","outreach_sent")</f>
        <v/>
      </c>
      <c r="G2778" s="17">
        <f>IF(B2778="","","")</f>
        <v/>
      </c>
      <c r="H2778" s="17">
        <f>IF(B2778="","","")</f>
        <v/>
      </c>
      <c r="I2778" s="17">
        <f>IF(B2778="","","")</f>
        <v/>
      </c>
      <c r="J2778" s="17">
        <f>IF(B2778="","","touch_2; "&amp;IFERROR(INDEX(Clay_Offices!$A$2:$FZ$601,527,Sync!$C$10)&amp;"","")&amp;"; "&amp;IFERROR(INDEX(Clay_Offices!$A$2:$FZ$601,527,Sync!$C$9)&amp;"",""))</f>
        <v/>
      </c>
      <c r="K2778" t="inlineStr">
        <is>
          <t>office outreach touch 2</t>
        </is>
      </c>
    </row>
    <row r="2779">
      <c r="A2779" s="17">
        <f>IF(B2779="","",B2779+(13*1000+528)/10000000)</f>
        <v/>
      </c>
      <c r="B2779" s="23">
        <f>IF(AND(IFERROR(N(INDEX(Clay_Offices!$A$2:$FZ$601,528,Sync!$C$12)),0)&gt;0,IFERROR(INDEX(Clay_Offices!$A$2:$FZ$601,528,Sync!$C$5)&amp;"","")&lt;&gt;"",OR(LEFT(IFERROR(INDEX(Clay_Offices!$A$2:$FZ$601,528,Sync!$C$5)&amp;"",""),6)&lt;&gt;"SAMPLE",Config!$B$19="Y")),IFERROR(N(INDEX(Clay_Offices!$A$2:$FZ$601,528,Sync!$C$12)),0),"")</f>
        <v/>
      </c>
      <c r="C2779" s="17">
        <f>IF(B2779="","","office")</f>
        <v/>
      </c>
      <c r="D2779" s="17">
        <f>IF(B2779="","",IFERROR(INDEX(Clay_Offices!$A$2:$FZ$601,528,Sync!$C$5)&amp;"",""))</f>
        <v/>
      </c>
      <c r="E2779" s="17">
        <f>IF(B2779="","",IFERROR(INDEX(Clay_Offices!$A$2:$FZ$601,528,Sync!$C$6)&amp;"",""))</f>
        <v/>
      </c>
      <c r="F2779" s="17">
        <f>IF(B2779="","","outreach_sent")</f>
        <v/>
      </c>
      <c r="G2779" s="17">
        <f>IF(B2779="","","")</f>
        <v/>
      </c>
      <c r="H2779" s="17">
        <f>IF(B2779="","","")</f>
        <v/>
      </c>
      <c r="I2779" s="17">
        <f>IF(B2779="","","")</f>
        <v/>
      </c>
      <c r="J2779" s="17">
        <f>IF(B2779="","","touch_2; "&amp;IFERROR(INDEX(Clay_Offices!$A$2:$FZ$601,528,Sync!$C$10)&amp;"","")&amp;"; "&amp;IFERROR(INDEX(Clay_Offices!$A$2:$FZ$601,528,Sync!$C$9)&amp;"",""))</f>
        <v/>
      </c>
      <c r="K2779" t="inlineStr">
        <is>
          <t>office outreach touch 2</t>
        </is>
      </c>
    </row>
    <row r="2780">
      <c r="A2780" s="17">
        <f>IF(B2780="","",B2780+(13*1000+529)/10000000)</f>
        <v/>
      </c>
      <c r="B2780" s="23">
        <f>IF(AND(IFERROR(N(INDEX(Clay_Offices!$A$2:$FZ$601,529,Sync!$C$12)),0)&gt;0,IFERROR(INDEX(Clay_Offices!$A$2:$FZ$601,529,Sync!$C$5)&amp;"","")&lt;&gt;"",OR(LEFT(IFERROR(INDEX(Clay_Offices!$A$2:$FZ$601,529,Sync!$C$5)&amp;"",""),6)&lt;&gt;"SAMPLE",Config!$B$19="Y")),IFERROR(N(INDEX(Clay_Offices!$A$2:$FZ$601,529,Sync!$C$12)),0),"")</f>
        <v/>
      </c>
      <c r="C2780" s="17">
        <f>IF(B2780="","","office")</f>
        <v/>
      </c>
      <c r="D2780" s="17">
        <f>IF(B2780="","",IFERROR(INDEX(Clay_Offices!$A$2:$FZ$601,529,Sync!$C$5)&amp;"",""))</f>
        <v/>
      </c>
      <c r="E2780" s="17">
        <f>IF(B2780="","",IFERROR(INDEX(Clay_Offices!$A$2:$FZ$601,529,Sync!$C$6)&amp;"",""))</f>
        <v/>
      </c>
      <c r="F2780" s="17">
        <f>IF(B2780="","","outreach_sent")</f>
        <v/>
      </c>
      <c r="G2780" s="17">
        <f>IF(B2780="","","")</f>
        <v/>
      </c>
      <c r="H2780" s="17">
        <f>IF(B2780="","","")</f>
        <v/>
      </c>
      <c r="I2780" s="17">
        <f>IF(B2780="","","")</f>
        <v/>
      </c>
      <c r="J2780" s="17">
        <f>IF(B2780="","","touch_2; "&amp;IFERROR(INDEX(Clay_Offices!$A$2:$FZ$601,529,Sync!$C$10)&amp;"","")&amp;"; "&amp;IFERROR(INDEX(Clay_Offices!$A$2:$FZ$601,529,Sync!$C$9)&amp;"",""))</f>
        <v/>
      </c>
      <c r="K2780" t="inlineStr">
        <is>
          <t>office outreach touch 2</t>
        </is>
      </c>
    </row>
    <row r="2781">
      <c r="A2781" s="17">
        <f>IF(B2781="","",B2781+(13*1000+530)/10000000)</f>
        <v/>
      </c>
      <c r="B2781" s="23">
        <f>IF(AND(IFERROR(N(INDEX(Clay_Offices!$A$2:$FZ$601,530,Sync!$C$12)),0)&gt;0,IFERROR(INDEX(Clay_Offices!$A$2:$FZ$601,530,Sync!$C$5)&amp;"","")&lt;&gt;"",OR(LEFT(IFERROR(INDEX(Clay_Offices!$A$2:$FZ$601,530,Sync!$C$5)&amp;"",""),6)&lt;&gt;"SAMPLE",Config!$B$19="Y")),IFERROR(N(INDEX(Clay_Offices!$A$2:$FZ$601,530,Sync!$C$12)),0),"")</f>
        <v/>
      </c>
      <c r="C2781" s="17">
        <f>IF(B2781="","","office")</f>
        <v/>
      </c>
      <c r="D2781" s="17">
        <f>IF(B2781="","",IFERROR(INDEX(Clay_Offices!$A$2:$FZ$601,530,Sync!$C$5)&amp;"",""))</f>
        <v/>
      </c>
      <c r="E2781" s="17">
        <f>IF(B2781="","",IFERROR(INDEX(Clay_Offices!$A$2:$FZ$601,530,Sync!$C$6)&amp;"",""))</f>
        <v/>
      </c>
      <c r="F2781" s="17">
        <f>IF(B2781="","","outreach_sent")</f>
        <v/>
      </c>
      <c r="G2781" s="17">
        <f>IF(B2781="","","")</f>
        <v/>
      </c>
      <c r="H2781" s="17">
        <f>IF(B2781="","","")</f>
        <v/>
      </c>
      <c r="I2781" s="17">
        <f>IF(B2781="","","")</f>
        <v/>
      </c>
      <c r="J2781" s="17">
        <f>IF(B2781="","","touch_2; "&amp;IFERROR(INDEX(Clay_Offices!$A$2:$FZ$601,530,Sync!$C$10)&amp;"","")&amp;"; "&amp;IFERROR(INDEX(Clay_Offices!$A$2:$FZ$601,530,Sync!$C$9)&amp;"",""))</f>
        <v/>
      </c>
      <c r="K2781" t="inlineStr">
        <is>
          <t>office outreach touch 2</t>
        </is>
      </c>
    </row>
    <row r="2782">
      <c r="A2782" s="17">
        <f>IF(B2782="","",B2782+(13*1000+531)/10000000)</f>
        <v/>
      </c>
      <c r="B2782" s="23">
        <f>IF(AND(IFERROR(N(INDEX(Clay_Offices!$A$2:$FZ$601,531,Sync!$C$12)),0)&gt;0,IFERROR(INDEX(Clay_Offices!$A$2:$FZ$601,531,Sync!$C$5)&amp;"","")&lt;&gt;"",OR(LEFT(IFERROR(INDEX(Clay_Offices!$A$2:$FZ$601,531,Sync!$C$5)&amp;"",""),6)&lt;&gt;"SAMPLE",Config!$B$19="Y")),IFERROR(N(INDEX(Clay_Offices!$A$2:$FZ$601,531,Sync!$C$12)),0),"")</f>
        <v/>
      </c>
      <c r="C2782" s="17">
        <f>IF(B2782="","","office")</f>
        <v/>
      </c>
      <c r="D2782" s="17">
        <f>IF(B2782="","",IFERROR(INDEX(Clay_Offices!$A$2:$FZ$601,531,Sync!$C$5)&amp;"",""))</f>
        <v/>
      </c>
      <c r="E2782" s="17">
        <f>IF(B2782="","",IFERROR(INDEX(Clay_Offices!$A$2:$FZ$601,531,Sync!$C$6)&amp;"",""))</f>
        <v/>
      </c>
      <c r="F2782" s="17">
        <f>IF(B2782="","","outreach_sent")</f>
        <v/>
      </c>
      <c r="G2782" s="17">
        <f>IF(B2782="","","")</f>
        <v/>
      </c>
      <c r="H2782" s="17">
        <f>IF(B2782="","","")</f>
        <v/>
      </c>
      <c r="I2782" s="17">
        <f>IF(B2782="","","")</f>
        <v/>
      </c>
      <c r="J2782" s="17">
        <f>IF(B2782="","","touch_2; "&amp;IFERROR(INDEX(Clay_Offices!$A$2:$FZ$601,531,Sync!$C$10)&amp;"","")&amp;"; "&amp;IFERROR(INDEX(Clay_Offices!$A$2:$FZ$601,531,Sync!$C$9)&amp;"",""))</f>
        <v/>
      </c>
      <c r="K2782" t="inlineStr">
        <is>
          <t>office outreach touch 2</t>
        </is>
      </c>
    </row>
    <row r="2783">
      <c r="A2783" s="17">
        <f>IF(B2783="","",B2783+(13*1000+532)/10000000)</f>
        <v/>
      </c>
      <c r="B2783" s="23">
        <f>IF(AND(IFERROR(N(INDEX(Clay_Offices!$A$2:$FZ$601,532,Sync!$C$12)),0)&gt;0,IFERROR(INDEX(Clay_Offices!$A$2:$FZ$601,532,Sync!$C$5)&amp;"","")&lt;&gt;"",OR(LEFT(IFERROR(INDEX(Clay_Offices!$A$2:$FZ$601,532,Sync!$C$5)&amp;"",""),6)&lt;&gt;"SAMPLE",Config!$B$19="Y")),IFERROR(N(INDEX(Clay_Offices!$A$2:$FZ$601,532,Sync!$C$12)),0),"")</f>
        <v/>
      </c>
      <c r="C2783" s="17">
        <f>IF(B2783="","","office")</f>
        <v/>
      </c>
      <c r="D2783" s="17">
        <f>IF(B2783="","",IFERROR(INDEX(Clay_Offices!$A$2:$FZ$601,532,Sync!$C$5)&amp;"",""))</f>
        <v/>
      </c>
      <c r="E2783" s="17">
        <f>IF(B2783="","",IFERROR(INDEX(Clay_Offices!$A$2:$FZ$601,532,Sync!$C$6)&amp;"",""))</f>
        <v/>
      </c>
      <c r="F2783" s="17">
        <f>IF(B2783="","","outreach_sent")</f>
        <v/>
      </c>
      <c r="G2783" s="17">
        <f>IF(B2783="","","")</f>
        <v/>
      </c>
      <c r="H2783" s="17">
        <f>IF(B2783="","","")</f>
        <v/>
      </c>
      <c r="I2783" s="17">
        <f>IF(B2783="","","")</f>
        <v/>
      </c>
      <c r="J2783" s="17">
        <f>IF(B2783="","","touch_2; "&amp;IFERROR(INDEX(Clay_Offices!$A$2:$FZ$601,532,Sync!$C$10)&amp;"","")&amp;"; "&amp;IFERROR(INDEX(Clay_Offices!$A$2:$FZ$601,532,Sync!$C$9)&amp;"",""))</f>
        <v/>
      </c>
      <c r="K2783" t="inlineStr">
        <is>
          <t>office outreach touch 2</t>
        </is>
      </c>
    </row>
    <row r="2784">
      <c r="A2784" s="17">
        <f>IF(B2784="","",B2784+(13*1000+533)/10000000)</f>
        <v/>
      </c>
      <c r="B2784" s="23">
        <f>IF(AND(IFERROR(N(INDEX(Clay_Offices!$A$2:$FZ$601,533,Sync!$C$12)),0)&gt;0,IFERROR(INDEX(Clay_Offices!$A$2:$FZ$601,533,Sync!$C$5)&amp;"","")&lt;&gt;"",OR(LEFT(IFERROR(INDEX(Clay_Offices!$A$2:$FZ$601,533,Sync!$C$5)&amp;"",""),6)&lt;&gt;"SAMPLE",Config!$B$19="Y")),IFERROR(N(INDEX(Clay_Offices!$A$2:$FZ$601,533,Sync!$C$12)),0),"")</f>
        <v/>
      </c>
      <c r="C2784" s="17">
        <f>IF(B2784="","","office")</f>
        <v/>
      </c>
      <c r="D2784" s="17">
        <f>IF(B2784="","",IFERROR(INDEX(Clay_Offices!$A$2:$FZ$601,533,Sync!$C$5)&amp;"",""))</f>
        <v/>
      </c>
      <c r="E2784" s="17">
        <f>IF(B2784="","",IFERROR(INDEX(Clay_Offices!$A$2:$FZ$601,533,Sync!$C$6)&amp;"",""))</f>
        <v/>
      </c>
      <c r="F2784" s="17">
        <f>IF(B2784="","","outreach_sent")</f>
        <v/>
      </c>
      <c r="G2784" s="17">
        <f>IF(B2784="","","")</f>
        <v/>
      </c>
      <c r="H2784" s="17">
        <f>IF(B2784="","","")</f>
        <v/>
      </c>
      <c r="I2784" s="17">
        <f>IF(B2784="","","")</f>
        <v/>
      </c>
      <c r="J2784" s="17">
        <f>IF(B2784="","","touch_2; "&amp;IFERROR(INDEX(Clay_Offices!$A$2:$FZ$601,533,Sync!$C$10)&amp;"","")&amp;"; "&amp;IFERROR(INDEX(Clay_Offices!$A$2:$FZ$601,533,Sync!$C$9)&amp;"",""))</f>
        <v/>
      </c>
      <c r="K2784" t="inlineStr">
        <is>
          <t>office outreach touch 2</t>
        </is>
      </c>
    </row>
    <row r="2785">
      <c r="A2785" s="17">
        <f>IF(B2785="","",B2785+(13*1000+534)/10000000)</f>
        <v/>
      </c>
      <c r="B2785" s="23">
        <f>IF(AND(IFERROR(N(INDEX(Clay_Offices!$A$2:$FZ$601,534,Sync!$C$12)),0)&gt;0,IFERROR(INDEX(Clay_Offices!$A$2:$FZ$601,534,Sync!$C$5)&amp;"","")&lt;&gt;"",OR(LEFT(IFERROR(INDEX(Clay_Offices!$A$2:$FZ$601,534,Sync!$C$5)&amp;"",""),6)&lt;&gt;"SAMPLE",Config!$B$19="Y")),IFERROR(N(INDEX(Clay_Offices!$A$2:$FZ$601,534,Sync!$C$12)),0),"")</f>
        <v/>
      </c>
      <c r="C2785" s="17">
        <f>IF(B2785="","","office")</f>
        <v/>
      </c>
      <c r="D2785" s="17">
        <f>IF(B2785="","",IFERROR(INDEX(Clay_Offices!$A$2:$FZ$601,534,Sync!$C$5)&amp;"",""))</f>
        <v/>
      </c>
      <c r="E2785" s="17">
        <f>IF(B2785="","",IFERROR(INDEX(Clay_Offices!$A$2:$FZ$601,534,Sync!$C$6)&amp;"",""))</f>
        <v/>
      </c>
      <c r="F2785" s="17">
        <f>IF(B2785="","","outreach_sent")</f>
        <v/>
      </c>
      <c r="G2785" s="17">
        <f>IF(B2785="","","")</f>
        <v/>
      </c>
      <c r="H2785" s="17">
        <f>IF(B2785="","","")</f>
        <v/>
      </c>
      <c r="I2785" s="17">
        <f>IF(B2785="","","")</f>
        <v/>
      </c>
      <c r="J2785" s="17">
        <f>IF(B2785="","","touch_2; "&amp;IFERROR(INDEX(Clay_Offices!$A$2:$FZ$601,534,Sync!$C$10)&amp;"","")&amp;"; "&amp;IFERROR(INDEX(Clay_Offices!$A$2:$FZ$601,534,Sync!$C$9)&amp;"",""))</f>
        <v/>
      </c>
      <c r="K2785" t="inlineStr">
        <is>
          <t>office outreach touch 2</t>
        </is>
      </c>
    </row>
    <row r="2786">
      <c r="A2786" s="17">
        <f>IF(B2786="","",B2786+(13*1000+535)/10000000)</f>
        <v/>
      </c>
      <c r="B2786" s="23">
        <f>IF(AND(IFERROR(N(INDEX(Clay_Offices!$A$2:$FZ$601,535,Sync!$C$12)),0)&gt;0,IFERROR(INDEX(Clay_Offices!$A$2:$FZ$601,535,Sync!$C$5)&amp;"","")&lt;&gt;"",OR(LEFT(IFERROR(INDEX(Clay_Offices!$A$2:$FZ$601,535,Sync!$C$5)&amp;"",""),6)&lt;&gt;"SAMPLE",Config!$B$19="Y")),IFERROR(N(INDEX(Clay_Offices!$A$2:$FZ$601,535,Sync!$C$12)),0),"")</f>
        <v/>
      </c>
      <c r="C2786" s="17">
        <f>IF(B2786="","","office")</f>
        <v/>
      </c>
      <c r="D2786" s="17">
        <f>IF(B2786="","",IFERROR(INDEX(Clay_Offices!$A$2:$FZ$601,535,Sync!$C$5)&amp;"",""))</f>
        <v/>
      </c>
      <c r="E2786" s="17">
        <f>IF(B2786="","",IFERROR(INDEX(Clay_Offices!$A$2:$FZ$601,535,Sync!$C$6)&amp;"",""))</f>
        <v/>
      </c>
      <c r="F2786" s="17">
        <f>IF(B2786="","","outreach_sent")</f>
        <v/>
      </c>
      <c r="G2786" s="17">
        <f>IF(B2786="","","")</f>
        <v/>
      </c>
      <c r="H2786" s="17">
        <f>IF(B2786="","","")</f>
        <v/>
      </c>
      <c r="I2786" s="17">
        <f>IF(B2786="","","")</f>
        <v/>
      </c>
      <c r="J2786" s="17">
        <f>IF(B2786="","","touch_2; "&amp;IFERROR(INDEX(Clay_Offices!$A$2:$FZ$601,535,Sync!$C$10)&amp;"","")&amp;"; "&amp;IFERROR(INDEX(Clay_Offices!$A$2:$FZ$601,535,Sync!$C$9)&amp;"",""))</f>
        <v/>
      </c>
      <c r="K2786" t="inlineStr">
        <is>
          <t>office outreach touch 2</t>
        </is>
      </c>
    </row>
    <row r="2787">
      <c r="A2787" s="17">
        <f>IF(B2787="","",B2787+(13*1000+536)/10000000)</f>
        <v/>
      </c>
      <c r="B2787" s="23">
        <f>IF(AND(IFERROR(N(INDEX(Clay_Offices!$A$2:$FZ$601,536,Sync!$C$12)),0)&gt;0,IFERROR(INDEX(Clay_Offices!$A$2:$FZ$601,536,Sync!$C$5)&amp;"","")&lt;&gt;"",OR(LEFT(IFERROR(INDEX(Clay_Offices!$A$2:$FZ$601,536,Sync!$C$5)&amp;"",""),6)&lt;&gt;"SAMPLE",Config!$B$19="Y")),IFERROR(N(INDEX(Clay_Offices!$A$2:$FZ$601,536,Sync!$C$12)),0),"")</f>
        <v/>
      </c>
      <c r="C2787" s="17">
        <f>IF(B2787="","","office")</f>
        <v/>
      </c>
      <c r="D2787" s="17">
        <f>IF(B2787="","",IFERROR(INDEX(Clay_Offices!$A$2:$FZ$601,536,Sync!$C$5)&amp;"",""))</f>
        <v/>
      </c>
      <c r="E2787" s="17">
        <f>IF(B2787="","",IFERROR(INDEX(Clay_Offices!$A$2:$FZ$601,536,Sync!$C$6)&amp;"",""))</f>
        <v/>
      </c>
      <c r="F2787" s="17">
        <f>IF(B2787="","","outreach_sent")</f>
        <v/>
      </c>
      <c r="G2787" s="17">
        <f>IF(B2787="","","")</f>
        <v/>
      </c>
      <c r="H2787" s="17">
        <f>IF(B2787="","","")</f>
        <v/>
      </c>
      <c r="I2787" s="17">
        <f>IF(B2787="","","")</f>
        <v/>
      </c>
      <c r="J2787" s="17">
        <f>IF(B2787="","","touch_2; "&amp;IFERROR(INDEX(Clay_Offices!$A$2:$FZ$601,536,Sync!$C$10)&amp;"","")&amp;"; "&amp;IFERROR(INDEX(Clay_Offices!$A$2:$FZ$601,536,Sync!$C$9)&amp;"",""))</f>
        <v/>
      </c>
      <c r="K2787" t="inlineStr">
        <is>
          <t>office outreach touch 2</t>
        </is>
      </c>
    </row>
    <row r="2788">
      <c r="A2788" s="17">
        <f>IF(B2788="","",B2788+(13*1000+537)/10000000)</f>
        <v/>
      </c>
      <c r="B2788" s="23">
        <f>IF(AND(IFERROR(N(INDEX(Clay_Offices!$A$2:$FZ$601,537,Sync!$C$12)),0)&gt;0,IFERROR(INDEX(Clay_Offices!$A$2:$FZ$601,537,Sync!$C$5)&amp;"","")&lt;&gt;"",OR(LEFT(IFERROR(INDEX(Clay_Offices!$A$2:$FZ$601,537,Sync!$C$5)&amp;"",""),6)&lt;&gt;"SAMPLE",Config!$B$19="Y")),IFERROR(N(INDEX(Clay_Offices!$A$2:$FZ$601,537,Sync!$C$12)),0),"")</f>
        <v/>
      </c>
      <c r="C2788" s="17">
        <f>IF(B2788="","","office")</f>
        <v/>
      </c>
      <c r="D2788" s="17">
        <f>IF(B2788="","",IFERROR(INDEX(Clay_Offices!$A$2:$FZ$601,537,Sync!$C$5)&amp;"",""))</f>
        <v/>
      </c>
      <c r="E2788" s="17">
        <f>IF(B2788="","",IFERROR(INDEX(Clay_Offices!$A$2:$FZ$601,537,Sync!$C$6)&amp;"",""))</f>
        <v/>
      </c>
      <c r="F2788" s="17">
        <f>IF(B2788="","","outreach_sent")</f>
        <v/>
      </c>
      <c r="G2788" s="17">
        <f>IF(B2788="","","")</f>
        <v/>
      </c>
      <c r="H2788" s="17">
        <f>IF(B2788="","","")</f>
        <v/>
      </c>
      <c r="I2788" s="17">
        <f>IF(B2788="","","")</f>
        <v/>
      </c>
      <c r="J2788" s="17">
        <f>IF(B2788="","","touch_2; "&amp;IFERROR(INDEX(Clay_Offices!$A$2:$FZ$601,537,Sync!$C$10)&amp;"","")&amp;"; "&amp;IFERROR(INDEX(Clay_Offices!$A$2:$FZ$601,537,Sync!$C$9)&amp;"",""))</f>
        <v/>
      </c>
      <c r="K2788" t="inlineStr">
        <is>
          <t>office outreach touch 2</t>
        </is>
      </c>
    </row>
    <row r="2789">
      <c r="A2789" s="17">
        <f>IF(B2789="","",B2789+(13*1000+538)/10000000)</f>
        <v/>
      </c>
      <c r="B2789" s="23">
        <f>IF(AND(IFERROR(N(INDEX(Clay_Offices!$A$2:$FZ$601,538,Sync!$C$12)),0)&gt;0,IFERROR(INDEX(Clay_Offices!$A$2:$FZ$601,538,Sync!$C$5)&amp;"","")&lt;&gt;"",OR(LEFT(IFERROR(INDEX(Clay_Offices!$A$2:$FZ$601,538,Sync!$C$5)&amp;"",""),6)&lt;&gt;"SAMPLE",Config!$B$19="Y")),IFERROR(N(INDEX(Clay_Offices!$A$2:$FZ$601,538,Sync!$C$12)),0),"")</f>
        <v/>
      </c>
      <c r="C2789" s="17">
        <f>IF(B2789="","","office")</f>
        <v/>
      </c>
      <c r="D2789" s="17">
        <f>IF(B2789="","",IFERROR(INDEX(Clay_Offices!$A$2:$FZ$601,538,Sync!$C$5)&amp;"",""))</f>
        <v/>
      </c>
      <c r="E2789" s="17">
        <f>IF(B2789="","",IFERROR(INDEX(Clay_Offices!$A$2:$FZ$601,538,Sync!$C$6)&amp;"",""))</f>
        <v/>
      </c>
      <c r="F2789" s="17">
        <f>IF(B2789="","","outreach_sent")</f>
        <v/>
      </c>
      <c r="G2789" s="17">
        <f>IF(B2789="","","")</f>
        <v/>
      </c>
      <c r="H2789" s="17">
        <f>IF(B2789="","","")</f>
        <v/>
      </c>
      <c r="I2789" s="17">
        <f>IF(B2789="","","")</f>
        <v/>
      </c>
      <c r="J2789" s="17">
        <f>IF(B2789="","","touch_2; "&amp;IFERROR(INDEX(Clay_Offices!$A$2:$FZ$601,538,Sync!$C$10)&amp;"","")&amp;"; "&amp;IFERROR(INDEX(Clay_Offices!$A$2:$FZ$601,538,Sync!$C$9)&amp;"",""))</f>
        <v/>
      </c>
      <c r="K2789" t="inlineStr">
        <is>
          <t>office outreach touch 2</t>
        </is>
      </c>
    </row>
    <row r="2790">
      <c r="A2790" s="17">
        <f>IF(B2790="","",B2790+(13*1000+539)/10000000)</f>
        <v/>
      </c>
      <c r="B2790" s="23">
        <f>IF(AND(IFERROR(N(INDEX(Clay_Offices!$A$2:$FZ$601,539,Sync!$C$12)),0)&gt;0,IFERROR(INDEX(Clay_Offices!$A$2:$FZ$601,539,Sync!$C$5)&amp;"","")&lt;&gt;"",OR(LEFT(IFERROR(INDEX(Clay_Offices!$A$2:$FZ$601,539,Sync!$C$5)&amp;"",""),6)&lt;&gt;"SAMPLE",Config!$B$19="Y")),IFERROR(N(INDEX(Clay_Offices!$A$2:$FZ$601,539,Sync!$C$12)),0),"")</f>
        <v/>
      </c>
      <c r="C2790" s="17">
        <f>IF(B2790="","","office")</f>
        <v/>
      </c>
      <c r="D2790" s="17">
        <f>IF(B2790="","",IFERROR(INDEX(Clay_Offices!$A$2:$FZ$601,539,Sync!$C$5)&amp;"",""))</f>
        <v/>
      </c>
      <c r="E2790" s="17">
        <f>IF(B2790="","",IFERROR(INDEX(Clay_Offices!$A$2:$FZ$601,539,Sync!$C$6)&amp;"",""))</f>
        <v/>
      </c>
      <c r="F2790" s="17">
        <f>IF(B2790="","","outreach_sent")</f>
        <v/>
      </c>
      <c r="G2790" s="17">
        <f>IF(B2790="","","")</f>
        <v/>
      </c>
      <c r="H2790" s="17">
        <f>IF(B2790="","","")</f>
        <v/>
      </c>
      <c r="I2790" s="17">
        <f>IF(B2790="","","")</f>
        <v/>
      </c>
      <c r="J2790" s="17">
        <f>IF(B2790="","","touch_2; "&amp;IFERROR(INDEX(Clay_Offices!$A$2:$FZ$601,539,Sync!$C$10)&amp;"","")&amp;"; "&amp;IFERROR(INDEX(Clay_Offices!$A$2:$FZ$601,539,Sync!$C$9)&amp;"",""))</f>
        <v/>
      </c>
      <c r="K2790" t="inlineStr">
        <is>
          <t>office outreach touch 2</t>
        </is>
      </c>
    </row>
    <row r="2791">
      <c r="A2791" s="17">
        <f>IF(B2791="","",B2791+(13*1000+540)/10000000)</f>
        <v/>
      </c>
      <c r="B2791" s="23">
        <f>IF(AND(IFERROR(N(INDEX(Clay_Offices!$A$2:$FZ$601,540,Sync!$C$12)),0)&gt;0,IFERROR(INDEX(Clay_Offices!$A$2:$FZ$601,540,Sync!$C$5)&amp;"","")&lt;&gt;"",OR(LEFT(IFERROR(INDEX(Clay_Offices!$A$2:$FZ$601,540,Sync!$C$5)&amp;"",""),6)&lt;&gt;"SAMPLE",Config!$B$19="Y")),IFERROR(N(INDEX(Clay_Offices!$A$2:$FZ$601,540,Sync!$C$12)),0),"")</f>
        <v/>
      </c>
      <c r="C2791" s="17">
        <f>IF(B2791="","","office")</f>
        <v/>
      </c>
      <c r="D2791" s="17">
        <f>IF(B2791="","",IFERROR(INDEX(Clay_Offices!$A$2:$FZ$601,540,Sync!$C$5)&amp;"",""))</f>
        <v/>
      </c>
      <c r="E2791" s="17">
        <f>IF(B2791="","",IFERROR(INDEX(Clay_Offices!$A$2:$FZ$601,540,Sync!$C$6)&amp;"",""))</f>
        <v/>
      </c>
      <c r="F2791" s="17">
        <f>IF(B2791="","","outreach_sent")</f>
        <v/>
      </c>
      <c r="G2791" s="17">
        <f>IF(B2791="","","")</f>
        <v/>
      </c>
      <c r="H2791" s="17">
        <f>IF(B2791="","","")</f>
        <v/>
      </c>
      <c r="I2791" s="17">
        <f>IF(B2791="","","")</f>
        <v/>
      </c>
      <c r="J2791" s="17">
        <f>IF(B2791="","","touch_2; "&amp;IFERROR(INDEX(Clay_Offices!$A$2:$FZ$601,540,Sync!$C$10)&amp;"","")&amp;"; "&amp;IFERROR(INDEX(Clay_Offices!$A$2:$FZ$601,540,Sync!$C$9)&amp;"",""))</f>
        <v/>
      </c>
      <c r="K2791" t="inlineStr">
        <is>
          <t>office outreach touch 2</t>
        </is>
      </c>
    </row>
    <row r="2792">
      <c r="A2792" s="17">
        <f>IF(B2792="","",B2792+(13*1000+541)/10000000)</f>
        <v/>
      </c>
      <c r="B2792" s="23">
        <f>IF(AND(IFERROR(N(INDEX(Clay_Offices!$A$2:$FZ$601,541,Sync!$C$12)),0)&gt;0,IFERROR(INDEX(Clay_Offices!$A$2:$FZ$601,541,Sync!$C$5)&amp;"","")&lt;&gt;"",OR(LEFT(IFERROR(INDEX(Clay_Offices!$A$2:$FZ$601,541,Sync!$C$5)&amp;"",""),6)&lt;&gt;"SAMPLE",Config!$B$19="Y")),IFERROR(N(INDEX(Clay_Offices!$A$2:$FZ$601,541,Sync!$C$12)),0),"")</f>
        <v/>
      </c>
      <c r="C2792" s="17">
        <f>IF(B2792="","","office")</f>
        <v/>
      </c>
      <c r="D2792" s="17">
        <f>IF(B2792="","",IFERROR(INDEX(Clay_Offices!$A$2:$FZ$601,541,Sync!$C$5)&amp;"",""))</f>
        <v/>
      </c>
      <c r="E2792" s="17">
        <f>IF(B2792="","",IFERROR(INDEX(Clay_Offices!$A$2:$FZ$601,541,Sync!$C$6)&amp;"",""))</f>
        <v/>
      </c>
      <c r="F2792" s="17">
        <f>IF(B2792="","","outreach_sent")</f>
        <v/>
      </c>
      <c r="G2792" s="17">
        <f>IF(B2792="","","")</f>
        <v/>
      </c>
      <c r="H2792" s="17">
        <f>IF(B2792="","","")</f>
        <v/>
      </c>
      <c r="I2792" s="17">
        <f>IF(B2792="","","")</f>
        <v/>
      </c>
      <c r="J2792" s="17">
        <f>IF(B2792="","","touch_2; "&amp;IFERROR(INDEX(Clay_Offices!$A$2:$FZ$601,541,Sync!$C$10)&amp;"","")&amp;"; "&amp;IFERROR(INDEX(Clay_Offices!$A$2:$FZ$601,541,Sync!$C$9)&amp;"",""))</f>
        <v/>
      </c>
      <c r="K2792" t="inlineStr">
        <is>
          <t>office outreach touch 2</t>
        </is>
      </c>
    </row>
    <row r="2793">
      <c r="A2793" s="17">
        <f>IF(B2793="","",B2793+(13*1000+542)/10000000)</f>
        <v/>
      </c>
      <c r="B2793" s="23">
        <f>IF(AND(IFERROR(N(INDEX(Clay_Offices!$A$2:$FZ$601,542,Sync!$C$12)),0)&gt;0,IFERROR(INDEX(Clay_Offices!$A$2:$FZ$601,542,Sync!$C$5)&amp;"","")&lt;&gt;"",OR(LEFT(IFERROR(INDEX(Clay_Offices!$A$2:$FZ$601,542,Sync!$C$5)&amp;"",""),6)&lt;&gt;"SAMPLE",Config!$B$19="Y")),IFERROR(N(INDEX(Clay_Offices!$A$2:$FZ$601,542,Sync!$C$12)),0),"")</f>
        <v/>
      </c>
      <c r="C2793" s="17">
        <f>IF(B2793="","","office")</f>
        <v/>
      </c>
      <c r="D2793" s="17">
        <f>IF(B2793="","",IFERROR(INDEX(Clay_Offices!$A$2:$FZ$601,542,Sync!$C$5)&amp;"",""))</f>
        <v/>
      </c>
      <c r="E2793" s="17">
        <f>IF(B2793="","",IFERROR(INDEX(Clay_Offices!$A$2:$FZ$601,542,Sync!$C$6)&amp;"",""))</f>
        <v/>
      </c>
      <c r="F2793" s="17">
        <f>IF(B2793="","","outreach_sent")</f>
        <v/>
      </c>
      <c r="G2793" s="17">
        <f>IF(B2793="","","")</f>
        <v/>
      </c>
      <c r="H2793" s="17">
        <f>IF(B2793="","","")</f>
        <v/>
      </c>
      <c r="I2793" s="17">
        <f>IF(B2793="","","")</f>
        <v/>
      </c>
      <c r="J2793" s="17">
        <f>IF(B2793="","","touch_2; "&amp;IFERROR(INDEX(Clay_Offices!$A$2:$FZ$601,542,Sync!$C$10)&amp;"","")&amp;"; "&amp;IFERROR(INDEX(Clay_Offices!$A$2:$FZ$601,542,Sync!$C$9)&amp;"",""))</f>
        <v/>
      </c>
      <c r="K2793" t="inlineStr">
        <is>
          <t>office outreach touch 2</t>
        </is>
      </c>
    </row>
    <row r="2794">
      <c r="A2794" s="17">
        <f>IF(B2794="","",B2794+(13*1000+543)/10000000)</f>
        <v/>
      </c>
      <c r="B2794" s="23">
        <f>IF(AND(IFERROR(N(INDEX(Clay_Offices!$A$2:$FZ$601,543,Sync!$C$12)),0)&gt;0,IFERROR(INDEX(Clay_Offices!$A$2:$FZ$601,543,Sync!$C$5)&amp;"","")&lt;&gt;"",OR(LEFT(IFERROR(INDEX(Clay_Offices!$A$2:$FZ$601,543,Sync!$C$5)&amp;"",""),6)&lt;&gt;"SAMPLE",Config!$B$19="Y")),IFERROR(N(INDEX(Clay_Offices!$A$2:$FZ$601,543,Sync!$C$12)),0),"")</f>
        <v/>
      </c>
      <c r="C2794" s="17">
        <f>IF(B2794="","","office")</f>
        <v/>
      </c>
      <c r="D2794" s="17">
        <f>IF(B2794="","",IFERROR(INDEX(Clay_Offices!$A$2:$FZ$601,543,Sync!$C$5)&amp;"",""))</f>
        <v/>
      </c>
      <c r="E2794" s="17">
        <f>IF(B2794="","",IFERROR(INDEX(Clay_Offices!$A$2:$FZ$601,543,Sync!$C$6)&amp;"",""))</f>
        <v/>
      </c>
      <c r="F2794" s="17">
        <f>IF(B2794="","","outreach_sent")</f>
        <v/>
      </c>
      <c r="G2794" s="17">
        <f>IF(B2794="","","")</f>
        <v/>
      </c>
      <c r="H2794" s="17">
        <f>IF(B2794="","","")</f>
        <v/>
      </c>
      <c r="I2794" s="17">
        <f>IF(B2794="","","")</f>
        <v/>
      </c>
      <c r="J2794" s="17">
        <f>IF(B2794="","","touch_2; "&amp;IFERROR(INDEX(Clay_Offices!$A$2:$FZ$601,543,Sync!$C$10)&amp;"","")&amp;"; "&amp;IFERROR(INDEX(Clay_Offices!$A$2:$FZ$601,543,Sync!$C$9)&amp;"",""))</f>
        <v/>
      </c>
      <c r="K2794" t="inlineStr">
        <is>
          <t>office outreach touch 2</t>
        </is>
      </c>
    </row>
    <row r="2795">
      <c r="A2795" s="17">
        <f>IF(B2795="","",B2795+(13*1000+544)/10000000)</f>
        <v/>
      </c>
      <c r="B2795" s="23">
        <f>IF(AND(IFERROR(N(INDEX(Clay_Offices!$A$2:$FZ$601,544,Sync!$C$12)),0)&gt;0,IFERROR(INDEX(Clay_Offices!$A$2:$FZ$601,544,Sync!$C$5)&amp;"","")&lt;&gt;"",OR(LEFT(IFERROR(INDEX(Clay_Offices!$A$2:$FZ$601,544,Sync!$C$5)&amp;"",""),6)&lt;&gt;"SAMPLE",Config!$B$19="Y")),IFERROR(N(INDEX(Clay_Offices!$A$2:$FZ$601,544,Sync!$C$12)),0),"")</f>
        <v/>
      </c>
      <c r="C2795" s="17">
        <f>IF(B2795="","","office")</f>
        <v/>
      </c>
      <c r="D2795" s="17">
        <f>IF(B2795="","",IFERROR(INDEX(Clay_Offices!$A$2:$FZ$601,544,Sync!$C$5)&amp;"",""))</f>
        <v/>
      </c>
      <c r="E2795" s="17">
        <f>IF(B2795="","",IFERROR(INDEX(Clay_Offices!$A$2:$FZ$601,544,Sync!$C$6)&amp;"",""))</f>
        <v/>
      </c>
      <c r="F2795" s="17">
        <f>IF(B2795="","","outreach_sent")</f>
        <v/>
      </c>
      <c r="G2795" s="17">
        <f>IF(B2795="","","")</f>
        <v/>
      </c>
      <c r="H2795" s="17">
        <f>IF(B2795="","","")</f>
        <v/>
      </c>
      <c r="I2795" s="17">
        <f>IF(B2795="","","")</f>
        <v/>
      </c>
      <c r="J2795" s="17">
        <f>IF(B2795="","","touch_2; "&amp;IFERROR(INDEX(Clay_Offices!$A$2:$FZ$601,544,Sync!$C$10)&amp;"","")&amp;"; "&amp;IFERROR(INDEX(Clay_Offices!$A$2:$FZ$601,544,Sync!$C$9)&amp;"",""))</f>
        <v/>
      </c>
      <c r="K2795" t="inlineStr">
        <is>
          <t>office outreach touch 2</t>
        </is>
      </c>
    </row>
    <row r="2796">
      <c r="A2796" s="17">
        <f>IF(B2796="","",B2796+(13*1000+545)/10000000)</f>
        <v/>
      </c>
      <c r="B2796" s="23">
        <f>IF(AND(IFERROR(N(INDEX(Clay_Offices!$A$2:$FZ$601,545,Sync!$C$12)),0)&gt;0,IFERROR(INDEX(Clay_Offices!$A$2:$FZ$601,545,Sync!$C$5)&amp;"","")&lt;&gt;"",OR(LEFT(IFERROR(INDEX(Clay_Offices!$A$2:$FZ$601,545,Sync!$C$5)&amp;"",""),6)&lt;&gt;"SAMPLE",Config!$B$19="Y")),IFERROR(N(INDEX(Clay_Offices!$A$2:$FZ$601,545,Sync!$C$12)),0),"")</f>
        <v/>
      </c>
      <c r="C2796" s="17">
        <f>IF(B2796="","","office")</f>
        <v/>
      </c>
      <c r="D2796" s="17">
        <f>IF(B2796="","",IFERROR(INDEX(Clay_Offices!$A$2:$FZ$601,545,Sync!$C$5)&amp;"",""))</f>
        <v/>
      </c>
      <c r="E2796" s="17">
        <f>IF(B2796="","",IFERROR(INDEX(Clay_Offices!$A$2:$FZ$601,545,Sync!$C$6)&amp;"",""))</f>
        <v/>
      </c>
      <c r="F2796" s="17">
        <f>IF(B2796="","","outreach_sent")</f>
        <v/>
      </c>
      <c r="G2796" s="17">
        <f>IF(B2796="","","")</f>
        <v/>
      </c>
      <c r="H2796" s="17">
        <f>IF(B2796="","","")</f>
        <v/>
      </c>
      <c r="I2796" s="17">
        <f>IF(B2796="","","")</f>
        <v/>
      </c>
      <c r="J2796" s="17">
        <f>IF(B2796="","","touch_2; "&amp;IFERROR(INDEX(Clay_Offices!$A$2:$FZ$601,545,Sync!$C$10)&amp;"","")&amp;"; "&amp;IFERROR(INDEX(Clay_Offices!$A$2:$FZ$601,545,Sync!$C$9)&amp;"",""))</f>
        <v/>
      </c>
      <c r="K2796" t="inlineStr">
        <is>
          <t>office outreach touch 2</t>
        </is>
      </c>
    </row>
    <row r="2797">
      <c r="A2797" s="17">
        <f>IF(B2797="","",B2797+(13*1000+546)/10000000)</f>
        <v/>
      </c>
      <c r="B2797" s="23">
        <f>IF(AND(IFERROR(N(INDEX(Clay_Offices!$A$2:$FZ$601,546,Sync!$C$12)),0)&gt;0,IFERROR(INDEX(Clay_Offices!$A$2:$FZ$601,546,Sync!$C$5)&amp;"","")&lt;&gt;"",OR(LEFT(IFERROR(INDEX(Clay_Offices!$A$2:$FZ$601,546,Sync!$C$5)&amp;"",""),6)&lt;&gt;"SAMPLE",Config!$B$19="Y")),IFERROR(N(INDEX(Clay_Offices!$A$2:$FZ$601,546,Sync!$C$12)),0),"")</f>
        <v/>
      </c>
      <c r="C2797" s="17">
        <f>IF(B2797="","","office")</f>
        <v/>
      </c>
      <c r="D2797" s="17">
        <f>IF(B2797="","",IFERROR(INDEX(Clay_Offices!$A$2:$FZ$601,546,Sync!$C$5)&amp;"",""))</f>
        <v/>
      </c>
      <c r="E2797" s="17">
        <f>IF(B2797="","",IFERROR(INDEX(Clay_Offices!$A$2:$FZ$601,546,Sync!$C$6)&amp;"",""))</f>
        <v/>
      </c>
      <c r="F2797" s="17">
        <f>IF(B2797="","","outreach_sent")</f>
        <v/>
      </c>
      <c r="G2797" s="17">
        <f>IF(B2797="","","")</f>
        <v/>
      </c>
      <c r="H2797" s="17">
        <f>IF(B2797="","","")</f>
        <v/>
      </c>
      <c r="I2797" s="17">
        <f>IF(B2797="","","")</f>
        <v/>
      </c>
      <c r="J2797" s="17">
        <f>IF(B2797="","","touch_2; "&amp;IFERROR(INDEX(Clay_Offices!$A$2:$FZ$601,546,Sync!$C$10)&amp;"","")&amp;"; "&amp;IFERROR(INDEX(Clay_Offices!$A$2:$FZ$601,546,Sync!$C$9)&amp;"",""))</f>
        <v/>
      </c>
      <c r="K2797" t="inlineStr">
        <is>
          <t>office outreach touch 2</t>
        </is>
      </c>
    </row>
    <row r="2798">
      <c r="A2798" s="17">
        <f>IF(B2798="","",B2798+(13*1000+547)/10000000)</f>
        <v/>
      </c>
      <c r="B2798" s="23">
        <f>IF(AND(IFERROR(N(INDEX(Clay_Offices!$A$2:$FZ$601,547,Sync!$C$12)),0)&gt;0,IFERROR(INDEX(Clay_Offices!$A$2:$FZ$601,547,Sync!$C$5)&amp;"","")&lt;&gt;"",OR(LEFT(IFERROR(INDEX(Clay_Offices!$A$2:$FZ$601,547,Sync!$C$5)&amp;"",""),6)&lt;&gt;"SAMPLE",Config!$B$19="Y")),IFERROR(N(INDEX(Clay_Offices!$A$2:$FZ$601,547,Sync!$C$12)),0),"")</f>
        <v/>
      </c>
      <c r="C2798" s="17">
        <f>IF(B2798="","","office")</f>
        <v/>
      </c>
      <c r="D2798" s="17">
        <f>IF(B2798="","",IFERROR(INDEX(Clay_Offices!$A$2:$FZ$601,547,Sync!$C$5)&amp;"",""))</f>
        <v/>
      </c>
      <c r="E2798" s="17">
        <f>IF(B2798="","",IFERROR(INDEX(Clay_Offices!$A$2:$FZ$601,547,Sync!$C$6)&amp;"",""))</f>
        <v/>
      </c>
      <c r="F2798" s="17">
        <f>IF(B2798="","","outreach_sent")</f>
        <v/>
      </c>
      <c r="G2798" s="17">
        <f>IF(B2798="","","")</f>
        <v/>
      </c>
      <c r="H2798" s="17">
        <f>IF(B2798="","","")</f>
        <v/>
      </c>
      <c r="I2798" s="17">
        <f>IF(B2798="","","")</f>
        <v/>
      </c>
      <c r="J2798" s="17">
        <f>IF(B2798="","","touch_2; "&amp;IFERROR(INDEX(Clay_Offices!$A$2:$FZ$601,547,Sync!$C$10)&amp;"","")&amp;"; "&amp;IFERROR(INDEX(Clay_Offices!$A$2:$FZ$601,547,Sync!$C$9)&amp;"",""))</f>
        <v/>
      </c>
      <c r="K2798" t="inlineStr">
        <is>
          <t>office outreach touch 2</t>
        </is>
      </c>
    </row>
    <row r="2799">
      <c r="A2799" s="17">
        <f>IF(B2799="","",B2799+(13*1000+548)/10000000)</f>
        <v/>
      </c>
      <c r="B2799" s="23">
        <f>IF(AND(IFERROR(N(INDEX(Clay_Offices!$A$2:$FZ$601,548,Sync!$C$12)),0)&gt;0,IFERROR(INDEX(Clay_Offices!$A$2:$FZ$601,548,Sync!$C$5)&amp;"","")&lt;&gt;"",OR(LEFT(IFERROR(INDEX(Clay_Offices!$A$2:$FZ$601,548,Sync!$C$5)&amp;"",""),6)&lt;&gt;"SAMPLE",Config!$B$19="Y")),IFERROR(N(INDEX(Clay_Offices!$A$2:$FZ$601,548,Sync!$C$12)),0),"")</f>
        <v/>
      </c>
      <c r="C2799" s="17">
        <f>IF(B2799="","","office")</f>
        <v/>
      </c>
      <c r="D2799" s="17">
        <f>IF(B2799="","",IFERROR(INDEX(Clay_Offices!$A$2:$FZ$601,548,Sync!$C$5)&amp;"",""))</f>
        <v/>
      </c>
      <c r="E2799" s="17">
        <f>IF(B2799="","",IFERROR(INDEX(Clay_Offices!$A$2:$FZ$601,548,Sync!$C$6)&amp;"",""))</f>
        <v/>
      </c>
      <c r="F2799" s="17">
        <f>IF(B2799="","","outreach_sent")</f>
        <v/>
      </c>
      <c r="G2799" s="17">
        <f>IF(B2799="","","")</f>
        <v/>
      </c>
      <c r="H2799" s="17">
        <f>IF(B2799="","","")</f>
        <v/>
      </c>
      <c r="I2799" s="17">
        <f>IF(B2799="","","")</f>
        <v/>
      </c>
      <c r="J2799" s="17">
        <f>IF(B2799="","","touch_2; "&amp;IFERROR(INDEX(Clay_Offices!$A$2:$FZ$601,548,Sync!$C$10)&amp;"","")&amp;"; "&amp;IFERROR(INDEX(Clay_Offices!$A$2:$FZ$601,548,Sync!$C$9)&amp;"",""))</f>
        <v/>
      </c>
      <c r="K2799" t="inlineStr">
        <is>
          <t>office outreach touch 2</t>
        </is>
      </c>
    </row>
    <row r="2800">
      <c r="A2800" s="17">
        <f>IF(B2800="","",B2800+(13*1000+549)/10000000)</f>
        <v/>
      </c>
      <c r="B2800" s="23">
        <f>IF(AND(IFERROR(N(INDEX(Clay_Offices!$A$2:$FZ$601,549,Sync!$C$12)),0)&gt;0,IFERROR(INDEX(Clay_Offices!$A$2:$FZ$601,549,Sync!$C$5)&amp;"","")&lt;&gt;"",OR(LEFT(IFERROR(INDEX(Clay_Offices!$A$2:$FZ$601,549,Sync!$C$5)&amp;"",""),6)&lt;&gt;"SAMPLE",Config!$B$19="Y")),IFERROR(N(INDEX(Clay_Offices!$A$2:$FZ$601,549,Sync!$C$12)),0),"")</f>
        <v/>
      </c>
      <c r="C2800" s="17">
        <f>IF(B2800="","","office")</f>
        <v/>
      </c>
      <c r="D2800" s="17">
        <f>IF(B2800="","",IFERROR(INDEX(Clay_Offices!$A$2:$FZ$601,549,Sync!$C$5)&amp;"",""))</f>
        <v/>
      </c>
      <c r="E2800" s="17">
        <f>IF(B2800="","",IFERROR(INDEX(Clay_Offices!$A$2:$FZ$601,549,Sync!$C$6)&amp;"",""))</f>
        <v/>
      </c>
      <c r="F2800" s="17">
        <f>IF(B2800="","","outreach_sent")</f>
        <v/>
      </c>
      <c r="G2800" s="17">
        <f>IF(B2800="","","")</f>
        <v/>
      </c>
      <c r="H2800" s="17">
        <f>IF(B2800="","","")</f>
        <v/>
      </c>
      <c r="I2800" s="17">
        <f>IF(B2800="","","")</f>
        <v/>
      </c>
      <c r="J2800" s="17">
        <f>IF(B2800="","","touch_2; "&amp;IFERROR(INDEX(Clay_Offices!$A$2:$FZ$601,549,Sync!$C$10)&amp;"","")&amp;"; "&amp;IFERROR(INDEX(Clay_Offices!$A$2:$FZ$601,549,Sync!$C$9)&amp;"",""))</f>
        <v/>
      </c>
      <c r="K2800" t="inlineStr">
        <is>
          <t>office outreach touch 2</t>
        </is>
      </c>
    </row>
    <row r="2801">
      <c r="A2801" s="17">
        <f>IF(B2801="","",B2801+(13*1000+550)/10000000)</f>
        <v/>
      </c>
      <c r="B2801" s="23">
        <f>IF(AND(IFERROR(N(INDEX(Clay_Offices!$A$2:$FZ$601,550,Sync!$C$12)),0)&gt;0,IFERROR(INDEX(Clay_Offices!$A$2:$FZ$601,550,Sync!$C$5)&amp;"","")&lt;&gt;"",OR(LEFT(IFERROR(INDEX(Clay_Offices!$A$2:$FZ$601,550,Sync!$C$5)&amp;"",""),6)&lt;&gt;"SAMPLE",Config!$B$19="Y")),IFERROR(N(INDEX(Clay_Offices!$A$2:$FZ$601,550,Sync!$C$12)),0),"")</f>
        <v/>
      </c>
      <c r="C2801" s="17">
        <f>IF(B2801="","","office")</f>
        <v/>
      </c>
      <c r="D2801" s="17">
        <f>IF(B2801="","",IFERROR(INDEX(Clay_Offices!$A$2:$FZ$601,550,Sync!$C$5)&amp;"",""))</f>
        <v/>
      </c>
      <c r="E2801" s="17">
        <f>IF(B2801="","",IFERROR(INDEX(Clay_Offices!$A$2:$FZ$601,550,Sync!$C$6)&amp;"",""))</f>
        <v/>
      </c>
      <c r="F2801" s="17">
        <f>IF(B2801="","","outreach_sent")</f>
        <v/>
      </c>
      <c r="G2801" s="17">
        <f>IF(B2801="","","")</f>
        <v/>
      </c>
      <c r="H2801" s="17">
        <f>IF(B2801="","","")</f>
        <v/>
      </c>
      <c r="I2801" s="17">
        <f>IF(B2801="","","")</f>
        <v/>
      </c>
      <c r="J2801" s="17">
        <f>IF(B2801="","","touch_2; "&amp;IFERROR(INDEX(Clay_Offices!$A$2:$FZ$601,550,Sync!$C$10)&amp;"","")&amp;"; "&amp;IFERROR(INDEX(Clay_Offices!$A$2:$FZ$601,550,Sync!$C$9)&amp;"",""))</f>
        <v/>
      </c>
      <c r="K2801" t="inlineStr">
        <is>
          <t>office outreach touch 2</t>
        </is>
      </c>
    </row>
    <row r="2802">
      <c r="A2802" s="17">
        <f>IF(B2802="","",B2802+(13*1000+551)/10000000)</f>
        <v/>
      </c>
      <c r="B2802" s="23">
        <f>IF(AND(IFERROR(N(INDEX(Clay_Offices!$A$2:$FZ$601,551,Sync!$C$12)),0)&gt;0,IFERROR(INDEX(Clay_Offices!$A$2:$FZ$601,551,Sync!$C$5)&amp;"","")&lt;&gt;"",OR(LEFT(IFERROR(INDEX(Clay_Offices!$A$2:$FZ$601,551,Sync!$C$5)&amp;"",""),6)&lt;&gt;"SAMPLE",Config!$B$19="Y")),IFERROR(N(INDEX(Clay_Offices!$A$2:$FZ$601,551,Sync!$C$12)),0),"")</f>
        <v/>
      </c>
      <c r="C2802" s="17">
        <f>IF(B2802="","","office")</f>
        <v/>
      </c>
      <c r="D2802" s="17">
        <f>IF(B2802="","",IFERROR(INDEX(Clay_Offices!$A$2:$FZ$601,551,Sync!$C$5)&amp;"",""))</f>
        <v/>
      </c>
      <c r="E2802" s="17">
        <f>IF(B2802="","",IFERROR(INDEX(Clay_Offices!$A$2:$FZ$601,551,Sync!$C$6)&amp;"",""))</f>
        <v/>
      </c>
      <c r="F2802" s="17">
        <f>IF(B2802="","","outreach_sent")</f>
        <v/>
      </c>
      <c r="G2802" s="17">
        <f>IF(B2802="","","")</f>
        <v/>
      </c>
      <c r="H2802" s="17">
        <f>IF(B2802="","","")</f>
        <v/>
      </c>
      <c r="I2802" s="17">
        <f>IF(B2802="","","")</f>
        <v/>
      </c>
      <c r="J2802" s="17">
        <f>IF(B2802="","","touch_2; "&amp;IFERROR(INDEX(Clay_Offices!$A$2:$FZ$601,551,Sync!$C$10)&amp;"","")&amp;"; "&amp;IFERROR(INDEX(Clay_Offices!$A$2:$FZ$601,551,Sync!$C$9)&amp;"",""))</f>
        <v/>
      </c>
      <c r="K2802" t="inlineStr">
        <is>
          <t>office outreach touch 2</t>
        </is>
      </c>
    </row>
    <row r="2803">
      <c r="A2803" s="17">
        <f>IF(B2803="","",B2803+(13*1000+552)/10000000)</f>
        <v/>
      </c>
      <c r="B2803" s="23">
        <f>IF(AND(IFERROR(N(INDEX(Clay_Offices!$A$2:$FZ$601,552,Sync!$C$12)),0)&gt;0,IFERROR(INDEX(Clay_Offices!$A$2:$FZ$601,552,Sync!$C$5)&amp;"","")&lt;&gt;"",OR(LEFT(IFERROR(INDEX(Clay_Offices!$A$2:$FZ$601,552,Sync!$C$5)&amp;"",""),6)&lt;&gt;"SAMPLE",Config!$B$19="Y")),IFERROR(N(INDEX(Clay_Offices!$A$2:$FZ$601,552,Sync!$C$12)),0),"")</f>
        <v/>
      </c>
      <c r="C2803" s="17">
        <f>IF(B2803="","","office")</f>
        <v/>
      </c>
      <c r="D2803" s="17">
        <f>IF(B2803="","",IFERROR(INDEX(Clay_Offices!$A$2:$FZ$601,552,Sync!$C$5)&amp;"",""))</f>
        <v/>
      </c>
      <c r="E2803" s="17">
        <f>IF(B2803="","",IFERROR(INDEX(Clay_Offices!$A$2:$FZ$601,552,Sync!$C$6)&amp;"",""))</f>
        <v/>
      </c>
      <c r="F2803" s="17">
        <f>IF(B2803="","","outreach_sent")</f>
        <v/>
      </c>
      <c r="G2803" s="17">
        <f>IF(B2803="","","")</f>
        <v/>
      </c>
      <c r="H2803" s="17">
        <f>IF(B2803="","","")</f>
        <v/>
      </c>
      <c r="I2803" s="17">
        <f>IF(B2803="","","")</f>
        <v/>
      </c>
      <c r="J2803" s="17">
        <f>IF(B2803="","","touch_2; "&amp;IFERROR(INDEX(Clay_Offices!$A$2:$FZ$601,552,Sync!$C$10)&amp;"","")&amp;"; "&amp;IFERROR(INDEX(Clay_Offices!$A$2:$FZ$601,552,Sync!$C$9)&amp;"",""))</f>
        <v/>
      </c>
      <c r="K2803" t="inlineStr">
        <is>
          <t>office outreach touch 2</t>
        </is>
      </c>
    </row>
    <row r="2804">
      <c r="A2804" s="17">
        <f>IF(B2804="","",B2804+(13*1000+553)/10000000)</f>
        <v/>
      </c>
      <c r="B2804" s="23">
        <f>IF(AND(IFERROR(N(INDEX(Clay_Offices!$A$2:$FZ$601,553,Sync!$C$12)),0)&gt;0,IFERROR(INDEX(Clay_Offices!$A$2:$FZ$601,553,Sync!$C$5)&amp;"","")&lt;&gt;"",OR(LEFT(IFERROR(INDEX(Clay_Offices!$A$2:$FZ$601,553,Sync!$C$5)&amp;"",""),6)&lt;&gt;"SAMPLE",Config!$B$19="Y")),IFERROR(N(INDEX(Clay_Offices!$A$2:$FZ$601,553,Sync!$C$12)),0),"")</f>
        <v/>
      </c>
      <c r="C2804" s="17">
        <f>IF(B2804="","","office")</f>
        <v/>
      </c>
      <c r="D2804" s="17">
        <f>IF(B2804="","",IFERROR(INDEX(Clay_Offices!$A$2:$FZ$601,553,Sync!$C$5)&amp;"",""))</f>
        <v/>
      </c>
      <c r="E2804" s="17">
        <f>IF(B2804="","",IFERROR(INDEX(Clay_Offices!$A$2:$FZ$601,553,Sync!$C$6)&amp;"",""))</f>
        <v/>
      </c>
      <c r="F2804" s="17">
        <f>IF(B2804="","","outreach_sent")</f>
        <v/>
      </c>
      <c r="G2804" s="17">
        <f>IF(B2804="","","")</f>
        <v/>
      </c>
      <c r="H2804" s="17">
        <f>IF(B2804="","","")</f>
        <v/>
      </c>
      <c r="I2804" s="17">
        <f>IF(B2804="","","")</f>
        <v/>
      </c>
      <c r="J2804" s="17">
        <f>IF(B2804="","","touch_2; "&amp;IFERROR(INDEX(Clay_Offices!$A$2:$FZ$601,553,Sync!$C$10)&amp;"","")&amp;"; "&amp;IFERROR(INDEX(Clay_Offices!$A$2:$FZ$601,553,Sync!$C$9)&amp;"",""))</f>
        <v/>
      </c>
      <c r="K2804" t="inlineStr">
        <is>
          <t>office outreach touch 2</t>
        </is>
      </c>
    </row>
    <row r="2805">
      <c r="A2805" s="17">
        <f>IF(B2805="","",B2805+(13*1000+554)/10000000)</f>
        <v/>
      </c>
      <c r="B2805" s="23">
        <f>IF(AND(IFERROR(N(INDEX(Clay_Offices!$A$2:$FZ$601,554,Sync!$C$12)),0)&gt;0,IFERROR(INDEX(Clay_Offices!$A$2:$FZ$601,554,Sync!$C$5)&amp;"","")&lt;&gt;"",OR(LEFT(IFERROR(INDEX(Clay_Offices!$A$2:$FZ$601,554,Sync!$C$5)&amp;"",""),6)&lt;&gt;"SAMPLE",Config!$B$19="Y")),IFERROR(N(INDEX(Clay_Offices!$A$2:$FZ$601,554,Sync!$C$12)),0),"")</f>
        <v/>
      </c>
      <c r="C2805" s="17">
        <f>IF(B2805="","","office")</f>
        <v/>
      </c>
      <c r="D2805" s="17">
        <f>IF(B2805="","",IFERROR(INDEX(Clay_Offices!$A$2:$FZ$601,554,Sync!$C$5)&amp;"",""))</f>
        <v/>
      </c>
      <c r="E2805" s="17">
        <f>IF(B2805="","",IFERROR(INDEX(Clay_Offices!$A$2:$FZ$601,554,Sync!$C$6)&amp;"",""))</f>
        <v/>
      </c>
      <c r="F2805" s="17">
        <f>IF(B2805="","","outreach_sent")</f>
        <v/>
      </c>
      <c r="G2805" s="17">
        <f>IF(B2805="","","")</f>
        <v/>
      </c>
      <c r="H2805" s="17">
        <f>IF(B2805="","","")</f>
        <v/>
      </c>
      <c r="I2805" s="17">
        <f>IF(B2805="","","")</f>
        <v/>
      </c>
      <c r="J2805" s="17">
        <f>IF(B2805="","","touch_2; "&amp;IFERROR(INDEX(Clay_Offices!$A$2:$FZ$601,554,Sync!$C$10)&amp;"","")&amp;"; "&amp;IFERROR(INDEX(Clay_Offices!$A$2:$FZ$601,554,Sync!$C$9)&amp;"",""))</f>
        <v/>
      </c>
      <c r="K2805" t="inlineStr">
        <is>
          <t>office outreach touch 2</t>
        </is>
      </c>
    </row>
    <row r="2806">
      <c r="A2806" s="17">
        <f>IF(B2806="","",B2806+(13*1000+555)/10000000)</f>
        <v/>
      </c>
      <c r="B2806" s="23">
        <f>IF(AND(IFERROR(N(INDEX(Clay_Offices!$A$2:$FZ$601,555,Sync!$C$12)),0)&gt;0,IFERROR(INDEX(Clay_Offices!$A$2:$FZ$601,555,Sync!$C$5)&amp;"","")&lt;&gt;"",OR(LEFT(IFERROR(INDEX(Clay_Offices!$A$2:$FZ$601,555,Sync!$C$5)&amp;"",""),6)&lt;&gt;"SAMPLE",Config!$B$19="Y")),IFERROR(N(INDEX(Clay_Offices!$A$2:$FZ$601,555,Sync!$C$12)),0),"")</f>
        <v/>
      </c>
      <c r="C2806" s="17">
        <f>IF(B2806="","","office")</f>
        <v/>
      </c>
      <c r="D2806" s="17">
        <f>IF(B2806="","",IFERROR(INDEX(Clay_Offices!$A$2:$FZ$601,555,Sync!$C$5)&amp;"",""))</f>
        <v/>
      </c>
      <c r="E2806" s="17">
        <f>IF(B2806="","",IFERROR(INDEX(Clay_Offices!$A$2:$FZ$601,555,Sync!$C$6)&amp;"",""))</f>
        <v/>
      </c>
      <c r="F2806" s="17">
        <f>IF(B2806="","","outreach_sent")</f>
        <v/>
      </c>
      <c r="G2806" s="17">
        <f>IF(B2806="","","")</f>
        <v/>
      </c>
      <c r="H2806" s="17">
        <f>IF(B2806="","","")</f>
        <v/>
      </c>
      <c r="I2806" s="17">
        <f>IF(B2806="","","")</f>
        <v/>
      </c>
      <c r="J2806" s="17">
        <f>IF(B2806="","","touch_2; "&amp;IFERROR(INDEX(Clay_Offices!$A$2:$FZ$601,555,Sync!$C$10)&amp;"","")&amp;"; "&amp;IFERROR(INDEX(Clay_Offices!$A$2:$FZ$601,555,Sync!$C$9)&amp;"",""))</f>
        <v/>
      </c>
      <c r="K2806" t="inlineStr">
        <is>
          <t>office outreach touch 2</t>
        </is>
      </c>
    </row>
    <row r="2807">
      <c r="A2807" s="17">
        <f>IF(B2807="","",B2807+(13*1000+556)/10000000)</f>
        <v/>
      </c>
      <c r="B2807" s="23">
        <f>IF(AND(IFERROR(N(INDEX(Clay_Offices!$A$2:$FZ$601,556,Sync!$C$12)),0)&gt;0,IFERROR(INDEX(Clay_Offices!$A$2:$FZ$601,556,Sync!$C$5)&amp;"","")&lt;&gt;"",OR(LEFT(IFERROR(INDEX(Clay_Offices!$A$2:$FZ$601,556,Sync!$C$5)&amp;"",""),6)&lt;&gt;"SAMPLE",Config!$B$19="Y")),IFERROR(N(INDEX(Clay_Offices!$A$2:$FZ$601,556,Sync!$C$12)),0),"")</f>
        <v/>
      </c>
      <c r="C2807" s="17">
        <f>IF(B2807="","","office")</f>
        <v/>
      </c>
      <c r="D2807" s="17">
        <f>IF(B2807="","",IFERROR(INDEX(Clay_Offices!$A$2:$FZ$601,556,Sync!$C$5)&amp;"",""))</f>
        <v/>
      </c>
      <c r="E2807" s="17">
        <f>IF(B2807="","",IFERROR(INDEX(Clay_Offices!$A$2:$FZ$601,556,Sync!$C$6)&amp;"",""))</f>
        <v/>
      </c>
      <c r="F2807" s="17">
        <f>IF(B2807="","","outreach_sent")</f>
        <v/>
      </c>
      <c r="G2807" s="17">
        <f>IF(B2807="","","")</f>
        <v/>
      </c>
      <c r="H2807" s="17">
        <f>IF(B2807="","","")</f>
        <v/>
      </c>
      <c r="I2807" s="17">
        <f>IF(B2807="","","")</f>
        <v/>
      </c>
      <c r="J2807" s="17">
        <f>IF(B2807="","","touch_2; "&amp;IFERROR(INDEX(Clay_Offices!$A$2:$FZ$601,556,Sync!$C$10)&amp;"","")&amp;"; "&amp;IFERROR(INDEX(Clay_Offices!$A$2:$FZ$601,556,Sync!$C$9)&amp;"",""))</f>
        <v/>
      </c>
      <c r="K2807" t="inlineStr">
        <is>
          <t>office outreach touch 2</t>
        </is>
      </c>
    </row>
    <row r="2808">
      <c r="A2808" s="17">
        <f>IF(B2808="","",B2808+(13*1000+557)/10000000)</f>
        <v/>
      </c>
      <c r="B2808" s="23">
        <f>IF(AND(IFERROR(N(INDEX(Clay_Offices!$A$2:$FZ$601,557,Sync!$C$12)),0)&gt;0,IFERROR(INDEX(Clay_Offices!$A$2:$FZ$601,557,Sync!$C$5)&amp;"","")&lt;&gt;"",OR(LEFT(IFERROR(INDEX(Clay_Offices!$A$2:$FZ$601,557,Sync!$C$5)&amp;"",""),6)&lt;&gt;"SAMPLE",Config!$B$19="Y")),IFERROR(N(INDEX(Clay_Offices!$A$2:$FZ$601,557,Sync!$C$12)),0),"")</f>
        <v/>
      </c>
      <c r="C2808" s="17">
        <f>IF(B2808="","","office")</f>
        <v/>
      </c>
      <c r="D2808" s="17">
        <f>IF(B2808="","",IFERROR(INDEX(Clay_Offices!$A$2:$FZ$601,557,Sync!$C$5)&amp;"",""))</f>
        <v/>
      </c>
      <c r="E2808" s="17">
        <f>IF(B2808="","",IFERROR(INDEX(Clay_Offices!$A$2:$FZ$601,557,Sync!$C$6)&amp;"",""))</f>
        <v/>
      </c>
      <c r="F2808" s="17">
        <f>IF(B2808="","","outreach_sent")</f>
        <v/>
      </c>
      <c r="G2808" s="17">
        <f>IF(B2808="","","")</f>
        <v/>
      </c>
      <c r="H2808" s="17">
        <f>IF(B2808="","","")</f>
        <v/>
      </c>
      <c r="I2808" s="17">
        <f>IF(B2808="","","")</f>
        <v/>
      </c>
      <c r="J2808" s="17">
        <f>IF(B2808="","","touch_2; "&amp;IFERROR(INDEX(Clay_Offices!$A$2:$FZ$601,557,Sync!$C$10)&amp;"","")&amp;"; "&amp;IFERROR(INDEX(Clay_Offices!$A$2:$FZ$601,557,Sync!$C$9)&amp;"",""))</f>
        <v/>
      </c>
      <c r="K2808" t="inlineStr">
        <is>
          <t>office outreach touch 2</t>
        </is>
      </c>
    </row>
    <row r="2809">
      <c r="A2809" s="17">
        <f>IF(B2809="","",B2809+(13*1000+558)/10000000)</f>
        <v/>
      </c>
      <c r="B2809" s="23">
        <f>IF(AND(IFERROR(N(INDEX(Clay_Offices!$A$2:$FZ$601,558,Sync!$C$12)),0)&gt;0,IFERROR(INDEX(Clay_Offices!$A$2:$FZ$601,558,Sync!$C$5)&amp;"","")&lt;&gt;"",OR(LEFT(IFERROR(INDEX(Clay_Offices!$A$2:$FZ$601,558,Sync!$C$5)&amp;"",""),6)&lt;&gt;"SAMPLE",Config!$B$19="Y")),IFERROR(N(INDEX(Clay_Offices!$A$2:$FZ$601,558,Sync!$C$12)),0),"")</f>
        <v/>
      </c>
      <c r="C2809" s="17">
        <f>IF(B2809="","","office")</f>
        <v/>
      </c>
      <c r="D2809" s="17">
        <f>IF(B2809="","",IFERROR(INDEX(Clay_Offices!$A$2:$FZ$601,558,Sync!$C$5)&amp;"",""))</f>
        <v/>
      </c>
      <c r="E2809" s="17">
        <f>IF(B2809="","",IFERROR(INDEX(Clay_Offices!$A$2:$FZ$601,558,Sync!$C$6)&amp;"",""))</f>
        <v/>
      </c>
      <c r="F2809" s="17">
        <f>IF(B2809="","","outreach_sent")</f>
        <v/>
      </c>
      <c r="G2809" s="17">
        <f>IF(B2809="","","")</f>
        <v/>
      </c>
      <c r="H2809" s="17">
        <f>IF(B2809="","","")</f>
        <v/>
      </c>
      <c r="I2809" s="17">
        <f>IF(B2809="","","")</f>
        <v/>
      </c>
      <c r="J2809" s="17">
        <f>IF(B2809="","","touch_2; "&amp;IFERROR(INDEX(Clay_Offices!$A$2:$FZ$601,558,Sync!$C$10)&amp;"","")&amp;"; "&amp;IFERROR(INDEX(Clay_Offices!$A$2:$FZ$601,558,Sync!$C$9)&amp;"",""))</f>
        <v/>
      </c>
      <c r="K2809" t="inlineStr">
        <is>
          <t>office outreach touch 2</t>
        </is>
      </c>
    </row>
    <row r="2810">
      <c r="A2810" s="17">
        <f>IF(B2810="","",B2810+(13*1000+559)/10000000)</f>
        <v/>
      </c>
      <c r="B2810" s="23">
        <f>IF(AND(IFERROR(N(INDEX(Clay_Offices!$A$2:$FZ$601,559,Sync!$C$12)),0)&gt;0,IFERROR(INDEX(Clay_Offices!$A$2:$FZ$601,559,Sync!$C$5)&amp;"","")&lt;&gt;"",OR(LEFT(IFERROR(INDEX(Clay_Offices!$A$2:$FZ$601,559,Sync!$C$5)&amp;"",""),6)&lt;&gt;"SAMPLE",Config!$B$19="Y")),IFERROR(N(INDEX(Clay_Offices!$A$2:$FZ$601,559,Sync!$C$12)),0),"")</f>
        <v/>
      </c>
      <c r="C2810" s="17">
        <f>IF(B2810="","","office")</f>
        <v/>
      </c>
      <c r="D2810" s="17">
        <f>IF(B2810="","",IFERROR(INDEX(Clay_Offices!$A$2:$FZ$601,559,Sync!$C$5)&amp;"",""))</f>
        <v/>
      </c>
      <c r="E2810" s="17">
        <f>IF(B2810="","",IFERROR(INDEX(Clay_Offices!$A$2:$FZ$601,559,Sync!$C$6)&amp;"",""))</f>
        <v/>
      </c>
      <c r="F2810" s="17">
        <f>IF(B2810="","","outreach_sent")</f>
        <v/>
      </c>
      <c r="G2810" s="17">
        <f>IF(B2810="","","")</f>
        <v/>
      </c>
      <c r="H2810" s="17">
        <f>IF(B2810="","","")</f>
        <v/>
      </c>
      <c r="I2810" s="17">
        <f>IF(B2810="","","")</f>
        <v/>
      </c>
      <c r="J2810" s="17">
        <f>IF(B2810="","","touch_2; "&amp;IFERROR(INDEX(Clay_Offices!$A$2:$FZ$601,559,Sync!$C$10)&amp;"","")&amp;"; "&amp;IFERROR(INDEX(Clay_Offices!$A$2:$FZ$601,559,Sync!$C$9)&amp;"",""))</f>
        <v/>
      </c>
      <c r="K2810" t="inlineStr">
        <is>
          <t>office outreach touch 2</t>
        </is>
      </c>
    </row>
    <row r="2811">
      <c r="A2811" s="17">
        <f>IF(B2811="","",B2811+(13*1000+560)/10000000)</f>
        <v/>
      </c>
      <c r="B2811" s="23">
        <f>IF(AND(IFERROR(N(INDEX(Clay_Offices!$A$2:$FZ$601,560,Sync!$C$12)),0)&gt;0,IFERROR(INDEX(Clay_Offices!$A$2:$FZ$601,560,Sync!$C$5)&amp;"","")&lt;&gt;"",OR(LEFT(IFERROR(INDEX(Clay_Offices!$A$2:$FZ$601,560,Sync!$C$5)&amp;"",""),6)&lt;&gt;"SAMPLE",Config!$B$19="Y")),IFERROR(N(INDEX(Clay_Offices!$A$2:$FZ$601,560,Sync!$C$12)),0),"")</f>
        <v/>
      </c>
      <c r="C2811" s="17">
        <f>IF(B2811="","","office")</f>
        <v/>
      </c>
      <c r="D2811" s="17">
        <f>IF(B2811="","",IFERROR(INDEX(Clay_Offices!$A$2:$FZ$601,560,Sync!$C$5)&amp;"",""))</f>
        <v/>
      </c>
      <c r="E2811" s="17">
        <f>IF(B2811="","",IFERROR(INDEX(Clay_Offices!$A$2:$FZ$601,560,Sync!$C$6)&amp;"",""))</f>
        <v/>
      </c>
      <c r="F2811" s="17">
        <f>IF(B2811="","","outreach_sent")</f>
        <v/>
      </c>
      <c r="G2811" s="17">
        <f>IF(B2811="","","")</f>
        <v/>
      </c>
      <c r="H2811" s="17">
        <f>IF(B2811="","","")</f>
        <v/>
      </c>
      <c r="I2811" s="17">
        <f>IF(B2811="","","")</f>
        <v/>
      </c>
      <c r="J2811" s="17">
        <f>IF(B2811="","","touch_2; "&amp;IFERROR(INDEX(Clay_Offices!$A$2:$FZ$601,560,Sync!$C$10)&amp;"","")&amp;"; "&amp;IFERROR(INDEX(Clay_Offices!$A$2:$FZ$601,560,Sync!$C$9)&amp;"",""))</f>
        <v/>
      </c>
      <c r="K2811" t="inlineStr">
        <is>
          <t>office outreach touch 2</t>
        </is>
      </c>
    </row>
    <row r="2812">
      <c r="A2812" s="17">
        <f>IF(B2812="","",B2812+(13*1000+561)/10000000)</f>
        <v/>
      </c>
      <c r="B2812" s="23">
        <f>IF(AND(IFERROR(N(INDEX(Clay_Offices!$A$2:$FZ$601,561,Sync!$C$12)),0)&gt;0,IFERROR(INDEX(Clay_Offices!$A$2:$FZ$601,561,Sync!$C$5)&amp;"","")&lt;&gt;"",OR(LEFT(IFERROR(INDEX(Clay_Offices!$A$2:$FZ$601,561,Sync!$C$5)&amp;"",""),6)&lt;&gt;"SAMPLE",Config!$B$19="Y")),IFERROR(N(INDEX(Clay_Offices!$A$2:$FZ$601,561,Sync!$C$12)),0),"")</f>
        <v/>
      </c>
      <c r="C2812" s="17">
        <f>IF(B2812="","","office")</f>
        <v/>
      </c>
      <c r="D2812" s="17">
        <f>IF(B2812="","",IFERROR(INDEX(Clay_Offices!$A$2:$FZ$601,561,Sync!$C$5)&amp;"",""))</f>
        <v/>
      </c>
      <c r="E2812" s="17">
        <f>IF(B2812="","",IFERROR(INDEX(Clay_Offices!$A$2:$FZ$601,561,Sync!$C$6)&amp;"",""))</f>
        <v/>
      </c>
      <c r="F2812" s="17">
        <f>IF(B2812="","","outreach_sent")</f>
        <v/>
      </c>
      <c r="G2812" s="17">
        <f>IF(B2812="","","")</f>
        <v/>
      </c>
      <c r="H2812" s="17">
        <f>IF(B2812="","","")</f>
        <v/>
      </c>
      <c r="I2812" s="17">
        <f>IF(B2812="","","")</f>
        <v/>
      </c>
      <c r="J2812" s="17">
        <f>IF(B2812="","","touch_2; "&amp;IFERROR(INDEX(Clay_Offices!$A$2:$FZ$601,561,Sync!$C$10)&amp;"","")&amp;"; "&amp;IFERROR(INDEX(Clay_Offices!$A$2:$FZ$601,561,Sync!$C$9)&amp;"",""))</f>
        <v/>
      </c>
      <c r="K2812" t="inlineStr">
        <is>
          <t>office outreach touch 2</t>
        </is>
      </c>
    </row>
    <row r="2813">
      <c r="A2813" s="17">
        <f>IF(B2813="","",B2813+(13*1000+562)/10000000)</f>
        <v/>
      </c>
      <c r="B2813" s="23">
        <f>IF(AND(IFERROR(N(INDEX(Clay_Offices!$A$2:$FZ$601,562,Sync!$C$12)),0)&gt;0,IFERROR(INDEX(Clay_Offices!$A$2:$FZ$601,562,Sync!$C$5)&amp;"","")&lt;&gt;"",OR(LEFT(IFERROR(INDEX(Clay_Offices!$A$2:$FZ$601,562,Sync!$C$5)&amp;"",""),6)&lt;&gt;"SAMPLE",Config!$B$19="Y")),IFERROR(N(INDEX(Clay_Offices!$A$2:$FZ$601,562,Sync!$C$12)),0),"")</f>
        <v/>
      </c>
      <c r="C2813" s="17">
        <f>IF(B2813="","","office")</f>
        <v/>
      </c>
      <c r="D2813" s="17">
        <f>IF(B2813="","",IFERROR(INDEX(Clay_Offices!$A$2:$FZ$601,562,Sync!$C$5)&amp;"",""))</f>
        <v/>
      </c>
      <c r="E2813" s="17">
        <f>IF(B2813="","",IFERROR(INDEX(Clay_Offices!$A$2:$FZ$601,562,Sync!$C$6)&amp;"",""))</f>
        <v/>
      </c>
      <c r="F2813" s="17">
        <f>IF(B2813="","","outreach_sent")</f>
        <v/>
      </c>
      <c r="G2813" s="17">
        <f>IF(B2813="","","")</f>
        <v/>
      </c>
      <c r="H2813" s="17">
        <f>IF(B2813="","","")</f>
        <v/>
      </c>
      <c r="I2813" s="17">
        <f>IF(B2813="","","")</f>
        <v/>
      </c>
      <c r="J2813" s="17">
        <f>IF(B2813="","","touch_2; "&amp;IFERROR(INDEX(Clay_Offices!$A$2:$FZ$601,562,Sync!$C$10)&amp;"","")&amp;"; "&amp;IFERROR(INDEX(Clay_Offices!$A$2:$FZ$601,562,Sync!$C$9)&amp;"",""))</f>
        <v/>
      </c>
      <c r="K2813" t="inlineStr">
        <is>
          <t>office outreach touch 2</t>
        </is>
      </c>
    </row>
    <row r="2814">
      <c r="A2814" s="17">
        <f>IF(B2814="","",B2814+(13*1000+563)/10000000)</f>
        <v/>
      </c>
      <c r="B2814" s="23">
        <f>IF(AND(IFERROR(N(INDEX(Clay_Offices!$A$2:$FZ$601,563,Sync!$C$12)),0)&gt;0,IFERROR(INDEX(Clay_Offices!$A$2:$FZ$601,563,Sync!$C$5)&amp;"","")&lt;&gt;"",OR(LEFT(IFERROR(INDEX(Clay_Offices!$A$2:$FZ$601,563,Sync!$C$5)&amp;"",""),6)&lt;&gt;"SAMPLE",Config!$B$19="Y")),IFERROR(N(INDEX(Clay_Offices!$A$2:$FZ$601,563,Sync!$C$12)),0),"")</f>
        <v/>
      </c>
      <c r="C2814" s="17">
        <f>IF(B2814="","","office")</f>
        <v/>
      </c>
      <c r="D2814" s="17">
        <f>IF(B2814="","",IFERROR(INDEX(Clay_Offices!$A$2:$FZ$601,563,Sync!$C$5)&amp;"",""))</f>
        <v/>
      </c>
      <c r="E2814" s="17">
        <f>IF(B2814="","",IFERROR(INDEX(Clay_Offices!$A$2:$FZ$601,563,Sync!$C$6)&amp;"",""))</f>
        <v/>
      </c>
      <c r="F2814" s="17">
        <f>IF(B2814="","","outreach_sent")</f>
        <v/>
      </c>
      <c r="G2814" s="17">
        <f>IF(B2814="","","")</f>
        <v/>
      </c>
      <c r="H2814" s="17">
        <f>IF(B2814="","","")</f>
        <v/>
      </c>
      <c r="I2814" s="17">
        <f>IF(B2814="","","")</f>
        <v/>
      </c>
      <c r="J2814" s="17">
        <f>IF(B2814="","","touch_2; "&amp;IFERROR(INDEX(Clay_Offices!$A$2:$FZ$601,563,Sync!$C$10)&amp;"","")&amp;"; "&amp;IFERROR(INDEX(Clay_Offices!$A$2:$FZ$601,563,Sync!$C$9)&amp;"",""))</f>
        <v/>
      </c>
      <c r="K2814" t="inlineStr">
        <is>
          <t>office outreach touch 2</t>
        </is>
      </c>
    </row>
    <row r="2815">
      <c r="A2815" s="17">
        <f>IF(B2815="","",B2815+(13*1000+564)/10000000)</f>
        <v/>
      </c>
      <c r="B2815" s="23">
        <f>IF(AND(IFERROR(N(INDEX(Clay_Offices!$A$2:$FZ$601,564,Sync!$C$12)),0)&gt;0,IFERROR(INDEX(Clay_Offices!$A$2:$FZ$601,564,Sync!$C$5)&amp;"","")&lt;&gt;"",OR(LEFT(IFERROR(INDEX(Clay_Offices!$A$2:$FZ$601,564,Sync!$C$5)&amp;"",""),6)&lt;&gt;"SAMPLE",Config!$B$19="Y")),IFERROR(N(INDEX(Clay_Offices!$A$2:$FZ$601,564,Sync!$C$12)),0),"")</f>
        <v/>
      </c>
      <c r="C2815" s="17">
        <f>IF(B2815="","","office")</f>
        <v/>
      </c>
      <c r="D2815" s="17">
        <f>IF(B2815="","",IFERROR(INDEX(Clay_Offices!$A$2:$FZ$601,564,Sync!$C$5)&amp;"",""))</f>
        <v/>
      </c>
      <c r="E2815" s="17">
        <f>IF(B2815="","",IFERROR(INDEX(Clay_Offices!$A$2:$FZ$601,564,Sync!$C$6)&amp;"",""))</f>
        <v/>
      </c>
      <c r="F2815" s="17">
        <f>IF(B2815="","","outreach_sent")</f>
        <v/>
      </c>
      <c r="G2815" s="17">
        <f>IF(B2815="","","")</f>
        <v/>
      </c>
      <c r="H2815" s="17">
        <f>IF(B2815="","","")</f>
        <v/>
      </c>
      <c r="I2815" s="17">
        <f>IF(B2815="","","")</f>
        <v/>
      </c>
      <c r="J2815" s="17">
        <f>IF(B2815="","","touch_2; "&amp;IFERROR(INDEX(Clay_Offices!$A$2:$FZ$601,564,Sync!$C$10)&amp;"","")&amp;"; "&amp;IFERROR(INDEX(Clay_Offices!$A$2:$FZ$601,564,Sync!$C$9)&amp;"",""))</f>
        <v/>
      </c>
      <c r="K2815" t="inlineStr">
        <is>
          <t>office outreach touch 2</t>
        </is>
      </c>
    </row>
    <row r="2816">
      <c r="A2816" s="17">
        <f>IF(B2816="","",B2816+(13*1000+565)/10000000)</f>
        <v/>
      </c>
      <c r="B2816" s="23">
        <f>IF(AND(IFERROR(N(INDEX(Clay_Offices!$A$2:$FZ$601,565,Sync!$C$12)),0)&gt;0,IFERROR(INDEX(Clay_Offices!$A$2:$FZ$601,565,Sync!$C$5)&amp;"","")&lt;&gt;"",OR(LEFT(IFERROR(INDEX(Clay_Offices!$A$2:$FZ$601,565,Sync!$C$5)&amp;"",""),6)&lt;&gt;"SAMPLE",Config!$B$19="Y")),IFERROR(N(INDEX(Clay_Offices!$A$2:$FZ$601,565,Sync!$C$12)),0),"")</f>
        <v/>
      </c>
      <c r="C2816" s="17">
        <f>IF(B2816="","","office")</f>
        <v/>
      </c>
      <c r="D2816" s="17">
        <f>IF(B2816="","",IFERROR(INDEX(Clay_Offices!$A$2:$FZ$601,565,Sync!$C$5)&amp;"",""))</f>
        <v/>
      </c>
      <c r="E2816" s="17">
        <f>IF(B2816="","",IFERROR(INDEX(Clay_Offices!$A$2:$FZ$601,565,Sync!$C$6)&amp;"",""))</f>
        <v/>
      </c>
      <c r="F2816" s="17">
        <f>IF(B2816="","","outreach_sent")</f>
        <v/>
      </c>
      <c r="G2816" s="17">
        <f>IF(B2816="","","")</f>
        <v/>
      </c>
      <c r="H2816" s="17">
        <f>IF(B2816="","","")</f>
        <v/>
      </c>
      <c r="I2816" s="17">
        <f>IF(B2816="","","")</f>
        <v/>
      </c>
      <c r="J2816" s="17">
        <f>IF(B2816="","","touch_2; "&amp;IFERROR(INDEX(Clay_Offices!$A$2:$FZ$601,565,Sync!$C$10)&amp;"","")&amp;"; "&amp;IFERROR(INDEX(Clay_Offices!$A$2:$FZ$601,565,Sync!$C$9)&amp;"",""))</f>
        <v/>
      </c>
      <c r="K2816" t="inlineStr">
        <is>
          <t>office outreach touch 2</t>
        </is>
      </c>
    </row>
    <row r="2817">
      <c r="A2817" s="17">
        <f>IF(B2817="","",B2817+(13*1000+566)/10000000)</f>
        <v/>
      </c>
      <c r="B2817" s="23">
        <f>IF(AND(IFERROR(N(INDEX(Clay_Offices!$A$2:$FZ$601,566,Sync!$C$12)),0)&gt;0,IFERROR(INDEX(Clay_Offices!$A$2:$FZ$601,566,Sync!$C$5)&amp;"","")&lt;&gt;"",OR(LEFT(IFERROR(INDEX(Clay_Offices!$A$2:$FZ$601,566,Sync!$C$5)&amp;"",""),6)&lt;&gt;"SAMPLE",Config!$B$19="Y")),IFERROR(N(INDEX(Clay_Offices!$A$2:$FZ$601,566,Sync!$C$12)),0),"")</f>
        <v/>
      </c>
      <c r="C2817" s="17">
        <f>IF(B2817="","","office")</f>
        <v/>
      </c>
      <c r="D2817" s="17">
        <f>IF(B2817="","",IFERROR(INDEX(Clay_Offices!$A$2:$FZ$601,566,Sync!$C$5)&amp;"",""))</f>
        <v/>
      </c>
      <c r="E2817" s="17">
        <f>IF(B2817="","",IFERROR(INDEX(Clay_Offices!$A$2:$FZ$601,566,Sync!$C$6)&amp;"",""))</f>
        <v/>
      </c>
      <c r="F2817" s="17">
        <f>IF(B2817="","","outreach_sent")</f>
        <v/>
      </c>
      <c r="G2817" s="17">
        <f>IF(B2817="","","")</f>
        <v/>
      </c>
      <c r="H2817" s="17">
        <f>IF(B2817="","","")</f>
        <v/>
      </c>
      <c r="I2817" s="17">
        <f>IF(B2817="","","")</f>
        <v/>
      </c>
      <c r="J2817" s="17">
        <f>IF(B2817="","","touch_2; "&amp;IFERROR(INDEX(Clay_Offices!$A$2:$FZ$601,566,Sync!$C$10)&amp;"","")&amp;"; "&amp;IFERROR(INDEX(Clay_Offices!$A$2:$FZ$601,566,Sync!$C$9)&amp;"",""))</f>
        <v/>
      </c>
      <c r="K2817" t="inlineStr">
        <is>
          <t>office outreach touch 2</t>
        </is>
      </c>
    </row>
    <row r="2818">
      <c r="A2818" s="17">
        <f>IF(B2818="","",B2818+(13*1000+567)/10000000)</f>
        <v/>
      </c>
      <c r="B2818" s="23">
        <f>IF(AND(IFERROR(N(INDEX(Clay_Offices!$A$2:$FZ$601,567,Sync!$C$12)),0)&gt;0,IFERROR(INDEX(Clay_Offices!$A$2:$FZ$601,567,Sync!$C$5)&amp;"","")&lt;&gt;"",OR(LEFT(IFERROR(INDEX(Clay_Offices!$A$2:$FZ$601,567,Sync!$C$5)&amp;"",""),6)&lt;&gt;"SAMPLE",Config!$B$19="Y")),IFERROR(N(INDEX(Clay_Offices!$A$2:$FZ$601,567,Sync!$C$12)),0),"")</f>
        <v/>
      </c>
      <c r="C2818" s="17">
        <f>IF(B2818="","","office")</f>
        <v/>
      </c>
      <c r="D2818" s="17">
        <f>IF(B2818="","",IFERROR(INDEX(Clay_Offices!$A$2:$FZ$601,567,Sync!$C$5)&amp;"",""))</f>
        <v/>
      </c>
      <c r="E2818" s="17">
        <f>IF(B2818="","",IFERROR(INDEX(Clay_Offices!$A$2:$FZ$601,567,Sync!$C$6)&amp;"",""))</f>
        <v/>
      </c>
      <c r="F2818" s="17">
        <f>IF(B2818="","","outreach_sent")</f>
        <v/>
      </c>
      <c r="G2818" s="17">
        <f>IF(B2818="","","")</f>
        <v/>
      </c>
      <c r="H2818" s="17">
        <f>IF(B2818="","","")</f>
        <v/>
      </c>
      <c r="I2818" s="17">
        <f>IF(B2818="","","")</f>
        <v/>
      </c>
      <c r="J2818" s="17">
        <f>IF(B2818="","","touch_2; "&amp;IFERROR(INDEX(Clay_Offices!$A$2:$FZ$601,567,Sync!$C$10)&amp;"","")&amp;"; "&amp;IFERROR(INDEX(Clay_Offices!$A$2:$FZ$601,567,Sync!$C$9)&amp;"",""))</f>
        <v/>
      </c>
      <c r="K2818" t="inlineStr">
        <is>
          <t>office outreach touch 2</t>
        </is>
      </c>
    </row>
    <row r="2819">
      <c r="A2819" s="17">
        <f>IF(B2819="","",B2819+(13*1000+568)/10000000)</f>
        <v/>
      </c>
      <c r="B2819" s="23">
        <f>IF(AND(IFERROR(N(INDEX(Clay_Offices!$A$2:$FZ$601,568,Sync!$C$12)),0)&gt;0,IFERROR(INDEX(Clay_Offices!$A$2:$FZ$601,568,Sync!$C$5)&amp;"","")&lt;&gt;"",OR(LEFT(IFERROR(INDEX(Clay_Offices!$A$2:$FZ$601,568,Sync!$C$5)&amp;"",""),6)&lt;&gt;"SAMPLE",Config!$B$19="Y")),IFERROR(N(INDEX(Clay_Offices!$A$2:$FZ$601,568,Sync!$C$12)),0),"")</f>
        <v/>
      </c>
      <c r="C2819" s="17">
        <f>IF(B2819="","","office")</f>
        <v/>
      </c>
      <c r="D2819" s="17">
        <f>IF(B2819="","",IFERROR(INDEX(Clay_Offices!$A$2:$FZ$601,568,Sync!$C$5)&amp;"",""))</f>
        <v/>
      </c>
      <c r="E2819" s="17">
        <f>IF(B2819="","",IFERROR(INDEX(Clay_Offices!$A$2:$FZ$601,568,Sync!$C$6)&amp;"",""))</f>
        <v/>
      </c>
      <c r="F2819" s="17">
        <f>IF(B2819="","","outreach_sent")</f>
        <v/>
      </c>
      <c r="G2819" s="17">
        <f>IF(B2819="","","")</f>
        <v/>
      </c>
      <c r="H2819" s="17">
        <f>IF(B2819="","","")</f>
        <v/>
      </c>
      <c r="I2819" s="17">
        <f>IF(B2819="","","")</f>
        <v/>
      </c>
      <c r="J2819" s="17">
        <f>IF(B2819="","","touch_2; "&amp;IFERROR(INDEX(Clay_Offices!$A$2:$FZ$601,568,Sync!$C$10)&amp;"","")&amp;"; "&amp;IFERROR(INDEX(Clay_Offices!$A$2:$FZ$601,568,Sync!$C$9)&amp;"",""))</f>
        <v/>
      </c>
      <c r="K2819" t="inlineStr">
        <is>
          <t>office outreach touch 2</t>
        </is>
      </c>
    </row>
    <row r="2820">
      <c r="A2820" s="17">
        <f>IF(B2820="","",B2820+(13*1000+569)/10000000)</f>
        <v/>
      </c>
      <c r="B2820" s="23">
        <f>IF(AND(IFERROR(N(INDEX(Clay_Offices!$A$2:$FZ$601,569,Sync!$C$12)),0)&gt;0,IFERROR(INDEX(Clay_Offices!$A$2:$FZ$601,569,Sync!$C$5)&amp;"","")&lt;&gt;"",OR(LEFT(IFERROR(INDEX(Clay_Offices!$A$2:$FZ$601,569,Sync!$C$5)&amp;"",""),6)&lt;&gt;"SAMPLE",Config!$B$19="Y")),IFERROR(N(INDEX(Clay_Offices!$A$2:$FZ$601,569,Sync!$C$12)),0),"")</f>
        <v/>
      </c>
      <c r="C2820" s="17">
        <f>IF(B2820="","","office")</f>
        <v/>
      </c>
      <c r="D2820" s="17">
        <f>IF(B2820="","",IFERROR(INDEX(Clay_Offices!$A$2:$FZ$601,569,Sync!$C$5)&amp;"",""))</f>
        <v/>
      </c>
      <c r="E2820" s="17">
        <f>IF(B2820="","",IFERROR(INDEX(Clay_Offices!$A$2:$FZ$601,569,Sync!$C$6)&amp;"",""))</f>
        <v/>
      </c>
      <c r="F2820" s="17">
        <f>IF(B2820="","","outreach_sent")</f>
        <v/>
      </c>
      <c r="G2820" s="17">
        <f>IF(B2820="","","")</f>
        <v/>
      </c>
      <c r="H2820" s="17">
        <f>IF(B2820="","","")</f>
        <v/>
      </c>
      <c r="I2820" s="17">
        <f>IF(B2820="","","")</f>
        <v/>
      </c>
      <c r="J2820" s="17">
        <f>IF(B2820="","","touch_2; "&amp;IFERROR(INDEX(Clay_Offices!$A$2:$FZ$601,569,Sync!$C$10)&amp;"","")&amp;"; "&amp;IFERROR(INDEX(Clay_Offices!$A$2:$FZ$601,569,Sync!$C$9)&amp;"",""))</f>
        <v/>
      </c>
      <c r="K2820" t="inlineStr">
        <is>
          <t>office outreach touch 2</t>
        </is>
      </c>
    </row>
    <row r="2821">
      <c r="A2821" s="17">
        <f>IF(B2821="","",B2821+(13*1000+570)/10000000)</f>
        <v/>
      </c>
      <c r="B2821" s="23">
        <f>IF(AND(IFERROR(N(INDEX(Clay_Offices!$A$2:$FZ$601,570,Sync!$C$12)),0)&gt;0,IFERROR(INDEX(Clay_Offices!$A$2:$FZ$601,570,Sync!$C$5)&amp;"","")&lt;&gt;"",OR(LEFT(IFERROR(INDEX(Clay_Offices!$A$2:$FZ$601,570,Sync!$C$5)&amp;"",""),6)&lt;&gt;"SAMPLE",Config!$B$19="Y")),IFERROR(N(INDEX(Clay_Offices!$A$2:$FZ$601,570,Sync!$C$12)),0),"")</f>
        <v/>
      </c>
      <c r="C2821" s="17">
        <f>IF(B2821="","","office")</f>
        <v/>
      </c>
      <c r="D2821" s="17">
        <f>IF(B2821="","",IFERROR(INDEX(Clay_Offices!$A$2:$FZ$601,570,Sync!$C$5)&amp;"",""))</f>
        <v/>
      </c>
      <c r="E2821" s="17">
        <f>IF(B2821="","",IFERROR(INDEX(Clay_Offices!$A$2:$FZ$601,570,Sync!$C$6)&amp;"",""))</f>
        <v/>
      </c>
      <c r="F2821" s="17">
        <f>IF(B2821="","","outreach_sent")</f>
        <v/>
      </c>
      <c r="G2821" s="17">
        <f>IF(B2821="","","")</f>
        <v/>
      </c>
      <c r="H2821" s="17">
        <f>IF(B2821="","","")</f>
        <v/>
      </c>
      <c r="I2821" s="17">
        <f>IF(B2821="","","")</f>
        <v/>
      </c>
      <c r="J2821" s="17">
        <f>IF(B2821="","","touch_2; "&amp;IFERROR(INDEX(Clay_Offices!$A$2:$FZ$601,570,Sync!$C$10)&amp;"","")&amp;"; "&amp;IFERROR(INDEX(Clay_Offices!$A$2:$FZ$601,570,Sync!$C$9)&amp;"",""))</f>
        <v/>
      </c>
      <c r="K2821" t="inlineStr">
        <is>
          <t>office outreach touch 2</t>
        </is>
      </c>
    </row>
    <row r="2822">
      <c r="A2822" s="17">
        <f>IF(B2822="","",B2822+(13*1000+571)/10000000)</f>
        <v/>
      </c>
      <c r="B2822" s="23">
        <f>IF(AND(IFERROR(N(INDEX(Clay_Offices!$A$2:$FZ$601,571,Sync!$C$12)),0)&gt;0,IFERROR(INDEX(Clay_Offices!$A$2:$FZ$601,571,Sync!$C$5)&amp;"","")&lt;&gt;"",OR(LEFT(IFERROR(INDEX(Clay_Offices!$A$2:$FZ$601,571,Sync!$C$5)&amp;"",""),6)&lt;&gt;"SAMPLE",Config!$B$19="Y")),IFERROR(N(INDEX(Clay_Offices!$A$2:$FZ$601,571,Sync!$C$12)),0),"")</f>
        <v/>
      </c>
      <c r="C2822" s="17">
        <f>IF(B2822="","","office")</f>
        <v/>
      </c>
      <c r="D2822" s="17">
        <f>IF(B2822="","",IFERROR(INDEX(Clay_Offices!$A$2:$FZ$601,571,Sync!$C$5)&amp;"",""))</f>
        <v/>
      </c>
      <c r="E2822" s="17">
        <f>IF(B2822="","",IFERROR(INDEX(Clay_Offices!$A$2:$FZ$601,571,Sync!$C$6)&amp;"",""))</f>
        <v/>
      </c>
      <c r="F2822" s="17">
        <f>IF(B2822="","","outreach_sent")</f>
        <v/>
      </c>
      <c r="G2822" s="17">
        <f>IF(B2822="","","")</f>
        <v/>
      </c>
      <c r="H2822" s="17">
        <f>IF(B2822="","","")</f>
        <v/>
      </c>
      <c r="I2822" s="17">
        <f>IF(B2822="","","")</f>
        <v/>
      </c>
      <c r="J2822" s="17">
        <f>IF(B2822="","","touch_2; "&amp;IFERROR(INDEX(Clay_Offices!$A$2:$FZ$601,571,Sync!$C$10)&amp;"","")&amp;"; "&amp;IFERROR(INDEX(Clay_Offices!$A$2:$FZ$601,571,Sync!$C$9)&amp;"",""))</f>
        <v/>
      </c>
      <c r="K2822" t="inlineStr">
        <is>
          <t>office outreach touch 2</t>
        </is>
      </c>
    </row>
    <row r="2823">
      <c r="A2823" s="17">
        <f>IF(B2823="","",B2823+(13*1000+572)/10000000)</f>
        <v/>
      </c>
      <c r="B2823" s="23">
        <f>IF(AND(IFERROR(N(INDEX(Clay_Offices!$A$2:$FZ$601,572,Sync!$C$12)),0)&gt;0,IFERROR(INDEX(Clay_Offices!$A$2:$FZ$601,572,Sync!$C$5)&amp;"","")&lt;&gt;"",OR(LEFT(IFERROR(INDEX(Clay_Offices!$A$2:$FZ$601,572,Sync!$C$5)&amp;"",""),6)&lt;&gt;"SAMPLE",Config!$B$19="Y")),IFERROR(N(INDEX(Clay_Offices!$A$2:$FZ$601,572,Sync!$C$12)),0),"")</f>
        <v/>
      </c>
      <c r="C2823" s="17">
        <f>IF(B2823="","","office")</f>
        <v/>
      </c>
      <c r="D2823" s="17">
        <f>IF(B2823="","",IFERROR(INDEX(Clay_Offices!$A$2:$FZ$601,572,Sync!$C$5)&amp;"",""))</f>
        <v/>
      </c>
      <c r="E2823" s="17">
        <f>IF(B2823="","",IFERROR(INDEX(Clay_Offices!$A$2:$FZ$601,572,Sync!$C$6)&amp;"",""))</f>
        <v/>
      </c>
      <c r="F2823" s="17">
        <f>IF(B2823="","","outreach_sent")</f>
        <v/>
      </c>
      <c r="G2823" s="17">
        <f>IF(B2823="","","")</f>
        <v/>
      </c>
      <c r="H2823" s="17">
        <f>IF(B2823="","","")</f>
        <v/>
      </c>
      <c r="I2823" s="17">
        <f>IF(B2823="","","")</f>
        <v/>
      </c>
      <c r="J2823" s="17">
        <f>IF(B2823="","","touch_2; "&amp;IFERROR(INDEX(Clay_Offices!$A$2:$FZ$601,572,Sync!$C$10)&amp;"","")&amp;"; "&amp;IFERROR(INDEX(Clay_Offices!$A$2:$FZ$601,572,Sync!$C$9)&amp;"",""))</f>
        <v/>
      </c>
      <c r="K2823" t="inlineStr">
        <is>
          <t>office outreach touch 2</t>
        </is>
      </c>
    </row>
    <row r="2824">
      <c r="A2824" s="17">
        <f>IF(B2824="","",B2824+(13*1000+573)/10000000)</f>
        <v/>
      </c>
      <c r="B2824" s="23">
        <f>IF(AND(IFERROR(N(INDEX(Clay_Offices!$A$2:$FZ$601,573,Sync!$C$12)),0)&gt;0,IFERROR(INDEX(Clay_Offices!$A$2:$FZ$601,573,Sync!$C$5)&amp;"","")&lt;&gt;"",OR(LEFT(IFERROR(INDEX(Clay_Offices!$A$2:$FZ$601,573,Sync!$C$5)&amp;"",""),6)&lt;&gt;"SAMPLE",Config!$B$19="Y")),IFERROR(N(INDEX(Clay_Offices!$A$2:$FZ$601,573,Sync!$C$12)),0),"")</f>
        <v/>
      </c>
      <c r="C2824" s="17">
        <f>IF(B2824="","","office")</f>
        <v/>
      </c>
      <c r="D2824" s="17">
        <f>IF(B2824="","",IFERROR(INDEX(Clay_Offices!$A$2:$FZ$601,573,Sync!$C$5)&amp;"",""))</f>
        <v/>
      </c>
      <c r="E2824" s="17">
        <f>IF(B2824="","",IFERROR(INDEX(Clay_Offices!$A$2:$FZ$601,573,Sync!$C$6)&amp;"",""))</f>
        <v/>
      </c>
      <c r="F2824" s="17">
        <f>IF(B2824="","","outreach_sent")</f>
        <v/>
      </c>
      <c r="G2824" s="17">
        <f>IF(B2824="","","")</f>
        <v/>
      </c>
      <c r="H2824" s="17">
        <f>IF(B2824="","","")</f>
        <v/>
      </c>
      <c r="I2824" s="17">
        <f>IF(B2824="","","")</f>
        <v/>
      </c>
      <c r="J2824" s="17">
        <f>IF(B2824="","","touch_2; "&amp;IFERROR(INDEX(Clay_Offices!$A$2:$FZ$601,573,Sync!$C$10)&amp;"","")&amp;"; "&amp;IFERROR(INDEX(Clay_Offices!$A$2:$FZ$601,573,Sync!$C$9)&amp;"",""))</f>
        <v/>
      </c>
      <c r="K2824" t="inlineStr">
        <is>
          <t>office outreach touch 2</t>
        </is>
      </c>
    </row>
    <row r="2825">
      <c r="A2825" s="17">
        <f>IF(B2825="","",B2825+(13*1000+574)/10000000)</f>
        <v/>
      </c>
      <c r="B2825" s="23">
        <f>IF(AND(IFERROR(N(INDEX(Clay_Offices!$A$2:$FZ$601,574,Sync!$C$12)),0)&gt;0,IFERROR(INDEX(Clay_Offices!$A$2:$FZ$601,574,Sync!$C$5)&amp;"","")&lt;&gt;"",OR(LEFT(IFERROR(INDEX(Clay_Offices!$A$2:$FZ$601,574,Sync!$C$5)&amp;"",""),6)&lt;&gt;"SAMPLE",Config!$B$19="Y")),IFERROR(N(INDEX(Clay_Offices!$A$2:$FZ$601,574,Sync!$C$12)),0),"")</f>
        <v/>
      </c>
      <c r="C2825" s="17">
        <f>IF(B2825="","","office")</f>
        <v/>
      </c>
      <c r="D2825" s="17">
        <f>IF(B2825="","",IFERROR(INDEX(Clay_Offices!$A$2:$FZ$601,574,Sync!$C$5)&amp;"",""))</f>
        <v/>
      </c>
      <c r="E2825" s="17">
        <f>IF(B2825="","",IFERROR(INDEX(Clay_Offices!$A$2:$FZ$601,574,Sync!$C$6)&amp;"",""))</f>
        <v/>
      </c>
      <c r="F2825" s="17">
        <f>IF(B2825="","","outreach_sent")</f>
        <v/>
      </c>
      <c r="G2825" s="17">
        <f>IF(B2825="","","")</f>
        <v/>
      </c>
      <c r="H2825" s="17">
        <f>IF(B2825="","","")</f>
        <v/>
      </c>
      <c r="I2825" s="17">
        <f>IF(B2825="","","")</f>
        <v/>
      </c>
      <c r="J2825" s="17">
        <f>IF(B2825="","","touch_2; "&amp;IFERROR(INDEX(Clay_Offices!$A$2:$FZ$601,574,Sync!$C$10)&amp;"","")&amp;"; "&amp;IFERROR(INDEX(Clay_Offices!$A$2:$FZ$601,574,Sync!$C$9)&amp;"",""))</f>
        <v/>
      </c>
      <c r="K2825" t="inlineStr">
        <is>
          <t>office outreach touch 2</t>
        </is>
      </c>
    </row>
    <row r="2826">
      <c r="A2826" s="17">
        <f>IF(B2826="","",B2826+(13*1000+575)/10000000)</f>
        <v/>
      </c>
      <c r="B2826" s="23">
        <f>IF(AND(IFERROR(N(INDEX(Clay_Offices!$A$2:$FZ$601,575,Sync!$C$12)),0)&gt;0,IFERROR(INDEX(Clay_Offices!$A$2:$FZ$601,575,Sync!$C$5)&amp;"","")&lt;&gt;"",OR(LEFT(IFERROR(INDEX(Clay_Offices!$A$2:$FZ$601,575,Sync!$C$5)&amp;"",""),6)&lt;&gt;"SAMPLE",Config!$B$19="Y")),IFERROR(N(INDEX(Clay_Offices!$A$2:$FZ$601,575,Sync!$C$12)),0),"")</f>
        <v/>
      </c>
      <c r="C2826" s="17">
        <f>IF(B2826="","","office")</f>
        <v/>
      </c>
      <c r="D2826" s="17">
        <f>IF(B2826="","",IFERROR(INDEX(Clay_Offices!$A$2:$FZ$601,575,Sync!$C$5)&amp;"",""))</f>
        <v/>
      </c>
      <c r="E2826" s="17">
        <f>IF(B2826="","",IFERROR(INDEX(Clay_Offices!$A$2:$FZ$601,575,Sync!$C$6)&amp;"",""))</f>
        <v/>
      </c>
      <c r="F2826" s="17">
        <f>IF(B2826="","","outreach_sent")</f>
        <v/>
      </c>
      <c r="G2826" s="17">
        <f>IF(B2826="","","")</f>
        <v/>
      </c>
      <c r="H2826" s="17">
        <f>IF(B2826="","","")</f>
        <v/>
      </c>
      <c r="I2826" s="17">
        <f>IF(B2826="","","")</f>
        <v/>
      </c>
      <c r="J2826" s="17">
        <f>IF(B2826="","","touch_2; "&amp;IFERROR(INDEX(Clay_Offices!$A$2:$FZ$601,575,Sync!$C$10)&amp;"","")&amp;"; "&amp;IFERROR(INDEX(Clay_Offices!$A$2:$FZ$601,575,Sync!$C$9)&amp;"",""))</f>
        <v/>
      </c>
      <c r="K2826" t="inlineStr">
        <is>
          <t>office outreach touch 2</t>
        </is>
      </c>
    </row>
    <row r="2827">
      <c r="A2827" s="17">
        <f>IF(B2827="","",B2827+(13*1000+576)/10000000)</f>
        <v/>
      </c>
      <c r="B2827" s="23">
        <f>IF(AND(IFERROR(N(INDEX(Clay_Offices!$A$2:$FZ$601,576,Sync!$C$12)),0)&gt;0,IFERROR(INDEX(Clay_Offices!$A$2:$FZ$601,576,Sync!$C$5)&amp;"","")&lt;&gt;"",OR(LEFT(IFERROR(INDEX(Clay_Offices!$A$2:$FZ$601,576,Sync!$C$5)&amp;"",""),6)&lt;&gt;"SAMPLE",Config!$B$19="Y")),IFERROR(N(INDEX(Clay_Offices!$A$2:$FZ$601,576,Sync!$C$12)),0),"")</f>
        <v/>
      </c>
      <c r="C2827" s="17">
        <f>IF(B2827="","","office")</f>
        <v/>
      </c>
      <c r="D2827" s="17">
        <f>IF(B2827="","",IFERROR(INDEX(Clay_Offices!$A$2:$FZ$601,576,Sync!$C$5)&amp;"",""))</f>
        <v/>
      </c>
      <c r="E2827" s="17">
        <f>IF(B2827="","",IFERROR(INDEX(Clay_Offices!$A$2:$FZ$601,576,Sync!$C$6)&amp;"",""))</f>
        <v/>
      </c>
      <c r="F2827" s="17">
        <f>IF(B2827="","","outreach_sent")</f>
        <v/>
      </c>
      <c r="G2827" s="17">
        <f>IF(B2827="","","")</f>
        <v/>
      </c>
      <c r="H2827" s="17">
        <f>IF(B2827="","","")</f>
        <v/>
      </c>
      <c r="I2827" s="17">
        <f>IF(B2827="","","")</f>
        <v/>
      </c>
      <c r="J2827" s="17">
        <f>IF(B2827="","","touch_2; "&amp;IFERROR(INDEX(Clay_Offices!$A$2:$FZ$601,576,Sync!$C$10)&amp;"","")&amp;"; "&amp;IFERROR(INDEX(Clay_Offices!$A$2:$FZ$601,576,Sync!$C$9)&amp;"",""))</f>
        <v/>
      </c>
      <c r="K2827" t="inlineStr">
        <is>
          <t>office outreach touch 2</t>
        </is>
      </c>
    </row>
    <row r="2828">
      <c r="A2828" s="17">
        <f>IF(B2828="","",B2828+(13*1000+577)/10000000)</f>
        <v/>
      </c>
      <c r="B2828" s="23">
        <f>IF(AND(IFERROR(N(INDEX(Clay_Offices!$A$2:$FZ$601,577,Sync!$C$12)),0)&gt;0,IFERROR(INDEX(Clay_Offices!$A$2:$FZ$601,577,Sync!$C$5)&amp;"","")&lt;&gt;"",OR(LEFT(IFERROR(INDEX(Clay_Offices!$A$2:$FZ$601,577,Sync!$C$5)&amp;"",""),6)&lt;&gt;"SAMPLE",Config!$B$19="Y")),IFERROR(N(INDEX(Clay_Offices!$A$2:$FZ$601,577,Sync!$C$12)),0),"")</f>
        <v/>
      </c>
      <c r="C2828" s="17">
        <f>IF(B2828="","","office")</f>
        <v/>
      </c>
      <c r="D2828" s="17">
        <f>IF(B2828="","",IFERROR(INDEX(Clay_Offices!$A$2:$FZ$601,577,Sync!$C$5)&amp;"",""))</f>
        <v/>
      </c>
      <c r="E2828" s="17">
        <f>IF(B2828="","",IFERROR(INDEX(Clay_Offices!$A$2:$FZ$601,577,Sync!$C$6)&amp;"",""))</f>
        <v/>
      </c>
      <c r="F2828" s="17">
        <f>IF(B2828="","","outreach_sent")</f>
        <v/>
      </c>
      <c r="G2828" s="17">
        <f>IF(B2828="","","")</f>
        <v/>
      </c>
      <c r="H2828" s="17">
        <f>IF(B2828="","","")</f>
        <v/>
      </c>
      <c r="I2828" s="17">
        <f>IF(B2828="","","")</f>
        <v/>
      </c>
      <c r="J2828" s="17">
        <f>IF(B2828="","","touch_2; "&amp;IFERROR(INDEX(Clay_Offices!$A$2:$FZ$601,577,Sync!$C$10)&amp;"","")&amp;"; "&amp;IFERROR(INDEX(Clay_Offices!$A$2:$FZ$601,577,Sync!$C$9)&amp;"",""))</f>
        <v/>
      </c>
      <c r="K2828" t="inlineStr">
        <is>
          <t>office outreach touch 2</t>
        </is>
      </c>
    </row>
    <row r="2829">
      <c r="A2829" s="17">
        <f>IF(B2829="","",B2829+(13*1000+578)/10000000)</f>
        <v/>
      </c>
      <c r="B2829" s="23">
        <f>IF(AND(IFERROR(N(INDEX(Clay_Offices!$A$2:$FZ$601,578,Sync!$C$12)),0)&gt;0,IFERROR(INDEX(Clay_Offices!$A$2:$FZ$601,578,Sync!$C$5)&amp;"","")&lt;&gt;"",OR(LEFT(IFERROR(INDEX(Clay_Offices!$A$2:$FZ$601,578,Sync!$C$5)&amp;"",""),6)&lt;&gt;"SAMPLE",Config!$B$19="Y")),IFERROR(N(INDEX(Clay_Offices!$A$2:$FZ$601,578,Sync!$C$12)),0),"")</f>
        <v/>
      </c>
      <c r="C2829" s="17">
        <f>IF(B2829="","","office")</f>
        <v/>
      </c>
      <c r="D2829" s="17">
        <f>IF(B2829="","",IFERROR(INDEX(Clay_Offices!$A$2:$FZ$601,578,Sync!$C$5)&amp;"",""))</f>
        <v/>
      </c>
      <c r="E2829" s="17">
        <f>IF(B2829="","",IFERROR(INDEX(Clay_Offices!$A$2:$FZ$601,578,Sync!$C$6)&amp;"",""))</f>
        <v/>
      </c>
      <c r="F2829" s="17">
        <f>IF(B2829="","","outreach_sent")</f>
        <v/>
      </c>
      <c r="G2829" s="17">
        <f>IF(B2829="","","")</f>
        <v/>
      </c>
      <c r="H2829" s="17">
        <f>IF(B2829="","","")</f>
        <v/>
      </c>
      <c r="I2829" s="17">
        <f>IF(B2829="","","")</f>
        <v/>
      </c>
      <c r="J2829" s="17">
        <f>IF(B2829="","","touch_2; "&amp;IFERROR(INDEX(Clay_Offices!$A$2:$FZ$601,578,Sync!$C$10)&amp;"","")&amp;"; "&amp;IFERROR(INDEX(Clay_Offices!$A$2:$FZ$601,578,Sync!$C$9)&amp;"",""))</f>
        <v/>
      </c>
      <c r="K2829" t="inlineStr">
        <is>
          <t>office outreach touch 2</t>
        </is>
      </c>
    </row>
    <row r="2830">
      <c r="A2830" s="17">
        <f>IF(B2830="","",B2830+(13*1000+579)/10000000)</f>
        <v/>
      </c>
      <c r="B2830" s="23">
        <f>IF(AND(IFERROR(N(INDEX(Clay_Offices!$A$2:$FZ$601,579,Sync!$C$12)),0)&gt;0,IFERROR(INDEX(Clay_Offices!$A$2:$FZ$601,579,Sync!$C$5)&amp;"","")&lt;&gt;"",OR(LEFT(IFERROR(INDEX(Clay_Offices!$A$2:$FZ$601,579,Sync!$C$5)&amp;"",""),6)&lt;&gt;"SAMPLE",Config!$B$19="Y")),IFERROR(N(INDEX(Clay_Offices!$A$2:$FZ$601,579,Sync!$C$12)),0),"")</f>
        <v/>
      </c>
      <c r="C2830" s="17">
        <f>IF(B2830="","","office")</f>
        <v/>
      </c>
      <c r="D2830" s="17">
        <f>IF(B2830="","",IFERROR(INDEX(Clay_Offices!$A$2:$FZ$601,579,Sync!$C$5)&amp;"",""))</f>
        <v/>
      </c>
      <c r="E2830" s="17">
        <f>IF(B2830="","",IFERROR(INDEX(Clay_Offices!$A$2:$FZ$601,579,Sync!$C$6)&amp;"",""))</f>
        <v/>
      </c>
      <c r="F2830" s="17">
        <f>IF(B2830="","","outreach_sent")</f>
        <v/>
      </c>
      <c r="G2830" s="17">
        <f>IF(B2830="","","")</f>
        <v/>
      </c>
      <c r="H2830" s="17">
        <f>IF(B2830="","","")</f>
        <v/>
      </c>
      <c r="I2830" s="17">
        <f>IF(B2830="","","")</f>
        <v/>
      </c>
      <c r="J2830" s="17">
        <f>IF(B2830="","","touch_2; "&amp;IFERROR(INDEX(Clay_Offices!$A$2:$FZ$601,579,Sync!$C$10)&amp;"","")&amp;"; "&amp;IFERROR(INDEX(Clay_Offices!$A$2:$FZ$601,579,Sync!$C$9)&amp;"",""))</f>
        <v/>
      </c>
      <c r="K2830" t="inlineStr">
        <is>
          <t>office outreach touch 2</t>
        </is>
      </c>
    </row>
    <row r="2831">
      <c r="A2831" s="17">
        <f>IF(B2831="","",B2831+(13*1000+580)/10000000)</f>
        <v/>
      </c>
      <c r="B2831" s="23">
        <f>IF(AND(IFERROR(N(INDEX(Clay_Offices!$A$2:$FZ$601,580,Sync!$C$12)),0)&gt;0,IFERROR(INDEX(Clay_Offices!$A$2:$FZ$601,580,Sync!$C$5)&amp;"","")&lt;&gt;"",OR(LEFT(IFERROR(INDEX(Clay_Offices!$A$2:$FZ$601,580,Sync!$C$5)&amp;"",""),6)&lt;&gt;"SAMPLE",Config!$B$19="Y")),IFERROR(N(INDEX(Clay_Offices!$A$2:$FZ$601,580,Sync!$C$12)),0),"")</f>
        <v/>
      </c>
      <c r="C2831" s="17">
        <f>IF(B2831="","","office")</f>
        <v/>
      </c>
      <c r="D2831" s="17">
        <f>IF(B2831="","",IFERROR(INDEX(Clay_Offices!$A$2:$FZ$601,580,Sync!$C$5)&amp;"",""))</f>
        <v/>
      </c>
      <c r="E2831" s="17">
        <f>IF(B2831="","",IFERROR(INDEX(Clay_Offices!$A$2:$FZ$601,580,Sync!$C$6)&amp;"",""))</f>
        <v/>
      </c>
      <c r="F2831" s="17">
        <f>IF(B2831="","","outreach_sent")</f>
        <v/>
      </c>
      <c r="G2831" s="17">
        <f>IF(B2831="","","")</f>
        <v/>
      </c>
      <c r="H2831" s="17">
        <f>IF(B2831="","","")</f>
        <v/>
      </c>
      <c r="I2831" s="17">
        <f>IF(B2831="","","")</f>
        <v/>
      </c>
      <c r="J2831" s="17">
        <f>IF(B2831="","","touch_2; "&amp;IFERROR(INDEX(Clay_Offices!$A$2:$FZ$601,580,Sync!$C$10)&amp;"","")&amp;"; "&amp;IFERROR(INDEX(Clay_Offices!$A$2:$FZ$601,580,Sync!$C$9)&amp;"",""))</f>
        <v/>
      </c>
      <c r="K2831" t="inlineStr">
        <is>
          <t>office outreach touch 2</t>
        </is>
      </c>
    </row>
    <row r="2832">
      <c r="A2832" s="17">
        <f>IF(B2832="","",B2832+(13*1000+581)/10000000)</f>
        <v/>
      </c>
      <c r="B2832" s="23">
        <f>IF(AND(IFERROR(N(INDEX(Clay_Offices!$A$2:$FZ$601,581,Sync!$C$12)),0)&gt;0,IFERROR(INDEX(Clay_Offices!$A$2:$FZ$601,581,Sync!$C$5)&amp;"","")&lt;&gt;"",OR(LEFT(IFERROR(INDEX(Clay_Offices!$A$2:$FZ$601,581,Sync!$C$5)&amp;"",""),6)&lt;&gt;"SAMPLE",Config!$B$19="Y")),IFERROR(N(INDEX(Clay_Offices!$A$2:$FZ$601,581,Sync!$C$12)),0),"")</f>
        <v/>
      </c>
      <c r="C2832" s="17">
        <f>IF(B2832="","","office")</f>
        <v/>
      </c>
      <c r="D2832" s="17">
        <f>IF(B2832="","",IFERROR(INDEX(Clay_Offices!$A$2:$FZ$601,581,Sync!$C$5)&amp;"",""))</f>
        <v/>
      </c>
      <c r="E2832" s="17">
        <f>IF(B2832="","",IFERROR(INDEX(Clay_Offices!$A$2:$FZ$601,581,Sync!$C$6)&amp;"",""))</f>
        <v/>
      </c>
      <c r="F2832" s="17">
        <f>IF(B2832="","","outreach_sent")</f>
        <v/>
      </c>
      <c r="G2832" s="17">
        <f>IF(B2832="","","")</f>
        <v/>
      </c>
      <c r="H2832" s="17">
        <f>IF(B2832="","","")</f>
        <v/>
      </c>
      <c r="I2832" s="17">
        <f>IF(B2832="","","")</f>
        <v/>
      </c>
      <c r="J2832" s="17">
        <f>IF(B2832="","","touch_2; "&amp;IFERROR(INDEX(Clay_Offices!$A$2:$FZ$601,581,Sync!$C$10)&amp;"","")&amp;"; "&amp;IFERROR(INDEX(Clay_Offices!$A$2:$FZ$601,581,Sync!$C$9)&amp;"",""))</f>
        <v/>
      </c>
      <c r="K2832" t="inlineStr">
        <is>
          <t>office outreach touch 2</t>
        </is>
      </c>
    </row>
    <row r="2833">
      <c r="A2833" s="17">
        <f>IF(B2833="","",B2833+(13*1000+582)/10000000)</f>
        <v/>
      </c>
      <c r="B2833" s="23">
        <f>IF(AND(IFERROR(N(INDEX(Clay_Offices!$A$2:$FZ$601,582,Sync!$C$12)),0)&gt;0,IFERROR(INDEX(Clay_Offices!$A$2:$FZ$601,582,Sync!$C$5)&amp;"","")&lt;&gt;"",OR(LEFT(IFERROR(INDEX(Clay_Offices!$A$2:$FZ$601,582,Sync!$C$5)&amp;"",""),6)&lt;&gt;"SAMPLE",Config!$B$19="Y")),IFERROR(N(INDEX(Clay_Offices!$A$2:$FZ$601,582,Sync!$C$12)),0),"")</f>
        <v/>
      </c>
      <c r="C2833" s="17">
        <f>IF(B2833="","","office")</f>
        <v/>
      </c>
      <c r="D2833" s="17">
        <f>IF(B2833="","",IFERROR(INDEX(Clay_Offices!$A$2:$FZ$601,582,Sync!$C$5)&amp;"",""))</f>
        <v/>
      </c>
      <c r="E2833" s="17">
        <f>IF(B2833="","",IFERROR(INDEX(Clay_Offices!$A$2:$FZ$601,582,Sync!$C$6)&amp;"",""))</f>
        <v/>
      </c>
      <c r="F2833" s="17">
        <f>IF(B2833="","","outreach_sent")</f>
        <v/>
      </c>
      <c r="G2833" s="17">
        <f>IF(B2833="","","")</f>
        <v/>
      </c>
      <c r="H2833" s="17">
        <f>IF(B2833="","","")</f>
        <v/>
      </c>
      <c r="I2833" s="17">
        <f>IF(B2833="","","")</f>
        <v/>
      </c>
      <c r="J2833" s="17">
        <f>IF(B2833="","","touch_2; "&amp;IFERROR(INDEX(Clay_Offices!$A$2:$FZ$601,582,Sync!$C$10)&amp;"","")&amp;"; "&amp;IFERROR(INDEX(Clay_Offices!$A$2:$FZ$601,582,Sync!$C$9)&amp;"",""))</f>
        <v/>
      </c>
      <c r="K2833" t="inlineStr">
        <is>
          <t>office outreach touch 2</t>
        </is>
      </c>
    </row>
    <row r="2834">
      <c r="A2834" s="17">
        <f>IF(B2834="","",B2834+(13*1000+583)/10000000)</f>
        <v/>
      </c>
      <c r="B2834" s="23">
        <f>IF(AND(IFERROR(N(INDEX(Clay_Offices!$A$2:$FZ$601,583,Sync!$C$12)),0)&gt;0,IFERROR(INDEX(Clay_Offices!$A$2:$FZ$601,583,Sync!$C$5)&amp;"","")&lt;&gt;"",OR(LEFT(IFERROR(INDEX(Clay_Offices!$A$2:$FZ$601,583,Sync!$C$5)&amp;"",""),6)&lt;&gt;"SAMPLE",Config!$B$19="Y")),IFERROR(N(INDEX(Clay_Offices!$A$2:$FZ$601,583,Sync!$C$12)),0),"")</f>
        <v/>
      </c>
      <c r="C2834" s="17">
        <f>IF(B2834="","","office")</f>
        <v/>
      </c>
      <c r="D2834" s="17">
        <f>IF(B2834="","",IFERROR(INDEX(Clay_Offices!$A$2:$FZ$601,583,Sync!$C$5)&amp;"",""))</f>
        <v/>
      </c>
      <c r="E2834" s="17">
        <f>IF(B2834="","",IFERROR(INDEX(Clay_Offices!$A$2:$FZ$601,583,Sync!$C$6)&amp;"",""))</f>
        <v/>
      </c>
      <c r="F2834" s="17">
        <f>IF(B2834="","","outreach_sent")</f>
        <v/>
      </c>
      <c r="G2834" s="17">
        <f>IF(B2834="","","")</f>
        <v/>
      </c>
      <c r="H2834" s="17">
        <f>IF(B2834="","","")</f>
        <v/>
      </c>
      <c r="I2834" s="17">
        <f>IF(B2834="","","")</f>
        <v/>
      </c>
      <c r="J2834" s="17">
        <f>IF(B2834="","","touch_2; "&amp;IFERROR(INDEX(Clay_Offices!$A$2:$FZ$601,583,Sync!$C$10)&amp;"","")&amp;"; "&amp;IFERROR(INDEX(Clay_Offices!$A$2:$FZ$601,583,Sync!$C$9)&amp;"",""))</f>
        <v/>
      </c>
      <c r="K2834" t="inlineStr">
        <is>
          <t>office outreach touch 2</t>
        </is>
      </c>
    </row>
    <row r="2835">
      <c r="A2835" s="17">
        <f>IF(B2835="","",B2835+(13*1000+584)/10000000)</f>
        <v/>
      </c>
      <c r="B2835" s="23">
        <f>IF(AND(IFERROR(N(INDEX(Clay_Offices!$A$2:$FZ$601,584,Sync!$C$12)),0)&gt;0,IFERROR(INDEX(Clay_Offices!$A$2:$FZ$601,584,Sync!$C$5)&amp;"","")&lt;&gt;"",OR(LEFT(IFERROR(INDEX(Clay_Offices!$A$2:$FZ$601,584,Sync!$C$5)&amp;"",""),6)&lt;&gt;"SAMPLE",Config!$B$19="Y")),IFERROR(N(INDEX(Clay_Offices!$A$2:$FZ$601,584,Sync!$C$12)),0),"")</f>
        <v/>
      </c>
      <c r="C2835" s="17">
        <f>IF(B2835="","","office")</f>
        <v/>
      </c>
      <c r="D2835" s="17">
        <f>IF(B2835="","",IFERROR(INDEX(Clay_Offices!$A$2:$FZ$601,584,Sync!$C$5)&amp;"",""))</f>
        <v/>
      </c>
      <c r="E2835" s="17">
        <f>IF(B2835="","",IFERROR(INDEX(Clay_Offices!$A$2:$FZ$601,584,Sync!$C$6)&amp;"",""))</f>
        <v/>
      </c>
      <c r="F2835" s="17">
        <f>IF(B2835="","","outreach_sent")</f>
        <v/>
      </c>
      <c r="G2835" s="17">
        <f>IF(B2835="","","")</f>
        <v/>
      </c>
      <c r="H2835" s="17">
        <f>IF(B2835="","","")</f>
        <v/>
      </c>
      <c r="I2835" s="17">
        <f>IF(B2835="","","")</f>
        <v/>
      </c>
      <c r="J2835" s="17">
        <f>IF(B2835="","","touch_2; "&amp;IFERROR(INDEX(Clay_Offices!$A$2:$FZ$601,584,Sync!$C$10)&amp;"","")&amp;"; "&amp;IFERROR(INDEX(Clay_Offices!$A$2:$FZ$601,584,Sync!$C$9)&amp;"",""))</f>
        <v/>
      </c>
      <c r="K2835" t="inlineStr">
        <is>
          <t>office outreach touch 2</t>
        </is>
      </c>
    </row>
    <row r="2836">
      <c r="A2836" s="17">
        <f>IF(B2836="","",B2836+(13*1000+585)/10000000)</f>
        <v/>
      </c>
      <c r="B2836" s="23">
        <f>IF(AND(IFERROR(N(INDEX(Clay_Offices!$A$2:$FZ$601,585,Sync!$C$12)),0)&gt;0,IFERROR(INDEX(Clay_Offices!$A$2:$FZ$601,585,Sync!$C$5)&amp;"","")&lt;&gt;"",OR(LEFT(IFERROR(INDEX(Clay_Offices!$A$2:$FZ$601,585,Sync!$C$5)&amp;"",""),6)&lt;&gt;"SAMPLE",Config!$B$19="Y")),IFERROR(N(INDEX(Clay_Offices!$A$2:$FZ$601,585,Sync!$C$12)),0),"")</f>
        <v/>
      </c>
      <c r="C2836" s="17">
        <f>IF(B2836="","","office")</f>
        <v/>
      </c>
      <c r="D2836" s="17">
        <f>IF(B2836="","",IFERROR(INDEX(Clay_Offices!$A$2:$FZ$601,585,Sync!$C$5)&amp;"",""))</f>
        <v/>
      </c>
      <c r="E2836" s="17">
        <f>IF(B2836="","",IFERROR(INDEX(Clay_Offices!$A$2:$FZ$601,585,Sync!$C$6)&amp;"",""))</f>
        <v/>
      </c>
      <c r="F2836" s="17">
        <f>IF(B2836="","","outreach_sent")</f>
        <v/>
      </c>
      <c r="G2836" s="17">
        <f>IF(B2836="","","")</f>
        <v/>
      </c>
      <c r="H2836" s="17">
        <f>IF(B2836="","","")</f>
        <v/>
      </c>
      <c r="I2836" s="17">
        <f>IF(B2836="","","")</f>
        <v/>
      </c>
      <c r="J2836" s="17">
        <f>IF(B2836="","","touch_2; "&amp;IFERROR(INDEX(Clay_Offices!$A$2:$FZ$601,585,Sync!$C$10)&amp;"","")&amp;"; "&amp;IFERROR(INDEX(Clay_Offices!$A$2:$FZ$601,585,Sync!$C$9)&amp;"",""))</f>
        <v/>
      </c>
      <c r="K2836" t="inlineStr">
        <is>
          <t>office outreach touch 2</t>
        </is>
      </c>
    </row>
    <row r="2837">
      <c r="A2837" s="17">
        <f>IF(B2837="","",B2837+(13*1000+586)/10000000)</f>
        <v/>
      </c>
      <c r="B2837" s="23">
        <f>IF(AND(IFERROR(N(INDEX(Clay_Offices!$A$2:$FZ$601,586,Sync!$C$12)),0)&gt;0,IFERROR(INDEX(Clay_Offices!$A$2:$FZ$601,586,Sync!$C$5)&amp;"","")&lt;&gt;"",OR(LEFT(IFERROR(INDEX(Clay_Offices!$A$2:$FZ$601,586,Sync!$C$5)&amp;"",""),6)&lt;&gt;"SAMPLE",Config!$B$19="Y")),IFERROR(N(INDEX(Clay_Offices!$A$2:$FZ$601,586,Sync!$C$12)),0),"")</f>
        <v/>
      </c>
      <c r="C2837" s="17">
        <f>IF(B2837="","","office")</f>
        <v/>
      </c>
      <c r="D2837" s="17">
        <f>IF(B2837="","",IFERROR(INDEX(Clay_Offices!$A$2:$FZ$601,586,Sync!$C$5)&amp;"",""))</f>
        <v/>
      </c>
      <c r="E2837" s="17">
        <f>IF(B2837="","",IFERROR(INDEX(Clay_Offices!$A$2:$FZ$601,586,Sync!$C$6)&amp;"",""))</f>
        <v/>
      </c>
      <c r="F2837" s="17">
        <f>IF(B2837="","","outreach_sent")</f>
        <v/>
      </c>
      <c r="G2837" s="17">
        <f>IF(B2837="","","")</f>
        <v/>
      </c>
      <c r="H2837" s="17">
        <f>IF(B2837="","","")</f>
        <v/>
      </c>
      <c r="I2837" s="17">
        <f>IF(B2837="","","")</f>
        <v/>
      </c>
      <c r="J2837" s="17">
        <f>IF(B2837="","","touch_2; "&amp;IFERROR(INDEX(Clay_Offices!$A$2:$FZ$601,586,Sync!$C$10)&amp;"","")&amp;"; "&amp;IFERROR(INDEX(Clay_Offices!$A$2:$FZ$601,586,Sync!$C$9)&amp;"",""))</f>
        <v/>
      </c>
      <c r="K2837" t="inlineStr">
        <is>
          <t>office outreach touch 2</t>
        </is>
      </c>
    </row>
    <row r="2838">
      <c r="A2838" s="17">
        <f>IF(B2838="","",B2838+(13*1000+587)/10000000)</f>
        <v/>
      </c>
      <c r="B2838" s="23">
        <f>IF(AND(IFERROR(N(INDEX(Clay_Offices!$A$2:$FZ$601,587,Sync!$C$12)),0)&gt;0,IFERROR(INDEX(Clay_Offices!$A$2:$FZ$601,587,Sync!$C$5)&amp;"","")&lt;&gt;"",OR(LEFT(IFERROR(INDEX(Clay_Offices!$A$2:$FZ$601,587,Sync!$C$5)&amp;"",""),6)&lt;&gt;"SAMPLE",Config!$B$19="Y")),IFERROR(N(INDEX(Clay_Offices!$A$2:$FZ$601,587,Sync!$C$12)),0),"")</f>
        <v/>
      </c>
      <c r="C2838" s="17">
        <f>IF(B2838="","","office")</f>
        <v/>
      </c>
      <c r="D2838" s="17">
        <f>IF(B2838="","",IFERROR(INDEX(Clay_Offices!$A$2:$FZ$601,587,Sync!$C$5)&amp;"",""))</f>
        <v/>
      </c>
      <c r="E2838" s="17">
        <f>IF(B2838="","",IFERROR(INDEX(Clay_Offices!$A$2:$FZ$601,587,Sync!$C$6)&amp;"",""))</f>
        <v/>
      </c>
      <c r="F2838" s="17">
        <f>IF(B2838="","","outreach_sent")</f>
        <v/>
      </c>
      <c r="G2838" s="17">
        <f>IF(B2838="","","")</f>
        <v/>
      </c>
      <c r="H2838" s="17">
        <f>IF(B2838="","","")</f>
        <v/>
      </c>
      <c r="I2838" s="17">
        <f>IF(B2838="","","")</f>
        <v/>
      </c>
      <c r="J2838" s="17">
        <f>IF(B2838="","","touch_2; "&amp;IFERROR(INDEX(Clay_Offices!$A$2:$FZ$601,587,Sync!$C$10)&amp;"","")&amp;"; "&amp;IFERROR(INDEX(Clay_Offices!$A$2:$FZ$601,587,Sync!$C$9)&amp;"",""))</f>
        <v/>
      </c>
      <c r="K2838" t="inlineStr">
        <is>
          <t>office outreach touch 2</t>
        </is>
      </c>
    </row>
    <row r="2839">
      <c r="A2839" s="17">
        <f>IF(B2839="","",B2839+(13*1000+588)/10000000)</f>
        <v/>
      </c>
      <c r="B2839" s="23">
        <f>IF(AND(IFERROR(N(INDEX(Clay_Offices!$A$2:$FZ$601,588,Sync!$C$12)),0)&gt;0,IFERROR(INDEX(Clay_Offices!$A$2:$FZ$601,588,Sync!$C$5)&amp;"","")&lt;&gt;"",OR(LEFT(IFERROR(INDEX(Clay_Offices!$A$2:$FZ$601,588,Sync!$C$5)&amp;"",""),6)&lt;&gt;"SAMPLE",Config!$B$19="Y")),IFERROR(N(INDEX(Clay_Offices!$A$2:$FZ$601,588,Sync!$C$12)),0),"")</f>
        <v/>
      </c>
      <c r="C2839" s="17">
        <f>IF(B2839="","","office")</f>
        <v/>
      </c>
      <c r="D2839" s="17">
        <f>IF(B2839="","",IFERROR(INDEX(Clay_Offices!$A$2:$FZ$601,588,Sync!$C$5)&amp;"",""))</f>
        <v/>
      </c>
      <c r="E2839" s="17">
        <f>IF(B2839="","",IFERROR(INDEX(Clay_Offices!$A$2:$FZ$601,588,Sync!$C$6)&amp;"",""))</f>
        <v/>
      </c>
      <c r="F2839" s="17">
        <f>IF(B2839="","","outreach_sent")</f>
        <v/>
      </c>
      <c r="G2839" s="17">
        <f>IF(B2839="","","")</f>
        <v/>
      </c>
      <c r="H2839" s="17">
        <f>IF(B2839="","","")</f>
        <v/>
      </c>
      <c r="I2839" s="17">
        <f>IF(B2839="","","")</f>
        <v/>
      </c>
      <c r="J2839" s="17">
        <f>IF(B2839="","","touch_2; "&amp;IFERROR(INDEX(Clay_Offices!$A$2:$FZ$601,588,Sync!$C$10)&amp;"","")&amp;"; "&amp;IFERROR(INDEX(Clay_Offices!$A$2:$FZ$601,588,Sync!$C$9)&amp;"",""))</f>
        <v/>
      </c>
      <c r="K2839" t="inlineStr">
        <is>
          <t>office outreach touch 2</t>
        </is>
      </c>
    </row>
    <row r="2840">
      <c r="A2840" s="17">
        <f>IF(B2840="","",B2840+(13*1000+589)/10000000)</f>
        <v/>
      </c>
      <c r="B2840" s="23">
        <f>IF(AND(IFERROR(N(INDEX(Clay_Offices!$A$2:$FZ$601,589,Sync!$C$12)),0)&gt;0,IFERROR(INDEX(Clay_Offices!$A$2:$FZ$601,589,Sync!$C$5)&amp;"","")&lt;&gt;"",OR(LEFT(IFERROR(INDEX(Clay_Offices!$A$2:$FZ$601,589,Sync!$C$5)&amp;"",""),6)&lt;&gt;"SAMPLE",Config!$B$19="Y")),IFERROR(N(INDEX(Clay_Offices!$A$2:$FZ$601,589,Sync!$C$12)),0),"")</f>
        <v/>
      </c>
      <c r="C2840" s="17">
        <f>IF(B2840="","","office")</f>
        <v/>
      </c>
      <c r="D2840" s="17">
        <f>IF(B2840="","",IFERROR(INDEX(Clay_Offices!$A$2:$FZ$601,589,Sync!$C$5)&amp;"",""))</f>
        <v/>
      </c>
      <c r="E2840" s="17">
        <f>IF(B2840="","",IFERROR(INDEX(Clay_Offices!$A$2:$FZ$601,589,Sync!$C$6)&amp;"",""))</f>
        <v/>
      </c>
      <c r="F2840" s="17">
        <f>IF(B2840="","","outreach_sent")</f>
        <v/>
      </c>
      <c r="G2840" s="17">
        <f>IF(B2840="","","")</f>
        <v/>
      </c>
      <c r="H2840" s="17">
        <f>IF(B2840="","","")</f>
        <v/>
      </c>
      <c r="I2840" s="17">
        <f>IF(B2840="","","")</f>
        <v/>
      </c>
      <c r="J2840" s="17">
        <f>IF(B2840="","","touch_2; "&amp;IFERROR(INDEX(Clay_Offices!$A$2:$FZ$601,589,Sync!$C$10)&amp;"","")&amp;"; "&amp;IFERROR(INDEX(Clay_Offices!$A$2:$FZ$601,589,Sync!$C$9)&amp;"",""))</f>
        <v/>
      </c>
      <c r="K2840" t="inlineStr">
        <is>
          <t>office outreach touch 2</t>
        </is>
      </c>
    </row>
    <row r="2841">
      <c r="A2841" s="17">
        <f>IF(B2841="","",B2841+(13*1000+590)/10000000)</f>
        <v/>
      </c>
      <c r="B2841" s="23">
        <f>IF(AND(IFERROR(N(INDEX(Clay_Offices!$A$2:$FZ$601,590,Sync!$C$12)),0)&gt;0,IFERROR(INDEX(Clay_Offices!$A$2:$FZ$601,590,Sync!$C$5)&amp;"","")&lt;&gt;"",OR(LEFT(IFERROR(INDEX(Clay_Offices!$A$2:$FZ$601,590,Sync!$C$5)&amp;"",""),6)&lt;&gt;"SAMPLE",Config!$B$19="Y")),IFERROR(N(INDEX(Clay_Offices!$A$2:$FZ$601,590,Sync!$C$12)),0),"")</f>
        <v/>
      </c>
      <c r="C2841" s="17">
        <f>IF(B2841="","","office")</f>
        <v/>
      </c>
      <c r="D2841" s="17">
        <f>IF(B2841="","",IFERROR(INDEX(Clay_Offices!$A$2:$FZ$601,590,Sync!$C$5)&amp;"",""))</f>
        <v/>
      </c>
      <c r="E2841" s="17">
        <f>IF(B2841="","",IFERROR(INDEX(Clay_Offices!$A$2:$FZ$601,590,Sync!$C$6)&amp;"",""))</f>
        <v/>
      </c>
      <c r="F2841" s="17">
        <f>IF(B2841="","","outreach_sent")</f>
        <v/>
      </c>
      <c r="G2841" s="17">
        <f>IF(B2841="","","")</f>
        <v/>
      </c>
      <c r="H2841" s="17">
        <f>IF(B2841="","","")</f>
        <v/>
      </c>
      <c r="I2841" s="17">
        <f>IF(B2841="","","")</f>
        <v/>
      </c>
      <c r="J2841" s="17">
        <f>IF(B2841="","","touch_2; "&amp;IFERROR(INDEX(Clay_Offices!$A$2:$FZ$601,590,Sync!$C$10)&amp;"","")&amp;"; "&amp;IFERROR(INDEX(Clay_Offices!$A$2:$FZ$601,590,Sync!$C$9)&amp;"",""))</f>
        <v/>
      </c>
      <c r="K2841" t="inlineStr">
        <is>
          <t>office outreach touch 2</t>
        </is>
      </c>
    </row>
    <row r="2842">
      <c r="A2842" s="17">
        <f>IF(B2842="","",B2842+(13*1000+591)/10000000)</f>
        <v/>
      </c>
      <c r="B2842" s="23">
        <f>IF(AND(IFERROR(N(INDEX(Clay_Offices!$A$2:$FZ$601,591,Sync!$C$12)),0)&gt;0,IFERROR(INDEX(Clay_Offices!$A$2:$FZ$601,591,Sync!$C$5)&amp;"","")&lt;&gt;"",OR(LEFT(IFERROR(INDEX(Clay_Offices!$A$2:$FZ$601,591,Sync!$C$5)&amp;"",""),6)&lt;&gt;"SAMPLE",Config!$B$19="Y")),IFERROR(N(INDEX(Clay_Offices!$A$2:$FZ$601,591,Sync!$C$12)),0),"")</f>
        <v/>
      </c>
      <c r="C2842" s="17">
        <f>IF(B2842="","","office")</f>
        <v/>
      </c>
      <c r="D2842" s="17">
        <f>IF(B2842="","",IFERROR(INDEX(Clay_Offices!$A$2:$FZ$601,591,Sync!$C$5)&amp;"",""))</f>
        <v/>
      </c>
      <c r="E2842" s="17">
        <f>IF(B2842="","",IFERROR(INDEX(Clay_Offices!$A$2:$FZ$601,591,Sync!$C$6)&amp;"",""))</f>
        <v/>
      </c>
      <c r="F2842" s="17">
        <f>IF(B2842="","","outreach_sent")</f>
        <v/>
      </c>
      <c r="G2842" s="17">
        <f>IF(B2842="","","")</f>
        <v/>
      </c>
      <c r="H2842" s="17">
        <f>IF(B2842="","","")</f>
        <v/>
      </c>
      <c r="I2842" s="17">
        <f>IF(B2842="","","")</f>
        <v/>
      </c>
      <c r="J2842" s="17">
        <f>IF(B2842="","","touch_2; "&amp;IFERROR(INDEX(Clay_Offices!$A$2:$FZ$601,591,Sync!$C$10)&amp;"","")&amp;"; "&amp;IFERROR(INDEX(Clay_Offices!$A$2:$FZ$601,591,Sync!$C$9)&amp;"",""))</f>
        <v/>
      </c>
      <c r="K2842" t="inlineStr">
        <is>
          <t>office outreach touch 2</t>
        </is>
      </c>
    </row>
    <row r="2843">
      <c r="A2843" s="17">
        <f>IF(B2843="","",B2843+(13*1000+592)/10000000)</f>
        <v/>
      </c>
      <c r="B2843" s="23">
        <f>IF(AND(IFERROR(N(INDEX(Clay_Offices!$A$2:$FZ$601,592,Sync!$C$12)),0)&gt;0,IFERROR(INDEX(Clay_Offices!$A$2:$FZ$601,592,Sync!$C$5)&amp;"","")&lt;&gt;"",OR(LEFT(IFERROR(INDEX(Clay_Offices!$A$2:$FZ$601,592,Sync!$C$5)&amp;"",""),6)&lt;&gt;"SAMPLE",Config!$B$19="Y")),IFERROR(N(INDEX(Clay_Offices!$A$2:$FZ$601,592,Sync!$C$12)),0),"")</f>
        <v/>
      </c>
      <c r="C2843" s="17">
        <f>IF(B2843="","","office")</f>
        <v/>
      </c>
      <c r="D2843" s="17">
        <f>IF(B2843="","",IFERROR(INDEX(Clay_Offices!$A$2:$FZ$601,592,Sync!$C$5)&amp;"",""))</f>
        <v/>
      </c>
      <c r="E2843" s="17">
        <f>IF(B2843="","",IFERROR(INDEX(Clay_Offices!$A$2:$FZ$601,592,Sync!$C$6)&amp;"",""))</f>
        <v/>
      </c>
      <c r="F2843" s="17">
        <f>IF(B2843="","","outreach_sent")</f>
        <v/>
      </c>
      <c r="G2843" s="17">
        <f>IF(B2843="","","")</f>
        <v/>
      </c>
      <c r="H2843" s="17">
        <f>IF(B2843="","","")</f>
        <v/>
      </c>
      <c r="I2843" s="17">
        <f>IF(B2843="","","")</f>
        <v/>
      </c>
      <c r="J2843" s="17">
        <f>IF(B2843="","","touch_2; "&amp;IFERROR(INDEX(Clay_Offices!$A$2:$FZ$601,592,Sync!$C$10)&amp;"","")&amp;"; "&amp;IFERROR(INDEX(Clay_Offices!$A$2:$FZ$601,592,Sync!$C$9)&amp;"",""))</f>
        <v/>
      </c>
      <c r="K2843" t="inlineStr">
        <is>
          <t>office outreach touch 2</t>
        </is>
      </c>
    </row>
    <row r="2844">
      <c r="A2844" s="17">
        <f>IF(B2844="","",B2844+(13*1000+593)/10000000)</f>
        <v/>
      </c>
      <c r="B2844" s="23">
        <f>IF(AND(IFERROR(N(INDEX(Clay_Offices!$A$2:$FZ$601,593,Sync!$C$12)),0)&gt;0,IFERROR(INDEX(Clay_Offices!$A$2:$FZ$601,593,Sync!$C$5)&amp;"","")&lt;&gt;"",OR(LEFT(IFERROR(INDEX(Clay_Offices!$A$2:$FZ$601,593,Sync!$C$5)&amp;"",""),6)&lt;&gt;"SAMPLE",Config!$B$19="Y")),IFERROR(N(INDEX(Clay_Offices!$A$2:$FZ$601,593,Sync!$C$12)),0),"")</f>
        <v/>
      </c>
      <c r="C2844" s="17">
        <f>IF(B2844="","","office")</f>
        <v/>
      </c>
      <c r="D2844" s="17">
        <f>IF(B2844="","",IFERROR(INDEX(Clay_Offices!$A$2:$FZ$601,593,Sync!$C$5)&amp;"",""))</f>
        <v/>
      </c>
      <c r="E2844" s="17">
        <f>IF(B2844="","",IFERROR(INDEX(Clay_Offices!$A$2:$FZ$601,593,Sync!$C$6)&amp;"",""))</f>
        <v/>
      </c>
      <c r="F2844" s="17">
        <f>IF(B2844="","","outreach_sent")</f>
        <v/>
      </c>
      <c r="G2844" s="17">
        <f>IF(B2844="","","")</f>
        <v/>
      </c>
      <c r="H2844" s="17">
        <f>IF(B2844="","","")</f>
        <v/>
      </c>
      <c r="I2844" s="17">
        <f>IF(B2844="","","")</f>
        <v/>
      </c>
      <c r="J2844" s="17">
        <f>IF(B2844="","","touch_2; "&amp;IFERROR(INDEX(Clay_Offices!$A$2:$FZ$601,593,Sync!$C$10)&amp;"","")&amp;"; "&amp;IFERROR(INDEX(Clay_Offices!$A$2:$FZ$601,593,Sync!$C$9)&amp;"",""))</f>
        <v/>
      </c>
      <c r="K2844" t="inlineStr">
        <is>
          <t>office outreach touch 2</t>
        </is>
      </c>
    </row>
    <row r="2845">
      <c r="A2845" s="17">
        <f>IF(B2845="","",B2845+(13*1000+594)/10000000)</f>
        <v/>
      </c>
      <c r="B2845" s="23">
        <f>IF(AND(IFERROR(N(INDEX(Clay_Offices!$A$2:$FZ$601,594,Sync!$C$12)),0)&gt;0,IFERROR(INDEX(Clay_Offices!$A$2:$FZ$601,594,Sync!$C$5)&amp;"","")&lt;&gt;"",OR(LEFT(IFERROR(INDEX(Clay_Offices!$A$2:$FZ$601,594,Sync!$C$5)&amp;"",""),6)&lt;&gt;"SAMPLE",Config!$B$19="Y")),IFERROR(N(INDEX(Clay_Offices!$A$2:$FZ$601,594,Sync!$C$12)),0),"")</f>
        <v/>
      </c>
      <c r="C2845" s="17">
        <f>IF(B2845="","","office")</f>
        <v/>
      </c>
      <c r="D2845" s="17">
        <f>IF(B2845="","",IFERROR(INDEX(Clay_Offices!$A$2:$FZ$601,594,Sync!$C$5)&amp;"",""))</f>
        <v/>
      </c>
      <c r="E2845" s="17">
        <f>IF(B2845="","",IFERROR(INDEX(Clay_Offices!$A$2:$FZ$601,594,Sync!$C$6)&amp;"",""))</f>
        <v/>
      </c>
      <c r="F2845" s="17">
        <f>IF(B2845="","","outreach_sent")</f>
        <v/>
      </c>
      <c r="G2845" s="17">
        <f>IF(B2845="","","")</f>
        <v/>
      </c>
      <c r="H2845" s="17">
        <f>IF(B2845="","","")</f>
        <v/>
      </c>
      <c r="I2845" s="17">
        <f>IF(B2845="","","")</f>
        <v/>
      </c>
      <c r="J2845" s="17">
        <f>IF(B2845="","","touch_2; "&amp;IFERROR(INDEX(Clay_Offices!$A$2:$FZ$601,594,Sync!$C$10)&amp;"","")&amp;"; "&amp;IFERROR(INDEX(Clay_Offices!$A$2:$FZ$601,594,Sync!$C$9)&amp;"",""))</f>
        <v/>
      </c>
      <c r="K2845" t="inlineStr">
        <is>
          <t>office outreach touch 2</t>
        </is>
      </c>
    </row>
    <row r="2846">
      <c r="A2846" s="17">
        <f>IF(B2846="","",B2846+(13*1000+595)/10000000)</f>
        <v/>
      </c>
      <c r="B2846" s="23">
        <f>IF(AND(IFERROR(N(INDEX(Clay_Offices!$A$2:$FZ$601,595,Sync!$C$12)),0)&gt;0,IFERROR(INDEX(Clay_Offices!$A$2:$FZ$601,595,Sync!$C$5)&amp;"","")&lt;&gt;"",OR(LEFT(IFERROR(INDEX(Clay_Offices!$A$2:$FZ$601,595,Sync!$C$5)&amp;"",""),6)&lt;&gt;"SAMPLE",Config!$B$19="Y")),IFERROR(N(INDEX(Clay_Offices!$A$2:$FZ$601,595,Sync!$C$12)),0),"")</f>
        <v/>
      </c>
      <c r="C2846" s="17">
        <f>IF(B2846="","","office")</f>
        <v/>
      </c>
      <c r="D2846" s="17">
        <f>IF(B2846="","",IFERROR(INDEX(Clay_Offices!$A$2:$FZ$601,595,Sync!$C$5)&amp;"",""))</f>
        <v/>
      </c>
      <c r="E2846" s="17">
        <f>IF(B2846="","",IFERROR(INDEX(Clay_Offices!$A$2:$FZ$601,595,Sync!$C$6)&amp;"",""))</f>
        <v/>
      </c>
      <c r="F2846" s="17">
        <f>IF(B2846="","","outreach_sent")</f>
        <v/>
      </c>
      <c r="G2846" s="17">
        <f>IF(B2846="","","")</f>
        <v/>
      </c>
      <c r="H2846" s="17">
        <f>IF(B2846="","","")</f>
        <v/>
      </c>
      <c r="I2846" s="17">
        <f>IF(B2846="","","")</f>
        <v/>
      </c>
      <c r="J2846" s="17">
        <f>IF(B2846="","","touch_2; "&amp;IFERROR(INDEX(Clay_Offices!$A$2:$FZ$601,595,Sync!$C$10)&amp;"","")&amp;"; "&amp;IFERROR(INDEX(Clay_Offices!$A$2:$FZ$601,595,Sync!$C$9)&amp;"",""))</f>
        <v/>
      </c>
      <c r="K2846" t="inlineStr">
        <is>
          <t>office outreach touch 2</t>
        </is>
      </c>
    </row>
    <row r="2847">
      <c r="A2847" s="17">
        <f>IF(B2847="","",B2847+(13*1000+596)/10000000)</f>
        <v/>
      </c>
      <c r="B2847" s="23">
        <f>IF(AND(IFERROR(N(INDEX(Clay_Offices!$A$2:$FZ$601,596,Sync!$C$12)),0)&gt;0,IFERROR(INDEX(Clay_Offices!$A$2:$FZ$601,596,Sync!$C$5)&amp;"","")&lt;&gt;"",OR(LEFT(IFERROR(INDEX(Clay_Offices!$A$2:$FZ$601,596,Sync!$C$5)&amp;"",""),6)&lt;&gt;"SAMPLE",Config!$B$19="Y")),IFERROR(N(INDEX(Clay_Offices!$A$2:$FZ$601,596,Sync!$C$12)),0),"")</f>
        <v/>
      </c>
      <c r="C2847" s="17">
        <f>IF(B2847="","","office")</f>
        <v/>
      </c>
      <c r="D2847" s="17">
        <f>IF(B2847="","",IFERROR(INDEX(Clay_Offices!$A$2:$FZ$601,596,Sync!$C$5)&amp;"",""))</f>
        <v/>
      </c>
      <c r="E2847" s="17">
        <f>IF(B2847="","",IFERROR(INDEX(Clay_Offices!$A$2:$FZ$601,596,Sync!$C$6)&amp;"",""))</f>
        <v/>
      </c>
      <c r="F2847" s="17">
        <f>IF(B2847="","","outreach_sent")</f>
        <v/>
      </c>
      <c r="G2847" s="17">
        <f>IF(B2847="","","")</f>
        <v/>
      </c>
      <c r="H2847" s="17">
        <f>IF(B2847="","","")</f>
        <v/>
      </c>
      <c r="I2847" s="17">
        <f>IF(B2847="","","")</f>
        <v/>
      </c>
      <c r="J2847" s="17">
        <f>IF(B2847="","","touch_2; "&amp;IFERROR(INDEX(Clay_Offices!$A$2:$FZ$601,596,Sync!$C$10)&amp;"","")&amp;"; "&amp;IFERROR(INDEX(Clay_Offices!$A$2:$FZ$601,596,Sync!$C$9)&amp;"",""))</f>
        <v/>
      </c>
      <c r="K2847" t="inlineStr">
        <is>
          <t>office outreach touch 2</t>
        </is>
      </c>
    </row>
    <row r="2848">
      <c r="A2848" s="17">
        <f>IF(B2848="","",B2848+(13*1000+597)/10000000)</f>
        <v/>
      </c>
      <c r="B2848" s="23">
        <f>IF(AND(IFERROR(N(INDEX(Clay_Offices!$A$2:$FZ$601,597,Sync!$C$12)),0)&gt;0,IFERROR(INDEX(Clay_Offices!$A$2:$FZ$601,597,Sync!$C$5)&amp;"","")&lt;&gt;"",OR(LEFT(IFERROR(INDEX(Clay_Offices!$A$2:$FZ$601,597,Sync!$C$5)&amp;"",""),6)&lt;&gt;"SAMPLE",Config!$B$19="Y")),IFERROR(N(INDEX(Clay_Offices!$A$2:$FZ$601,597,Sync!$C$12)),0),"")</f>
        <v/>
      </c>
      <c r="C2848" s="17">
        <f>IF(B2848="","","office")</f>
        <v/>
      </c>
      <c r="D2848" s="17">
        <f>IF(B2848="","",IFERROR(INDEX(Clay_Offices!$A$2:$FZ$601,597,Sync!$C$5)&amp;"",""))</f>
        <v/>
      </c>
      <c r="E2848" s="17">
        <f>IF(B2848="","",IFERROR(INDEX(Clay_Offices!$A$2:$FZ$601,597,Sync!$C$6)&amp;"",""))</f>
        <v/>
      </c>
      <c r="F2848" s="17">
        <f>IF(B2848="","","outreach_sent")</f>
        <v/>
      </c>
      <c r="G2848" s="17">
        <f>IF(B2848="","","")</f>
        <v/>
      </c>
      <c r="H2848" s="17">
        <f>IF(B2848="","","")</f>
        <v/>
      </c>
      <c r="I2848" s="17">
        <f>IF(B2848="","","")</f>
        <v/>
      </c>
      <c r="J2848" s="17">
        <f>IF(B2848="","","touch_2; "&amp;IFERROR(INDEX(Clay_Offices!$A$2:$FZ$601,597,Sync!$C$10)&amp;"","")&amp;"; "&amp;IFERROR(INDEX(Clay_Offices!$A$2:$FZ$601,597,Sync!$C$9)&amp;"",""))</f>
        <v/>
      </c>
      <c r="K2848" t="inlineStr">
        <is>
          <t>office outreach touch 2</t>
        </is>
      </c>
    </row>
    <row r="2849">
      <c r="A2849" s="17">
        <f>IF(B2849="","",B2849+(13*1000+598)/10000000)</f>
        <v/>
      </c>
      <c r="B2849" s="23">
        <f>IF(AND(IFERROR(N(INDEX(Clay_Offices!$A$2:$FZ$601,598,Sync!$C$12)),0)&gt;0,IFERROR(INDEX(Clay_Offices!$A$2:$FZ$601,598,Sync!$C$5)&amp;"","")&lt;&gt;"",OR(LEFT(IFERROR(INDEX(Clay_Offices!$A$2:$FZ$601,598,Sync!$C$5)&amp;"",""),6)&lt;&gt;"SAMPLE",Config!$B$19="Y")),IFERROR(N(INDEX(Clay_Offices!$A$2:$FZ$601,598,Sync!$C$12)),0),"")</f>
        <v/>
      </c>
      <c r="C2849" s="17">
        <f>IF(B2849="","","office")</f>
        <v/>
      </c>
      <c r="D2849" s="17">
        <f>IF(B2849="","",IFERROR(INDEX(Clay_Offices!$A$2:$FZ$601,598,Sync!$C$5)&amp;"",""))</f>
        <v/>
      </c>
      <c r="E2849" s="17">
        <f>IF(B2849="","",IFERROR(INDEX(Clay_Offices!$A$2:$FZ$601,598,Sync!$C$6)&amp;"",""))</f>
        <v/>
      </c>
      <c r="F2849" s="17">
        <f>IF(B2849="","","outreach_sent")</f>
        <v/>
      </c>
      <c r="G2849" s="17">
        <f>IF(B2849="","","")</f>
        <v/>
      </c>
      <c r="H2849" s="17">
        <f>IF(B2849="","","")</f>
        <v/>
      </c>
      <c r="I2849" s="17">
        <f>IF(B2849="","","")</f>
        <v/>
      </c>
      <c r="J2849" s="17">
        <f>IF(B2849="","","touch_2; "&amp;IFERROR(INDEX(Clay_Offices!$A$2:$FZ$601,598,Sync!$C$10)&amp;"","")&amp;"; "&amp;IFERROR(INDEX(Clay_Offices!$A$2:$FZ$601,598,Sync!$C$9)&amp;"",""))</f>
        <v/>
      </c>
      <c r="K2849" t="inlineStr">
        <is>
          <t>office outreach touch 2</t>
        </is>
      </c>
    </row>
    <row r="2850">
      <c r="A2850" s="17">
        <f>IF(B2850="","",B2850+(13*1000+599)/10000000)</f>
        <v/>
      </c>
      <c r="B2850" s="23">
        <f>IF(AND(IFERROR(N(INDEX(Clay_Offices!$A$2:$FZ$601,599,Sync!$C$12)),0)&gt;0,IFERROR(INDEX(Clay_Offices!$A$2:$FZ$601,599,Sync!$C$5)&amp;"","")&lt;&gt;"",OR(LEFT(IFERROR(INDEX(Clay_Offices!$A$2:$FZ$601,599,Sync!$C$5)&amp;"",""),6)&lt;&gt;"SAMPLE",Config!$B$19="Y")),IFERROR(N(INDEX(Clay_Offices!$A$2:$FZ$601,599,Sync!$C$12)),0),"")</f>
        <v/>
      </c>
      <c r="C2850" s="17">
        <f>IF(B2850="","","office")</f>
        <v/>
      </c>
      <c r="D2850" s="17">
        <f>IF(B2850="","",IFERROR(INDEX(Clay_Offices!$A$2:$FZ$601,599,Sync!$C$5)&amp;"",""))</f>
        <v/>
      </c>
      <c r="E2850" s="17">
        <f>IF(B2850="","",IFERROR(INDEX(Clay_Offices!$A$2:$FZ$601,599,Sync!$C$6)&amp;"",""))</f>
        <v/>
      </c>
      <c r="F2850" s="17">
        <f>IF(B2850="","","outreach_sent")</f>
        <v/>
      </c>
      <c r="G2850" s="17">
        <f>IF(B2850="","","")</f>
        <v/>
      </c>
      <c r="H2850" s="17">
        <f>IF(B2850="","","")</f>
        <v/>
      </c>
      <c r="I2850" s="17">
        <f>IF(B2850="","","")</f>
        <v/>
      </c>
      <c r="J2850" s="17">
        <f>IF(B2850="","","touch_2; "&amp;IFERROR(INDEX(Clay_Offices!$A$2:$FZ$601,599,Sync!$C$10)&amp;"","")&amp;"; "&amp;IFERROR(INDEX(Clay_Offices!$A$2:$FZ$601,599,Sync!$C$9)&amp;"",""))</f>
        <v/>
      </c>
      <c r="K2850" t="inlineStr">
        <is>
          <t>office outreach touch 2</t>
        </is>
      </c>
    </row>
    <row r="2851">
      <c r="A2851" s="17">
        <f>IF(B2851="","",B2851+(13*1000+600)/10000000)</f>
        <v/>
      </c>
      <c r="B2851" s="23">
        <f>IF(AND(IFERROR(N(INDEX(Clay_Offices!$A$2:$FZ$601,600,Sync!$C$12)),0)&gt;0,IFERROR(INDEX(Clay_Offices!$A$2:$FZ$601,600,Sync!$C$5)&amp;"","")&lt;&gt;"",OR(LEFT(IFERROR(INDEX(Clay_Offices!$A$2:$FZ$601,600,Sync!$C$5)&amp;"",""),6)&lt;&gt;"SAMPLE",Config!$B$19="Y")),IFERROR(N(INDEX(Clay_Offices!$A$2:$FZ$601,600,Sync!$C$12)),0),"")</f>
        <v/>
      </c>
      <c r="C2851" s="17">
        <f>IF(B2851="","","office")</f>
        <v/>
      </c>
      <c r="D2851" s="17">
        <f>IF(B2851="","",IFERROR(INDEX(Clay_Offices!$A$2:$FZ$601,600,Sync!$C$5)&amp;"",""))</f>
        <v/>
      </c>
      <c r="E2851" s="17">
        <f>IF(B2851="","",IFERROR(INDEX(Clay_Offices!$A$2:$FZ$601,600,Sync!$C$6)&amp;"",""))</f>
        <v/>
      </c>
      <c r="F2851" s="17">
        <f>IF(B2851="","","outreach_sent")</f>
        <v/>
      </c>
      <c r="G2851" s="17">
        <f>IF(B2851="","","")</f>
        <v/>
      </c>
      <c r="H2851" s="17">
        <f>IF(B2851="","","")</f>
        <v/>
      </c>
      <c r="I2851" s="17">
        <f>IF(B2851="","","")</f>
        <v/>
      </c>
      <c r="J2851" s="17">
        <f>IF(B2851="","","touch_2; "&amp;IFERROR(INDEX(Clay_Offices!$A$2:$FZ$601,600,Sync!$C$10)&amp;"","")&amp;"; "&amp;IFERROR(INDEX(Clay_Offices!$A$2:$FZ$601,600,Sync!$C$9)&amp;"",""))</f>
        <v/>
      </c>
      <c r="K2851" t="inlineStr">
        <is>
          <t>office outreach touch 2</t>
        </is>
      </c>
    </row>
    <row r="2852">
      <c r="A2852" s="17">
        <f>IF(B2852="","",B2852+(14*1000+1)/10000000)</f>
        <v/>
      </c>
      <c r="B2852" s="23">
        <f>IF(AND(IFERROR(N(INDEX(Clay_Offices!$A$2:$FZ$601,1,Sync!$C$13)),0)&gt;0,IFERROR(INDEX(Clay_Offices!$A$2:$FZ$601,1,Sync!$C$5)&amp;"","")&lt;&gt;"",OR(LEFT(IFERROR(INDEX(Clay_Offices!$A$2:$FZ$601,1,Sync!$C$5)&amp;"",""),6)&lt;&gt;"SAMPLE",Config!$B$19="Y")),IFERROR(N(INDEX(Clay_Offices!$A$2:$FZ$601,1,Sync!$C$13)),0),"")</f>
        <v/>
      </c>
      <c r="C2852" s="17">
        <f>IF(B2852="","","office")</f>
        <v/>
      </c>
      <c r="D2852" s="17">
        <f>IF(B2852="","",IFERROR(INDEX(Clay_Offices!$A$2:$FZ$601,1,Sync!$C$5)&amp;"",""))</f>
        <v/>
      </c>
      <c r="E2852" s="17">
        <f>IF(B2852="","",IFERROR(INDEX(Clay_Offices!$A$2:$FZ$601,1,Sync!$C$6)&amp;"",""))</f>
        <v/>
      </c>
      <c r="F2852" s="17">
        <f>IF(B2852="","","outreach_sent")</f>
        <v/>
      </c>
      <c r="G2852" s="17">
        <f>IF(B2852="","","")</f>
        <v/>
      </c>
      <c r="H2852" s="17">
        <f>IF(B2852="","","")</f>
        <v/>
      </c>
      <c r="I2852" s="17">
        <f>IF(B2852="","","")</f>
        <v/>
      </c>
      <c r="J2852" s="17">
        <f>IF(B2852="","","touch_3; "&amp;IFERROR(INDEX(Clay_Offices!$A$2:$FZ$601,1,Sync!$C$10)&amp;"","")&amp;"; "&amp;IFERROR(INDEX(Clay_Offices!$A$2:$FZ$601,1,Sync!$C$9)&amp;"",""))</f>
        <v/>
      </c>
      <c r="K2852" t="inlineStr">
        <is>
          <t>office outreach touch 3</t>
        </is>
      </c>
    </row>
    <row r="2853">
      <c r="A2853" s="17">
        <f>IF(B2853="","",B2853+(14*1000+2)/10000000)</f>
        <v/>
      </c>
      <c r="B2853" s="23">
        <f>IF(AND(IFERROR(N(INDEX(Clay_Offices!$A$2:$FZ$601,2,Sync!$C$13)),0)&gt;0,IFERROR(INDEX(Clay_Offices!$A$2:$FZ$601,2,Sync!$C$5)&amp;"","")&lt;&gt;"",OR(LEFT(IFERROR(INDEX(Clay_Offices!$A$2:$FZ$601,2,Sync!$C$5)&amp;"",""),6)&lt;&gt;"SAMPLE",Config!$B$19="Y")),IFERROR(N(INDEX(Clay_Offices!$A$2:$FZ$601,2,Sync!$C$13)),0),"")</f>
        <v/>
      </c>
      <c r="C2853" s="17">
        <f>IF(B2853="","","office")</f>
        <v/>
      </c>
      <c r="D2853" s="17">
        <f>IF(B2853="","",IFERROR(INDEX(Clay_Offices!$A$2:$FZ$601,2,Sync!$C$5)&amp;"",""))</f>
        <v/>
      </c>
      <c r="E2853" s="17">
        <f>IF(B2853="","",IFERROR(INDEX(Clay_Offices!$A$2:$FZ$601,2,Sync!$C$6)&amp;"",""))</f>
        <v/>
      </c>
      <c r="F2853" s="17">
        <f>IF(B2853="","","outreach_sent")</f>
        <v/>
      </c>
      <c r="G2853" s="17">
        <f>IF(B2853="","","")</f>
        <v/>
      </c>
      <c r="H2853" s="17">
        <f>IF(B2853="","","")</f>
        <v/>
      </c>
      <c r="I2853" s="17">
        <f>IF(B2853="","","")</f>
        <v/>
      </c>
      <c r="J2853" s="17">
        <f>IF(B2853="","","touch_3; "&amp;IFERROR(INDEX(Clay_Offices!$A$2:$FZ$601,2,Sync!$C$10)&amp;"","")&amp;"; "&amp;IFERROR(INDEX(Clay_Offices!$A$2:$FZ$601,2,Sync!$C$9)&amp;"",""))</f>
        <v/>
      </c>
      <c r="K2853" t="inlineStr">
        <is>
          <t>office outreach touch 3</t>
        </is>
      </c>
    </row>
    <row r="2854">
      <c r="A2854" s="17">
        <f>IF(B2854="","",B2854+(14*1000+3)/10000000)</f>
        <v/>
      </c>
      <c r="B2854" s="23">
        <f>IF(AND(IFERROR(N(INDEX(Clay_Offices!$A$2:$FZ$601,3,Sync!$C$13)),0)&gt;0,IFERROR(INDEX(Clay_Offices!$A$2:$FZ$601,3,Sync!$C$5)&amp;"","")&lt;&gt;"",OR(LEFT(IFERROR(INDEX(Clay_Offices!$A$2:$FZ$601,3,Sync!$C$5)&amp;"",""),6)&lt;&gt;"SAMPLE",Config!$B$19="Y")),IFERROR(N(INDEX(Clay_Offices!$A$2:$FZ$601,3,Sync!$C$13)),0),"")</f>
        <v/>
      </c>
      <c r="C2854" s="17">
        <f>IF(B2854="","","office")</f>
        <v/>
      </c>
      <c r="D2854" s="17">
        <f>IF(B2854="","",IFERROR(INDEX(Clay_Offices!$A$2:$FZ$601,3,Sync!$C$5)&amp;"",""))</f>
        <v/>
      </c>
      <c r="E2854" s="17">
        <f>IF(B2854="","",IFERROR(INDEX(Clay_Offices!$A$2:$FZ$601,3,Sync!$C$6)&amp;"",""))</f>
        <v/>
      </c>
      <c r="F2854" s="17">
        <f>IF(B2854="","","outreach_sent")</f>
        <v/>
      </c>
      <c r="G2854" s="17">
        <f>IF(B2854="","","")</f>
        <v/>
      </c>
      <c r="H2854" s="17">
        <f>IF(B2854="","","")</f>
        <v/>
      </c>
      <c r="I2854" s="17">
        <f>IF(B2854="","","")</f>
        <v/>
      </c>
      <c r="J2854" s="17">
        <f>IF(B2854="","","touch_3; "&amp;IFERROR(INDEX(Clay_Offices!$A$2:$FZ$601,3,Sync!$C$10)&amp;"","")&amp;"; "&amp;IFERROR(INDEX(Clay_Offices!$A$2:$FZ$601,3,Sync!$C$9)&amp;"",""))</f>
        <v/>
      </c>
      <c r="K2854" t="inlineStr">
        <is>
          <t>office outreach touch 3</t>
        </is>
      </c>
    </row>
    <row r="2855">
      <c r="A2855" s="17">
        <f>IF(B2855="","",B2855+(14*1000+4)/10000000)</f>
        <v/>
      </c>
      <c r="B2855" s="23">
        <f>IF(AND(IFERROR(N(INDEX(Clay_Offices!$A$2:$FZ$601,4,Sync!$C$13)),0)&gt;0,IFERROR(INDEX(Clay_Offices!$A$2:$FZ$601,4,Sync!$C$5)&amp;"","")&lt;&gt;"",OR(LEFT(IFERROR(INDEX(Clay_Offices!$A$2:$FZ$601,4,Sync!$C$5)&amp;"",""),6)&lt;&gt;"SAMPLE",Config!$B$19="Y")),IFERROR(N(INDEX(Clay_Offices!$A$2:$FZ$601,4,Sync!$C$13)),0),"")</f>
        <v/>
      </c>
      <c r="C2855" s="17">
        <f>IF(B2855="","","office")</f>
        <v/>
      </c>
      <c r="D2855" s="17">
        <f>IF(B2855="","",IFERROR(INDEX(Clay_Offices!$A$2:$FZ$601,4,Sync!$C$5)&amp;"",""))</f>
        <v/>
      </c>
      <c r="E2855" s="17">
        <f>IF(B2855="","",IFERROR(INDEX(Clay_Offices!$A$2:$FZ$601,4,Sync!$C$6)&amp;"",""))</f>
        <v/>
      </c>
      <c r="F2855" s="17">
        <f>IF(B2855="","","outreach_sent")</f>
        <v/>
      </c>
      <c r="G2855" s="17">
        <f>IF(B2855="","","")</f>
        <v/>
      </c>
      <c r="H2855" s="17">
        <f>IF(B2855="","","")</f>
        <v/>
      </c>
      <c r="I2855" s="17">
        <f>IF(B2855="","","")</f>
        <v/>
      </c>
      <c r="J2855" s="17">
        <f>IF(B2855="","","touch_3; "&amp;IFERROR(INDEX(Clay_Offices!$A$2:$FZ$601,4,Sync!$C$10)&amp;"","")&amp;"; "&amp;IFERROR(INDEX(Clay_Offices!$A$2:$FZ$601,4,Sync!$C$9)&amp;"",""))</f>
        <v/>
      </c>
      <c r="K2855" t="inlineStr">
        <is>
          <t>office outreach touch 3</t>
        </is>
      </c>
    </row>
    <row r="2856">
      <c r="A2856" s="17">
        <f>IF(B2856="","",B2856+(14*1000+5)/10000000)</f>
        <v/>
      </c>
      <c r="B2856" s="23">
        <f>IF(AND(IFERROR(N(INDEX(Clay_Offices!$A$2:$FZ$601,5,Sync!$C$13)),0)&gt;0,IFERROR(INDEX(Clay_Offices!$A$2:$FZ$601,5,Sync!$C$5)&amp;"","")&lt;&gt;"",OR(LEFT(IFERROR(INDEX(Clay_Offices!$A$2:$FZ$601,5,Sync!$C$5)&amp;"",""),6)&lt;&gt;"SAMPLE",Config!$B$19="Y")),IFERROR(N(INDEX(Clay_Offices!$A$2:$FZ$601,5,Sync!$C$13)),0),"")</f>
        <v/>
      </c>
      <c r="C2856" s="17">
        <f>IF(B2856="","","office")</f>
        <v/>
      </c>
      <c r="D2856" s="17">
        <f>IF(B2856="","",IFERROR(INDEX(Clay_Offices!$A$2:$FZ$601,5,Sync!$C$5)&amp;"",""))</f>
        <v/>
      </c>
      <c r="E2856" s="17">
        <f>IF(B2856="","",IFERROR(INDEX(Clay_Offices!$A$2:$FZ$601,5,Sync!$C$6)&amp;"",""))</f>
        <v/>
      </c>
      <c r="F2856" s="17">
        <f>IF(B2856="","","outreach_sent")</f>
        <v/>
      </c>
      <c r="G2856" s="17">
        <f>IF(B2856="","","")</f>
        <v/>
      </c>
      <c r="H2856" s="17">
        <f>IF(B2856="","","")</f>
        <v/>
      </c>
      <c r="I2856" s="17">
        <f>IF(B2856="","","")</f>
        <v/>
      </c>
      <c r="J2856" s="17">
        <f>IF(B2856="","","touch_3; "&amp;IFERROR(INDEX(Clay_Offices!$A$2:$FZ$601,5,Sync!$C$10)&amp;"","")&amp;"; "&amp;IFERROR(INDEX(Clay_Offices!$A$2:$FZ$601,5,Sync!$C$9)&amp;"",""))</f>
        <v/>
      </c>
      <c r="K2856" t="inlineStr">
        <is>
          <t>office outreach touch 3</t>
        </is>
      </c>
    </row>
    <row r="2857">
      <c r="A2857" s="17">
        <f>IF(B2857="","",B2857+(14*1000+6)/10000000)</f>
        <v/>
      </c>
      <c r="B2857" s="23">
        <f>IF(AND(IFERROR(N(INDEX(Clay_Offices!$A$2:$FZ$601,6,Sync!$C$13)),0)&gt;0,IFERROR(INDEX(Clay_Offices!$A$2:$FZ$601,6,Sync!$C$5)&amp;"","")&lt;&gt;"",OR(LEFT(IFERROR(INDEX(Clay_Offices!$A$2:$FZ$601,6,Sync!$C$5)&amp;"",""),6)&lt;&gt;"SAMPLE",Config!$B$19="Y")),IFERROR(N(INDEX(Clay_Offices!$A$2:$FZ$601,6,Sync!$C$13)),0),"")</f>
        <v/>
      </c>
      <c r="C2857" s="17">
        <f>IF(B2857="","","office")</f>
        <v/>
      </c>
      <c r="D2857" s="17">
        <f>IF(B2857="","",IFERROR(INDEX(Clay_Offices!$A$2:$FZ$601,6,Sync!$C$5)&amp;"",""))</f>
        <v/>
      </c>
      <c r="E2857" s="17">
        <f>IF(B2857="","",IFERROR(INDEX(Clay_Offices!$A$2:$FZ$601,6,Sync!$C$6)&amp;"",""))</f>
        <v/>
      </c>
      <c r="F2857" s="17">
        <f>IF(B2857="","","outreach_sent")</f>
        <v/>
      </c>
      <c r="G2857" s="17">
        <f>IF(B2857="","","")</f>
        <v/>
      </c>
      <c r="H2857" s="17">
        <f>IF(B2857="","","")</f>
        <v/>
      </c>
      <c r="I2857" s="17">
        <f>IF(B2857="","","")</f>
        <v/>
      </c>
      <c r="J2857" s="17">
        <f>IF(B2857="","","touch_3; "&amp;IFERROR(INDEX(Clay_Offices!$A$2:$FZ$601,6,Sync!$C$10)&amp;"","")&amp;"; "&amp;IFERROR(INDEX(Clay_Offices!$A$2:$FZ$601,6,Sync!$C$9)&amp;"",""))</f>
        <v/>
      </c>
      <c r="K2857" t="inlineStr">
        <is>
          <t>office outreach touch 3</t>
        </is>
      </c>
    </row>
    <row r="2858">
      <c r="A2858" s="17">
        <f>IF(B2858="","",B2858+(14*1000+7)/10000000)</f>
        <v/>
      </c>
      <c r="B2858" s="23">
        <f>IF(AND(IFERROR(N(INDEX(Clay_Offices!$A$2:$FZ$601,7,Sync!$C$13)),0)&gt;0,IFERROR(INDEX(Clay_Offices!$A$2:$FZ$601,7,Sync!$C$5)&amp;"","")&lt;&gt;"",OR(LEFT(IFERROR(INDEX(Clay_Offices!$A$2:$FZ$601,7,Sync!$C$5)&amp;"",""),6)&lt;&gt;"SAMPLE",Config!$B$19="Y")),IFERROR(N(INDEX(Clay_Offices!$A$2:$FZ$601,7,Sync!$C$13)),0),"")</f>
        <v/>
      </c>
      <c r="C2858" s="17">
        <f>IF(B2858="","","office")</f>
        <v/>
      </c>
      <c r="D2858" s="17">
        <f>IF(B2858="","",IFERROR(INDEX(Clay_Offices!$A$2:$FZ$601,7,Sync!$C$5)&amp;"",""))</f>
        <v/>
      </c>
      <c r="E2858" s="17">
        <f>IF(B2858="","",IFERROR(INDEX(Clay_Offices!$A$2:$FZ$601,7,Sync!$C$6)&amp;"",""))</f>
        <v/>
      </c>
      <c r="F2858" s="17">
        <f>IF(B2858="","","outreach_sent")</f>
        <v/>
      </c>
      <c r="G2858" s="17">
        <f>IF(B2858="","","")</f>
        <v/>
      </c>
      <c r="H2858" s="17">
        <f>IF(B2858="","","")</f>
        <v/>
      </c>
      <c r="I2858" s="17">
        <f>IF(B2858="","","")</f>
        <v/>
      </c>
      <c r="J2858" s="17">
        <f>IF(B2858="","","touch_3; "&amp;IFERROR(INDEX(Clay_Offices!$A$2:$FZ$601,7,Sync!$C$10)&amp;"","")&amp;"; "&amp;IFERROR(INDEX(Clay_Offices!$A$2:$FZ$601,7,Sync!$C$9)&amp;"",""))</f>
        <v/>
      </c>
      <c r="K2858" t="inlineStr">
        <is>
          <t>office outreach touch 3</t>
        </is>
      </c>
    </row>
    <row r="2859">
      <c r="A2859" s="17">
        <f>IF(B2859="","",B2859+(14*1000+8)/10000000)</f>
        <v/>
      </c>
      <c r="B2859" s="23">
        <f>IF(AND(IFERROR(N(INDEX(Clay_Offices!$A$2:$FZ$601,8,Sync!$C$13)),0)&gt;0,IFERROR(INDEX(Clay_Offices!$A$2:$FZ$601,8,Sync!$C$5)&amp;"","")&lt;&gt;"",OR(LEFT(IFERROR(INDEX(Clay_Offices!$A$2:$FZ$601,8,Sync!$C$5)&amp;"",""),6)&lt;&gt;"SAMPLE",Config!$B$19="Y")),IFERROR(N(INDEX(Clay_Offices!$A$2:$FZ$601,8,Sync!$C$13)),0),"")</f>
        <v/>
      </c>
      <c r="C2859" s="17">
        <f>IF(B2859="","","office")</f>
        <v/>
      </c>
      <c r="D2859" s="17">
        <f>IF(B2859="","",IFERROR(INDEX(Clay_Offices!$A$2:$FZ$601,8,Sync!$C$5)&amp;"",""))</f>
        <v/>
      </c>
      <c r="E2859" s="17">
        <f>IF(B2859="","",IFERROR(INDEX(Clay_Offices!$A$2:$FZ$601,8,Sync!$C$6)&amp;"",""))</f>
        <v/>
      </c>
      <c r="F2859" s="17">
        <f>IF(B2859="","","outreach_sent")</f>
        <v/>
      </c>
      <c r="G2859" s="17">
        <f>IF(B2859="","","")</f>
        <v/>
      </c>
      <c r="H2859" s="17">
        <f>IF(B2859="","","")</f>
        <v/>
      </c>
      <c r="I2859" s="17">
        <f>IF(B2859="","","")</f>
        <v/>
      </c>
      <c r="J2859" s="17">
        <f>IF(B2859="","","touch_3; "&amp;IFERROR(INDEX(Clay_Offices!$A$2:$FZ$601,8,Sync!$C$10)&amp;"","")&amp;"; "&amp;IFERROR(INDEX(Clay_Offices!$A$2:$FZ$601,8,Sync!$C$9)&amp;"",""))</f>
        <v/>
      </c>
      <c r="K2859" t="inlineStr">
        <is>
          <t>office outreach touch 3</t>
        </is>
      </c>
    </row>
    <row r="2860">
      <c r="A2860" s="17">
        <f>IF(B2860="","",B2860+(14*1000+9)/10000000)</f>
        <v/>
      </c>
      <c r="B2860" s="23">
        <f>IF(AND(IFERROR(N(INDEX(Clay_Offices!$A$2:$FZ$601,9,Sync!$C$13)),0)&gt;0,IFERROR(INDEX(Clay_Offices!$A$2:$FZ$601,9,Sync!$C$5)&amp;"","")&lt;&gt;"",OR(LEFT(IFERROR(INDEX(Clay_Offices!$A$2:$FZ$601,9,Sync!$C$5)&amp;"",""),6)&lt;&gt;"SAMPLE",Config!$B$19="Y")),IFERROR(N(INDEX(Clay_Offices!$A$2:$FZ$601,9,Sync!$C$13)),0),"")</f>
        <v/>
      </c>
      <c r="C2860" s="17">
        <f>IF(B2860="","","office")</f>
        <v/>
      </c>
      <c r="D2860" s="17">
        <f>IF(B2860="","",IFERROR(INDEX(Clay_Offices!$A$2:$FZ$601,9,Sync!$C$5)&amp;"",""))</f>
        <v/>
      </c>
      <c r="E2860" s="17">
        <f>IF(B2860="","",IFERROR(INDEX(Clay_Offices!$A$2:$FZ$601,9,Sync!$C$6)&amp;"",""))</f>
        <v/>
      </c>
      <c r="F2860" s="17">
        <f>IF(B2860="","","outreach_sent")</f>
        <v/>
      </c>
      <c r="G2860" s="17">
        <f>IF(B2860="","","")</f>
        <v/>
      </c>
      <c r="H2860" s="17">
        <f>IF(B2860="","","")</f>
        <v/>
      </c>
      <c r="I2860" s="17">
        <f>IF(B2860="","","")</f>
        <v/>
      </c>
      <c r="J2860" s="17">
        <f>IF(B2860="","","touch_3; "&amp;IFERROR(INDEX(Clay_Offices!$A$2:$FZ$601,9,Sync!$C$10)&amp;"","")&amp;"; "&amp;IFERROR(INDEX(Clay_Offices!$A$2:$FZ$601,9,Sync!$C$9)&amp;"",""))</f>
        <v/>
      </c>
      <c r="K2860" t="inlineStr">
        <is>
          <t>office outreach touch 3</t>
        </is>
      </c>
    </row>
    <row r="2861">
      <c r="A2861" s="17">
        <f>IF(B2861="","",B2861+(14*1000+10)/10000000)</f>
        <v/>
      </c>
      <c r="B2861" s="23">
        <f>IF(AND(IFERROR(N(INDEX(Clay_Offices!$A$2:$FZ$601,10,Sync!$C$13)),0)&gt;0,IFERROR(INDEX(Clay_Offices!$A$2:$FZ$601,10,Sync!$C$5)&amp;"","")&lt;&gt;"",OR(LEFT(IFERROR(INDEX(Clay_Offices!$A$2:$FZ$601,10,Sync!$C$5)&amp;"",""),6)&lt;&gt;"SAMPLE",Config!$B$19="Y")),IFERROR(N(INDEX(Clay_Offices!$A$2:$FZ$601,10,Sync!$C$13)),0),"")</f>
        <v/>
      </c>
      <c r="C2861" s="17">
        <f>IF(B2861="","","office")</f>
        <v/>
      </c>
      <c r="D2861" s="17">
        <f>IF(B2861="","",IFERROR(INDEX(Clay_Offices!$A$2:$FZ$601,10,Sync!$C$5)&amp;"",""))</f>
        <v/>
      </c>
      <c r="E2861" s="17">
        <f>IF(B2861="","",IFERROR(INDEX(Clay_Offices!$A$2:$FZ$601,10,Sync!$C$6)&amp;"",""))</f>
        <v/>
      </c>
      <c r="F2861" s="17">
        <f>IF(B2861="","","outreach_sent")</f>
        <v/>
      </c>
      <c r="G2861" s="17">
        <f>IF(B2861="","","")</f>
        <v/>
      </c>
      <c r="H2861" s="17">
        <f>IF(B2861="","","")</f>
        <v/>
      </c>
      <c r="I2861" s="17">
        <f>IF(B2861="","","")</f>
        <v/>
      </c>
      <c r="J2861" s="17">
        <f>IF(B2861="","","touch_3; "&amp;IFERROR(INDEX(Clay_Offices!$A$2:$FZ$601,10,Sync!$C$10)&amp;"","")&amp;"; "&amp;IFERROR(INDEX(Clay_Offices!$A$2:$FZ$601,10,Sync!$C$9)&amp;"",""))</f>
        <v/>
      </c>
      <c r="K2861" t="inlineStr">
        <is>
          <t>office outreach touch 3</t>
        </is>
      </c>
    </row>
    <row r="2862">
      <c r="A2862" s="17">
        <f>IF(B2862="","",B2862+(14*1000+11)/10000000)</f>
        <v/>
      </c>
      <c r="B2862" s="23">
        <f>IF(AND(IFERROR(N(INDEX(Clay_Offices!$A$2:$FZ$601,11,Sync!$C$13)),0)&gt;0,IFERROR(INDEX(Clay_Offices!$A$2:$FZ$601,11,Sync!$C$5)&amp;"","")&lt;&gt;"",OR(LEFT(IFERROR(INDEX(Clay_Offices!$A$2:$FZ$601,11,Sync!$C$5)&amp;"",""),6)&lt;&gt;"SAMPLE",Config!$B$19="Y")),IFERROR(N(INDEX(Clay_Offices!$A$2:$FZ$601,11,Sync!$C$13)),0),"")</f>
        <v/>
      </c>
      <c r="C2862" s="17">
        <f>IF(B2862="","","office")</f>
        <v/>
      </c>
      <c r="D2862" s="17">
        <f>IF(B2862="","",IFERROR(INDEX(Clay_Offices!$A$2:$FZ$601,11,Sync!$C$5)&amp;"",""))</f>
        <v/>
      </c>
      <c r="E2862" s="17">
        <f>IF(B2862="","",IFERROR(INDEX(Clay_Offices!$A$2:$FZ$601,11,Sync!$C$6)&amp;"",""))</f>
        <v/>
      </c>
      <c r="F2862" s="17">
        <f>IF(B2862="","","outreach_sent")</f>
        <v/>
      </c>
      <c r="G2862" s="17">
        <f>IF(B2862="","","")</f>
        <v/>
      </c>
      <c r="H2862" s="17">
        <f>IF(B2862="","","")</f>
        <v/>
      </c>
      <c r="I2862" s="17">
        <f>IF(B2862="","","")</f>
        <v/>
      </c>
      <c r="J2862" s="17">
        <f>IF(B2862="","","touch_3; "&amp;IFERROR(INDEX(Clay_Offices!$A$2:$FZ$601,11,Sync!$C$10)&amp;"","")&amp;"; "&amp;IFERROR(INDEX(Clay_Offices!$A$2:$FZ$601,11,Sync!$C$9)&amp;"",""))</f>
        <v/>
      </c>
      <c r="K2862" t="inlineStr">
        <is>
          <t>office outreach touch 3</t>
        </is>
      </c>
    </row>
    <row r="2863">
      <c r="A2863" s="17">
        <f>IF(B2863="","",B2863+(14*1000+12)/10000000)</f>
        <v/>
      </c>
      <c r="B2863" s="23">
        <f>IF(AND(IFERROR(N(INDEX(Clay_Offices!$A$2:$FZ$601,12,Sync!$C$13)),0)&gt;0,IFERROR(INDEX(Clay_Offices!$A$2:$FZ$601,12,Sync!$C$5)&amp;"","")&lt;&gt;"",OR(LEFT(IFERROR(INDEX(Clay_Offices!$A$2:$FZ$601,12,Sync!$C$5)&amp;"",""),6)&lt;&gt;"SAMPLE",Config!$B$19="Y")),IFERROR(N(INDEX(Clay_Offices!$A$2:$FZ$601,12,Sync!$C$13)),0),"")</f>
        <v/>
      </c>
      <c r="C2863" s="17">
        <f>IF(B2863="","","office")</f>
        <v/>
      </c>
      <c r="D2863" s="17">
        <f>IF(B2863="","",IFERROR(INDEX(Clay_Offices!$A$2:$FZ$601,12,Sync!$C$5)&amp;"",""))</f>
        <v/>
      </c>
      <c r="E2863" s="17">
        <f>IF(B2863="","",IFERROR(INDEX(Clay_Offices!$A$2:$FZ$601,12,Sync!$C$6)&amp;"",""))</f>
        <v/>
      </c>
      <c r="F2863" s="17">
        <f>IF(B2863="","","outreach_sent")</f>
        <v/>
      </c>
      <c r="G2863" s="17">
        <f>IF(B2863="","","")</f>
        <v/>
      </c>
      <c r="H2863" s="17">
        <f>IF(B2863="","","")</f>
        <v/>
      </c>
      <c r="I2863" s="17">
        <f>IF(B2863="","","")</f>
        <v/>
      </c>
      <c r="J2863" s="17">
        <f>IF(B2863="","","touch_3; "&amp;IFERROR(INDEX(Clay_Offices!$A$2:$FZ$601,12,Sync!$C$10)&amp;"","")&amp;"; "&amp;IFERROR(INDEX(Clay_Offices!$A$2:$FZ$601,12,Sync!$C$9)&amp;"",""))</f>
        <v/>
      </c>
      <c r="K2863" t="inlineStr">
        <is>
          <t>office outreach touch 3</t>
        </is>
      </c>
    </row>
    <row r="2864">
      <c r="A2864" s="17">
        <f>IF(B2864="","",B2864+(14*1000+13)/10000000)</f>
        <v/>
      </c>
      <c r="B2864" s="23">
        <f>IF(AND(IFERROR(N(INDEX(Clay_Offices!$A$2:$FZ$601,13,Sync!$C$13)),0)&gt;0,IFERROR(INDEX(Clay_Offices!$A$2:$FZ$601,13,Sync!$C$5)&amp;"","")&lt;&gt;"",OR(LEFT(IFERROR(INDEX(Clay_Offices!$A$2:$FZ$601,13,Sync!$C$5)&amp;"",""),6)&lt;&gt;"SAMPLE",Config!$B$19="Y")),IFERROR(N(INDEX(Clay_Offices!$A$2:$FZ$601,13,Sync!$C$13)),0),"")</f>
        <v/>
      </c>
      <c r="C2864" s="17">
        <f>IF(B2864="","","office")</f>
        <v/>
      </c>
      <c r="D2864" s="17">
        <f>IF(B2864="","",IFERROR(INDEX(Clay_Offices!$A$2:$FZ$601,13,Sync!$C$5)&amp;"",""))</f>
        <v/>
      </c>
      <c r="E2864" s="17">
        <f>IF(B2864="","",IFERROR(INDEX(Clay_Offices!$A$2:$FZ$601,13,Sync!$C$6)&amp;"",""))</f>
        <v/>
      </c>
      <c r="F2864" s="17">
        <f>IF(B2864="","","outreach_sent")</f>
        <v/>
      </c>
      <c r="G2864" s="17">
        <f>IF(B2864="","","")</f>
        <v/>
      </c>
      <c r="H2864" s="17">
        <f>IF(B2864="","","")</f>
        <v/>
      </c>
      <c r="I2864" s="17">
        <f>IF(B2864="","","")</f>
        <v/>
      </c>
      <c r="J2864" s="17">
        <f>IF(B2864="","","touch_3; "&amp;IFERROR(INDEX(Clay_Offices!$A$2:$FZ$601,13,Sync!$C$10)&amp;"","")&amp;"; "&amp;IFERROR(INDEX(Clay_Offices!$A$2:$FZ$601,13,Sync!$C$9)&amp;"",""))</f>
        <v/>
      </c>
      <c r="K2864" t="inlineStr">
        <is>
          <t>office outreach touch 3</t>
        </is>
      </c>
    </row>
    <row r="2865">
      <c r="A2865" s="17">
        <f>IF(B2865="","",B2865+(14*1000+14)/10000000)</f>
        <v/>
      </c>
      <c r="B2865" s="23">
        <f>IF(AND(IFERROR(N(INDEX(Clay_Offices!$A$2:$FZ$601,14,Sync!$C$13)),0)&gt;0,IFERROR(INDEX(Clay_Offices!$A$2:$FZ$601,14,Sync!$C$5)&amp;"","")&lt;&gt;"",OR(LEFT(IFERROR(INDEX(Clay_Offices!$A$2:$FZ$601,14,Sync!$C$5)&amp;"",""),6)&lt;&gt;"SAMPLE",Config!$B$19="Y")),IFERROR(N(INDEX(Clay_Offices!$A$2:$FZ$601,14,Sync!$C$13)),0),"")</f>
        <v/>
      </c>
      <c r="C2865" s="17">
        <f>IF(B2865="","","office")</f>
        <v/>
      </c>
      <c r="D2865" s="17">
        <f>IF(B2865="","",IFERROR(INDEX(Clay_Offices!$A$2:$FZ$601,14,Sync!$C$5)&amp;"",""))</f>
        <v/>
      </c>
      <c r="E2865" s="17">
        <f>IF(B2865="","",IFERROR(INDEX(Clay_Offices!$A$2:$FZ$601,14,Sync!$C$6)&amp;"",""))</f>
        <v/>
      </c>
      <c r="F2865" s="17">
        <f>IF(B2865="","","outreach_sent")</f>
        <v/>
      </c>
      <c r="G2865" s="17">
        <f>IF(B2865="","","")</f>
        <v/>
      </c>
      <c r="H2865" s="17">
        <f>IF(B2865="","","")</f>
        <v/>
      </c>
      <c r="I2865" s="17">
        <f>IF(B2865="","","")</f>
        <v/>
      </c>
      <c r="J2865" s="17">
        <f>IF(B2865="","","touch_3; "&amp;IFERROR(INDEX(Clay_Offices!$A$2:$FZ$601,14,Sync!$C$10)&amp;"","")&amp;"; "&amp;IFERROR(INDEX(Clay_Offices!$A$2:$FZ$601,14,Sync!$C$9)&amp;"",""))</f>
        <v/>
      </c>
      <c r="K2865" t="inlineStr">
        <is>
          <t>office outreach touch 3</t>
        </is>
      </c>
    </row>
    <row r="2866">
      <c r="A2866" s="17">
        <f>IF(B2866="","",B2866+(14*1000+15)/10000000)</f>
        <v/>
      </c>
      <c r="B2866" s="23">
        <f>IF(AND(IFERROR(N(INDEX(Clay_Offices!$A$2:$FZ$601,15,Sync!$C$13)),0)&gt;0,IFERROR(INDEX(Clay_Offices!$A$2:$FZ$601,15,Sync!$C$5)&amp;"","")&lt;&gt;"",OR(LEFT(IFERROR(INDEX(Clay_Offices!$A$2:$FZ$601,15,Sync!$C$5)&amp;"",""),6)&lt;&gt;"SAMPLE",Config!$B$19="Y")),IFERROR(N(INDEX(Clay_Offices!$A$2:$FZ$601,15,Sync!$C$13)),0),"")</f>
        <v/>
      </c>
      <c r="C2866" s="17">
        <f>IF(B2866="","","office")</f>
        <v/>
      </c>
      <c r="D2866" s="17">
        <f>IF(B2866="","",IFERROR(INDEX(Clay_Offices!$A$2:$FZ$601,15,Sync!$C$5)&amp;"",""))</f>
        <v/>
      </c>
      <c r="E2866" s="17">
        <f>IF(B2866="","",IFERROR(INDEX(Clay_Offices!$A$2:$FZ$601,15,Sync!$C$6)&amp;"",""))</f>
        <v/>
      </c>
      <c r="F2866" s="17">
        <f>IF(B2866="","","outreach_sent")</f>
        <v/>
      </c>
      <c r="G2866" s="17">
        <f>IF(B2866="","","")</f>
        <v/>
      </c>
      <c r="H2866" s="17">
        <f>IF(B2866="","","")</f>
        <v/>
      </c>
      <c r="I2866" s="17">
        <f>IF(B2866="","","")</f>
        <v/>
      </c>
      <c r="J2866" s="17">
        <f>IF(B2866="","","touch_3; "&amp;IFERROR(INDEX(Clay_Offices!$A$2:$FZ$601,15,Sync!$C$10)&amp;"","")&amp;"; "&amp;IFERROR(INDEX(Clay_Offices!$A$2:$FZ$601,15,Sync!$C$9)&amp;"",""))</f>
        <v/>
      </c>
      <c r="K2866" t="inlineStr">
        <is>
          <t>office outreach touch 3</t>
        </is>
      </c>
    </row>
    <row r="2867">
      <c r="A2867" s="17">
        <f>IF(B2867="","",B2867+(14*1000+16)/10000000)</f>
        <v/>
      </c>
      <c r="B2867" s="23">
        <f>IF(AND(IFERROR(N(INDEX(Clay_Offices!$A$2:$FZ$601,16,Sync!$C$13)),0)&gt;0,IFERROR(INDEX(Clay_Offices!$A$2:$FZ$601,16,Sync!$C$5)&amp;"","")&lt;&gt;"",OR(LEFT(IFERROR(INDEX(Clay_Offices!$A$2:$FZ$601,16,Sync!$C$5)&amp;"",""),6)&lt;&gt;"SAMPLE",Config!$B$19="Y")),IFERROR(N(INDEX(Clay_Offices!$A$2:$FZ$601,16,Sync!$C$13)),0),"")</f>
        <v/>
      </c>
      <c r="C2867" s="17">
        <f>IF(B2867="","","office")</f>
        <v/>
      </c>
      <c r="D2867" s="17">
        <f>IF(B2867="","",IFERROR(INDEX(Clay_Offices!$A$2:$FZ$601,16,Sync!$C$5)&amp;"",""))</f>
        <v/>
      </c>
      <c r="E2867" s="17">
        <f>IF(B2867="","",IFERROR(INDEX(Clay_Offices!$A$2:$FZ$601,16,Sync!$C$6)&amp;"",""))</f>
        <v/>
      </c>
      <c r="F2867" s="17">
        <f>IF(B2867="","","outreach_sent")</f>
        <v/>
      </c>
      <c r="G2867" s="17">
        <f>IF(B2867="","","")</f>
        <v/>
      </c>
      <c r="H2867" s="17">
        <f>IF(B2867="","","")</f>
        <v/>
      </c>
      <c r="I2867" s="17">
        <f>IF(B2867="","","")</f>
        <v/>
      </c>
      <c r="J2867" s="17">
        <f>IF(B2867="","","touch_3; "&amp;IFERROR(INDEX(Clay_Offices!$A$2:$FZ$601,16,Sync!$C$10)&amp;"","")&amp;"; "&amp;IFERROR(INDEX(Clay_Offices!$A$2:$FZ$601,16,Sync!$C$9)&amp;"",""))</f>
        <v/>
      </c>
      <c r="K2867" t="inlineStr">
        <is>
          <t>office outreach touch 3</t>
        </is>
      </c>
    </row>
    <row r="2868">
      <c r="A2868" s="17">
        <f>IF(B2868="","",B2868+(14*1000+17)/10000000)</f>
        <v/>
      </c>
      <c r="B2868" s="23">
        <f>IF(AND(IFERROR(N(INDEX(Clay_Offices!$A$2:$FZ$601,17,Sync!$C$13)),0)&gt;0,IFERROR(INDEX(Clay_Offices!$A$2:$FZ$601,17,Sync!$C$5)&amp;"","")&lt;&gt;"",OR(LEFT(IFERROR(INDEX(Clay_Offices!$A$2:$FZ$601,17,Sync!$C$5)&amp;"",""),6)&lt;&gt;"SAMPLE",Config!$B$19="Y")),IFERROR(N(INDEX(Clay_Offices!$A$2:$FZ$601,17,Sync!$C$13)),0),"")</f>
        <v/>
      </c>
      <c r="C2868" s="17">
        <f>IF(B2868="","","office")</f>
        <v/>
      </c>
      <c r="D2868" s="17">
        <f>IF(B2868="","",IFERROR(INDEX(Clay_Offices!$A$2:$FZ$601,17,Sync!$C$5)&amp;"",""))</f>
        <v/>
      </c>
      <c r="E2868" s="17">
        <f>IF(B2868="","",IFERROR(INDEX(Clay_Offices!$A$2:$FZ$601,17,Sync!$C$6)&amp;"",""))</f>
        <v/>
      </c>
      <c r="F2868" s="17">
        <f>IF(B2868="","","outreach_sent")</f>
        <v/>
      </c>
      <c r="G2868" s="17">
        <f>IF(B2868="","","")</f>
        <v/>
      </c>
      <c r="H2868" s="17">
        <f>IF(B2868="","","")</f>
        <v/>
      </c>
      <c r="I2868" s="17">
        <f>IF(B2868="","","")</f>
        <v/>
      </c>
      <c r="J2868" s="17">
        <f>IF(B2868="","","touch_3; "&amp;IFERROR(INDEX(Clay_Offices!$A$2:$FZ$601,17,Sync!$C$10)&amp;"","")&amp;"; "&amp;IFERROR(INDEX(Clay_Offices!$A$2:$FZ$601,17,Sync!$C$9)&amp;"",""))</f>
        <v/>
      </c>
      <c r="K2868" t="inlineStr">
        <is>
          <t>office outreach touch 3</t>
        </is>
      </c>
    </row>
    <row r="2869">
      <c r="A2869" s="17">
        <f>IF(B2869="","",B2869+(14*1000+18)/10000000)</f>
        <v/>
      </c>
      <c r="B2869" s="23">
        <f>IF(AND(IFERROR(N(INDEX(Clay_Offices!$A$2:$FZ$601,18,Sync!$C$13)),0)&gt;0,IFERROR(INDEX(Clay_Offices!$A$2:$FZ$601,18,Sync!$C$5)&amp;"","")&lt;&gt;"",OR(LEFT(IFERROR(INDEX(Clay_Offices!$A$2:$FZ$601,18,Sync!$C$5)&amp;"",""),6)&lt;&gt;"SAMPLE",Config!$B$19="Y")),IFERROR(N(INDEX(Clay_Offices!$A$2:$FZ$601,18,Sync!$C$13)),0),"")</f>
        <v/>
      </c>
      <c r="C2869" s="17">
        <f>IF(B2869="","","office")</f>
        <v/>
      </c>
      <c r="D2869" s="17">
        <f>IF(B2869="","",IFERROR(INDEX(Clay_Offices!$A$2:$FZ$601,18,Sync!$C$5)&amp;"",""))</f>
        <v/>
      </c>
      <c r="E2869" s="17">
        <f>IF(B2869="","",IFERROR(INDEX(Clay_Offices!$A$2:$FZ$601,18,Sync!$C$6)&amp;"",""))</f>
        <v/>
      </c>
      <c r="F2869" s="17">
        <f>IF(B2869="","","outreach_sent")</f>
        <v/>
      </c>
      <c r="G2869" s="17">
        <f>IF(B2869="","","")</f>
        <v/>
      </c>
      <c r="H2869" s="17">
        <f>IF(B2869="","","")</f>
        <v/>
      </c>
      <c r="I2869" s="17">
        <f>IF(B2869="","","")</f>
        <v/>
      </c>
      <c r="J2869" s="17">
        <f>IF(B2869="","","touch_3; "&amp;IFERROR(INDEX(Clay_Offices!$A$2:$FZ$601,18,Sync!$C$10)&amp;"","")&amp;"; "&amp;IFERROR(INDEX(Clay_Offices!$A$2:$FZ$601,18,Sync!$C$9)&amp;"",""))</f>
        <v/>
      </c>
      <c r="K2869" t="inlineStr">
        <is>
          <t>office outreach touch 3</t>
        </is>
      </c>
    </row>
    <row r="2870">
      <c r="A2870" s="17">
        <f>IF(B2870="","",B2870+(14*1000+19)/10000000)</f>
        <v/>
      </c>
      <c r="B2870" s="23">
        <f>IF(AND(IFERROR(N(INDEX(Clay_Offices!$A$2:$FZ$601,19,Sync!$C$13)),0)&gt;0,IFERROR(INDEX(Clay_Offices!$A$2:$FZ$601,19,Sync!$C$5)&amp;"","")&lt;&gt;"",OR(LEFT(IFERROR(INDEX(Clay_Offices!$A$2:$FZ$601,19,Sync!$C$5)&amp;"",""),6)&lt;&gt;"SAMPLE",Config!$B$19="Y")),IFERROR(N(INDEX(Clay_Offices!$A$2:$FZ$601,19,Sync!$C$13)),0),"")</f>
        <v/>
      </c>
      <c r="C2870" s="17">
        <f>IF(B2870="","","office")</f>
        <v/>
      </c>
      <c r="D2870" s="17">
        <f>IF(B2870="","",IFERROR(INDEX(Clay_Offices!$A$2:$FZ$601,19,Sync!$C$5)&amp;"",""))</f>
        <v/>
      </c>
      <c r="E2870" s="17">
        <f>IF(B2870="","",IFERROR(INDEX(Clay_Offices!$A$2:$FZ$601,19,Sync!$C$6)&amp;"",""))</f>
        <v/>
      </c>
      <c r="F2870" s="17">
        <f>IF(B2870="","","outreach_sent")</f>
        <v/>
      </c>
      <c r="G2870" s="17">
        <f>IF(B2870="","","")</f>
        <v/>
      </c>
      <c r="H2870" s="17">
        <f>IF(B2870="","","")</f>
        <v/>
      </c>
      <c r="I2870" s="17">
        <f>IF(B2870="","","")</f>
        <v/>
      </c>
      <c r="J2870" s="17">
        <f>IF(B2870="","","touch_3; "&amp;IFERROR(INDEX(Clay_Offices!$A$2:$FZ$601,19,Sync!$C$10)&amp;"","")&amp;"; "&amp;IFERROR(INDEX(Clay_Offices!$A$2:$FZ$601,19,Sync!$C$9)&amp;"",""))</f>
        <v/>
      </c>
      <c r="K2870" t="inlineStr">
        <is>
          <t>office outreach touch 3</t>
        </is>
      </c>
    </row>
    <row r="2871">
      <c r="A2871" s="17">
        <f>IF(B2871="","",B2871+(14*1000+20)/10000000)</f>
        <v/>
      </c>
      <c r="B2871" s="23">
        <f>IF(AND(IFERROR(N(INDEX(Clay_Offices!$A$2:$FZ$601,20,Sync!$C$13)),0)&gt;0,IFERROR(INDEX(Clay_Offices!$A$2:$FZ$601,20,Sync!$C$5)&amp;"","")&lt;&gt;"",OR(LEFT(IFERROR(INDEX(Clay_Offices!$A$2:$FZ$601,20,Sync!$C$5)&amp;"",""),6)&lt;&gt;"SAMPLE",Config!$B$19="Y")),IFERROR(N(INDEX(Clay_Offices!$A$2:$FZ$601,20,Sync!$C$13)),0),"")</f>
        <v/>
      </c>
      <c r="C2871" s="17">
        <f>IF(B2871="","","office")</f>
        <v/>
      </c>
      <c r="D2871" s="17">
        <f>IF(B2871="","",IFERROR(INDEX(Clay_Offices!$A$2:$FZ$601,20,Sync!$C$5)&amp;"",""))</f>
        <v/>
      </c>
      <c r="E2871" s="17">
        <f>IF(B2871="","",IFERROR(INDEX(Clay_Offices!$A$2:$FZ$601,20,Sync!$C$6)&amp;"",""))</f>
        <v/>
      </c>
      <c r="F2871" s="17">
        <f>IF(B2871="","","outreach_sent")</f>
        <v/>
      </c>
      <c r="G2871" s="17">
        <f>IF(B2871="","","")</f>
        <v/>
      </c>
      <c r="H2871" s="17">
        <f>IF(B2871="","","")</f>
        <v/>
      </c>
      <c r="I2871" s="17">
        <f>IF(B2871="","","")</f>
        <v/>
      </c>
      <c r="J2871" s="17">
        <f>IF(B2871="","","touch_3; "&amp;IFERROR(INDEX(Clay_Offices!$A$2:$FZ$601,20,Sync!$C$10)&amp;"","")&amp;"; "&amp;IFERROR(INDEX(Clay_Offices!$A$2:$FZ$601,20,Sync!$C$9)&amp;"",""))</f>
        <v/>
      </c>
      <c r="K2871" t="inlineStr">
        <is>
          <t>office outreach touch 3</t>
        </is>
      </c>
    </row>
    <row r="2872">
      <c r="A2872" s="17">
        <f>IF(B2872="","",B2872+(14*1000+21)/10000000)</f>
        <v/>
      </c>
      <c r="B2872" s="23">
        <f>IF(AND(IFERROR(N(INDEX(Clay_Offices!$A$2:$FZ$601,21,Sync!$C$13)),0)&gt;0,IFERROR(INDEX(Clay_Offices!$A$2:$FZ$601,21,Sync!$C$5)&amp;"","")&lt;&gt;"",OR(LEFT(IFERROR(INDEX(Clay_Offices!$A$2:$FZ$601,21,Sync!$C$5)&amp;"",""),6)&lt;&gt;"SAMPLE",Config!$B$19="Y")),IFERROR(N(INDEX(Clay_Offices!$A$2:$FZ$601,21,Sync!$C$13)),0),"")</f>
        <v/>
      </c>
      <c r="C2872" s="17">
        <f>IF(B2872="","","office")</f>
        <v/>
      </c>
      <c r="D2872" s="17">
        <f>IF(B2872="","",IFERROR(INDEX(Clay_Offices!$A$2:$FZ$601,21,Sync!$C$5)&amp;"",""))</f>
        <v/>
      </c>
      <c r="E2872" s="17">
        <f>IF(B2872="","",IFERROR(INDEX(Clay_Offices!$A$2:$FZ$601,21,Sync!$C$6)&amp;"",""))</f>
        <v/>
      </c>
      <c r="F2872" s="17">
        <f>IF(B2872="","","outreach_sent")</f>
        <v/>
      </c>
      <c r="G2872" s="17">
        <f>IF(B2872="","","")</f>
        <v/>
      </c>
      <c r="H2872" s="17">
        <f>IF(B2872="","","")</f>
        <v/>
      </c>
      <c r="I2872" s="17">
        <f>IF(B2872="","","")</f>
        <v/>
      </c>
      <c r="J2872" s="17">
        <f>IF(B2872="","","touch_3; "&amp;IFERROR(INDEX(Clay_Offices!$A$2:$FZ$601,21,Sync!$C$10)&amp;"","")&amp;"; "&amp;IFERROR(INDEX(Clay_Offices!$A$2:$FZ$601,21,Sync!$C$9)&amp;"",""))</f>
        <v/>
      </c>
      <c r="K2872" t="inlineStr">
        <is>
          <t>office outreach touch 3</t>
        </is>
      </c>
    </row>
    <row r="2873">
      <c r="A2873" s="17">
        <f>IF(B2873="","",B2873+(14*1000+22)/10000000)</f>
        <v/>
      </c>
      <c r="B2873" s="23">
        <f>IF(AND(IFERROR(N(INDEX(Clay_Offices!$A$2:$FZ$601,22,Sync!$C$13)),0)&gt;0,IFERROR(INDEX(Clay_Offices!$A$2:$FZ$601,22,Sync!$C$5)&amp;"","")&lt;&gt;"",OR(LEFT(IFERROR(INDEX(Clay_Offices!$A$2:$FZ$601,22,Sync!$C$5)&amp;"",""),6)&lt;&gt;"SAMPLE",Config!$B$19="Y")),IFERROR(N(INDEX(Clay_Offices!$A$2:$FZ$601,22,Sync!$C$13)),0),"")</f>
        <v/>
      </c>
      <c r="C2873" s="17">
        <f>IF(B2873="","","office")</f>
        <v/>
      </c>
      <c r="D2873" s="17">
        <f>IF(B2873="","",IFERROR(INDEX(Clay_Offices!$A$2:$FZ$601,22,Sync!$C$5)&amp;"",""))</f>
        <v/>
      </c>
      <c r="E2873" s="17">
        <f>IF(B2873="","",IFERROR(INDEX(Clay_Offices!$A$2:$FZ$601,22,Sync!$C$6)&amp;"",""))</f>
        <v/>
      </c>
      <c r="F2873" s="17">
        <f>IF(B2873="","","outreach_sent")</f>
        <v/>
      </c>
      <c r="G2873" s="17">
        <f>IF(B2873="","","")</f>
        <v/>
      </c>
      <c r="H2873" s="17">
        <f>IF(B2873="","","")</f>
        <v/>
      </c>
      <c r="I2873" s="17">
        <f>IF(B2873="","","")</f>
        <v/>
      </c>
      <c r="J2873" s="17">
        <f>IF(B2873="","","touch_3; "&amp;IFERROR(INDEX(Clay_Offices!$A$2:$FZ$601,22,Sync!$C$10)&amp;"","")&amp;"; "&amp;IFERROR(INDEX(Clay_Offices!$A$2:$FZ$601,22,Sync!$C$9)&amp;"",""))</f>
        <v/>
      </c>
      <c r="K2873" t="inlineStr">
        <is>
          <t>office outreach touch 3</t>
        </is>
      </c>
    </row>
    <row r="2874">
      <c r="A2874" s="17">
        <f>IF(B2874="","",B2874+(14*1000+23)/10000000)</f>
        <v/>
      </c>
      <c r="B2874" s="23">
        <f>IF(AND(IFERROR(N(INDEX(Clay_Offices!$A$2:$FZ$601,23,Sync!$C$13)),0)&gt;0,IFERROR(INDEX(Clay_Offices!$A$2:$FZ$601,23,Sync!$C$5)&amp;"","")&lt;&gt;"",OR(LEFT(IFERROR(INDEX(Clay_Offices!$A$2:$FZ$601,23,Sync!$C$5)&amp;"",""),6)&lt;&gt;"SAMPLE",Config!$B$19="Y")),IFERROR(N(INDEX(Clay_Offices!$A$2:$FZ$601,23,Sync!$C$13)),0),"")</f>
        <v/>
      </c>
      <c r="C2874" s="17">
        <f>IF(B2874="","","office")</f>
        <v/>
      </c>
      <c r="D2874" s="17">
        <f>IF(B2874="","",IFERROR(INDEX(Clay_Offices!$A$2:$FZ$601,23,Sync!$C$5)&amp;"",""))</f>
        <v/>
      </c>
      <c r="E2874" s="17">
        <f>IF(B2874="","",IFERROR(INDEX(Clay_Offices!$A$2:$FZ$601,23,Sync!$C$6)&amp;"",""))</f>
        <v/>
      </c>
      <c r="F2874" s="17">
        <f>IF(B2874="","","outreach_sent")</f>
        <v/>
      </c>
      <c r="G2874" s="17">
        <f>IF(B2874="","","")</f>
        <v/>
      </c>
      <c r="H2874" s="17">
        <f>IF(B2874="","","")</f>
        <v/>
      </c>
      <c r="I2874" s="17">
        <f>IF(B2874="","","")</f>
        <v/>
      </c>
      <c r="J2874" s="17">
        <f>IF(B2874="","","touch_3; "&amp;IFERROR(INDEX(Clay_Offices!$A$2:$FZ$601,23,Sync!$C$10)&amp;"","")&amp;"; "&amp;IFERROR(INDEX(Clay_Offices!$A$2:$FZ$601,23,Sync!$C$9)&amp;"",""))</f>
        <v/>
      </c>
      <c r="K2874" t="inlineStr">
        <is>
          <t>office outreach touch 3</t>
        </is>
      </c>
    </row>
    <row r="2875">
      <c r="A2875" s="17">
        <f>IF(B2875="","",B2875+(14*1000+24)/10000000)</f>
        <v/>
      </c>
      <c r="B2875" s="23">
        <f>IF(AND(IFERROR(N(INDEX(Clay_Offices!$A$2:$FZ$601,24,Sync!$C$13)),0)&gt;0,IFERROR(INDEX(Clay_Offices!$A$2:$FZ$601,24,Sync!$C$5)&amp;"","")&lt;&gt;"",OR(LEFT(IFERROR(INDEX(Clay_Offices!$A$2:$FZ$601,24,Sync!$C$5)&amp;"",""),6)&lt;&gt;"SAMPLE",Config!$B$19="Y")),IFERROR(N(INDEX(Clay_Offices!$A$2:$FZ$601,24,Sync!$C$13)),0),"")</f>
        <v/>
      </c>
      <c r="C2875" s="17">
        <f>IF(B2875="","","office")</f>
        <v/>
      </c>
      <c r="D2875" s="17">
        <f>IF(B2875="","",IFERROR(INDEX(Clay_Offices!$A$2:$FZ$601,24,Sync!$C$5)&amp;"",""))</f>
        <v/>
      </c>
      <c r="E2875" s="17">
        <f>IF(B2875="","",IFERROR(INDEX(Clay_Offices!$A$2:$FZ$601,24,Sync!$C$6)&amp;"",""))</f>
        <v/>
      </c>
      <c r="F2875" s="17">
        <f>IF(B2875="","","outreach_sent")</f>
        <v/>
      </c>
      <c r="G2875" s="17">
        <f>IF(B2875="","","")</f>
        <v/>
      </c>
      <c r="H2875" s="17">
        <f>IF(B2875="","","")</f>
        <v/>
      </c>
      <c r="I2875" s="17">
        <f>IF(B2875="","","")</f>
        <v/>
      </c>
      <c r="J2875" s="17">
        <f>IF(B2875="","","touch_3; "&amp;IFERROR(INDEX(Clay_Offices!$A$2:$FZ$601,24,Sync!$C$10)&amp;"","")&amp;"; "&amp;IFERROR(INDEX(Clay_Offices!$A$2:$FZ$601,24,Sync!$C$9)&amp;"",""))</f>
        <v/>
      </c>
      <c r="K2875" t="inlineStr">
        <is>
          <t>office outreach touch 3</t>
        </is>
      </c>
    </row>
    <row r="2876">
      <c r="A2876" s="17">
        <f>IF(B2876="","",B2876+(14*1000+25)/10000000)</f>
        <v/>
      </c>
      <c r="B2876" s="23">
        <f>IF(AND(IFERROR(N(INDEX(Clay_Offices!$A$2:$FZ$601,25,Sync!$C$13)),0)&gt;0,IFERROR(INDEX(Clay_Offices!$A$2:$FZ$601,25,Sync!$C$5)&amp;"","")&lt;&gt;"",OR(LEFT(IFERROR(INDEX(Clay_Offices!$A$2:$FZ$601,25,Sync!$C$5)&amp;"",""),6)&lt;&gt;"SAMPLE",Config!$B$19="Y")),IFERROR(N(INDEX(Clay_Offices!$A$2:$FZ$601,25,Sync!$C$13)),0),"")</f>
        <v/>
      </c>
      <c r="C2876" s="17">
        <f>IF(B2876="","","office")</f>
        <v/>
      </c>
      <c r="D2876" s="17">
        <f>IF(B2876="","",IFERROR(INDEX(Clay_Offices!$A$2:$FZ$601,25,Sync!$C$5)&amp;"",""))</f>
        <v/>
      </c>
      <c r="E2876" s="17">
        <f>IF(B2876="","",IFERROR(INDEX(Clay_Offices!$A$2:$FZ$601,25,Sync!$C$6)&amp;"",""))</f>
        <v/>
      </c>
      <c r="F2876" s="17">
        <f>IF(B2876="","","outreach_sent")</f>
        <v/>
      </c>
      <c r="G2876" s="17">
        <f>IF(B2876="","","")</f>
        <v/>
      </c>
      <c r="H2876" s="17">
        <f>IF(B2876="","","")</f>
        <v/>
      </c>
      <c r="I2876" s="17">
        <f>IF(B2876="","","")</f>
        <v/>
      </c>
      <c r="J2876" s="17">
        <f>IF(B2876="","","touch_3; "&amp;IFERROR(INDEX(Clay_Offices!$A$2:$FZ$601,25,Sync!$C$10)&amp;"","")&amp;"; "&amp;IFERROR(INDEX(Clay_Offices!$A$2:$FZ$601,25,Sync!$C$9)&amp;"",""))</f>
        <v/>
      </c>
      <c r="K2876" t="inlineStr">
        <is>
          <t>office outreach touch 3</t>
        </is>
      </c>
    </row>
    <row r="2877">
      <c r="A2877" s="17">
        <f>IF(B2877="","",B2877+(14*1000+26)/10000000)</f>
        <v/>
      </c>
      <c r="B2877" s="23">
        <f>IF(AND(IFERROR(N(INDEX(Clay_Offices!$A$2:$FZ$601,26,Sync!$C$13)),0)&gt;0,IFERROR(INDEX(Clay_Offices!$A$2:$FZ$601,26,Sync!$C$5)&amp;"","")&lt;&gt;"",OR(LEFT(IFERROR(INDEX(Clay_Offices!$A$2:$FZ$601,26,Sync!$C$5)&amp;"",""),6)&lt;&gt;"SAMPLE",Config!$B$19="Y")),IFERROR(N(INDEX(Clay_Offices!$A$2:$FZ$601,26,Sync!$C$13)),0),"")</f>
        <v/>
      </c>
      <c r="C2877" s="17">
        <f>IF(B2877="","","office")</f>
        <v/>
      </c>
      <c r="D2877" s="17">
        <f>IF(B2877="","",IFERROR(INDEX(Clay_Offices!$A$2:$FZ$601,26,Sync!$C$5)&amp;"",""))</f>
        <v/>
      </c>
      <c r="E2877" s="17">
        <f>IF(B2877="","",IFERROR(INDEX(Clay_Offices!$A$2:$FZ$601,26,Sync!$C$6)&amp;"",""))</f>
        <v/>
      </c>
      <c r="F2877" s="17">
        <f>IF(B2877="","","outreach_sent")</f>
        <v/>
      </c>
      <c r="G2877" s="17">
        <f>IF(B2877="","","")</f>
        <v/>
      </c>
      <c r="H2877" s="17">
        <f>IF(B2877="","","")</f>
        <v/>
      </c>
      <c r="I2877" s="17">
        <f>IF(B2877="","","")</f>
        <v/>
      </c>
      <c r="J2877" s="17">
        <f>IF(B2877="","","touch_3; "&amp;IFERROR(INDEX(Clay_Offices!$A$2:$FZ$601,26,Sync!$C$10)&amp;"","")&amp;"; "&amp;IFERROR(INDEX(Clay_Offices!$A$2:$FZ$601,26,Sync!$C$9)&amp;"",""))</f>
        <v/>
      </c>
      <c r="K2877" t="inlineStr">
        <is>
          <t>office outreach touch 3</t>
        </is>
      </c>
    </row>
    <row r="2878">
      <c r="A2878" s="17">
        <f>IF(B2878="","",B2878+(14*1000+27)/10000000)</f>
        <v/>
      </c>
      <c r="B2878" s="23">
        <f>IF(AND(IFERROR(N(INDEX(Clay_Offices!$A$2:$FZ$601,27,Sync!$C$13)),0)&gt;0,IFERROR(INDEX(Clay_Offices!$A$2:$FZ$601,27,Sync!$C$5)&amp;"","")&lt;&gt;"",OR(LEFT(IFERROR(INDEX(Clay_Offices!$A$2:$FZ$601,27,Sync!$C$5)&amp;"",""),6)&lt;&gt;"SAMPLE",Config!$B$19="Y")),IFERROR(N(INDEX(Clay_Offices!$A$2:$FZ$601,27,Sync!$C$13)),0),"")</f>
        <v/>
      </c>
      <c r="C2878" s="17">
        <f>IF(B2878="","","office")</f>
        <v/>
      </c>
      <c r="D2878" s="17">
        <f>IF(B2878="","",IFERROR(INDEX(Clay_Offices!$A$2:$FZ$601,27,Sync!$C$5)&amp;"",""))</f>
        <v/>
      </c>
      <c r="E2878" s="17">
        <f>IF(B2878="","",IFERROR(INDEX(Clay_Offices!$A$2:$FZ$601,27,Sync!$C$6)&amp;"",""))</f>
        <v/>
      </c>
      <c r="F2878" s="17">
        <f>IF(B2878="","","outreach_sent")</f>
        <v/>
      </c>
      <c r="G2878" s="17">
        <f>IF(B2878="","","")</f>
        <v/>
      </c>
      <c r="H2878" s="17">
        <f>IF(B2878="","","")</f>
        <v/>
      </c>
      <c r="I2878" s="17">
        <f>IF(B2878="","","")</f>
        <v/>
      </c>
      <c r="J2878" s="17">
        <f>IF(B2878="","","touch_3; "&amp;IFERROR(INDEX(Clay_Offices!$A$2:$FZ$601,27,Sync!$C$10)&amp;"","")&amp;"; "&amp;IFERROR(INDEX(Clay_Offices!$A$2:$FZ$601,27,Sync!$C$9)&amp;"",""))</f>
        <v/>
      </c>
      <c r="K2878" t="inlineStr">
        <is>
          <t>office outreach touch 3</t>
        </is>
      </c>
    </row>
    <row r="2879">
      <c r="A2879" s="17">
        <f>IF(B2879="","",B2879+(14*1000+28)/10000000)</f>
        <v/>
      </c>
      <c r="B2879" s="23">
        <f>IF(AND(IFERROR(N(INDEX(Clay_Offices!$A$2:$FZ$601,28,Sync!$C$13)),0)&gt;0,IFERROR(INDEX(Clay_Offices!$A$2:$FZ$601,28,Sync!$C$5)&amp;"","")&lt;&gt;"",OR(LEFT(IFERROR(INDEX(Clay_Offices!$A$2:$FZ$601,28,Sync!$C$5)&amp;"",""),6)&lt;&gt;"SAMPLE",Config!$B$19="Y")),IFERROR(N(INDEX(Clay_Offices!$A$2:$FZ$601,28,Sync!$C$13)),0),"")</f>
        <v/>
      </c>
      <c r="C2879" s="17">
        <f>IF(B2879="","","office")</f>
        <v/>
      </c>
      <c r="D2879" s="17">
        <f>IF(B2879="","",IFERROR(INDEX(Clay_Offices!$A$2:$FZ$601,28,Sync!$C$5)&amp;"",""))</f>
        <v/>
      </c>
      <c r="E2879" s="17">
        <f>IF(B2879="","",IFERROR(INDEX(Clay_Offices!$A$2:$FZ$601,28,Sync!$C$6)&amp;"",""))</f>
        <v/>
      </c>
      <c r="F2879" s="17">
        <f>IF(B2879="","","outreach_sent")</f>
        <v/>
      </c>
      <c r="G2879" s="17">
        <f>IF(B2879="","","")</f>
        <v/>
      </c>
      <c r="H2879" s="17">
        <f>IF(B2879="","","")</f>
        <v/>
      </c>
      <c r="I2879" s="17">
        <f>IF(B2879="","","")</f>
        <v/>
      </c>
      <c r="J2879" s="17">
        <f>IF(B2879="","","touch_3; "&amp;IFERROR(INDEX(Clay_Offices!$A$2:$FZ$601,28,Sync!$C$10)&amp;"","")&amp;"; "&amp;IFERROR(INDEX(Clay_Offices!$A$2:$FZ$601,28,Sync!$C$9)&amp;"",""))</f>
        <v/>
      </c>
      <c r="K2879" t="inlineStr">
        <is>
          <t>office outreach touch 3</t>
        </is>
      </c>
    </row>
    <row r="2880">
      <c r="A2880" s="17">
        <f>IF(B2880="","",B2880+(14*1000+29)/10000000)</f>
        <v/>
      </c>
      <c r="B2880" s="23">
        <f>IF(AND(IFERROR(N(INDEX(Clay_Offices!$A$2:$FZ$601,29,Sync!$C$13)),0)&gt;0,IFERROR(INDEX(Clay_Offices!$A$2:$FZ$601,29,Sync!$C$5)&amp;"","")&lt;&gt;"",OR(LEFT(IFERROR(INDEX(Clay_Offices!$A$2:$FZ$601,29,Sync!$C$5)&amp;"",""),6)&lt;&gt;"SAMPLE",Config!$B$19="Y")),IFERROR(N(INDEX(Clay_Offices!$A$2:$FZ$601,29,Sync!$C$13)),0),"")</f>
        <v/>
      </c>
      <c r="C2880" s="17">
        <f>IF(B2880="","","office")</f>
        <v/>
      </c>
      <c r="D2880" s="17">
        <f>IF(B2880="","",IFERROR(INDEX(Clay_Offices!$A$2:$FZ$601,29,Sync!$C$5)&amp;"",""))</f>
        <v/>
      </c>
      <c r="E2880" s="17">
        <f>IF(B2880="","",IFERROR(INDEX(Clay_Offices!$A$2:$FZ$601,29,Sync!$C$6)&amp;"",""))</f>
        <v/>
      </c>
      <c r="F2880" s="17">
        <f>IF(B2880="","","outreach_sent")</f>
        <v/>
      </c>
      <c r="G2880" s="17">
        <f>IF(B2880="","","")</f>
        <v/>
      </c>
      <c r="H2880" s="17">
        <f>IF(B2880="","","")</f>
        <v/>
      </c>
      <c r="I2880" s="17">
        <f>IF(B2880="","","")</f>
        <v/>
      </c>
      <c r="J2880" s="17">
        <f>IF(B2880="","","touch_3; "&amp;IFERROR(INDEX(Clay_Offices!$A$2:$FZ$601,29,Sync!$C$10)&amp;"","")&amp;"; "&amp;IFERROR(INDEX(Clay_Offices!$A$2:$FZ$601,29,Sync!$C$9)&amp;"",""))</f>
        <v/>
      </c>
      <c r="K2880" t="inlineStr">
        <is>
          <t>office outreach touch 3</t>
        </is>
      </c>
    </row>
    <row r="2881">
      <c r="A2881" s="17">
        <f>IF(B2881="","",B2881+(14*1000+30)/10000000)</f>
        <v/>
      </c>
      <c r="B2881" s="23">
        <f>IF(AND(IFERROR(N(INDEX(Clay_Offices!$A$2:$FZ$601,30,Sync!$C$13)),0)&gt;0,IFERROR(INDEX(Clay_Offices!$A$2:$FZ$601,30,Sync!$C$5)&amp;"","")&lt;&gt;"",OR(LEFT(IFERROR(INDEX(Clay_Offices!$A$2:$FZ$601,30,Sync!$C$5)&amp;"",""),6)&lt;&gt;"SAMPLE",Config!$B$19="Y")),IFERROR(N(INDEX(Clay_Offices!$A$2:$FZ$601,30,Sync!$C$13)),0),"")</f>
        <v/>
      </c>
      <c r="C2881" s="17">
        <f>IF(B2881="","","office")</f>
        <v/>
      </c>
      <c r="D2881" s="17">
        <f>IF(B2881="","",IFERROR(INDEX(Clay_Offices!$A$2:$FZ$601,30,Sync!$C$5)&amp;"",""))</f>
        <v/>
      </c>
      <c r="E2881" s="17">
        <f>IF(B2881="","",IFERROR(INDEX(Clay_Offices!$A$2:$FZ$601,30,Sync!$C$6)&amp;"",""))</f>
        <v/>
      </c>
      <c r="F2881" s="17">
        <f>IF(B2881="","","outreach_sent")</f>
        <v/>
      </c>
      <c r="G2881" s="17">
        <f>IF(B2881="","","")</f>
        <v/>
      </c>
      <c r="H2881" s="17">
        <f>IF(B2881="","","")</f>
        <v/>
      </c>
      <c r="I2881" s="17">
        <f>IF(B2881="","","")</f>
        <v/>
      </c>
      <c r="J2881" s="17">
        <f>IF(B2881="","","touch_3; "&amp;IFERROR(INDEX(Clay_Offices!$A$2:$FZ$601,30,Sync!$C$10)&amp;"","")&amp;"; "&amp;IFERROR(INDEX(Clay_Offices!$A$2:$FZ$601,30,Sync!$C$9)&amp;"",""))</f>
        <v/>
      </c>
      <c r="K2881" t="inlineStr">
        <is>
          <t>office outreach touch 3</t>
        </is>
      </c>
    </row>
    <row r="2882">
      <c r="A2882" s="17">
        <f>IF(B2882="","",B2882+(14*1000+31)/10000000)</f>
        <v/>
      </c>
      <c r="B2882" s="23">
        <f>IF(AND(IFERROR(N(INDEX(Clay_Offices!$A$2:$FZ$601,31,Sync!$C$13)),0)&gt;0,IFERROR(INDEX(Clay_Offices!$A$2:$FZ$601,31,Sync!$C$5)&amp;"","")&lt;&gt;"",OR(LEFT(IFERROR(INDEX(Clay_Offices!$A$2:$FZ$601,31,Sync!$C$5)&amp;"",""),6)&lt;&gt;"SAMPLE",Config!$B$19="Y")),IFERROR(N(INDEX(Clay_Offices!$A$2:$FZ$601,31,Sync!$C$13)),0),"")</f>
        <v/>
      </c>
      <c r="C2882" s="17">
        <f>IF(B2882="","","office")</f>
        <v/>
      </c>
      <c r="D2882" s="17">
        <f>IF(B2882="","",IFERROR(INDEX(Clay_Offices!$A$2:$FZ$601,31,Sync!$C$5)&amp;"",""))</f>
        <v/>
      </c>
      <c r="E2882" s="17">
        <f>IF(B2882="","",IFERROR(INDEX(Clay_Offices!$A$2:$FZ$601,31,Sync!$C$6)&amp;"",""))</f>
        <v/>
      </c>
      <c r="F2882" s="17">
        <f>IF(B2882="","","outreach_sent")</f>
        <v/>
      </c>
      <c r="G2882" s="17">
        <f>IF(B2882="","","")</f>
        <v/>
      </c>
      <c r="H2882" s="17">
        <f>IF(B2882="","","")</f>
        <v/>
      </c>
      <c r="I2882" s="17">
        <f>IF(B2882="","","")</f>
        <v/>
      </c>
      <c r="J2882" s="17">
        <f>IF(B2882="","","touch_3; "&amp;IFERROR(INDEX(Clay_Offices!$A$2:$FZ$601,31,Sync!$C$10)&amp;"","")&amp;"; "&amp;IFERROR(INDEX(Clay_Offices!$A$2:$FZ$601,31,Sync!$C$9)&amp;"",""))</f>
        <v/>
      </c>
      <c r="K2882" t="inlineStr">
        <is>
          <t>office outreach touch 3</t>
        </is>
      </c>
    </row>
    <row r="2883">
      <c r="A2883" s="17">
        <f>IF(B2883="","",B2883+(14*1000+32)/10000000)</f>
        <v/>
      </c>
      <c r="B2883" s="23">
        <f>IF(AND(IFERROR(N(INDEX(Clay_Offices!$A$2:$FZ$601,32,Sync!$C$13)),0)&gt;0,IFERROR(INDEX(Clay_Offices!$A$2:$FZ$601,32,Sync!$C$5)&amp;"","")&lt;&gt;"",OR(LEFT(IFERROR(INDEX(Clay_Offices!$A$2:$FZ$601,32,Sync!$C$5)&amp;"",""),6)&lt;&gt;"SAMPLE",Config!$B$19="Y")),IFERROR(N(INDEX(Clay_Offices!$A$2:$FZ$601,32,Sync!$C$13)),0),"")</f>
        <v/>
      </c>
      <c r="C2883" s="17">
        <f>IF(B2883="","","office")</f>
        <v/>
      </c>
      <c r="D2883" s="17">
        <f>IF(B2883="","",IFERROR(INDEX(Clay_Offices!$A$2:$FZ$601,32,Sync!$C$5)&amp;"",""))</f>
        <v/>
      </c>
      <c r="E2883" s="17">
        <f>IF(B2883="","",IFERROR(INDEX(Clay_Offices!$A$2:$FZ$601,32,Sync!$C$6)&amp;"",""))</f>
        <v/>
      </c>
      <c r="F2883" s="17">
        <f>IF(B2883="","","outreach_sent")</f>
        <v/>
      </c>
      <c r="G2883" s="17">
        <f>IF(B2883="","","")</f>
        <v/>
      </c>
      <c r="H2883" s="17">
        <f>IF(B2883="","","")</f>
        <v/>
      </c>
      <c r="I2883" s="17">
        <f>IF(B2883="","","")</f>
        <v/>
      </c>
      <c r="J2883" s="17">
        <f>IF(B2883="","","touch_3; "&amp;IFERROR(INDEX(Clay_Offices!$A$2:$FZ$601,32,Sync!$C$10)&amp;"","")&amp;"; "&amp;IFERROR(INDEX(Clay_Offices!$A$2:$FZ$601,32,Sync!$C$9)&amp;"",""))</f>
        <v/>
      </c>
      <c r="K2883" t="inlineStr">
        <is>
          <t>office outreach touch 3</t>
        </is>
      </c>
    </row>
    <row r="2884">
      <c r="A2884" s="17">
        <f>IF(B2884="","",B2884+(14*1000+33)/10000000)</f>
        <v/>
      </c>
      <c r="B2884" s="23">
        <f>IF(AND(IFERROR(N(INDEX(Clay_Offices!$A$2:$FZ$601,33,Sync!$C$13)),0)&gt;0,IFERROR(INDEX(Clay_Offices!$A$2:$FZ$601,33,Sync!$C$5)&amp;"","")&lt;&gt;"",OR(LEFT(IFERROR(INDEX(Clay_Offices!$A$2:$FZ$601,33,Sync!$C$5)&amp;"",""),6)&lt;&gt;"SAMPLE",Config!$B$19="Y")),IFERROR(N(INDEX(Clay_Offices!$A$2:$FZ$601,33,Sync!$C$13)),0),"")</f>
        <v/>
      </c>
      <c r="C2884" s="17">
        <f>IF(B2884="","","office")</f>
        <v/>
      </c>
      <c r="D2884" s="17">
        <f>IF(B2884="","",IFERROR(INDEX(Clay_Offices!$A$2:$FZ$601,33,Sync!$C$5)&amp;"",""))</f>
        <v/>
      </c>
      <c r="E2884" s="17">
        <f>IF(B2884="","",IFERROR(INDEX(Clay_Offices!$A$2:$FZ$601,33,Sync!$C$6)&amp;"",""))</f>
        <v/>
      </c>
      <c r="F2884" s="17">
        <f>IF(B2884="","","outreach_sent")</f>
        <v/>
      </c>
      <c r="G2884" s="17">
        <f>IF(B2884="","","")</f>
        <v/>
      </c>
      <c r="H2884" s="17">
        <f>IF(B2884="","","")</f>
        <v/>
      </c>
      <c r="I2884" s="17">
        <f>IF(B2884="","","")</f>
        <v/>
      </c>
      <c r="J2884" s="17">
        <f>IF(B2884="","","touch_3; "&amp;IFERROR(INDEX(Clay_Offices!$A$2:$FZ$601,33,Sync!$C$10)&amp;"","")&amp;"; "&amp;IFERROR(INDEX(Clay_Offices!$A$2:$FZ$601,33,Sync!$C$9)&amp;"",""))</f>
        <v/>
      </c>
      <c r="K2884" t="inlineStr">
        <is>
          <t>office outreach touch 3</t>
        </is>
      </c>
    </row>
    <row r="2885">
      <c r="A2885" s="17">
        <f>IF(B2885="","",B2885+(14*1000+34)/10000000)</f>
        <v/>
      </c>
      <c r="B2885" s="23">
        <f>IF(AND(IFERROR(N(INDEX(Clay_Offices!$A$2:$FZ$601,34,Sync!$C$13)),0)&gt;0,IFERROR(INDEX(Clay_Offices!$A$2:$FZ$601,34,Sync!$C$5)&amp;"","")&lt;&gt;"",OR(LEFT(IFERROR(INDEX(Clay_Offices!$A$2:$FZ$601,34,Sync!$C$5)&amp;"",""),6)&lt;&gt;"SAMPLE",Config!$B$19="Y")),IFERROR(N(INDEX(Clay_Offices!$A$2:$FZ$601,34,Sync!$C$13)),0),"")</f>
        <v/>
      </c>
      <c r="C2885" s="17">
        <f>IF(B2885="","","office")</f>
        <v/>
      </c>
      <c r="D2885" s="17">
        <f>IF(B2885="","",IFERROR(INDEX(Clay_Offices!$A$2:$FZ$601,34,Sync!$C$5)&amp;"",""))</f>
        <v/>
      </c>
      <c r="E2885" s="17">
        <f>IF(B2885="","",IFERROR(INDEX(Clay_Offices!$A$2:$FZ$601,34,Sync!$C$6)&amp;"",""))</f>
        <v/>
      </c>
      <c r="F2885" s="17">
        <f>IF(B2885="","","outreach_sent")</f>
        <v/>
      </c>
      <c r="G2885" s="17">
        <f>IF(B2885="","","")</f>
        <v/>
      </c>
      <c r="H2885" s="17">
        <f>IF(B2885="","","")</f>
        <v/>
      </c>
      <c r="I2885" s="17">
        <f>IF(B2885="","","")</f>
        <v/>
      </c>
      <c r="J2885" s="17">
        <f>IF(B2885="","","touch_3; "&amp;IFERROR(INDEX(Clay_Offices!$A$2:$FZ$601,34,Sync!$C$10)&amp;"","")&amp;"; "&amp;IFERROR(INDEX(Clay_Offices!$A$2:$FZ$601,34,Sync!$C$9)&amp;"",""))</f>
        <v/>
      </c>
      <c r="K2885" t="inlineStr">
        <is>
          <t>office outreach touch 3</t>
        </is>
      </c>
    </row>
    <row r="2886">
      <c r="A2886" s="17">
        <f>IF(B2886="","",B2886+(14*1000+35)/10000000)</f>
        <v/>
      </c>
      <c r="B2886" s="23">
        <f>IF(AND(IFERROR(N(INDEX(Clay_Offices!$A$2:$FZ$601,35,Sync!$C$13)),0)&gt;0,IFERROR(INDEX(Clay_Offices!$A$2:$FZ$601,35,Sync!$C$5)&amp;"","")&lt;&gt;"",OR(LEFT(IFERROR(INDEX(Clay_Offices!$A$2:$FZ$601,35,Sync!$C$5)&amp;"",""),6)&lt;&gt;"SAMPLE",Config!$B$19="Y")),IFERROR(N(INDEX(Clay_Offices!$A$2:$FZ$601,35,Sync!$C$13)),0),"")</f>
        <v/>
      </c>
      <c r="C2886" s="17">
        <f>IF(B2886="","","office")</f>
        <v/>
      </c>
      <c r="D2886" s="17">
        <f>IF(B2886="","",IFERROR(INDEX(Clay_Offices!$A$2:$FZ$601,35,Sync!$C$5)&amp;"",""))</f>
        <v/>
      </c>
      <c r="E2886" s="17">
        <f>IF(B2886="","",IFERROR(INDEX(Clay_Offices!$A$2:$FZ$601,35,Sync!$C$6)&amp;"",""))</f>
        <v/>
      </c>
      <c r="F2886" s="17">
        <f>IF(B2886="","","outreach_sent")</f>
        <v/>
      </c>
      <c r="G2886" s="17">
        <f>IF(B2886="","","")</f>
        <v/>
      </c>
      <c r="H2886" s="17">
        <f>IF(B2886="","","")</f>
        <v/>
      </c>
      <c r="I2886" s="17">
        <f>IF(B2886="","","")</f>
        <v/>
      </c>
      <c r="J2886" s="17">
        <f>IF(B2886="","","touch_3; "&amp;IFERROR(INDEX(Clay_Offices!$A$2:$FZ$601,35,Sync!$C$10)&amp;"","")&amp;"; "&amp;IFERROR(INDEX(Clay_Offices!$A$2:$FZ$601,35,Sync!$C$9)&amp;"",""))</f>
        <v/>
      </c>
      <c r="K2886" t="inlineStr">
        <is>
          <t>office outreach touch 3</t>
        </is>
      </c>
    </row>
    <row r="2887">
      <c r="A2887" s="17">
        <f>IF(B2887="","",B2887+(14*1000+36)/10000000)</f>
        <v/>
      </c>
      <c r="B2887" s="23">
        <f>IF(AND(IFERROR(N(INDEX(Clay_Offices!$A$2:$FZ$601,36,Sync!$C$13)),0)&gt;0,IFERROR(INDEX(Clay_Offices!$A$2:$FZ$601,36,Sync!$C$5)&amp;"","")&lt;&gt;"",OR(LEFT(IFERROR(INDEX(Clay_Offices!$A$2:$FZ$601,36,Sync!$C$5)&amp;"",""),6)&lt;&gt;"SAMPLE",Config!$B$19="Y")),IFERROR(N(INDEX(Clay_Offices!$A$2:$FZ$601,36,Sync!$C$13)),0),"")</f>
        <v/>
      </c>
      <c r="C2887" s="17">
        <f>IF(B2887="","","office")</f>
        <v/>
      </c>
      <c r="D2887" s="17">
        <f>IF(B2887="","",IFERROR(INDEX(Clay_Offices!$A$2:$FZ$601,36,Sync!$C$5)&amp;"",""))</f>
        <v/>
      </c>
      <c r="E2887" s="17">
        <f>IF(B2887="","",IFERROR(INDEX(Clay_Offices!$A$2:$FZ$601,36,Sync!$C$6)&amp;"",""))</f>
        <v/>
      </c>
      <c r="F2887" s="17">
        <f>IF(B2887="","","outreach_sent")</f>
        <v/>
      </c>
      <c r="G2887" s="17">
        <f>IF(B2887="","","")</f>
        <v/>
      </c>
      <c r="H2887" s="17">
        <f>IF(B2887="","","")</f>
        <v/>
      </c>
      <c r="I2887" s="17">
        <f>IF(B2887="","","")</f>
        <v/>
      </c>
      <c r="J2887" s="17">
        <f>IF(B2887="","","touch_3; "&amp;IFERROR(INDEX(Clay_Offices!$A$2:$FZ$601,36,Sync!$C$10)&amp;"","")&amp;"; "&amp;IFERROR(INDEX(Clay_Offices!$A$2:$FZ$601,36,Sync!$C$9)&amp;"",""))</f>
        <v/>
      </c>
      <c r="K2887" t="inlineStr">
        <is>
          <t>office outreach touch 3</t>
        </is>
      </c>
    </row>
    <row r="2888">
      <c r="A2888" s="17">
        <f>IF(B2888="","",B2888+(14*1000+37)/10000000)</f>
        <v/>
      </c>
      <c r="B2888" s="23">
        <f>IF(AND(IFERROR(N(INDEX(Clay_Offices!$A$2:$FZ$601,37,Sync!$C$13)),0)&gt;0,IFERROR(INDEX(Clay_Offices!$A$2:$FZ$601,37,Sync!$C$5)&amp;"","")&lt;&gt;"",OR(LEFT(IFERROR(INDEX(Clay_Offices!$A$2:$FZ$601,37,Sync!$C$5)&amp;"",""),6)&lt;&gt;"SAMPLE",Config!$B$19="Y")),IFERROR(N(INDEX(Clay_Offices!$A$2:$FZ$601,37,Sync!$C$13)),0),"")</f>
        <v/>
      </c>
      <c r="C2888" s="17">
        <f>IF(B2888="","","office")</f>
        <v/>
      </c>
      <c r="D2888" s="17">
        <f>IF(B2888="","",IFERROR(INDEX(Clay_Offices!$A$2:$FZ$601,37,Sync!$C$5)&amp;"",""))</f>
        <v/>
      </c>
      <c r="E2888" s="17">
        <f>IF(B2888="","",IFERROR(INDEX(Clay_Offices!$A$2:$FZ$601,37,Sync!$C$6)&amp;"",""))</f>
        <v/>
      </c>
      <c r="F2888" s="17">
        <f>IF(B2888="","","outreach_sent")</f>
        <v/>
      </c>
      <c r="G2888" s="17">
        <f>IF(B2888="","","")</f>
        <v/>
      </c>
      <c r="H2888" s="17">
        <f>IF(B2888="","","")</f>
        <v/>
      </c>
      <c r="I2888" s="17">
        <f>IF(B2888="","","")</f>
        <v/>
      </c>
      <c r="J2888" s="17">
        <f>IF(B2888="","","touch_3; "&amp;IFERROR(INDEX(Clay_Offices!$A$2:$FZ$601,37,Sync!$C$10)&amp;"","")&amp;"; "&amp;IFERROR(INDEX(Clay_Offices!$A$2:$FZ$601,37,Sync!$C$9)&amp;"",""))</f>
        <v/>
      </c>
      <c r="K2888" t="inlineStr">
        <is>
          <t>office outreach touch 3</t>
        </is>
      </c>
    </row>
    <row r="2889">
      <c r="A2889" s="17">
        <f>IF(B2889="","",B2889+(14*1000+38)/10000000)</f>
        <v/>
      </c>
      <c r="B2889" s="23">
        <f>IF(AND(IFERROR(N(INDEX(Clay_Offices!$A$2:$FZ$601,38,Sync!$C$13)),0)&gt;0,IFERROR(INDEX(Clay_Offices!$A$2:$FZ$601,38,Sync!$C$5)&amp;"","")&lt;&gt;"",OR(LEFT(IFERROR(INDEX(Clay_Offices!$A$2:$FZ$601,38,Sync!$C$5)&amp;"",""),6)&lt;&gt;"SAMPLE",Config!$B$19="Y")),IFERROR(N(INDEX(Clay_Offices!$A$2:$FZ$601,38,Sync!$C$13)),0),"")</f>
        <v/>
      </c>
      <c r="C2889" s="17">
        <f>IF(B2889="","","office")</f>
        <v/>
      </c>
      <c r="D2889" s="17">
        <f>IF(B2889="","",IFERROR(INDEX(Clay_Offices!$A$2:$FZ$601,38,Sync!$C$5)&amp;"",""))</f>
        <v/>
      </c>
      <c r="E2889" s="17">
        <f>IF(B2889="","",IFERROR(INDEX(Clay_Offices!$A$2:$FZ$601,38,Sync!$C$6)&amp;"",""))</f>
        <v/>
      </c>
      <c r="F2889" s="17">
        <f>IF(B2889="","","outreach_sent")</f>
        <v/>
      </c>
      <c r="G2889" s="17">
        <f>IF(B2889="","","")</f>
        <v/>
      </c>
      <c r="H2889" s="17">
        <f>IF(B2889="","","")</f>
        <v/>
      </c>
      <c r="I2889" s="17">
        <f>IF(B2889="","","")</f>
        <v/>
      </c>
      <c r="J2889" s="17">
        <f>IF(B2889="","","touch_3; "&amp;IFERROR(INDEX(Clay_Offices!$A$2:$FZ$601,38,Sync!$C$10)&amp;"","")&amp;"; "&amp;IFERROR(INDEX(Clay_Offices!$A$2:$FZ$601,38,Sync!$C$9)&amp;"",""))</f>
        <v/>
      </c>
      <c r="K2889" t="inlineStr">
        <is>
          <t>office outreach touch 3</t>
        </is>
      </c>
    </row>
    <row r="2890">
      <c r="A2890" s="17">
        <f>IF(B2890="","",B2890+(14*1000+39)/10000000)</f>
        <v/>
      </c>
      <c r="B2890" s="23">
        <f>IF(AND(IFERROR(N(INDEX(Clay_Offices!$A$2:$FZ$601,39,Sync!$C$13)),0)&gt;0,IFERROR(INDEX(Clay_Offices!$A$2:$FZ$601,39,Sync!$C$5)&amp;"","")&lt;&gt;"",OR(LEFT(IFERROR(INDEX(Clay_Offices!$A$2:$FZ$601,39,Sync!$C$5)&amp;"",""),6)&lt;&gt;"SAMPLE",Config!$B$19="Y")),IFERROR(N(INDEX(Clay_Offices!$A$2:$FZ$601,39,Sync!$C$13)),0),"")</f>
        <v/>
      </c>
      <c r="C2890" s="17">
        <f>IF(B2890="","","office")</f>
        <v/>
      </c>
      <c r="D2890" s="17">
        <f>IF(B2890="","",IFERROR(INDEX(Clay_Offices!$A$2:$FZ$601,39,Sync!$C$5)&amp;"",""))</f>
        <v/>
      </c>
      <c r="E2890" s="17">
        <f>IF(B2890="","",IFERROR(INDEX(Clay_Offices!$A$2:$FZ$601,39,Sync!$C$6)&amp;"",""))</f>
        <v/>
      </c>
      <c r="F2890" s="17">
        <f>IF(B2890="","","outreach_sent")</f>
        <v/>
      </c>
      <c r="G2890" s="17">
        <f>IF(B2890="","","")</f>
        <v/>
      </c>
      <c r="H2890" s="17">
        <f>IF(B2890="","","")</f>
        <v/>
      </c>
      <c r="I2890" s="17">
        <f>IF(B2890="","","")</f>
        <v/>
      </c>
      <c r="J2890" s="17">
        <f>IF(B2890="","","touch_3; "&amp;IFERROR(INDEX(Clay_Offices!$A$2:$FZ$601,39,Sync!$C$10)&amp;"","")&amp;"; "&amp;IFERROR(INDEX(Clay_Offices!$A$2:$FZ$601,39,Sync!$C$9)&amp;"",""))</f>
        <v/>
      </c>
      <c r="K2890" t="inlineStr">
        <is>
          <t>office outreach touch 3</t>
        </is>
      </c>
    </row>
    <row r="2891">
      <c r="A2891" s="17">
        <f>IF(B2891="","",B2891+(14*1000+40)/10000000)</f>
        <v/>
      </c>
      <c r="B2891" s="23">
        <f>IF(AND(IFERROR(N(INDEX(Clay_Offices!$A$2:$FZ$601,40,Sync!$C$13)),0)&gt;0,IFERROR(INDEX(Clay_Offices!$A$2:$FZ$601,40,Sync!$C$5)&amp;"","")&lt;&gt;"",OR(LEFT(IFERROR(INDEX(Clay_Offices!$A$2:$FZ$601,40,Sync!$C$5)&amp;"",""),6)&lt;&gt;"SAMPLE",Config!$B$19="Y")),IFERROR(N(INDEX(Clay_Offices!$A$2:$FZ$601,40,Sync!$C$13)),0),"")</f>
        <v/>
      </c>
      <c r="C2891" s="17">
        <f>IF(B2891="","","office")</f>
        <v/>
      </c>
      <c r="D2891" s="17">
        <f>IF(B2891="","",IFERROR(INDEX(Clay_Offices!$A$2:$FZ$601,40,Sync!$C$5)&amp;"",""))</f>
        <v/>
      </c>
      <c r="E2891" s="17">
        <f>IF(B2891="","",IFERROR(INDEX(Clay_Offices!$A$2:$FZ$601,40,Sync!$C$6)&amp;"",""))</f>
        <v/>
      </c>
      <c r="F2891" s="17">
        <f>IF(B2891="","","outreach_sent")</f>
        <v/>
      </c>
      <c r="G2891" s="17">
        <f>IF(B2891="","","")</f>
        <v/>
      </c>
      <c r="H2891" s="17">
        <f>IF(B2891="","","")</f>
        <v/>
      </c>
      <c r="I2891" s="17">
        <f>IF(B2891="","","")</f>
        <v/>
      </c>
      <c r="J2891" s="17">
        <f>IF(B2891="","","touch_3; "&amp;IFERROR(INDEX(Clay_Offices!$A$2:$FZ$601,40,Sync!$C$10)&amp;"","")&amp;"; "&amp;IFERROR(INDEX(Clay_Offices!$A$2:$FZ$601,40,Sync!$C$9)&amp;"",""))</f>
        <v/>
      </c>
      <c r="K2891" t="inlineStr">
        <is>
          <t>office outreach touch 3</t>
        </is>
      </c>
    </row>
    <row r="2892">
      <c r="A2892" s="17">
        <f>IF(B2892="","",B2892+(14*1000+41)/10000000)</f>
        <v/>
      </c>
      <c r="B2892" s="23">
        <f>IF(AND(IFERROR(N(INDEX(Clay_Offices!$A$2:$FZ$601,41,Sync!$C$13)),0)&gt;0,IFERROR(INDEX(Clay_Offices!$A$2:$FZ$601,41,Sync!$C$5)&amp;"","")&lt;&gt;"",OR(LEFT(IFERROR(INDEX(Clay_Offices!$A$2:$FZ$601,41,Sync!$C$5)&amp;"",""),6)&lt;&gt;"SAMPLE",Config!$B$19="Y")),IFERROR(N(INDEX(Clay_Offices!$A$2:$FZ$601,41,Sync!$C$13)),0),"")</f>
        <v/>
      </c>
      <c r="C2892" s="17">
        <f>IF(B2892="","","office")</f>
        <v/>
      </c>
      <c r="D2892" s="17">
        <f>IF(B2892="","",IFERROR(INDEX(Clay_Offices!$A$2:$FZ$601,41,Sync!$C$5)&amp;"",""))</f>
        <v/>
      </c>
      <c r="E2892" s="17">
        <f>IF(B2892="","",IFERROR(INDEX(Clay_Offices!$A$2:$FZ$601,41,Sync!$C$6)&amp;"",""))</f>
        <v/>
      </c>
      <c r="F2892" s="17">
        <f>IF(B2892="","","outreach_sent")</f>
        <v/>
      </c>
      <c r="G2892" s="17">
        <f>IF(B2892="","","")</f>
        <v/>
      </c>
      <c r="H2892" s="17">
        <f>IF(B2892="","","")</f>
        <v/>
      </c>
      <c r="I2892" s="17">
        <f>IF(B2892="","","")</f>
        <v/>
      </c>
      <c r="J2892" s="17">
        <f>IF(B2892="","","touch_3; "&amp;IFERROR(INDEX(Clay_Offices!$A$2:$FZ$601,41,Sync!$C$10)&amp;"","")&amp;"; "&amp;IFERROR(INDEX(Clay_Offices!$A$2:$FZ$601,41,Sync!$C$9)&amp;"",""))</f>
        <v/>
      </c>
      <c r="K2892" t="inlineStr">
        <is>
          <t>office outreach touch 3</t>
        </is>
      </c>
    </row>
    <row r="2893">
      <c r="A2893" s="17">
        <f>IF(B2893="","",B2893+(14*1000+42)/10000000)</f>
        <v/>
      </c>
      <c r="B2893" s="23">
        <f>IF(AND(IFERROR(N(INDEX(Clay_Offices!$A$2:$FZ$601,42,Sync!$C$13)),0)&gt;0,IFERROR(INDEX(Clay_Offices!$A$2:$FZ$601,42,Sync!$C$5)&amp;"","")&lt;&gt;"",OR(LEFT(IFERROR(INDEX(Clay_Offices!$A$2:$FZ$601,42,Sync!$C$5)&amp;"",""),6)&lt;&gt;"SAMPLE",Config!$B$19="Y")),IFERROR(N(INDEX(Clay_Offices!$A$2:$FZ$601,42,Sync!$C$13)),0),"")</f>
        <v/>
      </c>
      <c r="C2893" s="17">
        <f>IF(B2893="","","office")</f>
        <v/>
      </c>
      <c r="D2893" s="17">
        <f>IF(B2893="","",IFERROR(INDEX(Clay_Offices!$A$2:$FZ$601,42,Sync!$C$5)&amp;"",""))</f>
        <v/>
      </c>
      <c r="E2893" s="17">
        <f>IF(B2893="","",IFERROR(INDEX(Clay_Offices!$A$2:$FZ$601,42,Sync!$C$6)&amp;"",""))</f>
        <v/>
      </c>
      <c r="F2893" s="17">
        <f>IF(B2893="","","outreach_sent")</f>
        <v/>
      </c>
      <c r="G2893" s="17">
        <f>IF(B2893="","","")</f>
        <v/>
      </c>
      <c r="H2893" s="17">
        <f>IF(B2893="","","")</f>
        <v/>
      </c>
      <c r="I2893" s="17">
        <f>IF(B2893="","","")</f>
        <v/>
      </c>
      <c r="J2893" s="17">
        <f>IF(B2893="","","touch_3; "&amp;IFERROR(INDEX(Clay_Offices!$A$2:$FZ$601,42,Sync!$C$10)&amp;"","")&amp;"; "&amp;IFERROR(INDEX(Clay_Offices!$A$2:$FZ$601,42,Sync!$C$9)&amp;"",""))</f>
        <v/>
      </c>
      <c r="K2893" t="inlineStr">
        <is>
          <t>office outreach touch 3</t>
        </is>
      </c>
    </row>
    <row r="2894">
      <c r="A2894" s="17">
        <f>IF(B2894="","",B2894+(14*1000+43)/10000000)</f>
        <v/>
      </c>
      <c r="B2894" s="23">
        <f>IF(AND(IFERROR(N(INDEX(Clay_Offices!$A$2:$FZ$601,43,Sync!$C$13)),0)&gt;0,IFERROR(INDEX(Clay_Offices!$A$2:$FZ$601,43,Sync!$C$5)&amp;"","")&lt;&gt;"",OR(LEFT(IFERROR(INDEX(Clay_Offices!$A$2:$FZ$601,43,Sync!$C$5)&amp;"",""),6)&lt;&gt;"SAMPLE",Config!$B$19="Y")),IFERROR(N(INDEX(Clay_Offices!$A$2:$FZ$601,43,Sync!$C$13)),0),"")</f>
        <v/>
      </c>
      <c r="C2894" s="17">
        <f>IF(B2894="","","office")</f>
        <v/>
      </c>
      <c r="D2894" s="17">
        <f>IF(B2894="","",IFERROR(INDEX(Clay_Offices!$A$2:$FZ$601,43,Sync!$C$5)&amp;"",""))</f>
        <v/>
      </c>
      <c r="E2894" s="17">
        <f>IF(B2894="","",IFERROR(INDEX(Clay_Offices!$A$2:$FZ$601,43,Sync!$C$6)&amp;"",""))</f>
        <v/>
      </c>
      <c r="F2894" s="17">
        <f>IF(B2894="","","outreach_sent")</f>
        <v/>
      </c>
      <c r="G2894" s="17">
        <f>IF(B2894="","","")</f>
        <v/>
      </c>
      <c r="H2894" s="17">
        <f>IF(B2894="","","")</f>
        <v/>
      </c>
      <c r="I2894" s="17">
        <f>IF(B2894="","","")</f>
        <v/>
      </c>
      <c r="J2894" s="17">
        <f>IF(B2894="","","touch_3; "&amp;IFERROR(INDEX(Clay_Offices!$A$2:$FZ$601,43,Sync!$C$10)&amp;"","")&amp;"; "&amp;IFERROR(INDEX(Clay_Offices!$A$2:$FZ$601,43,Sync!$C$9)&amp;"",""))</f>
        <v/>
      </c>
      <c r="K2894" t="inlineStr">
        <is>
          <t>office outreach touch 3</t>
        </is>
      </c>
    </row>
    <row r="2895">
      <c r="A2895" s="17">
        <f>IF(B2895="","",B2895+(14*1000+44)/10000000)</f>
        <v/>
      </c>
      <c r="B2895" s="23">
        <f>IF(AND(IFERROR(N(INDEX(Clay_Offices!$A$2:$FZ$601,44,Sync!$C$13)),0)&gt;0,IFERROR(INDEX(Clay_Offices!$A$2:$FZ$601,44,Sync!$C$5)&amp;"","")&lt;&gt;"",OR(LEFT(IFERROR(INDEX(Clay_Offices!$A$2:$FZ$601,44,Sync!$C$5)&amp;"",""),6)&lt;&gt;"SAMPLE",Config!$B$19="Y")),IFERROR(N(INDEX(Clay_Offices!$A$2:$FZ$601,44,Sync!$C$13)),0),"")</f>
        <v/>
      </c>
      <c r="C2895" s="17">
        <f>IF(B2895="","","office")</f>
        <v/>
      </c>
      <c r="D2895" s="17">
        <f>IF(B2895="","",IFERROR(INDEX(Clay_Offices!$A$2:$FZ$601,44,Sync!$C$5)&amp;"",""))</f>
        <v/>
      </c>
      <c r="E2895" s="17">
        <f>IF(B2895="","",IFERROR(INDEX(Clay_Offices!$A$2:$FZ$601,44,Sync!$C$6)&amp;"",""))</f>
        <v/>
      </c>
      <c r="F2895" s="17">
        <f>IF(B2895="","","outreach_sent")</f>
        <v/>
      </c>
      <c r="G2895" s="17">
        <f>IF(B2895="","","")</f>
        <v/>
      </c>
      <c r="H2895" s="17">
        <f>IF(B2895="","","")</f>
        <v/>
      </c>
      <c r="I2895" s="17">
        <f>IF(B2895="","","")</f>
        <v/>
      </c>
      <c r="J2895" s="17">
        <f>IF(B2895="","","touch_3; "&amp;IFERROR(INDEX(Clay_Offices!$A$2:$FZ$601,44,Sync!$C$10)&amp;"","")&amp;"; "&amp;IFERROR(INDEX(Clay_Offices!$A$2:$FZ$601,44,Sync!$C$9)&amp;"",""))</f>
        <v/>
      </c>
      <c r="K2895" t="inlineStr">
        <is>
          <t>office outreach touch 3</t>
        </is>
      </c>
    </row>
    <row r="2896">
      <c r="A2896" s="17">
        <f>IF(B2896="","",B2896+(14*1000+45)/10000000)</f>
        <v/>
      </c>
      <c r="B2896" s="23">
        <f>IF(AND(IFERROR(N(INDEX(Clay_Offices!$A$2:$FZ$601,45,Sync!$C$13)),0)&gt;0,IFERROR(INDEX(Clay_Offices!$A$2:$FZ$601,45,Sync!$C$5)&amp;"","")&lt;&gt;"",OR(LEFT(IFERROR(INDEX(Clay_Offices!$A$2:$FZ$601,45,Sync!$C$5)&amp;"",""),6)&lt;&gt;"SAMPLE",Config!$B$19="Y")),IFERROR(N(INDEX(Clay_Offices!$A$2:$FZ$601,45,Sync!$C$13)),0),"")</f>
        <v/>
      </c>
      <c r="C2896" s="17">
        <f>IF(B2896="","","office")</f>
        <v/>
      </c>
      <c r="D2896" s="17">
        <f>IF(B2896="","",IFERROR(INDEX(Clay_Offices!$A$2:$FZ$601,45,Sync!$C$5)&amp;"",""))</f>
        <v/>
      </c>
      <c r="E2896" s="17">
        <f>IF(B2896="","",IFERROR(INDEX(Clay_Offices!$A$2:$FZ$601,45,Sync!$C$6)&amp;"",""))</f>
        <v/>
      </c>
      <c r="F2896" s="17">
        <f>IF(B2896="","","outreach_sent")</f>
        <v/>
      </c>
      <c r="G2896" s="17">
        <f>IF(B2896="","","")</f>
        <v/>
      </c>
      <c r="H2896" s="17">
        <f>IF(B2896="","","")</f>
        <v/>
      </c>
      <c r="I2896" s="17">
        <f>IF(B2896="","","")</f>
        <v/>
      </c>
      <c r="J2896" s="17">
        <f>IF(B2896="","","touch_3; "&amp;IFERROR(INDEX(Clay_Offices!$A$2:$FZ$601,45,Sync!$C$10)&amp;"","")&amp;"; "&amp;IFERROR(INDEX(Clay_Offices!$A$2:$FZ$601,45,Sync!$C$9)&amp;"",""))</f>
        <v/>
      </c>
      <c r="K2896" t="inlineStr">
        <is>
          <t>office outreach touch 3</t>
        </is>
      </c>
    </row>
    <row r="2897">
      <c r="A2897" s="17">
        <f>IF(B2897="","",B2897+(14*1000+46)/10000000)</f>
        <v/>
      </c>
      <c r="B2897" s="23">
        <f>IF(AND(IFERROR(N(INDEX(Clay_Offices!$A$2:$FZ$601,46,Sync!$C$13)),0)&gt;0,IFERROR(INDEX(Clay_Offices!$A$2:$FZ$601,46,Sync!$C$5)&amp;"","")&lt;&gt;"",OR(LEFT(IFERROR(INDEX(Clay_Offices!$A$2:$FZ$601,46,Sync!$C$5)&amp;"",""),6)&lt;&gt;"SAMPLE",Config!$B$19="Y")),IFERROR(N(INDEX(Clay_Offices!$A$2:$FZ$601,46,Sync!$C$13)),0),"")</f>
        <v/>
      </c>
      <c r="C2897" s="17">
        <f>IF(B2897="","","office")</f>
        <v/>
      </c>
      <c r="D2897" s="17">
        <f>IF(B2897="","",IFERROR(INDEX(Clay_Offices!$A$2:$FZ$601,46,Sync!$C$5)&amp;"",""))</f>
        <v/>
      </c>
      <c r="E2897" s="17">
        <f>IF(B2897="","",IFERROR(INDEX(Clay_Offices!$A$2:$FZ$601,46,Sync!$C$6)&amp;"",""))</f>
        <v/>
      </c>
      <c r="F2897" s="17">
        <f>IF(B2897="","","outreach_sent")</f>
        <v/>
      </c>
      <c r="G2897" s="17">
        <f>IF(B2897="","","")</f>
        <v/>
      </c>
      <c r="H2897" s="17">
        <f>IF(B2897="","","")</f>
        <v/>
      </c>
      <c r="I2897" s="17">
        <f>IF(B2897="","","")</f>
        <v/>
      </c>
      <c r="J2897" s="17">
        <f>IF(B2897="","","touch_3; "&amp;IFERROR(INDEX(Clay_Offices!$A$2:$FZ$601,46,Sync!$C$10)&amp;"","")&amp;"; "&amp;IFERROR(INDEX(Clay_Offices!$A$2:$FZ$601,46,Sync!$C$9)&amp;"",""))</f>
        <v/>
      </c>
      <c r="K2897" t="inlineStr">
        <is>
          <t>office outreach touch 3</t>
        </is>
      </c>
    </row>
    <row r="2898">
      <c r="A2898" s="17">
        <f>IF(B2898="","",B2898+(14*1000+47)/10000000)</f>
        <v/>
      </c>
      <c r="B2898" s="23">
        <f>IF(AND(IFERROR(N(INDEX(Clay_Offices!$A$2:$FZ$601,47,Sync!$C$13)),0)&gt;0,IFERROR(INDEX(Clay_Offices!$A$2:$FZ$601,47,Sync!$C$5)&amp;"","")&lt;&gt;"",OR(LEFT(IFERROR(INDEX(Clay_Offices!$A$2:$FZ$601,47,Sync!$C$5)&amp;"",""),6)&lt;&gt;"SAMPLE",Config!$B$19="Y")),IFERROR(N(INDEX(Clay_Offices!$A$2:$FZ$601,47,Sync!$C$13)),0),"")</f>
        <v/>
      </c>
      <c r="C2898" s="17">
        <f>IF(B2898="","","office")</f>
        <v/>
      </c>
      <c r="D2898" s="17">
        <f>IF(B2898="","",IFERROR(INDEX(Clay_Offices!$A$2:$FZ$601,47,Sync!$C$5)&amp;"",""))</f>
        <v/>
      </c>
      <c r="E2898" s="17">
        <f>IF(B2898="","",IFERROR(INDEX(Clay_Offices!$A$2:$FZ$601,47,Sync!$C$6)&amp;"",""))</f>
        <v/>
      </c>
      <c r="F2898" s="17">
        <f>IF(B2898="","","outreach_sent")</f>
        <v/>
      </c>
      <c r="G2898" s="17">
        <f>IF(B2898="","","")</f>
        <v/>
      </c>
      <c r="H2898" s="17">
        <f>IF(B2898="","","")</f>
        <v/>
      </c>
      <c r="I2898" s="17">
        <f>IF(B2898="","","")</f>
        <v/>
      </c>
      <c r="J2898" s="17">
        <f>IF(B2898="","","touch_3; "&amp;IFERROR(INDEX(Clay_Offices!$A$2:$FZ$601,47,Sync!$C$10)&amp;"","")&amp;"; "&amp;IFERROR(INDEX(Clay_Offices!$A$2:$FZ$601,47,Sync!$C$9)&amp;"",""))</f>
        <v/>
      </c>
      <c r="K2898" t="inlineStr">
        <is>
          <t>office outreach touch 3</t>
        </is>
      </c>
    </row>
    <row r="2899">
      <c r="A2899" s="17">
        <f>IF(B2899="","",B2899+(14*1000+48)/10000000)</f>
        <v/>
      </c>
      <c r="B2899" s="23">
        <f>IF(AND(IFERROR(N(INDEX(Clay_Offices!$A$2:$FZ$601,48,Sync!$C$13)),0)&gt;0,IFERROR(INDEX(Clay_Offices!$A$2:$FZ$601,48,Sync!$C$5)&amp;"","")&lt;&gt;"",OR(LEFT(IFERROR(INDEX(Clay_Offices!$A$2:$FZ$601,48,Sync!$C$5)&amp;"",""),6)&lt;&gt;"SAMPLE",Config!$B$19="Y")),IFERROR(N(INDEX(Clay_Offices!$A$2:$FZ$601,48,Sync!$C$13)),0),"")</f>
        <v/>
      </c>
      <c r="C2899" s="17">
        <f>IF(B2899="","","office")</f>
        <v/>
      </c>
      <c r="D2899" s="17">
        <f>IF(B2899="","",IFERROR(INDEX(Clay_Offices!$A$2:$FZ$601,48,Sync!$C$5)&amp;"",""))</f>
        <v/>
      </c>
      <c r="E2899" s="17">
        <f>IF(B2899="","",IFERROR(INDEX(Clay_Offices!$A$2:$FZ$601,48,Sync!$C$6)&amp;"",""))</f>
        <v/>
      </c>
      <c r="F2899" s="17">
        <f>IF(B2899="","","outreach_sent")</f>
        <v/>
      </c>
      <c r="G2899" s="17">
        <f>IF(B2899="","","")</f>
        <v/>
      </c>
      <c r="H2899" s="17">
        <f>IF(B2899="","","")</f>
        <v/>
      </c>
      <c r="I2899" s="17">
        <f>IF(B2899="","","")</f>
        <v/>
      </c>
      <c r="J2899" s="17">
        <f>IF(B2899="","","touch_3; "&amp;IFERROR(INDEX(Clay_Offices!$A$2:$FZ$601,48,Sync!$C$10)&amp;"","")&amp;"; "&amp;IFERROR(INDEX(Clay_Offices!$A$2:$FZ$601,48,Sync!$C$9)&amp;"",""))</f>
        <v/>
      </c>
      <c r="K2899" t="inlineStr">
        <is>
          <t>office outreach touch 3</t>
        </is>
      </c>
    </row>
    <row r="2900">
      <c r="A2900" s="17">
        <f>IF(B2900="","",B2900+(14*1000+49)/10000000)</f>
        <v/>
      </c>
      <c r="B2900" s="23">
        <f>IF(AND(IFERROR(N(INDEX(Clay_Offices!$A$2:$FZ$601,49,Sync!$C$13)),0)&gt;0,IFERROR(INDEX(Clay_Offices!$A$2:$FZ$601,49,Sync!$C$5)&amp;"","")&lt;&gt;"",OR(LEFT(IFERROR(INDEX(Clay_Offices!$A$2:$FZ$601,49,Sync!$C$5)&amp;"",""),6)&lt;&gt;"SAMPLE",Config!$B$19="Y")),IFERROR(N(INDEX(Clay_Offices!$A$2:$FZ$601,49,Sync!$C$13)),0),"")</f>
        <v/>
      </c>
      <c r="C2900" s="17">
        <f>IF(B2900="","","office")</f>
        <v/>
      </c>
      <c r="D2900" s="17">
        <f>IF(B2900="","",IFERROR(INDEX(Clay_Offices!$A$2:$FZ$601,49,Sync!$C$5)&amp;"",""))</f>
        <v/>
      </c>
      <c r="E2900" s="17">
        <f>IF(B2900="","",IFERROR(INDEX(Clay_Offices!$A$2:$FZ$601,49,Sync!$C$6)&amp;"",""))</f>
        <v/>
      </c>
      <c r="F2900" s="17">
        <f>IF(B2900="","","outreach_sent")</f>
        <v/>
      </c>
      <c r="G2900" s="17">
        <f>IF(B2900="","","")</f>
        <v/>
      </c>
      <c r="H2900" s="17">
        <f>IF(B2900="","","")</f>
        <v/>
      </c>
      <c r="I2900" s="17">
        <f>IF(B2900="","","")</f>
        <v/>
      </c>
      <c r="J2900" s="17">
        <f>IF(B2900="","","touch_3; "&amp;IFERROR(INDEX(Clay_Offices!$A$2:$FZ$601,49,Sync!$C$10)&amp;"","")&amp;"; "&amp;IFERROR(INDEX(Clay_Offices!$A$2:$FZ$601,49,Sync!$C$9)&amp;"",""))</f>
        <v/>
      </c>
      <c r="K2900" t="inlineStr">
        <is>
          <t>office outreach touch 3</t>
        </is>
      </c>
    </row>
    <row r="2901">
      <c r="A2901" s="17">
        <f>IF(B2901="","",B2901+(14*1000+50)/10000000)</f>
        <v/>
      </c>
      <c r="B2901" s="23">
        <f>IF(AND(IFERROR(N(INDEX(Clay_Offices!$A$2:$FZ$601,50,Sync!$C$13)),0)&gt;0,IFERROR(INDEX(Clay_Offices!$A$2:$FZ$601,50,Sync!$C$5)&amp;"","")&lt;&gt;"",OR(LEFT(IFERROR(INDEX(Clay_Offices!$A$2:$FZ$601,50,Sync!$C$5)&amp;"",""),6)&lt;&gt;"SAMPLE",Config!$B$19="Y")),IFERROR(N(INDEX(Clay_Offices!$A$2:$FZ$601,50,Sync!$C$13)),0),"")</f>
        <v/>
      </c>
      <c r="C2901" s="17">
        <f>IF(B2901="","","office")</f>
        <v/>
      </c>
      <c r="D2901" s="17">
        <f>IF(B2901="","",IFERROR(INDEX(Clay_Offices!$A$2:$FZ$601,50,Sync!$C$5)&amp;"",""))</f>
        <v/>
      </c>
      <c r="E2901" s="17">
        <f>IF(B2901="","",IFERROR(INDEX(Clay_Offices!$A$2:$FZ$601,50,Sync!$C$6)&amp;"",""))</f>
        <v/>
      </c>
      <c r="F2901" s="17">
        <f>IF(B2901="","","outreach_sent")</f>
        <v/>
      </c>
      <c r="G2901" s="17">
        <f>IF(B2901="","","")</f>
        <v/>
      </c>
      <c r="H2901" s="17">
        <f>IF(B2901="","","")</f>
        <v/>
      </c>
      <c r="I2901" s="17">
        <f>IF(B2901="","","")</f>
        <v/>
      </c>
      <c r="J2901" s="17">
        <f>IF(B2901="","","touch_3; "&amp;IFERROR(INDEX(Clay_Offices!$A$2:$FZ$601,50,Sync!$C$10)&amp;"","")&amp;"; "&amp;IFERROR(INDEX(Clay_Offices!$A$2:$FZ$601,50,Sync!$C$9)&amp;"",""))</f>
        <v/>
      </c>
      <c r="K2901" t="inlineStr">
        <is>
          <t>office outreach touch 3</t>
        </is>
      </c>
    </row>
    <row r="2902">
      <c r="A2902" s="17">
        <f>IF(B2902="","",B2902+(14*1000+51)/10000000)</f>
        <v/>
      </c>
      <c r="B2902" s="23">
        <f>IF(AND(IFERROR(N(INDEX(Clay_Offices!$A$2:$FZ$601,51,Sync!$C$13)),0)&gt;0,IFERROR(INDEX(Clay_Offices!$A$2:$FZ$601,51,Sync!$C$5)&amp;"","")&lt;&gt;"",OR(LEFT(IFERROR(INDEX(Clay_Offices!$A$2:$FZ$601,51,Sync!$C$5)&amp;"",""),6)&lt;&gt;"SAMPLE",Config!$B$19="Y")),IFERROR(N(INDEX(Clay_Offices!$A$2:$FZ$601,51,Sync!$C$13)),0),"")</f>
        <v/>
      </c>
      <c r="C2902" s="17">
        <f>IF(B2902="","","office")</f>
        <v/>
      </c>
      <c r="D2902" s="17">
        <f>IF(B2902="","",IFERROR(INDEX(Clay_Offices!$A$2:$FZ$601,51,Sync!$C$5)&amp;"",""))</f>
        <v/>
      </c>
      <c r="E2902" s="17">
        <f>IF(B2902="","",IFERROR(INDEX(Clay_Offices!$A$2:$FZ$601,51,Sync!$C$6)&amp;"",""))</f>
        <v/>
      </c>
      <c r="F2902" s="17">
        <f>IF(B2902="","","outreach_sent")</f>
        <v/>
      </c>
      <c r="G2902" s="17">
        <f>IF(B2902="","","")</f>
        <v/>
      </c>
      <c r="H2902" s="17">
        <f>IF(B2902="","","")</f>
        <v/>
      </c>
      <c r="I2902" s="17">
        <f>IF(B2902="","","")</f>
        <v/>
      </c>
      <c r="J2902" s="17">
        <f>IF(B2902="","","touch_3; "&amp;IFERROR(INDEX(Clay_Offices!$A$2:$FZ$601,51,Sync!$C$10)&amp;"","")&amp;"; "&amp;IFERROR(INDEX(Clay_Offices!$A$2:$FZ$601,51,Sync!$C$9)&amp;"",""))</f>
        <v/>
      </c>
      <c r="K2902" t="inlineStr">
        <is>
          <t>office outreach touch 3</t>
        </is>
      </c>
    </row>
    <row r="2903">
      <c r="A2903" s="17">
        <f>IF(B2903="","",B2903+(14*1000+52)/10000000)</f>
        <v/>
      </c>
      <c r="B2903" s="23">
        <f>IF(AND(IFERROR(N(INDEX(Clay_Offices!$A$2:$FZ$601,52,Sync!$C$13)),0)&gt;0,IFERROR(INDEX(Clay_Offices!$A$2:$FZ$601,52,Sync!$C$5)&amp;"","")&lt;&gt;"",OR(LEFT(IFERROR(INDEX(Clay_Offices!$A$2:$FZ$601,52,Sync!$C$5)&amp;"",""),6)&lt;&gt;"SAMPLE",Config!$B$19="Y")),IFERROR(N(INDEX(Clay_Offices!$A$2:$FZ$601,52,Sync!$C$13)),0),"")</f>
        <v/>
      </c>
      <c r="C2903" s="17">
        <f>IF(B2903="","","office")</f>
        <v/>
      </c>
      <c r="D2903" s="17">
        <f>IF(B2903="","",IFERROR(INDEX(Clay_Offices!$A$2:$FZ$601,52,Sync!$C$5)&amp;"",""))</f>
        <v/>
      </c>
      <c r="E2903" s="17">
        <f>IF(B2903="","",IFERROR(INDEX(Clay_Offices!$A$2:$FZ$601,52,Sync!$C$6)&amp;"",""))</f>
        <v/>
      </c>
      <c r="F2903" s="17">
        <f>IF(B2903="","","outreach_sent")</f>
        <v/>
      </c>
      <c r="G2903" s="17">
        <f>IF(B2903="","","")</f>
        <v/>
      </c>
      <c r="H2903" s="17">
        <f>IF(B2903="","","")</f>
        <v/>
      </c>
      <c r="I2903" s="17">
        <f>IF(B2903="","","")</f>
        <v/>
      </c>
      <c r="J2903" s="17">
        <f>IF(B2903="","","touch_3; "&amp;IFERROR(INDEX(Clay_Offices!$A$2:$FZ$601,52,Sync!$C$10)&amp;"","")&amp;"; "&amp;IFERROR(INDEX(Clay_Offices!$A$2:$FZ$601,52,Sync!$C$9)&amp;"",""))</f>
        <v/>
      </c>
      <c r="K2903" t="inlineStr">
        <is>
          <t>office outreach touch 3</t>
        </is>
      </c>
    </row>
    <row r="2904">
      <c r="A2904" s="17">
        <f>IF(B2904="","",B2904+(14*1000+53)/10000000)</f>
        <v/>
      </c>
      <c r="B2904" s="23">
        <f>IF(AND(IFERROR(N(INDEX(Clay_Offices!$A$2:$FZ$601,53,Sync!$C$13)),0)&gt;0,IFERROR(INDEX(Clay_Offices!$A$2:$FZ$601,53,Sync!$C$5)&amp;"","")&lt;&gt;"",OR(LEFT(IFERROR(INDEX(Clay_Offices!$A$2:$FZ$601,53,Sync!$C$5)&amp;"",""),6)&lt;&gt;"SAMPLE",Config!$B$19="Y")),IFERROR(N(INDEX(Clay_Offices!$A$2:$FZ$601,53,Sync!$C$13)),0),"")</f>
        <v/>
      </c>
      <c r="C2904" s="17">
        <f>IF(B2904="","","office")</f>
        <v/>
      </c>
      <c r="D2904" s="17">
        <f>IF(B2904="","",IFERROR(INDEX(Clay_Offices!$A$2:$FZ$601,53,Sync!$C$5)&amp;"",""))</f>
        <v/>
      </c>
      <c r="E2904" s="17">
        <f>IF(B2904="","",IFERROR(INDEX(Clay_Offices!$A$2:$FZ$601,53,Sync!$C$6)&amp;"",""))</f>
        <v/>
      </c>
      <c r="F2904" s="17">
        <f>IF(B2904="","","outreach_sent")</f>
        <v/>
      </c>
      <c r="G2904" s="17">
        <f>IF(B2904="","","")</f>
        <v/>
      </c>
      <c r="H2904" s="17">
        <f>IF(B2904="","","")</f>
        <v/>
      </c>
      <c r="I2904" s="17">
        <f>IF(B2904="","","")</f>
        <v/>
      </c>
      <c r="J2904" s="17">
        <f>IF(B2904="","","touch_3; "&amp;IFERROR(INDEX(Clay_Offices!$A$2:$FZ$601,53,Sync!$C$10)&amp;"","")&amp;"; "&amp;IFERROR(INDEX(Clay_Offices!$A$2:$FZ$601,53,Sync!$C$9)&amp;"",""))</f>
        <v/>
      </c>
      <c r="K2904" t="inlineStr">
        <is>
          <t>office outreach touch 3</t>
        </is>
      </c>
    </row>
    <row r="2905">
      <c r="A2905" s="17">
        <f>IF(B2905="","",B2905+(14*1000+54)/10000000)</f>
        <v/>
      </c>
      <c r="B2905" s="23">
        <f>IF(AND(IFERROR(N(INDEX(Clay_Offices!$A$2:$FZ$601,54,Sync!$C$13)),0)&gt;0,IFERROR(INDEX(Clay_Offices!$A$2:$FZ$601,54,Sync!$C$5)&amp;"","")&lt;&gt;"",OR(LEFT(IFERROR(INDEX(Clay_Offices!$A$2:$FZ$601,54,Sync!$C$5)&amp;"",""),6)&lt;&gt;"SAMPLE",Config!$B$19="Y")),IFERROR(N(INDEX(Clay_Offices!$A$2:$FZ$601,54,Sync!$C$13)),0),"")</f>
        <v/>
      </c>
      <c r="C2905" s="17">
        <f>IF(B2905="","","office")</f>
        <v/>
      </c>
      <c r="D2905" s="17">
        <f>IF(B2905="","",IFERROR(INDEX(Clay_Offices!$A$2:$FZ$601,54,Sync!$C$5)&amp;"",""))</f>
        <v/>
      </c>
      <c r="E2905" s="17">
        <f>IF(B2905="","",IFERROR(INDEX(Clay_Offices!$A$2:$FZ$601,54,Sync!$C$6)&amp;"",""))</f>
        <v/>
      </c>
      <c r="F2905" s="17">
        <f>IF(B2905="","","outreach_sent")</f>
        <v/>
      </c>
      <c r="G2905" s="17">
        <f>IF(B2905="","","")</f>
        <v/>
      </c>
      <c r="H2905" s="17">
        <f>IF(B2905="","","")</f>
        <v/>
      </c>
      <c r="I2905" s="17">
        <f>IF(B2905="","","")</f>
        <v/>
      </c>
      <c r="J2905" s="17">
        <f>IF(B2905="","","touch_3; "&amp;IFERROR(INDEX(Clay_Offices!$A$2:$FZ$601,54,Sync!$C$10)&amp;"","")&amp;"; "&amp;IFERROR(INDEX(Clay_Offices!$A$2:$FZ$601,54,Sync!$C$9)&amp;"",""))</f>
        <v/>
      </c>
      <c r="K2905" t="inlineStr">
        <is>
          <t>office outreach touch 3</t>
        </is>
      </c>
    </row>
    <row r="2906">
      <c r="A2906" s="17">
        <f>IF(B2906="","",B2906+(14*1000+55)/10000000)</f>
        <v/>
      </c>
      <c r="B2906" s="23">
        <f>IF(AND(IFERROR(N(INDEX(Clay_Offices!$A$2:$FZ$601,55,Sync!$C$13)),0)&gt;0,IFERROR(INDEX(Clay_Offices!$A$2:$FZ$601,55,Sync!$C$5)&amp;"","")&lt;&gt;"",OR(LEFT(IFERROR(INDEX(Clay_Offices!$A$2:$FZ$601,55,Sync!$C$5)&amp;"",""),6)&lt;&gt;"SAMPLE",Config!$B$19="Y")),IFERROR(N(INDEX(Clay_Offices!$A$2:$FZ$601,55,Sync!$C$13)),0),"")</f>
        <v/>
      </c>
      <c r="C2906" s="17">
        <f>IF(B2906="","","office")</f>
        <v/>
      </c>
      <c r="D2906" s="17">
        <f>IF(B2906="","",IFERROR(INDEX(Clay_Offices!$A$2:$FZ$601,55,Sync!$C$5)&amp;"",""))</f>
        <v/>
      </c>
      <c r="E2906" s="17">
        <f>IF(B2906="","",IFERROR(INDEX(Clay_Offices!$A$2:$FZ$601,55,Sync!$C$6)&amp;"",""))</f>
        <v/>
      </c>
      <c r="F2906" s="17">
        <f>IF(B2906="","","outreach_sent")</f>
        <v/>
      </c>
      <c r="G2906" s="17">
        <f>IF(B2906="","","")</f>
        <v/>
      </c>
      <c r="H2906" s="17">
        <f>IF(B2906="","","")</f>
        <v/>
      </c>
      <c r="I2906" s="17">
        <f>IF(B2906="","","")</f>
        <v/>
      </c>
      <c r="J2906" s="17">
        <f>IF(B2906="","","touch_3; "&amp;IFERROR(INDEX(Clay_Offices!$A$2:$FZ$601,55,Sync!$C$10)&amp;"","")&amp;"; "&amp;IFERROR(INDEX(Clay_Offices!$A$2:$FZ$601,55,Sync!$C$9)&amp;"",""))</f>
        <v/>
      </c>
      <c r="K2906" t="inlineStr">
        <is>
          <t>office outreach touch 3</t>
        </is>
      </c>
    </row>
    <row r="2907">
      <c r="A2907" s="17">
        <f>IF(B2907="","",B2907+(14*1000+56)/10000000)</f>
        <v/>
      </c>
      <c r="B2907" s="23">
        <f>IF(AND(IFERROR(N(INDEX(Clay_Offices!$A$2:$FZ$601,56,Sync!$C$13)),0)&gt;0,IFERROR(INDEX(Clay_Offices!$A$2:$FZ$601,56,Sync!$C$5)&amp;"","")&lt;&gt;"",OR(LEFT(IFERROR(INDEX(Clay_Offices!$A$2:$FZ$601,56,Sync!$C$5)&amp;"",""),6)&lt;&gt;"SAMPLE",Config!$B$19="Y")),IFERROR(N(INDEX(Clay_Offices!$A$2:$FZ$601,56,Sync!$C$13)),0),"")</f>
        <v/>
      </c>
      <c r="C2907" s="17">
        <f>IF(B2907="","","office")</f>
        <v/>
      </c>
      <c r="D2907" s="17">
        <f>IF(B2907="","",IFERROR(INDEX(Clay_Offices!$A$2:$FZ$601,56,Sync!$C$5)&amp;"",""))</f>
        <v/>
      </c>
      <c r="E2907" s="17">
        <f>IF(B2907="","",IFERROR(INDEX(Clay_Offices!$A$2:$FZ$601,56,Sync!$C$6)&amp;"",""))</f>
        <v/>
      </c>
      <c r="F2907" s="17">
        <f>IF(B2907="","","outreach_sent")</f>
        <v/>
      </c>
      <c r="G2907" s="17">
        <f>IF(B2907="","","")</f>
        <v/>
      </c>
      <c r="H2907" s="17">
        <f>IF(B2907="","","")</f>
        <v/>
      </c>
      <c r="I2907" s="17">
        <f>IF(B2907="","","")</f>
        <v/>
      </c>
      <c r="J2907" s="17">
        <f>IF(B2907="","","touch_3; "&amp;IFERROR(INDEX(Clay_Offices!$A$2:$FZ$601,56,Sync!$C$10)&amp;"","")&amp;"; "&amp;IFERROR(INDEX(Clay_Offices!$A$2:$FZ$601,56,Sync!$C$9)&amp;"",""))</f>
        <v/>
      </c>
      <c r="K2907" t="inlineStr">
        <is>
          <t>office outreach touch 3</t>
        </is>
      </c>
    </row>
    <row r="2908">
      <c r="A2908" s="17">
        <f>IF(B2908="","",B2908+(14*1000+57)/10000000)</f>
        <v/>
      </c>
      <c r="B2908" s="23">
        <f>IF(AND(IFERROR(N(INDEX(Clay_Offices!$A$2:$FZ$601,57,Sync!$C$13)),0)&gt;0,IFERROR(INDEX(Clay_Offices!$A$2:$FZ$601,57,Sync!$C$5)&amp;"","")&lt;&gt;"",OR(LEFT(IFERROR(INDEX(Clay_Offices!$A$2:$FZ$601,57,Sync!$C$5)&amp;"",""),6)&lt;&gt;"SAMPLE",Config!$B$19="Y")),IFERROR(N(INDEX(Clay_Offices!$A$2:$FZ$601,57,Sync!$C$13)),0),"")</f>
        <v/>
      </c>
      <c r="C2908" s="17">
        <f>IF(B2908="","","office")</f>
        <v/>
      </c>
      <c r="D2908" s="17">
        <f>IF(B2908="","",IFERROR(INDEX(Clay_Offices!$A$2:$FZ$601,57,Sync!$C$5)&amp;"",""))</f>
        <v/>
      </c>
      <c r="E2908" s="17">
        <f>IF(B2908="","",IFERROR(INDEX(Clay_Offices!$A$2:$FZ$601,57,Sync!$C$6)&amp;"",""))</f>
        <v/>
      </c>
      <c r="F2908" s="17">
        <f>IF(B2908="","","outreach_sent")</f>
        <v/>
      </c>
      <c r="G2908" s="17">
        <f>IF(B2908="","","")</f>
        <v/>
      </c>
      <c r="H2908" s="17">
        <f>IF(B2908="","","")</f>
        <v/>
      </c>
      <c r="I2908" s="17">
        <f>IF(B2908="","","")</f>
        <v/>
      </c>
      <c r="J2908" s="17">
        <f>IF(B2908="","","touch_3; "&amp;IFERROR(INDEX(Clay_Offices!$A$2:$FZ$601,57,Sync!$C$10)&amp;"","")&amp;"; "&amp;IFERROR(INDEX(Clay_Offices!$A$2:$FZ$601,57,Sync!$C$9)&amp;"",""))</f>
        <v/>
      </c>
      <c r="K2908" t="inlineStr">
        <is>
          <t>office outreach touch 3</t>
        </is>
      </c>
    </row>
    <row r="2909">
      <c r="A2909" s="17">
        <f>IF(B2909="","",B2909+(14*1000+58)/10000000)</f>
        <v/>
      </c>
      <c r="B2909" s="23">
        <f>IF(AND(IFERROR(N(INDEX(Clay_Offices!$A$2:$FZ$601,58,Sync!$C$13)),0)&gt;0,IFERROR(INDEX(Clay_Offices!$A$2:$FZ$601,58,Sync!$C$5)&amp;"","")&lt;&gt;"",OR(LEFT(IFERROR(INDEX(Clay_Offices!$A$2:$FZ$601,58,Sync!$C$5)&amp;"",""),6)&lt;&gt;"SAMPLE",Config!$B$19="Y")),IFERROR(N(INDEX(Clay_Offices!$A$2:$FZ$601,58,Sync!$C$13)),0),"")</f>
        <v/>
      </c>
      <c r="C2909" s="17">
        <f>IF(B2909="","","office")</f>
        <v/>
      </c>
      <c r="D2909" s="17">
        <f>IF(B2909="","",IFERROR(INDEX(Clay_Offices!$A$2:$FZ$601,58,Sync!$C$5)&amp;"",""))</f>
        <v/>
      </c>
      <c r="E2909" s="17">
        <f>IF(B2909="","",IFERROR(INDEX(Clay_Offices!$A$2:$FZ$601,58,Sync!$C$6)&amp;"",""))</f>
        <v/>
      </c>
      <c r="F2909" s="17">
        <f>IF(B2909="","","outreach_sent")</f>
        <v/>
      </c>
      <c r="G2909" s="17">
        <f>IF(B2909="","","")</f>
        <v/>
      </c>
      <c r="H2909" s="17">
        <f>IF(B2909="","","")</f>
        <v/>
      </c>
      <c r="I2909" s="17">
        <f>IF(B2909="","","")</f>
        <v/>
      </c>
      <c r="J2909" s="17">
        <f>IF(B2909="","","touch_3; "&amp;IFERROR(INDEX(Clay_Offices!$A$2:$FZ$601,58,Sync!$C$10)&amp;"","")&amp;"; "&amp;IFERROR(INDEX(Clay_Offices!$A$2:$FZ$601,58,Sync!$C$9)&amp;"",""))</f>
        <v/>
      </c>
      <c r="K2909" t="inlineStr">
        <is>
          <t>office outreach touch 3</t>
        </is>
      </c>
    </row>
    <row r="2910">
      <c r="A2910" s="17">
        <f>IF(B2910="","",B2910+(14*1000+59)/10000000)</f>
        <v/>
      </c>
      <c r="B2910" s="23">
        <f>IF(AND(IFERROR(N(INDEX(Clay_Offices!$A$2:$FZ$601,59,Sync!$C$13)),0)&gt;0,IFERROR(INDEX(Clay_Offices!$A$2:$FZ$601,59,Sync!$C$5)&amp;"","")&lt;&gt;"",OR(LEFT(IFERROR(INDEX(Clay_Offices!$A$2:$FZ$601,59,Sync!$C$5)&amp;"",""),6)&lt;&gt;"SAMPLE",Config!$B$19="Y")),IFERROR(N(INDEX(Clay_Offices!$A$2:$FZ$601,59,Sync!$C$13)),0),"")</f>
        <v/>
      </c>
      <c r="C2910" s="17">
        <f>IF(B2910="","","office")</f>
        <v/>
      </c>
      <c r="D2910" s="17">
        <f>IF(B2910="","",IFERROR(INDEX(Clay_Offices!$A$2:$FZ$601,59,Sync!$C$5)&amp;"",""))</f>
        <v/>
      </c>
      <c r="E2910" s="17">
        <f>IF(B2910="","",IFERROR(INDEX(Clay_Offices!$A$2:$FZ$601,59,Sync!$C$6)&amp;"",""))</f>
        <v/>
      </c>
      <c r="F2910" s="17">
        <f>IF(B2910="","","outreach_sent")</f>
        <v/>
      </c>
      <c r="G2910" s="17">
        <f>IF(B2910="","","")</f>
        <v/>
      </c>
      <c r="H2910" s="17">
        <f>IF(B2910="","","")</f>
        <v/>
      </c>
      <c r="I2910" s="17">
        <f>IF(B2910="","","")</f>
        <v/>
      </c>
      <c r="J2910" s="17">
        <f>IF(B2910="","","touch_3; "&amp;IFERROR(INDEX(Clay_Offices!$A$2:$FZ$601,59,Sync!$C$10)&amp;"","")&amp;"; "&amp;IFERROR(INDEX(Clay_Offices!$A$2:$FZ$601,59,Sync!$C$9)&amp;"",""))</f>
        <v/>
      </c>
      <c r="K2910" t="inlineStr">
        <is>
          <t>office outreach touch 3</t>
        </is>
      </c>
    </row>
    <row r="2911">
      <c r="A2911" s="17">
        <f>IF(B2911="","",B2911+(14*1000+60)/10000000)</f>
        <v/>
      </c>
      <c r="B2911" s="23">
        <f>IF(AND(IFERROR(N(INDEX(Clay_Offices!$A$2:$FZ$601,60,Sync!$C$13)),0)&gt;0,IFERROR(INDEX(Clay_Offices!$A$2:$FZ$601,60,Sync!$C$5)&amp;"","")&lt;&gt;"",OR(LEFT(IFERROR(INDEX(Clay_Offices!$A$2:$FZ$601,60,Sync!$C$5)&amp;"",""),6)&lt;&gt;"SAMPLE",Config!$B$19="Y")),IFERROR(N(INDEX(Clay_Offices!$A$2:$FZ$601,60,Sync!$C$13)),0),"")</f>
        <v/>
      </c>
      <c r="C2911" s="17">
        <f>IF(B2911="","","office")</f>
        <v/>
      </c>
      <c r="D2911" s="17">
        <f>IF(B2911="","",IFERROR(INDEX(Clay_Offices!$A$2:$FZ$601,60,Sync!$C$5)&amp;"",""))</f>
        <v/>
      </c>
      <c r="E2911" s="17">
        <f>IF(B2911="","",IFERROR(INDEX(Clay_Offices!$A$2:$FZ$601,60,Sync!$C$6)&amp;"",""))</f>
        <v/>
      </c>
      <c r="F2911" s="17">
        <f>IF(B2911="","","outreach_sent")</f>
        <v/>
      </c>
      <c r="G2911" s="17">
        <f>IF(B2911="","","")</f>
        <v/>
      </c>
      <c r="H2911" s="17">
        <f>IF(B2911="","","")</f>
        <v/>
      </c>
      <c r="I2911" s="17">
        <f>IF(B2911="","","")</f>
        <v/>
      </c>
      <c r="J2911" s="17">
        <f>IF(B2911="","","touch_3; "&amp;IFERROR(INDEX(Clay_Offices!$A$2:$FZ$601,60,Sync!$C$10)&amp;"","")&amp;"; "&amp;IFERROR(INDEX(Clay_Offices!$A$2:$FZ$601,60,Sync!$C$9)&amp;"",""))</f>
        <v/>
      </c>
      <c r="K2911" t="inlineStr">
        <is>
          <t>office outreach touch 3</t>
        </is>
      </c>
    </row>
    <row r="2912">
      <c r="A2912" s="17">
        <f>IF(B2912="","",B2912+(14*1000+61)/10000000)</f>
        <v/>
      </c>
      <c r="B2912" s="23">
        <f>IF(AND(IFERROR(N(INDEX(Clay_Offices!$A$2:$FZ$601,61,Sync!$C$13)),0)&gt;0,IFERROR(INDEX(Clay_Offices!$A$2:$FZ$601,61,Sync!$C$5)&amp;"","")&lt;&gt;"",OR(LEFT(IFERROR(INDEX(Clay_Offices!$A$2:$FZ$601,61,Sync!$C$5)&amp;"",""),6)&lt;&gt;"SAMPLE",Config!$B$19="Y")),IFERROR(N(INDEX(Clay_Offices!$A$2:$FZ$601,61,Sync!$C$13)),0),"")</f>
        <v/>
      </c>
      <c r="C2912" s="17">
        <f>IF(B2912="","","office")</f>
        <v/>
      </c>
      <c r="D2912" s="17">
        <f>IF(B2912="","",IFERROR(INDEX(Clay_Offices!$A$2:$FZ$601,61,Sync!$C$5)&amp;"",""))</f>
        <v/>
      </c>
      <c r="E2912" s="17">
        <f>IF(B2912="","",IFERROR(INDEX(Clay_Offices!$A$2:$FZ$601,61,Sync!$C$6)&amp;"",""))</f>
        <v/>
      </c>
      <c r="F2912" s="17">
        <f>IF(B2912="","","outreach_sent")</f>
        <v/>
      </c>
      <c r="G2912" s="17">
        <f>IF(B2912="","","")</f>
        <v/>
      </c>
      <c r="H2912" s="17">
        <f>IF(B2912="","","")</f>
        <v/>
      </c>
      <c r="I2912" s="17">
        <f>IF(B2912="","","")</f>
        <v/>
      </c>
      <c r="J2912" s="17">
        <f>IF(B2912="","","touch_3; "&amp;IFERROR(INDEX(Clay_Offices!$A$2:$FZ$601,61,Sync!$C$10)&amp;"","")&amp;"; "&amp;IFERROR(INDEX(Clay_Offices!$A$2:$FZ$601,61,Sync!$C$9)&amp;"",""))</f>
        <v/>
      </c>
      <c r="K2912" t="inlineStr">
        <is>
          <t>office outreach touch 3</t>
        </is>
      </c>
    </row>
    <row r="2913">
      <c r="A2913" s="17">
        <f>IF(B2913="","",B2913+(14*1000+62)/10000000)</f>
        <v/>
      </c>
      <c r="B2913" s="23">
        <f>IF(AND(IFERROR(N(INDEX(Clay_Offices!$A$2:$FZ$601,62,Sync!$C$13)),0)&gt;0,IFERROR(INDEX(Clay_Offices!$A$2:$FZ$601,62,Sync!$C$5)&amp;"","")&lt;&gt;"",OR(LEFT(IFERROR(INDEX(Clay_Offices!$A$2:$FZ$601,62,Sync!$C$5)&amp;"",""),6)&lt;&gt;"SAMPLE",Config!$B$19="Y")),IFERROR(N(INDEX(Clay_Offices!$A$2:$FZ$601,62,Sync!$C$13)),0),"")</f>
        <v/>
      </c>
      <c r="C2913" s="17">
        <f>IF(B2913="","","office")</f>
        <v/>
      </c>
      <c r="D2913" s="17">
        <f>IF(B2913="","",IFERROR(INDEX(Clay_Offices!$A$2:$FZ$601,62,Sync!$C$5)&amp;"",""))</f>
        <v/>
      </c>
      <c r="E2913" s="17">
        <f>IF(B2913="","",IFERROR(INDEX(Clay_Offices!$A$2:$FZ$601,62,Sync!$C$6)&amp;"",""))</f>
        <v/>
      </c>
      <c r="F2913" s="17">
        <f>IF(B2913="","","outreach_sent")</f>
        <v/>
      </c>
      <c r="G2913" s="17">
        <f>IF(B2913="","","")</f>
        <v/>
      </c>
      <c r="H2913" s="17">
        <f>IF(B2913="","","")</f>
        <v/>
      </c>
      <c r="I2913" s="17">
        <f>IF(B2913="","","")</f>
        <v/>
      </c>
      <c r="J2913" s="17">
        <f>IF(B2913="","","touch_3; "&amp;IFERROR(INDEX(Clay_Offices!$A$2:$FZ$601,62,Sync!$C$10)&amp;"","")&amp;"; "&amp;IFERROR(INDEX(Clay_Offices!$A$2:$FZ$601,62,Sync!$C$9)&amp;"",""))</f>
        <v/>
      </c>
      <c r="K2913" t="inlineStr">
        <is>
          <t>office outreach touch 3</t>
        </is>
      </c>
    </row>
    <row r="2914">
      <c r="A2914" s="17">
        <f>IF(B2914="","",B2914+(14*1000+63)/10000000)</f>
        <v/>
      </c>
      <c r="B2914" s="23">
        <f>IF(AND(IFERROR(N(INDEX(Clay_Offices!$A$2:$FZ$601,63,Sync!$C$13)),0)&gt;0,IFERROR(INDEX(Clay_Offices!$A$2:$FZ$601,63,Sync!$C$5)&amp;"","")&lt;&gt;"",OR(LEFT(IFERROR(INDEX(Clay_Offices!$A$2:$FZ$601,63,Sync!$C$5)&amp;"",""),6)&lt;&gt;"SAMPLE",Config!$B$19="Y")),IFERROR(N(INDEX(Clay_Offices!$A$2:$FZ$601,63,Sync!$C$13)),0),"")</f>
        <v/>
      </c>
      <c r="C2914" s="17">
        <f>IF(B2914="","","office")</f>
        <v/>
      </c>
      <c r="D2914" s="17">
        <f>IF(B2914="","",IFERROR(INDEX(Clay_Offices!$A$2:$FZ$601,63,Sync!$C$5)&amp;"",""))</f>
        <v/>
      </c>
      <c r="E2914" s="17">
        <f>IF(B2914="","",IFERROR(INDEX(Clay_Offices!$A$2:$FZ$601,63,Sync!$C$6)&amp;"",""))</f>
        <v/>
      </c>
      <c r="F2914" s="17">
        <f>IF(B2914="","","outreach_sent")</f>
        <v/>
      </c>
      <c r="G2914" s="17">
        <f>IF(B2914="","","")</f>
        <v/>
      </c>
      <c r="H2914" s="17">
        <f>IF(B2914="","","")</f>
        <v/>
      </c>
      <c r="I2914" s="17">
        <f>IF(B2914="","","")</f>
        <v/>
      </c>
      <c r="J2914" s="17">
        <f>IF(B2914="","","touch_3; "&amp;IFERROR(INDEX(Clay_Offices!$A$2:$FZ$601,63,Sync!$C$10)&amp;"","")&amp;"; "&amp;IFERROR(INDEX(Clay_Offices!$A$2:$FZ$601,63,Sync!$C$9)&amp;"",""))</f>
        <v/>
      </c>
      <c r="K2914" t="inlineStr">
        <is>
          <t>office outreach touch 3</t>
        </is>
      </c>
    </row>
    <row r="2915">
      <c r="A2915" s="17">
        <f>IF(B2915="","",B2915+(14*1000+64)/10000000)</f>
        <v/>
      </c>
      <c r="B2915" s="23">
        <f>IF(AND(IFERROR(N(INDEX(Clay_Offices!$A$2:$FZ$601,64,Sync!$C$13)),0)&gt;0,IFERROR(INDEX(Clay_Offices!$A$2:$FZ$601,64,Sync!$C$5)&amp;"","")&lt;&gt;"",OR(LEFT(IFERROR(INDEX(Clay_Offices!$A$2:$FZ$601,64,Sync!$C$5)&amp;"",""),6)&lt;&gt;"SAMPLE",Config!$B$19="Y")),IFERROR(N(INDEX(Clay_Offices!$A$2:$FZ$601,64,Sync!$C$13)),0),"")</f>
        <v/>
      </c>
      <c r="C2915" s="17">
        <f>IF(B2915="","","office")</f>
        <v/>
      </c>
      <c r="D2915" s="17">
        <f>IF(B2915="","",IFERROR(INDEX(Clay_Offices!$A$2:$FZ$601,64,Sync!$C$5)&amp;"",""))</f>
        <v/>
      </c>
      <c r="E2915" s="17">
        <f>IF(B2915="","",IFERROR(INDEX(Clay_Offices!$A$2:$FZ$601,64,Sync!$C$6)&amp;"",""))</f>
        <v/>
      </c>
      <c r="F2915" s="17">
        <f>IF(B2915="","","outreach_sent")</f>
        <v/>
      </c>
      <c r="G2915" s="17">
        <f>IF(B2915="","","")</f>
        <v/>
      </c>
      <c r="H2915" s="17">
        <f>IF(B2915="","","")</f>
        <v/>
      </c>
      <c r="I2915" s="17">
        <f>IF(B2915="","","")</f>
        <v/>
      </c>
      <c r="J2915" s="17">
        <f>IF(B2915="","","touch_3; "&amp;IFERROR(INDEX(Clay_Offices!$A$2:$FZ$601,64,Sync!$C$10)&amp;"","")&amp;"; "&amp;IFERROR(INDEX(Clay_Offices!$A$2:$FZ$601,64,Sync!$C$9)&amp;"",""))</f>
        <v/>
      </c>
      <c r="K2915" t="inlineStr">
        <is>
          <t>office outreach touch 3</t>
        </is>
      </c>
    </row>
    <row r="2916">
      <c r="A2916" s="17">
        <f>IF(B2916="","",B2916+(14*1000+65)/10000000)</f>
        <v/>
      </c>
      <c r="B2916" s="23">
        <f>IF(AND(IFERROR(N(INDEX(Clay_Offices!$A$2:$FZ$601,65,Sync!$C$13)),0)&gt;0,IFERROR(INDEX(Clay_Offices!$A$2:$FZ$601,65,Sync!$C$5)&amp;"","")&lt;&gt;"",OR(LEFT(IFERROR(INDEX(Clay_Offices!$A$2:$FZ$601,65,Sync!$C$5)&amp;"",""),6)&lt;&gt;"SAMPLE",Config!$B$19="Y")),IFERROR(N(INDEX(Clay_Offices!$A$2:$FZ$601,65,Sync!$C$13)),0),"")</f>
        <v/>
      </c>
      <c r="C2916" s="17">
        <f>IF(B2916="","","office")</f>
        <v/>
      </c>
      <c r="D2916" s="17">
        <f>IF(B2916="","",IFERROR(INDEX(Clay_Offices!$A$2:$FZ$601,65,Sync!$C$5)&amp;"",""))</f>
        <v/>
      </c>
      <c r="E2916" s="17">
        <f>IF(B2916="","",IFERROR(INDEX(Clay_Offices!$A$2:$FZ$601,65,Sync!$C$6)&amp;"",""))</f>
        <v/>
      </c>
      <c r="F2916" s="17">
        <f>IF(B2916="","","outreach_sent")</f>
        <v/>
      </c>
      <c r="G2916" s="17">
        <f>IF(B2916="","","")</f>
        <v/>
      </c>
      <c r="H2916" s="17">
        <f>IF(B2916="","","")</f>
        <v/>
      </c>
      <c r="I2916" s="17">
        <f>IF(B2916="","","")</f>
        <v/>
      </c>
      <c r="J2916" s="17">
        <f>IF(B2916="","","touch_3; "&amp;IFERROR(INDEX(Clay_Offices!$A$2:$FZ$601,65,Sync!$C$10)&amp;"","")&amp;"; "&amp;IFERROR(INDEX(Clay_Offices!$A$2:$FZ$601,65,Sync!$C$9)&amp;"",""))</f>
        <v/>
      </c>
      <c r="K2916" t="inlineStr">
        <is>
          <t>office outreach touch 3</t>
        </is>
      </c>
    </row>
    <row r="2917">
      <c r="A2917" s="17">
        <f>IF(B2917="","",B2917+(14*1000+66)/10000000)</f>
        <v/>
      </c>
      <c r="B2917" s="23">
        <f>IF(AND(IFERROR(N(INDEX(Clay_Offices!$A$2:$FZ$601,66,Sync!$C$13)),0)&gt;0,IFERROR(INDEX(Clay_Offices!$A$2:$FZ$601,66,Sync!$C$5)&amp;"","")&lt;&gt;"",OR(LEFT(IFERROR(INDEX(Clay_Offices!$A$2:$FZ$601,66,Sync!$C$5)&amp;"",""),6)&lt;&gt;"SAMPLE",Config!$B$19="Y")),IFERROR(N(INDEX(Clay_Offices!$A$2:$FZ$601,66,Sync!$C$13)),0),"")</f>
        <v/>
      </c>
      <c r="C2917" s="17">
        <f>IF(B2917="","","office")</f>
        <v/>
      </c>
      <c r="D2917" s="17">
        <f>IF(B2917="","",IFERROR(INDEX(Clay_Offices!$A$2:$FZ$601,66,Sync!$C$5)&amp;"",""))</f>
        <v/>
      </c>
      <c r="E2917" s="17">
        <f>IF(B2917="","",IFERROR(INDEX(Clay_Offices!$A$2:$FZ$601,66,Sync!$C$6)&amp;"",""))</f>
        <v/>
      </c>
      <c r="F2917" s="17">
        <f>IF(B2917="","","outreach_sent")</f>
        <v/>
      </c>
      <c r="G2917" s="17">
        <f>IF(B2917="","","")</f>
        <v/>
      </c>
      <c r="H2917" s="17">
        <f>IF(B2917="","","")</f>
        <v/>
      </c>
      <c r="I2917" s="17">
        <f>IF(B2917="","","")</f>
        <v/>
      </c>
      <c r="J2917" s="17">
        <f>IF(B2917="","","touch_3; "&amp;IFERROR(INDEX(Clay_Offices!$A$2:$FZ$601,66,Sync!$C$10)&amp;"","")&amp;"; "&amp;IFERROR(INDEX(Clay_Offices!$A$2:$FZ$601,66,Sync!$C$9)&amp;"",""))</f>
        <v/>
      </c>
      <c r="K2917" t="inlineStr">
        <is>
          <t>office outreach touch 3</t>
        </is>
      </c>
    </row>
    <row r="2918">
      <c r="A2918" s="17">
        <f>IF(B2918="","",B2918+(14*1000+67)/10000000)</f>
        <v/>
      </c>
      <c r="B2918" s="23">
        <f>IF(AND(IFERROR(N(INDEX(Clay_Offices!$A$2:$FZ$601,67,Sync!$C$13)),0)&gt;0,IFERROR(INDEX(Clay_Offices!$A$2:$FZ$601,67,Sync!$C$5)&amp;"","")&lt;&gt;"",OR(LEFT(IFERROR(INDEX(Clay_Offices!$A$2:$FZ$601,67,Sync!$C$5)&amp;"",""),6)&lt;&gt;"SAMPLE",Config!$B$19="Y")),IFERROR(N(INDEX(Clay_Offices!$A$2:$FZ$601,67,Sync!$C$13)),0),"")</f>
        <v/>
      </c>
      <c r="C2918" s="17">
        <f>IF(B2918="","","office")</f>
        <v/>
      </c>
      <c r="D2918" s="17">
        <f>IF(B2918="","",IFERROR(INDEX(Clay_Offices!$A$2:$FZ$601,67,Sync!$C$5)&amp;"",""))</f>
        <v/>
      </c>
      <c r="E2918" s="17">
        <f>IF(B2918="","",IFERROR(INDEX(Clay_Offices!$A$2:$FZ$601,67,Sync!$C$6)&amp;"",""))</f>
        <v/>
      </c>
      <c r="F2918" s="17">
        <f>IF(B2918="","","outreach_sent")</f>
        <v/>
      </c>
      <c r="G2918" s="17">
        <f>IF(B2918="","","")</f>
        <v/>
      </c>
      <c r="H2918" s="17">
        <f>IF(B2918="","","")</f>
        <v/>
      </c>
      <c r="I2918" s="17">
        <f>IF(B2918="","","")</f>
        <v/>
      </c>
      <c r="J2918" s="17">
        <f>IF(B2918="","","touch_3; "&amp;IFERROR(INDEX(Clay_Offices!$A$2:$FZ$601,67,Sync!$C$10)&amp;"","")&amp;"; "&amp;IFERROR(INDEX(Clay_Offices!$A$2:$FZ$601,67,Sync!$C$9)&amp;"",""))</f>
        <v/>
      </c>
      <c r="K2918" t="inlineStr">
        <is>
          <t>office outreach touch 3</t>
        </is>
      </c>
    </row>
    <row r="2919">
      <c r="A2919" s="17">
        <f>IF(B2919="","",B2919+(14*1000+68)/10000000)</f>
        <v/>
      </c>
      <c r="B2919" s="23">
        <f>IF(AND(IFERROR(N(INDEX(Clay_Offices!$A$2:$FZ$601,68,Sync!$C$13)),0)&gt;0,IFERROR(INDEX(Clay_Offices!$A$2:$FZ$601,68,Sync!$C$5)&amp;"","")&lt;&gt;"",OR(LEFT(IFERROR(INDEX(Clay_Offices!$A$2:$FZ$601,68,Sync!$C$5)&amp;"",""),6)&lt;&gt;"SAMPLE",Config!$B$19="Y")),IFERROR(N(INDEX(Clay_Offices!$A$2:$FZ$601,68,Sync!$C$13)),0),"")</f>
        <v/>
      </c>
      <c r="C2919" s="17">
        <f>IF(B2919="","","office")</f>
        <v/>
      </c>
      <c r="D2919" s="17">
        <f>IF(B2919="","",IFERROR(INDEX(Clay_Offices!$A$2:$FZ$601,68,Sync!$C$5)&amp;"",""))</f>
        <v/>
      </c>
      <c r="E2919" s="17">
        <f>IF(B2919="","",IFERROR(INDEX(Clay_Offices!$A$2:$FZ$601,68,Sync!$C$6)&amp;"",""))</f>
        <v/>
      </c>
      <c r="F2919" s="17">
        <f>IF(B2919="","","outreach_sent")</f>
        <v/>
      </c>
      <c r="G2919" s="17">
        <f>IF(B2919="","","")</f>
        <v/>
      </c>
      <c r="H2919" s="17">
        <f>IF(B2919="","","")</f>
        <v/>
      </c>
      <c r="I2919" s="17">
        <f>IF(B2919="","","")</f>
        <v/>
      </c>
      <c r="J2919" s="17">
        <f>IF(B2919="","","touch_3; "&amp;IFERROR(INDEX(Clay_Offices!$A$2:$FZ$601,68,Sync!$C$10)&amp;"","")&amp;"; "&amp;IFERROR(INDEX(Clay_Offices!$A$2:$FZ$601,68,Sync!$C$9)&amp;"",""))</f>
        <v/>
      </c>
      <c r="K2919" t="inlineStr">
        <is>
          <t>office outreach touch 3</t>
        </is>
      </c>
    </row>
    <row r="2920">
      <c r="A2920" s="17">
        <f>IF(B2920="","",B2920+(14*1000+69)/10000000)</f>
        <v/>
      </c>
      <c r="B2920" s="23">
        <f>IF(AND(IFERROR(N(INDEX(Clay_Offices!$A$2:$FZ$601,69,Sync!$C$13)),0)&gt;0,IFERROR(INDEX(Clay_Offices!$A$2:$FZ$601,69,Sync!$C$5)&amp;"","")&lt;&gt;"",OR(LEFT(IFERROR(INDEX(Clay_Offices!$A$2:$FZ$601,69,Sync!$C$5)&amp;"",""),6)&lt;&gt;"SAMPLE",Config!$B$19="Y")),IFERROR(N(INDEX(Clay_Offices!$A$2:$FZ$601,69,Sync!$C$13)),0),"")</f>
        <v/>
      </c>
      <c r="C2920" s="17">
        <f>IF(B2920="","","office")</f>
        <v/>
      </c>
      <c r="D2920" s="17">
        <f>IF(B2920="","",IFERROR(INDEX(Clay_Offices!$A$2:$FZ$601,69,Sync!$C$5)&amp;"",""))</f>
        <v/>
      </c>
      <c r="E2920" s="17">
        <f>IF(B2920="","",IFERROR(INDEX(Clay_Offices!$A$2:$FZ$601,69,Sync!$C$6)&amp;"",""))</f>
        <v/>
      </c>
      <c r="F2920" s="17">
        <f>IF(B2920="","","outreach_sent")</f>
        <v/>
      </c>
      <c r="G2920" s="17">
        <f>IF(B2920="","","")</f>
        <v/>
      </c>
      <c r="H2920" s="17">
        <f>IF(B2920="","","")</f>
        <v/>
      </c>
      <c r="I2920" s="17">
        <f>IF(B2920="","","")</f>
        <v/>
      </c>
      <c r="J2920" s="17">
        <f>IF(B2920="","","touch_3; "&amp;IFERROR(INDEX(Clay_Offices!$A$2:$FZ$601,69,Sync!$C$10)&amp;"","")&amp;"; "&amp;IFERROR(INDEX(Clay_Offices!$A$2:$FZ$601,69,Sync!$C$9)&amp;"",""))</f>
        <v/>
      </c>
      <c r="K2920" t="inlineStr">
        <is>
          <t>office outreach touch 3</t>
        </is>
      </c>
    </row>
    <row r="2921">
      <c r="A2921" s="17">
        <f>IF(B2921="","",B2921+(14*1000+70)/10000000)</f>
        <v/>
      </c>
      <c r="B2921" s="23">
        <f>IF(AND(IFERROR(N(INDEX(Clay_Offices!$A$2:$FZ$601,70,Sync!$C$13)),0)&gt;0,IFERROR(INDEX(Clay_Offices!$A$2:$FZ$601,70,Sync!$C$5)&amp;"","")&lt;&gt;"",OR(LEFT(IFERROR(INDEX(Clay_Offices!$A$2:$FZ$601,70,Sync!$C$5)&amp;"",""),6)&lt;&gt;"SAMPLE",Config!$B$19="Y")),IFERROR(N(INDEX(Clay_Offices!$A$2:$FZ$601,70,Sync!$C$13)),0),"")</f>
        <v/>
      </c>
      <c r="C2921" s="17">
        <f>IF(B2921="","","office")</f>
        <v/>
      </c>
      <c r="D2921" s="17">
        <f>IF(B2921="","",IFERROR(INDEX(Clay_Offices!$A$2:$FZ$601,70,Sync!$C$5)&amp;"",""))</f>
        <v/>
      </c>
      <c r="E2921" s="17">
        <f>IF(B2921="","",IFERROR(INDEX(Clay_Offices!$A$2:$FZ$601,70,Sync!$C$6)&amp;"",""))</f>
        <v/>
      </c>
      <c r="F2921" s="17">
        <f>IF(B2921="","","outreach_sent")</f>
        <v/>
      </c>
      <c r="G2921" s="17">
        <f>IF(B2921="","","")</f>
        <v/>
      </c>
      <c r="H2921" s="17">
        <f>IF(B2921="","","")</f>
        <v/>
      </c>
      <c r="I2921" s="17">
        <f>IF(B2921="","","")</f>
        <v/>
      </c>
      <c r="J2921" s="17">
        <f>IF(B2921="","","touch_3; "&amp;IFERROR(INDEX(Clay_Offices!$A$2:$FZ$601,70,Sync!$C$10)&amp;"","")&amp;"; "&amp;IFERROR(INDEX(Clay_Offices!$A$2:$FZ$601,70,Sync!$C$9)&amp;"",""))</f>
        <v/>
      </c>
      <c r="K2921" t="inlineStr">
        <is>
          <t>office outreach touch 3</t>
        </is>
      </c>
    </row>
    <row r="2922">
      <c r="A2922" s="17">
        <f>IF(B2922="","",B2922+(14*1000+71)/10000000)</f>
        <v/>
      </c>
      <c r="B2922" s="23">
        <f>IF(AND(IFERROR(N(INDEX(Clay_Offices!$A$2:$FZ$601,71,Sync!$C$13)),0)&gt;0,IFERROR(INDEX(Clay_Offices!$A$2:$FZ$601,71,Sync!$C$5)&amp;"","")&lt;&gt;"",OR(LEFT(IFERROR(INDEX(Clay_Offices!$A$2:$FZ$601,71,Sync!$C$5)&amp;"",""),6)&lt;&gt;"SAMPLE",Config!$B$19="Y")),IFERROR(N(INDEX(Clay_Offices!$A$2:$FZ$601,71,Sync!$C$13)),0),"")</f>
        <v/>
      </c>
      <c r="C2922" s="17">
        <f>IF(B2922="","","office")</f>
        <v/>
      </c>
      <c r="D2922" s="17">
        <f>IF(B2922="","",IFERROR(INDEX(Clay_Offices!$A$2:$FZ$601,71,Sync!$C$5)&amp;"",""))</f>
        <v/>
      </c>
      <c r="E2922" s="17">
        <f>IF(B2922="","",IFERROR(INDEX(Clay_Offices!$A$2:$FZ$601,71,Sync!$C$6)&amp;"",""))</f>
        <v/>
      </c>
      <c r="F2922" s="17">
        <f>IF(B2922="","","outreach_sent")</f>
        <v/>
      </c>
      <c r="G2922" s="17">
        <f>IF(B2922="","","")</f>
        <v/>
      </c>
      <c r="H2922" s="17">
        <f>IF(B2922="","","")</f>
        <v/>
      </c>
      <c r="I2922" s="17">
        <f>IF(B2922="","","")</f>
        <v/>
      </c>
      <c r="J2922" s="17">
        <f>IF(B2922="","","touch_3; "&amp;IFERROR(INDEX(Clay_Offices!$A$2:$FZ$601,71,Sync!$C$10)&amp;"","")&amp;"; "&amp;IFERROR(INDEX(Clay_Offices!$A$2:$FZ$601,71,Sync!$C$9)&amp;"",""))</f>
        <v/>
      </c>
      <c r="K2922" t="inlineStr">
        <is>
          <t>office outreach touch 3</t>
        </is>
      </c>
    </row>
    <row r="2923">
      <c r="A2923" s="17">
        <f>IF(B2923="","",B2923+(14*1000+72)/10000000)</f>
        <v/>
      </c>
      <c r="B2923" s="23">
        <f>IF(AND(IFERROR(N(INDEX(Clay_Offices!$A$2:$FZ$601,72,Sync!$C$13)),0)&gt;0,IFERROR(INDEX(Clay_Offices!$A$2:$FZ$601,72,Sync!$C$5)&amp;"","")&lt;&gt;"",OR(LEFT(IFERROR(INDEX(Clay_Offices!$A$2:$FZ$601,72,Sync!$C$5)&amp;"",""),6)&lt;&gt;"SAMPLE",Config!$B$19="Y")),IFERROR(N(INDEX(Clay_Offices!$A$2:$FZ$601,72,Sync!$C$13)),0),"")</f>
        <v/>
      </c>
      <c r="C2923" s="17">
        <f>IF(B2923="","","office")</f>
        <v/>
      </c>
      <c r="D2923" s="17">
        <f>IF(B2923="","",IFERROR(INDEX(Clay_Offices!$A$2:$FZ$601,72,Sync!$C$5)&amp;"",""))</f>
        <v/>
      </c>
      <c r="E2923" s="17">
        <f>IF(B2923="","",IFERROR(INDEX(Clay_Offices!$A$2:$FZ$601,72,Sync!$C$6)&amp;"",""))</f>
        <v/>
      </c>
      <c r="F2923" s="17">
        <f>IF(B2923="","","outreach_sent")</f>
        <v/>
      </c>
      <c r="G2923" s="17">
        <f>IF(B2923="","","")</f>
        <v/>
      </c>
      <c r="H2923" s="17">
        <f>IF(B2923="","","")</f>
        <v/>
      </c>
      <c r="I2923" s="17">
        <f>IF(B2923="","","")</f>
        <v/>
      </c>
      <c r="J2923" s="17">
        <f>IF(B2923="","","touch_3; "&amp;IFERROR(INDEX(Clay_Offices!$A$2:$FZ$601,72,Sync!$C$10)&amp;"","")&amp;"; "&amp;IFERROR(INDEX(Clay_Offices!$A$2:$FZ$601,72,Sync!$C$9)&amp;"",""))</f>
        <v/>
      </c>
      <c r="K2923" t="inlineStr">
        <is>
          <t>office outreach touch 3</t>
        </is>
      </c>
    </row>
    <row r="2924">
      <c r="A2924" s="17">
        <f>IF(B2924="","",B2924+(14*1000+73)/10000000)</f>
        <v/>
      </c>
      <c r="B2924" s="23">
        <f>IF(AND(IFERROR(N(INDEX(Clay_Offices!$A$2:$FZ$601,73,Sync!$C$13)),0)&gt;0,IFERROR(INDEX(Clay_Offices!$A$2:$FZ$601,73,Sync!$C$5)&amp;"","")&lt;&gt;"",OR(LEFT(IFERROR(INDEX(Clay_Offices!$A$2:$FZ$601,73,Sync!$C$5)&amp;"",""),6)&lt;&gt;"SAMPLE",Config!$B$19="Y")),IFERROR(N(INDEX(Clay_Offices!$A$2:$FZ$601,73,Sync!$C$13)),0),"")</f>
        <v/>
      </c>
      <c r="C2924" s="17">
        <f>IF(B2924="","","office")</f>
        <v/>
      </c>
      <c r="D2924" s="17">
        <f>IF(B2924="","",IFERROR(INDEX(Clay_Offices!$A$2:$FZ$601,73,Sync!$C$5)&amp;"",""))</f>
        <v/>
      </c>
      <c r="E2924" s="17">
        <f>IF(B2924="","",IFERROR(INDEX(Clay_Offices!$A$2:$FZ$601,73,Sync!$C$6)&amp;"",""))</f>
        <v/>
      </c>
      <c r="F2924" s="17">
        <f>IF(B2924="","","outreach_sent")</f>
        <v/>
      </c>
      <c r="G2924" s="17">
        <f>IF(B2924="","","")</f>
        <v/>
      </c>
      <c r="H2924" s="17">
        <f>IF(B2924="","","")</f>
        <v/>
      </c>
      <c r="I2924" s="17">
        <f>IF(B2924="","","")</f>
        <v/>
      </c>
      <c r="J2924" s="17">
        <f>IF(B2924="","","touch_3; "&amp;IFERROR(INDEX(Clay_Offices!$A$2:$FZ$601,73,Sync!$C$10)&amp;"","")&amp;"; "&amp;IFERROR(INDEX(Clay_Offices!$A$2:$FZ$601,73,Sync!$C$9)&amp;"",""))</f>
        <v/>
      </c>
      <c r="K2924" t="inlineStr">
        <is>
          <t>office outreach touch 3</t>
        </is>
      </c>
    </row>
    <row r="2925">
      <c r="A2925" s="17">
        <f>IF(B2925="","",B2925+(14*1000+74)/10000000)</f>
        <v/>
      </c>
      <c r="B2925" s="23">
        <f>IF(AND(IFERROR(N(INDEX(Clay_Offices!$A$2:$FZ$601,74,Sync!$C$13)),0)&gt;0,IFERROR(INDEX(Clay_Offices!$A$2:$FZ$601,74,Sync!$C$5)&amp;"","")&lt;&gt;"",OR(LEFT(IFERROR(INDEX(Clay_Offices!$A$2:$FZ$601,74,Sync!$C$5)&amp;"",""),6)&lt;&gt;"SAMPLE",Config!$B$19="Y")),IFERROR(N(INDEX(Clay_Offices!$A$2:$FZ$601,74,Sync!$C$13)),0),"")</f>
        <v/>
      </c>
      <c r="C2925" s="17">
        <f>IF(B2925="","","office")</f>
        <v/>
      </c>
      <c r="D2925" s="17">
        <f>IF(B2925="","",IFERROR(INDEX(Clay_Offices!$A$2:$FZ$601,74,Sync!$C$5)&amp;"",""))</f>
        <v/>
      </c>
      <c r="E2925" s="17">
        <f>IF(B2925="","",IFERROR(INDEX(Clay_Offices!$A$2:$FZ$601,74,Sync!$C$6)&amp;"",""))</f>
        <v/>
      </c>
      <c r="F2925" s="17">
        <f>IF(B2925="","","outreach_sent")</f>
        <v/>
      </c>
      <c r="G2925" s="17">
        <f>IF(B2925="","","")</f>
        <v/>
      </c>
      <c r="H2925" s="17">
        <f>IF(B2925="","","")</f>
        <v/>
      </c>
      <c r="I2925" s="17">
        <f>IF(B2925="","","")</f>
        <v/>
      </c>
      <c r="J2925" s="17">
        <f>IF(B2925="","","touch_3; "&amp;IFERROR(INDEX(Clay_Offices!$A$2:$FZ$601,74,Sync!$C$10)&amp;"","")&amp;"; "&amp;IFERROR(INDEX(Clay_Offices!$A$2:$FZ$601,74,Sync!$C$9)&amp;"",""))</f>
        <v/>
      </c>
      <c r="K2925" t="inlineStr">
        <is>
          <t>office outreach touch 3</t>
        </is>
      </c>
    </row>
    <row r="2926">
      <c r="A2926" s="17">
        <f>IF(B2926="","",B2926+(14*1000+75)/10000000)</f>
        <v/>
      </c>
      <c r="B2926" s="23">
        <f>IF(AND(IFERROR(N(INDEX(Clay_Offices!$A$2:$FZ$601,75,Sync!$C$13)),0)&gt;0,IFERROR(INDEX(Clay_Offices!$A$2:$FZ$601,75,Sync!$C$5)&amp;"","")&lt;&gt;"",OR(LEFT(IFERROR(INDEX(Clay_Offices!$A$2:$FZ$601,75,Sync!$C$5)&amp;"",""),6)&lt;&gt;"SAMPLE",Config!$B$19="Y")),IFERROR(N(INDEX(Clay_Offices!$A$2:$FZ$601,75,Sync!$C$13)),0),"")</f>
        <v/>
      </c>
      <c r="C2926" s="17">
        <f>IF(B2926="","","office")</f>
        <v/>
      </c>
      <c r="D2926" s="17">
        <f>IF(B2926="","",IFERROR(INDEX(Clay_Offices!$A$2:$FZ$601,75,Sync!$C$5)&amp;"",""))</f>
        <v/>
      </c>
      <c r="E2926" s="17">
        <f>IF(B2926="","",IFERROR(INDEX(Clay_Offices!$A$2:$FZ$601,75,Sync!$C$6)&amp;"",""))</f>
        <v/>
      </c>
      <c r="F2926" s="17">
        <f>IF(B2926="","","outreach_sent")</f>
        <v/>
      </c>
      <c r="G2926" s="17">
        <f>IF(B2926="","","")</f>
        <v/>
      </c>
      <c r="H2926" s="17">
        <f>IF(B2926="","","")</f>
        <v/>
      </c>
      <c r="I2926" s="17">
        <f>IF(B2926="","","")</f>
        <v/>
      </c>
      <c r="J2926" s="17">
        <f>IF(B2926="","","touch_3; "&amp;IFERROR(INDEX(Clay_Offices!$A$2:$FZ$601,75,Sync!$C$10)&amp;"","")&amp;"; "&amp;IFERROR(INDEX(Clay_Offices!$A$2:$FZ$601,75,Sync!$C$9)&amp;"",""))</f>
        <v/>
      </c>
      <c r="K2926" t="inlineStr">
        <is>
          <t>office outreach touch 3</t>
        </is>
      </c>
    </row>
    <row r="2927">
      <c r="A2927" s="17">
        <f>IF(B2927="","",B2927+(14*1000+76)/10000000)</f>
        <v/>
      </c>
      <c r="B2927" s="23">
        <f>IF(AND(IFERROR(N(INDEX(Clay_Offices!$A$2:$FZ$601,76,Sync!$C$13)),0)&gt;0,IFERROR(INDEX(Clay_Offices!$A$2:$FZ$601,76,Sync!$C$5)&amp;"","")&lt;&gt;"",OR(LEFT(IFERROR(INDEX(Clay_Offices!$A$2:$FZ$601,76,Sync!$C$5)&amp;"",""),6)&lt;&gt;"SAMPLE",Config!$B$19="Y")),IFERROR(N(INDEX(Clay_Offices!$A$2:$FZ$601,76,Sync!$C$13)),0),"")</f>
        <v/>
      </c>
      <c r="C2927" s="17">
        <f>IF(B2927="","","office")</f>
        <v/>
      </c>
      <c r="D2927" s="17">
        <f>IF(B2927="","",IFERROR(INDEX(Clay_Offices!$A$2:$FZ$601,76,Sync!$C$5)&amp;"",""))</f>
        <v/>
      </c>
      <c r="E2927" s="17">
        <f>IF(B2927="","",IFERROR(INDEX(Clay_Offices!$A$2:$FZ$601,76,Sync!$C$6)&amp;"",""))</f>
        <v/>
      </c>
      <c r="F2927" s="17">
        <f>IF(B2927="","","outreach_sent")</f>
        <v/>
      </c>
      <c r="G2927" s="17">
        <f>IF(B2927="","","")</f>
        <v/>
      </c>
      <c r="H2927" s="17">
        <f>IF(B2927="","","")</f>
        <v/>
      </c>
      <c r="I2927" s="17">
        <f>IF(B2927="","","")</f>
        <v/>
      </c>
      <c r="J2927" s="17">
        <f>IF(B2927="","","touch_3; "&amp;IFERROR(INDEX(Clay_Offices!$A$2:$FZ$601,76,Sync!$C$10)&amp;"","")&amp;"; "&amp;IFERROR(INDEX(Clay_Offices!$A$2:$FZ$601,76,Sync!$C$9)&amp;"",""))</f>
        <v/>
      </c>
      <c r="K2927" t="inlineStr">
        <is>
          <t>office outreach touch 3</t>
        </is>
      </c>
    </row>
    <row r="2928">
      <c r="A2928" s="17">
        <f>IF(B2928="","",B2928+(14*1000+77)/10000000)</f>
        <v/>
      </c>
      <c r="B2928" s="23">
        <f>IF(AND(IFERROR(N(INDEX(Clay_Offices!$A$2:$FZ$601,77,Sync!$C$13)),0)&gt;0,IFERROR(INDEX(Clay_Offices!$A$2:$FZ$601,77,Sync!$C$5)&amp;"","")&lt;&gt;"",OR(LEFT(IFERROR(INDEX(Clay_Offices!$A$2:$FZ$601,77,Sync!$C$5)&amp;"",""),6)&lt;&gt;"SAMPLE",Config!$B$19="Y")),IFERROR(N(INDEX(Clay_Offices!$A$2:$FZ$601,77,Sync!$C$13)),0),"")</f>
        <v/>
      </c>
      <c r="C2928" s="17">
        <f>IF(B2928="","","office")</f>
        <v/>
      </c>
      <c r="D2928" s="17">
        <f>IF(B2928="","",IFERROR(INDEX(Clay_Offices!$A$2:$FZ$601,77,Sync!$C$5)&amp;"",""))</f>
        <v/>
      </c>
      <c r="E2928" s="17">
        <f>IF(B2928="","",IFERROR(INDEX(Clay_Offices!$A$2:$FZ$601,77,Sync!$C$6)&amp;"",""))</f>
        <v/>
      </c>
      <c r="F2928" s="17">
        <f>IF(B2928="","","outreach_sent")</f>
        <v/>
      </c>
      <c r="G2928" s="17">
        <f>IF(B2928="","","")</f>
        <v/>
      </c>
      <c r="H2928" s="17">
        <f>IF(B2928="","","")</f>
        <v/>
      </c>
      <c r="I2928" s="17">
        <f>IF(B2928="","","")</f>
        <v/>
      </c>
      <c r="J2928" s="17">
        <f>IF(B2928="","","touch_3; "&amp;IFERROR(INDEX(Clay_Offices!$A$2:$FZ$601,77,Sync!$C$10)&amp;"","")&amp;"; "&amp;IFERROR(INDEX(Clay_Offices!$A$2:$FZ$601,77,Sync!$C$9)&amp;"",""))</f>
        <v/>
      </c>
      <c r="K2928" t="inlineStr">
        <is>
          <t>office outreach touch 3</t>
        </is>
      </c>
    </row>
    <row r="2929">
      <c r="A2929" s="17">
        <f>IF(B2929="","",B2929+(14*1000+78)/10000000)</f>
        <v/>
      </c>
      <c r="B2929" s="23">
        <f>IF(AND(IFERROR(N(INDEX(Clay_Offices!$A$2:$FZ$601,78,Sync!$C$13)),0)&gt;0,IFERROR(INDEX(Clay_Offices!$A$2:$FZ$601,78,Sync!$C$5)&amp;"","")&lt;&gt;"",OR(LEFT(IFERROR(INDEX(Clay_Offices!$A$2:$FZ$601,78,Sync!$C$5)&amp;"",""),6)&lt;&gt;"SAMPLE",Config!$B$19="Y")),IFERROR(N(INDEX(Clay_Offices!$A$2:$FZ$601,78,Sync!$C$13)),0),"")</f>
        <v/>
      </c>
      <c r="C2929" s="17">
        <f>IF(B2929="","","office")</f>
        <v/>
      </c>
      <c r="D2929" s="17">
        <f>IF(B2929="","",IFERROR(INDEX(Clay_Offices!$A$2:$FZ$601,78,Sync!$C$5)&amp;"",""))</f>
        <v/>
      </c>
      <c r="E2929" s="17">
        <f>IF(B2929="","",IFERROR(INDEX(Clay_Offices!$A$2:$FZ$601,78,Sync!$C$6)&amp;"",""))</f>
        <v/>
      </c>
      <c r="F2929" s="17">
        <f>IF(B2929="","","outreach_sent")</f>
        <v/>
      </c>
      <c r="G2929" s="17">
        <f>IF(B2929="","","")</f>
        <v/>
      </c>
      <c r="H2929" s="17">
        <f>IF(B2929="","","")</f>
        <v/>
      </c>
      <c r="I2929" s="17">
        <f>IF(B2929="","","")</f>
        <v/>
      </c>
      <c r="J2929" s="17">
        <f>IF(B2929="","","touch_3; "&amp;IFERROR(INDEX(Clay_Offices!$A$2:$FZ$601,78,Sync!$C$10)&amp;"","")&amp;"; "&amp;IFERROR(INDEX(Clay_Offices!$A$2:$FZ$601,78,Sync!$C$9)&amp;"",""))</f>
        <v/>
      </c>
      <c r="K2929" t="inlineStr">
        <is>
          <t>office outreach touch 3</t>
        </is>
      </c>
    </row>
    <row r="2930">
      <c r="A2930" s="17">
        <f>IF(B2930="","",B2930+(14*1000+79)/10000000)</f>
        <v/>
      </c>
      <c r="B2930" s="23">
        <f>IF(AND(IFERROR(N(INDEX(Clay_Offices!$A$2:$FZ$601,79,Sync!$C$13)),0)&gt;0,IFERROR(INDEX(Clay_Offices!$A$2:$FZ$601,79,Sync!$C$5)&amp;"","")&lt;&gt;"",OR(LEFT(IFERROR(INDEX(Clay_Offices!$A$2:$FZ$601,79,Sync!$C$5)&amp;"",""),6)&lt;&gt;"SAMPLE",Config!$B$19="Y")),IFERROR(N(INDEX(Clay_Offices!$A$2:$FZ$601,79,Sync!$C$13)),0),"")</f>
        <v/>
      </c>
      <c r="C2930" s="17">
        <f>IF(B2930="","","office")</f>
        <v/>
      </c>
      <c r="D2930" s="17">
        <f>IF(B2930="","",IFERROR(INDEX(Clay_Offices!$A$2:$FZ$601,79,Sync!$C$5)&amp;"",""))</f>
        <v/>
      </c>
      <c r="E2930" s="17">
        <f>IF(B2930="","",IFERROR(INDEX(Clay_Offices!$A$2:$FZ$601,79,Sync!$C$6)&amp;"",""))</f>
        <v/>
      </c>
      <c r="F2930" s="17">
        <f>IF(B2930="","","outreach_sent")</f>
        <v/>
      </c>
      <c r="G2930" s="17">
        <f>IF(B2930="","","")</f>
        <v/>
      </c>
      <c r="H2930" s="17">
        <f>IF(B2930="","","")</f>
        <v/>
      </c>
      <c r="I2930" s="17">
        <f>IF(B2930="","","")</f>
        <v/>
      </c>
      <c r="J2930" s="17">
        <f>IF(B2930="","","touch_3; "&amp;IFERROR(INDEX(Clay_Offices!$A$2:$FZ$601,79,Sync!$C$10)&amp;"","")&amp;"; "&amp;IFERROR(INDEX(Clay_Offices!$A$2:$FZ$601,79,Sync!$C$9)&amp;"",""))</f>
        <v/>
      </c>
      <c r="K2930" t="inlineStr">
        <is>
          <t>office outreach touch 3</t>
        </is>
      </c>
    </row>
    <row r="2931">
      <c r="A2931" s="17">
        <f>IF(B2931="","",B2931+(14*1000+80)/10000000)</f>
        <v/>
      </c>
      <c r="B2931" s="23">
        <f>IF(AND(IFERROR(N(INDEX(Clay_Offices!$A$2:$FZ$601,80,Sync!$C$13)),0)&gt;0,IFERROR(INDEX(Clay_Offices!$A$2:$FZ$601,80,Sync!$C$5)&amp;"","")&lt;&gt;"",OR(LEFT(IFERROR(INDEX(Clay_Offices!$A$2:$FZ$601,80,Sync!$C$5)&amp;"",""),6)&lt;&gt;"SAMPLE",Config!$B$19="Y")),IFERROR(N(INDEX(Clay_Offices!$A$2:$FZ$601,80,Sync!$C$13)),0),"")</f>
        <v/>
      </c>
      <c r="C2931" s="17">
        <f>IF(B2931="","","office")</f>
        <v/>
      </c>
      <c r="D2931" s="17">
        <f>IF(B2931="","",IFERROR(INDEX(Clay_Offices!$A$2:$FZ$601,80,Sync!$C$5)&amp;"",""))</f>
        <v/>
      </c>
      <c r="E2931" s="17">
        <f>IF(B2931="","",IFERROR(INDEX(Clay_Offices!$A$2:$FZ$601,80,Sync!$C$6)&amp;"",""))</f>
        <v/>
      </c>
      <c r="F2931" s="17">
        <f>IF(B2931="","","outreach_sent")</f>
        <v/>
      </c>
      <c r="G2931" s="17">
        <f>IF(B2931="","","")</f>
        <v/>
      </c>
      <c r="H2931" s="17">
        <f>IF(B2931="","","")</f>
        <v/>
      </c>
      <c r="I2931" s="17">
        <f>IF(B2931="","","")</f>
        <v/>
      </c>
      <c r="J2931" s="17">
        <f>IF(B2931="","","touch_3; "&amp;IFERROR(INDEX(Clay_Offices!$A$2:$FZ$601,80,Sync!$C$10)&amp;"","")&amp;"; "&amp;IFERROR(INDEX(Clay_Offices!$A$2:$FZ$601,80,Sync!$C$9)&amp;"",""))</f>
        <v/>
      </c>
      <c r="K2931" t="inlineStr">
        <is>
          <t>office outreach touch 3</t>
        </is>
      </c>
    </row>
    <row r="2932">
      <c r="A2932" s="17">
        <f>IF(B2932="","",B2932+(14*1000+81)/10000000)</f>
        <v/>
      </c>
      <c r="B2932" s="23">
        <f>IF(AND(IFERROR(N(INDEX(Clay_Offices!$A$2:$FZ$601,81,Sync!$C$13)),0)&gt;0,IFERROR(INDEX(Clay_Offices!$A$2:$FZ$601,81,Sync!$C$5)&amp;"","")&lt;&gt;"",OR(LEFT(IFERROR(INDEX(Clay_Offices!$A$2:$FZ$601,81,Sync!$C$5)&amp;"",""),6)&lt;&gt;"SAMPLE",Config!$B$19="Y")),IFERROR(N(INDEX(Clay_Offices!$A$2:$FZ$601,81,Sync!$C$13)),0),"")</f>
        <v/>
      </c>
      <c r="C2932" s="17">
        <f>IF(B2932="","","office")</f>
        <v/>
      </c>
      <c r="D2932" s="17">
        <f>IF(B2932="","",IFERROR(INDEX(Clay_Offices!$A$2:$FZ$601,81,Sync!$C$5)&amp;"",""))</f>
        <v/>
      </c>
      <c r="E2932" s="17">
        <f>IF(B2932="","",IFERROR(INDEX(Clay_Offices!$A$2:$FZ$601,81,Sync!$C$6)&amp;"",""))</f>
        <v/>
      </c>
      <c r="F2932" s="17">
        <f>IF(B2932="","","outreach_sent")</f>
        <v/>
      </c>
      <c r="G2932" s="17">
        <f>IF(B2932="","","")</f>
        <v/>
      </c>
      <c r="H2932" s="17">
        <f>IF(B2932="","","")</f>
        <v/>
      </c>
      <c r="I2932" s="17">
        <f>IF(B2932="","","")</f>
        <v/>
      </c>
      <c r="J2932" s="17">
        <f>IF(B2932="","","touch_3; "&amp;IFERROR(INDEX(Clay_Offices!$A$2:$FZ$601,81,Sync!$C$10)&amp;"","")&amp;"; "&amp;IFERROR(INDEX(Clay_Offices!$A$2:$FZ$601,81,Sync!$C$9)&amp;"",""))</f>
        <v/>
      </c>
      <c r="K2932" t="inlineStr">
        <is>
          <t>office outreach touch 3</t>
        </is>
      </c>
    </row>
    <row r="2933">
      <c r="A2933" s="17">
        <f>IF(B2933="","",B2933+(14*1000+82)/10000000)</f>
        <v/>
      </c>
      <c r="B2933" s="23">
        <f>IF(AND(IFERROR(N(INDEX(Clay_Offices!$A$2:$FZ$601,82,Sync!$C$13)),0)&gt;0,IFERROR(INDEX(Clay_Offices!$A$2:$FZ$601,82,Sync!$C$5)&amp;"","")&lt;&gt;"",OR(LEFT(IFERROR(INDEX(Clay_Offices!$A$2:$FZ$601,82,Sync!$C$5)&amp;"",""),6)&lt;&gt;"SAMPLE",Config!$B$19="Y")),IFERROR(N(INDEX(Clay_Offices!$A$2:$FZ$601,82,Sync!$C$13)),0),"")</f>
        <v/>
      </c>
      <c r="C2933" s="17">
        <f>IF(B2933="","","office")</f>
        <v/>
      </c>
      <c r="D2933" s="17">
        <f>IF(B2933="","",IFERROR(INDEX(Clay_Offices!$A$2:$FZ$601,82,Sync!$C$5)&amp;"",""))</f>
        <v/>
      </c>
      <c r="E2933" s="17">
        <f>IF(B2933="","",IFERROR(INDEX(Clay_Offices!$A$2:$FZ$601,82,Sync!$C$6)&amp;"",""))</f>
        <v/>
      </c>
      <c r="F2933" s="17">
        <f>IF(B2933="","","outreach_sent")</f>
        <v/>
      </c>
      <c r="G2933" s="17">
        <f>IF(B2933="","","")</f>
        <v/>
      </c>
      <c r="H2933" s="17">
        <f>IF(B2933="","","")</f>
        <v/>
      </c>
      <c r="I2933" s="17">
        <f>IF(B2933="","","")</f>
        <v/>
      </c>
      <c r="J2933" s="17">
        <f>IF(B2933="","","touch_3; "&amp;IFERROR(INDEX(Clay_Offices!$A$2:$FZ$601,82,Sync!$C$10)&amp;"","")&amp;"; "&amp;IFERROR(INDEX(Clay_Offices!$A$2:$FZ$601,82,Sync!$C$9)&amp;"",""))</f>
        <v/>
      </c>
      <c r="K2933" t="inlineStr">
        <is>
          <t>office outreach touch 3</t>
        </is>
      </c>
    </row>
    <row r="2934">
      <c r="A2934" s="17">
        <f>IF(B2934="","",B2934+(14*1000+83)/10000000)</f>
        <v/>
      </c>
      <c r="B2934" s="23">
        <f>IF(AND(IFERROR(N(INDEX(Clay_Offices!$A$2:$FZ$601,83,Sync!$C$13)),0)&gt;0,IFERROR(INDEX(Clay_Offices!$A$2:$FZ$601,83,Sync!$C$5)&amp;"","")&lt;&gt;"",OR(LEFT(IFERROR(INDEX(Clay_Offices!$A$2:$FZ$601,83,Sync!$C$5)&amp;"",""),6)&lt;&gt;"SAMPLE",Config!$B$19="Y")),IFERROR(N(INDEX(Clay_Offices!$A$2:$FZ$601,83,Sync!$C$13)),0),"")</f>
        <v/>
      </c>
      <c r="C2934" s="17">
        <f>IF(B2934="","","office")</f>
        <v/>
      </c>
      <c r="D2934" s="17">
        <f>IF(B2934="","",IFERROR(INDEX(Clay_Offices!$A$2:$FZ$601,83,Sync!$C$5)&amp;"",""))</f>
        <v/>
      </c>
      <c r="E2934" s="17">
        <f>IF(B2934="","",IFERROR(INDEX(Clay_Offices!$A$2:$FZ$601,83,Sync!$C$6)&amp;"",""))</f>
        <v/>
      </c>
      <c r="F2934" s="17">
        <f>IF(B2934="","","outreach_sent")</f>
        <v/>
      </c>
      <c r="G2934" s="17">
        <f>IF(B2934="","","")</f>
        <v/>
      </c>
      <c r="H2934" s="17">
        <f>IF(B2934="","","")</f>
        <v/>
      </c>
      <c r="I2934" s="17">
        <f>IF(B2934="","","")</f>
        <v/>
      </c>
      <c r="J2934" s="17">
        <f>IF(B2934="","","touch_3; "&amp;IFERROR(INDEX(Clay_Offices!$A$2:$FZ$601,83,Sync!$C$10)&amp;"","")&amp;"; "&amp;IFERROR(INDEX(Clay_Offices!$A$2:$FZ$601,83,Sync!$C$9)&amp;"",""))</f>
        <v/>
      </c>
      <c r="K2934" t="inlineStr">
        <is>
          <t>office outreach touch 3</t>
        </is>
      </c>
    </row>
    <row r="2935">
      <c r="A2935" s="17">
        <f>IF(B2935="","",B2935+(14*1000+84)/10000000)</f>
        <v/>
      </c>
      <c r="B2935" s="23">
        <f>IF(AND(IFERROR(N(INDEX(Clay_Offices!$A$2:$FZ$601,84,Sync!$C$13)),0)&gt;0,IFERROR(INDEX(Clay_Offices!$A$2:$FZ$601,84,Sync!$C$5)&amp;"","")&lt;&gt;"",OR(LEFT(IFERROR(INDEX(Clay_Offices!$A$2:$FZ$601,84,Sync!$C$5)&amp;"",""),6)&lt;&gt;"SAMPLE",Config!$B$19="Y")),IFERROR(N(INDEX(Clay_Offices!$A$2:$FZ$601,84,Sync!$C$13)),0),"")</f>
        <v/>
      </c>
      <c r="C2935" s="17">
        <f>IF(B2935="","","office")</f>
        <v/>
      </c>
      <c r="D2935" s="17">
        <f>IF(B2935="","",IFERROR(INDEX(Clay_Offices!$A$2:$FZ$601,84,Sync!$C$5)&amp;"",""))</f>
        <v/>
      </c>
      <c r="E2935" s="17">
        <f>IF(B2935="","",IFERROR(INDEX(Clay_Offices!$A$2:$FZ$601,84,Sync!$C$6)&amp;"",""))</f>
        <v/>
      </c>
      <c r="F2935" s="17">
        <f>IF(B2935="","","outreach_sent")</f>
        <v/>
      </c>
      <c r="G2935" s="17">
        <f>IF(B2935="","","")</f>
        <v/>
      </c>
      <c r="H2935" s="17">
        <f>IF(B2935="","","")</f>
        <v/>
      </c>
      <c r="I2935" s="17">
        <f>IF(B2935="","","")</f>
        <v/>
      </c>
      <c r="J2935" s="17">
        <f>IF(B2935="","","touch_3; "&amp;IFERROR(INDEX(Clay_Offices!$A$2:$FZ$601,84,Sync!$C$10)&amp;"","")&amp;"; "&amp;IFERROR(INDEX(Clay_Offices!$A$2:$FZ$601,84,Sync!$C$9)&amp;"",""))</f>
        <v/>
      </c>
      <c r="K2935" t="inlineStr">
        <is>
          <t>office outreach touch 3</t>
        </is>
      </c>
    </row>
    <row r="2936">
      <c r="A2936" s="17">
        <f>IF(B2936="","",B2936+(14*1000+85)/10000000)</f>
        <v/>
      </c>
      <c r="B2936" s="23">
        <f>IF(AND(IFERROR(N(INDEX(Clay_Offices!$A$2:$FZ$601,85,Sync!$C$13)),0)&gt;0,IFERROR(INDEX(Clay_Offices!$A$2:$FZ$601,85,Sync!$C$5)&amp;"","")&lt;&gt;"",OR(LEFT(IFERROR(INDEX(Clay_Offices!$A$2:$FZ$601,85,Sync!$C$5)&amp;"",""),6)&lt;&gt;"SAMPLE",Config!$B$19="Y")),IFERROR(N(INDEX(Clay_Offices!$A$2:$FZ$601,85,Sync!$C$13)),0),"")</f>
        <v/>
      </c>
      <c r="C2936" s="17">
        <f>IF(B2936="","","office")</f>
        <v/>
      </c>
      <c r="D2936" s="17">
        <f>IF(B2936="","",IFERROR(INDEX(Clay_Offices!$A$2:$FZ$601,85,Sync!$C$5)&amp;"",""))</f>
        <v/>
      </c>
      <c r="E2936" s="17">
        <f>IF(B2936="","",IFERROR(INDEX(Clay_Offices!$A$2:$FZ$601,85,Sync!$C$6)&amp;"",""))</f>
        <v/>
      </c>
      <c r="F2936" s="17">
        <f>IF(B2936="","","outreach_sent")</f>
        <v/>
      </c>
      <c r="G2936" s="17">
        <f>IF(B2936="","","")</f>
        <v/>
      </c>
      <c r="H2936" s="17">
        <f>IF(B2936="","","")</f>
        <v/>
      </c>
      <c r="I2936" s="17">
        <f>IF(B2936="","","")</f>
        <v/>
      </c>
      <c r="J2936" s="17">
        <f>IF(B2936="","","touch_3; "&amp;IFERROR(INDEX(Clay_Offices!$A$2:$FZ$601,85,Sync!$C$10)&amp;"","")&amp;"; "&amp;IFERROR(INDEX(Clay_Offices!$A$2:$FZ$601,85,Sync!$C$9)&amp;"",""))</f>
        <v/>
      </c>
      <c r="K2936" t="inlineStr">
        <is>
          <t>office outreach touch 3</t>
        </is>
      </c>
    </row>
    <row r="2937">
      <c r="A2937" s="17">
        <f>IF(B2937="","",B2937+(14*1000+86)/10000000)</f>
        <v/>
      </c>
      <c r="B2937" s="23">
        <f>IF(AND(IFERROR(N(INDEX(Clay_Offices!$A$2:$FZ$601,86,Sync!$C$13)),0)&gt;0,IFERROR(INDEX(Clay_Offices!$A$2:$FZ$601,86,Sync!$C$5)&amp;"","")&lt;&gt;"",OR(LEFT(IFERROR(INDEX(Clay_Offices!$A$2:$FZ$601,86,Sync!$C$5)&amp;"",""),6)&lt;&gt;"SAMPLE",Config!$B$19="Y")),IFERROR(N(INDEX(Clay_Offices!$A$2:$FZ$601,86,Sync!$C$13)),0),"")</f>
        <v/>
      </c>
      <c r="C2937" s="17">
        <f>IF(B2937="","","office")</f>
        <v/>
      </c>
      <c r="D2937" s="17">
        <f>IF(B2937="","",IFERROR(INDEX(Clay_Offices!$A$2:$FZ$601,86,Sync!$C$5)&amp;"",""))</f>
        <v/>
      </c>
      <c r="E2937" s="17">
        <f>IF(B2937="","",IFERROR(INDEX(Clay_Offices!$A$2:$FZ$601,86,Sync!$C$6)&amp;"",""))</f>
        <v/>
      </c>
      <c r="F2937" s="17">
        <f>IF(B2937="","","outreach_sent")</f>
        <v/>
      </c>
      <c r="G2937" s="17">
        <f>IF(B2937="","","")</f>
        <v/>
      </c>
      <c r="H2937" s="17">
        <f>IF(B2937="","","")</f>
        <v/>
      </c>
      <c r="I2937" s="17">
        <f>IF(B2937="","","")</f>
        <v/>
      </c>
      <c r="J2937" s="17">
        <f>IF(B2937="","","touch_3; "&amp;IFERROR(INDEX(Clay_Offices!$A$2:$FZ$601,86,Sync!$C$10)&amp;"","")&amp;"; "&amp;IFERROR(INDEX(Clay_Offices!$A$2:$FZ$601,86,Sync!$C$9)&amp;"",""))</f>
        <v/>
      </c>
      <c r="K2937" t="inlineStr">
        <is>
          <t>office outreach touch 3</t>
        </is>
      </c>
    </row>
    <row r="2938">
      <c r="A2938" s="17">
        <f>IF(B2938="","",B2938+(14*1000+87)/10000000)</f>
        <v/>
      </c>
      <c r="B2938" s="23">
        <f>IF(AND(IFERROR(N(INDEX(Clay_Offices!$A$2:$FZ$601,87,Sync!$C$13)),0)&gt;0,IFERROR(INDEX(Clay_Offices!$A$2:$FZ$601,87,Sync!$C$5)&amp;"","")&lt;&gt;"",OR(LEFT(IFERROR(INDEX(Clay_Offices!$A$2:$FZ$601,87,Sync!$C$5)&amp;"",""),6)&lt;&gt;"SAMPLE",Config!$B$19="Y")),IFERROR(N(INDEX(Clay_Offices!$A$2:$FZ$601,87,Sync!$C$13)),0),"")</f>
        <v/>
      </c>
      <c r="C2938" s="17">
        <f>IF(B2938="","","office")</f>
        <v/>
      </c>
      <c r="D2938" s="17">
        <f>IF(B2938="","",IFERROR(INDEX(Clay_Offices!$A$2:$FZ$601,87,Sync!$C$5)&amp;"",""))</f>
        <v/>
      </c>
      <c r="E2938" s="17">
        <f>IF(B2938="","",IFERROR(INDEX(Clay_Offices!$A$2:$FZ$601,87,Sync!$C$6)&amp;"",""))</f>
        <v/>
      </c>
      <c r="F2938" s="17">
        <f>IF(B2938="","","outreach_sent")</f>
        <v/>
      </c>
      <c r="G2938" s="17">
        <f>IF(B2938="","","")</f>
        <v/>
      </c>
      <c r="H2938" s="17">
        <f>IF(B2938="","","")</f>
        <v/>
      </c>
      <c r="I2938" s="17">
        <f>IF(B2938="","","")</f>
        <v/>
      </c>
      <c r="J2938" s="17">
        <f>IF(B2938="","","touch_3; "&amp;IFERROR(INDEX(Clay_Offices!$A$2:$FZ$601,87,Sync!$C$10)&amp;"","")&amp;"; "&amp;IFERROR(INDEX(Clay_Offices!$A$2:$FZ$601,87,Sync!$C$9)&amp;"",""))</f>
        <v/>
      </c>
      <c r="K2938" t="inlineStr">
        <is>
          <t>office outreach touch 3</t>
        </is>
      </c>
    </row>
    <row r="2939">
      <c r="A2939" s="17">
        <f>IF(B2939="","",B2939+(14*1000+88)/10000000)</f>
        <v/>
      </c>
      <c r="B2939" s="23">
        <f>IF(AND(IFERROR(N(INDEX(Clay_Offices!$A$2:$FZ$601,88,Sync!$C$13)),0)&gt;0,IFERROR(INDEX(Clay_Offices!$A$2:$FZ$601,88,Sync!$C$5)&amp;"","")&lt;&gt;"",OR(LEFT(IFERROR(INDEX(Clay_Offices!$A$2:$FZ$601,88,Sync!$C$5)&amp;"",""),6)&lt;&gt;"SAMPLE",Config!$B$19="Y")),IFERROR(N(INDEX(Clay_Offices!$A$2:$FZ$601,88,Sync!$C$13)),0),"")</f>
        <v/>
      </c>
      <c r="C2939" s="17">
        <f>IF(B2939="","","office")</f>
        <v/>
      </c>
      <c r="D2939" s="17">
        <f>IF(B2939="","",IFERROR(INDEX(Clay_Offices!$A$2:$FZ$601,88,Sync!$C$5)&amp;"",""))</f>
        <v/>
      </c>
      <c r="E2939" s="17">
        <f>IF(B2939="","",IFERROR(INDEX(Clay_Offices!$A$2:$FZ$601,88,Sync!$C$6)&amp;"",""))</f>
        <v/>
      </c>
      <c r="F2939" s="17">
        <f>IF(B2939="","","outreach_sent")</f>
        <v/>
      </c>
      <c r="G2939" s="17">
        <f>IF(B2939="","","")</f>
        <v/>
      </c>
      <c r="H2939" s="17">
        <f>IF(B2939="","","")</f>
        <v/>
      </c>
      <c r="I2939" s="17">
        <f>IF(B2939="","","")</f>
        <v/>
      </c>
      <c r="J2939" s="17">
        <f>IF(B2939="","","touch_3; "&amp;IFERROR(INDEX(Clay_Offices!$A$2:$FZ$601,88,Sync!$C$10)&amp;"","")&amp;"; "&amp;IFERROR(INDEX(Clay_Offices!$A$2:$FZ$601,88,Sync!$C$9)&amp;"",""))</f>
        <v/>
      </c>
      <c r="K2939" t="inlineStr">
        <is>
          <t>office outreach touch 3</t>
        </is>
      </c>
    </row>
    <row r="2940">
      <c r="A2940" s="17">
        <f>IF(B2940="","",B2940+(14*1000+89)/10000000)</f>
        <v/>
      </c>
      <c r="B2940" s="23">
        <f>IF(AND(IFERROR(N(INDEX(Clay_Offices!$A$2:$FZ$601,89,Sync!$C$13)),0)&gt;0,IFERROR(INDEX(Clay_Offices!$A$2:$FZ$601,89,Sync!$C$5)&amp;"","")&lt;&gt;"",OR(LEFT(IFERROR(INDEX(Clay_Offices!$A$2:$FZ$601,89,Sync!$C$5)&amp;"",""),6)&lt;&gt;"SAMPLE",Config!$B$19="Y")),IFERROR(N(INDEX(Clay_Offices!$A$2:$FZ$601,89,Sync!$C$13)),0),"")</f>
        <v/>
      </c>
      <c r="C2940" s="17">
        <f>IF(B2940="","","office")</f>
        <v/>
      </c>
      <c r="D2940" s="17">
        <f>IF(B2940="","",IFERROR(INDEX(Clay_Offices!$A$2:$FZ$601,89,Sync!$C$5)&amp;"",""))</f>
        <v/>
      </c>
      <c r="E2940" s="17">
        <f>IF(B2940="","",IFERROR(INDEX(Clay_Offices!$A$2:$FZ$601,89,Sync!$C$6)&amp;"",""))</f>
        <v/>
      </c>
      <c r="F2940" s="17">
        <f>IF(B2940="","","outreach_sent")</f>
        <v/>
      </c>
      <c r="G2940" s="17">
        <f>IF(B2940="","","")</f>
        <v/>
      </c>
      <c r="H2940" s="17">
        <f>IF(B2940="","","")</f>
        <v/>
      </c>
      <c r="I2940" s="17">
        <f>IF(B2940="","","")</f>
        <v/>
      </c>
      <c r="J2940" s="17">
        <f>IF(B2940="","","touch_3; "&amp;IFERROR(INDEX(Clay_Offices!$A$2:$FZ$601,89,Sync!$C$10)&amp;"","")&amp;"; "&amp;IFERROR(INDEX(Clay_Offices!$A$2:$FZ$601,89,Sync!$C$9)&amp;"",""))</f>
        <v/>
      </c>
      <c r="K2940" t="inlineStr">
        <is>
          <t>office outreach touch 3</t>
        </is>
      </c>
    </row>
    <row r="2941">
      <c r="A2941" s="17">
        <f>IF(B2941="","",B2941+(14*1000+90)/10000000)</f>
        <v/>
      </c>
      <c r="B2941" s="23">
        <f>IF(AND(IFERROR(N(INDEX(Clay_Offices!$A$2:$FZ$601,90,Sync!$C$13)),0)&gt;0,IFERROR(INDEX(Clay_Offices!$A$2:$FZ$601,90,Sync!$C$5)&amp;"","")&lt;&gt;"",OR(LEFT(IFERROR(INDEX(Clay_Offices!$A$2:$FZ$601,90,Sync!$C$5)&amp;"",""),6)&lt;&gt;"SAMPLE",Config!$B$19="Y")),IFERROR(N(INDEX(Clay_Offices!$A$2:$FZ$601,90,Sync!$C$13)),0),"")</f>
        <v/>
      </c>
      <c r="C2941" s="17">
        <f>IF(B2941="","","office")</f>
        <v/>
      </c>
      <c r="D2941" s="17">
        <f>IF(B2941="","",IFERROR(INDEX(Clay_Offices!$A$2:$FZ$601,90,Sync!$C$5)&amp;"",""))</f>
        <v/>
      </c>
      <c r="E2941" s="17">
        <f>IF(B2941="","",IFERROR(INDEX(Clay_Offices!$A$2:$FZ$601,90,Sync!$C$6)&amp;"",""))</f>
        <v/>
      </c>
      <c r="F2941" s="17">
        <f>IF(B2941="","","outreach_sent")</f>
        <v/>
      </c>
      <c r="G2941" s="17">
        <f>IF(B2941="","","")</f>
        <v/>
      </c>
      <c r="H2941" s="17">
        <f>IF(B2941="","","")</f>
        <v/>
      </c>
      <c r="I2941" s="17">
        <f>IF(B2941="","","")</f>
        <v/>
      </c>
      <c r="J2941" s="17">
        <f>IF(B2941="","","touch_3; "&amp;IFERROR(INDEX(Clay_Offices!$A$2:$FZ$601,90,Sync!$C$10)&amp;"","")&amp;"; "&amp;IFERROR(INDEX(Clay_Offices!$A$2:$FZ$601,90,Sync!$C$9)&amp;"",""))</f>
        <v/>
      </c>
      <c r="K2941" t="inlineStr">
        <is>
          <t>office outreach touch 3</t>
        </is>
      </c>
    </row>
    <row r="2942">
      <c r="A2942" s="17">
        <f>IF(B2942="","",B2942+(14*1000+91)/10000000)</f>
        <v/>
      </c>
      <c r="B2942" s="23">
        <f>IF(AND(IFERROR(N(INDEX(Clay_Offices!$A$2:$FZ$601,91,Sync!$C$13)),0)&gt;0,IFERROR(INDEX(Clay_Offices!$A$2:$FZ$601,91,Sync!$C$5)&amp;"","")&lt;&gt;"",OR(LEFT(IFERROR(INDEX(Clay_Offices!$A$2:$FZ$601,91,Sync!$C$5)&amp;"",""),6)&lt;&gt;"SAMPLE",Config!$B$19="Y")),IFERROR(N(INDEX(Clay_Offices!$A$2:$FZ$601,91,Sync!$C$13)),0),"")</f>
        <v/>
      </c>
      <c r="C2942" s="17">
        <f>IF(B2942="","","office")</f>
        <v/>
      </c>
      <c r="D2942" s="17">
        <f>IF(B2942="","",IFERROR(INDEX(Clay_Offices!$A$2:$FZ$601,91,Sync!$C$5)&amp;"",""))</f>
        <v/>
      </c>
      <c r="E2942" s="17">
        <f>IF(B2942="","",IFERROR(INDEX(Clay_Offices!$A$2:$FZ$601,91,Sync!$C$6)&amp;"",""))</f>
        <v/>
      </c>
      <c r="F2942" s="17">
        <f>IF(B2942="","","outreach_sent")</f>
        <v/>
      </c>
      <c r="G2942" s="17">
        <f>IF(B2942="","","")</f>
        <v/>
      </c>
      <c r="H2942" s="17">
        <f>IF(B2942="","","")</f>
        <v/>
      </c>
      <c r="I2942" s="17">
        <f>IF(B2942="","","")</f>
        <v/>
      </c>
      <c r="J2942" s="17">
        <f>IF(B2942="","","touch_3; "&amp;IFERROR(INDEX(Clay_Offices!$A$2:$FZ$601,91,Sync!$C$10)&amp;"","")&amp;"; "&amp;IFERROR(INDEX(Clay_Offices!$A$2:$FZ$601,91,Sync!$C$9)&amp;"",""))</f>
        <v/>
      </c>
      <c r="K2942" t="inlineStr">
        <is>
          <t>office outreach touch 3</t>
        </is>
      </c>
    </row>
    <row r="2943">
      <c r="A2943" s="17">
        <f>IF(B2943="","",B2943+(14*1000+92)/10000000)</f>
        <v/>
      </c>
      <c r="B2943" s="23">
        <f>IF(AND(IFERROR(N(INDEX(Clay_Offices!$A$2:$FZ$601,92,Sync!$C$13)),0)&gt;0,IFERROR(INDEX(Clay_Offices!$A$2:$FZ$601,92,Sync!$C$5)&amp;"","")&lt;&gt;"",OR(LEFT(IFERROR(INDEX(Clay_Offices!$A$2:$FZ$601,92,Sync!$C$5)&amp;"",""),6)&lt;&gt;"SAMPLE",Config!$B$19="Y")),IFERROR(N(INDEX(Clay_Offices!$A$2:$FZ$601,92,Sync!$C$13)),0),"")</f>
        <v/>
      </c>
      <c r="C2943" s="17">
        <f>IF(B2943="","","office")</f>
        <v/>
      </c>
      <c r="D2943" s="17">
        <f>IF(B2943="","",IFERROR(INDEX(Clay_Offices!$A$2:$FZ$601,92,Sync!$C$5)&amp;"",""))</f>
        <v/>
      </c>
      <c r="E2943" s="17">
        <f>IF(B2943="","",IFERROR(INDEX(Clay_Offices!$A$2:$FZ$601,92,Sync!$C$6)&amp;"",""))</f>
        <v/>
      </c>
      <c r="F2943" s="17">
        <f>IF(B2943="","","outreach_sent")</f>
        <v/>
      </c>
      <c r="G2943" s="17">
        <f>IF(B2943="","","")</f>
        <v/>
      </c>
      <c r="H2943" s="17">
        <f>IF(B2943="","","")</f>
        <v/>
      </c>
      <c r="I2943" s="17">
        <f>IF(B2943="","","")</f>
        <v/>
      </c>
      <c r="J2943" s="17">
        <f>IF(B2943="","","touch_3; "&amp;IFERROR(INDEX(Clay_Offices!$A$2:$FZ$601,92,Sync!$C$10)&amp;"","")&amp;"; "&amp;IFERROR(INDEX(Clay_Offices!$A$2:$FZ$601,92,Sync!$C$9)&amp;"",""))</f>
        <v/>
      </c>
      <c r="K2943" t="inlineStr">
        <is>
          <t>office outreach touch 3</t>
        </is>
      </c>
    </row>
    <row r="2944">
      <c r="A2944" s="17">
        <f>IF(B2944="","",B2944+(14*1000+93)/10000000)</f>
        <v/>
      </c>
      <c r="B2944" s="23">
        <f>IF(AND(IFERROR(N(INDEX(Clay_Offices!$A$2:$FZ$601,93,Sync!$C$13)),0)&gt;0,IFERROR(INDEX(Clay_Offices!$A$2:$FZ$601,93,Sync!$C$5)&amp;"","")&lt;&gt;"",OR(LEFT(IFERROR(INDEX(Clay_Offices!$A$2:$FZ$601,93,Sync!$C$5)&amp;"",""),6)&lt;&gt;"SAMPLE",Config!$B$19="Y")),IFERROR(N(INDEX(Clay_Offices!$A$2:$FZ$601,93,Sync!$C$13)),0),"")</f>
        <v/>
      </c>
      <c r="C2944" s="17">
        <f>IF(B2944="","","office")</f>
        <v/>
      </c>
      <c r="D2944" s="17">
        <f>IF(B2944="","",IFERROR(INDEX(Clay_Offices!$A$2:$FZ$601,93,Sync!$C$5)&amp;"",""))</f>
        <v/>
      </c>
      <c r="E2944" s="17">
        <f>IF(B2944="","",IFERROR(INDEX(Clay_Offices!$A$2:$FZ$601,93,Sync!$C$6)&amp;"",""))</f>
        <v/>
      </c>
      <c r="F2944" s="17">
        <f>IF(B2944="","","outreach_sent")</f>
        <v/>
      </c>
      <c r="G2944" s="17">
        <f>IF(B2944="","","")</f>
        <v/>
      </c>
      <c r="H2944" s="17">
        <f>IF(B2944="","","")</f>
        <v/>
      </c>
      <c r="I2944" s="17">
        <f>IF(B2944="","","")</f>
        <v/>
      </c>
      <c r="J2944" s="17">
        <f>IF(B2944="","","touch_3; "&amp;IFERROR(INDEX(Clay_Offices!$A$2:$FZ$601,93,Sync!$C$10)&amp;"","")&amp;"; "&amp;IFERROR(INDEX(Clay_Offices!$A$2:$FZ$601,93,Sync!$C$9)&amp;"",""))</f>
        <v/>
      </c>
      <c r="K2944" t="inlineStr">
        <is>
          <t>office outreach touch 3</t>
        </is>
      </c>
    </row>
    <row r="2945">
      <c r="A2945" s="17">
        <f>IF(B2945="","",B2945+(14*1000+94)/10000000)</f>
        <v/>
      </c>
      <c r="B2945" s="23">
        <f>IF(AND(IFERROR(N(INDEX(Clay_Offices!$A$2:$FZ$601,94,Sync!$C$13)),0)&gt;0,IFERROR(INDEX(Clay_Offices!$A$2:$FZ$601,94,Sync!$C$5)&amp;"","")&lt;&gt;"",OR(LEFT(IFERROR(INDEX(Clay_Offices!$A$2:$FZ$601,94,Sync!$C$5)&amp;"",""),6)&lt;&gt;"SAMPLE",Config!$B$19="Y")),IFERROR(N(INDEX(Clay_Offices!$A$2:$FZ$601,94,Sync!$C$13)),0),"")</f>
        <v/>
      </c>
      <c r="C2945" s="17">
        <f>IF(B2945="","","office")</f>
        <v/>
      </c>
      <c r="D2945" s="17">
        <f>IF(B2945="","",IFERROR(INDEX(Clay_Offices!$A$2:$FZ$601,94,Sync!$C$5)&amp;"",""))</f>
        <v/>
      </c>
      <c r="E2945" s="17">
        <f>IF(B2945="","",IFERROR(INDEX(Clay_Offices!$A$2:$FZ$601,94,Sync!$C$6)&amp;"",""))</f>
        <v/>
      </c>
      <c r="F2945" s="17">
        <f>IF(B2945="","","outreach_sent")</f>
        <v/>
      </c>
      <c r="G2945" s="17">
        <f>IF(B2945="","","")</f>
        <v/>
      </c>
      <c r="H2945" s="17">
        <f>IF(B2945="","","")</f>
        <v/>
      </c>
      <c r="I2945" s="17">
        <f>IF(B2945="","","")</f>
        <v/>
      </c>
      <c r="J2945" s="17">
        <f>IF(B2945="","","touch_3; "&amp;IFERROR(INDEX(Clay_Offices!$A$2:$FZ$601,94,Sync!$C$10)&amp;"","")&amp;"; "&amp;IFERROR(INDEX(Clay_Offices!$A$2:$FZ$601,94,Sync!$C$9)&amp;"",""))</f>
        <v/>
      </c>
      <c r="K2945" t="inlineStr">
        <is>
          <t>office outreach touch 3</t>
        </is>
      </c>
    </row>
    <row r="2946">
      <c r="A2946" s="17">
        <f>IF(B2946="","",B2946+(14*1000+95)/10000000)</f>
        <v/>
      </c>
      <c r="B2946" s="23">
        <f>IF(AND(IFERROR(N(INDEX(Clay_Offices!$A$2:$FZ$601,95,Sync!$C$13)),0)&gt;0,IFERROR(INDEX(Clay_Offices!$A$2:$FZ$601,95,Sync!$C$5)&amp;"","")&lt;&gt;"",OR(LEFT(IFERROR(INDEX(Clay_Offices!$A$2:$FZ$601,95,Sync!$C$5)&amp;"",""),6)&lt;&gt;"SAMPLE",Config!$B$19="Y")),IFERROR(N(INDEX(Clay_Offices!$A$2:$FZ$601,95,Sync!$C$13)),0),"")</f>
        <v/>
      </c>
      <c r="C2946" s="17">
        <f>IF(B2946="","","office")</f>
        <v/>
      </c>
      <c r="D2946" s="17">
        <f>IF(B2946="","",IFERROR(INDEX(Clay_Offices!$A$2:$FZ$601,95,Sync!$C$5)&amp;"",""))</f>
        <v/>
      </c>
      <c r="E2946" s="17">
        <f>IF(B2946="","",IFERROR(INDEX(Clay_Offices!$A$2:$FZ$601,95,Sync!$C$6)&amp;"",""))</f>
        <v/>
      </c>
      <c r="F2946" s="17">
        <f>IF(B2946="","","outreach_sent")</f>
        <v/>
      </c>
      <c r="G2946" s="17">
        <f>IF(B2946="","","")</f>
        <v/>
      </c>
      <c r="H2946" s="17">
        <f>IF(B2946="","","")</f>
        <v/>
      </c>
      <c r="I2946" s="17">
        <f>IF(B2946="","","")</f>
        <v/>
      </c>
      <c r="J2946" s="17">
        <f>IF(B2946="","","touch_3; "&amp;IFERROR(INDEX(Clay_Offices!$A$2:$FZ$601,95,Sync!$C$10)&amp;"","")&amp;"; "&amp;IFERROR(INDEX(Clay_Offices!$A$2:$FZ$601,95,Sync!$C$9)&amp;"",""))</f>
        <v/>
      </c>
      <c r="K2946" t="inlineStr">
        <is>
          <t>office outreach touch 3</t>
        </is>
      </c>
    </row>
    <row r="2947">
      <c r="A2947" s="17">
        <f>IF(B2947="","",B2947+(14*1000+96)/10000000)</f>
        <v/>
      </c>
      <c r="B2947" s="23">
        <f>IF(AND(IFERROR(N(INDEX(Clay_Offices!$A$2:$FZ$601,96,Sync!$C$13)),0)&gt;0,IFERROR(INDEX(Clay_Offices!$A$2:$FZ$601,96,Sync!$C$5)&amp;"","")&lt;&gt;"",OR(LEFT(IFERROR(INDEX(Clay_Offices!$A$2:$FZ$601,96,Sync!$C$5)&amp;"",""),6)&lt;&gt;"SAMPLE",Config!$B$19="Y")),IFERROR(N(INDEX(Clay_Offices!$A$2:$FZ$601,96,Sync!$C$13)),0),"")</f>
        <v/>
      </c>
      <c r="C2947" s="17">
        <f>IF(B2947="","","office")</f>
        <v/>
      </c>
      <c r="D2947" s="17">
        <f>IF(B2947="","",IFERROR(INDEX(Clay_Offices!$A$2:$FZ$601,96,Sync!$C$5)&amp;"",""))</f>
        <v/>
      </c>
      <c r="E2947" s="17">
        <f>IF(B2947="","",IFERROR(INDEX(Clay_Offices!$A$2:$FZ$601,96,Sync!$C$6)&amp;"",""))</f>
        <v/>
      </c>
      <c r="F2947" s="17">
        <f>IF(B2947="","","outreach_sent")</f>
        <v/>
      </c>
      <c r="G2947" s="17">
        <f>IF(B2947="","","")</f>
        <v/>
      </c>
      <c r="H2947" s="17">
        <f>IF(B2947="","","")</f>
        <v/>
      </c>
      <c r="I2947" s="17">
        <f>IF(B2947="","","")</f>
        <v/>
      </c>
      <c r="J2947" s="17">
        <f>IF(B2947="","","touch_3; "&amp;IFERROR(INDEX(Clay_Offices!$A$2:$FZ$601,96,Sync!$C$10)&amp;"","")&amp;"; "&amp;IFERROR(INDEX(Clay_Offices!$A$2:$FZ$601,96,Sync!$C$9)&amp;"",""))</f>
        <v/>
      </c>
      <c r="K2947" t="inlineStr">
        <is>
          <t>office outreach touch 3</t>
        </is>
      </c>
    </row>
    <row r="2948">
      <c r="A2948" s="17">
        <f>IF(B2948="","",B2948+(14*1000+97)/10000000)</f>
        <v/>
      </c>
      <c r="B2948" s="23">
        <f>IF(AND(IFERROR(N(INDEX(Clay_Offices!$A$2:$FZ$601,97,Sync!$C$13)),0)&gt;0,IFERROR(INDEX(Clay_Offices!$A$2:$FZ$601,97,Sync!$C$5)&amp;"","")&lt;&gt;"",OR(LEFT(IFERROR(INDEX(Clay_Offices!$A$2:$FZ$601,97,Sync!$C$5)&amp;"",""),6)&lt;&gt;"SAMPLE",Config!$B$19="Y")),IFERROR(N(INDEX(Clay_Offices!$A$2:$FZ$601,97,Sync!$C$13)),0),"")</f>
        <v/>
      </c>
      <c r="C2948" s="17">
        <f>IF(B2948="","","office")</f>
        <v/>
      </c>
      <c r="D2948" s="17">
        <f>IF(B2948="","",IFERROR(INDEX(Clay_Offices!$A$2:$FZ$601,97,Sync!$C$5)&amp;"",""))</f>
        <v/>
      </c>
      <c r="E2948" s="17">
        <f>IF(B2948="","",IFERROR(INDEX(Clay_Offices!$A$2:$FZ$601,97,Sync!$C$6)&amp;"",""))</f>
        <v/>
      </c>
      <c r="F2948" s="17">
        <f>IF(B2948="","","outreach_sent")</f>
        <v/>
      </c>
      <c r="G2948" s="17">
        <f>IF(B2948="","","")</f>
        <v/>
      </c>
      <c r="H2948" s="17">
        <f>IF(B2948="","","")</f>
        <v/>
      </c>
      <c r="I2948" s="17">
        <f>IF(B2948="","","")</f>
        <v/>
      </c>
      <c r="J2948" s="17">
        <f>IF(B2948="","","touch_3; "&amp;IFERROR(INDEX(Clay_Offices!$A$2:$FZ$601,97,Sync!$C$10)&amp;"","")&amp;"; "&amp;IFERROR(INDEX(Clay_Offices!$A$2:$FZ$601,97,Sync!$C$9)&amp;"",""))</f>
        <v/>
      </c>
      <c r="K2948" t="inlineStr">
        <is>
          <t>office outreach touch 3</t>
        </is>
      </c>
    </row>
    <row r="2949">
      <c r="A2949" s="17">
        <f>IF(B2949="","",B2949+(14*1000+98)/10000000)</f>
        <v/>
      </c>
      <c r="B2949" s="23">
        <f>IF(AND(IFERROR(N(INDEX(Clay_Offices!$A$2:$FZ$601,98,Sync!$C$13)),0)&gt;0,IFERROR(INDEX(Clay_Offices!$A$2:$FZ$601,98,Sync!$C$5)&amp;"","")&lt;&gt;"",OR(LEFT(IFERROR(INDEX(Clay_Offices!$A$2:$FZ$601,98,Sync!$C$5)&amp;"",""),6)&lt;&gt;"SAMPLE",Config!$B$19="Y")),IFERROR(N(INDEX(Clay_Offices!$A$2:$FZ$601,98,Sync!$C$13)),0),"")</f>
        <v/>
      </c>
      <c r="C2949" s="17">
        <f>IF(B2949="","","office")</f>
        <v/>
      </c>
      <c r="D2949" s="17">
        <f>IF(B2949="","",IFERROR(INDEX(Clay_Offices!$A$2:$FZ$601,98,Sync!$C$5)&amp;"",""))</f>
        <v/>
      </c>
      <c r="E2949" s="17">
        <f>IF(B2949="","",IFERROR(INDEX(Clay_Offices!$A$2:$FZ$601,98,Sync!$C$6)&amp;"",""))</f>
        <v/>
      </c>
      <c r="F2949" s="17">
        <f>IF(B2949="","","outreach_sent")</f>
        <v/>
      </c>
      <c r="G2949" s="17">
        <f>IF(B2949="","","")</f>
        <v/>
      </c>
      <c r="H2949" s="17">
        <f>IF(B2949="","","")</f>
        <v/>
      </c>
      <c r="I2949" s="17">
        <f>IF(B2949="","","")</f>
        <v/>
      </c>
      <c r="J2949" s="17">
        <f>IF(B2949="","","touch_3; "&amp;IFERROR(INDEX(Clay_Offices!$A$2:$FZ$601,98,Sync!$C$10)&amp;"","")&amp;"; "&amp;IFERROR(INDEX(Clay_Offices!$A$2:$FZ$601,98,Sync!$C$9)&amp;"",""))</f>
        <v/>
      </c>
      <c r="K2949" t="inlineStr">
        <is>
          <t>office outreach touch 3</t>
        </is>
      </c>
    </row>
    <row r="2950">
      <c r="A2950" s="17">
        <f>IF(B2950="","",B2950+(14*1000+99)/10000000)</f>
        <v/>
      </c>
      <c r="B2950" s="23">
        <f>IF(AND(IFERROR(N(INDEX(Clay_Offices!$A$2:$FZ$601,99,Sync!$C$13)),0)&gt;0,IFERROR(INDEX(Clay_Offices!$A$2:$FZ$601,99,Sync!$C$5)&amp;"","")&lt;&gt;"",OR(LEFT(IFERROR(INDEX(Clay_Offices!$A$2:$FZ$601,99,Sync!$C$5)&amp;"",""),6)&lt;&gt;"SAMPLE",Config!$B$19="Y")),IFERROR(N(INDEX(Clay_Offices!$A$2:$FZ$601,99,Sync!$C$13)),0),"")</f>
        <v/>
      </c>
      <c r="C2950" s="17">
        <f>IF(B2950="","","office")</f>
        <v/>
      </c>
      <c r="D2950" s="17">
        <f>IF(B2950="","",IFERROR(INDEX(Clay_Offices!$A$2:$FZ$601,99,Sync!$C$5)&amp;"",""))</f>
        <v/>
      </c>
      <c r="E2950" s="17">
        <f>IF(B2950="","",IFERROR(INDEX(Clay_Offices!$A$2:$FZ$601,99,Sync!$C$6)&amp;"",""))</f>
        <v/>
      </c>
      <c r="F2950" s="17">
        <f>IF(B2950="","","outreach_sent")</f>
        <v/>
      </c>
      <c r="G2950" s="17">
        <f>IF(B2950="","","")</f>
        <v/>
      </c>
      <c r="H2950" s="17">
        <f>IF(B2950="","","")</f>
        <v/>
      </c>
      <c r="I2950" s="17">
        <f>IF(B2950="","","")</f>
        <v/>
      </c>
      <c r="J2950" s="17">
        <f>IF(B2950="","","touch_3; "&amp;IFERROR(INDEX(Clay_Offices!$A$2:$FZ$601,99,Sync!$C$10)&amp;"","")&amp;"; "&amp;IFERROR(INDEX(Clay_Offices!$A$2:$FZ$601,99,Sync!$C$9)&amp;"",""))</f>
        <v/>
      </c>
      <c r="K2950" t="inlineStr">
        <is>
          <t>office outreach touch 3</t>
        </is>
      </c>
    </row>
    <row r="2951">
      <c r="A2951" s="17">
        <f>IF(B2951="","",B2951+(14*1000+100)/10000000)</f>
        <v/>
      </c>
      <c r="B2951" s="23">
        <f>IF(AND(IFERROR(N(INDEX(Clay_Offices!$A$2:$FZ$601,100,Sync!$C$13)),0)&gt;0,IFERROR(INDEX(Clay_Offices!$A$2:$FZ$601,100,Sync!$C$5)&amp;"","")&lt;&gt;"",OR(LEFT(IFERROR(INDEX(Clay_Offices!$A$2:$FZ$601,100,Sync!$C$5)&amp;"",""),6)&lt;&gt;"SAMPLE",Config!$B$19="Y")),IFERROR(N(INDEX(Clay_Offices!$A$2:$FZ$601,100,Sync!$C$13)),0),"")</f>
        <v/>
      </c>
      <c r="C2951" s="17">
        <f>IF(B2951="","","office")</f>
        <v/>
      </c>
      <c r="D2951" s="17">
        <f>IF(B2951="","",IFERROR(INDEX(Clay_Offices!$A$2:$FZ$601,100,Sync!$C$5)&amp;"",""))</f>
        <v/>
      </c>
      <c r="E2951" s="17">
        <f>IF(B2951="","",IFERROR(INDEX(Clay_Offices!$A$2:$FZ$601,100,Sync!$C$6)&amp;"",""))</f>
        <v/>
      </c>
      <c r="F2951" s="17">
        <f>IF(B2951="","","outreach_sent")</f>
        <v/>
      </c>
      <c r="G2951" s="17">
        <f>IF(B2951="","","")</f>
        <v/>
      </c>
      <c r="H2951" s="17">
        <f>IF(B2951="","","")</f>
        <v/>
      </c>
      <c r="I2951" s="17">
        <f>IF(B2951="","","")</f>
        <v/>
      </c>
      <c r="J2951" s="17">
        <f>IF(B2951="","","touch_3; "&amp;IFERROR(INDEX(Clay_Offices!$A$2:$FZ$601,100,Sync!$C$10)&amp;"","")&amp;"; "&amp;IFERROR(INDEX(Clay_Offices!$A$2:$FZ$601,100,Sync!$C$9)&amp;"",""))</f>
        <v/>
      </c>
      <c r="K2951" t="inlineStr">
        <is>
          <t>office outreach touch 3</t>
        </is>
      </c>
    </row>
    <row r="2952">
      <c r="A2952" s="17">
        <f>IF(B2952="","",B2952+(14*1000+101)/10000000)</f>
        <v/>
      </c>
      <c r="B2952" s="23">
        <f>IF(AND(IFERROR(N(INDEX(Clay_Offices!$A$2:$FZ$601,101,Sync!$C$13)),0)&gt;0,IFERROR(INDEX(Clay_Offices!$A$2:$FZ$601,101,Sync!$C$5)&amp;"","")&lt;&gt;"",OR(LEFT(IFERROR(INDEX(Clay_Offices!$A$2:$FZ$601,101,Sync!$C$5)&amp;"",""),6)&lt;&gt;"SAMPLE",Config!$B$19="Y")),IFERROR(N(INDEX(Clay_Offices!$A$2:$FZ$601,101,Sync!$C$13)),0),"")</f>
        <v/>
      </c>
      <c r="C2952" s="17">
        <f>IF(B2952="","","office")</f>
        <v/>
      </c>
      <c r="D2952" s="17">
        <f>IF(B2952="","",IFERROR(INDEX(Clay_Offices!$A$2:$FZ$601,101,Sync!$C$5)&amp;"",""))</f>
        <v/>
      </c>
      <c r="E2952" s="17">
        <f>IF(B2952="","",IFERROR(INDEX(Clay_Offices!$A$2:$FZ$601,101,Sync!$C$6)&amp;"",""))</f>
        <v/>
      </c>
      <c r="F2952" s="17">
        <f>IF(B2952="","","outreach_sent")</f>
        <v/>
      </c>
      <c r="G2952" s="17">
        <f>IF(B2952="","","")</f>
        <v/>
      </c>
      <c r="H2952" s="17">
        <f>IF(B2952="","","")</f>
        <v/>
      </c>
      <c r="I2952" s="17">
        <f>IF(B2952="","","")</f>
        <v/>
      </c>
      <c r="J2952" s="17">
        <f>IF(B2952="","","touch_3; "&amp;IFERROR(INDEX(Clay_Offices!$A$2:$FZ$601,101,Sync!$C$10)&amp;"","")&amp;"; "&amp;IFERROR(INDEX(Clay_Offices!$A$2:$FZ$601,101,Sync!$C$9)&amp;"",""))</f>
        <v/>
      </c>
      <c r="K2952" t="inlineStr">
        <is>
          <t>office outreach touch 3</t>
        </is>
      </c>
    </row>
    <row r="2953">
      <c r="A2953" s="17">
        <f>IF(B2953="","",B2953+(14*1000+102)/10000000)</f>
        <v/>
      </c>
      <c r="B2953" s="23">
        <f>IF(AND(IFERROR(N(INDEX(Clay_Offices!$A$2:$FZ$601,102,Sync!$C$13)),0)&gt;0,IFERROR(INDEX(Clay_Offices!$A$2:$FZ$601,102,Sync!$C$5)&amp;"","")&lt;&gt;"",OR(LEFT(IFERROR(INDEX(Clay_Offices!$A$2:$FZ$601,102,Sync!$C$5)&amp;"",""),6)&lt;&gt;"SAMPLE",Config!$B$19="Y")),IFERROR(N(INDEX(Clay_Offices!$A$2:$FZ$601,102,Sync!$C$13)),0),"")</f>
        <v/>
      </c>
      <c r="C2953" s="17">
        <f>IF(B2953="","","office")</f>
        <v/>
      </c>
      <c r="D2953" s="17">
        <f>IF(B2953="","",IFERROR(INDEX(Clay_Offices!$A$2:$FZ$601,102,Sync!$C$5)&amp;"",""))</f>
        <v/>
      </c>
      <c r="E2953" s="17">
        <f>IF(B2953="","",IFERROR(INDEX(Clay_Offices!$A$2:$FZ$601,102,Sync!$C$6)&amp;"",""))</f>
        <v/>
      </c>
      <c r="F2953" s="17">
        <f>IF(B2953="","","outreach_sent")</f>
        <v/>
      </c>
      <c r="G2953" s="17">
        <f>IF(B2953="","","")</f>
        <v/>
      </c>
      <c r="H2953" s="17">
        <f>IF(B2953="","","")</f>
        <v/>
      </c>
      <c r="I2953" s="17">
        <f>IF(B2953="","","")</f>
        <v/>
      </c>
      <c r="J2953" s="17">
        <f>IF(B2953="","","touch_3; "&amp;IFERROR(INDEX(Clay_Offices!$A$2:$FZ$601,102,Sync!$C$10)&amp;"","")&amp;"; "&amp;IFERROR(INDEX(Clay_Offices!$A$2:$FZ$601,102,Sync!$C$9)&amp;"",""))</f>
        <v/>
      </c>
      <c r="K2953" t="inlineStr">
        <is>
          <t>office outreach touch 3</t>
        </is>
      </c>
    </row>
    <row r="2954">
      <c r="A2954" s="17">
        <f>IF(B2954="","",B2954+(14*1000+103)/10000000)</f>
        <v/>
      </c>
      <c r="B2954" s="23">
        <f>IF(AND(IFERROR(N(INDEX(Clay_Offices!$A$2:$FZ$601,103,Sync!$C$13)),0)&gt;0,IFERROR(INDEX(Clay_Offices!$A$2:$FZ$601,103,Sync!$C$5)&amp;"","")&lt;&gt;"",OR(LEFT(IFERROR(INDEX(Clay_Offices!$A$2:$FZ$601,103,Sync!$C$5)&amp;"",""),6)&lt;&gt;"SAMPLE",Config!$B$19="Y")),IFERROR(N(INDEX(Clay_Offices!$A$2:$FZ$601,103,Sync!$C$13)),0),"")</f>
        <v/>
      </c>
      <c r="C2954" s="17">
        <f>IF(B2954="","","office")</f>
        <v/>
      </c>
      <c r="D2954" s="17">
        <f>IF(B2954="","",IFERROR(INDEX(Clay_Offices!$A$2:$FZ$601,103,Sync!$C$5)&amp;"",""))</f>
        <v/>
      </c>
      <c r="E2954" s="17">
        <f>IF(B2954="","",IFERROR(INDEX(Clay_Offices!$A$2:$FZ$601,103,Sync!$C$6)&amp;"",""))</f>
        <v/>
      </c>
      <c r="F2954" s="17">
        <f>IF(B2954="","","outreach_sent")</f>
        <v/>
      </c>
      <c r="G2954" s="17">
        <f>IF(B2954="","","")</f>
        <v/>
      </c>
      <c r="H2954" s="17">
        <f>IF(B2954="","","")</f>
        <v/>
      </c>
      <c r="I2954" s="17">
        <f>IF(B2954="","","")</f>
        <v/>
      </c>
      <c r="J2954" s="17">
        <f>IF(B2954="","","touch_3; "&amp;IFERROR(INDEX(Clay_Offices!$A$2:$FZ$601,103,Sync!$C$10)&amp;"","")&amp;"; "&amp;IFERROR(INDEX(Clay_Offices!$A$2:$FZ$601,103,Sync!$C$9)&amp;"",""))</f>
        <v/>
      </c>
      <c r="K2954" t="inlineStr">
        <is>
          <t>office outreach touch 3</t>
        </is>
      </c>
    </row>
    <row r="2955">
      <c r="A2955" s="17">
        <f>IF(B2955="","",B2955+(14*1000+104)/10000000)</f>
        <v/>
      </c>
      <c r="B2955" s="23">
        <f>IF(AND(IFERROR(N(INDEX(Clay_Offices!$A$2:$FZ$601,104,Sync!$C$13)),0)&gt;0,IFERROR(INDEX(Clay_Offices!$A$2:$FZ$601,104,Sync!$C$5)&amp;"","")&lt;&gt;"",OR(LEFT(IFERROR(INDEX(Clay_Offices!$A$2:$FZ$601,104,Sync!$C$5)&amp;"",""),6)&lt;&gt;"SAMPLE",Config!$B$19="Y")),IFERROR(N(INDEX(Clay_Offices!$A$2:$FZ$601,104,Sync!$C$13)),0),"")</f>
        <v/>
      </c>
      <c r="C2955" s="17">
        <f>IF(B2955="","","office")</f>
        <v/>
      </c>
      <c r="D2955" s="17">
        <f>IF(B2955="","",IFERROR(INDEX(Clay_Offices!$A$2:$FZ$601,104,Sync!$C$5)&amp;"",""))</f>
        <v/>
      </c>
      <c r="E2955" s="17">
        <f>IF(B2955="","",IFERROR(INDEX(Clay_Offices!$A$2:$FZ$601,104,Sync!$C$6)&amp;"",""))</f>
        <v/>
      </c>
      <c r="F2955" s="17">
        <f>IF(B2955="","","outreach_sent")</f>
        <v/>
      </c>
      <c r="G2955" s="17">
        <f>IF(B2955="","","")</f>
        <v/>
      </c>
      <c r="H2955" s="17">
        <f>IF(B2955="","","")</f>
        <v/>
      </c>
      <c r="I2955" s="17">
        <f>IF(B2955="","","")</f>
        <v/>
      </c>
      <c r="J2955" s="17">
        <f>IF(B2955="","","touch_3; "&amp;IFERROR(INDEX(Clay_Offices!$A$2:$FZ$601,104,Sync!$C$10)&amp;"","")&amp;"; "&amp;IFERROR(INDEX(Clay_Offices!$A$2:$FZ$601,104,Sync!$C$9)&amp;"",""))</f>
        <v/>
      </c>
      <c r="K2955" t="inlineStr">
        <is>
          <t>office outreach touch 3</t>
        </is>
      </c>
    </row>
    <row r="2956">
      <c r="A2956" s="17">
        <f>IF(B2956="","",B2956+(14*1000+105)/10000000)</f>
        <v/>
      </c>
      <c r="B2956" s="23">
        <f>IF(AND(IFERROR(N(INDEX(Clay_Offices!$A$2:$FZ$601,105,Sync!$C$13)),0)&gt;0,IFERROR(INDEX(Clay_Offices!$A$2:$FZ$601,105,Sync!$C$5)&amp;"","")&lt;&gt;"",OR(LEFT(IFERROR(INDEX(Clay_Offices!$A$2:$FZ$601,105,Sync!$C$5)&amp;"",""),6)&lt;&gt;"SAMPLE",Config!$B$19="Y")),IFERROR(N(INDEX(Clay_Offices!$A$2:$FZ$601,105,Sync!$C$13)),0),"")</f>
        <v/>
      </c>
      <c r="C2956" s="17">
        <f>IF(B2956="","","office")</f>
        <v/>
      </c>
      <c r="D2956" s="17">
        <f>IF(B2956="","",IFERROR(INDEX(Clay_Offices!$A$2:$FZ$601,105,Sync!$C$5)&amp;"",""))</f>
        <v/>
      </c>
      <c r="E2956" s="17">
        <f>IF(B2956="","",IFERROR(INDEX(Clay_Offices!$A$2:$FZ$601,105,Sync!$C$6)&amp;"",""))</f>
        <v/>
      </c>
      <c r="F2956" s="17">
        <f>IF(B2956="","","outreach_sent")</f>
        <v/>
      </c>
      <c r="G2956" s="17">
        <f>IF(B2956="","","")</f>
        <v/>
      </c>
      <c r="H2956" s="17">
        <f>IF(B2956="","","")</f>
        <v/>
      </c>
      <c r="I2956" s="17">
        <f>IF(B2956="","","")</f>
        <v/>
      </c>
      <c r="J2956" s="17">
        <f>IF(B2956="","","touch_3; "&amp;IFERROR(INDEX(Clay_Offices!$A$2:$FZ$601,105,Sync!$C$10)&amp;"","")&amp;"; "&amp;IFERROR(INDEX(Clay_Offices!$A$2:$FZ$601,105,Sync!$C$9)&amp;"",""))</f>
        <v/>
      </c>
      <c r="K2956" t="inlineStr">
        <is>
          <t>office outreach touch 3</t>
        </is>
      </c>
    </row>
    <row r="2957">
      <c r="A2957" s="17">
        <f>IF(B2957="","",B2957+(14*1000+106)/10000000)</f>
        <v/>
      </c>
      <c r="B2957" s="23">
        <f>IF(AND(IFERROR(N(INDEX(Clay_Offices!$A$2:$FZ$601,106,Sync!$C$13)),0)&gt;0,IFERROR(INDEX(Clay_Offices!$A$2:$FZ$601,106,Sync!$C$5)&amp;"","")&lt;&gt;"",OR(LEFT(IFERROR(INDEX(Clay_Offices!$A$2:$FZ$601,106,Sync!$C$5)&amp;"",""),6)&lt;&gt;"SAMPLE",Config!$B$19="Y")),IFERROR(N(INDEX(Clay_Offices!$A$2:$FZ$601,106,Sync!$C$13)),0),"")</f>
        <v/>
      </c>
      <c r="C2957" s="17">
        <f>IF(B2957="","","office")</f>
        <v/>
      </c>
      <c r="D2957" s="17">
        <f>IF(B2957="","",IFERROR(INDEX(Clay_Offices!$A$2:$FZ$601,106,Sync!$C$5)&amp;"",""))</f>
        <v/>
      </c>
      <c r="E2957" s="17">
        <f>IF(B2957="","",IFERROR(INDEX(Clay_Offices!$A$2:$FZ$601,106,Sync!$C$6)&amp;"",""))</f>
        <v/>
      </c>
      <c r="F2957" s="17">
        <f>IF(B2957="","","outreach_sent")</f>
        <v/>
      </c>
      <c r="G2957" s="17">
        <f>IF(B2957="","","")</f>
        <v/>
      </c>
      <c r="H2957" s="17">
        <f>IF(B2957="","","")</f>
        <v/>
      </c>
      <c r="I2957" s="17">
        <f>IF(B2957="","","")</f>
        <v/>
      </c>
      <c r="J2957" s="17">
        <f>IF(B2957="","","touch_3; "&amp;IFERROR(INDEX(Clay_Offices!$A$2:$FZ$601,106,Sync!$C$10)&amp;"","")&amp;"; "&amp;IFERROR(INDEX(Clay_Offices!$A$2:$FZ$601,106,Sync!$C$9)&amp;"",""))</f>
        <v/>
      </c>
      <c r="K2957" t="inlineStr">
        <is>
          <t>office outreach touch 3</t>
        </is>
      </c>
    </row>
    <row r="2958">
      <c r="A2958" s="17">
        <f>IF(B2958="","",B2958+(14*1000+107)/10000000)</f>
        <v/>
      </c>
      <c r="B2958" s="23">
        <f>IF(AND(IFERROR(N(INDEX(Clay_Offices!$A$2:$FZ$601,107,Sync!$C$13)),0)&gt;0,IFERROR(INDEX(Clay_Offices!$A$2:$FZ$601,107,Sync!$C$5)&amp;"","")&lt;&gt;"",OR(LEFT(IFERROR(INDEX(Clay_Offices!$A$2:$FZ$601,107,Sync!$C$5)&amp;"",""),6)&lt;&gt;"SAMPLE",Config!$B$19="Y")),IFERROR(N(INDEX(Clay_Offices!$A$2:$FZ$601,107,Sync!$C$13)),0),"")</f>
        <v/>
      </c>
      <c r="C2958" s="17">
        <f>IF(B2958="","","office")</f>
        <v/>
      </c>
      <c r="D2958" s="17">
        <f>IF(B2958="","",IFERROR(INDEX(Clay_Offices!$A$2:$FZ$601,107,Sync!$C$5)&amp;"",""))</f>
        <v/>
      </c>
      <c r="E2958" s="17">
        <f>IF(B2958="","",IFERROR(INDEX(Clay_Offices!$A$2:$FZ$601,107,Sync!$C$6)&amp;"",""))</f>
        <v/>
      </c>
      <c r="F2958" s="17">
        <f>IF(B2958="","","outreach_sent")</f>
        <v/>
      </c>
      <c r="G2958" s="17">
        <f>IF(B2958="","","")</f>
        <v/>
      </c>
      <c r="H2958" s="17">
        <f>IF(B2958="","","")</f>
        <v/>
      </c>
      <c r="I2958" s="17">
        <f>IF(B2958="","","")</f>
        <v/>
      </c>
      <c r="J2958" s="17">
        <f>IF(B2958="","","touch_3; "&amp;IFERROR(INDEX(Clay_Offices!$A$2:$FZ$601,107,Sync!$C$10)&amp;"","")&amp;"; "&amp;IFERROR(INDEX(Clay_Offices!$A$2:$FZ$601,107,Sync!$C$9)&amp;"",""))</f>
        <v/>
      </c>
      <c r="K2958" t="inlineStr">
        <is>
          <t>office outreach touch 3</t>
        </is>
      </c>
    </row>
    <row r="2959">
      <c r="A2959" s="17">
        <f>IF(B2959="","",B2959+(14*1000+108)/10000000)</f>
        <v/>
      </c>
      <c r="B2959" s="23">
        <f>IF(AND(IFERROR(N(INDEX(Clay_Offices!$A$2:$FZ$601,108,Sync!$C$13)),0)&gt;0,IFERROR(INDEX(Clay_Offices!$A$2:$FZ$601,108,Sync!$C$5)&amp;"","")&lt;&gt;"",OR(LEFT(IFERROR(INDEX(Clay_Offices!$A$2:$FZ$601,108,Sync!$C$5)&amp;"",""),6)&lt;&gt;"SAMPLE",Config!$B$19="Y")),IFERROR(N(INDEX(Clay_Offices!$A$2:$FZ$601,108,Sync!$C$13)),0),"")</f>
        <v/>
      </c>
      <c r="C2959" s="17">
        <f>IF(B2959="","","office")</f>
        <v/>
      </c>
      <c r="D2959" s="17">
        <f>IF(B2959="","",IFERROR(INDEX(Clay_Offices!$A$2:$FZ$601,108,Sync!$C$5)&amp;"",""))</f>
        <v/>
      </c>
      <c r="E2959" s="17">
        <f>IF(B2959="","",IFERROR(INDEX(Clay_Offices!$A$2:$FZ$601,108,Sync!$C$6)&amp;"",""))</f>
        <v/>
      </c>
      <c r="F2959" s="17">
        <f>IF(B2959="","","outreach_sent")</f>
        <v/>
      </c>
      <c r="G2959" s="17">
        <f>IF(B2959="","","")</f>
        <v/>
      </c>
      <c r="H2959" s="17">
        <f>IF(B2959="","","")</f>
        <v/>
      </c>
      <c r="I2959" s="17">
        <f>IF(B2959="","","")</f>
        <v/>
      </c>
      <c r="J2959" s="17">
        <f>IF(B2959="","","touch_3; "&amp;IFERROR(INDEX(Clay_Offices!$A$2:$FZ$601,108,Sync!$C$10)&amp;"","")&amp;"; "&amp;IFERROR(INDEX(Clay_Offices!$A$2:$FZ$601,108,Sync!$C$9)&amp;"",""))</f>
        <v/>
      </c>
      <c r="K2959" t="inlineStr">
        <is>
          <t>office outreach touch 3</t>
        </is>
      </c>
    </row>
    <row r="2960">
      <c r="A2960" s="17">
        <f>IF(B2960="","",B2960+(14*1000+109)/10000000)</f>
        <v/>
      </c>
      <c r="B2960" s="23">
        <f>IF(AND(IFERROR(N(INDEX(Clay_Offices!$A$2:$FZ$601,109,Sync!$C$13)),0)&gt;0,IFERROR(INDEX(Clay_Offices!$A$2:$FZ$601,109,Sync!$C$5)&amp;"","")&lt;&gt;"",OR(LEFT(IFERROR(INDEX(Clay_Offices!$A$2:$FZ$601,109,Sync!$C$5)&amp;"",""),6)&lt;&gt;"SAMPLE",Config!$B$19="Y")),IFERROR(N(INDEX(Clay_Offices!$A$2:$FZ$601,109,Sync!$C$13)),0),"")</f>
        <v/>
      </c>
      <c r="C2960" s="17">
        <f>IF(B2960="","","office")</f>
        <v/>
      </c>
      <c r="D2960" s="17">
        <f>IF(B2960="","",IFERROR(INDEX(Clay_Offices!$A$2:$FZ$601,109,Sync!$C$5)&amp;"",""))</f>
        <v/>
      </c>
      <c r="E2960" s="17">
        <f>IF(B2960="","",IFERROR(INDEX(Clay_Offices!$A$2:$FZ$601,109,Sync!$C$6)&amp;"",""))</f>
        <v/>
      </c>
      <c r="F2960" s="17">
        <f>IF(B2960="","","outreach_sent")</f>
        <v/>
      </c>
      <c r="G2960" s="17">
        <f>IF(B2960="","","")</f>
        <v/>
      </c>
      <c r="H2960" s="17">
        <f>IF(B2960="","","")</f>
        <v/>
      </c>
      <c r="I2960" s="17">
        <f>IF(B2960="","","")</f>
        <v/>
      </c>
      <c r="J2960" s="17">
        <f>IF(B2960="","","touch_3; "&amp;IFERROR(INDEX(Clay_Offices!$A$2:$FZ$601,109,Sync!$C$10)&amp;"","")&amp;"; "&amp;IFERROR(INDEX(Clay_Offices!$A$2:$FZ$601,109,Sync!$C$9)&amp;"",""))</f>
        <v/>
      </c>
      <c r="K2960" t="inlineStr">
        <is>
          <t>office outreach touch 3</t>
        </is>
      </c>
    </row>
    <row r="2961">
      <c r="A2961" s="17">
        <f>IF(B2961="","",B2961+(14*1000+110)/10000000)</f>
        <v/>
      </c>
      <c r="B2961" s="23">
        <f>IF(AND(IFERROR(N(INDEX(Clay_Offices!$A$2:$FZ$601,110,Sync!$C$13)),0)&gt;0,IFERROR(INDEX(Clay_Offices!$A$2:$FZ$601,110,Sync!$C$5)&amp;"","")&lt;&gt;"",OR(LEFT(IFERROR(INDEX(Clay_Offices!$A$2:$FZ$601,110,Sync!$C$5)&amp;"",""),6)&lt;&gt;"SAMPLE",Config!$B$19="Y")),IFERROR(N(INDEX(Clay_Offices!$A$2:$FZ$601,110,Sync!$C$13)),0),"")</f>
        <v/>
      </c>
      <c r="C2961" s="17">
        <f>IF(B2961="","","office")</f>
        <v/>
      </c>
      <c r="D2961" s="17">
        <f>IF(B2961="","",IFERROR(INDEX(Clay_Offices!$A$2:$FZ$601,110,Sync!$C$5)&amp;"",""))</f>
        <v/>
      </c>
      <c r="E2961" s="17">
        <f>IF(B2961="","",IFERROR(INDEX(Clay_Offices!$A$2:$FZ$601,110,Sync!$C$6)&amp;"",""))</f>
        <v/>
      </c>
      <c r="F2961" s="17">
        <f>IF(B2961="","","outreach_sent")</f>
        <v/>
      </c>
      <c r="G2961" s="17">
        <f>IF(B2961="","","")</f>
        <v/>
      </c>
      <c r="H2961" s="17">
        <f>IF(B2961="","","")</f>
        <v/>
      </c>
      <c r="I2961" s="17">
        <f>IF(B2961="","","")</f>
        <v/>
      </c>
      <c r="J2961" s="17">
        <f>IF(B2961="","","touch_3; "&amp;IFERROR(INDEX(Clay_Offices!$A$2:$FZ$601,110,Sync!$C$10)&amp;"","")&amp;"; "&amp;IFERROR(INDEX(Clay_Offices!$A$2:$FZ$601,110,Sync!$C$9)&amp;"",""))</f>
        <v/>
      </c>
      <c r="K2961" t="inlineStr">
        <is>
          <t>office outreach touch 3</t>
        </is>
      </c>
    </row>
    <row r="2962">
      <c r="A2962" s="17">
        <f>IF(B2962="","",B2962+(14*1000+111)/10000000)</f>
        <v/>
      </c>
      <c r="B2962" s="23">
        <f>IF(AND(IFERROR(N(INDEX(Clay_Offices!$A$2:$FZ$601,111,Sync!$C$13)),0)&gt;0,IFERROR(INDEX(Clay_Offices!$A$2:$FZ$601,111,Sync!$C$5)&amp;"","")&lt;&gt;"",OR(LEFT(IFERROR(INDEX(Clay_Offices!$A$2:$FZ$601,111,Sync!$C$5)&amp;"",""),6)&lt;&gt;"SAMPLE",Config!$B$19="Y")),IFERROR(N(INDEX(Clay_Offices!$A$2:$FZ$601,111,Sync!$C$13)),0),"")</f>
        <v/>
      </c>
      <c r="C2962" s="17">
        <f>IF(B2962="","","office")</f>
        <v/>
      </c>
      <c r="D2962" s="17">
        <f>IF(B2962="","",IFERROR(INDEX(Clay_Offices!$A$2:$FZ$601,111,Sync!$C$5)&amp;"",""))</f>
        <v/>
      </c>
      <c r="E2962" s="17">
        <f>IF(B2962="","",IFERROR(INDEX(Clay_Offices!$A$2:$FZ$601,111,Sync!$C$6)&amp;"",""))</f>
        <v/>
      </c>
      <c r="F2962" s="17">
        <f>IF(B2962="","","outreach_sent")</f>
        <v/>
      </c>
      <c r="G2962" s="17">
        <f>IF(B2962="","","")</f>
        <v/>
      </c>
      <c r="H2962" s="17">
        <f>IF(B2962="","","")</f>
        <v/>
      </c>
      <c r="I2962" s="17">
        <f>IF(B2962="","","")</f>
        <v/>
      </c>
      <c r="J2962" s="17">
        <f>IF(B2962="","","touch_3; "&amp;IFERROR(INDEX(Clay_Offices!$A$2:$FZ$601,111,Sync!$C$10)&amp;"","")&amp;"; "&amp;IFERROR(INDEX(Clay_Offices!$A$2:$FZ$601,111,Sync!$C$9)&amp;"",""))</f>
        <v/>
      </c>
      <c r="K2962" t="inlineStr">
        <is>
          <t>office outreach touch 3</t>
        </is>
      </c>
    </row>
    <row r="2963">
      <c r="A2963" s="17">
        <f>IF(B2963="","",B2963+(14*1000+112)/10000000)</f>
        <v/>
      </c>
      <c r="B2963" s="23">
        <f>IF(AND(IFERROR(N(INDEX(Clay_Offices!$A$2:$FZ$601,112,Sync!$C$13)),0)&gt;0,IFERROR(INDEX(Clay_Offices!$A$2:$FZ$601,112,Sync!$C$5)&amp;"","")&lt;&gt;"",OR(LEFT(IFERROR(INDEX(Clay_Offices!$A$2:$FZ$601,112,Sync!$C$5)&amp;"",""),6)&lt;&gt;"SAMPLE",Config!$B$19="Y")),IFERROR(N(INDEX(Clay_Offices!$A$2:$FZ$601,112,Sync!$C$13)),0),"")</f>
        <v/>
      </c>
      <c r="C2963" s="17">
        <f>IF(B2963="","","office")</f>
        <v/>
      </c>
      <c r="D2963" s="17">
        <f>IF(B2963="","",IFERROR(INDEX(Clay_Offices!$A$2:$FZ$601,112,Sync!$C$5)&amp;"",""))</f>
        <v/>
      </c>
      <c r="E2963" s="17">
        <f>IF(B2963="","",IFERROR(INDEX(Clay_Offices!$A$2:$FZ$601,112,Sync!$C$6)&amp;"",""))</f>
        <v/>
      </c>
      <c r="F2963" s="17">
        <f>IF(B2963="","","outreach_sent")</f>
        <v/>
      </c>
      <c r="G2963" s="17">
        <f>IF(B2963="","","")</f>
        <v/>
      </c>
      <c r="H2963" s="17">
        <f>IF(B2963="","","")</f>
        <v/>
      </c>
      <c r="I2963" s="17">
        <f>IF(B2963="","","")</f>
        <v/>
      </c>
      <c r="J2963" s="17">
        <f>IF(B2963="","","touch_3; "&amp;IFERROR(INDEX(Clay_Offices!$A$2:$FZ$601,112,Sync!$C$10)&amp;"","")&amp;"; "&amp;IFERROR(INDEX(Clay_Offices!$A$2:$FZ$601,112,Sync!$C$9)&amp;"",""))</f>
        <v/>
      </c>
      <c r="K2963" t="inlineStr">
        <is>
          <t>office outreach touch 3</t>
        </is>
      </c>
    </row>
    <row r="2964">
      <c r="A2964" s="17">
        <f>IF(B2964="","",B2964+(14*1000+113)/10000000)</f>
        <v/>
      </c>
      <c r="B2964" s="23">
        <f>IF(AND(IFERROR(N(INDEX(Clay_Offices!$A$2:$FZ$601,113,Sync!$C$13)),0)&gt;0,IFERROR(INDEX(Clay_Offices!$A$2:$FZ$601,113,Sync!$C$5)&amp;"","")&lt;&gt;"",OR(LEFT(IFERROR(INDEX(Clay_Offices!$A$2:$FZ$601,113,Sync!$C$5)&amp;"",""),6)&lt;&gt;"SAMPLE",Config!$B$19="Y")),IFERROR(N(INDEX(Clay_Offices!$A$2:$FZ$601,113,Sync!$C$13)),0),"")</f>
        <v/>
      </c>
      <c r="C2964" s="17">
        <f>IF(B2964="","","office")</f>
        <v/>
      </c>
      <c r="D2964" s="17">
        <f>IF(B2964="","",IFERROR(INDEX(Clay_Offices!$A$2:$FZ$601,113,Sync!$C$5)&amp;"",""))</f>
        <v/>
      </c>
      <c r="E2964" s="17">
        <f>IF(B2964="","",IFERROR(INDEX(Clay_Offices!$A$2:$FZ$601,113,Sync!$C$6)&amp;"",""))</f>
        <v/>
      </c>
      <c r="F2964" s="17">
        <f>IF(B2964="","","outreach_sent")</f>
        <v/>
      </c>
      <c r="G2964" s="17">
        <f>IF(B2964="","","")</f>
        <v/>
      </c>
      <c r="H2964" s="17">
        <f>IF(B2964="","","")</f>
        <v/>
      </c>
      <c r="I2964" s="17">
        <f>IF(B2964="","","")</f>
        <v/>
      </c>
      <c r="J2964" s="17">
        <f>IF(B2964="","","touch_3; "&amp;IFERROR(INDEX(Clay_Offices!$A$2:$FZ$601,113,Sync!$C$10)&amp;"","")&amp;"; "&amp;IFERROR(INDEX(Clay_Offices!$A$2:$FZ$601,113,Sync!$C$9)&amp;"",""))</f>
        <v/>
      </c>
      <c r="K2964" t="inlineStr">
        <is>
          <t>office outreach touch 3</t>
        </is>
      </c>
    </row>
    <row r="2965">
      <c r="A2965" s="17">
        <f>IF(B2965="","",B2965+(14*1000+114)/10000000)</f>
        <v/>
      </c>
      <c r="B2965" s="23">
        <f>IF(AND(IFERROR(N(INDEX(Clay_Offices!$A$2:$FZ$601,114,Sync!$C$13)),0)&gt;0,IFERROR(INDEX(Clay_Offices!$A$2:$FZ$601,114,Sync!$C$5)&amp;"","")&lt;&gt;"",OR(LEFT(IFERROR(INDEX(Clay_Offices!$A$2:$FZ$601,114,Sync!$C$5)&amp;"",""),6)&lt;&gt;"SAMPLE",Config!$B$19="Y")),IFERROR(N(INDEX(Clay_Offices!$A$2:$FZ$601,114,Sync!$C$13)),0),"")</f>
        <v/>
      </c>
      <c r="C2965" s="17">
        <f>IF(B2965="","","office")</f>
        <v/>
      </c>
      <c r="D2965" s="17">
        <f>IF(B2965="","",IFERROR(INDEX(Clay_Offices!$A$2:$FZ$601,114,Sync!$C$5)&amp;"",""))</f>
        <v/>
      </c>
      <c r="E2965" s="17">
        <f>IF(B2965="","",IFERROR(INDEX(Clay_Offices!$A$2:$FZ$601,114,Sync!$C$6)&amp;"",""))</f>
        <v/>
      </c>
      <c r="F2965" s="17">
        <f>IF(B2965="","","outreach_sent")</f>
        <v/>
      </c>
      <c r="G2965" s="17">
        <f>IF(B2965="","","")</f>
        <v/>
      </c>
      <c r="H2965" s="17">
        <f>IF(B2965="","","")</f>
        <v/>
      </c>
      <c r="I2965" s="17">
        <f>IF(B2965="","","")</f>
        <v/>
      </c>
      <c r="J2965" s="17">
        <f>IF(B2965="","","touch_3; "&amp;IFERROR(INDEX(Clay_Offices!$A$2:$FZ$601,114,Sync!$C$10)&amp;"","")&amp;"; "&amp;IFERROR(INDEX(Clay_Offices!$A$2:$FZ$601,114,Sync!$C$9)&amp;"",""))</f>
        <v/>
      </c>
      <c r="K2965" t="inlineStr">
        <is>
          <t>office outreach touch 3</t>
        </is>
      </c>
    </row>
    <row r="2966">
      <c r="A2966" s="17">
        <f>IF(B2966="","",B2966+(14*1000+115)/10000000)</f>
        <v/>
      </c>
      <c r="B2966" s="23">
        <f>IF(AND(IFERROR(N(INDEX(Clay_Offices!$A$2:$FZ$601,115,Sync!$C$13)),0)&gt;0,IFERROR(INDEX(Clay_Offices!$A$2:$FZ$601,115,Sync!$C$5)&amp;"","")&lt;&gt;"",OR(LEFT(IFERROR(INDEX(Clay_Offices!$A$2:$FZ$601,115,Sync!$C$5)&amp;"",""),6)&lt;&gt;"SAMPLE",Config!$B$19="Y")),IFERROR(N(INDEX(Clay_Offices!$A$2:$FZ$601,115,Sync!$C$13)),0),"")</f>
        <v/>
      </c>
      <c r="C2966" s="17">
        <f>IF(B2966="","","office")</f>
        <v/>
      </c>
      <c r="D2966" s="17">
        <f>IF(B2966="","",IFERROR(INDEX(Clay_Offices!$A$2:$FZ$601,115,Sync!$C$5)&amp;"",""))</f>
        <v/>
      </c>
      <c r="E2966" s="17">
        <f>IF(B2966="","",IFERROR(INDEX(Clay_Offices!$A$2:$FZ$601,115,Sync!$C$6)&amp;"",""))</f>
        <v/>
      </c>
      <c r="F2966" s="17">
        <f>IF(B2966="","","outreach_sent")</f>
        <v/>
      </c>
      <c r="G2966" s="17">
        <f>IF(B2966="","","")</f>
        <v/>
      </c>
      <c r="H2966" s="17">
        <f>IF(B2966="","","")</f>
        <v/>
      </c>
      <c r="I2966" s="17">
        <f>IF(B2966="","","")</f>
        <v/>
      </c>
      <c r="J2966" s="17">
        <f>IF(B2966="","","touch_3; "&amp;IFERROR(INDEX(Clay_Offices!$A$2:$FZ$601,115,Sync!$C$10)&amp;"","")&amp;"; "&amp;IFERROR(INDEX(Clay_Offices!$A$2:$FZ$601,115,Sync!$C$9)&amp;"",""))</f>
        <v/>
      </c>
      <c r="K2966" t="inlineStr">
        <is>
          <t>office outreach touch 3</t>
        </is>
      </c>
    </row>
    <row r="2967">
      <c r="A2967" s="17">
        <f>IF(B2967="","",B2967+(14*1000+116)/10000000)</f>
        <v/>
      </c>
      <c r="B2967" s="23">
        <f>IF(AND(IFERROR(N(INDEX(Clay_Offices!$A$2:$FZ$601,116,Sync!$C$13)),0)&gt;0,IFERROR(INDEX(Clay_Offices!$A$2:$FZ$601,116,Sync!$C$5)&amp;"","")&lt;&gt;"",OR(LEFT(IFERROR(INDEX(Clay_Offices!$A$2:$FZ$601,116,Sync!$C$5)&amp;"",""),6)&lt;&gt;"SAMPLE",Config!$B$19="Y")),IFERROR(N(INDEX(Clay_Offices!$A$2:$FZ$601,116,Sync!$C$13)),0),"")</f>
        <v/>
      </c>
      <c r="C2967" s="17">
        <f>IF(B2967="","","office")</f>
        <v/>
      </c>
      <c r="D2967" s="17">
        <f>IF(B2967="","",IFERROR(INDEX(Clay_Offices!$A$2:$FZ$601,116,Sync!$C$5)&amp;"",""))</f>
        <v/>
      </c>
      <c r="E2967" s="17">
        <f>IF(B2967="","",IFERROR(INDEX(Clay_Offices!$A$2:$FZ$601,116,Sync!$C$6)&amp;"",""))</f>
        <v/>
      </c>
      <c r="F2967" s="17">
        <f>IF(B2967="","","outreach_sent")</f>
        <v/>
      </c>
      <c r="G2967" s="17">
        <f>IF(B2967="","","")</f>
        <v/>
      </c>
      <c r="H2967" s="17">
        <f>IF(B2967="","","")</f>
        <v/>
      </c>
      <c r="I2967" s="17">
        <f>IF(B2967="","","")</f>
        <v/>
      </c>
      <c r="J2967" s="17">
        <f>IF(B2967="","","touch_3; "&amp;IFERROR(INDEX(Clay_Offices!$A$2:$FZ$601,116,Sync!$C$10)&amp;"","")&amp;"; "&amp;IFERROR(INDEX(Clay_Offices!$A$2:$FZ$601,116,Sync!$C$9)&amp;"",""))</f>
        <v/>
      </c>
      <c r="K2967" t="inlineStr">
        <is>
          <t>office outreach touch 3</t>
        </is>
      </c>
    </row>
    <row r="2968">
      <c r="A2968" s="17">
        <f>IF(B2968="","",B2968+(14*1000+117)/10000000)</f>
        <v/>
      </c>
      <c r="B2968" s="23">
        <f>IF(AND(IFERROR(N(INDEX(Clay_Offices!$A$2:$FZ$601,117,Sync!$C$13)),0)&gt;0,IFERROR(INDEX(Clay_Offices!$A$2:$FZ$601,117,Sync!$C$5)&amp;"","")&lt;&gt;"",OR(LEFT(IFERROR(INDEX(Clay_Offices!$A$2:$FZ$601,117,Sync!$C$5)&amp;"",""),6)&lt;&gt;"SAMPLE",Config!$B$19="Y")),IFERROR(N(INDEX(Clay_Offices!$A$2:$FZ$601,117,Sync!$C$13)),0),"")</f>
        <v/>
      </c>
      <c r="C2968" s="17">
        <f>IF(B2968="","","office")</f>
        <v/>
      </c>
      <c r="D2968" s="17">
        <f>IF(B2968="","",IFERROR(INDEX(Clay_Offices!$A$2:$FZ$601,117,Sync!$C$5)&amp;"",""))</f>
        <v/>
      </c>
      <c r="E2968" s="17">
        <f>IF(B2968="","",IFERROR(INDEX(Clay_Offices!$A$2:$FZ$601,117,Sync!$C$6)&amp;"",""))</f>
        <v/>
      </c>
      <c r="F2968" s="17">
        <f>IF(B2968="","","outreach_sent")</f>
        <v/>
      </c>
      <c r="G2968" s="17">
        <f>IF(B2968="","","")</f>
        <v/>
      </c>
      <c r="H2968" s="17">
        <f>IF(B2968="","","")</f>
        <v/>
      </c>
      <c r="I2968" s="17">
        <f>IF(B2968="","","")</f>
        <v/>
      </c>
      <c r="J2968" s="17">
        <f>IF(B2968="","","touch_3; "&amp;IFERROR(INDEX(Clay_Offices!$A$2:$FZ$601,117,Sync!$C$10)&amp;"","")&amp;"; "&amp;IFERROR(INDEX(Clay_Offices!$A$2:$FZ$601,117,Sync!$C$9)&amp;"",""))</f>
        <v/>
      </c>
      <c r="K2968" t="inlineStr">
        <is>
          <t>office outreach touch 3</t>
        </is>
      </c>
    </row>
    <row r="2969">
      <c r="A2969" s="17">
        <f>IF(B2969="","",B2969+(14*1000+118)/10000000)</f>
        <v/>
      </c>
      <c r="B2969" s="23">
        <f>IF(AND(IFERROR(N(INDEX(Clay_Offices!$A$2:$FZ$601,118,Sync!$C$13)),0)&gt;0,IFERROR(INDEX(Clay_Offices!$A$2:$FZ$601,118,Sync!$C$5)&amp;"","")&lt;&gt;"",OR(LEFT(IFERROR(INDEX(Clay_Offices!$A$2:$FZ$601,118,Sync!$C$5)&amp;"",""),6)&lt;&gt;"SAMPLE",Config!$B$19="Y")),IFERROR(N(INDEX(Clay_Offices!$A$2:$FZ$601,118,Sync!$C$13)),0),"")</f>
        <v/>
      </c>
      <c r="C2969" s="17">
        <f>IF(B2969="","","office")</f>
        <v/>
      </c>
      <c r="D2969" s="17">
        <f>IF(B2969="","",IFERROR(INDEX(Clay_Offices!$A$2:$FZ$601,118,Sync!$C$5)&amp;"",""))</f>
        <v/>
      </c>
      <c r="E2969" s="17">
        <f>IF(B2969="","",IFERROR(INDEX(Clay_Offices!$A$2:$FZ$601,118,Sync!$C$6)&amp;"",""))</f>
        <v/>
      </c>
      <c r="F2969" s="17">
        <f>IF(B2969="","","outreach_sent")</f>
        <v/>
      </c>
      <c r="G2969" s="17">
        <f>IF(B2969="","","")</f>
        <v/>
      </c>
      <c r="H2969" s="17">
        <f>IF(B2969="","","")</f>
        <v/>
      </c>
      <c r="I2969" s="17">
        <f>IF(B2969="","","")</f>
        <v/>
      </c>
      <c r="J2969" s="17">
        <f>IF(B2969="","","touch_3; "&amp;IFERROR(INDEX(Clay_Offices!$A$2:$FZ$601,118,Sync!$C$10)&amp;"","")&amp;"; "&amp;IFERROR(INDEX(Clay_Offices!$A$2:$FZ$601,118,Sync!$C$9)&amp;"",""))</f>
        <v/>
      </c>
      <c r="K2969" t="inlineStr">
        <is>
          <t>office outreach touch 3</t>
        </is>
      </c>
    </row>
    <row r="2970">
      <c r="A2970" s="17">
        <f>IF(B2970="","",B2970+(14*1000+119)/10000000)</f>
        <v/>
      </c>
      <c r="B2970" s="23">
        <f>IF(AND(IFERROR(N(INDEX(Clay_Offices!$A$2:$FZ$601,119,Sync!$C$13)),0)&gt;0,IFERROR(INDEX(Clay_Offices!$A$2:$FZ$601,119,Sync!$C$5)&amp;"","")&lt;&gt;"",OR(LEFT(IFERROR(INDEX(Clay_Offices!$A$2:$FZ$601,119,Sync!$C$5)&amp;"",""),6)&lt;&gt;"SAMPLE",Config!$B$19="Y")),IFERROR(N(INDEX(Clay_Offices!$A$2:$FZ$601,119,Sync!$C$13)),0),"")</f>
        <v/>
      </c>
      <c r="C2970" s="17">
        <f>IF(B2970="","","office")</f>
        <v/>
      </c>
      <c r="D2970" s="17">
        <f>IF(B2970="","",IFERROR(INDEX(Clay_Offices!$A$2:$FZ$601,119,Sync!$C$5)&amp;"",""))</f>
        <v/>
      </c>
      <c r="E2970" s="17">
        <f>IF(B2970="","",IFERROR(INDEX(Clay_Offices!$A$2:$FZ$601,119,Sync!$C$6)&amp;"",""))</f>
        <v/>
      </c>
      <c r="F2970" s="17">
        <f>IF(B2970="","","outreach_sent")</f>
        <v/>
      </c>
      <c r="G2970" s="17">
        <f>IF(B2970="","","")</f>
        <v/>
      </c>
      <c r="H2970" s="17">
        <f>IF(B2970="","","")</f>
        <v/>
      </c>
      <c r="I2970" s="17">
        <f>IF(B2970="","","")</f>
        <v/>
      </c>
      <c r="J2970" s="17">
        <f>IF(B2970="","","touch_3; "&amp;IFERROR(INDEX(Clay_Offices!$A$2:$FZ$601,119,Sync!$C$10)&amp;"","")&amp;"; "&amp;IFERROR(INDEX(Clay_Offices!$A$2:$FZ$601,119,Sync!$C$9)&amp;"",""))</f>
        <v/>
      </c>
      <c r="K2970" t="inlineStr">
        <is>
          <t>office outreach touch 3</t>
        </is>
      </c>
    </row>
    <row r="2971">
      <c r="A2971" s="17">
        <f>IF(B2971="","",B2971+(14*1000+120)/10000000)</f>
        <v/>
      </c>
      <c r="B2971" s="23">
        <f>IF(AND(IFERROR(N(INDEX(Clay_Offices!$A$2:$FZ$601,120,Sync!$C$13)),0)&gt;0,IFERROR(INDEX(Clay_Offices!$A$2:$FZ$601,120,Sync!$C$5)&amp;"","")&lt;&gt;"",OR(LEFT(IFERROR(INDEX(Clay_Offices!$A$2:$FZ$601,120,Sync!$C$5)&amp;"",""),6)&lt;&gt;"SAMPLE",Config!$B$19="Y")),IFERROR(N(INDEX(Clay_Offices!$A$2:$FZ$601,120,Sync!$C$13)),0),"")</f>
        <v/>
      </c>
      <c r="C2971" s="17">
        <f>IF(B2971="","","office")</f>
        <v/>
      </c>
      <c r="D2971" s="17">
        <f>IF(B2971="","",IFERROR(INDEX(Clay_Offices!$A$2:$FZ$601,120,Sync!$C$5)&amp;"",""))</f>
        <v/>
      </c>
      <c r="E2971" s="17">
        <f>IF(B2971="","",IFERROR(INDEX(Clay_Offices!$A$2:$FZ$601,120,Sync!$C$6)&amp;"",""))</f>
        <v/>
      </c>
      <c r="F2971" s="17">
        <f>IF(B2971="","","outreach_sent")</f>
        <v/>
      </c>
      <c r="G2971" s="17">
        <f>IF(B2971="","","")</f>
        <v/>
      </c>
      <c r="H2971" s="17">
        <f>IF(B2971="","","")</f>
        <v/>
      </c>
      <c r="I2971" s="17">
        <f>IF(B2971="","","")</f>
        <v/>
      </c>
      <c r="J2971" s="17">
        <f>IF(B2971="","","touch_3; "&amp;IFERROR(INDEX(Clay_Offices!$A$2:$FZ$601,120,Sync!$C$10)&amp;"","")&amp;"; "&amp;IFERROR(INDEX(Clay_Offices!$A$2:$FZ$601,120,Sync!$C$9)&amp;"",""))</f>
        <v/>
      </c>
      <c r="K2971" t="inlineStr">
        <is>
          <t>office outreach touch 3</t>
        </is>
      </c>
    </row>
    <row r="2972">
      <c r="A2972" s="17">
        <f>IF(B2972="","",B2972+(14*1000+121)/10000000)</f>
        <v/>
      </c>
      <c r="B2972" s="23">
        <f>IF(AND(IFERROR(N(INDEX(Clay_Offices!$A$2:$FZ$601,121,Sync!$C$13)),0)&gt;0,IFERROR(INDEX(Clay_Offices!$A$2:$FZ$601,121,Sync!$C$5)&amp;"","")&lt;&gt;"",OR(LEFT(IFERROR(INDEX(Clay_Offices!$A$2:$FZ$601,121,Sync!$C$5)&amp;"",""),6)&lt;&gt;"SAMPLE",Config!$B$19="Y")),IFERROR(N(INDEX(Clay_Offices!$A$2:$FZ$601,121,Sync!$C$13)),0),"")</f>
        <v/>
      </c>
      <c r="C2972" s="17">
        <f>IF(B2972="","","office")</f>
        <v/>
      </c>
      <c r="D2972" s="17">
        <f>IF(B2972="","",IFERROR(INDEX(Clay_Offices!$A$2:$FZ$601,121,Sync!$C$5)&amp;"",""))</f>
        <v/>
      </c>
      <c r="E2972" s="17">
        <f>IF(B2972="","",IFERROR(INDEX(Clay_Offices!$A$2:$FZ$601,121,Sync!$C$6)&amp;"",""))</f>
        <v/>
      </c>
      <c r="F2972" s="17">
        <f>IF(B2972="","","outreach_sent")</f>
        <v/>
      </c>
      <c r="G2972" s="17">
        <f>IF(B2972="","","")</f>
        <v/>
      </c>
      <c r="H2972" s="17">
        <f>IF(B2972="","","")</f>
        <v/>
      </c>
      <c r="I2972" s="17">
        <f>IF(B2972="","","")</f>
        <v/>
      </c>
      <c r="J2972" s="17">
        <f>IF(B2972="","","touch_3; "&amp;IFERROR(INDEX(Clay_Offices!$A$2:$FZ$601,121,Sync!$C$10)&amp;"","")&amp;"; "&amp;IFERROR(INDEX(Clay_Offices!$A$2:$FZ$601,121,Sync!$C$9)&amp;"",""))</f>
        <v/>
      </c>
      <c r="K2972" t="inlineStr">
        <is>
          <t>office outreach touch 3</t>
        </is>
      </c>
    </row>
    <row r="2973">
      <c r="A2973" s="17">
        <f>IF(B2973="","",B2973+(14*1000+122)/10000000)</f>
        <v/>
      </c>
      <c r="B2973" s="23">
        <f>IF(AND(IFERROR(N(INDEX(Clay_Offices!$A$2:$FZ$601,122,Sync!$C$13)),0)&gt;0,IFERROR(INDEX(Clay_Offices!$A$2:$FZ$601,122,Sync!$C$5)&amp;"","")&lt;&gt;"",OR(LEFT(IFERROR(INDEX(Clay_Offices!$A$2:$FZ$601,122,Sync!$C$5)&amp;"",""),6)&lt;&gt;"SAMPLE",Config!$B$19="Y")),IFERROR(N(INDEX(Clay_Offices!$A$2:$FZ$601,122,Sync!$C$13)),0),"")</f>
        <v/>
      </c>
      <c r="C2973" s="17">
        <f>IF(B2973="","","office")</f>
        <v/>
      </c>
      <c r="D2973" s="17">
        <f>IF(B2973="","",IFERROR(INDEX(Clay_Offices!$A$2:$FZ$601,122,Sync!$C$5)&amp;"",""))</f>
        <v/>
      </c>
      <c r="E2973" s="17">
        <f>IF(B2973="","",IFERROR(INDEX(Clay_Offices!$A$2:$FZ$601,122,Sync!$C$6)&amp;"",""))</f>
        <v/>
      </c>
      <c r="F2973" s="17">
        <f>IF(B2973="","","outreach_sent")</f>
        <v/>
      </c>
      <c r="G2973" s="17">
        <f>IF(B2973="","","")</f>
        <v/>
      </c>
      <c r="H2973" s="17">
        <f>IF(B2973="","","")</f>
        <v/>
      </c>
      <c r="I2973" s="17">
        <f>IF(B2973="","","")</f>
        <v/>
      </c>
      <c r="J2973" s="17">
        <f>IF(B2973="","","touch_3; "&amp;IFERROR(INDEX(Clay_Offices!$A$2:$FZ$601,122,Sync!$C$10)&amp;"","")&amp;"; "&amp;IFERROR(INDEX(Clay_Offices!$A$2:$FZ$601,122,Sync!$C$9)&amp;"",""))</f>
        <v/>
      </c>
      <c r="K2973" t="inlineStr">
        <is>
          <t>office outreach touch 3</t>
        </is>
      </c>
    </row>
    <row r="2974">
      <c r="A2974" s="17">
        <f>IF(B2974="","",B2974+(14*1000+123)/10000000)</f>
        <v/>
      </c>
      <c r="B2974" s="23">
        <f>IF(AND(IFERROR(N(INDEX(Clay_Offices!$A$2:$FZ$601,123,Sync!$C$13)),0)&gt;0,IFERROR(INDEX(Clay_Offices!$A$2:$FZ$601,123,Sync!$C$5)&amp;"","")&lt;&gt;"",OR(LEFT(IFERROR(INDEX(Clay_Offices!$A$2:$FZ$601,123,Sync!$C$5)&amp;"",""),6)&lt;&gt;"SAMPLE",Config!$B$19="Y")),IFERROR(N(INDEX(Clay_Offices!$A$2:$FZ$601,123,Sync!$C$13)),0),"")</f>
        <v/>
      </c>
      <c r="C2974" s="17">
        <f>IF(B2974="","","office")</f>
        <v/>
      </c>
      <c r="D2974" s="17">
        <f>IF(B2974="","",IFERROR(INDEX(Clay_Offices!$A$2:$FZ$601,123,Sync!$C$5)&amp;"",""))</f>
        <v/>
      </c>
      <c r="E2974" s="17">
        <f>IF(B2974="","",IFERROR(INDEX(Clay_Offices!$A$2:$FZ$601,123,Sync!$C$6)&amp;"",""))</f>
        <v/>
      </c>
      <c r="F2974" s="17">
        <f>IF(B2974="","","outreach_sent")</f>
        <v/>
      </c>
      <c r="G2974" s="17">
        <f>IF(B2974="","","")</f>
        <v/>
      </c>
      <c r="H2974" s="17">
        <f>IF(B2974="","","")</f>
        <v/>
      </c>
      <c r="I2974" s="17">
        <f>IF(B2974="","","")</f>
        <v/>
      </c>
      <c r="J2974" s="17">
        <f>IF(B2974="","","touch_3; "&amp;IFERROR(INDEX(Clay_Offices!$A$2:$FZ$601,123,Sync!$C$10)&amp;"","")&amp;"; "&amp;IFERROR(INDEX(Clay_Offices!$A$2:$FZ$601,123,Sync!$C$9)&amp;"",""))</f>
        <v/>
      </c>
      <c r="K2974" t="inlineStr">
        <is>
          <t>office outreach touch 3</t>
        </is>
      </c>
    </row>
    <row r="2975">
      <c r="A2975" s="17">
        <f>IF(B2975="","",B2975+(14*1000+124)/10000000)</f>
        <v/>
      </c>
      <c r="B2975" s="23">
        <f>IF(AND(IFERROR(N(INDEX(Clay_Offices!$A$2:$FZ$601,124,Sync!$C$13)),0)&gt;0,IFERROR(INDEX(Clay_Offices!$A$2:$FZ$601,124,Sync!$C$5)&amp;"","")&lt;&gt;"",OR(LEFT(IFERROR(INDEX(Clay_Offices!$A$2:$FZ$601,124,Sync!$C$5)&amp;"",""),6)&lt;&gt;"SAMPLE",Config!$B$19="Y")),IFERROR(N(INDEX(Clay_Offices!$A$2:$FZ$601,124,Sync!$C$13)),0),"")</f>
        <v/>
      </c>
      <c r="C2975" s="17">
        <f>IF(B2975="","","office")</f>
        <v/>
      </c>
      <c r="D2975" s="17">
        <f>IF(B2975="","",IFERROR(INDEX(Clay_Offices!$A$2:$FZ$601,124,Sync!$C$5)&amp;"",""))</f>
        <v/>
      </c>
      <c r="E2975" s="17">
        <f>IF(B2975="","",IFERROR(INDEX(Clay_Offices!$A$2:$FZ$601,124,Sync!$C$6)&amp;"",""))</f>
        <v/>
      </c>
      <c r="F2975" s="17">
        <f>IF(B2975="","","outreach_sent")</f>
        <v/>
      </c>
      <c r="G2975" s="17">
        <f>IF(B2975="","","")</f>
        <v/>
      </c>
      <c r="H2975" s="17">
        <f>IF(B2975="","","")</f>
        <v/>
      </c>
      <c r="I2975" s="17">
        <f>IF(B2975="","","")</f>
        <v/>
      </c>
      <c r="J2975" s="17">
        <f>IF(B2975="","","touch_3; "&amp;IFERROR(INDEX(Clay_Offices!$A$2:$FZ$601,124,Sync!$C$10)&amp;"","")&amp;"; "&amp;IFERROR(INDEX(Clay_Offices!$A$2:$FZ$601,124,Sync!$C$9)&amp;"",""))</f>
        <v/>
      </c>
      <c r="K2975" t="inlineStr">
        <is>
          <t>office outreach touch 3</t>
        </is>
      </c>
    </row>
    <row r="2976">
      <c r="A2976" s="17">
        <f>IF(B2976="","",B2976+(14*1000+125)/10000000)</f>
        <v/>
      </c>
      <c r="B2976" s="23">
        <f>IF(AND(IFERROR(N(INDEX(Clay_Offices!$A$2:$FZ$601,125,Sync!$C$13)),0)&gt;0,IFERROR(INDEX(Clay_Offices!$A$2:$FZ$601,125,Sync!$C$5)&amp;"","")&lt;&gt;"",OR(LEFT(IFERROR(INDEX(Clay_Offices!$A$2:$FZ$601,125,Sync!$C$5)&amp;"",""),6)&lt;&gt;"SAMPLE",Config!$B$19="Y")),IFERROR(N(INDEX(Clay_Offices!$A$2:$FZ$601,125,Sync!$C$13)),0),"")</f>
        <v/>
      </c>
      <c r="C2976" s="17">
        <f>IF(B2976="","","office")</f>
        <v/>
      </c>
      <c r="D2976" s="17">
        <f>IF(B2976="","",IFERROR(INDEX(Clay_Offices!$A$2:$FZ$601,125,Sync!$C$5)&amp;"",""))</f>
        <v/>
      </c>
      <c r="E2976" s="17">
        <f>IF(B2976="","",IFERROR(INDEX(Clay_Offices!$A$2:$FZ$601,125,Sync!$C$6)&amp;"",""))</f>
        <v/>
      </c>
      <c r="F2976" s="17">
        <f>IF(B2976="","","outreach_sent")</f>
        <v/>
      </c>
      <c r="G2976" s="17">
        <f>IF(B2976="","","")</f>
        <v/>
      </c>
      <c r="H2976" s="17">
        <f>IF(B2976="","","")</f>
        <v/>
      </c>
      <c r="I2976" s="17">
        <f>IF(B2976="","","")</f>
        <v/>
      </c>
      <c r="J2976" s="17">
        <f>IF(B2976="","","touch_3; "&amp;IFERROR(INDEX(Clay_Offices!$A$2:$FZ$601,125,Sync!$C$10)&amp;"","")&amp;"; "&amp;IFERROR(INDEX(Clay_Offices!$A$2:$FZ$601,125,Sync!$C$9)&amp;"",""))</f>
        <v/>
      </c>
      <c r="K2976" t="inlineStr">
        <is>
          <t>office outreach touch 3</t>
        </is>
      </c>
    </row>
    <row r="2977">
      <c r="A2977" s="17">
        <f>IF(B2977="","",B2977+(14*1000+126)/10000000)</f>
        <v/>
      </c>
      <c r="B2977" s="23">
        <f>IF(AND(IFERROR(N(INDEX(Clay_Offices!$A$2:$FZ$601,126,Sync!$C$13)),0)&gt;0,IFERROR(INDEX(Clay_Offices!$A$2:$FZ$601,126,Sync!$C$5)&amp;"","")&lt;&gt;"",OR(LEFT(IFERROR(INDEX(Clay_Offices!$A$2:$FZ$601,126,Sync!$C$5)&amp;"",""),6)&lt;&gt;"SAMPLE",Config!$B$19="Y")),IFERROR(N(INDEX(Clay_Offices!$A$2:$FZ$601,126,Sync!$C$13)),0),"")</f>
        <v/>
      </c>
      <c r="C2977" s="17">
        <f>IF(B2977="","","office")</f>
        <v/>
      </c>
      <c r="D2977" s="17">
        <f>IF(B2977="","",IFERROR(INDEX(Clay_Offices!$A$2:$FZ$601,126,Sync!$C$5)&amp;"",""))</f>
        <v/>
      </c>
      <c r="E2977" s="17">
        <f>IF(B2977="","",IFERROR(INDEX(Clay_Offices!$A$2:$FZ$601,126,Sync!$C$6)&amp;"",""))</f>
        <v/>
      </c>
      <c r="F2977" s="17">
        <f>IF(B2977="","","outreach_sent")</f>
        <v/>
      </c>
      <c r="G2977" s="17">
        <f>IF(B2977="","","")</f>
        <v/>
      </c>
      <c r="H2977" s="17">
        <f>IF(B2977="","","")</f>
        <v/>
      </c>
      <c r="I2977" s="17">
        <f>IF(B2977="","","")</f>
        <v/>
      </c>
      <c r="J2977" s="17">
        <f>IF(B2977="","","touch_3; "&amp;IFERROR(INDEX(Clay_Offices!$A$2:$FZ$601,126,Sync!$C$10)&amp;"","")&amp;"; "&amp;IFERROR(INDEX(Clay_Offices!$A$2:$FZ$601,126,Sync!$C$9)&amp;"",""))</f>
        <v/>
      </c>
      <c r="K2977" t="inlineStr">
        <is>
          <t>office outreach touch 3</t>
        </is>
      </c>
    </row>
    <row r="2978">
      <c r="A2978" s="17">
        <f>IF(B2978="","",B2978+(14*1000+127)/10000000)</f>
        <v/>
      </c>
      <c r="B2978" s="23">
        <f>IF(AND(IFERROR(N(INDEX(Clay_Offices!$A$2:$FZ$601,127,Sync!$C$13)),0)&gt;0,IFERROR(INDEX(Clay_Offices!$A$2:$FZ$601,127,Sync!$C$5)&amp;"","")&lt;&gt;"",OR(LEFT(IFERROR(INDEX(Clay_Offices!$A$2:$FZ$601,127,Sync!$C$5)&amp;"",""),6)&lt;&gt;"SAMPLE",Config!$B$19="Y")),IFERROR(N(INDEX(Clay_Offices!$A$2:$FZ$601,127,Sync!$C$13)),0),"")</f>
        <v/>
      </c>
      <c r="C2978" s="17">
        <f>IF(B2978="","","office")</f>
        <v/>
      </c>
      <c r="D2978" s="17">
        <f>IF(B2978="","",IFERROR(INDEX(Clay_Offices!$A$2:$FZ$601,127,Sync!$C$5)&amp;"",""))</f>
        <v/>
      </c>
      <c r="E2978" s="17">
        <f>IF(B2978="","",IFERROR(INDEX(Clay_Offices!$A$2:$FZ$601,127,Sync!$C$6)&amp;"",""))</f>
        <v/>
      </c>
      <c r="F2978" s="17">
        <f>IF(B2978="","","outreach_sent")</f>
        <v/>
      </c>
      <c r="G2978" s="17">
        <f>IF(B2978="","","")</f>
        <v/>
      </c>
      <c r="H2978" s="17">
        <f>IF(B2978="","","")</f>
        <v/>
      </c>
      <c r="I2978" s="17">
        <f>IF(B2978="","","")</f>
        <v/>
      </c>
      <c r="J2978" s="17">
        <f>IF(B2978="","","touch_3; "&amp;IFERROR(INDEX(Clay_Offices!$A$2:$FZ$601,127,Sync!$C$10)&amp;"","")&amp;"; "&amp;IFERROR(INDEX(Clay_Offices!$A$2:$FZ$601,127,Sync!$C$9)&amp;"",""))</f>
        <v/>
      </c>
      <c r="K2978" t="inlineStr">
        <is>
          <t>office outreach touch 3</t>
        </is>
      </c>
    </row>
    <row r="2979">
      <c r="A2979" s="17">
        <f>IF(B2979="","",B2979+(14*1000+128)/10000000)</f>
        <v/>
      </c>
      <c r="B2979" s="23">
        <f>IF(AND(IFERROR(N(INDEX(Clay_Offices!$A$2:$FZ$601,128,Sync!$C$13)),0)&gt;0,IFERROR(INDEX(Clay_Offices!$A$2:$FZ$601,128,Sync!$C$5)&amp;"","")&lt;&gt;"",OR(LEFT(IFERROR(INDEX(Clay_Offices!$A$2:$FZ$601,128,Sync!$C$5)&amp;"",""),6)&lt;&gt;"SAMPLE",Config!$B$19="Y")),IFERROR(N(INDEX(Clay_Offices!$A$2:$FZ$601,128,Sync!$C$13)),0),"")</f>
        <v/>
      </c>
      <c r="C2979" s="17">
        <f>IF(B2979="","","office")</f>
        <v/>
      </c>
      <c r="D2979" s="17">
        <f>IF(B2979="","",IFERROR(INDEX(Clay_Offices!$A$2:$FZ$601,128,Sync!$C$5)&amp;"",""))</f>
        <v/>
      </c>
      <c r="E2979" s="17">
        <f>IF(B2979="","",IFERROR(INDEX(Clay_Offices!$A$2:$FZ$601,128,Sync!$C$6)&amp;"",""))</f>
        <v/>
      </c>
      <c r="F2979" s="17">
        <f>IF(B2979="","","outreach_sent")</f>
        <v/>
      </c>
      <c r="G2979" s="17">
        <f>IF(B2979="","","")</f>
        <v/>
      </c>
      <c r="H2979" s="17">
        <f>IF(B2979="","","")</f>
        <v/>
      </c>
      <c r="I2979" s="17">
        <f>IF(B2979="","","")</f>
        <v/>
      </c>
      <c r="J2979" s="17">
        <f>IF(B2979="","","touch_3; "&amp;IFERROR(INDEX(Clay_Offices!$A$2:$FZ$601,128,Sync!$C$10)&amp;"","")&amp;"; "&amp;IFERROR(INDEX(Clay_Offices!$A$2:$FZ$601,128,Sync!$C$9)&amp;"",""))</f>
        <v/>
      </c>
      <c r="K2979" t="inlineStr">
        <is>
          <t>office outreach touch 3</t>
        </is>
      </c>
    </row>
    <row r="2980">
      <c r="A2980" s="17">
        <f>IF(B2980="","",B2980+(14*1000+129)/10000000)</f>
        <v/>
      </c>
      <c r="B2980" s="23">
        <f>IF(AND(IFERROR(N(INDEX(Clay_Offices!$A$2:$FZ$601,129,Sync!$C$13)),0)&gt;0,IFERROR(INDEX(Clay_Offices!$A$2:$FZ$601,129,Sync!$C$5)&amp;"","")&lt;&gt;"",OR(LEFT(IFERROR(INDEX(Clay_Offices!$A$2:$FZ$601,129,Sync!$C$5)&amp;"",""),6)&lt;&gt;"SAMPLE",Config!$B$19="Y")),IFERROR(N(INDEX(Clay_Offices!$A$2:$FZ$601,129,Sync!$C$13)),0),"")</f>
        <v/>
      </c>
      <c r="C2980" s="17">
        <f>IF(B2980="","","office")</f>
        <v/>
      </c>
      <c r="D2980" s="17">
        <f>IF(B2980="","",IFERROR(INDEX(Clay_Offices!$A$2:$FZ$601,129,Sync!$C$5)&amp;"",""))</f>
        <v/>
      </c>
      <c r="E2980" s="17">
        <f>IF(B2980="","",IFERROR(INDEX(Clay_Offices!$A$2:$FZ$601,129,Sync!$C$6)&amp;"",""))</f>
        <v/>
      </c>
      <c r="F2980" s="17">
        <f>IF(B2980="","","outreach_sent")</f>
        <v/>
      </c>
      <c r="G2980" s="17">
        <f>IF(B2980="","","")</f>
        <v/>
      </c>
      <c r="H2980" s="17">
        <f>IF(B2980="","","")</f>
        <v/>
      </c>
      <c r="I2980" s="17">
        <f>IF(B2980="","","")</f>
        <v/>
      </c>
      <c r="J2980" s="17">
        <f>IF(B2980="","","touch_3; "&amp;IFERROR(INDEX(Clay_Offices!$A$2:$FZ$601,129,Sync!$C$10)&amp;"","")&amp;"; "&amp;IFERROR(INDEX(Clay_Offices!$A$2:$FZ$601,129,Sync!$C$9)&amp;"",""))</f>
        <v/>
      </c>
      <c r="K2980" t="inlineStr">
        <is>
          <t>office outreach touch 3</t>
        </is>
      </c>
    </row>
    <row r="2981">
      <c r="A2981" s="17">
        <f>IF(B2981="","",B2981+(14*1000+130)/10000000)</f>
        <v/>
      </c>
      <c r="B2981" s="23">
        <f>IF(AND(IFERROR(N(INDEX(Clay_Offices!$A$2:$FZ$601,130,Sync!$C$13)),0)&gt;0,IFERROR(INDEX(Clay_Offices!$A$2:$FZ$601,130,Sync!$C$5)&amp;"","")&lt;&gt;"",OR(LEFT(IFERROR(INDEX(Clay_Offices!$A$2:$FZ$601,130,Sync!$C$5)&amp;"",""),6)&lt;&gt;"SAMPLE",Config!$B$19="Y")),IFERROR(N(INDEX(Clay_Offices!$A$2:$FZ$601,130,Sync!$C$13)),0),"")</f>
        <v/>
      </c>
      <c r="C2981" s="17">
        <f>IF(B2981="","","office")</f>
        <v/>
      </c>
      <c r="D2981" s="17">
        <f>IF(B2981="","",IFERROR(INDEX(Clay_Offices!$A$2:$FZ$601,130,Sync!$C$5)&amp;"",""))</f>
        <v/>
      </c>
      <c r="E2981" s="17">
        <f>IF(B2981="","",IFERROR(INDEX(Clay_Offices!$A$2:$FZ$601,130,Sync!$C$6)&amp;"",""))</f>
        <v/>
      </c>
      <c r="F2981" s="17">
        <f>IF(B2981="","","outreach_sent")</f>
        <v/>
      </c>
      <c r="G2981" s="17">
        <f>IF(B2981="","","")</f>
        <v/>
      </c>
      <c r="H2981" s="17">
        <f>IF(B2981="","","")</f>
        <v/>
      </c>
      <c r="I2981" s="17">
        <f>IF(B2981="","","")</f>
        <v/>
      </c>
      <c r="J2981" s="17">
        <f>IF(B2981="","","touch_3; "&amp;IFERROR(INDEX(Clay_Offices!$A$2:$FZ$601,130,Sync!$C$10)&amp;"","")&amp;"; "&amp;IFERROR(INDEX(Clay_Offices!$A$2:$FZ$601,130,Sync!$C$9)&amp;"",""))</f>
        <v/>
      </c>
      <c r="K2981" t="inlineStr">
        <is>
          <t>office outreach touch 3</t>
        </is>
      </c>
    </row>
    <row r="2982">
      <c r="A2982" s="17">
        <f>IF(B2982="","",B2982+(14*1000+131)/10000000)</f>
        <v/>
      </c>
      <c r="B2982" s="23">
        <f>IF(AND(IFERROR(N(INDEX(Clay_Offices!$A$2:$FZ$601,131,Sync!$C$13)),0)&gt;0,IFERROR(INDEX(Clay_Offices!$A$2:$FZ$601,131,Sync!$C$5)&amp;"","")&lt;&gt;"",OR(LEFT(IFERROR(INDEX(Clay_Offices!$A$2:$FZ$601,131,Sync!$C$5)&amp;"",""),6)&lt;&gt;"SAMPLE",Config!$B$19="Y")),IFERROR(N(INDEX(Clay_Offices!$A$2:$FZ$601,131,Sync!$C$13)),0),"")</f>
        <v/>
      </c>
      <c r="C2982" s="17">
        <f>IF(B2982="","","office")</f>
        <v/>
      </c>
      <c r="D2982" s="17">
        <f>IF(B2982="","",IFERROR(INDEX(Clay_Offices!$A$2:$FZ$601,131,Sync!$C$5)&amp;"",""))</f>
        <v/>
      </c>
      <c r="E2982" s="17">
        <f>IF(B2982="","",IFERROR(INDEX(Clay_Offices!$A$2:$FZ$601,131,Sync!$C$6)&amp;"",""))</f>
        <v/>
      </c>
      <c r="F2982" s="17">
        <f>IF(B2982="","","outreach_sent")</f>
        <v/>
      </c>
      <c r="G2982" s="17">
        <f>IF(B2982="","","")</f>
        <v/>
      </c>
      <c r="H2982" s="17">
        <f>IF(B2982="","","")</f>
        <v/>
      </c>
      <c r="I2982" s="17">
        <f>IF(B2982="","","")</f>
        <v/>
      </c>
      <c r="J2982" s="17">
        <f>IF(B2982="","","touch_3; "&amp;IFERROR(INDEX(Clay_Offices!$A$2:$FZ$601,131,Sync!$C$10)&amp;"","")&amp;"; "&amp;IFERROR(INDEX(Clay_Offices!$A$2:$FZ$601,131,Sync!$C$9)&amp;"",""))</f>
        <v/>
      </c>
      <c r="K2982" t="inlineStr">
        <is>
          <t>office outreach touch 3</t>
        </is>
      </c>
    </row>
    <row r="2983">
      <c r="A2983" s="17">
        <f>IF(B2983="","",B2983+(14*1000+132)/10000000)</f>
        <v/>
      </c>
      <c r="B2983" s="23">
        <f>IF(AND(IFERROR(N(INDEX(Clay_Offices!$A$2:$FZ$601,132,Sync!$C$13)),0)&gt;0,IFERROR(INDEX(Clay_Offices!$A$2:$FZ$601,132,Sync!$C$5)&amp;"","")&lt;&gt;"",OR(LEFT(IFERROR(INDEX(Clay_Offices!$A$2:$FZ$601,132,Sync!$C$5)&amp;"",""),6)&lt;&gt;"SAMPLE",Config!$B$19="Y")),IFERROR(N(INDEX(Clay_Offices!$A$2:$FZ$601,132,Sync!$C$13)),0),"")</f>
        <v/>
      </c>
      <c r="C2983" s="17">
        <f>IF(B2983="","","office")</f>
        <v/>
      </c>
      <c r="D2983" s="17">
        <f>IF(B2983="","",IFERROR(INDEX(Clay_Offices!$A$2:$FZ$601,132,Sync!$C$5)&amp;"",""))</f>
        <v/>
      </c>
      <c r="E2983" s="17">
        <f>IF(B2983="","",IFERROR(INDEX(Clay_Offices!$A$2:$FZ$601,132,Sync!$C$6)&amp;"",""))</f>
        <v/>
      </c>
      <c r="F2983" s="17">
        <f>IF(B2983="","","outreach_sent")</f>
        <v/>
      </c>
      <c r="G2983" s="17">
        <f>IF(B2983="","","")</f>
        <v/>
      </c>
      <c r="H2983" s="17">
        <f>IF(B2983="","","")</f>
        <v/>
      </c>
      <c r="I2983" s="17">
        <f>IF(B2983="","","")</f>
        <v/>
      </c>
      <c r="J2983" s="17">
        <f>IF(B2983="","","touch_3; "&amp;IFERROR(INDEX(Clay_Offices!$A$2:$FZ$601,132,Sync!$C$10)&amp;"","")&amp;"; "&amp;IFERROR(INDEX(Clay_Offices!$A$2:$FZ$601,132,Sync!$C$9)&amp;"",""))</f>
        <v/>
      </c>
      <c r="K2983" t="inlineStr">
        <is>
          <t>office outreach touch 3</t>
        </is>
      </c>
    </row>
    <row r="2984">
      <c r="A2984" s="17">
        <f>IF(B2984="","",B2984+(14*1000+133)/10000000)</f>
        <v/>
      </c>
      <c r="B2984" s="23">
        <f>IF(AND(IFERROR(N(INDEX(Clay_Offices!$A$2:$FZ$601,133,Sync!$C$13)),0)&gt;0,IFERROR(INDEX(Clay_Offices!$A$2:$FZ$601,133,Sync!$C$5)&amp;"","")&lt;&gt;"",OR(LEFT(IFERROR(INDEX(Clay_Offices!$A$2:$FZ$601,133,Sync!$C$5)&amp;"",""),6)&lt;&gt;"SAMPLE",Config!$B$19="Y")),IFERROR(N(INDEX(Clay_Offices!$A$2:$FZ$601,133,Sync!$C$13)),0),"")</f>
        <v/>
      </c>
      <c r="C2984" s="17">
        <f>IF(B2984="","","office")</f>
        <v/>
      </c>
      <c r="D2984" s="17">
        <f>IF(B2984="","",IFERROR(INDEX(Clay_Offices!$A$2:$FZ$601,133,Sync!$C$5)&amp;"",""))</f>
        <v/>
      </c>
      <c r="E2984" s="17">
        <f>IF(B2984="","",IFERROR(INDEX(Clay_Offices!$A$2:$FZ$601,133,Sync!$C$6)&amp;"",""))</f>
        <v/>
      </c>
      <c r="F2984" s="17">
        <f>IF(B2984="","","outreach_sent")</f>
        <v/>
      </c>
      <c r="G2984" s="17">
        <f>IF(B2984="","","")</f>
        <v/>
      </c>
      <c r="H2984" s="17">
        <f>IF(B2984="","","")</f>
        <v/>
      </c>
      <c r="I2984" s="17">
        <f>IF(B2984="","","")</f>
        <v/>
      </c>
      <c r="J2984" s="17">
        <f>IF(B2984="","","touch_3; "&amp;IFERROR(INDEX(Clay_Offices!$A$2:$FZ$601,133,Sync!$C$10)&amp;"","")&amp;"; "&amp;IFERROR(INDEX(Clay_Offices!$A$2:$FZ$601,133,Sync!$C$9)&amp;"",""))</f>
        <v/>
      </c>
      <c r="K2984" t="inlineStr">
        <is>
          <t>office outreach touch 3</t>
        </is>
      </c>
    </row>
    <row r="2985">
      <c r="A2985" s="17">
        <f>IF(B2985="","",B2985+(14*1000+134)/10000000)</f>
        <v/>
      </c>
      <c r="B2985" s="23">
        <f>IF(AND(IFERROR(N(INDEX(Clay_Offices!$A$2:$FZ$601,134,Sync!$C$13)),0)&gt;0,IFERROR(INDEX(Clay_Offices!$A$2:$FZ$601,134,Sync!$C$5)&amp;"","")&lt;&gt;"",OR(LEFT(IFERROR(INDEX(Clay_Offices!$A$2:$FZ$601,134,Sync!$C$5)&amp;"",""),6)&lt;&gt;"SAMPLE",Config!$B$19="Y")),IFERROR(N(INDEX(Clay_Offices!$A$2:$FZ$601,134,Sync!$C$13)),0),"")</f>
        <v/>
      </c>
      <c r="C2985" s="17">
        <f>IF(B2985="","","office")</f>
        <v/>
      </c>
      <c r="D2985" s="17">
        <f>IF(B2985="","",IFERROR(INDEX(Clay_Offices!$A$2:$FZ$601,134,Sync!$C$5)&amp;"",""))</f>
        <v/>
      </c>
      <c r="E2985" s="17">
        <f>IF(B2985="","",IFERROR(INDEX(Clay_Offices!$A$2:$FZ$601,134,Sync!$C$6)&amp;"",""))</f>
        <v/>
      </c>
      <c r="F2985" s="17">
        <f>IF(B2985="","","outreach_sent")</f>
        <v/>
      </c>
      <c r="G2985" s="17">
        <f>IF(B2985="","","")</f>
        <v/>
      </c>
      <c r="H2985" s="17">
        <f>IF(B2985="","","")</f>
        <v/>
      </c>
      <c r="I2985" s="17">
        <f>IF(B2985="","","")</f>
        <v/>
      </c>
      <c r="J2985" s="17">
        <f>IF(B2985="","","touch_3; "&amp;IFERROR(INDEX(Clay_Offices!$A$2:$FZ$601,134,Sync!$C$10)&amp;"","")&amp;"; "&amp;IFERROR(INDEX(Clay_Offices!$A$2:$FZ$601,134,Sync!$C$9)&amp;"",""))</f>
        <v/>
      </c>
      <c r="K2985" t="inlineStr">
        <is>
          <t>office outreach touch 3</t>
        </is>
      </c>
    </row>
    <row r="2986">
      <c r="A2986" s="17">
        <f>IF(B2986="","",B2986+(14*1000+135)/10000000)</f>
        <v/>
      </c>
      <c r="B2986" s="23">
        <f>IF(AND(IFERROR(N(INDEX(Clay_Offices!$A$2:$FZ$601,135,Sync!$C$13)),0)&gt;0,IFERROR(INDEX(Clay_Offices!$A$2:$FZ$601,135,Sync!$C$5)&amp;"","")&lt;&gt;"",OR(LEFT(IFERROR(INDEX(Clay_Offices!$A$2:$FZ$601,135,Sync!$C$5)&amp;"",""),6)&lt;&gt;"SAMPLE",Config!$B$19="Y")),IFERROR(N(INDEX(Clay_Offices!$A$2:$FZ$601,135,Sync!$C$13)),0),"")</f>
        <v/>
      </c>
      <c r="C2986" s="17">
        <f>IF(B2986="","","office")</f>
        <v/>
      </c>
      <c r="D2986" s="17">
        <f>IF(B2986="","",IFERROR(INDEX(Clay_Offices!$A$2:$FZ$601,135,Sync!$C$5)&amp;"",""))</f>
        <v/>
      </c>
      <c r="E2986" s="17">
        <f>IF(B2986="","",IFERROR(INDEX(Clay_Offices!$A$2:$FZ$601,135,Sync!$C$6)&amp;"",""))</f>
        <v/>
      </c>
      <c r="F2986" s="17">
        <f>IF(B2986="","","outreach_sent")</f>
        <v/>
      </c>
      <c r="G2986" s="17">
        <f>IF(B2986="","","")</f>
        <v/>
      </c>
      <c r="H2986" s="17">
        <f>IF(B2986="","","")</f>
        <v/>
      </c>
      <c r="I2986" s="17">
        <f>IF(B2986="","","")</f>
        <v/>
      </c>
      <c r="J2986" s="17">
        <f>IF(B2986="","","touch_3; "&amp;IFERROR(INDEX(Clay_Offices!$A$2:$FZ$601,135,Sync!$C$10)&amp;"","")&amp;"; "&amp;IFERROR(INDEX(Clay_Offices!$A$2:$FZ$601,135,Sync!$C$9)&amp;"",""))</f>
        <v/>
      </c>
      <c r="K2986" t="inlineStr">
        <is>
          <t>office outreach touch 3</t>
        </is>
      </c>
    </row>
    <row r="2987">
      <c r="A2987" s="17">
        <f>IF(B2987="","",B2987+(14*1000+136)/10000000)</f>
        <v/>
      </c>
      <c r="B2987" s="23">
        <f>IF(AND(IFERROR(N(INDEX(Clay_Offices!$A$2:$FZ$601,136,Sync!$C$13)),0)&gt;0,IFERROR(INDEX(Clay_Offices!$A$2:$FZ$601,136,Sync!$C$5)&amp;"","")&lt;&gt;"",OR(LEFT(IFERROR(INDEX(Clay_Offices!$A$2:$FZ$601,136,Sync!$C$5)&amp;"",""),6)&lt;&gt;"SAMPLE",Config!$B$19="Y")),IFERROR(N(INDEX(Clay_Offices!$A$2:$FZ$601,136,Sync!$C$13)),0),"")</f>
        <v/>
      </c>
      <c r="C2987" s="17">
        <f>IF(B2987="","","office")</f>
        <v/>
      </c>
      <c r="D2987" s="17">
        <f>IF(B2987="","",IFERROR(INDEX(Clay_Offices!$A$2:$FZ$601,136,Sync!$C$5)&amp;"",""))</f>
        <v/>
      </c>
      <c r="E2987" s="17">
        <f>IF(B2987="","",IFERROR(INDEX(Clay_Offices!$A$2:$FZ$601,136,Sync!$C$6)&amp;"",""))</f>
        <v/>
      </c>
      <c r="F2987" s="17">
        <f>IF(B2987="","","outreach_sent")</f>
        <v/>
      </c>
      <c r="G2987" s="17">
        <f>IF(B2987="","","")</f>
        <v/>
      </c>
      <c r="H2987" s="17">
        <f>IF(B2987="","","")</f>
        <v/>
      </c>
      <c r="I2987" s="17">
        <f>IF(B2987="","","")</f>
        <v/>
      </c>
      <c r="J2987" s="17">
        <f>IF(B2987="","","touch_3; "&amp;IFERROR(INDEX(Clay_Offices!$A$2:$FZ$601,136,Sync!$C$10)&amp;"","")&amp;"; "&amp;IFERROR(INDEX(Clay_Offices!$A$2:$FZ$601,136,Sync!$C$9)&amp;"",""))</f>
        <v/>
      </c>
      <c r="K2987" t="inlineStr">
        <is>
          <t>office outreach touch 3</t>
        </is>
      </c>
    </row>
    <row r="2988">
      <c r="A2988" s="17">
        <f>IF(B2988="","",B2988+(14*1000+137)/10000000)</f>
        <v/>
      </c>
      <c r="B2988" s="23">
        <f>IF(AND(IFERROR(N(INDEX(Clay_Offices!$A$2:$FZ$601,137,Sync!$C$13)),0)&gt;0,IFERROR(INDEX(Clay_Offices!$A$2:$FZ$601,137,Sync!$C$5)&amp;"","")&lt;&gt;"",OR(LEFT(IFERROR(INDEX(Clay_Offices!$A$2:$FZ$601,137,Sync!$C$5)&amp;"",""),6)&lt;&gt;"SAMPLE",Config!$B$19="Y")),IFERROR(N(INDEX(Clay_Offices!$A$2:$FZ$601,137,Sync!$C$13)),0),"")</f>
        <v/>
      </c>
      <c r="C2988" s="17">
        <f>IF(B2988="","","office")</f>
        <v/>
      </c>
      <c r="D2988" s="17">
        <f>IF(B2988="","",IFERROR(INDEX(Clay_Offices!$A$2:$FZ$601,137,Sync!$C$5)&amp;"",""))</f>
        <v/>
      </c>
      <c r="E2988" s="17">
        <f>IF(B2988="","",IFERROR(INDEX(Clay_Offices!$A$2:$FZ$601,137,Sync!$C$6)&amp;"",""))</f>
        <v/>
      </c>
      <c r="F2988" s="17">
        <f>IF(B2988="","","outreach_sent")</f>
        <v/>
      </c>
      <c r="G2988" s="17">
        <f>IF(B2988="","","")</f>
        <v/>
      </c>
      <c r="H2988" s="17">
        <f>IF(B2988="","","")</f>
        <v/>
      </c>
      <c r="I2988" s="17">
        <f>IF(B2988="","","")</f>
        <v/>
      </c>
      <c r="J2988" s="17">
        <f>IF(B2988="","","touch_3; "&amp;IFERROR(INDEX(Clay_Offices!$A$2:$FZ$601,137,Sync!$C$10)&amp;"","")&amp;"; "&amp;IFERROR(INDEX(Clay_Offices!$A$2:$FZ$601,137,Sync!$C$9)&amp;"",""))</f>
        <v/>
      </c>
      <c r="K2988" t="inlineStr">
        <is>
          <t>office outreach touch 3</t>
        </is>
      </c>
    </row>
    <row r="2989">
      <c r="A2989" s="17">
        <f>IF(B2989="","",B2989+(14*1000+138)/10000000)</f>
        <v/>
      </c>
      <c r="B2989" s="23">
        <f>IF(AND(IFERROR(N(INDEX(Clay_Offices!$A$2:$FZ$601,138,Sync!$C$13)),0)&gt;0,IFERROR(INDEX(Clay_Offices!$A$2:$FZ$601,138,Sync!$C$5)&amp;"","")&lt;&gt;"",OR(LEFT(IFERROR(INDEX(Clay_Offices!$A$2:$FZ$601,138,Sync!$C$5)&amp;"",""),6)&lt;&gt;"SAMPLE",Config!$B$19="Y")),IFERROR(N(INDEX(Clay_Offices!$A$2:$FZ$601,138,Sync!$C$13)),0),"")</f>
        <v/>
      </c>
      <c r="C2989" s="17">
        <f>IF(B2989="","","office")</f>
        <v/>
      </c>
      <c r="D2989" s="17">
        <f>IF(B2989="","",IFERROR(INDEX(Clay_Offices!$A$2:$FZ$601,138,Sync!$C$5)&amp;"",""))</f>
        <v/>
      </c>
      <c r="E2989" s="17">
        <f>IF(B2989="","",IFERROR(INDEX(Clay_Offices!$A$2:$FZ$601,138,Sync!$C$6)&amp;"",""))</f>
        <v/>
      </c>
      <c r="F2989" s="17">
        <f>IF(B2989="","","outreach_sent")</f>
        <v/>
      </c>
      <c r="G2989" s="17">
        <f>IF(B2989="","","")</f>
        <v/>
      </c>
      <c r="H2989" s="17">
        <f>IF(B2989="","","")</f>
        <v/>
      </c>
      <c r="I2989" s="17">
        <f>IF(B2989="","","")</f>
        <v/>
      </c>
      <c r="J2989" s="17">
        <f>IF(B2989="","","touch_3; "&amp;IFERROR(INDEX(Clay_Offices!$A$2:$FZ$601,138,Sync!$C$10)&amp;"","")&amp;"; "&amp;IFERROR(INDEX(Clay_Offices!$A$2:$FZ$601,138,Sync!$C$9)&amp;"",""))</f>
        <v/>
      </c>
      <c r="K2989" t="inlineStr">
        <is>
          <t>office outreach touch 3</t>
        </is>
      </c>
    </row>
    <row r="2990">
      <c r="A2990" s="17">
        <f>IF(B2990="","",B2990+(14*1000+139)/10000000)</f>
        <v/>
      </c>
      <c r="B2990" s="23">
        <f>IF(AND(IFERROR(N(INDEX(Clay_Offices!$A$2:$FZ$601,139,Sync!$C$13)),0)&gt;0,IFERROR(INDEX(Clay_Offices!$A$2:$FZ$601,139,Sync!$C$5)&amp;"","")&lt;&gt;"",OR(LEFT(IFERROR(INDEX(Clay_Offices!$A$2:$FZ$601,139,Sync!$C$5)&amp;"",""),6)&lt;&gt;"SAMPLE",Config!$B$19="Y")),IFERROR(N(INDEX(Clay_Offices!$A$2:$FZ$601,139,Sync!$C$13)),0),"")</f>
        <v/>
      </c>
      <c r="C2990" s="17">
        <f>IF(B2990="","","office")</f>
        <v/>
      </c>
      <c r="D2990" s="17">
        <f>IF(B2990="","",IFERROR(INDEX(Clay_Offices!$A$2:$FZ$601,139,Sync!$C$5)&amp;"",""))</f>
        <v/>
      </c>
      <c r="E2990" s="17">
        <f>IF(B2990="","",IFERROR(INDEX(Clay_Offices!$A$2:$FZ$601,139,Sync!$C$6)&amp;"",""))</f>
        <v/>
      </c>
      <c r="F2990" s="17">
        <f>IF(B2990="","","outreach_sent")</f>
        <v/>
      </c>
      <c r="G2990" s="17">
        <f>IF(B2990="","","")</f>
        <v/>
      </c>
      <c r="H2990" s="17">
        <f>IF(B2990="","","")</f>
        <v/>
      </c>
      <c r="I2990" s="17">
        <f>IF(B2990="","","")</f>
        <v/>
      </c>
      <c r="J2990" s="17">
        <f>IF(B2990="","","touch_3; "&amp;IFERROR(INDEX(Clay_Offices!$A$2:$FZ$601,139,Sync!$C$10)&amp;"","")&amp;"; "&amp;IFERROR(INDEX(Clay_Offices!$A$2:$FZ$601,139,Sync!$C$9)&amp;"",""))</f>
        <v/>
      </c>
      <c r="K2990" t="inlineStr">
        <is>
          <t>office outreach touch 3</t>
        </is>
      </c>
    </row>
    <row r="2991">
      <c r="A2991" s="17">
        <f>IF(B2991="","",B2991+(14*1000+140)/10000000)</f>
        <v/>
      </c>
      <c r="B2991" s="23">
        <f>IF(AND(IFERROR(N(INDEX(Clay_Offices!$A$2:$FZ$601,140,Sync!$C$13)),0)&gt;0,IFERROR(INDEX(Clay_Offices!$A$2:$FZ$601,140,Sync!$C$5)&amp;"","")&lt;&gt;"",OR(LEFT(IFERROR(INDEX(Clay_Offices!$A$2:$FZ$601,140,Sync!$C$5)&amp;"",""),6)&lt;&gt;"SAMPLE",Config!$B$19="Y")),IFERROR(N(INDEX(Clay_Offices!$A$2:$FZ$601,140,Sync!$C$13)),0),"")</f>
        <v/>
      </c>
      <c r="C2991" s="17">
        <f>IF(B2991="","","office")</f>
        <v/>
      </c>
      <c r="D2991" s="17">
        <f>IF(B2991="","",IFERROR(INDEX(Clay_Offices!$A$2:$FZ$601,140,Sync!$C$5)&amp;"",""))</f>
        <v/>
      </c>
      <c r="E2991" s="17">
        <f>IF(B2991="","",IFERROR(INDEX(Clay_Offices!$A$2:$FZ$601,140,Sync!$C$6)&amp;"",""))</f>
        <v/>
      </c>
      <c r="F2991" s="17">
        <f>IF(B2991="","","outreach_sent")</f>
        <v/>
      </c>
      <c r="G2991" s="17">
        <f>IF(B2991="","","")</f>
        <v/>
      </c>
      <c r="H2991" s="17">
        <f>IF(B2991="","","")</f>
        <v/>
      </c>
      <c r="I2991" s="17">
        <f>IF(B2991="","","")</f>
        <v/>
      </c>
      <c r="J2991" s="17">
        <f>IF(B2991="","","touch_3; "&amp;IFERROR(INDEX(Clay_Offices!$A$2:$FZ$601,140,Sync!$C$10)&amp;"","")&amp;"; "&amp;IFERROR(INDEX(Clay_Offices!$A$2:$FZ$601,140,Sync!$C$9)&amp;"",""))</f>
        <v/>
      </c>
      <c r="K2991" t="inlineStr">
        <is>
          <t>office outreach touch 3</t>
        </is>
      </c>
    </row>
    <row r="2992">
      <c r="A2992" s="17">
        <f>IF(B2992="","",B2992+(14*1000+141)/10000000)</f>
        <v/>
      </c>
      <c r="B2992" s="23">
        <f>IF(AND(IFERROR(N(INDEX(Clay_Offices!$A$2:$FZ$601,141,Sync!$C$13)),0)&gt;0,IFERROR(INDEX(Clay_Offices!$A$2:$FZ$601,141,Sync!$C$5)&amp;"","")&lt;&gt;"",OR(LEFT(IFERROR(INDEX(Clay_Offices!$A$2:$FZ$601,141,Sync!$C$5)&amp;"",""),6)&lt;&gt;"SAMPLE",Config!$B$19="Y")),IFERROR(N(INDEX(Clay_Offices!$A$2:$FZ$601,141,Sync!$C$13)),0),"")</f>
        <v/>
      </c>
      <c r="C2992" s="17">
        <f>IF(B2992="","","office")</f>
        <v/>
      </c>
      <c r="D2992" s="17">
        <f>IF(B2992="","",IFERROR(INDEX(Clay_Offices!$A$2:$FZ$601,141,Sync!$C$5)&amp;"",""))</f>
        <v/>
      </c>
      <c r="E2992" s="17">
        <f>IF(B2992="","",IFERROR(INDEX(Clay_Offices!$A$2:$FZ$601,141,Sync!$C$6)&amp;"",""))</f>
        <v/>
      </c>
      <c r="F2992" s="17">
        <f>IF(B2992="","","outreach_sent")</f>
        <v/>
      </c>
      <c r="G2992" s="17">
        <f>IF(B2992="","","")</f>
        <v/>
      </c>
      <c r="H2992" s="17">
        <f>IF(B2992="","","")</f>
        <v/>
      </c>
      <c r="I2992" s="17">
        <f>IF(B2992="","","")</f>
        <v/>
      </c>
      <c r="J2992" s="17">
        <f>IF(B2992="","","touch_3; "&amp;IFERROR(INDEX(Clay_Offices!$A$2:$FZ$601,141,Sync!$C$10)&amp;"","")&amp;"; "&amp;IFERROR(INDEX(Clay_Offices!$A$2:$FZ$601,141,Sync!$C$9)&amp;"",""))</f>
        <v/>
      </c>
      <c r="K2992" t="inlineStr">
        <is>
          <t>office outreach touch 3</t>
        </is>
      </c>
    </row>
    <row r="2993">
      <c r="A2993" s="17">
        <f>IF(B2993="","",B2993+(14*1000+142)/10000000)</f>
        <v/>
      </c>
      <c r="B2993" s="23">
        <f>IF(AND(IFERROR(N(INDEX(Clay_Offices!$A$2:$FZ$601,142,Sync!$C$13)),0)&gt;0,IFERROR(INDEX(Clay_Offices!$A$2:$FZ$601,142,Sync!$C$5)&amp;"","")&lt;&gt;"",OR(LEFT(IFERROR(INDEX(Clay_Offices!$A$2:$FZ$601,142,Sync!$C$5)&amp;"",""),6)&lt;&gt;"SAMPLE",Config!$B$19="Y")),IFERROR(N(INDEX(Clay_Offices!$A$2:$FZ$601,142,Sync!$C$13)),0),"")</f>
        <v/>
      </c>
      <c r="C2993" s="17">
        <f>IF(B2993="","","office")</f>
        <v/>
      </c>
      <c r="D2993" s="17">
        <f>IF(B2993="","",IFERROR(INDEX(Clay_Offices!$A$2:$FZ$601,142,Sync!$C$5)&amp;"",""))</f>
        <v/>
      </c>
      <c r="E2993" s="17">
        <f>IF(B2993="","",IFERROR(INDEX(Clay_Offices!$A$2:$FZ$601,142,Sync!$C$6)&amp;"",""))</f>
        <v/>
      </c>
      <c r="F2993" s="17">
        <f>IF(B2993="","","outreach_sent")</f>
        <v/>
      </c>
      <c r="G2993" s="17">
        <f>IF(B2993="","","")</f>
        <v/>
      </c>
      <c r="H2993" s="17">
        <f>IF(B2993="","","")</f>
        <v/>
      </c>
      <c r="I2993" s="17">
        <f>IF(B2993="","","")</f>
        <v/>
      </c>
      <c r="J2993" s="17">
        <f>IF(B2993="","","touch_3; "&amp;IFERROR(INDEX(Clay_Offices!$A$2:$FZ$601,142,Sync!$C$10)&amp;"","")&amp;"; "&amp;IFERROR(INDEX(Clay_Offices!$A$2:$FZ$601,142,Sync!$C$9)&amp;"",""))</f>
        <v/>
      </c>
      <c r="K2993" t="inlineStr">
        <is>
          <t>office outreach touch 3</t>
        </is>
      </c>
    </row>
    <row r="2994">
      <c r="A2994" s="17">
        <f>IF(B2994="","",B2994+(14*1000+143)/10000000)</f>
        <v/>
      </c>
      <c r="B2994" s="23">
        <f>IF(AND(IFERROR(N(INDEX(Clay_Offices!$A$2:$FZ$601,143,Sync!$C$13)),0)&gt;0,IFERROR(INDEX(Clay_Offices!$A$2:$FZ$601,143,Sync!$C$5)&amp;"","")&lt;&gt;"",OR(LEFT(IFERROR(INDEX(Clay_Offices!$A$2:$FZ$601,143,Sync!$C$5)&amp;"",""),6)&lt;&gt;"SAMPLE",Config!$B$19="Y")),IFERROR(N(INDEX(Clay_Offices!$A$2:$FZ$601,143,Sync!$C$13)),0),"")</f>
        <v/>
      </c>
      <c r="C2994" s="17">
        <f>IF(B2994="","","office")</f>
        <v/>
      </c>
      <c r="D2994" s="17">
        <f>IF(B2994="","",IFERROR(INDEX(Clay_Offices!$A$2:$FZ$601,143,Sync!$C$5)&amp;"",""))</f>
        <v/>
      </c>
      <c r="E2994" s="17">
        <f>IF(B2994="","",IFERROR(INDEX(Clay_Offices!$A$2:$FZ$601,143,Sync!$C$6)&amp;"",""))</f>
        <v/>
      </c>
      <c r="F2994" s="17">
        <f>IF(B2994="","","outreach_sent")</f>
        <v/>
      </c>
      <c r="G2994" s="17">
        <f>IF(B2994="","","")</f>
        <v/>
      </c>
      <c r="H2994" s="17">
        <f>IF(B2994="","","")</f>
        <v/>
      </c>
      <c r="I2994" s="17">
        <f>IF(B2994="","","")</f>
        <v/>
      </c>
      <c r="J2994" s="17">
        <f>IF(B2994="","","touch_3; "&amp;IFERROR(INDEX(Clay_Offices!$A$2:$FZ$601,143,Sync!$C$10)&amp;"","")&amp;"; "&amp;IFERROR(INDEX(Clay_Offices!$A$2:$FZ$601,143,Sync!$C$9)&amp;"",""))</f>
        <v/>
      </c>
      <c r="K2994" t="inlineStr">
        <is>
          <t>office outreach touch 3</t>
        </is>
      </c>
    </row>
    <row r="2995">
      <c r="A2995" s="17">
        <f>IF(B2995="","",B2995+(14*1000+144)/10000000)</f>
        <v/>
      </c>
      <c r="B2995" s="23">
        <f>IF(AND(IFERROR(N(INDEX(Clay_Offices!$A$2:$FZ$601,144,Sync!$C$13)),0)&gt;0,IFERROR(INDEX(Clay_Offices!$A$2:$FZ$601,144,Sync!$C$5)&amp;"","")&lt;&gt;"",OR(LEFT(IFERROR(INDEX(Clay_Offices!$A$2:$FZ$601,144,Sync!$C$5)&amp;"",""),6)&lt;&gt;"SAMPLE",Config!$B$19="Y")),IFERROR(N(INDEX(Clay_Offices!$A$2:$FZ$601,144,Sync!$C$13)),0),"")</f>
        <v/>
      </c>
      <c r="C2995" s="17">
        <f>IF(B2995="","","office")</f>
        <v/>
      </c>
      <c r="D2995" s="17">
        <f>IF(B2995="","",IFERROR(INDEX(Clay_Offices!$A$2:$FZ$601,144,Sync!$C$5)&amp;"",""))</f>
        <v/>
      </c>
      <c r="E2995" s="17">
        <f>IF(B2995="","",IFERROR(INDEX(Clay_Offices!$A$2:$FZ$601,144,Sync!$C$6)&amp;"",""))</f>
        <v/>
      </c>
      <c r="F2995" s="17">
        <f>IF(B2995="","","outreach_sent")</f>
        <v/>
      </c>
      <c r="G2995" s="17">
        <f>IF(B2995="","","")</f>
        <v/>
      </c>
      <c r="H2995" s="17">
        <f>IF(B2995="","","")</f>
        <v/>
      </c>
      <c r="I2995" s="17">
        <f>IF(B2995="","","")</f>
        <v/>
      </c>
      <c r="J2995" s="17">
        <f>IF(B2995="","","touch_3; "&amp;IFERROR(INDEX(Clay_Offices!$A$2:$FZ$601,144,Sync!$C$10)&amp;"","")&amp;"; "&amp;IFERROR(INDEX(Clay_Offices!$A$2:$FZ$601,144,Sync!$C$9)&amp;"",""))</f>
        <v/>
      </c>
      <c r="K2995" t="inlineStr">
        <is>
          <t>office outreach touch 3</t>
        </is>
      </c>
    </row>
    <row r="2996">
      <c r="A2996" s="17">
        <f>IF(B2996="","",B2996+(14*1000+145)/10000000)</f>
        <v/>
      </c>
      <c r="B2996" s="23">
        <f>IF(AND(IFERROR(N(INDEX(Clay_Offices!$A$2:$FZ$601,145,Sync!$C$13)),0)&gt;0,IFERROR(INDEX(Clay_Offices!$A$2:$FZ$601,145,Sync!$C$5)&amp;"","")&lt;&gt;"",OR(LEFT(IFERROR(INDEX(Clay_Offices!$A$2:$FZ$601,145,Sync!$C$5)&amp;"",""),6)&lt;&gt;"SAMPLE",Config!$B$19="Y")),IFERROR(N(INDEX(Clay_Offices!$A$2:$FZ$601,145,Sync!$C$13)),0),"")</f>
        <v/>
      </c>
      <c r="C2996" s="17">
        <f>IF(B2996="","","office")</f>
        <v/>
      </c>
      <c r="D2996" s="17">
        <f>IF(B2996="","",IFERROR(INDEX(Clay_Offices!$A$2:$FZ$601,145,Sync!$C$5)&amp;"",""))</f>
        <v/>
      </c>
      <c r="E2996" s="17">
        <f>IF(B2996="","",IFERROR(INDEX(Clay_Offices!$A$2:$FZ$601,145,Sync!$C$6)&amp;"",""))</f>
        <v/>
      </c>
      <c r="F2996" s="17">
        <f>IF(B2996="","","outreach_sent")</f>
        <v/>
      </c>
      <c r="G2996" s="17">
        <f>IF(B2996="","","")</f>
        <v/>
      </c>
      <c r="H2996" s="17">
        <f>IF(B2996="","","")</f>
        <v/>
      </c>
      <c r="I2996" s="17">
        <f>IF(B2996="","","")</f>
        <v/>
      </c>
      <c r="J2996" s="17">
        <f>IF(B2996="","","touch_3; "&amp;IFERROR(INDEX(Clay_Offices!$A$2:$FZ$601,145,Sync!$C$10)&amp;"","")&amp;"; "&amp;IFERROR(INDEX(Clay_Offices!$A$2:$FZ$601,145,Sync!$C$9)&amp;"",""))</f>
        <v/>
      </c>
      <c r="K2996" t="inlineStr">
        <is>
          <t>office outreach touch 3</t>
        </is>
      </c>
    </row>
    <row r="2997">
      <c r="A2997" s="17">
        <f>IF(B2997="","",B2997+(14*1000+146)/10000000)</f>
        <v/>
      </c>
      <c r="B2997" s="23">
        <f>IF(AND(IFERROR(N(INDEX(Clay_Offices!$A$2:$FZ$601,146,Sync!$C$13)),0)&gt;0,IFERROR(INDEX(Clay_Offices!$A$2:$FZ$601,146,Sync!$C$5)&amp;"","")&lt;&gt;"",OR(LEFT(IFERROR(INDEX(Clay_Offices!$A$2:$FZ$601,146,Sync!$C$5)&amp;"",""),6)&lt;&gt;"SAMPLE",Config!$B$19="Y")),IFERROR(N(INDEX(Clay_Offices!$A$2:$FZ$601,146,Sync!$C$13)),0),"")</f>
        <v/>
      </c>
      <c r="C2997" s="17">
        <f>IF(B2997="","","office")</f>
        <v/>
      </c>
      <c r="D2997" s="17">
        <f>IF(B2997="","",IFERROR(INDEX(Clay_Offices!$A$2:$FZ$601,146,Sync!$C$5)&amp;"",""))</f>
        <v/>
      </c>
      <c r="E2997" s="17">
        <f>IF(B2997="","",IFERROR(INDEX(Clay_Offices!$A$2:$FZ$601,146,Sync!$C$6)&amp;"",""))</f>
        <v/>
      </c>
      <c r="F2997" s="17">
        <f>IF(B2997="","","outreach_sent")</f>
        <v/>
      </c>
      <c r="G2997" s="17">
        <f>IF(B2997="","","")</f>
        <v/>
      </c>
      <c r="H2997" s="17">
        <f>IF(B2997="","","")</f>
        <v/>
      </c>
      <c r="I2997" s="17">
        <f>IF(B2997="","","")</f>
        <v/>
      </c>
      <c r="J2997" s="17">
        <f>IF(B2997="","","touch_3; "&amp;IFERROR(INDEX(Clay_Offices!$A$2:$FZ$601,146,Sync!$C$10)&amp;"","")&amp;"; "&amp;IFERROR(INDEX(Clay_Offices!$A$2:$FZ$601,146,Sync!$C$9)&amp;"",""))</f>
        <v/>
      </c>
      <c r="K2997" t="inlineStr">
        <is>
          <t>office outreach touch 3</t>
        </is>
      </c>
    </row>
    <row r="2998">
      <c r="A2998" s="17">
        <f>IF(B2998="","",B2998+(14*1000+147)/10000000)</f>
        <v/>
      </c>
      <c r="B2998" s="23">
        <f>IF(AND(IFERROR(N(INDEX(Clay_Offices!$A$2:$FZ$601,147,Sync!$C$13)),0)&gt;0,IFERROR(INDEX(Clay_Offices!$A$2:$FZ$601,147,Sync!$C$5)&amp;"","")&lt;&gt;"",OR(LEFT(IFERROR(INDEX(Clay_Offices!$A$2:$FZ$601,147,Sync!$C$5)&amp;"",""),6)&lt;&gt;"SAMPLE",Config!$B$19="Y")),IFERROR(N(INDEX(Clay_Offices!$A$2:$FZ$601,147,Sync!$C$13)),0),"")</f>
        <v/>
      </c>
      <c r="C2998" s="17">
        <f>IF(B2998="","","office")</f>
        <v/>
      </c>
      <c r="D2998" s="17">
        <f>IF(B2998="","",IFERROR(INDEX(Clay_Offices!$A$2:$FZ$601,147,Sync!$C$5)&amp;"",""))</f>
        <v/>
      </c>
      <c r="E2998" s="17">
        <f>IF(B2998="","",IFERROR(INDEX(Clay_Offices!$A$2:$FZ$601,147,Sync!$C$6)&amp;"",""))</f>
        <v/>
      </c>
      <c r="F2998" s="17">
        <f>IF(B2998="","","outreach_sent")</f>
        <v/>
      </c>
      <c r="G2998" s="17">
        <f>IF(B2998="","","")</f>
        <v/>
      </c>
      <c r="H2998" s="17">
        <f>IF(B2998="","","")</f>
        <v/>
      </c>
      <c r="I2998" s="17">
        <f>IF(B2998="","","")</f>
        <v/>
      </c>
      <c r="J2998" s="17">
        <f>IF(B2998="","","touch_3; "&amp;IFERROR(INDEX(Clay_Offices!$A$2:$FZ$601,147,Sync!$C$10)&amp;"","")&amp;"; "&amp;IFERROR(INDEX(Clay_Offices!$A$2:$FZ$601,147,Sync!$C$9)&amp;"",""))</f>
        <v/>
      </c>
      <c r="K2998" t="inlineStr">
        <is>
          <t>office outreach touch 3</t>
        </is>
      </c>
    </row>
    <row r="2999">
      <c r="A2999" s="17">
        <f>IF(B2999="","",B2999+(14*1000+148)/10000000)</f>
        <v/>
      </c>
      <c r="B2999" s="23">
        <f>IF(AND(IFERROR(N(INDEX(Clay_Offices!$A$2:$FZ$601,148,Sync!$C$13)),0)&gt;0,IFERROR(INDEX(Clay_Offices!$A$2:$FZ$601,148,Sync!$C$5)&amp;"","")&lt;&gt;"",OR(LEFT(IFERROR(INDEX(Clay_Offices!$A$2:$FZ$601,148,Sync!$C$5)&amp;"",""),6)&lt;&gt;"SAMPLE",Config!$B$19="Y")),IFERROR(N(INDEX(Clay_Offices!$A$2:$FZ$601,148,Sync!$C$13)),0),"")</f>
        <v/>
      </c>
      <c r="C2999" s="17">
        <f>IF(B2999="","","office")</f>
        <v/>
      </c>
      <c r="D2999" s="17">
        <f>IF(B2999="","",IFERROR(INDEX(Clay_Offices!$A$2:$FZ$601,148,Sync!$C$5)&amp;"",""))</f>
        <v/>
      </c>
      <c r="E2999" s="17">
        <f>IF(B2999="","",IFERROR(INDEX(Clay_Offices!$A$2:$FZ$601,148,Sync!$C$6)&amp;"",""))</f>
        <v/>
      </c>
      <c r="F2999" s="17">
        <f>IF(B2999="","","outreach_sent")</f>
        <v/>
      </c>
      <c r="G2999" s="17">
        <f>IF(B2999="","","")</f>
        <v/>
      </c>
      <c r="H2999" s="17">
        <f>IF(B2999="","","")</f>
        <v/>
      </c>
      <c r="I2999" s="17">
        <f>IF(B2999="","","")</f>
        <v/>
      </c>
      <c r="J2999" s="17">
        <f>IF(B2999="","","touch_3; "&amp;IFERROR(INDEX(Clay_Offices!$A$2:$FZ$601,148,Sync!$C$10)&amp;"","")&amp;"; "&amp;IFERROR(INDEX(Clay_Offices!$A$2:$FZ$601,148,Sync!$C$9)&amp;"",""))</f>
        <v/>
      </c>
      <c r="K2999" t="inlineStr">
        <is>
          <t>office outreach touch 3</t>
        </is>
      </c>
    </row>
    <row r="3000">
      <c r="A3000" s="17">
        <f>IF(B3000="","",B3000+(14*1000+149)/10000000)</f>
        <v/>
      </c>
      <c r="B3000" s="23">
        <f>IF(AND(IFERROR(N(INDEX(Clay_Offices!$A$2:$FZ$601,149,Sync!$C$13)),0)&gt;0,IFERROR(INDEX(Clay_Offices!$A$2:$FZ$601,149,Sync!$C$5)&amp;"","")&lt;&gt;"",OR(LEFT(IFERROR(INDEX(Clay_Offices!$A$2:$FZ$601,149,Sync!$C$5)&amp;"",""),6)&lt;&gt;"SAMPLE",Config!$B$19="Y")),IFERROR(N(INDEX(Clay_Offices!$A$2:$FZ$601,149,Sync!$C$13)),0),"")</f>
        <v/>
      </c>
      <c r="C3000" s="17">
        <f>IF(B3000="","","office")</f>
        <v/>
      </c>
      <c r="D3000" s="17">
        <f>IF(B3000="","",IFERROR(INDEX(Clay_Offices!$A$2:$FZ$601,149,Sync!$C$5)&amp;"",""))</f>
        <v/>
      </c>
      <c r="E3000" s="17">
        <f>IF(B3000="","",IFERROR(INDEX(Clay_Offices!$A$2:$FZ$601,149,Sync!$C$6)&amp;"",""))</f>
        <v/>
      </c>
      <c r="F3000" s="17">
        <f>IF(B3000="","","outreach_sent")</f>
        <v/>
      </c>
      <c r="G3000" s="17">
        <f>IF(B3000="","","")</f>
        <v/>
      </c>
      <c r="H3000" s="17">
        <f>IF(B3000="","","")</f>
        <v/>
      </c>
      <c r="I3000" s="17">
        <f>IF(B3000="","","")</f>
        <v/>
      </c>
      <c r="J3000" s="17">
        <f>IF(B3000="","","touch_3; "&amp;IFERROR(INDEX(Clay_Offices!$A$2:$FZ$601,149,Sync!$C$10)&amp;"","")&amp;"; "&amp;IFERROR(INDEX(Clay_Offices!$A$2:$FZ$601,149,Sync!$C$9)&amp;"",""))</f>
        <v/>
      </c>
      <c r="K3000" t="inlineStr">
        <is>
          <t>office outreach touch 3</t>
        </is>
      </c>
    </row>
    <row r="3001">
      <c r="A3001" s="17">
        <f>IF(B3001="","",B3001+(14*1000+150)/10000000)</f>
        <v/>
      </c>
      <c r="B3001" s="23">
        <f>IF(AND(IFERROR(N(INDEX(Clay_Offices!$A$2:$FZ$601,150,Sync!$C$13)),0)&gt;0,IFERROR(INDEX(Clay_Offices!$A$2:$FZ$601,150,Sync!$C$5)&amp;"","")&lt;&gt;"",OR(LEFT(IFERROR(INDEX(Clay_Offices!$A$2:$FZ$601,150,Sync!$C$5)&amp;"",""),6)&lt;&gt;"SAMPLE",Config!$B$19="Y")),IFERROR(N(INDEX(Clay_Offices!$A$2:$FZ$601,150,Sync!$C$13)),0),"")</f>
        <v/>
      </c>
      <c r="C3001" s="17">
        <f>IF(B3001="","","office")</f>
        <v/>
      </c>
      <c r="D3001" s="17">
        <f>IF(B3001="","",IFERROR(INDEX(Clay_Offices!$A$2:$FZ$601,150,Sync!$C$5)&amp;"",""))</f>
        <v/>
      </c>
      <c r="E3001" s="17">
        <f>IF(B3001="","",IFERROR(INDEX(Clay_Offices!$A$2:$FZ$601,150,Sync!$C$6)&amp;"",""))</f>
        <v/>
      </c>
      <c r="F3001" s="17">
        <f>IF(B3001="","","outreach_sent")</f>
        <v/>
      </c>
      <c r="G3001" s="17">
        <f>IF(B3001="","","")</f>
        <v/>
      </c>
      <c r="H3001" s="17">
        <f>IF(B3001="","","")</f>
        <v/>
      </c>
      <c r="I3001" s="17">
        <f>IF(B3001="","","")</f>
        <v/>
      </c>
      <c r="J3001" s="17">
        <f>IF(B3001="","","touch_3; "&amp;IFERROR(INDEX(Clay_Offices!$A$2:$FZ$601,150,Sync!$C$10)&amp;"","")&amp;"; "&amp;IFERROR(INDEX(Clay_Offices!$A$2:$FZ$601,150,Sync!$C$9)&amp;"",""))</f>
        <v/>
      </c>
      <c r="K3001" t="inlineStr">
        <is>
          <t>office outreach touch 3</t>
        </is>
      </c>
    </row>
    <row r="3002">
      <c r="A3002" s="17">
        <f>IF(B3002="","",B3002+(14*1000+151)/10000000)</f>
        <v/>
      </c>
      <c r="B3002" s="23">
        <f>IF(AND(IFERROR(N(INDEX(Clay_Offices!$A$2:$FZ$601,151,Sync!$C$13)),0)&gt;0,IFERROR(INDEX(Clay_Offices!$A$2:$FZ$601,151,Sync!$C$5)&amp;"","")&lt;&gt;"",OR(LEFT(IFERROR(INDEX(Clay_Offices!$A$2:$FZ$601,151,Sync!$C$5)&amp;"",""),6)&lt;&gt;"SAMPLE",Config!$B$19="Y")),IFERROR(N(INDEX(Clay_Offices!$A$2:$FZ$601,151,Sync!$C$13)),0),"")</f>
        <v/>
      </c>
      <c r="C3002" s="17">
        <f>IF(B3002="","","office")</f>
        <v/>
      </c>
      <c r="D3002" s="17">
        <f>IF(B3002="","",IFERROR(INDEX(Clay_Offices!$A$2:$FZ$601,151,Sync!$C$5)&amp;"",""))</f>
        <v/>
      </c>
      <c r="E3002" s="17">
        <f>IF(B3002="","",IFERROR(INDEX(Clay_Offices!$A$2:$FZ$601,151,Sync!$C$6)&amp;"",""))</f>
        <v/>
      </c>
      <c r="F3002" s="17">
        <f>IF(B3002="","","outreach_sent")</f>
        <v/>
      </c>
      <c r="G3002" s="17">
        <f>IF(B3002="","","")</f>
        <v/>
      </c>
      <c r="H3002" s="17">
        <f>IF(B3002="","","")</f>
        <v/>
      </c>
      <c r="I3002" s="17">
        <f>IF(B3002="","","")</f>
        <v/>
      </c>
      <c r="J3002" s="17">
        <f>IF(B3002="","","touch_3; "&amp;IFERROR(INDEX(Clay_Offices!$A$2:$FZ$601,151,Sync!$C$10)&amp;"","")&amp;"; "&amp;IFERROR(INDEX(Clay_Offices!$A$2:$FZ$601,151,Sync!$C$9)&amp;"",""))</f>
        <v/>
      </c>
      <c r="K3002" t="inlineStr">
        <is>
          <t>office outreach touch 3</t>
        </is>
      </c>
    </row>
    <row r="3003">
      <c r="A3003" s="17">
        <f>IF(B3003="","",B3003+(14*1000+152)/10000000)</f>
        <v/>
      </c>
      <c r="B3003" s="23">
        <f>IF(AND(IFERROR(N(INDEX(Clay_Offices!$A$2:$FZ$601,152,Sync!$C$13)),0)&gt;0,IFERROR(INDEX(Clay_Offices!$A$2:$FZ$601,152,Sync!$C$5)&amp;"","")&lt;&gt;"",OR(LEFT(IFERROR(INDEX(Clay_Offices!$A$2:$FZ$601,152,Sync!$C$5)&amp;"",""),6)&lt;&gt;"SAMPLE",Config!$B$19="Y")),IFERROR(N(INDEX(Clay_Offices!$A$2:$FZ$601,152,Sync!$C$13)),0),"")</f>
        <v/>
      </c>
      <c r="C3003" s="17">
        <f>IF(B3003="","","office")</f>
        <v/>
      </c>
      <c r="D3003" s="17">
        <f>IF(B3003="","",IFERROR(INDEX(Clay_Offices!$A$2:$FZ$601,152,Sync!$C$5)&amp;"",""))</f>
        <v/>
      </c>
      <c r="E3003" s="17">
        <f>IF(B3003="","",IFERROR(INDEX(Clay_Offices!$A$2:$FZ$601,152,Sync!$C$6)&amp;"",""))</f>
        <v/>
      </c>
      <c r="F3003" s="17">
        <f>IF(B3003="","","outreach_sent")</f>
        <v/>
      </c>
      <c r="G3003" s="17">
        <f>IF(B3003="","","")</f>
        <v/>
      </c>
      <c r="H3003" s="17">
        <f>IF(B3003="","","")</f>
        <v/>
      </c>
      <c r="I3003" s="17">
        <f>IF(B3003="","","")</f>
        <v/>
      </c>
      <c r="J3003" s="17">
        <f>IF(B3003="","","touch_3; "&amp;IFERROR(INDEX(Clay_Offices!$A$2:$FZ$601,152,Sync!$C$10)&amp;"","")&amp;"; "&amp;IFERROR(INDEX(Clay_Offices!$A$2:$FZ$601,152,Sync!$C$9)&amp;"",""))</f>
        <v/>
      </c>
      <c r="K3003" t="inlineStr">
        <is>
          <t>office outreach touch 3</t>
        </is>
      </c>
    </row>
    <row r="3004">
      <c r="A3004" s="17">
        <f>IF(B3004="","",B3004+(14*1000+153)/10000000)</f>
        <v/>
      </c>
      <c r="B3004" s="23">
        <f>IF(AND(IFERROR(N(INDEX(Clay_Offices!$A$2:$FZ$601,153,Sync!$C$13)),0)&gt;0,IFERROR(INDEX(Clay_Offices!$A$2:$FZ$601,153,Sync!$C$5)&amp;"","")&lt;&gt;"",OR(LEFT(IFERROR(INDEX(Clay_Offices!$A$2:$FZ$601,153,Sync!$C$5)&amp;"",""),6)&lt;&gt;"SAMPLE",Config!$B$19="Y")),IFERROR(N(INDEX(Clay_Offices!$A$2:$FZ$601,153,Sync!$C$13)),0),"")</f>
        <v/>
      </c>
      <c r="C3004" s="17">
        <f>IF(B3004="","","office")</f>
        <v/>
      </c>
      <c r="D3004" s="17">
        <f>IF(B3004="","",IFERROR(INDEX(Clay_Offices!$A$2:$FZ$601,153,Sync!$C$5)&amp;"",""))</f>
        <v/>
      </c>
      <c r="E3004" s="17">
        <f>IF(B3004="","",IFERROR(INDEX(Clay_Offices!$A$2:$FZ$601,153,Sync!$C$6)&amp;"",""))</f>
        <v/>
      </c>
      <c r="F3004" s="17">
        <f>IF(B3004="","","outreach_sent")</f>
        <v/>
      </c>
      <c r="G3004" s="17">
        <f>IF(B3004="","","")</f>
        <v/>
      </c>
      <c r="H3004" s="17">
        <f>IF(B3004="","","")</f>
        <v/>
      </c>
      <c r="I3004" s="17">
        <f>IF(B3004="","","")</f>
        <v/>
      </c>
      <c r="J3004" s="17">
        <f>IF(B3004="","","touch_3; "&amp;IFERROR(INDEX(Clay_Offices!$A$2:$FZ$601,153,Sync!$C$10)&amp;"","")&amp;"; "&amp;IFERROR(INDEX(Clay_Offices!$A$2:$FZ$601,153,Sync!$C$9)&amp;"",""))</f>
        <v/>
      </c>
      <c r="K3004" t="inlineStr">
        <is>
          <t>office outreach touch 3</t>
        </is>
      </c>
    </row>
    <row r="3005">
      <c r="A3005" s="17">
        <f>IF(B3005="","",B3005+(14*1000+154)/10000000)</f>
        <v/>
      </c>
      <c r="B3005" s="23">
        <f>IF(AND(IFERROR(N(INDEX(Clay_Offices!$A$2:$FZ$601,154,Sync!$C$13)),0)&gt;0,IFERROR(INDEX(Clay_Offices!$A$2:$FZ$601,154,Sync!$C$5)&amp;"","")&lt;&gt;"",OR(LEFT(IFERROR(INDEX(Clay_Offices!$A$2:$FZ$601,154,Sync!$C$5)&amp;"",""),6)&lt;&gt;"SAMPLE",Config!$B$19="Y")),IFERROR(N(INDEX(Clay_Offices!$A$2:$FZ$601,154,Sync!$C$13)),0),"")</f>
        <v/>
      </c>
      <c r="C3005" s="17">
        <f>IF(B3005="","","office")</f>
        <v/>
      </c>
      <c r="D3005" s="17">
        <f>IF(B3005="","",IFERROR(INDEX(Clay_Offices!$A$2:$FZ$601,154,Sync!$C$5)&amp;"",""))</f>
        <v/>
      </c>
      <c r="E3005" s="17">
        <f>IF(B3005="","",IFERROR(INDEX(Clay_Offices!$A$2:$FZ$601,154,Sync!$C$6)&amp;"",""))</f>
        <v/>
      </c>
      <c r="F3005" s="17">
        <f>IF(B3005="","","outreach_sent")</f>
        <v/>
      </c>
      <c r="G3005" s="17">
        <f>IF(B3005="","","")</f>
        <v/>
      </c>
      <c r="H3005" s="17">
        <f>IF(B3005="","","")</f>
        <v/>
      </c>
      <c r="I3005" s="17">
        <f>IF(B3005="","","")</f>
        <v/>
      </c>
      <c r="J3005" s="17">
        <f>IF(B3005="","","touch_3; "&amp;IFERROR(INDEX(Clay_Offices!$A$2:$FZ$601,154,Sync!$C$10)&amp;"","")&amp;"; "&amp;IFERROR(INDEX(Clay_Offices!$A$2:$FZ$601,154,Sync!$C$9)&amp;"",""))</f>
        <v/>
      </c>
      <c r="K3005" t="inlineStr">
        <is>
          <t>office outreach touch 3</t>
        </is>
      </c>
    </row>
    <row r="3006">
      <c r="A3006" s="17">
        <f>IF(B3006="","",B3006+(14*1000+155)/10000000)</f>
        <v/>
      </c>
      <c r="B3006" s="23">
        <f>IF(AND(IFERROR(N(INDEX(Clay_Offices!$A$2:$FZ$601,155,Sync!$C$13)),0)&gt;0,IFERROR(INDEX(Clay_Offices!$A$2:$FZ$601,155,Sync!$C$5)&amp;"","")&lt;&gt;"",OR(LEFT(IFERROR(INDEX(Clay_Offices!$A$2:$FZ$601,155,Sync!$C$5)&amp;"",""),6)&lt;&gt;"SAMPLE",Config!$B$19="Y")),IFERROR(N(INDEX(Clay_Offices!$A$2:$FZ$601,155,Sync!$C$13)),0),"")</f>
        <v/>
      </c>
      <c r="C3006" s="17">
        <f>IF(B3006="","","office")</f>
        <v/>
      </c>
      <c r="D3006" s="17">
        <f>IF(B3006="","",IFERROR(INDEX(Clay_Offices!$A$2:$FZ$601,155,Sync!$C$5)&amp;"",""))</f>
        <v/>
      </c>
      <c r="E3006" s="17">
        <f>IF(B3006="","",IFERROR(INDEX(Clay_Offices!$A$2:$FZ$601,155,Sync!$C$6)&amp;"",""))</f>
        <v/>
      </c>
      <c r="F3006" s="17">
        <f>IF(B3006="","","outreach_sent")</f>
        <v/>
      </c>
      <c r="G3006" s="17">
        <f>IF(B3006="","","")</f>
        <v/>
      </c>
      <c r="H3006" s="17">
        <f>IF(B3006="","","")</f>
        <v/>
      </c>
      <c r="I3006" s="17">
        <f>IF(B3006="","","")</f>
        <v/>
      </c>
      <c r="J3006" s="17">
        <f>IF(B3006="","","touch_3; "&amp;IFERROR(INDEX(Clay_Offices!$A$2:$FZ$601,155,Sync!$C$10)&amp;"","")&amp;"; "&amp;IFERROR(INDEX(Clay_Offices!$A$2:$FZ$601,155,Sync!$C$9)&amp;"",""))</f>
        <v/>
      </c>
      <c r="K3006" t="inlineStr">
        <is>
          <t>office outreach touch 3</t>
        </is>
      </c>
    </row>
    <row r="3007">
      <c r="A3007" s="17">
        <f>IF(B3007="","",B3007+(14*1000+156)/10000000)</f>
        <v/>
      </c>
      <c r="B3007" s="23">
        <f>IF(AND(IFERROR(N(INDEX(Clay_Offices!$A$2:$FZ$601,156,Sync!$C$13)),0)&gt;0,IFERROR(INDEX(Clay_Offices!$A$2:$FZ$601,156,Sync!$C$5)&amp;"","")&lt;&gt;"",OR(LEFT(IFERROR(INDEX(Clay_Offices!$A$2:$FZ$601,156,Sync!$C$5)&amp;"",""),6)&lt;&gt;"SAMPLE",Config!$B$19="Y")),IFERROR(N(INDEX(Clay_Offices!$A$2:$FZ$601,156,Sync!$C$13)),0),"")</f>
        <v/>
      </c>
      <c r="C3007" s="17">
        <f>IF(B3007="","","office")</f>
        <v/>
      </c>
      <c r="D3007" s="17">
        <f>IF(B3007="","",IFERROR(INDEX(Clay_Offices!$A$2:$FZ$601,156,Sync!$C$5)&amp;"",""))</f>
        <v/>
      </c>
      <c r="E3007" s="17">
        <f>IF(B3007="","",IFERROR(INDEX(Clay_Offices!$A$2:$FZ$601,156,Sync!$C$6)&amp;"",""))</f>
        <v/>
      </c>
      <c r="F3007" s="17">
        <f>IF(B3007="","","outreach_sent")</f>
        <v/>
      </c>
      <c r="G3007" s="17">
        <f>IF(B3007="","","")</f>
        <v/>
      </c>
      <c r="H3007" s="17">
        <f>IF(B3007="","","")</f>
        <v/>
      </c>
      <c r="I3007" s="17">
        <f>IF(B3007="","","")</f>
        <v/>
      </c>
      <c r="J3007" s="17">
        <f>IF(B3007="","","touch_3; "&amp;IFERROR(INDEX(Clay_Offices!$A$2:$FZ$601,156,Sync!$C$10)&amp;"","")&amp;"; "&amp;IFERROR(INDEX(Clay_Offices!$A$2:$FZ$601,156,Sync!$C$9)&amp;"",""))</f>
        <v/>
      </c>
      <c r="K3007" t="inlineStr">
        <is>
          <t>office outreach touch 3</t>
        </is>
      </c>
    </row>
    <row r="3008">
      <c r="A3008" s="17">
        <f>IF(B3008="","",B3008+(14*1000+157)/10000000)</f>
        <v/>
      </c>
      <c r="B3008" s="23">
        <f>IF(AND(IFERROR(N(INDEX(Clay_Offices!$A$2:$FZ$601,157,Sync!$C$13)),0)&gt;0,IFERROR(INDEX(Clay_Offices!$A$2:$FZ$601,157,Sync!$C$5)&amp;"","")&lt;&gt;"",OR(LEFT(IFERROR(INDEX(Clay_Offices!$A$2:$FZ$601,157,Sync!$C$5)&amp;"",""),6)&lt;&gt;"SAMPLE",Config!$B$19="Y")),IFERROR(N(INDEX(Clay_Offices!$A$2:$FZ$601,157,Sync!$C$13)),0),"")</f>
        <v/>
      </c>
      <c r="C3008" s="17">
        <f>IF(B3008="","","office")</f>
        <v/>
      </c>
      <c r="D3008" s="17">
        <f>IF(B3008="","",IFERROR(INDEX(Clay_Offices!$A$2:$FZ$601,157,Sync!$C$5)&amp;"",""))</f>
        <v/>
      </c>
      <c r="E3008" s="17">
        <f>IF(B3008="","",IFERROR(INDEX(Clay_Offices!$A$2:$FZ$601,157,Sync!$C$6)&amp;"",""))</f>
        <v/>
      </c>
      <c r="F3008" s="17">
        <f>IF(B3008="","","outreach_sent")</f>
        <v/>
      </c>
      <c r="G3008" s="17">
        <f>IF(B3008="","","")</f>
        <v/>
      </c>
      <c r="H3008" s="17">
        <f>IF(B3008="","","")</f>
        <v/>
      </c>
      <c r="I3008" s="17">
        <f>IF(B3008="","","")</f>
        <v/>
      </c>
      <c r="J3008" s="17">
        <f>IF(B3008="","","touch_3; "&amp;IFERROR(INDEX(Clay_Offices!$A$2:$FZ$601,157,Sync!$C$10)&amp;"","")&amp;"; "&amp;IFERROR(INDEX(Clay_Offices!$A$2:$FZ$601,157,Sync!$C$9)&amp;"",""))</f>
        <v/>
      </c>
      <c r="K3008" t="inlineStr">
        <is>
          <t>office outreach touch 3</t>
        </is>
      </c>
    </row>
    <row r="3009">
      <c r="A3009" s="17">
        <f>IF(B3009="","",B3009+(14*1000+158)/10000000)</f>
        <v/>
      </c>
      <c r="B3009" s="23">
        <f>IF(AND(IFERROR(N(INDEX(Clay_Offices!$A$2:$FZ$601,158,Sync!$C$13)),0)&gt;0,IFERROR(INDEX(Clay_Offices!$A$2:$FZ$601,158,Sync!$C$5)&amp;"","")&lt;&gt;"",OR(LEFT(IFERROR(INDEX(Clay_Offices!$A$2:$FZ$601,158,Sync!$C$5)&amp;"",""),6)&lt;&gt;"SAMPLE",Config!$B$19="Y")),IFERROR(N(INDEX(Clay_Offices!$A$2:$FZ$601,158,Sync!$C$13)),0),"")</f>
        <v/>
      </c>
      <c r="C3009" s="17">
        <f>IF(B3009="","","office")</f>
        <v/>
      </c>
      <c r="D3009" s="17">
        <f>IF(B3009="","",IFERROR(INDEX(Clay_Offices!$A$2:$FZ$601,158,Sync!$C$5)&amp;"",""))</f>
        <v/>
      </c>
      <c r="E3009" s="17">
        <f>IF(B3009="","",IFERROR(INDEX(Clay_Offices!$A$2:$FZ$601,158,Sync!$C$6)&amp;"",""))</f>
        <v/>
      </c>
      <c r="F3009" s="17">
        <f>IF(B3009="","","outreach_sent")</f>
        <v/>
      </c>
      <c r="G3009" s="17">
        <f>IF(B3009="","","")</f>
        <v/>
      </c>
      <c r="H3009" s="17">
        <f>IF(B3009="","","")</f>
        <v/>
      </c>
      <c r="I3009" s="17">
        <f>IF(B3009="","","")</f>
        <v/>
      </c>
      <c r="J3009" s="17">
        <f>IF(B3009="","","touch_3; "&amp;IFERROR(INDEX(Clay_Offices!$A$2:$FZ$601,158,Sync!$C$10)&amp;"","")&amp;"; "&amp;IFERROR(INDEX(Clay_Offices!$A$2:$FZ$601,158,Sync!$C$9)&amp;"",""))</f>
        <v/>
      </c>
      <c r="K3009" t="inlineStr">
        <is>
          <t>office outreach touch 3</t>
        </is>
      </c>
    </row>
    <row r="3010">
      <c r="A3010" s="17">
        <f>IF(B3010="","",B3010+(14*1000+159)/10000000)</f>
        <v/>
      </c>
      <c r="B3010" s="23">
        <f>IF(AND(IFERROR(N(INDEX(Clay_Offices!$A$2:$FZ$601,159,Sync!$C$13)),0)&gt;0,IFERROR(INDEX(Clay_Offices!$A$2:$FZ$601,159,Sync!$C$5)&amp;"","")&lt;&gt;"",OR(LEFT(IFERROR(INDEX(Clay_Offices!$A$2:$FZ$601,159,Sync!$C$5)&amp;"",""),6)&lt;&gt;"SAMPLE",Config!$B$19="Y")),IFERROR(N(INDEX(Clay_Offices!$A$2:$FZ$601,159,Sync!$C$13)),0),"")</f>
        <v/>
      </c>
      <c r="C3010" s="17">
        <f>IF(B3010="","","office")</f>
        <v/>
      </c>
      <c r="D3010" s="17">
        <f>IF(B3010="","",IFERROR(INDEX(Clay_Offices!$A$2:$FZ$601,159,Sync!$C$5)&amp;"",""))</f>
        <v/>
      </c>
      <c r="E3010" s="17">
        <f>IF(B3010="","",IFERROR(INDEX(Clay_Offices!$A$2:$FZ$601,159,Sync!$C$6)&amp;"",""))</f>
        <v/>
      </c>
      <c r="F3010" s="17">
        <f>IF(B3010="","","outreach_sent")</f>
        <v/>
      </c>
      <c r="G3010" s="17">
        <f>IF(B3010="","","")</f>
        <v/>
      </c>
      <c r="H3010" s="17">
        <f>IF(B3010="","","")</f>
        <v/>
      </c>
      <c r="I3010" s="17">
        <f>IF(B3010="","","")</f>
        <v/>
      </c>
      <c r="J3010" s="17">
        <f>IF(B3010="","","touch_3; "&amp;IFERROR(INDEX(Clay_Offices!$A$2:$FZ$601,159,Sync!$C$10)&amp;"","")&amp;"; "&amp;IFERROR(INDEX(Clay_Offices!$A$2:$FZ$601,159,Sync!$C$9)&amp;"",""))</f>
        <v/>
      </c>
      <c r="K3010" t="inlineStr">
        <is>
          <t>office outreach touch 3</t>
        </is>
      </c>
    </row>
    <row r="3011">
      <c r="A3011" s="17">
        <f>IF(B3011="","",B3011+(14*1000+160)/10000000)</f>
        <v/>
      </c>
      <c r="B3011" s="23">
        <f>IF(AND(IFERROR(N(INDEX(Clay_Offices!$A$2:$FZ$601,160,Sync!$C$13)),0)&gt;0,IFERROR(INDEX(Clay_Offices!$A$2:$FZ$601,160,Sync!$C$5)&amp;"","")&lt;&gt;"",OR(LEFT(IFERROR(INDEX(Clay_Offices!$A$2:$FZ$601,160,Sync!$C$5)&amp;"",""),6)&lt;&gt;"SAMPLE",Config!$B$19="Y")),IFERROR(N(INDEX(Clay_Offices!$A$2:$FZ$601,160,Sync!$C$13)),0),"")</f>
        <v/>
      </c>
      <c r="C3011" s="17">
        <f>IF(B3011="","","office")</f>
        <v/>
      </c>
      <c r="D3011" s="17">
        <f>IF(B3011="","",IFERROR(INDEX(Clay_Offices!$A$2:$FZ$601,160,Sync!$C$5)&amp;"",""))</f>
        <v/>
      </c>
      <c r="E3011" s="17">
        <f>IF(B3011="","",IFERROR(INDEX(Clay_Offices!$A$2:$FZ$601,160,Sync!$C$6)&amp;"",""))</f>
        <v/>
      </c>
      <c r="F3011" s="17">
        <f>IF(B3011="","","outreach_sent")</f>
        <v/>
      </c>
      <c r="G3011" s="17">
        <f>IF(B3011="","","")</f>
        <v/>
      </c>
      <c r="H3011" s="17">
        <f>IF(B3011="","","")</f>
        <v/>
      </c>
      <c r="I3011" s="17">
        <f>IF(B3011="","","")</f>
        <v/>
      </c>
      <c r="J3011" s="17">
        <f>IF(B3011="","","touch_3; "&amp;IFERROR(INDEX(Clay_Offices!$A$2:$FZ$601,160,Sync!$C$10)&amp;"","")&amp;"; "&amp;IFERROR(INDEX(Clay_Offices!$A$2:$FZ$601,160,Sync!$C$9)&amp;"",""))</f>
        <v/>
      </c>
      <c r="K3011" t="inlineStr">
        <is>
          <t>office outreach touch 3</t>
        </is>
      </c>
    </row>
    <row r="3012">
      <c r="A3012" s="17">
        <f>IF(B3012="","",B3012+(14*1000+161)/10000000)</f>
        <v/>
      </c>
      <c r="B3012" s="23">
        <f>IF(AND(IFERROR(N(INDEX(Clay_Offices!$A$2:$FZ$601,161,Sync!$C$13)),0)&gt;0,IFERROR(INDEX(Clay_Offices!$A$2:$FZ$601,161,Sync!$C$5)&amp;"","")&lt;&gt;"",OR(LEFT(IFERROR(INDEX(Clay_Offices!$A$2:$FZ$601,161,Sync!$C$5)&amp;"",""),6)&lt;&gt;"SAMPLE",Config!$B$19="Y")),IFERROR(N(INDEX(Clay_Offices!$A$2:$FZ$601,161,Sync!$C$13)),0),"")</f>
        <v/>
      </c>
      <c r="C3012" s="17">
        <f>IF(B3012="","","office")</f>
        <v/>
      </c>
      <c r="D3012" s="17">
        <f>IF(B3012="","",IFERROR(INDEX(Clay_Offices!$A$2:$FZ$601,161,Sync!$C$5)&amp;"",""))</f>
        <v/>
      </c>
      <c r="E3012" s="17">
        <f>IF(B3012="","",IFERROR(INDEX(Clay_Offices!$A$2:$FZ$601,161,Sync!$C$6)&amp;"",""))</f>
        <v/>
      </c>
      <c r="F3012" s="17">
        <f>IF(B3012="","","outreach_sent")</f>
        <v/>
      </c>
      <c r="G3012" s="17">
        <f>IF(B3012="","","")</f>
        <v/>
      </c>
      <c r="H3012" s="17">
        <f>IF(B3012="","","")</f>
        <v/>
      </c>
      <c r="I3012" s="17">
        <f>IF(B3012="","","")</f>
        <v/>
      </c>
      <c r="J3012" s="17">
        <f>IF(B3012="","","touch_3; "&amp;IFERROR(INDEX(Clay_Offices!$A$2:$FZ$601,161,Sync!$C$10)&amp;"","")&amp;"; "&amp;IFERROR(INDEX(Clay_Offices!$A$2:$FZ$601,161,Sync!$C$9)&amp;"",""))</f>
        <v/>
      </c>
      <c r="K3012" t="inlineStr">
        <is>
          <t>office outreach touch 3</t>
        </is>
      </c>
    </row>
    <row r="3013">
      <c r="A3013" s="17">
        <f>IF(B3013="","",B3013+(14*1000+162)/10000000)</f>
        <v/>
      </c>
      <c r="B3013" s="23">
        <f>IF(AND(IFERROR(N(INDEX(Clay_Offices!$A$2:$FZ$601,162,Sync!$C$13)),0)&gt;0,IFERROR(INDEX(Clay_Offices!$A$2:$FZ$601,162,Sync!$C$5)&amp;"","")&lt;&gt;"",OR(LEFT(IFERROR(INDEX(Clay_Offices!$A$2:$FZ$601,162,Sync!$C$5)&amp;"",""),6)&lt;&gt;"SAMPLE",Config!$B$19="Y")),IFERROR(N(INDEX(Clay_Offices!$A$2:$FZ$601,162,Sync!$C$13)),0),"")</f>
        <v/>
      </c>
      <c r="C3013" s="17">
        <f>IF(B3013="","","office")</f>
        <v/>
      </c>
      <c r="D3013" s="17">
        <f>IF(B3013="","",IFERROR(INDEX(Clay_Offices!$A$2:$FZ$601,162,Sync!$C$5)&amp;"",""))</f>
        <v/>
      </c>
      <c r="E3013" s="17">
        <f>IF(B3013="","",IFERROR(INDEX(Clay_Offices!$A$2:$FZ$601,162,Sync!$C$6)&amp;"",""))</f>
        <v/>
      </c>
      <c r="F3013" s="17">
        <f>IF(B3013="","","outreach_sent")</f>
        <v/>
      </c>
      <c r="G3013" s="17">
        <f>IF(B3013="","","")</f>
        <v/>
      </c>
      <c r="H3013" s="17">
        <f>IF(B3013="","","")</f>
        <v/>
      </c>
      <c r="I3013" s="17">
        <f>IF(B3013="","","")</f>
        <v/>
      </c>
      <c r="J3013" s="17">
        <f>IF(B3013="","","touch_3; "&amp;IFERROR(INDEX(Clay_Offices!$A$2:$FZ$601,162,Sync!$C$10)&amp;"","")&amp;"; "&amp;IFERROR(INDEX(Clay_Offices!$A$2:$FZ$601,162,Sync!$C$9)&amp;"",""))</f>
        <v/>
      </c>
      <c r="K3013" t="inlineStr">
        <is>
          <t>office outreach touch 3</t>
        </is>
      </c>
    </row>
    <row r="3014">
      <c r="A3014" s="17">
        <f>IF(B3014="","",B3014+(14*1000+163)/10000000)</f>
        <v/>
      </c>
      <c r="B3014" s="23">
        <f>IF(AND(IFERROR(N(INDEX(Clay_Offices!$A$2:$FZ$601,163,Sync!$C$13)),0)&gt;0,IFERROR(INDEX(Clay_Offices!$A$2:$FZ$601,163,Sync!$C$5)&amp;"","")&lt;&gt;"",OR(LEFT(IFERROR(INDEX(Clay_Offices!$A$2:$FZ$601,163,Sync!$C$5)&amp;"",""),6)&lt;&gt;"SAMPLE",Config!$B$19="Y")),IFERROR(N(INDEX(Clay_Offices!$A$2:$FZ$601,163,Sync!$C$13)),0),"")</f>
        <v/>
      </c>
      <c r="C3014" s="17">
        <f>IF(B3014="","","office")</f>
        <v/>
      </c>
      <c r="D3014" s="17">
        <f>IF(B3014="","",IFERROR(INDEX(Clay_Offices!$A$2:$FZ$601,163,Sync!$C$5)&amp;"",""))</f>
        <v/>
      </c>
      <c r="E3014" s="17">
        <f>IF(B3014="","",IFERROR(INDEX(Clay_Offices!$A$2:$FZ$601,163,Sync!$C$6)&amp;"",""))</f>
        <v/>
      </c>
      <c r="F3014" s="17">
        <f>IF(B3014="","","outreach_sent")</f>
        <v/>
      </c>
      <c r="G3014" s="17">
        <f>IF(B3014="","","")</f>
        <v/>
      </c>
      <c r="H3014" s="17">
        <f>IF(B3014="","","")</f>
        <v/>
      </c>
      <c r="I3014" s="17">
        <f>IF(B3014="","","")</f>
        <v/>
      </c>
      <c r="J3014" s="17">
        <f>IF(B3014="","","touch_3; "&amp;IFERROR(INDEX(Clay_Offices!$A$2:$FZ$601,163,Sync!$C$10)&amp;"","")&amp;"; "&amp;IFERROR(INDEX(Clay_Offices!$A$2:$FZ$601,163,Sync!$C$9)&amp;"",""))</f>
        <v/>
      </c>
      <c r="K3014" t="inlineStr">
        <is>
          <t>office outreach touch 3</t>
        </is>
      </c>
    </row>
    <row r="3015">
      <c r="A3015" s="17">
        <f>IF(B3015="","",B3015+(14*1000+164)/10000000)</f>
        <v/>
      </c>
      <c r="B3015" s="23">
        <f>IF(AND(IFERROR(N(INDEX(Clay_Offices!$A$2:$FZ$601,164,Sync!$C$13)),0)&gt;0,IFERROR(INDEX(Clay_Offices!$A$2:$FZ$601,164,Sync!$C$5)&amp;"","")&lt;&gt;"",OR(LEFT(IFERROR(INDEX(Clay_Offices!$A$2:$FZ$601,164,Sync!$C$5)&amp;"",""),6)&lt;&gt;"SAMPLE",Config!$B$19="Y")),IFERROR(N(INDEX(Clay_Offices!$A$2:$FZ$601,164,Sync!$C$13)),0),"")</f>
        <v/>
      </c>
      <c r="C3015" s="17">
        <f>IF(B3015="","","office")</f>
        <v/>
      </c>
      <c r="D3015" s="17">
        <f>IF(B3015="","",IFERROR(INDEX(Clay_Offices!$A$2:$FZ$601,164,Sync!$C$5)&amp;"",""))</f>
        <v/>
      </c>
      <c r="E3015" s="17">
        <f>IF(B3015="","",IFERROR(INDEX(Clay_Offices!$A$2:$FZ$601,164,Sync!$C$6)&amp;"",""))</f>
        <v/>
      </c>
      <c r="F3015" s="17">
        <f>IF(B3015="","","outreach_sent")</f>
        <v/>
      </c>
      <c r="G3015" s="17">
        <f>IF(B3015="","","")</f>
        <v/>
      </c>
      <c r="H3015" s="17">
        <f>IF(B3015="","","")</f>
        <v/>
      </c>
      <c r="I3015" s="17">
        <f>IF(B3015="","","")</f>
        <v/>
      </c>
      <c r="J3015" s="17">
        <f>IF(B3015="","","touch_3; "&amp;IFERROR(INDEX(Clay_Offices!$A$2:$FZ$601,164,Sync!$C$10)&amp;"","")&amp;"; "&amp;IFERROR(INDEX(Clay_Offices!$A$2:$FZ$601,164,Sync!$C$9)&amp;"",""))</f>
        <v/>
      </c>
      <c r="K3015" t="inlineStr">
        <is>
          <t>office outreach touch 3</t>
        </is>
      </c>
    </row>
    <row r="3016">
      <c r="A3016" s="17">
        <f>IF(B3016="","",B3016+(14*1000+165)/10000000)</f>
        <v/>
      </c>
      <c r="B3016" s="23">
        <f>IF(AND(IFERROR(N(INDEX(Clay_Offices!$A$2:$FZ$601,165,Sync!$C$13)),0)&gt;0,IFERROR(INDEX(Clay_Offices!$A$2:$FZ$601,165,Sync!$C$5)&amp;"","")&lt;&gt;"",OR(LEFT(IFERROR(INDEX(Clay_Offices!$A$2:$FZ$601,165,Sync!$C$5)&amp;"",""),6)&lt;&gt;"SAMPLE",Config!$B$19="Y")),IFERROR(N(INDEX(Clay_Offices!$A$2:$FZ$601,165,Sync!$C$13)),0),"")</f>
        <v/>
      </c>
      <c r="C3016" s="17">
        <f>IF(B3016="","","office")</f>
        <v/>
      </c>
      <c r="D3016" s="17">
        <f>IF(B3016="","",IFERROR(INDEX(Clay_Offices!$A$2:$FZ$601,165,Sync!$C$5)&amp;"",""))</f>
        <v/>
      </c>
      <c r="E3016" s="17">
        <f>IF(B3016="","",IFERROR(INDEX(Clay_Offices!$A$2:$FZ$601,165,Sync!$C$6)&amp;"",""))</f>
        <v/>
      </c>
      <c r="F3016" s="17">
        <f>IF(B3016="","","outreach_sent")</f>
        <v/>
      </c>
      <c r="G3016" s="17">
        <f>IF(B3016="","","")</f>
        <v/>
      </c>
      <c r="H3016" s="17">
        <f>IF(B3016="","","")</f>
        <v/>
      </c>
      <c r="I3016" s="17">
        <f>IF(B3016="","","")</f>
        <v/>
      </c>
      <c r="J3016" s="17">
        <f>IF(B3016="","","touch_3; "&amp;IFERROR(INDEX(Clay_Offices!$A$2:$FZ$601,165,Sync!$C$10)&amp;"","")&amp;"; "&amp;IFERROR(INDEX(Clay_Offices!$A$2:$FZ$601,165,Sync!$C$9)&amp;"",""))</f>
        <v/>
      </c>
      <c r="K3016" t="inlineStr">
        <is>
          <t>office outreach touch 3</t>
        </is>
      </c>
    </row>
    <row r="3017">
      <c r="A3017" s="17">
        <f>IF(B3017="","",B3017+(14*1000+166)/10000000)</f>
        <v/>
      </c>
      <c r="B3017" s="23">
        <f>IF(AND(IFERROR(N(INDEX(Clay_Offices!$A$2:$FZ$601,166,Sync!$C$13)),0)&gt;0,IFERROR(INDEX(Clay_Offices!$A$2:$FZ$601,166,Sync!$C$5)&amp;"","")&lt;&gt;"",OR(LEFT(IFERROR(INDEX(Clay_Offices!$A$2:$FZ$601,166,Sync!$C$5)&amp;"",""),6)&lt;&gt;"SAMPLE",Config!$B$19="Y")),IFERROR(N(INDEX(Clay_Offices!$A$2:$FZ$601,166,Sync!$C$13)),0),"")</f>
        <v/>
      </c>
      <c r="C3017" s="17">
        <f>IF(B3017="","","office")</f>
        <v/>
      </c>
      <c r="D3017" s="17">
        <f>IF(B3017="","",IFERROR(INDEX(Clay_Offices!$A$2:$FZ$601,166,Sync!$C$5)&amp;"",""))</f>
        <v/>
      </c>
      <c r="E3017" s="17">
        <f>IF(B3017="","",IFERROR(INDEX(Clay_Offices!$A$2:$FZ$601,166,Sync!$C$6)&amp;"",""))</f>
        <v/>
      </c>
      <c r="F3017" s="17">
        <f>IF(B3017="","","outreach_sent")</f>
        <v/>
      </c>
      <c r="G3017" s="17">
        <f>IF(B3017="","","")</f>
        <v/>
      </c>
      <c r="H3017" s="17">
        <f>IF(B3017="","","")</f>
        <v/>
      </c>
      <c r="I3017" s="17">
        <f>IF(B3017="","","")</f>
        <v/>
      </c>
      <c r="J3017" s="17">
        <f>IF(B3017="","","touch_3; "&amp;IFERROR(INDEX(Clay_Offices!$A$2:$FZ$601,166,Sync!$C$10)&amp;"","")&amp;"; "&amp;IFERROR(INDEX(Clay_Offices!$A$2:$FZ$601,166,Sync!$C$9)&amp;"",""))</f>
        <v/>
      </c>
      <c r="K3017" t="inlineStr">
        <is>
          <t>office outreach touch 3</t>
        </is>
      </c>
    </row>
    <row r="3018">
      <c r="A3018" s="17">
        <f>IF(B3018="","",B3018+(14*1000+167)/10000000)</f>
        <v/>
      </c>
      <c r="B3018" s="23">
        <f>IF(AND(IFERROR(N(INDEX(Clay_Offices!$A$2:$FZ$601,167,Sync!$C$13)),0)&gt;0,IFERROR(INDEX(Clay_Offices!$A$2:$FZ$601,167,Sync!$C$5)&amp;"","")&lt;&gt;"",OR(LEFT(IFERROR(INDEX(Clay_Offices!$A$2:$FZ$601,167,Sync!$C$5)&amp;"",""),6)&lt;&gt;"SAMPLE",Config!$B$19="Y")),IFERROR(N(INDEX(Clay_Offices!$A$2:$FZ$601,167,Sync!$C$13)),0),"")</f>
        <v/>
      </c>
      <c r="C3018" s="17">
        <f>IF(B3018="","","office")</f>
        <v/>
      </c>
      <c r="D3018" s="17">
        <f>IF(B3018="","",IFERROR(INDEX(Clay_Offices!$A$2:$FZ$601,167,Sync!$C$5)&amp;"",""))</f>
        <v/>
      </c>
      <c r="E3018" s="17">
        <f>IF(B3018="","",IFERROR(INDEX(Clay_Offices!$A$2:$FZ$601,167,Sync!$C$6)&amp;"",""))</f>
        <v/>
      </c>
      <c r="F3018" s="17">
        <f>IF(B3018="","","outreach_sent")</f>
        <v/>
      </c>
      <c r="G3018" s="17">
        <f>IF(B3018="","","")</f>
        <v/>
      </c>
      <c r="H3018" s="17">
        <f>IF(B3018="","","")</f>
        <v/>
      </c>
      <c r="I3018" s="17">
        <f>IF(B3018="","","")</f>
        <v/>
      </c>
      <c r="J3018" s="17">
        <f>IF(B3018="","","touch_3; "&amp;IFERROR(INDEX(Clay_Offices!$A$2:$FZ$601,167,Sync!$C$10)&amp;"","")&amp;"; "&amp;IFERROR(INDEX(Clay_Offices!$A$2:$FZ$601,167,Sync!$C$9)&amp;"",""))</f>
        <v/>
      </c>
      <c r="K3018" t="inlineStr">
        <is>
          <t>office outreach touch 3</t>
        </is>
      </c>
    </row>
    <row r="3019">
      <c r="A3019" s="17">
        <f>IF(B3019="","",B3019+(14*1000+168)/10000000)</f>
        <v/>
      </c>
      <c r="B3019" s="23">
        <f>IF(AND(IFERROR(N(INDEX(Clay_Offices!$A$2:$FZ$601,168,Sync!$C$13)),0)&gt;0,IFERROR(INDEX(Clay_Offices!$A$2:$FZ$601,168,Sync!$C$5)&amp;"","")&lt;&gt;"",OR(LEFT(IFERROR(INDEX(Clay_Offices!$A$2:$FZ$601,168,Sync!$C$5)&amp;"",""),6)&lt;&gt;"SAMPLE",Config!$B$19="Y")),IFERROR(N(INDEX(Clay_Offices!$A$2:$FZ$601,168,Sync!$C$13)),0),"")</f>
        <v/>
      </c>
      <c r="C3019" s="17">
        <f>IF(B3019="","","office")</f>
        <v/>
      </c>
      <c r="D3019" s="17">
        <f>IF(B3019="","",IFERROR(INDEX(Clay_Offices!$A$2:$FZ$601,168,Sync!$C$5)&amp;"",""))</f>
        <v/>
      </c>
      <c r="E3019" s="17">
        <f>IF(B3019="","",IFERROR(INDEX(Clay_Offices!$A$2:$FZ$601,168,Sync!$C$6)&amp;"",""))</f>
        <v/>
      </c>
      <c r="F3019" s="17">
        <f>IF(B3019="","","outreach_sent")</f>
        <v/>
      </c>
      <c r="G3019" s="17">
        <f>IF(B3019="","","")</f>
        <v/>
      </c>
      <c r="H3019" s="17">
        <f>IF(B3019="","","")</f>
        <v/>
      </c>
      <c r="I3019" s="17">
        <f>IF(B3019="","","")</f>
        <v/>
      </c>
      <c r="J3019" s="17">
        <f>IF(B3019="","","touch_3; "&amp;IFERROR(INDEX(Clay_Offices!$A$2:$FZ$601,168,Sync!$C$10)&amp;"","")&amp;"; "&amp;IFERROR(INDEX(Clay_Offices!$A$2:$FZ$601,168,Sync!$C$9)&amp;"",""))</f>
        <v/>
      </c>
      <c r="K3019" t="inlineStr">
        <is>
          <t>office outreach touch 3</t>
        </is>
      </c>
    </row>
    <row r="3020">
      <c r="A3020" s="17">
        <f>IF(B3020="","",B3020+(14*1000+169)/10000000)</f>
        <v/>
      </c>
      <c r="B3020" s="23">
        <f>IF(AND(IFERROR(N(INDEX(Clay_Offices!$A$2:$FZ$601,169,Sync!$C$13)),0)&gt;0,IFERROR(INDEX(Clay_Offices!$A$2:$FZ$601,169,Sync!$C$5)&amp;"","")&lt;&gt;"",OR(LEFT(IFERROR(INDEX(Clay_Offices!$A$2:$FZ$601,169,Sync!$C$5)&amp;"",""),6)&lt;&gt;"SAMPLE",Config!$B$19="Y")),IFERROR(N(INDEX(Clay_Offices!$A$2:$FZ$601,169,Sync!$C$13)),0),"")</f>
        <v/>
      </c>
      <c r="C3020" s="17">
        <f>IF(B3020="","","office")</f>
        <v/>
      </c>
      <c r="D3020" s="17">
        <f>IF(B3020="","",IFERROR(INDEX(Clay_Offices!$A$2:$FZ$601,169,Sync!$C$5)&amp;"",""))</f>
        <v/>
      </c>
      <c r="E3020" s="17">
        <f>IF(B3020="","",IFERROR(INDEX(Clay_Offices!$A$2:$FZ$601,169,Sync!$C$6)&amp;"",""))</f>
        <v/>
      </c>
      <c r="F3020" s="17">
        <f>IF(B3020="","","outreach_sent")</f>
        <v/>
      </c>
      <c r="G3020" s="17">
        <f>IF(B3020="","","")</f>
        <v/>
      </c>
      <c r="H3020" s="17">
        <f>IF(B3020="","","")</f>
        <v/>
      </c>
      <c r="I3020" s="17">
        <f>IF(B3020="","","")</f>
        <v/>
      </c>
      <c r="J3020" s="17">
        <f>IF(B3020="","","touch_3; "&amp;IFERROR(INDEX(Clay_Offices!$A$2:$FZ$601,169,Sync!$C$10)&amp;"","")&amp;"; "&amp;IFERROR(INDEX(Clay_Offices!$A$2:$FZ$601,169,Sync!$C$9)&amp;"",""))</f>
        <v/>
      </c>
      <c r="K3020" t="inlineStr">
        <is>
          <t>office outreach touch 3</t>
        </is>
      </c>
    </row>
    <row r="3021">
      <c r="A3021" s="17">
        <f>IF(B3021="","",B3021+(14*1000+170)/10000000)</f>
        <v/>
      </c>
      <c r="B3021" s="23">
        <f>IF(AND(IFERROR(N(INDEX(Clay_Offices!$A$2:$FZ$601,170,Sync!$C$13)),0)&gt;0,IFERROR(INDEX(Clay_Offices!$A$2:$FZ$601,170,Sync!$C$5)&amp;"","")&lt;&gt;"",OR(LEFT(IFERROR(INDEX(Clay_Offices!$A$2:$FZ$601,170,Sync!$C$5)&amp;"",""),6)&lt;&gt;"SAMPLE",Config!$B$19="Y")),IFERROR(N(INDEX(Clay_Offices!$A$2:$FZ$601,170,Sync!$C$13)),0),"")</f>
        <v/>
      </c>
      <c r="C3021" s="17">
        <f>IF(B3021="","","office")</f>
        <v/>
      </c>
      <c r="D3021" s="17">
        <f>IF(B3021="","",IFERROR(INDEX(Clay_Offices!$A$2:$FZ$601,170,Sync!$C$5)&amp;"",""))</f>
        <v/>
      </c>
      <c r="E3021" s="17">
        <f>IF(B3021="","",IFERROR(INDEX(Clay_Offices!$A$2:$FZ$601,170,Sync!$C$6)&amp;"",""))</f>
        <v/>
      </c>
      <c r="F3021" s="17">
        <f>IF(B3021="","","outreach_sent")</f>
        <v/>
      </c>
      <c r="G3021" s="17">
        <f>IF(B3021="","","")</f>
        <v/>
      </c>
      <c r="H3021" s="17">
        <f>IF(B3021="","","")</f>
        <v/>
      </c>
      <c r="I3021" s="17">
        <f>IF(B3021="","","")</f>
        <v/>
      </c>
      <c r="J3021" s="17">
        <f>IF(B3021="","","touch_3; "&amp;IFERROR(INDEX(Clay_Offices!$A$2:$FZ$601,170,Sync!$C$10)&amp;"","")&amp;"; "&amp;IFERROR(INDEX(Clay_Offices!$A$2:$FZ$601,170,Sync!$C$9)&amp;"",""))</f>
        <v/>
      </c>
      <c r="K3021" t="inlineStr">
        <is>
          <t>office outreach touch 3</t>
        </is>
      </c>
    </row>
    <row r="3022">
      <c r="A3022" s="17">
        <f>IF(B3022="","",B3022+(14*1000+171)/10000000)</f>
        <v/>
      </c>
      <c r="B3022" s="23">
        <f>IF(AND(IFERROR(N(INDEX(Clay_Offices!$A$2:$FZ$601,171,Sync!$C$13)),0)&gt;0,IFERROR(INDEX(Clay_Offices!$A$2:$FZ$601,171,Sync!$C$5)&amp;"","")&lt;&gt;"",OR(LEFT(IFERROR(INDEX(Clay_Offices!$A$2:$FZ$601,171,Sync!$C$5)&amp;"",""),6)&lt;&gt;"SAMPLE",Config!$B$19="Y")),IFERROR(N(INDEX(Clay_Offices!$A$2:$FZ$601,171,Sync!$C$13)),0),"")</f>
        <v/>
      </c>
      <c r="C3022" s="17">
        <f>IF(B3022="","","office")</f>
        <v/>
      </c>
      <c r="D3022" s="17">
        <f>IF(B3022="","",IFERROR(INDEX(Clay_Offices!$A$2:$FZ$601,171,Sync!$C$5)&amp;"",""))</f>
        <v/>
      </c>
      <c r="E3022" s="17">
        <f>IF(B3022="","",IFERROR(INDEX(Clay_Offices!$A$2:$FZ$601,171,Sync!$C$6)&amp;"",""))</f>
        <v/>
      </c>
      <c r="F3022" s="17">
        <f>IF(B3022="","","outreach_sent")</f>
        <v/>
      </c>
      <c r="G3022" s="17">
        <f>IF(B3022="","","")</f>
        <v/>
      </c>
      <c r="H3022" s="17">
        <f>IF(B3022="","","")</f>
        <v/>
      </c>
      <c r="I3022" s="17">
        <f>IF(B3022="","","")</f>
        <v/>
      </c>
      <c r="J3022" s="17">
        <f>IF(B3022="","","touch_3; "&amp;IFERROR(INDEX(Clay_Offices!$A$2:$FZ$601,171,Sync!$C$10)&amp;"","")&amp;"; "&amp;IFERROR(INDEX(Clay_Offices!$A$2:$FZ$601,171,Sync!$C$9)&amp;"",""))</f>
        <v/>
      </c>
      <c r="K3022" t="inlineStr">
        <is>
          <t>office outreach touch 3</t>
        </is>
      </c>
    </row>
    <row r="3023">
      <c r="A3023" s="17">
        <f>IF(B3023="","",B3023+(14*1000+172)/10000000)</f>
        <v/>
      </c>
      <c r="B3023" s="23">
        <f>IF(AND(IFERROR(N(INDEX(Clay_Offices!$A$2:$FZ$601,172,Sync!$C$13)),0)&gt;0,IFERROR(INDEX(Clay_Offices!$A$2:$FZ$601,172,Sync!$C$5)&amp;"","")&lt;&gt;"",OR(LEFT(IFERROR(INDEX(Clay_Offices!$A$2:$FZ$601,172,Sync!$C$5)&amp;"",""),6)&lt;&gt;"SAMPLE",Config!$B$19="Y")),IFERROR(N(INDEX(Clay_Offices!$A$2:$FZ$601,172,Sync!$C$13)),0),"")</f>
        <v/>
      </c>
      <c r="C3023" s="17">
        <f>IF(B3023="","","office")</f>
        <v/>
      </c>
      <c r="D3023" s="17">
        <f>IF(B3023="","",IFERROR(INDEX(Clay_Offices!$A$2:$FZ$601,172,Sync!$C$5)&amp;"",""))</f>
        <v/>
      </c>
      <c r="E3023" s="17">
        <f>IF(B3023="","",IFERROR(INDEX(Clay_Offices!$A$2:$FZ$601,172,Sync!$C$6)&amp;"",""))</f>
        <v/>
      </c>
      <c r="F3023" s="17">
        <f>IF(B3023="","","outreach_sent")</f>
        <v/>
      </c>
      <c r="G3023" s="17">
        <f>IF(B3023="","","")</f>
        <v/>
      </c>
      <c r="H3023" s="17">
        <f>IF(B3023="","","")</f>
        <v/>
      </c>
      <c r="I3023" s="17">
        <f>IF(B3023="","","")</f>
        <v/>
      </c>
      <c r="J3023" s="17">
        <f>IF(B3023="","","touch_3; "&amp;IFERROR(INDEX(Clay_Offices!$A$2:$FZ$601,172,Sync!$C$10)&amp;"","")&amp;"; "&amp;IFERROR(INDEX(Clay_Offices!$A$2:$FZ$601,172,Sync!$C$9)&amp;"",""))</f>
        <v/>
      </c>
      <c r="K3023" t="inlineStr">
        <is>
          <t>office outreach touch 3</t>
        </is>
      </c>
    </row>
    <row r="3024">
      <c r="A3024" s="17">
        <f>IF(B3024="","",B3024+(14*1000+173)/10000000)</f>
        <v/>
      </c>
      <c r="B3024" s="23">
        <f>IF(AND(IFERROR(N(INDEX(Clay_Offices!$A$2:$FZ$601,173,Sync!$C$13)),0)&gt;0,IFERROR(INDEX(Clay_Offices!$A$2:$FZ$601,173,Sync!$C$5)&amp;"","")&lt;&gt;"",OR(LEFT(IFERROR(INDEX(Clay_Offices!$A$2:$FZ$601,173,Sync!$C$5)&amp;"",""),6)&lt;&gt;"SAMPLE",Config!$B$19="Y")),IFERROR(N(INDEX(Clay_Offices!$A$2:$FZ$601,173,Sync!$C$13)),0),"")</f>
        <v/>
      </c>
      <c r="C3024" s="17">
        <f>IF(B3024="","","office")</f>
        <v/>
      </c>
      <c r="D3024" s="17">
        <f>IF(B3024="","",IFERROR(INDEX(Clay_Offices!$A$2:$FZ$601,173,Sync!$C$5)&amp;"",""))</f>
        <v/>
      </c>
      <c r="E3024" s="17">
        <f>IF(B3024="","",IFERROR(INDEX(Clay_Offices!$A$2:$FZ$601,173,Sync!$C$6)&amp;"",""))</f>
        <v/>
      </c>
      <c r="F3024" s="17">
        <f>IF(B3024="","","outreach_sent")</f>
        <v/>
      </c>
      <c r="G3024" s="17">
        <f>IF(B3024="","","")</f>
        <v/>
      </c>
      <c r="H3024" s="17">
        <f>IF(B3024="","","")</f>
        <v/>
      </c>
      <c r="I3024" s="17">
        <f>IF(B3024="","","")</f>
        <v/>
      </c>
      <c r="J3024" s="17">
        <f>IF(B3024="","","touch_3; "&amp;IFERROR(INDEX(Clay_Offices!$A$2:$FZ$601,173,Sync!$C$10)&amp;"","")&amp;"; "&amp;IFERROR(INDEX(Clay_Offices!$A$2:$FZ$601,173,Sync!$C$9)&amp;"",""))</f>
        <v/>
      </c>
      <c r="K3024" t="inlineStr">
        <is>
          <t>office outreach touch 3</t>
        </is>
      </c>
    </row>
    <row r="3025">
      <c r="A3025" s="17">
        <f>IF(B3025="","",B3025+(14*1000+174)/10000000)</f>
        <v/>
      </c>
      <c r="B3025" s="23">
        <f>IF(AND(IFERROR(N(INDEX(Clay_Offices!$A$2:$FZ$601,174,Sync!$C$13)),0)&gt;0,IFERROR(INDEX(Clay_Offices!$A$2:$FZ$601,174,Sync!$C$5)&amp;"","")&lt;&gt;"",OR(LEFT(IFERROR(INDEX(Clay_Offices!$A$2:$FZ$601,174,Sync!$C$5)&amp;"",""),6)&lt;&gt;"SAMPLE",Config!$B$19="Y")),IFERROR(N(INDEX(Clay_Offices!$A$2:$FZ$601,174,Sync!$C$13)),0),"")</f>
        <v/>
      </c>
      <c r="C3025" s="17">
        <f>IF(B3025="","","office")</f>
        <v/>
      </c>
      <c r="D3025" s="17">
        <f>IF(B3025="","",IFERROR(INDEX(Clay_Offices!$A$2:$FZ$601,174,Sync!$C$5)&amp;"",""))</f>
        <v/>
      </c>
      <c r="E3025" s="17">
        <f>IF(B3025="","",IFERROR(INDEX(Clay_Offices!$A$2:$FZ$601,174,Sync!$C$6)&amp;"",""))</f>
        <v/>
      </c>
      <c r="F3025" s="17">
        <f>IF(B3025="","","outreach_sent")</f>
        <v/>
      </c>
      <c r="G3025" s="17">
        <f>IF(B3025="","","")</f>
        <v/>
      </c>
      <c r="H3025" s="17">
        <f>IF(B3025="","","")</f>
        <v/>
      </c>
      <c r="I3025" s="17">
        <f>IF(B3025="","","")</f>
        <v/>
      </c>
      <c r="J3025" s="17">
        <f>IF(B3025="","","touch_3; "&amp;IFERROR(INDEX(Clay_Offices!$A$2:$FZ$601,174,Sync!$C$10)&amp;"","")&amp;"; "&amp;IFERROR(INDEX(Clay_Offices!$A$2:$FZ$601,174,Sync!$C$9)&amp;"",""))</f>
        <v/>
      </c>
      <c r="K3025" t="inlineStr">
        <is>
          <t>office outreach touch 3</t>
        </is>
      </c>
    </row>
    <row r="3026">
      <c r="A3026" s="17">
        <f>IF(B3026="","",B3026+(14*1000+175)/10000000)</f>
        <v/>
      </c>
      <c r="B3026" s="23">
        <f>IF(AND(IFERROR(N(INDEX(Clay_Offices!$A$2:$FZ$601,175,Sync!$C$13)),0)&gt;0,IFERROR(INDEX(Clay_Offices!$A$2:$FZ$601,175,Sync!$C$5)&amp;"","")&lt;&gt;"",OR(LEFT(IFERROR(INDEX(Clay_Offices!$A$2:$FZ$601,175,Sync!$C$5)&amp;"",""),6)&lt;&gt;"SAMPLE",Config!$B$19="Y")),IFERROR(N(INDEX(Clay_Offices!$A$2:$FZ$601,175,Sync!$C$13)),0),"")</f>
        <v/>
      </c>
      <c r="C3026" s="17">
        <f>IF(B3026="","","office")</f>
        <v/>
      </c>
      <c r="D3026" s="17">
        <f>IF(B3026="","",IFERROR(INDEX(Clay_Offices!$A$2:$FZ$601,175,Sync!$C$5)&amp;"",""))</f>
        <v/>
      </c>
      <c r="E3026" s="17">
        <f>IF(B3026="","",IFERROR(INDEX(Clay_Offices!$A$2:$FZ$601,175,Sync!$C$6)&amp;"",""))</f>
        <v/>
      </c>
      <c r="F3026" s="17">
        <f>IF(B3026="","","outreach_sent")</f>
        <v/>
      </c>
      <c r="G3026" s="17">
        <f>IF(B3026="","","")</f>
        <v/>
      </c>
      <c r="H3026" s="17">
        <f>IF(B3026="","","")</f>
        <v/>
      </c>
      <c r="I3026" s="17">
        <f>IF(B3026="","","")</f>
        <v/>
      </c>
      <c r="J3026" s="17">
        <f>IF(B3026="","","touch_3; "&amp;IFERROR(INDEX(Clay_Offices!$A$2:$FZ$601,175,Sync!$C$10)&amp;"","")&amp;"; "&amp;IFERROR(INDEX(Clay_Offices!$A$2:$FZ$601,175,Sync!$C$9)&amp;"",""))</f>
        <v/>
      </c>
      <c r="K3026" t="inlineStr">
        <is>
          <t>office outreach touch 3</t>
        </is>
      </c>
    </row>
    <row r="3027">
      <c r="A3027" s="17">
        <f>IF(B3027="","",B3027+(14*1000+176)/10000000)</f>
        <v/>
      </c>
      <c r="B3027" s="23">
        <f>IF(AND(IFERROR(N(INDEX(Clay_Offices!$A$2:$FZ$601,176,Sync!$C$13)),0)&gt;0,IFERROR(INDEX(Clay_Offices!$A$2:$FZ$601,176,Sync!$C$5)&amp;"","")&lt;&gt;"",OR(LEFT(IFERROR(INDEX(Clay_Offices!$A$2:$FZ$601,176,Sync!$C$5)&amp;"",""),6)&lt;&gt;"SAMPLE",Config!$B$19="Y")),IFERROR(N(INDEX(Clay_Offices!$A$2:$FZ$601,176,Sync!$C$13)),0),"")</f>
        <v/>
      </c>
      <c r="C3027" s="17">
        <f>IF(B3027="","","office")</f>
        <v/>
      </c>
      <c r="D3027" s="17">
        <f>IF(B3027="","",IFERROR(INDEX(Clay_Offices!$A$2:$FZ$601,176,Sync!$C$5)&amp;"",""))</f>
        <v/>
      </c>
      <c r="E3027" s="17">
        <f>IF(B3027="","",IFERROR(INDEX(Clay_Offices!$A$2:$FZ$601,176,Sync!$C$6)&amp;"",""))</f>
        <v/>
      </c>
      <c r="F3027" s="17">
        <f>IF(B3027="","","outreach_sent")</f>
        <v/>
      </c>
      <c r="G3027" s="17">
        <f>IF(B3027="","","")</f>
        <v/>
      </c>
      <c r="H3027" s="17">
        <f>IF(B3027="","","")</f>
        <v/>
      </c>
      <c r="I3027" s="17">
        <f>IF(B3027="","","")</f>
        <v/>
      </c>
      <c r="J3027" s="17">
        <f>IF(B3027="","","touch_3; "&amp;IFERROR(INDEX(Clay_Offices!$A$2:$FZ$601,176,Sync!$C$10)&amp;"","")&amp;"; "&amp;IFERROR(INDEX(Clay_Offices!$A$2:$FZ$601,176,Sync!$C$9)&amp;"",""))</f>
        <v/>
      </c>
      <c r="K3027" t="inlineStr">
        <is>
          <t>office outreach touch 3</t>
        </is>
      </c>
    </row>
    <row r="3028">
      <c r="A3028" s="17">
        <f>IF(B3028="","",B3028+(14*1000+177)/10000000)</f>
        <v/>
      </c>
      <c r="B3028" s="23">
        <f>IF(AND(IFERROR(N(INDEX(Clay_Offices!$A$2:$FZ$601,177,Sync!$C$13)),0)&gt;0,IFERROR(INDEX(Clay_Offices!$A$2:$FZ$601,177,Sync!$C$5)&amp;"","")&lt;&gt;"",OR(LEFT(IFERROR(INDEX(Clay_Offices!$A$2:$FZ$601,177,Sync!$C$5)&amp;"",""),6)&lt;&gt;"SAMPLE",Config!$B$19="Y")),IFERROR(N(INDEX(Clay_Offices!$A$2:$FZ$601,177,Sync!$C$13)),0),"")</f>
        <v/>
      </c>
      <c r="C3028" s="17">
        <f>IF(B3028="","","office")</f>
        <v/>
      </c>
      <c r="D3028" s="17">
        <f>IF(B3028="","",IFERROR(INDEX(Clay_Offices!$A$2:$FZ$601,177,Sync!$C$5)&amp;"",""))</f>
        <v/>
      </c>
      <c r="E3028" s="17">
        <f>IF(B3028="","",IFERROR(INDEX(Clay_Offices!$A$2:$FZ$601,177,Sync!$C$6)&amp;"",""))</f>
        <v/>
      </c>
      <c r="F3028" s="17">
        <f>IF(B3028="","","outreach_sent")</f>
        <v/>
      </c>
      <c r="G3028" s="17">
        <f>IF(B3028="","","")</f>
        <v/>
      </c>
      <c r="H3028" s="17">
        <f>IF(B3028="","","")</f>
        <v/>
      </c>
      <c r="I3028" s="17">
        <f>IF(B3028="","","")</f>
        <v/>
      </c>
      <c r="J3028" s="17">
        <f>IF(B3028="","","touch_3; "&amp;IFERROR(INDEX(Clay_Offices!$A$2:$FZ$601,177,Sync!$C$10)&amp;"","")&amp;"; "&amp;IFERROR(INDEX(Clay_Offices!$A$2:$FZ$601,177,Sync!$C$9)&amp;"",""))</f>
        <v/>
      </c>
      <c r="K3028" t="inlineStr">
        <is>
          <t>office outreach touch 3</t>
        </is>
      </c>
    </row>
    <row r="3029">
      <c r="A3029" s="17">
        <f>IF(B3029="","",B3029+(14*1000+178)/10000000)</f>
        <v/>
      </c>
      <c r="B3029" s="23">
        <f>IF(AND(IFERROR(N(INDEX(Clay_Offices!$A$2:$FZ$601,178,Sync!$C$13)),0)&gt;0,IFERROR(INDEX(Clay_Offices!$A$2:$FZ$601,178,Sync!$C$5)&amp;"","")&lt;&gt;"",OR(LEFT(IFERROR(INDEX(Clay_Offices!$A$2:$FZ$601,178,Sync!$C$5)&amp;"",""),6)&lt;&gt;"SAMPLE",Config!$B$19="Y")),IFERROR(N(INDEX(Clay_Offices!$A$2:$FZ$601,178,Sync!$C$13)),0),"")</f>
        <v/>
      </c>
      <c r="C3029" s="17">
        <f>IF(B3029="","","office")</f>
        <v/>
      </c>
      <c r="D3029" s="17">
        <f>IF(B3029="","",IFERROR(INDEX(Clay_Offices!$A$2:$FZ$601,178,Sync!$C$5)&amp;"",""))</f>
        <v/>
      </c>
      <c r="E3029" s="17">
        <f>IF(B3029="","",IFERROR(INDEX(Clay_Offices!$A$2:$FZ$601,178,Sync!$C$6)&amp;"",""))</f>
        <v/>
      </c>
      <c r="F3029" s="17">
        <f>IF(B3029="","","outreach_sent")</f>
        <v/>
      </c>
      <c r="G3029" s="17">
        <f>IF(B3029="","","")</f>
        <v/>
      </c>
      <c r="H3029" s="17">
        <f>IF(B3029="","","")</f>
        <v/>
      </c>
      <c r="I3029" s="17">
        <f>IF(B3029="","","")</f>
        <v/>
      </c>
      <c r="J3029" s="17">
        <f>IF(B3029="","","touch_3; "&amp;IFERROR(INDEX(Clay_Offices!$A$2:$FZ$601,178,Sync!$C$10)&amp;"","")&amp;"; "&amp;IFERROR(INDEX(Clay_Offices!$A$2:$FZ$601,178,Sync!$C$9)&amp;"",""))</f>
        <v/>
      </c>
      <c r="K3029" t="inlineStr">
        <is>
          <t>office outreach touch 3</t>
        </is>
      </c>
    </row>
    <row r="3030">
      <c r="A3030" s="17">
        <f>IF(B3030="","",B3030+(14*1000+179)/10000000)</f>
        <v/>
      </c>
      <c r="B3030" s="23">
        <f>IF(AND(IFERROR(N(INDEX(Clay_Offices!$A$2:$FZ$601,179,Sync!$C$13)),0)&gt;0,IFERROR(INDEX(Clay_Offices!$A$2:$FZ$601,179,Sync!$C$5)&amp;"","")&lt;&gt;"",OR(LEFT(IFERROR(INDEX(Clay_Offices!$A$2:$FZ$601,179,Sync!$C$5)&amp;"",""),6)&lt;&gt;"SAMPLE",Config!$B$19="Y")),IFERROR(N(INDEX(Clay_Offices!$A$2:$FZ$601,179,Sync!$C$13)),0),"")</f>
        <v/>
      </c>
      <c r="C3030" s="17">
        <f>IF(B3030="","","office")</f>
        <v/>
      </c>
      <c r="D3030" s="17">
        <f>IF(B3030="","",IFERROR(INDEX(Clay_Offices!$A$2:$FZ$601,179,Sync!$C$5)&amp;"",""))</f>
        <v/>
      </c>
      <c r="E3030" s="17">
        <f>IF(B3030="","",IFERROR(INDEX(Clay_Offices!$A$2:$FZ$601,179,Sync!$C$6)&amp;"",""))</f>
        <v/>
      </c>
      <c r="F3030" s="17">
        <f>IF(B3030="","","outreach_sent")</f>
        <v/>
      </c>
      <c r="G3030" s="17">
        <f>IF(B3030="","","")</f>
        <v/>
      </c>
      <c r="H3030" s="17">
        <f>IF(B3030="","","")</f>
        <v/>
      </c>
      <c r="I3030" s="17">
        <f>IF(B3030="","","")</f>
        <v/>
      </c>
      <c r="J3030" s="17">
        <f>IF(B3030="","","touch_3; "&amp;IFERROR(INDEX(Clay_Offices!$A$2:$FZ$601,179,Sync!$C$10)&amp;"","")&amp;"; "&amp;IFERROR(INDEX(Clay_Offices!$A$2:$FZ$601,179,Sync!$C$9)&amp;"",""))</f>
        <v/>
      </c>
      <c r="K3030" t="inlineStr">
        <is>
          <t>office outreach touch 3</t>
        </is>
      </c>
    </row>
    <row r="3031">
      <c r="A3031" s="17">
        <f>IF(B3031="","",B3031+(14*1000+180)/10000000)</f>
        <v/>
      </c>
      <c r="B3031" s="23">
        <f>IF(AND(IFERROR(N(INDEX(Clay_Offices!$A$2:$FZ$601,180,Sync!$C$13)),0)&gt;0,IFERROR(INDEX(Clay_Offices!$A$2:$FZ$601,180,Sync!$C$5)&amp;"","")&lt;&gt;"",OR(LEFT(IFERROR(INDEX(Clay_Offices!$A$2:$FZ$601,180,Sync!$C$5)&amp;"",""),6)&lt;&gt;"SAMPLE",Config!$B$19="Y")),IFERROR(N(INDEX(Clay_Offices!$A$2:$FZ$601,180,Sync!$C$13)),0),"")</f>
        <v/>
      </c>
      <c r="C3031" s="17">
        <f>IF(B3031="","","office")</f>
        <v/>
      </c>
      <c r="D3031" s="17">
        <f>IF(B3031="","",IFERROR(INDEX(Clay_Offices!$A$2:$FZ$601,180,Sync!$C$5)&amp;"",""))</f>
        <v/>
      </c>
      <c r="E3031" s="17">
        <f>IF(B3031="","",IFERROR(INDEX(Clay_Offices!$A$2:$FZ$601,180,Sync!$C$6)&amp;"",""))</f>
        <v/>
      </c>
      <c r="F3031" s="17">
        <f>IF(B3031="","","outreach_sent")</f>
        <v/>
      </c>
      <c r="G3031" s="17">
        <f>IF(B3031="","","")</f>
        <v/>
      </c>
      <c r="H3031" s="17">
        <f>IF(B3031="","","")</f>
        <v/>
      </c>
      <c r="I3031" s="17">
        <f>IF(B3031="","","")</f>
        <v/>
      </c>
      <c r="J3031" s="17">
        <f>IF(B3031="","","touch_3; "&amp;IFERROR(INDEX(Clay_Offices!$A$2:$FZ$601,180,Sync!$C$10)&amp;"","")&amp;"; "&amp;IFERROR(INDEX(Clay_Offices!$A$2:$FZ$601,180,Sync!$C$9)&amp;"",""))</f>
        <v/>
      </c>
      <c r="K3031" t="inlineStr">
        <is>
          <t>office outreach touch 3</t>
        </is>
      </c>
    </row>
    <row r="3032">
      <c r="A3032" s="17">
        <f>IF(B3032="","",B3032+(14*1000+181)/10000000)</f>
        <v/>
      </c>
      <c r="B3032" s="23">
        <f>IF(AND(IFERROR(N(INDEX(Clay_Offices!$A$2:$FZ$601,181,Sync!$C$13)),0)&gt;0,IFERROR(INDEX(Clay_Offices!$A$2:$FZ$601,181,Sync!$C$5)&amp;"","")&lt;&gt;"",OR(LEFT(IFERROR(INDEX(Clay_Offices!$A$2:$FZ$601,181,Sync!$C$5)&amp;"",""),6)&lt;&gt;"SAMPLE",Config!$B$19="Y")),IFERROR(N(INDEX(Clay_Offices!$A$2:$FZ$601,181,Sync!$C$13)),0),"")</f>
        <v/>
      </c>
      <c r="C3032" s="17">
        <f>IF(B3032="","","office")</f>
        <v/>
      </c>
      <c r="D3032" s="17">
        <f>IF(B3032="","",IFERROR(INDEX(Clay_Offices!$A$2:$FZ$601,181,Sync!$C$5)&amp;"",""))</f>
        <v/>
      </c>
      <c r="E3032" s="17">
        <f>IF(B3032="","",IFERROR(INDEX(Clay_Offices!$A$2:$FZ$601,181,Sync!$C$6)&amp;"",""))</f>
        <v/>
      </c>
      <c r="F3032" s="17">
        <f>IF(B3032="","","outreach_sent")</f>
        <v/>
      </c>
      <c r="G3032" s="17">
        <f>IF(B3032="","","")</f>
        <v/>
      </c>
      <c r="H3032" s="17">
        <f>IF(B3032="","","")</f>
        <v/>
      </c>
      <c r="I3032" s="17">
        <f>IF(B3032="","","")</f>
        <v/>
      </c>
      <c r="J3032" s="17">
        <f>IF(B3032="","","touch_3; "&amp;IFERROR(INDEX(Clay_Offices!$A$2:$FZ$601,181,Sync!$C$10)&amp;"","")&amp;"; "&amp;IFERROR(INDEX(Clay_Offices!$A$2:$FZ$601,181,Sync!$C$9)&amp;"",""))</f>
        <v/>
      </c>
      <c r="K3032" t="inlineStr">
        <is>
          <t>office outreach touch 3</t>
        </is>
      </c>
    </row>
    <row r="3033">
      <c r="A3033" s="17">
        <f>IF(B3033="","",B3033+(14*1000+182)/10000000)</f>
        <v/>
      </c>
      <c r="B3033" s="23">
        <f>IF(AND(IFERROR(N(INDEX(Clay_Offices!$A$2:$FZ$601,182,Sync!$C$13)),0)&gt;0,IFERROR(INDEX(Clay_Offices!$A$2:$FZ$601,182,Sync!$C$5)&amp;"","")&lt;&gt;"",OR(LEFT(IFERROR(INDEX(Clay_Offices!$A$2:$FZ$601,182,Sync!$C$5)&amp;"",""),6)&lt;&gt;"SAMPLE",Config!$B$19="Y")),IFERROR(N(INDEX(Clay_Offices!$A$2:$FZ$601,182,Sync!$C$13)),0),"")</f>
        <v/>
      </c>
      <c r="C3033" s="17">
        <f>IF(B3033="","","office")</f>
        <v/>
      </c>
      <c r="D3033" s="17">
        <f>IF(B3033="","",IFERROR(INDEX(Clay_Offices!$A$2:$FZ$601,182,Sync!$C$5)&amp;"",""))</f>
        <v/>
      </c>
      <c r="E3033" s="17">
        <f>IF(B3033="","",IFERROR(INDEX(Clay_Offices!$A$2:$FZ$601,182,Sync!$C$6)&amp;"",""))</f>
        <v/>
      </c>
      <c r="F3033" s="17">
        <f>IF(B3033="","","outreach_sent")</f>
        <v/>
      </c>
      <c r="G3033" s="17">
        <f>IF(B3033="","","")</f>
        <v/>
      </c>
      <c r="H3033" s="17">
        <f>IF(B3033="","","")</f>
        <v/>
      </c>
      <c r="I3033" s="17">
        <f>IF(B3033="","","")</f>
        <v/>
      </c>
      <c r="J3033" s="17">
        <f>IF(B3033="","","touch_3; "&amp;IFERROR(INDEX(Clay_Offices!$A$2:$FZ$601,182,Sync!$C$10)&amp;"","")&amp;"; "&amp;IFERROR(INDEX(Clay_Offices!$A$2:$FZ$601,182,Sync!$C$9)&amp;"",""))</f>
        <v/>
      </c>
      <c r="K3033" t="inlineStr">
        <is>
          <t>office outreach touch 3</t>
        </is>
      </c>
    </row>
    <row r="3034">
      <c r="A3034" s="17">
        <f>IF(B3034="","",B3034+(14*1000+183)/10000000)</f>
        <v/>
      </c>
      <c r="B3034" s="23">
        <f>IF(AND(IFERROR(N(INDEX(Clay_Offices!$A$2:$FZ$601,183,Sync!$C$13)),0)&gt;0,IFERROR(INDEX(Clay_Offices!$A$2:$FZ$601,183,Sync!$C$5)&amp;"","")&lt;&gt;"",OR(LEFT(IFERROR(INDEX(Clay_Offices!$A$2:$FZ$601,183,Sync!$C$5)&amp;"",""),6)&lt;&gt;"SAMPLE",Config!$B$19="Y")),IFERROR(N(INDEX(Clay_Offices!$A$2:$FZ$601,183,Sync!$C$13)),0),"")</f>
        <v/>
      </c>
      <c r="C3034" s="17">
        <f>IF(B3034="","","office")</f>
        <v/>
      </c>
      <c r="D3034" s="17">
        <f>IF(B3034="","",IFERROR(INDEX(Clay_Offices!$A$2:$FZ$601,183,Sync!$C$5)&amp;"",""))</f>
        <v/>
      </c>
      <c r="E3034" s="17">
        <f>IF(B3034="","",IFERROR(INDEX(Clay_Offices!$A$2:$FZ$601,183,Sync!$C$6)&amp;"",""))</f>
        <v/>
      </c>
      <c r="F3034" s="17">
        <f>IF(B3034="","","outreach_sent")</f>
        <v/>
      </c>
      <c r="G3034" s="17">
        <f>IF(B3034="","","")</f>
        <v/>
      </c>
      <c r="H3034" s="17">
        <f>IF(B3034="","","")</f>
        <v/>
      </c>
      <c r="I3034" s="17">
        <f>IF(B3034="","","")</f>
        <v/>
      </c>
      <c r="J3034" s="17">
        <f>IF(B3034="","","touch_3; "&amp;IFERROR(INDEX(Clay_Offices!$A$2:$FZ$601,183,Sync!$C$10)&amp;"","")&amp;"; "&amp;IFERROR(INDEX(Clay_Offices!$A$2:$FZ$601,183,Sync!$C$9)&amp;"",""))</f>
        <v/>
      </c>
      <c r="K3034" t="inlineStr">
        <is>
          <t>office outreach touch 3</t>
        </is>
      </c>
    </row>
    <row r="3035">
      <c r="A3035" s="17">
        <f>IF(B3035="","",B3035+(14*1000+184)/10000000)</f>
        <v/>
      </c>
      <c r="B3035" s="23">
        <f>IF(AND(IFERROR(N(INDEX(Clay_Offices!$A$2:$FZ$601,184,Sync!$C$13)),0)&gt;0,IFERROR(INDEX(Clay_Offices!$A$2:$FZ$601,184,Sync!$C$5)&amp;"","")&lt;&gt;"",OR(LEFT(IFERROR(INDEX(Clay_Offices!$A$2:$FZ$601,184,Sync!$C$5)&amp;"",""),6)&lt;&gt;"SAMPLE",Config!$B$19="Y")),IFERROR(N(INDEX(Clay_Offices!$A$2:$FZ$601,184,Sync!$C$13)),0),"")</f>
        <v/>
      </c>
      <c r="C3035" s="17">
        <f>IF(B3035="","","office")</f>
        <v/>
      </c>
      <c r="D3035" s="17">
        <f>IF(B3035="","",IFERROR(INDEX(Clay_Offices!$A$2:$FZ$601,184,Sync!$C$5)&amp;"",""))</f>
        <v/>
      </c>
      <c r="E3035" s="17">
        <f>IF(B3035="","",IFERROR(INDEX(Clay_Offices!$A$2:$FZ$601,184,Sync!$C$6)&amp;"",""))</f>
        <v/>
      </c>
      <c r="F3035" s="17">
        <f>IF(B3035="","","outreach_sent")</f>
        <v/>
      </c>
      <c r="G3035" s="17">
        <f>IF(B3035="","","")</f>
        <v/>
      </c>
      <c r="H3035" s="17">
        <f>IF(B3035="","","")</f>
        <v/>
      </c>
      <c r="I3035" s="17">
        <f>IF(B3035="","","")</f>
        <v/>
      </c>
      <c r="J3035" s="17">
        <f>IF(B3035="","","touch_3; "&amp;IFERROR(INDEX(Clay_Offices!$A$2:$FZ$601,184,Sync!$C$10)&amp;"","")&amp;"; "&amp;IFERROR(INDEX(Clay_Offices!$A$2:$FZ$601,184,Sync!$C$9)&amp;"",""))</f>
        <v/>
      </c>
      <c r="K3035" t="inlineStr">
        <is>
          <t>office outreach touch 3</t>
        </is>
      </c>
    </row>
    <row r="3036">
      <c r="A3036" s="17">
        <f>IF(B3036="","",B3036+(14*1000+185)/10000000)</f>
        <v/>
      </c>
      <c r="B3036" s="23">
        <f>IF(AND(IFERROR(N(INDEX(Clay_Offices!$A$2:$FZ$601,185,Sync!$C$13)),0)&gt;0,IFERROR(INDEX(Clay_Offices!$A$2:$FZ$601,185,Sync!$C$5)&amp;"","")&lt;&gt;"",OR(LEFT(IFERROR(INDEX(Clay_Offices!$A$2:$FZ$601,185,Sync!$C$5)&amp;"",""),6)&lt;&gt;"SAMPLE",Config!$B$19="Y")),IFERROR(N(INDEX(Clay_Offices!$A$2:$FZ$601,185,Sync!$C$13)),0),"")</f>
        <v/>
      </c>
      <c r="C3036" s="17">
        <f>IF(B3036="","","office")</f>
        <v/>
      </c>
      <c r="D3036" s="17">
        <f>IF(B3036="","",IFERROR(INDEX(Clay_Offices!$A$2:$FZ$601,185,Sync!$C$5)&amp;"",""))</f>
        <v/>
      </c>
      <c r="E3036" s="17">
        <f>IF(B3036="","",IFERROR(INDEX(Clay_Offices!$A$2:$FZ$601,185,Sync!$C$6)&amp;"",""))</f>
        <v/>
      </c>
      <c r="F3036" s="17">
        <f>IF(B3036="","","outreach_sent")</f>
        <v/>
      </c>
      <c r="G3036" s="17">
        <f>IF(B3036="","","")</f>
        <v/>
      </c>
      <c r="H3036" s="17">
        <f>IF(B3036="","","")</f>
        <v/>
      </c>
      <c r="I3036" s="17">
        <f>IF(B3036="","","")</f>
        <v/>
      </c>
      <c r="J3036" s="17">
        <f>IF(B3036="","","touch_3; "&amp;IFERROR(INDEX(Clay_Offices!$A$2:$FZ$601,185,Sync!$C$10)&amp;"","")&amp;"; "&amp;IFERROR(INDEX(Clay_Offices!$A$2:$FZ$601,185,Sync!$C$9)&amp;"",""))</f>
        <v/>
      </c>
      <c r="K3036" t="inlineStr">
        <is>
          <t>office outreach touch 3</t>
        </is>
      </c>
    </row>
    <row r="3037">
      <c r="A3037" s="17">
        <f>IF(B3037="","",B3037+(14*1000+186)/10000000)</f>
        <v/>
      </c>
      <c r="B3037" s="23">
        <f>IF(AND(IFERROR(N(INDEX(Clay_Offices!$A$2:$FZ$601,186,Sync!$C$13)),0)&gt;0,IFERROR(INDEX(Clay_Offices!$A$2:$FZ$601,186,Sync!$C$5)&amp;"","")&lt;&gt;"",OR(LEFT(IFERROR(INDEX(Clay_Offices!$A$2:$FZ$601,186,Sync!$C$5)&amp;"",""),6)&lt;&gt;"SAMPLE",Config!$B$19="Y")),IFERROR(N(INDEX(Clay_Offices!$A$2:$FZ$601,186,Sync!$C$13)),0),"")</f>
        <v/>
      </c>
      <c r="C3037" s="17">
        <f>IF(B3037="","","office")</f>
        <v/>
      </c>
      <c r="D3037" s="17">
        <f>IF(B3037="","",IFERROR(INDEX(Clay_Offices!$A$2:$FZ$601,186,Sync!$C$5)&amp;"",""))</f>
        <v/>
      </c>
      <c r="E3037" s="17">
        <f>IF(B3037="","",IFERROR(INDEX(Clay_Offices!$A$2:$FZ$601,186,Sync!$C$6)&amp;"",""))</f>
        <v/>
      </c>
      <c r="F3037" s="17">
        <f>IF(B3037="","","outreach_sent")</f>
        <v/>
      </c>
      <c r="G3037" s="17">
        <f>IF(B3037="","","")</f>
        <v/>
      </c>
      <c r="H3037" s="17">
        <f>IF(B3037="","","")</f>
        <v/>
      </c>
      <c r="I3037" s="17">
        <f>IF(B3037="","","")</f>
        <v/>
      </c>
      <c r="J3037" s="17">
        <f>IF(B3037="","","touch_3; "&amp;IFERROR(INDEX(Clay_Offices!$A$2:$FZ$601,186,Sync!$C$10)&amp;"","")&amp;"; "&amp;IFERROR(INDEX(Clay_Offices!$A$2:$FZ$601,186,Sync!$C$9)&amp;"",""))</f>
        <v/>
      </c>
      <c r="K3037" t="inlineStr">
        <is>
          <t>office outreach touch 3</t>
        </is>
      </c>
    </row>
    <row r="3038">
      <c r="A3038" s="17">
        <f>IF(B3038="","",B3038+(14*1000+187)/10000000)</f>
        <v/>
      </c>
      <c r="B3038" s="23">
        <f>IF(AND(IFERROR(N(INDEX(Clay_Offices!$A$2:$FZ$601,187,Sync!$C$13)),0)&gt;0,IFERROR(INDEX(Clay_Offices!$A$2:$FZ$601,187,Sync!$C$5)&amp;"","")&lt;&gt;"",OR(LEFT(IFERROR(INDEX(Clay_Offices!$A$2:$FZ$601,187,Sync!$C$5)&amp;"",""),6)&lt;&gt;"SAMPLE",Config!$B$19="Y")),IFERROR(N(INDEX(Clay_Offices!$A$2:$FZ$601,187,Sync!$C$13)),0),"")</f>
        <v/>
      </c>
      <c r="C3038" s="17">
        <f>IF(B3038="","","office")</f>
        <v/>
      </c>
      <c r="D3038" s="17">
        <f>IF(B3038="","",IFERROR(INDEX(Clay_Offices!$A$2:$FZ$601,187,Sync!$C$5)&amp;"",""))</f>
        <v/>
      </c>
      <c r="E3038" s="17">
        <f>IF(B3038="","",IFERROR(INDEX(Clay_Offices!$A$2:$FZ$601,187,Sync!$C$6)&amp;"",""))</f>
        <v/>
      </c>
      <c r="F3038" s="17">
        <f>IF(B3038="","","outreach_sent")</f>
        <v/>
      </c>
      <c r="G3038" s="17">
        <f>IF(B3038="","","")</f>
        <v/>
      </c>
      <c r="H3038" s="17">
        <f>IF(B3038="","","")</f>
        <v/>
      </c>
      <c r="I3038" s="17">
        <f>IF(B3038="","","")</f>
        <v/>
      </c>
      <c r="J3038" s="17">
        <f>IF(B3038="","","touch_3; "&amp;IFERROR(INDEX(Clay_Offices!$A$2:$FZ$601,187,Sync!$C$10)&amp;"","")&amp;"; "&amp;IFERROR(INDEX(Clay_Offices!$A$2:$FZ$601,187,Sync!$C$9)&amp;"",""))</f>
        <v/>
      </c>
      <c r="K3038" t="inlineStr">
        <is>
          <t>office outreach touch 3</t>
        </is>
      </c>
    </row>
    <row r="3039">
      <c r="A3039" s="17">
        <f>IF(B3039="","",B3039+(14*1000+188)/10000000)</f>
        <v/>
      </c>
      <c r="B3039" s="23">
        <f>IF(AND(IFERROR(N(INDEX(Clay_Offices!$A$2:$FZ$601,188,Sync!$C$13)),0)&gt;0,IFERROR(INDEX(Clay_Offices!$A$2:$FZ$601,188,Sync!$C$5)&amp;"","")&lt;&gt;"",OR(LEFT(IFERROR(INDEX(Clay_Offices!$A$2:$FZ$601,188,Sync!$C$5)&amp;"",""),6)&lt;&gt;"SAMPLE",Config!$B$19="Y")),IFERROR(N(INDEX(Clay_Offices!$A$2:$FZ$601,188,Sync!$C$13)),0),"")</f>
        <v/>
      </c>
      <c r="C3039" s="17">
        <f>IF(B3039="","","office")</f>
        <v/>
      </c>
      <c r="D3039" s="17">
        <f>IF(B3039="","",IFERROR(INDEX(Clay_Offices!$A$2:$FZ$601,188,Sync!$C$5)&amp;"",""))</f>
        <v/>
      </c>
      <c r="E3039" s="17">
        <f>IF(B3039="","",IFERROR(INDEX(Clay_Offices!$A$2:$FZ$601,188,Sync!$C$6)&amp;"",""))</f>
        <v/>
      </c>
      <c r="F3039" s="17">
        <f>IF(B3039="","","outreach_sent")</f>
        <v/>
      </c>
      <c r="G3039" s="17">
        <f>IF(B3039="","","")</f>
        <v/>
      </c>
      <c r="H3039" s="17">
        <f>IF(B3039="","","")</f>
        <v/>
      </c>
      <c r="I3039" s="17">
        <f>IF(B3039="","","")</f>
        <v/>
      </c>
      <c r="J3039" s="17">
        <f>IF(B3039="","","touch_3; "&amp;IFERROR(INDEX(Clay_Offices!$A$2:$FZ$601,188,Sync!$C$10)&amp;"","")&amp;"; "&amp;IFERROR(INDEX(Clay_Offices!$A$2:$FZ$601,188,Sync!$C$9)&amp;"",""))</f>
        <v/>
      </c>
      <c r="K3039" t="inlineStr">
        <is>
          <t>office outreach touch 3</t>
        </is>
      </c>
    </row>
    <row r="3040">
      <c r="A3040" s="17">
        <f>IF(B3040="","",B3040+(14*1000+189)/10000000)</f>
        <v/>
      </c>
      <c r="B3040" s="23">
        <f>IF(AND(IFERROR(N(INDEX(Clay_Offices!$A$2:$FZ$601,189,Sync!$C$13)),0)&gt;0,IFERROR(INDEX(Clay_Offices!$A$2:$FZ$601,189,Sync!$C$5)&amp;"","")&lt;&gt;"",OR(LEFT(IFERROR(INDEX(Clay_Offices!$A$2:$FZ$601,189,Sync!$C$5)&amp;"",""),6)&lt;&gt;"SAMPLE",Config!$B$19="Y")),IFERROR(N(INDEX(Clay_Offices!$A$2:$FZ$601,189,Sync!$C$13)),0),"")</f>
        <v/>
      </c>
      <c r="C3040" s="17">
        <f>IF(B3040="","","office")</f>
        <v/>
      </c>
      <c r="D3040" s="17">
        <f>IF(B3040="","",IFERROR(INDEX(Clay_Offices!$A$2:$FZ$601,189,Sync!$C$5)&amp;"",""))</f>
        <v/>
      </c>
      <c r="E3040" s="17">
        <f>IF(B3040="","",IFERROR(INDEX(Clay_Offices!$A$2:$FZ$601,189,Sync!$C$6)&amp;"",""))</f>
        <v/>
      </c>
      <c r="F3040" s="17">
        <f>IF(B3040="","","outreach_sent")</f>
        <v/>
      </c>
      <c r="G3040" s="17">
        <f>IF(B3040="","","")</f>
        <v/>
      </c>
      <c r="H3040" s="17">
        <f>IF(B3040="","","")</f>
        <v/>
      </c>
      <c r="I3040" s="17">
        <f>IF(B3040="","","")</f>
        <v/>
      </c>
      <c r="J3040" s="17">
        <f>IF(B3040="","","touch_3; "&amp;IFERROR(INDEX(Clay_Offices!$A$2:$FZ$601,189,Sync!$C$10)&amp;"","")&amp;"; "&amp;IFERROR(INDEX(Clay_Offices!$A$2:$FZ$601,189,Sync!$C$9)&amp;"",""))</f>
        <v/>
      </c>
      <c r="K3040" t="inlineStr">
        <is>
          <t>office outreach touch 3</t>
        </is>
      </c>
    </row>
    <row r="3041">
      <c r="A3041" s="17">
        <f>IF(B3041="","",B3041+(14*1000+190)/10000000)</f>
        <v/>
      </c>
      <c r="B3041" s="23">
        <f>IF(AND(IFERROR(N(INDEX(Clay_Offices!$A$2:$FZ$601,190,Sync!$C$13)),0)&gt;0,IFERROR(INDEX(Clay_Offices!$A$2:$FZ$601,190,Sync!$C$5)&amp;"","")&lt;&gt;"",OR(LEFT(IFERROR(INDEX(Clay_Offices!$A$2:$FZ$601,190,Sync!$C$5)&amp;"",""),6)&lt;&gt;"SAMPLE",Config!$B$19="Y")),IFERROR(N(INDEX(Clay_Offices!$A$2:$FZ$601,190,Sync!$C$13)),0),"")</f>
        <v/>
      </c>
      <c r="C3041" s="17">
        <f>IF(B3041="","","office")</f>
        <v/>
      </c>
      <c r="D3041" s="17">
        <f>IF(B3041="","",IFERROR(INDEX(Clay_Offices!$A$2:$FZ$601,190,Sync!$C$5)&amp;"",""))</f>
        <v/>
      </c>
      <c r="E3041" s="17">
        <f>IF(B3041="","",IFERROR(INDEX(Clay_Offices!$A$2:$FZ$601,190,Sync!$C$6)&amp;"",""))</f>
        <v/>
      </c>
      <c r="F3041" s="17">
        <f>IF(B3041="","","outreach_sent")</f>
        <v/>
      </c>
      <c r="G3041" s="17">
        <f>IF(B3041="","","")</f>
        <v/>
      </c>
      <c r="H3041" s="17">
        <f>IF(B3041="","","")</f>
        <v/>
      </c>
      <c r="I3041" s="17">
        <f>IF(B3041="","","")</f>
        <v/>
      </c>
      <c r="J3041" s="17">
        <f>IF(B3041="","","touch_3; "&amp;IFERROR(INDEX(Clay_Offices!$A$2:$FZ$601,190,Sync!$C$10)&amp;"","")&amp;"; "&amp;IFERROR(INDEX(Clay_Offices!$A$2:$FZ$601,190,Sync!$C$9)&amp;"",""))</f>
        <v/>
      </c>
      <c r="K3041" t="inlineStr">
        <is>
          <t>office outreach touch 3</t>
        </is>
      </c>
    </row>
    <row r="3042">
      <c r="A3042" s="17">
        <f>IF(B3042="","",B3042+(14*1000+191)/10000000)</f>
        <v/>
      </c>
      <c r="B3042" s="23">
        <f>IF(AND(IFERROR(N(INDEX(Clay_Offices!$A$2:$FZ$601,191,Sync!$C$13)),0)&gt;0,IFERROR(INDEX(Clay_Offices!$A$2:$FZ$601,191,Sync!$C$5)&amp;"","")&lt;&gt;"",OR(LEFT(IFERROR(INDEX(Clay_Offices!$A$2:$FZ$601,191,Sync!$C$5)&amp;"",""),6)&lt;&gt;"SAMPLE",Config!$B$19="Y")),IFERROR(N(INDEX(Clay_Offices!$A$2:$FZ$601,191,Sync!$C$13)),0),"")</f>
        <v/>
      </c>
      <c r="C3042" s="17">
        <f>IF(B3042="","","office")</f>
        <v/>
      </c>
      <c r="D3042" s="17">
        <f>IF(B3042="","",IFERROR(INDEX(Clay_Offices!$A$2:$FZ$601,191,Sync!$C$5)&amp;"",""))</f>
        <v/>
      </c>
      <c r="E3042" s="17">
        <f>IF(B3042="","",IFERROR(INDEX(Clay_Offices!$A$2:$FZ$601,191,Sync!$C$6)&amp;"",""))</f>
        <v/>
      </c>
      <c r="F3042" s="17">
        <f>IF(B3042="","","outreach_sent")</f>
        <v/>
      </c>
      <c r="G3042" s="17">
        <f>IF(B3042="","","")</f>
        <v/>
      </c>
      <c r="H3042" s="17">
        <f>IF(B3042="","","")</f>
        <v/>
      </c>
      <c r="I3042" s="17">
        <f>IF(B3042="","","")</f>
        <v/>
      </c>
      <c r="J3042" s="17">
        <f>IF(B3042="","","touch_3; "&amp;IFERROR(INDEX(Clay_Offices!$A$2:$FZ$601,191,Sync!$C$10)&amp;"","")&amp;"; "&amp;IFERROR(INDEX(Clay_Offices!$A$2:$FZ$601,191,Sync!$C$9)&amp;"",""))</f>
        <v/>
      </c>
      <c r="K3042" t="inlineStr">
        <is>
          <t>office outreach touch 3</t>
        </is>
      </c>
    </row>
    <row r="3043">
      <c r="A3043" s="17">
        <f>IF(B3043="","",B3043+(14*1000+192)/10000000)</f>
        <v/>
      </c>
      <c r="B3043" s="23">
        <f>IF(AND(IFERROR(N(INDEX(Clay_Offices!$A$2:$FZ$601,192,Sync!$C$13)),0)&gt;0,IFERROR(INDEX(Clay_Offices!$A$2:$FZ$601,192,Sync!$C$5)&amp;"","")&lt;&gt;"",OR(LEFT(IFERROR(INDEX(Clay_Offices!$A$2:$FZ$601,192,Sync!$C$5)&amp;"",""),6)&lt;&gt;"SAMPLE",Config!$B$19="Y")),IFERROR(N(INDEX(Clay_Offices!$A$2:$FZ$601,192,Sync!$C$13)),0),"")</f>
        <v/>
      </c>
      <c r="C3043" s="17">
        <f>IF(B3043="","","office")</f>
        <v/>
      </c>
      <c r="D3043" s="17">
        <f>IF(B3043="","",IFERROR(INDEX(Clay_Offices!$A$2:$FZ$601,192,Sync!$C$5)&amp;"",""))</f>
        <v/>
      </c>
      <c r="E3043" s="17">
        <f>IF(B3043="","",IFERROR(INDEX(Clay_Offices!$A$2:$FZ$601,192,Sync!$C$6)&amp;"",""))</f>
        <v/>
      </c>
      <c r="F3043" s="17">
        <f>IF(B3043="","","outreach_sent")</f>
        <v/>
      </c>
      <c r="G3043" s="17">
        <f>IF(B3043="","","")</f>
        <v/>
      </c>
      <c r="H3043" s="17">
        <f>IF(B3043="","","")</f>
        <v/>
      </c>
      <c r="I3043" s="17">
        <f>IF(B3043="","","")</f>
        <v/>
      </c>
      <c r="J3043" s="17">
        <f>IF(B3043="","","touch_3; "&amp;IFERROR(INDEX(Clay_Offices!$A$2:$FZ$601,192,Sync!$C$10)&amp;"","")&amp;"; "&amp;IFERROR(INDEX(Clay_Offices!$A$2:$FZ$601,192,Sync!$C$9)&amp;"",""))</f>
        <v/>
      </c>
      <c r="K3043" t="inlineStr">
        <is>
          <t>office outreach touch 3</t>
        </is>
      </c>
    </row>
    <row r="3044">
      <c r="A3044" s="17">
        <f>IF(B3044="","",B3044+(14*1000+193)/10000000)</f>
        <v/>
      </c>
      <c r="B3044" s="23">
        <f>IF(AND(IFERROR(N(INDEX(Clay_Offices!$A$2:$FZ$601,193,Sync!$C$13)),0)&gt;0,IFERROR(INDEX(Clay_Offices!$A$2:$FZ$601,193,Sync!$C$5)&amp;"","")&lt;&gt;"",OR(LEFT(IFERROR(INDEX(Clay_Offices!$A$2:$FZ$601,193,Sync!$C$5)&amp;"",""),6)&lt;&gt;"SAMPLE",Config!$B$19="Y")),IFERROR(N(INDEX(Clay_Offices!$A$2:$FZ$601,193,Sync!$C$13)),0),"")</f>
        <v/>
      </c>
      <c r="C3044" s="17">
        <f>IF(B3044="","","office")</f>
        <v/>
      </c>
      <c r="D3044" s="17">
        <f>IF(B3044="","",IFERROR(INDEX(Clay_Offices!$A$2:$FZ$601,193,Sync!$C$5)&amp;"",""))</f>
        <v/>
      </c>
      <c r="E3044" s="17">
        <f>IF(B3044="","",IFERROR(INDEX(Clay_Offices!$A$2:$FZ$601,193,Sync!$C$6)&amp;"",""))</f>
        <v/>
      </c>
      <c r="F3044" s="17">
        <f>IF(B3044="","","outreach_sent")</f>
        <v/>
      </c>
      <c r="G3044" s="17">
        <f>IF(B3044="","","")</f>
        <v/>
      </c>
      <c r="H3044" s="17">
        <f>IF(B3044="","","")</f>
        <v/>
      </c>
      <c r="I3044" s="17">
        <f>IF(B3044="","","")</f>
        <v/>
      </c>
      <c r="J3044" s="17">
        <f>IF(B3044="","","touch_3; "&amp;IFERROR(INDEX(Clay_Offices!$A$2:$FZ$601,193,Sync!$C$10)&amp;"","")&amp;"; "&amp;IFERROR(INDEX(Clay_Offices!$A$2:$FZ$601,193,Sync!$C$9)&amp;"",""))</f>
        <v/>
      </c>
      <c r="K3044" t="inlineStr">
        <is>
          <t>office outreach touch 3</t>
        </is>
      </c>
    </row>
    <row r="3045">
      <c r="A3045" s="17">
        <f>IF(B3045="","",B3045+(14*1000+194)/10000000)</f>
        <v/>
      </c>
      <c r="B3045" s="23">
        <f>IF(AND(IFERROR(N(INDEX(Clay_Offices!$A$2:$FZ$601,194,Sync!$C$13)),0)&gt;0,IFERROR(INDEX(Clay_Offices!$A$2:$FZ$601,194,Sync!$C$5)&amp;"","")&lt;&gt;"",OR(LEFT(IFERROR(INDEX(Clay_Offices!$A$2:$FZ$601,194,Sync!$C$5)&amp;"",""),6)&lt;&gt;"SAMPLE",Config!$B$19="Y")),IFERROR(N(INDEX(Clay_Offices!$A$2:$FZ$601,194,Sync!$C$13)),0),"")</f>
        <v/>
      </c>
      <c r="C3045" s="17">
        <f>IF(B3045="","","office")</f>
        <v/>
      </c>
      <c r="D3045" s="17">
        <f>IF(B3045="","",IFERROR(INDEX(Clay_Offices!$A$2:$FZ$601,194,Sync!$C$5)&amp;"",""))</f>
        <v/>
      </c>
      <c r="E3045" s="17">
        <f>IF(B3045="","",IFERROR(INDEX(Clay_Offices!$A$2:$FZ$601,194,Sync!$C$6)&amp;"",""))</f>
        <v/>
      </c>
      <c r="F3045" s="17">
        <f>IF(B3045="","","outreach_sent")</f>
        <v/>
      </c>
      <c r="G3045" s="17">
        <f>IF(B3045="","","")</f>
        <v/>
      </c>
      <c r="H3045" s="17">
        <f>IF(B3045="","","")</f>
        <v/>
      </c>
      <c r="I3045" s="17">
        <f>IF(B3045="","","")</f>
        <v/>
      </c>
      <c r="J3045" s="17">
        <f>IF(B3045="","","touch_3; "&amp;IFERROR(INDEX(Clay_Offices!$A$2:$FZ$601,194,Sync!$C$10)&amp;"","")&amp;"; "&amp;IFERROR(INDEX(Clay_Offices!$A$2:$FZ$601,194,Sync!$C$9)&amp;"",""))</f>
        <v/>
      </c>
      <c r="K3045" t="inlineStr">
        <is>
          <t>office outreach touch 3</t>
        </is>
      </c>
    </row>
    <row r="3046">
      <c r="A3046" s="17">
        <f>IF(B3046="","",B3046+(14*1000+195)/10000000)</f>
        <v/>
      </c>
      <c r="B3046" s="23">
        <f>IF(AND(IFERROR(N(INDEX(Clay_Offices!$A$2:$FZ$601,195,Sync!$C$13)),0)&gt;0,IFERROR(INDEX(Clay_Offices!$A$2:$FZ$601,195,Sync!$C$5)&amp;"","")&lt;&gt;"",OR(LEFT(IFERROR(INDEX(Clay_Offices!$A$2:$FZ$601,195,Sync!$C$5)&amp;"",""),6)&lt;&gt;"SAMPLE",Config!$B$19="Y")),IFERROR(N(INDEX(Clay_Offices!$A$2:$FZ$601,195,Sync!$C$13)),0),"")</f>
        <v/>
      </c>
      <c r="C3046" s="17">
        <f>IF(B3046="","","office")</f>
        <v/>
      </c>
      <c r="D3046" s="17">
        <f>IF(B3046="","",IFERROR(INDEX(Clay_Offices!$A$2:$FZ$601,195,Sync!$C$5)&amp;"",""))</f>
        <v/>
      </c>
      <c r="E3046" s="17">
        <f>IF(B3046="","",IFERROR(INDEX(Clay_Offices!$A$2:$FZ$601,195,Sync!$C$6)&amp;"",""))</f>
        <v/>
      </c>
      <c r="F3046" s="17">
        <f>IF(B3046="","","outreach_sent")</f>
        <v/>
      </c>
      <c r="G3046" s="17">
        <f>IF(B3046="","","")</f>
        <v/>
      </c>
      <c r="H3046" s="17">
        <f>IF(B3046="","","")</f>
        <v/>
      </c>
      <c r="I3046" s="17">
        <f>IF(B3046="","","")</f>
        <v/>
      </c>
      <c r="J3046" s="17">
        <f>IF(B3046="","","touch_3; "&amp;IFERROR(INDEX(Clay_Offices!$A$2:$FZ$601,195,Sync!$C$10)&amp;"","")&amp;"; "&amp;IFERROR(INDEX(Clay_Offices!$A$2:$FZ$601,195,Sync!$C$9)&amp;"",""))</f>
        <v/>
      </c>
      <c r="K3046" t="inlineStr">
        <is>
          <t>office outreach touch 3</t>
        </is>
      </c>
    </row>
    <row r="3047">
      <c r="A3047" s="17">
        <f>IF(B3047="","",B3047+(14*1000+196)/10000000)</f>
        <v/>
      </c>
      <c r="B3047" s="23">
        <f>IF(AND(IFERROR(N(INDEX(Clay_Offices!$A$2:$FZ$601,196,Sync!$C$13)),0)&gt;0,IFERROR(INDEX(Clay_Offices!$A$2:$FZ$601,196,Sync!$C$5)&amp;"","")&lt;&gt;"",OR(LEFT(IFERROR(INDEX(Clay_Offices!$A$2:$FZ$601,196,Sync!$C$5)&amp;"",""),6)&lt;&gt;"SAMPLE",Config!$B$19="Y")),IFERROR(N(INDEX(Clay_Offices!$A$2:$FZ$601,196,Sync!$C$13)),0),"")</f>
        <v/>
      </c>
      <c r="C3047" s="17">
        <f>IF(B3047="","","office")</f>
        <v/>
      </c>
      <c r="D3047" s="17">
        <f>IF(B3047="","",IFERROR(INDEX(Clay_Offices!$A$2:$FZ$601,196,Sync!$C$5)&amp;"",""))</f>
        <v/>
      </c>
      <c r="E3047" s="17">
        <f>IF(B3047="","",IFERROR(INDEX(Clay_Offices!$A$2:$FZ$601,196,Sync!$C$6)&amp;"",""))</f>
        <v/>
      </c>
      <c r="F3047" s="17">
        <f>IF(B3047="","","outreach_sent")</f>
        <v/>
      </c>
      <c r="G3047" s="17">
        <f>IF(B3047="","","")</f>
        <v/>
      </c>
      <c r="H3047" s="17">
        <f>IF(B3047="","","")</f>
        <v/>
      </c>
      <c r="I3047" s="17">
        <f>IF(B3047="","","")</f>
        <v/>
      </c>
      <c r="J3047" s="17">
        <f>IF(B3047="","","touch_3; "&amp;IFERROR(INDEX(Clay_Offices!$A$2:$FZ$601,196,Sync!$C$10)&amp;"","")&amp;"; "&amp;IFERROR(INDEX(Clay_Offices!$A$2:$FZ$601,196,Sync!$C$9)&amp;"",""))</f>
        <v/>
      </c>
      <c r="K3047" t="inlineStr">
        <is>
          <t>office outreach touch 3</t>
        </is>
      </c>
    </row>
    <row r="3048">
      <c r="A3048" s="17">
        <f>IF(B3048="","",B3048+(14*1000+197)/10000000)</f>
        <v/>
      </c>
      <c r="B3048" s="23">
        <f>IF(AND(IFERROR(N(INDEX(Clay_Offices!$A$2:$FZ$601,197,Sync!$C$13)),0)&gt;0,IFERROR(INDEX(Clay_Offices!$A$2:$FZ$601,197,Sync!$C$5)&amp;"","")&lt;&gt;"",OR(LEFT(IFERROR(INDEX(Clay_Offices!$A$2:$FZ$601,197,Sync!$C$5)&amp;"",""),6)&lt;&gt;"SAMPLE",Config!$B$19="Y")),IFERROR(N(INDEX(Clay_Offices!$A$2:$FZ$601,197,Sync!$C$13)),0),"")</f>
        <v/>
      </c>
      <c r="C3048" s="17">
        <f>IF(B3048="","","office")</f>
        <v/>
      </c>
      <c r="D3048" s="17">
        <f>IF(B3048="","",IFERROR(INDEX(Clay_Offices!$A$2:$FZ$601,197,Sync!$C$5)&amp;"",""))</f>
        <v/>
      </c>
      <c r="E3048" s="17">
        <f>IF(B3048="","",IFERROR(INDEX(Clay_Offices!$A$2:$FZ$601,197,Sync!$C$6)&amp;"",""))</f>
        <v/>
      </c>
      <c r="F3048" s="17">
        <f>IF(B3048="","","outreach_sent")</f>
        <v/>
      </c>
      <c r="G3048" s="17">
        <f>IF(B3048="","","")</f>
        <v/>
      </c>
      <c r="H3048" s="17">
        <f>IF(B3048="","","")</f>
        <v/>
      </c>
      <c r="I3048" s="17">
        <f>IF(B3048="","","")</f>
        <v/>
      </c>
      <c r="J3048" s="17">
        <f>IF(B3048="","","touch_3; "&amp;IFERROR(INDEX(Clay_Offices!$A$2:$FZ$601,197,Sync!$C$10)&amp;"","")&amp;"; "&amp;IFERROR(INDEX(Clay_Offices!$A$2:$FZ$601,197,Sync!$C$9)&amp;"",""))</f>
        <v/>
      </c>
      <c r="K3048" t="inlineStr">
        <is>
          <t>office outreach touch 3</t>
        </is>
      </c>
    </row>
    <row r="3049">
      <c r="A3049" s="17">
        <f>IF(B3049="","",B3049+(14*1000+198)/10000000)</f>
        <v/>
      </c>
      <c r="B3049" s="23">
        <f>IF(AND(IFERROR(N(INDEX(Clay_Offices!$A$2:$FZ$601,198,Sync!$C$13)),0)&gt;0,IFERROR(INDEX(Clay_Offices!$A$2:$FZ$601,198,Sync!$C$5)&amp;"","")&lt;&gt;"",OR(LEFT(IFERROR(INDEX(Clay_Offices!$A$2:$FZ$601,198,Sync!$C$5)&amp;"",""),6)&lt;&gt;"SAMPLE",Config!$B$19="Y")),IFERROR(N(INDEX(Clay_Offices!$A$2:$FZ$601,198,Sync!$C$13)),0),"")</f>
        <v/>
      </c>
      <c r="C3049" s="17">
        <f>IF(B3049="","","office")</f>
        <v/>
      </c>
      <c r="D3049" s="17">
        <f>IF(B3049="","",IFERROR(INDEX(Clay_Offices!$A$2:$FZ$601,198,Sync!$C$5)&amp;"",""))</f>
        <v/>
      </c>
      <c r="E3049" s="17">
        <f>IF(B3049="","",IFERROR(INDEX(Clay_Offices!$A$2:$FZ$601,198,Sync!$C$6)&amp;"",""))</f>
        <v/>
      </c>
      <c r="F3049" s="17">
        <f>IF(B3049="","","outreach_sent")</f>
        <v/>
      </c>
      <c r="G3049" s="17">
        <f>IF(B3049="","","")</f>
        <v/>
      </c>
      <c r="H3049" s="17">
        <f>IF(B3049="","","")</f>
        <v/>
      </c>
      <c r="I3049" s="17">
        <f>IF(B3049="","","")</f>
        <v/>
      </c>
      <c r="J3049" s="17">
        <f>IF(B3049="","","touch_3; "&amp;IFERROR(INDEX(Clay_Offices!$A$2:$FZ$601,198,Sync!$C$10)&amp;"","")&amp;"; "&amp;IFERROR(INDEX(Clay_Offices!$A$2:$FZ$601,198,Sync!$C$9)&amp;"",""))</f>
        <v/>
      </c>
      <c r="K3049" t="inlineStr">
        <is>
          <t>office outreach touch 3</t>
        </is>
      </c>
    </row>
    <row r="3050">
      <c r="A3050" s="17">
        <f>IF(B3050="","",B3050+(14*1000+199)/10000000)</f>
        <v/>
      </c>
      <c r="B3050" s="23">
        <f>IF(AND(IFERROR(N(INDEX(Clay_Offices!$A$2:$FZ$601,199,Sync!$C$13)),0)&gt;0,IFERROR(INDEX(Clay_Offices!$A$2:$FZ$601,199,Sync!$C$5)&amp;"","")&lt;&gt;"",OR(LEFT(IFERROR(INDEX(Clay_Offices!$A$2:$FZ$601,199,Sync!$C$5)&amp;"",""),6)&lt;&gt;"SAMPLE",Config!$B$19="Y")),IFERROR(N(INDEX(Clay_Offices!$A$2:$FZ$601,199,Sync!$C$13)),0),"")</f>
        <v/>
      </c>
      <c r="C3050" s="17">
        <f>IF(B3050="","","office")</f>
        <v/>
      </c>
      <c r="D3050" s="17">
        <f>IF(B3050="","",IFERROR(INDEX(Clay_Offices!$A$2:$FZ$601,199,Sync!$C$5)&amp;"",""))</f>
        <v/>
      </c>
      <c r="E3050" s="17">
        <f>IF(B3050="","",IFERROR(INDEX(Clay_Offices!$A$2:$FZ$601,199,Sync!$C$6)&amp;"",""))</f>
        <v/>
      </c>
      <c r="F3050" s="17">
        <f>IF(B3050="","","outreach_sent")</f>
        <v/>
      </c>
      <c r="G3050" s="17">
        <f>IF(B3050="","","")</f>
        <v/>
      </c>
      <c r="H3050" s="17">
        <f>IF(B3050="","","")</f>
        <v/>
      </c>
      <c r="I3050" s="17">
        <f>IF(B3050="","","")</f>
        <v/>
      </c>
      <c r="J3050" s="17">
        <f>IF(B3050="","","touch_3; "&amp;IFERROR(INDEX(Clay_Offices!$A$2:$FZ$601,199,Sync!$C$10)&amp;"","")&amp;"; "&amp;IFERROR(INDEX(Clay_Offices!$A$2:$FZ$601,199,Sync!$C$9)&amp;"",""))</f>
        <v/>
      </c>
      <c r="K3050" t="inlineStr">
        <is>
          <t>office outreach touch 3</t>
        </is>
      </c>
    </row>
    <row r="3051">
      <c r="A3051" s="17">
        <f>IF(B3051="","",B3051+(14*1000+200)/10000000)</f>
        <v/>
      </c>
      <c r="B3051" s="23">
        <f>IF(AND(IFERROR(N(INDEX(Clay_Offices!$A$2:$FZ$601,200,Sync!$C$13)),0)&gt;0,IFERROR(INDEX(Clay_Offices!$A$2:$FZ$601,200,Sync!$C$5)&amp;"","")&lt;&gt;"",OR(LEFT(IFERROR(INDEX(Clay_Offices!$A$2:$FZ$601,200,Sync!$C$5)&amp;"",""),6)&lt;&gt;"SAMPLE",Config!$B$19="Y")),IFERROR(N(INDEX(Clay_Offices!$A$2:$FZ$601,200,Sync!$C$13)),0),"")</f>
        <v/>
      </c>
      <c r="C3051" s="17">
        <f>IF(B3051="","","office")</f>
        <v/>
      </c>
      <c r="D3051" s="17">
        <f>IF(B3051="","",IFERROR(INDEX(Clay_Offices!$A$2:$FZ$601,200,Sync!$C$5)&amp;"",""))</f>
        <v/>
      </c>
      <c r="E3051" s="17">
        <f>IF(B3051="","",IFERROR(INDEX(Clay_Offices!$A$2:$FZ$601,200,Sync!$C$6)&amp;"",""))</f>
        <v/>
      </c>
      <c r="F3051" s="17">
        <f>IF(B3051="","","outreach_sent")</f>
        <v/>
      </c>
      <c r="G3051" s="17">
        <f>IF(B3051="","","")</f>
        <v/>
      </c>
      <c r="H3051" s="17">
        <f>IF(B3051="","","")</f>
        <v/>
      </c>
      <c r="I3051" s="17">
        <f>IF(B3051="","","")</f>
        <v/>
      </c>
      <c r="J3051" s="17">
        <f>IF(B3051="","","touch_3; "&amp;IFERROR(INDEX(Clay_Offices!$A$2:$FZ$601,200,Sync!$C$10)&amp;"","")&amp;"; "&amp;IFERROR(INDEX(Clay_Offices!$A$2:$FZ$601,200,Sync!$C$9)&amp;"",""))</f>
        <v/>
      </c>
      <c r="K3051" t="inlineStr">
        <is>
          <t>office outreach touch 3</t>
        </is>
      </c>
    </row>
    <row r="3052">
      <c r="A3052" s="17">
        <f>IF(B3052="","",B3052+(14*1000+201)/10000000)</f>
        <v/>
      </c>
      <c r="B3052" s="23">
        <f>IF(AND(IFERROR(N(INDEX(Clay_Offices!$A$2:$FZ$601,201,Sync!$C$13)),0)&gt;0,IFERROR(INDEX(Clay_Offices!$A$2:$FZ$601,201,Sync!$C$5)&amp;"","")&lt;&gt;"",OR(LEFT(IFERROR(INDEX(Clay_Offices!$A$2:$FZ$601,201,Sync!$C$5)&amp;"",""),6)&lt;&gt;"SAMPLE",Config!$B$19="Y")),IFERROR(N(INDEX(Clay_Offices!$A$2:$FZ$601,201,Sync!$C$13)),0),"")</f>
        <v/>
      </c>
      <c r="C3052" s="17">
        <f>IF(B3052="","","office")</f>
        <v/>
      </c>
      <c r="D3052" s="17">
        <f>IF(B3052="","",IFERROR(INDEX(Clay_Offices!$A$2:$FZ$601,201,Sync!$C$5)&amp;"",""))</f>
        <v/>
      </c>
      <c r="E3052" s="17">
        <f>IF(B3052="","",IFERROR(INDEX(Clay_Offices!$A$2:$FZ$601,201,Sync!$C$6)&amp;"",""))</f>
        <v/>
      </c>
      <c r="F3052" s="17">
        <f>IF(B3052="","","outreach_sent")</f>
        <v/>
      </c>
      <c r="G3052" s="17">
        <f>IF(B3052="","","")</f>
        <v/>
      </c>
      <c r="H3052" s="17">
        <f>IF(B3052="","","")</f>
        <v/>
      </c>
      <c r="I3052" s="17">
        <f>IF(B3052="","","")</f>
        <v/>
      </c>
      <c r="J3052" s="17">
        <f>IF(B3052="","","touch_3; "&amp;IFERROR(INDEX(Clay_Offices!$A$2:$FZ$601,201,Sync!$C$10)&amp;"","")&amp;"; "&amp;IFERROR(INDEX(Clay_Offices!$A$2:$FZ$601,201,Sync!$C$9)&amp;"",""))</f>
        <v/>
      </c>
      <c r="K3052" t="inlineStr">
        <is>
          <t>office outreach touch 3</t>
        </is>
      </c>
    </row>
    <row r="3053">
      <c r="A3053" s="17">
        <f>IF(B3053="","",B3053+(14*1000+202)/10000000)</f>
        <v/>
      </c>
      <c r="B3053" s="23">
        <f>IF(AND(IFERROR(N(INDEX(Clay_Offices!$A$2:$FZ$601,202,Sync!$C$13)),0)&gt;0,IFERROR(INDEX(Clay_Offices!$A$2:$FZ$601,202,Sync!$C$5)&amp;"","")&lt;&gt;"",OR(LEFT(IFERROR(INDEX(Clay_Offices!$A$2:$FZ$601,202,Sync!$C$5)&amp;"",""),6)&lt;&gt;"SAMPLE",Config!$B$19="Y")),IFERROR(N(INDEX(Clay_Offices!$A$2:$FZ$601,202,Sync!$C$13)),0),"")</f>
        <v/>
      </c>
      <c r="C3053" s="17">
        <f>IF(B3053="","","office")</f>
        <v/>
      </c>
      <c r="D3053" s="17">
        <f>IF(B3053="","",IFERROR(INDEX(Clay_Offices!$A$2:$FZ$601,202,Sync!$C$5)&amp;"",""))</f>
        <v/>
      </c>
      <c r="E3053" s="17">
        <f>IF(B3053="","",IFERROR(INDEX(Clay_Offices!$A$2:$FZ$601,202,Sync!$C$6)&amp;"",""))</f>
        <v/>
      </c>
      <c r="F3053" s="17">
        <f>IF(B3053="","","outreach_sent")</f>
        <v/>
      </c>
      <c r="G3053" s="17">
        <f>IF(B3053="","","")</f>
        <v/>
      </c>
      <c r="H3053" s="17">
        <f>IF(B3053="","","")</f>
        <v/>
      </c>
      <c r="I3053" s="17">
        <f>IF(B3053="","","")</f>
        <v/>
      </c>
      <c r="J3053" s="17">
        <f>IF(B3053="","","touch_3; "&amp;IFERROR(INDEX(Clay_Offices!$A$2:$FZ$601,202,Sync!$C$10)&amp;"","")&amp;"; "&amp;IFERROR(INDEX(Clay_Offices!$A$2:$FZ$601,202,Sync!$C$9)&amp;"",""))</f>
        <v/>
      </c>
      <c r="K3053" t="inlineStr">
        <is>
          <t>office outreach touch 3</t>
        </is>
      </c>
    </row>
    <row r="3054">
      <c r="A3054" s="17">
        <f>IF(B3054="","",B3054+(14*1000+203)/10000000)</f>
        <v/>
      </c>
      <c r="B3054" s="23">
        <f>IF(AND(IFERROR(N(INDEX(Clay_Offices!$A$2:$FZ$601,203,Sync!$C$13)),0)&gt;0,IFERROR(INDEX(Clay_Offices!$A$2:$FZ$601,203,Sync!$C$5)&amp;"","")&lt;&gt;"",OR(LEFT(IFERROR(INDEX(Clay_Offices!$A$2:$FZ$601,203,Sync!$C$5)&amp;"",""),6)&lt;&gt;"SAMPLE",Config!$B$19="Y")),IFERROR(N(INDEX(Clay_Offices!$A$2:$FZ$601,203,Sync!$C$13)),0),"")</f>
        <v/>
      </c>
      <c r="C3054" s="17">
        <f>IF(B3054="","","office")</f>
        <v/>
      </c>
      <c r="D3054" s="17">
        <f>IF(B3054="","",IFERROR(INDEX(Clay_Offices!$A$2:$FZ$601,203,Sync!$C$5)&amp;"",""))</f>
        <v/>
      </c>
      <c r="E3054" s="17">
        <f>IF(B3054="","",IFERROR(INDEX(Clay_Offices!$A$2:$FZ$601,203,Sync!$C$6)&amp;"",""))</f>
        <v/>
      </c>
      <c r="F3054" s="17">
        <f>IF(B3054="","","outreach_sent")</f>
        <v/>
      </c>
      <c r="G3054" s="17">
        <f>IF(B3054="","","")</f>
        <v/>
      </c>
      <c r="H3054" s="17">
        <f>IF(B3054="","","")</f>
        <v/>
      </c>
      <c r="I3054" s="17">
        <f>IF(B3054="","","")</f>
        <v/>
      </c>
      <c r="J3054" s="17">
        <f>IF(B3054="","","touch_3; "&amp;IFERROR(INDEX(Clay_Offices!$A$2:$FZ$601,203,Sync!$C$10)&amp;"","")&amp;"; "&amp;IFERROR(INDEX(Clay_Offices!$A$2:$FZ$601,203,Sync!$C$9)&amp;"",""))</f>
        <v/>
      </c>
      <c r="K3054" t="inlineStr">
        <is>
          <t>office outreach touch 3</t>
        </is>
      </c>
    </row>
    <row r="3055">
      <c r="A3055" s="17">
        <f>IF(B3055="","",B3055+(14*1000+204)/10000000)</f>
        <v/>
      </c>
      <c r="B3055" s="23">
        <f>IF(AND(IFERROR(N(INDEX(Clay_Offices!$A$2:$FZ$601,204,Sync!$C$13)),0)&gt;0,IFERROR(INDEX(Clay_Offices!$A$2:$FZ$601,204,Sync!$C$5)&amp;"","")&lt;&gt;"",OR(LEFT(IFERROR(INDEX(Clay_Offices!$A$2:$FZ$601,204,Sync!$C$5)&amp;"",""),6)&lt;&gt;"SAMPLE",Config!$B$19="Y")),IFERROR(N(INDEX(Clay_Offices!$A$2:$FZ$601,204,Sync!$C$13)),0),"")</f>
        <v/>
      </c>
      <c r="C3055" s="17">
        <f>IF(B3055="","","office")</f>
        <v/>
      </c>
      <c r="D3055" s="17">
        <f>IF(B3055="","",IFERROR(INDEX(Clay_Offices!$A$2:$FZ$601,204,Sync!$C$5)&amp;"",""))</f>
        <v/>
      </c>
      <c r="E3055" s="17">
        <f>IF(B3055="","",IFERROR(INDEX(Clay_Offices!$A$2:$FZ$601,204,Sync!$C$6)&amp;"",""))</f>
        <v/>
      </c>
      <c r="F3055" s="17">
        <f>IF(B3055="","","outreach_sent")</f>
        <v/>
      </c>
      <c r="G3055" s="17">
        <f>IF(B3055="","","")</f>
        <v/>
      </c>
      <c r="H3055" s="17">
        <f>IF(B3055="","","")</f>
        <v/>
      </c>
      <c r="I3055" s="17">
        <f>IF(B3055="","","")</f>
        <v/>
      </c>
      <c r="J3055" s="17">
        <f>IF(B3055="","","touch_3; "&amp;IFERROR(INDEX(Clay_Offices!$A$2:$FZ$601,204,Sync!$C$10)&amp;"","")&amp;"; "&amp;IFERROR(INDEX(Clay_Offices!$A$2:$FZ$601,204,Sync!$C$9)&amp;"",""))</f>
        <v/>
      </c>
      <c r="K3055" t="inlineStr">
        <is>
          <t>office outreach touch 3</t>
        </is>
      </c>
    </row>
    <row r="3056">
      <c r="A3056" s="17">
        <f>IF(B3056="","",B3056+(14*1000+205)/10000000)</f>
        <v/>
      </c>
      <c r="B3056" s="23">
        <f>IF(AND(IFERROR(N(INDEX(Clay_Offices!$A$2:$FZ$601,205,Sync!$C$13)),0)&gt;0,IFERROR(INDEX(Clay_Offices!$A$2:$FZ$601,205,Sync!$C$5)&amp;"","")&lt;&gt;"",OR(LEFT(IFERROR(INDEX(Clay_Offices!$A$2:$FZ$601,205,Sync!$C$5)&amp;"",""),6)&lt;&gt;"SAMPLE",Config!$B$19="Y")),IFERROR(N(INDEX(Clay_Offices!$A$2:$FZ$601,205,Sync!$C$13)),0),"")</f>
        <v/>
      </c>
      <c r="C3056" s="17">
        <f>IF(B3056="","","office")</f>
        <v/>
      </c>
      <c r="D3056" s="17">
        <f>IF(B3056="","",IFERROR(INDEX(Clay_Offices!$A$2:$FZ$601,205,Sync!$C$5)&amp;"",""))</f>
        <v/>
      </c>
      <c r="E3056" s="17">
        <f>IF(B3056="","",IFERROR(INDEX(Clay_Offices!$A$2:$FZ$601,205,Sync!$C$6)&amp;"",""))</f>
        <v/>
      </c>
      <c r="F3056" s="17">
        <f>IF(B3056="","","outreach_sent")</f>
        <v/>
      </c>
      <c r="G3056" s="17">
        <f>IF(B3056="","","")</f>
        <v/>
      </c>
      <c r="H3056" s="17">
        <f>IF(B3056="","","")</f>
        <v/>
      </c>
      <c r="I3056" s="17">
        <f>IF(B3056="","","")</f>
        <v/>
      </c>
      <c r="J3056" s="17">
        <f>IF(B3056="","","touch_3; "&amp;IFERROR(INDEX(Clay_Offices!$A$2:$FZ$601,205,Sync!$C$10)&amp;"","")&amp;"; "&amp;IFERROR(INDEX(Clay_Offices!$A$2:$FZ$601,205,Sync!$C$9)&amp;"",""))</f>
        <v/>
      </c>
      <c r="K3056" t="inlineStr">
        <is>
          <t>office outreach touch 3</t>
        </is>
      </c>
    </row>
    <row r="3057">
      <c r="A3057" s="17">
        <f>IF(B3057="","",B3057+(14*1000+206)/10000000)</f>
        <v/>
      </c>
      <c r="B3057" s="23">
        <f>IF(AND(IFERROR(N(INDEX(Clay_Offices!$A$2:$FZ$601,206,Sync!$C$13)),0)&gt;0,IFERROR(INDEX(Clay_Offices!$A$2:$FZ$601,206,Sync!$C$5)&amp;"","")&lt;&gt;"",OR(LEFT(IFERROR(INDEX(Clay_Offices!$A$2:$FZ$601,206,Sync!$C$5)&amp;"",""),6)&lt;&gt;"SAMPLE",Config!$B$19="Y")),IFERROR(N(INDEX(Clay_Offices!$A$2:$FZ$601,206,Sync!$C$13)),0),"")</f>
        <v/>
      </c>
      <c r="C3057" s="17">
        <f>IF(B3057="","","office")</f>
        <v/>
      </c>
      <c r="D3057" s="17">
        <f>IF(B3057="","",IFERROR(INDEX(Clay_Offices!$A$2:$FZ$601,206,Sync!$C$5)&amp;"",""))</f>
        <v/>
      </c>
      <c r="E3057" s="17">
        <f>IF(B3057="","",IFERROR(INDEX(Clay_Offices!$A$2:$FZ$601,206,Sync!$C$6)&amp;"",""))</f>
        <v/>
      </c>
      <c r="F3057" s="17">
        <f>IF(B3057="","","outreach_sent")</f>
        <v/>
      </c>
      <c r="G3057" s="17">
        <f>IF(B3057="","","")</f>
        <v/>
      </c>
      <c r="H3057" s="17">
        <f>IF(B3057="","","")</f>
        <v/>
      </c>
      <c r="I3057" s="17">
        <f>IF(B3057="","","")</f>
        <v/>
      </c>
      <c r="J3057" s="17">
        <f>IF(B3057="","","touch_3; "&amp;IFERROR(INDEX(Clay_Offices!$A$2:$FZ$601,206,Sync!$C$10)&amp;"","")&amp;"; "&amp;IFERROR(INDEX(Clay_Offices!$A$2:$FZ$601,206,Sync!$C$9)&amp;"",""))</f>
        <v/>
      </c>
      <c r="K3057" t="inlineStr">
        <is>
          <t>office outreach touch 3</t>
        </is>
      </c>
    </row>
    <row r="3058">
      <c r="A3058" s="17">
        <f>IF(B3058="","",B3058+(14*1000+207)/10000000)</f>
        <v/>
      </c>
      <c r="B3058" s="23">
        <f>IF(AND(IFERROR(N(INDEX(Clay_Offices!$A$2:$FZ$601,207,Sync!$C$13)),0)&gt;0,IFERROR(INDEX(Clay_Offices!$A$2:$FZ$601,207,Sync!$C$5)&amp;"","")&lt;&gt;"",OR(LEFT(IFERROR(INDEX(Clay_Offices!$A$2:$FZ$601,207,Sync!$C$5)&amp;"",""),6)&lt;&gt;"SAMPLE",Config!$B$19="Y")),IFERROR(N(INDEX(Clay_Offices!$A$2:$FZ$601,207,Sync!$C$13)),0),"")</f>
        <v/>
      </c>
      <c r="C3058" s="17">
        <f>IF(B3058="","","office")</f>
        <v/>
      </c>
      <c r="D3058" s="17">
        <f>IF(B3058="","",IFERROR(INDEX(Clay_Offices!$A$2:$FZ$601,207,Sync!$C$5)&amp;"",""))</f>
        <v/>
      </c>
      <c r="E3058" s="17">
        <f>IF(B3058="","",IFERROR(INDEX(Clay_Offices!$A$2:$FZ$601,207,Sync!$C$6)&amp;"",""))</f>
        <v/>
      </c>
      <c r="F3058" s="17">
        <f>IF(B3058="","","outreach_sent")</f>
        <v/>
      </c>
      <c r="G3058" s="17">
        <f>IF(B3058="","","")</f>
        <v/>
      </c>
      <c r="H3058" s="17">
        <f>IF(B3058="","","")</f>
        <v/>
      </c>
      <c r="I3058" s="17">
        <f>IF(B3058="","","")</f>
        <v/>
      </c>
      <c r="J3058" s="17">
        <f>IF(B3058="","","touch_3; "&amp;IFERROR(INDEX(Clay_Offices!$A$2:$FZ$601,207,Sync!$C$10)&amp;"","")&amp;"; "&amp;IFERROR(INDEX(Clay_Offices!$A$2:$FZ$601,207,Sync!$C$9)&amp;"",""))</f>
        <v/>
      </c>
      <c r="K3058" t="inlineStr">
        <is>
          <t>office outreach touch 3</t>
        </is>
      </c>
    </row>
    <row r="3059">
      <c r="A3059" s="17">
        <f>IF(B3059="","",B3059+(14*1000+208)/10000000)</f>
        <v/>
      </c>
      <c r="B3059" s="23">
        <f>IF(AND(IFERROR(N(INDEX(Clay_Offices!$A$2:$FZ$601,208,Sync!$C$13)),0)&gt;0,IFERROR(INDEX(Clay_Offices!$A$2:$FZ$601,208,Sync!$C$5)&amp;"","")&lt;&gt;"",OR(LEFT(IFERROR(INDEX(Clay_Offices!$A$2:$FZ$601,208,Sync!$C$5)&amp;"",""),6)&lt;&gt;"SAMPLE",Config!$B$19="Y")),IFERROR(N(INDEX(Clay_Offices!$A$2:$FZ$601,208,Sync!$C$13)),0),"")</f>
        <v/>
      </c>
      <c r="C3059" s="17">
        <f>IF(B3059="","","office")</f>
        <v/>
      </c>
      <c r="D3059" s="17">
        <f>IF(B3059="","",IFERROR(INDEX(Clay_Offices!$A$2:$FZ$601,208,Sync!$C$5)&amp;"",""))</f>
        <v/>
      </c>
      <c r="E3059" s="17">
        <f>IF(B3059="","",IFERROR(INDEX(Clay_Offices!$A$2:$FZ$601,208,Sync!$C$6)&amp;"",""))</f>
        <v/>
      </c>
      <c r="F3059" s="17">
        <f>IF(B3059="","","outreach_sent")</f>
        <v/>
      </c>
      <c r="G3059" s="17">
        <f>IF(B3059="","","")</f>
        <v/>
      </c>
      <c r="H3059" s="17">
        <f>IF(B3059="","","")</f>
        <v/>
      </c>
      <c r="I3059" s="17">
        <f>IF(B3059="","","")</f>
        <v/>
      </c>
      <c r="J3059" s="17">
        <f>IF(B3059="","","touch_3; "&amp;IFERROR(INDEX(Clay_Offices!$A$2:$FZ$601,208,Sync!$C$10)&amp;"","")&amp;"; "&amp;IFERROR(INDEX(Clay_Offices!$A$2:$FZ$601,208,Sync!$C$9)&amp;"",""))</f>
        <v/>
      </c>
      <c r="K3059" t="inlineStr">
        <is>
          <t>office outreach touch 3</t>
        </is>
      </c>
    </row>
    <row r="3060">
      <c r="A3060" s="17">
        <f>IF(B3060="","",B3060+(14*1000+209)/10000000)</f>
        <v/>
      </c>
      <c r="B3060" s="23">
        <f>IF(AND(IFERROR(N(INDEX(Clay_Offices!$A$2:$FZ$601,209,Sync!$C$13)),0)&gt;0,IFERROR(INDEX(Clay_Offices!$A$2:$FZ$601,209,Sync!$C$5)&amp;"","")&lt;&gt;"",OR(LEFT(IFERROR(INDEX(Clay_Offices!$A$2:$FZ$601,209,Sync!$C$5)&amp;"",""),6)&lt;&gt;"SAMPLE",Config!$B$19="Y")),IFERROR(N(INDEX(Clay_Offices!$A$2:$FZ$601,209,Sync!$C$13)),0),"")</f>
        <v/>
      </c>
      <c r="C3060" s="17">
        <f>IF(B3060="","","office")</f>
        <v/>
      </c>
      <c r="D3060" s="17">
        <f>IF(B3060="","",IFERROR(INDEX(Clay_Offices!$A$2:$FZ$601,209,Sync!$C$5)&amp;"",""))</f>
        <v/>
      </c>
      <c r="E3060" s="17">
        <f>IF(B3060="","",IFERROR(INDEX(Clay_Offices!$A$2:$FZ$601,209,Sync!$C$6)&amp;"",""))</f>
        <v/>
      </c>
      <c r="F3060" s="17">
        <f>IF(B3060="","","outreach_sent")</f>
        <v/>
      </c>
      <c r="G3060" s="17">
        <f>IF(B3060="","","")</f>
        <v/>
      </c>
      <c r="H3060" s="17">
        <f>IF(B3060="","","")</f>
        <v/>
      </c>
      <c r="I3060" s="17">
        <f>IF(B3060="","","")</f>
        <v/>
      </c>
      <c r="J3060" s="17">
        <f>IF(B3060="","","touch_3; "&amp;IFERROR(INDEX(Clay_Offices!$A$2:$FZ$601,209,Sync!$C$10)&amp;"","")&amp;"; "&amp;IFERROR(INDEX(Clay_Offices!$A$2:$FZ$601,209,Sync!$C$9)&amp;"",""))</f>
        <v/>
      </c>
      <c r="K3060" t="inlineStr">
        <is>
          <t>office outreach touch 3</t>
        </is>
      </c>
    </row>
    <row r="3061">
      <c r="A3061" s="17">
        <f>IF(B3061="","",B3061+(14*1000+210)/10000000)</f>
        <v/>
      </c>
      <c r="B3061" s="23">
        <f>IF(AND(IFERROR(N(INDEX(Clay_Offices!$A$2:$FZ$601,210,Sync!$C$13)),0)&gt;0,IFERROR(INDEX(Clay_Offices!$A$2:$FZ$601,210,Sync!$C$5)&amp;"","")&lt;&gt;"",OR(LEFT(IFERROR(INDEX(Clay_Offices!$A$2:$FZ$601,210,Sync!$C$5)&amp;"",""),6)&lt;&gt;"SAMPLE",Config!$B$19="Y")),IFERROR(N(INDEX(Clay_Offices!$A$2:$FZ$601,210,Sync!$C$13)),0),"")</f>
        <v/>
      </c>
      <c r="C3061" s="17">
        <f>IF(B3061="","","office")</f>
        <v/>
      </c>
      <c r="D3061" s="17">
        <f>IF(B3061="","",IFERROR(INDEX(Clay_Offices!$A$2:$FZ$601,210,Sync!$C$5)&amp;"",""))</f>
        <v/>
      </c>
      <c r="E3061" s="17">
        <f>IF(B3061="","",IFERROR(INDEX(Clay_Offices!$A$2:$FZ$601,210,Sync!$C$6)&amp;"",""))</f>
        <v/>
      </c>
      <c r="F3061" s="17">
        <f>IF(B3061="","","outreach_sent")</f>
        <v/>
      </c>
      <c r="G3061" s="17">
        <f>IF(B3061="","","")</f>
        <v/>
      </c>
      <c r="H3061" s="17">
        <f>IF(B3061="","","")</f>
        <v/>
      </c>
      <c r="I3061" s="17">
        <f>IF(B3061="","","")</f>
        <v/>
      </c>
      <c r="J3061" s="17">
        <f>IF(B3061="","","touch_3; "&amp;IFERROR(INDEX(Clay_Offices!$A$2:$FZ$601,210,Sync!$C$10)&amp;"","")&amp;"; "&amp;IFERROR(INDEX(Clay_Offices!$A$2:$FZ$601,210,Sync!$C$9)&amp;"",""))</f>
        <v/>
      </c>
      <c r="K3061" t="inlineStr">
        <is>
          <t>office outreach touch 3</t>
        </is>
      </c>
    </row>
    <row r="3062">
      <c r="A3062" s="17">
        <f>IF(B3062="","",B3062+(14*1000+211)/10000000)</f>
        <v/>
      </c>
      <c r="B3062" s="23">
        <f>IF(AND(IFERROR(N(INDEX(Clay_Offices!$A$2:$FZ$601,211,Sync!$C$13)),0)&gt;0,IFERROR(INDEX(Clay_Offices!$A$2:$FZ$601,211,Sync!$C$5)&amp;"","")&lt;&gt;"",OR(LEFT(IFERROR(INDEX(Clay_Offices!$A$2:$FZ$601,211,Sync!$C$5)&amp;"",""),6)&lt;&gt;"SAMPLE",Config!$B$19="Y")),IFERROR(N(INDEX(Clay_Offices!$A$2:$FZ$601,211,Sync!$C$13)),0),"")</f>
        <v/>
      </c>
      <c r="C3062" s="17">
        <f>IF(B3062="","","office")</f>
        <v/>
      </c>
      <c r="D3062" s="17">
        <f>IF(B3062="","",IFERROR(INDEX(Clay_Offices!$A$2:$FZ$601,211,Sync!$C$5)&amp;"",""))</f>
        <v/>
      </c>
      <c r="E3062" s="17">
        <f>IF(B3062="","",IFERROR(INDEX(Clay_Offices!$A$2:$FZ$601,211,Sync!$C$6)&amp;"",""))</f>
        <v/>
      </c>
      <c r="F3062" s="17">
        <f>IF(B3062="","","outreach_sent")</f>
        <v/>
      </c>
      <c r="G3062" s="17">
        <f>IF(B3062="","","")</f>
        <v/>
      </c>
      <c r="H3062" s="17">
        <f>IF(B3062="","","")</f>
        <v/>
      </c>
      <c r="I3062" s="17">
        <f>IF(B3062="","","")</f>
        <v/>
      </c>
      <c r="J3062" s="17">
        <f>IF(B3062="","","touch_3; "&amp;IFERROR(INDEX(Clay_Offices!$A$2:$FZ$601,211,Sync!$C$10)&amp;"","")&amp;"; "&amp;IFERROR(INDEX(Clay_Offices!$A$2:$FZ$601,211,Sync!$C$9)&amp;"",""))</f>
        <v/>
      </c>
      <c r="K3062" t="inlineStr">
        <is>
          <t>office outreach touch 3</t>
        </is>
      </c>
    </row>
    <row r="3063">
      <c r="A3063" s="17">
        <f>IF(B3063="","",B3063+(14*1000+212)/10000000)</f>
        <v/>
      </c>
      <c r="B3063" s="23">
        <f>IF(AND(IFERROR(N(INDEX(Clay_Offices!$A$2:$FZ$601,212,Sync!$C$13)),0)&gt;0,IFERROR(INDEX(Clay_Offices!$A$2:$FZ$601,212,Sync!$C$5)&amp;"","")&lt;&gt;"",OR(LEFT(IFERROR(INDEX(Clay_Offices!$A$2:$FZ$601,212,Sync!$C$5)&amp;"",""),6)&lt;&gt;"SAMPLE",Config!$B$19="Y")),IFERROR(N(INDEX(Clay_Offices!$A$2:$FZ$601,212,Sync!$C$13)),0),"")</f>
        <v/>
      </c>
      <c r="C3063" s="17">
        <f>IF(B3063="","","office")</f>
        <v/>
      </c>
      <c r="D3063" s="17">
        <f>IF(B3063="","",IFERROR(INDEX(Clay_Offices!$A$2:$FZ$601,212,Sync!$C$5)&amp;"",""))</f>
        <v/>
      </c>
      <c r="E3063" s="17">
        <f>IF(B3063="","",IFERROR(INDEX(Clay_Offices!$A$2:$FZ$601,212,Sync!$C$6)&amp;"",""))</f>
        <v/>
      </c>
      <c r="F3063" s="17">
        <f>IF(B3063="","","outreach_sent")</f>
        <v/>
      </c>
      <c r="G3063" s="17">
        <f>IF(B3063="","","")</f>
        <v/>
      </c>
      <c r="H3063" s="17">
        <f>IF(B3063="","","")</f>
        <v/>
      </c>
      <c r="I3063" s="17">
        <f>IF(B3063="","","")</f>
        <v/>
      </c>
      <c r="J3063" s="17">
        <f>IF(B3063="","","touch_3; "&amp;IFERROR(INDEX(Clay_Offices!$A$2:$FZ$601,212,Sync!$C$10)&amp;"","")&amp;"; "&amp;IFERROR(INDEX(Clay_Offices!$A$2:$FZ$601,212,Sync!$C$9)&amp;"",""))</f>
        <v/>
      </c>
      <c r="K3063" t="inlineStr">
        <is>
          <t>office outreach touch 3</t>
        </is>
      </c>
    </row>
    <row r="3064">
      <c r="A3064" s="17">
        <f>IF(B3064="","",B3064+(14*1000+213)/10000000)</f>
        <v/>
      </c>
      <c r="B3064" s="23">
        <f>IF(AND(IFERROR(N(INDEX(Clay_Offices!$A$2:$FZ$601,213,Sync!$C$13)),0)&gt;0,IFERROR(INDEX(Clay_Offices!$A$2:$FZ$601,213,Sync!$C$5)&amp;"","")&lt;&gt;"",OR(LEFT(IFERROR(INDEX(Clay_Offices!$A$2:$FZ$601,213,Sync!$C$5)&amp;"",""),6)&lt;&gt;"SAMPLE",Config!$B$19="Y")),IFERROR(N(INDEX(Clay_Offices!$A$2:$FZ$601,213,Sync!$C$13)),0),"")</f>
        <v/>
      </c>
      <c r="C3064" s="17">
        <f>IF(B3064="","","office")</f>
        <v/>
      </c>
      <c r="D3064" s="17">
        <f>IF(B3064="","",IFERROR(INDEX(Clay_Offices!$A$2:$FZ$601,213,Sync!$C$5)&amp;"",""))</f>
        <v/>
      </c>
      <c r="E3064" s="17">
        <f>IF(B3064="","",IFERROR(INDEX(Clay_Offices!$A$2:$FZ$601,213,Sync!$C$6)&amp;"",""))</f>
        <v/>
      </c>
      <c r="F3064" s="17">
        <f>IF(B3064="","","outreach_sent")</f>
        <v/>
      </c>
      <c r="G3064" s="17">
        <f>IF(B3064="","","")</f>
        <v/>
      </c>
      <c r="H3064" s="17">
        <f>IF(B3064="","","")</f>
        <v/>
      </c>
      <c r="I3064" s="17">
        <f>IF(B3064="","","")</f>
        <v/>
      </c>
      <c r="J3064" s="17">
        <f>IF(B3064="","","touch_3; "&amp;IFERROR(INDEX(Clay_Offices!$A$2:$FZ$601,213,Sync!$C$10)&amp;"","")&amp;"; "&amp;IFERROR(INDEX(Clay_Offices!$A$2:$FZ$601,213,Sync!$C$9)&amp;"",""))</f>
        <v/>
      </c>
      <c r="K3064" t="inlineStr">
        <is>
          <t>office outreach touch 3</t>
        </is>
      </c>
    </row>
    <row r="3065">
      <c r="A3065" s="17">
        <f>IF(B3065="","",B3065+(14*1000+214)/10000000)</f>
        <v/>
      </c>
      <c r="B3065" s="23">
        <f>IF(AND(IFERROR(N(INDEX(Clay_Offices!$A$2:$FZ$601,214,Sync!$C$13)),0)&gt;0,IFERROR(INDEX(Clay_Offices!$A$2:$FZ$601,214,Sync!$C$5)&amp;"","")&lt;&gt;"",OR(LEFT(IFERROR(INDEX(Clay_Offices!$A$2:$FZ$601,214,Sync!$C$5)&amp;"",""),6)&lt;&gt;"SAMPLE",Config!$B$19="Y")),IFERROR(N(INDEX(Clay_Offices!$A$2:$FZ$601,214,Sync!$C$13)),0),"")</f>
        <v/>
      </c>
      <c r="C3065" s="17">
        <f>IF(B3065="","","office")</f>
        <v/>
      </c>
      <c r="D3065" s="17">
        <f>IF(B3065="","",IFERROR(INDEX(Clay_Offices!$A$2:$FZ$601,214,Sync!$C$5)&amp;"",""))</f>
        <v/>
      </c>
      <c r="E3065" s="17">
        <f>IF(B3065="","",IFERROR(INDEX(Clay_Offices!$A$2:$FZ$601,214,Sync!$C$6)&amp;"",""))</f>
        <v/>
      </c>
      <c r="F3065" s="17">
        <f>IF(B3065="","","outreach_sent")</f>
        <v/>
      </c>
      <c r="G3065" s="17">
        <f>IF(B3065="","","")</f>
        <v/>
      </c>
      <c r="H3065" s="17">
        <f>IF(B3065="","","")</f>
        <v/>
      </c>
      <c r="I3065" s="17">
        <f>IF(B3065="","","")</f>
        <v/>
      </c>
      <c r="J3065" s="17">
        <f>IF(B3065="","","touch_3; "&amp;IFERROR(INDEX(Clay_Offices!$A$2:$FZ$601,214,Sync!$C$10)&amp;"","")&amp;"; "&amp;IFERROR(INDEX(Clay_Offices!$A$2:$FZ$601,214,Sync!$C$9)&amp;"",""))</f>
        <v/>
      </c>
      <c r="K3065" t="inlineStr">
        <is>
          <t>office outreach touch 3</t>
        </is>
      </c>
    </row>
    <row r="3066">
      <c r="A3066" s="17">
        <f>IF(B3066="","",B3066+(14*1000+215)/10000000)</f>
        <v/>
      </c>
      <c r="B3066" s="23">
        <f>IF(AND(IFERROR(N(INDEX(Clay_Offices!$A$2:$FZ$601,215,Sync!$C$13)),0)&gt;0,IFERROR(INDEX(Clay_Offices!$A$2:$FZ$601,215,Sync!$C$5)&amp;"","")&lt;&gt;"",OR(LEFT(IFERROR(INDEX(Clay_Offices!$A$2:$FZ$601,215,Sync!$C$5)&amp;"",""),6)&lt;&gt;"SAMPLE",Config!$B$19="Y")),IFERROR(N(INDEX(Clay_Offices!$A$2:$FZ$601,215,Sync!$C$13)),0),"")</f>
        <v/>
      </c>
      <c r="C3066" s="17">
        <f>IF(B3066="","","office")</f>
        <v/>
      </c>
      <c r="D3066" s="17">
        <f>IF(B3066="","",IFERROR(INDEX(Clay_Offices!$A$2:$FZ$601,215,Sync!$C$5)&amp;"",""))</f>
        <v/>
      </c>
      <c r="E3066" s="17">
        <f>IF(B3066="","",IFERROR(INDEX(Clay_Offices!$A$2:$FZ$601,215,Sync!$C$6)&amp;"",""))</f>
        <v/>
      </c>
      <c r="F3066" s="17">
        <f>IF(B3066="","","outreach_sent")</f>
        <v/>
      </c>
      <c r="G3066" s="17">
        <f>IF(B3066="","","")</f>
        <v/>
      </c>
      <c r="H3066" s="17">
        <f>IF(B3066="","","")</f>
        <v/>
      </c>
      <c r="I3066" s="17">
        <f>IF(B3066="","","")</f>
        <v/>
      </c>
      <c r="J3066" s="17">
        <f>IF(B3066="","","touch_3; "&amp;IFERROR(INDEX(Clay_Offices!$A$2:$FZ$601,215,Sync!$C$10)&amp;"","")&amp;"; "&amp;IFERROR(INDEX(Clay_Offices!$A$2:$FZ$601,215,Sync!$C$9)&amp;"",""))</f>
        <v/>
      </c>
      <c r="K3066" t="inlineStr">
        <is>
          <t>office outreach touch 3</t>
        </is>
      </c>
    </row>
    <row r="3067">
      <c r="A3067" s="17">
        <f>IF(B3067="","",B3067+(14*1000+216)/10000000)</f>
        <v/>
      </c>
      <c r="B3067" s="23">
        <f>IF(AND(IFERROR(N(INDEX(Clay_Offices!$A$2:$FZ$601,216,Sync!$C$13)),0)&gt;0,IFERROR(INDEX(Clay_Offices!$A$2:$FZ$601,216,Sync!$C$5)&amp;"","")&lt;&gt;"",OR(LEFT(IFERROR(INDEX(Clay_Offices!$A$2:$FZ$601,216,Sync!$C$5)&amp;"",""),6)&lt;&gt;"SAMPLE",Config!$B$19="Y")),IFERROR(N(INDEX(Clay_Offices!$A$2:$FZ$601,216,Sync!$C$13)),0),"")</f>
        <v/>
      </c>
      <c r="C3067" s="17">
        <f>IF(B3067="","","office")</f>
        <v/>
      </c>
      <c r="D3067" s="17">
        <f>IF(B3067="","",IFERROR(INDEX(Clay_Offices!$A$2:$FZ$601,216,Sync!$C$5)&amp;"",""))</f>
        <v/>
      </c>
      <c r="E3067" s="17">
        <f>IF(B3067="","",IFERROR(INDEX(Clay_Offices!$A$2:$FZ$601,216,Sync!$C$6)&amp;"",""))</f>
        <v/>
      </c>
      <c r="F3067" s="17">
        <f>IF(B3067="","","outreach_sent")</f>
        <v/>
      </c>
      <c r="G3067" s="17">
        <f>IF(B3067="","","")</f>
        <v/>
      </c>
      <c r="H3067" s="17">
        <f>IF(B3067="","","")</f>
        <v/>
      </c>
      <c r="I3067" s="17">
        <f>IF(B3067="","","")</f>
        <v/>
      </c>
      <c r="J3067" s="17">
        <f>IF(B3067="","","touch_3; "&amp;IFERROR(INDEX(Clay_Offices!$A$2:$FZ$601,216,Sync!$C$10)&amp;"","")&amp;"; "&amp;IFERROR(INDEX(Clay_Offices!$A$2:$FZ$601,216,Sync!$C$9)&amp;"",""))</f>
        <v/>
      </c>
      <c r="K3067" t="inlineStr">
        <is>
          <t>office outreach touch 3</t>
        </is>
      </c>
    </row>
    <row r="3068">
      <c r="A3068" s="17">
        <f>IF(B3068="","",B3068+(14*1000+217)/10000000)</f>
        <v/>
      </c>
      <c r="B3068" s="23">
        <f>IF(AND(IFERROR(N(INDEX(Clay_Offices!$A$2:$FZ$601,217,Sync!$C$13)),0)&gt;0,IFERROR(INDEX(Clay_Offices!$A$2:$FZ$601,217,Sync!$C$5)&amp;"","")&lt;&gt;"",OR(LEFT(IFERROR(INDEX(Clay_Offices!$A$2:$FZ$601,217,Sync!$C$5)&amp;"",""),6)&lt;&gt;"SAMPLE",Config!$B$19="Y")),IFERROR(N(INDEX(Clay_Offices!$A$2:$FZ$601,217,Sync!$C$13)),0),"")</f>
        <v/>
      </c>
      <c r="C3068" s="17">
        <f>IF(B3068="","","office")</f>
        <v/>
      </c>
      <c r="D3068" s="17">
        <f>IF(B3068="","",IFERROR(INDEX(Clay_Offices!$A$2:$FZ$601,217,Sync!$C$5)&amp;"",""))</f>
        <v/>
      </c>
      <c r="E3068" s="17">
        <f>IF(B3068="","",IFERROR(INDEX(Clay_Offices!$A$2:$FZ$601,217,Sync!$C$6)&amp;"",""))</f>
        <v/>
      </c>
      <c r="F3068" s="17">
        <f>IF(B3068="","","outreach_sent")</f>
        <v/>
      </c>
      <c r="G3068" s="17">
        <f>IF(B3068="","","")</f>
        <v/>
      </c>
      <c r="H3068" s="17">
        <f>IF(B3068="","","")</f>
        <v/>
      </c>
      <c r="I3068" s="17">
        <f>IF(B3068="","","")</f>
        <v/>
      </c>
      <c r="J3068" s="17">
        <f>IF(B3068="","","touch_3; "&amp;IFERROR(INDEX(Clay_Offices!$A$2:$FZ$601,217,Sync!$C$10)&amp;"","")&amp;"; "&amp;IFERROR(INDEX(Clay_Offices!$A$2:$FZ$601,217,Sync!$C$9)&amp;"",""))</f>
        <v/>
      </c>
      <c r="K3068" t="inlineStr">
        <is>
          <t>office outreach touch 3</t>
        </is>
      </c>
    </row>
    <row r="3069">
      <c r="A3069" s="17">
        <f>IF(B3069="","",B3069+(14*1000+218)/10000000)</f>
        <v/>
      </c>
      <c r="B3069" s="23">
        <f>IF(AND(IFERROR(N(INDEX(Clay_Offices!$A$2:$FZ$601,218,Sync!$C$13)),0)&gt;0,IFERROR(INDEX(Clay_Offices!$A$2:$FZ$601,218,Sync!$C$5)&amp;"","")&lt;&gt;"",OR(LEFT(IFERROR(INDEX(Clay_Offices!$A$2:$FZ$601,218,Sync!$C$5)&amp;"",""),6)&lt;&gt;"SAMPLE",Config!$B$19="Y")),IFERROR(N(INDEX(Clay_Offices!$A$2:$FZ$601,218,Sync!$C$13)),0),"")</f>
        <v/>
      </c>
      <c r="C3069" s="17">
        <f>IF(B3069="","","office")</f>
        <v/>
      </c>
      <c r="D3069" s="17">
        <f>IF(B3069="","",IFERROR(INDEX(Clay_Offices!$A$2:$FZ$601,218,Sync!$C$5)&amp;"",""))</f>
        <v/>
      </c>
      <c r="E3069" s="17">
        <f>IF(B3069="","",IFERROR(INDEX(Clay_Offices!$A$2:$FZ$601,218,Sync!$C$6)&amp;"",""))</f>
        <v/>
      </c>
      <c r="F3069" s="17">
        <f>IF(B3069="","","outreach_sent")</f>
        <v/>
      </c>
      <c r="G3069" s="17">
        <f>IF(B3069="","","")</f>
        <v/>
      </c>
      <c r="H3069" s="17">
        <f>IF(B3069="","","")</f>
        <v/>
      </c>
      <c r="I3069" s="17">
        <f>IF(B3069="","","")</f>
        <v/>
      </c>
      <c r="J3069" s="17">
        <f>IF(B3069="","","touch_3; "&amp;IFERROR(INDEX(Clay_Offices!$A$2:$FZ$601,218,Sync!$C$10)&amp;"","")&amp;"; "&amp;IFERROR(INDEX(Clay_Offices!$A$2:$FZ$601,218,Sync!$C$9)&amp;"",""))</f>
        <v/>
      </c>
      <c r="K3069" t="inlineStr">
        <is>
          <t>office outreach touch 3</t>
        </is>
      </c>
    </row>
    <row r="3070">
      <c r="A3070" s="17">
        <f>IF(B3070="","",B3070+(14*1000+219)/10000000)</f>
        <v/>
      </c>
      <c r="B3070" s="23">
        <f>IF(AND(IFERROR(N(INDEX(Clay_Offices!$A$2:$FZ$601,219,Sync!$C$13)),0)&gt;0,IFERROR(INDEX(Clay_Offices!$A$2:$FZ$601,219,Sync!$C$5)&amp;"","")&lt;&gt;"",OR(LEFT(IFERROR(INDEX(Clay_Offices!$A$2:$FZ$601,219,Sync!$C$5)&amp;"",""),6)&lt;&gt;"SAMPLE",Config!$B$19="Y")),IFERROR(N(INDEX(Clay_Offices!$A$2:$FZ$601,219,Sync!$C$13)),0),"")</f>
        <v/>
      </c>
      <c r="C3070" s="17">
        <f>IF(B3070="","","office")</f>
        <v/>
      </c>
      <c r="D3070" s="17">
        <f>IF(B3070="","",IFERROR(INDEX(Clay_Offices!$A$2:$FZ$601,219,Sync!$C$5)&amp;"",""))</f>
        <v/>
      </c>
      <c r="E3070" s="17">
        <f>IF(B3070="","",IFERROR(INDEX(Clay_Offices!$A$2:$FZ$601,219,Sync!$C$6)&amp;"",""))</f>
        <v/>
      </c>
      <c r="F3070" s="17">
        <f>IF(B3070="","","outreach_sent")</f>
        <v/>
      </c>
      <c r="G3070" s="17">
        <f>IF(B3070="","","")</f>
        <v/>
      </c>
      <c r="H3070" s="17">
        <f>IF(B3070="","","")</f>
        <v/>
      </c>
      <c r="I3070" s="17">
        <f>IF(B3070="","","")</f>
        <v/>
      </c>
      <c r="J3070" s="17">
        <f>IF(B3070="","","touch_3; "&amp;IFERROR(INDEX(Clay_Offices!$A$2:$FZ$601,219,Sync!$C$10)&amp;"","")&amp;"; "&amp;IFERROR(INDEX(Clay_Offices!$A$2:$FZ$601,219,Sync!$C$9)&amp;"",""))</f>
        <v/>
      </c>
      <c r="K3070" t="inlineStr">
        <is>
          <t>office outreach touch 3</t>
        </is>
      </c>
    </row>
    <row r="3071">
      <c r="A3071" s="17">
        <f>IF(B3071="","",B3071+(14*1000+220)/10000000)</f>
        <v/>
      </c>
      <c r="B3071" s="23">
        <f>IF(AND(IFERROR(N(INDEX(Clay_Offices!$A$2:$FZ$601,220,Sync!$C$13)),0)&gt;0,IFERROR(INDEX(Clay_Offices!$A$2:$FZ$601,220,Sync!$C$5)&amp;"","")&lt;&gt;"",OR(LEFT(IFERROR(INDEX(Clay_Offices!$A$2:$FZ$601,220,Sync!$C$5)&amp;"",""),6)&lt;&gt;"SAMPLE",Config!$B$19="Y")),IFERROR(N(INDEX(Clay_Offices!$A$2:$FZ$601,220,Sync!$C$13)),0),"")</f>
        <v/>
      </c>
      <c r="C3071" s="17">
        <f>IF(B3071="","","office")</f>
        <v/>
      </c>
      <c r="D3071" s="17">
        <f>IF(B3071="","",IFERROR(INDEX(Clay_Offices!$A$2:$FZ$601,220,Sync!$C$5)&amp;"",""))</f>
        <v/>
      </c>
      <c r="E3071" s="17">
        <f>IF(B3071="","",IFERROR(INDEX(Clay_Offices!$A$2:$FZ$601,220,Sync!$C$6)&amp;"",""))</f>
        <v/>
      </c>
      <c r="F3071" s="17">
        <f>IF(B3071="","","outreach_sent")</f>
        <v/>
      </c>
      <c r="G3071" s="17">
        <f>IF(B3071="","","")</f>
        <v/>
      </c>
      <c r="H3071" s="17">
        <f>IF(B3071="","","")</f>
        <v/>
      </c>
      <c r="I3071" s="17">
        <f>IF(B3071="","","")</f>
        <v/>
      </c>
      <c r="J3071" s="17">
        <f>IF(B3071="","","touch_3; "&amp;IFERROR(INDEX(Clay_Offices!$A$2:$FZ$601,220,Sync!$C$10)&amp;"","")&amp;"; "&amp;IFERROR(INDEX(Clay_Offices!$A$2:$FZ$601,220,Sync!$C$9)&amp;"",""))</f>
        <v/>
      </c>
      <c r="K3071" t="inlineStr">
        <is>
          <t>office outreach touch 3</t>
        </is>
      </c>
    </row>
    <row r="3072">
      <c r="A3072" s="17">
        <f>IF(B3072="","",B3072+(14*1000+221)/10000000)</f>
        <v/>
      </c>
      <c r="B3072" s="23">
        <f>IF(AND(IFERROR(N(INDEX(Clay_Offices!$A$2:$FZ$601,221,Sync!$C$13)),0)&gt;0,IFERROR(INDEX(Clay_Offices!$A$2:$FZ$601,221,Sync!$C$5)&amp;"","")&lt;&gt;"",OR(LEFT(IFERROR(INDEX(Clay_Offices!$A$2:$FZ$601,221,Sync!$C$5)&amp;"",""),6)&lt;&gt;"SAMPLE",Config!$B$19="Y")),IFERROR(N(INDEX(Clay_Offices!$A$2:$FZ$601,221,Sync!$C$13)),0),"")</f>
        <v/>
      </c>
      <c r="C3072" s="17">
        <f>IF(B3072="","","office")</f>
        <v/>
      </c>
      <c r="D3072" s="17">
        <f>IF(B3072="","",IFERROR(INDEX(Clay_Offices!$A$2:$FZ$601,221,Sync!$C$5)&amp;"",""))</f>
        <v/>
      </c>
      <c r="E3072" s="17">
        <f>IF(B3072="","",IFERROR(INDEX(Clay_Offices!$A$2:$FZ$601,221,Sync!$C$6)&amp;"",""))</f>
        <v/>
      </c>
      <c r="F3072" s="17">
        <f>IF(B3072="","","outreach_sent")</f>
        <v/>
      </c>
      <c r="G3072" s="17">
        <f>IF(B3072="","","")</f>
        <v/>
      </c>
      <c r="H3072" s="17">
        <f>IF(B3072="","","")</f>
        <v/>
      </c>
      <c r="I3072" s="17">
        <f>IF(B3072="","","")</f>
        <v/>
      </c>
      <c r="J3072" s="17">
        <f>IF(B3072="","","touch_3; "&amp;IFERROR(INDEX(Clay_Offices!$A$2:$FZ$601,221,Sync!$C$10)&amp;"","")&amp;"; "&amp;IFERROR(INDEX(Clay_Offices!$A$2:$FZ$601,221,Sync!$C$9)&amp;"",""))</f>
        <v/>
      </c>
      <c r="K3072" t="inlineStr">
        <is>
          <t>office outreach touch 3</t>
        </is>
      </c>
    </row>
    <row r="3073">
      <c r="A3073" s="17">
        <f>IF(B3073="","",B3073+(14*1000+222)/10000000)</f>
        <v/>
      </c>
      <c r="B3073" s="23">
        <f>IF(AND(IFERROR(N(INDEX(Clay_Offices!$A$2:$FZ$601,222,Sync!$C$13)),0)&gt;0,IFERROR(INDEX(Clay_Offices!$A$2:$FZ$601,222,Sync!$C$5)&amp;"","")&lt;&gt;"",OR(LEFT(IFERROR(INDEX(Clay_Offices!$A$2:$FZ$601,222,Sync!$C$5)&amp;"",""),6)&lt;&gt;"SAMPLE",Config!$B$19="Y")),IFERROR(N(INDEX(Clay_Offices!$A$2:$FZ$601,222,Sync!$C$13)),0),"")</f>
        <v/>
      </c>
      <c r="C3073" s="17">
        <f>IF(B3073="","","office")</f>
        <v/>
      </c>
      <c r="D3073" s="17">
        <f>IF(B3073="","",IFERROR(INDEX(Clay_Offices!$A$2:$FZ$601,222,Sync!$C$5)&amp;"",""))</f>
        <v/>
      </c>
      <c r="E3073" s="17">
        <f>IF(B3073="","",IFERROR(INDEX(Clay_Offices!$A$2:$FZ$601,222,Sync!$C$6)&amp;"",""))</f>
        <v/>
      </c>
      <c r="F3073" s="17">
        <f>IF(B3073="","","outreach_sent")</f>
        <v/>
      </c>
      <c r="G3073" s="17">
        <f>IF(B3073="","","")</f>
        <v/>
      </c>
      <c r="H3073" s="17">
        <f>IF(B3073="","","")</f>
        <v/>
      </c>
      <c r="I3073" s="17">
        <f>IF(B3073="","","")</f>
        <v/>
      </c>
      <c r="J3073" s="17">
        <f>IF(B3073="","","touch_3; "&amp;IFERROR(INDEX(Clay_Offices!$A$2:$FZ$601,222,Sync!$C$10)&amp;"","")&amp;"; "&amp;IFERROR(INDEX(Clay_Offices!$A$2:$FZ$601,222,Sync!$C$9)&amp;"",""))</f>
        <v/>
      </c>
      <c r="K3073" t="inlineStr">
        <is>
          <t>office outreach touch 3</t>
        </is>
      </c>
    </row>
    <row r="3074">
      <c r="A3074" s="17">
        <f>IF(B3074="","",B3074+(14*1000+223)/10000000)</f>
        <v/>
      </c>
      <c r="B3074" s="23">
        <f>IF(AND(IFERROR(N(INDEX(Clay_Offices!$A$2:$FZ$601,223,Sync!$C$13)),0)&gt;0,IFERROR(INDEX(Clay_Offices!$A$2:$FZ$601,223,Sync!$C$5)&amp;"","")&lt;&gt;"",OR(LEFT(IFERROR(INDEX(Clay_Offices!$A$2:$FZ$601,223,Sync!$C$5)&amp;"",""),6)&lt;&gt;"SAMPLE",Config!$B$19="Y")),IFERROR(N(INDEX(Clay_Offices!$A$2:$FZ$601,223,Sync!$C$13)),0),"")</f>
        <v/>
      </c>
      <c r="C3074" s="17">
        <f>IF(B3074="","","office")</f>
        <v/>
      </c>
      <c r="D3074" s="17">
        <f>IF(B3074="","",IFERROR(INDEX(Clay_Offices!$A$2:$FZ$601,223,Sync!$C$5)&amp;"",""))</f>
        <v/>
      </c>
      <c r="E3074" s="17">
        <f>IF(B3074="","",IFERROR(INDEX(Clay_Offices!$A$2:$FZ$601,223,Sync!$C$6)&amp;"",""))</f>
        <v/>
      </c>
      <c r="F3074" s="17">
        <f>IF(B3074="","","outreach_sent")</f>
        <v/>
      </c>
      <c r="G3074" s="17">
        <f>IF(B3074="","","")</f>
        <v/>
      </c>
      <c r="H3074" s="17">
        <f>IF(B3074="","","")</f>
        <v/>
      </c>
      <c r="I3074" s="17">
        <f>IF(B3074="","","")</f>
        <v/>
      </c>
      <c r="J3074" s="17">
        <f>IF(B3074="","","touch_3; "&amp;IFERROR(INDEX(Clay_Offices!$A$2:$FZ$601,223,Sync!$C$10)&amp;"","")&amp;"; "&amp;IFERROR(INDEX(Clay_Offices!$A$2:$FZ$601,223,Sync!$C$9)&amp;"",""))</f>
        <v/>
      </c>
      <c r="K3074" t="inlineStr">
        <is>
          <t>office outreach touch 3</t>
        </is>
      </c>
    </row>
    <row r="3075">
      <c r="A3075" s="17">
        <f>IF(B3075="","",B3075+(14*1000+224)/10000000)</f>
        <v/>
      </c>
      <c r="B3075" s="23">
        <f>IF(AND(IFERROR(N(INDEX(Clay_Offices!$A$2:$FZ$601,224,Sync!$C$13)),0)&gt;0,IFERROR(INDEX(Clay_Offices!$A$2:$FZ$601,224,Sync!$C$5)&amp;"","")&lt;&gt;"",OR(LEFT(IFERROR(INDEX(Clay_Offices!$A$2:$FZ$601,224,Sync!$C$5)&amp;"",""),6)&lt;&gt;"SAMPLE",Config!$B$19="Y")),IFERROR(N(INDEX(Clay_Offices!$A$2:$FZ$601,224,Sync!$C$13)),0),"")</f>
        <v/>
      </c>
      <c r="C3075" s="17">
        <f>IF(B3075="","","office")</f>
        <v/>
      </c>
      <c r="D3075" s="17">
        <f>IF(B3075="","",IFERROR(INDEX(Clay_Offices!$A$2:$FZ$601,224,Sync!$C$5)&amp;"",""))</f>
        <v/>
      </c>
      <c r="E3075" s="17">
        <f>IF(B3075="","",IFERROR(INDEX(Clay_Offices!$A$2:$FZ$601,224,Sync!$C$6)&amp;"",""))</f>
        <v/>
      </c>
      <c r="F3075" s="17">
        <f>IF(B3075="","","outreach_sent")</f>
        <v/>
      </c>
      <c r="G3075" s="17">
        <f>IF(B3075="","","")</f>
        <v/>
      </c>
      <c r="H3075" s="17">
        <f>IF(B3075="","","")</f>
        <v/>
      </c>
      <c r="I3075" s="17">
        <f>IF(B3075="","","")</f>
        <v/>
      </c>
      <c r="J3075" s="17">
        <f>IF(B3075="","","touch_3; "&amp;IFERROR(INDEX(Clay_Offices!$A$2:$FZ$601,224,Sync!$C$10)&amp;"","")&amp;"; "&amp;IFERROR(INDEX(Clay_Offices!$A$2:$FZ$601,224,Sync!$C$9)&amp;"",""))</f>
        <v/>
      </c>
      <c r="K3075" t="inlineStr">
        <is>
          <t>office outreach touch 3</t>
        </is>
      </c>
    </row>
    <row r="3076">
      <c r="A3076" s="17">
        <f>IF(B3076="","",B3076+(14*1000+225)/10000000)</f>
        <v/>
      </c>
      <c r="B3076" s="23">
        <f>IF(AND(IFERROR(N(INDEX(Clay_Offices!$A$2:$FZ$601,225,Sync!$C$13)),0)&gt;0,IFERROR(INDEX(Clay_Offices!$A$2:$FZ$601,225,Sync!$C$5)&amp;"","")&lt;&gt;"",OR(LEFT(IFERROR(INDEX(Clay_Offices!$A$2:$FZ$601,225,Sync!$C$5)&amp;"",""),6)&lt;&gt;"SAMPLE",Config!$B$19="Y")),IFERROR(N(INDEX(Clay_Offices!$A$2:$FZ$601,225,Sync!$C$13)),0),"")</f>
        <v/>
      </c>
      <c r="C3076" s="17">
        <f>IF(B3076="","","office")</f>
        <v/>
      </c>
      <c r="D3076" s="17">
        <f>IF(B3076="","",IFERROR(INDEX(Clay_Offices!$A$2:$FZ$601,225,Sync!$C$5)&amp;"",""))</f>
        <v/>
      </c>
      <c r="E3076" s="17">
        <f>IF(B3076="","",IFERROR(INDEX(Clay_Offices!$A$2:$FZ$601,225,Sync!$C$6)&amp;"",""))</f>
        <v/>
      </c>
      <c r="F3076" s="17">
        <f>IF(B3076="","","outreach_sent")</f>
        <v/>
      </c>
      <c r="G3076" s="17">
        <f>IF(B3076="","","")</f>
        <v/>
      </c>
      <c r="H3076" s="17">
        <f>IF(B3076="","","")</f>
        <v/>
      </c>
      <c r="I3076" s="17">
        <f>IF(B3076="","","")</f>
        <v/>
      </c>
      <c r="J3076" s="17">
        <f>IF(B3076="","","touch_3; "&amp;IFERROR(INDEX(Clay_Offices!$A$2:$FZ$601,225,Sync!$C$10)&amp;"","")&amp;"; "&amp;IFERROR(INDEX(Clay_Offices!$A$2:$FZ$601,225,Sync!$C$9)&amp;"",""))</f>
        <v/>
      </c>
      <c r="K3076" t="inlineStr">
        <is>
          <t>office outreach touch 3</t>
        </is>
      </c>
    </row>
    <row r="3077">
      <c r="A3077" s="17">
        <f>IF(B3077="","",B3077+(14*1000+226)/10000000)</f>
        <v/>
      </c>
      <c r="B3077" s="23">
        <f>IF(AND(IFERROR(N(INDEX(Clay_Offices!$A$2:$FZ$601,226,Sync!$C$13)),0)&gt;0,IFERROR(INDEX(Clay_Offices!$A$2:$FZ$601,226,Sync!$C$5)&amp;"","")&lt;&gt;"",OR(LEFT(IFERROR(INDEX(Clay_Offices!$A$2:$FZ$601,226,Sync!$C$5)&amp;"",""),6)&lt;&gt;"SAMPLE",Config!$B$19="Y")),IFERROR(N(INDEX(Clay_Offices!$A$2:$FZ$601,226,Sync!$C$13)),0),"")</f>
        <v/>
      </c>
      <c r="C3077" s="17">
        <f>IF(B3077="","","office")</f>
        <v/>
      </c>
      <c r="D3077" s="17">
        <f>IF(B3077="","",IFERROR(INDEX(Clay_Offices!$A$2:$FZ$601,226,Sync!$C$5)&amp;"",""))</f>
        <v/>
      </c>
      <c r="E3077" s="17">
        <f>IF(B3077="","",IFERROR(INDEX(Clay_Offices!$A$2:$FZ$601,226,Sync!$C$6)&amp;"",""))</f>
        <v/>
      </c>
      <c r="F3077" s="17">
        <f>IF(B3077="","","outreach_sent")</f>
        <v/>
      </c>
      <c r="G3077" s="17">
        <f>IF(B3077="","","")</f>
        <v/>
      </c>
      <c r="H3077" s="17">
        <f>IF(B3077="","","")</f>
        <v/>
      </c>
      <c r="I3077" s="17">
        <f>IF(B3077="","","")</f>
        <v/>
      </c>
      <c r="J3077" s="17">
        <f>IF(B3077="","","touch_3; "&amp;IFERROR(INDEX(Clay_Offices!$A$2:$FZ$601,226,Sync!$C$10)&amp;"","")&amp;"; "&amp;IFERROR(INDEX(Clay_Offices!$A$2:$FZ$601,226,Sync!$C$9)&amp;"",""))</f>
        <v/>
      </c>
      <c r="K3077" t="inlineStr">
        <is>
          <t>office outreach touch 3</t>
        </is>
      </c>
    </row>
    <row r="3078">
      <c r="A3078" s="17">
        <f>IF(B3078="","",B3078+(14*1000+227)/10000000)</f>
        <v/>
      </c>
      <c r="B3078" s="23">
        <f>IF(AND(IFERROR(N(INDEX(Clay_Offices!$A$2:$FZ$601,227,Sync!$C$13)),0)&gt;0,IFERROR(INDEX(Clay_Offices!$A$2:$FZ$601,227,Sync!$C$5)&amp;"","")&lt;&gt;"",OR(LEFT(IFERROR(INDEX(Clay_Offices!$A$2:$FZ$601,227,Sync!$C$5)&amp;"",""),6)&lt;&gt;"SAMPLE",Config!$B$19="Y")),IFERROR(N(INDEX(Clay_Offices!$A$2:$FZ$601,227,Sync!$C$13)),0),"")</f>
        <v/>
      </c>
      <c r="C3078" s="17">
        <f>IF(B3078="","","office")</f>
        <v/>
      </c>
      <c r="D3078" s="17">
        <f>IF(B3078="","",IFERROR(INDEX(Clay_Offices!$A$2:$FZ$601,227,Sync!$C$5)&amp;"",""))</f>
        <v/>
      </c>
      <c r="E3078" s="17">
        <f>IF(B3078="","",IFERROR(INDEX(Clay_Offices!$A$2:$FZ$601,227,Sync!$C$6)&amp;"",""))</f>
        <v/>
      </c>
      <c r="F3078" s="17">
        <f>IF(B3078="","","outreach_sent")</f>
        <v/>
      </c>
      <c r="G3078" s="17">
        <f>IF(B3078="","","")</f>
        <v/>
      </c>
      <c r="H3078" s="17">
        <f>IF(B3078="","","")</f>
        <v/>
      </c>
      <c r="I3078" s="17">
        <f>IF(B3078="","","")</f>
        <v/>
      </c>
      <c r="J3078" s="17">
        <f>IF(B3078="","","touch_3; "&amp;IFERROR(INDEX(Clay_Offices!$A$2:$FZ$601,227,Sync!$C$10)&amp;"","")&amp;"; "&amp;IFERROR(INDEX(Clay_Offices!$A$2:$FZ$601,227,Sync!$C$9)&amp;"",""))</f>
        <v/>
      </c>
      <c r="K3078" t="inlineStr">
        <is>
          <t>office outreach touch 3</t>
        </is>
      </c>
    </row>
    <row r="3079">
      <c r="A3079" s="17">
        <f>IF(B3079="","",B3079+(14*1000+228)/10000000)</f>
        <v/>
      </c>
      <c r="B3079" s="23">
        <f>IF(AND(IFERROR(N(INDEX(Clay_Offices!$A$2:$FZ$601,228,Sync!$C$13)),0)&gt;0,IFERROR(INDEX(Clay_Offices!$A$2:$FZ$601,228,Sync!$C$5)&amp;"","")&lt;&gt;"",OR(LEFT(IFERROR(INDEX(Clay_Offices!$A$2:$FZ$601,228,Sync!$C$5)&amp;"",""),6)&lt;&gt;"SAMPLE",Config!$B$19="Y")),IFERROR(N(INDEX(Clay_Offices!$A$2:$FZ$601,228,Sync!$C$13)),0),"")</f>
        <v/>
      </c>
      <c r="C3079" s="17">
        <f>IF(B3079="","","office")</f>
        <v/>
      </c>
      <c r="D3079" s="17">
        <f>IF(B3079="","",IFERROR(INDEX(Clay_Offices!$A$2:$FZ$601,228,Sync!$C$5)&amp;"",""))</f>
        <v/>
      </c>
      <c r="E3079" s="17">
        <f>IF(B3079="","",IFERROR(INDEX(Clay_Offices!$A$2:$FZ$601,228,Sync!$C$6)&amp;"",""))</f>
        <v/>
      </c>
      <c r="F3079" s="17">
        <f>IF(B3079="","","outreach_sent")</f>
        <v/>
      </c>
      <c r="G3079" s="17">
        <f>IF(B3079="","","")</f>
        <v/>
      </c>
      <c r="H3079" s="17">
        <f>IF(B3079="","","")</f>
        <v/>
      </c>
      <c r="I3079" s="17">
        <f>IF(B3079="","","")</f>
        <v/>
      </c>
      <c r="J3079" s="17">
        <f>IF(B3079="","","touch_3; "&amp;IFERROR(INDEX(Clay_Offices!$A$2:$FZ$601,228,Sync!$C$10)&amp;"","")&amp;"; "&amp;IFERROR(INDEX(Clay_Offices!$A$2:$FZ$601,228,Sync!$C$9)&amp;"",""))</f>
        <v/>
      </c>
      <c r="K3079" t="inlineStr">
        <is>
          <t>office outreach touch 3</t>
        </is>
      </c>
    </row>
    <row r="3080">
      <c r="A3080" s="17">
        <f>IF(B3080="","",B3080+(14*1000+229)/10000000)</f>
        <v/>
      </c>
      <c r="B3080" s="23">
        <f>IF(AND(IFERROR(N(INDEX(Clay_Offices!$A$2:$FZ$601,229,Sync!$C$13)),0)&gt;0,IFERROR(INDEX(Clay_Offices!$A$2:$FZ$601,229,Sync!$C$5)&amp;"","")&lt;&gt;"",OR(LEFT(IFERROR(INDEX(Clay_Offices!$A$2:$FZ$601,229,Sync!$C$5)&amp;"",""),6)&lt;&gt;"SAMPLE",Config!$B$19="Y")),IFERROR(N(INDEX(Clay_Offices!$A$2:$FZ$601,229,Sync!$C$13)),0),"")</f>
        <v/>
      </c>
      <c r="C3080" s="17">
        <f>IF(B3080="","","office")</f>
        <v/>
      </c>
      <c r="D3080" s="17">
        <f>IF(B3080="","",IFERROR(INDEX(Clay_Offices!$A$2:$FZ$601,229,Sync!$C$5)&amp;"",""))</f>
        <v/>
      </c>
      <c r="E3080" s="17">
        <f>IF(B3080="","",IFERROR(INDEX(Clay_Offices!$A$2:$FZ$601,229,Sync!$C$6)&amp;"",""))</f>
        <v/>
      </c>
      <c r="F3080" s="17">
        <f>IF(B3080="","","outreach_sent")</f>
        <v/>
      </c>
      <c r="G3080" s="17">
        <f>IF(B3080="","","")</f>
        <v/>
      </c>
      <c r="H3080" s="17">
        <f>IF(B3080="","","")</f>
        <v/>
      </c>
      <c r="I3080" s="17">
        <f>IF(B3080="","","")</f>
        <v/>
      </c>
      <c r="J3080" s="17">
        <f>IF(B3080="","","touch_3; "&amp;IFERROR(INDEX(Clay_Offices!$A$2:$FZ$601,229,Sync!$C$10)&amp;"","")&amp;"; "&amp;IFERROR(INDEX(Clay_Offices!$A$2:$FZ$601,229,Sync!$C$9)&amp;"",""))</f>
        <v/>
      </c>
      <c r="K3080" t="inlineStr">
        <is>
          <t>office outreach touch 3</t>
        </is>
      </c>
    </row>
    <row r="3081">
      <c r="A3081" s="17">
        <f>IF(B3081="","",B3081+(14*1000+230)/10000000)</f>
        <v/>
      </c>
      <c r="B3081" s="23">
        <f>IF(AND(IFERROR(N(INDEX(Clay_Offices!$A$2:$FZ$601,230,Sync!$C$13)),0)&gt;0,IFERROR(INDEX(Clay_Offices!$A$2:$FZ$601,230,Sync!$C$5)&amp;"","")&lt;&gt;"",OR(LEFT(IFERROR(INDEX(Clay_Offices!$A$2:$FZ$601,230,Sync!$C$5)&amp;"",""),6)&lt;&gt;"SAMPLE",Config!$B$19="Y")),IFERROR(N(INDEX(Clay_Offices!$A$2:$FZ$601,230,Sync!$C$13)),0),"")</f>
        <v/>
      </c>
      <c r="C3081" s="17">
        <f>IF(B3081="","","office")</f>
        <v/>
      </c>
      <c r="D3081" s="17">
        <f>IF(B3081="","",IFERROR(INDEX(Clay_Offices!$A$2:$FZ$601,230,Sync!$C$5)&amp;"",""))</f>
        <v/>
      </c>
      <c r="E3081" s="17">
        <f>IF(B3081="","",IFERROR(INDEX(Clay_Offices!$A$2:$FZ$601,230,Sync!$C$6)&amp;"",""))</f>
        <v/>
      </c>
      <c r="F3081" s="17">
        <f>IF(B3081="","","outreach_sent")</f>
        <v/>
      </c>
      <c r="G3081" s="17">
        <f>IF(B3081="","","")</f>
        <v/>
      </c>
      <c r="H3081" s="17">
        <f>IF(B3081="","","")</f>
        <v/>
      </c>
      <c r="I3081" s="17">
        <f>IF(B3081="","","")</f>
        <v/>
      </c>
      <c r="J3081" s="17">
        <f>IF(B3081="","","touch_3; "&amp;IFERROR(INDEX(Clay_Offices!$A$2:$FZ$601,230,Sync!$C$10)&amp;"","")&amp;"; "&amp;IFERROR(INDEX(Clay_Offices!$A$2:$FZ$601,230,Sync!$C$9)&amp;"",""))</f>
        <v/>
      </c>
      <c r="K3081" t="inlineStr">
        <is>
          <t>office outreach touch 3</t>
        </is>
      </c>
    </row>
    <row r="3082">
      <c r="A3082" s="17">
        <f>IF(B3082="","",B3082+(14*1000+231)/10000000)</f>
        <v/>
      </c>
      <c r="B3082" s="23">
        <f>IF(AND(IFERROR(N(INDEX(Clay_Offices!$A$2:$FZ$601,231,Sync!$C$13)),0)&gt;0,IFERROR(INDEX(Clay_Offices!$A$2:$FZ$601,231,Sync!$C$5)&amp;"","")&lt;&gt;"",OR(LEFT(IFERROR(INDEX(Clay_Offices!$A$2:$FZ$601,231,Sync!$C$5)&amp;"",""),6)&lt;&gt;"SAMPLE",Config!$B$19="Y")),IFERROR(N(INDEX(Clay_Offices!$A$2:$FZ$601,231,Sync!$C$13)),0),"")</f>
        <v/>
      </c>
      <c r="C3082" s="17">
        <f>IF(B3082="","","office")</f>
        <v/>
      </c>
      <c r="D3082" s="17">
        <f>IF(B3082="","",IFERROR(INDEX(Clay_Offices!$A$2:$FZ$601,231,Sync!$C$5)&amp;"",""))</f>
        <v/>
      </c>
      <c r="E3082" s="17">
        <f>IF(B3082="","",IFERROR(INDEX(Clay_Offices!$A$2:$FZ$601,231,Sync!$C$6)&amp;"",""))</f>
        <v/>
      </c>
      <c r="F3082" s="17">
        <f>IF(B3082="","","outreach_sent")</f>
        <v/>
      </c>
      <c r="G3082" s="17">
        <f>IF(B3082="","","")</f>
        <v/>
      </c>
      <c r="H3082" s="17">
        <f>IF(B3082="","","")</f>
        <v/>
      </c>
      <c r="I3082" s="17">
        <f>IF(B3082="","","")</f>
        <v/>
      </c>
      <c r="J3082" s="17">
        <f>IF(B3082="","","touch_3; "&amp;IFERROR(INDEX(Clay_Offices!$A$2:$FZ$601,231,Sync!$C$10)&amp;"","")&amp;"; "&amp;IFERROR(INDEX(Clay_Offices!$A$2:$FZ$601,231,Sync!$C$9)&amp;"",""))</f>
        <v/>
      </c>
      <c r="K3082" t="inlineStr">
        <is>
          <t>office outreach touch 3</t>
        </is>
      </c>
    </row>
    <row r="3083">
      <c r="A3083" s="17">
        <f>IF(B3083="","",B3083+(14*1000+232)/10000000)</f>
        <v/>
      </c>
      <c r="B3083" s="23">
        <f>IF(AND(IFERROR(N(INDEX(Clay_Offices!$A$2:$FZ$601,232,Sync!$C$13)),0)&gt;0,IFERROR(INDEX(Clay_Offices!$A$2:$FZ$601,232,Sync!$C$5)&amp;"","")&lt;&gt;"",OR(LEFT(IFERROR(INDEX(Clay_Offices!$A$2:$FZ$601,232,Sync!$C$5)&amp;"",""),6)&lt;&gt;"SAMPLE",Config!$B$19="Y")),IFERROR(N(INDEX(Clay_Offices!$A$2:$FZ$601,232,Sync!$C$13)),0),"")</f>
        <v/>
      </c>
      <c r="C3083" s="17">
        <f>IF(B3083="","","office")</f>
        <v/>
      </c>
      <c r="D3083" s="17">
        <f>IF(B3083="","",IFERROR(INDEX(Clay_Offices!$A$2:$FZ$601,232,Sync!$C$5)&amp;"",""))</f>
        <v/>
      </c>
      <c r="E3083" s="17">
        <f>IF(B3083="","",IFERROR(INDEX(Clay_Offices!$A$2:$FZ$601,232,Sync!$C$6)&amp;"",""))</f>
        <v/>
      </c>
      <c r="F3083" s="17">
        <f>IF(B3083="","","outreach_sent")</f>
        <v/>
      </c>
      <c r="G3083" s="17">
        <f>IF(B3083="","","")</f>
        <v/>
      </c>
      <c r="H3083" s="17">
        <f>IF(B3083="","","")</f>
        <v/>
      </c>
      <c r="I3083" s="17">
        <f>IF(B3083="","","")</f>
        <v/>
      </c>
      <c r="J3083" s="17">
        <f>IF(B3083="","","touch_3; "&amp;IFERROR(INDEX(Clay_Offices!$A$2:$FZ$601,232,Sync!$C$10)&amp;"","")&amp;"; "&amp;IFERROR(INDEX(Clay_Offices!$A$2:$FZ$601,232,Sync!$C$9)&amp;"",""))</f>
        <v/>
      </c>
      <c r="K3083" t="inlineStr">
        <is>
          <t>office outreach touch 3</t>
        </is>
      </c>
    </row>
    <row r="3084">
      <c r="A3084" s="17">
        <f>IF(B3084="","",B3084+(14*1000+233)/10000000)</f>
        <v/>
      </c>
      <c r="B3084" s="23">
        <f>IF(AND(IFERROR(N(INDEX(Clay_Offices!$A$2:$FZ$601,233,Sync!$C$13)),0)&gt;0,IFERROR(INDEX(Clay_Offices!$A$2:$FZ$601,233,Sync!$C$5)&amp;"","")&lt;&gt;"",OR(LEFT(IFERROR(INDEX(Clay_Offices!$A$2:$FZ$601,233,Sync!$C$5)&amp;"",""),6)&lt;&gt;"SAMPLE",Config!$B$19="Y")),IFERROR(N(INDEX(Clay_Offices!$A$2:$FZ$601,233,Sync!$C$13)),0),"")</f>
        <v/>
      </c>
      <c r="C3084" s="17">
        <f>IF(B3084="","","office")</f>
        <v/>
      </c>
      <c r="D3084" s="17">
        <f>IF(B3084="","",IFERROR(INDEX(Clay_Offices!$A$2:$FZ$601,233,Sync!$C$5)&amp;"",""))</f>
        <v/>
      </c>
      <c r="E3084" s="17">
        <f>IF(B3084="","",IFERROR(INDEX(Clay_Offices!$A$2:$FZ$601,233,Sync!$C$6)&amp;"",""))</f>
        <v/>
      </c>
      <c r="F3084" s="17">
        <f>IF(B3084="","","outreach_sent")</f>
        <v/>
      </c>
      <c r="G3084" s="17">
        <f>IF(B3084="","","")</f>
        <v/>
      </c>
      <c r="H3084" s="17">
        <f>IF(B3084="","","")</f>
        <v/>
      </c>
      <c r="I3084" s="17">
        <f>IF(B3084="","","")</f>
        <v/>
      </c>
      <c r="J3084" s="17">
        <f>IF(B3084="","","touch_3; "&amp;IFERROR(INDEX(Clay_Offices!$A$2:$FZ$601,233,Sync!$C$10)&amp;"","")&amp;"; "&amp;IFERROR(INDEX(Clay_Offices!$A$2:$FZ$601,233,Sync!$C$9)&amp;"",""))</f>
        <v/>
      </c>
      <c r="K3084" t="inlineStr">
        <is>
          <t>office outreach touch 3</t>
        </is>
      </c>
    </row>
    <row r="3085">
      <c r="A3085" s="17">
        <f>IF(B3085="","",B3085+(14*1000+234)/10000000)</f>
        <v/>
      </c>
      <c r="B3085" s="23">
        <f>IF(AND(IFERROR(N(INDEX(Clay_Offices!$A$2:$FZ$601,234,Sync!$C$13)),0)&gt;0,IFERROR(INDEX(Clay_Offices!$A$2:$FZ$601,234,Sync!$C$5)&amp;"","")&lt;&gt;"",OR(LEFT(IFERROR(INDEX(Clay_Offices!$A$2:$FZ$601,234,Sync!$C$5)&amp;"",""),6)&lt;&gt;"SAMPLE",Config!$B$19="Y")),IFERROR(N(INDEX(Clay_Offices!$A$2:$FZ$601,234,Sync!$C$13)),0),"")</f>
        <v/>
      </c>
      <c r="C3085" s="17">
        <f>IF(B3085="","","office")</f>
        <v/>
      </c>
      <c r="D3085" s="17">
        <f>IF(B3085="","",IFERROR(INDEX(Clay_Offices!$A$2:$FZ$601,234,Sync!$C$5)&amp;"",""))</f>
        <v/>
      </c>
      <c r="E3085" s="17">
        <f>IF(B3085="","",IFERROR(INDEX(Clay_Offices!$A$2:$FZ$601,234,Sync!$C$6)&amp;"",""))</f>
        <v/>
      </c>
      <c r="F3085" s="17">
        <f>IF(B3085="","","outreach_sent")</f>
        <v/>
      </c>
      <c r="G3085" s="17">
        <f>IF(B3085="","","")</f>
        <v/>
      </c>
      <c r="H3085" s="17">
        <f>IF(B3085="","","")</f>
        <v/>
      </c>
      <c r="I3085" s="17">
        <f>IF(B3085="","","")</f>
        <v/>
      </c>
      <c r="J3085" s="17">
        <f>IF(B3085="","","touch_3; "&amp;IFERROR(INDEX(Clay_Offices!$A$2:$FZ$601,234,Sync!$C$10)&amp;"","")&amp;"; "&amp;IFERROR(INDEX(Clay_Offices!$A$2:$FZ$601,234,Sync!$C$9)&amp;"",""))</f>
        <v/>
      </c>
      <c r="K3085" t="inlineStr">
        <is>
          <t>office outreach touch 3</t>
        </is>
      </c>
    </row>
    <row r="3086">
      <c r="A3086" s="17">
        <f>IF(B3086="","",B3086+(14*1000+235)/10000000)</f>
        <v/>
      </c>
      <c r="B3086" s="23">
        <f>IF(AND(IFERROR(N(INDEX(Clay_Offices!$A$2:$FZ$601,235,Sync!$C$13)),0)&gt;0,IFERROR(INDEX(Clay_Offices!$A$2:$FZ$601,235,Sync!$C$5)&amp;"","")&lt;&gt;"",OR(LEFT(IFERROR(INDEX(Clay_Offices!$A$2:$FZ$601,235,Sync!$C$5)&amp;"",""),6)&lt;&gt;"SAMPLE",Config!$B$19="Y")),IFERROR(N(INDEX(Clay_Offices!$A$2:$FZ$601,235,Sync!$C$13)),0),"")</f>
        <v/>
      </c>
      <c r="C3086" s="17">
        <f>IF(B3086="","","office")</f>
        <v/>
      </c>
      <c r="D3086" s="17">
        <f>IF(B3086="","",IFERROR(INDEX(Clay_Offices!$A$2:$FZ$601,235,Sync!$C$5)&amp;"",""))</f>
        <v/>
      </c>
      <c r="E3086" s="17">
        <f>IF(B3086="","",IFERROR(INDEX(Clay_Offices!$A$2:$FZ$601,235,Sync!$C$6)&amp;"",""))</f>
        <v/>
      </c>
      <c r="F3086" s="17">
        <f>IF(B3086="","","outreach_sent")</f>
        <v/>
      </c>
      <c r="G3086" s="17">
        <f>IF(B3086="","","")</f>
        <v/>
      </c>
      <c r="H3086" s="17">
        <f>IF(B3086="","","")</f>
        <v/>
      </c>
      <c r="I3086" s="17">
        <f>IF(B3086="","","")</f>
        <v/>
      </c>
      <c r="J3086" s="17">
        <f>IF(B3086="","","touch_3; "&amp;IFERROR(INDEX(Clay_Offices!$A$2:$FZ$601,235,Sync!$C$10)&amp;"","")&amp;"; "&amp;IFERROR(INDEX(Clay_Offices!$A$2:$FZ$601,235,Sync!$C$9)&amp;"",""))</f>
        <v/>
      </c>
      <c r="K3086" t="inlineStr">
        <is>
          <t>office outreach touch 3</t>
        </is>
      </c>
    </row>
    <row r="3087">
      <c r="A3087" s="17">
        <f>IF(B3087="","",B3087+(14*1000+236)/10000000)</f>
        <v/>
      </c>
      <c r="B3087" s="23">
        <f>IF(AND(IFERROR(N(INDEX(Clay_Offices!$A$2:$FZ$601,236,Sync!$C$13)),0)&gt;0,IFERROR(INDEX(Clay_Offices!$A$2:$FZ$601,236,Sync!$C$5)&amp;"","")&lt;&gt;"",OR(LEFT(IFERROR(INDEX(Clay_Offices!$A$2:$FZ$601,236,Sync!$C$5)&amp;"",""),6)&lt;&gt;"SAMPLE",Config!$B$19="Y")),IFERROR(N(INDEX(Clay_Offices!$A$2:$FZ$601,236,Sync!$C$13)),0),"")</f>
        <v/>
      </c>
      <c r="C3087" s="17">
        <f>IF(B3087="","","office")</f>
        <v/>
      </c>
      <c r="D3087" s="17">
        <f>IF(B3087="","",IFERROR(INDEX(Clay_Offices!$A$2:$FZ$601,236,Sync!$C$5)&amp;"",""))</f>
        <v/>
      </c>
      <c r="E3087" s="17">
        <f>IF(B3087="","",IFERROR(INDEX(Clay_Offices!$A$2:$FZ$601,236,Sync!$C$6)&amp;"",""))</f>
        <v/>
      </c>
      <c r="F3087" s="17">
        <f>IF(B3087="","","outreach_sent")</f>
        <v/>
      </c>
      <c r="G3087" s="17">
        <f>IF(B3087="","","")</f>
        <v/>
      </c>
      <c r="H3087" s="17">
        <f>IF(B3087="","","")</f>
        <v/>
      </c>
      <c r="I3087" s="17">
        <f>IF(B3087="","","")</f>
        <v/>
      </c>
      <c r="J3087" s="17">
        <f>IF(B3087="","","touch_3; "&amp;IFERROR(INDEX(Clay_Offices!$A$2:$FZ$601,236,Sync!$C$10)&amp;"","")&amp;"; "&amp;IFERROR(INDEX(Clay_Offices!$A$2:$FZ$601,236,Sync!$C$9)&amp;"",""))</f>
        <v/>
      </c>
      <c r="K3087" t="inlineStr">
        <is>
          <t>office outreach touch 3</t>
        </is>
      </c>
    </row>
    <row r="3088">
      <c r="A3088" s="17">
        <f>IF(B3088="","",B3088+(14*1000+237)/10000000)</f>
        <v/>
      </c>
      <c r="B3088" s="23">
        <f>IF(AND(IFERROR(N(INDEX(Clay_Offices!$A$2:$FZ$601,237,Sync!$C$13)),0)&gt;0,IFERROR(INDEX(Clay_Offices!$A$2:$FZ$601,237,Sync!$C$5)&amp;"","")&lt;&gt;"",OR(LEFT(IFERROR(INDEX(Clay_Offices!$A$2:$FZ$601,237,Sync!$C$5)&amp;"",""),6)&lt;&gt;"SAMPLE",Config!$B$19="Y")),IFERROR(N(INDEX(Clay_Offices!$A$2:$FZ$601,237,Sync!$C$13)),0),"")</f>
        <v/>
      </c>
      <c r="C3088" s="17">
        <f>IF(B3088="","","office")</f>
        <v/>
      </c>
      <c r="D3088" s="17">
        <f>IF(B3088="","",IFERROR(INDEX(Clay_Offices!$A$2:$FZ$601,237,Sync!$C$5)&amp;"",""))</f>
        <v/>
      </c>
      <c r="E3088" s="17">
        <f>IF(B3088="","",IFERROR(INDEX(Clay_Offices!$A$2:$FZ$601,237,Sync!$C$6)&amp;"",""))</f>
        <v/>
      </c>
      <c r="F3088" s="17">
        <f>IF(B3088="","","outreach_sent")</f>
        <v/>
      </c>
      <c r="G3088" s="17">
        <f>IF(B3088="","","")</f>
        <v/>
      </c>
      <c r="H3088" s="17">
        <f>IF(B3088="","","")</f>
        <v/>
      </c>
      <c r="I3088" s="17">
        <f>IF(B3088="","","")</f>
        <v/>
      </c>
      <c r="J3088" s="17">
        <f>IF(B3088="","","touch_3; "&amp;IFERROR(INDEX(Clay_Offices!$A$2:$FZ$601,237,Sync!$C$10)&amp;"","")&amp;"; "&amp;IFERROR(INDEX(Clay_Offices!$A$2:$FZ$601,237,Sync!$C$9)&amp;"",""))</f>
        <v/>
      </c>
      <c r="K3088" t="inlineStr">
        <is>
          <t>office outreach touch 3</t>
        </is>
      </c>
    </row>
    <row r="3089">
      <c r="A3089" s="17">
        <f>IF(B3089="","",B3089+(14*1000+238)/10000000)</f>
        <v/>
      </c>
      <c r="B3089" s="23">
        <f>IF(AND(IFERROR(N(INDEX(Clay_Offices!$A$2:$FZ$601,238,Sync!$C$13)),0)&gt;0,IFERROR(INDEX(Clay_Offices!$A$2:$FZ$601,238,Sync!$C$5)&amp;"","")&lt;&gt;"",OR(LEFT(IFERROR(INDEX(Clay_Offices!$A$2:$FZ$601,238,Sync!$C$5)&amp;"",""),6)&lt;&gt;"SAMPLE",Config!$B$19="Y")),IFERROR(N(INDEX(Clay_Offices!$A$2:$FZ$601,238,Sync!$C$13)),0),"")</f>
        <v/>
      </c>
      <c r="C3089" s="17">
        <f>IF(B3089="","","office")</f>
        <v/>
      </c>
      <c r="D3089" s="17">
        <f>IF(B3089="","",IFERROR(INDEX(Clay_Offices!$A$2:$FZ$601,238,Sync!$C$5)&amp;"",""))</f>
        <v/>
      </c>
      <c r="E3089" s="17">
        <f>IF(B3089="","",IFERROR(INDEX(Clay_Offices!$A$2:$FZ$601,238,Sync!$C$6)&amp;"",""))</f>
        <v/>
      </c>
      <c r="F3089" s="17">
        <f>IF(B3089="","","outreach_sent")</f>
        <v/>
      </c>
      <c r="G3089" s="17">
        <f>IF(B3089="","","")</f>
        <v/>
      </c>
      <c r="H3089" s="17">
        <f>IF(B3089="","","")</f>
        <v/>
      </c>
      <c r="I3089" s="17">
        <f>IF(B3089="","","")</f>
        <v/>
      </c>
      <c r="J3089" s="17">
        <f>IF(B3089="","","touch_3; "&amp;IFERROR(INDEX(Clay_Offices!$A$2:$FZ$601,238,Sync!$C$10)&amp;"","")&amp;"; "&amp;IFERROR(INDEX(Clay_Offices!$A$2:$FZ$601,238,Sync!$C$9)&amp;"",""))</f>
        <v/>
      </c>
      <c r="K3089" t="inlineStr">
        <is>
          <t>office outreach touch 3</t>
        </is>
      </c>
    </row>
    <row r="3090">
      <c r="A3090" s="17">
        <f>IF(B3090="","",B3090+(14*1000+239)/10000000)</f>
        <v/>
      </c>
      <c r="B3090" s="23">
        <f>IF(AND(IFERROR(N(INDEX(Clay_Offices!$A$2:$FZ$601,239,Sync!$C$13)),0)&gt;0,IFERROR(INDEX(Clay_Offices!$A$2:$FZ$601,239,Sync!$C$5)&amp;"","")&lt;&gt;"",OR(LEFT(IFERROR(INDEX(Clay_Offices!$A$2:$FZ$601,239,Sync!$C$5)&amp;"",""),6)&lt;&gt;"SAMPLE",Config!$B$19="Y")),IFERROR(N(INDEX(Clay_Offices!$A$2:$FZ$601,239,Sync!$C$13)),0),"")</f>
        <v/>
      </c>
      <c r="C3090" s="17">
        <f>IF(B3090="","","office")</f>
        <v/>
      </c>
      <c r="D3090" s="17">
        <f>IF(B3090="","",IFERROR(INDEX(Clay_Offices!$A$2:$FZ$601,239,Sync!$C$5)&amp;"",""))</f>
        <v/>
      </c>
      <c r="E3090" s="17">
        <f>IF(B3090="","",IFERROR(INDEX(Clay_Offices!$A$2:$FZ$601,239,Sync!$C$6)&amp;"",""))</f>
        <v/>
      </c>
      <c r="F3090" s="17">
        <f>IF(B3090="","","outreach_sent")</f>
        <v/>
      </c>
      <c r="G3090" s="17">
        <f>IF(B3090="","","")</f>
        <v/>
      </c>
      <c r="H3090" s="17">
        <f>IF(B3090="","","")</f>
        <v/>
      </c>
      <c r="I3090" s="17">
        <f>IF(B3090="","","")</f>
        <v/>
      </c>
      <c r="J3090" s="17">
        <f>IF(B3090="","","touch_3; "&amp;IFERROR(INDEX(Clay_Offices!$A$2:$FZ$601,239,Sync!$C$10)&amp;"","")&amp;"; "&amp;IFERROR(INDEX(Clay_Offices!$A$2:$FZ$601,239,Sync!$C$9)&amp;"",""))</f>
        <v/>
      </c>
      <c r="K3090" t="inlineStr">
        <is>
          <t>office outreach touch 3</t>
        </is>
      </c>
    </row>
    <row r="3091">
      <c r="A3091" s="17">
        <f>IF(B3091="","",B3091+(14*1000+240)/10000000)</f>
        <v/>
      </c>
      <c r="B3091" s="23">
        <f>IF(AND(IFERROR(N(INDEX(Clay_Offices!$A$2:$FZ$601,240,Sync!$C$13)),0)&gt;0,IFERROR(INDEX(Clay_Offices!$A$2:$FZ$601,240,Sync!$C$5)&amp;"","")&lt;&gt;"",OR(LEFT(IFERROR(INDEX(Clay_Offices!$A$2:$FZ$601,240,Sync!$C$5)&amp;"",""),6)&lt;&gt;"SAMPLE",Config!$B$19="Y")),IFERROR(N(INDEX(Clay_Offices!$A$2:$FZ$601,240,Sync!$C$13)),0),"")</f>
        <v/>
      </c>
      <c r="C3091" s="17">
        <f>IF(B3091="","","office")</f>
        <v/>
      </c>
      <c r="D3091" s="17">
        <f>IF(B3091="","",IFERROR(INDEX(Clay_Offices!$A$2:$FZ$601,240,Sync!$C$5)&amp;"",""))</f>
        <v/>
      </c>
      <c r="E3091" s="17">
        <f>IF(B3091="","",IFERROR(INDEX(Clay_Offices!$A$2:$FZ$601,240,Sync!$C$6)&amp;"",""))</f>
        <v/>
      </c>
      <c r="F3091" s="17">
        <f>IF(B3091="","","outreach_sent")</f>
        <v/>
      </c>
      <c r="G3091" s="17">
        <f>IF(B3091="","","")</f>
        <v/>
      </c>
      <c r="H3091" s="17">
        <f>IF(B3091="","","")</f>
        <v/>
      </c>
      <c r="I3091" s="17">
        <f>IF(B3091="","","")</f>
        <v/>
      </c>
      <c r="J3091" s="17">
        <f>IF(B3091="","","touch_3; "&amp;IFERROR(INDEX(Clay_Offices!$A$2:$FZ$601,240,Sync!$C$10)&amp;"","")&amp;"; "&amp;IFERROR(INDEX(Clay_Offices!$A$2:$FZ$601,240,Sync!$C$9)&amp;"",""))</f>
        <v/>
      </c>
      <c r="K3091" t="inlineStr">
        <is>
          <t>office outreach touch 3</t>
        </is>
      </c>
    </row>
    <row r="3092">
      <c r="A3092" s="17">
        <f>IF(B3092="","",B3092+(14*1000+241)/10000000)</f>
        <v/>
      </c>
      <c r="B3092" s="23">
        <f>IF(AND(IFERROR(N(INDEX(Clay_Offices!$A$2:$FZ$601,241,Sync!$C$13)),0)&gt;0,IFERROR(INDEX(Clay_Offices!$A$2:$FZ$601,241,Sync!$C$5)&amp;"","")&lt;&gt;"",OR(LEFT(IFERROR(INDEX(Clay_Offices!$A$2:$FZ$601,241,Sync!$C$5)&amp;"",""),6)&lt;&gt;"SAMPLE",Config!$B$19="Y")),IFERROR(N(INDEX(Clay_Offices!$A$2:$FZ$601,241,Sync!$C$13)),0),"")</f>
        <v/>
      </c>
      <c r="C3092" s="17">
        <f>IF(B3092="","","office")</f>
        <v/>
      </c>
      <c r="D3092" s="17">
        <f>IF(B3092="","",IFERROR(INDEX(Clay_Offices!$A$2:$FZ$601,241,Sync!$C$5)&amp;"",""))</f>
        <v/>
      </c>
      <c r="E3092" s="17">
        <f>IF(B3092="","",IFERROR(INDEX(Clay_Offices!$A$2:$FZ$601,241,Sync!$C$6)&amp;"",""))</f>
        <v/>
      </c>
      <c r="F3092" s="17">
        <f>IF(B3092="","","outreach_sent")</f>
        <v/>
      </c>
      <c r="G3092" s="17">
        <f>IF(B3092="","","")</f>
        <v/>
      </c>
      <c r="H3092" s="17">
        <f>IF(B3092="","","")</f>
        <v/>
      </c>
      <c r="I3092" s="17">
        <f>IF(B3092="","","")</f>
        <v/>
      </c>
      <c r="J3092" s="17">
        <f>IF(B3092="","","touch_3; "&amp;IFERROR(INDEX(Clay_Offices!$A$2:$FZ$601,241,Sync!$C$10)&amp;"","")&amp;"; "&amp;IFERROR(INDEX(Clay_Offices!$A$2:$FZ$601,241,Sync!$C$9)&amp;"",""))</f>
        <v/>
      </c>
      <c r="K3092" t="inlineStr">
        <is>
          <t>office outreach touch 3</t>
        </is>
      </c>
    </row>
    <row r="3093">
      <c r="A3093" s="17">
        <f>IF(B3093="","",B3093+(14*1000+242)/10000000)</f>
        <v/>
      </c>
      <c r="B3093" s="23">
        <f>IF(AND(IFERROR(N(INDEX(Clay_Offices!$A$2:$FZ$601,242,Sync!$C$13)),0)&gt;0,IFERROR(INDEX(Clay_Offices!$A$2:$FZ$601,242,Sync!$C$5)&amp;"","")&lt;&gt;"",OR(LEFT(IFERROR(INDEX(Clay_Offices!$A$2:$FZ$601,242,Sync!$C$5)&amp;"",""),6)&lt;&gt;"SAMPLE",Config!$B$19="Y")),IFERROR(N(INDEX(Clay_Offices!$A$2:$FZ$601,242,Sync!$C$13)),0),"")</f>
        <v/>
      </c>
      <c r="C3093" s="17">
        <f>IF(B3093="","","office")</f>
        <v/>
      </c>
      <c r="D3093" s="17">
        <f>IF(B3093="","",IFERROR(INDEX(Clay_Offices!$A$2:$FZ$601,242,Sync!$C$5)&amp;"",""))</f>
        <v/>
      </c>
      <c r="E3093" s="17">
        <f>IF(B3093="","",IFERROR(INDEX(Clay_Offices!$A$2:$FZ$601,242,Sync!$C$6)&amp;"",""))</f>
        <v/>
      </c>
      <c r="F3093" s="17">
        <f>IF(B3093="","","outreach_sent")</f>
        <v/>
      </c>
      <c r="G3093" s="17">
        <f>IF(B3093="","","")</f>
        <v/>
      </c>
      <c r="H3093" s="17">
        <f>IF(B3093="","","")</f>
        <v/>
      </c>
      <c r="I3093" s="17">
        <f>IF(B3093="","","")</f>
        <v/>
      </c>
      <c r="J3093" s="17">
        <f>IF(B3093="","","touch_3; "&amp;IFERROR(INDEX(Clay_Offices!$A$2:$FZ$601,242,Sync!$C$10)&amp;"","")&amp;"; "&amp;IFERROR(INDEX(Clay_Offices!$A$2:$FZ$601,242,Sync!$C$9)&amp;"",""))</f>
        <v/>
      </c>
      <c r="K3093" t="inlineStr">
        <is>
          <t>office outreach touch 3</t>
        </is>
      </c>
    </row>
    <row r="3094">
      <c r="A3094" s="17">
        <f>IF(B3094="","",B3094+(14*1000+243)/10000000)</f>
        <v/>
      </c>
      <c r="B3094" s="23">
        <f>IF(AND(IFERROR(N(INDEX(Clay_Offices!$A$2:$FZ$601,243,Sync!$C$13)),0)&gt;0,IFERROR(INDEX(Clay_Offices!$A$2:$FZ$601,243,Sync!$C$5)&amp;"","")&lt;&gt;"",OR(LEFT(IFERROR(INDEX(Clay_Offices!$A$2:$FZ$601,243,Sync!$C$5)&amp;"",""),6)&lt;&gt;"SAMPLE",Config!$B$19="Y")),IFERROR(N(INDEX(Clay_Offices!$A$2:$FZ$601,243,Sync!$C$13)),0),"")</f>
        <v/>
      </c>
      <c r="C3094" s="17">
        <f>IF(B3094="","","office")</f>
        <v/>
      </c>
      <c r="D3094" s="17">
        <f>IF(B3094="","",IFERROR(INDEX(Clay_Offices!$A$2:$FZ$601,243,Sync!$C$5)&amp;"",""))</f>
        <v/>
      </c>
      <c r="E3094" s="17">
        <f>IF(B3094="","",IFERROR(INDEX(Clay_Offices!$A$2:$FZ$601,243,Sync!$C$6)&amp;"",""))</f>
        <v/>
      </c>
      <c r="F3094" s="17">
        <f>IF(B3094="","","outreach_sent")</f>
        <v/>
      </c>
      <c r="G3094" s="17">
        <f>IF(B3094="","","")</f>
        <v/>
      </c>
      <c r="H3094" s="17">
        <f>IF(B3094="","","")</f>
        <v/>
      </c>
      <c r="I3094" s="17">
        <f>IF(B3094="","","")</f>
        <v/>
      </c>
      <c r="J3094" s="17">
        <f>IF(B3094="","","touch_3; "&amp;IFERROR(INDEX(Clay_Offices!$A$2:$FZ$601,243,Sync!$C$10)&amp;"","")&amp;"; "&amp;IFERROR(INDEX(Clay_Offices!$A$2:$FZ$601,243,Sync!$C$9)&amp;"",""))</f>
        <v/>
      </c>
      <c r="K3094" t="inlineStr">
        <is>
          <t>office outreach touch 3</t>
        </is>
      </c>
    </row>
    <row r="3095">
      <c r="A3095" s="17">
        <f>IF(B3095="","",B3095+(14*1000+244)/10000000)</f>
        <v/>
      </c>
      <c r="B3095" s="23">
        <f>IF(AND(IFERROR(N(INDEX(Clay_Offices!$A$2:$FZ$601,244,Sync!$C$13)),0)&gt;0,IFERROR(INDEX(Clay_Offices!$A$2:$FZ$601,244,Sync!$C$5)&amp;"","")&lt;&gt;"",OR(LEFT(IFERROR(INDEX(Clay_Offices!$A$2:$FZ$601,244,Sync!$C$5)&amp;"",""),6)&lt;&gt;"SAMPLE",Config!$B$19="Y")),IFERROR(N(INDEX(Clay_Offices!$A$2:$FZ$601,244,Sync!$C$13)),0),"")</f>
        <v/>
      </c>
      <c r="C3095" s="17">
        <f>IF(B3095="","","office")</f>
        <v/>
      </c>
      <c r="D3095" s="17">
        <f>IF(B3095="","",IFERROR(INDEX(Clay_Offices!$A$2:$FZ$601,244,Sync!$C$5)&amp;"",""))</f>
        <v/>
      </c>
      <c r="E3095" s="17">
        <f>IF(B3095="","",IFERROR(INDEX(Clay_Offices!$A$2:$FZ$601,244,Sync!$C$6)&amp;"",""))</f>
        <v/>
      </c>
      <c r="F3095" s="17">
        <f>IF(B3095="","","outreach_sent")</f>
        <v/>
      </c>
      <c r="G3095" s="17">
        <f>IF(B3095="","","")</f>
        <v/>
      </c>
      <c r="H3095" s="17">
        <f>IF(B3095="","","")</f>
        <v/>
      </c>
      <c r="I3095" s="17">
        <f>IF(B3095="","","")</f>
        <v/>
      </c>
      <c r="J3095" s="17">
        <f>IF(B3095="","","touch_3; "&amp;IFERROR(INDEX(Clay_Offices!$A$2:$FZ$601,244,Sync!$C$10)&amp;"","")&amp;"; "&amp;IFERROR(INDEX(Clay_Offices!$A$2:$FZ$601,244,Sync!$C$9)&amp;"",""))</f>
        <v/>
      </c>
      <c r="K3095" t="inlineStr">
        <is>
          <t>office outreach touch 3</t>
        </is>
      </c>
    </row>
    <row r="3096">
      <c r="A3096" s="17">
        <f>IF(B3096="","",B3096+(14*1000+245)/10000000)</f>
        <v/>
      </c>
      <c r="B3096" s="23">
        <f>IF(AND(IFERROR(N(INDEX(Clay_Offices!$A$2:$FZ$601,245,Sync!$C$13)),0)&gt;0,IFERROR(INDEX(Clay_Offices!$A$2:$FZ$601,245,Sync!$C$5)&amp;"","")&lt;&gt;"",OR(LEFT(IFERROR(INDEX(Clay_Offices!$A$2:$FZ$601,245,Sync!$C$5)&amp;"",""),6)&lt;&gt;"SAMPLE",Config!$B$19="Y")),IFERROR(N(INDEX(Clay_Offices!$A$2:$FZ$601,245,Sync!$C$13)),0),"")</f>
        <v/>
      </c>
      <c r="C3096" s="17">
        <f>IF(B3096="","","office")</f>
        <v/>
      </c>
      <c r="D3096" s="17">
        <f>IF(B3096="","",IFERROR(INDEX(Clay_Offices!$A$2:$FZ$601,245,Sync!$C$5)&amp;"",""))</f>
        <v/>
      </c>
      <c r="E3096" s="17">
        <f>IF(B3096="","",IFERROR(INDEX(Clay_Offices!$A$2:$FZ$601,245,Sync!$C$6)&amp;"",""))</f>
        <v/>
      </c>
      <c r="F3096" s="17">
        <f>IF(B3096="","","outreach_sent")</f>
        <v/>
      </c>
      <c r="G3096" s="17">
        <f>IF(B3096="","","")</f>
        <v/>
      </c>
      <c r="H3096" s="17">
        <f>IF(B3096="","","")</f>
        <v/>
      </c>
      <c r="I3096" s="17">
        <f>IF(B3096="","","")</f>
        <v/>
      </c>
      <c r="J3096" s="17">
        <f>IF(B3096="","","touch_3; "&amp;IFERROR(INDEX(Clay_Offices!$A$2:$FZ$601,245,Sync!$C$10)&amp;"","")&amp;"; "&amp;IFERROR(INDEX(Clay_Offices!$A$2:$FZ$601,245,Sync!$C$9)&amp;"",""))</f>
        <v/>
      </c>
      <c r="K3096" t="inlineStr">
        <is>
          <t>office outreach touch 3</t>
        </is>
      </c>
    </row>
    <row r="3097">
      <c r="A3097" s="17">
        <f>IF(B3097="","",B3097+(14*1000+246)/10000000)</f>
        <v/>
      </c>
      <c r="B3097" s="23">
        <f>IF(AND(IFERROR(N(INDEX(Clay_Offices!$A$2:$FZ$601,246,Sync!$C$13)),0)&gt;0,IFERROR(INDEX(Clay_Offices!$A$2:$FZ$601,246,Sync!$C$5)&amp;"","")&lt;&gt;"",OR(LEFT(IFERROR(INDEX(Clay_Offices!$A$2:$FZ$601,246,Sync!$C$5)&amp;"",""),6)&lt;&gt;"SAMPLE",Config!$B$19="Y")),IFERROR(N(INDEX(Clay_Offices!$A$2:$FZ$601,246,Sync!$C$13)),0),"")</f>
        <v/>
      </c>
      <c r="C3097" s="17">
        <f>IF(B3097="","","office")</f>
        <v/>
      </c>
      <c r="D3097" s="17">
        <f>IF(B3097="","",IFERROR(INDEX(Clay_Offices!$A$2:$FZ$601,246,Sync!$C$5)&amp;"",""))</f>
        <v/>
      </c>
      <c r="E3097" s="17">
        <f>IF(B3097="","",IFERROR(INDEX(Clay_Offices!$A$2:$FZ$601,246,Sync!$C$6)&amp;"",""))</f>
        <v/>
      </c>
      <c r="F3097" s="17">
        <f>IF(B3097="","","outreach_sent")</f>
        <v/>
      </c>
      <c r="G3097" s="17">
        <f>IF(B3097="","","")</f>
        <v/>
      </c>
      <c r="H3097" s="17">
        <f>IF(B3097="","","")</f>
        <v/>
      </c>
      <c r="I3097" s="17">
        <f>IF(B3097="","","")</f>
        <v/>
      </c>
      <c r="J3097" s="17">
        <f>IF(B3097="","","touch_3; "&amp;IFERROR(INDEX(Clay_Offices!$A$2:$FZ$601,246,Sync!$C$10)&amp;"","")&amp;"; "&amp;IFERROR(INDEX(Clay_Offices!$A$2:$FZ$601,246,Sync!$C$9)&amp;"",""))</f>
        <v/>
      </c>
      <c r="K3097" t="inlineStr">
        <is>
          <t>office outreach touch 3</t>
        </is>
      </c>
    </row>
    <row r="3098">
      <c r="A3098" s="17">
        <f>IF(B3098="","",B3098+(14*1000+247)/10000000)</f>
        <v/>
      </c>
      <c r="B3098" s="23">
        <f>IF(AND(IFERROR(N(INDEX(Clay_Offices!$A$2:$FZ$601,247,Sync!$C$13)),0)&gt;0,IFERROR(INDEX(Clay_Offices!$A$2:$FZ$601,247,Sync!$C$5)&amp;"","")&lt;&gt;"",OR(LEFT(IFERROR(INDEX(Clay_Offices!$A$2:$FZ$601,247,Sync!$C$5)&amp;"",""),6)&lt;&gt;"SAMPLE",Config!$B$19="Y")),IFERROR(N(INDEX(Clay_Offices!$A$2:$FZ$601,247,Sync!$C$13)),0),"")</f>
        <v/>
      </c>
      <c r="C3098" s="17">
        <f>IF(B3098="","","office")</f>
        <v/>
      </c>
      <c r="D3098" s="17">
        <f>IF(B3098="","",IFERROR(INDEX(Clay_Offices!$A$2:$FZ$601,247,Sync!$C$5)&amp;"",""))</f>
        <v/>
      </c>
      <c r="E3098" s="17">
        <f>IF(B3098="","",IFERROR(INDEX(Clay_Offices!$A$2:$FZ$601,247,Sync!$C$6)&amp;"",""))</f>
        <v/>
      </c>
      <c r="F3098" s="17">
        <f>IF(B3098="","","outreach_sent")</f>
        <v/>
      </c>
      <c r="G3098" s="17">
        <f>IF(B3098="","","")</f>
        <v/>
      </c>
      <c r="H3098" s="17">
        <f>IF(B3098="","","")</f>
        <v/>
      </c>
      <c r="I3098" s="17">
        <f>IF(B3098="","","")</f>
        <v/>
      </c>
      <c r="J3098" s="17">
        <f>IF(B3098="","","touch_3; "&amp;IFERROR(INDEX(Clay_Offices!$A$2:$FZ$601,247,Sync!$C$10)&amp;"","")&amp;"; "&amp;IFERROR(INDEX(Clay_Offices!$A$2:$FZ$601,247,Sync!$C$9)&amp;"",""))</f>
        <v/>
      </c>
      <c r="K3098" t="inlineStr">
        <is>
          <t>office outreach touch 3</t>
        </is>
      </c>
    </row>
    <row r="3099">
      <c r="A3099" s="17">
        <f>IF(B3099="","",B3099+(14*1000+248)/10000000)</f>
        <v/>
      </c>
      <c r="B3099" s="23">
        <f>IF(AND(IFERROR(N(INDEX(Clay_Offices!$A$2:$FZ$601,248,Sync!$C$13)),0)&gt;0,IFERROR(INDEX(Clay_Offices!$A$2:$FZ$601,248,Sync!$C$5)&amp;"","")&lt;&gt;"",OR(LEFT(IFERROR(INDEX(Clay_Offices!$A$2:$FZ$601,248,Sync!$C$5)&amp;"",""),6)&lt;&gt;"SAMPLE",Config!$B$19="Y")),IFERROR(N(INDEX(Clay_Offices!$A$2:$FZ$601,248,Sync!$C$13)),0),"")</f>
        <v/>
      </c>
      <c r="C3099" s="17">
        <f>IF(B3099="","","office")</f>
        <v/>
      </c>
      <c r="D3099" s="17">
        <f>IF(B3099="","",IFERROR(INDEX(Clay_Offices!$A$2:$FZ$601,248,Sync!$C$5)&amp;"",""))</f>
        <v/>
      </c>
      <c r="E3099" s="17">
        <f>IF(B3099="","",IFERROR(INDEX(Clay_Offices!$A$2:$FZ$601,248,Sync!$C$6)&amp;"",""))</f>
        <v/>
      </c>
      <c r="F3099" s="17">
        <f>IF(B3099="","","outreach_sent")</f>
        <v/>
      </c>
      <c r="G3099" s="17">
        <f>IF(B3099="","","")</f>
        <v/>
      </c>
      <c r="H3099" s="17">
        <f>IF(B3099="","","")</f>
        <v/>
      </c>
      <c r="I3099" s="17">
        <f>IF(B3099="","","")</f>
        <v/>
      </c>
      <c r="J3099" s="17">
        <f>IF(B3099="","","touch_3; "&amp;IFERROR(INDEX(Clay_Offices!$A$2:$FZ$601,248,Sync!$C$10)&amp;"","")&amp;"; "&amp;IFERROR(INDEX(Clay_Offices!$A$2:$FZ$601,248,Sync!$C$9)&amp;"",""))</f>
        <v/>
      </c>
      <c r="K3099" t="inlineStr">
        <is>
          <t>office outreach touch 3</t>
        </is>
      </c>
    </row>
    <row r="3100">
      <c r="A3100" s="17">
        <f>IF(B3100="","",B3100+(14*1000+249)/10000000)</f>
        <v/>
      </c>
      <c r="B3100" s="23">
        <f>IF(AND(IFERROR(N(INDEX(Clay_Offices!$A$2:$FZ$601,249,Sync!$C$13)),0)&gt;0,IFERROR(INDEX(Clay_Offices!$A$2:$FZ$601,249,Sync!$C$5)&amp;"","")&lt;&gt;"",OR(LEFT(IFERROR(INDEX(Clay_Offices!$A$2:$FZ$601,249,Sync!$C$5)&amp;"",""),6)&lt;&gt;"SAMPLE",Config!$B$19="Y")),IFERROR(N(INDEX(Clay_Offices!$A$2:$FZ$601,249,Sync!$C$13)),0),"")</f>
        <v/>
      </c>
      <c r="C3100" s="17">
        <f>IF(B3100="","","office")</f>
        <v/>
      </c>
      <c r="D3100" s="17">
        <f>IF(B3100="","",IFERROR(INDEX(Clay_Offices!$A$2:$FZ$601,249,Sync!$C$5)&amp;"",""))</f>
        <v/>
      </c>
      <c r="E3100" s="17">
        <f>IF(B3100="","",IFERROR(INDEX(Clay_Offices!$A$2:$FZ$601,249,Sync!$C$6)&amp;"",""))</f>
        <v/>
      </c>
      <c r="F3100" s="17">
        <f>IF(B3100="","","outreach_sent")</f>
        <v/>
      </c>
      <c r="G3100" s="17">
        <f>IF(B3100="","","")</f>
        <v/>
      </c>
      <c r="H3100" s="17">
        <f>IF(B3100="","","")</f>
        <v/>
      </c>
      <c r="I3100" s="17">
        <f>IF(B3100="","","")</f>
        <v/>
      </c>
      <c r="J3100" s="17">
        <f>IF(B3100="","","touch_3; "&amp;IFERROR(INDEX(Clay_Offices!$A$2:$FZ$601,249,Sync!$C$10)&amp;"","")&amp;"; "&amp;IFERROR(INDEX(Clay_Offices!$A$2:$FZ$601,249,Sync!$C$9)&amp;"",""))</f>
        <v/>
      </c>
      <c r="K3100" t="inlineStr">
        <is>
          <t>office outreach touch 3</t>
        </is>
      </c>
    </row>
    <row r="3101">
      <c r="A3101" s="17">
        <f>IF(B3101="","",B3101+(14*1000+250)/10000000)</f>
        <v/>
      </c>
      <c r="B3101" s="23">
        <f>IF(AND(IFERROR(N(INDEX(Clay_Offices!$A$2:$FZ$601,250,Sync!$C$13)),0)&gt;0,IFERROR(INDEX(Clay_Offices!$A$2:$FZ$601,250,Sync!$C$5)&amp;"","")&lt;&gt;"",OR(LEFT(IFERROR(INDEX(Clay_Offices!$A$2:$FZ$601,250,Sync!$C$5)&amp;"",""),6)&lt;&gt;"SAMPLE",Config!$B$19="Y")),IFERROR(N(INDEX(Clay_Offices!$A$2:$FZ$601,250,Sync!$C$13)),0),"")</f>
        <v/>
      </c>
      <c r="C3101" s="17">
        <f>IF(B3101="","","office")</f>
        <v/>
      </c>
      <c r="D3101" s="17">
        <f>IF(B3101="","",IFERROR(INDEX(Clay_Offices!$A$2:$FZ$601,250,Sync!$C$5)&amp;"",""))</f>
        <v/>
      </c>
      <c r="E3101" s="17">
        <f>IF(B3101="","",IFERROR(INDEX(Clay_Offices!$A$2:$FZ$601,250,Sync!$C$6)&amp;"",""))</f>
        <v/>
      </c>
      <c r="F3101" s="17">
        <f>IF(B3101="","","outreach_sent")</f>
        <v/>
      </c>
      <c r="G3101" s="17">
        <f>IF(B3101="","","")</f>
        <v/>
      </c>
      <c r="H3101" s="17">
        <f>IF(B3101="","","")</f>
        <v/>
      </c>
      <c r="I3101" s="17">
        <f>IF(B3101="","","")</f>
        <v/>
      </c>
      <c r="J3101" s="17">
        <f>IF(B3101="","","touch_3; "&amp;IFERROR(INDEX(Clay_Offices!$A$2:$FZ$601,250,Sync!$C$10)&amp;"","")&amp;"; "&amp;IFERROR(INDEX(Clay_Offices!$A$2:$FZ$601,250,Sync!$C$9)&amp;"",""))</f>
        <v/>
      </c>
      <c r="K3101" t="inlineStr">
        <is>
          <t>office outreach touch 3</t>
        </is>
      </c>
    </row>
    <row r="3102">
      <c r="A3102" s="17">
        <f>IF(B3102="","",B3102+(14*1000+251)/10000000)</f>
        <v/>
      </c>
      <c r="B3102" s="23">
        <f>IF(AND(IFERROR(N(INDEX(Clay_Offices!$A$2:$FZ$601,251,Sync!$C$13)),0)&gt;0,IFERROR(INDEX(Clay_Offices!$A$2:$FZ$601,251,Sync!$C$5)&amp;"","")&lt;&gt;"",OR(LEFT(IFERROR(INDEX(Clay_Offices!$A$2:$FZ$601,251,Sync!$C$5)&amp;"",""),6)&lt;&gt;"SAMPLE",Config!$B$19="Y")),IFERROR(N(INDEX(Clay_Offices!$A$2:$FZ$601,251,Sync!$C$13)),0),"")</f>
        <v/>
      </c>
      <c r="C3102" s="17">
        <f>IF(B3102="","","office")</f>
        <v/>
      </c>
      <c r="D3102" s="17">
        <f>IF(B3102="","",IFERROR(INDEX(Clay_Offices!$A$2:$FZ$601,251,Sync!$C$5)&amp;"",""))</f>
        <v/>
      </c>
      <c r="E3102" s="17">
        <f>IF(B3102="","",IFERROR(INDEX(Clay_Offices!$A$2:$FZ$601,251,Sync!$C$6)&amp;"",""))</f>
        <v/>
      </c>
      <c r="F3102" s="17">
        <f>IF(B3102="","","outreach_sent")</f>
        <v/>
      </c>
      <c r="G3102" s="17">
        <f>IF(B3102="","","")</f>
        <v/>
      </c>
      <c r="H3102" s="17">
        <f>IF(B3102="","","")</f>
        <v/>
      </c>
      <c r="I3102" s="17">
        <f>IF(B3102="","","")</f>
        <v/>
      </c>
      <c r="J3102" s="17">
        <f>IF(B3102="","","touch_3; "&amp;IFERROR(INDEX(Clay_Offices!$A$2:$FZ$601,251,Sync!$C$10)&amp;"","")&amp;"; "&amp;IFERROR(INDEX(Clay_Offices!$A$2:$FZ$601,251,Sync!$C$9)&amp;"",""))</f>
        <v/>
      </c>
      <c r="K3102" t="inlineStr">
        <is>
          <t>office outreach touch 3</t>
        </is>
      </c>
    </row>
    <row r="3103">
      <c r="A3103" s="17">
        <f>IF(B3103="","",B3103+(14*1000+252)/10000000)</f>
        <v/>
      </c>
      <c r="B3103" s="23">
        <f>IF(AND(IFERROR(N(INDEX(Clay_Offices!$A$2:$FZ$601,252,Sync!$C$13)),0)&gt;0,IFERROR(INDEX(Clay_Offices!$A$2:$FZ$601,252,Sync!$C$5)&amp;"","")&lt;&gt;"",OR(LEFT(IFERROR(INDEX(Clay_Offices!$A$2:$FZ$601,252,Sync!$C$5)&amp;"",""),6)&lt;&gt;"SAMPLE",Config!$B$19="Y")),IFERROR(N(INDEX(Clay_Offices!$A$2:$FZ$601,252,Sync!$C$13)),0),"")</f>
        <v/>
      </c>
      <c r="C3103" s="17">
        <f>IF(B3103="","","office")</f>
        <v/>
      </c>
      <c r="D3103" s="17">
        <f>IF(B3103="","",IFERROR(INDEX(Clay_Offices!$A$2:$FZ$601,252,Sync!$C$5)&amp;"",""))</f>
        <v/>
      </c>
      <c r="E3103" s="17">
        <f>IF(B3103="","",IFERROR(INDEX(Clay_Offices!$A$2:$FZ$601,252,Sync!$C$6)&amp;"",""))</f>
        <v/>
      </c>
      <c r="F3103" s="17">
        <f>IF(B3103="","","outreach_sent")</f>
        <v/>
      </c>
      <c r="G3103" s="17">
        <f>IF(B3103="","","")</f>
        <v/>
      </c>
      <c r="H3103" s="17">
        <f>IF(B3103="","","")</f>
        <v/>
      </c>
      <c r="I3103" s="17">
        <f>IF(B3103="","","")</f>
        <v/>
      </c>
      <c r="J3103" s="17">
        <f>IF(B3103="","","touch_3; "&amp;IFERROR(INDEX(Clay_Offices!$A$2:$FZ$601,252,Sync!$C$10)&amp;"","")&amp;"; "&amp;IFERROR(INDEX(Clay_Offices!$A$2:$FZ$601,252,Sync!$C$9)&amp;"",""))</f>
        <v/>
      </c>
      <c r="K3103" t="inlineStr">
        <is>
          <t>office outreach touch 3</t>
        </is>
      </c>
    </row>
    <row r="3104">
      <c r="A3104" s="17">
        <f>IF(B3104="","",B3104+(14*1000+253)/10000000)</f>
        <v/>
      </c>
      <c r="B3104" s="23">
        <f>IF(AND(IFERROR(N(INDEX(Clay_Offices!$A$2:$FZ$601,253,Sync!$C$13)),0)&gt;0,IFERROR(INDEX(Clay_Offices!$A$2:$FZ$601,253,Sync!$C$5)&amp;"","")&lt;&gt;"",OR(LEFT(IFERROR(INDEX(Clay_Offices!$A$2:$FZ$601,253,Sync!$C$5)&amp;"",""),6)&lt;&gt;"SAMPLE",Config!$B$19="Y")),IFERROR(N(INDEX(Clay_Offices!$A$2:$FZ$601,253,Sync!$C$13)),0),"")</f>
        <v/>
      </c>
      <c r="C3104" s="17">
        <f>IF(B3104="","","office")</f>
        <v/>
      </c>
      <c r="D3104" s="17">
        <f>IF(B3104="","",IFERROR(INDEX(Clay_Offices!$A$2:$FZ$601,253,Sync!$C$5)&amp;"",""))</f>
        <v/>
      </c>
      <c r="E3104" s="17">
        <f>IF(B3104="","",IFERROR(INDEX(Clay_Offices!$A$2:$FZ$601,253,Sync!$C$6)&amp;"",""))</f>
        <v/>
      </c>
      <c r="F3104" s="17">
        <f>IF(B3104="","","outreach_sent")</f>
        <v/>
      </c>
      <c r="G3104" s="17">
        <f>IF(B3104="","","")</f>
        <v/>
      </c>
      <c r="H3104" s="17">
        <f>IF(B3104="","","")</f>
        <v/>
      </c>
      <c r="I3104" s="17">
        <f>IF(B3104="","","")</f>
        <v/>
      </c>
      <c r="J3104" s="17">
        <f>IF(B3104="","","touch_3; "&amp;IFERROR(INDEX(Clay_Offices!$A$2:$FZ$601,253,Sync!$C$10)&amp;"","")&amp;"; "&amp;IFERROR(INDEX(Clay_Offices!$A$2:$FZ$601,253,Sync!$C$9)&amp;"",""))</f>
        <v/>
      </c>
      <c r="K3104" t="inlineStr">
        <is>
          <t>office outreach touch 3</t>
        </is>
      </c>
    </row>
    <row r="3105">
      <c r="A3105" s="17">
        <f>IF(B3105="","",B3105+(14*1000+254)/10000000)</f>
        <v/>
      </c>
      <c r="B3105" s="23">
        <f>IF(AND(IFERROR(N(INDEX(Clay_Offices!$A$2:$FZ$601,254,Sync!$C$13)),0)&gt;0,IFERROR(INDEX(Clay_Offices!$A$2:$FZ$601,254,Sync!$C$5)&amp;"","")&lt;&gt;"",OR(LEFT(IFERROR(INDEX(Clay_Offices!$A$2:$FZ$601,254,Sync!$C$5)&amp;"",""),6)&lt;&gt;"SAMPLE",Config!$B$19="Y")),IFERROR(N(INDEX(Clay_Offices!$A$2:$FZ$601,254,Sync!$C$13)),0),"")</f>
        <v/>
      </c>
      <c r="C3105" s="17">
        <f>IF(B3105="","","office")</f>
        <v/>
      </c>
      <c r="D3105" s="17">
        <f>IF(B3105="","",IFERROR(INDEX(Clay_Offices!$A$2:$FZ$601,254,Sync!$C$5)&amp;"",""))</f>
        <v/>
      </c>
      <c r="E3105" s="17">
        <f>IF(B3105="","",IFERROR(INDEX(Clay_Offices!$A$2:$FZ$601,254,Sync!$C$6)&amp;"",""))</f>
        <v/>
      </c>
      <c r="F3105" s="17">
        <f>IF(B3105="","","outreach_sent")</f>
        <v/>
      </c>
      <c r="G3105" s="17">
        <f>IF(B3105="","","")</f>
        <v/>
      </c>
      <c r="H3105" s="17">
        <f>IF(B3105="","","")</f>
        <v/>
      </c>
      <c r="I3105" s="17">
        <f>IF(B3105="","","")</f>
        <v/>
      </c>
      <c r="J3105" s="17">
        <f>IF(B3105="","","touch_3; "&amp;IFERROR(INDEX(Clay_Offices!$A$2:$FZ$601,254,Sync!$C$10)&amp;"","")&amp;"; "&amp;IFERROR(INDEX(Clay_Offices!$A$2:$FZ$601,254,Sync!$C$9)&amp;"",""))</f>
        <v/>
      </c>
      <c r="K3105" t="inlineStr">
        <is>
          <t>office outreach touch 3</t>
        </is>
      </c>
    </row>
    <row r="3106">
      <c r="A3106" s="17">
        <f>IF(B3106="","",B3106+(14*1000+255)/10000000)</f>
        <v/>
      </c>
      <c r="B3106" s="23">
        <f>IF(AND(IFERROR(N(INDEX(Clay_Offices!$A$2:$FZ$601,255,Sync!$C$13)),0)&gt;0,IFERROR(INDEX(Clay_Offices!$A$2:$FZ$601,255,Sync!$C$5)&amp;"","")&lt;&gt;"",OR(LEFT(IFERROR(INDEX(Clay_Offices!$A$2:$FZ$601,255,Sync!$C$5)&amp;"",""),6)&lt;&gt;"SAMPLE",Config!$B$19="Y")),IFERROR(N(INDEX(Clay_Offices!$A$2:$FZ$601,255,Sync!$C$13)),0),"")</f>
        <v/>
      </c>
      <c r="C3106" s="17">
        <f>IF(B3106="","","office")</f>
        <v/>
      </c>
      <c r="D3106" s="17">
        <f>IF(B3106="","",IFERROR(INDEX(Clay_Offices!$A$2:$FZ$601,255,Sync!$C$5)&amp;"",""))</f>
        <v/>
      </c>
      <c r="E3106" s="17">
        <f>IF(B3106="","",IFERROR(INDEX(Clay_Offices!$A$2:$FZ$601,255,Sync!$C$6)&amp;"",""))</f>
        <v/>
      </c>
      <c r="F3106" s="17">
        <f>IF(B3106="","","outreach_sent")</f>
        <v/>
      </c>
      <c r="G3106" s="17">
        <f>IF(B3106="","","")</f>
        <v/>
      </c>
      <c r="H3106" s="17">
        <f>IF(B3106="","","")</f>
        <v/>
      </c>
      <c r="I3106" s="17">
        <f>IF(B3106="","","")</f>
        <v/>
      </c>
      <c r="J3106" s="17">
        <f>IF(B3106="","","touch_3; "&amp;IFERROR(INDEX(Clay_Offices!$A$2:$FZ$601,255,Sync!$C$10)&amp;"","")&amp;"; "&amp;IFERROR(INDEX(Clay_Offices!$A$2:$FZ$601,255,Sync!$C$9)&amp;"",""))</f>
        <v/>
      </c>
      <c r="K3106" t="inlineStr">
        <is>
          <t>office outreach touch 3</t>
        </is>
      </c>
    </row>
    <row r="3107">
      <c r="A3107" s="17">
        <f>IF(B3107="","",B3107+(14*1000+256)/10000000)</f>
        <v/>
      </c>
      <c r="B3107" s="23">
        <f>IF(AND(IFERROR(N(INDEX(Clay_Offices!$A$2:$FZ$601,256,Sync!$C$13)),0)&gt;0,IFERROR(INDEX(Clay_Offices!$A$2:$FZ$601,256,Sync!$C$5)&amp;"","")&lt;&gt;"",OR(LEFT(IFERROR(INDEX(Clay_Offices!$A$2:$FZ$601,256,Sync!$C$5)&amp;"",""),6)&lt;&gt;"SAMPLE",Config!$B$19="Y")),IFERROR(N(INDEX(Clay_Offices!$A$2:$FZ$601,256,Sync!$C$13)),0),"")</f>
        <v/>
      </c>
      <c r="C3107" s="17">
        <f>IF(B3107="","","office")</f>
        <v/>
      </c>
      <c r="D3107" s="17">
        <f>IF(B3107="","",IFERROR(INDEX(Clay_Offices!$A$2:$FZ$601,256,Sync!$C$5)&amp;"",""))</f>
        <v/>
      </c>
      <c r="E3107" s="17">
        <f>IF(B3107="","",IFERROR(INDEX(Clay_Offices!$A$2:$FZ$601,256,Sync!$C$6)&amp;"",""))</f>
        <v/>
      </c>
      <c r="F3107" s="17">
        <f>IF(B3107="","","outreach_sent")</f>
        <v/>
      </c>
      <c r="G3107" s="17">
        <f>IF(B3107="","","")</f>
        <v/>
      </c>
      <c r="H3107" s="17">
        <f>IF(B3107="","","")</f>
        <v/>
      </c>
      <c r="I3107" s="17">
        <f>IF(B3107="","","")</f>
        <v/>
      </c>
      <c r="J3107" s="17">
        <f>IF(B3107="","","touch_3; "&amp;IFERROR(INDEX(Clay_Offices!$A$2:$FZ$601,256,Sync!$C$10)&amp;"","")&amp;"; "&amp;IFERROR(INDEX(Clay_Offices!$A$2:$FZ$601,256,Sync!$C$9)&amp;"",""))</f>
        <v/>
      </c>
      <c r="K3107" t="inlineStr">
        <is>
          <t>office outreach touch 3</t>
        </is>
      </c>
    </row>
    <row r="3108">
      <c r="A3108" s="17">
        <f>IF(B3108="","",B3108+(14*1000+257)/10000000)</f>
        <v/>
      </c>
      <c r="B3108" s="23">
        <f>IF(AND(IFERROR(N(INDEX(Clay_Offices!$A$2:$FZ$601,257,Sync!$C$13)),0)&gt;0,IFERROR(INDEX(Clay_Offices!$A$2:$FZ$601,257,Sync!$C$5)&amp;"","")&lt;&gt;"",OR(LEFT(IFERROR(INDEX(Clay_Offices!$A$2:$FZ$601,257,Sync!$C$5)&amp;"",""),6)&lt;&gt;"SAMPLE",Config!$B$19="Y")),IFERROR(N(INDEX(Clay_Offices!$A$2:$FZ$601,257,Sync!$C$13)),0),"")</f>
        <v/>
      </c>
      <c r="C3108" s="17">
        <f>IF(B3108="","","office")</f>
        <v/>
      </c>
      <c r="D3108" s="17">
        <f>IF(B3108="","",IFERROR(INDEX(Clay_Offices!$A$2:$FZ$601,257,Sync!$C$5)&amp;"",""))</f>
        <v/>
      </c>
      <c r="E3108" s="17">
        <f>IF(B3108="","",IFERROR(INDEX(Clay_Offices!$A$2:$FZ$601,257,Sync!$C$6)&amp;"",""))</f>
        <v/>
      </c>
      <c r="F3108" s="17">
        <f>IF(B3108="","","outreach_sent")</f>
        <v/>
      </c>
      <c r="G3108" s="17">
        <f>IF(B3108="","","")</f>
        <v/>
      </c>
      <c r="H3108" s="17">
        <f>IF(B3108="","","")</f>
        <v/>
      </c>
      <c r="I3108" s="17">
        <f>IF(B3108="","","")</f>
        <v/>
      </c>
      <c r="J3108" s="17">
        <f>IF(B3108="","","touch_3; "&amp;IFERROR(INDEX(Clay_Offices!$A$2:$FZ$601,257,Sync!$C$10)&amp;"","")&amp;"; "&amp;IFERROR(INDEX(Clay_Offices!$A$2:$FZ$601,257,Sync!$C$9)&amp;"",""))</f>
        <v/>
      </c>
      <c r="K3108" t="inlineStr">
        <is>
          <t>office outreach touch 3</t>
        </is>
      </c>
    </row>
    <row r="3109">
      <c r="A3109" s="17">
        <f>IF(B3109="","",B3109+(14*1000+258)/10000000)</f>
        <v/>
      </c>
      <c r="B3109" s="23">
        <f>IF(AND(IFERROR(N(INDEX(Clay_Offices!$A$2:$FZ$601,258,Sync!$C$13)),0)&gt;0,IFERROR(INDEX(Clay_Offices!$A$2:$FZ$601,258,Sync!$C$5)&amp;"","")&lt;&gt;"",OR(LEFT(IFERROR(INDEX(Clay_Offices!$A$2:$FZ$601,258,Sync!$C$5)&amp;"",""),6)&lt;&gt;"SAMPLE",Config!$B$19="Y")),IFERROR(N(INDEX(Clay_Offices!$A$2:$FZ$601,258,Sync!$C$13)),0),"")</f>
        <v/>
      </c>
      <c r="C3109" s="17">
        <f>IF(B3109="","","office")</f>
        <v/>
      </c>
      <c r="D3109" s="17">
        <f>IF(B3109="","",IFERROR(INDEX(Clay_Offices!$A$2:$FZ$601,258,Sync!$C$5)&amp;"",""))</f>
        <v/>
      </c>
      <c r="E3109" s="17">
        <f>IF(B3109="","",IFERROR(INDEX(Clay_Offices!$A$2:$FZ$601,258,Sync!$C$6)&amp;"",""))</f>
        <v/>
      </c>
      <c r="F3109" s="17">
        <f>IF(B3109="","","outreach_sent")</f>
        <v/>
      </c>
      <c r="G3109" s="17">
        <f>IF(B3109="","","")</f>
        <v/>
      </c>
      <c r="H3109" s="17">
        <f>IF(B3109="","","")</f>
        <v/>
      </c>
      <c r="I3109" s="17">
        <f>IF(B3109="","","")</f>
        <v/>
      </c>
      <c r="J3109" s="17">
        <f>IF(B3109="","","touch_3; "&amp;IFERROR(INDEX(Clay_Offices!$A$2:$FZ$601,258,Sync!$C$10)&amp;"","")&amp;"; "&amp;IFERROR(INDEX(Clay_Offices!$A$2:$FZ$601,258,Sync!$C$9)&amp;"",""))</f>
        <v/>
      </c>
      <c r="K3109" t="inlineStr">
        <is>
          <t>office outreach touch 3</t>
        </is>
      </c>
    </row>
    <row r="3110">
      <c r="A3110" s="17">
        <f>IF(B3110="","",B3110+(14*1000+259)/10000000)</f>
        <v/>
      </c>
      <c r="B3110" s="23">
        <f>IF(AND(IFERROR(N(INDEX(Clay_Offices!$A$2:$FZ$601,259,Sync!$C$13)),0)&gt;0,IFERROR(INDEX(Clay_Offices!$A$2:$FZ$601,259,Sync!$C$5)&amp;"","")&lt;&gt;"",OR(LEFT(IFERROR(INDEX(Clay_Offices!$A$2:$FZ$601,259,Sync!$C$5)&amp;"",""),6)&lt;&gt;"SAMPLE",Config!$B$19="Y")),IFERROR(N(INDEX(Clay_Offices!$A$2:$FZ$601,259,Sync!$C$13)),0),"")</f>
        <v/>
      </c>
      <c r="C3110" s="17">
        <f>IF(B3110="","","office")</f>
        <v/>
      </c>
      <c r="D3110" s="17">
        <f>IF(B3110="","",IFERROR(INDEX(Clay_Offices!$A$2:$FZ$601,259,Sync!$C$5)&amp;"",""))</f>
        <v/>
      </c>
      <c r="E3110" s="17">
        <f>IF(B3110="","",IFERROR(INDEX(Clay_Offices!$A$2:$FZ$601,259,Sync!$C$6)&amp;"",""))</f>
        <v/>
      </c>
      <c r="F3110" s="17">
        <f>IF(B3110="","","outreach_sent")</f>
        <v/>
      </c>
      <c r="G3110" s="17">
        <f>IF(B3110="","","")</f>
        <v/>
      </c>
      <c r="H3110" s="17">
        <f>IF(B3110="","","")</f>
        <v/>
      </c>
      <c r="I3110" s="17">
        <f>IF(B3110="","","")</f>
        <v/>
      </c>
      <c r="J3110" s="17">
        <f>IF(B3110="","","touch_3; "&amp;IFERROR(INDEX(Clay_Offices!$A$2:$FZ$601,259,Sync!$C$10)&amp;"","")&amp;"; "&amp;IFERROR(INDEX(Clay_Offices!$A$2:$FZ$601,259,Sync!$C$9)&amp;"",""))</f>
        <v/>
      </c>
      <c r="K3110" t="inlineStr">
        <is>
          <t>office outreach touch 3</t>
        </is>
      </c>
    </row>
    <row r="3111">
      <c r="A3111" s="17">
        <f>IF(B3111="","",B3111+(14*1000+260)/10000000)</f>
        <v/>
      </c>
      <c r="B3111" s="23">
        <f>IF(AND(IFERROR(N(INDEX(Clay_Offices!$A$2:$FZ$601,260,Sync!$C$13)),0)&gt;0,IFERROR(INDEX(Clay_Offices!$A$2:$FZ$601,260,Sync!$C$5)&amp;"","")&lt;&gt;"",OR(LEFT(IFERROR(INDEX(Clay_Offices!$A$2:$FZ$601,260,Sync!$C$5)&amp;"",""),6)&lt;&gt;"SAMPLE",Config!$B$19="Y")),IFERROR(N(INDEX(Clay_Offices!$A$2:$FZ$601,260,Sync!$C$13)),0),"")</f>
        <v/>
      </c>
      <c r="C3111" s="17">
        <f>IF(B3111="","","office")</f>
        <v/>
      </c>
      <c r="D3111" s="17">
        <f>IF(B3111="","",IFERROR(INDEX(Clay_Offices!$A$2:$FZ$601,260,Sync!$C$5)&amp;"",""))</f>
        <v/>
      </c>
      <c r="E3111" s="17">
        <f>IF(B3111="","",IFERROR(INDEX(Clay_Offices!$A$2:$FZ$601,260,Sync!$C$6)&amp;"",""))</f>
        <v/>
      </c>
      <c r="F3111" s="17">
        <f>IF(B3111="","","outreach_sent")</f>
        <v/>
      </c>
      <c r="G3111" s="17">
        <f>IF(B3111="","","")</f>
        <v/>
      </c>
      <c r="H3111" s="17">
        <f>IF(B3111="","","")</f>
        <v/>
      </c>
      <c r="I3111" s="17">
        <f>IF(B3111="","","")</f>
        <v/>
      </c>
      <c r="J3111" s="17">
        <f>IF(B3111="","","touch_3; "&amp;IFERROR(INDEX(Clay_Offices!$A$2:$FZ$601,260,Sync!$C$10)&amp;"","")&amp;"; "&amp;IFERROR(INDEX(Clay_Offices!$A$2:$FZ$601,260,Sync!$C$9)&amp;"",""))</f>
        <v/>
      </c>
      <c r="K3111" t="inlineStr">
        <is>
          <t>office outreach touch 3</t>
        </is>
      </c>
    </row>
    <row r="3112">
      <c r="A3112" s="17">
        <f>IF(B3112="","",B3112+(14*1000+261)/10000000)</f>
        <v/>
      </c>
      <c r="B3112" s="23">
        <f>IF(AND(IFERROR(N(INDEX(Clay_Offices!$A$2:$FZ$601,261,Sync!$C$13)),0)&gt;0,IFERROR(INDEX(Clay_Offices!$A$2:$FZ$601,261,Sync!$C$5)&amp;"","")&lt;&gt;"",OR(LEFT(IFERROR(INDEX(Clay_Offices!$A$2:$FZ$601,261,Sync!$C$5)&amp;"",""),6)&lt;&gt;"SAMPLE",Config!$B$19="Y")),IFERROR(N(INDEX(Clay_Offices!$A$2:$FZ$601,261,Sync!$C$13)),0),"")</f>
        <v/>
      </c>
      <c r="C3112" s="17">
        <f>IF(B3112="","","office")</f>
        <v/>
      </c>
      <c r="D3112" s="17">
        <f>IF(B3112="","",IFERROR(INDEX(Clay_Offices!$A$2:$FZ$601,261,Sync!$C$5)&amp;"",""))</f>
        <v/>
      </c>
      <c r="E3112" s="17">
        <f>IF(B3112="","",IFERROR(INDEX(Clay_Offices!$A$2:$FZ$601,261,Sync!$C$6)&amp;"",""))</f>
        <v/>
      </c>
      <c r="F3112" s="17">
        <f>IF(B3112="","","outreach_sent")</f>
        <v/>
      </c>
      <c r="G3112" s="17">
        <f>IF(B3112="","","")</f>
        <v/>
      </c>
      <c r="H3112" s="17">
        <f>IF(B3112="","","")</f>
        <v/>
      </c>
      <c r="I3112" s="17">
        <f>IF(B3112="","","")</f>
        <v/>
      </c>
      <c r="J3112" s="17">
        <f>IF(B3112="","","touch_3; "&amp;IFERROR(INDEX(Clay_Offices!$A$2:$FZ$601,261,Sync!$C$10)&amp;"","")&amp;"; "&amp;IFERROR(INDEX(Clay_Offices!$A$2:$FZ$601,261,Sync!$C$9)&amp;"",""))</f>
        <v/>
      </c>
      <c r="K3112" t="inlineStr">
        <is>
          <t>office outreach touch 3</t>
        </is>
      </c>
    </row>
    <row r="3113">
      <c r="A3113" s="17">
        <f>IF(B3113="","",B3113+(14*1000+262)/10000000)</f>
        <v/>
      </c>
      <c r="B3113" s="23">
        <f>IF(AND(IFERROR(N(INDEX(Clay_Offices!$A$2:$FZ$601,262,Sync!$C$13)),0)&gt;0,IFERROR(INDEX(Clay_Offices!$A$2:$FZ$601,262,Sync!$C$5)&amp;"","")&lt;&gt;"",OR(LEFT(IFERROR(INDEX(Clay_Offices!$A$2:$FZ$601,262,Sync!$C$5)&amp;"",""),6)&lt;&gt;"SAMPLE",Config!$B$19="Y")),IFERROR(N(INDEX(Clay_Offices!$A$2:$FZ$601,262,Sync!$C$13)),0),"")</f>
        <v/>
      </c>
      <c r="C3113" s="17">
        <f>IF(B3113="","","office")</f>
        <v/>
      </c>
      <c r="D3113" s="17">
        <f>IF(B3113="","",IFERROR(INDEX(Clay_Offices!$A$2:$FZ$601,262,Sync!$C$5)&amp;"",""))</f>
        <v/>
      </c>
      <c r="E3113" s="17">
        <f>IF(B3113="","",IFERROR(INDEX(Clay_Offices!$A$2:$FZ$601,262,Sync!$C$6)&amp;"",""))</f>
        <v/>
      </c>
      <c r="F3113" s="17">
        <f>IF(B3113="","","outreach_sent")</f>
        <v/>
      </c>
      <c r="G3113" s="17">
        <f>IF(B3113="","","")</f>
        <v/>
      </c>
      <c r="H3113" s="17">
        <f>IF(B3113="","","")</f>
        <v/>
      </c>
      <c r="I3113" s="17">
        <f>IF(B3113="","","")</f>
        <v/>
      </c>
      <c r="J3113" s="17">
        <f>IF(B3113="","","touch_3; "&amp;IFERROR(INDEX(Clay_Offices!$A$2:$FZ$601,262,Sync!$C$10)&amp;"","")&amp;"; "&amp;IFERROR(INDEX(Clay_Offices!$A$2:$FZ$601,262,Sync!$C$9)&amp;"",""))</f>
        <v/>
      </c>
      <c r="K3113" t="inlineStr">
        <is>
          <t>office outreach touch 3</t>
        </is>
      </c>
    </row>
    <row r="3114">
      <c r="A3114" s="17">
        <f>IF(B3114="","",B3114+(14*1000+263)/10000000)</f>
        <v/>
      </c>
      <c r="B3114" s="23">
        <f>IF(AND(IFERROR(N(INDEX(Clay_Offices!$A$2:$FZ$601,263,Sync!$C$13)),0)&gt;0,IFERROR(INDEX(Clay_Offices!$A$2:$FZ$601,263,Sync!$C$5)&amp;"","")&lt;&gt;"",OR(LEFT(IFERROR(INDEX(Clay_Offices!$A$2:$FZ$601,263,Sync!$C$5)&amp;"",""),6)&lt;&gt;"SAMPLE",Config!$B$19="Y")),IFERROR(N(INDEX(Clay_Offices!$A$2:$FZ$601,263,Sync!$C$13)),0),"")</f>
        <v/>
      </c>
      <c r="C3114" s="17">
        <f>IF(B3114="","","office")</f>
        <v/>
      </c>
      <c r="D3114" s="17">
        <f>IF(B3114="","",IFERROR(INDEX(Clay_Offices!$A$2:$FZ$601,263,Sync!$C$5)&amp;"",""))</f>
        <v/>
      </c>
      <c r="E3114" s="17">
        <f>IF(B3114="","",IFERROR(INDEX(Clay_Offices!$A$2:$FZ$601,263,Sync!$C$6)&amp;"",""))</f>
        <v/>
      </c>
      <c r="F3114" s="17">
        <f>IF(B3114="","","outreach_sent")</f>
        <v/>
      </c>
      <c r="G3114" s="17">
        <f>IF(B3114="","","")</f>
        <v/>
      </c>
      <c r="H3114" s="17">
        <f>IF(B3114="","","")</f>
        <v/>
      </c>
      <c r="I3114" s="17">
        <f>IF(B3114="","","")</f>
        <v/>
      </c>
      <c r="J3114" s="17">
        <f>IF(B3114="","","touch_3; "&amp;IFERROR(INDEX(Clay_Offices!$A$2:$FZ$601,263,Sync!$C$10)&amp;"","")&amp;"; "&amp;IFERROR(INDEX(Clay_Offices!$A$2:$FZ$601,263,Sync!$C$9)&amp;"",""))</f>
        <v/>
      </c>
      <c r="K3114" t="inlineStr">
        <is>
          <t>office outreach touch 3</t>
        </is>
      </c>
    </row>
    <row r="3115">
      <c r="A3115" s="17">
        <f>IF(B3115="","",B3115+(14*1000+264)/10000000)</f>
        <v/>
      </c>
      <c r="B3115" s="23">
        <f>IF(AND(IFERROR(N(INDEX(Clay_Offices!$A$2:$FZ$601,264,Sync!$C$13)),0)&gt;0,IFERROR(INDEX(Clay_Offices!$A$2:$FZ$601,264,Sync!$C$5)&amp;"","")&lt;&gt;"",OR(LEFT(IFERROR(INDEX(Clay_Offices!$A$2:$FZ$601,264,Sync!$C$5)&amp;"",""),6)&lt;&gt;"SAMPLE",Config!$B$19="Y")),IFERROR(N(INDEX(Clay_Offices!$A$2:$FZ$601,264,Sync!$C$13)),0),"")</f>
        <v/>
      </c>
      <c r="C3115" s="17">
        <f>IF(B3115="","","office")</f>
        <v/>
      </c>
      <c r="D3115" s="17">
        <f>IF(B3115="","",IFERROR(INDEX(Clay_Offices!$A$2:$FZ$601,264,Sync!$C$5)&amp;"",""))</f>
        <v/>
      </c>
      <c r="E3115" s="17">
        <f>IF(B3115="","",IFERROR(INDEX(Clay_Offices!$A$2:$FZ$601,264,Sync!$C$6)&amp;"",""))</f>
        <v/>
      </c>
      <c r="F3115" s="17">
        <f>IF(B3115="","","outreach_sent")</f>
        <v/>
      </c>
      <c r="G3115" s="17">
        <f>IF(B3115="","","")</f>
        <v/>
      </c>
      <c r="H3115" s="17">
        <f>IF(B3115="","","")</f>
        <v/>
      </c>
      <c r="I3115" s="17">
        <f>IF(B3115="","","")</f>
        <v/>
      </c>
      <c r="J3115" s="17">
        <f>IF(B3115="","","touch_3; "&amp;IFERROR(INDEX(Clay_Offices!$A$2:$FZ$601,264,Sync!$C$10)&amp;"","")&amp;"; "&amp;IFERROR(INDEX(Clay_Offices!$A$2:$FZ$601,264,Sync!$C$9)&amp;"",""))</f>
        <v/>
      </c>
      <c r="K3115" t="inlineStr">
        <is>
          <t>office outreach touch 3</t>
        </is>
      </c>
    </row>
    <row r="3116">
      <c r="A3116" s="17">
        <f>IF(B3116="","",B3116+(14*1000+265)/10000000)</f>
        <v/>
      </c>
      <c r="B3116" s="23">
        <f>IF(AND(IFERROR(N(INDEX(Clay_Offices!$A$2:$FZ$601,265,Sync!$C$13)),0)&gt;0,IFERROR(INDEX(Clay_Offices!$A$2:$FZ$601,265,Sync!$C$5)&amp;"","")&lt;&gt;"",OR(LEFT(IFERROR(INDEX(Clay_Offices!$A$2:$FZ$601,265,Sync!$C$5)&amp;"",""),6)&lt;&gt;"SAMPLE",Config!$B$19="Y")),IFERROR(N(INDEX(Clay_Offices!$A$2:$FZ$601,265,Sync!$C$13)),0),"")</f>
        <v/>
      </c>
      <c r="C3116" s="17">
        <f>IF(B3116="","","office")</f>
        <v/>
      </c>
      <c r="D3116" s="17">
        <f>IF(B3116="","",IFERROR(INDEX(Clay_Offices!$A$2:$FZ$601,265,Sync!$C$5)&amp;"",""))</f>
        <v/>
      </c>
      <c r="E3116" s="17">
        <f>IF(B3116="","",IFERROR(INDEX(Clay_Offices!$A$2:$FZ$601,265,Sync!$C$6)&amp;"",""))</f>
        <v/>
      </c>
      <c r="F3116" s="17">
        <f>IF(B3116="","","outreach_sent")</f>
        <v/>
      </c>
      <c r="G3116" s="17">
        <f>IF(B3116="","","")</f>
        <v/>
      </c>
      <c r="H3116" s="17">
        <f>IF(B3116="","","")</f>
        <v/>
      </c>
      <c r="I3116" s="17">
        <f>IF(B3116="","","")</f>
        <v/>
      </c>
      <c r="J3116" s="17">
        <f>IF(B3116="","","touch_3; "&amp;IFERROR(INDEX(Clay_Offices!$A$2:$FZ$601,265,Sync!$C$10)&amp;"","")&amp;"; "&amp;IFERROR(INDEX(Clay_Offices!$A$2:$FZ$601,265,Sync!$C$9)&amp;"",""))</f>
        <v/>
      </c>
      <c r="K3116" t="inlineStr">
        <is>
          <t>office outreach touch 3</t>
        </is>
      </c>
    </row>
    <row r="3117">
      <c r="A3117" s="17">
        <f>IF(B3117="","",B3117+(14*1000+266)/10000000)</f>
        <v/>
      </c>
      <c r="B3117" s="23">
        <f>IF(AND(IFERROR(N(INDEX(Clay_Offices!$A$2:$FZ$601,266,Sync!$C$13)),0)&gt;0,IFERROR(INDEX(Clay_Offices!$A$2:$FZ$601,266,Sync!$C$5)&amp;"","")&lt;&gt;"",OR(LEFT(IFERROR(INDEX(Clay_Offices!$A$2:$FZ$601,266,Sync!$C$5)&amp;"",""),6)&lt;&gt;"SAMPLE",Config!$B$19="Y")),IFERROR(N(INDEX(Clay_Offices!$A$2:$FZ$601,266,Sync!$C$13)),0),"")</f>
        <v/>
      </c>
      <c r="C3117" s="17">
        <f>IF(B3117="","","office")</f>
        <v/>
      </c>
      <c r="D3117" s="17">
        <f>IF(B3117="","",IFERROR(INDEX(Clay_Offices!$A$2:$FZ$601,266,Sync!$C$5)&amp;"",""))</f>
        <v/>
      </c>
      <c r="E3117" s="17">
        <f>IF(B3117="","",IFERROR(INDEX(Clay_Offices!$A$2:$FZ$601,266,Sync!$C$6)&amp;"",""))</f>
        <v/>
      </c>
      <c r="F3117" s="17">
        <f>IF(B3117="","","outreach_sent")</f>
        <v/>
      </c>
      <c r="G3117" s="17">
        <f>IF(B3117="","","")</f>
        <v/>
      </c>
      <c r="H3117" s="17">
        <f>IF(B3117="","","")</f>
        <v/>
      </c>
      <c r="I3117" s="17">
        <f>IF(B3117="","","")</f>
        <v/>
      </c>
      <c r="J3117" s="17">
        <f>IF(B3117="","","touch_3; "&amp;IFERROR(INDEX(Clay_Offices!$A$2:$FZ$601,266,Sync!$C$10)&amp;"","")&amp;"; "&amp;IFERROR(INDEX(Clay_Offices!$A$2:$FZ$601,266,Sync!$C$9)&amp;"",""))</f>
        <v/>
      </c>
      <c r="K3117" t="inlineStr">
        <is>
          <t>office outreach touch 3</t>
        </is>
      </c>
    </row>
    <row r="3118">
      <c r="A3118" s="17">
        <f>IF(B3118="","",B3118+(14*1000+267)/10000000)</f>
        <v/>
      </c>
      <c r="B3118" s="23">
        <f>IF(AND(IFERROR(N(INDEX(Clay_Offices!$A$2:$FZ$601,267,Sync!$C$13)),0)&gt;0,IFERROR(INDEX(Clay_Offices!$A$2:$FZ$601,267,Sync!$C$5)&amp;"","")&lt;&gt;"",OR(LEFT(IFERROR(INDEX(Clay_Offices!$A$2:$FZ$601,267,Sync!$C$5)&amp;"",""),6)&lt;&gt;"SAMPLE",Config!$B$19="Y")),IFERROR(N(INDEX(Clay_Offices!$A$2:$FZ$601,267,Sync!$C$13)),0),"")</f>
        <v/>
      </c>
      <c r="C3118" s="17">
        <f>IF(B3118="","","office")</f>
        <v/>
      </c>
      <c r="D3118" s="17">
        <f>IF(B3118="","",IFERROR(INDEX(Clay_Offices!$A$2:$FZ$601,267,Sync!$C$5)&amp;"",""))</f>
        <v/>
      </c>
      <c r="E3118" s="17">
        <f>IF(B3118="","",IFERROR(INDEX(Clay_Offices!$A$2:$FZ$601,267,Sync!$C$6)&amp;"",""))</f>
        <v/>
      </c>
      <c r="F3118" s="17">
        <f>IF(B3118="","","outreach_sent")</f>
        <v/>
      </c>
      <c r="G3118" s="17">
        <f>IF(B3118="","","")</f>
        <v/>
      </c>
      <c r="H3118" s="17">
        <f>IF(B3118="","","")</f>
        <v/>
      </c>
      <c r="I3118" s="17">
        <f>IF(B3118="","","")</f>
        <v/>
      </c>
      <c r="J3118" s="17">
        <f>IF(B3118="","","touch_3; "&amp;IFERROR(INDEX(Clay_Offices!$A$2:$FZ$601,267,Sync!$C$10)&amp;"","")&amp;"; "&amp;IFERROR(INDEX(Clay_Offices!$A$2:$FZ$601,267,Sync!$C$9)&amp;"",""))</f>
        <v/>
      </c>
      <c r="K3118" t="inlineStr">
        <is>
          <t>office outreach touch 3</t>
        </is>
      </c>
    </row>
    <row r="3119">
      <c r="A3119" s="17">
        <f>IF(B3119="","",B3119+(14*1000+268)/10000000)</f>
        <v/>
      </c>
      <c r="B3119" s="23">
        <f>IF(AND(IFERROR(N(INDEX(Clay_Offices!$A$2:$FZ$601,268,Sync!$C$13)),0)&gt;0,IFERROR(INDEX(Clay_Offices!$A$2:$FZ$601,268,Sync!$C$5)&amp;"","")&lt;&gt;"",OR(LEFT(IFERROR(INDEX(Clay_Offices!$A$2:$FZ$601,268,Sync!$C$5)&amp;"",""),6)&lt;&gt;"SAMPLE",Config!$B$19="Y")),IFERROR(N(INDEX(Clay_Offices!$A$2:$FZ$601,268,Sync!$C$13)),0),"")</f>
        <v/>
      </c>
      <c r="C3119" s="17">
        <f>IF(B3119="","","office")</f>
        <v/>
      </c>
      <c r="D3119" s="17">
        <f>IF(B3119="","",IFERROR(INDEX(Clay_Offices!$A$2:$FZ$601,268,Sync!$C$5)&amp;"",""))</f>
        <v/>
      </c>
      <c r="E3119" s="17">
        <f>IF(B3119="","",IFERROR(INDEX(Clay_Offices!$A$2:$FZ$601,268,Sync!$C$6)&amp;"",""))</f>
        <v/>
      </c>
      <c r="F3119" s="17">
        <f>IF(B3119="","","outreach_sent")</f>
        <v/>
      </c>
      <c r="G3119" s="17">
        <f>IF(B3119="","","")</f>
        <v/>
      </c>
      <c r="H3119" s="17">
        <f>IF(B3119="","","")</f>
        <v/>
      </c>
      <c r="I3119" s="17">
        <f>IF(B3119="","","")</f>
        <v/>
      </c>
      <c r="J3119" s="17">
        <f>IF(B3119="","","touch_3; "&amp;IFERROR(INDEX(Clay_Offices!$A$2:$FZ$601,268,Sync!$C$10)&amp;"","")&amp;"; "&amp;IFERROR(INDEX(Clay_Offices!$A$2:$FZ$601,268,Sync!$C$9)&amp;"",""))</f>
        <v/>
      </c>
      <c r="K3119" t="inlineStr">
        <is>
          <t>office outreach touch 3</t>
        </is>
      </c>
    </row>
    <row r="3120">
      <c r="A3120" s="17">
        <f>IF(B3120="","",B3120+(14*1000+269)/10000000)</f>
        <v/>
      </c>
      <c r="B3120" s="23">
        <f>IF(AND(IFERROR(N(INDEX(Clay_Offices!$A$2:$FZ$601,269,Sync!$C$13)),0)&gt;0,IFERROR(INDEX(Clay_Offices!$A$2:$FZ$601,269,Sync!$C$5)&amp;"","")&lt;&gt;"",OR(LEFT(IFERROR(INDEX(Clay_Offices!$A$2:$FZ$601,269,Sync!$C$5)&amp;"",""),6)&lt;&gt;"SAMPLE",Config!$B$19="Y")),IFERROR(N(INDEX(Clay_Offices!$A$2:$FZ$601,269,Sync!$C$13)),0),"")</f>
        <v/>
      </c>
      <c r="C3120" s="17">
        <f>IF(B3120="","","office")</f>
        <v/>
      </c>
      <c r="D3120" s="17">
        <f>IF(B3120="","",IFERROR(INDEX(Clay_Offices!$A$2:$FZ$601,269,Sync!$C$5)&amp;"",""))</f>
        <v/>
      </c>
      <c r="E3120" s="17">
        <f>IF(B3120="","",IFERROR(INDEX(Clay_Offices!$A$2:$FZ$601,269,Sync!$C$6)&amp;"",""))</f>
        <v/>
      </c>
      <c r="F3120" s="17">
        <f>IF(B3120="","","outreach_sent")</f>
        <v/>
      </c>
      <c r="G3120" s="17">
        <f>IF(B3120="","","")</f>
        <v/>
      </c>
      <c r="H3120" s="17">
        <f>IF(B3120="","","")</f>
        <v/>
      </c>
      <c r="I3120" s="17">
        <f>IF(B3120="","","")</f>
        <v/>
      </c>
      <c r="J3120" s="17">
        <f>IF(B3120="","","touch_3; "&amp;IFERROR(INDEX(Clay_Offices!$A$2:$FZ$601,269,Sync!$C$10)&amp;"","")&amp;"; "&amp;IFERROR(INDEX(Clay_Offices!$A$2:$FZ$601,269,Sync!$C$9)&amp;"",""))</f>
        <v/>
      </c>
      <c r="K3120" t="inlineStr">
        <is>
          <t>office outreach touch 3</t>
        </is>
      </c>
    </row>
    <row r="3121">
      <c r="A3121" s="17">
        <f>IF(B3121="","",B3121+(14*1000+270)/10000000)</f>
        <v/>
      </c>
      <c r="B3121" s="23">
        <f>IF(AND(IFERROR(N(INDEX(Clay_Offices!$A$2:$FZ$601,270,Sync!$C$13)),0)&gt;0,IFERROR(INDEX(Clay_Offices!$A$2:$FZ$601,270,Sync!$C$5)&amp;"","")&lt;&gt;"",OR(LEFT(IFERROR(INDEX(Clay_Offices!$A$2:$FZ$601,270,Sync!$C$5)&amp;"",""),6)&lt;&gt;"SAMPLE",Config!$B$19="Y")),IFERROR(N(INDEX(Clay_Offices!$A$2:$FZ$601,270,Sync!$C$13)),0),"")</f>
        <v/>
      </c>
      <c r="C3121" s="17">
        <f>IF(B3121="","","office")</f>
        <v/>
      </c>
      <c r="D3121" s="17">
        <f>IF(B3121="","",IFERROR(INDEX(Clay_Offices!$A$2:$FZ$601,270,Sync!$C$5)&amp;"",""))</f>
        <v/>
      </c>
      <c r="E3121" s="17">
        <f>IF(B3121="","",IFERROR(INDEX(Clay_Offices!$A$2:$FZ$601,270,Sync!$C$6)&amp;"",""))</f>
        <v/>
      </c>
      <c r="F3121" s="17">
        <f>IF(B3121="","","outreach_sent")</f>
        <v/>
      </c>
      <c r="G3121" s="17">
        <f>IF(B3121="","","")</f>
        <v/>
      </c>
      <c r="H3121" s="17">
        <f>IF(B3121="","","")</f>
        <v/>
      </c>
      <c r="I3121" s="17">
        <f>IF(B3121="","","")</f>
        <v/>
      </c>
      <c r="J3121" s="17">
        <f>IF(B3121="","","touch_3; "&amp;IFERROR(INDEX(Clay_Offices!$A$2:$FZ$601,270,Sync!$C$10)&amp;"","")&amp;"; "&amp;IFERROR(INDEX(Clay_Offices!$A$2:$FZ$601,270,Sync!$C$9)&amp;"",""))</f>
        <v/>
      </c>
      <c r="K3121" t="inlineStr">
        <is>
          <t>office outreach touch 3</t>
        </is>
      </c>
    </row>
    <row r="3122">
      <c r="A3122" s="17">
        <f>IF(B3122="","",B3122+(14*1000+271)/10000000)</f>
        <v/>
      </c>
      <c r="B3122" s="23">
        <f>IF(AND(IFERROR(N(INDEX(Clay_Offices!$A$2:$FZ$601,271,Sync!$C$13)),0)&gt;0,IFERROR(INDEX(Clay_Offices!$A$2:$FZ$601,271,Sync!$C$5)&amp;"","")&lt;&gt;"",OR(LEFT(IFERROR(INDEX(Clay_Offices!$A$2:$FZ$601,271,Sync!$C$5)&amp;"",""),6)&lt;&gt;"SAMPLE",Config!$B$19="Y")),IFERROR(N(INDEX(Clay_Offices!$A$2:$FZ$601,271,Sync!$C$13)),0),"")</f>
        <v/>
      </c>
      <c r="C3122" s="17">
        <f>IF(B3122="","","office")</f>
        <v/>
      </c>
      <c r="D3122" s="17">
        <f>IF(B3122="","",IFERROR(INDEX(Clay_Offices!$A$2:$FZ$601,271,Sync!$C$5)&amp;"",""))</f>
        <v/>
      </c>
      <c r="E3122" s="17">
        <f>IF(B3122="","",IFERROR(INDEX(Clay_Offices!$A$2:$FZ$601,271,Sync!$C$6)&amp;"",""))</f>
        <v/>
      </c>
      <c r="F3122" s="17">
        <f>IF(B3122="","","outreach_sent")</f>
        <v/>
      </c>
      <c r="G3122" s="17">
        <f>IF(B3122="","","")</f>
        <v/>
      </c>
      <c r="H3122" s="17">
        <f>IF(B3122="","","")</f>
        <v/>
      </c>
      <c r="I3122" s="17">
        <f>IF(B3122="","","")</f>
        <v/>
      </c>
      <c r="J3122" s="17">
        <f>IF(B3122="","","touch_3; "&amp;IFERROR(INDEX(Clay_Offices!$A$2:$FZ$601,271,Sync!$C$10)&amp;"","")&amp;"; "&amp;IFERROR(INDEX(Clay_Offices!$A$2:$FZ$601,271,Sync!$C$9)&amp;"",""))</f>
        <v/>
      </c>
      <c r="K3122" t="inlineStr">
        <is>
          <t>office outreach touch 3</t>
        </is>
      </c>
    </row>
    <row r="3123">
      <c r="A3123" s="17">
        <f>IF(B3123="","",B3123+(14*1000+272)/10000000)</f>
        <v/>
      </c>
      <c r="B3123" s="23">
        <f>IF(AND(IFERROR(N(INDEX(Clay_Offices!$A$2:$FZ$601,272,Sync!$C$13)),0)&gt;0,IFERROR(INDEX(Clay_Offices!$A$2:$FZ$601,272,Sync!$C$5)&amp;"","")&lt;&gt;"",OR(LEFT(IFERROR(INDEX(Clay_Offices!$A$2:$FZ$601,272,Sync!$C$5)&amp;"",""),6)&lt;&gt;"SAMPLE",Config!$B$19="Y")),IFERROR(N(INDEX(Clay_Offices!$A$2:$FZ$601,272,Sync!$C$13)),0),"")</f>
        <v/>
      </c>
      <c r="C3123" s="17">
        <f>IF(B3123="","","office")</f>
        <v/>
      </c>
      <c r="D3123" s="17">
        <f>IF(B3123="","",IFERROR(INDEX(Clay_Offices!$A$2:$FZ$601,272,Sync!$C$5)&amp;"",""))</f>
        <v/>
      </c>
      <c r="E3123" s="17">
        <f>IF(B3123="","",IFERROR(INDEX(Clay_Offices!$A$2:$FZ$601,272,Sync!$C$6)&amp;"",""))</f>
        <v/>
      </c>
      <c r="F3123" s="17">
        <f>IF(B3123="","","outreach_sent")</f>
        <v/>
      </c>
      <c r="G3123" s="17">
        <f>IF(B3123="","","")</f>
        <v/>
      </c>
      <c r="H3123" s="17">
        <f>IF(B3123="","","")</f>
        <v/>
      </c>
      <c r="I3123" s="17">
        <f>IF(B3123="","","")</f>
        <v/>
      </c>
      <c r="J3123" s="17">
        <f>IF(B3123="","","touch_3; "&amp;IFERROR(INDEX(Clay_Offices!$A$2:$FZ$601,272,Sync!$C$10)&amp;"","")&amp;"; "&amp;IFERROR(INDEX(Clay_Offices!$A$2:$FZ$601,272,Sync!$C$9)&amp;"",""))</f>
        <v/>
      </c>
      <c r="K3123" t="inlineStr">
        <is>
          <t>office outreach touch 3</t>
        </is>
      </c>
    </row>
    <row r="3124">
      <c r="A3124" s="17">
        <f>IF(B3124="","",B3124+(14*1000+273)/10000000)</f>
        <v/>
      </c>
      <c r="B3124" s="23">
        <f>IF(AND(IFERROR(N(INDEX(Clay_Offices!$A$2:$FZ$601,273,Sync!$C$13)),0)&gt;0,IFERROR(INDEX(Clay_Offices!$A$2:$FZ$601,273,Sync!$C$5)&amp;"","")&lt;&gt;"",OR(LEFT(IFERROR(INDEX(Clay_Offices!$A$2:$FZ$601,273,Sync!$C$5)&amp;"",""),6)&lt;&gt;"SAMPLE",Config!$B$19="Y")),IFERROR(N(INDEX(Clay_Offices!$A$2:$FZ$601,273,Sync!$C$13)),0),"")</f>
        <v/>
      </c>
      <c r="C3124" s="17">
        <f>IF(B3124="","","office")</f>
        <v/>
      </c>
      <c r="D3124" s="17">
        <f>IF(B3124="","",IFERROR(INDEX(Clay_Offices!$A$2:$FZ$601,273,Sync!$C$5)&amp;"",""))</f>
        <v/>
      </c>
      <c r="E3124" s="17">
        <f>IF(B3124="","",IFERROR(INDEX(Clay_Offices!$A$2:$FZ$601,273,Sync!$C$6)&amp;"",""))</f>
        <v/>
      </c>
      <c r="F3124" s="17">
        <f>IF(B3124="","","outreach_sent")</f>
        <v/>
      </c>
      <c r="G3124" s="17">
        <f>IF(B3124="","","")</f>
        <v/>
      </c>
      <c r="H3124" s="17">
        <f>IF(B3124="","","")</f>
        <v/>
      </c>
      <c r="I3124" s="17">
        <f>IF(B3124="","","")</f>
        <v/>
      </c>
      <c r="J3124" s="17">
        <f>IF(B3124="","","touch_3; "&amp;IFERROR(INDEX(Clay_Offices!$A$2:$FZ$601,273,Sync!$C$10)&amp;"","")&amp;"; "&amp;IFERROR(INDEX(Clay_Offices!$A$2:$FZ$601,273,Sync!$C$9)&amp;"",""))</f>
        <v/>
      </c>
      <c r="K3124" t="inlineStr">
        <is>
          <t>office outreach touch 3</t>
        </is>
      </c>
    </row>
    <row r="3125">
      <c r="A3125" s="17">
        <f>IF(B3125="","",B3125+(14*1000+274)/10000000)</f>
        <v/>
      </c>
      <c r="B3125" s="23">
        <f>IF(AND(IFERROR(N(INDEX(Clay_Offices!$A$2:$FZ$601,274,Sync!$C$13)),0)&gt;0,IFERROR(INDEX(Clay_Offices!$A$2:$FZ$601,274,Sync!$C$5)&amp;"","")&lt;&gt;"",OR(LEFT(IFERROR(INDEX(Clay_Offices!$A$2:$FZ$601,274,Sync!$C$5)&amp;"",""),6)&lt;&gt;"SAMPLE",Config!$B$19="Y")),IFERROR(N(INDEX(Clay_Offices!$A$2:$FZ$601,274,Sync!$C$13)),0),"")</f>
        <v/>
      </c>
      <c r="C3125" s="17">
        <f>IF(B3125="","","office")</f>
        <v/>
      </c>
      <c r="D3125" s="17">
        <f>IF(B3125="","",IFERROR(INDEX(Clay_Offices!$A$2:$FZ$601,274,Sync!$C$5)&amp;"",""))</f>
        <v/>
      </c>
      <c r="E3125" s="17">
        <f>IF(B3125="","",IFERROR(INDEX(Clay_Offices!$A$2:$FZ$601,274,Sync!$C$6)&amp;"",""))</f>
        <v/>
      </c>
      <c r="F3125" s="17">
        <f>IF(B3125="","","outreach_sent")</f>
        <v/>
      </c>
      <c r="G3125" s="17">
        <f>IF(B3125="","","")</f>
        <v/>
      </c>
      <c r="H3125" s="17">
        <f>IF(B3125="","","")</f>
        <v/>
      </c>
      <c r="I3125" s="17">
        <f>IF(B3125="","","")</f>
        <v/>
      </c>
      <c r="J3125" s="17">
        <f>IF(B3125="","","touch_3; "&amp;IFERROR(INDEX(Clay_Offices!$A$2:$FZ$601,274,Sync!$C$10)&amp;"","")&amp;"; "&amp;IFERROR(INDEX(Clay_Offices!$A$2:$FZ$601,274,Sync!$C$9)&amp;"",""))</f>
        <v/>
      </c>
      <c r="K3125" t="inlineStr">
        <is>
          <t>office outreach touch 3</t>
        </is>
      </c>
    </row>
    <row r="3126">
      <c r="A3126" s="17">
        <f>IF(B3126="","",B3126+(14*1000+275)/10000000)</f>
        <v/>
      </c>
      <c r="B3126" s="23">
        <f>IF(AND(IFERROR(N(INDEX(Clay_Offices!$A$2:$FZ$601,275,Sync!$C$13)),0)&gt;0,IFERROR(INDEX(Clay_Offices!$A$2:$FZ$601,275,Sync!$C$5)&amp;"","")&lt;&gt;"",OR(LEFT(IFERROR(INDEX(Clay_Offices!$A$2:$FZ$601,275,Sync!$C$5)&amp;"",""),6)&lt;&gt;"SAMPLE",Config!$B$19="Y")),IFERROR(N(INDEX(Clay_Offices!$A$2:$FZ$601,275,Sync!$C$13)),0),"")</f>
        <v/>
      </c>
      <c r="C3126" s="17">
        <f>IF(B3126="","","office")</f>
        <v/>
      </c>
      <c r="D3126" s="17">
        <f>IF(B3126="","",IFERROR(INDEX(Clay_Offices!$A$2:$FZ$601,275,Sync!$C$5)&amp;"",""))</f>
        <v/>
      </c>
      <c r="E3126" s="17">
        <f>IF(B3126="","",IFERROR(INDEX(Clay_Offices!$A$2:$FZ$601,275,Sync!$C$6)&amp;"",""))</f>
        <v/>
      </c>
      <c r="F3126" s="17">
        <f>IF(B3126="","","outreach_sent")</f>
        <v/>
      </c>
      <c r="G3126" s="17">
        <f>IF(B3126="","","")</f>
        <v/>
      </c>
      <c r="H3126" s="17">
        <f>IF(B3126="","","")</f>
        <v/>
      </c>
      <c r="I3126" s="17">
        <f>IF(B3126="","","")</f>
        <v/>
      </c>
      <c r="J3126" s="17">
        <f>IF(B3126="","","touch_3; "&amp;IFERROR(INDEX(Clay_Offices!$A$2:$FZ$601,275,Sync!$C$10)&amp;"","")&amp;"; "&amp;IFERROR(INDEX(Clay_Offices!$A$2:$FZ$601,275,Sync!$C$9)&amp;"",""))</f>
        <v/>
      </c>
      <c r="K3126" t="inlineStr">
        <is>
          <t>office outreach touch 3</t>
        </is>
      </c>
    </row>
    <row r="3127">
      <c r="A3127" s="17">
        <f>IF(B3127="","",B3127+(14*1000+276)/10000000)</f>
        <v/>
      </c>
      <c r="B3127" s="23">
        <f>IF(AND(IFERROR(N(INDEX(Clay_Offices!$A$2:$FZ$601,276,Sync!$C$13)),0)&gt;0,IFERROR(INDEX(Clay_Offices!$A$2:$FZ$601,276,Sync!$C$5)&amp;"","")&lt;&gt;"",OR(LEFT(IFERROR(INDEX(Clay_Offices!$A$2:$FZ$601,276,Sync!$C$5)&amp;"",""),6)&lt;&gt;"SAMPLE",Config!$B$19="Y")),IFERROR(N(INDEX(Clay_Offices!$A$2:$FZ$601,276,Sync!$C$13)),0),"")</f>
        <v/>
      </c>
      <c r="C3127" s="17">
        <f>IF(B3127="","","office")</f>
        <v/>
      </c>
      <c r="D3127" s="17">
        <f>IF(B3127="","",IFERROR(INDEX(Clay_Offices!$A$2:$FZ$601,276,Sync!$C$5)&amp;"",""))</f>
        <v/>
      </c>
      <c r="E3127" s="17">
        <f>IF(B3127="","",IFERROR(INDEX(Clay_Offices!$A$2:$FZ$601,276,Sync!$C$6)&amp;"",""))</f>
        <v/>
      </c>
      <c r="F3127" s="17">
        <f>IF(B3127="","","outreach_sent")</f>
        <v/>
      </c>
      <c r="G3127" s="17">
        <f>IF(B3127="","","")</f>
        <v/>
      </c>
      <c r="H3127" s="17">
        <f>IF(B3127="","","")</f>
        <v/>
      </c>
      <c r="I3127" s="17">
        <f>IF(B3127="","","")</f>
        <v/>
      </c>
      <c r="J3127" s="17">
        <f>IF(B3127="","","touch_3; "&amp;IFERROR(INDEX(Clay_Offices!$A$2:$FZ$601,276,Sync!$C$10)&amp;"","")&amp;"; "&amp;IFERROR(INDEX(Clay_Offices!$A$2:$FZ$601,276,Sync!$C$9)&amp;"",""))</f>
        <v/>
      </c>
      <c r="K3127" t="inlineStr">
        <is>
          <t>office outreach touch 3</t>
        </is>
      </c>
    </row>
    <row r="3128">
      <c r="A3128" s="17">
        <f>IF(B3128="","",B3128+(14*1000+277)/10000000)</f>
        <v/>
      </c>
      <c r="B3128" s="23">
        <f>IF(AND(IFERROR(N(INDEX(Clay_Offices!$A$2:$FZ$601,277,Sync!$C$13)),0)&gt;0,IFERROR(INDEX(Clay_Offices!$A$2:$FZ$601,277,Sync!$C$5)&amp;"","")&lt;&gt;"",OR(LEFT(IFERROR(INDEX(Clay_Offices!$A$2:$FZ$601,277,Sync!$C$5)&amp;"",""),6)&lt;&gt;"SAMPLE",Config!$B$19="Y")),IFERROR(N(INDEX(Clay_Offices!$A$2:$FZ$601,277,Sync!$C$13)),0),"")</f>
        <v/>
      </c>
      <c r="C3128" s="17">
        <f>IF(B3128="","","office")</f>
        <v/>
      </c>
      <c r="D3128" s="17">
        <f>IF(B3128="","",IFERROR(INDEX(Clay_Offices!$A$2:$FZ$601,277,Sync!$C$5)&amp;"",""))</f>
        <v/>
      </c>
      <c r="E3128" s="17">
        <f>IF(B3128="","",IFERROR(INDEX(Clay_Offices!$A$2:$FZ$601,277,Sync!$C$6)&amp;"",""))</f>
        <v/>
      </c>
      <c r="F3128" s="17">
        <f>IF(B3128="","","outreach_sent")</f>
        <v/>
      </c>
      <c r="G3128" s="17">
        <f>IF(B3128="","","")</f>
        <v/>
      </c>
      <c r="H3128" s="17">
        <f>IF(B3128="","","")</f>
        <v/>
      </c>
      <c r="I3128" s="17">
        <f>IF(B3128="","","")</f>
        <v/>
      </c>
      <c r="J3128" s="17">
        <f>IF(B3128="","","touch_3; "&amp;IFERROR(INDEX(Clay_Offices!$A$2:$FZ$601,277,Sync!$C$10)&amp;"","")&amp;"; "&amp;IFERROR(INDEX(Clay_Offices!$A$2:$FZ$601,277,Sync!$C$9)&amp;"",""))</f>
        <v/>
      </c>
      <c r="K3128" t="inlineStr">
        <is>
          <t>office outreach touch 3</t>
        </is>
      </c>
    </row>
    <row r="3129">
      <c r="A3129" s="17">
        <f>IF(B3129="","",B3129+(14*1000+278)/10000000)</f>
        <v/>
      </c>
      <c r="B3129" s="23">
        <f>IF(AND(IFERROR(N(INDEX(Clay_Offices!$A$2:$FZ$601,278,Sync!$C$13)),0)&gt;0,IFERROR(INDEX(Clay_Offices!$A$2:$FZ$601,278,Sync!$C$5)&amp;"","")&lt;&gt;"",OR(LEFT(IFERROR(INDEX(Clay_Offices!$A$2:$FZ$601,278,Sync!$C$5)&amp;"",""),6)&lt;&gt;"SAMPLE",Config!$B$19="Y")),IFERROR(N(INDEX(Clay_Offices!$A$2:$FZ$601,278,Sync!$C$13)),0),"")</f>
        <v/>
      </c>
      <c r="C3129" s="17">
        <f>IF(B3129="","","office")</f>
        <v/>
      </c>
      <c r="D3129" s="17">
        <f>IF(B3129="","",IFERROR(INDEX(Clay_Offices!$A$2:$FZ$601,278,Sync!$C$5)&amp;"",""))</f>
        <v/>
      </c>
      <c r="E3129" s="17">
        <f>IF(B3129="","",IFERROR(INDEX(Clay_Offices!$A$2:$FZ$601,278,Sync!$C$6)&amp;"",""))</f>
        <v/>
      </c>
      <c r="F3129" s="17">
        <f>IF(B3129="","","outreach_sent")</f>
        <v/>
      </c>
      <c r="G3129" s="17">
        <f>IF(B3129="","","")</f>
        <v/>
      </c>
      <c r="H3129" s="17">
        <f>IF(B3129="","","")</f>
        <v/>
      </c>
      <c r="I3129" s="17">
        <f>IF(B3129="","","")</f>
        <v/>
      </c>
      <c r="J3129" s="17">
        <f>IF(B3129="","","touch_3; "&amp;IFERROR(INDEX(Clay_Offices!$A$2:$FZ$601,278,Sync!$C$10)&amp;"","")&amp;"; "&amp;IFERROR(INDEX(Clay_Offices!$A$2:$FZ$601,278,Sync!$C$9)&amp;"",""))</f>
        <v/>
      </c>
      <c r="K3129" t="inlineStr">
        <is>
          <t>office outreach touch 3</t>
        </is>
      </c>
    </row>
    <row r="3130">
      <c r="A3130" s="17">
        <f>IF(B3130="","",B3130+(14*1000+279)/10000000)</f>
        <v/>
      </c>
      <c r="B3130" s="23">
        <f>IF(AND(IFERROR(N(INDEX(Clay_Offices!$A$2:$FZ$601,279,Sync!$C$13)),0)&gt;0,IFERROR(INDEX(Clay_Offices!$A$2:$FZ$601,279,Sync!$C$5)&amp;"","")&lt;&gt;"",OR(LEFT(IFERROR(INDEX(Clay_Offices!$A$2:$FZ$601,279,Sync!$C$5)&amp;"",""),6)&lt;&gt;"SAMPLE",Config!$B$19="Y")),IFERROR(N(INDEX(Clay_Offices!$A$2:$FZ$601,279,Sync!$C$13)),0),"")</f>
        <v/>
      </c>
      <c r="C3130" s="17">
        <f>IF(B3130="","","office")</f>
        <v/>
      </c>
      <c r="D3130" s="17">
        <f>IF(B3130="","",IFERROR(INDEX(Clay_Offices!$A$2:$FZ$601,279,Sync!$C$5)&amp;"",""))</f>
        <v/>
      </c>
      <c r="E3130" s="17">
        <f>IF(B3130="","",IFERROR(INDEX(Clay_Offices!$A$2:$FZ$601,279,Sync!$C$6)&amp;"",""))</f>
        <v/>
      </c>
      <c r="F3130" s="17">
        <f>IF(B3130="","","outreach_sent")</f>
        <v/>
      </c>
      <c r="G3130" s="17">
        <f>IF(B3130="","","")</f>
        <v/>
      </c>
      <c r="H3130" s="17">
        <f>IF(B3130="","","")</f>
        <v/>
      </c>
      <c r="I3130" s="17">
        <f>IF(B3130="","","")</f>
        <v/>
      </c>
      <c r="J3130" s="17">
        <f>IF(B3130="","","touch_3; "&amp;IFERROR(INDEX(Clay_Offices!$A$2:$FZ$601,279,Sync!$C$10)&amp;"","")&amp;"; "&amp;IFERROR(INDEX(Clay_Offices!$A$2:$FZ$601,279,Sync!$C$9)&amp;"",""))</f>
        <v/>
      </c>
      <c r="K3130" t="inlineStr">
        <is>
          <t>office outreach touch 3</t>
        </is>
      </c>
    </row>
    <row r="3131">
      <c r="A3131" s="17">
        <f>IF(B3131="","",B3131+(14*1000+280)/10000000)</f>
        <v/>
      </c>
      <c r="B3131" s="23">
        <f>IF(AND(IFERROR(N(INDEX(Clay_Offices!$A$2:$FZ$601,280,Sync!$C$13)),0)&gt;0,IFERROR(INDEX(Clay_Offices!$A$2:$FZ$601,280,Sync!$C$5)&amp;"","")&lt;&gt;"",OR(LEFT(IFERROR(INDEX(Clay_Offices!$A$2:$FZ$601,280,Sync!$C$5)&amp;"",""),6)&lt;&gt;"SAMPLE",Config!$B$19="Y")),IFERROR(N(INDEX(Clay_Offices!$A$2:$FZ$601,280,Sync!$C$13)),0),"")</f>
        <v/>
      </c>
      <c r="C3131" s="17">
        <f>IF(B3131="","","office")</f>
        <v/>
      </c>
      <c r="D3131" s="17">
        <f>IF(B3131="","",IFERROR(INDEX(Clay_Offices!$A$2:$FZ$601,280,Sync!$C$5)&amp;"",""))</f>
        <v/>
      </c>
      <c r="E3131" s="17">
        <f>IF(B3131="","",IFERROR(INDEX(Clay_Offices!$A$2:$FZ$601,280,Sync!$C$6)&amp;"",""))</f>
        <v/>
      </c>
      <c r="F3131" s="17">
        <f>IF(B3131="","","outreach_sent")</f>
        <v/>
      </c>
      <c r="G3131" s="17">
        <f>IF(B3131="","","")</f>
        <v/>
      </c>
      <c r="H3131" s="17">
        <f>IF(B3131="","","")</f>
        <v/>
      </c>
      <c r="I3131" s="17">
        <f>IF(B3131="","","")</f>
        <v/>
      </c>
      <c r="J3131" s="17">
        <f>IF(B3131="","","touch_3; "&amp;IFERROR(INDEX(Clay_Offices!$A$2:$FZ$601,280,Sync!$C$10)&amp;"","")&amp;"; "&amp;IFERROR(INDEX(Clay_Offices!$A$2:$FZ$601,280,Sync!$C$9)&amp;"",""))</f>
        <v/>
      </c>
      <c r="K3131" t="inlineStr">
        <is>
          <t>office outreach touch 3</t>
        </is>
      </c>
    </row>
    <row r="3132">
      <c r="A3132" s="17">
        <f>IF(B3132="","",B3132+(14*1000+281)/10000000)</f>
        <v/>
      </c>
      <c r="B3132" s="23">
        <f>IF(AND(IFERROR(N(INDEX(Clay_Offices!$A$2:$FZ$601,281,Sync!$C$13)),0)&gt;0,IFERROR(INDEX(Clay_Offices!$A$2:$FZ$601,281,Sync!$C$5)&amp;"","")&lt;&gt;"",OR(LEFT(IFERROR(INDEX(Clay_Offices!$A$2:$FZ$601,281,Sync!$C$5)&amp;"",""),6)&lt;&gt;"SAMPLE",Config!$B$19="Y")),IFERROR(N(INDEX(Clay_Offices!$A$2:$FZ$601,281,Sync!$C$13)),0),"")</f>
        <v/>
      </c>
      <c r="C3132" s="17">
        <f>IF(B3132="","","office")</f>
        <v/>
      </c>
      <c r="D3132" s="17">
        <f>IF(B3132="","",IFERROR(INDEX(Clay_Offices!$A$2:$FZ$601,281,Sync!$C$5)&amp;"",""))</f>
        <v/>
      </c>
      <c r="E3132" s="17">
        <f>IF(B3132="","",IFERROR(INDEX(Clay_Offices!$A$2:$FZ$601,281,Sync!$C$6)&amp;"",""))</f>
        <v/>
      </c>
      <c r="F3132" s="17">
        <f>IF(B3132="","","outreach_sent")</f>
        <v/>
      </c>
      <c r="G3132" s="17">
        <f>IF(B3132="","","")</f>
        <v/>
      </c>
      <c r="H3132" s="17">
        <f>IF(B3132="","","")</f>
        <v/>
      </c>
      <c r="I3132" s="17">
        <f>IF(B3132="","","")</f>
        <v/>
      </c>
      <c r="J3132" s="17">
        <f>IF(B3132="","","touch_3; "&amp;IFERROR(INDEX(Clay_Offices!$A$2:$FZ$601,281,Sync!$C$10)&amp;"","")&amp;"; "&amp;IFERROR(INDEX(Clay_Offices!$A$2:$FZ$601,281,Sync!$C$9)&amp;"",""))</f>
        <v/>
      </c>
      <c r="K3132" t="inlineStr">
        <is>
          <t>office outreach touch 3</t>
        </is>
      </c>
    </row>
    <row r="3133">
      <c r="A3133" s="17">
        <f>IF(B3133="","",B3133+(14*1000+282)/10000000)</f>
        <v/>
      </c>
      <c r="B3133" s="23">
        <f>IF(AND(IFERROR(N(INDEX(Clay_Offices!$A$2:$FZ$601,282,Sync!$C$13)),0)&gt;0,IFERROR(INDEX(Clay_Offices!$A$2:$FZ$601,282,Sync!$C$5)&amp;"","")&lt;&gt;"",OR(LEFT(IFERROR(INDEX(Clay_Offices!$A$2:$FZ$601,282,Sync!$C$5)&amp;"",""),6)&lt;&gt;"SAMPLE",Config!$B$19="Y")),IFERROR(N(INDEX(Clay_Offices!$A$2:$FZ$601,282,Sync!$C$13)),0),"")</f>
        <v/>
      </c>
      <c r="C3133" s="17">
        <f>IF(B3133="","","office")</f>
        <v/>
      </c>
      <c r="D3133" s="17">
        <f>IF(B3133="","",IFERROR(INDEX(Clay_Offices!$A$2:$FZ$601,282,Sync!$C$5)&amp;"",""))</f>
        <v/>
      </c>
      <c r="E3133" s="17">
        <f>IF(B3133="","",IFERROR(INDEX(Clay_Offices!$A$2:$FZ$601,282,Sync!$C$6)&amp;"",""))</f>
        <v/>
      </c>
      <c r="F3133" s="17">
        <f>IF(B3133="","","outreach_sent")</f>
        <v/>
      </c>
      <c r="G3133" s="17">
        <f>IF(B3133="","","")</f>
        <v/>
      </c>
      <c r="H3133" s="17">
        <f>IF(B3133="","","")</f>
        <v/>
      </c>
      <c r="I3133" s="17">
        <f>IF(B3133="","","")</f>
        <v/>
      </c>
      <c r="J3133" s="17">
        <f>IF(B3133="","","touch_3; "&amp;IFERROR(INDEX(Clay_Offices!$A$2:$FZ$601,282,Sync!$C$10)&amp;"","")&amp;"; "&amp;IFERROR(INDEX(Clay_Offices!$A$2:$FZ$601,282,Sync!$C$9)&amp;"",""))</f>
        <v/>
      </c>
      <c r="K3133" t="inlineStr">
        <is>
          <t>office outreach touch 3</t>
        </is>
      </c>
    </row>
    <row r="3134">
      <c r="A3134" s="17">
        <f>IF(B3134="","",B3134+(14*1000+283)/10000000)</f>
        <v/>
      </c>
      <c r="B3134" s="23">
        <f>IF(AND(IFERROR(N(INDEX(Clay_Offices!$A$2:$FZ$601,283,Sync!$C$13)),0)&gt;0,IFERROR(INDEX(Clay_Offices!$A$2:$FZ$601,283,Sync!$C$5)&amp;"","")&lt;&gt;"",OR(LEFT(IFERROR(INDEX(Clay_Offices!$A$2:$FZ$601,283,Sync!$C$5)&amp;"",""),6)&lt;&gt;"SAMPLE",Config!$B$19="Y")),IFERROR(N(INDEX(Clay_Offices!$A$2:$FZ$601,283,Sync!$C$13)),0),"")</f>
        <v/>
      </c>
      <c r="C3134" s="17">
        <f>IF(B3134="","","office")</f>
        <v/>
      </c>
      <c r="D3134" s="17">
        <f>IF(B3134="","",IFERROR(INDEX(Clay_Offices!$A$2:$FZ$601,283,Sync!$C$5)&amp;"",""))</f>
        <v/>
      </c>
      <c r="E3134" s="17">
        <f>IF(B3134="","",IFERROR(INDEX(Clay_Offices!$A$2:$FZ$601,283,Sync!$C$6)&amp;"",""))</f>
        <v/>
      </c>
      <c r="F3134" s="17">
        <f>IF(B3134="","","outreach_sent")</f>
        <v/>
      </c>
      <c r="G3134" s="17">
        <f>IF(B3134="","","")</f>
        <v/>
      </c>
      <c r="H3134" s="17">
        <f>IF(B3134="","","")</f>
        <v/>
      </c>
      <c r="I3134" s="17">
        <f>IF(B3134="","","")</f>
        <v/>
      </c>
      <c r="J3134" s="17">
        <f>IF(B3134="","","touch_3; "&amp;IFERROR(INDEX(Clay_Offices!$A$2:$FZ$601,283,Sync!$C$10)&amp;"","")&amp;"; "&amp;IFERROR(INDEX(Clay_Offices!$A$2:$FZ$601,283,Sync!$C$9)&amp;"",""))</f>
        <v/>
      </c>
      <c r="K3134" t="inlineStr">
        <is>
          <t>office outreach touch 3</t>
        </is>
      </c>
    </row>
    <row r="3135">
      <c r="A3135" s="17">
        <f>IF(B3135="","",B3135+(14*1000+284)/10000000)</f>
        <v/>
      </c>
      <c r="B3135" s="23">
        <f>IF(AND(IFERROR(N(INDEX(Clay_Offices!$A$2:$FZ$601,284,Sync!$C$13)),0)&gt;0,IFERROR(INDEX(Clay_Offices!$A$2:$FZ$601,284,Sync!$C$5)&amp;"","")&lt;&gt;"",OR(LEFT(IFERROR(INDEX(Clay_Offices!$A$2:$FZ$601,284,Sync!$C$5)&amp;"",""),6)&lt;&gt;"SAMPLE",Config!$B$19="Y")),IFERROR(N(INDEX(Clay_Offices!$A$2:$FZ$601,284,Sync!$C$13)),0),"")</f>
        <v/>
      </c>
      <c r="C3135" s="17">
        <f>IF(B3135="","","office")</f>
        <v/>
      </c>
      <c r="D3135" s="17">
        <f>IF(B3135="","",IFERROR(INDEX(Clay_Offices!$A$2:$FZ$601,284,Sync!$C$5)&amp;"",""))</f>
        <v/>
      </c>
      <c r="E3135" s="17">
        <f>IF(B3135="","",IFERROR(INDEX(Clay_Offices!$A$2:$FZ$601,284,Sync!$C$6)&amp;"",""))</f>
        <v/>
      </c>
      <c r="F3135" s="17">
        <f>IF(B3135="","","outreach_sent")</f>
        <v/>
      </c>
      <c r="G3135" s="17">
        <f>IF(B3135="","","")</f>
        <v/>
      </c>
      <c r="H3135" s="17">
        <f>IF(B3135="","","")</f>
        <v/>
      </c>
      <c r="I3135" s="17">
        <f>IF(B3135="","","")</f>
        <v/>
      </c>
      <c r="J3135" s="17">
        <f>IF(B3135="","","touch_3; "&amp;IFERROR(INDEX(Clay_Offices!$A$2:$FZ$601,284,Sync!$C$10)&amp;"","")&amp;"; "&amp;IFERROR(INDEX(Clay_Offices!$A$2:$FZ$601,284,Sync!$C$9)&amp;"",""))</f>
        <v/>
      </c>
      <c r="K3135" t="inlineStr">
        <is>
          <t>office outreach touch 3</t>
        </is>
      </c>
    </row>
    <row r="3136">
      <c r="A3136" s="17">
        <f>IF(B3136="","",B3136+(14*1000+285)/10000000)</f>
        <v/>
      </c>
      <c r="B3136" s="23">
        <f>IF(AND(IFERROR(N(INDEX(Clay_Offices!$A$2:$FZ$601,285,Sync!$C$13)),0)&gt;0,IFERROR(INDEX(Clay_Offices!$A$2:$FZ$601,285,Sync!$C$5)&amp;"","")&lt;&gt;"",OR(LEFT(IFERROR(INDEX(Clay_Offices!$A$2:$FZ$601,285,Sync!$C$5)&amp;"",""),6)&lt;&gt;"SAMPLE",Config!$B$19="Y")),IFERROR(N(INDEX(Clay_Offices!$A$2:$FZ$601,285,Sync!$C$13)),0),"")</f>
        <v/>
      </c>
      <c r="C3136" s="17">
        <f>IF(B3136="","","office")</f>
        <v/>
      </c>
      <c r="D3136" s="17">
        <f>IF(B3136="","",IFERROR(INDEX(Clay_Offices!$A$2:$FZ$601,285,Sync!$C$5)&amp;"",""))</f>
        <v/>
      </c>
      <c r="E3136" s="17">
        <f>IF(B3136="","",IFERROR(INDEX(Clay_Offices!$A$2:$FZ$601,285,Sync!$C$6)&amp;"",""))</f>
        <v/>
      </c>
      <c r="F3136" s="17">
        <f>IF(B3136="","","outreach_sent")</f>
        <v/>
      </c>
      <c r="G3136" s="17">
        <f>IF(B3136="","","")</f>
        <v/>
      </c>
      <c r="H3136" s="17">
        <f>IF(B3136="","","")</f>
        <v/>
      </c>
      <c r="I3136" s="17">
        <f>IF(B3136="","","")</f>
        <v/>
      </c>
      <c r="J3136" s="17">
        <f>IF(B3136="","","touch_3; "&amp;IFERROR(INDEX(Clay_Offices!$A$2:$FZ$601,285,Sync!$C$10)&amp;"","")&amp;"; "&amp;IFERROR(INDEX(Clay_Offices!$A$2:$FZ$601,285,Sync!$C$9)&amp;"",""))</f>
        <v/>
      </c>
      <c r="K3136" t="inlineStr">
        <is>
          <t>office outreach touch 3</t>
        </is>
      </c>
    </row>
    <row r="3137">
      <c r="A3137" s="17">
        <f>IF(B3137="","",B3137+(14*1000+286)/10000000)</f>
        <v/>
      </c>
      <c r="B3137" s="23">
        <f>IF(AND(IFERROR(N(INDEX(Clay_Offices!$A$2:$FZ$601,286,Sync!$C$13)),0)&gt;0,IFERROR(INDEX(Clay_Offices!$A$2:$FZ$601,286,Sync!$C$5)&amp;"","")&lt;&gt;"",OR(LEFT(IFERROR(INDEX(Clay_Offices!$A$2:$FZ$601,286,Sync!$C$5)&amp;"",""),6)&lt;&gt;"SAMPLE",Config!$B$19="Y")),IFERROR(N(INDEX(Clay_Offices!$A$2:$FZ$601,286,Sync!$C$13)),0),"")</f>
        <v/>
      </c>
      <c r="C3137" s="17">
        <f>IF(B3137="","","office")</f>
        <v/>
      </c>
      <c r="D3137" s="17">
        <f>IF(B3137="","",IFERROR(INDEX(Clay_Offices!$A$2:$FZ$601,286,Sync!$C$5)&amp;"",""))</f>
        <v/>
      </c>
      <c r="E3137" s="17">
        <f>IF(B3137="","",IFERROR(INDEX(Clay_Offices!$A$2:$FZ$601,286,Sync!$C$6)&amp;"",""))</f>
        <v/>
      </c>
      <c r="F3137" s="17">
        <f>IF(B3137="","","outreach_sent")</f>
        <v/>
      </c>
      <c r="G3137" s="17">
        <f>IF(B3137="","","")</f>
        <v/>
      </c>
      <c r="H3137" s="17">
        <f>IF(B3137="","","")</f>
        <v/>
      </c>
      <c r="I3137" s="17">
        <f>IF(B3137="","","")</f>
        <v/>
      </c>
      <c r="J3137" s="17">
        <f>IF(B3137="","","touch_3; "&amp;IFERROR(INDEX(Clay_Offices!$A$2:$FZ$601,286,Sync!$C$10)&amp;"","")&amp;"; "&amp;IFERROR(INDEX(Clay_Offices!$A$2:$FZ$601,286,Sync!$C$9)&amp;"",""))</f>
        <v/>
      </c>
      <c r="K3137" t="inlineStr">
        <is>
          <t>office outreach touch 3</t>
        </is>
      </c>
    </row>
    <row r="3138">
      <c r="A3138" s="17">
        <f>IF(B3138="","",B3138+(14*1000+287)/10000000)</f>
        <v/>
      </c>
      <c r="B3138" s="23">
        <f>IF(AND(IFERROR(N(INDEX(Clay_Offices!$A$2:$FZ$601,287,Sync!$C$13)),0)&gt;0,IFERROR(INDEX(Clay_Offices!$A$2:$FZ$601,287,Sync!$C$5)&amp;"","")&lt;&gt;"",OR(LEFT(IFERROR(INDEX(Clay_Offices!$A$2:$FZ$601,287,Sync!$C$5)&amp;"",""),6)&lt;&gt;"SAMPLE",Config!$B$19="Y")),IFERROR(N(INDEX(Clay_Offices!$A$2:$FZ$601,287,Sync!$C$13)),0),"")</f>
        <v/>
      </c>
      <c r="C3138" s="17">
        <f>IF(B3138="","","office")</f>
        <v/>
      </c>
      <c r="D3138" s="17">
        <f>IF(B3138="","",IFERROR(INDEX(Clay_Offices!$A$2:$FZ$601,287,Sync!$C$5)&amp;"",""))</f>
        <v/>
      </c>
      <c r="E3138" s="17">
        <f>IF(B3138="","",IFERROR(INDEX(Clay_Offices!$A$2:$FZ$601,287,Sync!$C$6)&amp;"",""))</f>
        <v/>
      </c>
      <c r="F3138" s="17">
        <f>IF(B3138="","","outreach_sent")</f>
        <v/>
      </c>
      <c r="G3138" s="17">
        <f>IF(B3138="","","")</f>
        <v/>
      </c>
      <c r="H3138" s="17">
        <f>IF(B3138="","","")</f>
        <v/>
      </c>
      <c r="I3138" s="17">
        <f>IF(B3138="","","")</f>
        <v/>
      </c>
      <c r="J3138" s="17">
        <f>IF(B3138="","","touch_3; "&amp;IFERROR(INDEX(Clay_Offices!$A$2:$FZ$601,287,Sync!$C$10)&amp;"","")&amp;"; "&amp;IFERROR(INDEX(Clay_Offices!$A$2:$FZ$601,287,Sync!$C$9)&amp;"",""))</f>
        <v/>
      </c>
      <c r="K3138" t="inlineStr">
        <is>
          <t>office outreach touch 3</t>
        </is>
      </c>
    </row>
    <row r="3139">
      <c r="A3139" s="17">
        <f>IF(B3139="","",B3139+(14*1000+288)/10000000)</f>
        <v/>
      </c>
      <c r="B3139" s="23">
        <f>IF(AND(IFERROR(N(INDEX(Clay_Offices!$A$2:$FZ$601,288,Sync!$C$13)),0)&gt;0,IFERROR(INDEX(Clay_Offices!$A$2:$FZ$601,288,Sync!$C$5)&amp;"","")&lt;&gt;"",OR(LEFT(IFERROR(INDEX(Clay_Offices!$A$2:$FZ$601,288,Sync!$C$5)&amp;"",""),6)&lt;&gt;"SAMPLE",Config!$B$19="Y")),IFERROR(N(INDEX(Clay_Offices!$A$2:$FZ$601,288,Sync!$C$13)),0),"")</f>
        <v/>
      </c>
      <c r="C3139" s="17">
        <f>IF(B3139="","","office")</f>
        <v/>
      </c>
      <c r="D3139" s="17">
        <f>IF(B3139="","",IFERROR(INDEX(Clay_Offices!$A$2:$FZ$601,288,Sync!$C$5)&amp;"",""))</f>
        <v/>
      </c>
      <c r="E3139" s="17">
        <f>IF(B3139="","",IFERROR(INDEX(Clay_Offices!$A$2:$FZ$601,288,Sync!$C$6)&amp;"",""))</f>
        <v/>
      </c>
      <c r="F3139" s="17">
        <f>IF(B3139="","","outreach_sent")</f>
        <v/>
      </c>
      <c r="G3139" s="17">
        <f>IF(B3139="","","")</f>
        <v/>
      </c>
      <c r="H3139" s="17">
        <f>IF(B3139="","","")</f>
        <v/>
      </c>
      <c r="I3139" s="17">
        <f>IF(B3139="","","")</f>
        <v/>
      </c>
      <c r="J3139" s="17">
        <f>IF(B3139="","","touch_3; "&amp;IFERROR(INDEX(Clay_Offices!$A$2:$FZ$601,288,Sync!$C$10)&amp;"","")&amp;"; "&amp;IFERROR(INDEX(Clay_Offices!$A$2:$FZ$601,288,Sync!$C$9)&amp;"",""))</f>
        <v/>
      </c>
      <c r="K3139" t="inlineStr">
        <is>
          <t>office outreach touch 3</t>
        </is>
      </c>
    </row>
    <row r="3140">
      <c r="A3140" s="17">
        <f>IF(B3140="","",B3140+(14*1000+289)/10000000)</f>
        <v/>
      </c>
      <c r="B3140" s="23">
        <f>IF(AND(IFERROR(N(INDEX(Clay_Offices!$A$2:$FZ$601,289,Sync!$C$13)),0)&gt;0,IFERROR(INDEX(Clay_Offices!$A$2:$FZ$601,289,Sync!$C$5)&amp;"","")&lt;&gt;"",OR(LEFT(IFERROR(INDEX(Clay_Offices!$A$2:$FZ$601,289,Sync!$C$5)&amp;"",""),6)&lt;&gt;"SAMPLE",Config!$B$19="Y")),IFERROR(N(INDEX(Clay_Offices!$A$2:$FZ$601,289,Sync!$C$13)),0),"")</f>
        <v/>
      </c>
      <c r="C3140" s="17">
        <f>IF(B3140="","","office")</f>
        <v/>
      </c>
      <c r="D3140" s="17">
        <f>IF(B3140="","",IFERROR(INDEX(Clay_Offices!$A$2:$FZ$601,289,Sync!$C$5)&amp;"",""))</f>
        <v/>
      </c>
      <c r="E3140" s="17">
        <f>IF(B3140="","",IFERROR(INDEX(Clay_Offices!$A$2:$FZ$601,289,Sync!$C$6)&amp;"",""))</f>
        <v/>
      </c>
      <c r="F3140" s="17">
        <f>IF(B3140="","","outreach_sent")</f>
        <v/>
      </c>
      <c r="G3140" s="17">
        <f>IF(B3140="","","")</f>
        <v/>
      </c>
      <c r="H3140" s="17">
        <f>IF(B3140="","","")</f>
        <v/>
      </c>
      <c r="I3140" s="17">
        <f>IF(B3140="","","")</f>
        <v/>
      </c>
      <c r="J3140" s="17">
        <f>IF(B3140="","","touch_3; "&amp;IFERROR(INDEX(Clay_Offices!$A$2:$FZ$601,289,Sync!$C$10)&amp;"","")&amp;"; "&amp;IFERROR(INDEX(Clay_Offices!$A$2:$FZ$601,289,Sync!$C$9)&amp;"",""))</f>
        <v/>
      </c>
      <c r="K3140" t="inlineStr">
        <is>
          <t>office outreach touch 3</t>
        </is>
      </c>
    </row>
    <row r="3141">
      <c r="A3141" s="17">
        <f>IF(B3141="","",B3141+(14*1000+290)/10000000)</f>
        <v/>
      </c>
      <c r="B3141" s="23">
        <f>IF(AND(IFERROR(N(INDEX(Clay_Offices!$A$2:$FZ$601,290,Sync!$C$13)),0)&gt;0,IFERROR(INDEX(Clay_Offices!$A$2:$FZ$601,290,Sync!$C$5)&amp;"","")&lt;&gt;"",OR(LEFT(IFERROR(INDEX(Clay_Offices!$A$2:$FZ$601,290,Sync!$C$5)&amp;"",""),6)&lt;&gt;"SAMPLE",Config!$B$19="Y")),IFERROR(N(INDEX(Clay_Offices!$A$2:$FZ$601,290,Sync!$C$13)),0),"")</f>
        <v/>
      </c>
      <c r="C3141" s="17">
        <f>IF(B3141="","","office")</f>
        <v/>
      </c>
      <c r="D3141" s="17">
        <f>IF(B3141="","",IFERROR(INDEX(Clay_Offices!$A$2:$FZ$601,290,Sync!$C$5)&amp;"",""))</f>
        <v/>
      </c>
      <c r="E3141" s="17">
        <f>IF(B3141="","",IFERROR(INDEX(Clay_Offices!$A$2:$FZ$601,290,Sync!$C$6)&amp;"",""))</f>
        <v/>
      </c>
      <c r="F3141" s="17">
        <f>IF(B3141="","","outreach_sent")</f>
        <v/>
      </c>
      <c r="G3141" s="17">
        <f>IF(B3141="","","")</f>
        <v/>
      </c>
      <c r="H3141" s="17">
        <f>IF(B3141="","","")</f>
        <v/>
      </c>
      <c r="I3141" s="17">
        <f>IF(B3141="","","")</f>
        <v/>
      </c>
      <c r="J3141" s="17">
        <f>IF(B3141="","","touch_3; "&amp;IFERROR(INDEX(Clay_Offices!$A$2:$FZ$601,290,Sync!$C$10)&amp;"","")&amp;"; "&amp;IFERROR(INDEX(Clay_Offices!$A$2:$FZ$601,290,Sync!$C$9)&amp;"",""))</f>
        <v/>
      </c>
      <c r="K3141" t="inlineStr">
        <is>
          <t>office outreach touch 3</t>
        </is>
      </c>
    </row>
    <row r="3142">
      <c r="A3142" s="17">
        <f>IF(B3142="","",B3142+(14*1000+291)/10000000)</f>
        <v/>
      </c>
      <c r="B3142" s="23">
        <f>IF(AND(IFERROR(N(INDEX(Clay_Offices!$A$2:$FZ$601,291,Sync!$C$13)),0)&gt;0,IFERROR(INDEX(Clay_Offices!$A$2:$FZ$601,291,Sync!$C$5)&amp;"","")&lt;&gt;"",OR(LEFT(IFERROR(INDEX(Clay_Offices!$A$2:$FZ$601,291,Sync!$C$5)&amp;"",""),6)&lt;&gt;"SAMPLE",Config!$B$19="Y")),IFERROR(N(INDEX(Clay_Offices!$A$2:$FZ$601,291,Sync!$C$13)),0),"")</f>
        <v/>
      </c>
      <c r="C3142" s="17">
        <f>IF(B3142="","","office")</f>
        <v/>
      </c>
      <c r="D3142" s="17">
        <f>IF(B3142="","",IFERROR(INDEX(Clay_Offices!$A$2:$FZ$601,291,Sync!$C$5)&amp;"",""))</f>
        <v/>
      </c>
      <c r="E3142" s="17">
        <f>IF(B3142="","",IFERROR(INDEX(Clay_Offices!$A$2:$FZ$601,291,Sync!$C$6)&amp;"",""))</f>
        <v/>
      </c>
      <c r="F3142" s="17">
        <f>IF(B3142="","","outreach_sent")</f>
        <v/>
      </c>
      <c r="G3142" s="17">
        <f>IF(B3142="","","")</f>
        <v/>
      </c>
      <c r="H3142" s="17">
        <f>IF(B3142="","","")</f>
        <v/>
      </c>
      <c r="I3142" s="17">
        <f>IF(B3142="","","")</f>
        <v/>
      </c>
      <c r="J3142" s="17">
        <f>IF(B3142="","","touch_3; "&amp;IFERROR(INDEX(Clay_Offices!$A$2:$FZ$601,291,Sync!$C$10)&amp;"","")&amp;"; "&amp;IFERROR(INDEX(Clay_Offices!$A$2:$FZ$601,291,Sync!$C$9)&amp;"",""))</f>
        <v/>
      </c>
      <c r="K3142" t="inlineStr">
        <is>
          <t>office outreach touch 3</t>
        </is>
      </c>
    </row>
    <row r="3143">
      <c r="A3143" s="17">
        <f>IF(B3143="","",B3143+(14*1000+292)/10000000)</f>
        <v/>
      </c>
      <c r="B3143" s="23">
        <f>IF(AND(IFERROR(N(INDEX(Clay_Offices!$A$2:$FZ$601,292,Sync!$C$13)),0)&gt;0,IFERROR(INDEX(Clay_Offices!$A$2:$FZ$601,292,Sync!$C$5)&amp;"","")&lt;&gt;"",OR(LEFT(IFERROR(INDEX(Clay_Offices!$A$2:$FZ$601,292,Sync!$C$5)&amp;"",""),6)&lt;&gt;"SAMPLE",Config!$B$19="Y")),IFERROR(N(INDEX(Clay_Offices!$A$2:$FZ$601,292,Sync!$C$13)),0),"")</f>
        <v/>
      </c>
      <c r="C3143" s="17">
        <f>IF(B3143="","","office")</f>
        <v/>
      </c>
      <c r="D3143" s="17">
        <f>IF(B3143="","",IFERROR(INDEX(Clay_Offices!$A$2:$FZ$601,292,Sync!$C$5)&amp;"",""))</f>
        <v/>
      </c>
      <c r="E3143" s="17">
        <f>IF(B3143="","",IFERROR(INDEX(Clay_Offices!$A$2:$FZ$601,292,Sync!$C$6)&amp;"",""))</f>
        <v/>
      </c>
      <c r="F3143" s="17">
        <f>IF(B3143="","","outreach_sent")</f>
        <v/>
      </c>
      <c r="G3143" s="17">
        <f>IF(B3143="","","")</f>
        <v/>
      </c>
      <c r="H3143" s="17">
        <f>IF(B3143="","","")</f>
        <v/>
      </c>
      <c r="I3143" s="17">
        <f>IF(B3143="","","")</f>
        <v/>
      </c>
      <c r="J3143" s="17">
        <f>IF(B3143="","","touch_3; "&amp;IFERROR(INDEX(Clay_Offices!$A$2:$FZ$601,292,Sync!$C$10)&amp;"","")&amp;"; "&amp;IFERROR(INDEX(Clay_Offices!$A$2:$FZ$601,292,Sync!$C$9)&amp;"",""))</f>
        <v/>
      </c>
      <c r="K3143" t="inlineStr">
        <is>
          <t>office outreach touch 3</t>
        </is>
      </c>
    </row>
    <row r="3144">
      <c r="A3144" s="17">
        <f>IF(B3144="","",B3144+(14*1000+293)/10000000)</f>
        <v/>
      </c>
      <c r="B3144" s="23">
        <f>IF(AND(IFERROR(N(INDEX(Clay_Offices!$A$2:$FZ$601,293,Sync!$C$13)),0)&gt;0,IFERROR(INDEX(Clay_Offices!$A$2:$FZ$601,293,Sync!$C$5)&amp;"","")&lt;&gt;"",OR(LEFT(IFERROR(INDEX(Clay_Offices!$A$2:$FZ$601,293,Sync!$C$5)&amp;"",""),6)&lt;&gt;"SAMPLE",Config!$B$19="Y")),IFERROR(N(INDEX(Clay_Offices!$A$2:$FZ$601,293,Sync!$C$13)),0),"")</f>
        <v/>
      </c>
      <c r="C3144" s="17">
        <f>IF(B3144="","","office")</f>
        <v/>
      </c>
      <c r="D3144" s="17">
        <f>IF(B3144="","",IFERROR(INDEX(Clay_Offices!$A$2:$FZ$601,293,Sync!$C$5)&amp;"",""))</f>
        <v/>
      </c>
      <c r="E3144" s="17">
        <f>IF(B3144="","",IFERROR(INDEX(Clay_Offices!$A$2:$FZ$601,293,Sync!$C$6)&amp;"",""))</f>
        <v/>
      </c>
      <c r="F3144" s="17">
        <f>IF(B3144="","","outreach_sent")</f>
        <v/>
      </c>
      <c r="G3144" s="17">
        <f>IF(B3144="","","")</f>
        <v/>
      </c>
      <c r="H3144" s="17">
        <f>IF(B3144="","","")</f>
        <v/>
      </c>
      <c r="I3144" s="17">
        <f>IF(B3144="","","")</f>
        <v/>
      </c>
      <c r="J3144" s="17">
        <f>IF(B3144="","","touch_3; "&amp;IFERROR(INDEX(Clay_Offices!$A$2:$FZ$601,293,Sync!$C$10)&amp;"","")&amp;"; "&amp;IFERROR(INDEX(Clay_Offices!$A$2:$FZ$601,293,Sync!$C$9)&amp;"",""))</f>
        <v/>
      </c>
      <c r="K3144" t="inlineStr">
        <is>
          <t>office outreach touch 3</t>
        </is>
      </c>
    </row>
    <row r="3145">
      <c r="A3145" s="17">
        <f>IF(B3145="","",B3145+(14*1000+294)/10000000)</f>
        <v/>
      </c>
      <c r="B3145" s="23">
        <f>IF(AND(IFERROR(N(INDEX(Clay_Offices!$A$2:$FZ$601,294,Sync!$C$13)),0)&gt;0,IFERROR(INDEX(Clay_Offices!$A$2:$FZ$601,294,Sync!$C$5)&amp;"","")&lt;&gt;"",OR(LEFT(IFERROR(INDEX(Clay_Offices!$A$2:$FZ$601,294,Sync!$C$5)&amp;"",""),6)&lt;&gt;"SAMPLE",Config!$B$19="Y")),IFERROR(N(INDEX(Clay_Offices!$A$2:$FZ$601,294,Sync!$C$13)),0),"")</f>
        <v/>
      </c>
      <c r="C3145" s="17">
        <f>IF(B3145="","","office")</f>
        <v/>
      </c>
      <c r="D3145" s="17">
        <f>IF(B3145="","",IFERROR(INDEX(Clay_Offices!$A$2:$FZ$601,294,Sync!$C$5)&amp;"",""))</f>
        <v/>
      </c>
      <c r="E3145" s="17">
        <f>IF(B3145="","",IFERROR(INDEX(Clay_Offices!$A$2:$FZ$601,294,Sync!$C$6)&amp;"",""))</f>
        <v/>
      </c>
      <c r="F3145" s="17">
        <f>IF(B3145="","","outreach_sent")</f>
        <v/>
      </c>
      <c r="G3145" s="17">
        <f>IF(B3145="","","")</f>
        <v/>
      </c>
      <c r="H3145" s="17">
        <f>IF(B3145="","","")</f>
        <v/>
      </c>
      <c r="I3145" s="17">
        <f>IF(B3145="","","")</f>
        <v/>
      </c>
      <c r="J3145" s="17">
        <f>IF(B3145="","","touch_3; "&amp;IFERROR(INDEX(Clay_Offices!$A$2:$FZ$601,294,Sync!$C$10)&amp;"","")&amp;"; "&amp;IFERROR(INDEX(Clay_Offices!$A$2:$FZ$601,294,Sync!$C$9)&amp;"",""))</f>
        <v/>
      </c>
      <c r="K3145" t="inlineStr">
        <is>
          <t>office outreach touch 3</t>
        </is>
      </c>
    </row>
    <row r="3146">
      <c r="A3146" s="17">
        <f>IF(B3146="","",B3146+(14*1000+295)/10000000)</f>
        <v/>
      </c>
      <c r="B3146" s="23">
        <f>IF(AND(IFERROR(N(INDEX(Clay_Offices!$A$2:$FZ$601,295,Sync!$C$13)),0)&gt;0,IFERROR(INDEX(Clay_Offices!$A$2:$FZ$601,295,Sync!$C$5)&amp;"","")&lt;&gt;"",OR(LEFT(IFERROR(INDEX(Clay_Offices!$A$2:$FZ$601,295,Sync!$C$5)&amp;"",""),6)&lt;&gt;"SAMPLE",Config!$B$19="Y")),IFERROR(N(INDEX(Clay_Offices!$A$2:$FZ$601,295,Sync!$C$13)),0),"")</f>
        <v/>
      </c>
      <c r="C3146" s="17">
        <f>IF(B3146="","","office")</f>
        <v/>
      </c>
      <c r="D3146" s="17">
        <f>IF(B3146="","",IFERROR(INDEX(Clay_Offices!$A$2:$FZ$601,295,Sync!$C$5)&amp;"",""))</f>
        <v/>
      </c>
      <c r="E3146" s="17">
        <f>IF(B3146="","",IFERROR(INDEX(Clay_Offices!$A$2:$FZ$601,295,Sync!$C$6)&amp;"",""))</f>
        <v/>
      </c>
      <c r="F3146" s="17">
        <f>IF(B3146="","","outreach_sent")</f>
        <v/>
      </c>
      <c r="G3146" s="17">
        <f>IF(B3146="","","")</f>
        <v/>
      </c>
      <c r="H3146" s="17">
        <f>IF(B3146="","","")</f>
        <v/>
      </c>
      <c r="I3146" s="17">
        <f>IF(B3146="","","")</f>
        <v/>
      </c>
      <c r="J3146" s="17">
        <f>IF(B3146="","","touch_3; "&amp;IFERROR(INDEX(Clay_Offices!$A$2:$FZ$601,295,Sync!$C$10)&amp;"","")&amp;"; "&amp;IFERROR(INDEX(Clay_Offices!$A$2:$FZ$601,295,Sync!$C$9)&amp;"",""))</f>
        <v/>
      </c>
      <c r="K3146" t="inlineStr">
        <is>
          <t>office outreach touch 3</t>
        </is>
      </c>
    </row>
    <row r="3147">
      <c r="A3147" s="17">
        <f>IF(B3147="","",B3147+(14*1000+296)/10000000)</f>
        <v/>
      </c>
      <c r="B3147" s="23">
        <f>IF(AND(IFERROR(N(INDEX(Clay_Offices!$A$2:$FZ$601,296,Sync!$C$13)),0)&gt;0,IFERROR(INDEX(Clay_Offices!$A$2:$FZ$601,296,Sync!$C$5)&amp;"","")&lt;&gt;"",OR(LEFT(IFERROR(INDEX(Clay_Offices!$A$2:$FZ$601,296,Sync!$C$5)&amp;"",""),6)&lt;&gt;"SAMPLE",Config!$B$19="Y")),IFERROR(N(INDEX(Clay_Offices!$A$2:$FZ$601,296,Sync!$C$13)),0),"")</f>
        <v/>
      </c>
      <c r="C3147" s="17">
        <f>IF(B3147="","","office")</f>
        <v/>
      </c>
      <c r="D3147" s="17">
        <f>IF(B3147="","",IFERROR(INDEX(Clay_Offices!$A$2:$FZ$601,296,Sync!$C$5)&amp;"",""))</f>
        <v/>
      </c>
      <c r="E3147" s="17">
        <f>IF(B3147="","",IFERROR(INDEX(Clay_Offices!$A$2:$FZ$601,296,Sync!$C$6)&amp;"",""))</f>
        <v/>
      </c>
      <c r="F3147" s="17">
        <f>IF(B3147="","","outreach_sent")</f>
        <v/>
      </c>
      <c r="G3147" s="17">
        <f>IF(B3147="","","")</f>
        <v/>
      </c>
      <c r="H3147" s="17">
        <f>IF(B3147="","","")</f>
        <v/>
      </c>
      <c r="I3147" s="17">
        <f>IF(B3147="","","")</f>
        <v/>
      </c>
      <c r="J3147" s="17">
        <f>IF(B3147="","","touch_3; "&amp;IFERROR(INDEX(Clay_Offices!$A$2:$FZ$601,296,Sync!$C$10)&amp;"","")&amp;"; "&amp;IFERROR(INDEX(Clay_Offices!$A$2:$FZ$601,296,Sync!$C$9)&amp;"",""))</f>
        <v/>
      </c>
      <c r="K3147" t="inlineStr">
        <is>
          <t>office outreach touch 3</t>
        </is>
      </c>
    </row>
    <row r="3148">
      <c r="A3148" s="17">
        <f>IF(B3148="","",B3148+(14*1000+297)/10000000)</f>
        <v/>
      </c>
      <c r="B3148" s="23">
        <f>IF(AND(IFERROR(N(INDEX(Clay_Offices!$A$2:$FZ$601,297,Sync!$C$13)),0)&gt;0,IFERROR(INDEX(Clay_Offices!$A$2:$FZ$601,297,Sync!$C$5)&amp;"","")&lt;&gt;"",OR(LEFT(IFERROR(INDEX(Clay_Offices!$A$2:$FZ$601,297,Sync!$C$5)&amp;"",""),6)&lt;&gt;"SAMPLE",Config!$B$19="Y")),IFERROR(N(INDEX(Clay_Offices!$A$2:$FZ$601,297,Sync!$C$13)),0),"")</f>
        <v/>
      </c>
      <c r="C3148" s="17">
        <f>IF(B3148="","","office")</f>
        <v/>
      </c>
      <c r="D3148" s="17">
        <f>IF(B3148="","",IFERROR(INDEX(Clay_Offices!$A$2:$FZ$601,297,Sync!$C$5)&amp;"",""))</f>
        <v/>
      </c>
      <c r="E3148" s="17">
        <f>IF(B3148="","",IFERROR(INDEX(Clay_Offices!$A$2:$FZ$601,297,Sync!$C$6)&amp;"",""))</f>
        <v/>
      </c>
      <c r="F3148" s="17">
        <f>IF(B3148="","","outreach_sent")</f>
        <v/>
      </c>
      <c r="G3148" s="17">
        <f>IF(B3148="","","")</f>
        <v/>
      </c>
      <c r="H3148" s="17">
        <f>IF(B3148="","","")</f>
        <v/>
      </c>
      <c r="I3148" s="17">
        <f>IF(B3148="","","")</f>
        <v/>
      </c>
      <c r="J3148" s="17">
        <f>IF(B3148="","","touch_3; "&amp;IFERROR(INDEX(Clay_Offices!$A$2:$FZ$601,297,Sync!$C$10)&amp;"","")&amp;"; "&amp;IFERROR(INDEX(Clay_Offices!$A$2:$FZ$601,297,Sync!$C$9)&amp;"",""))</f>
        <v/>
      </c>
      <c r="K3148" t="inlineStr">
        <is>
          <t>office outreach touch 3</t>
        </is>
      </c>
    </row>
    <row r="3149">
      <c r="A3149" s="17">
        <f>IF(B3149="","",B3149+(14*1000+298)/10000000)</f>
        <v/>
      </c>
      <c r="B3149" s="23">
        <f>IF(AND(IFERROR(N(INDEX(Clay_Offices!$A$2:$FZ$601,298,Sync!$C$13)),0)&gt;0,IFERROR(INDEX(Clay_Offices!$A$2:$FZ$601,298,Sync!$C$5)&amp;"","")&lt;&gt;"",OR(LEFT(IFERROR(INDEX(Clay_Offices!$A$2:$FZ$601,298,Sync!$C$5)&amp;"",""),6)&lt;&gt;"SAMPLE",Config!$B$19="Y")),IFERROR(N(INDEX(Clay_Offices!$A$2:$FZ$601,298,Sync!$C$13)),0),"")</f>
        <v/>
      </c>
      <c r="C3149" s="17">
        <f>IF(B3149="","","office")</f>
        <v/>
      </c>
      <c r="D3149" s="17">
        <f>IF(B3149="","",IFERROR(INDEX(Clay_Offices!$A$2:$FZ$601,298,Sync!$C$5)&amp;"",""))</f>
        <v/>
      </c>
      <c r="E3149" s="17">
        <f>IF(B3149="","",IFERROR(INDEX(Clay_Offices!$A$2:$FZ$601,298,Sync!$C$6)&amp;"",""))</f>
        <v/>
      </c>
      <c r="F3149" s="17">
        <f>IF(B3149="","","outreach_sent")</f>
        <v/>
      </c>
      <c r="G3149" s="17">
        <f>IF(B3149="","","")</f>
        <v/>
      </c>
      <c r="H3149" s="17">
        <f>IF(B3149="","","")</f>
        <v/>
      </c>
      <c r="I3149" s="17">
        <f>IF(B3149="","","")</f>
        <v/>
      </c>
      <c r="J3149" s="17">
        <f>IF(B3149="","","touch_3; "&amp;IFERROR(INDEX(Clay_Offices!$A$2:$FZ$601,298,Sync!$C$10)&amp;"","")&amp;"; "&amp;IFERROR(INDEX(Clay_Offices!$A$2:$FZ$601,298,Sync!$C$9)&amp;"",""))</f>
        <v/>
      </c>
      <c r="K3149" t="inlineStr">
        <is>
          <t>office outreach touch 3</t>
        </is>
      </c>
    </row>
    <row r="3150">
      <c r="A3150" s="17">
        <f>IF(B3150="","",B3150+(14*1000+299)/10000000)</f>
        <v/>
      </c>
      <c r="B3150" s="23">
        <f>IF(AND(IFERROR(N(INDEX(Clay_Offices!$A$2:$FZ$601,299,Sync!$C$13)),0)&gt;0,IFERROR(INDEX(Clay_Offices!$A$2:$FZ$601,299,Sync!$C$5)&amp;"","")&lt;&gt;"",OR(LEFT(IFERROR(INDEX(Clay_Offices!$A$2:$FZ$601,299,Sync!$C$5)&amp;"",""),6)&lt;&gt;"SAMPLE",Config!$B$19="Y")),IFERROR(N(INDEX(Clay_Offices!$A$2:$FZ$601,299,Sync!$C$13)),0),"")</f>
        <v/>
      </c>
      <c r="C3150" s="17">
        <f>IF(B3150="","","office")</f>
        <v/>
      </c>
      <c r="D3150" s="17">
        <f>IF(B3150="","",IFERROR(INDEX(Clay_Offices!$A$2:$FZ$601,299,Sync!$C$5)&amp;"",""))</f>
        <v/>
      </c>
      <c r="E3150" s="17">
        <f>IF(B3150="","",IFERROR(INDEX(Clay_Offices!$A$2:$FZ$601,299,Sync!$C$6)&amp;"",""))</f>
        <v/>
      </c>
      <c r="F3150" s="17">
        <f>IF(B3150="","","outreach_sent")</f>
        <v/>
      </c>
      <c r="G3150" s="17">
        <f>IF(B3150="","","")</f>
        <v/>
      </c>
      <c r="H3150" s="17">
        <f>IF(B3150="","","")</f>
        <v/>
      </c>
      <c r="I3150" s="17">
        <f>IF(B3150="","","")</f>
        <v/>
      </c>
      <c r="J3150" s="17">
        <f>IF(B3150="","","touch_3; "&amp;IFERROR(INDEX(Clay_Offices!$A$2:$FZ$601,299,Sync!$C$10)&amp;"","")&amp;"; "&amp;IFERROR(INDEX(Clay_Offices!$A$2:$FZ$601,299,Sync!$C$9)&amp;"",""))</f>
        <v/>
      </c>
      <c r="K3150" t="inlineStr">
        <is>
          <t>office outreach touch 3</t>
        </is>
      </c>
    </row>
    <row r="3151">
      <c r="A3151" s="17">
        <f>IF(B3151="","",B3151+(14*1000+300)/10000000)</f>
        <v/>
      </c>
      <c r="B3151" s="23">
        <f>IF(AND(IFERROR(N(INDEX(Clay_Offices!$A$2:$FZ$601,300,Sync!$C$13)),0)&gt;0,IFERROR(INDEX(Clay_Offices!$A$2:$FZ$601,300,Sync!$C$5)&amp;"","")&lt;&gt;"",OR(LEFT(IFERROR(INDEX(Clay_Offices!$A$2:$FZ$601,300,Sync!$C$5)&amp;"",""),6)&lt;&gt;"SAMPLE",Config!$B$19="Y")),IFERROR(N(INDEX(Clay_Offices!$A$2:$FZ$601,300,Sync!$C$13)),0),"")</f>
        <v/>
      </c>
      <c r="C3151" s="17">
        <f>IF(B3151="","","office")</f>
        <v/>
      </c>
      <c r="D3151" s="17">
        <f>IF(B3151="","",IFERROR(INDEX(Clay_Offices!$A$2:$FZ$601,300,Sync!$C$5)&amp;"",""))</f>
        <v/>
      </c>
      <c r="E3151" s="17">
        <f>IF(B3151="","",IFERROR(INDEX(Clay_Offices!$A$2:$FZ$601,300,Sync!$C$6)&amp;"",""))</f>
        <v/>
      </c>
      <c r="F3151" s="17">
        <f>IF(B3151="","","outreach_sent")</f>
        <v/>
      </c>
      <c r="G3151" s="17">
        <f>IF(B3151="","","")</f>
        <v/>
      </c>
      <c r="H3151" s="17">
        <f>IF(B3151="","","")</f>
        <v/>
      </c>
      <c r="I3151" s="17">
        <f>IF(B3151="","","")</f>
        <v/>
      </c>
      <c r="J3151" s="17">
        <f>IF(B3151="","","touch_3; "&amp;IFERROR(INDEX(Clay_Offices!$A$2:$FZ$601,300,Sync!$C$10)&amp;"","")&amp;"; "&amp;IFERROR(INDEX(Clay_Offices!$A$2:$FZ$601,300,Sync!$C$9)&amp;"",""))</f>
        <v/>
      </c>
      <c r="K3151" t="inlineStr">
        <is>
          <t>office outreach touch 3</t>
        </is>
      </c>
    </row>
    <row r="3152">
      <c r="A3152" s="17">
        <f>IF(B3152="","",B3152+(14*1000+301)/10000000)</f>
        <v/>
      </c>
      <c r="B3152" s="23">
        <f>IF(AND(IFERROR(N(INDEX(Clay_Offices!$A$2:$FZ$601,301,Sync!$C$13)),0)&gt;0,IFERROR(INDEX(Clay_Offices!$A$2:$FZ$601,301,Sync!$C$5)&amp;"","")&lt;&gt;"",OR(LEFT(IFERROR(INDEX(Clay_Offices!$A$2:$FZ$601,301,Sync!$C$5)&amp;"",""),6)&lt;&gt;"SAMPLE",Config!$B$19="Y")),IFERROR(N(INDEX(Clay_Offices!$A$2:$FZ$601,301,Sync!$C$13)),0),"")</f>
        <v/>
      </c>
      <c r="C3152" s="17">
        <f>IF(B3152="","","office")</f>
        <v/>
      </c>
      <c r="D3152" s="17">
        <f>IF(B3152="","",IFERROR(INDEX(Clay_Offices!$A$2:$FZ$601,301,Sync!$C$5)&amp;"",""))</f>
        <v/>
      </c>
      <c r="E3152" s="17">
        <f>IF(B3152="","",IFERROR(INDEX(Clay_Offices!$A$2:$FZ$601,301,Sync!$C$6)&amp;"",""))</f>
        <v/>
      </c>
      <c r="F3152" s="17">
        <f>IF(B3152="","","outreach_sent")</f>
        <v/>
      </c>
      <c r="G3152" s="17">
        <f>IF(B3152="","","")</f>
        <v/>
      </c>
      <c r="H3152" s="17">
        <f>IF(B3152="","","")</f>
        <v/>
      </c>
      <c r="I3152" s="17">
        <f>IF(B3152="","","")</f>
        <v/>
      </c>
      <c r="J3152" s="17">
        <f>IF(B3152="","","touch_3; "&amp;IFERROR(INDEX(Clay_Offices!$A$2:$FZ$601,301,Sync!$C$10)&amp;"","")&amp;"; "&amp;IFERROR(INDEX(Clay_Offices!$A$2:$FZ$601,301,Sync!$C$9)&amp;"",""))</f>
        <v/>
      </c>
      <c r="K3152" t="inlineStr">
        <is>
          <t>office outreach touch 3</t>
        </is>
      </c>
    </row>
    <row r="3153">
      <c r="A3153" s="17">
        <f>IF(B3153="","",B3153+(14*1000+302)/10000000)</f>
        <v/>
      </c>
      <c r="B3153" s="23">
        <f>IF(AND(IFERROR(N(INDEX(Clay_Offices!$A$2:$FZ$601,302,Sync!$C$13)),0)&gt;0,IFERROR(INDEX(Clay_Offices!$A$2:$FZ$601,302,Sync!$C$5)&amp;"","")&lt;&gt;"",OR(LEFT(IFERROR(INDEX(Clay_Offices!$A$2:$FZ$601,302,Sync!$C$5)&amp;"",""),6)&lt;&gt;"SAMPLE",Config!$B$19="Y")),IFERROR(N(INDEX(Clay_Offices!$A$2:$FZ$601,302,Sync!$C$13)),0),"")</f>
        <v/>
      </c>
      <c r="C3153" s="17">
        <f>IF(B3153="","","office")</f>
        <v/>
      </c>
      <c r="D3153" s="17">
        <f>IF(B3153="","",IFERROR(INDEX(Clay_Offices!$A$2:$FZ$601,302,Sync!$C$5)&amp;"",""))</f>
        <v/>
      </c>
      <c r="E3153" s="17">
        <f>IF(B3153="","",IFERROR(INDEX(Clay_Offices!$A$2:$FZ$601,302,Sync!$C$6)&amp;"",""))</f>
        <v/>
      </c>
      <c r="F3153" s="17">
        <f>IF(B3153="","","outreach_sent")</f>
        <v/>
      </c>
      <c r="G3153" s="17">
        <f>IF(B3153="","","")</f>
        <v/>
      </c>
      <c r="H3153" s="17">
        <f>IF(B3153="","","")</f>
        <v/>
      </c>
      <c r="I3153" s="17">
        <f>IF(B3153="","","")</f>
        <v/>
      </c>
      <c r="J3153" s="17">
        <f>IF(B3153="","","touch_3; "&amp;IFERROR(INDEX(Clay_Offices!$A$2:$FZ$601,302,Sync!$C$10)&amp;"","")&amp;"; "&amp;IFERROR(INDEX(Clay_Offices!$A$2:$FZ$601,302,Sync!$C$9)&amp;"",""))</f>
        <v/>
      </c>
      <c r="K3153" t="inlineStr">
        <is>
          <t>office outreach touch 3</t>
        </is>
      </c>
    </row>
    <row r="3154">
      <c r="A3154" s="17">
        <f>IF(B3154="","",B3154+(14*1000+303)/10000000)</f>
        <v/>
      </c>
      <c r="B3154" s="23">
        <f>IF(AND(IFERROR(N(INDEX(Clay_Offices!$A$2:$FZ$601,303,Sync!$C$13)),0)&gt;0,IFERROR(INDEX(Clay_Offices!$A$2:$FZ$601,303,Sync!$C$5)&amp;"","")&lt;&gt;"",OR(LEFT(IFERROR(INDEX(Clay_Offices!$A$2:$FZ$601,303,Sync!$C$5)&amp;"",""),6)&lt;&gt;"SAMPLE",Config!$B$19="Y")),IFERROR(N(INDEX(Clay_Offices!$A$2:$FZ$601,303,Sync!$C$13)),0),"")</f>
        <v/>
      </c>
      <c r="C3154" s="17">
        <f>IF(B3154="","","office")</f>
        <v/>
      </c>
      <c r="D3154" s="17">
        <f>IF(B3154="","",IFERROR(INDEX(Clay_Offices!$A$2:$FZ$601,303,Sync!$C$5)&amp;"",""))</f>
        <v/>
      </c>
      <c r="E3154" s="17">
        <f>IF(B3154="","",IFERROR(INDEX(Clay_Offices!$A$2:$FZ$601,303,Sync!$C$6)&amp;"",""))</f>
        <v/>
      </c>
      <c r="F3154" s="17">
        <f>IF(B3154="","","outreach_sent")</f>
        <v/>
      </c>
      <c r="G3154" s="17">
        <f>IF(B3154="","","")</f>
        <v/>
      </c>
      <c r="H3154" s="17">
        <f>IF(B3154="","","")</f>
        <v/>
      </c>
      <c r="I3154" s="17">
        <f>IF(B3154="","","")</f>
        <v/>
      </c>
      <c r="J3154" s="17">
        <f>IF(B3154="","","touch_3; "&amp;IFERROR(INDEX(Clay_Offices!$A$2:$FZ$601,303,Sync!$C$10)&amp;"","")&amp;"; "&amp;IFERROR(INDEX(Clay_Offices!$A$2:$FZ$601,303,Sync!$C$9)&amp;"",""))</f>
        <v/>
      </c>
      <c r="K3154" t="inlineStr">
        <is>
          <t>office outreach touch 3</t>
        </is>
      </c>
    </row>
    <row r="3155">
      <c r="A3155" s="17">
        <f>IF(B3155="","",B3155+(14*1000+304)/10000000)</f>
        <v/>
      </c>
      <c r="B3155" s="23">
        <f>IF(AND(IFERROR(N(INDEX(Clay_Offices!$A$2:$FZ$601,304,Sync!$C$13)),0)&gt;0,IFERROR(INDEX(Clay_Offices!$A$2:$FZ$601,304,Sync!$C$5)&amp;"","")&lt;&gt;"",OR(LEFT(IFERROR(INDEX(Clay_Offices!$A$2:$FZ$601,304,Sync!$C$5)&amp;"",""),6)&lt;&gt;"SAMPLE",Config!$B$19="Y")),IFERROR(N(INDEX(Clay_Offices!$A$2:$FZ$601,304,Sync!$C$13)),0),"")</f>
        <v/>
      </c>
      <c r="C3155" s="17">
        <f>IF(B3155="","","office")</f>
        <v/>
      </c>
      <c r="D3155" s="17">
        <f>IF(B3155="","",IFERROR(INDEX(Clay_Offices!$A$2:$FZ$601,304,Sync!$C$5)&amp;"",""))</f>
        <v/>
      </c>
      <c r="E3155" s="17">
        <f>IF(B3155="","",IFERROR(INDEX(Clay_Offices!$A$2:$FZ$601,304,Sync!$C$6)&amp;"",""))</f>
        <v/>
      </c>
      <c r="F3155" s="17">
        <f>IF(B3155="","","outreach_sent")</f>
        <v/>
      </c>
      <c r="G3155" s="17">
        <f>IF(B3155="","","")</f>
        <v/>
      </c>
      <c r="H3155" s="17">
        <f>IF(B3155="","","")</f>
        <v/>
      </c>
      <c r="I3155" s="17">
        <f>IF(B3155="","","")</f>
        <v/>
      </c>
      <c r="J3155" s="17">
        <f>IF(B3155="","","touch_3; "&amp;IFERROR(INDEX(Clay_Offices!$A$2:$FZ$601,304,Sync!$C$10)&amp;"","")&amp;"; "&amp;IFERROR(INDEX(Clay_Offices!$A$2:$FZ$601,304,Sync!$C$9)&amp;"",""))</f>
        <v/>
      </c>
      <c r="K3155" t="inlineStr">
        <is>
          <t>office outreach touch 3</t>
        </is>
      </c>
    </row>
    <row r="3156">
      <c r="A3156" s="17">
        <f>IF(B3156="","",B3156+(14*1000+305)/10000000)</f>
        <v/>
      </c>
      <c r="B3156" s="23">
        <f>IF(AND(IFERROR(N(INDEX(Clay_Offices!$A$2:$FZ$601,305,Sync!$C$13)),0)&gt;0,IFERROR(INDEX(Clay_Offices!$A$2:$FZ$601,305,Sync!$C$5)&amp;"","")&lt;&gt;"",OR(LEFT(IFERROR(INDEX(Clay_Offices!$A$2:$FZ$601,305,Sync!$C$5)&amp;"",""),6)&lt;&gt;"SAMPLE",Config!$B$19="Y")),IFERROR(N(INDEX(Clay_Offices!$A$2:$FZ$601,305,Sync!$C$13)),0),"")</f>
        <v/>
      </c>
      <c r="C3156" s="17">
        <f>IF(B3156="","","office")</f>
        <v/>
      </c>
      <c r="D3156" s="17">
        <f>IF(B3156="","",IFERROR(INDEX(Clay_Offices!$A$2:$FZ$601,305,Sync!$C$5)&amp;"",""))</f>
        <v/>
      </c>
      <c r="E3156" s="17">
        <f>IF(B3156="","",IFERROR(INDEX(Clay_Offices!$A$2:$FZ$601,305,Sync!$C$6)&amp;"",""))</f>
        <v/>
      </c>
      <c r="F3156" s="17">
        <f>IF(B3156="","","outreach_sent")</f>
        <v/>
      </c>
      <c r="G3156" s="17">
        <f>IF(B3156="","","")</f>
        <v/>
      </c>
      <c r="H3156" s="17">
        <f>IF(B3156="","","")</f>
        <v/>
      </c>
      <c r="I3156" s="17">
        <f>IF(B3156="","","")</f>
        <v/>
      </c>
      <c r="J3156" s="17">
        <f>IF(B3156="","","touch_3; "&amp;IFERROR(INDEX(Clay_Offices!$A$2:$FZ$601,305,Sync!$C$10)&amp;"","")&amp;"; "&amp;IFERROR(INDEX(Clay_Offices!$A$2:$FZ$601,305,Sync!$C$9)&amp;"",""))</f>
        <v/>
      </c>
      <c r="K3156" t="inlineStr">
        <is>
          <t>office outreach touch 3</t>
        </is>
      </c>
    </row>
    <row r="3157">
      <c r="A3157" s="17">
        <f>IF(B3157="","",B3157+(14*1000+306)/10000000)</f>
        <v/>
      </c>
      <c r="B3157" s="23">
        <f>IF(AND(IFERROR(N(INDEX(Clay_Offices!$A$2:$FZ$601,306,Sync!$C$13)),0)&gt;0,IFERROR(INDEX(Clay_Offices!$A$2:$FZ$601,306,Sync!$C$5)&amp;"","")&lt;&gt;"",OR(LEFT(IFERROR(INDEX(Clay_Offices!$A$2:$FZ$601,306,Sync!$C$5)&amp;"",""),6)&lt;&gt;"SAMPLE",Config!$B$19="Y")),IFERROR(N(INDEX(Clay_Offices!$A$2:$FZ$601,306,Sync!$C$13)),0),"")</f>
        <v/>
      </c>
      <c r="C3157" s="17">
        <f>IF(B3157="","","office")</f>
        <v/>
      </c>
      <c r="D3157" s="17">
        <f>IF(B3157="","",IFERROR(INDEX(Clay_Offices!$A$2:$FZ$601,306,Sync!$C$5)&amp;"",""))</f>
        <v/>
      </c>
      <c r="E3157" s="17">
        <f>IF(B3157="","",IFERROR(INDEX(Clay_Offices!$A$2:$FZ$601,306,Sync!$C$6)&amp;"",""))</f>
        <v/>
      </c>
      <c r="F3157" s="17">
        <f>IF(B3157="","","outreach_sent")</f>
        <v/>
      </c>
      <c r="G3157" s="17">
        <f>IF(B3157="","","")</f>
        <v/>
      </c>
      <c r="H3157" s="17">
        <f>IF(B3157="","","")</f>
        <v/>
      </c>
      <c r="I3157" s="17">
        <f>IF(B3157="","","")</f>
        <v/>
      </c>
      <c r="J3157" s="17">
        <f>IF(B3157="","","touch_3; "&amp;IFERROR(INDEX(Clay_Offices!$A$2:$FZ$601,306,Sync!$C$10)&amp;"","")&amp;"; "&amp;IFERROR(INDEX(Clay_Offices!$A$2:$FZ$601,306,Sync!$C$9)&amp;"",""))</f>
        <v/>
      </c>
      <c r="K3157" t="inlineStr">
        <is>
          <t>office outreach touch 3</t>
        </is>
      </c>
    </row>
    <row r="3158">
      <c r="A3158" s="17">
        <f>IF(B3158="","",B3158+(14*1000+307)/10000000)</f>
        <v/>
      </c>
      <c r="B3158" s="23">
        <f>IF(AND(IFERROR(N(INDEX(Clay_Offices!$A$2:$FZ$601,307,Sync!$C$13)),0)&gt;0,IFERROR(INDEX(Clay_Offices!$A$2:$FZ$601,307,Sync!$C$5)&amp;"","")&lt;&gt;"",OR(LEFT(IFERROR(INDEX(Clay_Offices!$A$2:$FZ$601,307,Sync!$C$5)&amp;"",""),6)&lt;&gt;"SAMPLE",Config!$B$19="Y")),IFERROR(N(INDEX(Clay_Offices!$A$2:$FZ$601,307,Sync!$C$13)),0),"")</f>
        <v/>
      </c>
      <c r="C3158" s="17">
        <f>IF(B3158="","","office")</f>
        <v/>
      </c>
      <c r="D3158" s="17">
        <f>IF(B3158="","",IFERROR(INDEX(Clay_Offices!$A$2:$FZ$601,307,Sync!$C$5)&amp;"",""))</f>
        <v/>
      </c>
      <c r="E3158" s="17">
        <f>IF(B3158="","",IFERROR(INDEX(Clay_Offices!$A$2:$FZ$601,307,Sync!$C$6)&amp;"",""))</f>
        <v/>
      </c>
      <c r="F3158" s="17">
        <f>IF(B3158="","","outreach_sent")</f>
        <v/>
      </c>
      <c r="G3158" s="17">
        <f>IF(B3158="","","")</f>
        <v/>
      </c>
      <c r="H3158" s="17">
        <f>IF(B3158="","","")</f>
        <v/>
      </c>
      <c r="I3158" s="17">
        <f>IF(B3158="","","")</f>
        <v/>
      </c>
      <c r="J3158" s="17">
        <f>IF(B3158="","","touch_3; "&amp;IFERROR(INDEX(Clay_Offices!$A$2:$FZ$601,307,Sync!$C$10)&amp;"","")&amp;"; "&amp;IFERROR(INDEX(Clay_Offices!$A$2:$FZ$601,307,Sync!$C$9)&amp;"",""))</f>
        <v/>
      </c>
      <c r="K3158" t="inlineStr">
        <is>
          <t>office outreach touch 3</t>
        </is>
      </c>
    </row>
    <row r="3159">
      <c r="A3159" s="17">
        <f>IF(B3159="","",B3159+(14*1000+308)/10000000)</f>
        <v/>
      </c>
      <c r="B3159" s="23">
        <f>IF(AND(IFERROR(N(INDEX(Clay_Offices!$A$2:$FZ$601,308,Sync!$C$13)),0)&gt;0,IFERROR(INDEX(Clay_Offices!$A$2:$FZ$601,308,Sync!$C$5)&amp;"","")&lt;&gt;"",OR(LEFT(IFERROR(INDEX(Clay_Offices!$A$2:$FZ$601,308,Sync!$C$5)&amp;"",""),6)&lt;&gt;"SAMPLE",Config!$B$19="Y")),IFERROR(N(INDEX(Clay_Offices!$A$2:$FZ$601,308,Sync!$C$13)),0),"")</f>
        <v/>
      </c>
      <c r="C3159" s="17">
        <f>IF(B3159="","","office")</f>
        <v/>
      </c>
      <c r="D3159" s="17">
        <f>IF(B3159="","",IFERROR(INDEX(Clay_Offices!$A$2:$FZ$601,308,Sync!$C$5)&amp;"",""))</f>
        <v/>
      </c>
      <c r="E3159" s="17">
        <f>IF(B3159="","",IFERROR(INDEX(Clay_Offices!$A$2:$FZ$601,308,Sync!$C$6)&amp;"",""))</f>
        <v/>
      </c>
      <c r="F3159" s="17">
        <f>IF(B3159="","","outreach_sent")</f>
        <v/>
      </c>
      <c r="G3159" s="17">
        <f>IF(B3159="","","")</f>
        <v/>
      </c>
      <c r="H3159" s="17">
        <f>IF(B3159="","","")</f>
        <v/>
      </c>
      <c r="I3159" s="17">
        <f>IF(B3159="","","")</f>
        <v/>
      </c>
      <c r="J3159" s="17">
        <f>IF(B3159="","","touch_3; "&amp;IFERROR(INDEX(Clay_Offices!$A$2:$FZ$601,308,Sync!$C$10)&amp;"","")&amp;"; "&amp;IFERROR(INDEX(Clay_Offices!$A$2:$FZ$601,308,Sync!$C$9)&amp;"",""))</f>
        <v/>
      </c>
      <c r="K3159" t="inlineStr">
        <is>
          <t>office outreach touch 3</t>
        </is>
      </c>
    </row>
    <row r="3160">
      <c r="A3160" s="17">
        <f>IF(B3160="","",B3160+(14*1000+309)/10000000)</f>
        <v/>
      </c>
      <c r="B3160" s="23">
        <f>IF(AND(IFERROR(N(INDEX(Clay_Offices!$A$2:$FZ$601,309,Sync!$C$13)),0)&gt;0,IFERROR(INDEX(Clay_Offices!$A$2:$FZ$601,309,Sync!$C$5)&amp;"","")&lt;&gt;"",OR(LEFT(IFERROR(INDEX(Clay_Offices!$A$2:$FZ$601,309,Sync!$C$5)&amp;"",""),6)&lt;&gt;"SAMPLE",Config!$B$19="Y")),IFERROR(N(INDEX(Clay_Offices!$A$2:$FZ$601,309,Sync!$C$13)),0),"")</f>
        <v/>
      </c>
      <c r="C3160" s="17">
        <f>IF(B3160="","","office")</f>
        <v/>
      </c>
      <c r="D3160" s="17">
        <f>IF(B3160="","",IFERROR(INDEX(Clay_Offices!$A$2:$FZ$601,309,Sync!$C$5)&amp;"",""))</f>
        <v/>
      </c>
      <c r="E3160" s="17">
        <f>IF(B3160="","",IFERROR(INDEX(Clay_Offices!$A$2:$FZ$601,309,Sync!$C$6)&amp;"",""))</f>
        <v/>
      </c>
      <c r="F3160" s="17">
        <f>IF(B3160="","","outreach_sent")</f>
        <v/>
      </c>
      <c r="G3160" s="17">
        <f>IF(B3160="","","")</f>
        <v/>
      </c>
      <c r="H3160" s="17">
        <f>IF(B3160="","","")</f>
        <v/>
      </c>
      <c r="I3160" s="17">
        <f>IF(B3160="","","")</f>
        <v/>
      </c>
      <c r="J3160" s="17">
        <f>IF(B3160="","","touch_3; "&amp;IFERROR(INDEX(Clay_Offices!$A$2:$FZ$601,309,Sync!$C$10)&amp;"","")&amp;"; "&amp;IFERROR(INDEX(Clay_Offices!$A$2:$FZ$601,309,Sync!$C$9)&amp;"",""))</f>
        <v/>
      </c>
      <c r="K3160" t="inlineStr">
        <is>
          <t>office outreach touch 3</t>
        </is>
      </c>
    </row>
    <row r="3161">
      <c r="A3161" s="17">
        <f>IF(B3161="","",B3161+(14*1000+310)/10000000)</f>
        <v/>
      </c>
      <c r="B3161" s="23">
        <f>IF(AND(IFERROR(N(INDEX(Clay_Offices!$A$2:$FZ$601,310,Sync!$C$13)),0)&gt;0,IFERROR(INDEX(Clay_Offices!$A$2:$FZ$601,310,Sync!$C$5)&amp;"","")&lt;&gt;"",OR(LEFT(IFERROR(INDEX(Clay_Offices!$A$2:$FZ$601,310,Sync!$C$5)&amp;"",""),6)&lt;&gt;"SAMPLE",Config!$B$19="Y")),IFERROR(N(INDEX(Clay_Offices!$A$2:$FZ$601,310,Sync!$C$13)),0),"")</f>
        <v/>
      </c>
      <c r="C3161" s="17">
        <f>IF(B3161="","","office")</f>
        <v/>
      </c>
      <c r="D3161" s="17">
        <f>IF(B3161="","",IFERROR(INDEX(Clay_Offices!$A$2:$FZ$601,310,Sync!$C$5)&amp;"",""))</f>
        <v/>
      </c>
      <c r="E3161" s="17">
        <f>IF(B3161="","",IFERROR(INDEX(Clay_Offices!$A$2:$FZ$601,310,Sync!$C$6)&amp;"",""))</f>
        <v/>
      </c>
      <c r="F3161" s="17">
        <f>IF(B3161="","","outreach_sent")</f>
        <v/>
      </c>
      <c r="G3161" s="17">
        <f>IF(B3161="","","")</f>
        <v/>
      </c>
      <c r="H3161" s="17">
        <f>IF(B3161="","","")</f>
        <v/>
      </c>
      <c r="I3161" s="17">
        <f>IF(B3161="","","")</f>
        <v/>
      </c>
      <c r="J3161" s="17">
        <f>IF(B3161="","","touch_3; "&amp;IFERROR(INDEX(Clay_Offices!$A$2:$FZ$601,310,Sync!$C$10)&amp;"","")&amp;"; "&amp;IFERROR(INDEX(Clay_Offices!$A$2:$FZ$601,310,Sync!$C$9)&amp;"",""))</f>
        <v/>
      </c>
      <c r="K3161" t="inlineStr">
        <is>
          <t>office outreach touch 3</t>
        </is>
      </c>
    </row>
    <row r="3162">
      <c r="A3162" s="17">
        <f>IF(B3162="","",B3162+(14*1000+311)/10000000)</f>
        <v/>
      </c>
      <c r="B3162" s="23">
        <f>IF(AND(IFERROR(N(INDEX(Clay_Offices!$A$2:$FZ$601,311,Sync!$C$13)),0)&gt;0,IFERROR(INDEX(Clay_Offices!$A$2:$FZ$601,311,Sync!$C$5)&amp;"","")&lt;&gt;"",OR(LEFT(IFERROR(INDEX(Clay_Offices!$A$2:$FZ$601,311,Sync!$C$5)&amp;"",""),6)&lt;&gt;"SAMPLE",Config!$B$19="Y")),IFERROR(N(INDEX(Clay_Offices!$A$2:$FZ$601,311,Sync!$C$13)),0),"")</f>
        <v/>
      </c>
      <c r="C3162" s="17">
        <f>IF(B3162="","","office")</f>
        <v/>
      </c>
      <c r="D3162" s="17">
        <f>IF(B3162="","",IFERROR(INDEX(Clay_Offices!$A$2:$FZ$601,311,Sync!$C$5)&amp;"",""))</f>
        <v/>
      </c>
      <c r="E3162" s="17">
        <f>IF(B3162="","",IFERROR(INDEX(Clay_Offices!$A$2:$FZ$601,311,Sync!$C$6)&amp;"",""))</f>
        <v/>
      </c>
      <c r="F3162" s="17">
        <f>IF(B3162="","","outreach_sent")</f>
        <v/>
      </c>
      <c r="G3162" s="17">
        <f>IF(B3162="","","")</f>
        <v/>
      </c>
      <c r="H3162" s="17">
        <f>IF(B3162="","","")</f>
        <v/>
      </c>
      <c r="I3162" s="17">
        <f>IF(B3162="","","")</f>
        <v/>
      </c>
      <c r="J3162" s="17">
        <f>IF(B3162="","","touch_3; "&amp;IFERROR(INDEX(Clay_Offices!$A$2:$FZ$601,311,Sync!$C$10)&amp;"","")&amp;"; "&amp;IFERROR(INDEX(Clay_Offices!$A$2:$FZ$601,311,Sync!$C$9)&amp;"",""))</f>
        <v/>
      </c>
      <c r="K3162" t="inlineStr">
        <is>
          <t>office outreach touch 3</t>
        </is>
      </c>
    </row>
    <row r="3163">
      <c r="A3163" s="17">
        <f>IF(B3163="","",B3163+(14*1000+312)/10000000)</f>
        <v/>
      </c>
      <c r="B3163" s="23">
        <f>IF(AND(IFERROR(N(INDEX(Clay_Offices!$A$2:$FZ$601,312,Sync!$C$13)),0)&gt;0,IFERROR(INDEX(Clay_Offices!$A$2:$FZ$601,312,Sync!$C$5)&amp;"","")&lt;&gt;"",OR(LEFT(IFERROR(INDEX(Clay_Offices!$A$2:$FZ$601,312,Sync!$C$5)&amp;"",""),6)&lt;&gt;"SAMPLE",Config!$B$19="Y")),IFERROR(N(INDEX(Clay_Offices!$A$2:$FZ$601,312,Sync!$C$13)),0),"")</f>
        <v/>
      </c>
      <c r="C3163" s="17">
        <f>IF(B3163="","","office")</f>
        <v/>
      </c>
      <c r="D3163" s="17">
        <f>IF(B3163="","",IFERROR(INDEX(Clay_Offices!$A$2:$FZ$601,312,Sync!$C$5)&amp;"",""))</f>
        <v/>
      </c>
      <c r="E3163" s="17">
        <f>IF(B3163="","",IFERROR(INDEX(Clay_Offices!$A$2:$FZ$601,312,Sync!$C$6)&amp;"",""))</f>
        <v/>
      </c>
      <c r="F3163" s="17">
        <f>IF(B3163="","","outreach_sent")</f>
        <v/>
      </c>
      <c r="G3163" s="17">
        <f>IF(B3163="","","")</f>
        <v/>
      </c>
      <c r="H3163" s="17">
        <f>IF(B3163="","","")</f>
        <v/>
      </c>
      <c r="I3163" s="17">
        <f>IF(B3163="","","")</f>
        <v/>
      </c>
      <c r="J3163" s="17">
        <f>IF(B3163="","","touch_3; "&amp;IFERROR(INDEX(Clay_Offices!$A$2:$FZ$601,312,Sync!$C$10)&amp;"","")&amp;"; "&amp;IFERROR(INDEX(Clay_Offices!$A$2:$FZ$601,312,Sync!$C$9)&amp;"",""))</f>
        <v/>
      </c>
      <c r="K3163" t="inlineStr">
        <is>
          <t>office outreach touch 3</t>
        </is>
      </c>
    </row>
    <row r="3164">
      <c r="A3164" s="17">
        <f>IF(B3164="","",B3164+(14*1000+313)/10000000)</f>
        <v/>
      </c>
      <c r="B3164" s="23">
        <f>IF(AND(IFERROR(N(INDEX(Clay_Offices!$A$2:$FZ$601,313,Sync!$C$13)),0)&gt;0,IFERROR(INDEX(Clay_Offices!$A$2:$FZ$601,313,Sync!$C$5)&amp;"","")&lt;&gt;"",OR(LEFT(IFERROR(INDEX(Clay_Offices!$A$2:$FZ$601,313,Sync!$C$5)&amp;"",""),6)&lt;&gt;"SAMPLE",Config!$B$19="Y")),IFERROR(N(INDEX(Clay_Offices!$A$2:$FZ$601,313,Sync!$C$13)),0),"")</f>
        <v/>
      </c>
      <c r="C3164" s="17">
        <f>IF(B3164="","","office")</f>
        <v/>
      </c>
      <c r="D3164" s="17">
        <f>IF(B3164="","",IFERROR(INDEX(Clay_Offices!$A$2:$FZ$601,313,Sync!$C$5)&amp;"",""))</f>
        <v/>
      </c>
      <c r="E3164" s="17">
        <f>IF(B3164="","",IFERROR(INDEX(Clay_Offices!$A$2:$FZ$601,313,Sync!$C$6)&amp;"",""))</f>
        <v/>
      </c>
      <c r="F3164" s="17">
        <f>IF(B3164="","","outreach_sent")</f>
        <v/>
      </c>
      <c r="G3164" s="17">
        <f>IF(B3164="","","")</f>
        <v/>
      </c>
      <c r="H3164" s="17">
        <f>IF(B3164="","","")</f>
        <v/>
      </c>
      <c r="I3164" s="17">
        <f>IF(B3164="","","")</f>
        <v/>
      </c>
      <c r="J3164" s="17">
        <f>IF(B3164="","","touch_3; "&amp;IFERROR(INDEX(Clay_Offices!$A$2:$FZ$601,313,Sync!$C$10)&amp;"","")&amp;"; "&amp;IFERROR(INDEX(Clay_Offices!$A$2:$FZ$601,313,Sync!$C$9)&amp;"",""))</f>
        <v/>
      </c>
      <c r="K3164" t="inlineStr">
        <is>
          <t>office outreach touch 3</t>
        </is>
      </c>
    </row>
    <row r="3165">
      <c r="A3165" s="17">
        <f>IF(B3165="","",B3165+(14*1000+314)/10000000)</f>
        <v/>
      </c>
      <c r="B3165" s="23">
        <f>IF(AND(IFERROR(N(INDEX(Clay_Offices!$A$2:$FZ$601,314,Sync!$C$13)),0)&gt;0,IFERROR(INDEX(Clay_Offices!$A$2:$FZ$601,314,Sync!$C$5)&amp;"","")&lt;&gt;"",OR(LEFT(IFERROR(INDEX(Clay_Offices!$A$2:$FZ$601,314,Sync!$C$5)&amp;"",""),6)&lt;&gt;"SAMPLE",Config!$B$19="Y")),IFERROR(N(INDEX(Clay_Offices!$A$2:$FZ$601,314,Sync!$C$13)),0),"")</f>
        <v/>
      </c>
      <c r="C3165" s="17">
        <f>IF(B3165="","","office")</f>
        <v/>
      </c>
      <c r="D3165" s="17">
        <f>IF(B3165="","",IFERROR(INDEX(Clay_Offices!$A$2:$FZ$601,314,Sync!$C$5)&amp;"",""))</f>
        <v/>
      </c>
      <c r="E3165" s="17">
        <f>IF(B3165="","",IFERROR(INDEX(Clay_Offices!$A$2:$FZ$601,314,Sync!$C$6)&amp;"",""))</f>
        <v/>
      </c>
      <c r="F3165" s="17">
        <f>IF(B3165="","","outreach_sent")</f>
        <v/>
      </c>
      <c r="G3165" s="17">
        <f>IF(B3165="","","")</f>
        <v/>
      </c>
      <c r="H3165" s="17">
        <f>IF(B3165="","","")</f>
        <v/>
      </c>
      <c r="I3165" s="17">
        <f>IF(B3165="","","")</f>
        <v/>
      </c>
      <c r="J3165" s="17">
        <f>IF(B3165="","","touch_3; "&amp;IFERROR(INDEX(Clay_Offices!$A$2:$FZ$601,314,Sync!$C$10)&amp;"","")&amp;"; "&amp;IFERROR(INDEX(Clay_Offices!$A$2:$FZ$601,314,Sync!$C$9)&amp;"",""))</f>
        <v/>
      </c>
      <c r="K3165" t="inlineStr">
        <is>
          <t>office outreach touch 3</t>
        </is>
      </c>
    </row>
    <row r="3166">
      <c r="A3166" s="17">
        <f>IF(B3166="","",B3166+(14*1000+315)/10000000)</f>
        <v/>
      </c>
      <c r="B3166" s="23">
        <f>IF(AND(IFERROR(N(INDEX(Clay_Offices!$A$2:$FZ$601,315,Sync!$C$13)),0)&gt;0,IFERROR(INDEX(Clay_Offices!$A$2:$FZ$601,315,Sync!$C$5)&amp;"","")&lt;&gt;"",OR(LEFT(IFERROR(INDEX(Clay_Offices!$A$2:$FZ$601,315,Sync!$C$5)&amp;"",""),6)&lt;&gt;"SAMPLE",Config!$B$19="Y")),IFERROR(N(INDEX(Clay_Offices!$A$2:$FZ$601,315,Sync!$C$13)),0),"")</f>
        <v/>
      </c>
      <c r="C3166" s="17">
        <f>IF(B3166="","","office")</f>
        <v/>
      </c>
      <c r="D3166" s="17">
        <f>IF(B3166="","",IFERROR(INDEX(Clay_Offices!$A$2:$FZ$601,315,Sync!$C$5)&amp;"",""))</f>
        <v/>
      </c>
      <c r="E3166" s="17">
        <f>IF(B3166="","",IFERROR(INDEX(Clay_Offices!$A$2:$FZ$601,315,Sync!$C$6)&amp;"",""))</f>
        <v/>
      </c>
      <c r="F3166" s="17">
        <f>IF(B3166="","","outreach_sent")</f>
        <v/>
      </c>
      <c r="G3166" s="17">
        <f>IF(B3166="","","")</f>
        <v/>
      </c>
      <c r="H3166" s="17">
        <f>IF(B3166="","","")</f>
        <v/>
      </c>
      <c r="I3166" s="17">
        <f>IF(B3166="","","")</f>
        <v/>
      </c>
      <c r="J3166" s="17">
        <f>IF(B3166="","","touch_3; "&amp;IFERROR(INDEX(Clay_Offices!$A$2:$FZ$601,315,Sync!$C$10)&amp;"","")&amp;"; "&amp;IFERROR(INDEX(Clay_Offices!$A$2:$FZ$601,315,Sync!$C$9)&amp;"",""))</f>
        <v/>
      </c>
      <c r="K3166" t="inlineStr">
        <is>
          <t>office outreach touch 3</t>
        </is>
      </c>
    </row>
    <row r="3167">
      <c r="A3167" s="17">
        <f>IF(B3167="","",B3167+(14*1000+316)/10000000)</f>
        <v/>
      </c>
      <c r="B3167" s="23">
        <f>IF(AND(IFERROR(N(INDEX(Clay_Offices!$A$2:$FZ$601,316,Sync!$C$13)),0)&gt;0,IFERROR(INDEX(Clay_Offices!$A$2:$FZ$601,316,Sync!$C$5)&amp;"","")&lt;&gt;"",OR(LEFT(IFERROR(INDEX(Clay_Offices!$A$2:$FZ$601,316,Sync!$C$5)&amp;"",""),6)&lt;&gt;"SAMPLE",Config!$B$19="Y")),IFERROR(N(INDEX(Clay_Offices!$A$2:$FZ$601,316,Sync!$C$13)),0),"")</f>
        <v/>
      </c>
      <c r="C3167" s="17">
        <f>IF(B3167="","","office")</f>
        <v/>
      </c>
      <c r="D3167" s="17">
        <f>IF(B3167="","",IFERROR(INDEX(Clay_Offices!$A$2:$FZ$601,316,Sync!$C$5)&amp;"",""))</f>
        <v/>
      </c>
      <c r="E3167" s="17">
        <f>IF(B3167="","",IFERROR(INDEX(Clay_Offices!$A$2:$FZ$601,316,Sync!$C$6)&amp;"",""))</f>
        <v/>
      </c>
      <c r="F3167" s="17">
        <f>IF(B3167="","","outreach_sent")</f>
        <v/>
      </c>
      <c r="G3167" s="17">
        <f>IF(B3167="","","")</f>
        <v/>
      </c>
      <c r="H3167" s="17">
        <f>IF(B3167="","","")</f>
        <v/>
      </c>
      <c r="I3167" s="17">
        <f>IF(B3167="","","")</f>
        <v/>
      </c>
      <c r="J3167" s="17">
        <f>IF(B3167="","","touch_3; "&amp;IFERROR(INDEX(Clay_Offices!$A$2:$FZ$601,316,Sync!$C$10)&amp;"","")&amp;"; "&amp;IFERROR(INDEX(Clay_Offices!$A$2:$FZ$601,316,Sync!$C$9)&amp;"",""))</f>
        <v/>
      </c>
      <c r="K3167" t="inlineStr">
        <is>
          <t>office outreach touch 3</t>
        </is>
      </c>
    </row>
    <row r="3168">
      <c r="A3168" s="17">
        <f>IF(B3168="","",B3168+(14*1000+317)/10000000)</f>
        <v/>
      </c>
      <c r="B3168" s="23">
        <f>IF(AND(IFERROR(N(INDEX(Clay_Offices!$A$2:$FZ$601,317,Sync!$C$13)),0)&gt;0,IFERROR(INDEX(Clay_Offices!$A$2:$FZ$601,317,Sync!$C$5)&amp;"","")&lt;&gt;"",OR(LEFT(IFERROR(INDEX(Clay_Offices!$A$2:$FZ$601,317,Sync!$C$5)&amp;"",""),6)&lt;&gt;"SAMPLE",Config!$B$19="Y")),IFERROR(N(INDEX(Clay_Offices!$A$2:$FZ$601,317,Sync!$C$13)),0),"")</f>
        <v/>
      </c>
      <c r="C3168" s="17">
        <f>IF(B3168="","","office")</f>
        <v/>
      </c>
      <c r="D3168" s="17">
        <f>IF(B3168="","",IFERROR(INDEX(Clay_Offices!$A$2:$FZ$601,317,Sync!$C$5)&amp;"",""))</f>
        <v/>
      </c>
      <c r="E3168" s="17">
        <f>IF(B3168="","",IFERROR(INDEX(Clay_Offices!$A$2:$FZ$601,317,Sync!$C$6)&amp;"",""))</f>
        <v/>
      </c>
      <c r="F3168" s="17">
        <f>IF(B3168="","","outreach_sent")</f>
        <v/>
      </c>
      <c r="G3168" s="17">
        <f>IF(B3168="","","")</f>
        <v/>
      </c>
      <c r="H3168" s="17">
        <f>IF(B3168="","","")</f>
        <v/>
      </c>
      <c r="I3168" s="17">
        <f>IF(B3168="","","")</f>
        <v/>
      </c>
      <c r="J3168" s="17">
        <f>IF(B3168="","","touch_3; "&amp;IFERROR(INDEX(Clay_Offices!$A$2:$FZ$601,317,Sync!$C$10)&amp;"","")&amp;"; "&amp;IFERROR(INDEX(Clay_Offices!$A$2:$FZ$601,317,Sync!$C$9)&amp;"",""))</f>
        <v/>
      </c>
      <c r="K3168" t="inlineStr">
        <is>
          <t>office outreach touch 3</t>
        </is>
      </c>
    </row>
    <row r="3169">
      <c r="A3169" s="17">
        <f>IF(B3169="","",B3169+(14*1000+318)/10000000)</f>
        <v/>
      </c>
      <c r="B3169" s="23">
        <f>IF(AND(IFERROR(N(INDEX(Clay_Offices!$A$2:$FZ$601,318,Sync!$C$13)),0)&gt;0,IFERROR(INDEX(Clay_Offices!$A$2:$FZ$601,318,Sync!$C$5)&amp;"","")&lt;&gt;"",OR(LEFT(IFERROR(INDEX(Clay_Offices!$A$2:$FZ$601,318,Sync!$C$5)&amp;"",""),6)&lt;&gt;"SAMPLE",Config!$B$19="Y")),IFERROR(N(INDEX(Clay_Offices!$A$2:$FZ$601,318,Sync!$C$13)),0),"")</f>
        <v/>
      </c>
      <c r="C3169" s="17">
        <f>IF(B3169="","","office")</f>
        <v/>
      </c>
      <c r="D3169" s="17">
        <f>IF(B3169="","",IFERROR(INDEX(Clay_Offices!$A$2:$FZ$601,318,Sync!$C$5)&amp;"",""))</f>
        <v/>
      </c>
      <c r="E3169" s="17">
        <f>IF(B3169="","",IFERROR(INDEX(Clay_Offices!$A$2:$FZ$601,318,Sync!$C$6)&amp;"",""))</f>
        <v/>
      </c>
      <c r="F3169" s="17">
        <f>IF(B3169="","","outreach_sent")</f>
        <v/>
      </c>
      <c r="G3169" s="17">
        <f>IF(B3169="","","")</f>
        <v/>
      </c>
      <c r="H3169" s="17">
        <f>IF(B3169="","","")</f>
        <v/>
      </c>
      <c r="I3169" s="17">
        <f>IF(B3169="","","")</f>
        <v/>
      </c>
      <c r="J3169" s="17">
        <f>IF(B3169="","","touch_3; "&amp;IFERROR(INDEX(Clay_Offices!$A$2:$FZ$601,318,Sync!$C$10)&amp;"","")&amp;"; "&amp;IFERROR(INDEX(Clay_Offices!$A$2:$FZ$601,318,Sync!$C$9)&amp;"",""))</f>
        <v/>
      </c>
      <c r="K3169" t="inlineStr">
        <is>
          <t>office outreach touch 3</t>
        </is>
      </c>
    </row>
    <row r="3170">
      <c r="A3170" s="17">
        <f>IF(B3170="","",B3170+(14*1000+319)/10000000)</f>
        <v/>
      </c>
      <c r="B3170" s="23">
        <f>IF(AND(IFERROR(N(INDEX(Clay_Offices!$A$2:$FZ$601,319,Sync!$C$13)),0)&gt;0,IFERROR(INDEX(Clay_Offices!$A$2:$FZ$601,319,Sync!$C$5)&amp;"","")&lt;&gt;"",OR(LEFT(IFERROR(INDEX(Clay_Offices!$A$2:$FZ$601,319,Sync!$C$5)&amp;"",""),6)&lt;&gt;"SAMPLE",Config!$B$19="Y")),IFERROR(N(INDEX(Clay_Offices!$A$2:$FZ$601,319,Sync!$C$13)),0),"")</f>
        <v/>
      </c>
      <c r="C3170" s="17">
        <f>IF(B3170="","","office")</f>
        <v/>
      </c>
      <c r="D3170" s="17">
        <f>IF(B3170="","",IFERROR(INDEX(Clay_Offices!$A$2:$FZ$601,319,Sync!$C$5)&amp;"",""))</f>
        <v/>
      </c>
      <c r="E3170" s="17">
        <f>IF(B3170="","",IFERROR(INDEX(Clay_Offices!$A$2:$FZ$601,319,Sync!$C$6)&amp;"",""))</f>
        <v/>
      </c>
      <c r="F3170" s="17">
        <f>IF(B3170="","","outreach_sent")</f>
        <v/>
      </c>
      <c r="G3170" s="17">
        <f>IF(B3170="","","")</f>
        <v/>
      </c>
      <c r="H3170" s="17">
        <f>IF(B3170="","","")</f>
        <v/>
      </c>
      <c r="I3170" s="17">
        <f>IF(B3170="","","")</f>
        <v/>
      </c>
      <c r="J3170" s="17">
        <f>IF(B3170="","","touch_3; "&amp;IFERROR(INDEX(Clay_Offices!$A$2:$FZ$601,319,Sync!$C$10)&amp;"","")&amp;"; "&amp;IFERROR(INDEX(Clay_Offices!$A$2:$FZ$601,319,Sync!$C$9)&amp;"",""))</f>
        <v/>
      </c>
      <c r="K3170" t="inlineStr">
        <is>
          <t>office outreach touch 3</t>
        </is>
      </c>
    </row>
    <row r="3171">
      <c r="A3171" s="17">
        <f>IF(B3171="","",B3171+(14*1000+320)/10000000)</f>
        <v/>
      </c>
      <c r="B3171" s="23">
        <f>IF(AND(IFERROR(N(INDEX(Clay_Offices!$A$2:$FZ$601,320,Sync!$C$13)),0)&gt;0,IFERROR(INDEX(Clay_Offices!$A$2:$FZ$601,320,Sync!$C$5)&amp;"","")&lt;&gt;"",OR(LEFT(IFERROR(INDEX(Clay_Offices!$A$2:$FZ$601,320,Sync!$C$5)&amp;"",""),6)&lt;&gt;"SAMPLE",Config!$B$19="Y")),IFERROR(N(INDEX(Clay_Offices!$A$2:$FZ$601,320,Sync!$C$13)),0),"")</f>
        <v/>
      </c>
      <c r="C3171" s="17">
        <f>IF(B3171="","","office")</f>
        <v/>
      </c>
      <c r="D3171" s="17">
        <f>IF(B3171="","",IFERROR(INDEX(Clay_Offices!$A$2:$FZ$601,320,Sync!$C$5)&amp;"",""))</f>
        <v/>
      </c>
      <c r="E3171" s="17">
        <f>IF(B3171="","",IFERROR(INDEX(Clay_Offices!$A$2:$FZ$601,320,Sync!$C$6)&amp;"",""))</f>
        <v/>
      </c>
      <c r="F3171" s="17">
        <f>IF(B3171="","","outreach_sent")</f>
        <v/>
      </c>
      <c r="G3171" s="17">
        <f>IF(B3171="","","")</f>
        <v/>
      </c>
      <c r="H3171" s="17">
        <f>IF(B3171="","","")</f>
        <v/>
      </c>
      <c r="I3171" s="17">
        <f>IF(B3171="","","")</f>
        <v/>
      </c>
      <c r="J3171" s="17">
        <f>IF(B3171="","","touch_3; "&amp;IFERROR(INDEX(Clay_Offices!$A$2:$FZ$601,320,Sync!$C$10)&amp;"","")&amp;"; "&amp;IFERROR(INDEX(Clay_Offices!$A$2:$FZ$601,320,Sync!$C$9)&amp;"",""))</f>
        <v/>
      </c>
      <c r="K3171" t="inlineStr">
        <is>
          <t>office outreach touch 3</t>
        </is>
      </c>
    </row>
    <row r="3172">
      <c r="A3172" s="17">
        <f>IF(B3172="","",B3172+(14*1000+321)/10000000)</f>
        <v/>
      </c>
      <c r="B3172" s="23">
        <f>IF(AND(IFERROR(N(INDEX(Clay_Offices!$A$2:$FZ$601,321,Sync!$C$13)),0)&gt;0,IFERROR(INDEX(Clay_Offices!$A$2:$FZ$601,321,Sync!$C$5)&amp;"","")&lt;&gt;"",OR(LEFT(IFERROR(INDEX(Clay_Offices!$A$2:$FZ$601,321,Sync!$C$5)&amp;"",""),6)&lt;&gt;"SAMPLE",Config!$B$19="Y")),IFERROR(N(INDEX(Clay_Offices!$A$2:$FZ$601,321,Sync!$C$13)),0),"")</f>
        <v/>
      </c>
      <c r="C3172" s="17">
        <f>IF(B3172="","","office")</f>
        <v/>
      </c>
      <c r="D3172" s="17">
        <f>IF(B3172="","",IFERROR(INDEX(Clay_Offices!$A$2:$FZ$601,321,Sync!$C$5)&amp;"",""))</f>
        <v/>
      </c>
      <c r="E3172" s="17">
        <f>IF(B3172="","",IFERROR(INDEX(Clay_Offices!$A$2:$FZ$601,321,Sync!$C$6)&amp;"",""))</f>
        <v/>
      </c>
      <c r="F3172" s="17">
        <f>IF(B3172="","","outreach_sent")</f>
        <v/>
      </c>
      <c r="G3172" s="17">
        <f>IF(B3172="","","")</f>
        <v/>
      </c>
      <c r="H3172" s="17">
        <f>IF(B3172="","","")</f>
        <v/>
      </c>
      <c r="I3172" s="17">
        <f>IF(B3172="","","")</f>
        <v/>
      </c>
      <c r="J3172" s="17">
        <f>IF(B3172="","","touch_3; "&amp;IFERROR(INDEX(Clay_Offices!$A$2:$FZ$601,321,Sync!$C$10)&amp;"","")&amp;"; "&amp;IFERROR(INDEX(Clay_Offices!$A$2:$FZ$601,321,Sync!$C$9)&amp;"",""))</f>
        <v/>
      </c>
      <c r="K3172" t="inlineStr">
        <is>
          <t>office outreach touch 3</t>
        </is>
      </c>
    </row>
    <row r="3173">
      <c r="A3173" s="17">
        <f>IF(B3173="","",B3173+(14*1000+322)/10000000)</f>
        <v/>
      </c>
      <c r="B3173" s="23">
        <f>IF(AND(IFERROR(N(INDEX(Clay_Offices!$A$2:$FZ$601,322,Sync!$C$13)),0)&gt;0,IFERROR(INDEX(Clay_Offices!$A$2:$FZ$601,322,Sync!$C$5)&amp;"","")&lt;&gt;"",OR(LEFT(IFERROR(INDEX(Clay_Offices!$A$2:$FZ$601,322,Sync!$C$5)&amp;"",""),6)&lt;&gt;"SAMPLE",Config!$B$19="Y")),IFERROR(N(INDEX(Clay_Offices!$A$2:$FZ$601,322,Sync!$C$13)),0),"")</f>
        <v/>
      </c>
      <c r="C3173" s="17">
        <f>IF(B3173="","","office")</f>
        <v/>
      </c>
      <c r="D3173" s="17">
        <f>IF(B3173="","",IFERROR(INDEX(Clay_Offices!$A$2:$FZ$601,322,Sync!$C$5)&amp;"",""))</f>
        <v/>
      </c>
      <c r="E3173" s="17">
        <f>IF(B3173="","",IFERROR(INDEX(Clay_Offices!$A$2:$FZ$601,322,Sync!$C$6)&amp;"",""))</f>
        <v/>
      </c>
      <c r="F3173" s="17">
        <f>IF(B3173="","","outreach_sent")</f>
        <v/>
      </c>
      <c r="G3173" s="17">
        <f>IF(B3173="","","")</f>
        <v/>
      </c>
      <c r="H3173" s="17">
        <f>IF(B3173="","","")</f>
        <v/>
      </c>
      <c r="I3173" s="17">
        <f>IF(B3173="","","")</f>
        <v/>
      </c>
      <c r="J3173" s="17">
        <f>IF(B3173="","","touch_3; "&amp;IFERROR(INDEX(Clay_Offices!$A$2:$FZ$601,322,Sync!$C$10)&amp;"","")&amp;"; "&amp;IFERROR(INDEX(Clay_Offices!$A$2:$FZ$601,322,Sync!$C$9)&amp;"",""))</f>
        <v/>
      </c>
      <c r="K3173" t="inlineStr">
        <is>
          <t>office outreach touch 3</t>
        </is>
      </c>
    </row>
    <row r="3174">
      <c r="A3174" s="17">
        <f>IF(B3174="","",B3174+(14*1000+323)/10000000)</f>
        <v/>
      </c>
      <c r="B3174" s="23">
        <f>IF(AND(IFERROR(N(INDEX(Clay_Offices!$A$2:$FZ$601,323,Sync!$C$13)),0)&gt;0,IFERROR(INDEX(Clay_Offices!$A$2:$FZ$601,323,Sync!$C$5)&amp;"","")&lt;&gt;"",OR(LEFT(IFERROR(INDEX(Clay_Offices!$A$2:$FZ$601,323,Sync!$C$5)&amp;"",""),6)&lt;&gt;"SAMPLE",Config!$B$19="Y")),IFERROR(N(INDEX(Clay_Offices!$A$2:$FZ$601,323,Sync!$C$13)),0),"")</f>
        <v/>
      </c>
      <c r="C3174" s="17">
        <f>IF(B3174="","","office")</f>
        <v/>
      </c>
      <c r="D3174" s="17">
        <f>IF(B3174="","",IFERROR(INDEX(Clay_Offices!$A$2:$FZ$601,323,Sync!$C$5)&amp;"",""))</f>
        <v/>
      </c>
      <c r="E3174" s="17">
        <f>IF(B3174="","",IFERROR(INDEX(Clay_Offices!$A$2:$FZ$601,323,Sync!$C$6)&amp;"",""))</f>
        <v/>
      </c>
      <c r="F3174" s="17">
        <f>IF(B3174="","","outreach_sent")</f>
        <v/>
      </c>
      <c r="G3174" s="17">
        <f>IF(B3174="","","")</f>
        <v/>
      </c>
      <c r="H3174" s="17">
        <f>IF(B3174="","","")</f>
        <v/>
      </c>
      <c r="I3174" s="17">
        <f>IF(B3174="","","")</f>
        <v/>
      </c>
      <c r="J3174" s="17">
        <f>IF(B3174="","","touch_3; "&amp;IFERROR(INDEX(Clay_Offices!$A$2:$FZ$601,323,Sync!$C$10)&amp;"","")&amp;"; "&amp;IFERROR(INDEX(Clay_Offices!$A$2:$FZ$601,323,Sync!$C$9)&amp;"",""))</f>
        <v/>
      </c>
      <c r="K3174" t="inlineStr">
        <is>
          <t>office outreach touch 3</t>
        </is>
      </c>
    </row>
    <row r="3175">
      <c r="A3175" s="17">
        <f>IF(B3175="","",B3175+(14*1000+324)/10000000)</f>
        <v/>
      </c>
      <c r="B3175" s="23">
        <f>IF(AND(IFERROR(N(INDEX(Clay_Offices!$A$2:$FZ$601,324,Sync!$C$13)),0)&gt;0,IFERROR(INDEX(Clay_Offices!$A$2:$FZ$601,324,Sync!$C$5)&amp;"","")&lt;&gt;"",OR(LEFT(IFERROR(INDEX(Clay_Offices!$A$2:$FZ$601,324,Sync!$C$5)&amp;"",""),6)&lt;&gt;"SAMPLE",Config!$B$19="Y")),IFERROR(N(INDEX(Clay_Offices!$A$2:$FZ$601,324,Sync!$C$13)),0),"")</f>
        <v/>
      </c>
      <c r="C3175" s="17">
        <f>IF(B3175="","","office")</f>
        <v/>
      </c>
      <c r="D3175" s="17">
        <f>IF(B3175="","",IFERROR(INDEX(Clay_Offices!$A$2:$FZ$601,324,Sync!$C$5)&amp;"",""))</f>
        <v/>
      </c>
      <c r="E3175" s="17">
        <f>IF(B3175="","",IFERROR(INDEX(Clay_Offices!$A$2:$FZ$601,324,Sync!$C$6)&amp;"",""))</f>
        <v/>
      </c>
      <c r="F3175" s="17">
        <f>IF(B3175="","","outreach_sent")</f>
        <v/>
      </c>
      <c r="G3175" s="17">
        <f>IF(B3175="","","")</f>
        <v/>
      </c>
      <c r="H3175" s="17">
        <f>IF(B3175="","","")</f>
        <v/>
      </c>
      <c r="I3175" s="17">
        <f>IF(B3175="","","")</f>
        <v/>
      </c>
      <c r="J3175" s="17">
        <f>IF(B3175="","","touch_3; "&amp;IFERROR(INDEX(Clay_Offices!$A$2:$FZ$601,324,Sync!$C$10)&amp;"","")&amp;"; "&amp;IFERROR(INDEX(Clay_Offices!$A$2:$FZ$601,324,Sync!$C$9)&amp;"",""))</f>
        <v/>
      </c>
      <c r="K3175" t="inlineStr">
        <is>
          <t>office outreach touch 3</t>
        </is>
      </c>
    </row>
    <row r="3176">
      <c r="A3176" s="17">
        <f>IF(B3176="","",B3176+(14*1000+325)/10000000)</f>
        <v/>
      </c>
      <c r="B3176" s="23">
        <f>IF(AND(IFERROR(N(INDEX(Clay_Offices!$A$2:$FZ$601,325,Sync!$C$13)),0)&gt;0,IFERROR(INDEX(Clay_Offices!$A$2:$FZ$601,325,Sync!$C$5)&amp;"","")&lt;&gt;"",OR(LEFT(IFERROR(INDEX(Clay_Offices!$A$2:$FZ$601,325,Sync!$C$5)&amp;"",""),6)&lt;&gt;"SAMPLE",Config!$B$19="Y")),IFERROR(N(INDEX(Clay_Offices!$A$2:$FZ$601,325,Sync!$C$13)),0),"")</f>
        <v/>
      </c>
      <c r="C3176" s="17">
        <f>IF(B3176="","","office")</f>
        <v/>
      </c>
      <c r="D3176" s="17">
        <f>IF(B3176="","",IFERROR(INDEX(Clay_Offices!$A$2:$FZ$601,325,Sync!$C$5)&amp;"",""))</f>
        <v/>
      </c>
      <c r="E3176" s="17">
        <f>IF(B3176="","",IFERROR(INDEX(Clay_Offices!$A$2:$FZ$601,325,Sync!$C$6)&amp;"",""))</f>
        <v/>
      </c>
      <c r="F3176" s="17">
        <f>IF(B3176="","","outreach_sent")</f>
        <v/>
      </c>
      <c r="G3176" s="17">
        <f>IF(B3176="","","")</f>
        <v/>
      </c>
      <c r="H3176" s="17">
        <f>IF(B3176="","","")</f>
        <v/>
      </c>
      <c r="I3176" s="17">
        <f>IF(B3176="","","")</f>
        <v/>
      </c>
      <c r="J3176" s="17">
        <f>IF(B3176="","","touch_3; "&amp;IFERROR(INDEX(Clay_Offices!$A$2:$FZ$601,325,Sync!$C$10)&amp;"","")&amp;"; "&amp;IFERROR(INDEX(Clay_Offices!$A$2:$FZ$601,325,Sync!$C$9)&amp;"",""))</f>
        <v/>
      </c>
      <c r="K3176" t="inlineStr">
        <is>
          <t>office outreach touch 3</t>
        </is>
      </c>
    </row>
    <row r="3177">
      <c r="A3177" s="17">
        <f>IF(B3177="","",B3177+(14*1000+326)/10000000)</f>
        <v/>
      </c>
      <c r="B3177" s="23">
        <f>IF(AND(IFERROR(N(INDEX(Clay_Offices!$A$2:$FZ$601,326,Sync!$C$13)),0)&gt;0,IFERROR(INDEX(Clay_Offices!$A$2:$FZ$601,326,Sync!$C$5)&amp;"","")&lt;&gt;"",OR(LEFT(IFERROR(INDEX(Clay_Offices!$A$2:$FZ$601,326,Sync!$C$5)&amp;"",""),6)&lt;&gt;"SAMPLE",Config!$B$19="Y")),IFERROR(N(INDEX(Clay_Offices!$A$2:$FZ$601,326,Sync!$C$13)),0),"")</f>
        <v/>
      </c>
      <c r="C3177" s="17">
        <f>IF(B3177="","","office")</f>
        <v/>
      </c>
      <c r="D3177" s="17">
        <f>IF(B3177="","",IFERROR(INDEX(Clay_Offices!$A$2:$FZ$601,326,Sync!$C$5)&amp;"",""))</f>
        <v/>
      </c>
      <c r="E3177" s="17">
        <f>IF(B3177="","",IFERROR(INDEX(Clay_Offices!$A$2:$FZ$601,326,Sync!$C$6)&amp;"",""))</f>
        <v/>
      </c>
      <c r="F3177" s="17">
        <f>IF(B3177="","","outreach_sent")</f>
        <v/>
      </c>
      <c r="G3177" s="17">
        <f>IF(B3177="","","")</f>
        <v/>
      </c>
      <c r="H3177" s="17">
        <f>IF(B3177="","","")</f>
        <v/>
      </c>
      <c r="I3177" s="17">
        <f>IF(B3177="","","")</f>
        <v/>
      </c>
      <c r="J3177" s="17">
        <f>IF(B3177="","","touch_3; "&amp;IFERROR(INDEX(Clay_Offices!$A$2:$FZ$601,326,Sync!$C$10)&amp;"","")&amp;"; "&amp;IFERROR(INDEX(Clay_Offices!$A$2:$FZ$601,326,Sync!$C$9)&amp;"",""))</f>
        <v/>
      </c>
      <c r="K3177" t="inlineStr">
        <is>
          <t>office outreach touch 3</t>
        </is>
      </c>
    </row>
    <row r="3178">
      <c r="A3178" s="17">
        <f>IF(B3178="","",B3178+(14*1000+327)/10000000)</f>
        <v/>
      </c>
      <c r="B3178" s="23">
        <f>IF(AND(IFERROR(N(INDEX(Clay_Offices!$A$2:$FZ$601,327,Sync!$C$13)),0)&gt;0,IFERROR(INDEX(Clay_Offices!$A$2:$FZ$601,327,Sync!$C$5)&amp;"","")&lt;&gt;"",OR(LEFT(IFERROR(INDEX(Clay_Offices!$A$2:$FZ$601,327,Sync!$C$5)&amp;"",""),6)&lt;&gt;"SAMPLE",Config!$B$19="Y")),IFERROR(N(INDEX(Clay_Offices!$A$2:$FZ$601,327,Sync!$C$13)),0),"")</f>
        <v/>
      </c>
      <c r="C3178" s="17">
        <f>IF(B3178="","","office")</f>
        <v/>
      </c>
      <c r="D3178" s="17">
        <f>IF(B3178="","",IFERROR(INDEX(Clay_Offices!$A$2:$FZ$601,327,Sync!$C$5)&amp;"",""))</f>
        <v/>
      </c>
      <c r="E3178" s="17">
        <f>IF(B3178="","",IFERROR(INDEX(Clay_Offices!$A$2:$FZ$601,327,Sync!$C$6)&amp;"",""))</f>
        <v/>
      </c>
      <c r="F3178" s="17">
        <f>IF(B3178="","","outreach_sent")</f>
        <v/>
      </c>
      <c r="G3178" s="17">
        <f>IF(B3178="","","")</f>
        <v/>
      </c>
      <c r="H3178" s="17">
        <f>IF(B3178="","","")</f>
        <v/>
      </c>
      <c r="I3178" s="17">
        <f>IF(B3178="","","")</f>
        <v/>
      </c>
      <c r="J3178" s="17">
        <f>IF(B3178="","","touch_3; "&amp;IFERROR(INDEX(Clay_Offices!$A$2:$FZ$601,327,Sync!$C$10)&amp;"","")&amp;"; "&amp;IFERROR(INDEX(Clay_Offices!$A$2:$FZ$601,327,Sync!$C$9)&amp;"",""))</f>
        <v/>
      </c>
      <c r="K3178" t="inlineStr">
        <is>
          <t>office outreach touch 3</t>
        </is>
      </c>
    </row>
    <row r="3179">
      <c r="A3179" s="17">
        <f>IF(B3179="","",B3179+(14*1000+328)/10000000)</f>
        <v/>
      </c>
      <c r="B3179" s="23">
        <f>IF(AND(IFERROR(N(INDEX(Clay_Offices!$A$2:$FZ$601,328,Sync!$C$13)),0)&gt;0,IFERROR(INDEX(Clay_Offices!$A$2:$FZ$601,328,Sync!$C$5)&amp;"","")&lt;&gt;"",OR(LEFT(IFERROR(INDEX(Clay_Offices!$A$2:$FZ$601,328,Sync!$C$5)&amp;"",""),6)&lt;&gt;"SAMPLE",Config!$B$19="Y")),IFERROR(N(INDEX(Clay_Offices!$A$2:$FZ$601,328,Sync!$C$13)),0),"")</f>
        <v/>
      </c>
      <c r="C3179" s="17">
        <f>IF(B3179="","","office")</f>
        <v/>
      </c>
      <c r="D3179" s="17">
        <f>IF(B3179="","",IFERROR(INDEX(Clay_Offices!$A$2:$FZ$601,328,Sync!$C$5)&amp;"",""))</f>
        <v/>
      </c>
      <c r="E3179" s="17">
        <f>IF(B3179="","",IFERROR(INDEX(Clay_Offices!$A$2:$FZ$601,328,Sync!$C$6)&amp;"",""))</f>
        <v/>
      </c>
      <c r="F3179" s="17">
        <f>IF(B3179="","","outreach_sent")</f>
        <v/>
      </c>
      <c r="G3179" s="17">
        <f>IF(B3179="","","")</f>
        <v/>
      </c>
      <c r="H3179" s="17">
        <f>IF(B3179="","","")</f>
        <v/>
      </c>
      <c r="I3179" s="17">
        <f>IF(B3179="","","")</f>
        <v/>
      </c>
      <c r="J3179" s="17">
        <f>IF(B3179="","","touch_3; "&amp;IFERROR(INDEX(Clay_Offices!$A$2:$FZ$601,328,Sync!$C$10)&amp;"","")&amp;"; "&amp;IFERROR(INDEX(Clay_Offices!$A$2:$FZ$601,328,Sync!$C$9)&amp;"",""))</f>
        <v/>
      </c>
      <c r="K3179" t="inlineStr">
        <is>
          <t>office outreach touch 3</t>
        </is>
      </c>
    </row>
    <row r="3180">
      <c r="A3180" s="17">
        <f>IF(B3180="","",B3180+(14*1000+329)/10000000)</f>
        <v/>
      </c>
      <c r="B3180" s="23">
        <f>IF(AND(IFERROR(N(INDEX(Clay_Offices!$A$2:$FZ$601,329,Sync!$C$13)),0)&gt;0,IFERROR(INDEX(Clay_Offices!$A$2:$FZ$601,329,Sync!$C$5)&amp;"","")&lt;&gt;"",OR(LEFT(IFERROR(INDEX(Clay_Offices!$A$2:$FZ$601,329,Sync!$C$5)&amp;"",""),6)&lt;&gt;"SAMPLE",Config!$B$19="Y")),IFERROR(N(INDEX(Clay_Offices!$A$2:$FZ$601,329,Sync!$C$13)),0),"")</f>
        <v/>
      </c>
      <c r="C3180" s="17">
        <f>IF(B3180="","","office")</f>
        <v/>
      </c>
      <c r="D3180" s="17">
        <f>IF(B3180="","",IFERROR(INDEX(Clay_Offices!$A$2:$FZ$601,329,Sync!$C$5)&amp;"",""))</f>
        <v/>
      </c>
      <c r="E3180" s="17">
        <f>IF(B3180="","",IFERROR(INDEX(Clay_Offices!$A$2:$FZ$601,329,Sync!$C$6)&amp;"",""))</f>
        <v/>
      </c>
      <c r="F3180" s="17">
        <f>IF(B3180="","","outreach_sent")</f>
        <v/>
      </c>
      <c r="G3180" s="17">
        <f>IF(B3180="","","")</f>
        <v/>
      </c>
      <c r="H3180" s="17">
        <f>IF(B3180="","","")</f>
        <v/>
      </c>
      <c r="I3180" s="17">
        <f>IF(B3180="","","")</f>
        <v/>
      </c>
      <c r="J3180" s="17">
        <f>IF(B3180="","","touch_3; "&amp;IFERROR(INDEX(Clay_Offices!$A$2:$FZ$601,329,Sync!$C$10)&amp;"","")&amp;"; "&amp;IFERROR(INDEX(Clay_Offices!$A$2:$FZ$601,329,Sync!$C$9)&amp;"",""))</f>
        <v/>
      </c>
      <c r="K3180" t="inlineStr">
        <is>
          <t>office outreach touch 3</t>
        </is>
      </c>
    </row>
    <row r="3181">
      <c r="A3181" s="17">
        <f>IF(B3181="","",B3181+(14*1000+330)/10000000)</f>
        <v/>
      </c>
      <c r="B3181" s="23">
        <f>IF(AND(IFERROR(N(INDEX(Clay_Offices!$A$2:$FZ$601,330,Sync!$C$13)),0)&gt;0,IFERROR(INDEX(Clay_Offices!$A$2:$FZ$601,330,Sync!$C$5)&amp;"","")&lt;&gt;"",OR(LEFT(IFERROR(INDEX(Clay_Offices!$A$2:$FZ$601,330,Sync!$C$5)&amp;"",""),6)&lt;&gt;"SAMPLE",Config!$B$19="Y")),IFERROR(N(INDEX(Clay_Offices!$A$2:$FZ$601,330,Sync!$C$13)),0),"")</f>
        <v/>
      </c>
      <c r="C3181" s="17">
        <f>IF(B3181="","","office")</f>
        <v/>
      </c>
      <c r="D3181" s="17">
        <f>IF(B3181="","",IFERROR(INDEX(Clay_Offices!$A$2:$FZ$601,330,Sync!$C$5)&amp;"",""))</f>
        <v/>
      </c>
      <c r="E3181" s="17">
        <f>IF(B3181="","",IFERROR(INDEX(Clay_Offices!$A$2:$FZ$601,330,Sync!$C$6)&amp;"",""))</f>
        <v/>
      </c>
      <c r="F3181" s="17">
        <f>IF(B3181="","","outreach_sent")</f>
        <v/>
      </c>
      <c r="G3181" s="17">
        <f>IF(B3181="","","")</f>
        <v/>
      </c>
      <c r="H3181" s="17">
        <f>IF(B3181="","","")</f>
        <v/>
      </c>
      <c r="I3181" s="17">
        <f>IF(B3181="","","")</f>
        <v/>
      </c>
      <c r="J3181" s="17">
        <f>IF(B3181="","","touch_3; "&amp;IFERROR(INDEX(Clay_Offices!$A$2:$FZ$601,330,Sync!$C$10)&amp;"","")&amp;"; "&amp;IFERROR(INDEX(Clay_Offices!$A$2:$FZ$601,330,Sync!$C$9)&amp;"",""))</f>
        <v/>
      </c>
      <c r="K3181" t="inlineStr">
        <is>
          <t>office outreach touch 3</t>
        </is>
      </c>
    </row>
    <row r="3182">
      <c r="A3182" s="17">
        <f>IF(B3182="","",B3182+(14*1000+331)/10000000)</f>
        <v/>
      </c>
      <c r="B3182" s="23">
        <f>IF(AND(IFERROR(N(INDEX(Clay_Offices!$A$2:$FZ$601,331,Sync!$C$13)),0)&gt;0,IFERROR(INDEX(Clay_Offices!$A$2:$FZ$601,331,Sync!$C$5)&amp;"","")&lt;&gt;"",OR(LEFT(IFERROR(INDEX(Clay_Offices!$A$2:$FZ$601,331,Sync!$C$5)&amp;"",""),6)&lt;&gt;"SAMPLE",Config!$B$19="Y")),IFERROR(N(INDEX(Clay_Offices!$A$2:$FZ$601,331,Sync!$C$13)),0),"")</f>
        <v/>
      </c>
      <c r="C3182" s="17">
        <f>IF(B3182="","","office")</f>
        <v/>
      </c>
      <c r="D3182" s="17">
        <f>IF(B3182="","",IFERROR(INDEX(Clay_Offices!$A$2:$FZ$601,331,Sync!$C$5)&amp;"",""))</f>
        <v/>
      </c>
      <c r="E3182" s="17">
        <f>IF(B3182="","",IFERROR(INDEX(Clay_Offices!$A$2:$FZ$601,331,Sync!$C$6)&amp;"",""))</f>
        <v/>
      </c>
      <c r="F3182" s="17">
        <f>IF(B3182="","","outreach_sent")</f>
        <v/>
      </c>
      <c r="G3182" s="17">
        <f>IF(B3182="","","")</f>
        <v/>
      </c>
      <c r="H3182" s="17">
        <f>IF(B3182="","","")</f>
        <v/>
      </c>
      <c r="I3182" s="17">
        <f>IF(B3182="","","")</f>
        <v/>
      </c>
      <c r="J3182" s="17">
        <f>IF(B3182="","","touch_3; "&amp;IFERROR(INDEX(Clay_Offices!$A$2:$FZ$601,331,Sync!$C$10)&amp;"","")&amp;"; "&amp;IFERROR(INDEX(Clay_Offices!$A$2:$FZ$601,331,Sync!$C$9)&amp;"",""))</f>
        <v/>
      </c>
      <c r="K3182" t="inlineStr">
        <is>
          <t>office outreach touch 3</t>
        </is>
      </c>
    </row>
    <row r="3183">
      <c r="A3183" s="17">
        <f>IF(B3183="","",B3183+(14*1000+332)/10000000)</f>
        <v/>
      </c>
      <c r="B3183" s="23">
        <f>IF(AND(IFERROR(N(INDEX(Clay_Offices!$A$2:$FZ$601,332,Sync!$C$13)),0)&gt;0,IFERROR(INDEX(Clay_Offices!$A$2:$FZ$601,332,Sync!$C$5)&amp;"","")&lt;&gt;"",OR(LEFT(IFERROR(INDEX(Clay_Offices!$A$2:$FZ$601,332,Sync!$C$5)&amp;"",""),6)&lt;&gt;"SAMPLE",Config!$B$19="Y")),IFERROR(N(INDEX(Clay_Offices!$A$2:$FZ$601,332,Sync!$C$13)),0),"")</f>
        <v/>
      </c>
      <c r="C3183" s="17">
        <f>IF(B3183="","","office")</f>
        <v/>
      </c>
      <c r="D3183" s="17">
        <f>IF(B3183="","",IFERROR(INDEX(Clay_Offices!$A$2:$FZ$601,332,Sync!$C$5)&amp;"",""))</f>
        <v/>
      </c>
      <c r="E3183" s="17">
        <f>IF(B3183="","",IFERROR(INDEX(Clay_Offices!$A$2:$FZ$601,332,Sync!$C$6)&amp;"",""))</f>
        <v/>
      </c>
      <c r="F3183" s="17">
        <f>IF(B3183="","","outreach_sent")</f>
        <v/>
      </c>
      <c r="G3183" s="17">
        <f>IF(B3183="","","")</f>
        <v/>
      </c>
      <c r="H3183" s="17">
        <f>IF(B3183="","","")</f>
        <v/>
      </c>
      <c r="I3183" s="17">
        <f>IF(B3183="","","")</f>
        <v/>
      </c>
      <c r="J3183" s="17">
        <f>IF(B3183="","","touch_3; "&amp;IFERROR(INDEX(Clay_Offices!$A$2:$FZ$601,332,Sync!$C$10)&amp;"","")&amp;"; "&amp;IFERROR(INDEX(Clay_Offices!$A$2:$FZ$601,332,Sync!$C$9)&amp;"",""))</f>
        <v/>
      </c>
      <c r="K3183" t="inlineStr">
        <is>
          <t>office outreach touch 3</t>
        </is>
      </c>
    </row>
    <row r="3184">
      <c r="A3184" s="17">
        <f>IF(B3184="","",B3184+(14*1000+333)/10000000)</f>
        <v/>
      </c>
      <c r="B3184" s="23">
        <f>IF(AND(IFERROR(N(INDEX(Clay_Offices!$A$2:$FZ$601,333,Sync!$C$13)),0)&gt;0,IFERROR(INDEX(Clay_Offices!$A$2:$FZ$601,333,Sync!$C$5)&amp;"","")&lt;&gt;"",OR(LEFT(IFERROR(INDEX(Clay_Offices!$A$2:$FZ$601,333,Sync!$C$5)&amp;"",""),6)&lt;&gt;"SAMPLE",Config!$B$19="Y")),IFERROR(N(INDEX(Clay_Offices!$A$2:$FZ$601,333,Sync!$C$13)),0),"")</f>
        <v/>
      </c>
      <c r="C3184" s="17">
        <f>IF(B3184="","","office")</f>
        <v/>
      </c>
      <c r="D3184" s="17">
        <f>IF(B3184="","",IFERROR(INDEX(Clay_Offices!$A$2:$FZ$601,333,Sync!$C$5)&amp;"",""))</f>
        <v/>
      </c>
      <c r="E3184" s="17">
        <f>IF(B3184="","",IFERROR(INDEX(Clay_Offices!$A$2:$FZ$601,333,Sync!$C$6)&amp;"",""))</f>
        <v/>
      </c>
      <c r="F3184" s="17">
        <f>IF(B3184="","","outreach_sent")</f>
        <v/>
      </c>
      <c r="G3184" s="17">
        <f>IF(B3184="","","")</f>
        <v/>
      </c>
      <c r="H3184" s="17">
        <f>IF(B3184="","","")</f>
        <v/>
      </c>
      <c r="I3184" s="17">
        <f>IF(B3184="","","")</f>
        <v/>
      </c>
      <c r="J3184" s="17">
        <f>IF(B3184="","","touch_3; "&amp;IFERROR(INDEX(Clay_Offices!$A$2:$FZ$601,333,Sync!$C$10)&amp;"","")&amp;"; "&amp;IFERROR(INDEX(Clay_Offices!$A$2:$FZ$601,333,Sync!$C$9)&amp;"",""))</f>
        <v/>
      </c>
      <c r="K3184" t="inlineStr">
        <is>
          <t>office outreach touch 3</t>
        </is>
      </c>
    </row>
    <row r="3185">
      <c r="A3185" s="17">
        <f>IF(B3185="","",B3185+(14*1000+334)/10000000)</f>
        <v/>
      </c>
      <c r="B3185" s="23">
        <f>IF(AND(IFERROR(N(INDEX(Clay_Offices!$A$2:$FZ$601,334,Sync!$C$13)),0)&gt;0,IFERROR(INDEX(Clay_Offices!$A$2:$FZ$601,334,Sync!$C$5)&amp;"","")&lt;&gt;"",OR(LEFT(IFERROR(INDEX(Clay_Offices!$A$2:$FZ$601,334,Sync!$C$5)&amp;"",""),6)&lt;&gt;"SAMPLE",Config!$B$19="Y")),IFERROR(N(INDEX(Clay_Offices!$A$2:$FZ$601,334,Sync!$C$13)),0),"")</f>
        <v/>
      </c>
      <c r="C3185" s="17">
        <f>IF(B3185="","","office")</f>
        <v/>
      </c>
      <c r="D3185" s="17">
        <f>IF(B3185="","",IFERROR(INDEX(Clay_Offices!$A$2:$FZ$601,334,Sync!$C$5)&amp;"",""))</f>
        <v/>
      </c>
      <c r="E3185" s="17">
        <f>IF(B3185="","",IFERROR(INDEX(Clay_Offices!$A$2:$FZ$601,334,Sync!$C$6)&amp;"",""))</f>
        <v/>
      </c>
      <c r="F3185" s="17">
        <f>IF(B3185="","","outreach_sent")</f>
        <v/>
      </c>
      <c r="G3185" s="17">
        <f>IF(B3185="","","")</f>
        <v/>
      </c>
      <c r="H3185" s="17">
        <f>IF(B3185="","","")</f>
        <v/>
      </c>
      <c r="I3185" s="17">
        <f>IF(B3185="","","")</f>
        <v/>
      </c>
      <c r="J3185" s="17">
        <f>IF(B3185="","","touch_3; "&amp;IFERROR(INDEX(Clay_Offices!$A$2:$FZ$601,334,Sync!$C$10)&amp;"","")&amp;"; "&amp;IFERROR(INDEX(Clay_Offices!$A$2:$FZ$601,334,Sync!$C$9)&amp;"",""))</f>
        <v/>
      </c>
      <c r="K3185" t="inlineStr">
        <is>
          <t>office outreach touch 3</t>
        </is>
      </c>
    </row>
    <row r="3186">
      <c r="A3186" s="17">
        <f>IF(B3186="","",B3186+(14*1000+335)/10000000)</f>
        <v/>
      </c>
      <c r="B3186" s="23">
        <f>IF(AND(IFERROR(N(INDEX(Clay_Offices!$A$2:$FZ$601,335,Sync!$C$13)),0)&gt;0,IFERROR(INDEX(Clay_Offices!$A$2:$FZ$601,335,Sync!$C$5)&amp;"","")&lt;&gt;"",OR(LEFT(IFERROR(INDEX(Clay_Offices!$A$2:$FZ$601,335,Sync!$C$5)&amp;"",""),6)&lt;&gt;"SAMPLE",Config!$B$19="Y")),IFERROR(N(INDEX(Clay_Offices!$A$2:$FZ$601,335,Sync!$C$13)),0),"")</f>
        <v/>
      </c>
      <c r="C3186" s="17">
        <f>IF(B3186="","","office")</f>
        <v/>
      </c>
      <c r="D3186" s="17">
        <f>IF(B3186="","",IFERROR(INDEX(Clay_Offices!$A$2:$FZ$601,335,Sync!$C$5)&amp;"",""))</f>
        <v/>
      </c>
      <c r="E3186" s="17">
        <f>IF(B3186="","",IFERROR(INDEX(Clay_Offices!$A$2:$FZ$601,335,Sync!$C$6)&amp;"",""))</f>
        <v/>
      </c>
      <c r="F3186" s="17">
        <f>IF(B3186="","","outreach_sent")</f>
        <v/>
      </c>
      <c r="G3186" s="17">
        <f>IF(B3186="","","")</f>
        <v/>
      </c>
      <c r="H3186" s="17">
        <f>IF(B3186="","","")</f>
        <v/>
      </c>
      <c r="I3186" s="17">
        <f>IF(B3186="","","")</f>
        <v/>
      </c>
      <c r="J3186" s="17">
        <f>IF(B3186="","","touch_3; "&amp;IFERROR(INDEX(Clay_Offices!$A$2:$FZ$601,335,Sync!$C$10)&amp;"","")&amp;"; "&amp;IFERROR(INDEX(Clay_Offices!$A$2:$FZ$601,335,Sync!$C$9)&amp;"",""))</f>
        <v/>
      </c>
      <c r="K3186" t="inlineStr">
        <is>
          <t>office outreach touch 3</t>
        </is>
      </c>
    </row>
    <row r="3187">
      <c r="A3187" s="17">
        <f>IF(B3187="","",B3187+(14*1000+336)/10000000)</f>
        <v/>
      </c>
      <c r="B3187" s="23">
        <f>IF(AND(IFERROR(N(INDEX(Clay_Offices!$A$2:$FZ$601,336,Sync!$C$13)),0)&gt;0,IFERROR(INDEX(Clay_Offices!$A$2:$FZ$601,336,Sync!$C$5)&amp;"","")&lt;&gt;"",OR(LEFT(IFERROR(INDEX(Clay_Offices!$A$2:$FZ$601,336,Sync!$C$5)&amp;"",""),6)&lt;&gt;"SAMPLE",Config!$B$19="Y")),IFERROR(N(INDEX(Clay_Offices!$A$2:$FZ$601,336,Sync!$C$13)),0),"")</f>
        <v/>
      </c>
      <c r="C3187" s="17">
        <f>IF(B3187="","","office")</f>
        <v/>
      </c>
      <c r="D3187" s="17">
        <f>IF(B3187="","",IFERROR(INDEX(Clay_Offices!$A$2:$FZ$601,336,Sync!$C$5)&amp;"",""))</f>
        <v/>
      </c>
      <c r="E3187" s="17">
        <f>IF(B3187="","",IFERROR(INDEX(Clay_Offices!$A$2:$FZ$601,336,Sync!$C$6)&amp;"",""))</f>
        <v/>
      </c>
      <c r="F3187" s="17">
        <f>IF(B3187="","","outreach_sent")</f>
        <v/>
      </c>
      <c r="G3187" s="17">
        <f>IF(B3187="","","")</f>
        <v/>
      </c>
      <c r="H3187" s="17">
        <f>IF(B3187="","","")</f>
        <v/>
      </c>
      <c r="I3187" s="17">
        <f>IF(B3187="","","")</f>
        <v/>
      </c>
      <c r="J3187" s="17">
        <f>IF(B3187="","","touch_3; "&amp;IFERROR(INDEX(Clay_Offices!$A$2:$FZ$601,336,Sync!$C$10)&amp;"","")&amp;"; "&amp;IFERROR(INDEX(Clay_Offices!$A$2:$FZ$601,336,Sync!$C$9)&amp;"",""))</f>
        <v/>
      </c>
      <c r="K3187" t="inlineStr">
        <is>
          <t>office outreach touch 3</t>
        </is>
      </c>
    </row>
    <row r="3188">
      <c r="A3188" s="17">
        <f>IF(B3188="","",B3188+(14*1000+337)/10000000)</f>
        <v/>
      </c>
      <c r="B3188" s="23">
        <f>IF(AND(IFERROR(N(INDEX(Clay_Offices!$A$2:$FZ$601,337,Sync!$C$13)),0)&gt;0,IFERROR(INDEX(Clay_Offices!$A$2:$FZ$601,337,Sync!$C$5)&amp;"","")&lt;&gt;"",OR(LEFT(IFERROR(INDEX(Clay_Offices!$A$2:$FZ$601,337,Sync!$C$5)&amp;"",""),6)&lt;&gt;"SAMPLE",Config!$B$19="Y")),IFERROR(N(INDEX(Clay_Offices!$A$2:$FZ$601,337,Sync!$C$13)),0),"")</f>
        <v/>
      </c>
      <c r="C3188" s="17">
        <f>IF(B3188="","","office")</f>
        <v/>
      </c>
      <c r="D3188" s="17">
        <f>IF(B3188="","",IFERROR(INDEX(Clay_Offices!$A$2:$FZ$601,337,Sync!$C$5)&amp;"",""))</f>
        <v/>
      </c>
      <c r="E3188" s="17">
        <f>IF(B3188="","",IFERROR(INDEX(Clay_Offices!$A$2:$FZ$601,337,Sync!$C$6)&amp;"",""))</f>
        <v/>
      </c>
      <c r="F3188" s="17">
        <f>IF(B3188="","","outreach_sent")</f>
        <v/>
      </c>
      <c r="G3188" s="17">
        <f>IF(B3188="","","")</f>
        <v/>
      </c>
      <c r="H3188" s="17">
        <f>IF(B3188="","","")</f>
        <v/>
      </c>
      <c r="I3188" s="17">
        <f>IF(B3188="","","")</f>
        <v/>
      </c>
      <c r="J3188" s="17">
        <f>IF(B3188="","","touch_3; "&amp;IFERROR(INDEX(Clay_Offices!$A$2:$FZ$601,337,Sync!$C$10)&amp;"","")&amp;"; "&amp;IFERROR(INDEX(Clay_Offices!$A$2:$FZ$601,337,Sync!$C$9)&amp;"",""))</f>
        <v/>
      </c>
      <c r="K3188" t="inlineStr">
        <is>
          <t>office outreach touch 3</t>
        </is>
      </c>
    </row>
    <row r="3189">
      <c r="A3189" s="17">
        <f>IF(B3189="","",B3189+(14*1000+338)/10000000)</f>
        <v/>
      </c>
      <c r="B3189" s="23">
        <f>IF(AND(IFERROR(N(INDEX(Clay_Offices!$A$2:$FZ$601,338,Sync!$C$13)),0)&gt;0,IFERROR(INDEX(Clay_Offices!$A$2:$FZ$601,338,Sync!$C$5)&amp;"","")&lt;&gt;"",OR(LEFT(IFERROR(INDEX(Clay_Offices!$A$2:$FZ$601,338,Sync!$C$5)&amp;"",""),6)&lt;&gt;"SAMPLE",Config!$B$19="Y")),IFERROR(N(INDEX(Clay_Offices!$A$2:$FZ$601,338,Sync!$C$13)),0),"")</f>
        <v/>
      </c>
      <c r="C3189" s="17">
        <f>IF(B3189="","","office")</f>
        <v/>
      </c>
      <c r="D3189" s="17">
        <f>IF(B3189="","",IFERROR(INDEX(Clay_Offices!$A$2:$FZ$601,338,Sync!$C$5)&amp;"",""))</f>
        <v/>
      </c>
      <c r="E3189" s="17">
        <f>IF(B3189="","",IFERROR(INDEX(Clay_Offices!$A$2:$FZ$601,338,Sync!$C$6)&amp;"",""))</f>
        <v/>
      </c>
      <c r="F3189" s="17">
        <f>IF(B3189="","","outreach_sent")</f>
        <v/>
      </c>
      <c r="G3189" s="17">
        <f>IF(B3189="","","")</f>
        <v/>
      </c>
      <c r="H3189" s="17">
        <f>IF(B3189="","","")</f>
        <v/>
      </c>
      <c r="I3189" s="17">
        <f>IF(B3189="","","")</f>
        <v/>
      </c>
      <c r="J3189" s="17">
        <f>IF(B3189="","","touch_3; "&amp;IFERROR(INDEX(Clay_Offices!$A$2:$FZ$601,338,Sync!$C$10)&amp;"","")&amp;"; "&amp;IFERROR(INDEX(Clay_Offices!$A$2:$FZ$601,338,Sync!$C$9)&amp;"",""))</f>
        <v/>
      </c>
      <c r="K3189" t="inlineStr">
        <is>
          <t>office outreach touch 3</t>
        </is>
      </c>
    </row>
    <row r="3190">
      <c r="A3190" s="17">
        <f>IF(B3190="","",B3190+(14*1000+339)/10000000)</f>
        <v/>
      </c>
      <c r="B3190" s="23">
        <f>IF(AND(IFERROR(N(INDEX(Clay_Offices!$A$2:$FZ$601,339,Sync!$C$13)),0)&gt;0,IFERROR(INDEX(Clay_Offices!$A$2:$FZ$601,339,Sync!$C$5)&amp;"","")&lt;&gt;"",OR(LEFT(IFERROR(INDEX(Clay_Offices!$A$2:$FZ$601,339,Sync!$C$5)&amp;"",""),6)&lt;&gt;"SAMPLE",Config!$B$19="Y")),IFERROR(N(INDEX(Clay_Offices!$A$2:$FZ$601,339,Sync!$C$13)),0),"")</f>
        <v/>
      </c>
      <c r="C3190" s="17">
        <f>IF(B3190="","","office")</f>
        <v/>
      </c>
      <c r="D3190" s="17">
        <f>IF(B3190="","",IFERROR(INDEX(Clay_Offices!$A$2:$FZ$601,339,Sync!$C$5)&amp;"",""))</f>
        <v/>
      </c>
      <c r="E3190" s="17">
        <f>IF(B3190="","",IFERROR(INDEX(Clay_Offices!$A$2:$FZ$601,339,Sync!$C$6)&amp;"",""))</f>
        <v/>
      </c>
      <c r="F3190" s="17">
        <f>IF(B3190="","","outreach_sent")</f>
        <v/>
      </c>
      <c r="G3190" s="17">
        <f>IF(B3190="","","")</f>
        <v/>
      </c>
      <c r="H3190" s="17">
        <f>IF(B3190="","","")</f>
        <v/>
      </c>
      <c r="I3190" s="17">
        <f>IF(B3190="","","")</f>
        <v/>
      </c>
      <c r="J3190" s="17">
        <f>IF(B3190="","","touch_3; "&amp;IFERROR(INDEX(Clay_Offices!$A$2:$FZ$601,339,Sync!$C$10)&amp;"","")&amp;"; "&amp;IFERROR(INDEX(Clay_Offices!$A$2:$FZ$601,339,Sync!$C$9)&amp;"",""))</f>
        <v/>
      </c>
      <c r="K3190" t="inlineStr">
        <is>
          <t>office outreach touch 3</t>
        </is>
      </c>
    </row>
    <row r="3191">
      <c r="A3191" s="17">
        <f>IF(B3191="","",B3191+(14*1000+340)/10000000)</f>
        <v/>
      </c>
      <c r="B3191" s="23">
        <f>IF(AND(IFERROR(N(INDEX(Clay_Offices!$A$2:$FZ$601,340,Sync!$C$13)),0)&gt;0,IFERROR(INDEX(Clay_Offices!$A$2:$FZ$601,340,Sync!$C$5)&amp;"","")&lt;&gt;"",OR(LEFT(IFERROR(INDEX(Clay_Offices!$A$2:$FZ$601,340,Sync!$C$5)&amp;"",""),6)&lt;&gt;"SAMPLE",Config!$B$19="Y")),IFERROR(N(INDEX(Clay_Offices!$A$2:$FZ$601,340,Sync!$C$13)),0),"")</f>
        <v/>
      </c>
      <c r="C3191" s="17">
        <f>IF(B3191="","","office")</f>
        <v/>
      </c>
      <c r="D3191" s="17">
        <f>IF(B3191="","",IFERROR(INDEX(Clay_Offices!$A$2:$FZ$601,340,Sync!$C$5)&amp;"",""))</f>
        <v/>
      </c>
      <c r="E3191" s="17">
        <f>IF(B3191="","",IFERROR(INDEX(Clay_Offices!$A$2:$FZ$601,340,Sync!$C$6)&amp;"",""))</f>
        <v/>
      </c>
      <c r="F3191" s="17">
        <f>IF(B3191="","","outreach_sent")</f>
        <v/>
      </c>
      <c r="G3191" s="17">
        <f>IF(B3191="","","")</f>
        <v/>
      </c>
      <c r="H3191" s="17">
        <f>IF(B3191="","","")</f>
        <v/>
      </c>
      <c r="I3191" s="17">
        <f>IF(B3191="","","")</f>
        <v/>
      </c>
      <c r="J3191" s="17">
        <f>IF(B3191="","","touch_3; "&amp;IFERROR(INDEX(Clay_Offices!$A$2:$FZ$601,340,Sync!$C$10)&amp;"","")&amp;"; "&amp;IFERROR(INDEX(Clay_Offices!$A$2:$FZ$601,340,Sync!$C$9)&amp;"",""))</f>
        <v/>
      </c>
      <c r="K3191" t="inlineStr">
        <is>
          <t>office outreach touch 3</t>
        </is>
      </c>
    </row>
    <row r="3192">
      <c r="A3192" s="17">
        <f>IF(B3192="","",B3192+(14*1000+341)/10000000)</f>
        <v/>
      </c>
      <c r="B3192" s="23">
        <f>IF(AND(IFERROR(N(INDEX(Clay_Offices!$A$2:$FZ$601,341,Sync!$C$13)),0)&gt;0,IFERROR(INDEX(Clay_Offices!$A$2:$FZ$601,341,Sync!$C$5)&amp;"","")&lt;&gt;"",OR(LEFT(IFERROR(INDEX(Clay_Offices!$A$2:$FZ$601,341,Sync!$C$5)&amp;"",""),6)&lt;&gt;"SAMPLE",Config!$B$19="Y")),IFERROR(N(INDEX(Clay_Offices!$A$2:$FZ$601,341,Sync!$C$13)),0),"")</f>
        <v/>
      </c>
      <c r="C3192" s="17">
        <f>IF(B3192="","","office")</f>
        <v/>
      </c>
      <c r="D3192" s="17">
        <f>IF(B3192="","",IFERROR(INDEX(Clay_Offices!$A$2:$FZ$601,341,Sync!$C$5)&amp;"",""))</f>
        <v/>
      </c>
      <c r="E3192" s="17">
        <f>IF(B3192="","",IFERROR(INDEX(Clay_Offices!$A$2:$FZ$601,341,Sync!$C$6)&amp;"",""))</f>
        <v/>
      </c>
      <c r="F3192" s="17">
        <f>IF(B3192="","","outreach_sent")</f>
        <v/>
      </c>
      <c r="G3192" s="17">
        <f>IF(B3192="","","")</f>
        <v/>
      </c>
      <c r="H3192" s="17">
        <f>IF(B3192="","","")</f>
        <v/>
      </c>
      <c r="I3192" s="17">
        <f>IF(B3192="","","")</f>
        <v/>
      </c>
      <c r="J3192" s="17">
        <f>IF(B3192="","","touch_3; "&amp;IFERROR(INDEX(Clay_Offices!$A$2:$FZ$601,341,Sync!$C$10)&amp;"","")&amp;"; "&amp;IFERROR(INDEX(Clay_Offices!$A$2:$FZ$601,341,Sync!$C$9)&amp;"",""))</f>
        <v/>
      </c>
      <c r="K3192" t="inlineStr">
        <is>
          <t>office outreach touch 3</t>
        </is>
      </c>
    </row>
    <row r="3193">
      <c r="A3193" s="17">
        <f>IF(B3193="","",B3193+(14*1000+342)/10000000)</f>
        <v/>
      </c>
      <c r="B3193" s="23">
        <f>IF(AND(IFERROR(N(INDEX(Clay_Offices!$A$2:$FZ$601,342,Sync!$C$13)),0)&gt;0,IFERROR(INDEX(Clay_Offices!$A$2:$FZ$601,342,Sync!$C$5)&amp;"","")&lt;&gt;"",OR(LEFT(IFERROR(INDEX(Clay_Offices!$A$2:$FZ$601,342,Sync!$C$5)&amp;"",""),6)&lt;&gt;"SAMPLE",Config!$B$19="Y")),IFERROR(N(INDEX(Clay_Offices!$A$2:$FZ$601,342,Sync!$C$13)),0),"")</f>
        <v/>
      </c>
      <c r="C3193" s="17">
        <f>IF(B3193="","","office")</f>
        <v/>
      </c>
      <c r="D3193" s="17">
        <f>IF(B3193="","",IFERROR(INDEX(Clay_Offices!$A$2:$FZ$601,342,Sync!$C$5)&amp;"",""))</f>
        <v/>
      </c>
      <c r="E3193" s="17">
        <f>IF(B3193="","",IFERROR(INDEX(Clay_Offices!$A$2:$FZ$601,342,Sync!$C$6)&amp;"",""))</f>
        <v/>
      </c>
      <c r="F3193" s="17">
        <f>IF(B3193="","","outreach_sent")</f>
        <v/>
      </c>
      <c r="G3193" s="17">
        <f>IF(B3193="","","")</f>
        <v/>
      </c>
      <c r="H3193" s="17">
        <f>IF(B3193="","","")</f>
        <v/>
      </c>
      <c r="I3193" s="17">
        <f>IF(B3193="","","")</f>
        <v/>
      </c>
      <c r="J3193" s="17">
        <f>IF(B3193="","","touch_3; "&amp;IFERROR(INDEX(Clay_Offices!$A$2:$FZ$601,342,Sync!$C$10)&amp;"","")&amp;"; "&amp;IFERROR(INDEX(Clay_Offices!$A$2:$FZ$601,342,Sync!$C$9)&amp;"",""))</f>
        <v/>
      </c>
      <c r="K3193" t="inlineStr">
        <is>
          <t>office outreach touch 3</t>
        </is>
      </c>
    </row>
    <row r="3194">
      <c r="A3194" s="17">
        <f>IF(B3194="","",B3194+(14*1000+343)/10000000)</f>
        <v/>
      </c>
      <c r="B3194" s="23">
        <f>IF(AND(IFERROR(N(INDEX(Clay_Offices!$A$2:$FZ$601,343,Sync!$C$13)),0)&gt;0,IFERROR(INDEX(Clay_Offices!$A$2:$FZ$601,343,Sync!$C$5)&amp;"","")&lt;&gt;"",OR(LEFT(IFERROR(INDEX(Clay_Offices!$A$2:$FZ$601,343,Sync!$C$5)&amp;"",""),6)&lt;&gt;"SAMPLE",Config!$B$19="Y")),IFERROR(N(INDEX(Clay_Offices!$A$2:$FZ$601,343,Sync!$C$13)),0),"")</f>
        <v/>
      </c>
      <c r="C3194" s="17">
        <f>IF(B3194="","","office")</f>
        <v/>
      </c>
      <c r="D3194" s="17">
        <f>IF(B3194="","",IFERROR(INDEX(Clay_Offices!$A$2:$FZ$601,343,Sync!$C$5)&amp;"",""))</f>
        <v/>
      </c>
      <c r="E3194" s="17">
        <f>IF(B3194="","",IFERROR(INDEX(Clay_Offices!$A$2:$FZ$601,343,Sync!$C$6)&amp;"",""))</f>
        <v/>
      </c>
      <c r="F3194" s="17">
        <f>IF(B3194="","","outreach_sent")</f>
        <v/>
      </c>
      <c r="G3194" s="17">
        <f>IF(B3194="","","")</f>
        <v/>
      </c>
      <c r="H3194" s="17">
        <f>IF(B3194="","","")</f>
        <v/>
      </c>
      <c r="I3194" s="17">
        <f>IF(B3194="","","")</f>
        <v/>
      </c>
      <c r="J3194" s="17">
        <f>IF(B3194="","","touch_3; "&amp;IFERROR(INDEX(Clay_Offices!$A$2:$FZ$601,343,Sync!$C$10)&amp;"","")&amp;"; "&amp;IFERROR(INDEX(Clay_Offices!$A$2:$FZ$601,343,Sync!$C$9)&amp;"",""))</f>
        <v/>
      </c>
      <c r="K3194" t="inlineStr">
        <is>
          <t>office outreach touch 3</t>
        </is>
      </c>
    </row>
    <row r="3195">
      <c r="A3195" s="17">
        <f>IF(B3195="","",B3195+(14*1000+344)/10000000)</f>
        <v/>
      </c>
      <c r="B3195" s="23">
        <f>IF(AND(IFERROR(N(INDEX(Clay_Offices!$A$2:$FZ$601,344,Sync!$C$13)),0)&gt;0,IFERROR(INDEX(Clay_Offices!$A$2:$FZ$601,344,Sync!$C$5)&amp;"","")&lt;&gt;"",OR(LEFT(IFERROR(INDEX(Clay_Offices!$A$2:$FZ$601,344,Sync!$C$5)&amp;"",""),6)&lt;&gt;"SAMPLE",Config!$B$19="Y")),IFERROR(N(INDEX(Clay_Offices!$A$2:$FZ$601,344,Sync!$C$13)),0),"")</f>
        <v/>
      </c>
      <c r="C3195" s="17">
        <f>IF(B3195="","","office")</f>
        <v/>
      </c>
      <c r="D3195" s="17">
        <f>IF(B3195="","",IFERROR(INDEX(Clay_Offices!$A$2:$FZ$601,344,Sync!$C$5)&amp;"",""))</f>
        <v/>
      </c>
      <c r="E3195" s="17">
        <f>IF(B3195="","",IFERROR(INDEX(Clay_Offices!$A$2:$FZ$601,344,Sync!$C$6)&amp;"",""))</f>
        <v/>
      </c>
      <c r="F3195" s="17">
        <f>IF(B3195="","","outreach_sent")</f>
        <v/>
      </c>
      <c r="G3195" s="17">
        <f>IF(B3195="","","")</f>
        <v/>
      </c>
      <c r="H3195" s="17">
        <f>IF(B3195="","","")</f>
        <v/>
      </c>
      <c r="I3195" s="17">
        <f>IF(B3195="","","")</f>
        <v/>
      </c>
      <c r="J3195" s="17">
        <f>IF(B3195="","","touch_3; "&amp;IFERROR(INDEX(Clay_Offices!$A$2:$FZ$601,344,Sync!$C$10)&amp;"","")&amp;"; "&amp;IFERROR(INDEX(Clay_Offices!$A$2:$FZ$601,344,Sync!$C$9)&amp;"",""))</f>
        <v/>
      </c>
      <c r="K3195" t="inlineStr">
        <is>
          <t>office outreach touch 3</t>
        </is>
      </c>
    </row>
    <row r="3196">
      <c r="A3196" s="17">
        <f>IF(B3196="","",B3196+(14*1000+345)/10000000)</f>
        <v/>
      </c>
      <c r="B3196" s="23">
        <f>IF(AND(IFERROR(N(INDEX(Clay_Offices!$A$2:$FZ$601,345,Sync!$C$13)),0)&gt;0,IFERROR(INDEX(Clay_Offices!$A$2:$FZ$601,345,Sync!$C$5)&amp;"","")&lt;&gt;"",OR(LEFT(IFERROR(INDEX(Clay_Offices!$A$2:$FZ$601,345,Sync!$C$5)&amp;"",""),6)&lt;&gt;"SAMPLE",Config!$B$19="Y")),IFERROR(N(INDEX(Clay_Offices!$A$2:$FZ$601,345,Sync!$C$13)),0),"")</f>
        <v/>
      </c>
      <c r="C3196" s="17">
        <f>IF(B3196="","","office")</f>
        <v/>
      </c>
      <c r="D3196" s="17">
        <f>IF(B3196="","",IFERROR(INDEX(Clay_Offices!$A$2:$FZ$601,345,Sync!$C$5)&amp;"",""))</f>
        <v/>
      </c>
      <c r="E3196" s="17">
        <f>IF(B3196="","",IFERROR(INDEX(Clay_Offices!$A$2:$FZ$601,345,Sync!$C$6)&amp;"",""))</f>
        <v/>
      </c>
      <c r="F3196" s="17">
        <f>IF(B3196="","","outreach_sent")</f>
        <v/>
      </c>
      <c r="G3196" s="17">
        <f>IF(B3196="","","")</f>
        <v/>
      </c>
      <c r="H3196" s="17">
        <f>IF(B3196="","","")</f>
        <v/>
      </c>
      <c r="I3196" s="17">
        <f>IF(B3196="","","")</f>
        <v/>
      </c>
      <c r="J3196" s="17">
        <f>IF(B3196="","","touch_3; "&amp;IFERROR(INDEX(Clay_Offices!$A$2:$FZ$601,345,Sync!$C$10)&amp;"","")&amp;"; "&amp;IFERROR(INDEX(Clay_Offices!$A$2:$FZ$601,345,Sync!$C$9)&amp;"",""))</f>
        <v/>
      </c>
      <c r="K3196" t="inlineStr">
        <is>
          <t>office outreach touch 3</t>
        </is>
      </c>
    </row>
    <row r="3197">
      <c r="A3197" s="17">
        <f>IF(B3197="","",B3197+(14*1000+346)/10000000)</f>
        <v/>
      </c>
      <c r="B3197" s="23">
        <f>IF(AND(IFERROR(N(INDEX(Clay_Offices!$A$2:$FZ$601,346,Sync!$C$13)),0)&gt;0,IFERROR(INDEX(Clay_Offices!$A$2:$FZ$601,346,Sync!$C$5)&amp;"","")&lt;&gt;"",OR(LEFT(IFERROR(INDEX(Clay_Offices!$A$2:$FZ$601,346,Sync!$C$5)&amp;"",""),6)&lt;&gt;"SAMPLE",Config!$B$19="Y")),IFERROR(N(INDEX(Clay_Offices!$A$2:$FZ$601,346,Sync!$C$13)),0),"")</f>
        <v/>
      </c>
      <c r="C3197" s="17">
        <f>IF(B3197="","","office")</f>
        <v/>
      </c>
      <c r="D3197" s="17">
        <f>IF(B3197="","",IFERROR(INDEX(Clay_Offices!$A$2:$FZ$601,346,Sync!$C$5)&amp;"",""))</f>
        <v/>
      </c>
      <c r="E3197" s="17">
        <f>IF(B3197="","",IFERROR(INDEX(Clay_Offices!$A$2:$FZ$601,346,Sync!$C$6)&amp;"",""))</f>
        <v/>
      </c>
      <c r="F3197" s="17">
        <f>IF(B3197="","","outreach_sent")</f>
        <v/>
      </c>
      <c r="G3197" s="17">
        <f>IF(B3197="","","")</f>
        <v/>
      </c>
      <c r="H3197" s="17">
        <f>IF(B3197="","","")</f>
        <v/>
      </c>
      <c r="I3197" s="17">
        <f>IF(B3197="","","")</f>
        <v/>
      </c>
      <c r="J3197" s="17">
        <f>IF(B3197="","","touch_3; "&amp;IFERROR(INDEX(Clay_Offices!$A$2:$FZ$601,346,Sync!$C$10)&amp;"","")&amp;"; "&amp;IFERROR(INDEX(Clay_Offices!$A$2:$FZ$601,346,Sync!$C$9)&amp;"",""))</f>
        <v/>
      </c>
      <c r="K3197" t="inlineStr">
        <is>
          <t>office outreach touch 3</t>
        </is>
      </c>
    </row>
    <row r="3198">
      <c r="A3198" s="17">
        <f>IF(B3198="","",B3198+(14*1000+347)/10000000)</f>
        <v/>
      </c>
      <c r="B3198" s="23">
        <f>IF(AND(IFERROR(N(INDEX(Clay_Offices!$A$2:$FZ$601,347,Sync!$C$13)),0)&gt;0,IFERROR(INDEX(Clay_Offices!$A$2:$FZ$601,347,Sync!$C$5)&amp;"","")&lt;&gt;"",OR(LEFT(IFERROR(INDEX(Clay_Offices!$A$2:$FZ$601,347,Sync!$C$5)&amp;"",""),6)&lt;&gt;"SAMPLE",Config!$B$19="Y")),IFERROR(N(INDEX(Clay_Offices!$A$2:$FZ$601,347,Sync!$C$13)),0),"")</f>
        <v/>
      </c>
      <c r="C3198" s="17">
        <f>IF(B3198="","","office")</f>
        <v/>
      </c>
      <c r="D3198" s="17">
        <f>IF(B3198="","",IFERROR(INDEX(Clay_Offices!$A$2:$FZ$601,347,Sync!$C$5)&amp;"",""))</f>
        <v/>
      </c>
      <c r="E3198" s="17">
        <f>IF(B3198="","",IFERROR(INDEX(Clay_Offices!$A$2:$FZ$601,347,Sync!$C$6)&amp;"",""))</f>
        <v/>
      </c>
      <c r="F3198" s="17">
        <f>IF(B3198="","","outreach_sent")</f>
        <v/>
      </c>
      <c r="G3198" s="17">
        <f>IF(B3198="","","")</f>
        <v/>
      </c>
      <c r="H3198" s="17">
        <f>IF(B3198="","","")</f>
        <v/>
      </c>
      <c r="I3198" s="17">
        <f>IF(B3198="","","")</f>
        <v/>
      </c>
      <c r="J3198" s="17">
        <f>IF(B3198="","","touch_3; "&amp;IFERROR(INDEX(Clay_Offices!$A$2:$FZ$601,347,Sync!$C$10)&amp;"","")&amp;"; "&amp;IFERROR(INDEX(Clay_Offices!$A$2:$FZ$601,347,Sync!$C$9)&amp;"",""))</f>
        <v/>
      </c>
      <c r="K3198" t="inlineStr">
        <is>
          <t>office outreach touch 3</t>
        </is>
      </c>
    </row>
    <row r="3199">
      <c r="A3199" s="17">
        <f>IF(B3199="","",B3199+(14*1000+348)/10000000)</f>
        <v/>
      </c>
      <c r="B3199" s="23">
        <f>IF(AND(IFERROR(N(INDEX(Clay_Offices!$A$2:$FZ$601,348,Sync!$C$13)),0)&gt;0,IFERROR(INDEX(Clay_Offices!$A$2:$FZ$601,348,Sync!$C$5)&amp;"","")&lt;&gt;"",OR(LEFT(IFERROR(INDEX(Clay_Offices!$A$2:$FZ$601,348,Sync!$C$5)&amp;"",""),6)&lt;&gt;"SAMPLE",Config!$B$19="Y")),IFERROR(N(INDEX(Clay_Offices!$A$2:$FZ$601,348,Sync!$C$13)),0),"")</f>
        <v/>
      </c>
      <c r="C3199" s="17">
        <f>IF(B3199="","","office")</f>
        <v/>
      </c>
      <c r="D3199" s="17">
        <f>IF(B3199="","",IFERROR(INDEX(Clay_Offices!$A$2:$FZ$601,348,Sync!$C$5)&amp;"",""))</f>
        <v/>
      </c>
      <c r="E3199" s="17">
        <f>IF(B3199="","",IFERROR(INDEX(Clay_Offices!$A$2:$FZ$601,348,Sync!$C$6)&amp;"",""))</f>
        <v/>
      </c>
      <c r="F3199" s="17">
        <f>IF(B3199="","","outreach_sent")</f>
        <v/>
      </c>
      <c r="G3199" s="17">
        <f>IF(B3199="","","")</f>
        <v/>
      </c>
      <c r="H3199" s="17">
        <f>IF(B3199="","","")</f>
        <v/>
      </c>
      <c r="I3199" s="17">
        <f>IF(B3199="","","")</f>
        <v/>
      </c>
      <c r="J3199" s="17">
        <f>IF(B3199="","","touch_3; "&amp;IFERROR(INDEX(Clay_Offices!$A$2:$FZ$601,348,Sync!$C$10)&amp;"","")&amp;"; "&amp;IFERROR(INDEX(Clay_Offices!$A$2:$FZ$601,348,Sync!$C$9)&amp;"",""))</f>
        <v/>
      </c>
      <c r="K3199" t="inlineStr">
        <is>
          <t>office outreach touch 3</t>
        </is>
      </c>
    </row>
    <row r="3200">
      <c r="A3200" s="17">
        <f>IF(B3200="","",B3200+(14*1000+349)/10000000)</f>
        <v/>
      </c>
      <c r="B3200" s="23">
        <f>IF(AND(IFERROR(N(INDEX(Clay_Offices!$A$2:$FZ$601,349,Sync!$C$13)),0)&gt;0,IFERROR(INDEX(Clay_Offices!$A$2:$FZ$601,349,Sync!$C$5)&amp;"","")&lt;&gt;"",OR(LEFT(IFERROR(INDEX(Clay_Offices!$A$2:$FZ$601,349,Sync!$C$5)&amp;"",""),6)&lt;&gt;"SAMPLE",Config!$B$19="Y")),IFERROR(N(INDEX(Clay_Offices!$A$2:$FZ$601,349,Sync!$C$13)),0),"")</f>
        <v/>
      </c>
      <c r="C3200" s="17">
        <f>IF(B3200="","","office")</f>
        <v/>
      </c>
      <c r="D3200" s="17">
        <f>IF(B3200="","",IFERROR(INDEX(Clay_Offices!$A$2:$FZ$601,349,Sync!$C$5)&amp;"",""))</f>
        <v/>
      </c>
      <c r="E3200" s="17">
        <f>IF(B3200="","",IFERROR(INDEX(Clay_Offices!$A$2:$FZ$601,349,Sync!$C$6)&amp;"",""))</f>
        <v/>
      </c>
      <c r="F3200" s="17">
        <f>IF(B3200="","","outreach_sent")</f>
        <v/>
      </c>
      <c r="G3200" s="17">
        <f>IF(B3200="","","")</f>
        <v/>
      </c>
      <c r="H3200" s="17">
        <f>IF(B3200="","","")</f>
        <v/>
      </c>
      <c r="I3200" s="17">
        <f>IF(B3200="","","")</f>
        <v/>
      </c>
      <c r="J3200" s="17">
        <f>IF(B3200="","","touch_3; "&amp;IFERROR(INDEX(Clay_Offices!$A$2:$FZ$601,349,Sync!$C$10)&amp;"","")&amp;"; "&amp;IFERROR(INDEX(Clay_Offices!$A$2:$FZ$601,349,Sync!$C$9)&amp;"",""))</f>
        <v/>
      </c>
      <c r="K3200" t="inlineStr">
        <is>
          <t>office outreach touch 3</t>
        </is>
      </c>
    </row>
    <row r="3201">
      <c r="A3201" s="17">
        <f>IF(B3201="","",B3201+(14*1000+350)/10000000)</f>
        <v/>
      </c>
      <c r="B3201" s="23">
        <f>IF(AND(IFERROR(N(INDEX(Clay_Offices!$A$2:$FZ$601,350,Sync!$C$13)),0)&gt;0,IFERROR(INDEX(Clay_Offices!$A$2:$FZ$601,350,Sync!$C$5)&amp;"","")&lt;&gt;"",OR(LEFT(IFERROR(INDEX(Clay_Offices!$A$2:$FZ$601,350,Sync!$C$5)&amp;"",""),6)&lt;&gt;"SAMPLE",Config!$B$19="Y")),IFERROR(N(INDEX(Clay_Offices!$A$2:$FZ$601,350,Sync!$C$13)),0),"")</f>
        <v/>
      </c>
      <c r="C3201" s="17">
        <f>IF(B3201="","","office")</f>
        <v/>
      </c>
      <c r="D3201" s="17">
        <f>IF(B3201="","",IFERROR(INDEX(Clay_Offices!$A$2:$FZ$601,350,Sync!$C$5)&amp;"",""))</f>
        <v/>
      </c>
      <c r="E3201" s="17">
        <f>IF(B3201="","",IFERROR(INDEX(Clay_Offices!$A$2:$FZ$601,350,Sync!$C$6)&amp;"",""))</f>
        <v/>
      </c>
      <c r="F3201" s="17">
        <f>IF(B3201="","","outreach_sent")</f>
        <v/>
      </c>
      <c r="G3201" s="17">
        <f>IF(B3201="","","")</f>
        <v/>
      </c>
      <c r="H3201" s="17">
        <f>IF(B3201="","","")</f>
        <v/>
      </c>
      <c r="I3201" s="17">
        <f>IF(B3201="","","")</f>
        <v/>
      </c>
      <c r="J3201" s="17">
        <f>IF(B3201="","","touch_3; "&amp;IFERROR(INDEX(Clay_Offices!$A$2:$FZ$601,350,Sync!$C$10)&amp;"","")&amp;"; "&amp;IFERROR(INDEX(Clay_Offices!$A$2:$FZ$601,350,Sync!$C$9)&amp;"",""))</f>
        <v/>
      </c>
      <c r="K3201" t="inlineStr">
        <is>
          <t>office outreach touch 3</t>
        </is>
      </c>
    </row>
    <row r="3202">
      <c r="A3202" s="17">
        <f>IF(B3202="","",B3202+(14*1000+351)/10000000)</f>
        <v/>
      </c>
      <c r="B3202" s="23">
        <f>IF(AND(IFERROR(N(INDEX(Clay_Offices!$A$2:$FZ$601,351,Sync!$C$13)),0)&gt;0,IFERROR(INDEX(Clay_Offices!$A$2:$FZ$601,351,Sync!$C$5)&amp;"","")&lt;&gt;"",OR(LEFT(IFERROR(INDEX(Clay_Offices!$A$2:$FZ$601,351,Sync!$C$5)&amp;"",""),6)&lt;&gt;"SAMPLE",Config!$B$19="Y")),IFERROR(N(INDEX(Clay_Offices!$A$2:$FZ$601,351,Sync!$C$13)),0),"")</f>
        <v/>
      </c>
      <c r="C3202" s="17">
        <f>IF(B3202="","","office")</f>
        <v/>
      </c>
      <c r="D3202" s="17">
        <f>IF(B3202="","",IFERROR(INDEX(Clay_Offices!$A$2:$FZ$601,351,Sync!$C$5)&amp;"",""))</f>
        <v/>
      </c>
      <c r="E3202" s="17">
        <f>IF(B3202="","",IFERROR(INDEX(Clay_Offices!$A$2:$FZ$601,351,Sync!$C$6)&amp;"",""))</f>
        <v/>
      </c>
      <c r="F3202" s="17">
        <f>IF(B3202="","","outreach_sent")</f>
        <v/>
      </c>
      <c r="G3202" s="17">
        <f>IF(B3202="","","")</f>
        <v/>
      </c>
      <c r="H3202" s="17">
        <f>IF(B3202="","","")</f>
        <v/>
      </c>
      <c r="I3202" s="17">
        <f>IF(B3202="","","")</f>
        <v/>
      </c>
      <c r="J3202" s="17">
        <f>IF(B3202="","","touch_3; "&amp;IFERROR(INDEX(Clay_Offices!$A$2:$FZ$601,351,Sync!$C$10)&amp;"","")&amp;"; "&amp;IFERROR(INDEX(Clay_Offices!$A$2:$FZ$601,351,Sync!$C$9)&amp;"",""))</f>
        <v/>
      </c>
      <c r="K3202" t="inlineStr">
        <is>
          <t>office outreach touch 3</t>
        </is>
      </c>
    </row>
    <row r="3203">
      <c r="A3203" s="17">
        <f>IF(B3203="","",B3203+(14*1000+352)/10000000)</f>
        <v/>
      </c>
      <c r="B3203" s="23">
        <f>IF(AND(IFERROR(N(INDEX(Clay_Offices!$A$2:$FZ$601,352,Sync!$C$13)),0)&gt;0,IFERROR(INDEX(Clay_Offices!$A$2:$FZ$601,352,Sync!$C$5)&amp;"","")&lt;&gt;"",OR(LEFT(IFERROR(INDEX(Clay_Offices!$A$2:$FZ$601,352,Sync!$C$5)&amp;"",""),6)&lt;&gt;"SAMPLE",Config!$B$19="Y")),IFERROR(N(INDEX(Clay_Offices!$A$2:$FZ$601,352,Sync!$C$13)),0),"")</f>
        <v/>
      </c>
      <c r="C3203" s="17">
        <f>IF(B3203="","","office")</f>
        <v/>
      </c>
      <c r="D3203" s="17">
        <f>IF(B3203="","",IFERROR(INDEX(Clay_Offices!$A$2:$FZ$601,352,Sync!$C$5)&amp;"",""))</f>
        <v/>
      </c>
      <c r="E3203" s="17">
        <f>IF(B3203="","",IFERROR(INDEX(Clay_Offices!$A$2:$FZ$601,352,Sync!$C$6)&amp;"",""))</f>
        <v/>
      </c>
      <c r="F3203" s="17">
        <f>IF(B3203="","","outreach_sent")</f>
        <v/>
      </c>
      <c r="G3203" s="17">
        <f>IF(B3203="","","")</f>
        <v/>
      </c>
      <c r="H3203" s="17">
        <f>IF(B3203="","","")</f>
        <v/>
      </c>
      <c r="I3203" s="17">
        <f>IF(B3203="","","")</f>
        <v/>
      </c>
      <c r="J3203" s="17">
        <f>IF(B3203="","","touch_3; "&amp;IFERROR(INDEX(Clay_Offices!$A$2:$FZ$601,352,Sync!$C$10)&amp;"","")&amp;"; "&amp;IFERROR(INDEX(Clay_Offices!$A$2:$FZ$601,352,Sync!$C$9)&amp;"",""))</f>
        <v/>
      </c>
      <c r="K3203" t="inlineStr">
        <is>
          <t>office outreach touch 3</t>
        </is>
      </c>
    </row>
    <row r="3204">
      <c r="A3204" s="17">
        <f>IF(B3204="","",B3204+(14*1000+353)/10000000)</f>
        <v/>
      </c>
      <c r="B3204" s="23">
        <f>IF(AND(IFERROR(N(INDEX(Clay_Offices!$A$2:$FZ$601,353,Sync!$C$13)),0)&gt;0,IFERROR(INDEX(Clay_Offices!$A$2:$FZ$601,353,Sync!$C$5)&amp;"","")&lt;&gt;"",OR(LEFT(IFERROR(INDEX(Clay_Offices!$A$2:$FZ$601,353,Sync!$C$5)&amp;"",""),6)&lt;&gt;"SAMPLE",Config!$B$19="Y")),IFERROR(N(INDEX(Clay_Offices!$A$2:$FZ$601,353,Sync!$C$13)),0),"")</f>
        <v/>
      </c>
      <c r="C3204" s="17">
        <f>IF(B3204="","","office")</f>
        <v/>
      </c>
      <c r="D3204" s="17">
        <f>IF(B3204="","",IFERROR(INDEX(Clay_Offices!$A$2:$FZ$601,353,Sync!$C$5)&amp;"",""))</f>
        <v/>
      </c>
      <c r="E3204" s="17">
        <f>IF(B3204="","",IFERROR(INDEX(Clay_Offices!$A$2:$FZ$601,353,Sync!$C$6)&amp;"",""))</f>
        <v/>
      </c>
      <c r="F3204" s="17">
        <f>IF(B3204="","","outreach_sent")</f>
        <v/>
      </c>
      <c r="G3204" s="17">
        <f>IF(B3204="","","")</f>
        <v/>
      </c>
      <c r="H3204" s="17">
        <f>IF(B3204="","","")</f>
        <v/>
      </c>
      <c r="I3204" s="17">
        <f>IF(B3204="","","")</f>
        <v/>
      </c>
      <c r="J3204" s="17">
        <f>IF(B3204="","","touch_3; "&amp;IFERROR(INDEX(Clay_Offices!$A$2:$FZ$601,353,Sync!$C$10)&amp;"","")&amp;"; "&amp;IFERROR(INDEX(Clay_Offices!$A$2:$FZ$601,353,Sync!$C$9)&amp;"",""))</f>
        <v/>
      </c>
      <c r="K3204" t="inlineStr">
        <is>
          <t>office outreach touch 3</t>
        </is>
      </c>
    </row>
    <row r="3205">
      <c r="A3205" s="17">
        <f>IF(B3205="","",B3205+(14*1000+354)/10000000)</f>
        <v/>
      </c>
      <c r="B3205" s="23">
        <f>IF(AND(IFERROR(N(INDEX(Clay_Offices!$A$2:$FZ$601,354,Sync!$C$13)),0)&gt;0,IFERROR(INDEX(Clay_Offices!$A$2:$FZ$601,354,Sync!$C$5)&amp;"","")&lt;&gt;"",OR(LEFT(IFERROR(INDEX(Clay_Offices!$A$2:$FZ$601,354,Sync!$C$5)&amp;"",""),6)&lt;&gt;"SAMPLE",Config!$B$19="Y")),IFERROR(N(INDEX(Clay_Offices!$A$2:$FZ$601,354,Sync!$C$13)),0),"")</f>
        <v/>
      </c>
      <c r="C3205" s="17">
        <f>IF(B3205="","","office")</f>
        <v/>
      </c>
      <c r="D3205" s="17">
        <f>IF(B3205="","",IFERROR(INDEX(Clay_Offices!$A$2:$FZ$601,354,Sync!$C$5)&amp;"",""))</f>
        <v/>
      </c>
      <c r="E3205" s="17">
        <f>IF(B3205="","",IFERROR(INDEX(Clay_Offices!$A$2:$FZ$601,354,Sync!$C$6)&amp;"",""))</f>
        <v/>
      </c>
      <c r="F3205" s="17">
        <f>IF(B3205="","","outreach_sent")</f>
        <v/>
      </c>
      <c r="G3205" s="17">
        <f>IF(B3205="","","")</f>
        <v/>
      </c>
      <c r="H3205" s="17">
        <f>IF(B3205="","","")</f>
        <v/>
      </c>
      <c r="I3205" s="17">
        <f>IF(B3205="","","")</f>
        <v/>
      </c>
      <c r="J3205" s="17">
        <f>IF(B3205="","","touch_3; "&amp;IFERROR(INDEX(Clay_Offices!$A$2:$FZ$601,354,Sync!$C$10)&amp;"","")&amp;"; "&amp;IFERROR(INDEX(Clay_Offices!$A$2:$FZ$601,354,Sync!$C$9)&amp;"",""))</f>
        <v/>
      </c>
      <c r="K3205" t="inlineStr">
        <is>
          <t>office outreach touch 3</t>
        </is>
      </c>
    </row>
    <row r="3206">
      <c r="A3206" s="17">
        <f>IF(B3206="","",B3206+(14*1000+355)/10000000)</f>
        <v/>
      </c>
      <c r="B3206" s="23">
        <f>IF(AND(IFERROR(N(INDEX(Clay_Offices!$A$2:$FZ$601,355,Sync!$C$13)),0)&gt;0,IFERROR(INDEX(Clay_Offices!$A$2:$FZ$601,355,Sync!$C$5)&amp;"","")&lt;&gt;"",OR(LEFT(IFERROR(INDEX(Clay_Offices!$A$2:$FZ$601,355,Sync!$C$5)&amp;"",""),6)&lt;&gt;"SAMPLE",Config!$B$19="Y")),IFERROR(N(INDEX(Clay_Offices!$A$2:$FZ$601,355,Sync!$C$13)),0),"")</f>
        <v/>
      </c>
      <c r="C3206" s="17">
        <f>IF(B3206="","","office")</f>
        <v/>
      </c>
      <c r="D3206" s="17">
        <f>IF(B3206="","",IFERROR(INDEX(Clay_Offices!$A$2:$FZ$601,355,Sync!$C$5)&amp;"",""))</f>
        <v/>
      </c>
      <c r="E3206" s="17">
        <f>IF(B3206="","",IFERROR(INDEX(Clay_Offices!$A$2:$FZ$601,355,Sync!$C$6)&amp;"",""))</f>
        <v/>
      </c>
      <c r="F3206" s="17">
        <f>IF(B3206="","","outreach_sent")</f>
        <v/>
      </c>
      <c r="G3206" s="17">
        <f>IF(B3206="","","")</f>
        <v/>
      </c>
      <c r="H3206" s="17">
        <f>IF(B3206="","","")</f>
        <v/>
      </c>
      <c r="I3206" s="17">
        <f>IF(B3206="","","")</f>
        <v/>
      </c>
      <c r="J3206" s="17">
        <f>IF(B3206="","","touch_3; "&amp;IFERROR(INDEX(Clay_Offices!$A$2:$FZ$601,355,Sync!$C$10)&amp;"","")&amp;"; "&amp;IFERROR(INDEX(Clay_Offices!$A$2:$FZ$601,355,Sync!$C$9)&amp;"",""))</f>
        <v/>
      </c>
      <c r="K3206" t="inlineStr">
        <is>
          <t>office outreach touch 3</t>
        </is>
      </c>
    </row>
    <row r="3207">
      <c r="A3207" s="17">
        <f>IF(B3207="","",B3207+(14*1000+356)/10000000)</f>
        <v/>
      </c>
      <c r="B3207" s="23">
        <f>IF(AND(IFERROR(N(INDEX(Clay_Offices!$A$2:$FZ$601,356,Sync!$C$13)),0)&gt;0,IFERROR(INDEX(Clay_Offices!$A$2:$FZ$601,356,Sync!$C$5)&amp;"","")&lt;&gt;"",OR(LEFT(IFERROR(INDEX(Clay_Offices!$A$2:$FZ$601,356,Sync!$C$5)&amp;"",""),6)&lt;&gt;"SAMPLE",Config!$B$19="Y")),IFERROR(N(INDEX(Clay_Offices!$A$2:$FZ$601,356,Sync!$C$13)),0),"")</f>
        <v/>
      </c>
      <c r="C3207" s="17">
        <f>IF(B3207="","","office")</f>
        <v/>
      </c>
      <c r="D3207" s="17">
        <f>IF(B3207="","",IFERROR(INDEX(Clay_Offices!$A$2:$FZ$601,356,Sync!$C$5)&amp;"",""))</f>
        <v/>
      </c>
      <c r="E3207" s="17">
        <f>IF(B3207="","",IFERROR(INDEX(Clay_Offices!$A$2:$FZ$601,356,Sync!$C$6)&amp;"",""))</f>
        <v/>
      </c>
      <c r="F3207" s="17">
        <f>IF(B3207="","","outreach_sent")</f>
        <v/>
      </c>
      <c r="G3207" s="17">
        <f>IF(B3207="","","")</f>
        <v/>
      </c>
      <c r="H3207" s="17">
        <f>IF(B3207="","","")</f>
        <v/>
      </c>
      <c r="I3207" s="17">
        <f>IF(B3207="","","")</f>
        <v/>
      </c>
      <c r="J3207" s="17">
        <f>IF(B3207="","","touch_3; "&amp;IFERROR(INDEX(Clay_Offices!$A$2:$FZ$601,356,Sync!$C$10)&amp;"","")&amp;"; "&amp;IFERROR(INDEX(Clay_Offices!$A$2:$FZ$601,356,Sync!$C$9)&amp;"",""))</f>
        <v/>
      </c>
      <c r="K3207" t="inlineStr">
        <is>
          <t>office outreach touch 3</t>
        </is>
      </c>
    </row>
    <row r="3208">
      <c r="A3208" s="17">
        <f>IF(B3208="","",B3208+(14*1000+357)/10000000)</f>
        <v/>
      </c>
      <c r="B3208" s="23">
        <f>IF(AND(IFERROR(N(INDEX(Clay_Offices!$A$2:$FZ$601,357,Sync!$C$13)),0)&gt;0,IFERROR(INDEX(Clay_Offices!$A$2:$FZ$601,357,Sync!$C$5)&amp;"","")&lt;&gt;"",OR(LEFT(IFERROR(INDEX(Clay_Offices!$A$2:$FZ$601,357,Sync!$C$5)&amp;"",""),6)&lt;&gt;"SAMPLE",Config!$B$19="Y")),IFERROR(N(INDEX(Clay_Offices!$A$2:$FZ$601,357,Sync!$C$13)),0),"")</f>
        <v/>
      </c>
      <c r="C3208" s="17">
        <f>IF(B3208="","","office")</f>
        <v/>
      </c>
      <c r="D3208" s="17">
        <f>IF(B3208="","",IFERROR(INDEX(Clay_Offices!$A$2:$FZ$601,357,Sync!$C$5)&amp;"",""))</f>
        <v/>
      </c>
      <c r="E3208" s="17">
        <f>IF(B3208="","",IFERROR(INDEX(Clay_Offices!$A$2:$FZ$601,357,Sync!$C$6)&amp;"",""))</f>
        <v/>
      </c>
      <c r="F3208" s="17">
        <f>IF(B3208="","","outreach_sent")</f>
        <v/>
      </c>
      <c r="G3208" s="17">
        <f>IF(B3208="","","")</f>
        <v/>
      </c>
      <c r="H3208" s="17">
        <f>IF(B3208="","","")</f>
        <v/>
      </c>
      <c r="I3208" s="17">
        <f>IF(B3208="","","")</f>
        <v/>
      </c>
      <c r="J3208" s="17">
        <f>IF(B3208="","","touch_3; "&amp;IFERROR(INDEX(Clay_Offices!$A$2:$FZ$601,357,Sync!$C$10)&amp;"","")&amp;"; "&amp;IFERROR(INDEX(Clay_Offices!$A$2:$FZ$601,357,Sync!$C$9)&amp;"",""))</f>
        <v/>
      </c>
      <c r="K3208" t="inlineStr">
        <is>
          <t>office outreach touch 3</t>
        </is>
      </c>
    </row>
    <row r="3209">
      <c r="A3209" s="17">
        <f>IF(B3209="","",B3209+(14*1000+358)/10000000)</f>
        <v/>
      </c>
      <c r="B3209" s="23">
        <f>IF(AND(IFERROR(N(INDEX(Clay_Offices!$A$2:$FZ$601,358,Sync!$C$13)),0)&gt;0,IFERROR(INDEX(Clay_Offices!$A$2:$FZ$601,358,Sync!$C$5)&amp;"","")&lt;&gt;"",OR(LEFT(IFERROR(INDEX(Clay_Offices!$A$2:$FZ$601,358,Sync!$C$5)&amp;"",""),6)&lt;&gt;"SAMPLE",Config!$B$19="Y")),IFERROR(N(INDEX(Clay_Offices!$A$2:$FZ$601,358,Sync!$C$13)),0),"")</f>
        <v/>
      </c>
      <c r="C3209" s="17">
        <f>IF(B3209="","","office")</f>
        <v/>
      </c>
      <c r="D3209" s="17">
        <f>IF(B3209="","",IFERROR(INDEX(Clay_Offices!$A$2:$FZ$601,358,Sync!$C$5)&amp;"",""))</f>
        <v/>
      </c>
      <c r="E3209" s="17">
        <f>IF(B3209="","",IFERROR(INDEX(Clay_Offices!$A$2:$FZ$601,358,Sync!$C$6)&amp;"",""))</f>
        <v/>
      </c>
      <c r="F3209" s="17">
        <f>IF(B3209="","","outreach_sent")</f>
        <v/>
      </c>
      <c r="G3209" s="17">
        <f>IF(B3209="","","")</f>
        <v/>
      </c>
      <c r="H3209" s="17">
        <f>IF(B3209="","","")</f>
        <v/>
      </c>
      <c r="I3209" s="17">
        <f>IF(B3209="","","")</f>
        <v/>
      </c>
      <c r="J3209" s="17">
        <f>IF(B3209="","","touch_3; "&amp;IFERROR(INDEX(Clay_Offices!$A$2:$FZ$601,358,Sync!$C$10)&amp;"","")&amp;"; "&amp;IFERROR(INDEX(Clay_Offices!$A$2:$FZ$601,358,Sync!$C$9)&amp;"",""))</f>
        <v/>
      </c>
      <c r="K3209" t="inlineStr">
        <is>
          <t>office outreach touch 3</t>
        </is>
      </c>
    </row>
    <row r="3210">
      <c r="A3210" s="17">
        <f>IF(B3210="","",B3210+(14*1000+359)/10000000)</f>
        <v/>
      </c>
      <c r="B3210" s="23">
        <f>IF(AND(IFERROR(N(INDEX(Clay_Offices!$A$2:$FZ$601,359,Sync!$C$13)),0)&gt;0,IFERROR(INDEX(Clay_Offices!$A$2:$FZ$601,359,Sync!$C$5)&amp;"","")&lt;&gt;"",OR(LEFT(IFERROR(INDEX(Clay_Offices!$A$2:$FZ$601,359,Sync!$C$5)&amp;"",""),6)&lt;&gt;"SAMPLE",Config!$B$19="Y")),IFERROR(N(INDEX(Clay_Offices!$A$2:$FZ$601,359,Sync!$C$13)),0),"")</f>
        <v/>
      </c>
      <c r="C3210" s="17">
        <f>IF(B3210="","","office")</f>
        <v/>
      </c>
      <c r="D3210" s="17">
        <f>IF(B3210="","",IFERROR(INDEX(Clay_Offices!$A$2:$FZ$601,359,Sync!$C$5)&amp;"",""))</f>
        <v/>
      </c>
      <c r="E3210" s="17">
        <f>IF(B3210="","",IFERROR(INDEX(Clay_Offices!$A$2:$FZ$601,359,Sync!$C$6)&amp;"",""))</f>
        <v/>
      </c>
      <c r="F3210" s="17">
        <f>IF(B3210="","","outreach_sent")</f>
        <v/>
      </c>
      <c r="G3210" s="17">
        <f>IF(B3210="","","")</f>
        <v/>
      </c>
      <c r="H3210" s="17">
        <f>IF(B3210="","","")</f>
        <v/>
      </c>
      <c r="I3210" s="17">
        <f>IF(B3210="","","")</f>
        <v/>
      </c>
      <c r="J3210" s="17">
        <f>IF(B3210="","","touch_3; "&amp;IFERROR(INDEX(Clay_Offices!$A$2:$FZ$601,359,Sync!$C$10)&amp;"","")&amp;"; "&amp;IFERROR(INDEX(Clay_Offices!$A$2:$FZ$601,359,Sync!$C$9)&amp;"",""))</f>
        <v/>
      </c>
      <c r="K3210" t="inlineStr">
        <is>
          <t>office outreach touch 3</t>
        </is>
      </c>
    </row>
    <row r="3211">
      <c r="A3211" s="17">
        <f>IF(B3211="","",B3211+(14*1000+360)/10000000)</f>
        <v/>
      </c>
      <c r="B3211" s="23">
        <f>IF(AND(IFERROR(N(INDEX(Clay_Offices!$A$2:$FZ$601,360,Sync!$C$13)),0)&gt;0,IFERROR(INDEX(Clay_Offices!$A$2:$FZ$601,360,Sync!$C$5)&amp;"","")&lt;&gt;"",OR(LEFT(IFERROR(INDEX(Clay_Offices!$A$2:$FZ$601,360,Sync!$C$5)&amp;"",""),6)&lt;&gt;"SAMPLE",Config!$B$19="Y")),IFERROR(N(INDEX(Clay_Offices!$A$2:$FZ$601,360,Sync!$C$13)),0),"")</f>
        <v/>
      </c>
      <c r="C3211" s="17">
        <f>IF(B3211="","","office")</f>
        <v/>
      </c>
      <c r="D3211" s="17">
        <f>IF(B3211="","",IFERROR(INDEX(Clay_Offices!$A$2:$FZ$601,360,Sync!$C$5)&amp;"",""))</f>
        <v/>
      </c>
      <c r="E3211" s="17">
        <f>IF(B3211="","",IFERROR(INDEX(Clay_Offices!$A$2:$FZ$601,360,Sync!$C$6)&amp;"",""))</f>
        <v/>
      </c>
      <c r="F3211" s="17">
        <f>IF(B3211="","","outreach_sent")</f>
        <v/>
      </c>
      <c r="G3211" s="17">
        <f>IF(B3211="","","")</f>
        <v/>
      </c>
      <c r="H3211" s="17">
        <f>IF(B3211="","","")</f>
        <v/>
      </c>
      <c r="I3211" s="17">
        <f>IF(B3211="","","")</f>
        <v/>
      </c>
      <c r="J3211" s="17">
        <f>IF(B3211="","","touch_3; "&amp;IFERROR(INDEX(Clay_Offices!$A$2:$FZ$601,360,Sync!$C$10)&amp;"","")&amp;"; "&amp;IFERROR(INDEX(Clay_Offices!$A$2:$FZ$601,360,Sync!$C$9)&amp;"",""))</f>
        <v/>
      </c>
      <c r="K3211" t="inlineStr">
        <is>
          <t>office outreach touch 3</t>
        </is>
      </c>
    </row>
    <row r="3212">
      <c r="A3212" s="17">
        <f>IF(B3212="","",B3212+(14*1000+361)/10000000)</f>
        <v/>
      </c>
      <c r="B3212" s="23">
        <f>IF(AND(IFERROR(N(INDEX(Clay_Offices!$A$2:$FZ$601,361,Sync!$C$13)),0)&gt;0,IFERROR(INDEX(Clay_Offices!$A$2:$FZ$601,361,Sync!$C$5)&amp;"","")&lt;&gt;"",OR(LEFT(IFERROR(INDEX(Clay_Offices!$A$2:$FZ$601,361,Sync!$C$5)&amp;"",""),6)&lt;&gt;"SAMPLE",Config!$B$19="Y")),IFERROR(N(INDEX(Clay_Offices!$A$2:$FZ$601,361,Sync!$C$13)),0),"")</f>
        <v/>
      </c>
      <c r="C3212" s="17">
        <f>IF(B3212="","","office")</f>
        <v/>
      </c>
      <c r="D3212" s="17">
        <f>IF(B3212="","",IFERROR(INDEX(Clay_Offices!$A$2:$FZ$601,361,Sync!$C$5)&amp;"",""))</f>
        <v/>
      </c>
      <c r="E3212" s="17">
        <f>IF(B3212="","",IFERROR(INDEX(Clay_Offices!$A$2:$FZ$601,361,Sync!$C$6)&amp;"",""))</f>
        <v/>
      </c>
      <c r="F3212" s="17">
        <f>IF(B3212="","","outreach_sent")</f>
        <v/>
      </c>
      <c r="G3212" s="17">
        <f>IF(B3212="","","")</f>
        <v/>
      </c>
      <c r="H3212" s="17">
        <f>IF(B3212="","","")</f>
        <v/>
      </c>
      <c r="I3212" s="17">
        <f>IF(B3212="","","")</f>
        <v/>
      </c>
      <c r="J3212" s="17">
        <f>IF(B3212="","","touch_3; "&amp;IFERROR(INDEX(Clay_Offices!$A$2:$FZ$601,361,Sync!$C$10)&amp;"","")&amp;"; "&amp;IFERROR(INDEX(Clay_Offices!$A$2:$FZ$601,361,Sync!$C$9)&amp;"",""))</f>
        <v/>
      </c>
      <c r="K3212" t="inlineStr">
        <is>
          <t>office outreach touch 3</t>
        </is>
      </c>
    </row>
    <row r="3213">
      <c r="A3213" s="17">
        <f>IF(B3213="","",B3213+(14*1000+362)/10000000)</f>
        <v/>
      </c>
      <c r="B3213" s="23">
        <f>IF(AND(IFERROR(N(INDEX(Clay_Offices!$A$2:$FZ$601,362,Sync!$C$13)),0)&gt;0,IFERROR(INDEX(Clay_Offices!$A$2:$FZ$601,362,Sync!$C$5)&amp;"","")&lt;&gt;"",OR(LEFT(IFERROR(INDEX(Clay_Offices!$A$2:$FZ$601,362,Sync!$C$5)&amp;"",""),6)&lt;&gt;"SAMPLE",Config!$B$19="Y")),IFERROR(N(INDEX(Clay_Offices!$A$2:$FZ$601,362,Sync!$C$13)),0),"")</f>
        <v/>
      </c>
      <c r="C3213" s="17">
        <f>IF(B3213="","","office")</f>
        <v/>
      </c>
      <c r="D3213" s="17">
        <f>IF(B3213="","",IFERROR(INDEX(Clay_Offices!$A$2:$FZ$601,362,Sync!$C$5)&amp;"",""))</f>
        <v/>
      </c>
      <c r="E3213" s="17">
        <f>IF(B3213="","",IFERROR(INDEX(Clay_Offices!$A$2:$FZ$601,362,Sync!$C$6)&amp;"",""))</f>
        <v/>
      </c>
      <c r="F3213" s="17">
        <f>IF(B3213="","","outreach_sent")</f>
        <v/>
      </c>
      <c r="G3213" s="17">
        <f>IF(B3213="","","")</f>
        <v/>
      </c>
      <c r="H3213" s="17">
        <f>IF(B3213="","","")</f>
        <v/>
      </c>
      <c r="I3213" s="17">
        <f>IF(B3213="","","")</f>
        <v/>
      </c>
      <c r="J3213" s="17">
        <f>IF(B3213="","","touch_3; "&amp;IFERROR(INDEX(Clay_Offices!$A$2:$FZ$601,362,Sync!$C$10)&amp;"","")&amp;"; "&amp;IFERROR(INDEX(Clay_Offices!$A$2:$FZ$601,362,Sync!$C$9)&amp;"",""))</f>
        <v/>
      </c>
      <c r="K3213" t="inlineStr">
        <is>
          <t>office outreach touch 3</t>
        </is>
      </c>
    </row>
    <row r="3214">
      <c r="A3214" s="17">
        <f>IF(B3214="","",B3214+(14*1000+363)/10000000)</f>
        <v/>
      </c>
      <c r="B3214" s="23">
        <f>IF(AND(IFERROR(N(INDEX(Clay_Offices!$A$2:$FZ$601,363,Sync!$C$13)),0)&gt;0,IFERROR(INDEX(Clay_Offices!$A$2:$FZ$601,363,Sync!$C$5)&amp;"","")&lt;&gt;"",OR(LEFT(IFERROR(INDEX(Clay_Offices!$A$2:$FZ$601,363,Sync!$C$5)&amp;"",""),6)&lt;&gt;"SAMPLE",Config!$B$19="Y")),IFERROR(N(INDEX(Clay_Offices!$A$2:$FZ$601,363,Sync!$C$13)),0),"")</f>
        <v/>
      </c>
      <c r="C3214" s="17">
        <f>IF(B3214="","","office")</f>
        <v/>
      </c>
      <c r="D3214" s="17">
        <f>IF(B3214="","",IFERROR(INDEX(Clay_Offices!$A$2:$FZ$601,363,Sync!$C$5)&amp;"",""))</f>
        <v/>
      </c>
      <c r="E3214" s="17">
        <f>IF(B3214="","",IFERROR(INDEX(Clay_Offices!$A$2:$FZ$601,363,Sync!$C$6)&amp;"",""))</f>
        <v/>
      </c>
      <c r="F3214" s="17">
        <f>IF(B3214="","","outreach_sent")</f>
        <v/>
      </c>
      <c r="G3214" s="17">
        <f>IF(B3214="","","")</f>
        <v/>
      </c>
      <c r="H3214" s="17">
        <f>IF(B3214="","","")</f>
        <v/>
      </c>
      <c r="I3214" s="17">
        <f>IF(B3214="","","")</f>
        <v/>
      </c>
      <c r="J3214" s="17">
        <f>IF(B3214="","","touch_3; "&amp;IFERROR(INDEX(Clay_Offices!$A$2:$FZ$601,363,Sync!$C$10)&amp;"","")&amp;"; "&amp;IFERROR(INDEX(Clay_Offices!$A$2:$FZ$601,363,Sync!$C$9)&amp;"",""))</f>
        <v/>
      </c>
      <c r="K3214" t="inlineStr">
        <is>
          <t>office outreach touch 3</t>
        </is>
      </c>
    </row>
    <row r="3215">
      <c r="A3215" s="17">
        <f>IF(B3215="","",B3215+(14*1000+364)/10000000)</f>
        <v/>
      </c>
      <c r="B3215" s="23">
        <f>IF(AND(IFERROR(N(INDEX(Clay_Offices!$A$2:$FZ$601,364,Sync!$C$13)),0)&gt;0,IFERROR(INDEX(Clay_Offices!$A$2:$FZ$601,364,Sync!$C$5)&amp;"","")&lt;&gt;"",OR(LEFT(IFERROR(INDEX(Clay_Offices!$A$2:$FZ$601,364,Sync!$C$5)&amp;"",""),6)&lt;&gt;"SAMPLE",Config!$B$19="Y")),IFERROR(N(INDEX(Clay_Offices!$A$2:$FZ$601,364,Sync!$C$13)),0),"")</f>
        <v/>
      </c>
      <c r="C3215" s="17">
        <f>IF(B3215="","","office")</f>
        <v/>
      </c>
      <c r="D3215" s="17">
        <f>IF(B3215="","",IFERROR(INDEX(Clay_Offices!$A$2:$FZ$601,364,Sync!$C$5)&amp;"",""))</f>
        <v/>
      </c>
      <c r="E3215" s="17">
        <f>IF(B3215="","",IFERROR(INDEX(Clay_Offices!$A$2:$FZ$601,364,Sync!$C$6)&amp;"",""))</f>
        <v/>
      </c>
      <c r="F3215" s="17">
        <f>IF(B3215="","","outreach_sent")</f>
        <v/>
      </c>
      <c r="G3215" s="17">
        <f>IF(B3215="","","")</f>
        <v/>
      </c>
      <c r="H3215" s="17">
        <f>IF(B3215="","","")</f>
        <v/>
      </c>
      <c r="I3215" s="17">
        <f>IF(B3215="","","")</f>
        <v/>
      </c>
      <c r="J3215" s="17">
        <f>IF(B3215="","","touch_3; "&amp;IFERROR(INDEX(Clay_Offices!$A$2:$FZ$601,364,Sync!$C$10)&amp;"","")&amp;"; "&amp;IFERROR(INDEX(Clay_Offices!$A$2:$FZ$601,364,Sync!$C$9)&amp;"",""))</f>
        <v/>
      </c>
      <c r="K3215" t="inlineStr">
        <is>
          <t>office outreach touch 3</t>
        </is>
      </c>
    </row>
    <row r="3216">
      <c r="A3216" s="17">
        <f>IF(B3216="","",B3216+(14*1000+365)/10000000)</f>
        <v/>
      </c>
      <c r="B3216" s="23">
        <f>IF(AND(IFERROR(N(INDEX(Clay_Offices!$A$2:$FZ$601,365,Sync!$C$13)),0)&gt;0,IFERROR(INDEX(Clay_Offices!$A$2:$FZ$601,365,Sync!$C$5)&amp;"","")&lt;&gt;"",OR(LEFT(IFERROR(INDEX(Clay_Offices!$A$2:$FZ$601,365,Sync!$C$5)&amp;"",""),6)&lt;&gt;"SAMPLE",Config!$B$19="Y")),IFERROR(N(INDEX(Clay_Offices!$A$2:$FZ$601,365,Sync!$C$13)),0),"")</f>
        <v/>
      </c>
      <c r="C3216" s="17">
        <f>IF(B3216="","","office")</f>
        <v/>
      </c>
      <c r="D3216" s="17">
        <f>IF(B3216="","",IFERROR(INDEX(Clay_Offices!$A$2:$FZ$601,365,Sync!$C$5)&amp;"",""))</f>
        <v/>
      </c>
      <c r="E3216" s="17">
        <f>IF(B3216="","",IFERROR(INDEX(Clay_Offices!$A$2:$FZ$601,365,Sync!$C$6)&amp;"",""))</f>
        <v/>
      </c>
      <c r="F3216" s="17">
        <f>IF(B3216="","","outreach_sent")</f>
        <v/>
      </c>
      <c r="G3216" s="17">
        <f>IF(B3216="","","")</f>
        <v/>
      </c>
      <c r="H3216" s="17">
        <f>IF(B3216="","","")</f>
        <v/>
      </c>
      <c r="I3216" s="17">
        <f>IF(B3216="","","")</f>
        <v/>
      </c>
      <c r="J3216" s="17">
        <f>IF(B3216="","","touch_3; "&amp;IFERROR(INDEX(Clay_Offices!$A$2:$FZ$601,365,Sync!$C$10)&amp;"","")&amp;"; "&amp;IFERROR(INDEX(Clay_Offices!$A$2:$FZ$601,365,Sync!$C$9)&amp;"",""))</f>
        <v/>
      </c>
      <c r="K3216" t="inlineStr">
        <is>
          <t>office outreach touch 3</t>
        </is>
      </c>
    </row>
    <row r="3217">
      <c r="A3217" s="17">
        <f>IF(B3217="","",B3217+(14*1000+366)/10000000)</f>
        <v/>
      </c>
      <c r="B3217" s="23">
        <f>IF(AND(IFERROR(N(INDEX(Clay_Offices!$A$2:$FZ$601,366,Sync!$C$13)),0)&gt;0,IFERROR(INDEX(Clay_Offices!$A$2:$FZ$601,366,Sync!$C$5)&amp;"","")&lt;&gt;"",OR(LEFT(IFERROR(INDEX(Clay_Offices!$A$2:$FZ$601,366,Sync!$C$5)&amp;"",""),6)&lt;&gt;"SAMPLE",Config!$B$19="Y")),IFERROR(N(INDEX(Clay_Offices!$A$2:$FZ$601,366,Sync!$C$13)),0),"")</f>
        <v/>
      </c>
      <c r="C3217" s="17">
        <f>IF(B3217="","","office")</f>
        <v/>
      </c>
      <c r="D3217" s="17">
        <f>IF(B3217="","",IFERROR(INDEX(Clay_Offices!$A$2:$FZ$601,366,Sync!$C$5)&amp;"",""))</f>
        <v/>
      </c>
      <c r="E3217" s="17">
        <f>IF(B3217="","",IFERROR(INDEX(Clay_Offices!$A$2:$FZ$601,366,Sync!$C$6)&amp;"",""))</f>
        <v/>
      </c>
      <c r="F3217" s="17">
        <f>IF(B3217="","","outreach_sent")</f>
        <v/>
      </c>
      <c r="G3217" s="17">
        <f>IF(B3217="","","")</f>
        <v/>
      </c>
      <c r="H3217" s="17">
        <f>IF(B3217="","","")</f>
        <v/>
      </c>
      <c r="I3217" s="17">
        <f>IF(B3217="","","")</f>
        <v/>
      </c>
      <c r="J3217" s="17">
        <f>IF(B3217="","","touch_3; "&amp;IFERROR(INDEX(Clay_Offices!$A$2:$FZ$601,366,Sync!$C$10)&amp;"","")&amp;"; "&amp;IFERROR(INDEX(Clay_Offices!$A$2:$FZ$601,366,Sync!$C$9)&amp;"",""))</f>
        <v/>
      </c>
      <c r="K3217" t="inlineStr">
        <is>
          <t>office outreach touch 3</t>
        </is>
      </c>
    </row>
    <row r="3218">
      <c r="A3218" s="17">
        <f>IF(B3218="","",B3218+(14*1000+367)/10000000)</f>
        <v/>
      </c>
      <c r="B3218" s="23">
        <f>IF(AND(IFERROR(N(INDEX(Clay_Offices!$A$2:$FZ$601,367,Sync!$C$13)),0)&gt;0,IFERROR(INDEX(Clay_Offices!$A$2:$FZ$601,367,Sync!$C$5)&amp;"","")&lt;&gt;"",OR(LEFT(IFERROR(INDEX(Clay_Offices!$A$2:$FZ$601,367,Sync!$C$5)&amp;"",""),6)&lt;&gt;"SAMPLE",Config!$B$19="Y")),IFERROR(N(INDEX(Clay_Offices!$A$2:$FZ$601,367,Sync!$C$13)),0),"")</f>
        <v/>
      </c>
      <c r="C3218" s="17">
        <f>IF(B3218="","","office")</f>
        <v/>
      </c>
      <c r="D3218" s="17">
        <f>IF(B3218="","",IFERROR(INDEX(Clay_Offices!$A$2:$FZ$601,367,Sync!$C$5)&amp;"",""))</f>
        <v/>
      </c>
      <c r="E3218" s="17">
        <f>IF(B3218="","",IFERROR(INDEX(Clay_Offices!$A$2:$FZ$601,367,Sync!$C$6)&amp;"",""))</f>
        <v/>
      </c>
      <c r="F3218" s="17">
        <f>IF(B3218="","","outreach_sent")</f>
        <v/>
      </c>
      <c r="G3218" s="17">
        <f>IF(B3218="","","")</f>
        <v/>
      </c>
      <c r="H3218" s="17">
        <f>IF(B3218="","","")</f>
        <v/>
      </c>
      <c r="I3218" s="17">
        <f>IF(B3218="","","")</f>
        <v/>
      </c>
      <c r="J3218" s="17">
        <f>IF(B3218="","","touch_3; "&amp;IFERROR(INDEX(Clay_Offices!$A$2:$FZ$601,367,Sync!$C$10)&amp;"","")&amp;"; "&amp;IFERROR(INDEX(Clay_Offices!$A$2:$FZ$601,367,Sync!$C$9)&amp;"",""))</f>
        <v/>
      </c>
      <c r="K3218" t="inlineStr">
        <is>
          <t>office outreach touch 3</t>
        </is>
      </c>
    </row>
    <row r="3219">
      <c r="A3219" s="17">
        <f>IF(B3219="","",B3219+(14*1000+368)/10000000)</f>
        <v/>
      </c>
      <c r="B3219" s="23">
        <f>IF(AND(IFERROR(N(INDEX(Clay_Offices!$A$2:$FZ$601,368,Sync!$C$13)),0)&gt;0,IFERROR(INDEX(Clay_Offices!$A$2:$FZ$601,368,Sync!$C$5)&amp;"","")&lt;&gt;"",OR(LEFT(IFERROR(INDEX(Clay_Offices!$A$2:$FZ$601,368,Sync!$C$5)&amp;"",""),6)&lt;&gt;"SAMPLE",Config!$B$19="Y")),IFERROR(N(INDEX(Clay_Offices!$A$2:$FZ$601,368,Sync!$C$13)),0),"")</f>
        <v/>
      </c>
      <c r="C3219" s="17">
        <f>IF(B3219="","","office")</f>
        <v/>
      </c>
      <c r="D3219" s="17">
        <f>IF(B3219="","",IFERROR(INDEX(Clay_Offices!$A$2:$FZ$601,368,Sync!$C$5)&amp;"",""))</f>
        <v/>
      </c>
      <c r="E3219" s="17">
        <f>IF(B3219="","",IFERROR(INDEX(Clay_Offices!$A$2:$FZ$601,368,Sync!$C$6)&amp;"",""))</f>
        <v/>
      </c>
      <c r="F3219" s="17">
        <f>IF(B3219="","","outreach_sent")</f>
        <v/>
      </c>
      <c r="G3219" s="17">
        <f>IF(B3219="","","")</f>
        <v/>
      </c>
      <c r="H3219" s="17">
        <f>IF(B3219="","","")</f>
        <v/>
      </c>
      <c r="I3219" s="17">
        <f>IF(B3219="","","")</f>
        <v/>
      </c>
      <c r="J3219" s="17">
        <f>IF(B3219="","","touch_3; "&amp;IFERROR(INDEX(Clay_Offices!$A$2:$FZ$601,368,Sync!$C$10)&amp;"","")&amp;"; "&amp;IFERROR(INDEX(Clay_Offices!$A$2:$FZ$601,368,Sync!$C$9)&amp;"",""))</f>
        <v/>
      </c>
      <c r="K3219" t="inlineStr">
        <is>
          <t>office outreach touch 3</t>
        </is>
      </c>
    </row>
    <row r="3220">
      <c r="A3220" s="17">
        <f>IF(B3220="","",B3220+(14*1000+369)/10000000)</f>
        <v/>
      </c>
      <c r="B3220" s="23">
        <f>IF(AND(IFERROR(N(INDEX(Clay_Offices!$A$2:$FZ$601,369,Sync!$C$13)),0)&gt;0,IFERROR(INDEX(Clay_Offices!$A$2:$FZ$601,369,Sync!$C$5)&amp;"","")&lt;&gt;"",OR(LEFT(IFERROR(INDEX(Clay_Offices!$A$2:$FZ$601,369,Sync!$C$5)&amp;"",""),6)&lt;&gt;"SAMPLE",Config!$B$19="Y")),IFERROR(N(INDEX(Clay_Offices!$A$2:$FZ$601,369,Sync!$C$13)),0),"")</f>
        <v/>
      </c>
      <c r="C3220" s="17">
        <f>IF(B3220="","","office")</f>
        <v/>
      </c>
      <c r="D3220" s="17">
        <f>IF(B3220="","",IFERROR(INDEX(Clay_Offices!$A$2:$FZ$601,369,Sync!$C$5)&amp;"",""))</f>
        <v/>
      </c>
      <c r="E3220" s="17">
        <f>IF(B3220="","",IFERROR(INDEX(Clay_Offices!$A$2:$FZ$601,369,Sync!$C$6)&amp;"",""))</f>
        <v/>
      </c>
      <c r="F3220" s="17">
        <f>IF(B3220="","","outreach_sent")</f>
        <v/>
      </c>
      <c r="G3220" s="17">
        <f>IF(B3220="","","")</f>
        <v/>
      </c>
      <c r="H3220" s="17">
        <f>IF(B3220="","","")</f>
        <v/>
      </c>
      <c r="I3220" s="17">
        <f>IF(B3220="","","")</f>
        <v/>
      </c>
      <c r="J3220" s="17">
        <f>IF(B3220="","","touch_3; "&amp;IFERROR(INDEX(Clay_Offices!$A$2:$FZ$601,369,Sync!$C$10)&amp;"","")&amp;"; "&amp;IFERROR(INDEX(Clay_Offices!$A$2:$FZ$601,369,Sync!$C$9)&amp;"",""))</f>
        <v/>
      </c>
      <c r="K3220" t="inlineStr">
        <is>
          <t>office outreach touch 3</t>
        </is>
      </c>
    </row>
    <row r="3221">
      <c r="A3221" s="17">
        <f>IF(B3221="","",B3221+(14*1000+370)/10000000)</f>
        <v/>
      </c>
      <c r="B3221" s="23">
        <f>IF(AND(IFERROR(N(INDEX(Clay_Offices!$A$2:$FZ$601,370,Sync!$C$13)),0)&gt;0,IFERROR(INDEX(Clay_Offices!$A$2:$FZ$601,370,Sync!$C$5)&amp;"","")&lt;&gt;"",OR(LEFT(IFERROR(INDEX(Clay_Offices!$A$2:$FZ$601,370,Sync!$C$5)&amp;"",""),6)&lt;&gt;"SAMPLE",Config!$B$19="Y")),IFERROR(N(INDEX(Clay_Offices!$A$2:$FZ$601,370,Sync!$C$13)),0),"")</f>
        <v/>
      </c>
      <c r="C3221" s="17">
        <f>IF(B3221="","","office")</f>
        <v/>
      </c>
      <c r="D3221" s="17">
        <f>IF(B3221="","",IFERROR(INDEX(Clay_Offices!$A$2:$FZ$601,370,Sync!$C$5)&amp;"",""))</f>
        <v/>
      </c>
      <c r="E3221" s="17">
        <f>IF(B3221="","",IFERROR(INDEX(Clay_Offices!$A$2:$FZ$601,370,Sync!$C$6)&amp;"",""))</f>
        <v/>
      </c>
      <c r="F3221" s="17">
        <f>IF(B3221="","","outreach_sent")</f>
        <v/>
      </c>
      <c r="G3221" s="17">
        <f>IF(B3221="","","")</f>
        <v/>
      </c>
      <c r="H3221" s="17">
        <f>IF(B3221="","","")</f>
        <v/>
      </c>
      <c r="I3221" s="17">
        <f>IF(B3221="","","")</f>
        <v/>
      </c>
      <c r="J3221" s="17">
        <f>IF(B3221="","","touch_3; "&amp;IFERROR(INDEX(Clay_Offices!$A$2:$FZ$601,370,Sync!$C$10)&amp;"","")&amp;"; "&amp;IFERROR(INDEX(Clay_Offices!$A$2:$FZ$601,370,Sync!$C$9)&amp;"",""))</f>
        <v/>
      </c>
      <c r="K3221" t="inlineStr">
        <is>
          <t>office outreach touch 3</t>
        </is>
      </c>
    </row>
    <row r="3222">
      <c r="A3222" s="17">
        <f>IF(B3222="","",B3222+(14*1000+371)/10000000)</f>
        <v/>
      </c>
      <c r="B3222" s="23">
        <f>IF(AND(IFERROR(N(INDEX(Clay_Offices!$A$2:$FZ$601,371,Sync!$C$13)),0)&gt;0,IFERROR(INDEX(Clay_Offices!$A$2:$FZ$601,371,Sync!$C$5)&amp;"","")&lt;&gt;"",OR(LEFT(IFERROR(INDEX(Clay_Offices!$A$2:$FZ$601,371,Sync!$C$5)&amp;"",""),6)&lt;&gt;"SAMPLE",Config!$B$19="Y")),IFERROR(N(INDEX(Clay_Offices!$A$2:$FZ$601,371,Sync!$C$13)),0),"")</f>
        <v/>
      </c>
      <c r="C3222" s="17">
        <f>IF(B3222="","","office")</f>
        <v/>
      </c>
      <c r="D3222" s="17">
        <f>IF(B3222="","",IFERROR(INDEX(Clay_Offices!$A$2:$FZ$601,371,Sync!$C$5)&amp;"",""))</f>
        <v/>
      </c>
      <c r="E3222" s="17">
        <f>IF(B3222="","",IFERROR(INDEX(Clay_Offices!$A$2:$FZ$601,371,Sync!$C$6)&amp;"",""))</f>
        <v/>
      </c>
      <c r="F3222" s="17">
        <f>IF(B3222="","","outreach_sent")</f>
        <v/>
      </c>
      <c r="G3222" s="17">
        <f>IF(B3222="","","")</f>
        <v/>
      </c>
      <c r="H3222" s="17">
        <f>IF(B3222="","","")</f>
        <v/>
      </c>
      <c r="I3222" s="17">
        <f>IF(B3222="","","")</f>
        <v/>
      </c>
      <c r="J3222" s="17">
        <f>IF(B3222="","","touch_3; "&amp;IFERROR(INDEX(Clay_Offices!$A$2:$FZ$601,371,Sync!$C$10)&amp;"","")&amp;"; "&amp;IFERROR(INDEX(Clay_Offices!$A$2:$FZ$601,371,Sync!$C$9)&amp;"",""))</f>
        <v/>
      </c>
      <c r="K3222" t="inlineStr">
        <is>
          <t>office outreach touch 3</t>
        </is>
      </c>
    </row>
    <row r="3223">
      <c r="A3223" s="17">
        <f>IF(B3223="","",B3223+(14*1000+372)/10000000)</f>
        <v/>
      </c>
      <c r="B3223" s="23">
        <f>IF(AND(IFERROR(N(INDEX(Clay_Offices!$A$2:$FZ$601,372,Sync!$C$13)),0)&gt;0,IFERROR(INDEX(Clay_Offices!$A$2:$FZ$601,372,Sync!$C$5)&amp;"","")&lt;&gt;"",OR(LEFT(IFERROR(INDEX(Clay_Offices!$A$2:$FZ$601,372,Sync!$C$5)&amp;"",""),6)&lt;&gt;"SAMPLE",Config!$B$19="Y")),IFERROR(N(INDEX(Clay_Offices!$A$2:$FZ$601,372,Sync!$C$13)),0),"")</f>
        <v/>
      </c>
      <c r="C3223" s="17">
        <f>IF(B3223="","","office")</f>
        <v/>
      </c>
      <c r="D3223" s="17">
        <f>IF(B3223="","",IFERROR(INDEX(Clay_Offices!$A$2:$FZ$601,372,Sync!$C$5)&amp;"",""))</f>
        <v/>
      </c>
      <c r="E3223" s="17">
        <f>IF(B3223="","",IFERROR(INDEX(Clay_Offices!$A$2:$FZ$601,372,Sync!$C$6)&amp;"",""))</f>
        <v/>
      </c>
      <c r="F3223" s="17">
        <f>IF(B3223="","","outreach_sent")</f>
        <v/>
      </c>
      <c r="G3223" s="17">
        <f>IF(B3223="","","")</f>
        <v/>
      </c>
      <c r="H3223" s="17">
        <f>IF(B3223="","","")</f>
        <v/>
      </c>
      <c r="I3223" s="17">
        <f>IF(B3223="","","")</f>
        <v/>
      </c>
      <c r="J3223" s="17">
        <f>IF(B3223="","","touch_3; "&amp;IFERROR(INDEX(Clay_Offices!$A$2:$FZ$601,372,Sync!$C$10)&amp;"","")&amp;"; "&amp;IFERROR(INDEX(Clay_Offices!$A$2:$FZ$601,372,Sync!$C$9)&amp;"",""))</f>
        <v/>
      </c>
      <c r="K3223" t="inlineStr">
        <is>
          <t>office outreach touch 3</t>
        </is>
      </c>
    </row>
    <row r="3224">
      <c r="A3224" s="17">
        <f>IF(B3224="","",B3224+(14*1000+373)/10000000)</f>
        <v/>
      </c>
      <c r="B3224" s="23">
        <f>IF(AND(IFERROR(N(INDEX(Clay_Offices!$A$2:$FZ$601,373,Sync!$C$13)),0)&gt;0,IFERROR(INDEX(Clay_Offices!$A$2:$FZ$601,373,Sync!$C$5)&amp;"","")&lt;&gt;"",OR(LEFT(IFERROR(INDEX(Clay_Offices!$A$2:$FZ$601,373,Sync!$C$5)&amp;"",""),6)&lt;&gt;"SAMPLE",Config!$B$19="Y")),IFERROR(N(INDEX(Clay_Offices!$A$2:$FZ$601,373,Sync!$C$13)),0),"")</f>
        <v/>
      </c>
      <c r="C3224" s="17">
        <f>IF(B3224="","","office")</f>
        <v/>
      </c>
      <c r="D3224" s="17">
        <f>IF(B3224="","",IFERROR(INDEX(Clay_Offices!$A$2:$FZ$601,373,Sync!$C$5)&amp;"",""))</f>
        <v/>
      </c>
      <c r="E3224" s="17">
        <f>IF(B3224="","",IFERROR(INDEX(Clay_Offices!$A$2:$FZ$601,373,Sync!$C$6)&amp;"",""))</f>
        <v/>
      </c>
      <c r="F3224" s="17">
        <f>IF(B3224="","","outreach_sent")</f>
        <v/>
      </c>
      <c r="G3224" s="17">
        <f>IF(B3224="","","")</f>
        <v/>
      </c>
      <c r="H3224" s="17">
        <f>IF(B3224="","","")</f>
        <v/>
      </c>
      <c r="I3224" s="17">
        <f>IF(B3224="","","")</f>
        <v/>
      </c>
      <c r="J3224" s="17">
        <f>IF(B3224="","","touch_3; "&amp;IFERROR(INDEX(Clay_Offices!$A$2:$FZ$601,373,Sync!$C$10)&amp;"","")&amp;"; "&amp;IFERROR(INDEX(Clay_Offices!$A$2:$FZ$601,373,Sync!$C$9)&amp;"",""))</f>
        <v/>
      </c>
      <c r="K3224" t="inlineStr">
        <is>
          <t>office outreach touch 3</t>
        </is>
      </c>
    </row>
    <row r="3225">
      <c r="A3225" s="17">
        <f>IF(B3225="","",B3225+(14*1000+374)/10000000)</f>
        <v/>
      </c>
      <c r="B3225" s="23">
        <f>IF(AND(IFERROR(N(INDEX(Clay_Offices!$A$2:$FZ$601,374,Sync!$C$13)),0)&gt;0,IFERROR(INDEX(Clay_Offices!$A$2:$FZ$601,374,Sync!$C$5)&amp;"","")&lt;&gt;"",OR(LEFT(IFERROR(INDEX(Clay_Offices!$A$2:$FZ$601,374,Sync!$C$5)&amp;"",""),6)&lt;&gt;"SAMPLE",Config!$B$19="Y")),IFERROR(N(INDEX(Clay_Offices!$A$2:$FZ$601,374,Sync!$C$13)),0),"")</f>
        <v/>
      </c>
      <c r="C3225" s="17">
        <f>IF(B3225="","","office")</f>
        <v/>
      </c>
      <c r="D3225" s="17">
        <f>IF(B3225="","",IFERROR(INDEX(Clay_Offices!$A$2:$FZ$601,374,Sync!$C$5)&amp;"",""))</f>
        <v/>
      </c>
      <c r="E3225" s="17">
        <f>IF(B3225="","",IFERROR(INDEX(Clay_Offices!$A$2:$FZ$601,374,Sync!$C$6)&amp;"",""))</f>
        <v/>
      </c>
      <c r="F3225" s="17">
        <f>IF(B3225="","","outreach_sent")</f>
        <v/>
      </c>
      <c r="G3225" s="17">
        <f>IF(B3225="","","")</f>
        <v/>
      </c>
      <c r="H3225" s="17">
        <f>IF(B3225="","","")</f>
        <v/>
      </c>
      <c r="I3225" s="17">
        <f>IF(B3225="","","")</f>
        <v/>
      </c>
      <c r="J3225" s="17">
        <f>IF(B3225="","","touch_3; "&amp;IFERROR(INDEX(Clay_Offices!$A$2:$FZ$601,374,Sync!$C$10)&amp;"","")&amp;"; "&amp;IFERROR(INDEX(Clay_Offices!$A$2:$FZ$601,374,Sync!$C$9)&amp;"",""))</f>
        <v/>
      </c>
      <c r="K3225" t="inlineStr">
        <is>
          <t>office outreach touch 3</t>
        </is>
      </c>
    </row>
    <row r="3226">
      <c r="A3226" s="17">
        <f>IF(B3226="","",B3226+(14*1000+375)/10000000)</f>
        <v/>
      </c>
      <c r="B3226" s="23">
        <f>IF(AND(IFERROR(N(INDEX(Clay_Offices!$A$2:$FZ$601,375,Sync!$C$13)),0)&gt;0,IFERROR(INDEX(Clay_Offices!$A$2:$FZ$601,375,Sync!$C$5)&amp;"","")&lt;&gt;"",OR(LEFT(IFERROR(INDEX(Clay_Offices!$A$2:$FZ$601,375,Sync!$C$5)&amp;"",""),6)&lt;&gt;"SAMPLE",Config!$B$19="Y")),IFERROR(N(INDEX(Clay_Offices!$A$2:$FZ$601,375,Sync!$C$13)),0),"")</f>
        <v/>
      </c>
      <c r="C3226" s="17">
        <f>IF(B3226="","","office")</f>
        <v/>
      </c>
      <c r="D3226" s="17">
        <f>IF(B3226="","",IFERROR(INDEX(Clay_Offices!$A$2:$FZ$601,375,Sync!$C$5)&amp;"",""))</f>
        <v/>
      </c>
      <c r="E3226" s="17">
        <f>IF(B3226="","",IFERROR(INDEX(Clay_Offices!$A$2:$FZ$601,375,Sync!$C$6)&amp;"",""))</f>
        <v/>
      </c>
      <c r="F3226" s="17">
        <f>IF(B3226="","","outreach_sent")</f>
        <v/>
      </c>
      <c r="G3226" s="17">
        <f>IF(B3226="","","")</f>
        <v/>
      </c>
      <c r="H3226" s="17">
        <f>IF(B3226="","","")</f>
        <v/>
      </c>
      <c r="I3226" s="17">
        <f>IF(B3226="","","")</f>
        <v/>
      </c>
      <c r="J3226" s="17">
        <f>IF(B3226="","","touch_3; "&amp;IFERROR(INDEX(Clay_Offices!$A$2:$FZ$601,375,Sync!$C$10)&amp;"","")&amp;"; "&amp;IFERROR(INDEX(Clay_Offices!$A$2:$FZ$601,375,Sync!$C$9)&amp;"",""))</f>
        <v/>
      </c>
      <c r="K3226" t="inlineStr">
        <is>
          <t>office outreach touch 3</t>
        </is>
      </c>
    </row>
    <row r="3227">
      <c r="A3227" s="17">
        <f>IF(B3227="","",B3227+(14*1000+376)/10000000)</f>
        <v/>
      </c>
      <c r="B3227" s="23">
        <f>IF(AND(IFERROR(N(INDEX(Clay_Offices!$A$2:$FZ$601,376,Sync!$C$13)),0)&gt;0,IFERROR(INDEX(Clay_Offices!$A$2:$FZ$601,376,Sync!$C$5)&amp;"","")&lt;&gt;"",OR(LEFT(IFERROR(INDEX(Clay_Offices!$A$2:$FZ$601,376,Sync!$C$5)&amp;"",""),6)&lt;&gt;"SAMPLE",Config!$B$19="Y")),IFERROR(N(INDEX(Clay_Offices!$A$2:$FZ$601,376,Sync!$C$13)),0),"")</f>
        <v/>
      </c>
      <c r="C3227" s="17">
        <f>IF(B3227="","","office")</f>
        <v/>
      </c>
      <c r="D3227" s="17">
        <f>IF(B3227="","",IFERROR(INDEX(Clay_Offices!$A$2:$FZ$601,376,Sync!$C$5)&amp;"",""))</f>
        <v/>
      </c>
      <c r="E3227" s="17">
        <f>IF(B3227="","",IFERROR(INDEX(Clay_Offices!$A$2:$FZ$601,376,Sync!$C$6)&amp;"",""))</f>
        <v/>
      </c>
      <c r="F3227" s="17">
        <f>IF(B3227="","","outreach_sent")</f>
        <v/>
      </c>
      <c r="G3227" s="17">
        <f>IF(B3227="","","")</f>
        <v/>
      </c>
      <c r="H3227" s="17">
        <f>IF(B3227="","","")</f>
        <v/>
      </c>
      <c r="I3227" s="17">
        <f>IF(B3227="","","")</f>
        <v/>
      </c>
      <c r="J3227" s="17">
        <f>IF(B3227="","","touch_3; "&amp;IFERROR(INDEX(Clay_Offices!$A$2:$FZ$601,376,Sync!$C$10)&amp;"","")&amp;"; "&amp;IFERROR(INDEX(Clay_Offices!$A$2:$FZ$601,376,Sync!$C$9)&amp;"",""))</f>
        <v/>
      </c>
      <c r="K3227" t="inlineStr">
        <is>
          <t>office outreach touch 3</t>
        </is>
      </c>
    </row>
    <row r="3228">
      <c r="A3228" s="17">
        <f>IF(B3228="","",B3228+(14*1000+377)/10000000)</f>
        <v/>
      </c>
      <c r="B3228" s="23">
        <f>IF(AND(IFERROR(N(INDEX(Clay_Offices!$A$2:$FZ$601,377,Sync!$C$13)),0)&gt;0,IFERROR(INDEX(Clay_Offices!$A$2:$FZ$601,377,Sync!$C$5)&amp;"","")&lt;&gt;"",OR(LEFT(IFERROR(INDEX(Clay_Offices!$A$2:$FZ$601,377,Sync!$C$5)&amp;"",""),6)&lt;&gt;"SAMPLE",Config!$B$19="Y")),IFERROR(N(INDEX(Clay_Offices!$A$2:$FZ$601,377,Sync!$C$13)),0),"")</f>
        <v/>
      </c>
      <c r="C3228" s="17">
        <f>IF(B3228="","","office")</f>
        <v/>
      </c>
      <c r="D3228" s="17">
        <f>IF(B3228="","",IFERROR(INDEX(Clay_Offices!$A$2:$FZ$601,377,Sync!$C$5)&amp;"",""))</f>
        <v/>
      </c>
      <c r="E3228" s="17">
        <f>IF(B3228="","",IFERROR(INDEX(Clay_Offices!$A$2:$FZ$601,377,Sync!$C$6)&amp;"",""))</f>
        <v/>
      </c>
      <c r="F3228" s="17">
        <f>IF(B3228="","","outreach_sent")</f>
        <v/>
      </c>
      <c r="G3228" s="17">
        <f>IF(B3228="","","")</f>
        <v/>
      </c>
      <c r="H3228" s="17">
        <f>IF(B3228="","","")</f>
        <v/>
      </c>
      <c r="I3228" s="17">
        <f>IF(B3228="","","")</f>
        <v/>
      </c>
      <c r="J3228" s="17">
        <f>IF(B3228="","","touch_3; "&amp;IFERROR(INDEX(Clay_Offices!$A$2:$FZ$601,377,Sync!$C$10)&amp;"","")&amp;"; "&amp;IFERROR(INDEX(Clay_Offices!$A$2:$FZ$601,377,Sync!$C$9)&amp;"",""))</f>
        <v/>
      </c>
      <c r="K3228" t="inlineStr">
        <is>
          <t>office outreach touch 3</t>
        </is>
      </c>
    </row>
    <row r="3229">
      <c r="A3229" s="17">
        <f>IF(B3229="","",B3229+(14*1000+378)/10000000)</f>
        <v/>
      </c>
      <c r="B3229" s="23">
        <f>IF(AND(IFERROR(N(INDEX(Clay_Offices!$A$2:$FZ$601,378,Sync!$C$13)),0)&gt;0,IFERROR(INDEX(Clay_Offices!$A$2:$FZ$601,378,Sync!$C$5)&amp;"","")&lt;&gt;"",OR(LEFT(IFERROR(INDEX(Clay_Offices!$A$2:$FZ$601,378,Sync!$C$5)&amp;"",""),6)&lt;&gt;"SAMPLE",Config!$B$19="Y")),IFERROR(N(INDEX(Clay_Offices!$A$2:$FZ$601,378,Sync!$C$13)),0),"")</f>
        <v/>
      </c>
      <c r="C3229" s="17">
        <f>IF(B3229="","","office")</f>
        <v/>
      </c>
      <c r="D3229" s="17">
        <f>IF(B3229="","",IFERROR(INDEX(Clay_Offices!$A$2:$FZ$601,378,Sync!$C$5)&amp;"",""))</f>
        <v/>
      </c>
      <c r="E3229" s="17">
        <f>IF(B3229="","",IFERROR(INDEX(Clay_Offices!$A$2:$FZ$601,378,Sync!$C$6)&amp;"",""))</f>
        <v/>
      </c>
      <c r="F3229" s="17">
        <f>IF(B3229="","","outreach_sent")</f>
        <v/>
      </c>
      <c r="G3229" s="17">
        <f>IF(B3229="","","")</f>
        <v/>
      </c>
      <c r="H3229" s="17">
        <f>IF(B3229="","","")</f>
        <v/>
      </c>
      <c r="I3229" s="17">
        <f>IF(B3229="","","")</f>
        <v/>
      </c>
      <c r="J3229" s="17">
        <f>IF(B3229="","","touch_3; "&amp;IFERROR(INDEX(Clay_Offices!$A$2:$FZ$601,378,Sync!$C$10)&amp;"","")&amp;"; "&amp;IFERROR(INDEX(Clay_Offices!$A$2:$FZ$601,378,Sync!$C$9)&amp;"",""))</f>
        <v/>
      </c>
      <c r="K3229" t="inlineStr">
        <is>
          <t>office outreach touch 3</t>
        </is>
      </c>
    </row>
    <row r="3230">
      <c r="A3230" s="17">
        <f>IF(B3230="","",B3230+(14*1000+379)/10000000)</f>
        <v/>
      </c>
      <c r="B3230" s="23">
        <f>IF(AND(IFERROR(N(INDEX(Clay_Offices!$A$2:$FZ$601,379,Sync!$C$13)),0)&gt;0,IFERROR(INDEX(Clay_Offices!$A$2:$FZ$601,379,Sync!$C$5)&amp;"","")&lt;&gt;"",OR(LEFT(IFERROR(INDEX(Clay_Offices!$A$2:$FZ$601,379,Sync!$C$5)&amp;"",""),6)&lt;&gt;"SAMPLE",Config!$B$19="Y")),IFERROR(N(INDEX(Clay_Offices!$A$2:$FZ$601,379,Sync!$C$13)),0),"")</f>
        <v/>
      </c>
      <c r="C3230" s="17">
        <f>IF(B3230="","","office")</f>
        <v/>
      </c>
      <c r="D3230" s="17">
        <f>IF(B3230="","",IFERROR(INDEX(Clay_Offices!$A$2:$FZ$601,379,Sync!$C$5)&amp;"",""))</f>
        <v/>
      </c>
      <c r="E3230" s="17">
        <f>IF(B3230="","",IFERROR(INDEX(Clay_Offices!$A$2:$FZ$601,379,Sync!$C$6)&amp;"",""))</f>
        <v/>
      </c>
      <c r="F3230" s="17">
        <f>IF(B3230="","","outreach_sent")</f>
        <v/>
      </c>
      <c r="G3230" s="17">
        <f>IF(B3230="","","")</f>
        <v/>
      </c>
      <c r="H3230" s="17">
        <f>IF(B3230="","","")</f>
        <v/>
      </c>
      <c r="I3230" s="17">
        <f>IF(B3230="","","")</f>
        <v/>
      </c>
      <c r="J3230" s="17">
        <f>IF(B3230="","","touch_3; "&amp;IFERROR(INDEX(Clay_Offices!$A$2:$FZ$601,379,Sync!$C$10)&amp;"","")&amp;"; "&amp;IFERROR(INDEX(Clay_Offices!$A$2:$FZ$601,379,Sync!$C$9)&amp;"",""))</f>
        <v/>
      </c>
      <c r="K3230" t="inlineStr">
        <is>
          <t>office outreach touch 3</t>
        </is>
      </c>
    </row>
    <row r="3231">
      <c r="A3231" s="17">
        <f>IF(B3231="","",B3231+(14*1000+380)/10000000)</f>
        <v/>
      </c>
      <c r="B3231" s="23">
        <f>IF(AND(IFERROR(N(INDEX(Clay_Offices!$A$2:$FZ$601,380,Sync!$C$13)),0)&gt;0,IFERROR(INDEX(Clay_Offices!$A$2:$FZ$601,380,Sync!$C$5)&amp;"","")&lt;&gt;"",OR(LEFT(IFERROR(INDEX(Clay_Offices!$A$2:$FZ$601,380,Sync!$C$5)&amp;"",""),6)&lt;&gt;"SAMPLE",Config!$B$19="Y")),IFERROR(N(INDEX(Clay_Offices!$A$2:$FZ$601,380,Sync!$C$13)),0),"")</f>
        <v/>
      </c>
      <c r="C3231" s="17">
        <f>IF(B3231="","","office")</f>
        <v/>
      </c>
      <c r="D3231" s="17">
        <f>IF(B3231="","",IFERROR(INDEX(Clay_Offices!$A$2:$FZ$601,380,Sync!$C$5)&amp;"",""))</f>
        <v/>
      </c>
      <c r="E3231" s="17">
        <f>IF(B3231="","",IFERROR(INDEX(Clay_Offices!$A$2:$FZ$601,380,Sync!$C$6)&amp;"",""))</f>
        <v/>
      </c>
      <c r="F3231" s="17">
        <f>IF(B3231="","","outreach_sent")</f>
        <v/>
      </c>
      <c r="G3231" s="17">
        <f>IF(B3231="","","")</f>
        <v/>
      </c>
      <c r="H3231" s="17">
        <f>IF(B3231="","","")</f>
        <v/>
      </c>
      <c r="I3231" s="17">
        <f>IF(B3231="","","")</f>
        <v/>
      </c>
      <c r="J3231" s="17">
        <f>IF(B3231="","","touch_3; "&amp;IFERROR(INDEX(Clay_Offices!$A$2:$FZ$601,380,Sync!$C$10)&amp;"","")&amp;"; "&amp;IFERROR(INDEX(Clay_Offices!$A$2:$FZ$601,380,Sync!$C$9)&amp;"",""))</f>
        <v/>
      </c>
      <c r="K3231" t="inlineStr">
        <is>
          <t>office outreach touch 3</t>
        </is>
      </c>
    </row>
    <row r="3232">
      <c r="A3232" s="17">
        <f>IF(B3232="","",B3232+(14*1000+381)/10000000)</f>
        <v/>
      </c>
      <c r="B3232" s="23">
        <f>IF(AND(IFERROR(N(INDEX(Clay_Offices!$A$2:$FZ$601,381,Sync!$C$13)),0)&gt;0,IFERROR(INDEX(Clay_Offices!$A$2:$FZ$601,381,Sync!$C$5)&amp;"","")&lt;&gt;"",OR(LEFT(IFERROR(INDEX(Clay_Offices!$A$2:$FZ$601,381,Sync!$C$5)&amp;"",""),6)&lt;&gt;"SAMPLE",Config!$B$19="Y")),IFERROR(N(INDEX(Clay_Offices!$A$2:$FZ$601,381,Sync!$C$13)),0),"")</f>
        <v/>
      </c>
      <c r="C3232" s="17">
        <f>IF(B3232="","","office")</f>
        <v/>
      </c>
      <c r="D3232" s="17">
        <f>IF(B3232="","",IFERROR(INDEX(Clay_Offices!$A$2:$FZ$601,381,Sync!$C$5)&amp;"",""))</f>
        <v/>
      </c>
      <c r="E3232" s="17">
        <f>IF(B3232="","",IFERROR(INDEX(Clay_Offices!$A$2:$FZ$601,381,Sync!$C$6)&amp;"",""))</f>
        <v/>
      </c>
      <c r="F3232" s="17">
        <f>IF(B3232="","","outreach_sent")</f>
        <v/>
      </c>
      <c r="G3232" s="17">
        <f>IF(B3232="","","")</f>
        <v/>
      </c>
      <c r="H3232" s="17">
        <f>IF(B3232="","","")</f>
        <v/>
      </c>
      <c r="I3232" s="17">
        <f>IF(B3232="","","")</f>
        <v/>
      </c>
      <c r="J3232" s="17">
        <f>IF(B3232="","","touch_3; "&amp;IFERROR(INDEX(Clay_Offices!$A$2:$FZ$601,381,Sync!$C$10)&amp;"","")&amp;"; "&amp;IFERROR(INDEX(Clay_Offices!$A$2:$FZ$601,381,Sync!$C$9)&amp;"",""))</f>
        <v/>
      </c>
      <c r="K3232" t="inlineStr">
        <is>
          <t>office outreach touch 3</t>
        </is>
      </c>
    </row>
    <row r="3233">
      <c r="A3233" s="17">
        <f>IF(B3233="","",B3233+(14*1000+382)/10000000)</f>
        <v/>
      </c>
      <c r="B3233" s="23">
        <f>IF(AND(IFERROR(N(INDEX(Clay_Offices!$A$2:$FZ$601,382,Sync!$C$13)),0)&gt;0,IFERROR(INDEX(Clay_Offices!$A$2:$FZ$601,382,Sync!$C$5)&amp;"","")&lt;&gt;"",OR(LEFT(IFERROR(INDEX(Clay_Offices!$A$2:$FZ$601,382,Sync!$C$5)&amp;"",""),6)&lt;&gt;"SAMPLE",Config!$B$19="Y")),IFERROR(N(INDEX(Clay_Offices!$A$2:$FZ$601,382,Sync!$C$13)),0),"")</f>
        <v/>
      </c>
      <c r="C3233" s="17">
        <f>IF(B3233="","","office")</f>
        <v/>
      </c>
      <c r="D3233" s="17">
        <f>IF(B3233="","",IFERROR(INDEX(Clay_Offices!$A$2:$FZ$601,382,Sync!$C$5)&amp;"",""))</f>
        <v/>
      </c>
      <c r="E3233" s="17">
        <f>IF(B3233="","",IFERROR(INDEX(Clay_Offices!$A$2:$FZ$601,382,Sync!$C$6)&amp;"",""))</f>
        <v/>
      </c>
      <c r="F3233" s="17">
        <f>IF(B3233="","","outreach_sent")</f>
        <v/>
      </c>
      <c r="G3233" s="17">
        <f>IF(B3233="","","")</f>
        <v/>
      </c>
      <c r="H3233" s="17">
        <f>IF(B3233="","","")</f>
        <v/>
      </c>
      <c r="I3233" s="17">
        <f>IF(B3233="","","")</f>
        <v/>
      </c>
      <c r="J3233" s="17">
        <f>IF(B3233="","","touch_3; "&amp;IFERROR(INDEX(Clay_Offices!$A$2:$FZ$601,382,Sync!$C$10)&amp;"","")&amp;"; "&amp;IFERROR(INDEX(Clay_Offices!$A$2:$FZ$601,382,Sync!$C$9)&amp;"",""))</f>
        <v/>
      </c>
      <c r="K3233" t="inlineStr">
        <is>
          <t>office outreach touch 3</t>
        </is>
      </c>
    </row>
    <row r="3234">
      <c r="A3234" s="17">
        <f>IF(B3234="","",B3234+(14*1000+383)/10000000)</f>
        <v/>
      </c>
      <c r="B3234" s="23">
        <f>IF(AND(IFERROR(N(INDEX(Clay_Offices!$A$2:$FZ$601,383,Sync!$C$13)),0)&gt;0,IFERROR(INDEX(Clay_Offices!$A$2:$FZ$601,383,Sync!$C$5)&amp;"","")&lt;&gt;"",OR(LEFT(IFERROR(INDEX(Clay_Offices!$A$2:$FZ$601,383,Sync!$C$5)&amp;"",""),6)&lt;&gt;"SAMPLE",Config!$B$19="Y")),IFERROR(N(INDEX(Clay_Offices!$A$2:$FZ$601,383,Sync!$C$13)),0),"")</f>
        <v/>
      </c>
      <c r="C3234" s="17">
        <f>IF(B3234="","","office")</f>
        <v/>
      </c>
      <c r="D3234" s="17">
        <f>IF(B3234="","",IFERROR(INDEX(Clay_Offices!$A$2:$FZ$601,383,Sync!$C$5)&amp;"",""))</f>
        <v/>
      </c>
      <c r="E3234" s="17">
        <f>IF(B3234="","",IFERROR(INDEX(Clay_Offices!$A$2:$FZ$601,383,Sync!$C$6)&amp;"",""))</f>
        <v/>
      </c>
      <c r="F3234" s="17">
        <f>IF(B3234="","","outreach_sent")</f>
        <v/>
      </c>
      <c r="G3234" s="17">
        <f>IF(B3234="","","")</f>
        <v/>
      </c>
      <c r="H3234" s="17">
        <f>IF(B3234="","","")</f>
        <v/>
      </c>
      <c r="I3234" s="17">
        <f>IF(B3234="","","")</f>
        <v/>
      </c>
      <c r="J3234" s="17">
        <f>IF(B3234="","","touch_3; "&amp;IFERROR(INDEX(Clay_Offices!$A$2:$FZ$601,383,Sync!$C$10)&amp;"","")&amp;"; "&amp;IFERROR(INDEX(Clay_Offices!$A$2:$FZ$601,383,Sync!$C$9)&amp;"",""))</f>
        <v/>
      </c>
      <c r="K3234" t="inlineStr">
        <is>
          <t>office outreach touch 3</t>
        </is>
      </c>
    </row>
    <row r="3235">
      <c r="A3235" s="17">
        <f>IF(B3235="","",B3235+(14*1000+384)/10000000)</f>
        <v/>
      </c>
      <c r="B3235" s="23">
        <f>IF(AND(IFERROR(N(INDEX(Clay_Offices!$A$2:$FZ$601,384,Sync!$C$13)),0)&gt;0,IFERROR(INDEX(Clay_Offices!$A$2:$FZ$601,384,Sync!$C$5)&amp;"","")&lt;&gt;"",OR(LEFT(IFERROR(INDEX(Clay_Offices!$A$2:$FZ$601,384,Sync!$C$5)&amp;"",""),6)&lt;&gt;"SAMPLE",Config!$B$19="Y")),IFERROR(N(INDEX(Clay_Offices!$A$2:$FZ$601,384,Sync!$C$13)),0),"")</f>
        <v/>
      </c>
      <c r="C3235" s="17">
        <f>IF(B3235="","","office")</f>
        <v/>
      </c>
      <c r="D3235" s="17">
        <f>IF(B3235="","",IFERROR(INDEX(Clay_Offices!$A$2:$FZ$601,384,Sync!$C$5)&amp;"",""))</f>
        <v/>
      </c>
      <c r="E3235" s="17">
        <f>IF(B3235="","",IFERROR(INDEX(Clay_Offices!$A$2:$FZ$601,384,Sync!$C$6)&amp;"",""))</f>
        <v/>
      </c>
      <c r="F3235" s="17">
        <f>IF(B3235="","","outreach_sent")</f>
        <v/>
      </c>
      <c r="G3235" s="17">
        <f>IF(B3235="","","")</f>
        <v/>
      </c>
      <c r="H3235" s="17">
        <f>IF(B3235="","","")</f>
        <v/>
      </c>
      <c r="I3235" s="17">
        <f>IF(B3235="","","")</f>
        <v/>
      </c>
      <c r="J3235" s="17">
        <f>IF(B3235="","","touch_3; "&amp;IFERROR(INDEX(Clay_Offices!$A$2:$FZ$601,384,Sync!$C$10)&amp;"","")&amp;"; "&amp;IFERROR(INDEX(Clay_Offices!$A$2:$FZ$601,384,Sync!$C$9)&amp;"",""))</f>
        <v/>
      </c>
      <c r="K3235" t="inlineStr">
        <is>
          <t>office outreach touch 3</t>
        </is>
      </c>
    </row>
    <row r="3236">
      <c r="A3236" s="17">
        <f>IF(B3236="","",B3236+(14*1000+385)/10000000)</f>
        <v/>
      </c>
      <c r="B3236" s="23">
        <f>IF(AND(IFERROR(N(INDEX(Clay_Offices!$A$2:$FZ$601,385,Sync!$C$13)),0)&gt;0,IFERROR(INDEX(Clay_Offices!$A$2:$FZ$601,385,Sync!$C$5)&amp;"","")&lt;&gt;"",OR(LEFT(IFERROR(INDEX(Clay_Offices!$A$2:$FZ$601,385,Sync!$C$5)&amp;"",""),6)&lt;&gt;"SAMPLE",Config!$B$19="Y")),IFERROR(N(INDEX(Clay_Offices!$A$2:$FZ$601,385,Sync!$C$13)),0),"")</f>
        <v/>
      </c>
      <c r="C3236" s="17">
        <f>IF(B3236="","","office")</f>
        <v/>
      </c>
      <c r="D3236" s="17">
        <f>IF(B3236="","",IFERROR(INDEX(Clay_Offices!$A$2:$FZ$601,385,Sync!$C$5)&amp;"",""))</f>
        <v/>
      </c>
      <c r="E3236" s="17">
        <f>IF(B3236="","",IFERROR(INDEX(Clay_Offices!$A$2:$FZ$601,385,Sync!$C$6)&amp;"",""))</f>
        <v/>
      </c>
      <c r="F3236" s="17">
        <f>IF(B3236="","","outreach_sent")</f>
        <v/>
      </c>
      <c r="G3236" s="17">
        <f>IF(B3236="","","")</f>
        <v/>
      </c>
      <c r="H3236" s="17">
        <f>IF(B3236="","","")</f>
        <v/>
      </c>
      <c r="I3236" s="17">
        <f>IF(B3236="","","")</f>
        <v/>
      </c>
      <c r="J3236" s="17">
        <f>IF(B3236="","","touch_3; "&amp;IFERROR(INDEX(Clay_Offices!$A$2:$FZ$601,385,Sync!$C$10)&amp;"","")&amp;"; "&amp;IFERROR(INDEX(Clay_Offices!$A$2:$FZ$601,385,Sync!$C$9)&amp;"",""))</f>
        <v/>
      </c>
      <c r="K3236" t="inlineStr">
        <is>
          <t>office outreach touch 3</t>
        </is>
      </c>
    </row>
    <row r="3237">
      <c r="A3237" s="17">
        <f>IF(B3237="","",B3237+(14*1000+386)/10000000)</f>
        <v/>
      </c>
      <c r="B3237" s="23">
        <f>IF(AND(IFERROR(N(INDEX(Clay_Offices!$A$2:$FZ$601,386,Sync!$C$13)),0)&gt;0,IFERROR(INDEX(Clay_Offices!$A$2:$FZ$601,386,Sync!$C$5)&amp;"","")&lt;&gt;"",OR(LEFT(IFERROR(INDEX(Clay_Offices!$A$2:$FZ$601,386,Sync!$C$5)&amp;"",""),6)&lt;&gt;"SAMPLE",Config!$B$19="Y")),IFERROR(N(INDEX(Clay_Offices!$A$2:$FZ$601,386,Sync!$C$13)),0),"")</f>
        <v/>
      </c>
      <c r="C3237" s="17">
        <f>IF(B3237="","","office")</f>
        <v/>
      </c>
      <c r="D3237" s="17">
        <f>IF(B3237="","",IFERROR(INDEX(Clay_Offices!$A$2:$FZ$601,386,Sync!$C$5)&amp;"",""))</f>
        <v/>
      </c>
      <c r="E3237" s="17">
        <f>IF(B3237="","",IFERROR(INDEX(Clay_Offices!$A$2:$FZ$601,386,Sync!$C$6)&amp;"",""))</f>
        <v/>
      </c>
      <c r="F3237" s="17">
        <f>IF(B3237="","","outreach_sent")</f>
        <v/>
      </c>
      <c r="G3237" s="17">
        <f>IF(B3237="","","")</f>
        <v/>
      </c>
      <c r="H3237" s="17">
        <f>IF(B3237="","","")</f>
        <v/>
      </c>
      <c r="I3237" s="17">
        <f>IF(B3237="","","")</f>
        <v/>
      </c>
      <c r="J3237" s="17">
        <f>IF(B3237="","","touch_3; "&amp;IFERROR(INDEX(Clay_Offices!$A$2:$FZ$601,386,Sync!$C$10)&amp;"","")&amp;"; "&amp;IFERROR(INDEX(Clay_Offices!$A$2:$FZ$601,386,Sync!$C$9)&amp;"",""))</f>
        <v/>
      </c>
      <c r="K3237" t="inlineStr">
        <is>
          <t>office outreach touch 3</t>
        </is>
      </c>
    </row>
    <row r="3238">
      <c r="A3238" s="17">
        <f>IF(B3238="","",B3238+(14*1000+387)/10000000)</f>
        <v/>
      </c>
      <c r="B3238" s="23">
        <f>IF(AND(IFERROR(N(INDEX(Clay_Offices!$A$2:$FZ$601,387,Sync!$C$13)),0)&gt;0,IFERROR(INDEX(Clay_Offices!$A$2:$FZ$601,387,Sync!$C$5)&amp;"","")&lt;&gt;"",OR(LEFT(IFERROR(INDEX(Clay_Offices!$A$2:$FZ$601,387,Sync!$C$5)&amp;"",""),6)&lt;&gt;"SAMPLE",Config!$B$19="Y")),IFERROR(N(INDEX(Clay_Offices!$A$2:$FZ$601,387,Sync!$C$13)),0),"")</f>
        <v/>
      </c>
      <c r="C3238" s="17">
        <f>IF(B3238="","","office")</f>
        <v/>
      </c>
      <c r="D3238" s="17">
        <f>IF(B3238="","",IFERROR(INDEX(Clay_Offices!$A$2:$FZ$601,387,Sync!$C$5)&amp;"",""))</f>
        <v/>
      </c>
      <c r="E3238" s="17">
        <f>IF(B3238="","",IFERROR(INDEX(Clay_Offices!$A$2:$FZ$601,387,Sync!$C$6)&amp;"",""))</f>
        <v/>
      </c>
      <c r="F3238" s="17">
        <f>IF(B3238="","","outreach_sent")</f>
        <v/>
      </c>
      <c r="G3238" s="17">
        <f>IF(B3238="","","")</f>
        <v/>
      </c>
      <c r="H3238" s="17">
        <f>IF(B3238="","","")</f>
        <v/>
      </c>
      <c r="I3238" s="17">
        <f>IF(B3238="","","")</f>
        <v/>
      </c>
      <c r="J3238" s="17">
        <f>IF(B3238="","","touch_3; "&amp;IFERROR(INDEX(Clay_Offices!$A$2:$FZ$601,387,Sync!$C$10)&amp;"","")&amp;"; "&amp;IFERROR(INDEX(Clay_Offices!$A$2:$FZ$601,387,Sync!$C$9)&amp;"",""))</f>
        <v/>
      </c>
      <c r="K3238" t="inlineStr">
        <is>
          <t>office outreach touch 3</t>
        </is>
      </c>
    </row>
    <row r="3239">
      <c r="A3239" s="17">
        <f>IF(B3239="","",B3239+(14*1000+388)/10000000)</f>
        <v/>
      </c>
      <c r="B3239" s="23">
        <f>IF(AND(IFERROR(N(INDEX(Clay_Offices!$A$2:$FZ$601,388,Sync!$C$13)),0)&gt;0,IFERROR(INDEX(Clay_Offices!$A$2:$FZ$601,388,Sync!$C$5)&amp;"","")&lt;&gt;"",OR(LEFT(IFERROR(INDEX(Clay_Offices!$A$2:$FZ$601,388,Sync!$C$5)&amp;"",""),6)&lt;&gt;"SAMPLE",Config!$B$19="Y")),IFERROR(N(INDEX(Clay_Offices!$A$2:$FZ$601,388,Sync!$C$13)),0),"")</f>
        <v/>
      </c>
      <c r="C3239" s="17">
        <f>IF(B3239="","","office")</f>
        <v/>
      </c>
      <c r="D3239" s="17">
        <f>IF(B3239="","",IFERROR(INDEX(Clay_Offices!$A$2:$FZ$601,388,Sync!$C$5)&amp;"",""))</f>
        <v/>
      </c>
      <c r="E3239" s="17">
        <f>IF(B3239="","",IFERROR(INDEX(Clay_Offices!$A$2:$FZ$601,388,Sync!$C$6)&amp;"",""))</f>
        <v/>
      </c>
      <c r="F3239" s="17">
        <f>IF(B3239="","","outreach_sent")</f>
        <v/>
      </c>
      <c r="G3239" s="17">
        <f>IF(B3239="","","")</f>
        <v/>
      </c>
      <c r="H3239" s="17">
        <f>IF(B3239="","","")</f>
        <v/>
      </c>
      <c r="I3239" s="17">
        <f>IF(B3239="","","")</f>
        <v/>
      </c>
      <c r="J3239" s="17">
        <f>IF(B3239="","","touch_3; "&amp;IFERROR(INDEX(Clay_Offices!$A$2:$FZ$601,388,Sync!$C$10)&amp;"","")&amp;"; "&amp;IFERROR(INDEX(Clay_Offices!$A$2:$FZ$601,388,Sync!$C$9)&amp;"",""))</f>
        <v/>
      </c>
      <c r="K3239" t="inlineStr">
        <is>
          <t>office outreach touch 3</t>
        </is>
      </c>
    </row>
    <row r="3240">
      <c r="A3240" s="17">
        <f>IF(B3240="","",B3240+(14*1000+389)/10000000)</f>
        <v/>
      </c>
      <c r="B3240" s="23">
        <f>IF(AND(IFERROR(N(INDEX(Clay_Offices!$A$2:$FZ$601,389,Sync!$C$13)),0)&gt;0,IFERROR(INDEX(Clay_Offices!$A$2:$FZ$601,389,Sync!$C$5)&amp;"","")&lt;&gt;"",OR(LEFT(IFERROR(INDEX(Clay_Offices!$A$2:$FZ$601,389,Sync!$C$5)&amp;"",""),6)&lt;&gt;"SAMPLE",Config!$B$19="Y")),IFERROR(N(INDEX(Clay_Offices!$A$2:$FZ$601,389,Sync!$C$13)),0),"")</f>
        <v/>
      </c>
      <c r="C3240" s="17">
        <f>IF(B3240="","","office")</f>
        <v/>
      </c>
      <c r="D3240" s="17">
        <f>IF(B3240="","",IFERROR(INDEX(Clay_Offices!$A$2:$FZ$601,389,Sync!$C$5)&amp;"",""))</f>
        <v/>
      </c>
      <c r="E3240" s="17">
        <f>IF(B3240="","",IFERROR(INDEX(Clay_Offices!$A$2:$FZ$601,389,Sync!$C$6)&amp;"",""))</f>
        <v/>
      </c>
      <c r="F3240" s="17">
        <f>IF(B3240="","","outreach_sent")</f>
        <v/>
      </c>
      <c r="G3240" s="17">
        <f>IF(B3240="","","")</f>
        <v/>
      </c>
      <c r="H3240" s="17">
        <f>IF(B3240="","","")</f>
        <v/>
      </c>
      <c r="I3240" s="17">
        <f>IF(B3240="","","")</f>
        <v/>
      </c>
      <c r="J3240" s="17">
        <f>IF(B3240="","","touch_3; "&amp;IFERROR(INDEX(Clay_Offices!$A$2:$FZ$601,389,Sync!$C$10)&amp;"","")&amp;"; "&amp;IFERROR(INDEX(Clay_Offices!$A$2:$FZ$601,389,Sync!$C$9)&amp;"",""))</f>
        <v/>
      </c>
      <c r="K3240" t="inlineStr">
        <is>
          <t>office outreach touch 3</t>
        </is>
      </c>
    </row>
    <row r="3241">
      <c r="A3241" s="17">
        <f>IF(B3241="","",B3241+(14*1000+390)/10000000)</f>
        <v/>
      </c>
      <c r="B3241" s="23">
        <f>IF(AND(IFERROR(N(INDEX(Clay_Offices!$A$2:$FZ$601,390,Sync!$C$13)),0)&gt;0,IFERROR(INDEX(Clay_Offices!$A$2:$FZ$601,390,Sync!$C$5)&amp;"","")&lt;&gt;"",OR(LEFT(IFERROR(INDEX(Clay_Offices!$A$2:$FZ$601,390,Sync!$C$5)&amp;"",""),6)&lt;&gt;"SAMPLE",Config!$B$19="Y")),IFERROR(N(INDEX(Clay_Offices!$A$2:$FZ$601,390,Sync!$C$13)),0),"")</f>
        <v/>
      </c>
      <c r="C3241" s="17">
        <f>IF(B3241="","","office")</f>
        <v/>
      </c>
      <c r="D3241" s="17">
        <f>IF(B3241="","",IFERROR(INDEX(Clay_Offices!$A$2:$FZ$601,390,Sync!$C$5)&amp;"",""))</f>
        <v/>
      </c>
      <c r="E3241" s="17">
        <f>IF(B3241="","",IFERROR(INDEX(Clay_Offices!$A$2:$FZ$601,390,Sync!$C$6)&amp;"",""))</f>
        <v/>
      </c>
      <c r="F3241" s="17">
        <f>IF(B3241="","","outreach_sent")</f>
        <v/>
      </c>
      <c r="G3241" s="17">
        <f>IF(B3241="","","")</f>
        <v/>
      </c>
      <c r="H3241" s="17">
        <f>IF(B3241="","","")</f>
        <v/>
      </c>
      <c r="I3241" s="17">
        <f>IF(B3241="","","")</f>
        <v/>
      </c>
      <c r="J3241" s="17">
        <f>IF(B3241="","","touch_3; "&amp;IFERROR(INDEX(Clay_Offices!$A$2:$FZ$601,390,Sync!$C$10)&amp;"","")&amp;"; "&amp;IFERROR(INDEX(Clay_Offices!$A$2:$FZ$601,390,Sync!$C$9)&amp;"",""))</f>
        <v/>
      </c>
      <c r="K3241" t="inlineStr">
        <is>
          <t>office outreach touch 3</t>
        </is>
      </c>
    </row>
    <row r="3242">
      <c r="A3242" s="17">
        <f>IF(B3242="","",B3242+(14*1000+391)/10000000)</f>
        <v/>
      </c>
      <c r="B3242" s="23">
        <f>IF(AND(IFERROR(N(INDEX(Clay_Offices!$A$2:$FZ$601,391,Sync!$C$13)),0)&gt;0,IFERROR(INDEX(Clay_Offices!$A$2:$FZ$601,391,Sync!$C$5)&amp;"","")&lt;&gt;"",OR(LEFT(IFERROR(INDEX(Clay_Offices!$A$2:$FZ$601,391,Sync!$C$5)&amp;"",""),6)&lt;&gt;"SAMPLE",Config!$B$19="Y")),IFERROR(N(INDEX(Clay_Offices!$A$2:$FZ$601,391,Sync!$C$13)),0),"")</f>
        <v/>
      </c>
      <c r="C3242" s="17">
        <f>IF(B3242="","","office")</f>
        <v/>
      </c>
      <c r="D3242" s="17">
        <f>IF(B3242="","",IFERROR(INDEX(Clay_Offices!$A$2:$FZ$601,391,Sync!$C$5)&amp;"",""))</f>
        <v/>
      </c>
      <c r="E3242" s="17">
        <f>IF(B3242="","",IFERROR(INDEX(Clay_Offices!$A$2:$FZ$601,391,Sync!$C$6)&amp;"",""))</f>
        <v/>
      </c>
      <c r="F3242" s="17">
        <f>IF(B3242="","","outreach_sent")</f>
        <v/>
      </c>
      <c r="G3242" s="17">
        <f>IF(B3242="","","")</f>
        <v/>
      </c>
      <c r="H3242" s="17">
        <f>IF(B3242="","","")</f>
        <v/>
      </c>
      <c r="I3242" s="17">
        <f>IF(B3242="","","")</f>
        <v/>
      </c>
      <c r="J3242" s="17">
        <f>IF(B3242="","","touch_3; "&amp;IFERROR(INDEX(Clay_Offices!$A$2:$FZ$601,391,Sync!$C$10)&amp;"","")&amp;"; "&amp;IFERROR(INDEX(Clay_Offices!$A$2:$FZ$601,391,Sync!$C$9)&amp;"",""))</f>
        <v/>
      </c>
      <c r="K3242" t="inlineStr">
        <is>
          <t>office outreach touch 3</t>
        </is>
      </c>
    </row>
    <row r="3243">
      <c r="A3243" s="17">
        <f>IF(B3243="","",B3243+(14*1000+392)/10000000)</f>
        <v/>
      </c>
      <c r="B3243" s="23">
        <f>IF(AND(IFERROR(N(INDEX(Clay_Offices!$A$2:$FZ$601,392,Sync!$C$13)),0)&gt;0,IFERROR(INDEX(Clay_Offices!$A$2:$FZ$601,392,Sync!$C$5)&amp;"","")&lt;&gt;"",OR(LEFT(IFERROR(INDEX(Clay_Offices!$A$2:$FZ$601,392,Sync!$C$5)&amp;"",""),6)&lt;&gt;"SAMPLE",Config!$B$19="Y")),IFERROR(N(INDEX(Clay_Offices!$A$2:$FZ$601,392,Sync!$C$13)),0),"")</f>
        <v/>
      </c>
      <c r="C3243" s="17">
        <f>IF(B3243="","","office")</f>
        <v/>
      </c>
      <c r="D3243" s="17">
        <f>IF(B3243="","",IFERROR(INDEX(Clay_Offices!$A$2:$FZ$601,392,Sync!$C$5)&amp;"",""))</f>
        <v/>
      </c>
      <c r="E3243" s="17">
        <f>IF(B3243="","",IFERROR(INDEX(Clay_Offices!$A$2:$FZ$601,392,Sync!$C$6)&amp;"",""))</f>
        <v/>
      </c>
      <c r="F3243" s="17">
        <f>IF(B3243="","","outreach_sent")</f>
        <v/>
      </c>
      <c r="G3243" s="17">
        <f>IF(B3243="","","")</f>
        <v/>
      </c>
      <c r="H3243" s="17">
        <f>IF(B3243="","","")</f>
        <v/>
      </c>
      <c r="I3243" s="17">
        <f>IF(B3243="","","")</f>
        <v/>
      </c>
      <c r="J3243" s="17">
        <f>IF(B3243="","","touch_3; "&amp;IFERROR(INDEX(Clay_Offices!$A$2:$FZ$601,392,Sync!$C$10)&amp;"","")&amp;"; "&amp;IFERROR(INDEX(Clay_Offices!$A$2:$FZ$601,392,Sync!$C$9)&amp;"",""))</f>
        <v/>
      </c>
      <c r="K3243" t="inlineStr">
        <is>
          <t>office outreach touch 3</t>
        </is>
      </c>
    </row>
    <row r="3244">
      <c r="A3244" s="17">
        <f>IF(B3244="","",B3244+(14*1000+393)/10000000)</f>
        <v/>
      </c>
      <c r="B3244" s="23">
        <f>IF(AND(IFERROR(N(INDEX(Clay_Offices!$A$2:$FZ$601,393,Sync!$C$13)),0)&gt;0,IFERROR(INDEX(Clay_Offices!$A$2:$FZ$601,393,Sync!$C$5)&amp;"","")&lt;&gt;"",OR(LEFT(IFERROR(INDEX(Clay_Offices!$A$2:$FZ$601,393,Sync!$C$5)&amp;"",""),6)&lt;&gt;"SAMPLE",Config!$B$19="Y")),IFERROR(N(INDEX(Clay_Offices!$A$2:$FZ$601,393,Sync!$C$13)),0),"")</f>
        <v/>
      </c>
      <c r="C3244" s="17">
        <f>IF(B3244="","","office")</f>
        <v/>
      </c>
      <c r="D3244" s="17">
        <f>IF(B3244="","",IFERROR(INDEX(Clay_Offices!$A$2:$FZ$601,393,Sync!$C$5)&amp;"",""))</f>
        <v/>
      </c>
      <c r="E3244" s="17">
        <f>IF(B3244="","",IFERROR(INDEX(Clay_Offices!$A$2:$FZ$601,393,Sync!$C$6)&amp;"",""))</f>
        <v/>
      </c>
      <c r="F3244" s="17">
        <f>IF(B3244="","","outreach_sent")</f>
        <v/>
      </c>
      <c r="G3244" s="17">
        <f>IF(B3244="","","")</f>
        <v/>
      </c>
      <c r="H3244" s="17">
        <f>IF(B3244="","","")</f>
        <v/>
      </c>
      <c r="I3244" s="17">
        <f>IF(B3244="","","")</f>
        <v/>
      </c>
      <c r="J3244" s="17">
        <f>IF(B3244="","","touch_3; "&amp;IFERROR(INDEX(Clay_Offices!$A$2:$FZ$601,393,Sync!$C$10)&amp;"","")&amp;"; "&amp;IFERROR(INDEX(Clay_Offices!$A$2:$FZ$601,393,Sync!$C$9)&amp;"",""))</f>
        <v/>
      </c>
      <c r="K3244" t="inlineStr">
        <is>
          <t>office outreach touch 3</t>
        </is>
      </c>
    </row>
    <row r="3245">
      <c r="A3245" s="17">
        <f>IF(B3245="","",B3245+(14*1000+394)/10000000)</f>
        <v/>
      </c>
      <c r="B3245" s="23">
        <f>IF(AND(IFERROR(N(INDEX(Clay_Offices!$A$2:$FZ$601,394,Sync!$C$13)),0)&gt;0,IFERROR(INDEX(Clay_Offices!$A$2:$FZ$601,394,Sync!$C$5)&amp;"","")&lt;&gt;"",OR(LEFT(IFERROR(INDEX(Clay_Offices!$A$2:$FZ$601,394,Sync!$C$5)&amp;"",""),6)&lt;&gt;"SAMPLE",Config!$B$19="Y")),IFERROR(N(INDEX(Clay_Offices!$A$2:$FZ$601,394,Sync!$C$13)),0),"")</f>
        <v/>
      </c>
      <c r="C3245" s="17">
        <f>IF(B3245="","","office")</f>
        <v/>
      </c>
      <c r="D3245" s="17">
        <f>IF(B3245="","",IFERROR(INDEX(Clay_Offices!$A$2:$FZ$601,394,Sync!$C$5)&amp;"",""))</f>
        <v/>
      </c>
      <c r="E3245" s="17">
        <f>IF(B3245="","",IFERROR(INDEX(Clay_Offices!$A$2:$FZ$601,394,Sync!$C$6)&amp;"",""))</f>
        <v/>
      </c>
      <c r="F3245" s="17">
        <f>IF(B3245="","","outreach_sent")</f>
        <v/>
      </c>
      <c r="G3245" s="17">
        <f>IF(B3245="","","")</f>
        <v/>
      </c>
      <c r="H3245" s="17">
        <f>IF(B3245="","","")</f>
        <v/>
      </c>
      <c r="I3245" s="17">
        <f>IF(B3245="","","")</f>
        <v/>
      </c>
      <c r="J3245" s="17">
        <f>IF(B3245="","","touch_3; "&amp;IFERROR(INDEX(Clay_Offices!$A$2:$FZ$601,394,Sync!$C$10)&amp;"","")&amp;"; "&amp;IFERROR(INDEX(Clay_Offices!$A$2:$FZ$601,394,Sync!$C$9)&amp;"",""))</f>
        <v/>
      </c>
      <c r="K3245" t="inlineStr">
        <is>
          <t>office outreach touch 3</t>
        </is>
      </c>
    </row>
    <row r="3246">
      <c r="A3246" s="17">
        <f>IF(B3246="","",B3246+(14*1000+395)/10000000)</f>
        <v/>
      </c>
      <c r="B3246" s="23">
        <f>IF(AND(IFERROR(N(INDEX(Clay_Offices!$A$2:$FZ$601,395,Sync!$C$13)),0)&gt;0,IFERROR(INDEX(Clay_Offices!$A$2:$FZ$601,395,Sync!$C$5)&amp;"","")&lt;&gt;"",OR(LEFT(IFERROR(INDEX(Clay_Offices!$A$2:$FZ$601,395,Sync!$C$5)&amp;"",""),6)&lt;&gt;"SAMPLE",Config!$B$19="Y")),IFERROR(N(INDEX(Clay_Offices!$A$2:$FZ$601,395,Sync!$C$13)),0),"")</f>
        <v/>
      </c>
      <c r="C3246" s="17">
        <f>IF(B3246="","","office")</f>
        <v/>
      </c>
      <c r="D3246" s="17">
        <f>IF(B3246="","",IFERROR(INDEX(Clay_Offices!$A$2:$FZ$601,395,Sync!$C$5)&amp;"",""))</f>
        <v/>
      </c>
      <c r="E3246" s="17">
        <f>IF(B3246="","",IFERROR(INDEX(Clay_Offices!$A$2:$FZ$601,395,Sync!$C$6)&amp;"",""))</f>
        <v/>
      </c>
      <c r="F3246" s="17">
        <f>IF(B3246="","","outreach_sent")</f>
        <v/>
      </c>
      <c r="G3246" s="17">
        <f>IF(B3246="","","")</f>
        <v/>
      </c>
      <c r="H3246" s="17">
        <f>IF(B3246="","","")</f>
        <v/>
      </c>
      <c r="I3246" s="17">
        <f>IF(B3246="","","")</f>
        <v/>
      </c>
      <c r="J3246" s="17">
        <f>IF(B3246="","","touch_3; "&amp;IFERROR(INDEX(Clay_Offices!$A$2:$FZ$601,395,Sync!$C$10)&amp;"","")&amp;"; "&amp;IFERROR(INDEX(Clay_Offices!$A$2:$FZ$601,395,Sync!$C$9)&amp;"",""))</f>
        <v/>
      </c>
      <c r="K3246" t="inlineStr">
        <is>
          <t>office outreach touch 3</t>
        </is>
      </c>
    </row>
    <row r="3247">
      <c r="A3247" s="17">
        <f>IF(B3247="","",B3247+(14*1000+396)/10000000)</f>
        <v/>
      </c>
      <c r="B3247" s="23">
        <f>IF(AND(IFERROR(N(INDEX(Clay_Offices!$A$2:$FZ$601,396,Sync!$C$13)),0)&gt;0,IFERROR(INDEX(Clay_Offices!$A$2:$FZ$601,396,Sync!$C$5)&amp;"","")&lt;&gt;"",OR(LEFT(IFERROR(INDEX(Clay_Offices!$A$2:$FZ$601,396,Sync!$C$5)&amp;"",""),6)&lt;&gt;"SAMPLE",Config!$B$19="Y")),IFERROR(N(INDEX(Clay_Offices!$A$2:$FZ$601,396,Sync!$C$13)),0),"")</f>
        <v/>
      </c>
      <c r="C3247" s="17">
        <f>IF(B3247="","","office")</f>
        <v/>
      </c>
      <c r="D3247" s="17">
        <f>IF(B3247="","",IFERROR(INDEX(Clay_Offices!$A$2:$FZ$601,396,Sync!$C$5)&amp;"",""))</f>
        <v/>
      </c>
      <c r="E3247" s="17">
        <f>IF(B3247="","",IFERROR(INDEX(Clay_Offices!$A$2:$FZ$601,396,Sync!$C$6)&amp;"",""))</f>
        <v/>
      </c>
      <c r="F3247" s="17">
        <f>IF(B3247="","","outreach_sent")</f>
        <v/>
      </c>
      <c r="G3247" s="17">
        <f>IF(B3247="","","")</f>
        <v/>
      </c>
      <c r="H3247" s="17">
        <f>IF(B3247="","","")</f>
        <v/>
      </c>
      <c r="I3247" s="17">
        <f>IF(B3247="","","")</f>
        <v/>
      </c>
      <c r="J3247" s="17">
        <f>IF(B3247="","","touch_3; "&amp;IFERROR(INDEX(Clay_Offices!$A$2:$FZ$601,396,Sync!$C$10)&amp;"","")&amp;"; "&amp;IFERROR(INDEX(Clay_Offices!$A$2:$FZ$601,396,Sync!$C$9)&amp;"",""))</f>
        <v/>
      </c>
      <c r="K3247" t="inlineStr">
        <is>
          <t>office outreach touch 3</t>
        </is>
      </c>
    </row>
    <row r="3248">
      <c r="A3248" s="17">
        <f>IF(B3248="","",B3248+(14*1000+397)/10000000)</f>
        <v/>
      </c>
      <c r="B3248" s="23">
        <f>IF(AND(IFERROR(N(INDEX(Clay_Offices!$A$2:$FZ$601,397,Sync!$C$13)),0)&gt;0,IFERROR(INDEX(Clay_Offices!$A$2:$FZ$601,397,Sync!$C$5)&amp;"","")&lt;&gt;"",OR(LEFT(IFERROR(INDEX(Clay_Offices!$A$2:$FZ$601,397,Sync!$C$5)&amp;"",""),6)&lt;&gt;"SAMPLE",Config!$B$19="Y")),IFERROR(N(INDEX(Clay_Offices!$A$2:$FZ$601,397,Sync!$C$13)),0),"")</f>
        <v/>
      </c>
      <c r="C3248" s="17">
        <f>IF(B3248="","","office")</f>
        <v/>
      </c>
      <c r="D3248" s="17">
        <f>IF(B3248="","",IFERROR(INDEX(Clay_Offices!$A$2:$FZ$601,397,Sync!$C$5)&amp;"",""))</f>
        <v/>
      </c>
      <c r="E3248" s="17">
        <f>IF(B3248="","",IFERROR(INDEX(Clay_Offices!$A$2:$FZ$601,397,Sync!$C$6)&amp;"",""))</f>
        <v/>
      </c>
      <c r="F3248" s="17">
        <f>IF(B3248="","","outreach_sent")</f>
        <v/>
      </c>
      <c r="G3248" s="17">
        <f>IF(B3248="","","")</f>
        <v/>
      </c>
      <c r="H3248" s="17">
        <f>IF(B3248="","","")</f>
        <v/>
      </c>
      <c r="I3248" s="17">
        <f>IF(B3248="","","")</f>
        <v/>
      </c>
      <c r="J3248" s="17">
        <f>IF(B3248="","","touch_3; "&amp;IFERROR(INDEX(Clay_Offices!$A$2:$FZ$601,397,Sync!$C$10)&amp;"","")&amp;"; "&amp;IFERROR(INDEX(Clay_Offices!$A$2:$FZ$601,397,Sync!$C$9)&amp;"",""))</f>
        <v/>
      </c>
      <c r="K3248" t="inlineStr">
        <is>
          <t>office outreach touch 3</t>
        </is>
      </c>
    </row>
    <row r="3249">
      <c r="A3249" s="17">
        <f>IF(B3249="","",B3249+(14*1000+398)/10000000)</f>
        <v/>
      </c>
      <c r="B3249" s="23">
        <f>IF(AND(IFERROR(N(INDEX(Clay_Offices!$A$2:$FZ$601,398,Sync!$C$13)),0)&gt;0,IFERROR(INDEX(Clay_Offices!$A$2:$FZ$601,398,Sync!$C$5)&amp;"","")&lt;&gt;"",OR(LEFT(IFERROR(INDEX(Clay_Offices!$A$2:$FZ$601,398,Sync!$C$5)&amp;"",""),6)&lt;&gt;"SAMPLE",Config!$B$19="Y")),IFERROR(N(INDEX(Clay_Offices!$A$2:$FZ$601,398,Sync!$C$13)),0),"")</f>
        <v/>
      </c>
      <c r="C3249" s="17">
        <f>IF(B3249="","","office")</f>
        <v/>
      </c>
      <c r="D3249" s="17">
        <f>IF(B3249="","",IFERROR(INDEX(Clay_Offices!$A$2:$FZ$601,398,Sync!$C$5)&amp;"",""))</f>
        <v/>
      </c>
      <c r="E3249" s="17">
        <f>IF(B3249="","",IFERROR(INDEX(Clay_Offices!$A$2:$FZ$601,398,Sync!$C$6)&amp;"",""))</f>
        <v/>
      </c>
      <c r="F3249" s="17">
        <f>IF(B3249="","","outreach_sent")</f>
        <v/>
      </c>
      <c r="G3249" s="17">
        <f>IF(B3249="","","")</f>
        <v/>
      </c>
      <c r="H3249" s="17">
        <f>IF(B3249="","","")</f>
        <v/>
      </c>
      <c r="I3249" s="17">
        <f>IF(B3249="","","")</f>
        <v/>
      </c>
      <c r="J3249" s="17">
        <f>IF(B3249="","","touch_3; "&amp;IFERROR(INDEX(Clay_Offices!$A$2:$FZ$601,398,Sync!$C$10)&amp;"","")&amp;"; "&amp;IFERROR(INDEX(Clay_Offices!$A$2:$FZ$601,398,Sync!$C$9)&amp;"",""))</f>
        <v/>
      </c>
      <c r="K3249" t="inlineStr">
        <is>
          <t>office outreach touch 3</t>
        </is>
      </c>
    </row>
    <row r="3250">
      <c r="A3250" s="17">
        <f>IF(B3250="","",B3250+(14*1000+399)/10000000)</f>
        <v/>
      </c>
      <c r="B3250" s="23">
        <f>IF(AND(IFERROR(N(INDEX(Clay_Offices!$A$2:$FZ$601,399,Sync!$C$13)),0)&gt;0,IFERROR(INDEX(Clay_Offices!$A$2:$FZ$601,399,Sync!$C$5)&amp;"","")&lt;&gt;"",OR(LEFT(IFERROR(INDEX(Clay_Offices!$A$2:$FZ$601,399,Sync!$C$5)&amp;"",""),6)&lt;&gt;"SAMPLE",Config!$B$19="Y")),IFERROR(N(INDEX(Clay_Offices!$A$2:$FZ$601,399,Sync!$C$13)),0),"")</f>
        <v/>
      </c>
      <c r="C3250" s="17">
        <f>IF(B3250="","","office")</f>
        <v/>
      </c>
      <c r="D3250" s="17">
        <f>IF(B3250="","",IFERROR(INDEX(Clay_Offices!$A$2:$FZ$601,399,Sync!$C$5)&amp;"",""))</f>
        <v/>
      </c>
      <c r="E3250" s="17">
        <f>IF(B3250="","",IFERROR(INDEX(Clay_Offices!$A$2:$FZ$601,399,Sync!$C$6)&amp;"",""))</f>
        <v/>
      </c>
      <c r="F3250" s="17">
        <f>IF(B3250="","","outreach_sent")</f>
        <v/>
      </c>
      <c r="G3250" s="17">
        <f>IF(B3250="","","")</f>
        <v/>
      </c>
      <c r="H3250" s="17">
        <f>IF(B3250="","","")</f>
        <v/>
      </c>
      <c r="I3250" s="17">
        <f>IF(B3250="","","")</f>
        <v/>
      </c>
      <c r="J3250" s="17">
        <f>IF(B3250="","","touch_3; "&amp;IFERROR(INDEX(Clay_Offices!$A$2:$FZ$601,399,Sync!$C$10)&amp;"","")&amp;"; "&amp;IFERROR(INDEX(Clay_Offices!$A$2:$FZ$601,399,Sync!$C$9)&amp;"",""))</f>
        <v/>
      </c>
      <c r="K3250" t="inlineStr">
        <is>
          <t>office outreach touch 3</t>
        </is>
      </c>
    </row>
    <row r="3251">
      <c r="A3251" s="17">
        <f>IF(B3251="","",B3251+(14*1000+400)/10000000)</f>
        <v/>
      </c>
      <c r="B3251" s="23">
        <f>IF(AND(IFERROR(N(INDEX(Clay_Offices!$A$2:$FZ$601,400,Sync!$C$13)),0)&gt;0,IFERROR(INDEX(Clay_Offices!$A$2:$FZ$601,400,Sync!$C$5)&amp;"","")&lt;&gt;"",OR(LEFT(IFERROR(INDEX(Clay_Offices!$A$2:$FZ$601,400,Sync!$C$5)&amp;"",""),6)&lt;&gt;"SAMPLE",Config!$B$19="Y")),IFERROR(N(INDEX(Clay_Offices!$A$2:$FZ$601,400,Sync!$C$13)),0),"")</f>
        <v/>
      </c>
      <c r="C3251" s="17">
        <f>IF(B3251="","","office")</f>
        <v/>
      </c>
      <c r="D3251" s="17">
        <f>IF(B3251="","",IFERROR(INDEX(Clay_Offices!$A$2:$FZ$601,400,Sync!$C$5)&amp;"",""))</f>
        <v/>
      </c>
      <c r="E3251" s="17">
        <f>IF(B3251="","",IFERROR(INDEX(Clay_Offices!$A$2:$FZ$601,400,Sync!$C$6)&amp;"",""))</f>
        <v/>
      </c>
      <c r="F3251" s="17">
        <f>IF(B3251="","","outreach_sent")</f>
        <v/>
      </c>
      <c r="G3251" s="17">
        <f>IF(B3251="","","")</f>
        <v/>
      </c>
      <c r="H3251" s="17">
        <f>IF(B3251="","","")</f>
        <v/>
      </c>
      <c r="I3251" s="17">
        <f>IF(B3251="","","")</f>
        <v/>
      </c>
      <c r="J3251" s="17">
        <f>IF(B3251="","","touch_3; "&amp;IFERROR(INDEX(Clay_Offices!$A$2:$FZ$601,400,Sync!$C$10)&amp;"","")&amp;"; "&amp;IFERROR(INDEX(Clay_Offices!$A$2:$FZ$601,400,Sync!$C$9)&amp;"",""))</f>
        <v/>
      </c>
      <c r="K3251" t="inlineStr">
        <is>
          <t>office outreach touch 3</t>
        </is>
      </c>
    </row>
    <row r="3252">
      <c r="A3252" s="17">
        <f>IF(B3252="","",B3252+(14*1000+401)/10000000)</f>
        <v/>
      </c>
      <c r="B3252" s="23">
        <f>IF(AND(IFERROR(N(INDEX(Clay_Offices!$A$2:$FZ$601,401,Sync!$C$13)),0)&gt;0,IFERROR(INDEX(Clay_Offices!$A$2:$FZ$601,401,Sync!$C$5)&amp;"","")&lt;&gt;"",OR(LEFT(IFERROR(INDEX(Clay_Offices!$A$2:$FZ$601,401,Sync!$C$5)&amp;"",""),6)&lt;&gt;"SAMPLE",Config!$B$19="Y")),IFERROR(N(INDEX(Clay_Offices!$A$2:$FZ$601,401,Sync!$C$13)),0),"")</f>
        <v/>
      </c>
      <c r="C3252" s="17">
        <f>IF(B3252="","","office")</f>
        <v/>
      </c>
      <c r="D3252" s="17">
        <f>IF(B3252="","",IFERROR(INDEX(Clay_Offices!$A$2:$FZ$601,401,Sync!$C$5)&amp;"",""))</f>
        <v/>
      </c>
      <c r="E3252" s="17">
        <f>IF(B3252="","",IFERROR(INDEX(Clay_Offices!$A$2:$FZ$601,401,Sync!$C$6)&amp;"",""))</f>
        <v/>
      </c>
      <c r="F3252" s="17">
        <f>IF(B3252="","","outreach_sent")</f>
        <v/>
      </c>
      <c r="G3252" s="17">
        <f>IF(B3252="","","")</f>
        <v/>
      </c>
      <c r="H3252" s="17">
        <f>IF(B3252="","","")</f>
        <v/>
      </c>
      <c r="I3252" s="17">
        <f>IF(B3252="","","")</f>
        <v/>
      </c>
      <c r="J3252" s="17">
        <f>IF(B3252="","","touch_3; "&amp;IFERROR(INDEX(Clay_Offices!$A$2:$FZ$601,401,Sync!$C$10)&amp;"","")&amp;"; "&amp;IFERROR(INDEX(Clay_Offices!$A$2:$FZ$601,401,Sync!$C$9)&amp;"",""))</f>
        <v/>
      </c>
      <c r="K3252" t="inlineStr">
        <is>
          <t>office outreach touch 3</t>
        </is>
      </c>
    </row>
    <row r="3253">
      <c r="A3253" s="17">
        <f>IF(B3253="","",B3253+(14*1000+402)/10000000)</f>
        <v/>
      </c>
      <c r="B3253" s="23">
        <f>IF(AND(IFERROR(N(INDEX(Clay_Offices!$A$2:$FZ$601,402,Sync!$C$13)),0)&gt;0,IFERROR(INDEX(Clay_Offices!$A$2:$FZ$601,402,Sync!$C$5)&amp;"","")&lt;&gt;"",OR(LEFT(IFERROR(INDEX(Clay_Offices!$A$2:$FZ$601,402,Sync!$C$5)&amp;"",""),6)&lt;&gt;"SAMPLE",Config!$B$19="Y")),IFERROR(N(INDEX(Clay_Offices!$A$2:$FZ$601,402,Sync!$C$13)),0),"")</f>
        <v/>
      </c>
      <c r="C3253" s="17">
        <f>IF(B3253="","","office")</f>
        <v/>
      </c>
      <c r="D3253" s="17">
        <f>IF(B3253="","",IFERROR(INDEX(Clay_Offices!$A$2:$FZ$601,402,Sync!$C$5)&amp;"",""))</f>
        <v/>
      </c>
      <c r="E3253" s="17">
        <f>IF(B3253="","",IFERROR(INDEX(Clay_Offices!$A$2:$FZ$601,402,Sync!$C$6)&amp;"",""))</f>
        <v/>
      </c>
      <c r="F3253" s="17">
        <f>IF(B3253="","","outreach_sent")</f>
        <v/>
      </c>
      <c r="G3253" s="17">
        <f>IF(B3253="","","")</f>
        <v/>
      </c>
      <c r="H3253" s="17">
        <f>IF(B3253="","","")</f>
        <v/>
      </c>
      <c r="I3253" s="17">
        <f>IF(B3253="","","")</f>
        <v/>
      </c>
      <c r="J3253" s="17">
        <f>IF(B3253="","","touch_3; "&amp;IFERROR(INDEX(Clay_Offices!$A$2:$FZ$601,402,Sync!$C$10)&amp;"","")&amp;"; "&amp;IFERROR(INDEX(Clay_Offices!$A$2:$FZ$601,402,Sync!$C$9)&amp;"",""))</f>
        <v/>
      </c>
      <c r="K3253" t="inlineStr">
        <is>
          <t>office outreach touch 3</t>
        </is>
      </c>
    </row>
    <row r="3254">
      <c r="A3254" s="17">
        <f>IF(B3254="","",B3254+(14*1000+403)/10000000)</f>
        <v/>
      </c>
      <c r="B3254" s="23">
        <f>IF(AND(IFERROR(N(INDEX(Clay_Offices!$A$2:$FZ$601,403,Sync!$C$13)),0)&gt;0,IFERROR(INDEX(Clay_Offices!$A$2:$FZ$601,403,Sync!$C$5)&amp;"","")&lt;&gt;"",OR(LEFT(IFERROR(INDEX(Clay_Offices!$A$2:$FZ$601,403,Sync!$C$5)&amp;"",""),6)&lt;&gt;"SAMPLE",Config!$B$19="Y")),IFERROR(N(INDEX(Clay_Offices!$A$2:$FZ$601,403,Sync!$C$13)),0),"")</f>
        <v/>
      </c>
      <c r="C3254" s="17">
        <f>IF(B3254="","","office")</f>
        <v/>
      </c>
      <c r="D3254" s="17">
        <f>IF(B3254="","",IFERROR(INDEX(Clay_Offices!$A$2:$FZ$601,403,Sync!$C$5)&amp;"",""))</f>
        <v/>
      </c>
      <c r="E3254" s="17">
        <f>IF(B3254="","",IFERROR(INDEX(Clay_Offices!$A$2:$FZ$601,403,Sync!$C$6)&amp;"",""))</f>
        <v/>
      </c>
      <c r="F3254" s="17">
        <f>IF(B3254="","","outreach_sent")</f>
        <v/>
      </c>
      <c r="G3254" s="17">
        <f>IF(B3254="","","")</f>
        <v/>
      </c>
      <c r="H3254" s="17">
        <f>IF(B3254="","","")</f>
        <v/>
      </c>
      <c r="I3254" s="17">
        <f>IF(B3254="","","")</f>
        <v/>
      </c>
      <c r="J3254" s="17">
        <f>IF(B3254="","","touch_3; "&amp;IFERROR(INDEX(Clay_Offices!$A$2:$FZ$601,403,Sync!$C$10)&amp;"","")&amp;"; "&amp;IFERROR(INDEX(Clay_Offices!$A$2:$FZ$601,403,Sync!$C$9)&amp;"",""))</f>
        <v/>
      </c>
      <c r="K3254" t="inlineStr">
        <is>
          <t>office outreach touch 3</t>
        </is>
      </c>
    </row>
    <row r="3255">
      <c r="A3255" s="17">
        <f>IF(B3255="","",B3255+(14*1000+404)/10000000)</f>
        <v/>
      </c>
      <c r="B3255" s="23">
        <f>IF(AND(IFERROR(N(INDEX(Clay_Offices!$A$2:$FZ$601,404,Sync!$C$13)),0)&gt;0,IFERROR(INDEX(Clay_Offices!$A$2:$FZ$601,404,Sync!$C$5)&amp;"","")&lt;&gt;"",OR(LEFT(IFERROR(INDEX(Clay_Offices!$A$2:$FZ$601,404,Sync!$C$5)&amp;"",""),6)&lt;&gt;"SAMPLE",Config!$B$19="Y")),IFERROR(N(INDEX(Clay_Offices!$A$2:$FZ$601,404,Sync!$C$13)),0),"")</f>
        <v/>
      </c>
      <c r="C3255" s="17">
        <f>IF(B3255="","","office")</f>
        <v/>
      </c>
      <c r="D3255" s="17">
        <f>IF(B3255="","",IFERROR(INDEX(Clay_Offices!$A$2:$FZ$601,404,Sync!$C$5)&amp;"",""))</f>
        <v/>
      </c>
      <c r="E3255" s="17">
        <f>IF(B3255="","",IFERROR(INDEX(Clay_Offices!$A$2:$FZ$601,404,Sync!$C$6)&amp;"",""))</f>
        <v/>
      </c>
      <c r="F3255" s="17">
        <f>IF(B3255="","","outreach_sent")</f>
        <v/>
      </c>
      <c r="G3255" s="17">
        <f>IF(B3255="","","")</f>
        <v/>
      </c>
      <c r="H3255" s="17">
        <f>IF(B3255="","","")</f>
        <v/>
      </c>
      <c r="I3255" s="17">
        <f>IF(B3255="","","")</f>
        <v/>
      </c>
      <c r="J3255" s="17">
        <f>IF(B3255="","","touch_3; "&amp;IFERROR(INDEX(Clay_Offices!$A$2:$FZ$601,404,Sync!$C$10)&amp;"","")&amp;"; "&amp;IFERROR(INDEX(Clay_Offices!$A$2:$FZ$601,404,Sync!$C$9)&amp;"",""))</f>
        <v/>
      </c>
      <c r="K3255" t="inlineStr">
        <is>
          <t>office outreach touch 3</t>
        </is>
      </c>
    </row>
    <row r="3256">
      <c r="A3256" s="17">
        <f>IF(B3256="","",B3256+(14*1000+405)/10000000)</f>
        <v/>
      </c>
      <c r="B3256" s="23">
        <f>IF(AND(IFERROR(N(INDEX(Clay_Offices!$A$2:$FZ$601,405,Sync!$C$13)),0)&gt;0,IFERROR(INDEX(Clay_Offices!$A$2:$FZ$601,405,Sync!$C$5)&amp;"","")&lt;&gt;"",OR(LEFT(IFERROR(INDEX(Clay_Offices!$A$2:$FZ$601,405,Sync!$C$5)&amp;"",""),6)&lt;&gt;"SAMPLE",Config!$B$19="Y")),IFERROR(N(INDEX(Clay_Offices!$A$2:$FZ$601,405,Sync!$C$13)),0),"")</f>
        <v/>
      </c>
      <c r="C3256" s="17">
        <f>IF(B3256="","","office")</f>
        <v/>
      </c>
      <c r="D3256" s="17">
        <f>IF(B3256="","",IFERROR(INDEX(Clay_Offices!$A$2:$FZ$601,405,Sync!$C$5)&amp;"",""))</f>
        <v/>
      </c>
      <c r="E3256" s="17">
        <f>IF(B3256="","",IFERROR(INDEX(Clay_Offices!$A$2:$FZ$601,405,Sync!$C$6)&amp;"",""))</f>
        <v/>
      </c>
      <c r="F3256" s="17">
        <f>IF(B3256="","","outreach_sent")</f>
        <v/>
      </c>
      <c r="G3256" s="17">
        <f>IF(B3256="","","")</f>
        <v/>
      </c>
      <c r="H3256" s="17">
        <f>IF(B3256="","","")</f>
        <v/>
      </c>
      <c r="I3256" s="17">
        <f>IF(B3256="","","")</f>
        <v/>
      </c>
      <c r="J3256" s="17">
        <f>IF(B3256="","","touch_3; "&amp;IFERROR(INDEX(Clay_Offices!$A$2:$FZ$601,405,Sync!$C$10)&amp;"","")&amp;"; "&amp;IFERROR(INDEX(Clay_Offices!$A$2:$FZ$601,405,Sync!$C$9)&amp;"",""))</f>
        <v/>
      </c>
      <c r="K3256" t="inlineStr">
        <is>
          <t>office outreach touch 3</t>
        </is>
      </c>
    </row>
    <row r="3257">
      <c r="A3257" s="17">
        <f>IF(B3257="","",B3257+(14*1000+406)/10000000)</f>
        <v/>
      </c>
      <c r="B3257" s="23">
        <f>IF(AND(IFERROR(N(INDEX(Clay_Offices!$A$2:$FZ$601,406,Sync!$C$13)),0)&gt;0,IFERROR(INDEX(Clay_Offices!$A$2:$FZ$601,406,Sync!$C$5)&amp;"","")&lt;&gt;"",OR(LEFT(IFERROR(INDEX(Clay_Offices!$A$2:$FZ$601,406,Sync!$C$5)&amp;"",""),6)&lt;&gt;"SAMPLE",Config!$B$19="Y")),IFERROR(N(INDEX(Clay_Offices!$A$2:$FZ$601,406,Sync!$C$13)),0),"")</f>
        <v/>
      </c>
      <c r="C3257" s="17">
        <f>IF(B3257="","","office")</f>
        <v/>
      </c>
      <c r="D3257" s="17">
        <f>IF(B3257="","",IFERROR(INDEX(Clay_Offices!$A$2:$FZ$601,406,Sync!$C$5)&amp;"",""))</f>
        <v/>
      </c>
      <c r="E3257" s="17">
        <f>IF(B3257="","",IFERROR(INDEX(Clay_Offices!$A$2:$FZ$601,406,Sync!$C$6)&amp;"",""))</f>
        <v/>
      </c>
      <c r="F3257" s="17">
        <f>IF(B3257="","","outreach_sent")</f>
        <v/>
      </c>
      <c r="G3257" s="17">
        <f>IF(B3257="","","")</f>
        <v/>
      </c>
      <c r="H3257" s="17">
        <f>IF(B3257="","","")</f>
        <v/>
      </c>
      <c r="I3257" s="17">
        <f>IF(B3257="","","")</f>
        <v/>
      </c>
      <c r="J3257" s="17">
        <f>IF(B3257="","","touch_3; "&amp;IFERROR(INDEX(Clay_Offices!$A$2:$FZ$601,406,Sync!$C$10)&amp;"","")&amp;"; "&amp;IFERROR(INDEX(Clay_Offices!$A$2:$FZ$601,406,Sync!$C$9)&amp;"",""))</f>
        <v/>
      </c>
      <c r="K3257" t="inlineStr">
        <is>
          <t>office outreach touch 3</t>
        </is>
      </c>
    </row>
    <row r="3258">
      <c r="A3258" s="17">
        <f>IF(B3258="","",B3258+(14*1000+407)/10000000)</f>
        <v/>
      </c>
      <c r="B3258" s="23">
        <f>IF(AND(IFERROR(N(INDEX(Clay_Offices!$A$2:$FZ$601,407,Sync!$C$13)),0)&gt;0,IFERROR(INDEX(Clay_Offices!$A$2:$FZ$601,407,Sync!$C$5)&amp;"","")&lt;&gt;"",OR(LEFT(IFERROR(INDEX(Clay_Offices!$A$2:$FZ$601,407,Sync!$C$5)&amp;"",""),6)&lt;&gt;"SAMPLE",Config!$B$19="Y")),IFERROR(N(INDEX(Clay_Offices!$A$2:$FZ$601,407,Sync!$C$13)),0),"")</f>
        <v/>
      </c>
      <c r="C3258" s="17">
        <f>IF(B3258="","","office")</f>
        <v/>
      </c>
      <c r="D3258" s="17">
        <f>IF(B3258="","",IFERROR(INDEX(Clay_Offices!$A$2:$FZ$601,407,Sync!$C$5)&amp;"",""))</f>
        <v/>
      </c>
      <c r="E3258" s="17">
        <f>IF(B3258="","",IFERROR(INDEX(Clay_Offices!$A$2:$FZ$601,407,Sync!$C$6)&amp;"",""))</f>
        <v/>
      </c>
      <c r="F3258" s="17">
        <f>IF(B3258="","","outreach_sent")</f>
        <v/>
      </c>
      <c r="G3258" s="17">
        <f>IF(B3258="","","")</f>
        <v/>
      </c>
      <c r="H3258" s="17">
        <f>IF(B3258="","","")</f>
        <v/>
      </c>
      <c r="I3258" s="17">
        <f>IF(B3258="","","")</f>
        <v/>
      </c>
      <c r="J3258" s="17">
        <f>IF(B3258="","","touch_3; "&amp;IFERROR(INDEX(Clay_Offices!$A$2:$FZ$601,407,Sync!$C$10)&amp;"","")&amp;"; "&amp;IFERROR(INDEX(Clay_Offices!$A$2:$FZ$601,407,Sync!$C$9)&amp;"",""))</f>
        <v/>
      </c>
      <c r="K3258" t="inlineStr">
        <is>
          <t>office outreach touch 3</t>
        </is>
      </c>
    </row>
    <row r="3259">
      <c r="A3259" s="17">
        <f>IF(B3259="","",B3259+(14*1000+408)/10000000)</f>
        <v/>
      </c>
      <c r="B3259" s="23">
        <f>IF(AND(IFERROR(N(INDEX(Clay_Offices!$A$2:$FZ$601,408,Sync!$C$13)),0)&gt;0,IFERROR(INDEX(Clay_Offices!$A$2:$FZ$601,408,Sync!$C$5)&amp;"","")&lt;&gt;"",OR(LEFT(IFERROR(INDEX(Clay_Offices!$A$2:$FZ$601,408,Sync!$C$5)&amp;"",""),6)&lt;&gt;"SAMPLE",Config!$B$19="Y")),IFERROR(N(INDEX(Clay_Offices!$A$2:$FZ$601,408,Sync!$C$13)),0),"")</f>
        <v/>
      </c>
      <c r="C3259" s="17">
        <f>IF(B3259="","","office")</f>
        <v/>
      </c>
      <c r="D3259" s="17">
        <f>IF(B3259="","",IFERROR(INDEX(Clay_Offices!$A$2:$FZ$601,408,Sync!$C$5)&amp;"",""))</f>
        <v/>
      </c>
      <c r="E3259" s="17">
        <f>IF(B3259="","",IFERROR(INDEX(Clay_Offices!$A$2:$FZ$601,408,Sync!$C$6)&amp;"",""))</f>
        <v/>
      </c>
      <c r="F3259" s="17">
        <f>IF(B3259="","","outreach_sent")</f>
        <v/>
      </c>
      <c r="G3259" s="17">
        <f>IF(B3259="","","")</f>
        <v/>
      </c>
      <c r="H3259" s="17">
        <f>IF(B3259="","","")</f>
        <v/>
      </c>
      <c r="I3259" s="17">
        <f>IF(B3259="","","")</f>
        <v/>
      </c>
      <c r="J3259" s="17">
        <f>IF(B3259="","","touch_3; "&amp;IFERROR(INDEX(Clay_Offices!$A$2:$FZ$601,408,Sync!$C$10)&amp;"","")&amp;"; "&amp;IFERROR(INDEX(Clay_Offices!$A$2:$FZ$601,408,Sync!$C$9)&amp;"",""))</f>
        <v/>
      </c>
      <c r="K3259" t="inlineStr">
        <is>
          <t>office outreach touch 3</t>
        </is>
      </c>
    </row>
    <row r="3260">
      <c r="A3260" s="17">
        <f>IF(B3260="","",B3260+(14*1000+409)/10000000)</f>
        <v/>
      </c>
      <c r="B3260" s="23">
        <f>IF(AND(IFERROR(N(INDEX(Clay_Offices!$A$2:$FZ$601,409,Sync!$C$13)),0)&gt;0,IFERROR(INDEX(Clay_Offices!$A$2:$FZ$601,409,Sync!$C$5)&amp;"","")&lt;&gt;"",OR(LEFT(IFERROR(INDEX(Clay_Offices!$A$2:$FZ$601,409,Sync!$C$5)&amp;"",""),6)&lt;&gt;"SAMPLE",Config!$B$19="Y")),IFERROR(N(INDEX(Clay_Offices!$A$2:$FZ$601,409,Sync!$C$13)),0),"")</f>
        <v/>
      </c>
      <c r="C3260" s="17">
        <f>IF(B3260="","","office")</f>
        <v/>
      </c>
      <c r="D3260" s="17">
        <f>IF(B3260="","",IFERROR(INDEX(Clay_Offices!$A$2:$FZ$601,409,Sync!$C$5)&amp;"",""))</f>
        <v/>
      </c>
      <c r="E3260" s="17">
        <f>IF(B3260="","",IFERROR(INDEX(Clay_Offices!$A$2:$FZ$601,409,Sync!$C$6)&amp;"",""))</f>
        <v/>
      </c>
      <c r="F3260" s="17">
        <f>IF(B3260="","","outreach_sent")</f>
        <v/>
      </c>
      <c r="G3260" s="17">
        <f>IF(B3260="","","")</f>
        <v/>
      </c>
      <c r="H3260" s="17">
        <f>IF(B3260="","","")</f>
        <v/>
      </c>
      <c r="I3260" s="17">
        <f>IF(B3260="","","")</f>
        <v/>
      </c>
      <c r="J3260" s="17">
        <f>IF(B3260="","","touch_3; "&amp;IFERROR(INDEX(Clay_Offices!$A$2:$FZ$601,409,Sync!$C$10)&amp;"","")&amp;"; "&amp;IFERROR(INDEX(Clay_Offices!$A$2:$FZ$601,409,Sync!$C$9)&amp;"",""))</f>
        <v/>
      </c>
      <c r="K3260" t="inlineStr">
        <is>
          <t>office outreach touch 3</t>
        </is>
      </c>
    </row>
    <row r="3261">
      <c r="A3261" s="17">
        <f>IF(B3261="","",B3261+(14*1000+410)/10000000)</f>
        <v/>
      </c>
      <c r="B3261" s="23">
        <f>IF(AND(IFERROR(N(INDEX(Clay_Offices!$A$2:$FZ$601,410,Sync!$C$13)),0)&gt;0,IFERROR(INDEX(Clay_Offices!$A$2:$FZ$601,410,Sync!$C$5)&amp;"","")&lt;&gt;"",OR(LEFT(IFERROR(INDEX(Clay_Offices!$A$2:$FZ$601,410,Sync!$C$5)&amp;"",""),6)&lt;&gt;"SAMPLE",Config!$B$19="Y")),IFERROR(N(INDEX(Clay_Offices!$A$2:$FZ$601,410,Sync!$C$13)),0),"")</f>
        <v/>
      </c>
      <c r="C3261" s="17">
        <f>IF(B3261="","","office")</f>
        <v/>
      </c>
      <c r="D3261" s="17">
        <f>IF(B3261="","",IFERROR(INDEX(Clay_Offices!$A$2:$FZ$601,410,Sync!$C$5)&amp;"",""))</f>
        <v/>
      </c>
      <c r="E3261" s="17">
        <f>IF(B3261="","",IFERROR(INDEX(Clay_Offices!$A$2:$FZ$601,410,Sync!$C$6)&amp;"",""))</f>
        <v/>
      </c>
      <c r="F3261" s="17">
        <f>IF(B3261="","","outreach_sent")</f>
        <v/>
      </c>
      <c r="G3261" s="17">
        <f>IF(B3261="","","")</f>
        <v/>
      </c>
      <c r="H3261" s="17">
        <f>IF(B3261="","","")</f>
        <v/>
      </c>
      <c r="I3261" s="17">
        <f>IF(B3261="","","")</f>
        <v/>
      </c>
      <c r="J3261" s="17">
        <f>IF(B3261="","","touch_3; "&amp;IFERROR(INDEX(Clay_Offices!$A$2:$FZ$601,410,Sync!$C$10)&amp;"","")&amp;"; "&amp;IFERROR(INDEX(Clay_Offices!$A$2:$FZ$601,410,Sync!$C$9)&amp;"",""))</f>
        <v/>
      </c>
      <c r="K3261" t="inlineStr">
        <is>
          <t>office outreach touch 3</t>
        </is>
      </c>
    </row>
    <row r="3262">
      <c r="A3262" s="17">
        <f>IF(B3262="","",B3262+(14*1000+411)/10000000)</f>
        <v/>
      </c>
      <c r="B3262" s="23">
        <f>IF(AND(IFERROR(N(INDEX(Clay_Offices!$A$2:$FZ$601,411,Sync!$C$13)),0)&gt;0,IFERROR(INDEX(Clay_Offices!$A$2:$FZ$601,411,Sync!$C$5)&amp;"","")&lt;&gt;"",OR(LEFT(IFERROR(INDEX(Clay_Offices!$A$2:$FZ$601,411,Sync!$C$5)&amp;"",""),6)&lt;&gt;"SAMPLE",Config!$B$19="Y")),IFERROR(N(INDEX(Clay_Offices!$A$2:$FZ$601,411,Sync!$C$13)),0),"")</f>
        <v/>
      </c>
      <c r="C3262" s="17">
        <f>IF(B3262="","","office")</f>
        <v/>
      </c>
      <c r="D3262" s="17">
        <f>IF(B3262="","",IFERROR(INDEX(Clay_Offices!$A$2:$FZ$601,411,Sync!$C$5)&amp;"",""))</f>
        <v/>
      </c>
      <c r="E3262" s="17">
        <f>IF(B3262="","",IFERROR(INDEX(Clay_Offices!$A$2:$FZ$601,411,Sync!$C$6)&amp;"",""))</f>
        <v/>
      </c>
      <c r="F3262" s="17">
        <f>IF(B3262="","","outreach_sent")</f>
        <v/>
      </c>
      <c r="G3262" s="17">
        <f>IF(B3262="","","")</f>
        <v/>
      </c>
      <c r="H3262" s="17">
        <f>IF(B3262="","","")</f>
        <v/>
      </c>
      <c r="I3262" s="17">
        <f>IF(B3262="","","")</f>
        <v/>
      </c>
      <c r="J3262" s="17">
        <f>IF(B3262="","","touch_3; "&amp;IFERROR(INDEX(Clay_Offices!$A$2:$FZ$601,411,Sync!$C$10)&amp;"","")&amp;"; "&amp;IFERROR(INDEX(Clay_Offices!$A$2:$FZ$601,411,Sync!$C$9)&amp;"",""))</f>
        <v/>
      </c>
      <c r="K3262" t="inlineStr">
        <is>
          <t>office outreach touch 3</t>
        </is>
      </c>
    </row>
    <row r="3263">
      <c r="A3263" s="17">
        <f>IF(B3263="","",B3263+(14*1000+412)/10000000)</f>
        <v/>
      </c>
      <c r="B3263" s="23">
        <f>IF(AND(IFERROR(N(INDEX(Clay_Offices!$A$2:$FZ$601,412,Sync!$C$13)),0)&gt;0,IFERROR(INDEX(Clay_Offices!$A$2:$FZ$601,412,Sync!$C$5)&amp;"","")&lt;&gt;"",OR(LEFT(IFERROR(INDEX(Clay_Offices!$A$2:$FZ$601,412,Sync!$C$5)&amp;"",""),6)&lt;&gt;"SAMPLE",Config!$B$19="Y")),IFERROR(N(INDEX(Clay_Offices!$A$2:$FZ$601,412,Sync!$C$13)),0),"")</f>
        <v/>
      </c>
      <c r="C3263" s="17">
        <f>IF(B3263="","","office")</f>
        <v/>
      </c>
      <c r="D3263" s="17">
        <f>IF(B3263="","",IFERROR(INDEX(Clay_Offices!$A$2:$FZ$601,412,Sync!$C$5)&amp;"",""))</f>
        <v/>
      </c>
      <c r="E3263" s="17">
        <f>IF(B3263="","",IFERROR(INDEX(Clay_Offices!$A$2:$FZ$601,412,Sync!$C$6)&amp;"",""))</f>
        <v/>
      </c>
      <c r="F3263" s="17">
        <f>IF(B3263="","","outreach_sent")</f>
        <v/>
      </c>
      <c r="G3263" s="17">
        <f>IF(B3263="","","")</f>
        <v/>
      </c>
      <c r="H3263" s="17">
        <f>IF(B3263="","","")</f>
        <v/>
      </c>
      <c r="I3263" s="17">
        <f>IF(B3263="","","")</f>
        <v/>
      </c>
      <c r="J3263" s="17">
        <f>IF(B3263="","","touch_3; "&amp;IFERROR(INDEX(Clay_Offices!$A$2:$FZ$601,412,Sync!$C$10)&amp;"","")&amp;"; "&amp;IFERROR(INDEX(Clay_Offices!$A$2:$FZ$601,412,Sync!$C$9)&amp;"",""))</f>
        <v/>
      </c>
      <c r="K3263" t="inlineStr">
        <is>
          <t>office outreach touch 3</t>
        </is>
      </c>
    </row>
    <row r="3264">
      <c r="A3264" s="17">
        <f>IF(B3264="","",B3264+(14*1000+413)/10000000)</f>
        <v/>
      </c>
      <c r="B3264" s="23">
        <f>IF(AND(IFERROR(N(INDEX(Clay_Offices!$A$2:$FZ$601,413,Sync!$C$13)),0)&gt;0,IFERROR(INDEX(Clay_Offices!$A$2:$FZ$601,413,Sync!$C$5)&amp;"","")&lt;&gt;"",OR(LEFT(IFERROR(INDEX(Clay_Offices!$A$2:$FZ$601,413,Sync!$C$5)&amp;"",""),6)&lt;&gt;"SAMPLE",Config!$B$19="Y")),IFERROR(N(INDEX(Clay_Offices!$A$2:$FZ$601,413,Sync!$C$13)),0),"")</f>
        <v/>
      </c>
      <c r="C3264" s="17">
        <f>IF(B3264="","","office")</f>
        <v/>
      </c>
      <c r="D3264" s="17">
        <f>IF(B3264="","",IFERROR(INDEX(Clay_Offices!$A$2:$FZ$601,413,Sync!$C$5)&amp;"",""))</f>
        <v/>
      </c>
      <c r="E3264" s="17">
        <f>IF(B3264="","",IFERROR(INDEX(Clay_Offices!$A$2:$FZ$601,413,Sync!$C$6)&amp;"",""))</f>
        <v/>
      </c>
      <c r="F3264" s="17">
        <f>IF(B3264="","","outreach_sent")</f>
        <v/>
      </c>
      <c r="G3264" s="17">
        <f>IF(B3264="","","")</f>
        <v/>
      </c>
      <c r="H3264" s="17">
        <f>IF(B3264="","","")</f>
        <v/>
      </c>
      <c r="I3264" s="17">
        <f>IF(B3264="","","")</f>
        <v/>
      </c>
      <c r="J3264" s="17">
        <f>IF(B3264="","","touch_3; "&amp;IFERROR(INDEX(Clay_Offices!$A$2:$FZ$601,413,Sync!$C$10)&amp;"","")&amp;"; "&amp;IFERROR(INDEX(Clay_Offices!$A$2:$FZ$601,413,Sync!$C$9)&amp;"",""))</f>
        <v/>
      </c>
      <c r="K3264" t="inlineStr">
        <is>
          <t>office outreach touch 3</t>
        </is>
      </c>
    </row>
    <row r="3265">
      <c r="A3265" s="17">
        <f>IF(B3265="","",B3265+(14*1000+414)/10000000)</f>
        <v/>
      </c>
      <c r="B3265" s="23">
        <f>IF(AND(IFERROR(N(INDEX(Clay_Offices!$A$2:$FZ$601,414,Sync!$C$13)),0)&gt;0,IFERROR(INDEX(Clay_Offices!$A$2:$FZ$601,414,Sync!$C$5)&amp;"","")&lt;&gt;"",OR(LEFT(IFERROR(INDEX(Clay_Offices!$A$2:$FZ$601,414,Sync!$C$5)&amp;"",""),6)&lt;&gt;"SAMPLE",Config!$B$19="Y")),IFERROR(N(INDEX(Clay_Offices!$A$2:$FZ$601,414,Sync!$C$13)),0),"")</f>
        <v/>
      </c>
      <c r="C3265" s="17">
        <f>IF(B3265="","","office")</f>
        <v/>
      </c>
      <c r="D3265" s="17">
        <f>IF(B3265="","",IFERROR(INDEX(Clay_Offices!$A$2:$FZ$601,414,Sync!$C$5)&amp;"",""))</f>
        <v/>
      </c>
      <c r="E3265" s="17">
        <f>IF(B3265="","",IFERROR(INDEX(Clay_Offices!$A$2:$FZ$601,414,Sync!$C$6)&amp;"",""))</f>
        <v/>
      </c>
      <c r="F3265" s="17">
        <f>IF(B3265="","","outreach_sent")</f>
        <v/>
      </c>
      <c r="G3265" s="17">
        <f>IF(B3265="","","")</f>
        <v/>
      </c>
      <c r="H3265" s="17">
        <f>IF(B3265="","","")</f>
        <v/>
      </c>
      <c r="I3265" s="17">
        <f>IF(B3265="","","")</f>
        <v/>
      </c>
      <c r="J3265" s="17">
        <f>IF(B3265="","","touch_3; "&amp;IFERROR(INDEX(Clay_Offices!$A$2:$FZ$601,414,Sync!$C$10)&amp;"","")&amp;"; "&amp;IFERROR(INDEX(Clay_Offices!$A$2:$FZ$601,414,Sync!$C$9)&amp;"",""))</f>
        <v/>
      </c>
      <c r="K3265" t="inlineStr">
        <is>
          <t>office outreach touch 3</t>
        </is>
      </c>
    </row>
    <row r="3266">
      <c r="A3266" s="17">
        <f>IF(B3266="","",B3266+(14*1000+415)/10000000)</f>
        <v/>
      </c>
      <c r="B3266" s="23">
        <f>IF(AND(IFERROR(N(INDEX(Clay_Offices!$A$2:$FZ$601,415,Sync!$C$13)),0)&gt;0,IFERROR(INDEX(Clay_Offices!$A$2:$FZ$601,415,Sync!$C$5)&amp;"","")&lt;&gt;"",OR(LEFT(IFERROR(INDEX(Clay_Offices!$A$2:$FZ$601,415,Sync!$C$5)&amp;"",""),6)&lt;&gt;"SAMPLE",Config!$B$19="Y")),IFERROR(N(INDEX(Clay_Offices!$A$2:$FZ$601,415,Sync!$C$13)),0),"")</f>
        <v/>
      </c>
      <c r="C3266" s="17">
        <f>IF(B3266="","","office")</f>
        <v/>
      </c>
      <c r="D3266" s="17">
        <f>IF(B3266="","",IFERROR(INDEX(Clay_Offices!$A$2:$FZ$601,415,Sync!$C$5)&amp;"",""))</f>
        <v/>
      </c>
      <c r="E3266" s="17">
        <f>IF(B3266="","",IFERROR(INDEX(Clay_Offices!$A$2:$FZ$601,415,Sync!$C$6)&amp;"",""))</f>
        <v/>
      </c>
      <c r="F3266" s="17">
        <f>IF(B3266="","","outreach_sent")</f>
        <v/>
      </c>
      <c r="G3266" s="17">
        <f>IF(B3266="","","")</f>
        <v/>
      </c>
      <c r="H3266" s="17">
        <f>IF(B3266="","","")</f>
        <v/>
      </c>
      <c r="I3266" s="17">
        <f>IF(B3266="","","")</f>
        <v/>
      </c>
      <c r="J3266" s="17">
        <f>IF(B3266="","","touch_3; "&amp;IFERROR(INDEX(Clay_Offices!$A$2:$FZ$601,415,Sync!$C$10)&amp;"","")&amp;"; "&amp;IFERROR(INDEX(Clay_Offices!$A$2:$FZ$601,415,Sync!$C$9)&amp;"",""))</f>
        <v/>
      </c>
      <c r="K3266" t="inlineStr">
        <is>
          <t>office outreach touch 3</t>
        </is>
      </c>
    </row>
    <row r="3267">
      <c r="A3267" s="17">
        <f>IF(B3267="","",B3267+(14*1000+416)/10000000)</f>
        <v/>
      </c>
      <c r="B3267" s="23">
        <f>IF(AND(IFERROR(N(INDEX(Clay_Offices!$A$2:$FZ$601,416,Sync!$C$13)),0)&gt;0,IFERROR(INDEX(Clay_Offices!$A$2:$FZ$601,416,Sync!$C$5)&amp;"","")&lt;&gt;"",OR(LEFT(IFERROR(INDEX(Clay_Offices!$A$2:$FZ$601,416,Sync!$C$5)&amp;"",""),6)&lt;&gt;"SAMPLE",Config!$B$19="Y")),IFERROR(N(INDEX(Clay_Offices!$A$2:$FZ$601,416,Sync!$C$13)),0),"")</f>
        <v/>
      </c>
      <c r="C3267" s="17">
        <f>IF(B3267="","","office")</f>
        <v/>
      </c>
      <c r="D3267" s="17">
        <f>IF(B3267="","",IFERROR(INDEX(Clay_Offices!$A$2:$FZ$601,416,Sync!$C$5)&amp;"",""))</f>
        <v/>
      </c>
      <c r="E3267" s="17">
        <f>IF(B3267="","",IFERROR(INDEX(Clay_Offices!$A$2:$FZ$601,416,Sync!$C$6)&amp;"",""))</f>
        <v/>
      </c>
      <c r="F3267" s="17">
        <f>IF(B3267="","","outreach_sent")</f>
        <v/>
      </c>
      <c r="G3267" s="17">
        <f>IF(B3267="","","")</f>
        <v/>
      </c>
      <c r="H3267" s="17">
        <f>IF(B3267="","","")</f>
        <v/>
      </c>
      <c r="I3267" s="17">
        <f>IF(B3267="","","")</f>
        <v/>
      </c>
      <c r="J3267" s="17">
        <f>IF(B3267="","","touch_3; "&amp;IFERROR(INDEX(Clay_Offices!$A$2:$FZ$601,416,Sync!$C$10)&amp;"","")&amp;"; "&amp;IFERROR(INDEX(Clay_Offices!$A$2:$FZ$601,416,Sync!$C$9)&amp;"",""))</f>
        <v/>
      </c>
      <c r="K3267" t="inlineStr">
        <is>
          <t>office outreach touch 3</t>
        </is>
      </c>
    </row>
    <row r="3268">
      <c r="A3268" s="17">
        <f>IF(B3268="","",B3268+(14*1000+417)/10000000)</f>
        <v/>
      </c>
      <c r="B3268" s="23">
        <f>IF(AND(IFERROR(N(INDEX(Clay_Offices!$A$2:$FZ$601,417,Sync!$C$13)),0)&gt;0,IFERROR(INDEX(Clay_Offices!$A$2:$FZ$601,417,Sync!$C$5)&amp;"","")&lt;&gt;"",OR(LEFT(IFERROR(INDEX(Clay_Offices!$A$2:$FZ$601,417,Sync!$C$5)&amp;"",""),6)&lt;&gt;"SAMPLE",Config!$B$19="Y")),IFERROR(N(INDEX(Clay_Offices!$A$2:$FZ$601,417,Sync!$C$13)),0),"")</f>
        <v/>
      </c>
      <c r="C3268" s="17">
        <f>IF(B3268="","","office")</f>
        <v/>
      </c>
      <c r="D3268" s="17">
        <f>IF(B3268="","",IFERROR(INDEX(Clay_Offices!$A$2:$FZ$601,417,Sync!$C$5)&amp;"",""))</f>
        <v/>
      </c>
      <c r="E3268" s="17">
        <f>IF(B3268="","",IFERROR(INDEX(Clay_Offices!$A$2:$FZ$601,417,Sync!$C$6)&amp;"",""))</f>
        <v/>
      </c>
      <c r="F3268" s="17">
        <f>IF(B3268="","","outreach_sent")</f>
        <v/>
      </c>
      <c r="G3268" s="17">
        <f>IF(B3268="","","")</f>
        <v/>
      </c>
      <c r="H3268" s="17">
        <f>IF(B3268="","","")</f>
        <v/>
      </c>
      <c r="I3268" s="17">
        <f>IF(B3268="","","")</f>
        <v/>
      </c>
      <c r="J3268" s="17">
        <f>IF(B3268="","","touch_3; "&amp;IFERROR(INDEX(Clay_Offices!$A$2:$FZ$601,417,Sync!$C$10)&amp;"","")&amp;"; "&amp;IFERROR(INDEX(Clay_Offices!$A$2:$FZ$601,417,Sync!$C$9)&amp;"",""))</f>
        <v/>
      </c>
      <c r="K3268" t="inlineStr">
        <is>
          <t>office outreach touch 3</t>
        </is>
      </c>
    </row>
    <row r="3269">
      <c r="A3269" s="17">
        <f>IF(B3269="","",B3269+(14*1000+418)/10000000)</f>
        <v/>
      </c>
      <c r="B3269" s="23">
        <f>IF(AND(IFERROR(N(INDEX(Clay_Offices!$A$2:$FZ$601,418,Sync!$C$13)),0)&gt;0,IFERROR(INDEX(Clay_Offices!$A$2:$FZ$601,418,Sync!$C$5)&amp;"","")&lt;&gt;"",OR(LEFT(IFERROR(INDEX(Clay_Offices!$A$2:$FZ$601,418,Sync!$C$5)&amp;"",""),6)&lt;&gt;"SAMPLE",Config!$B$19="Y")),IFERROR(N(INDEX(Clay_Offices!$A$2:$FZ$601,418,Sync!$C$13)),0),"")</f>
        <v/>
      </c>
      <c r="C3269" s="17">
        <f>IF(B3269="","","office")</f>
        <v/>
      </c>
      <c r="D3269" s="17">
        <f>IF(B3269="","",IFERROR(INDEX(Clay_Offices!$A$2:$FZ$601,418,Sync!$C$5)&amp;"",""))</f>
        <v/>
      </c>
      <c r="E3269" s="17">
        <f>IF(B3269="","",IFERROR(INDEX(Clay_Offices!$A$2:$FZ$601,418,Sync!$C$6)&amp;"",""))</f>
        <v/>
      </c>
      <c r="F3269" s="17">
        <f>IF(B3269="","","outreach_sent")</f>
        <v/>
      </c>
      <c r="G3269" s="17">
        <f>IF(B3269="","","")</f>
        <v/>
      </c>
      <c r="H3269" s="17">
        <f>IF(B3269="","","")</f>
        <v/>
      </c>
      <c r="I3269" s="17">
        <f>IF(B3269="","","")</f>
        <v/>
      </c>
      <c r="J3269" s="17">
        <f>IF(B3269="","","touch_3; "&amp;IFERROR(INDEX(Clay_Offices!$A$2:$FZ$601,418,Sync!$C$10)&amp;"","")&amp;"; "&amp;IFERROR(INDEX(Clay_Offices!$A$2:$FZ$601,418,Sync!$C$9)&amp;"",""))</f>
        <v/>
      </c>
      <c r="K3269" t="inlineStr">
        <is>
          <t>office outreach touch 3</t>
        </is>
      </c>
    </row>
    <row r="3270">
      <c r="A3270" s="17">
        <f>IF(B3270="","",B3270+(14*1000+419)/10000000)</f>
        <v/>
      </c>
      <c r="B3270" s="23">
        <f>IF(AND(IFERROR(N(INDEX(Clay_Offices!$A$2:$FZ$601,419,Sync!$C$13)),0)&gt;0,IFERROR(INDEX(Clay_Offices!$A$2:$FZ$601,419,Sync!$C$5)&amp;"","")&lt;&gt;"",OR(LEFT(IFERROR(INDEX(Clay_Offices!$A$2:$FZ$601,419,Sync!$C$5)&amp;"",""),6)&lt;&gt;"SAMPLE",Config!$B$19="Y")),IFERROR(N(INDEX(Clay_Offices!$A$2:$FZ$601,419,Sync!$C$13)),0),"")</f>
        <v/>
      </c>
      <c r="C3270" s="17">
        <f>IF(B3270="","","office")</f>
        <v/>
      </c>
      <c r="D3270" s="17">
        <f>IF(B3270="","",IFERROR(INDEX(Clay_Offices!$A$2:$FZ$601,419,Sync!$C$5)&amp;"",""))</f>
        <v/>
      </c>
      <c r="E3270" s="17">
        <f>IF(B3270="","",IFERROR(INDEX(Clay_Offices!$A$2:$FZ$601,419,Sync!$C$6)&amp;"",""))</f>
        <v/>
      </c>
      <c r="F3270" s="17">
        <f>IF(B3270="","","outreach_sent")</f>
        <v/>
      </c>
      <c r="G3270" s="17">
        <f>IF(B3270="","","")</f>
        <v/>
      </c>
      <c r="H3270" s="17">
        <f>IF(B3270="","","")</f>
        <v/>
      </c>
      <c r="I3270" s="17">
        <f>IF(B3270="","","")</f>
        <v/>
      </c>
      <c r="J3270" s="17">
        <f>IF(B3270="","","touch_3; "&amp;IFERROR(INDEX(Clay_Offices!$A$2:$FZ$601,419,Sync!$C$10)&amp;"","")&amp;"; "&amp;IFERROR(INDEX(Clay_Offices!$A$2:$FZ$601,419,Sync!$C$9)&amp;"",""))</f>
        <v/>
      </c>
      <c r="K3270" t="inlineStr">
        <is>
          <t>office outreach touch 3</t>
        </is>
      </c>
    </row>
    <row r="3271">
      <c r="A3271" s="17">
        <f>IF(B3271="","",B3271+(14*1000+420)/10000000)</f>
        <v/>
      </c>
      <c r="B3271" s="23">
        <f>IF(AND(IFERROR(N(INDEX(Clay_Offices!$A$2:$FZ$601,420,Sync!$C$13)),0)&gt;0,IFERROR(INDEX(Clay_Offices!$A$2:$FZ$601,420,Sync!$C$5)&amp;"","")&lt;&gt;"",OR(LEFT(IFERROR(INDEX(Clay_Offices!$A$2:$FZ$601,420,Sync!$C$5)&amp;"",""),6)&lt;&gt;"SAMPLE",Config!$B$19="Y")),IFERROR(N(INDEX(Clay_Offices!$A$2:$FZ$601,420,Sync!$C$13)),0),"")</f>
        <v/>
      </c>
      <c r="C3271" s="17">
        <f>IF(B3271="","","office")</f>
        <v/>
      </c>
      <c r="D3271" s="17">
        <f>IF(B3271="","",IFERROR(INDEX(Clay_Offices!$A$2:$FZ$601,420,Sync!$C$5)&amp;"",""))</f>
        <v/>
      </c>
      <c r="E3271" s="17">
        <f>IF(B3271="","",IFERROR(INDEX(Clay_Offices!$A$2:$FZ$601,420,Sync!$C$6)&amp;"",""))</f>
        <v/>
      </c>
      <c r="F3271" s="17">
        <f>IF(B3271="","","outreach_sent")</f>
        <v/>
      </c>
      <c r="G3271" s="17">
        <f>IF(B3271="","","")</f>
        <v/>
      </c>
      <c r="H3271" s="17">
        <f>IF(B3271="","","")</f>
        <v/>
      </c>
      <c r="I3271" s="17">
        <f>IF(B3271="","","")</f>
        <v/>
      </c>
      <c r="J3271" s="17">
        <f>IF(B3271="","","touch_3; "&amp;IFERROR(INDEX(Clay_Offices!$A$2:$FZ$601,420,Sync!$C$10)&amp;"","")&amp;"; "&amp;IFERROR(INDEX(Clay_Offices!$A$2:$FZ$601,420,Sync!$C$9)&amp;"",""))</f>
        <v/>
      </c>
      <c r="K3271" t="inlineStr">
        <is>
          <t>office outreach touch 3</t>
        </is>
      </c>
    </row>
    <row r="3272">
      <c r="A3272" s="17">
        <f>IF(B3272="","",B3272+(14*1000+421)/10000000)</f>
        <v/>
      </c>
      <c r="B3272" s="23">
        <f>IF(AND(IFERROR(N(INDEX(Clay_Offices!$A$2:$FZ$601,421,Sync!$C$13)),0)&gt;0,IFERROR(INDEX(Clay_Offices!$A$2:$FZ$601,421,Sync!$C$5)&amp;"","")&lt;&gt;"",OR(LEFT(IFERROR(INDEX(Clay_Offices!$A$2:$FZ$601,421,Sync!$C$5)&amp;"",""),6)&lt;&gt;"SAMPLE",Config!$B$19="Y")),IFERROR(N(INDEX(Clay_Offices!$A$2:$FZ$601,421,Sync!$C$13)),0),"")</f>
        <v/>
      </c>
      <c r="C3272" s="17">
        <f>IF(B3272="","","office")</f>
        <v/>
      </c>
      <c r="D3272" s="17">
        <f>IF(B3272="","",IFERROR(INDEX(Clay_Offices!$A$2:$FZ$601,421,Sync!$C$5)&amp;"",""))</f>
        <v/>
      </c>
      <c r="E3272" s="17">
        <f>IF(B3272="","",IFERROR(INDEX(Clay_Offices!$A$2:$FZ$601,421,Sync!$C$6)&amp;"",""))</f>
        <v/>
      </c>
      <c r="F3272" s="17">
        <f>IF(B3272="","","outreach_sent")</f>
        <v/>
      </c>
      <c r="G3272" s="17">
        <f>IF(B3272="","","")</f>
        <v/>
      </c>
      <c r="H3272" s="17">
        <f>IF(B3272="","","")</f>
        <v/>
      </c>
      <c r="I3272" s="17">
        <f>IF(B3272="","","")</f>
        <v/>
      </c>
      <c r="J3272" s="17">
        <f>IF(B3272="","","touch_3; "&amp;IFERROR(INDEX(Clay_Offices!$A$2:$FZ$601,421,Sync!$C$10)&amp;"","")&amp;"; "&amp;IFERROR(INDEX(Clay_Offices!$A$2:$FZ$601,421,Sync!$C$9)&amp;"",""))</f>
        <v/>
      </c>
      <c r="K3272" t="inlineStr">
        <is>
          <t>office outreach touch 3</t>
        </is>
      </c>
    </row>
    <row r="3273">
      <c r="A3273" s="17">
        <f>IF(B3273="","",B3273+(14*1000+422)/10000000)</f>
        <v/>
      </c>
      <c r="B3273" s="23">
        <f>IF(AND(IFERROR(N(INDEX(Clay_Offices!$A$2:$FZ$601,422,Sync!$C$13)),0)&gt;0,IFERROR(INDEX(Clay_Offices!$A$2:$FZ$601,422,Sync!$C$5)&amp;"","")&lt;&gt;"",OR(LEFT(IFERROR(INDEX(Clay_Offices!$A$2:$FZ$601,422,Sync!$C$5)&amp;"",""),6)&lt;&gt;"SAMPLE",Config!$B$19="Y")),IFERROR(N(INDEX(Clay_Offices!$A$2:$FZ$601,422,Sync!$C$13)),0),"")</f>
        <v/>
      </c>
      <c r="C3273" s="17">
        <f>IF(B3273="","","office")</f>
        <v/>
      </c>
      <c r="D3273" s="17">
        <f>IF(B3273="","",IFERROR(INDEX(Clay_Offices!$A$2:$FZ$601,422,Sync!$C$5)&amp;"",""))</f>
        <v/>
      </c>
      <c r="E3273" s="17">
        <f>IF(B3273="","",IFERROR(INDEX(Clay_Offices!$A$2:$FZ$601,422,Sync!$C$6)&amp;"",""))</f>
        <v/>
      </c>
      <c r="F3273" s="17">
        <f>IF(B3273="","","outreach_sent")</f>
        <v/>
      </c>
      <c r="G3273" s="17">
        <f>IF(B3273="","","")</f>
        <v/>
      </c>
      <c r="H3273" s="17">
        <f>IF(B3273="","","")</f>
        <v/>
      </c>
      <c r="I3273" s="17">
        <f>IF(B3273="","","")</f>
        <v/>
      </c>
      <c r="J3273" s="17">
        <f>IF(B3273="","","touch_3; "&amp;IFERROR(INDEX(Clay_Offices!$A$2:$FZ$601,422,Sync!$C$10)&amp;"","")&amp;"; "&amp;IFERROR(INDEX(Clay_Offices!$A$2:$FZ$601,422,Sync!$C$9)&amp;"",""))</f>
        <v/>
      </c>
      <c r="K3273" t="inlineStr">
        <is>
          <t>office outreach touch 3</t>
        </is>
      </c>
    </row>
    <row r="3274">
      <c r="A3274" s="17">
        <f>IF(B3274="","",B3274+(14*1000+423)/10000000)</f>
        <v/>
      </c>
      <c r="B3274" s="23">
        <f>IF(AND(IFERROR(N(INDEX(Clay_Offices!$A$2:$FZ$601,423,Sync!$C$13)),0)&gt;0,IFERROR(INDEX(Clay_Offices!$A$2:$FZ$601,423,Sync!$C$5)&amp;"","")&lt;&gt;"",OR(LEFT(IFERROR(INDEX(Clay_Offices!$A$2:$FZ$601,423,Sync!$C$5)&amp;"",""),6)&lt;&gt;"SAMPLE",Config!$B$19="Y")),IFERROR(N(INDEX(Clay_Offices!$A$2:$FZ$601,423,Sync!$C$13)),0),"")</f>
        <v/>
      </c>
      <c r="C3274" s="17">
        <f>IF(B3274="","","office")</f>
        <v/>
      </c>
      <c r="D3274" s="17">
        <f>IF(B3274="","",IFERROR(INDEX(Clay_Offices!$A$2:$FZ$601,423,Sync!$C$5)&amp;"",""))</f>
        <v/>
      </c>
      <c r="E3274" s="17">
        <f>IF(B3274="","",IFERROR(INDEX(Clay_Offices!$A$2:$FZ$601,423,Sync!$C$6)&amp;"",""))</f>
        <v/>
      </c>
      <c r="F3274" s="17">
        <f>IF(B3274="","","outreach_sent")</f>
        <v/>
      </c>
      <c r="G3274" s="17">
        <f>IF(B3274="","","")</f>
        <v/>
      </c>
      <c r="H3274" s="17">
        <f>IF(B3274="","","")</f>
        <v/>
      </c>
      <c r="I3274" s="17">
        <f>IF(B3274="","","")</f>
        <v/>
      </c>
      <c r="J3274" s="17">
        <f>IF(B3274="","","touch_3; "&amp;IFERROR(INDEX(Clay_Offices!$A$2:$FZ$601,423,Sync!$C$10)&amp;"","")&amp;"; "&amp;IFERROR(INDEX(Clay_Offices!$A$2:$FZ$601,423,Sync!$C$9)&amp;"",""))</f>
        <v/>
      </c>
      <c r="K3274" t="inlineStr">
        <is>
          <t>office outreach touch 3</t>
        </is>
      </c>
    </row>
    <row r="3275">
      <c r="A3275" s="17">
        <f>IF(B3275="","",B3275+(14*1000+424)/10000000)</f>
        <v/>
      </c>
      <c r="B3275" s="23">
        <f>IF(AND(IFERROR(N(INDEX(Clay_Offices!$A$2:$FZ$601,424,Sync!$C$13)),0)&gt;0,IFERROR(INDEX(Clay_Offices!$A$2:$FZ$601,424,Sync!$C$5)&amp;"","")&lt;&gt;"",OR(LEFT(IFERROR(INDEX(Clay_Offices!$A$2:$FZ$601,424,Sync!$C$5)&amp;"",""),6)&lt;&gt;"SAMPLE",Config!$B$19="Y")),IFERROR(N(INDEX(Clay_Offices!$A$2:$FZ$601,424,Sync!$C$13)),0),"")</f>
        <v/>
      </c>
      <c r="C3275" s="17">
        <f>IF(B3275="","","office")</f>
        <v/>
      </c>
      <c r="D3275" s="17">
        <f>IF(B3275="","",IFERROR(INDEX(Clay_Offices!$A$2:$FZ$601,424,Sync!$C$5)&amp;"",""))</f>
        <v/>
      </c>
      <c r="E3275" s="17">
        <f>IF(B3275="","",IFERROR(INDEX(Clay_Offices!$A$2:$FZ$601,424,Sync!$C$6)&amp;"",""))</f>
        <v/>
      </c>
      <c r="F3275" s="17">
        <f>IF(B3275="","","outreach_sent")</f>
        <v/>
      </c>
      <c r="G3275" s="17">
        <f>IF(B3275="","","")</f>
        <v/>
      </c>
      <c r="H3275" s="17">
        <f>IF(B3275="","","")</f>
        <v/>
      </c>
      <c r="I3275" s="17">
        <f>IF(B3275="","","")</f>
        <v/>
      </c>
      <c r="J3275" s="17">
        <f>IF(B3275="","","touch_3; "&amp;IFERROR(INDEX(Clay_Offices!$A$2:$FZ$601,424,Sync!$C$10)&amp;"","")&amp;"; "&amp;IFERROR(INDEX(Clay_Offices!$A$2:$FZ$601,424,Sync!$C$9)&amp;"",""))</f>
        <v/>
      </c>
      <c r="K3275" t="inlineStr">
        <is>
          <t>office outreach touch 3</t>
        </is>
      </c>
    </row>
    <row r="3276">
      <c r="A3276" s="17">
        <f>IF(B3276="","",B3276+(14*1000+425)/10000000)</f>
        <v/>
      </c>
      <c r="B3276" s="23">
        <f>IF(AND(IFERROR(N(INDEX(Clay_Offices!$A$2:$FZ$601,425,Sync!$C$13)),0)&gt;0,IFERROR(INDEX(Clay_Offices!$A$2:$FZ$601,425,Sync!$C$5)&amp;"","")&lt;&gt;"",OR(LEFT(IFERROR(INDEX(Clay_Offices!$A$2:$FZ$601,425,Sync!$C$5)&amp;"",""),6)&lt;&gt;"SAMPLE",Config!$B$19="Y")),IFERROR(N(INDEX(Clay_Offices!$A$2:$FZ$601,425,Sync!$C$13)),0),"")</f>
        <v/>
      </c>
      <c r="C3276" s="17">
        <f>IF(B3276="","","office")</f>
        <v/>
      </c>
      <c r="D3276" s="17">
        <f>IF(B3276="","",IFERROR(INDEX(Clay_Offices!$A$2:$FZ$601,425,Sync!$C$5)&amp;"",""))</f>
        <v/>
      </c>
      <c r="E3276" s="17">
        <f>IF(B3276="","",IFERROR(INDEX(Clay_Offices!$A$2:$FZ$601,425,Sync!$C$6)&amp;"",""))</f>
        <v/>
      </c>
      <c r="F3276" s="17">
        <f>IF(B3276="","","outreach_sent")</f>
        <v/>
      </c>
      <c r="G3276" s="17">
        <f>IF(B3276="","","")</f>
        <v/>
      </c>
      <c r="H3276" s="17">
        <f>IF(B3276="","","")</f>
        <v/>
      </c>
      <c r="I3276" s="17">
        <f>IF(B3276="","","")</f>
        <v/>
      </c>
      <c r="J3276" s="17">
        <f>IF(B3276="","","touch_3; "&amp;IFERROR(INDEX(Clay_Offices!$A$2:$FZ$601,425,Sync!$C$10)&amp;"","")&amp;"; "&amp;IFERROR(INDEX(Clay_Offices!$A$2:$FZ$601,425,Sync!$C$9)&amp;"",""))</f>
        <v/>
      </c>
      <c r="K3276" t="inlineStr">
        <is>
          <t>office outreach touch 3</t>
        </is>
      </c>
    </row>
    <row r="3277">
      <c r="A3277" s="17">
        <f>IF(B3277="","",B3277+(14*1000+426)/10000000)</f>
        <v/>
      </c>
      <c r="B3277" s="23">
        <f>IF(AND(IFERROR(N(INDEX(Clay_Offices!$A$2:$FZ$601,426,Sync!$C$13)),0)&gt;0,IFERROR(INDEX(Clay_Offices!$A$2:$FZ$601,426,Sync!$C$5)&amp;"","")&lt;&gt;"",OR(LEFT(IFERROR(INDEX(Clay_Offices!$A$2:$FZ$601,426,Sync!$C$5)&amp;"",""),6)&lt;&gt;"SAMPLE",Config!$B$19="Y")),IFERROR(N(INDEX(Clay_Offices!$A$2:$FZ$601,426,Sync!$C$13)),0),"")</f>
        <v/>
      </c>
      <c r="C3277" s="17">
        <f>IF(B3277="","","office")</f>
        <v/>
      </c>
      <c r="D3277" s="17">
        <f>IF(B3277="","",IFERROR(INDEX(Clay_Offices!$A$2:$FZ$601,426,Sync!$C$5)&amp;"",""))</f>
        <v/>
      </c>
      <c r="E3277" s="17">
        <f>IF(B3277="","",IFERROR(INDEX(Clay_Offices!$A$2:$FZ$601,426,Sync!$C$6)&amp;"",""))</f>
        <v/>
      </c>
      <c r="F3277" s="17">
        <f>IF(B3277="","","outreach_sent")</f>
        <v/>
      </c>
      <c r="G3277" s="17">
        <f>IF(B3277="","","")</f>
        <v/>
      </c>
      <c r="H3277" s="17">
        <f>IF(B3277="","","")</f>
        <v/>
      </c>
      <c r="I3277" s="17">
        <f>IF(B3277="","","")</f>
        <v/>
      </c>
      <c r="J3277" s="17">
        <f>IF(B3277="","","touch_3; "&amp;IFERROR(INDEX(Clay_Offices!$A$2:$FZ$601,426,Sync!$C$10)&amp;"","")&amp;"; "&amp;IFERROR(INDEX(Clay_Offices!$A$2:$FZ$601,426,Sync!$C$9)&amp;"",""))</f>
        <v/>
      </c>
      <c r="K3277" t="inlineStr">
        <is>
          <t>office outreach touch 3</t>
        </is>
      </c>
    </row>
    <row r="3278">
      <c r="A3278" s="17">
        <f>IF(B3278="","",B3278+(14*1000+427)/10000000)</f>
        <v/>
      </c>
      <c r="B3278" s="23">
        <f>IF(AND(IFERROR(N(INDEX(Clay_Offices!$A$2:$FZ$601,427,Sync!$C$13)),0)&gt;0,IFERROR(INDEX(Clay_Offices!$A$2:$FZ$601,427,Sync!$C$5)&amp;"","")&lt;&gt;"",OR(LEFT(IFERROR(INDEX(Clay_Offices!$A$2:$FZ$601,427,Sync!$C$5)&amp;"",""),6)&lt;&gt;"SAMPLE",Config!$B$19="Y")),IFERROR(N(INDEX(Clay_Offices!$A$2:$FZ$601,427,Sync!$C$13)),0),"")</f>
        <v/>
      </c>
      <c r="C3278" s="17">
        <f>IF(B3278="","","office")</f>
        <v/>
      </c>
      <c r="D3278" s="17">
        <f>IF(B3278="","",IFERROR(INDEX(Clay_Offices!$A$2:$FZ$601,427,Sync!$C$5)&amp;"",""))</f>
        <v/>
      </c>
      <c r="E3278" s="17">
        <f>IF(B3278="","",IFERROR(INDEX(Clay_Offices!$A$2:$FZ$601,427,Sync!$C$6)&amp;"",""))</f>
        <v/>
      </c>
      <c r="F3278" s="17">
        <f>IF(B3278="","","outreach_sent")</f>
        <v/>
      </c>
      <c r="G3278" s="17">
        <f>IF(B3278="","","")</f>
        <v/>
      </c>
      <c r="H3278" s="17">
        <f>IF(B3278="","","")</f>
        <v/>
      </c>
      <c r="I3278" s="17">
        <f>IF(B3278="","","")</f>
        <v/>
      </c>
      <c r="J3278" s="17">
        <f>IF(B3278="","","touch_3; "&amp;IFERROR(INDEX(Clay_Offices!$A$2:$FZ$601,427,Sync!$C$10)&amp;"","")&amp;"; "&amp;IFERROR(INDEX(Clay_Offices!$A$2:$FZ$601,427,Sync!$C$9)&amp;"",""))</f>
        <v/>
      </c>
      <c r="K3278" t="inlineStr">
        <is>
          <t>office outreach touch 3</t>
        </is>
      </c>
    </row>
    <row r="3279">
      <c r="A3279" s="17">
        <f>IF(B3279="","",B3279+(14*1000+428)/10000000)</f>
        <v/>
      </c>
      <c r="B3279" s="23">
        <f>IF(AND(IFERROR(N(INDEX(Clay_Offices!$A$2:$FZ$601,428,Sync!$C$13)),0)&gt;0,IFERROR(INDEX(Clay_Offices!$A$2:$FZ$601,428,Sync!$C$5)&amp;"","")&lt;&gt;"",OR(LEFT(IFERROR(INDEX(Clay_Offices!$A$2:$FZ$601,428,Sync!$C$5)&amp;"",""),6)&lt;&gt;"SAMPLE",Config!$B$19="Y")),IFERROR(N(INDEX(Clay_Offices!$A$2:$FZ$601,428,Sync!$C$13)),0),"")</f>
        <v/>
      </c>
      <c r="C3279" s="17">
        <f>IF(B3279="","","office")</f>
        <v/>
      </c>
      <c r="D3279" s="17">
        <f>IF(B3279="","",IFERROR(INDEX(Clay_Offices!$A$2:$FZ$601,428,Sync!$C$5)&amp;"",""))</f>
        <v/>
      </c>
      <c r="E3279" s="17">
        <f>IF(B3279="","",IFERROR(INDEX(Clay_Offices!$A$2:$FZ$601,428,Sync!$C$6)&amp;"",""))</f>
        <v/>
      </c>
      <c r="F3279" s="17">
        <f>IF(B3279="","","outreach_sent")</f>
        <v/>
      </c>
      <c r="G3279" s="17">
        <f>IF(B3279="","","")</f>
        <v/>
      </c>
      <c r="H3279" s="17">
        <f>IF(B3279="","","")</f>
        <v/>
      </c>
      <c r="I3279" s="17">
        <f>IF(B3279="","","")</f>
        <v/>
      </c>
      <c r="J3279" s="17">
        <f>IF(B3279="","","touch_3; "&amp;IFERROR(INDEX(Clay_Offices!$A$2:$FZ$601,428,Sync!$C$10)&amp;"","")&amp;"; "&amp;IFERROR(INDEX(Clay_Offices!$A$2:$FZ$601,428,Sync!$C$9)&amp;"",""))</f>
        <v/>
      </c>
      <c r="K3279" t="inlineStr">
        <is>
          <t>office outreach touch 3</t>
        </is>
      </c>
    </row>
    <row r="3280">
      <c r="A3280" s="17">
        <f>IF(B3280="","",B3280+(14*1000+429)/10000000)</f>
        <v/>
      </c>
      <c r="B3280" s="23">
        <f>IF(AND(IFERROR(N(INDEX(Clay_Offices!$A$2:$FZ$601,429,Sync!$C$13)),0)&gt;0,IFERROR(INDEX(Clay_Offices!$A$2:$FZ$601,429,Sync!$C$5)&amp;"","")&lt;&gt;"",OR(LEFT(IFERROR(INDEX(Clay_Offices!$A$2:$FZ$601,429,Sync!$C$5)&amp;"",""),6)&lt;&gt;"SAMPLE",Config!$B$19="Y")),IFERROR(N(INDEX(Clay_Offices!$A$2:$FZ$601,429,Sync!$C$13)),0),"")</f>
        <v/>
      </c>
      <c r="C3280" s="17">
        <f>IF(B3280="","","office")</f>
        <v/>
      </c>
      <c r="D3280" s="17">
        <f>IF(B3280="","",IFERROR(INDEX(Clay_Offices!$A$2:$FZ$601,429,Sync!$C$5)&amp;"",""))</f>
        <v/>
      </c>
      <c r="E3280" s="17">
        <f>IF(B3280="","",IFERROR(INDEX(Clay_Offices!$A$2:$FZ$601,429,Sync!$C$6)&amp;"",""))</f>
        <v/>
      </c>
      <c r="F3280" s="17">
        <f>IF(B3280="","","outreach_sent")</f>
        <v/>
      </c>
      <c r="G3280" s="17">
        <f>IF(B3280="","","")</f>
        <v/>
      </c>
      <c r="H3280" s="17">
        <f>IF(B3280="","","")</f>
        <v/>
      </c>
      <c r="I3280" s="17">
        <f>IF(B3280="","","")</f>
        <v/>
      </c>
      <c r="J3280" s="17">
        <f>IF(B3280="","","touch_3; "&amp;IFERROR(INDEX(Clay_Offices!$A$2:$FZ$601,429,Sync!$C$10)&amp;"","")&amp;"; "&amp;IFERROR(INDEX(Clay_Offices!$A$2:$FZ$601,429,Sync!$C$9)&amp;"",""))</f>
        <v/>
      </c>
      <c r="K3280" t="inlineStr">
        <is>
          <t>office outreach touch 3</t>
        </is>
      </c>
    </row>
    <row r="3281">
      <c r="A3281" s="17">
        <f>IF(B3281="","",B3281+(14*1000+430)/10000000)</f>
        <v/>
      </c>
      <c r="B3281" s="23">
        <f>IF(AND(IFERROR(N(INDEX(Clay_Offices!$A$2:$FZ$601,430,Sync!$C$13)),0)&gt;0,IFERROR(INDEX(Clay_Offices!$A$2:$FZ$601,430,Sync!$C$5)&amp;"","")&lt;&gt;"",OR(LEFT(IFERROR(INDEX(Clay_Offices!$A$2:$FZ$601,430,Sync!$C$5)&amp;"",""),6)&lt;&gt;"SAMPLE",Config!$B$19="Y")),IFERROR(N(INDEX(Clay_Offices!$A$2:$FZ$601,430,Sync!$C$13)),0),"")</f>
        <v/>
      </c>
      <c r="C3281" s="17">
        <f>IF(B3281="","","office")</f>
        <v/>
      </c>
      <c r="D3281" s="17">
        <f>IF(B3281="","",IFERROR(INDEX(Clay_Offices!$A$2:$FZ$601,430,Sync!$C$5)&amp;"",""))</f>
        <v/>
      </c>
      <c r="E3281" s="17">
        <f>IF(B3281="","",IFERROR(INDEX(Clay_Offices!$A$2:$FZ$601,430,Sync!$C$6)&amp;"",""))</f>
        <v/>
      </c>
      <c r="F3281" s="17">
        <f>IF(B3281="","","outreach_sent")</f>
        <v/>
      </c>
      <c r="G3281" s="17">
        <f>IF(B3281="","","")</f>
        <v/>
      </c>
      <c r="H3281" s="17">
        <f>IF(B3281="","","")</f>
        <v/>
      </c>
      <c r="I3281" s="17">
        <f>IF(B3281="","","")</f>
        <v/>
      </c>
      <c r="J3281" s="17">
        <f>IF(B3281="","","touch_3; "&amp;IFERROR(INDEX(Clay_Offices!$A$2:$FZ$601,430,Sync!$C$10)&amp;"","")&amp;"; "&amp;IFERROR(INDEX(Clay_Offices!$A$2:$FZ$601,430,Sync!$C$9)&amp;"",""))</f>
        <v/>
      </c>
      <c r="K3281" t="inlineStr">
        <is>
          <t>office outreach touch 3</t>
        </is>
      </c>
    </row>
    <row r="3282">
      <c r="A3282" s="17">
        <f>IF(B3282="","",B3282+(14*1000+431)/10000000)</f>
        <v/>
      </c>
      <c r="B3282" s="23">
        <f>IF(AND(IFERROR(N(INDEX(Clay_Offices!$A$2:$FZ$601,431,Sync!$C$13)),0)&gt;0,IFERROR(INDEX(Clay_Offices!$A$2:$FZ$601,431,Sync!$C$5)&amp;"","")&lt;&gt;"",OR(LEFT(IFERROR(INDEX(Clay_Offices!$A$2:$FZ$601,431,Sync!$C$5)&amp;"",""),6)&lt;&gt;"SAMPLE",Config!$B$19="Y")),IFERROR(N(INDEX(Clay_Offices!$A$2:$FZ$601,431,Sync!$C$13)),0),"")</f>
        <v/>
      </c>
      <c r="C3282" s="17">
        <f>IF(B3282="","","office")</f>
        <v/>
      </c>
      <c r="D3282" s="17">
        <f>IF(B3282="","",IFERROR(INDEX(Clay_Offices!$A$2:$FZ$601,431,Sync!$C$5)&amp;"",""))</f>
        <v/>
      </c>
      <c r="E3282" s="17">
        <f>IF(B3282="","",IFERROR(INDEX(Clay_Offices!$A$2:$FZ$601,431,Sync!$C$6)&amp;"",""))</f>
        <v/>
      </c>
      <c r="F3282" s="17">
        <f>IF(B3282="","","outreach_sent")</f>
        <v/>
      </c>
      <c r="G3282" s="17">
        <f>IF(B3282="","","")</f>
        <v/>
      </c>
      <c r="H3282" s="17">
        <f>IF(B3282="","","")</f>
        <v/>
      </c>
      <c r="I3282" s="17">
        <f>IF(B3282="","","")</f>
        <v/>
      </c>
      <c r="J3282" s="17">
        <f>IF(B3282="","","touch_3; "&amp;IFERROR(INDEX(Clay_Offices!$A$2:$FZ$601,431,Sync!$C$10)&amp;"","")&amp;"; "&amp;IFERROR(INDEX(Clay_Offices!$A$2:$FZ$601,431,Sync!$C$9)&amp;"",""))</f>
        <v/>
      </c>
      <c r="K3282" t="inlineStr">
        <is>
          <t>office outreach touch 3</t>
        </is>
      </c>
    </row>
    <row r="3283">
      <c r="A3283" s="17">
        <f>IF(B3283="","",B3283+(14*1000+432)/10000000)</f>
        <v/>
      </c>
      <c r="B3283" s="23">
        <f>IF(AND(IFERROR(N(INDEX(Clay_Offices!$A$2:$FZ$601,432,Sync!$C$13)),0)&gt;0,IFERROR(INDEX(Clay_Offices!$A$2:$FZ$601,432,Sync!$C$5)&amp;"","")&lt;&gt;"",OR(LEFT(IFERROR(INDEX(Clay_Offices!$A$2:$FZ$601,432,Sync!$C$5)&amp;"",""),6)&lt;&gt;"SAMPLE",Config!$B$19="Y")),IFERROR(N(INDEX(Clay_Offices!$A$2:$FZ$601,432,Sync!$C$13)),0),"")</f>
        <v/>
      </c>
      <c r="C3283" s="17">
        <f>IF(B3283="","","office")</f>
        <v/>
      </c>
      <c r="D3283" s="17">
        <f>IF(B3283="","",IFERROR(INDEX(Clay_Offices!$A$2:$FZ$601,432,Sync!$C$5)&amp;"",""))</f>
        <v/>
      </c>
      <c r="E3283" s="17">
        <f>IF(B3283="","",IFERROR(INDEX(Clay_Offices!$A$2:$FZ$601,432,Sync!$C$6)&amp;"",""))</f>
        <v/>
      </c>
      <c r="F3283" s="17">
        <f>IF(B3283="","","outreach_sent")</f>
        <v/>
      </c>
      <c r="G3283" s="17">
        <f>IF(B3283="","","")</f>
        <v/>
      </c>
      <c r="H3283" s="17">
        <f>IF(B3283="","","")</f>
        <v/>
      </c>
      <c r="I3283" s="17">
        <f>IF(B3283="","","")</f>
        <v/>
      </c>
      <c r="J3283" s="17">
        <f>IF(B3283="","","touch_3; "&amp;IFERROR(INDEX(Clay_Offices!$A$2:$FZ$601,432,Sync!$C$10)&amp;"","")&amp;"; "&amp;IFERROR(INDEX(Clay_Offices!$A$2:$FZ$601,432,Sync!$C$9)&amp;"",""))</f>
        <v/>
      </c>
      <c r="K3283" t="inlineStr">
        <is>
          <t>office outreach touch 3</t>
        </is>
      </c>
    </row>
    <row r="3284">
      <c r="A3284" s="17">
        <f>IF(B3284="","",B3284+(14*1000+433)/10000000)</f>
        <v/>
      </c>
      <c r="B3284" s="23">
        <f>IF(AND(IFERROR(N(INDEX(Clay_Offices!$A$2:$FZ$601,433,Sync!$C$13)),0)&gt;0,IFERROR(INDEX(Clay_Offices!$A$2:$FZ$601,433,Sync!$C$5)&amp;"","")&lt;&gt;"",OR(LEFT(IFERROR(INDEX(Clay_Offices!$A$2:$FZ$601,433,Sync!$C$5)&amp;"",""),6)&lt;&gt;"SAMPLE",Config!$B$19="Y")),IFERROR(N(INDEX(Clay_Offices!$A$2:$FZ$601,433,Sync!$C$13)),0),"")</f>
        <v/>
      </c>
      <c r="C3284" s="17">
        <f>IF(B3284="","","office")</f>
        <v/>
      </c>
      <c r="D3284" s="17">
        <f>IF(B3284="","",IFERROR(INDEX(Clay_Offices!$A$2:$FZ$601,433,Sync!$C$5)&amp;"",""))</f>
        <v/>
      </c>
      <c r="E3284" s="17">
        <f>IF(B3284="","",IFERROR(INDEX(Clay_Offices!$A$2:$FZ$601,433,Sync!$C$6)&amp;"",""))</f>
        <v/>
      </c>
      <c r="F3284" s="17">
        <f>IF(B3284="","","outreach_sent")</f>
        <v/>
      </c>
      <c r="G3284" s="17">
        <f>IF(B3284="","","")</f>
        <v/>
      </c>
      <c r="H3284" s="17">
        <f>IF(B3284="","","")</f>
        <v/>
      </c>
      <c r="I3284" s="17">
        <f>IF(B3284="","","")</f>
        <v/>
      </c>
      <c r="J3284" s="17">
        <f>IF(B3284="","","touch_3; "&amp;IFERROR(INDEX(Clay_Offices!$A$2:$FZ$601,433,Sync!$C$10)&amp;"","")&amp;"; "&amp;IFERROR(INDEX(Clay_Offices!$A$2:$FZ$601,433,Sync!$C$9)&amp;"",""))</f>
        <v/>
      </c>
      <c r="K3284" t="inlineStr">
        <is>
          <t>office outreach touch 3</t>
        </is>
      </c>
    </row>
    <row r="3285">
      <c r="A3285" s="17">
        <f>IF(B3285="","",B3285+(14*1000+434)/10000000)</f>
        <v/>
      </c>
      <c r="B3285" s="23">
        <f>IF(AND(IFERROR(N(INDEX(Clay_Offices!$A$2:$FZ$601,434,Sync!$C$13)),0)&gt;0,IFERROR(INDEX(Clay_Offices!$A$2:$FZ$601,434,Sync!$C$5)&amp;"","")&lt;&gt;"",OR(LEFT(IFERROR(INDEX(Clay_Offices!$A$2:$FZ$601,434,Sync!$C$5)&amp;"",""),6)&lt;&gt;"SAMPLE",Config!$B$19="Y")),IFERROR(N(INDEX(Clay_Offices!$A$2:$FZ$601,434,Sync!$C$13)),0),"")</f>
        <v/>
      </c>
      <c r="C3285" s="17">
        <f>IF(B3285="","","office")</f>
        <v/>
      </c>
      <c r="D3285" s="17">
        <f>IF(B3285="","",IFERROR(INDEX(Clay_Offices!$A$2:$FZ$601,434,Sync!$C$5)&amp;"",""))</f>
        <v/>
      </c>
      <c r="E3285" s="17">
        <f>IF(B3285="","",IFERROR(INDEX(Clay_Offices!$A$2:$FZ$601,434,Sync!$C$6)&amp;"",""))</f>
        <v/>
      </c>
      <c r="F3285" s="17">
        <f>IF(B3285="","","outreach_sent")</f>
        <v/>
      </c>
      <c r="G3285" s="17">
        <f>IF(B3285="","","")</f>
        <v/>
      </c>
      <c r="H3285" s="17">
        <f>IF(B3285="","","")</f>
        <v/>
      </c>
      <c r="I3285" s="17">
        <f>IF(B3285="","","")</f>
        <v/>
      </c>
      <c r="J3285" s="17">
        <f>IF(B3285="","","touch_3; "&amp;IFERROR(INDEX(Clay_Offices!$A$2:$FZ$601,434,Sync!$C$10)&amp;"","")&amp;"; "&amp;IFERROR(INDEX(Clay_Offices!$A$2:$FZ$601,434,Sync!$C$9)&amp;"",""))</f>
        <v/>
      </c>
      <c r="K3285" t="inlineStr">
        <is>
          <t>office outreach touch 3</t>
        </is>
      </c>
    </row>
    <row r="3286">
      <c r="A3286" s="17">
        <f>IF(B3286="","",B3286+(14*1000+435)/10000000)</f>
        <v/>
      </c>
      <c r="B3286" s="23">
        <f>IF(AND(IFERROR(N(INDEX(Clay_Offices!$A$2:$FZ$601,435,Sync!$C$13)),0)&gt;0,IFERROR(INDEX(Clay_Offices!$A$2:$FZ$601,435,Sync!$C$5)&amp;"","")&lt;&gt;"",OR(LEFT(IFERROR(INDEX(Clay_Offices!$A$2:$FZ$601,435,Sync!$C$5)&amp;"",""),6)&lt;&gt;"SAMPLE",Config!$B$19="Y")),IFERROR(N(INDEX(Clay_Offices!$A$2:$FZ$601,435,Sync!$C$13)),0),"")</f>
        <v/>
      </c>
      <c r="C3286" s="17">
        <f>IF(B3286="","","office")</f>
        <v/>
      </c>
      <c r="D3286" s="17">
        <f>IF(B3286="","",IFERROR(INDEX(Clay_Offices!$A$2:$FZ$601,435,Sync!$C$5)&amp;"",""))</f>
        <v/>
      </c>
      <c r="E3286" s="17">
        <f>IF(B3286="","",IFERROR(INDEX(Clay_Offices!$A$2:$FZ$601,435,Sync!$C$6)&amp;"",""))</f>
        <v/>
      </c>
      <c r="F3286" s="17">
        <f>IF(B3286="","","outreach_sent")</f>
        <v/>
      </c>
      <c r="G3286" s="17">
        <f>IF(B3286="","","")</f>
        <v/>
      </c>
      <c r="H3286" s="17">
        <f>IF(B3286="","","")</f>
        <v/>
      </c>
      <c r="I3286" s="17">
        <f>IF(B3286="","","")</f>
        <v/>
      </c>
      <c r="J3286" s="17">
        <f>IF(B3286="","","touch_3; "&amp;IFERROR(INDEX(Clay_Offices!$A$2:$FZ$601,435,Sync!$C$10)&amp;"","")&amp;"; "&amp;IFERROR(INDEX(Clay_Offices!$A$2:$FZ$601,435,Sync!$C$9)&amp;"",""))</f>
        <v/>
      </c>
      <c r="K3286" t="inlineStr">
        <is>
          <t>office outreach touch 3</t>
        </is>
      </c>
    </row>
    <row r="3287">
      <c r="A3287" s="17">
        <f>IF(B3287="","",B3287+(14*1000+436)/10000000)</f>
        <v/>
      </c>
      <c r="B3287" s="23">
        <f>IF(AND(IFERROR(N(INDEX(Clay_Offices!$A$2:$FZ$601,436,Sync!$C$13)),0)&gt;0,IFERROR(INDEX(Clay_Offices!$A$2:$FZ$601,436,Sync!$C$5)&amp;"","")&lt;&gt;"",OR(LEFT(IFERROR(INDEX(Clay_Offices!$A$2:$FZ$601,436,Sync!$C$5)&amp;"",""),6)&lt;&gt;"SAMPLE",Config!$B$19="Y")),IFERROR(N(INDEX(Clay_Offices!$A$2:$FZ$601,436,Sync!$C$13)),0),"")</f>
        <v/>
      </c>
      <c r="C3287" s="17">
        <f>IF(B3287="","","office")</f>
        <v/>
      </c>
      <c r="D3287" s="17">
        <f>IF(B3287="","",IFERROR(INDEX(Clay_Offices!$A$2:$FZ$601,436,Sync!$C$5)&amp;"",""))</f>
        <v/>
      </c>
      <c r="E3287" s="17">
        <f>IF(B3287="","",IFERROR(INDEX(Clay_Offices!$A$2:$FZ$601,436,Sync!$C$6)&amp;"",""))</f>
        <v/>
      </c>
      <c r="F3287" s="17">
        <f>IF(B3287="","","outreach_sent")</f>
        <v/>
      </c>
      <c r="G3287" s="17">
        <f>IF(B3287="","","")</f>
        <v/>
      </c>
      <c r="H3287" s="17">
        <f>IF(B3287="","","")</f>
        <v/>
      </c>
      <c r="I3287" s="17">
        <f>IF(B3287="","","")</f>
        <v/>
      </c>
      <c r="J3287" s="17">
        <f>IF(B3287="","","touch_3; "&amp;IFERROR(INDEX(Clay_Offices!$A$2:$FZ$601,436,Sync!$C$10)&amp;"","")&amp;"; "&amp;IFERROR(INDEX(Clay_Offices!$A$2:$FZ$601,436,Sync!$C$9)&amp;"",""))</f>
        <v/>
      </c>
      <c r="K3287" t="inlineStr">
        <is>
          <t>office outreach touch 3</t>
        </is>
      </c>
    </row>
    <row r="3288">
      <c r="A3288" s="17">
        <f>IF(B3288="","",B3288+(14*1000+437)/10000000)</f>
        <v/>
      </c>
      <c r="B3288" s="23">
        <f>IF(AND(IFERROR(N(INDEX(Clay_Offices!$A$2:$FZ$601,437,Sync!$C$13)),0)&gt;0,IFERROR(INDEX(Clay_Offices!$A$2:$FZ$601,437,Sync!$C$5)&amp;"","")&lt;&gt;"",OR(LEFT(IFERROR(INDEX(Clay_Offices!$A$2:$FZ$601,437,Sync!$C$5)&amp;"",""),6)&lt;&gt;"SAMPLE",Config!$B$19="Y")),IFERROR(N(INDEX(Clay_Offices!$A$2:$FZ$601,437,Sync!$C$13)),0),"")</f>
        <v/>
      </c>
      <c r="C3288" s="17">
        <f>IF(B3288="","","office")</f>
        <v/>
      </c>
      <c r="D3288" s="17">
        <f>IF(B3288="","",IFERROR(INDEX(Clay_Offices!$A$2:$FZ$601,437,Sync!$C$5)&amp;"",""))</f>
        <v/>
      </c>
      <c r="E3288" s="17">
        <f>IF(B3288="","",IFERROR(INDEX(Clay_Offices!$A$2:$FZ$601,437,Sync!$C$6)&amp;"",""))</f>
        <v/>
      </c>
      <c r="F3288" s="17">
        <f>IF(B3288="","","outreach_sent")</f>
        <v/>
      </c>
      <c r="G3288" s="17">
        <f>IF(B3288="","","")</f>
        <v/>
      </c>
      <c r="H3288" s="17">
        <f>IF(B3288="","","")</f>
        <v/>
      </c>
      <c r="I3288" s="17">
        <f>IF(B3288="","","")</f>
        <v/>
      </c>
      <c r="J3288" s="17">
        <f>IF(B3288="","","touch_3; "&amp;IFERROR(INDEX(Clay_Offices!$A$2:$FZ$601,437,Sync!$C$10)&amp;"","")&amp;"; "&amp;IFERROR(INDEX(Clay_Offices!$A$2:$FZ$601,437,Sync!$C$9)&amp;"",""))</f>
        <v/>
      </c>
      <c r="K3288" t="inlineStr">
        <is>
          <t>office outreach touch 3</t>
        </is>
      </c>
    </row>
    <row r="3289">
      <c r="A3289" s="17">
        <f>IF(B3289="","",B3289+(14*1000+438)/10000000)</f>
        <v/>
      </c>
      <c r="B3289" s="23">
        <f>IF(AND(IFERROR(N(INDEX(Clay_Offices!$A$2:$FZ$601,438,Sync!$C$13)),0)&gt;0,IFERROR(INDEX(Clay_Offices!$A$2:$FZ$601,438,Sync!$C$5)&amp;"","")&lt;&gt;"",OR(LEFT(IFERROR(INDEX(Clay_Offices!$A$2:$FZ$601,438,Sync!$C$5)&amp;"",""),6)&lt;&gt;"SAMPLE",Config!$B$19="Y")),IFERROR(N(INDEX(Clay_Offices!$A$2:$FZ$601,438,Sync!$C$13)),0),"")</f>
        <v/>
      </c>
      <c r="C3289" s="17">
        <f>IF(B3289="","","office")</f>
        <v/>
      </c>
      <c r="D3289" s="17">
        <f>IF(B3289="","",IFERROR(INDEX(Clay_Offices!$A$2:$FZ$601,438,Sync!$C$5)&amp;"",""))</f>
        <v/>
      </c>
      <c r="E3289" s="17">
        <f>IF(B3289="","",IFERROR(INDEX(Clay_Offices!$A$2:$FZ$601,438,Sync!$C$6)&amp;"",""))</f>
        <v/>
      </c>
      <c r="F3289" s="17">
        <f>IF(B3289="","","outreach_sent")</f>
        <v/>
      </c>
      <c r="G3289" s="17">
        <f>IF(B3289="","","")</f>
        <v/>
      </c>
      <c r="H3289" s="17">
        <f>IF(B3289="","","")</f>
        <v/>
      </c>
      <c r="I3289" s="17">
        <f>IF(B3289="","","")</f>
        <v/>
      </c>
      <c r="J3289" s="17">
        <f>IF(B3289="","","touch_3; "&amp;IFERROR(INDEX(Clay_Offices!$A$2:$FZ$601,438,Sync!$C$10)&amp;"","")&amp;"; "&amp;IFERROR(INDEX(Clay_Offices!$A$2:$FZ$601,438,Sync!$C$9)&amp;"",""))</f>
        <v/>
      </c>
      <c r="K3289" t="inlineStr">
        <is>
          <t>office outreach touch 3</t>
        </is>
      </c>
    </row>
    <row r="3290">
      <c r="A3290" s="17">
        <f>IF(B3290="","",B3290+(14*1000+439)/10000000)</f>
        <v/>
      </c>
      <c r="B3290" s="23">
        <f>IF(AND(IFERROR(N(INDEX(Clay_Offices!$A$2:$FZ$601,439,Sync!$C$13)),0)&gt;0,IFERROR(INDEX(Clay_Offices!$A$2:$FZ$601,439,Sync!$C$5)&amp;"","")&lt;&gt;"",OR(LEFT(IFERROR(INDEX(Clay_Offices!$A$2:$FZ$601,439,Sync!$C$5)&amp;"",""),6)&lt;&gt;"SAMPLE",Config!$B$19="Y")),IFERROR(N(INDEX(Clay_Offices!$A$2:$FZ$601,439,Sync!$C$13)),0),"")</f>
        <v/>
      </c>
      <c r="C3290" s="17">
        <f>IF(B3290="","","office")</f>
        <v/>
      </c>
      <c r="D3290" s="17">
        <f>IF(B3290="","",IFERROR(INDEX(Clay_Offices!$A$2:$FZ$601,439,Sync!$C$5)&amp;"",""))</f>
        <v/>
      </c>
      <c r="E3290" s="17">
        <f>IF(B3290="","",IFERROR(INDEX(Clay_Offices!$A$2:$FZ$601,439,Sync!$C$6)&amp;"",""))</f>
        <v/>
      </c>
      <c r="F3290" s="17">
        <f>IF(B3290="","","outreach_sent")</f>
        <v/>
      </c>
      <c r="G3290" s="17">
        <f>IF(B3290="","","")</f>
        <v/>
      </c>
      <c r="H3290" s="17">
        <f>IF(B3290="","","")</f>
        <v/>
      </c>
      <c r="I3290" s="17">
        <f>IF(B3290="","","")</f>
        <v/>
      </c>
      <c r="J3290" s="17">
        <f>IF(B3290="","","touch_3; "&amp;IFERROR(INDEX(Clay_Offices!$A$2:$FZ$601,439,Sync!$C$10)&amp;"","")&amp;"; "&amp;IFERROR(INDEX(Clay_Offices!$A$2:$FZ$601,439,Sync!$C$9)&amp;"",""))</f>
        <v/>
      </c>
      <c r="K3290" t="inlineStr">
        <is>
          <t>office outreach touch 3</t>
        </is>
      </c>
    </row>
    <row r="3291">
      <c r="A3291" s="17">
        <f>IF(B3291="","",B3291+(14*1000+440)/10000000)</f>
        <v/>
      </c>
      <c r="B3291" s="23">
        <f>IF(AND(IFERROR(N(INDEX(Clay_Offices!$A$2:$FZ$601,440,Sync!$C$13)),0)&gt;0,IFERROR(INDEX(Clay_Offices!$A$2:$FZ$601,440,Sync!$C$5)&amp;"","")&lt;&gt;"",OR(LEFT(IFERROR(INDEX(Clay_Offices!$A$2:$FZ$601,440,Sync!$C$5)&amp;"",""),6)&lt;&gt;"SAMPLE",Config!$B$19="Y")),IFERROR(N(INDEX(Clay_Offices!$A$2:$FZ$601,440,Sync!$C$13)),0),"")</f>
        <v/>
      </c>
      <c r="C3291" s="17">
        <f>IF(B3291="","","office")</f>
        <v/>
      </c>
      <c r="D3291" s="17">
        <f>IF(B3291="","",IFERROR(INDEX(Clay_Offices!$A$2:$FZ$601,440,Sync!$C$5)&amp;"",""))</f>
        <v/>
      </c>
      <c r="E3291" s="17">
        <f>IF(B3291="","",IFERROR(INDEX(Clay_Offices!$A$2:$FZ$601,440,Sync!$C$6)&amp;"",""))</f>
        <v/>
      </c>
      <c r="F3291" s="17">
        <f>IF(B3291="","","outreach_sent")</f>
        <v/>
      </c>
      <c r="G3291" s="17">
        <f>IF(B3291="","","")</f>
        <v/>
      </c>
      <c r="H3291" s="17">
        <f>IF(B3291="","","")</f>
        <v/>
      </c>
      <c r="I3291" s="17">
        <f>IF(B3291="","","")</f>
        <v/>
      </c>
      <c r="J3291" s="17">
        <f>IF(B3291="","","touch_3; "&amp;IFERROR(INDEX(Clay_Offices!$A$2:$FZ$601,440,Sync!$C$10)&amp;"","")&amp;"; "&amp;IFERROR(INDEX(Clay_Offices!$A$2:$FZ$601,440,Sync!$C$9)&amp;"",""))</f>
        <v/>
      </c>
      <c r="K3291" t="inlineStr">
        <is>
          <t>office outreach touch 3</t>
        </is>
      </c>
    </row>
    <row r="3292">
      <c r="A3292" s="17">
        <f>IF(B3292="","",B3292+(14*1000+441)/10000000)</f>
        <v/>
      </c>
      <c r="B3292" s="23">
        <f>IF(AND(IFERROR(N(INDEX(Clay_Offices!$A$2:$FZ$601,441,Sync!$C$13)),0)&gt;0,IFERROR(INDEX(Clay_Offices!$A$2:$FZ$601,441,Sync!$C$5)&amp;"","")&lt;&gt;"",OR(LEFT(IFERROR(INDEX(Clay_Offices!$A$2:$FZ$601,441,Sync!$C$5)&amp;"",""),6)&lt;&gt;"SAMPLE",Config!$B$19="Y")),IFERROR(N(INDEX(Clay_Offices!$A$2:$FZ$601,441,Sync!$C$13)),0),"")</f>
        <v/>
      </c>
      <c r="C3292" s="17">
        <f>IF(B3292="","","office")</f>
        <v/>
      </c>
      <c r="D3292" s="17">
        <f>IF(B3292="","",IFERROR(INDEX(Clay_Offices!$A$2:$FZ$601,441,Sync!$C$5)&amp;"",""))</f>
        <v/>
      </c>
      <c r="E3292" s="17">
        <f>IF(B3292="","",IFERROR(INDEX(Clay_Offices!$A$2:$FZ$601,441,Sync!$C$6)&amp;"",""))</f>
        <v/>
      </c>
      <c r="F3292" s="17">
        <f>IF(B3292="","","outreach_sent")</f>
        <v/>
      </c>
      <c r="G3292" s="17">
        <f>IF(B3292="","","")</f>
        <v/>
      </c>
      <c r="H3292" s="17">
        <f>IF(B3292="","","")</f>
        <v/>
      </c>
      <c r="I3292" s="17">
        <f>IF(B3292="","","")</f>
        <v/>
      </c>
      <c r="J3292" s="17">
        <f>IF(B3292="","","touch_3; "&amp;IFERROR(INDEX(Clay_Offices!$A$2:$FZ$601,441,Sync!$C$10)&amp;"","")&amp;"; "&amp;IFERROR(INDEX(Clay_Offices!$A$2:$FZ$601,441,Sync!$C$9)&amp;"",""))</f>
        <v/>
      </c>
      <c r="K3292" t="inlineStr">
        <is>
          <t>office outreach touch 3</t>
        </is>
      </c>
    </row>
    <row r="3293">
      <c r="A3293" s="17">
        <f>IF(B3293="","",B3293+(14*1000+442)/10000000)</f>
        <v/>
      </c>
      <c r="B3293" s="23">
        <f>IF(AND(IFERROR(N(INDEX(Clay_Offices!$A$2:$FZ$601,442,Sync!$C$13)),0)&gt;0,IFERROR(INDEX(Clay_Offices!$A$2:$FZ$601,442,Sync!$C$5)&amp;"","")&lt;&gt;"",OR(LEFT(IFERROR(INDEX(Clay_Offices!$A$2:$FZ$601,442,Sync!$C$5)&amp;"",""),6)&lt;&gt;"SAMPLE",Config!$B$19="Y")),IFERROR(N(INDEX(Clay_Offices!$A$2:$FZ$601,442,Sync!$C$13)),0),"")</f>
        <v/>
      </c>
      <c r="C3293" s="17">
        <f>IF(B3293="","","office")</f>
        <v/>
      </c>
      <c r="D3293" s="17">
        <f>IF(B3293="","",IFERROR(INDEX(Clay_Offices!$A$2:$FZ$601,442,Sync!$C$5)&amp;"",""))</f>
        <v/>
      </c>
      <c r="E3293" s="17">
        <f>IF(B3293="","",IFERROR(INDEX(Clay_Offices!$A$2:$FZ$601,442,Sync!$C$6)&amp;"",""))</f>
        <v/>
      </c>
      <c r="F3293" s="17">
        <f>IF(B3293="","","outreach_sent")</f>
        <v/>
      </c>
      <c r="G3293" s="17">
        <f>IF(B3293="","","")</f>
        <v/>
      </c>
      <c r="H3293" s="17">
        <f>IF(B3293="","","")</f>
        <v/>
      </c>
      <c r="I3293" s="17">
        <f>IF(B3293="","","")</f>
        <v/>
      </c>
      <c r="J3293" s="17">
        <f>IF(B3293="","","touch_3; "&amp;IFERROR(INDEX(Clay_Offices!$A$2:$FZ$601,442,Sync!$C$10)&amp;"","")&amp;"; "&amp;IFERROR(INDEX(Clay_Offices!$A$2:$FZ$601,442,Sync!$C$9)&amp;"",""))</f>
        <v/>
      </c>
      <c r="K3293" t="inlineStr">
        <is>
          <t>office outreach touch 3</t>
        </is>
      </c>
    </row>
    <row r="3294">
      <c r="A3294" s="17">
        <f>IF(B3294="","",B3294+(14*1000+443)/10000000)</f>
        <v/>
      </c>
      <c r="B3294" s="23">
        <f>IF(AND(IFERROR(N(INDEX(Clay_Offices!$A$2:$FZ$601,443,Sync!$C$13)),0)&gt;0,IFERROR(INDEX(Clay_Offices!$A$2:$FZ$601,443,Sync!$C$5)&amp;"","")&lt;&gt;"",OR(LEFT(IFERROR(INDEX(Clay_Offices!$A$2:$FZ$601,443,Sync!$C$5)&amp;"",""),6)&lt;&gt;"SAMPLE",Config!$B$19="Y")),IFERROR(N(INDEX(Clay_Offices!$A$2:$FZ$601,443,Sync!$C$13)),0),"")</f>
        <v/>
      </c>
      <c r="C3294" s="17">
        <f>IF(B3294="","","office")</f>
        <v/>
      </c>
      <c r="D3294" s="17">
        <f>IF(B3294="","",IFERROR(INDEX(Clay_Offices!$A$2:$FZ$601,443,Sync!$C$5)&amp;"",""))</f>
        <v/>
      </c>
      <c r="E3294" s="17">
        <f>IF(B3294="","",IFERROR(INDEX(Clay_Offices!$A$2:$FZ$601,443,Sync!$C$6)&amp;"",""))</f>
        <v/>
      </c>
      <c r="F3294" s="17">
        <f>IF(B3294="","","outreach_sent")</f>
        <v/>
      </c>
      <c r="G3294" s="17">
        <f>IF(B3294="","","")</f>
        <v/>
      </c>
      <c r="H3294" s="17">
        <f>IF(B3294="","","")</f>
        <v/>
      </c>
      <c r="I3294" s="17">
        <f>IF(B3294="","","")</f>
        <v/>
      </c>
      <c r="J3294" s="17">
        <f>IF(B3294="","","touch_3; "&amp;IFERROR(INDEX(Clay_Offices!$A$2:$FZ$601,443,Sync!$C$10)&amp;"","")&amp;"; "&amp;IFERROR(INDEX(Clay_Offices!$A$2:$FZ$601,443,Sync!$C$9)&amp;"",""))</f>
        <v/>
      </c>
      <c r="K3294" t="inlineStr">
        <is>
          <t>office outreach touch 3</t>
        </is>
      </c>
    </row>
    <row r="3295">
      <c r="A3295" s="17">
        <f>IF(B3295="","",B3295+(14*1000+444)/10000000)</f>
        <v/>
      </c>
      <c r="B3295" s="23">
        <f>IF(AND(IFERROR(N(INDEX(Clay_Offices!$A$2:$FZ$601,444,Sync!$C$13)),0)&gt;0,IFERROR(INDEX(Clay_Offices!$A$2:$FZ$601,444,Sync!$C$5)&amp;"","")&lt;&gt;"",OR(LEFT(IFERROR(INDEX(Clay_Offices!$A$2:$FZ$601,444,Sync!$C$5)&amp;"",""),6)&lt;&gt;"SAMPLE",Config!$B$19="Y")),IFERROR(N(INDEX(Clay_Offices!$A$2:$FZ$601,444,Sync!$C$13)),0),"")</f>
        <v/>
      </c>
      <c r="C3295" s="17">
        <f>IF(B3295="","","office")</f>
        <v/>
      </c>
      <c r="D3295" s="17">
        <f>IF(B3295="","",IFERROR(INDEX(Clay_Offices!$A$2:$FZ$601,444,Sync!$C$5)&amp;"",""))</f>
        <v/>
      </c>
      <c r="E3295" s="17">
        <f>IF(B3295="","",IFERROR(INDEX(Clay_Offices!$A$2:$FZ$601,444,Sync!$C$6)&amp;"",""))</f>
        <v/>
      </c>
      <c r="F3295" s="17">
        <f>IF(B3295="","","outreach_sent")</f>
        <v/>
      </c>
      <c r="G3295" s="17">
        <f>IF(B3295="","","")</f>
        <v/>
      </c>
      <c r="H3295" s="17">
        <f>IF(B3295="","","")</f>
        <v/>
      </c>
      <c r="I3295" s="17">
        <f>IF(B3295="","","")</f>
        <v/>
      </c>
      <c r="J3295" s="17">
        <f>IF(B3295="","","touch_3; "&amp;IFERROR(INDEX(Clay_Offices!$A$2:$FZ$601,444,Sync!$C$10)&amp;"","")&amp;"; "&amp;IFERROR(INDEX(Clay_Offices!$A$2:$FZ$601,444,Sync!$C$9)&amp;"",""))</f>
        <v/>
      </c>
      <c r="K3295" t="inlineStr">
        <is>
          <t>office outreach touch 3</t>
        </is>
      </c>
    </row>
    <row r="3296">
      <c r="A3296" s="17">
        <f>IF(B3296="","",B3296+(14*1000+445)/10000000)</f>
        <v/>
      </c>
      <c r="B3296" s="23">
        <f>IF(AND(IFERROR(N(INDEX(Clay_Offices!$A$2:$FZ$601,445,Sync!$C$13)),0)&gt;0,IFERROR(INDEX(Clay_Offices!$A$2:$FZ$601,445,Sync!$C$5)&amp;"","")&lt;&gt;"",OR(LEFT(IFERROR(INDEX(Clay_Offices!$A$2:$FZ$601,445,Sync!$C$5)&amp;"",""),6)&lt;&gt;"SAMPLE",Config!$B$19="Y")),IFERROR(N(INDEX(Clay_Offices!$A$2:$FZ$601,445,Sync!$C$13)),0),"")</f>
        <v/>
      </c>
      <c r="C3296" s="17">
        <f>IF(B3296="","","office")</f>
        <v/>
      </c>
      <c r="D3296" s="17">
        <f>IF(B3296="","",IFERROR(INDEX(Clay_Offices!$A$2:$FZ$601,445,Sync!$C$5)&amp;"",""))</f>
        <v/>
      </c>
      <c r="E3296" s="17">
        <f>IF(B3296="","",IFERROR(INDEX(Clay_Offices!$A$2:$FZ$601,445,Sync!$C$6)&amp;"",""))</f>
        <v/>
      </c>
      <c r="F3296" s="17">
        <f>IF(B3296="","","outreach_sent")</f>
        <v/>
      </c>
      <c r="G3296" s="17">
        <f>IF(B3296="","","")</f>
        <v/>
      </c>
      <c r="H3296" s="17">
        <f>IF(B3296="","","")</f>
        <v/>
      </c>
      <c r="I3296" s="17">
        <f>IF(B3296="","","")</f>
        <v/>
      </c>
      <c r="J3296" s="17">
        <f>IF(B3296="","","touch_3; "&amp;IFERROR(INDEX(Clay_Offices!$A$2:$FZ$601,445,Sync!$C$10)&amp;"","")&amp;"; "&amp;IFERROR(INDEX(Clay_Offices!$A$2:$FZ$601,445,Sync!$C$9)&amp;"",""))</f>
        <v/>
      </c>
      <c r="K3296" t="inlineStr">
        <is>
          <t>office outreach touch 3</t>
        </is>
      </c>
    </row>
    <row r="3297">
      <c r="A3297" s="17">
        <f>IF(B3297="","",B3297+(14*1000+446)/10000000)</f>
        <v/>
      </c>
      <c r="B3297" s="23">
        <f>IF(AND(IFERROR(N(INDEX(Clay_Offices!$A$2:$FZ$601,446,Sync!$C$13)),0)&gt;0,IFERROR(INDEX(Clay_Offices!$A$2:$FZ$601,446,Sync!$C$5)&amp;"","")&lt;&gt;"",OR(LEFT(IFERROR(INDEX(Clay_Offices!$A$2:$FZ$601,446,Sync!$C$5)&amp;"",""),6)&lt;&gt;"SAMPLE",Config!$B$19="Y")),IFERROR(N(INDEX(Clay_Offices!$A$2:$FZ$601,446,Sync!$C$13)),0),"")</f>
        <v/>
      </c>
      <c r="C3297" s="17">
        <f>IF(B3297="","","office")</f>
        <v/>
      </c>
      <c r="D3297" s="17">
        <f>IF(B3297="","",IFERROR(INDEX(Clay_Offices!$A$2:$FZ$601,446,Sync!$C$5)&amp;"",""))</f>
        <v/>
      </c>
      <c r="E3297" s="17">
        <f>IF(B3297="","",IFERROR(INDEX(Clay_Offices!$A$2:$FZ$601,446,Sync!$C$6)&amp;"",""))</f>
        <v/>
      </c>
      <c r="F3297" s="17">
        <f>IF(B3297="","","outreach_sent")</f>
        <v/>
      </c>
      <c r="G3297" s="17">
        <f>IF(B3297="","","")</f>
        <v/>
      </c>
      <c r="H3297" s="17">
        <f>IF(B3297="","","")</f>
        <v/>
      </c>
      <c r="I3297" s="17">
        <f>IF(B3297="","","")</f>
        <v/>
      </c>
      <c r="J3297" s="17">
        <f>IF(B3297="","","touch_3; "&amp;IFERROR(INDEX(Clay_Offices!$A$2:$FZ$601,446,Sync!$C$10)&amp;"","")&amp;"; "&amp;IFERROR(INDEX(Clay_Offices!$A$2:$FZ$601,446,Sync!$C$9)&amp;"",""))</f>
        <v/>
      </c>
      <c r="K3297" t="inlineStr">
        <is>
          <t>office outreach touch 3</t>
        </is>
      </c>
    </row>
    <row r="3298">
      <c r="A3298" s="17">
        <f>IF(B3298="","",B3298+(14*1000+447)/10000000)</f>
        <v/>
      </c>
      <c r="B3298" s="23">
        <f>IF(AND(IFERROR(N(INDEX(Clay_Offices!$A$2:$FZ$601,447,Sync!$C$13)),0)&gt;0,IFERROR(INDEX(Clay_Offices!$A$2:$FZ$601,447,Sync!$C$5)&amp;"","")&lt;&gt;"",OR(LEFT(IFERROR(INDEX(Clay_Offices!$A$2:$FZ$601,447,Sync!$C$5)&amp;"",""),6)&lt;&gt;"SAMPLE",Config!$B$19="Y")),IFERROR(N(INDEX(Clay_Offices!$A$2:$FZ$601,447,Sync!$C$13)),0),"")</f>
        <v/>
      </c>
      <c r="C3298" s="17">
        <f>IF(B3298="","","office")</f>
        <v/>
      </c>
      <c r="D3298" s="17">
        <f>IF(B3298="","",IFERROR(INDEX(Clay_Offices!$A$2:$FZ$601,447,Sync!$C$5)&amp;"",""))</f>
        <v/>
      </c>
      <c r="E3298" s="17">
        <f>IF(B3298="","",IFERROR(INDEX(Clay_Offices!$A$2:$FZ$601,447,Sync!$C$6)&amp;"",""))</f>
        <v/>
      </c>
      <c r="F3298" s="17">
        <f>IF(B3298="","","outreach_sent")</f>
        <v/>
      </c>
      <c r="G3298" s="17">
        <f>IF(B3298="","","")</f>
        <v/>
      </c>
      <c r="H3298" s="17">
        <f>IF(B3298="","","")</f>
        <v/>
      </c>
      <c r="I3298" s="17">
        <f>IF(B3298="","","")</f>
        <v/>
      </c>
      <c r="J3298" s="17">
        <f>IF(B3298="","","touch_3; "&amp;IFERROR(INDEX(Clay_Offices!$A$2:$FZ$601,447,Sync!$C$10)&amp;"","")&amp;"; "&amp;IFERROR(INDEX(Clay_Offices!$A$2:$FZ$601,447,Sync!$C$9)&amp;"",""))</f>
        <v/>
      </c>
      <c r="K3298" t="inlineStr">
        <is>
          <t>office outreach touch 3</t>
        </is>
      </c>
    </row>
    <row r="3299">
      <c r="A3299" s="17">
        <f>IF(B3299="","",B3299+(14*1000+448)/10000000)</f>
        <v/>
      </c>
      <c r="B3299" s="23">
        <f>IF(AND(IFERROR(N(INDEX(Clay_Offices!$A$2:$FZ$601,448,Sync!$C$13)),0)&gt;0,IFERROR(INDEX(Clay_Offices!$A$2:$FZ$601,448,Sync!$C$5)&amp;"","")&lt;&gt;"",OR(LEFT(IFERROR(INDEX(Clay_Offices!$A$2:$FZ$601,448,Sync!$C$5)&amp;"",""),6)&lt;&gt;"SAMPLE",Config!$B$19="Y")),IFERROR(N(INDEX(Clay_Offices!$A$2:$FZ$601,448,Sync!$C$13)),0),"")</f>
        <v/>
      </c>
      <c r="C3299" s="17">
        <f>IF(B3299="","","office")</f>
        <v/>
      </c>
      <c r="D3299" s="17">
        <f>IF(B3299="","",IFERROR(INDEX(Clay_Offices!$A$2:$FZ$601,448,Sync!$C$5)&amp;"",""))</f>
        <v/>
      </c>
      <c r="E3299" s="17">
        <f>IF(B3299="","",IFERROR(INDEX(Clay_Offices!$A$2:$FZ$601,448,Sync!$C$6)&amp;"",""))</f>
        <v/>
      </c>
      <c r="F3299" s="17">
        <f>IF(B3299="","","outreach_sent")</f>
        <v/>
      </c>
      <c r="G3299" s="17">
        <f>IF(B3299="","","")</f>
        <v/>
      </c>
      <c r="H3299" s="17">
        <f>IF(B3299="","","")</f>
        <v/>
      </c>
      <c r="I3299" s="17">
        <f>IF(B3299="","","")</f>
        <v/>
      </c>
      <c r="J3299" s="17">
        <f>IF(B3299="","","touch_3; "&amp;IFERROR(INDEX(Clay_Offices!$A$2:$FZ$601,448,Sync!$C$10)&amp;"","")&amp;"; "&amp;IFERROR(INDEX(Clay_Offices!$A$2:$FZ$601,448,Sync!$C$9)&amp;"",""))</f>
        <v/>
      </c>
      <c r="K3299" t="inlineStr">
        <is>
          <t>office outreach touch 3</t>
        </is>
      </c>
    </row>
    <row r="3300">
      <c r="A3300" s="17">
        <f>IF(B3300="","",B3300+(14*1000+449)/10000000)</f>
        <v/>
      </c>
      <c r="B3300" s="23">
        <f>IF(AND(IFERROR(N(INDEX(Clay_Offices!$A$2:$FZ$601,449,Sync!$C$13)),0)&gt;0,IFERROR(INDEX(Clay_Offices!$A$2:$FZ$601,449,Sync!$C$5)&amp;"","")&lt;&gt;"",OR(LEFT(IFERROR(INDEX(Clay_Offices!$A$2:$FZ$601,449,Sync!$C$5)&amp;"",""),6)&lt;&gt;"SAMPLE",Config!$B$19="Y")),IFERROR(N(INDEX(Clay_Offices!$A$2:$FZ$601,449,Sync!$C$13)),0),"")</f>
        <v/>
      </c>
      <c r="C3300" s="17">
        <f>IF(B3300="","","office")</f>
        <v/>
      </c>
      <c r="D3300" s="17">
        <f>IF(B3300="","",IFERROR(INDEX(Clay_Offices!$A$2:$FZ$601,449,Sync!$C$5)&amp;"",""))</f>
        <v/>
      </c>
      <c r="E3300" s="17">
        <f>IF(B3300="","",IFERROR(INDEX(Clay_Offices!$A$2:$FZ$601,449,Sync!$C$6)&amp;"",""))</f>
        <v/>
      </c>
      <c r="F3300" s="17">
        <f>IF(B3300="","","outreach_sent")</f>
        <v/>
      </c>
      <c r="G3300" s="17">
        <f>IF(B3300="","","")</f>
        <v/>
      </c>
      <c r="H3300" s="17">
        <f>IF(B3300="","","")</f>
        <v/>
      </c>
      <c r="I3300" s="17">
        <f>IF(B3300="","","")</f>
        <v/>
      </c>
      <c r="J3300" s="17">
        <f>IF(B3300="","","touch_3; "&amp;IFERROR(INDEX(Clay_Offices!$A$2:$FZ$601,449,Sync!$C$10)&amp;"","")&amp;"; "&amp;IFERROR(INDEX(Clay_Offices!$A$2:$FZ$601,449,Sync!$C$9)&amp;"",""))</f>
        <v/>
      </c>
      <c r="K3300" t="inlineStr">
        <is>
          <t>office outreach touch 3</t>
        </is>
      </c>
    </row>
    <row r="3301">
      <c r="A3301" s="17">
        <f>IF(B3301="","",B3301+(14*1000+450)/10000000)</f>
        <v/>
      </c>
      <c r="B3301" s="23">
        <f>IF(AND(IFERROR(N(INDEX(Clay_Offices!$A$2:$FZ$601,450,Sync!$C$13)),0)&gt;0,IFERROR(INDEX(Clay_Offices!$A$2:$FZ$601,450,Sync!$C$5)&amp;"","")&lt;&gt;"",OR(LEFT(IFERROR(INDEX(Clay_Offices!$A$2:$FZ$601,450,Sync!$C$5)&amp;"",""),6)&lt;&gt;"SAMPLE",Config!$B$19="Y")),IFERROR(N(INDEX(Clay_Offices!$A$2:$FZ$601,450,Sync!$C$13)),0),"")</f>
        <v/>
      </c>
      <c r="C3301" s="17">
        <f>IF(B3301="","","office")</f>
        <v/>
      </c>
      <c r="D3301" s="17">
        <f>IF(B3301="","",IFERROR(INDEX(Clay_Offices!$A$2:$FZ$601,450,Sync!$C$5)&amp;"",""))</f>
        <v/>
      </c>
      <c r="E3301" s="17">
        <f>IF(B3301="","",IFERROR(INDEX(Clay_Offices!$A$2:$FZ$601,450,Sync!$C$6)&amp;"",""))</f>
        <v/>
      </c>
      <c r="F3301" s="17">
        <f>IF(B3301="","","outreach_sent")</f>
        <v/>
      </c>
      <c r="G3301" s="17">
        <f>IF(B3301="","","")</f>
        <v/>
      </c>
      <c r="H3301" s="17">
        <f>IF(B3301="","","")</f>
        <v/>
      </c>
      <c r="I3301" s="17">
        <f>IF(B3301="","","")</f>
        <v/>
      </c>
      <c r="J3301" s="17">
        <f>IF(B3301="","","touch_3; "&amp;IFERROR(INDEX(Clay_Offices!$A$2:$FZ$601,450,Sync!$C$10)&amp;"","")&amp;"; "&amp;IFERROR(INDEX(Clay_Offices!$A$2:$FZ$601,450,Sync!$C$9)&amp;"",""))</f>
        <v/>
      </c>
      <c r="K3301" t="inlineStr">
        <is>
          <t>office outreach touch 3</t>
        </is>
      </c>
    </row>
    <row r="3302">
      <c r="A3302" s="17">
        <f>IF(B3302="","",B3302+(14*1000+451)/10000000)</f>
        <v/>
      </c>
      <c r="B3302" s="23">
        <f>IF(AND(IFERROR(N(INDEX(Clay_Offices!$A$2:$FZ$601,451,Sync!$C$13)),0)&gt;0,IFERROR(INDEX(Clay_Offices!$A$2:$FZ$601,451,Sync!$C$5)&amp;"","")&lt;&gt;"",OR(LEFT(IFERROR(INDEX(Clay_Offices!$A$2:$FZ$601,451,Sync!$C$5)&amp;"",""),6)&lt;&gt;"SAMPLE",Config!$B$19="Y")),IFERROR(N(INDEX(Clay_Offices!$A$2:$FZ$601,451,Sync!$C$13)),0),"")</f>
        <v/>
      </c>
      <c r="C3302" s="17">
        <f>IF(B3302="","","office")</f>
        <v/>
      </c>
      <c r="D3302" s="17">
        <f>IF(B3302="","",IFERROR(INDEX(Clay_Offices!$A$2:$FZ$601,451,Sync!$C$5)&amp;"",""))</f>
        <v/>
      </c>
      <c r="E3302" s="17">
        <f>IF(B3302="","",IFERROR(INDEX(Clay_Offices!$A$2:$FZ$601,451,Sync!$C$6)&amp;"",""))</f>
        <v/>
      </c>
      <c r="F3302" s="17">
        <f>IF(B3302="","","outreach_sent")</f>
        <v/>
      </c>
      <c r="G3302" s="17">
        <f>IF(B3302="","","")</f>
        <v/>
      </c>
      <c r="H3302" s="17">
        <f>IF(B3302="","","")</f>
        <v/>
      </c>
      <c r="I3302" s="17">
        <f>IF(B3302="","","")</f>
        <v/>
      </c>
      <c r="J3302" s="17">
        <f>IF(B3302="","","touch_3; "&amp;IFERROR(INDEX(Clay_Offices!$A$2:$FZ$601,451,Sync!$C$10)&amp;"","")&amp;"; "&amp;IFERROR(INDEX(Clay_Offices!$A$2:$FZ$601,451,Sync!$C$9)&amp;"",""))</f>
        <v/>
      </c>
      <c r="K3302" t="inlineStr">
        <is>
          <t>office outreach touch 3</t>
        </is>
      </c>
    </row>
    <row r="3303">
      <c r="A3303" s="17">
        <f>IF(B3303="","",B3303+(14*1000+452)/10000000)</f>
        <v/>
      </c>
      <c r="B3303" s="23">
        <f>IF(AND(IFERROR(N(INDEX(Clay_Offices!$A$2:$FZ$601,452,Sync!$C$13)),0)&gt;0,IFERROR(INDEX(Clay_Offices!$A$2:$FZ$601,452,Sync!$C$5)&amp;"","")&lt;&gt;"",OR(LEFT(IFERROR(INDEX(Clay_Offices!$A$2:$FZ$601,452,Sync!$C$5)&amp;"",""),6)&lt;&gt;"SAMPLE",Config!$B$19="Y")),IFERROR(N(INDEX(Clay_Offices!$A$2:$FZ$601,452,Sync!$C$13)),0),"")</f>
        <v/>
      </c>
      <c r="C3303" s="17">
        <f>IF(B3303="","","office")</f>
        <v/>
      </c>
      <c r="D3303" s="17">
        <f>IF(B3303="","",IFERROR(INDEX(Clay_Offices!$A$2:$FZ$601,452,Sync!$C$5)&amp;"",""))</f>
        <v/>
      </c>
      <c r="E3303" s="17">
        <f>IF(B3303="","",IFERROR(INDEX(Clay_Offices!$A$2:$FZ$601,452,Sync!$C$6)&amp;"",""))</f>
        <v/>
      </c>
      <c r="F3303" s="17">
        <f>IF(B3303="","","outreach_sent")</f>
        <v/>
      </c>
      <c r="G3303" s="17">
        <f>IF(B3303="","","")</f>
        <v/>
      </c>
      <c r="H3303" s="17">
        <f>IF(B3303="","","")</f>
        <v/>
      </c>
      <c r="I3303" s="17">
        <f>IF(B3303="","","")</f>
        <v/>
      </c>
      <c r="J3303" s="17">
        <f>IF(B3303="","","touch_3; "&amp;IFERROR(INDEX(Clay_Offices!$A$2:$FZ$601,452,Sync!$C$10)&amp;"","")&amp;"; "&amp;IFERROR(INDEX(Clay_Offices!$A$2:$FZ$601,452,Sync!$C$9)&amp;"",""))</f>
        <v/>
      </c>
      <c r="K3303" t="inlineStr">
        <is>
          <t>office outreach touch 3</t>
        </is>
      </c>
    </row>
    <row r="3304">
      <c r="A3304" s="17">
        <f>IF(B3304="","",B3304+(14*1000+453)/10000000)</f>
        <v/>
      </c>
      <c r="B3304" s="23">
        <f>IF(AND(IFERROR(N(INDEX(Clay_Offices!$A$2:$FZ$601,453,Sync!$C$13)),0)&gt;0,IFERROR(INDEX(Clay_Offices!$A$2:$FZ$601,453,Sync!$C$5)&amp;"","")&lt;&gt;"",OR(LEFT(IFERROR(INDEX(Clay_Offices!$A$2:$FZ$601,453,Sync!$C$5)&amp;"",""),6)&lt;&gt;"SAMPLE",Config!$B$19="Y")),IFERROR(N(INDEX(Clay_Offices!$A$2:$FZ$601,453,Sync!$C$13)),0),"")</f>
        <v/>
      </c>
      <c r="C3304" s="17">
        <f>IF(B3304="","","office")</f>
        <v/>
      </c>
      <c r="D3304" s="17">
        <f>IF(B3304="","",IFERROR(INDEX(Clay_Offices!$A$2:$FZ$601,453,Sync!$C$5)&amp;"",""))</f>
        <v/>
      </c>
      <c r="E3304" s="17">
        <f>IF(B3304="","",IFERROR(INDEX(Clay_Offices!$A$2:$FZ$601,453,Sync!$C$6)&amp;"",""))</f>
        <v/>
      </c>
      <c r="F3304" s="17">
        <f>IF(B3304="","","outreach_sent")</f>
        <v/>
      </c>
      <c r="G3304" s="17">
        <f>IF(B3304="","","")</f>
        <v/>
      </c>
      <c r="H3304" s="17">
        <f>IF(B3304="","","")</f>
        <v/>
      </c>
      <c r="I3304" s="17">
        <f>IF(B3304="","","")</f>
        <v/>
      </c>
      <c r="J3304" s="17">
        <f>IF(B3304="","","touch_3; "&amp;IFERROR(INDEX(Clay_Offices!$A$2:$FZ$601,453,Sync!$C$10)&amp;"","")&amp;"; "&amp;IFERROR(INDEX(Clay_Offices!$A$2:$FZ$601,453,Sync!$C$9)&amp;"",""))</f>
        <v/>
      </c>
      <c r="K3304" t="inlineStr">
        <is>
          <t>office outreach touch 3</t>
        </is>
      </c>
    </row>
    <row r="3305">
      <c r="A3305" s="17">
        <f>IF(B3305="","",B3305+(14*1000+454)/10000000)</f>
        <v/>
      </c>
      <c r="B3305" s="23">
        <f>IF(AND(IFERROR(N(INDEX(Clay_Offices!$A$2:$FZ$601,454,Sync!$C$13)),0)&gt;0,IFERROR(INDEX(Clay_Offices!$A$2:$FZ$601,454,Sync!$C$5)&amp;"","")&lt;&gt;"",OR(LEFT(IFERROR(INDEX(Clay_Offices!$A$2:$FZ$601,454,Sync!$C$5)&amp;"",""),6)&lt;&gt;"SAMPLE",Config!$B$19="Y")),IFERROR(N(INDEX(Clay_Offices!$A$2:$FZ$601,454,Sync!$C$13)),0),"")</f>
        <v/>
      </c>
      <c r="C3305" s="17">
        <f>IF(B3305="","","office")</f>
        <v/>
      </c>
      <c r="D3305" s="17">
        <f>IF(B3305="","",IFERROR(INDEX(Clay_Offices!$A$2:$FZ$601,454,Sync!$C$5)&amp;"",""))</f>
        <v/>
      </c>
      <c r="E3305" s="17">
        <f>IF(B3305="","",IFERROR(INDEX(Clay_Offices!$A$2:$FZ$601,454,Sync!$C$6)&amp;"",""))</f>
        <v/>
      </c>
      <c r="F3305" s="17">
        <f>IF(B3305="","","outreach_sent")</f>
        <v/>
      </c>
      <c r="G3305" s="17">
        <f>IF(B3305="","","")</f>
        <v/>
      </c>
      <c r="H3305" s="17">
        <f>IF(B3305="","","")</f>
        <v/>
      </c>
      <c r="I3305" s="17">
        <f>IF(B3305="","","")</f>
        <v/>
      </c>
      <c r="J3305" s="17">
        <f>IF(B3305="","","touch_3; "&amp;IFERROR(INDEX(Clay_Offices!$A$2:$FZ$601,454,Sync!$C$10)&amp;"","")&amp;"; "&amp;IFERROR(INDEX(Clay_Offices!$A$2:$FZ$601,454,Sync!$C$9)&amp;"",""))</f>
        <v/>
      </c>
      <c r="K3305" t="inlineStr">
        <is>
          <t>office outreach touch 3</t>
        </is>
      </c>
    </row>
    <row r="3306">
      <c r="A3306" s="17">
        <f>IF(B3306="","",B3306+(14*1000+455)/10000000)</f>
        <v/>
      </c>
      <c r="B3306" s="23">
        <f>IF(AND(IFERROR(N(INDEX(Clay_Offices!$A$2:$FZ$601,455,Sync!$C$13)),0)&gt;0,IFERROR(INDEX(Clay_Offices!$A$2:$FZ$601,455,Sync!$C$5)&amp;"","")&lt;&gt;"",OR(LEFT(IFERROR(INDEX(Clay_Offices!$A$2:$FZ$601,455,Sync!$C$5)&amp;"",""),6)&lt;&gt;"SAMPLE",Config!$B$19="Y")),IFERROR(N(INDEX(Clay_Offices!$A$2:$FZ$601,455,Sync!$C$13)),0),"")</f>
        <v/>
      </c>
      <c r="C3306" s="17">
        <f>IF(B3306="","","office")</f>
        <v/>
      </c>
      <c r="D3306" s="17">
        <f>IF(B3306="","",IFERROR(INDEX(Clay_Offices!$A$2:$FZ$601,455,Sync!$C$5)&amp;"",""))</f>
        <v/>
      </c>
      <c r="E3306" s="17">
        <f>IF(B3306="","",IFERROR(INDEX(Clay_Offices!$A$2:$FZ$601,455,Sync!$C$6)&amp;"",""))</f>
        <v/>
      </c>
      <c r="F3306" s="17">
        <f>IF(B3306="","","outreach_sent")</f>
        <v/>
      </c>
      <c r="G3306" s="17">
        <f>IF(B3306="","","")</f>
        <v/>
      </c>
      <c r="H3306" s="17">
        <f>IF(B3306="","","")</f>
        <v/>
      </c>
      <c r="I3306" s="17">
        <f>IF(B3306="","","")</f>
        <v/>
      </c>
      <c r="J3306" s="17">
        <f>IF(B3306="","","touch_3; "&amp;IFERROR(INDEX(Clay_Offices!$A$2:$FZ$601,455,Sync!$C$10)&amp;"","")&amp;"; "&amp;IFERROR(INDEX(Clay_Offices!$A$2:$FZ$601,455,Sync!$C$9)&amp;"",""))</f>
        <v/>
      </c>
      <c r="K3306" t="inlineStr">
        <is>
          <t>office outreach touch 3</t>
        </is>
      </c>
    </row>
    <row r="3307">
      <c r="A3307" s="17">
        <f>IF(B3307="","",B3307+(14*1000+456)/10000000)</f>
        <v/>
      </c>
      <c r="B3307" s="23">
        <f>IF(AND(IFERROR(N(INDEX(Clay_Offices!$A$2:$FZ$601,456,Sync!$C$13)),0)&gt;0,IFERROR(INDEX(Clay_Offices!$A$2:$FZ$601,456,Sync!$C$5)&amp;"","")&lt;&gt;"",OR(LEFT(IFERROR(INDEX(Clay_Offices!$A$2:$FZ$601,456,Sync!$C$5)&amp;"",""),6)&lt;&gt;"SAMPLE",Config!$B$19="Y")),IFERROR(N(INDEX(Clay_Offices!$A$2:$FZ$601,456,Sync!$C$13)),0),"")</f>
        <v/>
      </c>
      <c r="C3307" s="17">
        <f>IF(B3307="","","office")</f>
        <v/>
      </c>
      <c r="D3307" s="17">
        <f>IF(B3307="","",IFERROR(INDEX(Clay_Offices!$A$2:$FZ$601,456,Sync!$C$5)&amp;"",""))</f>
        <v/>
      </c>
      <c r="E3307" s="17">
        <f>IF(B3307="","",IFERROR(INDEX(Clay_Offices!$A$2:$FZ$601,456,Sync!$C$6)&amp;"",""))</f>
        <v/>
      </c>
      <c r="F3307" s="17">
        <f>IF(B3307="","","outreach_sent")</f>
        <v/>
      </c>
      <c r="G3307" s="17">
        <f>IF(B3307="","","")</f>
        <v/>
      </c>
      <c r="H3307" s="17">
        <f>IF(B3307="","","")</f>
        <v/>
      </c>
      <c r="I3307" s="17">
        <f>IF(B3307="","","")</f>
        <v/>
      </c>
      <c r="J3307" s="17">
        <f>IF(B3307="","","touch_3; "&amp;IFERROR(INDEX(Clay_Offices!$A$2:$FZ$601,456,Sync!$C$10)&amp;"","")&amp;"; "&amp;IFERROR(INDEX(Clay_Offices!$A$2:$FZ$601,456,Sync!$C$9)&amp;"",""))</f>
        <v/>
      </c>
      <c r="K3307" t="inlineStr">
        <is>
          <t>office outreach touch 3</t>
        </is>
      </c>
    </row>
    <row r="3308">
      <c r="A3308" s="17">
        <f>IF(B3308="","",B3308+(14*1000+457)/10000000)</f>
        <v/>
      </c>
      <c r="B3308" s="23">
        <f>IF(AND(IFERROR(N(INDEX(Clay_Offices!$A$2:$FZ$601,457,Sync!$C$13)),0)&gt;0,IFERROR(INDEX(Clay_Offices!$A$2:$FZ$601,457,Sync!$C$5)&amp;"","")&lt;&gt;"",OR(LEFT(IFERROR(INDEX(Clay_Offices!$A$2:$FZ$601,457,Sync!$C$5)&amp;"",""),6)&lt;&gt;"SAMPLE",Config!$B$19="Y")),IFERROR(N(INDEX(Clay_Offices!$A$2:$FZ$601,457,Sync!$C$13)),0),"")</f>
        <v/>
      </c>
      <c r="C3308" s="17">
        <f>IF(B3308="","","office")</f>
        <v/>
      </c>
      <c r="D3308" s="17">
        <f>IF(B3308="","",IFERROR(INDEX(Clay_Offices!$A$2:$FZ$601,457,Sync!$C$5)&amp;"",""))</f>
        <v/>
      </c>
      <c r="E3308" s="17">
        <f>IF(B3308="","",IFERROR(INDEX(Clay_Offices!$A$2:$FZ$601,457,Sync!$C$6)&amp;"",""))</f>
        <v/>
      </c>
      <c r="F3308" s="17">
        <f>IF(B3308="","","outreach_sent")</f>
        <v/>
      </c>
      <c r="G3308" s="17">
        <f>IF(B3308="","","")</f>
        <v/>
      </c>
      <c r="H3308" s="17">
        <f>IF(B3308="","","")</f>
        <v/>
      </c>
      <c r="I3308" s="17">
        <f>IF(B3308="","","")</f>
        <v/>
      </c>
      <c r="J3308" s="17">
        <f>IF(B3308="","","touch_3; "&amp;IFERROR(INDEX(Clay_Offices!$A$2:$FZ$601,457,Sync!$C$10)&amp;"","")&amp;"; "&amp;IFERROR(INDEX(Clay_Offices!$A$2:$FZ$601,457,Sync!$C$9)&amp;"",""))</f>
        <v/>
      </c>
      <c r="K3308" t="inlineStr">
        <is>
          <t>office outreach touch 3</t>
        </is>
      </c>
    </row>
    <row r="3309">
      <c r="A3309" s="17">
        <f>IF(B3309="","",B3309+(14*1000+458)/10000000)</f>
        <v/>
      </c>
      <c r="B3309" s="23">
        <f>IF(AND(IFERROR(N(INDEX(Clay_Offices!$A$2:$FZ$601,458,Sync!$C$13)),0)&gt;0,IFERROR(INDEX(Clay_Offices!$A$2:$FZ$601,458,Sync!$C$5)&amp;"","")&lt;&gt;"",OR(LEFT(IFERROR(INDEX(Clay_Offices!$A$2:$FZ$601,458,Sync!$C$5)&amp;"",""),6)&lt;&gt;"SAMPLE",Config!$B$19="Y")),IFERROR(N(INDEX(Clay_Offices!$A$2:$FZ$601,458,Sync!$C$13)),0),"")</f>
        <v/>
      </c>
      <c r="C3309" s="17">
        <f>IF(B3309="","","office")</f>
        <v/>
      </c>
      <c r="D3309" s="17">
        <f>IF(B3309="","",IFERROR(INDEX(Clay_Offices!$A$2:$FZ$601,458,Sync!$C$5)&amp;"",""))</f>
        <v/>
      </c>
      <c r="E3309" s="17">
        <f>IF(B3309="","",IFERROR(INDEX(Clay_Offices!$A$2:$FZ$601,458,Sync!$C$6)&amp;"",""))</f>
        <v/>
      </c>
      <c r="F3309" s="17">
        <f>IF(B3309="","","outreach_sent")</f>
        <v/>
      </c>
      <c r="G3309" s="17">
        <f>IF(B3309="","","")</f>
        <v/>
      </c>
      <c r="H3309" s="17">
        <f>IF(B3309="","","")</f>
        <v/>
      </c>
      <c r="I3309" s="17">
        <f>IF(B3309="","","")</f>
        <v/>
      </c>
      <c r="J3309" s="17">
        <f>IF(B3309="","","touch_3; "&amp;IFERROR(INDEX(Clay_Offices!$A$2:$FZ$601,458,Sync!$C$10)&amp;"","")&amp;"; "&amp;IFERROR(INDEX(Clay_Offices!$A$2:$FZ$601,458,Sync!$C$9)&amp;"",""))</f>
        <v/>
      </c>
      <c r="K3309" t="inlineStr">
        <is>
          <t>office outreach touch 3</t>
        </is>
      </c>
    </row>
    <row r="3310">
      <c r="A3310" s="17">
        <f>IF(B3310="","",B3310+(14*1000+459)/10000000)</f>
        <v/>
      </c>
      <c r="B3310" s="23">
        <f>IF(AND(IFERROR(N(INDEX(Clay_Offices!$A$2:$FZ$601,459,Sync!$C$13)),0)&gt;0,IFERROR(INDEX(Clay_Offices!$A$2:$FZ$601,459,Sync!$C$5)&amp;"","")&lt;&gt;"",OR(LEFT(IFERROR(INDEX(Clay_Offices!$A$2:$FZ$601,459,Sync!$C$5)&amp;"",""),6)&lt;&gt;"SAMPLE",Config!$B$19="Y")),IFERROR(N(INDEX(Clay_Offices!$A$2:$FZ$601,459,Sync!$C$13)),0),"")</f>
        <v/>
      </c>
      <c r="C3310" s="17">
        <f>IF(B3310="","","office")</f>
        <v/>
      </c>
      <c r="D3310" s="17">
        <f>IF(B3310="","",IFERROR(INDEX(Clay_Offices!$A$2:$FZ$601,459,Sync!$C$5)&amp;"",""))</f>
        <v/>
      </c>
      <c r="E3310" s="17">
        <f>IF(B3310="","",IFERROR(INDEX(Clay_Offices!$A$2:$FZ$601,459,Sync!$C$6)&amp;"",""))</f>
        <v/>
      </c>
      <c r="F3310" s="17">
        <f>IF(B3310="","","outreach_sent")</f>
        <v/>
      </c>
      <c r="G3310" s="17">
        <f>IF(B3310="","","")</f>
        <v/>
      </c>
      <c r="H3310" s="17">
        <f>IF(B3310="","","")</f>
        <v/>
      </c>
      <c r="I3310" s="17">
        <f>IF(B3310="","","")</f>
        <v/>
      </c>
      <c r="J3310" s="17">
        <f>IF(B3310="","","touch_3; "&amp;IFERROR(INDEX(Clay_Offices!$A$2:$FZ$601,459,Sync!$C$10)&amp;"","")&amp;"; "&amp;IFERROR(INDEX(Clay_Offices!$A$2:$FZ$601,459,Sync!$C$9)&amp;"",""))</f>
        <v/>
      </c>
      <c r="K3310" t="inlineStr">
        <is>
          <t>office outreach touch 3</t>
        </is>
      </c>
    </row>
    <row r="3311">
      <c r="A3311" s="17">
        <f>IF(B3311="","",B3311+(14*1000+460)/10000000)</f>
        <v/>
      </c>
      <c r="B3311" s="23">
        <f>IF(AND(IFERROR(N(INDEX(Clay_Offices!$A$2:$FZ$601,460,Sync!$C$13)),0)&gt;0,IFERROR(INDEX(Clay_Offices!$A$2:$FZ$601,460,Sync!$C$5)&amp;"","")&lt;&gt;"",OR(LEFT(IFERROR(INDEX(Clay_Offices!$A$2:$FZ$601,460,Sync!$C$5)&amp;"",""),6)&lt;&gt;"SAMPLE",Config!$B$19="Y")),IFERROR(N(INDEX(Clay_Offices!$A$2:$FZ$601,460,Sync!$C$13)),0),"")</f>
        <v/>
      </c>
      <c r="C3311" s="17">
        <f>IF(B3311="","","office")</f>
        <v/>
      </c>
      <c r="D3311" s="17">
        <f>IF(B3311="","",IFERROR(INDEX(Clay_Offices!$A$2:$FZ$601,460,Sync!$C$5)&amp;"",""))</f>
        <v/>
      </c>
      <c r="E3311" s="17">
        <f>IF(B3311="","",IFERROR(INDEX(Clay_Offices!$A$2:$FZ$601,460,Sync!$C$6)&amp;"",""))</f>
        <v/>
      </c>
      <c r="F3311" s="17">
        <f>IF(B3311="","","outreach_sent")</f>
        <v/>
      </c>
      <c r="G3311" s="17">
        <f>IF(B3311="","","")</f>
        <v/>
      </c>
      <c r="H3311" s="17">
        <f>IF(B3311="","","")</f>
        <v/>
      </c>
      <c r="I3311" s="17">
        <f>IF(B3311="","","")</f>
        <v/>
      </c>
      <c r="J3311" s="17">
        <f>IF(B3311="","","touch_3; "&amp;IFERROR(INDEX(Clay_Offices!$A$2:$FZ$601,460,Sync!$C$10)&amp;"","")&amp;"; "&amp;IFERROR(INDEX(Clay_Offices!$A$2:$FZ$601,460,Sync!$C$9)&amp;"",""))</f>
        <v/>
      </c>
      <c r="K3311" t="inlineStr">
        <is>
          <t>office outreach touch 3</t>
        </is>
      </c>
    </row>
    <row r="3312">
      <c r="A3312" s="17">
        <f>IF(B3312="","",B3312+(14*1000+461)/10000000)</f>
        <v/>
      </c>
      <c r="B3312" s="23">
        <f>IF(AND(IFERROR(N(INDEX(Clay_Offices!$A$2:$FZ$601,461,Sync!$C$13)),0)&gt;0,IFERROR(INDEX(Clay_Offices!$A$2:$FZ$601,461,Sync!$C$5)&amp;"","")&lt;&gt;"",OR(LEFT(IFERROR(INDEX(Clay_Offices!$A$2:$FZ$601,461,Sync!$C$5)&amp;"",""),6)&lt;&gt;"SAMPLE",Config!$B$19="Y")),IFERROR(N(INDEX(Clay_Offices!$A$2:$FZ$601,461,Sync!$C$13)),0),"")</f>
        <v/>
      </c>
      <c r="C3312" s="17">
        <f>IF(B3312="","","office")</f>
        <v/>
      </c>
      <c r="D3312" s="17">
        <f>IF(B3312="","",IFERROR(INDEX(Clay_Offices!$A$2:$FZ$601,461,Sync!$C$5)&amp;"",""))</f>
        <v/>
      </c>
      <c r="E3312" s="17">
        <f>IF(B3312="","",IFERROR(INDEX(Clay_Offices!$A$2:$FZ$601,461,Sync!$C$6)&amp;"",""))</f>
        <v/>
      </c>
      <c r="F3312" s="17">
        <f>IF(B3312="","","outreach_sent")</f>
        <v/>
      </c>
      <c r="G3312" s="17">
        <f>IF(B3312="","","")</f>
        <v/>
      </c>
      <c r="H3312" s="17">
        <f>IF(B3312="","","")</f>
        <v/>
      </c>
      <c r="I3312" s="17">
        <f>IF(B3312="","","")</f>
        <v/>
      </c>
      <c r="J3312" s="17">
        <f>IF(B3312="","","touch_3; "&amp;IFERROR(INDEX(Clay_Offices!$A$2:$FZ$601,461,Sync!$C$10)&amp;"","")&amp;"; "&amp;IFERROR(INDEX(Clay_Offices!$A$2:$FZ$601,461,Sync!$C$9)&amp;"",""))</f>
        <v/>
      </c>
      <c r="K3312" t="inlineStr">
        <is>
          <t>office outreach touch 3</t>
        </is>
      </c>
    </row>
    <row r="3313">
      <c r="A3313" s="17">
        <f>IF(B3313="","",B3313+(14*1000+462)/10000000)</f>
        <v/>
      </c>
      <c r="B3313" s="23">
        <f>IF(AND(IFERROR(N(INDEX(Clay_Offices!$A$2:$FZ$601,462,Sync!$C$13)),0)&gt;0,IFERROR(INDEX(Clay_Offices!$A$2:$FZ$601,462,Sync!$C$5)&amp;"","")&lt;&gt;"",OR(LEFT(IFERROR(INDEX(Clay_Offices!$A$2:$FZ$601,462,Sync!$C$5)&amp;"",""),6)&lt;&gt;"SAMPLE",Config!$B$19="Y")),IFERROR(N(INDEX(Clay_Offices!$A$2:$FZ$601,462,Sync!$C$13)),0),"")</f>
        <v/>
      </c>
      <c r="C3313" s="17">
        <f>IF(B3313="","","office")</f>
        <v/>
      </c>
      <c r="D3313" s="17">
        <f>IF(B3313="","",IFERROR(INDEX(Clay_Offices!$A$2:$FZ$601,462,Sync!$C$5)&amp;"",""))</f>
        <v/>
      </c>
      <c r="E3313" s="17">
        <f>IF(B3313="","",IFERROR(INDEX(Clay_Offices!$A$2:$FZ$601,462,Sync!$C$6)&amp;"",""))</f>
        <v/>
      </c>
      <c r="F3313" s="17">
        <f>IF(B3313="","","outreach_sent")</f>
        <v/>
      </c>
      <c r="G3313" s="17">
        <f>IF(B3313="","","")</f>
        <v/>
      </c>
      <c r="H3313" s="17">
        <f>IF(B3313="","","")</f>
        <v/>
      </c>
      <c r="I3313" s="17">
        <f>IF(B3313="","","")</f>
        <v/>
      </c>
      <c r="J3313" s="17">
        <f>IF(B3313="","","touch_3; "&amp;IFERROR(INDEX(Clay_Offices!$A$2:$FZ$601,462,Sync!$C$10)&amp;"","")&amp;"; "&amp;IFERROR(INDEX(Clay_Offices!$A$2:$FZ$601,462,Sync!$C$9)&amp;"",""))</f>
        <v/>
      </c>
      <c r="K3313" t="inlineStr">
        <is>
          <t>office outreach touch 3</t>
        </is>
      </c>
    </row>
    <row r="3314">
      <c r="A3314" s="17">
        <f>IF(B3314="","",B3314+(14*1000+463)/10000000)</f>
        <v/>
      </c>
      <c r="B3314" s="23">
        <f>IF(AND(IFERROR(N(INDEX(Clay_Offices!$A$2:$FZ$601,463,Sync!$C$13)),0)&gt;0,IFERROR(INDEX(Clay_Offices!$A$2:$FZ$601,463,Sync!$C$5)&amp;"","")&lt;&gt;"",OR(LEFT(IFERROR(INDEX(Clay_Offices!$A$2:$FZ$601,463,Sync!$C$5)&amp;"",""),6)&lt;&gt;"SAMPLE",Config!$B$19="Y")),IFERROR(N(INDEX(Clay_Offices!$A$2:$FZ$601,463,Sync!$C$13)),0),"")</f>
        <v/>
      </c>
      <c r="C3314" s="17">
        <f>IF(B3314="","","office")</f>
        <v/>
      </c>
      <c r="D3314" s="17">
        <f>IF(B3314="","",IFERROR(INDEX(Clay_Offices!$A$2:$FZ$601,463,Sync!$C$5)&amp;"",""))</f>
        <v/>
      </c>
      <c r="E3314" s="17">
        <f>IF(B3314="","",IFERROR(INDEX(Clay_Offices!$A$2:$FZ$601,463,Sync!$C$6)&amp;"",""))</f>
        <v/>
      </c>
      <c r="F3314" s="17">
        <f>IF(B3314="","","outreach_sent")</f>
        <v/>
      </c>
      <c r="G3314" s="17">
        <f>IF(B3314="","","")</f>
        <v/>
      </c>
      <c r="H3314" s="17">
        <f>IF(B3314="","","")</f>
        <v/>
      </c>
      <c r="I3314" s="17">
        <f>IF(B3314="","","")</f>
        <v/>
      </c>
      <c r="J3314" s="17">
        <f>IF(B3314="","","touch_3; "&amp;IFERROR(INDEX(Clay_Offices!$A$2:$FZ$601,463,Sync!$C$10)&amp;"","")&amp;"; "&amp;IFERROR(INDEX(Clay_Offices!$A$2:$FZ$601,463,Sync!$C$9)&amp;"",""))</f>
        <v/>
      </c>
      <c r="K3314" t="inlineStr">
        <is>
          <t>office outreach touch 3</t>
        </is>
      </c>
    </row>
    <row r="3315">
      <c r="A3315" s="17">
        <f>IF(B3315="","",B3315+(14*1000+464)/10000000)</f>
        <v/>
      </c>
      <c r="B3315" s="23">
        <f>IF(AND(IFERROR(N(INDEX(Clay_Offices!$A$2:$FZ$601,464,Sync!$C$13)),0)&gt;0,IFERROR(INDEX(Clay_Offices!$A$2:$FZ$601,464,Sync!$C$5)&amp;"","")&lt;&gt;"",OR(LEFT(IFERROR(INDEX(Clay_Offices!$A$2:$FZ$601,464,Sync!$C$5)&amp;"",""),6)&lt;&gt;"SAMPLE",Config!$B$19="Y")),IFERROR(N(INDEX(Clay_Offices!$A$2:$FZ$601,464,Sync!$C$13)),0),"")</f>
        <v/>
      </c>
      <c r="C3315" s="17">
        <f>IF(B3315="","","office")</f>
        <v/>
      </c>
      <c r="D3315" s="17">
        <f>IF(B3315="","",IFERROR(INDEX(Clay_Offices!$A$2:$FZ$601,464,Sync!$C$5)&amp;"",""))</f>
        <v/>
      </c>
      <c r="E3315" s="17">
        <f>IF(B3315="","",IFERROR(INDEX(Clay_Offices!$A$2:$FZ$601,464,Sync!$C$6)&amp;"",""))</f>
        <v/>
      </c>
      <c r="F3315" s="17">
        <f>IF(B3315="","","outreach_sent")</f>
        <v/>
      </c>
      <c r="G3315" s="17">
        <f>IF(B3315="","","")</f>
        <v/>
      </c>
      <c r="H3315" s="17">
        <f>IF(B3315="","","")</f>
        <v/>
      </c>
      <c r="I3315" s="17">
        <f>IF(B3315="","","")</f>
        <v/>
      </c>
      <c r="J3315" s="17">
        <f>IF(B3315="","","touch_3; "&amp;IFERROR(INDEX(Clay_Offices!$A$2:$FZ$601,464,Sync!$C$10)&amp;"","")&amp;"; "&amp;IFERROR(INDEX(Clay_Offices!$A$2:$FZ$601,464,Sync!$C$9)&amp;"",""))</f>
        <v/>
      </c>
      <c r="K3315" t="inlineStr">
        <is>
          <t>office outreach touch 3</t>
        </is>
      </c>
    </row>
    <row r="3316">
      <c r="A3316" s="17">
        <f>IF(B3316="","",B3316+(14*1000+465)/10000000)</f>
        <v/>
      </c>
      <c r="B3316" s="23">
        <f>IF(AND(IFERROR(N(INDEX(Clay_Offices!$A$2:$FZ$601,465,Sync!$C$13)),0)&gt;0,IFERROR(INDEX(Clay_Offices!$A$2:$FZ$601,465,Sync!$C$5)&amp;"","")&lt;&gt;"",OR(LEFT(IFERROR(INDEX(Clay_Offices!$A$2:$FZ$601,465,Sync!$C$5)&amp;"",""),6)&lt;&gt;"SAMPLE",Config!$B$19="Y")),IFERROR(N(INDEX(Clay_Offices!$A$2:$FZ$601,465,Sync!$C$13)),0),"")</f>
        <v/>
      </c>
      <c r="C3316" s="17">
        <f>IF(B3316="","","office")</f>
        <v/>
      </c>
      <c r="D3316" s="17">
        <f>IF(B3316="","",IFERROR(INDEX(Clay_Offices!$A$2:$FZ$601,465,Sync!$C$5)&amp;"",""))</f>
        <v/>
      </c>
      <c r="E3316" s="17">
        <f>IF(B3316="","",IFERROR(INDEX(Clay_Offices!$A$2:$FZ$601,465,Sync!$C$6)&amp;"",""))</f>
        <v/>
      </c>
      <c r="F3316" s="17">
        <f>IF(B3316="","","outreach_sent")</f>
        <v/>
      </c>
      <c r="G3316" s="17">
        <f>IF(B3316="","","")</f>
        <v/>
      </c>
      <c r="H3316" s="17">
        <f>IF(B3316="","","")</f>
        <v/>
      </c>
      <c r="I3316" s="17">
        <f>IF(B3316="","","")</f>
        <v/>
      </c>
      <c r="J3316" s="17">
        <f>IF(B3316="","","touch_3; "&amp;IFERROR(INDEX(Clay_Offices!$A$2:$FZ$601,465,Sync!$C$10)&amp;"","")&amp;"; "&amp;IFERROR(INDEX(Clay_Offices!$A$2:$FZ$601,465,Sync!$C$9)&amp;"",""))</f>
        <v/>
      </c>
      <c r="K3316" t="inlineStr">
        <is>
          <t>office outreach touch 3</t>
        </is>
      </c>
    </row>
    <row r="3317">
      <c r="A3317" s="17">
        <f>IF(B3317="","",B3317+(14*1000+466)/10000000)</f>
        <v/>
      </c>
      <c r="B3317" s="23">
        <f>IF(AND(IFERROR(N(INDEX(Clay_Offices!$A$2:$FZ$601,466,Sync!$C$13)),0)&gt;0,IFERROR(INDEX(Clay_Offices!$A$2:$FZ$601,466,Sync!$C$5)&amp;"","")&lt;&gt;"",OR(LEFT(IFERROR(INDEX(Clay_Offices!$A$2:$FZ$601,466,Sync!$C$5)&amp;"",""),6)&lt;&gt;"SAMPLE",Config!$B$19="Y")),IFERROR(N(INDEX(Clay_Offices!$A$2:$FZ$601,466,Sync!$C$13)),0),"")</f>
        <v/>
      </c>
      <c r="C3317" s="17">
        <f>IF(B3317="","","office")</f>
        <v/>
      </c>
      <c r="D3317" s="17">
        <f>IF(B3317="","",IFERROR(INDEX(Clay_Offices!$A$2:$FZ$601,466,Sync!$C$5)&amp;"",""))</f>
        <v/>
      </c>
      <c r="E3317" s="17">
        <f>IF(B3317="","",IFERROR(INDEX(Clay_Offices!$A$2:$FZ$601,466,Sync!$C$6)&amp;"",""))</f>
        <v/>
      </c>
      <c r="F3317" s="17">
        <f>IF(B3317="","","outreach_sent")</f>
        <v/>
      </c>
      <c r="G3317" s="17">
        <f>IF(B3317="","","")</f>
        <v/>
      </c>
      <c r="H3317" s="17">
        <f>IF(B3317="","","")</f>
        <v/>
      </c>
      <c r="I3317" s="17">
        <f>IF(B3317="","","")</f>
        <v/>
      </c>
      <c r="J3317" s="17">
        <f>IF(B3317="","","touch_3; "&amp;IFERROR(INDEX(Clay_Offices!$A$2:$FZ$601,466,Sync!$C$10)&amp;"","")&amp;"; "&amp;IFERROR(INDEX(Clay_Offices!$A$2:$FZ$601,466,Sync!$C$9)&amp;"",""))</f>
        <v/>
      </c>
      <c r="K3317" t="inlineStr">
        <is>
          <t>office outreach touch 3</t>
        </is>
      </c>
    </row>
    <row r="3318">
      <c r="A3318" s="17">
        <f>IF(B3318="","",B3318+(14*1000+467)/10000000)</f>
        <v/>
      </c>
      <c r="B3318" s="23">
        <f>IF(AND(IFERROR(N(INDEX(Clay_Offices!$A$2:$FZ$601,467,Sync!$C$13)),0)&gt;0,IFERROR(INDEX(Clay_Offices!$A$2:$FZ$601,467,Sync!$C$5)&amp;"","")&lt;&gt;"",OR(LEFT(IFERROR(INDEX(Clay_Offices!$A$2:$FZ$601,467,Sync!$C$5)&amp;"",""),6)&lt;&gt;"SAMPLE",Config!$B$19="Y")),IFERROR(N(INDEX(Clay_Offices!$A$2:$FZ$601,467,Sync!$C$13)),0),"")</f>
        <v/>
      </c>
      <c r="C3318" s="17">
        <f>IF(B3318="","","office")</f>
        <v/>
      </c>
      <c r="D3318" s="17">
        <f>IF(B3318="","",IFERROR(INDEX(Clay_Offices!$A$2:$FZ$601,467,Sync!$C$5)&amp;"",""))</f>
        <v/>
      </c>
      <c r="E3318" s="17">
        <f>IF(B3318="","",IFERROR(INDEX(Clay_Offices!$A$2:$FZ$601,467,Sync!$C$6)&amp;"",""))</f>
        <v/>
      </c>
      <c r="F3318" s="17">
        <f>IF(B3318="","","outreach_sent")</f>
        <v/>
      </c>
      <c r="G3318" s="17">
        <f>IF(B3318="","","")</f>
        <v/>
      </c>
      <c r="H3318" s="17">
        <f>IF(B3318="","","")</f>
        <v/>
      </c>
      <c r="I3318" s="17">
        <f>IF(B3318="","","")</f>
        <v/>
      </c>
      <c r="J3318" s="17">
        <f>IF(B3318="","","touch_3; "&amp;IFERROR(INDEX(Clay_Offices!$A$2:$FZ$601,467,Sync!$C$10)&amp;"","")&amp;"; "&amp;IFERROR(INDEX(Clay_Offices!$A$2:$FZ$601,467,Sync!$C$9)&amp;"",""))</f>
        <v/>
      </c>
      <c r="K3318" t="inlineStr">
        <is>
          <t>office outreach touch 3</t>
        </is>
      </c>
    </row>
    <row r="3319">
      <c r="A3319" s="17">
        <f>IF(B3319="","",B3319+(14*1000+468)/10000000)</f>
        <v/>
      </c>
      <c r="B3319" s="23">
        <f>IF(AND(IFERROR(N(INDEX(Clay_Offices!$A$2:$FZ$601,468,Sync!$C$13)),0)&gt;0,IFERROR(INDEX(Clay_Offices!$A$2:$FZ$601,468,Sync!$C$5)&amp;"","")&lt;&gt;"",OR(LEFT(IFERROR(INDEX(Clay_Offices!$A$2:$FZ$601,468,Sync!$C$5)&amp;"",""),6)&lt;&gt;"SAMPLE",Config!$B$19="Y")),IFERROR(N(INDEX(Clay_Offices!$A$2:$FZ$601,468,Sync!$C$13)),0),"")</f>
        <v/>
      </c>
      <c r="C3319" s="17">
        <f>IF(B3319="","","office")</f>
        <v/>
      </c>
      <c r="D3319" s="17">
        <f>IF(B3319="","",IFERROR(INDEX(Clay_Offices!$A$2:$FZ$601,468,Sync!$C$5)&amp;"",""))</f>
        <v/>
      </c>
      <c r="E3319" s="17">
        <f>IF(B3319="","",IFERROR(INDEX(Clay_Offices!$A$2:$FZ$601,468,Sync!$C$6)&amp;"",""))</f>
        <v/>
      </c>
      <c r="F3319" s="17">
        <f>IF(B3319="","","outreach_sent")</f>
        <v/>
      </c>
      <c r="G3319" s="17">
        <f>IF(B3319="","","")</f>
        <v/>
      </c>
      <c r="H3319" s="17">
        <f>IF(B3319="","","")</f>
        <v/>
      </c>
      <c r="I3319" s="17">
        <f>IF(B3319="","","")</f>
        <v/>
      </c>
      <c r="J3319" s="17">
        <f>IF(B3319="","","touch_3; "&amp;IFERROR(INDEX(Clay_Offices!$A$2:$FZ$601,468,Sync!$C$10)&amp;"","")&amp;"; "&amp;IFERROR(INDEX(Clay_Offices!$A$2:$FZ$601,468,Sync!$C$9)&amp;"",""))</f>
        <v/>
      </c>
      <c r="K3319" t="inlineStr">
        <is>
          <t>office outreach touch 3</t>
        </is>
      </c>
    </row>
    <row r="3320">
      <c r="A3320" s="17">
        <f>IF(B3320="","",B3320+(14*1000+469)/10000000)</f>
        <v/>
      </c>
      <c r="B3320" s="23">
        <f>IF(AND(IFERROR(N(INDEX(Clay_Offices!$A$2:$FZ$601,469,Sync!$C$13)),0)&gt;0,IFERROR(INDEX(Clay_Offices!$A$2:$FZ$601,469,Sync!$C$5)&amp;"","")&lt;&gt;"",OR(LEFT(IFERROR(INDEX(Clay_Offices!$A$2:$FZ$601,469,Sync!$C$5)&amp;"",""),6)&lt;&gt;"SAMPLE",Config!$B$19="Y")),IFERROR(N(INDEX(Clay_Offices!$A$2:$FZ$601,469,Sync!$C$13)),0),"")</f>
        <v/>
      </c>
      <c r="C3320" s="17">
        <f>IF(B3320="","","office")</f>
        <v/>
      </c>
      <c r="D3320" s="17">
        <f>IF(B3320="","",IFERROR(INDEX(Clay_Offices!$A$2:$FZ$601,469,Sync!$C$5)&amp;"",""))</f>
        <v/>
      </c>
      <c r="E3320" s="17">
        <f>IF(B3320="","",IFERROR(INDEX(Clay_Offices!$A$2:$FZ$601,469,Sync!$C$6)&amp;"",""))</f>
        <v/>
      </c>
      <c r="F3320" s="17">
        <f>IF(B3320="","","outreach_sent")</f>
        <v/>
      </c>
      <c r="G3320" s="17">
        <f>IF(B3320="","","")</f>
        <v/>
      </c>
      <c r="H3320" s="17">
        <f>IF(B3320="","","")</f>
        <v/>
      </c>
      <c r="I3320" s="17">
        <f>IF(B3320="","","")</f>
        <v/>
      </c>
      <c r="J3320" s="17">
        <f>IF(B3320="","","touch_3; "&amp;IFERROR(INDEX(Clay_Offices!$A$2:$FZ$601,469,Sync!$C$10)&amp;"","")&amp;"; "&amp;IFERROR(INDEX(Clay_Offices!$A$2:$FZ$601,469,Sync!$C$9)&amp;"",""))</f>
        <v/>
      </c>
      <c r="K3320" t="inlineStr">
        <is>
          <t>office outreach touch 3</t>
        </is>
      </c>
    </row>
    <row r="3321">
      <c r="A3321" s="17">
        <f>IF(B3321="","",B3321+(14*1000+470)/10000000)</f>
        <v/>
      </c>
      <c r="B3321" s="23">
        <f>IF(AND(IFERROR(N(INDEX(Clay_Offices!$A$2:$FZ$601,470,Sync!$C$13)),0)&gt;0,IFERROR(INDEX(Clay_Offices!$A$2:$FZ$601,470,Sync!$C$5)&amp;"","")&lt;&gt;"",OR(LEFT(IFERROR(INDEX(Clay_Offices!$A$2:$FZ$601,470,Sync!$C$5)&amp;"",""),6)&lt;&gt;"SAMPLE",Config!$B$19="Y")),IFERROR(N(INDEX(Clay_Offices!$A$2:$FZ$601,470,Sync!$C$13)),0),"")</f>
        <v/>
      </c>
      <c r="C3321" s="17">
        <f>IF(B3321="","","office")</f>
        <v/>
      </c>
      <c r="D3321" s="17">
        <f>IF(B3321="","",IFERROR(INDEX(Clay_Offices!$A$2:$FZ$601,470,Sync!$C$5)&amp;"",""))</f>
        <v/>
      </c>
      <c r="E3321" s="17">
        <f>IF(B3321="","",IFERROR(INDEX(Clay_Offices!$A$2:$FZ$601,470,Sync!$C$6)&amp;"",""))</f>
        <v/>
      </c>
      <c r="F3321" s="17">
        <f>IF(B3321="","","outreach_sent")</f>
        <v/>
      </c>
      <c r="G3321" s="17">
        <f>IF(B3321="","","")</f>
        <v/>
      </c>
      <c r="H3321" s="17">
        <f>IF(B3321="","","")</f>
        <v/>
      </c>
      <c r="I3321" s="17">
        <f>IF(B3321="","","")</f>
        <v/>
      </c>
      <c r="J3321" s="17">
        <f>IF(B3321="","","touch_3; "&amp;IFERROR(INDEX(Clay_Offices!$A$2:$FZ$601,470,Sync!$C$10)&amp;"","")&amp;"; "&amp;IFERROR(INDEX(Clay_Offices!$A$2:$FZ$601,470,Sync!$C$9)&amp;"",""))</f>
        <v/>
      </c>
      <c r="K3321" t="inlineStr">
        <is>
          <t>office outreach touch 3</t>
        </is>
      </c>
    </row>
    <row r="3322">
      <c r="A3322" s="17">
        <f>IF(B3322="","",B3322+(14*1000+471)/10000000)</f>
        <v/>
      </c>
      <c r="B3322" s="23">
        <f>IF(AND(IFERROR(N(INDEX(Clay_Offices!$A$2:$FZ$601,471,Sync!$C$13)),0)&gt;0,IFERROR(INDEX(Clay_Offices!$A$2:$FZ$601,471,Sync!$C$5)&amp;"","")&lt;&gt;"",OR(LEFT(IFERROR(INDEX(Clay_Offices!$A$2:$FZ$601,471,Sync!$C$5)&amp;"",""),6)&lt;&gt;"SAMPLE",Config!$B$19="Y")),IFERROR(N(INDEX(Clay_Offices!$A$2:$FZ$601,471,Sync!$C$13)),0),"")</f>
        <v/>
      </c>
      <c r="C3322" s="17">
        <f>IF(B3322="","","office")</f>
        <v/>
      </c>
      <c r="D3322" s="17">
        <f>IF(B3322="","",IFERROR(INDEX(Clay_Offices!$A$2:$FZ$601,471,Sync!$C$5)&amp;"",""))</f>
        <v/>
      </c>
      <c r="E3322" s="17">
        <f>IF(B3322="","",IFERROR(INDEX(Clay_Offices!$A$2:$FZ$601,471,Sync!$C$6)&amp;"",""))</f>
        <v/>
      </c>
      <c r="F3322" s="17">
        <f>IF(B3322="","","outreach_sent")</f>
        <v/>
      </c>
      <c r="G3322" s="17">
        <f>IF(B3322="","","")</f>
        <v/>
      </c>
      <c r="H3322" s="17">
        <f>IF(B3322="","","")</f>
        <v/>
      </c>
      <c r="I3322" s="17">
        <f>IF(B3322="","","")</f>
        <v/>
      </c>
      <c r="J3322" s="17">
        <f>IF(B3322="","","touch_3; "&amp;IFERROR(INDEX(Clay_Offices!$A$2:$FZ$601,471,Sync!$C$10)&amp;"","")&amp;"; "&amp;IFERROR(INDEX(Clay_Offices!$A$2:$FZ$601,471,Sync!$C$9)&amp;"",""))</f>
        <v/>
      </c>
      <c r="K3322" t="inlineStr">
        <is>
          <t>office outreach touch 3</t>
        </is>
      </c>
    </row>
    <row r="3323">
      <c r="A3323" s="17">
        <f>IF(B3323="","",B3323+(14*1000+472)/10000000)</f>
        <v/>
      </c>
      <c r="B3323" s="23">
        <f>IF(AND(IFERROR(N(INDEX(Clay_Offices!$A$2:$FZ$601,472,Sync!$C$13)),0)&gt;0,IFERROR(INDEX(Clay_Offices!$A$2:$FZ$601,472,Sync!$C$5)&amp;"","")&lt;&gt;"",OR(LEFT(IFERROR(INDEX(Clay_Offices!$A$2:$FZ$601,472,Sync!$C$5)&amp;"",""),6)&lt;&gt;"SAMPLE",Config!$B$19="Y")),IFERROR(N(INDEX(Clay_Offices!$A$2:$FZ$601,472,Sync!$C$13)),0),"")</f>
        <v/>
      </c>
      <c r="C3323" s="17">
        <f>IF(B3323="","","office")</f>
        <v/>
      </c>
      <c r="D3323" s="17">
        <f>IF(B3323="","",IFERROR(INDEX(Clay_Offices!$A$2:$FZ$601,472,Sync!$C$5)&amp;"",""))</f>
        <v/>
      </c>
      <c r="E3323" s="17">
        <f>IF(B3323="","",IFERROR(INDEX(Clay_Offices!$A$2:$FZ$601,472,Sync!$C$6)&amp;"",""))</f>
        <v/>
      </c>
      <c r="F3323" s="17">
        <f>IF(B3323="","","outreach_sent")</f>
        <v/>
      </c>
      <c r="G3323" s="17">
        <f>IF(B3323="","","")</f>
        <v/>
      </c>
      <c r="H3323" s="17">
        <f>IF(B3323="","","")</f>
        <v/>
      </c>
      <c r="I3323" s="17">
        <f>IF(B3323="","","")</f>
        <v/>
      </c>
      <c r="J3323" s="17">
        <f>IF(B3323="","","touch_3; "&amp;IFERROR(INDEX(Clay_Offices!$A$2:$FZ$601,472,Sync!$C$10)&amp;"","")&amp;"; "&amp;IFERROR(INDEX(Clay_Offices!$A$2:$FZ$601,472,Sync!$C$9)&amp;"",""))</f>
        <v/>
      </c>
      <c r="K3323" t="inlineStr">
        <is>
          <t>office outreach touch 3</t>
        </is>
      </c>
    </row>
    <row r="3324">
      <c r="A3324" s="17">
        <f>IF(B3324="","",B3324+(14*1000+473)/10000000)</f>
        <v/>
      </c>
      <c r="B3324" s="23">
        <f>IF(AND(IFERROR(N(INDEX(Clay_Offices!$A$2:$FZ$601,473,Sync!$C$13)),0)&gt;0,IFERROR(INDEX(Clay_Offices!$A$2:$FZ$601,473,Sync!$C$5)&amp;"","")&lt;&gt;"",OR(LEFT(IFERROR(INDEX(Clay_Offices!$A$2:$FZ$601,473,Sync!$C$5)&amp;"",""),6)&lt;&gt;"SAMPLE",Config!$B$19="Y")),IFERROR(N(INDEX(Clay_Offices!$A$2:$FZ$601,473,Sync!$C$13)),0),"")</f>
        <v/>
      </c>
      <c r="C3324" s="17">
        <f>IF(B3324="","","office")</f>
        <v/>
      </c>
      <c r="D3324" s="17">
        <f>IF(B3324="","",IFERROR(INDEX(Clay_Offices!$A$2:$FZ$601,473,Sync!$C$5)&amp;"",""))</f>
        <v/>
      </c>
      <c r="E3324" s="17">
        <f>IF(B3324="","",IFERROR(INDEX(Clay_Offices!$A$2:$FZ$601,473,Sync!$C$6)&amp;"",""))</f>
        <v/>
      </c>
      <c r="F3324" s="17">
        <f>IF(B3324="","","outreach_sent")</f>
        <v/>
      </c>
      <c r="G3324" s="17">
        <f>IF(B3324="","","")</f>
        <v/>
      </c>
      <c r="H3324" s="17">
        <f>IF(B3324="","","")</f>
        <v/>
      </c>
      <c r="I3324" s="17">
        <f>IF(B3324="","","")</f>
        <v/>
      </c>
      <c r="J3324" s="17">
        <f>IF(B3324="","","touch_3; "&amp;IFERROR(INDEX(Clay_Offices!$A$2:$FZ$601,473,Sync!$C$10)&amp;"","")&amp;"; "&amp;IFERROR(INDEX(Clay_Offices!$A$2:$FZ$601,473,Sync!$C$9)&amp;"",""))</f>
        <v/>
      </c>
      <c r="K3324" t="inlineStr">
        <is>
          <t>office outreach touch 3</t>
        </is>
      </c>
    </row>
    <row r="3325">
      <c r="A3325" s="17">
        <f>IF(B3325="","",B3325+(14*1000+474)/10000000)</f>
        <v/>
      </c>
      <c r="B3325" s="23">
        <f>IF(AND(IFERROR(N(INDEX(Clay_Offices!$A$2:$FZ$601,474,Sync!$C$13)),0)&gt;0,IFERROR(INDEX(Clay_Offices!$A$2:$FZ$601,474,Sync!$C$5)&amp;"","")&lt;&gt;"",OR(LEFT(IFERROR(INDEX(Clay_Offices!$A$2:$FZ$601,474,Sync!$C$5)&amp;"",""),6)&lt;&gt;"SAMPLE",Config!$B$19="Y")),IFERROR(N(INDEX(Clay_Offices!$A$2:$FZ$601,474,Sync!$C$13)),0),"")</f>
        <v/>
      </c>
      <c r="C3325" s="17">
        <f>IF(B3325="","","office")</f>
        <v/>
      </c>
      <c r="D3325" s="17">
        <f>IF(B3325="","",IFERROR(INDEX(Clay_Offices!$A$2:$FZ$601,474,Sync!$C$5)&amp;"",""))</f>
        <v/>
      </c>
      <c r="E3325" s="17">
        <f>IF(B3325="","",IFERROR(INDEX(Clay_Offices!$A$2:$FZ$601,474,Sync!$C$6)&amp;"",""))</f>
        <v/>
      </c>
      <c r="F3325" s="17">
        <f>IF(B3325="","","outreach_sent")</f>
        <v/>
      </c>
      <c r="G3325" s="17">
        <f>IF(B3325="","","")</f>
        <v/>
      </c>
      <c r="H3325" s="17">
        <f>IF(B3325="","","")</f>
        <v/>
      </c>
      <c r="I3325" s="17">
        <f>IF(B3325="","","")</f>
        <v/>
      </c>
      <c r="J3325" s="17">
        <f>IF(B3325="","","touch_3; "&amp;IFERROR(INDEX(Clay_Offices!$A$2:$FZ$601,474,Sync!$C$10)&amp;"","")&amp;"; "&amp;IFERROR(INDEX(Clay_Offices!$A$2:$FZ$601,474,Sync!$C$9)&amp;"",""))</f>
        <v/>
      </c>
      <c r="K3325" t="inlineStr">
        <is>
          <t>office outreach touch 3</t>
        </is>
      </c>
    </row>
    <row r="3326">
      <c r="A3326" s="17">
        <f>IF(B3326="","",B3326+(14*1000+475)/10000000)</f>
        <v/>
      </c>
      <c r="B3326" s="23">
        <f>IF(AND(IFERROR(N(INDEX(Clay_Offices!$A$2:$FZ$601,475,Sync!$C$13)),0)&gt;0,IFERROR(INDEX(Clay_Offices!$A$2:$FZ$601,475,Sync!$C$5)&amp;"","")&lt;&gt;"",OR(LEFT(IFERROR(INDEX(Clay_Offices!$A$2:$FZ$601,475,Sync!$C$5)&amp;"",""),6)&lt;&gt;"SAMPLE",Config!$B$19="Y")),IFERROR(N(INDEX(Clay_Offices!$A$2:$FZ$601,475,Sync!$C$13)),0),"")</f>
        <v/>
      </c>
      <c r="C3326" s="17">
        <f>IF(B3326="","","office")</f>
        <v/>
      </c>
      <c r="D3326" s="17">
        <f>IF(B3326="","",IFERROR(INDEX(Clay_Offices!$A$2:$FZ$601,475,Sync!$C$5)&amp;"",""))</f>
        <v/>
      </c>
      <c r="E3326" s="17">
        <f>IF(B3326="","",IFERROR(INDEX(Clay_Offices!$A$2:$FZ$601,475,Sync!$C$6)&amp;"",""))</f>
        <v/>
      </c>
      <c r="F3326" s="17">
        <f>IF(B3326="","","outreach_sent")</f>
        <v/>
      </c>
      <c r="G3326" s="17">
        <f>IF(B3326="","","")</f>
        <v/>
      </c>
      <c r="H3326" s="17">
        <f>IF(B3326="","","")</f>
        <v/>
      </c>
      <c r="I3326" s="17">
        <f>IF(B3326="","","")</f>
        <v/>
      </c>
      <c r="J3326" s="17">
        <f>IF(B3326="","","touch_3; "&amp;IFERROR(INDEX(Clay_Offices!$A$2:$FZ$601,475,Sync!$C$10)&amp;"","")&amp;"; "&amp;IFERROR(INDEX(Clay_Offices!$A$2:$FZ$601,475,Sync!$C$9)&amp;"",""))</f>
        <v/>
      </c>
      <c r="K3326" t="inlineStr">
        <is>
          <t>office outreach touch 3</t>
        </is>
      </c>
    </row>
    <row r="3327">
      <c r="A3327" s="17">
        <f>IF(B3327="","",B3327+(14*1000+476)/10000000)</f>
        <v/>
      </c>
      <c r="B3327" s="23">
        <f>IF(AND(IFERROR(N(INDEX(Clay_Offices!$A$2:$FZ$601,476,Sync!$C$13)),0)&gt;0,IFERROR(INDEX(Clay_Offices!$A$2:$FZ$601,476,Sync!$C$5)&amp;"","")&lt;&gt;"",OR(LEFT(IFERROR(INDEX(Clay_Offices!$A$2:$FZ$601,476,Sync!$C$5)&amp;"",""),6)&lt;&gt;"SAMPLE",Config!$B$19="Y")),IFERROR(N(INDEX(Clay_Offices!$A$2:$FZ$601,476,Sync!$C$13)),0),"")</f>
        <v/>
      </c>
      <c r="C3327" s="17">
        <f>IF(B3327="","","office")</f>
        <v/>
      </c>
      <c r="D3327" s="17">
        <f>IF(B3327="","",IFERROR(INDEX(Clay_Offices!$A$2:$FZ$601,476,Sync!$C$5)&amp;"",""))</f>
        <v/>
      </c>
      <c r="E3327" s="17">
        <f>IF(B3327="","",IFERROR(INDEX(Clay_Offices!$A$2:$FZ$601,476,Sync!$C$6)&amp;"",""))</f>
        <v/>
      </c>
      <c r="F3327" s="17">
        <f>IF(B3327="","","outreach_sent")</f>
        <v/>
      </c>
      <c r="G3327" s="17">
        <f>IF(B3327="","","")</f>
        <v/>
      </c>
      <c r="H3327" s="17">
        <f>IF(B3327="","","")</f>
        <v/>
      </c>
      <c r="I3327" s="17">
        <f>IF(B3327="","","")</f>
        <v/>
      </c>
      <c r="J3327" s="17">
        <f>IF(B3327="","","touch_3; "&amp;IFERROR(INDEX(Clay_Offices!$A$2:$FZ$601,476,Sync!$C$10)&amp;"","")&amp;"; "&amp;IFERROR(INDEX(Clay_Offices!$A$2:$FZ$601,476,Sync!$C$9)&amp;"",""))</f>
        <v/>
      </c>
      <c r="K3327" t="inlineStr">
        <is>
          <t>office outreach touch 3</t>
        </is>
      </c>
    </row>
    <row r="3328">
      <c r="A3328" s="17">
        <f>IF(B3328="","",B3328+(14*1000+477)/10000000)</f>
        <v/>
      </c>
      <c r="B3328" s="23">
        <f>IF(AND(IFERROR(N(INDEX(Clay_Offices!$A$2:$FZ$601,477,Sync!$C$13)),0)&gt;0,IFERROR(INDEX(Clay_Offices!$A$2:$FZ$601,477,Sync!$C$5)&amp;"","")&lt;&gt;"",OR(LEFT(IFERROR(INDEX(Clay_Offices!$A$2:$FZ$601,477,Sync!$C$5)&amp;"",""),6)&lt;&gt;"SAMPLE",Config!$B$19="Y")),IFERROR(N(INDEX(Clay_Offices!$A$2:$FZ$601,477,Sync!$C$13)),0),"")</f>
        <v/>
      </c>
      <c r="C3328" s="17">
        <f>IF(B3328="","","office")</f>
        <v/>
      </c>
      <c r="D3328" s="17">
        <f>IF(B3328="","",IFERROR(INDEX(Clay_Offices!$A$2:$FZ$601,477,Sync!$C$5)&amp;"",""))</f>
        <v/>
      </c>
      <c r="E3328" s="17">
        <f>IF(B3328="","",IFERROR(INDEX(Clay_Offices!$A$2:$FZ$601,477,Sync!$C$6)&amp;"",""))</f>
        <v/>
      </c>
      <c r="F3328" s="17">
        <f>IF(B3328="","","outreach_sent")</f>
        <v/>
      </c>
      <c r="G3328" s="17">
        <f>IF(B3328="","","")</f>
        <v/>
      </c>
      <c r="H3328" s="17">
        <f>IF(B3328="","","")</f>
        <v/>
      </c>
      <c r="I3328" s="17">
        <f>IF(B3328="","","")</f>
        <v/>
      </c>
      <c r="J3328" s="17">
        <f>IF(B3328="","","touch_3; "&amp;IFERROR(INDEX(Clay_Offices!$A$2:$FZ$601,477,Sync!$C$10)&amp;"","")&amp;"; "&amp;IFERROR(INDEX(Clay_Offices!$A$2:$FZ$601,477,Sync!$C$9)&amp;"",""))</f>
        <v/>
      </c>
      <c r="K3328" t="inlineStr">
        <is>
          <t>office outreach touch 3</t>
        </is>
      </c>
    </row>
    <row r="3329">
      <c r="A3329" s="17">
        <f>IF(B3329="","",B3329+(14*1000+478)/10000000)</f>
        <v/>
      </c>
      <c r="B3329" s="23">
        <f>IF(AND(IFERROR(N(INDEX(Clay_Offices!$A$2:$FZ$601,478,Sync!$C$13)),0)&gt;0,IFERROR(INDEX(Clay_Offices!$A$2:$FZ$601,478,Sync!$C$5)&amp;"","")&lt;&gt;"",OR(LEFT(IFERROR(INDEX(Clay_Offices!$A$2:$FZ$601,478,Sync!$C$5)&amp;"",""),6)&lt;&gt;"SAMPLE",Config!$B$19="Y")),IFERROR(N(INDEX(Clay_Offices!$A$2:$FZ$601,478,Sync!$C$13)),0),"")</f>
        <v/>
      </c>
      <c r="C3329" s="17">
        <f>IF(B3329="","","office")</f>
        <v/>
      </c>
      <c r="D3329" s="17">
        <f>IF(B3329="","",IFERROR(INDEX(Clay_Offices!$A$2:$FZ$601,478,Sync!$C$5)&amp;"",""))</f>
        <v/>
      </c>
      <c r="E3329" s="17">
        <f>IF(B3329="","",IFERROR(INDEX(Clay_Offices!$A$2:$FZ$601,478,Sync!$C$6)&amp;"",""))</f>
        <v/>
      </c>
      <c r="F3329" s="17">
        <f>IF(B3329="","","outreach_sent")</f>
        <v/>
      </c>
      <c r="G3329" s="17">
        <f>IF(B3329="","","")</f>
        <v/>
      </c>
      <c r="H3329" s="17">
        <f>IF(B3329="","","")</f>
        <v/>
      </c>
      <c r="I3329" s="17">
        <f>IF(B3329="","","")</f>
        <v/>
      </c>
      <c r="J3329" s="17">
        <f>IF(B3329="","","touch_3; "&amp;IFERROR(INDEX(Clay_Offices!$A$2:$FZ$601,478,Sync!$C$10)&amp;"","")&amp;"; "&amp;IFERROR(INDEX(Clay_Offices!$A$2:$FZ$601,478,Sync!$C$9)&amp;"",""))</f>
        <v/>
      </c>
      <c r="K3329" t="inlineStr">
        <is>
          <t>office outreach touch 3</t>
        </is>
      </c>
    </row>
    <row r="3330">
      <c r="A3330" s="17">
        <f>IF(B3330="","",B3330+(14*1000+479)/10000000)</f>
        <v/>
      </c>
      <c r="B3330" s="23">
        <f>IF(AND(IFERROR(N(INDEX(Clay_Offices!$A$2:$FZ$601,479,Sync!$C$13)),0)&gt;0,IFERROR(INDEX(Clay_Offices!$A$2:$FZ$601,479,Sync!$C$5)&amp;"","")&lt;&gt;"",OR(LEFT(IFERROR(INDEX(Clay_Offices!$A$2:$FZ$601,479,Sync!$C$5)&amp;"",""),6)&lt;&gt;"SAMPLE",Config!$B$19="Y")),IFERROR(N(INDEX(Clay_Offices!$A$2:$FZ$601,479,Sync!$C$13)),0),"")</f>
        <v/>
      </c>
      <c r="C3330" s="17">
        <f>IF(B3330="","","office")</f>
        <v/>
      </c>
      <c r="D3330" s="17">
        <f>IF(B3330="","",IFERROR(INDEX(Clay_Offices!$A$2:$FZ$601,479,Sync!$C$5)&amp;"",""))</f>
        <v/>
      </c>
      <c r="E3330" s="17">
        <f>IF(B3330="","",IFERROR(INDEX(Clay_Offices!$A$2:$FZ$601,479,Sync!$C$6)&amp;"",""))</f>
        <v/>
      </c>
      <c r="F3330" s="17">
        <f>IF(B3330="","","outreach_sent")</f>
        <v/>
      </c>
      <c r="G3330" s="17">
        <f>IF(B3330="","","")</f>
        <v/>
      </c>
      <c r="H3330" s="17">
        <f>IF(B3330="","","")</f>
        <v/>
      </c>
      <c r="I3330" s="17">
        <f>IF(B3330="","","")</f>
        <v/>
      </c>
      <c r="J3330" s="17">
        <f>IF(B3330="","","touch_3; "&amp;IFERROR(INDEX(Clay_Offices!$A$2:$FZ$601,479,Sync!$C$10)&amp;"","")&amp;"; "&amp;IFERROR(INDEX(Clay_Offices!$A$2:$FZ$601,479,Sync!$C$9)&amp;"",""))</f>
        <v/>
      </c>
      <c r="K3330" t="inlineStr">
        <is>
          <t>office outreach touch 3</t>
        </is>
      </c>
    </row>
    <row r="3331">
      <c r="A3331" s="17">
        <f>IF(B3331="","",B3331+(14*1000+480)/10000000)</f>
        <v/>
      </c>
      <c r="B3331" s="23">
        <f>IF(AND(IFERROR(N(INDEX(Clay_Offices!$A$2:$FZ$601,480,Sync!$C$13)),0)&gt;0,IFERROR(INDEX(Clay_Offices!$A$2:$FZ$601,480,Sync!$C$5)&amp;"","")&lt;&gt;"",OR(LEFT(IFERROR(INDEX(Clay_Offices!$A$2:$FZ$601,480,Sync!$C$5)&amp;"",""),6)&lt;&gt;"SAMPLE",Config!$B$19="Y")),IFERROR(N(INDEX(Clay_Offices!$A$2:$FZ$601,480,Sync!$C$13)),0),"")</f>
        <v/>
      </c>
      <c r="C3331" s="17">
        <f>IF(B3331="","","office")</f>
        <v/>
      </c>
      <c r="D3331" s="17">
        <f>IF(B3331="","",IFERROR(INDEX(Clay_Offices!$A$2:$FZ$601,480,Sync!$C$5)&amp;"",""))</f>
        <v/>
      </c>
      <c r="E3331" s="17">
        <f>IF(B3331="","",IFERROR(INDEX(Clay_Offices!$A$2:$FZ$601,480,Sync!$C$6)&amp;"",""))</f>
        <v/>
      </c>
      <c r="F3331" s="17">
        <f>IF(B3331="","","outreach_sent")</f>
        <v/>
      </c>
      <c r="G3331" s="17">
        <f>IF(B3331="","","")</f>
        <v/>
      </c>
      <c r="H3331" s="17">
        <f>IF(B3331="","","")</f>
        <v/>
      </c>
      <c r="I3331" s="17">
        <f>IF(B3331="","","")</f>
        <v/>
      </c>
      <c r="J3331" s="17">
        <f>IF(B3331="","","touch_3; "&amp;IFERROR(INDEX(Clay_Offices!$A$2:$FZ$601,480,Sync!$C$10)&amp;"","")&amp;"; "&amp;IFERROR(INDEX(Clay_Offices!$A$2:$FZ$601,480,Sync!$C$9)&amp;"",""))</f>
        <v/>
      </c>
      <c r="K3331" t="inlineStr">
        <is>
          <t>office outreach touch 3</t>
        </is>
      </c>
    </row>
    <row r="3332">
      <c r="A3332" s="17">
        <f>IF(B3332="","",B3332+(14*1000+481)/10000000)</f>
        <v/>
      </c>
      <c r="B3332" s="23">
        <f>IF(AND(IFERROR(N(INDEX(Clay_Offices!$A$2:$FZ$601,481,Sync!$C$13)),0)&gt;0,IFERROR(INDEX(Clay_Offices!$A$2:$FZ$601,481,Sync!$C$5)&amp;"","")&lt;&gt;"",OR(LEFT(IFERROR(INDEX(Clay_Offices!$A$2:$FZ$601,481,Sync!$C$5)&amp;"",""),6)&lt;&gt;"SAMPLE",Config!$B$19="Y")),IFERROR(N(INDEX(Clay_Offices!$A$2:$FZ$601,481,Sync!$C$13)),0),"")</f>
        <v/>
      </c>
      <c r="C3332" s="17">
        <f>IF(B3332="","","office")</f>
        <v/>
      </c>
      <c r="D3332" s="17">
        <f>IF(B3332="","",IFERROR(INDEX(Clay_Offices!$A$2:$FZ$601,481,Sync!$C$5)&amp;"",""))</f>
        <v/>
      </c>
      <c r="E3332" s="17">
        <f>IF(B3332="","",IFERROR(INDEX(Clay_Offices!$A$2:$FZ$601,481,Sync!$C$6)&amp;"",""))</f>
        <v/>
      </c>
      <c r="F3332" s="17">
        <f>IF(B3332="","","outreach_sent")</f>
        <v/>
      </c>
      <c r="G3332" s="17">
        <f>IF(B3332="","","")</f>
        <v/>
      </c>
      <c r="H3332" s="17">
        <f>IF(B3332="","","")</f>
        <v/>
      </c>
      <c r="I3332" s="17">
        <f>IF(B3332="","","")</f>
        <v/>
      </c>
      <c r="J3332" s="17">
        <f>IF(B3332="","","touch_3; "&amp;IFERROR(INDEX(Clay_Offices!$A$2:$FZ$601,481,Sync!$C$10)&amp;"","")&amp;"; "&amp;IFERROR(INDEX(Clay_Offices!$A$2:$FZ$601,481,Sync!$C$9)&amp;"",""))</f>
        <v/>
      </c>
      <c r="K3332" t="inlineStr">
        <is>
          <t>office outreach touch 3</t>
        </is>
      </c>
    </row>
    <row r="3333">
      <c r="A3333" s="17">
        <f>IF(B3333="","",B3333+(14*1000+482)/10000000)</f>
        <v/>
      </c>
      <c r="B3333" s="23">
        <f>IF(AND(IFERROR(N(INDEX(Clay_Offices!$A$2:$FZ$601,482,Sync!$C$13)),0)&gt;0,IFERROR(INDEX(Clay_Offices!$A$2:$FZ$601,482,Sync!$C$5)&amp;"","")&lt;&gt;"",OR(LEFT(IFERROR(INDEX(Clay_Offices!$A$2:$FZ$601,482,Sync!$C$5)&amp;"",""),6)&lt;&gt;"SAMPLE",Config!$B$19="Y")),IFERROR(N(INDEX(Clay_Offices!$A$2:$FZ$601,482,Sync!$C$13)),0),"")</f>
        <v/>
      </c>
      <c r="C3333" s="17">
        <f>IF(B3333="","","office")</f>
        <v/>
      </c>
      <c r="D3333" s="17">
        <f>IF(B3333="","",IFERROR(INDEX(Clay_Offices!$A$2:$FZ$601,482,Sync!$C$5)&amp;"",""))</f>
        <v/>
      </c>
      <c r="E3333" s="17">
        <f>IF(B3333="","",IFERROR(INDEX(Clay_Offices!$A$2:$FZ$601,482,Sync!$C$6)&amp;"",""))</f>
        <v/>
      </c>
      <c r="F3333" s="17">
        <f>IF(B3333="","","outreach_sent")</f>
        <v/>
      </c>
      <c r="G3333" s="17">
        <f>IF(B3333="","","")</f>
        <v/>
      </c>
      <c r="H3333" s="17">
        <f>IF(B3333="","","")</f>
        <v/>
      </c>
      <c r="I3333" s="17">
        <f>IF(B3333="","","")</f>
        <v/>
      </c>
      <c r="J3333" s="17">
        <f>IF(B3333="","","touch_3; "&amp;IFERROR(INDEX(Clay_Offices!$A$2:$FZ$601,482,Sync!$C$10)&amp;"","")&amp;"; "&amp;IFERROR(INDEX(Clay_Offices!$A$2:$FZ$601,482,Sync!$C$9)&amp;"",""))</f>
        <v/>
      </c>
      <c r="K3333" t="inlineStr">
        <is>
          <t>office outreach touch 3</t>
        </is>
      </c>
    </row>
    <row r="3334">
      <c r="A3334" s="17">
        <f>IF(B3334="","",B3334+(14*1000+483)/10000000)</f>
        <v/>
      </c>
      <c r="B3334" s="23">
        <f>IF(AND(IFERROR(N(INDEX(Clay_Offices!$A$2:$FZ$601,483,Sync!$C$13)),0)&gt;0,IFERROR(INDEX(Clay_Offices!$A$2:$FZ$601,483,Sync!$C$5)&amp;"","")&lt;&gt;"",OR(LEFT(IFERROR(INDEX(Clay_Offices!$A$2:$FZ$601,483,Sync!$C$5)&amp;"",""),6)&lt;&gt;"SAMPLE",Config!$B$19="Y")),IFERROR(N(INDEX(Clay_Offices!$A$2:$FZ$601,483,Sync!$C$13)),0),"")</f>
        <v/>
      </c>
      <c r="C3334" s="17">
        <f>IF(B3334="","","office")</f>
        <v/>
      </c>
      <c r="D3334" s="17">
        <f>IF(B3334="","",IFERROR(INDEX(Clay_Offices!$A$2:$FZ$601,483,Sync!$C$5)&amp;"",""))</f>
        <v/>
      </c>
      <c r="E3334" s="17">
        <f>IF(B3334="","",IFERROR(INDEX(Clay_Offices!$A$2:$FZ$601,483,Sync!$C$6)&amp;"",""))</f>
        <v/>
      </c>
      <c r="F3334" s="17">
        <f>IF(B3334="","","outreach_sent")</f>
        <v/>
      </c>
      <c r="G3334" s="17">
        <f>IF(B3334="","","")</f>
        <v/>
      </c>
      <c r="H3334" s="17">
        <f>IF(B3334="","","")</f>
        <v/>
      </c>
      <c r="I3334" s="17">
        <f>IF(B3334="","","")</f>
        <v/>
      </c>
      <c r="J3334" s="17">
        <f>IF(B3334="","","touch_3; "&amp;IFERROR(INDEX(Clay_Offices!$A$2:$FZ$601,483,Sync!$C$10)&amp;"","")&amp;"; "&amp;IFERROR(INDEX(Clay_Offices!$A$2:$FZ$601,483,Sync!$C$9)&amp;"",""))</f>
        <v/>
      </c>
      <c r="K3334" t="inlineStr">
        <is>
          <t>office outreach touch 3</t>
        </is>
      </c>
    </row>
    <row r="3335">
      <c r="A3335" s="17">
        <f>IF(B3335="","",B3335+(14*1000+484)/10000000)</f>
        <v/>
      </c>
      <c r="B3335" s="23">
        <f>IF(AND(IFERROR(N(INDEX(Clay_Offices!$A$2:$FZ$601,484,Sync!$C$13)),0)&gt;0,IFERROR(INDEX(Clay_Offices!$A$2:$FZ$601,484,Sync!$C$5)&amp;"","")&lt;&gt;"",OR(LEFT(IFERROR(INDEX(Clay_Offices!$A$2:$FZ$601,484,Sync!$C$5)&amp;"",""),6)&lt;&gt;"SAMPLE",Config!$B$19="Y")),IFERROR(N(INDEX(Clay_Offices!$A$2:$FZ$601,484,Sync!$C$13)),0),"")</f>
        <v/>
      </c>
      <c r="C3335" s="17">
        <f>IF(B3335="","","office")</f>
        <v/>
      </c>
      <c r="D3335" s="17">
        <f>IF(B3335="","",IFERROR(INDEX(Clay_Offices!$A$2:$FZ$601,484,Sync!$C$5)&amp;"",""))</f>
        <v/>
      </c>
      <c r="E3335" s="17">
        <f>IF(B3335="","",IFERROR(INDEX(Clay_Offices!$A$2:$FZ$601,484,Sync!$C$6)&amp;"",""))</f>
        <v/>
      </c>
      <c r="F3335" s="17">
        <f>IF(B3335="","","outreach_sent")</f>
        <v/>
      </c>
      <c r="G3335" s="17">
        <f>IF(B3335="","","")</f>
        <v/>
      </c>
      <c r="H3335" s="17">
        <f>IF(B3335="","","")</f>
        <v/>
      </c>
      <c r="I3335" s="17">
        <f>IF(B3335="","","")</f>
        <v/>
      </c>
      <c r="J3335" s="17">
        <f>IF(B3335="","","touch_3; "&amp;IFERROR(INDEX(Clay_Offices!$A$2:$FZ$601,484,Sync!$C$10)&amp;"","")&amp;"; "&amp;IFERROR(INDEX(Clay_Offices!$A$2:$FZ$601,484,Sync!$C$9)&amp;"",""))</f>
        <v/>
      </c>
      <c r="K3335" t="inlineStr">
        <is>
          <t>office outreach touch 3</t>
        </is>
      </c>
    </row>
    <row r="3336">
      <c r="A3336" s="17">
        <f>IF(B3336="","",B3336+(14*1000+485)/10000000)</f>
        <v/>
      </c>
      <c r="B3336" s="23">
        <f>IF(AND(IFERROR(N(INDEX(Clay_Offices!$A$2:$FZ$601,485,Sync!$C$13)),0)&gt;0,IFERROR(INDEX(Clay_Offices!$A$2:$FZ$601,485,Sync!$C$5)&amp;"","")&lt;&gt;"",OR(LEFT(IFERROR(INDEX(Clay_Offices!$A$2:$FZ$601,485,Sync!$C$5)&amp;"",""),6)&lt;&gt;"SAMPLE",Config!$B$19="Y")),IFERROR(N(INDEX(Clay_Offices!$A$2:$FZ$601,485,Sync!$C$13)),0),"")</f>
        <v/>
      </c>
      <c r="C3336" s="17">
        <f>IF(B3336="","","office")</f>
        <v/>
      </c>
      <c r="D3336" s="17">
        <f>IF(B3336="","",IFERROR(INDEX(Clay_Offices!$A$2:$FZ$601,485,Sync!$C$5)&amp;"",""))</f>
        <v/>
      </c>
      <c r="E3336" s="17">
        <f>IF(B3336="","",IFERROR(INDEX(Clay_Offices!$A$2:$FZ$601,485,Sync!$C$6)&amp;"",""))</f>
        <v/>
      </c>
      <c r="F3336" s="17">
        <f>IF(B3336="","","outreach_sent")</f>
        <v/>
      </c>
      <c r="G3336" s="17">
        <f>IF(B3336="","","")</f>
        <v/>
      </c>
      <c r="H3336" s="17">
        <f>IF(B3336="","","")</f>
        <v/>
      </c>
      <c r="I3336" s="17">
        <f>IF(B3336="","","")</f>
        <v/>
      </c>
      <c r="J3336" s="17">
        <f>IF(B3336="","","touch_3; "&amp;IFERROR(INDEX(Clay_Offices!$A$2:$FZ$601,485,Sync!$C$10)&amp;"","")&amp;"; "&amp;IFERROR(INDEX(Clay_Offices!$A$2:$FZ$601,485,Sync!$C$9)&amp;"",""))</f>
        <v/>
      </c>
      <c r="K3336" t="inlineStr">
        <is>
          <t>office outreach touch 3</t>
        </is>
      </c>
    </row>
    <row r="3337">
      <c r="A3337" s="17">
        <f>IF(B3337="","",B3337+(14*1000+486)/10000000)</f>
        <v/>
      </c>
      <c r="B3337" s="23">
        <f>IF(AND(IFERROR(N(INDEX(Clay_Offices!$A$2:$FZ$601,486,Sync!$C$13)),0)&gt;0,IFERROR(INDEX(Clay_Offices!$A$2:$FZ$601,486,Sync!$C$5)&amp;"","")&lt;&gt;"",OR(LEFT(IFERROR(INDEX(Clay_Offices!$A$2:$FZ$601,486,Sync!$C$5)&amp;"",""),6)&lt;&gt;"SAMPLE",Config!$B$19="Y")),IFERROR(N(INDEX(Clay_Offices!$A$2:$FZ$601,486,Sync!$C$13)),0),"")</f>
        <v/>
      </c>
      <c r="C3337" s="17">
        <f>IF(B3337="","","office")</f>
        <v/>
      </c>
      <c r="D3337" s="17">
        <f>IF(B3337="","",IFERROR(INDEX(Clay_Offices!$A$2:$FZ$601,486,Sync!$C$5)&amp;"",""))</f>
        <v/>
      </c>
      <c r="E3337" s="17">
        <f>IF(B3337="","",IFERROR(INDEX(Clay_Offices!$A$2:$FZ$601,486,Sync!$C$6)&amp;"",""))</f>
        <v/>
      </c>
      <c r="F3337" s="17">
        <f>IF(B3337="","","outreach_sent")</f>
        <v/>
      </c>
      <c r="G3337" s="17">
        <f>IF(B3337="","","")</f>
        <v/>
      </c>
      <c r="H3337" s="17">
        <f>IF(B3337="","","")</f>
        <v/>
      </c>
      <c r="I3337" s="17">
        <f>IF(B3337="","","")</f>
        <v/>
      </c>
      <c r="J3337" s="17">
        <f>IF(B3337="","","touch_3; "&amp;IFERROR(INDEX(Clay_Offices!$A$2:$FZ$601,486,Sync!$C$10)&amp;"","")&amp;"; "&amp;IFERROR(INDEX(Clay_Offices!$A$2:$FZ$601,486,Sync!$C$9)&amp;"",""))</f>
        <v/>
      </c>
      <c r="K3337" t="inlineStr">
        <is>
          <t>office outreach touch 3</t>
        </is>
      </c>
    </row>
    <row r="3338">
      <c r="A3338" s="17">
        <f>IF(B3338="","",B3338+(14*1000+487)/10000000)</f>
        <v/>
      </c>
      <c r="B3338" s="23">
        <f>IF(AND(IFERROR(N(INDEX(Clay_Offices!$A$2:$FZ$601,487,Sync!$C$13)),0)&gt;0,IFERROR(INDEX(Clay_Offices!$A$2:$FZ$601,487,Sync!$C$5)&amp;"","")&lt;&gt;"",OR(LEFT(IFERROR(INDEX(Clay_Offices!$A$2:$FZ$601,487,Sync!$C$5)&amp;"",""),6)&lt;&gt;"SAMPLE",Config!$B$19="Y")),IFERROR(N(INDEX(Clay_Offices!$A$2:$FZ$601,487,Sync!$C$13)),0),"")</f>
        <v/>
      </c>
      <c r="C3338" s="17">
        <f>IF(B3338="","","office")</f>
        <v/>
      </c>
      <c r="D3338" s="17">
        <f>IF(B3338="","",IFERROR(INDEX(Clay_Offices!$A$2:$FZ$601,487,Sync!$C$5)&amp;"",""))</f>
        <v/>
      </c>
      <c r="E3338" s="17">
        <f>IF(B3338="","",IFERROR(INDEX(Clay_Offices!$A$2:$FZ$601,487,Sync!$C$6)&amp;"",""))</f>
        <v/>
      </c>
      <c r="F3338" s="17">
        <f>IF(B3338="","","outreach_sent")</f>
        <v/>
      </c>
      <c r="G3338" s="17">
        <f>IF(B3338="","","")</f>
        <v/>
      </c>
      <c r="H3338" s="17">
        <f>IF(B3338="","","")</f>
        <v/>
      </c>
      <c r="I3338" s="17">
        <f>IF(B3338="","","")</f>
        <v/>
      </c>
      <c r="J3338" s="17">
        <f>IF(B3338="","","touch_3; "&amp;IFERROR(INDEX(Clay_Offices!$A$2:$FZ$601,487,Sync!$C$10)&amp;"","")&amp;"; "&amp;IFERROR(INDEX(Clay_Offices!$A$2:$FZ$601,487,Sync!$C$9)&amp;"",""))</f>
        <v/>
      </c>
      <c r="K3338" t="inlineStr">
        <is>
          <t>office outreach touch 3</t>
        </is>
      </c>
    </row>
    <row r="3339">
      <c r="A3339" s="17">
        <f>IF(B3339="","",B3339+(14*1000+488)/10000000)</f>
        <v/>
      </c>
      <c r="B3339" s="23">
        <f>IF(AND(IFERROR(N(INDEX(Clay_Offices!$A$2:$FZ$601,488,Sync!$C$13)),0)&gt;0,IFERROR(INDEX(Clay_Offices!$A$2:$FZ$601,488,Sync!$C$5)&amp;"","")&lt;&gt;"",OR(LEFT(IFERROR(INDEX(Clay_Offices!$A$2:$FZ$601,488,Sync!$C$5)&amp;"",""),6)&lt;&gt;"SAMPLE",Config!$B$19="Y")),IFERROR(N(INDEX(Clay_Offices!$A$2:$FZ$601,488,Sync!$C$13)),0),"")</f>
        <v/>
      </c>
      <c r="C3339" s="17">
        <f>IF(B3339="","","office")</f>
        <v/>
      </c>
      <c r="D3339" s="17">
        <f>IF(B3339="","",IFERROR(INDEX(Clay_Offices!$A$2:$FZ$601,488,Sync!$C$5)&amp;"",""))</f>
        <v/>
      </c>
      <c r="E3339" s="17">
        <f>IF(B3339="","",IFERROR(INDEX(Clay_Offices!$A$2:$FZ$601,488,Sync!$C$6)&amp;"",""))</f>
        <v/>
      </c>
      <c r="F3339" s="17">
        <f>IF(B3339="","","outreach_sent")</f>
        <v/>
      </c>
      <c r="G3339" s="17">
        <f>IF(B3339="","","")</f>
        <v/>
      </c>
      <c r="H3339" s="17">
        <f>IF(B3339="","","")</f>
        <v/>
      </c>
      <c r="I3339" s="17">
        <f>IF(B3339="","","")</f>
        <v/>
      </c>
      <c r="J3339" s="17">
        <f>IF(B3339="","","touch_3; "&amp;IFERROR(INDEX(Clay_Offices!$A$2:$FZ$601,488,Sync!$C$10)&amp;"","")&amp;"; "&amp;IFERROR(INDEX(Clay_Offices!$A$2:$FZ$601,488,Sync!$C$9)&amp;"",""))</f>
        <v/>
      </c>
      <c r="K3339" t="inlineStr">
        <is>
          <t>office outreach touch 3</t>
        </is>
      </c>
    </row>
    <row r="3340">
      <c r="A3340" s="17">
        <f>IF(B3340="","",B3340+(14*1000+489)/10000000)</f>
        <v/>
      </c>
      <c r="B3340" s="23">
        <f>IF(AND(IFERROR(N(INDEX(Clay_Offices!$A$2:$FZ$601,489,Sync!$C$13)),0)&gt;0,IFERROR(INDEX(Clay_Offices!$A$2:$FZ$601,489,Sync!$C$5)&amp;"","")&lt;&gt;"",OR(LEFT(IFERROR(INDEX(Clay_Offices!$A$2:$FZ$601,489,Sync!$C$5)&amp;"",""),6)&lt;&gt;"SAMPLE",Config!$B$19="Y")),IFERROR(N(INDEX(Clay_Offices!$A$2:$FZ$601,489,Sync!$C$13)),0),"")</f>
        <v/>
      </c>
      <c r="C3340" s="17">
        <f>IF(B3340="","","office")</f>
        <v/>
      </c>
      <c r="D3340" s="17">
        <f>IF(B3340="","",IFERROR(INDEX(Clay_Offices!$A$2:$FZ$601,489,Sync!$C$5)&amp;"",""))</f>
        <v/>
      </c>
      <c r="E3340" s="17">
        <f>IF(B3340="","",IFERROR(INDEX(Clay_Offices!$A$2:$FZ$601,489,Sync!$C$6)&amp;"",""))</f>
        <v/>
      </c>
      <c r="F3340" s="17">
        <f>IF(B3340="","","outreach_sent")</f>
        <v/>
      </c>
      <c r="G3340" s="17">
        <f>IF(B3340="","","")</f>
        <v/>
      </c>
      <c r="H3340" s="17">
        <f>IF(B3340="","","")</f>
        <v/>
      </c>
      <c r="I3340" s="17">
        <f>IF(B3340="","","")</f>
        <v/>
      </c>
      <c r="J3340" s="17">
        <f>IF(B3340="","","touch_3; "&amp;IFERROR(INDEX(Clay_Offices!$A$2:$FZ$601,489,Sync!$C$10)&amp;"","")&amp;"; "&amp;IFERROR(INDEX(Clay_Offices!$A$2:$FZ$601,489,Sync!$C$9)&amp;"",""))</f>
        <v/>
      </c>
      <c r="K3340" t="inlineStr">
        <is>
          <t>office outreach touch 3</t>
        </is>
      </c>
    </row>
    <row r="3341">
      <c r="A3341" s="17">
        <f>IF(B3341="","",B3341+(14*1000+490)/10000000)</f>
        <v/>
      </c>
      <c r="B3341" s="23">
        <f>IF(AND(IFERROR(N(INDEX(Clay_Offices!$A$2:$FZ$601,490,Sync!$C$13)),0)&gt;0,IFERROR(INDEX(Clay_Offices!$A$2:$FZ$601,490,Sync!$C$5)&amp;"","")&lt;&gt;"",OR(LEFT(IFERROR(INDEX(Clay_Offices!$A$2:$FZ$601,490,Sync!$C$5)&amp;"",""),6)&lt;&gt;"SAMPLE",Config!$B$19="Y")),IFERROR(N(INDEX(Clay_Offices!$A$2:$FZ$601,490,Sync!$C$13)),0),"")</f>
        <v/>
      </c>
      <c r="C3341" s="17">
        <f>IF(B3341="","","office")</f>
        <v/>
      </c>
      <c r="D3341" s="17">
        <f>IF(B3341="","",IFERROR(INDEX(Clay_Offices!$A$2:$FZ$601,490,Sync!$C$5)&amp;"",""))</f>
        <v/>
      </c>
      <c r="E3341" s="17">
        <f>IF(B3341="","",IFERROR(INDEX(Clay_Offices!$A$2:$FZ$601,490,Sync!$C$6)&amp;"",""))</f>
        <v/>
      </c>
      <c r="F3341" s="17">
        <f>IF(B3341="","","outreach_sent")</f>
        <v/>
      </c>
      <c r="G3341" s="17">
        <f>IF(B3341="","","")</f>
        <v/>
      </c>
      <c r="H3341" s="17">
        <f>IF(B3341="","","")</f>
        <v/>
      </c>
      <c r="I3341" s="17">
        <f>IF(B3341="","","")</f>
        <v/>
      </c>
      <c r="J3341" s="17">
        <f>IF(B3341="","","touch_3; "&amp;IFERROR(INDEX(Clay_Offices!$A$2:$FZ$601,490,Sync!$C$10)&amp;"","")&amp;"; "&amp;IFERROR(INDEX(Clay_Offices!$A$2:$FZ$601,490,Sync!$C$9)&amp;"",""))</f>
        <v/>
      </c>
      <c r="K3341" t="inlineStr">
        <is>
          <t>office outreach touch 3</t>
        </is>
      </c>
    </row>
    <row r="3342">
      <c r="A3342" s="17">
        <f>IF(B3342="","",B3342+(14*1000+491)/10000000)</f>
        <v/>
      </c>
      <c r="B3342" s="23">
        <f>IF(AND(IFERROR(N(INDEX(Clay_Offices!$A$2:$FZ$601,491,Sync!$C$13)),0)&gt;0,IFERROR(INDEX(Clay_Offices!$A$2:$FZ$601,491,Sync!$C$5)&amp;"","")&lt;&gt;"",OR(LEFT(IFERROR(INDEX(Clay_Offices!$A$2:$FZ$601,491,Sync!$C$5)&amp;"",""),6)&lt;&gt;"SAMPLE",Config!$B$19="Y")),IFERROR(N(INDEX(Clay_Offices!$A$2:$FZ$601,491,Sync!$C$13)),0),"")</f>
        <v/>
      </c>
      <c r="C3342" s="17">
        <f>IF(B3342="","","office")</f>
        <v/>
      </c>
      <c r="D3342" s="17">
        <f>IF(B3342="","",IFERROR(INDEX(Clay_Offices!$A$2:$FZ$601,491,Sync!$C$5)&amp;"",""))</f>
        <v/>
      </c>
      <c r="E3342" s="17">
        <f>IF(B3342="","",IFERROR(INDEX(Clay_Offices!$A$2:$FZ$601,491,Sync!$C$6)&amp;"",""))</f>
        <v/>
      </c>
      <c r="F3342" s="17">
        <f>IF(B3342="","","outreach_sent")</f>
        <v/>
      </c>
      <c r="G3342" s="17">
        <f>IF(B3342="","","")</f>
        <v/>
      </c>
      <c r="H3342" s="17">
        <f>IF(B3342="","","")</f>
        <v/>
      </c>
      <c r="I3342" s="17">
        <f>IF(B3342="","","")</f>
        <v/>
      </c>
      <c r="J3342" s="17">
        <f>IF(B3342="","","touch_3; "&amp;IFERROR(INDEX(Clay_Offices!$A$2:$FZ$601,491,Sync!$C$10)&amp;"","")&amp;"; "&amp;IFERROR(INDEX(Clay_Offices!$A$2:$FZ$601,491,Sync!$C$9)&amp;"",""))</f>
        <v/>
      </c>
      <c r="K3342" t="inlineStr">
        <is>
          <t>office outreach touch 3</t>
        </is>
      </c>
    </row>
    <row r="3343">
      <c r="A3343" s="17">
        <f>IF(B3343="","",B3343+(14*1000+492)/10000000)</f>
        <v/>
      </c>
      <c r="B3343" s="23">
        <f>IF(AND(IFERROR(N(INDEX(Clay_Offices!$A$2:$FZ$601,492,Sync!$C$13)),0)&gt;0,IFERROR(INDEX(Clay_Offices!$A$2:$FZ$601,492,Sync!$C$5)&amp;"","")&lt;&gt;"",OR(LEFT(IFERROR(INDEX(Clay_Offices!$A$2:$FZ$601,492,Sync!$C$5)&amp;"",""),6)&lt;&gt;"SAMPLE",Config!$B$19="Y")),IFERROR(N(INDEX(Clay_Offices!$A$2:$FZ$601,492,Sync!$C$13)),0),"")</f>
        <v/>
      </c>
      <c r="C3343" s="17">
        <f>IF(B3343="","","office")</f>
        <v/>
      </c>
      <c r="D3343" s="17">
        <f>IF(B3343="","",IFERROR(INDEX(Clay_Offices!$A$2:$FZ$601,492,Sync!$C$5)&amp;"",""))</f>
        <v/>
      </c>
      <c r="E3343" s="17">
        <f>IF(B3343="","",IFERROR(INDEX(Clay_Offices!$A$2:$FZ$601,492,Sync!$C$6)&amp;"",""))</f>
        <v/>
      </c>
      <c r="F3343" s="17">
        <f>IF(B3343="","","outreach_sent")</f>
        <v/>
      </c>
      <c r="G3343" s="17">
        <f>IF(B3343="","","")</f>
        <v/>
      </c>
      <c r="H3343" s="17">
        <f>IF(B3343="","","")</f>
        <v/>
      </c>
      <c r="I3343" s="17">
        <f>IF(B3343="","","")</f>
        <v/>
      </c>
      <c r="J3343" s="17">
        <f>IF(B3343="","","touch_3; "&amp;IFERROR(INDEX(Clay_Offices!$A$2:$FZ$601,492,Sync!$C$10)&amp;"","")&amp;"; "&amp;IFERROR(INDEX(Clay_Offices!$A$2:$FZ$601,492,Sync!$C$9)&amp;"",""))</f>
        <v/>
      </c>
      <c r="K3343" t="inlineStr">
        <is>
          <t>office outreach touch 3</t>
        </is>
      </c>
    </row>
    <row r="3344">
      <c r="A3344" s="17">
        <f>IF(B3344="","",B3344+(14*1000+493)/10000000)</f>
        <v/>
      </c>
      <c r="B3344" s="23">
        <f>IF(AND(IFERROR(N(INDEX(Clay_Offices!$A$2:$FZ$601,493,Sync!$C$13)),0)&gt;0,IFERROR(INDEX(Clay_Offices!$A$2:$FZ$601,493,Sync!$C$5)&amp;"","")&lt;&gt;"",OR(LEFT(IFERROR(INDEX(Clay_Offices!$A$2:$FZ$601,493,Sync!$C$5)&amp;"",""),6)&lt;&gt;"SAMPLE",Config!$B$19="Y")),IFERROR(N(INDEX(Clay_Offices!$A$2:$FZ$601,493,Sync!$C$13)),0),"")</f>
        <v/>
      </c>
      <c r="C3344" s="17">
        <f>IF(B3344="","","office")</f>
        <v/>
      </c>
      <c r="D3344" s="17">
        <f>IF(B3344="","",IFERROR(INDEX(Clay_Offices!$A$2:$FZ$601,493,Sync!$C$5)&amp;"",""))</f>
        <v/>
      </c>
      <c r="E3344" s="17">
        <f>IF(B3344="","",IFERROR(INDEX(Clay_Offices!$A$2:$FZ$601,493,Sync!$C$6)&amp;"",""))</f>
        <v/>
      </c>
      <c r="F3344" s="17">
        <f>IF(B3344="","","outreach_sent")</f>
        <v/>
      </c>
      <c r="G3344" s="17">
        <f>IF(B3344="","","")</f>
        <v/>
      </c>
      <c r="H3344" s="17">
        <f>IF(B3344="","","")</f>
        <v/>
      </c>
      <c r="I3344" s="17">
        <f>IF(B3344="","","")</f>
        <v/>
      </c>
      <c r="J3344" s="17">
        <f>IF(B3344="","","touch_3; "&amp;IFERROR(INDEX(Clay_Offices!$A$2:$FZ$601,493,Sync!$C$10)&amp;"","")&amp;"; "&amp;IFERROR(INDEX(Clay_Offices!$A$2:$FZ$601,493,Sync!$C$9)&amp;"",""))</f>
        <v/>
      </c>
      <c r="K3344" t="inlineStr">
        <is>
          <t>office outreach touch 3</t>
        </is>
      </c>
    </row>
    <row r="3345">
      <c r="A3345" s="17">
        <f>IF(B3345="","",B3345+(14*1000+494)/10000000)</f>
        <v/>
      </c>
      <c r="B3345" s="23">
        <f>IF(AND(IFERROR(N(INDEX(Clay_Offices!$A$2:$FZ$601,494,Sync!$C$13)),0)&gt;0,IFERROR(INDEX(Clay_Offices!$A$2:$FZ$601,494,Sync!$C$5)&amp;"","")&lt;&gt;"",OR(LEFT(IFERROR(INDEX(Clay_Offices!$A$2:$FZ$601,494,Sync!$C$5)&amp;"",""),6)&lt;&gt;"SAMPLE",Config!$B$19="Y")),IFERROR(N(INDEX(Clay_Offices!$A$2:$FZ$601,494,Sync!$C$13)),0),"")</f>
        <v/>
      </c>
      <c r="C3345" s="17">
        <f>IF(B3345="","","office")</f>
        <v/>
      </c>
      <c r="D3345" s="17">
        <f>IF(B3345="","",IFERROR(INDEX(Clay_Offices!$A$2:$FZ$601,494,Sync!$C$5)&amp;"",""))</f>
        <v/>
      </c>
      <c r="E3345" s="17">
        <f>IF(B3345="","",IFERROR(INDEX(Clay_Offices!$A$2:$FZ$601,494,Sync!$C$6)&amp;"",""))</f>
        <v/>
      </c>
      <c r="F3345" s="17">
        <f>IF(B3345="","","outreach_sent")</f>
        <v/>
      </c>
      <c r="G3345" s="17">
        <f>IF(B3345="","","")</f>
        <v/>
      </c>
      <c r="H3345" s="17">
        <f>IF(B3345="","","")</f>
        <v/>
      </c>
      <c r="I3345" s="17">
        <f>IF(B3345="","","")</f>
        <v/>
      </c>
      <c r="J3345" s="17">
        <f>IF(B3345="","","touch_3; "&amp;IFERROR(INDEX(Clay_Offices!$A$2:$FZ$601,494,Sync!$C$10)&amp;"","")&amp;"; "&amp;IFERROR(INDEX(Clay_Offices!$A$2:$FZ$601,494,Sync!$C$9)&amp;"",""))</f>
        <v/>
      </c>
      <c r="K3345" t="inlineStr">
        <is>
          <t>office outreach touch 3</t>
        </is>
      </c>
    </row>
    <row r="3346">
      <c r="A3346" s="17">
        <f>IF(B3346="","",B3346+(14*1000+495)/10000000)</f>
        <v/>
      </c>
      <c r="B3346" s="23">
        <f>IF(AND(IFERROR(N(INDEX(Clay_Offices!$A$2:$FZ$601,495,Sync!$C$13)),0)&gt;0,IFERROR(INDEX(Clay_Offices!$A$2:$FZ$601,495,Sync!$C$5)&amp;"","")&lt;&gt;"",OR(LEFT(IFERROR(INDEX(Clay_Offices!$A$2:$FZ$601,495,Sync!$C$5)&amp;"",""),6)&lt;&gt;"SAMPLE",Config!$B$19="Y")),IFERROR(N(INDEX(Clay_Offices!$A$2:$FZ$601,495,Sync!$C$13)),0),"")</f>
        <v/>
      </c>
      <c r="C3346" s="17">
        <f>IF(B3346="","","office")</f>
        <v/>
      </c>
      <c r="D3346" s="17">
        <f>IF(B3346="","",IFERROR(INDEX(Clay_Offices!$A$2:$FZ$601,495,Sync!$C$5)&amp;"",""))</f>
        <v/>
      </c>
      <c r="E3346" s="17">
        <f>IF(B3346="","",IFERROR(INDEX(Clay_Offices!$A$2:$FZ$601,495,Sync!$C$6)&amp;"",""))</f>
        <v/>
      </c>
      <c r="F3346" s="17">
        <f>IF(B3346="","","outreach_sent")</f>
        <v/>
      </c>
      <c r="G3346" s="17">
        <f>IF(B3346="","","")</f>
        <v/>
      </c>
      <c r="H3346" s="17">
        <f>IF(B3346="","","")</f>
        <v/>
      </c>
      <c r="I3346" s="17">
        <f>IF(B3346="","","")</f>
        <v/>
      </c>
      <c r="J3346" s="17">
        <f>IF(B3346="","","touch_3; "&amp;IFERROR(INDEX(Clay_Offices!$A$2:$FZ$601,495,Sync!$C$10)&amp;"","")&amp;"; "&amp;IFERROR(INDEX(Clay_Offices!$A$2:$FZ$601,495,Sync!$C$9)&amp;"",""))</f>
        <v/>
      </c>
      <c r="K3346" t="inlineStr">
        <is>
          <t>office outreach touch 3</t>
        </is>
      </c>
    </row>
    <row r="3347">
      <c r="A3347" s="17">
        <f>IF(B3347="","",B3347+(14*1000+496)/10000000)</f>
        <v/>
      </c>
      <c r="B3347" s="23">
        <f>IF(AND(IFERROR(N(INDEX(Clay_Offices!$A$2:$FZ$601,496,Sync!$C$13)),0)&gt;0,IFERROR(INDEX(Clay_Offices!$A$2:$FZ$601,496,Sync!$C$5)&amp;"","")&lt;&gt;"",OR(LEFT(IFERROR(INDEX(Clay_Offices!$A$2:$FZ$601,496,Sync!$C$5)&amp;"",""),6)&lt;&gt;"SAMPLE",Config!$B$19="Y")),IFERROR(N(INDEX(Clay_Offices!$A$2:$FZ$601,496,Sync!$C$13)),0),"")</f>
        <v/>
      </c>
      <c r="C3347" s="17">
        <f>IF(B3347="","","office")</f>
        <v/>
      </c>
      <c r="D3347" s="17">
        <f>IF(B3347="","",IFERROR(INDEX(Clay_Offices!$A$2:$FZ$601,496,Sync!$C$5)&amp;"",""))</f>
        <v/>
      </c>
      <c r="E3347" s="17">
        <f>IF(B3347="","",IFERROR(INDEX(Clay_Offices!$A$2:$FZ$601,496,Sync!$C$6)&amp;"",""))</f>
        <v/>
      </c>
      <c r="F3347" s="17">
        <f>IF(B3347="","","outreach_sent")</f>
        <v/>
      </c>
      <c r="G3347" s="17">
        <f>IF(B3347="","","")</f>
        <v/>
      </c>
      <c r="H3347" s="17">
        <f>IF(B3347="","","")</f>
        <v/>
      </c>
      <c r="I3347" s="17">
        <f>IF(B3347="","","")</f>
        <v/>
      </c>
      <c r="J3347" s="17">
        <f>IF(B3347="","","touch_3; "&amp;IFERROR(INDEX(Clay_Offices!$A$2:$FZ$601,496,Sync!$C$10)&amp;"","")&amp;"; "&amp;IFERROR(INDEX(Clay_Offices!$A$2:$FZ$601,496,Sync!$C$9)&amp;"",""))</f>
        <v/>
      </c>
      <c r="K3347" t="inlineStr">
        <is>
          <t>office outreach touch 3</t>
        </is>
      </c>
    </row>
    <row r="3348">
      <c r="A3348" s="17">
        <f>IF(B3348="","",B3348+(14*1000+497)/10000000)</f>
        <v/>
      </c>
      <c r="B3348" s="23">
        <f>IF(AND(IFERROR(N(INDEX(Clay_Offices!$A$2:$FZ$601,497,Sync!$C$13)),0)&gt;0,IFERROR(INDEX(Clay_Offices!$A$2:$FZ$601,497,Sync!$C$5)&amp;"","")&lt;&gt;"",OR(LEFT(IFERROR(INDEX(Clay_Offices!$A$2:$FZ$601,497,Sync!$C$5)&amp;"",""),6)&lt;&gt;"SAMPLE",Config!$B$19="Y")),IFERROR(N(INDEX(Clay_Offices!$A$2:$FZ$601,497,Sync!$C$13)),0),"")</f>
        <v/>
      </c>
      <c r="C3348" s="17">
        <f>IF(B3348="","","office")</f>
        <v/>
      </c>
      <c r="D3348" s="17">
        <f>IF(B3348="","",IFERROR(INDEX(Clay_Offices!$A$2:$FZ$601,497,Sync!$C$5)&amp;"",""))</f>
        <v/>
      </c>
      <c r="E3348" s="17">
        <f>IF(B3348="","",IFERROR(INDEX(Clay_Offices!$A$2:$FZ$601,497,Sync!$C$6)&amp;"",""))</f>
        <v/>
      </c>
      <c r="F3348" s="17">
        <f>IF(B3348="","","outreach_sent")</f>
        <v/>
      </c>
      <c r="G3348" s="17">
        <f>IF(B3348="","","")</f>
        <v/>
      </c>
      <c r="H3348" s="17">
        <f>IF(B3348="","","")</f>
        <v/>
      </c>
      <c r="I3348" s="17">
        <f>IF(B3348="","","")</f>
        <v/>
      </c>
      <c r="J3348" s="17">
        <f>IF(B3348="","","touch_3; "&amp;IFERROR(INDEX(Clay_Offices!$A$2:$FZ$601,497,Sync!$C$10)&amp;"","")&amp;"; "&amp;IFERROR(INDEX(Clay_Offices!$A$2:$FZ$601,497,Sync!$C$9)&amp;"",""))</f>
        <v/>
      </c>
      <c r="K3348" t="inlineStr">
        <is>
          <t>office outreach touch 3</t>
        </is>
      </c>
    </row>
    <row r="3349">
      <c r="A3349" s="17">
        <f>IF(B3349="","",B3349+(14*1000+498)/10000000)</f>
        <v/>
      </c>
      <c r="B3349" s="23">
        <f>IF(AND(IFERROR(N(INDEX(Clay_Offices!$A$2:$FZ$601,498,Sync!$C$13)),0)&gt;0,IFERROR(INDEX(Clay_Offices!$A$2:$FZ$601,498,Sync!$C$5)&amp;"","")&lt;&gt;"",OR(LEFT(IFERROR(INDEX(Clay_Offices!$A$2:$FZ$601,498,Sync!$C$5)&amp;"",""),6)&lt;&gt;"SAMPLE",Config!$B$19="Y")),IFERROR(N(INDEX(Clay_Offices!$A$2:$FZ$601,498,Sync!$C$13)),0),"")</f>
        <v/>
      </c>
      <c r="C3349" s="17">
        <f>IF(B3349="","","office")</f>
        <v/>
      </c>
      <c r="D3349" s="17">
        <f>IF(B3349="","",IFERROR(INDEX(Clay_Offices!$A$2:$FZ$601,498,Sync!$C$5)&amp;"",""))</f>
        <v/>
      </c>
      <c r="E3349" s="17">
        <f>IF(B3349="","",IFERROR(INDEX(Clay_Offices!$A$2:$FZ$601,498,Sync!$C$6)&amp;"",""))</f>
        <v/>
      </c>
      <c r="F3349" s="17">
        <f>IF(B3349="","","outreach_sent")</f>
        <v/>
      </c>
      <c r="G3349" s="17">
        <f>IF(B3349="","","")</f>
        <v/>
      </c>
      <c r="H3349" s="17">
        <f>IF(B3349="","","")</f>
        <v/>
      </c>
      <c r="I3349" s="17">
        <f>IF(B3349="","","")</f>
        <v/>
      </c>
      <c r="J3349" s="17">
        <f>IF(B3349="","","touch_3; "&amp;IFERROR(INDEX(Clay_Offices!$A$2:$FZ$601,498,Sync!$C$10)&amp;"","")&amp;"; "&amp;IFERROR(INDEX(Clay_Offices!$A$2:$FZ$601,498,Sync!$C$9)&amp;"",""))</f>
        <v/>
      </c>
      <c r="K3349" t="inlineStr">
        <is>
          <t>office outreach touch 3</t>
        </is>
      </c>
    </row>
    <row r="3350">
      <c r="A3350" s="17">
        <f>IF(B3350="","",B3350+(14*1000+499)/10000000)</f>
        <v/>
      </c>
      <c r="B3350" s="23">
        <f>IF(AND(IFERROR(N(INDEX(Clay_Offices!$A$2:$FZ$601,499,Sync!$C$13)),0)&gt;0,IFERROR(INDEX(Clay_Offices!$A$2:$FZ$601,499,Sync!$C$5)&amp;"","")&lt;&gt;"",OR(LEFT(IFERROR(INDEX(Clay_Offices!$A$2:$FZ$601,499,Sync!$C$5)&amp;"",""),6)&lt;&gt;"SAMPLE",Config!$B$19="Y")),IFERROR(N(INDEX(Clay_Offices!$A$2:$FZ$601,499,Sync!$C$13)),0),"")</f>
        <v/>
      </c>
      <c r="C3350" s="17">
        <f>IF(B3350="","","office")</f>
        <v/>
      </c>
      <c r="D3350" s="17">
        <f>IF(B3350="","",IFERROR(INDEX(Clay_Offices!$A$2:$FZ$601,499,Sync!$C$5)&amp;"",""))</f>
        <v/>
      </c>
      <c r="E3350" s="17">
        <f>IF(B3350="","",IFERROR(INDEX(Clay_Offices!$A$2:$FZ$601,499,Sync!$C$6)&amp;"",""))</f>
        <v/>
      </c>
      <c r="F3350" s="17">
        <f>IF(B3350="","","outreach_sent")</f>
        <v/>
      </c>
      <c r="G3350" s="17">
        <f>IF(B3350="","","")</f>
        <v/>
      </c>
      <c r="H3350" s="17">
        <f>IF(B3350="","","")</f>
        <v/>
      </c>
      <c r="I3350" s="17">
        <f>IF(B3350="","","")</f>
        <v/>
      </c>
      <c r="J3350" s="17">
        <f>IF(B3350="","","touch_3; "&amp;IFERROR(INDEX(Clay_Offices!$A$2:$FZ$601,499,Sync!$C$10)&amp;"","")&amp;"; "&amp;IFERROR(INDEX(Clay_Offices!$A$2:$FZ$601,499,Sync!$C$9)&amp;"",""))</f>
        <v/>
      </c>
      <c r="K3350" t="inlineStr">
        <is>
          <t>office outreach touch 3</t>
        </is>
      </c>
    </row>
    <row r="3351">
      <c r="A3351" s="17">
        <f>IF(B3351="","",B3351+(14*1000+500)/10000000)</f>
        <v/>
      </c>
      <c r="B3351" s="23">
        <f>IF(AND(IFERROR(N(INDEX(Clay_Offices!$A$2:$FZ$601,500,Sync!$C$13)),0)&gt;0,IFERROR(INDEX(Clay_Offices!$A$2:$FZ$601,500,Sync!$C$5)&amp;"","")&lt;&gt;"",OR(LEFT(IFERROR(INDEX(Clay_Offices!$A$2:$FZ$601,500,Sync!$C$5)&amp;"",""),6)&lt;&gt;"SAMPLE",Config!$B$19="Y")),IFERROR(N(INDEX(Clay_Offices!$A$2:$FZ$601,500,Sync!$C$13)),0),"")</f>
        <v/>
      </c>
      <c r="C3351" s="17">
        <f>IF(B3351="","","office")</f>
        <v/>
      </c>
      <c r="D3351" s="17">
        <f>IF(B3351="","",IFERROR(INDEX(Clay_Offices!$A$2:$FZ$601,500,Sync!$C$5)&amp;"",""))</f>
        <v/>
      </c>
      <c r="E3351" s="17">
        <f>IF(B3351="","",IFERROR(INDEX(Clay_Offices!$A$2:$FZ$601,500,Sync!$C$6)&amp;"",""))</f>
        <v/>
      </c>
      <c r="F3351" s="17">
        <f>IF(B3351="","","outreach_sent")</f>
        <v/>
      </c>
      <c r="G3351" s="17">
        <f>IF(B3351="","","")</f>
        <v/>
      </c>
      <c r="H3351" s="17">
        <f>IF(B3351="","","")</f>
        <v/>
      </c>
      <c r="I3351" s="17">
        <f>IF(B3351="","","")</f>
        <v/>
      </c>
      <c r="J3351" s="17">
        <f>IF(B3351="","","touch_3; "&amp;IFERROR(INDEX(Clay_Offices!$A$2:$FZ$601,500,Sync!$C$10)&amp;"","")&amp;"; "&amp;IFERROR(INDEX(Clay_Offices!$A$2:$FZ$601,500,Sync!$C$9)&amp;"",""))</f>
        <v/>
      </c>
      <c r="K3351" t="inlineStr">
        <is>
          <t>office outreach touch 3</t>
        </is>
      </c>
    </row>
    <row r="3352">
      <c r="A3352" s="17">
        <f>IF(B3352="","",B3352+(14*1000+501)/10000000)</f>
        <v/>
      </c>
      <c r="B3352" s="23">
        <f>IF(AND(IFERROR(N(INDEX(Clay_Offices!$A$2:$FZ$601,501,Sync!$C$13)),0)&gt;0,IFERROR(INDEX(Clay_Offices!$A$2:$FZ$601,501,Sync!$C$5)&amp;"","")&lt;&gt;"",OR(LEFT(IFERROR(INDEX(Clay_Offices!$A$2:$FZ$601,501,Sync!$C$5)&amp;"",""),6)&lt;&gt;"SAMPLE",Config!$B$19="Y")),IFERROR(N(INDEX(Clay_Offices!$A$2:$FZ$601,501,Sync!$C$13)),0),"")</f>
        <v/>
      </c>
      <c r="C3352" s="17">
        <f>IF(B3352="","","office")</f>
        <v/>
      </c>
      <c r="D3352" s="17">
        <f>IF(B3352="","",IFERROR(INDEX(Clay_Offices!$A$2:$FZ$601,501,Sync!$C$5)&amp;"",""))</f>
        <v/>
      </c>
      <c r="E3352" s="17">
        <f>IF(B3352="","",IFERROR(INDEX(Clay_Offices!$A$2:$FZ$601,501,Sync!$C$6)&amp;"",""))</f>
        <v/>
      </c>
      <c r="F3352" s="17">
        <f>IF(B3352="","","outreach_sent")</f>
        <v/>
      </c>
      <c r="G3352" s="17">
        <f>IF(B3352="","","")</f>
        <v/>
      </c>
      <c r="H3352" s="17">
        <f>IF(B3352="","","")</f>
        <v/>
      </c>
      <c r="I3352" s="17">
        <f>IF(B3352="","","")</f>
        <v/>
      </c>
      <c r="J3352" s="17">
        <f>IF(B3352="","","touch_3; "&amp;IFERROR(INDEX(Clay_Offices!$A$2:$FZ$601,501,Sync!$C$10)&amp;"","")&amp;"; "&amp;IFERROR(INDEX(Clay_Offices!$A$2:$FZ$601,501,Sync!$C$9)&amp;"",""))</f>
        <v/>
      </c>
      <c r="K3352" t="inlineStr">
        <is>
          <t>office outreach touch 3</t>
        </is>
      </c>
    </row>
    <row r="3353">
      <c r="A3353" s="17">
        <f>IF(B3353="","",B3353+(14*1000+502)/10000000)</f>
        <v/>
      </c>
      <c r="B3353" s="23">
        <f>IF(AND(IFERROR(N(INDEX(Clay_Offices!$A$2:$FZ$601,502,Sync!$C$13)),0)&gt;0,IFERROR(INDEX(Clay_Offices!$A$2:$FZ$601,502,Sync!$C$5)&amp;"","")&lt;&gt;"",OR(LEFT(IFERROR(INDEX(Clay_Offices!$A$2:$FZ$601,502,Sync!$C$5)&amp;"",""),6)&lt;&gt;"SAMPLE",Config!$B$19="Y")),IFERROR(N(INDEX(Clay_Offices!$A$2:$FZ$601,502,Sync!$C$13)),0),"")</f>
        <v/>
      </c>
      <c r="C3353" s="17">
        <f>IF(B3353="","","office")</f>
        <v/>
      </c>
      <c r="D3353" s="17">
        <f>IF(B3353="","",IFERROR(INDEX(Clay_Offices!$A$2:$FZ$601,502,Sync!$C$5)&amp;"",""))</f>
        <v/>
      </c>
      <c r="E3353" s="17">
        <f>IF(B3353="","",IFERROR(INDEX(Clay_Offices!$A$2:$FZ$601,502,Sync!$C$6)&amp;"",""))</f>
        <v/>
      </c>
      <c r="F3353" s="17">
        <f>IF(B3353="","","outreach_sent")</f>
        <v/>
      </c>
      <c r="G3353" s="17">
        <f>IF(B3353="","","")</f>
        <v/>
      </c>
      <c r="H3353" s="17">
        <f>IF(B3353="","","")</f>
        <v/>
      </c>
      <c r="I3353" s="17">
        <f>IF(B3353="","","")</f>
        <v/>
      </c>
      <c r="J3353" s="17">
        <f>IF(B3353="","","touch_3; "&amp;IFERROR(INDEX(Clay_Offices!$A$2:$FZ$601,502,Sync!$C$10)&amp;"","")&amp;"; "&amp;IFERROR(INDEX(Clay_Offices!$A$2:$FZ$601,502,Sync!$C$9)&amp;"",""))</f>
        <v/>
      </c>
      <c r="K3353" t="inlineStr">
        <is>
          <t>office outreach touch 3</t>
        </is>
      </c>
    </row>
    <row r="3354">
      <c r="A3354" s="17">
        <f>IF(B3354="","",B3354+(14*1000+503)/10000000)</f>
        <v/>
      </c>
      <c r="B3354" s="23">
        <f>IF(AND(IFERROR(N(INDEX(Clay_Offices!$A$2:$FZ$601,503,Sync!$C$13)),0)&gt;0,IFERROR(INDEX(Clay_Offices!$A$2:$FZ$601,503,Sync!$C$5)&amp;"","")&lt;&gt;"",OR(LEFT(IFERROR(INDEX(Clay_Offices!$A$2:$FZ$601,503,Sync!$C$5)&amp;"",""),6)&lt;&gt;"SAMPLE",Config!$B$19="Y")),IFERROR(N(INDEX(Clay_Offices!$A$2:$FZ$601,503,Sync!$C$13)),0),"")</f>
        <v/>
      </c>
      <c r="C3354" s="17">
        <f>IF(B3354="","","office")</f>
        <v/>
      </c>
      <c r="D3354" s="17">
        <f>IF(B3354="","",IFERROR(INDEX(Clay_Offices!$A$2:$FZ$601,503,Sync!$C$5)&amp;"",""))</f>
        <v/>
      </c>
      <c r="E3354" s="17">
        <f>IF(B3354="","",IFERROR(INDEX(Clay_Offices!$A$2:$FZ$601,503,Sync!$C$6)&amp;"",""))</f>
        <v/>
      </c>
      <c r="F3354" s="17">
        <f>IF(B3354="","","outreach_sent")</f>
        <v/>
      </c>
      <c r="G3354" s="17">
        <f>IF(B3354="","","")</f>
        <v/>
      </c>
      <c r="H3354" s="17">
        <f>IF(B3354="","","")</f>
        <v/>
      </c>
      <c r="I3354" s="17">
        <f>IF(B3354="","","")</f>
        <v/>
      </c>
      <c r="J3354" s="17">
        <f>IF(B3354="","","touch_3; "&amp;IFERROR(INDEX(Clay_Offices!$A$2:$FZ$601,503,Sync!$C$10)&amp;"","")&amp;"; "&amp;IFERROR(INDEX(Clay_Offices!$A$2:$FZ$601,503,Sync!$C$9)&amp;"",""))</f>
        <v/>
      </c>
      <c r="K3354" t="inlineStr">
        <is>
          <t>office outreach touch 3</t>
        </is>
      </c>
    </row>
    <row r="3355">
      <c r="A3355" s="17">
        <f>IF(B3355="","",B3355+(14*1000+504)/10000000)</f>
        <v/>
      </c>
      <c r="B3355" s="23">
        <f>IF(AND(IFERROR(N(INDEX(Clay_Offices!$A$2:$FZ$601,504,Sync!$C$13)),0)&gt;0,IFERROR(INDEX(Clay_Offices!$A$2:$FZ$601,504,Sync!$C$5)&amp;"","")&lt;&gt;"",OR(LEFT(IFERROR(INDEX(Clay_Offices!$A$2:$FZ$601,504,Sync!$C$5)&amp;"",""),6)&lt;&gt;"SAMPLE",Config!$B$19="Y")),IFERROR(N(INDEX(Clay_Offices!$A$2:$FZ$601,504,Sync!$C$13)),0),"")</f>
        <v/>
      </c>
      <c r="C3355" s="17">
        <f>IF(B3355="","","office")</f>
        <v/>
      </c>
      <c r="D3355" s="17">
        <f>IF(B3355="","",IFERROR(INDEX(Clay_Offices!$A$2:$FZ$601,504,Sync!$C$5)&amp;"",""))</f>
        <v/>
      </c>
      <c r="E3355" s="17">
        <f>IF(B3355="","",IFERROR(INDEX(Clay_Offices!$A$2:$FZ$601,504,Sync!$C$6)&amp;"",""))</f>
        <v/>
      </c>
      <c r="F3355" s="17">
        <f>IF(B3355="","","outreach_sent")</f>
        <v/>
      </c>
      <c r="G3355" s="17">
        <f>IF(B3355="","","")</f>
        <v/>
      </c>
      <c r="H3355" s="17">
        <f>IF(B3355="","","")</f>
        <v/>
      </c>
      <c r="I3355" s="17">
        <f>IF(B3355="","","")</f>
        <v/>
      </c>
      <c r="J3355" s="17">
        <f>IF(B3355="","","touch_3; "&amp;IFERROR(INDEX(Clay_Offices!$A$2:$FZ$601,504,Sync!$C$10)&amp;"","")&amp;"; "&amp;IFERROR(INDEX(Clay_Offices!$A$2:$FZ$601,504,Sync!$C$9)&amp;"",""))</f>
        <v/>
      </c>
      <c r="K3355" t="inlineStr">
        <is>
          <t>office outreach touch 3</t>
        </is>
      </c>
    </row>
    <row r="3356">
      <c r="A3356" s="17">
        <f>IF(B3356="","",B3356+(14*1000+505)/10000000)</f>
        <v/>
      </c>
      <c r="B3356" s="23">
        <f>IF(AND(IFERROR(N(INDEX(Clay_Offices!$A$2:$FZ$601,505,Sync!$C$13)),0)&gt;0,IFERROR(INDEX(Clay_Offices!$A$2:$FZ$601,505,Sync!$C$5)&amp;"","")&lt;&gt;"",OR(LEFT(IFERROR(INDEX(Clay_Offices!$A$2:$FZ$601,505,Sync!$C$5)&amp;"",""),6)&lt;&gt;"SAMPLE",Config!$B$19="Y")),IFERROR(N(INDEX(Clay_Offices!$A$2:$FZ$601,505,Sync!$C$13)),0),"")</f>
        <v/>
      </c>
      <c r="C3356" s="17">
        <f>IF(B3356="","","office")</f>
        <v/>
      </c>
      <c r="D3356" s="17">
        <f>IF(B3356="","",IFERROR(INDEX(Clay_Offices!$A$2:$FZ$601,505,Sync!$C$5)&amp;"",""))</f>
        <v/>
      </c>
      <c r="E3356" s="17">
        <f>IF(B3356="","",IFERROR(INDEX(Clay_Offices!$A$2:$FZ$601,505,Sync!$C$6)&amp;"",""))</f>
        <v/>
      </c>
      <c r="F3356" s="17">
        <f>IF(B3356="","","outreach_sent")</f>
        <v/>
      </c>
      <c r="G3356" s="17">
        <f>IF(B3356="","","")</f>
        <v/>
      </c>
      <c r="H3356" s="17">
        <f>IF(B3356="","","")</f>
        <v/>
      </c>
      <c r="I3356" s="17">
        <f>IF(B3356="","","")</f>
        <v/>
      </c>
      <c r="J3356" s="17">
        <f>IF(B3356="","","touch_3; "&amp;IFERROR(INDEX(Clay_Offices!$A$2:$FZ$601,505,Sync!$C$10)&amp;"","")&amp;"; "&amp;IFERROR(INDEX(Clay_Offices!$A$2:$FZ$601,505,Sync!$C$9)&amp;"",""))</f>
        <v/>
      </c>
      <c r="K3356" t="inlineStr">
        <is>
          <t>office outreach touch 3</t>
        </is>
      </c>
    </row>
    <row r="3357">
      <c r="A3357" s="17">
        <f>IF(B3357="","",B3357+(14*1000+506)/10000000)</f>
        <v/>
      </c>
      <c r="B3357" s="23">
        <f>IF(AND(IFERROR(N(INDEX(Clay_Offices!$A$2:$FZ$601,506,Sync!$C$13)),0)&gt;0,IFERROR(INDEX(Clay_Offices!$A$2:$FZ$601,506,Sync!$C$5)&amp;"","")&lt;&gt;"",OR(LEFT(IFERROR(INDEX(Clay_Offices!$A$2:$FZ$601,506,Sync!$C$5)&amp;"",""),6)&lt;&gt;"SAMPLE",Config!$B$19="Y")),IFERROR(N(INDEX(Clay_Offices!$A$2:$FZ$601,506,Sync!$C$13)),0),"")</f>
        <v/>
      </c>
      <c r="C3357" s="17">
        <f>IF(B3357="","","office")</f>
        <v/>
      </c>
      <c r="D3357" s="17">
        <f>IF(B3357="","",IFERROR(INDEX(Clay_Offices!$A$2:$FZ$601,506,Sync!$C$5)&amp;"",""))</f>
        <v/>
      </c>
      <c r="E3357" s="17">
        <f>IF(B3357="","",IFERROR(INDEX(Clay_Offices!$A$2:$FZ$601,506,Sync!$C$6)&amp;"",""))</f>
        <v/>
      </c>
      <c r="F3357" s="17">
        <f>IF(B3357="","","outreach_sent")</f>
        <v/>
      </c>
      <c r="G3357" s="17">
        <f>IF(B3357="","","")</f>
        <v/>
      </c>
      <c r="H3357" s="17">
        <f>IF(B3357="","","")</f>
        <v/>
      </c>
      <c r="I3357" s="17">
        <f>IF(B3357="","","")</f>
        <v/>
      </c>
      <c r="J3357" s="17">
        <f>IF(B3357="","","touch_3; "&amp;IFERROR(INDEX(Clay_Offices!$A$2:$FZ$601,506,Sync!$C$10)&amp;"","")&amp;"; "&amp;IFERROR(INDEX(Clay_Offices!$A$2:$FZ$601,506,Sync!$C$9)&amp;"",""))</f>
        <v/>
      </c>
      <c r="K3357" t="inlineStr">
        <is>
          <t>office outreach touch 3</t>
        </is>
      </c>
    </row>
    <row r="3358">
      <c r="A3358" s="17">
        <f>IF(B3358="","",B3358+(14*1000+507)/10000000)</f>
        <v/>
      </c>
      <c r="B3358" s="23">
        <f>IF(AND(IFERROR(N(INDEX(Clay_Offices!$A$2:$FZ$601,507,Sync!$C$13)),0)&gt;0,IFERROR(INDEX(Clay_Offices!$A$2:$FZ$601,507,Sync!$C$5)&amp;"","")&lt;&gt;"",OR(LEFT(IFERROR(INDEX(Clay_Offices!$A$2:$FZ$601,507,Sync!$C$5)&amp;"",""),6)&lt;&gt;"SAMPLE",Config!$B$19="Y")),IFERROR(N(INDEX(Clay_Offices!$A$2:$FZ$601,507,Sync!$C$13)),0),"")</f>
        <v/>
      </c>
      <c r="C3358" s="17">
        <f>IF(B3358="","","office")</f>
        <v/>
      </c>
      <c r="D3358" s="17">
        <f>IF(B3358="","",IFERROR(INDEX(Clay_Offices!$A$2:$FZ$601,507,Sync!$C$5)&amp;"",""))</f>
        <v/>
      </c>
      <c r="E3358" s="17">
        <f>IF(B3358="","",IFERROR(INDEX(Clay_Offices!$A$2:$FZ$601,507,Sync!$C$6)&amp;"",""))</f>
        <v/>
      </c>
      <c r="F3358" s="17">
        <f>IF(B3358="","","outreach_sent")</f>
        <v/>
      </c>
      <c r="G3358" s="17">
        <f>IF(B3358="","","")</f>
        <v/>
      </c>
      <c r="H3358" s="17">
        <f>IF(B3358="","","")</f>
        <v/>
      </c>
      <c r="I3358" s="17">
        <f>IF(B3358="","","")</f>
        <v/>
      </c>
      <c r="J3358" s="17">
        <f>IF(B3358="","","touch_3; "&amp;IFERROR(INDEX(Clay_Offices!$A$2:$FZ$601,507,Sync!$C$10)&amp;"","")&amp;"; "&amp;IFERROR(INDEX(Clay_Offices!$A$2:$FZ$601,507,Sync!$C$9)&amp;"",""))</f>
        <v/>
      </c>
      <c r="K3358" t="inlineStr">
        <is>
          <t>office outreach touch 3</t>
        </is>
      </c>
    </row>
    <row r="3359">
      <c r="A3359" s="17">
        <f>IF(B3359="","",B3359+(14*1000+508)/10000000)</f>
        <v/>
      </c>
      <c r="B3359" s="23">
        <f>IF(AND(IFERROR(N(INDEX(Clay_Offices!$A$2:$FZ$601,508,Sync!$C$13)),0)&gt;0,IFERROR(INDEX(Clay_Offices!$A$2:$FZ$601,508,Sync!$C$5)&amp;"","")&lt;&gt;"",OR(LEFT(IFERROR(INDEX(Clay_Offices!$A$2:$FZ$601,508,Sync!$C$5)&amp;"",""),6)&lt;&gt;"SAMPLE",Config!$B$19="Y")),IFERROR(N(INDEX(Clay_Offices!$A$2:$FZ$601,508,Sync!$C$13)),0),"")</f>
        <v/>
      </c>
      <c r="C3359" s="17">
        <f>IF(B3359="","","office")</f>
        <v/>
      </c>
      <c r="D3359" s="17">
        <f>IF(B3359="","",IFERROR(INDEX(Clay_Offices!$A$2:$FZ$601,508,Sync!$C$5)&amp;"",""))</f>
        <v/>
      </c>
      <c r="E3359" s="17">
        <f>IF(B3359="","",IFERROR(INDEX(Clay_Offices!$A$2:$FZ$601,508,Sync!$C$6)&amp;"",""))</f>
        <v/>
      </c>
      <c r="F3359" s="17">
        <f>IF(B3359="","","outreach_sent")</f>
        <v/>
      </c>
      <c r="G3359" s="17">
        <f>IF(B3359="","","")</f>
        <v/>
      </c>
      <c r="H3359" s="17">
        <f>IF(B3359="","","")</f>
        <v/>
      </c>
      <c r="I3359" s="17">
        <f>IF(B3359="","","")</f>
        <v/>
      </c>
      <c r="J3359" s="17">
        <f>IF(B3359="","","touch_3; "&amp;IFERROR(INDEX(Clay_Offices!$A$2:$FZ$601,508,Sync!$C$10)&amp;"","")&amp;"; "&amp;IFERROR(INDEX(Clay_Offices!$A$2:$FZ$601,508,Sync!$C$9)&amp;"",""))</f>
        <v/>
      </c>
      <c r="K3359" t="inlineStr">
        <is>
          <t>office outreach touch 3</t>
        </is>
      </c>
    </row>
    <row r="3360">
      <c r="A3360" s="17">
        <f>IF(B3360="","",B3360+(14*1000+509)/10000000)</f>
        <v/>
      </c>
      <c r="B3360" s="23">
        <f>IF(AND(IFERROR(N(INDEX(Clay_Offices!$A$2:$FZ$601,509,Sync!$C$13)),0)&gt;0,IFERROR(INDEX(Clay_Offices!$A$2:$FZ$601,509,Sync!$C$5)&amp;"","")&lt;&gt;"",OR(LEFT(IFERROR(INDEX(Clay_Offices!$A$2:$FZ$601,509,Sync!$C$5)&amp;"",""),6)&lt;&gt;"SAMPLE",Config!$B$19="Y")),IFERROR(N(INDEX(Clay_Offices!$A$2:$FZ$601,509,Sync!$C$13)),0),"")</f>
        <v/>
      </c>
      <c r="C3360" s="17">
        <f>IF(B3360="","","office")</f>
        <v/>
      </c>
      <c r="D3360" s="17">
        <f>IF(B3360="","",IFERROR(INDEX(Clay_Offices!$A$2:$FZ$601,509,Sync!$C$5)&amp;"",""))</f>
        <v/>
      </c>
      <c r="E3360" s="17">
        <f>IF(B3360="","",IFERROR(INDEX(Clay_Offices!$A$2:$FZ$601,509,Sync!$C$6)&amp;"",""))</f>
        <v/>
      </c>
      <c r="F3360" s="17">
        <f>IF(B3360="","","outreach_sent")</f>
        <v/>
      </c>
      <c r="G3360" s="17">
        <f>IF(B3360="","","")</f>
        <v/>
      </c>
      <c r="H3360" s="17">
        <f>IF(B3360="","","")</f>
        <v/>
      </c>
      <c r="I3360" s="17">
        <f>IF(B3360="","","")</f>
        <v/>
      </c>
      <c r="J3360" s="17">
        <f>IF(B3360="","","touch_3; "&amp;IFERROR(INDEX(Clay_Offices!$A$2:$FZ$601,509,Sync!$C$10)&amp;"","")&amp;"; "&amp;IFERROR(INDEX(Clay_Offices!$A$2:$FZ$601,509,Sync!$C$9)&amp;"",""))</f>
        <v/>
      </c>
      <c r="K3360" t="inlineStr">
        <is>
          <t>office outreach touch 3</t>
        </is>
      </c>
    </row>
    <row r="3361">
      <c r="A3361" s="17">
        <f>IF(B3361="","",B3361+(14*1000+510)/10000000)</f>
        <v/>
      </c>
      <c r="B3361" s="23">
        <f>IF(AND(IFERROR(N(INDEX(Clay_Offices!$A$2:$FZ$601,510,Sync!$C$13)),0)&gt;0,IFERROR(INDEX(Clay_Offices!$A$2:$FZ$601,510,Sync!$C$5)&amp;"","")&lt;&gt;"",OR(LEFT(IFERROR(INDEX(Clay_Offices!$A$2:$FZ$601,510,Sync!$C$5)&amp;"",""),6)&lt;&gt;"SAMPLE",Config!$B$19="Y")),IFERROR(N(INDEX(Clay_Offices!$A$2:$FZ$601,510,Sync!$C$13)),0),"")</f>
        <v/>
      </c>
      <c r="C3361" s="17">
        <f>IF(B3361="","","office")</f>
        <v/>
      </c>
      <c r="D3361" s="17">
        <f>IF(B3361="","",IFERROR(INDEX(Clay_Offices!$A$2:$FZ$601,510,Sync!$C$5)&amp;"",""))</f>
        <v/>
      </c>
      <c r="E3361" s="17">
        <f>IF(B3361="","",IFERROR(INDEX(Clay_Offices!$A$2:$FZ$601,510,Sync!$C$6)&amp;"",""))</f>
        <v/>
      </c>
      <c r="F3361" s="17">
        <f>IF(B3361="","","outreach_sent")</f>
        <v/>
      </c>
      <c r="G3361" s="17">
        <f>IF(B3361="","","")</f>
        <v/>
      </c>
      <c r="H3361" s="17">
        <f>IF(B3361="","","")</f>
        <v/>
      </c>
      <c r="I3361" s="17">
        <f>IF(B3361="","","")</f>
        <v/>
      </c>
      <c r="J3361" s="17">
        <f>IF(B3361="","","touch_3; "&amp;IFERROR(INDEX(Clay_Offices!$A$2:$FZ$601,510,Sync!$C$10)&amp;"","")&amp;"; "&amp;IFERROR(INDEX(Clay_Offices!$A$2:$FZ$601,510,Sync!$C$9)&amp;"",""))</f>
        <v/>
      </c>
      <c r="K3361" t="inlineStr">
        <is>
          <t>office outreach touch 3</t>
        </is>
      </c>
    </row>
    <row r="3362">
      <c r="A3362" s="17">
        <f>IF(B3362="","",B3362+(14*1000+511)/10000000)</f>
        <v/>
      </c>
      <c r="B3362" s="23">
        <f>IF(AND(IFERROR(N(INDEX(Clay_Offices!$A$2:$FZ$601,511,Sync!$C$13)),0)&gt;0,IFERROR(INDEX(Clay_Offices!$A$2:$FZ$601,511,Sync!$C$5)&amp;"","")&lt;&gt;"",OR(LEFT(IFERROR(INDEX(Clay_Offices!$A$2:$FZ$601,511,Sync!$C$5)&amp;"",""),6)&lt;&gt;"SAMPLE",Config!$B$19="Y")),IFERROR(N(INDEX(Clay_Offices!$A$2:$FZ$601,511,Sync!$C$13)),0),"")</f>
        <v/>
      </c>
      <c r="C3362" s="17">
        <f>IF(B3362="","","office")</f>
        <v/>
      </c>
      <c r="D3362" s="17">
        <f>IF(B3362="","",IFERROR(INDEX(Clay_Offices!$A$2:$FZ$601,511,Sync!$C$5)&amp;"",""))</f>
        <v/>
      </c>
      <c r="E3362" s="17">
        <f>IF(B3362="","",IFERROR(INDEX(Clay_Offices!$A$2:$FZ$601,511,Sync!$C$6)&amp;"",""))</f>
        <v/>
      </c>
      <c r="F3362" s="17">
        <f>IF(B3362="","","outreach_sent")</f>
        <v/>
      </c>
      <c r="G3362" s="17">
        <f>IF(B3362="","","")</f>
        <v/>
      </c>
      <c r="H3362" s="17">
        <f>IF(B3362="","","")</f>
        <v/>
      </c>
      <c r="I3362" s="17">
        <f>IF(B3362="","","")</f>
        <v/>
      </c>
      <c r="J3362" s="17">
        <f>IF(B3362="","","touch_3; "&amp;IFERROR(INDEX(Clay_Offices!$A$2:$FZ$601,511,Sync!$C$10)&amp;"","")&amp;"; "&amp;IFERROR(INDEX(Clay_Offices!$A$2:$FZ$601,511,Sync!$C$9)&amp;"",""))</f>
        <v/>
      </c>
      <c r="K3362" t="inlineStr">
        <is>
          <t>office outreach touch 3</t>
        </is>
      </c>
    </row>
    <row r="3363">
      <c r="A3363" s="17">
        <f>IF(B3363="","",B3363+(14*1000+512)/10000000)</f>
        <v/>
      </c>
      <c r="B3363" s="23">
        <f>IF(AND(IFERROR(N(INDEX(Clay_Offices!$A$2:$FZ$601,512,Sync!$C$13)),0)&gt;0,IFERROR(INDEX(Clay_Offices!$A$2:$FZ$601,512,Sync!$C$5)&amp;"","")&lt;&gt;"",OR(LEFT(IFERROR(INDEX(Clay_Offices!$A$2:$FZ$601,512,Sync!$C$5)&amp;"",""),6)&lt;&gt;"SAMPLE",Config!$B$19="Y")),IFERROR(N(INDEX(Clay_Offices!$A$2:$FZ$601,512,Sync!$C$13)),0),"")</f>
        <v/>
      </c>
      <c r="C3363" s="17">
        <f>IF(B3363="","","office")</f>
        <v/>
      </c>
      <c r="D3363" s="17">
        <f>IF(B3363="","",IFERROR(INDEX(Clay_Offices!$A$2:$FZ$601,512,Sync!$C$5)&amp;"",""))</f>
        <v/>
      </c>
      <c r="E3363" s="17">
        <f>IF(B3363="","",IFERROR(INDEX(Clay_Offices!$A$2:$FZ$601,512,Sync!$C$6)&amp;"",""))</f>
        <v/>
      </c>
      <c r="F3363" s="17">
        <f>IF(B3363="","","outreach_sent")</f>
        <v/>
      </c>
      <c r="G3363" s="17">
        <f>IF(B3363="","","")</f>
        <v/>
      </c>
      <c r="H3363" s="17">
        <f>IF(B3363="","","")</f>
        <v/>
      </c>
      <c r="I3363" s="17">
        <f>IF(B3363="","","")</f>
        <v/>
      </c>
      <c r="J3363" s="17">
        <f>IF(B3363="","","touch_3; "&amp;IFERROR(INDEX(Clay_Offices!$A$2:$FZ$601,512,Sync!$C$10)&amp;"","")&amp;"; "&amp;IFERROR(INDEX(Clay_Offices!$A$2:$FZ$601,512,Sync!$C$9)&amp;"",""))</f>
        <v/>
      </c>
      <c r="K3363" t="inlineStr">
        <is>
          <t>office outreach touch 3</t>
        </is>
      </c>
    </row>
    <row r="3364">
      <c r="A3364" s="17">
        <f>IF(B3364="","",B3364+(14*1000+513)/10000000)</f>
        <v/>
      </c>
      <c r="B3364" s="23">
        <f>IF(AND(IFERROR(N(INDEX(Clay_Offices!$A$2:$FZ$601,513,Sync!$C$13)),0)&gt;0,IFERROR(INDEX(Clay_Offices!$A$2:$FZ$601,513,Sync!$C$5)&amp;"","")&lt;&gt;"",OR(LEFT(IFERROR(INDEX(Clay_Offices!$A$2:$FZ$601,513,Sync!$C$5)&amp;"",""),6)&lt;&gt;"SAMPLE",Config!$B$19="Y")),IFERROR(N(INDEX(Clay_Offices!$A$2:$FZ$601,513,Sync!$C$13)),0),"")</f>
        <v/>
      </c>
      <c r="C3364" s="17">
        <f>IF(B3364="","","office")</f>
        <v/>
      </c>
      <c r="D3364" s="17">
        <f>IF(B3364="","",IFERROR(INDEX(Clay_Offices!$A$2:$FZ$601,513,Sync!$C$5)&amp;"",""))</f>
        <v/>
      </c>
      <c r="E3364" s="17">
        <f>IF(B3364="","",IFERROR(INDEX(Clay_Offices!$A$2:$FZ$601,513,Sync!$C$6)&amp;"",""))</f>
        <v/>
      </c>
      <c r="F3364" s="17">
        <f>IF(B3364="","","outreach_sent")</f>
        <v/>
      </c>
      <c r="G3364" s="17">
        <f>IF(B3364="","","")</f>
        <v/>
      </c>
      <c r="H3364" s="17">
        <f>IF(B3364="","","")</f>
        <v/>
      </c>
      <c r="I3364" s="17">
        <f>IF(B3364="","","")</f>
        <v/>
      </c>
      <c r="J3364" s="17">
        <f>IF(B3364="","","touch_3; "&amp;IFERROR(INDEX(Clay_Offices!$A$2:$FZ$601,513,Sync!$C$10)&amp;"","")&amp;"; "&amp;IFERROR(INDEX(Clay_Offices!$A$2:$FZ$601,513,Sync!$C$9)&amp;"",""))</f>
        <v/>
      </c>
      <c r="K3364" t="inlineStr">
        <is>
          <t>office outreach touch 3</t>
        </is>
      </c>
    </row>
    <row r="3365">
      <c r="A3365" s="17">
        <f>IF(B3365="","",B3365+(14*1000+514)/10000000)</f>
        <v/>
      </c>
      <c r="B3365" s="23">
        <f>IF(AND(IFERROR(N(INDEX(Clay_Offices!$A$2:$FZ$601,514,Sync!$C$13)),0)&gt;0,IFERROR(INDEX(Clay_Offices!$A$2:$FZ$601,514,Sync!$C$5)&amp;"","")&lt;&gt;"",OR(LEFT(IFERROR(INDEX(Clay_Offices!$A$2:$FZ$601,514,Sync!$C$5)&amp;"",""),6)&lt;&gt;"SAMPLE",Config!$B$19="Y")),IFERROR(N(INDEX(Clay_Offices!$A$2:$FZ$601,514,Sync!$C$13)),0),"")</f>
        <v/>
      </c>
      <c r="C3365" s="17">
        <f>IF(B3365="","","office")</f>
        <v/>
      </c>
      <c r="D3365" s="17">
        <f>IF(B3365="","",IFERROR(INDEX(Clay_Offices!$A$2:$FZ$601,514,Sync!$C$5)&amp;"",""))</f>
        <v/>
      </c>
      <c r="E3365" s="17">
        <f>IF(B3365="","",IFERROR(INDEX(Clay_Offices!$A$2:$FZ$601,514,Sync!$C$6)&amp;"",""))</f>
        <v/>
      </c>
      <c r="F3365" s="17">
        <f>IF(B3365="","","outreach_sent")</f>
        <v/>
      </c>
      <c r="G3365" s="17">
        <f>IF(B3365="","","")</f>
        <v/>
      </c>
      <c r="H3365" s="17">
        <f>IF(B3365="","","")</f>
        <v/>
      </c>
      <c r="I3365" s="17">
        <f>IF(B3365="","","")</f>
        <v/>
      </c>
      <c r="J3365" s="17">
        <f>IF(B3365="","","touch_3; "&amp;IFERROR(INDEX(Clay_Offices!$A$2:$FZ$601,514,Sync!$C$10)&amp;"","")&amp;"; "&amp;IFERROR(INDEX(Clay_Offices!$A$2:$FZ$601,514,Sync!$C$9)&amp;"",""))</f>
        <v/>
      </c>
      <c r="K3365" t="inlineStr">
        <is>
          <t>office outreach touch 3</t>
        </is>
      </c>
    </row>
    <row r="3366">
      <c r="A3366" s="17">
        <f>IF(B3366="","",B3366+(14*1000+515)/10000000)</f>
        <v/>
      </c>
      <c r="B3366" s="23">
        <f>IF(AND(IFERROR(N(INDEX(Clay_Offices!$A$2:$FZ$601,515,Sync!$C$13)),0)&gt;0,IFERROR(INDEX(Clay_Offices!$A$2:$FZ$601,515,Sync!$C$5)&amp;"","")&lt;&gt;"",OR(LEFT(IFERROR(INDEX(Clay_Offices!$A$2:$FZ$601,515,Sync!$C$5)&amp;"",""),6)&lt;&gt;"SAMPLE",Config!$B$19="Y")),IFERROR(N(INDEX(Clay_Offices!$A$2:$FZ$601,515,Sync!$C$13)),0),"")</f>
        <v/>
      </c>
      <c r="C3366" s="17">
        <f>IF(B3366="","","office")</f>
        <v/>
      </c>
      <c r="D3366" s="17">
        <f>IF(B3366="","",IFERROR(INDEX(Clay_Offices!$A$2:$FZ$601,515,Sync!$C$5)&amp;"",""))</f>
        <v/>
      </c>
      <c r="E3366" s="17">
        <f>IF(B3366="","",IFERROR(INDEX(Clay_Offices!$A$2:$FZ$601,515,Sync!$C$6)&amp;"",""))</f>
        <v/>
      </c>
      <c r="F3366" s="17">
        <f>IF(B3366="","","outreach_sent")</f>
        <v/>
      </c>
      <c r="G3366" s="17">
        <f>IF(B3366="","","")</f>
        <v/>
      </c>
      <c r="H3366" s="17">
        <f>IF(B3366="","","")</f>
        <v/>
      </c>
      <c r="I3366" s="17">
        <f>IF(B3366="","","")</f>
        <v/>
      </c>
      <c r="J3366" s="17">
        <f>IF(B3366="","","touch_3; "&amp;IFERROR(INDEX(Clay_Offices!$A$2:$FZ$601,515,Sync!$C$10)&amp;"","")&amp;"; "&amp;IFERROR(INDEX(Clay_Offices!$A$2:$FZ$601,515,Sync!$C$9)&amp;"",""))</f>
        <v/>
      </c>
      <c r="K3366" t="inlineStr">
        <is>
          <t>office outreach touch 3</t>
        </is>
      </c>
    </row>
    <row r="3367">
      <c r="A3367" s="17">
        <f>IF(B3367="","",B3367+(14*1000+516)/10000000)</f>
        <v/>
      </c>
      <c r="B3367" s="23">
        <f>IF(AND(IFERROR(N(INDEX(Clay_Offices!$A$2:$FZ$601,516,Sync!$C$13)),0)&gt;0,IFERROR(INDEX(Clay_Offices!$A$2:$FZ$601,516,Sync!$C$5)&amp;"","")&lt;&gt;"",OR(LEFT(IFERROR(INDEX(Clay_Offices!$A$2:$FZ$601,516,Sync!$C$5)&amp;"",""),6)&lt;&gt;"SAMPLE",Config!$B$19="Y")),IFERROR(N(INDEX(Clay_Offices!$A$2:$FZ$601,516,Sync!$C$13)),0),"")</f>
        <v/>
      </c>
      <c r="C3367" s="17">
        <f>IF(B3367="","","office")</f>
        <v/>
      </c>
      <c r="D3367" s="17">
        <f>IF(B3367="","",IFERROR(INDEX(Clay_Offices!$A$2:$FZ$601,516,Sync!$C$5)&amp;"",""))</f>
        <v/>
      </c>
      <c r="E3367" s="17">
        <f>IF(B3367="","",IFERROR(INDEX(Clay_Offices!$A$2:$FZ$601,516,Sync!$C$6)&amp;"",""))</f>
        <v/>
      </c>
      <c r="F3367" s="17">
        <f>IF(B3367="","","outreach_sent")</f>
        <v/>
      </c>
      <c r="G3367" s="17">
        <f>IF(B3367="","","")</f>
        <v/>
      </c>
      <c r="H3367" s="17">
        <f>IF(B3367="","","")</f>
        <v/>
      </c>
      <c r="I3367" s="17">
        <f>IF(B3367="","","")</f>
        <v/>
      </c>
      <c r="J3367" s="17">
        <f>IF(B3367="","","touch_3; "&amp;IFERROR(INDEX(Clay_Offices!$A$2:$FZ$601,516,Sync!$C$10)&amp;"","")&amp;"; "&amp;IFERROR(INDEX(Clay_Offices!$A$2:$FZ$601,516,Sync!$C$9)&amp;"",""))</f>
        <v/>
      </c>
      <c r="K3367" t="inlineStr">
        <is>
          <t>office outreach touch 3</t>
        </is>
      </c>
    </row>
    <row r="3368">
      <c r="A3368" s="17">
        <f>IF(B3368="","",B3368+(14*1000+517)/10000000)</f>
        <v/>
      </c>
      <c r="B3368" s="23">
        <f>IF(AND(IFERROR(N(INDEX(Clay_Offices!$A$2:$FZ$601,517,Sync!$C$13)),0)&gt;0,IFERROR(INDEX(Clay_Offices!$A$2:$FZ$601,517,Sync!$C$5)&amp;"","")&lt;&gt;"",OR(LEFT(IFERROR(INDEX(Clay_Offices!$A$2:$FZ$601,517,Sync!$C$5)&amp;"",""),6)&lt;&gt;"SAMPLE",Config!$B$19="Y")),IFERROR(N(INDEX(Clay_Offices!$A$2:$FZ$601,517,Sync!$C$13)),0),"")</f>
        <v/>
      </c>
      <c r="C3368" s="17">
        <f>IF(B3368="","","office")</f>
        <v/>
      </c>
      <c r="D3368" s="17">
        <f>IF(B3368="","",IFERROR(INDEX(Clay_Offices!$A$2:$FZ$601,517,Sync!$C$5)&amp;"",""))</f>
        <v/>
      </c>
      <c r="E3368" s="17">
        <f>IF(B3368="","",IFERROR(INDEX(Clay_Offices!$A$2:$FZ$601,517,Sync!$C$6)&amp;"",""))</f>
        <v/>
      </c>
      <c r="F3368" s="17">
        <f>IF(B3368="","","outreach_sent")</f>
        <v/>
      </c>
      <c r="G3368" s="17">
        <f>IF(B3368="","","")</f>
        <v/>
      </c>
      <c r="H3368" s="17">
        <f>IF(B3368="","","")</f>
        <v/>
      </c>
      <c r="I3368" s="17">
        <f>IF(B3368="","","")</f>
        <v/>
      </c>
      <c r="J3368" s="17">
        <f>IF(B3368="","","touch_3; "&amp;IFERROR(INDEX(Clay_Offices!$A$2:$FZ$601,517,Sync!$C$10)&amp;"","")&amp;"; "&amp;IFERROR(INDEX(Clay_Offices!$A$2:$FZ$601,517,Sync!$C$9)&amp;"",""))</f>
        <v/>
      </c>
      <c r="K3368" t="inlineStr">
        <is>
          <t>office outreach touch 3</t>
        </is>
      </c>
    </row>
    <row r="3369">
      <c r="A3369" s="17">
        <f>IF(B3369="","",B3369+(14*1000+518)/10000000)</f>
        <v/>
      </c>
      <c r="B3369" s="23">
        <f>IF(AND(IFERROR(N(INDEX(Clay_Offices!$A$2:$FZ$601,518,Sync!$C$13)),0)&gt;0,IFERROR(INDEX(Clay_Offices!$A$2:$FZ$601,518,Sync!$C$5)&amp;"","")&lt;&gt;"",OR(LEFT(IFERROR(INDEX(Clay_Offices!$A$2:$FZ$601,518,Sync!$C$5)&amp;"",""),6)&lt;&gt;"SAMPLE",Config!$B$19="Y")),IFERROR(N(INDEX(Clay_Offices!$A$2:$FZ$601,518,Sync!$C$13)),0),"")</f>
        <v/>
      </c>
      <c r="C3369" s="17">
        <f>IF(B3369="","","office")</f>
        <v/>
      </c>
      <c r="D3369" s="17">
        <f>IF(B3369="","",IFERROR(INDEX(Clay_Offices!$A$2:$FZ$601,518,Sync!$C$5)&amp;"",""))</f>
        <v/>
      </c>
      <c r="E3369" s="17">
        <f>IF(B3369="","",IFERROR(INDEX(Clay_Offices!$A$2:$FZ$601,518,Sync!$C$6)&amp;"",""))</f>
        <v/>
      </c>
      <c r="F3369" s="17">
        <f>IF(B3369="","","outreach_sent")</f>
        <v/>
      </c>
      <c r="G3369" s="17">
        <f>IF(B3369="","","")</f>
        <v/>
      </c>
      <c r="H3369" s="17">
        <f>IF(B3369="","","")</f>
        <v/>
      </c>
      <c r="I3369" s="17">
        <f>IF(B3369="","","")</f>
        <v/>
      </c>
      <c r="J3369" s="17">
        <f>IF(B3369="","","touch_3; "&amp;IFERROR(INDEX(Clay_Offices!$A$2:$FZ$601,518,Sync!$C$10)&amp;"","")&amp;"; "&amp;IFERROR(INDEX(Clay_Offices!$A$2:$FZ$601,518,Sync!$C$9)&amp;"",""))</f>
        <v/>
      </c>
      <c r="K3369" t="inlineStr">
        <is>
          <t>office outreach touch 3</t>
        </is>
      </c>
    </row>
    <row r="3370">
      <c r="A3370" s="17">
        <f>IF(B3370="","",B3370+(14*1000+519)/10000000)</f>
        <v/>
      </c>
      <c r="B3370" s="23">
        <f>IF(AND(IFERROR(N(INDEX(Clay_Offices!$A$2:$FZ$601,519,Sync!$C$13)),0)&gt;0,IFERROR(INDEX(Clay_Offices!$A$2:$FZ$601,519,Sync!$C$5)&amp;"","")&lt;&gt;"",OR(LEFT(IFERROR(INDEX(Clay_Offices!$A$2:$FZ$601,519,Sync!$C$5)&amp;"",""),6)&lt;&gt;"SAMPLE",Config!$B$19="Y")),IFERROR(N(INDEX(Clay_Offices!$A$2:$FZ$601,519,Sync!$C$13)),0),"")</f>
        <v/>
      </c>
      <c r="C3370" s="17">
        <f>IF(B3370="","","office")</f>
        <v/>
      </c>
      <c r="D3370" s="17">
        <f>IF(B3370="","",IFERROR(INDEX(Clay_Offices!$A$2:$FZ$601,519,Sync!$C$5)&amp;"",""))</f>
        <v/>
      </c>
      <c r="E3370" s="17">
        <f>IF(B3370="","",IFERROR(INDEX(Clay_Offices!$A$2:$FZ$601,519,Sync!$C$6)&amp;"",""))</f>
        <v/>
      </c>
      <c r="F3370" s="17">
        <f>IF(B3370="","","outreach_sent")</f>
        <v/>
      </c>
      <c r="G3370" s="17">
        <f>IF(B3370="","","")</f>
        <v/>
      </c>
      <c r="H3370" s="17">
        <f>IF(B3370="","","")</f>
        <v/>
      </c>
      <c r="I3370" s="17">
        <f>IF(B3370="","","")</f>
        <v/>
      </c>
      <c r="J3370" s="17">
        <f>IF(B3370="","","touch_3; "&amp;IFERROR(INDEX(Clay_Offices!$A$2:$FZ$601,519,Sync!$C$10)&amp;"","")&amp;"; "&amp;IFERROR(INDEX(Clay_Offices!$A$2:$FZ$601,519,Sync!$C$9)&amp;"",""))</f>
        <v/>
      </c>
      <c r="K3370" t="inlineStr">
        <is>
          <t>office outreach touch 3</t>
        </is>
      </c>
    </row>
    <row r="3371">
      <c r="A3371" s="17">
        <f>IF(B3371="","",B3371+(14*1000+520)/10000000)</f>
        <v/>
      </c>
      <c r="B3371" s="23">
        <f>IF(AND(IFERROR(N(INDEX(Clay_Offices!$A$2:$FZ$601,520,Sync!$C$13)),0)&gt;0,IFERROR(INDEX(Clay_Offices!$A$2:$FZ$601,520,Sync!$C$5)&amp;"","")&lt;&gt;"",OR(LEFT(IFERROR(INDEX(Clay_Offices!$A$2:$FZ$601,520,Sync!$C$5)&amp;"",""),6)&lt;&gt;"SAMPLE",Config!$B$19="Y")),IFERROR(N(INDEX(Clay_Offices!$A$2:$FZ$601,520,Sync!$C$13)),0),"")</f>
        <v/>
      </c>
      <c r="C3371" s="17">
        <f>IF(B3371="","","office")</f>
        <v/>
      </c>
      <c r="D3371" s="17">
        <f>IF(B3371="","",IFERROR(INDEX(Clay_Offices!$A$2:$FZ$601,520,Sync!$C$5)&amp;"",""))</f>
        <v/>
      </c>
      <c r="E3371" s="17">
        <f>IF(B3371="","",IFERROR(INDEX(Clay_Offices!$A$2:$FZ$601,520,Sync!$C$6)&amp;"",""))</f>
        <v/>
      </c>
      <c r="F3371" s="17">
        <f>IF(B3371="","","outreach_sent")</f>
        <v/>
      </c>
      <c r="G3371" s="17">
        <f>IF(B3371="","","")</f>
        <v/>
      </c>
      <c r="H3371" s="17">
        <f>IF(B3371="","","")</f>
        <v/>
      </c>
      <c r="I3371" s="17">
        <f>IF(B3371="","","")</f>
        <v/>
      </c>
      <c r="J3371" s="17">
        <f>IF(B3371="","","touch_3; "&amp;IFERROR(INDEX(Clay_Offices!$A$2:$FZ$601,520,Sync!$C$10)&amp;"","")&amp;"; "&amp;IFERROR(INDEX(Clay_Offices!$A$2:$FZ$601,520,Sync!$C$9)&amp;"",""))</f>
        <v/>
      </c>
      <c r="K3371" t="inlineStr">
        <is>
          <t>office outreach touch 3</t>
        </is>
      </c>
    </row>
    <row r="3372">
      <c r="A3372" s="17">
        <f>IF(B3372="","",B3372+(14*1000+521)/10000000)</f>
        <v/>
      </c>
      <c r="B3372" s="23">
        <f>IF(AND(IFERROR(N(INDEX(Clay_Offices!$A$2:$FZ$601,521,Sync!$C$13)),0)&gt;0,IFERROR(INDEX(Clay_Offices!$A$2:$FZ$601,521,Sync!$C$5)&amp;"","")&lt;&gt;"",OR(LEFT(IFERROR(INDEX(Clay_Offices!$A$2:$FZ$601,521,Sync!$C$5)&amp;"",""),6)&lt;&gt;"SAMPLE",Config!$B$19="Y")),IFERROR(N(INDEX(Clay_Offices!$A$2:$FZ$601,521,Sync!$C$13)),0),"")</f>
        <v/>
      </c>
      <c r="C3372" s="17">
        <f>IF(B3372="","","office")</f>
        <v/>
      </c>
      <c r="D3372" s="17">
        <f>IF(B3372="","",IFERROR(INDEX(Clay_Offices!$A$2:$FZ$601,521,Sync!$C$5)&amp;"",""))</f>
        <v/>
      </c>
      <c r="E3372" s="17">
        <f>IF(B3372="","",IFERROR(INDEX(Clay_Offices!$A$2:$FZ$601,521,Sync!$C$6)&amp;"",""))</f>
        <v/>
      </c>
      <c r="F3372" s="17">
        <f>IF(B3372="","","outreach_sent")</f>
        <v/>
      </c>
      <c r="G3372" s="17">
        <f>IF(B3372="","","")</f>
        <v/>
      </c>
      <c r="H3372" s="17">
        <f>IF(B3372="","","")</f>
        <v/>
      </c>
      <c r="I3372" s="17">
        <f>IF(B3372="","","")</f>
        <v/>
      </c>
      <c r="J3372" s="17">
        <f>IF(B3372="","","touch_3; "&amp;IFERROR(INDEX(Clay_Offices!$A$2:$FZ$601,521,Sync!$C$10)&amp;"","")&amp;"; "&amp;IFERROR(INDEX(Clay_Offices!$A$2:$FZ$601,521,Sync!$C$9)&amp;"",""))</f>
        <v/>
      </c>
      <c r="K3372" t="inlineStr">
        <is>
          <t>office outreach touch 3</t>
        </is>
      </c>
    </row>
    <row r="3373">
      <c r="A3373" s="17">
        <f>IF(B3373="","",B3373+(14*1000+522)/10000000)</f>
        <v/>
      </c>
      <c r="B3373" s="23">
        <f>IF(AND(IFERROR(N(INDEX(Clay_Offices!$A$2:$FZ$601,522,Sync!$C$13)),0)&gt;0,IFERROR(INDEX(Clay_Offices!$A$2:$FZ$601,522,Sync!$C$5)&amp;"","")&lt;&gt;"",OR(LEFT(IFERROR(INDEX(Clay_Offices!$A$2:$FZ$601,522,Sync!$C$5)&amp;"",""),6)&lt;&gt;"SAMPLE",Config!$B$19="Y")),IFERROR(N(INDEX(Clay_Offices!$A$2:$FZ$601,522,Sync!$C$13)),0),"")</f>
        <v/>
      </c>
      <c r="C3373" s="17">
        <f>IF(B3373="","","office")</f>
        <v/>
      </c>
      <c r="D3373" s="17">
        <f>IF(B3373="","",IFERROR(INDEX(Clay_Offices!$A$2:$FZ$601,522,Sync!$C$5)&amp;"",""))</f>
        <v/>
      </c>
      <c r="E3373" s="17">
        <f>IF(B3373="","",IFERROR(INDEX(Clay_Offices!$A$2:$FZ$601,522,Sync!$C$6)&amp;"",""))</f>
        <v/>
      </c>
      <c r="F3373" s="17">
        <f>IF(B3373="","","outreach_sent")</f>
        <v/>
      </c>
      <c r="G3373" s="17">
        <f>IF(B3373="","","")</f>
        <v/>
      </c>
      <c r="H3373" s="17">
        <f>IF(B3373="","","")</f>
        <v/>
      </c>
      <c r="I3373" s="17">
        <f>IF(B3373="","","")</f>
        <v/>
      </c>
      <c r="J3373" s="17">
        <f>IF(B3373="","","touch_3; "&amp;IFERROR(INDEX(Clay_Offices!$A$2:$FZ$601,522,Sync!$C$10)&amp;"","")&amp;"; "&amp;IFERROR(INDEX(Clay_Offices!$A$2:$FZ$601,522,Sync!$C$9)&amp;"",""))</f>
        <v/>
      </c>
      <c r="K3373" t="inlineStr">
        <is>
          <t>office outreach touch 3</t>
        </is>
      </c>
    </row>
    <row r="3374">
      <c r="A3374" s="17">
        <f>IF(B3374="","",B3374+(14*1000+523)/10000000)</f>
        <v/>
      </c>
      <c r="B3374" s="23">
        <f>IF(AND(IFERROR(N(INDEX(Clay_Offices!$A$2:$FZ$601,523,Sync!$C$13)),0)&gt;0,IFERROR(INDEX(Clay_Offices!$A$2:$FZ$601,523,Sync!$C$5)&amp;"","")&lt;&gt;"",OR(LEFT(IFERROR(INDEX(Clay_Offices!$A$2:$FZ$601,523,Sync!$C$5)&amp;"",""),6)&lt;&gt;"SAMPLE",Config!$B$19="Y")),IFERROR(N(INDEX(Clay_Offices!$A$2:$FZ$601,523,Sync!$C$13)),0),"")</f>
        <v/>
      </c>
      <c r="C3374" s="17">
        <f>IF(B3374="","","office")</f>
        <v/>
      </c>
      <c r="D3374" s="17">
        <f>IF(B3374="","",IFERROR(INDEX(Clay_Offices!$A$2:$FZ$601,523,Sync!$C$5)&amp;"",""))</f>
        <v/>
      </c>
      <c r="E3374" s="17">
        <f>IF(B3374="","",IFERROR(INDEX(Clay_Offices!$A$2:$FZ$601,523,Sync!$C$6)&amp;"",""))</f>
        <v/>
      </c>
      <c r="F3374" s="17">
        <f>IF(B3374="","","outreach_sent")</f>
        <v/>
      </c>
      <c r="G3374" s="17">
        <f>IF(B3374="","","")</f>
        <v/>
      </c>
      <c r="H3374" s="17">
        <f>IF(B3374="","","")</f>
        <v/>
      </c>
      <c r="I3374" s="17">
        <f>IF(B3374="","","")</f>
        <v/>
      </c>
      <c r="J3374" s="17">
        <f>IF(B3374="","","touch_3; "&amp;IFERROR(INDEX(Clay_Offices!$A$2:$FZ$601,523,Sync!$C$10)&amp;"","")&amp;"; "&amp;IFERROR(INDEX(Clay_Offices!$A$2:$FZ$601,523,Sync!$C$9)&amp;"",""))</f>
        <v/>
      </c>
      <c r="K3374" t="inlineStr">
        <is>
          <t>office outreach touch 3</t>
        </is>
      </c>
    </row>
    <row r="3375">
      <c r="A3375" s="17">
        <f>IF(B3375="","",B3375+(14*1000+524)/10000000)</f>
        <v/>
      </c>
      <c r="B3375" s="23">
        <f>IF(AND(IFERROR(N(INDEX(Clay_Offices!$A$2:$FZ$601,524,Sync!$C$13)),0)&gt;0,IFERROR(INDEX(Clay_Offices!$A$2:$FZ$601,524,Sync!$C$5)&amp;"","")&lt;&gt;"",OR(LEFT(IFERROR(INDEX(Clay_Offices!$A$2:$FZ$601,524,Sync!$C$5)&amp;"",""),6)&lt;&gt;"SAMPLE",Config!$B$19="Y")),IFERROR(N(INDEX(Clay_Offices!$A$2:$FZ$601,524,Sync!$C$13)),0),"")</f>
        <v/>
      </c>
      <c r="C3375" s="17">
        <f>IF(B3375="","","office")</f>
        <v/>
      </c>
      <c r="D3375" s="17">
        <f>IF(B3375="","",IFERROR(INDEX(Clay_Offices!$A$2:$FZ$601,524,Sync!$C$5)&amp;"",""))</f>
        <v/>
      </c>
      <c r="E3375" s="17">
        <f>IF(B3375="","",IFERROR(INDEX(Clay_Offices!$A$2:$FZ$601,524,Sync!$C$6)&amp;"",""))</f>
        <v/>
      </c>
      <c r="F3375" s="17">
        <f>IF(B3375="","","outreach_sent")</f>
        <v/>
      </c>
      <c r="G3375" s="17">
        <f>IF(B3375="","","")</f>
        <v/>
      </c>
      <c r="H3375" s="17">
        <f>IF(B3375="","","")</f>
        <v/>
      </c>
      <c r="I3375" s="17">
        <f>IF(B3375="","","")</f>
        <v/>
      </c>
      <c r="J3375" s="17">
        <f>IF(B3375="","","touch_3; "&amp;IFERROR(INDEX(Clay_Offices!$A$2:$FZ$601,524,Sync!$C$10)&amp;"","")&amp;"; "&amp;IFERROR(INDEX(Clay_Offices!$A$2:$FZ$601,524,Sync!$C$9)&amp;"",""))</f>
        <v/>
      </c>
      <c r="K3375" t="inlineStr">
        <is>
          <t>office outreach touch 3</t>
        </is>
      </c>
    </row>
    <row r="3376">
      <c r="A3376" s="17">
        <f>IF(B3376="","",B3376+(14*1000+525)/10000000)</f>
        <v/>
      </c>
      <c r="B3376" s="23">
        <f>IF(AND(IFERROR(N(INDEX(Clay_Offices!$A$2:$FZ$601,525,Sync!$C$13)),0)&gt;0,IFERROR(INDEX(Clay_Offices!$A$2:$FZ$601,525,Sync!$C$5)&amp;"","")&lt;&gt;"",OR(LEFT(IFERROR(INDEX(Clay_Offices!$A$2:$FZ$601,525,Sync!$C$5)&amp;"",""),6)&lt;&gt;"SAMPLE",Config!$B$19="Y")),IFERROR(N(INDEX(Clay_Offices!$A$2:$FZ$601,525,Sync!$C$13)),0),"")</f>
        <v/>
      </c>
      <c r="C3376" s="17">
        <f>IF(B3376="","","office")</f>
        <v/>
      </c>
      <c r="D3376" s="17">
        <f>IF(B3376="","",IFERROR(INDEX(Clay_Offices!$A$2:$FZ$601,525,Sync!$C$5)&amp;"",""))</f>
        <v/>
      </c>
      <c r="E3376" s="17">
        <f>IF(B3376="","",IFERROR(INDEX(Clay_Offices!$A$2:$FZ$601,525,Sync!$C$6)&amp;"",""))</f>
        <v/>
      </c>
      <c r="F3376" s="17">
        <f>IF(B3376="","","outreach_sent")</f>
        <v/>
      </c>
      <c r="G3376" s="17">
        <f>IF(B3376="","","")</f>
        <v/>
      </c>
      <c r="H3376" s="17">
        <f>IF(B3376="","","")</f>
        <v/>
      </c>
      <c r="I3376" s="17">
        <f>IF(B3376="","","")</f>
        <v/>
      </c>
      <c r="J3376" s="17">
        <f>IF(B3376="","","touch_3; "&amp;IFERROR(INDEX(Clay_Offices!$A$2:$FZ$601,525,Sync!$C$10)&amp;"","")&amp;"; "&amp;IFERROR(INDEX(Clay_Offices!$A$2:$FZ$601,525,Sync!$C$9)&amp;"",""))</f>
        <v/>
      </c>
      <c r="K3376" t="inlineStr">
        <is>
          <t>office outreach touch 3</t>
        </is>
      </c>
    </row>
    <row r="3377">
      <c r="A3377" s="17">
        <f>IF(B3377="","",B3377+(14*1000+526)/10000000)</f>
        <v/>
      </c>
      <c r="B3377" s="23">
        <f>IF(AND(IFERROR(N(INDEX(Clay_Offices!$A$2:$FZ$601,526,Sync!$C$13)),0)&gt;0,IFERROR(INDEX(Clay_Offices!$A$2:$FZ$601,526,Sync!$C$5)&amp;"","")&lt;&gt;"",OR(LEFT(IFERROR(INDEX(Clay_Offices!$A$2:$FZ$601,526,Sync!$C$5)&amp;"",""),6)&lt;&gt;"SAMPLE",Config!$B$19="Y")),IFERROR(N(INDEX(Clay_Offices!$A$2:$FZ$601,526,Sync!$C$13)),0),"")</f>
        <v/>
      </c>
      <c r="C3377" s="17">
        <f>IF(B3377="","","office")</f>
        <v/>
      </c>
      <c r="D3377" s="17">
        <f>IF(B3377="","",IFERROR(INDEX(Clay_Offices!$A$2:$FZ$601,526,Sync!$C$5)&amp;"",""))</f>
        <v/>
      </c>
      <c r="E3377" s="17">
        <f>IF(B3377="","",IFERROR(INDEX(Clay_Offices!$A$2:$FZ$601,526,Sync!$C$6)&amp;"",""))</f>
        <v/>
      </c>
      <c r="F3377" s="17">
        <f>IF(B3377="","","outreach_sent")</f>
        <v/>
      </c>
      <c r="G3377" s="17">
        <f>IF(B3377="","","")</f>
        <v/>
      </c>
      <c r="H3377" s="17">
        <f>IF(B3377="","","")</f>
        <v/>
      </c>
      <c r="I3377" s="17">
        <f>IF(B3377="","","")</f>
        <v/>
      </c>
      <c r="J3377" s="17">
        <f>IF(B3377="","","touch_3; "&amp;IFERROR(INDEX(Clay_Offices!$A$2:$FZ$601,526,Sync!$C$10)&amp;"","")&amp;"; "&amp;IFERROR(INDEX(Clay_Offices!$A$2:$FZ$601,526,Sync!$C$9)&amp;"",""))</f>
        <v/>
      </c>
      <c r="K3377" t="inlineStr">
        <is>
          <t>office outreach touch 3</t>
        </is>
      </c>
    </row>
    <row r="3378">
      <c r="A3378" s="17">
        <f>IF(B3378="","",B3378+(14*1000+527)/10000000)</f>
        <v/>
      </c>
      <c r="B3378" s="23">
        <f>IF(AND(IFERROR(N(INDEX(Clay_Offices!$A$2:$FZ$601,527,Sync!$C$13)),0)&gt;0,IFERROR(INDEX(Clay_Offices!$A$2:$FZ$601,527,Sync!$C$5)&amp;"","")&lt;&gt;"",OR(LEFT(IFERROR(INDEX(Clay_Offices!$A$2:$FZ$601,527,Sync!$C$5)&amp;"",""),6)&lt;&gt;"SAMPLE",Config!$B$19="Y")),IFERROR(N(INDEX(Clay_Offices!$A$2:$FZ$601,527,Sync!$C$13)),0),"")</f>
        <v/>
      </c>
      <c r="C3378" s="17">
        <f>IF(B3378="","","office")</f>
        <v/>
      </c>
      <c r="D3378" s="17">
        <f>IF(B3378="","",IFERROR(INDEX(Clay_Offices!$A$2:$FZ$601,527,Sync!$C$5)&amp;"",""))</f>
        <v/>
      </c>
      <c r="E3378" s="17">
        <f>IF(B3378="","",IFERROR(INDEX(Clay_Offices!$A$2:$FZ$601,527,Sync!$C$6)&amp;"",""))</f>
        <v/>
      </c>
      <c r="F3378" s="17">
        <f>IF(B3378="","","outreach_sent")</f>
        <v/>
      </c>
      <c r="G3378" s="17">
        <f>IF(B3378="","","")</f>
        <v/>
      </c>
      <c r="H3378" s="17">
        <f>IF(B3378="","","")</f>
        <v/>
      </c>
      <c r="I3378" s="17">
        <f>IF(B3378="","","")</f>
        <v/>
      </c>
      <c r="J3378" s="17">
        <f>IF(B3378="","","touch_3; "&amp;IFERROR(INDEX(Clay_Offices!$A$2:$FZ$601,527,Sync!$C$10)&amp;"","")&amp;"; "&amp;IFERROR(INDEX(Clay_Offices!$A$2:$FZ$601,527,Sync!$C$9)&amp;"",""))</f>
        <v/>
      </c>
      <c r="K3378" t="inlineStr">
        <is>
          <t>office outreach touch 3</t>
        </is>
      </c>
    </row>
    <row r="3379">
      <c r="A3379" s="17">
        <f>IF(B3379="","",B3379+(14*1000+528)/10000000)</f>
        <v/>
      </c>
      <c r="B3379" s="23">
        <f>IF(AND(IFERROR(N(INDEX(Clay_Offices!$A$2:$FZ$601,528,Sync!$C$13)),0)&gt;0,IFERROR(INDEX(Clay_Offices!$A$2:$FZ$601,528,Sync!$C$5)&amp;"","")&lt;&gt;"",OR(LEFT(IFERROR(INDEX(Clay_Offices!$A$2:$FZ$601,528,Sync!$C$5)&amp;"",""),6)&lt;&gt;"SAMPLE",Config!$B$19="Y")),IFERROR(N(INDEX(Clay_Offices!$A$2:$FZ$601,528,Sync!$C$13)),0),"")</f>
        <v/>
      </c>
      <c r="C3379" s="17">
        <f>IF(B3379="","","office")</f>
        <v/>
      </c>
      <c r="D3379" s="17">
        <f>IF(B3379="","",IFERROR(INDEX(Clay_Offices!$A$2:$FZ$601,528,Sync!$C$5)&amp;"",""))</f>
        <v/>
      </c>
      <c r="E3379" s="17">
        <f>IF(B3379="","",IFERROR(INDEX(Clay_Offices!$A$2:$FZ$601,528,Sync!$C$6)&amp;"",""))</f>
        <v/>
      </c>
      <c r="F3379" s="17">
        <f>IF(B3379="","","outreach_sent")</f>
        <v/>
      </c>
      <c r="G3379" s="17">
        <f>IF(B3379="","","")</f>
        <v/>
      </c>
      <c r="H3379" s="17">
        <f>IF(B3379="","","")</f>
        <v/>
      </c>
      <c r="I3379" s="17">
        <f>IF(B3379="","","")</f>
        <v/>
      </c>
      <c r="J3379" s="17">
        <f>IF(B3379="","","touch_3; "&amp;IFERROR(INDEX(Clay_Offices!$A$2:$FZ$601,528,Sync!$C$10)&amp;"","")&amp;"; "&amp;IFERROR(INDEX(Clay_Offices!$A$2:$FZ$601,528,Sync!$C$9)&amp;"",""))</f>
        <v/>
      </c>
      <c r="K3379" t="inlineStr">
        <is>
          <t>office outreach touch 3</t>
        </is>
      </c>
    </row>
    <row r="3380">
      <c r="A3380" s="17">
        <f>IF(B3380="","",B3380+(14*1000+529)/10000000)</f>
        <v/>
      </c>
      <c r="B3380" s="23">
        <f>IF(AND(IFERROR(N(INDEX(Clay_Offices!$A$2:$FZ$601,529,Sync!$C$13)),0)&gt;0,IFERROR(INDEX(Clay_Offices!$A$2:$FZ$601,529,Sync!$C$5)&amp;"","")&lt;&gt;"",OR(LEFT(IFERROR(INDEX(Clay_Offices!$A$2:$FZ$601,529,Sync!$C$5)&amp;"",""),6)&lt;&gt;"SAMPLE",Config!$B$19="Y")),IFERROR(N(INDEX(Clay_Offices!$A$2:$FZ$601,529,Sync!$C$13)),0),"")</f>
        <v/>
      </c>
      <c r="C3380" s="17">
        <f>IF(B3380="","","office")</f>
        <v/>
      </c>
      <c r="D3380" s="17">
        <f>IF(B3380="","",IFERROR(INDEX(Clay_Offices!$A$2:$FZ$601,529,Sync!$C$5)&amp;"",""))</f>
        <v/>
      </c>
      <c r="E3380" s="17">
        <f>IF(B3380="","",IFERROR(INDEX(Clay_Offices!$A$2:$FZ$601,529,Sync!$C$6)&amp;"",""))</f>
        <v/>
      </c>
      <c r="F3380" s="17">
        <f>IF(B3380="","","outreach_sent")</f>
        <v/>
      </c>
      <c r="G3380" s="17">
        <f>IF(B3380="","","")</f>
        <v/>
      </c>
      <c r="H3380" s="17">
        <f>IF(B3380="","","")</f>
        <v/>
      </c>
      <c r="I3380" s="17">
        <f>IF(B3380="","","")</f>
        <v/>
      </c>
      <c r="J3380" s="17">
        <f>IF(B3380="","","touch_3; "&amp;IFERROR(INDEX(Clay_Offices!$A$2:$FZ$601,529,Sync!$C$10)&amp;"","")&amp;"; "&amp;IFERROR(INDEX(Clay_Offices!$A$2:$FZ$601,529,Sync!$C$9)&amp;"",""))</f>
        <v/>
      </c>
      <c r="K3380" t="inlineStr">
        <is>
          <t>office outreach touch 3</t>
        </is>
      </c>
    </row>
    <row r="3381">
      <c r="A3381" s="17">
        <f>IF(B3381="","",B3381+(14*1000+530)/10000000)</f>
        <v/>
      </c>
      <c r="B3381" s="23">
        <f>IF(AND(IFERROR(N(INDEX(Clay_Offices!$A$2:$FZ$601,530,Sync!$C$13)),0)&gt;0,IFERROR(INDEX(Clay_Offices!$A$2:$FZ$601,530,Sync!$C$5)&amp;"","")&lt;&gt;"",OR(LEFT(IFERROR(INDEX(Clay_Offices!$A$2:$FZ$601,530,Sync!$C$5)&amp;"",""),6)&lt;&gt;"SAMPLE",Config!$B$19="Y")),IFERROR(N(INDEX(Clay_Offices!$A$2:$FZ$601,530,Sync!$C$13)),0),"")</f>
        <v/>
      </c>
      <c r="C3381" s="17">
        <f>IF(B3381="","","office")</f>
        <v/>
      </c>
      <c r="D3381" s="17">
        <f>IF(B3381="","",IFERROR(INDEX(Clay_Offices!$A$2:$FZ$601,530,Sync!$C$5)&amp;"",""))</f>
        <v/>
      </c>
      <c r="E3381" s="17">
        <f>IF(B3381="","",IFERROR(INDEX(Clay_Offices!$A$2:$FZ$601,530,Sync!$C$6)&amp;"",""))</f>
        <v/>
      </c>
      <c r="F3381" s="17">
        <f>IF(B3381="","","outreach_sent")</f>
        <v/>
      </c>
      <c r="G3381" s="17">
        <f>IF(B3381="","","")</f>
        <v/>
      </c>
      <c r="H3381" s="17">
        <f>IF(B3381="","","")</f>
        <v/>
      </c>
      <c r="I3381" s="17">
        <f>IF(B3381="","","")</f>
        <v/>
      </c>
      <c r="J3381" s="17">
        <f>IF(B3381="","","touch_3; "&amp;IFERROR(INDEX(Clay_Offices!$A$2:$FZ$601,530,Sync!$C$10)&amp;"","")&amp;"; "&amp;IFERROR(INDEX(Clay_Offices!$A$2:$FZ$601,530,Sync!$C$9)&amp;"",""))</f>
        <v/>
      </c>
      <c r="K3381" t="inlineStr">
        <is>
          <t>office outreach touch 3</t>
        </is>
      </c>
    </row>
    <row r="3382">
      <c r="A3382" s="17">
        <f>IF(B3382="","",B3382+(14*1000+531)/10000000)</f>
        <v/>
      </c>
      <c r="B3382" s="23">
        <f>IF(AND(IFERROR(N(INDEX(Clay_Offices!$A$2:$FZ$601,531,Sync!$C$13)),0)&gt;0,IFERROR(INDEX(Clay_Offices!$A$2:$FZ$601,531,Sync!$C$5)&amp;"","")&lt;&gt;"",OR(LEFT(IFERROR(INDEX(Clay_Offices!$A$2:$FZ$601,531,Sync!$C$5)&amp;"",""),6)&lt;&gt;"SAMPLE",Config!$B$19="Y")),IFERROR(N(INDEX(Clay_Offices!$A$2:$FZ$601,531,Sync!$C$13)),0),"")</f>
        <v/>
      </c>
      <c r="C3382" s="17">
        <f>IF(B3382="","","office")</f>
        <v/>
      </c>
      <c r="D3382" s="17">
        <f>IF(B3382="","",IFERROR(INDEX(Clay_Offices!$A$2:$FZ$601,531,Sync!$C$5)&amp;"",""))</f>
        <v/>
      </c>
      <c r="E3382" s="17">
        <f>IF(B3382="","",IFERROR(INDEX(Clay_Offices!$A$2:$FZ$601,531,Sync!$C$6)&amp;"",""))</f>
        <v/>
      </c>
      <c r="F3382" s="17">
        <f>IF(B3382="","","outreach_sent")</f>
        <v/>
      </c>
      <c r="G3382" s="17">
        <f>IF(B3382="","","")</f>
        <v/>
      </c>
      <c r="H3382" s="17">
        <f>IF(B3382="","","")</f>
        <v/>
      </c>
      <c r="I3382" s="17">
        <f>IF(B3382="","","")</f>
        <v/>
      </c>
      <c r="J3382" s="17">
        <f>IF(B3382="","","touch_3; "&amp;IFERROR(INDEX(Clay_Offices!$A$2:$FZ$601,531,Sync!$C$10)&amp;"","")&amp;"; "&amp;IFERROR(INDEX(Clay_Offices!$A$2:$FZ$601,531,Sync!$C$9)&amp;"",""))</f>
        <v/>
      </c>
      <c r="K3382" t="inlineStr">
        <is>
          <t>office outreach touch 3</t>
        </is>
      </c>
    </row>
    <row r="3383">
      <c r="A3383" s="17">
        <f>IF(B3383="","",B3383+(14*1000+532)/10000000)</f>
        <v/>
      </c>
      <c r="B3383" s="23">
        <f>IF(AND(IFERROR(N(INDEX(Clay_Offices!$A$2:$FZ$601,532,Sync!$C$13)),0)&gt;0,IFERROR(INDEX(Clay_Offices!$A$2:$FZ$601,532,Sync!$C$5)&amp;"","")&lt;&gt;"",OR(LEFT(IFERROR(INDEX(Clay_Offices!$A$2:$FZ$601,532,Sync!$C$5)&amp;"",""),6)&lt;&gt;"SAMPLE",Config!$B$19="Y")),IFERROR(N(INDEX(Clay_Offices!$A$2:$FZ$601,532,Sync!$C$13)),0),"")</f>
        <v/>
      </c>
      <c r="C3383" s="17">
        <f>IF(B3383="","","office")</f>
        <v/>
      </c>
      <c r="D3383" s="17">
        <f>IF(B3383="","",IFERROR(INDEX(Clay_Offices!$A$2:$FZ$601,532,Sync!$C$5)&amp;"",""))</f>
        <v/>
      </c>
      <c r="E3383" s="17">
        <f>IF(B3383="","",IFERROR(INDEX(Clay_Offices!$A$2:$FZ$601,532,Sync!$C$6)&amp;"",""))</f>
        <v/>
      </c>
      <c r="F3383" s="17">
        <f>IF(B3383="","","outreach_sent")</f>
        <v/>
      </c>
      <c r="G3383" s="17">
        <f>IF(B3383="","","")</f>
        <v/>
      </c>
      <c r="H3383" s="17">
        <f>IF(B3383="","","")</f>
        <v/>
      </c>
      <c r="I3383" s="17">
        <f>IF(B3383="","","")</f>
        <v/>
      </c>
      <c r="J3383" s="17">
        <f>IF(B3383="","","touch_3; "&amp;IFERROR(INDEX(Clay_Offices!$A$2:$FZ$601,532,Sync!$C$10)&amp;"","")&amp;"; "&amp;IFERROR(INDEX(Clay_Offices!$A$2:$FZ$601,532,Sync!$C$9)&amp;"",""))</f>
        <v/>
      </c>
      <c r="K3383" t="inlineStr">
        <is>
          <t>office outreach touch 3</t>
        </is>
      </c>
    </row>
    <row r="3384">
      <c r="A3384" s="17">
        <f>IF(B3384="","",B3384+(14*1000+533)/10000000)</f>
        <v/>
      </c>
      <c r="B3384" s="23">
        <f>IF(AND(IFERROR(N(INDEX(Clay_Offices!$A$2:$FZ$601,533,Sync!$C$13)),0)&gt;0,IFERROR(INDEX(Clay_Offices!$A$2:$FZ$601,533,Sync!$C$5)&amp;"","")&lt;&gt;"",OR(LEFT(IFERROR(INDEX(Clay_Offices!$A$2:$FZ$601,533,Sync!$C$5)&amp;"",""),6)&lt;&gt;"SAMPLE",Config!$B$19="Y")),IFERROR(N(INDEX(Clay_Offices!$A$2:$FZ$601,533,Sync!$C$13)),0),"")</f>
        <v/>
      </c>
      <c r="C3384" s="17">
        <f>IF(B3384="","","office")</f>
        <v/>
      </c>
      <c r="D3384" s="17">
        <f>IF(B3384="","",IFERROR(INDEX(Clay_Offices!$A$2:$FZ$601,533,Sync!$C$5)&amp;"",""))</f>
        <v/>
      </c>
      <c r="E3384" s="17">
        <f>IF(B3384="","",IFERROR(INDEX(Clay_Offices!$A$2:$FZ$601,533,Sync!$C$6)&amp;"",""))</f>
        <v/>
      </c>
      <c r="F3384" s="17">
        <f>IF(B3384="","","outreach_sent")</f>
        <v/>
      </c>
      <c r="G3384" s="17">
        <f>IF(B3384="","","")</f>
        <v/>
      </c>
      <c r="H3384" s="17">
        <f>IF(B3384="","","")</f>
        <v/>
      </c>
      <c r="I3384" s="17">
        <f>IF(B3384="","","")</f>
        <v/>
      </c>
      <c r="J3384" s="17">
        <f>IF(B3384="","","touch_3; "&amp;IFERROR(INDEX(Clay_Offices!$A$2:$FZ$601,533,Sync!$C$10)&amp;"","")&amp;"; "&amp;IFERROR(INDEX(Clay_Offices!$A$2:$FZ$601,533,Sync!$C$9)&amp;"",""))</f>
        <v/>
      </c>
      <c r="K3384" t="inlineStr">
        <is>
          <t>office outreach touch 3</t>
        </is>
      </c>
    </row>
    <row r="3385">
      <c r="A3385" s="17">
        <f>IF(B3385="","",B3385+(14*1000+534)/10000000)</f>
        <v/>
      </c>
      <c r="B3385" s="23">
        <f>IF(AND(IFERROR(N(INDEX(Clay_Offices!$A$2:$FZ$601,534,Sync!$C$13)),0)&gt;0,IFERROR(INDEX(Clay_Offices!$A$2:$FZ$601,534,Sync!$C$5)&amp;"","")&lt;&gt;"",OR(LEFT(IFERROR(INDEX(Clay_Offices!$A$2:$FZ$601,534,Sync!$C$5)&amp;"",""),6)&lt;&gt;"SAMPLE",Config!$B$19="Y")),IFERROR(N(INDEX(Clay_Offices!$A$2:$FZ$601,534,Sync!$C$13)),0),"")</f>
        <v/>
      </c>
      <c r="C3385" s="17">
        <f>IF(B3385="","","office")</f>
        <v/>
      </c>
      <c r="D3385" s="17">
        <f>IF(B3385="","",IFERROR(INDEX(Clay_Offices!$A$2:$FZ$601,534,Sync!$C$5)&amp;"",""))</f>
        <v/>
      </c>
      <c r="E3385" s="17">
        <f>IF(B3385="","",IFERROR(INDEX(Clay_Offices!$A$2:$FZ$601,534,Sync!$C$6)&amp;"",""))</f>
        <v/>
      </c>
      <c r="F3385" s="17">
        <f>IF(B3385="","","outreach_sent")</f>
        <v/>
      </c>
      <c r="G3385" s="17">
        <f>IF(B3385="","","")</f>
        <v/>
      </c>
      <c r="H3385" s="17">
        <f>IF(B3385="","","")</f>
        <v/>
      </c>
      <c r="I3385" s="17">
        <f>IF(B3385="","","")</f>
        <v/>
      </c>
      <c r="J3385" s="17">
        <f>IF(B3385="","","touch_3; "&amp;IFERROR(INDEX(Clay_Offices!$A$2:$FZ$601,534,Sync!$C$10)&amp;"","")&amp;"; "&amp;IFERROR(INDEX(Clay_Offices!$A$2:$FZ$601,534,Sync!$C$9)&amp;"",""))</f>
        <v/>
      </c>
      <c r="K3385" t="inlineStr">
        <is>
          <t>office outreach touch 3</t>
        </is>
      </c>
    </row>
    <row r="3386">
      <c r="A3386" s="17">
        <f>IF(B3386="","",B3386+(14*1000+535)/10000000)</f>
        <v/>
      </c>
      <c r="B3386" s="23">
        <f>IF(AND(IFERROR(N(INDEX(Clay_Offices!$A$2:$FZ$601,535,Sync!$C$13)),0)&gt;0,IFERROR(INDEX(Clay_Offices!$A$2:$FZ$601,535,Sync!$C$5)&amp;"","")&lt;&gt;"",OR(LEFT(IFERROR(INDEX(Clay_Offices!$A$2:$FZ$601,535,Sync!$C$5)&amp;"",""),6)&lt;&gt;"SAMPLE",Config!$B$19="Y")),IFERROR(N(INDEX(Clay_Offices!$A$2:$FZ$601,535,Sync!$C$13)),0),"")</f>
        <v/>
      </c>
      <c r="C3386" s="17">
        <f>IF(B3386="","","office")</f>
        <v/>
      </c>
      <c r="D3386" s="17">
        <f>IF(B3386="","",IFERROR(INDEX(Clay_Offices!$A$2:$FZ$601,535,Sync!$C$5)&amp;"",""))</f>
        <v/>
      </c>
      <c r="E3386" s="17">
        <f>IF(B3386="","",IFERROR(INDEX(Clay_Offices!$A$2:$FZ$601,535,Sync!$C$6)&amp;"",""))</f>
        <v/>
      </c>
      <c r="F3386" s="17">
        <f>IF(B3386="","","outreach_sent")</f>
        <v/>
      </c>
      <c r="G3386" s="17">
        <f>IF(B3386="","","")</f>
        <v/>
      </c>
      <c r="H3386" s="17">
        <f>IF(B3386="","","")</f>
        <v/>
      </c>
      <c r="I3386" s="17">
        <f>IF(B3386="","","")</f>
        <v/>
      </c>
      <c r="J3386" s="17">
        <f>IF(B3386="","","touch_3; "&amp;IFERROR(INDEX(Clay_Offices!$A$2:$FZ$601,535,Sync!$C$10)&amp;"","")&amp;"; "&amp;IFERROR(INDEX(Clay_Offices!$A$2:$FZ$601,535,Sync!$C$9)&amp;"",""))</f>
        <v/>
      </c>
      <c r="K3386" t="inlineStr">
        <is>
          <t>office outreach touch 3</t>
        </is>
      </c>
    </row>
    <row r="3387">
      <c r="A3387" s="17">
        <f>IF(B3387="","",B3387+(14*1000+536)/10000000)</f>
        <v/>
      </c>
      <c r="B3387" s="23">
        <f>IF(AND(IFERROR(N(INDEX(Clay_Offices!$A$2:$FZ$601,536,Sync!$C$13)),0)&gt;0,IFERROR(INDEX(Clay_Offices!$A$2:$FZ$601,536,Sync!$C$5)&amp;"","")&lt;&gt;"",OR(LEFT(IFERROR(INDEX(Clay_Offices!$A$2:$FZ$601,536,Sync!$C$5)&amp;"",""),6)&lt;&gt;"SAMPLE",Config!$B$19="Y")),IFERROR(N(INDEX(Clay_Offices!$A$2:$FZ$601,536,Sync!$C$13)),0),"")</f>
        <v/>
      </c>
      <c r="C3387" s="17">
        <f>IF(B3387="","","office")</f>
        <v/>
      </c>
      <c r="D3387" s="17">
        <f>IF(B3387="","",IFERROR(INDEX(Clay_Offices!$A$2:$FZ$601,536,Sync!$C$5)&amp;"",""))</f>
        <v/>
      </c>
      <c r="E3387" s="17">
        <f>IF(B3387="","",IFERROR(INDEX(Clay_Offices!$A$2:$FZ$601,536,Sync!$C$6)&amp;"",""))</f>
        <v/>
      </c>
      <c r="F3387" s="17">
        <f>IF(B3387="","","outreach_sent")</f>
        <v/>
      </c>
      <c r="G3387" s="17">
        <f>IF(B3387="","","")</f>
        <v/>
      </c>
      <c r="H3387" s="17">
        <f>IF(B3387="","","")</f>
        <v/>
      </c>
      <c r="I3387" s="17">
        <f>IF(B3387="","","")</f>
        <v/>
      </c>
      <c r="J3387" s="17">
        <f>IF(B3387="","","touch_3; "&amp;IFERROR(INDEX(Clay_Offices!$A$2:$FZ$601,536,Sync!$C$10)&amp;"","")&amp;"; "&amp;IFERROR(INDEX(Clay_Offices!$A$2:$FZ$601,536,Sync!$C$9)&amp;"",""))</f>
        <v/>
      </c>
      <c r="K3387" t="inlineStr">
        <is>
          <t>office outreach touch 3</t>
        </is>
      </c>
    </row>
    <row r="3388">
      <c r="A3388" s="17">
        <f>IF(B3388="","",B3388+(14*1000+537)/10000000)</f>
        <v/>
      </c>
      <c r="B3388" s="23">
        <f>IF(AND(IFERROR(N(INDEX(Clay_Offices!$A$2:$FZ$601,537,Sync!$C$13)),0)&gt;0,IFERROR(INDEX(Clay_Offices!$A$2:$FZ$601,537,Sync!$C$5)&amp;"","")&lt;&gt;"",OR(LEFT(IFERROR(INDEX(Clay_Offices!$A$2:$FZ$601,537,Sync!$C$5)&amp;"",""),6)&lt;&gt;"SAMPLE",Config!$B$19="Y")),IFERROR(N(INDEX(Clay_Offices!$A$2:$FZ$601,537,Sync!$C$13)),0),"")</f>
        <v/>
      </c>
      <c r="C3388" s="17">
        <f>IF(B3388="","","office")</f>
        <v/>
      </c>
      <c r="D3388" s="17">
        <f>IF(B3388="","",IFERROR(INDEX(Clay_Offices!$A$2:$FZ$601,537,Sync!$C$5)&amp;"",""))</f>
        <v/>
      </c>
      <c r="E3388" s="17">
        <f>IF(B3388="","",IFERROR(INDEX(Clay_Offices!$A$2:$FZ$601,537,Sync!$C$6)&amp;"",""))</f>
        <v/>
      </c>
      <c r="F3388" s="17">
        <f>IF(B3388="","","outreach_sent")</f>
        <v/>
      </c>
      <c r="G3388" s="17">
        <f>IF(B3388="","","")</f>
        <v/>
      </c>
      <c r="H3388" s="17">
        <f>IF(B3388="","","")</f>
        <v/>
      </c>
      <c r="I3388" s="17">
        <f>IF(B3388="","","")</f>
        <v/>
      </c>
      <c r="J3388" s="17">
        <f>IF(B3388="","","touch_3; "&amp;IFERROR(INDEX(Clay_Offices!$A$2:$FZ$601,537,Sync!$C$10)&amp;"","")&amp;"; "&amp;IFERROR(INDEX(Clay_Offices!$A$2:$FZ$601,537,Sync!$C$9)&amp;"",""))</f>
        <v/>
      </c>
      <c r="K3388" t="inlineStr">
        <is>
          <t>office outreach touch 3</t>
        </is>
      </c>
    </row>
    <row r="3389">
      <c r="A3389" s="17">
        <f>IF(B3389="","",B3389+(14*1000+538)/10000000)</f>
        <v/>
      </c>
      <c r="B3389" s="23">
        <f>IF(AND(IFERROR(N(INDEX(Clay_Offices!$A$2:$FZ$601,538,Sync!$C$13)),0)&gt;0,IFERROR(INDEX(Clay_Offices!$A$2:$FZ$601,538,Sync!$C$5)&amp;"","")&lt;&gt;"",OR(LEFT(IFERROR(INDEX(Clay_Offices!$A$2:$FZ$601,538,Sync!$C$5)&amp;"",""),6)&lt;&gt;"SAMPLE",Config!$B$19="Y")),IFERROR(N(INDEX(Clay_Offices!$A$2:$FZ$601,538,Sync!$C$13)),0),"")</f>
        <v/>
      </c>
      <c r="C3389" s="17">
        <f>IF(B3389="","","office")</f>
        <v/>
      </c>
      <c r="D3389" s="17">
        <f>IF(B3389="","",IFERROR(INDEX(Clay_Offices!$A$2:$FZ$601,538,Sync!$C$5)&amp;"",""))</f>
        <v/>
      </c>
      <c r="E3389" s="17">
        <f>IF(B3389="","",IFERROR(INDEX(Clay_Offices!$A$2:$FZ$601,538,Sync!$C$6)&amp;"",""))</f>
        <v/>
      </c>
      <c r="F3389" s="17">
        <f>IF(B3389="","","outreach_sent")</f>
        <v/>
      </c>
      <c r="G3389" s="17">
        <f>IF(B3389="","","")</f>
        <v/>
      </c>
      <c r="H3389" s="17">
        <f>IF(B3389="","","")</f>
        <v/>
      </c>
      <c r="I3389" s="17">
        <f>IF(B3389="","","")</f>
        <v/>
      </c>
      <c r="J3389" s="17">
        <f>IF(B3389="","","touch_3; "&amp;IFERROR(INDEX(Clay_Offices!$A$2:$FZ$601,538,Sync!$C$10)&amp;"","")&amp;"; "&amp;IFERROR(INDEX(Clay_Offices!$A$2:$FZ$601,538,Sync!$C$9)&amp;"",""))</f>
        <v/>
      </c>
      <c r="K3389" t="inlineStr">
        <is>
          <t>office outreach touch 3</t>
        </is>
      </c>
    </row>
    <row r="3390">
      <c r="A3390" s="17">
        <f>IF(B3390="","",B3390+(14*1000+539)/10000000)</f>
        <v/>
      </c>
      <c r="B3390" s="23">
        <f>IF(AND(IFERROR(N(INDEX(Clay_Offices!$A$2:$FZ$601,539,Sync!$C$13)),0)&gt;0,IFERROR(INDEX(Clay_Offices!$A$2:$FZ$601,539,Sync!$C$5)&amp;"","")&lt;&gt;"",OR(LEFT(IFERROR(INDEX(Clay_Offices!$A$2:$FZ$601,539,Sync!$C$5)&amp;"",""),6)&lt;&gt;"SAMPLE",Config!$B$19="Y")),IFERROR(N(INDEX(Clay_Offices!$A$2:$FZ$601,539,Sync!$C$13)),0),"")</f>
        <v/>
      </c>
      <c r="C3390" s="17">
        <f>IF(B3390="","","office")</f>
        <v/>
      </c>
      <c r="D3390" s="17">
        <f>IF(B3390="","",IFERROR(INDEX(Clay_Offices!$A$2:$FZ$601,539,Sync!$C$5)&amp;"",""))</f>
        <v/>
      </c>
      <c r="E3390" s="17">
        <f>IF(B3390="","",IFERROR(INDEX(Clay_Offices!$A$2:$FZ$601,539,Sync!$C$6)&amp;"",""))</f>
        <v/>
      </c>
      <c r="F3390" s="17">
        <f>IF(B3390="","","outreach_sent")</f>
        <v/>
      </c>
      <c r="G3390" s="17">
        <f>IF(B3390="","","")</f>
        <v/>
      </c>
      <c r="H3390" s="17">
        <f>IF(B3390="","","")</f>
        <v/>
      </c>
      <c r="I3390" s="17">
        <f>IF(B3390="","","")</f>
        <v/>
      </c>
      <c r="J3390" s="17">
        <f>IF(B3390="","","touch_3; "&amp;IFERROR(INDEX(Clay_Offices!$A$2:$FZ$601,539,Sync!$C$10)&amp;"","")&amp;"; "&amp;IFERROR(INDEX(Clay_Offices!$A$2:$FZ$601,539,Sync!$C$9)&amp;"",""))</f>
        <v/>
      </c>
      <c r="K3390" t="inlineStr">
        <is>
          <t>office outreach touch 3</t>
        </is>
      </c>
    </row>
    <row r="3391">
      <c r="A3391" s="17">
        <f>IF(B3391="","",B3391+(14*1000+540)/10000000)</f>
        <v/>
      </c>
      <c r="B3391" s="23">
        <f>IF(AND(IFERROR(N(INDEX(Clay_Offices!$A$2:$FZ$601,540,Sync!$C$13)),0)&gt;0,IFERROR(INDEX(Clay_Offices!$A$2:$FZ$601,540,Sync!$C$5)&amp;"","")&lt;&gt;"",OR(LEFT(IFERROR(INDEX(Clay_Offices!$A$2:$FZ$601,540,Sync!$C$5)&amp;"",""),6)&lt;&gt;"SAMPLE",Config!$B$19="Y")),IFERROR(N(INDEX(Clay_Offices!$A$2:$FZ$601,540,Sync!$C$13)),0),"")</f>
        <v/>
      </c>
      <c r="C3391" s="17">
        <f>IF(B3391="","","office")</f>
        <v/>
      </c>
      <c r="D3391" s="17">
        <f>IF(B3391="","",IFERROR(INDEX(Clay_Offices!$A$2:$FZ$601,540,Sync!$C$5)&amp;"",""))</f>
        <v/>
      </c>
      <c r="E3391" s="17">
        <f>IF(B3391="","",IFERROR(INDEX(Clay_Offices!$A$2:$FZ$601,540,Sync!$C$6)&amp;"",""))</f>
        <v/>
      </c>
      <c r="F3391" s="17">
        <f>IF(B3391="","","outreach_sent")</f>
        <v/>
      </c>
      <c r="G3391" s="17">
        <f>IF(B3391="","","")</f>
        <v/>
      </c>
      <c r="H3391" s="17">
        <f>IF(B3391="","","")</f>
        <v/>
      </c>
      <c r="I3391" s="17">
        <f>IF(B3391="","","")</f>
        <v/>
      </c>
      <c r="J3391" s="17">
        <f>IF(B3391="","","touch_3; "&amp;IFERROR(INDEX(Clay_Offices!$A$2:$FZ$601,540,Sync!$C$10)&amp;"","")&amp;"; "&amp;IFERROR(INDEX(Clay_Offices!$A$2:$FZ$601,540,Sync!$C$9)&amp;"",""))</f>
        <v/>
      </c>
      <c r="K3391" t="inlineStr">
        <is>
          <t>office outreach touch 3</t>
        </is>
      </c>
    </row>
    <row r="3392">
      <c r="A3392" s="17">
        <f>IF(B3392="","",B3392+(14*1000+541)/10000000)</f>
        <v/>
      </c>
      <c r="B3392" s="23">
        <f>IF(AND(IFERROR(N(INDEX(Clay_Offices!$A$2:$FZ$601,541,Sync!$C$13)),0)&gt;0,IFERROR(INDEX(Clay_Offices!$A$2:$FZ$601,541,Sync!$C$5)&amp;"","")&lt;&gt;"",OR(LEFT(IFERROR(INDEX(Clay_Offices!$A$2:$FZ$601,541,Sync!$C$5)&amp;"",""),6)&lt;&gt;"SAMPLE",Config!$B$19="Y")),IFERROR(N(INDEX(Clay_Offices!$A$2:$FZ$601,541,Sync!$C$13)),0),"")</f>
        <v/>
      </c>
      <c r="C3392" s="17">
        <f>IF(B3392="","","office")</f>
        <v/>
      </c>
      <c r="D3392" s="17">
        <f>IF(B3392="","",IFERROR(INDEX(Clay_Offices!$A$2:$FZ$601,541,Sync!$C$5)&amp;"",""))</f>
        <v/>
      </c>
      <c r="E3392" s="17">
        <f>IF(B3392="","",IFERROR(INDEX(Clay_Offices!$A$2:$FZ$601,541,Sync!$C$6)&amp;"",""))</f>
        <v/>
      </c>
      <c r="F3392" s="17">
        <f>IF(B3392="","","outreach_sent")</f>
        <v/>
      </c>
      <c r="G3392" s="17">
        <f>IF(B3392="","","")</f>
        <v/>
      </c>
      <c r="H3392" s="17">
        <f>IF(B3392="","","")</f>
        <v/>
      </c>
      <c r="I3392" s="17">
        <f>IF(B3392="","","")</f>
        <v/>
      </c>
      <c r="J3392" s="17">
        <f>IF(B3392="","","touch_3; "&amp;IFERROR(INDEX(Clay_Offices!$A$2:$FZ$601,541,Sync!$C$10)&amp;"","")&amp;"; "&amp;IFERROR(INDEX(Clay_Offices!$A$2:$FZ$601,541,Sync!$C$9)&amp;"",""))</f>
        <v/>
      </c>
      <c r="K3392" t="inlineStr">
        <is>
          <t>office outreach touch 3</t>
        </is>
      </c>
    </row>
    <row r="3393">
      <c r="A3393" s="17">
        <f>IF(B3393="","",B3393+(14*1000+542)/10000000)</f>
        <v/>
      </c>
      <c r="B3393" s="23">
        <f>IF(AND(IFERROR(N(INDEX(Clay_Offices!$A$2:$FZ$601,542,Sync!$C$13)),0)&gt;0,IFERROR(INDEX(Clay_Offices!$A$2:$FZ$601,542,Sync!$C$5)&amp;"","")&lt;&gt;"",OR(LEFT(IFERROR(INDEX(Clay_Offices!$A$2:$FZ$601,542,Sync!$C$5)&amp;"",""),6)&lt;&gt;"SAMPLE",Config!$B$19="Y")),IFERROR(N(INDEX(Clay_Offices!$A$2:$FZ$601,542,Sync!$C$13)),0),"")</f>
        <v/>
      </c>
      <c r="C3393" s="17">
        <f>IF(B3393="","","office")</f>
        <v/>
      </c>
      <c r="D3393" s="17">
        <f>IF(B3393="","",IFERROR(INDEX(Clay_Offices!$A$2:$FZ$601,542,Sync!$C$5)&amp;"",""))</f>
        <v/>
      </c>
      <c r="E3393" s="17">
        <f>IF(B3393="","",IFERROR(INDEX(Clay_Offices!$A$2:$FZ$601,542,Sync!$C$6)&amp;"",""))</f>
        <v/>
      </c>
      <c r="F3393" s="17">
        <f>IF(B3393="","","outreach_sent")</f>
        <v/>
      </c>
      <c r="G3393" s="17">
        <f>IF(B3393="","","")</f>
        <v/>
      </c>
      <c r="H3393" s="17">
        <f>IF(B3393="","","")</f>
        <v/>
      </c>
      <c r="I3393" s="17">
        <f>IF(B3393="","","")</f>
        <v/>
      </c>
      <c r="J3393" s="17">
        <f>IF(B3393="","","touch_3; "&amp;IFERROR(INDEX(Clay_Offices!$A$2:$FZ$601,542,Sync!$C$10)&amp;"","")&amp;"; "&amp;IFERROR(INDEX(Clay_Offices!$A$2:$FZ$601,542,Sync!$C$9)&amp;"",""))</f>
        <v/>
      </c>
      <c r="K3393" t="inlineStr">
        <is>
          <t>office outreach touch 3</t>
        </is>
      </c>
    </row>
    <row r="3394">
      <c r="A3394" s="17">
        <f>IF(B3394="","",B3394+(14*1000+543)/10000000)</f>
        <v/>
      </c>
      <c r="B3394" s="23">
        <f>IF(AND(IFERROR(N(INDEX(Clay_Offices!$A$2:$FZ$601,543,Sync!$C$13)),0)&gt;0,IFERROR(INDEX(Clay_Offices!$A$2:$FZ$601,543,Sync!$C$5)&amp;"","")&lt;&gt;"",OR(LEFT(IFERROR(INDEX(Clay_Offices!$A$2:$FZ$601,543,Sync!$C$5)&amp;"",""),6)&lt;&gt;"SAMPLE",Config!$B$19="Y")),IFERROR(N(INDEX(Clay_Offices!$A$2:$FZ$601,543,Sync!$C$13)),0),"")</f>
        <v/>
      </c>
      <c r="C3394" s="17">
        <f>IF(B3394="","","office")</f>
        <v/>
      </c>
      <c r="D3394" s="17">
        <f>IF(B3394="","",IFERROR(INDEX(Clay_Offices!$A$2:$FZ$601,543,Sync!$C$5)&amp;"",""))</f>
        <v/>
      </c>
      <c r="E3394" s="17">
        <f>IF(B3394="","",IFERROR(INDEX(Clay_Offices!$A$2:$FZ$601,543,Sync!$C$6)&amp;"",""))</f>
        <v/>
      </c>
      <c r="F3394" s="17">
        <f>IF(B3394="","","outreach_sent")</f>
        <v/>
      </c>
      <c r="G3394" s="17">
        <f>IF(B3394="","","")</f>
        <v/>
      </c>
      <c r="H3394" s="17">
        <f>IF(B3394="","","")</f>
        <v/>
      </c>
      <c r="I3394" s="17">
        <f>IF(B3394="","","")</f>
        <v/>
      </c>
      <c r="J3394" s="17">
        <f>IF(B3394="","","touch_3; "&amp;IFERROR(INDEX(Clay_Offices!$A$2:$FZ$601,543,Sync!$C$10)&amp;"","")&amp;"; "&amp;IFERROR(INDEX(Clay_Offices!$A$2:$FZ$601,543,Sync!$C$9)&amp;"",""))</f>
        <v/>
      </c>
      <c r="K3394" t="inlineStr">
        <is>
          <t>office outreach touch 3</t>
        </is>
      </c>
    </row>
    <row r="3395">
      <c r="A3395" s="17">
        <f>IF(B3395="","",B3395+(14*1000+544)/10000000)</f>
        <v/>
      </c>
      <c r="B3395" s="23">
        <f>IF(AND(IFERROR(N(INDEX(Clay_Offices!$A$2:$FZ$601,544,Sync!$C$13)),0)&gt;0,IFERROR(INDEX(Clay_Offices!$A$2:$FZ$601,544,Sync!$C$5)&amp;"","")&lt;&gt;"",OR(LEFT(IFERROR(INDEX(Clay_Offices!$A$2:$FZ$601,544,Sync!$C$5)&amp;"",""),6)&lt;&gt;"SAMPLE",Config!$B$19="Y")),IFERROR(N(INDEX(Clay_Offices!$A$2:$FZ$601,544,Sync!$C$13)),0),"")</f>
        <v/>
      </c>
      <c r="C3395" s="17">
        <f>IF(B3395="","","office")</f>
        <v/>
      </c>
      <c r="D3395" s="17">
        <f>IF(B3395="","",IFERROR(INDEX(Clay_Offices!$A$2:$FZ$601,544,Sync!$C$5)&amp;"",""))</f>
        <v/>
      </c>
      <c r="E3395" s="17">
        <f>IF(B3395="","",IFERROR(INDEX(Clay_Offices!$A$2:$FZ$601,544,Sync!$C$6)&amp;"",""))</f>
        <v/>
      </c>
      <c r="F3395" s="17">
        <f>IF(B3395="","","outreach_sent")</f>
        <v/>
      </c>
      <c r="G3395" s="17">
        <f>IF(B3395="","","")</f>
        <v/>
      </c>
      <c r="H3395" s="17">
        <f>IF(B3395="","","")</f>
        <v/>
      </c>
      <c r="I3395" s="17">
        <f>IF(B3395="","","")</f>
        <v/>
      </c>
      <c r="J3395" s="17">
        <f>IF(B3395="","","touch_3; "&amp;IFERROR(INDEX(Clay_Offices!$A$2:$FZ$601,544,Sync!$C$10)&amp;"","")&amp;"; "&amp;IFERROR(INDEX(Clay_Offices!$A$2:$FZ$601,544,Sync!$C$9)&amp;"",""))</f>
        <v/>
      </c>
      <c r="K3395" t="inlineStr">
        <is>
          <t>office outreach touch 3</t>
        </is>
      </c>
    </row>
    <row r="3396">
      <c r="A3396" s="17">
        <f>IF(B3396="","",B3396+(14*1000+545)/10000000)</f>
        <v/>
      </c>
      <c r="B3396" s="23">
        <f>IF(AND(IFERROR(N(INDEX(Clay_Offices!$A$2:$FZ$601,545,Sync!$C$13)),0)&gt;0,IFERROR(INDEX(Clay_Offices!$A$2:$FZ$601,545,Sync!$C$5)&amp;"","")&lt;&gt;"",OR(LEFT(IFERROR(INDEX(Clay_Offices!$A$2:$FZ$601,545,Sync!$C$5)&amp;"",""),6)&lt;&gt;"SAMPLE",Config!$B$19="Y")),IFERROR(N(INDEX(Clay_Offices!$A$2:$FZ$601,545,Sync!$C$13)),0),"")</f>
        <v/>
      </c>
      <c r="C3396" s="17">
        <f>IF(B3396="","","office")</f>
        <v/>
      </c>
      <c r="D3396" s="17">
        <f>IF(B3396="","",IFERROR(INDEX(Clay_Offices!$A$2:$FZ$601,545,Sync!$C$5)&amp;"",""))</f>
        <v/>
      </c>
      <c r="E3396" s="17">
        <f>IF(B3396="","",IFERROR(INDEX(Clay_Offices!$A$2:$FZ$601,545,Sync!$C$6)&amp;"",""))</f>
        <v/>
      </c>
      <c r="F3396" s="17">
        <f>IF(B3396="","","outreach_sent")</f>
        <v/>
      </c>
      <c r="G3396" s="17">
        <f>IF(B3396="","","")</f>
        <v/>
      </c>
      <c r="H3396" s="17">
        <f>IF(B3396="","","")</f>
        <v/>
      </c>
      <c r="I3396" s="17">
        <f>IF(B3396="","","")</f>
        <v/>
      </c>
      <c r="J3396" s="17">
        <f>IF(B3396="","","touch_3; "&amp;IFERROR(INDEX(Clay_Offices!$A$2:$FZ$601,545,Sync!$C$10)&amp;"","")&amp;"; "&amp;IFERROR(INDEX(Clay_Offices!$A$2:$FZ$601,545,Sync!$C$9)&amp;"",""))</f>
        <v/>
      </c>
      <c r="K3396" t="inlineStr">
        <is>
          <t>office outreach touch 3</t>
        </is>
      </c>
    </row>
    <row r="3397">
      <c r="A3397" s="17">
        <f>IF(B3397="","",B3397+(14*1000+546)/10000000)</f>
        <v/>
      </c>
      <c r="B3397" s="23">
        <f>IF(AND(IFERROR(N(INDEX(Clay_Offices!$A$2:$FZ$601,546,Sync!$C$13)),0)&gt;0,IFERROR(INDEX(Clay_Offices!$A$2:$FZ$601,546,Sync!$C$5)&amp;"","")&lt;&gt;"",OR(LEFT(IFERROR(INDEX(Clay_Offices!$A$2:$FZ$601,546,Sync!$C$5)&amp;"",""),6)&lt;&gt;"SAMPLE",Config!$B$19="Y")),IFERROR(N(INDEX(Clay_Offices!$A$2:$FZ$601,546,Sync!$C$13)),0),"")</f>
        <v/>
      </c>
      <c r="C3397" s="17">
        <f>IF(B3397="","","office")</f>
        <v/>
      </c>
      <c r="D3397" s="17">
        <f>IF(B3397="","",IFERROR(INDEX(Clay_Offices!$A$2:$FZ$601,546,Sync!$C$5)&amp;"",""))</f>
        <v/>
      </c>
      <c r="E3397" s="17">
        <f>IF(B3397="","",IFERROR(INDEX(Clay_Offices!$A$2:$FZ$601,546,Sync!$C$6)&amp;"",""))</f>
        <v/>
      </c>
      <c r="F3397" s="17">
        <f>IF(B3397="","","outreach_sent")</f>
        <v/>
      </c>
      <c r="G3397" s="17">
        <f>IF(B3397="","","")</f>
        <v/>
      </c>
      <c r="H3397" s="17">
        <f>IF(B3397="","","")</f>
        <v/>
      </c>
      <c r="I3397" s="17">
        <f>IF(B3397="","","")</f>
        <v/>
      </c>
      <c r="J3397" s="17">
        <f>IF(B3397="","","touch_3; "&amp;IFERROR(INDEX(Clay_Offices!$A$2:$FZ$601,546,Sync!$C$10)&amp;"","")&amp;"; "&amp;IFERROR(INDEX(Clay_Offices!$A$2:$FZ$601,546,Sync!$C$9)&amp;"",""))</f>
        <v/>
      </c>
      <c r="K3397" t="inlineStr">
        <is>
          <t>office outreach touch 3</t>
        </is>
      </c>
    </row>
    <row r="3398">
      <c r="A3398" s="17">
        <f>IF(B3398="","",B3398+(14*1000+547)/10000000)</f>
        <v/>
      </c>
      <c r="B3398" s="23">
        <f>IF(AND(IFERROR(N(INDEX(Clay_Offices!$A$2:$FZ$601,547,Sync!$C$13)),0)&gt;0,IFERROR(INDEX(Clay_Offices!$A$2:$FZ$601,547,Sync!$C$5)&amp;"","")&lt;&gt;"",OR(LEFT(IFERROR(INDEX(Clay_Offices!$A$2:$FZ$601,547,Sync!$C$5)&amp;"",""),6)&lt;&gt;"SAMPLE",Config!$B$19="Y")),IFERROR(N(INDEX(Clay_Offices!$A$2:$FZ$601,547,Sync!$C$13)),0),"")</f>
        <v/>
      </c>
      <c r="C3398" s="17">
        <f>IF(B3398="","","office")</f>
        <v/>
      </c>
      <c r="D3398" s="17">
        <f>IF(B3398="","",IFERROR(INDEX(Clay_Offices!$A$2:$FZ$601,547,Sync!$C$5)&amp;"",""))</f>
        <v/>
      </c>
      <c r="E3398" s="17">
        <f>IF(B3398="","",IFERROR(INDEX(Clay_Offices!$A$2:$FZ$601,547,Sync!$C$6)&amp;"",""))</f>
        <v/>
      </c>
      <c r="F3398" s="17">
        <f>IF(B3398="","","outreach_sent")</f>
        <v/>
      </c>
      <c r="G3398" s="17">
        <f>IF(B3398="","","")</f>
        <v/>
      </c>
      <c r="H3398" s="17">
        <f>IF(B3398="","","")</f>
        <v/>
      </c>
      <c r="I3398" s="17">
        <f>IF(B3398="","","")</f>
        <v/>
      </c>
      <c r="J3398" s="17">
        <f>IF(B3398="","","touch_3; "&amp;IFERROR(INDEX(Clay_Offices!$A$2:$FZ$601,547,Sync!$C$10)&amp;"","")&amp;"; "&amp;IFERROR(INDEX(Clay_Offices!$A$2:$FZ$601,547,Sync!$C$9)&amp;"",""))</f>
        <v/>
      </c>
      <c r="K3398" t="inlineStr">
        <is>
          <t>office outreach touch 3</t>
        </is>
      </c>
    </row>
    <row r="3399">
      <c r="A3399" s="17">
        <f>IF(B3399="","",B3399+(14*1000+548)/10000000)</f>
        <v/>
      </c>
      <c r="B3399" s="23">
        <f>IF(AND(IFERROR(N(INDEX(Clay_Offices!$A$2:$FZ$601,548,Sync!$C$13)),0)&gt;0,IFERROR(INDEX(Clay_Offices!$A$2:$FZ$601,548,Sync!$C$5)&amp;"","")&lt;&gt;"",OR(LEFT(IFERROR(INDEX(Clay_Offices!$A$2:$FZ$601,548,Sync!$C$5)&amp;"",""),6)&lt;&gt;"SAMPLE",Config!$B$19="Y")),IFERROR(N(INDEX(Clay_Offices!$A$2:$FZ$601,548,Sync!$C$13)),0),"")</f>
        <v/>
      </c>
      <c r="C3399" s="17">
        <f>IF(B3399="","","office")</f>
        <v/>
      </c>
      <c r="D3399" s="17">
        <f>IF(B3399="","",IFERROR(INDEX(Clay_Offices!$A$2:$FZ$601,548,Sync!$C$5)&amp;"",""))</f>
        <v/>
      </c>
      <c r="E3399" s="17">
        <f>IF(B3399="","",IFERROR(INDEX(Clay_Offices!$A$2:$FZ$601,548,Sync!$C$6)&amp;"",""))</f>
        <v/>
      </c>
      <c r="F3399" s="17">
        <f>IF(B3399="","","outreach_sent")</f>
        <v/>
      </c>
      <c r="G3399" s="17">
        <f>IF(B3399="","","")</f>
        <v/>
      </c>
      <c r="H3399" s="17">
        <f>IF(B3399="","","")</f>
        <v/>
      </c>
      <c r="I3399" s="17">
        <f>IF(B3399="","","")</f>
        <v/>
      </c>
      <c r="J3399" s="17">
        <f>IF(B3399="","","touch_3; "&amp;IFERROR(INDEX(Clay_Offices!$A$2:$FZ$601,548,Sync!$C$10)&amp;"","")&amp;"; "&amp;IFERROR(INDEX(Clay_Offices!$A$2:$FZ$601,548,Sync!$C$9)&amp;"",""))</f>
        <v/>
      </c>
      <c r="K3399" t="inlineStr">
        <is>
          <t>office outreach touch 3</t>
        </is>
      </c>
    </row>
    <row r="3400">
      <c r="A3400" s="17">
        <f>IF(B3400="","",B3400+(14*1000+549)/10000000)</f>
        <v/>
      </c>
      <c r="B3400" s="23">
        <f>IF(AND(IFERROR(N(INDEX(Clay_Offices!$A$2:$FZ$601,549,Sync!$C$13)),0)&gt;0,IFERROR(INDEX(Clay_Offices!$A$2:$FZ$601,549,Sync!$C$5)&amp;"","")&lt;&gt;"",OR(LEFT(IFERROR(INDEX(Clay_Offices!$A$2:$FZ$601,549,Sync!$C$5)&amp;"",""),6)&lt;&gt;"SAMPLE",Config!$B$19="Y")),IFERROR(N(INDEX(Clay_Offices!$A$2:$FZ$601,549,Sync!$C$13)),0),"")</f>
        <v/>
      </c>
      <c r="C3400" s="17">
        <f>IF(B3400="","","office")</f>
        <v/>
      </c>
      <c r="D3400" s="17">
        <f>IF(B3400="","",IFERROR(INDEX(Clay_Offices!$A$2:$FZ$601,549,Sync!$C$5)&amp;"",""))</f>
        <v/>
      </c>
      <c r="E3400" s="17">
        <f>IF(B3400="","",IFERROR(INDEX(Clay_Offices!$A$2:$FZ$601,549,Sync!$C$6)&amp;"",""))</f>
        <v/>
      </c>
      <c r="F3400" s="17">
        <f>IF(B3400="","","outreach_sent")</f>
        <v/>
      </c>
      <c r="G3400" s="17">
        <f>IF(B3400="","","")</f>
        <v/>
      </c>
      <c r="H3400" s="17">
        <f>IF(B3400="","","")</f>
        <v/>
      </c>
      <c r="I3400" s="17">
        <f>IF(B3400="","","")</f>
        <v/>
      </c>
      <c r="J3400" s="17">
        <f>IF(B3400="","","touch_3; "&amp;IFERROR(INDEX(Clay_Offices!$A$2:$FZ$601,549,Sync!$C$10)&amp;"","")&amp;"; "&amp;IFERROR(INDEX(Clay_Offices!$A$2:$FZ$601,549,Sync!$C$9)&amp;"",""))</f>
        <v/>
      </c>
      <c r="K3400" t="inlineStr">
        <is>
          <t>office outreach touch 3</t>
        </is>
      </c>
    </row>
    <row r="3401">
      <c r="A3401" s="17">
        <f>IF(B3401="","",B3401+(14*1000+550)/10000000)</f>
        <v/>
      </c>
      <c r="B3401" s="23">
        <f>IF(AND(IFERROR(N(INDEX(Clay_Offices!$A$2:$FZ$601,550,Sync!$C$13)),0)&gt;0,IFERROR(INDEX(Clay_Offices!$A$2:$FZ$601,550,Sync!$C$5)&amp;"","")&lt;&gt;"",OR(LEFT(IFERROR(INDEX(Clay_Offices!$A$2:$FZ$601,550,Sync!$C$5)&amp;"",""),6)&lt;&gt;"SAMPLE",Config!$B$19="Y")),IFERROR(N(INDEX(Clay_Offices!$A$2:$FZ$601,550,Sync!$C$13)),0),"")</f>
        <v/>
      </c>
      <c r="C3401" s="17">
        <f>IF(B3401="","","office")</f>
        <v/>
      </c>
      <c r="D3401" s="17">
        <f>IF(B3401="","",IFERROR(INDEX(Clay_Offices!$A$2:$FZ$601,550,Sync!$C$5)&amp;"",""))</f>
        <v/>
      </c>
      <c r="E3401" s="17">
        <f>IF(B3401="","",IFERROR(INDEX(Clay_Offices!$A$2:$FZ$601,550,Sync!$C$6)&amp;"",""))</f>
        <v/>
      </c>
      <c r="F3401" s="17">
        <f>IF(B3401="","","outreach_sent")</f>
        <v/>
      </c>
      <c r="G3401" s="17">
        <f>IF(B3401="","","")</f>
        <v/>
      </c>
      <c r="H3401" s="17">
        <f>IF(B3401="","","")</f>
        <v/>
      </c>
      <c r="I3401" s="17">
        <f>IF(B3401="","","")</f>
        <v/>
      </c>
      <c r="J3401" s="17">
        <f>IF(B3401="","","touch_3; "&amp;IFERROR(INDEX(Clay_Offices!$A$2:$FZ$601,550,Sync!$C$10)&amp;"","")&amp;"; "&amp;IFERROR(INDEX(Clay_Offices!$A$2:$FZ$601,550,Sync!$C$9)&amp;"",""))</f>
        <v/>
      </c>
      <c r="K3401" t="inlineStr">
        <is>
          <t>office outreach touch 3</t>
        </is>
      </c>
    </row>
    <row r="3402">
      <c r="A3402" s="17">
        <f>IF(B3402="","",B3402+(14*1000+551)/10000000)</f>
        <v/>
      </c>
      <c r="B3402" s="23">
        <f>IF(AND(IFERROR(N(INDEX(Clay_Offices!$A$2:$FZ$601,551,Sync!$C$13)),0)&gt;0,IFERROR(INDEX(Clay_Offices!$A$2:$FZ$601,551,Sync!$C$5)&amp;"","")&lt;&gt;"",OR(LEFT(IFERROR(INDEX(Clay_Offices!$A$2:$FZ$601,551,Sync!$C$5)&amp;"",""),6)&lt;&gt;"SAMPLE",Config!$B$19="Y")),IFERROR(N(INDEX(Clay_Offices!$A$2:$FZ$601,551,Sync!$C$13)),0),"")</f>
        <v/>
      </c>
      <c r="C3402" s="17">
        <f>IF(B3402="","","office")</f>
        <v/>
      </c>
      <c r="D3402" s="17">
        <f>IF(B3402="","",IFERROR(INDEX(Clay_Offices!$A$2:$FZ$601,551,Sync!$C$5)&amp;"",""))</f>
        <v/>
      </c>
      <c r="E3402" s="17">
        <f>IF(B3402="","",IFERROR(INDEX(Clay_Offices!$A$2:$FZ$601,551,Sync!$C$6)&amp;"",""))</f>
        <v/>
      </c>
      <c r="F3402" s="17">
        <f>IF(B3402="","","outreach_sent")</f>
        <v/>
      </c>
      <c r="G3402" s="17">
        <f>IF(B3402="","","")</f>
        <v/>
      </c>
      <c r="H3402" s="17">
        <f>IF(B3402="","","")</f>
        <v/>
      </c>
      <c r="I3402" s="17">
        <f>IF(B3402="","","")</f>
        <v/>
      </c>
      <c r="J3402" s="17">
        <f>IF(B3402="","","touch_3; "&amp;IFERROR(INDEX(Clay_Offices!$A$2:$FZ$601,551,Sync!$C$10)&amp;"","")&amp;"; "&amp;IFERROR(INDEX(Clay_Offices!$A$2:$FZ$601,551,Sync!$C$9)&amp;"",""))</f>
        <v/>
      </c>
      <c r="K3402" t="inlineStr">
        <is>
          <t>office outreach touch 3</t>
        </is>
      </c>
    </row>
    <row r="3403">
      <c r="A3403" s="17">
        <f>IF(B3403="","",B3403+(14*1000+552)/10000000)</f>
        <v/>
      </c>
      <c r="B3403" s="23">
        <f>IF(AND(IFERROR(N(INDEX(Clay_Offices!$A$2:$FZ$601,552,Sync!$C$13)),0)&gt;0,IFERROR(INDEX(Clay_Offices!$A$2:$FZ$601,552,Sync!$C$5)&amp;"","")&lt;&gt;"",OR(LEFT(IFERROR(INDEX(Clay_Offices!$A$2:$FZ$601,552,Sync!$C$5)&amp;"",""),6)&lt;&gt;"SAMPLE",Config!$B$19="Y")),IFERROR(N(INDEX(Clay_Offices!$A$2:$FZ$601,552,Sync!$C$13)),0),"")</f>
        <v/>
      </c>
      <c r="C3403" s="17">
        <f>IF(B3403="","","office")</f>
        <v/>
      </c>
      <c r="D3403" s="17">
        <f>IF(B3403="","",IFERROR(INDEX(Clay_Offices!$A$2:$FZ$601,552,Sync!$C$5)&amp;"",""))</f>
        <v/>
      </c>
      <c r="E3403" s="17">
        <f>IF(B3403="","",IFERROR(INDEX(Clay_Offices!$A$2:$FZ$601,552,Sync!$C$6)&amp;"",""))</f>
        <v/>
      </c>
      <c r="F3403" s="17">
        <f>IF(B3403="","","outreach_sent")</f>
        <v/>
      </c>
      <c r="G3403" s="17">
        <f>IF(B3403="","","")</f>
        <v/>
      </c>
      <c r="H3403" s="17">
        <f>IF(B3403="","","")</f>
        <v/>
      </c>
      <c r="I3403" s="17">
        <f>IF(B3403="","","")</f>
        <v/>
      </c>
      <c r="J3403" s="17">
        <f>IF(B3403="","","touch_3; "&amp;IFERROR(INDEX(Clay_Offices!$A$2:$FZ$601,552,Sync!$C$10)&amp;"","")&amp;"; "&amp;IFERROR(INDEX(Clay_Offices!$A$2:$FZ$601,552,Sync!$C$9)&amp;"",""))</f>
        <v/>
      </c>
      <c r="K3403" t="inlineStr">
        <is>
          <t>office outreach touch 3</t>
        </is>
      </c>
    </row>
    <row r="3404">
      <c r="A3404" s="17">
        <f>IF(B3404="","",B3404+(14*1000+553)/10000000)</f>
        <v/>
      </c>
      <c r="B3404" s="23">
        <f>IF(AND(IFERROR(N(INDEX(Clay_Offices!$A$2:$FZ$601,553,Sync!$C$13)),0)&gt;0,IFERROR(INDEX(Clay_Offices!$A$2:$FZ$601,553,Sync!$C$5)&amp;"","")&lt;&gt;"",OR(LEFT(IFERROR(INDEX(Clay_Offices!$A$2:$FZ$601,553,Sync!$C$5)&amp;"",""),6)&lt;&gt;"SAMPLE",Config!$B$19="Y")),IFERROR(N(INDEX(Clay_Offices!$A$2:$FZ$601,553,Sync!$C$13)),0),"")</f>
        <v/>
      </c>
      <c r="C3404" s="17">
        <f>IF(B3404="","","office")</f>
        <v/>
      </c>
      <c r="D3404" s="17">
        <f>IF(B3404="","",IFERROR(INDEX(Clay_Offices!$A$2:$FZ$601,553,Sync!$C$5)&amp;"",""))</f>
        <v/>
      </c>
      <c r="E3404" s="17">
        <f>IF(B3404="","",IFERROR(INDEX(Clay_Offices!$A$2:$FZ$601,553,Sync!$C$6)&amp;"",""))</f>
        <v/>
      </c>
      <c r="F3404" s="17">
        <f>IF(B3404="","","outreach_sent")</f>
        <v/>
      </c>
      <c r="G3404" s="17">
        <f>IF(B3404="","","")</f>
        <v/>
      </c>
      <c r="H3404" s="17">
        <f>IF(B3404="","","")</f>
        <v/>
      </c>
      <c r="I3404" s="17">
        <f>IF(B3404="","","")</f>
        <v/>
      </c>
      <c r="J3404" s="17">
        <f>IF(B3404="","","touch_3; "&amp;IFERROR(INDEX(Clay_Offices!$A$2:$FZ$601,553,Sync!$C$10)&amp;"","")&amp;"; "&amp;IFERROR(INDEX(Clay_Offices!$A$2:$FZ$601,553,Sync!$C$9)&amp;"",""))</f>
        <v/>
      </c>
      <c r="K3404" t="inlineStr">
        <is>
          <t>office outreach touch 3</t>
        </is>
      </c>
    </row>
    <row r="3405">
      <c r="A3405" s="17">
        <f>IF(B3405="","",B3405+(14*1000+554)/10000000)</f>
        <v/>
      </c>
      <c r="B3405" s="23">
        <f>IF(AND(IFERROR(N(INDEX(Clay_Offices!$A$2:$FZ$601,554,Sync!$C$13)),0)&gt;0,IFERROR(INDEX(Clay_Offices!$A$2:$FZ$601,554,Sync!$C$5)&amp;"","")&lt;&gt;"",OR(LEFT(IFERROR(INDEX(Clay_Offices!$A$2:$FZ$601,554,Sync!$C$5)&amp;"",""),6)&lt;&gt;"SAMPLE",Config!$B$19="Y")),IFERROR(N(INDEX(Clay_Offices!$A$2:$FZ$601,554,Sync!$C$13)),0),"")</f>
        <v/>
      </c>
      <c r="C3405" s="17">
        <f>IF(B3405="","","office")</f>
        <v/>
      </c>
      <c r="D3405" s="17">
        <f>IF(B3405="","",IFERROR(INDEX(Clay_Offices!$A$2:$FZ$601,554,Sync!$C$5)&amp;"",""))</f>
        <v/>
      </c>
      <c r="E3405" s="17">
        <f>IF(B3405="","",IFERROR(INDEX(Clay_Offices!$A$2:$FZ$601,554,Sync!$C$6)&amp;"",""))</f>
        <v/>
      </c>
      <c r="F3405" s="17">
        <f>IF(B3405="","","outreach_sent")</f>
        <v/>
      </c>
      <c r="G3405" s="17">
        <f>IF(B3405="","","")</f>
        <v/>
      </c>
      <c r="H3405" s="17">
        <f>IF(B3405="","","")</f>
        <v/>
      </c>
      <c r="I3405" s="17">
        <f>IF(B3405="","","")</f>
        <v/>
      </c>
      <c r="J3405" s="17">
        <f>IF(B3405="","","touch_3; "&amp;IFERROR(INDEX(Clay_Offices!$A$2:$FZ$601,554,Sync!$C$10)&amp;"","")&amp;"; "&amp;IFERROR(INDEX(Clay_Offices!$A$2:$FZ$601,554,Sync!$C$9)&amp;"",""))</f>
        <v/>
      </c>
      <c r="K3405" t="inlineStr">
        <is>
          <t>office outreach touch 3</t>
        </is>
      </c>
    </row>
    <row r="3406">
      <c r="A3406" s="17">
        <f>IF(B3406="","",B3406+(14*1000+555)/10000000)</f>
        <v/>
      </c>
      <c r="B3406" s="23">
        <f>IF(AND(IFERROR(N(INDEX(Clay_Offices!$A$2:$FZ$601,555,Sync!$C$13)),0)&gt;0,IFERROR(INDEX(Clay_Offices!$A$2:$FZ$601,555,Sync!$C$5)&amp;"","")&lt;&gt;"",OR(LEFT(IFERROR(INDEX(Clay_Offices!$A$2:$FZ$601,555,Sync!$C$5)&amp;"",""),6)&lt;&gt;"SAMPLE",Config!$B$19="Y")),IFERROR(N(INDEX(Clay_Offices!$A$2:$FZ$601,555,Sync!$C$13)),0),"")</f>
        <v/>
      </c>
      <c r="C3406" s="17">
        <f>IF(B3406="","","office")</f>
        <v/>
      </c>
      <c r="D3406" s="17">
        <f>IF(B3406="","",IFERROR(INDEX(Clay_Offices!$A$2:$FZ$601,555,Sync!$C$5)&amp;"",""))</f>
        <v/>
      </c>
      <c r="E3406" s="17">
        <f>IF(B3406="","",IFERROR(INDEX(Clay_Offices!$A$2:$FZ$601,555,Sync!$C$6)&amp;"",""))</f>
        <v/>
      </c>
      <c r="F3406" s="17">
        <f>IF(B3406="","","outreach_sent")</f>
        <v/>
      </c>
      <c r="G3406" s="17">
        <f>IF(B3406="","","")</f>
        <v/>
      </c>
      <c r="H3406" s="17">
        <f>IF(B3406="","","")</f>
        <v/>
      </c>
      <c r="I3406" s="17">
        <f>IF(B3406="","","")</f>
        <v/>
      </c>
      <c r="J3406" s="17">
        <f>IF(B3406="","","touch_3; "&amp;IFERROR(INDEX(Clay_Offices!$A$2:$FZ$601,555,Sync!$C$10)&amp;"","")&amp;"; "&amp;IFERROR(INDEX(Clay_Offices!$A$2:$FZ$601,555,Sync!$C$9)&amp;"",""))</f>
        <v/>
      </c>
      <c r="K3406" t="inlineStr">
        <is>
          <t>office outreach touch 3</t>
        </is>
      </c>
    </row>
    <row r="3407">
      <c r="A3407" s="17">
        <f>IF(B3407="","",B3407+(14*1000+556)/10000000)</f>
        <v/>
      </c>
      <c r="B3407" s="23">
        <f>IF(AND(IFERROR(N(INDEX(Clay_Offices!$A$2:$FZ$601,556,Sync!$C$13)),0)&gt;0,IFERROR(INDEX(Clay_Offices!$A$2:$FZ$601,556,Sync!$C$5)&amp;"","")&lt;&gt;"",OR(LEFT(IFERROR(INDEX(Clay_Offices!$A$2:$FZ$601,556,Sync!$C$5)&amp;"",""),6)&lt;&gt;"SAMPLE",Config!$B$19="Y")),IFERROR(N(INDEX(Clay_Offices!$A$2:$FZ$601,556,Sync!$C$13)),0),"")</f>
        <v/>
      </c>
      <c r="C3407" s="17">
        <f>IF(B3407="","","office")</f>
        <v/>
      </c>
      <c r="D3407" s="17">
        <f>IF(B3407="","",IFERROR(INDEX(Clay_Offices!$A$2:$FZ$601,556,Sync!$C$5)&amp;"",""))</f>
        <v/>
      </c>
      <c r="E3407" s="17">
        <f>IF(B3407="","",IFERROR(INDEX(Clay_Offices!$A$2:$FZ$601,556,Sync!$C$6)&amp;"",""))</f>
        <v/>
      </c>
      <c r="F3407" s="17">
        <f>IF(B3407="","","outreach_sent")</f>
        <v/>
      </c>
      <c r="G3407" s="17">
        <f>IF(B3407="","","")</f>
        <v/>
      </c>
      <c r="H3407" s="17">
        <f>IF(B3407="","","")</f>
        <v/>
      </c>
      <c r="I3407" s="17">
        <f>IF(B3407="","","")</f>
        <v/>
      </c>
      <c r="J3407" s="17">
        <f>IF(B3407="","","touch_3; "&amp;IFERROR(INDEX(Clay_Offices!$A$2:$FZ$601,556,Sync!$C$10)&amp;"","")&amp;"; "&amp;IFERROR(INDEX(Clay_Offices!$A$2:$FZ$601,556,Sync!$C$9)&amp;"",""))</f>
        <v/>
      </c>
      <c r="K3407" t="inlineStr">
        <is>
          <t>office outreach touch 3</t>
        </is>
      </c>
    </row>
    <row r="3408">
      <c r="A3408" s="17">
        <f>IF(B3408="","",B3408+(14*1000+557)/10000000)</f>
        <v/>
      </c>
      <c r="B3408" s="23">
        <f>IF(AND(IFERROR(N(INDEX(Clay_Offices!$A$2:$FZ$601,557,Sync!$C$13)),0)&gt;0,IFERROR(INDEX(Clay_Offices!$A$2:$FZ$601,557,Sync!$C$5)&amp;"","")&lt;&gt;"",OR(LEFT(IFERROR(INDEX(Clay_Offices!$A$2:$FZ$601,557,Sync!$C$5)&amp;"",""),6)&lt;&gt;"SAMPLE",Config!$B$19="Y")),IFERROR(N(INDEX(Clay_Offices!$A$2:$FZ$601,557,Sync!$C$13)),0),"")</f>
        <v/>
      </c>
      <c r="C3408" s="17">
        <f>IF(B3408="","","office")</f>
        <v/>
      </c>
      <c r="D3408" s="17">
        <f>IF(B3408="","",IFERROR(INDEX(Clay_Offices!$A$2:$FZ$601,557,Sync!$C$5)&amp;"",""))</f>
        <v/>
      </c>
      <c r="E3408" s="17">
        <f>IF(B3408="","",IFERROR(INDEX(Clay_Offices!$A$2:$FZ$601,557,Sync!$C$6)&amp;"",""))</f>
        <v/>
      </c>
      <c r="F3408" s="17">
        <f>IF(B3408="","","outreach_sent")</f>
        <v/>
      </c>
      <c r="G3408" s="17">
        <f>IF(B3408="","","")</f>
        <v/>
      </c>
      <c r="H3408" s="17">
        <f>IF(B3408="","","")</f>
        <v/>
      </c>
      <c r="I3408" s="17">
        <f>IF(B3408="","","")</f>
        <v/>
      </c>
      <c r="J3408" s="17">
        <f>IF(B3408="","","touch_3; "&amp;IFERROR(INDEX(Clay_Offices!$A$2:$FZ$601,557,Sync!$C$10)&amp;"","")&amp;"; "&amp;IFERROR(INDEX(Clay_Offices!$A$2:$FZ$601,557,Sync!$C$9)&amp;"",""))</f>
        <v/>
      </c>
      <c r="K3408" t="inlineStr">
        <is>
          <t>office outreach touch 3</t>
        </is>
      </c>
    </row>
    <row r="3409">
      <c r="A3409" s="17">
        <f>IF(B3409="","",B3409+(14*1000+558)/10000000)</f>
        <v/>
      </c>
      <c r="B3409" s="23">
        <f>IF(AND(IFERROR(N(INDEX(Clay_Offices!$A$2:$FZ$601,558,Sync!$C$13)),0)&gt;0,IFERROR(INDEX(Clay_Offices!$A$2:$FZ$601,558,Sync!$C$5)&amp;"","")&lt;&gt;"",OR(LEFT(IFERROR(INDEX(Clay_Offices!$A$2:$FZ$601,558,Sync!$C$5)&amp;"",""),6)&lt;&gt;"SAMPLE",Config!$B$19="Y")),IFERROR(N(INDEX(Clay_Offices!$A$2:$FZ$601,558,Sync!$C$13)),0),"")</f>
        <v/>
      </c>
      <c r="C3409" s="17">
        <f>IF(B3409="","","office")</f>
        <v/>
      </c>
      <c r="D3409" s="17">
        <f>IF(B3409="","",IFERROR(INDEX(Clay_Offices!$A$2:$FZ$601,558,Sync!$C$5)&amp;"",""))</f>
        <v/>
      </c>
      <c r="E3409" s="17">
        <f>IF(B3409="","",IFERROR(INDEX(Clay_Offices!$A$2:$FZ$601,558,Sync!$C$6)&amp;"",""))</f>
        <v/>
      </c>
      <c r="F3409" s="17">
        <f>IF(B3409="","","outreach_sent")</f>
        <v/>
      </c>
      <c r="G3409" s="17">
        <f>IF(B3409="","","")</f>
        <v/>
      </c>
      <c r="H3409" s="17">
        <f>IF(B3409="","","")</f>
        <v/>
      </c>
      <c r="I3409" s="17">
        <f>IF(B3409="","","")</f>
        <v/>
      </c>
      <c r="J3409" s="17">
        <f>IF(B3409="","","touch_3; "&amp;IFERROR(INDEX(Clay_Offices!$A$2:$FZ$601,558,Sync!$C$10)&amp;"","")&amp;"; "&amp;IFERROR(INDEX(Clay_Offices!$A$2:$FZ$601,558,Sync!$C$9)&amp;"",""))</f>
        <v/>
      </c>
      <c r="K3409" t="inlineStr">
        <is>
          <t>office outreach touch 3</t>
        </is>
      </c>
    </row>
    <row r="3410">
      <c r="A3410" s="17">
        <f>IF(B3410="","",B3410+(14*1000+559)/10000000)</f>
        <v/>
      </c>
      <c r="B3410" s="23">
        <f>IF(AND(IFERROR(N(INDEX(Clay_Offices!$A$2:$FZ$601,559,Sync!$C$13)),0)&gt;0,IFERROR(INDEX(Clay_Offices!$A$2:$FZ$601,559,Sync!$C$5)&amp;"","")&lt;&gt;"",OR(LEFT(IFERROR(INDEX(Clay_Offices!$A$2:$FZ$601,559,Sync!$C$5)&amp;"",""),6)&lt;&gt;"SAMPLE",Config!$B$19="Y")),IFERROR(N(INDEX(Clay_Offices!$A$2:$FZ$601,559,Sync!$C$13)),0),"")</f>
        <v/>
      </c>
      <c r="C3410" s="17">
        <f>IF(B3410="","","office")</f>
        <v/>
      </c>
      <c r="D3410" s="17">
        <f>IF(B3410="","",IFERROR(INDEX(Clay_Offices!$A$2:$FZ$601,559,Sync!$C$5)&amp;"",""))</f>
        <v/>
      </c>
      <c r="E3410" s="17">
        <f>IF(B3410="","",IFERROR(INDEX(Clay_Offices!$A$2:$FZ$601,559,Sync!$C$6)&amp;"",""))</f>
        <v/>
      </c>
      <c r="F3410" s="17">
        <f>IF(B3410="","","outreach_sent")</f>
        <v/>
      </c>
      <c r="G3410" s="17">
        <f>IF(B3410="","","")</f>
        <v/>
      </c>
      <c r="H3410" s="17">
        <f>IF(B3410="","","")</f>
        <v/>
      </c>
      <c r="I3410" s="17">
        <f>IF(B3410="","","")</f>
        <v/>
      </c>
      <c r="J3410" s="17">
        <f>IF(B3410="","","touch_3; "&amp;IFERROR(INDEX(Clay_Offices!$A$2:$FZ$601,559,Sync!$C$10)&amp;"","")&amp;"; "&amp;IFERROR(INDEX(Clay_Offices!$A$2:$FZ$601,559,Sync!$C$9)&amp;"",""))</f>
        <v/>
      </c>
      <c r="K3410" t="inlineStr">
        <is>
          <t>office outreach touch 3</t>
        </is>
      </c>
    </row>
    <row r="3411">
      <c r="A3411" s="17">
        <f>IF(B3411="","",B3411+(14*1000+560)/10000000)</f>
        <v/>
      </c>
      <c r="B3411" s="23">
        <f>IF(AND(IFERROR(N(INDEX(Clay_Offices!$A$2:$FZ$601,560,Sync!$C$13)),0)&gt;0,IFERROR(INDEX(Clay_Offices!$A$2:$FZ$601,560,Sync!$C$5)&amp;"","")&lt;&gt;"",OR(LEFT(IFERROR(INDEX(Clay_Offices!$A$2:$FZ$601,560,Sync!$C$5)&amp;"",""),6)&lt;&gt;"SAMPLE",Config!$B$19="Y")),IFERROR(N(INDEX(Clay_Offices!$A$2:$FZ$601,560,Sync!$C$13)),0),"")</f>
        <v/>
      </c>
      <c r="C3411" s="17">
        <f>IF(B3411="","","office")</f>
        <v/>
      </c>
      <c r="D3411" s="17">
        <f>IF(B3411="","",IFERROR(INDEX(Clay_Offices!$A$2:$FZ$601,560,Sync!$C$5)&amp;"",""))</f>
        <v/>
      </c>
      <c r="E3411" s="17">
        <f>IF(B3411="","",IFERROR(INDEX(Clay_Offices!$A$2:$FZ$601,560,Sync!$C$6)&amp;"",""))</f>
        <v/>
      </c>
      <c r="F3411" s="17">
        <f>IF(B3411="","","outreach_sent")</f>
        <v/>
      </c>
      <c r="G3411" s="17">
        <f>IF(B3411="","","")</f>
        <v/>
      </c>
      <c r="H3411" s="17">
        <f>IF(B3411="","","")</f>
        <v/>
      </c>
      <c r="I3411" s="17">
        <f>IF(B3411="","","")</f>
        <v/>
      </c>
      <c r="J3411" s="17">
        <f>IF(B3411="","","touch_3; "&amp;IFERROR(INDEX(Clay_Offices!$A$2:$FZ$601,560,Sync!$C$10)&amp;"","")&amp;"; "&amp;IFERROR(INDEX(Clay_Offices!$A$2:$FZ$601,560,Sync!$C$9)&amp;"",""))</f>
        <v/>
      </c>
      <c r="K3411" t="inlineStr">
        <is>
          <t>office outreach touch 3</t>
        </is>
      </c>
    </row>
    <row r="3412">
      <c r="A3412" s="17">
        <f>IF(B3412="","",B3412+(14*1000+561)/10000000)</f>
        <v/>
      </c>
      <c r="B3412" s="23">
        <f>IF(AND(IFERROR(N(INDEX(Clay_Offices!$A$2:$FZ$601,561,Sync!$C$13)),0)&gt;0,IFERROR(INDEX(Clay_Offices!$A$2:$FZ$601,561,Sync!$C$5)&amp;"","")&lt;&gt;"",OR(LEFT(IFERROR(INDEX(Clay_Offices!$A$2:$FZ$601,561,Sync!$C$5)&amp;"",""),6)&lt;&gt;"SAMPLE",Config!$B$19="Y")),IFERROR(N(INDEX(Clay_Offices!$A$2:$FZ$601,561,Sync!$C$13)),0),"")</f>
        <v/>
      </c>
      <c r="C3412" s="17">
        <f>IF(B3412="","","office")</f>
        <v/>
      </c>
      <c r="D3412" s="17">
        <f>IF(B3412="","",IFERROR(INDEX(Clay_Offices!$A$2:$FZ$601,561,Sync!$C$5)&amp;"",""))</f>
        <v/>
      </c>
      <c r="E3412" s="17">
        <f>IF(B3412="","",IFERROR(INDEX(Clay_Offices!$A$2:$FZ$601,561,Sync!$C$6)&amp;"",""))</f>
        <v/>
      </c>
      <c r="F3412" s="17">
        <f>IF(B3412="","","outreach_sent")</f>
        <v/>
      </c>
      <c r="G3412" s="17">
        <f>IF(B3412="","","")</f>
        <v/>
      </c>
      <c r="H3412" s="17">
        <f>IF(B3412="","","")</f>
        <v/>
      </c>
      <c r="I3412" s="17">
        <f>IF(B3412="","","")</f>
        <v/>
      </c>
      <c r="J3412" s="17">
        <f>IF(B3412="","","touch_3; "&amp;IFERROR(INDEX(Clay_Offices!$A$2:$FZ$601,561,Sync!$C$10)&amp;"","")&amp;"; "&amp;IFERROR(INDEX(Clay_Offices!$A$2:$FZ$601,561,Sync!$C$9)&amp;"",""))</f>
        <v/>
      </c>
      <c r="K3412" t="inlineStr">
        <is>
          <t>office outreach touch 3</t>
        </is>
      </c>
    </row>
    <row r="3413">
      <c r="A3413" s="17">
        <f>IF(B3413="","",B3413+(14*1000+562)/10000000)</f>
        <v/>
      </c>
      <c r="B3413" s="23">
        <f>IF(AND(IFERROR(N(INDEX(Clay_Offices!$A$2:$FZ$601,562,Sync!$C$13)),0)&gt;0,IFERROR(INDEX(Clay_Offices!$A$2:$FZ$601,562,Sync!$C$5)&amp;"","")&lt;&gt;"",OR(LEFT(IFERROR(INDEX(Clay_Offices!$A$2:$FZ$601,562,Sync!$C$5)&amp;"",""),6)&lt;&gt;"SAMPLE",Config!$B$19="Y")),IFERROR(N(INDEX(Clay_Offices!$A$2:$FZ$601,562,Sync!$C$13)),0),"")</f>
        <v/>
      </c>
      <c r="C3413" s="17">
        <f>IF(B3413="","","office")</f>
        <v/>
      </c>
      <c r="D3413" s="17">
        <f>IF(B3413="","",IFERROR(INDEX(Clay_Offices!$A$2:$FZ$601,562,Sync!$C$5)&amp;"",""))</f>
        <v/>
      </c>
      <c r="E3413" s="17">
        <f>IF(B3413="","",IFERROR(INDEX(Clay_Offices!$A$2:$FZ$601,562,Sync!$C$6)&amp;"",""))</f>
        <v/>
      </c>
      <c r="F3413" s="17">
        <f>IF(B3413="","","outreach_sent")</f>
        <v/>
      </c>
      <c r="G3413" s="17">
        <f>IF(B3413="","","")</f>
        <v/>
      </c>
      <c r="H3413" s="17">
        <f>IF(B3413="","","")</f>
        <v/>
      </c>
      <c r="I3413" s="17">
        <f>IF(B3413="","","")</f>
        <v/>
      </c>
      <c r="J3413" s="17">
        <f>IF(B3413="","","touch_3; "&amp;IFERROR(INDEX(Clay_Offices!$A$2:$FZ$601,562,Sync!$C$10)&amp;"","")&amp;"; "&amp;IFERROR(INDEX(Clay_Offices!$A$2:$FZ$601,562,Sync!$C$9)&amp;"",""))</f>
        <v/>
      </c>
      <c r="K3413" t="inlineStr">
        <is>
          <t>office outreach touch 3</t>
        </is>
      </c>
    </row>
    <row r="3414">
      <c r="A3414" s="17">
        <f>IF(B3414="","",B3414+(14*1000+563)/10000000)</f>
        <v/>
      </c>
      <c r="B3414" s="23">
        <f>IF(AND(IFERROR(N(INDEX(Clay_Offices!$A$2:$FZ$601,563,Sync!$C$13)),0)&gt;0,IFERROR(INDEX(Clay_Offices!$A$2:$FZ$601,563,Sync!$C$5)&amp;"","")&lt;&gt;"",OR(LEFT(IFERROR(INDEX(Clay_Offices!$A$2:$FZ$601,563,Sync!$C$5)&amp;"",""),6)&lt;&gt;"SAMPLE",Config!$B$19="Y")),IFERROR(N(INDEX(Clay_Offices!$A$2:$FZ$601,563,Sync!$C$13)),0),"")</f>
        <v/>
      </c>
      <c r="C3414" s="17">
        <f>IF(B3414="","","office")</f>
        <v/>
      </c>
      <c r="D3414" s="17">
        <f>IF(B3414="","",IFERROR(INDEX(Clay_Offices!$A$2:$FZ$601,563,Sync!$C$5)&amp;"",""))</f>
        <v/>
      </c>
      <c r="E3414" s="17">
        <f>IF(B3414="","",IFERROR(INDEX(Clay_Offices!$A$2:$FZ$601,563,Sync!$C$6)&amp;"",""))</f>
        <v/>
      </c>
      <c r="F3414" s="17">
        <f>IF(B3414="","","outreach_sent")</f>
        <v/>
      </c>
      <c r="G3414" s="17">
        <f>IF(B3414="","","")</f>
        <v/>
      </c>
      <c r="H3414" s="17">
        <f>IF(B3414="","","")</f>
        <v/>
      </c>
      <c r="I3414" s="17">
        <f>IF(B3414="","","")</f>
        <v/>
      </c>
      <c r="J3414" s="17">
        <f>IF(B3414="","","touch_3; "&amp;IFERROR(INDEX(Clay_Offices!$A$2:$FZ$601,563,Sync!$C$10)&amp;"","")&amp;"; "&amp;IFERROR(INDEX(Clay_Offices!$A$2:$FZ$601,563,Sync!$C$9)&amp;"",""))</f>
        <v/>
      </c>
      <c r="K3414" t="inlineStr">
        <is>
          <t>office outreach touch 3</t>
        </is>
      </c>
    </row>
    <row r="3415">
      <c r="A3415" s="17">
        <f>IF(B3415="","",B3415+(14*1000+564)/10000000)</f>
        <v/>
      </c>
      <c r="B3415" s="23">
        <f>IF(AND(IFERROR(N(INDEX(Clay_Offices!$A$2:$FZ$601,564,Sync!$C$13)),0)&gt;0,IFERROR(INDEX(Clay_Offices!$A$2:$FZ$601,564,Sync!$C$5)&amp;"","")&lt;&gt;"",OR(LEFT(IFERROR(INDEX(Clay_Offices!$A$2:$FZ$601,564,Sync!$C$5)&amp;"",""),6)&lt;&gt;"SAMPLE",Config!$B$19="Y")),IFERROR(N(INDEX(Clay_Offices!$A$2:$FZ$601,564,Sync!$C$13)),0),"")</f>
        <v/>
      </c>
      <c r="C3415" s="17">
        <f>IF(B3415="","","office")</f>
        <v/>
      </c>
      <c r="D3415" s="17">
        <f>IF(B3415="","",IFERROR(INDEX(Clay_Offices!$A$2:$FZ$601,564,Sync!$C$5)&amp;"",""))</f>
        <v/>
      </c>
      <c r="E3415" s="17">
        <f>IF(B3415="","",IFERROR(INDEX(Clay_Offices!$A$2:$FZ$601,564,Sync!$C$6)&amp;"",""))</f>
        <v/>
      </c>
      <c r="F3415" s="17">
        <f>IF(B3415="","","outreach_sent")</f>
        <v/>
      </c>
      <c r="G3415" s="17">
        <f>IF(B3415="","","")</f>
        <v/>
      </c>
      <c r="H3415" s="17">
        <f>IF(B3415="","","")</f>
        <v/>
      </c>
      <c r="I3415" s="17">
        <f>IF(B3415="","","")</f>
        <v/>
      </c>
      <c r="J3415" s="17">
        <f>IF(B3415="","","touch_3; "&amp;IFERROR(INDEX(Clay_Offices!$A$2:$FZ$601,564,Sync!$C$10)&amp;"","")&amp;"; "&amp;IFERROR(INDEX(Clay_Offices!$A$2:$FZ$601,564,Sync!$C$9)&amp;"",""))</f>
        <v/>
      </c>
      <c r="K3415" t="inlineStr">
        <is>
          <t>office outreach touch 3</t>
        </is>
      </c>
    </row>
    <row r="3416">
      <c r="A3416" s="17">
        <f>IF(B3416="","",B3416+(14*1000+565)/10000000)</f>
        <v/>
      </c>
      <c r="B3416" s="23">
        <f>IF(AND(IFERROR(N(INDEX(Clay_Offices!$A$2:$FZ$601,565,Sync!$C$13)),0)&gt;0,IFERROR(INDEX(Clay_Offices!$A$2:$FZ$601,565,Sync!$C$5)&amp;"","")&lt;&gt;"",OR(LEFT(IFERROR(INDEX(Clay_Offices!$A$2:$FZ$601,565,Sync!$C$5)&amp;"",""),6)&lt;&gt;"SAMPLE",Config!$B$19="Y")),IFERROR(N(INDEX(Clay_Offices!$A$2:$FZ$601,565,Sync!$C$13)),0),"")</f>
        <v/>
      </c>
      <c r="C3416" s="17">
        <f>IF(B3416="","","office")</f>
        <v/>
      </c>
      <c r="D3416" s="17">
        <f>IF(B3416="","",IFERROR(INDEX(Clay_Offices!$A$2:$FZ$601,565,Sync!$C$5)&amp;"",""))</f>
        <v/>
      </c>
      <c r="E3416" s="17">
        <f>IF(B3416="","",IFERROR(INDEX(Clay_Offices!$A$2:$FZ$601,565,Sync!$C$6)&amp;"",""))</f>
        <v/>
      </c>
      <c r="F3416" s="17">
        <f>IF(B3416="","","outreach_sent")</f>
        <v/>
      </c>
      <c r="G3416" s="17">
        <f>IF(B3416="","","")</f>
        <v/>
      </c>
      <c r="H3416" s="17">
        <f>IF(B3416="","","")</f>
        <v/>
      </c>
      <c r="I3416" s="17">
        <f>IF(B3416="","","")</f>
        <v/>
      </c>
      <c r="J3416" s="17">
        <f>IF(B3416="","","touch_3; "&amp;IFERROR(INDEX(Clay_Offices!$A$2:$FZ$601,565,Sync!$C$10)&amp;"","")&amp;"; "&amp;IFERROR(INDEX(Clay_Offices!$A$2:$FZ$601,565,Sync!$C$9)&amp;"",""))</f>
        <v/>
      </c>
      <c r="K3416" t="inlineStr">
        <is>
          <t>office outreach touch 3</t>
        </is>
      </c>
    </row>
    <row r="3417">
      <c r="A3417" s="17">
        <f>IF(B3417="","",B3417+(14*1000+566)/10000000)</f>
        <v/>
      </c>
      <c r="B3417" s="23">
        <f>IF(AND(IFERROR(N(INDEX(Clay_Offices!$A$2:$FZ$601,566,Sync!$C$13)),0)&gt;0,IFERROR(INDEX(Clay_Offices!$A$2:$FZ$601,566,Sync!$C$5)&amp;"","")&lt;&gt;"",OR(LEFT(IFERROR(INDEX(Clay_Offices!$A$2:$FZ$601,566,Sync!$C$5)&amp;"",""),6)&lt;&gt;"SAMPLE",Config!$B$19="Y")),IFERROR(N(INDEX(Clay_Offices!$A$2:$FZ$601,566,Sync!$C$13)),0),"")</f>
        <v/>
      </c>
      <c r="C3417" s="17">
        <f>IF(B3417="","","office")</f>
        <v/>
      </c>
      <c r="D3417" s="17">
        <f>IF(B3417="","",IFERROR(INDEX(Clay_Offices!$A$2:$FZ$601,566,Sync!$C$5)&amp;"",""))</f>
        <v/>
      </c>
      <c r="E3417" s="17">
        <f>IF(B3417="","",IFERROR(INDEX(Clay_Offices!$A$2:$FZ$601,566,Sync!$C$6)&amp;"",""))</f>
        <v/>
      </c>
      <c r="F3417" s="17">
        <f>IF(B3417="","","outreach_sent")</f>
        <v/>
      </c>
      <c r="G3417" s="17">
        <f>IF(B3417="","","")</f>
        <v/>
      </c>
      <c r="H3417" s="17">
        <f>IF(B3417="","","")</f>
        <v/>
      </c>
      <c r="I3417" s="17">
        <f>IF(B3417="","","")</f>
        <v/>
      </c>
      <c r="J3417" s="17">
        <f>IF(B3417="","","touch_3; "&amp;IFERROR(INDEX(Clay_Offices!$A$2:$FZ$601,566,Sync!$C$10)&amp;"","")&amp;"; "&amp;IFERROR(INDEX(Clay_Offices!$A$2:$FZ$601,566,Sync!$C$9)&amp;"",""))</f>
        <v/>
      </c>
      <c r="K3417" t="inlineStr">
        <is>
          <t>office outreach touch 3</t>
        </is>
      </c>
    </row>
    <row r="3418">
      <c r="A3418" s="17">
        <f>IF(B3418="","",B3418+(14*1000+567)/10000000)</f>
        <v/>
      </c>
      <c r="B3418" s="23">
        <f>IF(AND(IFERROR(N(INDEX(Clay_Offices!$A$2:$FZ$601,567,Sync!$C$13)),0)&gt;0,IFERROR(INDEX(Clay_Offices!$A$2:$FZ$601,567,Sync!$C$5)&amp;"","")&lt;&gt;"",OR(LEFT(IFERROR(INDEX(Clay_Offices!$A$2:$FZ$601,567,Sync!$C$5)&amp;"",""),6)&lt;&gt;"SAMPLE",Config!$B$19="Y")),IFERROR(N(INDEX(Clay_Offices!$A$2:$FZ$601,567,Sync!$C$13)),0),"")</f>
        <v/>
      </c>
      <c r="C3418" s="17">
        <f>IF(B3418="","","office")</f>
        <v/>
      </c>
      <c r="D3418" s="17">
        <f>IF(B3418="","",IFERROR(INDEX(Clay_Offices!$A$2:$FZ$601,567,Sync!$C$5)&amp;"",""))</f>
        <v/>
      </c>
      <c r="E3418" s="17">
        <f>IF(B3418="","",IFERROR(INDEX(Clay_Offices!$A$2:$FZ$601,567,Sync!$C$6)&amp;"",""))</f>
        <v/>
      </c>
      <c r="F3418" s="17">
        <f>IF(B3418="","","outreach_sent")</f>
        <v/>
      </c>
      <c r="G3418" s="17">
        <f>IF(B3418="","","")</f>
        <v/>
      </c>
      <c r="H3418" s="17">
        <f>IF(B3418="","","")</f>
        <v/>
      </c>
      <c r="I3418" s="17">
        <f>IF(B3418="","","")</f>
        <v/>
      </c>
      <c r="J3418" s="17">
        <f>IF(B3418="","","touch_3; "&amp;IFERROR(INDEX(Clay_Offices!$A$2:$FZ$601,567,Sync!$C$10)&amp;"","")&amp;"; "&amp;IFERROR(INDEX(Clay_Offices!$A$2:$FZ$601,567,Sync!$C$9)&amp;"",""))</f>
        <v/>
      </c>
      <c r="K3418" t="inlineStr">
        <is>
          <t>office outreach touch 3</t>
        </is>
      </c>
    </row>
    <row r="3419">
      <c r="A3419" s="17">
        <f>IF(B3419="","",B3419+(14*1000+568)/10000000)</f>
        <v/>
      </c>
      <c r="B3419" s="23">
        <f>IF(AND(IFERROR(N(INDEX(Clay_Offices!$A$2:$FZ$601,568,Sync!$C$13)),0)&gt;0,IFERROR(INDEX(Clay_Offices!$A$2:$FZ$601,568,Sync!$C$5)&amp;"","")&lt;&gt;"",OR(LEFT(IFERROR(INDEX(Clay_Offices!$A$2:$FZ$601,568,Sync!$C$5)&amp;"",""),6)&lt;&gt;"SAMPLE",Config!$B$19="Y")),IFERROR(N(INDEX(Clay_Offices!$A$2:$FZ$601,568,Sync!$C$13)),0),"")</f>
        <v/>
      </c>
      <c r="C3419" s="17">
        <f>IF(B3419="","","office")</f>
        <v/>
      </c>
      <c r="D3419" s="17">
        <f>IF(B3419="","",IFERROR(INDEX(Clay_Offices!$A$2:$FZ$601,568,Sync!$C$5)&amp;"",""))</f>
        <v/>
      </c>
      <c r="E3419" s="17">
        <f>IF(B3419="","",IFERROR(INDEX(Clay_Offices!$A$2:$FZ$601,568,Sync!$C$6)&amp;"",""))</f>
        <v/>
      </c>
      <c r="F3419" s="17">
        <f>IF(B3419="","","outreach_sent")</f>
        <v/>
      </c>
      <c r="G3419" s="17">
        <f>IF(B3419="","","")</f>
        <v/>
      </c>
      <c r="H3419" s="17">
        <f>IF(B3419="","","")</f>
        <v/>
      </c>
      <c r="I3419" s="17">
        <f>IF(B3419="","","")</f>
        <v/>
      </c>
      <c r="J3419" s="17">
        <f>IF(B3419="","","touch_3; "&amp;IFERROR(INDEX(Clay_Offices!$A$2:$FZ$601,568,Sync!$C$10)&amp;"","")&amp;"; "&amp;IFERROR(INDEX(Clay_Offices!$A$2:$FZ$601,568,Sync!$C$9)&amp;"",""))</f>
        <v/>
      </c>
      <c r="K3419" t="inlineStr">
        <is>
          <t>office outreach touch 3</t>
        </is>
      </c>
    </row>
    <row r="3420">
      <c r="A3420" s="17">
        <f>IF(B3420="","",B3420+(14*1000+569)/10000000)</f>
        <v/>
      </c>
      <c r="B3420" s="23">
        <f>IF(AND(IFERROR(N(INDEX(Clay_Offices!$A$2:$FZ$601,569,Sync!$C$13)),0)&gt;0,IFERROR(INDEX(Clay_Offices!$A$2:$FZ$601,569,Sync!$C$5)&amp;"","")&lt;&gt;"",OR(LEFT(IFERROR(INDEX(Clay_Offices!$A$2:$FZ$601,569,Sync!$C$5)&amp;"",""),6)&lt;&gt;"SAMPLE",Config!$B$19="Y")),IFERROR(N(INDEX(Clay_Offices!$A$2:$FZ$601,569,Sync!$C$13)),0),"")</f>
        <v/>
      </c>
      <c r="C3420" s="17">
        <f>IF(B3420="","","office")</f>
        <v/>
      </c>
      <c r="D3420" s="17">
        <f>IF(B3420="","",IFERROR(INDEX(Clay_Offices!$A$2:$FZ$601,569,Sync!$C$5)&amp;"",""))</f>
        <v/>
      </c>
      <c r="E3420" s="17">
        <f>IF(B3420="","",IFERROR(INDEX(Clay_Offices!$A$2:$FZ$601,569,Sync!$C$6)&amp;"",""))</f>
        <v/>
      </c>
      <c r="F3420" s="17">
        <f>IF(B3420="","","outreach_sent")</f>
        <v/>
      </c>
      <c r="G3420" s="17">
        <f>IF(B3420="","","")</f>
        <v/>
      </c>
      <c r="H3420" s="17">
        <f>IF(B3420="","","")</f>
        <v/>
      </c>
      <c r="I3420" s="17">
        <f>IF(B3420="","","")</f>
        <v/>
      </c>
      <c r="J3420" s="17">
        <f>IF(B3420="","","touch_3; "&amp;IFERROR(INDEX(Clay_Offices!$A$2:$FZ$601,569,Sync!$C$10)&amp;"","")&amp;"; "&amp;IFERROR(INDEX(Clay_Offices!$A$2:$FZ$601,569,Sync!$C$9)&amp;"",""))</f>
        <v/>
      </c>
      <c r="K3420" t="inlineStr">
        <is>
          <t>office outreach touch 3</t>
        </is>
      </c>
    </row>
    <row r="3421">
      <c r="A3421" s="17">
        <f>IF(B3421="","",B3421+(14*1000+570)/10000000)</f>
        <v/>
      </c>
      <c r="B3421" s="23">
        <f>IF(AND(IFERROR(N(INDEX(Clay_Offices!$A$2:$FZ$601,570,Sync!$C$13)),0)&gt;0,IFERROR(INDEX(Clay_Offices!$A$2:$FZ$601,570,Sync!$C$5)&amp;"","")&lt;&gt;"",OR(LEFT(IFERROR(INDEX(Clay_Offices!$A$2:$FZ$601,570,Sync!$C$5)&amp;"",""),6)&lt;&gt;"SAMPLE",Config!$B$19="Y")),IFERROR(N(INDEX(Clay_Offices!$A$2:$FZ$601,570,Sync!$C$13)),0),"")</f>
        <v/>
      </c>
      <c r="C3421" s="17">
        <f>IF(B3421="","","office")</f>
        <v/>
      </c>
      <c r="D3421" s="17">
        <f>IF(B3421="","",IFERROR(INDEX(Clay_Offices!$A$2:$FZ$601,570,Sync!$C$5)&amp;"",""))</f>
        <v/>
      </c>
      <c r="E3421" s="17">
        <f>IF(B3421="","",IFERROR(INDEX(Clay_Offices!$A$2:$FZ$601,570,Sync!$C$6)&amp;"",""))</f>
        <v/>
      </c>
      <c r="F3421" s="17">
        <f>IF(B3421="","","outreach_sent")</f>
        <v/>
      </c>
      <c r="G3421" s="17">
        <f>IF(B3421="","","")</f>
        <v/>
      </c>
      <c r="H3421" s="17">
        <f>IF(B3421="","","")</f>
        <v/>
      </c>
      <c r="I3421" s="17">
        <f>IF(B3421="","","")</f>
        <v/>
      </c>
      <c r="J3421" s="17">
        <f>IF(B3421="","","touch_3; "&amp;IFERROR(INDEX(Clay_Offices!$A$2:$FZ$601,570,Sync!$C$10)&amp;"","")&amp;"; "&amp;IFERROR(INDEX(Clay_Offices!$A$2:$FZ$601,570,Sync!$C$9)&amp;"",""))</f>
        <v/>
      </c>
      <c r="K3421" t="inlineStr">
        <is>
          <t>office outreach touch 3</t>
        </is>
      </c>
    </row>
    <row r="3422">
      <c r="A3422" s="17">
        <f>IF(B3422="","",B3422+(14*1000+571)/10000000)</f>
        <v/>
      </c>
      <c r="B3422" s="23">
        <f>IF(AND(IFERROR(N(INDEX(Clay_Offices!$A$2:$FZ$601,571,Sync!$C$13)),0)&gt;0,IFERROR(INDEX(Clay_Offices!$A$2:$FZ$601,571,Sync!$C$5)&amp;"","")&lt;&gt;"",OR(LEFT(IFERROR(INDEX(Clay_Offices!$A$2:$FZ$601,571,Sync!$C$5)&amp;"",""),6)&lt;&gt;"SAMPLE",Config!$B$19="Y")),IFERROR(N(INDEX(Clay_Offices!$A$2:$FZ$601,571,Sync!$C$13)),0),"")</f>
        <v/>
      </c>
      <c r="C3422" s="17">
        <f>IF(B3422="","","office")</f>
        <v/>
      </c>
      <c r="D3422" s="17">
        <f>IF(B3422="","",IFERROR(INDEX(Clay_Offices!$A$2:$FZ$601,571,Sync!$C$5)&amp;"",""))</f>
        <v/>
      </c>
      <c r="E3422" s="17">
        <f>IF(B3422="","",IFERROR(INDEX(Clay_Offices!$A$2:$FZ$601,571,Sync!$C$6)&amp;"",""))</f>
        <v/>
      </c>
      <c r="F3422" s="17">
        <f>IF(B3422="","","outreach_sent")</f>
        <v/>
      </c>
      <c r="G3422" s="17">
        <f>IF(B3422="","","")</f>
        <v/>
      </c>
      <c r="H3422" s="17">
        <f>IF(B3422="","","")</f>
        <v/>
      </c>
      <c r="I3422" s="17">
        <f>IF(B3422="","","")</f>
        <v/>
      </c>
      <c r="J3422" s="17">
        <f>IF(B3422="","","touch_3; "&amp;IFERROR(INDEX(Clay_Offices!$A$2:$FZ$601,571,Sync!$C$10)&amp;"","")&amp;"; "&amp;IFERROR(INDEX(Clay_Offices!$A$2:$FZ$601,571,Sync!$C$9)&amp;"",""))</f>
        <v/>
      </c>
      <c r="K3422" t="inlineStr">
        <is>
          <t>office outreach touch 3</t>
        </is>
      </c>
    </row>
    <row r="3423">
      <c r="A3423" s="17">
        <f>IF(B3423="","",B3423+(14*1000+572)/10000000)</f>
        <v/>
      </c>
      <c r="B3423" s="23">
        <f>IF(AND(IFERROR(N(INDEX(Clay_Offices!$A$2:$FZ$601,572,Sync!$C$13)),0)&gt;0,IFERROR(INDEX(Clay_Offices!$A$2:$FZ$601,572,Sync!$C$5)&amp;"","")&lt;&gt;"",OR(LEFT(IFERROR(INDEX(Clay_Offices!$A$2:$FZ$601,572,Sync!$C$5)&amp;"",""),6)&lt;&gt;"SAMPLE",Config!$B$19="Y")),IFERROR(N(INDEX(Clay_Offices!$A$2:$FZ$601,572,Sync!$C$13)),0),"")</f>
        <v/>
      </c>
      <c r="C3423" s="17">
        <f>IF(B3423="","","office")</f>
        <v/>
      </c>
      <c r="D3423" s="17">
        <f>IF(B3423="","",IFERROR(INDEX(Clay_Offices!$A$2:$FZ$601,572,Sync!$C$5)&amp;"",""))</f>
        <v/>
      </c>
      <c r="E3423" s="17">
        <f>IF(B3423="","",IFERROR(INDEX(Clay_Offices!$A$2:$FZ$601,572,Sync!$C$6)&amp;"",""))</f>
        <v/>
      </c>
      <c r="F3423" s="17">
        <f>IF(B3423="","","outreach_sent")</f>
        <v/>
      </c>
      <c r="G3423" s="17">
        <f>IF(B3423="","","")</f>
        <v/>
      </c>
      <c r="H3423" s="17">
        <f>IF(B3423="","","")</f>
        <v/>
      </c>
      <c r="I3423" s="17">
        <f>IF(B3423="","","")</f>
        <v/>
      </c>
      <c r="J3423" s="17">
        <f>IF(B3423="","","touch_3; "&amp;IFERROR(INDEX(Clay_Offices!$A$2:$FZ$601,572,Sync!$C$10)&amp;"","")&amp;"; "&amp;IFERROR(INDEX(Clay_Offices!$A$2:$FZ$601,572,Sync!$C$9)&amp;"",""))</f>
        <v/>
      </c>
      <c r="K3423" t="inlineStr">
        <is>
          <t>office outreach touch 3</t>
        </is>
      </c>
    </row>
    <row r="3424">
      <c r="A3424" s="17">
        <f>IF(B3424="","",B3424+(14*1000+573)/10000000)</f>
        <v/>
      </c>
      <c r="B3424" s="23">
        <f>IF(AND(IFERROR(N(INDEX(Clay_Offices!$A$2:$FZ$601,573,Sync!$C$13)),0)&gt;0,IFERROR(INDEX(Clay_Offices!$A$2:$FZ$601,573,Sync!$C$5)&amp;"","")&lt;&gt;"",OR(LEFT(IFERROR(INDEX(Clay_Offices!$A$2:$FZ$601,573,Sync!$C$5)&amp;"",""),6)&lt;&gt;"SAMPLE",Config!$B$19="Y")),IFERROR(N(INDEX(Clay_Offices!$A$2:$FZ$601,573,Sync!$C$13)),0),"")</f>
        <v/>
      </c>
      <c r="C3424" s="17">
        <f>IF(B3424="","","office")</f>
        <v/>
      </c>
      <c r="D3424" s="17">
        <f>IF(B3424="","",IFERROR(INDEX(Clay_Offices!$A$2:$FZ$601,573,Sync!$C$5)&amp;"",""))</f>
        <v/>
      </c>
      <c r="E3424" s="17">
        <f>IF(B3424="","",IFERROR(INDEX(Clay_Offices!$A$2:$FZ$601,573,Sync!$C$6)&amp;"",""))</f>
        <v/>
      </c>
      <c r="F3424" s="17">
        <f>IF(B3424="","","outreach_sent")</f>
        <v/>
      </c>
      <c r="G3424" s="17">
        <f>IF(B3424="","","")</f>
        <v/>
      </c>
      <c r="H3424" s="17">
        <f>IF(B3424="","","")</f>
        <v/>
      </c>
      <c r="I3424" s="17">
        <f>IF(B3424="","","")</f>
        <v/>
      </c>
      <c r="J3424" s="17">
        <f>IF(B3424="","","touch_3; "&amp;IFERROR(INDEX(Clay_Offices!$A$2:$FZ$601,573,Sync!$C$10)&amp;"","")&amp;"; "&amp;IFERROR(INDEX(Clay_Offices!$A$2:$FZ$601,573,Sync!$C$9)&amp;"",""))</f>
        <v/>
      </c>
      <c r="K3424" t="inlineStr">
        <is>
          <t>office outreach touch 3</t>
        </is>
      </c>
    </row>
    <row r="3425">
      <c r="A3425" s="17">
        <f>IF(B3425="","",B3425+(14*1000+574)/10000000)</f>
        <v/>
      </c>
      <c r="B3425" s="23">
        <f>IF(AND(IFERROR(N(INDEX(Clay_Offices!$A$2:$FZ$601,574,Sync!$C$13)),0)&gt;0,IFERROR(INDEX(Clay_Offices!$A$2:$FZ$601,574,Sync!$C$5)&amp;"","")&lt;&gt;"",OR(LEFT(IFERROR(INDEX(Clay_Offices!$A$2:$FZ$601,574,Sync!$C$5)&amp;"",""),6)&lt;&gt;"SAMPLE",Config!$B$19="Y")),IFERROR(N(INDEX(Clay_Offices!$A$2:$FZ$601,574,Sync!$C$13)),0),"")</f>
        <v/>
      </c>
      <c r="C3425" s="17">
        <f>IF(B3425="","","office")</f>
        <v/>
      </c>
      <c r="D3425" s="17">
        <f>IF(B3425="","",IFERROR(INDEX(Clay_Offices!$A$2:$FZ$601,574,Sync!$C$5)&amp;"",""))</f>
        <v/>
      </c>
      <c r="E3425" s="17">
        <f>IF(B3425="","",IFERROR(INDEX(Clay_Offices!$A$2:$FZ$601,574,Sync!$C$6)&amp;"",""))</f>
        <v/>
      </c>
      <c r="F3425" s="17">
        <f>IF(B3425="","","outreach_sent")</f>
        <v/>
      </c>
      <c r="G3425" s="17">
        <f>IF(B3425="","","")</f>
        <v/>
      </c>
      <c r="H3425" s="17">
        <f>IF(B3425="","","")</f>
        <v/>
      </c>
      <c r="I3425" s="17">
        <f>IF(B3425="","","")</f>
        <v/>
      </c>
      <c r="J3425" s="17">
        <f>IF(B3425="","","touch_3; "&amp;IFERROR(INDEX(Clay_Offices!$A$2:$FZ$601,574,Sync!$C$10)&amp;"","")&amp;"; "&amp;IFERROR(INDEX(Clay_Offices!$A$2:$FZ$601,574,Sync!$C$9)&amp;"",""))</f>
        <v/>
      </c>
      <c r="K3425" t="inlineStr">
        <is>
          <t>office outreach touch 3</t>
        </is>
      </c>
    </row>
    <row r="3426">
      <c r="A3426" s="17">
        <f>IF(B3426="","",B3426+(14*1000+575)/10000000)</f>
        <v/>
      </c>
      <c r="B3426" s="23">
        <f>IF(AND(IFERROR(N(INDEX(Clay_Offices!$A$2:$FZ$601,575,Sync!$C$13)),0)&gt;0,IFERROR(INDEX(Clay_Offices!$A$2:$FZ$601,575,Sync!$C$5)&amp;"","")&lt;&gt;"",OR(LEFT(IFERROR(INDEX(Clay_Offices!$A$2:$FZ$601,575,Sync!$C$5)&amp;"",""),6)&lt;&gt;"SAMPLE",Config!$B$19="Y")),IFERROR(N(INDEX(Clay_Offices!$A$2:$FZ$601,575,Sync!$C$13)),0),"")</f>
        <v/>
      </c>
      <c r="C3426" s="17">
        <f>IF(B3426="","","office")</f>
        <v/>
      </c>
      <c r="D3426" s="17">
        <f>IF(B3426="","",IFERROR(INDEX(Clay_Offices!$A$2:$FZ$601,575,Sync!$C$5)&amp;"",""))</f>
        <v/>
      </c>
      <c r="E3426" s="17">
        <f>IF(B3426="","",IFERROR(INDEX(Clay_Offices!$A$2:$FZ$601,575,Sync!$C$6)&amp;"",""))</f>
        <v/>
      </c>
      <c r="F3426" s="17">
        <f>IF(B3426="","","outreach_sent")</f>
        <v/>
      </c>
      <c r="G3426" s="17">
        <f>IF(B3426="","","")</f>
        <v/>
      </c>
      <c r="H3426" s="17">
        <f>IF(B3426="","","")</f>
        <v/>
      </c>
      <c r="I3426" s="17">
        <f>IF(B3426="","","")</f>
        <v/>
      </c>
      <c r="J3426" s="17">
        <f>IF(B3426="","","touch_3; "&amp;IFERROR(INDEX(Clay_Offices!$A$2:$FZ$601,575,Sync!$C$10)&amp;"","")&amp;"; "&amp;IFERROR(INDEX(Clay_Offices!$A$2:$FZ$601,575,Sync!$C$9)&amp;"",""))</f>
        <v/>
      </c>
      <c r="K3426" t="inlineStr">
        <is>
          <t>office outreach touch 3</t>
        </is>
      </c>
    </row>
    <row r="3427">
      <c r="A3427" s="17">
        <f>IF(B3427="","",B3427+(14*1000+576)/10000000)</f>
        <v/>
      </c>
      <c r="B3427" s="23">
        <f>IF(AND(IFERROR(N(INDEX(Clay_Offices!$A$2:$FZ$601,576,Sync!$C$13)),0)&gt;0,IFERROR(INDEX(Clay_Offices!$A$2:$FZ$601,576,Sync!$C$5)&amp;"","")&lt;&gt;"",OR(LEFT(IFERROR(INDEX(Clay_Offices!$A$2:$FZ$601,576,Sync!$C$5)&amp;"",""),6)&lt;&gt;"SAMPLE",Config!$B$19="Y")),IFERROR(N(INDEX(Clay_Offices!$A$2:$FZ$601,576,Sync!$C$13)),0),"")</f>
        <v/>
      </c>
      <c r="C3427" s="17">
        <f>IF(B3427="","","office")</f>
        <v/>
      </c>
      <c r="D3427" s="17">
        <f>IF(B3427="","",IFERROR(INDEX(Clay_Offices!$A$2:$FZ$601,576,Sync!$C$5)&amp;"",""))</f>
        <v/>
      </c>
      <c r="E3427" s="17">
        <f>IF(B3427="","",IFERROR(INDEX(Clay_Offices!$A$2:$FZ$601,576,Sync!$C$6)&amp;"",""))</f>
        <v/>
      </c>
      <c r="F3427" s="17">
        <f>IF(B3427="","","outreach_sent")</f>
        <v/>
      </c>
      <c r="G3427" s="17">
        <f>IF(B3427="","","")</f>
        <v/>
      </c>
      <c r="H3427" s="17">
        <f>IF(B3427="","","")</f>
        <v/>
      </c>
      <c r="I3427" s="17">
        <f>IF(B3427="","","")</f>
        <v/>
      </c>
      <c r="J3427" s="17">
        <f>IF(B3427="","","touch_3; "&amp;IFERROR(INDEX(Clay_Offices!$A$2:$FZ$601,576,Sync!$C$10)&amp;"","")&amp;"; "&amp;IFERROR(INDEX(Clay_Offices!$A$2:$FZ$601,576,Sync!$C$9)&amp;"",""))</f>
        <v/>
      </c>
      <c r="K3427" t="inlineStr">
        <is>
          <t>office outreach touch 3</t>
        </is>
      </c>
    </row>
    <row r="3428">
      <c r="A3428" s="17">
        <f>IF(B3428="","",B3428+(14*1000+577)/10000000)</f>
        <v/>
      </c>
      <c r="B3428" s="23">
        <f>IF(AND(IFERROR(N(INDEX(Clay_Offices!$A$2:$FZ$601,577,Sync!$C$13)),0)&gt;0,IFERROR(INDEX(Clay_Offices!$A$2:$FZ$601,577,Sync!$C$5)&amp;"","")&lt;&gt;"",OR(LEFT(IFERROR(INDEX(Clay_Offices!$A$2:$FZ$601,577,Sync!$C$5)&amp;"",""),6)&lt;&gt;"SAMPLE",Config!$B$19="Y")),IFERROR(N(INDEX(Clay_Offices!$A$2:$FZ$601,577,Sync!$C$13)),0),"")</f>
        <v/>
      </c>
      <c r="C3428" s="17">
        <f>IF(B3428="","","office")</f>
        <v/>
      </c>
      <c r="D3428" s="17">
        <f>IF(B3428="","",IFERROR(INDEX(Clay_Offices!$A$2:$FZ$601,577,Sync!$C$5)&amp;"",""))</f>
        <v/>
      </c>
      <c r="E3428" s="17">
        <f>IF(B3428="","",IFERROR(INDEX(Clay_Offices!$A$2:$FZ$601,577,Sync!$C$6)&amp;"",""))</f>
        <v/>
      </c>
      <c r="F3428" s="17">
        <f>IF(B3428="","","outreach_sent")</f>
        <v/>
      </c>
      <c r="G3428" s="17">
        <f>IF(B3428="","","")</f>
        <v/>
      </c>
      <c r="H3428" s="17">
        <f>IF(B3428="","","")</f>
        <v/>
      </c>
      <c r="I3428" s="17">
        <f>IF(B3428="","","")</f>
        <v/>
      </c>
      <c r="J3428" s="17">
        <f>IF(B3428="","","touch_3; "&amp;IFERROR(INDEX(Clay_Offices!$A$2:$FZ$601,577,Sync!$C$10)&amp;"","")&amp;"; "&amp;IFERROR(INDEX(Clay_Offices!$A$2:$FZ$601,577,Sync!$C$9)&amp;"",""))</f>
        <v/>
      </c>
      <c r="K3428" t="inlineStr">
        <is>
          <t>office outreach touch 3</t>
        </is>
      </c>
    </row>
    <row r="3429">
      <c r="A3429" s="17">
        <f>IF(B3429="","",B3429+(14*1000+578)/10000000)</f>
        <v/>
      </c>
      <c r="B3429" s="23">
        <f>IF(AND(IFERROR(N(INDEX(Clay_Offices!$A$2:$FZ$601,578,Sync!$C$13)),0)&gt;0,IFERROR(INDEX(Clay_Offices!$A$2:$FZ$601,578,Sync!$C$5)&amp;"","")&lt;&gt;"",OR(LEFT(IFERROR(INDEX(Clay_Offices!$A$2:$FZ$601,578,Sync!$C$5)&amp;"",""),6)&lt;&gt;"SAMPLE",Config!$B$19="Y")),IFERROR(N(INDEX(Clay_Offices!$A$2:$FZ$601,578,Sync!$C$13)),0),"")</f>
        <v/>
      </c>
      <c r="C3429" s="17">
        <f>IF(B3429="","","office")</f>
        <v/>
      </c>
      <c r="D3429" s="17">
        <f>IF(B3429="","",IFERROR(INDEX(Clay_Offices!$A$2:$FZ$601,578,Sync!$C$5)&amp;"",""))</f>
        <v/>
      </c>
      <c r="E3429" s="17">
        <f>IF(B3429="","",IFERROR(INDEX(Clay_Offices!$A$2:$FZ$601,578,Sync!$C$6)&amp;"",""))</f>
        <v/>
      </c>
      <c r="F3429" s="17">
        <f>IF(B3429="","","outreach_sent")</f>
        <v/>
      </c>
      <c r="G3429" s="17">
        <f>IF(B3429="","","")</f>
        <v/>
      </c>
      <c r="H3429" s="17">
        <f>IF(B3429="","","")</f>
        <v/>
      </c>
      <c r="I3429" s="17">
        <f>IF(B3429="","","")</f>
        <v/>
      </c>
      <c r="J3429" s="17">
        <f>IF(B3429="","","touch_3; "&amp;IFERROR(INDEX(Clay_Offices!$A$2:$FZ$601,578,Sync!$C$10)&amp;"","")&amp;"; "&amp;IFERROR(INDEX(Clay_Offices!$A$2:$FZ$601,578,Sync!$C$9)&amp;"",""))</f>
        <v/>
      </c>
      <c r="K3429" t="inlineStr">
        <is>
          <t>office outreach touch 3</t>
        </is>
      </c>
    </row>
    <row r="3430">
      <c r="A3430" s="17">
        <f>IF(B3430="","",B3430+(14*1000+579)/10000000)</f>
        <v/>
      </c>
      <c r="B3430" s="23">
        <f>IF(AND(IFERROR(N(INDEX(Clay_Offices!$A$2:$FZ$601,579,Sync!$C$13)),0)&gt;0,IFERROR(INDEX(Clay_Offices!$A$2:$FZ$601,579,Sync!$C$5)&amp;"","")&lt;&gt;"",OR(LEFT(IFERROR(INDEX(Clay_Offices!$A$2:$FZ$601,579,Sync!$C$5)&amp;"",""),6)&lt;&gt;"SAMPLE",Config!$B$19="Y")),IFERROR(N(INDEX(Clay_Offices!$A$2:$FZ$601,579,Sync!$C$13)),0),"")</f>
        <v/>
      </c>
      <c r="C3430" s="17">
        <f>IF(B3430="","","office")</f>
        <v/>
      </c>
      <c r="D3430" s="17">
        <f>IF(B3430="","",IFERROR(INDEX(Clay_Offices!$A$2:$FZ$601,579,Sync!$C$5)&amp;"",""))</f>
        <v/>
      </c>
      <c r="E3430" s="17">
        <f>IF(B3430="","",IFERROR(INDEX(Clay_Offices!$A$2:$FZ$601,579,Sync!$C$6)&amp;"",""))</f>
        <v/>
      </c>
      <c r="F3430" s="17">
        <f>IF(B3430="","","outreach_sent")</f>
        <v/>
      </c>
      <c r="G3430" s="17">
        <f>IF(B3430="","","")</f>
        <v/>
      </c>
      <c r="H3430" s="17">
        <f>IF(B3430="","","")</f>
        <v/>
      </c>
      <c r="I3430" s="17">
        <f>IF(B3430="","","")</f>
        <v/>
      </c>
      <c r="J3430" s="17">
        <f>IF(B3430="","","touch_3; "&amp;IFERROR(INDEX(Clay_Offices!$A$2:$FZ$601,579,Sync!$C$10)&amp;"","")&amp;"; "&amp;IFERROR(INDEX(Clay_Offices!$A$2:$FZ$601,579,Sync!$C$9)&amp;"",""))</f>
        <v/>
      </c>
      <c r="K3430" t="inlineStr">
        <is>
          <t>office outreach touch 3</t>
        </is>
      </c>
    </row>
    <row r="3431">
      <c r="A3431" s="17">
        <f>IF(B3431="","",B3431+(14*1000+580)/10000000)</f>
        <v/>
      </c>
      <c r="B3431" s="23">
        <f>IF(AND(IFERROR(N(INDEX(Clay_Offices!$A$2:$FZ$601,580,Sync!$C$13)),0)&gt;0,IFERROR(INDEX(Clay_Offices!$A$2:$FZ$601,580,Sync!$C$5)&amp;"","")&lt;&gt;"",OR(LEFT(IFERROR(INDEX(Clay_Offices!$A$2:$FZ$601,580,Sync!$C$5)&amp;"",""),6)&lt;&gt;"SAMPLE",Config!$B$19="Y")),IFERROR(N(INDEX(Clay_Offices!$A$2:$FZ$601,580,Sync!$C$13)),0),"")</f>
        <v/>
      </c>
      <c r="C3431" s="17">
        <f>IF(B3431="","","office")</f>
        <v/>
      </c>
      <c r="D3431" s="17">
        <f>IF(B3431="","",IFERROR(INDEX(Clay_Offices!$A$2:$FZ$601,580,Sync!$C$5)&amp;"",""))</f>
        <v/>
      </c>
      <c r="E3431" s="17">
        <f>IF(B3431="","",IFERROR(INDEX(Clay_Offices!$A$2:$FZ$601,580,Sync!$C$6)&amp;"",""))</f>
        <v/>
      </c>
      <c r="F3431" s="17">
        <f>IF(B3431="","","outreach_sent")</f>
        <v/>
      </c>
      <c r="G3431" s="17">
        <f>IF(B3431="","","")</f>
        <v/>
      </c>
      <c r="H3431" s="17">
        <f>IF(B3431="","","")</f>
        <v/>
      </c>
      <c r="I3431" s="17">
        <f>IF(B3431="","","")</f>
        <v/>
      </c>
      <c r="J3431" s="17">
        <f>IF(B3431="","","touch_3; "&amp;IFERROR(INDEX(Clay_Offices!$A$2:$FZ$601,580,Sync!$C$10)&amp;"","")&amp;"; "&amp;IFERROR(INDEX(Clay_Offices!$A$2:$FZ$601,580,Sync!$C$9)&amp;"",""))</f>
        <v/>
      </c>
      <c r="K3431" t="inlineStr">
        <is>
          <t>office outreach touch 3</t>
        </is>
      </c>
    </row>
    <row r="3432">
      <c r="A3432" s="17">
        <f>IF(B3432="","",B3432+(14*1000+581)/10000000)</f>
        <v/>
      </c>
      <c r="B3432" s="23">
        <f>IF(AND(IFERROR(N(INDEX(Clay_Offices!$A$2:$FZ$601,581,Sync!$C$13)),0)&gt;0,IFERROR(INDEX(Clay_Offices!$A$2:$FZ$601,581,Sync!$C$5)&amp;"","")&lt;&gt;"",OR(LEFT(IFERROR(INDEX(Clay_Offices!$A$2:$FZ$601,581,Sync!$C$5)&amp;"",""),6)&lt;&gt;"SAMPLE",Config!$B$19="Y")),IFERROR(N(INDEX(Clay_Offices!$A$2:$FZ$601,581,Sync!$C$13)),0),"")</f>
        <v/>
      </c>
      <c r="C3432" s="17">
        <f>IF(B3432="","","office")</f>
        <v/>
      </c>
      <c r="D3432" s="17">
        <f>IF(B3432="","",IFERROR(INDEX(Clay_Offices!$A$2:$FZ$601,581,Sync!$C$5)&amp;"",""))</f>
        <v/>
      </c>
      <c r="E3432" s="17">
        <f>IF(B3432="","",IFERROR(INDEX(Clay_Offices!$A$2:$FZ$601,581,Sync!$C$6)&amp;"",""))</f>
        <v/>
      </c>
      <c r="F3432" s="17">
        <f>IF(B3432="","","outreach_sent")</f>
        <v/>
      </c>
      <c r="G3432" s="17">
        <f>IF(B3432="","","")</f>
        <v/>
      </c>
      <c r="H3432" s="17">
        <f>IF(B3432="","","")</f>
        <v/>
      </c>
      <c r="I3432" s="17">
        <f>IF(B3432="","","")</f>
        <v/>
      </c>
      <c r="J3432" s="17">
        <f>IF(B3432="","","touch_3; "&amp;IFERROR(INDEX(Clay_Offices!$A$2:$FZ$601,581,Sync!$C$10)&amp;"","")&amp;"; "&amp;IFERROR(INDEX(Clay_Offices!$A$2:$FZ$601,581,Sync!$C$9)&amp;"",""))</f>
        <v/>
      </c>
      <c r="K3432" t="inlineStr">
        <is>
          <t>office outreach touch 3</t>
        </is>
      </c>
    </row>
    <row r="3433">
      <c r="A3433" s="17">
        <f>IF(B3433="","",B3433+(14*1000+582)/10000000)</f>
        <v/>
      </c>
      <c r="B3433" s="23">
        <f>IF(AND(IFERROR(N(INDEX(Clay_Offices!$A$2:$FZ$601,582,Sync!$C$13)),0)&gt;0,IFERROR(INDEX(Clay_Offices!$A$2:$FZ$601,582,Sync!$C$5)&amp;"","")&lt;&gt;"",OR(LEFT(IFERROR(INDEX(Clay_Offices!$A$2:$FZ$601,582,Sync!$C$5)&amp;"",""),6)&lt;&gt;"SAMPLE",Config!$B$19="Y")),IFERROR(N(INDEX(Clay_Offices!$A$2:$FZ$601,582,Sync!$C$13)),0),"")</f>
        <v/>
      </c>
      <c r="C3433" s="17">
        <f>IF(B3433="","","office")</f>
        <v/>
      </c>
      <c r="D3433" s="17">
        <f>IF(B3433="","",IFERROR(INDEX(Clay_Offices!$A$2:$FZ$601,582,Sync!$C$5)&amp;"",""))</f>
        <v/>
      </c>
      <c r="E3433" s="17">
        <f>IF(B3433="","",IFERROR(INDEX(Clay_Offices!$A$2:$FZ$601,582,Sync!$C$6)&amp;"",""))</f>
        <v/>
      </c>
      <c r="F3433" s="17">
        <f>IF(B3433="","","outreach_sent")</f>
        <v/>
      </c>
      <c r="G3433" s="17">
        <f>IF(B3433="","","")</f>
        <v/>
      </c>
      <c r="H3433" s="17">
        <f>IF(B3433="","","")</f>
        <v/>
      </c>
      <c r="I3433" s="17">
        <f>IF(B3433="","","")</f>
        <v/>
      </c>
      <c r="J3433" s="17">
        <f>IF(B3433="","","touch_3; "&amp;IFERROR(INDEX(Clay_Offices!$A$2:$FZ$601,582,Sync!$C$10)&amp;"","")&amp;"; "&amp;IFERROR(INDEX(Clay_Offices!$A$2:$FZ$601,582,Sync!$C$9)&amp;"",""))</f>
        <v/>
      </c>
      <c r="K3433" t="inlineStr">
        <is>
          <t>office outreach touch 3</t>
        </is>
      </c>
    </row>
    <row r="3434">
      <c r="A3434" s="17">
        <f>IF(B3434="","",B3434+(14*1000+583)/10000000)</f>
        <v/>
      </c>
      <c r="B3434" s="23">
        <f>IF(AND(IFERROR(N(INDEX(Clay_Offices!$A$2:$FZ$601,583,Sync!$C$13)),0)&gt;0,IFERROR(INDEX(Clay_Offices!$A$2:$FZ$601,583,Sync!$C$5)&amp;"","")&lt;&gt;"",OR(LEFT(IFERROR(INDEX(Clay_Offices!$A$2:$FZ$601,583,Sync!$C$5)&amp;"",""),6)&lt;&gt;"SAMPLE",Config!$B$19="Y")),IFERROR(N(INDEX(Clay_Offices!$A$2:$FZ$601,583,Sync!$C$13)),0),"")</f>
        <v/>
      </c>
      <c r="C3434" s="17">
        <f>IF(B3434="","","office")</f>
        <v/>
      </c>
      <c r="D3434" s="17">
        <f>IF(B3434="","",IFERROR(INDEX(Clay_Offices!$A$2:$FZ$601,583,Sync!$C$5)&amp;"",""))</f>
        <v/>
      </c>
      <c r="E3434" s="17">
        <f>IF(B3434="","",IFERROR(INDEX(Clay_Offices!$A$2:$FZ$601,583,Sync!$C$6)&amp;"",""))</f>
        <v/>
      </c>
      <c r="F3434" s="17">
        <f>IF(B3434="","","outreach_sent")</f>
        <v/>
      </c>
      <c r="G3434" s="17">
        <f>IF(B3434="","","")</f>
        <v/>
      </c>
      <c r="H3434" s="17">
        <f>IF(B3434="","","")</f>
        <v/>
      </c>
      <c r="I3434" s="17">
        <f>IF(B3434="","","")</f>
        <v/>
      </c>
      <c r="J3434" s="17">
        <f>IF(B3434="","","touch_3; "&amp;IFERROR(INDEX(Clay_Offices!$A$2:$FZ$601,583,Sync!$C$10)&amp;"","")&amp;"; "&amp;IFERROR(INDEX(Clay_Offices!$A$2:$FZ$601,583,Sync!$C$9)&amp;"",""))</f>
        <v/>
      </c>
      <c r="K3434" t="inlineStr">
        <is>
          <t>office outreach touch 3</t>
        </is>
      </c>
    </row>
    <row r="3435">
      <c r="A3435" s="17">
        <f>IF(B3435="","",B3435+(14*1000+584)/10000000)</f>
        <v/>
      </c>
      <c r="B3435" s="23">
        <f>IF(AND(IFERROR(N(INDEX(Clay_Offices!$A$2:$FZ$601,584,Sync!$C$13)),0)&gt;0,IFERROR(INDEX(Clay_Offices!$A$2:$FZ$601,584,Sync!$C$5)&amp;"","")&lt;&gt;"",OR(LEFT(IFERROR(INDEX(Clay_Offices!$A$2:$FZ$601,584,Sync!$C$5)&amp;"",""),6)&lt;&gt;"SAMPLE",Config!$B$19="Y")),IFERROR(N(INDEX(Clay_Offices!$A$2:$FZ$601,584,Sync!$C$13)),0),"")</f>
        <v/>
      </c>
      <c r="C3435" s="17">
        <f>IF(B3435="","","office")</f>
        <v/>
      </c>
      <c r="D3435" s="17">
        <f>IF(B3435="","",IFERROR(INDEX(Clay_Offices!$A$2:$FZ$601,584,Sync!$C$5)&amp;"",""))</f>
        <v/>
      </c>
      <c r="E3435" s="17">
        <f>IF(B3435="","",IFERROR(INDEX(Clay_Offices!$A$2:$FZ$601,584,Sync!$C$6)&amp;"",""))</f>
        <v/>
      </c>
      <c r="F3435" s="17">
        <f>IF(B3435="","","outreach_sent")</f>
        <v/>
      </c>
      <c r="G3435" s="17">
        <f>IF(B3435="","","")</f>
        <v/>
      </c>
      <c r="H3435" s="17">
        <f>IF(B3435="","","")</f>
        <v/>
      </c>
      <c r="I3435" s="17">
        <f>IF(B3435="","","")</f>
        <v/>
      </c>
      <c r="J3435" s="17">
        <f>IF(B3435="","","touch_3; "&amp;IFERROR(INDEX(Clay_Offices!$A$2:$FZ$601,584,Sync!$C$10)&amp;"","")&amp;"; "&amp;IFERROR(INDEX(Clay_Offices!$A$2:$FZ$601,584,Sync!$C$9)&amp;"",""))</f>
        <v/>
      </c>
      <c r="K3435" t="inlineStr">
        <is>
          <t>office outreach touch 3</t>
        </is>
      </c>
    </row>
    <row r="3436">
      <c r="A3436" s="17">
        <f>IF(B3436="","",B3436+(14*1000+585)/10000000)</f>
        <v/>
      </c>
      <c r="B3436" s="23">
        <f>IF(AND(IFERROR(N(INDEX(Clay_Offices!$A$2:$FZ$601,585,Sync!$C$13)),0)&gt;0,IFERROR(INDEX(Clay_Offices!$A$2:$FZ$601,585,Sync!$C$5)&amp;"","")&lt;&gt;"",OR(LEFT(IFERROR(INDEX(Clay_Offices!$A$2:$FZ$601,585,Sync!$C$5)&amp;"",""),6)&lt;&gt;"SAMPLE",Config!$B$19="Y")),IFERROR(N(INDEX(Clay_Offices!$A$2:$FZ$601,585,Sync!$C$13)),0),"")</f>
        <v/>
      </c>
      <c r="C3436" s="17">
        <f>IF(B3436="","","office")</f>
        <v/>
      </c>
      <c r="D3436" s="17">
        <f>IF(B3436="","",IFERROR(INDEX(Clay_Offices!$A$2:$FZ$601,585,Sync!$C$5)&amp;"",""))</f>
        <v/>
      </c>
      <c r="E3436" s="17">
        <f>IF(B3436="","",IFERROR(INDEX(Clay_Offices!$A$2:$FZ$601,585,Sync!$C$6)&amp;"",""))</f>
        <v/>
      </c>
      <c r="F3436" s="17">
        <f>IF(B3436="","","outreach_sent")</f>
        <v/>
      </c>
      <c r="G3436" s="17">
        <f>IF(B3436="","","")</f>
        <v/>
      </c>
      <c r="H3436" s="17">
        <f>IF(B3436="","","")</f>
        <v/>
      </c>
      <c r="I3436" s="17">
        <f>IF(B3436="","","")</f>
        <v/>
      </c>
      <c r="J3436" s="17">
        <f>IF(B3436="","","touch_3; "&amp;IFERROR(INDEX(Clay_Offices!$A$2:$FZ$601,585,Sync!$C$10)&amp;"","")&amp;"; "&amp;IFERROR(INDEX(Clay_Offices!$A$2:$FZ$601,585,Sync!$C$9)&amp;"",""))</f>
        <v/>
      </c>
      <c r="K3436" t="inlineStr">
        <is>
          <t>office outreach touch 3</t>
        </is>
      </c>
    </row>
    <row r="3437">
      <c r="A3437" s="17">
        <f>IF(B3437="","",B3437+(14*1000+586)/10000000)</f>
        <v/>
      </c>
      <c r="B3437" s="23">
        <f>IF(AND(IFERROR(N(INDEX(Clay_Offices!$A$2:$FZ$601,586,Sync!$C$13)),0)&gt;0,IFERROR(INDEX(Clay_Offices!$A$2:$FZ$601,586,Sync!$C$5)&amp;"","")&lt;&gt;"",OR(LEFT(IFERROR(INDEX(Clay_Offices!$A$2:$FZ$601,586,Sync!$C$5)&amp;"",""),6)&lt;&gt;"SAMPLE",Config!$B$19="Y")),IFERROR(N(INDEX(Clay_Offices!$A$2:$FZ$601,586,Sync!$C$13)),0),"")</f>
        <v/>
      </c>
      <c r="C3437" s="17">
        <f>IF(B3437="","","office")</f>
        <v/>
      </c>
      <c r="D3437" s="17">
        <f>IF(B3437="","",IFERROR(INDEX(Clay_Offices!$A$2:$FZ$601,586,Sync!$C$5)&amp;"",""))</f>
        <v/>
      </c>
      <c r="E3437" s="17">
        <f>IF(B3437="","",IFERROR(INDEX(Clay_Offices!$A$2:$FZ$601,586,Sync!$C$6)&amp;"",""))</f>
        <v/>
      </c>
      <c r="F3437" s="17">
        <f>IF(B3437="","","outreach_sent")</f>
        <v/>
      </c>
      <c r="G3437" s="17">
        <f>IF(B3437="","","")</f>
        <v/>
      </c>
      <c r="H3437" s="17">
        <f>IF(B3437="","","")</f>
        <v/>
      </c>
      <c r="I3437" s="17">
        <f>IF(B3437="","","")</f>
        <v/>
      </c>
      <c r="J3437" s="17">
        <f>IF(B3437="","","touch_3; "&amp;IFERROR(INDEX(Clay_Offices!$A$2:$FZ$601,586,Sync!$C$10)&amp;"","")&amp;"; "&amp;IFERROR(INDEX(Clay_Offices!$A$2:$FZ$601,586,Sync!$C$9)&amp;"",""))</f>
        <v/>
      </c>
      <c r="K3437" t="inlineStr">
        <is>
          <t>office outreach touch 3</t>
        </is>
      </c>
    </row>
    <row r="3438">
      <c r="A3438" s="17">
        <f>IF(B3438="","",B3438+(14*1000+587)/10000000)</f>
        <v/>
      </c>
      <c r="B3438" s="23">
        <f>IF(AND(IFERROR(N(INDEX(Clay_Offices!$A$2:$FZ$601,587,Sync!$C$13)),0)&gt;0,IFERROR(INDEX(Clay_Offices!$A$2:$FZ$601,587,Sync!$C$5)&amp;"","")&lt;&gt;"",OR(LEFT(IFERROR(INDEX(Clay_Offices!$A$2:$FZ$601,587,Sync!$C$5)&amp;"",""),6)&lt;&gt;"SAMPLE",Config!$B$19="Y")),IFERROR(N(INDEX(Clay_Offices!$A$2:$FZ$601,587,Sync!$C$13)),0),"")</f>
        <v/>
      </c>
      <c r="C3438" s="17">
        <f>IF(B3438="","","office")</f>
        <v/>
      </c>
      <c r="D3438" s="17">
        <f>IF(B3438="","",IFERROR(INDEX(Clay_Offices!$A$2:$FZ$601,587,Sync!$C$5)&amp;"",""))</f>
        <v/>
      </c>
      <c r="E3438" s="17">
        <f>IF(B3438="","",IFERROR(INDEX(Clay_Offices!$A$2:$FZ$601,587,Sync!$C$6)&amp;"",""))</f>
        <v/>
      </c>
      <c r="F3438" s="17">
        <f>IF(B3438="","","outreach_sent")</f>
        <v/>
      </c>
      <c r="G3438" s="17">
        <f>IF(B3438="","","")</f>
        <v/>
      </c>
      <c r="H3438" s="17">
        <f>IF(B3438="","","")</f>
        <v/>
      </c>
      <c r="I3438" s="17">
        <f>IF(B3438="","","")</f>
        <v/>
      </c>
      <c r="J3438" s="17">
        <f>IF(B3438="","","touch_3; "&amp;IFERROR(INDEX(Clay_Offices!$A$2:$FZ$601,587,Sync!$C$10)&amp;"","")&amp;"; "&amp;IFERROR(INDEX(Clay_Offices!$A$2:$FZ$601,587,Sync!$C$9)&amp;"",""))</f>
        <v/>
      </c>
      <c r="K3438" t="inlineStr">
        <is>
          <t>office outreach touch 3</t>
        </is>
      </c>
    </row>
    <row r="3439">
      <c r="A3439" s="17">
        <f>IF(B3439="","",B3439+(14*1000+588)/10000000)</f>
        <v/>
      </c>
      <c r="B3439" s="23">
        <f>IF(AND(IFERROR(N(INDEX(Clay_Offices!$A$2:$FZ$601,588,Sync!$C$13)),0)&gt;0,IFERROR(INDEX(Clay_Offices!$A$2:$FZ$601,588,Sync!$C$5)&amp;"","")&lt;&gt;"",OR(LEFT(IFERROR(INDEX(Clay_Offices!$A$2:$FZ$601,588,Sync!$C$5)&amp;"",""),6)&lt;&gt;"SAMPLE",Config!$B$19="Y")),IFERROR(N(INDEX(Clay_Offices!$A$2:$FZ$601,588,Sync!$C$13)),0),"")</f>
        <v/>
      </c>
      <c r="C3439" s="17">
        <f>IF(B3439="","","office")</f>
        <v/>
      </c>
      <c r="D3439" s="17">
        <f>IF(B3439="","",IFERROR(INDEX(Clay_Offices!$A$2:$FZ$601,588,Sync!$C$5)&amp;"",""))</f>
        <v/>
      </c>
      <c r="E3439" s="17">
        <f>IF(B3439="","",IFERROR(INDEX(Clay_Offices!$A$2:$FZ$601,588,Sync!$C$6)&amp;"",""))</f>
        <v/>
      </c>
      <c r="F3439" s="17">
        <f>IF(B3439="","","outreach_sent")</f>
        <v/>
      </c>
      <c r="G3439" s="17">
        <f>IF(B3439="","","")</f>
        <v/>
      </c>
      <c r="H3439" s="17">
        <f>IF(B3439="","","")</f>
        <v/>
      </c>
      <c r="I3439" s="17">
        <f>IF(B3439="","","")</f>
        <v/>
      </c>
      <c r="J3439" s="17">
        <f>IF(B3439="","","touch_3; "&amp;IFERROR(INDEX(Clay_Offices!$A$2:$FZ$601,588,Sync!$C$10)&amp;"","")&amp;"; "&amp;IFERROR(INDEX(Clay_Offices!$A$2:$FZ$601,588,Sync!$C$9)&amp;"",""))</f>
        <v/>
      </c>
      <c r="K3439" t="inlineStr">
        <is>
          <t>office outreach touch 3</t>
        </is>
      </c>
    </row>
    <row r="3440">
      <c r="A3440" s="17">
        <f>IF(B3440="","",B3440+(14*1000+589)/10000000)</f>
        <v/>
      </c>
      <c r="B3440" s="23">
        <f>IF(AND(IFERROR(N(INDEX(Clay_Offices!$A$2:$FZ$601,589,Sync!$C$13)),0)&gt;0,IFERROR(INDEX(Clay_Offices!$A$2:$FZ$601,589,Sync!$C$5)&amp;"","")&lt;&gt;"",OR(LEFT(IFERROR(INDEX(Clay_Offices!$A$2:$FZ$601,589,Sync!$C$5)&amp;"",""),6)&lt;&gt;"SAMPLE",Config!$B$19="Y")),IFERROR(N(INDEX(Clay_Offices!$A$2:$FZ$601,589,Sync!$C$13)),0),"")</f>
        <v/>
      </c>
      <c r="C3440" s="17">
        <f>IF(B3440="","","office")</f>
        <v/>
      </c>
      <c r="D3440" s="17">
        <f>IF(B3440="","",IFERROR(INDEX(Clay_Offices!$A$2:$FZ$601,589,Sync!$C$5)&amp;"",""))</f>
        <v/>
      </c>
      <c r="E3440" s="17">
        <f>IF(B3440="","",IFERROR(INDEX(Clay_Offices!$A$2:$FZ$601,589,Sync!$C$6)&amp;"",""))</f>
        <v/>
      </c>
      <c r="F3440" s="17">
        <f>IF(B3440="","","outreach_sent")</f>
        <v/>
      </c>
      <c r="G3440" s="17">
        <f>IF(B3440="","","")</f>
        <v/>
      </c>
      <c r="H3440" s="17">
        <f>IF(B3440="","","")</f>
        <v/>
      </c>
      <c r="I3440" s="17">
        <f>IF(B3440="","","")</f>
        <v/>
      </c>
      <c r="J3440" s="17">
        <f>IF(B3440="","","touch_3; "&amp;IFERROR(INDEX(Clay_Offices!$A$2:$FZ$601,589,Sync!$C$10)&amp;"","")&amp;"; "&amp;IFERROR(INDEX(Clay_Offices!$A$2:$FZ$601,589,Sync!$C$9)&amp;"",""))</f>
        <v/>
      </c>
      <c r="K3440" t="inlineStr">
        <is>
          <t>office outreach touch 3</t>
        </is>
      </c>
    </row>
    <row r="3441">
      <c r="A3441" s="17">
        <f>IF(B3441="","",B3441+(14*1000+590)/10000000)</f>
        <v/>
      </c>
      <c r="B3441" s="23">
        <f>IF(AND(IFERROR(N(INDEX(Clay_Offices!$A$2:$FZ$601,590,Sync!$C$13)),0)&gt;0,IFERROR(INDEX(Clay_Offices!$A$2:$FZ$601,590,Sync!$C$5)&amp;"","")&lt;&gt;"",OR(LEFT(IFERROR(INDEX(Clay_Offices!$A$2:$FZ$601,590,Sync!$C$5)&amp;"",""),6)&lt;&gt;"SAMPLE",Config!$B$19="Y")),IFERROR(N(INDEX(Clay_Offices!$A$2:$FZ$601,590,Sync!$C$13)),0),"")</f>
        <v/>
      </c>
      <c r="C3441" s="17">
        <f>IF(B3441="","","office")</f>
        <v/>
      </c>
      <c r="D3441" s="17">
        <f>IF(B3441="","",IFERROR(INDEX(Clay_Offices!$A$2:$FZ$601,590,Sync!$C$5)&amp;"",""))</f>
        <v/>
      </c>
      <c r="E3441" s="17">
        <f>IF(B3441="","",IFERROR(INDEX(Clay_Offices!$A$2:$FZ$601,590,Sync!$C$6)&amp;"",""))</f>
        <v/>
      </c>
      <c r="F3441" s="17">
        <f>IF(B3441="","","outreach_sent")</f>
        <v/>
      </c>
      <c r="G3441" s="17">
        <f>IF(B3441="","","")</f>
        <v/>
      </c>
      <c r="H3441" s="17">
        <f>IF(B3441="","","")</f>
        <v/>
      </c>
      <c r="I3441" s="17">
        <f>IF(B3441="","","")</f>
        <v/>
      </c>
      <c r="J3441" s="17">
        <f>IF(B3441="","","touch_3; "&amp;IFERROR(INDEX(Clay_Offices!$A$2:$FZ$601,590,Sync!$C$10)&amp;"","")&amp;"; "&amp;IFERROR(INDEX(Clay_Offices!$A$2:$FZ$601,590,Sync!$C$9)&amp;"",""))</f>
        <v/>
      </c>
      <c r="K3441" t="inlineStr">
        <is>
          <t>office outreach touch 3</t>
        </is>
      </c>
    </row>
    <row r="3442">
      <c r="A3442" s="17">
        <f>IF(B3442="","",B3442+(14*1000+591)/10000000)</f>
        <v/>
      </c>
      <c r="B3442" s="23">
        <f>IF(AND(IFERROR(N(INDEX(Clay_Offices!$A$2:$FZ$601,591,Sync!$C$13)),0)&gt;0,IFERROR(INDEX(Clay_Offices!$A$2:$FZ$601,591,Sync!$C$5)&amp;"","")&lt;&gt;"",OR(LEFT(IFERROR(INDEX(Clay_Offices!$A$2:$FZ$601,591,Sync!$C$5)&amp;"",""),6)&lt;&gt;"SAMPLE",Config!$B$19="Y")),IFERROR(N(INDEX(Clay_Offices!$A$2:$FZ$601,591,Sync!$C$13)),0),"")</f>
        <v/>
      </c>
      <c r="C3442" s="17">
        <f>IF(B3442="","","office")</f>
        <v/>
      </c>
      <c r="D3442" s="17">
        <f>IF(B3442="","",IFERROR(INDEX(Clay_Offices!$A$2:$FZ$601,591,Sync!$C$5)&amp;"",""))</f>
        <v/>
      </c>
      <c r="E3442" s="17">
        <f>IF(B3442="","",IFERROR(INDEX(Clay_Offices!$A$2:$FZ$601,591,Sync!$C$6)&amp;"",""))</f>
        <v/>
      </c>
      <c r="F3442" s="17">
        <f>IF(B3442="","","outreach_sent")</f>
        <v/>
      </c>
      <c r="G3442" s="17">
        <f>IF(B3442="","","")</f>
        <v/>
      </c>
      <c r="H3442" s="17">
        <f>IF(B3442="","","")</f>
        <v/>
      </c>
      <c r="I3442" s="17">
        <f>IF(B3442="","","")</f>
        <v/>
      </c>
      <c r="J3442" s="17">
        <f>IF(B3442="","","touch_3; "&amp;IFERROR(INDEX(Clay_Offices!$A$2:$FZ$601,591,Sync!$C$10)&amp;"","")&amp;"; "&amp;IFERROR(INDEX(Clay_Offices!$A$2:$FZ$601,591,Sync!$C$9)&amp;"",""))</f>
        <v/>
      </c>
      <c r="K3442" t="inlineStr">
        <is>
          <t>office outreach touch 3</t>
        </is>
      </c>
    </row>
    <row r="3443">
      <c r="A3443" s="17">
        <f>IF(B3443="","",B3443+(14*1000+592)/10000000)</f>
        <v/>
      </c>
      <c r="B3443" s="23">
        <f>IF(AND(IFERROR(N(INDEX(Clay_Offices!$A$2:$FZ$601,592,Sync!$C$13)),0)&gt;0,IFERROR(INDEX(Clay_Offices!$A$2:$FZ$601,592,Sync!$C$5)&amp;"","")&lt;&gt;"",OR(LEFT(IFERROR(INDEX(Clay_Offices!$A$2:$FZ$601,592,Sync!$C$5)&amp;"",""),6)&lt;&gt;"SAMPLE",Config!$B$19="Y")),IFERROR(N(INDEX(Clay_Offices!$A$2:$FZ$601,592,Sync!$C$13)),0),"")</f>
        <v/>
      </c>
      <c r="C3443" s="17">
        <f>IF(B3443="","","office")</f>
        <v/>
      </c>
      <c r="D3443" s="17">
        <f>IF(B3443="","",IFERROR(INDEX(Clay_Offices!$A$2:$FZ$601,592,Sync!$C$5)&amp;"",""))</f>
        <v/>
      </c>
      <c r="E3443" s="17">
        <f>IF(B3443="","",IFERROR(INDEX(Clay_Offices!$A$2:$FZ$601,592,Sync!$C$6)&amp;"",""))</f>
        <v/>
      </c>
      <c r="F3443" s="17">
        <f>IF(B3443="","","outreach_sent")</f>
        <v/>
      </c>
      <c r="G3443" s="17">
        <f>IF(B3443="","","")</f>
        <v/>
      </c>
      <c r="H3443" s="17">
        <f>IF(B3443="","","")</f>
        <v/>
      </c>
      <c r="I3443" s="17">
        <f>IF(B3443="","","")</f>
        <v/>
      </c>
      <c r="J3443" s="17">
        <f>IF(B3443="","","touch_3; "&amp;IFERROR(INDEX(Clay_Offices!$A$2:$FZ$601,592,Sync!$C$10)&amp;"","")&amp;"; "&amp;IFERROR(INDEX(Clay_Offices!$A$2:$FZ$601,592,Sync!$C$9)&amp;"",""))</f>
        <v/>
      </c>
      <c r="K3443" t="inlineStr">
        <is>
          <t>office outreach touch 3</t>
        </is>
      </c>
    </row>
    <row r="3444">
      <c r="A3444" s="17">
        <f>IF(B3444="","",B3444+(14*1000+593)/10000000)</f>
        <v/>
      </c>
      <c r="B3444" s="23">
        <f>IF(AND(IFERROR(N(INDEX(Clay_Offices!$A$2:$FZ$601,593,Sync!$C$13)),0)&gt;0,IFERROR(INDEX(Clay_Offices!$A$2:$FZ$601,593,Sync!$C$5)&amp;"","")&lt;&gt;"",OR(LEFT(IFERROR(INDEX(Clay_Offices!$A$2:$FZ$601,593,Sync!$C$5)&amp;"",""),6)&lt;&gt;"SAMPLE",Config!$B$19="Y")),IFERROR(N(INDEX(Clay_Offices!$A$2:$FZ$601,593,Sync!$C$13)),0),"")</f>
        <v/>
      </c>
      <c r="C3444" s="17">
        <f>IF(B3444="","","office")</f>
        <v/>
      </c>
      <c r="D3444" s="17">
        <f>IF(B3444="","",IFERROR(INDEX(Clay_Offices!$A$2:$FZ$601,593,Sync!$C$5)&amp;"",""))</f>
        <v/>
      </c>
      <c r="E3444" s="17">
        <f>IF(B3444="","",IFERROR(INDEX(Clay_Offices!$A$2:$FZ$601,593,Sync!$C$6)&amp;"",""))</f>
        <v/>
      </c>
      <c r="F3444" s="17">
        <f>IF(B3444="","","outreach_sent")</f>
        <v/>
      </c>
      <c r="G3444" s="17">
        <f>IF(B3444="","","")</f>
        <v/>
      </c>
      <c r="H3444" s="17">
        <f>IF(B3444="","","")</f>
        <v/>
      </c>
      <c r="I3444" s="17">
        <f>IF(B3444="","","")</f>
        <v/>
      </c>
      <c r="J3444" s="17">
        <f>IF(B3444="","","touch_3; "&amp;IFERROR(INDEX(Clay_Offices!$A$2:$FZ$601,593,Sync!$C$10)&amp;"","")&amp;"; "&amp;IFERROR(INDEX(Clay_Offices!$A$2:$FZ$601,593,Sync!$C$9)&amp;"",""))</f>
        <v/>
      </c>
      <c r="K3444" t="inlineStr">
        <is>
          <t>office outreach touch 3</t>
        </is>
      </c>
    </row>
    <row r="3445">
      <c r="A3445" s="17">
        <f>IF(B3445="","",B3445+(14*1000+594)/10000000)</f>
        <v/>
      </c>
      <c r="B3445" s="23">
        <f>IF(AND(IFERROR(N(INDEX(Clay_Offices!$A$2:$FZ$601,594,Sync!$C$13)),0)&gt;0,IFERROR(INDEX(Clay_Offices!$A$2:$FZ$601,594,Sync!$C$5)&amp;"","")&lt;&gt;"",OR(LEFT(IFERROR(INDEX(Clay_Offices!$A$2:$FZ$601,594,Sync!$C$5)&amp;"",""),6)&lt;&gt;"SAMPLE",Config!$B$19="Y")),IFERROR(N(INDEX(Clay_Offices!$A$2:$FZ$601,594,Sync!$C$13)),0),"")</f>
        <v/>
      </c>
      <c r="C3445" s="17">
        <f>IF(B3445="","","office")</f>
        <v/>
      </c>
      <c r="D3445" s="17">
        <f>IF(B3445="","",IFERROR(INDEX(Clay_Offices!$A$2:$FZ$601,594,Sync!$C$5)&amp;"",""))</f>
        <v/>
      </c>
      <c r="E3445" s="17">
        <f>IF(B3445="","",IFERROR(INDEX(Clay_Offices!$A$2:$FZ$601,594,Sync!$C$6)&amp;"",""))</f>
        <v/>
      </c>
      <c r="F3445" s="17">
        <f>IF(B3445="","","outreach_sent")</f>
        <v/>
      </c>
      <c r="G3445" s="17">
        <f>IF(B3445="","","")</f>
        <v/>
      </c>
      <c r="H3445" s="17">
        <f>IF(B3445="","","")</f>
        <v/>
      </c>
      <c r="I3445" s="17">
        <f>IF(B3445="","","")</f>
        <v/>
      </c>
      <c r="J3445" s="17">
        <f>IF(B3445="","","touch_3; "&amp;IFERROR(INDEX(Clay_Offices!$A$2:$FZ$601,594,Sync!$C$10)&amp;"","")&amp;"; "&amp;IFERROR(INDEX(Clay_Offices!$A$2:$FZ$601,594,Sync!$C$9)&amp;"",""))</f>
        <v/>
      </c>
      <c r="K3445" t="inlineStr">
        <is>
          <t>office outreach touch 3</t>
        </is>
      </c>
    </row>
    <row r="3446">
      <c r="A3446" s="17">
        <f>IF(B3446="","",B3446+(14*1000+595)/10000000)</f>
        <v/>
      </c>
      <c r="B3446" s="23">
        <f>IF(AND(IFERROR(N(INDEX(Clay_Offices!$A$2:$FZ$601,595,Sync!$C$13)),0)&gt;0,IFERROR(INDEX(Clay_Offices!$A$2:$FZ$601,595,Sync!$C$5)&amp;"","")&lt;&gt;"",OR(LEFT(IFERROR(INDEX(Clay_Offices!$A$2:$FZ$601,595,Sync!$C$5)&amp;"",""),6)&lt;&gt;"SAMPLE",Config!$B$19="Y")),IFERROR(N(INDEX(Clay_Offices!$A$2:$FZ$601,595,Sync!$C$13)),0),"")</f>
        <v/>
      </c>
      <c r="C3446" s="17">
        <f>IF(B3446="","","office")</f>
        <v/>
      </c>
      <c r="D3446" s="17">
        <f>IF(B3446="","",IFERROR(INDEX(Clay_Offices!$A$2:$FZ$601,595,Sync!$C$5)&amp;"",""))</f>
        <v/>
      </c>
      <c r="E3446" s="17">
        <f>IF(B3446="","",IFERROR(INDEX(Clay_Offices!$A$2:$FZ$601,595,Sync!$C$6)&amp;"",""))</f>
        <v/>
      </c>
      <c r="F3446" s="17">
        <f>IF(B3446="","","outreach_sent")</f>
        <v/>
      </c>
      <c r="G3446" s="17">
        <f>IF(B3446="","","")</f>
        <v/>
      </c>
      <c r="H3446" s="17">
        <f>IF(B3446="","","")</f>
        <v/>
      </c>
      <c r="I3446" s="17">
        <f>IF(B3446="","","")</f>
        <v/>
      </c>
      <c r="J3446" s="17">
        <f>IF(B3446="","","touch_3; "&amp;IFERROR(INDEX(Clay_Offices!$A$2:$FZ$601,595,Sync!$C$10)&amp;"","")&amp;"; "&amp;IFERROR(INDEX(Clay_Offices!$A$2:$FZ$601,595,Sync!$C$9)&amp;"",""))</f>
        <v/>
      </c>
      <c r="K3446" t="inlineStr">
        <is>
          <t>office outreach touch 3</t>
        </is>
      </c>
    </row>
    <row r="3447">
      <c r="A3447" s="17">
        <f>IF(B3447="","",B3447+(14*1000+596)/10000000)</f>
        <v/>
      </c>
      <c r="B3447" s="23">
        <f>IF(AND(IFERROR(N(INDEX(Clay_Offices!$A$2:$FZ$601,596,Sync!$C$13)),0)&gt;0,IFERROR(INDEX(Clay_Offices!$A$2:$FZ$601,596,Sync!$C$5)&amp;"","")&lt;&gt;"",OR(LEFT(IFERROR(INDEX(Clay_Offices!$A$2:$FZ$601,596,Sync!$C$5)&amp;"",""),6)&lt;&gt;"SAMPLE",Config!$B$19="Y")),IFERROR(N(INDEX(Clay_Offices!$A$2:$FZ$601,596,Sync!$C$13)),0),"")</f>
        <v/>
      </c>
      <c r="C3447" s="17">
        <f>IF(B3447="","","office")</f>
        <v/>
      </c>
      <c r="D3447" s="17">
        <f>IF(B3447="","",IFERROR(INDEX(Clay_Offices!$A$2:$FZ$601,596,Sync!$C$5)&amp;"",""))</f>
        <v/>
      </c>
      <c r="E3447" s="17">
        <f>IF(B3447="","",IFERROR(INDEX(Clay_Offices!$A$2:$FZ$601,596,Sync!$C$6)&amp;"",""))</f>
        <v/>
      </c>
      <c r="F3447" s="17">
        <f>IF(B3447="","","outreach_sent")</f>
        <v/>
      </c>
      <c r="G3447" s="17">
        <f>IF(B3447="","","")</f>
        <v/>
      </c>
      <c r="H3447" s="17">
        <f>IF(B3447="","","")</f>
        <v/>
      </c>
      <c r="I3447" s="17">
        <f>IF(B3447="","","")</f>
        <v/>
      </c>
      <c r="J3447" s="17">
        <f>IF(B3447="","","touch_3; "&amp;IFERROR(INDEX(Clay_Offices!$A$2:$FZ$601,596,Sync!$C$10)&amp;"","")&amp;"; "&amp;IFERROR(INDEX(Clay_Offices!$A$2:$FZ$601,596,Sync!$C$9)&amp;"",""))</f>
        <v/>
      </c>
      <c r="K3447" t="inlineStr">
        <is>
          <t>office outreach touch 3</t>
        </is>
      </c>
    </row>
    <row r="3448">
      <c r="A3448" s="17">
        <f>IF(B3448="","",B3448+(14*1000+597)/10000000)</f>
        <v/>
      </c>
      <c r="B3448" s="23">
        <f>IF(AND(IFERROR(N(INDEX(Clay_Offices!$A$2:$FZ$601,597,Sync!$C$13)),0)&gt;0,IFERROR(INDEX(Clay_Offices!$A$2:$FZ$601,597,Sync!$C$5)&amp;"","")&lt;&gt;"",OR(LEFT(IFERROR(INDEX(Clay_Offices!$A$2:$FZ$601,597,Sync!$C$5)&amp;"",""),6)&lt;&gt;"SAMPLE",Config!$B$19="Y")),IFERROR(N(INDEX(Clay_Offices!$A$2:$FZ$601,597,Sync!$C$13)),0),"")</f>
        <v/>
      </c>
      <c r="C3448" s="17">
        <f>IF(B3448="","","office")</f>
        <v/>
      </c>
      <c r="D3448" s="17">
        <f>IF(B3448="","",IFERROR(INDEX(Clay_Offices!$A$2:$FZ$601,597,Sync!$C$5)&amp;"",""))</f>
        <v/>
      </c>
      <c r="E3448" s="17">
        <f>IF(B3448="","",IFERROR(INDEX(Clay_Offices!$A$2:$FZ$601,597,Sync!$C$6)&amp;"",""))</f>
        <v/>
      </c>
      <c r="F3448" s="17">
        <f>IF(B3448="","","outreach_sent")</f>
        <v/>
      </c>
      <c r="G3448" s="17">
        <f>IF(B3448="","","")</f>
        <v/>
      </c>
      <c r="H3448" s="17">
        <f>IF(B3448="","","")</f>
        <v/>
      </c>
      <c r="I3448" s="17">
        <f>IF(B3448="","","")</f>
        <v/>
      </c>
      <c r="J3448" s="17">
        <f>IF(B3448="","","touch_3; "&amp;IFERROR(INDEX(Clay_Offices!$A$2:$FZ$601,597,Sync!$C$10)&amp;"","")&amp;"; "&amp;IFERROR(INDEX(Clay_Offices!$A$2:$FZ$601,597,Sync!$C$9)&amp;"",""))</f>
        <v/>
      </c>
      <c r="K3448" t="inlineStr">
        <is>
          <t>office outreach touch 3</t>
        </is>
      </c>
    </row>
    <row r="3449">
      <c r="A3449" s="17">
        <f>IF(B3449="","",B3449+(14*1000+598)/10000000)</f>
        <v/>
      </c>
      <c r="B3449" s="23">
        <f>IF(AND(IFERROR(N(INDEX(Clay_Offices!$A$2:$FZ$601,598,Sync!$C$13)),0)&gt;0,IFERROR(INDEX(Clay_Offices!$A$2:$FZ$601,598,Sync!$C$5)&amp;"","")&lt;&gt;"",OR(LEFT(IFERROR(INDEX(Clay_Offices!$A$2:$FZ$601,598,Sync!$C$5)&amp;"",""),6)&lt;&gt;"SAMPLE",Config!$B$19="Y")),IFERROR(N(INDEX(Clay_Offices!$A$2:$FZ$601,598,Sync!$C$13)),0),"")</f>
        <v/>
      </c>
      <c r="C3449" s="17">
        <f>IF(B3449="","","office")</f>
        <v/>
      </c>
      <c r="D3449" s="17">
        <f>IF(B3449="","",IFERROR(INDEX(Clay_Offices!$A$2:$FZ$601,598,Sync!$C$5)&amp;"",""))</f>
        <v/>
      </c>
      <c r="E3449" s="17">
        <f>IF(B3449="","",IFERROR(INDEX(Clay_Offices!$A$2:$FZ$601,598,Sync!$C$6)&amp;"",""))</f>
        <v/>
      </c>
      <c r="F3449" s="17">
        <f>IF(B3449="","","outreach_sent")</f>
        <v/>
      </c>
      <c r="G3449" s="17">
        <f>IF(B3449="","","")</f>
        <v/>
      </c>
      <c r="H3449" s="17">
        <f>IF(B3449="","","")</f>
        <v/>
      </c>
      <c r="I3449" s="17">
        <f>IF(B3449="","","")</f>
        <v/>
      </c>
      <c r="J3449" s="17">
        <f>IF(B3449="","","touch_3; "&amp;IFERROR(INDEX(Clay_Offices!$A$2:$FZ$601,598,Sync!$C$10)&amp;"","")&amp;"; "&amp;IFERROR(INDEX(Clay_Offices!$A$2:$FZ$601,598,Sync!$C$9)&amp;"",""))</f>
        <v/>
      </c>
      <c r="K3449" t="inlineStr">
        <is>
          <t>office outreach touch 3</t>
        </is>
      </c>
    </row>
    <row r="3450">
      <c r="A3450" s="17">
        <f>IF(B3450="","",B3450+(14*1000+599)/10000000)</f>
        <v/>
      </c>
      <c r="B3450" s="23">
        <f>IF(AND(IFERROR(N(INDEX(Clay_Offices!$A$2:$FZ$601,599,Sync!$C$13)),0)&gt;0,IFERROR(INDEX(Clay_Offices!$A$2:$FZ$601,599,Sync!$C$5)&amp;"","")&lt;&gt;"",OR(LEFT(IFERROR(INDEX(Clay_Offices!$A$2:$FZ$601,599,Sync!$C$5)&amp;"",""),6)&lt;&gt;"SAMPLE",Config!$B$19="Y")),IFERROR(N(INDEX(Clay_Offices!$A$2:$FZ$601,599,Sync!$C$13)),0),"")</f>
        <v/>
      </c>
      <c r="C3450" s="17">
        <f>IF(B3450="","","office")</f>
        <v/>
      </c>
      <c r="D3450" s="17">
        <f>IF(B3450="","",IFERROR(INDEX(Clay_Offices!$A$2:$FZ$601,599,Sync!$C$5)&amp;"",""))</f>
        <v/>
      </c>
      <c r="E3450" s="17">
        <f>IF(B3450="","",IFERROR(INDEX(Clay_Offices!$A$2:$FZ$601,599,Sync!$C$6)&amp;"",""))</f>
        <v/>
      </c>
      <c r="F3450" s="17">
        <f>IF(B3450="","","outreach_sent")</f>
        <v/>
      </c>
      <c r="G3450" s="17">
        <f>IF(B3450="","","")</f>
        <v/>
      </c>
      <c r="H3450" s="17">
        <f>IF(B3450="","","")</f>
        <v/>
      </c>
      <c r="I3450" s="17">
        <f>IF(B3450="","","")</f>
        <v/>
      </c>
      <c r="J3450" s="17">
        <f>IF(B3450="","","touch_3; "&amp;IFERROR(INDEX(Clay_Offices!$A$2:$FZ$601,599,Sync!$C$10)&amp;"","")&amp;"; "&amp;IFERROR(INDEX(Clay_Offices!$A$2:$FZ$601,599,Sync!$C$9)&amp;"",""))</f>
        <v/>
      </c>
      <c r="K3450" t="inlineStr">
        <is>
          <t>office outreach touch 3</t>
        </is>
      </c>
    </row>
    <row r="3451">
      <c r="A3451" s="17">
        <f>IF(B3451="","",B3451+(14*1000+600)/10000000)</f>
        <v/>
      </c>
      <c r="B3451" s="23">
        <f>IF(AND(IFERROR(N(INDEX(Clay_Offices!$A$2:$FZ$601,600,Sync!$C$13)),0)&gt;0,IFERROR(INDEX(Clay_Offices!$A$2:$FZ$601,600,Sync!$C$5)&amp;"","")&lt;&gt;"",OR(LEFT(IFERROR(INDEX(Clay_Offices!$A$2:$FZ$601,600,Sync!$C$5)&amp;"",""),6)&lt;&gt;"SAMPLE",Config!$B$19="Y")),IFERROR(N(INDEX(Clay_Offices!$A$2:$FZ$601,600,Sync!$C$13)),0),"")</f>
        <v/>
      </c>
      <c r="C3451" s="17">
        <f>IF(B3451="","","office")</f>
        <v/>
      </c>
      <c r="D3451" s="17">
        <f>IF(B3451="","",IFERROR(INDEX(Clay_Offices!$A$2:$FZ$601,600,Sync!$C$5)&amp;"",""))</f>
        <v/>
      </c>
      <c r="E3451" s="17">
        <f>IF(B3451="","",IFERROR(INDEX(Clay_Offices!$A$2:$FZ$601,600,Sync!$C$6)&amp;"",""))</f>
        <v/>
      </c>
      <c r="F3451" s="17">
        <f>IF(B3451="","","outreach_sent")</f>
        <v/>
      </c>
      <c r="G3451" s="17">
        <f>IF(B3451="","","")</f>
        <v/>
      </c>
      <c r="H3451" s="17">
        <f>IF(B3451="","","")</f>
        <v/>
      </c>
      <c r="I3451" s="17">
        <f>IF(B3451="","","")</f>
        <v/>
      </c>
      <c r="J3451" s="17">
        <f>IF(B3451="","","touch_3; "&amp;IFERROR(INDEX(Clay_Offices!$A$2:$FZ$601,600,Sync!$C$10)&amp;"","")&amp;"; "&amp;IFERROR(INDEX(Clay_Offices!$A$2:$FZ$601,600,Sync!$C$9)&amp;"",""))</f>
        <v/>
      </c>
      <c r="K3451" t="inlineStr">
        <is>
          <t>office outreach touch 3</t>
        </is>
      </c>
    </row>
    <row r="3452">
      <c r="A3452" s="17">
        <f>IF(B3452="","",B3452+(15*1000+1)/10000000)</f>
        <v/>
      </c>
      <c r="B3452" s="23">
        <f>IF(AND(IFERROR(N(INDEX(Clay_Brands!$A$2:$FZ$601,1,Sync!$D$11)),0)&gt;0,IFERROR(INDEX(Clay_Brands!$A$2:$FZ$601,1,Sync!$D$5)&amp;"","")&lt;&gt;"",OR(LEFT(IFERROR(INDEX(Clay_Brands!$A$2:$FZ$601,1,Sync!$D$5)&amp;"",""),6)&lt;&gt;"SAMPLE",Config!$B$19="Y")),IFERROR(N(INDEX(Clay_Brands!$A$2:$FZ$601,1,Sync!$D$11)),0),"")</f>
        <v/>
      </c>
      <c r="C3452" s="17">
        <f>IF(B3452="","","brand")</f>
        <v/>
      </c>
      <c r="D3452" s="17">
        <f>IF(B3452="","",IFERROR(INDEX(Clay_Brands!$A$2:$FZ$601,1,Sync!$D$5)&amp;"",""))</f>
        <v/>
      </c>
      <c r="E3452" s="17">
        <f>IF(B3452="","",IFERROR(INDEX(Clay_Brands!$A$2:$FZ$601,1,Sync!$D$6)&amp;"",""))</f>
        <v/>
      </c>
      <c r="F3452" s="17">
        <f>IF(B3452="","","outreach_sent")</f>
        <v/>
      </c>
      <c r="G3452" s="17">
        <f>IF(B3452="","","")</f>
        <v/>
      </c>
      <c r="H3452" s="17">
        <f>IF(B3452="","","")</f>
        <v/>
      </c>
      <c r="I3452" s="17">
        <f>IF(B3452="","","")</f>
        <v/>
      </c>
      <c r="J3452" s="17">
        <f>IF(B3452="","","touch_1; "&amp;IFERROR(INDEX(Clay_Brands!$A$2:$FZ$601,1,Sync!$D$10)&amp;"","")&amp;"; "&amp;IFERROR(INDEX(Clay_Brands!$A$2:$FZ$601,1,Sync!$D$9)&amp;"",""))</f>
        <v/>
      </c>
      <c r="K3452" t="inlineStr">
        <is>
          <t>brand outreach touch 1</t>
        </is>
      </c>
    </row>
    <row r="3453">
      <c r="A3453" s="17">
        <f>IF(B3453="","",B3453+(15*1000+2)/10000000)</f>
        <v/>
      </c>
      <c r="B3453" s="23">
        <f>IF(AND(IFERROR(N(INDEX(Clay_Brands!$A$2:$FZ$601,2,Sync!$D$11)),0)&gt;0,IFERROR(INDEX(Clay_Brands!$A$2:$FZ$601,2,Sync!$D$5)&amp;"","")&lt;&gt;"",OR(LEFT(IFERROR(INDEX(Clay_Brands!$A$2:$FZ$601,2,Sync!$D$5)&amp;"",""),6)&lt;&gt;"SAMPLE",Config!$B$19="Y")),IFERROR(N(INDEX(Clay_Brands!$A$2:$FZ$601,2,Sync!$D$11)),0),"")</f>
        <v/>
      </c>
      <c r="C3453" s="17">
        <f>IF(B3453="","","brand")</f>
        <v/>
      </c>
      <c r="D3453" s="17">
        <f>IF(B3453="","",IFERROR(INDEX(Clay_Brands!$A$2:$FZ$601,2,Sync!$D$5)&amp;"",""))</f>
        <v/>
      </c>
      <c r="E3453" s="17">
        <f>IF(B3453="","",IFERROR(INDEX(Clay_Brands!$A$2:$FZ$601,2,Sync!$D$6)&amp;"",""))</f>
        <v/>
      </c>
      <c r="F3453" s="17">
        <f>IF(B3453="","","outreach_sent")</f>
        <v/>
      </c>
      <c r="G3453" s="17">
        <f>IF(B3453="","","")</f>
        <v/>
      </c>
      <c r="H3453" s="17">
        <f>IF(B3453="","","")</f>
        <v/>
      </c>
      <c r="I3453" s="17">
        <f>IF(B3453="","","")</f>
        <v/>
      </c>
      <c r="J3453" s="17">
        <f>IF(B3453="","","touch_1; "&amp;IFERROR(INDEX(Clay_Brands!$A$2:$FZ$601,2,Sync!$D$10)&amp;"","")&amp;"; "&amp;IFERROR(INDEX(Clay_Brands!$A$2:$FZ$601,2,Sync!$D$9)&amp;"",""))</f>
        <v/>
      </c>
      <c r="K3453" t="inlineStr">
        <is>
          <t>brand outreach touch 1</t>
        </is>
      </c>
    </row>
    <row r="3454">
      <c r="A3454" s="17">
        <f>IF(B3454="","",B3454+(15*1000+3)/10000000)</f>
        <v/>
      </c>
      <c r="B3454" s="23">
        <f>IF(AND(IFERROR(N(INDEX(Clay_Brands!$A$2:$FZ$601,3,Sync!$D$11)),0)&gt;0,IFERROR(INDEX(Clay_Brands!$A$2:$FZ$601,3,Sync!$D$5)&amp;"","")&lt;&gt;"",OR(LEFT(IFERROR(INDEX(Clay_Brands!$A$2:$FZ$601,3,Sync!$D$5)&amp;"",""),6)&lt;&gt;"SAMPLE",Config!$B$19="Y")),IFERROR(N(INDEX(Clay_Brands!$A$2:$FZ$601,3,Sync!$D$11)),0),"")</f>
        <v/>
      </c>
      <c r="C3454" s="17">
        <f>IF(B3454="","","brand")</f>
        <v/>
      </c>
      <c r="D3454" s="17">
        <f>IF(B3454="","",IFERROR(INDEX(Clay_Brands!$A$2:$FZ$601,3,Sync!$D$5)&amp;"",""))</f>
        <v/>
      </c>
      <c r="E3454" s="17">
        <f>IF(B3454="","",IFERROR(INDEX(Clay_Brands!$A$2:$FZ$601,3,Sync!$D$6)&amp;"",""))</f>
        <v/>
      </c>
      <c r="F3454" s="17">
        <f>IF(B3454="","","outreach_sent")</f>
        <v/>
      </c>
      <c r="G3454" s="17">
        <f>IF(B3454="","","")</f>
        <v/>
      </c>
      <c r="H3454" s="17">
        <f>IF(B3454="","","")</f>
        <v/>
      </c>
      <c r="I3454" s="17">
        <f>IF(B3454="","","")</f>
        <v/>
      </c>
      <c r="J3454" s="17">
        <f>IF(B3454="","","touch_1; "&amp;IFERROR(INDEX(Clay_Brands!$A$2:$FZ$601,3,Sync!$D$10)&amp;"","")&amp;"; "&amp;IFERROR(INDEX(Clay_Brands!$A$2:$FZ$601,3,Sync!$D$9)&amp;"",""))</f>
        <v/>
      </c>
      <c r="K3454" t="inlineStr">
        <is>
          <t>brand outreach touch 1</t>
        </is>
      </c>
    </row>
    <row r="3455">
      <c r="A3455" s="17">
        <f>IF(B3455="","",B3455+(15*1000+4)/10000000)</f>
        <v/>
      </c>
      <c r="B3455" s="23">
        <f>IF(AND(IFERROR(N(INDEX(Clay_Brands!$A$2:$FZ$601,4,Sync!$D$11)),0)&gt;0,IFERROR(INDEX(Clay_Brands!$A$2:$FZ$601,4,Sync!$D$5)&amp;"","")&lt;&gt;"",OR(LEFT(IFERROR(INDEX(Clay_Brands!$A$2:$FZ$601,4,Sync!$D$5)&amp;"",""),6)&lt;&gt;"SAMPLE",Config!$B$19="Y")),IFERROR(N(INDEX(Clay_Brands!$A$2:$FZ$601,4,Sync!$D$11)),0),"")</f>
        <v/>
      </c>
      <c r="C3455" s="17">
        <f>IF(B3455="","","brand")</f>
        <v/>
      </c>
      <c r="D3455" s="17">
        <f>IF(B3455="","",IFERROR(INDEX(Clay_Brands!$A$2:$FZ$601,4,Sync!$D$5)&amp;"",""))</f>
        <v/>
      </c>
      <c r="E3455" s="17">
        <f>IF(B3455="","",IFERROR(INDEX(Clay_Brands!$A$2:$FZ$601,4,Sync!$D$6)&amp;"",""))</f>
        <v/>
      </c>
      <c r="F3455" s="17">
        <f>IF(B3455="","","outreach_sent")</f>
        <v/>
      </c>
      <c r="G3455" s="17">
        <f>IF(B3455="","","")</f>
        <v/>
      </c>
      <c r="H3455" s="17">
        <f>IF(B3455="","","")</f>
        <v/>
      </c>
      <c r="I3455" s="17">
        <f>IF(B3455="","","")</f>
        <v/>
      </c>
      <c r="J3455" s="17">
        <f>IF(B3455="","","touch_1; "&amp;IFERROR(INDEX(Clay_Brands!$A$2:$FZ$601,4,Sync!$D$10)&amp;"","")&amp;"; "&amp;IFERROR(INDEX(Clay_Brands!$A$2:$FZ$601,4,Sync!$D$9)&amp;"",""))</f>
        <v/>
      </c>
      <c r="K3455" t="inlineStr">
        <is>
          <t>brand outreach touch 1</t>
        </is>
      </c>
    </row>
    <row r="3456">
      <c r="A3456" s="17">
        <f>IF(B3456="","",B3456+(15*1000+5)/10000000)</f>
        <v/>
      </c>
      <c r="B3456" s="23">
        <f>IF(AND(IFERROR(N(INDEX(Clay_Brands!$A$2:$FZ$601,5,Sync!$D$11)),0)&gt;0,IFERROR(INDEX(Clay_Brands!$A$2:$FZ$601,5,Sync!$D$5)&amp;"","")&lt;&gt;"",OR(LEFT(IFERROR(INDEX(Clay_Brands!$A$2:$FZ$601,5,Sync!$D$5)&amp;"",""),6)&lt;&gt;"SAMPLE",Config!$B$19="Y")),IFERROR(N(INDEX(Clay_Brands!$A$2:$FZ$601,5,Sync!$D$11)),0),"")</f>
        <v/>
      </c>
      <c r="C3456" s="17">
        <f>IF(B3456="","","brand")</f>
        <v/>
      </c>
      <c r="D3456" s="17">
        <f>IF(B3456="","",IFERROR(INDEX(Clay_Brands!$A$2:$FZ$601,5,Sync!$D$5)&amp;"",""))</f>
        <v/>
      </c>
      <c r="E3456" s="17">
        <f>IF(B3456="","",IFERROR(INDEX(Clay_Brands!$A$2:$FZ$601,5,Sync!$D$6)&amp;"",""))</f>
        <v/>
      </c>
      <c r="F3456" s="17">
        <f>IF(B3456="","","outreach_sent")</f>
        <v/>
      </c>
      <c r="G3456" s="17">
        <f>IF(B3456="","","")</f>
        <v/>
      </c>
      <c r="H3456" s="17">
        <f>IF(B3456="","","")</f>
        <v/>
      </c>
      <c r="I3456" s="17">
        <f>IF(B3456="","","")</f>
        <v/>
      </c>
      <c r="J3456" s="17">
        <f>IF(B3456="","","touch_1; "&amp;IFERROR(INDEX(Clay_Brands!$A$2:$FZ$601,5,Sync!$D$10)&amp;"","")&amp;"; "&amp;IFERROR(INDEX(Clay_Brands!$A$2:$FZ$601,5,Sync!$D$9)&amp;"",""))</f>
        <v/>
      </c>
      <c r="K3456" t="inlineStr">
        <is>
          <t>brand outreach touch 1</t>
        </is>
      </c>
    </row>
    <row r="3457">
      <c r="A3457" s="17">
        <f>IF(B3457="","",B3457+(15*1000+6)/10000000)</f>
        <v/>
      </c>
      <c r="B3457" s="23">
        <f>IF(AND(IFERROR(N(INDEX(Clay_Brands!$A$2:$FZ$601,6,Sync!$D$11)),0)&gt;0,IFERROR(INDEX(Clay_Brands!$A$2:$FZ$601,6,Sync!$D$5)&amp;"","")&lt;&gt;"",OR(LEFT(IFERROR(INDEX(Clay_Brands!$A$2:$FZ$601,6,Sync!$D$5)&amp;"",""),6)&lt;&gt;"SAMPLE",Config!$B$19="Y")),IFERROR(N(INDEX(Clay_Brands!$A$2:$FZ$601,6,Sync!$D$11)),0),"")</f>
        <v/>
      </c>
      <c r="C3457" s="17">
        <f>IF(B3457="","","brand")</f>
        <v/>
      </c>
      <c r="D3457" s="17">
        <f>IF(B3457="","",IFERROR(INDEX(Clay_Brands!$A$2:$FZ$601,6,Sync!$D$5)&amp;"",""))</f>
        <v/>
      </c>
      <c r="E3457" s="17">
        <f>IF(B3457="","",IFERROR(INDEX(Clay_Brands!$A$2:$FZ$601,6,Sync!$D$6)&amp;"",""))</f>
        <v/>
      </c>
      <c r="F3457" s="17">
        <f>IF(B3457="","","outreach_sent")</f>
        <v/>
      </c>
      <c r="G3457" s="17">
        <f>IF(B3457="","","")</f>
        <v/>
      </c>
      <c r="H3457" s="17">
        <f>IF(B3457="","","")</f>
        <v/>
      </c>
      <c r="I3457" s="17">
        <f>IF(B3457="","","")</f>
        <v/>
      </c>
      <c r="J3457" s="17">
        <f>IF(B3457="","","touch_1; "&amp;IFERROR(INDEX(Clay_Brands!$A$2:$FZ$601,6,Sync!$D$10)&amp;"","")&amp;"; "&amp;IFERROR(INDEX(Clay_Brands!$A$2:$FZ$601,6,Sync!$D$9)&amp;"",""))</f>
        <v/>
      </c>
      <c r="K3457" t="inlineStr">
        <is>
          <t>brand outreach touch 1</t>
        </is>
      </c>
    </row>
    <row r="3458">
      <c r="A3458" s="17">
        <f>IF(B3458="","",B3458+(15*1000+7)/10000000)</f>
        <v/>
      </c>
      <c r="B3458" s="23">
        <f>IF(AND(IFERROR(N(INDEX(Clay_Brands!$A$2:$FZ$601,7,Sync!$D$11)),0)&gt;0,IFERROR(INDEX(Clay_Brands!$A$2:$FZ$601,7,Sync!$D$5)&amp;"","")&lt;&gt;"",OR(LEFT(IFERROR(INDEX(Clay_Brands!$A$2:$FZ$601,7,Sync!$D$5)&amp;"",""),6)&lt;&gt;"SAMPLE",Config!$B$19="Y")),IFERROR(N(INDEX(Clay_Brands!$A$2:$FZ$601,7,Sync!$D$11)),0),"")</f>
        <v/>
      </c>
      <c r="C3458" s="17">
        <f>IF(B3458="","","brand")</f>
        <v/>
      </c>
      <c r="D3458" s="17">
        <f>IF(B3458="","",IFERROR(INDEX(Clay_Brands!$A$2:$FZ$601,7,Sync!$D$5)&amp;"",""))</f>
        <v/>
      </c>
      <c r="E3458" s="17">
        <f>IF(B3458="","",IFERROR(INDEX(Clay_Brands!$A$2:$FZ$601,7,Sync!$D$6)&amp;"",""))</f>
        <v/>
      </c>
      <c r="F3458" s="17">
        <f>IF(B3458="","","outreach_sent")</f>
        <v/>
      </c>
      <c r="G3458" s="17">
        <f>IF(B3458="","","")</f>
        <v/>
      </c>
      <c r="H3458" s="17">
        <f>IF(B3458="","","")</f>
        <v/>
      </c>
      <c r="I3458" s="17">
        <f>IF(B3458="","","")</f>
        <v/>
      </c>
      <c r="J3458" s="17">
        <f>IF(B3458="","","touch_1; "&amp;IFERROR(INDEX(Clay_Brands!$A$2:$FZ$601,7,Sync!$D$10)&amp;"","")&amp;"; "&amp;IFERROR(INDEX(Clay_Brands!$A$2:$FZ$601,7,Sync!$D$9)&amp;"",""))</f>
        <v/>
      </c>
      <c r="K3458" t="inlineStr">
        <is>
          <t>brand outreach touch 1</t>
        </is>
      </c>
    </row>
    <row r="3459">
      <c r="A3459" s="17">
        <f>IF(B3459="","",B3459+(15*1000+8)/10000000)</f>
        <v/>
      </c>
      <c r="B3459" s="23">
        <f>IF(AND(IFERROR(N(INDEX(Clay_Brands!$A$2:$FZ$601,8,Sync!$D$11)),0)&gt;0,IFERROR(INDEX(Clay_Brands!$A$2:$FZ$601,8,Sync!$D$5)&amp;"","")&lt;&gt;"",OR(LEFT(IFERROR(INDEX(Clay_Brands!$A$2:$FZ$601,8,Sync!$D$5)&amp;"",""),6)&lt;&gt;"SAMPLE",Config!$B$19="Y")),IFERROR(N(INDEX(Clay_Brands!$A$2:$FZ$601,8,Sync!$D$11)),0),"")</f>
        <v/>
      </c>
      <c r="C3459" s="17">
        <f>IF(B3459="","","brand")</f>
        <v/>
      </c>
      <c r="D3459" s="17">
        <f>IF(B3459="","",IFERROR(INDEX(Clay_Brands!$A$2:$FZ$601,8,Sync!$D$5)&amp;"",""))</f>
        <v/>
      </c>
      <c r="E3459" s="17">
        <f>IF(B3459="","",IFERROR(INDEX(Clay_Brands!$A$2:$FZ$601,8,Sync!$D$6)&amp;"",""))</f>
        <v/>
      </c>
      <c r="F3459" s="17">
        <f>IF(B3459="","","outreach_sent")</f>
        <v/>
      </c>
      <c r="G3459" s="17">
        <f>IF(B3459="","","")</f>
        <v/>
      </c>
      <c r="H3459" s="17">
        <f>IF(B3459="","","")</f>
        <v/>
      </c>
      <c r="I3459" s="17">
        <f>IF(B3459="","","")</f>
        <v/>
      </c>
      <c r="J3459" s="17">
        <f>IF(B3459="","","touch_1; "&amp;IFERROR(INDEX(Clay_Brands!$A$2:$FZ$601,8,Sync!$D$10)&amp;"","")&amp;"; "&amp;IFERROR(INDEX(Clay_Brands!$A$2:$FZ$601,8,Sync!$D$9)&amp;"",""))</f>
        <v/>
      </c>
      <c r="K3459" t="inlineStr">
        <is>
          <t>brand outreach touch 1</t>
        </is>
      </c>
    </row>
    <row r="3460">
      <c r="A3460" s="17">
        <f>IF(B3460="","",B3460+(15*1000+9)/10000000)</f>
        <v/>
      </c>
      <c r="B3460" s="23">
        <f>IF(AND(IFERROR(N(INDEX(Clay_Brands!$A$2:$FZ$601,9,Sync!$D$11)),0)&gt;0,IFERROR(INDEX(Clay_Brands!$A$2:$FZ$601,9,Sync!$D$5)&amp;"","")&lt;&gt;"",OR(LEFT(IFERROR(INDEX(Clay_Brands!$A$2:$FZ$601,9,Sync!$D$5)&amp;"",""),6)&lt;&gt;"SAMPLE",Config!$B$19="Y")),IFERROR(N(INDEX(Clay_Brands!$A$2:$FZ$601,9,Sync!$D$11)),0),"")</f>
        <v/>
      </c>
      <c r="C3460" s="17">
        <f>IF(B3460="","","brand")</f>
        <v/>
      </c>
      <c r="D3460" s="17">
        <f>IF(B3460="","",IFERROR(INDEX(Clay_Brands!$A$2:$FZ$601,9,Sync!$D$5)&amp;"",""))</f>
        <v/>
      </c>
      <c r="E3460" s="17">
        <f>IF(B3460="","",IFERROR(INDEX(Clay_Brands!$A$2:$FZ$601,9,Sync!$D$6)&amp;"",""))</f>
        <v/>
      </c>
      <c r="F3460" s="17">
        <f>IF(B3460="","","outreach_sent")</f>
        <v/>
      </c>
      <c r="G3460" s="17">
        <f>IF(B3460="","","")</f>
        <v/>
      </c>
      <c r="H3460" s="17">
        <f>IF(B3460="","","")</f>
        <v/>
      </c>
      <c r="I3460" s="17">
        <f>IF(B3460="","","")</f>
        <v/>
      </c>
      <c r="J3460" s="17">
        <f>IF(B3460="","","touch_1; "&amp;IFERROR(INDEX(Clay_Brands!$A$2:$FZ$601,9,Sync!$D$10)&amp;"","")&amp;"; "&amp;IFERROR(INDEX(Clay_Brands!$A$2:$FZ$601,9,Sync!$D$9)&amp;"",""))</f>
        <v/>
      </c>
      <c r="K3460" t="inlineStr">
        <is>
          <t>brand outreach touch 1</t>
        </is>
      </c>
    </row>
    <row r="3461">
      <c r="A3461" s="17">
        <f>IF(B3461="","",B3461+(15*1000+10)/10000000)</f>
        <v/>
      </c>
      <c r="B3461" s="23">
        <f>IF(AND(IFERROR(N(INDEX(Clay_Brands!$A$2:$FZ$601,10,Sync!$D$11)),0)&gt;0,IFERROR(INDEX(Clay_Brands!$A$2:$FZ$601,10,Sync!$D$5)&amp;"","")&lt;&gt;"",OR(LEFT(IFERROR(INDEX(Clay_Brands!$A$2:$FZ$601,10,Sync!$D$5)&amp;"",""),6)&lt;&gt;"SAMPLE",Config!$B$19="Y")),IFERROR(N(INDEX(Clay_Brands!$A$2:$FZ$601,10,Sync!$D$11)),0),"")</f>
        <v/>
      </c>
      <c r="C3461" s="17">
        <f>IF(B3461="","","brand")</f>
        <v/>
      </c>
      <c r="D3461" s="17">
        <f>IF(B3461="","",IFERROR(INDEX(Clay_Brands!$A$2:$FZ$601,10,Sync!$D$5)&amp;"",""))</f>
        <v/>
      </c>
      <c r="E3461" s="17">
        <f>IF(B3461="","",IFERROR(INDEX(Clay_Brands!$A$2:$FZ$601,10,Sync!$D$6)&amp;"",""))</f>
        <v/>
      </c>
      <c r="F3461" s="17">
        <f>IF(B3461="","","outreach_sent")</f>
        <v/>
      </c>
      <c r="G3461" s="17">
        <f>IF(B3461="","","")</f>
        <v/>
      </c>
      <c r="H3461" s="17">
        <f>IF(B3461="","","")</f>
        <v/>
      </c>
      <c r="I3461" s="17">
        <f>IF(B3461="","","")</f>
        <v/>
      </c>
      <c r="J3461" s="17">
        <f>IF(B3461="","","touch_1; "&amp;IFERROR(INDEX(Clay_Brands!$A$2:$FZ$601,10,Sync!$D$10)&amp;"","")&amp;"; "&amp;IFERROR(INDEX(Clay_Brands!$A$2:$FZ$601,10,Sync!$D$9)&amp;"",""))</f>
        <v/>
      </c>
      <c r="K3461" t="inlineStr">
        <is>
          <t>brand outreach touch 1</t>
        </is>
      </c>
    </row>
    <row r="3462">
      <c r="A3462" s="17">
        <f>IF(B3462="","",B3462+(15*1000+11)/10000000)</f>
        <v/>
      </c>
      <c r="B3462" s="23">
        <f>IF(AND(IFERROR(N(INDEX(Clay_Brands!$A$2:$FZ$601,11,Sync!$D$11)),0)&gt;0,IFERROR(INDEX(Clay_Brands!$A$2:$FZ$601,11,Sync!$D$5)&amp;"","")&lt;&gt;"",OR(LEFT(IFERROR(INDEX(Clay_Brands!$A$2:$FZ$601,11,Sync!$D$5)&amp;"",""),6)&lt;&gt;"SAMPLE",Config!$B$19="Y")),IFERROR(N(INDEX(Clay_Brands!$A$2:$FZ$601,11,Sync!$D$11)),0),"")</f>
        <v/>
      </c>
      <c r="C3462" s="17">
        <f>IF(B3462="","","brand")</f>
        <v/>
      </c>
      <c r="D3462" s="17">
        <f>IF(B3462="","",IFERROR(INDEX(Clay_Brands!$A$2:$FZ$601,11,Sync!$D$5)&amp;"",""))</f>
        <v/>
      </c>
      <c r="E3462" s="17">
        <f>IF(B3462="","",IFERROR(INDEX(Clay_Brands!$A$2:$FZ$601,11,Sync!$D$6)&amp;"",""))</f>
        <v/>
      </c>
      <c r="F3462" s="17">
        <f>IF(B3462="","","outreach_sent")</f>
        <v/>
      </c>
      <c r="G3462" s="17">
        <f>IF(B3462="","","")</f>
        <v/>
      </c>
      <c r="H3462" s="17">
        <f>IF(B3462="","","")</f>
        <v/>
      </c>
      <c r="I3462" s="17">
        <f>IF(B3462="","","")</f>
        <v/>
      </c>
      <c r="J3462" s="17">
        <f>IF(B3462="","","touch_1; "&amp;IFERROR(INDEX(Clay_Brands!$A$2:$FZ$601,11,Sync!$D$10)&amp;"","")&amp;"; "&amp;IFERROR(INDEX(Clay_Brands!$A$2:$FZ$601,11,Sync!$D$9)&amp;"",""))</f>
        <v/>
      </c>
      <c r="K3462" t="inlineStr">
        <is>
          <t>brand outreach touch 1</t>
        </is>
      </c>
    </row>
    <row r="3463">
      <c r="A3463" s="17">
        <f>IF(B3463="","",B3463+(15*1000+12)/10000000)</f>
        <v/>
      </c>
      <c r="B3463" s="23">
        <f>IF(AND(IFERROR(N(INDEX(Clay_Brands!$A$2:$FZ$601,12,Sync!$D$11)),0)&gt;0,IFERROR(INDEX(Clay_Brands!$A$2:$FZ$601,12,Sync!$D$5)&amp;"","")&lt;&gt;"",OR(LEFT(IFERROR(INDEX(Clay_Brands!$A$2:$FZ$601,12,Sync!$D$5)&amp;"",""),6)&lt;&gt;"SAMPLE",Config!$B$19="Y")),IFERROR(N(INDEX(Clay_Brands!$A$2:$FZ$601,12,Sync!$D$11)),0),"")</f>
        <v/>
      </c>
      <c r="C3463" s="17">
        <f>IF(B3463="","","brand")</f>
        <v/>
      </c>
      <c r="D3463" s="17">
        <f>IF(B3463="","",IFERROR(INDEX(Clay_Brands!$A$2:$FZ$601,12,Sync!$D$5)&amp;"",""))</f>
        <v/>
      </c>
      <c r="E3463" s="17">
        <f>IF(B3463="","",IFERROR(INDEX(Clay_Brands!$A$2:$FZ$601,12,Sync!$D$6)&amp;"",""))</f>
        <v/>
      </c>
      <c r="F3463" s="17">
        <f>IF(B3463="","","outreach_sent")</f>
        <v/>
      </c>
      <c r="G3463" s="17">
        <f>IF(B3463="","","")</f>
        <v/>
      </c>
      <c r="H3463" s="17">
        <f>IF(B3463="","","")</f>
        <v/>
      </c>
      <c r="I3463" s="17">
        <f>IF(B3463="","","")</f>
        <v/>
      </c>
      <c r="J3463" s="17">
        <f>IF(B3463="","","touch_1; "&amp;IFERROR(INDEX(Clay_Brands!$A$2:$FZ$601,12,Sync!$D$10)&amp;"","")&amp;"; "&amp;IFERROR(INDEX(Clay_Brands!$A$2:$FZ$601,12,Sync!$D$9)&amp;"",""))</f>
        <v/>
      </c>
      <c r="K3463" t="inlineStr">
        <is>
          <t>brand outreach touch 1</t>
        </is>
      </c>
    </row>
    <row r="3464">
      <c r="A3464" s="17">
        <f>IF(B3464="","",B3464+(15*1000+13)/10000000)</f>
        <v/>
      </c>
      <c r="B3464" s="23">
        <f>IF(AND(IFERROR(N(INDEX(Clay_Brands!$A$2:$FZ$601,13,Sync!$D$11)),0)&gt;0,IFERROR(INDEX(Clay_Brands!$A$2:$FZ$601,13,Sync!$D$5)&amp;"","")&lt;&gt;"",OR(LEFT(IFERROR(INDEX(Clay_Brands!$A$2:$FZ$601,13,Sync!$D$5)&amp;"",""),6)&lt;&gt;"SAMPLE",Config!$B$19="Y")),IFERROR(N(INDEX(Clay_Brands!$A$2:$FZ$601,13,Sync!$D$11)),0),"")</f>
        <v/>
      </c>
      <c r="C3464" s="17">
        <f>IF(B3464="","","brand")</f>
        <v/>
      </c>
      <c r="D3464" s="17">
        <f>IF(B3464="","",IFERROR(INDEX(Clay_Brands!$A$2:$FZ$601,13,Sync!$D$5)&amp;"",""))</f>
        <v/>
      </c>
      <c r="E3464" s="17">
        <f>IF(B3464="","",IFERROR(INDEX(Clay_Brands!$A$2:$FZ$601,13,Sync!$D$6)&amp;"",""))</f>
        <v/>
      </c>
      <c r="F3464" s="17">
        <f>IF(B3464="","","outreach_sent")</f>
        <v/>
      </c>
      <c r="G3464" s="17">
        <f>IF(B3464="","","")</f>
        <v/>
      </c>
      <c r="H3464" s="17">
        <f>IF(B3464="","","")</f>
        <v/>
      </c>
      <c r="I3464" s="17">
        <f>IF(B3464="","","")</f>
        <v/>
      </c>
      <c r="J3464" s="17">
        <f>IF(B3464="","","touch_1; "&amp;IFERROR(INDEX(Clay_Brands!$A$2:$FZ$601,13,Sync!$D$10)&amp;"","")&amp;"; "&amp;IFERROR(INDEX(Clay_Brands!$A$2:$FZ$601,13,Sync!$D$9)&amp;"",""))</f>
        <v/>
      </c>
      <c r="K3464" t="inlineStr">
        <is>
          <t>brand outreach touch 1</t>
        </is>
      </c>
    </row>
    <row r="3465">
      <c r="A3465" s="17">
        <f>IF(B3465="","",B3465+(15*1000+14)/10000000)</f>
        <v/>
      </c>
      <c r="B3465" s="23">
        <f>IF(AND(IFERROR(N(INDEX(Clay_Brands!$A$2:$FZ$601,14,Sync!$D$11)),0)&gt;0,IFERROR(INDEX(Clay_Brands!$A$2:$FZ$601,14,Sync!$D$5)&amp;"","")&lt;&gt;"",OR(LEFT(IFERROR(INDEX(Clay_Brands!$A$2:$FZ$601,14,Sync!$D$5)&amp;"",""),6)&lt;&gt;"SAMPLE",Config!$B$19="Y")),IFERROR(N(INDEX(Clay_Brands!$A$2:$FZ$601,14,Sync!$D$11)),0),"")</f>
        <v/>
      </c>
      <c r="C3465" s="17">
        <f>IF(B3465="","","brand")</f>
        <v/>
      </c>
      <c r="D3465" s="17">
        <f>IF(B3465="","",IFERROR(INDEX(Clay_Brands!$A$2:$FZ$601,14,Sync!$D$5)&amp;"",""))</f>
        <v/>
      </c>
      <c r="E3465" s="17">
        <f>IF(B3465="","",IFERROR(INDEX(Clay_Brands!$A$2:$FZ$601,14,Sync!$D$6)&amp;"",""))</f>
        <v/>
      </c>
      <c r="F3465" s="17">
        <f>IF(B3465="","","outreach_sent")</f>
        <v/>
      </c>
      <c r="G3465" s="17">
        <f>IF(B3465="","","")</f>
        <v/>
      </c>
      <c r="H3465" s="17">
        <f>IF(B3465="","","")</f>
        <v/>
      </c>
      <c r="I3465" s="17">
        <f>IF(B3465="","","")</f>
        <v/>
      </c>
      <c r="J3465" s="17">
        <f>IF(B3465="","","touch_1; "&amp;IFERROR(INDEX(Clay_Brands!$A$2:$FZ$601,14,Sync!$D$10)&amp;"","")&amp;"; "&amp;IFERROR(INDEX(Clay_Brands!$A$2:$FZ$601,14,Sync!$D$9)&amp;"",""))</f>
        <v/>
      </c>
      <c r="K3465" t="inlineStr">
        <is>
          <t>brand outreach touch 1</t>
        </is>
      </c>
    </row>
    <row r="3466">
      <c r="A3466" s="17">
        <f>IF(B3466="","",B3466+(15*1000+15)/10000000)</f>
        <v/>
      </c>
      <c r="B3466" s="23">
        <f>IF(AND(IFERROR(N(INDEX(Clay_Brands!$A$2:$FZ$601,15,Sync!$D$11)),0)&gt;0,IFERROR(INDEX(Clay_Brands!$A$2:$FZ$601,15,Sync!$D$5)&amp;"","")&lt;&gt;"",OR(LEFT(IFERROR(INDEX(Clay_Brands!$A$2:$FZ$601,15,Sync!$D$5)&amp;"",""),6)&lt;&gt;"SAMPLE",Config!$B$19="Y")),IFERROR(N(INDEX(Clay_Brands!$A$2:$FZ$601,15,Sync!$D$11)),0),"")</f>
        <v/>
      </c>
      <c r="C3466" s="17">
        <f>IF(B3466="","","brand")</f>
        <v/>
      </c>
      <c r="D3466" s="17">
        <f>IF(B3466="","",IFERROR(INDEX(Clay_Brands!$A$2:$FZ$601,15,Sync!$D$5)&amp;"",""))</f>
        <v/>
      </c>
      <c r="E3466" s="17">
        <f>IF(B3466="","",IFERROR(INDEX(Clay_Brands!$A$2:$FZ$601,15,Sync!$D$6)&amp;"",""))</f>
        <v/>
      </c>
      <c r="F3466" s="17">
        <f>IF(B3466="","","outreach_sent")</f>
        <v/>
      </c>
      <c r="G3466" s="17">
        <f>IF(B3466="","","")</f>
        <v/>
      </c>
      <c r="H3466" s="17">
        <f>IF(B3466="","","")</f>
        <v/>
      </c>
      <c r="I3466" s="17">
        <f>IF(B3466="","","")</f>
        <v/>
      </c>
      <c r="J3466" s="17">
        <f>IF(B3466="","","touch_1; "&amp;IFERROR(INDEX(Clay_Brands!$A$2:$FZ$601,15,Sync!$D$10)&amp;"","")&amp;"; "&amp;IFERROR(INDEX(Clay_Brands!$A$2:$FZ$601,15,Sync!$D$9)&amp;"",""))</f>
        <v/>
      </c>
      <c r="K3466" t="inlineStr">
        <is>
          <t>brand outreach touch 1</t>
        </is>
      </c>
    </row>
    <row r="3467">
      <c r="A3467" s="17">
        <f>IF(B3467="","",B3467+(15*1000+16)/10000000)</f>
        <v/>
      </c>
      <c r="B3467" s="23">
        <f>IF(AND(IFERROR(N(INDEX(Clay_Brands!$A$2:$FZ$601,16,Sync!$D$11)),0)&gt;0,IFERROR(INDEX(Clay_Brands!$A$2:$FZ$601,16,Sync!$D$5)&amp;"","")&lt;&gt;"",OR(LEFT(IFERROR(INDEX(Clay_Brands!$A$2:$FZ$601,16,Sync!$D$5)&amp;"",""),6)&lt;&gt;"SAMPLE",Config!$B$19="Y")),IFERROR(N(INDEX(Clay_Brands!$A$2:$FZ$601,16,Sync!$D$11)),0),"")</f>
        <v/>
      </c>
      <c r="C3467" s="17">
        <f>IF(B3467="","","brand")</f>
        <v/>
      </c>
      <c r="D3467" s="17">
        <f>IF(B3467="","",IFERROR(INDEX(Clay_Brands!$A$2:$FZ$601,16,Sync!$D$5)&amp;"",""))</f>
        <v/>
      </c>
      <c r="E3467" s="17">
        <f>IF(B3467="","",IFERROR(INDEX(Clay_Brands!$A$2:$FZ$601,16,Sync!$D$6)&amp;"",""))</f>
        <v/>
      </c>
      <c r="F3467" s="17">
        <f>IF(B3467="","","outreach_sent")</f>
        <v/>
      </c>
      <c r="G3467" s="17">
        <f>IF(B3467="","","")</f>
        <v/>
      </c>
      <c r="H3467" s="17">
        <f>IF(B3467="","","")</f>
        <v/>
      </c>
      <c r="I3467" s="17">
        <f>IF(B3467="","","")</f>
        <v/>
      </c>
      <c r="J3467" s="17">
        <f>IF(B3467="","","touch_1; "&amp;IFERROR(INDEX(Clay_Brands!$A$2:$FZ$601,16,Sync!$D$10)&amp;"","")&amp;"; "&amp;IFERROR(INDEX(Clay_Brands!$A$2:$FZ$601,16,Sync!$D$9)&amp;"",""))</f>
        <v/>
      </c>
      <c r="K3467" t="inlineStr">
        <is>
          <t>brand outreach touch 1</t>
        </is>
      </c>
    </row>
    <row r="3468">
      <c r="A3468" s="17">
        <f>IF(B3468="","",B3468+(15*1000+17)/10000000)</f>
        <v/>
      </c>
      <c r="B3468" s="23">
        <f>IF(AND(IFERROR(N(INDEX(Clay_Brands!$A$2:$FZ$601,17,Sync!$D$11)),0)&gt;0,IFERROR(INDEX(Clay_Brands!$A$2:$FZ$601,17,Sync!$D$5)&amp;"","")&lt;&gt;"",OR(LEFT(IFERROR(INDEX(Clay_Brands!$A$2:$FZ$601,17,Sync!$D$5)&amp;"",""),6)&lt;&gt;"SAMPLE",Config!$B$19="Y")),IFERROR(N(INDEX(Clay_Brands!$A$2:$FZ$601,17,Sync!$D$11)),0),"")</f>
        <v/>
      </c>
      <c r="C3468" s="17">
        <f>IF(B3468="","","brand")</f>
        <v/>
      </c>
      <c r="D3468" s="17">
        <f>IF(B3468="","",IFERROR(INDEX(Clay_Brands!$A$2:$FZ$601,17,Sync!$D$5)&amp;"",""))</f>
        <v/>
      </c>
      <c r="E3468" s="17">
        <f>IF(B3468="","",IFERROR(INDEX(Clay_Brands!$A$2:$FZ$601,17,Sync!$D$6)&amp;"",""))</f>
        <v/>
      </c>
      <c r="F3468" s="17">
        <f>IF(B3468="","","outreach_sent")</f>
        <v/>
      </c>
      <c r="G3468" s="17">
        <f>IF(B3468="","","")</f>
        <v/>
      </c>
      <c r="H3468" s="17">
        <f>IF(B3468="","","")</f>
        <v/>
      </c>
      <c r="I3468" s="17">
        <f>IF(B3468="","","")</f>
        <v/>
      </c>
      <c r="J3468" s="17">
        <f>IF(B3468="","","touch_1; "&amp;IFERROR(INDEX(Clay_Brands!$A$2:$FZ$601,17,Sync!$D$10)&amp;"","")&amp;"; "&amp;IFERROR(INDEX(Clay_Brands!$A$2:$FZ$601,17,Sync!$D$9)&amp;"",""))</f>
        <v/>
      </c>
      <c r="K3468" t="inlineStr">
        <is>
          <t>brand outreach touch 1</t>
        </is>
      </c>
    </row>
    <row r="3469">
      <c r="A3469" s="17">
        <f>IF(B3469="","",B3469+(15*1000+18)/10000000)</f>
        <v/>
      </c>
      <c r="B3469" s="23">
        <f>IF(AND(IFERROR(N(INDEX(Clay_Brands!$A$2:$FZ$601,18,Sync!$D$11)),0)&gt;0,IFERROR(INDEX(Clay_Brands!$A$2:$FZ$601,18,Sync!$D$5)&amp;"","")&lt;&gt;"",OR(LEFT(IFERROR(INDEX(Clay_Brands!$A$2:$FZ$601,18,Sync!$D$5)&amp;"",""),6)&lt;&gt;"SAMPLE",Config!$B$19="Y")),IFERROR(N(INDEX(Clay_Brands!$A$2:$FZ$601,18,Sync!$D$11)),0),"")</f>
        <v/>
      </c>
      <c r="C3469" s="17">
        <f>IF(B3469="","","brand")</f>
        <v/>
      </c>
      <c r="D3469" s="17">
        <f>IF(B3469="","",IFERROR(INDEX(Clay_Brands!$A$2:$FZ$601,18,Sync!$D$5)&amp;"",""))</f>
        <v/>
      </c>
      <c r="E3469" s="17">
        <f>IF(B3469="","",IFERROR(INDEX(Clay_Brands!$A$2:$FZ$601,18,Sync!$D$6)&amp;"",""))</f>
        <v/>
      </c>
      <c r="F3469" s="17">
        <f>IF(B3469="","","outreach_sent")</f>
        <v/>
      </c>
      <c r="G3469" s="17">
        <f>IF(B3469="","","")</f>
        <v/>
      </c>
      <c r="H3469" s="17">
        <f>IF(B3469="","","")</f>
        <v/>
      </c>
      <c r="I3469" s="17">
        <f>IF(B3469="","","")</f>
        <v/>
      </c>
      <c r="J3469" s="17">
        <f>IF(B3469="","","touch_1; "&amp;IFERROR(INDEX(Clay_Brands!$A$2:$FZ$601,18,Sync!$D$10)&amp;"","")&amp;"; "&amp;IFERROR(INDEX(Clay_Brands!$A$2:$FZ$601,18,Sync!$D$9)&amp;"",""))</f>
        <v/>
      </c>
      <c r="K3469" t="inlineStr">
        <is>
          <t>brand outreach touch 1</t>
        </is>
      </c>
    </row>
    <row r="3470">
      <c r="A3470" s="17">
        <f>IF(B3470="","",B3470+(15*1000+19)/10000000)</f>
        <v/>
      </c>
      <c r="B3470" s="23">
        <f>IF(AND(IFERROR(N(INDEX(Clay_Brands!$A$2:$FZ$601,19,Sync!$D$11)),0)&gt;0,IFERROR(INDEX(Clay_Brands!$A$2:$FZ$601,19,Sync!$D$5)&amp;"","")&lt;&gt;"",OR(LEFT(IFERROR(INDEX(Clay_Brands!$A$2:$FZ$601,19,Sync!$D$5)&amp;"",""),6)&lt;&gt;"SAMPLE",Config!$B$19="Y")),IFERROR(N(INDEX(Clay_Brands!$A$2:$FZ$601,19,Sync!$D$11)),0),"")</f>
        <v/>
      </c>
      <c r="C3470" s="17">
        <f>IF(B3470="","","brand")</f>
        <v/>
      </c>
      <c r="D3470" s="17">
        <f>IF(B3470="","",IFERROR(INDEX(Clay_Brands!$A$2:$FZ$601,19,Sync!$D$5)&amp;"",""))</f>
        <v/>
      </c>
      <c r="E3470" s="17">
        <f>IF(B3470="","",IFERROR(INDEX(Clay_Brands!$A$2:$FZ$601,19,Sync!$D$6)&amp;"",""))</f>
        <v/>
      </c>
      <c r="F3470" s="17">
        <f>IF(B3470="","","outreach_sent")</f>
        <v/>
      </c>
      <c r="G3470" s="17">
        <f>IF(B3470="","","")</f>
        <v/>
      </c>
      <c r="H3470" s="17">
        <f>IF(B3470="","","")</f>
        <v/>
      </c>
      <c r="I3470" s="17">
        <f>IF(B3470="","","")</f>
        <v/>
      </c>
      <c r="J3470" s="17">
        <f>IF(B3470="","","touch_1; "&amp;IFERROR(INDEX(Clay_Brands!$A$2:$FZ$601,19,Sync!$D$10)&amp;"","")&amp;"; "&amp;IFERROR(INDEX(Clay_Brands!$A$2:$FZ$601,19,Sync!$D$9)&amp;"",""))</f>
        <v/>
      </c>
      <c r="K3470" t="inlineStr">
        <is>
          <t>brand outreach touch 1</t>
        </is>
      </c>
    </row>
    <row r="3471">
      <c r="A3471" s="17">
        <f>IF(B3471="","",B3471+(15*1000+20)/10000000)</f>
        <v/>
      </c>
      <c r="B3471" s="23">
        <f>IF(AND(IFERROR(N(INDEX(Clay_Brands!$A$2:$FZ$601,20,Sync!$D$11)),0)&gt;0,IFERROR(INDEX(Clay_Brands!$A$2:$FZ$601,20,Sync!$D$5)&amp;"","")&lt;&gt;"",OR(LEFT(IFERROR(INDEX(Clay_Brands!$A$2:$FZ$601,20,Sync!$D$5)&amp;"",""),6)&lt;&gt;"SAMPLE",Config!$B$19="Y")),IFERROR(N(INDEX(Clay_Brands!$A$2:$FZ$601,20,Sync!$D$11)),0),"")</f>
        <v/>
      </c>
      <c r="C3471" s="17">
        <f>IF(B3471="","","brand")</f>
        <v/>
      </c>
      <c r="D3471" s="17">
        <f>IF(B3471="","",IFERROR(INDEX(Clay_Brands!$A$2:$FZ$601,20,Sync!$D$5)&amp;"",""))</f>
        <v/>
      </c>
      <c r="E3471" s="17">
        <f>IF(B3471="","",IFERROR(INDEX(Clay_Brands!$A$2:$FZ$601,20,Sync!$D$6)&amp;"",""))</f>
        <v/>
      </c>
      <c r="F3471" s="17">
        <f>IF(B3471="","","outreach_sent")</f>
        <v/>
      </c>
      <c r="G3471" s="17">
        <f>IF(B3471="","","")</f>
        <v/>
      </c>
      <c r="H3471" s="17">
        <f>IF(B3471="","","")</f>
        <v/>
      </c>
      <c r="I3471" s="17">
        <f>IF(B3471="","","")</f>
        <v/>
      </c>
      <c r="J3471" s="17">
        <f>IF(B3471="","","touch_1; "&amp;IFERROR(INDEX(Clay_Brands!$A$2:$FZ$601,20,Sync!$D$10)&amp;"","")&amp;"; "&amp;IFERROR(INDEX(Clay_Brands!$A$2:$FZ$601,20,Sync!$D$9)&amp;"",""))</f>
        <v/>
      </c>
      <c r="K3471" t="inlineStr">
        <is>
          <t>brand outreach touch 1</t>
        </is>
      </c>
    </row>
    <row r="3472">
      <c r="A3472" s="17">
        <f>IF(B3472="","",B3472+(15*1000+21)/10000000)</f>
        <v/>
      </c>
      <c r="B3472" s="23">
        <f>IF(AND(IFERROR(N(INDEX(Clay_Brands!$A$2:$FZ$601,21,Sync!$D$11)),0)&gt;0,IFERROR(INDEX(Clay_Brands!$A$2:$FZ$601,21,Sync!$D$5)&amp;"","")&lt;&gt;"",OR(LEFT(IFERROR(INDEX(Clay_Brands!$A$2:$FZ$601,21,Sync!$D$5)&amp;"",""),6)&lt;&gt;"SAMPLE",Config!$B$19="Y")),IFERROR(N(INDEX(Clay_Brands!$A$2:$FZ$601,21,Sync!$D$11)),0),"")</f>
        <v/>
      </c>
      <c r="C3472" s="17">
        <f>IF(B3472="","","brand")</f>
        <v/>
      </c>
      <c r="D3472" s="17">
        <f>IF(B3472="","",IFERROR(INDEX(Clay_Brands!$A$2:$FZ$601,21,Sync!$D$5)&amp;"",""))</f>
        <v/>
      </c>
      <c r="E3472" s="17">
        <f>IF(B3472="","",IFERROR(INDEX(Clay_Brands!$A$2:$FZ$601,21,Sync!$D$6)&amp;"",""))</f>
        <v/>
      </c>
      <c r="F3472" s="17">
        <f>IF(B3472="","","outreach_sent")</f>
        <v/>
      </c>
      <c r="G3472" s="17">
        <f>IF(B3472="","","")</f>
        <v/>
      </c>
      <c r="H3472" s="17">
        <f>IF(B3472="","","")</f>
        <v/>
      </c>
      <c r="I3472" s="17">
        <f>IF(B3472="","","")</f>
        <v/>
      </c>
      <c r="J3472" s="17">
        <f>IF(B3472="","","touch_1; "&amp;IFERROR(INDEX(Clay_Brands!$A$2:$FZ$601,21,Sync!$D$10)&amp;"","")&amp;"; "&amp;IFERROR(INDEX(Clay_Brands!$A$2:$FZ$601,21,Sync!$D$9)&amp;"",""))</f>
        <v/>
      </c>
      <c r="K3472" t="inlineStr">
        <is>
          <t>brand outreach touch 1</t>
        </is>
      </c>
    </row>
    <row r="3473">
      <c r="A3473" s="17">
        <f>IF(B3473="","",B3473+(15*1000+22)/10000000)</f>
        <v/>
      </c>
      <c r="B3473" s="23">
        <f>IF(AND(IFERROR(N(INDEX(Clay_Brands!$A$2:$FZ$601,22,Sync!$D$11)),0)&gt;0,IFERROR(INDEX(Clay_Brands!$A$2:$FZ$601,22,Sync!$D$5)&amp;"","")&lt;&gt;"",OR(LEFT(IFERROR(INDEX(Clay_Brands!$A$2:$FZ$601,22,Sync!$D$5)&amp;"",""),6)&lt;&gt;"SAMPLE",Config!$B$19="Y")),IFERROR(N(INDEX(Clay_Brands!$A$2:$FZ$601,22,Sync!$D$11)),0),"")</f>
        <v/>
      </c>
      <c r="C3473" s="17">
        <f>IF(B3473="","","brand")</f>
        <v/>
      </c>
      <c r="D3473" s="17">
        <f>IF(B3473="","",IFERROR(INDEX(Clay_Brands!$A$2:$FZ$601,22,Sync!$D$5)&amp;"",""))</f>
        <v/>
      </c>
      <c r="E3473" s="17">
        <f>IF(B3473="","",IFERROR(INDEX(Clay_Brands!$A$2:$FZ$601,22,Sync!$D$6)&amp;"",""))</f>
        <v/>
      </c>
      <c r="F3473" s="17">
        <f>IF(B3473="","","outreach_sent")</f>
        <v/>
      </c>
      <c r="G3473" s="17">
        <f>IF(B3473="","","")</f>
        <v/>
      </c>
      <c r="H3473" s="17">
        <f>IF(B3473="","","")</f>
        <v/>
      </c>
      <c r="I3473" s="17">
        <f>IF(B3473="","","")</f>
        <v/>
      </c>
      <c r="J3473" s="17">
        <f>IF(B3473="","","touch_1; "&amp;IFERROR(INDEX(Clay_Brands!$A$2:$FZ$601,22,Sync!$D$10)&amp;"","")&amp;"; "&amp;IFERROR(INDEX(Clay_Brands!$A$2:$FZ$601,22,Sync!$D$9)&amp;"",""))</f>
        <v/>
      </c>
      <c r="K3473" t="inlineStr">
        <is>
          <t>brand outreach touch 1</t>
        </is>
      </c>
    </row>
    <row r="3474">
      <c r="A3474" s="17">
        <f>IF(B3474="","",B3474+(15*1000+23)/10000000)</f>
        <v/>
      </c>
      <c r="B3474" s="23">
        <f>IF(AND(IFERROR(N(INDEX(Clay_Brands!$A$2:$FZ$601,23,Sync!$D$11)),0)&gt;0,IFERROR(INDEX(Clay_Brands!$A$2:$FZ$601,23,Sync!$D$5)&amp;"","")&lt;&gt;"",OR(LEFT(IFERROR(INDEX(Clay_Brands!$A$2:$FZ$601,23,Sync!$D$5)&amp;"",""),6)&lt;&gt;"SAMPLE",Config!$B$19="Y")),IFERROR(N(INDEX(Clay_Brands!$A$2:$FZ$601,23,Sync!$D$11)),0),"")</f>
        <v/>
      </c>
      <c r="C3474" s="17">
        <f>IF(B3474="","","brand")</f>
        <v/>
      </c>
      <c r="D3474" s="17">
        <f>IF(B3474="","",IFERROR(INDEX(Clay_Brands!$A$2:$FZ$601,23,Sync!$D$5)&amp;"",""))</f>
        <v/>
      </c>
      <c r="E3474" s="17">
        <f>IF(B3474="","",IFERROR(INDEX(Clay_Brands!$A$2:$FZ$601,23,Sync!$D$6)&amp;"",""))</f>
        <v/>
      </c>
      <c r="F3474" s="17">
        <f>IF(B3474="","","outreach_sent")</f>
        <v/>
      </c>
      <c r="G3474" s="17">
        <f>IF(B3474="","","")</f>
        <v/>
      </c>
      <c r="H3474" s="17">
        <f>IF(B3474="","","")</f>
        <v/>
      </c>
      <c r="I3474" s="17">
        <f>IF(B3474="","","")</f>
        <v/>
      </c>
      <c r="J3474" s="17">
        <f>IF(B3474="","","touch_1; "&amp;IFERROR(INDEX(Clay_Brands!$A$2:$FZ$601,23,Sync!$D$10)&amp;"","")&amp;"; "&amp;IFERROR(INDEX(Clay_Brands!$A$2:$FZ$601,23,Sync!$D$9)&amp;"",""))</f>
        <v/>
      </c>
      <c r="K3474" t="inlineStr">
        <is>
          <t>brand outreach touch 1</t>
        </is>
      </c>
    </row>
    <row r="3475">
      <c r="A3475" s="17">
        <f>IF(B3475="","",B3475+(15*1000+24)/10000000)</f>
        <v/>
      </c>
      <c r="B3475" s="23">
        <f>IF(AND(IFERROR(N(INDEX(Clay_Brands!$A$2:$FZ$601,24,Sync!$D$11)),0)&gt;0,IFERROR(INDEX(Clay_Brands!$A$2:$FZ$601,24,Sync!$D$5)&amp;"","")&lt;&gt;"",OR(LEFT(IFERROR(INDEX(Clay_Brands!$A$2:$FZ$601,24,Sync!$D$5)&amp;"",""),6)&lt;&gt;"SAMPLE",Config!$B$19="Y")),IFERROR(N(INDEX(Clay_Brands!$A$2:$FZ$601,24,Sync!$D$11)),0),"")</f>
        <v/>
      </c>
      <c r="C3475" s="17">
        <f>IF(B3475="","","brand")</f>
        <v/>
      </c>
      <c r="D3475" s="17">
        <f>IF(B3475="","",IFERROR(INDEX(Clay_Brands!$A$2:$FZ$601,24,Sync!$D$5)&amp;"",""))</f>
        <v/>
      </c>
      <c r="E3475" s="17">
        <f>IF(B3475="","",IFERROR(INDEX(Clay_Brands!$A$2:$FZ$601,24,Sync!$D$6)&amp;"",""))</f>
        <v/>
      </c>
      <c r="F3475" s="17">
        <f>IF(B3475="","","outreach_sent")</f>
        <v/>
      </c>
      <c r="G3475" s="17">
        <f>IF(B3475="","","")</f>
        <v/>
      </c>
      <c r="H3475" s="17">
        <f>IF(B3475="","","")</f>
        <v/>
      </c>
      <c r="I3475" s="17">
        <f>IF(B3475="","","")</f>
        <v/>
      </c>
      <c r="J3475" s="17">
        <f>IF(B3475="","","touch_1; "&amp;IFERROR(INDEX(Clay_Brands!$A$2:$FZ$601,24,Sync!$D$10)&amp;"","")&amp;"; "&amp;IFERROR(INDEX(Clay_Brands!$A$2:$FZ$601,24,Sync!$D$9)&amp;"",""))</f>
        <v/>
      </c>
      <c r="K3475" t="inlineStr">
        <is>
          <t>brand outreach touch 1</t>
        </is>
      </c>
    </row>
    <row r="3476">
      <c r="A3476" s="17">
        <f>IF(B3476="","",B3476+(15*1000+25)/10000000)</f>
        <v/>
      </c>
      <c r="B3476" s="23">
        <f>IF(AND(IFERROR(N(INDEX(Clay_Brands!$A$2:$FZ$601,25,Sync!$D$11)),0)&gt;0,IFERROR(INDEX(Clay_Brands!$A$2:$FZ$601,25,Sync!$D$5)&amp;"","")&lt;&gt;"",OR(LEFT(IFERROR(INDEX(Clay_Brands!$A$2:$FZ$601,25,Sync!$D$5)&amp;"",""),6)&lt;&gt;"SAMPLE",Config!$B$19="Y")),IFERROR(N(INDEX(Clay_Brands!$A$2:$FZ$601,25,Sync!$D$11)),0),"")</f>
        <v/>
      </c>
      <c r="C3476" s="17">
        <f>IF(B3476="","","brand")</f>
        <v/>
      </c>
      <c r="D3476" s="17">
        <f>IF(B3476="","",IFERROR(INDEX(Clay_Brands!$A$2:$FZ$601,25,Sync!$D$5)&amp;"",""))</f>
        <v/>
      </c>
      <c r="E3476" s="17">
        <f>IF(B3476="","",IFERROR(INDEX(Clay_Brands!$A$2:$FZ$601,25,Sync!$D$6)&amp;"",""))</f>
        <v/>
      </c>
      <c r="F3476" s="17">
        <f>IF(B3476="","","outreach_sent")</f>
        <v/>
      </c>
      <c r="G3476" s="17">
        <f>IF(B3476="","","")</f>
        <v/>
      </c>
      <c r="H3476" s="17">
        <f>IF(B3476="","","")</f>
        <v/>
      </c>
      <c r="I3476" s="17">
        <f>IF(B3476="","","")</f>
        <v/>
      </c>
      <c r="J3476" s="17">
        <f>IF(B3476="","","touch_1; "&amp;IFERROR(INDEX(Clay_Brands!$A$2:$FZ$601,25,Sync!$D$10)&amp;"","")&amp;"; "&amp;IFERROR(INDEX(Clay_Brands!$A$2:$FZ$601,25,Sync!$D$9)&amp;"",""))</f>
        <v/>
      </c>
      <c r="K3476" t="inlineStr">
        <is>
          <t>brand outreach touch 1</t>
        </is>
      </c>
    </row>
    <row r="3477">
      <c r="A3477" s="17">
        <f>IF(B3477="","",B3477+(15*1000+26)/10000000)</f>
        <v/>
      </c>
      <c r="B3477" s="23">
        <f>IF(AND(IFERROR(N(INDEX(Clay_Brands!$A$2:$FZ$601,26,Sync!$D$11)),0)&gt;0,IFERROR(INDEX(Clay_Brands!$A$2:$FZ$601,26,Sync!$D$5)&amp;"","")&lt;&gt;"",OR(LEFT(IFERROR(INDEX(Clay_Brands!$A$2:$FZ$601,26,Sync!$D$5)&amp;"",""),6)&lt;&gt;"SAMPLE",Config!$B$19="Y")),IFERROR(N(INDEX(Clay_Brands!$A$2:$FZ$601,26,Sync!$D$11)),0),"")</f>
        <v/>
      </c>
      <c r="C3477" s="17">
        <f>IF(B3477="","","brand")</f>
        <v/>
      </c>
      <c r="D3477" s="17">
        <f>IF(B3477="","",IFERROR(INDEX(Clay_Brands!$A$2:$FZ$601,26,Sync!$D$5)&amp;"",""))</f>
        <v/>
      </c>
      <c r="E3477" s="17">
        <f>IF(B3477="","",IFERROR(INDEX(Clay_Brands!$A$2:$FZ$601,26,Sync!$D$6)&amp;"",""))</f>
        <v/>
      </c>
      <c r="F3477" s="17">
        <f>IF(B3477="","","outreach_sent")</f>
        <v/>
      </c>
      <c r="G3477" s="17">
        <f>IF(B3477="","","")</f>
        <v/>
      </c>
      <c r="H3477" s="17">
        <f>IF(B3477="","","")</f>
        <v/>
      </c>
      <c r="I3477" s="17">
        <f>IF(B3477="","","")</f>
        <v/>
      </c>
      <c r="J3477" s="17">
        <f>IF(B3477="","","touch_1; "&amp;IFERROR(INDEX(Clay_Brands!$A$2:$FZ$601,26,Sync!$D$10)&amp;"","")&amp;"; "&amp;IFERROR(INDEX(Clay_Brands!$A$2:$FZ$601,26,Sync!$D$9)&amp;"",""))</f>
        <v/>
      </c>
      <c r="K3477" t="inlineStr">
        <is>
          <t>brand outreach touch 1</t>
        </is>
      </c>
    </row>
    <row r="3478">
      <c r="A3478" s="17">
        <f>IF(B3478="","",B3478+(15*1000+27)/10000000)</f>
        <v/>
      </c>
      <c r="B3478" s="23">
        <f>IF(AND(IFERROR(N(INDEX(Clay_Brands!$A$2:$FZ$601,27,Sync!$D$11)),0)&gt;0,IFERROR(INDEX(Clay_Brands!$A$2:$FZ$601,27,Sync!$D$5)&amp;"","")&lt;&gt;"",OR(LEFT(IFERROR(INDEX(Clay_Brands!$A$2:$FZ$601,27,Sync!$D$5)&amp;"",""),6)&lt;&gt;"SAMPLE",Config!$B$19="Y")),IFERROR(N(INDEX(Clay_Brands!$A$2:$FZ$601,27,Sync!$D$11)),0),"")</f>
        <v/>
      </c>
      <c r="C3478" s="17">
        <f>IF(B3478="","","brand")</f>
        <v/>
      </c>
      <c r="D3478" s="17">
        <f>IF(B3478="","",IFERROR(INDEX(Clay_Brands!$A$2:$FZ$601,27,Sync!$D$5)&amp;"",""))</f>
        <v/>
      </c>
      <c r="E3478" s="17">
        <f>IF(B3478="","",IFERROR(INDEX(Clay_Brands!$A$2:$FZ$601,27,Sync!$D$6)&amp;"",""))</f>
        <v/>
      </c>
      <c r="F3478" s="17">
        <f>IF(B3478="","","outreach_sent")</f>
        <v/>
      </c>
      <c r="G3478" s="17">
        <f>IF(B3478="","","")</f>
        <v/>
      </c>
      <c r="H3478" s="17">
        <f>IF(B3478="","","")</f>
        <v/>
      </c>
      <c r="I3478" s="17">
        <f>IF(B3478="","","")</f>
        <v/>
      </c>
      <c r="J3478" s="17">
        <f>IF(B3478="","","touch_1; "&amp;IFERROR(INDEX(Clay_Brands!$A$2:$FZ$601,27,Sync!$D$10)&amp;"","")&amp;"; "&amp;IFERROR(INDEX(Clay_Brands!$A$2:$FZ$601,27,Sync!$D$9)&amp;"",""))</f>
        <v/>
      </c>
      <c r="K3478" t="inlineStr">
        <is>
          <t>brand outreach touch 1</t>
        </is>
      </c>
    </row>
    <row r="3479">
      <c r="A3479" s="17">
        <f>IF(B3479="","",B3479+(15*1000+28)/10000000)</f>
        <v/>
      </c>
      <c r="B3479" s="23">
        <f>IF(AND(IFERROR(N(INDEX(Clay_Brands!$A$2:$FZ$601,28,Sync!$D$11)),0)&gt;0,IFERROR(INDEX(Clay_Brands!$A$2:$FZ$601,28,Sync!$D$5)&amp;"","")&lt;&gt;"",OR(LEFT(IFERROR(INDEX(Clay_Brands!$A$2:$FZ$601,28,Sync!$D$5)&amp;"",""),6)&lt;&gt;"SAMPLE",Config!$B$19="Y")),IFERROR(N(INDEX(Clay_Brands!$A$2:$FZ$601,28,Sync!$D$11)),0),"")</f>
        <v/>
      </c>
      <c r="C3479" s="17">
        <f>IF(B3479="","","brand")</f>
        <v/>
      </c>
      <c r="D3479" s="17">
        <f>IF(B3479="","",IFERROR(INDEX(Clay_Brands!$A$2:$FZ$601,28,Sync!$D$5)&amp;"",""))</f>
        <v/>
      </c>
      <c r="E3479" s="17">
        <f>IF(B3479="","",IFERROR(INDEX(Clay_Brands!$A$2:$FZ$601,28,Sync!$D$6)&amp;"",""))</f>
        <v/>
      </c>
      <c r="F3479" s="17">
        <f>IF(B3479="","","outreach_sent")</f>
        <v/>
      </c>
      <c r="G3479" s="17">
        <f>IF(B3479="","","")</f>
        <v/>
      </c>
      <c r="H3479" s="17">
        <f>IF(B3479="","","")</f>
        <v/>
      </c>
      <c r="I3479" s="17">
        <f>IF(B3479="","","")</f>
        <v/>
      </c>
      <c r="J3479" s="17">
        <f>IF(B3479="","","touch_1; "&amp;IFERROR(INDEX(Clay_Brands!$A$2:$FZ$601,28,Sync!$D$10)&amp;"","")&amp;"; "&amp;IFERROR(INDEX(Clay_Brands!$A$2:$FZ$601,28,Sync!$D$9)&amp;"",""))</f>
        <v/>
      </c>
      <c r="K3479" t="inlineStr">
        <is>
          <t>brand outreach touch 1</t>
        </is>
      </c>
    </row>
    <row r="3480">
      <c r="A3480" s="17">
        <f>IF(B3480="","",B3480+(15*1000+29)/10000000)</f>
        <v/>
      </c>
      <c r="B3480" s="23">
        <f>IF(AND(IFERROR(N(INDEX(Clay_Brands!$A$2:$FZ$601,29,Sync!$D$11)),0)&gt;0,IFERROR(INDEX(Clay_Brands!$A$2:$FZ$601,29,Sync!$D$5)&amp;"","")&lt;&gt;"",OR(LEFT(IFERROR(INDEX(Clay_Brands!$A$2:$FZ$601,29,Sync!$D$5)&amp;"",""),6)&lt;&gt;"SAMPLE",Config!$B$19="Y")),IFERROR(N(INDEX(Clay_Brands!$A$2:$FZ$601,29,Sync!$D$11)),0),"")</f>
        <v/>
      </c>
      <c r="C3480" s="17">
        <f>IF(B3480="","","brand")</f>
        <v/>
      </c>
      <c r="D3480" s="17">
        <f>IF(B3480="","",IFERROR(INDEX(Clay_Brands!$A$2:$FZ$601,29,Sync!$D$5)&amp;"",""))</f>
        <v/>
      </c>
      <c r="E3480" s="17">
        <f>IF(B3480="","",IFERROR(INDEX(Clay_Brands!$A$2:$FZ$601,29,Sync!$D$6)&amp;"",""))</f>
        <v/>
      </c>
      <c r="F3480" s="17">
        <f>IF(B3480="","","outreach_sent")</f>
        <v/>
      </c>
      <c r="G3480" s="17">
        <f>IF(B3480="","","")</f>
        <v/>
      </c>
      <c r="H3480" s="17">
        <f>IF(B3480="","","")</f>
        <v/>
      </c>
      <c r="I3480" s="17">
        <f>IF(B3480="","","")</f>
        <v/>
      </c>
      <c r="J3480" s="17">
        <f>IF(B3480="","","touch_1; "&amp;IFERROR(INDEX(Clay_Brands!$A$2:$FZ$601,29,Sync!$D$10)&amp;"","")&amp;"; "&amp;IFERROR(INDEX(Clay_Brands!$A$2:$FZ$601,29,Sync!$D$9)&amp;"",""))</f>
        <v/>
      </c>
      <c r="K3480" t="inlineStr">
        <is>
          <t>brand outreach touch 1</t>
        </is>
      </c>
    </row>
    <row r="3481">
      <c r="A3481" s="17">
        <f>IF(B3481="","",B3481+(15*1000+30)/10000000)</f>
        <v/>
      </c>
      <c r="B3481" s="23">
        <f>IF(AND(IFERROR(N(INDEX(Clay_Brands!$A$2:$FZ$601,30,Sync!$D$11)),0)&gt;0,IFERROR(INDEX(Clay_Brands!$A$2:$FZ$601,30,Sync!$D$5)&amp;"","")&lt;&gt;"",OR(LEFT(IFERROR(INDEX(Clay_Brands!$A$2:$FZ$601,30,Sync!$D$5)&amp;"",""),6)&lt;&gt;"SAMPLE",Config!$B$19="Y")),IFERROR(N(INDEX(Clay_Brands!$A$2:$FZ$601,30,Sync!$D$11)),0),"")</f>
        <v/>
      </c>
      <c r="C3481" s="17">
        <f>IF(B3481="","","brand")</f>
        <v/>
      </c>
      <c r="D3481" s="17">
        <f>IF(B3481="","",IFERROR(INDEX(Clay_Brands!$A$2:$FZ$601,30,Sync!$D$5)&amp;"",""))</f>
        <v/>
      </c>
      <c r="E3481" s="17">
        <f>IF(B3481="","",IFERROR(INDEX(Clay_Brands!$A$2:$FZ$601,30,Sync!$D$6)&amp;"",""))</f>
        <v/>
      </c>
      <c r="F3481" s="17">
        <f>IF(B3481="","","outreach_sent")</f>
        <v/>
      </c>
      <c r="G3481" s="17">
        <f>IF(B3481="","","")</f>
        <v/>
      </c>
      <c r="H3481" s="17">
        <f>IF(B3481="","","")</f>
        <v/>
      </c>
      <c r="I3481" s="17">
        <f>IF(B3481="","","")</f>
        <v/>
      </c>
      <c r="J3481" s="17">
        <f>IF(B3481="","","touch_1; "&amp;IFERROR(INDEX(Clay_Brands!$A$2:$FZ$601,30,Sync!$D$10)&amp;"","")&amp;"; "&amp;IFERROR(INDEX(Clay_Brands!$A$2:$FZ$601,30,Sync!$D$9)&amp;"",""))</f>
        <v/>
      </c>
      <c r="K3481" t="inlineStr">
        <is>
          <t>brand outreach touch 1</t>
        </is>
      </c>
    </row>
    <row r="3482">
      <c r="A3482" s="17">
        <f>IF(B3482="","",B3482+(15*1000+31)/10000000)</f>
        <v/>
      </c>
      <c r="B3482" s="23">
        <f>IF(AND(IFERROR(N(INDEX(Clay_Brands!$A$2:$FZ$601,31,Sync!$D$11)),0)&gt;0,IFERROR(INDEX(Clay_Brands!$A$2:$FZ$601,31,Sync!$D$5)&amp;"","")&lt;&gt;"",OR(LEFT(IFERROR(INDEX(Clay_Brands!$A$2:$FZ$601,31,Sync!$D$5)&amp;"",""),6)&lt;&gt;"SAMPLE",Config!$B$19="Y")),IFERROR(N(INDEX(Clay_Brands!$A$2:$FZ$601,31,Sync!$D$11)),0),"")</f>
        <v/>
      </c>
      <c r="C3482" s="17">
        <f>IF(B3482="","","brand")</f>
        <v/>
      </c>
      <c r="D3482" s="17">
        <f>IF(B3482="","",IFERROR(INDEX(Clay_Brands!$A$2:$FZ$601,31,Sync!$D$5)&amp;"",""))</f>
        <v/>
      </c>
      <c r="E3482" s="17">
        <f>IF(B3482="","",IFERROR(INDEX(Clay_Brands!$A$2:$FZ$601,31,Sync!$D$6)&amp;"",""))</f>
        <v/>
      </c>
      <c r="F3482" s="17">
        <f>IF(B3482="","","outreach_sent")</f>
        <v/>
      </c>
      <c r="G3482" s="17">
        <f>IF(B3482="","","")</f>
        <v/>
      </c>
      <c r="H3482" s="17">
        <f>IF(B3482="","","")</f>
        <v/>
      </c>
      <c r="I3482" s="17">
        <f>IF(B3482="","","")</f>
        <v/>
      </c>
      <c r="J3482" s="17">
        <f>IF(B3482="","","touch_1; "&amp;IFERROR(INDEX(Clay_Brands!$A$2:$FZ$601,31,Sync!$D$10)&amp;"","")&amp;"; "&amp;IFERROR(INDEX(Clay_Brands!$A$2:$FZ$601,31,Sync!$D$9)&amp;"",""))</f>
        <v/>
      </c>
      <c r="K3482" t="inlineStr">
        <is>
          <t>brand outreach touch 1</t>
        </is>
      </c>
    </row>
    <row r="3483">
      <c r="A3483" s="17">
        <f>IF(B3483="","",B3483+(15*1000+32)/10000000)</f>
        <v/>
      </c>
      <c r="B3483" s="23">
        <f>IF(AND(IFERROR(N(INDEX(Clay_Brands!$A$2:$FZ$601,32,Sync!$D$11)),0)&gt;0,IFERROR(INDEX(Clay_Brands!$A$2:$FZ$601,32,Sync!$D$5)&amp;"","")&lt;&gt;"",OR(LEFT(IFERROR(INDEX(Clay_Brands!$A$2:$FZ$601,32,Sync!$D$5)&amp;"",""),6)&lt;&gt;"SAMPLE",Config!$B$19="Y")),IFERROR(N(INDEX(Clay_Brands!$A$2:$FZ$601,32,Sync!$D$11)),0),"")</f>
        <v/>
      </c>
      <c r="C3483" s="17">
        <f>IF(B3483="","","brand")</f>
        <v/>
      </c>
      <c r="D3483" s="17">
        <f>IF(B3483="","",IFERROR(INDEX(Clay_Brands!$A$2:$FZ$601,32,Sync!$D$5)&amp;"",""))</f>
        <v/>
      </c>
      <c r="E3483" s="17">
        <f>IF(B3483="","",IFERROR(INDEX(Clay_Brands!$A$2:$FZ$601,32,Sync!$D$6)&amp;"",""))</f>
        <v/>
      </c>
      <c r="F3483" s="17">
        <f>IF(B3483="","","outreach_sent")</f>
        <v/>
      </c>
      <c r="G3483" s="17">
        <f>IF(B3483="","","")</f>
        <v/>
      </c>
      <c r="H3483" s="17">
        <f>IF(B3483="","","")</f>
        <v/>
      </c>
      <c r="I3483" s="17">
        <f>IF(B3483="","","")</f>
        <v/>
      </c>
      <c r="J3483" s="17">
        <f>IF(B3483="","","touch_1; "&amp;IFERROR(INDEX(Clay_Brands!$A$2:$FZ$601,32,Sync!$D$10)&amp;"","")&amp;"; "&amp;IFERROR(INDEX(Clay_Brands!$A$2:$FZ$601,32,Sync!$D$9)&amp;"",""))</f>
        <v/>
      </c>
      <c r="K3483" t="inlineStr">
        <is>
          <t>brand outreach touch 1</t>
        </is>
      </c>
    </row>
    <row r="3484">
      <c r="A3484" s="17">
        <f>IF(B3484="","",B3484+(15*1000+33)/10000000)</f>
        <v/>
      </c>
      <c r="B3484" s="23">
        <f>IF(AND(IFERROR(N(INDEX(Clay_Brands!$A$2:$FZ$601,33,Sync!$D$11)),0)&gt;0,IFERROR(INDEX(Clay_Brands!$A$2:$FZ$601,33,Sync!$D$5)&amp;"","")&lt;&gt;"",OR(LEFT(IFERROR(INDEX(Clay_Brands!$A$2:$FZ$601,33,Sync!$D$5)&amp;"",""),6)&lt;&gt;"SAMPLE",Config!$B$19="Y")),IFERROR(N(INDEX(Clay_Brands!$A$2:$FZ$601,33,Sync!$D$11)),0),"")</f>
        <v/>
      </c>
      <c r="C3484" s="17">
        <f>IF(B3484="","","brand")</f>
        <v/>
      </c>
      <c r="D3484" s="17">
        <f>IF(B3484="","",IFERROR(INDEX(Clay_Brands!$A$2:$FZ$601,33,Sync!$D$5)&amp;"",""))</f>
        <v/>
      </c>
      <c r="E3484" s="17">
        <f>IF(B3484="","",IFERROR(INDEX(Clay_Brands!$A$2:$FZ$601,33,Sync!$D$6)&amp;"",""))</f>
        <v/>
      </c>
      <c r="F3484" s="17">
        <f>IF(B3484="","","outreach_sent")</f>
        <v/>
      </c>
      <c r="G3484" s="17">
        <f>IF(B3484="","","")</f>
        <v/>
      </c>
      <c r="H3484" s="17">
        <f>IF(B3484="","","")</f>
        <v/>
      </c>
      <c r="I3484" s="17">
        <f>IF(B3484="","","")</f>
        <v/>
      </c>
      <c r="J3484" s="17">
        <f>IF(B3484="","","touch_1; "&amp;IFERROR(INDEX(Clay_Brands!$A$2:$FZ$601,33,Sync!$D$10)&amp;"","")&amp;"; "&amp;IFERROR(INDEX(Clay_Brands!$A$2:$FZ$601,33,Sync!$D$9)&amp;"",""))</f>
        <v/>
      </c>
      <c r="K3484" t="inlineStr">
        <is>
          <t>brand outreach touch 1</t>
        </is>
      </c>
    </row>
    <row r="3485">
      <c r="A3485" s="17">
        <f>IF(B3485="","",B3485+(15*1000+34)/10000000)</f>
        <v/>
      </c>
      <c r="B3485" s="23">
        <f>IF(AND(IFERROR(N(INDEX(Clay_Brands!$A$2:$FZ$601,34,Sync!$D$11)),0)&gt;0,IFERROR(INDEX(Clay_Brands!$A$2:$FZ$601,34,Sync!$D$5)&amp;"","")&lt;&gt;"",OR(LEFT(IFERROR(INDEX(Clay_Brands!$A$2:$FZ$601,34,Sync!$D$5)&amp;"",""),6)&lt;&gt;"SAMPLE",Config!$B$19="Y")),IFERROR(N(INDEX(Clay_Brands!$A$2:$FZ$601,34,Sync!$D$11)),0),"")</f>
        <v/>
      </c>
      <c r="C3485" s="17">
        <f>IF(B3485="","","brand")</f>
        <v/>
      </c>
      <c r="D3485" s="17">
        <f>IF(B3485="","",IFERROR(INDEX(Clay_Brands!$A$2:$FZ$601,34,Sync!$D$5)&amp;"",""))</f>
        <v/>
      </c>
      <c r="E3485" s="17">
        <f>IF(B3485="","",IFERROR(INDEX(Clay_Brands!$A$2:$FZ$601,34,Sync!$D$6)&amp;"",""))</f>
        <v/>
      </c>
      <c r="F3485" s="17">
        <f>IF(B3485="","","outreach_sent")</f>
        <v/>
      </c>
      <c r="G3485" s="17">
        <f>IF(B3485="","","")</f>
        <v/>
      </c>
      <c r="H3485" s="17">
        <f>IF(B3485="","","")</f>
        <v/>
      </c>
      <c r="I3485" s="17">
        <f>IF(B3485="","","")</f>
        <v/>
      </c>
      <c r="J3485" s="17">
        <f>IF(B3485="","","touch_1; "&amp;IFERROR(INDEX(Clay_Brands!$A$2:$FZ$601,34,Sync!$D$10)&amp;"","")&amp;"; "&amp;IFERROR(INDEX(Clay_Brands!$A$2:$FZ$601,34,Sync!$D$9)&amp;"",""))</f>
        <v/>
      </c>
      <c r="K3485" t="inlineStr">
        <is>
          <t>brand outreach touch 1</t>
        </is>
      </c>
    </row>
    <row r="3486">
      <c r="A3486" s="17">
        <f>IF(B3486="","",B3486+(15*1000+35)/10000000)</f>
        <v/>
      </c>
      <c r="B3486" s="23">
        <f>IF(AND(IFERROR(N(INDEX(Clay_Brands!$A$2:$FZ$601,35,Sync!$D$11)),0)&gt;0,IFERROR(INDEX(Clay_Brands!$A$2:$FZ$601,35,Sync!$D$5)&amp;"","")&lt;&gt;"",OR(LEFT(IFERROR(INDEX(Clay_Brands!$A$2:$FZ$601,35,Sync!$D$5)&amp;"",""),6)&lt;&gt;"SAMPLE",Config!$B$19="Y")),IFERROR(N(INDEX(Clay_Brands!$A$2:$FZ$601,35,Sync!$D$11)),0),"")</f>
        <v/>
      </c>
      <c r="C3486" s="17">
        <f>IF(B3486="","","brand")</f>
        <v/>
      </c>
      <c r="D3486" s="17">
        <f>IF(B3486="","",IFERROR(INDEX(Clay_Brands!$A$2:$FZ$601,35,Sync!$D$5)&amp;"",""))</f>
        <v/>
      </c>
      <c r="E3486" s="17">
        <f>IF(B3486="","",IFERROR(INDEX(Clay_Brands!$A$2:$FZ$601,35,Sync!$D$6)&amp;"",""))</f>
        <v/>
      </c>
      <c r="F3486" s="17">
        <f>IF(B3486="","","outreach_sent")</f>
        <v/>
      </c>
      <c r="G3486" s="17">
        <f>IF(B3486="","","")</f>
        <v/>
      </c>
      <c r="H3486" s="17">
        <f>IF(B3486="","","")</f>
        <v/>
      </c>
      <c r="I3486" s="17">
        <f>IF(B3486="","","")</f>
        <v/>
      </c>
      <c r="J3486" s="17">
        <f>IF(B3486="","","touch_1; "&amp;IFERROR(INDEX(Clay_Brands!$A$2:$FZ$601,35,Sync!$D$10)&amp;"","")&amp;"; "&amp;IFERROR(INDEX(Clay_Brands!$A$2:$FZ$601,35,Sync!$D$9)&amp;"",""))</f>
        <v/>
      </c>
      <c r="K3486" t="inlineStr">
        <is>
          <t>brand outreach touch 1</t>
        </is>
      </c>
    </row>
    <row r="3487">
      <c r="A3487" s="17">
        <f>IF(B3487="","",B3487+(15*1000+36)/10000000)</f>
        <v/>
      </c>
      <c r="B3487" s="23">
        <f>IF(AND(IFERROR(N(INDEX(Clay_Brands!$A$2:$FZ$601,36,Sync!$D$11)),0)&gt;0,IFERROR(INDEX(Clay_Brands!$A$2:$FZ$601,36,Sync!$D$5)&amp;"","")&lt;&gt;"",OR(LEFT(IFERROR(INDEX(Clay_Brands!$A$2:$FZ$601,36,Sync!$D$5)&amp;"",""),6)&lt;&gt;"SAMPLE",Config!$B$19="Y")),IFERROR(N(INDEX(Clay_Brands!$A$2:$FZ$601,36,Sync!$D$11)),0),"")</f>
        <v/>
      </c>
      <c r="C3487" s="17">
        <f>IF(B3487="","","brand")</f>
        <v/>
      </c>
      <c r="D3487" s="17">
        <f>IF(B3487="","",IFERROR(INDEX(Clay_Brands!$A$2:$FZ$601,36,Sync!$D$5)&amp;"",""))</f>
        <v/>
      </c>
      <c r="E3487" s="17">
        <f>IF(B3487="","",IFERROR(INDEX(Clay_Brands!$A$2:$FZ$601,36,Sync!$D$6)&amp;"",""))</f>
        <v/>
      </c>
      <c r="F3487" s="17">
        <f>IF(B3487="","","outreach_sent")</f>
        <v/>
      </c>
      <c r="G3487" s="17">
        <f>IF(B3487="","","")</f>
        <v/>
      </c>
      <c r="H3487" s="17">
        <f>IF(B3487="","","")</f>
        <v/>
      </c>
      <c r="I3487" s="17">
        <f>IF(B3487="","","")</f>
        <v/>
      </c>
      <c r="J3487" s="17">
        <f>IF(B3487="","","touch_1; "&amp;IFERROR(INDEX(Clay_Brands!$A$2:$FZ$601,36,Sync!$D$10)&amp;"","")&amp;"; "&amp;IFERROR(INDEX(Clay_Brands!$A$2:$FZ$601,36,Sync!$D$9)&amp;"",""))</f>
        <v/>
      </c>
      <c r="K3487" t="inlineStr">
        <is>
          <t>brand outreach touch 1</t>
        </is>
      </c>
    </row>
    <row r="3488">
      <c r="A3488" s="17">
        <f>IF(B3488="","",B3488+(15*1000+37)/10000000)</f>
        <v/>
      </c>
      <c r="B3488" s="23">
        <f>IF(AND(IFERROR(N(INDEX(Clay_Brands!$A$2:$FZ$601,37,Sync!$D$11)),0)&gt;0,IFERROR(INDEX(Clay_Brands!$A$2:$FZ$601,37,Sync!$D$5)&amp;"","")&lt;&gt;"",OR(LEFT(IFERROR(INDEX(Clay_Brands!$A$2:$FZ$601,37,Sync!$D$5)&amp;"",""),6)&lt;&gt;"SAMPLE",Config!$B$19="Y")),IFERROR(N(INDEX(Clay_Brands!$A$2:$FZ$601,37,Sync!$D$11)),0),"")</f>
        <v/>
      </c>
      <c r="C3488" s="17">
        <f>IF(B3488="","","brand")</f>
        <v/>
      </c>
      <c r="D3488" s="17">
        <f>IF(B3488="","",IFERROR(INDEX(Clay_Brands!$A$2:$FZ$601,37,Sync!$D$5)&amp;"",""))</f>
        <v/>
      </c>
      <c r="E3488" s="17">
        <f>IF(B3488="","",IFERROR(INDEX(Clay_Brands!$A$2:$FZ$601,37,Sync!$D$6)&amp;"",""))</f>
        <v/>
      </c>
      <c r="F3488" s="17">
        <f>IF(B3488="","","outreach_sent")</f>
        <v/>
      </c>
      <c r="G3488" s="17">
        <f>IF(B3488="","","")</f>
        <v/>
      </c>
      <c r="H3488" s="17">
        <f>IF(B3488="","","")</f>
        <v/>
      </c>
      <c r="I3488" s="17">
        <f>IF(B3488="","","")</f>
        <v/>
      </c>
      <c r="J3488" s="17">
        <f>IF(B3488="","","touch_1; "&amp;IFERROR(INDEX(Clay_Brands!$A$2:$FZ$601,37,Sync!$D$10)&amp;"","")&amp;"; "&amp;IFERROR(INDEX(Clay_Brands!$A$2:$FZ$601,37,Sync!$D$9)&amp;"",""))</f>
        <v/>
      </c>
      <c r="K3488" t="inlineStr">
        <is>
          <t>brand outreach touch 1</t>
        </is>
      </c>
    </row>
    <row r="3489">
      <c r="A3489" s="17">
        <f>IF(B3489="","",B3489+(15*1000+38)/10000000)</f>
        <v/>
      </c>
      <c r="B3489" s="23">
        <f>IF(AND(IFERROR(N(INDEX(Clay_Brands!$A$2:$FZ$601,38,Sync!$D$11)),0)&gt;0,IFERROR(INDEX(Clay_Brands!$A$2:$FZ$601,38,Sync!$D$5)&amp;"","")&lt;&gt;"",OR(LEFT(IFERROR(INDEX(Clay_Brands!$A$2:$FZ$601,38,Sync!$D$5)&amp;"",""),6)&lt;&gt;"SAMPLE",Config!$B$19="Y")),IFERROR(N(INDEX(Clay_Brands!$A$2:$FZ$601,38,Sync!$D$11)),0),"")</f>
        <v/>
      </c>
      <c r="C3489" s="17">
        <f>IF(B3489="","","brand")</f>
        <v/>
      </c>
      <c r="D3489" s="17">
        <f>IF(B3489="","",IFERROR(INDEX(Clay_Brands!$A$2:$FZ$601,38,Sync!$D$5)&amp;"",""))</f>
        <v/>
      </c>
      <c r="E3489" s="17">
        <f>IF(B3489="","",IFERROR(INDEX(Clay_Brands!$A$2:$FZ$601,38,Sync!$D$6)&amp;"",""))</f>
        <v/>
      </c>
      <c r="F3489" s="17">
        <f>IF(B3489="","","outreach_sent")</f>
        <v/>
      </c>
      <c r="G3489" s="17">
        <f>IF(B3489="","","")</f>
        <v/>
      </c>
      <c r="H3489" s="17">
        <f>IF(B3489="","","")</f>
        <v/>
      </c>
      <c r="I3489" s="17">
        <f>IF(B3489="","","")</f>
        <v/>
      </c>
      <c r="J3489" s="17">
        <f>IF(B3489="","","touch_1; "&amp;IFERROR(INDEX(Clay_Brands!$A$2:$FZ$601,38,Sync!$D$10)&amp;"","")&amp;"; "&amp;IFERROR(INDEX(Clay_Brands!$A$2:$FZ$601,38,Sync!$D$9)&amp;"",""))</f>
        <v/>
      </c>
      <c r="K3489" t="inlineStr">
        <is>
          <t>brand outreach touch 1</t>
        </is>
      </c>
    </row>
    <row r="3490">
      <c r="A3490" s="17">
        <f>IF(B3490="","",B3490+(15*1000+39)/10000000)</f>
        <v/>
      </c>
      <c r="B3490" s="23">
        <f>IF(AND(IFERROR(N(INDEX(Clay_Brands!$A$2:$FZ$601,39,Sync!$D$11)),0)&gt;0,IFERROR(INDEX(Clay_Brands!$A$2:$FZ$601,39,Sync!$D$5)&amp;"","")&lt;&gt;"",OR(LEFT(IFERROR(INDEX(Clay_Brands!$A$2:$FZ$601,39,Sync!$D$5)&amp;"",""),6)&lt;&gt;"SAMPLE",Config!$B$19="Y")),IFERROR(N(INDEX(Clay_Brands!$A$2:$FZ$601,39,Sync!$D$11)),0),"")</f>
        <v/>
      </c>
      <c r="C3490" s="17">
        <f>IF(B3490="","","brand")</f>
        <v/>
      </c>
      <c r="D3490" s="17">
        <f>IF(B3490="","",IFERROR(INDEX(Clay_Brands!$A$2:$FZ$601,39,Sync!$D$5)&amp;"",""))</f>
        <v/>
      </c>
      <c r="E3490" s="17">
        <f>IF(B3490="","",IFERROR(INDEX(Clay_Brands!$A$2:$FZ$601,39,Sync!$D$6)&amp;"",""))</f>
        <v/>
      </c>
      <c r="F3490" s="17">
        <f>IF(B3490="","","outreach_sent")</f>
        <v/>
      </c>
      <c r="G3490" s="17">
        <f>IF(B3490="","","")</f>
        <v/>
      </c>
      <c r="H3490" s="17">
        <f>IF(B3490="","","")</f>
        <v/>
      </c>
      <c r="I3490" s="17">
        <f>IF(B3490="","","")</f>
        <v/>
      </c>
      <c r="J3490" s="17">
        <f>IF(B3490="","","touch_1; "&amp;IFERROR(INDEX(Clay_Brands!$A$2:$FZ$601,39,Sync!$D$10)&amp;"","")&amp;"; "&amp;IFERROR(INDEX(Clay_Brands!$A$2:$FZ$601,39,Sync!$D$9)&amp;"",""))</f>
        <v/>
      </c>
      <c r="K3490" t="inlineStr">
        <is>
          <t>brand outreach touch 1</t>
        </is>
      </c>
    </row>
    <row r="3491">
      <c r="A3491" s="17">
        <f>IF(B3491="","",B3491+(15*1000+40)/10000000)</f>
        <v/>
      </c>
      <c r="B3491" s="23">
        <f>IF(AND(IFERROR(N(INDEX(Clay_Brands!$A$2:$FZ$601,40,Sync!$D$11)),0)&gt;0,IFERROR(INDEX(Clay_Brands!$A$2:$FZ$601,40,Sync!$D$5)&amp;"","")&lt;&gt;"",OR(LEFT(IFERROR(INDEX(Clay_Brands!$A$2:$FZ$601,40,Sync!$D$5)&amp;"",""),6)&lt;&gt;"SAMPLE",Config!$B$19="Y")),IFERROR(N(INDEX(Clay_Brands!$A$2:$FZ$601,40,Sync!$D$11)),0),"")</f>
        <v/>
      </c>
      <c r="C3491" s="17">
        <f>IF(B3491="","","brand")</f>
        <v/>
      </c>
      <c r="D3491" s="17">
        <f>IF(B3491="","",IFERROR(INDEX(Clay_Brands!$A$2:$FZ$601,40,Sync!$D$5)&amp;"",""))</f>
        <v/>
      </c>
      <c r="E3491" s="17">
        <f>IF(B3491="","",IFERROR(INDEX(Clay_Brands!$A$2:$FZ$601,40,Sync!$D$6)&amp;"",""))</f>
        <v/>
      </c>
      <c r="F3491" s="17">
        <f>IF(B3491="","","outreach_sent")</f>
        <v/>
      </c>
      <c r="G3491" s="17">
        <f>IF(B3491="","","")</f>
        <v/>
      </c>
      <c r="H3491" s="17">
        <f>IF(B3491="","","")</f>
        <v/>
      </c>
      <c r="I3491" s="17">
        <f>IF(B3491="","","")</f>
        <v/>
      </c>
      <c r="J3491" s="17">
        <f>IF(B3491="","","touch_1; "&amp;IFERROR(INDEX(Clay_Brands!$A$2:$FZ$601,40,Sync!$D$10)&amp;"","")&amp;"; "&amp;IFERROR(INDEX(Clay_Brands!$A$2:$FZ$601,40,Sync!$D$9)&amp;"",""))</f>
        <v/>
      </c>
      <c r="K3491" t="inlineStr">
        <is>
          <t>brand outreach touch 1</t>
        </is>
      </c>
    </row>
    <row r="3492">
      <c r="A3492" s="17">
        <f>IF(B3492="","",B3492+(15*1000+41)/10000000)</f>
        <v/>
      </c>
      <c r="B3492" s="23">
        <f>IF(AND(IFERROR(N(INDEX(Clay_Brands!$A$2:$FZ$601,41,Sync!$D$11)),0)&gt;0,IFERROR(INDEX(Clay_Brands!$A$2:$FZ$601,41,Sync!$D$5)&amp;"","")&lt;&gt;"",OR(LEFT(IFERROR(INDEX(Clay_Brands!$A$2:$FZ$601,41,Sync!$D$5)&amp;"",""),6)&lt;&gt;"SAMPLE",Config!$B$19="Y")),IFERROR(N(INDEX(Clay_Brands!$A$2:$FZ$601,41,Sync!$D$11)),0),"")</f>
        <v/>
      </c>
      <c r="C3492" s="17">
        <f>IF(B3492="","","brand")</f>
        <v/>
      </c>
      <c r="D3492" s="17">
        <f>IF(B3492="","",IFERROR(INDEX(Clay_Brands!$A$2:$FZ$601,41,Sync!$D$5)&amp;"",""))</f>
        <v/>
      </c>
      <c r="E3492" s="17">
        <f>IF(B3492="","",IFERROR(INDEX(Clay_Brands!$A$2:$FZ$601,41,Sync!$D$6)&amp;"",""))</f>
        <v/>
      </c>
      <c r="F3492" s="17">
        <f>IF(B3492="","","outreach_sent")</f>
        <v/>
      </c>
      <c r="G3492" s="17">
        <f>IF(B3492="","","")</f>
        <v/>
      </c>
      <c r="H3492" s="17">
        <f>IF(B3492="","","")</f>
        <v/>
      </c>
      <c r="I3492" s="17">
        <f>IF(B3492="","","")</f>
        <v/>
      </c>
      <c r="J3492" s="17">
        <f>IF(B3492="","","touch_1; "&amp;IFERROR(INDEX(Clay_Brands!$A$2:$FZ$601,41,Sync!$D$10)&amp;"","")&amp;"; "&amp;IFERROR(INDEX(Clay_Brands!$A$2:$FZ$601,41,Sync!$D$9)&amp;"",""))</f>
        <v/>
      </c>
      <c r="K3492" t="inlineStr">
        <is>
          <t>brand outreach touch 1</t>
        </is>
      </c>
    </row>
    <row r="3493">
      <c r="A3493" s="17">
        <f>IF(B3493="","",B3493+(15*1000+42)/10000000)</f>
        <v/>
      </c>
      <c r="B3493" s="23">
        <f>IF(AND(IFERROR(N(INDEX(Clay_Brands!$A$2:$FZ$601,42,Sync!$D$11)),0)&gt;0,IFERROR(INDEX(Clay_Brands!$A$2:$FZ$601,42,Sync!$D$5)&amp;"","")&lt;&gt;"",OR(LEFT(IFERROR(INDEX(Clay_Brands!$A$2:$FZ$601,42,Sync!$D$5)&amp;"",""),6)&lt;&gt;"SAMPLE",Config!$B$19="Y")),IFERROR(N(INDEX(Clay_Brands!$A$2:$FZ$601,42,Sync!$D$11)),0),"")</f>
        <v/>
      </c>
      <c r="C3493" s="17">
        <f>IF(B3493="","","brand")</f>
        <v/>
      </c>
      <c r="D3493" s="17">
        <f>IF(B3493="","",IFERROR(INDEX(Clay_Brands!$A$2:$FZ$601,42,Sync!$D$5)&amp;"",""))</f>
        <v/>
      </c>
      <c r="E3493" s="17">
        <f>IF(B3493="","",IFERROR(INDEX(Clay_Brands!$A$2:$FZ$601,42,Sync!$D$6)&amp;"",""))</f>
        <v/>
      </c>
      <c r="F3493" s="17">
        <f>IF(B3493="","","outreach_sent")</f>
        <v/>
      </c>
      <c r="G3493" s="17">
        <f>IF(B3493="","","")</f>
        <v/>
      </c>
      <c r="H3493" s="17">
        <f>IF(B3493="","","")</f>
        <v/>
      </c>
      <c r="I3493" s="17">
        <f>IF(B3493="","","")</f>
        <v/>
      </c>
      <c r="J3493" s="17">
        <f>IF(B3493="","","touch_1; "&amp;IFERROR(INDEX(Clay_Brands!$A$2:$FZ$601,42,Sync!$D$10)&amp;"","")&amp;"; "&amp;IFERROR(INDEX(Clay_Brands!$A$2:$FZ$601,42,Sync!$D$9)&amp;"",""))</f>
        <v/>
      </c>
      <c r="K3493" t="inlineStr">
        <is>
          <t>brand outreach touch 1</t>
        </is>
      </c>
    </row>
    <row r="3494">
      <c r="A3494" s="17">
        <f>IF(B3494="","",B3494+(15*1000+43)/10000000)</f>
        <v/>
      </c>
      <c r="B3494" s="23">
        <f>IF(AND(IFERROR(N(INDEX(Clay_Brands!$A$2:$FZ$601,43,Sync!$D$11)),0)&gt;0,IFERROR(INDEX(Clay_Brands!$A$2:$FZ$601,43,Sync!$D$5)&amp;"","")&lt;&gt;"",OR(LEFT(IFERROR(INDEX(Clay_Brands!$A$2:$FZ$601,43,Sync!$D$5)&amp;"",""),6)&lt;&gt;"SAMPLE",Config!$B$19="Y")),IFERROR(N(INDEX(Clay_Brands!$A$2:$FZ$601,43,Sync!$D$11)),0),"")</f>
        <v/>
      </c>
      <c r="C3494" s="17">
        <f>IF(B3494="","","brand")</f>
        <v/>
      </c>
      <c r="D3494" s="17">
        <f>IF(B3494="","",IFERROR(INDEX(Clay_Brands!$A$2:$FZ$601,43,Sync!$D$5)&amp;"",""))</f>
        <v/>
      </c>
      <c r="E3494" s="17">
        <f>IF(B3494="","",IFERROR(INDEX(Clay_Brands!$A$2:$FZ$601,43,Sync!$D$6)&amp;"",""))</f>
        <v/>
      </c>
      <c r="F3494" s="17">
        <f>IF(B3494="","","outreach_sent")</f>
        <v/>
      </c>
      <c r="G3494" s="17">
        <f>IF(B3494="","","")</f>
        <v/>
      </c>
      <c r="H3494" s="17">
        <f>IF(B3494="","","")</f>
        <v/>
      </c>
      <c r="I3494" s="17">
        <f>IF(B3494="","","")</f>
        <v/>
      </c>
      <c r="J3494" s="17">
        <f>IF(B3494="","","touch_1; "&amp;IFERROR(INDEX(Clay_Brands!$A$2:$FZ$601,43,Sync!$D$10)&amp;"","")&amp;"; "&amp;IFERROR(INDEX(Clay_Brands!$A$2:$FZ$601,43,Sync!$D$9)&amp;"",""))</f>
        <v/>
      </c>
      <c r="K3494" t="inlineStr">
        <is>
          <t>brand outreach touch 1</t>
        </is>
      </c>
    </row>
    <row r="3495">
      <c r="A3495" s="17">
        <f>IF(B3495="","",B3495+(15*1000+44)/10000000)</f>
        <v/>
      </c>
      <c r="B3495" s="23">
        <f>IF(AND(IFERROR(N(INDEX(Clay_Brands!$A$2:$FZ$601,44,Sync!$D$11)),0)&gt;0,IFERROR(INDEX(Clay_Brands!$A$2:$FZ$601,44,Sync!$D$5)&amp;"","")&lt;&gt;"",OR(LEFT(IFERROR(INDEX(Clay_Brands!$A$2:$FZ$601,44,Sync!$D$5)&amp;"",""),6)&lt;&gt;"SAMPLE",Config!$B$19="Y")),IFERROR(N(INDEX(Clay_Brands!$A$2:$FZ$601,44,Sync!$D$11)),0),"")</f>
        <v/>
      </c>
      <c r="C3495" s="17">
        <f>IF(B3495="","","brand")</f>
        <v/>
      </c>
      <c r="D3495" s="17">
        <f>IF(B3495="","",IFERROR(INDEX(Clay_Brands!$A$2:$FZ$601,44,Sync!$D$5)&amp;"",""))</f>
        <v/>
      </c>
      <c r="E3495" s="17">
        <f>IF(B3495="","",IFERROR(INDEX(Clay_Brands!$A$2:$FZ$601,44,Sync!$D$6)&amp;"",""))</f>
        <v/>
      </c>
      <c r="F3495" s="17">
        <f>IF(B3495="","","outreach_sent")</f>
        <v/>
      </c>
      <c r="G3495" s="17">
        <f>IF(B3495="","","")</f>
        <v/>
      </c>
      <c r="H3495" s="17">
        <f>IF(B3495="","","")</f>
        <v/>
      </c>
      <c r="I3495" s="17">
        <f>IF(B3495="","","")</f>
        <v/>
      </c>
      <c r="J3495" s="17">
        <f>IF(B3495="","","touch_1; "&amp;IFERROR(INDEX(Clay_Brands!$A$2:$FZ$601,44,Sync!$D$10)&amp;"","")&amp;"; "&amp;IFERROR(INDEX(Clay_Brands!$A$2:$FZ$601,44,Sync!$D$9)&amp;"",""))</f>
        <v/>
      </c>
      <c r="K3495" t="inlineStr">
        <is>
          <t>brand outreach touch 1</t>
        </is>
      </c>
    </row>
    <row r="3496">
      <c r="A3496" s="17">
        <f>IF(B3496="","",B3496+(15*1000+45)/10000000)</f>
        <v/>
      </c>
      <c r="B3496" s="23">
        <f>IF(AND(IFERROR(N(INDEX(Clay_Brands!$A$2:$FZ$601,45,Sync!$D$11)),0)&gt;0,IFERROR(INDEX(Clay_Brands!$A$2:$FZ$601,45,Sync!$D$5)&amp;"","")&lt;&gt;"",OR(LEFT(IFERROR(INDEX(Clay_Brands!$A$2:$FZ$601,45,Sync!$D$5)&amp;"",""),6)&lt;&gt;"SAMPLE",Config!$B$19="Y")),IFERROR(N(INDEX(Clay_Brands!$A$2:$FZ$601,45,Sync!$D$11)),0),"")</f>
        <v/>
      </c>
      <c r="C3496" s="17">
        <f>IF(B3496="","","brand")</f>
        <v/>
      </c>
      <c r="D3496" s="17">
        <f>IF(B3496="","",IFERROR(INDEX(Clay_Brands!$A$2:$FZ$601,45,Sync!$D$5)&amp;"",""))</f>
        <v/>
      </c>
      <c r="E3496" s="17">
        <f>IF(B3496="","",IFERROR(INDEX(Clay_Brands!$A$2:$FZ$601,45,Sync!$D$6)&amp;"",""))</f>
        <v/>
      </c>
      <c r="F3496" s="17">
        <f>IF(B3496="","","outreach_sent")</f>
        <v/>
      </c>
      <c r="G3496" s="17">
        <f>IF(B3496="","","")</f>
        <v/>
      </c>
      <c r="H3496" s="17">
        <f>IF(B3496="","","")</f>
        <v/>
      </c>
      <c r="I3496" s="17">
        <f>IF(B3496="","","")</f>
        <v/>
      </c>
      <c r="J3496" s="17">
        <f>IF(B3496="","","touch_1; "&amp;IFERROR(INDEX(Clay_Brands!$A$2:$FZ$601,45,Sync!$D$10)&amp;"","")&amp;"; "&amp;IFERROR(INDEX(Clay_Brands!$A$2:$FZ$601,45,Sync!$D$9)&amp;"",""))</f>
        <v/>
      </c>
      <c r="K3496" t="inlineStr">
        <is>
          <t>brand outreach touch 1</t>
        </is>
      </c>
    </row>
    <row r="3497">
      <c r="A3497" s="17">
        <f>IF(B3497="","",B3497+(15*1000+46)/10000000)</f>
        <v/>
      </c>
      <c r="B3497" s="23">
        <f>IF(AND(IFERROR(N(INDEX(Clay_Brands!$A$2:$FZ$601,46,Sync!$D$11)),0)&gt;0,IFERROR(INDEX(Clay_Brands!$A$2:$FZ$601,46,Sync!$D$5)&amp;"","")&lt;&gt;"",OR(LEFT(IFERROR(INDEX(Clay_Brands!$A$2:$FZ$601,46,Sync!$D$5)&amp;"",""),6)&lt;&gt;"SAMPLE",Config!$B$19="Y")),IFERROR(N(INDEX(Clay_Brands!$A$2:$FZ$601,46,Sync!$D$11)),0),"")</f>
        <v/>
      </c>
      <c r="C3497" s="17">
        <f>IF(B3497="","","brand")</f>
        <v/>
      </c>
      <c r="D3497" s="17">
        <f>IF(B3497="","",IFERROR(INDEX(Clay_Brands!$A$2:$FZ$601,46,Sync!$D$5)&amp;"",""))</f>
        <v/>
      </c>
      <c r="E3497" s="17">
        <f>IF(B3497="","",IFERROR(INDEX(Clay_Brands!$A$2:$FZ$601,46,Sync!$D$6)&amp;"",""))</f>
        <v/>
      </c>
      <c r="F3497" s="17">
        <f>IF(B3497="","","outreach_sent")</f>
        <v/>
      </c>
      <c r="G3497" s="17">
        <f>IF(B3497="","","")</f>
        <v/>
      </c>
      <c r="H3497" s="17">
        <f>IF(B3497="","","")</f>
        <v/>
      </c>
      <c r="I3497" s="17">
        <f>IF(B3497="","","")</f>
        <v/>
      </c>
      <c r="J3497" s="17">
        <f>IF(B3497="","","touch_1; "&amp;IFERROR(INDEX(Clay_Brands!$A$2:$FZ$601,46,Sync!$D$10)&amp;"","")&amp;"; "&amp;IFERROR(INDEX(Clay_Brands!$A$2:$FZ$601,46,Sync!$D$9)&amp;"",""))</f>
        <v/>
      </c>
      <c r="K3497" t="inlineStr">
        <is>
          <t>brand outreach touch 1</t>
        </is>
      </c>
    </row>
    <row r="3498">
      <c r="A3498" s="17">
        <f>IF(B3498="","",B3498+(15*1000+47)/10000000)</f>
        <v/>
      </c>
      <c r="B3498" s="23">
        <f>IF(AND(IFERROR(N(INDEX(Clay_Brands!$A$2:$FZ$601,47,Sync!$D$11)),0)&gt;0,IFERROR(INDEX(Clay_Brands!$A$2:$FZ$601,47,Sync!$D$5)&amp;"","")&lt;&gt;"",OR(LEFT(IFERROR(INDEX(Clay_Brands!$A$2:$FZ$601,47,Sync!$D$5)&amp;"",""),6)&lt;&gt;"SAMPLE",Config!$B$19="Y")),IFERROR(N(INDEX(Clay_Brands!$A$2:$FZ$601,47,Sync!$D$11)),0),"")</f>
        <v/>
      </c>
      <c r="C3498" s="17">
        <f>IF(B3498="","","brand")</f>
        <v/>
      </c>
      <c r="D3498" s="17">
        <f>IF(B3498="","",IFERROR(INDEX(Clay_Brands!$A$2:$FZ$601,47,Sync!$D$5)&amp;"",""))</f>
        <v/>
      </c>
      <c r="E3498" s="17">
        <f>IF(B3498="","",IFERROR(INDEX(Clay_Brands!$A$2:$FZ$601,47,Sync!$D$6)&amp;"",""))</f>
        <v/>
      </c>
      <c r="F3498" s="17">
        <f>IF(B3498="","","outreach_sent")</f>
        <v/>
      </c>
      <c r="G3498" s="17">
        <f>IF(B3498="","","")</f>
        <v/>
      </c>
      <c r="H3498" s="17">
        <f>IF(B3498="","","")</f>
        <v/>
      </c>
      <c r="I3498" s="17">
        <f>IF(B3498="","","")</f>
        <v/>
      </c>
      <c r="J3498" s="17">
        <f>IF(B3498="","","touch_1; "&amp;IFERROR(INDEX(Clay_Brands!$A$2:$FZ$601,47,Sync!$D$10)&amp;"","")&amp;"; "&amp;IFERROR(INDEX(Clay_Brands!$A$2:$FZ$601,47,Sync!$D$9)&amp;"",""))</f>
        <v/>
      </c>
      <c r="K3498" t="inlineStr">
        <is>
          <t>brand outreach touch 1</t>
        </is>
      </c>
    </row>
    <row r="3499">
      <c r="A3499" s="17">
        <f>IF(B3499="","",B3499+(15*1000+48)/10000000)</f>
        <v/>
      </c>
      <c r="B3499" s="23">
        <f>IF(AND(IFERROR(N(INDEX(Clay_Brands!$A$2:$FZ$601,48,Sync!$D$11)),0)&gt;0,IFERROR(INDEX(Clay_Brands!$A$2:$FZ$601,48,Sync!$D$5)&amp;"","")&lt;&gt;"",OR(LEFT(IFERROR(INDEX(Clay_Brands!$A$2:$FZ$601,48,Sync!$D$5)&amp;"",""),6)&lt;&gt;"SAMPLE",Config!$B$19="Y")),IFERROR(N(INDEX(Clay_Brands!$A$2:$FZ$601,48,Sync!$D$11)),0),"")</f>
        <v/>
      </c>
      <c r="C3499" s="17">
        <f>IF(B3499="","","brand")</f>
        <v/>
      </c>
      <c r="D3499" s="17">
        <f>IF(B3499="","",IFERROR(INDEX(Clay_Brands!$A$2:$FZ$601,48,Sync!$D$5)&amp;"",""))</f>
        <v/>
      </c>
      <c r="E3499" s="17">
        <f>IF(B3499="","",IFERROR(INDEX(Clay_Brands!$A$2:$FZ$601,48,Sync!$D$6)&amp;"",""))</f>
        <v/>
      </c>
      <c r="F3499" s="17">
        <f>IF(B3499="","","outreach_sent")</f>
        <v/>
      </c>
      <c r="G3499" s="17">
        <f>IF(B3499="","","")</f>
        <v/>
      </c>
      <c r="H3499" s="17">
        <f>IF(B3499="","","")</f>
        <v/>
      </c>
      <c r="I3499" s="17">
        <f>IF(B3499="","","")</f>
        <v/>
      </c>
      <c r="J3499" s="17">
        <f>IF(B3499="","","touch_1; "&amp;IFERROR(INDEX(Clay_Brands!$A$2:$FZ$601,48,Sync!$D$10)&amp;"","")&amp;"; "&amp;IFERROR(INDEX(Clay_Brands!$A$2:$FZ$601,48,Sync!$D$9)&amp;"",""))</f>
        <v/>
      </c>
      <c r="K3499" t="inlineStr">
        <is>
          <t>brand outreach touch 1</t>
        </is>
      </c>
    </row>
    <row r="3500">
      <c r="A3500" s="17">
        <f>IF(B3500="","",B3500+(15*1000+49)/10000000)</f>
        <v/>
      </c>
      <c r="B3500" s="23">
        <f>IF(AND(IFERROR(N(INDEX(Clay_Brands!$A$2:$FZ$601,49,Sync!$D$11)),0)&gt;0,IFERROR(INDEX(Clay_Brands!$A$2:$FZ$601,49,Sync!$D$5)&amp;"","")&lt;&gt;"",OR(LEFT(IFERROR(INDEX(Clay_Brands!$A$2:$FZ$601,49,Sync!$D$5)&amp;"",""),6)&lt;&gt;"SAMPLE",Config!$B$19="Y")),IFERROR(N(INDEX(Clay_Brands!$A$2:$FZ$601,49,Sync!$D$11)),0),"")</f>
        <v/>
      </c>
      <c r="C3500" s="17">
        <f>IF(B3500="","","brand")</f>
        <v/>
      </c>
      <c r="D3500" s="17">
        <f>IF(B3500="","",IFERROR(INDEX(Clay_Brands!$A$2:$FZ$601,49,Sync!$D$5)&amp;"",""))</f>
        <v/>
      </c>
      <c r="E3500" s="17">
        <f>IF(B3500="","",IFERROR(INDEX(Clay_Brands!$A$2:$FZ$601,49,Sync!$D$6)&amp;"",""))</f>
        <v/>
      </c>
      <c r="F3500" s="17">
        <f>IF(B3500="","","outreach_sent")</f>
        <v/>
      </c>
      <c r="G3500" s="17">
        <f>IF(B3500="","","")</f>
        <v/>
      </c>
      <c r="H3500" s="17">
        <f>IF(B3500="","","")</f>
        <v/>
      </c>
      <c r="I3500" s="17">
        <f>IF(B3500="","","")</f>
        <v/>
      </c>
      <c r="J3500" s="17">
        <f>IF(B3500="","","touch_1; "&amp;IFERROR(INDEX(Clay_Brands!$A$2:$FZ$601,49,Sync!$D$10)&amp;"","")&amp;"; "&amp;IFERROR(INDEX(Clay_Brands!$A$2:$FZ$601,49,Sync!$D$9)&amp;"",""))</f>
        <v/>
      </c>
      <c r="K3500" t="inlineStr">
        <is>
          <t>brand outreach touch 1</t>
        </is>
      </c>
    </row>
    <row r="3501">
      <c r="A3501" s="17">
        <f>IF(B3501="","",B3501+(15*1000+50)/10000000)</f>
        <v/>
      </c>
      <c r="B3501" s="23">
        <f>IF(AND(IFERROR(N(INDEX(Clay_Brands!$A$2:$FZ$601,50,Sync!$D$11)),0)&gt;0,IFERROR(INDEX(Clay_Brands!$A$2:$FZ$601,50,Sync!$D$5)&amp;"","")&lt;&gt;"",OR(LEFT(IFERROR(INDEX(Clay_Brands!$A$2:$FZ$601,50,Sync!$D$5)&amp;"",""),6)&lt;&gt;"SAMPLE",Config!$B$19="Y")),IFERROR(N(INDEX(Clay_Brands!$A$2:$FZ$601,50,Sync!$D$11)),0),"")</f>
        <v/>
      </c>
      <c r="C3501" s="17">
        <f>IF(B3501="","","brand")</f>
        <v/>
      </c>
      <c r="D3501" s="17">
        <f>IF(B3501="","",IFERROR(INDEX(Clay_Brands!$A$2:$FZ$601,50,Sync!$D$5)&amp;"",""))</f>
        <v/>
      </c>
      <c r="E3501" s="17">
        <f>IF(B3501="","",IFERROR(INDEX(Clay_Brands!$A$2:$FZ$601,50,Sync!$D$6)&amp;"",""))</f>
        <v/>
      </c>
      <c r="F3501" s="17">
        <f>IF(B3501="","","outreach_sent")</f>
        <v/>
      </c>
      <c r="G3501" s="17">
        <f>IF(B3501="","","")</f>
        <v/>
      </c>
      <c r="H3501" s="17">
        <f>IF(B3501="","","")</f>
        <v/>
      </c>
      <c r="I3501" s="17">
        <f>IF(B3501="","","")</f>
        <v/>
      </c>
      <c r="J3501" s="17">
        <f>IF(B3501="","","touch_1; "&amp;IFERROR(INDEX(Clay_Brands!$A$2:$FZ$601,50,Sync!$D$10)&amp;"","")&amp;"; "&amp;IFERROR(INDEX(Clay_Brands!$A$2:$FZ$601,50,Sync!$D$9)&amp;"",""))</f>
        <v/>
      </c>
      <c r="K3501" t="inlineStr">
        <is>
          <t>brand outreach touch 1</t>
        </is>
      </c>
    </row>
    <row r="3502">
      <c r="A3502" s="17">
        <f>IF(B3502="","",B3502+(15*1000+51)/10000000)</f>
        <v/>
      </c>
      <c r="B3502" s="23">
        <f>IF(AND(IFERROR(N(INDEX(Clay_Brands!$A$2:$FZ$601,51,Sync!$D$11)),0)&gt;0,IFERROR(INDEX(Clay_Brands!$A$2:$FZ$601,51,Sync!$D$5)&amp;"","")&lt;&gt;"",OR(LEFT(IFERROR(INDEX(Clay_Brands!$A$2:$FZ$601,51,Sync!$D$5)&amp;"",""),6)&lt;&gt;"SAMPLE",Config!$B$19="Y")),IFERROR(N(INDEX(Clay_Brands!$A$2:$FZ$601,51,Sync!$D$11)),0),"")</f>
        <v/>
      </c>
      <c r="C3502" s="17">
        <f>IF(B3502="","","brand")</f>
        <v/>
      </c>
      <c r="D3502" s="17">
        <f>IF(B3502="","",IFERROR(INDEX(Clay_Brands!$A$2:$FZ$601,51,Sync!$D$5)&amp;"",""))</f>
        <v/>
      </c>
      <c r="E3502" s="17">
        <f>IF(B3502="","",IFERROR(INDEX(Clay_Brands!$A$2:$FZ$601,51,Sync!$D$6)&amp;"",""))</f>
        <v/>
      </c>
      <c r="F3502" s="17">
        <f>IF(B3502="","","outreach_sent")</f>
        <v/>
      </c>
      <c r="G3502" s="17">
        <f>IF(B3502="","","")</f>
        <v/>
      </c>
      <c r="H3502" s="17">
        <f>IF(B3502="","","")</f>
        <v/>
      </c>
      <c r="I3502" s="17">
        <f>IF(B3502="","","")</f>
        <v/>
      </c>
      <c r="J3502" s="17">
        <f>IF(B3502="","","touch_1; "&amp;IFERROR(INDEX(Clay_Brands!$A$2:$FZ$601,51,Sync!$D$10)&amp;"","")&amp;"; "&amp;IFERROR(INDEX(Clay_Brands!$A$2:$FZ$601,51,Sync!$D$9)&amp;"",""))</f>
        <v/>
      </c>
      <c r="K3502" t="inlineStr">
        <is>
          <t>brand outreach touch 1</t>
        </is>
      </c>
    </row>
    <row r="3503">
      <c r="A3503" s="17">
        <f>IF(B3503="","",B3503+(15*1000+52)/10000000)</f>
        <v/>
      </c>
      <c r="B3503" s="23">
        <f>IF(AND(IFERROR(N(INDEX(Clay_Brands!$A$2:$FZ$601,52,Sync!$D$11)),0)&gt;0,IFERROR(INDEX(Clay_Brands!$A$2:$FZ$601,52,Sync!$D$5)&amp;"","")&lt;&gt;"",OR(LEFT(IFERROR(INDEX(Clay_Brands!$A$2:$FZ$601,52,Sync!$D$5)&amp;"",""),6)&lt;&gt;"SAMPLE",Config!$B$19="Y")),IFERROR(N(INDEX(Clay_Brands!$A$2:$FZ$601,52,Sync!$D$11)),0),"")</f>
        <v/>
      </c>
      <c r="C3503" s="17">
        <f>IF(B3503="","","brand")</f>
        <v/>
      </c>
      <c r="D3503" s="17">
        <f>IF(B3503="","",IFERROR(INDEX(Clay_Brands!$A$2:$FZ$601,52,Sync!$D$5)&amp;"",""))</f>
        <v/>
      </c>
      <c r="E3503" s="17">
        <f>IF(B3503="","",IFERROR(INDEX(Clay_Brands!$A$2:$FZ$601,52,Sync!$D$6)&amp;"",""))</f>
        <v/>
      </c>
      <c r="F3503" s="17">
        <f>IF(B3503="","","outreach_sent")</f>
        <v/>
      </c>
      <c r="G3503" s="17">
        <f>IF(B3503="","","")</f>
        <v/>
      </c>
      <c r="H3503" s="17">
        <f>IF(B3503="","","")</f>
        <v/>
      </c>
      <c r="I3503" s="17">
        <f>IF(B3503="","","")</f>
        <v/>
      </c>
      <c r="J3503" s="17">
        <f>IF(B3503="","","touch_1; "&amp;IFERROR(INDEX(Clay_Brands!$A$2:$FZ$601,52,Sync!$D$10)&amp;"","")&amp;"; "&amp;IFERROR(INDEX(Clay_Brands!$A$2:$FZ$601,52,Sync!$D$9)&amp;"",""))</f>
        <v/>
      </c>
      <c r="K3503" t="inlineStr">
        <is>
          <t>brand outreach touch 1</t>
        </is>
      </c>
    </row>
    <row r="3504">
      <c r="A3504" s="17">
        <f>IF(B3504="","",B3504+(15*1000+53)/10000000)</f>
        <v/>
      </c>
      <c r="B3504" s="23">
        <f>IF(AND(IFERROR(N(INDEX(Clay_Brands!$A$2:$FZ$601,53,Sync!$D$11)),0)&gt;0,IFERROR(INDEX(Clay_Brands!$A$2:$FZ$601,53,Sync!$D$5)&amp;"","")&lt;&gt;"",OR(LEFT(IFERROR(INDEX(Clay_Brands!$A$2:$FZ$601,53,Sync!$D$5)&amp;"",""),6)&lt;&gt;"SAMPLE",Config!$B$19="Y")),IFERROR(N(INDEX(Clay_Brands!$A$2:$FZ$601,53,Sync!$D$11)),0),"")</f>
        <v/>
      </c>
      <c r="C3504" s="17">
        <f>IF(B3504="","","brand")</f>
        <v/>
      </c>
      <c r="D3504" s="17">
        <f>IF(B3504="","",IFERROR(INDEX(Clay_Brands!$A$2:$FZ$601,53,Sync!$D$5)&amp;"",""))</f>
        <v/>
      </c>
      <c r="E3504" s="17">
        <f>IF(B3504="","",IFERROR(INDEX(Clay_Brands!$A$2:$FZ$601,53,Sync!$D$6)&amp;"",""))</f>
        <v/>
      </c>
      <c r="F3504" s="17">
        <f>IF(B3504="","","outreach_sent")</f>
        <v/>
      </c>
      <c r="G3504" s="17">
        <f>IF(B3504="","","")</f>
        <v/>
      </c>
      <c r="H3504" s="17">
        <f>IF(B3504="","","")</f>
        <v/>
      </c>
      <c r="I3504" s="17">
        <f>IF(B3504="","","")</f>
        <v/>
      </c>
      <c r="J3504" s="17">
        <f>IF(B3504="","","touch_1; "&amp;IFERROR(INDEX(Clay_Brands!$A$2:$FZ$601,53,Sync!$D$10)&amp;"","")&amp;"; "&amp;IFERROR(INDEX(Clay_Brands!$A$2:$FZ$601,53,Sync!$D$9)&amp;"",""))</f>
        <v/>
      </c>
      <c r="K3504" t="inlineStr">
        <is>
          <t>brand outreach touch 1</t>
        </is>
      </c>
    </row>
    <row r="3505">
      <c r="A3505" s="17">
        <f>IF(B3505="","",B3505+(15*1000+54)/10000000)</f>
        <v/>
      </c>
      <c r="B3505" s="23">
        <f>IF(AND(IFERROR(N(INDEX(Clay_Brands!$A$2:$FZ$601,54,Sync!$D$11)),0)&gt;0,IFERROR(INDEX(Clay_Brands!$A$2:$FZ$601,54,Sync!$D$5)&amp;"","")&lt;&gt;"",OR(LEFT(IFERROR(INDEX(Clay_Brands!$A$2:$FZ$601,54,Sync!$D$5)&amp;"",""),6)&lt;&gt;"SAMPLE",Config!$B$19="Y")),IFERROR(N(INDEX(Clay_Brands!$A$2:$FZ$601,54,Sync!$D$11)),0),"")</f>
        <v/>
      </c>
      <c r="C3505" s="17">
        <f>IF(B3505="","","brand")</f>
        <v/>
      </c>
      <c r="D3505" s="17">
        <f>IF(B3505="","",IFERROR(INDEX(Clay_Brands!$A$2:$FZ$601,54,Sync!$D$5)&amp;"",""))</f>
        <v/>
      </c>
      <c r="E3505" s="17">
        <f>IF(B3505="","",IFERROR(INDEX(Clay_Brands!$A$2:$FZ$601,54,Sync!$D$6)&amp;"",""))</f>
        <v/>
      </c>
      <c r="F3505" s="17">
        <f>IF(B3505="","","outreach_sent")</f>
        <v/>
      </c>
      <c r="G3505" s="17">
        <f>IF(B3505="","","")</f>
        <v/>
      </c>
      <c r="H3505" s="17">
        <f>IF(B3505="","","")</f>
        <v/>
      </c>
      <c r="I3505" s="17">
        <f>IF(B3505="","","")</f>
        <v/>
      </c>
      <c r="J3505" s="17">
        <f>IF(B3505="","","touch_1; "&amp;IFERROR(INDEX(Clay_Brands!$A$2:$FZ$601,54,Sync!$D$10)&amp;"","")&amp;"; "&amp;IFERROR(INDEX(Clay_Brands!$A$2:$FZ$601,54,Sync!$D$9)&amp;"",""))</f>
        <v/>
      </c>
      <c r="K3505" t="inlineStr">
        <is>
          <t>brand outreach touch 1</t>
        </is>
      </c>
    </row>
    <row r="3506">
      <c r="A3506" s="17">
        <f>IF(B3506="","",B3506+(15*1000+55)/10000000)</f>
        <v/>
      </c>
      <c r="B3506" s="23">
        <f>IF(AND(IFERROR(N(INDEX(Clay_Brands!$A$2:$FZ$601,55,Sync!$D$11)),0)&gt;0,IFERROR(INDEX(Clay_Brands!$A$2:$FZ$601,55,Sync!$D$5)&amp;"","")&lt;&gt;"",OR(LEFT(IFERROR(INDEX(Clay_Brands!$A$2:$FZ$601,55,Sync!$D$5)&amp;"",""),6)&lt;&gt;"SAMPLE",Config!$B$19="Y")),IFERROR(N(INDEX(Clay_Brands!$A$2:$FZ$601,55,Sync!$D$11)),0),"")</f>
        <v/>
      </c>
      <c r="C3506" s="17">
        <f>IF(B3506="","","brand")</f>
        <v/>
      </c>
      <c r="D3506" s="17">
        <f>IF(B3506="","",IFERROR(INDEX(Clay_Brands!$A$2:$FZ$601,55,Sync!$D$5)&amp;"",""))</f>
        <v/>
      </c>
      <c r="E3506" s="17">
        <f>IF(B3506="","",IFERROR(INDEX(Clay_Brands!$A$2:$FZ$601,55,Sync!$D$6)&amp;"",""))</f>
        <v/>
      </c>
      <c r="F3506" s="17">
        <f>IF(B3506="","","outreach_sent")</f>
        <v/>
      </c>
      <c r="G3506" s="17">
        <f>IF(B3506="","","")</f>
        <v/>
      </c>
      <c r="H3506" s="17">
        <f>IF(B3506="","","")</f>
        <v/>
      </c>
      <c r="I3506" s="17">
        <f>IF(B3506="","","")</f>
        <v/>
      </c>
      <c r="J3506" s="17">
        <f>IF(B3506="","","touch_1; "&amp;IFERROR(INDEX(Clay_Brands!$A$2:$FZ$601,55,Sync!$D$10)&amp;"","")&amp;"; "&amp;IFERROR(INDEX(Clay_Brands!$A$2:$FZ$601,55,Sync!$D$9)&amp;"",""))</f>
        <v/>
      </c>
      <c r="K3506" t="inlineStr">
        <is>
          <t>brand outreach touch 1</t>
        </is>
      </c>
    </row>
    <row r="3507">
      <c r="A3507" s="17">
        <f>IF(B3507="","",B3507+(15*1000+56)/10000000)</f>
        <v/>
      </c>
      <c r="B3507" s="23">
        <f>IF(AND(IFERROR(N(INDEX(Clay_Brands!$A$2:$FZ$601,56,Sync!$D$11)),0)&gt;0,IFERROR(INDEX(Clay_Brands!$A$2:$FZ$601,56,Sync!$D$5)&amp;"","")&lt;&gt;"",OR(LEFT(IFERROR(INDEX(Clay_Brands!$A$2:$FZ$601,56,Sync!$D$5)&amp;"",""),6)&lt;&gt;"SAMPLE",Config!$B$19="Y")),IFERROR(N(INDEX(Clay_Brands!$A$2:$FZ$601,56,Sync!$D$11)),0),"")</f>
        <v/>
      </c>
      <c r="C3507" s="17">
        <f>IF(B3507="","","brand")</f>
        <v/>
      </c>
      <c r="D3507" s="17">
        <f>IF(B3507="","",IFERROR(INDEX(Clay_Brands!$A$2:$FZ$601,56,Sync!$D$5)&amp;"",""))</f>
        <v/>
      </c>
      <c r="E3507" s="17">
        <f>IF(B3507="","",IFERROR(INDEX(Clay_Brands!$A$2:$FZ$601,56,Sync!$D$6)&amp;"",""))</f>
        <v/>
      </c>
      <c r="F3507" s="17">
        <f>IF(B3507="","","outreach_sent")</f>
        <v/>
      </c>
      <c r="G3507" s="17">
        <f>IF(B3507="","","")</f>
        <v/>
      </c>
      <c r="H3507" s="17">
        <f>IF(B3507="","","")</f>
        <v/>
      </c>
      <c r="I3507" s="17">
        <f>IF(B3507="","","")</f>
        <v/>
      </c>
      <c r="J3507" s="17">
        <f>IF(B3507="","","touch_1; "&amp;IFERROR(INDEX(Clay_Brands!$A$2:$FZ$601,56,Sync!$D$10)&amp;"","")&amp;"; "&amp;IFERROR(INDEX(Clay_Brands!$A$2:$FZ$601,56,Sync!$D$9)&amp;"",""))</f>
        <v/>
      </c>
      <c r="K3507" t="inlineStr">
        <is>
          <t>brand outreach touch 1</t>
        </is>
      </c>
    </row>
    <row r="3508">
      <c r="A3508" s="17">
        <f>IF(B3508="","",B3508+(15*1000+57)/10000000)</f>
        <v/>
      </c>
      <c r="B3508" s="23">
        <f>IF(AND(IFERROR(N(INDEX(Clay_Brands!$A$2:$FZ$601,57,Sync!$D$11)),0)&gt;0,IFERROR(INDEX(Clay_Brands!$A$2:$FZ$601,57,Sync!$D$5)&amp;"","")&lt;&gt;"",OR(LEFT(IFERROR(INDEX(Clay_Brands!$A$2:$FZ$601,57,Sync!$D$5)&amp;"",""),6)&lt;&gt;"SAMPLE",Config!$B$19="Y")),IFERROR(N(INDEX(Clay_Brands!$A$2:$FZ$601,57,Sync!$D$11)),0),"")</f>
        <v/>
      </c>
      <c r="C3508" s="17">
        <f>IF(B3508="","","brand")</f>
        <v/>
      </c>
      <c r="D3508" s="17">
        <f>IF(B3508="","",IFERROR(INDEX(Clay_Brands!$A$2:$FZ$601,57,Sync!$D$5)&amp;"",""))</f>
        <v/>
      </c>
      <c r="E3508" s="17">
        <f>IF(B3508="","",IFERROR(INDEX(Clay_Brands!$A$2:$FZ$601,57,Sync!$D$6)&amp;"",""))</f>
        <v/>
      </c>
      <c r="F3508" s="17">
        <f>IF(B3508="","","outreach_sent")</f>
        <v/>
      </c>
      <c r="G3508" s="17">
        <f>IF(B3508="","","")</f>
        <v/>
      </c>
      <c r="H3508" s="17">
        <f>IF(B3508="","","")</f>
        <v/>
      </c>
      <c r="I3508" s="17">
        <f>IF(B3508="","","")</f>
        <v/>
      </c>
      <c r="J3508" s="17">
        <f>IF(B3508="","","touch_1; "&amp;IFERROR(INDEX(Clay_Brands!$A$2:$FZ$601,57,Sync!$D$10)&amp;"","")&amp;"; "&amp;IFERROR(INDEX(Clay_Brands!$A$2:$FZ$601,57,Sync!$D$9)&amp;"",""))</f>
        <v/>
      </c>
      <c r="K3508" t="inlineStr">
        <is>
          <t>brand outreach touch 1</t>
        </is>
      </c>
    </row>
    <row r="3509">
      <c r="A3509" s="17">
        <f>IF(B3509="","",B3509+(15*1000+58)/10000000)</f>
        <v/>
      </c>
      <c r="B3509" s="23">
        <f>IF(AND(IFERROR(N(INDEX(Clay_Brands!$A$2:$FZ$601,58,Sync!$D$11)),0)&gt;0,IFERROR(INDEX(Clay_Brands!$A$2:$FZ$601,58,Sync!$D$5)&amp;"","")&lt;&gt;"",OR(LEFT(IFERROR(INDEX(Clay_Brands!$A$2:$FZ$601,58,Sync!$D$5)&amp;"",""),6)&lt;&gt;"SAMPLE",Config!$B$19="Y")),IFERROR(N(INDEX(Clay_Brands!$A$2:$FZ$601,58,Sync!$D$11)),0),"")</f>
        <v/>
      </c>
      <c r="C3509" s="17">
        <f>IF(B3509="","","brand")</f>
        <v/>
      </c>
      <c r="D3509" s="17">
        <f>IF(B3509="","",IFERROR(INDEX(Clay_Brands!$A$2:$FZ$601,58,Sync!$D$5)&amp;"",""))</f>
        <v/>
      </c>
      <c r="E3509" s="17">
        <f>IF(B3509="","",IFERROR(INDEX(Clay_Brands!$A$2:$FZ$601,58,Sync!$D$6)&amp;"",""))</f>
        <v/>
      </c>
      <c r="F3509" s="17">
        <f>IF(B3509="","","outreach_sent")</f>
        <v/>
      </c>
      <c r="G3509" s="17">
        <f>IF(B3509="","","")</f>
        <v/>
      </c>
      <c r="H3509" s="17">
        <f>IF(B3509="","","")</f>
        <v/>
      </c>
      <c r="I3509" s="17">
        <f>IF(B3509="","","")</f>
        <v/>
      </c>
      <c r="J3509" s="17">
        <f>IF(B3509="","","touch_1; "&amp;IFERROR(INDEX(Clay_Brands!$A$2:$FZ$601,58,Sync!$D$10)&amp;"","")&amp;"; "&amp;IFERROR(INDEX(Clay_Brands!$A$2:$FZ$601,58,Sync!$D$9)&amp;"",""))</f>
        <v/>
      </c>
      <c r="K3509" t="inlineStr">
        <is>
          <t>brand outreach touch 1</t>
        </is>
      </c>
    </row>
    <row r="3510">
      <c r="A3510" s="17">
        <f>IF(B3510="","",B3510+(15*1000+59)/10000000)</f>
        <v/>
      </c>
      <c r="B3510" s="23">
        <f>IF(AND(IFERROR(N(INDEX(Clay_Brands!$A$2:$FZ$601,59,Sync!$D$11)),0)&gt;0,IFERROR(INDEX(Clay_Brands!$A$2:$FZ$601,59,Sync!$D$5)&amp;"","")&lt;&gt;"",OR(LEFT(IFERROR(INDEX(Clay_Brands!$A$2:$FZ$601,59,Sync!$D$5)&amp;"",""),6)&lt;&gt;"SAMPLE",Config!$B$19="Y")),IFERROR(N(INDEX(Clay_Brands!$A$2:$FZ$601,59,Sync!$D$11)),0),"")</f>
        <v/>
      </c>
      <c r="C3510" s="17">
        <f>IF(B3510="","","brand")</f>
        <v/>
      </c>
      <c r="D3510" s="17">
        <f>IF(B3510="","",IFERROR(INDEX(Clay_Brands!$A$2:$FZ$601,59,Sync!$D$5)&amp;"",""))</f>
        <v/>
      </c>
      <c r="E3510" s="17">
        <f>IF(B3510="","",IFERROR(INDEX(Clay_Brands!$A$2:$FZ$601,59,Sync!$D$6)&amp;"",""))</f>
        <v/>
      </c>
      <c r="F3510" s="17">
        <f>IF(B3510="","","outreach_sent")</f>
        <v/>
      </c>
      <c r="G3510" s="17">
        <f>IF(B3510="","","")</f>
        <v/>
      </c>
      <c r="H3510" s="17">
        <f>IF(B3510="","","")</f>
        <v/>
      </c>
      <c r="I3510" s="17">
        <f>IF(B3510="","","")</f>
        <v/>
      </c>
      <c r="J3510" s="17">
        <f>IF(B3510="","","touch_1; "&amp;IFERROR(INDEX(Clay_Brands!$A$2:$FZ$601,59,Sync!$D$10)&amp;"","")&amp;"; "&amp;IFERROR(INDEX(Clay_Brands!$A$2:$FZ$601,59,Sync!$D$9)&amp;"",""))</f>
        <v/>
      </c>
      <c r="K3510" t="inlineStr">
        <is>
          <t>brand outreach touch 1</t>
        </is>
      </c>
    </row>
    <row r="3511">
      <c r="A3511" s="17">
        <f>IF(B3511="","",B3511+(15*1000+60)/10000000)</f>
        <v/>
      </c>
      <c r="B3511" s="23">
        <f>IF(AND(IFERROR(N(INDEX(Clay_Brands!$A$2:$FZ$601,60,Sync!$D$11)),0)&gt;0,IFERROR(INDEX(Clay_Brands!$A$2:$FZ$601,60,Sync!$D$5)&amp;"","")&lt;&gt;"",OR(LEFT(IFERROR(INDEX(Clay_Brands!$A$2:$FZ$601,60,Sync!$D$5)&amp;"",""),6)&lt;&gt;"SAMPLE",Config!$B$19="Y")),IFERROR(N(INDEX(Clay_Brands!$A$2:$FZ$601,60,Sync!$D$11)),0),"")</f>
        <v/>
      </c>
      <c r="C3511" s="17">
        <f>IF(B3511="","","brand")</f>
        <v/>
      </c>
      <c r="D3511" s="17">
        <f>IF(B3511="","",IFERROR(INDEX(Clay_Brands!$A$2:$FZ$601,60,Sync!$D$5)&amp;"",""))</f>
        <v/>
      </c>
      <c r="E3511" s="17">
        <f>IF(B3511="","",IFERROR(INDEX(Clay_Brands!$A$2:$FZ$601,60,Sync!$D$6)&amp;"",""))</f>
        <v/>
      </c>
      <c r="F3511" s="17">
        <f>IF(B3511="","","outreach_sent")</f>
        <v/>
      </c>
      <c r="G3511" s="17">
        <f>IF(B3511="","","")</f>
        <v/>
      </c>
      <c r="H3511" s="17">
        <f>IF(B3511="","","")</f>
        <v/>
      </c>
      <c r="I3511" s="17">
        <f>IF(B3511="","","")</f>
        <v/>
      </c>
      <c r="J3511" s="17">
        <f>IF(B3511="","","touch_1; "&amp;IFERROR(INDEX(Clay_Brands!$A$2:$FZ$601,60,Sync!$D$10)&amp;"","")&amp;"; "&amp;IFERROR(INDEX(Clay_Brands!$A$2:$FZ$601,60,Sync!$D$9)&amp;"",""))</f>
        <v/>
      </c>
      <c r="K3511" t="inlineStr">
        <is>
          <t>brand outreach touch 1</t>
        </is>
      </c>
    </row>
    <row r="3512">
      <c r="A3512" s="17">
        <f>IF(B3512="","",B3512+(15*1000+61)/10000000)</f>
        <v/>
      </c>
      <c r="B3512" s="23">
        <f>IF(AND(IFERROR(N(INDEX(Clay_Brands!$A$2:$FZ$601,61,Sync!$D$11)),0)&gt;0,IFERROR(INDEX(Clay_Brands!$A$2:$FZ$601,61,Sync!$D$5)&amp;"","")&lt;&gt;"",OR(LEFT(IFERROR(INDEX(Clay_Brands!$A$2:$FZ$601,61,Sync!$D$5)&amp;"",""),6)&lt;&gt;"SAMPLE",Config!$B$19="Y")),IFERROR(N(INDEX(Clay_Brands!$A$2:$FZ$601,61,Sync!$D$11)),0),"")</f>
        <v/>
      </c>
      <c r="C3512" s="17">
        <f>IF(B3512="","","brand")</f>
        <v/>
      </c>
      <c r="D3512" s="17">
        <f>IF(B3512="","",IFERROR(INDEX(Clay_Brands!$A$2:$FZ$601,61,Sync!$D$5)&amp;"",""))</f>
        <v/>
      </c>
      <c r="E3512" s="17">
        <f>IF(B3512="","",IFERROR(INDEX(Clay_Brands!$A$2:$FZ$601,61,Sync!$D$6)&amp;"",""))</f>
        <v/>
      </c>
      <c r="F3512" s="17">
        <f>IF(B3512="","","outreach_sent")</f>
        <v/>
      </c>
      <c r="G3512" s="17">
        <f>IF(B3512="","","")</f>
        <v/>
      </c>
      <c r="H3512" s="17">
        <f>IF(B3512="","","")</f>
        <v/>
      </c>
      <c r="I3512" s="17">
        <f>IF(B3512="","","")</f>
        <v/>
      </c>
      <c r="J3512" s="17">
        <f>IF(B3512="","","touch_1; "&amp;IFERROR(INDEX(Clay_Brands!$A$2:$FZ$601,61,Sync!$D$10)&amp;"","")&amp;"; "&amp;IFERROR(INDEX(Clay_Brands!$A$2:$FZ$601,61,Sync!$D$9)&amp;"",""))</f>
        <v/>
      </c>
      <c r="K3512" t="inlineStr">
        <is>
          <t>brand outreach touch 1</t>
        </is>
      </c>
    </row>
    <row r="3513">
      <c r="A3513" s="17">
        <f>IF(B3513="","",B3513+(15*1000+62)/10000000)</f>
        <v/>
      </c>
      <c r="B3513" s="23">
        <f>IF(AND(IFERROR(N(INDEX(Clay_Brands!$A$2:$FZ$601,62,Sync!$D$11)),0)&gt;0,IFERROR(INDEX(Clay_Brands!$A$2:$FZ$601,62,Sync!$D$5)&amp;"","")&lt;&gt;"",OR(LEFT(IFERROR(INDEX(Clay_Brands!$A$2:$FZ$601,62,Sync!$D$5)&amp;"",""),6)&lt;&gt;"SAMPLE",Config!$B$19="Y")),IFERROR(N(INDEX(Clay_Brands!$A$2:$FZ$601,62,Sync!$D$11)),0),"")</f>
        <v/>
      </c>
      <c r="C3513" s="17">
        <f>IF(B3513="","","brand")</f>
        <v/>
      </c>
      <c r="D3513" s="17">
        <f>IF(B3513="","",IFERROR(INDEX(Clay_Brands!$A$2:$FZ$601,62,Sync!$D$5)&amp;"",""))</f>
        <v/>
      </c>
      <c r="E3513" s="17">
        <f>IF(B3513="","",IFERROR(INDEX(Clay_Brands!$A$2:$FZ$601,62,Sync!$D$6)&amp;"",""))</f>
        <v/>
      </c>
      <c r="F3513" s="17">
        <f>IF(B3513="","","outreach_sent")</f>
        <v/>
      </c>
      <c r="G3513" s="17">
        <f>IF(B3513="","","")</f>
        <v/>
      </c>
      <c r="H3513" s="17">
        <f>IF(B3513="","","")</f>
        <v/>
      </c>
      <c r="I3513" s="17">
        <f>IF(B3513="","","")</f>
        <v/>
      </c>
      <c r="J3513" s="17">
        <f>IF(B3513="","","touch_1; "&amp;IFERROR(INDEX(Clay_Brands!$A$2:$FZ$601,62,Sync!$D$10)&amp;"","")&amp;"; "&amp;IFERROR(INDEX(Clay_Brands!$A$2:$FZ$601,62,Sync!$D$9)&amp;"",""))</f>
        <v/>
      </c>
      <c r="K3513" t="inlineStr">
        <is>
          <t>brand outreach touch 1</t>
        </is>
      </c>
    </row>
    <row r="3514">
      <c r="A3514" s="17">
        <f>IF(B3514="","",B3514+(15*1000+63)/10000000)</f>
        <v/>
      </c>
      <c r="B3514" s="23">
        <f>IF(AND(IFERROR(N(INDEX(Clay_Brands!$A$2:$FZ$601,63,Sync!$D$11)),0)&gt;0,IFERROR(INDEX(Clay_Brands!$A$2:$FZ$601,63,Sync!$D$5)&amp;"","")&lt;&gt;"",OR(LEFT(IFERROR(INDEX(Clay_Brands!$A$2:$FZ$601,63,Sync!$D$5)&amp;"",""),6)&lt;&gt;"SAMPLE",Config!$B$19="Y")),IFERROR(N(INDEX(Clay_Brands!$A$2:$FZ$601,63,Sync!$D$11)),0),"")</f>
        <v/>
      </c>
      <c r="C3514" s="17">
        <f>IF(B3514="","","brand")</f>
        <v/>
      </c>
      <c r="D3514" s="17">
        <f>IF(B3514="","",IFERROR(INDEX(Clay_Brands!$A$2:$FZ$601,63,Sync!$D$5)&amp;"",""))</f>
        <v/>
      </c>
      <c r="E3514" s="17">
        <f>IF(B3514="","",IFERROR(INDEX(Clay_Brands!$A$2:$FZ$601,63,Sync!$D$6)&amp;"",""))</f>
        <v/>
      </c>
      <c r="F3514" s="17">
        <f>IF(B3514="","","outreach_sent")</f>
        <v/>
      </c>
      <c r="G3514" s="17">
        <f>IF(B3514="","","")</f>
        <v/>
      </c>
      <c r="H3514" s="17">
        <f>IF(B3514="","","")</f>
        <v/>
      </c>
      <c r="I3514" s="17">
        <f>IF(B3514="","","")</f>
        <v/>
      </c>
      <c r="J3514" s="17">
        <f>IF(B3514="","","touch_1; "&amp;IFERROR(INDEX(Clay_Brands!$A$2:$FZ$601,63,Sync!$D$10)&amp;"","")&amp;"; "&amp;IFERROR(INDEX(Clay_Brands!$A$2:$FZ$601,63,Sync!$D$9)&amp;"",""))</f>
        <v/>
      </c>
      <c r="K3514" t="inlineStr">
        <is>
          <t>brand outreach touch 1</t>
        </is>
      </c>
    </row>
    <row r="3515">
      <c r="A3515" s="17">
        <f>IF(B3515="","",B3515+(15*1000+64)/10000000)</f>
        <v/>
      </c>
      <c r="B3515" s="23">
        <f>IF(AND(IFERROR(N(INDEX(Clay_Brands!$A$2:$FZ$601,64,Sync!$D$11)),0)&gt;0,IFERROR(INDEX(Clay_Brands!$A$2:$FZ$601,64,Sync!$D$5)&amp;"","")&lt;&gt;"",OR(LEFT(IFERROR(INDEX(Clay_Brands!$A$2:$FZ$601,64,Sync!$D$5)&amp;"",""),6)&lt;&gt;"SAMPLE",Config!$B$19="Y")),IFERROR(N(INDEX(Clay_Brands!$A$2:$FZ$601,64,Sync!$D$11)),0),"")</f>
        <v/>
      </c>
      <c r="C3515" s="17">
        <f>IF(B3515="","","brand")</f>
        <v/>
      </c>
      <c r="D3515" s="17">
        <f>IF(B3515="","",IFERROR(INDEX(Clay_Brands!$A$2:$FZ$601,64,Sync!$D$5)&amp;"",""))</f>
        <v/>
      </c>
      <c r="E3515" s="17">
        <f>IF(B3515="","",IFERROR(INDEX(Clay_Brands!$A$2:$FZ$601,64,Sync!$D$6)&amp;"",""))</f>
        <v/>
      </c>
      <c r="F3515" s="17">
        <f>IF(B3515="","","outreach_sent")</f>
        <v/>
      </c>
      <c r="G3515" s="17">
        <f>IF(B3515="","","")</f>
        <v/>
      </c>
      <c r="H3515" s="17">
        <f>IF(B3515="","","")</f>
        <v/>
      </c>
      <c r="I3515" s="17">
        <f>IF(B3515="","","")</f>
        <v/>
      </c>
      <c r="J3515" s="17">
        <f>IF(B3515="","","touch_1; "&amp;IFERROR(INDEX(Clay_Brands!$A$2:$FZ$601,64,Sync!$D$10)&amp;"","")&amp;"; "&amp;IFERROR(INDEX(Clay_Brands!$A$2:$FZ$601,64,Sync!$D$9)&amp;"",""))</f>
        <v/>
      </c>
      <c r="K3515" t="inlineStr">
        <is>
          <t>brand outreach touch 1</t>
        </is>
      </c>
    </row>
    <row r="3516">
      <c r="A3516" s="17">
        <f>IF(B3516="","",B3516+(15*1000+65)/10000000)</f>
        <v/>
      </c>
      <c r="B3516" s="23">
        <f>IF(AND(IFERROR(N(INDEX(Clay_Brands!$A$2:$FZ$601,65,Sync!$D$11)),0)&gt;0,IFERROR(INDEX(Clay_Brands!$A$2:$FZ$601,65,Sync!$D$5)&amp;"","")&lt;&gt;"",OR(LEFT(IFERROR(INDEX(Clay_Brands!$A$2:$FZ$601,65,Sync!$D$5)&amp;"",""),6)&lt;&gt;"SAMPLE",Config!$B$19="Y")),IFERROR(N(INDEX(Clay_Brands!$A$2:$FZ$601,65,Sync!$D$11)),0),"")</f>
        <v/>
      </c>
      <c r="C3516" s="17">
        <f>IF(B3516="","","brand")</f>
        <v/>
      </c>
      <c r="D3516" s="17">
        <f>IF(B3516="","",IFERROR(INDEX(Clay_Brands!$A$2:$FZ$601,65,Sync!$D$5)&amp;"",""))</f>
        <v/>
      </c>
      <c r="E3516" s="17">
        <f>IF(B3516="","",IFERROR(INDEX(Clay_Brands!$A$2:$FZ$601,65,Sync!$D$6)&amp;"",""))</f>
        <v/>
      </c>
      <c r="F3516" s="17">
        <f>IF(B3516="","","outreach_sent")</f>
        <v/>
      </c>
      <c r="G3516" s="17">
        <f>IF(B3516="","","")</f>
        <v/>
      </c>
      <c r="H3516" s="17">
        <f>IF(B3516="","","")</f>
        <v/>
      </c>
      <c r="I3516" s="17">
        <f>IF(B3516="","","")</f>
        <v/>
      </c>
      <c r="J3516" s="17">
        <f>IF(B3516="","","touch_1; "&amp;IFERROR(INDEX(Clay_Brands!$A$2:$FZ$601,65,Sync!$D$10)&amp;"","")&amp;"; "&amp;IFERROR(INDEX(Clay_Brands!$A$2:$FZ$601,65,Sync!$D$9)&amp;"",""))</f>
        <v/>
      </c>
      <c r="K3516" t="inlineStr">
        <is>
          <t>brand outreach touch 1</t>
        </is>
      </c>
    </row>
    <row r="3517">
      <c r="A3517" s="17">
        <f>IF(B3517="","",B3517+(15*1000+66)/10000000)</f>
        <v/>
      </c>
      <c r="B3517" s="23">
        <f>IF(AND(IFERROR(N(INDEX(Clay_Brands!$A$2:$FZ$601,66,Sync!$D$11)),0)&gt;0,IFERROR(INDEX(Clay_Brands!$A$2:$FZ$601,66,Sync!$D$5)&amp;"","")&lt;&gt;"",OR(LEFT(IFERROR(INDEX(Clay_Brands!$A$2:$FZ$601,66,Sync!$D$5)&amp;"",""),6)&lt;&gt;"SAMPLE",Config!$B$19="Y")),IFERROR(N(INDEX(Clay_Brands!$A$2:$FZ$601,66,Sync!$D$11)),0),"")</f>
        <v/>
      </c>
      <c r="C3517" s="17">
        <f>IF(B3517="","","brand")</f>
        <v/>
      </c>
      <c r="D3517" s="17">
        <f>IF(B3517="","",IFERROR(INDEX(Clay_Brands!$A$2:$FZ$601,66,Sync!$D$5)&amp;"",""))</f>
        <v/>
      </c>
      <c r="E3517" s="17">
        <f>IF(B3517="","",IFERROR(INDEX(Clay_Brands!$A$2:$FZ$601,66,Sync!$D$6)&amp;"",""))</f>
        <v/>
      </c>
      <c r="F3517" s="17">
        <f>IF(B3517="","","outreach_sent")</f>
        <v/>
      </c>
      <c r="G3517" s="17">
        <f>IF(B3517="","","")</f>
        <v/>
      </c>
      <c r="H3517" s="17">
        <f>IF(B3517="","","")</f>
        <v/>
      </c>
      <c r="I3517" s="17">
        <f>IF(B3517="","","")</f>
        <v/>
      </c>
      <c r="J3517" s="17">
        <f>IF(B3517="","","touch_1; "&amp;IFERROR(INDEX(Clay_Brands!$A$2:$FZ$601,66,Sync!$D$10)&amp;"","")&amp;"; "&amp;IFERROR(INDEX(Clay_Brands!$A$2:$FZ$601,66,Sync!$D$9)&amp;"",""))</f>
        <v/>
      </c>
      <c r="K3517" t="inlineStr">
        <is>
          <t>brand outreach touch 1</t>
        </is>
      </c>
    </row>
    <row r="3518">
      <c r="A3518" s="17">
        <f>IF(B3518="","",B3518+(15*1000+67)/10000000)</f>
        <v/>
      </c>
      <c r="B3518" s="23">
        <f>IF(AND(IFERROR(N(INDEX(Clay_Brands!$A$2:$FZ$601,67,Sync!$D$11)),0)&gt;0,IFERROR(INDEX(Clay_Brands!$A$2:$FZ$601,67,Sync!$D$5)&amp;"","")&lt;&gt;"",OR(LEFT(IFERROR(INDEX(Clay_Brands!$A$2:$FZ$601,67,Sync!$D$5)&amp;"",""),6)&lt;&gt;"SAMPLE",Config!$B$19="Y")),IFERROR(N(INDEX(Clay_Brands!$A$2:$FZ$601,67,Sync!$D$11)),0),"")</f>
        <v/>
      </c>
      <c r="C3518" s="17">
        <f>IF(B3518="","","brand")</f>
        <v/>
      </c>
      <c r="D3518" s="17">
        <f>IF(B3518="","",IFERROR(INDEX(Clay_Brands!$A$2:$FZ$601,67,Sync!$D$5)&amp;"",""))</f>
        <v/>
      </c>
      <c r="E3518" s="17">
        <f>IF(B3518="","",IFERROR(INDEX(Clay_Brands!$A$2:$FZ$601,67,Sync!$D$6)&amp;"",""))</f>
        <v/>
      </c>
      <c r="F3518" s="17">
        <f>IF(B3518="","","outreach_sent")</f>
        <v/>
      </c>
      <c r="G3518" s="17">
        <f>IF(B3518="","","")</f>
        <v/>
      </c>
      <c r="H3518" s="17">
        <f>IF(B3518="","","")</f>
        <v/>
      </c>
      <c r="I3518" s="17">
        <f>IF(B3518="","","")</f>
        <v/>
      </c>
      <c r="J3518" s="17">
        <f>IF(B3518="","","touch_1; "&amp;IFERROR(INDEX(Clay_Brands!$A$2:$FZ$601,67,Sync!$D$10)&amp;"","")&amp;"; "&amp;IFERROR(INDEX(Clay_Brands!$A$2:$FZ$601,67,Sync!$D$9)&amp;"",""))</f>
        <v/>
      </c>
      <c r="K3518" t="inlineStr">
        <is>
          <t>brand outreach touch 1</t>
        </is>
      </c>
    </row>
    <row r="3519">
      <c r="A3519" s="17">
        <f>IF(B3519="","",B3519+(15*1000+68)/10000000)</f>
        <v/>
      </c>
      <c r="B3519" s="23">
        <f>IF(AND(IFERROR(N(INDEX(Clay_Brands!$A$2:$FZ$601,68,Sync!$D$11)),0)&gt;0,IFERROR(INDEX(Clay_Brands!$A$2:$FZ$601,68,Sync!$D$5)&amp;"","")&lt;&gt;"",OR(LEFT(IFERROR(INDEX(Clay_Brands!$A$2:$FZ$601,68,Sync!$D$5)&amp;"",""),6)&lt;&gt;"SAMPLE",Config!$B$19="Y")),IFERROR(N(INDEX(Clay_Brands!$A$2:$FZ$601,68,Sync!$D$11)),0),"")</f>
        <v/>
      </c>
      <c r="C3519" s="17">
        <f>IF(B3519="","","brand")</f>
        <v/>
      </c>
      <c r="D3519" s="17">
        <f>IF(B3519="","",IFERROR(INDEX(Clay_Brands!$A$2:$FZ$601,68,Sync!$D$5)&amp;"",""))</f>
        <v/>
      </c>
      <c r="E3519" s="17">
        <f>IF(B3519="","",IFERROR(INDEX(Clay_Brands!$A$2:$FZ$601,68,Sync!$D$6)&amp;"",""))</f>
        <v/>
      </c>
      <c r="F3519" s="17">
        <f>IF(B3519="","","outreach_sent")</f>
        <v/>
      </c>
      <c r="G3519" s="17">
        <f>IF(B3519="","","")</f>
        <v/>
      </c>
      <c r="H3519" s="17">
        <f>IF(B3519="","","")</f>
        <v/>
      </c>
      <c r="I3519" s="17">
        <f>IF(B3519="","","")</f>
        <v/>
      </c>
      <c r="J3519" s="17">
        <f>IF(B3519="","","touch_1; "&amp;IFERROR(INDEX(Clay_Brands!$A$2:$FZ$601,68,Sync!$D$10)&amp;"","")&amp;"; "&amp;IFERROR(INDEX(Clay_Brands!$A$2:$FZ$601,68,Sync!$D$9)&amp;"",""))</f>
        <v/>
      </c>
      <c r="K3519" t="inlineStr">
        <is>
          <t>brand outreach touch 1</t>
        </is>
      </c>
    </row>
    <row r="3520">
      <c r="A3520" s="17">
        <f>IF(B3520="","",B3520+(15*1000+69)/10000000)</f>
        <v/>
      </c>
      <c r="B3520" s="23">
        <f>IF(AND(IFERROR(N(INDEX(Clay_Brands!$A$2:$FZ$601,69,Sync!$D$11)),0)&gt;0,IFERROR(INDEX(Clay_Brands!$A$2:$FZ$601,69,Sync!$D$5)&amp;"","")&lt;&gt;"",OR(LEFT(IFERROR(INDEX(Clay_Brands!$A$2:$FZ$601,69,Sync!$D$5)&amp;"",""),6)&lt;&gt;"SAMPLE",Config!$B$19="Y")),IFERROR(N(INDEX(Clay_Brands!$A$2:$FZ$601,69,Sync!$D$11)),0),"")</f>
        <v/>
      </c>
      <c r="C3520" s="17">
        <f>IF(B3520="","","brand")</f>
        <v/>
      </c>
      <c r="D3520" s="17">
        <f>IF(B3520="","",IFERROR(INDEX(Clay_Brands!$A$2:$FZ$601,69,Sync!$D$5)&amp;"",""))</f>
        <v/>
      </c>
      <c r="E3520" s="17">
        <f>IF(B3520="","",IFERROR(INDEX(Clay_Brands!$A$2:$FZ$601,69,Sync!$D$6)&amp;"",""))</f>
        <v/>
      </c>
      <c r="F3520" s="17">
        <f>IF(B3520="","","outreach_sent")</f>
        <v/>
      </c>
      <c r="G3520" s="17">
        <f>IF(B3520="","","")</f>
        <v/>
      </c>
      <c r="H3520" s="17">
        <f>IF(B3520="","","")</f>
        <v/>
      </c>
      <c r="I3520" s="17">
        <f>IF(B3520="","","")</f>
        <v/>
      </c>
      <c r="J3520" s="17">
        <f>IF(B3520="","","touch_1; "&amp;IFERROR(INDEX(Clay_Brands!$A$2:$FZ$601,69,Sync!$D$10)&amp;"","")&amp;"; "&amp;IFERROR(INDEX(Clay_Brands!$A$2:$FZ$601,69,Sync!$D$9)&amp;"",""))</f>
        <v/>
      </c>
      <c r="K3520" t="inlineStr">
        <is>
          <t>brand outreach touch 1</t>
        </is>
      </c>
    </row>
    <row r="3521">
      <c r="A3521" s="17">
        <f>IF(B3521="","",B3521+(15*1000+70)/10000000)</f>
        <v/>
      </c>
      <c r="B3521" s="23">
        <f>IF(AND(IFERROR(N(INDEX(Clay_Brands!$A$2:$FZ$601,70,Sync!$D$11)),0)&gt;0,IFERROR(INDEX(Clay_Brands!$A$2:$FZ$601,70,Sync!$D$5)&amp;"","")&lt;&gt;"",OR(LEFT(IFERROR(INDEX(Clay_Brands!$A$2:$FZ$601,70,Sync!$D$5)&amp;"",""),6)&lt;&gt;"SAMPLE",Config!$B$19="Y")),IFERROR(N(INDEX(Clay_Brands!$A$2:$FZ$601,70,Sync!$D$11)),0),"")</f>
        <v/>
      </c>
      <c r="C3521" s="17">
        <f>IF(B3521="","","brand")</f>
        <v/>
      </c>
      <c r="D3521" s="17">
        <f>IF(B3521="","",IFERROR(INDEX(Clay_Brands!$A$2:$FZ$601,70,Sync!$D$5)&amp;"",""))</f>
        <v/>
      </c>
      <c r="E3521" s="17">
        <f>IF(B3521="","",IFERROR(INDEX(Clay_Brands!$A$2:$FZ$601,70,Sync!$D$6)&amp;"",""))</f>
        <v/>
      </c>
      <c r="F3521" s="17">
        <f>IF(B3521="","","outreach_sent")</f>
        <v/>
      </c>
      <c r="G3521" s="17">
        <f>IF(B3521="","","")</f>
        <v/>
      </c>
      <c r="H3521" s="17">
        <f>IF(B3521="","","")</f>
        <v/>
      </c>
      <c r="I3521" s="17">
        <f>IF(B3521="","","")</f>
        <v/>
      </c>
      <c r="J3521" s="17">
        <f>IF(B3521="","","touch_1; "&amp;IFERROR(INDEX(Clay_Brands!$A$2:$FZ$601,70,Sync!$D$10)&amp;"","")&amp;"; "&amp;IFERROR(INDEX(Clay_Brands!$A$2:$FZ$601,70,Sync!$D$9)&amp;"",""))</f>
        <v/>
      </c>
      <c r="K3521" t="inlineStr">
        <is>
          <t>brand outreach touch 1</t>
        </is>
      </c>
    </row>
    <row r="3522">
      <c r="A3522" s="17">
        <f>IF(B3522="","",B3522+(15*1000+71)/10000000)</f>
        <v/>
      </c>
      <c r="B3522" s="23">
        <f>IF(AND(IFERROR(N(INDEX(Clay_Brands!$A$2:$FZ$601,71,Sync!$D$11)),0)&gt;0,IFERROR(INDEX(Clay_Brands!$A$2:$FZ$601,71,Sync!$D$5)&amp;"","")&lt;&gt;"",OR(LEFT(IFERROR(INDEX(Clay_Brands!$A$2:$FZ$601,71,Sync!$D$5)&amp;"",""),6)&lt;&gt;"SAMPLE",Config!$B$19="Y")),IFERROR(N(INDEX(Clay_Brands!$A$2:$FZ$601,71,Sync!$D$11)),0),"")</f>
        <v/>
      </c>
      <c r="C3522" s="17">
        <f>IF(B3522="","","brand")</f>
        <v/>
      </c>
      <c r="D3522" s="17">
        <f>IF(B3522="","",IFERROR(INDEX(Clay_Brands!$A$2:$FZ$601,71,Sync!$D$5)&amp;"",""))</f>
        <v/>
      </c>
      <c r="E3522" s="17">
        <f>IF(B3522="","",IFERROR(INDEX(Clay_Brands!$A$2:$FZ$601,71,Sync!$D$6)&amp;"",""))</f>
        <v/>
      </c>
      <c r="F3522" s="17">
        <f>IF(B3522="","","outreach_sent")</f>
        <v/>
      </c>
      <c r="G3522" s="17">
        <f>IF(B3522="","","")</f>
        <v/>
      </c>
      <c r="H3522" s="17">
        <f>IF(B3522="","","")</f>
        <v/>
      </c>
      <c r="I3522" s="17">
        <f>IF(B3522="","","")</f>
        <v/>
      </c>
      <c r="J3522" s="17">
        <f>IF(B3522="","","touch_1; "&amp;IFERROR(INDEX(Clay_Brands!$A$2:$FZ$601,71,Sync!$D$10)&amp;"","")&amp;"; "&amp;IFERROR(INDEX(Clay_Brands!$A$2:$FZ$601,71,Sync!$D$9)&amp;"",""))</f>
        <v/>
      </c>
      <c r="K3522" t="inlineStr">
        <is>
          <t>brand outreach touch 1</t>
        </is>
      </c>
    </row>
    <row r="3523">
      <c r="A3523" s="17">
        <f>IF(B3523="","",B3523+(15*1000+72)/10000000)</f>
        <v/>
      </c>
      <c r="B3523" s="23">
        <f>IF(AND(IFERROR(N(INDEX(Clay_Brands!$A$2:$FZ$601,72,Sync!$D$11)),0)&gt;0,IFERROR(INDEX(Clay_Brands!$A$2:$FZ$601,72,Sync!$D$5)&amp;"","")&lt;&gt;"",OR(LEFT(IFERROR(INDEX(Clay_Brands!$A$2:$FZ$601,72,Sync!$D$5)&amp;"",""),6)&lt;&gt;"SAMPLE",Config!$B$19="Y")),IFERROR(N(INDEX(Clay_Brands!$A$2:$FZ$601,72,Sync!$D$11)),0),"")</f>
        <v/>
      </c>
      <c r="C3523" s="17">
        <f>IF(B3523="","","brand")</f>
        <v/>
      </c>
      <c r="D3523" s="17">
        <f>IF(B3523="","",IFERROR(INDEX(Clay_Brands!$A$2:$FZ$601,72,Sync!$D$5)&amp;"",""))</f>
        <v/>
      </c>
      <c r="E3523" s="17">
        <f>IF(B3523="","",IFERROR(INDEX(Clay_Brands!$A$2:$FZ$601,72,Sync!$D$6)&amp;"",""))</f>
        <v/>
      </c>
      <c r="F3523" s="17">
        <f>IF(B3523="","","outreach_sent")</f>
        <v/>
      </c>
      <c r="G3523" s="17">
        <f>IF(B3523="","","")</f>
        <v/>
      </c>
      <c r="H3523" s="17">
        <f>IF(B3523="","","")</f>
        <v/>
      </c>
      <c r="I3523" s="17">
        <f>IF(B3523="","","")</f>
        <v/>
      </c>
      <c r="J3523" s="17">
        <f>IF(B3523="","","touch_1; "&amp;IFERROR(INDEX(Clay_Brands!$A$2:$FZ$601,72,Sync!$D$10)&amp;"","")&amp;"; "&amp;IFERROR(INDEX(Clay_Brands!$A$2:$FZ$601,72,Sync!$D$9)&amp;"",""))</f>
        <v/>
      </c>
      <c r="K3523" t="inlineStr">
        <is>
          <t>brand outreach touch 1</t>
        </is>
      </c>
    </row>
    <row r="3524">
      <c r="A3524" s="17">
        <f>IF(B3524="","",B3524+(15*1000+73)/10000000)</f>
        <v/>
      </c>
      <c r="B3524" s="23">
        <f>IF(AND(IFERROR(N(INDEX(Clay_Brands!$A$2:$FZ$601,73,Sync!$D$11)),0)&gt;0,IFERROR(INDEX(Clay_Brands!$A$2:$FZ$601,73,Sync!$D$5)&amp;"","")&lt;&gt;"",OR(LEFT(IFERROR(INDEX(Clay_Brands!$A$2:$FZ$601,73,Sync!$D$5)&amp;"",""),6)&lt;&gt;"SAMPLE",Config!$B$19="Y")),IFERROR(N(INDEX(Clay_Brands!$A$2:$FZ$601,73,Sync!$D$11)),0),"")</f>
        <v/>
      </c>
      <c r="C3524" s="17">
        <f>IF(B3524="","","brand")</f>
        <v/>
      </c>
      <c r="D3524" s="17">
        <f>IF(B3524="","",IFERROR(INDEX(Clay_Brands!$A$2:$FZ$601,73,Sync!$D$5)&amp;"",""))</f>
        <v/>
      </c>
      <c r="E3524" s="17">
        <f>IF(B3524="","",IFERROR(INDEX(Clay_Brands!$A$2:$FZ$601,73,Sync!$D$6)&amp;"",""))</f>
        <v/>
      </c>
      <c r="F3524" s="17">
        <f>IF(B3524="","","outreach_sent")</f>
        <v/>
      </c>
      <c r="G3524" s="17">
        <f>IF(B3524="","","")</f>
        <v/>
      </c>
      <c r="H3524" s="17">
        <f>IF(B3524="","","")</f>
        <v/>
      </c>
      <c r="I3524" s="17">
        <f>IF(B3524="","","")</f>
        <v/>
      </c>
      <c r="J3524" s="17">
        <f>IF(B3524="","","touch_1; "&amp;IFERROR(INDEX(Clay_Brands!$A$2:$FZ$601,73,Sync!$D$10)&amp;"","")&amp;"; "&amp;IFERROR(INDEX(Clay_Brands!$A$2:$FZ$601,73,Sync!$D$9)&amp;"",""))</f>
        <v/>
      </c>
      <c r="K3524" t="inlineStr">
        <is>
          <t>brand outreach touch 1</t>
        </is>
      </c>
    </row>
    <row r="3525">
      <c r="A3525" s="17">
        <f>IF(B3525="","",B3525+(15*1000+74)/10000000)</f>
        <v/>
      </c>
      <c r="B3525" s="23">
        <f>IF(AND(IFERROR(N(INDEX(Clay_Brands!$A$2:$FZ$601,74,Sync!$D$11)),0)&gt;0,IFERROR(INDEX(Clay_Brands!$A$2:$FZ$601,74,Sync!$D$5)&amp;"","")&lt;&gt;"",OR(LEFT(IFERROR(INDEX(Clay_Brands!$A$2:$FZ$601,74,Sync!$D$5)&amp;"",""),6)&lt;&gt;"SAMPLE",Config!$B$19="Y")),IFERROR(N(INDEX(Clay_Brands!$A$2:$FZ$601,74,Sync!$D$11)),0),"")</f>
        <v/>
      </c>
      <c r="C3525" s="17">
        <f>IF(B3525="","","brand")</f>
        <v/>
      </c>
      <c r="D3525" s="17">
        <f>IF(B3525="","",IFERROR(INDEX(Clay_Brands!$A$2:$FZ$601,74,Sync!$D$5)&amp;"",""))</f>
        <v/>
      </c>
      <c r="E3525" s="17">
        <f>IF(B3525="","",IFERROR(INDEX(Clay_Brands!$A$2:$FZ$601,74,Sync!$D$6)&amp;"",""))</f>
        <v/>
      </c>
      <c r="F3525" s="17">
        <f>IF(B3525="","","outreach_sent")</f>
        <v/>
      </c>
      <c r="G3525" s="17">
        <f>IF(B3525="","","")</f>
        <v/>
      </c>
      <c r="H3525" s="17">
        <f>IF(B3525="","","")</f>
        <v/>
      </c>
      <c r="I3525" s="17">
        <f>IF(B3525="","","")</f>
        <v/>
      </c>
      <c r="J3525" s="17">
        <f>IF(B3525="","","touch_1; "&amp;IFERROR(INDEX(Clay_Brands!$A$2:$FZ$601,74,Sync!$D$10)&amp;"","")&amp;"; "&amp;IFERROR(INDEX(Clay_Brands!$A$2:$FZ$601,74,Sync!$D$9)&amp;"",""))</f>
        <v/>
      </c>
      <c r="K3525" t="inlineStr">
        <is>
          <t>brand outreach touch 1</t>
        </is>
      </c>
    </row>
    <row r="3526">
      <c r="A3526" s="17">
        <f>IF(B3526="","",B3526+(15*1000+75)/10000000)</f>
        <v/>
      </c>
      <c r="B3526" s="23">
        <f>IF(AND(IFERROR(N(INDEX(Clay_Brands!$A$2:$FZ$601,75,Sync!$D$11)),0)&gt;0,IFERROR(INDEX(Clay_Brands!$A$2:$FZ$601,75,Sync!$D$5)&amp;"","")&lt;&gt;"",OR(LEFT(IFERROR(INDEX(Clay_Brands!$A$2:$FZ$601,75,Sync!$D$5)&amp;"",""),6)&lt;&gt;"SAMPLE",Config!$B$19="Y")),IFERROR(N(INDEX(Clay_Brands!$A$2:$FZ$601,75,Sync!$D$11)),0),"")</f>
        <v/>
      </c>
      <c r="C3526" s="17">
        <f>IF(B3526="","","brand")</f>
        <v/>
      </c>
      <c r="D3526" s="17">
        <f>IF(B3526="","",IFERROR(INDEX(Clay_Brands!$A$2:$FZ$601,75,Sync!$D$5)&amp;"",""))</f>
        <v/>
      </c>
      <c r="E3526" s="17">
        <f>IF(B3526="","",IFERROR(INDEX(Clay_Brands!$A$2:$FZ$601,75,Sync!$D$6)&amp;"",""))</f>
        <v/>
      </c>
      <c r="F3526" s="17">
        <f>IF(B3526="","","outreach_sent")</f>
        <v/>
      </c>
      <c r="G3526" s="17">
        <f>IF(B3526="","","")</f>
        <v/>
      </c>
      <c r="H3526" s="17">
        <f>IF(B3526="","","")</f>
        <v/>
      </c>
      <c r="I3526" s="17">
        <f>IF(B3526="","","")</f>
        <v/>
      </c>
      <c r="J3526" s="17">
        <f>IF(B3526="","","touch_1; "&amp;IFERROR(INDEX(Clay_Brands!$A$2:$FZ$601,75,Sync!$D$10)&amp;"","")&amp;"; "&amp;IFERROR(INDEX(Clay_Brands!$A$2:$FZ$601,75,Sync!$D$9)&amp;"",""))</f>
        <v/>
      </c>
      <c r="K3526" t="inlineStr">
        <is>
          <t>brand outreach touch 1</t>
        </is>
      </c>
    </row>
    <row r="3527">
      <c r="A3527" s="17">
        <f>IF(B3527="","",B3527+(15*1000+76)/10000000)</f>
        <v/>
      </c>
      <c r="B3527" s="23">
        <f>IF(AND(IFERROR(N(INDEX(Clay_Brands!$A$2:$FZ$601,76,Sync!$D$11)),0)&gt;0,IFERROR(INDEX(Clay_Brands!$A$2:$FZ$601,76,Sync!$D$5)&amp;"","")&lt;&gt;"",OR(LEFT(IFERROR(INDEX(Clay_Brands!$A$2:$FZ$601,76,Sync!$D$5)&amp;"",""),6)&lt;&gt;"SAMPLE",Config!$B$19="Y")),IFERROR(N(INDEX(Clay_Brands!$A$2:$FZ$601,76,Sync!$D$11)),0),"")</f>
        <v/>
      </c>
      <c r="C3527" s="17">
        <f>IF(B3527="","","brand")</f>
        <v/>
      </c>
      <c r="D3527" s="17">
        <f>IF(B3527="","",IFERROR(INDEX(Clay_Brands!$A$2:$FZ$601,76,Sync!$D$5)&amp;"",""))</f>
        <v/>
      </c>
      <c r="E3527" s="17">
        <f>IF(B3527="","",IFERROR(INDEX(Clay_Brands!$A$2:$FZ$601,76,Sync!$D$6)&amp;"",""))</f>
        <v/>
      </c>
      <c r="F3527" s="17">
        <f>IF(B3527="","","outreach_sent")</f>
        <v/>
      </c>
      <c r="G3527" s="17">
        <f>IF(B3527="","","")</f>
        <v/>
      </c>
      <c r="H3527" s="17">
        <f>IF(B3527="","","")</f>
        <v/>
      </c>
      <c r="I3527" s="17">
        <f>IF(B3527="","","")</f>
        <v/>
      </c>
      <c r="J3527" s="17">
        <f>IF(B3527="","","touch_1; "&amp;IFERROR(INDEX(Clay_Brands!$A$2:$FZ$601,76,Sync!$D$10)&amp;"","")&amp;"; "&amp;IFERROR(INDEX(Clay_Brands!$A$2:$FZ$601,76,Sync!$D$9)&amp;"",""))</f>
        <v/>
      </c>
      <c r="K3527" t="inlineStr">
        <is>
          <t>brand outreach touch 1</t>
        </is>
      </c>
    </row>
    <row r="3528">
      <c r="A3528" s="17">
        <f>IF(B3528="","",B3528+(15*1000+77)/10000000)</f>
        <v/>
      </c>
      <c r="B3528" s="23">
        <f>IF(AND(IFERROR(N(INDEX(Clay_Brands!$A$2:$FZ$601,77,Sync!$D$11)),0)&gt;0,IFERROR(INDEX(Clay_Brands!$A$2:$FZ$601,77,Sync!$D$5)&amp;"","")&lt;&gt;"",OR(LEFT(IFERROR(INDEX(Clay_Brands!$A$2:$FZ$601,77,Sync!$D$5)&amp;"",""),6)&lt;&gt;"SAMPLE",Config!$B$19="Y")),IFERROR(N(INDEX(Clay_Brands!$A$2:$FZ$601,77,Sync!$D$11)),0),"")</f>
        <v/>
      </c>
      <c r="C3528" s="17">
        <f>IF(B3528="","","brand")</f>
        <v/>
      </c>
      <c r="D3528" s="17">
        <f>IF(B3528="","",IFERROR(INDEX(Clay_Brands!$A$2:$FZ$601,77,Sync!$D$5)&amp;"",""))</f>
        <v/>
      </c>
      <c r="E3528" s="17">
        <f>IF(B3528="","",IFERROR(INDEX(Clay_Brands!$A$2:$FZ$601,77,Sync!$D$6)&amp;"",""))</f>
        <v/>
      </c>
      <c r="F3528" s="17">
        <f>IF(B3528="","","outreach_sent")</f>
        <v/>
      </c>
      <c r="G3528" s="17">
        <f>IF(B3528="","","")</f>
        <v/>
      </c>
      <c r="H3528" s="17">
        <f>IF(B3528="","","")</f>
        <v/>
      </c>
      <c r="I3528" s="17">
        <f>IF(B3528="","","")</f>
        <v/>
      </c>
      <c r="J3528" s="17">
        <f>IF(B3528="","","touch_1; "&amp;IFERROR(INDEX(Clay_Brands!$A$2:$FZ$601,77,Sync!$D$10)&amp;"","")&amp;"; "&amp;IFERROR(INDEX(Clay_Brands!$A$2:$FZ$601,77,Sync!$D$9)&amp;"",""))</f>
        <v/>
      </c>
      <c r="K3528" t="inlineStr">
        <is>
          <t>brand outreach touch 1</t>
        </is>
      </c>
    </row>
    <row r="3529">
      <c r="A3529" s="17">
        <f>IF(B3529="","",B3529+(15*1000+78)/10000000)</f>
        <v/>
      </c>
      <c r="B3529" s="23">
        <f>IF(AND(IFERROR(N(INDEX(Clay_Brands!$A$2:$FZ$601,78,Sync!$D$11)),0)&gt;0,IFERROR(INDEX(Clay_Brands!$A$2:$FZ$601,78,Sync!$D$5)&amp;"","")&lt;&gt;"",OR(LEFT(IFERROR(INDEX(Clay_Brands!$A$2:$FZ$601,78,Sync!$D$5)&amp;"",""),6)&lt;&gt;"SAMPLE",Config!$B$19="Y")),IFERROR(N(INDEX(Clay_Brands!$A$2:$FZ$601,78,Sync!$D$11)),0),"")</f>
        <v/>
      </c>
      <c r="C3529" s="17">
        <f>IF(B3529="","","brand")</f>
        <v/>
      </c>
      <c r="D3529" s="17">
        <f>IF(B3529="","",IFERROR(INDEX(Clay_Brands!$A$2:$FZ$601,78,Sync!$D$5)&amp;"",""))</f>
        <v/>
      </c>
      <c r="E3529" s="17">
        <f>IF(B3529="","",IFERROR(INDEX(Clay_Brands!$A$2:$FZ$601,78,Sync!$D$6)&amp;"",""))</f>
        <v/>
      </c>
      <c r="F3529" s="17">
        <f>IF(B3529="","","outreach_sent")</f>
        <v/>
      </c>
      <c r="G3529" s="17">
        <f>IF(B3529="","","")</f>
        <v/>
      </c>
      <c r="H3529" s="17">
        <f>IF(B3529="","","")</f>
        <v/>
      </c>
      <c r="I3529" s="17">
        <f>IF(B3529="","","")</f>
        <v/>
      </c>
      <c r="J3529" s="17">
        <f>IF(B3529="","","touch_1; "&amp;IFERROR(INDEX(Clay_Brands!$A$2:$FZ$601,78,Sync!$D$10)&amp;"","")&amp;"; "&amp;IFERROR(INDEX(Clay_Brands!$A$2:$FZ$601,78,Sync!$D$9)&amp;"",""))</f>
        <v/>
      </c>
      <c r="K3529" t="inlineStr">
        <is>
          <t>brand outreach touch 1</t>
        </is>
      </c>
    </row>
    <row r="3530">
      <c r="A3530" s="17">
        <f>IF(B3530="","",B3530+(15*1000+79)/10000000)</f>
        <v/>
      </c>
      <c r="B3530" s="23">
        <f>IF(AND(IFERROR(N(INDEX(Clay_Brands!$A$2:$FZ$601,79,Sync!$D$11)),0)&gt;0,IFERROR(INDEX(Clay_Brands!$A$2:$FZ$601,79,Sync!$D$5)&amp;"","")&lt;&gt;"",OR(LEFT(IFERROR(INDEX(Clay_Brands!$A$2:$FZ$601,79,Sync!$D$5)&amp;"",""),6)&lt;&gt;"SAMPLE",Config!$B$19="Y")),IFERROR(N(INDEX(Clay_Brands!$A$2:$FZ$601,79,Sync!$D$11)),0),"")</f>
        <v/>
      </c>
      <c r="C3530" s="17">
        <f>IF(B3530="","","brand")</f>
        <v/>
      </c>
      <c r="D3530" s="17">
        <f>IF(B3530="","",IFERROR(INDEX(Clay_Brands!$A$2:$FZ$601,79,Sync!$D$5)&amp;"",""))</f>
        <v/>
      </c>
      <c r="E3530" s="17">
        <f>IF(B3530="","",IFERROR(INDEX(Clay_Brands!$A$2:$FZ$601,79,Sync!$D$6)&amp;"",""))</f>
        <v/>
      </c>
      <c r="F3530" s="17">
        <f>IF(B3530="","","outreach_sent")</f>
        <v/>
      </c>
      <c r="G3530" s="17">
        <f>IF(B3530="","","")</f>
        <v/>
      </c>
      <c r="H3530" s="17">
        <f>IF(B3530="","","")</f>
        <v/>
      </c>
      <c r="I3530" s="17">
        <f>IF(B3530="","","")</f>
        <v/>
      </c>
      <c r="J3530" s="17">
        <f>IF(B3530="","","touch_1; "&amp;IFERROR(INDEX(Clay_Brands!$A$2:$FZ$601,79,Sync!$D$10)&amp;"","")&amp;"; "&amp;IFERROR(INDEX(Clay_Brands!$A$2:$FZ$601,79,Sync!$D$9)&amp;"",""))</f>
        <v/>
      </c>
      <c r="K3530" t="inlineStr">
        <is>
          <t>brand outreach touch 1</t>
        </is>
      </c>
    </row>
    <row r="3531">
      <c r="A3531" s="17">
        <f>IF(B3531="","",B3531+(15*1000+80)/10000000)</f>
        <v/>
      </c>
      <c r="B3531" s="23">
        <f>IF(AND(IFERROR(N(INDEX(Clay_Brands!$A$2:$FZ$601,80,Sync!$D$11)),0)&gt;0,IFERROR(INDEX(Clay_Brands!$A$2:$FZ$601,80,Sync!$D$5)&amp;"","")&lt;&gt;"",OR(LEFT(IFERROR(INDEX(Clay_Brands!$A$2:$FZ$601,80,Sync!$D$5)&amp;"",""),6)&lt;&gt;"SAMPLE",Config!$B$19="Y")),IFERROR(N(INDEX(Clay_Brands!$A$2:$FZ$601,80,Sync!$D$11)),0),"")</f>
        <v/>
      </c>
      <c r="C3531" s="17">
        <f>IF(B3531="","","brand")</f>
        <v/>
      </c>
      <c r="D3531" s="17">
        <f>IF(B3531="","",IFERROR(INDEX(Clay_Brands!$A$2:$FZ$601,80,Sync!$D$5)&amp;"",""))</f>
        <v/>
      </c>
      <c r="E3531" s="17">
        <f>IF(B3531="","",IFERROR(INDEX(Clay_Brands!$A$2:$FZ$601,80,Sync!$D$6)&amp;"",""))</f>
        <v/>
      </c>
      <c r="F3531" s="17">
        <f>IF(B3531="","","outreach_sent")</f>
        <v/>
      </c>
      <c r="G3531" s="17">
        <f>IF(B3531="","","")</f>
        <v/>
      </c>
      <c r="H3531" s="17">
        <f>IF(B3531="","","")</f>
        <v/>
      </c>
      <c r="I3531" s="17">
        <f>IF(B3531="","","")</f>
        <v/>
      </c>
      <c r="J3531" s="17">
        <f>IF(B3531="","","touch_1; "&amp;IFERROR(INDEX(Clay_Brands!$A$2:$FZ$601,80,Sync!$D$10)&amp;"","")&amp;"; "&amp;IFERROR(INDEX(Clay_Brands!$A$2:$FZ$601,80,Sync!$D$9)&amp;"",""))</f>
        <v/>
      </c>
      <c r="K3531" t="inlineStr">
        <is>
          <t>brand outreach touch 1</t>
        </is>
      </c>
    </row>
    <row r="3532">
      <c r="A3532" s="17">
        <f>IF(B3532="","",B3532+(15*1000+81)/10000000)</f>
        <v/>
      </c>
      <c r="B3532" s="23">
        <f>IF(AND(IFERROR(N(INDEX(Clay_Brands!$A$2:$FZ$601,81,Sync!$D$11)),0)&gt;0,IFERROR(INDEX(Clay_Brands!$A$2:$FZ$601,81,Sync!$D$5)&amp;"","")&lt;&gt;"",OR(LEFT(IFERROR(INDEX(Clay_Brands!$A$2:$FZ$601,81,Sync!$D$5)&amp;"",""),6)&lt;&gt;"SAMPLE",Config!$B$19="Y")),IFERROR(N(INDEX(Clay_Brands!$A$2:$FZ$601,81,Sync!$D$11)),0),"")</f>
        <v/>
      </c>
      <c r="C3532" s="17">
        <f>IF(B3532="","","brand")</f>
        <v/>
      </c>
      <c r="D3532" s="17">
        <f>IF(B3532="","",IFERROR(INDEX(Clay_Brands!$A$2:$FZ$601,81,Sync!$D$5)&amp;"",""))</f>
        <v/>
      </c>
      <c r="E3532" s="17">
        <f>IF(B3532="","",IFERROR(INDEX(Clay_Brands!$A$2:$FZ$601,81,Sync!$D$6)&amp;"",""))</f>
        <v/>
      </c>
      <c r="F3532" s="17">
        <f>IF(B3532="","","outreach_sent")</f>
        <v/>
      </c>
      <c r="G3532" s="17">
        <f>IF(B3532="","","")</f>
        <v/>
      </c>
      <c r="H3532" s="17">
        <f>IF(B3532="","","")</f>
        <v/>
      </c>
      <c r="I3532" s="17">
        <f>IF(B3532="","","")</f>
        <v/>
      </c>
      <c r="J3532" s="17">
        <f>IF(B3532="","","touch_1; "&amp;IFERROR(INDEX(Clay_Brands!$A$2:$FZ$601,81,Sync!$D$10)&amp;"","")&amp;"; "&amp;IFERROR(INDEX(Clay_Brands!$A$2:$FZ$601,81,Sync!$D$9)&amp;"",""))</f>
        <v/>
      </c>
      <c r="K3532" t="inlineStr">
        <is>
          <t>brand outreach touch 1</t>
        </is>
      </c>
    </row>
    <row r="3533">
      <c r="A3533" s="17">
        <f>IF(B3533="","",B3533+(15*1000+82)/10000000)</f>
        <v/>
      </c>
      <c r="B3533" s="23">
        <f>IF(AND(IFERROR(N(INDEX(Clay_Brands!$A$2:$FZ$601,82,Sync!$D$11)),0)&gt;0,IFERROR(INDEX(Clay_Brands!$A$2:$FZ$601,82,Sync!$D$5)&amp;"","")&lt;&gt;"",OR(LEFT(IFERROR(INDEX(Clay_Brands!$A$2:$FZ$601,82,Sync!$D$5)&amp;"",""),6)&lt;&gt;"SAMPLE",Config!$B$19="Y")),IFERROR(N(INDEX(Clay_Brands!$A$2:$FZ$601,82,Sync!$D$11)),0),"")</f>
        <v/>
      </c>
      <c r="C3533" s="17">
        <f>IF(B3533="","","brand")</f>
        <v/>
      </c>
      <c r="D3533" s="17">
        <f>IF(B3533="","",IFERROR(INDEX(Clay_Brands!$A$2:$FZ$601,82,Sync!$D$5)&amp;"",""))</f>
        <v/>
      </c>
      <c r="E3533" s="17">
        <f>IF(B3533="","",IFERROR(INDEX(Clay_Brands!$A$2:$FZ$601,82,Sync!$D$6)&amp;"",""))</f>
        <v/>
      </c>
      <c r="F3533" s="17">
        <f>IF(B3533="","","outreach_sent")</f>
        <v/>
      </c>
      <c r="G3533" s="17">
        <f>IF(B3533="","","")</f>
        <v/>
      </c>
      <c r="H3533" s="17">
        <f>IF(B3533="","","")</f>
        <v/>
      </c>
      <c r="I3533" s="17">
        <f>IF(B3533="","","")</f>
        <v/>
      </c>
      <c r="J3533" s="17">
        <f>IF(B3533="","","touch_1; "&amp;IFERROR(INDEX(Clay_Brands!$A$2:$FZ$601,82,Sync!$D$10)&amp;"","")&amp;"; "&amp;IFERROR(INDEX(Clay_Brands!$A$2:$FZ$601,82,Sync!$D$9)&amp;"",""))</f>
        <v/>
      </c>
      <c r="K3533" t="inlineStr">
        <is>
          <t>brand outreach touch 1</t>
        </is>
      </c>
    </row>
    <row r="3534">
      <c r="A3534" s="17">
        <f>IF(B3534="","",B3534+(15*1000+83)/10000000)</f>
        <v/>
      </c>
      <c r="B3534" s="23">
        <f>IF(AND(IFERROR(N(INDEX(Clay_Brands!$A$2:$FZ$601,83,Sync!$D$11)),0)&gt;0,IFERROR(INDEX(Clay_Brands!$A$2:$FZ$601,83,Sync!$D$5)&amp;"","")&lt;&gt;"",OR(LEFT(IFERROR(INDEX(Clay_Brands!$A$2:$FZ$601,83,Sync!$D$5)&amp;"",""),6)&lt;&gt;"SAMPLE",Config!$B$19="Y")),IFERROR(N(INDEX(Clay_Brands!$A$2:$FZ$601,83,Sync!$D$11)),0),"")</f>
        <v/>
      </c>
      <c r="C3534" s="17">
        <f>IF(B3534="","","brand")</f>
        <v/>
      </c>
      <c r="D3534" s="17">
        <f>IF(B3534="","",IFERROR(INDEX(Clay_Brands!$A$2:$FZ$601,83,Sync!$D$5)&amp;"",""))</f>
        <v/>
      </c>
      <c r="E3534" s="17">
        <f>IF(B3534="","",IFERROR(INDEX(Clay_Brands!$A$2:$FZ$601,83,Sync!$D$6)&amp;"",""))</f>
        <v/>
      </c>
      <c r="F3534" s="17">
        <f>IF(B3534="","","outreach_sent")</f>
        <v/>
      </c>
      <c r="G3534" s="17">
        <f>IF(B3534="","","")</f>
        <v/>
      </c>
      <c r="H3534" s="17">
        <f>IF(B3534="","","")</f>
        <v/>
      </c>
      <c r="I3534" s="17">
        <f>IF(B3534="","","")</f>
        <v/>
      </c>
      <c r="J3534" s="17">
        <f>IF(B3534="","","touch_1; "&amp;IFERROR(INDEX(Clay_Brands!$A$2:$FZ$601,83,Sync!$D$10)&amp;"","")&amp;"; "&amp;IFERROR(INDEX(Clay_Brands!$A$2:$FZ$601,83,Sync!$D$9)&amp;"",""))</f>
        <v/>
      </c>
      <c r="K3534" t="inlineStr">
        <is>
          <t>brand outreach touch 1</t>
        </is>
      </c>
    </row>
    <row r="3535">
      <c r="A3535" s="17">
        <f>IF(B3535="","",B3535+(15*1000+84)/10000000)</f>
        <v/>
      </c>
      <c r="B3535" s="23">
        <f>IF(AND(IFERROR(N(INDEX(Clay_Brands!$A$2:$FZ$601,84,Sync!$D$11)),0)&gt;0,IFERROR(INDEX(Clay_Brands!$A$2:$FZ$601,84,Sync!$D$5)&amp;"","")&lt;&gt;"",OR(LEFT(IFERROR(INDEX(Clay_Brands!$A$2:$FZ$601,84,Sync!$D$5)&amp;"",""),6)&lt;&gt;"SAMPLE",Config!$B$19="Y")),IFERROR(N(INDEX(Clay_Brands!$A$2:$FZ$601,84,Sync!$D$11)),0),"")</f>
        <v/>
      </c>
      <c r="C3535" s="17">
        <f>IF(B3535="","","brand")</f>
        <v/>
      </c>
      <c r="D3535" s="17">
        <f>IF(B3535="","",IFERROR(INDEX(Clay_Brands!$A$2:$FZ$601,84,Sync!$D$5)&amp;"",""))</f>
        <v/>
      </c>
      <c r="E3535" s="17">
        <f>IF(B3535="","",IFERROR(INDEX(Clay_Brands!$A$2:$FZ$601,84,Sync!$D$6)&amp;"",""))</f>
        <v/>
      </c>
      <c r="F3535" s="17">
        <f>IF(B3535="","","outreach_sent")</f>
        <v/>
      </c>
      <c r="G3535" s="17">
        <f>IF(B3535="","","")</f>
        <v/>
      </c>
      <c r="H3535" s="17">
        <f>IF(B3535="","","")</f>
        <v/>
      </c>
      <c r="I3535" s="17">
        <f>IF(B3535="","","")</f>
        <v/>
      </c>
      <c r="J3535" s="17">
        <f>IF(B3535="","","touch_1; "&amp;IFERROR(INDEX(Clay_Brands!$A$2:$FZ$601,84,Sync!$D$10)&amp;"","")&amp;"; "&amp;IFERROR(INDEX(Clay_Brands!$A$2:$FZ$601,84,Sync!$D$9)&amp;"",""))</f>
        <v/>
      </c>
      <c r="K3535" t="inlineStr">
        <is>
          <t>brand outreach touch 1</t>
        </is>
      </c>
    </row>
    <row r="3536">
      <c r="A3536" s="17">
        <f>IF(B3536="","",B3536+(15*1000+85)/10000000)</f>
        <v/>
      </c>
      <c r="B3536" s="23">
        <f>IF(AND(IFERROR(N(INDEX(Clay_Brands!$A$2:$FZ$601,85,Sync!$D$11)),0)&gt;0,IFERROR(INDEX(Clay_Brands!$A$2:$FZ$601,85,Sync!$D$5)&amp;"","")&lt;&gt;"",OR(LEFT(IFERROR(INDEX(Clay_Brands!$A$2:$FZ$601,85,Sync!$D$5)&amp;"",""),6)&lt;&gt;"SAMPLE",Config!$B$19="Y")),IFERROR(N(INDEX(Clay_Brands!$A$2:$FZ$601,85,Sync!$D$11)),0),"")</f>
        <v/>
      </c>
      <c r="C3536" s="17">
        <f>IF(B3536="","","brand")</f>
        <v/>
      </c>
      <c r="D3536" s="17">
        <f>IF(B3536="","",IFERROR(INDEX(Clay_Brands!$A$2:$FZ$601,85,Sync!$D$5)&amp;"",""))</f>
        <v/>
      </c>
      <c r="E3536" s="17">
        <f>IF(B3536="","",IFERROR(INDEX(Clay_Brands!$A$2:$FZ$601,85,Sync!$D$6)&amp;"",""))</f>
        <v/>
      </c>
      <c r="F3536" s="17">
        <f>IF(B3536="","","outreach_sent")</f>
        <v/>
      </c>
      <c r="G3536" s="17">
        <f>IF(B3536="","","")</f>
        <v/>
      </c>
      <c r="H3536" s="17">
        <f>IF(B3536="","","")</f>
        <v/>
      </c>
      <c r="I3536" s="17">
        <f>IF(B3536="","","")</f>
        <v/>
      </c>
      <c r="J3536" s="17">
        <f>IF(B3536="","","touch_1; "&amp;IFERROR(INDEX(Clay_Brands!$A$2:$FZ$601,85,Sync!$D$10)&amp;"","")&amp;"; "&amp;IFERROR(INDEX(Clay_Brands!$A$2:$FZ$601,85,Sync!$D$9)&amp;"",""))</f>
        <v/>
      </c>
      <c r="K3536" t="inlineStr">
        <is>
          <t>brand outreach touch 1</t>
        </is>
      </c>
    </row>
    <row r="3537">
      <c r="A3537" s="17">
        <f>IF(B3537="","",B3537+(15*1000+86)/10000000)</f>
        <v/>
      </c>
      <c r="B3537" s="23">
        <f>IF(AND(IFERROR(N(INDEX(Clay_Brands!$A$2:$FZ$601,86,Sync!$D$11)),0)&gt;0,IFERROR(INDEX(Clay_Brands!$A$2:$FZ$601,86,Sync!$D$5)&amp;"","")&lt;&gt;"",OR(LEFT(IFERROR(INDEX(Clay_Brands!$A$2:$FZ$601,86,Sync!$D$5)&amp;"",""),6)&lt;&gt;"SAMPLE",Config!$B$19="Y")),IFERROR(N(INDEX(Clay_Brands!$A$2:$FZ$601,86,Sync!$D$11)),0),"")</f>
        <v/>
      </c>
      <c r="C3537" s="17">
        <f>IF(B3537="","","brand")</f>
        <v/>
      </c>
      <c r="D3537" s="17">
        <f>IF(B3537="","",IFERROR(INDEX(Clay_Brands!$A$2:$FZ$601,86,Sync!$D$5)&amp;"",""))</f>
        <v/>
      </c>
      <c r="E3537" s="17">
        <f>IF(B3537="","",IFERROR(INDEX(Clay_Brands!$A$2:$FZ$601,86,Sync!$D$6)&amp;"",""))</f>
        <v/>
      </c>
      <c r="F3537" s="17">
        <f>IF(B3537="","","outreach_sent")</f>
        <v/>
      </c>
      <c r="G3537" s="17">
        <f>IF(B3537="","","")</f>
        <v/>
      </c>
      <c r="H3537" s="17">
        <f>IF(B3537="","","")</f>
        <v/>
      </c>
      <c r="I3537" s="17">
        <f>IF(B3537="","","")</f>
        <v/>
      </c>
      <c r="J3537" s="17">
        <f>IF(B3537="","","touch_1; "&amp;IFERROR(INDEX(Clay_Brands!$A$2:$FZ$601,86,Sync!$D$10)&amp;"","")&amp;"; "&amp;IFERROR(INDEX(Clay_Brands!$A$2:$FZ$601,86,Sync!$D$9)&amp;"",""))</f>
        <v/>
      </c>
      <c r="K3537" t="inlineStr">
        <is>
          <t>brand outreach touch 1</t>
        </is>
      </c>
    </row>
    <row r="3538">
      <c r="A3538" s="17">
        <f>IF(B3538="","",B3538+(15*1000+87)/10000000)</f>
        <v/>
      </c>
      <c r="B3538" s="23">
        <f>IF(AND(IFERROR(N(INDEX(Clay_Brands!$A$2:$FZ$601,87,Sync!$D$11)),0)&gt;0,IFERROR(INDEX(Clay_Brands!$A$2:$FZ$601,87,Sync!$D$5)&amp;"","")&lt;&gt;"",OR(LEFT(IFERROR(INDEX(Clay_Brands!$A$2:$FZ$601,87,Sync!$D$5)&amp;"",""),6)&lt;&gt;"SAMPLE",Config!$B$19="Y")),IFERROR(N(INDEX(Clay_Brands!$A$2:$FZ$601,87,Sync!$D$11)),0),"")</f>
        <v/>
      </c>
      <c r="C3538" s="17">
        <f>IF(B3538="","","brand")</f>
        <v/>
      </c>
      <c r="D3538" s="17">
        <f>IF(B3538="","",IFERROR(INDEX(Clay_Brands!$A$2:$FZ$601,87,Sync!$D$5)&amp;"",""))</f>
        <v/>
      </c>
      <c r="E3538" s="17">
        <f>IF(B3538="","",IFERROR(INDEX(Clay_Brands!$A$2:$FZ$601,87,Sync!$D$6)&amp;"",""))</f>
        <v/>
      </c>
      <c r="F3538" s="17">
        <f>IF(B3538="","","outreach_sent")</f>
        <v/>
      </c>
      <c r="G3538" s="17">
        <f>IF(B3538="","","")</f>
        <v/>
      </c>
      <c r="H3538" s="17">
        <f>IF(B3538="","","")</f>
        <v/>
      </c>
      <c r="I3538" s="17">
        <f>IF(B3538="","","")</f>
        <v/>
      </c>
      <c r="J3538" s="17">
        <f>IF(B3538="","","touch_1; "&amp;IFERROR(INDEX(Clay_Brands!$A$2:$FZ$601,87,Sync!$D$10)&amp;"","")&amp;"; "&amp;IFERROR(INDEX(Clay_Brands!$A$2:$FZ$601,87,Sync!$D$9)&amp;"",""))</f>
        <v/>
      </c>
      <c r="K3538" t="inlineStr">
        <is>
          <t>brand outreach touch 1</t>
        </is>
      </c>
    </row>
    <row r="3539">
      <c r="A3539" s="17">
        <f>IF(B3539="","",B3539+(15*1000+88)/10000000)</f>
        <v/>
      </c>
      <c r="B3539" s="23">
        <f>IF(AND(IFERROR(N(INDEX(Clay_Brands!$A$2:$FZ$601,88,Sync!$D$11)),0)&gt;0,IFERROR(INDEX(Clay_Brands!$A$2:$FZ$601,88,Sync!$D$5)&amp;"","")&lt;&gt;"",OR(LEFT(IFERROR(INDEX(Clay_Brands!$A$2:$FZ$601,88,Sync!$D$5)&amp;"",""),6)&lt;&gt;"SAMPLE",Config!$B$19="Y")),IFERROR(N(INDEX(Clay_Brands!$A$2:$FZ$601,88,Sync!$D$11)),0),"")</f>
        <v/>
      </c>
      <c r="C3539" s="17">
        <f>IF(B3539="","","brand")</f>
        <v/>
      </c>
      <c r="D3539" s="17">
        <f>IF(B3539="","",IFERROR(INDEX(Clay_Brands!$A$2:$FZ$601,88,Sync!$D$5)&amp;"",""))</f>
        <v/>
      </c>
      <c r="E3539" s="17">
        <f>IF(B3539="","",IFERROR(INDEX(Clay_Brands!$A$2:$FZ$601,88,Sync!$D$6)&amp;"",""))</f>
        <v/>
      </c>
      <c r="F3539" s="17">
        <f>IF(B3539="","","outreach_sent")</f>
        <v/>
      </c>
      <c r="G3539" s="17">
        <f>IF(B3539="","","")</f>
        <v/>
      </c>
      <c r="H3539" s="17">
        <f>IF(B3539="","","")</f>
        <v/>
      </c>
      <c r="I3539" s="17">
        <f>IF(B3539="","","")</f>
        <v/>
      </c>
      <c r="J3539" s="17">
        <f>IF(B3539="","","touch_1; "&amp;IFERROR(INDEX(Clay_Brands!$A$2:$FZ$601,88,Sync!$D$10)&amp;"","")&amp;"; "&amp;IFERROR(INDEX(Clay_Brands!$A$2:$FZ$601,88,Sync!$D$9)&amp;"",""))</f>
        <v/>
      </c>
      <c r="K3539" t="inlineStr">
        <is>
          <t>brand outreach touch 1</t>
        </is>
      </c>
    </row>
    <row r="3540">
      <c r="A3540" s="17">
        <f>IF(B3540="","",B3540+(15*1000+89)/10000000)</f>
        <v/>
      </c>
      <c r="B3540" s="23">
        <f>IF(AND(IFERROR(N(INDEX(Clay_Brands!$A$2:$FZ$601,89,Sync!$D$11)),0)&gt;0,IFERROR(INDEX(Clay_Brands!$A$2:$FZ$601,89,Sync!$D$5)&amp;"","")&lt;&gt;"",OR(LEFT(IFERROR(INDEX(Clay_Brands!$A$2:$FZ$601,89,Sync!$D$5)&amp;"",""),6)&lt;&gt;"SAMPLE",Config!$B$19="Y")),IFERROR(N(INDEX(Clay_Brands!$A$2:$FZ$601,89,Sync!$D$11)),0),"")</f>
        <v/>
      </c>
      <c r="C3540" s="17">
        <f>IF(B3540="","","brand")</f>
        <v/>
      </c>
      <c r="D3540" s="17">
        <f>IF(B3540="","",IFERROR(INDEX(Clay_Brands!$A$2:$FZ$601,89,Sync!$D$5)&amp;"",""))</f>
        <v/>
      </c>
      <c r="E3540" s="17">
        <f>IF(B3540="","",IFERROR(INDEX(Clay_Brands!$A$2:$FZ$601,89,Sync!$D$6)&amp;"",""))</f>
        <v/>
      </c>
      <c r="F3540" s="17">
        <f>IF(B3540="","","outreach_sent")</f>
        <v/>
      </c>
      <c r="G3540" s="17">
        <f>IF(B3540="","","")</f>
        <v/>
      </c>
      <c r="H3540" s="17">
        <f>IF(B3540="","","")</f>
        <v/>
      </c>
      <c r="I3540" s="17">
        <f>IF(B3540="","","")</f>
        <v/>
      </c>
      <c r="J3540" s="17">
        <f>IF(B3540="","","touch_1; "&amp;IFERROR(INDEX(Clay_Brands!$A$2:$FZ$601,89,Sync!$D$10)&amp;"","")&amp;"; "&amp;IFERROR(INDEX(Clay_Brands!$A$2:$FZ$601,89,Sync!$D$9)&amp;"",""))</f>
        <v/>
      </c>
      <c r="K3540" t="inlineStr">
        <is>
          <t>brand outreach touch 1</t>
        </is>
      </c>
    </row>
    <row r="3541">
      <c r="A3541" s="17">
        <f>IF(B3541="","",B3541+(15*1000+90)/10000000)</f>
        <v/>
      </c>
      <c r="B3541" s="23">
        <f>IF(AND(IFERROR(N(INDEX(Clay_Brands!$A$2:$FZ$601,90,Sync!$D$11)),0)&gt;0,IFERROR(INDEX(Clay_Brands!$A$2:$FZ$601,90,Sync!$D$5)&amp;"","")&lt;&gt;"",OR(LEFT(IFERROR(INDEX(Clay_Brands!$A$2:$FZ$601,90,Sync!$D$5)&amp;"",""),6)&lt;&gt;"SAMPLE",Config!$B$19="Y")),IFERROR(N(INDEX(Clay_Brands!$A$2:$FZ$601,90,Sync!$D$11)),0),"")</f>
        <v/>
      </c>
      <c r="C3541" s="17">
        <f>IF(B3541="","","brand")</f>
        <v/>
      </c>
      <c r="D3541" s="17">
        <f>IF(B3541="","",IFERROR(INDEX(Clay_Brands!$A$2:$FZ$601,90,Sync!$D$5)&amp;"",""))</f>
        <v/>
      </c>
      <c r="E3541" s="17">
        <f>IF(B3541="","",IFERROR(INDEX(Clay_Brands!$A$2:$FZ$601,90,Sync!$D$6)&amp;"",""))</f>
        <v/>
      </c>
      <c r="F3541" s="17">
        <f>IF(B3541="","","outreach_sent")</f>
        <v/>
      </c>
      <c r="G3541" s="17">
        <f>IF(B3541="","","")</f>
        <v/>
      </c>
      <c r="H3541" s="17">
        <f>IF(B3541="","","")</f>
        <v/>
      </c>
      <c r="I3541" s="17">
        <f>IF(B3541="","","")</f>
        <v/>
      </c>
      <c r="J3541" s="17">
        <f>IF(B3541="","","touch_1; "&amp;IFERROR(INDEX(Clay_Brands!$A$2:$FZ$601,90,Sync!$D$10)&amp;"","")&amp;"; "&amp;IFERROR(INDEX(Clay_Brands!$A$2:$FZ$601,90,Sync!$D$9)&amp;"",""))</f>
        <v/>
      </c>
      <c r="K3541" t="inlineStr">
        <is>
          <t>brand outreach touch 1</t>
        </is>
      </c>
    </row>
    <row r="3542">
      <c r="A3542" s="17">
        <f>IF(B3542="","",B3542+(15*1000+91)/10000000)</f>
        <v/>
      </c>
      <c r="B3542" s="23">
        <f>IF(AND(IFERROR(N(INDEX(Clay_Brands!$A$2:$FZ$601,91,Sync!$D$11)),0)&gt;0,IFERROR(INDEX(Clay_Brands!$A$2:$FZ$601,91,Sync!$D$5)&amp;"","")&lt;&gt;"",OR(LEFT(IFERROR(INDEX(Clay_Brands!$A$2:$FZ$601,91,Sync!$D$5)&amp;"",""),6)&lt;&gt;"SAMPLE",Config!$B$19="Y")),IFERROR(N(INDEX(Clay_Brands!$A$2:$FZ$601,91,Sync!$D$11)),0),"")</f>
        <v/>
      </c>
      <c r="C3542" s="17">
        <f>IF(B3542="","","brand")</f>
        <v/>
      </c>
      <c r="D3542" s="17">
        <f>IF(B3542="","",IFERROR(INDEX(Clay_Brands!$A$2:$FZ$601,91,Sync!$D$5)&amp;"",""))</f>
        <v/>
      </c>
      <c r="E3542" s="17">
        <f>IF(B3542="","",IFERROR(INDEX(Clay_Brands!$A$2:$FZ$601,91,Sync!$D$6)&amp;"",""))</f>
        <v/>
      </c>
      <c r="F3542" s="17">
        <f>IF(B3542="","","outreach_sent")</f>
        <v/>
      </c>
      <c r="G3542" s="17">
        <f>IF(B3542="","","")</f>
        <v/>
      </c>
      <c r="H3542" s="17">
        <f>IF(B3542="","","")</f>
        <v/>
      </c>
      <c r="I3542" s="17">
        <f>IF(B3542="","","")</f>
        <v/>
      </c>
      <c r="J3542" s="17">
        <f>IF(B3542="","","touch_1; "&amp;IFERROR(INDEX(Clay_Brands!$A$2:$FZ$601,91,Sync!$D$10)&amp;"","")&amp;"; "&amp;IFERROR(INDEX(Clay_Brands!$A$2:$FZ$601,91,Sync!$D$9)&amp;"",""))</f>
        <v/>
      </c>
      <c r="K3542" t="inlineStr">
        <is>
          <t>brand outreach touch 1</t>
        </is>
      </c>
    </row>
    <row r="3543">
      <c r="A3543" s="17">
        <f>IF(B3543="","",B3543+(15*1000+92)/10000000)</f>
        <v/>
      </c>
      <c r="B3543" s="23">
        <f>IF(AND(IFERROR(N(INDEX(Clay_Brands!$A$2:$FZ$601,92,Sync!$D$11)),0)&gt;0,IFERROR(INDEX(Clay_Brands!$A$2:$FZ$601,92,Sync!$D$5)&amp;"","")&lt;&gt;"",OR(LEFT(IFERROR(INDEX(Clay_Brands!$A$2:$FZ$601,92,Sync!$D$5)&amp;"",""),6)&lt;&gt;"SAMPLE",Config!$B$19="Y")),IFERROR(N(INDEX(Clay_Brands!$A$2:$FZ$601,92,Sync!$D$11)),0),"")</f>
        <v/>
      </c>
      <c r="C3543" s="17">
        <f>IF(B3543="","","brand")</f>
        <v/>
      </c>
      <c r="D3543" s="17">
        <f>IF(B3543="","",IFERROR(INDEX(Clay_Brands!$A$2:$FZ$601,92,Sync!$D$5)&amp;"",""))</f>
        <v/>
      </c>
      <c r="E3543" s="17">
        <f>IF(B3543="","",IFERROR(INDEX(Clay_Brands!$A$2:$FZ$601,92,Sync!$D$6)&amp;"",""))</f>
        <v/>
      </c>
      <c r="F3543" s="17">
        <f>IF(B3543="","","outreach_sent")</f>
        <v/>
      </c>
      <c r="G3543" s="17">
        <f>IF(B3543="","","")</f>
        <v/>
      </c>
      <c r="H3543" s="17">
        <f>IF(B3543="","","")</f>
        <v/>
      </c>
      <c r="I3543" s="17">
        <f>IF(B3543="","","")</f>
        <v/>
      </c>
      <c r="J3543" s="17">
        <f>IF(B3543="","","touch_1; "&amp;IFERROR(INDEX(Clay_Brands!$A$2:$FZ$601,92,Sync!$D$10)&amp;"","")&amp;"; "&amp;IFERROR(INDEX(Clay_Brands!$A$2:$FZ$601,92,Sync!$D$9)&amp;"",""))</f>
        <v/>
      </c>
      <c r="K3543" t="inlineStr">
        <is>
          <t>brand outreach touch 1</t>
        </is>
      </c>
    </row>
    <row r="3544">
      <c r="A3544" s="17">
        <f>IF(B3544="","",B3544+(15*1000+93)/10000000)</f>
        <v/>
      </c>
      <c r="B3544" s="23">
        <f>IF(AND(IFERROR(N(INDEX(Clay_Brands!$A$2:$FZ$601,93,Sync!$D$11)),0)&gt;0,IFERROR(INDEX(Clay_Brands!$A$2:$FZ$601,93,Sync!$D$5)&amp;"","")&lt;&gt;"",OR(LEFT(IFERROR(INDEX(Clay_Brands!$A$2:$FZ$601,93,Sync!$D$5)&amp;"",""),6)&lt;&gt;"SAMPLE",Config!$B$19="Y")),IFERROR(N(INDEX(Clay_Brands!$A$2:$FZ$601,93,Sync!$D$11)),0),"")</f>
        <v/>
      </c>
      <c r="C3544" s="17">
        <f>IF(B3544="","","brand")</f>
        <v/>
      </c>
      <c r="D3544" s="17">
        <f>IF(B3544="","",IFERROR(INDEX(Clay_Brands!$A$2:$FZ$601,93,Sync!$D$5)&amp;"",""))</f>
        <v/>
      </c>
      <c r="E3544" s="17">
        <f>IF(B3544="","",IFERROR(INDEX(Clay_Brands!$A$2:$FZ$601,93,Sync!$D$6)&amp;"",""))</f>
        <v/>
      </c>
      <c r="F3544" s="17">
        <f>IF(B3544="","","outreach_sent")</f>
        <v/>
      </c>
      <c r="G3544" s="17">
        <f>IF(B3544="","","")</f>
        <v/>
      </c>
      <c r="H3544" s="17">
        <f>IF(B3544="","","")</f>
        <v/>
      </c>
      <c r="I3544" s="17">
        <f>IF(B3544="","","")</f>
        <v/>
      </c>
      <c r="J3544" s="17">
        <f>IF(B3544="","","touch_1; "&amp;IFERROR(INDEX(Clay_Brands!$A$2:$FZ$601,93,Sync!$D$10)&amp;"","")&amp;"; "&amp;IFERROR(INDEX(Clay_Brands!$A$2:$FZ$601,93,Sync!$D$9)&amp;"",""))</f>
        <v/>
      </c>
      <c r="K3544" t="inlineStr">
        <is>
          <t>brand outreach touch 1</t>
        </is>
      </c>
    </row>
    <row r="3545">
      <c r="A3545" s="17">
        <f>IF(B3545="","",B3545+(15*1000+94)/10000000)</f>
        <v/>
      </c>
      <c r="B3545" s="23">
        <f>IF(AND(IFERROR(N(INDEX(Clay_Brands!$A$2:$FZ$601,94,Sync!$D$11)),0)&gt;0,IFERROR(INDEX(Clay_Brands!$A$2:$FZ$601,94,Sync!$D$5)&amp;"","")&lt;&gt;"",OR(LEFT(IFERROR(INDEX(Clay_Brands!$A$2:$FZ$601,94,Sync!$D$5)&amp;"",""),6)&lt;&gt;"SAMPLE",Config!$B$19="Y")),IFERROR(N(INDEX(Clay_Brands!$A$2:$FZ$601,94,Sync!$D$11)),0),"")</f>
        <v/>
      </c>
      <c r="C3545" s="17">
        <f>IF(B3545="","","brand")</f>
        <v/>
      </c>
      <c r="D3545" s="17">
        <f>IF(B3545="","",IFERROR(INDEX(Clay_Brands!$A$2:$FZ$601,94,Sync!$D$5)&amp;"",""))</f>
        <v/>
      </c>
      <c r="E3545" s="17">
        <f>IF(B3545="","",IFERROR(INDEX(Clay_Brands!$A$2:$FZ$601,94,Sync!$D$6)&amp;"",""))</f>
        <v/>
      </c>
      <c r="F3545" s="17">
        <f>IF(B3545="","","outreach_sent")</f>
        <v/>
      </c>
      <c r="G3545" s="17">
        <f>IF(B3545="","","")</f>
        <v/>
      </c>
      <c r="H3545" s="17">
        <f>IF(B3545="","","")</f>
        <v/>
      </c>
      <c r="I3545" s="17">
        <f>IF(B3545="","","")</f>
        <v/>
      </c>
      <c r="J3545" s="17">
        <f>IF(B3545="","","touch_1; "&amp;IFERROR(INDEX(Clay_Brands!$A$2:$FZ$601,94,Sync!$D$10)&amp;"","")&amp;"; "&amp;IFERROR(INDEX(Clay_Brands!$A$2:$FZ$601,94,Sync!$D$9)&amp;"",""))</f>
        <v/>
      </c>
      <c r="K3545" t="inlineStr">
        <is>
          <t>brand outreach touch 1</t>
        </is>
      </c>
    </row>
    <row r="3546">
      <c r="A3546" s="17">
        <f>IF(B3546="","",B3546+(15*1000+95)/10000000)</f>
        <v/>
      </c>
      <c r="B3546" s="23">
        <f>IF(AND(IFERROR(N(INDEX(Clay_Brands!$A$2:$FZ$601,95,Sync!$D$11)),0)&gt;0,IFERROR(INDEX(Clay_Brands!$A$2:$FZ$601,95,Sync!$D$5)&amp;"","")&lt;&gt;"",OR(LEFT(IFERROR(INDEX(Clay_Brands!$A$2:$FZ$601,95,Sync!$D$5)&amp;"",""),6)&lt;&gt;"SAMPLE",Config!$B$19="Y")),IFERROR(N(INDEX(Clay_Brands!$A$2:$FZ$601,95,Sync!$D$11)),0),"")</f>
        <v/>
      </c>
      <c r="C3546" s="17">
        <f>IF(B3546="","","brand")</f>
        <v/>
      </c>
      <c r="D3546" s="17">
        <f>IF(B3546="","",IFERROR(INDEX(Clay_Brands!$A$2:$FZ$601,95,Sync!$D$5)&amp;"",""))</f>
        <v/>
      </c>
      <c r="E3546" s="17">
        <f>IF(B3546="","",IFERROR(INDEX(Clay_Brands!$A$2:$FZ$601,95,Sync!$D$6)&amp;"",""))</f>
        <v/>
      </c>
      <c r="F3546" s="17">
        <f>IF(B3546="","","outreach_sent")</f>
        <v/>
      </c>
      <c r="G3546" s="17">
        <f>IF(B3546="","","")</f>
        <v/>
      </c>
      <c r="H3546" s="17">
        <f>IF(B3546="","","")</f>
        <v/>
      </c>
      <c r="I3546" s="17">
        <f>IF(B3546="","","")</f>
        <v/>
      </c>
      <c r="J3546" s="17">
        <f>IF(B3546="","","touch_1; "&amp;IFERROR(INDEX(Clay_Brands!$A$2:$FZ$601,95,Sync!$D$10)&amp;"","")&amp;"; "&amp;IFERROR(INDEX(Clay_Brands!$A$2:$FZ$601,95,Sync!$D$9)&amp;"",""))</f>
        <v/>
      </c>
      <c r="K3546" t="inlineStr">
        <is>
          <t>brand outreach touch 1</t>
        </is>
      </c>
    </row>
    <row r="3547">
      <c r="A3547" s="17">
        <f>IF(B3547="","",B3547+(15*1000+96)/10000000)</f>
        <v/>
      </c>
      <c r="B3547" s="23">
        <f>IF(AND(IFERROR(N(INDEX(Clay_Brands!$A$2:$FZ$601,96,Sync!$D$11)),0)&gt;0,IFERROR(INDEX(Clay_Brands!$A$2:$FZ$601,96,Sync!$D$5)&amp;"","")&lt;&gt;"",OR(LEFT(IFERROR(INDEX(Clay_Brands!$A$2:$FZ$601,96,Sync!$D$5)&amp;"",""),6)&lt;&gt;"SAMPLE",Config!$B$19="Y")),IFERROR(N(INDEX(Clay_Brands!$A$2:$FZ$601,96,Sync!$D$11)),0),"")</f>
        <v/>
      </c>
      <c r="C3547" s="17">
        <f>IF(B3547="","","brand")</f>
        <v/>
      </c>
      <c r="D3547" s="17">
        <f>IF(B3547="","",IFERROR(INDEX(Clay_Brands!$A$2:$FZ$601,96,Sync!$D$5)&amp;"",""))</f>
        <v/>
      </c>
      <c r="E3547" s="17">
        <f>IF(B3547="","",IFERROR(INDEX(Clay_Brands!$A$2:$FZ$601,96,Sync!$D$6)&amp;"",""))</f>
        <v/>
      </c>
      <c r="F3547" s="17">
        <f>IF(B3547="","","outreach_sent")</f>
        <v/>
      </c>
      <c r="G3547" s="17">
        <f>IF(B3547="","","")</f>
        <v/>
      </c>
      <c r="H3547" s="17">
        <f>IF(B3547="","","")</f>
        <v/>
      </c>
      <c r="I3547" s="17">
        <f>IF(B3547="","","")</f>
        <v/>
      </c>
      <c r="J3547" s="17">
        <f>IF(B3547="","","touch_1; "&amp;IFERROR(INDEX(Clay_Brands!$A$2:$FZ$601,96,Sync!$D$10)&amp;"","")&amp;"; "&amp;IFERROR(INDEX(Clay_Brands!$A$2:$FZ$601,96,Sync!$D$9)&amp;"",""))</f>
        <v/>
      </c>
      <c r="K3547" t="inlineStr">
        <is>
          <t>brand outreach touch 1</t>
        </is>
      </c>
    </row>
    <row r="3548">
      <c r="A3548" s="17">
        <f>IF(B3548="","",B3548+(15*1000+97)/10000000)</f>
        <v/>
      </c>
      <c r="B3548" s="23">
        <f>IF(AND(IFERROR(N(INDEX(Clay_Brands!$A$2:$FZ$601,97,Sync!$D$11)),0)&gt;0,IFERROR(INDEX(Clay_Brands!$A$2:$FZ$601,97,Sync!$D$5)&amp;"","")&lt;&gt;"",OR(LEFT(IFERROR(INDEX(Clay_Brands!$A$2:$FZ$601,97,Sync!$D$5)&amp;"",""),6)&lt;&gt;"SAMPLE",Config!$B$19="Y")),IFERROR(N(INDEX(Clay_Brands!$A$2:$FZ$601,97,Sync!$D$11)),0),"")</f>
        <v/>
      </c>
      <c r="C3548" s="17">
        <f>IF(B3548="","","brand")</f>
        <v/>
      </c>
      <c r="D3548" s="17">
        <f>IF(B3548="","",IFERROR(INDEX(Clay_Brands!$A$2:$FZ$601,97,Sync!$D$5)&amp;"",""))</f>
        <v/>
      </c>
      <c r="E3548" s="17">
        <f>IF(B3548="","",IFERROR(INDEX(Clay_Brands!$A$2:$FZ$601,97,Sync!$D$6)&amp;"",""))</f>
        <v/>
      </c>
      <c r="F3548" s="17">
        <f>IF(B3548="","","outreach_sent")</f>
        <v/>
      </c>
      <c r="G3548" s="17">
        <f>IF(B3548="","","")</f>
        <v/>
      </c>
      <c r="H3548" s="17">
        <f>IF(B3548="","","")</f>
        <v/>
      </c>
      <c r="I3548" s="17">
        <f>IF(B3548="","","")</f>
        <v/>
      </c>
      <c r="J3548" s="17">
        <f>IF(B3548="","","touch_1; "&amp;IFERROR(INDEX(Clay_Brands!$A$2:$FZ$601,97,Sync!$D$10)&amp;"","")&amp;"; "&amp;IFERROR(INDEX(Clay_Brands!$A$2:$FZ$601,97,Sync!$D$9)&amp;"",""))</f>
        <v/>
      </c>
      <c r="K3548" t="inlineStr">
        <is>
          <t>brand outreach touch 1</t>
        </is>
      </c>
    </row>
    <row r="3549">
      <c r="A3549" s="17">
        <f>IF(B3549="","",B3549+(15*1000+98)/10000000)</f>
        <v/>
      </c>
      <c r="B3549" s="23">
        <f>IF(AND(IFERROR(N(INDEX(Clay_Brands!$A$2:$FZ$601,98,Sync!$D$11)),0)&gt;0,IFERROR(INDEX(Clay_Brands!$A$2:$FZ$601,98,Sync!$D$5)&amp;"","")&lt;&gt;"",OR(LEFT(IFERROR(INDEX(Clay_Brands!$A$2:$FZ$601,98,Sync!$D$5)&amp;"",""),6)&lt;&gt;"SAMPLE",Config!$B$19="Y")),IFERROR(N(INDEX(Clay_Brands!$A$2:$FZ$601,98,Sync!$D$11)),0),"")</f>
        <v/>
      </c>
      <c r="C3549" s="17">
        <f>IF(B3549="","","brand")</f>
        <v/>
      </c>
      <c r="D3549" s="17">
        <f>IF(B3549="","",IFERROR(INDEX(Clay_Brands!$A$2:$FZ$601,98,Sync!$D$5)&amp;"",""))</f>
        <v/>
      </c>
      <c r="E3549" s="17">
        <f>IF(B3549="","",IFERROR(INDEX(Clay_Brands!$A$2:$FZ$601,98,Sync!$D$6)&amp;"",""))</f>
        <v/>
      </c>
      <c r="F3549" s="17">
        <f>IF(B3549="","","outreach_sent")</f>
        <v/>
      </c>
      <c r="G3549" s="17">
        <f>IF(B3549="","","")</f>
        <v/>
      </c>
      <c r="H3549" s="17">
        <f>IF(B3549="","","")</f>
        <v/>
      </c>
      <c r="I3549" s="17">
        <f>IF(B3549="","","")</f>
        <v/>
      </c>
      <c r="J3549" s="17">
        <f>IF(B3549="","","touch_1; "&amp;IFERROR(INDEX(Clay_Brands!$A$2:$FZ$601,98,Sync!$D$10)&amp;"","")&amp;"; "&amp;IFERROR(INDEX(Clay_Brands!$A$2:$FZ$601,98,Sync!$D$9)&amp;"",""))</f>
        <v/>
      </c>
      <c r="K3549" t="inlineStr">
        <is>
          <t>brand outreach touch 1</t>
        </is>
      </c>
    </row>
    <row r="3550">
      <c r="A3550" s="17">
        <f>IF(B3550="","",B3550+(15*1000+99)/10000000)</f>
        <v/>
      </c>
      <c r="B3550" s="23">
        <f>IF(AND(IFERROR(N(INDEX(Clay_Brands!$A$2:$FZ$601,99,Sync!$D$11)),0)&gt;0,IFERROR(INDEX(Clay_Brands!$A$2:$FZ$601,99,Sync!$D$5)&amp;"","")&lt;&gt;"",OR(LEFT(IFERROR(INDEX(Clay_Brands!$A$2:$FZ$601,99,Sync!$D$5)&amp;"",""),6)&lt;&gt;"SAMPLE",Config!$B$19="Y")),IFERROR(N(INDEX(Clay_Brands!$A$2:$FZ$601,99,Sync!$D$11)),0),"")</f>
        <v/>
      </c>
      <c r="C3550" s="17">
        <f>IF(B3550="","","brand")</f>
        <v/>
      </c>
      <c r="D3550" s="17">
        <f>IF(B3550="","",IFERROR(INDEX(Clay_Brands!$A$2:$FZ$601,99,Sync!$D$5)&amp;"",""))</f>
        <v/>
      </c>
      <c r="E3550" s="17">
        <f>IF(B3550="","",IFERROR(INDEX(Clay_Brands!$A$2:$FZ$601,99,Sync!$D$6)&amp;"",""))</f>
        <v/>
      </c>
      <c r="F3550" s="17">
        <f>IF(B3550="","","outreach_sent")</f>
        <v/>
      </c>
      <c r="G3550" s="17">
        <f>IF(B3550="","","")</f>
        <v/>
      </c>
      <c r="H3550" s="17">
        <f>IF(B3550="","","")</f>
        <v/>
      </c>
      <c r="I3550" s="17">
        <f>IF(B3550="","","")</f>
        <v/>
      </c>
      <c r="J3550" s="17">
        <f>IF(B3550="","","touch_1; "&amp;IFERROR(INDEX(Clay_Brands!$A$2:$FZ$601,99,Sync!$D$10)&amp;"","")&amp;"; "&amp;IFERROR(INDEX(Clay_Brands!$A$2:$FZ$601,99,Sync!$D$9)&amp;"",""))</f>
        <v/>
      </c>
      <c r="K3550" t="inlineStr">
        <is>
          <t>brand outreach touch 1</t>
        </is>
      </c>
    </row>
    <row r="3551">
      <c r="A3551" s="17">
        <f>IF(B3551="","",B3551+(15*1000+100)/10000000)</f>
        <v/>
      </c>
      <c r="B3551" s="23">
        <f>IF(AND(IFERROR(N(INDEX(Clay_Brands!$A$2:$FZ$601,100,Sync!$D$11)),0)&gt;0,IFERROR(INDEX(Clay_Brands!$A$2:$FZ$601,100,Sync!$D$5)&amp;"","")&lt;&gt;"",OR(LEFT(IFERROR(INDEX(Clay_Brands!$A$2:$FZ$601,100,Sync!$D$5)&amp;"",""),6)&lt;&gt;"SAMPLE",Config!$B$19="Y")),IFERROR(N(INDEX(Clay_Brands!$A$2:$FZ$601,100,Sync!$D$11)),0),"")</f>
        <v/>
      </c>
      <c r="C3551" s="17">
        <f>IF(B3551="","","brand")</f>
        <v/>
      </c>
      <c r="D3551" s="17">
        <f>IF(B3551="","",IFERROR(INDEX(Clay_Brands!$A$2:$FZ$601,100,Sync!$D$5)&amp;"",""))</f>
        <v/>
      </c>
      <c r="E3551" s="17">
        <f>IF(B3551="","",IFERROR(INDEX(Clay_Brands!$A$2:$FZ$601,100,Sync!$D$6)&amp;"",""))</f>
        <v/>
      </c>
      <c r="F3551" s="17">
        <f>IF(B3551="","","outreach_sent")</f>
        <v/>
      </c>
      <c r="G3551" s="17">
        <f>IF(B3551="","","")</f>
        <v/>
      </c>
      <c r="H3551" s="17">
        <f>IF(B3551="","","")</f>
        <v/>
      </c>
      <c r="I3551" s="17">
        <f>IF(B3551="","","")</f>
        <v/>
      </c>
      <c r="J3551" s="17">
        <f>IF(B3551="","","touch_1; "&amp;IFERROR(INDEX(Clay_Brands!$A$2:$FZ$601,100,Sync!$D$10)&amp;"","")&amp;"; "&amp;IFERROR(INDEX(Clay_Brands!$A$2:$FZ$601,100,Sync!$D$9)&amp;"",""))</f>
        <v/>
      </c>
      <c r="K3551" t="inlineStr">
        <is>
          <t>brand outreach touch 1</t>
        </is>
      </c>
    </row>
    <row r="3552">
      <c r="A3552" s="17">
        <f>IF(B3552="","",B3552+(15*1000+101)/10000000)</f>
        <v/>
      </c>
      <c r="B3552" s="23">
        <f>IF(AND(IFERROR(N(INDEX(Clay_Brands!$A$2:$FZ$601,101,Sync!$D$11)),0)&gt;0,IFERROR(INDEX(Clay_Brands!$A$2:$FZ$601,101,Sync!$D$5)&amp;"","")&lt;&gt;"",OR(LEFT(IFERROR(INDEX(Clay_Brands!$A$2:$FZ$601,101,Sync!$D$5)&amp;"",""),6)&lt;&gt;"SAMPLE",Config!$B$19="Y")),IFERROR(N(INDEX(Clay_Brands!$A$2:$FZ$601,101,Sync!$D$11)),0),"")</f>
        <v/>
      </c>
      <c r="C3552" s="17">
        <f>IF(B3552="","","brand")</f>
        <v/>
      </c>
      <c r="D3552" s="17">
        <f>IF(B3552="","",IFERROR(INDEX(Clay_Brands!$A$2:$FZ$601,101,Sync!$D$5)&amp;"",""))</f>
        <v/>
      </c>
      <c r="E3552" s="17">
        <f>IF(B3552="","",IFERROR(INDEX(Clay_Brands!$A$2:$FZ$601,101,Sync!$D$6)&amp;"",""))</f>
        <v/>
      </c>
      <c r="F3552" s="17">
        <f>IF(B3552="","","outreach_sent")</f>
        <v/>
      </c>
      <c r="G3552" s="17">
        <f>IF(B3552="","","")</f>
        <v/>
      </c>
      <c r="H3552" s="17">
        <f>IF(B3552="","","")</f>
        <v/>
      </c>
      <c r="I3552" s="17">
        <f>IF(B3552="","","")</f>
        <v/>
      </c>
      <c r="J3552" s="17">
        <f>IF(B3552="","","touch_1; "&amp;IFERROR(INDEX(Clay_Brands!$A$2:$FZ$601,101,Sync!$D$10)&amp;"","")&amp;"; "&amp;IFERROR(INDEX(Clay_Brands!$A$2:$FZ$601,101,Sync!$D$9)&amp;"",""))</f>
        <v/>
      </c>
      <c r="K3552" t="inlineStr">
        <is>
          <t>brand outreach touch 1</t>
        </is>
      </c>
    </row>
    <row r="3553">
      <c r="A3553" s="17">
        <f>IF(B3553="","",B3553+(15*1000+102)/10000000)</f>
        <v/>
      </c>
      <c r="B3553" s="23">
        <f>IF(AND(IFERROR(N(INDEX(Clay_Brands!$A$2:$FZ$601,102,Sync!$D$11)),0)&gt;0,IFERROR(INDEX(Clay_Brands!$A$2:$FZ$601,102,Sync!$D$5)&amp;"","")&lt;&gt;"",OR(LEFT(IFERROR(INDEX(Clay_Brands!$A$2:$FZ$601,102,Sync!$D$5)&amp;"",""),6)&lt;&gt;"SAMPLE",Config!$B$19="Y")),IFERROR(N(INDEX(Clay_Brands!$A$2:$FZ$601,102,Sync!$D$11)),0),"")</f>
        <v/>
      </c>
      <c r="C3553" s="17">
        <f>IF(B3553="","","brand")</f>
        <v/>
      </c>
      <c r="D3553" s="17">
        <f>IF(B3553="","",IFERROR(INDEX(Clay_Brands!$A$2:$FZ$601,102,Sync!$D$5)&amp;"",""))</f>
        <v/>
      </c>
      <c r="E3553" s="17">
        <f>IF(B3553="","",IFERROR(INDEX(Clay_Brands!$A$2:$FZ$601,102,Sync!$D$6)&amp;"",""))</f>
        <v/>
      </c>
      <c r="F3553" s="17">
        <f>IF(B3553="","","outreach_sent")</f>
        <v/>
      </c>
      <c r="G3553" s="17">
        <f>IF(B3553="","","")</f>
        <v/>
      </c>
      <c r="H3553" s="17">
        <f>IF(B3553="","","")</f>
        <v/>
      </c>
      <c r="I3553" s="17">
        <f>IF(B3553="","","")</f>
        <v/>
      </c>
      <c r="J3553" s="17">
        <f>IF(B3553="","","touch_1; "&amp;IFERROR(INDEX(Clay_Brands!$A$2:$FZ$601,102,Sync!$D$10)&amp;"","")&amp;"; "&amp;IFERROR(INDEX(Clay_Brands!$A$2:$FZ$601,102,Sync!$D$9)&amp;"",""))</f>
        <v/>
      </c>
      <c r="K3553" t="inlineStr">
        <is>
          <t>brand outreach touch 1</t>
        </is>
      </c>
    </row>
    <row r="3554">
      <c r="A3554" s="17">
        <f>IF(B3554="","",B3554+(15*1000+103)/10000000)</f>
        <v/>
      </c>
      <c r="B3554" s="23">
        <f>IF(AND(IFERROR(N(INDEX(Clay_Brands!$A$2:$FZ$601,103,Sync!$D$11)),0)&gt;0,IFERROR(INDEX(Clay_Brands!$A$2:$FZ$601,103,Sync!$D$5)&amp;"","")&lt;&gt;"",OR(LEFT(IFERROR(INDEX(Clay_Brands!$A$2:$FZ$601,103,Sync!$D$5)&amp;"",""),6)&lt;&gt;"SAMPLE",Config!$B$19="Y")),IFERROR(N(INDEX(Clay_Brands!$A$2:$FZ$601,103,Sync!$D$11)),0),"")</f>
        <v/>
      </c>
      <c r="C3554" s="17">
        <f>IF(B3554="","","brand")</f>
        <v/>
      </c>
      <c r="D3554" s="17">
        <f>IF(B3554="","",IFERROR(INDEX(Clay_Brands!$A$2:$FZ$601,103,Sync!$D$5)&amp;"",""))</f>
        <v/>
      </c>
      <c r="E3554" s="17">
        <f>IF(B3554="","",IFERROR(INDEX(Clay_Brands!$A$2:$FZ$601,103,Sync!$D$6)&amp;"",""))</f>
        <v/>
      </c>
      <c r="F3554" s="17">
        <f>IF(B3554="","","outreach_sent")</f>
        <v/>
      </c>
      <c r="G3554" s="17">
        <f>IF(B3554="","","")</f>
        <v/>
      </c>
      <c r="H3554" s="17">
        <f>IF(B3554="","","")</f>
        <v/>
      </c>
      <c r="I3554" s="17">
        <f>IF(B3554="","","")</f>
        <v/>
      </c>
      <c r="J3554" s="17">
        <f>IF(B3554="","","touch_1; "&amp;IFERROR(INDEX(Clay_Brands!$A$2:$FZ$601,103,Sync!$D$10)&amp;"","")&amp;"; "&amp;IFERROR(INDEX(Clay_Brands!$A$2:$FZ$601,103,Sync!$D$9)&amp;"",""))</f>
        <v/>
      </c>
      <c r="K3554" t="inlineStr">
        <is>
          <t>brand outreach touch 1</t>
        </is>
      </c>
    </row>
    <row r="3555">
      <c r="A3555" s="17">
        <f>IF(B3555="","",B3555+(15*1000+104)/10000000)</f>
        <v/>
      </c>
      <c r="B3555" s="23">
        <f>IF(AND(IFERROR(N(INDEX(Clay_Brands!$A$2:$FZ$601,104,Sync!$D$11)),0)&gt;0,IFERROR(INDEX(Clay_Brands!$A$2:$FZ$601,104,Sync!$D$5)&amp;"","")&lt;&gt;"",OR(LEFT(IFERROR(INDEX(Clay_Brands!$A$2:$FZ$601,104,Sync!$D$5)&amp;"",""),6)&lt;&gt;"SAMPLE",Config!$B$19="Y")),IFERROR(N(INDEX(Clay_Brands!$A$2:$FZ$601,104,Sync!$D$11)),0),"")</f>
        <v/>
      </c>
      <c r="C3555" s="17">
        <f>IF(B3555="","","brand")</f>
        <v/>
      </c>
      <c r="D3555" s="17">
        <f>IF(B3555="","",IFERROR(INDEX(Clay_Brands!$A$2:$FZ$601,104,Sync!$D$5)&amp;"",""))</f>
        <v/>
      </c>
      <c r="E3555" s="17">
        <f>IF(B3555="","",IFERROR(INDEX(Clay_Brands!$A$2:$FZ$601,104,Sync!$D$6)&amp;"",""))</f>
        <v/>
      </c>
      <c r="F3555" s="17">
        <f>IF(B3555="","","outreach_sent")</f>
        <v/>
      </c>
      <c r="G3555" s="17">
        <f>IF(B3555="","","")</f>
        <v/>
      </c>
      <c r="H3555" s="17">
        <f>IF(B3555="","","")</f>
        <v/>
      </c>
      <c r="I3555" s="17">
        <f>IF(B3555="","","")</f>
        <v/>
      </c>
      <c r="J3555" s="17">
        <f>IF(B3555="","","touch_1; "&amp;IFERROR(INDEX(Clay_Brands!$A$2:$FZ$601,104,Sync!$D$10)&amp;"","")&amp;"; "&amp;IFERROR(INDEX(Clay_Brands!$A$2:$FZ$601,104,Sync!$D$9)&amp;"",""))</f>
        <v/>
      </c>
      <c r="K3555" t="inlineStr">
        <is>
          <t>brand outreach touch 1</t>
        </is>
      </c>
    </row>
    <row r="3556">
      <c r="A3556" s="17">
        <f>IF(B3556="","",B3556+(15*1000+105)/10000000)</f>
        <v/>
      </c>
      <c r="B3556" s="23">
        <f>IF(AND(IFERROR(N(INDEX(Clay_Brands!$A$2:$FZ$601,105,Sync!$D$11)),0)&gt;0,IFERROR(INDEX(Clay_Brands!$A$2:$FZ$601,105,Sync!$D$5)&amp;"","")&lt;&gt;"",OR(LEFT(IFERROR(INDEX(Clay_Brands!$A$2:$FZ$601,105,Sync!$D$5)&amp;"",""),6)&lt;&gt;"SAMPLE",Config!$B$19="Y")),IFERROR(N(INDEX(Clay_Brands!$A$2:$FZ$601,105,Sync!$D$11)),0),"")</f>
        <v/>
      </c>
      <c r="C3556" s="17">
        <f>IF(B3556="","","brand")</f>
        <v/>
      </c>
      <c r="D3556" s="17">
        <f>IF(B3556="","",IFERROR(INDEX(Clay_Brands!$A$2:$FZ$601,105,Sync!$D$5)&amp;"",""))</f>
        <v/>
      </c>
      <c r="E3556" s="17">
        <f>IF(B3556="","",IFERROR(INDEX(Clay_Brands!$A$2:$FZ$601,105,Sync!$D$6)&amp;"",""))</f>
        <v/>
      </c>
      <c r="F3556" s="17">
        <f>IF(B3556="","","outreach_sent")</f>
        <v/>
      </c>
      <c r="G3556" s="17">
        <f>IF(B3556="","","")</f>
        <v/>
      </c>
      <c r="H3556" s="17">
        <f>IF(B3556="","","")</f>
        <v/>
      </c>
      <c r="I3556" s="17">
        <f>IF(B3556="","","")</f>
        <v/>
      </c>
      <c r="J3556" s="17">
        <f>IF(B3556="","","touch_1; "&amp;IFERROR(INDEX(Clay_Brands!$A$2:$FZ$601,105,Sync!$D$10)&amp;"","")&amp;"; "&amp;IFERROR(INDEX(Clay_Brands!$A$2:$FZ$601,105,Sync!$D$9)&amp;"",""))</f>
        <v/>
      </c>
      <c r="K3556" t="inlineStr">
        <is>
          <t>brand outreach touch 1</t>
        </is>
      </c>
    </row>
    <row r="3557">
      <c r="A3557" s="17">
        <f>IF(B3557="","",B3557+(15*1000+106)/10000000)</f>
        <v/>
      </c>
      <c r="B3557" s="23">
        <f>IF(AND(IFERROR(N(INDEX(Clay_Brands!$A$2:$FZ$601,106,Sync!$D$11)),0)&gt;0,IFERROR(INDEX(Clay_Brands!$A$2:$FZ$601,106,Sync!$D$5)&amp;"","")&lt;&gt;"",OR(LEFT(IFERROR(INDEX(Clay_Brands!$A$2:$FZ$601,106,Sync!$D$5)&amp;"",""),6)&lt;&gt;"SAMPLE",Config!$B$19="Y")),IFERROR(N(INDEX(Clay_Brands!$A$2:$FZ$601,106,Sync!$D$11)),0),"")</f>
        <v/>
      </c>
      <c r="C3557" s="17">
        <f>IF(B3557="","","brand")</f>
        <v/>
      </c>
      <c r="D3557" s="17">
        <f>IF(B3557="","",IFERROR(INDEX(Clay_Brands!$A$2:$FZ$601,106,Sync!$D$5)&amp;"",""))</f>
        <v/>
      </c>
      <c r="E3557" s="17">
        <f>IF(B3557="","",IFERROR(INDEX(Clay_Brands!$A$2:$FZ$601,106,Sync!$D$6)&amp;"",""))</f>
        <v/>
      </c>
      <c r="F3557" s="17">
        <f>IF(B3557="","","outreach_sent")</f>
        <v/>
      </c>
      <c r="G3557" s="17">
        <f>IF(B3557="","","")</f>
        <v/>
      </c>
      <c r="H3557" s="17">
        <f>IF(B3557="","","")</f>
        <v/>
      </c>
      <c r="I3557" s="17">
        <f>IF(B3557="","","")</f>
        <v/>
      </c>
      <c r="J3557" s="17">
        <f>IF(B3557="","","touch_1; "&amp;IFERROR(INDEX(Clay_Brands!$A$2:$FZ$601,106,Sync!$D$10)&amp;"","")&amp;"; "&amp;IFERROR(INDEX(Clay_Brands!$A$2:$FZ$601,106,Sync!$D$9)&amp;"",""))</f>
        <v/>
      </c>
      <c r="K3557" t="inlineStr">
        <is>
          <t>brand outreach touch 1</t>
        </is>
      </c>
    </row>
    <row r="3558">
      <c r="A3558" s="17">
        <f>IF(B3558="","",B3558+(15*1000+107)/10000000)</f>
        <v/>
      </c>
      <c r="B3558" s="23">
        <f>IF(AND(IFERROR(N(INDEX(Clay_Brands!$A$2:$FZ$601,107,Sync!$D$11)),0)&gt;0,IFERROR(INDEX(Clay_Brands!$A$2:$FZ$601,107,Sync!$D$5)&amp;"","")&lt;&gt;"",OR(LEFT(IFERROR(INDEX(Clay_Brands!$A$2:$FZ$601,107,Sync!$D$5)&amp;"",""),6)&lt;&gt;"SAMPLE",Config!$B$19="Y")),IFERROR(N(INDEX(Clay_Brands!$A$2:$FZ$601,107,Sync!$D$11)),0),"")</f>
        <v/>
      </c>
      <c r="C3558" s="17">
        <f>IF(B3558="","","brand")</f>
        <v/>
      </c>
      <c r="D3558" s="17">
        <f>IF(B3558="","",IFERROR(INDEX(Clay_Brands!$A$2:$FZ$601,107,Sync!$D$5)&amp;"",""))</f>
        <v/>
      </c>
      <c r="E3558" s="17">
        <f>IF(B3558="","",IFERROR(INDEX(Clay_Brands!$A$2:$FZ$601,107,Sync!$D$6)&amp;"",""))</f>
        <v/>
      </c>
      <c r="F3558" s="17">
        <f>IF(B3558="","","outreach_sent")</f>
        <v/>
      </c>
      <c r="G3558" s="17">
        <f>IF(B3558="","","")</f>
        <v/>
      </c>
      <c r="H3558" s="17">
        <f>IF(B3558="","","")</f>
        <v/>
      </c>
      <c r="I3558" s="17">
        <f>IF(B3558="","","")</f>
        <v/>
      </c>
      <c r="J3558" s="17">
        <f>IF(B3558="","","touch_1; "&amp;IFERROR(INDEX(Clay_Brands!$A$2:$FZ$601,107,Sync!$D$10)&amp;"","")&amp;"; "&amp;IFERROR(INDEX(Clay_Brands!$A$2:$FZ$601,107,Sync!$D$9)&amp;"",""))</f>
        <v/>
      </c>
      <c r="K3558" t="inlineStr">
        <is>
          <t>brand outreach touch 1</t>
        </is>
      </c>
    </row>
    <row r="3559">
      <c r="A3559" s="17">
        <f>IF(B3559="","",B3559+(15*1000+108)/10000000)</f>
        <v/>
      </c>
      <c r="B3559" s="23">
        <f>IF(AND(IFERROR(N(INDEX(Clay_Brands!$A$2:$FZ$601,108,Sync!$D$11)),0)&gt;0,IFERROR(INDEX(Clay_Brands!$A$2:$FZ$601,108,Sync!$D$5)&amp;"","")&lt;&gt;"",OR(LEFT(IFERROR(INDEX(Clay_Brands!$A$2:$FZ$601,108,Sync!$D$5)&amp;"",""),6)&lt;&gt;"SAMPLE",Config!$B$19="Y")),IFERROR(N(INDEX(Clay_Brands!$A$2:$FZ$601,108,Sync!$D$11)),0),"")</f>
        <v/>
      </c>
      <c r="C3559" s="17">
        <f>IF(B3559="","","brand")</f>
        <v/>
      </c>
      <c r="D3559" s="17">
        <f>IF(B3559="","",IFERROR(INDEX(Clay_Brands!$A$2:$FZ$601,108,Sync!$D$5)&amp;"",""))</f>
        <v/>
      </c>
      <c r="E3559" s="17">
        <f>IF(B3559="","",IFERROR(INDEX(Clay_Brands!$A$2:$FZ$601,108,Sync!$D$6)&amp;"",""))</f>
        <v/>
      </c>
      <c r="F3559" s="17">
        <f>IF(B3559="","","outreach_sent")</f>
        <v/>
      </c>
      <c r="G3559" s="17">
        <f>IF(B3559="","","")</f>
        <v/>
      </c>
      <c r="H3559" s="17">
        <f>IF(B3559="","","")</f>
        <v/>
      </c>
      <c r="I3559" s="17">
        <f>IF(B3559="","","")</f>
        <v/>
      </c>
      <c r="J3559" s="17">
        <f>IF(B3559="","","touch_1; "&amp;IFERROR(INDEX(Clay_Brands!$A$2:$FZ$601,108,Sync!$D$10)&amp;"","")&amp;"; "&amp;IFERROR(INDEX(Clay_Brands!$A$2:$FZ$601,108,Sync!$D$9)&amp;"",""))</f>
        <v/>
      </c>
      <c r="K3559" t="inlineStr">
        <is>
          <t>brand outreach touch 1</t>
        </is>
      </c>
    </row>
    <row r="3560">
      <c r="A3560" s="17">
        <f>IF(B3560="","",B3560+(15*1000+109)/10000000)</f>
        <v/>
      </c>
      <c r="B3560" s="23">
        <f>IF(AND(IFERROR(N(INDEX(Clay_Brands!$A$2:$FZ$601,109,Sync!$D$11)),0)&gt;0,IFERROR(INDEX(Clay_Brands!$A$2:$FZ$601,109,Sync!$D$5)&amp;"","")&lt;&gt;"",OR(LEFT(IFERROR(INDEX(Clay_Brands!$A$2:$FZ$601,109,Sync!$D$5)&amp;"",""),6)&lt;&gt;"SAMPLE",Config!$B$19="Y")),IFERROR(N(INDEX(Clay_Brands!$A$2:$FZ$601,109,Sync!$D$11)),0),"")</f>
        <v/>
      </c>
      <c r="C3560" s="17">
        <f>IF(B3560="","","brand")</f>
        <v/>
      </c>
      <c r="D3560" s="17">
        <f>IF(B3560="","",IFERROR(INDEX(Clay_Brands!$A$2:$FZ$601,109,Sync!$D$5)&amp;"",""))</f>
        <v/>
      </c>
      <c r="E3560" s="17">
        <f>IF(B3560="","",IFERROR(INDEX(Clay_Brands!$A$2:$FZ$601,109,Sync!$D$6)&amp;"",""))</f>
        <v/>
      </c>
      <c r="F3560" s="17">
        <f>IF(B3560="","","outreach_sent")</f>
        <v/>
      </c>
      <c r="G3560" s="17">
        <f>IF(B3560="","","")</f>
        <v/>
      </c>
      <c r="H3560" s="17">
        <f>IF(B3560="","","")</f>
        <v/>
      </c>
      <c r="I3560" s="17">
        <f>IF(B3560="","","")</f>
        <v/>
      </c>
      <c r="J3560" s="17">
        <f>IF(B3560="","","touch_1; "&amp;IFERROR(INDEX(Clay_Brands!$A$2:$FZ$601,109,Sync!$D$10)&amp;"","")&amp;"; "&amp;IFERROR(INDEX(Clay_Brands!$A$2:$FZ$601,109,Sync!$D$9)&amp;"",""))</f>
        <v/>
      </c>
      <c r="K3560" t="inlineStr">
        <is>
          <t>brand outreach touch 1</t>
        </is>
      </c>
    </row>
    <row r="3561">
      <c r="A3561" s="17">
        <f>IF(B3561="","",B3561+(15*1000+110)/10000000)</f>
        <v/>
      </c>
      <c r="B3561" s="23">
        <f>IF(AND(IFERROR(N(INDEX(Clay_Brands!$A$2:$FZ$601,110,Sync!$D$11)),0)&gt;0,IFERROR(INDEX(Clay_Brands!$A$2:$FZ$601,110,Sync!$D$5)&amp;"","")&lt;&gt;"",OR(LEFT(IFERROR(INDEX(Clay_Brands!$A$2:$FZ$601,110,Sync!$D$5)&amp;"",""),6)&lt;&gt;"SAMPLE",Config!$B$19="Y")),IFERROR(N(INDEX(Clay_Brands!$A$2:$FZ$601,110,Sync!$D$11)),0),"")</f>
        <v/>
      </c>
      <c r="C3561" s="17">
        <f>IF(B3561="","","brand")</f>
        <v/>
      </c>
      <c r="D3561" s="17">
        <f>IF(B3561="","",IFERROR(INDEX(Clay_Brands!$A$2:$FZ$601,110,Sync!$D$5)&amp;"",""))</f>
        <v/>
      </c>
      <c r="E3561" s="17">
        <f>IF(B3561="","",IFERROR(INDEX(Clay_Brands!$A$2:$FZ$601,110,Sync!$D$6)&amp;"",""))</f>
        <v/>
      </c>
      <c r="F3561" s="17">
        <f>IF(B3561="","","outreach_sent")</f>
        <v/>
      </c>
      <c r="G3561" s="17">
        <f>IF(B3561="","","")</f>
        <v/>
      </c>
      <c r="H3561" s="17">
        <f>IF(B3561="","","")</f>
        <v/>
      </c>
      <c r="I3561" s="17">
        <f>IF(B3561="","","")</f>
        <v/>
      </c>
      <c r="J3561" s="17">
        <f>IF(B3561="","","touch_1; "&amp;IFERROR(INDEX(Clay_Brands!$A$2:$FZ$601,110,Sync!$D$10)&amp;"","")&amp;"; "&amp;IFERROR(INDEX(Clay_Brands!$A$2:$FZ$601,110,Sync!$D$9)&amp;"",""))</f>
        <v/>
      </c>
      <c r="K3561" t="inlineStr">
        <is>
          <t>brand outreach touch 1</t>
        </is>
      </c>
    </row>
    <row r="3562">
      <c r="A3562" s="17">
        <f>IF(B3562="","",B3562+(15*1000+111)/10000000)</f>
        <v/>
      </c>
      <c r="B3562" s="23">
        <f>IF(AND(IFERROR(N(INDEX(Clay_Brands!$A$2:$FZ$601,111,Sync!$D$11)),0)&gt;0,IFERROR(INDEX(Clay_Brands!$A$2:$FZ$601,111,Sync!$D$5)&amp;"","")&lt;&gt;"",OR(LEFT(IFERROR(INDEX(Clay_Brands!$A$2:$FZ$601,111,Sync!$D$5)&amp;"",""),6)&lt;&gt;"SAMPLE",Config!$B$19="Y")),IFERROR(N(INDEX(Clay_Brands!$A$2:$FZ$601,111,Sync!$D$11)),0),"")</f>
        <v/>
      </c>
      <c r="C3562" s="17">
        <f>IF(B3562="","","brand")</f>
        <v/>
      </c>
      <c r="D3562" s="17">
        <f>IF(B3562="","",IFERROR(INDEX(Clay_Brands!$A$2:$FZ$601,111,Sync!$D$5)&amp;"",""))</f>
        <v/>
      </c>
      <c r="E3562" s="17">
        <f>IF(B3562="","",IFERROR(INDEX(Clay_Brands!$A$2:$FZ$601,111,Sync!$D$6)&amp;"",""))</f>
        <v/>
      </c>
      <c r="F3562" s="17">
        <f>IF(B3562="","","outreach_sent")</f>
        <v/>
      </c>
      <c r="G3562" s="17">
        <f>IF(B3562="","","")</f>
        <v/>
      </c>
      <c r="H3562" s="17">
        <f>IF(B3562="","","")</f>
        <v/>
      </c>
      <c r="I3562" s="17">
        <f>IF(B3562="","","")</f>
        <v/>
      </c>
      <c r="J3562" s="17">
        <f>IF(B3562="","","touch_1; "&amp;IFERROR(INDEX(Clay_Brands!$A$2:$FZ$601,111,Sync!$D$10)&amp;"","")&amp;"; "&amp;IFERROR(INDEX(Clay_Brands!$A$2:$FZ$601,111,Sync!$D$9)&amp;"",""))</f>
        <v/>
      </c>
      <c r="K3562" t="inlineStr">
        <is>
          <t>brand outreach touch 1</t>
        </is>
      </c>
    </row>
    <row r="3563">
      <c r="A3563" s="17">
        <f>IF(B3563="","",B3563+(15*1000+112)/10000000)</f>
        <v/>
      </c>
      <c r="B3563" s="23">
        <f>IF(AND(IFERROR(N(INDEX(Clay_Brands!$A$2:$FZ$601,112,Sync!$D$11)),0)&gt;0,IFERROR(INDEX(Clay_Brands!$A$2:$FZ$601,112,Sync!$D$5)&amp;"","")&lt;&gt;"",OR(LEFT(IFERROR(INDEX(Clay_Brands!$A$2:$FZ$601,112,Sync!$D$5)&amp;"",""),6)&lt;&gt;"SAMPLE",Config!$B$19="Y")),IFERROR(N(INDEX(Clay_Brands!$A$2:$FZ$601,112,Sync!$D$11)),0),"")</f>
        <v/>
      </c>
      <c r="C3563" s="17">
        <f>IF(B3563="","","brand")</f>
        <v/>
      </c>
      <c r="D3563" s="17">
        <f>IF(B3563="","",IFERROR(INDEX(Clay_Brands!$A$2:$FZ$601,112,Sync!$D$5)&amp;"",""))</f>
        <v/>
      </c>
      <c r="E3563" s="17">
        <f>IF(B3563="","",IFERROR(INDEX(Clay_Brands!$A$2:$FZ$601,112,Sync!$D$6)&amp;"",""))</f>
        <v/>
      </c>
      <c r="F3563" s="17">
        <f>IF(B3563="","","outreach_sent")</f>
        <v/>
      </c>
      <c r="G3563" s="17">
        <f>IF(B3563="","","")</f>
        <v/>
      </c>
      <c r="H3563" s="17">
        <f>IF(B3563="","","")</f>
        <v/>
      </c>
      <c r="I3563" s="17">
        <f>IF(B3563="","","")</f>
        <v/>
      </c>
      <c r="J3563" s="17">
        <f>IF(B3563="","","touch_1; "&amp;IFERROR(INDEX(Clay_Brands!$A$2:$FZ$601,112,Sync!$D$10)&amp;"","")&amp;"; "&amp;IFERROR(INDEX(Clay_Brands!$A$2:$FZ$601,112,Sync!$D$9)&amp;"",""))</f>
        <v/>
      </c>
      <c r="K3563" t="inlineStr">
        <is>
          <t>brand outreach touch 1</t>
        </is>
      </c>
    </row>
    <row r="3564">
      <c r="A3564" s="17">
        <f>IF(B3564="","",B3564+(15*1000+113)/10000000)</f>
        <v/>
      </c>
      <c r="B3564" s="23">
        <f>IF(AND(IFERROR(N(INDEX(Clay_Brands!$A$2:$FZ$601,113,Sync!$D$11)),0)&gt;0,IFERROR(INDEX(Clay_Brands!$A$2:$FZ$601,113,Sync!$D$5)&amp;"","")&lt;&gt;"",OR(LEFT(IFERROR(INDEX(Clay_Brands!$A$2:$FZ$601,113,Sync!$D$5)&amp;"",""),6)&lt;&gt;"SAMPLE",Config!$B$19="Y")),IFERROR(N(INDEX(Clay_Brands!$A$2:$FZ$601,113,Sync!$D$11)),0),"")</f>
        <v/>
      </c>
      <c r="C3564" s="17">
        <f>IF(B3564="","","brand")</f>
        <v/>
      </c>
      <c r="D3564" s="17">
        <f>IF(B3564="","",IFERROR(INDEX(Clay_Brands!$A$2:$FZ$601,113,Sync!$D$5)&amp;"",""))</f>
        <v/>
      </c>
      <c r="E3564" s="17">
        <f>IF(B3564="","",IFERROR(INDEX(Clay_Brands!$A$2:$FZ$601,113,Sync!$D$6)&amp;"",""))</f>
        <v/>
      </c>
      <c r="F3564" s="17">
        <f>IF(B3564="","","outreach_sent")</f>
        <v/>
      </c>
      <c r="G3564" s="17">
        <f>IF(B3564="","","")</f>
        <v/>
      </c>
      <c r="H3564" s="17">
        <f>IF(B3564="","","")</f>
        <v/>
      </c>
      <c r="I3564" s="17">
        <f>IF(B3564="","","")</f>
        <v/>
      </c>
      <c r="J3564" s="17">
        <f>IF(B3564="","","touch_1; "&amp;IFERROR(INDEX(Clay_Brands!$A$2:$FZ$601,113,Sync!$D$10)&amp;"","")&amp;"; "&amp;IFERROR(INDEX(Clay_Brands!$A$2:$FZ$601,113,Sync!$D$9)&amp;"",""))</f>
        <v/>
      </c>
      <c r="K3564" t="inlineStr">
        <is>
          <t>brand outreach touch 1</t>
        </is>
      </c>
    </row>
    <row r="3565">
      <c r="A3565" s="17">
        <f>IF(B3565="","",B3565+(15*1000+114)/10000000)</f>
        <v/>
      </c>
      <c r="B3565" s="23">
        <f>IF(AND(IFERROR(N(INDEX(Clay_Brands!$A$2:$FZ$601,114,Sync!$D$11)),0)&gt;0,IFERROR(INDEX(Clay_Brands!$A$2:$FZ$601,114,Sync!$D$5)&amp;"","")&lt;&gt;"",OR(LEFT(IFERROR(INDEX(Clay_Brands!$A$2:$FZ$601,114,Sync!$D$5)&amp;"",""),6)&lt;&gt;"SAMPLE",Config!$B$19="Y")),IFERROR(N(INDEX(Clay_Brands!$A$2:$FZ$601,114,Sync!$D$11)),0),"")</f>
        <v/>
      </c>
      <c r="C3565" s="17">
        <f>IF(B3565="","","brand")</f>
        <v/>
      </c>
      <c r="D3565" s="17">
        <f>IF(B3565="","",IFERROR(INDEX(Clay_Brands!$A$2:$FZ$601,114,Sync!$D$5)&amp;"",""))</f>
        <v/>
      </c>
      <c r="E3565" s="17">
        <f>IF(B3565="","",IFERROR(INDEX(Clay_Brands!$A$2:$FZ$601,114,Sync!$D$6)&amp;"",""))</f>
        <v/>
      </c>
      <c r="F3565" s="17">
        <f>IF(B3565="","","outreach_sent")</f>
        <v/>
      </c>
      <c r="G3565" s="17">
        <f>IF(B3565="","","")</f>
        <v/>
      </c>
      <c r="H3565" s="17">
        <f>IF(B3565="","","")</f>
        <v/>
      </c>
      <c r="I3565" s="17">
        <f>IF(B3565="","","")</f>
        <v/>
      </c>
      <c r="J3565" s="17">
        <f>IF(B3565="","","touch_1; "&amp;IFERROR(INDEX(Clay_Brands!$A$2:$FZ$601,114,Sync!$D$10)&amp;"","")&amp;"; "&amp;IFERROR(INDEX(Clay_Brands!$A$2:$FZ$601,114,Sync!$D$9)&amp;"",""))</f>
        <v/>
      </c>
      <c r="K3565" t="inlineStr">
        <is>
          <t>brand outreach touch 1</t>
        </is>
      </c>
    </row>
    <row r="3566">
      <c r="A3566" s="17">
        <f>IF(B3566="","",B3566+(15*1000+115)/10000000)</f>
        <v/>
      </c>
      <c r="B3566" s="23">
        <f>IF(AND(IFERROR(N(INDEX(Clay_Brands!$A$2:$FZ$601,115,Sync!$D$11)),0)&gt;0,IFERROR(INDEX(Clay_Brands!$A$2:$FZ$601,115,Sync!$D$5)&amp;"","")&lt;&gt;"",OR(LEFT(IFERROR(INDEX(Clay_Brands!$A$2:$FZ$601,115,Sync!$D$5)&amp;"",""),6)&lt;&gt;"SAMPLE",Config!$B$19="Y")),IFERROR(N(INDEX(Clay_Brands!$A$2:$FZ$601,115,Sync!$D$11)),0),"")</f>
        <v/>
      </c>
      <c r="C3566" s="17">
        <f>IF(B3566="","","brand")</f>
        <v/>
      </c>
      <c r="D3566" s="17">
        <f>IF(B3566="","",IFERROR(INDEX(Clay_Brands!$A$2:$FZ$601,115,Sync!$D$5)&amp;"",""))</f>
        <v/>
      </c>
      <c r="E3566" s="17">
        <f>IF(B3566="","",IFERROR(INDEX(Clay_Brands!$A$2:$FZ$601,115,Sync!$D$6)&amp;"",""))</f>
        <v/>
      </c>
      <c r="F3566" s="17">
        <f>IF(B3566="","","outreach_sent")</f>
        <v/>
      </c>
      <c r="G3566" s="17">
        <f>IF(B3566="","","")</f>
        <v/>
      </c>
      <c r="H3566" s="17">
        <f>IF(B3566="","","")</f>
        <v/>
      </c>
      <c r="I3566" s="17">
        <f>IF(B3566="","","")</f>
        <v/>
      </c>
      <c r="J3566" s="17">
        <f>IF(B3566="","","touch_1; "&amp;IFERROR(INDEX(Clay_Brands!$A$2:$FZ$601,115,Sync!$D$10)&amp;"","")&amp;"; "&amp;IFERROR(INDEX(Clay_Brands!$A$2:$FZ$601,115,Sync!$D$9)&amp;"",""))</f>
        <v/>
      </c>
      <c r="K3566" t="inlineStr">
        <is>
          <t>brand outreach touch 1</t>
        </is>
      </c>
    </row>
    <row r="3567">
      <c r="A3567" s="17">
        <f>IF(B3567="","",B3567+(15*1000+116)/10000000)</f>
        <v/>
      </c>
      <c r="B3567" s="23">
        <f>IF(AND(IFERROR(N(INDEX(Clay_Brands!$A$2:$FZ$601,116,Sync!$D$11)),0)&gt;0,IFERROR(INDEX(Clay_Brands!$A$2:$FZ$601,116,Sync!$D$5)&amp;"","")&lt;&gt;"",OR(LEFT(IFERROR(INDEX(Clay_Brands!$A$2:$FZ$601,116,Sync!$D$5)&amp;"",""),6)&lt;&gt;"SAMPLE",Config!$B$19="Y")),IFERROR(N(INDEX(Clay_Brands!$A$2:$FZ$601,116,Sync!$D$11)),0),"")</f>
        <v/>
      </c>
      <c r="C3567" s="17">
        <f>IF(B3567="","","brand")</f>
        <v/>
      </c>
      <c r="D3567" s="17">
        <f>IF(B3567="","",IFERROR(INDEX(Clay_Brands!$A$2:$FZ$601,116,Sync!$D$5)&amp;"",""))</f>
        <v/>
      </c>
      <c r="E3567" s="17">
        <f>IF(B3567="","",IFERROR(INDEX(Clay_Brands!$A$2:$FZ$601,116,Sync!$D$6)&amp;"",""))</f>
        <v/>
      </c>
      <c r="F3567" s="17">
        <f>IF(B3567="","","outreach_sent")</f>
        <v/>
      </c>
      <c r="G3567" s="17">
        <f>IF(B3567="","","")</f>
        <v/>
      </c>
      <c r="H3567" s="17">
        <f>IF(B3567="","","")</f>
        <v/>
      </c>
      <c r="I3567" s="17">
        <f>IF(B3567="","","")</f>
        <v/>
      </c>
      <c r="J3567" s="17">
        <f>IF(B3567="","","touch_1; "&amp;IFERROR(INDEX(Clay_Brands!$A$2:$FZ$601,116,Sync!$D$10)&amp;"","")&amp;"; "&amp;IFERROR(INDEX(Clay_Brands!$A$2:$FZ$601,116,Sync!$D$9)&amp;"",""))</f>
        <v/>
      </c>
      <c r="K3567" t="inlineStr">
        <is>
          <t>brand outreach touch 1</t>
        </is>
      </c>
    </row>
    <row r="3568">
      <c r="A3568" s="17">
        <f>IF(B3568="","",B3568+(15*1000+117)/10000000)</f>
        <v/>
      </c>
      <c r="B3568" s="23">
        <f>IF(AND(IFERROR(N(INDEX(Clay_Brands!$A$2:$FZ$601,117,Sync!$D$11)),0)&gt;0,IFERROR(INDEX(Clay_Brands!$A$2:$FZ$601,117,Sync!$D$5)&amp;"","")&lt;&gt;"",OR(LEFT(IFERROR(INDEX(Clay_Brands!$A$2:$FZ$601,117,Sync!$D$5)&amp;"",""),6)&lt;&gt;"SAMPLE",Config!$B$19="Y")),IFERROR(N(INDEX(Clay_Brands!$A$2:$FZ$601,117,Sync!$D$11)),0),"")</f>
        <v/>
      </c>
      <c r="C3568" s="17">
        <f>IF(B3568="","","brand")</f>
        <v/>
      </c>
      <c r="D3568" s="17">
        <f>IF(B3568="","",IFERROR(INDEX(Clay_Brands!$A$2:$FZ$601,117,Sync!$D$5)&amp;"",""))</f>
        <v/>
      </c>
      <c r="E3568" s="17">
        <f>IF(B3568="","",IFERROR(INDEX(Clay_Brands!$A$2:$FZ$601,117,Sync!$D$6)&amp;"",""))</f>
        <v/>
      </c>
      <c r="F3568" s="17">
        <f>IF(B3568="","","outreach_sent")</f>
        <v/>
      </c>
      <c r="G3568" s="17">
        <f>IF(B3568="","","")</f>
        <v/>
      </c>
      <c r="H3568" s="17">
        <f>IF(B3568="","","")</f>
        <v/>
      </c>
      <c r="I3568" s="17">
        <f>IF(B3568="","","")</f>
        <v/>
      </c>
      <c r="J3568" s="17">
        <f>IF(B3568="","","touch_1; "&amp;IFERROR(INDEX(Clay_Brands!$A$2:$FZ$601,117,Sync!$D$10)&amp;"","")&amp;"; "&amp;IFERROR(INDEX(Clay_Brands!$A$2:$FZ$601,117,Sync!$D$9)&amp;"",""))</f>
        <v/>
      </c>
      <c r="K3568" t="inlineStr">
        <is>
          <t>brand outreach touch 1</t>
        </is>
      </c>
    </row>
    <row r="3569">
      <c r="A3569" s="17">
        <f>IF(B3569="","",B3569+(15*1000+118)/10000000)</f>
        <v/>
      </c>
      <c r="B3569" s="23">
        <f>IF(AND(IFERROR(N(INDEX(Clay_Brands!$A$2:$FZ$601,118,Sync!$D$11)),0)&gt;0,IFERROR(INDEX(Clay_Brands!$A$2:$FZ$601,118,Sync!$D$5)&amp;"","")&lt;&gt;"",OR(LEFT(IFERROR(INDEX(Clay_Brands!$A$2:$FZ$601,118,Sync!$D$5)&amp;"",""),6)&lt;&gt;"SAMPLE",Config!$B$19="Y")),IFERROR(N(INDEX(Clay_Brands!$A$2:$FZ$601,118,Sync!$D$11)),0),"")</f>
        <v/>
      </c>
      <c r="C3569" s="17">
        <f>IF(B3569="","","brand")</f>
        <v/>
      </c>
      <c r="D3569" s="17">
        <f>IF(B3569="","",IFERROR(INDEX(Clay_Brands!$A$2:$FZ$601,118,Sync!$D$5)&amp;"",""))</f>
        <v/>
      </c>
      <c r="E3569" s="17">
        <f>IF(B3569="","",IFERROR(INDEX(Clay_Brands!$A$2:$FZ$601,118,Sync!$D$6)&amp;"",""))</f>
        <v/>
      </c>
      <c r="F3569" s="17">
        <f>IF(B3569="","","outreach_sent")</f>
        <v/>
      </c>
      <c r="G3569" s="17">
        <f>IF(B3569="","","")</f>
        <v/>
      </c>
      <c r="H3569" s="17">
        <f>IF(B3569="","","")</f>
        <v/>
      </c>
      <c r="I3569" s="17">
        <f>IF(B3569="","","")</f>
        <v/>
      </c>
      <c r="J3569" s="17">
        <f>IF(B3569="","","touch_1; "&amp;IFERROR(INDEX(Clay_Brands!$A$2:$FZ$601,118,Sync!$D$10)&amp;"","")&amp;"; "&amp;IFERROR(INDEX(Clay_Brands!$A$2:$FZ$601,118,Sync!$D$9)&amp;"",""))</f>
        <v/>
      </c>
      <c r="K3569" t="inlineStr">
        <is>
          <t>brand outreach touch 1</t>
        </is>
      </c>
    </row>
    <row r="3570">
      <c r="A3570" s="17">
        <f>IF(B3570="","",B3570+(15*1000+119)/10000000)</f>
        <v/>
      </c>
      <c r="B3570" s="23">
        <f>IF(AND(IFERROR(N(INDEX(Clay_Brands!$A$2:$FZ$601,119,Sync!$D$11)),0)&gt;0,IFERROR(INDEX(Clay_Brands!$A$2:$FZ$601,119,Sync!$D$5)&amp;"","")&lt;&gt;"",OR(LEFT(IFERROR(INDEX(Clay_Brands!$A$2:$FZ$601,119,Sync!$D$5)&amp;"",""),6)&lt;&gt;"SAMPLE",Config!$B$19="Y")),IFERROR(N(INDEX(Clay_Brands!$A$2:$FZ$601,119,Sync!$D$11)),0),"")</f>
        <v/>
      </c>
      <c r="C3570" s="17">
        <f>IF(B3570="","","brand")</f>
        <v/>
      </c>
      <c r="D3570" s="17">
        <f>IF(B3570="","",IFERROR(INDEX(Clay_Brands!$A$2:$FZ$601,119,Sync!$D$5)&amp;"",""))</f>
        <v/>
      </c>
      <c r="E3570" s="17">
        <f>IF(B3570="","",IFERROR(INDEX(Clay_Brands!$A$2:$FZ$601,119,Sync!$D$6)&amp;"",""))</f>
        <v/>
      </c>
      <c r="F3570" s="17">
        <f>IF(B3570="","","outreach_sent")</f>
        <v/>
      </c>
      <c r="G3570" s="17">
        <f>IF(B3570="","","")</f>
        <v/>
      </c>
      <c r="H3570" s="17">
        <f>IF(B3570="","","")</f>
        <v/>
      </c>
      <c r="I3570" s="17">
        <f>IF(B3570="","","")</f>
        <v/>
      </c>
      <c r="J3570" s="17">
        <f>IF(B3570="","","touch_1; "&amp;IFERROR(INDEX(Clay_Brands!$A$2:$FZ$601,119,Sync!$D$10)&amp;"","")&amp;"; "&amp;IFERROR(INDEX(Clay_Brands!$A$2:$FZ$601,119,Sync!$D$9)&amp;"",""))</f>
        <v/>
      </c>
      <c r="K3570" t="inlineStr">
        <is>
          <t>brand outreach touch 1</t>
        </is>
      </c>
    </row>
    <row r="3571">
      <c r="A3571" s="17">
        <f>IF(B3571="","",B3571+(15*1000+120)/10000000)</f>
        <v/>
      </c>
      <c r="B3571" s="23">
        <f>IF(AND(IFERROR(N(INDEX(Clay_Brands!$A$2:$FZ$601,120,Sync!$D$11)),0)&gt;0,IFERROR(INDEX(Clay_Brands!$A$2:$FZ$601,120,Sync!$D$5)&amp;"","")&lt;&gt;"",OR(LEFT(IFERROR(INDEX(Clay_Brands!$A$2:$FZ$601,120,Sync!$D$5)&amp;"",""),6)&lt;&gt;"SAMPLE",Config!$B$19="Y")),IFERROR(N(INDEX(Clay_Brands!$A$2:$FZ$601,120,Sync!$D$11)),0),"")</f>
        <v/>
      </c>
      <c r="C3571" s="17">
        <f>IF(B3571="","","brand")</f>
        <v/>
      </c>
      <c r="D3571" s="17">
        <f>IF(B3571="","",IFERROR(INDEX(Clay_Brands!$A$2:$FZ$601,120,Sync!$D$5)&amp;"",""))</f>
        <v/>
      </c>
      <c r="E3571" s="17">
        <f>IF(B3571="","",IFERROR(INDEX(Clay_Brands!$A$2:$FZ$601,120,Sync!$D$6)&amp;"",""))</f>
        <v/>
      </c>
      <c r="F3571" s="17">
        <f>IF(B3571="","","outreach_sent")</f>
        <v/>
      </c>
      <c r="G3571" s="17">
        <f>IF(B3571="","","")</f>
        <v/>
      </c>
      <c r="H3571" s="17">
        <f>IF(B3571="","","")</f>
        <v/>
      </c>
      <c r="I3571" s="17">
        <f>IF(B3571="","","")</f>
        <v/>
      </c>
      <c r="J3571" s="17">
        <f>IF(B3571="","","touch_1; "&amp;IFERROR(INDEX(Clay_Brands!$A$2:$FZ$601,120,Sync!$D$10)&amp;"","")&amp;"; "&amp;IFERROR(INDEX(Clay_Brands!$A$2:$FZ$601,120,Sync!$D$9)&amp;"",""))</f>
        <v/>
      </c>
      <c r="K3571" t="inlineStr">
        <is>
          <t>brand outreach touch 1</t>
        </is>
      </c>
    </row>
    <row r="3572">
      <c r="A3572" s="17">
        <f>IF(B3572="","",B3572+(15*1000+121)/10000000)</f>
        <v/>
      </c>
      <c r="B3572" s="23">
        <f>IF(AND(IFERROR(N(INDEX(Clay_Brands!$A$2:$FZ$601,121,Sync!$D$11)),0)&gt;0,IFERROR(INDEX(Clay_Brands!$A$2:$FZ$601,121,Sync!$D$5)&amp;"","")&lt;&gt;"",OR(LEFT(IFERROR(INDEX(Clay_Brands!$A$2:$FZ$601,121,Sync!$D$5)&amp;"",""),6)&lt;&gt;"SAMPLE",Config!$B$19="Y")),IFERROR(N(INDEX(Clay_Brands!$A$2:$FZ$601,121,Sync!$D$11)),0),"")</f>
        <v/>
      </c>
      <c r="C3572" s="17">
        <f>IF(B3572="","","brand")</f>
        <v/>
      </c>
      <c r="D3572" s="17">
        <f>IF(B3572="","",IFERROR(INDEX(Clay_Brands!$A$2:$FZ$601,121,Sync!$D$5)&amp;"",""))</f>
        <v/>
      </c>
      <c r="E3572" s="17">
        <f>IF(B3572="","",IFERROR(INDEX(Clay_Brands!$A$2:$FZ$601,121,Sync!$D$6)&amp;"",""))</f>
        <v/>
      </c>
      <c r="F3572" s="17">
        <f>IF(B3572="","","outreach_sent")</f>
        <v/>
      </c>
      <c r="G3572" s="17">
        <f>IF(B3572="","","")</f>
        <v/>
      </c>
      <c r="H3572" s="17">
        <f>IF(B3572="","","")</f>
        <v/>
      </c>
      <c r="I3572" s="17">
        <f>IF(B3572="","","")</f>
        <v/>
      </c>
      <c r="J3572" s="17">
        <f>IF(B3572="","","touch_1; "&amp;IFERROR(INDEX(Clay_Brands!$A$2:$FZ$601,121,Sync!$D$10)&amp;"","")&amp;"; "&amp;IFERROR(INDEX(Clay_Brands!$A$2:$FZ$601,121,Sync!$D$9)&amp;"",""))</f>
        <v/>
      </c>
      <c r="K3572" t="inlineStr">
        <is>
          <t>brand outreach touch 1</t>
        </is>
      </c>
    </row>
    <row r="3573">
      <c r="A3573" s="17">
        <f>IF(B3573="","",B3573+(15*1000+122)/10000000)</f>
        <v/>
      </c>
      <c r="B3573" s="23">
        <f>IF(AND(IFERROR(N(INDEX(Clay_Brands!$A$2:$FZ$601,122,Sync!$D$11)),0)&gt;0,IFERROR(INDEX(Clay_Brands!$A$2:$FZ$601,122,Sync!$D$5)&amp;"","")&lt;&gt;"",OR(LEFT(IFERROR(INDEX(Clay_Brands!$A$2:$FZ$601,122,Sync!$D$5)&amp;"",""),6)&lt;&gt;"SAMPLE",Config!$B$19="Y")),IFERROR(N(INDEX(Clay_Brands!$A$2:$FZ$601,122,Sync!$D$11)),0),"")</f>
        <v/>
      </c>
      <c r="C3573" s="17">
        <f>IF(B3573="","","brand")</f>
        <v/>
      </c>
      <c r="D3573" s="17">
        <f>IF(B3573="","",IFERROR(INDEX(Clay_Brands!$A$2:$FZ$601,122,Sync!$D$5)&amp;"",""))</f>
        <v/>
      </c>
      <c r="E3573" s="17">
        <f>IF(B3573="","",IFERROR(INDEX(Clay_Brands!$A$2:$FZ$601,122,Sync!$D$6)&amp;"",""))</f>
        <v/>
      </c>
      <c r="F3573" s="17">
        <f>IF(B3573="","","outreach_sent")</f>
        <v/>
      </c>
      <c r="G3573" s="17">
        <f>IF(B3573="","","")</f>
        <v/>
      </c>
      <c r="H3573" s="17">
        <f>IF(B3573="","","")</f>
        <v/>
      </c>
      <c r="I3573" s="17">
        <f>IF(B3573="","","")</f>
        <v/>
      </c>
      <c r="J3573" s="17">
        <f>IF(B3573="","","touch_1; "&amp;IFERROR(INDEX(Clay_Brands!$A$2:$FZ$601,122,Sync!$D$10)&amp;"","")&amp;"; "&amp;IFERROR(INDEX(Clay_Brands!$A$2:$FZ$601,122,Sync!$D$9)&amp;"",""))</f>
        <v/>
      </c>
      <c r="K3573" t="inlineStr">
        <is>
          <t>brand outreach touch 1</t>
        </is>
      </c>
    </row>
    <row r="3574">
      <c r="A3574" s="17">
        <f>IF(B3574="","",B3574+(15*1000+123)/10000000)</f>
        <v/>
      </c>
      <c r="B3574" s="23">
        <f>IF(AND(IFERROR(N(INDEX(Clay_Brands!$A$2:$FZ$601,123,Sync!$D$11)),0)&gt;0,IFERROR(INDEX(Clay_Brands!$A$2:$FZ$601,123,Sync!$D$5)&amp;"","")&lt;&gt;"",OR(LEFT(IFERROR(INDEX(Clay_Brands!$A$2:$FZ$601,123,Sync!$D$5)&amp;"",""),6)&lt;&gt;"SAMPLE",Config!$B$19="Y")),IFERROR(N(INDEX(Clay_Brands!$A$2:$FZ$601,123,Sync!$D$11)),0),"")</f>
        <v/>
      </c>
      <c r="C3574" s="17">
        <f>IF(B3574="","","brand")</f>
        <v/>
      </c>
      <c r="D3574" s="17">
        <f>IF(B3574="","",IFERROR(INDEX(Clay_Brands!$A$2:$FZ$601,123,Sync!$D$5)&amp;"",""))</f>
        <v/>
      </c>
      <c r="E3574" s="17">
        <f>IF(B3574="","",IFERROR(INDEX(Clay_Brands!$A$2:$FZ$601,123,Sync!$D$6)&amp;"",""))</f>
        <v/>
      </c>
      <c r="F3574" s="17">
        <f>IF(B3574="","","outreach_sent")</f>
        <v/>
      </c>
      <c r="G3574" s="17">
        <f>IF(B3574="","","")</f>
        <v/>
      </c>
      <c r="H3574" s="17">
        <f>IF(B3574="","","")</f>
        <v/>
      </c>
      <c r="I3574" s="17">
        <f>IF(B3574="","","")</f>
        <v/>
      </c>
      <c r="J3574" s="17">
        <f>IF(B3574="","","touch_1; "&amp;IFERROR(INDEX(Clay_Brands!$A$2:$FZ$601,123,Sync!$D$10)&amp;"","")&amp;"; "&amp;IFERROR(INDEX(Clay_Brands!$A$2:$FZ$601,123,Sync!$D$9)&amp;"",""))</f>
        <v/>
      </c>
      <c r="K3574" t="inlineStr">
        <is>
          <t>brand outreach touch 1</t>
        </is>
      </c>
    </row>
    <row r="3575">
      <c r="A3575" s="17">
        <f>IF(B3575="","",B3575+(15*1000+124)/10000000)</f>
        <v/>
      </c>
      <c r="B3575" s="23">
        <f>IF(AND(IFERROR(N(INDEX(Clay_Brands!$A$2:$FZ$601,124,Sync!$D$11)),0)&gt;0,IFERROR(INDEX(Clay_Brands!$A$2:$FZ$601,124,Sync!$D$5)&amp;"","")&lt;&gt;"",OR(LEFT(IFERROR(INDEX(Clay_Brands!$A$2:$FZ$601,124,Sync!$D$5)&amp;"",""),6)&lt;&gt;"SAMPLE",Config!$B$19="Y")),IFERROR(N(INDEX(Clay_Brands!$A$2:$FZ$601,124,Sync!$D$11)),0),"")</f>
        <v/>
      </c>
      <c r="C3575" s="17">
        <f>IF(B3575="","","brand")</f>
        <v/>
      </c>
      <c r="D3575" s="17">
        <f>IF(B3575="","",IFERROR(INDEX(Clay_Brands!$A$2:$FZ$601,124,Sync!$D$5)&amp;"",""))</f>
        <v/>
      </c>
      <c r="E3575" s="17">
        <f>IF(B3575="","",IFERROR(INDEX(Clay_Brands!$A$2:$FZ$601,124,Sync!$D$6)&amp;"",""))</f>
        <v/>
      </c>
      <c r="F3575" s="17">
        <f>IF(B3575="","","outreach_sent")</f>
        <v/>
      </c>
      <c r="G3575" s="17">
        <f>IF(B3575="","","")</f>
        <v/>
      </c>
      <c r="H3575" s="17">
        <f>IF(B3575="","","")</f>
        <v/>
      </c>
      <c r="I3575" s="17">
        <f>IF(B3575="","","")</f>
        <v/>
      </c>
      <c r="J3575" s="17">
        <f>IF(B3575="","","touch_1; "&amp;IFERROR(INDEX(Clay_Brands!$A$2:$FZ$601,124,Sync!$D$10)&amp;"","")&amp;"; "&amp;IFERROR(INDEX(Clay_Brands!$A$2:$FZ$601,124,Sync!$D$9)&amp;"",""))</f>
        <v/>
      </c>
      <c r="K3575" t="inlineStr">
        <is>
          <t>brand outreach touch 1</t>
        </is>
      </c>
    </row>
    <row r="3576">
      <c r="A3576" s="17">
        <f>IF(B3576="","",B3576+(15*1000+125)/10000000)</f>
        <v/>
      </c>
      <c r="B3576" s="23">
        <f>IF(AND(IFERROR(N(INDEX(Clay_Brands!$A$2:$FZ$601,125,Sync!$D$11)),0)&gt;0,IFERROR(INDEX(Clay_Brands!$A$2:$FZ$601,125,Sync!$D$5)&amp;"","")&lt;&gt;"",OR(LEFT(IFERROR(INDEX(Clay_Brands!$A$2:$FZ$601,125,Sync!$D$5)&amp;"",""),6)&lt;&gt;"SAMPLE",Config!$B$19="Y")),IFERROR(N(INDEX(Clay_Brands!$A$2:$FZ$601,125,Sync!$D$11)),0),"")</f>
        <v/>
      </c>
      <c r="C3576" s="17">
        <f>IF(B3576="","","brand")</f>
        <v/>
      </c>
      <c r="D3576" s="17">
        <f>IF(B3576="","",IFERROR(INDEX(Clay_Brands!$A$2:$FZ$601,125,Sync!$D$5)&amp;"",""))</f>
        <v/>
      </c>
      <c r="E3576" s="17">
        <f>IF(B3576="","",IFERROR(INDEX(Clay_Brands!$A$2:$FZ$601,125,Sync!$D$6)&amp;"",""))</f>
        <v/>
      </c>
      <c r="F3576" s="17">
        <f>IF(B3576="","","outreach_sent")</f>
        <v/>
      </c>
      <c r="G3576" s="17">
        <f>IF(B3576="","","")</f>
        <v/>
      </c>
      <c r="H3576" s="17">
        <f>IF(B3576="","","")</f>
        <v/>
      </c>
      <c r="I3576" s="17">
        <f>IF(B3576="","","")</f>
        <v/>
      </c>
      <c r="J3576" s="17">
        <f>IF(B3576="","","touch_1; "&amp;IFERROR(INDEX(Clay_Brands!$A$2:$FZ$601,125,Sync!$D$10)&amp;"","")&amp;"; "&amp;IFERROR(INDEX(Clay_Brands!$A$2:$FZ$601,125,Sync!$D$9)&amp;"",""))</f>
        <v/>
      </c>
      <c r="K3576" t="inlineStr">
        <is>
          <t>brand outreach touch 1</t>
        </is>
      </c>
    </row>
    <row r="3577">
      <c r="A3577" s="17">
        <f>IF(B3577="","",B3577+(15*1000+126)/10000000)</f>
        <v/>
      </c>
      <c r="B3577" s="23">
        <f>IF(AND(IFERROR(N(INDEX(Clay_Brands!$A$2:$FZ$601,126,Sync!$D$11)),0)&gt;0,IFERROR(INDEX(Clay_Brands!$A$2:$FZ$601,126,Sync!$D$5)&amp;"","")&lt;&gt;"",OR(LEFT(IFERROR(INDEX(Clay_Brands!$A$2:$FZ$601,126,Sync!$D$5)&amp;"",""),6)&lt;&gt;"SAMPLE",Config!$B$19="Y")),IFERROR(N(INDEX(Clay_Brands!$A$2:$FZ$601,126,Sync!$D$11)),0),"")</f>
        <v/>
      </c>
      <c r="C3577" s="17">
        <f>IF(B3577="","","brand")</f>
        <v/>
      </c>
      <c r="D3577" s="17">
        <f>IF(B3577="","",IFERROR(INDEX(Clay_Brands!$A$2:$FZ$601,126,Sync!$D$5)&amp;"",""))</f>
        <v/>
      </c>
      <c r="E3577" s="17">
        <f>IF(B3577="","",IFERROR(INDEX(Clay_Brands!$A$2:$FZ$601,126,Sync!$D$6)&amp;"",""))</f>
        <v/>
      </c>
      <c r="F3577" s="17">
        <f>IF(B3577="","","outreach_sent")</f>
        <v/>
      </c>
      <c r="G3577" s="17">
        <f>IF(B3577="","","")</f>
        <v/>
      </c>
      <c r="H3577" s="17">
        <f>IF(B3577="","","")</f>
        <v/>
      </c>
      <c r="I3577" s="17">
        <f>IF(B3577="","","")</f>
        <v/>
      </c>
      <c r="J3577" s="17">
        <f>IF(B3577="","","touch_1; "&amp;IFERROR(INDEX(Clay_Brands!$A$2:$FZ$601,126,Sync!$D$10)&amp;"","")&amp;"; "&amp;IFERROR(INDEX(Clay_Brands!$A$2:$FZ$601,126,Sync!$D$9)&amp;"",""))</f>
        <v/>
      </c>
      <c r="K3577" t="inlineStr">
        <is>
          <t>brand outreach touch 1</t>
        </is>
      </c>
    </row>
    <row r="3578">
      <c r="A3578" s="17">
        <f>IF(B3578="","",B3578+(15*1000+127)/10000000)</f>
        <v/>
      </c>
      <c r="B3578" s="23">
        <f>IF(AND(IFERROR(N(INDEX(Clay_Brands!$A$2:$FZ$601,127,Sync!$D$11)),0)&gt;0,IFERROR(INDEX(Clay_Brands!$A$2:$FZ$601,127,Sync!$D$5)&amp;"","")&lt;&gt;"",OR(LEFT(IFERROR(INDEX(Clay_Brands!$A$2:$FZ$601,127,Sync!$D$5)&amp;"",""),6)&lt;&gt;"SAMPLE",Config!$B$19="Y")),IFERROR(N(INDEX(Clay_Brands!$A$2:$FZ$601,127,Sync!$D$11)),0),"")</f>
        <v/>
      </c>
      <c r="C3578" s="17">
        <f>IF(B3578="","","brand")</f>
        <v/>
      </c>
      <c r="D3578" s="17">
        <f>IF(B3578="","",IFERROR(INDEX(Clay_Brands!$A$2:$FZ$601,127,Sync!$D$5)&amp;"",""))</f>
        <v/>
      </c>
      <c r="E3578" s="17">
        <f>IF(B3578="","",IFERROR(INDEX(Clay_Brands!$A$2:$FZ$601,127,Sync!$D$6)&amp;"",""))</f>
        <v/>
      </c>
      <c r="F3578" s="17">
        <f>IF(B3578="","","outreach_sent")</f>
        <v/>
      </c>
      <c r="G3578" s="17">
        <f>IF(B3578="","","")</f>
        <v/>
      </c>
      <c r="H3578" s="17">
        <f>IF(B3578="","","")</f>
        <v/>
      </c>
      <c r="I3578" s="17">
        <f>IF(B3578="","","")</f>
        <v/>
      </c>
      <c r="J3578" s="17">
        <f>IF(B3578="","","touch_1; "&amp;IFERROR(INDEX(Clay_Brands!$A$2:$FZ$601,127,Sync!$D$10)&amp;"","")&amp;"; "&amp;IFERROR(INDEX(Clay_Brands!$A$2:$FZ$601,127,Sync!$D$9)&amp;"",""))</f>
        <v/>
      </c>
      <c r="K3578" t="inlineStr">
        <is>
          <t>brand outreach touch 1</t>
        </is>
      </c>
    </row>
    <row r="3579">
      <c r="A3579" s="17">
        <f>IF(B3579="","",B3579+(15*1000+128)/10000000)</f>
        <v/>
      </c>
      <c r="B3579" s="23">
        <f>IF(AND(IFERROR(N(INDEX(Clay_Brands!$A$2:$FZ$601,128,Sync!$D$11)),0)&gt;0,IFERROR(INDEX(Clay_Brands!$A$2:$FZ$601,128,Sync!$D$5)&amp;"","")&lt;&gt;"",OR(LEFT(IFERROR(INDEX(Clay_Brands!$A$2:$FZ$601,128,Sync!$D$5)&amp;"",""),6)&lt;&gt;"SAMPLE",Config!$B$19="Y")),IFERROR(N(INDEX(Clay_Brands!$A$2:$FZ$601,128,Sync!$D$11)),0),"")</f>
        <v/>
      </c>
      <c r="C3579" s="17">
        <f>IF(B3579="","","brand")</f>
        <v/>
      </c>
      <c r="D3579" s="17">
        <f>IF(B3579="","",IFERROR(INDEX(Clay_Brands!$A$2:$FZ$601,128,Sync!$D$5)&amp;"",""))</f>
        <v/>
      </c>
      <c r="E3579" s="17">
        <f>IF(B3579="","",IFERROR(INDEX(Clay_Brands!$A$2:$FZ$601,128,Sync!$D$6)&amp;"",""))</f>
        <v/>
      </c>
      <c r="F3579" s="17">
        <f>IF(B3579="","","outreach_sent")</f>
        <v/>
      </c>
      <c r="G3579" s="17">
        <f>IF(B3579="","","")</f>
        <v/>
      </c>
      <c r="H3579" s="17">
        <f>IF(B3579="","","")</f>
        <v/>
      </c>
      <c r="I3579" s="17">
        <f>IF(B3579="","","")</f>
        <v/>
      </c>
      <c r="J3579" s="17">
        <f>IF(B3579="","","touch_1; "&amp;IFERROR(INDEX(Clay_Brands!$A$2:$FZ$601,128,Sync!$D$10)&amp;"","")&amp;"; "&amp;IFERROR(INDEX(Clay_Brands!$A$2:$FZ$601,128,Sync!$D$9)&amp;"",""))</f>
        <v/>
      </c>
      <c r="K3579" t="inlineStr">
        <is>
          <t>brand outreach touch 1</t>
        </is>
      </c>
    </row>
    <row r="3580">
      <c r="A3580" s="17">
        <f>IF(B3580="","",B3580+(15*1000+129)/10000000)</f>
        <v/>
      </c>
      <c r="B3580" s="23">
        <f>IF(AND(IFERROR(N(INDEX(Clay_Brands!$A$2:$FZ$601,129,Sync!$D$11)),0)&gt;0,IFERROR(INDEX(Clay_Brands!$A$2:$FZ$601,129,Sync!$D$5)&amp;"","")&lt;&gt;"",OR(LEFT(IFERROR(INDEX(Clay_Brands!$A$2:$FZ$601,129,Sync!$D$5)&amp;"",""),6)&lt;&gt;"SAMPLE",Config!$B$19="Y")),IFERROR(N(INDEX(Clay_Brands!$A$2:$FZ$601,129,Sync!$D$11)),0),"")</f>
        <v/>
      </c>
      <c r="C3580" s="17">
        <f>IF(B3580="","","brand")</f>
        <v/>
      </c>
      <c r="D3580" s="17">
        <f>IF(B3580="","",IFERROR(INDEX(Clay_Brands!$A$2:$FZ$601,129,Sync!$D$5)&amp;"",""))</f>
        <v/>
      </c>
      <c r="E3580" s="17">
        <f>IF(B3580="","",IFERROR(INDEX(Clay_Brands!$A$2:$FZ$601,129,Sync!$D$6)&amp;"",""))</f>
        <v/>
      </c>
      <c r="F3580" s="17">
        <f>IF(B3580="","","outreach_sent")</f>
        <v/>
      </c>
      <c r="G3580" s="17">
        <f>IF(B3580="","","")</f>
        <v/>
      </c>
      <c r="H3580" s="17">
        <f>IF(B3580="","","")</f>
        <v/>
      </c>
      <c r="I3580" s="17">
        <f>IF(B3580="","","")</f>
        <v/>
      </c>
      <c r="J3580" s="17">
        <f>IF(B3580="","","touch_1; "&amp;IFERROR(INDEX(Clay_Brands!$A$2:$FZ$601,129,Sync!$D$10)&amp;"","")&amp;"; "&amp;IFERROR(INDEX(Clay_Brands!$A$2:$FZ$601,129,Sync!$D$9)&amp;"",""))</f>
        <v/>
      </c>
      <c r="K3580" t="inlineStr">
        <is>
          <t>brand outreach touch 1</t>
        </is>
      </c>
    </row>
    <row r="3581">
      <c r="A3581" s="17">
        <f>IF(B3581="","",B3581+(15*1000+130)/10000000)</f>
        <v/>
      </c>
      <c r="B3581" s="23">
        <f>IF(AND(IFERROR(N(INDEX(Clay_Brands!$A$2:$FZ$601,130,Sync!$D$11)),0)&gt;0,IFERROR(INDEX(Clay_Brands!$A$2:$FZ$601,130,Sync!$D$5)&amp;"","")&lt;&gt;"",OR(LEFT(IFERROR(INDEX(Clay_Brands!$A$2:$FZ$601,130,Sync!$D$5)&amp;"",""),6)&lt;&gt;"SAMPLE",Config!$B$19="Y")),IFERROR(N(INDEX(Clay_Brands!$A$2:$FZ$601,130,Sync!$D$11)),0),"")</f>
        <v/>
      </c>
      <c r="C3581" s="17">
        <f>IF(B3581="","","brand")</f>
        <v/>
      </c>
      <c r="D3581" s="17">
        <f>IF(B3581="","",IFERROR(INDEX(Clay_Brands!$A$2:$FZ$601,130,Sync!$D$5)&amp;"",""))</f>
        <v/>
      </c>
      <c r="E3581" s="17">
        <f>IF(B3581="","",IFERROR(INDEX(Clay_Brands!$A$2:$FZ$601,130,Sync!$D$6)&amp;"",""))</f>
        <v/>
      </c>
      <c r="F3581" s="17">
        <f>IF(B3581="","","outreach_sent")</f>
        <v/>
      </c>
      <c r="G3581" s="17">
        <f>IF(B3581="","","")</f>
        <v/>
      </c>
      <c r="H3581" s="17">
        <f>IF(B3581="","","")</f>
        <v/>
      </c>
      <c r="I3581" s="17">
        <f>IF(B3581="","","")</f>
        <v/>
      </c>
      <c r="J3581" s="17">
        <f>IF(B3581="","","touch_1; "&amp;IFERROR(INDEX(Clay_Brands!$A$2:$FZ$601,130,Sync!$D$10)&amp;"","")&amp;"; "&amp;IFERROR(INDEX(Clay_Brands!$A$2:$FZ$601,130,Sync!$D$9)&amp;"",""))</f>
        <v/>
      </c>
      <c r="K3581" t="inlineStr">
        <is>
          <t>brand outreach touch 1</t>
        </is>
      </c>
    </row>
    <row r="3582">
      <c r="A3582" s="17">
        <f>IF(B3582="","",B3582+(15*1000+131)/10000000)</f>
        <v/>
      </c>
      <c r="B3582" s="23">
        <f>IF(AND(IFERROR(N(INDEX(Clay_Brands!$A$2:$FZ$601,131,Sync!$D$11)),0)&gt;0,IFERROR(INDEX(Clay_Brands!$A$2:$FZ$601,131,Sync!$D$5)&amp;"","")&lt;&gt;"",OR(LEFT(IFERROR(INDEX(Clay_Brands!$A$2:$FZ$601,131,Sync!$D$5)&amp;"",""),6)&lt;&gt;"SAMPLE",Config!$B$19="Y")),IFERROR(N(INDEX(Clay_Brands!$A$2:$FZ$601,131,Sync!$D$11)),0),"")</f>
        <v/>
      </c>
      <c r="C3582" s="17">
        <f>IF(B3582="","","brand")</f>
        <v/>
      </c>
      <c r="D3582" s="17">
        <f>IF(B3582="","",IFERROR(INDEX(Clay_Brands!$A$2:$FZ$601,131,Sync!$D$5)&amp;"",""))</f>
        <v/>
      </c>
      <c r="E3582" s="17">
        <f>IF(B3582="","",IFERROR(INDEX(Clay_Brands!$A$2:$FZ$601,131,Sync!$D$6)&amp;"",""))</f>
        <v/>
      </c>
      <c r="F3582" s="17">
        <f>IF(B3582="","","outreach_sent")</f>
        <v/>
      </c>
      <c r="G3582" s="17">
        <f>IF(B3582="","","")</f>
        <v/>
      </c>
      <c r="H3582" s="17">
        <f>IF(B3582="","","")</f>
        <v/>
      </c>
      <c r="I3582" s="17">
        <f>IF(B3582="","","")</f>
        <v/>
      </c>
      <c r="J3582" s="17">
        <f>IF(B3582="","","touch_1; "&amp;IFERROR(INDEX(Clay_Brands!$A$2:$FZ$601,131,Sync!$D$10)&amp;"","")&amp;"; "&amp;IFERROR(INDEX(Clay_Brands!$A$2:$FZ$601,131,Sync!$D$9)&amp;"",""))</f>
        <v/>
      </c>
      <c r="K3582" t="inlineStr">
        <is>
          <t>brand outreach touch 1</t>
        </is>
      </c>
    </row>
    <row r="3583">
      <c r="A3583" s="17">
        <f>IF(B3583="","",B3583+(15*1000+132)/10000000)</f>
        <v/>
      </c>
      <c r="B3583" s="23">
        <f>IF(AND(IFERROR(N(INDEX(Clay_Brands!$A$2:$FZ$601,132,Sync!$D$11)),0)&gt;0,IFERROR(INDEX(Clay_Brands!$A$2:$FZ$601,132,Sync!$D$5)&amp;"","")&lt;&gt;"",OR(LEFT(IFERROR(INDEX(Clay_Brands!$A$2:$FZ$601,132,Sync!$D$5)&amp;"",""),6)&lt;&gt;"SAMPLE",Config!$B$19="Y")),IFERROR(N(INDEX(Clay_Brands!$A$2:$FZ$601,132,Sync!$D$11)),0),"")</f>
        <v/>
      </c>
      <c r="C3583" s="17">
        <f>IF(B3583="","","brand")</f>
        <v/>
      </c>
      <c r="D3583" s="17">
        <f>IF(B3583="","",IFERROR(INDEX(Clay_Brands!$A$2:$FZ$601,132,Sync!$D$5)&amp;"",""))</f>
        <v/>
      </c>
      <c r="E3583" s="17">
        <f>IF(B3583="","",IFERROR(INDEX(Clay_Brands!$A$2:$FZ$601,132,Sync!$D$6)&amp;"",""))</f>
        <v/>
      </c>
      <c r="F3583" s="17">
        <f>IF(B3583="","","outreach_sent")</f>
        <v/>
      </c>
      <c r="G3583" s="17">
        <f>IF(B3583="","","")</f>
        <v/>
      </c>
      <c r="H3583" s="17">
        <f>IF(B3583="","","")</f>
        <v/>
      </c>
      <c r="I3583" s="17">
        <f>IF(B3583="","","")</f>
        <v/>
      </c>
      <c r="J3583" s="17">
        <f>IF(B3583="","","touch_1; "&amp;IFERROR(INDEX(Clay_Brands!$A$2:$FZ$601,132,Sync!$D$10)&amp;"","")&amp;"; "&amp;IFERROR(INDEX(Clay_Brands!$A$2:$FZ$601,132,Sync!$D$9)&amp;"",""))</f>
        <v/>
      </c>
      <c r="K3583" t="inlineStr">
        <is>
          <t>brand outreach touch 1</t>
        </is>
      </c>
    </row>
    <row r="3584">
      <c r="A3584" s="17">
        <f>IF(B3584="","",B3584+(15*1000+133)/10000000)</f>
        <v/>
      </c>
      <c r="B3584" s="23">
        <f>IF(AND(IFERROR(N(INDEX(Clay_Brands!$A$2:$FZ$601,133,Sync!$D$11)),0)&gt;0,IFERROR(INDEX(Clay_Brands!$A$2:$FZ$601,133,Sync!$D$5)&amp;"","")&lt;&gt;"",OR(LEFT(IFERROR(INDEX(Clay_Brands!$A$2:$FZ$601,133,Sync!$D$5)&amp;"",""),6)&lt;&gt;"SAMPLE",Config!$B$19="Y")),IFERROR(N(INDEX(Clay_Brands!$A$2:$FZ$601,133,Sync!$D$11)),0),"")</f>
        <v/>
      </c>
      <c r="C3584" s="17">
        <f>IF(B3584="","","brand")</f>
        <v/>
      </c>
      <c r="D3584" s="17">
        <f>IF(B3584="","",IFERROR(INDEX(Clay_Brands!$A$2:$FZ$601,133,Sync!$D$5)&amp;"",""))</f>
        <v/>
      </c>
      <c r="E3584" s="17">
        <f>IF(B3584="","",IFERROR(INDEX(Clay_Brands!$A$2:$FZ$601,133,Sync!$D$6)&amp;"",""))</f>
        <v/>
      </c>
      <c r="F3584" s="17">
        <f>IF(B3584="","","outreach_sent")</f>
        <v/>
      </c>
      <c r="G3584" s="17">
        <f>IF(B3584="","","")</f>
        <v/>
      </c>
      <c r="H3584" s="17">
        <f>IF(B3584="","","")</f>
        <v/>
      </c>
      <c r="I3584" s="17">
        <f>IF(B3584="","","")</f>
        <v/>
      </c>
      <c r="J3584" s="17">
        <f>IF(B3584="","","touch_1; "&amp;IFERROR(INDEX(Clay_Brands!$A$2:$FZ$601,133,Sync!$D$10)&amp;"","")&amp;"; "&amp;IFERROR(INDEX(Clay_Brands!$A$2:$FZ$601,133,Sync!$D$9)&amp;"",""))</f>
        <v/>
      </c>
      <c r="K3584" t="inlineStr">
        <is>
          <t>brand outreach touch 1</t>
        </is>
      </c>
    </row>
    <row r="3585">
      <c r="A3585" s="17">
        <f>IF(B3585="","",B3585+(15*1000+134)/10000000)</f>
        <v/>
      </c>
      <c r="B3585" s="23">
        <f>IF(AND(IFERROR(N(INDEX(Clay_Brands!$A$2:$FZ$601,134,Sync!$D$11)),0)&gt;0,IFERROR(INDEX(Clay_Brands!$A$2:$FZ$601,134,Sync!$D$5)&amp;"","")&lt;&gt;"",OR(LEFT(IFERROR(INDEX(Clay_Brands!$A$2:$FZ$601,134,Sync!$D$5)&amp;"",""),6)&lt;&gt;"SAMPLE",Config!$B$19="Y")),IFERROR(N(INDEX(Clay_Brands!$A$2:$FZ$601,134,Sync!$D$11)),0),"")</f>
        <v/>
      </c>
      <c r="C3585" s="17">
        <f>IF(B3585="","","brand")</f>
        <v/>
      </c>
      <c r="D3585" s="17">
        <f>IF(B3585="","",IFERROR(INDEX(Clay_Brands!$A$2:$FZ$601,134,Sync!$D$5)&amp;"",""))</f>
        <v/>
      </c>
      <c r="E3585" s="17">
        <f>IF(B3585="","",IFERROR(INDEX(Clay_Brands!$A$2:$FZ$601,134,Sync!$D$6)&amp;"",""))</f>
        <v/>
      </c>
      <c r="F3585" s="17">
        <f>IF(B3585="","","outreach_sent")</f>
        <v/>
      </c>
      <c r="G3585" s="17">
        <f>IF(B3585="","","")</f>
        <v/>
      </c>
      <c r="H3585" s="17">
        <f>IF(B3585="","","")</f>
        <v/>
      </c>
      <c r="I3585" s="17">
        <f>IF(B3585="","","")</f>
        <v/>
      </c>
      <c r="J3585" s="17">
        <f>IF(B3585="","","touch_1; "&amp;IFERROR(INDEX(Clay_Brands!$A$2:$FZ$601,134,Sync!$D$10)&amp;"","")&amp;"; "&amp;IFERROR(INDEX(Clay_Brands!$A$2:$FZ$601,134,Sync!$D$9)&amp;"",""))</f>
        <v/>
      </c>
      <c r="K3585" t="inlineStr">
        <is>
          <t>brand outreach touch 1</t>
        </is>
      </c>
    </row>
    <row r="3586">
      <c r="A3586" s="17">
        <f>IF(B3586="","",B3586+(15*1000+135)/10000000)</f>
        <v/>
      </c>
      <c r="B3586" s="23">
        <f>IF(AND(IFERROR(N(INDEX(Clay_Brands!$A$2:$FZ$601,135,Sync!$D$11)),0)&gt;0,IFERROR(INDEX(Clay_Brands!$A$2:$FZ$601,135,Sync!$D$5)&amp;"","")&lt;&gt;"",OR(LEFT(IFERROR(INDEX(Clay_Brands!$A$2:$FZ$601,135,Sync!$D$5)&amp;"",""),6)&lt;&gt;"SAMPLE",Config!$B$19="Y")),IFERROR(N(INDEX(Clay_Brands!$A$2:$FZ$601,135,Sync!$D$11)),0),"")</f>
        <v/>
      </c>
      <c r="C3586" s="17">
        <f>IF(B3586="","","brand")</f>
        <v/>
      </c>
      <c r="D3586" s="17">
        <f>IF(B3586="","",IFERROR(INDEX(Clay_Brands!$A$2:$FZ$601,135,Sync!$D$5)&amp;"",""))</f>
        <v/>
      </c>
      <c r="E3586" s="17">
        <f>IF(B3586="","",IFERROR(INDEX(Clay_Brands!$A$2:$FZ$601,135,Sync!$D$6)&amp;"",""))</f>
        <v/>
      </c>
      <c r="F3586" s="17">
        <f>IF(B3586="","","outreach_sent")</f>
        <v/>
      </c>
      <c r="G3586" s="17">
        <f>IF(B3586="","","")</f>
        <v/>
      </c>
      <c r="H3586" s="17">
        <f>IF(B3586="","","")</f>
        <v/>
      </c>
      <c r="I3586" s="17">
        <f>IF(B3586="","","")</f>
        <v/>
      </c>
      <c r="J3586" s="17">
        <f>IF(B3586="","","touch_1; "&amp;IFERROR(INDEX(Clay_Brands!$A$2:$FZ$601,135,Sync!$D$10)&amp;"","")&amp;"; "&amp;IFERROR(INDEX(Clay_Brands!$A$2:$FZ$601,135,Sync!$D$9)&amp;"",""))</f>
        <v/>
      </c>
      <c r="K3586" t="inlineStr">
        <is>
          <t>brand outreach touch 1</t>
        </is>
      </c>
    </row>
    <row r="3587">
      <c r="A3587" s="17">
        <f>IF(B3587="","",B3587+(15*1000+136)/10000000)</f>
        <v/>
      </c>
      <c r="B3587" s="23">
        <f>IF(AND(IFERROR(N(INDEX(Clay_Brands!$A$2:$FZ$601,136,Sync!$D$11)),0)&gt;0,IFERROR(INDEX(Clay_Brands!$A$2:$FZ$601,136,Sync!$D$5)&amp;"","")&lt;&gt;"",OR(LEFT(IFERROR(INDEX(Clay_Brands!$A$2:$FZ$601,136,Sync!$D$5)&amp;"",""),6)&lt;&gt;"SAMPLE",Config!$B$19="Y")),IFERROR(N(INDEX(Clay_Brands!$A$2:$FZ$601,136,Sync!$D$11)),0),"")</f>
        <v/>
      </c>
      <c r="C3587" s="17">
        <f>IF(B3587="","","brand")</f>
        <v/>
      </c>
      <c r="D3587" s="17">
        <f>IF(B3587="","",IFERROR(INDEX(Clay_Brands!$A$2:$FZ$601,136,Sync!$D$5)&amp;"",""))</f>
        <v/>
      </c>
      <c r="E3587" s="17">
        <f>IF(B3587="","",IFERROR(INDEX(Clay_Brands!$A$2:$FZ$601,136,Sync!$D$6)&amp;"",""))</f>
        <v/>
      </c>
      <c r="F3587" s="17">
        <f>IF(B3587="","","outreach_sent")</f>
        <v/>
      </c>
      <c r="G3587" s="17">
        <f>IF(B3587="","","")</f>
        <v/>
      </c>
      <c r="H3587" s="17">
        <f>IF(B3587="","","")</f>
        <v/>
      </c>
      <c r="I3587" s="17">
        <f>IF(B3587="","","")</f>
        <v/>
      </c>
      <c r="J3587" s="17">
        <f>IF(B3587="","","touch_1; "&amp;IFERROR(INDEX(Clay_Brands!$A$2:$FZ$601,136,Sync!$D$10)&amp;"","")&amp;"; "&amp;IFERROR(INDEX(Clay_Brands!$A$2:$FZ$601,136,Sync!$D$9)&amp;"",""))</f>
        <v/>
      </c>
      <c r="K3587" t="inlineStr">
        <is>
          <t>brand outreach touch 1</t>
        </is>
      </c>
    </row>
    <row r="3588">
      <c r="A3588" s="17">
        <f>IF(B3588="","",B3588+(15*1000+137)/10000000)</f>
        <v/>
      </c>
      <c r="B3588" s="23">
        <f>IF(AND(IFERROR(N(INDEX(Clay_Brands!$A$2:$FZ$601,137,Sync!$D$11)),0)&gt;0,IFERROR(INDEX(Clay_Brands!$A$2:$FZ$601,137,Sync!$D$5)&amp;"","")&lt;&gt;"",OR(LEFT(IFERROR(INDEX(Clay_Brands!$A$2:$FZ$601,137,Sync!$D$5)&amp;"",""),6)&lt;&gt;"SAMPLE",Config!$B$19="Y")),IFERROR(N(INDEX(Clay_Brands!$A$2:$FZ$601,137,Sync!$D$11)),0),"")</f>
        <v/>
      </c>
      <c r="C3588" s="17">
        <f>IF(B3588="","","brand")</f>
        <v/>
      </c>
      <c r="D3588" s="17">
        <f>IF(B3588="","",IFERROR(INDEX(Clay_Brands!$A$2:$FZ$601,137,Sync!$D$5)&amp;"",""))</f>
        <v/>
      </c>
      <c r="E3588" s="17">
        <f>IF(B3588="","",IFERROR(INDEX(Clay_Brands!$A$2:$FZ$601,137,Sync!$D$6)&amp;"",""))</f>
        <v/>
      </c>
      <c r="F3588" s="17">
        <f>IF(B3588="","","outreach_sent")</f>
        <v/>
      </c>
      <c r="G3588" s="17">
        <f>IF(B3588="","","")</f>
        <v/>
      </c>
      <c r="H3588" s="17">
        <f>IF(B3588="","","")</f>
        <v/>
      </c>
      <c r="I3588" s="17">
        <f>IF(B3588="","","")</f>
        <v/>
      </c>
      <c r="J3588" s="17">
        <f>IF(B3588="","","touch_1; "&amp;IFERROR(INDEX(Clay_Brands!$A$2:$FZ$601,137,Sync!$D$10)&amp;"","")&amp;"; "&amp;IFERROR(INDEX(Clay_Brands!$A$2:$FZ$601,137,Sync!$D$9)&amp;"",""))</f>
        <v/>
      </c>
      <c r="K3588" t="inlineStr">
        <is>
          <t>brand outreach touch 1</t>
        </is>
      </c>
    </row>
    <row r="3589">
      <c r="A3589" s="17">
        <f>IF(B3589="","",B3589+(15*1000+138)/10000000)</f>
        <v/>
      </c>
      <c r="B3589" s="23">
        <f>IF(AND(IFERROR(N(INDEX(Clay_Brands!$A$2:$FZ$601,138,Sync!$D$11)),0)&gt;0,IFERROR(INDEX(Clay_Brands!$A$2:$FZ$601,138,Sync!$D$5)&amp;"","")&lt;&gt;"",OR(LEFT(IFERROR(INDEX(Clay_Brands!$A$2:$FZ$601,138,Sync!$D$5)&amp;"",""),6)&lt;&gt;"SAMPLE",Config!$B$19="Y")),IFERROR(N(INDEX(Clay_Brands!$A$2:$FZ$601,138,Sync!$D$11)),0),"")</f>
        <v/>
      </c>
      <c r="C3589" s="17">
        <f>IF(B3589="","","brand")</f>
        <v/>
      </c>
      <c r="D3589" s="17">
        <f>IF(B3589="","",IFERROR(INDEX(Clay_Brands!$A$2:$FZ$601,138,Sync!$D$5)&amp;"",""))</f>
        <v/>
      </c>
      <c r="E3589" s="17">
        <f>IF(B3589="","",IFERROR(INDEX(Clay_Brands!$A$2:$FZ$601,138,Sync!$D$6)&amp;"",""))</f>
        <v/>
      </c>
      <c r="F3589" s="17">
        <f>IF(B3589="","","outreach_sent")</f>
        <v/>
      </c>
      <c r="G3589" s="17">
        <f>IF(B3589="","","")</f>
        <v/>
      </c>
      <c r="H3589" s="17">
        <f>IF(B3589="","","")</f>
        <v/>
      </c>
      <c r="I3589" s="17">
        <f>IF(B3589="","","")</f>
        <v/>
      </c>
      <c r="J3589" s="17">
        <f>IF(B3589="","","touch_1; "&amp;IFERROR(INDEX(Clay_Brands!$A$2:$FZ$601,138,Sync!$D$10)&amp;"","")&amp;"; "&amp;IFERROR(INDEX(Clay_Brands!$A$2:$FZ$601,138,Sync!$D$9)&amp;"",""))</f>
        <v/>
      </c>
      <c r="K3589" t="inlineStr">
        <is>
          <t>brand outreach touch 1</t>
        </is>
      </c>
    </row>
    <row r="3590">
      <c r="A3590" s="17">
        <f>IF(B3590="","",B3590+(15*1000+139)/10000000)</f>
        <v/>
      </c>
      <c r="B3590" s="23">
        <f>IF(AND(IFERROR(N(INDEX(Clay_Brands!$A$2:$FZ$601,139,Sync!$D$11)),0)&gt;0,IFERROR(INDEX(Clay_Brands!$A$2:$FZ$601,139,Sync!$D$5)&amp;"","")&lt;&gt;"",OR(LEFT(IFERROR(INDEX(Clay_Brands!$A$2:$FZ$601,139,Sync!$D$5)&amp;"",""),6)&lt;&gt;"SAMPLE",Config!$B$19="Y")),IFERROR(N(INDEX(Clay_Brands!$A$2:$FZ$601,139,Sync!$D$11)),0),"")</f>
        <v/>
      </c>
      <c r="C3590" s="17">
        <f>IF(B3590="","","brand")</f>
        <v/>
      </c>
      <c r="D3590" s="17">
        <f>IF(B3590="","",IFERROR(INDEX(Clay_Brands!$A$2:$FZ$601,139,Sync!$D$5)&amp;"",""))</f>
        <v/>
      </c>
      <c r="E3590" s="17">
        <f>IF(B3590="","",IFERROR(INDEX(Clay_Brands!$A$2:$FZ$601,139,Sync!$D$6)&amp;"",""))</f>
        <v/>
      </c>
      <c r="F3590" s="17">
        <f>IF(B3590="","","outreach_sent")</f>
        <v/>
      </c>
      <c r="G3590" s="17">
        <f>IF(B3590="","","")</f>
        <v/>
      </c>
      <c r="H3590" s="17">
        <f>IF(B3590="","","")</f>
        <v/>
      </c>
      <c r="I3590" s="17">
        <f>IF(B3590="","","")</f>
        <v/>
      </c>
      <c r="J3590" s="17">
        <f>IF(B3590="","","touch_1; "&amp;IFERROR(INDEX(Clay_Brands!$A$2:$FZ$601,139,Sync!$D$10)&amp;"","")&amp;"; "&amp;IFERROR(INDEX(Clay_Brands!$A$2:$FZ$601,139,Sync!$D$9)&amp;"",""))</f>
        <v/>
      </c>
      <c r="K3590" t="inlineStr">
        <is>
          <t>brand outreach touch 1</t>
        </is>
      </c>
    </row>
    <row r="3591">
      <c r="A3591" s="17">
        <f>IF(B3591="","",B3591+(15*1000+140)/10000000)</f>
        <v/>
      </c>
      <c r="B3591" s="23">
        <f>IF(AND(IFERROR(N(INDEX(Clay_Brands!$A$2:$FZ$601,140,Sync!$D$11)),0)&gt;0,IFERROR(INDEX(Clay_Brands!$A$2:$FZ$601,140,Sync!$D$5)&amp;"","")&lt;&gt;"",OR(LEFT(IFERROR(INDEX(Clay_Brands!$A$2:$FZ$601,140,Sync!$D$5)&amp;"",""),6)&lt;&gt;"SAMPLE",Config!$B$19="Y")),IFERROR(N(INDEX(Clay_Brands!$A$2:$FZ$601,140,Sync!$D$11)),0),"")</f>
        <v/>
      </c>
      <c r="C3591" s="17">
        <f>IF(B3591="","","brand")</f>
        <v/>
      </c>
      <c r="D3591" s="17">
        <f>IF(B3591="","",IFERROR(INDEX(Clay_Brands!$A$2:$FZ$601,140,Sync!$D$5)&amp;"",""))</f>
        <v/>
      </c>
      <c r="E3591" s="17">
        <f>IF(B3591="","",IFERROR(INDEX(Clay_Brands!$A$2:$FZ$601,140,Sync!$D$6)&amp;"",""))</f>
        <v/>
      </c>
      <c r="F3591" s="17">
        <f>IF(B3591="","","outreach_sent")</f>
        <v/>
      </c>
      <c r="G3591" s="17">
        <f>IF(B3591="","","")</f>
        <v/>
      </c>
      <c r="H3591" s="17">
        <f>IF(B3591="","","")</f>
        <v/>
      </c>
      <c r="I3591" s="17">
        <f>IF(B3591="","","")</f>
        <v/>
      </c>
      <c r="J3591" s="17">
        <f>IF(B3591="","","touch_1; "&amp;IFERROR(INDEX(Clay_Brands!$A$2:$FZ$601,140,Sync!$D$10)&amp;"","")&amp;"; "&amp;IFERROR(INDEX(Clay_Brands!$A$2:$FZ$601,140,Sync!$D$9)&amp;"",""))</f>
        <v/>
      </c>
      <c r="K3591" t="inlineStr">
        <is>
          <t>brand outreach touch 1</t>
        </is>
      </c>
    </row>
    <row r="3592">
      <c r="A3592" s="17">
        <f>IF(B3592="","",B3592+(15*1000+141)/10000000)</f>
        <v/>
      </c>
      <c r="B3592" s="23">
        <f>IF(AND(IFERROR(N(INDEX(Clay_Brands!$A$2:$FZ$601,141,Sync!$D$11)),0)&gt;0,IFERROR(INDEX(Clay_Brands!$A$2:$FZ$601,141,Sync!$D$5)&amp;"","")&lt;&gt;"",OR(LEFT(IFERROR(INDEX(Clay_Brands!$A$2:$FZ$601,141,Sync!$D$5)&amp;"",""),6)&lt;&gt;"SAMPLE",Config!$B$19="Y")),IFERROR(N(INDEX(Clay_Brands!$A$2:$FZ$601,141,Sync!$D$11)),0),"")</f>
        <v/>
      </c>
      <c r="C3592" s="17">
        <f>IF(B3592="","","brand")</f>
        <v/>
      </c>
      <c r="D3592" s="17">
        <f>IF(B3592="","",IFERROR(INDEX(Clay_Brands!$A$2:$FZ$601,141,Sync!$D$5)&amp;"",""))</f>
        <v/>
      </c>
      <c r="E3592" s="17">
        <f>IF(B3592="","",IFERROR(INDEX(Clay_Brands!$A$2:$FZ$601,141,Sync!$D$6)&amp;"",""))</f>
        <v/>
      </c>
      <c r="F3592" s="17">
        <f>IF(B3592="","","outreach_sent")</f>
        <v/>
      </c>
      <c r="G3592" s="17">
        <f>IF(B3592="","","")</f>
        <v/>
      </c>
      <c r="H3592" s="17">
        <f>IF(B3592="","","")</f>
        <v/>
      </c>
      <c r="I3592" s="17">
        <f>IF(B3592="","","")</f>
        <v/>
      </c>
      <c r="J3592" s="17">
        <f>IF(B3592="","","touch_1; "&amp;IFERROR(INDEX(Clay_Brands!$A$2:$FZ$601,141,Sync!$D$10)&amp;"","")&amp;"; "&amp;IFERROR(INDEX(Clay_Brands!$A$2:$FZ$601,141,Sync!$D$9)&amp;"",""))</f>
        <v/>
      </c>
      <c r="K3592" t="inlineStr">
        <is>
          <t>brand outreach touch 1</t>
        </is>
      </c>
    </row>
    <row r="3593">
      <c r="A3593" s="17">
        <f>IF(B3593="","",B3593+(15*1000+142)/10000000)</f>
        <v/>
      </c>
      <c r="B3593" s="23">
        <f>IF(AND(IFERROR(N(INDEX(Clay_Brands!$A$2:$FZ$601,142,Sync!$D$11)),0)&gt;0,IFERROR(INDEX(Clay_Brands!$A$2:$FZ$601,142,Sync!$D$5)&amp;"","")&lt;&gt;"",OR(LEFT(IFERROR(INDEX(Clay_Brands!$A$2:$FZ$601,142,Sync!$D$5)&amp;"",""),6)&lt;&gt;"SAMPLE",Config!$B$19="Y")),IFERROR(N(INDEX(Clay_Brands!$A$2:$FZ$601,142,Sync!$D$11)),0),"")</f>
        <v/>
      </c>
      <c r="C3593" s="17">
        <f>IF(B3593="","","brand")</f>
        <v/>
      </c>
      <c r="D3593" s="17">
        <f>IF(B3593="","",IFERROR(INDEX(Clay_Brands!$A$2:$FZ$601,142,Sync!$D$5)&amp;"",""))</f>
        <v/>
      </c>
      <c r="E3593" s="17">
        <f>IF(B3593="","",IFERROR(INDEX(Clay_Brands!$A$2:$FZ$601,142,Sync!$D$6)&amp;"",""))</f>
        <v/>
      </c>
      <c r="F3593" s="17">
        <f>IF(B3593="","","outreach_sent")</f>
        <v/>
      </c>
      <c r="G3593" s="17">
        <f>IF(B3593="","","")</f>
        <v/>
      </c>
      <c r="H3593" s="17">
        <f>IF(B3593="","","")</f>
        <v/>
      </c>
      <c r="I3593" s="17">
        <f>IF(B3593="","","")</f>
        <v/>
      </c>
      <c r="J3593" s="17">
        <f>IF(B3593="","","touch_1; "&amp;IFERROR(INDEX(Clay_Brands!$A$2:$FZ$601,142,Sync!$D$10)&amp;"","")&amp;"; "&amp;IFERROR(INDEX(Clay_Brands!$A$2:$FZ$601,142,Sync!$D$9)&amp;"",""))</f>
        <v/>
      </c>
      <c r="K3593" t="inlineStr">
        <is>
          <t>brand outreach touch 1</t>
        </is>
      </c>
    </row>
    <row r="3594">
      <c r="A3594" s="17">
        <f>IF(B3594="","",B3594+(15*1000+143)/10000000)</f>
        <v/>
      </c>
      <c r="B3594" s="23">
        <f>IF(AND(IFERROR(N(INDEX(Clay_Brands!$A$2:$FZ$601,143,Sync!$D$11)),0)&gt;0,IFERROR(INDEX(Clay_Brands!$A$2:$FZ$601,143,Sync!$D$5)&amp;"","")&lt;&gt;"",OR(LEFT(IFERROR(INDEX(Clay_Brands!$A$2:$FZ$601,143,Sync!$D$5)&amp;"",""),6)&lt;&gt;"SAMPLE",Config!$B$19="Y")),IFERROR(N(INDEX(Clay_Brands!$A$2:$FZ$601,143,Sync!$D$11)),0),"")</f>
        <v/>
      </c>
      <c r="C3594" s="17">
        <f>IF(B3594="","","brand")</f>
        <v/>
      </c>
      <c r="D3594" s="17">
        <f>IF(B3594="","",IFERROR(INDEX(Clay_Brands!$A$2:$FZ$601,143,Sync!$D$5)&amp;"",""))</f>
        <v/>
      </c>
      <c r="E3594" s="17">
        <f>IF(B3594="","",IFERROR(INDEX(Clay_Brands!$A$2:$FZ$601,143,Sync!$D$6)&amp;"",""))</f>
        <v/>
      </c>
      <c r="F3594" s="17">
        <f>IF(B3594="","","outreach_sent")</f>
        <v/>
      </c>
      <c r="G3594" s="17">
        <f>IF(B3594="","","")</f>
        <v/>
      </c>
      <c r="H3594" s="17">
        <f>IF(B3594="","","")</f>
        <v/>
      </c>
      <c r="I3594" s="17">
        <f>IF(B3594="","","")</f>
        <v/>
      </c>
      <c r="J3594" s="17">
        <f>IF(B3594="","","touch_1; "&amp;IFERROR(INDEX(Clay_Brands!$A$2:$FZ$601,143,Sync!$D$10)&amp;"","")&amp;"; "&amp;IFERROR(INDEX(Clay_Brands!$A$2:$FZ$601,143,Sync!$D$9)&amp;"",""))</f>
        <v/>
      </c>
      <c r="K3594" t="inlineStr">
        <is>
          <t>brand outreach touch 1</t>
        </is>
      </c>
    </row>
    <row r="3595">
      <c r="A3595" s="17">
        <f>IF(B3595="","",B3595+(15*1000+144)/10000000)</f>
        <v/>
      </c>
      <c r="B3595" s="23">
        <f>IF(AND(IFERROR(N(INDEX(Clay_Brands!$A$2:$FZ$601,144,Sync!$D$11)),0)&gt;0,IFERROR(INDEX(Clay_Brands!$A$2:$FZ$601,144,Sync!$D$5)&amp;"","")&lt;&gt;"",OR(LEFT(IFERROR(INDEX(Clay_Brands!$A$2:$FZ$601,144,Sync!$D$5)&amp;"",""),6)&lt;&gt;"SAMPLE",Config!$B$19="Y")),IFERROR(N(INDEX(Clay_Brands!$A$2:$FZ$601,144,Sync!$D$11)),0),"")</f>
        <v/>
      </c>
      <c r="C3595" s="17">
        <f>IF(B3595="","","brand")</f>
        <v/>
      </c>
      <c r="D3595" s="17">
        <f>IF(B3595="","",IFERROR(INDEX(Clay_Brands!$A$2:$FZ$601,144,Sync!$D$5)&amp;"",""))</f>
        <v/>
      </c>
      <c r="E3595" s="17">
        <f>IF(B3595="","",IFERROR(INDEX(Clay_Brands!$A$2:$FZ$601,144,Sync!$D$6)&amp;"",""))</f>
        <v/>
      </c>
      <c r="F3595" s="17">
        <f>IF(B3595="","","outreach_sent")</f>
        <v/>
      </c>
      <c r="G3595" s="17">
        <f>IF(B3595="","","")</f>
        <v/>
      </c>
      <c r="H3595" s="17">
        <f>IF(B3595="","","")</f>
        <v/>
      </c>
      <c r="I3595" s="17">
        <f>IF(B3595="","","")</f>
        <v/>
      </c>
      <c r="J3595" s="17">
        <f>IF(B3595="","","touch_1; "&amp;IFERROR(INDEX(Clay_Brands!$A$2:$FZ$601,144,Sync!$D$10)&amp;"","")&amp;"; "&amp;IFERROR(INDEX(Clay_Brands!$A$2:$FZ$601,144,Sync!$D$9)&amp;"",""))</f>
        <v/>
      </c>
      <c r="K3595" t="inlineStr">
        <is>
          <t>brand outreach touch 1</t>
        </is>
      </c>
    </row>
    <row r="3596">
      <c r="A3596" s="17">
        <f>IF(B3596="","",B3596+(15*1000+145)/10000000)</f>
        <v/>
      </c>
      <c r="B3596" s="23">
        <f>IF(AND(IFERROR(N(INDEX(Clay_Brands!$A$2:$FZ$601,145,Sync!$D$11)),0)&gt;0,IFERROR(INDEX(Clay_Brands!$A$2:$FZ$601,145,Sync!$D$5)&amp;"","")&lt;&gt;"",OR(LEFT(IFERROR(INDEX(Clay_Brands!$A$2:$FZ$601,145,Sync!$D$5)&amp;"",""),6)&lt;&gt;"SAMPLE",Config!$B$19="Y")),IFERROR(N(INDEX(Clay_Brands!$A$2:$FZ$601,145,Sync!$D$11)),0),"")</f>
        <v/>
      </c>
      <c r="C3596" s="17">
        <f>IF(B3596="","","brand")</f>
        <v/>
      </c>
      <c r="D3596" s="17">
        <f>IF(B3596="","",IFERROR(INDEX(Clay_Brands!$A$2:$FZ$601,145,Sync!$D$5)&amp;"",""))</f>
        <v/>
      </c>
      <c r="E3596" s="17">
        <f>IF(B3596="","",IFERROR(INDEX(Clay_Brands!$A$2:$FZ$601,145,Sync!$D$6)&amp;"",""))</f>
        <v/>
      </c>
      <c r="F3596" s="17">
        <f>IF(B3596="","","outreach_sent")</f>
        <v/>
      </c>
      <c r="G3596" s="17">
        <f>IF(B3596="","","")</f>
        <v/>
      </c>
      <c r="H3596" s="17">
        <f>IF(B3596="","","")</f>
        <v/>
      </c>
      <c r="I3596" s="17">
        <f>IF(B3596="","","")</f>
        <v/>
      </c>
      <c r="J3596" s="17">
        <f>IF(B3596="","","touch_1; "&amp;IFERROR(INDEX(Clay_Brands!$A$2:$FZ$601,145,Sync!$D$10)&amp;"","")&amp;"; "&amp;IFERROR(INDEX(Clay_Brands!$A$2:$FZ$601,145,Sync!$D$9)&amp;"",""))</f>
        <v/>
      </c>
      <c r="K3596" t="inlineStr">
        <is>
          <t>brand outreach touch 1</t>
        </is>
      </c>
    </row>
    <row r="3597">
      <c r="A3597" s="17">
        <f>IF(B3597="","",B3597+(15*1000+146)/10000000)</f>
        <v/>
      </c>
      <c r="B3597" s="23">
        <f>IF(AND(IFERROR(N(INDEX(Clay_Brands!$A$2:$FZ$601,146,Sync!$D$11)),0)&gt;0,IFERROR(INDEX(Clay_Brands!$A$2:$FZ$601,146,Sync!$D$5)&amp;"","")&lt;&gt;"",OR(LEFT(IFERROR(INDEX(Clay_Brands!$A$2:$FZ$601,146,Sync!$D$5)&amp;"",""),6)&lt;&gt;"SAMPLE",Config!$B$19="Y")),IFERROR(N(INDEX(Clay_Brands!$A$2:$FZ$601,146,Sync!$D$11)),0),"")</f>
        <v/>
      </c>
      <c r="C3597" s="17">
        <f>IF(B3597="","","brand")</f>
        <v/>
      </c>
      <c r="D3597" s="17">
        <f>IF(B3597="","",IFERROR(INDEX(Clay_Brands!$A$2:$FZ$601,146,Sync!$D$5)&amp;"",""))</f>
        <v/>
      </c>
      <c r="E3597" s="17">
        <f>IF(B3597="","",IFERROR(INDEX(Clay_Brands!$A$2:$FZ$601,146,Sync!$D$6)&amp;"",""))</f>
        <v/>
      </c>
      <c r="F3597" s="17">
        <f>IF(B3597="","","outreach_sent")</f>
        <v/>
      </c>
      <c r="G3597" s="17">
        <f>IF(B3597="","","")</f>
        <v/>
      </c>
      <c r="H3597" s="17">
        <f>IF(B3597="","","")</f>
        <v/>
      </c>
      <c r="I3597" s="17">
        <f>IF(B3597="","","")</f>
        <v/>
      </c>
      <c r="J3597" s="17">
        <f>IF(B3597="","","touch_1; "&amp;IFERROR(INDEX(Clay_Brands!$A$2:$FZ$601,146,Sync!$D$10)&amp;"","")&amp;"; "&amp;IFERROR(INDEX(Clay_Brands!$A$2:$FZ$601,146,Sync!$D$9)&amp;"",""))</f>
        <v/>
      </c>
      <c r="K3597" t="inlineStr">
        <is>
          <t>brand outreach touch 1</t>
        </is>
      </c>
    </row>
    <row r="3598">
      <c r="A3598" s="17">
        <f>IF(B3598="","",B3598+(15*1000+147)/10000000)</f>
        <v/>
      </c>
      <c r="B3598" s="23">
        <f>IF(AND(IFERROR(N(INDEX(Clay_Brands!$A$2:$FZ$601,147,Sync!$D$11)),0)&gt;0,IFERROR(INDEX(Clay_Brands!$A$2:$FZ$601,147,Sync!$D$5)&amp;"","")&lt;&gt;"",OR(LEFT(IFERROR(INDEX(Clay_Brands!$A$2:$FZ$601,147,Sync!$D$5)&amp;"",""),6)&lt;&gt;"SAMPLE",Config!$B$19="Y")),IFERROR(N(INDEX(Clay_Brands!$A$2:$FZ$601,147,Sync!$D$11)),0),"")</f>
        <v/>
      </c>
      <c r="C3598" s="17">
        <f>IF(B3598="","","brand")</f>
        <v/>
      </c>
      <c r="D3598" s="17">
        <f>IF(B3598="","",IFERROR(INDEX(Clay_Brands!$A$2:$FZ$601,147,Sync!$D$5)&amp;"",""))</f>
        <v/>
      </c>
      <c r="E3598" s="17">
        <f>IF(B3598="","",IFERROR(INDEX(Clay_Brands!$A$2:$FZ$601,147,Sync!$D$6)&amp;"",""))</f>
        <v/>
      </c>
      <c r="F3598" s="17">
        <f>IF(B3598="","","outreach_sent")</f>
        <v/>
      </c>
      <c r="G3598" s="17">
        <f>IF(B3598="","","")</f>
        <v/>
      </c>
      <c r="H3598" s="17">
        <f>IF(B3598="","","")</f>
        <v/>
      </c>
      <c r="I3598" s="17">
        <f>IF(B3598="","","")</f>
        <v/>
      </c>
      <c r="J3598" s="17">
        <f>IF(B3598="","","touch_1; "&amp;IFERROR(INDEX(Clay_Brands!$A$2:$FZ$601,147,Sync!$D$10)&amp;"","")&amp;"; "&amp;IFERROR(INDEX(Clay_Brands!$A$2:$FZ$601,147,Sync!$D$9)&amp;"",""))</f>
        <v/>
      </c>
      <c r="K3598" t="inlineStr">
        <is>
          <t>brand outreach touch 1</t>
        </is>
      </c>
    </row>
    <row r="3599">
      <c r="A3599" s="17">
        <f>IF(B3599="","",B3599+(15*1000+148)/10000000)</f>
        <v/>
      </c>
      <c r="B3599" s="23">
        <f>IF(AND(IFERROR(N(INDEX(Clay_Brands!$A$2:$FZ$601,148,Sync!$D$11)),0)&gt;0,IFERROR(INDEX(Clay_Brands!$A$2:$FZ$601,148,Sync!$D$5)&amp;"","")&lt;&gt;"",OR(LEFT(IFERROR(INDEX(Clay_Brands!$A$2:$FZ$601,148,Sync!$D$5)&amp;"",""),6)&lt;&gt;"SAMPLE",Config!$B$19="Y")),IFERROR(N(INDEX(Clay_Brands!$A$2:$FZ$601,148,Sync!$D$11)),0),"")</f>
        <v/>
      </c>
      <c r="C3599" s="17">
        <f>IF(B3599="","","brand")</f>
        <v/>
      </c>
      <c r="D3599" s="17">
        <f>IF(B3599="","",IFERROR(INDEX(Clay_Brands!$A$2:$FZ$601,148,Sync!$D$5)&amp;"",""))</f>
        <v/>
      </c>
      <c r="E3599" s="17">
        <f>IF(B3599="","",IFERROR(INDEX(Clay_Brands!$A$2:$FZ$601,148,Sync!$D$6)&amp;"",""))</f>
        <v/>
      </c>
      <c r="F3599" s="17">
        <f>IF(B3599="","","outreach_sent")</f>
        <v/>
      </c>
      <c r="G3599" s="17">
        <f>IF(B3599="","","")</f>
        <v/>
      </c>
      <c r="H3599" s="17">
        <f>IF(B3599="","","")</f>
        <v/>
      </c>
      <c r="I3599" s="17">
        <f>IF(B3599="","","")</f>
        <v/>
      </c>
      <c r="J3599" s="17">
        <f>IF(B3599="","","touch_1; "&amp;IFERROR(INDEX(Clay_Brands!$A$2:$FZ$601,148,Sync!$D$10)&amp;"","")&amp;"; "&amp;IFERROR(INDEX(Clay_Brands!$A$2:$FZ$601,148,Sync!$D$9)&amp;"",""))</f>
        <v/>
      </c>
      <c r="K3599" t="inlineStr">
        <is>
          <t>brand outreach touch 1</t>
        </is>
      </c>
    </row>
    <row r="3600">
      <c r="A3600" s="17">
        <f>IF(B3600="","",B3600+(15*1000+149)/10000000)</f>
        <v/>
      </c>
      <c r="B3600" s="23">
        <f>IF(AND(IFERROR(N(INDEX(Clay_Brands!$A$2:$FZ$601,149,Sync!$D$11)),0)&gt;0,IFERROR(INDEX(Clay_Brands!$A$2:$FZ$601,149,Sync!$D$5)&amp;"","")&lt;&gt;"",OR(LEFT(IFERROR(INDEX(Clay_Brands!$A$2:$FZ$601,149,Sync!$D$5)&amp;"",""),6)&lt;&gt;"SAMPLE",Config!$B$19="Y")),IFERROR(N(INDEX(Clay_Brands!$A$2:$FZ$601,149,Sync!$D$11)),0),"")</f>
        <v/>
      </c>
      <c r="C3600" s="17">
        <f>IF(B3600="","","brand")</f>
        <v/>
      </c>
      <c r="D3600" s="17">
        <f>IF(B3600="","",IFERROR(INDEX(Clay_Brands!$A$2:$FZ$601,149,Sync!$D$5)&amp;"",""))</f>
        <v/>
      </c>
      <c r="E3600" s="17">
        <f>IF(B3600="","",IFERROR(INDEX(Clay_Brands!$A$2:$FZ$601,149,Sync!$D$6)&amp;"",""))</f>
        <v/>
      </c>
      <c r="F3600" s="17">
        <f>IF(B3600="","","outreach_sent")</f>
        <v/>
      </c>
      <c r="G3600" s="17">
        <f>IF(B3600="","","")</f>
        <v/>
      </c>
      <c r="H3600" s="17">
        <f>IF(B3600="","","")</f>
        <v/>
      </c>
      <c r="I3600" s="17">
        <f>IF(B3600="","","")</f>
        <v/>
      </c>
      <c r="J3600" s="17">
        <f>IF(B3600="","","touch_1; "&amp;IFERROR(INDEX(Clay_Brands!$A$2:$FZ$601,149,Sync!$D$10)&amp;"","")&amp;"; "&amp;IFERROR(INDEX(Clay_Brands!$A$2:$FZ$601,149,Sync!$D$9)&amp;"",""))</f>
        <v/>
      </c>
      <c r="K3600" t="inlineStr">
        <is>
          <t>brand outreach touch 1</t>
        </is>
      </c>
    </row>
    <row r="3601">
      <c r="A3601" s="17">
        <f>IF(B3601="","",B3601+(15*1000+150)/10000000)</f>
        <v/>
      </c>
      <c r="B3601" s="23">
        <f>IF(AND(IFERROR(N(INDEX(Clay_Brands!$A$2:$FZ$601,150,Sync!$D$11)),0)&gt;0,IFERROR(INDEX(Clay_Brands!$A$2:$FZ$601,150,Sync!$D$5)&amp;"","")&lt;&gt;"",OR(LEFT(IFERROR(INDEX(Clay_Brands!$A$2:$FZ$601,150,Sync!$D$5)&amp;"",""),6)&lt;&gt;"SAMPLE",Config!$B$19="Y")),IFERROR(N(INDEX(Clay_Brands!$A$2:$FZ$601,150,Sync!$D$11)),0),"")</f>
        <v/>
      </c>
      <c r="C3601" s="17">
        <f>IF(B3601="","","brand")</f>
        <v/>
      </c>
      <c r="D3601" s="17">
        <f>IF(B3601="","",IFERROR(INDEX(Clay_Brands!$A$2:$FZ$601,150,Sync!$D$5)&amp;"",""))</f>
        <v/>
      </c>
      <c r="E3601" s="17">
        <f>IF(B3601="","",IFERROR(INDEX(Clay_Brands!$A$2:$FZ$601,150,Sync!$D$6)&amp;"",""))</f>
        <v/>
      </c>
      <c r="F3601" s="17">
        <f>IF(B3601="","","outreach_sent")</f>
        <v/>
      </c>
      <c r="G3601" s="17">
        <f>IF(B3601="","","")</f>
        <v/>
      </c>
      <c r="H3601" s="17">
        <f>IF(B3601="","","")</f>
        <v/>
      </c>
      <c r="I3601" s="17">
        <f>IF(B3601="","","")</f>
        <v/>
      </c>
      <c r="J3601" s="17">
        <f>IF(B3601="","","touch_1; "&amp;IFERROR(INDEX(Clay_Brands!$A$2:$FZ$601,150,Sync!$D$10)&amp;"","")&amp;"; "&amp;IFERROR(INDEX(Clay_Brands!$A$2:$FZ$601,150,Sync!$D$9)&amp;"",""))</f>
        <v/>
      </c>
      <c r="K3601" t="inlineStr">
        <is>
          <t>brand outreach touch 1</t>
        </is>
      </c>
    </row>
    <row r="3602">
      <c r="A3602" s="17">
        <f>IF(B3602="","",B3602+(15*1000+151)/10000000)</f>
        <v/>
      </c>
      <c r="B3602" s="23">
        <f>IF(AND(IFERROR(N(INDEX(Clay_Brands!$A$2:$FZ$601,151,Sync!$D$11)),0)&gt;0,IFERROR(INDEX(Clay_Brands!$A$2:$FZ$601,151,Sync!$D$5)&amp;"","")&lt;&gt;"",OR(LEFT(IFERROR(INDEX(Clay_Brands!$A$2:$FZ$601,151,Sync!$D$5)&amp;"",""),6)&lt;&gt;"SAMPLE",Config!$B$19="Y")),IFERROR(N(INDEX(Clay_Brands!$A$2:$FZ$601,151,Sync!$D$11)),0),"")</f>
        <v/>
      </c>
      <c r="C3602" s="17">
        <f>IF(B3602="","","brand")</f>
        <v/>
      </c>
      <c r="D3602" s="17">
        <f>IF(B3602="","",IFERROR(INDEX(Clay_Brands!$A$2:$FZ$601,151,Sync!$D$5)&amp;"",""))</f>
        <v/>
      </c>
      <c r="E3602" s="17">
        <f>IF(B3602="","",IFERROR(INDEX(Clay_Brands!$A$2:$FZ$601,151,Sync!$D$6)&amp;"",""))</f>
        <v/>
      </c>
      <c r="F3602" s="17">
        <f>IF(B3602="","","outreach_sent")</f>
        <v/>
      </c>
      <c r="G3602" s="17">
        <f>IF(B3602="","","")</f>
        <v/>
      </c>
      <c r="H3602" s="17">
        <f>IF(B3602="","","")</f>
        <v/>
      </c>
      <c r="I3602" s="17">
        <f>IF(B3602="","","")</f>
        <v/>
      </c>
      <c r="J3602" s="17">
        <f>IF(B3602="","","touch_1; "&amp;IFERROR(INDEX(Clay_Brands!$A$2:$FZ$601,151,Sync!$D$10)&amp;"","")&amp;"; "&amp;IFERROR(INDEX(Clay_Brands!$A$2:$FZ$601,151,Sync!$D$9)&amp;"",""))</f>
        <v/>
      </c>
      <c r="K3602" t="inlineStr">
        <is>
          <t>brand outreach touch 1</t>
        </is>
      </c>
    </row>
    <row r="3603">
      <c r="A3603" s="17">
        <f>IF(B3603="","",B3603+(15*1000+152)/10000000)</f>
        <v/>
      </c>
      <c r="B3603" s="23">
        <f>IF(AND(IFERROR(N(INDEX(Clay_Brands!$A$2:$FZ$601,152,Sync!$D$11)),0)&gt;0,IFERROR(INDEX(Clay_Brands!$A$2:$FZ$601,152,Sync!$D$5)&amp;"","")&lt;&gt;"",OR(LEFT(IFERROR(INDEX(Clay_Brands!$A$2:$FZ$601,152,Sync!$D$5)&amp;"",""),6)&lt;&gt;"SAMPLE",Config!$B$19="Y")),IFERROR(N(INDEX(Clay_Brands!$A$2:$FZ$601,152,Sync!$D$11)),0),"")</f>
        <v/>
      </c>
      <c r="C3603" s="17">
        <f>IF(B3603="","","brand")</f>
        <v/>
      </c>
      <c r="D3603" s="17">
        <f>IF(B3603="","",IFERROR(INDEX(Clay_Brands!$A$2:$FZ$601,152,Sync!$D$5)&amp;"",""))</f>
        <v/>
      </c>
      <c r="E3603" s="17">
        <f>IF(B3603="","",IFERROR(INDEX(Clay_Brands!$A$2:$FZ$601,152,Sync!$D$6)&amp;"",""))</f>
        <v/>
      </c>
      <c r="F3603" s="17">
        <f>IF(B3603="","","outreach_sent")</f>
        <v/>
      </c>
      <c r="G3603" s="17">
        <f>IF(B3603="","","")</f>
        <v/>
      </c>
      <c r="H3603" s="17">
        <f>IF(B3603="","","")</f>
        <v/>
      </c>
      <c r="I3603" s="17">
        <f>IF(B3603="","","")</f>
        <v/>
      </c>
      <c r="J3603" s="17">
        <f>IF(B3603="","","touch_1; "&amp;IFERROR(INDEX(Clay_Brands!$A$2:$FZ$601,152,Sync!$D$10)&amp;"","")&amp;"; "&amp;IFERROR(INDEX(Clay_Brands!$A$2:$FZ$601,152,Sync!$D$9)&amp;"",""))</f>
        <v/>
      </c>
      <c r="K3603" t="inlineStr">
        <is>
          <t>brand outreach touch 1</t>
        </is>
      </c>
    </row>
    <row r="3604">
      <c r="A3604" s="17">
        <f>IF(B3604="","",B3604+(15*1000+153)/10000000)</f>
        <v/>
      </c>
      <c r="B3604" s="23">
        <f>IF(AND(IFERROR(N(INDEX(Clay_Brands!$A$2:$FZ$601,153,Sync!$D$11)),0)&gt;0,IFERROR(INDEX(Clay_Brands!$A$2:$FZ$601,153,Sync!$D$5)&amp;"","")&lt;&gt;"",OR(LEFT(IFERROR(INDEX(Clay_Brands!$A$2:$FZ$601,153,Sync!$D$5)&amp;"",""),6)&lt;&gt;"SAMPLE",Config!$B$19="Y")),IFERROR(N(INDEX(Clay_Brands!$A$2:$FZ$601,153,Sync!$D$11)),0),"")</f>
        <v/>
      </c>
      <c r="C3604" s="17">
        <f>IF(B3604="","","brand")</f>
        <v/>
      </c>
      <c r="D3604" s="17">
        <f>IF(B3604="","",IFERROR(INDEX(Clay_Brands!$A$2:$FZ$601,153,Sync!$D$5)&amp;"",""))</f>
        <v/>
      </c>
      <c r="E3604" s="17">
        <f>IF(B3604="","",IFERROR(INDEX(Clay_Brands!$A$2:$FZ$601,153,Sync!$D$6)&amp;"",""))</f>
        <v/>
      </c>
      <c r="F3604" s="17">
        <f>IF(B3604="","","outreach_sent")</f>
        <v/>
      </c>
      <c r="G3604" s="17">
        <f>IF(B3604="","","")</f>
        <v/>
      </c>
      <c r="H3604" s="17">
        <f>IF(B3604="","","")</f>
        <v/>
      </c>
      <c r="I3604" s="17">
        <f>IF(B3604="","","")</f>
        <v/>
      </c>
      <c r="J3604" s="17">
        <f>IF(B3604="","","touch_1; "&amp;IFERROR(INDEX(Clay_Brands!$A$2:$FZ$601,153,Sync!$D$10)&amp;"","")&amp;"; "&amp;IFERROR(INDEX(Clay_Brands!$A$2:$FZ$601,153,Sync!$D$9)&amp;"",""))</f>
        <v/>
      </c>
      <c r="K3604" t="inlineStr">
        <is>
          <t>brand outreach touch 1</t>
        </is>
      </c>
    </row>
    <row r="3605">
      <c r="A3605" s="17">
        <f>IF(B3605="","",B3605+(15*1000+154)/10000000)</f>
        <v/>
      </c>
      <c r="B3605" s="23">
        <f>IF(AND(IFERROR(N(INDEX(Clay_Brands!$A$2:$FZ$601,154,Sync!$D$11)),0)&gt;0,IFERROR(INDEX(Clay_Brands!$A$2:$FZ$601,154,Sync!$D$5)&amp;"","")&lt;&gt;"",OR(LEFT(IFERROR(INDEX(Clay_Brands!$A$2:$FZ$601,154,Sync!$D$5)&amp;"",""),6)&lt;&gt;"SAMPLE",Config!$B$19="Y")),IFERROR(N(INDEX(Clay_Brands!$A$2:$FZ$601,154,Sync!$D$11)),0),"")</f>
        <v/>
      </c>
      <c r="C3605" s="17">
        <f>IF(B3605="","","brand")</f>
        <v/>
      </c>
      <c r="D3605" s="17">
        <f>IF(B3605="","",IFERROR(INDEX(Clay_Brands!$A$2:$FZ$601,154,Sync!$D$5)&amp;"",""))</f>
        <v/>
      </c>
      <c r="E3605" s="17">
        <f>IF(B3605="","",IFERROR(INDEX(Clay_Brands!$A$2:$FZ$601,154,Sync!$D$6)&amp;"",""))</f>
        <v/>
      </c>
      <c r="F3605" s="17">
        <f>IF(B3605="","","outreach_sent")</f>
        <v/>
      </c>
      <c r="G3605" s="17">
        <f>IF(B3605="","","")</f>
        <v/>
      </c>
      <c r="H3605" s="17">
        <f>IF(B3605="","","")</f>
        <v/>
      </c>
      <c r="I3605" s="17">
        <f>IF(B3605="","","")</f>
        <v/>
      </c>
      <c r="J3605" s="17">
        <f>IF(B3605="","","touch_1; "&amp;IFERROR(INDEX(Clay_Brands!$A$2:$FZ$601,154,Sync!$D$10)&amp;"","")&amp;"; "&amp;IFERROR(INDEX(Clay_Brands!$A$2:$FZ$601,154,Sync!$D$9)&amp;"",""))</f>
        <v/>
      </c>
      <c r="K3605" t="inlineStr">
        <is>
          <t>brand outreach touch 1</t>
        </is>
      </c>
    </row>
    <row r="3606">
      <c r="A3606" s="17">
        <f>IF(B3606="","",B3606+(15*1000+155)/10000000)</f>
        <v/>
      </c>
      <c r="B3606" s="23">
        <f>IF(AND(IFERROR(N(INDEX(Clay_Brands!$A$2:$FZ$601,155,Sync!$D$11)),0)&gt;0,IFERROR(INDEX(Clay_Brands!$A$2:$FZ$601,155,Sync!$D$5)&amp;"","")&lt;&gt;"",OR(LEFT(IFERROR(INDEX(Clay_Brands!$A$2:$FZ$601,155,Sync!$D$5)&amp;"",""),6)&lt;&gt;"SAMPLE",Config!$B$19="Y")),IFERROR(N(INDEX(Clay_Brands!$A$2:$FZ$601,155,Sync!$D$11)),0),"")</f>
        <v/>
      </c>
      <c r="C3606" s="17">
        <f>IF(B3606="","","brand")</f>
        <v/>
      </c>
      <c r="D3606" s="17">
        <f>IF(B3606="","",IFERROR(INDEX(Clay_Brands!$A$2:$FZ$601,155,Sync!$D$5)&amp;"",""))</f>
        <v/>
      </c>
      <c r="E3606" s="17">
        <f>IF(B3606="","",IFERROR(INDEX(Clay_Brands!$A$2:$FZ$601,155,Sync!$D$6)&amp;"",""))</f>
        <v/>
      </c>
      <c r="F3606" s="17">
        <f>IF(B3606="","","outreach_sent")</f>
        <v/>
      </c>
      <c r="G3606" s="17">
        <f>IF(B3606="","","")</f>
        <v/>
      </c>
      <c r="H3606" s="17">
        <f>IF(B3606="","","")</f>
        <v/>
      </c>
      <c r="I3606" s="17">
        <f>IF(B3606="","","")</f>
        <v/>
      </c>
      <c r="J3606" s="17">
        <f>IF(B3606="","","touch_1; "&amp;IFERROR(INDEX(Clay_Brands!$A$2:$FZ$601,155,Sync!$D$10)&amp;"","")&amp;"; "&amp;IFERROR(INDEX(Clay_Brands!$A$2:$FZ$601,155,Sync!$D$9)&amp;"",""))</f>
        <v/>
      </c>
      <c r="K3606" t="inlineStr">
        <is>
          <t>brand outreach touch 1</t>
        </is>
      </c>
    </row>
    <row r="3607">
      <c r="A3607" s="17">
        <f>IF(B3607="","",B3607+(15*1000+156)/10000000)</f>
        <v/>
      </c>
      <c r="B3607" s="23">
        <f>IF(AND(IFERROR(N(INDEX(Clay_Brands!$A$2:$FZ$601,156,Sync!$D$11)),0)&gt;0,IFERROR(INDEX(Clay_Brands!$A$2:$FZ$601,156,Sync!$D$5)&amp;"","")&lt;&gt;"",OR(LEFT(IFERROR(INDEX(Clay_Brands!$A$2:$FZ$601,156,Sync!$D$5)&amp;"",""),6)&lt;&gt;"SAMPLE",Config!$B$19="Y")),IFERROR(N(INDEX(Clay_Brands!$A$2:$FZ$601,156,Sync!$D$11)),0),"")</f>
        <v/>
      </c>
      <c r="C3607" s="17">
        <f>IF(B3607="","","brand")</f>
        <v/>
      </c>
      <c r="D3607" s="17">
        <f>IF(B3607="","",IFERROR(INDEX(Clay_Brands!$A$2:$FZ$601,156,Sync!$D$5)&amp;"",""))</f>
        <v/>
      </c>
      <c r="E3607" s="17">
        <f>IF(B3607="","",IFERROR(INDEX(Clay_Brands!$A$2:$FZ$601,156,Sync!$D$6)&amp;"",""))</f>
        <v/>
      </c>
      <c r="F3607" s="17">
        <f>IF(B3607="","","outreach_sent")</f>
        <v/>
      </c>
      <c r="G3607" s="17">
        <f>IF(B3607="","","")</f>
        <v/>
      </c>
      <c r="H3607" s="17">
        <f>IF(B3607="","","")</f>
        <v/>
      </c>
      <c r="I3607" s="17">
        <f>IF(B3607="","","")</f>
        <v/>
      </c>
      <c r="J3607" s="17">
        <f>IF(B3607="","","touch_1; "&amp;IFERROR(INDEX(Clay_Brands!$A$2:$FZ$601,156,Sync!$D$10)&amp;"","")&amp;"; "&amp;IFERROR(INDEX(Clay_Brands!$A$2:$FZ$601,156,Sync!$D$9)&amp;"",""))</f>
        <v/>
      </c>
      <c r="K3607" t="inlineStr">
        <is>
          <t>brand outreach touch 1</t>
        </is>
      </c>
    </row>
    <row r="3608">
      <c r="A3608" s="17">
        <f>IF(B3608="","",B3608+(15*1000+157)/10000000)</f>
        <v/>
      </c>
      <c r="B3608" s="23">
        <f>IF(AND(IFERROR(N(INDEX(Clay_Brands!$A$2:$FZ$601,157,Sync!$D$11)),0)&gt;0,IFERROR(INDEX(Clay_Brands!$A$2:$FZ$601,157,Sync!$D$5)&amp;"","")&lt;&gt;"",OR(LEFT(IFERROR(INDEX(Clay_Brands!$A$2:$FZ$601,157,Sync!$D$5)&amp;"",""),6)&lt;&gt;"SAMPLE",Config!$B$19="Y")),IFERROR(N(INDEX(Clay_Brands!$A$2:$FZ$601,157,Sync!$D$11)),0),"")</f>
        <v/>
      </c>
      <c r="C3608" s="17">
        <f>IF(B3608="","","brand")</f>
        <v/>
      </c>
      <c r="D3608" s="17">
        <f>IF(B3608="","",IFERROR(INDEX(Clay_Brands!$A$2:$FZ$601,157,Sync!$D$5)&amp;"",""))</f>
        <v/>
      </c>
      <c r="E3608" s="17">
        <f>IF(B3608="","",IFERROR(INDEX(Clay_Brands!$A$2:$FZ$601,157,Sync!$D$6)&amp;"",""))</f>
        <v/>
      </c>
      <c r="F3608" s="17">
        <f>IF(B3608="","","outreach_sent")</f>
        <v/>
      </c>
      <c r="G3608" s="17">
        <f>IF(B3608="","","")</f>
        <v/>
      </c>
      <c r="H3608" s="17">
        <f>IF(B3608="","","")</f>
        <v/>
      </c>
      <c r="I3608" s="17">
        <f>IF(B3608="","","")</f>
        <v/>
      </c>
      <c r="J3608" s="17">
        <f>IF(B3608="","","touch_1; "&amp;IFERROR(INDEX(Clay_Brands!$A$2:$FZ$601,157,Sync!$D$10)&amp;"","")&amp;"; "&amp;IFERROR(INDEX(Clay_Brands!$A$2:$FZ$601,157,Sync!$D$9)&amp;"",""))</f>
        <v/>
      </c>
      <c r="K3608" t="inlineStr">
        <is>
          <t>brand outreach touch 1</t>
        </is>
      </c>
    </row>
    <row r="3609">
      <c r="A3609" s="17">
        <f>IF(B3609="","",B3609+(15*1000+158)/10000000)</f>
        <v/>
      </c>
      <c r="B3609" s="23">
        <f>IF(AND(IFERROR(N(INDEX(Clay_Brands!$A$2:$FZ$601,158,Sync!$D$11)),0)&gt;0,IFERROR(INDEX(Clay_Brands!$A$2:$FZ$601,158,Sync!$D$5)&amp;"","")&lt;&gt;"",OR(LEFT(IFERROR(INDEX(Clay_Brands!$A$2:$FZ$601,158,Sync!$D$5)&amp;"",""),6)&lt;&gt;"SAMPLE",Config!$B$19="Y")),IFERROR(N(INDEX(Clay_Brands!$A$2:$FZ$601,158,Sync!$D$11)),0),"")</f>
        <v/>
      </c>
      <c r="C3609" s="17">
        <f>IF(B3609="","","brand")</f>
        <v/>
      </c>
      <c r="D3609" s="17">
        <f>IF(B3609="","",IFERROR(INDEX(Clay_Brands!$A$2:$FZ$601,158,Sync!$D$5)&amp;"",""))</f>
        <v/>
      </c>
      <c r="E3609" s="17">
        <f>IF(B3609="","",IFERROR(INDEX(Clay_Brands!$A$2:$FZ$601,158,Sync!$D$6)&amp;"",""))</f>
        <v/>
      </c>
      <c r="F3609" s="17">
        <f>IF(B3609="","","outreach_sent")</f>
        <v/>
      </c>
      <c r="G3609" s="17">
        <f>IF(B3609="","","")</f>
        <v/>
      </c>
      <c r="H3609" s="17">
        <f>IF(B3609="","","")</f>
        <v/>
      </c>
      <c r="I3609" s="17">
        <f>IF(B3609="","","")</f>
        <v/>
      </c>
      <c r="J3609" s="17">
        <f>IF(B3609="","","touch_1; "&amp;IFERROR(INDEX(Clay_Brands!$A$2:$FZ$601,158,Sync!$D$10)&amp;"","")&amp;"; "&amp;IFERROR(INDEX(Clay_Brands!$A$2:$FZ$601,158,Sync!$D$9)&amp;"",""))</f>
        <v/>
      </c>
      <c r="K3609" t="inlineStr">
        <is>
          <t>brand outreach touch 1</t>
        </is>
      </c>
    </row>
    <row r="3610">
      <c r="A3610" s="17">
        <f>IF(B3610="","",B3610+(15*1000+159)/10000000)</f>
        <v/>
      </c>
      <c r="B3610" s="23">
        <f>IF(AND(IFERROR(N(INDEX(Clay_Brands!$A$2:$FZ$601,159,Sync!$D$11)),0)&gt;0,IFERROR(INDEX(Clay_Brands!$A$2:$FZ$601,159,Sync!$D$5)&amp;"","")&lt;&gt;"",OR(LEFT(IFERROR(INDEX(Clay_Brands!$A$2:$FZ$601,159,Sync!$D$5)&amp;"",""),6)&lt;&gt;"SAMPLE",Config!$B$19="Y")),IFERROR(N(INDEX(Clay_Brands!$A$2:$FZ$601,159,Sync!$D$11)),0),"")</f>
        <v/>
      </c>
      <c r="C3610" s="17">
        <f>IF(B3610="","","brand")</f>
        <v/>
      </c>
      <c r="D3610" s="17">
        <f>IF(B3610="","",IFERROR(INDEX(Clay_Brands!$A$2:$FZ$601,159,Sync!$D$5)&amp;"",""))</f>
        <v/>
      </c>
      <c r="E3610" s="17">
        <f>IF(B3610="","",IFERROR(INDEX(Clay_Brands!$A$2:$FZ$601,159,Sync!$D$6)&amp;"",""))</f>
        <v/>
      </c>
      <c r="F3610" s="17">
        <f>IF(B3610="","","outreach_sent")</f>
        <v/>
      </c>
      <c r="G3610" s="17">
        <f>IF(B3610="","","")</f>
        <v/>
      </c>
      <c r="H3610" s="17">
        <f>IF(B3610="","","")</f>
        <v/>
      </c>
      <c r="I3610" s="17">
        <f>IF(B3610="","","")</f>
        <v/>
      </c>
      <c r="J3610" s="17">
        <f>IF(B3610="","","touch_1; "&amp;IFERROR(INDEX(Clay_Brands!$A$2:$FZ$601,159,Sync!$D$10)&amp;"","")&amp;"; "&amp;IFERROR(INDEX(Clay_Brands!$A$2:$FZ$601,159,Sync!$D$9)&amp;"",""))</f>
        <v/>
      </c>
      <c r="K3610" t="inlineStr">
        <is>
          <t>brand outreach touch 1</t>
        </is>
      </c>
    </row>
    <row r="3611">
      <c r="A3611" s="17">
        <f>IF(B3611="","",B3611+(15*1000+160)/10000000)</f>
        <v/>
      </c>
      <c r="B3611" s="23">
        <f>IF(AND(IFERROR(N(INDEX(Clay_Brands!$A$2:$FZ$601,160,Sync!$D$11)),0)&gt;0,IFERROR(INDEX(Clay_Brands!$A$2:$FZ$601,160,Sync!$D$5)&amp;"","")&lt;&gt;"",OR(LEFT(IFERROR(INDEX(Clay_Brands!$A$2:$FZ$601,160,Sync!$D$5)&amp;"",""),6)&lt;&gt;"SAMPLE",Config!$B$19="Y")),IFERROR(N(INDEX(Clay_Brands!$A$2:$FZ$601,160,Sync!$D$11)),0),"")</f>
        <v/>
      </c>
      <c r="C3611" s="17">
        <f>IF(B3611="","","brand")</f>
        <v/>
      </c>
      <c r="D3611" s="17">
        <f>IF(B3611="","",IFERROR(INDEX(Clay_Brands!$A$2:$FZ$601,160,Sync!$D$5)&amp;"",""))</f>
        <v/>
      </c>
      <c r="E3611" s="17">
        <f>IF(B3611="","",IFERROR(INDEX(Clay_Brands!$A$2:$FZ$601,160,Sync!$D$6)&amp;"",""))</f>
        <v/>
      </c>
      <c r="F3611" s="17">
        <f>IF(B3611="","","outreach_sent")</f>
        <v/>
      </c>
      <c r="G3611" s="17">
        <f>IF(B3611="","","")</f>
        <v/>
      </c>
      <c r="H3611" s="17">
        <f>IF(B3611="","","")</f>
        <v/>
      </c>
      <c r="I3611" s="17">
        <f>IF(B3611="","","")</f>
        <v/>
      </c>
      <c r="J3611" s="17">
        <f>IF(B3611="","","touch_1; "&amp;IFERROR(INDEX(Clay_Brands!$A$2:$FZ$601,160,Sync!$D$10)&amp;"","")&amp;"; "&amp;IFERROR(INDEX(Clay_Brands!$A$2:$FZ$601,160,Sync!$D$9)&amp;"",""))</f>
        <v/>
      </c>
      <c r="K3611" t="inlineStr">
        <is>
          <t>brand outreach touch 1</t>
        </is>
      </c>
    </row>
    <row r="3612">
      <c r="A3612" s="17">
        <f>IF(B3612="","",B3612+(15*1000+161)/10000000)</f>
        <v/>
      </c>
      <c r="B3612" s="23">
        <f>IF(AND(IFERROR(N(INDEX(Clay_Brands!$A$2:$FZ$601,161,Sync!$D$11)),0)&gt;0,IFERROR(INDEX(Clay_Brands!$A$2:$FZ$601,161,Sync!$D$5)&amp;"","")&lt;&gt;"",OR(LEFT(IFERROR(INDEX(Clay_Brands!$A$2:$FZ$601,161,Sync!$D$5)&amp;"",""),6)&lt;&gt;"SAMPLE",Config!$B$19="Y")),IFERROR(N(INDEX(Clay_Brands!$A$2:$FZ$601,161,Sync!$D$11)),0),"")</f>
        <v/>
      </c>
      <c r="C3612" s="17">
        <f>IF(B3612="","","brand")</f>
        <v/>
      </c>
      <c r="D3612" s="17">
        <f>IF(B3612="","",IFERROR(INDEX(Clay_Brands!$A$2:$FZ$601,161,Sync!$D$5)&amp;"",""))</f>
        <v/>
      </c>
      <c r="E3612" s="17">
        <f>IF(B3612="","",IFERROR(INDEX(Clay_Brands!$A$2:$FZ$601,161,Sync!$D$6)&amp;"",""))</f>
        <v/>
      </c>
      <c r="F3612" s="17">
        <f>IF(B3612="","","outreach_sent")</f>
        <v/>
      </c>
      <c r="G3612" s="17">
        <f>IF(B3612="","","")</f>
        <v/>
      </c>
      <c r="H3612" s="17">
        <f>IF(B3612="","","")</f>
        <v/>
      </c>
      <c r="I3612" s="17">
        <f>IF(B3612="","","")</f>
        <v/>
      </c>
      <c r="J3612" s="17">
        <f>IF(B3612="","","touch_1; "&amp;IFERROR(INDEX(Clay_Brands!$A$2:$FZ$601,161,Sync!$D$10)&amp;"","")&amp;"; "&amp;IFERROR(INDEX(Clay_Brands!$A$2:$FZ$601,161,Sync!$D$9)&amp;"",""))</f>
        <v/>
      </c>
      <c r="K3612" t="inlineStr">
        <is>
          <t>brand outreach touch 1</t>
        </is>
      </c>
    </row>
    <row r="3613">
      <c r="A3613" s="17">
        <f>IF(B3613="","",B3613+(15*1000+162)/10000000)</f>
        <v/>
      </c>
      <c r="B3613" s="23">
        <f>IF(AND(IFERROR(N(INDEX(Clay_Brands!$A$2:$FZ$601,162,Sync!$D$11)),0)&gt;0,IFERROR(INDEX(Clay_Brands!$A$2:$FZ$601,162,Sync!$D$5)&amp;"","")&lt;&gt;"",OR(LEFT(IFERROR(INDEX(Clay_Brands!$A$2:$FZ$601,162,Sync!$D$5)&amp;"",""),6)&lt;&gt;"SAMPLE",Config!$B$19="Y")),IFERROR(N(INDEX(Clay_Brands!$A$2:$FZ$601,162,Sync!$D$11)),0),"")</f>
        <v/>
      </c>
      <c r="C3613" s="17">
        <f>IF(B3613="","","brand")</f>
        <v/>
      </c>
      <c r="D3613" s="17">
        <f>IF(B3613="","",IFERROR(INDEX(Clay_Brands!$A$2:$FZ$601,162,Sync!$D$5)&amp;"",""))</f>
        <v/>
      </c>
      <c r="E3613" s="17">
        <f>IF(B3613="","",IFERROR(INDEX(Clay_Brands!$A$2:$FZ$601,162,Sync!$D$6)&amp;"",""))</f>
        <v/>
      </c>
      <c r="F3613" s="17">
        <f>IF(B3613="","","outreach_sent")</f>
        <v/>
      </c>
      <c r="G3613" s="17">
        <f>IF(B3613="","","")</f>
        <v/>
      </c>
      <c r="H3613" s="17">
        <f>IF(B3613="","","")</f>
        <v/>
      </c>
      <c r="I3613" s="17">
        <f>IF(B3613="","","")</f>
        <v/>
      </c>
      <c r="J3613" s="17">
        <f>IF(B3613="","","touch_1; "&amp;IFERROR(INDEX(Clay_Brands!$A$2:$FZ$601,162,Sync!$D$10)&amp;"","")&amp;"; "&amp;IFERROR(INDEX(Clay_Brands!$A$2:$FZ$601,162,Sync!$D$9)&amp;"",""))</f>
        <v/>
      </c>
      <c r="K3613" t="inlineStr">
        <is>
          <t>brand outreach touch 1</t>
        </is>
      </c>
    </row>
    <row r="3614">
      <c r="A3614" s="17">
        <f>IF(B3614="","",B3614+(15*1000+163)/10000000)</f>
        <v/>
      </c>
      <c r="B3614" s="23">
        <f>IF(AND(IFERROR(N(INDEX(Clay_Brands!$A$2:$FZ$601,163,Sync!$D$11)),0)&gt;0,IFERROR(INDEX(Clay_Brands!$A$2:$FZ$601,163,Sync!$D$5)&amp;"","")&lt;&gt;"",OR(LEFT(IFERROR(INDEX(Clay_Brands!$A$2:$FZ$601,163,Sync!$D$5)&amp;"",""),6)&lt;&gt;"SAMPLE",Config!$B$19="Y")),IFERROR(N(INDEX(Clay_Brands!$A$2:$FZ$601,163,Sync!$D$11)),0),"")</f>
        <v/>
      </c>
      <c r="C3614" s="17">
        <f>IF(B3614="","","brand")</f>
        <v/>
      </c>
      <c r="D3614" s="17">
        <f>IF(B3614="","",IFERROR(INDEX(Clay_Brands!$A$2:$FZ$601,163,Sync!$D$5)&amp;"",""))</f>
        <v/>
      </c>
      <c r="E3614" s="17">
        <f>IF(B3614="","",IFERROR(INDEX(Clay_Brands!$A$2:$FZ$601,163,Sync!$D$6)&amp;"",""))</f>
        <v/>
      </c>
      <c r="F3614" s="17">
        <f>IF(B3614="","","outreach_sent")</f>
        <v/>
      </c>
      <c r="G3614" s="17">
        <f>IF(B3614="","","")</f>
        <v/>
      </c>
      <c r="H3614" s="17">
        <f>IF(B3614="","","")</f>
        <v/>
      </c>
      <c r="I3614" s="17">
        <f>IF(B3614="","","")</f>
        <v/>
      </c>
      <c r="J3614" s="17">
        <f>IF(B3614="","","touch_1; "&amp;IFERROR(INDEX(Clay_Brands!$A$2:$FZ$601,163,Sync!$D$10)&amp;"","")&amp;"; "&amp;IFERROR(INDEX(Clay_Brands!$A$2:$FZ$601,163,Sync!$D$9)&amp;"",""))</f>
        <v/>
      </c>
      <c r="K3614" t="inlineStr">
        <is>
          <t>brand outreach touch 1</t>
        </is>
      </c>
    </row>
    <row r="3615">
      <c r="A3615" s="17">
        <f>IF(B3615="","",B3615+(15*1000+164)/10000000)</f>
        <v/>
      </c>
      <c r="B3615" s="23">
        <f>IF(AND(IFERROR(N(INDEX(Clay_Brands!$A$2:$FZ$601,164,Sync!$D$11)),0)&gt;0,IFERROR(INDEX(Clay_Brands!$A$2:$FZ$601,164,Sync!$D$5)&amp;"","")&lt;&gt;"",OR(LEFT(IFERROR(INDEX(Clay_Brands!$A$2:$FZ$601,164,Sync!$D$5)&amp;"",""),6)&lt;&gt;"SAMPLE",Config!$B$19="Y")),IFERROR(N(INDEX(Clay_Brands!$A$2:$FZ$601,164,Sync!$D$11)),0),"")</f>
        <v/>
      </c>
      <c r="C3615" s="17">
        <f>IF(B3615="","","brand")</f>
        <v/>
      </c>
      <c r="D3615" s="17">
        <f>IF(B3615="","",IFERROR(INDEX(Clay_Brands!$A$2:$FZ$601,164,Sync!$D$5)&amp;"",""))</f>
        <v/>
      </c>
      <c r="E3615" s="17">
        <f>IF(B3615="","",IFERROR(INDEX(Clay_Brands!$A$2:$FZ$601,164,Sync!$D$6)&amp;"",""))</f>
        <v/>
      </c>
      <c r="F3615" s="17">
        <f>IF(B3615="","","outreach_sent")</f>
        <v/>
      </c>
      <c r="G3615" s="17">
        <f>IF(B3615="","","")</f>
        <v/>
      </c>
      <c r="H3615" s="17">
        <f>IF(B3615="","","")</f>
        <v/>
      </c>
      <c r="I3615" s="17">
        <f>IF(B3615="","","")</f>
        <v/>
      </c>
      <c r="J3615" s="17">
        <f>IF(B3615="","","touch_1; "&amp;IFERROR(INDEX(Clay_Brands!$A$2:$FZ$601,164,Sync!$D$10)&amp;"","")&amp;"; "&amp;IFERROR(INDEX(Clay_Brands!$A$2:$FZ$601,164,Sync!$D$9)&amp;"",""))</f>
        <v/>
      </c>
      <c r="K3615" t="inlineStr">
        <is>
          <t>brand outreach touch 1</t>
        </is>
      </c>
    </row>
    <row r="3616">
      <c r="A3616" s="17">
        <f>IF(B3616="","",B3616+(15*1000+165)/10000000)</f>
        <v/>
      </c>
      <c r="B3616" s="23">
        <f>IF(AND(IFERROR(N(INDEX(Clay_Brands!$A$2:$FZ$601,165,Sync!$D$11)),0)&gt;0,IFERROR(INDEX(Clay_Brands!$A$2:$FZ$601,165,Sync!$D$5)&amp;"","")&lt;&gt;"",OR(LEFT(IFERROR(INDEX(Clay_Brands!$A$2:$FZ$601,165,Sync!$D$5)&amp;"",""),6)&lt;&gt;"SAMPLE",Config!$B$19="Y")),IFERROR(N(INDEX(Clay_Brands!$A$2:$FZ$601,165,Sync!$D$11)),0),"")</f>
        <v/>
      </c>
      <c r="C3616" s="17">
        <f>IF(B3616="","","brand")</f>
        <v/>
      </c>
      <c r="D3616" s="17">
        <f>IF(B3616="","",IFERROR(INDEX(Clay_Brands!$A$2:$FZ$601,165,Sync!$D$5)&amp;"",""))</f>
        <v/>
      </c>
      <c r="E3616" s="17">
        <f>IF(B3616="","",IFERROR(INDEX(Clay_Brands!$A$2:$FZ$601,165,Sync!$D$6)&amp;"",""))</f>
        <v/>
      </c>
      <c r="F3616" s="17">
        <f>IF(B3616="","","outreach_sent")</f>
        <v/>
      </c>
      <c r="G3616" s="17">
        <f>IF(B3616="","","")</f>
        <v/>
      </c>
      <c r="H3616" s="17">
        <f>IF(B3616="","","")</f>
        <v/>
      </c>
      <c r="I3616" s="17">
        <f>IF(B3616="","","")</f>
        <v/>
      </c>
      <c r="J3616" s="17">
        <f>IF(B3616="","","touch_1; "&amp;IFERROR(INDEX(Clay_Brands!$A$2:$FZ$601,165,Sync!$D$10)&amp;"","")&amp;"; "&amp;IFERROR(INDEX(Clay_Brands!$A$2:$FZ$601,165,Sync!$D$9)&amp;"",""))</f>
        <v/>
      </c>
      <c r="K3616" t="inlineStr">
        <is>
          <t>brand outreach touch 1</t>
        </is>
      </c>
    </row>
    <row r="3617">
      <c r="A3617" s="17">
        <f>IF(B3617="","",B3617+(15*1000+166)/10000000)</f>
        <v/>
      </c>
      <c r="B3617" s="23">
        <f>IF(AND(IFERROR(N(INDEX(Clay_Brands!$A$2:$FZ$601,166,Sync!$D$11)),0)&gt;0,IFERROR(INDEX(Clay_Brands!$A$2:$FZ$601,166,Sync!$D$5)&amp;"","")&lt;&gt;"",OR(LEFT(IFERROR(INDEX(Clay_Brands!$A$2:$FZ$601,166,Sync!$D$5)&amp;"",""),6)&lt;&gt;"SAMPLE",Config!$B$19="Y")),IFERROR(N(INDEX(Clay_Brands!$A$2:$FZ$601,166,Sync!$D$11)),0),"")</f>
        <v/>
      </c>
      <c r="C3617" s="17">
        <f>IF(B3617="","","brand")</f>
        <v/>
      </c>
      <c r="D3617" s="17">
        <f>IF(B3617="","",IFERROR(INDEX(Clay_Brands!$A$2:$FZ$601,166,Sync!$D$5)&amp;"",""))</f>
        <v/>
      </c>
      <c r="E3617" s="17">
        <f>IF(B3617="","",IFERROR(INDEX(Clay_Brands!$A$2:$FZ$601,166,Sync!$D$6)&amp;"",""))</f>
        <v/>
      </c>
      <c r="F3617" s="17">
        <f>IF(B3617="","","outreach_sent")</f>
        <v/>
      </c>
      <c r="G3617" s="17">
        <f>IF(B3617="","","")</f>
        <v/>
      </c>
      <c r="H3617" s="17">
        <f>IF(B3617="","","")</f>
        <v/>
      </c>
      <c r="I3617" s="17">
        <f>IF(B3617="","","")</f>
        <v/>
      </c>
      <c r="J3617" s="17">
        <f>IF(B3617="","","touch_1; "&amp;IFERROR(INDEX(Clay_Brands!$A$2:$FZ$601,166,Sync!$D$10)&amp;"","")&amp;"; "&amp;IFERROR(INDEX(Clay_Brands!$A$2:$FZ$601,166,Sync!$D$9)&amp;"",""))</f>
        <v/>
      </c>
      <c r="K3617" t="inlineStr">
        <is>
          <t>brand outreach touch 1</t>
        </is>
      </c>
    </row>
    <row r="3618">
      <c r="A3618" s="17">
        <f>IF(B3618="","",B3618+(15*1000+167)/10000000)</f>
        <v/>
      </c>
      <c r="B3618" s="23">
        <f>IF(AND(IFERROR(N(INDEX(Clay_Brands!$A$2:$FZ$601,167,Sync!$D$11)),0)&gt;0,IFERROR(INDEX(Clay_Brands!$A$2:$FZ$601,167,Sync!$D$5)&amp;"","")&lt;&gt;"",OR(LEFT(IFERROR(INDEX(Clay_Brands!$A$2:$FZ$601,167,Sync!$D$5)&amp;"",""),6)&lt;&gt;"SAMPLE",Config!$B$19="Y")),IFERROR(N(INDEX(Clay_Brands!$A$2:$FZ$601,167,Sync!$D$11)),0),"")</f>
        <v/>
      </c>
      <c r="C3618" s="17">
        <f>IF(B3618="","","brand")</f>
        <v/>
      </c>
      <c r="D3618" s="17">
        <f>IF(B3618="","",IFERROR(INDEX(Clay_Brands!$A$2:$FZ$601,167,Sync!$D$5)&amp;"",""))</f>
        <v/>
      </c>
      <c r="E3618" s="17">
        <f>IF(B3618="","",IFERROR(INDEX(Clay_Brands!$A$2:$FZ$601,167,Sync!$D$6)&amp;"",""))</f>
        <v/>
      </c>
      <c r="F3618" s="17">
        <f>IF(B3618="","","outreach_sent")</f>
        <v/>
      </c>
      <c r="G3618" s="17">
        <f>IF(B3618="","","")</f>
        <v/>
      </c>
      <c r="H3618" s="17">
        <f>IF(B3618="","","")</f>
        <v/>
      </c>
      <c r="I3618" s="17">
        <f>IF(B3618="","","")</f>
        <v/>
      </c>
      <c r="J3618" s="17">
        <f>IF(B3618="","","touch_1; "&amp;IFERROR(INDEX(Clay_Brands!$A$2:$FZ$601,167,Sync!$D$10)&amp;"","")&amp;"; "&amp;IFERROR(INDEX(Clay_Brands!$A$2:$FZ$601,167,Sync!$D$9)&amp;"",""))</f>
        <v/>
      </c>
      <c r="K3618" t="inlineStr">
        <is>
          <t>brand outreach touch 1</t>
        </is>
      </c>
    </row>
    <row r="3619">
      <c r="A3619" s="17">
        <f>IF(B3619="","",B3619+(15*1000+168)/10000000)</f>
        <v/>
      </c>
      <c r="B3619" s="23">
        <f>IF(AND(IFERROR(N(INDEX(Clay_Brands!$A$2:$FZ$601,168,Sync!$D$11)),0)&gt;0,IFERROR(INDEX(Clay_Brands!$A$2:$FZ$601,168,Sync!$D$5)&amp;"","")&lt;&gt;"",OR(LEFT(IFERROR(INDEX(Clay_Brands!$A$2:$FZ$601,168,Sync!$D$5)&amp;"",""),6)&lt;&gt;"SAMPLE",Config!$B$19="Y")),IFERROR(N(INDEX(Clay_Brands!$A$2:$FZ$601,168,Sync!$D$11)),0),"")</f>
        <v/>
      </c>
      <c r="C3619" s="17">
        <f>IF(B3619="","","brand")</f>
        <v/>
      </c>
      <c r="D3619" s="17">
        <f>IF(B3619="","",IFERROR(INDEX(Clay_Brands!$A$2:$FZ$601,168,Sync!$D$5)&amp;"",""))</f>
        <v/>
      </c>
      <c r="E3619" s="17">
        <f>IF(B3619="","",IFERROR(INDEX(Clay_Brands!$A$2:$FZ$601,168,Sync!$D$6)&amp;"",""))</f>
        <v/>
      </c>
      <c r="F3619" s="17">
        <f>IF(B3619="","","outreach_sent")</f>
        <v/>
      </c>
      <c r="G3619" s="17">
        <f>IF(B3619="","","")</f>
        <v/>
      </c>
      <c r="H3619" s="17">
        <f>IF(B3619="","","")</f>
        <v/>
      </c>
      <c r="I3619" s="17">
        <f>IF(B3619="","","")</f>
        <v/>
      </c>
      <c r="J3619" s="17">
        <f>IF(B3619="","","touch_1; "&amp;IFERROR(INDEX(Clay_Brands!$A$2:$FZ$601,168,Sync!$D$10)&amp;"","")&amp;"; "&amp;IFERROR(INDEX(Clay_Brands!$A$2:$FZ$601,168,Sync!$D$9)&amp;"",""))</f>
        <v/>
      </c>
      <c r="K3619" t="inlineStr">
        <is>
          <t>brand outreach touch 1</t>
        </is>
      </c>
    </row>
    <row r="3620">
      <c r="A3620" s="17">
        <f>IF(B3620="","",B3620+(15*1000+169)/10000000)</f>
        <v/>
      </c>
      <c r="B3620" s="23">
        <f>IF(AND(IFERROR(N(INDEX(Clay_Brands!$A$2:$FZ$601,169,Sync!$D$11)),0)&gt;0,IFERROR(INDEX(Clay_Brands!$A$2:$FZ$601,169,Sync!$D$5)&amp;"","")&lt;&gt;"",OR(LEFT(IFERROR(INDEX(Clay_Brands!$A$2:$FZ$601,169,Sync!$D$5)&amp;"",""),6)&lt;&gt;"SAMPLE",Config!$B$19="Y")),IFERROR(N(INDEX(Clay_Brands!$A$2:$FZ$601,169,Sync!$D$11)),0),"")</f>
        <v/>
      </c>
      <c r="C3620" s="17">
        <f>IF(B3620="","","brand")</f>
        <v/>
      </c>
      <c r="D3620" s="17">
        <f>IF(B3620="","",IFERROR(INDEX(Clay_Brands!$A$2:$FZ$601,169,Sync!$D$5)&amp;"",""))</f>
        <v/>
      </c>
      <c r="E3620" s="17">
        <f>IF(B3620="","",IFERROR(INDEX(Clay_Brands!$A$2:$FZ$601,169,Sync!$D$6)&amp;"",""))</f>
        <v/>
      </c>
      <c r="F3620" s="17">
        <f>IF(B3620="","","outreach_sent")</f>
        <v/>
      </c>
      <c r="G3620" s="17">
        <f>IF(B3620="","","")</f>
        <v/>
      </c>
      <c r="H3620" s="17">
        <f>IF(B3620="","","")</f>
        <v/>
      </c>
      <c r="I3620" s="17">
        <f>IF(B3620="","","")</f>
        <v/>
      </c>
      <c r="J3620" s="17">
        <f>IF(B3620="","","touch_1; "&amp;IFERROR(INDEX(Clay_Brands!$A$2:$FZ$601,169,Sync!$D$10)&amp;"","")&amp;"; "&amp;IFERROR(INDEX(Clay_Brands!$A$2:$FZ$601,169,Sync!$D$9)&amp;"",""))</f>
        <v/>
      </c>
      <c r="K3620" t="inlineStr">
        <is>
          <t>brand outreach touch 1</t>
        </is>
      </c>
    </row>
    <row r="3621">
      <c r="A3621" s="17">
        <f>IF(B3621="","",B3621+(15*1000+170)/10000000)</f>
        <v/>
      </c>
      <c r="B3621" s="23">
        <f>IF(AND(IFERROR(N(INDEX(Clay_Brands!$A$2:$FZ$601,170,Sync!$D$11)),0)&gt;0,IFERROR(INDEX(Clay_Brands!$A$2:$FZ$601,170,Sync!$D$5)&amp;"","")&lt;&gt;"",OR(LEFT(IFERROR(INDEX(Clay_Brands!$A$2:$FZ$601,170,Sync!$D$5)&amp;"",""),6)&lt;&gt;"SAMPLE",Config!$B$19="Y")),IFERROR(N(INDEX(Clay_Brands!$A$2:$FZ$601,170,Sync!$D$11)),0),"")</f>
        <v/>
      </c>
      <c r="C3621" s="17">
        <f>IF(B3621="","","brand")</f>
        <v/>
      </c>
      <c r="D3621" s="17">
        <f>IF(B3621="","",IFERROR(INDEX(Clay_Brands!$A$2:$FZ$601,170,Sync!$D$5)&amp;"",""))</f>
        <v/>
      </c>
      <c r="E3621" s="17">
        <f>IF(B3621="","",IFERROR(INDEX(Clay_Brands!$A$2:$FZ$601,170,Sync!$D$6)&amp;"",""))</f>
        <v/>
      </c>
      <c r="F3621" s="17">
        <f>IF(B3621="","","outreach_sent")</f>
        <v/>
      </c>
      <c r="G3621" s="17">
        <f>IF(B3621="","","")</f>
        <v/>
      </c>
      <c r="H3621" s="17">
        <f>IF(B3621="","","")</f>
        <v/>
      </c>
      <c r="I3621" s="17">
        <f>IF(B3621="","","")</f>
        <v/>
      </c>
      <c r="J3621" s="17">
        <f>IF(B3621="","","touch_1; "&amp;IFERROR(INDEX(Clay_Brands!$A$2:$FZ$601,170,Sync!$D$10)&amp;"","")&amp;"; "&amp;IFERROR(INDEX(Clay_Brands!$A$2:$FZ$601,170,Sync!$D$9)&amp;"",""))</f>
        <v/>
      </c>
      <c r="K3621" t="inlineStr">
        <is>
          <t>brand outreach touch 1</t>
        </is>
      </c>
    </row>
    <row r="3622">
      <c r="A3622" s="17">
        <f>IF(B3622="","",B3622+(15*1000+171)/10000000)</f>
        <v/>
      </c>
      <c r="B3622" s="23">
        <f>IF(AND(IFERROR(N(INDEX(Clay_Brands!$A$2:$FZ$601,171,Sync!$D$11)),0)&gt;0,IFERROR(INDEX(Clay_Brands!$A$2:$FZ$601,171,Sync!$D$5)&amp;"","")&lt;&gt;"",OR(LEFT(IFERROR(INDEX(Clay_Brands!$A$2:$FZ$601,171,Sync!$D$5)&amp;"",""),6)&lt;&gt;"SAMPLE",Config!$B$19="Y")),IFERROR(N(INDEX(Clay_Brands!$A$2:$FZ$601,171,Sync!$D$11)),0),"")</f>
        <v/>
      </c>
      <c r="C3622" s="17">
        <f>IF(B3622="","","brand")</f>
        <v/>
      </c>
      <c r="D3622" s="17">
        <f>IF(B3622="","",IFERROR(INDEX(Clay_Brands!$A$2:$FZ$601,171,Sync!$D$5)&amp;"",""))</f>
        <v/>
      </c>
      <c r="E3622" s="17">
        <f>IF(B3622="","",IFERROR(INDEX(Clay_Brands!$A$2:$FZ$601,171,Sync!$D$6)&amp;"",""))</f>
        <v/>
      </c>
      <c r="F3622" s="17">
        <f>IF(B3622="","","outreach_sent")</f>
        <v/>
      </c>
      <c r="G3622" s="17">
        <f>IF(B3622="","","")</f>
        <v/>
      </c>
      <c r="H3622" s="17">
        <f>IF(B3622="","","")</f>
        <v/>
      </c>
      <c r="I3622" s="17">
        <f>IF(B3622="","","")</f>
        <v/>
      </c>
      <c r="J3622" s="17">
        <f>IF(B3622="","","touch_1; "&amp;IFERROR(INDEX(Clay_Brands!$A$2:$FZ$601,171,Sync!$D$10)&amp;"","")&amp;"; "&amp;IFERROR(INDEX(Clay_Brands!$A$2:$FZ$601,171,Sync!$D$9)&amp;"",""))</f>
        <v/>
      </c>
      <c r="K3622" t="inlineStr">
        <is>
          <t>brand outreach touch 1</t>
        </is>
      </c>
    </row>
    <row r="3623">
      <c r="A3623" s="17">
        <f>IF(B3623="","",B3623+(15*1000+172)/10000000)</f>
        <v/>
      </c>
      <c r="B3623" s="23">
        <f>IF(AND(IFERROR(N(INDEX(Clay_Brands!$A$2:$FZ$601,172,Sync!$D$11)),0)&gt;0,IFERROR(INDEX(Clay_Brands!$A$2:$FZ$601,172,Sync!$D$5)&amp;"","")&lt;&gt;"",OR(LEFT(IFERROR(INDEX(Clay_Brands!$A$2:$FZ$601,172,Sync!$D$5)&amp;"",""),6)&lt;&gt;"SAMPLE",Config!$B$19="Y")),IFERROR(N(INDEX(Clay_Brands!$A$2:$FZ$601,172,Sync!$D$11)),0),"")</f>
        <v/>
      </c>
      <c r="C3623" s="17">
        <f>IF(B3623="","","brand")</f>
        <v/>
      </c>
      <c r="D3623" s="17">
        <f>IF(B3623="","",IFERROR(INDEX(Clay_Brands!$A$2:$FZ$601,172,Sync!$D$5)&amp;"",""))</f>
        <v/>
      </c>
      <c r="E3623" s="17">
        <f>IF(B3623="","",IFERROR(INDEX(Clay_Brands!$A$2:$FZ$601,172,Sync!$D$6)&amp;"",""))</f>
        <v/>
      </c>
      <c r="F3623" s="17">
        <f>IF(B3623="","","outreach_sent")</f>
        <v/>
      </c>
      <c r="G3623" s="17">
        <f>IF(B3623="","","")</f>
        <v/>
      </c>
      <c r="H3623" s="17">
        <f>IF(B3623="","","")</f>
        <v/>
      </c>
      <c r="I3623" s="17">
        <f>IF(B3623="","","")</f>
        <v/>
      </c>
      <c r="J3623" s="17">
        <f>IF(B3623="","","touch_1; "&amp;IFERROR(INDEX(Clay_Brands!$A$2:$FZ$601,172,Sync!$D$10)&amp;"","")&amp;"; "&amp;IFERROR(INDEX(Clay_Brands!$A$2:$FZ$601,172,Sync!$D$9)&amp;"",""))</f>
        <v/>
      </c>
      <c r="K3623" t="inlineStr">
        <is>
          <t>brand outreach touch 1</t>
        </is>
      </c>
    </row>
    <row r="3624">
      <c r="A3624" s="17">
        <f>IF(B3624="","",B3624+(15*1000+173)/10000000)</f>
        <v/>
      </c>
      <c r="B3624" s="23">
        <f>IF(AND(IFERROR(N(INDEX(Clay_Brands!$A$2:$FZ$601,173,Sync!$D$11)),0)&gt;0,IFERROR(INDEX(Clay_Brands!$A$2:$FZ$601,173,Sync!$D$5)&amp;"","")&lt;&gt;"",OR(LEFT(IFERROR(INDEX(Clay_Brands!$A$2:$FZ$601,173,Sync!$D$5)&amp;"",""),6)&lt;&gt;"SAMPLE",Config!$B$19="Y")),IFERROR(N(INDEX(Clay_Brands!$A$2:$FZ$601,173,Sync!$D$11)),0),"")</f>
        <v/>
      </c>
      <c r="C3624" s="17">
        <f>IF(B3624="","","brand")</f>
        <v/>
      </c>
      <c r="D3624" s="17">
        <f>IF(B3624="","",IFERROR(INDEX(Clay_Brands!$A$2:$FZ$601,173,Sync!$D$5)&amp;"",""))</f>
        <v/>
      </c>
      <c r="E3624" s="17">
        <f>IF(B3624="","",IFERROR(INDEX(Clay_Brands!$A$2:$FZ$601,173,Sync!$D$6)&amp;"",""))</f>
        <v/>
      </c>
      <c r="F3624" s="17">
        <f>IF(B3624="","","outreach_sent")</f>
        <v/>
      </c>
      <c r="G3624" s="17">
        <f>IF(B3624="","","")</f>
        <v/>
      </c>
      <c r="H3624" s="17">
        <f>IF(B3624="","","")</f>
        <v/>
      </c>
      <c r="I3624" s="17">
        <f>IF(B3624="","","")</f>
        <v/>
      </c>
      <c r="J3624" s="17">
        <f>IF(B3624="","","touch_1; "&amp;IFERROR(INDEX(Clay_Brands!$A$2:$FZ$601,173,Sync!$D$10)&amp;"","")&amp;"; "&amp;IFERROR(INDEX(Clay_Brands!$A$2:$FZ$601,173,Sync!$D$9)&amp;"",""))</f>
        <v/>
      </c>
      <c r="K3624" t="inlineStr">
        <is>
          <t>brand outreach touch 1</t>
        </is>
      </c>
    </row>
    <row r="3625">
      <c r="A3625" s="17">
        <f>IF(B3625="","",B3625+(15*1000+174)/10000000)</f>
        <v/>
      </c>
      <c r="B3625" s="23">
        <f>IF(AND(IFERROR(N(INDEX(Clay_Brands!$A$2:$FZ$601,174,Sync!$D$11)),0)&gt;0,IFERROR(INDEX(Clay_Brands!$A$2:$FZ$601,174,Sync!$D$5)&amp;"","")&lt;&gt;"",OR(LEFT(IFERROR(INDEX(Clay_Brands!$A$2:$FZ$601,174,Sync!$D$5)&amp;"",""),6)&lt;&gt;"SAMPLE",Config!$B$19="Y")),IFERROR(N(INDEX(Clay_Brands!$A$2:$FZ$601,174,Sync!$D$11)),0),"")</f>
        <v/>
      </c>
      <c r="C3625" s="17">
        <f>IF(B3625="","","brand")</f>
        <v/>
      </c>
      <c r="D3625" s="17">
        <f>IF(B3625="","",IFERROR(INDEX(Clay_Brands!$A$2:$FZ$601,174,Sync!$D$5)&amp;"",""))</f>
        <v/>
      </c>
      <c r="E3625" s="17">
        <f>IF(B3625="","",IFERROR(INDEX(Clay_Brands!$A$2:$FZ$601,174,Sync!$D$6)&amp;"",""))</f>
        <v/>
      </c>
      <c r="F3625" s="17">
        <f>IF(B3625="","","outreach_sent")</f>
        <v/>
      </c>
      <c r="G3625" s="17">
        <f>IF(B3625="","","")</f>
        <v/>
      </c>
      <c r="H3625" s="17">
        <f>IF(B3625="","","")</f>
        <v/>
      </c>
      <c r="I3625" s="17">
        <f>IF(B3625="","","")</f>
        <v/>
      </c>
      <c r="J3625" s="17">
        <f>IF(B3625="","","touch_1; "&amp;IFERROR(INDEX(Clay_Brands!$A$2:$FZ$601,174,Sync!$D$10)&amp;"","")&amp;"; "&amp;IFERROR(INDEX(Clay_Brands!$A$2:$FZ$601,174,Sync!$D$9)&amp;"",""))</f>
        <v/>
      </c>
      <c r="K3625" t="inlineStr">
        <is>
          <t>brand outreach touch 1</t>
        </is>
      </c>
    </row>
    <row r="3626">
      <c r="A3626" s="17">
        <f>IF(B3626="","",B3626+(15*1000+175)/10000000)</f>
        <v/>
      </c>
      <c r="B3626" s="23">
        <f>IF(AND(IFERROR(N(INDEX(Clay_Brands!$A$2:$FZ$601,175,Sync!$D$11)),0)&gt;0,IFERROR(INDEX(Clay_Brands!$A$2:$FZ$601,175,Sync!$D$5)&amp;"","")&lt;&gt;"",OR(LEFT(IFERROR(INDEX(Clay_Brands!$A$2:$FZ$601,175,Sync!$D$5)&amp;"",""),6)&lt;&gt;"SAMPLE",Config!$B$19="Y")),IFERROR(N(INDEX(Clay_Brands!$A$2:$FZ$601,175,Sync!$D$11)),0),"")</f>
        <v/>
      </c>
      <c r="C3626" s="17">
        <f>IF(B3626="","","brand")</f>
        <v/>
      </c>
      <c r="D3626" s="17">
        <f>IF(B3626="","",IFERROR(INDEX(Clay_Brands!$A$2:$FZ$601,175,Sync!$D$5)&amp;"",""))</f>
        <v/>
      </c>
      <c r="E3626" s="17">
        <f>IF(B3626="","",IFERROR(INDEX(Clay_Brands!$A$2:$FZ$601,175,Sync!$D$6)&amp;"",""))</f>
        <v/>
      </c>
      <c r="F3626" s="17">
        <f>IF(B3626="","","outreach_sent")</f>
        <v/>
      </c>
      <c r="G3626" s="17">
        <f>IF(B3626="","","")</f>
        <v/>
      </c>
      <c r="H3626" s="17">
        <f>IF(B3626="","","")</f>
        <v/>
      </c>
      <c r="I3626" s="17">
        <f>IF(B3626="","","")</f>
        <v/>
      </c>
      <c r="J3626" s="17">
        <f>IF(B3626="","","touch_1; "&amp;IFERROR(INDEX(Clay_Brands!$A$2:$FZ$601,175,Sync!$D$10)&amp;"","")&amp;"; "&amp;IFERROR(INDEX(Clay_Brands!$A$2:$FZ$601,175,Sync!$D$9)&amp;"",""))</f>
        <v/>
      </c>
      <c r="K3626" t="inlineStr">
        <is>
          <t>brand outreach touch 1</t>
        </is>
      </c>
    </row>
    <row r="3627">
      <c r="A3627" s="17">
        <f>IF(B3627="","",B3627+(15*1000+176)/10000000)</f>
        <v/>
      </c>
      <c r="B3627" s="23">
        <f>IF(AND(IFERROR(N(INDEX(Clay_Brands!$A$2:$FZ$601,176,Sync!$D$11)),0)&gt;0,IFERROR(INDEX(Clay_Brands!$A$2:$FZ$601,176,Sync!$D$5)&amp;"","")&lt;&gt;"",OR(LEFT(IFERROR(INDEX(Clay_Brands!$A$2:$FZ$601,176,Sync!$D$5)&amp;"",""),6)&lt;&gt;"SAMPLE",Config!$B$19="Y")),IFERROR(N(INDEX(Clay_Brands!$A$2:$FZ$601,176,Sync!$D$11)),0),"")</f>
        <v/>
      </c>
      <c r="C3627" s="17">
        <f>IF(B3627="","","brand")</f>
        <v/>
      </c>
      <c r="D3627" s="17">
        <f>IF(B3627="","",IFERROR(INDEX(Clay_Brands!$A$2:$FZ$601,176,Sync!$D$5)&amp;"",""))</f>
        <v/>
      </c>
      <c r="E3627" s="17">
        <f>IF(B3627="","",IFERROR(INDEX(Clay_Brands!$A$2:$FZ$601,176,Sync!$D$6)&amp;"",""))</f>
        <v/>
      </c>
      <c r="F3627" s="17">
        <f>IF(B3627="","","outreach_sent")</f>
        <v/>
      </c>
      <c r="G3627" s="17">
        <f>IF(B3627="","","")</f>
        <v/>
      </c>
      <c r="H3627" s="17">
        <f>IF(B3627="","","")</f>
        <v/>
      </c>
      <c r="I3627" s="17">
        <f>IF(B3627="","","")</f>
        <v/>
      </c>
      <c r="J3627" s="17">
        <f>IF(B3627="","","touch_1; "&amp;IFERROR(INDEX(Clay_Brands!$A$2:$FZ$601,176,Sync!$D$10)&amp;"","")&amp;"; "&amp;IFERROR(INDEX(Clay_Brands!$A$2:$FZ$601,176,Sync!$D$9)&amp;"",""))</f>
        <v/>
      </c>
      <c r="K3627" t="inlineStr">
        <is>
          <t>brand outreach touch 1</t>
        </is>
      </c>
    </row>
    <row r="3628">
      <c r="A3628" s="17">
        <f>IF(B3628="","",B3628+(15*1000+177)/10000000)</f>
        <v/>
      </c>
      <c r="B3628" s="23">
        <f>IF(AND(IFERROR(N(INDEX(Clay_Brands!$A$2:$FZ$601,177,Sync!$D$11)),0)&gt;0,IFERROR(INDEX(Clay_Brands!$A$2:$FZ$601,177,Sync!$D$5)&amp;"","")&lt;&gt;"",OR(LEFT(IFERROR(INDEX(Clay_Brands!$A$2:$FZ$601,177,Sync!$D$5)&amp;"",""),6)&lt;&gt;"SAMPLE",Config!$B$19="Y")),IFERROR(N(INDEX(Clay_Brands!$A$2:$FZ$601,177,Sync!$D$11)),0),"")</f>
        <v/>
      </c>
      <c r="C3628" s="17">
        <f>IF(B3628="","","brand")</f>
        <v/>
      </c>
      <c r="D3628" s="17">
        <f>IF(B3628="","",IFERROR(INDEX(Clay_Brands!$A$2:$FZ$601,177,Sync!$D$5)&amp;"",""))</f>
        <v/>
      </c>
      <c r="E3628" s="17">
        <f>IF(B3628="","",IFERROR(INDEX(Clay_Brands!$A$2:$FZ$601,177,Sync!$D$6)&amp;"",""))</f>
        <v/>
      </c>
      <c r="F3628" s="17">
        <f>IF(B3628="","","outreach_sent")</f>
        <v/>
      </c>
      <c r="G3628" s="17">
        <f>IF(B3628="","","")</f>
        <v/>
      </c>
      <c r="H3628" s="17">
        <f>IF(B3628="","","")</f>
        <v/>
      </c>
      <c r="I3628" s="17">
        <f>IF(B3628="","","")</f>
        <v/>
      </c>
      <c r="J3628" s="17">
        <f>IF(B3628="","","touch_1; "&amp;IFERROR(INDEX(Clay_Brands!$A$2:$FZ$601,177,Sync!$D$10)&amp;"","")&amp;"; "&amp;IFERROR(INDEX(Clay_Brands!$A$2:$FZ$601,177,Sync!$D$9)&amp;"",""))</f>
        <v/>
      </c>
      <c r="K3628" t="inlineStr">
        <is>
          <t>brand outreach touch 1</t>
        </is>
      </c>
    </row>
    <row r="3629">
      <c r="A3629" s="17">
        <f>IF(B3629="","",B3629+(15*1000+178)/10000000)</f>
        <v/>
      </c>
      <c r="B3629" s="23">
        <f>IF(AND(IFERROR(N(INDEX(Clay_Brands!$A$2:$FZ$601,178,Sync!$D$11)),0)&gt;0,IFERROR(INDEX(Clay_Brands!$A$2:$FZ$601,178,Sync!$D$5)&amp;"","")&lt;&gt;"",OR(LEFT(IFERROR(INDEX(Clay_Brands!$A$2:$FZ$601,178,Sync!$D$5)&amp;"",""),6)&lt;&gt;"SAMPLE",Config!$B$19="Y")),IFERROR(N(INDEX(Clay_Brands!$A$2:$FZ$601,178,Sync!$D$11)),0),"")</f>
        <v/>
      </c>
      <c r="C3629" s="17">
        <f>IF(B3629="","","brand")</f>
        <v/>
      </c>
      <c r="D3629" s="17">
        <f>IF(B3629="","",IFERROR(INDEX(Clay_Brands!$A$2:$FZ$601,178,Sync!$D$5)&amp;"",""))</f>
        <v/>
      </c>
      <c r="E3629" s="17">
        <f>IF(B3629="","",IFERROR(INDEX(Clay_Brands!$A$2:$FZ$601,178,Sync!$D$6)&amp;"",""))</f>
        <v/>
      </c>
      <c r="F3629" s="17">
        <f>IF(B3629="","","outreach_sent")</f>
        <v/>
      </c>
      <c r="G3629" s="17">
        <f>IF(B3629="","","")</f>
        <v/>
      </c>
      <c r="H3629" s="17">
        <f>IF(B3629="","","")</f>
        <v/>
      </c>
      <c r="I3629" s="17">
        <f>IF(B3629="","","")</f>
        <v/>
      </c>
      <c r="J3629" s="17">
        <f>IF(B3629="","","touch_1; "&amp;IFERROR(INDEX(Clay_Brands!$A$2:$FZ$601,178,Sync!$D$10)&amp;"","")&amp;"; "&amp;IFERROR(INDEX(Clay_Brands!$A$2:$FZ$601,178,Sync!$D$9)&amp;"",""))</f>
        <v/>
      </c>
      <c r="K3629" t="inlineStr">
        <is>
          <t>brand outreach touch 1</t>
        </is>
      </c>
    </row>
    <row r="3630">
      <c r="A3630" s="17">
        <f>IF(B3630="","",B3630+(15*1000+179)/10000000)</f>
        <v/>
      </c>
      <c r="B3630" s="23">
        <f>IF(AND(IFERROR(N(INDEX(Clay_Brands!$A$2:$FZ$601,179,Sync!$D$11)),0)&gt;0,IFERROR(INDEX(Clay_Brands!$A$2:$FZ$601,179,Sync!$D$5)&amp;"","")&lt;&gt;"",OR(LEFT(IFERROR(INDEX(Clay_Brands!$A$2:$FZ$601,179,Sync!$D$5)&amp;"",""),6)&lt;&gt;"SAMPLE",Config!$B$19="Y")),IFERROR(N(INDEX(Clay_Brands!$A$2:$FZ$601,179,Sync!$D$11)),0),"")</f>
        <v/>
      </c>
      <c r="C3630" s="17">
        <f>IF(B3630="","","brand")</f>
        <v/>
      </c>
      <c r="D3630" s="17">
        <f>IF(B3630="","",IFERROR(INDEX(Clay_Brands!$A$2:$FZ$601,179,Sync!$D$5)&amp;"",""))</f>
        <v/>
      </c>
      <c r="E3630" s="17">
        <f>IF(B3630="","",IFERROR(INDEX(Clay_Brands!$A$2:$FZ$601,179,Sync!$D$6)&amp;"",""))</f>
        <v/>
      </c>
      <c r="F3630" s="17">
        <f>IF(B3630="","","outreach_sent")</f>
        <v/>
      </c>
      <c r="G3630" s="17">
        <f>IF(B3630="","","")</f>
        <v/>
      </c>
      <c r="H3630" s="17">
        <f>IF(B3630="","","")</f>
        <v/>
      </c>
      <c r="I3630" s="17">
        <f>IF(B3630="","","")</f>
        <v/>
      </c>
      <c r="J3630" s="17">
        <f>IF(B3630="","","touch_1; "&amp;IFERROR(INDEX(Clay_Brands!$A$2:$FZ$601,179,Sync!$D$10)&amp;"","")&amp;"; "&amp;IFERROR(INDEX(Clay_Brands!$A$2:$FZ$601,179,Sync!$D$9)&amp;"",""))</f>
        <v/>
      </c>
      <c r="K3630" t="inlineStr">
        <is>
          <t>brand outreach touch 1</t>
        </is>
      </c>
    </row>
    <row r="3631">
      <c r="A3631" s="17">
        <f>IF(B3631="","",B3631+(15*1000+180)/10000000)</f>
        <v/>
      </c>
      <c r="B3631" s="23">
        <f>IF(AND(IFERROR(N(INDEX(Clay_Brands!$A$2:$FZ$601,180,Sync!$D$11)),0)&gt;0,IFERROR(INDEX(Clay_Brands!$A$2:$FZ$601,180,Sync!$D$5)&amp;"","")&lt;&gt;"",OR(LEFT(IFERROR(INDEX(Clay_Brands!$A$2:$FZ$601,180,Sync!$D$5)&amp;"",""),6)&lt;&gt;"SAMPLE",Config!$B$19="Y")),IFERROR(N(INDEX(Clay_Brands!$A$2:$FZ$601,180,Sync!$D$11)),0),"")</f>
        <v/>
      </c>
      <c r="C3631" s="17">
        <f>IF(B3631="","","brand")</f>
        <v/>
      </c>
      <c r="D3631" s="17">
        <f>IF(B3631="","",IFERROR(INDEX(Clay_Brands!$A$2:$FZ$601,180,Sync!$D$5)&amp;"",""))</f>
        <v/>
      </c>
      <c r="E3631" s="17">
        <f>IF(B3631="","",IFERROR(INDEX(Clay_Brands!$A$2:$FZ$601,180,Sync!$D$6)&amp;"",""))</f>
        <v/>
      </c>
      <c r="F3631" s="17">
        <f>IF(B3631="","","outreach_sent")</f>
        <v/>
      </c>
      <c r="G3631" s="17">
        <f>IF(B3631="","","")</f>
        <v/>
      </c>
      <c r="H3631" s="17">
        <f>IF(B3631="","","")</f>
        <v/>
      </c>
      <c r="I3631" s="17">
        <f>IF(B3631="","","")</f>
        <v/>
      </c>
      <c r="J3631" s="17">
        <f>IF(B3631="","","touch_1; "&amp;IFERROR(INDEX(Clay_Brands!$A$2:$FZ$601,180,Sync!$D$10)&amp;"","")&amp;"; "&amp;IFERROR(INDEX(Clay_Brands!$A$2:$FZ$601,180,Sync!$D$9)&amp;"",""))</f>
        <v/>
      </c>
      <c r="K3631" t="inlineStr">
        <is>
          <t>brand outreach touch 1</t>
        </is>
      </c>
    </row>
    <row r="3632">
      <c r="A3632" s="17">
        <f>IF(B3632="","",B3632+(15*1000+181)/10000000)</f>
        <v/>
      </c>
      <c r="B3632" s="23">
        <f>IF(AND(IFERROR(N(INDEX(Clay_Brands!$A$2:$FZ$601,181,Sync!$D$11)),0)&gt;0,IFERROR(INDEX(Clay_Brands!$A$2:$FZ$601,181,Sync!$D$5)&amp;"","")&lt;&gt;"",OR(LEFT(IFERROR(INDEX(Clay_Brands!$A$2:$FZ$601,181,Sync!$D$5)&amp;"",""),6)&lt;&gt;"SAMPLE",Config!$B$19="Y")),IFERROR(N(INDEX(Clay_Brands!$A$2:$FZ$601,181,Sync!$D$11)),0),"")</f>
        <v/>
      </c>
      <c r="C3632" s="17">
        <f>IF(B3632="","","brand")</f>
        <v/>
      </c>
      <c r="D3632" s="17">
        <f>IF(B3632="","",IFERROR(INDEX(Clay_Brands!$A$2:$FZ$601,181,Sync!$D$5)&amp;"",""))</f>
        <v/>
      </c>
      <c r="E3632" s="17">
        <f>IF(B3632="","",IFERROR(INDEX(Clay_Brands!$A$2:$FZ$601,181,Sync!$D$6)&amp;"",""))</f>
        <v/>
      </c>
      <c r="F3632" s="17">
        <f>IF(B3632="","","outreach_sent")</f>
        <v/>
      </c>
      <c r="G3632" s="17">
        <f>IF(B3632="","","")</f>
        <v/>
      </c>
      <c r="H3632" s="17">
        <f>IF(B3632="","","")</f>
        <v/>
      </c>
      <c r="I3632" s="17">
        <f>IF(B3632="","","")</f>
        <v/>
      </c>
      <c r="J3632" s="17">
        <f>IF(B3632="","","touch_1; "&amp;IFERROR(INDEX(Clay_Brands!$A$2:$FZ$601,181,Sync!$D$10)&amp;"","")&amp;"; "&amp;IFERROR(INDEX(Clay_Brands!$A$2:$FZ$601,181,Sync!$D$9)&amp;"",""))</f>
        <v/>
      </c>
      <c r="K3632" t="inlineStr">
        <is>
          <t>brand outreach touch 1</t>
        </is>
      </c>
    </row>
    <row r="3633">
      <c r="A3633" s="17">
        <f>IF(B3633="","",B3633+(15*1000+182)/10000000)</f>
        <v/>
      </c>
      <c r="B3633" s="23">
        <f>IF(AND(IFERROR(N(INDEX(Clay_Brands!$A$2:$FZ$601,182,Sync!$D$11)),0)&gt;0,IFERROR(INDEX(Clay_Brands!$A$2:$FZ$601,182,Sync!$D$5)&amp;"","")&lt;&gt;"",OR(LEFT(IFERROR(INDEX(Clay_Brands!$A$2:$FZ$601,182,Sync!$D$5)&amp;"",""),6)&lt;&gt;"SAMPLE",Config!$B$19="Y")),IFERROR(N(INDEX(Clay_Brands!$A$2:$FZ$601,182,Sync!$D$11)),0),"")</f>
        <v/>
      </c>
      <c r="C3633" s="17">
        <f>IF(B3633="","","brand")</f>
        <v/>
      </c>
      <c r="D3633" s="17">
        <f>IF(B3633="","",IFERROR(INDEX(Clay_Brands!$A$2:$FZ$601,182,Sync!$D$5)&amp;"",""))</f>
        <v/>
      </c>
      <c r="E3633" s="17">
        <f>IF(B3633="","",IFERROR(INDEX(Clay_Brands!$A$2:$FZ$601,182,Sync!$D$6)&amp;"",""))</f>
        <v/>
      </c>
      <c r="F3633" s="17">
        <f>IF(B3633="","","outreach_sent")</f>
        <v/>
      </c>
      <c r="G3633" s="17">
        <f>IF(B3633="","","")</f>
        <v/>
      </c>
      <c r="H3633" s="17">
        <f>IF(B3633="","","")</f>
        <v/>
      </c>
      <c r="I3633" s="17">
        <f>IF(B3633="","","")</f>
        <v/>
      </c>
      <c r="J3633" s="17">
        <f>IF(B3633="","","touch_1; "&amp;IFERROR(INDEX(Clay_Brands!$A$2:$FZ$601,182,Sync!$D$10)&amp;"","")&amp;"; "&amp;IFERROR(INDEX(Clay_Brands!$A$2:$FZ$601,182,Sync!$D$9)&amp;"",""))</f>
        <v/>
      </c>
      <c r="K3633" t="inlineStr">
        <is>
          <t>brand outreach touch 1</t>
        </is>
      </c>
    </row>
    <row r="3634">
      <c r="A3634" s="17">
        <f>IF(B3634="","",B3634+(15*1000+183)/10000000)</f>
        <v/>
      </c>
      <c r="B3634" s="23">
        <f>IF(AND(IFERROR(N(INDEX(Clay_Brands!$A$2:$FZ$601,183,Sync!$D$11)),0)&gt;0,IFERROR(INDEX(Clay_Brands!$A$2:$FZ$601,183,Sync!$D$5)&amp;"","")&lt;&gt;"",OR(LEFT(IFERROR(INDEX(Clay_Brands!$A$2:$FZ$601,183,Sync!$D$5)&amp;"",""),6)&lt;&gt;"SAMPLE",Config!$B$19="Y")),IFERROR(N(INDEX(Clay_Brands!$A$2:$FZ$601,183,Sync!$D$11)),0),"")</f>
        <v/>
      </c>
      <c r="C3634" s="17">
        <f>IF(B3634="","","brand")</f>
        <v/>
      </c>
      <c r="D3634" s="17">
        <f>IF(B3634="","",IFERROR(INDEX(Clay_Brands!$A$2:$FZ$601,183,Sync!$D$5)&amp;"",""))</f>
        <v/>
      </c>
      <c r="E3634" s="17">
        <f>IF(B3634="","",IFERROR(INDEX(Clay_Brands!$A$2:$FZ$601,183,Sync!$D$6)&amp;"",""))</f>
        <v/>
      </c>
      <c r="F3634" s="17">
        <f>IF(B3634="","","outreach_sent")</f>
        <v/>
      </c>
      <c r="G3634" s="17">
        <f>IF(B3634="","","")</f>
        <v/>
      </c>
      <c r="H3634" s="17">
        <f>IF(B3634="","","")</f>
        <v/>
      </c>
      <c r="I3634" s="17">
        <f>IF(B3634="","","")</f>
        <v/>
      </c>
      <c r="J3634" s="17">
        <f>IF(B3634="","","touch_1; "&amp;IFERROR(INDEX(Clay_Brands!$A$2:$FZ$601,183,Sync!$D$10)&amp;"","")&amp;"; "&amp;IFERROR(INDEX(Clay_Brands!$A$2:$FZ$601,183,Sync!$D$9)&amp;"",""))</f>
        <v/>
      </c>
      <c r="K3634" t="inlineStr">
        <is>
          <t>brand outreach touch 1</t>
        </is>
      </c>
    </row>
    <row r="3635">
      <c r="A3635" s="17">
        <f>IF(B3635="","",B3635+(15*1000+184)/10000000)</f>
        <v/>
      </c>
      <c r="B3635" s="23">
        <f>IF(AND(IFERROR(N(INDEX(Clay_Brands!$A$2:$FZ$601,184,Sync!$D$11)),0)&gt;0,IFERROR(INDEX(Clay_Brands!$A$2:$FZ$601,184,Sync!$D$5)&amp;"","")&lt;&gt;"",OR(LEFT(IFERROR(INDEX(Clay_Brands!$A$2:$FZ$601,184,Sync!$D$5)&amp;"",""),6)&lt;&gt;"SAMPLE",Config!$B$19="Y")),IFERROR(N(INDEX(Clay_Brands!$A$2:$FZ$601,184,Sync!$D$11)),0),"")</f>
        <v/>
      </c>
      <c r="C3635" s="17">
        <f>IF(B3635="","","brand")</f>
        <v/>
      </c>
      <c r="D3635" s="17">
        <f>IF(B3635="","",IFERROR(INDEX(Clay_Brands!$A$2:$FZ$601,184,Sync!$D$5)&amp;"",""))</f>
        <v/>
      </c>
      <c r="E3635" s="17">
        <f>IF(B3635="","",IFERROR(INDEX(Clay_Brands!$A$2:$FZ$601,184,Sync!$D$6)&amp;"",""))</f>
        <v/>
      </c>
      <c r="F3635" s="17">
        <f>IF(B3635="","","outreach_sent")</f>
        <v/>
      </c>
      <c r="G3635" s="17">
        <f>IF(B3635="","","")</f>
        <v/>
      </c>
      <c r="H3635" s="17">
        <f>IF(B3635="","","")</f>
        <v/>
      </c>
      <c r="I3635" s="17">
        <f>IF(B3635="","","")</f>
        <v/>
      </c>
      <c r="J3635" s="17">
        <f>IF(B3635="","","touch_1; "&amp;IFERROR(INDEX(Clay_Brands!$A$2:$FZ$601,184,Sync!$D$10)&amp;"","")&amp;"; "&amp;IFERROR(INDEX(Clay_Brands!$A$2:$FZ$601,184,Sync!$D$9)&amp;"",""))</f>
        <v/>
      </c>
      <c r="K3635" t="inlineStr">
        <is>
          <t>brand outreach touch 1</t>
        </is>
      </c>
    </row>
    <row r="3636">
      <c r="A3636" s="17">
        <f>IF(B3636="","",B3636+(15*1000+185)/10000000)</f>
        <v/>
      </c>
      <c r="B3636" s="23">
        <f>IF(AND(IFERROR(N(INDEX(Clay_Brands!$A$2:$FZ$601,185,Sync!$D$11)),0)&gt;0,IFERROR(INDEX(Clay_Brands!$A$2:$FZ$601,185,Sync!$D$5)&amp;"","")&lt;&gt;"",OR(LEFT(IFERROR(INDEX(Clay_Brands!$A$2:$FZ$601,185,Sync!$D$5)&amp;"",""),6)&lt;&gt;"SAMPLE",Config!$B$19="Y")),IFERROR(N(INDEX(Clay_Brands!$A$2:$FZ$601,185,Sync!$D$11)),0),"")</f>
        <v/>
      </c>
      <c r="C3636" s="17">
        <f>IF(B3636="","","brand")</f>
        <v/>
      </c>
      <c r="D3636" s="17">
        <f>IF(B3636="","",IFERROR(INDEX(Clay_Brands!$A$2:$FZ$601,185,Sync!$D$5)&amp;"",""))</f>
        <v/>
      </c>
      <c r="E3636" s="17">
        <f>IF(B3636="","",IFERROR(INDEX(Clay_Brands!$A$2:$FZ$601,185,Sync!$D$6)&amp;"",""))</f>
        <v/>
      </c>
      <c r="F3636" s="17">
        <f>IF(B3636="","","outreach_sent")</f>
        <v/>
      </c>
      <c r="G3636" s="17">
        <f>IF(B3636="","","")</f>
        <v/>
      </c>
      <c r="H3636" s="17">
        <f>IF(B3636="","","")</f>
        <v/>
      </c>
      <c r="I3636" s="17">
        <f>IF(B3636="","","")</f>
        <v/>
      </c>
      <c r="J3636" s="17">
        <f>IF(B3636="","","touch_1; "&amp;IFERROR(INDEX(Clay_Brands!$A$2:$FZ$601,185,Sync!$D$10)&amp;"","")&amp;"; "&amp;IFERROR(INDEX(Clay_Brands!$A$2:$FZ$601,185,Sync!$D$9)&amp;"",""))</f>
        <v/>
      </c>
      <c r="K3636" t="inlineStr">
        <is>
          <t>brand outreach touch 1</t>
        </is>
      </c>
    </row>
    <row r="3637">
      <c r="A3637" s="17">
        <f>IF(B3637="","",B3637+(15*1000+186)/10000000)</f>
        <v/>
      </c>
      <c r="B3637" s="23">
        <f>IF(AND(IFERROR(N(INDEX(Clay_Brands!$A$2:$FZ$601,186,Sync!$D$11)),0)&gt;0,IFERROR(INDEX(Clay_Brands!$A$2:$FZ$601,186,Sync!$D$5)&amp;"","")&lt;&gt;"",OR(LEFT(IFERROR(INDEX(Clay_Brands!$A$2:$FZ$601,186,Sync!$D$5)&amp;"",""),6)&lt;&gt;"SAMPLE",Config!$B$19="Y")),IFERROR(N(INDEX(Clay_Brands!$A$2:$FZ$601,186,Sync!$D$11)),0),"")</f>
        <v/>
      </c>
      <c r="C3637" s="17">
        <f>IF(B3637="","","brand")</f>
        <v/>
      </c>
      <c r="D3637" s="17">
        <f>IF(B3637="","",IFERROR(INDEX(Clay_Brands!$A$2:$FZ$601,186,Sync!$D$5)&amp;"",""))</f>
        <v/>
      </c>
      <c r="E3637" s="17">
        <f>IF(B3637="","",IFERROR(INDEX(Clay_Brands!$A$2:$FZ$601,186,Sync!$D$6)&amp;"",""))</f>
        <v/>
      </c>
      <c r="F3637" s="17">
        <f>IF(B3637="","","outreach_sent")</f>
        <v/>
      </c>
      <c r="G3637" s="17">
        <f>IF(B3637="","","")</f>
        <v/>
      </c>
      <c r="H3637" s="17">
        <f>IF(B3637="","","")</f>
        <v/>
      </c>
      <c r="I3637" s="17">
        <f>IF(B3637="","","")</f>
        <v/>
      </c>
      <c r="J3637" s="17">
        <f>IF(B3637="","","touch_1; "&amp;IFERROR(INDEX(Clay_Brands!$A$2:$FZ$601,186,Sync!$D$10)&amp;"","")&amp;"; "&amp;IFERROR(INDEX(Clay_Brands!$A$2:$FZ$601,186,Sync!$D$9)&amp;"",""))</f>
        <v/>
      </c>
      <c r="K3637" t="inlineStr">
        <is>
          <t>brand outreach touch 1</t>
        </is>
      </c>
    </row>
    <row r="3638">
      <c r="A3638" s="17">
        <f>IF(B3638="","",B3638+(15*1000+187)/10000000)</f>
        <v/>
      </c>
      <c r="B3638" s="23">
        <f>IF(AND(IFERROR(N(INDEX(Clay_Brands!$A$2:$FZ$601,187,Sync!$D$11)),0)&gt;0,IFERROR(INDEX(Clay_Brands!$A$2:$FZ$601,187,Sync!$D$5)&amp;"","")&lt;&gt;"",OR(LEFT(IFERROR(INDEX(Clay_Brands!$A$2:$FZ$601,187,Sync!$D$5)&amp;"",""),6)&lt;&gt;"SAMPLE",Config!$B$19="Y")),IFERROR(N(INDEX(Clay_Brands!$A$2:$FZ$601,187,Sync!$D$11)),0),"")</f>
        <v/>
      </c>
      <c r="C3638" s="17">
        <f>IF(B3638="","","brand")</f>
        <v/>
      </c>
      <c r="D3638" s="17">
        <f>IF(B3638="","",IFERROR(INDEX(Clay_Brands!$A$2:$FZ$601,187,Sync!$D$5)&amp;"",""))</f>
        <v/>
      </c>
      <c r="E3638" s="17">
        <f>IF(B3638="","",IFERROR(INDEX(Clay_Brands!$A$2:$FZ$601,187,Sync!$D$6)&amp;"",""))</f>
        <v/>
      </c>
      <c r="F3638" s="17">
        <f>IF(B3638="","","outreach_sent")</f>
        <v/>
      </c>
      <c r="G3638" s="17">
        <f>IF(B3638="","","")</f>
        <v/>
      </c>
      <c r="H3638" s="17">
        <f>IF(B3638="","","")</f>
        <v/>
      </c>
      <c r="I3638" s="17">
        <f>IF(B3638="","","")</f>
        <v/>
      </c>
      <c r="J3638" s="17">
        <f>IF(B3638="","","touch_1; "&amp;IFERROR(INDEX(Clay_Brands!$A$2:$FZ$601,187,Sync!$D$10)&amp;"","")&amp;"; "&amp;IFERROR(INDEX(Clay_Brands!$A$2:$FZ$601,187,Sync!$D$9)&amp;"",""))</f>
        <v/>
      </c>
      <c r="K3638" t="inlineStr">
        <is>
          <t>brand outreach touch 1</t>
        </is>
      </c>
    </row>
    <row r="3639">
      <c r="A3639" s="17">
        <f>IF(B3639="","",B3639+(15*1000+188)/10000000)</f>
        <v/>
      </c>
      <c r="B3639" s="23">
        <f>IF(AND(IFERROR(N(INDEX(Clay_Brands!$A$2:$FZ$601,188,Sync!$D$11)),0)&gt;0,IFERROR(INDEX(Clay_Brands!$A$2:$FZ$601,188,Sync!$D$5)&amp;"","")&lt;&gt;"",OR(LEFT(IFERROR(INDEX(Clay_Brands!$A$2:$FZ$601,188,Sync!$D$5)&amp;"",""),6)&lt;&gt;"SAMPLE",Config!$B$19="Y")),IFERROR(N(INDEX(Clay_Brands!$A$2:$FZ$601,188,Sync!$D$11)),0),"")</f>
        <v/>
      </c>
      <c r="C3639" s="17">
        <f>IF(B3639="","","brand")</f>
        <v/>
      </c>
      <c r="D3639" s="17">
        <f>IF(B3639="","",IFERROR(INDEX(Clay_Brands!$A$2:$FZ$601,188,Sync!$D$5)&amp;"",""))</f>
        <v/>
      </c>
      <c r="E3639" s="17">
        <f>IF(B3639="","",IFERROR(INDEX(Clay_Brands!$A$2:$FZ$601,188,Sync!$D$6)&amp;"",""))</f>
        <v/>
      </c>
      <c r="F3639" s="17">
        <f>IF(B3639="","","outreach_sent")</f>
        <v/>
      </c>
      <c r="G3639" s="17">
        <f>IF(B3639="","","")</f>
        <v/>
      </c>
      <c r="H3639" s="17">
        <f>IF(B3639="","","")</f>
        <v/>
      </c>
      <c r="I3639" s="17">
        <f>IF(B3639="","","")</f>
        <v/>
      </c>
      <c r="J3639" s="17">
        <f>IF(B3639="","","touch_1; "&amp;IFERROR(INDEX(Clay_Brands!$A$2:$FZ$601,188,Sync!$D$10)&amp;"","")&amp;"; "&amp;IFERROR(INDEX(Clay_Brands!$A$2:$FZ$601,188,Sync!$D$9)&amp;"",""))</f>
        <v/>
      </c>
      <c r="K3639" t="inlineStr">
        <is>
          <t>brand outreach touch 1</t>
        </is>
      </c>
    </row>
    <row r="3640">
      <c r="A3640" s="17">
        <f>IF(B3640="","",B3640+(15*1000+189)/10000000)</f>
        <v/>
      </c>
      <c r="B3640" s="23">
        <f>IF(AND(IFERROR(N(INDEX(Clay_Brands!$A$2:$FZ$601,189,Sync!$D$11)),0)&gt;0,IFERROR(INDEX(Clay_Brands!$A$2:$FZ$601,189,Sync!$D$5)&amp;"","")&lt;&gt;"",OR(LEFT(IFERROR(INDEX(Clay_Brands!$A$2:$FZ$601,189,Sync!$D$5)&amp;"",""),6)&lt;&gt;"SAMPLE",Config!$B$19="Y")),IFERROR(N(INDEX(Clay_Brands!$A$2:$FZ$601,189,Sync!$D$11)),0),"")</f>
        <v/>
      </c>
      <c r="C3640" s="17">
        <f>IF(B3640="","","brand")</f>
        <v/>
      </c>
      <c r="D3640" s="17">
        <f>IF(B3640="","",IFERROR(INDEX(Clay_Brands!$A$2:$FZ$601,189,Sync!$D$5)&amp;"",""))</f>
        <v/>
      </c>
      <c r="E3640" s="17">
        <f>IF(B3640="","",IFERROR(INDEX(Clay_Brands!$A$2:$FZ$601,189,Sync!$D$6)&amp;"",""))</f>
        <v/>
      </c>
      <c r="F3640" s="17">
        <f>IF(B3640="","","outreach_sent")</f>
        <v/>
      </c>
      <c r="G3640" s="17">
        <f>IF(B3640="","","")</f>
        <v/>
      </c>
      <c r="H3640" s="17">
        <f>IF(B3640="","","")</f>
        <v/>
      </c>
      <c r="I3640" s="17">
        <f>IF(B3640="","","")</f>
        <v/>
      </c>
      <c r="J3640" s="17">
        <f>IF(B3640="","","touch_1; "&amp;IFERROR(INDEX(Clay_Brands!$A$2:$FZ$601,189,Sync!$D$10)&amp;"","")&amp;"; "&amp;IFERROR(INDEX(Clay_Brands!$A$2:$FZ$601,189,Sync!$D$9)&amp;"",""))</f>
        <v/>
      </c>
      <c r="K3640" t="inlineStr">
        <is>
          <t>brand outreach touch 1</t>
        </is>
      </c>
    </row>
    <row r="3641">
      <c r="A3641" s="17">
        <f>IF(B3641="","",B3641+(15*1000+190)/10000000)</f>
        <v/>
      </c>
      <c r="B3641" s="23">
        <f>IF(AND(IFERROR(N(INDEX(Clay_Brands!$A$2:$FZ$601,190,Sync!$D$11)),0)&gt;0,IFERROR(INDEX(Clay_Brands!$A$2:$FZ$601,190,Sync!$D$5)&amp;"","")&lt;&gt;"",OR(LEFT(IFERROR(INDEX(Clay_Brands!$A$2:$FZ$601,190,Sync!$D$5)&amp;"",""),6)&lt;&gt;"SAMPLE",Config!$B$19="Y")),IFERROR(N(INDEX(Clay_Brands!$A$2:$FZ$601,190,Sync!$D$11)),0),"")</f>
        <v/>
      </c>
      <c r="C3641" s="17">
        <f>IF(B3641="","","brand")</f>
        <v/>
      </c>
      <c r="D3641" s="17">
        <f>IF(B3641="","",IFERROR(INDEX(Clay_Brands!$A$2:$FZ$601,190,Sync!$D$5)&amp;"",""))</f>
        <v/>
      </c>
      <c r="E3641" s="17">
        <f>IF(B3641="","",IFERROR(INDEX(Clay_Brands!$A$2:$FZ$601,190,Sync!$D$6)&amp;"",""))</f>
        <v/>
      </c>
      <c r="F3641" s="17">
        <f>IF(B3641="","","outreach_sent")</f>
        <v/>
      </c>
      <c r="G3641" s="17">
        <f>IF(B3641="","","")</f>
        <v/>
      </c>
      <c r="H3641" s="17">
        <f>IF(B3641="","","")</f>
        <v/>
      </c>
      <c r="I3641" s="17">
        <f>IF(B3641="","","")</f>
        <v/>
      </c>
      <c r="J3641" s="17">
        <f>IF(B3641="","","touch_1; "&amp;IFERROR(INDEX(Clay_Brands!$A$2:$FZ$601,190,Sync!$D$10)&amp;"","")&amp;"; "&amp;IFERROR(INDEX(Clay_Brands!$A$2:$FZ$601,190,Sync!$D$9)&amp;"",""))</f>
        <v/>
      </c>
      <c r="K3641" t="inlineStr">
        <is>
          <t>brand outreach touch 1</t>
        </is>
      </c>
    </row>
    <row r="3642">
      <c r="A3642" s="17">
        <f>IF(B3642="","",B3642+(15*1000+191)/10000000)</f>
        <v/>
      </c>
      <c r="B3642" s="23">
        <f>IF(AND(IFERROR(N(INDEX(Clay_Brands!$A$2:$FZ$601,191,Sync!$D$11)),0)&gt;0,IFERROR(INDEX(Clay_Brands!$A$2:$FZ$601,191,Sync!$D$5)&amp;"","")&lt;&gt;"",OR(LEFT(IFERROR(INDEX(Clay_Brands!$A$2:$FZ$601,191,Sync!$D$5)&amp;"",""),6)&lt;&gt;"SAMPLE",Config!$B$19="Y")),IFERROR(N(INDEX(Clay_Brands!$A$2:$FZ$601,191,Sync!$D$11)),0),"")</f>
        <v/>
      </c>
      <c r="C3642" s="17">
        <f>IF(B3642="","","brand")</f>
        <v/>
      </c>
      <c r="D3642" s="17">
        <f>IF(B3642="","",IFERROR(INDEX(Clay_Brands!$A$2:$FZ$601,191,Sync!$D$5)&amp;"",""))</f>
        <v/>
      </c>
      <c r="E3642" s="17">
        <f>IF(B3642="","",IFERROR(INDEX(Clay_Brands!$A$2:$FZ$601,191,Sync!$D$6)&amp;"",""))</f>
        <v/>
      </c>
      <c r="F3642" s="17">
        <f>IF(B3642="","","outreach_sent")</f>
        <v/>
      </c>
      <c r="G3642" s="17">
        <f>IF(B3642="","","")</f>
        <v/>
      </c>
      <c r="H3642" s="17">
        <f>IF(B3642="","","")</f>
        <v/>
      </c>
      <c r="I3642" s="17">
        <f>IF(B3642="","","")</f>
        <v/>
      </c>
      <c r="J3642" s="17">
        <f>IF(B3642="","","touch_1; "&amp;IFERROR(INDEX(Clay_Brands!$A$2:$FZ$601,191,Sync!$D$10)&amp;"","")&amp;"; "&amp;IFERROR(INDEX(Clay_Brands!$A$2:$FZ$601,191,Sync!$D$9)&amp;"",""))</f>
        <v/>
      </c>
      <c r="K3642" t="inlineStr">
        <is>
          <t>brand outreach touch 1</t>
        </is>
      </c>
    </row>
    <row r="3643">
      <c r="A3643" s="17">
        <f>IF(B3643="","",B3643+(15*1000+192)/10000000)</f>
        <v/>
      </c>
      <c r="B3643" s="23">
        <f>IF(AND(IFERROR(N(INDEX(Clay_Brands!$A$2:$FZ$601,192,Sync!$D$11)),0)&gt;0,IFERROR(INDEX(Clay_Brands!$A$2:$FZ$601,192,Sync!$D$5)&amp;"","")&lt;&gt;"",OR(LEFT(IFERROR(INDEX(Clay_Brands!$A$2:$FZ$601,192,Sync!$D$5)&amp;"",""),6)&lt;&gt;"SAMPLE",Config!$B$19="Y")),IFERROR(N(INDEX(Clay_Brands!$A$2:$FZ$601,192,Sync!$D$11)),0),"")</f>
        <v/>
      </c>
      <c r="C3643" s="17">
        <f>IF(B3643="","","brand")</f>
        <v/>
      </c>
      <c r="D3643" s="17">
        <f>IF(B3643="","",IFERROR(INDEX(Clay_Brands!$A$2:$FZ$601,192,Sync!$D$5)&amp;"",""))</f>
        <v/>
      </c>
      <c r="E3643" s="17">
        <f>IF(B3643="","",IFERROR(INDEX(Clay_Brands!$A$2:$FZ$601,192,Sync!$D$6)&amp;"",""))</f>
        <v/>
      </c>
      <c r="F3643" s="17">
        <f>IF(B3643="","","outreach_sent")</f>
        <v/>
      </c>
      <c r="G3643" s="17">
        <f>IF(B3643="","","")</f>
        <v/>
      </c>
      <c r="H3643" s="17">
        <f>IF(B3643="","","")</f>
        <v/>
      </c>
      <c r="I3643" s="17">
        <f>IF(B3643="","","")</f>
        <v/>
      </c>
      <c r="J3643" s="17">
        <f>IF(B3643="","","touch_1; "&amp;IFERROR(INDEX(Clay_Brands!$A$2:$FZ$601,192,Sync!$D$10)&amp;"","")&amp;"; "&amp;IFERROR(INDEX(Clay_Brands!$A$2:$FZ$601,192,Sync!$D$9)&amp;"",""))</f>
        <v/>
      </c>
      <c r="K3643" t="inlineStr">
        <is>
          <t>brand outreach touch 1</t>
        </is>
      </c>
    </row>
    <row r="3644">
      <c r="A3644" s="17">
        <f>IF(B3644="","",B3644+(15*1000+193)/10000000)</f>
        <v/>
      </c>
      <c r="B3644" s="23">
        <f>IF(AND(IFERROR(N(INDEX(Clay_Brands!$A$2:$FZ$601,193,Sync!$D$11)),0)&gt;0,IFERROR(INDEX(Clay_Brands!$A$2:$FZ$601,193,Sync!$D$5)&amp;"","")&lt;&gt;"",OR(LEFT(IFERROR(INDEX(Clay_Brands!$A$2:$FZ$601,193,Sync!$D$5)&amp;"",""),6)&lt;&gt;"SAMPLE",Config!$B$19="Y")),IFERROR(N(INDEX(Clay_Brands!$A$2:$FZ$601,193,Sync!$D$11)),0),"")</f>
        <v/>
      </c>
      <c r="C3644" s="17">
        <f>IF(B3644="","","brand")</f>
        <v/>
      </c>
      <c r="D3644" s="17">
        <f>IF(B3644="","",IFERROR(INDEX(Clay_Brands!$A$2:$FZ$601,193,Sync!$D$5)&amp;"",""))</f>
        <v/>
      </c>
      <c r="E3644" s="17">
        <f>IF(B3644="","",IFERROR(INDEX(Clay_Brands!$A$2:$FZ$601,193,Sync!$D$6)&amp;"",""))</f>
        <v/>
      </c>
      <c r="F3644" s="17">
        <f>IF(B3644="","","outreach_sent")</f>
        <v/>
      </c>
      <c r="G3644" s="17">
        <f>IF(B3644="","","")</f>
        <v/>
      </c>
      <c r="H3644" s="17">
        <f>IF(B3644="","","")</f>
        <v/>
      </c>
      <c r="I3644" s="17">
        <f>IF(B3644="","","")</f>
        <v/>
      </c>
      <c r="J3644" s="17">
        <f>IF(B3644="","","touch_1; "&amp;IFERROR(INDEX(Clay_Brands!$A$2:$FZ$601,193,Sync!$D$10)&amp;"","")&amp;"; "&amp;IFERROR(INDEX(Clay_Brands!$A$2:$FZ$601,193,Sync!$D$9)&amp;"",""))</f>
        <v/>
      </c>
      <c r="K3644" t="inlineStr">
        <is>
          <t>brand outreach touch 1</t>
        </is>
      </c>
    </row>
    <row r="3645">
      <c r="A3645" s="17">
        <f>IF(B3645="","",B3645+(15*1000+194)/10000000)</f>
        <v/>
      </c>
      <c r="B3645" s="23">
        <f>IF(AND(IFERROR(N(INDEX(Clay_Brands!$A$2:$FZ$601,194,Sync!$D$11)),0)&gt;0,IFERROR(INDEX(Clay_Brands!$A$2:$FZ$601,194,Sync!$D$5)&amp;"","")&lt;&gt;"",OR(LEFT(IFERROR(INDEX(Clay_Brands!$A$2:$FZ$601,194,Sync!$D$5)&amp;"",""),6)&lt;&gt;"SAMPLE",Config!$B$19="Y")),IFERROR(N(INDEX(Clay_Brands!$A$2:$FZ$601,194,Sync!$D$11)),0),"")</f>
        <v/>
      </c>
      <c r="C3645" s="17">
        <f>IF(B3645="","","brand")</f>
        <v/>
      </c>
      <c r="D3645" s="17">
        <f>IF(B3645="","",IFERROR(INDEX(Clay_Brands!$A$2:$FZ$601,194,Sync!$D$5)&amp;"",""))</f>
        <v/>
      </c>
      <c r="E3645" s="17">
        <f>IF(B3645="","",IFERROR(INDEX(Clay_Brands!$A$2:$FZ$601,194,Sync!$D$6)&amp;"",""))</f>
        <v/>
      </c>
      <c r="F3645" s="17">
        <f>IF(B3645="","","outreach_sent")</f>
        <v/>
      </c>
      <c r="G3645" s="17">
        <f>IF(B3645="","","")</f>
        <v/>
      </c>
      <c r="H3645" s="17">
        <f>IF(B3645="","","")</f>
        <v/>
      </c>
      <c r="I3645" s="17">
        <f>IF(B3645="","","")</f>
        <v/>
      </c>
      <c r="J3645" s="17">
        <f>IF(B3645="","","touch_1; "&amp;IFERROR(INDEX(Clay_Brands!$A$2:$FZ$601,194,Sync!$D$10)&amp;"","")&amp;"; "&amp;IFERROR(INDEX(Clay_Brands!$A$2:$FZ$601,194,Sync!$D$9)&amp;"",""))</f>
        <v/>
      </c>
      <c r="K3645" t="inlineStr">
        <is>
          <t>brand outreach touch 1</t>
        </is>
      </c>
    </row>
    <row r="3646">
      <c r="A3646" s="17">
        <f>IF(B3646="","",B3646+(15*1000+195)/10000000)</f>
        <v/>
      </c>
      <c r="B3646" s="23">
        <f>IF(AND(IFERROR(N(INDEX(Clay_Brands!$A$2:$FZ$601,195,Sync!$D$11)),0)&gt;0,IFERROR(INDEX(Clay_Brands!$A$2:$FZ$601,195,Sync!$D$5)&amp;"","")&lt;&gt;"",OR(LEFT(IFERROR(INDEX(Clay_Brands!$A$2:$FZ$601,195,Sync!$D$5)&amp;"",""),6)&lt;&gt;"SAMPLE",Config!$B$19="Y")),IFERROR(N(INDEX(Clay_Brands!$A$2:$FZ$601,195,Sync!$D$11)),0),"")</f>
        <v/>
      </c>
      <c r="C3646" s="17">
        <f>IF(B3646="","","brand")</f>
        <v/>
      </c>
      <c r="D3646" s="17">
        <f>IF(B3646="","",IFERROR(INDEX(Clay_Brands!$A$2:$FZ$601,195,Sync!$D$5)&amp;"",""))</f>
        <v/>
      </c>
      <c r="E3646" s="17">
        <f>IF(B3646="","",IFERROR(INDEX(Clay_Brands!$A$2:$FZ$601,195,Sync!$D$6)&amp;"",""))</f>
        <v/>
      </c>
      <c r="F3646" s="17">
        <f>IF(B3646="","","outreach_sent")</f>
        <v/>
      </c>
      <c r="G3646" s="17">
        <f>IF(B3646="","","")</f>
        <v/>
      </c>
      <c r="H3646" s="17">
        <f>IF(B3646="","","")</f>
        <v/>
      </c>
      <c r="I3646" s="17">
        <f>IF(B3646="","","")</f>
        <v/>
      </c>
      <c r="J3646" s="17">
        <f>IF(B3646="","","touch_1; "&amp;IFERROR(INDEX(Clay_Brands!$A$2:$FZ$601,195,Sync!$D$10)&amp;"","")&amp;"; "&amp;IFERROR(INDEX(Clay_Brands!$A$2:$FZ$601,195,Sync!$D$9)&amp;"",""))</f>
        <v/>
      </c>
      <c r="K3646" t="inlineStr">
        <is>
          <t>brand outreach touch 1</t>
        </is>
      </c>
    </row>
    <row r="3647">
      <c r="A3647" s="17">
        <f>IF(B3647="","",B3647+(15*1000+196)/10000000)</f>
        <v/>
      </c>
      <c r="B3647" s="23">
        <f>IF(AND(IFERROR(N(INDEX(Clay_Brands!$A$2:$FZ$601,196,Sync!$D$11)),0)&gt;0,IFERROR(INDEX(Clay_Brands!$A$2:$FZ$601,196,Sync!$D$5)&amp;"","")&lt;&gt;"",OR(LEFT(IFERROR(INDEX(Clay_Brands!$A$2:$FZ$601,196,Sync!$D$5)&amp;"",""),6)&lt;&gt;"SAMPLE",Config!$B$19="Y")),IFERROR(N(INDEX(Clay_Brands!$A$2:$FZ$601,196,Sync!$D$11)),0),"")</f>
        <v/>
      </c>
      <c r="C3647" s="17">
        <f>IF(B3647="","","brand")</f>
        <v/>
      </c>
      <c r="D3647" s="17">
        <f>IF(B3647="","",IFERROR(INDEX(Clay_Brands!$A$2:$FZ$601,196,Sync!$D$5)&amp;"",""))</f>
        <v/>
      </c>
      <c r="E3647" s="17">
        <f>IF(B3647="","",IFERROR(INDEX(Clay_Brands!$A$2:$FZ$601,196,Sync!$D$6)&amp;"",""))</f>
        <v/>
      </c>
      <c r="F3647" s="17">
        <f>IF(B3647="","","outreach_sent")</f>
        <v/>
      </c>
      <c r="G3647" s="17">
        <f>IF(B3647="","","")</f>
        <v/>
      </c>
      <c r="H3647" s="17">
        <f>IF(B3647="","","")</f>
        <v/>
      </c>
      <c r="I3647" s="17">
        <f>IF(B3647="","","")</f>
        <v/>
      </c>
      <c r="J3647" s="17">
        <f>IF(B3647="","","touch_1; "&amp;IFERROR(INDEX(Clay_Brands!$A$2:$FZ$601,196,Sync!$D$10)&amp;"","")&amp;"; "&amp;IFERROR(INDEX(Clay_Brands!$A$2:$FZ$601,196,Sync!$D$9)&amp;"",""))</f>
        <v/>
      </c>
      <c r="K3647" t="inlineStr">
        <is>
          <t>brand outreach touch 1</t>
        </is>
      </c>
    </row>
    <row r="3648">
      <c r="A3648" s="17">
        <f>IF(B3648="","",B3648+(15*1000+197)/10000000)</f>
        <v/>
      </c>
      <c r="B3648" s="23">
        <f>IF(AND(IFERROR(N(INDEX(Clay_Brands!$A$2:$FZ$601,197,Sync!$D$11)),0)&gt;0,IFERROR(INDEX(Clay_Brands!$A$2:$FZ$601,197,Sync!$D$5)&amp;"","")&lt;&gt;"",OR(LEFT(IFERROR(INDEX(Clay_Brands!$A$2:$FZ$601,197,Sync!$D$5)&amp;"",""),6)&lt;&gt;"SAMPLE",Config!$B$19="Y")),IFERROR(N(INDEX(Clay_Brands!$A$2:$FZ$601,197,Sync!$D$11)),0),"")</f>
        <v/>
      </c>
      <c r="C3648" s="17">
        <f>IF(B3648="","","brand")</f>
        <v/>
      </c>
      <c r="D3648" s="17">
        <f>IF(B3648="","",IFERROR(INDEX(Clay_Brands!$A$2:$FZ$601,197,Sync!$D$5)&amp;"",""))</f>
        <v/>
      </c>
      <c r="E3648" s="17">
        <f>IF(B3648="","",IFERROR(INDEX(Clay_Brands!$A$2:$FZ$601,197,Sync!$D$6)&amp;"",""))</f>
        <v/>
      </c>
      <c r="F3648" s="17">
        <f>IF(B3648="","","outreach_sent")</f>
        <v/>
      </c>
      <c r="G3648" s="17">
        <f>IF(B3648="","","")</f>
        <v/>
      </c>
      <c r="H3648" s="17">
        <f>IF(B3648="","","")</f>
        <v/>
      </c>
      <c r="I3648" s="17">
        <f>IF(B3648="","","")</f>
        <v/>
      </c>
      <c r="J3648" s="17">
        <f>IF(B3648="","","touch_1; "&amp;IFERROR(INDEX(Clay_Brands!$A$2:$FZ$601,197,Sync!$D$10)&amp;"","")&amp;"; "&amp;IFERROR(INDEX(Clay_Brands!$A$2:$FZ$601,197,Sync!$D$9)&amp;"",""))</f>
        <v/>
      </c>
      <c r="K3648" t="inlineStr">
        <is>
          <t>brand outreach touch 1</t>
        </is>
      </c>
    </row>
    <row r="3649">
      <c r="A3649" s="17">
        <f>IF(B3649="","",B3649+(15*1000+198)/10000000)</f>
        <v/>
      </c>
      <c r="B3649" s="23">
        <f>IF(AND(IFERROR(N(INDEX(Clay_Brands!$A$2:$FZ$601,198,Sync!$D$11)),0)&gt;0,IFERROR(INDEX(Clay_Brands!$A$2:$FZ$601,198,Sync!$D$5)&amp;"","")&lt;&gt;"",OR(LEFT(IFERROR(INDEX(Clay_Brands!$A$2:$FZ$601,198,Sync!$D$5)&amp;"",""),6)&lt;&gt;"SAMPLE",Config!$B$19="Y")),IFERROR(N(INDEX(Clay_Brands!$A$2:$FZ$601,198,Sync!$D$11)),0),"")</f>
        <v/>
      </c>
      <c r="C3649" s="17">
        <f>IF(B3649="","","brand")</f>
        <v/>
      </c>
      <c r="D3649" s="17">
        <f>IF(B3649="","",IFERROR(INDEX(Clay_Brands!$A$2:$FZ$601,198,Sync!$D$5)&amp;"",""))</f>
        <v/>
      </c>
      <c r="E3649" s="17">
        <f>IF(B3649="","",IFERROR(INDEX(Clay_Brands!$A$2:$FZ$601,198,Sync!$D$6)&amp;"",""))</f>
        <v/>
      </c>
      <c r="F3649" s="17">
        <f>IF(B3649="","","outreach_sent")</f>
        <v/>
      </c>
      <c r="G3649" s="17">
        <f>IF(B3649="","","")</f>
        <v/>
      </c>
      <c r="H3649" s="17">
        <f>IF(B3649="","","")</f>
        <v/>
      </c>
      <c r="I3649" s="17">
        <f>IF(B3649="","","")</f>
        <v/>
      </c>
      <c r="J3649" s="17">
        <f>IF(B3649="","","touch_1; "&amp;IFERROR(INDEX(Clay_Brands!$A$2:$FZ$601,198,Sync!$D$10)&amp;"","")&amp;"; "&amp;IFERROR(INDEX(Clay_Brands!$A$2:$FZ$601,198,Sync!$D$9)&amp;"",""))</f>
        <v/>
      </c>
      <c r="K3649" t="inlineStr">
        <is>
          <t>brand outreach touch 1</t>
        </is>
      </c>
    </row>
    <row r="3650">
      <c r="A3650" s="17">
        <f>IF(B3650="","",B3650+(15*1000+199)/10000000)</f>
        <v/>
      </c>
      <c r="B3650" s="23">
        <f>IF(AND(IFERROR(N(INDEX(Clay_Brands!$A$2:$FZ$601,199,Sync!$D$11)),0)&gt;0,IFERROR(INDEX(Clay_Brands!$A$2:$FZ$601,199,Sync!$D$5)&amp;"","")&lt;&gt;"",OR(LEFT(IFERROR(INDEX(Clay_Brands!$A$2:$FZ$601,199,Sync!$D$5)&amp;"",""),6)&lt;&gt;"SAMPLE",Config!$B$19="Y")),IFERROR(N(INDEX(Clay_Brands!$A$2:$FZ$601,199,Sync!$D$11)),0),"")</f>
        <v/>
      </c>
      <c r="C3650" s="17">
        <f>IF(B3650="","","brand")</f>
        <v/>
      </c>
      <c r="D3650" s="17">
        <f>IF(B3650="","",IFERROR(INDEX(Clay_Brands!$A$2:$FZ$601,199,Sync!$D$5)&amp;"",""))</f>
        <v/>
      </c>
      <c r="E3650" s="17">
        <f>IF(B3650="","",IFERROR(INDEX(Clay_Brands!$A$2:$FZ$601,199,Sync!$D$6)&amp;"",""))</f>
        <v/>
      </c>
      <c r="F3650" s="17">
        <f>IF(B3650="","","outreach_sent")</f>
        <v/>
      </c>
      <c r="G3650" s="17">
        <f>IF(B3650="","","")</f>
        <v/>
      </c>
      <c r="H3650" s="17">
        <f>IF(B3650="","","")</f>
        <v/>
      </c>
      <c r="I3650" s="17">
        <f>IF(B3650="","","")</f>
        <v/>
      </c>
      <c r="J3650" s="17">
        <f>IF(B3650="","","touch_1; "&amp;IFERROR(INDEX(Clay_Brands!$A$2:$FZ$601,199,Sync!$D$10)&amp;"","")&amp;"; "&amp;IFERROR(INDEX(Clay_Brands!$A$2:$FZ$601,199,Sync!$D$9)&amp;"",""))</f>
        <v/>
      </c>
      <c r="K3650" t="inlineStr">
        <is>
          <t>brand outreach touch 1</t>
        </is>
      </c>
    </row>
    <row r="3651">
      <c r="A3651" s="17">
        <f>IF(B3651="","",B3651+(15*1000+200)/10000000)</f>
        <v/>
      </c>
      <c r="B3651" s="23">
        <f>IF(AND(IFERROR(N(INDEX(Clay_Brands!$A$2:$FZ$601,200,Sync!$D$11)),0)&gt;0,IFERROR(INDEX(Clay_Brands!$A$2:$FZ$601,200,Sync!$D$5)&amp;"","")&lt;&gt;"",OR(LEFT(IFERROR(INDEX(Clay_Brands!$A$2:$FZ$601,200,Sync!$D$5)&amp;"",""),6)&lt;&gt;"SAMPLE",Config!$B$19="Y")),IFERROR(N(INDEX(Clay_Brands!$A$2:$FZ$601,200,Sync!$D$11)),0),"")</f>
        <v/>
      </c>
      <c r="C3651" s="17">
        <f>IF(B3651="","","brand")</f>
        <v/>
      </c>
      <c r="D3651" s="17">
        <f>IF(B3651="","",IFERROR(INDEX(Clay_Brands!$A$2:$FZ$601,200,Sync!$D$5)&amp;"",""))</f>
        <v/>
      </c>
      <c r="E3651" s="17">
        <f>IF(B3651="","",IFERROR(INDEX(Clay_Brands!$A$2:$FZ$601,200,Sync!$D$6)&amp;"",""))</f>
        <v/>
      </c>
      <c r="F3651" s="17">
        <f>IF(B3651="","","outreach_sent")</f>
        <v/>
      </c>
      <c r="G3651" s="17">
        <f>IF(B3651="","","")</f>
        <v/>
      </c>
      <c r="H3651" s="17">
        <f>IF(B3651="","","")</f>
        <v/>
      </c>
      <c r="I3651" s="17">
        <f>IF(B3651="","","")</f>
        <v/>
      </c>
      <c r="J3651" s="17">
        <f>IF(B3651="","","touch_1; "&amp;IFERROR(INDEX(Clay_Brands!$A$2:$FZ$601,200,Sync!$D$10)&amp;"","")&amp;"; "&amp;IFERROR(INDEX(Clay_Brands!$A$2:$FZ$601,200,Sync!$D$9)&amp;"",""))</f>
        <v/>
      </c>
      <c r="K3651" t="inlineStr">
        <is>
          <t>brand outreach touch 1</t>
        </is>
      </c>
    </row>
    <row r="3652">
      <c r="A3652" s="17">
        <f>IF(B3652="","",B3652+(15*1000+201)/10000000)</f>
        <v/>
      </c>
      <c r="B3652" s="23">
        <f>IF(AND(IFERROR(N(INDEX(Clay_Brands!$A$2:$FZ$601,201,Sync!$D$11)),0)&gt;0,IFERROR(INDEX(Clay_Brands!$A$2:$FZ$601,201,Sync!$D$5)&amp;"","")&lt;&gt;"",OR(LEFT(IFERROR(INDEX(Clay_Brands!$A$2:$FZ$601,201,Sync!$D$5)&amp;"",""),6)&lt;&gt;"SAMPLE",Config!$B$19="Y")),IFERROR(N(INDEX(Clay_Brands!$A$2:$FZ$601,201,Sync!$D$11)),0),"")</f>
        <v/>
      </c>
      <c r="C3652" s="17">
        <f>IF(B3652="","","brand")</f>
        <v/>
      </c>
      <c r="D3652" s="17">
        <f>IF(B3652="","",IFERROR(INDEX(Clay_Brands!$A$2:$FZ$601,201,Sync!$D$5)&amp;"",""))</f>
        <v/>
      </c>
      <c r="E3652" s="17">
        <f>IF(B3652="","",IFERROR(INDEX(Clay_Brands!$A$2:$FZ$601,201,Sync!$D$6)&amp;"",""))</f>
        <v/>
      </c>
      <c r="F3652" s="17">
        <f>IF(B3652="","","outreach_sent")</f>
        <v/>
      </c>
      <c r="G3652" s="17">
        <f>IF(B3652="","","")</f>
        <v/>
      </c>
      <c r="H3652" s="17">
        <f>IF(B3652="","","")</f>
        <v/>
      </c>
      <c r="I3652" s="17">
        <f>IF(B3652="","","")</f>
        <v/>
      </c>
      <c r="J3652" s="17">
        <f>IF(B3652="","","touch_1; "&amp;IFERROR(INDEX(Clay_Brands!$A$2:$FZ$601,201,Sync!$D$10)&amp;"","")&amp;"; "&amp;IFERROR(INDEX(Clay_Brands!$A$2:$FZ$601,201,Sync!$D$9)&amp;"",""))</f>
        <v/>
      </c>
      <c r="K3652" t="inlineStr">
        <is>
          <t>brand outreach touch 1</t>
        </is>
      </c>
    </row>
    <row r="3653">
      <c r="A3653" s="17">
        <f>IF(B3653="","",B3653+(15*1000+202)/10000000)</f>
        <v/>
      </c>
      <c r="B3653" s="23">
        <f>IF(AND(IFERROR(N(INDEX(Clay_Brands!$A$2:$FZ$601,202,Sync!$D$11)),0)&gt;0,IFERROR(INDEX(Clay_Brands!$A$2:$FZ$601,202,Sync!$D$5)&amp;"","")&lt;&gt;"",OR(LEFT(IFERROR(INDEX(Clay_Brands!$A$2:$FZ$601,202,Sync!$D$5)&amp;"",""),6)&lt;&gt;"SAMPLE",Config!$B$19="Y")),IFERROR(N(INDEX(Clay_Brands!$A$2:$FZ$601,202,Sync!$D$11)),0),"")</f>
        <v/>
      </c>
      <c r="C3653" s="17">
        <f>IF(B3653="","","brand")</f>
        <v/>
      </c>
      <c r="D3653" s="17">
        <f>IF(B3653="","",IFERROR(INDEX(Clay_Brands!$A$2:$FZ$601,202,Sync!$D$5)&amp;"",""))</f>
        <v/>
      </c>
      <c r="E3653" s="17">
        <f>IF(B3653="","",IFERROR(INDEX(Clay_Brands!$A$2:$FZ$601,202,Sync!$D$6)&amp;"",""))</f>
        <v/>
      </c>
      <c r="F3653" s="17">
        <f>IF(B3653="","","outreach_sent")</f>
        <v/>
      </c>
      <c r="G3653" s="17">
        <f>IF(B3653="","","")</f>
        <v/>
      </c>
      <c r="H3653" s="17">
        <f>IF(B3653="","","")</f>
        <v/>
      </c>
      <c r="I3653" s="17">
        <f>IF(B3653="","","")</f>
        <v/>
      </c>
      <c r="J3653" s="17">
        <f>IF(B3653="","","touch_1; "&amp;IFERROR(INDEX(Clay_Brands!$A$2:$FZ$601,202,Sync!$D$10)&amp;"","")&amp;"; "&amp;IFERROR(INDEX(Clay_Brands!$A$2:$FZ$601,202,Sync!$D$9)&amp;"",""))</f>
        <v/>
      </c>
      <c r="K3653" t="inlineStr">
        <is>
          <t>brand outreach touch 1</t>
        </is>
      </c>
    </row>
    <row r="3654">
      <c r="A3654" s="17">
        <f>IF(B3654="","",B3654+(15*1000+203)/10000000)</f>
        <v/>
      </c>
      <c r="B3654" s="23">
        <f>IF(AND(IFERROR(N(INDEX(Clay_Brands!$A$2:$FZ$601,203,Sync!$D$11)),0)&gt;0,IFERROR(INDEX(Clay_Brands!$A$2:$FZ$601,203,Sync!$D$5)&amp;"","")&lt;&gt;"",OR(LEFT(IFERROR(INDEX(Clay_Brands!$A$2:$FZ$601,203,Sync!$D$5)&amp;"",""),6)&lt;&gt;"SAMPLE",Config!$B$19="Y")),IFERROR(N(INDEX(Clay_Brands!$A$2:$FZ$601,203,Sync!$D$11)),0),"")</f>
        <v/>
      </c>
      <c r="C3654" s="17">
        <f>IF(B3654="","","brand")</f>
        <v/>
      </c>
      <c r="D3654" s="17">
        <f>IF(B3654="","",IFERROR(INDEX(Clay_Brands!$A$2:$FZ$601,203,Sync!$D$5)&amp;"",""))</f>
        <v/>
      </c>
      <c r="E3654" s="17">
        <f>IF(B3654="","",IFERROR(INDEX(Clay_Brands!$A$2:$FZ$601,203,Sync!$D$6)&amp;"",""))</f>
        <v/>
      </c>
      <c r="F3654" s="17">
        <f>IF(B3654="","","outreach_sent")</f>
        <v/>
      </c>
      <c r="G3654" s="17">
        <f>IF(B3654="","","")</f>
        <v/>
      </c>
      <c r="H3654" s="17">
        <f>IF(B3654="","","")</f>
        <v/>
      </c>
      <c r="I3654" s="17">
        <f>IF(B3654="","","")</f>
        <v/>
      </c>
      <c r="J3654" s="17">
        <f>IF(B3654="","","touch_1; "&amp;IFERROR(INDEX(Clay_Brands!$A$2:$FZ$601,203,Sync!$D$10)&amp;"","")&amp;"; "&amp;IFERROR(INDEX(Clay_Brands!$A$2:$FZ$601,203,Sync!$D$9)&amp;"",""))</f>
        <v/>
      </c>
      <c r="K3654" t="inlineStr">
        <is>
          <t>brand outreach touch 1</t>
        </is>
      </c>
    </row>
    <row r="3655">
      <c r="A3655" s="17">
        <f>IF(B3655="","",B3655+(15*1000+204)/10000000)</f>
        <v/>
      </c>
      <c r="B3655" s="23">
        <f>IF(AND(IFERROR(N(INDEX(Clay_Brands!$A$2:$FZ$601,204,Sync!$D$11)),0)&gt;0,IFERROR(INDEX(Clay_Brands!$A$2:$FZ$601,204,Sync!$D$5)&amp;"","")&lt;&gt;"",OR(LEFT(IFERROR(INDEX(Clay_Brands!$A$2:$FZ$601,204,Sync!$D$5)&amp;"",""),6)&lt;&gt;"SAMPLE",Config!$B$19="Y")),IFERROR(N(INDEX(Clay_Brands!$A$2:$FZ$601,204,Sync!$D$11)),0),"")</f>
        <v/>
      </c>
      <c r="C3655" s="17">
        <f>IF(B3655="","","brand")</f>
        <v/>
      </c>
      <c r="D3655" s="17">
        <f>IF(B3655="","",IFERROR(INDEX(Clay_Brands!$A$2:$FZ$601,204,Sync!$D$5)&amp;"",""))</f>
        <v/>
      </c>
      <c r="E3655" s="17">
        <f>IF(B3655="","",IFERROR(INDEX(Clay_Brands!$A$2:$FZ$601,204,Sync!$D$6)&amp;"",""))</f>
        <v/>
      </c>
      <c r="F3655" s="17">
        <f>IF(B3655="","","outreach_sent")</f>
        <v/>
      </c>
      <c r="G3655" s="17">
        <f>IF(B3655="","","")</f>
        <v/>
      </c>
      <c r="H3655" s="17">
        <f>IF(B3655="","","")</f>
        <v/>
      </c>
      <c r="I3655" s="17">
        <f>IF(B3655="","","")</f>
        <v/>
      </c>
      <c r="J3655" s="17">
        <f>IF(B3655="","","touch_1; "&amp;IFERROR(INDEX(Clay_Brands!$A$2:$FZ$601,204,Sync!$D$10)&amp;"","")&amp;"; "&amp;IFERROR(INDEX(Clay_Brands!$A$2:$FZ$601,204,Sync!$D$9)&amp;"",""))</f>
        <v/>
      </c>
      <c r="K3655" t="inlineStr">
        <is>
          <t>brand outreach touch 1</t>
        </is>
      </c>
    </row>
    <row r="3656">
      <c r="A3656" s="17">
        <f>IF(B3656="","",B3656+(15*1000+205)/10000000)</f>
        <v/>
      </c>
      <c r="B3656" s="23">
        <f>IF(AND(IFERROR(N(INDEX(Clay_Brands!$A$2:$FZ$601,205,Sync!$D$11)),0)&gt;0,IFERROR(INDEX(Clay_Brands!$A$2:$FZ$601,205,Sync!$D$5)&amp;"","")&lt;&gt;"",OR(LEFT(IFERROR(INDEX(Clay_Brands!$A$2:$FZ$601,205,Sync!$D$5)&amp;"",""),6)&lt;&gt;"SAMPLE",Config!$B$19="Y")),IFERROR(N(INDEX(Clay_Brands!$A$2:$FZ$601,205,Sync!$D$11)),0),"")</f>
        <v/>
      </c>
      <c r="C3656" s="17">
        <f>IF(B3656="","","brand")</f>
        <v/>
      </c>
      <c r="D3656" s="17">
        <f>IF(B3656="","",IFERROR(INDEX(Clay_Brands!$A$2:$FZ$601,205,Sync!$D$5)&amp;"",""))</f>
        <v/>
      </c>
      <c r="E3656" s="17">
        <f>IF(B3656="","",IFERROR(INDEX(Clay_Brands!$A$2:$FZ$601,205,Sync!$D$6)&amp;"",""))</f>
        <v/>
      </c>
      <c r="F3656" s="17">
        <f>IF(B3656="","","outreach_sent")</f>
        <v/>
      </c>
      <c r="G3656" s="17">
        <f>IF(B3656="","","")</f>
        <v/>
      </c>
      <c r="H3656" s="17">
        <f>IF(B3656="","","")</f>
        <v/>
      </c>
      <c r="I3656" s="17">
        <f>IF(B3656="","","")</f>
        <v/>
      </c>
      <c r="J3656" s="17">
        <f>IF(B3656="","","touch_1; "&amp;IFERROR(INDEX(Clay_Brands!$A$2:$FZ$601,205,Sync!$D$10)&amp;"","")&amp;"; "&amp;IFERROR(INDEX(Clay_Brands!$A$2:$FZ$601,205,Sync!$D$9)&amp;"",""))</f>
        <v/>
      </c>
      <c r="K3656" t="inlineStr">
        <is>
          <t>brand outreach touch 1</t>
        </is>
      </c>
    </row>
    <row r="3657">
      <c r="A3657" s="17">
        <f>IF(B3657="","",B3657+(15*1000+206)/10000000)</f>
        <v/>
      </c>
      <c r="B3657" s="23">
        <f>IF(AND(IFERROR(N(INDEX(Clay_Brands!$A$2:$FZ$601,206,Sync!$D$11)),0)&gt;0,IFERROR(INDEX(Clay_Brands!$A$2:$FZ$601,206,Sync!$D$5)&amp;"","")&lt;&gt;"",OR(LEFT(IFERROR(INDEX(Clay_Brands!$A$2:$FZ$601,206,Sync!$D$5)&amp;"",""),6)&lt;&gt;"SAMPLE",Config!$B$19="Y")),IFERROR(N(INDEX(Clay_Brands!$A$2:$FZ$601,206,Sync!$D$11)),0),"")</f>
        <v/>
      </c>
      <c r="C3657" s="17">
        <f>IF(B3657="","","brand")</f>
        <v/>
      </c>
      <c r="D3657" s="17">
        <f>IF(B3657="","",IFERROR(INDEX(Clay_Brands!$A$2:$FZ$601,206,Sync!$D$5)&amp;"",""))</f>
        <v/>
      </c>
      <c r="E3657" s="17">
        <f>IF(B3657="","",IFERROR(INDEX(Clay_Brands!$A$2:$FZ$601,206,Sync!$D$6)&amp;"",""))</f>
        <v/>
      </c>
      <c r="F3657" s="17">
        <f>IF(B3657="","","outreach_sent")</f>
        <v/>
      </c>
      <c r="G3657" s="17">
        <f>IF(B3657="","","")</f>
        <v/>
      </c>
      <c r="H3657" s="17">
        <f>IF(B3657="","","")</f>
        <v/>
      </c>
      <c r="I3657" s="17">
        <f>IF(B3657="","","")</f>
        <v/>
      </c>
      <c r="J3657" s="17">
        <f>IF(B3657="","","touch_1; "&amp;IFERROR(INDEX(Clay_Brands!$A$2:$FZ$601,206,Sync!$D$10)&amp;"","")&amp;"; "&amp;IFERROR(INDEX(Clay_Brands!$A$2:$FZ$601,206,Sync!$D$9)&amp;"",""))</f>
        <v/>
      </c>
      <c r="K3657" t="inlineStr">
        <is>
          <t>brand outreach touch 1</t>
        </is>
      </c>
    </row>
    <row r="3658">
      <c r="A3658" s="17">
        <f>IF(B3658="","",B3658+(15*1000+207)/10000000)</f>
        <v/>
      </c>
      <c r="B3658" s="23">
        <f>IF(AND(IFERROR(N(INDEX(Clay_Brands!$A$2:$FZ$601,207,Sync!$D$11)),0)&gt;0,IFERROR(INDEX(Clay_Brands!$A$2:$FZ$601,207,Sync!$D$5)&amp;"","")&lt;&gt;"",OR(LEFT(IFERROR(INDEX(Clay_Brands!$A$2:$FZ$601,207,Sync!$D$5)&amp;"",""),6)&lt;&gt;"SAMPLE",Config!$B$19="Y")),IFERROR(N(INDEX(Clay_Brands!$A$2:$FZ$601,207,Sync!$D$11)),0),"")</f>
        <v/>
      </c>
      <c r="C3658" s="17">
        <f>IF(B3658="","","brand")</f>
        <v/>
      </c>
      <c r="D3658" s="17">
        <f>IF(B3658="","",IFERROR(INDEX(Clay_Brands!$A$2:$FZ$601,207,Sync!$D$5)&amp;"",""))</f>
        <v/>
      </c>
      <c r="E3658" s="17">
        <f>IF(B3658="","",IFERROR(INDEX(Clay_Brands!$A$2:$FZ$601,207,Sync!$D$6)&amp;"",""))</f>
        <v/>
      </c>
      <c r="F3658" s="17">
        <f>IF(B3658="","","outreach_sent")</f>
        <v/>
      </c>
      <c r="G3658" s="17">
        <f>IF(B3658="","","")</f>
        <v/>
      </c>
      <c r="H3658" s="17">
        <f>IF(B3658="","","")</f>
        <v/>
      </c>
      <c r="I3658" s="17">
        <f>IF(B3658="","","")</f>
        <v/>
      </c>
      <c r="J3658" s="17">
        <f>IF(B3658="","","touch_1; "&amp;IFERROR(INDEX(Clay_Brands!$A$2:$FZ$601,207,Sync!$D$10)&amp;"","")&amp;"; "&amp;IFERROR(INDEX(Clay_Brands!$A$2:$FZ$601,207,Sync!$D$9)&amp;"",""))</f>
        <v/>
      </c>
      <c r="K3658" t="inlineStr">
        <is>
          <t>brand outreach touch 1</t>
        </is>
      </c>
    </row>
    <row r="3659">
      <c r="A3659" s="17">
        <f>IF(B3659="","",B3659+(15*1000+208)/10000000)</f>
        <v/>
      </c>
      <c r="B3659" s="23">
        <f>IF(AND(IFERROR(N(INDEX(Clay_Brands!$A$2:$FZ$601,208,Sync!$D$11)),0)&gt;0,IFERROR(INDEX(Clay_Brands!$A$2:$FZ$601,208,Sync!$D$5)&amp;"","")&lt;&gt;"",OR(LEFT(IFERROR(INDEX(Clay_Brands!$A$2:$FZ$601,208,Sync!$D$5)&amp;"",""),6)&lt;&gt;"SAMPLE",Config!$B$19="Y")),IFERROR(N(INDEX(Clay_Brands!$A$2:$FZ$601,208,Sync!$D$11)),0),"")</f>
        <v/>
      </c>
      <c r="C3659" s="17">
        <f>IF(B3659="","","brand")</f>
        <v/>
      </c>
      <c r="D3659" s="17">
        <f>IF(B3659="","",IFERROR(INDEX(Clay_Brands!$A$2:$FZ$601,208,Sync!$D$5)&amp;"",""))</f>
        <v/>
      </c>
      <c r="E3659" s="17">
        <f>IF(B3659="","",IFERROR(INDEX(Clay_Brands!$A$2:$FZ$601,208,Sync!$D$6)&amp;"",""))</f>
        <v/>
      </c>
      <c r="F3659" s="17">
        <f>IF(B3659="","","outreach_sent")</f>
        <v/>
      </c>
      <c r="G3659" s="17">
        <f>IF(B3659="","","")</f>
        <v/>
      </c>
      <c r="H3659" s="17">
        <f>IF(B3659="","","")</f>
        <v/>
      </c>
      <c r="I3659" s="17">
        <f>IF(B3659="","","")</f>
        <v/>
      </c>
      <c r="J3659" s="17">
        <f>IF(B3659="","","touch_1; "&amp;IFERROR(INDEX(Clay_Brands!$A$2:$FZ$601,208,Sync!$D$10)&amp;"","")&amp;"; "&amp;IFERROR(INDEX(Clay_Brands!$A$2:$FZ$601,208,Sync!$D$9)&amp;"",""))</f>
        <v/>
      </c>
      <c r="K3659" t="inlineStr">
        <is>
          <t>brand outreach touch 1</t>
        </is>
      </c>
    </row>
    <row r="3660">
      <c r="A3660" s="17">
        <f>IF(B3660="","",B3660+(15*1000+209)/10000000)</f>
        <v/>
      </c>
      <c r="B3660" s="23">
        <f>IF(AND(IFERROR(N(INDEX(Clay_Brands!$A$2:$FZ$601,209,Sync!$D$11)),0)&gt;0,IFERROR(INDEX(Clay_Brands!$A$2:$FZ$601,209,Sync!$D$5)&amp;"","")&lt;&gt;"",OR(LEFT(IFERROR(INDEX(Clay_Brands!$A$2:$FZ$601,209,Sync!$D$5)&amp;"",""),6)&lt;&gt;"SAMPLE",Config!$B$19="Y")),IFERROR(N(INDEX(Clay_Brands!$A$2:$FZ$601,209,Sync!$D$11)),0),"")</f>
        <v/>
      </c>
      <c r="C3660" s="17">
        <f>IF(B3660="","","brand")</f>
        <v/>
      </c>
      <c r="D3660" s="17">
        <f>IF(B3660="","",IFERROR(INDEX(Clay_Brands!$A$2:$FZ$601,209,Sync!$D$5)&amp;"",""))</f>
        <v/>
      </c>
      <c r="E3660" s="17">
        <f>IF(B3660="","",IFERROR(INDEX(Clay_Brands!$A$2:$FZ$601,209,Sync!$D$6)&amp;"",""))</f>
        <v/>
      </c>
      <c r="F3660" s="17">
        <f>IF(B3660="","","outreach_sent")</f>
        <v/>
      </c>
      <c r="G3660" s="17">
        <f>IF(B3660="","","")</f>
        <v/>
      </c>
      <c r="H3660" s="17">
        <f>IF(B3660="","","")</f>
        <v/>
      </c>
      <c r="I3660" s="17">
        <f>IF(B3660="","","")</f>
        <v/>
      </c>
      <c r="J3660" s="17">
        <f>IF(B3660="","","touch_1; "&amp;IFERROR(INDEX(Clay_Brands!$A$2:$FZ$601,209,Sync!$D$10)&amp;"","")&amp;"; "&amp;IFERROR(INDEX(Clay_Brands!$A$2:$FZ$601,209,Sync!$D$9)&amp;"",""))</f>
        <v/>
      </c>
      <c r="K3660" t="inlineStr">
        <is>
          <t>brand outreach touch 1</t>
        </is>
      </c>
    </row>
    <row r="3661">
      <c r="A3661" s="17">
        <f>IF(B3661="","",B3661+(15*1000+210)/10000000)</f>
        <v/>
      </c>
      <c r="B3661" s="23">
        <f>IF(AND(IFERROR(N(INDEX(Clay_Brands!$A$2:$FZ$601,210,Sync!$D$11)),0)&gt;0,IFERROR(INDEX(Clay_Brands!$A$2:$FZ$601,210,Sync!$D$5)&amp;"","")&lt;&gt;"",OR(LEFT(IFERROR(INDEX(Clay_Brands!$A$2:$FZ$601,210,Sync!$D$5)&amp;"",""),6)&lt;&gt;"SAMPLE",Config!$B$19="Y")),IFERROR(N(INDEX(Clay_Brands!$A$2:$FZ$601,210,Sync!$D$11)),0),"")</f>
        <v/>
      </c>
      <c r="C3661" s="17">
        <f>IF(B3661="","","brand")</f>
        <v/>
      </c>
      <c r="D3661" s="17">
        <f>IF(B3661="","",IFERROR(INDEX(Clay_Brands!$A$2:$FZ$601,210,Sync!$D$5)&amp;"",""))</f>
        <v/>
      </c>
      <c r="E3661" s="17">
        <f>IF(B3661="","",IFERROR(INDEX(Clay_Brands!$A$2:$FZ$601,210,Sync!$D$6)&amp;"",""))</f>
        <v/>
      </c>
      <c r="F3661" s="17">
        <f>IF(B3661="","","outreach_sent")</f>
        <v/>
      </c>
      <c r="G3661" s="17">
        <f>IF(B3661="","","")</f>
        <v/>
      </c>
      <c r="H3661" s="17">
        <f>IF(B3661="","","")</f>
        <v/>
      </c>
      <c r="I3661" s="17">
        <f>IF(B3661="","","")</f>
        <v/>
      </c>
      <c r="J3661" s="17">
        <f>IF(B3661="","","touch_1; "&amp;IFERROR(INDEX(Clay_Brands!$A$2:$FZ$601,210,Sync!$D$10)&amp;"","")&amp;"; "&amp;IFERROR(INDEX(Clay_Brands!$A$2:$FZ$601,210,Sync!$D$9)&amp;"",""))</f>
        <v/>
      </c>
      <c r="K3661" t="inlineStr">
        <is>
          <t>brand outreach touch 1</t>
        </is>
      </c>
    </row>
    <row r="3662">
      <c r="A3662" s="17">
        <f>IF(B3662="","",B3662+(15*1000+211)/10000000)</f>
        <v/>
      </c>
      <c r="B3662" s="23">
        <f>IF(AND(IFERROR(N(INDEX(Clay_Brands!$A$2:$FZ$601,211,Sync!$D$11)),0)&gt;0,IFERROR(INDEX(Clay_Brands!$A$2:$FZ$601,211,Sync!$D$5)&amp;"","")&lt;&gt;"",OR(LEFT(IFERROR(INDEX(Clay_Brands!$A$2:$FZ$601,211,Sync!$D$5)&amp;"",""),6)&lt;&gt;"SAMPLE",Config!$B$19="Y")),IFERROR(N(INDEX(Clay_Brands!$A$2:$FZ$601,211,Sync!$D$11)),0),"")</f>
        <v/>
      </c>
      <c r="C3662" s="17">
        <f>IF(B3662="","","brand")</f>
        <v/>
      </c>
      <c r="D3662" s="17">
        <f>IF(B3662="","",IFERROR(INDEX(Clay_Brands!$A$2:$FZ$601,211,Sync!$D$5)&amp;"",""))</f>
        <v/>
      </c>
      <c r="E3662" s="17">
        <f>IF(B3662="","",IFERROR(INDEX(Clay_Brands!$A$2:$FZ$601,211,Sync!$D$6)&amp;"",""))</f>
        <v/>
      </c>
      <c r="F3662" s="17">
        <f>IF(B3662="","","outreach_sent")</f>
        <v/>
      </c>
      <c r="G3662" s="17">
        <f>IF(B3662="","","")</f>
        <v/>
      </c>
      <c r="H3662" s="17">
        <f>IF(B3662="","","")</f>
        <v/>
      </c>
      <c r="I3662" s="17">
        <f>IF(B3662="","","")</f>
        <v/>
      </c>
      <c r="J3662" s="17">
        <f>IF(B3662="","","touch_1; "&amp;IFERROR(INDEX(Clay_Brands!$A$2:$FZ$601,211,Sync!$D$10)&amp;"","")&amp;"; "&amp;IFERROR(INDEX(Clay_Brands!$A$2:$FZ$601,211,Sync!$D$9)&amp;"",""))</f>
        <v/>
      </c>
      <c r="K3662" t="inlineStr">
        <is>
          <t>brand outreach touch 1</t>
        </is>
      </c>
    </row>
    <row r="3663">
      <c r="A3663" s="17">
        <f>IF(B3663="","",B3663+(15*1000+212)/10000000)</f>
        <v/>
      </c>
      <c r="B3663" s="23">
        <f>IF(AND(IFERROR(N(INDEX(Clay_Brands!$A$2:$FZ$601,212,Sync!$D$11)),0)&gt;0,IFERROR(INDEX(Clay_Brands!$A$2:$FZ$601,212,Sync!$D$5)&amp;"","")&lt;&gt;"",OR(LEFT(IFERROR(INDEX(Clay_Brands!$A$2:$FZ$601,212,Sync!$D$5)&amp;"",""),6)&lt;&gt;"SAMPLE",Config!$B$19="Y")),IFERROR(N(INDEX(Clay_Brands!$A$2:$FZ$601,212,Sync!$D$11)),0),"")</f>
        <v/>
      </c>
      <c r="C3663" s="17">
        <f>IF(B3663="","","brand")</f>
        <v/>
      </c>
      <c r="D3663" s="17">
        <f>IF(B3663="","",IFERROR(INDEX(Clay_Brands!$A$2:$FZ$601,212,Sync!$D$5)&amp;"",""))</f>
        <v/>
      </c>
      <c r="E3663" s="17">
        <f>IF(B3663="","",IFERROR(INDEX(Clay_Brands!$A$2:$FZ$601,212,Sync!$D$6)&amp;"",""))</f>
        <v/>
      </c>
      <c r="F3663" s="17">
        <f>IF(B3663="","","outreach_sent")</f>
        <v/>
      </c>
      <c r="G3663" s="17">
        <f>IF(B3663="","","")</f>
        <v/>
      </c>
      <c r="H3663" s="17">
        <f>IF(B3663="","","")</f>
        <v/>
      </c>
      <c r="I3663" s="17">
        <f>IF(B3663="","","")</f>
        <v/>
      </c>
      <c r="J3663" s="17">
        <f>IF(B3663="","","touch_1; "&amp;IFERROR(INDEX(Clay_Brands!$A$2:$FZ$601,212,Sync!$D$10)&amp;"","")&amp;"; "&amp;IFERROR(INDEX(Clay_Brands!$A$2:$FZ$601,212,Sync!$D$9)&amp;"",""))</f>
        <v/>
      </c>
      <c r="K3663" t="inlineStr">
        <is>
          <t>brand outreach touch 1</t>
        </is>
      </c>
    </row>
    <row r="3664">
      <c r="A3664" s="17">
        <f>IF(B3664="","",B3664+(15*1000+213)/10000000)</f>
        <v/>
      </c>
      <c r="B3664" s="23">
        <f>IF(AND(IFERROR(N(INDEX(Clay_Brands!$A$2:$FZ$601,213,Sync!$D$11)),0)&gt;0,IFERROR(INDEX(Clay_Brands!$A$2:$FZ$601,213,Sync!$D$5)&amp;"","")&lt;&gt;"",OR(LEFT(IFERROR(INDEX(Clay_Brands!$A$2:$FZ$601,213,Sync!$D$5)&amp;"",""),6)&lt;&gt;"SAMPLE",Config!$B$19="Y")),IFERROR(N(INDEX(Clay_Brands!$A$2:$FZ$601,213,Sync!$D$11)),0),"")</f>
        <v/>
      </c>
      <c r="C3664" s="17">
        <f>IF(B3664="","","brand")</f>
        <v/>
      </c>
      <c r="D3664" s="17">
        <f>IF(B3664="","",IFERROR(INDEX(Clay_Brands!$A$2:$FZ$601,213,Sync!$D$5)&amp;"",""))</f>
        <v/>
      </c>
      <c r="E3664" s="17">
        <f>IF(B3664="","",IFERROR(INDEX(Clay_Brands!$A$2:$FZ$601,213,Sync!$D$6)&amp;"",""))</f>
        <v/>
      </c>
      <c r="F3664" s="17">
        <f>IF(B3664="","","outreach_sent")</f>
        <v/>
      </c>
      <c r="G3664" s="17">
        <f>IF(B3664="","","")</f>
        <v/>
      </c>
      <c r="H3664" s="17">
        <f>IF(B3664="","","")</f>
        <v/>
      </c>
      <c r="I3664" s="17">
        <f>IF(B3664="","","")</f>
        <v/>
      </c>
      <c r="J3664" s="17">
        <f>IF(B3664="","","touch_1; "&amp;IFERROR(INDEX(Clay_Brands!$A$2:$FZ$601,213,Sync!$D$10)&amp;"","")&amp;"; "&amp;IFERROR(INDEX(Clay_Brands!$A$2:$FZ$601,213,Sync!$D$9)&amp;"",""))</f>
        <v/>
      </c>
      <c r="K3664" t="inlineStr">
        <is>
          <t>brand outreach touch 1</t>
        </is>
      </c>
    </row>
    <row r="3665">
      <c r="A3665" s="17">
        <f>IF(B3665="","",B3665+(15*1000+214)/10000000)</f>
        <v/>
      </c>
      <c r="B3665" s="23">
        <f>IF(AND(IFERROR(N(INDEX(Clay_Brands!$A$2:$FZ$601,214,Sync!$D$11)),0)&gt;0,IFERROR(INDEX(Clay_Brands!$A$2:$FZ$601,214,Sync!$D$5)&amp;"","")&lt;&gt;"",OR(LEFT(IFERROR(INDEX(Clay_Brands!$A$2:$FZ$601,214,Sync!$D$5)&amp;"",""),6)&lt;&gt;"SAMPLE",Config!$B$19="Y")),IFERROR(N(INDEX(Clay_Brands!$A$2:$FZ$601,214,Sync!$D$11)),0),"")</f>
        <v/>
      </c>
      <c r="C3665" s="17">
        <f>IF(B3665="","","brand")</f>
        <v/>
      </c>
      <c r="D3665" s="17">
        <f>IF(B3665="","",IFERROR(INDEX(Clay_Brands!$A$2:$FZ$601,214,Sync!$D$5)&amp;"",""))</f>
        <v/>
      </c>
      <c r="E3665" s="17">
        <f>IF(B3665="","",IFERROR(INDEX(Clay_Brands!$A$2:$FZ$601,214,Sync!$D$6)&amp;"",""))</f>
        <v/>
      </c>
      <c r="F3665" s="17">
        <f>IF(B3665="","","outreach_sent")</f>
        <v/>
      </c>
      <c r="G3665" s="17">
        <f>IF(B3665="","","")</f>
        <v/>
      </c>
      <c r="H3665" s="17">
        <f>IF(B3665="","","")</f>
        <v/>
      </c>
      <c r="I3665" s="17">
        <f>IF(B3665="","","")</f>
        <v/>
      </c>
      <c r="J3665" s="17">
        <f>IF(B3665="","","touch_1; "&amp;IFERROR(INDEX(Clay_Brands!$A$2:$FZ$601,214,Sync!$D$10)&amp;"","")&amp;"; "&amp;IFERROR(INDEX(Clay_Brands!$A$2:$FZ$601,214,Sync!$D$9)&amp;"",""))</f>
        <v/>
      </c>
      <c r="K3665" t="inlineStr">
        <is>
          <t>brand outreach touch 1</t>
        </is>
      </c>
    </row>
    <row r="3666">
      <c r="A3666" s="17">
        <f>IF(B3666="","",B3666+(15*1000+215)/10000000)</f>
        <v/>
      </c>
      <c r="B3666" s="23">
        <f>IF(AND(IFERROR(N(INDEX(Clay_Brands!$A$2:$FZ$601,215,Sync!$D$11)),0)&gt;0,IFERROR(INDEX(Clay_Brands!$A$2:$FZ$601,215,Sync!$D$5)&amp;"","")&lt;&gt;"",OR(LEFT(IFERROR(INDEX(Clay_Brands!$A$2:$FZ$601,215,Sync!$D$5)&amp;"",""),6)&lt;&gt;"SAMPLE",Config!$B$19="Y")),IFERROR(N(INDEX(Clay_Brands!$A$2:$FZ$601,215,Sync!$D$11)),0),"")</f>
        <v/>
      </c>
      <c r="C3666" s="17">
        <f>IF(B3666="","","brand")</f>
        <v/>
      </c>
      <c r="D3666" s="17">
        <f>IF(B3666="","",IFERROR(INDEX(Clay_Brands!$A$2:$FZ$601,215,Sync!$D$5)&amp;"",""))</f>
        <v/>
      </c>
      <c r="E3666" s="17">
        <f>IF(B3666="","",IFERROR(INDEX(Clay_Brands!$A$2:$FZ$601,215,Sync!$D$6)&amp;"",""))</f>
        <v/>
      </c>
      <c r="F3666" s="17">
        <f>IF(B3666="","","outreach_sent")</f>
        <v/>
      </c>
      <c r="G3666" s="17">
        <f>IF(B3666="","","")</f>
        <v/>
      </c>
      <c r="H3666" s="17">
        <f>IF(B3666="","","")</f>
        <v/>
      </c>
      <c r="I3666" s="17">
        <f>IF(B3666="","","")</f>
        <v/>
      </c>
      <c r="J3666" s="17">
        <f>IF(B3666="","","touch_1; "&amp;IFERROR(INDEX(Clay_Brands!$A$2:$FZ$601,215,Sync!$D$10)&amp;"","")&amp;"; "&amp;IFERROR(INDEX(Clay_Brands!$A$2:$FZ$601,215,Sync!$D$9)&amp;"",""))</f>
        <v/>
      </c>
      <c r="K3666" t="inlineStr">
        <is>
          <t>brand outreach touch 1</t>
        </is>
      </c>
    </row>
    <row r="3667">
      <c r="A3667" s="17">
        <f>IF(B3667="","",B3667+(15*1000+216)/10000000)</f>
        <v/>
      </c>
      <c r="B3667" s="23">
        <f>IF(AND(IFERROR(N(INDEX(Clay_Brands!$A$2:$FZ$601,216,Sync!$D$11)),0)&gt;0,IFERROR(INDEX(Clay_Brands!$A$2:$FZ$601,216,Sync!$D$5)&amp;"","")&lt;&gt;"",OR(LEFT(IFERROR(INDEX(Clay_Brands!$A$2:$FZ$601,216,Sync!$D$5)&amp;"",""),6)&lt;&gt;"SAMPLE",Config!$B$19="Y")),IFERROR(N(INDEX(Clay_Brands!$A$2:$FZ$601,216,Sync!$D$11)),0),"")</f>
        <v/>
      </c>
      <c r="C3667" s="17">
        <f>IF(B3667="","","brand")</f>
        <v/>
      </c>
      <c r="D3667" s="17">
        <f>IF(B3667="","",IFERROR(INDEX(Clay_Brands!$A$2:$FZ$601,216,Sync!$D$5)&amp;"",""))</f>
        <v/>
      </c>
      <c r="E3667" s="17">
        <f>IF(B3667="","",IFERROR(INDEX(Clay_Brands!$A$2:$FZ$601,216,Sync!$D$6)&amp;"",""))</f>
        <v/>
      </c>
      <c r="F3667" s="17">
        <f>IF(B3667="","","outreach_sent")</f>
        <v/>
      </c>
      <c r="G3667" s="17">
        <f>IF(B3667="","","")</f>
        <v/>
      </c>
      <c r="H3667" s="17">
        <f>IF(B3667="","","")</f>
        <v/>
      </c>
      <c r="I3667" s="17">
        <f>IF(B3667="","","")</f>
        <v/>
      </c>
      <c r="J3667" s="17">
        <f>IF(B3667="","","touch_1; "&amp;IFERROR(INDEX(Clay_Brands!$A$2:$FZ$601,216,Sync!$D$10)&amp;"","")&amp;"; "&amp;IFERROR(INDEX(Clay_Brands!$A$2:$FZ$601,216,Sync!$D$9)&amp;"",""))</f>
        <v/>
      </c>
      <c r="K3667" t="inlineStr">
        <is>
          <t>brand outreach touch 1</t>
        </is>
      </c>
    </row>
    <row r="3668">
      <c r="A3668" s="17">
        <f>IF(B3668="","",B3668+(15*1000+217)/10000000)</f>
        <v/>
      </c>
      <c r="B3668" s="23">
        <f>IF(AND(IFERROR(N(INDEX(Clay_Brands!$A$2:$FZ$601,217,Sync!$D$11)),0)&gt;0,IFERROR(INDEX(Clay_Brands!$A$2:$FZ$601,217,Sync!$D$5)&amp;"","")&lt;&gt;"",OR(LEFT(IFERROR(INDEX(Clay_Brands!$A$2:$FZ$601,217,Sync!$D$5)&amp;"",""),6)&lt;&gt;"SAMPLE",Config!$B$19="Y")),IFERROR(N(INDEX(Clay_Brands!$A$2:$FZ$601,217,Sync!$D$11)),0),"")</f>
        <v/>
      </c>
      <c r="C3668" s="17">
        <f>IF(B3668="","","brand")</f>
        <v/>
      </c>
      <c r="D3668" s="17">
        <f>IF(B3668="","",IFERROR(INDEX(Clay_Brands!$A$2:$FZ$601,217,Sync!$D$5)&amp;"",""))</f>
        <v/>
      </c>
      <c r="E3668" s="17">
        <f>IF(B3668="","",IFERROR(INDEX(Clay_Brands!$A$2:$FZ$601,217,Sync!$D$6)&amp;"",""))</f>
        <v/>
      </c>
      <c r="F3668" s="17">
        <f>IF(B3668="","","outreach_sent")</f>
        <v/>
      </c>
      <c r="G3668" s="17">
        <f>IF(B3668="","","")</f>
        <v/>
      </c>
      <c r="H3668" s="17">
        <f>IF(B3668="","","")</f>
        <v/>
      </c>
      <c r="I3668" s="17">
        <f>IF(B3668="","","")</f>
        <v/>
      </c>
      <c r="J3668" s="17">
        <f>IF(B3668="","","touch_1; "&amp;IFERROR(INDEX(Clay_Brands!$A$2:$FZ$601,217,Sync!$D$10)&amp;"","")&amp;"; "&amp;IFERROR(INDEX(Clay_Brands!$A$2:$FZ$601,217,Sync!$D$9)&amp;"",""))</f>
        <v/>
      </c>
      <c r="K3668" t="inlineStr">
        <is>
          <t>brand outreach touch 1</t>
        </is>
      </c>
    </row>
    <row r="3669">
      <c r="A3669" s="17">
        <f>IF(B3669="","",B3669+(15*1000+218)/10000000)</f>
        <v/>
      </c>
      <c r="B3669" s="23">
        <f>IF(AND(IFERROR(N(INDEX(Clay_Brands!$A$2:$FZ$601,218,Sync!$D$11)),0)&gt;0,IFERROR(INDEX(Clay_Brands!$A$2:$FZ$601,218,Sync!$D$5)&amp;"","")&lt;&gt;"",OR(LEFT(IFERROR(INDEX(Clay_Brands!$A$2:$FZ$601,218,Sync!$D$5)&amp;"",""),6)&lt;&gt;"SAMPLE",Config!$B$19="Y")),IFERROR(N(INDEX(Clay_Brands!$A$2:$FZ$601,218,Sync!$D$11)),0),"")</f>
        <v/>
      </c>
      <c r="C3669" s="17">
        <f>IF(B3669="","","brand")</f>
        <v/>
      </c>
      <c r="D3669" s="17">
        <f>IF(B3669="","",IFERROR(INDEX(Clay_Brands!$A$2:$FZ$601,218,Sync!$D$5)&amp;"",""))</f>
        <v/>
      </c>
      <c r="E3669" s="17">
        <f>IF(B3669="","",IFERROR(INDEX(Clay_Brands!$A$2:$FZ$601,218,Sync!$D$6)&amp;"",""))</f>
        <v/>
      </c>
      <c r="F3669" s="17">
        <f>IF(B3669="","","outreach_sent")</f>
        <v/>
      </c>
      <c r="G3669" s="17">
        <f>IF(B3669="","","")</f>
        <v/>
      </c>
      <c r="H3669" s="17">
        <f>IF(B3669="","","")</f>
        <v/>
      </c>
      <c r="I3669" s="17">
        <f>IF(B3669="","","")</f>
        <v/>
      </c>
      <c r="J3669" s="17">
        <f>IF(B3669="","","touch_1; "&amp;IFERROR(INDEX(Clay_Brands!$A$2:$FZ$601,218,Sync!$D$10)&amp;"","")&amp;"; "&amp;IFERROR(INDEX(Clay_Brands!$A$2:$FZ$601,218,Sync!$D$9)&amp;"",""))</f>
        <v/>
      </c>
      <c r="K3669" t="inlineStr">
        <is>
          <t>brand outreach touch 1</t>
        </is>
      </c>
    </row>
    <row r="3670">
      <c r="A3670" s="17">
        <f>IF(B3670="","",B3670+(15*1000+219)/10000000)</f>
        <v/>
      </c>
      <c r="B3670" s="23">
        <f>IF(AND(IFERROR(N(INDEX(Clay_Brands!$A$2:$FZ$601,219,Sync!$D$11)),0)&gt;0,IFERROR(INDEX(Clay_Brands!$A$2:$FZ$601,219,Sync!$D$5)&amp;"","")&lt;&gt;"",OR(LEFT(IFERROR(INDEX(Clay_Brands!$A$2:$FZ$601,219,Sync!$D$5)&amp;"",""),6)&lt;&gt;"SAMPLE",Config!$B$19="Y")),IFERROR(N(INDEX(Clay_Brands!$A$2:$FZ$601,219,Sync!$D$11)),0),"")</f>
        <v/>
      </c>
      <c r="C3670" s="17">
        <f>IF(B3670="","","brand")</f>
        <v/>
      </c>
      <c r="D3670" s="17">
        <f>IF(B3670="","",IFERROR(INDEX(Clay_Brands!$A$2:$FZ$601,219,Sync!$D$5)&amp;"",""))</f>
        <v/>
      </c>
      <c r="E3670" s="17">
        <f>IF(B3670="","",IFERROR(INDEX(Clay_Brands!$A$2:$FZ$601,219,Sync!$D$6)&amp;"",""))</f>
        <v/>
      </c>
      <c r="F3670" s="17">
        <f>IF(B3670="","","outreach_sent")</f>
        <v/>
      </c>
      <c r="G3670" s="17">
        <f>IF(B3670="","","")</f>
        <v/>
      </c>
      <c r="H3670" s="17">
        <f>IF(B3670="","","")</f>
        <v/>
      </c>
      <c r="I3670" s="17">
        <f>IF(B3670="","","")</f>
        <v/>
      </c>
      <c r="J3670" s="17">
        <f>IF(B3670="","","touch_1; "&amp;IFERROR(INDEX(Clay_Brands!$A$2:$FZ$601,219,Sync!$D$10)&amp;"","")&amp;"; "&amp;IFERROR(INDEX(Clay_Brands!$A$2:$FZ$601,219,Sync!$D$9)&amp;"",""))</f>
        <v/>
      </c>
      <c r="K3670" t="inlineStr">
        <is>
          <t>brand outreach touch 1</t>
        </is>
      </c>
    </row>
    <row r="3671">
      <c r="A3671" s="17">
        <f>IF(B3671="","",B3671+(15*1000+220)/10000000)</f>
        <v/>
      </c>
      <c r="B3671" s="23">
        <f>IF(AND(IFERROR(N(INDEX(Clay_Brands!$A$2:$FZ$601,220,Sync!$D$11)),0)&gt;0,IFERROR(INDEX(Clay_Brands!$A$2:$FZ$601,220,Sync!$D$5)&amp;"","")&lt;&gt;"",OR(LEFT(IFERROR(INDEX(Clay_Brands!$A$2:$FZ$601,220,Sync!$D$5)&amp;"",""),6)&lt;&gt;"SAMPLE",Config!$B$19="Y")),IFERROR(N(INDEX(Clay_Brands!$A$2:$FZ$601,220,Sync!$D$11)),0),"")</f>
        <v/>
      </c>
      <c r="C3671" s="17">
        <f>IF(B3671="","","brand")</f>
        <v/>
      </c>
      <c r="D3671" s="17">
        <f>IF(B3671="","",IFERROR(INDEX(Clay_Brands!$A$2:$FZ$601,220,Sync!$D$5)&amp;"",""))</f>
        <v/>
      </c>
      <c r="E3671" s="17">
        <f>IF(B3671="","",IFERROR(INDEX(Clay_Brands!$A$2:$FZ$601,220,Sync!$D$6)&amp;"",""))</f>
        <v/>
      </c>
      <c r="F3671" s="17">
        <f>IF(B3671="","","outreach_sent")</f>
        <v/>
      </c>
      <c r="G3671" s="17">
        <f>IF(B3671="","","")</f>
        <v/>
      </c>
      <c r="H3671" s="17">
        <f>IF(B3671="","","")</f>
        <v/>
      </c>
      <c r="I3671" s="17">
        <f>IF(B3671="","","")</f>
        <v/>
      </c>
      <c r="J3671" s="17">
        <f>IF(B3671="","","touch_1; "&amp;IFERROR(INDEX(Clay_Brands!$A$2:$FZ$601,220,Sync!$D$10)&amp;"","")&amp;"; "&amp;IFERROR(INDEX(Clay_Brands!$A$2:$FZ$601,220,Sync!$D$9)&amp;"",""))</f>
        <v/>
      </c>
      <c r="K3671" t="inlineStr">
        <is>
          <t>brand outreach touch 1</t>
        </is>
      </c>
    </row>
    <row r="3672">
      <c r="A3672" s="17">
        <f>IF(B3672="","",B3672+(15*1000+221)/10000000)</f>
        <v/>
      </c>
      <c r="B3672" s="23">
        <f>IF(AND(IFERROR(N(INDEX(Clay_Brands!$A$2:$FZ$601,221,Sync!$D$11)),0)&gt;0,IFERROR(INDEX(Clay_Brands!$A$2:$FZ$601,221,Sync!$D$5)&amp;"","")&lt;&gt;"",OR(LEFT(IFERROR(INDEX(Clay_Brands!$A$2:$FZ$601,221,Sync!$D$5)&amp;"",""),6)&lt;&gt;"SAMPLE",Config!$B$19="Y")),IFERROR(N(INDEX(Clay_Brands!$A$2:$FZ$601,221,Sync!$D$11)),0),"")</f>
        <v/>
      </c>
      <c r="C3672" s="17">
        <f>IF(B3672="","","brand")</f>
        <v/>
      </c>
      <c r="D3672" s="17">
        <f>IF(B3672="","",IFERROR(INDEX(Clay_Brands!$A$2:$FZ$601,221,Sync!$D$5)&amp;"",""))</f>
        <v/>
      </c>
      <c r="E3672" s="17">
        <f>IF(B3672="","",IFERROR(INDEX(Clay_Brands!$A$2:$FZ$601,221,Sync!$D$6)&amp;"",""))</f>
        <v/>
      </c>
      <c r="F3672" s="17">
        <f>IF(B3672="","","outreach_sent")</f>
        <v/>
      </c>
      <c r="G3672" s="17">
        <f>IF(B3672="","","")</f>
        <v/>
      </c>
      <c r="H3672" s="17">
        <f>IF(B3672="","","")</f>
        <v/>
      </c>
      <c r="I3672" s="17">
        <f>IF(B3672="","","")</f>
        <v/>
      </c>
      <c r="J3672" s="17">
        <f>IF(B3672="","","touch_1; "&amp;IFERROR(INDEX(Clay_Brands!$A$2:$FZ$601,221,Sync!$D$10)&amp;"","")&amp;"; "&amp;IFERROR(INDEX(Clay_Brands!$A$2:$FZ$601,221,Sync!$D$9)&amp;"",""))</f>
        <v/>
      </c>
      <c r="K3672" t="inlineStr">
        <is>
          <t>brand outreach touch 1</t>
        </is>
      </c>
    </row>
    <row r="3673">
      <c r="A3673" s="17">
        <f>IF(B3673="","",B3673+(15*1000+222)/10000000)</f>
        <v/>
      </c>
      <c r="B3673" s="23">
        <f>IF(AND(IFERROR(N(INDEX(Clay_Brands!$A$2:$FZ$601,222,Sync!$D$11)),0)&gt;0,IFERROR(INDEX(Clay_Brands!$A$2:$FZ$601,222,Sync!$D$5)&amp;"","")&lt;&gt;"",OR(LEFT(IFERROR(INDEX(Clay_Brands!$A$2:$FZ$601,222,Sync!$D$5)&amp;"",""),6)&lt;&gt;"SAMPLE",Config!$B$19="Y")),IFERROR(N(INDEX(Clay_Brands!$A$2:$FZ$601,222,Sync!$D$11)),0),"")</f>
        <v/>
      </c>
      <c r="C3673" s="17">
        <f>IF(B3673="","","brand")</f>
        <v/>
      </c>
      <c r="D3673" s="17">
        <f>IF(B3673="","",IFERROR(INDEX(Clay_Brands!$A$2:$FZ$601,222,Sync!$D$5)&amp;"",""))</f>
        <v/>
      </c>
      <c r="E3673" s="17">
        <f>IF(B3673="","",IFERROR(INDEX(Clay_Brands!$A$2:$FZ$601,222,Sync!$D$6)&amp;"",""))</f>
        <v/>
      </c>
      <c r="F3673" s="17">
        <f>IF(B3673="","","outreach_sent")</f>
        <v/>
      </c>
      <c r="G3673" s="17">
        <f>IF(B3673="","","")</f>
        <v/>
      </c>
      <c r="H3673" s="17">
        <f>IF(B3673="","","")</f>
        <v/>
      </c>
      <c r="I3673" s="17">
        <f>IF(B3673="","","")</f>
        <v/>
      </c>
      <c r="J3673" s="17">
        <f>IF(B3673="","","touch_1; "&amp;IFERROR(INDEX(Clay_Brands!$A$2:$FZ$601,222,Sync!$D$10)&amp;"","")&amp;"; "&amp;IFERROR(INDEX(Clay_Brands!$A$2:$FZ$601,222,Sync!$D$9)&amp;"",""))</f>
        <v/>
      </c>
      <c r="K3673" t="inlineStr">
        <is>
          <t>brand outreach touch 1</t>
        </is>
      </c>
    </row>
    <row r="3674">
      <c r="A3674" s="17">
        <f>IF(B3674="","",B3674+(15*1000+223)/10000000)</f>
        <v/>
      </c>
      <c r="B3674" s="23">
        <f>IF(AND(IFERROR(N(INDEX(Clay_Brands!$A$2:$FZ$601,223,Sync!$D$11)),0)&gt;0,IFERROR(INDEX(Clay_Brands!$A$2:$FZ$601,223,Sync!$D$5)&amp;"","")&lt;&gt;"",OR(LEFT(IFERROR(INDEX(Clay_Brands!$A$2:$FZ$601,223,Sync!$D$5)&amp;"",""),6)&lt;&gt;"SAMPLE",Config!$B$19="Y")),IFERROR(N(INDEX(Clay_Brands!$A$2:$FZ$601,223,Sync!$D$11)),0),"")</f>
        <v/>
      </c>
      <c r="C3674" s="17">
        <f>IF(B3674="","","brand")</f>
        <v/>
      </c>
      <c r="D3674" s="17">
        <f>IF(B3674="","",IFERROR(INDEX(Clay_Brands!$A$2:$FZ$601,223,Sync!$D$5)&amp;"",""))</f>
        <v/>
      </c>
      <c r="E3674" s="17">
        <f>IF(B3674="","",IFERROR(INDEX(Clay_Brands!$A$2:$FZ$601,223,Sync!$D$6)&amp;"",""))</f>
        <v/>
      </c>
      <c r="F3674" s="17">
        <f>IF(B3674="","","outreach_sent")</f>
        <v/>
      </c>
      <c r="G3674" s="17">
        <f>IF(B3674="","","")</f>
        <v/>
      </c>
      <c r="H3674" s="17">
        <f>IF(B3674="","","")</f>
        <v/>
      </c>
      <c r="I3674" s="17">
        <f>IF(B3674="","","")</f>
        <v/>
      </c>
      <c r="J3674" s="17">
        <f>IF(B3674="","","touch_1; "&amp;IFERROR(INDEX(Clay_Brands!$A$2:$FZ$601,223,Sync!$D$10)&amp;"","")&amp;"; "&amp;IFERROR(INDEX(Clay_Brands!$A$2:$FZ$601,223,Sync!$D$9)&amp;"",""))</f>
        <v/>
      </c>
      <c r="K3674" t="inlineStr">
        <is>
          <t>brand outreach touch 1</t>
        </is>
      </c>
    </row>
    <row r="3675">
      <c r="A3675" s="17">
        <f>IF(B3675="","",B3675+(15*1000+224)/10000000)</f>
        <v/>
      </c>
      <c r="B3675" s="23">
        <f>IF(AND(IFERROR(N(INDEX(Clay_Brands!$A$2:$FZ$601,224,Sync!$D$11)),0)&gt;0,IFERROR(INDEX(Clay_Brands!$A$2:$FZ$601,224,Sync!$D$5)&amp;"","")&lt;&gt;"",OR(LEFT(IFERROR(INDEX(Clay_Brands!$A$2:$FZ$601,224,Sync!$D$5)&amp;"",""),6)&lt;&gt;"SAMPLE",Config!$B$19="Y")),IFERROR(N(INDEX(Clay_Brands!$A$2:$FZ$601,224,Sync!$D$11)),0),"")</f>
        <v/>
      </c>
      <c r="C3675" s="17">
        <f>IF(B3675="","","brand")</f>
        <v/>
      </c>
      <c r="D3675" s="17">
        <f>IF(B3675="","",IFERROR(INDEX(Clay_Brands!$A$2:$FZ$601,224,Sync!$D$5)&amp;"",""))</f>
        <v/>
      </c>
      <c r="E3675" s="17">
        <f>IF(B3675="","",IFERROR(INDEX(Clay_Brands!$A$2:$FZ$601,224,Sync!$D$6)&amp;"",""))</f>
        <v/>
      </c>
      <c r="F3675" s="17">
        <f>IF(B3675="","","outreach_sent")</f>
        <v/>
      </c>
      <c r="G3675" s="17">
        <f>IF(B3675="","","")</f>
        <v/>
      </c>
      <c r="H3675" s="17">
        <f>IF(B3675="","","")</f>
        <v/>
      </c>
      <c r="I3675" s="17">
        <f>IF(B3675="","","")</f>
        <v/>
      </c>
      <c r="J3675" s="17">
        <f>IF(B3675="","","touch_1; "&amp;IFERROR(INDEX(Clay_Brands!$A$2:$FZ$601,224,Sync!$D$10)&amp;"","")&amp;"; "&amp;IFERROR(INDEX(Clay_Brands!$A$2:$FZ$601,224,Sync!$D$9)&amp;"",""))</f>
        <v/>
      </c>
      <c r="K3675" t="inlineStr">
        <is>
          <t>brand outreach touch 1</t>
        </is>
      </c>
    </row>
    <row r="3676">
      <c r="A3676" s="17">
        <f>IF(B3676="","",B3676+(15*1000+225)/10000000)</f>
        <v/>
      </c>
      <c r="B3676" s="23">
        <f>IF(AND(IFERROR(N(INDEX(Clay_Brands!$A$2:$FZ$601,225,Sync!$D$11)),0)&gt;0,IFERROR(INDEX(Clay_Brands!$A$2:$FZ$601,225,Sync!$D$5)&amp;"","")&lt;&gt;"",OR(LEFT(IFERROR(INDEX(Clay_Brands!$A$2:$FZ$601,225,Sync!$D$5)&amp;"",""),6)&lt;&gt;"SAMPLE",Config!$B$19="Y")),IFERROR(N(INDEX(Clay_Brands!$A$2:$FZ$601,225,Sync!$D$11)),0),"")</f>
        <v/>
      </c>
      <c r="C3676" s="17">
        <f>IF(B3676="","","brand")</f>
        <v/>
      </c>
      <c r="D3676" s="17">
        <f>IF(B3676="","",IFERROR(INDEX(Clay_Brands!$A$2:$FZ$601,225,Sync!$D$5)&amp;"",""))</f>
        <v/>
      </c>
      <c r="E3676" s="17">
        <f>IF(B3676="","",IFERROR(INDEX(Clay_Brands!$A$2:$FZ$601,225,Sync!$D$6)&amp;"",""))</f>
        <v/>
      </c>
      <c r="F3676" s="17">
        <f>IF(B3676="","","outreach_sent")</f>
        <v/>
      </c>
      <c r="G3676" s="17">
        <f>IF(B3676="","","")</f>
        <v/>
      </c>
      <c r="H3676" s="17">
        <f>IF(B3676="","","")</f>
        <v/>
      </c>
      <c r="I3676" s="17">
        <f>IF(B3676="","","")</f>
        <v/>
      </c>
      <c r="J3676" s="17">
        <f>IF(B3676="","","touch_1; "&amp;IFERROR(INDEX(Clay_Brands!$A$2:$FZ$601,225,Sync!$D$10)&amp;"","")&amp;"; "&amp;IFERROR(INDEX(Clay_Brands!$A$2:$FZ$601,225,Sync!$D$9)&amp;"",""))</f>
        <v/>
      </c>
      <c r="K3676" t="inlineStr">
        <is>
          <t>brand outreach touch 1</t>
        </is>
      </c>
    </row>
    <row r="3677">
      <c r="A3677" s="17">
        <f>IF(B3677="","",B3677+(15*1000+226)/10000000)</f>
        <v/>
      </c>
      <c r="B3677" s="23">
        <f>IF(AND(IFERROR(N(INDEX(Clay_Brands!$A$2:$FZ$601,226,Sync!$D$11)),0)&gt;0,IFERROR(INDEX(Clay_Brands!$A$2:$FZ$601,226,Sync!$D$5)&amp;"","")&lt;&gt;"",OR(LEFT(IFERROR(INDEX(Clay_Brands!$A$2:$FZ$601,226,Sync!$D$5)&amp;"",""),6)&lt;&gt;"SAMPLE",Config!$B$19="Y")),IFERROR(N(INDEX(Clay_Brands!$A$2:$FZ$601,226,Sync!$D$11)),0),"")</f>
        <v/>
      </c>
      <c r="C3677" s="17">
        <f>IF(B3677="","","brand")</f>
        <v/>
      </c>
      <c r="D3677" s="17">
        <f>IF(B3677="","",IFERROR(INDEX(Clay_Brands!$A$2:$FZ$601,226,Sync!$D$5)&amp;"",""))</f>
        <v/>
      </c>
      <c r="E3677" s="17">
        <f>IF(B3677="","",IFERROR(INDEX(Clay_Brands!$A$2:$FZ$601,226,Sync!$D$6)&amp;"",""))</f>
        <v/>
      </c>
      <c r="F3677" s="17">
        <f>IF(B3677="","","outreach_sent")</f>
        <v/>
      </c>
      <c r="G3677" s="17">
        <f>IF(B3677="","","")</f>
        <v/>
      </c>
      <c r="H3677" s="17">
        <f>IF(B3677="","","")</f>
        <v/>
      </c>
      <c r="I3677" s="17">
        <f>IF(B3677="","","")</f>
        <v/>
      </c>
      <c r="J3677" s="17">
        <f>IF(B3677="","","touch_1; "&amp;IFERROR(INDEX(Clay_Brands!$A$2:$FZ$601,226,Sync!$D$10)&amp;"","")&amp;"; "&amp;IFERROR(INDEX(Clay_Brands!$A$2:$FZ$601,226,Sync!$D$9)&amp;"",""))</f>
        <v/>
      </c>
      <c r="K3677" t="inlineStr">
        <is>
          <t>brand outreach touch 1</t>
        </is>
      </c>
    </row>
    <row r="3678">
      <c r="A3678" s="17">
        <f>IF(B3678="","",B3678+(15*1000+227)/10000000)</f>
        <v/>
      </c>
      <c r="B3678" s="23">
        <f>IF(AND(IFERROR(N(INDEX(Clay_Brands!$A$2:$FZ$601,227,Sync!$D$11)),0)&gt;0,IFERROR(INDEX(Clay_Brands!$A$2:$FZ$601,227,Sync!$D$5)&amp;"","")&lt;&gt;"",OR(LEFT(IFERROR(INDEX(Clay_Brands!$A$2:$FZ$601,227,Sync!$D$5)&amp;"",""),6)&lt;&gt;"SAMPLE",Config!$B$19="Y")),IFERROR(N(INDEX(Clay_Brands!$A$2:$FZ$601,227,Sync!$D$11)),0),"")</f>
        <v/>
      </c>
      <c r="C3678" s="17">
        <f>IF(B3678="","","brand")</f>
        <v/>
      </c>
      <c r="D3678" s="17">
        <f>IF(B3678="","",IFERROR(INDEX(Clay_Brands!$A$2:$FZ$601,227,Sync!$D$5)&amp;"",""))</f>
        <v/>
      </c>
      <c r="E3678" s="17">
        <f>IF(B3678="","",IFERROR(INDEX(Clay_Brands!$A$2:$FZ$601,227,Sync!$D$6)&amp;"",""))</f>
        <v/>
      </c>
      <c r="F3678" s="17">
        <f>IF(B3678="","","outreach_sent")</f>
        <v/>
      </c>
      <c r="G3678" s="17">
        <f>IF(B3678="","","")</f>
        <v/>
      </c>
      <c r="H3678" s="17">
        <f>IF(B3678="","","")</f>
        <v/>
      </c>
      <c r="I3678" s="17">
        <f>IF(B3678="","","")</f>
        <v/>
      </c>
      <c r="J3678" s="17">
        <f>IF(B3678="","","touch_1; "&amp;IFERROR(INDEX(Clay_Brands!$A$2:$FZ$601,227,Sync!$D$10)&amp;"","")&amp;"; "&amp;IFERROR(INDEX(Clay_Brands!$A$2:$FZ$601,227,Sync!$D$9)&amp;"",""))</f>
        <v/>
      </c>
      <c r="K3678" t="inlineStr">
        <is>
          <t>brand outreach touch 1</t>
        </is>
      </c>
    </row>
    <row r="3679">
      <c r="A3679" s="17">
        <f>IF(B3679="","",B3679+(15*1000+228)/10000000)</f>
        <v/>
      </c>
      <c r="B3679" s="23">
        <f>IF(AND(IFERROR(N(INDEX(Clay_Brands!$A$2:$FZ$601,228,Sync!$D$11)),0)&gt;0,IFERROR(INDEX(Clay_Brands!$A$2:$FZ$601,228,Sync!$D$5)&amp;"","")&lt;&gt;"",OR(LEFT(IFERROR(INDEX(Clay_Brands!$A$2:$FZ$601,228,Sync!$D$5)&amp;"",""),6)&lt;&gt;"SAMPLE",Config!$B$19="Y")),IFERROR(N(INDEX(Clay_Brands!$A$2:$FZ$601,228,Sync!$D$11)),0),"")</f>
        <v/>
      </c>
      <c r="C3679" s="17">
        <f>IF(B3679="","","brand")</f>
        <v/>
      </c>
      <c r="D3679" s="17">
        <f>IF(B3679="","",IFERROR(INDEX(Clay_Brands!$A$2:$FZ$601,228,Sync!$D$5)&amp;"",""))</f>
        <v/>
      </c>
      <c r="E3679" s="17">
        <f>IF(B3679="","",IFERROR(INDEX(Clay_Brands!$A$2:$FZ$601,228,Sync!$D$6)&amp;"",""))</f>
        <v/>
      </c>
      <c r="F3679" s="17">
        <f>IF(B3679="","","outreach_sent")</f>
        <v/>
      </c>
      <c r="G3679" s="17">
        <f>IF(B3679="","","")</f>
        <v/>
      </c>
      <c r="H3679" s="17">
        <f>IF(B3679="","","")</f>
        <v/>
      </c>
      <c r="I3679" s="17">
        <f>IF(B3679="","","")</f>
        <v/>
      </c>
      <c r="J3679" s="17">
        <f>IF(B3679="","","touch_1; "&amp;IFERROR(INDEX(Clay_Brands!$A$2:$FZ$601,228,Sync!$D$10)&amp;"","")&amp;"; "&amp;IFERROR(INDEX(Clay_Brands!$A$2:$FZ$601,228,Sync!$D$9)&amp;"",""))</f>
        <v/>
      </c>
      <c r="K3679" t="inlineStr">
        <is>
          <t>brand outreach touch 1</t>
        </is>
      </c>
    </row>
    <row r="3680">
      <c r="A3680" s="17">
        <f>IF(B3680="","",B3680+(15*1000+229)/10000000)</f>
        <v/>
      </c>
      <c r="B3680" s="23">
        <f>IF(AND(IFERROR(N(INDEX(Clay_Brands!$A$2:$FZ$601,229,Sync!$D$11)),0)&gt;0,IFERROR(INDEX(Clay_Brands!$A$2:$FZ$601,229,Sync!$D$5)&amp;"","")&lt;&gt;"",OR(LEFT(IFERROR(INDEX(Clay_Brands!$A$2:$FZ$601,229,Sync!$D$5)&amp;"",""),6)&lt;&gt;"SAMPLE",Config!$B$19="Y")),IFERROR(N(INDEX(Clay_Brands!$A$2:$FZ$601,229,Sync!$D$11)),0),"")</f>
        <v/>
      </c>
      <c r="C3680" s="17">
        <f>IF(B3680="","","brand")</f>
        <v/>
      </c>
      <c r="D3680" s="17">
        <f>IF(B3680="","",IFERROR(INDEX(Clay_Brands!$A$2:$FZ$601,229,Sync!$D$5)&amp;"",""))</f>
        <v/>
      </c>
      <c r="E3680" s="17">
        <f>IF(B3680="","",IFERROR(INDEX(Clay_Brands!$A$2:$FZ$601,229,Sync!$D$6)&amp;"",""))</f>
        <v/>
      </c>
      <c r="F3680" s="17">
        <f>IF(B3680="","","outreach_sent")</f>
        <v/>
      </c>
      <c r="G3680" s="17">
        <f>IF(B3680="","","")</f>
        <v/>
      </c>
      <c r="H3680" s="17">
        <f>IF(B3680="","","")</f>
        <v/>
      </c>
      <c r="I3680" s="17">
        <f>IF(B3680="","","")</f>
        <v/>
      </c>
      <c r="J3680" s="17">
        <f>IF(B3680="","","touch_1; "&amp;IFERROR(INDEX(Clay_Brands!$A$2:$FZ$601,229,Sync!$D$10)&amp;"","")&amp;"; "&amp;IFERROR(INDEX(Clay_Brands!$A$2:$FZ$601,229,Sync!$D$9)&amp;"",""))</f>
        <v/>
      </c>
      <c r="K3680" t="inlineStr">
        <is>
          <t>brand outreach touch 1</t>
        </is>
      </c>
    </row>
    <row r="3681">
      <c r="A3681" s="17">
        <f>IF(B3681="","",B3681+(15*1000+230)/10000000)</f>
        <v/>
      </c>
      <c r="B3681" s="23">
        <f>IF(AND(IFERROR(N(INDEX(Clay_Brands!$A$2:$FZ$601,230,Sync!$D$11)),0)&gt;0,IFERROR(INDEX(Clay_Brands!$A$2:$FZ$601,230,Sync!$D$5)&amp;"","")&lt;&gt;"",OR(LEFT(IFERROR(INDEX(Clay_Brands!$A$2:$FZ$601,230,Sync!$D$5)&amp;"",""),6)&lt;&gt;"SAMPLE",Config!$B$19="Y")),IFERROR(N(INDEX(Clay_Brands!$A$2:$FZ$601,230,Sync!$D$11)),0),"")</f>
        <v/>
      </c>
      <c r="C3681" s="17">
        <f>IF(B3681="","","brand")</f>
        <v/>
      </c>
      <c r="D3681" s="17">
        <f>IF(B3681="","",IFERROR(INDEX(Clay_Brands!$A$2:$FZ$601,230,Sync!$D$5)&amp;"",""))</f>
        <v/>
      </c>
      <c r="E3681" s="17">
        <f>IF(B3681="","",IFERROR(INDEX(Clay_Brands!$A$2:$FZ$601,230,Sync!$D$6)&amp;"",""))</f>
        <v/>
      </c>
      <c r="F3681" s="17">
        <f>IF(B3681="","","outreach_sent")</f>
        <v/>
      </c>
      <c r="G3681" s="17">
        <f>IF(B3681="","","")</f>
        <v/>
      </c>
      <c r="H3681" s="17">
        <f>IF(B3681="","","")</f>
        <v/>
      </c>
      <c r="I3681" s="17">
        <f>IF(B3681="","","")</f>
        <v/>
      </c>
      <c r="J3681" s="17">
        <f>IF(B3681="","","touch_1; "&amp;IFERROR(INDEX(Clay_Brands!$A$2:$FZ$601,230,Sync!$D$10)&amp;"","")&amp;"; "&amp;IFERROR(INDEX(Clay_Brands!$A$2:$FZ$601,230,Sync!$D$9)&amp;"",""))</f>
        <v/>
      </c>
      <c r="K3681" t="inlineStr">
        <is>
          <t>brand outreach touch 1</t>
        </is>
      </c>
    </row>
    <row r="3682">
      <c r="A3682" s="17">
        <f>IF(B3682="","",B3682+(15*1000+231)/10000000)</f>
        <v/>
      </c>
      <c r="B3682" s="23">
        <f>IF(AND(IFERROR(N(INDEX(Clay_Brands!$A$2:$FZ$601,231,Sync!$D$11)),0)&gt;0,IFERROR(INDEX(Clay_Brands!$A$2:$FZ$601,231,Sync!$D$5)&amp;"","")&lt;&gt;"",OR(LEFT(IFERROR(INDEX(Clay_Brands!$A$2:$FZ$601,231,Sync!$D$5)&amp;"",""),6)&lt;&gt;"SAMPLE",Config!$B$19="Y")),IFERROR(N(INDEX(Clay_Brands!$A$2:$FZ$601,231,Sync!$D$11)),0),"")</f>
        <v/>
      </c>
      <c r="C3682" s="17">
        <f>IF(B3682="","","brand")</f>
        <v/>
      </c>
      <c r="D3682" s="17">
        <f>IF(B3682="","",IFERROR(INDEX(Clay_Brands!$A$2:$FZ$601,231,Sync!$D$5)&amp;"",""))</f>
        <v/>
      </c>
      <c r="E3682" s="17">
        <f>IF(B3682="","",IFERROR(INDEX(Clay_Brands!$A$2:$FZ$601,231,Sync!$D$6)&amp;"",""))</f>
        <v/>
      </c>
      <c r="F3682" s="17">
        <f>IF(B3682="","","outreach_sent")</f>
        <v/>
      </c>
      <c r="G3682" s="17">
        <f>IF(B3682="","","")</f>
        <v/>
      </c>
      <c r="H3682" s="17">
        <f>IF(B3682="","","")</f>
        <v/>
      </c>
      <c r="I3682" s="17">
        <f>IF(B3682="","","")</f>
        <v/>
      </c>
      <c r="J3682" s="17">
        <f>IF(B3682="","","touch_1; "&amp;IFERROR(INDEX(Clay_Brands!$A$2:$FZ$601,231,Sync!$D$10)&amp;"","")&amp;"; "&amp;IFERROR(INDEX(Clay_Brands!$A$2:$FZ$601,231,Sync!$D$9)&amp;"",""))</f>
        <v/>
      </c>
      <c r="K3682" t="inlineStr">
        <is>
          <t>brand outreach touch 1</t>
        </is>
      </c>
    </row>
    <row r="3683">
      <c r="A3683" s="17">
        <f>IF(B3683="","",B3683+(15*1000+232)/10000000)</f>
        <v/>
      </c>
      <c r="B3683" s="23">
        <f>IF(AND(IFERROR(N(INDEX(Clay_Brands!$A$2:$FZ$601,232,Sync!$D$11)),0)&gt;0,IFERROR(INDEX(Clay_Brands!$A$2:$FZ$601,232,Sync!$D$5)&amp;"","")&lt;&gt;"",OR(LEFT(IFERROR(INDEX(Clay_Brands!$A$2:$FZ$601,232,Sync!$D$5)&amp;"",""),6)&lt;&gt;"SAMPLE",Config!$B$19="Y")),IFERROR(N(INDEX(Clay_Brands!$A$2:$FZ$601,232,Sync!$D$11)),0),"")</f>
        <v/>
      </c>
      <c r="C3683" s="17">
        <f>IF(B3683="","","brand")</f>
        <v/>
      </c>
      <c r="D3683" s="17">
        <f>IF(B3683="","",IFERROR(INDEX(Clay_Brands!$A$2:$FZ$601,232,Sync!$D$5)&amp;"",""))</f>
        <v/>
      </c>
      <c r="E3683" s="17">
        <f>IF(B3683="","",IFERROR(INDEX(Clay_Brands!$A$2:$FZ$601,232,Sync!$D$6)&amp;"",""))</f>
        <v/>
      </c>
      <c r="F3683" s="17">
        <f>IF(B3683="","","outreach_sent")</f>
        <v/>
      </c>
      <c r="G3683" s="17">
        <f>IF(B3683="","","")</f>
        <v/>
      </c>
      <c r="H3683" s="17">
        <f>IF(B3683="","","")</f>
        <v/>
      </c>
      <c r="I3683" s="17">
        <f>IF(B3683="","","")</f>
        <v/>
      </c>
      <c r="J3683" s="17">
        <f>IF(B3683="","","touch_1; "&amp;IFERROR(INDEX(Clay_Brands!$A$2:$FZ$601,232,Sync!$D$10)&amp;"","")&amp;"; "&amp;IFERROR(INDEX(Clay_Brands!$A$2:$FZ$601,232,Sync!$D$9)&amp;"",""))</f>
        <v/>
      </c>
      <c r="K3683" t="inlineStr">
        <is>
          <t>brand outreach touch 1</t>
        </is>
      </c>
    </row>
    <row r="3684">
      <c r="A3684" s="17">
        <f>IF(B3684="","",B3684+(15*1000+233)/10000000)</f>
        <v/>
      </c>
      <c r="B3684" s="23">
        <f>IF(AND(IFERROR(N(INDEX(Clay_Brands!$A$2:$FZ$601,233,Sync!$D$11)),0)&gt;0,IFERROR(INDEX(Clay_Brands!$A$2:$FZ$601,233,Sync!$D$5)&amp;"","")&lt;&gt;"",OR(LEFT(IFERROR(INDEX(Clay_Brands!$A$2:$FZ$601,233,Sync!$D$5)&amp;"",""),6)&lt;&gt;"SAMPLE",Config!$B$19="Y")),IFERROR(N(INDEX(Clay_Brands!$A$2:$FZ$601,233,Sync!$D$11)),0),"")</f>
        <v/>
      </c>
      <c r="C3684" s="17">
        <f>IF(B3684="","","brand")</f>
        <v/>
      </c>
      <c r="D3684" s="17">
        <f>IF(B3684="","",IFERROR(INDEX(Clay_Brands!$A$2:$FZ$601,233,Sync!$D$5)&amp;"",""))</f>
        <v/>
      </c>
      <c r="E3684" s="17">
        <f>IF(B3684="","",IFERROR(INDEX(Clay_Brands!$A$2:$FZ$601,233,Sync!$D$6)&amp;"",""))</f>
        <v/>
      </c>
      <c r="F3684" s="17">
        <f>IF(B3684="","","outreach_sent")</f>
        <v/>
      </c>
      <c r="G3684" s="17">
        <f>IF(B3684="","","")</f>
        <v/>
      </c>
      <c r="H3684" s="17">
        <f>IF(B3684="","","")</f>
        <v/>
      </c>
      <c r="I3684" s="17">
        <f>IF(B3684="","","")</f>
        <v/>
      </c>
      <c r="J3684" s="17">
        <f>IF(B3684="","","touch_1; "&amp;IFERROR(INDEX(Clay_Brands!$A$2:$FZ$601,233,Sync!$D$10)&amp;"","")&amp;"; "&amp;IFERROR(INDEX(Clay_Brands!$A$2:$FZ$601,233,Sync!$D$9)&amp;"",""))</f>
        <v/>
      </c>
      <c r="K3684" t="inlineStr">
        <is>
          <t>brand outreach touch 1</t>
        </is>
      </c>
    </row>
    <row r="3685">
      <c r="A3685" s="17">
        <f>IF(B3685="","",B3685+(15*1000+234)/10000000)</f>
        <v/>
      </c>
      <c r="B3685" s="23">
        <f>IF(AND(IFERROR(N(INDEX(Clay_Brands!$A$2:$FZ$601,234,Sync!$D$11)),0)&gt;0,IFERROR(INDEX(Clay_Brands!$A$2:$FZ$601,234,Sync!$D$5)&amp;"","")&lt;&gt;"",OR(LEFT(IFERROR(INDEX(Clay_Brands!$A$2:$FZ$601,234,Sync!$D$5)&amp;"",""),6)&lt;&gt;"SAMPLE",Config!$B$19="Y")),IFERROR(N(INDEX(Clay_Brands!$A$2:$FZ$601,234,Sync!$D$11)),0),"")</f>
        <v/>
      </c>
      <c r="C3685" s="17">
        <f>IF(B3685="","","brand")</f>
        <v/>
      </c>
      <c r="D3685" s="17">
        <f>IF(B3685="","",IFERROR(INDEX(Clay_Brands!$A$2:$FZ$601,234,Sync!$D$5)&amp;"",""))</f>
        <v/>
      </c>
      <c r="E3685" s="17">
        <f>IF(B3685="","",IFERROR(INDEX(Clay_Brands!$A$2:$FZ$601,234,Sync!$D$6)&amp;"",""))</f>
        <v/>
      </c>
      <c r="F3685" s="17">
        <f>IF(B3685="","","outreach_sent")</f>
        <v/>
      </c>
      <c r="G3685" s="17">
        <f>IF(B3685="","","")</f>
        <v/>
      </c>
      <c r="H3685" s="17">
        <f>IF(B3685="","","")</f>
        <v/>
      </c>
      <c r="I3685" s="17">
        <f>IF(B3685="","","")</f>
        <v/>
      </c>
      <c r="J3685" s="17">
        <f>IF(B3685="","","touch_1; "&amp;IFERROR(INDEX(Clay_Brands!$A$2:$FZ$601,234,Sync!$D$10)&amp;"","")&amp;"; "&amp;IFERROR(INDEX(Clay_Brands!$A$2:$FZ$601,234,Sync!$D$9)&amp;"",""))</f>
        <v/>
      </c>
      <c r="K3685" t="inlineStr">
        <is>
          <t>brand outreach touch 1</t>
        </is>
      </c>
    </row>
    <row r="3686">
      <c r="A3686" s="17">
        <f>IF(B3686="","",B3686+(15*1000+235)/10000000)</f>
        <v/>
      </c>
      <c r="B3686" s="23">
        <f>IF(AND(IFERROR(N(INDEX(Clay_Brands!$A$2:$FZ$601,235,Sync!$D$11)),0)&gt;0,IFERROR(INDEX(Clay_Brands!$A$2:$FZ$601,235,Sync!$D$5)&amp;"","")&lt;&gt;"",OR(LEFT(IFERROR(INDEX(Clay_Brands!$A$2:$FZ$601,235,Sync!$D$5)&amp;"",""),6)&lt;&gt;"SAMPLE",Config!$B$19="Y")),IFERROR(N(INDEX(Clay_Brands!$A$2:$FZ$601,235,Sync!$D$11)),0),"")</f>
        <v/>
      </c>
      <c r="C3686" s="17">
        <f>IF(B3686="","","brand")</f>
        <v/>
      </c>
      <c r="D3686" s="17">
        <f>IF(B3686="","",IFERROR(INDEX(Clay_Brands!$A$2:$FZ$601,235,Sync!$D$5)&amp;"",""))</f>
        <v/>
      </c>
      <c r="E3686" s="17">
        <f>IF(B3686="","",IFERROR(INDEX(Clay_Brands!$A$2:$FZ$601,235,Sync!$D$6)&amp;"",""))</f>
        <v/>
      </c>
      <c r="F3686" s="17">
        <f>IF(B3686="","","outreach_sent")</f>
        <v/>
      </c>
      <c r="G3686" s="17">
        <f>IF(B3686="","","")</f>
        <v/>
      </c>
      <c r="H3686" s="17">
        <f>IF(B3686="","","")</f>
        <v/>
      </c>
      <c r="I3686" s="17">
        <f>IF(B3686="","","")</f>
        <v/>
      </c>
      <c r="J3686" s="17">
        <f>IF(B3686="","","touch_1; "&amp;IFERROR(INDEX(Clay_Brands!$A$2:$FZ$601,235,Sync!$D$10)&amp;"","")&amp;"; "&amp;IFERROR(INDEX(Clay_Brands!$A$2:$FZ$601,235,Sync!$D$9)&amp;"",""))</f>
        <v/>
      </c>
      <c r="K3686" t="inlineStr">
        <is>
          <t>brand outreach touch 1</t>
        </is>
      </c>
    </row>
    <row r="3687">
      <c r="A3687" s="17">
        <f>IF(B3687="","",B3687+(15*1000+236)/10000000)</f>
        <v/>
      </c>
      <c r="B3687" s="23">
        <f>IF(AND(IFERROR(N(INDEX(Clay_Brands!$A$2:$FZ$601,236,Sync!$D$11)),0)&gt;0,IFERROR(INDEX(Clay_Brands!$A$2:$FZ$601,236,Sync!$D$5)&amp;"","")&lt;&gt;"",OR(LEFT(IFERROR(INDEX(Clay_Brands!$A$2:$FZ$601,236,Sync!$D$5)&amp;"",""),6)&lt;&gt;"SAMPLE",Config!$B$19="Y")),IFERROR(N(INDEX(Clay_Brands!$A$2:$FZ$601,236,Sync!$D$11)),0),"")</f>
        <v/>
      </c>
      <c r="C3687" s="17">
        <f>IF(B3687="","","brand")</f>
        <v/>
      </c>
      <c r="D3687" s="17">
        <f>IF(B3687="","",IFERROR(INDEX(Clay_Brands!$A$2:$FZ$601,236,Sync!$D$5)&amp;"",""))</f>
        <v/>
      </c>
      <c r="E3687" s="17">
        <f>IF(B3687="","",IFERROR(INDEX(Clay_Brands!$A$2:$FZ$601,236,Sync!$D$6)&amp;"",""))</f>
        <v/>
      </c>
      <c r="F3687" s="17">
        <f>IF(B3687="","","outreach_sent")</f>
        <v/>
      </c>
      <c r="G3687" s="17">
        <f>IF(B3687="","","")</f>
        <v/>
      </c>
      <c r="H3687" s="17">
        <f>IF(B3687="","","")</f>
        <v/>
      </c>
      <c r="I3687" s="17">
        <f>IF(B3687="","","")</f>
        <v/>
      </c>
      <c r="J3687" s="17">
        <f>IF(B3687="","","touch_1; "&amp;IFERROR(INDEX(Clay_Brands!$A$2:$FZ$601,236,Sync!$D$10)&amp;"","")&amp;"; "&amp;IFERROR(INDEX(Clay_Brands!$A$2:$FZ$601,236,Sync!$D$9)&amp;"",""))</f>
        <v/>
      </c>
      <c r="K3687" t="inlineStr">
        <is>
          <t>brand outreach touch 1</t>
        </is>
      </c>
    </row>
    <row r="3688">
      <c r="A3688" s="17">
        <f>IF(B3688="","",B3688+(15*1000+237)/10000000)</f>
        <v/>
      </c>
      <c r="B3688" s="23">
        <f>IF(AND(IFERROR(N(INDEX(Clay_Brands!$A$2:$FZ$601,237,Sync!$D$11)),0)&gt;0,IFERROR(INDEX(Clay_Brands!$A$2:$FZ$601,237,Sync!$D$5)&amp;"","")&lt;&gt;"",OR(LEFT(IFERROR(INDEX(Clay_Brands!$A$2:$FZ$601,237,Sync!$D$5)&amp;"",""),6)&lt;&gt;"SAMPLE",Config!$B$19="Y")),IFERROR(N(INDEX(Clay_Brands!$A$2:$FZ$601,237,Sync!$D$11)),0),"")</f>
        <v/>
      </c>
      <c r="C3688" s="17">
        <f>IF(B3688="","","brand")</f>
        <v/>
      </c>
      <c r="D3688" s="17">
        <f>IF(B3688="","",IFERROR(INDEX(Clay_Brands!$A$2:$FZ$601,237,Sync!$D$5)&amp;"",""))</f>
        <v/>
      </c>
      <c r="E3688" s="17">
        <f>IF(B3688="","",IFERROR(INDEX(Clay_Brands!$A$2:$FZ$601,237,Sync!$D$6)&amp;"",""))</f>
        <v/>
      </c>
      <c r="F3688" s="17">
        <f>IF(B3688="","","outreach_sent")</f>
        <v/>
      </c>
      <c r="G3688" s="17">
        <f>IF(B3688="","","")</f>
        <v/>
      </c>
      <c r="H3688" s="17">
        <f>IF(B3688="","","")</f>
        <v/>
      </c>
      <c r="I3688" s="17">
        <f>IF(B3688="","","")</f>
        <v/>
      </c>
      <c r="J3688" s="17">
        <f>IF(B3688="","","touch_1; "&amp;IFERROR(INDEX(Clay_Brands!$A$2:$FZ$601,237,Sync!$D$10)&amp;"","")&amp;"; "&amp;IFERROR(INDEX(Clay_Brands!$A$2:$FZ$601,237,Sync!$D$9)&amp;"",""))</f>
        <v/>
      </c>
      <c r="K3688" t="inlineStr">
        <is>
          <t>brand outreach touch 1</t>
        </is>
      </c>
    </row>
    <row r="3689">
      <c r="A3689" s="17">
        <f>IF(B3689="","",B3689+(15*1000+238)/10000000)</f>
        <v/>
      </c>
      <c r="B3689" s="23">
        <f>IF(AND(IFERROR(N(INDEX(Clay_Brands!$A$2:$FZ$601,238,Sync!$D$11)),0)&gt;0,IFERROR(INDEX(Clay_Brands!$A$2:$FZ$601,238,Sync!$D$5)&amp;"","")&lt;&gt;"",OR(LEFT(IFERROR(INDEX(Clay_Brands!$A$2:$FZ$601,238,Sync!$D$5)&amp;"",""),6)&lt;&gt;"SAMPLE",Config!$B$19="Y")),IFERROR(N(INDEX(Clay_Brands!$A$2:$FZ$601,238,Sync!$D$11)),0),"")</f>
        <v/>
      </c>
      <c r="C3689" s="17">
        <f>IF(B3689="","","brand")</f>
        <v/>
      </c>
      <c r="D3689" s="17">
        <f>IF(B3689="","",IFERROR(INDEX(Clay_Brands!$A$2:$FZ$601,238,Sync!$D$5)&amp;"",""))</f>
        <v/>
      </c>
      <c r="E3689" s="17">
        <f>IF(B3689="","",IFERROR(INDEX(Clay_Brands!$A$2:$FZ$601,238,Sync!$D$6)&amp;"",""))</f>
        <v/>
      </c>
      <c r="F3689" s="17">
        <f>IF(B3689="","","outreach_sent")</f>
        <v/>
      </c>
      <c r="G3689" s="17">
        <f>IF(B3689="","","")</f>
        <v/>
      </c>
      <c r="H3689" s="17">
        <f>IF(B3689="","","")</f>
        <v/>
      </c>
      <c r="I3689" s="17">
        <f>IF(B3689="","","")</f>
        <v/>
      </c>
      <c r="J3689" s="17">
        <f>IF(B3689="","","touch_1; "&amp;IFERROR(INDEX(Clay_Brands!$A$2:$FZ$601,238,Sync!$D$10)&amp;"","")&amp;"; "&amp;IFERROR(INDEX(Clay_Brands!$A$2:$FZ$601,238,Sync!$D$9)&amp;"",""))</f>
        <v/>
      </c>
      <c r="K3689" t="inlineStr">
        <is>
          <t>brand outreach touch 1</t>
        </is>
      </c>
    </row>
    <row r="3690">
      <c r="A3690" s="17">
        <f>IF(B3690="","",B3690+(15*1000+239)/10000000)</f>
        <v/>
      </c>
      <c r="B3690" s="23">
        <f>IF(AND(IFERROR(N(INDEX(Clay_Brands!$A$2:$FZ$601,239,Sync!$D$11)),0)&gt;0,IFERROR(INDEX(Clay_Brands!$A$2:$FZ$601,239,Sync!$D$5)&amp;"","")&lt;&gt;"",OR(LEFT(IFERROR(INDEX(Clay_Brands!$A$2:$FZ$601,239,Sync!$D$5)&amp;"",""),6)&lt;&gt;"SAMPLE",Config!$B$19="Y")),IFERROR(N(INDEX(Clay_Brands!$A$2:$FZ$601,239,Sync!$D$11)),0),"")</f>
        <v/>
      </c>
      <c r="C3690" s="17">
        <f>IF(B3690="","","brand")</f>
        <v/>
      </c>
      <c r="D3690" s="17">
        <f>IF(B3690="","",IFERROR(INDEX(Clay_Brands!$A$2:$FZ$601,239,Sync!$D$5)&amp;"",""))</f>
        <v/>
      </c>
      <c r="E3690" s="17">
        <f>IF(B3690="","",IFERROR(INDEX(Clay_Brands!$A$2:$FZ$601,239,Sync!$D$6)&amp;"",""))</f>
        <v/>
      </c>
      <c r="F3690" s="17">
        <f>IF(B3690="","","outreach_sent")</f>
        <v/>
      </c>
      <c r="G3690" s="17">
        <f>IF(B3690="","","")</f>
        <v/>
      </c>
      <c r="H3690" s="17">
        <f>IF(B3690="","","")</f>
        <v/>
      </c>
      <c r="I3690" s="17">
        <f>IF(B3690="","","")</f>
        <v/>
      </c>
      <c r="J3690" s="17">
        <f>IF(B3690="","","touch_1; "&amp;IFERROR(INDEX(Clay_Brands!$A$2:$FZ$601,239,Sync!$D$10)&amp;"","")&amp;"; "&amp;IFERROR(INDEX(Clay_Brands!$A$2:$FZ$601,239,Sync!$D$9)&amp;"",""))</f>
        <v/>
      </c>
      <c r="K3690" t="inlineStr">
        <is>
          <t>brand outreach touch 1</t>
        </is>
      </c>
    </row>
    <row r="3691">
      <c r="A3691" s="17">
        <f>IF(B3691="","",B3691+(15*1000+240)/10000000)</f>
        <v/>
      </c>
      <c r="B3691" s="23">
        <f>IF(AND(IFERROR(N(INDEX(Clay_Brands!$A$2:$FZ$601,240,Sync!$D$11)),0)&gt;0,IFERROR(INDEX(Clay_Brands!$A$2:$FZ$601,240,Sync!$D$5)&amp;"","")&lt;&gt;"",OR(LEFT(IFERROR(INDEX(Clay_Brands!$A$2:$FZ$601,240,Sync!$D$5)&amp;"",""),6)&lt;&gt;"SAMPLE",Config!$B$19="Y")),IFERROR(N(INDEX(Clay_Brands!$A$2:$FZ$601,240,Sync!$D$11)),0),"")</f>
        <v/>
      </c>
      <c r="C3691" s="17">
        <f>IF(B3691="","","brand")</f>
        <v/>
      </c>
      <c r="D3691" s="17">
        <f>IF(B3691="","",IFERROR(INDEX(Clay_Brands!$A$2:$FZ$601,240,Sync!$D$5)&amp;"",""))</f>
        <v/>
      </c>
      <c r="E3691" s="17">
        <f>IF(B3691="","",IFERROR(INDEX(Clay_Brands!$A$2:$FZ$601,240,Sync!$D$6)&amp;"",""))</f>
        <v/>
      </c>
      <c r="F3691" s="17">
        <f>IF(B3691="","","outreach_sent")</f>
        <v/>
      </c>
      <c r="G3691" s="17">
        <f>IF(B3691="","","")</f>
        <v/>
      </c>
      <c r="H3691" s="17">
        <f>IF(B3691="","","")</f>
        <v/>
      </c>
      <c r="I3691" s="17">
        <f>IF(B3691="","","")</f>
        <v/>
      </c>
      <c r="J3691" s="17">
        <f>IF(B3691="","","touch_1; "&amp;IFERROR(INDEX(Clay_Brands!$A$2:$FZ$601,240,Sync!$D$10)&amp;"","")&amp;"; "&amp;IFERROR(INDEX(Clay_Brands!$A$2:$FZ$601,240,Sync!$D$9)&amp;"",""))</f>
        <v/>
      </c>
      <c r="K3691" t="inlineStr">
        <is>
          <t>brand outreach touch 1</t>
        </is>
      </c>
    </row>
    <row r="3692">
      <c r="A3692" s="17">
        <f>IF(B3692="","",B3692+(15*1000+241)/10000000)</f>
        <v/>
      </c>
      <c r="B3692" s="23">
        <f>IF(AND(IFERROR(N(INDEX(Clay_Brands!$A$2:$FZ$601,241,Sync!$D$11)),0)&gt;0,IFERROR(INDEX(Clay_Brands!$A$2:$FZ$601,241,Sync!$D$5)&amp;"","")&lt;&gt;"",OR(LEFT(IFERROR(INDEX(Clay_Brands!$A$2:$FZ$601,241,Sync!$D$5)&amp;"",""),6)&lt;&gt;"SAMPLE",Config!$B$19="Y")),IFERROR(N(INDEX(Clay_Brands!$A$2:$FZ$601,241,Sync!$D$11)),0),"")</f>
        <v/>
      </c>
      <c r="C3692" s="17">
        <f>IF(B3692="","","brand")</f>
        <v/>
      </c>
      <c r="D3692" s="17">
        <f>IF(B3692="","",IFERROR(INDEX(Clay_Brands!$A$2:$FZ$601,241,Sync!$D$5)&amp;"",""))</f>
        <v/>
      </c>
      <c r="E3692" s="17">
        <f>IF(B3692="","",IFERROR(INDEX(Clay_Brands!$A$2:$FZ$601,241,Sync!$D$6)&amp;"",""))</f>
        <v/>
      </c>
      <c r="F3692" s="17">
        <f>IF(B3692="","","outreach_sent")</f>
        <v/>
      </c>
      <c r="G3692" s="17">
        <f>IF(B3692="","","")</f>
        <v/>
      </c>
      <c r="H3692" s="17">
        <f>IF(B3692="","","")</f>
        <v/>
      </c>
      <c r="I3692" s="17">
        <f>IF(B3692="","","")</f>
        <v/>
      </c>
      <c r="J3692" s="17">
        <f>IF(B3692="","","touch_1; "&amp;IFERROR(INDEX(Clay_Brands!$A$2:$FZ$601,241,Sync!$D$10)&amp;"","")&amp;"; "&amp;IFERROR(INDEX(Clay_Brands!$A$2:$FZ$601,241,Sync!$D$9)&amp;"",""))</f>
        <v/>
      </c>
      <c r="K3692" t="inlineStr">
        <is>
          <t>brand outreach touch 1</t>
        </is>
      </c>
    </row>
    <row r="3693">
      <c r="A3693" s="17">
        <f>IF(B3693="","",B3693+(15*1000+242)/10000000)</f>
        <v/>
      </c>
      <c r="B3693" s="23">
        <f>IF(AND(IFERROR(N(INDEX(Clay_Brands!$A$2:$FZ$601,242,Sync!$D$11)),0)&gt;0,IFERROR(INDEX(Clay_Brands!$A$2:$FZ$601,242,Sync!$D$5)&amp;"","")&lt;&gt;"",OR(LEFT(IFERROR(INDEX(Clay_Brands!$A$2:$FZ$601,242,Sync!$D$5)&amp;"",""),6)&lt;&gt;"SAMPLE",Config!$B$19="Y")),IFERROR(N(INDEX(Clay_Brands!$A$2:$FZ$601,242,Sync!$D$11)),0),"")</f>
        <v/>
      </c>
      <c r="C3693" s="17">
        <f>IF(B3693="","","brand")</f>
        <v/>
      </c>
      <c r="D3693" s="17">
        <f>IF(B3693="","",IFERROR(INDEX(Clay_Brands!$A$2:$FZ$601,242,Sync!$D$5)&amp;"",""))</f>
        <v/>
      </c>
      <c r="E3693" s="17">
        <f>IF(B3693="","",IFERROR(INDEX(Clay_Brands!$A$2:$FZ$601,242,Sync!$D$6)&amp;"",""))</f>
        <v/>
      </c>
      <c r="F3693" s="17">
        <f>IF(B3693="","","outreach_sent")</f>
        <v/>
      </c>
      <c r="G3693" s="17">
        <f>IF(B3693="","","")</f>
        <v/>
      </c>
      <c r="H3693" s="17">
        <f>IF(B3693="","","")</f>
        <v/>
      </c>
      <c r="I3693" s="17">
        <f>IF(B3693="","","")</f>
        <v/>
      </c>
      <c r="J3693" s="17">
        <f>IF(B3693="","","touch_1; "&amp;IFERROR(INDEX(Clay_Brands!$A$2:$FZ$601,242,Sync!$D$10)&amp;"","")&amp;"; "&amp;IFERROR(INDEX(Clay_Brands!$A$2:$FZ$601,242,Sync!$D$9)&amp;"",""))</f>
        <v/>
      </c>
      <c r="K3693" t="inlineStr">
        <is>
          <t>brand outreach touch 1</t>
        </is>
      </c>
    </row>
    <row r="3694">
      <c r="A3694" s="17">
        <f>IF(B3694="","",B3694+(15*1000+243)/10000000)</f>
        <v/>
      </c>
      <c r="B3694" s="23">
        <f>IF(AND(IFERROR(N(INDEX(Clay_Brands!$A$2:$FZ$601,243,Sync!$D$11)),0)&gt;0,IFERROR(INDEX(Clay_Brands!$A$2:$FZ$601,243,Sync!$D$5)&amp;"","")&lt;&gt;"",OR(LEFT(IFERROR(INDEX(Clay_Brands!$A$2:$FZ$601,243,Sync!$D$5)&amp;"",""),6)&lt;&gt;"SAMPLE",Config!$B$19="Y")),IFERROR(N(INDEX(Clay_Brands!$A$2:$FZ$601,243,Sync!$D$11)),0),"")</f>
        <v/>
      </c>
      <c r="C3694" s="17">
        <f>IF(B3694="","","brand")</f>
        <v/>
      </c>
      <c r="D3694" s="17">
        <f>IF(B3694="","",IFERROR(INDEX(Clay_Brands!$A$2:$FZ$601,243,Sync!$D$5)&amp;"",""))</f>
        <v/>
      </c>
      <c r="E3694" s="17">
        <f>IF(B3694="","",IFERROR(INDEX(Clay_Brands!$A$2:$FZ$601,243,Sync!$D$6)&amp;"",""))</f>
        <v/>
      </c>
      <c r="F3694" s="17">
        <f>IF(B3694="","","outreach_sent")</f>
        <v/>
      </c>
      <c r="G3694" s="17">
        <f>IF(B3694="","","")</f>
        <v/>
      </c>
      <c r="H3694" s="17">
        <f>IF(B3694="","","")</f>
        <v/>
      </c>
      <c r="I3694" s="17">
        <f>IF(B3694="","","")</f>
        <v/>
      </c>
      <c r="J3694" s="17">
        <f>IF(B3694="","","touch_1; "&amp;IFERROR(INDEX(Clay_Brands!$A$2:$FZ$601,243,Sync!$D$10)&amp;"","")&amp;"; "&amp;IFERROR(INDEX(Clay_Brands!$A$2:$FZ$601,243,Sync!$D$9)&amp;"",""))</f>
        <v/>
      </c>
      <c r="K3694" t="inlineStr">
        <is>
          <t>brand outreach touch 1</t>
        </is>
      </c>
    </row>
    <row r="3695">
      <c r="A3695" s="17">
        <f>IF(B3695="","",B3695+(15*1000+244)/10000000)</f>
        <v/>
      </c>
      <c r="B3695" s="23">
        <f>IF(AND(IFERROR(N(INDEX(Clay_Brands!$A$2:$FZ$601,244,Sync!$D$11)),0)&gt;0,IFERROR(INDEX(Clay_Brands!$A$2:$FZ$601,244,Sync!$D$5)&amp;"","")&lt;&gt;"",OR(LEFT(IFERROR(INDEX(Clay_Brands!$A$2:$FZ$601,244,Sync!$D$5)&amp;"",""),6)&lt;&gt;"SAMPLE",Config!$B$19="Y")),IFERROR(N(INDEX(Clay_Brands!$A$2:$FZ$601,244,Sync!$D$11)),0),"")</f>
        <v/>
      </c>
      <c r="C3695" s="17">
        <f>IF(B3695="","","brand")</f>
        <v/>
      </c>
      <c r="D3695" s="17">
        <f>IF(B3695="","",IFERROR(INDEX(Clay_Brands!$A$2:$FZ$601,244,Sync!$D$5)&amp;"",""))</f>
        <v/>
      </c>
      <c r="E3695" s="17">
        <f>IF(B3695="","",IFERROR(INDEX(Clay_Brands!$A$2:$FZ$601,244,Sync!$D$6)&amp;"",""))</f>
        <v/>
      </c>
      <c r="F3695" s="17">
        <f>IF(B3695="","","outreach_sent")</f>
        <v/>
      </c>
      <c r="G3695" s="17">
        <f>IF(B3695="","","")</f>
        <v/>
      </c>
      <c r="H3695" s="17">
        <f>IF(B3695="","","")</f>
        <v/>
      </c>
      <c r="I3695" s="17">
        <f>IF(B3695="","","")</f>
        <v/>
      </c>
      <c r="J3695" s="17">
        <f>IF(B3695="","","touch_1; "&amp;IFERROR(INDEX(Clay_Brands!$A$2:$FZ$601,244,Sync!$D$10)&amp;"","")&amp;"; "&amp;IFERROR(INDEX(Clay_Brands!$A$2:$FZ$601,244,Sync!$D$9)&amp;"",""))</f>
        <v/>
      </c>
      <c r="K3695" t="inlineStr">
        <is>
          <t>brand outreach touch 1</t>
        </is>
      </c>
    </row>
    <row r="3696">
      <c r="A3696" s="17">
        <f>IF(B3696="","",B3696+(15*1000+245)/10000000)</f>
        <v/>
      </c>
      <c r="B3696" s="23">
        <f>IF(AND(IFERROR(N(INDEX(Clay_Brands!$A$2:$FZ$601,245,Sync!$D$11)),0)&gt;0,IFERROR(INDEX(Clay_Brands!$A$2:$FZ$601,245,Sync!$D$5)&amp;"","")&lt;&gt;"",OR(LEFT(IFERROR(INDEX(Clay_Brands!$A$2:$FZ$601,245,Sync!$D$5)&amp;"",""),6)&lt;&gt;"SAMPLE",Config!$B$19="Y")),IFERROR(N(INDEX(Clay_Brands!$A$2:$FZ$601,245,Sync!$D$11)),0),"")</f>
        <v/>
      </c>
      <c r="C3696" s="17">
        <f>IF(B3696="","","brand")</f>
        <v/>
      </c>
      <c r="D3696" s="17">
        <f>IF(B3696="","",IFERROR(INDEX(Clay_Brands!$A$2:$FZ$601,245,Sync!$D$5)&amp;"",""))</f>
        <v/>
      </c>
      <c r="E3696" s="17">
        <f>IF(B3696="","",IFERROR(INDEX(Clay_Brands!$A$2:$FZ$601,245,Sync!$D$6)&amp;"",""))</f>
        <v/>
      </c>
      <c r="F3696" s="17">
        <f>IF(B3696="","","outreach_sent")</f>
        <v/>
      </c>
      <c r="G3696" s="17">
        <f>IF(B3696="","","")</f>
        <v/>
      </c>
      <c r="H3696" s="17">
        <f>IF(B3696="","","")</f>
        <v/>
      </c>
      <c r="I3696" s="17">
        <f>IF(B3696="","","")</f>
        <v/>
      </c>
      <c r="J3696" s="17">
        <f>IF(B3696="","","touch_1; "&amp;IFERROR(INDEX(Clay_Brands!$A$2:$FZ$601,245,Sync!$D$10)&amp;"","")&amp;"; "&amp;IFERROR(INDEX(Clay_Brands!$A$2:$FZ$601,245,Sync!$D$9)&amp;"",""))</f>
        <v/>
      </c>
      <c r="K3696" t="inlineStr">
        <is>
          <t>brand outreach touch 1</t>
        </is>
      </c>
    </row>
    <row r="3697">
      <c r="A3697" s="17">
        <f>IF(B3697="","",B3697+(15*1000+246)/10000000)</f>
        <v/>
      </c>
      <c r="B3697" s="23">
        <f>IF(AND(IFERROR(N(INDEX(Clay_Brands!$A$2:$FZ$601,246,Sync!$D$11)),0)&gt;0,IFERROR(INDEX(Clay_Brands!$A$2:$FZ$601,246,Sync!$D$5)&amp;"","")&lt;&gt;"",OR(LEFT(IFERROR(INDEX(Clay_Brands!$A$2:$FZ$601,246,Sync!$D$5)&amp;"",""),6)&lt;&gt;"SAMPLE",Config!$B$19="Y")),IFERROR(N(INDEX(Clay_Brands!$A$2:$FZ$601,246,Sync!$D$11)),0),"")</f>
        <v/>
      </c>
      <c r="C3697" s="17">
        <f>IF(B3697="","","brand")</f>
        <v/>
      </c>
      <c r="D3697" s="17">
        <f>IF(B3697="","",IFERROR(INDEX(Clay_Brands!$A$2:$FZ$601,246,Sync!$D$5)&amp;"",""))</f>
        <v/>
      </c>
      <c r="E3697" s="17">
        <f>IF(B3697="","",IFERROR(INDEX(Clay_Brands!$A$2:$FZ$601,246,Sync!$D$6)&amp;"",""))</f>
        <v/>
      </c>
      <c r="F3697" s="17">
        <f>IF(B3697="","","outreach_sent")</f>
        <v/>
      </c>
      <c r="G3697" s="17">
        <f>IF(B3697="","","")</f>
        <v/>
      </c>
      <c r="H3697" s="17">
        <f>IF(B3697="","","")</f>
        <v/>
      </c>
      <c r="I3697" s="17">
        <f>IF(B3697="","","")</f>
        <v/>
      </c>
      <c r="J3697" s="17">
        <f>IF(B3697="","","touch_1; "&amp;IFERROR(INDEX(Clay_Brands!$A$2:$FZ$601,246,Sync!$D$10)&amp;"","")&amp;"; "&amp;IFERROR(INDEX(Clay_Brands!$A$2:$FZ$601,246,Sync!$D$9)&amp;"",""))</f>
        <v/>
      </c>
      <c r="K3697" t="inlineStr">
        <is>
          <t>brand outreach touch 1</t>
        </is>
      </c>
    </row>
    <row r="3698">
      <c r="A3698" s="17">
        <f>IF(B3698="","",B3698+(15*1000+247)/10000000)</f>
        <v/>
      </c>
      <c r="B3698" s="23">
        <f>IF(AND(IFERROR(N(INDEX(Clay_Brands!$A$2:$FZ$601,247,Sync!$D$11)),0)&gt;0,IFERROR(INDEX(Clay_Brands!$A$2:$FZ$601,247,Sync!$D$5)&amp;"","")&lt;&gt;"",OR(LEFT(IFERROR(INDEX(Clay_Brands!$A$2:$FZ$601,247,Sync!$D$5)&amp;"",""),6)&lt;&gt;"SAMPLE",Config!$B$19="Y")),IFERROR(N(INDEX(Clay_Brands!$A$2:$FZ$601,247,Sync!$D$11)),0),"")</f>
        <v/>
      </c>
      <c r="C3698" s="17">
        <f>IF(B3698="","","brand")</f>
        <v/>
      </c>
      <c r="D3698" s="17">
        <f>IF(B3698="","",IFERROR(INDEX(Clay_Brands!$A$2:$FZ$601,247,Sync!$D$5)&amp;"",""))</f>
        <v/>
      </c>
      <c r="E3698" s="17">
        <f>IF(B3698="","",IFERROR(INDEX(Clay_Brands!$A$2:$FZ$601,247,Sync!$D$6)&amp;"",""))</f>
        <v/>
      </c>
      <c r="F3698" s="17">
        <f>IF(B3698="","","outreach_sent")</f>
        <v/>
      </c>
      <c r="G3698" s="17">
        <f>IF(B3698="","","")</f>
        <v/>
      </c>
      <c r="H3698" s="17">
        <f>IF(B3698="","","")</f>
        <v/>
      </c>
      <c r="I3698" s="17">
        <f>IF(B3698="","","")</f>
        <v/>
      </c>
      <c r="J3698" s="17">
        <f>IF(B3698="","","touch_1; "&amp;IFERROR(INDEX(Clay_Brands!$A$2:$FZ$601,247,Sync!$D$10)&amp;"","")&amp;"; "&amp;IFERROR(INDEX(Clay_Brands!$A$2:$FZ$601,247,Sync!$D$9)&amp;"",""))</f>
        <v/>
      </c>
      <c r="K3698" t="inlineStr">
        <is>
          <t>brand outreach touch 1</t>
        </is>
      </c>
    </row>
    <row r="3699">
      <c r="A3699" s="17">
        <f>IF(B3699="","",B3699+(15*1000+248)/10000000)</f>
        <v/>
      </c>
      <c r="B3699" s="23">
        <f>IF(AND(IFERROR(N(INDEX(Clay_Brands!$A$2:$FZ$601,248,Sync!$D$11)),0)&gt;0,IFERROR(INDEX(Clay_Brands!$A$2:$FZ$601,248,Sync!$D$5)&amp;"","")&lt;&gt;"",OR(LEFT(IFERROR(INDEX(Clay_Brands!$A$2:$FZ$601,248,Sync!$D$5)&amp;"",""),6)&lt;&gt;"SAMPLE",Config!$B$19="Y")),IFERROR(N(INDEX(Clay_Brands!$A$2:$FZ$601,248,Sync!$D$11)),0),"")</f>
        <v/>
      </c>
      <c r="C3699" s="17">
        <f>IF(B3699="","","brand")</f>
        <v/>
      </c>
      <c r="D3699" s="17">
        <f>IF(B3699="","",IFERROR(INDEX(Clay_Brands!$A$2:$FZ$601,248,Sync!$D$5)&amp;"",""))</f>
        <v/>
      </c>
      <c r="E3699" s="17">
        <f>IF(B3699="","",IFERROR(INDEX(Clay_Brands!$A$2:$FZ$601,248,Sync!$D$6)&amp;"",""))</f>
        <v/>
      </c>
      <c r="F3699" s="17">
        <f>IF(B3699="","","outreach_sent")</f>
        <v/>
      </c>
      <c r="G3699" s="17">
        <f>IF(B3699="","","")</f>
        <v/>
      </c>
      <c r="H3699" s="17">
        <f>IF(B3699="","","")</f>
        <v/>
      </c>
      <c r="I3699" s="17">
        <f>IF(B3699="","","")</f>
        <v/>
      </c>
      <c r="J3699" s="17">
        <f>IF(B3699="","","touch_1; "&amp;IFERROR(INDEX(Clay_Brands!$A$2:$FZ$601,248,Sync!$D$10)&amp;"","")&amp;"; "&amp;IFERROR(INDEX(Clay_Brands!$A$2:$FZ$601,248,Sync!$D$9)&amp;"",""))</f>
        <v/>
      </c>
      <c r="K3699" t="inlineStr">
        <is>
          <t>brand outreach touch 1</t>
        </is>
      </c>
    </row>
    <row r="3700">
      <c r="A3700" s="17">
        <f>IF(B3700="","",B3700+(15*1000+249)/10000000)</f>
        <v/>
      </c>
      <c r="B3700" s="23">
        <f>IF(AND(IFERROR(N(INDEX(Clay_Brands!$A$2:$FZ$601,249,Sync!$D$11)),0)&gt;0,IFERROR(INDEX(Clay_Brands!$A$2:$FZ$601,249,Sync!$D$5)&amp;"","")&lt;&gt;"",OR(LEFT(IFERROR(INDEX(Clay_Brands!$A$2:$FZ$601,249,Sync!$D$5)&amp;"",""),6)&lt;&gt;"SAMPLE",Config!$B$19="Y")),IFERROR(N(INDEX(Clay_Brands!$A$2:$FZ$601,249,Sync!$D$11)),0),"")</f>
        <v/>
      </c>
      <c r="C3700" s="17">
        <f>IF(B3700="","","brand")</f>
        <v/>
      </c>
      <c r="D3700" s="17">
        <f>IF(B3700="","",IFERROR(INDEX(Clay_Brands!$A$2:$FZ$601,249,Sync!$D$5)&amp;"",""))</f>
        <v/>
      </c>
      <c r="E3700" s="17">
        <f>IF(B3700="","",IFERROR(INDEX(Clay_Brands!$A$2:$FZ$601,249,Sync!$D$6)&amp;"",""))</f>
        <v/>
      </c>
      <c r="F3700" s="17">
        <f>IF(B3700="","","outreach_sent")</f>
        <v/>
      </c>
      <c r="G3700" s="17">
        <f>IF(B3700="","","")</f>
        <v/>
      </c>
      <c r="H3700" s="17">
        <f>IF(B3700="","","")</f>
        <v/>
      </c>
      <c r="I3700" s="17">
        <f>IF(B3700="","","")</f>
        <v/>
      </c>
      <c r="J3700" s="17">
        <f>IF(B3700="","","touch_1; "&amp;IFERROR(INDEX(Clay_Brands!$A$2:$FZ$601,249,Sync!$D$10)&amp;"","")&amp;"; "&amp;IFERROR(INDEX(Clay_Brands!$A$2:$FZ$601,249,Sync!$D$9)&amp;"",""))</f>
        <v/>
      </c>
      <c r="K3700" t="inlineStr">
        <is>
          <t>brand outreach touch 1</t>
        </is>
      </c>
    </row>
    <row r="3701">
      <c r="A3701" s="17">
        <f>IF(B3701="","",B3701+(15*1000+250)/10000000)</f>
        <v/>
      </c>
      <c r="B3701" s="23">
        <f>IF(AND(IFERROR(N(INDEX(Clay_Brands!$A$2:$FZ$601,250,Sync!$D$11)),0)&gt;0,IFERROR(INDEX(Clay_Brands!$A$2:$FZ$601,250,Sync!$D$5)&amp;"","")&lt;&gt;"",OR(LEFT(IFERROR(INDEX(Clay_Brands!$A$2:$FZ$601,250,Sync!$D$5)&amp;"",""),6)&lt;&gt;"SAMPLE",Config!$B$19="Y")),IFERROR(N(INDEX(Clay_Brands!$A$2:$FZ$601,250,Sync!$D$11)),0),"")</f>
        <v/>
      </c>
      <c r="C3701" s="17">
        <f>IF(B3701="","","brand")</f>
        <v/>
      </c>
      <c r="D3701" s="17">
        <f>IF(B3701="","",IFERROR(INDEX(Clay_Brands!$A$2:$FZ$601,250,Sync!$D$5)&amp;"",""))</f>
        <v/>
      </c>
      <c r="E3701" s="17">
        <f>IF(B3701="","",IFERROR(INDEX(Clay_Brands!$A$2:$FZ$601,250,Sync!$D$6)&amp;"",""))</f>
        <v/>
      </c>
      <c r="F3701" s="17">
        <f>IF(B3701="","","outreach_sent")</f>
        <v/>
      </c>
      <c r="G3701" s="17">
        <f>IF(B3701="","","")</f>
        <v/>
      </c>
      <c r="H3701" s="17">
        <f>IF(B3701="","","")</f>
        <v/>
      </c>
      <c r="I3701" s="17">
        <f>IF(B3701="","","")</f>
        <v/>
      </c>
      <c r="J3701" s="17">
        <f>IF(B3701="","","touch_1; "&amp;IFERROR(INDEX(Clay_Brands!$A$2:$FZ$601,250,Sync!$D$10)&amp;"","")&amp;"; "&amp;IFERROR(INDEX(Clay_Brands!$A$2:$FZ$601,250,Sync!$D$9)&amp;"",""))</f>
        <v/>
      </c>
      <c r="K3701" t="inlineStr">
        <is>
          <t>brand outreach touch 1</t>
        </is>
      </c>
    </row>
    <row r="3702">
      <c r="A3702" s="17">
        <f>IF(B3702="","",B3702+(15*1000+251)/10000000)</f>
        <v/>
      </c>
      <c r="B3702" s="23">
        <f>IF(AND(IFERROR(N(INDEX(Clay_Brands!$A$2:$FZ$601,251,Sync!$D$11)),0)&gt;0,IFERROR(INDEX(Clay_Brands!$A$2:$FZ$601,251,Sync!$D$5)&amp;"","")&lt;&gt;"",OR(LEFT(IFERROR(INDEX(Clay_Brands!$A$2:$FZ$601,251,Sync!$D$5)&amp;"",""),6)&lt;&gt;"SAMPLE",Config!$B$19="Y")),IFERROR(N(INDEX(Clay_Brands!$A$2:$FZ$601,251,Sync!$D$11)),0),"")</f>
        <v/>
      </c>
      <c r="C3702" s="17">
        <f>IF(B3702="","","brand")</f>
        <v/>
      </c>
      <c r="D3702" s="17">
        <f>IF(B3702="","",IFERROR(INDEX(Clay_Brands!$A$2:$FZ$601,251,Sync!$D$5)&amp;"",""))</f>
        <v/>
      </c>
      <c r="E3702" s="17">
        <f>IF(B3702="","",IFERROR(INDEX(Clay_Brands!$A$2:$FZ$601,251,Sync!$D$6)&amp;"",""))</f>
        <v/>
      </c>
      <c r="F3702" s="17">
        <f>IF(B3702="","","outreach_sent")</f>
        <v/>
      </c>
      <c r="G3702" s="17">
        <f>IF(B3702="","","")</f>
        <v/>
      </c>
      <c r="H3702" s="17">
        <f>IF(B3702="","","")</f>
        <v/>
      </c>
      <c r="I3702" s="17">
        <f>IF(B3702="","","")</f>
        <v/>
      </c>
      <c r="J3702" s="17">
        <f>IF(B3702="","","touch_1; "&amp;IFERROR(INDEX(Clay_Brands!$A$2:$FZ$601,251,Sync!$D$10)&amp;"","")&amp;"; "&amp;IFERROR(INDEX(Clay_Brands!$A$2:$FZ$601,251,Sync!$D$9)&amp;"",""))</f>
        <v/>
      </c>
      <c r="K3702" t="inlineStr">
        <is>
          <t>brand outreach touch 1</t>
        </is>
      </c>
    </row>
    <row r="3703">
      <c r="A3703" s="17">
        <f>IF(B3703="","",B3703+(15*1000+252)/10000000)</f>
        <v/>
      </c>
      <c r="B3703" s="23">
        <f>IF(AND(IFERROR(N(INDEX(Clay_Brands!$A$2:$FZ$601,252,Sync!$D$11)),0)&gt;0,IFERROR(INDEX(Clay_Brands!$A$2:$FZ$601,252,Sync!$D$5)&amp;"","")&lt;&gt;"",OR(LEFT(IFERROR(INDEX(Clay_Brands!$A$2:$FZ$601,252,Sync!$D$5)&amp;"",""),6)&lt;&gt;"SAMPLE",Config!$B$19="Y")),IFERROR(N(INDEX(Clay_Brands!$A$2:$FZ$601,252,Sync!$D$11)),0),"")</f>
        <v/>
      </c>
      <c r="C3703" s="17">
        <f>IF(B3703="","","brand")</f>
        <v/>
      </c>
      <c r="D3703" s="17">
        <f>IF(B3703="","",IFERROR(INDEX(Clay_Brands!$A$2:$FZ$601,252,Sync!$D$5)&amp;"",""))</f>
        <v/>
      </c>
      <c r="E3703" s="17">
        <f>IF(B3703="","",IFERROR(INDEX(Clay_Brands!$A$2:$FZ$601,252,Sync!$D$6)&amp;"",""))</f>
        <v/>
      </c>
      <c r="F3703" s="17">
        <f>IF(B3703="","","outreach_sent")</f>
        <v/>
      </c>
      <c r="G3703" s="17">
        <f>IF(B3703="","","")</f>
        <v/>
      </c>
      <c r="H3703" s="17">
        <f>IF(B3703="","","")</f>
        <v/>
      </c>
      <c r="I3703" s="17">
        <f>IF(B3703="","","")</f>
        <v/>
      </c>
      <c r="J3703" s="17">
        <f>IF(B3703="","","touch_1; "&amp;IFERROR(INDEX(Clay_Brands!$A$2:$FZ$601,252,Sync!$D$10)&amp;"","")&amp;"; "&amp;IFERROR(INDEX(Clay_Brands!$A$2:$FZ$601,252,Sync!$D$9)&amp;"",""))</f>
        <v/>
      </c>
      <c r="K3703" t="inlineStr">
        <is>
          <t>brand outreach touch 1</t>
        </is>
      </c>
    </row>
    <row r="3704">
      <c r="A3704" s="17">
        <f>IF(B3704="","",B3704+(15*1000+253)/10000000)</f>
        <v/>
      </c>
      <c r="B3704" s="23">
        <f>IF(AND(IFERROR(N(INDEX(Clay_Brands!$A$2:$FZ$601,253,Sync!$D$11)),0)&gt;0,IFERROR(INDEX(Clay_Brands!$A$2:$FZ$601,253,Sync!$D$5)&amp;"","")&lt;&gt;"",OR(LEFT(IFERROR(INDEX(Clay_Brands!$A$2:$FZ$601,253,Sync!$D$5)&amp;"",""),6)&lt;&gt;"SAMPLE",Config!$B$19="Y")),IFERROR(N(INDEX(Clay_Brands!$A$2:$FZ$601,253,Sync!$D$11)),0),"")</f>
        <v/>
      </c>
      <c r="C3704" s="17">
        <f>IF(B3704="","","brand")</f>
        <v/>
      </c>
      <c r="D3704" s="17">
        <f>IF(B3704="","",IFERROR(INDEX(Clay_Brands!$A$2:$FZ$601,253,Sync!$D$5)&amp;"",""))</f>
        <v/>
      </c>
      <c r="E3704" s="17">
        <f>IF(B3704="","",IFERROR(INDEX(Clay_Brands!$A$2:$FZ$601,253,Sync!$D$6)&amp;"",""))</f>
        <v/>
      </c>
      <c r="F3704" s="17">
        <f>IF(B3704="","","outreach_sent")</f>
        <v/>
      </c>
      <c r="G3704" s="17">
        <f>IF(B3704="","","")</f>
        <v/>
      </c>
      <c r="H3704" s="17">
        <f>IF(B3704="","","")</f>
        <v/>
      </c>
      <c r="I3704" s="17">
        <f>IF(B3704="","","")</f>
        <v/>
      </c>
      <c r="J3704" s="17">
        <f>IF(B3704="","","touch_1; "&amp;IFERROR(INDEX(Clay_Brands!$A$2:$FZ$601,253,Sync!$D$10)&amp;"","")&amp;"; "&amp;IFERROR(INDEX(Clay_Brands!$A$2:$FZ$601,253,Sync!$D$9)&amp;"",""))</f>
        <v/>
      </c>
      <c r="K3704" t="inlineStr">
        <is>
          <t>brand outreach touch 1</t>
        </is>
      </c>
    </row>
    <row r="3705">
      <c r="A3705" s="17">
        <f>IF(B3705="","",B3705+(15*1000+254)/10000000)</f>
        <v/>
      </c>
      <c r="B3705" s="23">
        <f>IF(AND(IFERROR(N(INDEX(Clay_Brands!$A$2:$FZ$601,254,Sync!$D$11)),0)&gt;0,IFERROR(INDEX(Clay_Brands!$A$2:$FZ$601,254,Sync!$D$5)&amp;"","")&lt;&gt;"",OR(LEFT(IFERROR(INDEX(Clay_Brands!$A$2:$FZ$601,254,Sync!$D$5)&amp;"",""),6)&lt;&gt;"SAMPLE",Config!$B$19="Y")),IFERROR(N(INDEX(Clay_Brands!$A$2:$FZ$601,254,Sync!$D$11)),0),"")</f>
        <v/>
      </c>
      <c r="C3705" s="17">
        <f>IF(B3705="","","brand")</f>
        <v/>
      </c>
      <c r="D3705" s="17">
        <f>IF(B3705="","",IFERROR(INDEX(Clay_Brands!$A$2:$FZ$601,254,Sync!$D$5)&amp;"",""))</f>
        <v/>
      </c>
      <c r="E3705" s="17">
        <f>IF(B3705="","",IFERROR(INDEX(Clay_Brands!$A$2:$FZ$601,254,Sync!$D$6)&amp;"",""))</f>
        <v/>
      </c>
      <c r="F3705" s="17">
        <f>IF(B3705="","","outreach_sent")</f>
        <v/>
      </c>
      <c r="G3705" s="17">
        <f>IF(B3705="","","")</f>
        <v/>
      </c>
      <c r="H3705" s="17">
        <f>IF(B3705="","","")</f>
        <v/>
      </c>
      <c r="I3705" s="17">
        <f>IF(B3705="","","")</f>
        <v/>
      </c>
      <c r="J3705" s="17">
        <f>IF(B3705="","","touch_1; "&amp;IFERROR(INDEX(Clay_Brands!$A$2:$FZ$601,254,Sync!$D$10)&amp;"","")&amp;"; "&amp;IFERROR(INDEX(Clay_Brands!$A$2:$FZ$601,254,Sync!$D$9)&amp;"",""))</f>
        <v/>
      </c>
      <c r="K3705" t="inlineStr">
        <is>
          <t>brand outreach touch 1</t>
        </is>
      </c>
    </row>
    <row r="3706">
      <c r="A3706" s="17">
        <f>IF(B3706="","",B3706+(15*1000+255)/10000000)</f>
        <v/>
      </c>
      <c r="B3706" s="23">
        <f>IF(AND(IFERROR(N(INDEX(Clay_Brands!$A$2:$FZ$601,255,Sync!$D$11)),0)&gt;0,IFERROR(INDEX(Clay_Brands!$A$2:$FZ$601,255,Sync!$D$5)&amp;"","")&lt;&gt;"",OR(LEFT(IFERROR(INDEX(Clay_Brands!$A$2:$FZ$601,255,Sync!$D$5)&amp;"",""),6)&lt;&gt;"SAMPLE",Config!$B$19="Y")),IFERROR(N(INDEX(Clay_Brands!$A$2:$FZ$601,255,Sync!$D$11)),0),"")</f>
        <v/>
      </c>
      <c r="C3706" s="17">
        <f>IF(B3706="","","brand")</f>
        <v/>
      </c>
      <c r="D3706" s="17">
        <f>IF(B3706="","",IFERROR(INDEX(Clay_Brands!$A$2:$FZ$601,255,Sync!$D$5)&amp;"",""))</f>
        <v/>
      </c>
      <c r="E3706" s="17">
        <f>IF(B3706="","",IFERROR(INDEX(Clay_Brands!$A$2:$FZ$601,255,Sync!$D$6)&amp;"",""))</f>
        <v/>
      </c>
      <c r="F3706" s="17">
        <f>IF(B3706="","","outreach_sent")</f>
        <v/>
      </c>
      <c r="G3706" s="17">
        <f>IF(B3706="","","")</f>
        <v/>
      </c>
      <c r="H3706" s="17">
        <f>IF(B3706="","","")</f>
        <v/>
      </c>
      <c r="I3706" s="17">
        <f>IF(B3706="","","")</f>
        <v/>
      </c>
      <c r="J3706" s="17">
        <f>IF(B3706="","","touch_1; "&amp;IFERROR(INDEX(Clay_Brands!$A$2:$FZ$601,255,Sync!$D$10)&amp;"","")&amp;"; "&amp;IFERROR(INDEX(Clay_Brands!$A$2:$FZ$601,255,Sync!$D$9)&amp;"",""))</f>
        <v/>
      </c>
      <c r="K3706" t="inlineStr">
        <is>
          <t>brand outreach touch 1</t>
        </is>
      </c>
    </row>
    <row r="3707">
      <c r="A3707" s="17">
        <f>IF(B3707="","",B3707+(15*1000+256)/10000000)</f>
        <v/>
      </c>
      <c r="B3707" s="23">
        <f>IF(AND(IFERROR(N(INDEX(Clay_Brands!$A$2:$FZ$601,256,Sync!$D$11)),0)&gt;0,IFERROR(INDEX(Clay_Brands!$A$2:$FZ$601,256,Sync!$D$5)&amp;"","")&lt;&gt;"",OR(LEFT(IFERROR(INDEX(Clay_Brands!$A$2:$FZ$601,256,Sync!$D$5)&amp;"",""),6)&lt;&gt;"SAMPLE",Config!$B$19="Y")),IFERROR(N(INDEX(Clay_Brands!$A$2:$FZ$601,256,Sync!$D$11)),0),"")</f>
        <v/>
      </c>
      <c r="C3707" s="17">
        <f>IF(B3707="","","brand")</f>
        <v/>
      </c>
      <c r="D3707" s="17">
        <f>IF(B3707="","",IFERROR(INDEX(Clay_Brands!$A$2:$FZ$601,256,Sync!$D$5)&amp;"",""))</f>
        <v/>
      </c>
      <c r="E3707" s="17">
        <f>IF(B3707="","",IFERROR(INDEX(Clay_Brands!$A$2:$FZ$601,256,Sync!$D$6)&amp;"",""))</f>
        <v/>
      </c>
      <c r="F3707" s="17">
        <f>IF(B3707="","","outreach_sent")</f>
        <v/>
      </c>
      <c r="G3707" s="17">
        <f>IF(B3707="","","")</f>
        <v/>
      </c>
      <c r="H3707" s="17">
        <f>IF(B3707="","","")</f>
        <v/>
      </c>
      <c r="I3707" s="17">
        <f>IF(B3707="","","")</f>
        <v/>
      </c>
      <c r="J3707" s="17">
        <f>IF(B3707="","","touch_1; "&amp;IFERROR(INDEX(Clay_Brands!$A$2:$FZ$601,256,Sync!$D$10)&amp;"","")&amp;"; "&amp;IFERROR(INDEX(Clay_Brands!$A$2:$FZ$601,256,Sync!$D$9)&amp;"",""))</f>
        <v/>
      </c>
      <c r="K3707" t="inlineStr">
        <is>
          <t>brand outreach touch 1</t>
        </is>
      </c>
    </row>
    <row r="3708">
      <c r="A3708" s="17">
        <f>IF(B3708="","",B3708+(15*1000+257)/10000000)</f>
        <v/>
      </c>
      <c r="B3708" s="23">
        <f>IF(AND(IFERROR(N(INDEX(Clay_Brands!$A$2:$FZ$601,257,Sync!$D$11)),0)&gt;0,IFERROR(INDEX(Clay_Brands!$A$2:$FZ$601,257,Sync!$D$5)&amp;"","")&lt;&gt;"",OR(LEFT(IFERROR(INDEX(Clay_Brands!$A$2:$FZ$601,257,Sync!$D$5)&amp;"",""),6)&lt;&gt;"SAMPLE",Config!$B$19="Y")),IFERROR(N(INDEX(Clay_Brands!$A$2:$FZ$601,257,Sync!$D$11)),0),"")</f>
        <v/>
      </c>
      <c r="C3708" s="17">
        <f>IF(B3708="","","brand")</f>
        <v/>
      </c>
      <c r="D3708" s="17">
        <f>IF(B3708="","",IFERROR(INDEX(Clay_Brands!$A$2:$FZ$601,257,Sync!$D$5)&amp;"",""))</f>
        <v/>
      </c>
      <c r="E3708" s="17">
        <f>IF(B3708="","",IFERROR(INDEX(Clay_Brands!$A$2:$FZ$601,257,Sync!$D$6)&amp;"",""))</f>
        <v/>
      </c>
      <c r="F3708" s="17">
        <f>IF(B3708="","","outreach_sent")</f>
        <v/>
      </c>
      <c r="G3708" s="17">
        <f>IF(B3708="","","")</f>
        <v/>
      </c>
      <c r="H3708" s="17">
        <f>IF(B3708="","","")</f>
        <v/>
      </c>
      <c r="I3708" s="17">
        <f>IF(B3708="","","")</f>
        <v/>
      </c>
      <c r="J3708" s="17">
        <f>IF(B3708="","","touch_1; "&amp;IFERROR(INDEX(Clay_Brands!$A$2:$FZ$601,257,Sync!$D$10)&amp;"","")&amp;"; "&amp;IFERROR(INDEX(Clay_Brands!$A$2:$FZ$601,257,Sync!$D$9)&amp;"",""))</f>
        <v/>
      </c>
      <c r="K3708" t="inlineStr">
        <is>
          <t>brand outreach touch 1</t>
        </is>
      </c>
    </row>
    <row r="3709">
      <c r="A3709" s="17">
        <f>IF(B3709="","",B3709+(15*1000+258)/10000000)</f>
        <v/>
      </c>
      <c r="B3709" s="23">
        <f>IF(AND(IFERROR(N(INDEX(Clay_Brands!$A$2:$FZ$601,258,Sync!$D$11)),0)&gt;0,IFERROR(INDEX(Clay_Brands!$A$2:$FZ$601,258,Sync!$D$5)&amp;"","")&lt;&gt;"",OR(LEFT(IFERROR(INDEX(Clay_Brands!$A$2:$FZ$601,258,Sync!$D$5)&amp;"",""),6)&lt;&gt;"SAMPLE",Config!$B$19="Y")),IFERROR(N(INDEX(Clay_Brands!$A$2:$FZ$601,258,Sync!$D$11)),0),"")</f>
        <v/>
      </c>
      <c r="C3709" s="17">
        <f>IF(B3709="","","brand")</f>
        <v/>
      </c>
      <c r="D3709" s="17">
        <f>IF(B3709="","",IFERROR(INDEX(Clay_Brands!$A$2:$FZ$601,258,Sync!$D$5)&amp;"",""))</f>
        <v/>
      </c>
      <c r="E3709" s="17">
        <f>IF(B3709="","",IFERROR(INDEX(Clay_Brands!$A$2:$FZ$601,258,Sync!$D$6)&amp;"",""))</f>
        <v/>
      </c>
      <c r="F3709" s="17">
        <f>IF(B3709="","","outreach_sent")</f>
        <v/>
      </c>
      <c r="G3709" s="17">
        <f>IF(B3709="","","")</f>
        <v/>
      </c>
      <c r="H3709" s="17">
        <f>IF(B3709="","","")</f>
        <v/>
      </c>
      <c r="I3709" s="17">
        <f>IF(B3709="","","")</f>
        <v/>
      </c>
      <c r="J3709" s="17">
        <f>IF(B3709="","","touch_1; "&amp;IFERROR(INDEX(Clay_Brands!$A$2:$FZ$601,258,Sync!$D$10)&amp;"","")&amp;"; "&amp;IFERROR(INDEX(Clay_Brands!$A$2:$FZ$601,258,Sync!$D$9)&amp;"",""))</f>
        <v/>
      </c>
      <c r="K3709" t="inlineStr">
        <is>
          <t>brand outreach touch 1</t>
        </is>
      </c>
    </row>
    <row r="3710">
      <c r="A3710" s="17">
        <f>IF(B3710="","",B3710+(15*1000+259)/10000000)</f>
        <v/>
      </c>
      <c r="B3710" s="23">
        <f>IF(AND(IFERROR(N(INDEX(Clay_Brands!$A$2:$FZ$601,259,Sync!$D$11)),0)&gt;0,IFERROR(INDEX(Clay_Brands!$A$2:$FZ$601,259,Sync!$D$5)&amp;"","")&lt;&gt;"",OR(LEFT(IFERROR(INDEX(Clay_Brands!$A$2:$FZ$601,259,Sync!$D$5)&amp;"",""),6)&lt;&gt;"SAMPLE",Config!$B$19="Y")),IFERROR(N(INDEX(Clay_Brands!$A$2:$FZ$601,259,Sync!$D$11)),0),"")</f>
        <v/>
      </c>
      <c r="C3710" s="17">
        <f>IF(B3710="","","brand")</f>
        <v/>
      </c>
      <c r="D3710" s="17">
        <f>IF(B3710="","",IFERROR(INDEX(Clay_Brands!$A$2:$FZ$601,259,Sync!$D$5)&amp;"",""))</f>
        <v/>
      </c>
      <c r="E3710" s="17">
        <f>IF(B3710="","",IFERROR(INDEX(Clay_Brands!$A$2:$FZ$601,259,Sync!$D$6)&amp;"",""))</f>
        <v/>
      </c>
      <c r="F3710" s="17">
        <f>IF(B3710="","","outreach_sent")</f>
        <v/>
      </c>
      <c r="G3710" s="17">
        <f>IF(B3710="","","")</f>
        <v/>
      </c>
      <c r="H3710" s="17">
        <f>IF(B3710="","","")</f>
        <v/>
      </c>
      <c r="I3710" s="17">
        <f>IF(B3710="","","")</f>
        <v/>
      </c>
      <c r="J3710" s="17">
        <f>IF(B3710="","","touch_1; "&amp;IFERROR(INDEX(Clay_Brands!$A$2:$FZ$601,259,Sync!$D$10)&amp;"","")&amp;"; "&amp;IFERROR(INDEX(Clay_Brands!$A$2:$FZ$601,259,Sync!$D$9)&amp;"",""))</f>
        <v/>
      </c>
      <c r="K3710" t="inlineStr">
        <is>
          <t>brand outreach touch 1</t>
        </is>
      </c>
    </row>
    <row r="3711">
      <c r="A3711" s="17">
        <f>IF(B3711="","",B3711+(15*1000+260)/10000000)</f>
        <v/>
      </c>
      <c r="B3711" s="23">
        <f>IF(AND(IFERROR(N(INDEX(Clay_Brands!$A$2:$FZ$601,260,Sync!$D$11)),0)&gt;0,IFERROR(INDEX(Clay_Brands!$A$2:$FZ$601,260,Sync!$D$5)&amp;"","")&lt;&gt;"",OR(LEFT(IFERROR(INDEX(Clay_Brands!$A$2:$FZ$601,260,Sync!$D$5)&amp;"",""),6)&lt;&gt;"SAMPLE",Config!$B$19="Y")),IFERROR(N(INDEX(Clay_Brands!$A$2:$FZ$601,260,Sync!$D$11)),0),"")</f>
        <v/>
      </c>
      <c r="C3711" s="17">
        <f>IF(B3711="","","brand")</f>
        <v/>
      </c>
      <c r="D3711" s="17">
        <f>IF(B3711="","",IFERROR(INDEX(Clay_Brands!$A$2:$FZ$601,260,Sync!$D$5)&amp;"",""))</f>
        <v/>
      </c>
      <c r="E3711" s="17">
        <f>IF(B3711="","",IFERROR(INDEX(Clay_Brands!$A$2:$FZ$601,260,Sync!$D$6)&amp;"",""))</f>
        <v/>
      </c>
      <c r="F3711" s="17">
        <f>IF(B3711="","","outreach_sent")</f>
        <v/>
      </c>
      <c r="G3711" s="17">
        <f>IF(B3711="","","")</f>
        <v/>
      </c>
      <c r="H3711" s="17">
        <f>IF(B3711="","","")</f>
        <v/>
      </c>
      <c r="I3711" s="17">
        <f>IF(B3711="","","")</f>
        <v/>
      </c>
      <c r="J3711" s="17">
        <f>IF(B3711="","","touch_1; "&amp;IFERROR(INDEX(Clay_Brands!$A$2:$FZ$601,260,Sync!$D$10)&amp;"","")&amp;"; "&amp;IFERROR(INDEX(Clay_Brands!$A$2:$FZ$601,260,Sync!$D$9)&amp;"",""))</f>
        <v/>
      </c>
      <c r="K3711" t="inlineStr">
        <is>
          <t>brand outreach touch 1</t>
        </is>
      </c>
    </row>
    <row r="3712">
      <c r="A3712" s="17">
        <f>IF(B3712="","",B3712+(15*1000+261)/10000000)</f>
        <v/>
      </c>
      <c r="B3712" s="23">
        <f>IF(AND(IFERROR(N(INDEX(Clay_Brands!$A$2:$FZ$601,261,Sync!$D$11)),0)&gt;0,IFERROR(INDEX(Clay_Brands!$A$2:$FZ$601,261,Sync!$D$5)&amp;"","")&lt;&gt;"",OR(LEFT(IFERROR(INDEX(Clay_Brands!$A$2:$FZ$601,261,Sync!$D$5)&amp;"",""),6)&lt;&gt;"SAMPLE",Config!$B$19="Y")),IFERROR(N(INDEX(Clay_Brands!$A$2:$FZ$601,261,Sync!$D$11)),0),"")</f>
        <v/>
      </c>
      <c r="C3712" s="17">
        <f>IF(B3712="","","brand")</f>
        <v/>
      </c>
      <c r="D3712" s="17">
        <f>IF(B3712="","",IFERROR(INDEX(Clay_Brands!$A$2:$FZ$601,261,Sync!$D$5)&amp;"",""))</f>
        <v/>
      </c>
      <c r="E3712" s="17">
        <f>IF(B3712="","",IFERROR(INDEX(Clay_Brands!$A$2:$FZ$601,261,Sync!$D$6)&amp;"",""))</f>
        <v/>
      </c>
      <c r="F3712" s="17">
        <f>IF(B3712="","","outreach_sent")</f>
        <v/>
      </c>
      <c r="G3712" s="17">
        <f>IF(B3712="","","")</f>
        <v/>
      </c>
      <c r="H3712" s="17">
        <f>IF(B3712="","","")</f>
        <v/>
      </c>
      <c r="I3712" s="17">
        <f>IF(B3712="","","")</f>
        <v/>
      </c>
      <c r="J3712" s="17">
        <f>IF(B3712="","","touch_1; "&amp;IFERROR(INDEX(Clay_Brands!$A$2:$FZ$601,261,Sync!$D$10)&amp;"","")&amp;"; "&amp;IFERROR(INDEX(Clay_Brands!$A$2:$FZ$601,261,Sync!$D$9)&amp;"",""))</f>
        <v/>
      </c>
      <c r="K3712" t="inlineStr">
        <is>
          <t>brand outreach touch 1</t>
        </is>
      </c>
    </row>
    <row r="3713">
      <c r="A3713" s="17">
        <f>IF(B3713="","",B3713+(15*1000+262)/10000000)</f>
        <v/>
      </c>
      <c r="B3713" s="23">
        <f>IF(AND(IFERROR(N(INDEX(Clay_Brands!$A$2:$FZ$601,262,Sync!$D$11)),0)&gt;0,IFERROR(INDEX(Clay_Brands!$A$2:$FZ$601,262,Sync!$D$5)&amp;"","")&lt;&gt;"",OR(LEFT(IFERROR(INDEX(Clay_Brands!$A$2:$FZ$601,262,Sync!$D$5)&amp;"",""),6)&lt;&gt;"SAMPLE",Config!$B$19="Y")),IFERROR(N(INDEX(Clay_Brands!$A$2:$FZ$601,262,Sync!$D$11)),0),"")</f>
        <v/>
      </c>
      <c r="C3713" s="17">
        <f>IF(B3713="","","brand")</f>
        <v/>
      </c>
      <c r="D3713" s="17">
        <f>IF(B3713="","",IFERROR(INDEX(Clay_Brands!$A$2:$FZ$601,262,Sync!$D$5)&amp;"",""))</f>
        <v/>
      </c>
      <c r="E3713" s="17">
        <f>IF(B3713="","",IFERROR(INDEX(Clay_Brands!$A$2:$FZ$601,262,Sync!$D$6)&amp;"",""))</f>
        <v/>
      </c>
      <c r="F3713" s="17">
        <f>IF(B3713="","","outreach_sent")</f>
        <v/>
      </c>
      <c r="G3713" s="17">
        <f>IF(B3713="","","")</f>
        <v/>
      </c>
      <c r="H3713" s="17">
        <f>IF(B3713="","","")</f>
        <v/>
      </c>
      <c r="I3713" s="17">
        <f>IF(B3713="","","")</f>
        <v/>
      </c>
      <c r="J3713" s="17">
        <f>IF(B3713="","","touch_1; "&amp;IFERROR(INDEX(Clay_Brands!$A$2:$FZ$601,262,Sync!$D$10)&amp;"","")&amp;"; "&amp;IFERROR(INDEX(Clay_Brands!$A$2:$FZ$601,262,Sync!$D$9)&amp;"",""))</f>
        <v/>
      </c>
      <c r="K3713" t="inlineStr">
        <is>
          <t>brand outreach touch 1</t>
        </is>
      </c>
    </row>
    <row r="3714">
      <c r="A3714" s="17">
        <f>IF(B3714="","",B3714+(15*1000+263)/10000000)</f>
        <v/>
      </c>
      <c r="B3714" s="23">
        <f>IF(AND(IFERROR(N(INDEX(Clay_Brands!$A$2:$FZ$601,263,Sync!$D$11)),0)&gt;0,IFERROR(INDEX(Clay_Brands!$A$2:$FZ$601,263,Sync!$D$5)&amp;"","")&lt;&gt;"",OR(LEFT(IFERROR(INDEX(Clay_Brands!$A$2:$FZ$601,263,Sync!$D$5)&amp;"",""),6)&lt;&gt;"SAMPLE",Config!$B$19="Y")),IFERROR(N(INDEX(Clay_Brands!$A$2:$FZ$601,263,Sync!$D$11)),0),"")</f>
        <v/>
      </c>
      <c r="C3714" s="17">
        <f>IF(B3714="","","brand")</f>
        <v/>
      </c>
      <c r="D3714" s="17">
        <f>IF(B3714="","",IFERROR(INDEX(Clay_Brands!$A$2:$FZ$601,263,Sync!$D$5)&amp;"",""))</f>
        <v/>
      </c>
      <c r="E3714" s="17">
        <f>IF(B3714="","",IFERROR(INDEX(Clay_Brands!$A$2:$FZ$601,263,Sync!$D$6)&amp;"",""))</f>
        <v/>
      </c>
      <c r="F3714" s="17">
        <f>IF(B3714="","","outreach_sent")</f>
        <v/>
      </c>
      <c r="G3714" s="17">
        <f>IF(B3714="","","")</f>
        <v/>
      </c>
      <c r="H3714" s="17">
        <f>IF(B3714="","","")</f>
        <v/>
      </c>
      <c r="I3714" s="17">
        <f>IF(B3714="","","")</f>
        <v/>
      </c>
      <c r="J3714" s="17">
        <f>IF(B3714="","","touch_1; "&amp;IFERROR(INDEX(Clay_Brands!$A$2:$FZ$601,263,Sync!$D$10)&amp;"","")&amp;"; "&amp;IFERROR(INDEX(Clay_Brands!$A$2:$FZ$601,263,Sync!$D$9)&amp;"",""))</f>
        <v/>
      </c>
      <c r="K3714" t="inlineStr">
        <is>
          <t>brand outreach touch 1</t>
        </is>
      </c>
    </row>
    <row r="3715">
      <c r="A3715" s="17">
        <f>IF(B3715="","",B3715+(15*1000+264)/10000000)</f>
        <v/>
      </c>
      <c r="B3715" s="23">
        <f>IF(AND(IFERROR(N(INDEX(Clay_Brands!$A$2:$FZ$601,264,Sync!$D$11)),0)&gt;0,IFERROR(INDEX(Clay_Brands!$A$2:$FZ$601,264,Sync!$D$5)&amp;"","")&lt;&gt;"",OR(LEFT(IFERROR(INDEX(Clay_Brands!$A$2:$FZ$601,264,Sync!$D$5)&amp;"",""),6)&lt;&gt;"SAMPLE",Config!$B$19="Y")),IFERROR(N(INDEX(Clay_Brands!$A$2:$FZ$601,264,Sync!$D$11)),0),"")</f>
        <v/>
      </c>
      <c r="C3715" s="17">
        <f>IF(B3715="","","brand")</f>
        <v/>
      </c>
      <c r="D3715" s="17">
        <f>IF(B3715="","",IFERROR(INDEX(Clay_Brands!$A$2:$FZ$601,264,Sync!$D$5)&amp;"",""))</f>
        <v/>
      </c>
      <c r="E3715" s="17">
        <f>IF(B3715="","",IFERROR(INDEX(Clay_Brands!$A$2:$FZ$601,264,Sync!$D$6)&amp;"",""))</f>
        <v/>
      </c>
      <c r="F3715" s="17">
        <f>IF(B3715="","","outreach_sent")</f>
        <v/>
      </c>
      <c r="G3715" s="17">
        <f>IF(B3715="","","")</f>
        <v/>
      </c>
      <c r="H3715" s="17">
        <f>IF(B3715="","","")</f>
        <v/>
      </c>
      <c r="I3715" s="17">
        <f>IF(B3715="","","")</f>
        <v/>
      </c>
      <c r="J3715" s="17">
        <f>IF(B3715="","","touch_1; "&amp;IFERROR(INDEX(Clay_Brands!$A$2:$FZ$601,264,Sync!$D$10)&amp;"","")&amp;"; "&amp;IFERROR(INDEX(Clay_Brands!$A$2:$FZ$601,264,Sync!$D$9)&amp;"",""))</f>
        <v/>
      </c>
      <c r="K3715" t="inlineStr">
        <is>
          <t>brand outreach touch 1</t>
        </is>
      </c>
    </row>
    <row r="3716">
      <c r="A3716" s="17">
        <f>IF(B3716="","",B3716+(15*1000+265)/10000000)</f>
        <v/>
      </c>
      <c r="B3716" s="23">
        <f>IF(AND(IFERROR(N(INDEX(Clay_Brands!$A$2:$FZ$601,265,Sync!$D$11)),0)&gt;0,IFERROR(INDEX(Clay_Brands!$A$2:$FZ$601,265,Sync!$D$5)&amp;"","")&lt;&gt;"",OR(LEFT(IFERROR(INDEX(Clay_Brands!$A$2:$FZ$601,265,Sync!$D$5)&amp;"",""),6)&lt;&gt;"SAMPLE",Config!$B$19="Y")),IFERROR(N(INDEX(Clay_Brands!$A$2:$FZ$601,265,Sync!$D$11)),0),"")</f>
        <v/>
      </c>
      <c r="C3716" s="17">
        <f>IF(B3716="","","brand")</f>
        <v/>
      </c>
      <c r="D3716" s="17">
        <f>IF(B3716="","",IFERROR(INDEX(Clay_Brands!$A$2:$FZ$601,265,Sync!$D$5)&amp;"",""))</f>
        <v/>
      </c>
      <c r="E3716" s="17">
        <f>IF(B3716="","",IFERROR(INDEX(Clay_Brands!$A$2:$FZ$601,265,Sync!$D$6)&amp;"",""))</f>
        <v/>
      </c>
      <c r="F3716" s="17">
        <f>IF(B3716="","","outreach_sent")</f>
        <v/>
      </c>
      <c r="G3716" s="17">
        <f>IF(B3716="","","")</f>
        <v/>
      </c>
      <c r="H3716" s="17">
        <f>IF(B3716="","","")</f>
        <v/>
      </c>
      <c r="I3716" s="17">
        <f>IF(B3716="","","")</f>
        <v/>
      </c>
      <c r="J3716" s="17">
        <f>IF(B3716="","","touch_1; "&amp;IFERROR(INDEX(Clay_Brands!$A$2:$FZ$601,265,Sync!$D$10)&amp;"","")&amp;"; "&amp;IFERROR(INDEX(Clay_Brands!$A$2:$FZ$601,265,Sync!$D$9)&amp;"",""))</f>
        <v/>
      </c>
      <c r="K3716" t="inlineStr">
        <is>
          <t>brand outreach touch 1</t>
        </is>
      </c>
    </row>
    <row r="3717">
      <c r="A3717" s="17">
        <f>IF(B3717="","",B3717+(15*1000+266)/10000000)</f>
        <v/>
      </c>
      <c r="B3717" s="23">
        <f>IF(AND(IFERROR(N(INDEX(Clay_Brands!$A$2:$FZ$601,266,Sync!$D$11)),0)&gt;0,IFERROR(INDEX(Clay_Brands!$A$2:$FZ$601,266,Sync!$D$5)&amp;"","")&lt;&gt;"",OR(LEFT(IFERROR(INDEX(Clay_Brands!$A$2:$FZ$601,266,Sync!$D$5)&amp;"",""),6)&lt;&gt;"SAMPLE",Config!$B$19="Y")),IFERROR(N(INDEX(Clay_Brands!$A$2:$FZ$601,266,Sync!$D$11)),0),"")</f>
        <v/>
      </c>
      <c r="C3717" s="17">
        <f>IF(B3717="","","brand")</f>
        <v/>
      </c>
      <c r="D3717" s="17">
        <f>IF(B3717="","",IFERROR(INDEX(Clay_Brands!$A$2:$FZ$601,266,Sync!$D$5)&amp;"",""))</f>
        <v/>
      </c>
      <c r="E3717" s="17">
        <f>IF(B3717="","",IFERROR(INDEX(Clay_Brands!$A$2:$FZ$601,266,Sync!$D$6)&amp;"",""))</f>
        <v/>
      </c>
      <c r="F3717" s="17">
        <f>IF(B3717="","","outreach_sent")</f>
        <v/>
      </c>
      <c r="G3717" s="17">
        <f>IF(B3717="","","")</f>
        <v/>
      </c>
      <c r="H3717" s="17">
        <f>IF(B3717="","","")</f>
        <v/>
      </c>
      <c r="I3717" s="17">
        <f>IF(B3717="","","")</f>
        <v/>
      </c>
      <c r="J3717" s="17">
        <f>IF(B3717="","","touch_1; "&amp;IFERROR(INDEX(Clay_Brands!$A$2:$FZ$601,266,Sync!$D$10)&amp;"","")&amp;"; "&amp;IFERROR(INDEX(Clay_Brands!$A$2:$FZ$601,266,Sync!$D$9)&amp;"",""))</f>
        <v/>
      </c>
      <c r="K3717" t="inlineStr">
        <is>
          <t>brand outreach touch 1</t>
        </is>
      </c>
    </row>
    <row r="3718">
      <c r="A3718" s="17">
        <f>IF(B3718="","",B3718+(15*1000+267)/10000000)</f>
        <v/>
      </c>
      <c r="B3718" s="23">
        <f>IF(AND(IFERROR(N(INDEX(Clay_Brands!$A$2:$FZ$601,267,Sync!$D$11)),0)&gt;0,IFERROR(INDEX(Clay_Brands!$A$2:$FZ$601,267,Sync!$D$5)&amp;"","")&lt;&gt;"",OR(LEFT(IFERROR(INDEX(Clay_Brands!$A$2:$FZ$601,267,Sync!$D$5)&amp;"",""),6)&lt;&gt;"SAMPLE",Config!$B$19="Y")),IFERROR(N(INDEX(Clay_Brands!$A$2:$FZ$601,267,Sync!$D$11)),0),"")</f>
        <v/>
      </c>
      <c r="C3718" s="17">
        <f>IF(B3718="","","brand")</f>
        <v/>
      </c>
      <c r="D3718" s="17">
        <f>IF(B3718="","",IFERROR(INDEX(Clay_Brands!$A$2:$FZ$601,267,Sync!$D$5)&amp;"",""))</f>
        <v/>
      </c>
      <c r="E3718" s="17">
        <f>IF(B3718="","",IFERROR(INDEX(Clay_Brands!$A$2:$FZ$601,267,Sync!$D$6)&amp;"",""))</f>
        <v/>
      </c>
      <c r="F3718" s="17">
        <f>IF(B3718="","","outreach_sent")</f>
        <v/>
      </c>
      <c r="G3718" s="17">
        <f>IF(B3718="","","")</f>
        <v/>
      </c>
      <c r="H3718" s="17">
        <f>IF(B3718="","","")</f>
        <v/>
      </c>
      <c r="I3718" s="17">
        <f>IF(B3718="","","")</f>
        <v/>
      </c>
      <c r="J3718" s="17">
        <f>IF(B3718="","","touch_1; "&amp;IFERROR(INDEX(Clay_Brands!$A$2:$FZ$601,267,Sync!$D$10)&amp;"","")&amp;"; "&amp;IFERROR(INDEX(Clay_Brands!$A$2:$FZ$601,267,Sync!$D$9)&amp;"",""))</f>
        <v/>
      </c>
      <c r="K3718" t="inlineStr">
        <is>
          <t>brand outreach touch 1</t>
        </is>
      </c>
    </row>
    <row r="3719">
      <c r="A3719" s="17">
        <f>IF(B3719="","",B3719+(15*1000+268)/10000000)</f>
        <v/>
      </c>
      <c r="B3719" s="23">
        <f>IF(AND(IFERROR(N(INDEX(Clay_Brands!$A$2:$FZ$601,268,Sync!$D$11)),0)&gt;0,IFERROR(INDEX(Clay_Brands!$A$2:$FZ$601,268,Sync!$D$5)&amp;"","")&lt;&gt;"",OR(LEFT(IFERROR(INDEX(Clay_Brands!$A$2:$FZ$601,268,Sync!$D$5)&amp;"",""),6)&lt;&gt;"SAMPLE",Config!$B$19="Y")),IFERROR(N(INDEX(Clay_Brands!$A$2:$FZ$601,268,Sync!$D$11)),0),"")</f>
        <v/>
      </c>
      <c r="C3719" s="17">
        <f>IF(B3719="","","brand")</f>
        <v/>
      </c>
      <c r="D3719" s="17">
        <f>IF(B3719="","",IFERROR(INDEX(Clay_Brands!$A$2:$FZ$601,268,Sync!$D$5)&amp;"",""))</f>
        <v/>
      </c>
      <c r="E3719" s="17">
        <f>IF(B3719="","",IFERROR(INDEX(Clay_Brands!$A$2:$FZ$601,268,Sync!$D$6)&amp;"",""))</f>
        <v/>
      </c>
      <c r="F3719" s="17">
        <f>IF(B3719="","","outreach_sent")</f>
        <v/>
      </c>
      <c r="G3719" s="17">
        <f>IF(B3719="","","")</f>
        <v/>
      </c>
      <c r="H3719" s="17">
        <f>IF(B3719="","","")</f>
        <v/>
      </c>
      <c r="I3719" s="17">
        <f>IF(B3719="","","")</f>
        <v/>
      </c>
      <c r="J3719" s="17">
        <f>IF(B3719="","","touch_1; "&amp;IFERROR(INDEX(Clay_Brands!$A$2:$FZ$601,268,Sync!$D$10)&amp;"","")&amp;"; "&amp;IFERROR(INDEX(Clay_Brands!$A$2:$FZ$601,268,Sync!$D$9)&amp;"",""))</f>
        <v/>
      </c>
      <c r="K3719" t="inlineStr">
        <is>
          <t>brand outreach touch 1</t>
        </is>
      </c>
    </row>
    <row r="3720">
      <c r="A3720" s="17">
        <f>IF(B3720="","",B3720+(15*1000+269)/10000000)</f>
        <v/>
      </c>
      <c r="B3720" s="23">
        <f>IF(AND(IFERROR(N(INDEX(Clay_Brands!$A$2:$FZ$601,269,Sync!$D$11)),0)&gt;0,IFERROR(INDEX(Clay_Brands!$A$2:$FZ$601,269,Sync!$D$5)&amp;"","")&lt;&gt;"",OR(LEFT(IFERROR(INDEX(Clay_Brands!$A$2:$FZ$601,269,Sync!$D$5)&amp;"",""),6)&lt;&gt;"SAMPLE",Config!$B$19="Y")),IFERROR(N(INDEX(Clay_Brands!$A$2:$FZ$601,269,Sync!$D$11)),0),"")</f>
        <v/>
      </c>
      <c r="C3720" s="17">
        <f>IF(B3720="","","brand")</f>
        <v/>
      </c>
      <c r="D3720" s="17">
        <f>IF(B3720="","",IFERROR(INDEX(Clay_Brands!$A$2:$FZ$601,269,Sync!$D$5)&amp;"",""))</f>
        <v/>
      </c>
      <c r="E3720" s="17">
        <f>IF(B3720="","",IFERROR(INDEX(Clay_Brands!$A$2:$FZ$601,269,Sync!$D$6)&amp;"",""))</f>
        <v/>
      </c>
      <c r="F3720" s="17">
        <f>IF(B3720="","","outreach_sent")</f>
        <v/>
      </c>
      <c r="G3720" s="17">
        <f>IF(B3720="","","")</f>
        <v/>
      </c>
      <c r="H3720" s="17">
        <f>IF(B3720="","","")</f>
        <v/>
      </c>
      <c r="I3720" s="17">
        <f>IF(B3720="","","")</f>
        <v/>
      </c>
      <c r="J3720" s="17">
        <f>IF(B3720="","","touch_1; "&amp;IFERROR(INDEX(Clay_Brands!$A$2:$FZ$601,269,Sync!$D$10)&amp;"","")&amp;"; "&amp;IFERROR(INDEX(Clay_Brands!$A$2:$FZ$601,269,Sync!$D$9)&amp;"",""))</f>
        <v/>
      </c>
      <c r="K3720" t="inlineStr">
        <is>
          <t>brand outreach touch 1</t>
        </is>
      </c>
    </row>
    <row r="3721">
      <c r="A3721" s="17">
        <f>IF(B3721="","",B3721+(15*1000+270)/10000000)</f>
        <v/>
      </c>
      <c r="B3721" s="23">
        <f>IF(AND(IFERROR(N(INDEX(Clay_Brands!$A$2:$FZ$601,270,Sync!$D$11)),0)&gt;0,IFERROR(INDEX(Clay_Brands!$A$2:$FZ$601,270,Sync!$D$5)&amp;"","")&lt;&gt;"",OR(LEFT(IFERROR(INDEX(Clay_Brands!$A$2:$FZ$601,270,Sync!$D$5)&amp;"",""),6)&lt;&gt;"SAMPLE",Config!$B$19="Y")),IFERROR(N(INDEX(Clay_Brands!$A$2:$FZ$601,270,Sync!$D$11)),0),"")</f>
        <v/>
      </c>
      <c r="C3721" s="17">
        <f>IF(B3721="","","brand")</f>
        <v/>
      </c>
      <c r="D3721" s="17">
        <f>IF(B3721="","",IFERROR(INDEX(Clay_Brands!$A$2:$FZ$601,270,Sync!$D$5)&amp;"",""))</f>
        <v/>
      </c>
      <c r="E3721" s="17">
        <f>IF(B3721="","",IFERROR(INDEX(Clay_Brands!$A$2:$FZ$601,270,Sync!$D$6)&amp;"",""))</f>
        <v/>
      </c>
      <c r="F3721" s="17">
        <f>IF(B3721="","","outreach_sent")</f>
        <v/>
      </c>
      <c r="G3721" s="17">
        <f>IF(B3721="","","")</f>
        <v/>
      </c>
      <c r="H3721" s="17">
        <f>IF(B3721="","","")</f>
        <v/>
      </c>
      <c r="I3721" s="17">
        <f>IF(B3721="","","")</f>
        <v/>
      </c>
      <c r="J3721" s="17">
        <f>IF(B3721="","","touch_1; "&amp;IFERROR(INDEX(Clay_Brands!$A$2:$FZ$601,270,Sync!$D$10)&amp;"","")&amp;"; "&amp;IFERROR(INDEX(Clay_Brands!$A$2:$FZ$601,270,Sync!$D$9)&amp;"",""))</f>
        <v/>
      </c>
      <c r="K3721" t="inlineStr">
        <is>
          <t>brand outreach touch 1</t>
        </is>
      </c>
    </row>
    <row r="3722">
      <c r="A3722" s="17">
        <f>IF(B3722="","",B3722+(15*1000+271)/10000000)</f>
        <v/>
      </c>
      <c r="B3722" s="23">
        <f>IF(AND(IFERROR(N(INDEX(Clay_Brands!$A$2:$FZ$601,271,Sync!$D$11)),0)&gt;0,IFERROR(INDEX(Clay_Brands!$A$2:$FZ$601,271,Sync!$D$5)&amp;"","")&lt;&gt;"",OR(LEFT(IFERROR(INDEX(Clay_Brands!$A$2:$FZ$601,271,Sync!$D$5)&amp;"",""),6)&lt;&gt;"SAMPLE",Config!$B$19="Y")),IFERROR(N(INDEX(Clay_Brands!$A$2:$FZ$601,271,Sync!$D$11)),0),"")</f>
        <v/>
      </c>
      <c r="C3722" s="17">
        <f>IF(B3722="","","brand")</f>
        <v/>
      </c>
      <c r="D3722" s="17">
        <f>IF(B3722="","",IFERROR(INDEX(Clay_Brands!$A$2:$FZ$601,271,Sync!$D$5)&amp;"",""))</f>
        <v/>
      </c>
      <c r="E3722" s="17">
        <f>IF(B3722="","",IFERROR(INDEX(Clay_Brands!$A$2:$FZ$601,271,Sync!$D$6)&amp;"",""))</f>
        <v/>
      </c>
      <c r="F3722" s="17">
        <f>IF(B3722="","","outreach_sent")</f>
        <v/>
      </c>
      <c r="G3722" s="17">
        <f>IF(B3722="","","")</f>
        <v/>
      </c>
      <c r="H3722" s="17">
        <f>IF(B3722="","","")</f>
        <v/>
      </c>
      <c r="I3722" s="17">
        <f>IF(B3722="","","")</f>
        <v/>
      </c>
      <c r="J3722" s="17">
        <f>IF(B3722="","","touch_1; "&amp;IFERROR(INDEX(Clay_Brands!$A$2:$FZ$601,271,Sync!$D$10)&amp;"","")&amp;"; "&amp;IFERROR(INDEX(Clay_Brands!$A$2:$FZ$601,271,Sync!$D$9)&amp;"",""))</f>
        <v/>
      </c>
      <c r="K3722" t="inlineStr">
        <is>
          <t>brand outreach touch 1</t>
        </is>
      </c>
    </row>
    <row r="3723">
      <c r="A3723" s="17">
        <f>IF(B3723="","",B3723+(15*1000+272)/10000000)</f>
        <v/>
      </c>
      <c r="B3723" s="23">
        <f>IF(AND(IFERROR(N(INDEX(Clay_Brands!$A$2:$FZ$601,272,Sync!$D$11)),0)&gt;0,IFERROR(INDEX(Clay_Brands!$A$2:$FZ$601,272,Sync!$D$5)&amp;"","")&lt;&gt;"",OR(LEFT(IFERROR(INDEX(Clay_Brands!$A$2:$FZ$601,272,Sync!$D$5)&amp;"",""),6)&lt;&gt;"SAMPLE",Config!$B$19="Y")),IFERROR(N(INDEX(Clay_Brands!$A$2:$FZ$601,272,Sync!$D$11)),0),"")</f>
        <v/>
      </c>
      <c r="C3723" s="17">
        <f>IF(B3723="","","brand")</f>
        <v/>
      </c>
      <c r="D3723" s="17">
        <f>IF(B3723="","",IFERROR(INDEX(Clay_Brands!$A$2:$FZ$601,272,Sync!$D$5)&amp;"",""))</f>
        <v/>
      </c>
      <c r="E3723" s="17">
        <f>IF(B3723="","",IFERROR(INDEX(Clay_Brands!$A$2:$FZ$601,272,Sync!$D$6)&amp;"",""))</f>
        <v/>
      </c>
      <c r="F3723" s="17">
        <f>IF(B3723="","","outreach_sent")</f>
        <v/>
      </c>
      <c r="G3723" s="17">
        <f>IF(B3723="","","")</f>
        <v/>
      </c>
      <c r="H3723" s="17">
        <f>IF(B3723="","","")</f>
        <v/>
      </c>
      <c r="I3723" s="17">
        <f>IF(B3723="","","")</f>
        <v/>
      </c>
      <c r="J3723" s="17">
        <f>IF(B3723="","","touch_1; "&amp;IFERROR(INDEX(Clay_Brands!$A$2:$FZ$601,272,Sync!$D$10)&amp;"","")&amp;"; "&amp;IFERROR(INDEX(Clay_Brands!$A$2:$FZ$601,272,Sync!$D$9)&amp;"",""))</f>
        <v/>
      </c>
      <c r="K3723" t="inlineStr">
        <is>
          <t>brand outreach touch 1</t>
        </is>
      </c>
    </row>
    <row r="3724">
      <c r="A3724" s="17">
        <f>IF(B3724="","",B3724+(15*1000+273)/10000000)</f>
        <v/>
      </c>
      <c r="B3724" s="23">
        <f>IF(AND(IFERROR(N(INDEX(Clay_Brands!$A$2:$FZ$601,273,Sync!$D$11)),0)&gt;0,IFERROR(INDEX(Clay_Brands!$A$2:$FZ$601,273,Sync!$D$5)&amp;"","")&lt;&gt;"",OR(LEFT(IFERROR(INDEX(Clay_Brands!$A$2:$FZ$601,273,Sync!$D$5)&amp;"",""),6)&lt;&gt;"SAMPLE",Config!$B$19="Y")),IFERROR(N(INDEX(Clay_Brands!$A$2:$FZ$601,273,Sync!$D$11)),0),"")</f>
        <v/>
      </c>
      <c r="C3724" s="17">
        <f>IF(B3724="","","brand")</f>
        <v/>
      </c>
      <c r="D3724" s="17">
        <f>IF(B3724="","",IFERROR(INDEX(Clay_Brands!$A$2:$FZ$601,273,Sync!$D$5)&amp;"",""))</f>
        <v/>
      </c>
      <c r="E3724" s="17">
        <f>IF(B3724="","",IFERROR(INDEX(Clay_Brands!$A$2:$FZ$601,273,Sync!$D$6)&amp;"",""))</f>
        <v/>
      </c>
      <c r="F3724" s="17">
        <f>IF(B3724="","","outreach_sent")</f>
        <v/>
      </c>
      <c r="G3724" s="17">
        <f>IF(B3724="","","")</f>
        <v/>
      </c>
      <c r="H3724" s="17">
        <f>IF(B3724="","","")</f>
        <v/>
      </c>
      <c r="I3724" s="17">
        <f>IF(B3724="","","")</f>
        <v/>
      </c>
      <c r="J3724" s="17">
        <f>IF(B3724="","","touch_1; "&amp;IFERROR(INDEX(Clay_Brands!$A$2:$FZ$601,273,Sync!$D$10)&amp;"","")&amp;"; "&amp;IFERROR(INDEX(Clay_Brands!$A$2:$FZ$601,273,Sync!$D$9)&amp;"",""))</f>
        <v/>
      </c>
      <c r="K3724" t="inlineStr">
        <is>
          <t>brand outreach touch 1</t>
        </is>
      </c>
    </row>
    <row r="3725">
      <c r="A3725" s="17">
        <f>IF(B3725="","",B3725+(15*1000+274)/10000000)</f>
        <v/>
      </c>
      <c r="B3725" s="23">
        <f>IF(AND(IFERROR(N(INDEX(Clay_Brands!$A$2:$FZ$601,274,Sync!$D$11)),0)&gt;0,IFERROR(INDEX(Clay_Brands!$A$2:$FZ$601,274,Sync!$D$5)&amp;"","")&lt;&gt;"",OR(LEFT(IFERROR(INDEX(Clay_Brands!$A$2:$FZ$601,274,Sync!$D$5)&amp;"",""),6)&lt;&gt;"SAMPLE",Config!$B$19="Y")),IFERROR(N(INDEX(Clay_Brands!$A$2:$FZ$601,274,Sync!$D$11)),0),"")</f>
        <v/>
      </c>
      <c r="C3725" s="17">
        <f>IF(B3725="","","brand")</f>
        <v/>
      </c>
      <c r="D3725" s="17">
        <f>IF(B3725="","",IFERROR(INDEX(Clay_Brands!$A$2:$FZ$601,274,Sync!$D$5)&amp;"",""))</f>
        <v/>
      </c>
      <c r="E3725" s="17">
        <f>IF(B3725="","",IFERROR(INDEX(Clay_Brands!$A$2:$FZ$601,274,Sync!$D$6)&amp;"",""))</f>
        <v/>
      </c>
      <c r="F3725" s="17">
        <f>IF(B3725="","","outreach_sent")</f>
        <v/>
      </c>
      <c r="G3725" s="17">
        <f>IF(B3725="","","")</f>
        <v/>
      </c>
      <c r="H3725" s="17">
        <f>IF(B3725="","","")</f>
        <v/>
      </c>
      <c r="I3725" s="17">
        <f>IF(B3725="","","")</f>
        <v/>
      </c>
      <c r="J3725" s="17">
        <f>IF(B3725="","","touch_1; "&amp;IFERROR(INDEX(Clay_Brands!$A$2:$FZ$601,274,Sync!$D$10)&amp;"","")&amp;"; "&amp;IFERROR(INDEX(Clay_Brands!$A$2:$FZ$601,274,Sync!$D$9)&amp;"",""))</f>
        <v/>
      </c>
      <c r="K3725" t="inlineStr">
        <is>
          <t>brand outreach touch 1</t>
        </is>
      </c>
    </row>
    <row r="3726">
      <c r="A3726" s="17">
        <f>IF(B3726="","",B3726+(15*1000+275)/10000000)</f>
        <v/>
      </c>
      <c r="B3726" s="23">
        <f>IF(AND(IFERROR(N(INDEX(Clay_Brands!$A$2:$FZ$601,275,Sync!$D$11)),0)&gt;0,IFERROR(INDEX(Clay_Brands!$A$2:$FZ$601,275,Sync!$D$5)&amp;"","")&lt;&gt;"",OR(LEFT(IFERROR(INDEX(Clay_Brands!$A$2:$FZ$601,275,Sync!$D$5)&amp;"",""),6)&lt;&gt;"SAMPLE",Config!$B$19="Y")),IFERROR(N(INDEX(Clay_Brands!$A$2:$FZ$601,275,Sync!$D$11)),0),"")</f>
        <v/>
      </c>
      <c r="C3726" s="17">
        <f>IF(B3726="","","brand")</f>
        <v/>
      </c>
      <c r="D3726" s="17">
        <f>IF(B3726="","",IFERROR(INDEX(Clay_Brands!$A$2:$FZ$601,275,Sync!$D$5)&amp;"",""))</f>
        <v/>
      </c>
      <c r="E3726" s="17">
        <f>IF(B3726="","",IFERROR(INDEX(Clay_Brands!$A$2:$FZ$601,275,Sync!$D$6)&amp;"",""))</f>
        <v/>
      </c>
      <c r="F3726" s="17">
        <f>IF(B3726="","","outreach_sent")</f>
        <v/>
      </c>
      <c r="G3726" s="17">
        <f>IF(B3726="","","")</f>
        <v/>
      </c>
      <c r="H3726" s="17">
        <f>IF(B3726="","","")</f>
        <v/>
      </c>
      <c r="I3726" s="17">
        <f>IF(B3726="","","")</f>
        <v/>
      </c>
      <c r="J3726" s="17">
        <f>IF(B3726="","","touch_1; "&amp;IFERROR(INDEX(Clay_Brands!$A$2:$FZ$601,275,Sync!$D$10)&amp;"","")&amp;"; "&amp;IFERROR(INDEX(Clay_Brands!$A$2:$FZ$601,275,Sync!$D$9)&amp;"",""))</f>
        <v/>
      </c>
      <c r="K3726" t="inlineStr">
        <is>
          <t>brand outreach touch 1</t>
        </is>
      </c>
    </row>
    <row r="3727">
      <c r="A3727" s="17">
        <f>IF(B3727="","",B3727+(15*1000+276)/10000000)</f>
        <v/>
      </c>
      <c r="B3727" s="23">
        <f>IF(AND(IFERROR(N(INDEX(Clay_Brands!$A$2:$FZ$601,276,Sync!$D$11)),0)&gt;0,IFERROR(INDEX(Clay_Brands!$A$2:$FZ$601,276,Sync!$D$5)&amp;"","")&lt;&gt;"",OR(LEFT(IFERROR(INDEX(Clay_Brands!$A$2:$FZ$601,276,Sync!$D$5)&amp;"",""),6)&lt;&gt;"SAMPLE",Config!$B$19="Y")),IFERROR(N(INDEX(Clay_Brands!$A$2:$FZ$601,276,Sync!$D$11)),0),"")</f>
        <v/>
      </c>
      <c r="C3727" s="17">
        <f>IF(B3727="","","brand")</f>
        <v/>
      </c>
      <c r="D3727" s="17">
        <f>IF(B3727="","",IFERROR(INDEX(Clay_Brands!$A$2:$FZ$601,276,Sync!$D$5)&amp;"",""))</f>
        <v/>
      </c>
      <c r="E3727" s="17">
        <f>IF(B3727="","",IFERROR(INDEX(Clay_Brands!$A$2:$FZ$601,276,Sync!$D$6)&amp;"",""))</f>
        <v/>
      </c>
      <c r="F3727" s="17">
        <f>IF(B3727="","","outreach_sent")</f>
        <v/>
      </c>
      <c r="G3727" s="17">
        <f>IF(B3727="","","")</f>
        <v/>
      </c>
      <c r="H3727" s="17">
        <f>IF(B3727="","","")</f>
        <v/>
      </c>
      <c r="I3727" s="17">
        <f>IF(B3727="","","")</f>
        <v/>
      </c>
      <c r="J3727" s="17">
        <f>IF(B3727="","","touch_1; "&amp;IFERROR(INDEX(Clay_Brands!$A$2:$FZ$601,276,Sync!$D$10)&amp;"","")&amp;"; "&amp;IFERROR(INDEX(Clay_Brands!$A$2:$FZ$601,276,Sync!$D$9)&amp;"",""))</f>
        <v/>
      </c>
      <c r="K3727" t="inlineStr">
        <is>
          <t>brand outreach touch 1</t>
        </is>
      </c>
    </row>
    <row r="3728">
      <c r="A3728" s="17">
        <f>IF(B3728="","",B3728+(15*1000+277)/10000000)</f>
        <v/>
      </c>
      <c r="B3728" s="23">
        <f>IF(AND(IFERROR(N(INDEX(Clay_Brands!$A$2:$FZ$601,277,Sync!$D$11)),0)&gt;0,IFERROR(INDEX(Clay_Brands!$A$2:$FZ$601,277,Sync!$D$5)&amp;"","")&lt;&gt;"",OR(LEFT(IFERROR(INDEX(Clay_Brands!$A$2:$FZ$601,277,Sync!$D$5)&amp;"",""),6)&lt;&gt;"SAMPLE",Config!$B$19="Y")),IFERROR(N(INDEX(Clay_Brands!$A$2:$FZ$601,277,Sync!$D$11)),0),"")</f>
        <v/>
      </c>
      <c r="C3728" s="17">
        <f>IF(B3728="","","brand")</f>
        <v/>
      </c>
      <c r="D3728" s="17">
        <f>IF(B3728="","",IFERROR(INDEX(Clay_Brands!$A$2:$FZ$601,277,Sync!$D$5)&amp;"",""))</f>
        <v/>
      </c>
      <c r="E3728" s="17">
        <f>IF(B3728="","",IFERROR(INDEX(Clay_Brands!$A$2:$FZ$601,277,Sync!$D$6)&amp;"",""))</f>
        <v/>
      </c>
      <c r="F3728" s="17">
        <f>IF(B3728="","","outreach_sent")</f>
        <v/>
      </c>
      <c r="G3728" s="17">
        <f>IF(B3728="","","")</f>
        <v/>
      </c>
      <c r="H3728" s="17">
        <f>IF(B3728="","","")</f>
        <v/>
      </c>
      <c r="I3728" s="17">
        <f>IF(B3728="","","")</f>
        <v/>
      </c>
      <c r="J3728" s="17">
        <f>IF(B3728="","","touch_1; "&amp;IFERROR(INDEX(Clay_Brands!$A$2:$FZ$601,277,Sync!$D$10)&amp;"","")&amp;"; "&amp;IFERROR(INDEX(Clay_Brands!$A$2:$FZ$601,277,Sync!$D$9)&amp;"",""))</f>
        <v/>
      </c>
      <c r="K3728" t="inlineStr">
        <is>
          <t>brand outreach touch 1</t>
        </is>
      </c>
    </row>
    <row r="3729">
      <c r="A3729" s="17">
        <f>IF(B3729="","",B3729+(15*1000+278)/10000000)</f>
        <v/>
      </c>
      <c r="B3729" s="23">
        <f>IF(AND(IFERROR(N(INDEX(Clay_Brands!$A$2:$FZ$601,278,Sync!$D$11)),0)&gt;0,IFERROR(INDEX(Clay_Brands!$A$2:$FZ$601,278,Sync!$D$5)&amp;"","")&lt;&gt;"",OR(LEFT(IFERROR(INDEX(Clay_Brands!$A$2:$FZ$601,278,Sync!$D$5)&amp;"",""),6)&lt;&gt;"SAMPLE",Config!$B$19="Y")),IFERROR(N(INDEX(Clay_Brands!$A$2:$FZ$601,278,Sync!$D$11)),0),"")</f>
        <v/>
      </c>
      <c r="C3729" s="17">
        <f>IF(B3729="","","brand")</f>
        <v/>
      </c>
      <c r="D3729" s="17">
        <f>IF(B3729="","",IFERROR(INDEX(Clay_Brands!$A$2:$FZ$601,278,Sync!$D$5)&amp;"",""))</f>
        <v/>
      </c>
      <c r="E3729" s="17">
        <f>IF(B3729="","",IFERROR(INDEX(Clay_Brands!$A$2:$FZ$601,278,Sync!$D$6)&amp;"",""))</f>
        <v/>
      </c>
      <c r="F3729" s="17">
        <f>IF(B3729="","","outreach_sent")</f>
        <v/>
      </c>
      <c r="G3729" s="17">
        <f>IF(B3729="","","")</f>
        <v/>
      </c>
      <c r="H3729" s="17">
        <f>IF(B3729="","","")</f>
        <v/>
      </c>
      <c r="I3729" s="17">
        <f>IF(B3729="","","")</f>
        <v/>
      </c>
      <c r="J3729" s="17">
        <f>IF(B3729="","","touch_1; "&amp;IFERROR(INDEX(Clay_Brands!$A$2:$FZ$601,278,Sync!$D$10)&amp;"","")&amp;"; "&amp;IFERROR(INDEX(Clay_Brands!$A$2:$FZ$601,278,Sync!$D$9)&amp;"",""))</f>
        <v/>
      </c>
      <c r="K3729" t="inlineStr">
        <is>
          <t>brand outreach touch 1</t>
        </is>
      </c>
    </row>
    <row r="3730">
      <c r="A3730" s="17">
        <f>IF(B3730="","",B3730+(15*1000+279)/10000000)</f>
        <v/>
      </c>
      <c r="B3730" s="23">
        <f>IF(AND(IFERROR(N(INDEX(Clay_Brands!$A$2:$FZ$601,279,Sync!$D$11)),0)&gt;0,IFERROR(INDEX(Clay_Brands!$A$2:$FZ$601,279,Sync!$D$5)&amp;"","")&lt;&gt;"",OR(LEFT(IFERROR(INDEX(Clay_Brands!$A$2:$FZ$601,279,Sync!$D$5)&amp;"",""),6)&lt;&gt;"SAMPLE",Config!$B$19="Y")),IFERROR(N(INDEX(Clay_Brands!$A$2:$FZ$601,279,Sync!$D$11)),0),"")</f>
        <v/>
      </c>
      <c r="C3730" s="17">
        <f>IF(B3730="","","brand")</f>
        <v/>
      </c>
      <c r="D3730" s="17">
        <f>IF(B3730="","",IFERROR(INDEX(Clay_Brands!$A$2:$FZ$601,279,Sync!$D$5)&amp;"",""))</f>
        <v/>
      </c>
      <c r="E3730" s="17">
        <f>IF(B3730="","",IFERROR(INDEX(Clay_Brands!$A$2:$FZ$601,279,Sync!$D$6)&amp;"",""))</f>
        <v/>
      </c>
      <c r="F3730" s="17">
        <f>IF(B3730="","","outreach_sent")</f>
        <v/>
      </c>
      <c r="G3730" s="17">
        <f>IF(B3730="","","")</f>
        <v/>
      </c>
      <c r="H3730" s="17">
        <f>IF(B3730="","","")</f>
        <v/>
      </c>
      <c r="I3730" s="17">
        <f>IF(B3730="","","")</f>
        <v/>
      </c>
      <c r="J3730" s="17">
        <f>IF(B3730="","","touch_1; "&amp;IFERROR(INDEX(Clay_Brands!$A$2:$FZ$601,279,Sync!$D$10)&amp;"","")&amp;"; "&amp;IFERROR(INDEX(Clay_Brands!$A$2:$FZ$601,279,Sync!$D$9)&amp;"",""))</f>
        <v/>
      </c>
      <c r="K3730" t="inlineStr">
        <is>
          <t>brand outreach touch 1</t>
        </is>
      </c>
    </row>
    <row r="3731">
      <c r="A3731" s="17">
        <f>IF(B3731="","",B3731+(15*1000+280)/10000000)</f>
        <v/>
      </c>
      <c r="B3731" s="23">
        <f>IF(AND(IFERROR(N(INDEX(Clay_Brands!$A$2:$FZ$601,280,Sync!$D$11)),0)&gt;0,IFERROR(INDEX(Clay_Brands!$A$2:$FZ$601,280,Sync!$D$5)&amp;"","")&lt;&gt;"",OR(LEFT(IFERROR(INDEX(Clay_Brands!$A$2:$FZ$601,280,Sync!$D$5)&amp;"",""),6)&lt;&gt;"SAMPLE",Config!$B$19="Y")),IFERROR(N(INDEX(Clay_Brands!$A$2:$FZ$601,280,Sync!$D$11)),0),"")</f>
        <v/>
      </c>
      <c r="C3731" s="17">
        <f>IF(B3731="","","brand")</f>
        <v/>
      </c>
      <c r="D3731" s="17">
        <f>IF(B3731="","",IFERROR(INDEX(Clay_Brands!$A$2:$FZ$601,280,Sync!$D$5)&amp;"",""))</f>
        <v/>
      </c>
      <c r="E3731" s="17">
        <f>IF(B3731="","",IFERROR(INDEX(Clay_Brands!$A$2:$FZ$601,280,Sync!$D$6)&amp;"",""))</f>
        <v/>
      </c>
      <c r="F3731" s="17">
        <f>IF(B3731="","","outreach_sent")</f>
        <v/>
      </c>
      <c r="G3731" s="17">
        <f>IF(B3731="","","")</f>
        <v/>
      </c>
      <c r="H3731" s="17">
        <f>IF(B3731="","","")</f>
        <v/>
      </c>
      <c r="I3731" s="17">
        <f>IF(B3731="","","")</f>
        <v/>
      </c>
      <c r="J3731" s="17">
        <f>IF(B3731="","","touch_1; "&amp;IFERROR(INDEX(Clay_Brands!$A$2:$FZ$601,280,Sync!$D$10)&amp;"","")&amp;"; "&amp;IFERROR(INDEX(Clay_Brands!$A$2:$FZ$601,280,Sync!$D$9)&amp;"",""))</f>
        <v/>
      </c>
      <c r="K3731" t="inlineStr">
        <is>
          <t>brand outreach touch 1</t>
        </is>
      </c>
    </row>
    <row r="3732">
      <c r="A3732" s="17">
        <f>IF(B3732="","",B3732+(15*1000+281)/10000000)</f>
        <v/>
      </c>
      <c r="B3732" s="23">
        <f>IF(AND(IFERROR(N(INDEX(Clay_Brands!$A$2:$FZ$601,281,Sync!$D$11)),0)&gt;0,IFERROR(INDEX(Clay_Brands!$A$2:$FZ$601,281,Sync!$D$5)&amp;"","")&lt;&gt;"",OR(LEFT(IFERROR(INDEX(Clay_Brands!$A$2:$FZ$601,281,Sync!$D$5)&amp;"",""),6)&lt;&gt;"SAMPLE",Config!$B$19="Y")),IFERROR(N(INDEX(Clay_Brands!$A$2:$FZ$601,281,Sync!$D$11)),0),"")</f>
        <v/>
      </c>
      <c r="C3732" s="17">
        <f>IF(B3732="","","brand")</f>
        <v/>
      </c>
      <c r="D3732" s="17">
        <f>IF(B3732="","",IFERROR(INDEX(Clay_Brands!$A$2:$FZ$601,281,Sync!$D$5)&amp;"",""))</f>
        <v/>
      </c>
      <c r="E3732" s="17">
        <f>IF(B3732="","",IFERROR(INDEX(Clay_Brands!$A$2:$FZ$601,281,Sync!$D$6)&amp;"",""))</f>
        <v/>
      </c>
      <c r="F3732" s="17">
        <f>IF(B3732="","","outreach_sent")</f>
        <v/>
      </c>
      <c r="G3732" s="17">
        <f>IF(B3732="","","")</f>
        <v/>
      </c>
      <c r="H3732" s="17">
        <f>IF(B3732="","","")</f>
        <v/>
      </c>
      <c r="I3732" s="17">
        <f>IF(B3732="","","")</f>
        <v/>
      </c>
      <c r="J3732" s="17">
        <f>IF(B3732="","","touch_1; "&amp;IFERROR(INDEX(Clay_Brands!$A$2:$FZ$601,281,Sync!$D$10)&amp;"","")&amp;"; "&amp;IFERROR(INDEX(Clay_Brands!$A$2:$FZ$601,281,Sync!$D$9)&amp;"",""))</f>
        <v/>
      </c>
      <c r="K3732" t="inlineStr">
        <is>
          <t>brand outreach touch 1</t>
        </is>
      </c>
    </row>
    <row r="3733">
      <c r="A3733" s="17">
        <f>IF(B3733="","",B3733+(15*1000+282)/10000000)</f>
        <v/>
      </c>
      <c r="B3733" s="23">
        <f>IF(AND(IFERROR(N(INDEX(Clay_Brands!$A$2:$FZ$601,282,Sync!$D$11)),0)&gt;0,IFERROR(INDEX(Clay_Brands!$A$2:$FZ$601,282,Sync!$D$5)&amp;"","")&lt;&gt;"",OR(LEFT(IFERROR(INDEX(Clay_Brands!$A$2:$FZ$601,282,Sync!$D$5)&amp;"",""),6)&lt;&gt;"SAMPLE",Config!$B$19="Y")),IFERROR(N(INDEX(Clay_Brands!$A$2:$FZ$601,282,Sync!$D$11)),0),"")</f>
        <v/>
      </c>
      <c r="C3733" s="17">
        <f>IF(B3733="","","brand")</f>
        <v/>
      </c>
      <c r="D3733" s="17">
        <f>IF(B3733="","",IFERROR(INDEX(Clay_Brands!$A$2:$FZ$601,282,Sync!$D$5)&amp;"",""))</f>
        <v/>
      </c>
      <c r="E3733" s="17">
        <f>IF(B3733="","",IFERROR(INDEX(Clay_Brands!$A$2:$FZ$601,282,Sync!$D$6)&amp;"",""))</f>
        <v/>
      </c>
      <c r="F3733" s="17">
        <f>IF(B3733="","","outreach_sent")</f>
        <v/>
      </c>
      <c r="G3733" s="17">
        <f>IF(B3733="","","")</f>
        <v/>
      </c>
      <c r="H3733" s="17">
        <f>IF(B3733="","","")</f>
        <v/>
      </c>
      <c r="I3733" s="17">
        <f>IF(B3733="","","")</f>
        <v/>
      </c>
      <c r="J3733" s="17">
        <f>IF(B3733="","","touch_1; "&amp;IFERROR(INDEX(Clay_Brands!$A$2:$FZ$601,282,Sync!$D$10)&amp;"","")&amp;"; "&amp;IFERROR(INDEX(Clay_Brands!$A$2:$FZ$601,282,Sync!$D$9)&amp;"",""))</f>
        <v/>
      </c>
      <c r="K3733" t="inlineStr">
        <is>
          <t>brand outreach touch 1</t>
        </is>
      </c>
    </row>
    <row r="3734">
      <c r="A3734" s="17">
        <f>IF(B3734="","",B3734+(15*1000+283)/10000000)</f>
        <v/>
      </c>
      <c r="B3734" s="23">
        <f>IF(AND(IFERROR(N(INDEX(Clay_Brands!$A$2:$FZ$601,283,Sync!$D$11)),0)&gt;0,IFERROR(INDEX(Clay_Brands!$A$2:$FZ$601,283,Sync!$D$5)&amp;"","")&lt;&gt;"",OR(LEFT(IFERROR(INDEX(Clay_Brands!$A$2:$FZ$601,283,Sync!$D$5)&amp;"",""),6)&lt;&gt;"SAMPLE",Config!$B$19="Y")),IFERROR(N(INDEX(Clay_Brands!$A$2:$FZ$601,283,Sync!$D$11)),0),"")</f>
        <v/>
      </c>
      <c r="C3734" s="17">
        <f>IF(B3734="","","brand")</f>
        <v/>
      </c>
      <c r="D3734" s="17">
        <f>IF(B3734="","",IFERROR(INDEX(Clay_Brands!$A$2:$FZ$601,283,Sync!$D$5)&amp;"",""))</f>
        <v/>
      </c>
      <c r="E3734" s="17">
        <f>IF(B3734="","",IFERROR(INDEX(Clay_Brands!$A$2:$FZ$601,283,Sync!$D$6)&amp;"",""))</f>
        <v/>
      </c>
      <c r="F3734" s="17">
        <f>IF(B3734="","","outreach_sent")</f>
        <v/>
      </c>
      <c r="G3734" s="17">
        <f>IF(B3734="","","")</f>
        <v/>
      </c>
      <c r="H3734" s="17">
        <f>IF(B3734="","","")</f>
        <v/>
      </c>
      <c r="I3734" s="17">
        <f>IF(B3734="","","")</f>
        <v/>
      </c>
      <c r="J3734" s="17">
        <f>IF(B3734="","","touch_1; "&amp;IFERROR(INDEX(Clay_Brands!$A$2:$FZ$601,283,Sync!$D$10)&amp;"","")&amp;"; "&amp;IFERROR(INDEX(Clay_Brands!$A$2:$FZ$601,283,Sync!$D$9)&amp;"",""))</f>
        <v/>
      </c>
      <c r="K3734" t="inlineStr">
        <is>
          <t>brand outreach touch 1</t>
        </is>
      </c>
    </row>
    <row r="3735">
      <c r="A3735" s="17">
        <f>IF(B3735="","",B3735+(15*1000+284)/10000000)</f>
        <v/>
      </c>
      <c r="B3735" s="23">
        <f>IF(AND(IFERROR(N(INDEX(Clay_Brands!$A$2:$FZ$601,284,Sync!$D$11)),0)&gt;0,IFERROR(INDEX(Clay_Brands!$A$2:$FZ$601,284,Sync!$D$5)&amp;"","")&lt;&gt;"",OR(LEFT(IFERROR(INDEX(Clay_Brands!$A$2:$FZ$601,284,Sync!$D$5)&amp;"",""),6)&lt;&gt;"SAMPLE",Config!$B$19="Y")),IFERROR(N(INDEX(Clay_Brands!$A$2:$FZ$601,284,Sync!$D$11)),0),"")</f>
        <v/>
      </c>
      <c r="C3735" s="17">
        <f>IF(B3735="","","brand")</f>
        <v/>
      </c>
      <c r="D3735" s="17">
        <f>IF(B3735="","",IFERROR(INDEX(Clay_Brands!$A$2:$FZ$601,284,Sync!$D$5)&amp;"",""))</f>
        <v/>
      </c>
      <c r="E3735" s="17">
        <f>IF(B3735="","",IFERROR(INDEX(Clay_Brands!$A$2:$FZ$601,284,Sync!$D$6)&amp;"",""))</f>
        <v/>
      </c>
      <c r="F3735" s="17">
        <f>IF(B3735="","","outreach_sent")</f>
        <v/>
      </c>
      <c r="G3735" s="17">
        <f>IF(B3735="","","")</f>
        <v/>
      </c>
      <c r="H3735" s="17">
        <f>IF(B3735="","","")</f>
        <v/>
      </c>
      <c r="I3735" s="17">
        <f>IF(B3735="","","")</f>
        <v/>
      </c>
      <c r="J3735" s="17">
        <f>IF(B3735="","","touch_1; "&amp;IFERROR(INDEX(Clay_Brands!$A$2:$FZ$601,284,Sync!$D$10)&amp;"","")&amp;"; "&amp;IFERROR(INDEX(Clay_Brands!$A$2:$FZ$601,284,Sync!$D$9)&amp;"",""))</f>
        <v/>
      </c>
      <c r="K3735" t="inlineStr">
        <is>
          <t>brand outreach touch 1</t>
        </is>
      </c>
    </row>
    <row r="3736">
      <c r="A3736" s="17">
        <f>IF(B3736="","",B3736+(15*1000+285)/10000000)</f>
        <v/>
      </c>
      <c r="B3736" s="23">
        <f>IF(AND(IFERROR(N(INDEX(Clay_Brands!$A$2:$FZ$601,285,Sync!$D$11)),0)&gt;0,IFERROR(INDEX(Clay_Brands!$A$2:$FZ$601,285,Sync!$D$5)&amp;"","")&lt;&gt;"",OR(LEFT(IFERROR(INDEX(Clay_Brands!$A$2:$FZ$601,285,Sync!$D$5)&amp;"",""),6)&lt;&gt;"SAMPLE",Config!$B$19="Y")),IFERROR(N(INDEX(Clay_Brands!$A$2:$FZ$601,285,Sync!$D$11)),0),"")</f>
        <v/>
      </c>
      <c r="C3736" s="17">
        <f>IF(B3736="","","brand")</f>
        <v/>
      </c>
      <c r="D3736" s="17">
        <f>IF(B3736="","",IFERROR(INDEX(Clay_Brands!$A$2:$FZ$601,285,Sync!$D$5)&amp;"",""))</f>
        <v/>
      </c>
      <c r="E3736" s="17">
        <f>IF(B3736="","",IFERROR(INDEX(Clay_Brands!$A$2:$FZ$601,285,Sync!$D$6)&amp;"",""))</f>
        <v/>
      </c>
      <c r="F3736" s="17">
        <f>IF(B3736="","","outreach_sent")</f>
        <v/>
      </c>
      <c r="G3736" s="17">
        <f>IF(B3736="","","")</f>
        <v/>
      </c>
      <c r="H3736" s="17">
        <f>IF(B3736="","","")</f>
        <v/>
      </c>
      <c r="I3736" s="17">
        <f>IF(B3736="","","")</f>
        <v/>
      </c>
      <c r="J3736" s="17">
        <f>IF(B3736="","","touch_1; "&amp;IFERROR(INDEX(Clay_Brands!$A$2:$FZ$601,285,Sync!$D$10)&amp;"","")&amp;"; "&amp;IFERROR(INDEX(Clay_Brands!$A$2:$FZ$601,285,Sync!$D$9)&amp;"",""))</f>
        <v/>
      </c>
      <c r="K3736" t="inlineStr">
        <is>
          <t>brand outreach touch 1</t>
        </is>
      </c>
    </row>
    <row r="3737">
      <c r="A3737" s="17">
        <f>IF(B3737="","",B3737+(15*1000+286)/10000000)</f>
        <v/>
      </c>
      <c r="B3737" s="23">
        <f>IF(AND(IFERROR(N(INDEX(Clay_Brands!$A$2:$FZ$601,286,Sync!$D$11)),0)&gt;0,IFERROR(INDEX(Clay_Brands!$A$2:$FZ$601,286,Sync!$D$5)&amp;"","")&lt;&gt;"",OR(LEFT(IFERROR(INDEX(Clay_Brands!$A$2:$FZ$601,286,Sync!$D$5)&amp;"",""),6)&lt;&gt;"SAMPLE",Config!$B$19="Y")),IFERROR(N(INDEX(Clay_Brands!$A$2:$FZ$601,286,Sync!$D$11)),0),"")</f>
        <v/>
      </c>
      <c r="C3737" s="17">
        <f>IF(B3737="","","brand")</f>
        <v/>
      </c>
      <c r="D3737" s="17">
        <f>IF(B3737="","",IFERROR(INDEX(Clay_Brands!$A$2:$FZ$601,286,Sync!$D$5)&amp;"",""))</f>
        <v/>
      </c>
      <c r="E3737" s="17">
        <f>IF(B3737="","",IFERROR(INDEX(Clay_Brands!$A$2:$FZ$601,286,Sync!$D$6)&amp;"",""))</f>
        <v/>
      </c>
      <c r="F3737" s="17">
        <f>IF(B3737="","","outreach_sent")</f>
        <v/>
      </c>
      <c r="G3737" s="17">
        <f>IF(B3737="","","")</f>
        <v/>
      </c>
      <c r="H3737" s="17">
        <f>IF(B3737="","","")</f>
        <v/>
      </c>
      <c r="I3737" s="17">
        <f>IF(B3737="","","")</f>
        <v/>
      </c>
      <c r="J3737" s="17">
        <f>IF(B3737="","","touch_1; "&amp;IFERROR(INDEX(Clay_Brands!$A$2:$FZ$601,286,Sync!$D$10)&amp;"","")&amp;"; "&amp;IFERROR(INDEX(Clay_Brands!$A$2:$FZ$601,286,Sync!$D$9)&amp;"",""))</f>
        <v/>
      </c>
      <c r="K3737" t="inlineStr">
        <is>
          <t>brand outreach touch 1</t>
        </is>
      </c>
    </row>
    <row r="3738">
      <c r="A3738" s="17">
        <f>IF(B3738="","",B3738+(15*1000+287)/10000000)</f>
        <v/>
      </c>
      <c r="B3738" s="23">
        <f>IF(AND(IFERROR(N(INDEX(Clay_Brands!$A$2:$FZ$601,287,Sync!$D$11)),0)&gt;0,IFERROR(INDEX(Clay_Brands!$A$2:$FZ$601,287,Sync!$D$5)&amp;"","")&lt;&gt;"",OR(LEFT(IFERROR(INDEX(Clay_Brands!$A$2:$FZ$601,287,Sync!$D$5)&amp;"",""),6)&lt;&gt;"SAMPLE",Config!$B$19="Y")),IFERROR(N(INDEX(Clay_Brands!$A$2:$FZ$601,287,Sync!$D$11)),0),"")</f>
        <v/>
      </c>
      <c r="C3738" s="17">
        <f>IF(B3738="","","brand")</f>
        <v/>
      </c>
      <c r="D3738" s="17">
        <f>IF(B3738="","",IFERROR(INDEX(Clay_Brands!$A$2:$FZ$601,287,Sync!$D$5)&amp;"",""))</f>
        <v/>
      </c>
      <c r="E3738" s="17">
        <f>IF(B3738="","",IFERROR(INDEX(Clay_Brands!$A$2:$FZ$601,287,Sync!$D$6)&amp;"",""))</f>
        <v/>
      </c>
      <c r="F3738" s="17">
        <f>IF(B3738="","","outreach_sent")</f>
        <v/>
      </c>
      <c r="G3738" s="17">
        <f>IF(B3738="","","")</f>
        <v/>
      </c>
      <c r="H3738" s="17">
        <f>IF(B3738="","","")</f>
        <v/>
      </c>
      <c r="I3738" s="17">
        <f>IF(B3738="","","")</f>
        <v/>
      </c>
      <c r="J3738" s="17">
        <f>IF(B3738="","","touch_1; "&amp;IFERROR(INDEX(Clay_Brands!$A$2:$FZ$601,287,Sync!$D$10)&amp;"","")&amp;"; "&amp;IFERROR(INDEX(Clay_Brands!$A$2:$FZ$601,287,Sync!$D$9)&amp;"",""))</f>
        <v/>
      </c>
      <c r="K3738" t="inlineStr">
        <is>
          <t>brand outreach touch 1</t>
        </is>
      </c>
    </row>
    <row r="3739">
      <c r="A3739" s="17">
        <f>IF(B3739="","",B3739+(15*1000+288)/10000000)</f>
        <v/>
      </c>
      <c r="B3739" s="23">
        <f>IF(AND(IFERROR(N(INDEX(Clay_Brands!$A$2:$FZ$601,288,Sync!$D$11)),0)&gt;0,IFERROR(INDEX(Clay_Brands!$A$2:$FZ$601,288,Sync!$D$5)&amp;"","")&lt;&gt;"",OR(LEFT(IFERROR(INDEX(Clay_Brands!$A$2:$FZ$601,288,Sync!$D$5)&amp;"",""),6)&lt;&gt;"SAMPLE",Config!$B$19="Y")),IFERROR(N(INDEX(Clay_Brands!$A$2:$FZ$601,288,Sync!$D$11)),0),"")</f>
        <v/>
      </c>
      <c r="C3739" s="17">
        <f>IF(B3739="","","brand")</f>
        <v/>
      </c>
      <c r="D3739" s="17">
        <f>IF(B3739="","",IFERROR(INDEX(Clay_Brands!$A$2:$FZ$601,288,Sync!$D$5)&amp;"",""))</f>
        <v/>
      </c>
      <c r="E3739" s="17">
        <f>IF(B3739="","",IFERROR(INDEX(Clay_Brands!$A$2:$FZ$601,288,Sync!$D$6)&amp;"",""))</f>
        <v/>
      </c>
      <c r="F3739" s="17">
        <f>IF(B3739="","","outreach_sent")</f>
        <v/>
      </c>
      <c r="G3739" s="17">
        <f>IF(B3739="","","")</f>
        <v/>
      </c>
      <c r="H3739" s="17">
        <f>IF(B3739="","","")</f>
        <v/>
      </c>
      <c r="I3739" s="17">
        <f>IF(B3739="","","")</f>
        <v/>
      </c>
      <c r="J3739" s="17">
        <f>IF(B3739="","","touch_1; "&amp;IFERROR(INDEX(Clay_Brands!$A$2:$FZ$601,288,Sync!$D$10)&amp;"","")&amp;"; "&amp;IFERROR(INDEX(Clay_Brands!$A$2:$FZ$601,288,Sync!$D$9)&amp;"",""))</f>
        <v/>
      </c>
      <c r="K3739" t="inlineStr">
        <is>
          <t>brand outreach touch 1</t>
        </is>
      </c>
    </row>
    <row r="3740">
      <c r="A3740" s="17">
        <f>IF(B3740="","",B3740+(15*1000+289)/10000000)</f>
        <v/>
      </c>
      <c r="B3740" s="23">
        <f>IF(AND(IFERROR(N(INDEX(Clay_Brands!$A$2:$FZ$601,289,Sync!$D$11)),0)&gt;0,IFERROR(INDEX(Clay_Brands!$A$2:$FZ$601,289,Sync!$D$5)&amp;"","")&lt;&gt;"",OR(LEFT(IFERROR(INDEX(Clay_Brands!$A$2:$FZ$601,289,Sync!$D$5)&amp;"",""),6)&lt;&gt;"SAMPLE",Config!$B$19="Y")),IFERROR(N(INDEX(Clay_Brands!$A$2:$FZ$601,289,Sync!$D$11)),0),"")</f>
        <v/>
      </c>
      <c r="C3740" s="17">
        <f>IF(B3740="","","brand")</f>
        <v/>
      </c>
      <c r="D3740" s="17">
        <f>IF(B3740="","",IFERROR(INDEX(Clay_Brands!$A$2:$FZ$601,289,Sync!$D$5)&amp;"",""))</f>
        <v/>
      </c>
      <c r="E3740" s="17">
        <f>IF(B3740="","",IFERROR(INDEX(Clay_Brands!$A$2:$FZ$601,289,Sync!$D$6)&amp;"",""))</f>
        <v/>
      </c>
      <c r="F3740" s="17">
        <f>IF(B3740="","","outreach_sent")</f>
        <v/>
      </c>
      <c r="G3740" s="17">
        <f>IF(B3740="","","")</f>
        <v/>
      </c>
      <c r="H3740" s="17">
        <f>IF(B3740="","","")</f>
        <v/>
      </c>
      <c r="I3740" s="17">
        <f>IF(B3740="","","")</f>
        <v/>
      </c>
      <c r="J3740" s="17">
        <f>IF(B3740="","","touch_1; "&amp;IFERROR(INDEX(Clay_Brands!$A$2:$FZ$601,289,Sync!$D$10)&amp;"","")&amp;"; "&amp;IFERROR(INDEX(Clay_Brands!$A$2:$FZ$601,289,Sync!$D$9)&amp;"",""))</f>
        <v/>
      </c>
      <c r="K3740" t="inlineStr">
        <is>
          <t>brand outreach touch 1</t>
        </is>
      </c>
    </row>
    <row r="3741">
      <c r="A3741" s="17">
        <f>IF(B3741="","",B3741+(15*1000+290)/10000000)</f>
        <v/>
      </c>
      <c r="B3741" s="23">
        <f>IF(AND(IFERROR(N(INDEX(Clay_Brands!$A$2:$FZ$601,290,Sync!$D$11)),0)&gt;0,IFERROR(INDEX(Clay_Brands!$A$2:$FZ$601,290,Sync!$D$5)&amp;"","")&lt;&gt;"",OR(LEFT(IFERROR(INDEX(Clay_Brands!$A$2:$FZ$601,290,Sync!$D$5)&amp;"",""),6)&lt;&gt;"SAMPLE",Config!$B$19="Y")),IFERROR(N(INDEX(Clay_Brands!$A$2:$FZ$601,290,Sync!$D$11)),0),"")</f>
        <v/>
      </c>
      <c r="C3741" s="17">
        <f>IF(B3741="","","brand")</f>
        <v/>
      </c>
      <c r="D3741" s="17">
        <f>IF(B3741="","",IFERROR(INDEX(Clay_Brands!$A$2:$FZ$601,290,Sync!$D$5)&amp;"",""))</f>
        <v/>
      </c>
      <c r="E3741" s="17">
        <f>IF(B3741="","",IFERROR(INDEX(Clay_Brands!$A$2:$FZ$601,290,Sync!$D$6)&amp;"",""))</f>
        <v/>
      </c>
      <c r="F3741" s="17">
        <f>IF(B3741="","","outreach_sent")</f>
        <v/>
      </c>
      <c r="G3741" s="17">
        <f>IF(B3741="","","")</f>
        <v/>
      </c>
      <c r="H3741" s="17">
        <f>IF(B3741="","","")</f>
        <v/>
      </c>
      <c r="I3741" s="17">
        <f>IF(B3741="","","")</f>
        <v/>
      </c>
      <c r="J3741" s="17">
        <f>IF(B3741="","","touch_1; "&amp;IFERROR(INDEX(Clay_Brands!$A$2:$FZ$601,290,Sync!$D$10)&amp;"","")&amp;"; "&amp;IFERROR(INDEX(Clay_Brands!$A$2:$FZ$601,290,Sync!$D$9)&amp;"",""))</f>
        <v/>
      </c>
      <c r="K3741" t="inlineStr">
        <is>
          <t>brand outreach touch 1</t>
        </is>
      </c>
    </row>
    <row r="3742">
      <c r="A3742" s="17">
        <f>IF(B3742="","",B3742+(15*1000+291)/10000000)</f>
        <v/>
      </c>
      <c r="B3742" s="23">
        <f>IF(AND(IFERROR(N(INDEX(Clay_Brands!$A$2:$FZ$601,291,Sync!$D$11)),0)&gt;0,IFERROR(INDEX(Clay_Brands!$A$2:$FZ$601,291,Sync!$D$5)&amp;"","")&lt;&gt;"",OR(LEFT(IFERROR(INDEX(Clay_Brands!$A$2:$FZ$601,291,Sync!$D$5)&amp;"",""),6)&lt;&gt;"SAMPLE",Config!$B$19="Y")),IFERROR(N(INDEX(Clay_Brands!$A$2:$FZ$601,291,Sync!$D$11)),0),"")</f>
        <v/>
      </c>
      <c r="C3742" s="17">
        <f>IF(B3742="","","brand")</f>
        <v/>
      </c>
      <c r="D3742" s="17">
        <f>IF(B3742="","",IFERROR(INDEX(Clay_Brands!$A$2:$FZ$601,291,Sync!$D$5)&amp;"",""))</f>
        <v/>
      </c>
      <c r="E3742" s="17">
        <f>IF(B3742="","",IFERROR(INDEX(Clay_Brands!$A$2:$FZ$601,291,Sync!$D$6)&amp;"",""))</f>
        <v/>
      </c>
      <c r="F3742" s="17">
        <f>IF(B3742="","","outreach_sent")</f>
        <v/>
      </c>
      <c r="G3742" s="17">
        <f>IF(B3742="","","")</f>
        <v/>
      </c>
      <c r="H3742" s="17">
        <f>IF(B3742="","","")</f>
        <v/>
      </c>
      <c r="I3742" s="17">
        <f>IF(B3742="","","")</f>
        <v/>
      </c>
      <c r="J3742" s="17">
        <f>IF(B3742="","","touch_1; "&amp;IFERROR(INDEX(Clay_Brands!$A$2:$FZ$601,291,Sync!$D$10)&amp;"","")&amp;"; "&amp;IFERROR(INDEX(Clay_Brands!$A$2:$FZ$601,291,Sync!$D$9)&amp;"",""))</f>
        <v/>
      </c>
      <c r="K3742" t="inlineStr">
        <is>
          <t>brand outreach touch 1</t>
        </is>
      </c>
    </row>
    <row r="3743">
      <c r="A3743" s="17">
        <f>IF(B3743="","",B3743+(15*1000+292)/10000000)</f>
        <v/>
      </c>
      <c r="B3743" s="23">
        <f>IF(AND(IFERROR(N(INDEX(Clay_Brands!$A$2:$FZ$601,292,Sync!$D$11)),0)&gt;0,IFERROR(INDEX(Clay_Brands!$A$2:$FZ$601,292,Sync!$D$5)&amp;"","")&lt;&gt;"",OR(LEFT(IFERROR(INDEX(Clay_Brands!$A$2:$FZ$601,292,Sync!$D$5)&amp;"",""),6)&lt;&gt;"SAMPLE",Config!$B$19="Y")),IFERROR(N(INDEX(Clay_Brands!$A$2:$FZ$601,292,Sync!$D$11)),0),"")</f>
        <v/>
      </c>
      <c r="C3743" s="17">
        <f>IF(B3743="","","brand")</f>
        <v/>
      </c>
      <c r="D3743" s="17">
        <f>IF(B3743="","",IFERROR(INDEX(Clay_Brands!$A$2:$FZ$601,292,Sync!$D$5)&amp;"",""))</f>
        <v/>
      </c>
      <c r="E3743" s="17">
        <f>IF(B3743="","",IFERROR(INDEX(Clay_Brands!$A$2:$FZ$601,292,Sync!$D$6)&amp;"",""))</f>
        <v/>
      </c>
      <c r="F3743" s="17">
        <f>IF(B3743="","","outreach_sent")</f>
        <v/>
      </c>
      <c r="G3743" s="17">
        <f>IF(B3743="","","")</f>
        <v/>
      </c>
      <c r="H3743" s="17">
        <f>IF(B3743="","","")</f>
        <v/>
      </c>
      <c r="I3743" s="17">
        <f>IF(B3743="","","")</f>
        <v/>
      </c>
      <c r="J3743" s="17">
        <f>IF(B3743="","","touch_1; "&amp;IFERROR(INDEX(Clay_Brands!$A$2:$FZ$601,292,Sync!$D$10)&amp;"","")&amp;"; "&amp;IFERROR(INDEX(Clay_Brands!$A$2:$FZ$601,292,Sync!$D$9)&amp;"",""))</f>
        <v/>
      </c>
      <c r="K3743" t="inlineStr">
        <is>
          <t>brand outreach touch 1</t>
        </is>
      </c>
    </row>
    <row r="3744">
      <c r="A3744" s="17">
        <f>IF(B3744="","",B3744+(15*1000+293)/10000000)</f>
        <v/>
      </c>
      <c r="B3744" s="23">
        <f>IF(AND(IFERROR(N(INDEX(Clay_Brands!$A$2:$FZ$601,293,Sync!$D$11)),0)&gt;0,IFERROR(INDEX(Clay_Brands!$A$2:$FZ$601,293,Sync!$D$5)&amp;"","")&lt;&gt;"",OR(LEFT(IFERROR(INDEX(Clay_Brands!$A$2:$FZ$601,293,Sync!$D$5)&amp;"",""),6)&lt;&gt;"SAMPLE",Config!$B$19="Y")),IFERROR(N(INDEX(Clay_Brands!$A$2:$FZ$601,293,Sync!$D$11)),0),"")</f>
        <v/>
      </c>
      <c r="C3744" s="17">
        <f>IF(B3744="","","brand")</f>
        <v/>
      </c>
      <c r="D3744" s="17">
        <f>IF(B3744="","",IFERROR(INDEX(Clay_Brands!$A$2:$FZ$601,293,Sync!$D$5)&amp;"",""))</f>
        <v/>
      </c>
      <c r="E3744" s="17">
        <f>IF(B3744="","",IFERROR(INDEX(Clay_Brands!$A$2:$FZ$601,293,Sync!$D$6)&amp;"",""))</f>
        <v/>
      </c>
      <c r="F3744" s="17">
        <f>IF(B3744="","","outreach_sent")</f>
        <v/>
      </c>
      <c r="G3744" s="17">
        <f>IF(B3744="","","")</f>
        <v/>
      </c>
      <c r="H3744" s="17">
        <f>IF(B3744="","","")</f>
        <v/>
      </c>
      <c r="I3744" s="17">
        <f>IF(B3744="","","")</f>
        <v/>
      </c>
      <c r="J3744" s="17">
        <f>IF(B3744="","","touch_1; "&amp;IFERROR(INDEX(Clay_Brands!$A$2:$FZ$601,293,Sync!$D$10)&amp;"","")&amp;"; "&amp;IFERROR(INDEX(Clay_Brands!$A$2:$FZ$601,293,Sync!$D$9)&amp;"",""))</f>
        <v/>
      </c>
      <c r="K3744" t="inlineStr">
        <is>
          <t>brand outreach touch 1</t>
        </is>
      </c>
    </row>
    <row r="3745">
      <c r="A3745" s="17">
        <f>IF(B3745="","",B3745+(15*1000+294)/10000000)</f>
        <v/>
      </c>
      <c r="B3745" s="23">
        <f>IF(AND(IFERROR(N(INDEX(Clay_Brands!$A$2:$FZ$601,294,Sync!$D$11)),0)&gt;0,IFERROR(INDEX(Clay_Brands!$A$2:$FZ$601,294,Sync!$D$5)&amp;"","")&lt;&gt;"",OR(LEFT(IFERROR(INDEX(Clay_Brands!$A$2:$FZ$601,294,Sync!$D$5)&amp;"",""),6)&lt;&gt;"SAMPLE",Config!$B$19="Y")),IFERROR(N(INDEX(Clay_Brands!$A$2:$FZ$601,294,Sync!$D$11)),0),"")</f>
        <v/>
      </c>
      <c r="C3745" s="17">
        <f>IF(B3745="","","brand")</f>
        <v/>
      </c>
      <c r="D3745" s="17">
        <f>IF(B3745="","",IFERROR(INDEX(Clay_Brands!$A$2:$FZ$601,294,Sync!$D$5)&amp;"",""))</f>
        <v/>
      </c>
      <c r="E3745" s="17">
        <f>IF(B3745="","",IFERROR(INDEX(Clay_Brands!$A$2:$FZ$601,294,Sync!$D$6)&amp;"",""))</f>
        <v/>
      </c>
      <c r="F3745" s="17">
        <f>IF(B3745="","","outreach_sent")</f>
        <v/>
      </c>
      <c r="G3745" s="17">
        <f>IF(B3745="","","")</f>
        <v/>
      </c>
      <c r="H3745" s="17">
        <f>IF(B3745="","","")</f>
        <v/>
      </c>
      <c r="I3745" s="17">
        <f>IF(B3745="","","")</f>
        <v/>
      </c>
      <c r="J3745" s="17">
        <f>IF(B3745="","","touch_1; "&amp;IFERROR(INDEX(Clay_Brands!$A$2:$FZ$601,294,Sync!$D$10)&amp;"","")&amp;"; "&amp;IFERROR(INDEX(Clay_Brands!$A$2:$FZ$601,294,Sync!$D$9)&amp;"",""))</f>
        <v/>
      </c>
      <c r="K3745" t="inlineStr">
        <is>
          <t>brand outreach touch 1</t>
        </is>
      </c>
    </row>
    <row r="3746">
      <c r="A3746" s="17">
        <f>IF(B3746="","",B3746+(15*1000+295)/10000000)</f>
        <v/>
      </c>
      <c r="B3746" s="23">
        <f>IF(AND(IFERROR(N(INDEX(Clay_Brands!$A$2:$FZ$601,295,Sync!$D$11)),0)&gt;0,IFERROR(INDEX(Clay_Brands!$A$2:$FZ$601,295,Sync!$D$5)&amp;"","")&lt;&gt;"",OR(LEFT(IFERROR(INDEX(Clay_Brands!$A$2:$FZ$601,295,Sync!$D$5)&amp;"",""),6)&lt;&gt;"SAMPLE",Config!$B$19="Y")),IFERROR(N(INDEX(Clay_Brands!$A$2:$FZ$601,295,Sync!$D$11)),0),"")</f>
        <v/>
      </c>
      <c r="C3746" s="17">
        <f>IF(B3746="","","brand")</f>
        <v/>
      </c>
      <c r="D3746" s="17">
        <f>IF(B3746="","",IFERROR(INDEX(Clay_Brands!$A$2:$FZ$601,295,Sync!$D$5)&amp;"",""))</f>
        <v/>
      </c>
      <c r="E3746" s="17">
        <f>IF(B3746="","",IFERROR(INDEX(Clay_Brands!$A$2:$FZ$601,295,Sync!$D$6)&amp;"",""))</f>
        <v/>
      </c>
      <c r="F3746" s="17">
        <f>IF(B3746="","","outreach_sent")</f>
        <v/>
      </c>
      <c r="G3746" s="17">
        <f>IF(B3746="","","")</f>
        <v/>
      </c>
      <c r="H3746" s="17">
        <f>IF(B3746="","","")</f>
        <v/>
      </c>
      <c r="I3746" s="17">
        <f>IF(B3746="","","")</f>
        <v/>
      </c>
      <c r="J3746" s="17">
        <f>IF(B3746="","","touch_1; "&amp;IFERROR(INDEX(Clay_Brands!$A$2:$FZ$601,295,Sync!$D$10)&amp;"","")&amp;"; "&amp;IFERROR(INDEX(Clay_Brands!$A$2:$FZ$601,295,Sync!$D$9)&amp;"",""))</f>
        <v/>
      </c>
      <c r="K3746" t="inlineStr">
        <is>
          <t>brand outreach touch 1</t>
        </is>
      </c>
    </row>
    <row r="3747">
      <c r="A3747" s="17">
        <f>IF(B3747="","",B3747+(15*1000+296)/10000000)</f>
        <v/>
      </c>
      <c r="B3747" s="23">
        <f>IF(AND(IFERROR(N(INDEX(Clay_Brands!$A$2:$FZ$601,296,Sync!$D$11)),0)&gt;0,IFERROR(INDEX(Clay_Brands!$A$2:$FZ$601,296,Sync!$D$5)&amp;"","")&lt;&gt;"",OR(LEFT(IFERROR(INDEX(Clay_Brands!$A$2:$FZ$601,296,Sync!$D$5)&amp;"",""),6)&lt;&gt;"SAMPLE",Config!$B$19="Y")),IFERROR(N(INDEX(Clay_Brands!$A$2:$FZ$601,296,Sync!$D$11)),0),"")</f>
        <v/>
      </c>
      <c r="C3747" s="17">
        <f>IF(B3747="","","brand")</f>
        <v/>
      </c>
      <c r="D3747" s="17">
        <f>IF(B3747="","",IFERROR(INDEX(Clay_Brands!$A$2:$FZ$601,296,Sync!$D$5)&amp;"",""))</f>
        <v/>
      </c>
      <c r="E3747" s="17">
        <f>IF(B3747="","",IFERROR(INDEX(Clay_Brands!$A$2:$FZ$601,296,Sync!$D$6)&amp;"",""))</f>
        <v/>
      </c>
      <c r="F3747" s="17">
        <f>IF(B3747="","","outreach_sent")</f>
        <v/>
      </c>
      <c r="G3747" s="17">
        <f>IF(B3747="","","")</f>
        <v/>
      </c>
      <c r="H3747" s="17">
        <f>IF(B3747="","","")</f>
        <v/>
      </c>
      <c r="I3747" s="17">
        <f>IF(B3747="","","")</f>
        <v/>
      </c>
      <c r="J3747" s="17">
        <f>IF(B3747="","","touch_1; "&amp;IFERROR(INDEX(Clay_Brands!$A$2:$FZ$601,296,Sync!$D$10)&amp;"","")&amp;"; "&amp;IFERROR(INDEX(Clay_Brands!$A$2:$FZ$601,296,Sync!$D$9)&amp;"",""))</f>
        <v/>
      </c>
      <c r="K3747" t="inlineStr">
        <is>
          <t>brand outreach touch 1</t>
        </is>
      </c>
    </row>
    <row r="3748">
      <c r="A3748" s="17">
        <f>IF(B3748="","",B3748+(15*1000+297)/10000000)</f>
        <v/>
      </c>
      <c r="B3748" s="23">
        <f>IF(AND(IFERROR(N(INDEX(Clay_Brands!$A$2:$FZ$601,297,Sync!$D$11)),0)&gt;0,IFERROR(INDEX(Clay_Brands!$A$2:$FZ$601,297,Sync!$D$5)&amp;"","")&lt;&gt;"",OR(LEFT(IFERROR(INDEX(Clay_Brands!$A$2:$FZ$601,297,Sync!$D$5)&amp;"",""),6)&lt;&gt;"SAMPLE",Config!$B$19="Y")),IFERROR(N(INDEX(Clay_Brands!$A$2:$FZ$601,297,Sync!$D$11)),0),"")</f>
        <v/>
      </c>
      <c r="C3748" s="17">
        <f>IF(B3748="","","brand")</f>
        <v/>
      </c>
      <c r="D3748" s="17">
        <f>IF(B3748="","",IFERROR(INDEX(Clay_Brands!$A$2:$FZ$601,297,Sync!$D$5)&amp;"",""))</f>
        <v/>
      </c>
      <c r="E3748" s="17">
        <f>IF(B3748="","",IFERROR(INDEX(Clay_Brands!$A$2:$FZ$601,297,Sync!$D$6)&amp;"",""))</f>
        <v/>
      </c>
      <c r="F3748" s="17">
        <f>IF(B3748="","","outreach_sent")</f>
        <v/>
      </c>
      <c r="G3748" s="17">
        <f>IF(B3748="","","")</f>
        <v/>
      </c>
      <c r="H3748" s="17">
        <f>IF(B3748="","","")</f>
        <v/>
      </c>
      <c r="I3748" s="17">
        <f>IF(B3748="","","")</f>
        <v/>
      </c>
      <c r="J3748" s="17">
        <f>IF(B3748="","","touch_1; "&amp;IFERROR(INDEX(Clay_Brands!$A$2:$FZ$601,297,Sync!$D$10)&amp;"","")&amp;"; "&amp;IFERROR(INDEX(Clay_Brands!$A$2:$FZ$601,297,Sync!$D$9)&amp;"",""))</f>
        <v/>
      </c>
      <c r="K3748" t="inlineStr">
        <is>
          <t>brand outreach touch 1</t>
        </is>
      </c>
    </row>
    <row r="3749">
      <c r="A3749" s="17">
        <f>IF(B3749="","",B3749+(15*1000+298)/10000000)</f>
        <v/>
      </c>
      <c r="B3749" s="23">
        <f>IF(AND(IFERROR(N(INDEX(Clay_Brands!$A$2:$FZ$601,298,Sync!$D$11)),0)&gt;0,IFERROR(INDEX(Clay_Brands!$A$2:$FZ$601,298,Sync!$D$5)&amp;"","")&lt;&gt;"",OR(LEFT(IFERROR(INDEX(Clay_Brands!$A$2:$FZ$601,298,Sync!$D$5)&amp;"",""),6)&lt;&gt;"SAMPLE",Config!$B$19="Y")),IFERROR(N(INDEX(Clay_Brands!$A$2:$FZ$601,298,Sync!$D$11)),0),"")</f>
        <v/>
      </c>
      <c r="C3749" s="17">
        <f>IF(B3749="","","brand")</f>
        <v/>
      </c>
      <c r="D3749" s="17">
        <f>IF(B3749="","",IFERROR(INDEX(Clay_Brands!$A$2:$FZ$601,298,Sync!$D$5)&amp;"",""))</f>
        <v/>
      </c>
      <c r="E3749" s="17">
        <f>IF(B3749="","",IFERROR(INDEX(Clay_Brands!$A$2:$FZ$601,298,Sync!$D$6)&amp;"",""))</f>
        <v/>
      </c>
      <c r="F3749" s="17">
        <f>IF(B3749="","","outreach_sent")</f>
        <v/>
      </c>
      <c r="G3749" s="17">
        <f>IF(B3749="","","")</f>
        <v/>
      </c>
      <c r="H3749" s="17">
        <f>IF(B3749="","","")</f>
        <v/>
      </c>
      <c r="I3749" s="17">
        <f>IF(B3749="","","")</f>
        <v/>
      </c>
      <c r="J3749" s="17">
        <f>IF(B3749="","","touch_1; "&amp;IFERROR(INDEX(Clay_Brands!$A$2:$FZ$601,298,Sync!$D$10)&amp;"","")&amp;"; "&amp;IFERROR(INDEX(Clay_Brands!$A$2:$FZ$601,298,Sync!$D$9)&amp;"",""))</f>
        <v/>
      </c>
      <c r="K3749" t="inlineStr">
        <is>
          <t>brand outreach touch 1</t>
        </is>
      </c>
    </row>
    <row r="3750">
      <c r="A3750" s="17">
        <f>IF(B3750="","",B3750+(15*1000+299)/10000000)</f>
        <v/>
      </c>
      <c r="B3750" s="23">
        <f>IF(AND(IFERROR(N(INDEX(Clay_Brands!$A$2:$FZ$601,299,Sync!$D$11)),0)&gt;0,IFERROR(INDEX(Clay_Brands!$A$2:$FZ$601,299,Sync!$D$5)&amp;"","")&lt;&gt;"",OR(LEFT(IFERROR(INDEX(Clay_Brands!$A$2:$FZ$601,299,Sync!$D$5)&amp;"",""),6)&lt;&gt;"SAMPLE",Config!$B$19="Y")),IFERROR(N(INDEX(Clay_Brands!$A$2:$FZ$601,299,Sync!$D$11)),0),"")</f>
        <v/>
      </c>
      <c r="C3750" s="17">
        <f>IF(B3750="","","brand")</f>
        <v/>
      </c>
      <c r="D3750" s="17">
        <f>IF(B3750="","",IFERROR(INDEX(Clay_Brands!$A$2:$FZ$601,299,Sync!$D$5)&amp;"",""))</f>
        <v/>
      </c>
      <c r="E3750" s="17">
        <f>IF(B3750="","",IFERROR(INDEX(Clay_Brands!$A$2:$FZ$601,299,Sync!$D$6)&amp;"",""))</f>
        <v/>
      </c>
      <c r="F3750" s="17">
        <f>IF(B3750="","","outreach_sent")</f>
        <v/>
      </c>
      <c r="G3750" s="17">
        <f>IF(B3750="","","")</f>
        <v/>
      </c>
      <c r="H3750" s="17">
        <f>IF(B3750="","","")</f>
        <v/>
      </c>
      <c r="I3750" s="17">
        <f>IF(B3750="","","")</f>
        <v/>
      </c>
      <c r="J3750" s="17">
        <f>IF(B3750="","","touch_1; "&amp;IFERROR(INDEX(Clay_Brands!$A$2:$FZ$601,299,Sync!$D$10)&amp;"","")&amp;"; "&amp;IFERROR(INDEX(Clay_Brands!$A$2:$FZ$601,299,Sync!$D$9)&amp;"",""))</f>
        <v/>
      </c>
      <c r="K3750" t="inlineStr">
        <is>
          <t>brand outreach touch 1</t>
        </is>
      </c>
    </row>
    <row r="3751">
      <c r="A3751" s="17">
        <f>IF(B3751="","",B3751+(15*1000+300)/10000000)</f>
        <v/>
      </c>
      <c r="B3751" s="23">
        <f>IF(AND(IFERROR(N(INDEX(Clay_Brands!$A$2:$FZ$601,300,Sync!$D$11)),0)&gt;0,IFERROR(INDEX(Clay_Brands!$A$2:$FZ$601,300,Sync!$D$5)&amp;"","")&lt;&gt;"",OR(LEFT(IFERROR(INDEX(Clay_Brands!$A$2:$FZ$601,300,Sync!$D$5)&amp;"",""),6)&lt;&gt;"SAMPLE",Config!$B$19="Y")),IFERROR(N(INDEX(Clay_Brands!$A$2:$FZ$601,300,Sync!$D$11)),0),"")</f>
        <v/>
      </c>
      <c r="C3751" s="17">
        <f>IF(B3751="","","brand")</f>
        <v/>
      </c>
      <c r="D3751" s="17">
        <f>IF(B3751="","",IFERROR(INDEX(Clay_Brands!$A$2:$FZ$601,300,Sync!$D$5)&amp;"",""))</f>
        <v/>
      </c>
      <c r="E3751" s="17">
        <f>IF(B3751="","",IFERROR(INDEX(Clay_Brands!$A$2:$FZ$601,300,Sync!$D$6)&amp;"",""))</f>
        <v/>
      </c>
      <c r="F3751" s="17">
        <f>IF(B3751="","","outreach_sent")</f>
        <v/>
      </c>
      <c r="G3751" s="17">
        <f>IF(B3751="","","")</f>
        <v/>
      </c>
      <c r="H3751" s="17">
        <f>IF(B3751="","","")</f>
        <v/>
      </c>
      <c r="I3751" s="17">
        <f>IF(B3751="","","")</f>
        <v/>
      </c>
      <c r="J3751" s="17">
        <f>IF(B3751="","","touch_1; "&amp;IFERROR(INDEX(Clay_Brands!$A$2:$FZ$601,300,Sync!$D$10)&amp;"","")&amp;"; "&amp;IFERROR(INDEX(Clay_Brands!$A$2:$FZ$601,300,Sync!$D$9)&amp;"",""))</f>
        <v/>
      </c>
      <c r="K3751" t="inlineStr">
        <is>
          <t>brand outreach touch 1</t>
        </is>
      </c>
    </row>
    <row r="3752">
      <c r="A3752" s="17">
        <f>IF(B3752="","",B3752+(15*1000+301)/10000000)</f>
        <v/>
      </c>
      <c r="B3752" s="23">
        <f>IF(AND(IFERROR(N(INDEX(Clay_Brands!$A$2:$FZ$601,301,Sync!$D$11)),0)&gt;0,IFERROR(INDEX(Clay_Brands!$A$2:$FZ$601,301,Sync!$D$5)&amp;"","")&lt;&gt;"",OR(LEFT(IFERROR(INDEX(Clay_Brands!$A$2:$FZ$601,301,Sync!$D$5)&amp;"",""),6)&lt;&gt;"SAMPLE",Config!$B$19="Y")),IFERROR(N(INDEX(Clay_Brands!$A$2:$FZ$601,301,Sync!$D$11)),0),"")</f>
        <v/>
      </c>
      <c r="C3752" s="17">
        <f>IF(B3752="","","brand")</f>
        <v/>
      </c>
      <c r="D3752" s="17">
        <f>IF(B3752="","",IFERROR(INDEX(Clay_Brands!$A$2:$FZ$601,301,Sync!$D$5)&amp;"",""))</f>
        <v/>
      </c>
      <c r="E3752" s="17">
        <f>IF(B3752="","",IFERROR(INDEX(Clay_Brands!$A$2:$FZ$601,301,Sync!$D$6)&amp;"",""))</f>
        <v/>
      </c>
      <c r="F3752" s="17">
        <f>IF(B3752="","","outreach_sent")</f>
        <v/>
      </c>
      <c r="G3752" s="17">
        <f>IF(B3752="","","")</f>
        <v/>
      </c>
      <c r="H3752" s="17">
        <f>IF(B3752="","","")</f>
        <v/>
      </c>
      <c r="I3752" s="17">
        <f>IF(B3752="","","")</f>
        <v/>
      </c>
      <c r="J3752" s="17">
        <f>IF(B3752="","","touch_1; "&amp;IFERROR(INDEX(Clay_Brands!$A$2:$FZ$601,301,Sync!$D$10)&amp;"","")&amp;"; "&amp;IFERROR(INDEX(Clay_Brands!$A$2:$FZ$601,301,Sync!$D$9)&amp;"",""))</f>
        <v/>
      </c>
      <c r="K3752" t="inlineStr">
        <is>
          <t>brand outreach touch 1</t>
        </is>
      </c>
    </row>
    <row r="3753">
      <c r="A3753" s="17">
        <f>IF(B3753="","",B3753+(15*1000+302)/10000000)</f>
        <v/>
      </c>
      <c r="B3753" s="23">
        <f>IF(AND(IFERROR(N(INDEX(Clay_Brands!$A$2:$FZ$601,302,Sync!$D$11)),0)&gt;0,IFERROR(INDEX(Clay_Brands!$A$2:$FZ$601,302,Sync!$D$5)&amp;"","")&lt;&gt;"",OR(LEFT(IFERROR(INDEX(Clay_Brands!$A$2:$FZ$601,302,Sync!$D$5)&amp;"",""),6)&lt;&gt;"SAMPLE",Config!$B$19="Y")),IFERROR(N(INDEX(Clay_Brands!$A$2:$FZ$601,302,Sync!$D$11)),0),"")</f>
        <v/>
      </c>
      <c r="C3753" s="17">
        <f>IF(B3753="","","brand")</f>
        <v/>
      </c>
      <c r="D3753" s="17">
        <f>IF(B3753="","",IFERROR(INDEX(Clay_Brands!$A$2:$FZ$601,302,Sync!$D$5)&amp;"",""))</f>
        <v/>
      </c>
      <c r="E3753" s="17">
        <f>IF(B3753="","",IFERROR(INDEX(Clay_Brands!$A$2:$FZ$601,302,Sync!$D$6)&amp;"",""))</f>
        <v/>
      </c>
      <c r="F3753" s="17">
        <f>IF(B3753="","","outreach_sent")</f>
        <v/>
      </c>
      <c r="G3753" s="17">
        <f>IF(B3753="","","")</f>
        <v/>
      </c>
      <c r="H3753" s="17">
        <f>IF(B3753="","","")</f>
        <v/>
      </c>
      <c r="I3753" s="17">
        <f>IF(B3753="","","")</f>
        <v/>
      </c>
      <c r="J3753" s="17">
        <f>IF(B3753="","","touch_1; "&amp;IFERROR(INDEX(Clay_Brands!$A$2:$FZ$601,302,Sync!$D$10)&amp;"","")&amp;"; "&amp;IFERROR(INDEX(Clay_Brands!$A$2:$FZ$601,302,Sync!$D$9)&amp;"",""))</f>
        <v/>
      </c>
      <c r="K3753" t="inlineStr">
        <is>
          <t>brand outreach touch 1</t>
        </is>
      </c>
    </row>
    <row r="3754">
      <c r="A3754" s="17">
        <f>IF(B3754="","",B3754+(15*1000+303)/10000000)</f>
        <v/>
      </c>
      <c r="B3754" s="23">
        <f>IF(AND(IFERROR(N(INDEX(Clay_Brands!$A$2:$FZ$601,303,Sync!$D$11)),0)&gt;0,IFERROR(INDEX(Clay_Brands!$A$2:$FZ$601,303,Sync!$D$5)&amp;"","")&lt;&gt;"",OR(LEFT(IFERROR(INDEX(Clay_Brands!$A$2:$FZ$601,303,Sync!$D$5)&amp;"",""),6)&lt;&gt;"SAMPLE",Config!$B$19="Y")),IFERROR(N(INDEX(Clay_Brands!$A$2:$FZ$601,303,Sync!$D$11)),0),"")</f>
        <v/>
      </c>
      <c r="C3754" s="17">
        <f>IF(B3754="","","brand")</f>
        <v/>
      </c>
      <c r="D3754" s="17">
        <f>IF(B3754="","",IFERROR(INDEX(Clay_Brands!$A$2:$FZ$601,303,Sync!$D$5)&amp;"",""))</f>
        <v/>
      </c>
      <c r="E3754" s="17">
        <f>IF(B3754="","",IFERROR(INDEX(Clay_Brands!$A$2:$FZ$601,303,Sync!$D$6)&amp;"",""))</f>
        <v/>
      </c>
      <c r="F3754" s="17">
        <f>IF(B3754="","","outreach_sent")</f>
        <v/>
      </c>
      <c r="G3754" s="17">
        <f>IF(B3754="","","")</f>
        <v/>
      </c>
      <c r="H3754" s="17">
        <f>IF(B3754="","","")</f>
        <v/>
      </c>
      <c r="I3754" s="17">
        <f>IF(B3754="","","")</f>
        <v/>
      </c>
      <c r="J3754" s="17">
        <f>IF(B3754="","","touch_1; "&amp;IFERROR(INDEX(Clay_Brands!$A$2:$FZ$601,303,Sync!$D$10)&amp;"","")&amp;"; "&amp;IFERROR(INDEX(Clay_Brands!$A$2:$FZ$601,303,Sync!$D$9)&amp;"",""))</f>
        <v/>
      </c>
      <c r="K3754" t="inlineStr">
        <is>
          <t>brand outreach touch 1</t>
        </is>
      </c>
    </row>
    <row r="3755">
      <c r="A3755" s="17">
        <f>IF(B3755="","",B3755+(15*1000+304)/10000000)</f>
        <v/>
      </c>
      <c r="B3755" s="23">
        <f>IF(AND(IFERROR(N(INDEX(Clay_Brands!$A$2:$FZ$601,304,Sync!$D$11)),0)&gt;0,IFERROR(INDEX(Clay_Brands!$A$2:$FZ$601,304,Sync!$D$5)&amp;"","")&lt;&gt;"",OR(LEFT(IFERROR(INDEX(Clay_Brands!$A$2:$FZ$601,304,Sync!$D$5)&amp;"",""),6)&lt;&gt;"SAMPLE",Config!$B$19="Y")),IFERROR(N(INDEX(Clay_Brands!$A$2:$FZ$601,304,Sync!$D$11)),0),"")</f>
        <v/>
      </c>
      <c r="C3755" s="17">
        <f>IF(B3755="","","brand")</f>
        <v/>
      </c>
      <c r="D3755" s="17">
        <f>IF(B3755="","",IFERROR(INDEX(Clay_Brands!$A$2:$FZ$601,304,Sync!$D$5)&amp;"",""))</f>
        <v/>
      </c>
      <c r="E3755" s="17">
        <f>IF(B3755="","",IFERROR(INDEX(Clay_Brands!$A$2:$FZ$601,304,Sync!$D$6)&amp;"",""))</f>
        <v/>
      </c>
      <c r="F3755" s="17">
        <f>IF(B3755="","","outreach_sent")</f>
        <v/>
      </c>
      <c r="G3755" s="17">
        <f>IF(B3755="","","")</f>
        <v/>
      </c>
      <c r="H3755" s="17">
        <f>IF(B3755="","","")</f>
        <v/>
      </c>
      <c r="I3755" s="17">
        <f>IF(B3755="","","")</f>
        <v/>
      </c>
      <c r="J3755" s="17">
        <f>IF(B3755="","","touch_1; "&amp;IFERROR(INDEX(Clay_Brands!$A$2:$FZ$601,304,Sync!$D$10)&amp;"","")&amp;"; "&amp;IFERROR(INDEX(Clay_Brands!$A$2:$FZ$601,304,Sync!$D$9)&amp;"",""))</f>
        <v/>
      </c>
      <c r="K3755" t="inlineStr">
        <is>
          <t>brand outreach touch 1</t>
        </is>
      </c>
    </row>
    <row r="3756">
      <c r="A3756" s="17">
        <f>IF(B3756="","",B3756+(15*1000+305)/10000000)</f>
        <v/>
      </c>
      <c r="B3756" s="23">
        <f>IF(AND(IFERROR(N(INDEX(Clay_Brands!$A$2:$FZ$601,305,Sync!$D$11)),0)&gt;0,IFERROR(INDEX(Clay_Brands!$A$2:$FZ$601,305,Sync!$D$5)&amp;"","")&lt;&gt;"",OR(LEFT(IFERROR(INDEX(Clay_Brands!$A$2:$FZ$601,305,Sync!$D$5)&amp;"",""),6)&lt;&gt;"SAMPLE",Config!$B$19="Y")),IFERROR(N(INDEX(Clay_Brands!$A$2:$FZ$601,305,Sync!$D$11)),0),"")</f>
        <v/>
      </c>
      <c r="C3756" s="17">
        <f>IF(B3756="","","brand")</f>
        <v/>
      </c>
      <c r="D3756" s="17">
        <f>IF(B3756="","",IFERROR(INDEX(Clay_Brands!$A$2:$FZ$601,305,Sync!$D$5)&amp;"",""))</f>
        <v/>
      </c>
      <c r="E3756" s="17">
        <f>IF(B3756="","",IFERROR(INDEX(Clay_Brands!$A$2:$FZ$601,305,Sync!$D$6)&amp;"",""))</f>
        <v/>
      </c>
      <c r="F3756" s="17">
        <f>IF(B3756="","","outreach_sent")</f>
        <v/>
      </c>
      <c r="G3756" s="17">
        <f>IF(B3756="","","")</f>
        <v/>
      </c>
      <c r="H3756" s="17">
        <f>IF(B3756="","","")</f>
        <v/>
      </c>
      <c r="I3756" s="17">
        <f>IF(B3756="","","")</f>
        <v/>
      </c>
      <c r="J3756" s="17">
        <f>IF(B3756="","","touch_1; "&amp;IFERROR(INDEX(Clay_Brands!$A$2:$FZ$601,305,Sync!$D$10)&amp;"","")&amp;"; "&amp;IFERROR(INDEX(Clay_Brands!$A$2:$FZ$601,305,Sync!$D$9)&amp;"",""))</f>
        <v/>
      </c>
      <c r="K3756" t="inlineStr">
        <is>
          <t>brand outreach touch 1</t>
        </is>
      </c>
    </row>
    <row r="3757">
      <c r="A3757" s="17">
        <f>IF(B3757="","",B3757+(15*1000+306)/10000000)</f>
        <v/>
      </c>
      <c r="B3757" s="23">
        <f>IF(AND(IFERROR(N(INDEX(Clay_Brands!$A$2:$FZ$601,306,Sync!$D$11)),0)&gt;0,IFERROR(INDEX(Clay_Brands!$A$2:$FZ$601,306,Sync!$D$5)&amp;"","")&lt;&gt;"",OR(LEFT(IFERROR(INDEX(Clay_Brands!$A$2:$FZ$601,306,Sync!$D$5)&amp;"",""),6)&lt;&gt;"SAMPLE",Config!$B$19="Y")),IFERROR(N(INDEX(Clay_Brands!$A$2:$FZ$601,306,Sync!$D$11)),0),"")</f>
        <v/>
      </c>
      <c r="C3757" s="17">
        <f>IF(B3757="","","brand")</f>
        <v/>
      </c>
      <c r="D3757" s="17">
        <f>IF(B3757="","",IFERROR(INDEX(Clay_Brands!$A$2:$FZ$601,306,Sync!$D$5)&amp;"",""))</f>
        <v/>
      </c>
      <c r="E3757" s="17">
        <f>IF(B3757="","",IFERROR(INDEX(Clay_Brands!$A$2:$FZ$601,306,Sync!$D$6)&amp;"",""))</f>
        <v/>
      </c>
      <c r="F3757" s="17">
        <f>IF(B3757="","","outreach_sent")</f>
        <v/>
      </c>
      <c r="G3757" s="17">
        <f>IF(B3757="","","")</f>
        <v/>
      </c>
      <c r="H3757" s="17">
        <f>IF(B3757="","","")</f>
        <v/>
      </c>
      <c r="I3757" s="17">
        <f>IF(B3757="","","")</f>
        <v/>
      </c>
      <c r="J3757" s="17">
        <f>IF(B3757="","","touch_1; "&amp;IFERROR(INDEX(Clay_Brands!$A$2:$FZ$601,306,Sync!$D$10)&amp;"","")&amp;"; "&amp;IFERROR(INDEX(Clay_Brands!$A$2:$FZ$601,306,Sync!$D$9)&amp;"",""))</f>
        <v/>
      </c>
      <c r="K3757" t="inlineStr">
        <is>
          <t>brand outreach touch 1</t>
        </is>
      </c>
    </row>
    <row r="3758">
      <c r="A3758" s="17">
        <f>IF(B3758="","",B3758+(15*1000+307)/10000000)</f>
        <v/>
      </c>
      <c r="B3758" s="23">
        <f>IF(AND(IFERROR(N(INDEX(Clay_Brands!$A$2:$FZ$601,307,Sync!$D$11)),0)&gt;0,IFERROR(INDEX(Clay_Brands!$A$2:$FZ$601,307,Sync!$D$5)&amp;"","")&lt;&gt;"",OR(LEFT(IFERROR(INDEX(Clay_Brands!$A$2:$FZ$601,307,Sync!$D$5)&amp;"",""),6)&lt;&gt;"SAMPLE",Config!$B$19="Y")),IFERROR(N(INDEX(Clay_Brands!$A$2:$FZ$601,307,Sync!$D$11)),0),"")</f>
        <v/>
      </c>
      <c r="C3758" s="17">
        <f>IF(B3758="","","brand")</f>
        <v/>
      </c>
      <c r="D3758" s="17">
        <f>IF(B3758="","",IFERROR(INDEX(Clay_Brands!$A$2:$FZ$601,307,Sync!$D$5)&amp;"",""))</f>
        <v/>
      </c>
      <c r="E3758" s="17">
        <f>IF(B3758="","",IFERROR(INDEX(Clay_Brands!$A$2:$FZ$601,307,Sync!$D$6)&amp;"",""))</f>
        <v/>
      </c>
      <c r="F3758" s="17">
        <f>IF(B3758="","","outreach_sent")</f>
        <v/>
      </c>
      <c r="G3758" s="17">
        <f>IF(B3758="","","")</f>
        <v/>
      </c>
      <c r="H3758" s="17">
        <f>IF(B3758="","","")</f>
        <v/>
      </c>
      <c r="I3758" s="17">
        <f>IF(B3758="","","")</f>
        <v/>
      </c>
      <c r="J3758" s="17">
        <f>IF(B3758="","","touch_1; "&amp;IFERROR(INDEX(Clay_Brands!$A$2:$FZ$601,307,Sync!$D$10)&amp;"","")&amp;"; "&amp;IFERROR(INDEX(Clay_Brands!$A$2:$FZ$601,307,Sync!$D$9)&amp;"",""))</f>
        <v/>
      </c>
      <c r="K3758" t="inlineStr">
        <is>
          <t>brand outreach touch 1</t>
        </is>
      </c>
    </row>
    <row r="3759">
      <c r="A3759" s="17">
        <f>IF(B3759="","",B3759+(15*1000+308)/10000000)</f>
        <v/>
      </c>
      <c r="B3759" s="23">
        <f>IF(AND(IFERROR(N(INDEX(Clay_Brands!$A$2:$FZ$601,308,Sync!$D$11)),0)&gt;0,IFERROR(INDEX(Clay_Brands!$A$2:$FZ$601,308,Sync!$D$5)&amp;"","")&lt;&gt;"",OR(LEFT(IFERROR(INDEX(Clay_Brands!$A$2:$FZ$601,308,Sync!$D$5)&amp;"",""),6)&lt;&gt;"SAMPLE",Config!$B$19="Y")),IFERROR(N(INDEX(Clay_Brands!$A$2:$FZ$601,308,Sync!$D$11)),0),"")</f>
        <v/>
      </c>
      <c r="C3759" s="17">
        <f>IF(B3759="","","brand")</f>
        <v/>
      </c>
      <c r="D3759" s="17">
        <f>IF(B3759="","",IFERROR(INDEX(Clay_Brands!$A$2:$FZ$601,308,Sync!$D$5)&amp;"",""))</f>
        <v/>
      </c>
      <c r="E3759" s="17">
        <f>IF(B3759="","",IFERROR(INDEX(Clay_Brands!$A$2:$FZ$601,308,Sync!$D$6)&amp;"",""))</f>
        <v/>
      </c>
      <c r="F3759" s="17">
        <f>IF(B3759="","","outreach_sent")</f>
        <v/>
      </c>
      <c r="G3759" s="17">
        <f>IF(B3759="","","")</f>
        <v/>
      </c>
      <c r="H3759" s="17">
        <f>IF(B3759="","","")</f>
        <v/>
      </c>
      <c r="I3759" s="17">
        <f>IF(B3759="","","")</f>
        <v/>
      </c>
      <c r="J3759" s="17">
        <f>IF(B3759="","","touch_1; "&amp;IFERROR(INDEX(Clay_Brands!$A$2:$FZ$601,308,Sync!$D$10)&amp;"","")&amp;"; "&amp;IFERROR(INDEX(Clay_Brands!$A$2:$FZ$601,308,Sync!$D$9)&amp;"",""))</f>
        <v/>
      </c>
      <c r="K3759" t="inlineStr">
        <is>
          <t>brand outreach touch 1</t>
        </is>
      </c>
    </row>
    <row r="3760">
      <c r="A3760" s="17">
        <f>IF(B3760="","",B3760+(15*1000+309)/10000000)</f>
        <v/>
      </c>
      <c r="B3760" s="23">
        <f>IF(AND(IFERROR(N(INDEX(Clay_Brands!$A$2:$FZ$601,309,Sync!$D$11)),0)&gt;0,IFERROR(INDEX(Clay_Brands!$A$2:$FZ$601,309,Sync!$D$5)&amp;"","")&lt;&gt;"",OR(LEFT(IFERROR(INDEX(Clay_Brands!$A$2:$FZ$601,309,Sync!$D$5)&amp;"",""),6)&lt;&gt;"SAMPLE",Config!$B$19="Y")),IFERROR(N(INDEX(Clay_Brands!$A$2:$FZ$601,309,Sync!$D$11)),0),"")</f>
        <v/>
      </c>
      <c r="C3760" s="17">
        <f>IF(B3760="","","brand")</f>
        <v/>
      </c>
      <c r="D3760" s="17">
        <f>IF(B3760="","",IFERROR(INDEX(Clay_Brands!$A$2:$FZ$601,309,Sync!$D$5)&amp;"",""))</f>
        <v/>
      </c>
      <c r="E3760" s="17">
        <f>IF(B3760="","",IFERROR(INDEX(Clay_Brands!$A$2:$FZ$601,309,Sync!$D$6)&amp;"",""))</f>
        <v/>
      </c>
      <c r="F3760" s="17">
        <f>IF(B3760="","","outreach_sent")</f>
        <v/>
      </c>
      <c r="G3760" s="17">
        <f>IF(B3760="","","")</f>
        <v/>
      </c>
      <c r="H3760" s="17">
        <f>IF(B3760="","","")</f>
        <v/>
      </c>
      <c r="I3760" s="17">
        <f>IF(B3760="","","")</f>
        <v/>
      </c>
      <c r="J3760" s="17">
        <f>IF(B3760="","","touch_1; "&amp;IFERROR(INDEX(Clay_Brands!$A$2:$FZ$601,309,Sync!$D$10)&amp;"","")&amp;"; "&amp;IFERROR(INDEX(Clay_Brands!$A$2:$FZ$601,309,Sync!$D$9)&amp;"",""))</f>
        <v/>
      </c>
      <c r="K3760" t="inlineStr">
        <is>
          <t>brand outreach touch 1</t>
        </is>
      </c>
    </row>
    <row r="3761">
      <c r="A3761" s="17">
        <f>IF(B3761="","",B3761+(15*1000+310)/10000000)</f>
        <v/>
      </c>
      <c r="B3761" s="23">
        <f>IF(AND(IFERROR(N(INDEX(Clay_Brands!$A$2:$FZ$601,310,Sync!$D$11)),0)&gt;0,IFERROR(INDEX(Clay_Brands!$A$2:$FZ$601,310,Sync!$D$5)&amp;"","")&lt;&gt;"",OR(LEFT(IFERROR(INDEX(Clay_Brands!$A$2:$FZ$601,310,Sync!$D$5)&amp;"",""),6)&lt;&gt;"SAMPLE",Config!$B$19="Y")),IFERROR(N(INDEX(Clay_Brands!$A$2:$FZ$601,310,Sync!$D$11)),0),"")</f>
        <v/>
      </c>
      <c r="C3761" s="17">
        <f>IF(B3761="","","brand")</f>
        <v/>
      </c>
      <c r="D3761" s="17">
        <f>IF(B3761="","",IFERROR(INDEX(Clay_Brands!$A$2:$FZ$601,310,Sync!$D$5)&amp;"",""))</f>
        <v/>
      </c>
      <c r="E3761" s="17">
        <f>IF(B3761="","",IFERROR(INDEX(Clay_Brands!$A$2:$FZ$601,310,Sync!$D$6)&amp;"",""))</f>
        <v/>
      </c>
      <c r="F3761" s="17">
        <f>IF(B3761="","","outreach_sent")</f>
        <v/>
      </c>
      <c r="G3761" s="17">
        <f>IF(B3761="","","")</f>
        <v/>
      </c>
      <c r="H3761" s="17">
        <f>IF(B3761="","","")</f>
        <v/>
      </c>
      <c r="I3761" s="17">
        <f>IF(B3761="","","")</f>
        <v/>
      </c>
      <c r="J3761" s="17">
        <f>IF(B3761="","","touch_1; "&amp;IFERROR(INDEX(Clay_Brands!$A$2:$FZ$601,310,Sync!$D$10)&amp;"","")&amp;"; "&amp;IFERROR(INDEX(Clay_Brands!$A$2:$FZ$601,310,Sync!$D$9)&amp;"",""))</f>
        <v/>
      </c>
      <c r="K3761" t="inlineStr">
        <is>
          <t>brand outreach touch 1</t>
        </is>
      </c>
    </row>
    <row r="3762">
      <c r="A3762" s="17">
        <f>IF(B3762="","",B3762+(15*1000+311)/10000000)</f>
        <v/>
      </c>
      <c r="B3762" s="23">
        <f>IF(AND(IFERROR(N(INDEX(Clay_Brands!$A$2:$FZ$601,311,Sync!$D$11)),0)&gt;0,IFERROR(INDEX(Clay_Brands!$A$2:$FZ$601,311,Sync!$D$5)&amp;"","")&lt;&gt;"",OR(LEFT(IFERROR(INDEX(Clay_Brands!$A$2:$FZ$601,311,Sync!$D$5)&amp;"",""),6)&lt;&gt;"SAMPLE",Config!$B$19="Y")),IFERROR(N(INDEX(Clay_Brands!$A$2:$FZ$601,311,Sync!$D$11)),0),"")</f>
        <v/>
      </c>
      <c r="C3762" s="17">
        <f>IF(B3762="","","brand")</f>
        <v/>
      </c>
      <c r="D3762" s="17">
        <f>IF(B3762="","",IFERROR(INDEX(Clay_Brands!$A$2:$FZ$601,311,Sync!$D$5)&amp;"",""))</f>
        <v/>
      </c>
      <c r="E3762" s="17">
        <f>IF(B3762="","",IFERROR(INDEX(Clay_Brands!$A$2:$FZ$601,311,Sync!$D$6)&amp;"",""))</f>
        <v/>
      </c>
      <c r="F3762" s="17">
        <f>IF(B3762="","","outreach_sent")</f>
        <v/>
      </c>
      <c r="G3762" s="17">
        <f>IF(B3762="","","")</f>
        <v/>
      </c>
      <c r="H3762" s="17">
        <f>IF(B3762="","","")</f>
        <v/>
      </c>
      <c r="I3762" s="17">
        <f>IF(B3762="","","")</f>
        <v/>
      </c>
      <c r="J3762" s="17">
        <f>IF(B3762="","","touch_1; "&amp;IFERROR(INDEX(Clay_Brands!$A$2:$FZ$601,311,Sync!$D$10)&amp;"","")&amp;"; "&amp;IFERROR(INDEX(Clay_Brands!$A$2:$FZ$601,311,Sync!$D$9)&amp;"",""))</f>
        <v/>
      </c>
      <c r="K3762" t="inlineStr">
        <is>
          <t>brand outreach touch 1</t>
        </is>
      </c>
    </row>
    <row r="3763">
      <c r="A3763" s="17">
        <f>IF(B3763="","",B3763+(15*1000+312)/10000000)</f>
        <v/>
      </c>
      <c r="B3763" s="23">
        <f>IF(AND(IFERROR(N(INDEX(Clay_Brands!$A$2:$FZ$601,312,Sync!$D$11)),0)&gt;0,IFERROR(INDEX(Clay_Brands!$A$2:$FZ$601,312,Sync!$D$5)&amp;"","")&lt;&gt;"",OR(LEFT(IFERROR(INDEX(Clay_Brands!$A$2:$FZ$601,312,Sync!$D$5)&amp;"",""),6)&lt;&gt;"SAMPLE",Config!$B$19="Y")),IFERROR(N(INDEX(Clay_Brands!$A$2:$FZ$601,312,Sync!$D$11)),0),"")</f>
        <v/>
      </c>
      <c r="C3763" s="17">
        <f>IF(B3763="","","brand")</f>
        <v/>
      </c>
      <c r="D3763" s="17">
        <f>IF(B3763="","",IFERROR(INDEX(Clay_Brands!$A$2:$FZ$601,312,Sync!$D$5)&amp;"",""))</f>
        <v/>
      </c>
      <c r="E3763" s="17">
        <f>IF(B3763="","",IFERROR(INDEX(Clay_Brands!$A$2:$FZ$601,312,Sync!$D$6)&amp;"",""))</f>
        <v/>
      </c>
      <c r="F3763" s="17">
        <f>IF(B3763="","","outreach_sent")</f>
        <v/>
      </c>
      <c r="G3763" s="17">
        <f>IF(B3763="","","")</f>
        <v/>
      </c>
      <c r="H3763" s="17">
        <f>IF(B3763="","","")</f>
        <v/>
      </c>
      <c r="I3763" s="17">
        <f>IF(B3763="","","")</f>
        <v/>
      </c>
      <c r="J3763" s="17">
        <f>IF(B3763="","","touch_1; "&amp;IFERROR(INDEX(Clay_Brands!$A$2:$FZ$601,312,Sync!$D$10)&amp;"","")&amp;"; "&amp;IFERROR(INDEX(Clay_Brands!$A$2:$FZ$601,312,Sync!$D$9)&amp;"",""))</f>
        <v/>
      </c>
      <c r="K3763" t="inlineStr">
        <is>
          <t>brand outreach touch 1</t>
        </is>
      </c>
    </row>
    <row r="3764">
      <c r="A3764" s="17">
        <f>IF(B3764="","",B3764+(15*1000+313)/10000000)</f>
        <v/>
      </c>
      <c r="B3764" s="23">
        <f>IF(AND(IFERROR(N(INDEX(Clay_Brands!$A$2:$FZ$601,313,Sync!$D$11)),0)&gt;0,IFERROR(INDEX(Clay_Brands!$A$2:$FZ$601,313,Sync!$D$5)&amp;"","")&lt;&gt;"",OR(LEFT(IFERROR(INDEX(Clay_Brands!$A$2:$FZ$601,313,Sync!$D$5)&amp;"",""),6)&lt;&gt;"SAMPLE",Config!$B$19="Y")),IFERROR(N(INDEX(Clay_Brands!$A$2:$FZ$601,313,Sync!$D$11)),0),"")</f>
        <v/>
      </c>
      <c r="C3764" s="17">
        <f>IF(B3764="","","brand")</f>
        <v/>
      </c>
      <c r="D3764" s="17">
        <f>IF(B3764="","",IFERROR(INDEX(Clay_Brands!$A$2:$FZ$601,313,Sync!$D$5)&amp;"",""))</f>
        <v/>
      </c>
      <c r="E3764" s="17">
        <f>IF(B3764="","",IFERROR(INDEX(Clay_Brands!$A$2:$FZ$601,313,Sync!$D$6)&amp;"",""))</f>
        <v/>
      </c>
      <c r="F3764" s="17">
        <f>IF(B3764="","","outreach_sent")</f>
        <v/>
      </c>
      <c r="G3764" s="17">
        <f>IF(B3764="","","")</f>
        <v/>
      </c>
      <c r="H3764" s="17">
        <f>IF(B3764="","","")</f>
        <v/>
      </c>
      <c r="I3764" s="17">
        <f>IF(B3764="","","")</f>
        <v/>
      </c>
      <c r="J3764" s="17">
        <f>IF(B3764="","","touch_1; "&amp;IFERROR(INDEX(Clay_Brands!$A$2:$FZ$601,313,Sync!$D$10)&amp;"","")&amp;"; "&amp;IFERROR(INDEX(Clay_Brands!$A$2:$FZ$601,313,Sync!$D$9)&amp;"",""))</f>
        <v/>
      </c>
      <c r="K3764" t="inlineStr">
        <is>
          <t>brand outreach touch 1</t>
        </is>
      </c>
    </row>
    <row r="3765">
      <c r="A3765" s="17">
        <f>IF(B3765="","",B3765+(15*1000+314)/10000000)</f>
        <v/>
      </c>
      <c r="B3765" s="23">
        <f>IF(AND(IFERROR(N(INDEX(Clay_Brands!$A$2:$FZ$601,314,Sync!$D$11)),0)&gt;0,IFERROR(INDEX(Clay_Brands!$A$2:$FZ$601,314,Sync!$D$5)&amp;"","")&lt;&gt;"",OR(LEFT(IFERROR(INDEX(Clay_Brands!$A$2:$FZ$601,314,Sync!$D$5)&amp;"",""),6)&lt;&gt;"SAMPLE",Config!$B$19="Y")),IFERROR(N(INDEX(Clay_Brands!$A$2:$FZ$601,314,Sync!$D$11)),0),"")</f>
        <v/>
      </c>
      <c r="C3765" s="17">
        <f>IF(B3765="","","brand")</f>
        <v/>
      </c>
      <c r="D3765" s="17">
        <f>IF(B3765="","",IFERROR(INDEX(Clay_Brands!$A$2:$FZ$601,314,Sync!$D$5)&amp;"",""))</f>
        <v/>
      </c>
      <c r="E3765" s="17">
        <f>IF(B3765="","",IFERROR(INDEX(Clay_Brands!$A$2:$FZ$601,314,Sync!$D$6)&amp;"",""))</f>
        <v/>
      </c>
      <c r="F3765" s="17">
        <f>IF(B3765="","","outreach_sent")</f>
        <v/>
      </c>
      <c r="G3765" s="17">
        <f>IF(B3765="","","")</f>
        <v/>
      </c>
      <c r="H3765" s="17">
        <f>IF(B3765="","","")</f>
        <v/>
      </c>
      <c r="I3765" s="17">
        <f>IF(B3765="","","")</f>
        <v/>
      </c>
      <c r="J3765" s="17">
        <f>IF(B3765="","","touch_1; "&amp;IFERROR(INDEX(Clay_Brands!$A$2:$FZ$601,314,Sync!$D$10)&amp;"","")&amp;"; "&amp;IFERROR(INDEX(Clay_Brands!$A$2:$FZ$601,314,Sync!$D$9)&amp;"",""))</f>
        <v/>
      </c>
      <c r="K3765" t="inlineStr">
        <is>
          <t>brand outreach touch 1</t>
        </is>
      </c>
    </row>
    <row r="3766">
      <c r="A3766" s="17">
        <f>IF(B3766="","",B3766+(15*1000+315)/10000000)</f>
        <v/>
      </c>
      <c r="B3766" s="23">
        <f>IF(AND(IFERROR(N(INDEX(Clay_Brands!$A$2:$FZ$601,315,Sync!$D$11)),0)&gt;0,IFERROR(INDEX(Clay_Brands!$A$2:$FZ$601,315,Sync!$D$5)&amp;"","")&lt;&gt;"",OR(LEFT(IFERROR(INDEX(Clay_Brands!$A$2:$FZ$601,315,Sync!$D$5)&amp;"",""),6)&lt;&gt;"SAMPLE",Config!$B$19="Y")),IFERROR(N(INDEX(Clay_Brands!$A$2:$FZ$601,315,Sync!$D$11)),0),"")</f>
        <v/>
      </c>
      <c r="C3766" s="17">
        <f>IF(B3766="","","brand")</f>
        <v/>
      </c>
      <c r="D3766" s="17">
        <f>IF(B3766="","",IFERROR(INDEX(Clay_Brands!$A$2:$FZ$601,315,Sync!$D$5)&amp;"",""))</f>
        <v/>
      </c>
      <c r="E3766" s="17">
        <f>IF(B3766="","",IFERROR(INDEX(Clay_Brands!$A$2:$FZ$601,315,Sync!$D$6)&amp;"",""))</f>
        <v/>
      </c>
      <c r="F3766" s="17">
        <f>IF(B3766="","","outreach_sent")</f>
        <v/>
      </c>
      <c r="G3766" s="17">
        <f>IF(B3766="","","")</f>
        <v/>
      </c>
      <c r="H3766" s="17">
        <f>IF(B3766="","","")</f>
        <v/>
      </c>
      <c r="I3766" s="17">
        <f>IF(B3766="","","")</f>
        <v/>
      </c>
      <c r="J3766" s="17">
        <f>IF(B3766="","","touch_1; "&amp;IFERROR(INDEX(Clay_Brands!$A$2:$FZ$601,315,Sync!$D$10)&amp;"","")&amp;"; "&amp;IFERROR(INDEX(Clay_Brands!$A$2:$FZ$601,315,Sync!$D$9)&amp;"",""))</f>
        <v/>
      </c>
      <c r="K3766" t="inlineStr">
        <is>
          <t>brand outreach touch 1</t>
        </is>
      </c>
    </row>
    <row r="3767">
      <c r="A3767" s="17">
        <f>IF(B3767="","",B3767+(15*1000+316)/10000000)</f>
        <v/>
      </c>
      <c r="B3767" s="23">
        <f>IF(AND(IFERROR(N(INDEX(Clay_Brands!$A$2:$FZ$601,316,Sync!$D$11)),0)&gt;0,IFERROR(INDEX(Clay_Brands!$A$2:$FZ$601,316,Sync!$D$5)&amp;"","")&lt;&gt;"",OR(LEFT(IFERROR(INDEX(Clay_Brands!$A$2:$FZ$601,316,Sync!$D$5)&amp;"",""),6)&lt;&gt;"SAMPLE",Config!$B$19="Y")),IFERROR(N(INDEX(Clay_Brands!$A$2:$FZ$601,316,Sync!$D$11)),0),"")</f>
        <v/>
      </c>
      <c r="C3767" s="17">
        <f>IF(B3767="","","brand")</f>
        <v/>
      </c>
      <c r="D3767" s="17">
        <f>IF(B3767="","",IFERROR(INDEX(Clay_Brands!$A$2:$FZ$601,316,Sync!$D$5)&amp;"",""))</f>
        <v/>
      </c>
      <c r="E3767" s="17">
        <f>IF(B3767="","",IFERROR(INDEX(Clay_Brands!$A$2:$FZ$601,316,Sync!$D$6)&amp;"",""))</f>
        <v/>
      </c>
      <c r="F3767" s="17">
        <f>IF(B3767="","","outreach_sent")</f>
        <v/>
      </c>
      <c r="G3767" s="17">
        <f>IF(B3767="","","")</f>
        <v/>
      </c>
      <c r="H3767" s="17">
        <f>IF(B3767="","","")</f>
        <v/>
      </c>
      <c r="I3767" s="17">
        <f>IF(B3767="","","")</f>
        <v/>
      </c>
      <c r="J3767" s="17">
        <f>IF(B3767="","","touch_1; "&amp;IFERROR(INDEX(Clay_Brands!$A$2:$FZ$601,316,Sync!$D$10)&amp;"","")&amp;"; "&amp;IFERROR(INDEX(Clay_Brands!$A$2:$FZ$601,316,Sync!$D$9)&amp;"",""))</f>
        <v/>
      </c>
      <c r="K3767" t="inlineStr">
        <is>
          <t>brand outreach touch 1</t>
        </is>
      </c>
    </row>
    <row r="3768">
      <c r="A3768" s="17">
        <f>IF(B3768="","",B3768+(15*1000+317)/10000000)</f>
        <v/>
      </c>
      <c r="B3768" s="23">
        <f>IF(AND(IFERROR(N(INDEX(Clay_Brands!$A$2:$FZ$601,317,Sync!$D$11)),0)&gt;0,IFERROR(INDEX(Clay_Brands!$A$2:$FZ$601,317,Sync!$D$5)&amp;"","")&lt;&gt;"",OR(LEFT(IFERROR(INDEX(Clay_Brands!$A$2:$FZ$601,317,Sync!$D$5)&amp;"",""),6)&lt;&gt;"SAMPLE",Config!$B$19="Y")),IFERROR(N(INDEX(Clay_Brands!$A$2:$FZ$601,317,Sync!$D$11)),0),"")</f>
        <v/>
      </c>
      <c r="C3768" s="17">
        <f>IF(B3768="","","brand")</f>
        <v/>
      </c>
      <c r="D3768" s="17">
        <f>IF(B3768="","",IFERROR(INDEX(Clay_Brands!$A$2:$FZ$601,317,Sync!$D$5)&amp;"",""))</f>
        <v/>
      </c>
      <c r="E3768" s="17">
        <f>IF(B3768="","",IFERROR(INDEX(Clay_Brands!$A$2:$FZ$601,317,Sync!$D$6)&amp;"",""))</f>
        <v/>
      </c>
      <c r="F3768" s="17">
        <f>IF(B3768="","","outreach_sent")</f>
        <v/>
      </c>
      <c r="G3768" s="17">
        <f>IF(B3768="","","")</f>
        <v/>
      </c>
      <c r="H3768" s="17">
        <f>IF(B3768="","","")</f>
        <v/>
      </c>
      <c r="I3768" s="17">
        <f>IF(B3768="","","")</f>
        <v/>
      </c>
      <c r="J3768" s="17">
        <f>IF(B3768="","","touch_1; "&amp;IFERROR(INDEX(Clay_Brands!$A$2:$FZ$601,317,Sync!$D$10)&amp;"","")&amp;"; "&amp;IFERROR(INDEX(Clay_Brands!$A$2:$FZ$601,317,Sync!$D$9)&amp;"",""))</f>
        <v/>
      </c>
      <c r="K3768" t="inlineStr">
        <is>
          <t>brand outreach touch 1</t>
        </is>
      </c>
    </row>
    <row r="3769">
      <c r="A3769" s="17">
        <f>IF(B3769="","",B3769+(15*1000+318)/10000000)</f>
        <v/>
      </c>
      <c r="B3769" s="23">
        <f>IF(AND(IFERROR(N(INDEX(Clay_Brands!$A$2:$FZ$601,318,Sync!$D$11)),0)&gt;0,IFERROR(INDEX(Clay_Brands!$A$2:$FZ$601,318,Sync!$D$5)&amp;"","")&lt;&gt;"",OR(LEFT(IFERROR(INDEX(Clay_Brands!$A$2:$FZ$601,318,Sync!$D$5)&amp;"",""),6)&lt;&gt;"SAMPLE",Config!$B$19="Y")),IFERROR(N(INDEX(Clay_Brands!$A$2:$FZ$601,318,Sync!$D$11)),0),"")</f>
        <v/>
      </c>
      <c r="C3769" s="17">
        <f>IF(B3769="","","brand")</f>
        <v/>
      </c>
      <c r="D3769" s="17">
        <f>IF(B3769="","",IFERROR(INDEX(Clay_Brands!$A$2:$FZ$601,318,Sync!$D$5)&amp;"",""))</f>
        <v/>
      </c>
      <c r="E3769" s="17">
        <f>IF(B3769="","",IFERROR(INDEX(Clay_Brands!$A$2:$FZ$601,318,Sync!$D$6)&amp;"",""))</f>
        <v/>
      </c>
      <c r="F3769" s="17">
        <f>IF(B3769="","","outreach_sent")</f>
        <v/>
      </c>
      <c r="G3769" s="17">
        <f>IF(B3769="","","")</f>
        <v/>
      </c>
      <c r="H3769" s="17">
        <f>IF(B3769="","","")</f>
        <v/>
      </c>
      <c r="I3769" s="17">
        <f>IF(B3769="","","")</f>
        <v/>
      </c>
      <c r="J3769" s="17">
        <f>IF(B3769="","","touch_1; "&amp;IFERROR(INDEX(Clay_Brands!$A$2:$FZ$601,318,Sync!$D$10)&amp;"","")&amp;"; "&amp;IFERROR(INDEX(Clay_Brands!$A$2:$FZ$601,318,Sync!$D$9)&amp;"",""))</f>
        <v/>
      </c>
      <c r="K3769" t="inlineStr">
        <is>
          <t>brand outreach touch 1</t>
        </is>
      </c>
    </row>
    <row r="3770">
      <c r="A3770" s="17">
        <f>IF(B3770="","",B3770+(15*1000+319)/10000000)</f>
        <v/>
      </c>
      <c r="B3770" s="23">
        <f>IF(AND(IFERROR(N(INDEX(Clay_Brands!$A$2:$FZ$601,319,Sync!$D$11)),0)&gt;0,IFERROR(INDEX(Clay_Brands!$A$2:$FZ$601,319,Sync!$D$5)&amp;"","")&lt;&gt;"",OR(LEFT(IFERROR(INDEX(Clay_Brands!$A$2:$FZ$601,319,Sync!$D$5)&amp;"",""),6)&lt;&gt;"SAMPLE",Config!$B$19="Y")),IFERROR(N(INDEX(Clay_Brands!$A$2:$FZ$601,319,Sync!$D$11)),0),"")</f>
        <v/>
      </c>
      <c r="C3770" s="17">
        <f>IF(B3770="","","brand")</f>
        <v/>
      </c>
      <c r="D3770" s="17">
        <f>IF(B3770="","",IFERROR(INDEX(Clay_Brands!$A$2:$FZ$601,319,Sync!$D$5)&amp;"",""))</f>
        <v/>
      </c>
      <c r="E3770" s="17">
        <f>IF(B3770="","",IFERROR(INDEX(Clay_Brands!$A$2:$FZ$601,319,Sync!$D$6)&amp;"",""))</f>
        <v/>
      </c>
      <c r="F3770" s="17">
        <f>IF(B3770="","","outreach_sent")</f>
        <v/>
      </c>
      <c r="G3770" s="17">
        <f>IF(B3770="","","")</f>
        <v/>
      </c>
      <c r="H3770" s="17">
        <f>IF(B3770="","","")</f>
        <v/>
      </c>
      <c r="I3770" s="17">
        <f>IF(B3770="","","")</f>
        <v/>
      </c>
      <c r="J3770" s="17">
        <f>IF(B3770="","","touch_1; "&amp;IFERROR(INDEX(Clay_Brands!$A$2:$FZ$601,319,Sync!$D$10)&amp;"","")&amp;"; "&amp;IFERROR(INDEX(Clay_Brands!$A$2:$FZ$601,319,Sync!$D$9)&amp;"",""))</f>
        <v/>
      </c>
      <c r="K3770" t="inlineStr">
        <is>
          <t>brand outreach touch 1</t>
        </is>
      </c>
    </row>
    <row r="3771">
      <c r="A3771" s="17">
        <f>IF(B3771="","",B3771+(15*1000+320)/10000000)</f>
        <v/>
      </c>
      <c r="B3771" s="23">
        <f>IF(AND(IFERROR(N(INDEX(Clay_Brands!$A$2:$FZ$601,320,Sync!$D$11)),0)&gt;0,IFERROR(INDEX(Clay_Brands!$A$2:$FZ$601,320,Sync!$D$5)&amp;"","")&lt;&gt;"",OR(LEFT(IFERROR(INDEX(Clay_Brands!$A$2:$FZ$601,320,Sync!$D$5)&amp;"",""),6)&lt;&gt;"SAMPLE",Config!$B$19="Y")),IFERROR(N(INDEX(Clay_Brands!$A$2:$FZ$601,320,Sync!$D$11)),0),"")</f>
        <v/>
      </c>
      <c r="C3771" s="17">
        <f>IF(B3771="","","brand")</f>
        <v/>
      </c>
      <c r="D3771" s="17">
        <f>IF(B3771="","",IFERROR(INDEX(Clay_Brands!$A$2:$FZ$601,320,Sync!$D$5)&amp;"",""))</f>
        <v/>
      </c>
      <c r="E3771" s="17">
        <f>IF(B3771="","",IFERROR(INDEX(Clay_Brands!$A$2:$FZ$601,320,Sync!$D$6)&amp;"",""))</f>
        <v/>
      </c>
      <c r="F3771" s="17">
        <f>IF(B3771="","","outreach_sent")</f>
        <v/>
      </c>
      <c r="G3771" s="17">
        <f>IF(B3771="","","")</f>
        <v/>
      </c>
      <c r="H3771" s="17">
        <f>IF(B3771="","","")</f>
        <v/>
      </c>
      <c r="I3771" s="17">
        <f>IF(B3771="","","")</f>
        <v/>
      </c>
      <c r="J3771" s="17">
        <f>IF(B3771="","","touch_1; "&amp;IFERROR(INDEX(Clay_Brands!$A$2:$FZ$601,320,Sync!$D$10)&amp;"","")&amp;"; "&amp;IFERROR(INDEX(Clay_Brands!$A$2:$FZ$601,320,Sync!$D$9)&amp;"",""))</f>
        <v/>
      </c>
      <c r="K3771" t="inlineStr">
        <is>
          <t>brand outreach touch 1</t>
        </is>
      </c>
    </row>
    <row r="3772">
      <c r="A3772" s="17">
        <f>IF(B3772="","",B3772+(15*1000+321)/10000000)</f>
        <v/>
      </c>
      <c r="B3772" s="23">
        <f>IF(AND(IFERROR(N(INDEX(Clay_Brands!$A$2:$FZ$601,321,Sync!$D$11)),0)&gt;0,IFERROR(INDEX(Clay_Brands!$A$2:$FZ$601,321,Sync!$D$5)&amp;"","")&lt;&gt;"",OR(LEFT(IFERROR(INDEX(Clay_Brands!$A$2:$FZ$601,321,Sync!$D$5)&amp;"",""),6)&lt;&gt;"SAMPLE",Config!$B$19="Y")),IFERROR(N(INDEX(Clay_Brands!$A$2:$FZ$601,321,Sync!$D$11)),0),"")</f>
        <v/>
      </c>
      <c r="C3772" s="17">
        <f>IF(B3772="","","brand")</f>
        <v/>
      </c>
      <c r="D3772" s="17">
        <f>IF(B3772="","",IFERROR(INDEX(Clay_Brands!$A$2:$FZ$601,321,Sync!$D$5)&amp;"",""))</f>
        <v/>
      </c>
      <c r="E3772" s="17">
        <f>IF(B3772="","",IFERROR(INDEX(Clay_Brands!$A$2:$FZ$601,321,Sync!$D$6)&amp;"",""))</f>
        <v/>
      </c>
      <c r="F3772" s="17">
        <f>IF(B3772="","","outreach_sent")</f>
        <v/>
      </c>
      <c r="G3772" s="17">
        <f>IF(B3772="","","")</f>
        <v/>
      </c>
      <c r="H3772" s="17">
        <f>IF(B3772="","","")</f>
        <v/>
      </c>
      <c r="I3772" s="17">
        <f>IF(B3772="","","")</f>
        <v/>
      </c>
      <c r="J3772" s="17">
        <f>IF(B3772="","","touch_1; "&amp;IFERROR(INDEX(Clay_Brands!$A$2:$FZ$601,321,Sync!$D$10)&amp;"","")&amp;"; "&amp;IFERROR(INDEX(Clay_Brands!$A$2:$FZ$601,321,Sync!$D$9)&amp;"",""))</f>
        <v/>
      </c>
      <c r="K3772" t="inlineStr">
        <is>
          <t>brand outreach touch 1</t>
        </is>
      </c>
    </row>
    <row r="3773">
      <c r="A3773" s="17">
        <f>IF(B3773="","",B3773+(15*1000+322)/10000000)</f>
        <v/>
      </c>
      <c r="B3773" s="23">
        <f>IF(AND(IFERROR(N(INDEX(Clay_Brands!$A$2:$FZ$601,322,Sync!$D$11)),0)&gt;0,IFERROR(INDEX(Clay_Brands!$A$2:$FZ$601,322,Sync!$D$5)&amp;"","")&lt;&gt;"",OR(LEFT(IFERROR(INDEX(Clay_Brands!$A$2:$FZ$601,322,Sync!$D$5)&amp;"",""),6)&lt;&gt;"SAMPLE",Config!$B$19="Y")),IFERROR(N(INDEX(Clay_Brands!$A$2:$FZ$601,322,Sync!$D$11)),0),"")</f>
        <v/>
      </c>
      <c r="C3773" s="17">
        <f>IF(B3773="","","brand")</f>
        <v/>
      </c>
      <c r="D3773" s="17">
        <f>IF(B3773="","",IFERROR(INDEX(Clay_Brands!$A$2:$FZ$601,322,Sync!$D$5)&amp;"",""))</f>
        <v/>
      </c>
      <c r="E3773" s="17">
        <f>IF(B3773="","",IFERROR(INDEX(Clay_Brands!$A$2:$FZ$601,322,Sync!$D$6)&amp;"",""))</f>
        <v/>
      </c>
      <c r="F3773" s="17">
        <f>IF(B3773="","","outreach_sent")</f>
        <v/>
      </c>
      <c r="G3773" s="17">
        <f>IF(B3773="","","")</f>
        <v/>
      </c>
      <c r="H3773" s="17">
        <f>IF(B3773="","","")</f>
        <v/>
      </c>
      <c r="I3773" s="17">
        <f>IF(B3773="","","")</f>
        <v/>
      </c>
      <c r="J3773" s="17">
        <f>IF(B3773="","","touch_1; "&amp;IFERROR(INDEX(Clay_Brands!$A$2:$FZ$601,322,Sync!$D$10)&amp;"","")&amp;"; "&amp;IFERROR(INDEX(Clay_Brands!$A$2:$FZ$601,322,Sync!$D$9)&amp;"",""))</f>
        <v/>
      </c>
      <c r="K3773" t="inlineStr">
        <is>
          <t>brand outreach touch 1</t>
        </is>
      </c>
    </row>
    <row r="3774">
      <c r="A3774" s="17">
        <f>IF(B3774="","",B3774+(15*1000+323)/10000000)</f>
        <v/>
      </c>
      <c r="B3774" s="23">
        <f>IF(AND(IFERROR(N(INDEX(Clay_Brands!$A$2:$FZ$601,323,Sync!$D$11)),0)&gt;0,IFERROR(INDEX(Clay_Brands!$A$2:$FZ$601,323,Sync!$D$5)&amp;"","")&lt;&gt;"",OR(LEFT(IFERROR(INDEX(Clay_Brands!$A$2:$FZ$601,323,Sync!$D$5)&amp;"",""),6)&lt;&gt;"SAMPLE",Config!$B$19="Y")),IFERROR(N(INDEX(Clay_Brands!$A$2:$FZ$601,323,Sync!$D$11)),0),"")</f>
        <v/>
      </c>
      <c r="C3774" s="17">
        <f>IF(B3774="","","brand")</f>
        <v/>
      </c>
      <c r="D3774" s="17">
        <f>IF(B3774="","",IFERROR(INDEX(Clay_Brands!$A$2:$FZ$601,323,Sync!$D$5)&amp;"",""))</f>
        <v/>
      </c>
      <c r="E3774" s="17">
        <f>IF(B3774="","",IFERROR(INDEX(Clay_Brands!$A$2:$FZ$601,323,Sync!$D$6)&amp;"",""))</f>
        <v/>
      </c>
      <c r="F3774" s="17">
        <f>IF(B3774="","","outreach_sent")</f>
        <v/>
      </c>
      <c r="G3774" s="17">
        <f>IF(B3774="","","")</f>
        <v/>
      </c>
      <c r="H3774" s="17">
        <f>IF(B3774="","","")</f>
        <v/>
      </c>
      <c r="I3774" s="17">
        <f>IF(B3774="","","")</f>
        <v/>
      </c>
      <c r="J3774" s="17">
        <f>IF(B3774="","","touch_1; "&amp;IFERROR(INDEX(Clay_Brands!$A$2:$FZ$601,323,Sync!$D$10)&amp;"","")&amp;"; "&amp;IFERROR(INDEX(Clay_Brands!$A$2:$FZ$601,323,Sync!$D$9)&amp;"",""))</f>
        <v/>
      </c>
      <c r="K3774" t="inlineStr">
        <is>
          <t>brand outreach touch 1</t>
        </is>
      </c>
    </row>
    <row r="3775">
      <c r="A3775" s="17">
        <f>IF(B3775="","",B3775+(15*1000+324)/10000000)</f>
        <v/>
      </c>
      <c r="B3775" s="23">
        <f>IF(AND(IFERROR(N(INDEX(Clay_Brands!$A$2:$FZ$601,324,Sync!$D$11)),0)&gt;0,IFERROR(INDEX(Clay_Brands!$A$2:$FZ$601,324,Sync!$D$5)&amp;"","")&lt;&gt;"",OR(LEFT(IFERROR(INDEX(Clay_Brands!$A$2:$FZ$601,324,Sync!$D$5)&amp;"",""),6)&lt;&gt;"SAMPLE",Config!$B$19="Y")),IFERROR(N(INDEX(Clay_Brands!$A$2:$FZ$601,324,Sync!$D$11)),0),"")</f>
        <v/>
      </c>
      <c r="C3775" s="17">
        <f>IF(B3775="","","brand")</f>
        <v/>
      </c>
      <c r="D3775" s="17">
        <f>IF(B3775="","",IFERROR(INDEX(Clay_Brands!$A$2:$FZ$601,324,Sync!$D$5)&amp;"",""))</f>
        <v/>
      </c>
      <c r="E3775" s="17">
        <f>IF(B3775="","",IFERROR(INDEX(Clay_Brands!$A$2:$FZ$601,324,Sync!$D$6)&amp;"",""))</f>
        <v/>
      </c>
      <c r="F3775" s="17">
        <f>IF(B3775="","","outreach_sent")</f>
        <v/>
      </c>
      <c r="G3775" s="17">
        <f>IF(B3775="","","")</f>
        <v/>
      </c>
      <c r="H3775" s="17">
        <f>IF(B3775="","","")</f>
        <v/>
      </c>
      <c r="I3775" s="17">
        <f>IF(B3775="","","")</f>
        <v/>
      </c>
      <c r="J3775" s="17">
        <f>IF(B3775="","","touch_1; "&amp;IFERROR(INDEX(Clay_Brands!$A$2:$FZ$601,324,Sync!$D$10)&amp;"","")&amp;"; "&amp;IFERROR(INDEX(Clay_Brands!$A$2:$FZ$601,324,Sync!$D$9)&amp;"",""))</f>
        <v/>
      </c>
      <c r="K3775" t="inlineStr">
        <is>
          <t>brand outreach touch 1</t>
        </is>
      </c>
    </row>
    <row r="3776">
      <c r="A3776" s="17">
        <f>IF(B3776="","",B3776+(15*1000+325)/10000000)</f>
        <v/>
      </c>
      <c r="B3776" s="23">
        <f>IF(AND(IFERROR(N(INDEX(Clay_Brands!$A$2:$FZ$601,325,Sync!$D$11)),0)&gt;0,IFERROR(INDEX(Clay_Brands!$A$2:$FZ$601,325,Sync!$D$5)&amp;"","")&lt;&gt;"",OR(LEFT(IFERROR(INDEX(Clay_Brands!$A$2:$FZ$601,325,Sync!$D$5)&amp;"",""),6)&lt;&gt;"SAMPLE",Config!$B$19="Y")),IFERROR(N(INDEX(Clay_Brands!$A$2:$FZ$601,325,Sync!$D$11)),0),"")</f>
        <v/>
      </c>
      <c r="C3776" s="17">
        <f>IF(B3776="","","brand")</f>
        <v/>
      </c>
      <c r="D3776" s="17">
        <f>IF(B3776="","",IFERROR(INDEX(Clay_Brands!$A$2:$FZ$601,325,Sync!$D$5)&amp;"",""))</f>
        <v/>
      </c>
      <c r="E3776" s="17">
        <f>IF(B3776="","",IFERROR(INDEX(Clay_Brands!$A$2:$FZ$601,325,Sync!$D$6)&amp;"",""))</f>
        <v/>
      </c>
      <c r="F3776" s="17">
        <f>IF(B3776="","","outreach_sent")</f>
        <v/>
      </c>
      <c r="G3776" s="17">
        <f>IF(B3776="","","")</f>
        <v/>
      </c>
      <c r="H3776" s="17">
        <f>IF(B3776="","","")</f>
        <v/>
      </c>
      <c r="I3776" s="17">
        <f>IF(B3776="","","")</f>
        <v/>
      </c>
      <c r="J3776" s="17">
        <f>IF(B3776="","","touch_1; "&amp;IFERROR(INDEX(Clay_Brands!$A$2:$FZ$601,325,Sync!$D$10)&amp;"","")&amp;"; "&amp;IFERROR(INDEX(Clay_Brands!$A$2:$FZ$601,325,Sync!$D$9)&amp;"",""))</f>
        <v/>
      </c>
      <c r="K3776" t="inlineStr">
        <is>
          <t>brand outreach touch 1</t>
        </is>
      </c>
    </row>
    <row r="3777">
      <c r="A3777" s="17">
        <f>IF(B3777="","",B3777+(15*1000+326)/10000000)</f>
        <v/>
      </c>
      <c r="B3777" s="23">
        <f>IF(AND(IFERROR(N(INDEX(Clay_Brands!$A$2:$FZ$601,326,Sync!$D$11)),0)&gt;0,IFERROR(INDEX(Clay_Brands!$A$2:$FZ$601,326,Sync!$D$5)&amp;"","")&lt;&gt;"",OR(LEFT(IFERROR(INDEX(Clay_Brands!$A$2:$FZ$601,326,Sync!$D$5)&amp;"",""),6)&lt;&gt;"SAMPLE",Config!$B$19="Y")),IFERROR(N(INDEX(Clay_Brands!$A$2:$FZ$601,326,Sync!$D$11)),0),"")</f>
        <v/>
      </c>
      <c r="C3777" s="17">
        <f>IF(B3777="","","brand")</f>
        <v/>
      </c>
      <c r="D3777" s="17">
        <f>IF(B3777="","",IFERROR(INDEX(Clay_Brands!$A$2:$FZ$601,326,Sync!$D$5)&amp;"",""))</f>
        <v/>
      </c>
      <c r="E3777" s="17">
        <f>IF(B3777="","",IFERROR(INDEX(Clay_Brands!$A$2:$FZ$601,326,Sync!$D$6)&amp;"",""))</f>
        <v/>
      </c>
      <c r="F3777" s="17">
        <f>IF(B3777="","","outreach_sent")</f>
        <v/>
      </c>
      <c r="G3777" s="17">
        <f>IF(B3777="","","")</f>
        <v/>
      </c>
      <c r="H3777" s="17">
        <f>IF(B3777="","","")</f>
        <v/>
      </c>
      <c r="I3777" s="17">
        <f>IF(B3777="","","")</f>
        <v/>
      </c>
      <c r="J3777" s="17">
        <f>IF(B3777="","","touch_1; "&amp;IFERROR(INDEX(Clay_Brands!$A$2:$FZ$601,326,Sync!$D$10)&amp;"","")&amp;"; "&amp;IFERROR(INDEX(Clay_Brands!$A$2:$FZ$601,326,Sync!$D$9)&amp;"",""))</f>
        <v/>
      </c>
      <c r="K3777" t="inlineStr">
        <is>
          <t>brand outreach touch 1</t>
        </is>
      </c>
    </row>
    <row r="3778">
      <c r="A3778" s="17">
        <f>IF(B3778="","",B3778+(15*1000+327)/10000000)</f>
        <v/>
      </c>
      <c r="B3778" s="23">
        <f>IF(AND(IFERROR(N(INDEX(Clay_Brands!$A$2:$FZ$601,327,Sync!$D$11)),0)&gt;0,IFERROR(INDEX(Clay_Brands!$A$2:$FZ$601,327,Sync!$D$5)&amp;"","")&lt;&gt;"",OR(LEFT(IFERROR(INDEX(Clay_Brands!$A$2:$FZ$601,327,Sync!$D$5)&amp;"",""),6)&lt;&gt;"SAMPLE",Config!$B$19="Y")),IFERROR(N(INDEX(Clay_Brands!$A$2:$FZ$601,327,Sync!$D$11)),0),"")</f>
        <v/>
      </c>
      <c r="C3778" s="17">
        <f>IF(B3778="","","brand")</f>
        <v/>
      </c>
      <c r="D3778" s="17">
        <f>IF(B3778="","",IFERROR(INDEX(Clay_Brands!$A$2:$FZ$601,327,Sync!$D$5)&amp;"",""))</f>
        <v/>
      </c>
      <c r="E3778" s="17">
        <f>IF(B3778="","",IFERROR(INDEX(Clay_Brands!$A$2:$FZ$601,327,Sync!$D$6)&amp;"",""))</f>
        <v/>
      </c>
      <c r="F3778" s="17">
        <f>IF(B3778="","","outreach_sent")</f>
        <v/>
      </c>
      <c r="G3778" s="17">
        <f>IF(B3778="","","")</f>
        <v/>
      </c>
      <c r="H3778" s="17">
        <f>IF(B3778="","","")</f>
        <v/>
      </c>
      <c r="I3778" s="17">
        <f>IF(B3778="","","")</f>
        <v/>
      </c>
      <c r="J3778" s="17">
        <f>IF(B3778="","","touch_1; "&amp;IFERROR(INDEX(Clay_Brands!$A$2:$FZ$601,327,Sync!$D$10)&amp;"","")&amp;"; "&amp;IFERROR(INDEX(Clay_Brands!$A$2:$FZ$601,327,Sync!$D$9)&amp;"",""))</f>
        <v/>
      </c>
      <c r="K3778" t="inlineStr">
        <is>
          <t>brand outreach touch 1</t>
        </is>
      </c>
    </row>
    <row r="3779">
      <c r="A3779" s="17">
        <f>IF(B3779="","",B3779+(15*1000+328)/10000000)</f>
        <v/>
      </c>
      <c r="B3779" s="23">
        <f>IF(AND(IFERROR(N(INDEX(Clay_Brands!$A$2:$FZ$601,328,Sync!$D$11)),0)&gt;0,IFERROR(INDEX(Clay_Brands!$A$2:$FZ$601,328,Sync!$D$5)&amp;"","")&lt;&gt;"",OR(LEFT(IFERROR(INDEX(Clay_Brands!$A$2:$FZ$601,328,Sync!$D$5)&amp;"",""),6)&lt;&gt;"SAMPLE",Config!$B$19="Y")),IFERROR(N(INDEX(Clay_Brands!$A$2:$FZ$601,328,Sync!$D$11)),0),"")</f>
        <v/>
      </c>
      <c r="C3779" s="17">
        <f>IF(B3779="","","brand")</f>
        <v/>
      </c>
      <c r="D3779" s="17">
        <f>IF(B3779="","",IFERROR(INDEX(Clay_Brands!$A$2:$FZ$601,328,Sync!$D$5)&amp;"",""))</f>
        <v/>
      </c>
      <c r="E3779" s="17">
        <f>IF(B3779="","",IFERROR(INDEX(Clay_Brands!$A$2:$FZ$601,328,Sync!$D$6)&amp;"",""))</f>
        <v/>
      </c>
      <c r="F3779" s="17">
        <f>IF(B3779="","","outreach_sent")</f>
        <v/>
      </c>
      <c r="G3779" s="17">
        <f>IF(B3779="","","")</f>
        <v/>
      </c>
      <c r="H3779" s="17">
        <f>IF(B3779="","","")</f>
        <v/>
      </c>
      <c r="I3779" s="17">
        <f>IF(B3779="","","")</f>
        <v/>
      </c>
      <c r="J3779" s="17">
        <f>IF(B3779="","","touch_1; "&amp;IFERROR(INDEX(Clay_Brands!$A$2:$FZ$601,328,Sync!$D$10)&amp;"","")&amp;"; "&amp;IFERROR(INDEX(Clay_Brands!$A$2:$FZ$601,328,Sync!$D$9)&amp;"",""))</f>
        <v/>
      </c>
      <c r="K3779" t="inlineStr">
        <is>
          <t>brand outreach touch 1</t>
        </is>
      </c>
    </row>
    <row r="3780">
      <c r="A3780" s="17">
        <f>IF(B3780="","",B3780+(15*1000+329)/10000000)</f>
        <v/>
      </c>
      <c r="B3780" s="23">
        <f>IF(AND(IFERROR(N(INDEX(Clay_Brands!$A$2:$FZ$601,329,Sync!$D$11)),0)&gt;0,IFERROR(INDEX(Clay_Brands!$A$2:$FZ$601,329,Sync!$D$5)&amp;"","")&lt;&gt;"",OR(LEFT(IFERROR(INDEX(Clay_Brands!$A$2:$FZ$601,329,Sync!$D$5)&amp;"",""),6)&lt;&gt;"SAMPLE",Config!$B$19="Y")),IFERROR(N(INDEX(Clay_Brands!$A$2:$FZ$601,329,Sync!$D$11)),0),"")</f>
        <v/>
      </c>
      <c r="C3780" s="17">
        <f>IF(B3780="","","brand")</f>
        <v/>
      </c>
      <c r="D3780" s="17">
        <f>IF(B3780="","",IFERROR(INDEX(Clay_Brands!$A$2:$FZ$601,329,Sync!$D$5)&amp;"",""))</f>
        <v/>
      </c>
      <c r="E3780" s="17">
        <f>IF(B3780="","",IFERROR(INDEX(Clay_Brands!$A$2:$FZ$601,329,Sync!$D$6)&amp;"",""))</f>
        <v/>
      </c>
      <c r="F3780" s="17">
        <f>IF(B3780="","","outreach_sent")</f>
        <v/>
      </c>
      <c r="G3780" s="17">
        <f>IF(B3780="","","")</f>
        <v/>
      </c>
      <c r="H3780" s="17">
        <f>IF(B3780="","","")</f>
        <v/>
      </c>
      <c r="I3780" s="17">
        <f>IF(B3780="","","")</f>
        <v/>
      </c>
      <c r="J3780" s="17">
        <f>IF(B3780="","","touch_1; "&amp;IFERROR(INDEX(Clay_Brands!$A$2:$FZ$601,329,Sync!$D$10)&amp;"","")&amp;"; "&amp;IFERROR(INDEX(Clay_Brands!$A$2:$FZ$601,329,Sync!$D$9)&amp;"",""))</f>
        <v/>
      </c>
      <c r="K3780" t="inlineStr">
        <is>
          <t>brand outreach touch 1</t>
        </is>
      </c>
    </row>
    <row r="3781">
      <c r="A3781" s="17">
        <f>IF(B3781="","",B3781+(15*1000+330)/10000000)</f>
        <v/>
      </c>
      <c r="B3781" s="23">
        <f>IF(AND(IFERROR(N(INDEX(Clay_Brands!$A$2:$FZ$601,330,Sync!$D$11)),0)&gt;0,IFERROR(INDEX(Clay_Brands!$A$2:$FZ$601,330,Sync!$D$5)&amp;"","")&lt;&gt;"",OR(LEFT(IFERROR(INDEX(Clay_Brands!$A$2:$FZ$601,330,Sync!$D$5)&amp;"",""),6)&lt;&gt;"SAMPLE",Config!$B$19="Y")),IFERROR(N(INDEX(Clay_Brands!$A$2:$FZ$601,330,Sync!$D$11)),0),"")</f>
        <v/>
      </c>
      <c r="C3781" s="17">
        <f>IF(B3781="","","brand")</f>
        <v/>
      </c>
      <c r="D3781" s="17">
        <f>IF(B3781="","",IFERROR(INDEX(Clay_Brands!$A$2:$FZ$601,330,Sync!$D$5)&amp;"",""))</f>
        <v/>
      </c>
      <c r="E3781" s="17">
        <f>IF(B3781="","",IFERROR(INDEX(Clay_Brands!$A$2:$FZ$601,330,Sync!$D$6)&amp;"",""))</f>
        <v/>
      </c>
      <c r="F3781" s="17">
        <f>IF(B3781="","","outreach_sent")</f>
        <v/>
      </c>
      <c r="G3781" s="17">
        <f>IF(B3781="","","")</f>
        <v/>
      </c>
      <c r="H3781" s="17">
        <f>IF(B3781="","","")</f>
        <v/>
      </c>
      <c r="I3781" s="17">
        <f>IF(B3781="","","")</f>
        <v/>
      </c>
      <c r="J3781" s="17">
        <f>IF(B3781="","","touch_1; "&amp;IFERROR(INDEX(Clay_Brands!$A$2:$FZ$601,330,Sync!$D$10)&amp;"","")&amp;"; "&amp;IFERROR(INDEX(Clay_Brands!$A$2:$FZ$601,330,Sync!$D$9)&amp;"",""))</f>
        <v/>
      </c>
      <c r="K3781" t="inlineStr">
        <is>
          <t>brand outreach touch 1</t>
        </is>
      </c>
    </row>
    <row r="3782">
      <c r="A3782" s="17">
        <f>IF(B3782="","",B3782+(15*1000+331)/10000000)</f>
        <v/>
      </c>
      <c r="B3782" s="23">
        <f>IF(AND(IFERROR(N(INDEX(Clay_Brands!$A$2:$FZ$601,331,Sync!$D$11)),0)&gt;0,IFERROR(INDEX(Clay_Brands!$A$2:$FZ$601,331,Sync!$D$5)&amp;"","")&lt;&gt;"",OR(LEFT(IFERROR(INDEX(Clay_Brands!$A$2:$FZ$601,331,Sync!$D$5)&amp;"",""),6)&lt;&gt;"SAMPLE",Config!$B$19="Y")),IFERROR(N(INDEX(Clay_Brands!$A$2:$FZ$601,331,Sync!$D$11)),0),"")</f>
        <v/>
      </c>
      <c r="C3782" s="17">
        <f>IF(B3782="","","brand")</f>
        <v/>
      </c>
      <c r="D3782" s="17">
        <f>IF(B3782="","",IFERROR(INDEX(Clay_Brands!$A$2:$FZ$601,331,Sync!$D$5)&amp;"",""))</f>
        <v/>
      </c>
      <c r="E3782" s="17">
        <f>IF(B3782="","",IFERROR(INDEX(Clay_Brands!$A$2:$FZ$601,331,Sync!$D$6)&amp;"",""))</f>
        <v/>
      </c>
      <c r="F3782" s="17">
        <f>IF(B3782="","","outreach_sent")</f>
        <v/>
      </c>
      <c r="G3782" s="17">
        <f>IF(B3782="","","")</f>
        <v/>
      </c>
      <c r="H3782" s="17">
        <f>IF(B3782="","","")</f>
        <v/>
      </c>
      <c r="I3782" s="17">
        <f>IF(B3782="","","")</f>
        <v/>
      </c>
      <c r="J3782" s="17">
        <f>IF(B3782="","","touch_1; "&amp;IFERROR(INDEX(Clay_Brands!$A$2:$FZ$601,331,Sync!$D$10)&amp;"","")&amp;"; "&amp;IFERROR(INDEX(Clay_Brands!$A$2:$FZ$601,331,Sync!$D$9)&amp;"",""))</f>
        <v/>
      </c>
      <c r="K3782" t="inlineStr">
        <is>
          <t>brand outreach touch 1</t>
        </is>
      </c>
    </row>
    <row r="3783">
      <c r="A3783" s="17">
        <f>IF(B3783="","",B3783+(15*1000+332)/10000000)</f>
        <v/>
      </c>
      <c r="B3783" s="23">
        <f>IF(AND(IFERROR(N(INDEX(Clay_Brands!$A$2:$FZ$601,332,Sync!$D$11)),0)&gt;0,IFERROR(INDEX(Clay_Brands!$A$2:$FZ$601,332,Sync!$D$5)&amp;"","")&lt;&gt;"",OR(LEFT(IFERROR(INDEX(Clay_Brands!$A$2:$FZ$601,332,Sync!$D$5)&amp;"",""),6)&lt;&gt;"SAMPLE",Config!$B$19="Y")),IFERROR(N(INDEX(Clay_Brands!$A$2:$FZ$601,332,Sync!$D$11)),0),"")</f>
        <v/>
      </c>
      <c r="C3783" s="17">
        <f>IF(B3783="","","brand")</f>
        <v/>
      </c>
      <c r="D3783" s="17">
        <f>IF(B3783="","",IFERROR(INDEX(Clay_Brands!$A$2:$FZ$601,332,Sync!$D$5)&amp;"",""))</f>
        <v/>
      </c>
      <c r="E3783" s="17">
        <f>IF(B3783="","",IFERROR(INDEX(Clay_Brands!$A$2:$FZ$601,332,Sync!$D$6)&amp;"",""))</f>
        <v/>
      </c>
      <c r="F3783" s="17">
        <f>IF(B3783="","","outreach_sent")</f>
        <v/>
      </c>
      <c r="G3783" s="17">
        <f>IF(B3783="","","")</f>
        <v/>
      </c>
      <c r="H3783" s="17">
        <f>IF(B3783="","","")</f>
        <v/>
      </c>
      <c r="I3783" s="17">
        <f>IF(B3783="","","")</f>
        <v/>
      </c>
      <c r="J3783" s="17">
        <f>IF(B3783="","","touch_1; "&amp;IFERROR(INDEX(Clay_Brands!$A$2:$FZ$601,332,Sync!$D$10)&amp;"","")&amp;"; "&amp;IFERROR(INDEX(Clay_Brands!$A$2:$FZ$601,332,Sync!$D$9)&amp;"",""))</f>
        <v/>
      </c>
      <c r="K3783" t="inlineStr">
        <is>
          <t>brand outreach touch 1</t>
        </is>
      </c>
    </row>
    <row r="3784">
      <c r="A3784" s="17">
        <f>IF(B3784="","",B3784+(15*1000+333)/10000000)</f>
        <v/>
      </c>
      <c r="B3784" s="23">
        <f>IF(AND(IFERROR(N(INDEX(Clay_Brands!$A$2:$FZ$601,333,Sync!$D$11)),0)&gt;0,IFERROR(INDEX(Clay_Brands!$A$2:$FZ$601,333,Sync!$D$5)&amp;"","")&lt;&gt;"",OR(LEFT(IFERROR(INDEX(Clay_Brands!$A$2:$FZ$601,333,Sync!$D$5)&amp;"",""),6)&lt;&gt;"SAMPLE",Config!$B$19="Y")),IFERROR(N(INDEX(Clay_Brands!$A$2:$FZ$601,333,Sync!$D$11)),0),"")</f>
        <v/>
      </c>
      <c r="C3784" s="17">
        <f>IF(B3784="","","brand")</f>
        <v/>
      </c>
      <c r="D3784" s="17">
        <f>IF(B3784="","",IFERROR(INDEX(Clay_Brands!$A$2:$FZ$601,333,Sync!$D$5)&amp;"",""))</f>
        <v/>
      </c>
      <c r="E3784" s="17">
        <f>IF(B3784="","",IFERROR(INDEX(Clay_Brands!$A$2:$FZ$601,333,Sync!$D$6)&amp;"",""))</f>
        <v/>
      </c>
      <c r="F3784" s="17">
        <f>IF(B3784="","","outreach_sent")</f>
        <v/>
      </c>
      <c r="G3784" s="17">
        <f>IF(B3784="","","")</f>
        <v/>
      </c>
      <c r="H3784" s="17">
        <f>IF(B3784="","","")</f>
        <v/>
      </c>
      <c r="I3784" s="17">
        <f>IF(B3784="","","")</f>
        <v/>
      </c>
      <c r="J3784" s="17">
        <f>IF(B3784="","","touch_1; "&amp;IFERROR(INDEX(Clay_Brands!$A$2:$FZ$601,333,Sync!$D$10)&amp;"","")&amp;"; "&amp;IFERROR(INDEX(Clay_Brands!$A$2:$FZ$601,333,Sync!$D$9)&amp;"",""))</f>
        <v/>
      </c>
      <c r="K3784" t="inlineStr">
        <is>
          <t>brand outreach touch 1</t>
        </is>
      </c>
    </row>
    <row r="3785">
      <c r="A3785" s="17">
        <f>IF(B3785="","",B3785+(15*1000+334)/10000000)</f>
        <v/>
      </c>
      <c r="B3785" s="23">
        <f>IF(AND(IFERROR(N(INDEX(Clay_Brands!$A$2:$FZ$601,334,Sync!$D$11)),0)&gt;0,IFERROR(INDEX(Clay_Brands!$A$2:$FZ$601,334,Sync!$D$5)&amp;"","")&lt;&gt;"",OR(LEFT(IFERROR(INDEX(Clay_Brands!$A$2:$FZ$601,334,Sync!$D$5)&amp;"",""),6)&lt;&gt;"SAMPLE",Config!$B$19="Y")),IFERROR(N(INDEX(Clay_Brands!$A$2:$FZ$601,334,Sync!$D$11)),0),"")</f>
        <v/>
      </c>
      <c r="C3785" s="17">
        <f>IF(B3785="","","brand")</f>
        <v/>
      </c>
      <c r="D3785" s="17">
        <f>IF(B3785="","",IFERROR(INDEX(Clay_Brands!$A$2:$FZ$601,334,Sync!$D$5)&amp;"",""))</f>
        <v/>
      </c>
      <c r="E3785" s="17">
        <f>IF(B3785="","",IFERROR(INDEX(Clay_Brands!$A$2:$FZ$601,334,Sync!$D$6)&amp;"",""))</f>
        <v/>
      </c>
      <c r="F3785" s="17">
        <f>IF(B3785="","","outreach_sent")</f>
        <v/>
      </c>
      <c r="G3785" s="17">
        <f>IF(B3785="","","")</f>
        <v/>
      </c>
      <c r="H3785" s="17">
        <f>IF(B3785="","","")</f>
        <v/>
      </c>
      <c r="I3785" s="17">
        <f>IF(B3785="","","")</f>
        <v/>
      </c>
      <c r="J3785" s="17">
        <f>IF(B3785="","","touch_1; "&amp;IFERROR(INDEX(Clay_Brands!$A$2:$FZ$601,334,Sync!$D$10)&amp;"","")&amp;"; "&amp;IFERROR(INDEX(Clay_Brands!$A$2:$FZ$601,334,Sync!$D$9)&amp;"",""))</f>
        <v/>
      </c>
      <c r="K3785" t="inlineStr">
        <is>
          <t>brand outreach touch 1</t>
        </is>
      </c>
    </row>
    <row r="3786">
      <c r="A3786" s="17">
        <f>IF(B3786="","",B3786+(15*1000+335)/10000000)</f>
        <v/>
      </c>
      <c r="B3786" s="23">
        <f>IF(AND(IFERROR(N(INDEX(Clay_Brands!$A$2:$FZ$601,335,Sync!$D$11)),0)&gt;0,IFERROR(INDEX(Clay_Brands!$A$2:$FZ$601,335,Sync!$D$5)&amp;"","")&lt;&gt;"",OR(LEFT(IFERROR(INDEX(Clay_Brands!$A$2:$FZ$601,335,Sync!$D$5)&amp;"",""),6)&lt;&gt;"SAMPLE",Config!$B$19="Y")),IFERROR(N(INDEX(Clay_Brands!$A$2:$FZ$601,335,Sync!$D$11)),0),"")</f>
        <v/>
      </c>
      <c r="C3786" s="17">
        <f>IF(B3786="","","brand")</f>
        <v/>
      </c>
      <c r="D3786" s="17">
        <f>IF(B3786="","",IFERROR(INDEX(Clay_Brands!$A$2:$FZ$601,335,Sync!$D$5)&amp;"",""))</f>
        <v/>
      </c>
      <c r="E3786" s="17">
        <f>IF(B3786="","",IFERROR(INDEX(Clay_Brands!$A$2:$FZ$601,335,Sync!$D$6)&amp;"",""))</f>
        <v/>
      </c>
      <c r="F3786" s="17">
        <f>IF(B3786="","","outreach_sent")</f>
        <v/>
      </c>
      <c r="G3786" s="17">
        <f>IF(B3786="","","")</f>
        <v/>
      </c>
      <c r="H3786" s="17">
        <f>IF(B3786="","","")</f>
        <v/>
      </c>
      <c r="I3786" s="17">
        <f>IF(B3786="","","")</f>
        <v/>
      </c>
      <c r="J3786" s="17">
        <f>IF(B3786="","","touch_1; "&amp;IFERROR(INDEX(Clay_Brands!$A$2:$FZ$601,335,Sync!$D$10)&amp;"","")&amp;"; "&amp;IFERROR(INDEX(Clay_Brands!$A$2:$FZ$601,335,Sync!$D$9)&amp;"",""))</f>
        <v/>
      </c>
      <c r="K3786" t="inlineStr">
        <is>
          <t>brand outreach touch 1</t>
        </is>
      </c>
    </row>
    <row r="3787">
      <c r="A3787" s="17">
        <f>IF(B3787="","",B3787+(15*1000+336)/10000000)</f>
        <v/>
      </c>
      <c r="B3787" s="23">
        <f>IF(AND(IFERROR(N(INDEX(Clay_Brands!$A$2:$FZ$601,336,Sync!$D$11)),0)&gt;0,IFERROR(INDEX(Clay_Brands!$A$2:$FZ$601,336,Sync!$D$5)&amp;"","")&lt;&gt;"",OR(LEFT(IFERROR(INDEX(Clay_Brands!$A$2:$FZ$601,336,Sync!$D$5)&amp;"",""),6)&lt;&gt;"SAMPLE",Config!$B$19="Y")),IFERROR(N(INDEX(Clay_Brands!$A$2:$FZ$601,336,Sync!$D$11)),0),"")</f>
        <v/>
      </c>
      <c r="C3787" s="17">
        <f>IF(B3787="","","brand")</f>
        <v/>
      </c>
      <c r="D3787" s="17">
        <f>IF(B3787="","",IFERROR(INDEX(Clay_Brands!$A$2:$FZ$601,336,Sync!$D$5)&amp;"",""))</f>
        <v/>
      </c>
      <c r="E3787" s="17">
        <f>IF(B3787="","",IFERROR(INDEX(Clay_Brands!$A$2:$FZ$601,336,Sync!$D$6)&amp;"",""))</f>
        <v/>
      </c>
      <c r="F3787" s="17">
        <f>IF(B3787="","","outreach_sent")</f>
        <v/>
      </c>
      <c r="G3787" s="17">
        <f>IF(B3787="","","")</f>
        <v/>
      </c>
      <c r="H3787" s="17">
        <f>IF(B3787="","","")</f>
        <v/>
      </c>
      <c r="I3787" s="17">
        <f>IF(B3787="","","")</f>
        <v/>
      </c>
      <c r="J3787" s="17">
        <f>IF(B3787="","","touch_1; "&amp;IFERROR(INDEX(Clay_Brands!$A$2:$FZ$601,336,Sync!$D$10)&amp;"","")&amp;"; "&amp;IFERROR(INDEX(Clay_Brands!$A$2:$FZ$601,336,Sync!$D$9)&amp;"",""))</f>
        <v/>
      </c>
      <c r="K3787" t="inlineStr">
        <is>
          <t>brand outreach touch 1</t>
        </is>
      </c>
    </row>
    <row r="3788">
      <c r="A3788" s="17">
        <f>IF(B3788="","",B3788+(15*1000+337)/10000000)</f>
        <v/>
      </c>
      <c r="B3788" s="23">
        <f>IF(AND(IFERROR(N(INDEX(Clay_Brands!$A$2:$FZ$601,337,Sync!$D$11)),0)&gt;0,IFERROR(INDEX(Clay_Brands!$A$2:$FZ$601,337,Sync!$D$5)&amp;"","")&lt;&gt;"",OR(LEFT(IFERROR(INDEX(Clay_Brands!$A$2:$FZ$601,337,Sync!$D$5)&amp;"",""),6)&lt;&gt;"SAMPLE",Config!$B$19="Y")),IFERROR(N(INDEX(Clay_Brands!$A$2:$FZ$601,337,Sync!$D$11)),0),"")</f>
        <v/>
      </c>
      <c r="C3788" s="17">
        <f>IF(B3788="","","brand")</f>
        <v/>
      </c>
      <c r="D3788" s="17">
        <f>IF(B3788="","",IFERROR(INDEX(Clay_Brands!$A$2:$FZ$601,337,Sync!$D$5)&amp;"",""))</f>
        <v/>
      </c>
      <c r="E3788" s="17">
        <f>IF(B3788="","",IFERROR(INDEX(Clay_Brands!$A$2:$FZ$601,337,Sync!$D$6)&amp;"",""))</f>
        <v/>
      </c>
      <c r="F3788" s="17">
        <f>IF(B3788="","","outreach_sent")</f>
        <v/>
      </c>
      <c r="G3788" s="17">
        <f>IF(B3788="","","")</f>
        <v/>
      </c>
      <c r="H3788" s="17">
        <f>IF(B3788="","","")</f>
        <v/>
      </c>
      <c r="I3788" s="17">
        <f>IF(B3788="","","")</f>
        <v/>
      </c>
      <c r="J3788" s="17">
        <f>IF(B3788="","","touch_1; "&amp;IFERROR(INDEX(Clay_Brands!$A$2:$FZ$601,337,Sync!$D$10)&amp;"","")&amp;"; "&amp;IFERROR(INDEX(Clay_Brands!$A$2:$FZ$601,337,Sync!$D$9)&amp;"",""))</f>
        <v/>
      </c>
      <c r="K3788" t="inlineStr">
        <is>
          <t>brand outreach touch 1</t>
        </is>
      </c>
    </row>
    <row r="3789">
      <c r="A3789" s="17">
        <f>IF(B3789="","",B3789+(15*1000+338)/10000000)</f>
        <v/>
      </c>
      <c r="B3789" s="23">
        <f>IF(AND(IFERROR(N(INDEX(Clay_Brands!$A$2:$FZ$601,338,Sync!$D$11)),0)&gt;0,IFERROR(INDEX(Clay_Brands!$A$2:$FZ$601,338,Sync!$D$5)&amp;"","")&lt;&gt;"",OR(LEFT(IFERROR(INDEX(Clay_Brands!$A$2:$FZ$601,338,Sync!$D$5)&amp;"",""),6)&lt;&gt;"SAMPLE",Config!$B$19="Y")),IFERROR(N(INDEX(Clay_Brands!$A$2:$FZ$601,338,Sync!$D$11)),0),"")</f>
        <v/>
      </c>
      <c r="C3789" s="17">
        <f>IF(B3789="","","brand")</f>
        <v/>
      </c>
      <c r="D3789" s="17">
        <f>IF(B3789="","",IFERROR(INDEX(Clay_Brands!$A$2:$FZ$601,338,Sync!$D$5)&amp;"",""))</f>
        <v/>
      </c>
      <c r="E3789" s="17">
        <f>IF(B3789="","",IFERROR(INDEX(Clay_Brands!$A$2:$FZ$601,338,Sync!$D$6)&amp;"",""))</f>
        <v/>
      </c>
      <c r="F3789" s="17">
        <f>IF(B3789="","","outreach_sent")</f>
        <v/>
      </c>
      <c r="G3789" s="17">
        <f>IF(B3789="","","")</f>
        <v/>
      </c>
      <c r="H3789" s="17">
        <f>IF(B3789="","","")</f>
        <v/>
      </c>
      <c r="I3789" s="17">
        <f>IF(B3789="","","")</f>
        <v/>
      </c>
      <c r="J3789" s="17">
        <f>IF(B3789="","","touch_1; "&amp;IFERROR(INDEX(Clay_Brands!$A$2:$FZ$601,338,Sync!$D$10)&amp;"","")&amp;"; "&amp;IFERROR(INDEX(Clay_Brands!$A$2:$FZ$601,338,Sync!$D$9)&amp;"",""))</f>
        <v/>
      </c>
      <c r="K3789" t="inlineStr">
        <is>
          <t>brand outreach touch 1</t>
        </is>
      </c>
    </row>
    <row r="3790">
      <c r="A3790" s="17">
        <f>IF(B3790="","",B3790+(15*1000+339)/10000000)</f>
        <v/>
      </c>
      <c r="B3790" s="23">
        <f>IF(AND(IFERROR(N(INDEX(Clay_Brands!$A$2:$FZ$601,339,Sync!$D$11)),0)&gt;0,IFERROR(INDEX(Clay_Brands!$A$2:$FZ$601,339,Sync!$D$5)&amp;"","")&lt;&gt;"",OR(LEFT(IFERROR(INDEX(Clay_Brands!$A$2:$FZ$601,339,Sync!$D$5)&amp;"",""),6)&lt;&gt;"SAMPLE",Config!$B$19="Y")),IFERROR(N(INDEX(Clay_Brands!$A$2:$FZ$601,339,Sync!$D$11)),0),"")</f>
        <v/>
      </c>
      <c r="C3790" s="17">
        <f>IF(B3790="","","brand")</f>
        <v/>
      </c>
      <c r="D3790" s="17">
        <f>IF(B3790="","",IFERROR(INDEX(Clay_Brands!$A$2:$FZ$601,339,Sync!$D$5)&amp;"",""))</f>
        <v/>
      </c>
      <c r="E3790" s="17">
        <f>IF(B3790="","",IFERROR(INDEX(Clay_Brands!$A$2:$FZ$601,339,Sync!$D$6)&amp;"",""))</f>
        <v/>
      </c>
      <c r="F3790" s="17">
        <f>IF(B3790="","","outreach_sent")</f>
        <v/>
      </c>
      <c r="G3790" s="17">
        <f>IF(B3790="","","")</f>
        <v/>
      </c>
      <c r="H3790" s="17">
        <f>IF(B3790="","","")</f>
        <v/>
      </c>
      <c r="I3790" s="17">
        <f>IF(B3790="","","")</f>
        <v/>
      </c>
      <c r="J3790" s="17">
        <f>IF(B3790="","","touch_1; "&amp;IFERROR(INDEX(Clay_Brands!$A$2:$FZ$601,339,Sync!$D$10)&amp;"","")&amp;"; "&amp;IFERROR(INDEX(Clay_Brands!$A$2:$FZ$601,339,Sync!$D$9)&amp;"",""))</f>
        <v/>
      </c>
      <c r="K3790" t="inlineStr">
        <is>
          <t>brand outreach touch 1</t>
        </is>
      </c>
    </row>
    <row r="3791">
      <c r="A3791" s="17">
        <f>IF(B3791="","",B3791+(15*1000+340)/10000000)</f>
        <v/>
      </c>
      <c r="B3791" s="23">
        <f>IF(AND(IFERROR(N(INDEX(Clay_Brands!$A$2:$FZ$601,340,Sync!$D$11)),0)&gt;0,IFERROR(INDEX(Clay_Brands!$A$2:$FZ$601,340,Sync!$D$5)&amp;"","")&lt;&gt;"",OR(LEFT(IFERROR(INDEX(Clay_Brands!$A$2:$FZ$601,340,Sync!$D$5)&amp;"",""),6)&lt;&gt;"SAMPLE",Config!$B$19="Y")),IFERROR(N(INDEX(Clay_Brands!$A$2:$FZ$601,340,Sync!$D$11)),0),"")</f>
        <v/>
      </c>
      <c r="C3791" s="17">
        <f>IF(B3791="","","brand")</f>
        <v/>
      </c>
      <c r="D3791" s="17">
        <f>IF(B3791="","",IFERROR(INDEX(Clay_Brands!$A$2:$FZ$601,340,Sync!$D$5)&amp;"",""))</f>
        <v/>
      </c>
      <c r="E3791" s="17">
        <f>IF(B3791="","",IFERROR(INDEX(Clay_Brands!$A$2:$FZ$601,340,Sync!$D$6)&amp;"",""))</f>
        <v/>
      </c>
      <c r="F3791" s="17">
        <f>IF(B3791="","","outreach_sent")</f>
        <v/>
      </c>
      <c r="G3791" s="17">
        <f>IF(B3791="","","")</f>
        <v/>
      </c>
      <c r="H3791" s="17">
        <f>IF(B3791="","","")</f>
        <v/>
      </c>
      <c r="I3791" s="17">
        <f>IF(B3791="","","")</f>
        <v/>
      </c>
      <c r="J3791" s="17">
        <f>IF(B3791="","","touch_1; "&amp;IFERROR(INDEX(Clay_Brands!$A$2:$FZ$601,340,Sync!$D$10)&amp;"","")&amp;"; "&amp;IFERROR(INDEX(Clay_Brands!$A$2:$FZ$601,340,Sync!$D$9)&amp;"",""))</f>
        <v/>
      </c>
      <c r="K3791" t="inlineStr">
        <is>
          <t>brand outreach touch 1</t>
        </is>
      </c>
    </row>
    <row r="3792">
      <c r="A3792" s="17">
        <f>IF(B3792="","",B3792+(15*1000+341)/10000000)</f>
        <v/>
      </c>
      <c r="B3792" s="23">
        <f>IF(AND(IFERROR(N(INDEX(Clay_Brands!$A$2:$FZ$601,341,Sync!$D$11)),0)&gt;0,IFERROR(INDEX(Clay_Brands!$A$2:$FZ$601,341,Sync!$D$5)&amp;"","")&lt;&gt;"",OR(LEFT(IFERROR(INDEX(Clay_Brands!$A$2:$FZ$601,341,Sync!$D$5)&amp;"",""),6)&lt;&gt;"SAMPLE",Config!$B$19="Y")),IFERROR(N(INDEX(Clay_Brands!$A$2:$FZ$601,341,Sync!$D$11)),0),"")</f>
        <v/>
      </c>
      <c r="C3792" s="17">
        <f>IF(B3792="","","brand")</f>
        <v/>
      </c>
      <c r="D3792" s="17">
        <f>IF(B3792="","",IFERROR(INDEX(Clay_Brands!$A$2:$FZ$601,341,Sync!$D$5)&amp;"",""))</f>
        <v/>
      </c>
      <c r="E3792" s="17">
        <f>IF(B3792="","",IFERROR(INDEX(Clay_Brands!$A$2:$FZ$601,341,Sync!$D$6)&amp;"",""))</f>
        <v/>
      </c>
      <c r="F3792" s="17">
        <f>IF(B3792="","","outreach_sent")</f>
        <v/>
      </c>
      <c r="G3792" s="17">
        <f>IF(B3792="","","")</f>
        <v/>
      </c>
      <c r="H3792" s="17">
        <f>IF(B3792="","","")</f>
        <v/>
      </c>
      <c r="I3792" s="17">
        <f>IF(B3792="","","")</f>
        <v/>
      </c>
      <c r="J3792" s="17">
        <f>IF(B3792="","","touch_1; "&amp;IFERROR(INDEX(Clay_Brands!$A$2:$FZ$601,341,Sync!$D$10)&amp;"","")&amp;"; "&amp;IFERROR(INDEX(Clay_Brands!$A$2:$FZ$601,341,Sync!$D$9)&amp;"",""))</f>
        <v/>
      </c>
      <c r="K3792" t="inlineStr">
        <is>
          <t>brand outreach touch 1</t>
        </is>
      </c>
    </row>
    <row r="3793">
      <c r="A3793" s="17">
        <f>IF(B3793="","",B3793+(15*1000+342)/10000000)</f>
        <v/>
      </c>
      <c r="B3793" s="23">
        <f>IF(AND(IFERROR(N(INDEX(Clay_Brands!$A$2:$FZ$601,342,Sync!$D$11)),0)&gt;0,IFERROR(INDEX(Clay_Brands!$A$2:$FZ$601,342,Sync!$D$5)&amp;"","")&lt;&gt;"",OR(LEFT(IFERROR(INDEX(Clay_Brands!$A$2:$FZ$601,342,Sync!$D$5)&amp;"",""),6)&lt;&gt;"SAMPLE",Config!$B$19="Y")),IFERROR(N(INDEX(Clay_Brands!$A$2:$FZ$601,342,Sync!$D$11)),0),"")</f>
        <v/>
      </c>
      <c r="C3793" s="17">
        <f>IF(B3793="","","brand")</f>
        <v/>
      </c>
      <c r="D3793" s="17">
        <f>IF(B3793="","",IFERROR(INDEX(Clay_Brands!$A$2:$FZ$601,342,Sync!$D$5)&amp;"",""))</f>
        <v/>
      </c>
      <c r="E3793" s="17">
        <f>IF(B3793="","",IFERROR(INDEX(Clay_Brands!$A$2:$FZ$601,342,Sync!$D$6)&amp;"",""))</f>
        <v/>
      </c>
      <c r="F3793" s="17">
        <f>IF(B3793="","","outreach_sent")</f>
        <v/>
      </c>
      <c r="G3793" s="17">
        <f>IF(B3793="","","")</f>
        <v/>
      </c>
      <c r="H3793" s="17">
        <f>IF(B3793="","","")</f>
        <v/>
      </c>
      <c r="I3793" s="17">
        <f>IF(B3793="","","")</f>
        <v/>
      </c>
      <c r="J3793" s="17">
        <f>IF(B3793="","","touch_1; "&amp;IFERROR(INDEX(Clay_Brands!$A$2:$FZ$601,342,Sync!$D$10)&amp;"","")&amp;"; "&amp;IFERROR(INDEX(Clay_Brands!$A$2:$FZ$601,342,Sync!$D$9)&amp;"",""))</f>
        <v/>
      </c>
      <c r="K3793" t="inlineStr">
        <is>
          <t>brand outreach touch 1</t>
        </is>
      </c>
    </row>
    <row r="3794">
      <c r="A3794" s="17">
        <f>IF(B3794="","",B3794+(15*1000+343)/10000000)</f>
        <v/>
      </c>
      <c r="B3794" s="23">
        <f>IF(AND(IFERROR(N(INDEX(Clay_Brands!$A$2:$FZ$601,343,Sync!$D$11)),0)&gt;0,IFERROR(INDEX(Clay_Brands!$A$2:$FZ$601,343,Sync!$D$5)&amp;"","")&lt;&gt;"",OR(LEFT(IFERROR(INDEX(Clay_Brands!$A$2:$FZ$601,343,Sync!$D$5)&amp;"",""),6)&lt;&gt;"SAMPLE",Config!$B$19="Y")),IFERROR(N(INDEX(Clay_Brands!$A$2:$FZ$601,343,Sync!$D$11)),0),"")</f>
        <v/>
      </c>
      <c r="C3794" s="17">
        <f>IF(B3794="","","brand")</f>
        <v/>
      </c>
      <c r="D3794" s="17">
        <f>IF(B3794="","",IFERROR(INDEX(Clay_Brands!$A$2:$FZ$601,343,Sync!$D$5)&amp;"",""))</f>
        <v/>
      </c>
      <c r="E3794" s="17">
        <f>IF(B3794="","",IFERROR(INDEX(Clay_Brands!$A$2:$FZ$601,343,Sync!$D$6)&amp;"",""))</f>
        <v/>
      </c>
      <c r="F3794" s="17">
        <f>IF(B3794="","","outreach_sent")</f>
        <v/>
      </c>
      <c r="G3794" s="17">
        <f>IF(B3794="","","")</f>
        <v/>
      </c>
      <c r="H3794" s="17">
        <f>IF(B3794="","","")</f>
        <v/>
      </c>
      <c r="I3794" s="17">
        <f>IF(B3794="","","")</f>
        <v/>
      </c>
      <c r="J3794" s="17">
        <f>IF(B3794="","","touch_1; "&amp;IFERROR(INDEX(Clay_Brands!$A$2:$FZ$601,343,Sync!$D$10)&amp;"","")&amp;"; "&amp;IFERROR(INDEX(Clay_Brands!$A$2:$FZ$601,343,Sync!$D$9)&amp;"",""))</f>
        <v/>
      </c>
      <c r="K3794" t="inlineStr">
        <is>
          <t>brand outreach touch 1</t>
        </is>
      </c>
    </row>
    <row r="3795">
      <c r="A3795" s="17">
        <f>IF(B3795="","",B3795+(15*1000+344)/10000000)</f>
        <v/>
      </c>
      <c r="B3795" s="23">
        <f>IF(AND(IFERROR(N(INDEX(Clay_Brands!$A$2:$FZ$601,344,Sync!$D$11)),0)&gt;0,IFERROR(INDEX(Clay_Brands!$A$2:$FZ$601,344,Sync!$D$5)&amp;"","")&lt;&gt;"",OR(LEFT(IFERROR(INDEX(Clay_Brands!$A$2:$FZ$601,344,Sync!$D$5)&amp;"",""),6)&lt;&gt;"SAMPLE",Config!$B$19="Y")),IFERROR(N(INDEX(Clay_Brands!$A$2:$FZ$601,344,Sync!$D$11)),0),"")</f>
        <v/>
      </c>
      <c r="C3795" s="17">
        <f>IF(B3795="","","brand")</f>
        <v/>
      </c>
      <c r="D3795" s="17">
        <f>IF(B3795="","",IFERROR(INDEX(Clay_Brands!$A$2:$FZ$601,344,Sync!$D$5)&amp;"",""))</f>
        <v/>
      </c>
      <c r="E3795" s="17">
        <f>IF(B3795="","",IFERROR(INDEX(Clay_Brands!$A$2:$FZ$601,344,Sync!$D$6)&amp;"",""))</f>
        <v/>
      </c>
      <c r="F3795" s="17">
        <f>IF(B3795="","","outreach_sent")</f>
        <v/>
      </c>
      <c r="G3795" s="17">
        <f>IF(B3795="","","")</f>
        <v/>
      </c>
      <c r="H3795" s="17">
        <f>IF(B3795="","","")</f>
        <v/>
      </c>
      <c r="I3795" s="17">
        <f>IF(B3795="","","")</f>
        <v/>
      </c>
      <c r="J3795" s="17">
        <f>IF(B3795="","","touch_1; "&amp;IFERROR(INDEX(Clay_Brands!$A$2:$FZ$601,344,Sync!$D$10)&amp;"","")&amp;"; "&amp;IFERROR(INDEX(Clay_Brands!$A$2:$FZ$601,344,Sync!$D$9)&amp;"",""))</f>
        <v/>
      </c>
      <c r="K3795" t="inlineStr">
        <is>
          <t>brand outreach touch 1</t>
        </is>
      </c>
    </row>
    <row r="3796">
      <c r="A3796" s="17">
        <f>IF(B3796="","",B3796+(15*1000+345)/10000000)</f>
        <v/>
      </c>
      <c r="B3796" s="23">
        <f>IF(AND(IFERROR(N(INDEX(Clay_Brands!$A$2:$FZ$601,345,Sync!$D$11)),0)&gt;0,IFERROR(INDEX(Clay_Brands!$A$2:$FZ$601,345,Sync!$D$5)&amp;"","")&lt;&gt;"",OR(LEFT(IFERROR(INDEX(Clay_Brands!$A$2:$FZ$601,345,Sync!$D$5)&amp;"",""),6)&lt;&gt;"SAMPLE",Config!$B$19="Y")),IFERROR(N(INDEX(Clay_Brands!$A$2:$FZ$601,345,Sync!$D$11)),0),"")</f>
        <v/>
      </c>
      <c r="C3796" s="17">
        <f>IF(B3796="","","brand")</f>
        <v/>
      </c>
      <c r="D3796" s="17">
        <f>IF(B3796="","",IFERROR(INDEX(Clay_Brands!$A$2:$FZ$601,345,Sync!$D$5)&amp;"",""))</f>
        <v/>
      </c>
      <c r="E3796" s="17">
        <f>IF(B3796="","",IFERROR(INDEX(Clay_Brands!$A$2:$FZ$601,345,Sync!$D$6)&amp;"",""))</f>
        <v/>
      </c>
      <c r="F3796" s="17">
        <f>IF(B3796="","","outreach_sent")</f>
        <v/>
      </c>
      <c r="G3796" s="17">
        <f>IF(B3796="","","")</f>
        <v/>
      </c>
      <c r="H3796" s="17">
        <f>IF(B3796="","","")</f>
        <v/>
      </c>
      <c r="I3796" s="17">
        <f>IF(B3796="","","")</f>
        <v/>
      </c>
      <c r="J3796" s="17">
        <f>IF(B3796="","","touch_1; "&amp;IFERROR(INDEX(Clay_Brands!$A$2:$FZ$601,345,Sync!$D$10)&amp;"","")&amp;"; "&amp;IFERROR(INDEX(Clay_Brands!$A$2:$FZ$601,345,Sync!$D$9)&amp;"",""))</f>
        <v/>
      </c>
      <c r="K3796" t="inlineStr">
        <is>
          <t>brand outreach touch 1</t>
        </is>
      </c>
    </row>
    <row r="3797">
      <c r="A3797" s="17">
        <f>IF(B3797="","",B3797+(15*1000+346)/10000000)</f>
        <v/>
      </c>
      <c r="B3797" s="23">
        <f>IF(AND(IFERROR(N(INDEX(Clay_Brands!$A$2:$FZ$601,346,Sync!$D$11)),0)&gt;0,IFERROR(INDEX(Clay_Brands!$A$2:$FZ$601,346,Sync!$D$5)&amp;"","")&lt;&gt;"",OR(LEFT(IFERROR(INDEX(Clay_Brands!$A$2:$FZ$601,346,Sync!$D$5)&amp;"",""),6)&lt;&gt;"SAMPLE",Config!$B$19="Y")),IFERROR(N(INDEX(Clay_Brands!$A$2:$FZ$601,346,Sync!$D$11)),0),"")</f>
        <v/>
      </c>
      <c r="C3797" s="17">
        <f>IF(B3797="","","brand")</f>
        <v/>
      </c>
      <c r="D3797" s="17">
        <f>IF(B3797="","",IFERROR(INDEX(Clay_Brands!$A$2:$FZ$601,346,Sync!$D$5)&amp;"",""))</f>
        <v/>
      </c>
      <c r="E3797" s="17">
        <f>IF(B3797="","",IFERROR(INDEX(Clay_Brands!$A$2:$FZ$601,346,Sync!$D$6)&amp;"",""))</f>
        <v/>
      </c>
      <c r="F3797" s="17">
        <f>IF(B3797="","","outreach_sent")</f>
        <v/>
      </c>
      <c r="G3797" s="17">
        <f>IF(B3797="","","")</f>
        <v/>
      </c>
      <c r="H3797" s="17">
        <f>IF(B3797="","","")</f>
        <v/>
      </c>
      <c r="I3797" s="17">
        <f>IF(B3797="","","")</f>
        <v/>
      </c>
      <c r="J3797" s="17">
        <f>IF(B3797="","","touch_1; "&amp;IFERROR(INDEX(Clay_Brands!$A$2:$FZ$601,346,Sync!$D$10)&amp;"","")&amp;"; "&amp;IFERROR(INDEX(Clay_Brands!$A$2:$FZ$601,346,Sync!$D$9)&amp;"",""))</f>
        <v/>
      </c>
      <c r="K3797" t="inlineStr">
        <is>
          <t>brand outreach touch 1</t>
        </is>
      </c>
    </row>
    <row r="3798">
      <c r="A3798" s="17">
        <f>IF(B3798="","",B3798+(15*1000+347)/10000000)</f>
        <v/>
      </c>
      <c r="B3798" s="23">
        <f>IF(AND(IFERROR(N(INDEX(Clay_Brands!$A$2:$FZ$601,347,Sync!$D$11)),0)&gt;0,IFERROR(INDEX(Clay_Brands!$A$2:$FZ$601,347,Sync!$D$5)&amp;"","")&lt;&gt;"",OR(LEFT(IFERROR(INDEX(Clay_Brands!$A$2:$FZ$601,347,Sync!$D$5)&amp;"",""),6)&lt;&gt;"SAMPLE",Config!$B$19="Y")),IFERROR(N(INDEX(Clay_Brands!$A$2:$FZ$601,347,Sync!$D$11)),0),"")</f>
        <v/>
      </c>
      <c r="C3798" s="17">
        <f>IF(B3798="","","brand")</f>
        <v/>
      </c>
      <c r="D3798" s="17">
        <f>IF(B3798="","",IFERROR(INDEX(Clay_Brands!$A$2:$FZ$601,347,Sync!$D$5)&amp;"",""))</f>
        <v/>
      </c>
      <c r="E3798" s="17">
        <f>IF(B3798="","",IFERROR(INDEX(Clay_Brands!$A$2:$FZ$601,347,Sync!$D$6)&amp;"",""))</f>
        <v/>
      </c>
      <c r="F3798" s="17">
        <f>IF(B3798="","","outreach_sent")</f>
        <v/>
      </c>
      <c r="G3798" s="17">
        <f>IF(B3798="","","")</f>
        <v/>
      </c>
      <c r="H3798" s="17">
        <f>IF(B3798="","","")</f>
        <v/>
      </c>
      <c r="I3798" s="17">
        <f>IF(B3798="","","")</f>
        <v/>
      </c>
      <c r="J3798" s="17">
        <f>IF(B3798="","","touch_1; "&amp;IFERROR(INDEX(Clay_Brands!$A$2:$FZ$601,347,Sync!$D$10)&amp;"","")&amp;"; "&amp;IFERROR(INDEX(Clay_Brands!$A$2:$FZ$601,347,Sync!$D$9)&amp;"",""))</f>
        <v/>
      </c>
      <c r="K3798" t="inlineStr">
        <is>
          <t>brand outreach touch 1</t>
        </is>
      </c>
    </row>
    <row r="3799">
      <c r="A3799" s="17">
        <f>IF(B3799="","",B3799+(15*1000+348)/10000000)</f>
        <v/>
      </c>
      <c r="B3799" s="23">
        <f>IF(AND(IFERROR(N(INDEX(Clay_Brands!$A$2:$FZ$601,348,Sync!$D$11)),0)&gt;0,IFERROR(INDEX(Clay_Brands!$A$2:$FZ$601,348,Sync!$D$5)&amp;"","")&lt;&gt;"",OR(LEFT(IFERROR(INDEX(Clay_Brands!$A$2:$FZ$601,348,Sync!$D$5)&amp;"",""),6)&lt;&gt;"SAMPLE",Config!$B$19="Y")),IFERROR(N(INDEX(Clay_Brands!$A$2:$FZ$601,348,Sync!$D$11)),0),"")</f>
        <v/>
      </c>
      <c r="C3799" s="17">
        <f>IF(B3799="","","brand")</f>
        <v/>
      </c>
      <c r="D3799" s="17">
        <f>IF(B3799="","",IFERROR(INDEX(Clay_Brands!$A$2:$FZ$601,348,Sync!$D$5)&amp;"",""))</f>
        <v/>
      </c>
      <c r="E3799" s="17">
        <f>IF(B3799="","",IFERROR(INDEX(Clay_Brands!$A$2:$FZ$601,348,Sync!$D$6)&amp;"",""))</f>
        <v/>
      </c>
      <c r="F3799" s="17">
        <f>IF(B3799="","","outreach_sent")</f>
        <v/>
      </c>
      <c r="G3799" s="17">
        <f>IF(B3799="","","")</f>
        <v/>
      </c>
      <c r="H3799" s="17">
        <f>IF(B3799="","","")</f>
        <v/>
      </c>
      <c r="I3799" s="17">
        <f>IF(B3799="","","")</f>
        <v/>
      </c>
      <c r="J3799" s="17">
        <f>IF(B3799="","","touch_1; "&amp;IFERROR(INDEX(Clay_Brands!$A$2:$FZ$601,348,Sync!$D$10)&amp;"","")&amp;"; "&amp;IFERROR(INDEX(Clay_Brands!$A$2:$FZ$601,348,Sync!$D$9)&amp;"",""))</f>
        <v/>
      </c>
      <c r="K3799" t="inlineStr">
        <is>
          <t>brand outreach touch 1</t>
        </is>
      </c>
    </row>
    <row r="3800">
      <c r="A3800" s="17">
        <f>IF(B3800="","",B3800+(15*1000+349)/10000000)</f>
        <v/>
      </c>
      <c r="B3800" s="23">
        <f>IF(AND(IFERROR(N(INDEX(Clay_Brands!$A$2:$FZ$601,349,Sync!$D$11)),0)&gt;0,IFERROR(INDEX(Clay_Brands!$A$2:$FZ$601,349,Sync!$D$5)&amp;"","")&lt;&gt;"",OR(LEFT(IFERROR(INDEX(Clay_Brands!$A$2:$FZ$601,349,Sync!$D$5)&amp;"",""),6)&lt;&gt;"SAMPLE",Config!$B$19="Y")),IFERROR(N(INDEX(Clay_Brands!$A$2:$FZ$601,349,Sync!$D$11)),0),"")</f>
        <v/>
      </c>
      <c r="C3800" s="17">
        <f>IF(B3800="","","brand")</f>
        <v/>
      </c>
      <c r="D3800" s="17">
        <f>IF(B3800="","",IFERROR(INDEX(Clay_Brands!$A$2:$FZ$601,349,Sync!$D$5)&amp;"",""))</f>
        <v/>
      </c>
      <c r="E3800" s="17">
        <f>IF(B3800="","",IFERROR(INDEX(Clay_Brands!$A$2:$FZ$601,349,Sync!$D$6)&amp;"",""))</f>
        <v/>
      </c>
      <c r="F3800" s="17">
        <f>IF(B3800="","","outreach_sent")</f>
        <v/>
      </c>
      <c r="G3800" s="17">
        <f>IF(B3800="","","")</f>
        <v/>
      </c>
      <c r="H3800" s="17">
        <f>IF(B3800="","","")</f>
        <v/>
      </c>
      <c r="I3800" s="17">
        <f>IF(B3800="","","")</f>
        <v/>
      </c>
      <c r="J3800" s="17">
        <f>IF(B3800="","","touch_1; "&amp;IFERROR(INDEX(Clay_Brands!$A$2:$FZ$601,349,Sync!$D$10)&amp;"","")&amp;"; "&amp;IFERROR(INDEX(Clay_Brands!$A$2:$FZ$601,349,Sync!$D$9)&amp;"",""))</f>
        <v/>
      </c>
      <c r="K3800" t="inlineStr">
        <is>
          <t>brand outreach touch 1</t>
        </is>
      </c>
    </row>
    <row r="3801">
      <c r="A3801" s="17">
        <f>IF(B3801="","",B3801+(15*1000+350)/10000000)</f>
        <v/>
      </c>
      <c r="B3801" s="23">
        <f>IF(AND(IFERROR(N(INDEX(Clay_Brands!$A$2:$FZ$601,350,Sync!$D$11)),0)&gt;0,IFERROR(INDEX(Clay_Brands!$A$2:$FZ$601,350,Sync!$D$5)&amp;"","")&lt;&gt;"",OR(LEFT(IFERROR(INDEX(Clay_Brands!$A$2:$FZ$601,350,Sync!$D$5)&amp;"",""),6)&lt;&gt;"SAMPLE",Config!$B$19="Y")),IFERROR(N(INDEX(Clay_Brands!$A$2:$FZ$601,350,Sync!$D$11)),0),"")</f>
        <v/>
      </c>
      <c r="C3801" s="17">
        <f>IF(B3801="","","brand")</f>
        <v/>
      </c>
      <c r="D3801" s="17">
        <f>IF(B3801="","",IFERROR(INDEX(Clay_Brands!$A$2:$FZ$601,350,Sync!$D$5)&amp;"",""))</f>
        <v/>
      </c>
      <c r="E3801" s="17">
        <f>IF(B3801="","",IFERROR(INDEX(Clay_Brands!$A$2:$FZ$601,350,Sync!$D$6)&amp;"",""))</f>
        <v/>
      </c>
      <c r="F3801" s="17">
        <f>IF(B3801="","","outreach_sent")</f>
        <v/>
      </c>
      <c r="G3801" s="17">
        <f>IF(B3801="","","")</f>
        <v/>
      </c>
      <c r="H3801" s="17">
        <f>IF(B3801="","","")</f>
        <v/>
      </c>
      <c r="I3801" s="17">
        <f>IF(B3801="","","")</f>
        <v/>
      </c>
      <c r="J3801" s="17">
        <f>IF(B3801="","","touch_1; "&amp;IFERROR(INDEX(Clay_Brands!$A$2:$FZ$601,350,Sync!$D$10)&amp;"","")&amp;"; "&amp;IFERROR(INDEX(Clay_Brands!$A$2:$FZ$601,350,Sync!$D$9)&amp;"",""))</f>
        <v/>
      </c>
      <c r="K3801" t="inlineStr">
        <is>
          <t>brand outreach touch 1</t>
        </is>
      </c>
    </row>
    <row r="3802">
      <c r="A3802" s="17">
        <f>IF(B3802="","",B3802+(15*1000+351)/10000000)</f>
        <v/>
      </c>
      <c r="B3802" s="23">
        <f>IF(AND(IFERROR(N(INDEX(Clay_Brands!$A$2:$FZ$601,351,Sync!$D$11)),0)&gt;0,IFERROR(INDEX(Clay_Brands!$A$2:$FZ$601,351,Sync!$D$5)&amp;"","")&lt;&gt;"",OR(LEFT(IFERROR(INDEX(Clay_Brands!$A$2:$FZ$601,351,Sync!$D$5)&amp;"",""),6)&lt;&gt;"SAMPLE",Config!$B$19="Y")),IFERROR(N(INDEX(Clay_Brands!$A$2:$FZ$601,351,Sync!$D$11)),0),"")</f>
        <v/>
      </c>
      <c r="C3802" s="17">
        <f>IF(B3802="","","brand")</f>
        <v/>
      </c>
      <c r="D3802" s="17">
        <f>IF(B3802="","",IFERROR(INDEX(Clay_Brands!$A$2:$FZ$601,351,Sync!$D$5)&amp;"",""))</f>
        <v/>
      </c>
      <c r="E3802" s="17">
        <f>IF(B3802="","",IFERROR(INDEX(Clay_Brands!$A$2:$FZ$601,351,Sync!$D$6)&amp;"",""))</f>
        <v/>
      </c>
      <c r="F3802" s="17">
        <f>IF(B3802="","","outreach_sent")</f>
        <v/>
      </c>
      <c r="G3802" s="17">
        <f>IF(B3802="","","")</f>
        <v/>
      </c>
      <c r="H3802" s="17">
        <f>IF(B3802="","","")</f>
        <v/>
      </c>
      <c r="I3802" s="17">
        <f>IF(B3802="","","")</f>
        <v/>
      </c>
      <c r="J3802" s="17">
        <f>IF(B3802="","","touch_1; "&amp;IFERROR(INDEX(Clay_Brands!$A$2:$FZ$601,351,Sync!$D$10)&amp;"","")&amp;"; "&amp;IFERROR(INDEX(Clay_Brands!$A$2:$FZ$601,351,Sync!$D$9)&amp;"",""))</f>
        <v/>
      </c>
      <c r="K3802" t="inlineStr">
        <is>
          <t>brand outreach touch 1</t>
        </is>
      </c>
    </row>
    <row r="3803">
      <c r="A3803" s="17">
        <f>IF(B3803="","",B3803+(15*1000+352)/10000000)</f>
        <v/>
      </c>
      <c r="B3803" s="23">
        <f>IF(AND(IFERROR(N(INDEX(Clay_Brands!$A$2:$FZ$601,352,Sync!$D$11)),0)&gt;0,IFERROR(INDEX(Clay_Brands!$A$2:$FZ$601,352,Sync!$D$5)&amp;"","")&lt;&gt;"",OR(LEFT(IFERROR(INDEX(Clay_Brands!$A$2:$FZ$601,352,Sync!$D$5)&amp;"",""),6)&lt;&gt;"SAMPLE",Config!$B$19="Y")),IFERROR(N(INDEX(Clay_Brands!$A$2:$FZ$601,352,Sync!$D$11)),0),"")</f>
        <v/>
      </c>
      <c r="C3803" s="17">
        <f>IF(B3803="","","brand")</f>
        <v/>
      </c>
      <c r="D3803" s="17">
        <f>IF(B3803="","",IFERROR(INDEX(Clay_Brands!$A$2:$FZ$601,352,Sync!$D$5)&amp;"",""))</f>
        <v/>
      </c>
      <c r="E3803" s="17">
        <f>IF(B3803="","",IFERROR(INDEX(Clay_Brands!$A$2:$FZ$601,352,Sync!$D$6)&amp;"",""))</f>
        <v/>
      </c>
      <c r="F3803" s="17">
        <f>IF(B3803="","","outreach_sent")</f>
        <v/>
      </c>
      <c r="G3803" s="17">
        <f>IF(B3803="","","")</f>
        <v/>
      </c>
      <c r="H3803" s="17">
        <f>IF(B3803="","","")</f>
        <v/>
      </c>
      <c r="I3803" s="17">
        <f>IF(B3803="","","")</f>
        <v/>
      </c>
      <c r="J3803" s="17">
        <f>IF(B3803="","","touch_1; "&amp;IFERROR(INDEX(Clay_Brands!$A$2:$FZ$601,352,Sync!$D$10)&amp;"","")&amp;"; "&amp;IFERROR(INDEX(Clay_Brands!$A$2:$FZ$601,352,Sync!$D$9)&amp;"",""))</f>
        <v/>
      </c>
      <c r="K3803" t="inlineStr">
        <is>
          <t>brand outreach touch 1</t>
        </is>
      </c>
    </row>
    <row r="3804">
      <c r="A3804" s="17">
        <f>IF(B3804="","",B3804+(15*1000+353)/10000000)</f>
        <v/>
      </c>
      <c r="B3804" s="23">
        <f>IF(AND(IFERROR(N(INDEX(Clay_Brands!$A$2:$FZ$601,353,Sync!$D$11)),0)&gt;0,IFERROR(INDEX(Clay_Brands!$A$2:$FZ$601,353,Sync!$D$5)&amp;"","")&lt;&gt;"",OR(LEFT(IFERROR(INDEX(Clay_Brands!$A$2:$FZ$601,353,Sync!$D$5)&amp;"",""),6)&lt;&gt;"SAMPLE",Config!$B$19="Y")),IFERROR(N(INDEX(Clay_Brands!$A$2:$FZ$601,353,Sync!$D$11)),0),"")</f>
        <v/>
      </c>
      <c r="C3804" s="17">
        <f>IF(B3804="","","brand")</f>
        <v/>
      </c>
      <c r="D3804" s="17">
        <f>IF(B3804="","",IFERROR(INDEX(Clay_Brands!$A$2:$FZ$601,353,Sync!$D$5)&amp;"",""))</f>
        <v/>
      </c>
      <c r="E3804" s="17">
        <f>IF(B3804="","",IFERROR(INDEX(Clay_Brands!$A$2:$FZ$601,353,Sync!$D$6)&amp;"",""))</f>
        <v/>
      </c>
      <c r="F3804" s="17">
        <f>IF(B3804="","","outreach_sent")</f>
        <v/>
      </c>
      <c r="G3804" s="17">
        <f>IF(B3804="","","")</f>
        <v/>
      </c>
      <c r="H3804" s="17">
        <f>IF(B3804="","","")</f>
        <v/>
      </c>
      <c r="I3804" s="17">
        <f>IF(B3804="","","")</f>
        <v/>
      </c>
      <c r="J3804" s="17">
        <f>IF(B3804="","","touch_1; "&amp;IFERROR(INDEX(Clay_Brands!$A$2:$FZ$601,353,Sync!$D$10)&amp;"","")&amp;"; "&amp;IFERROR(INDEX(Clay_Brands!$A$2:$FZ$601,353,Sync!$D$9)&amp;"",""))</f>
        <v/>
      </c>
      <c r="K3804" t="inlineStr">
        <is>
          <t>brand outreach touch 1</t>
        </is>
      </c>
    </row>
    <row r="3805">
      <c r="A3805" s="17">
        <f>IF(B3805="","",B3805+(15*1000+354)/10000000)</f>
        <v/>
      </c>
      <c r="B3805" s="23">
        <f>IF(AND(IFERROR(N(INDEX(Clay_Brands!$A$2:$FZ$601,354,Sync!$D$11)),0)&gt;0,IFERROR(INDEX(Clay_Brands!$A$2:$FZ$601,354,Sync!$D$5)&amp;"","")&lt;&gt;"",OR(LEFT(IFERROR(INDEX(Clay_Brands!$A$2:$FZ$601,354,Sync!$D$5)&amp;"",""),6)&lt;&gt;"SAMPLE",Config!$B$19="Y")),IFERROR(N(INDEX(Clay_Brands!$A$2:$FZ$601,354,Sync!$D$11)),0),"")</f>
        <v/>
      </c>
      <c r="C3805" s="17">
        <f>IF(B3805="","","brand")</f>
        <v/>
      </c>
      <c r="D3805" s="17">
        <f>IF(B3805="","",IFERROR(INDEX(Clay_Brands!$A$2:$FZ$601,354,Sync!$D$5)&amp;"",""))</f>
        <v/>
      </c>
      <c r="E3805" s="17">
        <f>IF(B3805="","",IFERROR(INDEX(Clay_Brands!$A$2:$FZ$601,354,Sync!$D$6)&amp;"",""))</f>
        <v/>
      </c>
      <c r="F3805" s="17">
        <f>IF(B3805="","","outreach_sent")</f>
        <v/>
      </c>
      <c r="G3805" s="17">
        <f>IF(B3805="","","")</f>
        <v/>
      </c>
      <c r="H3805" s="17">
        <f>IF(B3805="","","")</f>
        <v/>
      </c>
      <c r="I3805" s="17">
        <f>IF(B3805="","","")</f>
        <v/>
      </c>
      <c r="J3805" s="17">
        <f>IF(B3805="","","touch_1; "&amp;IFERROR(INDEX(Clay_Brands!$A$2:$FZ$601,354,Sync!$D$10)&amp;"","")&amp;"; "&amp;IFERROR(INDEX(Clay_Brands!$A$2:$FZ$601,354,Sync!$D$9)&amp;"",""))</f>
        <v/>
      </c>
      <c r="K3805" t="inlineStr">
        <is>
          <t>brand outreach touch 1</t>
        </is>
      </c>
    </row>
    <row r="3806">
      <c r="A3806" s="17">
        <f>IF(B3806="","",B3806+(15*1000+355)/10000000)</f>
        <v/>
      </c>
      <c r="B3806" s="23">
        <f>IF(AND(IFERROR(N(INDEX(Clay_Brands!$A$2:$FZ$601,355,Sync!$D$11)),0)&gt;0,IFERROR(INDEX(Clay_Brands!$A$2:$FZ$601,355,Sync!$D$5)&amp;"","")&lt;&gt;"",OR(LEFT(IFERROR(INDEX(Clay_Brands!$A$2:$FZ$601,355,Sync!$D$5)&amp;"",""),6)&lt;&gt;"SAMPLE",Config!$B$19="Y")),IFERROR(N(INDEX(Clay_Brands!$A$2:$FZ$601,355,Sync!$D$11)),0),"")</f>
        <v/>
      </c>
      <c r="C3806" s="17">
        <f>IF(B3806="","","brand")</f>
        <v/>
      </c>
      <c r="D3806" s="17">
        <f>IF(B3806="","",IFERROR(INDEX(Clay_Brands!$A$2:$FZ$601,355,Sync!$D$5)&amp;"",""))</f>
        <v/>
      </c>
      <c r="E3806" s="17">
        <f>IF(B3806="","",IFERROR(INDEX(Clay_Brands!$A$2:$FZ$601,355,Sync!$D$6)&amp;"",""))</f>
        <v/>
      </c>
      <c r="F3806" s="17">
        <f>IF(B3806="","","outreach_sent")</f>
        <v/>
      </c>
      <c r="G3806" s="17">
        <f>IF(B3806="","","")</f>
        <v/>
      </c>
      <c r="H3806" s="17">
        <f>IF(B3806="","","")</f>
        <v/>
      </c>
      <c r="I3806" s="17">
        <f>IF(B3806="","","")</f>
        <v/>
      </c>
      <c r="J3806" s="17">
        <f>IF(B3806="","","touch_1; "&amp;IFERROR(INDEX(Clay_Brands!$A$2:$FZ$601,355,Sync!$D$10)&amp;"","")&amp;"; "&amp;IFERROR(INDEX(Clay_Brands!$A$2:$FZ$601,355,Sync!$D$9)&amp;"",""))</f>
        <v/>
      </c>
      <c r="K3806" t="inlineStr">
        <is>
          <t>brand outreach touch 1</t>
        </is>
      </c>
    </row>
    <row r="3807">
      <c r="A3807" s="17">
        <f>IF(B3807="","",B3807+(15*1000+356)/10000000)</f>
        <v/>
      </c>
      <c r="B3807" s="23">
        <f>IF(AND(IFERROR(N(INDEX(Clay_Brands!$A$2:$FZ$601,356,Sync!$D$11)),0)&gt;0,IFERROR(INDEX(Clay_Brands!$A$2:$FZ$601,356,Sync!$D$5)&amp;"","")&lt;&gt;"",OR(LEFT(IFERROR(INDEX(Clay_Brands!$A$2:$FZ$601,356,Sync!$D$5)&amp;"",""),6)&lt;&gt;"SAMPLE",Config!$B$19="Y")),IFERROR(N(INDEX(Clay_Brands!$A$2:$FZ$601,356,Sync!$D$11)),0),"")</f>
        <v/>
      </c>
      <c r="C3807" s="17">
        <f>IF(B3807="","","brand")</f>
        <v/>
      </c>
      <c r="D3807" s="17">
        <f>IF(B3807="","",IFERROR(INDEX(Clay_Brands!$A$2:$FZ$601,356,Sync!$D$5)&amp;"",""))</f>
        <v/>
      </c>
      <c r="E3807" s="17">
        <f>IF(B3807="","",IFERROR(INDEX(Clay_Brands!$A$2:$FZ$601,356,Sync!$D$6)&amp;"",""))</f>
        <v/>
      </c>
      <c r="F3807" s="17">
        <f>IF(B3807="","","outreach_sent")</f>
        <v/>
      </c>
      <c r="G3807" s="17">
        <f>IF(B3807="","","")</f>
        <v/>
      </c>
      <c r="H3807" s="17">
        <f>IF(B3807="","","")</f>
        <v/>
      </c>
      <c r="I3807" s="17">
        <f>IF(B3807="","","")</f>
        <v/>
      </c>
      <c r="J3807" s="17">
        <f>IF(B3807="","","touch_1; "&amp;IFERROR(INDEX(Clay_Brands!$A$2:$FZ$601,356,Sync!$D$10)&amp;"","")&amp;"; "&amp;IFERROR(INDEX(Clay_Brands!$A$2:$FZ$601,356,Sync!$D$9)&amp;"",""))</f>
        <v/>
      </c>
      <c r="K3807" t="inlineStr">
        <is>
          <t>brand outreach touch 1</t>
        </is>
      </c>
    </row>
    <row r="3808">
      <c r="A3808" s="17">
        <f>IF(B3808="","",B3808+(15*1000+357)/10000000)</f>
        <v/>
      </c>
      <c r="B3808" s="23">
        <f>IF(AND(IFERROR(N(INDEX(Clay_Brands!$A$2:$FZ$601,357,Sync!$D$11)),0)&gt;0,IFERROR(INDEX(Clay_Brands!$A$2:$FZ$601,357,Sync!$D$5)&amp;"","")&lt;&gt;"",OR(LEFT(IFERROR(INDEX(Clay_Brands!$A$2:$FZ$601,357,Sync!$D$5)&amp;"",""),6)&lt;&gt;"SAMPLE",Config!$B$19="Y")),IFERROR(N(INDEX(Clay_Brands!$A$2:$FZ$601,357,Sync!$D$11)),0),"")</f>
        <v/>
      </c>
      <c r="C3808" s="17">
        <f>IF(B3808="","","brand")</f>
        <v/>
      </c>
      <c r="D3808" s="17">
        <f>IF(B3808="","",IFERROR(INDEX(Clay_Brands!$A$2:$FZ$601,357,Sync!$D$5)&amp;"",""))</f>
        <v/>
      </c>
      <c r="E3808" s="17">
        <f>IF(B3808="","",IFERROR(INDEX(Clay_Brands!$A$2:$FZ$601,357,Sync!$D$6)&amp;"",""))</f>
        <v/>
      </c>
      <c r="F3808" s="17">
        <f>IF(B3808="","","outreach_sent")</f>
        <v/>
      </c>
      <c r="G3808" s="17">
        <f>IF(B3808="","","")</f>
        <v/>
      </c>
      <c r="H3808" s="17">
        <f>IF(B3808="","","")</f>
        <v/>
      </c>
      <c r="I3808" s="17">
        <f>IF(B3808="","","")</f>
        <v/>
      </c>
      <c r="J3808" s="17">
        <f>IF(B3808="","","touch_1; "&amp;IFERROR(INDEX(Clay_Brands!$A$2:$FZ$601,357,Sync!$D$10)&amp;"","")&amp;"; "&amp;IFERROR(INDEX(Clay_Brands!$A$2:$FZ$601,357,Sync!$D$9)&amp;"",""))</f>
        <v/>
      </c>
      <c r="K3808" t="inlineStr">
        <is>
          <t>brand outreach touch 1</t>
        </is>
      </c>
    </row>
    <row r="3809">
      <c r="A3809" s="17">
        <f>IF(B3809="","",B3809+(15*1000+358)/10000000)</f>
        <v/>
      </c>
      <c r="B3809" s="23">
        <f>IF(AND(IFERROR(N(INDEX(Clay_Brands!$A$2:$FZ$601,358,Sync!$D$11)),0)&gt;0,IFERROR(INDEX(Clay_Brands!$A$2:$FZ$601,358,Sync!$D$5)&amp;"","")&lt;&gt;"",OR(LEFT(IFERROR(INDEX(Clay_Brands!$A$2:$FZ$601,358,Sync!$D$5)&amp;"",""),6)&lt;&gt;"SAMPLE",Config!$B$19="Y")),IFERROR(N(INDEX(Clay_Brands!$A$2:$FZ$601,358,Sync!$D$11)),0),"")</f>
        <v/>
      </c>
      <c r="C3809" s="17">
        <f>IF(B3809="","","brand")</f>
        <v/>
      </c>
      <c r="D3809" s="17">
        <f>IF(B3809="","",IFERROR(INDEX(Clay_Brands!$A$2:$FZ$601,358,Sync!$D$5)&amp;"",""))</f>
        <v/>
      </c>
      <c r="E3809" s="17">
        <f>IF(B3809="","",IFERROR(INDEX(Clay_Brands!$A$2:$FZ$601,358,Sync!$D$6)&amp;"",""))</f>
        <v/>
      </c>
      <c r="F3809" s="17">
        <f>IF(B3809="","","outreach_sent")</f>
        <v/>
      </c>
      <c r="G3809" s="17">
        <f>IF(B3809="","","")</f>
        <v/>
      </c>
      <c r="H3809" s="17">
        <f>IF(B3809="","","")</f>
        <v/>
      </c>
      <c r="I3809" s="17">
        <f>IF(B3809="","","")</f>
        <v/>
      </c>
      <c r="J3809" s="17">
        <f>IF(B3809="","","touch_1; "&amp;IFERROR(INDEX(Clay_Brands!$A$2:$FZ$601,358,Sync!$D$10)&amp;"","")&amp;"; "&amp;IFERROR(INDEX(Clay_Brands!$A$2:$FZ$601,358,Sync!$D$9)&amp;"",""))</f>
        <v/>
      </c>
      <c r="K3809" t="inlineStr">
        <is>
          <t>brand outreach touch 1</t>
        </is>
      </c>
    </row>
    <row r="3810">
      <c r="A3810" s="17">
        <f>IF(B3810="","",B3810+(15*1000+359)/10000000)</f>
        <v/>
      </c>
      <c r="B3810" s="23">
        <f>IF(AND(IFERROR(N(INDEX(Clay_Brands!$A$2:$FZ$601,359,Sync!$D$11)),0)&gt;0,IFERROR(INDEX(Clay_Brands!$A$2:$FZ$601,359,Sync!$D$5)&amp;"","")&lt;&gt;"",OR(LEFT(IFERROR(INDEX(Clay_Brands!$A$2:$FZ$601,359,Sync!$D$5)&amp;"",""),6)&lt;&gt;"SAMPLE",Config!$B$19="Y")),IFERROR(N(INDEX(Clay_Brands!$A$2:$FZ$601,359,Sync!$D$11)),0),"")</f>
        <v/>
      </c>
      <c r="C3810" s="17">
        <f>IF(B3810="","","brand")</f>
        <v/>
      </c>
      <c r="D3810" s="17">
        <f>IF(B3810="","",IFERROR(INDEX(Clay_Brands!$A$2:$FZ$601,359,Sync!$D$5)&amp;"",""))</f>
        <v/>
      </c>
      <c r="E3810" s="17">
        <f>IF(B3810="","",IFERROR(INDEX(Clay_Brands!$A$2:$FZ$601,359,Sync!$D$6)&amp;"",""))</f>
        <v/>
      </c>
      <c r="F3810" s="17">
        <f>IF(B3810="","","outreach_sent")</f>
        <v/>
      </c>
      <c r="G3810" s="17">
        <f>IF(B3810="","","")</f>
        <v/>
      </c>
      <c r="H3810" s="17">
        <f>IF(B3810="","","")</f>
        <v/>
      </c>
      <c r="I3810" s="17">
        <f>IF(B3810="","","")</f>
        <v/>
      </c>
      <c r="J3810" s="17">
        <f>IF(B3810="","","touch_1; "&amp;IFERROR(INDEX(Clay_Brands!$A$2:$FZ$601,359,Sync!$D$10)&amp;"","")&amp;"; "&amp;IFERROR(INDEX(Clay_Brands!$A$2:$FZ$601,359,Sync!$D$9)&amp;"",""))</f>
        <v/>
      </c>
      <c r="K3810" t="inlineStr">
        <is>
          <t>brand outreach touch 1</t>
        </is>
      </c>
    </row>
    <row r="3811">
      <c r="A3811" s="17">
        <f>IF(B3811="","",B3811+(15*1000+360)/10000000)</f>
        <v/>
      </c>
      <c r="B3811" s="23">
        <f>IF(AND(IFERROR(N(INDEX(Clay_Brands!$A$2:$FZ$601,360,Sync!$D$11)),0)&gt;0,IFERROR(INDEX(Clay_Brands!$A$2:$FZ$601,360,Sync!$D$5)&amp;"","")&lt;&gt;"",OR(LEFT(IFERROR(INDEX(Clay_Brands!$A$2:$FZ$601,360,Sync!$D$5)&amp;"",""),6)&lt;&gt;"SAMPLE",Config!$B$19="Y")),IFERROR(N(INDEX(Clay_Brands!$A$2:$FZ$601,360,Sync!$D$11)),0),"")</f>
        <v/>
      </c>
      <c r="C3811" s="17">
        <f>IF(B3811="","","brand")</f>
        <v/>
      </c>
      <c r="D3811" s="17">
        <f>IF(B3811="","",IFERROR(INDEX(Clay_Brands!$A$2:$FZ$601,360,Sync!$D$5)&amp;"",""))</f>
        <v/>
      </c>
      <c r="E3811" s="17">
        <f>IF(B3811="","",IFERROR(INDEX(Clay_Brands!$A$2:$FZ$601,360,Sync!$D$6)&amp;"",""))</f>
        <v/>
      </c>
      <c r="F3811" s="17">
        <f>IF(B3811="","","outreach_sent")</f>
        <v/>
      </c>
      <c r="G3811" s="17">
        <f>IF(B3811="","","")</f>
        <v/>
      </c>
      <c r="H3811" s="17">
        <f>IF(B3811="","","")</f>
        <v/>
      </c>
      <c r="I3811" s="17">
        <f>IF(B3811="","","")</f>
        <v/>
      </c>
      <c r="J3811" s="17">
        <f>IF(B3811="","","touch_1; "&amp;IFERROR(INDEX(Clay_Brands!$A$2:$FZ$601,360,Sync!$D$10)&amp;"","")&amp;"; "&amp;IFERROR(INDEX(Clay_Brands!$A$2:$FZ$601,360,Sync!$D$9)&amp;"",""))</f>
        <v/>
      </c>
      <c r="K3811" t="inlineStr">
        <is>
          <t>brand outreach touch 1</t>
        </is>
      </c>
    </row>
    <row r="3812">
      <c r="A3812" s="17">
        <f>IF(B3812="","",B3812+(15*1000+361)/10000000)</f>
        <v/>
      </c>
      <c r="B3812" s="23">
        <f>IF(AND(IFERROR(N(INDEX(Clay_Brands!$A$2:$FZ$601,361,Sync!$D$11)),0)&gt;0,IFERROR(INDEX(Clay_Brands!$A$2:$FZ$601,361,Sync!$D$5)&amp;"","")&lt;&gt;"",OR(LEFT(IFERROR(INDEX(Clay_Brands!$A$2:$FZ$601,361,Sync!$D$5)&amp;"",""),6)&lt;&gt;"SAMPLE",Config!$B$19="Y")),IFERROR(N(INDEX(Clay_Brands!$A$2:$FZ$601,361,Sync!$D$11)),0),"")</f>
        <v/>
      </c>
      <c r="C3812" s="17">
        <f>IF(B3812="","","brand")</f>
        <v/>
      </c>
      <c r="D3812" s="17">
        <f>IF(B3812="","",IFERROR(INDEX(Clay_Brands!$A$2:$FZ$601,361,Sync!$D$5)&amp;"",""))</f>
        <v/>
      </c>
      <c r="E3812" s="17">
        <f>IF(B3812="","",IFERROR(INDEX(Clay_Brands!$A$2:$FZ$601,361,Sync!$D$6)&amp;"",""))</f>
        <v/>
      </c>
      <c r="F3812" s="17">
        <f>IF(B3812="","","outreach_sent")</f>
        <v/>
      </c>
      <c r="G3812" s="17">
        <f>IF(B3812="","","")</f>
        <v/>
      </c>
      <c r="H3812" s="17">
        <f>IF(B3812="","","")</f>
        <v/>
      </c>
      <c r="I3812" s="17">
        <f>IF(B3812="","","")</f>
        <v/>
      </c>
      <c r="J3812" s="17">
        <f>IF(B3812="","","touch_1; "&amp;IFERROR(INDEX(Clay_Brands!$A$2:$FZ$601,361,Sync!$D$10)&amp;"","")&amp;"; "&amp;IFERROR(INDEX(Clay_Brands!$A$2:$FZ$601,361,Sync!$D$9)&amp;"",""))</f>
        <v/>
      </c>
      <c r="K3812" t="inlineStr">
        <is>
          <t>brand outreach touch 1</t>
        </is>
      </c>
    </row>
    <row r="3813">
      <c r="A3813" s="17">
        <f>IF(B3813="","",B3813+(15*1000+362)/10000000)</f>
        <v/>
      </c>
      <c r="B3813" s="23">
        <f>IF(AND(IFERROR(N(INDEX(Clay_Brands!$A$2:$FZ$601,362,Sync!$D$11)),0)&gt;0,IFERROR(INDEX(Clay_Brands!$A$2:$FZ$601,362,Sync!$D$5)&amp;"","")&lt;&gt;"",OR(LEFT(IFERROR(INDEX(Clay_Brands!$A$2:$FZ$601,362,Sync!$D$5)&amp;"",""),6)&lt;&gt;"SAMPLE",Config!$B$19="Y")),IFERROR(N(INDEX(Clay_Brands!$A$2:$FZ$601,362,Sync!$D$11)),0),"")</f>
        <v/>
      </c>
      <c r="C3813" s="17">
        <f>IF(B3813="","","brand")</f>
        <v/>
      </c>
      <c r="D3813" s="17">
        <f>IF(B3813="","",IFERROR(INDEX(Clay_Brands!$A$2:$FZ$601,362,Sync!$D$5)&amp;"",""))</f>
        <v/>
      </c>
      <c r="E3813" s="17">
        <f>IF(B3813="","",IFERROR(INDEX(Clay_Brands!$A$2:$FZ$601,362,Sync!$D$6)&amp;"",""))</f>
        <v/>
      </c>
      <c r="F3813" s="17">
        <f>IF(B3813="","","outreach_sent")</f>
        <v/>
      </c>
      <c r="G3813" s="17">
        <f>IF(B3813="","","")</f>
        <v/>
      </c>
      <c r="H3813" s="17">
        <f>IF(B3813="","","")</f>
        <v/>
      </c>
      <c r="I3813" s="17">
        <f>IF(B3813="","","")</f>
        <v/>
      </c>
      <c r="J3813" s="17">
        <f>IF(B3813="","","touch_1; "&amp;IFERROR(INDEX(Clay_Brands!$A$2:$FZ$601,362,Sync!$D$10)&amp;"","")&amp;"; "&amp;IFERROR(INDEX(Clay_Brands!$A$2:$FZ$601,362,Sync!$D$9)&amp;"",""))</f>
        <v/>
      </c>
      <c r="K3813" t="inlineStr">
        <is>
          <t>brand outreach touch 1</t>
        </is>
      </c>
    </row>
    <row r="3814">
      <c r="A3814" s="17">
        <f>IF(B3814="","",B3814+(15*1000+363)/10000000)</f>
        <v/>
      </c>
      <c r="B3814" s="23">
        <f>IF(AND(IFERROR(N(INDEX(Clay_Brands!$A$2:$FZ$601,363,Sync!$D$11)),0)&gt;0,IFERROR(INDEX(Clay_Brands!$A$2:$FZ$601,363,Sync!$D$5)&amp;"","")&lt;&gt;"",OR(LEFT(IFERROR(INDEX(Clay_Brands!$A$2:$FZ$601,363,Sync!$D$5)&amp;"",""),6)&lt;&gt;"SAMPLE",Config!$B$19="Y")),IFERROR(N(INDEX(Clay_Brands!$A$2:$FZ$601,363,Sync!$D$11)),0),"")</f>
        <v/>
      </c>
      <c r="C3814" s="17">
        <f>IF(B3814="","","brand")</f>
        <v/>
      </c>
      <c r="D3814" s="17">
        <f>IF(B3814="","",IFERROR(INDEX(Clay_Brands!$A$2:$FZ$601,363,Sync!$D$5)&amp;"",""))</f>
        <v/>
      </c>
      <c r="E3814" s="17">
        <f>IF(B3814="","",IFERROR(INDEX(Clay_Brands!$A$2:$FZ$601,363,Sync!$D$6)&amp;"",""))</f>
        <v/>
      </c>
      <c r="F3814" s="17">
        <f>IF(B3814="","","outreach_sent")</f>
        <v/>
      </c>
      <c r="G3814" s="17">
        <f>IF(B3814="","","")</f>
        <v/>
      </c>
      <c r="H3814" s="17">
        <f>IF(B3814="","","")</f>
        <v/>
      </c>
      <c r="I3814" s="17">
        <f>IF(B3814="","","")</f>
        <v/>
      </c>
      <c r="J3814" s="17">
        <f>IF(B3814="","","touch_1; "&amp;IFERROR(INDEX(Clay_Brands!$A$2:$FZ$601,363,Sync!$D$10)&amp;"","")&amp;"; "&amp;IFERROR(INDEX(Clay_Brands!$A$2:$FZ$601,363,Sync!$D$9)&amp;"",""))</f>
        <v/>
      </c>
      <c r="K3814" t="inlineStr">
        <is>
          <t>brand outreach touch 1</t>
        </is>
      </c>
    </row>
    <row r="3815">
      <c r="A3815" s="17">
        <f>IF(B3815="","",B3815+(15*1000+364)/10000000)</f>
        <v/>
      </c>
      <c r="B3815" s="23">
        <f>IF(AND(IFERROR(N(INDEX(Clay_Brands!$A$2:$FZ$601,364,Sync!$D$11)),0)&gt;0,IFERROR(INDEX(Clay_Brands!$A$2:$FZ$601,364,Sync!$D$5)&amp;"","")&lt;&gt;"",OR(LEFT(IFERROR(INDEX(Clay_Brands!$A$2:$FZ$601,364,Sync!$D$5)&amp;"",""),6)&lt;&gt;"SAMPLE",Config!$B$19="Y")),IFERROR(N(INDEX(Clay_Brands!$A$2:$FZ$601,364,Sync!$D$11)),0),"")</f>
        <v/>
      </c>
      <c r="C3815" s="17">
        <f>IF(B3815="","","brand")</f>
        <v/>
      </c>
      <c r="D3815" s="17">
        <f>IF(B3815="","",IFERROR(INDEX(Clay_Brands!$A$2:$FZ$601,364,Sync!$D$5)&amp;"",""))</f>
        <v/>
      </c>
      <c r="E3815" s="17">
        <f>IF(B3815="","",IFERROR(INDEX(Clay_Brands!$A$2:$FZ$601,364,Sync!$D$6)&amp;"",""))</f>
        <v/>
      </c>
      <c r="F3815" s="17">
        <f>IF(B3815="","","outreach_sent")</f>
        <v/>
      </c>
      <c r="G3815" s="17">
        <f>IF(B3815="","","")</f>
        <v/>
      </c>
      <c r="H3815" s="17">
        <f>IF(B3815="","","")</f>
        <v/>
      </c>
      <c r="I3815" s="17">
        <f>IF(B3815="","","")</f>
        <v/>
      </c>
      <c r="J3815" s="17">
        <f>IF(B3815="","","touch_1; "&amp;IFERROR(INDEX(Clay_Brands!$A$2:$FZ$601,364,Sync!$D$10)&amp;"","")&amp;"; "&amp;IFERROR(INDEX(Clay_Brands!$A$2:$FZ$601,364,Sync!$D$9)&amp;"",""))</f>
        <v/>
      </c>
      <c r="K3815" t="inlineStr">
        <is>
          <t>brand outreach touch 1</t>
        </is>
      </c>
    </row>
    <row r="3816">
      <c r="A3816" s="17">
        <f>IF(B3816="","",B3816+(15*1000+365)/10000000)</f>
        <v/>
      </c>
      <c r="B3816" s="23">
        <f>IF(AND(IFERROR(N(INDEX(Clay_Brands!$A$2:$FZ$601,365,Sync!$D$11)),0)&gt;0,IFERROR(INDEX(Clay_Brands!$A$2:$FZ$601,365,Sync!$D$5)&amp;"","")&lt;&gt;"",OR(LEFT(IFERROR(INDEX(Clay_Brands!$A$2:$FZ$601,365,Sync!$D$5)&amp;"",""),6)&lt;&gt;"SAMPLE",Config!$B$19="Y")),IFERROR(N(INDEX(Clay_Brands!$A$2:$FZ$601,365,Sync!$D$11)),0),"")</f>
        <v/>
      </c>
      <c r="C3816" s="17">
        <f>IF(B3816="","","brand")</f>
        <v/>
      </c>
      <c r="D3816" s="17">
        <f>IF(B3816="","",IFERROR(INDEX(Clay_Brands!$A$2:$FZ$601,365,Sync!$D$5)&amp;"",""))</f>
        <v/>
      </c>
      <c r="E3816" s="17">
        <f>IF(B3816="","",IFERROR(INDEX(Clay_Brands!$A$2:$FZ$601,365,Sync!$D$6)&amp;"",""))</f>
        <v/>
      </c>
      <c r="F3816" s="17">
        <f>IF(B3816="","","outreach_sent")</f>
        <v/>
      </c>
      <c r="G3816" s="17">
        <f>IF(B3816="","","")</f>
        <v/>
      </c>
      <c r="H3816" s="17">
        <f>IF(B3816="","","")</f>
        <v/>
      </c>
      <c r="I3816" s="17">
        <f>IF(B3816="","","")</f>
        <v/>
      </c>
      <c r="J3816" s="17">
        <f>IF(B3816="","","touch_1; "&amp;IFERROR(INDEX(Clay_Brands!$A$2:$FZ$601,365,Sync!$D$10)&amp;"","")&amp;"; "&amp;IFERROR(INDEX(Clay_Brands!$A$2:$FZ$601,365,Sync!$D$9)&amp;"",""))</f>
        <v/>
      </c>
      <c r="K3816" t="inlineStr">
        <is>
          <t>brand outreach touch 1</t>
        </is>
      </c>
    </row>
    <row r="3817">
      <c r="A3817" s="17">
        <f>IF(B3817="","",B3817+(15*1000+366)/10000000)</f>
        <v/>
      </c>
      <c r="B3817" s="23">
        <f>IF(AND(IFERROR(N(INDEX(Clay_Brands!$A$2:$FZ$601,366,Sync!$D$11)),0)&gt;0,IFERROR(INDEX(Clay_Brands!$A$2:$FZ$601,366,Sync!$D$5)&amp;"","")&lt;&gt;"",OR(LEFT(IFERROR(INDEX(Clay_Brands!$A$2:$FZ$601,366,Sync!$D$5)&amp;"",""),6)&lt;&gt;"SAMPLE",Config!$B$19="Y")),IFERROR(N(INDEX(Clay_Brands!$A$2:$FZ$601,366,Sync!$D$11)),0),"")</f>
        <v/>
      </c>
      <c r="C3817" s="17">
        <f>IF(B3817="","","brand")</f>
        <v/>
      </c>
      <c r="D3817" s="17">
        <f>IF(B3817="","",IFERROR(INDEX(Clay_Brands!$A$2:$FZ$601,366,Sync!$D$5)&amp;"",""))</f>
        <v/>
      </c>
      <c r="E3817" s="17">
        <f>IF(B3817="","",IFERROR(INDEX(Clay_Brands!$A$2:$FZ$601,366,Sync!$D$6)&amp;"",""))</f>
        <v/>
      </c>
      <c r="F3817" s="17">
        <f>IF(B3817="","","outreach_sent")</f>
        <v/>
      </c>
      <c r="G3817" s="17">
        <f>IF(B3817="","","")</f>
        <v/>
      </c>
      <c r="H3817" s="17">
        <f>IF(B3817="","","")</f>
        <v/>
      </c>
      <c r="I3817" s="17">
        <f>IF(B3817="","","")</f>
        <v/>
      </c>
      <c r="J3817" s="17">
        <f>IF(B3817="","","touch_1; "&amp;IFERROR(INDEX(Clay_Brands!$A$2:$FZ$601,366,Sync!$D$10)&amp;"","")&amp;"; "&amp;IFERROR(INDEX(Clay_Brands!$A$2:$FZ$601,366,Sync!$D$9)&amp;"",""))</f>
        <v/>
      </c>
      <c r="K3817" t="inlineStr">
        <is>
          <t>brand outreach touch 1</t>
        </is>
      </c>
    </row>
    <row r="3818">
      <c r="A3818" s="17">
        <f>IF(B3818="","",B3818+(15*1000+367)/10000000)</f>
        <v/>
      </c>
      <c r="B3818" s="23">
        <f>IF(AND(IFERROR(N(INDEX(Clay_Brands!$A$2:$FZ$601,367,Sync!$D$11)),0)&gt;0,IFERROR(INDEX(Clay_Brands!$A$2:$FZ$601,367,Sync!$D$5)&amp;"","")&lt;&gt;"",OR(LEFT(IFERROR(INDEX(Clay_Brands!$A$2:$FZ$601,367,Sync!$D$5)&amp;"",""),6)&lt;&gt;"SAMPLE",Config!$B$19="Y")),IFERROR(N(INDEX(Clay_Brands!$A$2:$FZ$601,367,Sync!$D$11)),0),"")</f>
        <v/>
      </c>
      <c r="C3818" s="17">
        <f>IF(B3818="","","brand")</f>
        <v/>
      </c>
      <c r="D3818" s="17">
        <f>IF(B3818="","",IFERROR(INDEX(Clay_Brands!$A$2:$FZ$601,367,Sync!$D$5)&amp;"",""))</f>
        <v/>
      </c>
      <c r="E3818" s="17">
        <f>IF(B3818="","",IFERROR(INDEX(Clay_Brands!$A$2:$FZ$601,367,Sync!$D$6)&amp;"",""))</f>
        <v/>
      </c>
      <c r="F3818" s="17">
        <f>IF(B3818="","","outreach_sent")</f>
        <v/>
      </c>
      <c r="G3818" s="17">
        <f>IF(B3818="","","")</f>
        <v/>
      </c>
      <c r="H3818" s="17">
        <f>IF(B3818="","","")</f>
        <v/>
      </c>
      <c r="I3818" s="17">
        <f>IF(B3818="","","")</f>
        <v/>
      </c>
      <c r="J3818" s="17">
        <f>IF(B3818="","","touch_1; "&amp;IFERROR(INDEX(Clay_Brands!$A$2:$FZ$601,367,Sync!$D$10)&amp;"","")&amp;"; "&amp;IFERROR(INDEX(Clay_Brands!$A$2:$FZ$601,367,Sync!$D$9)&amp;"",""))</f>
        <v/>
      </c>
      <c r="K3818" t="inlineStr">
        <is>
          <t>brand outreach touch 1</t>
        </is>
      </c>
    </row>
    <row r="3819">
      <c r="A3819" s="17">
        <f>IF(B3819="","",B3819+(15*1000+368)/10000000)</f>
        <v/>
      </c>
      <c r="B3819" s="23">
        <f>IF(AND(IFERROR(N(INDEX(Clay_Brands!$A$2:$FZ$601,368,Sync!$D$11)),0)&gt;0,IFERROR(INDEX(Clay_Brands!$A$2:$FZ$601,368,Sync!$D$5)&amp;"","")&lt;&gt;"",OR(LEFT(IFERROR(INDEX(Clay_Brands!$A$2:$FZ$601,368,Sync!$D$5)&amp;"",""),6)&lt;&gt;"SAMPLE",Config!$B$19="Y")),IFERROR(N(INDEX(Clay_Brands!$A$2:$FZ$601,368,Sync!$D$11)),0),"")</f>
        <v/>
      </c>
      <c r="C3819" s="17">
        <f>IF(B3819="","","brand")</f>
        <v/>
      </c>
      <c r="D3819" s="17">
        <f>IF(B3819="","",IFERROR(INDEX(Clay_Brands!$A$2:$FZ$601,368,Sync!$D$5)&amp;"",""))</f>
        <v/>
      </c>
      <c r="E3819" s="17">
        <f>IF(B3819="","",IFERROR(INDEX(Clay_Brands!$A$2:$FZ$601,368,Sync!$D$6)&amp;"",""))</f>
        <v/>
      </c>
      <c r="F3819" s="17">
        <f>IF(B3819="","","outreach_sent")</f>
        <v/>
      </c>
      <c r="G3819" s="17">
        <f>IF(B3819="","","")</f>
        <v/>
      </c>
      <c r="H3819" s="17">
        <f>IF(B3819="","","")</f>
        <v/>
      </c>
      <c r="I3819" s="17">
        <f>IF(B3819="","","")</f>
        <v/>
      </c>
      <c r="J3819" s="17">
        <f>IF(B3819="","","touch_1; "&amp;IFERROR(INDEX(Clay_Brands!$A$2:$FZ$601,368,Sync!$D$10)&amp;"","")&amp;"; "&amp;IFERROR(INDEX(Clay_Brands!$A$2:$FZ$601,368,Sync!$D$9)&amp;"",""))</f>
        <v/>
      </c>
      <c r="K3819" t="inlineStr">
        <is>
          <t>brand outreach touch 1</t>
        </is>
      </c>
    </row>
    <row r="3820">
      <c r="A3820" s="17">
        <f>IF(B3820="","",B3820+(15*1000+369)/10000000)</f>
        <v/>
      </c>
      <c r="B3820" s="23">
        <f>IF(AND(IFERROR(N(INDEX(Clay_Brands!$A$2:$FZ$601,369,Sync!$D$11)),0)&gt;0,IFERROR(INDEX(Clay_Brands!$A$2:$FZ$601,369,Sync!$D$5)&amp;"","")&lt;&gt;"",OR(LEFT(IFERROR(INDEX(Clay_Brands!$A$2:$FZ$601,369,Sync!$D$5)&amp;"",""),6)&lt;&gt;"SAMPLE",Config!$B$19="Y")),IFERROR(N(INDEX(Clay_Brands!$A$2:$FZ$601,369,Sync!$D$11)),0),"")</f>
        <v/>
      </c>
      <c r="C3820" s="17">
        <f>IF(B3820="","","brand")</f>
        <v/>
      </c>
      <c r="D3820" s="17">
        <f>IF(B3820="","",IFERROR(INDEX(Clay_Brands!$A$2:$FZ$601,369,Sync!$D$5)&amp;"",""))</f>
        <v/>
      </c>
      <c r="E3820" s="17">
        <f>IF(B3820="","",IFERROR(INDEX(Clay_Brands!$A$2:$FZ$601,369,Sync!$D$6)&amp;"",""))</f>
        <v/>
      </c>
      <c r="F3820" s="17">
        <f>IF(B3820="","","outreach_sent")</f>
        <v/>
      </c>
      <c r="G3820" s="17">
        <f>IF(B3820="","","")</f>
        <v/>
      </c>
      <c r="H3820" s="17">
        <f>IF(B3820="","","")</f>
        <v/>
      </c>
      <c r="I3820" s="17">
        <f>IF(B3820="","","")</f>
        <v/>
      </c>
      <c r="J3820" s="17">
        <f>IF(B3820="","","touch_1; "&amp;IFERROR(INDEX(Clay_Brands!$A$2:$FZ$601,369,Sync!$D$10)&amp;"","")&amp;"; "&amp;IFERROR(INDEX(Clay_Brands!$A$2:$FZ$601,369,Sync!$D$9)&amp;"",""))</f>
        <v/>
      </c>
      <c r="K3820" t="inlineStr">
        <is>
          <t>brand outreach touch 1</t>
        </is>
      </c>
    </row>
    <row r="3821">
      <c r="A3821" s="17">
        <f>IF(B3821="","",B3821+(15*1000+370)/10000000)</f>
        <v/>
      </c>
      <c r="B3821" s="23">
        <f>IF(AND(IFERROR(N(INDEX(Clay_Brands!$A$2:$FZ$601,370,Sync!$D$11)),0)&gt;0,IFERROR(INDEX(Clay_Brands!$A$2:$FZ$601,370,Sync!$D$5)&amp;"","")&lt;&gt;"",OR(LEFT(IFERROR(INDEX(Clay_Brands!$A$2:$FZ$601,370,Sync!$D$5)&amp;"",""),6)&lt;&gt;"SAMPLE",Config!$B$19="Y")),IFERROR(N(INDEX(Clay_Brands!$A$2:$FZ$601,370,Sync!$D$11)),0),"")</f>
        <v/>
      </c>
      <c r="C3821" s="17">
        <f>IF(B3821="","","brand")</f>
        <v/>
      </c>
      <c r="D3821" s="17">
        <f>IF(B3821="","",IFERROR(INDEX(Clay_Brands!$A$2:$FZ$601,370,Sync!$D$5)&amp;"",""))</f>
        <v/>
      </c>
      <c r="E3821" s="17">
        <f>IF(B3821="","",IFERROR(INDEX(Clay_Brands!$A$2:$FZ$601,370,Sync!$D$6)&amp;"",""))</f>
        <v/>
      </c>
      <c r="F3821" s="17">
        <f>IF(B3821="","","outreach_sent")</f>
        <v/>
      </c>
      <c r="G3821" s="17">
        <f>IF(B3821="","","")</f>
        <v/>
      </c>
      <c r="H3821" s="17">
        <f>IF(B3821="","","")</f>
        <v/>
      </c>
      <c r="I3821" s="17">
        <f>IF(B3821="","","")</f>
        <v/>
      </c>
      <c r="J3821" s="17">
        <f>IF(B3821="","","touch_1; "&amp;IFERROR(INDEX(Clay_Brands!$A$2:$FZ$601,370,Sync!$D$10)&amp;"","")&amp;"; "&amp;IFERROR(INDEX(Clay_Brands!$A$2:$FZ$601,370,Sync!$D$9)&amp;"",""))</f>
        <v/>
      </c>
      <c r="K3821" t="inlineStr">
        <is>
          <t>brand outreach touch 1</t>
        </is>
      </c>
    </row>
    <row r="3822">
      <c r="A3822" s="17">
        <f>IF(B3822="","",B3822+(15*1000+371)/10000000)</f>
        <v/>
      </c>
      <c r="B3822" s="23">
        <f>IF(AND(IFERROR(N(INDEX(Clay_Brands!$A$2:$FZ$601,371,Sync!$D$11)),0)&gt;0,IFERROR(INDEX(Clay_Brands!$A$2:$FZ$601,371,Sync!$D$5)&amp;"","")&lt;&gt;"",OR(LEFT(IFERROR(INDEX(Clay_Brands!$A$2:$FZ$601,371,Sync!$D$5)&amp;"",""),6)&lt;&gt;"SAMPLE",Config!$B$19="Y")),IFERROR(N(INDEX(Clay_Brands!$A$2:$FZ$601,371,Sync!$D$11)),0),"")</f>
        <v/>
      </c>
      <c r="C3822" s="17">
        <f>IF(B3822="","","brand")</f>
        <v/>
      </c>
      <c r="D3822" s="17">
        <f>IF(B3822="","",IFERROR(INDEX(Clay_Brands!$A$2:$FZ$601,371,Sync!$D$5)&amp;"",""))</f>
        <v/>
      </c>
      <c r="E3822" s="17">
        <f>IF(B3822="","",IFERROR(INDEX(Clay_Brands!$A$2:$FZ$601,371,Sync!$D$6)&amp;"",""))</f>
        <v/>
      </c>
      <c r="F3822" s="17">
        <f>IF(B3822="","","outreach_sent")</f>
        <v/>
      </c>
      <c r="G3822" s="17">
        <f>IF(B3822="","","")</f>
        <v/>
      </c>
      <c r="H3822" s="17">
        <f>IF(B3822="","","")</f>
        <v/>
      </c>
      <c r="I3822" s="17">
        <f>IF(B3822="","","")</f>
        <v/>
      </c>
      <c r="J3822" s="17">
        <f>IF(B3822="","","touch_1; "&amp;IFERROR(INDEX(Clay_Brands!$A$2:$FZ$601,371,Sync!$D$10)&amp;"","")&amp;"; "&amp;IFERROR(INDEX(Clay_Brands!$A$2:$FZ$601,371,Sync!$D$9)&amp;"",""))</f>
        <v/>
      </c>
      <c r="K3822" t="inlineStr">
        <is>
          <t>brand outreach touch 1</t>
        </is>
      </c>
    </row>
    <row r="3823">
      <c r="A3823" s="17">
        <f>IF(B3823="","",B3823+(15*1000+372)/10000000)</f>
        <v/>
      </c>
      <c r="B3823" s="23">
        <f>IF(AND(IFERROR(N(INDEX(Clay_Brands!$A$2:$FZ$601,372,Sync!$D$11)),0)&gt;0,IFERROR(INDEX(Clay_Brands!$A$2:$FZ$601,372,Sync!$D$5)&amp;"","")&lt;&gt;"",OR(LEFT(IFERROR(INDEX(Clay_Brands!$A$2:$FZ$601,372,Sync!$D$5)&amp;"",""),6)&lt;&gt;"SAMPLE",Config!$B$19="Y")),IFERROR(N(INDEX(Clay_Brands!$A$2:$FZ$601,372,Sync!$D$11)),0),"")</f>
        <v/>
      </c>
      <c r="C3823" s="17">
        <f>IF(B3823="","","brand")</f>
        <v/>
      </c>
      <c r="D3823" s="17">
        <f>IF(B3823="","",IFERROR(INDEX(Clay_Brands!$A$2:$FZ$601,372,Sync!$D$5)&amp;"",""))</f>
        <v/>
      </c>
      <c r="E3823" s="17">
        <f>IF(B3823="","",IFERROR(INDEX(Clay_Brands!$A$2:$FZ$601,372,Sync!$D$6)&amp;"",""))</f>
        <v/>
      </c>
      <c r="F3823" s="17">
        <f>IF(B3823="","","outreach_sent")</f>
        <v/>
      </c>
      <c r="G3823" s="17">
        <f>IF(B3823="","","")</f>
        <v/>
      </c>
      <c r="H3823" s="17">
        <f>IF(B3823="","","")</f>
        <v/>
      </c>
      <c r="I3823" s="17">
        <f>IF(B3823="","","")</f>
        <v/>
      </c>
      <c r="J3823" s="17">
        <f>IF(B3823="","","touch_1; "&amp;IFERROR(INDEX(Clay_Brands!$A$2:$FZ$601,372,Sync!$D$10)&amp;"","")&amp;"; "&amp;IFERROR(INDEX(Clay_Brands!$A$2:$FZ$601,372,Sync!$D$9)&amp;"",""))</f>
        <v/>
      </c>
      <c r="K3823" t="inlineStr">
        <is>
          <t>brand outreach touch 1</t>
        </is>
      </c>
    </row>
    <row r="3824">
      <c r="A3824" s="17">
        <f>IF(B3824="","",B3824+(15*1000+373)/10000000)</f>
        <v/>
      </c>
      <c r="B3824" s="23">
        <f>IF(AND(IFERROR(N(INDEX(Clay_Brands!$A$2:$FZ$601,373,Sync!$D$11)),0)&gt;0,IFERROR(INDEX(Clay_Brands!$A$2:$FZ$601,373,Sync!$D$5)&amp;"","")&lt;&gt;"",OR(LEFT(IFERROR(INDEX(Clay_Brands!$A$2:$FZ$601,373,Sync!$D$5)&amp;"",""),6)&lt;&gt;"SAMPLE",Config!$B$19="Y")),IFERROR(N(INDEX(Clay_Brands!$A$2:$FZ$601,373,Sync!$D$11)),0),"")</f>
        <v/>
      </c>
      <c r="C3824" s="17">
        <f>IF(B3824="","","brand")</f>
        <v/>
      </c>
      <c r="D3824" s="17">
        <f>IF(B3824="","",IFERROR(INDEX(Clay_Brands!$A$2:$FZ$601,373,Sync!$D$5)&amp;"",""))</f>
        <v/>
      </c>
      <c r="E3824" s="17">
        <f>IF(B3824="","",IFERROR(INDEX(Clay_Brands!$A$2:$FZ$601,373,Sync!$D$6)&amp;"",""))</f>
        <v/>
      </c>
      <c r="F3824" s="17">
        <f>IF(B3824="","","outreach_sent")</f>
        <v/>
      </c>
      <c r="G3824" s="17">
        <f>IF(B3824="","","")</f>
        <v/>
      </c>
      <c r="H3824" s="17">
        <f>IF(B3824="","","")</f>
        <v/>
      </c>
      <c r="I3824" s="17">
        <f>IF(B3824="","","")</f>
        <v/>
      </c>
      <c r="J3824" s="17">
        <f>IF(B3824="","","touch_1; "&amp;IFERROR(INDEX(Clay_Brands!$A$2:$FZ$601,373,Sync!$D$10)&amp;"","")&amp;"; "&amp;IFERROR(INDEX(Clay_Brands!$A$2:$FZ$601,373,Sync!$D$9)&amp;"",""))</f>
        <v/>
      </c>
      <c r="K3824" t="inlineStr">
        <is>
          <t>brand outreach touch 1</t>
        </is>
      </c>
    </row>
    <row r="3825">
      <c r="A3825" s="17">
        <f>IF(B3825="","",B3825+(15*1000+374)/10000000)</f>
        <v/>
      </c>
      <c r="B3825" s="23">
        <f>IF(AND(IFERROR(N(INDEX(Clay_Brands!$A$2:$FZ$601,374,Sync!$D$11)),0)&gt;0,IFERROR(INDEX(Clay_Brands!$A$2:$FZ$601,374,Sync!$D$5)&amp;"","")&lt;&gt;"",OR(LEFT(IFERROR(INDEX(Clay_Brands!$A$2:$FZ$601,374,Sync!$D$5)&amp;"",""),6)&lt;&gt;"SAMPLE",Config!$B$19="Y")),IFERROR(N(INDEX(Clay_Brands!$A$2:$FZ$601,374,Sync!$D$11)),0),"")</f>
        <v/>
      </c>
      <c r="C3825" s="17">
        <f>IF(B3825="","","brand")</f>
        <v/>
      </c>
      <c r="D3825" s="17">
        <f>IF(B3825="","",IFERROR(INDEX(Clay_Brands!$A$2:$FZ$601,374,Sync!$D$5)&amp;"",""))</f>
        <v/>
      </c>
      <c r="E3825" s="17">
        <f>IF(B3825="","",IFERROR(INDEX(Clay_Brands!$A$2:$FZ$601,374,Sync!$D$6)&amp;"",""))</f>
        <v/>
      </c>
      <c r="F3825" s="17">
        <f>IF(B3825="","","outreach_sent")</f>
        <v/>
      </c>
      <c r="G3825" s="17">
        <f>IF(B3825="","","")</f>
        <v/>
      </c>
      <c r="H3825" s="17">
        <f>IF(B3825="","","")</f>
        <v/>
      </c>
      <c r="I3825" s="17">
        <f>IF(B3825="","","")</f>
        <v/>
      </c>
      <c r="J3825" s="17">
        <f>IF(B3825="","","touch_1; "&amp;IFERROR(INDEX(Clay_Brands!$A$2:$FZ$601,374,Sync!$D$10)&amp;"","")&amp;"; "&amp;IFERROR(INDEX(Clay_Brands!$A$2:$FZ$601,374,Sync!$D$9)&amp;"",""))</f>
        <v/>
      </c>
      <c r="K3825" t="inlineStr">
        <is>
          <t>brand outreach touch 1</t>
        </is>
      </c>
    </row>
    <row r="3826">
      <c r="A3826" s="17">
        <f>IF(B3826="","",B3826+(15*1000+375)/10000000)</f>
        <v/>
      </c>
      <c r="B3826" s="23">
        <f>IF(AND(IFERROR(N(INDEX(Clay_Brands!$A$2:$FZ$601,375,Sync!$D$11)),0)&gt;0,IFERROR(INDEX(Clay_Brands!$A$2:$FZ$601,375,Sync!$D$5)&amp;"","")&lt;&gt;"",OR(LEFT(IFERROR(INDEX(Clay_Brands!$A$2:$FZ$601,375,Sync!$D$5)&amp;"",""),6)&lt;&gt;"SAMPLE",Config!$B$19="Y")),IFERROR(N(INDEX(Clay_Brands!$A$2:$FZ$601,375,Sync!$D$11)),0),"")</f>
        <v/>
      </c>
      <c r="C3826" s="17">
        <f>IF(B3826="","","brand")</f>
        <v/>
      </c>
      <c r="D3826" s="17">
        <f>IF(B3826="","",IFERROR(INDEX(Clay_Brands!$A$2:$FZ$601,375,Sync!$D$5)&amp;"",""))</f>
        <v/>
      </c>
      <c r="E3826" s="17">
        <f>IF(B3826="","",IFERROR(INDEX(Clay_Brands!$A$2:$FZ$601,375,Sync!$D$6)&amp;"",""))</f>
        <v/>
      </c>
      <c r="F3826" s="17">
        <f>IF(B3826="","","outreach_sent")</f>
        <v/>
      </c>
      <c r="G3826" s="17">
        <f>IF(B3826="","","")</f>
        <v/>
      </c>
      <c r="H3826" s="17">
        <f>IF(B3826="","","")</f>
        <v/>
      </c>
      <c r="I3826" s="17">
        <f>IF(B3826="","","")</f>
        <v/>
      </c>
      <c r="J3826" s="17">
        <f>IF(B3826="","","touch_1; "&amp;IFERROR(INDEX(Clay_Brands!$A$2:$FZ$601,375,Sync!$D$10)&amp;"","")&amp;"; "&amp;IFERROR(INDEX(Clay_Brands!$A$2:$FZ$601,375,Sync!$D$9)&amp;"",""))</f>
        <v/>
      </c>
      <c r="K3826" t="inlineStr">
        <is>
          <t>brand outreach touch 1</t>
        </is>
      </c>
    </row>
    <row r="3827">
      <c r="A3827" s="17">
        <f>IF(B3827="","",B3827+(15*1000+376)/10000000)</f>
        <v/>
      </c>
      <c r="B3827" s="23">
        <f>IF(AND(IFERROR(N(INDEX(Clay_Brands!$A$2:$FZ$601,376,Sync!$D$11)),0)&gt;0,IFERROR(INDEX(Clay_Brands!$A$2:$FZ$601,376,Sync!$D$5)&amp;"","")&lt;&gt;"",OR(LEFT(IFERROR(INDEX(Clay_Brands!$A$2:$FZ$601,376,Sync!$D$5)&amp;"",""),6)&lt;&gt;"SAMPLE",Config!$B$19="Y")),IFERROR(N(INDEX(Clay_Brands!$A$2:$FZ$601,376,Sync!$D$11)),0),"")</f>
        <v/>
      </c>
      <c r="C3827" s="17">
        <f>IF(B3827="","","brand")</f>
        <v/>
      </c>
      <c r="D3827" s="17">
        <f>IF(B3827="","",IFERROR(INDEX(Clay_Brands!$A$2:$FZ$601,376,Sync!$D$5)&amp;"",""))</f>
        <v/>
      </c>
      <c r="E3827" s="17">
        <f>IF(B3827="","",IFERROR(INDEX(Clay_Brands!$A$2:$FZ$601,376,Sync!$D$6)&amp;"",""))</f>
        <v/>
      </c>
      <c r="F3827" s="17">
        <f>IF(B3827="","","outreach_sent")</f>
        <v/>
      </c>
      <c r="G3827" s="17">
        <f>IF(B3827="","","")</f>
        <v/>
      </c>
      <c r="H3827" s="17">
        <f>IF(B3827="","","")</f>
        <v/>
      </c>
      <c r="I3827" s="17">
        <f>IF(B3827="","","")</f>
        <v/>
      </c>
      <c r="J3827" s="17">
        <f>IF(B3827="","","touch_1; "&amp;IFERROR(INDEX(Clay_Brands!$A$2:$FZ$601,376,Sync!$D$10)&amp;"","")&amp;"; "&amp;IFERROR(INDEX(Clay_Brands!$A$2:$FZ$601,376,Sync!$D$9)&amp;"",""))</f>
        <v/>
      </c>
      <c r="K3827" t="inlineStr">
        <is>
          <t>brand outreach touch 1</t>
        </is>
      </c>
    </row>
    <row r="3828">
      <c r="A3828" s="17">
        <f>IF(B3828="","",B3828+(15*1000+377)/10000000)</f>
        <v/>
      </c>
      <c r="B3828" s="23">
        <f>IF(AND(IFERROR(N(INDEX(Clay_Brands!$A$2:$FZ$601,377,Sync!$D$11)),0)&gt;0,IFERROR(INDEX(Clay_Brands!$A$2:$FZ$601,377,Sync!$D$5)&amp;"","")&lt;&gt;"",OR(LEFT(IFERROR(INDEX(Clay_Brands!$A$2:$FZ$601,377,Sync!$D$5)&amp;"",""),6)&lt;&gt;"SAMPLE",Config!$B$19="Y")),IFERROR(N(INDEX(Clay_Brands!$A$2:$FZ$601,377,Sync!$D$11)),0),"")</f>
        <v/>
      </c>
      <c r="C3828" s="17">
        <f>IF(B3828="","","brand")</f>
        <v/>
      </c>
      <c r="D3828" s="17">
        <f>IF(B3828="","",IFERROR(INDEX(Clay_Brands!$A$2:$FZ$601,377,Sync!$D$5)&amp;"",""))</f>
        <v/>
      </c>
      <c r="E3828" s="17">
        <f>IF(B3828="","",IFERROR(INDEX(Clay_Brands!$A$2:$FZ$601,377,Sync!$D$6)&amp;"",""))</f>
        <v/>
      </c>
      <c r="F3828" s="17">
        <f>IF(B3828="","","outreach_sent")</f>
        <v/>
      </c>
      <c r="G3828" s="17">
        <f>IF(B3828="","","")</f>
        <v/>
      </c>
      <c r="H3828" s="17">
        <f>IF(B3828="","","")</f>
        <v/>
      </c>
      <c r="I3828" s="17">
        <f>IF(B3828="","","")</f>
        <v/>
      </c>
      <c r="J3828" s="17">
        <f>IF(B3828="","","touch_1; "&amp;IFERROR(INDEX(Clay_Brands!$A$2:$FZ$601,377,Sync!$D$10)&amp;"","")&amp;"; "&amp;IFERROR(INDEX(Clay_Brands!$A$2:$FZ$601,377,Sync!$D$9)&amp;"",""))</f>
        <v/>
      </c>
      <c r="K3828" t="inlineStr">
        <is>
          <t>brand outreach touch 1</t>
        </is>
      </c>
    </row>
    <row r="3829">
      <c r="A3829" s="17">
        <f>IF(B3829="","",B3829+(15*1000+378)/10000000)</f>
        <v/>
      </c>
      <c r="B3829" s="23">
        <f>IF(AND(IFERROR(N(INDEX(Clay_Brands!$A$2:$FZ$601,378,Sync!$D$11)),0)&gt;0,IFERROR(INDEX(Clay_Brands!$A$2:$FZ$601,378,Sync!$D$5)&amp;"","")&lt;&gt;"",OR(LEFT(IFERROR(INDEX(Clay_Brands!$A$2:$FZ$601,378,Sync!$D$5)&amp;"",""),6)&lt;&gt;"SAMPLE",Config!$B$19="Y")),IFERROR(N(INDEX(Clay_Brands!$A$2:$FZ$601,378,Sync!$D$11)),0),"")</f>
        <v/>
      </c>
      <c r="C3829" s="17">
        <f>IF(B3829="","","brand")</f>
        <v/>
      </c>
      <c r="D3829" s="17">
        <f>IF(B3829="","",IFERROR(INDEX(Clay_Brands!$A$2:$FZ$601,378,Sync!$D$5)&amp;"",""))</f>
        <v/>
      </c>
      <c r="E3829" s="17">
        <f>IF(B3829="","",IFERROR(INDEX(Clay_Brands!$A$2:$FZ$601,378,Sync!$D$6)&amp;"",""))</f>
        <v/>
      </c>
      <c r="F3829" s="17">
        <f>IF(B3829="","","outreach_sent")</f>
        <v/>
      </c>
      <c r="G3829" s="17">
        <f>IF(B3829="","","")</f>
        <v/>
      </c>
      <c r="H3829" s="17">
        <f>IF(B3829="","","")</f>
        <v/>
      </c>
      <c r="I3829" s="17">
        <f>IF(B3829="","","")</f>
        <v/>
      </c>
      <c r="J3829" s="17">
        <f>IF(B3829="","","touch_1; "&amp;IFERROR(INDEX(Clay_Brands!$A$2:$FZ$601,378,Sync!$D$10)&amp;"","")&amp;"; "&amp;IFERROR(INDEX(Clay_Brands!$A$2:$FZ$601,378,Sync!$D$9)&amp;"",""))</f>
        <v/>
      </c>
      <c r="K3829" t="inlineStr">
        <is>
          <t>brand outreach touch 1</t>
        </is>
      </c>
    </row>
    <row r="3830">
      <c r="A3830" s="17">
        <f>IF(B3830="","",B3830+(15*1000+379)/10000000)</f>
        <v/>
      </c>
      <c r="B3830" s="23">
        <f>IF(AND(IFERROR(N(INDEX(Clay_Brands!$A$2:$FZ$601,379,Sync!$D$11)),0)&gt;0,IFERROR(INDEX(Clay_Brands!$A$2:$FZ$601,379,Sync!$D$5)&amp;"","")&lt;&gt;"",OR(LEFT(IFERROR(INDEX(Clay_Brands!$A$2:$FZ$601,379,Sync!$D$5)&amp;"",""),6)&lt;&gt;"SAMPLE",Config!$B$19="Y")),IFERROR(N(INDEX(Clay_Brands!$A$2:$FZ$601,379,Sync!$D$11)),0),"")</f>
        <v/>
      </c>
      <c r="C3830" s="17">
        <f>IF(B3830="","","brand")</f>
        <v/>
      </c>
      <c r="D3830" s="17">
        <f>IF(B3830="","",IFERROR(INDEX(Clay_Brands!$A$2:$FZ$601,379,Sync!$D$5)&amp;"",""))</f>
        <v/>
      </c>
      <c r="E3830" s="17">
        <f>IF(B3830="","",IFERROR(INDEX(Clay_Brands!$A$2:$FZ$601,379,Sync!$D$6)&amp;"",""))</f>
        <v/>
      </c>
      <c r="F3830" s="17">
        <f>IF(B3830="","","outreach_sent")</f>
        <v/>
      </c>
      <c r="G3830" s="17">
        <f>IF(B3830="","","")</f>
        <v/>
      </c>
      <c r="H3830" s="17">
        <f>IF(B3830="","","")</f>
        <v/>
      </c>
      <c r="I3830" s="17">
        <f>IF(B3830="","","")</f>
        <v/>
      </c>
      <c r="J3830" s="17">
        <f>IF(B3830="","","touch_1; "&amp;IFERROR(INDEX(Clay_Brands!$A$2:$FZ$601,379,Sync!$D$10)&amp;"","")&amp;"; "&amp;IFERROR(INDEX(Clay_Brands!$A$2:$FZ$601,379,Sync!$D$9)&amp;"",""))</f>
        <v/>
      </c>
      <c r="K3830" t="inlineStr">
        <is>
          <t>brand outreach touch 1</t>
        </is>
      </c>
    </row>
    <row r="3831">
      <c r="A3831" s="17">
        <f>IF(B3831="","",B3831+(15*1000+380)/10000000)</f>
        <v/>
      </c>
      <c r="B3831" s="23">
        <f>IF(AND(IFERROR(N(INDEX(Clay_Brands!$A$2:$FZ$601,380,Sync!$D$11)),0)&gt;0,IFERROR(INDEX(Clay_Brands!$A$2:$FZ$601,380,Sync!$D$5)&amp;"","")&lt;&gt;"",OR(LEFT(IFERROR(INDEX(Clay_Brands!$A$2:$FZ$601,380,Sync!$D$5)&amp;"",""),6)&lt;&gt;"SAMPLE",Config!$B$19="Y")),IFERROR(N(INDEX(Clay_Brands!$A$2:$FZ$601,380,Sync!$D$11)),0),"")</f>
        <v/>
      </c>
      <c r="C3831" s="17">
        <f>IF(B3831="","","brand")</f>
        <v/>
      </c>
      <c r="D3831" s="17">
        <f>IF(B3831="","",IFERROR(INDEX(Clay_Brands!$A$2:$FZ$601,380,Sync!$D$5)&amp;"",""))</f>
        <v/>
      </c>
      <c r="E3831" s="17">
        <f>IF(B3831="","",IFERROR(INDEX(Clay_Brands!$A$2:$FZ$601,380,Sync!$D$6)&amp;"",""))</f>
        <v/>
      </c>
      <c r="F3831" s="17">
        <f>IF(B3831="","","outreach_sent")</f>
        <v/>
      </c>
      <c r="G3831" s="17">
        <f>IF(B3831="","","")</f>
        <v/>
      </c>
      <c r="H3831" s="17">
        <f>IF(B3831="","","")</f>
        <v/>
      </c>
      <c r="I3831" s="17">
        <f>IF(B3831="","","")</f>
        <v/>
      </c>
      <c r="J3831" s="17">
        <f>IF(B3831="","","touch_1; "&amp;IFERROR(INDEX(Clay_Brands!$A$2:$FZ$601,380,Sync!$D$10)&amp;"","")&amp;"; "&amp;IFERROR(INDEX(Clay_Brands!$A$2:$FZ$601,380,Sync!$D$9)&amp;"",""))</f>
        <v/>
      </c>
      <c r="K3831" t="inlineStr">
        <is>
          <t>brand outreach touch 1</t>
        </is>
      </c>
    </row>
    <row r="3832">
      <c r="A3832" s="17">
        <f>IF(B3832="","",B3832+(15*1000+381)/10000000)</f>
        <v/>
      </c>
      <c r="B3832" s="23">
        <f>IF(AND(IFERROR(N(INDEX(Clay_Brands!$A$2:$FZ$601,381,Sync!$D$11)),0)&gt;0,IFERROR(INDEX(Clay_Brands!$A$2:$FZ$601,381,Sync!$D$5)&amp;"","")&lt;&gt;"",OR(LEFT(IFERROR(INDEX(Clay_Brands!$A$2:$FZ$601,381,Sync!$D$5)&amp;"",""),6)&lt;&gt;"SAMPLE",Config!$B$19="Y")),IFERROR(N(INDEX(Clay_Brands!$A$2:$FZ$601,381,Sync!$D$11)),0),"")</f>
        <v/>
      </c>
      <c r="C3832" s="17">
        <f>IF(B3832="","","brand")</f>
        <v/>
      </c>
      <c r="D3832" s="17">
        <f>IF(B3832="","",IFERROR(INDEX(Clay_Brands!$A$2:$FZ$601,381,Sync!$D$5)&amp;"",""))</f>
        <v/>
      </c>
      <c r="E3832" s="17">
        <f>IF(B3832="","",IFERROR(INDEX(Clay_Brands!$A$2:$FZ$601,381,Sync!$D$6)&amp;"",""))</f>
        <v/>
      </c>
      <c r="F3832" s="17">
        <f>IF(B3832="","","outreach_sent")</f>
        <v/>
      </c>
      <c r="G3832" s="17">
        <f>IF(B3832="","","")</f>
        <v/>
      </c>
      <c r="H3832" s="17">
        <f>IF(B3832="","","")</f>
        <v/>
      </c>
      <c r="I3832" s="17">
        <f>IF(B3832="","","")</f>
        <v/>
      </c>
      <c r="J3832" s="17">
        <f>IF(B3832="","","touch_1; "&amp;IFERROR(INDEX(Clay_Brands!$A$2:$FZ$601,381,Sync!$D$10)&amp;"","")&amp;"; "&amp;IFERROR(INDEX(Clay_Brands!$A$2:$FZ$601,381,Sync!$D$9)&amp;"",""))</f>
        <v/>
      </c>
      <c r="K3832" t="inlineStr">
        <is>
          <t>brand outreach touch 1</t>
        </is>
      </c>
    </row>
    <row r="3833">
      <c r="A3833" s="17">
        <f>IF(B3833="","",B3833+(15*1000+382)/10000000)</f>
        <v/>
      </c>
      <c r="B3833" s="23">
        <f>IF(AND(IFERROR(N(INDEX(Clay_Brands!$A$2:$FZ$601,382,Sync!$D$11)),0)&gt;0,IFERROR(INDEX(Clay_Brands!$A$2:$FZ$601,382,Sync!$D$5)&amp;"","")&lt;&gt;"",OR(LEFT(IFERROR(INDEX(Clay_Brands!$A$2:$FZ$601,382,Sync!$D$5)&amp;"",""),6)&lt;&gt;"SAMPLE",Config!$B$19="Y")),IFERROR(N(INDEX(Clay_Brands!$A$2:$FZ$601,382,Sync!$D$11)),0),"")</f>
        <v/>
      </c>
      <c r="C3833" s="17">
        <f>IF(B3833="","","brand")</f>
        <v/>
      </c>
      <c r="D3833" s="17">
        <f>IF(B3833="","",IFERROR(INDEX(Clay_Brands!$A$2:$FZ$601,382,Sync!$D$5)&amp;"",""))</f>
        <v/>
      </c>
      <c r="E3833" s="17">
        <f>IF(B3833="","",IFERROR(INDEX(Clay_Brands!$A$2:$FZ$601,382,Sync!$D$6)&amp;"",""))</f>
        <v/>
      </c>
      <c r="F3833" s="17">
        <f>IF(B3833="","","outreach_sent")</f>
        <v/>
      </c>
      <c r="G3833" s="17">
        <f>IF(B3833="","","")</f>
        <v/>
      </c>
      <c r="H3833" s="17">
        <f>IF(B3833="","","")</f>
        <v/>
      </c>
      <c r="I3833" s="17">
        <f>IF(B3833="","","")</f>
        <v/>
      </c>
      <c r="J3833" s="17">
        <f>IF(B3833="","","touch_1; "&amp;IFERROR(INDEX(Clay_Brands!$A$2:$FZ$601,382,Sync!$D$10)&amp;"","")&amp;"; "&amp;IFERROR(INDEX(Clay_Brands!$A$2:$FZ$601,382,Sync!$D$9)&amp;"",""))</f>
        <v/>
      </c>
      <c r="K3833" t="inlineStr">
        <is>
          <t>brand outreach touch 1</t>
        </is>
      </c>
    </row>
    <row r="3834">
      <c r="A3834" s="17">
        <f>IF(B3834="","",B3834+(15*1000+383)/10000000)</f>
        <v/>
      </c>
      <c r="B3834" s="23">
        <f>IF(AND(IFERROR(N(INDEX(Clay_Brands!$A$2:$FZ$601,383,Sync!$D$11)),0)&gt;0,IFERROR(INDEX(Clay_Brands!$A$2:$FZ$601,383,Sync!$D$5)&amp;"","")&lt;&gt;"",OR(LEFT(IFERROR(INDEX(Clay_Brands!$A$2:$FZ$601,383,Sync!$D$5)&amp;"",""),6)&lt;&gt;"SAMPLE",Config!$B$19="Y")),IFERROR(N(INDEX(Clay_Brands!$A$2:$FZ$601,383,Sync!$D$11)),0),"")</f>
        <v/>
      </c>
      <c r="C3834" s="17">
        <f>IF(B3834="","","brand")</f>
        <v/>
      </c>
      <c r="D3834" s="17">
        <f>IF(B3834="","",IFERROR(INDEX(Clay_Brands!$A$2:$FZ$601,383,Sync!$D$5)&amp;"",""))</f>
        <v/>
      </c>
      <c r="E3834" s="17">
        <f>IF(B3834="","",IFERROR(INDEX(Clay_Brands!$A$2:$FZ$601,383,Sync!$D$6)&amp;"",""))</f>
        <v/>
      </c>
      <c r="F3834" s="17">
        <f>IF(B3834="","","outreach_sent")</f>
        <v/>
      </c>
      <c r="G3834" s="17">
        <f>IF(B3834="","","")</f>
        <v/>
      </c>
      <c r="H3834" s="17">
        <f>IF(B3834="","","")</f>
        <v/>
      </c>
      <c r="I3834" s="17">
        <f>IF(B3834="","","")</f>
        <v/>
      </c>
      <c r="J3834" s="17">
        <f>IF(B3834="","","touch_1; "&amp;IFERROR(INDEX(Clay_Brands!$A$2:$FZ$601,383,Sync!$D$10)&amp;"","")&amp;"; "&amp;IFERROR(INDEX(Clay_Brands!$A$2:$FZ$601,383,Sync!$D$9)&amp;"",""))</f>
        <v/>
      </c>
      <c r="K3834" t="inlineStr">
        <is>
          <t>brand outreach touch 1</t>
        </is>
      </c>
    </row>
    <row r="3835">
      <c r="A3835" s="17">
        <f>IF(B3835="","",B3835+(15*1000+384)/10000000)</f>
        <v/>
      </c>
      <c r="B3835" s="23">
        <f>IF(AND(IFERROR(N(INDEX(Clay_Brands!$A$2:$FZ$601,384,Sync!$D$11)),0)&gt;0,IFERROR(INDEX(Clay_Brands!$A$2:$FZ$601,384,Sync!$D$5)&amp;"","")&lt;&gt;"",OR(LEFT(IFERROR(INDEX(Clay_Brands!$A$2:$FZ$601,384,Sync!$D$5)&amp;"",""),6)&lt;&gt;"SAMPLE",Config!$B$19="Y")),IFERROR(N(INDEX(Clay_Brands!$A$2:$FZ$601,384,Sync!$D$11)),0),"")</f>
        <v/>
      </c>
      <c r="C3835" s="17">
        <f>IF(B3835="","","brand")</f>
        <v/>
      </c>
      <c r="D3835" s="17">
        <f>IF(B3835="","",IFERROR(INDEX(Clay_Brands!$A$2:$FZ$601,384,Sync!$D$5)&amp;"",""))</f>
        <v/>
      </c>
      <c r="E3835" s="17">
        <f>IF(B3835="","",IFERROR(INDEX(Clay_Brands!$A$2:$FZ$601,384,Sync!$D$6)&amp;"",""))</f>
        <v/>
      </c>
      <c r="F3835" s="17">
        <f>IF(B3835="","","outreach_sent")</f>
        <v/>
      </c>
      <c r="G3835" s="17">
        <f>IF(B3835="","","")</f>
        <v/>
      </c>
      <c r="H3835" s="17">
        <f>IF(B3835="","","")</f>
        <v/>
      </c>
      <c r="I3835" s="17">
        <f>IF(B3835="","","")</f>
        <v/>
      </c>
      <c r="J3835" s="17">
        <f>IF(B3835="","","touch_1; "&amp;IFERROR(INDEX(Clay_Brands!$A$2:$FZ$601,384,Sync!$D$10)&amp;"","")&amp;"; "&amp;IFERROR(INDEX(Clay_Brands!$A$2:$FZ$601,384,Sync!$D$9)&amp;"",""))</f>
        <v/>
      </c>
      <c r="K3835" t="inlineStr">
        <is>
          <t>brand outreach touch 1</t>
        </is>
      </c>
    </row>
    <row r="3836">
      <c r="A3836" s="17">
        <f>IF(B3836="","",B3836+(15*1000+385)/10000000)</f>
        <v/>
      </c>
      <c r="B3836" s="23">
        <f>IF(AND(IFERROR(N(INDEX(Clay_Brands!$A$2:$FZ$601,385,Sync!$D$11)),0)&gt;0,IFERROR(INDEX(Clay_Brands!$A$2:$FZ$601,385,Sync!$D$5)&amp;"","")&lt;&gt;"",OR(LEFT(IFERROR(INDEX(Clay_Brands!$A$2:$FZ$601,385,Sync!$D$5)&amp;"",""),6)&lt;&gt;"SAMPLE",Config!$B$19="Y")),IFERROR(N(INDEX(Clay_Brands!$A$2:$FZ$601,385,Sync!$D$11)),0),"")</f>
        <v/>
      </c>
      <c r="C3836" s="17">
        <f>IF(B3836="","","brand")</f>
        <v/>
      </c>
      <c r="D3836" s="17">
        <f>IF(B3836="","",IFERROR(INDEX(Clay_Brands!$A$2:$FZ$601,385,Sync!$D$5)&amp;"",""))</f>
        <v/>
      </c>
      <c r="E3836" s="17">
        <f>IF(B3836="","",IFERROR(INDEX(Clay_Brands!$A$2:$FZ$601,385,Sync!$D$6)&amp;"",""))</f>
        <v/>
      </c>
      <c r="F3836" s="17">
        <f>IF(B3836="","","outreach_sent")</f>
        <v/>
      </c>
      <c r="G3836" s="17">
        <f>IF(B3836="","","")</f>
        <v/>
      </c>
      <c r="H3836" s="17">
        <f>IF(B3836="","","")</f>
        <v/>
      </c>
      <c r="I3836" s="17">
        <f>IF(B3836="","","")</f>
        <v/>
      </c>
      <c r="J3836" s="17">
        <f>IF(B3836="","","touch_1; "&amp;IFERROR(INDEX(Clay_Brands!$A$2:$FZ$601,385,Sync!$D$10)&amp;"","")&amp;"; "&amp;IFERROR(INDEX(Clay_Brands!$A$2:$FZ$601,385,Sync!$D$9)&amp;"",""))</f>
        <v/>
      </c>
      <c r="K3836" t="inlineStr">
        <is>
          <t>brand outreach touch 1</t>
        </is>
      </c>
    </row>
    <row r="3837">
      <c r="A3837" s="17">
        <f>IF(B3837="","",B3837+(15*1000+386)/10000000)</f>
        <v/>
      </c>
      <c r="B3837" s="23">
        <f>IF(AND(IFERROR(N(INDEX(Clay_Brands!$A$2:$FZ$601,386,Sync!$D$11)),0)&gt;0,IFERROR(INDEX(Clay_Brands!$A$2:$FZ$601,386,Sync!$D$5)&amp;"","")&lt;&gt;"",OR(LEFT(IFERROR(INDEX(Clay_Brands!$A$2:$FZ$601,386,Sync!$D$5)&amp;"",""),6)&lt;&gt;"SAMPLE",Config!$B$19="Y")),IFERROR(N(INDEX(Clay_Brands!$A$2:$FZ$601,386,Sync!$D$11)),0),"")</f>
        <v/>
      </c>
      <c r="C3837" s="17">
        <f>IF(B3837="","","brand")</f>
        <v/>
      </c>
      <c r="D3837" s="17">
        <f>IF(B3837="","",IFERROR(INDEX(Clay_Brands!$A$2:$FZ$601,386,Sync!$D$5)&amp;"",""))</f>
        <v/>
      </c>
      <c r="E3837" s="17">
        <f>IF(B3837="","",IFERROR(INDEX(Clay_Brands!$A$2:$FZ$601,386,Sync!$D$6)&amp;"",""))</f>
        <v/>
      </c>
      <c r="F3837" s="17">
        <f>IF(B3837="","","outreach_sent")</f>
        <v/>
      </c>
      <c r="G3837" s="17">
        <f>IF(B3837="","","")</f>
        <v/>
      </c>
      <c r="H3837" s="17">
        <f>IF(B3837="","","")</f>
        <v/>
      </c>
      <c r="I3837" s="17">
        <f>IF(B3837="","","")</f>
        <v/>
      </c>
      <c r="J3837" s="17">
        <f>IF(B3837="","","touch_1; "&amp;IFERROR(INDEX(Clay_Brands!$A$2:$FZ$601,386,Sync!$D$10)&amp;"","")&amp;"; "&amp;IFERROR(INDEX(Clay_Brands!$A$2:$FZ$601,386,Sync!$D$9)&amp;"",""))</f>
        <v/>
      </c>
      <c r="K3837" t="inlineStr">
        <is>
          <t>brand outreach touch 1</t>
        </is>
      </c>
    </row>
    <row r="3838">
      <c r="A3838" s="17">
        <f>IF(B3838="","",B3838+(15*1000+387)/10000000)</f>
        <v/>
      </c>
      <c r="B3838" s="23">
        <f>IF(AND(IFERROR(N(INDEX(Clay_Brands!$A$2:$FZ$601,387,Sync!$D$11)),0)&gt;0,IFERROR(INDEX(Clay_Brands!$A$2:$FZ$601,387,Sync!$D$5)&amp;"","")&lt;&gt;"",OR(LEFT(IFERROR(INDEX(Clay_Brands!$A$2:$FZ$601,387,Sync!$D$5)&amp;"",""),6)&lt;&gt;"SAMPLE",Config!$B$19="Y")),IFERROR(N(INDEX(Clay_Brands!$A$2:$FZ$601,387,Sync!$D$11)),0),"")</f>
        <v/>
      </c>
      <c r="C3838" s="17">
        <f>IF(B3838="","","brand")</f>
        <v/>
      </c>
      <c r="D3838" s="17">
        <f>IF(B3838="","",IFERROR(INDEX(Clay_Brands!$A$2:$FZ$601,387,Sync!$D$5)&amp;"",""))</f>
        <v/>
      </c>
      <c r="E3838" s="17">
        <f>IF(B3838="","",IFERROR(INDEX(Clay_Brands!$A$2:$FZ$601,387,Sync!$D$6)&amp;"",""))</f>
        <v/>
      </c>
      <c r="F3838" s="17">
        <f>IF(B3838="","","outreach_sent")</f>
        <v/>
      </c>
      <c r="G3838" s="17">
        <f>IF(B3838="","","")</f>
        <v/>
      </c>
      <c r="H3838" s="17">
        <f>IF(B3838="","","")</f>
        <v/>
      </c>
      <c r="I3838" s="17">
        <f>IF(B3838="","","")</f>
        <v/>
      </c>
      <c r="J3838" s="17">
        <f>IF(B3838="","","touch_1; "&amp;IFERROR(INDEX(Clay_Brands!$A$2:$FZ$601,387,Sync!$D$10)&amp;"","")&amp;"; "&amp;IFERROR(INDEX(Clay_Brands!$A$2:$FZ$601,387,Sync!$D$9)&amp;"",""))</f>
        <v/>
      </c>
      <c r="K3838" t="inlineStr">
        <is>
          <t>brand outreach touch 1</t>
        </is>
      </c>
    </row>
    <row r="3839">
      <c r="A3839" s="17">
        <f>IF(B3839="","",B3839+(15*1000+388)/10000000)</f>
        <v/>
      </c>
      <c r="B3839" s="23">
        <f>IF(AND(IFERROR(N(INDEX(Clay_Brands!$A$2:$FZ$601,388,Sync!$D$11)),0)&gt;0,IFERROR(INDEX(Clay_Brands!$A$2:$FZ$601,388,Sync!$D$5)&amp;"","")&lt;&gt;"",OR(LEFT(IFERROR(INDEX(Clay_Brands!$A$2:$FZ$601,388,Sync!$D$5)&amp;"",""),6)&lt;&gt;"SAMPLE",Config!$B$19="Y")),IFERROR(N(INDEX(Clay_Brands!$A$2:$FZ$601,388,Sync!$D$11)),0),"")</f>
        <v/>
      </c>
      <c r="C3839" s="17">
        <f>IF(B3839="","","brand")</f>
        <v/>
      </c>
      <c r="D3839" s="17">
        <f>IF(B3839="","",IFERROR(INDEX(Clay_Brands!$A$2:$FZ$601,388,Sync!$D$5)&amp;"",""))</f>
        <v/>
      </c>
      <c r="E3839" s="17">
        <f>IF(B3839="","",IFERROR(INDEX(Clay_Brands!$A$2:$FZ$601,388,Sync!$D$6)&amp;"",""))</f>
        <v/>
      </c>
      <c r="F3839" s="17">
        <f>IF(B3839="","","outreach_sent")</f>
        <v/>
      </c>
      <c r="G3839" s="17">
        <f>IF(B3839="","","")</f>
        <v/>
      </c>
      <c r="H3839" s="17">
        <f>IF(B3839="","","")</f>
        <v/>
      </c>
      <c r="I3839" s="17">
        <f>IF(B3839="","","")</f>
        <v/>
      </c>
      <c r="J3839" s="17">
        <f>IF(B3839="","","touch_1; "&amp;IFERROR(INDEX(Clay_Brands!$A$2:$FZ$601,388,Sync!$D$10)&amp;"","")&amp;"; "&amp;IFERROR(INDEX(Clay_Brands!$A$2:$FZ$601,388,Sync!$D$9)&amp;"",""))</f>
        <v/>
      </c>
      <c r="K3839" t="inlineStr">
        <is>
          <t>brand outreach touch 1</t>
        </is>
      </c>
    </row>
    <row r="3840">
      <c r="A3840" s="17">
        <f>IF(B3840="","",B3840+(15*1000+389)/10000000)</f>
        <v/>
      </c>
      <c r="B3840" s="23">
        <f>IF(AND(IFERROR(N(INDEX(Clay_Brands!$A$2:$FZ$601,389,Sync!$D$11)),0)&gt;0,IFERROR(INDEX(Clay_Brands!$A$2:$FZ$601,389,Sync!$D$5)&amp;"","")&lt;&gt;"",OR(LEFT(IFERROR(INDEX(Clay_Brands!$A$2:$FZ$601,389,Sync!$D$5)&amp;"",""),6)&lt;&gt;"SAMPLE",Config!$B$19="Y")),IFERROR(N(INDEX(Clay_Brands!$A$2:$FZ$601,389,Sync!$D$11)),0),"")</f>
        <v/>
      </c>
      <c r="C3840" s="17">
        <f>IF(B3840="","","brand")</f>
        <v/>
      </c>
      <c r="D3840" s="17">
        <f>IF(B3840="","",IFERROR(INDEX(Clay_Brands!$A$2:$FZ$601,389,Sync!$D$5)&amp;"",""))</f>
        <v/>
      </c>
      <c r="E3840" s="17">
        <f>IF(B3840="","",IFERROR(INDEX(Clay_Brands!$A$2:$FZ$601,389,Sync!$D$6)&amp;"",""))</f>
        <v/>
      </c>
      <c r="F3840" s="17">
        <f>IF(B3840="","","outreach_sent")</f>
        <v/>
      </c>
      <c r="G3840" s="17">
        <f>IF(B3840="","","")</f>
        <v/>
      </c>
      <c r="H3840" s="17">
        <f>IF(B3840="","","")</f>
        <v/>
      </c>
      <c r="I3840" s="17">
        <f>IF(B3840="","","")</f>
        <v/>
      </c>
      <c r="J3840" s="17">
        <f>IF(B3840="","","touch_1; "&amp;IFERROR(INDEX(Clay_Brands!$A$2:$FZ$601,389,Sync!$D$10)&amp;"","")&amp;"; "&amp;IFERROR(INDEX(Clay_Brands!$A$2:$FZ$601,389,Sync!$D$9)&amp;"",""))</f>
        <v/>
      </c>
      <c r="K3840" t="inlineStr">
        <is>
          <t>brand outreach touch 1</t>
        </is>
      </c>
    </row>
    <row r="3841">
      <c r="A3841" s="17">
        <f>IF(B3841="","",B3841+(15*1000+390)/10000000)</f>
        <v/>
      </c>
      <c r="B3841" s="23">
        <f>IF(AND(IFERROR(N(INDEX(Clay_Brands!$A$2:$FZ$601,390,Sync!$D$11)),0)&gt;0,IFERROR(INDEX(Clay_Brands!$A$2:$FZ$601,390,Sync!$D$5)&amp;"","")&lt;&gt;"",OR(LEFT(IFERROR(INDEX(Clay_Brands!$A$2:$FZ$601,390,Sync!$D$5)&amp;"",""),6)&lt;&gt;"SAMPLE",Config!$B$19="Y")),IFERROR(N(INDEX(Clay_Brands!$A$2:$FZ$601,390,Sync!$D$11)),0),"")</f>
        <v/>
      </c>
      <c r="C3841" s="17">
        <f>IF(B3841="","","brand")</f>
        <v/>
      </c>
      <c r="D3841" s="17">
        <f>IF(B3841="","",IFERROR(INDEX(Clay_Brands!$A$2:$FZ$601,390,Sync!$D$5)&amp;"",""))</f>
        <v/>
      </c>
      <c r="E3841" s="17">
        <f>IF(B3841="","",IFERROR(INDEX(Clay_Brands!$A$2:$FZ$601,390,Sync!$D$6)&amp;"",""))</f>
        <v/>
      </c>
      <c r="F3841" s="17">
        <f>IF(B3841="","","outreach_sent")</f>
        <v/>
      </c>
      <c r="G3841" s="17">
        <f>IF(B3841="","","")</f>
        <v/>
      </c>
      <c r="H3841" s="17">
        <f>IF(B3841="","","")</f>
        <v/>
      </c>
      <c r="I3841" s="17">
        <f>IF(B3841="","","")</f>
        <v/>
      </c>
      <c r="J3841" s="17">
        <f>IF(B3841="","","touch_1; "&amp;IFERROR(INDEX(Clay_Brands!$A$2:$FZ$601,390,Sync!$D$10)&amp;"","")&amp;"; "&amp;IFERROR(INDEX(Clay_Brands!$A$2:$FZ$601,390,Sync!$D$9)&amp;"",""))</f>
        <v/>
      </c>
      <c r="K3841" t="inlineStr">
        <is>
          <t>brand outreach touch 1</t>
        </is>
      </c>
    </row>
    <row r="3842">
      <c r="A3842" s="17">
        <f>IF(B3842="","",B3842+(15*1000+391)/10000000)</f>
        <v/>
      </c>
      <c r="B3842" s="23">
        <f>IF(AND(IFERROR(N(INDEX(Clay_Brands!$A$2:$FZ$601,391,Sync!$D$11)),0)&gt;0,IFERROR(INDEX(Clay_Brands!$A$2:$FZ$601,391,Sync!$D$5)&amp;"","")&lt;&gt;"",OR(LEFT(IFERROR(INDEX(Clay_Brands!$A$2:$FZ$601,391,Sync!$D$5)&amp;"",""),6)&lt;&gt;"SAMPLE",Config!$B$19="Y")),IFERROR(N(INDEX(Clay_Brands!$A$2:$FZ$601,391,Sync!$D$11)),0),"")</f>
        <v/>
      </c>
      <c r="C3842" s="17">
        <f>IF(B3842="","","brand")</f>
        <v/>
      </c>
      <c r="D3842" s="17">
        <f>IF(B3842="","",IFERROR(INDEX(Clay_Brands!$A$2:$FZ$601,391,Sync!$D$5)&amp;"",""))</f>
        <v/>
      </c>
      <c r="E3842" s="17">
        <f>IF(B3842="","",IFERROR(INDEX(Clay_Brands!$A$2:$FZ$601,391,Sync!$D$6)&amp;"",""))</f>
        <v/>
      </c>
      <c r="F3842" s="17">
        <f>IF(B3842="","","outreach_sent")</f>
        <v/>
      </c>
      <c r="G3842" s="17">
        <f>IF(B3842="","","")</f>
        <v/>
      </c>
      <c r="H3842" s="17">
        <f>IF(B3842="","","")</f>
        <v/>
      </c>
      <c r="I3842" s="17">
        <f>IF(B3842="","","")</f>
        <v/>
      </c>
      <c r="J3842" s="17">
        <f>IF(B3842="","","touch_1; "&amp;IFERROR(INDEX(Clay_Brands!$A$2:$FZ$601,391,Sync!$D$10)&amp;"","")&amp;"; "&amp;IFERROR(INDEX(Clay_Brands!$A$2:$FZ$601,391,Sync!$D$9)&amp;"",""))</f>
        <v/>
      </c>
      <c r="K3842" t="inlineStr">
        <is>
          <t>brand outreach touch 1</t>
        </is>
      </c>
    </row>
    <row r="3843">
      <c r="A3843" s="17">
        <f>IF(B3843="","",B3843+(15*1000+392)/10000000)</f>
        <v/>
      </c>
      <c r="B3843" s="23">
        <f>IF(AND(IFERROR(N(INDEX(Clay_Brands!$A$2:$FZ$601,392,Sync!$D$11)),0)&gt;0,IFERROR(INDEX(Clay_Brands!$A$2:$FZ$601,392,Sync!$D$5)&amp;"","")&lt;&gt;"",OR(LEFT(IFERROR(INDEX(Clay_Brands!$A$2:$FZ$601,392,Sync!$D$5)&amp;"",""),6)&lt;&gt;"SAMPLE",Config!$B$19="Y")),IFERROR(N(INDEX(Clay_Brands!$A$2:$FZ$601,392,Sync!$D$11)),0),"")</f>
        <v/>
      </c>
      <c r="C3843" s="17">
        <f>IF(B3843="","","brand")</f>
        <v/>
      </c>
      <c r="D3843" s="17">
        <f>IF(B3843="","",IFERROR(INDEX(Clay_Brands!$A$2:$FZ$601,392,Sync!$D$5)&amp;"",""))</f>
        <v/>
      </c>
      <c r="E3843" s="17">
        <f>IF(B3843="","",IFERROR(INDEX(Clay_Brands!$A$2:$FZ$601,392,Sync!$D$6)&amp;"",""))</f>
        <v/>
      </c>
      <c r="F3843" s="17">
        <f>IF(B3843="","","outreach_sent")</f>
        <v/>
      </c>
      <c r="G3843" s="17">
        <f>IF(B3843="","","")</f>
        <v/>
      </c>
      <c r="H3843" s="17">
        <f>IF(B3843="","","")</f>
        <v/>
      </c>
      <c r="I3843" s="17">
        <f>IF(B3843="","","")</f>
        <v/>
      </c>
      <c r="J3843" s="17">
        <f>IF(B3843="","","touch_1; "&amp;IFERROR(INDEX(Clay_Brands!$A$2:$FZ$601,392,Sync!$D$10)&amp;"","")&amp;"; "&amp;IFERROR(INDEX(Clay_Brands!$A$2:$FZ$601,392,Sync!$D$9)&amp;"",""))</f>
        <v/>
      </c>
      <c r="K3843" t="inlineStr">
        <is>
          <t>brand outreach touch 1</t>
        </is>
      </c>
    </row>
    <row r="3844">
      <c r="A3844" s="17">
        <f>IF(B3844="","",B3844+(15*1000+393)/10000000)</f>
        <v/>
      </c>
      <c r="B3844" s="23">
        <f>IF(AND(IFERROR(N(INDEX(Clay_Brands!$A$2:$FZ$601,393,Sync!$D$11)),0)&gt;0,IFERROR(INDEX(Clay_Brands!$A$2:$FZ$601,393,Sync!$D$5)&amp;"","")&lt;&gt;"",OR(LEFT(IFERROR(INDEX(Clay_Brands!$A$2:$FZ$601,393,Sync!$D$5)&amp;"",""),6)&lt;&gt;"SAMPLE",Config!$B$19="Y")),IFERROR(N(INDEX(Clay_Brands!$A$2:$FZ$601,393,Sync!$D$11)),0),"")</f>
        <v/>
      </c>
      <c r="C3844" s="17">
        <f>IF(B3844="","","brand")</f>
        <v/>
      </c>
      <c r="D3844" s="17">
        <f>IF(B3844="","",IFERROR(INDEX(Clay_Brands!$A$2:$FZ$601,393,Sync!$D$5)&amp;"",""))</f>
        <v/>
      </c>
      <c r="E3844" s="17">
        <f>IF(B3844="","",IFERROR(INDEX(Clay_Brands!$A$2:$FZ$601,393,Sync!$D$6)&amp;"",""))</f>
        <v/>
      </c>
      <c r="F3844" s="17">
        <f>IF(B3844="","","outreach_sent")</f>
        <v/>
      </c>
      <c r="G3844" s="17">
        <f>IF(B3844="","","")</f>
        <v/>
      </c>
      <c r="H3844" s="17">
        <f>IF(B3844="","","")</f>
        <v/>
      </c>
      <c r="I3844" s="17">
        <f>IF(B3844="","","")</f>
        <v/>
      </c>
      <c r="J3844" s="17">
        <f>IF(B3844="","","touch_1; "&amp;IFERROR(INDEX(Clay_Brands!$A$2:$FZ$601,393,Sync!$D$10)&amp;"","")&amp;"; "&amp;IFERROR(INDEX(Clay_Brands!$A$2:$FZ$601,393,Sync!$D$9)&amp;"",""))</f>
        <v/>
      </c>
      <c r="K3844" t="inlineStr">
        <is>
          <t>brand outreach touch 1</t>
        </is>
      </c>
    </row>
    <row r="3845">
      <c r="A3845" s="17">
        <f>IF(B3845="","",B3845+(15*1000+394)/10000000)</f>
        <v/>
      </c>
      <c r="B3845" s="23">
        <f>IF(AND(IFERROR(N(INDEX(Clay_Brands!$A$2:$FZ$601,394,Sync!$D$11)),0)&gt;0,IFERROR(INDEX(Clay_Brands!$A$2:$FZ$601,394,Sync!$D$5)&amp;"","")&lt;&gt;"",OR(LEFT(IFERROR(INDEX(Clay_Brands!$A$2:$FZ$601,394,Sync!$D$5)&amp;"",""),6)&lt;&gt;"SAMPLE",Config!$B$19="Y")),IFERROR(N(INDEX(Clay_Brands!$A$2:$FZ$601,394,Sync!$D$11)),0),"")</f>
        <v/>
      </c>
      <c r="C3845" s="17">
        <f>IF(B3845="","","brand")</f>
        <v/>
      </c>
      <c r="D3845" s="17">
        <f>IF(B3845="","",IFERROR(INDEX(Clay_Brands!$A$2:$FZ$601,394,Sync!$D$5)&amp;"",""))</f>
        <v/>
      </c>
      <c r="E3845" s="17">
        <f>IF(B3845="","",IFERROR(INDEX(Clay_Brands!$A$2:$FZ$601,394,Sync!$D$6)&amp;"",""))</f>
        <v/>
      </c>
      <c r="F3845" s="17">
        <f>IF(B3845="","","outreach_sent")</f>
        <v/>
      </c>
      <c r="G3845" s="17">
        <f>IF(B3845="","","")</f>
        <v/>
      </c>
      <c r="H3845" s="17">
        <f>IF(B3845="","","")</f>
        <v/>
      </c>
      <c r="I3845" s="17">
        <f>IF(B3845="","","")</f>
        <v/>
      </c>
      <c r="J3845" s="17">
        <f>IF(B3845="","","touch_1; "&amp;IFERROR(INDEX(Clay_Brands!$A$2:$FZ$601,394,Sync!$D$10)&amp;"","")&amp;"; "&amp;IFERROR(INDEX(Clay_Brands!$A$2:$FZ$601,394,Sync!$D$9)&amp;"",""))</f>
        <v/>
      </c>
      <c r="K3845" t="inlineStr">
        <is>
          <t>brand outreach touch 1</t>
        </is>
      </c>
    </row>
    <row r="3846">
      <c r="A3846" s="17">
        <f>IF(B3846="","",B3846+(15*1000+395)/10000000)</f>
        <v/>
      </c>
      <c r="B3846" s="23">
        <f>IF(AND(IFERROR(N(INDEX(Clay_Brands!$A$2:$FZ$601,395,Sync!$D$11)),0)&gt;0,IFERROR(INDEX(Clay_Brands!$A$2:$FZ$601,395,Sync!$D$5)&amp;"","")&lt;&gt;"",OR(LEFT(IFERROR(INDEX(Clay_Brands!$A$2:$FZ$601,395,Sync!$D$5)&amp;"",""),6)&lt;&gt;"SAMPLE",Config!$B$19="Y")),IFERROR(N(INDEX(Clay_Brands!$A$2:$FZ$601,395,Sync!$D$11)),0),"")</f>
        <v/>
      </c>
      <c r="C3846" s="17">
        <f>IF(B3846="","","brand")</f>
        <v/>
      </c>
      <c r="D3846" s="17">
        <f>IF(B3846="","",IFERROR(INDEX(Clay_Brands!$A$2:$FZ$601,395,Sync!$D$5)&amp;"",""))</f>
        <v/>
      </c>
      <c r="E3846" s="17">
        <f>IF(B3846="","",IFERROR(INDEX(Clay_Brands!$A$2:$FZ$601,395,Sync!$D$6)&amp;"",""))</f>
        <v/>
      </c>
      <c r="F3846" s="17">
        <f>IF(B3846="","","outreach_sent")</f>
        <v/>
      </c>
      <c r="G3846" s="17">
        <f>IF(B3846="","","")</f>
        <v/>
      </c>
      <c r="H3846" s="17">
        <f>IF(B3846="","","")</f>
        <v/>
      </c>
      <c r="I3846" s="17">
        <f>IF(B3846="","","")</f>
        <v/>
      </c>
      <c r="J3846" s="17">
        <f>IF(B3846="","","touch_1; "&amp;IFERROR(INDEX(Clay_Brands!$A$2:$FZ$601,395,Sync!$D$10)&amp;"","")&amp;"; "&amp;IFERROR(INDEX(Clay_Brands!$A$2:$FZ$601,395,Sync!$D$9)&amp;"",""))</f>
        <v/>
      </c>
      <c r="K3846" t="inlineStr">
        <is>
          <t>brand outreach touch 1</t>
        </is>
      </c>
    </row>
    <row r="3847">
      <c r="A3847" s="17">
        <f>IF(B3847="","",B3847+(15*1000+396)/10000000)</f>
        <v/>
      </c>
      <c r="B3847" s="23">
        <f>IF(AND(IFERROR(N(INDEX(Clay_Brands!$A$2:$FZ$601,396,Sync!$D$11)),0)&gt;0,IFERROR(INDEX(Clay_Brands!$A$2:$FZ$601,396,Sync!$D$5)&amp;"","")&lt;&gt;"",OR(LEFT(IFERROR(INDEX(Clay_Brands!$A$2:$FZ$601,396,Sync!$D$5)&amp;"",""),6)&lt;&gt;"SAMPLE",Config!$B$19="Y")),IFERROR(N(INDEX(Clay_Brands!$A$2:$FZ$601,396,Sync!$D$11)),0),"")</f>
        <v/>
      </c>
      <c r="C3847" s="17">
        <f>IF(B3847="","","brand")</f>
        <v/>
      </c>
      <c r="D3847" s="17">
        <f>IF(B3847="","",IFERROR(INDEX(Clay_Brands!$A$2:$FZ$601,396,Sync!$D$5)&amp;"",""))</f>
        <v/>
      </c>
      <c r="E3847" s="17">
        <f>IF(B3847="","",IFERROR(INDEX(Clay_Brands!$A$2:$FZ$601,396,Sync!$D$6)&amp;"",""))</f>
        <v/>
      </c>
      <c r="F3847" s="17">
        <f>IF(B3847="","","outreach_sent")</f>
        <v/>
      </c>
      <c r="G3847" s="17">
        <f>IF(B3847="","","")</f>
        <v/>
      </c>
      <c r="H3847" s="17">
        <f>IF(B3847="","","")</f>
        <v/>
      </c>
      <c r="I3847" s="17">
        <f>IF(B3847="","","")</f>
        <v/>
      </c>
      <c r="J3847" s="17">
        <f>IF(B3847="","","touch_1; "&amp;IFERROR(INDEX(Clay_Brands!$A$2:$FZ$601,396,Sync!$D$10)&amp;"","")&amp;"; "&amp;IFERROR(INDEX(Clay_Brands!$A$2:$FZ$601,396,Sync!$D$9)&amp;"",""))</f>
        <v/>
      </c>
      <c r="K3847" t="inlineStr">
        <is>
          <t>brand outreach touch 1</t>
        </is>
      </c>
    </row>
    <row r="3848">
      <c r="A3848" s="17">
        <f>IF(B3848="","",B3848+(15*1000+397)/10000000)</f>
        <v/>
      </c>
      <c r="B3848" s="23">
        <f>IF(AND(IFERROR(N(INDEX(Clay_Brands!$A$2:$FZ$601,397,Sync!$D$11)),0)&gt;0,IFERROR(INDEX(Clay_Brands!$A$2:$FZ$601,397,Sync!$D$5)&amp;"","")&lt;&gt;"",OR(LEFT(IFERROR(INDEX(Clay_Brands!$A$2:$FZ$601,397,Sync!$D$5)&amp;"",""),6)&lt;&gt;"SAMPLE",Config!$B$19="Y")),IFERROR(N(INDEX(Clay_Brands!$A$2:$FZ$601,397,Sync!$D$11)),0),"")</f>
        <v/>
      </c>
      <c r="C3848" s="17">
        <f>IF(B3848="","","brand")</f>
        <v/>
      </c>
      <c r="D3848" s="17">
        <f>IF(B3848="","",IFERROR(INDEX(Clay_Brands!$A$2:$FZ$601,397,Sync!$D$5)&amp;"",""))</f>
        <v/>
      </c>
      <c r="E3848" s="17">
        <f>IF(B3848="","",IFERROR(INDEX(Clay_Brands!$A$2:$FZ$601,397,Sync!$D$6)&amp;"",""))</f>
        <v/>
      </c>
      <c r="F3848" s="17">
        <f>IF(B3848="","","outreach_sent")</f>
        <v/>
      </c>
      <c r="G3848" s="17">
        <f>IF(B3848="","","")</f>
        <v/>
      </c>
      <c r="H3848" s="17">
        <f>IF(B3848="","","")</f>
        <v/>
      </c>
      <c r="I3848" s="17">
        <f>IF(B3848="","","")</f>
        <v/>
      </c>
      <c r="J3848" s="17">
        <f>IF(B3848="","","touch_1; "&amp;IFERROR(INDEX(Clay_Brands!$A$2:$FZ$601,397,Sync!$D$10)&amp;"","")&amp;"; "&amp;IFERROR(INDEX(Clay_Brands!$A$2:$FZ$601,397,Sync!$D$9)&amp;"",""))</f>
        <v/>
      </c>
      <c r="K3848" t="inlineStr">
        <is>
          <t>brand outreach touch 1</t>
        </is>
      </c>
    </row>
    <row r="3849">
      <c r="A3849" s="17">
        <f>IF(B3849="","",B3849+(15*1000+398)/10000000)</f>
        <v/>
      </c>
      <c r="B3849" s="23">
        <f>IF(AND(IFERROR(N(INDEX(Clay_Brands!$A$2:$FZ$601,398,Sync!$D$11)),0)&gt;0,IFERROR(INDEX(Clay_Brands!$A$2:$FZ$601,398,Sync!$D$5)&amp;"","")&lt;&gt;"",OR(LEFT(IFERROR(INDEX(Clay_Brands!$A$2:$FZ$601,398,Sync!$D$5)&amp;"",""),6)&lt;&gt;"SAMPLE",Config!$B$19="Y")),IFERROR(N(INDEX(Clay_Brands!$A$2:$FZ$601,398,Sync!$D$11)),0),"")</f>
        <v/>
      </c>
      <c r="C3849" s="17">
        <f>IF(B3849="","","brand")</f>
        <v/>
      </c>
      <c r="D3849" s="17">
        <f>IF(B3849="","",IFERROR(INDEX(Clay_Brands!$A$2:$FZ$601,398,Sync!$D$5)&amp;"",""))</f>
        <v/>
      </c>
      <c r="E3849" s="17">
        <f>IF(B3849="","",IFERROR(INDEX(Clay_Brands!$A$2:$FZ$601,398,Sync!$D$6)&amp;"",""))</f>
        <v/>
      </c>
      <c r="F3849" s="17">
        <f>IF(B3849="","","outreach_sent")</f>
        <v/>
      </c>
      <c r="G3849" s="17">
        <f>IF(B3849="","","")</f>
        <v/>
      </c>
      <c r="H3849" s="17">
        <f>IF(B3849="","","")</f>
        <v/>
      </c>
      <c r="I3849" s="17">
        <f>IF(B3849="","","")</f>
        <v/>
      </c>
      <c r="J3849" s="17">
        <f>IF(B3849="","","touch_1; "&amp;IFERROR(INDEX(Clay_Brands!$A$2:$FZ$601,398,Sync!$D$10)&amp;"","")&amp;"; "&amp;IFERROR(INDEX(Clay_Brands!$A$2:$FZ$601,398,Sync!$D$9)&amp;"",""))</f>
        <v/>
      </c>
      <c r="K3849" t="inlineStr">
        <is>
          <t>brand outreach touch 1</t>
        </is>
      </c>
    </row>
    <row r="3850">
      <c r="A3850" s="17">
        <f>IF(B3850="","",B3850+(15*1000+399)/10000000)</f>
        <v/>
      </c>
      <c r="B3850" s="23">
        <f>IF(AND(IFERROR(N(INDEX(Clay_Brands!$A$2:$FZ$601,399,Sync!$D$11)),0)&gt;0,IFERROR(INDEX(Clay_Brands!$A$2:$FZ$601,399,Sync!$D$5)&amp;"","")&lt;&gt;"",OR(LEFT(IFERROR(INDEX(Clay_Brands!$A$2:$FZ$601,399,Sync!$D$5)&amp;"",""),6)&lt;&gt;"SAMPLE",Config!$B$19="Y")),IFERROR(N(INDEX(Clay_Brands!$A$2:$FZ$601,399,Sync!$D$11)),0),"")</f>
        <v/>
      </c>
      <c r="C3850" s="17">
        <f>IF(B3850="","","brand")</f>
        <v/>
      </c>
      <c r="D3850" s="17">
        <f>IF(B3850="","",IFERROR(INDEX(Clay_Brands!$A$2:$FZ$601,399,Sync!$D$5)&amp;"",""))</f>
        <v/>
      </c>
      <c r="E3850" s="17">
        <f>IF(B3850="","",IFERROR(INDEX(Clay_Brands!$A$2:$FZ$601,399,Sync!$D$6)&amp;"",""))</f>
        <v/>
      </c>
      <c r="F3850" s="17">
        <f>IF(B3850="","","outreach_sent")</f>
        <v/>
      </c>
      <c r="G3850" s="17">
        <f>IF(B3850="","","")</f>
        <v/>
      </c>
      <c r="H3850" s="17">
        <f>IF(B3850="","","")</f>
        <v/>
      </c>
      <c r="I3850" s="17">
        <f>IF(B3850="","","")</f>
        <v/>
      </c>
      <c r="J3850" s="17">
        <f>IF(B3850="","","touch_1; "&amp;IFERROR(INDEX(Clay_Brands!$A$2:$FZ$601,399,Sync!$D$10)&amp;"","")&amp;"; "&amp;IFERROR(INDEX(Clay_Brands!$A$2:$FZ$601,399,Sync!$D$9)&amp;"",""))</f>
        <v/>
      </c>
      <c r="K3850" t="inlineStr">
        <is>
          <t>brand outreach touch 1</t>
        </is>
      </c>
    </row>
    <row r="3851">
      <c r="A3851" s="17">
        <f>IF(B3851="","",B3851+(15*1000+400)/10000000)</f>
        <v/>
      </c>
      <c r="B3851" s="23">
        <f>IF(AND(IFERROR(N(INDEX(Clay_Brands!$A$2:$FZ$601,400,Sync!$D$11)),0)&gt;0,IFERROR(INDEX(Clay_Brands!$A$2:$FZ$601,400,Sync!$D$5)&amp;"","")&lt;&gt;"",OR(LEFT(IFERROR(INDEX(Clay_Brands!$A$2:$FZ$601,400,Sync!$D$5)&amp;"",""),6)&lt;&gt;"SAMPLE",Config!$B$19="Y")),IFERROR(N(INDEX(Clay_Brands!$A$2:$FZ$601,400,Sync!$D$11)),0),"")</f>
        <v/>
      </c>
      <c r="C3851" s="17">
        <f>IF(B3851="","","brand")</f>
        <v/>
      </c>
      <c r="D3851" s="17">
        <f>IF(B3851="","",IFERROR(INDEX(Clay_Brands!$A$2:$FZ$601,400,Sync!$D$5)&amp;"",""))</f>
        <v/>
      </c>
      <c r="E3851" s="17">
        <f>IF(B3851="","",IFERROR(INDEX(Clay_Brands!$A$2:$FZ$601,400,Sync!$D$6)&amp;"",""))</f>
        <v/>
      </c>
      <c r="F3851" s="17">
        <f>IF(B3851="","","outreach_sent")</f>
        <v/>
      </c>
      <c r="G3851" s="17">
        <f>IF(B3851="","","")</f>
        <v/>
      </c>
      <c r="H3851" s="17">
        <f>IF(B3851="","","")</f>
        <v/>
      </c>
      <c r="I3851" s="17">
        <f>IF(B3851="","","")</f>
        <v/>
      </c>
      <c r="J3851" s="17">
        <f>IF(B3851="","","touch_1; "&amp;IFERROR(INDEX(Clay_Brands!$A$2:$FZ$601,400,Sync!$D$10)&amp;"","")&amp;"; "&amp;IFERROR(INDEX(Clay_Brands!$A$2:$FZ$601,400,Sync!$D$9)&amp;"",""))</f>
        <v/>
      </c>
      <c r="K3851" t="inlineStr">
        <is>
          <t>brand outreach touch 1</t>
        </is>
      </c>
    </row>
    <row r="3852">
      <c r="A3852" s="17">
        <f>IF(B3852="","",B3852+(15*1000+401)/10000000)</f>
        <v/>
      </c>
      <c r="B3852" s="23">
        <f>IF(AND(IFERROR(N(INDEX(Clay_Brands!$A$2:$FZ$601,401,Sync!$D$11)),0)&gt;0,IFERROR(INDEX(Clay_Brands!$A$2:$FZ$601,401,Sync!$D$5)&amp;"","")&lt;&gt;"",OR(LEFT(IFERROR(INDEX(Clay_Brands!$A$2:$FZ$601,401,Sync!$D$5)&amp;"",""),6)&lt;&gt;"SAMPLE",Config!$B$19="Y")),IFERROR(N(INDEX(Clay_Brands!$A$2:$FZ$601,401,Sync!$D$11)),0),"")</f>
        <v/>
      </c>
      <c r="C3852" s="17">
        <f>IF(B3852="","","brand")</f>
        <v/>
      </c>
      <c r="D3852" s="17">
        <f>IF(B3852="","",IFERROR(INDEX(Clay_Brands!$A$2:$FZ$601,401,Sync!$D$5)&amp;"",""))</f>
        <v/>
      </c>
      <c r="E3852" s="17">
        <f>IF(B3852="","",IFERROR(INDEX(Clay_Brands!$A$2:$FZ$601,401,Sync!$D$6)&amp;"",""))</f>
        <v/>
      </c>
      <c r="F3852" s="17">
        <f>IF(B3852="","","outreach_sent")</f>
        <v/>
      </c>
      <c r="G3852" s="17">
        <f>IF(B3852="","","")</f>
        <v/>
      </c>
      <c r="H3852" s="17">
        <f>IF(B3852="","","")</f>
        <v/>
      </c>
      <c r="I3852" s="17">
        <f>IF(B3852="","","")</f>
        <v/>
      </c>
      <c r="J3852" s="17">
        <f>IF(B3852="","","touch_1; "&amp;IFERROR(INDEX(Clay_Brands!$A$2:$FZ$601,401,Sync!$D$10)&amp;"","")&amp;"; "&amp;IFERROR(INDEX(Clay_Brands!$A$2:$FZ$601,401,Sync!$D$9)&amp;"",""))</f>
        <v/>
      </c>
      <c r="K3852" t="inlineStr">
        <is>
          <t>brand outreach touch 1</t>
        </is>
      </c>
    </row>
    <row r="3853">
      <c r="A3853" s="17">
        <f>IF(B3853="","",B3853+(15*1000+402)/10000000)</f>
        <v/>
      </c>
      <c r="B3853" s="23">
        <f>IF(AND(IFERROR(N(INDEX(Clay_Brands!$A$2:$FZ$601,402,Sync!$D$11)),0)&gt;0,IFERROR(INDEX(Clay_Brands!$A$2:$FZ$601,402,Sync!$D$5)&amp;"","")&lt;&gt;"",OR(LEFT(IFERROR(INDEX(Clay_Brands!$A$2:$FZ$601,402,Sync!$D$5)&amp;"",""),6)&lt;&gt;"SAMPLE",Config!$B$19="Y")),IFERROR(N(INDEX(Clay_Brands!$A$2:$FZ$601,402,Sync!$D$11)),0),"")</f>
        <v/>
      </c>
      <c r="C3853" s="17">
        <f>IF(B3853="","","brand")</f>
        <v/>
      </c>
      <c r="D3853" s="17">
        <f>IF(B3853="","",IFERROR(INDEX(Clay_Brands!$A$2:$FZ$601,402,Sync!$D$5)&amp;"",""))</f>
        <v/>
      </c>
      <c r="E3853" s="17">
        <f>IF(B3853="","",IFERROR(INDEX(Clay_Brands!$A$2:$FZ$601,402,Sync!$D$6)&amp;"",""))</f>
        <v/>
      </c>
      <c r="F3853" s="17">
        <f>IF(B3853="","","outreach_sent")</f>
        <v/>
      </c>
      <c r="G3853" s="17">
        <f>IF(B3853="","","")</f>
        <v/>
      </c>
      <c r="H3853" s="17">
        <f>IF(B3853="","","")</f>
        <v/>
      </c>
      <c r="I3853" s="17">
        <f>IF(B3853="","","")</f>
        <v/>
      </c>
      <c r="J3853" s="17">
        <f>IF(B3853="","","touch_1; "&amp;IFERROR(INDEX(Clay_Brands!$A$2:$FZ$601,402,Sync!$D$10)&amp;"","")&amp;"; "&amp;IFERROR(INDEX(Clay_Brands!$A$2:$FZ$601,402,Sync!$D$9)&amp;"",""))</f>
        <v/>
      </c>
      <c r="K3853" t="inlineStr">
        <is>
          <t>brand outreach touch 1</t>
        </is>
      </c>
    </row>
    <row r="3854">
      <c r="A3854" s="17">
        <f>IF(B3854="","",B3854+(15*1000+403)/10000000)</f>
        <v/>
      </c>
      <c r="B3854" s="23">
        <f>IF(AND(IFERROR(N(INDEX(Clay_Brands!$A$2:$FZ$601,403,Sync!$D$11)),0)&gt;0,IFERROR(INDEX(Clay_Brands!$A$2:$FZ$601,403,Sync!$D$5)&amp;"","")&lt;&gt;"",OR(LEFT(IFERROR(INDEX(Clay_Brands!$A$2:$FZ$601,403,Sync!$D$5)&amp;"",""),6)&lt;&gt;"SAMPLE",Config!$B$19="Y")),IFERROR(N(INDEX(Clay_Brands!$A$2:$FZ$601,403,Sync!$D$11)),0),"")</f>
        <v/>
      </c>
      <c r="C3854" s="17">
        <f>IF(B3854="","","brand")</f>
        <v/>
      </c>
      <c r="D3854" s="17">
        <f>IF(B3854="","",IFERROR(INDEX(Clay_Brands!$A$2:$FZ$601,403,Sync!$D$5)&amp;"",""))</f>
        <v/>
      </c>
      <c r="E3854" s="17">
        <f>IF(B3854="","",IFERROR(INDEX(Clay_Brands!$A$2:$FZ$601,403,Sync!$D$6)&amp;"",""))</f>
        <v/>
      </c>
      <c r="F3854" s="17">
        <f>IF(B3854="","","outreach_sent")</f>
        <v/>
      </c>
      <c r="G3854" s="17">
        <f>IF(B3854="","","")</f>
        <v/>
      </c>
      <c r="H3854" s="17">
        <f>IF(B3854="","","")</f>
        <v/>
      </c>
      <c r="I3854" s="17">
        <f>IF(B3854="","","")</f>
        <v/>
      </c>
      <c r="J3854" s="17">
        <f>IF(B3854="","","touch_1; "&amp;IFERROR(INDEX(Clay_Brands!$A$2:$FZ$601,403,Sync!$D$10)&amp;"","")&amp;"; "&amp;IFERROR(INDEX(Clay_Brands!$A$2:$FZ$601,403,Sync!$D$9)&amp;"",""))</f>
        <v/>
      </c>
      <c r="K3854" t="inlineStr">
        <is>
          <t>brand outreach touch 1</t>
        </is>
      </c>
    </row>
    <row r="3855">
      <c r="A3855" s="17">
        <f>IF(B3855="","",B3855+(15*1000+404)/10000000)</f>
        <v/>
      </c>
      <c r="B3855" s="23">
        <f>IF(AND(IFERROR(N(INDEX(Clay_Brands!$A$2:$FZ$601,404,Sync!$D$11)),0)&gt;0,IFERROR(INDEX(Clay_Brands!$A$2:$FZ$601,404,Sync!$D$5)&amp;"","")&lt;&gt;"",OR(LEFT(IFERROR(INDEX(Clay_Brands!$A$2:$FZ$601,404,Sync!$D$5)&amp;"",""),6)&lt;&gt;"SAMPLE",Config!$B$19="Y")),IFERROR(N(INDEX(Clay_Brands!$A$2:$FZ$601,404,Sync!$D$11)),0),"")</f>
        <v/>
      </c>
      <c r="C3855" s="17">
        <f>IF(B3855="","","brand")</f>
        <v/>
      </c>
      <c r="D3855" s="17">
        <f>IF(B3855="","",IFERROR(INDEX(Clay_Brands!$A$2:$FZ$601,404,Sync!$D$5)&amp;"",""))</f>
        <v/>
      </c>
      <c r="E3855" s="17">
        <f>IF(B3855="","",IFERROR(INDEX(Clay_Brands!$A$2:$FZ$601,404,Sync!$D$6)&amp;"",""))</f>
        <v/>
      </c>
      <c r="F3855" s="17">
        <f>IF(B3855="","","outreach_sent")</f>
        <v/>
      </c>
      <c r="G3855" s="17">
        <f>IF(B3855="","","")</f>
        <v/>
      </c>
      <c r="H3855" s="17">
        <f>IF(B3855="","","")</f>
        <v/>
      </c>
      <c r="I3855" s="17">
        <f>IF(B3855="","","")</f>
        <v/>
      </c>
      <c r="J3855" s="17">
        <f>IF(B3855="","","touch_1; "&amp;IFERROR(INDEX(Clay_Brands!$A$2:$FZ$601,404,Sync!$D$10)&amp;"","")&amp;"; "&amp;IFERROR(INDEX(Clay_Brands!$A$2:$FZ$601,404,Sync!$D$9)&amp;"",""))</f>
        <v/>
      </c>
      <c r="K3855" t="inlineStr">
        <is>
          <t>brand outreach touch 1</t>
        </is>
      </c>
    </row>
    <row r="3856">
      <c r="A3856" s="17">
        <f>IF(B3856="","",B3856+(15*1000+405)/10000000)</f>
        <v/>
      </c>
      <c r="B3856" s="23">
        <f>IF(AND(IFERROR(N(INDEX(Clay_Brands!$A$2:$FZ$601,405,Sync!$D$11)),0)&gt;0,IFERROR(INDEX(Clay_Brands!$A$2:$FZ$601,405,Sync!$D$5)&amp;"","")&lt;&gt;"",OR(LEFT(IFERROR(INDEX(Clay_Brands!$A$2:$FZ$601,405,Sync!$D$5)&amp;"",""),6)&lt;&gt;"SAMPLE",Config!$B$19="Y")),IFERROR(N(INDEX(Clay_Brands!$A$2:$FZ$601,405,Sync!$D$11)),0),"")</f>
        <v/>
      </c>
      <c r="C3856" s="17">
        <f>IF(B3856="","","brand")</f>
        <v/>
      </c>
      <c r="D3856" s="17">
        <f>IF(B3856="","",IFERROR(INDEX(Clay_Brands!$A$2:$FZ$601,405,Sync!$D$5)&amp;"",""))</f>
        <v/>
      </c>
      <c r="E3856" s="17">
        <f>IF(B3856="","",IFERROR(INDEX(Clay_Brands!$A$2:$FZ$601,405,Sync!$D$6)&amp;"",""))</f>
        <v/>
      </c>
      <c r="F3856" s="17">
        <f>IF(B3856="","","outreach_sent")</f>
        <v/>
      </c>
      <c r="G3856" s="17">
        <f>IF(B3856="","","")</f>
        <v/>
      </c>
      <c r="H3856" s="17">
        <f>IF(B3856="","","")</f>
        <v/>
      </c>
      <c r="I3856" s="17">
        <f>IF(B3856="","","")</f>
        <v/>
      </c>
      <c r="J3856" s="17">
        <f>IF(B3856="","","touch_1; "&amp;IFERROR(INDEX(Clay_Brands!$A$2:$FZ$601,405,Sync!$D$10)&amp;"","")&amp;"; "&amp;IFERROR(INDEX(Clay_Brands!$A$2:$FZ$601,405,Sync!$D$9)&amp;"",""))</f>
        <v/>
      </c>
      <c r="K3856" t="inlineStr">
        <is>
          <t>brand outreach touch 1</t>
        </is>
      </c>
    </row>
    <row r="3857">
      <c r="A3857" s="17">
        <f>IF(B3857="","",B3857+(15*1000+406)/10000000)</f>
        <v/>
      </c>
      <c r="B3857" s="23">
        <f>IF(AND(IFERROR(N(INDEX(Clay_Brands!$A$2:$FZ$601,406,Sync!$D$11)),0)&gt;0,IFERROR(INDEX(Clay_Brands!$A$2:$FZ$601,406,Sync!$D$5)&amp;"","")&lt;&gt;"",OR(LEFT(IFERROR(INDEX(Clay_Brands!$A$2:$FZ$601,406,Sync!$D$5)&amp;"",""),6)&lt;&gt;"SAMPLE",Config!$B$19="Y")),IFERROR(N(INDEX(Clay_Brands!$A$2:$FZ$601,406,Sync!$D$11)),0),"")</f>
        <v/>
      </c>
      <c r="C3857" s="17">
        <f>IF(B3857="","","brand")</f>
        <v/>
      </c>
      <c r="D3857" s="17">
        <f>IF(B3857="","",IFERROR(INDEX(Clay_Brands!$A$2:$FZ$601,406,Sync!$D$5)&amp;"",""))</f>
        <v/>
      </c>
      <c r="E3857" s="17">
        <f>IF(B3857="","",IFERROR(INDEX(Clay_Brands!$A$2:$FZ$601,406,Sync!$D$6)&amp;"",""))</f>
        <v/>
      </c>
      <c r="F3857" s="17">
        <f>IF(B3857="","","outreach_sent")</f>
        <v/>
      </c>
      <c r="G3857" s="17">
        <f>IF(B3857="","","")</f>
        <v/>
      </c>
      <c r="H3857" s="17">
        <f>IF(B3857="","","")</f>
        <v/>
      </c>
      <c r="I3857" s="17">
        <f>IF(B3857="","","")</f>
        <v/>
      </c>
      <c r="J3857" s="17">
        <f>IF(B3857="","","touch_1; "&amp;IFERROR(INDEX(Clay_Brands!$A$2:$FZ$601,406,Sync!$D$10)&amp;"","")&amp;"; "&amp;IFERROR(INDEX(Clay_Brands!$A$2:$FZ$601,406,Sync!$D$9)&amp;"",""))</f>
        <v/>
      </c>
      <c r="K3857" t="inlineStr">
        <is>
          <t>brand outreach touch 1</t>
        </is>
      </c>
    </row>
    <row r="3858">
      <c r="A3858" s="17">
        <f>IF(B3858="","",B3858+(15*1000+407)/10000000)</f>
        <v/>
      </c>
      <c r="B3858" s="23">
        <f>IF(AND(IFERROR(N(INDEX(Clay_Brands!$A$2:$FZ$601,407,Sync!$D$11)),0)&gt;0,IFERROR(INDEX(Clay_Brands!$A$2:$FZ$601,407,Sync!$D$5)&amp;"","")&lt;&gt;"",OR(LEFT(IFERROR(INDEX(Clay_Brands!$A$2:$FZ$601,407,Sync!$D$5)&amp;"",""),6)&lt;&gt;"SAMPLE",Config!$B$19="Y")),IFERROR(N(INDEX(Clay_Brands!$A$2:$FZ$601,407,Sync!$D$11)),0),"")</f>
        <v/>
      </c>
      <c r="C3858" s="17">
        <f>IF(B3858="","","brand")</f>
        <v/>
      </c>
      <c r="D3858" s="17">
        <f>IF(B3858="","",IFERROR(INDEX(Clay_Brands!$A$2:$FZ$601,407,Sync!$D$5)&amp;"",""))</f>
        <v/>
      </c>
      <c r="E3858" s="17">
        <f>IF(B3858="","",IFERROR(INDEX(Clay_Brands!$A$2:$FZ$601,407,Sync!$D$6)&amp;"",""))</f>
        <v/>
      </c>
      <c r="F3858" s="17">
        <f>IF(B3858="","","outreach_sent")</f>
        <v/>
      </c>
      <c r="G3858" s="17">
        <f>IF(B3858="","","")</f>
        <v/>
      </c>
      <c r="H3858" s="17">
        <f>IF(B3858="","","")</f>
        <v/>
      </c>
      <c r="I3858" s="17">
        <f>IF(B3858="","","")</f>
        <v/>
      </c>
      <c r="J3858" s="17">
        <f>IF(B3858="","","touch_1; "&amp;IFERROR(INDEX(Clay_Brands!$A$2:$FZ$601,407,Sync!$D$10)&amp;"","")&amp;"; "&amp;IFERROR(INDEX(Clay_Brands!$A$2:$FZ$601,407,Sync!$D$9)&amp;"",""))</f>
        <v/>
      </c>
      <c r="K3858" t="inlineStr">
        <is>
          <t>brand outreach touch 1</t>
        </is>
      </c>
    </row>
    <row r="3859">
      <c r="A3859" s="17">
        <f>IF(B3859="","",B3859+(15*1000+408)/10000000)</f>
        <v/>
      </c>
      <c r="B3859" s="23">
        <f>IF(AND(IFERROR(N(INDEX(Clay_Brands!$A$2:$FZ$601,408,Sync!$D$11)),0)&gt;0,IFERROR(INDEX(Clay_Brands!$A$2:$FZ$601,408,Sync!$D$5)&amp;"","")&lt;&gt;"",OR(LEFT(IFERROR(INDEX(Clay_Brands!$A$2:$FZ$601,408,Sync!$D$5)&amp;"",""),6)&lt;&gt;"SAMPLE",Config!$B$19="Y")),IFERROR(N(INDEX(Clay_Brands!$A$2:$FZ$601,408,Sync!$D$11)),0),"")</f>
        <v/>
      </c>
      <c r="C3859" s="17">
        <f>IF(B3859="","","brand")</f>
        <v/>
      </c>
      <c r="D3859" s="17">
        <f>IF(B3859="","",IFERROR(INDEX(Clay_Brands!$A$2:$FZ$601,408,Sync!$D$5)&amp;"",""))</f>
        <v/>
      </c>
      <c r="E3859" s="17">
        <f>IF(B3859="","",IFERROR(INDEX(Clay_Brands!$A$2:$FZ$601,408,Sync!$D$6)&amp;"",""))</f>
        <v/>
      </c>
      <c r="F3859" s="17">
        <f>IF(B3859="","","outreach_sent")</f>
        <v/>
      </c>
      <c r="G3859" s="17">
        <f>IF(B3859="","","")</f>
        <v/>
      </c>
      <c r="H3859" s="17">
        <f>IF(B3859="","","")</f>
        <v/>
      </c>
      <c r="I3859" s="17">
        <f>IF(B3859="","","")</f>
        <v/>
      </c>
      <c r="J3859" s="17">
        <f>IF(B3859="","","touch_1; "&amp;IFERROR(INDEX(Clay_Brands!$A$2:$FZ$601,408,Sync!$D$10)&amp;"","")&amp;"; "&amp;IFERROR(INDEX(Clay_Brands!$A$2:$FZ$601,408,Sync!$D$9)&amp;"",""))</f>
        <v/>
      </c>
      <c r="K3859" t="inlineStr">
        <is>
          <t>brand outreach touch 1</t>
        </is>
      </c>
    </row>
    <row r="3860">
      <c r="A3860" s="17">
        <f>IF(B3860="","",B3860+(15*1000+409)/10000000)</f>
        <v/>
      </c>
      <c r="B3860" s="23">
        <f>IF(AND(IFERROR(N(INDEX(Clay_Brands!$A$2:$FZ$601,409,Sync!$D$11)),0)&gt;0,IFERROR(INDEX(Clay_Brands!$A$2:$FZ$601,409,Sync!$D$5)&amp;"","")&lt;&gt;"",OR(LEFT(IFERROR(INDEX(Clay_Brands!$A$2:$FZ$601,409,Sync!$D$5)&amp;"",""),6)&lt;&gt;"SAMPLE",Config!$B$19="Y")),IFERROR(N(INDEX(Clay_Brands!$A$2:$FZ$601,409,Sync!$D$11)),0),"")</f>
        <v/>
      </c>
      <c r="C3860" s="17">
        <f>IF(B3860="","","brand")</f>
        <v/>
      </c>
      <c r="D3860" s="17">
        <f>IF(B3860="","",IFERROR(INDEX(Clay_Brands!$A$2:$FZ$601,409,Sync!$D$5)&amp;"",""))</f>
        <v/>
      </c>
      <c r="E3860" s="17">
        <f>IF(B3860="","",IFERROR(INDEX(Clay_Brands!$A$2:$FZ$601,409,Sync!$D$6)&amp;"",""))</f>
        <v/>
      </c>
      <c r="F3860" s="17">
        <f>IF(B3860="","","outreach_sent")</f>
        <v/>
      </c>
      <c r="G3860" s="17">
        <f>IF(B3860="","","")</f>
        <v/>
      </c>
      <c r="H3860" s="17">
        <f>IF(B3860="","","")</f>
        <v/>
      </c>
      <c r="I3860" s="17">
        <f>IF(B3860="","","")</f>
        <v/>
      </c>
      <c r="J3860" s="17">
        <f>IF(B3860="","","touch_1; "&amp;IFERROR(INDEX(Clay_Brands!$A$2:$FZ$601,409,Sync!$D$10)&amp;"","")&amp;"; "&amp;IFERROR(INDEX(Clay_Brands!$A$2:$FZ$601,409,Sync!$D$9)&amp;"",""))</f>
        <v/>
      </c>
      <c r="K3860" t="inlineStr">
        <is>
          <t>brand outreach touch 1</t>
        </is>
      </c>
    </row>
    <row r="3861">
      <c r="A3861" s="17">
        <f>IF(B3861="","",B3861+(15*1000+410)/10000000)</f>
        <v/>
      </c>
      <c r="B3861" s="23">
        <f>IF(AND(IFERROR(N(INDEX(Clay_Brands!$A$2:$FZ$601,410,Sync!$D$11)),0)&gt;0,IFERROR(INDEX(Clay_Brands!$A$2:$FZ$601,410,Sync!$D$5)&amp;"","")&lt;&gt;"",OR(LEFT(IFERROR(INDEX(Clay_Brands!$A$2:$FZ$601,410,Sync!$D$5)&amp;"",""),6)&lt;&gt;"SAMPLE",Config!$B$19="Y")),IFERROR(N(INDEX(Clay_Brands!$A$2:$FZ$601,410,Sync!$D$11)),0),"")</f>
        <v/>
      </c>
      <c r="C3861" s="17">
        <f>IF(B3861="","","brand")</f>
        <v/>
      </c>
      <c r="D3861" s="17">
        <f>IF(B3861="","",IFERROR(INDEX(Clay_Brands!$A$2:$FZ$601,410,Sync!$D$5)&amp;"",""))</f>
        <v/>
      </c>
      <c r="E3861" s="17">
        <f>IF(B3861="","",IFERROR(INDEX(Clay_Brands!$A$2:$FZ$601,410,Sync!$D$6)&amp;"",""))</f>
        <v/>
      </c>
      <c r="F3861" s="17">
        <f>IF(B3861="","","outreach_sent")</f>
        <v/>
      </c>
      <c r="G3861" s="17">
        <f>IF(B3861="","","")</f>
        <v/>
      </c>
      <c r="H3861" s="17">
        <f>IF(B3861="","","")</f>
        <v/>
      </c>
      <c r="I3861" s="17">
        <f>IF(B3861="","","")</f>
        <v/>
      </c>
      <c r="J3861" s="17">
        <f>IF(B3861="","","touch_1; "&amp;IFERROR(INDEX(Clay_Brands!$A$2:$FZ$601,410,Sync!$D$10)&amp;"","")&amp;"; "&amp;IFERROR(INDEX(Clay_Brands!$A$2:$FZ$601,410,Sync!$D$9)&amp;"",""))</f>
        <v/>
      </c>
      <c r="K3861" t="inlineStr">
        <is>
          <t>brand outreach touch 1</t>
        </is>
      </c>
    </row>
    <row r="3862">
      <c r="A3862" s="17">
        <f>IF(B3862="","",B3862+(15*1000+411)/10000000)</f>
        <v/>
      </c>
      <c r="B3862" s="23">
        <f>IF(AND(IFERROR(N(INDEX(Clay_Brands!$A$2:$FZ$601,411,Sync!$D$11)),0)&gt;0,IFERROR(INDEX(Clay_Brands!$A$2:$FZ$601,411,Sync!$D$5)&amp;"","")&lt;&gt;"",OR(LEFT(IFERROR(INDEX(Clay_Brands!$A$2:$FZ$601,411,Sync!$D$5)&amp;"",""),6)&lt;&gt;"SAMPLE",Config!$B$19="Y")),IFERROR(N(INDEX(Clay_Brands!$A$2:$FZ$601,411,Sync!$D$11)),0),"")</f>
        <v/>
      </c>
      <c r="C3862" s="17">
        <f>IF(B3862="","","brand")</f>
        <v/>
      </c>
      <c r="D3862" s="17">
        <f>IF(B3862="","",IFERROR(INDEX(Clay_Brands!$A$2:$FZ$601,411,Sync!$D$5)&amp;"",""))</f>
        <v/>
      </c>
      <c r="E3862" s="17">
        <f>IF(B3862="","",IFERROR(INDEX(Clay_Brands!$A$2:$FZ$601,411,Sync!$D$6)&amp;"",""))</f>
        <v/>
      </c>
      <c r="F3862" s="17">
        <f>IF(B3862="","","outreach_sent")</f>
        <v/>
      </c>
      <c r="G3862" s="17">
        <f>IF(B3862="","","")</f>
        <v/>
      </c>
      <c r="H3862" s="17">
        <f>IF(B3862="","","")</f>
        <v/>
      </c>
      <c r="I3862" s="17">
        <f>IF(B3862="","","")</f>
        <v/>
      </c>
      <c r="J3862" s="17">
        <f>IF(B3862="","","touch_1; "&amp;IFERROR(INDEX(Clay_Brands!$A$2:$FZ$601,411,Sync!$D$10)&amp;"","")&amp;"; "&amp;IFERROR(INDEX(Clay_Brands!$A$2:$FZ$601,411,Sync!$D$9)&amp;"",""))</f>
        <v/>
      </c>
      <c r="K3862" t="inlineStr">
        <is>
          <t>brand outreach touch 1</t>
        </is>
      </c>
    </row>
    <row r="3863">
      <c r="A3863" s="17">
        <f>IF(B3863="","",B3863+(15*1000+412)/10000000)</f>
        <v/>
      </c>
      <c r="B3863" s="23">
        <f>IF(AND(IFERROR(N(INDEX(Clay_Brands!$A$2:$FZ$601,412,Sync!$D$11)),0)&gt;0,IFERROR(INDEX(Clay_Brands!$A$2:$FZ$601,412,Sync!$D$5)&amp;"","")&lt;&gt;"",OR(LEFT(IFERROR(INDEX(Clay_Brands!$A$2:$FZ$601,412,Sync!$D$5)&amp;"",""),6)&lt;&gt;"SAMPLE",Config!$B$19="Y")),IFERROR(N(INDEX(Clay_Brands!$A$2:$FZ$601,412,Sync!$D$11)),0),"")</f>
        <v/>
      </c>
      <c r="C3863" s="17">
        <f>IF(B3863="","","brand")</f>
        <v/>
      </c>
      <c r="D3863" s="17">
        <f>IF(B3863="","",IFERROR(INDEX(Clay_Brands!$A$2:$FZ$601,412,Sync!$D$5)&amp;"",""))</f>
        <v/>
      </c>
      <c r="E3863" s="17">
        <f>IF(B3863="","",IFERROR(INDEX(Clay_Brands!$A$2:$FZ$601,412,Sync!$D$6)&amp;"",""))</f>
        <v/>
      </c>
      <c r="F3863" s="17">
        <f>IF(B3863="","","outreach_sent")</f>
        <v/>
      </c>
      <c r="G3863" s="17">
        <f>IF(B3863="","","")</f>
        <v/>
      </c>
      <c r="H3863" s="17">
        <f>IF(B3863="","","")</f>
        <v/>
      </c>
      <c r="I3863" s="17">
        <f>IF(B3863="","","")</f>
        <v/>
      </c>
      <c r="J3863" s="17">
        <f>IF(B3863="","","touch_1; "&amp;IFERROR(INDEX(Clay_Brands!$A$2:$FZ$601,412,Sync!$D$10)&amp;"","")&amp;"; "&amp;IFERROR(INDEX(Clay_Brands!$A$2:$FZ$601,412,Sync!$D$9)&amp;"",""))</f>
        <v/>
      </c>
      <c r="K3863" t="inlineStr">
        <is>
          <t>brand outreach touch 1</t>
        </is>
      </c>
    </row>
    <row r="3864">
      <c r="A3864" s="17">
        <f>IF(B3864="","",B3864+(15*1000+413)/10000000)</f>
        <v/>
      </c>
      <c r="B3864" s="23">
        <f>IF(AND(IFERROR(N(INDEX(Clay_Brands!$A$2:$FZ$601,413,Sync!$D$11)),0)&gt;0,IFERROR(INDEX(Clay_Brands!$A$2:$FZ$601,413,Sync!$D$5)&amp;"","")&lt;&gt;"",OR(LEFT(IFERROR(INDEX(Clay_Brands!$A$2:$FZ$601,413,Sync!$D$5)&amp;"",""),6)&lt;&gt;"SAMPLE",Config!$B$19="Y")),IFERROR(N(INDEX(Clay_Brands!$A$2:$FZ$601,413,Sync!$D$11)),0),"")</f>
        <v/>
      </c>
      <c r="C3864" s="17">
        <f>IF(B3864="","","brand")</f>
        <v/>
      </c>
      <c r="D3864" s="17">
        <f>IF(B3864="","",IFERROR(INDEX(Clay_Brands!$A$2:$FZ$601,413,Sync!$D$5)&amp;"",""))</f>
        <v/>
      </c>
      <c r="E3864" s="17">
        <f>IF(B3864="","",IFERROR(INDEX(Clay_Brands!$A$2:$FZ$601,413,Sync!$D$6)&amp;"",""))</f>
        <v/>
      </c>
      <c r="F3864" s="17">
        <f>IF(B3864="","","outreach_sent")</f>
        <v/>
      </c>
      <c r="G3864" s="17">
        <f>IF(B3864="","","")</f>
        <v/>
      </c>
      <c r="H3864" s="17">
        <f>IF(B3864="","","")</f>
        <v/>
      </c>
      <c r="I3864" s="17">
        <f>IF(B3864="","","")</f>
        <v/>
      </c>
      <c r="J3864" s="17">
        <f>IF(B3864="","","touch_1; "&amp;IFERROR(INDEX(Clay_Brands!$A$2:$FZ$601,413,Sync!$D$10)&amp;"","")&amp;"; "&amp;IFERROR(INDEX(Clay_Brands!$A$2:$FZ$601,413,Sync!$D$9)&amp;"",""))</f>
        <v/>
      </c>
      <c r="K3864" t="inlineStr">
        <is>
          <t>brand outreach touch 1</t>
        </is>
      </c>
    </row>
    <row r="3865">
      <c r="A3865" s="17">
        <f>IF(B3865="","",B3865+(15*1000+414)/10000000)</f>
        <v/>
      </c>
      <c r="B3865" s="23">
        <f>IF(AND(IFERROR(N(INDEX(Clay_Brands!$A$2:$FZ$601,414,Sync!$D$11)),0)&gt;0,IFERROR(INDEX(Clay_Brands!$A$2:$FZ$601,414,Sync!$D$5)&amp;"","")&lt;&gt;"",OR(LEFT(IFERROR(INDEX(Clay_Brands!$A$2:$FZ$601,414,Sync!$D$5)&amp;"",""),6)&lt;&gt;"SAMPLE",Config!$B$19="Y")),IFERROR(N(INDEX(Clay_Brands!$A$2:$FZ$601,414,Sync!$D$11)),0),"")</f>
        <v/>
      </c>
      <c r="C3865" s="17">
        <f>IF(B3865="","","brand")</f>
        <v/>
      </c>
      <c r="D3865" s="17">
        <f>IF(B3865="","",IFERROR(INDEX(Clay_Brands!$A$2:$FZ$601,414,Sync!$D$5)&amp;"",""))</f>
        <v/>
      </c>
      <c r="E3865" s="17">
        <f>IF(B3865="","",IFERROR(INDEX(Clay_Brands!$A$2:$FZ$601,414,Sync!$D$6)&amp;"",""))</f>
        <v/>
      </c>
      <c r="F3865" s="17">
        <f>IF(B3865="","","outreach_sent")</f>
        <v/>
      </c>
      <c r="G3865" s="17">
        <f>IF(B3865="","","")</f>
        <v/>
      </c>
      <c r="H3865" s="17">
        <f>IF(B3865="","","")</f>
        <v/>
      </c>
      <c r="I3865" s="17">
        <f>IF(B3865="","","")</f>
        <v/>
      </c>
      <c r="J3865" s="17">
        <f>IF(B3865="","","touch_1; "&amp;IFERROR(INDEX(Clay_Brands!$A$2:$FZ$601,414,Sync!$D$10)&amp;"","")&amp;"; "&amp;IFERROR(INDEX(Clay_Brands!$A$2:$FZ$601,414,Sync!$D$9)&amp;"",""))</f>
        <v/>
      </c>
      <c r="K3865" t="inlineStr">
        <is>
          <t>brand outreach touch 1</t>
        </is>
      </c>
    </row>
    <row r="3866">
      <c r="A3866" s="17">
        <f>IF(B3866="","",B3866+(15*1000+415)/10000000)</f>
        <v/>
      </c>
      <c r="B3866" s="23">
        <f>IF(AND(IFERROR(N(INDEX(Clay_Brands!$A$2:$FZ$601,415,Sync!$D$11)),0)&gt;0,IFERROR(INDEX(Clay_Brands!$A$2:$FZ$601,415,Sync!$D$5)&amp;"","")&lt;&gt;"",OR(LEFT(IFERROR(INDEX(Clay_Brands!$A$2:$FZ$601,415,Sync!$D$5)&amp;"",""),6)&lt;&gt;"SAMPLE",Config!$B$19="Y")),IFERROR(N(INDEX(Clay_Brands!$A$2:$FZ$601,415,Sync!$D$11)),0),"")</f>
        <v/>
      </c>
      <c r="C3866" s="17">
        <f>IF(B3866="","","brand")</f>
        <v/>
      </c>
      <c r="D3866" s="17">
        <f>IF(B3866="","",IFERROR(INDEX(Clay_Brands!$A$2:$FZ$601,415,Sync!$D$5)&amp;"",""))</f>
        <v/>
      </c>
      <c r="E3866" s="17">
        <f>IF(B3866="","",IFERROR(INDEX(Clay_Brands!$A$2:$FZ$601,415,Sync!$D$6)&amp;"",""))</f>
        <v/>
      </c>
      <c r="F3866" s="17">
        <f>IF(B3866="","","outreach_sent")</f>
        <v/>
      </c>
      <c r="G3866" s="17">
        <f>IF(B3866="","","")</f>
        <v/>
      </c>
      <c r="H3866" s="17">
        <f>IF(B3866="","","")</f>
        <v/>
      </c>
      <c r="I3866" s="17">
        <f>IF(B3866="","","")</f>
        <v/>
      </c>
      <c r="J3866" s="17">
        <f>IF(B3866="","","touch_1; "&amp;IFERROR(INDEX(Clay_Brands!$A$2:$FZ$601,415,Sync!$D$10)&amp;"","")&amp;"; "&amp;IFERROR(INDEX(Clay_Brands!$A$2:$FZ$601,415,Sync!$D$9)&amp;"",""))</f>
        <v/>
      </c>
      <c r="K3866" t="inlineStr">
        <is>
          <t>brand outreach touch 1</t>
        </is>
      </c>
    </row>
    <row r="3867">
      <c r="A3867" s="17">
        <f>IF(B3867="","",B3867+(15*1000+416)/10000000)</f>
        <v/>
      </c>
      <c r="B3867" s="23">
        <f>IF(AND(IFERROR(N(INDEX(Clay_Brands!$A$2:$FZ$601,416,Sync!$D$11)),0)&gt;0,IFERROR(INDEX(Clay_Brands!$A$2:$FZ$601,416,Sync!$D$5)&amp;"","")&lt;&gt;"",OR(LEFT(IFERROR(INDEX(Clay_Brands!$A$2:$FZ$601,416,Sync!$D$5)&amp;"",""),6)&lt;&gt;"SAMPLE",Config!$B$19="Y")),IFERROR(N(INDEX(Clay_Brands!$A$2:$FZ$601,416,Sync!$D$11)),0),"")</f>
        <v/>
      </c>
      <c r="C3867" s="17">
        <f>IF(B3867="","","brand")</f>
        <v/>
      </c>
      <c r="D3867" s="17">
        <f>IF(B3867="","",IFERROR(INDEX(Clay_Brands!$A$2:$FZ$601,416,Sync!$D$5)&amp;"",""))</f>
        <v/>
      </c>
      <c r="E3867" s="17">
        <f>IF(B3867="","",IFERROR(INDEX(Clay_Brands!$A$2:$FZ$601,416,Sync!$D$6)&amp;"",""))</f>
        <v/>
      </c>
      <c r="F3867" s="17">
        <f>IF(B3867="","","outreach_sent")</f>
        <v/>
      </c>
      <c r="G3867" s="17">
        <f>IF(B3867="","","")</f>
        <v/>
      </c>
      <c r="H3867" s="17">
        <f>IF(B3867="","","")</f>
        <v/>
      </c>
      <c r="I3867" s="17">
        <f>IF(B3867="","","")</f>
        <v/>
      </c>
      <c r="J3867" s="17">
        <f>IF(B3867="","","touch_1; "&amp;IFERROR(INDEX(Clay_Brands!$A$2:$FZ$601,416,Sync!$D$10)&amp;"","")&amp;"; "&amp;IFERROR(INDEX(Clay_Brands!$A$2:$FZ$601,416,Sync!$D$9)&amp;"",""))</f>
        <v/>
      </c>
      <c r="K3867" t="inlineStr">
        <is>
          <t>brand outreach touch 1</t>
        </is>
      </c>
    </row>
    <row r="3868">
      <c r="A3868" s="17">
        <f>IF(B3868="","",B3868+(15*1000+417)/10000000)</f>
        <v/>
      </c>
      <c r="B3868" s="23">
        <f>IF(AND(IFERROR(N(INDEX(Clay_Brands!$A$2:$FZ$601,417,Sync!$D$11)),0)&gt;0,IFERROR(INDEX(Clay_Brands!$A$2:$FZ$601,417,Sync!$D$5)&amp;"","")&lt;&gt;"",OR(LEFT(IFERROR(INDEX(Clay_Brands!$A$2:$FZ$601,417,Sync!$D$5)&amp;"",""),6)&lt;&gt;"SAMPLE",Config!$B$19="Y")),IFERROR(N(INDEX(Clay_Brands!$A$2:$FZ$601,417,Sync!$D$11)),0),"")</f>
        <v/>
      </c>
      <c r="C3868" s="17">
        <f>IF(B3868="","","brand")</f>
        <v/>
      </c>
      <c r="D3868" s="17">
        <f>IF(B3868="","",IFERROR(INDEX(Clay_Brands!$A$2:$FZ$601,417,Sync!$D$5)&amp;"",""))</f>
        <v/>
      </c>
      <c r="E3868" s="17">
        <f>IF(B3868="","",IFERROR(INDEX(Clay_Brands!$A$2:$FZ$601,417,Sync!$D$6)&amp;"",""))</f>
        <v/>
      </c>
      <c r="F3868" s="17">
        <f>IF(B3868="","","outreach_sent")</f>
        <v/>
      </c>
      <c r="G3868" s="17">
        <f>IF(B3868="","","")</f>
        <v/>
      </c>
      <c r="H3868" s="17">
        <f>IF(B3868="","","")</f>
        <v/>
      </c>
      <c r="I3868" s="17">
        <f>IF(B3868="","","")</f>
        <v/>
      </c>
      <c r="J3868" s="17">
        <f>IF(B3868="","","touch_1; "&amp;IFERROR(INDEX(Clay_Brands!$A$2:$FZ$601,417,Sync!$D$10)&amp;"","")&amp;"; "&amp;IFERROR(INDEX(Clay_Brands!$A$2:$FZ$601,417,Sync!$D$9)&amp;"",""))</f>
        <v/>
      </c>
      <c r="K3868" t="inlineStr">
        <is>
          <t>brand outreach touch 1</t>
        </is>
      </c>
    </row>
    <row r="3869">
      <c r="A3869" s="17">
        <f>IF(B3869="","",B3869+(15*1000+418)/10000000)</f>
        <v/>
      </c>
      <c r="B3869" s="23">
        <f>IF(AND(IFERROR(N(INDEX(Clay_Brands!$A$2:$FZ$601,418,Sync!$D$11)),0)&gt;0,IFERROR(INDEX(Clay_Brands!$A$2:$FZ$601,418,Sync!$D$5)&amp;"","")&lt;&gt;"",OR(LEFT(IFERROR(INDEX(Clay_Brands!$A$2:$FZ$601,418,Sync!$D$5)&amp;"",""),6)&lt;&gt;"SAMPLE",Config!$B$19="Y")),IFERROR(N(INDEX(Clay_Brands!$A$2:$FZ$601,418,Sync!$D$11)),0),"")</f>
        <v/>
      </c>
      <c r="C3869" s="17">
        <f>IF(B3869="","","brand")</f>
        <v/>
      </c>
      <c r="D3869" s="17">
        <f>IF(B3869="","",IFERROR(INDEX(Clay_Brands!$A$2:$FZ$601,418,Sync!$D$5)&amp;"",""))</f>
        <v/>
      </c>
      <c r="E3869" s="17">
        <f>IF(B3869="","",IFERROR(INDEX(Clay_Brands!$A$2:$FZ$601,418,Sync!$D$6)&amp;"",""))</f>
        <v/>
      </c>
      <c r="F3869" s="17">
        <f>IF(B3869="","","outreach_sent")</f>
        <v/>
      </c>
      <c r="G3869" s="17">
        <f>IF(B3869="","","")</f>
        <v/>
      </c>
      <c r="H3869" s="17">
        <f>IF(B3869="","","")</f>
        <v/>
      </c>
      <c r="I3869" s="17">
        <f>IF(B3869="","","")</f>
        <v/>
      </c>
      <c r="J3869" s="17">
        <f>IF(B3869="","","touch_1; "&amp;IFERROR(INDEX(Clay_Brands!$A$2:$FZ$601,418,Sync!$D$10)&amp;"","")&amp;"; "&amp;IFERROR(INDEX(Clay_Brands!$A$2:$FZ$601,418,Sync!$D$9)&amp;"",""))</f>
        <v/>
      </c>
      <c r="K3869" t="inlineStr">
        <is>
          <t>brand outreach touch 1</t>
        </is>
      </c>
    </row>
    <row r="3870">
      <c r="A3870" s="17">
        <f>IF(B3870="","",B3870+(15*1000+419)/10000000)</f>
        <v/>
      </c>
      <c r="B3870" s="23">
        <f>IF(AND(IFERROR(N(INDEX(Clay_Brands!$A$2:$FZ$601,419,Sync!$D$11)),0)&gt;0,IFERROR(INDEX(Clay_Brands!$A$2:$FZ$601,419,Sync!$D$5)&amp;"","")&lt;&gt;"",OR(LEFT(IFERROR(INDEX(Clay_Brands!$A$2:$FZ$601,419,Sync!$D$5)&amp;"",""),6)&lt;&gt;"SAMPLE",Config!$B$19="Y")),IFERROR(N(INDEX(Clay_Brands!$A$2:$FZ$601,419,Sync!$D$11)),0),"")</f>
        <v/>
      </c>
      <c r="C3870" s="17">
        <f>IF(B3870="","","brand")</f>
        <v/>
      </c>
      <c r="D3870" s="17">
        <f>IF(B3870="","",IFERROR(INDEX(Clay_Brands!$A$2:$FZ$601,419,Sync!$D$5)&amp;"",""))</f>
        <v/>
      </c>
      <c r="E3870" s="17">
        <f>IF(B3870="","",IFERROR(INDEX(Clay_Brands!$A$2:$FZ$601,419,Sync!$D$6)&amp;"",""))</f>
        <v/>
      </c>
      <c r="F3870" s="17">
        <f>IF(B3870="","","outreach_sent")</f>
        <v/>
      </c>
      <c r="G3870" s="17">
        <f>IF(B3870="","","")</f>
        <v/>
      </c>
      <c r="H3870" s="17">
        <f>IF(B3870="","","")</f>
        <v/>
      </c>
      <c r="I3870" s="17">
        <f>IF(B3870="","","")</f>
        <v/>
      </c>
      <c r="J3870" s="17">
        <f>IF(B3870="","","touch_1; "&amp;IFERROR(INDEX(Clay_Brands!$A$2:$FZ$601,419,Sync!$D$10)&amp;"","")&amp;"; "&amp;IFERROR(INDEX(Clay_Brands!$A$2:$FZ$601,419,Sync!$D$9)&amp;"",""))</f>
        <v/>
      </c>
      <c r="K3870" t="inlineStr">
        <is>
          <t>brand outreach touch 1</t>
        </is>
      </c>
    </row>
    <row r="3871">
      <c r="A3871" s="17">
        <f>IF(B3871="","",B3871+(15*1000+420)/10000000)</f>
        <v/>
      </c>
      <c r="B3871" s="23">
        <f>IF(AND(IFERROR(N(INDEX(Clay_Brands!$A$2:$FZ$601,420,Sync!$D$11)),0)&gt;0,IFERROR(INDEX(Clay_Brands!$A$2:$FZ$601,420,Sync!$D$5)&amp;"","")&lt;&gt;"",OR(LEFT(IFERROR(INDEX(Clay_Brands!$A$2:$FZ$601,420,Sync!$D$5)&amp;"",""),6)&lt;&gt;"SAMPLE",Config!$B$19="Y")),IFERROR(N(INDEX(Clay_Brands!$A$2:$FZ$601,420,Sync!$D$11)),0),"")</f>
        <v/>
      </c>
      <c r="C3871" s="17">
        <f>IF(B3871="","","brand")</f>
        <v/>
      </c>
      <c r="D3871" s="17">
        <f>IF(B3871="","",IFERROR(INDEX(Clay_Brands!$A$2:$FZ$601,420,Sync!$D$5)&amp;"",""))</f>
        <v/>
      </c>
      <c r="E3871" s="17">
        <f>IF(B3871="","",IFERROR(INDEX(Clay_Brands!$A$2:$FZ$601,420,Sync!$D$6)&amp;"",""))</f>
        <v/>
      </c>
      <c r="F3871" s="17">
        <f>IF(B3871="","","outreach_sent")</f>
        <v/>
      </c>
      <c r="G3871" s="17">
        <f>IF(B3871="","","")</f>
        <v/>
      </c>
      <c r="H3871" s="17">
        <f>IF(B3871="","","")</f>
        <v/>
      </c>
      <c r="I3871" s="17">
        <f>IF(B3871="","","")</f>
        <v/>
      </c>
      <c r="J3871" s="17">
        <f>IF(B3871="","","touch_1; "&amp;IFERROR(INDEX(Clay_Brands!$A$2:$FZ$601,420,Sync!$D$10)&amp;"","")&amp;"; "&amp;IFERROR(INDEX(Clay_Brands!$A$2:$FZ$601,420,Sync!$D$9)&amp;"",""))</f>
        <v/>
      </c>
      <c r="K3871" t="inlineStr">
        <is>
          <t>brand outreach touch 1</t>
        </is>
      </c>
    </row>
    <row r="3872">
      <c r="A3872" s="17">
        <f>IF(B3872="","",B3872+(15*1000+421)/10000000)</f>
        <v/>
      </c>
      <c r="B3872" s="23">
        <f>IF(AND(IFERROR(N(INDEX(Clay_Brands!$A$2:$FZ$601,421,Sync!$D$11)),0)&gt;0,IFERROR(INDEX(Clay_Brands!$A$2:$FZ$601,421,Sync!$D$5)&amp;"","")&lt;&gt;"",OR(LEFT(IFERROR(INDEX(Clay_Brands!$A$2:$FZ$601,421,Sync!$D$5)&amp;"",""),6)&lt;&gt;"SAMPLE",Config!$B$19="Y")),IFERROR(N(INDEX(Clay_Brands!$A$2:$FZ$601,421,Sync!$D$11)),0),"")</f>
        <v/>
      </c>
      <c r="C3872" s="17">
        <f>IF(B3872="","","brand")</f>
        <v/>
      </c>
      <c r="D3872" s="17">
        <f>IF(B3872="","",IFERROR(INDEX(Clay_Brands!$A$2:$FZ$601,421,Sync!$D$5)&amp;"",""))</f>
        <v/>
      </c>
      <c r="E3872" s="17">
        <f>IF(B3872="","",IFERROR(INDEX(Clay_Brands!$A$2:$FZ$601,421,Sync!$D$6)&amp;"",""))</f>
        <v/>
      </c>
      <c r="F3872" s="17">
        <f>IF(B3872="","","outreach_sent")</f>
        <v/>
      </c>
      <c r="G3872" s="17">
        <f>IF(B3872="","","")</f>
        <v/>
      </c>
      <c r="H3872" s="17">
        <f>IF(B3872="","","")</f>
        <v/>
      </c>
      <c r="I3872" s="17">
        <f>IF(B3872="","","")</f>
        <v/>
      </c>
      <c r="J3872" s="17">
        <f>IF(B3872="","","touch_1; "&amp;IFERROR(INDEX(Clay_Brands!$A$2:$FZ$601,421,Sync!$D$10)&amp;"","")&amp;"; "&amp;IFERROR(INDEX(Clay_Brands!$A$2:$FZ$601,421,Sync!$D$9)&amp;"",""))</f>
        <v/>
      </c>
      <c r="K3872" t="inlineStr">
        <is>
          <t>brand outreach touch 1</t>
        </is>
      </c>
    </row>
    <row r="3873">
      <c r="A3873" s="17">
        <f>IF(B3873="","",B3873+(15*1000+422)/10000000)</f>
        <v/>
      </c>
      <c r="B3873" s="23">
        <f>IF(AND(IFERROR(N(INDEX(Clay_Brands!$A$2:$FZ$601,422,Sync!$D$11)),0)&gt;0,IFERROR(INDEX(Clay_Brands!$A$2:$FZ$601,422,Sync!$D$5)&amp;"","")&lt;&gt;"",OR(LEFT(IFERROR(INDEX(Clay_Brands!$A$2:$FZ$601,422,Sync!$D$5)&amp;"",""),6)&lt;&gt;"SAMPLE",Config!$B$19="Y")),IFERROR(N(INDEX(Clay_Brands!$A$2:$FZ$601,422,Sync!$D$11)),0),"")</f>
        <v/>
      </c>
      <c r="C3873" s="17">
        <f>IF(B3873="","","brand")</f>
        <v/>
      </c>
      <c r="D3873" s="17">
        <f>IF(B3873="","",IFERROR(INDEX(Clay_Brands!$A$2:$FZ$601,422,Sync!$D$5)&amp;"",""))</f>
        <v/>
      </c>
      <c r="E3873" s="17">
        <f>IF(B3873="","",IFERROR(INDEX(Clay_Brands!$A$2:$FZ$601,422,Sync!$D$6)&amp;"",""))</f>
        <v/>
      </c>
      <c r="F3873" s="17">
        <f>IF(B3873="","","outreach_sent")</f>
        <v/>
      </c>
      <c r="G3873" s="17">
        <f>IF(B3873="","","")</f>
        <v/>
      </c>
      <c r="H3873" s="17">
        <f>IF(B3873="","","")</f>
        <v/>
      </c>
      <c r="I3873" s="17">
        <f>IF(B3873="","","")</f>
        <v/>
      </c>
      <c r="J3873" s="17">
        <f>IF(B3873="","","touch_1; "&amp;IFERROR(INDEX(Clay_Brands!$A$2:$FZ$601,422,Sync!$D$10)&amp;"","")&amp;"; "&amp;IFERROR(INDEX(Clay_Brands!$A$2:$FZ$601,422,Sync!$D$9)&amp;"",""))</f>
        <v/>
      </c>
      <c r="K3873" t="inlineStr">
        <is>
          <t>brand outreach touch 1</t>
        </is>
      </c>
    </row>
    <row r="3874">
      <c r="A3874" s="17">
        <f>IF(B3874="","",B3874+(15*1000+423)/10000000)</f>
        <v/>
      </c>
      <c r="B3874" s="23">
        <f>IF(AND(IFERROR(N(INDEX(Clay_Brands!$A$2:$FZ$601,423,Sync!$D$11)),0)&gt;0,IFERROR(INDEX(Clay_Brands!$A$2:$FZ$601,423,Sync!$D$5)&amp;"","")&lt;&gt;"",OR(LEFT(IFERROR(INDEX(Clay_Brands!$A$2:$FZ$601,423,Sync!$D$5)&amp;"",""),6)&lt;&gt;"SAMPLE",Config!$B$19="Y")),IFERROR(N(INDEX(Clay_Brands!$A$2:$FZ$601,423,Sync!$D$11)),0),"")</f>
        <v/>
      </c>
      <c r="C3874" s="17">
        <f>IF(B3874="","","brand")</f>
        <v/>
      </c>
      <c r="D3874" s="17">
        <f>IF(B3874="","",IFERROR(INDEX(Clay_Brands!$A$2:$FZ$601,423,Sync!$D$5)&amp;"",""))</f>
        <v/>
      </c>
      <c r="E3874" s="17">
        <f>IF(B3874="","",IFERROR(INDEX(Clay_Brands!$A$2:$FZ$601,423,Sync!$D$6)&amp;"",""))</f>
        <v/>
      </c>
      <c r="F3874" s="17">
        <f>IF(B3874="","","outreach_sent")</f>
        <v/>
      </c>
      <c r="G3874" s="17">
        <f>IF(B3874="","","")</f>
        <v/>
      </c>
      <c r="H3874" s="17">
        <f>IF(B3874="","","")</f>
        <v/>
      </c>
      <c r="I3874" s="17">
        <f>IF(B3874="","","")</f>
        <v/>
      </c>
      <c r="J3874" s="17">
        <f>IF(B3874="","","touch_1; "&amp;IFERROR(INDEX(Clay_Brands!$A$2:$FZ$601,423,Sync!$D$10)&amp;"","")&amp;"; "&amp;IFERROR(INDEX(Clay_Brands!$A$2:$FZ$601,423,Sync!$D$9)&amp;"",""))</f>
        <v/>
      </c>
      <c r="K3874" t="inlineStr">
        <is>
          <t>brand outreach touch 1</t>
        </is>
      </c>
    </row>
    <row r="3875">
      <c r="A3875" s="17">
        <f>IF(B3875="","",B3875+(15*1000+424)/10000000)</f>
        <v/>
      </c>
      <c r="B3875" s="23">
        <f>IF(AND(IFERROR(N(INDEX(Clay_Brands!$A$2:$FZ$601,424,Sync!$D$11)),0)&gt;0,IFERROR(INDEX(Clay_Brands!$A$2:$FZ$601,424,Sync!$D$5)&amp;"","")&lt;&gt;"",OR(LEFT(IFERROR(INDEX(Clay_Brands!$A$2:$FZ$601,424,Sync!$D$5)&amp;"",""),6)&lt;&gt;"SAMPLE",Config!$B$19="Y")),IFERROR(N(INDEX(Clay_Brands!$A$2:$FZ$601,424,Sync!$D$11)),0),"")</f>
        <v/>
      </c>
      <c r="C3875" s="17">
        <f>IF(B3875="","","brand")</f>
        <v/>
      </c>
      <c r="D3875" s="17">
        <f>IF(B3875="","",IFERROR(INDEX(Clay_Brands!$A$2:$FZ$601,424,Sync!$D$5)&amp;"",""))</f>
        <v/>
      </c>
      <c r="E3875" s="17">
        <f>IF(B3875="","",IFERROR(INDEX(Clay_Brands!$A$2:$FZ$601,424,Sync!$D$6)&amp;"",""))</f>
        <v/>
      </c>
      <c r="F3875" s="17">
        <f>IF(B3875="","","outreach_sent")</f>
        <v/>
      </c>
      <c r="G3875" s="17">
        <f>IF(B3875="","","")</f>
        <v/>
      </c>
      <c r="H3875" s="17">
        <f>IF(B3875="","","")</f>
        <v/>
      </c>
      <c r="I3875" s="17">
        <f>IF(B3875="","","")</f>
        <v/>
      </c>
      <c r="J3875" s="17">
        <f>IF(B3875="","","touch_1; "&amp;IFERROR(INDEX(Clay_Brands!$A$2:$FZ$601,424,Sync!$D$10)&amp;"","")&amp;"; "&amp;IFERROR(INDEX(Clay_Brands!$A$2:$FZ$601,424,Sync!$D$9)&amp;"",""))</f>
        <v/>
      </c>
      <c r="K3875" t="inlineStr">
        <is>
          <t>brand outreach touch 1</t>
        </is>
      </c>
    </row>
    <row r="3876">
      <c r="A3876" s="17">
        <f>IF(B3876="","",B3876+(15*1000+425)/10000000)</f>
        <v/>
      </c>
      <c r="B3876" s="23">
        <f>IF(AND(IFERROR(N(INDEX(Clay_Brands!$A$2:$FZ$601,425,Sync!$D$11)),0)&gt;0,IFERROR(INDEX(Clay_Brands!$A$2:$FZ$601,425,Sync!$D$5)&amp;"","")&lt;&gt;"",OR(LEFT(IFERROR(INDEX(Clay_Brands!$A$2:$FZ$601,425,Sync!$D$5)&amp;"",""),6)&lt;&gt;"SAMPLE",Config!$B$19="Y")),IFERROR(N(INDEX(Clay_Brands!$A$2:$FZ$601,425,Sync!$D$11)),0),"")</f>
        <v/>
      </c>
      <c r="C3876" s="17">
        <f>IF(B3876="","","brand")</f>
        <v/>
      </c>
      <c r="D3876" s="17">
        <f>IF(B3876="","",IFERROR(INDEX(Clay_Brands!$A$2:$FZ$601,425,Sync!$D$5)&amp;"",""))</f>
        <v/>
      </c>
      <c r="E3876" s="17">
        <f>IF(B3876="","",IFERROR(INDEX(Clay_Brands!$A$2:$FZ$601,425,Sync!$D$6)&amp;"",""))</f>
        <v/>
      </c>
      <c r="F3876" s="17">
        <f>IF(B3876="","","outreach_sent")</f>
        <v/>
      </c>
      <c r="G3876" s="17">
        <f>IF(B3876="","","")</f>
        <v/>
      </c>
      <c r="H3876" s="17">
        <f>IF(B3876="","","")</f>
        <v/>
      </c>
      <c r="I3876" s="17">
        <f>IF(B3876="","","")</f>
        <v/>
      </c>
      <c r="J3876" s="17">
        <f>IF(B3876="","","touch_1; "&amp;IFERROR(INDEX(Clay_Brands!$A$2:$FZ$601,425,Sync!$D$10)&amp;"","")&amp;"; "&amp;IFERROR(INDEX(Clay_Brands!$A$2:$FZ$601,425,Sync!$D$9)&amp;"",""))</f>
        <v/>
      </c>
      <c r="K3876" t="inlineStr">
        <is>
          <t>brand outreach touch 1</t>
        </is>
      </c>
    </row>
    <row r="3877">
      <c r="A3877" s="17">
        <f>IF(B3877="","",B3877+(15*1000+426)/10000000)</f>
        <v/>
      </c>
      <c r="B3877" s="23">
        <f>IF(AND(IFERROR(N(INDEX(Clay_Brands!$A$2:$FZ$601,426,Sync!$D$11)),0)&gt;0,IFERROR(INDEX(Clay_Brands!$A$2:$FZ$601,426,Sync!$D$5)&amp;"","")&lt;&gt;"",OR(LEFT(IFERROR(INDEX(Clay_Brands!$A$2:$FZ$601,426,Sync!$D$5)&amp;"",""),6)&lt;&gt;"SAMPLE",Config!$B$19="Y")),IFERROR(N(INDEX(Clay_Brands!$A$2:$FZ$601,426,Sync!$D$11)),0),"")</f>
        <v/>
      </c>
      <c r="C3877" s="17">
        <f>IF(B3877="","","brand")</f>
        <v/>
      </c>
      <c r="D3877" s="17">
        <f>IF(B3877="","",IFERROR(INDEX(Clay_Brands!$A$2:$FZ$601,426,Sync!$D$5)&amp;"",""))</f>
        <v/>
      </c>
      <c r="E3877" s="17">
        <f>IF(B3877="","",IFERROR(INDEX(Clay_Brands!$A$2:$FZ$601,426,Sync!$D$6)&amp;"",""))</f>
        <v/>
      </c>
      <c r="F3877" s="17">
        <f>IF(B3877="","","outreach_sent")</f>
        <v/>
      </c>
      <c r="G3877" s="17">
        <f>IF(B3877="","","")</f>
        <v/>
      </c>
      <c r="H3877" s="17">
        <f>IF(B3877="","","")</f>
        <v/>
      </c>
      <c r="I3877" s="17">
        <f>IF(B3877="","","")</f>
        <v/>
      </c>
      <c r="J3877" s="17">
        <f>IF(B3877="","","touch_1; "&amp;IFERROR(INDEX(Clay_Brands!$A$2:$FZ$601,426,Sync!$D$10)&amp;"","")&amp;"; "&amp;IFERROR(INDEX(Clay_Brands!$A$2:$FZ$601,426,Sync!$D$9)&amp;"",""))</f>
        <v/>
      </c>
      <c r="K3877" t="inlineStr">
        <is>
          <t>brand outreach touch 1</t>
        </is>
      </c>
    </row>
    <row r="3878">
      <c r="A3878" s="17">
        <f>IF(B3878="","",B3878+(15*1000+427)/10000000)</f>
        <v/>
      </c>
      <c r="B3878" s="23">
        <f>IF(AND(IFERROR(N(INDEX(Clay_Brands!$A$2:$FZ$601,427,Sync!$D$11)),0)&gt;0,IFERROR(INDEX(Clay_Brands!$A$2:$FZ$601,427,Sync!$D$5)&amp;"","")&lt;&gt;"",OR(LEFT(IFERROR(INDEX(Clay_Brands!$A$2:$FZ$601,427,Sync!$D$5)&amp;"",""),6)&lt;&gt;"SAMPLE",Config!$B$19="Y")),IFERROR(N(INDEX(Clay_Brands!$A$2:$FZ$601,427,Sync!$D$11)),0),"")</f>
        <v/>
      </c>
      <c r="C3878" s="17">
        <f>IF(B3878="","","brand")</f>
        <v/>
      </c>
      <c r="D3878" s="17">
        <f>IF(B3878="","",IFERROR(INDEX(Clay_Brands!$A$2:$FZ$601,427,Sync!$D$5)&amp;"",""))</f>
        <v/>
      </c>
      <c r="E3878" s="17">
        <f>IF(B3878="","",IFERROR(INDEX(Clay_Brands!$A$2:$FZ$601,427,Sync!$D$6)&amp;"",""))</f>
        <v/>
      </c>
      <c r="F3878" s="17">
        <f>IF(B3878="","","outreach_sent")</f>
        <v/>
      </c>
      <c r="G3878" s="17">
        <f>IF(B3878="","","")</f>
        <v/>
      </c>
      <c r="H3878" s="17">
        <f>IF(B3878="","","")</f>
        <v/>
      </c>
      <c r="I3878" s="17">
        <f>IF(B3878="","","")</f>
        <v/>
      </c>
      <c r="J3878" s="17">
        <f>IF(B3878="","","touch_1; "&amp;IFERROR(INDEX(Clay_Brands!$A$2:$FZ$601,427,Sync!$D$10)&amp;"","")&amp;"; "&amp;IFERROR(INDEX(Clay_Brands!$A$2:$FZ$601,427,Sync!$D$9)&amp;"",""))</f>
        <v/>
      </c>
      <c r="K3878" t="inlineStr">
        <is>
          <t>brand outreach touch 1</t>
        </is>
      </c>
    </row>
    <row r="3879">
      <c r="A3879" s="17">
        <f>IF(B3879="","",B3879+(15*1000+428)/10000000)</f>
        <v/>
      </c>
      <c r="B3879" s="23">
        <f>IF(AND(IFERROR(N(INDEX(Clay_Brands!$A$2:$FZ$601,428,Sync!$D$11)),0)&gt;0,IFERROR(INDEX(Clay_Brands!$A$2:$FZ$601,428,Sync!$D$5)&amp;"","")&lt;&gt;"",OR(LEFT(IFERROR(INDEX(Clay_Brands!$A$2:$FZ$601,428,Sync!$D$5)&amp;"",""),6)&lt;&gt;"SAMPLE",Config!$B$19="Y")),IFERROR(N(INDEX(Clay_Brands!$A$2:$FZ$601,428,Sync!$D$11)),0),"")</f>
        <v/>
      </c>
      <c r="C3879" s="17">
        <f>IF(B3879="","","brand")</f>
        <v/>
      </c>
      <c r="D3879" s="17">
        <f>IF(B3879="","",IFERROR(INDEX(Clay_Brands!$A$2:$FZ$601,428,Sync!$D$5)&amp;"",""))</f>
        <v/>
      </c>
      <c r="E3879" s="17">
        <f>IF(B3879="","",IFERROR(INDEX(Clay_Brands!$A$2:$FZ$601,428,Sync!$D$6)&amp;"",""))</f>
        <v/>
      </c>
      <c r="F3879" s="17">
        <f>IF(B3879="","","outreach_sent")</f>
        <v/>
      </c>
      <c r="G3879" s="17">
        <f>IF(B3879="","","")</f>
        <v/>
      </c>
      <c r="H3879" s="17">
        <f>IF(B3879="","","")</f>
        <v/>
      </c>
      <c r="I3879" s="17">
        <f>IF(B3879="","","")</f>
        <v/>
      </c>
      <c r="J3879" s="17">
        <f>IF(B3879="","","touch_1; "&amp;IFERROR(INDEX(Clay_Brands!$A$2:$FZ$601,428,Sync!$D$10)&amp;"","")&amp;"; "&amp;IFERROR(INDEX(Clay_Brands!$A$2:$FZ$601,428,Sync!$D$9)&amp;"",""))</f>
        <v/>
      </c>
      <c r="K3879" t="inlineStr">
        <is>
          <t>brand outreach touch 1</t>
        </is>
      </c>
    </row>
    <row r="3880">
      <c r="A3880" s="17">
        <f>IF(B3880="","",B3880+(15*1000+429)/10000000)</f>
        <v/>
      </c>
      <c r="B3880" s="23">
        <f>IF(AND(IFERROR(N(INDEX(Clay_Brands!$A$2:$FZ$601,429,Sync!$D$11)),0)&gt;0,IFERROR(INDEX(Clay_Brands!$A$2:$FZ$601,429,Sync!$D$5)&amp;"","")&lt;&gt;"",OR(LEFT(IFERROR(INDEX(Clay_Brands!$A$2:$FZ$601,429,Sync!$D$5)&amp;"",""),6)&lt;&gt;"SAMPLE",Config!$B$19="Y")),IFERROR(N(INDEX(Clay_Brands!$A$2:$FZ$601,429,Sync!$D$11)),0),"")</f>
        <v/>
      </c>
      <c r="C3880" s="17">
        <f>IF(B3880="","","brand")</f>
        <v/>
      </c>
      <c r="D3880" s="17">
        <f>IF(B3880="","",IFERROR(INDEX(Clay_Brands!$A$2:$FZ$601,429,Sync!$D$5)&amp;"",""))</f>
        <v/>
      </c>
      <c r="E3880" s="17">
        <f>IF(B3880="","",IFERROR(INDEX(Clay_Brands!$A$2:$FZ$601,429,Sync!$D$6)&amp;"",""))</f>
        <v/>
      </c>
      <c r="F3880" s="17">
        <f>IF(B3880="","","outreach_sent")</f>
        <v/>
      </c>
      <c r="G3880" s="17">
        <f>IF(B3880="","","")</f>
        <v/>
      </c>
      <c r="H3880" s="17">
        <f>IF(B3880="","","")</f>
        <v/>
      </c>
      <c r="I3880" s="17">
        <f>IF(B3880="","","")</f>
        <v/>
      </c>
      <c r="J3880" s="17">
        <f>IF(B3880="","","touch_1; "&amp;IFERROR(INDEX(Clay_Brands!$A$2:$FZ$601,429,Sync!$D$10)&amp;"","")&amp;"; "&amp;IFERROR(INDEX(Clay_Brands!$A$2:$FZ$601,429,Sync!$D$9)&amp;"",""))</f>
        <v/>
      </c>
      <c r="K3880" t="inlineStr">
        <is>
          <t>brand outreach touch 1</t>
        </is>
      </c>
    </row>
    <row r="3881">
      <c r="A3881" s="17">
        <f>IF(B3881="","",B3881+(15*1000+430)/10000000)</f>
        <v/>
      </c>
      <c r="B3881" s="23">
        <f>IF(AND(IFERROR(N(INDEX(Clay_Brands!$A$2:$FZ$601,430,Sync!$D$11)),0)&gt;0,IFERROR(INDEX(Clay_Brands!$A$2:$FZ$601,430,Sync!$D$5)&amp;"","")&lt;&gt;"",OR(LEFT(IFERROR(INDEX(Clay_Brands!$A$2:$FZ$601,430,Sync!$D$5)&amp;"",""),6)&lt;&gt;"SAMPLE",Config!$B$19="Y")),IFERROR(N(INDEX(Clay_Brands!$A$2:$FZ$601,430,Sync!$D$11)),0),"")</f>
        <v/>
      </c>
      <c r="C3881" s="17">
        <f>IF(B3881="","","brand")</f>
        <v/>
      </c>
      <c r="D3881" s="17">
        <f>IF(B3881="","",IFERROR(INDEX(Clay_Brands!$A$2:$FZ$601,430,Sync!$D$5)&amp;"",""))</f>
        <v/>
      </c>
      <c r="E3881" s="17">
        <f>IF(B3881="","",IFERROR(INDEX(Clay_Brands!$A$2:$FZ$601,430,Sync!$D$6)&amp;"",""))</f>
        <v/>
      </c>
      <c r="F3881" s="17">
        <f>IF(B3881="","","outreach_sent")</f>
        <v/>
      </c>
      <c r="G3881" s="17">
        <f>IF(B3881="","","")</f>
        <v/>
      </c>
      <c r="H3881" s="17">
        <f>IF(B3881="","","")</f>
        <v/>
      </c>
      <c r="I3881" s="17">
        <f>IF(B3881="","","")</f>
        <v/>
      </c>
      <c r="J3881" s="17">
        <f>IF(B3881="","","touch_1; "&amp;IFERROR(INDEX(Clay_Brands!$A$2:$FZ$601,430,Sync!$D$10)&amp;"","")&amp;"; "&amp;IFERROR(INDEX(Clay_Brands!$A$2:$FZ$601,430,Sync!$D$9)&amp;"",""))</f>
        <v/>
      </c>
      <c r="K3881" t="inlineStr">
        <is>
          <t>brand outreach touch 1</t>
        </is>
      </c>
    </row>
    <row r="3882">
      <c r="A3882" s="17">
        <f>IF(B3882="","",B3882+(15*1000+431)/10000000)</f>
        <v/>
      </c>
      <c r="B3882" s="23">
        <f>IF(AND(IFERROR(N(INDEX(Clay_Brands!$A$2:$FZ$601,431,Sync!$D$11)),0)&gt;0,IFERROR(INDEX(Clay_Brands!$A$2:$FZ$601,431,Sync!$D$5)&amp;"","")&lt;&gt;"",OR(LEFT(IFERROR(INDEX(Clay_Brands!$A$2:$FZ$601,431,Sync!$D$5)&amp;"",""),6)&lt;&gt;"SAMPLE",Config!$B$19="Y")),IFERROR(N(INDEX(Clay_Brands!$A$2:$FZ$601,431,Sync!$D$11)),0),"")</f>
        <v/>
      </c>
      <c r="C3882" s="17">
        <f>IF(B3882="","","brand")</f>
        <v/>
      </c>
      <c r="D3882" s="17">
        <f>IF(B3882="","",IFERROR(INDEX(Clay_Brands!$A$2:$FZ$601,431,Sync!$D$5)&amp;"",""))</f>
        <v/>
      </c>
      <c r="E3882" s="17">
        <f>IF(B3882="","",IFERROR(INDEX(Clay_Brands!$A$2:$FZ$601,431,Sync!$D$6)&amp;"",""))</f>
        <v/>
      </c>
      <c r="F3882" s="17">
        <f>IF(B3882="","","outreach_sent")</f>
        <v/>
      </c>
      <c r="G3882" s="17">
        <f>IF(B3882="","","")</f>
        <v/>
      </c>
      <c r="H3882" s="17">
        <f>IF(B3882="","","")</f>
        <v/>
      </c>
      <c r="I3882" s="17">
        <f>IF(B3882="","","")</f>
        <v/>
      </c>
      <c r="J3882" s="17">
        <f>IF(B3882="","","touch_1; "&amp;IFERROR(INDEX(Clay_Brands!$A$2:$FZ$601,431,Sync!$D$10)&amp;"","")&amp;"; "&amp;IFERROR(INDEX(Clay_Brands!$A$2:$FZ$601,431,Sync!$D$9)&amp;"",""))</f>
        <v/>
      </c>
      <c r="K3882" t="inlineStr">
        <is>
          <t>brand outreach touch 1</t>
        </is>
      </c>
    </row>
    <row r="3883">
      <c r="A3883" s="17">
        <f>IF(B3883="","",B3883+(15*1000+432)/10000000)</f>
        <v/>
      </c>
      <c r="B3883" s="23">
        <f>IF(AND(IFERROR(N(INDEX(Clay_Brands!$A$2:$FZ$601,432,Sync!$D$11)),0)&gt;0,IFERROR(INDEX(Clay_Brands!$A$2:$FZ$601,432,Sync!$D$5)&amp;"","")&lt;&gt;"",OR(LEFT(IFERROR(INDEX(Clay_Brands!$A$2:$FZ$601,432,Sync!$D$5)&amp;"",""),6)&lt;&gt;"SAMPLE",Config!$B$19="Y")),IFERROR(N(INDEX(Clay_Brands!$A$2:$FZ$601,432,Sync!$D$11)),0),"")</f>
        <v/>
      </c>
      <c r="C3883" s="17">
        <f>IF(B3883="","","brand")</f>
        <v/>
      </c>
      <c r="D3883" s="17">
        <f>IF(B3883="","",IFERROR(INDEX(Clay_Brands!$A$2:$FZ$601,432,Sync!$D$5)&amp;"",""))</f>
        <v/>
      </c>
      <c r="E3883" s="17">
        <f>IF(B3883="","",IFERROR(INDEX(Clay_Brands!$A$2:$FZ$601,432,Sync!$D$6)&amp;"",""))</f>
        <v/>
      </c>
      <c r="F3883" s="17">
        <f>IF(B3883="","","outreach_sent")</f>
        <v/>
      </c>
      <c r="G3883" s="17">
        <f>IF(B3883="","","")</f>
        <v/>
      </c>
      <c r="H3883" s="17">
        <f>IF(B3883="","","")</f>
        <v/>
      </c>
      <c r="I3883" s="17">
        <f>IF(B3883="","","")</f>
        <v/>
      </c>
      <c r="J3883" s="17">
        <f>IF(B3883="","","touch_1; "&amp;IFERROR(INDEX(Clay_Brands!$A$2:$FZ$601,432,Sync!$D$10)&amp;"","")&amp;"; "&amp;IFERROR(INDEX(Clay_Brands!$A$2:$FZ$601,432,Sync!$D$9)&amp;"",""))</f>
        <v/>
      </c>
      <c r="K3883" t="inlineStr">
        <is>
          <t>brand outreach touch 1</t>
        </is>
      </c>
    </row>
    <row r="3884">
      <c r="A3884" s="17">
        <f>IF(B3884="","",B3884+(15*1000+433)/10000000)</f>
        <v/>
      </c>
      <c r="B3884" s="23">
        <f>IF(AND(IFERROR(N(INDEX(Clay_Brands!$A$2:$FZ$601,433,Sync!$D$11)),0)&gt;0,IFERROR(INDEX(Clay_Brands!$A$2:$FZ$601,433,Sync!$D$5)&amp;"","")&lt;&gt;"",OR(LEFT(IFERROR(INDEX(Clay_Brands!$A$2:$FZ$601,433,Sync!$D$5)&amp;"",""),6)&lt;&gt;"SAMPLE",Config!$B$19="Y")),IFERROR(N(INDEX(Clay_Brands!$A$2:$FZ$601,433,Sync!$D$11)),0),"")</f>
        <v/>
      </c>
      <c r="C3884" s="17">
        <f>IF(B3884="","","brand")</f>
        <v/>
      </c>
      <c r="D3884" s="17">
        <f>IF(B3884="","",IFERROR(INDEX(Clay_Brands!$A$2:$FZ$601,433,Sync!$D$5)&amp;"",""))</f>
        <v/>
      </c>
      <c r="E3884" s="17">
        <f>IF(B3884="","",IFERROR(INDEX(Clay_Brands!$A$2:$FZ$601,433,Sync!$D$6)&amp;"",""))</f>
        <v/>
      </c>
      <c r="F3884" s="17">
        <f>IF(B3884="","","outreach_sent")</f>
        <v/>
      </c>
      <c r="G3884" s="17">
        <f>IF(B3884="","","")</f>
        <v/>
      </c>
      <c r="H3884" s="17">
        <f>IF(B3884="","","")</f>
        <v/>
      </c>
      <c r="I3884" s="17">
        <f>IF(B3884="","","")</f>
        <v/>
      </c>
      <c r="J3884" s="17">
        <f>IF(B3884="","","touch_1; "&amp;IFERROR(INDEX(Clay_Brands!$A$2:$FZ$601,433,Sync!$D$10)&amp;"","")&amp;"; "&amp;IFERROR(INDEX(Clay_Brands!$A$2:$FZ$601,433,Sync!$D$9)&amp;"",""))</f>
        <v/>
      </c>
      <c r="K3884" t="inlineStr">
        <is>
          <t>brand outreach touch 1</t>
        </is>
      </c>
    </row>
    <row r="3885">
      <c r="A3885" s="17">
        <f>IF(B3885="","",B3885+(15*1000+434)/10000000)</f>
        <v/>
      </c>
      <c r="B3885" s="23">
        <f>IF(AND(IFERROR(N(INDEX(Clay_Brands!$A$2:$FZ$601,434,Sync!$D$11)),0)&gt;0,IFERROR(INDEX(Clay_Brands!$A$2:$FZ$601,434,Sync!$D$5)&amp;"","")&lt;&gt;"",OR(LEFT(IFERROR(INDEX(Clay_Brands!$A$2:$FZ$601,434,Sync!$D$5)&amp;"",""),6)&lt;&gt;"SAMPLE",Config!$B$19="Y")),IFERROR(N(INDEX(Clay_Brands!$A$2:$FZ$601,434,Sync!$D$11)),0),"")</f>
        <v/>
      </c>
      <c r="C3885" s="17">
        <f>IF(B3885="","","brand")</f>
        <v/>
      </c>
      <c r="D3885" s="17">
        <f>IF(B3885="","",IFERROR(INDEX(Clay_Brands!$A$2:$FZ$601,434,Sync!$D$5)&amp;"",""))</f>
        <v/>
      </c>
      <c r="E3885" s="17">
        <f>IF(B3885="","",IFERROR(INDEX(Clay_Brands!$A$2:$FZ$601,434,Sync!$D$6)&amp;"",""))</f>
        <v/>
      </c>
      <c r="F3885" s="17">
        <f>IF(B3885="","","outreach_sent")</f>
        <v/>
      </c>
      <c r="G3885" s="17">
        <f>IF(B3885="","","")</f>
        <v/>
      </c>
      <c r="H3885" s="17">
        <f>IF(B3885="","","")</f>
        <v/>
      </c>
      <c r="I3885" s="17">
        <f>IF(B3885="","","")</f>
        <v/>
      </c>
      <c r="J3885" s="17">
        <f>IF(B3885="","","touch_1; "&amp;IFERROR(INDEX(Clay_Brands!$A$2:$FZ$601,434,Sync!$D$10)&amp;"","")&amp;"; "&amp;IFERROR(INDEX(Clay_Brands!$A$2:$FZ$601,434,Sync!$D$9)&amp;"",""))</f>
        <v/>
      </c>
      <c r="K3885" t="inlineStr">
        <is>
          <t>brand outreach touch 1</t>
        </is>
      </c>
    </row>
    <row r="3886">
      <c r="A3886" s="17">
        <f>IF(B3886="","",B3886+(15*1000+435)/10000000)</f>
        <v/>
      </c>
      <c r="B3886" s="23">
        <f>IF(AND(IFERROR(N(INDEX(Clay_Brands!$A$2:$FZ$601,435,Sync!$D$11)),0)&gt;0,IFERROR(INDEX(Clay_Brands!$A$2:$FZ$601,435,Sync!$D$5)&amp;"","")&lt;&gt;"",OR(LEFT(IFERROR(INDEX(Clay_Brands!$A$2:$FZ$601,435,Sync!$D$5)&amp;"",""),6)&lt;&gt;"SAMPLE",Config!$B$19="Y")),IFERROR(N(INDEX(Clay_Brands!$A$2:$FZ$601,435,Sync!$D$11)),0),"")</f>
        <v/>
      </c>
      <c r="C3886" s="17">
        <f>IF(B3886="","","brand")</f>
        <v/>
      </c>
      <c r="D3886" s="17">
        <f>IF(B3886="","",IFERROR(INDEX(Clay_Brands!$A$2:$FZ$601,435,Sync!$D$5)&amp;"",""))</f>
        <v/>
      </c>
      <c r="E3886" s="17">
        <f>IF(B3886="","",IFERROR(INDEX(Clay_Brands!$A$2:$FZ$601,435,Sync!$D$6)&amp;"",""))</f>
        <v/>
      </c>
      <c r="F3886" s="17">
        <f>IF(B3886="","","outreach_sent")</f>
        <v/>
      </c>
      <c r="G3886" s="17">
        <f>IF(B3886="","","")</f>
        <v/>
      </c>
      <c r="H3886" s="17">
        <f>IF(B3886="","","")</f>
        <v/>
      </c>
      <c r="I3886" s="17">
        <f>IF(B3886="","","")</f>
        <v/>
      </c>
      <c r="J3886" s="17">
        <f>IF(B3886="","","touch_1; "&amp;IFERROR(INDEX(Clay_Brands!$A$2:$FZ$601,435,Sync!$D$10)&amp;"","")&amp;"; "&amp;IFERROR(INDEX(Clay_Brands!$A$2:$FZ$601,435,Sync!$D$9)&amp;"",""))</f>
        <v/>
      </c>
      <c r="K3886" t="inlineStr">
        <is>
          <t>brand outreach touch 1</t>
        </is>
      </c>
    </row>
    <row r="3887">
      <c r="A3887" s="17">
        <f>IF(B3887="","",B3887+(15*1000+436)/10000000)</f>
        <v/>
      </c>
      <c r="B3887" s="23">
        <f>IF(AND(IFERROR(N(INDEX(Clay_Brands!$A$2:$FZ$601,436,Sync!$D$11)),0)&gt;0,IFERROR(INDEX(Clay_Brands!$A$2:$FZ$601,436,Sync!$D$5)&amp;"","")&lt;&gt;"",OR(LEFT(IFERROR(INDEX(Clay_Brands!$A$2:$FZ$601,436,Sync!$D$5)&amp;"",""),6)&lt;&gt;"SAMPLE",Config!$B$19="Y")),IFERROR(N(INDEX(Clay_Brands!$A$2:$FZ$601,436,Sync!$D$11)),0),"")</f>
        <v/>
      </c>
      <c r="C3887" s="17">
        <f>IF(B3887="","","brand")</f>
        <v/>
      </c>
      <c r="D3887" s="17">
        <f>IF(B3887="","",IFERROR(INDEX(Clay_Brands!$A$2:$FZ$601,436,Sync!$D$5)&amp;"",""))</f>
        <v/>
      </c>
      <c r="E3887" s="17">
        <f>IF(B3887="","",IFERROR(INDEX(Clay_Brands!$A$2:$FZ$601,436,Sync!$D$6)&amp;"",""))</f>
        <v/>
      </c>
      <c r="F3887" s="17">
        <f>IF(B3887="","","outreach_sent")</f>
        <v/>
      </c>
      <c r="G3887" s="17">
        <f>IF(B3887="","","")</f>
        <v/>
      </c>
      <c r="H3887" s="17">
        <f>IF(B3887="","","")</f>
        <v/>
      </c>
      <c r="I3887" s="17">
        <f>IF(B3887="","","")</f>
        <v/>
      </c>
      <c r="J3887" s="17">
        <f>IF(B3887="","","touch_1; "&amp;IFERROR(INDEX(Clay_Brands!$A$2:$FZ$601,436,Sync!$D$10)&amp;"","")&amp;"; "&amp;IFERROR(INDEX(Clay_Brands!$A$2:$FZ$601,436,Sync!$D$9)&amp;"",""))</f>
        <v/>
      </c>
      <c r="K3887" t="inlineStr">
        <is>
          <t>brand outreach touch 1</t>
        </is>
      </c>
    </row>
    <row r="3888">
      <c r="A3888" s="17">
        <f>IF(B3888="","",B3888+(15*1000+437)/10000000)</f>
        <v/>
      </c>
      <c r="B3888" s="23">
        <f>IF(AND(IFERROR(N(INDEX(Clay_Brands!$A$2:$FZ$601,437,Sync!$D$11)),0)&gt;0,IFERROR(INDEX(Clay_Brands!$A$2:$FZ$601,437,Sync!$D$5)&amp;"","")&lt;&gt;"",OR(LEFT(IFERROR(INDEX(Clay_Brands!$A$2:$FZ$601,437,Sync!$D$5)&amp;"",""),6)&lt;&gt;"SAMPLE",Config!$B$19="Y")),IFERROR(N(INDEX(Clay_Brands!$A$2:$FZ$601,437,Sync!$D$11)),0),"")</f>
        <v/>
      </c>
      <c r="C3888" s="17">
        <f>IF(B3888="","","brand")</f>
        <v/>
      </c>
      <c r="D3888" s="17">
        <f>IF(B3888="","",IFERROR(INDEX(Clay_Brands!$A$2:$FZ$601,437,Sync!$D$5)&amp;"",""))</f>
        <v/>
      </c>
      <c r="E3888" s="17">
        <f>IF(B3888="","",IFERROR(INDEX(Clay_Brands!$A$2:$FZ$601,437,Sync!$D$6)&amp;"",""))</f>
        <v/>
      </c>
      <c r="F3888" s="17">
        <f>IF(B3888="","","outreach_sent")</f>
        <v/>
      </c>
      <c r="G3888" s="17">
        <f>IF(B3888="","","")</f>
        <v/>
      </c>
      <c r="H3888" s="17">
        <f>IF(B3888="","","")</f>
        <v/>
      </c>
      <c r="I3888" s="17">
        <f>IF(B3888="","","")</f>
        <v/>
      </c>
      <c r="J3888" s="17">
        <f>IF(B3888="","","touch_1; "&amp;IFERROR(INDEX(Clay_Brands!$A$2:$FZ$601,437,Sync!$D$10)&amp;"","")&amp;"; "&amp;IFERROR(INDEX(Clay_Brands!$A$2:$FZ$601,437,Sync!$D$9)&amp;"",""))</f>
        <v/>
      </c>
      <c r="K3888" t="inlineStr">
        <is>
          <t>brand outreach touch 1</t>
        </is>
      </c>
    </row>
    <row r="3889">
      <c r="A3889" s="17">
        <f>IF(B3889="","",B3889+(15*1000+438)/10000000)</f>
        <v/>
      </c>
      <c r="B3889" s="23">
        <f>IF(AND(IFERROR(N(INDEX(Clay_Brands!$A$2:$FZ$601,438,Sync!$D$11)),0)&gt;0,IFERROR(INDEX(Clay_Brands!$A$2:$FZ$601,438,Sync!$D$5)&amp;"","")&lt;&gt;"",OR(LEFT(IFERROR(INDEX(Clay_Brands!$A$2:$FZ$601,438,Sync!$D$5)&amp;"",""),6)&lt;&gt;"SAMPLE",Config!$B$19="Y")),IFERROR(N(INDEX(Clay_Brands!$A$2:$FZ$601,438,Sync!$D$11)),0),"")</f>
        <v/>
      </c>
      <c r="C3889" s="17">
        <f>IF(B3889="","","brand")</f>
        <v/>
      </c>
      <c r="D3889" s="17">
        <f>IF(B3889="","",IFERROR(INDEX(Clay_Brands!$A$2:$FZ$601,438,Sync!$D$5)&amp;"",""))</f>
        <v/>
      </c>
      <c r="E3889" s="17">
        <f>IF(B3889="","",IFERROR(INDEX(Clay_Brands!$A$2:$FZ$601,438,Sync!$D$6)&amp;"",""))</f>
        <v/>
      </c>
      <c r="F3889" s="17">
        <f>IF(B3889="","","outreach_sent")</f>
        <v/>
      </c>
      <c r="G3889" s="17">
        <f>IF(B3889="","","")</f>
        <v/>
      </c>
      <c r="H3889" s="17">
        <f>IF(B3889="","","")</f>
        <v/>
      </c>
      <c r="I3889" s="17">
        <f>IF(B3889="","","")</f>
        <v/>
      </c>
      <c r="J3889" s="17">
        <f>IF(B3889="","","touch_1; "&amp;IFERROR(INDEX(Clay_Brands!$A$2:$FZ$601,438,Sync!$D$10)&amp;"","")&amp;"; "&amp;IFERROR(INDEX(Clay_Brands!$A$2:$FZ$601,438,Sync!$D$9)&amp;"",""))</f>
        <v/>
      </c>
      <c r="K3889" t="inlineStr">
        <is>
          <t>brand outreach touch 1</t>
        </is>
      </c>
    </row>
    <row r="3890">
      <c r="A3890" s="17">
        <f>IF(B3890="","",B3890+(15*1000+439)/10000000)</f>
        <v/>
      </c>
      <c r="B3890" s="23">
        <f>IF(AND(IFERROR(N(INDEX(Clay_Brands!$A$2:$FZ$601,439,Sync!$D$11)),0)&gt;0,IFERROR(INDEX(Clay_Brands!$A$2:$FZ$601,439,Sync!$D$5)&amp;"","")&lt;&gt;"",OR(LEFT(IFERROR(INDEX(Clay_Brands!$A$2:$FZ$601,439,Sync!$D$5)&amp;"",""),6)&lt;&gt;"SAMPLE",Config!$B$19="Y")),IFERROR(N(INDEX(Clay_Brands!$A$2:$FZ$601,439,Sync!$D$11)),0),"")</f>
        <v/>
      </c>
      <c r="C3890" s="17">
        <f>IF(B3890="","","brand")</f>
        <v/>
      </c>
      <c r="D3890" s="17">
        <f>IF(B3890="","",IFERROR(INDEX(Clay_Brands!$A$2:$FZ$601,439,Sync!$D$5)&amp;"",""))</f>
        <v/>
      </c>
      <c r="E3890" s="17">
        <f>IF(B3890="","",IFERROR(INDEX(Clay_Brands!$A$2:$FZ$601,439,Sync!$D$6)&amp;"",""))</f>
        <v/>
      </c>
      <c r="F3890" s="17">
        <f>IF(B3890="","","outreach_sent")</f>
        <v/>
      </c>
      <c r="G3890" s="17">
        <f>IF(B3890="","","")</f>
        <v/>
      </c>
      <c r="H3890" s="17">
        <f>IF(B3890="","","")</f>
        <v/>
      </c>
      <c r="I3890" s="17">
        <f>IF(B3890="","","")</f>
        <v/>
      </c>
      <c r="J3890" s="17">
        <f>IF(B3890="","","touch_1; "&amp;IFERROR(INDEX(Clay_Brands!$A$2:$FZ$601,439,Sync!$D$10)&amp;"","")&amp;"; "&amp;IFERROR(INDEX(Clay_Brands!$A$2:$FZ$601,439,Sync!$D$9)&amp;"",""))</f>
        <v/>
      </c>
      <c r="K3890" t="inlineStr">
        <is>
          <t>brand outreach touch 1</t>
        </is>
      </c>
    </row>
    <row r="3891">
      <c r="A3891" s="17">
        <f>IF(B3891="","",B3891+(15*1000+440)/10000000)</f>
        <v/>
      </c>
      <c r="B3891" s="23">
        <f>IF(AND(IFERROR(N(INDEX(Clay_Brands!$A$2:$FZ$601,440,Sync!$D$11)),0)&gt;0,IFERROR(INDEX(Clay_Brands!$A$2:$FZ$601,440,Sync!$D$5)&amp;"","")&lt;&gt;"",OR(LEFT(IFERROR(INDEX(Clay_Brands!$A$2:$FZ$601,440,Sync!$D$5)&amp;"",""),6)&lt;&gt;"SAMPLE",Config!$B$19="Y")),IFERROR(N(INDEX(Clay_Brands!$A$2:$FZ$601,440,Sync!$D$11)),0),"")</f>
        <v/>
      </c>
      <c r="C3891" s="17">
        <f>IF(B3891="","","brand")</f>
        <v/>
      </c>
      <c r="D3891" s="17">
        <f>IF(B3891="","",IFERROR(INDEX(Clay_Brands!$A$2:$FZ$601,440,Sync!$D$5)&amp;"",""))</f>
        <v/>
      </c>
      <c r="E3891" s="17">
        <f>IF(B3891="","",IFERROR(INDEX(Clay_Brands!$A$2:$FZ$601,440,Sync!$D$6)&amp;"",""))</f>
        <v/>
      </c>
      <c r="F3891" s="17">
        <f>IF(B3891="","","outreach_sent")</f>
        <v/>
      </c>
      <c r="G3891" s="17">
        <f>IF(B3891="","","")</f>
        <v/>
      </c>
      <c r="H3891" s="17">
        <f>IF(B3891="","","")</f>
        <v/>
      </c>
      <c r="I3891" s="17">
        <f>IF(B3891="","","")</f>
        <v/>
      </c>
      <c r="J3891" s="17">
        <f>IF(B3891="","","touch_1; "&amp;IFERROR(INDEX(Clay_Brands!$A$2:$FZ$601,440,Sync!$D$10)&amp;"","")&amp;"; "&amp;IFERROR(INDEX(Clay_Brands!$A$2:$FZ$601,440,Sync!$D$9)&amp;"",""))</f>
        <v/>
      </c>
      <c r="K3891" t="inlineStr">
        <is>
          <t>brand outreach touch 1</t>
        </is>
      </c>
    </row>
    <row r="3892">
      <c r="A3892" s="17">
        <f>IF(B3892="","",B3892+(15*1000+441)/10000000)</f>
        <v/>
      </c>
      <c r="B3892" s="23">
        <f>IF(AND(IFERROR(N(INDEX(Clay_Brands!$A$2:$FZ$601,441,Sync!$D$11)),0)&gt;0,IFERROR(INDEX(Clay_Brands!$A$2:$FZ$601,441,Sync!$D$5)&amp;"","")&lt;&gt;"",OR(LEFT(IFERROR(INDEX(Clay_Brands!$A$2:$FZ$601,441,Sync!$D$5)&amp;"",""),6)&lt;&gt;"SAMPLE",Config!$B$19="Y")),IFERROR(N(INDEX(Clay_Brands!$A$2:$FZ$601,441,Sync!$D$11)),0),"")</f>
        <v/>
      </c>
      <c r="C3892" s="17">
        <f>IF(B3892="","","brand")</f>
        <v/>
      </c>
      <c r="D3892" s="17">
        <f>IF(B3892="","",IFERROR(INDEX(Clay_Brands!$A$2:$FZ$601,441,Sync!$D$5)&amp;"",""))</f>
        <v/>
      </c>
      <c r="E3892" s="17">
        <f>IF(B3892="","",IFERROR(INDEX(Clay_Brands!$A$2:$FZ$601,441,Sync!$D$6)&amp;"",""))</f>
        <v/>
      </c>
      <c r="F3892" s="17">
        <f>IF(B3892="","","outreach_sent")</f>
        <v/>
      </c>
      <c r="G3892" s="17">
        <f>IF(B3892="","","")</f>
        <v/>
      </c>
      <c r="H3892" s="17">
        <f>IF(B3892="","","")</f>
        <v/>
      </c>
      <c r="I3892" s="17">
        <f>IF(B3892="","","")</f>
        <v/>
      </c>
      <c r="J3892" s="17">
        <f>IF(B3892="","","touch_1; "&amp;IFERROR(INDEX(Clay_Brands!$A$2:$FZ$601,441,Sync!$D$10)&amp;"","")&amp;"; "&amp;IFERROR(INDEX(Clay_Brands!$A$2:$FZ$601,441,Sync!$D$9)&amp;"",""))</f>
        <v/>
      </c>
      <c r="K3892" t="inlineStr">
        <is>
          <t>brand outreach touch 1</t>
        </is>
      </c>
    </row>
    <row r="3893">
      <c r="A3893" s="17">
        <f>IF(B3893="","",B3893+(15*1000+442)/10000000)</f>
        <v/>
      </c>
      <c r="B3893" s="23">
        <f>IF(AND(IFERROR(N(INDEX(Clay_Brands!$A$2:$FZ$601,442,Sync!$D$11)),0)&gt;0,IFERROR(INDEX(Clay_Brands!$A$2:$FZ$601,442,Sync!$D$5)&amp;"","")&lt;&gt;"",OR(LEFT(IFERROR(INDEX(Clay_Brands!$A$2:$FZ$601,442,Sync!$D$5)&amp;"",""),6)&lt;&gt;"SAMPLE",Config!$B$19="Y")),IFERROR(N(INDEX(Clay_Brands!$A$2:$FZ$601,442,Sync!$D$11)),0),"")</f>
        <v/>
      </c>
      <c r="C3893" s="17">
        <f>IF(B3893="","","brand")</f>
        <v/>
      </c>
      <c r="D3893" s="17">
        <f>IF(B3893="","",IFERROR(INDEX(Clay_Brands!$A$2:$FZ$601,442,Sync!$D$5)&amp;"",""))</f>
        <v/>
      </c>
      <c r="E3893" s="17">
        <f>IF(B3893="","",IFERROR(INDEX(Clay_Brands!$A$2:$FZ$601,442,Sync!$D$6)&amp;"",""))</f>
        <v/>
      </c>
      <c r="F3893" s="17">
        <f>IF(B3893="","","outreach_sent")</f>
        <v/>
      </c>
      <c r="G3893" s="17">
        <f>IF(B3893="","","")</f>
        <v/>
      </c>
      <c r="H3893" s="17">
        <f>IF(B3893="","","")</f>
        <v/>
      </c>
      <c r="I3893" s="17">
        <f>IF(B3893="","","")</f>
        <v/>
      </c>
      <c r="J3893" s="17">
        <f>IF(B3893="","","touch_1; "&amp;IFERROR(INDEX(Clay_Brands!$A$2:$FZ$601,442,Sync!$D$10)&amp;"","")&amp;"; "&amp;IFERROR(INDEX(Clay_Brands!$A$2:$FZ$601,442,Sync!$D$9)&amp;"",""))</f>
        <v/>
      </c>
      <c r="K3893" t="inlineStr">
        <is>
          <t>brand outreach touch 1</t>
        </is>
      </c>
    </row>
    <row r="3894">
      <c r="A3894" s="17">
        <f>IF(B3894="","",B3894+(15*1000+443)/10000000)</f>
        <v/>
      </c>
      <c r="B3894" s="23">
        <f>IF(AND(IFERROR(N(INDEX(Clay_Brands!$A$2:$FZ$601,443,Sync!$D$11)),0)&gt;0,IFERROR(INDEX(Clay_Brands!$A$2:$FZ$601,443,Sync!$D$5)&amp;"","")&lt;&gt;"",OR(LEFT(IFERROR(INDEX(Clay_Brands!$A$2:$FZ$601,443,Sync!$D$5)&amp;"",""),6)&lt;&gt;"SAMPLE",Config!$B$19="Y")),IFERROR(N(INDEX(Clay_Brands!$A$2:$FZ$601,443,Sync!$D$11)),0),"")</f>
        <v/>
      </c>
      <c r="C3894" s="17">
        <f>IF(B3894="","","brand")</f>
        <v/>
      </c>
      <c r="D3894" s="17">
        <f>IF(B3894="","",IFERROR(INDEX(Clay_Brands!$A$2:$FZ$601,443,Sync!$D$5)&amp;"",""))</f>
        <v/>
      </c>
      <c r="E3894" s="17">
        <f>IF(B3894="","",IFERROR(INDEX(Clay_Brands!$A$2:$FZ$601,443,Sync!$D$6)&amp;"",""))</f>
        <v/>
      </c>
      <c r="F3894" s="17">
        <f>IF(B3894="","","outreach_sent")</f>
        <v/>
      </c>
      <c r="G3894" s="17">
        <f>IF(B3894="","","")</f>
        <v/>
      </c>
      <c r="H3894" s="17">
        <f>IF(B3894="","","")</f>
        <v/>
      </c>
      <c r="I3894" s="17">
        <f>IF(B3894="","","")</f>
        <v/>
      </c>
      <c r="J3894" s="17">
        <f>IF(B3894="","","touch_1; "&amp;IFERROR(INDEX(Clay_Brands!$A$2:$FZ$601,443,Sync!$D$10)&amp;"","")&amp;"; "&amp;IFERROR(INDEX(Clay_Brands!$A$2:$FZ$601,443,Sync!$D$9)&amp;"",""))</f>
        <v/>
      </c>
      <c r="K3894" t="inlineStr">
        <is>
          <t>brand outreach touch 1</t>
        </is>
      </c>
    </row>
    <row r="3895">
      <c r="A3895" s="17">
        <f>IF(B3895="","",B3895+(15*1000+444)/10000000)</f>
        <v/>
      </c>
      <c r="B3895" s="23">
        <f>IF(AND(IFERROR(N(INDEX(Clay_Brands!$A$2:$FZ$601,444,Sync!$D$11)),0)&gt;0,IFERROR(INDEX(Clay_Brands!$A$2:$FZ$601,444,Sync!$D$5)&amp;"","")&lt;&gt;"",OR(LEFT(IFERROR(INDEX(Clay_Brands!$A$2:$FZ$601,444,Sync!$D$5)&amp;"",""),6)&lt;&gt;"SAMPLE",Config!$B$19="Y")),IFERROR(N(INDEX(Clay_Brands!$A$2:$FZ$601,444,Sync!$D$11)),0),"")</f>
        <v/>
      </c>
      <c r="C3895" s="17">
        <f>IF(B3895="","","brand")</f>
        <v/>
      </c>
      <c r="D3895" s="17">
        <f>IF(B3895="","",IFERROR(INDEX(Clay_Brands!$A$2:$FZ$601,444,Sync!$D$5)&amp;"",""))</f>
        <v/>
      </c>
      <c r="E3895" s="17">
        <f>IF(B3895="","",IFERROR(INDEX(Clay_Brands!$A$2:$FZ$601,444,Sync!$D$6)&amp;"",""))</f>
        <v/>
      </c>
      <c r="F3895" s="17">
        <f>IF(B3895="","","outreach_sent")</f>
        <v/>
      </c>
      <c r="G3895" s="17">
        <f>IF(B3895="","","")</f>
        <v/>
      </c>
      <c r="H3895" s="17">
        <f>IF(B3895="","","")</f>
        <v/>
      </c>
      <c r="I3895" s="17">
        <f>IF(B3895="","","")</f>
        <v/>
      </c>
      <c r="J3895" s="17">
        <f>IF(B3895="","","touch_1; "&amp;IFERROR(INDEX(Clay_Brands!$A$2:$FZ$601,444,Sync!$D$10)&amp;"","")&amp;"; "&amp;IFERROR(INDEX(Clay_Brands!$A$2:$FZ$601,444,Sync!$D$9)&amp;"",""))</f>
        <v/>
      </c>
      <c r="K3895" t="inlineStr">
        <is>
          <t>brand outreach touch 1</t>
        </is>
      </c>
    </row>
    <row r="3896">
      <c r="A3896" s="17">
        <f>IF(B3896="","",B3896+(15*1000+445)/10000000)</f>
        <v/>
      </c>
      <c r="B3896" s="23">
        <f>IF(AND(IFERROR(N(INDEX(Clay_Brands!$A$2:$FZ$601,445,Sync!$D$11)),0)&gt;0,IFERROR(INDEX(Clay_Brands!$A$2:$FZ$601,445,Sync!$D$5)&amp;"","")&lt;&gt;"",OR(LEFT(IFERROR(INDEX(Clay_Brands!$A$2:$FZ$601,445,Sync!$D$5)&amp;"",""),6)&lt;&gt;"SAMPLE",Config!$B$19="Y")),IFERROR(N(INDEX(Clay_Brands!$A$2:$FZ$601,445,Sync!$D$11)),0),"")</f>
        <v/>
      </c>
      <c r="C3896" s="17">
        <f>IF(B3896="","","brand")</f>
        <v/>
      </c>
      <c r="D3896" s="17">
        <f>IF(B3896="","",IFERROR(INDEX(Clay_Brands!$A$2:$FZ$601,445,Sync!$D$5)&amp;"",""))</f>
        <v/>
      </c>
      <c r="E3896" s="17">
        <f>IF(B3896="","",IFERROR(INDEX(Clay_Brands!$A$2:$FZ$601,445,Sync!$D$6)&amp;"",""))</f>
        <v/>
      </c>
      <c r="F3896" s="17">
        <f>IF(B3896="","","outreach_sent")</f>
        <v/>
      </c>
      <c r="G3896" s="17">
        <f>IF(B3896="","","")</f>
        <v/>
      </c>
      <c r="H3896" s="17">
        <f>IF(B3896="","","")</f>
        <v/>
      </c>
      <c r="I3896" s="17">
        <f>IF(B3896="","","")</f>
        <v/>
      </c>
      <c r="J3896" s="17">
        <f>IF(B3896="","","touch_1; "&amp;IFERROR(INDEX(Clay_Brands!$A$2:$FZ$601,445,Sync!$D$10)&amp;"","")&amp;"; "&amp;IFERROR(INDEX(Clay_Brands!$A$2:$FZ$601,445,Sync!$D$9)&amp;"",""))</f>
        <v/>
      </c>
      <c r="K3896" t="inlineStr">
        <is>
          <t>brand outreach touch 1</t>
        </is>
      </c>
    </row>
    <row r="3897">
      <c r="A3897" s="17">
        <f>IF(B3897="","",B3897+(15*1000+446)/10000000)</f>
        <v/>
      </c>
      <c r="B3897" s="23">
        <f>IF(AND(IFERROR(N(INDEX(Clay_Brands!$A$2:$FZ$601,446,Sync!$D$11)),0)&gt;0,IFERROR(INDEX(Clay_Brands!$A$2:$FZ$601,446,Sync!$D$5)&amp;"","")&lt;&gt;"",OR(LEFT(IFERROR(INDEX(Clay_Brands!$A$2:$FZ$601,446,Sync!$D$5)&amp;"",""),6)&lt;&gt;"SAMPLE",Config!$B$19="Y")),IFERROR(N(INDEX(Clay_Brands!$A$2:$FZ$601,446,Sync!$D$11)),0),"")</f>
        <v/>
      </c>
      <c r="C3897" s="17">
        <f>IF(B3897="","","brand")</f>
        <v/>
      </c>
      <c r="D3897" s="17">
        <f>IF(B3897="","",IFERROR(INDEX(Clay_Brands!$A$2:$FZ$601,446,Sync!$D$5)&amp;"",""))</f>
        <v/>
      </c>
      <c r="E3897" s="17">
        <f>IF(B3897="","",IFERROR(INDEX(Clay_Brands!$A$2:$FZ$601,446,Sync!$D$6)&amp;"",""))</f>
        <v/>
      </c>
      <c r="F3897" s="17">
        <f>IF(B3897="","","outreach_sent")</f>
        <v/>
      </c>
      <c r="G3897" s="17">
        <f>IF(B3897="","","")</f>
        <v/>
      </c>
      <c r="H3897" s="17">
        <f>IF(B3897="","","")</f>
        <v/>
      </c>
      <c r="I3897" s="17">
        <f>IF(B3897="","","")</f>
        <v/>
      </c>
      <c r="J3897" s="17">
        <f>IF(B3897="","","touch_1; "&amp;IFERROR(INDEX(Clay_Brands!$A$2:$FZ$601,446,Sync!$D$10)&amp;"","")&amp;"; "&amp;IFERROR(INDEX(Clay_Brands!$A$2:$FZ$601,446,Sync!$D$9)&amp;"",""))</f>
        <v/>
      </c>
      <c r="K3897" t="inlineStr">
        <is>
          <t>brand outreach touch 1</t>
        </is>
      </c>
    </row>
    <row r="3898">
      <c r="A3898" s="17">
        <f>IF(B3898="","",B3898+(15*1000+447)/10000000)</f>
        <v/>
      </c>
      <c r="B3898" s="23">
        <f>IF(AND(IFERROR(N(INDEX(Clay_Brands!$A$2:$FZ$601,447,Sync!$D$11)),0)&gt;0,IFERROR(INDEX(Clay_Brands!$A$2:$FZ$601,447,Sync!$D$5)&amp;"","")&lt;&gt;"",OR(LEFT(IFERROR(INDEX(Clay_Brands!$A$2:$FZ$601,447,Sync!$D$5)&amp;"",""),6)&lt;&gt;"SAMPLE",Config!$B$19="Y")),IFERROR(N(INDEX(Clay_Brands!$A$2:$FZ$601,447,Sync!$D$11)),0),"")</f>
        <v/>
      </c>
      <c r="C3898" s="17">
        <f>IF(B3898="","","brand")</f>
        <v/>
      </c>
      <c r="D3898" s="17">
        <f>IF(B3898="","",IFERROR(INDEX(Clay_Brands!$A$2:$FZ$601,447,Sync!$D$5)&amp;"",""))</f>
        <v/>
      </c>
      <c r="E3898" s="17">
        <f>IF(B3898="","",IFERROR(INDEX(Clay_Brands!$A$2:$FZ$601,447,Sync!$D$6)&amp;"",""))</f>
        <v/>
      </c>
      <c r="F3898" s="17">
        <f>IF(B3898="","","outreach_sent")</f>
        <v/>
      </c>
      <c r="G3898" s="17">
        <f>IF(B3898="","","")</f>
        <v/>
      </c>
      <c r="H3898" s="17">
        <f>IF(B3898="","","")</f>
        <v/>
      </c>
      <c r="I3898" s="17">
        <f>IF(B3898="","","")</f>
        <v/>
      </c>
      <c r="J3898" s="17">
        <f>IF(B3898="","","touch_1; "&amp;IFERROR(INDEX(Clay_Brands!$A$2:$FZ$601,447,Sync!$D$10)&amp;"","")&amp;"; "&amp;IFERROR(INDEX(Clay_Brands!$A$2:$FZ$601,447,Sync!$D$9)&amp;"",""))</f>
        <v/>
      </c>
      <c r="K3898" t="inlineStr">
        <is>
          <t>brand outreach touch 1</t>
        </is>
      </c>
    </row>
    <row r="3899">
      <c r="A3899" s="17">
        <f>IF(B3899="","",B3899+(15*1000+448)/10000000)</f>
        <v/>
      </c>
      <c r="B3899" s="23">
        <f>IF(AND(IFERROR(N(INDEX(Clay_Brands!$A$2:$FZ$601,448,Sync!$D$11)),0)&gt;0,IFERROR(INDEX(Clay_Brands!$A$2:$FZ$601,448,Sync!$D$5)&amp;"","")&lt;&gt;"",OR(LEFT(IFERROR(INDEX(Clay_Brands!$A$2:$FZ$601,448,Sync!$D$5)&amp;"",""),6)&lt;&gt;"SAMPLE",Config!$B$19="Y")),IFERROR(N(INDEX(Clay_Brands!$A$2:$FZ$601,448,Sync!$D$11)),0),"")</f>
        <v/>
      </c>
      <c r="C3899" s="17">
        <f>IF(B3899="","","brand")</f>
        <v/>
      </c>
      <c r="D3899" s="17">
        <f>IF(B3899="","",IFERROR(INDEX(Clay_Brands!$A$2:$FZ$601,448,Sync!$D$5)&amp;"",""))</f>
        <v/>
      </c>
      <c r="E3899" s="17">
        <f>IF(B3899="","",IFERROR(INDEX(Clay_Brands!$A$2:$FZ$601,448,Sync!$D$6)&amp;"",""))</f>
        <v/>
      </c>
      <c r="F3899" s="17">
        <f>IF(B3899="","","outreach_sent")</f>
        <v/>
      </c>
      <c r="G3899" s="17">
        <f>IF(B3899="","","")</f>
        <v/>
      </c>
      <c r="H3899" s="17">
        <f>IF(B3899="","","")</f>
        <v/>
      </c>
      <c r="I3899" s="17">
        <f>IF(B3899="","","")</f>
        <v/>
      </c>
      <c r="J3899" s="17">
        <f>IF(B3899="","","touch_1; "&amp;IFERROR(INDEX(Clay_Brands!$A$2:$FZ$601,448,Sync!$D$10)&amp;"","")&amp;"; "&amp;IFERROR(INDEX(Clay_Brands!$A$2:$FZ$601,448,Sync!$D$9)&amp;"",""))</f>
        <v/>
      </c>
      <c r="K3899" t="inlineStr">
        <is>
          <t>brand outreach touch 1</t>
        </is>
      </c>
    </row>
    <row r="3900">
      <c r="A3900" s="17">
        <f>IF(B3900="","",B3900+(15*1000+449)/10000000)</f>
        <v/>
      </c>
      <c r="B3900" s="23">
        <f>IF(AND(IFERROR(N(INDEX(Clay_Brands!$A$2:$FZ$601,449,Sync!$D$11)),0)&gt;0,IFERROR(INDEX(Clay_Brands!$A$2:$FZ$601,449,Sync!$D$5)&amp;"","")&lt;&gt;"",OR(LEFT(IFERROR(INDEX(Clay_Brands!$A$2:$FZ$601,449,Sync!$D$5)&amp;"",""),6)&lt;&gt;"SAMPLE",Config!$B$19="Y")),IFERROR(N(INDEX(Clay_Brands!$A$2:$FZ$601,449,Sync!$D$11)),0),"")</f>
        <v/>
      </c>
      <c r="C3900" s="17">
        <f>IF(B3900="","","brand")</f>
        <v/>
      </c>
      <c r="D3900" s="17">
        <f>IF(B3900="","",IFERROR(INDEX(Clay_Brands!$A$2:$FZ$601,449,Sync!$D$5)&amp;"",""))</f>
        <v/>
      </c>
      <c r="E3900" s="17">
        <f>IF(B3900="","",IFERROR(INDEX(Clay_Brands!$A$2:$FZ$601,449,Sync!$D$6)&amp;"",""))</f>
        <v/>
      </c>
      <c r="F3900" s="17">
        <f>IF(B3900="","","outreach_sent")</f>
        <v/>
      </c>
      <c r="G3900" s="17">
        <f>IF(B3900="","","")</f>
        <v/>
      </c>
      <c r="H3900" s="17">
        <f>IF(B3900="","","")</f>
        <v/>
      </c>
      <c r="I3900" s="17">
        <f>IF(B3900="","","")</f>
        <v/>
      </c>
      <c r="J3900" s="17">
        <f>IF(B3900="","","touch_1; "&amp;IFERROR(INDEX(Clay_Brands!$A$2:$FZ$601,449,Sync!$D$10)&amp;"","")&amp;"; "&amp;IFERROR(INDEX(Clay_Brands!$A$2:$FZ$601,449,Sync!$D$9)&amp;"",""))</f>
        <v/>
      </c>
      <c r="K3900" t="inlineStr">
        <is>
          <t>brand outreach touch 1</t>
        </is>
      </c>
    </row>
    <row r="3901">
      <c r="A3901" s="17">
        <f>IF(B3901="","",B3901+(15*1000+450)/10000000)</f>
        <v/>
      </c>
      <c r="B3901" s="23">
        <f>IF(AND(IFERROR(N(INDEX(Clay_Brands!$A$2:$FZ$601,450,Sync!$D$11)),0)&gt;0,IFERROR(INDEX(Clay_Brands!$A$2:$FZ$601,450,Sync!$D$5)&amp;"","")&lt;&gt;"",OR(LEFT(IFERROR(INDEX(Clay_Brands!$A$2:$FZ$601,450,Sync!$D$5)&amp;"",""),6)&lt;&gt;"SAMPLE",Config!$B$19="Y")),IFERROR(N(INDEX(Clay_Brands!$A$2:$FZ$601,450,Sync!$D$11)),0),"")</f>
        <v/>
      </c>
      <c r="C3901" s="17">
        <f>IF(B3901="","","brand")</f>
        <v/>
      </c>
      <c r="D3901" s="17">
        <f>IF(B3901="","",IFERROR(INDEX(Clay_Brands!$A$2:$FZ$601,450,Sync!$D$5)&amp;"",""))</f>
        <v/>
      </c>
      <c r="E3901" s="17">
        <f>IF(B3901="","",IFERROR(INDEX(Clay_Brands!$A$2:$FZ$601,450,Sync!$D$6)&amp;"",""))</f>
        <v/>
      </c>
      <c r="F3901" s="17">
        <f>IF(B3901="","","outreach_sent")</f>
        <v/>
      </c>
      <c r="G3901" s="17">
        <f>IF(B3901="","","")</f>
        <v/>
      </c>
      <c r="H3901" s="17">
        <f>IF(B3901="","","")</f>
        <v/>
      </c>
      <c r="I3901" s="17">
        <f>IF(B3901="","","")</f>
        <v/>
      </c>
      <c r="J3901" s="17">
        <f>IF(B3901="","","touch_1; "&amp;IFERROR(INDEX(Clay_Brands!$A$2:$FZ$601,450,Sync!$D$10)&amp;"","")&amp;"; "&amp;IFERROR(INDEX(Clay_Brands!$A$2:$FZ$601,450,Sync!$D$9)&amp;"",""))</f>
        <v/>
      </c>
      <c r="K3901" t="inlineStr">
        <is>
          <t>brand outreach touch 1</t>
        </is>
      </c>
    </row>
    <row r="3902">
      <c r="A3902" s="17">
        <f>IF(B3902="","",B3902+(15*1000+451)/10000000)</f>
        <v/>
      </c>
      <c r="B3902" s="23">
        <f>IF(AND(IFERROR(N(INDEX(Clay_Brands!$A$2:$FZ$601,451,Sync!$D$11)),0)&gt;0,IFERROR(INDEX(Clay_Brands!$A$2:$FZ$601,451,Sync!$D$5)&amp;"","")&lt;&gt;"",OR(LEFT(IFERROR(INDEX(Clay_Brands!$A$2:$FZ$601,451,Sync!$D$5)&amp;"",""),6)&lt;&gt;"SAMPLE",Config!$B$19="Y")),IFERROR(N(INDEX(Clay_Brands!$A$2:$FZ$601,451,Sync!$D$11)),0),"")</f>
        <v/>
      </c>
      <c r="C3902" s="17">
        <f>IF(B3902="","","brand")</f>
        <v/>
      </c>
      <c r="D3902" s="17">
        <f>IF(B3902="","",IFERROR(INDEX(Clay_Brands!$A$2:$FZ$601,451,Sync!$D$5)&amp;"",""))</f>
        <v/>
      </c>
      <c r="E3902" s="17">
        <f>IF(B3902="","",IFERROR(INDEX(Clay_Brands!$A$2:$FZ$601,451,Sync!$D$6)&amp;"",""))</f>
        <v/>
      </c>
      <c r="F3902" s="17">
        <f>IF(B3902="","","outreach_sent")</f>
        <v/>
      </c>
      <c r="G3902" s="17">
        <f>IF(B3902="","","")</f>
        <v/>
      </c>
      <c r="H3902" s="17">
        <f>IF(B3902="","","")</f>
        <v/>
      </c>
      <c r="I3902" s="17">
        <f>IF(B3902="","","")</f>
        <v/>
      </c>
      <c r="J3902" s="17">
        <f>IF(B3902="","","touch_1; "&amp;IFERROR(INDEX(Clay_Brands!$A$2:$FZ$601,451,Sync!$D$10)&amp;"","")&amp;"; "&amp;IFERROR(INDEX(Clay_Brands!$A$2:$FZ$601,451,Sync!$D$9)&amp;"",""))</f>
        <v/>
      </c>
      <c r="K3902" t="inlineStr">
        <is>
          <t>brand outreach touch 1</t>
        </is>
      </c>
    </row>
    <row r="3903">
      <c r="A3903" s="17">
        <f>IF(B3903="","",B3903+(15*1000+452)/10000000)</f>
        <v/>
      </c>
      <c r="B3903" s="23">
        <f>IF(AND(IFERROR(N(INDEX(Clay_Brands!$A$2:$FZ$601,452,Sync!$D$11)),0)&gt;0,IFERROR(INDEX(Clay_Brands!$A$2:$FZ$601,452,Sync!$D$5)&amp;"","")&lt;&gt;"",OR(LEFT(IFERROR(INDEX(Clay_Brands!$A$2:$FZ$601,452,Sync!$D$5)&amp;"",""),6)&lt;&gt;"SAMPLE",Config!$B$19="Y")),IFERROR(N(INDEX(Clay_Brands!$A$2:$FZ$601,452,Sync!$D$11)),0),"")</f>
        <v/>
      </c>
      <c r="C3903" s="17">
        <f>IF(B3903="","","brand")</f>
        <v/>
      </c>
      <c r="D3903" s="17">
        <f>IF(B3903="","",IFERROR(INDEX(Clay_Brands!$A$2:$FZ$601,452,Sync!$D$5)&amp;"",""))</f>
        <v/>
      </c>
      <c r="E3903" s="17">
        <f>IF(B3903="","",IFERROR(INDEX(Clay_Brands!$A$2:$FZ$601,452,Sync!$D$6)&amp;"",""))</f>
        <v/>
      </c>
      <c r="F3903" s="17">
        <f>IF(B3903="","","outreach_sent")</f>
        <v/>
      </c>
      <c r="G3903" s="17">
        <f>IF(B3903="","","")</f>
        <v/>
      </c>
      <c r="H3903" s="17">
        <f>IF(B3903="","","")</f>
        <v/>
      </c>
      <c r="I3903" s="17">
        <f>IF(B3903="","","")</f>
        <v/>
      </c>
      <c r="J3903" s="17">
        <f>IF(B3903="","","touch_1; "&amp;IFERROR(INDEX(Clay_Brands!$A$2:$FZ$601,452,Sync!$D$10)&amp;"","")&amp;"; "&amp;IFERROR(INDEX(Clay_Brands!$A$2:$FZ$601,452,Sync!$D$9)&amp;"",""))</f>
        <v/>
      </c>
      <c r="K3903" t="inlineStr">
        <is>
          <t>brand outreach touch 1</t>
        </is>
      </c>
    </row>
    <row r="3904">
      <c r="A3904" s="17">
        <f>IF(B3904="","",B3904+(15*1000+453)/10000000)</f>
        <v/>
      </c>
      <c r="B3904" s="23">
        <f>IF(AND(IFERROR(N(INDEX(Clay_Brands!$A$2:$FZ$601,453,Sync!$D$11)),0)&gt;0,IFERROR(INDEX(Clay_Brands!$A$2:$FZ$601,453,Sync!$D$5)&amp;"","")&lt;&gt;"",OR(LEFT(IFERROR(INDEX(Clay_Brands!$A$2:$FZ$601,453,Sync!$D$5)&amp;"",""),6)&lt;&gt;"SAMPLE",Config!$B$19="Y")),IFERROR(N(INDEX(Clay_Brands!$A$2:$FZ$601,453,Sync!$D$11)),0),"")</f>
        <v/>
      </c>
      <c r="C3904" s="17">
        <f>IF(B3904="","","brand")</f>
        <v/>
      </c>
      <c r="D3904" s="17">
        <f>IF(B3904="","",IFERROR(INDEX(Clay_Brands!$A$2:$FZ$601,453,Sync!$D$5)&amp;"",""))</f>
        <v/>
      </c>
      <c r="E3904" s="17">
        <f>IF(B3904="","",IFERROR(INDEX(Clay_Brands!$A$2:$FZ$601,453,Sync!$D$6)&amp;"",""))</f>
        <v/>
      </c>
      <c r="F3904" s="17">
        <f>IF(B3904="","","outreach_sent")</f>
        <v/>
      </c>
      <c r="G3904" s="17">
        <f>IF(B3904="","","")</f>
        <v/>
      </c>
      <c r="H3904" s="17">
        <f>IF(B3904="","","")</f>
        <v/>
      </c>
      <c r="I3904" s="17">
        <f>IF(B3904="","","")</f>
        <v/>
      </c>
      <c r="J3904" s="17">
        <f>IF(B3904="","","touch_1; "&amp;IFERROR(INDEX(Clay_Brands!$A$2:$FZ$601,453,Sync!$D$10)&amp;"","")&amp;"; "&amp;IFERROR(INDEX(Clay_Brands!$A$2:$FZ$601,453,Sync!$D$9)&amp;"",""))</f>
        <v/>
      </c>
      <c r="K3904" t="inlineStr">
        <is>
          <t>brand outreach touch 1</t>
        </is>
      </c>
    </row>
    <row r="3905">
      <c r="A3905" s="17">
        <f>IF(B3905="","",B3905+(15*1000+454)/10000000)</f>
        <v/>
      </c>
      <c r="B3905" s="23">
        <f>IF(AND(IFERROR(N(INDEX(Clay_Brands!$A$2:$FZ$601,454,Sync!$D$11)),0)&gt;0,IFERROR(INDEX(Clay_Brands!$A$2:$FZ$601,454,Sync!$D$5)&amp;"","")&lt;&gt;"",OR(LEFT(IFERROR(INDEX(Clay_Brands!$A$2:$FZ$601,454,Sync!$D$5)&amp;"",""),6)&lt;&gt;"SAMPLE",Config!$B$19="Y")),IFERROR(N(INDEX(Clay_Brands!$A$2:$FZ$601,454,Sync!$D$11)),0),"")</f>
        <v/>
      </c>
      <c r="C3905" s="17">
        <f>IF(B3905="","","brand")</f>
        <v/>
      </c>
      <c r="D3905" s="17">
        <f>IF(B3905="","",IFERROR(INDEX(Clay_Brands!$A$2:$FZ$601,454,Sync!$D$5)&amp;"",""))</f>
        <v/>
      </c>
      <c r="E3905" s="17">
        <f>IF(B3905="","",IFERROR(INDEX(Clay_Brands!$A$2:$FZ$601,454,Sync!$D$6)&amp;"",""))</f>
        <v/>
      </c>
      <c r="F3905" s="17">
        <f>IF(B3905="","","outreach_sent")</f>
        <v/>
      </c>
      <c r="G3905" s="17">
        <f>IF(B3905="","","")</f>
        <v/>
      </c>
      <c r="H3905" s="17">
        <f>IF(B3905="","","")</f>
        <v/>
      </c>
      <c r="I3905" s="17">
        <f>IF(B3905="","","")</f>
        <v/>
      </c>
      <c r="J3905" s="17">
        <f>IF(B3905="","","touch_1; "&amp;IFERROR(INDEX(Clay_Brands!$A$2:$FZ$601,454,Sync!$D$10)&amp;"","")&amp;"; "&amp;IFERROR(INDEX(Clay_Brands!$A$2:$FZ$601,454,Sync!$D$9)&amp;"",""))</f>
        <v/>
      </c>
      <c r="K3905" t="inlineStr">
        <is>
          <t>brand outreach touch 1</t>
        </is>
      </c>
    </row>
    <row r="3906">
      <c r="A3906" s="17">
        <f>IF(B3906="","",B3906+(15*1000+455)/10000000)</f>
        <v/>
      </c>
      <c r="B3906" s="23">
        <f>IF(AND(IFERROR(N(INDEX(Clay_Brands!$A$2:$FZ$601,455,Sync!$D$11)),0)&gt;0,IFERROR(INDEX(Clay_Brands!$A$2:$FZ$601,455,Sync!$D$5)&amp;"","")&lt;&gt;"",OR(LEFT(IFERROR(INDEX(Clay_Brands!$A$2:$FZ$601,455,Sync!$D$5)&amp;"",""),6)&lt;&gt;"SAMPLE",Config!$B$19="Y")),IFERROR(N(INDEX(Clay_Brands!$A$2:$FZ$601,455,Sync!$D$11)),0),"")</f>
        <v/>
      </c>
      <c r="C3906" s="17">
        <f>IF(B3906="","","brand")</f>
        <v/>
      </c>
      <c r="D3906" s="17">
        <f>IF(B3906="","",IFERROR(INDEX(Clay_Brands!$A$2:$FZ$601,455,Sync!$D$5)&amp;"",""))</f>
        <v/>
      </c>
      <c r="E3906" s="17">
        <f>IF(B3906="","",IFERROR(INDEX(Clay_Brands!$A$2:$FZ$601,455,Sync!$D$6)&amp;"",""))</f>
        <v/>
      </c>
      <c r="F3906" s="17">
        <f>IF(B3906="","","outreach_sent")</f>
        <v/>
      </c>
      <c r="G3906" s="17">
        <f>IF(B3906="","","")</f>
        <v/>
      </c>
      <c r="H3906" s="17">
        <f>IF(B3906="","","")</f>
        <v/>
      </c>
      <c r="I3906" s="17">
        <f>IF(B3906="","","")</f>
        <v/>
      </c>
      <c r="J3906" s="17">
        <f>IF(B3906="","","touch_1; "&amp;IFERROR(INDEX(Clay_Brands!$A$2:$FZ$601,455,Sync!$D$10)&amp;"","")&amp;"; "&amp;IFERROR(INDEX(Clay_Brands!$A$2:$FZ$601,455,Sync!$D$9)&amp;"",""))</f>
        <v/>
      </c>
      <c r="K3906" t="inlineStr">
        <is>
          <t>brand outreach touch 1</t>
        </is>
      </c>
    </row>
    <row r="3907">
      <c r="A3907" s="17">
        <f>IF(B3907="","",B3907+(15*1000+456)/10000000)</f>
        <v/>
      </c>
      <c r="B3907" s="23">
        <f>IF(AND(IFERROR(N(INDEX(Clay_Brands!$A$2:$FZ$601,456,Sync!$D$11)),0)&gt;0,IFERROR(INDEX(Clay_Brands!$A$2:$FZ$601,456,Sync!$D$5)&amp;"","")&lt;&gt;"",OR(LEFT(IFERROR(INDEX(Clay_Brands!$A$2:$FZ$601,456,Sync!$D$5)&amp;"",""),6)&lt;&gt;"SAMPLE",Config!$B$19="Y")),IFERROR(N(INDEX(Clay_Brands!$A$2:$FZ$601,456,Sync!$D$11)),0),"")</f>
        <v/>
      </c>
      <c r="C3907" s="17">
        <f>IF(B3907="","","brand")</f>
        <v/>
      </c>
      <c r="D3907" s="17">
        <f>IF(B3907="","",IFERROR(INDEX(Clay_Brands!$A$2:$FZ$601,456,Sync!$D$5)&amp;"",""))</f>
        <v/>
      </c>
      <c r="E3907" s="17">
        <f>IF(B3907="","",IFERROR(INDEX(Clay_Brands!$A$2:$FZ$601,456,Sync!$D$6)&amp;"",""))</f>
        <v/>
      </c>
      <c r="F3907" s="17">
        <f>IF(B3907="","","outreach_sent")</f>
        <v/>
      </c>
      <c r="G3907" s="17">
        <f>IF(B3907="","","")</f>
        <v/>
      </c>
      <c r="H3907" s="17">
        <f>IF(B3907="","","")</f>
        <v/>
      </c>
      <c r="I3907" s="17">
        <f>IF(B3907="","","")</f>
        <v/>
      </c>
      <c r="J3907" s="17">
        <f>IF(B3907="","","touch_1; "&amp;IFERROR(INDEX(Clay_Brands!$A$2:$FZ$601,456,Sync!$D$10)&amp;"","")&amp;"; "&amp;IFERROR(INDEX(Clay_Brands!$A$2:$FZ$601,456,Sync!$D$9)&amp;"",""))</f>
        <v/>
      </c>
      <c r="K3907" t="inlineStr">
        <is>
          <t>brand outreach touch 1</t>
        </is>
      </c>
    </row>
    <row r="3908">
      <c r="A3908" s="17">
        <f>IF(B3908="","",B3908+(15*1000+457)/10000000)</f>
        <v/>
      </c>
      <c r="B3908" s="23">
        <f>IF(AND(IFERROR(N(INDEX(Clay_Brands!$A$2:$FZ$601,457,Sync!$D$11)),0)&gt;0,IFERROR(INDEX(Clay_Brands!$A$2:$FZ$601,457,Sync!$D$5)&amp;"","")&lt;&gt;"",OR(LEFT(IFERROR(INDEX(Clay_Brands!$A$2:$FZ$601,457,Sync!$D$5)&amp;"",""),6)&lt;&gt;"SAMPLE",Config!$B$19="Y")),IFERROR(N(INDEX(Clay_Brands!$A$2:$FZ$601,457,Sync!$D$11)),0),"")</f>
        <v/>
      </c>
      <c r="C3908" s="17">
        <f>IF(B3908="","","brand")</f>
        <v/>
      </c>
      <c r="D3908" s="17">
        <f>IF(B3908="","",IFERROR(INDEX(Clay_Brands!$A$2:$FZ$601,457,Sync!$D$5)&amp;"",""))</f>
        <v/>
      </c>
      <c r="E3908" s="17">
        <f>IF(B3908="","",IFERROR(INDEX(Clay_Brands!$A$2:$FZ$601,457,Sync!$D$6)&amp;"",""))</f>
        <v/>
      </c>
      <c r="F3908" s="17">
        <f>IF(B3908="","","outreach_sent")</f>
        <v/>
      </c>
      <c r="G3908" s="17">
        <f>IF(B3908="","","")</f>
        <v/>
      </c>
      <c r="H3908" s="17">
        <f>IF(B3908="","","")</f>
        <v/>
      </c>
      <c r="I3908" s="17">
        <f>IF(B3908="","","")</f>
        <v/>
      </c>
      <c r="J3908" s="17">
        <f>IF(B3908="","","touch_1; "&amp;IFERROR(INDEX(Clay_Brands!$A$2:$FZ$601,457,Sync!$D$10)&amp;"","")&amp;"; "&amp;IFERROR(INDEX(Clay_Brands!$A$2:$FZ$601,457,Sync!$D$9)&amp;"",""))</f>
        <v/>
      </c>
      <c r="K3908" t="inlineStr">
        <is>
          <t>brand outreach touch 1</t>
        </is>
      </c>
    </row>
    <row r="3909">
      <c r="A3909" s="17">
        <f>IF(B3909="","",B3909+(15*1000+458)/10000000)</f>
        <v/>
      </c>
      <c r="B3909" s="23">
        <f>IF(AND(IFERROR(N(INDEX(Clay_Brands!$A$2:$FZ$601,458,Sync!$D$11)),0)&gt;0,IFERROR(INDEX(Clay_Brands!$A$2:$FZ$601,458,Sync!$D$5)&amp;"","")&lt;&gt;"",OR(LEFT(IFERROR(INDEX(Clay_Brands!$A$2:$FZ$601,458,Sync!$D$5)&amp;"",""),6)&lt;&gt;"SAMPLE",Config!$B$19="Y")),IFERROR(N(INDEX(Clay_Brands!$A$2:$FZ$601,458,Sync!$D$11)),0),"")</f>
        <v/>
      </c>
      <c r="C3909" s="17">
        <f>IF(B3909="","","brand")</f>
        <v/>
      </c>
      <c r="D3909" s="17">
        <f>IF(B3909="","",IFERROR(INDEX(Clay_Brands!$A$2:$FZ$601,458,Sync!$D$5)&amp;"",""))</f>
        <v/>
      </c>
      <c r="E3909" s="17">
        <f>IF(B3909="","",IFERROR(INDEX(Clay_Brands!$A$2:$FZ$601,458,Sync!$D$6)&amp;"",""))</f>
        <v/>
      </c>
      <c r="F3909" s="17">
        <f>IF(B3909="","","outreach_sent")</f>
        <v/>
      </c>
      <c r="G3909" s="17">
        <f>IF(B3909="","","")</f>
        <v/>
      </c>
      <c r="H3909" s="17">
        <f>IF(B3909="","","")</f>
        <v/>
      </c>
      <c r="I3909" s="17">
        <f>IF(B3909="","","")</f>
        <v/>
      </c>
      <c r="J3909" s="17">
        <f>IF(B3909="","","touch_1; "&amp;IFERROR(INDEX(Clay_Brands!$A$2:$FZ$601,458,Sync!$D$10)&amp;"","")&amp;"; "&amp;IFERROR(INDEX(Clay_Brands!$A$2:$FZ$601,458,Sync!$D$9)&amp;"",""))</f>
        <v/>
      </c>
      <c r="K3909" t="inlineStr">
        <is>
          <t>brand outreach touch 1</t>
        </is>
      </c>
    </row>
    <row r="3910">
      <c r="A3910" s="17">
        <f>IF(B3910="","",B3910+(15*1000+459)/10000000)</f>
        <v/>
      </c>
      <c r="B3910" s="23">
        <f>IF(AND(IFERROR(N(INDEX(Clay_Brands!$A$2:$FZ$601,459,Sync!$D$11)),0)&gt;0,IFERROR(INDEX(Clay_Brands!$A$2:$FZ$601,459,Sync!$D$5)&amp;"","")&lt;&gt;"",OR(LEFT(IFERROR(INDEX(Clay_Brands!$A$2:$FZ$601,459,Sync!$D$5)&amp;"",""),6)&lt;&gt;"SAMPLE",Config!$B$19="Y")),IFERROR(N(INDEX(Clay_Brands!$A$2:$FZ$601,459,Sync!$D$11)),0),"")</f>
        <v/>
      </c>
      <c r="C3910" s="17">
        <f>IF(B3910="","","brand")</f>
        <v/>
      </c>
      <c r="D3910" s="17">
        <f>IF(B3910="","",IFERROR(INDEX(Clay_Brands!$A$2:$FZ$601,459,Sync!$D$5)&amp;"",""))</f>
        <v/>
      </c>
      <c r="E3910" s="17">
        <f>IF(B3910="","",IFERROR(INDEX(Clay_Brands!$A$2:$FZ$601,459,Sync!$D$6)&amp;"",""))</f>
        <v/>
      </c>
      <c r="F3910" s="17">
        <f>IF(B3910="","","outreach_sent")</f>
        <v/>
      </c>
      <c r="G3910" s="17">
        <f>IF(B3910="","","")</f>
        <v/>
      </c>
      <c r="H3910" s="17">
        <f>IF(B3910="","","")</f>
        <v/>
      </c>
      <c r="I3910" s="17">
        <f>IF(B3910="","","")</f>
        <v/>
      </c>
      <c r="J3910" s="17">
        <f>IF(B3910="","","touch_1; "&amp;IFERROR(INDEX(Clay_Brands!$A$2:$FZ$601,459,Sync!$D$10)&amp;"","")&amp;"; "&amp;IFERROR(INDEX(Clay_Brands!$A$2:$FZ$601,459,Sync!$D$9)&amp;"",""))</f>
        <v/>
      </c>
      <c r="K3910" t="inlineStr">
        <is>
          <t>brand outreach touch 1</t>
        </is>
      </c>
    </row>
    <row r="3911">
      <c r="A3911" s="17">
        <f>IF(B3911="","",B3911+(15*1000+460)/10000000)</f>
        <v/>
      </c>
      <c r="B3911" s="23">
        <f>IF(AND(IFERROR(N(INDEX(Clay_Brands!$A$2:$FZ$601,460,Sync!$D$11)),0)&gt;0,IFERROR(INDEX(Clay_Brands!$A$2:$FZ$601,460,Sync!$D$5)&amp;"","")&lt;&gt;"",OR(LEFT(IFERROR(INDEX(Clay_Brands!$A$2:$FZ$601,460,Sync!$D$5)&amp;"",""),6)&lt;&gt;"SAMPLE",Config!$B$19="Y")),IFERROR(N(INDEX(Clay_Brands!$A$2:$FZ$601,460,Sync!$D$11)),0),"")</f>
        <v/>
      </c>
      <c r="C3911" s="17">
        <f>IF(B3911="","","brand")</f>
        <v/>
      </c>
      <c r="D3911" s="17">
        <f>IF(B3911="","",IFERROR(INDEX(Clay_Brands!$A$2:$FZ$601,460,Sync!$D$5)&amp;"",""))</f>
        <v/>
      </c>
      <c r="E3911" s="17">
        <f>IF(B3911="","",IFERROR(INDEX(Clay_Brands!$A$2:$FZ$601,460,Sync!$D$6)&amp;"",""))</f>
        <v/>
      </c>
      <c r="F3911" s="17">
        <f>IF(B3911="","","outreach_sent")</f>
        <v/>
      </c>
      <c r="G3911" s="17">
        <f>IF(B3911="","","")</f>
        <v/>
      </c>
      <c r="H3911" s="17">
        <f>IF(B3911="","","")</f>
        <v/>
      </c>
      <c r="I3911" s="17">
        <f>IF(B3911="","","")</f>
        <v/>
      </c>
      <c r="J3911" s="17">
        <f>IF(B3911="","","touch_1; "&amp;IFERROR(INDEX(Clay_Brands!$A$2:$FZ$601,460,Sync!$D$10)&amp;"","")&amp;"; "&amp;IFERROR(INDEX(Clay_Brands!$A$2:$FZ$601,460,Sync!$D$9)&amp;"",""))</f>
        <v/>
      </c>
      <c r="K3911" t="inlineStr">
        <is>
          <t>brand outreach touch 1</t>
        </is>
      </c>
    </row>
    <row r="3912">
      <c r="A3912" s="17">
        <f>IF(B3912="","",B3912+(15*1000+461)/10000000)</f>
        <v/>
      </c>
      <c r="B3912" s="23">
        <f>IF(AND(IFERROR(N(INDEX(Clay_Brands!$A$2:$FZ$601,461,Sync!$D$11)),0)&gt;0,IFERROR(INDEX(Clay_Brands!$A$2:$FZ$601,461,Sync!$D$5)&amp;"","")&lt;&gt;"",OR(LEFT(IFERROR(INDEX(Clay_Brands!$A$2:$FZ$601,461,Sync!$D$5)&amp;"",""),6)&lt;&gt;"SAMPLE",Config!$B$19="Y")),IFERROR(N(INDEX(Clay_Brands!$A$2:$FZ$601,461,Sync!$D$11)),0),"")</f>
        <v/>
      </c>
      <c r="C3912" s="17">
        <f>IF(B3912="","","brand")</f>
        <v/>
      </c>
      <c r="D3912" s="17">
        <f>IF(B3912="","",IFERROR(INDEX(Clay_Brands!$A$2:$FZ$601,461,Sync!$D$5)&amp;"",""))</f>
        <v/>
      </c>
      <c r="E3912" s="17">
        <f>IF(B3912="","",IFERROR(INDEX(Clay_Brands!$A$2:$FZ$601,461,Sync!$D$6)&amp;"",""))</f>
        <v/>
      </c>
      <c r="F3912" s="17">
        <f>IF(B3912="","","outreach_sent")</f>
        <v/>
      </c>
      <c r="G3912" s="17">
        <f>IF(B3912="","","")</f>
        <v/>
      </c>
      <c r="H3912" s="17">
        <f>IF(B3912="","","")</f>
        <v/>
      </c>
      <c r="I3912" s="17">
        <f>IF(B3912="","","")</f>
        <v/>
      </c>
      <c r="J3912" s="17">
        <f>IF(B3912="","","touch_1; "&amp;IFERROR(INDEX(Clay_Brands!$A$2:$FZ$601,461,Sync!$D$10)&amp;"","")&amp;"; "&amp;IFERROR(INDEX(Clay_Brands!$A$2:$FZ$601,461,Sync!$D$9)&amp;"",""))</f>
        <v/>
      </c>
      <c r="K3912" t="inlineStr">
        <is>
          <t>brand outreach touch 1</t>
        </is>
      </c>
    </row>
    <row r="3913">
      <c r="A3913" s="17">
        <f>IF(B3913="","",B3913+(15*1000+462)/10000000)</f>
        <v/>
      </c>
      <c r="B3913" s="23">
        <f>IF(AND(IFERROR(N(INDEX(Clay_Brands!$A$2:$FZ$601,462,Sync!$D$11)),0)&gt;0,IFERROR(INDEX(Clay_Brands!$A$2:$FZ$601,462,Sync!$D$5)&amp;"","")&lt;&gt;"",OR(LEFT(IFERROR(INDEX(Clay_Brands!$A$2:$FZ$601,462,Sync!$D$5)&amp;"",""),6)&lt;&gt;"SAMPLE",Config!$B$19="Y")),IFERROR(N(INDEX(Clay_Brands!$A$2:$FZ$601,462,Sync!$D$11)),0),"")</f>
        <v/>
      </c>
      <c r="C3913" s="17">
        <f>IF(B3913="","","brand")</f>
        <v/>
      </c>
      <c r="D3913" s="17">
        <f>IF(B3913="","",IFERROR(INDEX(Clay_Brands!$A$2:$FZ$601,462,Sync!$D$5)&amp;"",""))</f>
        <v/>
      </c>
      <c r="E3913" s="17">
        <f>IF(B3913="","",IFERROR(INDEX(Clay_Brands!$A$2:$FZ$601,462,Sync!$D$6)&amp;"",""))</f>
        <v/>
      </c>
      <c r="F3913" s="17">
        <f>IF(B3913="","","outreach_sent")</f>
        <v/>
      </c>
      <c r="G3913" s="17">
        <f>IF(B3913="","","")</f>
        <v/>
      </c>
      <c r="H3913" s="17">
        <f>IF(B3913="","","")</f>
        <v/>
      </c>
      <c r="I3913" s="17">
        <f>IF(B3913="","","")</f>
        <v/>
      </c>
      <c r="J3913" s="17">
        <f>IF(B3913="","","touch_1; "&amp;IFERROR(INDEX(Clay_Brands!$A$2:$FZ$601,462,Sync!$D$10)&amp;"","")&amp;"; "&amp;IFERROR(INDEX(Clay_Brands!$A$2:$FZ$601,462,Sync!$D$9)&amp;"",""))</f>
        <v/>
      </c>
      <c r="K3913" t="inlineStr">
        <is>
          <t>brand outreach touch 1</t>
        </is>
      </c>
    </row>
    <row r="3914">
      <c r="A3914" s="17">
        <f>IF(B3914="","",B3914+(15*1000+463)/10000000)</f>
        <v/>
      </c>
      <c r="B3914" s="23">
        <f>IF(AND(IFERROR(N(INDEX(Clay_Brands!$A$2:$FZ$601,463,Sync!$D$11)),0)&gt;0,IFERROR(INDEX(Clay_Brands!$A$2:$FZ$601,463,Sync!$D$5)&amp;"","")&lt;&gt;"",OR(LEFT(IFERROR(INDEX(Clay_Brands!$A$2:$FZ$601,463,Sync!$D$5)&amp;"",""),6)&lt;&gt;"SAMPLE",Config!$B$19="Y")),IFERROR(N(INDEX(Clay_Brands!$A$2:$FZ$601,463,Sync!$D$11)),0),"")</f>
        <v/>
      </c>
      <c r="C3914" s="17">
        <f>IF(B3914="","","brand")</f>
        <v/>
      </c>
      <c r="D3914" s="17">
        <f>IF(B3914="","",IFERROR(INDEX(Clay_Brands!$A$2:$FZ$601,463,Sync!$D$5)&amp;"",""))</f>
        <v/>
      </c>
      <c r="E3914" s="17">
        <f>IF(B3914="","",IFERROR(INDEX(Clay_Brands!$A$2:$FZ$601,463,Sync!$D$6)&amp;"",""))</f>
        <v/>
      </c>
      <c r="F3914" s="17">
        <f>IF(B3914="","","outreach_sent")</f>
        <v/>
      </c>
      <c r="G3914" s="17">
        <f>IF(B3914="","","")</f>
        <v/>
      </c>
      <c r="H3914" s="17">
        <f>IF(B3914="","","")</f>
        <v/>
      </c>
      <c r="I3914" s="17">
        <f>IF(B3914="","","")</f>
        <v/>
      </c>
      <c r="J3914" s="17">
        <f>IF(B3914="","","touch_1; "&amp;IFERROR(INDEX(Clay_Brands!$A$2:$FZ$601,463,Sync!$D$10)&amp;"","")&amp;"; "&amp;IFERROR(INDEX(Clay_Brands!$A$2:$FZ$601,463,Sync!$D$9)&amp;"",""))</f>
        <v/>
      </c>
      <c r="K3914" t="inlineStr">
        <is>
          <t>brand outreach touch 1</t>
        </is>
      </c>
    </row>
    <row r="3915">
      <c r="A3915" s="17">
        <f>IF(B3915="","",B3915+(15*1000+464)/10000000)</f>
        <v/>
      </c>
      <c r="B3915" s="23">
        <f>IF(AND(IFERROR(N(INDEX(Clay_Brands!$A$2:$FZ$601,464,Sync!$D$11)),0)&gt;0,IFERROR(INDEX(Clay_Brands!$A$2:$FZ$601,464,Sync!$D$5)&amp;"","")&lt;&gt;"",OR(LEFT(IFERROR(INDEX(Clay_Brands!$A$2:$FZ$601,464,Sync!$D$5)&amp;"",""),6)&lt;&gt;"SAMPLE",Config!$B$19="Y")),IFERROR(N(INDEX(Clay_Brands!$A$2:$FZ$601,464,Sync!$D$11)),0),"")</f>
        <v/>
      </c>
      <c r="C3915" s="17">
        <f>IF(B3915="","","brand")</f>
        <v/>
      </c>
      <c r="D3915" s="17">
        <f>IF(B3915="","",IFERROR(INDEX(Clay_Brands!$A$2:$FZ$601,464,Sync!$D$5)&amp;"",""))</f>
        <v/>
      </c>
      <c r="E3915" s="17">
        <f>IF(B3915="","",IFERROR(INDEX(Clay_Brands!$A$2:$FZ$601,464,Sync!$D$6)&amp;"",""))</f>
        <v/>
      </c>
      <c r="F3915" s="17">
        <f>IF(B3915="","","outreach_sent")</f>
        <v/>
      </c>
      <c r="G3915" s="17">
        <f>IF(B3915="","","")</f>
        <v/>
      </c>
      <c r="H3915" s="17">
        <f>IF(B3915="","","")</f>
        <v/>
      </c>
      <c r="I3915" s="17">
        <f>IF(B3915="","","")</f>
        <v/>
      </c>
      <c r="J3915" s="17">
        <f>IF(B3915="","","touch_1; "&amp;IFERROR(INDEX(Clay_Brands!$A$2:$FZ$601,464,Sync!$D$10)&amp;"","")&amp;"; "&amp;IFERROR(INDEX(Clay_Brands!$A$2:$FZ$601,464,Sync!$D$9)&amp;"",""))</f>
        <v/>
      </c>
      <c r="K3915" t="inlineStr">
        <is>
          <t>brand outreach touch 1</t>
        </is>
      </c>
    </row>
    <row r="3916">
      <c r="A3916" s="17">
        <f>IF(B3916="","",B3916+(15*1000+465)/10000000)</f>
        <v/>
      </c>
      <c r="B3916" s="23">
        <f>IF(AND(IFERROR(N(INDEX(Clay_Brands!$A$2:$FZ$601,465,Sync!$D$11)),0)&gt;0,IFERROR(INDEX(Clay_Brands!$A$2:$FZ$601,465,Sync!$D$5)&amp;"","")&lt;&gt;"",OR(LEFT(IFERROR(INDEX(Clay_Brands!$A$2:$FZ$601,465,Sync!$D$5)&amp;"",""),6)&lt;&gt;"SAMPLE",Config!$B$19="Y")),IFERROR(N(INDEX(Clay_Brands!$A$2:$FZ$601,465,Sync!$D$11)),0),"")</f>
        <v/>
      </c>
      <c r="C3916" s="17">
        <f>IF(B3916="","","brand")</f>
        <v/>
      </c>
      <c r="D3916" s="17">
        <f>IF(B3916="","",IFERROR(INDEX(Clay_Brands!$A$2:$FZ$601,465,Sync!$D$5)&amp;"",""))</f>
        <v/>
      </c>
      <c r="E3916" s="17">
        <f>IF(B3916="","",IFERROR(INDEX(Clay_Brands!$A$2:$FZ$601,465,Sync!$D$6)&amp;"",""))</f>
        <v/>
      </c>
      <c r="F3916" s="17">
        <f>IF(B3916="","","outreach_sent")</f>
        <v/>
      </c>
      <c r="G3916" s="17">
        <f>IF(B3916="","","")</f>
        <v/>
      </c>
      <c r="H3916" s="17">
        <f>IF(B3916="","","")</f>
        <v/>
      </c>
      <c r="I3916" s="17">
        <f>IF(B3916="","","")</f>
        <v/>
      </c>
      <c r="J3916" s="17">
        <f>IF(B3916="","","touch_1; "&amp;IFERROR(INDEX(Clay_Brands!$A$2:$FZ$601,465,Sync!$D$10)&amp;"","")&amp;"; "&amp;IFERROR(INDEX(Clay_Brands!$A$2:$FZ$601,465,Sync!$D$9)&amp;"",""))</f>
        <v/>
      </c>
      <c r="K3916" t="inlineStr">
        <is>
          <t>brand outreach touch 1</t>
        </is>
      </c>
    </row>
    <row r="3917">
      <c r="A3917" s="17">
        <f>IF(B3917="","",B3917+(15*1000+466)/10000000)</f>
        <v/>
      </c>
      <c r="B3917" s="23">
        <f>IF(AND(IFERROR(N(INDEX(Clay_Brands!$A$2:$FZ$601,466,Sync!$D$11)),0)&gt;0,IFERROR(INDEX(Clay_Brands!$A$2:$FZ$601,466,Sync!$D$5)&amp;"","")&lt;&gt;"",OR(LEFT(IFERROR(INDEX(Clay_Brands!$A$2:$FZ$601,466,Sync!$D$5)&amp;"",""),6)&lt;&gt;"SAMPLE",Config!$B$19="Y")),IFERROR(N(INDEX(Clay_Brands!$A$2:$FZ$601,466,Sync!$D$11)),0),"")</f>
        <v/>
      </c>
      <c r="C3917" s="17">
        <f>IF(B3917="","","brand")</f>
        <v/>
      </c>
      <c r="D3917" s="17">
        <f>IF(B3917="","",IFERROR(INDEX(Clay_Brands!$A$2:$FZ$601,466,Sync!$D$5)&amp;"",""))</f>
        <v/>
      </c>
      <c r="E3917" s="17">
        <f>IF(B3917="","",IFERROR(INDEX(Clay_Brands!$A$2:$FZ$601,466,Sync!$D$6)&amp;"",""))</f>
        <v/>
      </c>
      <c r="F3917" s="17">
        <f>IF(B3917="","","outreach_sent")</f>
        <v/>
      </c>
      <c r="G3917" s="17">
        <f>IF(B3917="","","")</f>
        <v/>
      </c>
      <c r="H3917" s="17">
        <f>IF(B3917="","","")</f>
        <v/>
      </c>
      <c r="I3917" s="17">
        <f>IF(B3917="","","")</f>
        <v/>
      </c>
      <c r="J3917" s="17">
        <f>IF(B3917="","","touch_1; "&amp;IFERROR(INDEX(Clay_Brands!$A$2:$FZ$601,466,Sync!$D$10)&amp;"","")&amp;"; "&amp;IFERROR(INDEX(Clay_Brands!$A$2:$FZ$601,466,Sync!$D$9)&amp;"",""))</f>
        <v/>
      </c>
      <c r="K3917" t="inlineStr">
        <is>
          <t>brand outreach touch 1</t>
        </is>
      </c>
    </row>
    <row r="3918">
      <c r="A3918" s="17">
        <f>IF(B3918="","",B3918+(15*1000+467)/10000000)</f>
        <v/>
      </c>
      <c r="B3918" s="23">
        <f>IF(AND(IFERROR(N(INDEX(Clay_Brands!$A$2:$FZ$601,467,Sync!$D$11)),0)&gt;0,IFERROR(INDEX(Clay_Brands!$A$2:$FZ$601,467,Sync!$D$5)&amp;"","")&lt;&gt;"",OR(LEFT(IFERROR(INDEX(Clay_Brands!$A$2:$FZ$601,467,Sync!$D$5)&amp;"",""),6)&lt;&gt;"SAMPLE",Config!$B$19="Y")),IFERROR(N(INDEX(Clay_Brands!$A$2:$FZ$601,467,Sync!$D$11)),0),"")</f>
        <v/>
      </c>
      <c r="C3918" s="17">
        <f>IF(B3918="","","brand")</f>
        <v/>
      </c>
      <c r="D3918" s="17">
        <f>IF(B3918="","",IFERROR(INDEX(Clay_Brands!$A$2:$FZ$601,467,Sync!$D$5)&amp;"",""))</f>
        <v/>
      </c>
      <c r="E3918" s="17">
        <f>IF(B3918="","",IFERROR(INDEX(Clay_Brands!$A$2:$FZ$601,467,Sync!$D$6)&amp;"",""))</f>
        <v/>
      </c>
      <c r="F3918" s="17">
        <f>IF(B3918="","","outreach_sent")</f>
        <v/>
      </c>
      <c r="G3918" s="17">
        <f>IF(B3918="","","")</f>
        <v/>
      </c>
      <c r="H3918" s="17">
        <f>IF(B3918="","","")</f>
        <v/>
      </c>
      <c r="I3918" s="17">
        <f>IF(B3918="","","")</f>
        <v/>
      </c>
      <c r="J3918" s="17">
        <f>IF(B3918="","","touch_1; "&amp;IFERROR(INDEX(Clay_Brands!$A$2:$FZ$601,467,Sync!$D$10)&amp;"","")&amp;"; "&amp;IFERROR(INDEX(Clay_Brands!$A$2:$FZ$601,467,Sync!$D$9)&amp;"",""))</f>
        <v/>
      </c>
      <c r="K3918" t="inlineStr">
        <is>
          <t>brand outreach touch 1</t>
        </is>
      </c>
    </row>
    <row r="3919">
      <c r="A3919" s="17">
        <f>IF(B3919="","",B3919+(15*1000+468)/10000000)</f>
        <v/>
      </c>
      <c r="B3919" s="23">
        <f>IF(AND(IFERROR(N(INDEX(Clay_Brands!$A$2:$FZ$601,468,Sync!$D$11)),0)&gt;0,IFERROR(INDEX(Clay_Brands!$A$2:$FZ$601,468,Sync!$D$5)&amp;"","")&lt;&gt;"",OR(LEFT(IFERROR(INDEX(Clay_Brands!$A$2:$FZ$601,468,Sync!$D$5)&amp;"",""),6)&lt;&gt;"SAMPLE",Config!$B$19="Y")),IFERROR(N(INDEX(Clay_Brands!$A$2:$FZ$601,468,Sync!$D$11)),0),"")</f>
        <v/>
      </c>
      <c r="C3919" s="17">
        <f>IF(B3919="","","brand")</f>
        <v/>
      </c>
      <c r="D3919" s="17">
        <f>IF(B3919="","",IFERROR(INDEX(Clay_Brands!$A$2:$FZ$601,468,Sync!$D$5)&amp;"",""))</f>
        <v/>
      </c>
      <c r="E3919" s="17">
        <f>IF(B3919="","",IFERROR(INDEX(Clay_Brands!$A$2:$FZ$601,468,Sync!$D$6)&amp;"",""))</f>
        <v/>
      </c>
      <c r="F3919" s="17">
        <f>IF(B3919="","","outreach_sent")</f>
        <v/>
      </c>
      <c r="G3919" s="17">
        <f>IF(B3919="","","")</f>
        <v/>
      </c>
      <c r="H3919" s="17">
        <f>IF(B3919="","","")</f>
        <v/>
      </c>
      <c r="I3919" s="17">
        <f>IF(B3919="","","")</f>
        <v/>
      </c>
      <c r="J3919" s="17">
        <f>IF(B3919="","","touch_1; "&amp;IFERROR(INDEX(Clay_Brands!$A$2:$FZ$601,468,Sync!$D$10)&amp;"","")&amp;"; "&amp;IFERROR(INDEX(Clay_Brands!$A$2:$FZ$601,468,Sync!$D$9)&amp;"",""))</f>
        <v/>
      </c>
      <c r="K3919" t="inlineStr">
        <is>
          <t>brand outreach touch 1</t>
        </is>
      </c>
    </row>
    <row r="3920">
      <c r="A3920" s="17">
        <f>IF(B3920="","",B3920+(15*1000+469)/10000000)</f>
        <v/>
      </c>
      <c r="B3920" s="23">
        <f>IF(AND(IFERROR(N(INDEX(Clay_Brands!$A$2:$FZ$601,469,Sync!$D$11)),0)&gt;0,IFERROR(INDEX(Clay_Brands!$A$2:$FZ$601,469,Sync!$D$5)&amp;"","")&lt;&gt;"",OR(LEFT(IFERROR(INDEX(Clay_Brands!$A$2:$FZ$601,469,Sync!$D$5)&amp;"",""),6)&lt;&gt;"SAMPLE",Config!$B$19="Y")),IFERROR(N(INDEX(Clay_Brands!$A$2:$FZ$601,469,Sync!$D$11)),0),"")</f>
        <v/>
      </c>
      <c r="C3920" s="17">
        <f>IF(B3920="","","brand")</f>
        <v/>
      </c>
      <c r="D3920" s="17">
        <f>IF(B3920="","",IFERROR(INDEX(Clay_Brands!$A$2:$FZ$601,469,Sync!$D$5)&amp;"",""))</f>
        <v/>
      </c>
      <c r="E3920" s="17">
        <f>IF(B3920="","",IFERROR(INDEX(Clay_Brands!$A$2:$FZ$601,469,Sync!$D$6)&amp;"",""))</f>
        <v/>
      </c>
      <c r="F3920" s="17">
        <f>IF(B3920="","","outreach_sent")</f>
        <v/>
      </c>
      <c r="G3920" s="17">
        <f>IF(B3920="","","")</f>
        <v/>
      </c>
      <c r="H3920" s="17">
        <f>IF(B3920="","","")</f>
        <v/>
      </c>
      <c r="I3920" s="17">
        <f>IF(B3920="","","")</f>
        <v/>
      </c>
      <c r="J3920" s="17">
        <f>IF(B3920="","","touch_1; "&amp;IFERROR(INDEX(Clay_Brands!$A$2:$FZ$601,469,Sync!$D$10)&amp;"","")&amp;"; "&amp;IFERROR(INDEX(Clay_Brands!$A$2:$FZ$601,469,Sync!$D$9)&amp;"",""))</f>
        <v/>
      </c>
      <c r="K3920" t="inlineStr">
        <is>
          <t>brand outreach touch 1</t>
        </is>
      </c>
    </row>
    <row r="3921">
      <c r="A3921" s="17">
        <f>IF(B3921="","",B3921+(15*1000+470)/10000000)</f>
        <v/>
      </c>
      <c r="B3921" s="23">
        <f>IF(AND(IFERROR(N(INDEX(Clay_Brands!$A$2:$FZ$601,470,Sync!$D$11)),0)&gt;0,IFERROR(INDEX(Clay_Brands!$A$2:$FZ$601,470,Sync!$D$5)&amp;"","")&lt;&gt;"",OR(LEFT(IFERROR(INDEX(Clay_Brands!$A$2:$FZ$601,470,Sync!$D$5)&amp;"",""),6)&lt;&gt;"SAMPLE",Config!$B$19="Y")),IFERROR(N(INDEX(Clay_Brands!$A$2:$FZ$601,470,Sync!$D$11)),0),"")</f>
        <v/>
      </c>
      <c r="C3921" s="17">
        <f>IF(B3921="","","brand")</f>
        <v/>
      </c>
      <c r="D3921" s="17">
        <f>IF(B3921="","",IFERROR(INDEX(Clay_Brands!$A$2:$FZ$601,470,Sync!$D$5)&amp;"",""))</f>
        <v/>
      </c>
      <c r="E3921" s="17">
        <f>IF(B3921="","",IFERROR(INDEX(Clay_Brands!$A$2:$FZ$601,470,Sync!$D$6)&amp;"",""))</f>
        <v/>
      </c>
      <c r="F3921" s="17">
        <f>IF(B3921="","","outreach_sent")</f>
        <v/>
      </c>
      <c r="G3921" s="17">
        <f>IF(B3921="","","")</f>
        <v/>
      </c>
      <c r="H3921" s="17">
        <f>IF(B3921="","","")</f>
        <v/>
      </c>
      <c r="I3921" s="17">
        <f>IF(B3921="","","")</f>
        <v/>
      </c>
      <c r="J3921" s="17">
        <f>IF(B3921="","","touch_1; "&amp;IFERROR(INDEX(Clay_Brands!$A$2:$FZ$601,470,Sync!$D$10)&amp;"","")&amp;"; "&amp;IFERROR(INDEX(Clay_Brands!$A$2:$FZ$601,470,Sync!$D$9)&amp;"",""))</f>
        <v/>
      </c>
      <c r="K3921" t="inlineStr">
        <is>
          <t>brand outreach touch 1</t>
        </is>
      </c>
    </row>
    <row r="3922">
      <c r="A3922" s="17">
        <f>IF(B3922="","",B3922+(15*1000+471)/10000000)</f>
        <v/>
      </c>
      <c r="B3922" s="23">
        <f>IF(AND(IFERROR(N(INDEX(Clay_Brands!$A$2:$FZ$601,471,Sync!$D$11)),0)&gt;0,IFERROR(INDEX(Clay_Brands!$A$2:$FZ$601,471,Sync!$D$5)&amp;"","")&lt;&gt;"",OR(LEFT(IFERROR(INDEX(Clay_Brands!$A$2:$FZ$601,471,Sync!$D$5)&amp;"",""),6)&lt;&gt;"SAMPLE",Config!$B$19="Y")),IFERROR(N(INDEX(Clay_Brands!$A$2:$FZ$601,471,Sync!$D$11)),0),"")</f>
        <v/>
      </c>
      <c r="C3922" s="17">
        <f>IF(B3922="","","brand")</f>
        <v/>
      </c>
      <c r="D3922" s="17">
        <f>IF(B3922="","",IFERROR(INDEX(Clay_Brands!$A$2:$FZ$601,471,Sync!$D$5)&amp;"",""))</f>
        <v/>
      </c>
      <c r="E3922" s="17">
        <f>IF(B3922="","",IFERROR(INDEX(Clay_Brands!$A$2:$FZ$601,471,Sync!$D$6)&amp;"",""))</f>
        <v/>
      </c>
      <c r="F3922" s="17">
        <f>IF(B3922="","","outreach_sent")</f>
        <v/>
      </c>
      <c r="G3922" s="17">
        <f>IF(B3922="","","")</f>
        <v/>
      </c>
      <c r="H3922" s="17">
        <f>IF(B3922="","","")</f>
        <v/>
      </c>
      <c r="I3922" s="17">
        <f>IF(B3922="","","")</f>
        <v/>
      </c>
      <c r="J3922" s="17">
        <f>IF(B3922="","","touch_1; "&amp;IFERROR(INDEX(Clay_Brands!$A$2:$FZ$601,471,Sync!$D$10)&amp;"","")&amp;"; "&amp;IFERROR(INDEX(Clay_Brands!$A$2:$FZ$601,471,Sync!$D$9)&amp;"",""))</f>
        <v/>
      </c>
      <c r="K3922" t="inlineStr">
        <is>
          <t>brand outreach touch 1</t>
        </is>
      </c>
    </row>
    <row r="3923">
      <c r="A3923" s="17">
        <f>IF(B3923="","",B3923+(15*1000+472)/10000000)</f>
        <v/>
      </c>
      <c r="B3923" s="23">
        <f>IF(AND(IFERROR(N(INDEX(Clay_Brands!$A$2:$FZ$601,472,Sync!$D$11)),0)&gt;0,IFERROR(INDEX(Clay_Brands!$A$2:$FZ$601,472,Sync!$D$5)&amp;"","")&lt;&gt;"",OR(LEFT(IFERROR(INDEX(Clay_Brands!$A$2:$FZ$601,472,Sync!$D$5)&amp;"",""),6)&lt;&gt;"SAMPLE",Config!$B$19="Y")),IFERROR(N(INDEX(Clay_Brands!$A$2:$FZ$601,472,Sync!$D$11)),0),"")</f>
        <v/>
      </c>
      <c r="C3923" s="17">
        <f>IF(B3923="","","brand")</f>
        <v/>
      </c>
      <c r="D3923" s="17">
        <f>IF(B3923="","",IFERROR(INDEX(Clay_Brands!$A$2:$FZ$601,472,Sync!$D$5)&amp;"",""))</f>
        <v/>
      </c>
      <c r="E3923" s="17">
        <f>IF(B3923="","",IFERROR(INDEX(Clay_Brands!$A$2:$FZ$601,472,Sync!$D$6)&amp;"",""))</f>
        <v/>
      </c>
      <c r="F3923" s="17">
        <f>IF(B3923="","","outreach_sent")</f>
        <v/>
      </c>
      <c r="G3923" s="17">
        <f>IF(B3923="","","")</f>
        <v/>
      </c>
      <c r="H3923" s="17">
        <f>IF(B3923="","","")</f>
        <v/>
      </c>
      <c r="I3923" s="17">
        <f>IF(B3923="","","")</f>
        <v/>
      </c>
      <c r="J3923" s="17">
        <f>IF(B3923="","","touch_1; "&amp;IFERROR(INDEX(Clay_Brands!$A$2:$FZ$601,472,Sync!$D$10)&amp;"","")&amp;"; "&amp;IFERROR(INDEX(Clay_Brands!$A$2:$FZ$601,472,Sync!$D$9)&amp;"",""))</f>
        <v/>
      </c>
      <c r="K3923" t="inlineStr">
        <is>
          <t>brand outreach touch 1</t>
        </is>
      </c>
    </row>
    <row r="3924">
      <c r="A3924" s="17">
        <f>IF(B3924="","",B3924+(15*1000+473)/10000000)</f>
        <v/>
      </c>
      <c r="B3924" s="23">
        <f>IF(AND(IFERROR(N(INDEX(Clay_Brands!$A$2:$FZ$601,473,Sync!$D$11)),0)&gt;0,IFERROR(INDEX(Clay_Brands!$A$2:$FZ$601,473,Sync!$D$5)&amp;"","")&lt;&gt;"",OR(LEFT(IFERROR(INDEX(Clay_Brands!$A$2:$FZ$601,473,Sync!$D$5)&amp;"",""),6)&lt;&gt;"SAMPLE",Config!$B$19="Y")),IFERROR(N(INDEX(Clay_Brands!$A$2:$FZ$601,473,Sync!$D$11)),0),"")</f>
        <v/>
      </c>
      <c r="C3924" s="17">
        <f>IF(B3924="","","brand")</f>
        <v/>
      </c>
      <c r="D3924" s="17">
        <f>IF(B3924="","",IFERROR(INDEX(Clay_Brands!$A$2:$FZ$601,473,Sync!$D$5)&amp;"",""))</f>
        <v/>
      </c>
      <c r="E3924" s="17">
        <f>IF(B3924="","",IFERROR(INDEX(Clay_Brands!$A$2:$FZ$601,473,Sync!$D$6)&amp;"",""))</f>
        <v/>
      </c>
      <c r="F3924" s="17">
        <f>IF(B3924="","","outreach_sent")</f>
        <v/>
      </c>
      <c r="G3924" s="17">
        <f>IF(B3924="","","")</f>
        <v/>
      </c>
      <c r="H3924" s="17">
        <f>IF(B3924="","","")</f>
        <v/>
      </c>
      <c r="I3924" s="17">
        <f>IF(B3924="","","")</f>
        <v/>
      </c>
      <c r="J3924" s="17">
        <f>IF(B3924="","","touch_1; "&amp;IFERROR(INDEX(Clay_Brands!$A$2:$FZ$601,473,Sync!$D$10)&amp;"","")&amp;"; "&amp;IFERROR(INDEX(Clay_Brands!$A$2:$FZ$601,473,Sync!$D$9)&amp;"",""))</f>
        <v/>
      </c>
      <c r="K3924" t="inlineStr">
        <is>
          <t>brand outreach touch 1</t>
        </is>
      </c>
    </row>
    <row r="3925">
      <c r="A3925" s="17">
        <f>IF(B3925="","",B3925+(15*1000+474)/10000000)</f>
        <v/>
      </c>
      <c r="B3925" s="23">
        <f>IF(AND(IFERROR(N(INDEX(Clay_Brands!$A$2:$FZ$601,474,Sync!$D$11)),0)&gt;0,IFERROR(INDEX(Clay_Brands!$A$2:$FZ$601,474,Sync!$D$5)&amp;"","")&lt;&gt;"",OR(LEFT(IFERROR(INDEX(Clay_Brands!$A$2:$FZ$601,474,Sync!$D$5)&amp;"",""),6)&lt;&gt;"SAMPLE",Config!$B$19="Y")),IFERROR(N(INDEX(Clay_Brands!$A$2:$FZ$601,474,Sync!$D$11)),0),"")</f>
        <v/>
      </c>
      <c r="C3925" s="17">
        <f>IF(B3925="","","brand")</f>
        <v/>
      </c>
      <c r="D3925" s="17">
        <f>IF(B3925="","",IFERROR(INDEX(Clay_Brands!$A$2:$FZ$601,474,Sync!$D$5)&amp;"",""))</f>
        <v/>
      </c>
      <c r="E3925" s="17">
        <f>IF(B3925="","",IFERROR(INDEX(Clay_Brands!$A$2:$FZ$601,474,Sync!$D$6)&amp;"",""))</f>
        <v/>
      </c>
      <c r="F3925" s="17">
        <f>IF(B3925="","","outreach_sent")</f>
        <v/>
      </c>
      <c r="G3925" s="17">
        <f>IF(B3925="","","")</f>
        <v/>
      </c>
      <c r="H3925" s="17">
        <f>IF(B3925="","","")</f>
        <v/>
      </c>
      <c r="I3925" s="17">
        <f>IF(B3925="","","")</f>
        <v/>
      </c>
      <c r="J3925" s="17">
        <f>IF(B3925="","","touch_1; "&amp;IFERROR(INDEX(Clay_Brands!$A$2:$FZ$601,474,Sync!$D$10)&amp;"","")&amp;"; "&amp;IFERROR(INDEX(Clay_Brands!$A$2:$FZ$601,474,Sync!$D$9)&amp;"",""))</f>
        <v/>
      </c>
      <c r="K3925" t="inlineStr">
        <is>
          <t>brand outreach touch 1</t>
        </is>
      </c>
    </row>
    <row r="3926">
      <c r="A3926" s="17">
        <f>IF(B3926="","",B3926+(15*1000+475)/10000000)</f>
        <v/>
      </c>
      <c r="B3926" s="23">
        <f>IF(AND(IFERROR(N(INDEX(Clay_Brands!$A$2:$FZ$601,475,Sync!$D$11)),0)&gt;0,IFERROR(INDEX(Clay_Brands!$A$2:$FZ$601,475,Sync!$D$5)&amp;"","")&lt;&gt;"",OR(LEFT(IFERROR(INDEX(Clay_Brands!$A$2:$FZ$601,475,Sync!$D$5)&amp;"",""),6)&lt;&gt;"SAMPLE",Config!$B$19="Y")),IFERROR(N(INDEX(Clay_Brands!$A$2:$FZ$601,475,Sync!$D$11)),0),"")</f>
        <v/>
      </c>
      <c r="C3926" s="17">
        <f>IF(B3926="","","brand")</f>
        <v/>
      </c>
      <c r="D3926" s="17">
        <f>IF(B3926="","",IFERROR(INDEX(Clay_Brands!$A$2:$FZ$601,475,Sync!$D$5)&amp;"",""))</f>
        <v/>
      </c>
      <c r="E3926" s="17">
        <f>IF(B3926="","",IFERROR(INDEX(Clay_Brands!$A$2:$FZ$601,475,Sync!$D$6)&amp;"",""))</f>
        <v/>
      </c>
      <c r="F3926" s="17">
        <f>IF(B3926="","","outreach_sent")</f>
        <v/>
      </c>
      <c r="G3926" s="17">
        <f>IF(B3926="","","")</f>
        <v/>
      </c>
      <c r="H3926" s="17">
        <f>IF(B3926="","","")</f>
        <v/>
      </c>
      <c r="I3926" s="17">
        <f>IF(B3926="","","")</f>
        <v/>
      </c>
      <c r="J3926" s="17">
        <f>IF(B3926="","","touch_1; "&amp;IFERROR(INDEX(Clay_Brands!$A$2:$FZ$601,475,Sync!$D$10)&amp;"","")&amp;"; "&amp;IFERROR(INDEX(Clay_Brands!$A$2:$FZ$601,475,Sync!$D$9)&amp;"",""))</f>
        <v/>
      </c>
      <c r="K3926" t="inlineStr">
        <is>
          <t>brand outreach touch 1</t>
        </is>
      </c>
    </row>
    <row r="3927">
      <c r="A3927" s="17">
        <f>IF(B3927="","",B3927+(15*1000+476)/10000000)</f>
        <v/>
      </c>
      <c r="B3927" s="23">
        <f>IF(AND(IFERROR(N(INDEX(Clay_Brands!$A$2:$FZ$601,476,Sync!$D$11)),0)&gt;0,IFERROR(INDEX(Clay_Brands!$A$2:$FZ$601,476,Sync!$D$5)&amp;"","")&lt;&gt;"",OR(LEFT(IFERROR(INDEX(Clay_Brands!$A$2:$FZ$601,476,Sync!$D$5)&amp;"",""),6)&lt;&gt;"SAMPLE",Config!$B$19="Y")),IFERROR(N(INDEX(Clay_Brands!$A$2:$FZ$601,476,Sync!$D$11)),0),"")</f>
        <v/>
      </c>
      <c r="C3927" s="17">
        <f>IF(B3927="","","brand")</f>
        <v/>
      </c>
      <c r="D3927" s="17">
        <f>IF(B3927="","",IFERROR(INDEX(Clay_Brands!$A$2:$FZ$601,476,Sync!$D$5)&amp;"",""))</f>
        <v/>
      </c>
      <c r="E3927" s="17">
        <f>IF(B3927="","",IFERROR(INDEX(Clay_Brands!$A$2:$FZ$601,476,Sync!$D$6)&amp;"",""))</f>
        <v/>
      </c>
      <c r="F3927" s="17">
        <f>IF(B3927="","","outreach_sent")</f>
        <v/>
      </c>
      <c r="G3927" s="17">
        <f>IF(B3927="","","")</f>
        <v/>
      </c>
      <c r="H3927" s="17">
        <f>IF(B3927="","","")</f>
        <v/>
      </c>
      <c r="I3927" s="17">
        <f>IF(B3927="","","")</f>
        <v/>
      </c>
      <c r="J3927" s="17">
        <f>IF(B3927="","","touch_1; "&amp;IFERROR(INDEX(Clay_Brands!$A$2:$FZ$601,476,Sync!$D$10)&amp;"","")&amp;"; "&amp;IFERROR(INDEX(Clay_Brands!$A$2:$FZ$601,476,Sync!$D$9)&amp;"",""))</f>
        <v/>
      </c>
      <c r="K3927" t="inlineStr">
        <is>
          <t>brand outreach touch 1</t>
        </is>
      </c>
    </row>
    <row r="3928">
      <c r="A3928" s="17">
        <f>IF(B3928="","",B3928+(15*1000+477)/10000000)</f>
        <v/>
      </c>
      <c r="B3928" s="23">
        <f>IF(AND(IFERROR(N(INDEX(Clay_Brands!$A$2:$FZ$601,477,Sync!$D$11)),0)&gt;0,IFERROR(INDEX(Clay_Brands!$A$2:$FZ$601,477,Sync!$D$5)&amp;"","")&lt;&gt;"",OR(LEFT(IFERROR(INDEX(Clay_Brands!$A$2:$FZ$601,477,Sync!$D$5)&amp;"",""),6)&lt;&gt;"SAMPLE",Config!$B$19="Y")),IFERROR(N(INDEX(Clay_Brands!$A$2:$FZ$601,477,Sync!$D$11)),0),"")</f>
        <v/>
      </c>
      <c r="C3928" s="17">
        <f>IF(B3928="","","brand")</f>
        <v/>
      </c>
      <c r="D3928" s="17">
        <f>IF(B3928="","",IFERROR(INDEX(Clay_Brands!$A$2:$FZ$601,477,Sync!$D$5)&amp;"",""))</f>
        <v/>
      </c>
      <c r="E3928" s="17">
        <f>IF(B3928="","",IFERROR(INDEX(Clay_Brands!$A$2:$FZ$601,477,Sync!$D$6)&amp;"",""))</f>
        <v/>
      </c>
      <c r="F3928" s="17">
        <f>IF(B3928="","","outreach_sent")</f>
        <v/>
      </c>
      <c r="G3928" s="17">
        <f>IF(B3928="","","")</f>
        <v/>
      </c>
      <c r="H3928" s="17">
        <f>IF(B3928="","","")</f>
        <v/>
      </c>
      <c r="I3928" s="17">
        <f>IF(B3928="","","")</f>
        <v/>
      </c>
      <c r="J3928" s="17">
        <f>IF(B3928="","","touch_1; "&amp;IFERROR(INDEX(Clay_Brands!$A$2:$FZ$601,477,Sync!$D$10)&amp;"","")&amp;"; "&amp;IFERROR(INDEX(Clay_Brands!$A$2:$FZ$601,477,Sync!$D$9)&amp;"",""))</f>
        <v/>
      </c>
      <c r="K3928" t="inlineStr">
        <is>
          <t>brand outreach touch 1</t>
        </is>
      </c>
    </row>
    <row r="3929">
      <c r="A3929" s="17">
        <f>IF(B3929="","",B3929+(15*1000+478)/10000000)</f>
        <v/>
      </c>
      <c r="B3929" s="23">
        <f>IF(AND(IFERROR(N(INDEX(Clay_Brands!$A$2:$FZ$601,478,Sync!$D$11)),0)&gt;0,IFERROR(INDEX(Clay_Brands!$A$2:$FZ$601,478,Sync!$D$5)&amp;"","")&lt;&gt;"",OR(LEFT(IFERROR(INDEX(Clay_Brands!$A$2:$FZ$601,478,Sync!$D$5)&amp;"",""),6)&lt;&gt;"SAMPLE",Config!$B$19="Y")),IFERROR(N(INDEX(Clay_Brands!$A$2:$FZ$601,478,Sync!$D$11)),0),"")</f>
        <v/>
      </c>
      <c r="C3929" s="17">
        <f>IF(B3929="","","brand")</f>
        <v/>
      </c>
      <c r="D3929" s="17">
        <f>IF(B3929="","",IFERROR(INDEX(Clay_Brands!$A$2:$FZ$601,478,Sync!$D$5)&amp;"",""))</f>
        <v/>
      </c>
      <c r="E3929" s="17">
        <f>IF(B3929="","",IFERROR(INDEX(Clay_Brands!$A$2:$FZ$601,478,Sync!$D$6)&amp;"",""))</f>
        <v/>
      </c>
      <c r="F3929" s="17">
        <f>IF(B3929="","","outreach_sent")</f>
        <v/>
      </c>
      <c r="G3929" s="17">
        <f>IF(B3929="","","")</f>
        <v/>
      </c>
      <c r="H3929" s="17">
        <f>IF(B3929="","","")</f>
        <v/>
      </c>
      <c r="I3929" s="17">
        <f>IF(B3929="","","")</f>
        <v/>
      </c>
      <c r="J3929" s="17">
        <f>IF(B3929="","","touch_1; "&amp;IFERROR(INDEX(Clay_Brands!$A$2:$FZ$601,478,Sync!$D$10)&amp;"","")&amp;"; "&amp;IFERROR(INDEX(Clay_Brands!$A$2:$FZ$601,478,Sync!$D$9)&amp;"",""))</f>
        <v/>
      </c>
      <c r="K3929" t="inlineStr">
        <is>
          <t>brand outreach touch 1</t>
        </is>
      </c>
    </row>
    <row r="3930">
      <c r="A3930" s="17">
        <f>IF(B3930="","",B3930+(15*1000+479)/10000000)</f>
        <v/>
      </c>
      <c r="B3930" s="23">
        <f>IF(AND(IFERROR(N(INDEX(Clay_Brands!$A$2:$FZ$601,479,Sync!$D$11)),0)&gt;0,IFERROR(INDEX(Clay_Brands!$A$2:$FZ$601,479,Sync!$D$5)&amp;"","")&lt;&gt;"",OR(LEFT(IFERROR(INDEX(Clay_Brands!$A$2:$FZ$601,479,Sync!$D$5)&amp;"",""),6)&lt;&gt;"SAMPLE",Config!$B$19="Y")),IFERROR(N(INDEX(Clay_Brands!$A$2:$FZ$601,479,Sync!$D$11)),0),"")</f>
        <v/>
      </c>
      <c r="C3930" s="17">
        <f>IF(B3930="","","brand")</f>
        <v/>
      </c>
      <c r="D3930" s="17">
        <f>IF(B3930="","",IFERROR(INDEX(Clay_Brands!$A$2:$FZ$601,479,Sync!$D$5)&amp;"",""))</f>
        <v/>
      </c>
      <c r="E3930" s="17">
        <f>IF(B3930="","",IFERROR(INDEX(Clay_Brands!$A$2:$FZ$601,479,Sync!$D$6)&amp;"",""))</f>
        <v/>
      </c>
      <c r="F3930" s="17">
        <f>IF(B3930="","","outreach_sent")</f>
        <v/>
      </c>
      <c r="G3930" s="17">
        <f>IF(B3930="","","")</f>
        <v/>
      </c>
      <c r="H3930" s="17">
        <f>IF(B3930="","","")</f>
        <v/>
      </c>
      <c r="I3930" s="17">
        <f>IF(B3930="","","")</f>
        <v/>
      </c>
      <c r="J3930" s="17">
        <f>IF(B3930="","","touch_1; "&amp;IFERROR(INDEX(Clay_Brands!$A$2:$FZ$601,479,Sync!$D$10)&amp;"","")&amp;"; "&amp;IFERROR(INDEX(Clay_Brands!$A$2:$FZ$601,479,Sync!$D$9)&amp;"",""))</f>
        <v/>
      </c>
      <c r="K3930" t="inlineStr">
        <is>
          <t>brand outreach touch 1</t>
        </is>
      </c>
    </row>
    <row r="3931">
      <c r="A3931" s="17">
        <f>IF(B3931="","",B3931+(15*1000+480)/10000000)</f>
        <v/>
      </c>
      <c r="B3931" s="23">
        <f>IF(AND(IFERROR(N(INDEX(Clay_Brands!$A$2:$FZ$601,480,Sync!$D$11)),0)&gt;0,IFERROR(INDEX(Clay_Brands!$A$2:$FZ$601,480,Sync!$D$5)&amp;"","")&lt;&gt;"",OR(LEFT(IFERROR(INDEX(Clay_Brands!$A$2:$FZ$601,480,Sync!$D$5)&amp;"",""),6)&lt;&gt;"SAMPLE",Config!$B$19="Y")),IFERROR(N(INDEX(Clay_Brands!$A$2:$FZ$601,480,Sync!$D$11)),0),"")</f>
        <v/>
      </c>
      <c r="C3931" s="17">
        <f>IF(B3931="","","brand")</f>
        <v/>
      </c>
      <c r="D3931" s="17">
        <f>IF(B3931="","",IFERROR(INDEX(Clay_Brands!$A$2:$FZ$601,480,Sync!$D$5)&amp;"",""))</f>
        <v/>
      </c>
      <c r="E3931" s="17">
        <f>IF(B3931="","",IFERROR(INDEX(Clay_Brands!$A$2:$FZ$601,480,Sync!$D$6)&amp;"",""))</f>
        <v/>
      </c>
      <c r="F3931" s="17">
        <f>IF(B3931="","","outreach_sent")</f>
        <v/>
      </c>
      <c r="G3931" s="17">
        <f>IF(B3931="","","")</f>
        <v/>
      </c>
      <c r="H3931" s="17">
        <f>IF(B3931="","","")</f>
        <v/>
      </c>
      <c r="I3931" s="17">
        <f>IF(B3931="","","")</f>
        <v/>
      </c>
      <c r="J3931" s="17">
        <f>IF(B3931="","","touch_1; "&amp;IFERROR(INDEX(Clay_Brands!$A$2:$FZ$601,480,Sync!$D$10)&amp;"","")&amp;"; "&amp;IFERROR(INDEX(Clay_Brands!$A$2:$FZ$601,480,Sync!$D$9)&amp;"",""))</f>
        <v/>
      </c>
      <c r="K3931" t="inlineStr">
        <is>
          <t>brand outreach touch 1</t>
        </is>
      </c>
    </row>
    <row r="3932">
      <c r="A3932" s="17">
        <f>IF(B3932="","",B3932+(15*1000+481)/10000000)</f>
        <v/>
      </c>
      <c r="B3932" s="23">
        <f>IF(AND(IFERROR(N(INDEX(Clay_Brands!$A$2:$FZ$601,481,Sync!$D$11)),0)&gt;0,IFERROR(INDEX(Clay_Brands!$A$2:$FZ$601,481,Sync!$D$5)&amp;"","")&lt;&gt;"",OR(LEFT(IFERROR(INDEX(Clay_Brands!$A$2:$FZ$601,481,Sync!$D$5)&amp;"",""),6)&lt;&gt;"SAMPLE",Config!$B$19="Y")),IFERROR(N(INDEX(Clay_Brands!$A$2:$FZ$601,481,Sync!$D$11)),0),"")</f>
        <v/>
      </c>
      <c r="C3932" s="17">
        <f>IF(B3932="","","brand")</f>
        <v/>
      </c>
      <c r="D3932" s="17">
        <f>IF(B3932="","",IFERROR(INDEX(Clay_Brands!$A$2:$FZ$601,481,Sync!$D$5)&amp;"",""))</f>
        <v/>
      </c>
      <c r="E3932" s="17">
        <f>IF(B3932="","",IFERROR(INDEX(Clay_Brands!$A$2:$FZ$601,481,Sync!$D$6)&amp;"",""))</f>
        <v/>
      </c>
      <c r="F3932" s="17">
        <f>IF(B3932="","","outreach_sent")</f>
        <v/>
      </c>
      <c r="G3932" s="17">
        <f>IF(B3932="","","")</f>
        <v/>
      </c>
      <c r="H3932" s="17">
        <f>IF(B3932="","","")</f>
        <v/>
      </c>
      <c r="I3932" s="17">
        <f>IF(B3932="","","")</f>
        <v/>
      </c>
      <c r="J3932" s="17">
        <f>IF(B3932="","","touch_1; "&amp;IFERROR(INDEX(Clay_Brands!$A$2:$FZ$601,481,Sync!$D$10)&amp;"","")&amp;"; "&amp;IFERROR(INDEX(Clay_Brands!$A$2:$FZ$601,481,Sync!$D$9)&amp;"",""))</f>
        <v/>
      </c>
      <c r="K3932" t="inlineStr">
        <is>
          <t>brand outreach touch 1</t>
        </is>
      </c>
    </row>
    <row r="3933">
      <c r="A3933" s="17">
        <f>IF(B3933="","",B3933+(15*1000+482)/10000000)</f>
        <v/>
      </c>
      <c r="B3933" s="23">
        <f>IF(AND(IFERROR(N(INDEX(Clay_Brands!$A$2:$FZ$601,482,Sync!$D$11)),0)&gt;0,IFERROR(INDEX(Clay_Brands!$A$2:$FZ$601,482,Sync!$D$5)&amp;"","")&lt;&gt;"",OR(LEFT(IFERROR(INDEX(Clay_Brands!$A$2:$FZ$601,482,Sync!$D$5)&amp;"",""),6)&lt;&gt;"SAMPLE",Config!$B$19="Y")),IFERROR(N(INDEX(Clay_Brands!$A$2:$FZ$601,482,Sync!$D$11)),0),"")</f>
        <v/>
      </c>
      <c r="C3933" s="17">
        <f>IF(B3933="","","brand")</f>
        <v/>
      </c>
      <c r="D3933" s="17">
        <f>IF(B3933="","",IFERROR(INDEX(Clay_Brands!$A$2:$FZ$601,482,Sync!$D$5)&amp;"",""))</f>
        <v/>
      </c>
      <c r="E3933" s="17">
        <f>IF(B3933="","",IFERROR(INDEX(Clay_Brands!$A$2:$FZ$601,482,Sync!$D$6)&amp;"",""))</f>
        <v/>
      </c>
      <c r="F3933" s="17">
        <f>IF(B3933="","","outreach_sent")</f>
        <v/>
      </c>
      <c r="G3933" s="17">
        <f>IF(B3933="","","")</f>
        <v/>
      </c>
      <c r="H3933" s="17">
        <f>IF(B3933="","","")</f>
        <v/>
      </c>
      <c r="I3933" s="17">
        <f>IF(B3933="","","")</f>
        <v/>
      </c>
      <c r="J3933" s="17">
        <f>IF(B3933="","","touch_1; "&amp;IFERROR(INDEX(Clay_Brands!$A$2:$FZ$601,482,Sync!$D$10)&amp;"","")&amp;"; "&amp;IFERROR(INDEX(Clay_Brands!$A$2:$FZ$601,482,Sync!$D$9)&amp;"",""))</f>
        <v/>
      </c>
      <c r="K3933" t="inlineStr">
        <is>
          <t>brand outreach touch 1</t>
        </is>
      </c>
    </row>
    <row r="3934">
      <c r="A3934" s="17">
        <f>IF(B3934="","",B3934+(15*1000+483)/10000000)</f>
        <v/>
      </c>
      <c r="B3934" s="23">
        <f>IF(AND(IFERROR(N(INDEX(Clay_Brands!$A$2:$FZ$601,483,Sync!$D$11)),0)&gt;0,IFERROR(INDEX(Clay_Brands!$A$2:$FZ$601,483,Sync!$D$5)&amp;"","")&lt;&gt;"",OR(LEFT(IFERROR(INDEX(Clay_Brands!$A$2:$FZ$601,483,Sync!$D$5)&amp;"",""),6)&lt;&gt;"SAMPLE",Config!$B$19="Y")),IFERROR(N(INDEX(Clay_Brands!$A$2:$FZ$601,483,Sync!$D$11)),0),"")</f>
        <v/>
      </c>
      <c r="C3934" s="17">
        <f>IF(B3934="","","brand")</f>
        <v/>
      </c>
      <c r="D3934" s="17">
        <f>IF(B3934="","",IFERROR(INDEX(Clay_Brands!$A$2:$FZ$601,483,Sync!$D$5)&amp;"",""))</f>
        <v/>
      </c>
      <c r="E3934" s="17">
        <f>IF(B3934="","",IFERROR(INDEX(Clay_Brands!$A$2:$FZ$601,483,Sync!$D$6)&amp;"",""))</f>
        <v/>
      </c>
      <c r="F3934" s="17">
        <f>IF(B3934="","","outreach_sent")</f>
        <v/>
      </c>
      <c r="G3934" s="17">
        <f>IF(B3934="","","")</f>
        <v/>
      </c>
      <c r="H3934" s="17">
        <f>IF(B3934="","","")</f>
        <v/>
      </c>
      <c r="I3934" s="17">
        <f>IF(B3934="","","")</f>
        <v/>
      </c>
      <c r="J3934" s="17">
        <f>IF(B3934="","","touch_1; "&amp;IFERROR(INDEX(Clay_Brands!$A$2:$FZ$601,483,Sync!$D$10)&amp;"","")&amp;"; "&amp;IFERROR(INDEX(Clay_Brands!$A$2:$FZ$601,483,Sync!$D$9)&amp;"",""))</f>
        <v/>
      </c>
      <c r="K3934" t="inlineStr">
        <is>
          <t>brand outreach touch 1</t>
        </is>
      </c>
    </row>
    <row r="3935">
      <c r="A3935" s="17">
        <f>IF(B3935="","",B3935+(15*1000+484)/10000000)</f>
        <v/>
      </c>
      <c r="B3935" s="23">
        <f>IF(AND(IFERROR(N(INDEX(Clay_Brands!$A$2:$FZ$601,484,Sync!$D$11)),0)&gt;0,IFERROR(INDEX(Clay_Brands!$A$2:$FZ$601,484,Sync!$D$5)&amp;"","")&lt;&gt;"",OR(LEFT(IFERROR(INDEX(Clay_Brands!$A$2:$FZ$601,484,Sync!$D$5)&amp;"",""),6)&lt;&gt;"SAMPLE",Config!$B$19="Y")),IFERROR(N(INDEX(Clay_Brands!$A$2:$FZ$601,484,Sync!$D$11)),0),"")</f>
        <v/>
      </c>
      <c r="C3935" s="17">
        <f>IF(B3935="","","brand")</f>
        <v/>
      </c>
      <c r="D3935" s="17">
        <f>IF(B3935="","",IFERROR(INDEX(Clay_Brands!$A$2:$FZ$601,484,Sync!$D$5)&amp;"",""))</f>
        <v/>
      </c>
      <c r="E3935" s="17">
        <f>IF(B3935="","",IFERROR(INDEX(Clay_Brands!$A$2:$FZ$601,484,Sync!$D$6)&amp;"",""))</f>
        <v/>
      </c>
      <c r="F3935" s="17">
        <f>IF(B3935="","","outreach_sent")</f>
        <v/>
      </c>
      <c r="G3935" s="17">
        <f>IF(B3935="","","")</f>
        <v/>
      </c>
      <c r="H3935" s="17">
        <f>IF(B3935="","","")</f>
        <v/>
      </c>
      <c r="I3935" s="17">
        <f>IF(B3935="","","")</f>
        <v/>
      </c>
      <c r="J3935" s="17">
        <f>IF(B3935="","","touch_1; "&amp;IFERROR(INDEX(Clay_Brands!$A$2:$FZ$601,484,Sync!$D$10)&amp;"","")&amp;"; "&amp;IFERROR(INDEX(Clay_Brands!$A$2:$FZ$601,484,Sync!$D$9)&amp;"",""))</f>
        <v/>
      </c>
      <c r="K3935" t="inlineStr">
        <is>
          <t>brand outreach touch 1</t>
        </is>
      </c>
    </row>
    <row r="3936">
      <c r="A3936" s="17">
        <f>IF(B3936="","",B3936+(15*1000+485)/10000000)</f>
        <v/>
      </c>
      <c r="B3936" s="23">
        <f>IF(AND(IFERROR(N(INDEX(Clay_Brands!$A$2:$FZ$601,485,Sync!$D$11)),0)&gt;0,IFERROR(INDEX(Clay_Brands!$A$2:$FZ$601,485,Sync!$D$5)&amp;"","")&lt;&gt;"",OR(LEFT(IFERROR(INDEX(Clay_Brands!$A$2:$FZ$601,485,Sync!$D$5)&amp;"",""),6)&lt;&gt;"SAMPLE",Config!$B$19="Y")),IFERROR(N(INDEX(Clay_Brands!$A$2:$FZ$601,485,Sync!$D$11)),0),"")</f>
        <v/>
      </c>
      <c r="C3936" s="17">
        <f>IF(B3936="","","brand")</f>
        <v/>
      </c>
      <c r="D3936" s="17">
        <f>IF(B3936="","",IFERROR(INDEX(Clay_Brands!$A$2:$FZ$601,485,Sync!$D$5)&amp;"",""))</f>
        <v/>
      </c>
      <c r="E3936" s="17">
        <f>IF(B3936="","",IFERROR(INDEX(Clay_Brands!$A$2:$FZ$601,485,Sync!$D$6)&amp;"",""))</f>
        <v/>
      </c>
      <c r="F3936" s="17">
        <f>IF(B3936="","","outreach_sent")</f>
        <v/>
      </c>
      <c r="G3936" s="17">
        <f>IF(B3936="","","")</f>
        <v/>
      </c>
      <c r="H3936" s="17">
        <f>IF(B3936="","","")</f>
        <v/>
      </c>
      <c r="I3936" s="17">
        <f>IF(B3936="","","")</f>
        <v/>
      </c>
      <c r="J3936" s="17">
        <f>IF(B3936="","","touch_1; "&amp;IFERROR(INDEX(Clay_Brands!$A$2:$FZ$601,485,Sync!$D$10)&amp;"","")&amp;"; "&amp;IFERROR(INDEX(Clay_Brands!$A$2:$FZ$601,485,Sync!$D$9)&amp;"",""))</f>
        <v/>
      </c>
      <c r="K3936" t="inlineStr">
        <is>
          <t>brand outreach touch 1</t>
        </is>
      </c>
    </row>
    <row r="3937">
      <c r="A3937" s="17">
        <f>IF(B3937="","",B3937+(15*1000+486)/10000000)</f>
        <v/>
      </c>
      <c r="B3937" s="23">
        <f>IF(AND(IFERROR(N(INDEX(Clay_Brands!$A$2:$FZ$601,486,Sync!$D$11)),0)&gt;0,IFERROR(INDEX(Clay_Brands!$A$2:$FZ$601,486,Sync!$D$5)&amp;"","")&lt;&gt;"",OR(LEFT(IFERROR(INDEX(Clay_Brands!$A$2:$FZ$601,486,Sync!$D$5)&amp;"",""),6)&lt;&gt;"SAMPLE",Config!$B$19="Y")),IFERROR(N(INDEX(Clay_Brands!$A$2:$FZ$601,486,Sync!$D$11)),0),"")</f>
        <v/>
      </c>
      <c r="C3937" s="17">
        <f>IF(B3937="","","brand")</f>
        <v/>
      </c>
      <c r="D3937" s="17">
        <f>IF(B3937="","",IFERROR(INDEX(Clay_Brands!$A$2:$FZ$601,486,Sync!$D$5)&amp;"",""))</f>
        <v/>
      </c>
      <c r="E3937" s="17">
        <f>IF(B3937="","",IFERROR(INDEX(Clay_Brands!$A$2:$FZ$601,486,Sync!$D$6)&amp;"",""))</f>
        <v/>
      </c>
      <c r="F3937" s="17">
        <f>IF(B3937="","","outreach_sent")</f>
        <v/>
      </c>
      <c r="G3937" s="17">
        <f>IF(B3937="","","")</f>
        <v/>
      </c>
      <c r="H3937" s="17">
        <f>IF(B3937="","","")</f>
        <v/>
      </c>
      <c r="I3937" s="17">
        <f>IF(B3937="","","")</f>
        <v/>
      </c>
      <c r="J3937" s="17">
        <f>IF(B3937="","","touch_1; "&amp;IFERROR(INDEX(Clay_Brands!$A$2:$FZ$601,486,Sync!$D$10)&amp;"","")&amp;"; "&amp;IFERROR(INDEX(Clay_Brands!$A$2:$FZ$601,486,Sync!$D$9)&amp;"",""))</f>
        <v/>
      </c>
      <c r="K3937" t="inlineStr">
        <is>
          <t>brand outreach touch 1</t>
        </is>
      </c>
    </row>
    <row r="3938">
      <c r="A3938" s="17">
        <f>IF(B3938="","",B3938+(15*1000+487)/10000000)</f>
        <v/>
      </c>
      <c r="B3938" s="23">
        <f>IF(AND(IFERROR(N(INDEX(Clay_Brands!$A$2:$FZ$601,487,Sync!$D$11)),0)&gt;0,IFERROR(INDEX(Clay_Brands!$A$2:$FZ$601,487,Sync!$D$5)&amp;"","")&lt;&gt;"",OR(LEFT(IFERROR(INDEX(Clay_Brands!$A$2:$FZ$601,487,Sync!$D$5)&amp;"",""),6)&lt;&gt;"SAMPLE",Config!$B$19="Y")),IFERROR(N(INDEX(Clay_Brands!$A$2:$FZ$601,487,Sync!$D$11)),0),"")</f>
        <v/>
      </c>
      <c r="C3938" s="17">
        <f>IF(B3938="","","brand")</f>
        <v/>
      </c>
      <c r="D3938" s="17">
        <f>IF(B3938="","",IFERROR(INDEX(Clay_Brands!$A$2:$FZ$601,487,Sync!$D$5)&amp;"",""))</f>
        <v/>
      </c>
      <c r="E3938" s="17">
        <f>IF(B3938="","",IFERROR(INDEX(Clay_Brands!$A$2:$FZ$601,487,Sync!$D$6)&amp;"",""))</f>
        <v/>
      </c>
      <c r="F3938" s="17">
        <f>IF(B3938="","","outreach_sent")</f>
        <v/>
      </c>
      <c r="G3938" s="17">
        <f>IF(B3938="","","")</f>
        <v/>
      </c>
      <c r="H3938" s="17">
        <f>IF(B3938="","","")</f>
        <v/>
      </c>
      <c r="I3938" s="17">
        <f>IF(B3938="","","")</f>
        <v/>
      </c>
      <c r="J3938" s="17">
        <f>IF(B3938="","","touch_1; "&amp;IFERROR(INDEX(Clay_Brands!$A$2:$FZ$601,487,Sync!$D$10)&amp;"","")&amp;"; "&amp;IFERROR(INDEX(Clay_Brands!$A$2:$FZ$601,487,Sync!$D$9)&amp;"",""))</f>
        <v/>
      </c>
      <c r="K3938" t="inlineStr">
        <is>
          <t>brand outreach touch 1</t>
        </is>
      </c>
    </row>
    <row r="3939">
      <c r="A3939" s="17">
        <f>IF(B3939="","",B3939+(15*1000+488)/10000000)</f>
        <v/>
      </c>
      <c r="B3939" s="23">
        <f>IF(AND(IFERROR(N(INDEX(Clay_Brands!$A$2:$FZ$601,488,Sync!$D$11)),0)&gt;0,IFERROR(INDEX(Clay_Brands!$A$2:$FZ$601,488,Sync!$D$5)&amp;"","")&lt;&gt;"",OR(LEFT(IFERROR(INDEX(Clay_Brands!$A$2:$FZ$601,488,Sync!$D$5)&amp;"",""),6)&lt;&gt;"SAMPLE",Config!$B$19="Y")),IFERROR(N(INDEX(Clay_Brands!$A$2:$FZ$601,488,Sync!$D$11)),0),"")</f>
        <v/>
      </c>
      <c r="C3939" s="17">
        <f>IF(B3939="","","brand")</f>
        <v/>
      </c>
      <c r="D3939" s="17">
        <f>IF(B3939="","",IFERROR(INDEX(Clay_Brands!$A$2:$FZ$601,488,Sync!$D$5)&amp;"",""))</f>
        <v/>
      </c>
      <c r="E3939" s="17">
        <f>IF(B3939="","",IFERROR(INDEX(Clay_Brands!$A$2:$FZ$601,488,Sync!$D$6)&amp;"",""))</f>
        <v/>
      </c>
      <c r="F3939" s="17">
        <f>IF(B3939="","","outreach_sent")</f>
        <v/>
      </c>
      <c r="G3939" s="17">
        <f>IF(B3939="","","")</f>
        <v/>
      </c>
      <c r="H3939" s="17">
        <f>IF(B3939="","","")</f>
        <v/>
      </c>
      <c r="I3939" s="17">
        <f>IF(B3939="","","")</f>
        <v/>
      </c>
      <c r="J3939" s="17">
        <f>IF(B3939="","","touch_1; "&amp;IFERROR(INDEX(Clay_Brands!$A$2:$FZ$601,488,Sync!$D$10)&amp;"","")&amp;"; "&amp;IFERROR(INDEX(Clay_Brands!$A$2:$FZ$601,488,Sync!$D$9)&amp;"",""))</f>
        <v/>
      </c>
      <c r="K3939" t="inlineStr">
        <is>
          <t>brand outreach touch 1</t>
        </is>
      </c>
    </row>
    <row r="3940">
      <c r="A3940" s="17">
        <f>IF(B3940="","",B3940+(15*1000+489)/10000000)</f>
        <v/>
      </c>
      <c r="B3940" s="23">
        <f>IF(AND(IFERROR(N(INDEX(Clay_Brands!$A$2:$FZ$601,489,Sync!$D$11)),0)&gt;0,IFERROR(INDEX(Clay_Brands!$A$2:$FZ$601,489,Sync!$D$5)&amp;"","")&lt;&gt;"",OR(LEFT(IFERROR(INDEX(Clay_Brands!$A$2:$FZ$601,489,Sync!$D$5)&amp;"",""),6)&lt;&gt;"SAMPLE",Config!$B$19="Y")),IFERROR(N(INDEX(Clay_Brands!$A$2:$FZ$601,489,Sync!$D$11)),0),"")</f>
        <v/>
      </c>
      <c r="C3940" s="17">
        <f>IF(B3940="","","brand")</f>
        <v/>
      </c>
      <c r="D3940" s="17">
        <f>IF(B3940="","",IFERROR(INDEX(Clay_Brands!$A$2:$FZ$601,489,Sync!$D$5)&amp;"",""))</f>
        <v/>
      </c>
      <c r="E3940" s="17">
        <f>IF(B3940="","",IFERROR(INDEX(Clay_Brands!$A$2:$FZ$601,489,Sync!$D$6)&amp;"",""))</f>
        <v/>
      </c>
      <c r="F3940" s="17">
        <f>IF(B3940="","","outreach_sent")</f>
        <v/>
      </c>
      <c r="G3940" s="17">
        <f>IF(B3940="","","")</f>
        <v/>
      </c>
      <c r="H3940" s="17">
        <f>IF(B3940="","","")</f>
        <v/>
      </c>
      <c r="I3940" s="17">
        <f>IF(B3940="","","")</f>
        <v/>
      </c>
      <c r="J3940" s="17">
        <f>IF(B3940="","","touch_1; "&amp;IFERROR(INDEX(Clay_Brands!$A$2:$FZ$601,489,Sync!$D$10)&amp;"","")&amp;"; "&amp;IFERROR(INDEX(Clay_Brands!$A$2:$FZ$601,489,Sync!$D$9)&amp;"",""))</f>
        <v/>
      </c>
      <c r="K3940" t="inlineStr">
        <is>
          <t>brand outreach touch 1</t>
        </is>
      </c>
    </row>
    <row r="3941">
      <c r="A3941" s="17">
        <f>IF(B3941="","",B3941+(15*1000+490)/10000000)</f>
        <v/>
      </c>
      <c r="B3941" s="23">
        <f>IF(AND(IFERROR(N(INDEX(Clay_Brands!$A$2:$FZ$601,490,Sync!$D$11)),0)&gt;0,IFERROR(INDEX(Clay_Brands!$A$2:$FZ$601,490,Sync!$D$5)&amp;"","")&lt;&gt;"",OR(LEFT(IFERROR(INDEX(Clay_Brands!$A$2:$FZ$601,490,Sync!$D$5)&amp;"",""),6)&lt;&gt;"SAMPLE",Config!$B$19="Y")),IFERROR(N(INDEX(Clay_Brands!$A$2:$FZ$601,490,Sync!$D$11)),0),"")</f>
        <v/>
      </c>
      <c r="C3941" s="17">
        <f>IF(B3941="","","brand")</f>
        <v/>
      </c>
      <c r="D3941" s="17">
        <f>IF(B3941="","",IFERROR(INDEX(Clay_Brands!$A$2:$FZ$601,490,Sync!$D$5)&amp;"",""))</f>
        <v/>
      </c>
      <c r="E3941" s="17">
        <f>IF(B3941="","",IFERROR(INDEX(Clay_Brands!$A$2:$FZ$601,490,Sync!$D$6)&amp;"",""))</f>
        <v/>
      </c>
      <c r="F3941" s="17">
        <f>IF(B3941="","","outreach_sent")</f>
        <v/>
      </c>
      <c r="G3941" s="17">
        <f>IF(B3941="","","")</f>
        <v/>
      </c>
      <c r="H3941" s="17">
        <f>IF(B3941="","","")</f>
        <v/>
      </c>
      <c r="I3941" s="17">
        <f>IF(B3941="","","")</f>
        <v/>
      </c>
      <c r="J3941" s="17">
        <f>IF(B3941="","","touch_1; "&amp;IFERROR(INDEX(Clay_Brands!$A$2:$FZ$601,490,Sync!$D$10)&amp;"","")&amp;"; "&amp;IFERROR(INDEX(Clay_Brands!$A$2:$FZ$601,490,Sync!$D$9)&amp;"",""))</f>
        <v/>
      </c>
      <c r="K3941" t="inlineStr">
        <is>
          <t>brand outreach touch 1</t>
        </is>
      </c>
    </row>
    <row r="3942">
      <c r="A3942" s="17">
        <f>IF(B3942="","",B3942+(15*1000+491)/10000000)</f>
        <v/>
      </c>
      <c r="B3942" s="23">
        <f>IF(AND(IFERROR(N(INDEX(Clay_Brands!$A$2:$FZ$601,491,Sync!$D$11)),0)&gt;0,IFERROR(INDEX(Clay_Brands!$A$2:$FZ$601,491,Sync!$D$5)&amp;"","")&lt;&gt;"",OR(LEFT(IFERROR(INDEX(Clay_Brands!$A$2:$FZ$601,491,Sync!$D$5)&amp;"",""),6)&lt;&gt;"SAMPLE",Config!$B$19="Y")),IFERROR(N(INDEX(Clay_Brands!$A$2:$FZ$601,491,Sync!$D$11)),0),"")</f>
        <v/>
      </c>
      <c r="C3942" s="17">
        <f>IF(B3942="","","brand")</f>
        <v/>
      </c>
      <c r="D3942" s="17">
        <f>IF(B3942="","",IFERROR(INDEX(Clay_Brands!$A$2:$FZ$601,491,Sync!$D$5)&amp;"",""))</f>
        <v/>
      </c>
      <c r="E3942" s="17">
        <f>IF(B3942="","",IFERROR(INDEX(Clay_Brands!$A$2:$FZ$601,491,Sync!$D$6)&amp;"",""))</f>
        <v/>
      </c>
      <c r="F3942" s="17">
        <f>IF(B3942="","","outreach_sent")</f>
        <v/>
      </c>
      <c r="G3942" s="17">
        <f>IF(B3942="","","")</f>
        <v/>
      </c>
      <c r="H3942" s="17">
        <f>IF(B3942="","","")</f>
        <v/>
      </c>
      <c r="I3942" s="17">
        <f>IF(B3942="","","")</f>
        <v/>
      </c>
      <c r="J3942" s="17">
        <f>IF(B3942="","","touch_1; "&amp;IFERROR(INDEX(Clay_Brands!$A$2:$FZ$601,491,Sync!$D$10)&amp;"","")&amp;"; "&amp;IFERROR(INDEX(Clay_Brands!$A$2:$FZ$601,491,Sync!$D$9)&amp;"",""))</f>
        <v/>
      </c>
      <c r="K3942" t="inlineStr">
        <is>
          <t>brand outreach touch 1</t>
        </is>
      </c>
    </row>
    <row r="3943">
      <c r="A3943" s="17">
        <f>IF(B3943="","",B3943+(15*1000+492)/10000000)</f>
        <v/>
      </c>
      <c r="B3943" s="23">
        <f>IF(AND(IFERROR(N(INDEX(Clay_Brands!$A$2:$FZ$601,492,Sync!$D$11)),0)&gt;0,IFERROR(INDEX(Clay_Brands!$A$2:$FZ$601,492,Sync!$D$5)&amp;"","")&lt;&gt;"",OR(LEFT(IFERROR(INDEX(Clay_Brands!$A$2:$FZ$601,492,Sync!$D$5)&amp;"",""),6)&lt;&gt;"SAMPLE",Config!$B$19="Y")),IFERROR(N(INDEX(Clay_Brands!$A$2:$FZ$601,492,Sync!$D$11)),0),"")</f>
        <v/>
      </c>
      <c r="C3943" s="17">
        <f>IF(B3943="","","brand")</f>
        <v/>
      </c>
      <c r="D3943" s="17">
        <f>IF(B3943="","",IFERROR(INDEX(Clay_Brands!$A$2:$FZ$601,492,Sync!$D$5)&amp;"",""))</f>
        <v/>
      </c>
      <c r="E3943" s="17">
        <f>IF(B3943="","",IFERROR(INDEX(Clay_Brands!$A$2:$FZ$601,492,Sync!$D$6)&amp;"",""))</f>
        <v/>
      </c>
      <c r="F3943" s="17">
        <f>IF(B3943="","","outreach_sent")</f>
        <v/>
      </c>
      <c r="G3943" s="17">
        <f>IF(B3943="","","")</f>
        <v/>
      </c>
      <c r="H3943" s="17">
        <f>IF(B3943="","","")</f>
        <v/>
      </c>
      <c r="I3943" s="17">
        <f>IF(B3943="","","")</f>
        <v/>
      </c>
      <c r="J3943" s="17">
        <f>IF(B3943="","","touch_1; "&amp;IFERROR(INDEX(Clay_Brands!$A$2:$FZ$601,492,Sync!$D$10)&amp;"","")&amp;"; "&amp;IFERROR(INDEX(Clay_Brands!$A$2:$FZ$601,492,Sync!$D$9)&amp;"",""))</f>
        <v/>
      </c>
      <c r="K3943" t="inlineStr">
        <is>
          <t>brand outreach touch 1</t>
        </is>
      </c>
    </row>
    <row r="3944">
      <c r="A3944" s="17">
        <f>IF(B3944="","",B3944+(15*1000+493)/10000000)</f>
        <v/>
      </c>
      <c r="B3944" s="23">
        <f>IF(AND(IFERROR(N(INDEX(Clay_Brands!$A$2:$FZ$601,493,Sync!$D$11)),0)&gt;0,IFERROR(INDEX(Clay_Brands!$A$2:$FZ$601,493,Sync!$D$5)&amp;"","")&lt;&gt;"",OR(LEFT(IFERROR(INDEX(Clay_Brands!$A$2:$FZ$601,493,Sync!$D$5)&amp;"",""),6)&lt;&gt;"SAMPLE",Config!$B$19="Y")),IFERROR(N(INDEX(Clay_Brands!$A$2:$FZ$601,493,Sync!$D$11)),0),"")</f>
        <v/>
      </c>
      <c r="C3944" s="17">
        <f>IF(B3944="","","brand")</f>
        <v/>
      </c>
      <c r="D3944" s="17">
        <f>IF(B3944="","",IFERROR(INDEX(Clay_Brands!$A$2:$FZ$601,493,Sync!$D$5)&amp;"",""))</f>
        <v/>
      </c>
      <c r="E3944" s="17">
        <f>IF(B3944="","",IFERROR(INDEX(Clay_Brands!$A$2:$FZ$601,493,Sync!$D$6)&amp;"",""))</f>
        <v/>
      </c>
      <c r="F3944" s="17">
        <f>IF(B3944="","","outreach_sent")</f>
        <v/>
      </c>
      <c r="G3944" s="17">
        <f>IF(B3944="","","")</f>
        <v/>
      </c>
      <c r="H3944" s="17">
        <f>IF(B3944="","","")</f>
        <v/>
      </c>
      <c r="I3944" s="17">
        <f>IF(B3944="","","")</f>
        <v/>
      </c>
      <c r="J3944" s="17">
        <f>IF(B3944="","","touch_1; "&amp;IFERROR(INDEX(Clay_Brands!$A$2:$FZ$601,493,Sync!$D$10)&amp;"","")&amp;"; "&amp;IFERROR(INDEX(Clay_Brands!$A$2:$FZ$601,493,Sync!$D$9)&amp;"",""))</f>
        <v/>
      </c>
      <c r="K3944" t="inlineStr">
        <is>
          <t>brand outreach touch 1</t>
        </is>
      </c>
    </row>
    <row r="3945">
      <c r="A3945" s="17">
        <f>IF(B3945="","",B3945+(15*1000+494)/10000000)</f>
        <v/>
      </c>
      <c r="B3945" s="23">
        <f>IF(AND(IFERROR(N(INDEX(Clay_Brands!$A$2:$FZ$601,494,Sync!$D$11)),0)&gt;0,IFERROR(INDEX(Clay_Brands!$A$2:$FZ$601,494,Sync!$D$5)&amp;"","")&lt;&gt;"",OR(LEFT(IFERROR(INDEX(Clay_Brands!$A$2:$FZ$601,494,Sync!$D$5)&amp;"",""),6)&lt;&gt;"SAMPLE",Config!$B$19="Y")),IFERROR(N(INDEX(Clay_Brands!$A$2:$FZ$601,494,Sync!$D$11)),0),"")</f>
        <v/>
      </c>
      <c r="C3945" s="17">
        <f>IF(B3945="","","brand")</f>
        <v/>
      </c>
      <c r="D3945" s="17">
        <f>IF(B3945="","",IFERROR(INDEX(Clay_Brands!$A$2:$FZ$601,494,Sync!$D$5)&amp;"",""))</f>
        <v/>
      </c>
      <c r="E3945" s="17">
        <f>IF(B3945="","",IFERROR(INDEX(Clay_Brands!$A$2:$FZ$601,494,Sync!$D$6)&amp;"",""))</f>
        <v/>
      </c>
      <c r="F3945" s="17">
        <f>IF(B3945="","","outreach_sent")</f>
        <v/>
      </c>
      <c r="G3945" s="17">
        <f>IF(B3945="","","")</f>
        <v/>
      </c>
      <c r="H3945" s="17">
        <f>IF(B3945="","","")</f>
        <v/>
      </c>
      <c r="I3945" s="17">
        <f>IF(B3945="","","")</f>
        <v/>
      </c>
      <c r="J3945" s="17">
        <f>IF(B3945="","","touch_1; "&amp;IFERROR(INDEX(Clay_Brands!$A$2:$FZ$601,494,Sync!$D$10)&amp;"","")&amp;"; "&amp;IFERROR(INDEX(Clay_Brands!$A$2:$FZ$601,494,Sync!$D$9)&amp;"",""))</f>
        <v/>
      </c>
      <c r="K3945" t="inlineStr">
        <is>
          <t>brand outreach touch 1</t>
        </is>
      </c>
    </row>
    <row r="3946">
      <c r="A3946" s="17">
        <f>IF(B3946="","",B3946+(15*1000+495)/10000000)</f>
        <v/>
      </c>
      <c r="B3946" s="23">
        <f>IF(AND(IFERROR(N(INDEX(Clay_Brands!$A$2:$FZ$601,495,Sync!$D$11)),0)&gt;0,IFERROR(INDEX(Clay_Brands!$A$2:$FZ$601,495,Sync!$D$5)&amp;"","")&lt;&gt;"",OR(LEFT(IFERROR(INDEX(Clay_Brands!$A$2:$FZ$601,495,Sync!$D$5)&amp;"",""),6)&lt;&gt;"SAMPLE",Config!$B$19="Y")),IFERROR(N(INDEX(Clay_Brands!$A$2:$FZ$601,495,Sync!$D$11)),0),"")</f>
        <v/>
      </c>
      <c r="C3946" s="17">
        <f>IF(B3946="","","brand")</f>
        <v/>
      </c>
      <c r="D3946" s="17">
        <f>IF(B3946="","",IFERROR(INDEX(Clay_Brands!$A$2:$FZ$601,495,Sync!$D$5)&amp;"",""))</f>
        <v/>
      </c>
      <c r="E3946" s="17">
        <f>IF(B3946="","",IFERROR(INDEX(Clay_Brands!$A$2:$FZ$601,495,Sync!$D$6)&amp;"",""))</f>
        <v/>
      </c>
      <c r="F3946" s="17">
        <f>IF(B3946="","","outreach_sent")</f>
        <v/>
      </c>
      <c r="G3946" s="17">
        <f>IF(B3946="","","")</f>
        <v/>
      </c>
      <c r="H3946" s="17">
        <f>IF(B3946="","","")</f>
        <v/>
      </c>
      <c r="I3946" s="17">
        <f>IF(B3946="","","")</f>
        <v/>
      </c>
      <c r="J3946" s="17">
        <f>IF(B3946="","","touch_1; "&amp;IFERROR(INDEX(Clay_Brands!$A$2:$FZ$601,495,Sync!$D$10)&amp;"","")&amp;"; "&amp;IFERROR(INDEX(Clay_Brands!$A$2:$FZ$601,495,Sync!$D$9)&amp;"",""))</f>
        <v/>
      </c>
      <c r="K3946" t="inlineStr">
        <is>
          <t>brand outreach touch 1</t>
        </is>
      </c>
    </row>
    <row r="3947">
      <c r="A3947" s="17">
        <f>IF(B3947="","",B3947+(15*1000+496)/10000000)</f>
        <v/>
      </c>
      <c r="B3947" s="23">
        <f>IF(AND(IFERROR(N(INDEX(Clay_Brands!$A$2:$FZ$601,496,Sync!$D$11)),0)&gt;0,IFERROR(INDEX(Clay_Brands!$A$2:$FZ$601,496,Sync!$D$5)&amp;"","")&lt;&gt;"",OR(LEFT(IFERROR(INDEX(Clay_Brands!$A$2:$FZ$601,496,Sync!$D$5)&amp;"",""),6)&lt;&gt;"SAMPLE",Config!$B$19="Y")),IFERROR(N(INDEX(Clay_Brands!$A$2:$FZ$601,496,Sync!$D$11)),0),"")</f>
        <v/>
      </c>
      <c r="C3947" s="17">
        <f>IF(B3947="","","brand")</f>
        <v/>
      </c>
      <c r="D3947" s="17">
        <f>IF(B3947="","",IFERROR(INDEX(Clay_Brands!$A$2:$FZ$601,496,Sync!$D$5)&amp;"",""))</f>
        <v/>
      </c>
      <c r="E3947" s="17">
        <f>IF(B3947="","",IFERROR(INDEX(Clay_Brands!$A$2:$FZ$601,496,Sync!$D$6)&amp;"",""))</f>
        <v/>
      </c>
      <c r="F3947" s="17">
        <f>IF(B3947="","","outreach_sent")</f>
        <v/>
      </c>
      <c r="G3947" s="17">
        <f>IF(B3947="","","")</f>
        <v/>
      </c>
      <c r="H3947" s="17">
        <f>IF(B3947="","","")</f>
        <v/>
      </c>
      <c r="I3947" s="17">
        <f>IF(B3947="","","")</f>
        <v/>
      </c>
      <c r="J3947" s="17">
        <f>IF(B3947="","","touch_1; "&amp;IFERROR(INDEX(Clay_Brands!$A$2:$FZ$601,496,Sync!$D$10)&amp;"","")&amp;"; "&amp;IFERROR(INDEX(Clay_Brands!$A$2:$FZ$601,496,Sync!$D$9)&amp;"",""))</f>
        <v/>
      </c>
      <c r="K3947" t="inlineStr">
        <is>
          <t>brand outreach touch 1</t>
        </is>
      </c>
    </row>
    <row r="3948">
      <c r="A3948" s="17">
        <f>IF(B3948="","",B3948+(15*1000+497)/10000000)</f>
        <v/>
      </c>
      <c r="B3948" s="23">
        <f>IF(AND(IFERROR(N(INDEX(Clay_Brands!$A$2:$FZ$601,497,Sync!$D$11)),0)&gt;0,IFERROR(INDEX(Clay_Brands!$A$2:$FZ$601,497,Sync!$D$5)&amp;"","")&lt;&gt;"",OR(LEFT(IFERROR(INDEX(Clay_Brands!$A$2:$FZ$601,497,Sync!$D$5)&amp;"",""),6)&lt;&gt;"SAMPLE",Config!$B$19="Y")),IFERROR(N(INDEX(Clay_Brands!$A$2:$FZ$601,497,Sync!$D$11)),0),"")</f>
        <v/>
      </c>
      <c r="C3948" s="17">
        <f>IF(B3948="","","brand")</f>
        <v/>
      </c>
      <c r="D3948" s="17">
        <f>IF(B3948="","",IFERROR(INDEX(Clay_Brands!$A$2:$FZ$601,497,Sync!$D$5)&amp;"",""))</f>
        <v/>
      </c>
      <c r="E3948" s="17">
        <f>IF(B3948="","",IFERROR(INDEX(Clay_Brands!$A$2:$FZ$601,497,Sync!$D$6)&amp;"",""))</f>
        <v/>
      </c>
      <c r="F3948" s="17">
        <f>IF(B3948="","","outreach_sent")</f>
        <v/>
      </c>
      <c r="G3948" s="17">
        <f>IF(B3948="","","")</f>
        <v/>
      </c>
      <c r="H3948" s="17">
        <f>IF(B3948="","","")</f>
        <v/>
      </c>
      <c r="I3948" s="17">
        <f>IF(B3948="","","")</f>
        <v/>
      </c>
      <c r="J3948" s="17">
        <f>IF(B3948="","","touch_1; "&amp;IFERROR(INDEX(Clay_Brands!$A$2:$FZ$601,497,Sync!$D$10)&amp;"","")&amp;"; "&amp;IFERROR(INDEX(Clay_Brands!$A$2:$FZ$601,497,Sync!$D$9)&amp;"",""))</f>
        <v/>
      </c>
      <c r="K3948" t="inlineStr">
        <is>
          <t>brand outreach touch 1</t>
        </is>
      </c>
    </row>
    <row r="3949">
      <c r="A3949" s="17">
        <f>IF(B3949="","",B3949+(15*1000+498)/10000000)</f>
        <v/>
      </c>
      <c r="B3949" s="23">
        <f>IF(AND(IFERROR(N(INDEX(Clay_Brands!$A$2:$FZ$601,498,Sync!$D$11)),0)&gt;0,IFERROR(INDEX(Clay_Brands!$A$2:$FZ$601,498,Sync!$D$5)&amp;"","")&lt;&gt;"",OR(LEFT(IFERROR(INDEX(Clay_Brands!$A$2:$FZ$601,498,Sync!$D$5)&amp;"",""),6)&lt;&gt;"SAMPLE",Config!$B$19="Y")),IFERROR(N(INDEX(Clay_Brands!$A$2:$FZ$601,498,Sync!$D$11)),0),"")</f>
        <v/>
      </c>
      <c r="C3949" s="17">
        <f>IF(B3949="","","brand")</f>
        <v/>
      </c>
      <c r="D3949" s="17">
        <f>IF(B3949="","",IFERROR(INDEX(Clay_Brands!$A$2:$FZ$601,498,Sync!$D$5)&amp;"",""))</f>
        <v/>
      </c>
      <c r="E3949" s="17">
        <f>IF(B3949="","",IFERROR(INDEX(Clay_Brands!$A$2:$FZ$601,498,Sync!$D$6)&amp;"",""))</f>
        <v/>
      </c>
      <c r="F3949" s="17">
        <f>IF(B3949="","","outreach_sent")</f>
        <v/>
      </c>
      <c r="G3949" s="17">
        <f>IF(B3949="","","")</f>
        <v/>
      </c>
      <c r="H3949" s="17">
        <f>IF(B3949="","","")</f>
        <v/>
      </c>
      <c r="I3949" s="17">
        <f>IF(B3949="","","")</f>
        <v/>
      </c>
      <c r="J3949" s="17">
        <f>IF(B3949="","","touch_1; "&amp;IFERROR(INDEX(Clay_Brands!$A$2:$FZ$601,498,Sync!$D$10)&amp;"","")&amp;"; "&amp;IFERROR(INDEX(Clay_Brands!$A$2:$FZ$601,498,Sync!$D$9)&amp;"",""))</f>
        <v/>
      </c>
      <c r="K3949" t="inlineStr">
        <is>
          <t>brand outreach touch 1</t>
        </is>
      </c>
    </row>
    <row r="3950">
      <c r="A3950" s="17">
        <f>IF(B3950="","",B3950+(15*1000+499)/10000000)</f>
        <v/>
      </c>
      <c r="B3950" s="23">
        <f>IF(AND(IFERROR(N(INDEX(Clay_Brands!$A$2:$FZ$601,499,Sync!$D$11)),0)&gt;0,IFERROR(INDEX(Clay_Brands!$A$2:$FZ$601,499,Sync!$D$5)&amp;"","")&lt;&gt;"",OR(LEFT(IFERROR(INDEX(Clay_Brands!$A$2:$FZ$601,499,Sync!$D$5)&amp;"",""),6)&lt;&gt;"SAMPLE",Config!$B$19="Y")),IFERROR(N(INDEX(Clay_Brands!$A$2:$FZ$601,499,Sync!$D$11)),0),"")</f>
        <v/>
      </c>
      <c r="C3950" s="17">
        <f>IF(B3950="","","brand")</f>
        <v/>
      </c>
      <c r="D3950" s="17">
        <f>IF(B3950="","",IFERROR(INDEX(Clay_Brands!$A$2:$FZ$601,499,Sync!$D$5)&amp;"",""))</f>
        <v/>
      </c>
      <c r="E3950" s="17">
        <f>IF(B3950="","",IFERROR(INDEX(Clay_Brands!$A$2:$FZ$601,499,Sync!$D$6)&amp;"",""))</f>
        <v/>
      </c>
      <c r="F3950" s="17">
        <f>IF(B3950="","","outreach_sent")</f>
        <v/>
      </c>
      <c r="G3950" s="17">
        <f>IF(B3950="","","")</f>
        <v/>
      </c>
      <c r="H3950" s="17">
        <f>IF(B3950="","","")</f>
        <v/>
      </c>
      <c r="I3950" s="17">
        <f>IF(B3950="","","")</f>
        <v/>
      </c>
      <c r="J3950" s="17">
        <f>IF(B3950="","","touch_1; "&amp;IFERROR(INDEX(Clay_Brands!$A$2:$FZ$601,499,Sync!$D$10)&amp;"","")&amp;"; "&amp;IFERROR(INDEX(Clay_Brands!$A$2:$FZ$601,499,Sync!$D$9)&amp;"",""))</f>
        <v/>
      </c>
      <c r="K3950" t="inlineStr">
        <is>
          <t>brand outreach touch 1</t>
        </is>
      </c>
    </row>
    <row r="3951">
      <c r="A3951" s="17">
        <f>IF(B3951="","",B3951+(15*1000+500)/10000000)</f>
        <v/>
      </c>
      <c r="B3951" s="23">
        <f>IF(AND(IFERROR(N(INDEX(Clay_Brands!$A$2:$FZ$601,500,Sync!$D$11)),0)&gt;0,IFERROR(INDEX(Clay_Brands!$A$2:$FZ$601,500,Sync!$D$5)&amp;"","")&lt;&gt;"",OR(LEFT(IFERROR(INDEX(Clay_Brands!$A$2:$FZ$601,500,Sync!$D$5)&amp;"",""),6)&lt;&gt;"SAMPLE",Config!$B$19="Y")),IFERROR(N(INDEX(Clay_Brands!$A$2:$FZ$601,500,Sync!$D$11)),0),"")</f>
        <v/>
      </c>
      <c r="C3951" s="17">
        <f>IF(B3951="","","brand")</f>
        <v/>
      </c>
      <c r="D3951" s="17">
        <f>IF(B3951="","",IFERROR(INDEX(Clay_Brands!$A$2:$FZ$601,500,Sync!$D$5)&amp;"",""))</f>
        <v/>
      </c>
      <c r="E3951" s="17">
        <f>IF(B3951="","",IFERROR(INDEX(Clay_Brands!$A$2:$FZ$601,500,Sync!$D$6)&amp;"",""))</f>
        <v/>
      </c>
      <c r="F3951" s="17">
        <f>IF(B3951="","","outreach_sent")</f>
        <v/>
      </c>
      <c r="G3951" s="17">
        <f>IF(B3951="","","")</f>
        <v/>
      </c>
      <c r="H3951" s="17">
        <f>IF(B3951="","","")</f>
        <v/>
      </c>
      <c r="I3951" s="17">
        <f>IF(B3951="","","")</f>
        <v/>
      </c>
      <c r="J3951" s="17">
        <f>IF(B3951="","","touch_1; "&amp;IFERROR(INDEX(Clay_Brands!$A$2:$FZ$601,500,Sync!$D$10)&amp;"","")&amp;"; "&amp;IFERROR(INDEX(Clay_Brands!$A$2:$FZ$601,500,Sync!$D$9)&amp;"",""))</f>
        <v/>
      </c>
      <c r="K3951" t="inlineStr">
        <is>
          <t>brand outreach touch 1</t>
        </is>
      </c>
    </row>
    <row r="3952">
      <c r="A3952" s="17">
        <f>IF(B3952="","",B3952+(15*1000+501)/10000000)</f>
        <v/>
      </c>
      <c r="B3952" s="23">
        <f>IF(AND(IFERROR(N(INDEX(Clay_Brands!$A$2:$FZ$601,501,Sync!$D$11)),0)&gt;0,IFERROR(INDEX(Clay_Brands!$A$2:$FZ$601,501,Sync!$D$5)&amp;"","")&lt;&gt;"",OR(LEFT(IFERROR(INDEX(Clay_Brands!$A$2:$FZ$601,501,Sync!$D$5)&amp;"",""),6)&lt;&gt;"SAMPLE",Config!$B$19="Y")),IFERROR(N(INDEX(Clay_Brands!$A$2:$FZ$601,501,Sync!$D$11)),0),"")</f>
        <v/>
      </c>
      <c r="C3952" s="17">
        <f>IF(B3952="","","brand")</f>
        <v/>
      </c>
      <c r="D3952" s="17">
        <f>IF(B3952="","",IFERROR(INDEX(Clay_Brands!$A$2:$FZ$601,501,Sync!$D$5)&amp;"",""))</f>
        <v/>
      </c>
      <c r="E3952" s="17">
        <f>IF(B3952="","",IFERROR(INDEX(Clay_Brands!$A$2:$FZ$601,501,Sync!$D$6)&amp;"",""))</f>
        <v/>
      </c>
      <c r="F3952" s="17">
        <f>IF(B3952="","","outreach_sent")</f>
        <v/>
      </c>
      <c r="G3952" s="17">
        <f>IF(B3952="","","")</f>
        <v/>
      </c>
      <c r="H3952" s="17">
        <f>IF(B3952="","","")</f>
        <v/>
      </c>
      <c r="I3952" s="17">
        <f>IF(B3952="","","")</f>
        <v/>
      </c>
      <c r="J3952" s="17">
        <f>IF(B3952="","","touch_1; "&amp;IFERROR(INDEX(Clay_Brands!$A$2:$FZ$601,501,Sync!$D$10)&amp;"","")&amp;"; "&amp;IFERROR(INDEX(Clay_Brands!$A$2:$FZ$601,501,Sync!$D$9)&amp;"",""))</f>
        <v/>
      </c>
      <c r="K3952" t="inlineStr">
        <is>
          <t>brand outreach touch 1</t>
        </is>
      </c>
    </row>
    <row r="3953">
      <c r="A3953" s="17">
        <f>IF(B3953="","",B3953+(15*1000+502)/10000000)</f>
        <v/>
      </c>
      <c r="B3953" s="23">
        <f>IF(AND(IFERROR(N(INDEX(Clay_Brands!$A$2:$FZ$601,502,Sync!$D$11)),0)&gt;0,IFERROR(INDEX(Clay_Brands!$A$2:$FZ$601,502,Sync!$D$5)&amp;"","")&lt;&gt;"",OR(LEFT(IFERROR(INDEX(Clay_Brands!$A$2:$FZ$601,502,Sync!$D$5)&amp;"",""),6)&lt;&gt;"SAMPLE",Config!$B$19="Y")),IFERROR(N(INDEX(Clay_Brands!$A$2:$FZ$601,502,Sync!$D$11)),0),"")</f>
        <v/>
      </c>
      <c r="C3953" s="17">
        <f>IF(B3953="","","brand")</f>
        <v/>
      </c>
      <c r="D3953" s="17">
        <f>IF(B3953="","",IFERROR(INDEX(Clay_Brands!$A$2:$FZ$601,502,Sync!$D$5)&amp;"",""))</f>
        <v/>
      </c>
      <c r="E3953" s="17">
        <f>IF(B3953="","",IFERROR(INDEX(Clay_Brands!$A$2:$FZ$601,502,Sync!$D$6)&amp;"",""))</f>
        <v/>
      </c>
      <c r="F3953" s="17">
        <f>IF(B3953="","","outreach_sent")</f>
        <v/>
      </c>
      <c r="G3953" s="17">
        <f>IF(B3953="","","")</f>
        <v/>
      </c>
      <c r="H3953" s="17">
        <f>IF(B3953="","","")</f>
        <v/>
      </c>
      <c r="I3953" s="17">
        <f>IF(B3953="","","")</f>
        <v/>
      </c>
      <c r="J3953" s="17">
        <f>IF(B3953="","","touch_1; "&amp;IFERROR(INDEX(Clay_Brands!$A$2:$FZ$601,502,Sync!$D$10)&amp;"","")&amp;"; "&amp;IFERROR(INDEX(Clay_Brands!$A$2:$FZ$601,502,Sync!$D$9)&amp;"",""))</f>
        <v/>
      </c>
      <c r="K3953" t="inlineStr">
        <is>
          <t>brand outreach touch 1</t>
        </is>
      </c>
    </row>
    <row r="3954">
      <c r="A3954" s="17">
        <f>IF(B3954="","",B3954+(15*1000+503)/10000000)</f>
        <v/>
      </c>
      <c r="B3954" s="23">
        <f>IF(AND(IFERROR(N(INDEX(Clay_Brands!$A$2:$FZ$601,503,Sync!$D$11)),0)&gt;0,IFERROR(INDEX(Clay_Brands!$A$2:$FZ$601,503,Sync!$D$5)&amp;"","")&lt;&gt;"",OR(LEFT(IFERROR(INDEX(Clay_Brands!$A$2:$FZ$601,503,Sync!$D$5)&amp;"",""),6)&lt;&gt;"SAMPLE",Config!$B$19="Y")),IFERROR(N(INDEX(Clay_Brands!$A$2:$FZ$601,503,Sync!$D$11)),0),"")</f>
        <v/>
      </c>
      <c r="C3954" s="17">
        <f>IF(B3954="","","brand")</f>
        <v/>
      </c>
      <c r="D3954" s="17">
        <f>IF(B3954="","",IFERROR(INDEX(Clay_Brands!$A$2:$FZ$601,503,Sync!$D$5)&amp;"",""))</f>
        <v/>
      </c>
      <c r="E3954" s="17">
        <f>IF(B3954="","",IFERROR(INDEX(Clay_Brands!$A$2:$FZ$601,503,Sync!$D$6)&amp;"",""))</f>
        <v/>
      </c>
      <c r="F3954" s="17">
        <f>IF(B3954="","","outreach_sent")</f>
        <v/>
      </c>
      <c r="G3954" s="17">
        <f>IF(B3954="","","")</f>
        <v/>
      </c>
      <c r="H3954" s="17">
        <f>IF(B3954="","","")</f>
        <v/>
      </c>
      <c r="I3954" s="17">
        <f>IF(B3954="","","")</f>
        <v/>
      </c>
      <c r="J3954" s="17">
        <f>IF(B3954="","","touch_1; "&amp;IFERROR(INDEX(Clay_Brands!$A$2:$FZ$601,503,Sync!$D$10)&amp;"","")&amp;"; "&amp;IFERROR(INDEX(Clay_Brands!$A$2:$FZ$601,503,Sync!$D$9)&amp;"",""))</f>
        <v/>
      </c>
      <c r="K3954" t="inlineStr">
        <is>
          <t>brand outreach touch 1</t>
        </is>
      </c>
    </row>
    <row r="3955">
      <c r="A3955" s="17">
        <f>IF(B3955="","",B3955+(15*1000+504)/10000000)</f>
        <v/>
      </c>
      <c r="B3955" s="23">
        <f>IF(AND(IFERROR(N(INDEX(Clay_Brands!$A$2:$FZ$601,504,Sync!$D$11)),0)&gt;0,IFERROR(INDEX(Clay_Brands!$A$2:$FZ$601,504,Sync!$D$5)&amp;"","")&lt;&gt;"",OR(LEFT(IFERROR(INDEX(Clay_Brands!$A$2:$FZ$601,504,Sync!$D$5)&amp;"",""),6)&lt;&gt;"SAMPLE",Config!$B$19="Y")),IFERROR(N(INDEX(Clay_Brands!$A$2:$FZ$601,504,Sync!$D$11)),0),"")</f>
        <v/>
      </c>
      <c r="C3955" s="17">
        <f>IF(B3955="","","brand")</f>
        <v/>
      </c>
      <c r="D3955" s="17">
        <f>IF(B3955="","",IFERROR(INDEX(Clay_Brands!$A$2:$FZ$601,504,Sync!$D$5)&amp;"",""))</f>
        <v/>
      </c>
      <c r="E3955" s="17">
        <f>IF(B3955="","",IFERROR(INDEX(Clay_Brands!$A$2:$FZ$601,504,Sync!$D$6)&amp;"",""))</f>
        <v/>
      </c>
      <c r="F3955" s="17">
        <f>IF(B3955="","","outreach_sent")</f>
        <v/>
      </c>
      <c r="G3955" s="17">
        <f>IF(B3955="","","")</f>
        <v/>
      </c>
      <c r="H3955" s="17">
        <f>IF(B3955="","","")</f>
        <v/>
      </c>
      <c r="I3955" s="17">
        <f>IF(B3955="","","")</f>
        <v/>
      </c>
      <c r="J3955" s="17">
        <f>IF(B3955="","","touch_1; "&amp;IFERROR(INDEX(Clay_Brands!$A$2:$FZ$601,504,Sync!$D$10)&amp;"","")&amp;"; "&amp;IFERROR(INDEX(Clay_Brands!$A$2:$FZ$601,504,Sync!$D$9)&amp;"",""))</f>
        <v/>
      </c>
      <c r="K3955" t="inlineStr">
        <is>
          <t>brand outreach touch 1</t>
        </is>
      </c>
    </row>
    <row r="3956">
      <c r="A3956" s="17">
        <f>IF(B3956="","",B3956+(15*1000+505)/10000000)</f>
        <v/>
      </c>
      <c r="B3956" s="23">
        <f>IF(AND(IFERROR(N(INDEX(Clay_Brands!$A$2:$FZ$601,505,Sync!$D$11)),0)&gt;0,IFERROR(INDEX(Clay_Brands!$A$2:$FZ$601,505,Sync!$D$5)&amp;"","")&lt;&gt;"",OR(LEFT(IFERROR(INDEX(Clay_Brands!$A$2:$FZ$601,505,Sync!$D$5)&amp;"",""),6)&lt;&gt;"SAMPLE",Config!$B$19="Y")),IFERROR(N(INDEX(Clay_Brands!$A$2:$FZ$601,505,Sync!$D$11)),0),"")</f>
        <v/>
      </c>
      <c r="C3956" s="17">
        <f>IF(B3956="","","brand")</f>
        <v/>
      </c>
      <c r="D3956" s="17">
        <f>IF(B3956="","",IFERROR(INDEX(Clay_Brands!$A$2:$FZ$601,505,Sync!$D$5)&amp;"",""))</f>
        <v/>
      </c>
      <c r="E3956" s="17">
        <f>IF(B3956="","",IFERROR(INDEX(Clay_Brands!$A$2:$FZ$601,505,Sync!$D$6)&amp;"",""))</f>
        <v/>
      </c>
      <c r="F3956" s="17">
        <f>IF(B3956="","","outreach_sent")</f>
        <v/>
      </c>
      <c r="G3956" s="17">
        <f>IF(B3956="","","")</f>
        <v/>
      </c>
      <c r="H3956" s="17">
        <f>IF(B3956="","","")</f>
        <v/>
      </c>
      <c r="I3956" s="17">
        <f>IF(B3956="","","")</f>
        <v/>
      </c>
      <c r="J3956" s="17">
        <f>IF(B3956="","","touch_1; "&amp;IFERROR(INDEX(Clay_Brands!$A$2:$FZ$601,505,Sync!$D$10)&amp;"","")&amp;"; "&amp;IFERROR(INDEX(Clay_Brands!$A$2:$FZ$601,505,Sync!$D$9)&amp;"",""))</f>
        <v/>
      </c>
      <c r="K3956" t="inlineStr">
        <is>
          <t>brand outreach touch 1</t>
        </is>
      </c>
    </row>
    <row r="3957">
      <c r="A3957" s="17">
        <f>IF(B3957="","",B3957+(15*1000+506)/10000000)</f>
        <v/>
      </c>
      <c r="B3957" s="23">
        <f>IF(AND(IFERROR(N(INDEX(Clay_Brands!$A$2:$FZ$601,506,Sync!$D$11)),0)&gt;0,IFERROR(INDEX(Clay_Brands!$A$2:$FZ$601,506,Sync!$D$5)&amp;"","")&lt;&gt;"",OR(LEFT(IFERROR(INDEX(Clay_Brands!$A$2:$FZ$601,506,Sync!$D$5)&amp;"",""),6)&lt;&gt;"SAMPLE",Config!$B$19="Y")),IFERROR(N(INDEX(Clay_Brands!$A$2:$FZ$601,506,Sync!$D$11)),0),"")</f>
        <v/>
      </c>
      <c r="C3957" s="17">
        <f>IF(B3957="","","brand")</f>
        <v/>
      </c>
      <c r="D3957" s="17">
        <f>IF(B3957="","",IFERROR(INDEX(Clay_Brands!$A$2:$FZ$601,506,Sync!$D$5)&amp;"",""))</f>
        <v/>
      </c>
      <c r="E3957" s="17">
        <f>IF(B3957="","",IFERROR(INDEX(Clay_Brands!$A$2:$FZ$601,506,Sync!$D$6)&amp;"",""))</f>
        <v/>
      </c>
      <c r="F3957" s="17">
        <f>IF(B3957="","","outreach_sent")</f>
        <v/>
      </c>
      <c r="G3957" s="17">
        <f>IF(B3957="","","")</f>
        <v/>
      </c>
      <c r="H3957" s="17">
        <f>IF(B3957="","","")</f>
        <v/>
      </c>
      <c r="I3957" s="17">
        <f>IF(B3957="","","")</f>
        <v/>
      </c>
      <c r="J3957" s="17">
        <f>IF(B3957="","","touch_1; "&amp;IFERROR(INDEX(Clay_Brands!$A$2:$FZ$601,506,Sync!$D$10)&amp;"","")&amp;"; "&amp;IFERROR(INDEX(Clay_Brands!$A$2:$FZ$601,506,Sync!$D$9)&amp;"",""))</f>
        <v/>
      </c>
      <c r="K3957" t="inlineStr">
        <is>
          <t>brand outreach touch 1</t>
        </is>
      </c>
    </row>
    <row r="3958">
      <c r="A3958" s="17">
        <f>IF(B3958="","",B3958+(15*1000+507)/10000000)</f>
        <v/>
      </c>
      <c r="B3958" s="23">
        <f>IF(AND(IFERROR(N(INDEX(Clay_Brands!$A$2:$FZ$601,507,Sync!$D$11)),0)&gt;0,IFERROR(INDEX(Clay_Brands!$A$2:$FZ$601,507,Sync!$D$5)&amp;"","")&lt;&gt;"",OR(LEFT(IFERROR(INDEX(Clay_Brands!$A$2:$FZ$601,507,Sync!$D$5)&amp;"",""),6)&lt;&gt;"SAMPLE",Config!$B$19="Y")),IFERROR(N(INDEX(Clay_Brands!$A$2:$FZ$601,507,Sync!$D$11)),0),"")</f>
        <v/>
      </c>
      <c r="C3958" s="17">
        <f>IF(B3958="","","brand")</f>
        <v/>
      </c>
      <c r="D3958" s="17">
        <f>IF(B3958="","",IFERROR(INDEX(Clay_Brands!$A$2:$FZ$601,507,Sync!$D$5)&amp;"",""))</f>
        <v/>
      </c>
      <c r="E3958" s="17">
        <f>IF(B3958="","",IFERROR(INDEX(Clay_Brands!$A$2:$FZ$601,507,Sync!$D$6)&amp;"",""))</f>
        <v/>
      </c>
      <c r="F3958" s="17">
        <f>IF(B3958="","","outreach_sent")</f>
        <v/>
      </c>
      <c r="G3958" s="17">
        <f>IF(B3958="","","")</f>
        <v/>
      </c>
      <c r="H3958" s="17">
        <f>IF(B3958="","","")</f>
        <v/>
      </c>
      <c r="I3958" s="17">
        <f>IF(B3958="","","")</f>
        <v/>
      </c>
      <c r="J3958" s="17">
        <f>IF(B3958="","","touch_1; "&amp;IFERROR(INDEX(Clay_Brands!$A$2:$FZ$601,507,Sync!$D$10)&amp;"","")&amp;"; "&amp;IFERROR(INDEX(Clay_Brands!$A$2:$FZ$601,507,Sync!$D$9)&amp;"",""))</f>
        <v/>
      </c>
      <c r="K3958" t="inlineStr">
        <is>
          <t>brand outreach touch 1</t>
        </is>
      </c>
    </row>
    <row r="3959">
      <c r="A3959" s="17">
        <f>IF(B3959="","",B3959+(15*1000+508)/10000000)</f>
        <v/>
      </c>
      <c r="B3959" s="23">
        <f>IF(AND(IFERROR(N(INDEX(Clay_Brands!$A$2:$FZ$601,508,Sync!$D$11)),0)&gt;0,IFERROR(INDEX(Clay_Brands!$A$2:$FZ$601,508,Sync!$D$5)&amp;"","")&lt;&gt;"",OR(LEFT(IFERROR(INDEX(Clay_Brands!$A$2:$FZ$601,508,Sync!$D$5)&amp;"",""),6)&lt;&gt;"SAMPLE",Config!$B$19="Y")),IFERROR(N(INDEX(Clay_Brands!$A$2:$FZ$601,508,Sync!$D$11)),0),"")</f>
        <v/>
      </c>
      <c r="C3959" s="17">
        <f>IF(B3959="","","brand")</f>
        <v/>
      </c>
      <c r="D3959" s="17">
        <f>IF(B3959="","",IFERROR(INDEX(Clay_Brands!$A$2:$FZ$601,508,Sync!$D$5)&amp;"",""))</f>
        <v/>
      </c>
      <c r="E3959" s="17">
        <f>IF(B3959="","",IFERROR(INDEX(Clay_Brands!$A$2:$FZ$601,508,Sync!$D$6)&amp;"",""))</f>
        <v/>
      </c>
      <c r="F3959" s="17">
        <f>IF(B3959="","","outreach_sent")</f>
        <v/>
      </c>
      <c r="G3959" s="17">
        <f>IF(B3959="","","")</f>
        <v/>
      </c>
      <c r="H3959" s="17">
        <f>IF(B3959="","","")</f>
        <v/>
      </c>
      <c r="I3959" s="17">
        <f>IF(B3959="","","")</f>
        <v/>
      </c>
      <c r="J3959" s="17">
        <f>IF(B3959="","","touch_1; "&amp;IFERROR(INDEX(Clay_Brands!$A$2:$FZ$601,508,Sync!$D$10)&amp;"","")&amp;"; "&amp;IFERROR(INDEX(Clay_Brands!$A$2:$FZ$601,508,Sync!$D$9)&amp;"",""))</f>
        <v/>
      </c>
      <c r="K3959" t="inlineStr">
        <is>
          <t>brand outreach touch 1</t>
        </is>
      </c>
    </row>
    <row r="3960">
      <c r="A3960" s="17">
        <f>IF(B3960="","",B3960+(15*1000+509)/10000000)</f>
        <v/>
      </c>
      <c r="B3960" s="23">
        <f>IF(AND(IFERROR(N(INDEX(Clay_Brands!$A$2:$FZ$601,509,Sync!$D$11)),0)&gt;0,IFERROR(INDEX(Clay_Brands!$A$2:$FZ$601,509,Sync!$D$5)&amp;"","")&lt;&gt;"",OR(LEFT(IFERROR(INDEX(Clay_Brands!$A$2:$FZ$601,509,Sync!$D$5)&amp;"",""),6)&lt;&gt;"SAMPLE",Config!$B$19="Y")),IFERROR(N(INDEX(Clay_Brands!$A$2:$FZ$601,509,Sync!$D$11)),0),"")</f>
        <v/>
      </c>
      <c r="C3960" s="17">
        <f>IF(B3960="","","brand")</f>
        <v/>
      </c>
      <c r="D3960" s="17">
        <f>IF(B3960="","",IFERROR(INDEX(Clay_Brands!$A$2:$FZ$601,509,Sync!$D$5)&amp;"",""))</f>
        <v/>
      </c>
      <c r="E3960" s="17">
        <f>IF(B3960="","",IFERROR(INDEX(Clay_Brands!$A$2:$FZ$601,509,Sync!$D$6)&amp;"",""))</f>
        <v/>
      </c>
      <c r="F3960" s="17">
        <f>IF(B3960="","","outreach_sent")</f>
        <v/>
      </c>
      <c r="G3960" s="17">
        <f>IF(B3960="","","")</f>
        <v/>
      </c>
      <c r="H3960" s="17">
        <f>IF(B3960="","","")</f>
        <v/>
      </c>
      <c r="I3960" s="17">
        <f>IF(B3960="","","")</f>
        <v/>
      </c>
      <c r="J3960" s="17">
        <f>IF(B3960="","","touch_1; "&amp;IFERROR(INDEX(Clay_Brands!$A$2:$FZ$601,509,Sync!$D$10)&amp;"","")&amp;"; "&amp;IFERROR(INDEX(Clay_Brands!$A$2:$FZ$601,509,Sync!$D$9)&amp;"",""))</f>
        <v/>
      </c>
      <c r="K3960" t="inlineStr">
        <is>
          <t>brand outreach touch 1</t>
        </is>
      </c>
    </row>
    <row r="3961">
      <c r="A3961" s="17">
        <f>IF(B3961="","",B3961+(15*1000+510)/10000000)</f>
        <v/>
      </c>
      <c r="B3961" s="23">
        <f>IF(AND(IFERROR(N(INDEX(Clay_Brands!$A$2:$FZ$601,510,Sync!$D$11)),0)&gt;0,IFERROR(INDEX(Clay_Brands!$A$2:$FZ$601,510,Sync!$D$5)&amp;"","")&lt;&gt;"",OR(LEFT(IFERROR(INDEX(Clay_Brands!$A$2:$FZ$601,510,Sync!$D$5)&amp;"",""),6)&lt;&gt;"SAMPLE",Config!$B$19="Y")),IFERROR(N(INDEX(Clay_Brands!$A$2:$FZ$601,510,Sync!$D$11)),0),"")</f>
        <v/>
      </c>
      <c r="C3961" s="17">
        <f>IF(B3961="","","brand")</f>
        <v/>
      </c>
      <c r="D3961" s="17">
        <f>IF(B3961="","",IFERROR(INDEX(Clay_Brands!$A$2:$FZ$601,510,Sync!$D$5)&amp;"",""))</f>
        <v/>
      </c>
      <c r="E3961" s="17">
        <f>IF(B3961="","",IFERROR(INDEX(Clay_Brands!$A$2:$FZ$601,510,Sync!$D$6)&amp;"",""))</f>
        <v/>
      </c>
      <c r="F3961" s="17">
        <f>IF(B3961="","","outreach_sent")</f>
        <v/>
      </c>
      <c r="G3961" s="17">
        <f>IF(B3961="","","")</f>
        <v/>
      </c>
      <c r="H3961" s="17">
        <f>IF(B3961="","","")</f>
        <v/>
      </c>
      <c r="I3961" s="17">
        <f>IF(B3961="","","")</f>
        <v/>
      </c>
      <c r="J3961" s="17">
        <f>IF(B3961="","","touch_1; "&amp;IFERROR(INDEX(Clay_Brands!$A$2:$FZ$601,510,Sync!$D$10)&amp;"","")&amp;"; "&amp;IFERROR(INDEX(Clay_Brands!$A$2:$FZ$601,510,Sync!$D$9)&amp;"",""))</f>
        <v/>
      </c>
      <c r="K3961" t="inlineStr">
        <is>
          <t>brand outreach touch 1</t>
        </is>
      </c>
    </row>
    <row r="3962">
      <c r="A3962" s="17">
        <f>IF(B3962="","",B3962+(15*1000+511)/10000000)</f>
        <v/>
      </c>
      <c r="B3962" s="23">
        <f>IF(AND(IFERROR(N(INDEX(Clay_Brands!$A$2:$FZ$601,511,Sync!$D$11)),0)&gt;0,IFERROR(INDEX(Clay_Brands!$A$2:$FZ$601,511,Sync!$D$5)&amp;"","")&lt;&gt;"",OR(LEFT(IFERROR(INDEX(Clay_Brands!$A$2:$FZ$601,511,Sync!$D$5)&amp;"",""),6)&lt;&gt;"SAMPLE",Config!$B$19="Y")),IFERROR(N(INDEX(Clay_Brands!$A$2:$FZ$601,511,Sync!$D$11)),0),"")</f>
        <v/>
      </c>
      <c r="C3962" s="17">
        <f>IF(B3962="","","brand")</f>
        <v/>
      </c>
      <c r="D3962" s="17">
        <f>IF(B3962="","",IFERROR(INDEX(Clay_Brands!$A$2:$FZ$601,511,Sync!$D$5)&amp;"",""))</f>
        <v/>
      </c>
      <c r="E3962" s="17">
        <f>IF(B3962="","",IFERROR(INDEX(Clay_Brands!$A$2:$FZ$601,511,Sync!$D$6)&amp;"",""))</f>
        <v/>
      </c>
      <c r="F3962" s="17">
        <f>IF(B3962="","","outreach_sent")</f>
        <v/>
      </c>
      <c r="G3962" s="17">
        <f>IF(B3962="","","")</f>
        <v/>
      </c>
      <c r="H3962" s="17">
        <f>IF(B3962="","","")</f>
        <v/>
      </c>
      <c r="I3962" s="17">
        <f>IF(B3962="","","")</f>
        <v/>
      </c>
      <c r="J3962" s="17">
        <f>IF(B3962="","","touch_1; "&amp;IFERROR(INDEX(Clay_Brands!$A$2:$FZ$601,511,Sync!$D$10)&amp;"","")&amp;"; "&amp;IFERROR(INDEX(Clay_Brands!$A$2:$FZ$601,511,Sync!$D$9)&amp;"",""))</f>
        <v/>
      </c>
      <c r="K3962" t="inlineStr">
        <is>
          <t>brand outreach touch 1</t>
        </is>
      </c>
    </row>
    <row r="3963">
      <c r="A3963" s="17">
        <f>IF(B3963="","",B3963+(15*1000+512)/10000000)</f>
        <v/>
      </c>
      <c r="B3963" s="23">
        <f>IF(AND(IFERROR(N(INDEX(Clay_Brands!$A$2:$FZ$601,512,Sync!$D$11)),0)&gt;0,IFERROR(INDEX(Clay_Brands!$A$2:$FZ$601,512,Sync!$D$5)&amp;"","")&lt;&gt;"",OR(LEFT(IFERROR(INDEX(Clay_Brands!$A$2:$FZ$601,512,Sync!$D$5)&amp;"",""),6)&lt;&gt;"SAMPLE",Config!$B$19="Y")),IFERROR(N(INDEX(Clay_Brands!$A$2:$FZ$601,512,Sync!$D$11)),0),"")</f>
        <v/>
      </c>
      <c r="C3963" s="17">
        <f>IF(B3963="","","brand")</f>
        <v/>
      </c>
      <c r="D3963" s="17">
        <f>IF(B3963="","",IFERROR(INDEX(Clay_Brands!$A$2:$FZ$601,512,Sync!$D$5)&amp;"",""))</f>
        <v/>
      </c>
      <c r="E3963" s="17">
        <f>IF(B3963="","",IFERROR(INDEX(Clay_Brands!$A$2:$FZ$601,512,Sync!$D$6)&amp;"",""))</f>
        <v/>
      </c>
      <c r="F3963" s="17">
        <f>IF(B3963="","","outreach_sent")</f>
        <v/>
      </c>
      <c r="G3963" s="17">
        <f>IF(B3963="","","")</f>
        <v/>
      </c>
      <c r="H3963" s="17">
        <f>IF(B3963="","","")</f>
        <v/>
      </c>
      <c r="I3963" s="17">
        <f>IF(B3963="","","")</f>
        <v/>
      </c>
      <c r="J3963" s="17">
        <f>IF(B3963="","","touch_1; "&amp;IFERROR(INDEX(Clay_Brands!$A$2:$FZ$601,512,Sync!$D$10)&amp;"","")&amp;"; "&amp;IFERROR(INDEX(Clay_Brands!$A$2:$FZ$601,512,Sync!$D$9)&amp;"",""))</f>
        <v/>
      </c>
      <c r="K3963" t="inlineStr">
        <is>
          <t>brand outreach touch 1</t>
        </is>
      </c>
    </row>
    <row r="3964">
      <c r="A3964" s="17">
        <f>IF(B3964="","",B3964+(15*1000+513)/10000000)</f>
        <v/>
      </c>
      <c r="B3964" s="23">
        <f>IF(AND(IFERROR(N(INDEX(Clay_Brands!$A$2:$FZ$601,513,Sync!$D$11)),0)&gt;0,IFERROR(INDEX(Clay_Brands!$A$2:$FZ$601,513,Sync!$D$5)&amp;"","")&lt;&gt;"",OR(LEFT(IFERROR(INDEX(Clay_Brands!$A$2:$FZ$601,513,Sync!$D$5)&amp;"",""),6)&lt;&gt;"SAMPLE",Config!$B$19="Y")),IFERROR(N(INDEX(Clay_Brands!$A$2:$FZ$601,513,Sync!$D$11)),0),"")</f>
        <v/>
      </c>
      <c r="C3964" s="17">
        <f>IF(B3964="","","brand")</f>
        <v/>
      </c>
      <c r="D3964" s="17">
        <f>IF(B3964="","",IFERROR(INDEX(Clay_Brands!$A$2:$FZ$601,513,Sync!$D$5)&amp;"",""))</f>
        <v/>
      </c>
      <c r="E3964" s="17">
        <f>IF(B3964="","",IFERROR(INDEX(Clay_Brands!$A$2:$FZ$601,513,Sync!$D$6)&amp;"",""))</f>
        <v/>
      </c>
      <c r="F3964" s="17">
        <f>IF(B3964="","","outreach_sent")</f>
        <v/>
      </c>
      <c r="G3964" s="17">
        <f>IF(B3964="","","")</f>
        <v/>
      </c>
      <c r="H3964" s="17">
        <f>IF(B3964="","","")</f>
        <v/>
      </c>
      <c r="I3964" s="17">
        <f>IF(B3964="","","")</f>
        <v/>
      </c>
      <c r="J3964" s="17">
        <f>IF(B3964="","","touch_1; "&amp;IFERROR(INDEX(Clay_Brands!$A$2:$FZ$601,513,Sync!$D$10)&amp;"","")&amp;"; "&amp;IFERROR(INDEX(Clay_Brands!$A$2:$FZ$601,513,Sync!$D$9)&amp;"",""))</f>
        <v/>
      </c>
      <c r="K3964" t="inlineStr">
        <is>
          <t>brand outreach touch 1</t>
        </is>
      </c>
    </row>
    <row r="3965">
      <c r="A3965" s="17">
        <f>IF(B3965="","",B3965+(15*1000+514)/10000000)</f>
        <v/>
      </c>
      <c r="B3965" s="23">
        <f>IF(AND(IFERROR(N(INDEX(Clay_Brands!$A$2:$FZ$601,514,Sync!$D$11)),0)&gt;0,IFERROR(INDEX(Clay_Brands!$A$2:$FZ$601,514,Sync!$D$5)&amp;"","")&lt;&gt;"",OR(LEFT(IFERROR(INDEX(Clay_Brands!$A$2:$FZ$601,514,Sync!$D$5)&amp;"",""),6)&lt;&gt;"SAMPLE",Config!$B$19="Y")),IFERROR(N(INDEX(Clay_Brands!$A$2:$FZ$601,514,Sync!$D$11)),0),"")</f>
        <v/>
      </c>
      <c r="C3965" s="17">
        <f>IF(B3965="","","brand")</f>
        <v/>
      </c>
      <c r="D3965" s="17">
        <f>IF(B3965="","",IFERROR(INDEX(Clay_Brands!$A$2:$FZ$601,514,Sync!$D$5)&amp;"",""))</f>
        <v/>
      </c>
      <c r="E3965" s="17">
        <f>IF(B3965="","",IFERROR(INDEX(Clay_Brands!$A$2:$FZ$601,514,Sync!$D$6)&amp;"",""))</f>
        <v/>
      </c>
      <c r="F3965" s="17">
        <f>IF(B3965="","","outreach_sent")</f>
        <v/>
      </c>
      <c r="G3965" s="17">
        <f>IF(B3965="","","")</f>
        <v/>
      </c>
      <c r="H3965" s="17">
        <f>IF(B3965="","","")</f>
        <v/>
      </c>
      <c r="I3965" s="17">
        <f>IF(B3965="","","")</f>
        <v/>
      </c>
      <c r="J3965" s="17">
        <f>IF(B3965="","","touch_1; "&amp;IFERROR(INDEX(Clay_Brands!$A$2:$FZ$601,514,Sync!$D$10)&amp;"","")&amp;"; "&amp;IFERROR(INDEX(Clay_Brands!$A$2:$FZ$601,514,Sync!$D$9)&amp;"",""))</f>
        <v/>
      </c>
      <c r="K3965" t="inlineStr">
        <is>
          <t>brand outreach touch 1</t>
        </is>
      </c>
    </row>
    <row r="3966">
      <c r="A3966" s="17">
        <f>IF(B3966="","",B3966+(15*1000+515)/10000000)</f>
        <v/>
      </c>
      <c r="B3966" s="23">
        <f>IF(AND(IFERROR(N(INDEX(Clay_Brands!$A$2:$FZ$601,515,Sync!$D$11)),0)&gt;0,IFERROR(INDEX(Clay_Brands!$A$2:$FZ$601,515,Sync!$D$5)&amp;"","")&lt;&gt;"",OR(LEFT(IFERROR(INDEX(Clay_Brands!$A$2:$FZ$601,515,Sync!$D$5)&amp;"",""),6)&lt;&gt;"SAMPLE",Config!$B$19="Y")),IFERROR(N(INDEX(Clay_Brands!$A$2:$FZ$601,515,Sync!$D$11)),0),"")</f>
        <v/>
      </c>
      <c r="C3966" s="17">
        <f>IF(B3966="","","brand")</f>
        <v/>
      </c>
      <c r="D3966" s="17">
        <f>IF(B3966="","",IFERROR(INDEX(Clay_Brands!$A$2:$FZ$601,515,Sync!$D$5)&amp;"",""))</f>
        <v/>
      </c>
      <c r="E3966" s="17">
        <f>IF(B3966="","",IFERROR(INDEX(Clay_Brands!$A$2:$FZ$601,515,Sync!$D$6)&amp;"",""))</f>
        <v/>
      </c>
      <c r="F3966" s="17">
        <f>IF(B3966="","","outreach_sent")</f>
        <v/>
      </c>
      <c r="G3966" s="17">
        <f>IF(B3966="","","")</f>
        <v/>
      </c>
      <c r="H3966" s="17">
        <f>IF(B3966="","","")</f>
        <v/>
      </c>
      <c r="I3966" s="17">
        <f>IF(B3966="","","")</f>
        <v/>
      </c>
      <c r="J3966" s="17">
        <f>IF(B3966="","","touch_1; "&amp;IFERROR(INDEX(Clay_Brands!$A$2:$FZ$601,515,Sync!$D$10)&amp;"","")&amp;"; "&amp;IFERROR(INDEX(Clay_Brands!$A$2:$FZ$601,515,Sync!$D$9)&amp;"",""))</f>
        <v/>
      </c>
      <c r="K3966" t="inlineStr">
        <is>
          <t>brand outreach touch 1</t>
        </is>
      </c>
    </row>
    <row r="3967">
      <c r="A3967" s="17">
        <f>IF(B3967="","",B3967+(15*1000+516)/10000000)</f>
        <v/>
      </c>
      <c r="B3967" s="23">
        <f>IF(AND(IFERROR(N(INDEX(Clay_Brands!$A$2:$FZ$601,516,Sync!$D$11)),0)&gt;0,IFERROR(INDEX(Clay_Brands!$A$2:$FZ$601,516,Sync!$D$5)&amp;"","")&lt;&gt;"",OR(LEFT(IFERROR(INDEX(Clay_Brands!$A$2:$FZ$601,516,Sync!$D$5)&amp;"",""),6)&lt;&gt;"SAMPLE",Config!$B$19="Y")),IFERROR(N(INDEX(Clay_Brands!$A$2:$FZ$601,516,Sync!$D$11)),0),"")</f>
        <v/>
      </c>
      <c r="C3967" s="17">
        <f>IF(B3967="","","brand")</f>
        <v/>
      </c>
      <c r="D3967" s="17">
        <f>IF(B3967="","",IFERROR(INDEX(Clay_Brands!$A$2:$FZ$601,516,Sync!$D$5)&amp;"",""))</f>
        <v/>
      </c>
      <c r="E3967" s="17">
        <f>IF(B3967="","",IFERROR(INDEX(Clay_Brands!$A$2:$FZ$601,516,Sync!$D$6)&amp;"",""))</f>
        <v/>
      </c>
      <c r="F3967" s="17">
        <f>IF(B3967="","","outreach_sent")</f>
        <v/>
      </c>
      <c r="G3967" s="17">
        <f>IF(B3967="","","")</f>
        <v/>
      </c>
      <c r="H3967" s="17">
        <f>IF(B3967="","","")</f>
        <v/>
      </c>
      <c r="I3967" s="17">
        <f>IF(B3967="","","")</f>
        <v/>
      </c>
      <c r="J3967" s="17">
        <f>IF(B3967="","","touch_1; "&amp;IFERROR(INDEX(Clay_Brands!$A$2:$FZ$601,516,Sync!$D$10)&amp;"","")&amp;"; "&amp;IFERROR(INDEX(Clay_Brands!$A$2:$FZ$601,516,Sync!$D$9)&amp;"",""))</f>
        <v/>
      </c>
      <c r="K3967" t="inlineStr">
        <is>
          <t>brand outreach touch 1</t>
        </is>
      </c>
    </row>
    <row r="3968">
      <c r="A3968" s="17">
        <f>IF(B3968="","",B3968+(15*1000+517)/10000000)</f>
        <v/>
      </c>
      <c r="B3968" s="23">
        <f>IF(AND(IFERROR(N(INDEX(Clay_Brands!$A$2:$FZ$601,517,Sync!$D$11)),0)&gt;0,IFERROR(INDEX(Clay_Brands!$A$2:$FZ$601,517,Sync!$D$5)&amp;"","")&lt;&gt;"",OR(LEFT(IFERROR(INDEX(Clay_Brands!$A$2:$FZ$601,517,Sync!$D$5)&amp;"",""),6)&lt;&gt;"SAMPLE",Config!$B$19="Y")),IFERROR(N(INDEX(Clay_Brands!$A$2:$FZ$601,517,Sync!$D$11)),0),"")</f>
        <v/>
      </c>
      <c r="C3968" s="17">
        <f>IF(B3968="","","brand")</f>
        <v/>
      </c>
      <c r="D3968" s="17">
        <f>IF(B3968="","",IFERROR(INDEX(Clay_Brands!$A$2:$FZ$601,517,Sync!$D$5)&amp;"",""))</f>
        <v/>
      </c>
      <c r="E3968" s="17">
        <f>IF(B3968="","",IFERROR(INDEX(Clay_Brands!$A$2:$FZ$601,517,Sync!$D$6)&amp;"",""))</f>
        <v/>
      </c>
      <c r="F3968" s="17">
        <f>IF(B3968="","","outreach_sent")</f>
        <v/>
      </c>
      <c r="G3968" s="17">
        <f>IF(B3968="","","")</f>
        <v/>
      </c>
      <c r="H3968" s="17">
        <f>IF(B3968="","","")</f>
        <v/>
      </c>
      <c r="I3968" s="17">
        <f>IF(B3968="","","")</f>
        <v/>
      </c>
      <c r="J3968" s="17">
        <f>IF(B3968="","","touch_1; "&amp;IFERROR(INDEX(Clay_Brands!$A$2:$FZ$601,517,Sync!$D$10)&amp;"","")&amp;"; "&amp;IFERROR(INDEX(Clay_Brands!$A$2:$FZ$601,517,Sync!$D$9)&amp;"",""))</f>
        <v/>
      </c>
      <c r="K3968" t="inlineStr">
        <is>
          <t>brand outreach touch 1</t>
        </is>
      </c>
    </row>
    <row r="3969">
      <c r="A3969" s="17">
        <f>IF(B3969="","",B3969+(15*1000+518)/10000000)</f>
        <v/>
      </c>
      <c r="B3969" s="23">
        <f>IF(AND(IFERROR(N(INDEX(Clay_Brands!$A$2:$FZ$601,518,Sync!$D$11)),0)&gt;0,IFERROR(INDEX(Clay_Brands!$A$2:$FZ$601,518,Sync!$D$5)&amp;"","")&lt;&gt;"",OR(LEFT(IFERROR(INDEX(Clay_Brands!$A$2:$FZ$601,518,Sync!$D$5)&amp;"",""),6)&lt;&gt;"SAMPLE",Config!$B$19="Y")),IFERROR(N(INDEX(Clay_Brands!$A$2:$FZ$601,518,Sync!$D$11)),0),"")</f>
        <v/>
      </c>
      <c r="C3969" s="17">
        <f>IF(B3969="","","brand")</f>
        <v/>
      </c>
      <c r="D3969" s="17">
        <f>IF(B3969="","",IFERROR(INDEX(Clay_Brands!$A$2:$FZ$601,518,Sync!$D$5)&amp;"",""))</f>
        <v/>
      </c>
      <c r="E3969" s="17">
        <f>IF(B3969="","",IFERROR(INDEX(Clay_Brands!$A$2:$FZ$601,518,Sync!$D$6)&amp;"",""))</f>
        <v/>
      </c>
      <c r="F3969" s="17">
        <f>IF(B3969="","","outreach_sent")</f>
        <v/>
      </c>
      <c r="G3969" s="17">
        <f>IF(B3969="","","")</f>
        <v/>
      </c>
      <c r="H3969" s="17">
        <f>IF(B3969="","","")</f>
        <v/>
      </c>
      <c r="I3969" s="17">
        <f>IF(B3969="","","")</f>
        <v/>
      </c>
      <c r="J3969" s="17">
        <f>IF(B3969="","","touch_1; "&amp;IFERROR(INDEX(Clay_Brands!$A$2:$FZ$601,518,Sync!$D$10)&amp;"","")&amp;"; "&amp;IFERROR(INDEX(Clay_Brands!$A$2:$FZ$601,518,Sync!$D$9)&amp;"",""))</f>
        <v/>
      </c>
      <c r="K3969" t="inlineStr">
        <is>
          <t>brand outreach touch 1</t>
        </is>
      </c>
    </row>
    <row r="3970">
      <c r="A3970" s="17">
        <f>IF(B3970="","",B3970+(15*1000+519)/10000000)</f>
        <v/>
      </c>
      <c r="B3970" s="23">
        <f>IF(AND(IFERROR(N(INDEX(Clay_Brands!$A$2:$FZ$601,519,Sync!$D$11)),0)&gt;0,IFERROR(INDEX(Clay_Brands!$A$2:$FZ$601,519,Sync!$D$5)&amp;"","")&lt;&gt;"",OR(LEFT(IFERROR(INDEX(Clay_Brands!$A$2:$FZ$601,519,Sync!$D$5)&amp;"",""),6)&lt;&gt;"SAMPLE",Config!$B$19="Y")),IFERROR(N(INDEX(Clay_Brands!$A$2:$FZ$601,519,Sync!$D$11)),0),"")</f>
        <v/>
      </c>
      <c r="C3970" s="17">
        <f>IF(B3970="","","brand")</f>
        <v/>
      </c>
      <c r="D3970" s="17">
        <f>IF(B3970="","",IFERROR(INDEX(Clay_Brands!$A$2:$FZ$601,519,Sync!$D$5)&amp;"",""))</f>
        <v/>
      </c>
      <c r="E3970" s="17">
        <f>IF(B3970="","",IFERROR(INDEX(Clay_Brands!$A$2:$FZ$601,519,Sync!$D$6)&amp;"",""))</f>
        <v/>
      </c>
      <c r="F3970" s="17">
        <f>IF(B3970="","","outreach_sent")</f>
        <v/>
      </c>
      <c r="G3970" s="17">
        <f>IF(B3970="","","")</f>
        <v/>
      </c>
      <c r="H3970" s="17">
        <f>IF(B3970="","","")</f>
        <v/>
      </c>
      <c r="I3970" s="17">
        <f>IF(B3970="","","")</f>
        <v/>
      </c>
      <c r="J3970" s="17">
        <f>IF(B3970="","","touch_1; "&amp;IFERROR(INDEX(Clay_Brands!$A$2:$FZ$601,519,Sync!$D$10)&amp;"","")&amp;"; "&amp;IFERROR(INDEX(Clay_Brands!$A$2:$FZ$601,519,Sync!$D$9)&amp;"",""))</f>
        <v/>
      </c>
      <c r="K3970" t="inlineStr">
        <is>
          <t>brand outreach touch 1</t>
        </is>
      </c>
    </row>
    <row r="3971">
      <c r="A3971" s="17">
        <f>IF(B3971="","",B3971+(15*1000+520)/10000000)</f>
        <v/>
      </c>
      <c r="B3971" s="23">
        <f>IF(AND(IFERROR(N(INDEX(Clay_Brands!$A$2:$FZ$601,520,Sync!$D$11)),0)&gt;0,IFERROR(INDEX(Clay_Brands!$A$2:$FZ$601,520,Sync!$D$5)&amp;"","")&lt;&gt;"",OR(LEFT(IFERROR(INDEX(Clay_Brands!$A$2:$FZ$601,520,Sync!$D$5)&amp;"",""),6)&lt;&gt;"SAMPLE",Config!$B$19="Y")),IFERROR(N(INDEX(Clay_Brands!$A$2:$FZ$601,520,Sync!$D$11)),0),"")</f>
        <v/>
      </c>
      <c r="C3971" s="17">
        <f>IF(B3971="","","brand")</f>
        <v/>
      </c>
      <c r="D3971" s="17">
        <f>IF(B3971="","",IFERROR(INDEX(Clay_Brands!$A$2:$FZ$601,520,Sync!$D$5)&amp;"",""))</f>
        <v/>
      </c>
      <c r="E3971" s="17">
        <f>IF(B3971="","",IFERROR(INDEX(Clay_Brands!$A$2:$FZ$601,520,Sync!$D$6)&amp;"",""))</f>
        <v/>
      </c>
      <c r="F3971" s="17">
        <f>IF(B3971="","","outreach_sent")</f>
        <v/>
      </c>
      <c r="G3971" s="17">
        <f>IF(B3971="","","")</f>
        <v/>
      </c>
      <c r="H3971" s="17">
        <f>IF(B3971="","","")</f>
        <v/>
      </c>
      <c r="I3971" s="17">
        <f>IF(B3971="","","")</f>
        <v/>
      </c>
      <c r="J3971" s="17">
        <f>IF(B3971="","","touch_1; "&amp;IFERROR(INDEX(Clay_Brands!$A$2:$FZ$601,520,Sync!$D$10)&amp;"","")&amp;"; "&amp;IFERROR(INDEX(Clay_Brands!$A$2:$FZ$601,520,Sync!$D$9)&amp;"",""))</f>
        <v/>
      </c>
      <c r="K3971" t="inlineStr">
        <is>
          <t>brand outreach touch 1</t>
        </is>
      </c>
    </row>
    <row r="3972">
      <c r="A3972" s="17">
        <f>IF(B3972="","",B3972+(15*1000+521)/10000000)</f>
        <v/>
      </c>
      <c r="B3972" s="23">
        <f>IF(AND(IFERROR(N(INDEX(Clay_Brands!$A$2:$FZ$601,521,Sync!$D$11)),0)&gt;0,IFERROR(INDEX(Clay_Brands!$A$2:$FZ$601,521,Sync!$D$5)&amp;"","")&lt;&gt;"",OR(LEFT(IFERROR(INDEX(Clay_Brands!$A$2:$FZ$601,521,Sync!$D$5)&amp;"",""),6)&lt;&gt;"SAMPLE",Config!$B$19="Y")),IFERROR(N(INDEX(Clay_Brands!$A$2:$FZ$601,521,Sync!$D$11)),0),"")</f>
        <v/>
      </c>
      <c r="C3972" s="17">
        <f>IF(B3972="","","brand")</f>
        <v/>
      </c>
      <c r="D3972" s="17">
        <f>IF(B3972="","",IFERROR(INDEX(Clay_Brands!$A$2:$FZ$601,521,Sync!$D$5)&amp;"",""))</f>
        <v/>
      </c>
      <c r="E3972" s="17">
        <f>IF(B3972="","",IFERROR(INDEX(Clay_Brands!$A$2:$FZ$601,521,Sync!$D$6)&amp;"",""))</f>
        <v/>
      </c>
      <c r="F3972" s="17">
        <f>IF(B3972="","","outreach_sent")</f>
        <v/>
      </c>
      <c r="G3972" s="17">
        <f>IF(B3972="","","")</f>
        <v/>
      </c>
      <c r="H3972" s="17">
        <f>IF(B3972="","","")</f>
        <v/>
      </c>
      <c r="I3972" s="17">
        <f>IF(B3972="","","")</f>
        <v/>
      </c>
      <c r="J3972" s="17">
        <f>IF(B3972="","","touch_1; "&amp;IFERROR(INDEX(Clay_Brands!$A$2:$FZ$601,521,Sync!$D$10)&amp;"","")&amp;"; "&amp;IFERROR(INDEX(Clay_Brands!$A$2:$FZ$601,521,Sync!$D$9)&amp;"",""))</f>
        <v/>
      </c>
      <c r="K3972" t="inlineStr">
        <is>
          <t>brand outreach touch 1</t>
        </is>
      </c>
    </row>
    <row r="3973">
      <c r="A3973" s="17">
        <f>IF(B3973="","",B3973+(15*1000+522)/10000000)</f>
        <v/>
      </c>
      <c r="B3973" s="23">
        <f>IF(AND(IFERROR(N(INDEX(Clay_Brands!$A$2:$FZ$601,522,Sync!$D$11)),0)&gt;0,IFERROR(INDEX(Clay_Brands!$A$2:$FZ$601,522,Sync!$D$5)&amp;"","")&lt;&gt;"",OR(LEFT(IFERROR(INDEX(Clay_Brands!$A$2:$FZ$601,522,Sync!$D$5)&amp;"",""),6)&lt;&gt;"SAMPLE",Config!$B$19="Y")),IFERROR(N(INDEX(Clay_Brands!$A$2:$FZ$601,522,Sync!$D$11)),0),"")</f>
        <v/>
      </c>
      <c r="C3973" s="17">
        <f>IF(B3973="","","brand")</f>
        <v/>
      </c>
      <c r="D3973" s="17">
        <f>IF(B3973="","",IFERROR(INDEX(Clay_Brands!$A$2:$FZ$601,522,Sync!$D$5)&amp;"",""))</f>
        <v/>
      </c>
      <c r="E3973" s="17">
        <f>IF(B3973="","",IFERROR(INDEX(Clay_Brands!$A$2:$FZ$601,522,Sync!$D$6)&amp;"",""))</f>
        <v/>
      </c>
      <c r="F3973" s="17">
        <f>IF(B3973="","","outreach_sent")</f>
        <v/>
      </c>
      <c r="G3973" s="17">
        <f>IF(B3973="","","")</f>
        <v/>
      </c>
      <c r="H3973" s="17">
        <f>IF(B3973="","","")</f>
        <v/>
      </c>
      <c r="I3973" s="17">
        <f>IF(B3973="","","")</f>
        <v/>
      </c>
      <c r="J3973" s="17">
        <f>IF(B3973="","","touch_1; "&amp;IFERROR(INDEX(Clay_Brands!$A$2:$FZ$601,522,Sync!$D$10)&amp;"","")&amp;"; "&amp;IFERROR(INDEX(Clay_Brands!$A$2:$FZ$601,522,Sync!$D$9)&amp;"",""))</f>
        <v/>
      </c>
      <c r="K3973" t="inlineStr">
        <is>
          <t>brand outreach touch 1</t>
        </is>
      </c>
    </row>
    <row r="3974">
      <c r="A3974" s="17">
        <f>IF(B3974="","",B3974+(15*1000+523)/10000000)</f>
        <v/>
      </c>
      <c r="B3974" s="23">
        <f>IF(AND(IFERROR(N(INDEX(Clay_Brands!$A$2:$FZ$601,523,Sync!$D$11)),0)&gt;0,IFERROR(INDEX(Clay_Brands!$A$2:$FZ$601,523,Sync!$D$5)&amp;"","")&lt;&gt;"",OR(LEFT(IFERROR(INDEX(Clay_Brands!$A$2:$FZ$601,523,Sync!$D$5)&amp;"",""),6)&lt;&gt;"SAMPLE",Config!$B$19="Y")),IFERROR(N(INDEX(Clay_Brands!$A$2:$FZ$601,523,Sync!$D$11)),0),"")</f>
        <v/>
      </c>
      <c r="C3974" s="17">
        <f>IF(B3974="","","brand")</f>
        <v/>
      </c>
      <c r="D3974" s="17">
        <f>IF(B3974="","",IFERROR(INDEX(Clay_Brands!$A$2:$FZ$601,523,Sync!$D$5)&amp;"",""))</f>
        <v/>
      </c>
      <c r="E3974" s="17">
        <f>IF(B3974="","",IFERROR(INDEX(Clay_Brands!$A$2:$FZ$601,523,Sync!$D$6)&amp;"",""))</f>
        <v/>
      </c>
      <c r="F3974" s="17">
        <f>IF(B3974="","","outreach_sent")</f>
        <v/>
      </c>
      <c r="G3974" s="17">
        <f>IF(B3974="","","")</f>
        <v/>
      </c>
      <c r="H3974" s="17">
        <f>IF(B3974="","","")</f>
        <v/>
      </c>
      <c r="I3974" s="17">
        <f>IF(B3974="","","")</f>
        <v/>
      </c>
      <c r="J3974" s="17">
        <f>IF(B3974="","","touch_1; "&amp;IFERROR(INDEX(Clay_Brands!$A$2:$FZ$601,523,Sync!$D$10)&amp;"","")&amp;"; "&amp;IFERROR(INDEX(Clay_Brands!$A$2:$FZ$601,523,Sync!$D$9)&amp;"",""))</f>
        <v/>
      </c>
      <c r="K3974" t="inlineStr">
        <is>
          <t>brand outreach touch 1</t>
        </is>
      </c>
    </row>
    <row r="3975">
      <c r="A3975" s="17">
        <f>IF(B3975="","",B3975+(15*1000+524)/10000000)</f>
        <v/>
      </c>
      <c r="B3975" s="23">
        <f>IF(AND(IFERROR(N(INDEX(Clay_Brands!$A$2:$FZ$601,524,Sync!$D$11)),0)&gt;0,IFERROR(INDEX(Clay_Brands!$A$2:$FZ$601,524,Sync!$D$5)&amp;"","")&lt;&gt;"",OR(LEFT(IFERROR(INDEX(Clay_Brands!$A$2:$FZ$601,524,Sync!$D$5)&amp;"",""),6)&lt;&gt;"SAMPLE",Config!$B$19="Y")),IFERROR(N(INDEX(Clay_Brands!$A$2:$FZ$601,524,Sync!$D$11)),0),"")</f>
        <v/>
      </c>
      <c r="C3975" s="17">
        <f>IF(B3975="","","brand")</f>
        <v/>
      </c>
      <c r="D3975" s="17">
        <f>IF(B3975="","",IFERROR(INDEX(Clay_Brands!$A$2:$FZ$601,524,Sync!$D$5)&amp;"",""))</f>
        <v/>
      </c>
      <c r="E3975" s="17">
        <f>IF(B3975="","",IFERROR(INDEX(Clay_Brands!$A$2:$FZ$601,524,Sync!$D$6)&amp;"",""))</f>
        <v/>
      </c>
      <c r="F3975" s="17">
        <f>IF(B3975="","","outreach_sent")</f>
        <v/>
      </c>
      <c r="G3975" s="17">
        <f>IF(B3975="","","")</f>
        <v/>
      </c>
      <c r="H3975" s="17">
        <f>IF(B3975="","","")</f>
        <v/>
      </c>
      <c r="I3975" s="17">
        <f>IF(B3975="","","")</f>
        <v/>
      </c>
      <c r="J3975" s="17">
        <f>IF(B3975="","","touch_1; "&amp;IFERROR(INDEX(Clay_Brands!$A$2:$FZ$601,524,Sync!$D$10)&amp;"","")&amp;"; "&amp;IFERROR(INDEX(Clay_Brands!$A$2:$FZ$601,524,Sync!$D$9)&amp;"",""))</f>
        <v/>
      </c>
      <c r="K3975" t="inlineStr">
        <is>
          <t>brand outreach touch 1</t>
        </is>
      </c>
    </row>
    <row r="3976">
      <c r="A3976" s="17">
        <f>IF(B3976="","",B3976+(15*1000+525)/10000000)</f>
        <v/>
      </c>
      <c r="B3976" s="23">
        <f>IF(AND(IFERROR(N(INDEX(Clay_Brands!$A$2:$FZ$601,525,Sync!$D$11)),0)&gt;0,IFERROR(INDEX(Clay_Brands!$A$2:$FZ$601,525,Sync!$D$5)&amp;"","")&lt;&gt;"",OR(LEFT(IFERROR(INDEX(Clay_Brands!$A$2:$FZ$601,525,Sync!$D$5)&amp;"",""),6)&lt;&gt;"SAMPLE",Config!$B$19="Y")),IFERROR(N(INDEX(Clay_Brands!$A$2:$FZ$601,525,Sync!$D$11)),0),"")</f>
        <v/>
      </c>
      <c r="C3976" s="17">
        <f>IF(B3976="","","brand")</f>
        <v/>
      </c>
      <c r="D3976" s="17">
        <f>IF(B3976="","",IFERROR(INDEX(Clay_Brands!$A$2:$FZ$601,525,Sync!$D$5)&amp;"",""))</f>
        <v/>
      </c>
      <c r="E3976" s="17">
        <f>IF(B3976="","",IFERROR(INDEX(Clay_Brands!$A$2:$FZ$601,525,Sync!$D$6)&amp;"",""))</f>
        <v/>
      </c>
      <c r="F3976" s="17">
        <f>IF(B3976="","","outreach_sent")</f>
        <v/>
      </c>
      <c r="G3976" s="17">
        <f>IF(B3976="","","")</f>
        <v/>
      </c>
      <c r="H3976" s="17">
        <f>IF(B3976="","","")</f>
        <v/>
      </c>
      <c r="I3976" s="17">
        <f>IF(B3976="","","")</f>
        <v/>
      </c>
      <c r="J3976" s="17">
        <f>IF(B3976="","","touch_1; "&amp;IFERROR(INDEX(Clay_Brands!$A$2:$FZ$601,525,Sync!$D$10)&amp;"","")&amp;"; "&amp;IFERROR(INDEX(Clay_Brands!$A$2:$FZ$601,525,Sync!$D$9)&amp;"",""))</f>
        <v/>
      </c>
      <c r="K3976" t="inlineStr">
        <is>
          <t>brand outreach touch 1</t>
        </is>
      </c>
    </row>
    <row r="3977">
      <c r="A3977" s="17">
        <f>IF(B3977="","",B3977+(15*1000+526)/10000000)</f>
        <v/>
      </c>
      <c r="B3977" s="23">
        <f>IF(AND(IFERROR(N(INDEX(Clay_Brands!$A$2:$FZ$601,526,Sync!$D$11)),0)&gt;0,IFERROR(INDEX(Clay_Brands!$A$2:$FZ$601,526,Sync!$D$5)&amp;"","")&lt;&gt;"",OR(LEFT(IFERROR(INDEX(Clay_Brands!$A$2:$FZ$601,526,Sync!$D$5)&amp;"",""),6)&lt;&gt;"SAMPLE",Config!$B$19="Y")),IFERROR(N(INDEX(Clay_Brands!$A$2:$FZ$601,526,Sync!$D$11)),0),"")</f>
        <v/>
      </c>
      <c r="C3977" s="17">
        <f>IF(B3977="","","brand")</f>
        <v/>
      </c>
      <c r="D3977" s="17">
        <f>IF(B3977="","",IFERROR(INDEX(Clay_Brands!$A$2:$FZ$601,526,Sync!$D$5)&amp;"",""))</f>
        <v/>
      </c>
      <c r="E3977" s="17">
        <f>IF(B3977="","",IFERROR(INDEX(Clay_Brands!$A$2:$FZ$601,526,Sync!$D$6)&amp;"",""))</f>
        <v/>
      </c>
      <c r="F3977" s="17">
        <f>IF(B3977="","","outreach_sent")</f>
        <v/>
      </c>
      <c r="G3977" s="17">
        <f>IF(B3977="","","")</f>
        <v/>
      </c>
      <c r="H3977" s="17">
        <f>IF(B3977="","","")</f>
        <v/>
      </c>
      <c r="I3977" s="17">
        <f>IF(B3977="","","")</f>
        <v/>
      </c>
      <c r="J3977" s="17">
        <f>IF(B3977="","","touch_1; "&amp;IFERROR(INDEX(Clay_Brands!$A$2:$FZ$601,526,Sync!$D$10)&amp;"","")&amp;"; "&amp;IFERROR(INDEX(Clay_Brands!$A$2:$FZ$601,526,Sync!$D$9)&amp;"",""))</f>
        <v/>
      </c>
      <c r="K3977" t="inlineStr">
        <is>
          <t>brand outreach touch 1</t>
        </is>
      </c>
    </row>
    <row r="3978">
      <c r="A3978" s="17">
        <f>IF(B3978="","",B3978+(15*1000+527)/10000000)</f>
        <v/>
      </c>
      <c r="B3978" s="23">
        <f>IF(AND(IFERROR(N(INDEX(Clay_Brands!$A$2:$FZ$601,527,Sync!$D$11)),0)&gt;0,IFERROR(INDEX(Clay_Brands!$A$2:$FZ$601,527,Sync!$D$5)&amp;"","")&lt;&gt;"",OR(LEFT(IFERROR(INDEX(Clay_Brands!$A$2:$FZ$601,527,Sync!$D$5)&amp;"",""),6)&lt;&gt;"SAMPLE",Config!$B$19="Y")),IFERROR(N(INDEX(Clay_Brands!$A$2:$FZ$601,527,Sync!$D$11)),0),"")</f>
        <v/>
      </c>
      <c r="C3978" s="17">
        <f>IF(B3978="","","brand")</f>
        <v/>
      </c>
      <c r="D3978" s="17">
        <f>IF(B3978="","",IFERROR(INDEX(Clay_Brands!$A$2:$FZ$601,527,Sync!$D$5)&amp;"",""))</f>
        <v/>
      </c>
      <c r="E3978" s="17">
        <f>IF(B3978="","",IFERROR(INDEX(Clay_Brands!$A$2:$FZ$601,527,Sync!$D$6)&amp;"",""))</f>
        <v/>
      </c>
      <c r="F3978" s="17">
        <f>IF(B3978="","","outreach_sent")</f>
        <v/>
      </c>
      <c r="G3978" s="17">
        <f>IF(B3978="","","")</f>
        <v/>
      </c>
      <c r="H3978" s="17">
        <f>IF(B3978="","","")</f>
        <v/>
      </c>
      <c r="I3978" s="17">
        <f>IF(B3978="","","")</f>
        <v/>
      </c>
      <c r="J3978" s="17">
        <f>IF(B3978="","","touch_1; "&amp;IFERROR(INDEX(Clay_Brands!$A$2:$FZ$601,527,Sync!$D$10)&amp;"","")&amp;"; "&amp;IFERROR(INDEX(Clay_Brands!$A$2:$FZ$601,527,Sync!$D$9)&amp;"",""))</f>
        <v/>
      </c>
      <c r="K3978" t="inlineStr">
        <is>
          <t>brand outreach touch 1</t>
        </is>
      </c>
    </row>
    <row r="3979">
      <c r="A3979" s="17">
        <f>IF(B3979="","",B3979+(15*1000+528)/10000000)</f>
        <v/>
      </c>
      <c r="B3979" s="23">
        <f>IF(AND(IFERROR(N(INDEX(Clay_Brands!$A$2:$FZ$601,528,Sync!$D$11)),0)&gt;0,IFERROR(INDEX(Clay_Brands!$A$2:$FZ$601,528,Sync!$D$5)&amp;"","")&lt;&gt;"",OR(LEFT(IFERROR(INDEX(Clay_Brands!$A$2:$FZ$601,528,Sync!$D$5)&amp;"",""),6)&lt;&gt;"SAMPLE",Config!$B$19="Y")),IFERROR(N(INDEX(Clay_Brands!$A$2:$FZ$601,528,Sync!$D$11)),0),"")</f>
        <v/>
      </c>
      <c r="C3979" s="17">
        <f>IF(B3979="","","brand")</f>
        <v/>
      </c>
      <c r="D3979" s="17">
        <f>IF(B3979="","",IFERROR(INDEX(Clay_Brands!$A$2:$FZ$601,528,Sync!$D$5)&amp;"",""))</f>
        <v/>
      </c>
      <c r="E3979" s="17">
        <f>IF(B3979="","",IFERROR(INDEX(Clay_Brands!$A$2:$FZ$601,528,Sync!$D$6)&amp;"",""))</f>
        <v/>
      </c>
      <c r="F3979" s="17">
        <f>IF(B3979="","","outreach_sent")</f>
        <v/>
      </c>
      <c r="G3979" s="17">
        <f>IF(B3979="","","")</f>
        <v/>
      </c>
      <c r="H3979" s="17">
        <f>IF(B3979="","","")</f>
        <v/>
      </c>
      <c r="I3979" s="17">
        <f>IF(B3979="","","")</f>
        <v/>
      </c>
      <c r="J3979" s="17">
        <f>IF(B3979="","","touch_1; "&amp;IFERROR(INDEX(Clay_Brands!$A$2:$FZ$601,528,Sync!$D$10)&amp;"","")&amp;"; "&amp;IFERROR(INDEX(Clay_Brands!$A$2:$FZ$601,528,Sync!$D$9)&amp;"",""))</f>
        <v/>
      </c>
      <c r="K3979" t="inlineStr">
        <is>
          <t>brand outreach touch 1</t>
        </is>
      </c>
    </row>
    <row r="3980">
      <c r="A3980" s="17">
        <f>IF(B3980="","",B3980+(15*1000+529)/10000000)</f>
        <v/>
      </c>
      <c r="B3980" s="23">
        <f>IF(AND(IFERROR(N(INDEX(Clay_Brands!$A$2:$FZ$601,529,Sync!$D$11)),0)&gt;0,IFERROR(INDEX(Clay_Brands!$A$2:$FZ$601,529,Sync!$D$5)&amp;"","")&lt;&gt;"",OR(LEFT(IFERROR(INDEX(Clay_Brands!$A$2:$FZ$601,529,Sync!$D$5)&amp;"",""),6)&lt;&gt;"SAMPLE",Config!$B$19="Y")),IFERROR(N(INDEX(Clay_Brands!$A$2:$FZ$601,529,Sync!$D$11)),0),"")</f>
        <v/>
      </c>
      <c r="C3980" s="17">
        <f>IF(B3980="","","brand")</f>
        <v/>
      </c>
      <c r="D3980" s="17">
        <f>IF(B3980="","",IFERROR(INDEX(Clay_Brands!$A$2:$FZ$601,529,Sync!$D$5)&amp;"",""))</f>
        <v/>
      </c>
      <c r="E3980" s="17">
        <f>IF(B3980="","",IFERROR(INDEX(Clay_Brands!$A$2:$FZ$601,529,Sync!$D$6)&amp;"",""))</f>
        <v/>
      </c>
      <c r="F3980" s="17">
        <f>IF(B3980="","","outreach_sent")</f>
        <v/>
      </c>
      <c r="G3980" s="17">
        <f>IF(B3980="","","")</f>
        <v/>
      </c>
      <c r="H3980" s="17">
        <f>IF(B3980="","","")</f>
        <v/>
      </c>
      <c r="I3980" s="17">
        <f>IF(B3980="","","")</f>
        <v/>
      </c>
      <c r="J3980" s="17">
        <f>IF(B3980="","","touch_1; "&amp;IFERROR(INDEX(Clay_Brands!$A$2:$FZ$601,529,Sync!$D$10)&amp;"","")&amp;"; "&amp;IFERROR(INDEX(Clay_Brands!$A$2:$FZ$601,529,Sync!$D$9)&amp;"",""))</f>
        <v/>
      </c>
      <c r="K3980" t="inlineStr">
        <is>
          <t>brand outreach touch 1</t>
        </is>
      </c>
    </row>
    <row r="3981">
      <c r="A3981" s="17">
        <f>IF(B3981="","",B3981+(15*1000+530)/10000000)</f>
        <v/>
      </c>
      <c r="B3981" s="23">
        <f>IF(AND(IFERROR(N(INDEX(Clay_Brands!$A$2:$FZ$601,530,Sync!$D$11)),0)&gt;0,IFERROR(INDEX(Clay_Brands!$A$2:$FZ$601,530,Sync!$D$5)&amp;"","")&lt;&gt;"",OR(LEFT(IFERROR(INDEX(Clay_Brands!$A$2:$FZ$601,530,Sync!$D$5)&amp;"",""),6)&lt;&gt;"SAMPLE",Config!$B$19="Y")),IFERROR(N(INDEX(Clay_Brands!$A$2:$FZ$601,530,Sync!$D$11)),0),"")</f>
        <v/>
      </c>
      <c r="C3981" s="17">
        <f>IF(B3981="","","brand")</f>
        <v/>
      </c>
      <c r="D3981" s="17">
        <f>IF(B3981="","",IFERROR(INDEX(Clay_Brands!$A$2:$FZ$601,530,Sync!$D$5)&amp;"",""))</f>
        <v/>
      </c>
      <c r="E3981" s="17">
        <f>IF(B3981="","",IFERROR(INDEX(Clay_Brands!$A$2:$FZ$601,530,Sync!$D$6)&amp;"",""))</f>
        <v/>
      </c>
      <c r="F3981" s="17">
        <f>IF(B3981="","","outreach_sent")</f>
        <v/>
      </c>
      <c r="G3981" s="17">
        <f>IF(B3981="","","")</f>
        <v/>
      </c>
      <c r="H3981" s="17">
        <f>IF(B3981="","","")</f>
        <v/>
      </c>
      <c r="I3981" s="17">
        <f>IF(B3981="","","")</f>
        <v/>
      </c>
      <c r="J3981" s="17">
        <f>IF(B3981="","","touch_1; "&amp;IFERROR(INDEX(Clay_Brands!$A$2:$FZ$601,530,Sync!$D$10)&amp;"","")&amp;"; "&amp;IFERROR(INDEX(Clay_Brands!$A$2:$FZ$601,530,Sync!$D$9)&amp;"",""))</f>
        <v/>
      </c>
      <c r="K3981" t="inlineStr">
        <is>
          <t>brand outreach touch 1</t>
        </is>
      </c>
    </row>
    <row r="3982">
      <c r="A3982" s="17">
        <f>IF(B3982="","",B3982+(15*1000+531)/10000000)</f>
        <v/>
      </c>
      <c r="B3982" s="23">
        <f>IF(AND(IFERROR(N(INDEX(Clay_Brands!$A$2:$FZ$601,531,Sync!$D$11)),0)&gt;0,IFERROR(INDEX(Clay_Brands!$A$2:$FZ$601,531,Sync!$D$5)&amp;"","")&lt;&gt;"",OR(LEFT(IFERROR(INDEX(Clay_Brands!$A$2:$FZ$601,531,Sync!$D$5)&amp;"",""),6)&lt;&gt;"SAMPLE",Config!$B$19="Y")),IFERROR(N(INDEX(Clay_Brands!$A$2:$FZ$601,531,Sync!$D$11)),0),"")</f>
        <v/>
      </c>
      <c r="C3982" s="17">
        <f>IF(B3982="","","brand")</f>
        <v/>
      </c>
      <c r="D3982" s="17">
        <f>IF(B3982="","",IFERROR(INDEX(Clay_Brands!$A$2:$FZ$601,531,Sync!$D$5)&amp;"",""))</f>
        <v/>
      </c>
      <c r="E3982" s="17">
        <f>IF(B3982="","",IFERROR(INDEX(Clay_Brands!$A$2:$FZ$601,531,Sync!$D$6)&amp;"",""))</f>
        <v/>
      </c>
      <c r="F3982" s="17">
        <f>IF(B3982="","","outreach_sent")</f>
        <v/>
      </c>
      <c r="G3982" s="17">
        <f>IF(B3982="","","")</f>
        <v/>
      </c>
      <c r="H3982" s="17">
        <f>IF(B3982="","","")</f>
        <v/>
      </c>
      <c r="I3982" s="17">
        <f>IF(B3982="","","")</f>
        <v/>
      </c>
      <c r="J3982" s="17">
        <f>IF(B3982="","","touch_1; "&amp;IFERROR(INDEX(Clay_Brands!$A$2:$FZ$601,531,Sync!$D$10)&amp;"","")&amp;"; "&amp;IFERROR(INDEX(Clay_Brands!$A$2:$FZ$601,531,Sync!$D$9)&amp;"",""))</f>
        <v/>
      </c>
      <c r="K3982" t="inlineStr">
        <is>
          <t>brand outreach touch 1</t>
        </is>
      </c>
    </row>
    <row r="3983">
      <c r="A3983" s="17">
        <f>IF(B3983="","",B3983+(15*1000+532)/10000000)</f>
        <v/>
      </c>
      <c r="B3983" s="23">
        <f>IF(AND(IFERROR(N(INDEX(Clay_Brands!$A$2:$FZ$601,532,Sync!$D$11)),0)&gt;0,IFERROR(INDEX(Clay_Brands!$A$2:$FZ$601,532,Sync!$D$5)&amp;"","")&lt;&gt;"",OR(LEFT(IFERROR(INDEX(Clay_Brands!$A$2:$FZ$601,532,Sync!$D$5)&amp;"",""),6)&lt;&gt;"SAMPLE",Config!$B$19="Y")),IFERROR(N(INDEX(Clay_Brands!$A$2:$FZ$601,532,Sync!$D$11)),0),"")</f>
        <v/>
      </c>
      <c r="C3983" s="17">
        <f>IF(B3983="","","brand")</f>
        <v/>
      </c>
      <c r="D3983" s="17">
        <f>IF(B3983="","",IFERROR(INDEX(Clay_Brands!$A$2:$FZ$601,532,Sync!$D$5)&amp;"",""))</f>
        <v/>
      </c>
      <c r="E3983" s="17">
        <f>IF(B3983="","",IFERROR(INDEX(Clay_Brands!$A$2:$FZ$601,532,Sync!$D$6)&amp;"",""))</f>
        <v/>
      </c>
      <c r="F3983" s="17">
        <f>IF(B3983="","","outreach_sent")</f>
        <v/>
      </c>
      <c r="G3983" s="17">
        <f>IF(B3983="","","")</f>
        <v/>
      </c>
      <c r="H3983" s="17">
        <f>IF(B3983="","","")</f>
        <v/>
      </c>
      <c r="I3983" s="17">
        <f>IF(B3983="","","")</f>
        <v/>
      </c>
      <c r="J3983" s="17">
        <f>IF(B3983="","","touch_1; "&amp;IFERROR(INDEX(Clay_Brands!$A$2:$FZ$601,532,Sync!$D$10)&amp;"","")&amp;"; "&amp;IFERROR(INDEX(Clay_Brands!$A$2:$FZ$601,532,Sync!$D$9)&amp;"",""))</f>
        <v/>
      </c>
      <c r="K3983" t="inlineStr">
        <is>
          <t>brand outreach touch 1</t>
        </is>
      </c>
    </row>
    <row r="3984">
      <c r="A3984" s="17">
        <f>IF(B3984="","",B3984+(15*1000+533)/10000000)</f>
        <v/>
      </c>
      <c r="B3984" s="23">
        <f>IF(AND(IFERROR(N(INDEX(Clay_Brands!$A$2:$FZ$601,533,Sync!$D$11)),0)&gt;0,IFERROR(INDEX(Clay_Brands!$A$2:$FZ$601,533,Sync!$D$5)&amp;"","")&lt;&gt;"",OR(LEFT(IFERROR(INDEX(Clay_Brands!$A$2:$FZ$601,533,Sync!$D$5)&amp;"",""),6)&lt;&gt;"SAMPLE",Config!$B$19="Y")),IFERROR(N(INDEX(Clay_Brands!$A$2:$FZ$601,533,Sync!$D$11)),0),"")</f>
        <v/>
      </c>
      <c r="C3984" s="17">
        <f>IF(B3984="","","brand")</f>
        <v/>
      </c>
      <c r="D3984" s="17">
        <f>IF(B3984="","",IFERROR(INDEX(Clay_Brands!$A$2:$FZ$601,533,Sync!$D$5)&amp;"",""))</f>
        <v/>
      </c>
      <c r="E3984" s="17">
        <f>IF(B3984="","",IFERROR(INDEX(Clay_Brands!$A$2:$FZ$601,533,Sync!$D$6)&amp;"",""))</f>
        <v/>
      </c>
      <c r="F3984" s="17">
        <f>IF(B3984="","","outreach_sent")</f>
        <v/>
      </c>
      <c r="G3984" s="17">
        <f>IF(B3984="","","")</f>
        <v/>
      </c>
      <c r="H3984" s="17">
        <f>IF(B3984="","","")</f>
        <v/>
      </c>
      <c r="I3984" s="17">
        <f>IF(B3984="","","")</f>
        <v/>
      </c>
      <c r="J3984" s="17">
        <f>IF(B3984="","","touch_1; "&amp;IFERROR(INDEX(Clay_Brands!$A$2:$FZ$601,533,Sync!$D$10)&amp;"","")&amp;"; "&amp;IFERROR(INDEX(Clay_Brands!$A$2:$FZ$601,533,Sync!$D$9)&amp;"",""))</f>
        <v/>
      </c>
      <c r="K3984" t="inlineStr">
        <is>
          <t>brand outreach touch 1</t>
        </is>
      </c>
    </row>
    <row r="3985">
      <c r="A3985" s="17">
        <f>IF(B3985="","",B3985+(15*1000+534)/10000000)</f>
        <v/>
      </c>
      <c r="B3985" s="23">
        <f>IF(AND(IFERROR(N(INDEX(Clay_Brands!$A$2:$FZ$601,534,Sync!$D$11)),0)&gt;0,IFERROR(INDEX(Clay_Brands!$A$2:$FZ$601,534,Sync!$D$5)&amp;"","")&lt;&gt;"",OR(LEFT(IFERROR(INDEX(Clay_Brands!$A$2:$FZ$601,534,Sync!$D$5)&amp;"",""),6)&lt;&gt;"SAMPLE",Config!$B$19="Y")),IFERROR(N(INDEX(Clay_Brands!$A$2:$FZ$601,534,Sync!$D$11)),0),"")</f>
        <v/>
      </c>
      <c r="C3985" s="17">
        <f>IF(B3985="","","brand")</f>
        <v/>
      </c>
      <c r="D3985" s="17">
        <f>IF(B3985="","",IFERROR(INDEX(Clay_Brands!$A$2:$FZ$601,534,Sync!$D$5)&amp;"",""))</f>
        <v/>
      </c>
      <c r="E3985" s="17">
        <f>IF(B3985="","",IFERROR(INDEX(Clay_Brands!$A$2:$FZ$601,534,Sync!$D$6)&amp;"",""))</f>
        <v/>
      </c>
      <c r="F3985" s="17">
        <f>IF(B3985="","","outreach_sent")</f>
        <v/>
      </c>
      <c r="G3985" s="17">
        <f>IF(B3985="","","")</f>
        <v/>
      </c>
      <c r="H3985" s="17">
        <f>IF(B3985="","","")</f>
        <v/>
      </c>
      <c r="I3985" s="17">
        <f>IF(B3985="","","")</f>
        <v/>
      </c>
      <c r="J3985" s="17">
        <f>IF(B3985="","","touch_1; "&amp;IFERROR(INDEX(Clay_Brands!$A$2:$FZ$601,534,Sync!$D$10)&amp;"","")&amp;"; "&amp;IFERROR(INDEX(Clay_Brands!$A$2:$FZ$601,534,Sync!$D$9)&amp;"",""))</f>
        <v/>
      </c>
      <c r="K3985" t="inlineStr">
        <is>
          <t>brand outreach touch 1</t>
        </is>
      </c>
    </row>
    <row r="3986">
      <c r="A3986" s="17">
        <f>IF(B3986="","",B3986+(15*1000+535)/10000000)</f>
        <v/>
      </c>
      <c r="B3986" s="23">
        <f>IF(AND(IFERROR(N(INDEX(Clay_Brands!$A$2:$FZ$601,535,Sync!$D$11)),0)&gt;0,IFERROR(INDEX(Clay_Brands!$A$2:$FZ$601,535,Sync!$D$5)&amp;"","")&lt;&gt;"",OR(LEFT(IFERROR(INDEX(Clay_Brands!$A$2:$FZ$601,535,Sync!$D$5)&amp;"",""),6)&lt;&gt;"SAMPLE",Config!$B$19="Y")),IFERROR(N(INDEX(Clay_Brands!$A$2:$FZ$601,535,Sync!$D$11)),0),"")</f>
        <v/>
      </c>
      <c r="C3986" s="17">
        <f>IF(B3986="","","brand")</f>
        <v/>
      </c>
      <c r="D3986" s="17">
        <f>IF(B3986="","",IFERROR(INDEX(Clay_Brands!$A$2:$FZ$601,535,Sync!$D$5)&amp;"",""))</f>
        <v/>
      </c>
      <c r="E3986" s="17">
        <f>IF(B3986="","",IFERROR(INDEX(Clay_Brands!$A$2:$FZ$601,535,Sync!$D$6)&amp;"",""))</f>
        <v/>
      </c>
      <c r="F3986" s="17">
        <f>IF(B3986="","","outreach_sent")</f>
        <v/>
      </c>
      <c r="G3986" s="17">
        <f>IF(B3986="","","")</f>
        <v/>
      </c>
      <c r="H3986" s="17">
        <f>IF(B3986="","","")</f>
        <v/>
      </c>
      <c r="I3986" s="17">
        <f>IF(B3986="","","")</f>
        <v/>
      </c>
      <c r="J3986" s="17">
        <f>IF(B3986="","","touch_1; "&amp;IFERROR(INDEX(Clay_Brands!$A$2:$FZ$601,535,Sync!$D$10)&amp;"","")&amp;"; "&amp;IFERROR(INDEX(Clay_Brands!$A$2:$FZ$601,535,Sync!$D$9)&amp;"",""))</f>
        <v/>
      </c>
      <c r="K3986" t="inlineStr">
        <is>
          <t>brand outreach touch 1</t>
        </is>
      </c>
    </row>
    <row r="3987">
      <c r="A3987" s="17">
        <f>IF(B3987="","",B3987+(15*1000+536)/10000000)</f>
        <v/>
      </c>
      <c r="B3987" s="23">
        <f>IF(AND(IFERROR(N(INDEX(Clay_Brands!$A$2:$FZ$601,536,Sync!$D$11)),0)&gt;0,IFERROR(INDEX(Clay_Brands!$A$2:$FZ$601,536,Sync!$D$5)&amp;"","")&lt;&gt;"",OR(LEFT(IFERROR(INDEX(Clay_Brands!$A$2:$FZ$601,536,Sync!$D$5)&amp;"",""),6)&lt;&gt;"SAMPLE",Config!$B$19="Y")),IFERROR(N(INDEX(Clay_Brands!$A$2:$FZ$601,536,Sync!$D$11)),0),"")</f>
        <v/>
      </c>
      <c r="C3987" s="17">
        <f>IF(B3987="","","brand")</f>
        <v/>
      </c>
      <c r="D3987" s="17">
        <f>IF(B3987="","",IFERROR(INDEX(Clay_Brands!$A$2:$FZ$601,536,Sync!$D$5)&amp;"",""))</f>
        <v/>
      </c>
      <c r="E3987" s="17">
        <f>IF(B3987="","",IFERROR(INDEX(Clay_Brands!$A$2:$FZ$601,536,Sync!$D$6)&amp;"",""))</f>
        <v/>
      </c>
      <c r="F3987" s="17">
        <f>IF(B3987="","","outreach_sent")</f>
        <v/>
      </c>
      <c r="G3987" s="17">
        <f>IF(B3987="","","")</f>
        <v/>
      </c>
      <c r="H3987" s="17">
        <f>IF(B3987="","","")</f>
        <v/>
      </c>
      <c r="I3987" s="17">
        <f>IF(B3987="","","")</f>
        <v/>
      </c>
      <c r="J3987" s="17">
        <f>IF(B3987="","","touch_1; "&amp;IFERROR(INDEX(Clay_Brands!$A$2:$FZ$601,536,Sync!$D$10)&amp;"","")&amp;"; "&amp;IFERROR(INDEX(Clay_Brands!$A$2:$FZ$601,536,Sync!$D$9)&amp;"",""))</f>
        <v/>
      </c>
      <c r="K3987" t="inlineStr">
        <is>
          <t>brand outreach touch 1</t>
        </is>
      </c>
    </row>
    <row r="3988">
      <c r="A3988" s="17">
        <f>IF(B3988="","",B3988+(15*1000+537)/10000000)</f>
        <v/>
      </c>
      <c r="B3988" s="23">
        <f>IF(AND(IFERROR(N(INDEX(Clay_Brands!$A$2:$FZ$601,537,Sync!$D$11)),0)&gt;0,IFERROR(INDEX(Clay_Brands!$A$2:$FZ$601,537,Sync!$D$5)&amp;"","")&lt;&gt;"",OR(LEFT(IFERROR(INDEX(Clay_Brands!$A$2:$FZ$601,537,Sync!$D$5)&amp;"",""),6)&lt;&gt;"SAMPLE",Config!$B$19="Y")),IFERROR(N(INDEX(Clay_Brands!$A$2:$FZ$601,537,Sync!$D$11)),0),"")</f>
        <v/>
      </c>
      <c r="C3988" s="17">
        <f>IF(B3988="","","brand")</f>
        <v/>
      </c>
      <c r="D3988" s="17">
        <f>IF(B3988="","",IFERROR(INDEX(Clay_Brands!$A$2:$FZ$601,537,Sync!$D$5)&amp;"",""))</f>
        <v/>
      </c>
      <c r="E3988" s="17">
        <f>IF(B3988="","",IFERROR(INDEX(Clay_Brands!$A$2:$FZ$601,537,Sync!$D$6)&amp;"",""))</f>
        <v/>
      </c>
      <c r="F3988" s="17">
        <f>IF(B3988="","","outreach_sent")</f>
        <v/>
      </c>
      <c r="G3988" s="17">
        <f>IF(B3988="","","")</f>
        <v/>
      </c>
      <c r="H3988" s="17">
        <f>IF(B3988="","","")</f>
        <v/>
      </c>
      <c r="I3988" s="17">
        <f>IF(B3988="","","")</f>
        <v/>
      </c>
      <c r="J3988" s="17">
        <f>IF(B3988="","","touch_1; "&amp;IFERROR(INDEX(Clay_Brands!$A$2:$FZ$601,537,Sync!$D$10)&amp;"","")&amp;"; "&amp;IFERROR(INDEX(Clay_Brands!$A$2:$FZ$601,537,Sync!$D$9)&amp;"",""))</f>
        <v/>
      </c>
      <c r="K3988" t="inlineStr">
        <is>
          <t>brand outreach touch 1</t>
        </is>
      </c>
    </row>
    <row r="3989">
      <c r="A3989" s="17">
        <f>IF(B3989="","",B3989+(15*1000+538)/10000000)</f>
        <v/>
      </c>
      <c r="B3989" s="23">
        <f>IF(AND(IFERROR(N(INDEX(Clay_Brands!$A$2:$FZ$601,538,Sync!$D$11)),0)&gt;0,IFERROR(INDEX(Clay_Brands!$A$2:$FZ$601,538,Sync!$D$5)&amp;"","")&lt;&gt;"",OR(LEFT(IFERROR(INDEX(Clay_Brands!$A$2:$FZ$601,538,Sync!$D$5)&amp;"",""),6)&lt;&gt;"SAMPLE",Config!$B$19="Y")),IFERROR(N(INDEX(Clay_Brands!$A$2:$FZ$601,538,Sync!$D$11)),0),"")</f>
        <v/>
      </c>
      <c r="C3989" s="17">
        <f>IF(B3989="","","brand")</f>
        <v/>
      </c>
      <c r="D3989" s="17">
        <f>IF(B3989="","",IFERROR(INDEX(Clay_Brands!$A$2:$FZ$601,538,Sync!$D$5)&amp;"",""))</f>
        <v/>
      </c>
      <c r="E3989" s="17">
        <f>IF(B3989="","",IFERROR(INDEX(Clay_Brands!$A$2:$FZ$601,538,Sync!$D$6)&amp;"",""))</f>
        <v/>
      </c>
      <c r="F3989" s="17">
        <f>IF(B3989="","","outreach_sent")</f>
        <v/>
      </c>
      <c r="G3989" s="17">
        <f>IF(B3989="","","")</f>
        <v/>
      </c>
      <c r="H3989" s="17">
        <f>IF(B3989="","","")</f>
        <v/>
      </c>
      <c r="I3989" s="17">
        <f>IF(B3989="","","")</f>
        <v/>
      </c>
      <c r="J3989" s="17">
        <f>IF(B3989="","","touch_1; "&amp;IFERROR(INDEX(Clay_Brands!$A$2:$FZ$601,538,Sync!$D$10)&amp;"","")&amp;"; "&amp;IFERROR(INDEX(Clay_Brands!$A$2:$FZ$601,538,Sync!$D$9)&amp;"",""))</f>
        <v/>
      </c>
      <c r="K3989" t="inlineStr">
        <is>
          <t>brand outreach touch 1</t>
        </is>
      </c>
    </row>
    <row r="3990">
      <c r="A3990" s="17">
        <f>IF(B3990="","",B3990+(15*1000+539)/10000000)</f>
        <v/>
      </c>
      <c r="B3990" s="23">
        <f>IF(AND(IFERROR(N(INDEX(Clay_Brands!$A$2:$FZ$601,539,Sync!$D$11)),0)&gt;0,IFERROR(INDEX(Clay_Brands!$A$2:$FZ$601,539,Sync!$D$5)&amp;"","")&lt;&gt;"",OR(LEFT(IFERROR(INDEX(Clay_Brands!$A$2:$FZ$601,539,Sync!$D$5)&amp;"",""),6)&lt;&gt;"SAMPLE",Config!$B$19="Y")),IFERROR(N(INDEX(Clay_Brands!$A$2:$FZ$601,539,Sync!$D$11)),0),"")</f>
        <v/>
      </c>
      <c r="C3990" s="17">
        <f>IF(B3990="","","brand")</f>
        <v/>
      </c>
      <c r="D3990" s="17">
        <f>IF(B3990="","",IFERROR(INDEX(Clay_Brands!$A$2:$FZ$601,539,Sync!$D$5)&amp;"",""))</f>
        <v/>
      </c>
      <c r="E3990" s="17">
        <f>IF(B3990="","",IFERROR(INDEX(Clay_Brands!$A$2:$FZ$601,539,Sync!$D$6)&amp;"",""))</f>
        <v/>
      </c>
      <c r="F3990" s="17">
        <f>IF(B3990="","","outreach_sent")</f>
        <v/>
      </c>
      <c r="G3990" s="17">
        <f>IF(B3990="","","")</f>
        <v/>
      </c>
      <c r="H3990" s="17">
        <f>IF(B3990="","","")</f>
        <v/>
      </c>
      <c r="I3990" s="17">
        <f>IF(B3990="","","")</f>
        <v/>
      </c>
      <c r="J3990" s="17">
        <f>IF(B3990="","","touch_1; "&amp;IFERROR(INDEX(Clay_Brands!$A$2:$FZ$601,539,Sync!$D$10)&amp;"","")&amp;"; "&amp;IFERROR(INDEX(Clay_Brands!$A$2:$FZ$601,539,Sync!$D$9)&amp;"",""))</f>
        <v/>
      </c>
      <c r="K3990" t="inlineStr">
        <is>
          <t>brand outreach touch 1</t>
        </is>
      </c>
    </row>
    <row r="3991">
      <c r="A3991" s="17">
        <f>IF(B3991="","",B3991+(15*1000+540)/10000000)</f>
        <v/>
      </c>
      <c r="B3991" s="23">
        <f>IF(AND(IFERROR(N(INDEX(Clay_Brands!$A$2:$FZ$601,540,Sync!$D$11)),0)&gt;0,IFERROR(INDEX(Clay_Brands!$A$2:$FZ$601,540,Sync!$D$5)&amp;"","")&lt;&gt;"",OR(LEFT(IFERROR(INDEX(Clay_Brands!$A$2:$FZ$601,540,Sync!$D$5)&amp;"",""),6)&lt;&gt;"SAMPLE",Config!$B$19="Y")),IFERROR(N(INDEX(Clay_Brands!$A$2:$FZ$601,540,Sync!$D$11)),0),"")</f>
        <v/>
      </c>
      <c r="C3991" s="17">
        <f>IF(B3991="","","brand")</f>
        <v/>
      </c>
      <c r="D3991" s="17">
        <f>IF(B3991="","",IFERROR(INDEX(Clay_Brands!$A$2:$FZ$601,540,Sync!$D$5)&amp;"",""))</f>
        <v/>
      </c>
      <c r="E3991" s="17">
        <f>IF(B3991="","",IFERROR(INDEX(Clay_Brands!$A$2:$FZ$601,540,Sync!$D$6)&amp;"",""))</f>
        <v/>
      </c>
      <c r="F3991" s="17">
        <f>IF(B3991="","","outreach_sent")</f>
        <v/>
      </c>
      <c r="G3991" s="17">
        <f>IF(B3991="","","")</f>
        <v/>
      </c>
      <c r="H3991" s="17">
        <f>IF(B3991="","","")</f>
        <v/>
      </c>
      <c r="I3991" s="17">
        <f>IF(B3991="","","")</f>
        <v/>
      </c>
      <c r="J3991" s="17">
        <f>IF(B3991="","","touch_1; "&amp;IFERROR(INDEX(Clay_Brands!$A$2:$FZ$601,540,Sync!$D$10)&amp;"","")&amp;"; "&amp;IFERROR(INDEX(Clay_Brands!$A$2:$FZ$601,540,Sync!$D$9)&amp;"",""))</f>
        <v/>
      </c>
      <c r="K3991" t="inlineStr">
        <is>
          <t>brand outreach touch 1</t>
        </is>
      </c>
    </row>
    <row r="3992">
      <c r="A3992" s="17">
        <f>IF(B3992="","",B3992+(15*1000+541)/10000000)</f>
        <v/>
      </c>
      <c r="B3992" s="23">
        <f>IF(AND(IFERROR(N(INDEX(Clay_Brands!$A$2:$FZ$601,541,Sync!$D$11)),0)&gt;0,IFERROR(INDEX(Clay_Brands!$A$2:$FZ$601,541,Sync!$D$5)&amp;"","")&lt;&gt;"",OR(LEFT(IFERROR(INDEX(Clay_Brands!$A$2:$FZ$601,541,Sync!$D$5)&amp;"",""),6)&lt;&gt;"SAMPLE",Config!$B$19="Y")),IFERROR(N(INDEX(Clay_Brands!$A$2:$FZ$601,541,Sync!$D$11)),0),"")</f>
        <v/>
      </c>
      <c r="C3992" s="17">
        <f>IF(B3992="","","brand")</f>
        <v/>
      </c>
      <c r="D3992" s="17">
        <f>IF(B3992="","",IFERROR(INDEX(Clay_Brands!$A$2:$FZ$601,541,Sync!$D$5)&amp;"",""))</f>
        <v/>
      </c>
      <c r="E3992" s="17">
        <f>IF(B3992="","",IFERROR(INDEX(Clay_Brands!$A$2:$FZ$601,541,Sync!$D$6)&amp;"",""))</f>
        <v/>
      </c>
      <c r="F3992" s="17">
        <f>IF(B3992="","","outreach_sent")</f>
        <v/>
      </c>
      <c r="G3992" s="17">
        <f>IF(B3992="","","")</f>
        <v/>
      </c>
      <c r="H3992" s="17">
        <f>IF(B3992="","","")</f>
        <v/>
      </c>
      <c r="I3992" s="17">
        <f>IF(B3992="","","")</f>
        <v/>
      </c>
      <c r="J3992" s="17">
        <f>IF(B3992="","","touch_1; "&amp;IFERROR(INDEX(Clay_Brands!$A$2:$FZ$601,541,Sync!$D$10)&amp;"","")&amp;"; "&amp;IFERROR(INDEX(Clay_Brands!$A$2:$FZ$601,541,Sync!$D$9)&amp;"",""))</f>
        <v/>
      </c>
      <c r="K3992" t="inlineStr">
        <is>
          <t>brand outreach touch 1</t>
        </is>
      </c>
    </row>
    <row r="3993">
      <c r="A3993" s="17">
        <f>IF(B3993="","",B3993+(15*1000+542)/10000000)</f>
        <v/>
      </c>
      <c r="B3993" s="23">
        <f>IF(AND(IFERROR(N(INDEX(Clay_Brands!$A$2:$FZ$601,542,Sync!$D$11)),0)&gt;0,IFERROR(INDEX(Clay_Brands!$A$2:$FZ$601,542,Sync!$D$5)&amp;"","")&lt;&gt;"",OR(LEFT(IFERROR(INDEX(Clay_Brands!$A$2:$FZ$601,542,Sync!$D$5)&amp;"",""),6)&lt;&gt;"SAMPLE",Config!$B$19="Y")),IFERROR(N(INDEX(Clay_Brands!$A$2:$FZ$601,542,Sync!$D$11)),0),"")</f>
        <v/>
      </c>
      <c r="C3993" s="17">
        <f>IF(B3993="","","brand")</f>
        <v/>
      </c>
      <c r="D3993" s="17">
        <f>IF(B3993="","",IFERROR(INDEX(Clay_Brands!$A$2:$FZ$601,542,Sync!$D$5)&amp;"",""))</f>
        <v/>
      </c>
      <c r="E3993" s="17">
        <f>IF(B3993="","",IFERROR(INDEX(Clay_Brands!$A$2:$FZ$601,542,Sync!$D$6)&amp;"",""))</f>
        <v/>
      </c>
      <c r="F3993" s="17">
        <f>IF(B3993="","","outreach_sent")</f>
        <v/>
      </c>
      <c r="G3993" s="17">
        <f>IF(B3993="","","")</f>
        <v/>
      </c>
      <c r="H3993" s="17">
        <f>IF(B3993="","","")</f>
        <v/>
      </c>
      <c r="I3993" s="17">
        <f>IF(B3993="","","")</f>
        <v/>
      </c>
      <c r="J3993" s="17">
        <f>IF(B3993="","","touch_1; "&amp;IFERROR(INDEX(Clay_Brands!$A$2:$FZ$601,542,Sync!$D$10)&amp;"","")&amp;"; "&amp;IFERROR(INDEX(Clay_Brands!$A$2:$FZ$601,542,Sync!$D$9)&amp;"",""))</f>
        <v/>
      </c>
      <c r="K3993" t="inlineStr">
        <is>
          <t>brand outreach touch 1</t>
        </is>
      </c>
    </row>
    <row r="3994">
      <c r="A3994" s="17">
        <f>IF(B3994="","",B3994+(15*1000+543)/10000000)</f>
        <v/>
      </c>
      <c r="B3994" s="23">
        <f>IF(AND(IFERROR(N(INDEX(Clay_Brands!$A$2:$FZ$601,543,Sync!$D$11)),0)&gt;0,IFERROR(INDEX(Clay_Brands!$A$2:$FZ$601,543,Sync!$D$5)&amp;"","")&lt;&gt;"",OR(LEFT(IFERROR(INDEX(Clay_Brands!$A$2:$FZ$601,543,Sync!$D$5)&amp;"",""),6)&lt;&gt;"SAMPLE",Config!$B$19="Y")),IFERROR(N(INDEX(Clay_Brands!$A$2:$FZ$601,543,Sync!$D$11)),0),"")</f>
        <v/>
      </c>
      <c r="C3994" s="17">
        <f>IF(B3994="","","brand")</f>
        <v/>
      </c>
      <c r="D3994" s="17">
        <f>IF(B3994="","",IFERROR(INDEX(Clay_Brands!$A$2:$FZ$601,543,Sync!$D$5)&amp;"",""))</f>
        <v/>
      </c>
      <c r="E3994" s="17">
        <f>IF(B3994="","",IFERROR(INDEX(Clay_Brands!$A$2:$FZ$601,543,Sync!$D$6)&amp;"",""))</f>
        <v/>
      </c>
      <c r="F3994" s="17">
        <f>IF(B3994="","","outreach_sent")</f>
        <v/>
      </c>
      <c r="G3994" s="17">
        <f>IF(B3994="","","")</f>
        <v/>
      </c>
      <c r="H3994" s="17">
        <f>IF(B3994="","","")</f>
        <v/>
      </c>
      <c r="I3994" s="17">
        <f>IF(B3994="","","")</f>
        <v/>
      </c>
      <c r="J3994" s="17">
        <f>IF(B3994="","","touch_1; "&amp;IFERROR(INDEX(Clay_Brands!$A$2:$FZ$601,543,Sync!$D$10)&amp;"","")&amp;"; "&amp;IFERROR(INDEX(Clay_Brands!$A$2:$FZ$601,543,Sync!$D$9)&amp;"",""))</f>
        <v/>
      </c>
      <c r="K3994" t="inlineStr">
        <is>
          <t>brand outreach touch 1</t>
        </is>
      </c>
    </row>
    <row r="3995">
      <c r="A3995" s="17">
        <f>IF(B3995="","",B3995+(15*1000+544)/10000000)</f>
        <v/>
      </c>
      <c r="B3995" s="23">
        <f>IF(AND(IFERROR(N(INDEX(Clay_Brands!$A$2:$FZ$601,544,Sync!$D$11)),0)&gt;0,IFERROR(INDEX(Clay_Brands!$A$2:$FZ$601,544,Sync!$D$5)&amp;"","")&lt;&gt;"",OR(LEFT(IFERROR(INDEX(Clay_Brands!$A$2:$FZ$601,544,Sync!$D$5)&amp;"",""),6)&lt;&gt;"SAMPLE",Config!$B$19="Y")),IFERROR(N(INDEX(Clay_Brands!$A$2:$FZ$601,544,Sync!$D$11)),0),"")</f>
        <v/>
      </c>
      <c r="C3995" s="17">
        <f>IF(B3995="","","brand")</f>
        <v/>
      </c>
      <c r="D3995" s="17">
        <f>IF(B3995="","",IFERROR(INDEX(Clay_Brands!$A$2:$FZ$601,544,Sync!$D$5)&amp;"",""))</f>
        <v/>
      </c>
      <c r="E3995" s="17">
        <f>IF(B3995="","",IFERROR(INDEX(Clay_Brands!$A$2:$FZ$601,544,Sync!$D$6)&amp;"",""))</f>
        <v/>
      </c>
      <c r="F3995" s="17">
        <f>IF(B3995="","","outreach_sent")</f>
        <v/>
      </c>
      <c r="G3995" s="17">
        <f>IF(B3995="","","")</f>
        <v/>
      </c>
      <c r="H3995" s="17">
        <f>IF(B3995="","","")</f>
        <v/>
      </c>
      <c r="I3995" s="17">
        <f>IF(B3995="","","")</f>
        <v/>
      </c>
      <c r="J3995" s="17">
        <f>IF(B3995="","","touch_1; "&amp;IFERROR(INDEX(Clay_Brands!$A$2:$FZ$601,544,Sync!$D$10)&amp;"","")&amp;"; "&amp;IFERROR(INDEX(Clay_Brands!$A$2:$FZ$601,544,Sync!$D$9)&amp;"",""))</f>
        <v/>
      </c>
      <c r="K3995" t="inlineStr">
        <is>
          <t>brand outreach touch 1</t>
        </is>
      </c>
    </row>
    <row r="3996">
      <c r="A3996" s="17">
        <f>IF(B3996="","",B3996+(15*1000+545)/10000000)</f>
        <v/>
      </c>
      <c r="B3996" s="23">
        <f>IF(AND(IFERROR(N(INDEX(Clay_Brands!$A$2:$FZ$601,545,Sync!$D$11)),0)&gt;0,IFERROR(INDEX(Clay_Brands!$A$2:$FZ$601,545,Sync!$D$5)&amp;"","")&lt;&gt;"",OR(LEFT(IFERROR(INDEX(Clay_Brands!$A$2:$FZ$601,545,Sync!$D$5)&amp;"",""),6)&lt;&gt;"SAMPLE",Config!$B$19="Y")),IFERROR(N(INDEX(Clay_Brands!$A$2:$FZ$601,545,Sync!$D$11)),0),"")</f>
        <v/>
      </c>
      <c r="C3996" s="17">
        <f>IF(B3996="","","brand")</f>
        <v/>
      </c>
      <c r="D3996" s="17">
        <f>IF(B3996="","",IFERROR(INDEX(Clay_Brands!$A$2:$FZ$601,545,Sync!$D$5)&amp;"",""))</f>
        <v/>
      </c>
      <c r="E3996" s="17">
        <f>IF(B3996="","",IFERROR(INDEX(Clay_Brands!$A$2:$FZ$601,545,Sync!$D$6)&amp;"",""))</f>
        <v/>
      </c>
      <c r="F3996" s="17">
        <f>IF(B3996="","","outreach_sent")</f>
        <v/>
      </c>
      <c r="G3996" s="17">
        <f>IF(B3996="","","")</f>
        <v/>
      </c>
      <c r="H3996" s="17">
        <f>IF(B3996="","","")</f>
        <v/>
      </c>
      <c r="I3996" s="17">
        <f>IF(B3996="","","")</f>
        <v/>
      </c>
      <c r="J3996" s="17">
        <f>IF(B3996="","","touch_1; "&amp;IFERROR(INDEX(Clay_Brands!$A$2:$FZ$601,545,Sync!$D$10)&amp;"","")&amp;"; "&amp;IFERROR(INDEX(Clay_Brands!$A$2:$FZ$601,545,Sync!$D$9)&amp;"",""))</f>
        <v/>
      </c>
      <c r="K3996" t="inlineStr">
        <is>
          <t>brand outreach touch 1</t>
        </is>
      </c>
    </row>
    <row r="3997">
      <c r="A3997" s="17">
        <f>IF(B3997="","",B3997+(15*1000+546)/10000000)</f>
        <v/>
      </c>
      <c r="B3997" s="23">
        <f>IF(AND(IFERROR(N(INDEX(Clay_Brands!$A$2:$FZ$601,546,Sync!$D$11)),0)&gt;0,IFERROR(INDEX(Clay_Brands!$A$2:$FZ$601,546,Sync!$D$5)&amp;"","")&lt;&gt;"",OR(LEFT(IFERROR(INDEX(Clay_Brands!$A$2:$FZ$601,546,Sync!$D$5)&amp;"",""),6)&lt;&gt;"SAMPLE",Config!$B$19="Y")),IFERROR(N(INDEX(Clay_Brands!$A$2:$FZ$601,546,Sync!$D$11)),0),"")</f>
        <v/>
      </c>
      <c r="C3997" s="17">
        <f>IF(B3997="","","brand")</f>
        <v/>
      </c>
      <c r="D3997" s="17">
        <f>IF(B3997="","",IFERROR(INDEX(Clay_Brands!$A$2:$FZ$601,546,Sync!$D$5)&amp;"",""))</f>
        <v/>
      </c>
      <c r="E3997" s="17">
        <f>IF(B3997="","",IFERROR(INDEX(Clay_Brands!$A$2:$FZ$601,546,Sync!$D$6)&amp;"",""))</f>
        <v/>
      </c>
      <c r="F3997" s="17">
        <f>IF(B3997="","","outreach_sent")</f>
        <v/>
      </c>
      <c r="G3997" s="17">
        <f>IF(B3997="","","")</f>
        <v/>
      </c>
      <c r="H3997" s="17">
        <f>IF(B3997="","","")</f>
        <v/>
      </c>
      <c r="I3997" s="17">
        <f>IF(B3997="","","")</f>
        <v/>
      </c>
      <c r="J3997" s="17">
        <f>IF(B3997="","","touch_1; "&amp;IFERROR(INDEX(Clay_Brands!$A$2:$FZ$601,546,Sync!$D$10)&amp;"","")&amp;"; "&amp;IFERROR(INDEX(Clay_Brands!$A$2:$FZ$601,546,Sync!$D$9)&amp;"",""))</f>
        <v/>
      </c>
      <c r="K3997" t="inlineStr">
        <is>
          <t>brand outreach touch 1</t>
        </is>
      </c>
    </row>
    <row r="3998">
      <c r="A3998" s="17">
        <f>IF(B3998="","",B3998+(15*1000+547)/10000000)</f>
        <v/>
      </c>
      <c r="B3998" s="23">
        <f>IF(AND(IFERROR(N(INDEX(Clay_Brands!$A$2:$FZ$601,547,Sync!$D$11)),0)&gt;0,IFERROR(INDEX(Clay_Brands!$A$2:$FZ$601,547,Sync!$D$5)&amp;"","")&lt;&gt;"",OR(LEFT(IFERROR(INDEX(Clay_Brands!$A$2:$FZ$601,547,Sync!$D$5)&amp;"",""),6)&lt;&gt;"SAMPLE",Config!$B$19="Y")),IFERROR(N(INDEX(Clay_Brands!$A$2:$FZ$601,547,Sync!$D$11)),0),"")</f>
        <v/>
      </c>
      <c r="C3998" s="17">
        <f>IF(B3998="","","brand")</f>
        <v/>
      </c>
      <c r="D3998" s="17">
        <f>IF(B3998="","",IFERROR(INDEX(Clay_Brands!$A$2:$FZ$601,547,Sync!$D$5)&amp;"",""))</f>
        <v/>
      </c>
      <c r="E3998" s="17">
        <f>IF(B3998="","",IFERROR(INDEX(Clay_Brands!$A$2:$FZ$601,547,Sync!$D$6)&amp;"",""))</f>
        <v/>
      </c>
      <c r="F3998" s="17">
        <f>IF(B3998="","","outreach_sent")</f>
        <v/>
      </c>
      <c r="G3998" s="17">
        <f>IF(B3998="","","")</f>
        <v/>
      </c>
      <c r="H3998" s="17">
        <f>IF(B3998="","","")</f>
        <v/>
      </c>
      <c r="I3998" s="17">
        <f>IF(B3998="","","")</f>
        <v/>
      </c>
      <c r="J3998" s="17">
        <f>IF(B3998="","","touch_1; "&amp;IFERROR(INDEX(Clay_Brands!$A$2:$FZ$601,547,Sync!$D$10)&amp;"","")&amp;"; "&amp;IFERROR(INDEX(Clay_Brands!$A$2:$FZ$601,547,Sync!$D$9)&amp;"",""))</f>
        <v/>
      </c>
      <c r="K3998" t="inlineStr">
        <is>
          <t>brand outreach touch 1</t>
        </is>
      </c>
    </row>
    <row r="3999">
      <c r="A3999" s="17">
        <f>IF(B3999="","",B3999+(15*1000+548)/10000000)</f>
        <v/>
      </c>
      <c r="B3999" s="23">
        <f>IF(AND(IFERROR(N(INDEX(Clay_Brands!$A$2:$FZ$601,548,Sync!$D$11)),0)&gt;0,IFERROR(INDEX(Clay_Brands!$A$2:$FZ$601,548,Sync!$D$5)&amp;"","")&lt;&gt;"",OR(LEFT(IFERROR(INDEX(Clay_Brands!$A$2:$FZ$601,548,Sync!$D$5)&amp;"",""),6)&lt;&gt;"SAMPLE",Config!$B$19="Y")),IFERROR(N(INDEX(Clay_Brands!$A$2:$FZ$601,548,Sync!$D$11)),0),"")</f>
        <v/>
      </c>
      <c r="C3999" s="17">
        <f>IF(B3999="","","brand")</f>
        <v/>
      </c>
      <c r="D3999" s="17">
        <f>IF(B3999="","",IFERROR(INDEX(Clay_Brands!$A$2:$FZ$601,548,Sync!$D$5)&amp;"",""))</f>
        <v/>
      </c>
      <c r="E3999" s="17">
        <f>IF(B3999="","",IFERROR(INDEX(Clay_Brands!$A$2:$FZ$601,548,Sync!$D$6)&amp;"",""))</f>
        <v/>
      </c>
      <c r="F3999" s="17">
        <f>IF(B3999="","","outreach_sent")</f>
        <v/>
      </c>
      <c r="G3999" s="17">
        <f>IF(B3999="","","")</f>
        <v/>
      </c>
      <c r="H3999" s="17">
        <f>IF(B3999="","","")</f>
        <v/>
      </c>
      <c r="I3999" s="17">
        <f>IF(B3999="","","")</f>
        <v/>
      </c>
      <c r="J3999" s="17">
        <f>IF(B3999="","","touch_1; "&amp;IFERROR(INDEX(Clay_Brands!$A$2:$FZ$601,548,Sync!$D$10)&amp;"","")&amp;"; "&amp;IFERROR(INDEX(Clay_Brands!$A$2:$FZ$601,548,Sync!$D$9)&amp;"",""))</f>
        <v/>
      </c>
      <c r="K3999" t="inlineStr">
        <is>
          <t>brand outreach touch 1</t>
        </is>
      </c>
    </row>
    <row r="4000">
      <c r="A4000" s="17">
        <f>IF(B4000="","",B4000+(15*1000+549)/10000000)</f>
        <v/>
      </c>
      <c r="B4000" s="23">
        <f>IF(AND(IFERROR(N(INDEX(Clay_Brands!$A$2:$FZ$601,549,Sync!$D$11)),0)&gt;0,IFERROR(INDEX(Clay_Brands!$A$2:$FZ$601,549,Sync!$D$5)&amp;"","")&lt;&gt;"",OR(LEFT(IFERROR(INDEX(Clay_Brands!$A$2:$FZ$601,549,Sync!$D$5)&amp;"",""),6)&lt;&gt;"SAMPLE",Config!$B$19="Y")),IFERROR(N(INDEX(Clay_Brands!$A$2:$FZ$601,549,Sync!$D$11)),0),"")</f>
        <v/>
      </c>
      <c r="C4000" s="17">
        <f>IF(B4000="","","brand")</f>
        <v/>
      </c>
      <c r="D4000" s="17">
        <f>IF(B4000="","",IFERROR(INDEX(Clay_Brands!$A$2:$FZ$601,549,Sync!$D$5)&amp;"",""))</f>
        <v/>
      </c>
      <c r="E4000" s="17">
        <f>IF(B4000="","",IFERROR(INDEX(Clay_Brands!$A$2:$FZ$601,549,Sync!$D$6)&amp;"",""))</f>
        <v/>
      </c>
      <c r="F4000" s="17">
        <f>IF(B4000="","","outreach_sent")</f>
        <v/>
      </c>
      <c r="G4000" s="17">
        <f>IF(B4000="","","")</f>
        <v/>
      </c>
      <c r="H4000" s="17">
        <f>IF(B4000="","","")</f>
        <v/>
      </c>
      <c r="I4000" s="17">
        <f>IF(B4000="","","")</f>
        <v/>
      </c>
      <c r="J4000" s="17">
        <f>IF(B4000="","","touch_1; "&amp;IFERROR(INDEX(Clay_Brands!$A$2:$FZ$601,549,Sync!$D$10)&amp;"","")&amp;"; "&amp;IFERROR(INDEX(Clay_Brands!$A$2:$FZ$601,549,Sync!$D$9)&amp;"",""))</f>
        <v/>
      </c>
      <c r="K4000" t="inlineStr">
        <is>
          <t>brand outreach touch 1</t>
        </is>
      </c>
    </row>
    <row r="4001">
      <c r="A4001" s="17">
        <f>IF(B4001="","",B4001+(15*1000+550)/10000000)</f>
        <v/>
      </c>
      <c r="B4001" s="23">
        <f>IF(AND(IFERROR(N(INDEX(Clay_Brands!$A$2:$FZ$601,550,Sync!$D$11)),0)&gt;0,IFERROR(INDEX(Clay_Brands!$A$2:$FZ$601,550,Sync!$D$5)&amp;"","")&lt;&gt;"",OR(LEFT(IFERROR(INDEX(Clay_Brands!$A$2:$FZ$601,550,Sync!$D$5)&amp;"",""),6)&lt;&gt;"SAMPLE",Config!$B$19="Y")),IFERROR(N(INDEX(Clay_Brands!$A$2:$FZ$601,550,Sync!$D$11)),0),"")</f>
        <v/>
      </c>
      <c r="C4001" s="17">
        <f>IF(B4001="","","brand")</f>
        <v/>
      </c>
      <c r="D4001" s="17">
        <f>IF(B4001="","",IFERROR(INDEX(Clay_Brands!$A$2:$FZ$601,550,Sync!$D$5)&amp;"",""))</f>
        <v/>
      </c>
      <c r="E4001" s="17">
        <f>IF(B4001="","",IFERROR(INDEX(Clay_Brands!$A$2:$FZ$601,550,Sync!$D$6)&amp;"",""))</f>
        <v/>
      </c>
      <c r="F4001" s="17">
        <f>IF(B4001="","","outreach_sent")</f>
        <v/>
      </c>
      <c r="G4001" s="17">
        <f>IF(B4001="","","")</f>
        <v/>
      </c>
      <c r="H4001" s="17">
        <f>IF(B4001="","","")</f>
        <v/>
      </c>
      <c r="I4001" s="17">
        <f>IF(B4001="","","")</f>
        <v/>
      </c>
      <c r="J4001" s="17">
        <f>IF(B4001="","","touch_1; "&amp;IFERROR(INDEX(Clay_Brands!$A$2:$FZ$601,550,Sync!$D$10)&amp;"","")&amp;"; "&amp;IFERROR(INDEX(Clay_Brands!$A$2:$FZ$601,550,Sync!$D$9)&amp;"",""))</f>
        <v/>
      </c>
      <c r="K4001" t="inlineStr">
        <is>
          <t>brand outreach touch 1</t>
        </is>
      </c>
    </row>
    <row r="4002">
      <c r="A4002" s="17">
        <f>IF(B4002="","",B4002+(15*1000+551)/10000000)</f>
        <v/>
      </c>
      <c r="B4002" s="23">
        <f>IF(AND(IFERROR(N(INDEX(Clay_Brands!$A$2:$FZ$601,551,Sync!$D$11)),0)&gt;0,IFERROR(INDEX(Clay_Brands!$A$2:$FZ$601,551,Sync!$D$5)&amp;"","")&lt;&gt;"",OR(LEFT(IFERROR(INDEX(Clay_Brands!$A$2:$FZ$601,551,Sync!$D$5)&amp;"",""),6)&lt;&gt;"SAMPLE",Config!$B$19="Y")),IFERROR(N(INDEX(Clay_Brands!$A$2:$FZ$601,551,Sync!$D$11)),0),"")</f>
        <v/>
      </c>
      <c r="C4002" s="17">
        <f>IF(B4002="","","brand")</f>
        <v/>
      </c>
      <c r="D4002" s="17">
        <f>IF(B4002="","",IFERROR(INDEX(Clay_Brands!$A$2:$FZ$601,551,Sync!$D$5)&amp;"",""))</f>
        <v/>
      </c>
      <c r="E4002" s="17">
        <f>IF(B4002="","",IFERROR(INDEX(Clay_Brands!$A$2:$FZ$601,551,Sync!$D$6)&amp;"",""))</f>
        <v/>
      </c>
      <c r="F4002" s="17">
        <f>IF(B4002="","","outreach_sent")</f>
        <v/>
      </c>
      <c r="G4002" s="17">
        <f>IF(B4002="","","")</f>
        <v/>
      </c>
      <c r="H4002" s="17">
        <f>IF(B4002="","","")</f>
        <v/>
      </c>
      <c r="I4002" s="17">
        <f>IF(B4002="","","")</f>
        <v/>
      </c>
      <c r="J4002" s="17">
        <f>IF(B4002="","","touch_1; "&amp;IFERROR(INDEX(Clay_Brands!$A$2:$FZ$601,551,Sync!$D$10)&amp;"","")&amp;"; "&amp;IFERROR(INDEX(Clay_Brands!$A$2:$FZ$601,551,Sync!$D$9)&amp;"",""))</f>
        <v/>
      </c>
      <c r="K4002" t="inlineStr">
        <is>
          <t>brand outreach touch 1</t>
        </is>
      </c>
    </row>
    <row r="4003">
      <c r="A4003" s="17">
        <f>IF(B4003="","",B4003+(15*1000+552)/10000000)</f>
        <v/>
      </c>
      <c r="B4003" s="23">
        <f>IF(AND(IFERROR(N(INDEX(Clay_Brands!$A$2:$FZ$601,552,Sync!$D$11)),0)&gt;0,IFERROR(INDEX(Clay_Brands!$A$2:$FZ$601,552,Sync!$D$5)&amp;"","")&lt;&gt;"",OR(LEFT(IFERROR(INDEX(Clay_Brands!$A$2:$FZ$601,552,Sync!$D$5)&amp;"",""),6)&lt;&gt;"SAMPLE",Config!$B$19="Y")),IFERROR(N(INDEX(Clay_Brands!$A$2:$FZ$601,552,Sync!$D$11)),0),"")</f>
        <v/>
      </c>
      <c r="C4003" s="17">
        <f>IF(B4003="","","brand")</f>
        <v/>
      </c>
      <c r="D4003" s="17">
        <f>IF(B4003="","",IFERROR(INDEX(Clay_Brands!$A$2:$FZ$601,552,Sync!$D$5)&amp;"",""))</f>
        <v/>
      </c>
      <c r="E4003" s="17">
        <f>IF(B4003="","",IFERROR(INDEX(Clay_Brands!$A$2:$FZ$601,552,Sync!$D$6)&amp;"",""))</f>
        <v/>
      </c>
      <c r="F4003" s="17">
        <f>IF(B4003="","","outreach_sent")</f>
        <v/>
      </c>
      <c r="G4003" s="17">
        <f>IF(B4003="","","")</f>
        <v/>
      </c>
      <c r="H4003" s="17">
        <f>IF(B4003="","","")</f>
        <v/>
      </c>
      <c r="I4003" s="17">
        <f>IF(B4003="","","")</f>
        <v/>
      </c>
      <c r="J4003" s="17">
        <f>IF(B4003="","","touch_1; "&amp;IFERROR(INDEX(Clay_Brands!$A$2:$FZ$601,552,Sync!$D$10)&amp;"","")&amp;"; "&amp;IFERROR(INDEX(Clay_Brands!$A$2:$FZ$601,552,Sync!$D$9)&amp;"",""))</f>
        <v/>
      </c>
      <c r="K4003" t="inlineStr">
        <is>
          <t>brand outreach touch 1</t>
        </is>
      </c>
    </row>
    <row r="4004">
      <c r="A4004" s="17">
        <f>IF(B4004="","",B4004+(15*1000+553)/10000000)</f>
        <v/>
      </c>
      <c r="B4004" s="23">
        <f>IF(AND(IFERROR(N(INDEX(Clay_Brands!$A$2:$FZ$601,553,Sync!$D$11)),0)&gt;0,IFERROR(INDEX(Clay_Brands!$A$2:$FZ$601,553,Sync!$D$5)&amp;"","")&lt;&gt;"",OR(LEFT(IFERROR(INDEX(Clay_Brands!$A$2:$FZ$601,553,Sync!$D$5)&amp;"",""),6)&lt;&gt;"SAMPLE",Config!$B$19="Y")),IFERROR(N(INDEX(Clay_Brands!$A$2:$FZ$601,553,Sync!$D$11)),0),"")</f>
        <v/>
      </c>
      <c r="C4004" s="17">
        <f>IF(B4004="","","brand")</f>
        <v/>
      </c>
      <c r="D4004" s="17">
        <f>IF(B4004="","",IFERROR(INDEX(Clay_Brands!$A$2:$FZ$601,553,Sync!$D$5)&amp;"",""))</f>
        <v/>
      </c>
      <c r="E4004" s="17">
        <f>IF(B4004="","",IFERROR(INDEX(Clay_Brands!$A$2:$FZ$601,553,Sync!$D$6)&amp;"",""))</f>
        <v/>
      </c>
      <c r="F4004" s="17">
        <f>IF(B4004="","","outreach_sent")</f>
        <v/>
      </c>
      <c r="G4004" s="17">
        <f>IF(B4004="","","")</f>
        <v/>
      </c>
      <c r="H4004" s="17">
        <f>IF(B4004="","","")</f>
        <v/>
      </c>
      <c r="I4004" s="17">
        <f>IF(B4004="","","")</f>
        <v/>
      </c>
      <c r="J4004" s="17">
        <f>IF(B4004="","","touch_1; "&amp;IFERROR(INDEX(Clay_Brands!$A$2:$FZ$601,553,Sync!$D$10)&amp;"","")&amp;"; "&amp;IFERROR(INDEX(Clay_Brands!$A$2:$FZ$601,553,Sync!$D$9)&amp;"",""))</f>
        <v/>
      </c>
      <c r="K4004" t="inlineStr">
        <is>
          <t>brand outreach touch 1</t>
        </is>
      </c>
    </row>
    <row r="4005">
      <c r="A4005" s="17">
        <f>IF(B4005="","",B4005+(15*1000+554)/10000000)</f>
        <v/>
      </c>
      <c r="B4005" s="23">
        <f>IF(AND(IFERROR(N(INDEX(Clay_Brands!$A$2:$FZ$601,554,Sync!$D$11)),0)&gt;0,IFERROR(INDEX(Clay_Brands!$A$2:$FZ$601,554,Sync!$D$5)&amp;"","")&lt;&gt;"",OR(LEFT(IFERROR(INDEX(Clay_Brands!$A$2:$FZ$601,554,Sync!$D$5)&amp;"",""),6)&lt;&gt;"SAMPLE",Config!$B$19="Y")),IFERROR(N(INDEX(Clay_Brands!$A$2:$FZ$601,554,Sync!$D$11)),0),"")</f>
        <v/>
      </c>
      <c r="C4005" s="17">
        <f>IF(B4005="","","brand")</f>
        <v/>
      </c>
      <c r="D4005" s="17">
        <f>IF(B4005="","",IFERROR(INDEX(Clay_Brands!$A$2:$FZ$601,554,Sync!$D$5)&amp;"",""))</f>
        <v/>
      </c>
      <c r="E4005" s="17">
        <f>IF(B4005="","",IFERROR(INDEX(Clay_Brands!$A$2:$FZ$601,554,Sync!$D$6)&amp;"",""))</f>
        <v/>
      </c>
      <c r="F4005" s="17">
        <f>IF(B4005="","","outreach_sent")</f>
        <v/>
      </c>
      <c r="G4005" s="17">
        <f>IF(B4005="","","")</f>
        <v/>
      </c>
      <c r="H4005" s="17">
        <f>IF(B4005="","","")</f>
        <v/>
      </c>
      <c r="I4005" s="17">
        <f>IF(B4005="","","")</f>
        <v/>
      </c>
      <c r="J4005" s="17">
        <f>IF(B4005="","","touch_1; "&amp;IFERROR(INDEX(Clay_Brands!$A$2:$FZ$601,554,Sync!$D$10)&amp;"","")&amp;"; "&amp;IFERROR(INDEX(Clay_Brands!$A$2:$FZ$601,554,Sync!$D$9)&amp;"",""))</f>
        <v/>
      </c>
      <c r="K4005" t="inlineStr">
        <is>
          <t>brand outreach touch 1</t>
        </is>
      </c>
    </row>
    <row r="4006">
      <c r="A4006" s="17">
        <f>IF(B4006="","",B4006+(15*1000+555)/10000000)</f>
        <v/>
      </c>
      <c r="B4006" s="23">
        <f>IF(AND(IFERROR(N(INDEX(Clay_Brands!$A$2:$FZ$601,555,Sync!$D$11)),0)&gt;0,IFERROR(INDEX(Clay_Brands!$A$2:$FZ$601,555,Sync!$D$5)&amp;"","")&lt;&gt;"",OR(LEFT(IFERROR(INDEX(Clay_Brands!$A$2:$FZ$601,555,Sync!$D$5)&amp;"",""),6)&lt;&gt;"SAMPLE",Config!$B$19="Y")),IFERROR(N(INDEX(Clay_Brands!$A$2:$FZ$601,555,Sync!$D$11)),0),"")</f>
        <v/>
      </c>
      <c r="C4006" s="17">
        <f>IF(B4006="","","brand")</f>
        <v/>
      </c>
      <c r="D4006" s="17">
        <f>IF(B4006="","",IFERROR(INDEX(Clay_Brands!$A$2:$FZ$601,555,Sync!$D$5)&amp;"",""))</f>
        <v/>
      </c>
      <c r="E4006" s="17">
        <f>IF(B4006="","",IFERROR(INDEX(Clay_Brands!$A$2:$FZ$601,555,Sync!$D$6)&amp;"",""))</f>
        <v/>
      </c>
      <c r="F4006" s="17">
        <f>IF(B4006="","","outreach_sent")</f>
        <v/>
      </c>
      <c r="G4006" s="17">
        <f>IF(B4006="","","")</f>
        <v/>
      </c>
      <c r="H4006" s="17">
        <f>IF(B4006="","","")</f>
        <v/>
      </c>
      <c r="I4006" s="17">
        <f>IF(B4006="","","")</f>
        <v/>
      </c>
      <c r="J4006" s="17">
        <f>IF(B4006="","","touch_1; "&amp;IFERROR(INDEX(Clay_Brands!$A$2:$FZ$601,555,Sync!$D$10)&amp;"","")&amp;"; "&amp;IFERROR(INDEX(Clay_Brands!$A$2:$FZ$601,555,Sync!$D$9)&amp;"",""))</f>
        <v/>
      </c>
      <c r="K4006" t="inlineStr">
        <is>
          <t>brand outreach touch 1</t>
        </is>
      </c>
    </row>
    <row r="4007">
      <c r="A4007" s="17">
        <f>IF(B4007="","",B4007+(15*1000+556)/10000000)</f>
        <v/>
      </c>
      <c r="B4007" s="23">
        <f>IF(AND(IFERROR(N(INDEX(Clay_Brands!$A$2:$FZ$601,556,Sync!$D$11)),0)&gt;0,IFERROR(INDEX(Clay_Brands!$A$2:$FZ$601,556,Sync!$D$5)&amp;"","")&lt;&gt;"",OR(LEFT(IFERROR(INDEX(Clay_Brands!$A$2:$FZ$601,556,Sync!$D$5)&amp;"",""),6)&lt;&gt;"SAMPLE",Config!$B$19="Y")),IFERROR(N(INDEX(Clay_Brands!$A$2:$FZ$601,556,Sync!$D$11)),0),"")</f>
        <v/>
      </c>
      <c r="C4007" s="17">
        <f>IF(B4007="","","brand")</f>
        <v/>
      </c>
      <c r="D4007" s="17">
        <f>IF(B4007="","",IFERROR(INDEX(Clay_Brands!$A$2:$FZ$601,556,Sync!$D$5)&amp;"",""))</f>
        <v/>
      </c>
      <c r="E4007" s="17">
        <f>IF(B4007="","",IFERROR(INDEX(Clay_Brands!$A$2:$FZ$601,556,Sync!$D$6)&amp;"",""))</f>
        <v/>
      </c>
      <c r="F4007" s="17">
        <f>IF(B4007="","","outreach_sent")</f>
        <v/>
      </c>
      <c r="G4007" s="17">
        <f>IF(B4007="","","")</f>
        <v/>
      </c>
      <c r="H4007" s="17">
        <f>IF(B4007="","","")</f>
        <v/>
      </c>
      <c r="I4007" s="17">
        <f>IF(B4007="","","")</f>
        <v/>
      </c>
      <c r="J4007" s="17">
        <f>IF(B4007="","","touch_1; "&amp;IFERROR(INDEX(Clay_Brands!$A$2:$FZ$601,556,Sync!$D$10)&amp;"","")&amp;"; "&amp;IFERROR(INDEX(Clay_Brands!$A$2:$FZ$601,556,Sync!$D$9)&amp;"",""))</f>
        <v/>
      </c>
      <c r="K4007" t="inlineStr">
        <is>
          <t>brand outreach touch 1</t>
        </is>
      </c>
    </row>
    <row r="4008">
      <c r="A4008" s="17">
        <f>IF(B4008="","",B4008+(15*1000+557)/10000000)</f>
        <v/>
      </c>
      <c r="B4008" s="23">
        <f>IF(AND(IFERROR(N(INDEX(Clay_Brands!$A$2:$FZ$601,557,Sync!$D$11)),0)&gt;0,IFERROR(INDEX(Clay_Brands!$A$2:$FZ$601,557,Sync!$D$5)&amp;"","")&lt;&gt;"",OR(LEFT(IFERROR(INDEX(Clay_Brands!$A$2:$FZ$601,557,Sync!$D$5)&amp;"",""),6)&lt;&gt;"SAMPLE",Config!$B$19="Y")),IFERROR(N(INDEX(Clay_Brands!$A$2:$FZ$601,557,Sync!$D$11)),0),"")</f>
        <v/>
      </c>
      <c r="C4008" s="17">
        <f>IF(B4008="","","brand")</f>
        <v/>
      </c>
      <c r="D4008" s="17">
        <f>IF(B4008="","",IFERROR(INDEX(Clay_Brands!$A$2:$FZ$601,557,Sync!$D$5)&amp;"",""))</f>
        <v/>
      </c>
      <c r="E4008" s="17">
        <f>IF(B4008="","",IFERROR(INDEX(Clay_Brands!$A$2:$FZ$601,557,Sync!$D$6)&amp;"",""))</f>
        <v/>
      </c>
      <c r="F4008" s="17">
        <f>IF(B4008="","","outreach_sent")</f>
        <v/>
      </c>
      <c r="G4008" s="17">
        <f>IF(B4008="","","")</f>
        <v/>
      </c>
      <c r="H4008" s="17">
        <f>IF(B4008="","","")</f>
        <v/>
      </c>
      <c r="I4008" s="17">
        <f>IF(B4008="","","")</f>
        <v/>
      </c>
      <c r="J4008" s="17">
        <f>IF(B4008="","","touch_1; "&amp;IFERROR(INDEX(Clay_Brands!$A$2:$FZ$601,557,Sync!$D$10)&amp;"","")&amp;"; "&amp;IFERROR(INDEX(Clay_Brands!$A$2:$FZ$601,557,Sync!$D$9)&amp;"",""))</f>
        <v/>
      </c>
      <c r="K4008" t="inlineStr">
        <is>
          <t>brand outreach touch 1</t>
        </is>
      </c>
    </row>
    <row r="4009">
      <c r="A4009" s="17">
        <f>IF(B4009="","",B4009+(15*1000+558)/10000000)</f>
        <v/>
      </c>
      <c r="B4009" s="23">
        <f>IF(AND(IFERROR(N(INDEX(Clay_Brands!$A$2:$FZ$601,558,Sync!$D$11)),0)&gt;0,IFERROR(INDEX(Clay_Brands!$A$2:$FZ$601,558,Sync!$D$5)&amp;"","")&lt;&gt;"",OR(LEFT(IFERROR(INDEX(Clay_Brands!$A$2:$FZ$601,558,Sync!$D$5)&amp;"",""),6)&lt;&gt;"SAMPLE",Config!$B$19="Y")),IFERROR(N(INDEX(Clay_Brands!$A$2:$FZ$601,558,Sync!$D$11)),0),"")</f>
        <v/>
      </c>
      <c r="C4009" s="17">
        <f>IF(B4009="","","brand")</f>
        <v/>
      </c>
      <c r="D4009" s="17">
        <f>IF(B4009="","",IFERROR(INDEX(Clay_Brands!$A$2:$FZ$601,558,Sync!$D$5)&amp;"",""))</f>
        <v/>
      </c>
      <c r="E4009" s="17">
        <f>IF(B4009="","",IFERROR(INDEX(Clay_Brands!$A$2:$FZ$601,558,Sync!$D$6)&amp;"",""))</f>
        <v/>
      </c>
      <c r="F4009" s="17">
        <f>IF(B4009="","","outreach_sent")</f>
        <v/>
      </c>
      <c r="G4009" s="17">
        <f>IF(B4009="","","")</f>
        <v/>
      </c>
      <c r="H4009" s="17">
        <f>IF(B4009="","","")</f>
        <v/>
      </c>
      <c r="I4009" s="17">
        <f>IF(B4009="","","")</f>
        <v/>
      </c>
      <c r="J4009" s="17">
        <f>IF(B4009="","","touch_1; "&amp;IFERROR(INDEX(Clay_Brands!$A$2:$FZ$601,558,Sync!$D$10)&amp;"","")&amp;"; "&amp;IFERROR(INDEX(Clay_Brands!$A$2:$FZ$601,558,Sync!$D$9)&amp;"",""))</f>
        <v/>
      </c>
      <c r="K4009" t="inlineStr">
        <is>
          <t>brand outreach touch 1</t>
        </is>
      </c>
    </row>
    <row r="4010">
      <c r="A4010" s="17">
        <f>IF(B4010="","",B4010+(15*1000+559)/10000000)</f>
        <v/>
      </c>
      <c r="B4010" s="23">
        <f>IF(AND(IFERROR(N(INDEX(Clay_Brands!$A$2:$FZ$601,559,Sync!$D$11)),0)&gt;0,IFERROR(INDEX(Clay_Brands!$A$2:$FZ$601,559,Sync!$D$5)&amp;"","")&lt;&gt;"",OR(LEFT(IFERROR(INDEX(Clay_Brands!$A$2:$FZ$601,559,Sync!$D$5)&amp;"",""),6)&lt;&gt;"SAMPLE",Config!$B$19="Y")),IFERROR(N(INDEX(Clay_Brands!$A$2:$FZ$601,559,Sync!$D$11)),0),"")</f>
        <v/>
      </c>
      <c r="C4010" s="17">
        <f>IF(B4010="","","brand")</f>
        <v/>
      </c>
      <c r="D4010" s="17">
        <f>IF(B4010="","",IFERROR(INDEX(Clay_Brands!$A$2:$FZ$601,559,Sync!$D$5)&amp;"",""))</f>
        <v/>
      </c>
      <c r="E4010" s="17">
        <f>IF(B4010="","",IFERROR(INDEX(Clay_Brands!$A$2:$FZ$601,559,Sync!$D$6)&amp;"",""))</f>
        <v/>
      </c>
      <c r="F4010" s="17">
        <f>IF(B4010="","","outreach_sent")</f>
        <v/>
      </c>
      <c r="G4010" s="17">
        <f>IF(B4010="","","")</f>
        <v/>
      </c>
      <c r="H4010" s="17">
        <f>IF(B4010="","","")</f>
        <v/>
      </c>
      <c r="I4010" s="17">
        <f>IF(B4010="","","")</f>
        <v/>
      </c>
      <c r="J4010" s="17">
        <f>IF(B4010="","","touch_1; "&amp;IFERROR(INDEX(Clay_Brands!$A$2:$FZ$601,559,Sync!$D$10)&amp;"","")&amp;"; "&amp;IFERROR(INDEX(Clay_Brands!$A$2:$FZ$601,559,Sync!$D$9)&amp;"",""))</f>
        <v/>
      </c>
      <c r="K4010" t="inlineStr">
        <is>
          <t>brand outreach touch 1</t>
        </is>
      </c>
    </row>
    <row r="4011">
      <c r="A4011" s="17">
        <f>IF(B4011="","",B4011+(15*1000+560)/10000000)</f>
        <v/>
      </c>
      <c r="B4011" s="23">
        <f>IF(AND(IFERROR(N(INDEX(Clay_Brands!$A$2:$FZ$601,560,Sync!$D$11)),0)&gt;0,IFERROR(INDEX(Clay_Brands!$A$2:$FZ$601,560,Sync!$D$5)&amp;"","")&lt;&gt;"",OR(LEFT(IFERROR(INDEX(Clay_Brands!$A$2:$FZ$601,560,Sync!$D$5)&amp;"",""),6)&lt;&gt;"SAMPLE",Config!$B$19="Y")),IFERROR(N(INDEX(Clay_Brands!$A$2:$FZ$601,560,Sync!$D$11)),0),"")</f>
        <v/>
      </c>
      <c r="C4011" s="17">
        <f>IF(B4011="","","brand")</f>
        <v/>
      </c>
      <c r="D4011" s="17">
        <f>IF(B4011="","",IFERROR(INDEX(Clay_Brands!$A$2:$FZ$601,560,Sync!$D$5)&amp;"",""))</f>
        <v/>
      </c>
      <c r="E4011" s="17">
        <f>IF(B4011="","",IFERROR(INDEX(Clay_Brands!$A$2:$FZ$601,560,Sync!$D$6)&amp;"",""))</f>
        <v/>
      </c>
      <c r="F4011" s="17">
        <f>IF(B4011="","","outreach_sent")</f>
        <v/>
      </c>
      <c r="G4011" s="17">
        <f>IF(B4011="","","")</f>
        <v/>
      </c>
      <c r="H4011" s="17">
        <f>IF(B4011="","","")</f>
        <v/>
      </c>
      <c r="I4011" s="17">
        <f>IF(B4011="","","")</f>
        <v/>
      </c>
      <c r="J4011" s="17">
        <f>IF(B4011="","","touch_1; "&amp;IFERROR(INDEX(Clay_Brands!$A$2:$FZ$601,560,Sync!$D$10)&amp;"","")&amp;"; "&amp;IFERROR(INDEX(Clay_Brands!$A$2:$FZ$601,560,Sync!$D$9)&amp;"",""))</f>
        <v/>
      </c>
      <c r="K4011" t="inlineStr">
        <is>
          <t>brand outreach touch 1</t>
        </is>
      </c>
    </row>
    <row r="4012">
      <c r="A4012" s="17">
        <f>IF(B4012="","",B4012+(15*1000+561)/10000000)</f>
        <v/>
      </c>
      <c r="B4012" s="23">
        <f>IF(AND(IFERROR(N(INDEX(Clay_Brands!$A$2:$FZ$601,561,Sync!$D$11)),0)&gt;0,IFERROR(INDEX(Clay_Brands!$A$2:$FZ$601,561,Sync!$D$5)&amp;"","")&lt;&gt;"",OR(LEFT(IFERROR(INDEX(Clay_Brands!$A$2:$FZ$601,561,Sync!$D$5)&amp;"",""),6)&lt;&gt;"SAMPLE",Config!$B$19="Y")),IFERROR(N(INDEX(Clay_Brands!$A$2:$FZ$601,561,Sync!$D$11)),0),"")</f>
        <v/>
      </c>
      <c r="C4012" s="17">
        <f>IF(B4012="","","brand")</f>
        <v/>
      </c>
      <c r="D4012" s="17">
        <f>IF(B4012="","",IFERROR(INDEX(Clay_Brands!$A$2:$FZ$601,561,Sync!$D$5)&amp;"",""))</f>
        <v/>
      </c>
      <c r="E4012" s="17">
        <f>IF(B4012="","",IFERROR(INDEX(Clay_Brands!$A$2:$FZ$601,561,Sync!$D$6)&amp;"",""))</f>
        <v/>
      </c>
      <c r="F4012" s="17">
        <f>IF(B4012="","","outreach_sent")</f>
        <v/>
      </c>
      <c r="G4012" s="17">
        <f>IF(B4012="","","")</f>
        <v/>
      </c>
      <c r="H4012" s="17">
        <f>IF(B4012="","","")</f>
        <v/>
      </c>
      <c r="I4012" s="17">
        <f>IF(B4012="","","")</f>
        <v/>
      </c>
      <c r="J4012" s="17">
        <f>IF(B4012="","","touch_1; "&amp;IFERROR(INDEX(Clay_Brands!$A$2:$FZ$601,561,Sync!$D$10)&amp;"","")&amp;"; "&amp;IFERROR(INDEX(Clay_Brands!$A$2:$FZ$601,561,Sync!$D$9)&amp;"",""))</f>
        <v/>
      </c>
      <c r="K4012" t="inlineStr">
        <is>
          <t>brand outreach touch 1</t>
        </is>
      </c>
    </row>
    <row r="4013">
      <c r="A4013" s="17">
        <f>IF(B4013="","",B4013+(15*1000+562)/10000000)</f>
        <v/>
      </c>
      <c r="B4013" s="23">
        <f>IF(AND(IFERROR(N(INDEX(Clay_Brands!$A$2:$FZ$601,562,Sync!$D$11)),0)&gt;0,IFERROR(INDEX(Clay_Brands!$A$2:$FZ$601,562,Sync!$D$5)&amp;"","")&lt;&gt;"",OR(LEFT(IFERROR(INDEX(Clay_Brands!$A$2:$FZ$601,562,Sync!$D$5)&amp;"",""),6)&lt;&gt;"SAMPLE",Config!$B$19="Y")),IFERROR(N(INDEX(Clay_Brands!$A$2:$FZ$601,562,Sync!$D$11)),0),"")</f>
        <v/>
      </c>
      <c r="C4013" s="17">
        <f>IF(B4013="","","brand")</f>
        <v/>
      </c>
      <c r="D4013" s="17">
        <f>IF(B4013="","",IFERROR(INDEX(Clay_Brands!$A$2:$FZ$601,562,Sync!$D$5)&amp;"",""))</f>
        <v/>
      </c>
      <c r="E4013" s="17">
        <f>IF(B4013="","",IFERROR(INDEX(Clay_Brands!$A$2:$FZ$601,562,Sync!$D$6)&amp;"",""))</f>
        <v/>
      </c>
      <c r="F4013" s="17">
        <f>IF(B4013="","","outreach_sent")</f>
        <v/>
      </c>
      <c r="G4013" s="17">
        <f>IF(B4013="","","")</f>
        <v/>
      </c>
      <c r="H4013" s="17">
        <f>IF(B4013="","","")</f>
        <v/>
      </c>
      <c r="I4013" s="17">
        <f>IF(B4013="","","")</f>
        <v/>
      </c>
      <c r="J4013" s="17">
        <f>IF(B4013="","","touch_1; "&amp;IFERROR(INDEX(Clay_Brands!$A$2:$FZ$601,562,Sync!$D$10)&amp;"","")&amp;"; "&amp;IFERROR(INDEX(Clay_Brands!$A$2:$FZ$601,562,Sync!$D$9)&amp;"",""))</f>
        <v/>
      </c>
      <c r="K4013" t="inlineStr">
        <is>
          <t>brand outreach touch 1</t>
        </is>
      </c>
    </row>
    <row r="4014">
      <c r="A4014" s="17">
        <f>IF(B4014="","",B4014+(15*1000+563)/10000000)</f>
        <v/>
      </c>
      <c r="B4014" s="23">
        <f>IF(AND(IFERROR(N(INDEX(Clay_Brands!$A$2:$FZ$601,563,Sync!$D$11)),0)&gt;0,IFERROR(INDEX(Clay_Brands!$A$2:$FZ$601,563,Sync!$D$5)&amp;"","")&lt;&gt;"",OR(LEFT(IFERROR(INDEX(Clay_Brands!$A$2:$FZ$601,563,Sync!$D$5)&amp;"",""),6)&lt;&gt;"SAMPLE",Config!$B$19="Y")),IFERROR(N(INDEX(Clay_Brands!$A$2:$FZ$601,563,Sync!$D$11)),0),"")</f>
        <v/>
      </c>
      <c r="C4014" s="17">
        <f>IF(B4014="","","brand")</f>
        <v/>
      </c>
      <c r="D4014" s="17">
        <f>IF(B4014="","",IFERROR(INDEX(Clay_Brands!$A$2:$FZ$601,563,Sync!$D$5)&amp;"",""))</f>
        <v/>
      </c>
      <c r="E4014" s="17">
        <f>IF(B4014="","",IFERROR(INDEX(Clay_Brands!$A$2:$FZ$601,563,Sync!$D$6)&amp;"",""))</f>
        <v/>
      </c>
      <c r="F4014" s="17">
        <f>IF(B4014="","","outreach_sent")</f>
        <v/>
      </c>
      <c r="G4014" s="17">
        <f>IF(B4014="","","")</f>
        <v/>
      </c>
      <c r="H4014" s="17">
        <f>IF(B4014="","","")</f>
        <v/>
      </c>
      <c r="I4014" s="17">
        <f>IF(B4014="","","")</f>
        <v/>
      </c>
      <c r="J4014" s="17">
        <f>IF(B4014="","","touch_1; "&amp;IFERROR(INDEX(Clay_Brands!$A$2:$FZ$601,563,Sync!$D$10)&amp;"","")&amp;"; "&amp;IFERROR(INDEX(Clay_Brands!$A$2:$FZ$601,563,Sync!$D$9)&amp;"",""))</f>
        <v/>
      </c>
      <c r="K4014" t="inlineStr">
        <is>
          <t>brand outreach touch 1</t>
        </is>
      </c>
    </row>
    <row r="4015">
      <c r="A4015" s="17">
        <f>IF(B4015="","",B4015+(15*1000+564)/10000000)</f>
        <v/>
      </c>
      <c r="B4015" s="23">
        <f>IF(AND(IFERROR(N(INDEX(Clay_Brands!$A$2:$FZ$601,564,Sync!$D$11)),0)&gt;0,IFERROR(INDEX(Clay_Brands!$A$2:$FZ$601,564,Sync!$D$5)&amp;"","")&lt;&gt;"",OR(LEFT(IFERROR(INDEX(Clay_Brands!$A$2:$FZ$601,564,Sync!$D$5)&amp;"",""),6)&lt;&gt;"SAMPLE",Config!$B$19="Y")),IFERROR(N(INDEX(Clay_Brands!$A$2:$FZ$601,564,Sync!$D$11)),0),"")</f>
        <v/>
      </c>
      <c r="C4015" s="17">
        <f>IF(B4015="","","brand")</f>
        <v/>
      </c>
      <c r="D4015" s="17">
        <f>IF(B4015="","",IFERROR(INDEX(Clay_Brands!$A$2:$FZ$601,564,Sync!$D$5)&amp;"",""))</f>
        <v/>
      </c>
      <c r="E4015" s="17">
        <f>IF(B4015="","",IFERROR(INDEX(Clay_Brands!$A$2:$FZ$601,564,Sync!$D$6)&amp;"",""))</f>
        <v/>
      </c>
      <c r="F4015" s="17">
        <f>IF(B4015="","","outreach_sent")</f>
        <v/>
      </c>
      <c r="G4015" s="17">
        <f>IF(B4015="","","")</f>
        <v/>
      </c>
      <c r="H4015" s="17">
        <f>IF(B4015="","","")</f>
        <v/>
      </c>
      <c r="I4015" s="17">
        <f>IF(B4015="","","")</f>
        <v/>
      </c>
      <c r="J4015" s="17">
        <f>IF(B4015="","","touch_1; "&amp;IFERROR(INDEX(Clay_Brands!$A$2:$FZ$601,564,Sync!$D$10)&amp;"","")&amp;"; "&amp;IFERROR(INDEX(Clay_Brands!$A$2:$FZ$601,564,Sync!$D$9)&amp;"",""))</f>
        <v/>
      </c>
      <c r="K4015" t="inlineStr">
        <is>
          <t>brand outreach touch 1</t>
        </is>
      </c>
    </row>
    <row r="4016">
      <c r="A4016" s="17">
        <f>IF(B4016="","",B4016+(15*1000+565)/10000000)</f>
        <v/>
      </c>
      <c r="B4016" s="23">
        <f>IF(AND(IFERROR(N(INDEX(Clay_Brands!$A$2:$FZ$601,565,Sync!$D$11)),0)&gt;0,IFERROR(INDEX(Clay_Brands!$A$2:$FZ$601,565,Sync!$D$5)&amp;"","")&lt;&gt;"",OR(LEFT(IFERROR(INDEX(Clay_Brands!$A$2:$FZ$601,565,Sync!$D$5)&amp;"",""),6)&lt;&gt;"SAMPLE",Config!$B$19="Y")),IFERROR(N(INDEX(Clay_Brands!$A$2:$FZ$601,565,Sync!$D$11)),0),"")</f>
        <v/>
      </c>
      <c r="C4016" s="17">
        <f>IF(B4016="","","brand")</f>
        <v/>
      </c>
      <c r="D4016" s="17">
        <f>IF(B4016="","",IFERROR(INDEX(Clay_Brands!$A$2:$FZ$601,565,Sync!$D$5)&amp;"",""))</f>
        <v/>
      </c>
      <c r="E4016" s="17">
        <f>IF(B4016="","",IFERROR(INDEX(Clay_Brands!$A$2:$FZ$601,565,Sync!$D$6)&amp;"",""))</f>
        <v/>
      </c>
      <c r="F4016" s="17">
        <f>IF(B4016="","","outreach_sent")</f>
        <v/>
      </c>
      <c r="G4016" s="17">
        <f>IF(B4016="","","")</f>
        <v/>
      </c>
      <c r="H4016" s="17">
        <f>IF(B4016="","","")</f>
        <v/>
      </c>
      <c r="I4016" s="17">
        <f>IF(B4016="","","")</f>
        <v/>
      </c>
      <c r="J4016" s="17">
        <f>IF(B4016="","","touch_1; "&amp;IFERROR(INDEX(Clay_Brands!$A$2:$FZ$601,565,Sync!$D$10)&amp;"","")&amp;"; "&amp;IFERROR(INDEX(Clay_Brands!$A$2:$FZ$601,565,Sync!$D$9)&amp;"",""))</f>
        <v/>
      </c>
      <c r="K4016" t="inlineStr">
        <is>
          <t>brand outreach touch 1</t>
        </is>
      </c>
    </row>
    <row r="4017">
      <c r="A4017" s="17">
        <f>IF(B4017="","",B4017+(15*1000+566)/10000000)</f>
        <v/>
      </c>
      <c r="B4017" s="23">
        <f>IF(AND(IFERROR(N(INDEX(Clay_Brands!$A$2:$FZ$601,566,Sync!$D$11)),0)&gt;0,IFERROR(INDEX(Clay_Brands!$A$2:$FZ$601,566,Sync!$D$5)&amp;"","")&lt;&gt;"",OR(LEFT(IFERROR(INDEX(Clay_Brands!$A$2:$FZ$601,566,Sync!$D$5)&amp;"",""),6)&lt;&gt;"SAMPLE",Config!$B$19="Y")),IFERROR(N(INDEX(Clay_Brands!$A$2:$FZ$601,566,Sync!$D$11)),0),"")</f>
        <v/>
      </c>
      <c r="C4017" s="17">
        <f>IF(B4017="","","brand")</f>
        <v/>
      </c>
      <c r="D4017" s="17">
        <f>IF(B4017="","",IFERROR(INDEX(Clay_Brands!$A$2:$FZ$601,566,Sync!$D$5)&amp;"",""))</f>
        <v/>
      </c>
      <c r="E4017" s="17">
        <f>IF(B4017="","",IFERROR(INDEX(Clay_Brands!$A$2:$FZ$601,566,Sync!$D$6)&amp;"",""))</f>
        <v/>
      </c>
      <c r="F4017" s="17">
        <f>IF(B4017="","","outreach_sent")</f>
        <v/>
      </c>
      <c r="G4017" s="17">
        <f>IF(B4017="","","")</f>
        <v/>
      </c>
      <c r="H4017" s="17">
        <f>IF(B4017="","","")</f>
        <v/>
      </c>
      <c r="I4017" s="17">
        <f>IF(B4017="","","")</f>
        <v/>
      </c>
      <c r="J4017" s="17">
        <f>IF(B4017="","","touch_1; "&amp;IFERROR(INDEX(Clay_Brands!$A$2:$FZ$601,566,Sync!$D$10)&amp;"","")&amp;"; "&amp;IFERROR(INDEX(Clay_Brands!$A$2:$FZ$601,566,Sync!$D$9)&amp;"",""))</f>
        <v/>
      </c>
      <c r="K4017" t="inlineStr">
        <is>
          <t>brand outreach touch 1</t>
        </is>
      </c>
    </row>
    <row r="4018">
      <c r="A4018" s="17">
        <f>IF(B4018="","",B4018+(15*1000+567)/10000000)</f>
        <v/>
      </c>
      <c r="B4018" s="23">
        <f>IF(AND(IFERROR(N(INDEX(Clay_Brands!$A$2:$FZ$601,567,Sync!$D$11)),0)&gt;0,IFERROR(INDEX(Clay_Brands!$A$2:$FZ$601,567,Sync!$D$5)&amp;"","")&lt;&gt;"",OR(LEFT(IFERROR(INDEX(Clay_Brands!$A$2:$FZ$601,567,Sync!$D$5)&amp;"",""),6)&lt;&gt;"SAMPLE",Config!$B$19="Y")),IFERROR(N(INDEX(Clay_Brands!$A$2:$FZ$601,567,Sync!$D$11)),0),"")</f>
        <v/>
      </c>
      <c r="C4018" s="17">
        <f>IF(B4018="","","brand")</f>
        <v/>
      </c>
      <c r="D4018" s="17">
        <f>IF(B4018="","",IFERROR(INDEX(Clay_Brands!$A$2:$FZ$601,567,Sync!$D$5)&amp;"",""))</f>
        <v/>
      </c>
      <c r="E4018" s="17">
        <f>IF(B4018="","",IFERROR(INDEX(Clay_Brands!$A$2:$FZ$601,567,Sync!$D$6)&amp;"",""))</f>
        <v/>
      </c>
      <c r="F4018" s="17">
        <f>IF(B4018="","","outreach_sent")</f>
        <v/>
      </c>
      <c r="G4018" s="17">
        <f>IF(B4018="","","")</f>
        <v/>
      </c>
      <c r="H4018" s="17">
        <f>IF(B4018="","","")</f>
        <v/>
      </c>
      <c r="I4018" s="17">
        <f>IF(B4018="","","")</f>
        <v/>
      </c>
      <c r="J4018" s="17">
        <f>IF(B4018="","","touch_1; "&amp;IFERROR(INDEX(Clay_Brands!$A$2:$FZ$601,567,Sync!$D$10)&amp;"","")&amp;"; "&amp;IFERROR(INDEX(Clay_Brands!$A$2:$FZ$601,567,Sync!$D$9)&amp;"",""))</f>
        <v/>
      </c>
      <c r="K4018" t="inlineStr">
        <is>
          <t>brand outreach touch 1</t>
        </is>
      </c>
    </row>
    <row r="4019">
      <c r="A4019" s="17">
        <f>IF(B4019="","",B4019+(15*1000+568)/10000000)</f>
        <v/>
      </c>
      <c r="B4019" s="23">
        <f>IF(AND(IFERROR(N(INDEX(Clay_Brands!$A$2:$FZ$601,568,Sync!$D$11)),0)&gt;0,IFERROR(INDEX(Clay_Brands!$A$2:$FZ$601,568,Sync!$D$5)&amp;"","")&lt;&gt;"",OR(LEFT(IFERROR(INDEX(Clay_Brands!$A$2:$FZ$601,568,Sync!$D$5)&amp;"",""),6)&lt;&gt;"SAMPLE",Config!$B$19="Y")),IFERROR(N(INDEX(Clay_Brands!$A$2:$FZ$601,568,Sync!$D$11)),0),"")</f>
        <v/>
      </c>
      <c r="C4019" s="17">
        <f>IF(B4019="","","brand")</f>
        <v/>
      </c>
      <c r="D4019" s="17">
        <f>IF(B4019="","",IFERROR(INDEX(Clay_Brands!$A$2:$FZ$601,568,Sync!$D$5)&amp;"",""))</f>
        <v/>
      </c>
      <c r="E4019" s="17">
        <f>IF(B4019="","",IFERROR(INDEX(Clay_Brands!$A$2:$FZ$601,568,Sync!$D$6)&amp;"",""))</f>
        <v/>
      </c>
      <c r="F4019" s="17">
        <f>IF(B4019="","","outreach_sent")</f>
        <v/>
      </c>
      <c r="G4019" s="17">
        <f>IF(B4019="","","")</f>
        <v/>
      </c>
      <c r="H4019" s="17">
        <f>IF(B4019="","","")</f>
        <v/>
      </c>
      <c r="I4019" s="17">
        <f>IF(B4019="","","")</f>
        <v/>
      </c>
      <c r="J4019" s="17">
        <f>IF(B4019="","","touch_1; "&amp;IFERROR(INDEX(Clay_Brands!$A$2:$FZ$601,568,Sync!$D$10)&amp;"","")&amp;"; "&amp;IFERROR(INDEX(Clay_Brands!$A$2:$FZ$601,568,Sync!$D$9)&amp;"",""))</f>
        <v/>
      </c>
      <c r="K4019" t="inlineStr">
        <is>
          <t>brand outreach touch 1</t>
        </is>
      </c>
    </row>
    <row r="4020">
      <c r="A4020" s="17">
        <f>IF(B4020="","",B4020+(15*1000+569)/10000000)</f>
        <v/>
      </c>
      <c r="B4020" s="23">
        <f>IF(AND(IFERROR(N(INDEX(Clay_Brands!$A$2:$FZ$601,569,Sync!$D$11)),0)&gt;0,IFERROR(INDEX(Clay_Brands!$A$2:$FZ$601,569,Sync!$D$5)&amp;"","")&lt;&gt;"",OR(LEFT(IFERROR(INDEX(Clay_Brands!$A$2:$FZ$601,569,Sync!$D$5)&amp;"",""),6)&lt;&gt;"SAMPLE",Config!$B$19="Y")),IFERROR(N(INDEX(Clay_Brands!$A$2:$FZ$601,569,Sync!$D$11)),0),"")</f>
        <v/>
      </c>
      <c r="C4020" s="17">
        <f>IF(B4020="","","brand")</f>
        <v/>
      </c>
      <c r="D4020" s="17">
        <f>IF(B4020="","",IFERROR(INDEX(Clay_Brands!$A$2:$FZ$601,569,Sync!$D$5)&amp;"",""))</f>
        <v/>
      </c>
      <c r="E4020" s="17">
        <f>IF(B4020="","",IFERROR(INDEX(Clay_Brands!$A$2:$FZ$601,569,Sync!$D$6)&amp;"",""))</f>
        <v/>
      </c>
      <c r="F4020" s="17">
        <f>IF(B4020="","","outreach_sent")</f>
        <v/>
      </c>
      <c r="G4020" s="17">
        <f>IF(B4020="","","")</f>
        <v/>
      </c>
      <c r="H4020" s="17">
        <f>IF(B4020="","","")</f>
        <v/>
      </c>
      <c r="I4020" s="17">
        <f>IF(B4020="","","")</f>
        <v/>
      </c>
      <c r="J4020" s="17">
        <f>IF(B4020="","","touch_1; "&amp;IFERROR(INDEX(Clay_Brands!$A$2:$FZ$601,569,Sync!$D$10)&amp;"","")&amp;"; "&amp;IFERROR(INDEX(Clay_Brands!$A$2:$FZ$601,569,Sync!$D$9)&amp;"",""))</f>
        <v/>
      </c>
      <c r="K4020" t="inlineStr">
        <is>
          <t>brand outreach touch 1</t>
        </is>
      </c>
    </row>
    <row r="4021">
      <c r="A4021" s="17">
        <f>IF(B4021="","",B4021+(15*1000+570)/10000000)</f>
        <v/>
      </c>
      <c r="B4021" s="23">
        <f>IF(AND(IFERROR(N(INDEX(Clay_Brands!$A$2:$FZ$601,570,Sync!$D$11)),0)&gt;0,IFERROR(INDEX(Clay_Brands!$A$2:$FZ$601,570,Sync!$D$5)&amp;"","")&lt;&gt;"",OR(LEFT(IFERROR(INDEX(Clay_Brands!$A$2:$FZ$601,570,Sync!$D$5)&amp;"",""),6)&lt;&gt;"SAMPLE",Config!$B$19="Y")),IFERROR(N(INDEX(Clay_Brands!$A$2:$FZ$601,570,Sync!$D$11)),0),"")</f>
        <v/>
      </c>
      <c r="C4021" s="17">
        <f>IF(B4021="","","brand")</f>
        <v/>
      </c>
      <c r="D4021" s="17">
        <f>IF(B4021="","",IFERROR(INDEX(Clay_Brands!$A$2:$FZ$601,570,Sync!$D$5)&amp;"",""))</f>
        <v/>
      </c>
      <c r="E4021" s="17">
        <f>IF(B4021="","",IFERROR(INDEX(Clay_Brands!$A$2:$FZ$601,570,Sync!$D$6)&amp;"",""))</f>
        <v/>
      </c>
      <c r="F4021" s="17">
        <f>IF(B4021="","","outreach_sent")</f>
        <v/>
      </c>
      <c r="G4021" s="17">
        <f>IF(B4021="","","")</f>
        <v/>
      </c>
      <c r="H4021" s="17">
        <f>IF(B4021="","","")</f>
        <v/>
      </c>
      <c r="I4021" s="17">
        <f>IF(B4021="","","")</f>
        <v/>
      </c>
      <c r="J4021" s="17">
        <f>IF(B4021="","","touch_1; "&amp;IFERROR(INDEX(Clay_Brands!$A$2:$FZ$601,570,Sync!$D$10)&amp;"","")&amp;"; "&amp;IFERROR(INDEX(Clay_Brands!$A$2:$FZ$601,570,Sync!$D$9)&amp;"",""))</f>
        <v/>
      </c>
      <c r="K4021" t="inlineStr">
        <is>
          <t>brand outreach touch 1</t>
        </is>
      </c>
    </row>
    <row r="4022">
      <c r="A4022" s="17">
        <f>IF(B4022="","",B4022+(15*1000+571)/10000000)</f>
        <v/>
      </c>
      <c r="B4022" s="23">
        <f>IF(AND(IFERROR(N(INDEX(Clay_Brands!$A$2:$FZ$601,571,Sync!$D$11)),0)&gt;0,IFERROR(INDEX(Clay_Brands!$A$2:$FZ$601,571,Sync!$D$5)&amp;"","")&lt;&gt;"",OR(LEFT(IFERROR(INDEX(Clay_Brands!$A$2:$FZ$601,571,Sync!$D$5)&amp;"",""),6)&lt;&gt;"SAMPLE",Config!$B$19="Y")),IFERROR(N(INDEX(Clay_Brands!$A$2:$FZ$601,571,Sync!$D$11)),0),"")</f>
        <v/>
      </c>
      <c r="C4022" s="17">
        <f>IF(B4022="","","brand")</f>
        <v/>
      </c>
      <c r="D4022" s="17">
        <f>IF(B4022="","",IFERROR(INDEX(Clay_Brands!$A$2:$FZ$601,571,Sync!$D$5)&amp;"",""))</f>
        <v/>
      </c>
      <c r="E4022" s="17">
        <f>IF(B4022="","",IFERROR(INDEX(Clay_Brands!$A$2:$FZ$601,571,Sync!$D$6)&amp;"",""))</f>
        <v/>
      </c>
      <c r="F4022" s="17">
        <f>IF(B4022="","","outreach_sent")</f>
        <v/>
      </c>
      <c r="G4022" s="17">
        <f>IF(B4022="","","")</f>
        <v/>
      </c>
      <c r="H4022" s="17">
        <f>IF(B4022="","","")</f>
        <v/>
      </c>
      <c r="I4022" s="17">
        <f>IF(B4022="","","")</f>
        <v/>
      </c>
      <c r="J4022" s="17">
        <f>IF(B4022="","","touch_1; "&amp;IFERROR(INDEX(Clay_Brands!$A$2:$FZ$601,571,Sync!$D$10)&amp;"","")&amp;"; "&amp;IFERROR(INDEX(Clay_Brands!$A$2:$FZ$601,571,Sync!$D$9)&amp;"",""))</f>
        <v/>
      </c>
      <c r="K4022" t="inlineStr">
        <is>
          <t>brand outreach touch 1</t>
        </is>
      </c>
    </row>
    <row r="4023">
      <c r="A4023" s="17">
        <f>IF(B4023="","",B4023+(15*1000+572)/10000000)</f>
        <v/>
      </c>
      <c r="B4023" s="23">
        <f>IF(AND(IFERROR(N(INDEX(Clay_Brands!$A$2:$FZ$601,572,Sync!$D$11)),0)&gt;0,IFERROR(INDEX(Clay_Brands!$A$2:$FZ$601,572,Sync!$D$5)&amp;"","")&lt;&gt;"",OR(LEFT(IFERROR(INDEX(Clay_Brands!$A$2:$FZ$601,572,Sync!$D$5)&amp;"",""),6)&lt;&gt;"SAMPLE",Config!$B$19="Y")),IFERROR(N(INDEX(Clay_Brands!$A$2:$FZ$601,572,Sync!$D$11)),0),"")</f>
        <v/>
      </c>
      <c r="C4023" s="17">
        <f>IF(B4023="","","brand")</f>
        <v/>
      </c>
      <c r="D4023" s="17">
        <f>IF(B4023="","",IFERROR(INDEX(Clay_Brands!$A$2:$FZ$601,572,Sync!$D$5)&amp;"",""))</f>
        <v/>
      </c>
      <c r="E4023" s="17">
        <f>IF(B4023="","",IFERROR(INDEX(Clay_Brands!$A$2:$FZ$601,572,Sync!$D$6)&amp;"",""))</f>
        <v/>
      </c>
      <c r="F4023" s="17">
        <f>IF(B4023="","","outreach_sent")</f>
        <v/>
      </c>
      <c r="G4023" s="17">
        <f>IF(B4023="","","")</f>
        <v/>
      </c>
      <c r="H4023" s="17">
        <f>IF(B4023="","","")</f>
        <v/>
      </c>
      <c r="I4023" s="17">
        <f>IF(B4023="","","")</f>
        <v/>
      </c>
      <c r="J4023" s="17">
        <f>IF(B4023="","","touch_1; "&amp;IFERROR(INDEX(Clay_Brands!$A$2:$FZ$601,572,Sync!$D$10)&amp;"","")&amp;"; "&amp;IFERROR(INDEX(Clay_Brands!$A$2:$FZ$601,572,Sync!$D$9)&amp;"",""))</f>
        <v/>
      </c>
      <c r="K4023" t="inlineStr">
        <is>
          <t>brand outreach touch 1</t>
        </is>
      </c>
    </row>
    <row r="4024">
      <c r="A4024" s="17">
        <f>IF(B4024="","",B4024+(15*1000+573)/10000000)</f>
        <v/>
      </c>
      <c r="B4024" s="23">
        <f>IF(AND(IFERROR(N(INDEX(Clay_Brands!$A$2:$FZ$601,573,Sync!$D$11)),0)&gt;0,IFERROR(INDEX(Clay_Brands!$A$2:$FZ$601,573,Sync!$D$5)&amp;"","")&lt;&gt;"",OR(LEFT(IFERROR(INDEX(Clay_Brands!$A$2:$FZ$601,573,Sync!$D$5)&amp;"",""),6)&lt;&gt;"SAMPLE",Config!$B$19="Y")),IFERROR(N(INDEX(Clay_Brands!$A$2:$FZ$601,573,Sync!$D$11)),0),"")</f>
        <v/>
      </c>
      <c r="C4024" s="17">
        <f>IF(B4024="","","brand")</f>
        <v/>
      </c>
      <c r="D4024" s="17">
        <f>IF(B4024="","",IFERROR(INDEX(Clay_Brands!$A$2:$FZ$601,573,Sync!$D$5)&amp;"",""))</f>
        <v/>
      </c>
      <c r="E4024" s="17">
        <f>IF(B4024="","",IFERROR(INDEX(Clay_Brands!$A$2:$FZ$601,573,Sync!$D$6)&amp;"",""))</f>
        <v/>
      </c>
      <c r="F4024" s="17">
        <f>IF(B4024="","","outreach_sent")</f>
        <v/>
      </c>
      <c r="G4024" s="17">
        <f>IF(B4024="","","")</f>
        <v/>
      </c>
      <c r="H4024" s="17">
        <f>IF(B4024="","","")</f>
        <v/>
      </c>
      <c r="I4024" s="17">
        <f>IF(B4024="","","")</f>
        <v/>
      </c>
      <c r="J4024" s="17">
        <f>IF(B4024="","","touch_1; "&amp;IFERROR(INDEX(Clay_Brands!$A$2:$FZ$601,573,Sync!$D$10)&amp;"","")&amp;"; "&amp;IFERROR(INDEX(Clay_Brands!$A$2:$FZ$601,573,Sync!$D$9)&amp;"",""))</f>
        <v/>
      </c>
      <c r="K4024" t="inlineStr">
        <is>
          <t>brand outreach touch 1</t>
        </is>
      </c>
    </row>
    <row r="4025">
      <c r="A4025" s="17">
        <f>IF(B4025="","",B4025+(15*1000+574)/10000000)</f>
        <v/>
      </c>
      <c r="B4025" s="23">
        <f>IF(AND(IFERROR(N(INDEX(Clay_Brands!$A$2:$FZ$601,574,Sync!$D$11)),0)&gt;0,IFERROR(INDEX(Clay_Brands!$A$2:$FZ$601,574,Sync!$D$5)&amp;"","")&lt;&gt;"",OR(LEFT(IFERROR(INDEX(Clay_Brands!$A$2:$FZ$601,574,Sync!$D$5)&amp;"",""),6)&lt;&gt;"SAMPLE",Config!$B$19="Y")),IFERROR(N(INDEX(Clay_Brands!$A$2:$FZ$601,574,Sync!$D$11)),0),"")</f>
        <v/>
      </c>
      <c r="C4025" s="17">
        <f>IF(B4025="","","brand")</f>
        <v/>
      </c>
      <c r="D4025" s="17">
        <f>IF(B4025="","",IFERROR(INDEX(Clay_Brands!$A$2:$FZ$601,574,Sync!$D$5)&amp;"",""))</f>
        <v/>
      </c>
      <c r="E4025" s="17">
        <f>IF(B4025="","",IFERROR(INDEX(Clay_Brands!$A$2:$FZ$601,574,Sync!$D$6)&amp;"",""))</f>
        <v/>
      </c>
      <c r="F4025" s="17">
        <f>IF(B4025="","","outreach_sent")</f>
        <v/>
      </c>
      <c r="G4025" s="17">
        <f>IF(B4025="","","")</f>
        <v/>
      </c>
      <c r="H4025" s="17">
        <f>IF(B4025="","","")</f>
        <v/>
      </c>
      <c r="I4025" s="17">
        <f>IF(B4025="","","")</f>
        <v/>
      </c>
      <c r="J4025" s="17">
        <f>IF(B4025="","","touch_1; "&amp;IFERROR(INDEX(Clay_Brands!$A$2:$FZ$601,574,Sync!$D$10)&amp;"","")&amp;"; "&amp;IFERROR(INDEX(Clay_Brands!$A$2:$FZ$601,574,Sync!$D$9)&amp;"",""))</f>
        <v/>
      </c>
      <c r="K4025" t="inlineStr">
        <is>
          <t>brand outreach touch 1</t>
        </is>
      </c>
    </row>
    <row r="4026">
      <c r="A4026" s="17">
        <f>IF(B4026="","",B4026+(15*1000+575)/10000000)</f>
        <v/>
      </c>
      <c r="B4026" s="23">
        <f>IF(AND(IFERROR(N(INDEX(Clay_Brands!$A$2:$FZ$601,575,Sync!$D$11)),0)&gt;0,IFERROR(INDEX(Clay_Brands!$A$2:$FZ$601,575,Sync!$D$5)&amp;"","")&lt;&gt;"",OR(LEFT(IFERROR(INDEX(Clay_Brands!$A$2:$FZ$601,575,Sync!$D$5)&amp;"",""),6)&lt;&gt;"SAMPLE",Config!$B$19="Y")),IFERROR(N(INDEX(Clay_Brands!$A$2:$FZ$601,575,Sync!$D$11)),0),"")</f>
        <v/>
      </c>
      <c r="C4026" s="17">
        <f>IF(B4026="","","brand")</f>
        <v/>
      </c>
      <c r="D4026" s="17">
        <f>IF(B4026="","",IFERROR(INDEX(Clay_Brands!$A$2:$FZ$601,575,Sync!$D$5)&amp;"",""))</f>
        <v/>
      </c>
      <c r="E4026" s="17">
        <f>IF(B4026="","",IFERROR(INDEX(Clay_Brands!$A$2:$FZ$601,575,Sync!$D$6)&amp;"",""))</f>
        <v/>
      </c>
      <c r="F4026" s="17">
        <f>IF(B4026="","","outreach_sent")</f>
        <v/>
      </c>
      <c r="G4026" s="17">
        <f>IF(B4026="","","")</f>
        <v/>
      </c>
      <c r="H4026" s="17">
        <f>IF(B4026="","","")</f>
        <v/>
      </c>
      <c r="I4026" s="17">
        <f>IF(B4026="","","")</f>
        <v/>
      </c>
      <c r="J4026" s="17">
        <f>IF(B4026="","","touch_1; "&amp;IFERROR(INDEX(Clay_Brands!$A$2:$FZ$601,575,Sync!$D$10)&amp;"","")&amp;"; "&amp;IFERROR(INDEX(Clay_Brands!$A$2:$FZ$601,575,Sync!$D$9)&amp;"",""))</f>
        <v/>
      </c>
      <c r="K4026" t="inlineStr">
        <is>
          <t>brand outreach touch 1</t>
        </is>
      </c>
    </row>
    <row r="4027">
      <c r="A4027" s="17">
        <f>IF(B4027="","",B4027+(15*1000+576)/10000000)</f>
        <v/>
      </c>
      <c r="B4027" s="23">
        <f>IF(AND(IFERROR(N(INDEX(Clay_Brands!$A$2:$FZ$601,576,Sync!$D$11)),0)&gt;0,IFERROR(INDEX(Clay_Brands!$A$2:$FZ$601,576,Sync!$D$5)&amp;"","")&lt;&gt;"",OR(LEFT(IFERROR(INDEX(Clay_Brands!$A$2:$FZ$601,576,Sync!$D$5)&amp;"",""),6)&lt;&gt;"SAMPLE",Config!$B$19="Y")),IFERROR(N(INDEX(Clay_Brands!$A$2:$FZ$601,576,Sync!$D$11)),0),"")</f>
        <v/>
      </c>
      <c r="C4027" s="17">
        <f>IF(B4027="","","brand")</f>
        <v/>
      </c>
      <c r="D4027" s="17">
        <f>IF(B4027="","",IFERROR(INDEX(Clay_Brands!$A$2:$FZ$601,576,Sync!$D$5)&amp;"",""))</f>
        <v/>
      </c>
      <c r="E4027" s="17">
        <f>IF(B4027="","",IFERROR(INDEX(Clay_Brands!$A$2:$FZ$601,576,Sync!$D$6)&amp;"",""))</f>
        <v/>
      </c>
      <c r="F4027" s="17">
        <f>IF(B4027="","","outreach_sent")</f>
        <v/>
      </c>
      <c r="G4027" s="17">
        <f>IF(B4027="","","")</f>
        <v/>
      </c>
      <c r="H4027" s="17">
        <f>IF(B4027="","","")</f>
        <v/>
      </c>
      <c r="I4027" s="17">
        <f>IF(B4027="","","")</f>
        <v/>
      </c>
      <c r="J4027" s="17">
        <f>IF(B4027="","","touch_1; "&amp;IFERROR(INDEX(Clay_Brands!$A$2:$FZ$601,576,Sync!$D$10)&amp;"","")&amp;"; "&amp;IFERROR(INDEX(Clay_Brands!$A$2:$FZ$601,576,Sync!$D$9)&amp;"",""))</f>
        <v/>
      </c>
      <c r="K4027" t="inlineStr">
        <is>
          <t>brand outreach touch 1</t>
        </is>
      </c>
    </row>
    <row r="4028">
      <c r="A4028" s="17">
        <f>IF(B4028="","",B4028+(15*1000+577)/10000000)</f>
        <v/>
      </c>
      <c r="B4028" s="23">
        <f>IF(AND(IFERROR(N(INDEX(Clay_Brands!$A$2:$FZ$601,577,Sync!$D$11)),0)&gt;0,IFERROR(INDEX(Clay_Brands!$A$2:$FZ$601,577,Sync!$D$5)&amp;"","")&lt;&gt;"",OR(LEFT(IFERROR(INDEX(Clay_Brands!$A$2:$FZ$601,577,Sync!$D$5)&amp;"",""),6)&lt;&gt;"SAMPLE",Config!$B$19="Y")),IFERROR(N(INDEX(Clay_Brands!$A$2:$FZ$601,577,Sync!$D$11)),0),"")</f>
        <v/>
      </c>
      <c r="C4028" s="17">
        <f>IF(B4028="","","brand")</f>
        <v/>
      </c>
      <c r="D4028" s="17">
        <f>IF(B4028="","",IFERROR(INDEX(Clay_Brands!$A$2:$FZ$601,577,Sync!$D$5)&amp;"",""))</f>
        <v/>
      </c>
      <c r="E4028" s="17">
        <f>IF(B4028="","",IFERROR(INDEX(Clay_Brands!$A$2:$FZ$601,577,Sync!$D$6)&amp;"",""))</f>
        <v/>
      </c>
      <c r="F4028" s="17">
        <f>IF(B4028="","","outreach_sent")</f>
        <v/>
      </c>
      <c r="G4028" s="17">
        <f>IF(B4028="","","")</f>
        <v/>
      </c>
      <c r="H4028" s="17">
        <f>IF(B4028="","","")</f>
        <v/>
      </c>
      <c r="I4028" s="17">
        <f>IF(B4028="","","")</f>
        <v/>
      </c>
      <c r="J4028" s="17">
        <f>IF(B4028="","","touch_1; "&amp;IFERROR(INDEX(Clay_Brands!$A$2:$FZ$601,577,Sync!$D$10)&amp;"","")&amp;"; "&amp;IFERROR(INDEX(Clay_Brands!$A$2:$FZ$601,577,Sync!$D$9)&amp;"",""))</f>
        <v/>
      </c>
      <c r="K4028" t="inlineStr">
        <is>
          <t>brand outreach touch 1</t>
        </is>
      </c>
    </row>
    <row r="4029">
      <c r="A4029" s="17">
        <f>IF(B4029="","",B4029+(15*1000+578)/10000000)</f>
        <v/>
      </c>
      <c r="B4029" s="23">
        <f>IF(AND(IFERROR(N(INDEX(Clay_Brands!$A$2:$FZ$601,578,Sync!$D$11)),0)&gt;0,IFERROR(INDEX(Clay_Brands!$A$2:$FZ$601,578,Sync!$D$5)&amp;"","")&lt;&gt;"",OR(LEFT(IFERROR(INDEX(Clay_Brands!$A$2:$FZ$601,578,Sync!$D$5)&amp;"",""),6)&lt;&gt;"SAMPLE",Config!$B$19="Y")),IFERROR(N(INDEX(Clay_Brands!$A$2:$FZ$601,578,Sync!$D$11)),0),"")</f>
        <v/>
      </c>
      <c r="C4029" s="17">
        <f>IF(B4029="","","brand")</f>
        <v/>
      </c>
      <c r="D4029" s="17">
        <f>IF(B4029="","",IFERROR(INDEX(Clay_Brands!$A$2:$FZ$601,578,Sync!$D$5)&amp;"",""))</f>
        <v/>
      </c>
      <c r="E4029" s="17">
        <f>IF(B4029="","",IFERROR(INDEX(Clay_Brands!$A$2:$FZ$601,578,Sync!$D$6)&amp;"",""))</f>
        <v/>
      </c>
      <c r="F4029" s="17">
        <f>IF(B4029="","","outreach_sent")</f>
        <v/>
      </c>
      <c r="G4029" s="17">
        <f>IF(B4029="","","")</f>
        <v/>
      </c>
      <c r="H4029" s="17">
        <f>IF(B4029="","","")</f>
        <v/>
      </c>
      <c r="I4029" s="17">
        <f>IF(B4029="","","")</f>
        <v/>
      </c>
      <c r="J4029" s="17">
        <f>IF(B4029="","","touch_1; "&amp;IFERROR(INDEX(Clay_Brands!$A$2:$FZ$601,578,Sync!$D$10)&amp;"","")&amp;"; "&amp;IFERROR(INDEX(Clay_Brands!$A$2:$FZ$601,578,Sync!$D$9)&amp;"",""))</f>
        <v/>
      </c>
      <c r="K4029" t="inlineStr">
        <is>
          <t>brand outreach touch 1</t>
        </is>
      </c>
    </row>
    <row r="4030">
      <c r="A4030" s="17">
        <f>IF(B4030="","",B4030+(15*1000+579)/10000000)</f>
        <v/>
      </c>
      <c r="B4030" s="23">
        <f>IF(AND(IFERROR(N(INDEX(Clay_Brands!$A$2:$FZ$601,579,Sync!$D$11)),0)&gt;0,IFERROR(INDEX(Clay_Brands!$A$2:$FZ$601,579,Sync!$D$5)&amp;"","")&lt;&gt;"",OR(LEFT(IFERROR(INDEX(Clay_Brands!$A$2:$FZ$601,579,Sync!$D$5)&amp;"",""),6)&lt;&gt;"SAMPLE",Config!$B$19="Y")),IFERROR(N(INDEX(Clay_Brands!$A$2:$FZ$601,579,Sync!$D$11)),0),"")</f>
        <v/>
      </c>
      <c r="C4030" s="17">
        <f>IF(B4030="","","brand")</f>
        <v/>
      </c>
      <c r="D4030" s="17">
        <f>IF(B4030="","",IFERROR(INDEX(Clay_Brands!$A$2:$FZ$601,579,Sync!$D$5)&amp;"",""))</f>
        <v/>
      </c>
      <c r="E4030" s="17">
        <f>IF(B4030="","",IFERROR(INDEX(Clay_Brands!$A$2:$FZ$601,579,Sync!$D$6)&amp;"",""))</f>
        <v/>
      </c>
      <c r="F4030" s="17">
        <f>IF(B4030="","","outreach_sent")</f>
        <v/>
      </c>
      <c r="G4030" s="17">
        <f>IF(B4030="","","")</f>
        <v/>
      </c>
      <c r="H4030" s="17">
        <f>IF(B4030="","","")</f>
        <v/>
      </c>
      <c r="I4030" s="17">
        <f>IF(B4030="","","")</f>
        <v/>
      </c>
      <c r="J4030" s="17">
        <f>IF(B4030="","","touch_1; "&amp;IFERROR(INDEX(Clay_Brands!$A$2:$FZ$601,579,Sync!$D$10)&amp;"","")&amp;"; "&amp;IFERROR(INDEX(Clay_Brands!$A$2:$FZ$601,579,Sync!$D$9)&amp;"",""))</f>
        <v/>
      </c>
      <c r="K4030" t="inlineStr">
        <is>
          <t>brand outreach touch 1</t>
        </is>
      </c>
    </row>
    <row r="4031">
      <c r="A4031" s="17">
        <f>IF(B4031="","",B4031+(15*1000+580)/10000000)</f>
        <v/>
      </c>
      <c r="B4031" s="23">
        <f>IF(AND(IFERROR(N(INDEX(Clay_Brands!$A$2:$FZ$601,580,Sync!$D$11)),0)&gt;0,IFERROR(INDEX(Clay_Brands!$A$2:$FZ$601,580,Sync!$D$5)&amp;"","")&lt;&gt;"",OR(LEFT(IFERROR(INDEX(Clay_Brands!$A$2:$FZ$601,580,Sync!$D$5)&amp;"",""),6)&lt;&gt;"SAMPLE",Config!$B$19="Y")),IFERROR(N(INDEX(Clay_Brands!$A$2:$FZ$601,580,Sync!$D$11)),0),"")</f>
        <v/>
      </c>
      <c r="C4031" s="17">
        <f>IF(B4031="","","brand")</f>
        <v/>
      </c>
      <c r="D4031" s="17">
        <f>IF(B4031="","",IFERROR(INDEX(Clay_Brands!$A$2:$FZ$601,580,Sync!$D$5)&amp;"",""))</f>
        <v/>
      </c>
      <c r="E4031" s="17">
        <f>IF(B4031="","",IFERROR(INDEX(Clay_Brands!$A$2:$FZ$601,580,Sync!$D$6)&amp;"",""))</f>
        <v/>
      </c>
      <c r="F4031" s="17">
        <f>IF(B4031="","","outreach_sent")</f>
        <v/>
      </c>
      <c r="G4031" s="17">
        <f>IF(B4031="","","")</f>
        <v/>
      </c>
      <c r="H4031" s="17">
        <f>IF(B4031="","","")</f>
        <v/>
      </c>
      <c r="I4031" s="17">
        <f>IF(B4031="","","")</f>
        <v/>
      </c>
      <c r="J4031" s="17">
        <f>IF(B4031="","","touch_1; "&amp;IFERROR(INDEX(Clay_Brands!$A$2:$FZ$601,580,Sync!$D$10)&amp;"","")&amp;"; "&amp;IFERROR(INDEX(Clay_Brands!$A$2:$FZ$601,580,Sync!$D$9)&amp;"",""))</f>
        <v/>
      </c>
      <c r="K4031" t="inlineStr">
        <is>
          <t>brand outreach touch 1</t>
        </is>
      </c>
    </row>
    <row r="4032">
      <c r="A4032" s="17">
        <f>IF(B4032="","",B4032+(15*1000+581)/10000000)</f>
        <v/>
      </c>
      <c r="B4032" s="23">
        <f>IF(AND(IFERROR(N(INDEX(Clay_Brands!$A$2:$FZ$601,581,Sync!$D$11)),0)&gt;0,IFERROR(INDEX(Clay_Brands!$A$2:$FZ$601,581,Sync!$D$5)&amp;"","")&lt;&gt;"",OR(LEFT(IFERROR(INDEX(Clay_Brands!$A$2:$FZ$601,581,Sync!$D$5)&amp;"",""),6)&lt;&gt;"SAMPLE",Config!$B$19="Y")),IFERROR(N(INDEX(Clay_Brands!$A$2:$FZ$601,581,Sync!$D$11)),0),"")</f>
        <v/>
      </c>
      <c r="C4032" s="17">
        <f>IF(B4032="","","brand")</f>
        <v/>
      </c>
      <c r="D4032" s="17">
        <f>IF(B4032="","",IFERROR(INDEX(Clay_Brands!$A$2:$FZ$601,581,Sync!$D$5)&amp;"",""))</f>
        <v/>
      </c>
      <c r="E4032" s="17">
        <f>IF(B4032="","",IFERROR(INDEX(Clay_Brands!$A$2:$FZ$601,581,Sync!$D$6)&amp;"",""))</f>
        <v/>
      </c>
      <c r="F4032" s="17">
        <f>IF(B4032="","","outreach_sent")</f>
        <v/>
      </c>
      <c r="G4032" s="17">
        <f>IF(B4032="","","")</f>
        <v/>
      </c>
      <c r="H4032" s="17">
        <f>IF(B4032="","","")</f>
        <v/>
      </c>
      <c r="I4032" s="17">
        <f>IF(B4032="","","")</f>
        <v/>
      </c>
      <c r="J4032" s="17">
        <f>IF(B4032="","","touch_1; "&amp;IFERROR(INDEX(Clay_Brands!$A$2:$FZ$601,581,Sync!$D$10)&amp;"","")&amp;"; "&amp;IFERROR(INDEX(Clay_Brands!$A$2:$FZ$601,581,Sync!$D$9)&amp;"",""))</f>
        <v/>
      </c>
      <c r="K4032" t="inlineStr">
        <is>
          <t>brand outreach touch 1</t>
        </is>
      </c>
    </row>
    <row r="4033">
      <c r="A4033" s="17">
        <f>IF(B4033="","",B4033+(15*1000+582)/10000000)</f>
        <v/>
      </c>
      <c r="B4033" s="23">
        <f>IF(AND(IFERROR(N(INDEX(Clay_Brands!$A$2:$FZ$601,582,Sync!$D$11)),0)&gt;0,IFERROR(INDEX(Clay_Brands!$A$2:$FZ$601,582,Sync!$D$5)&amp;"","")&lt;&gt;"",OR(LEFT(IFERROR(INDEX(Clay_Brands!$A$2:$FZ$601,582,Sync!$D$5)&amp;"",""),6)&lt;&gt;"SAMPLE",Config!$B$19="Y")),IFERROR(N(INDEX(Clay_Brands!$A$2:$FZ$601,582,Sync!$D$11)),0),"")</f>
        <v/>
      </c>
      <c r="C4033" s="17">
        <f>IF(B4033="","","brand")</f>
        <v/>
      </c>
      <c r="D4033" s="17">
        <f>IF(B4033="","",IFERROR(INDEX(Clay_Brands!$A$2:$FZ$601,582,Sync!$D$5)&amp;"",""))</f>
        <v/>
      </c>
      <c r="E4033" s="17">
        <f>IF(B4033="","",IFERROR(INDEX(Clay_Brands!$A$2:$FZ$601,582,Sync!$D$6)&amp;"",""))</f>
        <v/>
      </c>
      <c r="F4033" s="17">
        <f>IF(B4033="","","outreach_sent")</f>
        <v/>
      </c>
      <c r="G4033" s="17">
        <f>IF(B4033="","","")</f>
        <v/>
      </c>
      <c r="H4033" s="17">
        <f>IF(B4033="","","")</f>
        <v/>
      </c>
      <c r="I4033" s="17">
        <f>IF(B4033="","","")</f>
        <v/>
      </c>
      <c r="J4033" s="17">
        <f>IF(B4033="","","touch_1; "&amp;IFERROR(INDEX(Clay_Brands!$A$2:$FZ$601,582,Sync!$D$10)&amp;"","")&amp;"; "&amp;IFERROR(INDEX(Clay_Brands!$A$2:$FZ$601,582,Sync!$D$9)&amp;"",""))</f>
        <v/>
      </c>
      <c r="K4033" t="inlineStr">
        <is>
          <t>brand outreach touch 1</t>
        </is>
      </c>
    </row>
    <row r="4034">
      <c r="A4034" s="17">
        <f>IF(B4034="","",B4034+(15*1000+583)/10000000)</f>
        <v/>
      </c>
      <c r="B4034" s="23">
        <f>IF(AND(IFERROR(N(INDEX(Clay_Brands!$A$2:$FZ$601,583,Sync!$D$11)),0)&gt;0,IFERROR(INDEX(Clay_Brands!$A$2:$FZ$601,583,Sync!$D$5)&amp;"","")&lt;&gt;"",OR(LEFT(IFERROR(INDEX(Clay_Brands!$A$2:$FZ$601,583,Sync!$D$5)&amp;"",""),6)&lt;&gt;"SAMPLE",Config!$B$19="Y")),IFERROR(N(INDEX(Clay_Brands!$A$2:$FZ$601,583,Sync!$D$11)),0),"")</f>
        <v/>
      </c>
      <c r="C4034" s="17">
        <f>IF(B4034="","","brand")</f>
        <v/>
      </c>
      <c r="D4034" s="17">
        <f>IF(B4034="","",IFERROR(INDEX(Clay_Brands!$A$2:$FZ$601,583,Sync!$D$5)&amp;"",""))</f>
        <v/>
      </c>
      <c r="E4034" s="17">
        <f>IF(B4034="","",IFERROR(INDEX(Clay_Brands!$A$2:$FZ$601,583,Sync!$D$6)&amp;"",""))</f>
        <v/>
      </c>
      <c r="F4034" s="17">
        <f>IF(B4034="","","outreach_sent")</f>
        <v/>
      </c>
      <c r="G4034" s="17">
        <f>IF(B4034="","","")</f>
        <v/>
      </c>
      <c r="H4034" s="17">
        <f>IF(B4034="","","")</f>
        <v/>
      </c>
      <c r="I4034" s="17">
        <f>IF(B4034="","","")</f>
        <v/>
      </c>
      <c r="J4034" s="17">
        <f>IF(B4034="","","touch_1; "&amp;IFERROR(INDEX(Clay_Brands!$A$2:$FZ$601,583,Sync!$D$10)&amp;"","")&amp;"; "&amp;IFERROR(INDEX(Clay_Brands!$A$2:$FZ$601,583,Sync!$D$9)&amp;"",""))</f>
        <v/>
      </c>
      <c r="K4034" t="inlineStr">
        <is>
          <t>brand outreach touch 1</t>
        </is>
      </c>
    </row>
    <row r="4035">
      <c r="A4035" s="17">
        <f>IF(B4035="","",B4035+(15*1000+584)/10000000)</f>
        <v/>
      </c>
      <c r="B4035" s="23">
        <f>IF(AND(IFERROR(N(INDEX(Clay_Brands!$A$2:$FZ$601,584,Sync!$D$11)),0)&gt;0,IFERROR(INDEX(Clay_Brands!$A$2:$FZ$601,584,Sync!$D$5)&amp;"","")&lt;&gt;"",OR(LEFT(IFERROR(INDEX(Clay_Brands!$A$2:$FZ$601,584,Sync!$D$5)&amp;"",""),6)&lt;&gt;"SAMPLE",Config!$B$19="Y")),IFERROR(N(INDEX(Clay_Brands!$A$2:$FZ$601,584,Sync!$D$11)),0),"")</f>
        <v/>
      </c>
      <c r="C4035" s="17">
        <f>IF(B4035="","","brand")</f>
        <v/>
      </c>
      <c r="D4035" s="17">
        <f>IF(B4035="","",IFERROR(INDEX(Clay_Brands!$A$2:$FZ$601,584,Sync!$D$5)&amp;"",""))</f>
        <v/>
      </c>
      <c r="E4035" s="17">
        <f>IF(B4035="","",IFERROR(INDEX(Clay_Brands!$A$2:$FZ$601,584,Sync!$D$6)&amp;"",""))</f>
        <v/>
      </c>
      <c r="F4035" s="17">
        <f>IF(B4035="","","outreach_sent")</f>
        <v/>
      </c>
      <c r="G4035" s="17">
        <f>IF(B4035="","","")</f>
        <v/>
      </c>
      <c r="H4035" s="17">
        <f>IF(B4035="","","")</f>
        <v/>
      </c>
      <c r="I4035" s="17">
        <f>IF(B4035="","","")</f>
        <v/>
      </c>
      <c r="J4035" s="17">
        <f>IF(B4035="","","touch_1; "&amp;IFERROR(INDEX(Clay_Brands!$A$2:$FZ$601,584,Sync!$D$10)&amp;"","")&amp;"; "&amp;IFERROR(INDEX(Clay_Brands!$A$2:$FZ$601,584,Sync!$D$9)&amp;"",""))</f>
        <v/>
      </c>
      <c r="K4035" t="inlineStr">
        <is>
          <t>brand outreach touch 1</t>
        </is>
      </c>
    </row>
    <row r="4036">
      <c r="A4036" s="17">
        <f>IF(B4036="","",B4036+(15*1000+585)/10000000)</f>
        <v/>
      </c>
      <c r="B4036" s="23">
        <f>IF(AND(IFERROR(N(INDEX(Clay_Brands!$A$2:$FZ$601,585,Sync!$D$11)),0)&gt;0,IFERROR(INDEX(Clay_Brands!$A$2:$FZ$601,585,Sync!$D$5)&amp;"","")&lt;&gt;"",OR(LEFT(IFERROR(INDEX(Clay_Brands!$A$2:$FZ$601,585,Sync!$D$5)&amp;"",""),6)&lt;&gt;"SAMPLE",Config!$B$19="Y")),IFERROR(N(INDEX(Clay_Brands!$A$2:$FZ$601,585,Sync!$D$11)),0),"")</f>
        <v/>
      </c>
      <c r="C4036" s="17">
        <f>IF(B4036="","","brand")</f>
        <v/>
      </c>
      <c r="D4036" s="17">
        <f>IF(B4036="","",IFERROR(INDEX(Clay_Brands!$A$2:$FZ$601,585,Sync!$D$5)&amp;"",""))</f>
        <v/>
      </c>
      <c r="E4036" s="17">
        <f>IF(B4036="","",IFERROR(INDEX(Clay_Brands!$A$2:$FZ$601,585,Sync!$D$6)&amp;"",""))</f>
        <v/>
      </c>
      <c r="F4036" s="17">
        <f>IF(B4036="","","outreach_sent")</f>
        <v/>
      </c>
      <c r="G4036" s="17">
        <f>IF(B4036="","","")</f>
        <v/>
      </c>
      <c r="H4036" s="17">
        <f>IF(B4036="","","")</f>
        <v/>
      </c>
      <c r="I4036" s="17">
        <f>IF(B4036="","","")</f>
        <v/>
      </c>
      <c r="J4036" s="17">
        <f>IF(B4036="","","touch_1; "&amp;IFERROR(INDEX(Clay_Brands!$A$2:$FZ$601,585,Sync!$D$10)&amp;"","")&amp;"; "&amp;IFERROR(INDEX(Clay_Brands!$A$2:$FZ$601,585,Sync!$D$9)&amp;"",""))</f>
        <v/>
      </c>
      <c r="K4036" t="inlineStr">
        <is>
          <t>brand outreach touch 1</t>
        </is>
      </c>
    </row>
    <row r="4037">
      <c r="A4037" s="17">
        <f>IF(B4037="","",B4037+(15*1000+586)/10000000)</f>
        <v/>
      </c>
      <c r="B4037" s="23">
        <f>IF(AND(IFERROR(N(INDEX(Clay_Brands!$A$2:$FZ$601,586,Sync!$D$11)),0)&gt;0,IFERROR(INDEX(Clay_Brands!$A$2:$FZ$601,586,Sync!$D$5)&amp;"","")&lt;&gt;"",OR(LEFT(IFERROR(INDEX(Clay_Brands!$A$2:$FZ$601,586,Sync!$D$5)&amp;"",""),6)&lt;&gt;"SAMPLE",Config!$B$19="Y")),IFERROR(N(INDEX(Clay_Brands!$A$2:$FZ$601,586,Sync!$D$11)),0),"")</f>
        <v/>
      </c>
      <c r="C4037" s="17">
        <f>IF(B4037="","","brand")</f>
        <v/>
      </c>
      <c r="D4037" s="17">
        <f>IF(B4037="","",IFERROR(INDEX(Clay_Brands!$A$2:$FZ$601,586,Sync!$D$5)&amp;"",""))</f>
        <v/>
      </c>
      <c r="E4037" s="17">
        <f>IF(B4037="","",IFERROR(INDEX(Clay_Brands!$A$2:$FZ$601,586,Sync!$D$6)&amp;"",""))</f>
        <v/>
      </c>
      <c r="F4037" s="17">
        <f>IF(B4037="","","outreach_sent")</f>
        <v/>
      </c>
      <c r="G4037" s="17">
        <f>IF(B4037="","","")</f>
        <v/>
      </c>
      <c r="H4037" s="17">
        <f>IF(B4037="","","")</f>
        <v/>
      </c>
      <c r="I4037" s="17">
        <f>IF(B4037="","","")</f>
        <v/>
      </c>
      <c r="J4037" s="17">
        <f>IF(B4037="","","touch_1; "&amp;IFERROR(INDEX(Clay_Brands!$A$2:$FZ$601,586,Sync!$D$10)&amp;"","")&amp;"; "&amp;IFERROR(INDEX(Clay_Brands!$A$2:$FZ$601,586,Sync!$D$9)&amp;"",""))</f>
        <v/>
      </c>
      <c r="K4037" t="inlineStr">
        <is>
          <t>brand outreach touch 1</t>
        </is>
      </c>
    </row>
    <row r="4038">
      <c r="A4038" s="17">
        <f>IF(B4038="","",B4038+(15*1000+587)/10000000)</f>
        <v/>
      </c>
      <c r="B4038" s="23">
        <f>IF(AND(IFERROR(N(INDEX(Clay_Brands!$A$2:$FZ$601,587,Sync!$D$11)),0)&gt;0,IFERROR(INDEX(Clay_Brands!$A$2:$FZ$601,587,Sync!$D$5)&amp;"","")&lt;&gt;"",OR(LEFT(IFERROR(INDEX(Clay_Brands!$A$2:$FZ$601,587,Sync!$D$5)&amp;"",""),6)&lt;&gt;"SAMPLE",Config!$B$19="Y")),IFERROR(N(INDEX(Clay_Brands!$A$2:$FZ$601,587,Sync!$D$11)),0),"")</f>
        <v/>
      </c>
      <c r="C4038" s="17">
        <f>IF(B4038="","","brand")</f>
        <v/>
      </c>
      <c r="D4038" s="17">
        <f>IF(B4038="","",IFERROR(INDEX(Clay_Brands!$A$2:$FZ$601,587,Sync!$D$5)&amp;"",""))</f>
        <v/>
      </c>
      <c r="E4038" s="17">
        <f>IF(B4038="","",IFERROR(INDEX(Clay_Brands!$A$2:$FZ$601,587,Sync!$D$6)&amp;"",""))</f>
        <v/>
      </c>
      <c r="F4038" s="17">
        <f>IF(B4038="","","outreach_sent")</f>
        <v/>
      </c>
      <c r="G4038" s="17">
        <f>IF(B4038="","","")</f>
        <v/>
      </c>
      <c r="H4038" s="17">
        <f>IF(B4038="","","")</f>
        <v/>
      </c>
      <c r="I4038" s="17">
        <f>IF(B4038="","","")</f>
        <v/>
      </c>
      <c r="J4038" s="17">
        <f>IF(B4038="","","touch_1; "&amp;IFERROR(INDEX(Clay_Brands!$A$2:$FZ$601,587,Sync!$D$10)&amp;"","")&amp;"; "&amp;IFERROR(INDEX(Clay_Brands!$A$2:$FZ$601,587,Sync!$D$9)&amp;"",""))</f>
        <v/>
      </c>
      <c r="K4038" t="inlineStr">
        <is>
          <t>brand outreach touch 1</t>
        </is>
      </c>
    </row>
    <row r="4039">
      <c r="A4039" s="17">
        <f>IF(B4039="","",B4039+(15*1000+588)/10000000)</f>
        <v/>
      </c>
      <c r="B4039" s="23">
        <f>IF(AND(IFERROR(N(INDEX(Clay_Brands!$A$2:$FZ$601,588,Sync!$D$11)),0)&gt;0,IFERROR(INDEX(Clay_Brands!$A$2:$FZ$601,588,Sync!$D$5)&amp;"","")&lt;&gt;"",OR(LEFT(IFERROR(INDEX(Clay_Brands!$A$2:$FZ$601,588,Sync!$D$5)&amp;"",""),6)&lt;&gt;"SAMPLE",Config!$B$19="Y")),IFERROR(N(INDEX(Clay_Brands!$A$2:$FZ$601,588,Sync!$D$11)),0),"")</f>
        <v/>
      </c>
      <c r="C4039" s="17">
        <f>IF(B4039="","","brand")</f>
        <v/>
      </c>
      <c r="D4039" s="17">
        <f>IF(B4039="","",IFERROR(INDEX(Clay_Brands!$A$2:$FZ$601,588,Sync!$D$5)&amp;"",""))</f>
        <v/>
      </c>
      <c r="E4039" s="17">
        <f>IF(B4039="","",IFERROR(INDEX(Clay_Brands!$A$2:$FZ$601,588,Sync!$D$6)&amp;"",""))</f>
        <v/>
      </c>
      <c r="F4039" s="17">
        <f>IF(B4039="","","outreach_sent")</f>
        <v/>
      </c>
      <c r="G4039" s="17">
        <f>IF(B4039="","","")</f>
        <v/>
      </c>
      <c r="H4039" s="17">
        <f>IF(B4039="","","")</f>
        <v/>
      </c>
      <c r="I4039" s="17">
        <f>IF(B4039="","","")</f>
        <v/>
      </c>
      <c r="J4039" s="17">
        <f>IF(B4039="","","touch_1; "&amp;IFERROR(INDEX(Clay_Brands!$A$2:$FZ$601,588,Sync!$D$10)&amp;"","")&amp;"; "&amp;IFERROR(INDEX(Clay_Brands!$A$2:$FZ$601,588,Sync!$D$9)&amp;"",""))</f>
        <v/>
      </c>
      <c r="K4039" t="inlineStr">
        <is>
          <t>brand outreach touch 1</t>
        </is>
      </c>
    </row>
    <row r="4040">
      <c r="A4040" s="17">
        <f>IF(B4040="","",B4040+(15*1000+589)/10000000)</f>
        <v/>
      </c>
      <c r="B4040" s="23">
        <f>IF(AND(IFERROR(N(INDEX(Clay_Brands!$A$2:$FZ$601,589,Sync!$D$11)),0)&gt;0,IFERROR(INDEX(Clay_Brands!$A$2:$FZ$601,589,Sync!$D$5)&amp;"","")&lt;&gt;"",OR(LEFT(IFERROR(INDEX(Clay_Brands!$A$2:$FZ$601,589,Sync!$D$5)&amp;"",""),6)&lt;&gt;"SAMPLE",Config!$B$19="Y")),IFERROR(N(INDEX(Clay_Brands!$A$2:$FZ$601,589,Sync!$D$11)),0),"")</f>
        <v/>
      </c>
      <c r="C4040" s="17">
        <f>IF(B4040="","","brand")</f>
        <v/>
      </c>
      <c r="D4040" s="17">
        <f>IF(B4040="","",IFERROR(INDEX(Clay_Brands!$A$2:$FZ$601,589,Sync!$D$5)&amp;"",""))</f>
        <v/>
      </c>
      <c r="E4040" s="17">
        <f>IF(B4040="","",IFERROR(INDEX(Clay_Brands!$A$2:$FZ$601,589,Sync!$D$6)&amp;"",""))</f>
        <v/>
      </c>
      <c r="F4040" s="17">
        <f>IF(B4040="","","outreach_sent")</f>
        <v/>
      </c>
      <c r="G4040" s="17">
        <f>IF(B4040="","","")</f>
        <v/>
      </c>
      <c r="H4040" s="17">
        <f>IF(B4040="","","")</f>
        <v/>
      </c>
      <c r="I4040" s="17">
        <f>IF(B4040="","","")</f>
        <v/>
      </c>
      <c r="J4040" s="17">
        <f>IF(B4040="","","touch_1; "&amp;IFERROR(INDEX(Clay_Brands!$A$2:$FZ$601,589,Sync!$D$10)&amp;"","")&amp;"; "&amp;IFERROR(INDEX(Clay_Brands!$A$2:$FZ$601,589,Sync!$D$9)&amp;"",""))</f>
        <v/>
      </c>
      <c r="K4040" t="inlineStr">
        <is>
          <t>brand outreach touch 1</t>
        </is>
      </c>
    </row>
    <row r="4041">
      <c r="A4041" s="17">
        <f>IF(B4041="","",B4041+(15*1000+590)/10000000)</f>
        <v/>
      </c>
      <c r="B4041" s="23">
        <f>IF(AND(IFERROR(N(INDEX(Clay_Brands!$A$2:$FZ$601,590,Sync!$D$11)),0)&gt;0,IFERROR(INDEX(Clay_Brands!$A$2:$FZ$601,590,Sync!$D$5)&amp;"","")&lt;&gt;"",OR(LEFT(IFERROR(INDEX(Clay_Brands!$A$2:$FZ$601,590,Sync!$D$5)&amp;"",""),6)&lt;&gt;"SAMPLE",Config!$B$19="Y")),IFERROR(N(INDEX(Clay_Brands!$A$2:$FZ$601,590,Sync!$D$11)),0),"")</f>
        <v/>
      </c>
      <c r="C4041" s="17">
        <f>IF(B4041="","","brand")</f>
        <v/>
      </c>
      <c r="D4041" s="17">
        <f>IF(B4041="","",IFERROR(INDEX(Clay_Brands!$A$2:$FZ$601,590,Sync!$D$5)&amp;"",""))</f>
        <v/>
      </c>
      <c r="E4041" s="17">
        <f>IF(B4041="","",IFERROR(INDEX(Clay_Brands!$A$2:$FZ$601,590,Sync!$D$6)&amp;"",""))</f>
        <v/>
      </c>
      <c r="F4041" s="17">
        <f>IF(B4041="","","outreach_sent")</f>
        <v/>
      </c>
      <c r="G4041" s="17">
        <f>IF(B4041="","","")</f>
        <v/>
      </c>
      <c r="H4041" s="17">
        <f>IF(B4041="","","")</f>
        <v/>
      </c>
      <c r="I4041" s="17">
        <f>IF(B4041="","","")</f>
        <v/>
      </c>
      <c r="J4041" s="17">
        <f>IF(B4041="","","touch_1; "&amp;IFERROR(INDEX(Clay_Brands!$A$2:$FZ$601,590,Sync!$D$10)&amp;"","")&amp;"; "&amp;IFERROR(INDEX(Clay_Brands!$A$2:$FZ$601,590,Sync!$D$9)&amp;"",""))</f>
        <v/>
      </c>
      <c r="K4041" t="inlineStr">
        <is>
          <t>brand outreach touch 1</t>
        </is>
      </c>
    </row>
    <row r="4042">
      <c r="A4042" s="17">
        <f>IF(B4042="","",B4042+(15*1000+591)/10000000)</f>
        <v/>
      </c>
      <c r="B4042" s="23">
        <f>IF(AND(IFERROR(N(INDEX(Clay_Brands!$A$2:$FZ$601,591,Sync!$D$11)),0)&gt;0,IFERROR(INDEX(Clay_Brands!$A$2:$FZ$601,591,Sync!$D$5)&amp;"","")&lt;&gt;"",OR(LEFT(IFERROR(INDEX(Clay_Brands!$A$2:$FZ$601,591,Sync!$D$5)&amp;"",""),6)&lt;&gt;"SAMPLE",Config!$B$19="Y")),IFERROR(N(INDEX(Clay_Brands!$A$2:$FZ$601,591,Sync!$D$11)),0),"")</f>
        <v/>
      </c>
      <c r="C4042" s="17">
        <f>IF(B4042="","","brand")</f>
        <v/>
      </c>
      <c r="D4042" s="17">
        <f>IF(B4042="","",IFERROR(INDEX(Clay_Brands!$A$2:$FZ$601,591,Sync!$D$5)&amp;"",""))</f>
        <v/>
      </c>
      <c r="E4042" s="17">
        <f>IF(B4042="","",IFERROR(INDEX(Clay_Brands!$A$2:$FZ$601,591,Sync!$D$6)&amp;"",""))</f>
        <v/>
      </c>
      <c r="F4042" s="17">
        <f>IF(B4042="","","outreach_sent")</f>
        <v/>
      </c>
      <c r="G4042" s="17">
        <f>IF(B4042="","","")</f>
        <v/>
      </c>
      <c r="H4042" s="17">
        <f>IF(B4042="","","")</f>
        <v/>
      </c>
      <c r="I4042" s="17">
        <f>IF(B4042="","","")</f>
        <v/>
      </c>
      <c r="J4042" s="17">
        <f>IF(B4042="","","touch_1; "&amp;IFERROR(INDEX(Clay_Brands!$A$2:$FZ$601,591,Sync!$D$10)&amp;"","")&amp;"; "&amp;IFERROR(INDEX(Clay_Brands!$A$2:$FZ$601,591,Sync!$D$9)&amp;"",""))</f>
        <v/>
      </c>
      <c r="K4042" t="inlineStr">
        <is>
          <t>brand outreach touch 1</t>
        </is>
      </c>
    </row>
    <row r="4043">
      <c r="A4043" s="17">
        <f>IF(B4043="","",B4043+(15*1000+592)/10000000)</f>
        <v/>
      </c>
      <c r="B4043" s="23">
        <f>IF(AND(IFERROR(N(INDEX(Clay_Brands!$A$2:$FZ$601,592,Sync!$D$11)),0)&gt;0,IFERROR(INDEX(Clay_Brands!$A$2:$FZ$601,592,Sync!$D$5)&amp;"","")&lt;&gt;"",OR(LEFT(IFERROR(INDEX(Clay_Brands!$A$2:$FZ$601,592,Sync!$D$5)&amp;"",""),6)&lt;&gt;"SAMPLE",Config!$B$19="Y")),IFERROR(N(INDEX(Clay_Brands!$A$2:$FZ$601,592,Sync!$D$11)),0),"")</f>
        <v/>
      </c>
      <c r="C4043" s="17">
        <f>IF(B4043="","","brand")</f>
        <v/>
      </c>
      <c r="D4043" s="17">
        <f>IF(B4043="","",IFERROR(INDEX(Clay_Brands!$A$2:$FZ$601,592,Sync!$D$5)&amp;"",""))</f>
        <v/>
      </c>
      <c r="E4043" s="17">
        <f>IF(B4043="","",IFERROR(INDEX(Clay_Brands!$A$2:$FZ$601,592,Sync!$D$6)&amp;"",""))</f>
        <v/>
      </c>
      <c r="F4043" s="17">
        <f>IF(B4043="","","outreach_sent")</f>
        <v/>
      </c>
      <c r="G4043" s="17">
        <f>IF(B4043="","","")</f>
        <v/>
      </c>
      <c r="H4043" s="17">
        <f>IF(B4043="","","")</f>
        <v/>
      </c>
      <c r="I4043" s="17">
        <f>IF(B4043="","","")</f>
        <v/>
      </c>
      <c r="J4043" s="17">
        <f>IF(B4043="","","touch_1; "&amp;IFERROR(INDEX(Clay_Brands!$A$2:$FZ$601,592,Sync!$D$10)&amp;"","")&amp;"; "&amp;IFERROR(INDEX(Clay_Brands!$A$2:$FZ$601,592,Sync!$D$9)&amp;"",""))</f>
        <v/>
      </c>
      <c r="K4043" t="inlineStr">
        <is>
          <t>brand outreach touch 1</t>
        </is>
      </c>
    </row>
    <row r="4044">
      <c r="A4044" s="17">
        <f>IF(B4044="","",B4044+(15*1000+593)/10000000)</f>
        <v/>
      </c>
      <c r="B4044" s="23">
        <f>IF(AND(IFERROR(N(INDEX(Clay_Brands!$A$2:$FZ$601,593,Sync!$D$11)),0)&gt;0,IFERROR(INDEX(Clay_Brands!$A$2:$FZ$601,593,Sync!$D$5)&amp;"","")&lt;&gt;"",OR(LEFT(IFERROR(INDEX(Clay_Brands!$A$2:$FZ$601,593,Sync!$D$5)&amp;"",""),6)&lt;&gt;"SAMPLE",Config!$B$19="Y")),IFERROR(N(INDEX(Clay_Brands!$A$2:$FZ$601,593,Sync!$D$11)),0),"")</f>
        <v/>
      </c>
      <c r="C4044" s="17">
        <f>IF(B4044="","","brand")</f>
        <v/>
      </c>
      <c r="D4044" s="17">
        <f>IF(B4044="","",IFERROR(INDEX(Clay_Brands!$A$2:$FZ$601,593,Sync!$D$5)&amp;"",""))</f>
        <v/>
      </c>
      <c r="E4044" s="17">
        <f>IF(B4044="","",IFERROR(INDEX(Clay_Brands!$A$2:$FZ$601,593,Sync!$D$6)&amp;"",""))</f>
        <v/>
      </c>
      <c r="F4044" s="17">
        <f>IF(B4044="","","outreach_sent")</f>
        <v/>
      </c>
      <c r="G4044" s="17">
        <f>IF(B4044="","","")</f>
        <v/>
      </c>
      <c r="H4044" s="17">
        <f>IF(B4044="","","")</f>
        <v/>
      </c>
      <c r="I4044" s="17">
        <f>IF(B4044="","","")</f>
        <v/>
      </c>
      <c r="J4044" s="17">
        <f>IF(B4044="","","touch_1; "&amp;IFERROR(INDEX(Clay_Brands!$A$2:$FZ$601,593,Sync!$D$10)&amp;"","")&amp;"; "&amp;IFERROR(INDEX(Clay_Brands!$A$2:$FZ$601,593,Sync!$D$9)&amp;"",""))</f>
        <v/>
      </c>
      <c r="K4044" t="inlineStr">
        <is>
          <t>brand outreach touch 1</t>
        </is>
      </c>
    </row>
    <row r="4045">
      <c r="A4045" s="17">
        <f>IF(B4045="","",B4045+(15*1000+594)/10000000)</f>
        <v/>
      </c>
      <c r="B4045" s="23">
        <f>IF(AND(IFERROR(N(INDEX(Clay_Brands!$A$2:$FZ$601,594,Sync!$D$11)),0)&gt;0,IFERROR(INDEX(Clay_Brands!$A$2:$FZ$601,594,Sync!$D$5)&amp;"","")&lt;&gt;"",OR(LEFT(IFERROR(INDEX(Clay_Brands!$A$2:$FZ$601,594,Sync!$D$5)&amp;"",""),6)&lt;&gt;"SAMPLE",Config!$B$19="Y")),IFERROR(N(INDEX(Clay_Brands!$A$2:$FZ$601,594,Sync!$D$11)),0),"")</f>
        <v/>
      </c>
      <c r="C4045" s="17">
        <f>IF(B4045="","","brand")</f>
        <v/>
      </c>
      <c r="D4045" s="17">
        <f>IF(B4045="","",IFERROR(INDEX(Clay_Brands!$A$2:$FZ$601,594,Sync!$D$5)&amp;"",""))</f>
        <v/>
      </c>
      <c r="E4045" s="17">
        <f>IF(B4045="","",IFERROR(INDEX(Clay_Brands!$A$2:$FZ$601,594,Sync!$D$6)&amp;"",""))</f>
        <v/>
      </c>
      <c r="F4045" s="17">
        <f>IF(B4045="","","outreach_sent")</f>
        <v/>
      </c>
      <c r="G4045" s="17">
        <f>IF(B4045="","","")</f>
        <v/>
      </c>
      <c r="H4045" s="17">
        <f>IF(B4045="","","")</f>
        <v/>
      </c>
      <c r="I4045" s="17">
        <f>IF(B4045="","","")</f>
        <v/>
      </c>
      <c r="J4045" s="17">
        <f>IF(B4045="","","touch_1; "&amp;IFERROR(INDEX(Clay_Brands!$A$2:$FZ$601,594,Sync!$D$10)&amp;"","")&amp;"; "&amp;IFERROR(INDEX(Clay_Brands!$A$2:$FZ$601,594,Sync!$D$9)&amp;"",""))</f>
        <v/>
      </c>
      <c r="K4045" t="inlineStr">
        <is>
          <t>brand outreach touch 1</t>
        </is>
      </c>
    </row>
    <row r="4046">
      <c r="A4046" s="17">
        <f>IF(B4046="","",B4046+(15*1000+595)/10000000)</f>
        <v/>
      </c>
      <c r="B4046" s="23">
        <f>IF(AND(IFERROR(N(INDEX(Clay_Brands!$A$2:$FZ$601,595,Sync!$D$11)),0)&gt;0,IFERROR(INDEX(Clay_Brands!$A$2:$FZ$601,595,Sync!$D$5)&amp;"","")&lt;&gt;"",OR(LEFT(IFERROR(INDEX(Clay_Brands!$A$2:$FZ$601,595,Sync!$D$5)&amp;"",""),6)&lt;&gt;"SAMPLE",Config!$B$19="Y")),IFERROR(N(INDEX(Clay_Brands!$A$2:$FZ$601,595,Sync!$D$11)),0),"")</f>
        <v/>
      </c>
      <c r="C4046" s="17">
        <f>IF(B4046="","","brand")</f>
        <v/>
      </c>
      <c r="D4046" s="17">
        <f>IF(B4046="","",IFERROR(INDEX(Clay_Brands!$A$2:$FZ$601,595,Sync!$D$5)&amp;"",""))</f>
        <v/>
      </c>
      <c r="E4046" s="17">
        <f>IF(B4046="","",IFERROR(INDEX(Clay_Brands!$A$2:$FZ$601,595,Sync!$D$6)&amp;"",""))</f>
        <v/>
      </c>
      <c r="F4046" s="17">
        <f>IF(B4046="","","outreach_sent")</f>
        <v/>
      </c>
      <c r="G4046" s="17">
        <f>IF(B4046="","","")</f>
        <v/>
      </c>
      <c r="H4046" s="17">
        <f>IF(B4046="","","")</f>
        <v/>
      </c>
      <c r="I4046" s="17">
        <f>IF(B4046="","","")</f>
        <v/>
      </c>
      <c r="J4046" s="17">
        <f>IF(B4046="","","touch_1; "&amp;IFERROR(INDEX(Clay_Brands!$A$2:$FZ$601,595,Sync!$D$10)&amp;"","")&amp;"; "&amp;IFERROR(INDEX(Clay_Brands!$A$2:$FZ$601,595,Sync!$D$9)&amp;"",""))</f>
        <v/>
      </c>
      <c r="K4046" t="inlineStr">
        <is>
          <t>brand outreach touch 1</t>
        </is>
      </c>
    </row>
    <row r="4047">
      <c r="A4047" s="17">
        <f>IF(B4047="","",B4047+(15*1000+596)/10000000)</f>
        <v/>
      </c>
      <c r="B4047" s="23">
        <f>IF(AND(IFERROR(N(INDEX(Clay_Brands!$A$2:$FZ$601,596,Sync!$D$11)),0)&gt;0,IFERROR(INDEX(Clay_Brands!$A$2:$FZ$601,596,Sync!$D$5)&amp;"","")&lt;&gt;"",OR(LEFT(IFERROR(INDEX(Clay_Brands!$A$2:$FZ$601,596,Sync!$D$5)&amp;"",""),6)&lt;&gt;"SAMPLE",Config!$B$19="Y")),IFERROR(N(INDEX(Clay_Brands!$A$2:$FZ$601,596,Sync!$D$11)),0),"")</f>
        <v/>
      </c>
      <c r="C4047" s="17">
        <f>IF(B4047="","","brand")</f>
        <v/>
      </c>
      <c r="D4047" s="17">
        <f>IF(B4047="","",IFERROR(INDEX(Clay_Brands!$A$2:$FZ$601,596,Sync!$D$5)&amp;"",""))</f>
        <v/>
      </c>
      <c r="E4047" s="17">
        <f>IF(B4047="","",IFERROR(INDEX(Clay_Brands!$A$2:$FZ$601,596,Sync!$D$6)&amp;"",""))</f>
        <v/>
      </c>
      <c r="F4047" s="17">
        <f>IF(B4047="","","outreach_sent")</f>
        <v/>
      </c>
      <c r="G4047" s="17">
        <f>IF(B4047="","","")</f>
        <v/>
      </c>
      <c r="H4047" s="17">
        <f>IF(B4047="","","")</f>
        <v/>
      </c>
      <c r="I4047" s="17">
        <f>IF(B4047="","","")</f>
        <v/>
      </c>
      <c r="J4047" s="17">
        <f>IF(B4047="","","touch_1; "&amp;IFERROR(INDEX(Clay_Brands!$A$2:$FZ$601,596,Sync!$D$10)&amp;"","")&amp;"; "&amp;IFERROR(INDEX(Clay_Brands!$A$2:$FZ$601,596,Sync!$D$9)&amp;"",""))</f>
        <v/>
      </c>
      <c r="K4047" t="inlineStr">
        <is>
          <t>brand outreach touch 1</t>
        </is>
      </c>
    </row>
    <row r="4048">
      <c r="A4048" s="17">
        <f>IF(B4048="","",B4048+(15*1000+597)/10000000)</f>
        <v/>
      </c>
      <c r="B4048" s="23">
        <f>IF(AND(IFERROR(N(INDEX(Clay_Brands!$A$2:$FZ$601,597,Sync!$D$11)),0)&gt;0,IFERROR(INDEX(Clay_Brands!$A$2:$FZ$601,597,Sync!$D$5)&amp;"","")&lt;&gt;"",OR(LEFT(IFERROR(INDEX(Clay_Brands!$A$2:$FZ$601,597,Sync!$D$5)&amp;"",""),6)&lt;&gt;"SAMPLE",Config!$B$19="Y")),IFERROR(N(INDEX(Clay_Brands!$A$2:$FZ$601,597,Sync!$D$11)),0),"")</f>
        <v/>
      </c>
      <c r="C4048" s="17">
        <f>IF(B4048="","","brand")</f>
        <v/>
      </c>
      <c r="D4048" s="17">
        <f>IF(B4048="","",IFERROR(INDEX(Clay_Brands!$A$2:$FZ$601,597,Sync!$D$5)&amp;"",""))</f>
        <v/>
      </c>
      <c r="E4048" s="17">
        <f>IF(B4048="","",IFERROR(INDEX(Clay_Brands!$A$2:$FZ$601,597,Sync!$D$6)&amp;"",""))</f>
        <v/>
      </c>
      <c r="F4048" s="17">
        <f>IF(B4048="","","outreach_sent")</f>
        <v/>
      </c>
      <c r="G4048" s="17">
        <f>IF(B4048="","","")</f>
        <v/>
      </c>
      <c r="H4048" s="17">
        <f>IF(B4048="","","")</f>
        <v/>
      </c>
      <c r="I4048" s="17">
        <f>IF(B4048="","","")</f>
        <v/>
      </c>
      <c r="J4048" s="17">
        <f>IF(B4048="","","touch_1; "&amp;IFERROR(INDEX(Clay_Brands!$A$2:$FZ$601,597,Sync!$D$10)&amp;"","")&amp;"; "&amp;IFERROR(INDEX(Clay_Brands!$A$2:$FZ$601,597,Sync!$D$9)&amp;"",""))</f>
        <v/>
      </c>
      <c r="K4048" t="inlineStr">
        <is>
          <t>brand outreach touch 1</t>
        </is>
      </c>
    </row>
    <row r="4049">
      <c r="A4049" s="17">
        <f>IF(B4049="","",B4049+(15*1000+598)/10000000)</f>
        <v/>
      </c>
      <c r="B4049" s="23">
        <f>IF(AND(IFERROR(N(INDEX(Clay_Brands!$A$2:$FZ$601,598,Sync!$D$11)),0)&gt;0,IFERROR(INDEX(Clay_Brands!$A$2:$FZ$601,598,Sync!$D$5)&amp;"","")&lt;&gt;"",OR(LEFT(IFERROR(INDEX(Clay_Brands!$A$2:$FZ$601,598,Sync!$D$5)&amp;"",""),6)&lt;&gt;"SAMPLE",Config!$B$19="Y")),IFERROR(N(INDEX(Clay_Brands!$A$2:$FZ$601,598,Sync!$D$11)),0),"")</f>
        <v/>
      </c>
      <c r="C4049" s="17">
        <f>IF(B4049="","","brand")</f>
        <v/>
      </c>
      <c r="D4049" s="17">
        <f>IF(B4049="","",IFERROR(INDEX(Clay_Brands!$A$2:$FZ$601,598,Sync!$D$5)&amp;"",""))</f>
        <v/>
      </c>
      <c r="E4049" s="17">
        <f>IF(B4049="","",IFERROR(INDEX(Clay_Brands!$A$2:$FZ$601,598,Sync!$D$6)&amp;"",""))</f>
        <v/>
      </c>
      <c r="F4049" s="17">
        <f>IF(B4049="","","outreach_sent")</f>
        <v/>
      </c>
      <c r="G4049" s="17">
        <f>IF(B4049="","","")</f>
        <v/>
      </c>
      <c r="H4049" s="17">
        <f>IF(B4049="","","")</f>
        <v/>
      </c>
      <c r="I4049" s="17">
        <f>IF(B4049="","","")</f>
        <v/>
      </c>
      <c r="J4049" s="17">
        <f>IF(B4049="","","touch_1; "&amp;IFERROR(INDEX(Clay_Brands!$A$2:$FZ$601,598,Sync!$D$10)&amp;"","")&amp;"; "&amp;IFERROR(INDEX(Clay_Brands!$A$2:$FZ$601,598,Sync!$D$9)&amp;"",""))</f>
        <v/>
      </c>
      <c r="K4049" t="inlineStr">
        <is>
          <t>brand outreach touch 1</t>
        </is>
      </c>
    </row>
    <row r="4050">
      <c r="A4050" s="17">
        <f>IF(B4050="","",B4050+(15*1000+599)/10000000)</f>
        <v/>
      </c>
      <c r="B4050" s="23">
        <f>IF(AND(IFERROR(N(INDEX(Clay_Brands!$A$2:$FZ$601,599,Sync!$D$11)),0)&gt;0,IFERROR(INDEX(Clay_Brands!$A$2:$FZ$601,599,Sync!$D$5)&amp;"","")&lt;&gt;"",OR(LEFT(IFERROR(INDEX(Clay_Brands!$A$2:$FZ$601,599,Sync!$D$5)&amp;"",""),6)&lt;&gt;"SAMPLE",Config!$B$19="Y")),IFERROR(N(INDEX(Clay_Brands!$A$2:$FZ$601,599,Sync!$D$11)),0),"")</f>
        <v/>
      </c>
      <c r="C4050" s="17">
        <f>IF(B4050="","","brand")</f>
        <v/>
      </c>
      <c r="D4050" s="17">
        <f>IF(B4050="","",IFERROR(INDEX(Clay_Brands!$A$2:$FZ$601,599,Sync!$D$5)&amp;"",""))</f>
        <v/>
      </c>
      <c r="E4050" s="17">
        <f>IF(B4050="","",IFERROR(INDEX(Clay_Brands!$A$2:$FZ$601,599,Sync!$D$6)&amp;"",""))</f>
        <v/>
      </c>
      <c r="F4050" s="17">
        <f>IF(B4050="","","outreach_sent")</f>
        <v/>
      </c>
      <c r="G4050" s="17">
        <f>IF(B4050="","","")</f>
        <v/>
      </c>
      <c r="H4050" s="17">
        <f>IF(B4050="","","")</f>
        <v/>
      </c>
      <c r="I4050" s="17">
        <f>IF(B4050="","","")</f>
        <v/>
      </c>
      <c r="J4050" s="17">
        <f>IF(B4050="","","touch_1; "&amp;IFERROR(INDEX(Clay_Brands!$A$2:$FZ$601,599,Sync!$D$10)&amp;"","")&amp;"; "&amp;IFERROR(INDEX(Clay_Brands!$A$2:$FZ$601,599,Sync!$D$9)&amp;"",""))</f>
        <v/>
      </c>
      <c r="K4050" t="inlineStr">
        <is>
          <t>brand outreach touch 1</t>
        </is>
      </c>
    </row>
    <row r="4051">
      <c r="A4051" s="17">
        <f>IF(B4051="","",B4051+(15*1000+600)/10000000)</f>
        <v/>
      </c>
      <c r="B4051" s="23">
        <f>IF(AND(IFERROR(N(INDEX(Clay_Brands!$A$2:$FZ$601,600,Sync!$D$11)),0)&gt;0,IFERROR(INDEX(Clay_Brands!$A$2:$FZ$601,600,Sync!$D$5)&amp;"","")&lt;&gt;"",OR(LEFT(IFERROR(INDEX(Clay_Brands!$A$2:$FZ$601,600,Sync!$D$5)&amp;"",""),6)&lt;&gt;"SAMPLE",Config!$B$19="Y")),IFERROR(N(INDEX(Clay_Brands!$A$2:$FZ$601,600,Sync!$D$11)),0),"")</f>
        <v/>
      </c>
      <c r="C4051" s="17">
        <f>IF(B4051="","","brand")</f>
        <v/>
      </c>
      <c r="D4051" s="17">
        <f>IF(B4051="","",IFERROR(INDEX(Clay_Brands!$A$2:$FZ$601,600,Sync!$D$5)&amp;"",""))</f>
        <v/>
      </c>
      <c r="E4051" s="17">
        <f>IF(B4051="","",IFERROR(INDEX(Clay_Brands!$A$2:$FZ$601,600,Sync!$D$6)&amp;"",""))</f>
        <v/>
      </c>
      <c r="F4051" s="17">
        <f>IF(B4051="","","outreach_sent")</f>
        <v/>
      </c>
      <c r="G4051" s="17">
        <f>IF(B4051="","","")</f>
        <v/>
      </c>
      <c r="H4051" s="17">
        <f>IF(B4051="","","")</f>
        <v/>
      </c>
      <c r="I4051" s="17">
        <f>IF(B4051="","","")</f>
        <v/>
      </c>
      <c r="J4051" s="17">
        <f>IF(B4051="","","touch_1; "&amp;IFERROR(INDEX(Clay_Brands!$A$2:$FZ$601,600,Sync!$D$10)&amp;"","")&amp;"; "&amp;IFERROR(INDEX(Clay_Brands!$A$2:$FZ$601,600,Sync!$D$9)&amp;"",""))</f>
        <v/>
      </c>
      <c r="K4051" t="inlineStr">
        <is>
          <t>brand outreach touch 1</t>
        </is>
      </c>
    </row>
    <row r="4052">
      <c r="A4052" s="17">
        <f>IF(B4052="","",B4052+(16*1000+1)/10000000)</f>
        <v/>
      </c>
      <c r="B4052" s="23">
        <f>IF(AND(IFERROR(N(INDEX(Clay_Brands!$A$2:$FZ$601,1,Sync!$D$12)),0)&gt;0,IFERROR(INDEX(Clay_Brands!$A$2:$FZ$601,1,Sync!$D$5)&amp;"","")&lt;&gt;"",OR(LEFT(IFERROR(INDEX(Clay_Brands!$A$2:$FZ$601,1,Sync!$D$5)&amp;"",""),6)&lt;&gt;"SAMPLE",Config!$B$19="Y")),IFERROR(N(INDEX(Clay_Brands!$A$2:$FZ$601,1,Sync!$D$12)),0),"")</f>
        <v/>
      </c>
      <c r="C4052" s="17">
        <f>IF(B4052="","","brand")</f>
        <v/>
      </c>
      <c r="D4052" s="17">
        <f>IF(B4052="","",IFERROR(INDEX(Clay_Brands!$A$2:$FZ$601,1,Sync!$D$5)&amp;"",""))</f>
        <v/>
      </c>
      <c r="E4052" s="17">
        <f>IF(B4052="","",IFERROR(INDEX(Clay_Brands!$A$2:$FZ$601,1,Sync!$D$6)&amp;"",""))</f>
        <v/>
      </c>
      <c r="F4052" s="17">
        <f>IF(B4052="","","outreach_sent")</f>
        <v/>
      </c>
      <c r="G4052" s="17">
        <f>IF(B4052="","","")</f>
        <v/>
      </c>
      <c r="H4052" s="17">
        <f>IF(B4052="","","")</f>
        <v/>
      </c>
      <c r="I4052" s="17">
        <f>IF(B4052="","","")</f>
        <v/>
      </c>
      <c r="J4052" s="17">
        <f>IF(B4052="","","touch_2; "&amp;IFERROR(INDEX(Clay_Brands!$A$2:$FZ$601,1,Sync!$D$10)&amp;"","")&amp;"; "&amp;IFERROR(INDEX(Clay_Brands!$A$2:$FZ$601,1,Sync!$D$9)&amp;"",""))</f>
        <v/>
      </c>
      <c r="K4052" t="inlineStr">
        <is>
          <t>brand outreach touch 2</t>
        </is>
      </c>
    </row>
    <row r="4053">
      <c r="A4053" s="17">
        <f>IF(B4053="","",B4053+(16*1000+2)/10000000)</f>
        <v/>
      </c>
      <c r="B4053" s="23">
        <f>IF(AND(IFERROR(N(INDEX(Clay_Brands!$A$2:$FZ$601,2,Sync!$D$12)),0)&gt;0,IFERROR(INDEX(Clay_Brands!$A$2:$FZ$601,2,Sync!$D$5)&amp;"","")&lt;&gt;"",OR(LEFT(IFERROR(INDEX(Clay_Brands!$A$2:$FZ$601,2,Sync!$D$5)&amp;"",""),6)&lt;&gt;"SAMPLE",Config!$B$19="Y")),IFERROR(N(INDEX(Clay_Brands!$A$2:$FZ$601,2,Sync!$D$12)),0),"")</f>
        <v/>
      </c>
      <c r="C4053" s="17">
        <f>IF(B4053="","","brand")</f>
        <v/>
      </c>
      <c r="D4053" s="17">
        <f>IF(B4053="","",IFERROR(INDEX(Clay_Brands!$A$2:$FZ$601,2,Sync!$D$5)&amp;"",""))</f>
        <v/>
      </c>
      <c r="E4053" s="17">
        <f>IF(B4053="","",IFERROR(INDEX(Clay_Brands!$A$2:$FZ$601,2,Sync!$D$6)&amp;"",""))</f>
        <v/>
      </c>
      <c r="F4053" s="17">
        <f>IF(B4053="","","outreach_sent")</f>
        <v/>
      </c>
      <c r="G4053" s="17">
        <f>IF(B4053="","","")</f>
        <v/>
      </c>
      <c r="H4053" s="17">
        <f>IF(B4053="","","")</f>
        <v/>
      </c>
      <c r="I4053" s="17">
        <f>IF(B4053="","","")</f>
        <v/>
      </c>
      <c r="J4053" s="17">
        <f>IF(B4053="","","touch_2; "&amp;IFERROR(INDEX(Clay_Brands!$A$2:$FZ$601,2,Sync!$D$10)&amp;"","")&amp;"; "&amp;IFERROR(INDEX(Clay_Brands!$A$2:$FZ$601,2,Sync!$D$9)&amp;"",""))</f>
        <v/>
      </c>
      <c r="K4053" t="inlineStr">
        <is>
          <t>brand outreach touch 2</t>
        </is>
      </c>
    </row>
    <row r="4054">
      <c r="A4054" s="17">
        <f>IF(B4054="","",B4054+(16*1000+3)/10000000)</f>
        <v/>
      </c>
      <c r="B4054" s="23">
        <f>IF(AND(IFERROR(N(INDEX(Clay_Brands!$A$2:$FZ$601,3,Sync!$D$12)),0)&gt;0,IFERROR(INDEX(Clay_Brands!$A$2:$FZ$601,3,Sync!$D$5)&amp;"","")&lt;&gt;"",OR(LEFT(IFERROR(INDEX(Clay_Brands!$A$2:$FZ$601,3,Sync!$D$5)&amp;"",""),6)&lt;&gt;"SAMPLE",Config!$B$19="Y")),IFERROR(N(INDEX(Clay_Brands!$A$2:$FZ$601,3,Sync!$D$12)),0),"")</f>
        <v/>
      </c>
      <c r="C4054" s="17">
        <f>IF(B4054="","","brand")</f>
        <v/>
      </c>
      <c r="D4054" s="17">
        <f>IF(B4054="","",IFERROR(INDEX(Clay_Brands!$A$2:$FZ$601,3,Sync!$D$5)&amp;"",""))</f>
        <v/>
      </c>
      <c r="E4054" s="17">
        <f>IF(B4054="","",IFERROR(INDEX(Clay_Brands!$A$2:$FZ$601,3,Sync!$D$6)&amp;"",""))</f>
        <v/>
      </c>
      <c r="F4054" s="17">
        <f>IF(B4054="","","outreach_sent")</f>
        <v/>
      </c>
      <c r="G4054" s="17">
        <f>IF(B4054="","","")</f>
        <v/>
      </c>
      <c r="H4054" s="17">
        <f>IF(B4054="","","")</f>
        <v/>
      </c>
      <c r="I4054" s="17">
        <f>IF(B4054="","","")</f>
        <v/>
      </c>
      <c r="J4054" s="17">
        <f>IF(B4054="","","touch_2; "&amp;IFERROR(INDEX(Clay_Brands!$A$2:$FZ$601,3,Sync!$D$10)&amp;"","")&amp;"; "&amp;IFERROR(INDEX(Clay_Brands!$A$2:$FZ$601,3,Sync!$D$9)&amp;"",""))</f>
        <v/>
      </c>
      <c r="K4054" t="inlineStr">
        <is>
          <t>brand outreach touch 2</t>
        </is>
      </c>
    </row>
    <row r="4055">
      <c r="A4055" s="17">
        <f>IF(B4055="","",B4055+(16*1000+4)/10000000)</f>
        <v/>
      </c>
      <c r="B4055" s="23">
        <f>IF(AND(IFERROR(N(INDEX(Clay_Brands!$A$2:$FZ$601,4,Sync!$D$12)),0)&gt;0,IFERROR(INDEX(Clay_Brands!$A$2:$FZ$601,4,Sync!$D$5)&amp;"","")&lt;&gt;"",OR(LEFT(IFERROR(INDEX(Clay_Brands!$A$2:$FZ$601,4,Sync!$D$5)&amp;"",""),6)&lt;&gt;"SAMPLE",Config!$B$19="Y")),IFERROR(N(INDEX(Clay_Brands!$A$2:$FZ$601,4,Sync!$D$12)),0),"")</f>
        <v/>
      </c>
      <c r="C4055" s="17">
        <f>IF(B4055="","","brand")</f>
        <v/>
      </c>
      <c r="D4055" s="17">
        <f>IF(B4055="","",IFERROR(INDEX(Clay_Brands!$A$2:$FZ$601,4,Sync!$D$5)&amp;"",""))</f>
        <v/>
      </c>
      <c r="E4055" s="17">
        <f>IF(B4055="","",IFERROR(INDEX(Clay_Brands!$A$2:$FZ$601,4,Sync!$D$6)&amp;"",""))</f>
        <v/>
      </c>
      <c r="F4055" s="17">
        <f>IF(B4055="","","outreach_sent")</f>
        <v/>
      </c>
      <c r="G4055" s="17">
        <f>IF(B4055="","","")</f>
        <v/>
      </c>
      <c r="H4055" s="17">
        <f>IF(B4055="","","")</f>
        <v/>
      </c>
      <c r="I4055" s="17">
        <f>IF(B4055="","","")</f>
        <v/>
      </c>
      <c r="J4055" s="17">
        <f>IF(B4055="","","touch_2; "&amp;IFERROR(INDEX(Clay_Brands!$A$2:$FZ$601,4,Sync!$D$10)&amp;"","")&amp;"; "&amp;IFERROR(INDEX(Clay_Brands!$A$2:$FZ$601,4,Sync!$D$9)&amp;"",""))</f>
        <v/>
      </c>
      <c r="K4055" t="inlineStr">
        <is>
          <t>brand outreach touch 2</t>
        </is>
      </c>
    </row>
    <row r="4056">
      <c r="A4056" s="17">
        <f>IF(B4056="","",B4056+(16*1000+5)/10000000)</f>
        <v/>
      </c>
      <c r="B4056" s="23">
        <f>IF(AND(IFERROR(N(INDEX(Clay_Brands!$A$2:$FZ$601,5,Sync!$D$12)),0)&gt;0,IFERROR(INDEX(Clay_Brands!$A$2:$FZ$601,5,Sync!$D$5)&amp;"","")&lt;&gt;"",OR(LEFT(IFERROR(INDEX(Clay_Brands!$A$2:$FZ$601,5,Sync!$D$5)&amp;"",""),6)&lt;&gt;"SAMPLE",Config!$B$19="Y")),IFERROR(N(INDEX(Clay_Brands!$A$2:$FZ$601,5,Sync!$D$12)),0),"")</f>
        <v/>
      </c>
      <c r="C4056" s="17">
        <f>IF(B4056="","","brand")</f>
        <v/>
      </c>
      <c r="D4056" s="17">
        <f>IF(B4056="","",IFERROR(INDEX(Clay_Brands!$A$2:$FZ$601,5,Sync!$D$5)&amp;"",""))</f>
        <v/>
      </c>
      <c r="E4056" s="17">
        <f>IF(B4056="","",IFERROR(INDEX(Clay_Brands!$A$2:$FZ$601,5,Sync!$D$6)&amp;"",""))</f>
        <v/>
      </c>
      <c r="F4056" s="17">
        <f>IF(B4056="","","outreach_sent")</f>
        <v/>
      </c>
      <c r="G4056" s="17">
        <f>IF(B4056="","","")</f>
        <v/>
      </c>
      <c r="H4056" s="17">
        <f>IF(B4056="","","")</f>
        <v/>
      </c>
      <c r="I4056" s="17">
        <f>IF(B4056="","","")</f>
        <v/>
      </c>
      <c r="J4056" s="17">
        <f>IF(B4056="","","touch_2; "&amp;IFERROR(INDEX(Clay_Brands!$A$2:$FZ$601,5,Sync!$D$10)&amp;"","")&amp;"; "&amp;IFERROR(INDEX(Clay_Brands!$A$2:$FZ$601,5,Sync!$D$9)&amp;"",""))</f>
        <v/>
      </c>
      <c r="K4056" t="inlineStr">
        <is>
          <t>brand outreach touch 2</t>
        </is>
      </c>
    </row>
    <row r="4057">
      <c r="A4057" s="17">
        <f>IF(B4057="","",B4057+(16*1000+6)/10000000)</f>
        <v/>
      </c>
      <c r="B4057" s="23">
        <f>IF(AND(IFERROR(N(INDEX(Clay_Brands!$A$2:$FZ$601,6,Sync!$D$12)),0)&gt;0,IFERROR(INDEX(Clay_Brands!$A$2:$FZ$601,6,Sync!$D$5)&amp;"","")&lt;&gt;"",OR(LEFT(IFERROR(INDEX(Clay_Brands!$A$2:$FZ$601,6,Sync!$D$5)&amp;"",""),6)&lt;&gt;"SAMPLE",Config!$B$19="Y")),IFERROR(N(INDEX(Clay_Brands!$A$2:$FZ$601,6,Sync!$D$12)),0),"")</f>
        <v/>
      </c>
      <c r="C4057" s="17">
        <f>IF(B4057="","","brand")</f>
        <v/>
      </c>
      <c r="D4057" s="17">
        <f>IF(B4057="","",IFERROR(INDEX(Clay_Brands!$A$2:$FZ$601,6,Sync!$D$5)&amp;"",""))</f>
        <v/>
      </c>
      <c r="E4057" s="17">
        <f>IF(B4057="","",IFERROR(INDEX(Clay_Brands!$A$2:$FZ$601,6,Sync!$D$6)&amp;"",""))</f>
        <v/>
      </c>
      <c r="F4057" s="17">
        <f>IF(B4057="","","outreach_sent")</f>
        <v/>
      </c>
      <c r="G4057" s="17">
        <f>IF(B4057="","","")</f>
        <v/>
      </c>
      <c r="H4057" s="17">
        <f>IF(B4057="","","")</f>
        <v/>
      </c>
      <c r="I4057" s="17">
        <f>IF(B4057="","","")</f>
        <v/>
      </c>
      <c r="J4057" s="17">
        <f>IF(B4057="","","touch_2; "&amp;IFERROR(INDEX(Clay_Brands!$A$2:$FZ$601,6,Sync!$D$10)&amp;"","")&amp;"; "&amp;IFERROR(INDEX(Clay_Brands!$A$2:$FZ$601,6,Sync!$D$9)&amp;"",""))</f>
        <v/>
      </c>
      <c r="K4057" t="inlineStr">
        <is>
          <t>brand outreach touch 2</t>
        </is>
      </c>
    </row>
    <row r="4058">
      <c r="A4058" s="17">
        <f>IF(B4058="","",B4058+(16*1000+7)/10000000)</f>
        <v/>
      </c>
      <c r="B4058" s="23">
        <f>IF(AND(IFERROR(N(INDEX(Clay_Brands!$A$2:$FZ$601,7,Sync!$D$12)),0)&gt;0,IFERROR(INDEX(Clay_Brands!$A$2:$FZ$601,7,Sync!$D$5)&amp;"","")&lt;&gt;"",OR(LEFT(IFERROR(INDEX(Clay_Brands!$A$2:$FZ$601,7,Sync!$D$5)&amp;"",""),6)&lt;&gt;"SAMPLE",Config!$B$19="Y")),IFERROR(N(INDEX(Clay_Brands!$A$2:$FZ$601,7,Sync!$D$12)),0),"")</f>
        <v/>
      </c>
      <c r="C4058" s="17">
        <f>IF(B4058="","","brand")</f>
        <v/>
      </c>
      <c r="D4058" s="17">
        <f>IF(B4058="","",IFERROR(INDEX(Clay_Brands!$A$2:$FZ$601,7,Sync!$D$5)&amp;"",""))</f>
        <v/>
      </c>
      <c r="E4058" s="17">
        <f>IF(B4058="","",IFERROR(INDEX(Clay_Brands!$A$2:$FZ$601,7,Sync!$D$6)&amp;"",""))</f>
        <v/>
      </c>
      <c r="F4058" s="17">
        <f>IF(B4058="","","outreach_sent")</f>
        <v/>
      </c>
      <c r="G4058" s="17">
        <f>IF(B4058="","","")</f>
        <v/>
      </c>
      <c r="H4058" s="17">
        <f>IF(B4058="","","")</f>
        <v/>
      </c>
      <c r="I4058" s="17">
        <f>IF(B4058="","","")</f>
        <v/>
      </c>
      <c r="J4058" s="17">
        <f>IF(B4058="","","touch_2; "&amp;IFERROR(INDEX(Clay_Brands!$A$2:$FZ$601,7,Sync!$D$10)&amp;"","")&amp;"; "&amp;IFERROR(INDEX(Clay_Brands!$A$2:$FZ$601,7,Sync!$D$9)&amp;"",""))</f>
        <v/>
      </c>
      <c r="K4058" t="inlineStr">
        <is>
          <t>brand outreach touch 2</t>
        </is>
      </c>
    </row>
    <row r="4059">
      <c r="A4059" s="17">
        <f>IF(B4059="","",B4059+(16*1000+8)/10000000)</f>
        <v/>
      </c>
      <c r="B4059" s="23">
        <f>IF(AND(IFERROR(N(INDEX(Clay_Brands!$A$2:$FZ$601,8,Sync!$D$12)),0)&gt;0,IFERROR(INDEX(Clay_Brands!$A$2:$FZ$601,8,Sync!$D$5)&amp;"","")&lt;&gt;"",OR(LEFT(IFERROR(INDEX(Clay_Brands!$A$2:$FZ$601,8,Sync!$D$5)&amp;"",""),6)&lt;&gt;"SAMPLE",Config!$B$19="Y")),IFERROR(N(INDEX(Clay_Brands!$A$2:$FZ$601,8,Sync!$D$12)),0),"")</f>
        <v/>
      </c>
      <c r="C4059" s="17">
        <f>IF(B4059="","","brand")</f>
        <v/>
      </c>
      <c r="D4059" s="17">
        <f>IF(B4059="","",IFERROR(INDEX(Clay_Brands!$A$2:$FZ$601,8,Sync!$D$5)&amp;"",""))</f>
        <v/>
      </c>
      <c r="E4059" s="17">
        <f>IF(B4059="","",IFERROR(INDEX(Clay_Brands!$A$2:$FZ$601,8,Sync!$D$6)&amp;"",""))</f>
        <v/>
      </c>
      <c r="F4059" s="17">
        <f>IF(B4059="","","outreach_sent")</f>
        <v/>
      </c>
      <c r="G4059" s="17">
        <f>IF(B4059="","","")</f>
        <v/>
      </c>
      <c r="H4059" s="17">
        <f>IF(B4059="","","")</f>
        <v/>
      </c>
      <c r="I4059" s="17">
        <f>IF(B4059="","","")</f>
        <v/>
      </c>
      <c r="J4059" s="17">
        <f>IF(B4059="","","touch_2; "&amp;IFERROR(INDEX(Clay_Brands!$A$2:$FZ$601,8,Sync!$D$10)&amp;"","")&amp;"; "&amp;IFERROR(INDEX(Clay_Brands!$A$2:$FZ$601,8,Sync!$D$9)&amp;"",""))</f>
        <v/>
      </c>
      <c r="K4059" t="inlineStr">
        <is>
          <t>brand outreach touch 2</t>
        </is>
      </c>
    </row>
    <row r="4060">
      <c r="A4060" s="17">
        <f>IF(B4060="","",B4060+(16*1000+9)/10000000)</f>
        <v/>
      </c>
      <c r="B4060" s="23">
        <f>IF(AND(IFERROR(N(INDEX(Clay_Brands!$A$2:$FZ$601,9,Sync!$D$12)),0)&gt;0,IFERROR(INDEX(Clay_Brands!$A$2:$FZ$601,9,Sync!$D$5)&amp;"","")&lt;&gt;"",OR(LEFT(IFERROR(INDEX(Clay_Brands!$A$2:$FZ$601,9,Sync!$D$5)&amp;"",""),6)&lt;&gt;"SAMPLE",Config!$B$19="Y")),IFERROR(N(INDEX(Clay_Brands!$A$2:$FZ$601,9,Sync!$D$12)),0),"")</f>
        <v/>
      </c>
      <c r="C4060" s="17">
        <f>IF(B4060="","","brand")</f>
        <v/>
      </c>
      <c r="D4060" s="17">
        <f>IF(B4060="","",IFERROR(INDEX(Clay_Brands!$A$2:$FZ$601,9,Sync!$D$5)&amp;"",""))</f>
        <v/>
      </c>
      <c r="E4060" s="17">
        <f>IF(B4060="","",IFERROR(INDEX(Clay_Brands!$A$2:$FZ$601,9,Sync!$D$6)&amp;"",""))</f>
        <v/>
      </c>
      <c r="F4060" s="17">
        <f>IF(B4060="","","outreach_sent")</f>
        <v/>
      </c>
      <c r="G4060" s="17">
        <f>IF(B4060="","","")</f>
        <v/>
      </c>
      <c r="H4060" s="17">
        <f>IF(B4060="","","")</f>
        <v/>
      </c>
      <c r="I4060" s="17">
        <f>IF(B4060="","","")</f>
        <v/>
      </c>
      <c r="J4060" s="17">
        <f>IF(B4060="","","touch_2; "&amp;IFERROR(INDEX(Clay_Brands!$A$2:$FZ$601,9,Sync!$D$10)&amp;"","")&amp;"; "&amp;IFERROR(INDEX(Clay_Brands!$A$2:$FZ$601,9,Sync!$D$9)&amp;"",""))</f>
        <v/>
      </c>
      <c r="K4060" t="inlineStr">
        <is>
          <t>brand outreach touch 2</t>
        </is>
      </c>
    </row>
    <row r="4061">
      <c r="A4061" s="17">
        <f>IF(B4061="","",B4061+(16*1000+10)/10000000)</f>
        <v/>
      </c>
      <c r="B4061" s="23">
        <f>IF(AND(IFERROR(N(INDEX(Clay_Brands!$A$2:$FZ$601,10,Sync!$D$12)),0)&gt;0,IFERROR(INDEX(Clay_Brands!$A$2:$FZ$601,10,Sync!$D$5)&amp;"","")&lt;&gt;"",OR(LEFT(IFERROR(INDEX(Clay_Brands!$A$2:$FZ$601,10,Sync!$D$5)&amp;"",""),6)&lt;&gt;"SAMPLE",Config!$B$19="Y")),IFERROR(N(INDEX(Clay_Brands!$A$2:$FZ$601,10,Sync!$D$12)),0),"")</f>
        <v/>
      </c>
      <c r="C4061" s="17">
        <f>IF(B4061="","","brand")</f>
        <v/>
      </c>
      <c r="D4061" s="17">
        <f>IF(B4061="","",IFERROR(INDEX(Clay_Brands!$A$2:$FZ$601,10,Sync!$D$5)&amp;"",""))</f>
        <v/>
      </c>
      <c r="E4061" s="17">
        <f>IF(B4061="","",IFERROR(INDEX(Clay_Brands!$A$2:$FZ$601,10,Sync!$D$6)&amp;"",""))</f>
        <v/>
      </c>
      <c r="F4061" s="17">
        <f>IF(B4061="","","outreach_sent")</f>
        <v/>
      </c>
      <c r="G4061" s="17">
        <f>IF(B4061="","","")</f>
        <v/>
      </c>
      <c r="H4061" s="17">
        <f>IF(B4061="","","")</f>
        <v/>
      </c>
      <c r="I4061" s="17">
        <f>IF(B4061="","","")</f>
        <v/>
      </c>
      <c r="J4061" s="17">
        <f>IF(B4061="","","touch_2; "&amp;IFERROR(INDEX(Clay_Brands!$A$2:$FZ$601,10,Sync!$D$10)&amp;"","")&amp;"; "&amp;IFERROR(INDEX(Clay_Brands!$A$2:$FZ$601,10,Sync!$D$9)&amp;"",""))</f>
        <v/>
      </c>
      <c r="K4061" t="inlineStr">
        <is>
          <t>brand outreach touch 2</t>
        </is>
      </c>
    </row>
    <row r="4062">
      <c r="A4062" s="17">
        <f>IF(B4062="","",B4062+(16*1000+11)/10000000)</f>
        <v/>
      </c>
      <c r="B4062" s="23">
        <f>IF(AND(IFERROR(N(INDEX(Clay_Brands!$A$2:$FZ$601,11,Sync!$D$12)),0)&gt;0,IFERROR(INDEX(Clay_Brands!$A$2:$FZ$601,11,Sync!$D$5)&amp;"","")&lt;&gt;"",OR(LEFT(IFERROR(INDEX(Clay_Brands!$A$2:$FZ$601,11,Sync!$D$5)&amp;"",""),6)&lt;&gt;"SAMPLE",Config!$B$19="Y")),IFERROR(N(INDEX(Clay_Brands!$A$2:$FZ$601,11,Sync!$D$12)),0),"")</f>
        <v/>
      </c>
      <c r="C4062" s="17">
        <f>IF(B4062="","","brand")</f>
        <v/>
      </c>
      <c r="D4062" s="17">
        <f>IF(B4062="","",IFERROR(INDEX(Clay_Brands!$A$2:$FZ$601,11,Sync!$D$5)&amp;"",""))</f>
        <v/>
      </c>
      <c r="E4062" s="17">
        <f>IF(B4062="","",IFERROR(INDEX(Clay_Brands!$A$2:$FZ$601,11,Sync!$D$6)&amp;"",""))</f>
        <v/>
      </c>
      <c r="F4062" s="17">
        <f>IF(B4062="","","outreach_sent")</f>
        <v/>
      </c>
      <c r="G4062" s="17">
        <f>IF(B4062="","","")</f>
        <v/>
      </c>
      <c r="H4062" s="17">
        <f>IF(B4062="","","")</f>
        <v/>
      </c>
      <c r="I4062" s="17">
        <f>IF(B4062="","","")</f>
        <v/>
      </c>
      <c r="J4062" s="17">
        <f>IF(B4062="","","touch_2; "&amp;IFERROR(INDEX(Clay_Brands!$A$2:$FZ$601,11,Sync!$D$10)&amp;"","")&amp;"; "&amp;IFERROR(INDEX(Clay_Brands!$A$2:$FZ$601,11,Sync!$D$9)&amp;"",""))</f>
        <v/>
      </c>
      <c r="K4062" t="inlineStr">
        <is>
          <t>brand outreach touch 2</t>
        </is>
      </c>
    </row>
    <row r="4063">
      <c r="A4063" s="17">
        <f>IF(B4063="","",B4063+(16*1000+12)/10000000)</f>
        <v/>
      </c>
      <c r="B4063" s="23">
        <f>IF(AND(IFERROR(N(INDEX(Clay_Brands!$A$2:$FZ$601,12,Sync!$D$12)),0)&gt;0,IFERROR(INDEX(Clay_Brands!$A$2:$FZ$601,12,Sync!$D$5)&amp;"","")&lt;&gt;"",OR(LEFT(IFERROR(INDEX(Clay_Brands!$A$2:$FZ$601,12,Sync!$D$5)&amp;"",""),6)&lt;&gt;"SAMPLE",Config!$B$19="Y")),IFERROR(N(INDEX(Clay_Brands!$A$2:$FZ$601,12,Sync!$D$12)),0),"")</f>
        <v/>
      </c>
      <c r="C4063" s="17">
        <f>IF(B4063="","","brand")</f>
        <v/>
      </c>
      <c r="D4063" s="17">
        <f>IF(B4063="","",IFERROR(INDEX(Clay_Brands!$A$2:$FZ$601,12,Sync!$D$5)&amp;"",""))</f>
        <v/>
      </c>
      <c r="E4063" s="17">
        <f>IF(B4063="","",IFERROR(INDEX(Clay_Brands!$A$2:$FZ$601,12,Sync!$D$6)&amp;"",""))</f>
        <v/>
      </c>
      <c r="F4063" s="17">
        <f>IF(B4063="","","outreach_sent")</f>
        <v/>
      </c>
      <c r="G4063" s="17">
        <f>IF(B4063="","","")</f>
        <v/>
      </c>
      <c r="H4063" s="17">
        <f>IF(B4063="","","")</f>
        <v/>
      </c>
      <c r="I4063" s="17">
        <f>IF(B4063="","","")</f>
        <v/>
      </c>
      <c r="J4063" s="17">
        <f>IF(B4063="","","touch_2; "&amp;IFERROR(INDEX(Clay_Brands!$A$2:$FZ$601,12,Sync!$D$10)&amp;"","")&amp;"; "&amp;IFERROR(INDEX(Clay_Brands!$A$2:$FZ$601,12,Sync!$D$9)&amp;"",""))</f>
        <v/>
      </c>
      <c r="K4063" t="inlineStr">
        <is>
          <t>brand outreach touch 2</t>
        </is>
      </c>
    </row>
    <row r="4064">
      <c r="A4064" s="17">
        <f>IF(B4064="","",B4064+(16*1000+13)/10000000)</f>
        <v/>
      </c>
      <c r="B4064" s="23">
        <f>IF(AND(IFERROR(N(INDEX(Clay_Brands!$A$2:$FZ$601,13,Sync!$D$12)),0)&gt;0,IFERROR(INDEX(Clay_Brands!$A$2:$FZ$601,13,Sync!$D$5)&amp;"","")&lt;&gt;"",OR(LEFT(IFERROR(INDEX(Clay_Brands!$A$2:$FZ$601,13,Sync!$D$5)&amp;"",""),6)&lt;&gt;"SAMPLE",Config!$B$19="Y")),IFERROR(N(INDEX(Clay_Brands!$A$2:$FZ$601,13,Sync!$D$12)),0),"")</f>
        <v/>
      </c>
      <c r="C4064" s="17">
        <f>IF(B4064="","","brand")</f>
        <v/>
      </c>
      <c r="D4064" s="17">
        <f>IF(B4064="","",IFERROR(INDEX(Clay_Brands!$A$2:$FZ$601,13,Sync!$D$5)&amp;"",""))</f>
        <v/>
      </c>
      <c r="E4064" s="17">
        <f>IF(B4064="","",IFERROR(INDEX(Clay_Brands!$A$2:$FZ$601,13,Sync!$D$6)&amp;"",""))</f>
        <v/>
      </c>
      <c r="F4064" s="17">
        <f>IF(B4064="","","outreach_sent")</f>
        <v/>
      </c>
      <c r="G4064" s="17">
        <f>IF(B4064="","","")</f>
        <v/>
      </c>
      <c r="H4064" s="17">
        <f>IF(B4064="","","")</f>
        <v/>
      </c>
      <c r="I4064" s="17">
        <f>IF(B4064="","","")</f>
        <v/>
      </c>
      <c r="J4064" s="17">
        <f>IF(B4064="","","touch_2; "&amp;IFERROR(INDEX(Clay_Brands!$A$2:$FZ$601,13,Sync!$D$10)&amp;"","")&amp;"; "&amp;IFERROR(INDEX(Clay_Brands!$A$2:$FZ$601,13,Sync!$D$9)&amp;"",""))</f>
        <v/>
      </c>
      <c r="K4064" t="inlineStr">
        <is>
          <t>brand outreach touch 2</t>
        </is>
      </c>
    </row>
    <row r="4065">
      <c r="A4065" s="17">
        <f>IF(B4065="","",B4065+(16*1000+14)/10000000)</f>
        <v/>
      </c>
      <c r="B4065" s="23">
        <f>IF(AND(IFERROR(N(INDEX(Clay_Brands!$A$2:$FZ$601,14,Sync!$D$12)),0)&gt;0,IFERROR(INDEX(Clay_Brands!$A$2:$FZ$601,14,Sync!$D$5)&amp;"","")&lt;&gt;"",OR(LEFT(IFERROR(INDEX(Clay_Brands!$A$2:$FZ$601,14,Sync!$D$5)&amp;"",""),6)&lt;&gt;"SAMPLE",Config!$B$19="Y")),IFERROR(N(INDEX(Clay_Brands!$A$2:$FZ$601,14,Sync!$D$12)),0),"")</f>
        <v/>
      </c>
      <c r="C4065" s="17">
        <f>IF(B4065="","","brand")</f>
        <v/>
      </c>
      <c r="D4065" s="17">
        <f>IF(B4065="","",IFERROR(INDEX(Clay_Brands!$A$2:$FZ$601,14,Sync!$D$5)&amp;"",""))</f>
        <v/>
      </c>
      <c r="E4065" s="17">
        <f>IF(B4065="","",IFERROR(INDEX(Clay_Brands!$A$2:$FZ$601,14,Sync!$D$6)&amp;"",""))</f>
        <v/>
      </c>
      <c r="F4065" s="17">
        <f>IF(B4065="","","outreach_sent")</f>
        <v/>
      </c>
      <c r="G4065" s="17">
        <f>IF(B4065="","","")</f>
        <v/>
      </c>
      <c r="H4065" s="17">
        <f>IF(B4065="","","")</f>
        <v/>
      </c>
      <c r="I4065" s="17">
        <f>IF(B4065="","","")</f>
        <v/>
      </c>
      <c r="J4065" s="17">
        <f>IF(B4065="","","touch_2; "&amp;IFERROR(INDEX(Clay_Brands!$A$2:$FZ$601,14,Sync!$D$10)&amp;"","")&amp;"; "&amp;IFERROR(INDEX(Clay_Brands!$A$2:$FZ$601,14,Sync!$D$9)&amp;"",""))</f>
        <v/>
      </c>
      <c r="K4065" t="inlineStr">
        <is>
          <t>brand outreach touch 2</t>
        </is>
      </c>
    </row>
    <row r="4066">
      <c r="A4066" s="17">
        <f>IF(B4066="","",B4066+(16*1000+15)/10000000)</f>
        <v/>
      </c>
      <c r="B4066" s="23">
        <f>IF(AND(IFERROR(N(INDEX(Clay_Brands!$A$2:$FZ$601,15,Sync!$D$12)),0)&gt;0,IFERROR(INDEX(Clay_Brands!$A$2:$FZ$601,15,Sync!$D$5)&amp;"","")&lt;&gt;"",OR(LEFT(IFERROR(INDEX(Clay_Brands!$A$2:$FZ$601,15,Sync!$D$5)&amp;"",""),6)&lt;&gt;"SAMPLE",Config!$B$19="Y")),IFERROR(N(INDEX(Clay_Brands!$A$2:$FZ$601,15,Sync!$D$12)),0),"")</f>
        <v/>
      </c>
      <c r="C4066" s="17">
        <f>IF(B4066="","","brand")</f>
        <v/>
      </c>
      <c r="D4066" s="17">
        <f>IF(B4066="","",IFERROR(INDEX(Clay_Brands!$A$2:$FZ$601,15,Sync!$D$5)&amp;"",""))</f>
        <v/>
      </c>
      <c r="E4066" s="17">
        <f>IF(B4066="","",IFERROR(INDEX(Clay_Brands!$A$2:$FZ$601,15,Sync!$D$6)&amp;"",""))</f>
        <v/>
      </c>
      <c r="F4066" s="17">
        <f>IF(B4066="","","outreach_sent")</f>
        <v/>
      </c>
      <c r="G4066" s="17">
        <f>IF(B4066="","","")</f>
        <v/>
      </c>
      <c r="H4066" s="17">
        <f>IF(B4066="","","")</f>
        <v/>
      </c>
      <c r="I4066" s="17">
        <f>IF(B4066="","","")</f>
        <v/>
      </c>
      <c r="J4066" s="17">
        <f>IF(B4066="","","touch_2; "&amp;IFERROR(INDEX(Clay_Brands!$A$2:$FZ$601,15,Sync!$D$10)&amp;"","")&amp;"; "&amp;IFERROR(INDEX(Clay_Brands!$A$2:$FZ$601,15,Sync!$D$9)&amp;"",""))</f>
        <v/>
      </c>
      <c r="K4066" t="inlineStr">
        <is>
          <t>brand outreach touch 2</t>
        </is>
      </c>
    </row>
    <row r="4067">
      <c r="A4067" s="17">
        <f>IF(B4067="","",B4067+(16*1000+16)/10000000)</f>
        <v/>
      </c>
      <c r="B4067" s="23">
        <f>IF(AND(IFERROR(N(INDEX(Clay_Brands!$A$2:$FZ$601,16,Sync!$D$12)),0)&gt;0,IFERROR(INDEX(Clay_Brands!$A$2:$FZ$601,16,Sync!$D$5)&amp;"","")&lt;&gt;"",OR(LEFT(IFERROR(INDEX(Clay_Brands!$A$2:$FZ$601,16,Sync!$D$5)&amp;"",""),6)&lt;&gt;"SAMPLE",Config!$B$19="Y")),IFERROR(N(INDEX(Clay_Brands!$A$2:$FZ$601,16,Sync!$D$12)),0),"")</f>
        <v/>
      </c>
      <c r="C4067" s="17">
        <f>IF(B4067="","","brand")</f>
        <v/>
      </c>
      <c r="D4067" s="17">
        <f>IF(B4067="","",IFERROR(INDEX(Clay_Brands!$A$2:$FZ$601,16,Sync!$D$5)&amp;"",""))</f>
        <v/>
      </c>
      <c r="E4067" s="17">
        <f>IF(B4067="","",IFERROR(INDEX(Clay_Brands!$A$2:$FZ$601,16,Sync!$D$6)&amp;"",""))</f>
        <v/>
      </c>
      <c r="F4067" s="17">
        <f>IF(B4067="","","outreach_sent")</f>
        <v/>
      </c>
      <c r="G4067" s="17">
        <f>IF(B4067="","","")</f>
        <v/>
      </c>
      <c r="H4067" s="17">
        <f>IF(B4067="","","")</f>
        <v/>
      </c>
      <c r="I4067" s="17">
        <f>IF(B4067="","","")</f>
        <v/>
      </c>
      <c r="J4067" s="17">
        <f>IF(B4067="","","touch_2; "&amp;IFERROR(INDEX(Clay_Brands!$A$2:$FZ$601,16,Sync!$D$10)&amp;"","")&amp;"; "&amp;IFERROR(INDEX(Clay_Brands!$A$2:$FZ$601,16,Sync!$D$9)&amp;"",""))</f>
        <v/>
      </c>
      <c r="K4067" t="inlineStr">
        <is>
          <t>brand outreach touch 2</t>
        </is>
      </c>
    </row>
    <row r="4068">
      <c r="A4068" s="17">
        <f>IF(B4068="","",B4068+(16*1000+17)/10000000)</f>
        <v/>
      </c>
      <c r="B4068" s="23">
        <f>IF(AND(IFERROR(N(INDEX(Clay_Brands!$A$2:$FZ$601,17,Sync!$D$12)),0)&gt;0,IFERROR(INDEX(Clay_Brands!$A$2:$FZ$601,17,Sync!$D$5)&amp;"","")&lt;&gt;"",OR(LEFT(IFERROR(INDEX(Clay_Brands!$A$2:$FZ$601,17,Sync!$D$5)&amp;"",""),6)&lt;&gt;"SAMPLE",Config!$B$19="Y")),IFERROR(N(INDEX(Clay_Brands!$A$2:$FZ$601,17,Sync!$D$12)),0),"")</f>
        <v/>
      </c>
      <c r="C4068" s="17">
        <f>IF(B4068="","","brand")</f>
        <v/>
      </c>
      <c r="D4068" s="17">
        <f>IF(B4068="","",IFERROR(INDEX(Clay_Brands!$A$2:$FZ$601,17,Sync!$D$5)&amp;"",""))</f>
        <v/>
      </c>
      <c r="E4068" s="17">
        <f>IF(B4068="","",IFERROR(INDEX(Clay_Brands!$A$2:$FZ$601,17,Sync!$D$6)&amp;"",""))</f>
        <v/>
      </c>
      <c r="F4068" s="17">
        <f>IF(B4068="","","outreach_sent")</f>
        <v/>
      </c>
      <c r="G4068" s="17">
        <f>IF(B4068="","","")</f>
        <v/>
      </c>
      <c r="H4068" s="17">
        <f>IF(B4068="","","")</f>
        <v/>
      </c>
      <c r="I4068" s="17">
        <f>IF(B4068="","","")</f>
        <v/>
      </c>
      <c r="J4068" s="17">
        <f>IF(B4068="","","touch_2; "&amp;IFERROR(INDEX(Clay_Brands!$A$2:$FZ$601,17,Sync!$D$10)&amp;"","")&amp;"; "&amp;IFERROR(INDEX(Clay_Brands!$A$2:$FZ$601,17,Sync!$D$9)&amp;"",""))</f>
        <v/>
      </c>
      <c r="K4068" t="inlineStr">
        <is>
          <t>brand outreach touch 2</t>
        </is>
      </c>
    </row>
    <row r="4069">
      <c r="A4069" s="17">
        <f>IF(B4069="","",B4069+(16*1000+18)/10000000)</f>
        <v/>
      </c>
      <c r="B4069" s="23">
        <f>IF(AND(IFERROR(N(INDEX(Clay_Brands!$A$2:$FZ$601,18,Sync!$D$12)),0)&gt;0,IFERROR(INDEX(Clay_Brands!$A$2:$FZ$601,18,Sync!$D$5)&amp;"","")&lt;&gt;"",OR(LEFT(IFERROR(INDEX(Clay_Brands!$A$2:$FZ$601,18,Sync!$D$5)&amp;"",""),6)&lt;&gt;"SAMPLE",Config!$B$19="Y")),IFERROR(N(INDEX(Clay_Brands!$A$2:$FZ$601,18,Sync!$D$12)),0),"")</f>
        <v/>
      </c>
      <c r="C4069" s="17">
        <f>IF(B4069="","","brand")</f>
        <v/>
      </c>
      <c r="D4069" s="17">
        <f>IF(B4069="","",IFERROR(INDEX(Clay_Brands!$A$2:$FZ$601,18,Sync!$D$5)&amp;"",""))</f>
        <v/>
      </c>
      <c r="E4069" s="17">
        <f>IF(B4069="","",IFERROR(INDEX(Clay_Brands!$A$2:$FZ$601,18,Sync!$D$6)&amp;"",""))</f>
        <v/>
      </c>
      <c r="F4069" s="17">
        <f>IF(B4069="","","outreach_sent")</f>
        <v/>
      </c>
      <c r="G4069" s="17">
        <f>IF(B4069="","","")</f>
        <v/>
      </c>
      <c r="H4069" s="17">
        <f>IF(B4069="","","")</f>
        <v/>
      </c>
      <c r="I4069" s="17">
        <f>IF(B4069="","","")</f>
        <v/>
      </c>
      <c r="J4069" s="17">
        <f>IF(B4069="","","touch_2; "&amp;IFERROR(INDEX(Clay_Brands!$A$2:$FZ$601,18,Sync!$D$10)&amp;"","")&amp;"; "&amp;IFERROR(INDEX(Clay_Brands!$A$2:$FZ$601,18,Sync!$D$9)&amp;"",""))</f>
        <v/>
      </c>
      <c r="K4069" t="inlineStr">
        <is>
          <t>brand outreach touch 2</t>
        </is>
      </c>
    </row>
    <row r="4070">
      <c r="A4070" s="17">
        <f>IF(B4070="","",B4070+(16*1000+19)/10000000)</f>
        <v/>
      </c>
      <c r="B4070" s="23">
        <f>IF(AND(IFERROR(N(INDEX(Clay_Brands!$A$2:$FZ$601,19,Sync!$D$12)),0)&gt;0,IFERROR(INDEX(Clay_Brands!$A$2:$FZ$601,19,Sync!$D$5)&amp;"","")&lt;&gt;"",OR(LEFT(IFERROR(INDEX(Clay_Brands!$A$2:$FZ$601,19,Sync!$D$5)&amp;"",""),6)&lt;&gt;"SAMPLE",Config!$B$19="Y")),IFERROR(N(INDEX(Clay_Brands!$A$2:$FZ$601,19,Sync!$D$12)),0),"")</f>
        <v/>
      </c>
      <c r="C4070" s="17">
        <f>IF(B4070="","","brand")</f>
        <v/>
      </c>
      <c r="D4070" s="17">
        <f>IF(B4070="","",IFERROR(INDEX(Clay_Brands!$A$2:$FZ$601,19,Sync!$D$5)&amp;"",""))</f>
        <v/>
      </c>
      <c r="E4070" s="17">
        <f>IF(B4070="","",IFERROR(INDEX(Clay_Brands!$A$2:$FZ$601,19,Sync!$D$6)&amp;"",""))</f>
        <v/>
      </c>
      <c r="F4070" s="17">
        <f>IF(B4070="","","outreach_sent")</f>
        <v/>
      </c>
      <c r="G4070" s="17">
        <f>IF(B4070="","","")</f>
        <v/>
      </c>
      <c r="H4070" s="17">
        <f>IF(B4070="","","")</f>
        <v/>
      </c>
      <c r="I4070" s="17">
        <f>IF(B4070="","","")</f>
        <v/>
      </c>
      <c r="J4070" s="17">
        <f>IF(B4070="","","touch_2; "&amp;IFERROR(INDEX(Clay_Brands!$A$2:$FZ$601,19,Sync!$D$10)&amp;"","")&amp;"; "&amp;IFERROR(INDEX(Clay_Brands!$A$2:$FZ$601,19,Sync!$D$9)&amp;"",""))</f>
        <v/>
      </c>
      <c r="K4070" t="inlineStr">
        <is>
          <t>brand outreach touch 2</t>
        </is>
      </c>
    </row>
    <row r="4071">
      <c r="A4071" s="17">
        <f>IF(B4071="","",B4071+(16*1000+20)/10000000)</f>
        <v/>
      </c>
      <c r="B4071" s="23">
        <f>IF(AND(IFERROR(N(INDEX(Clay_Brands!$A$2:$FZ$601,20,Sync!$D$12)),0)&gt;0,IFERROR(INDEX(Clay_Brands!$A$2:$FZ$601,20,Sync!$D$5)&amp;"","")&lt;&gt;"",OR(LEFT(IFERROR(INDEX(Clay_Brands!$A$2:$FZ$601,20,Sync!$D$5)&amp;"",""),6)&lt;&gt;"SAMPLE",Config!$B$19="Y")),IFERROR(N(INDEX(Clay_Brands!$A$2:$FZ$601,20,Sync!$D$12)),0),"")</f>
        <v/>
      </c>
      <c r="C4071" s="17">
        <f>IF(B4071="","","brand")</f>
        <v/>
      </c>
      <c r="D4071" s="17">
        <f>IF(B4071="","",IFERROR(INDEX(Clay_Brands!$A$2:$FZ$601,20,Sync!$D$5)&amp;"",""))</f>
        <v/>
      </c>
      <c r="E4071" s="17">
        <f>IF(B4071="","",IFERROR(INDEX(Clay_Brands!$A$2:$FZ$601,20,Sync!$D$6)&amp;"",""))</f>
        <v/>
      </c>
      <c r="F4071" s="17">
        <f>IF(B4071="","","outreach_sent")</f>
        <v/>
      </c>
      <c r="G4071" s="17">
        <f>IF(B4071="","","")</f>
        <v/>
      </c>
      <c r="H4071" s="17">
        <f>IF(B4071="","","")</f>
        <v/>
      </c>
      <c r="I4071" s="17">
        <f>IF(B4071="","","")</f>
        <v/>
      </c>
      <c r="J4071" s="17">
        <f>IF(B4071="","","touch_2; "&amp;IFERROR(INDEX(Clay_Brands!$A$2:$FZ$601,20,Sync!$D$10)&amp;"","")&amp;"; "&amp;IFERROR(INDEX(Clay_Brands!$A$2:$FZ$601,20,Sync!$D$9)&amp;"",""))</f>
        <v/>
      </c>
      <c r="K4071" t="inlineStr">
        <is>
          <t>brand outreach touch 2</t>
        </is>
      </c>
    </row>
    <row r="4072">
      <c r="A4072" s="17">
        <f>IF(B4072="","",B4072+(16*1000+21)/10000000)</f>
        <v/>
      </c>
      <c r="B4072" s="23">
        <f>IF(AND(IFERROR(N(INDEX(Clay_Brands!$A$2:$FZ$601,21,Sync!$D$12)),0)&gt;0,IFERROR(INDEX(Clay_Brands!$A$2:$FZ$601,21,Sync!$D$5)&amp;"","")&lt;&gt;"",OR(LEFT(IFERROR(INDEX(Clay_Brands!$A$2:$FZ$601,21,Sync!$D$5)&amp;"",""),6)&lt;&gt;"SAMPLE",Config!$B$19="Y")),IFERROR(N(INDEX(Clay_Brands!$A$2:$FZ$601,21,Sync!$D$12)),0),"")</f>
        <v/>
      </c>
      <c r="C4072" s="17">
        <f>IF(B4072="","","brand")</f>
        <v/>
      </c>
      <c r="D4072" s="17">
        <f>IF(B4072="","",IFERROR(INDEX(Clay_Brands!$A$2:$FZ$601,21,Sync!$D$5)&amp;"",""))</f>
        <v/>
      </c>
      <c r="E4072" s="17">
        <f>IF(B4072="","",IFERROR(INDEX(Clay_Brands!$A$2:$FZ$601,21,Sync!$D$6)&amp;"",""))</f>
        <v/>
      </c>
      <c r="F4072" s="17">
        <f>IF(B4072="","","outreach_sent")</f>
        <v/>
      </c>
      <c r="G4072" s="17">
        <f>IF(B4072="","","")</f>
        <v/>
      </c>
      <c r="H4072" s="17">
        <f>IF(B4072="","","")</f>
        <v/>
      </c>
      <c r="I4072" s="17">
        <f>IF(B4072="","","")</f>
        <v/>
      </c>
      <c r="J4072" s="17">
        <f>IF(B4072="","","touch_2; "&amp;IFERROR(INDEX(Clay_Brands!$A$2:$FZ$601,21,Sync!$D$10)&amp;"","")&amp;"; "&amp;IFERROR(INDEX(Clay_Brands!$A$2:$FZ$601,21,Sync!$D$9)&amp;"",""))</f>
        <v/>
      </c>
      <c r="K4072" t="inlineStr">
        <is>
          <t>brand outreach touch 2</t>
        </is>
      </c>
    </row>
    <row r="4073">
      <c r="A4073" s="17">
        <f>IF(B4073="","",B4073+(16*1000+22)/10000000)</f>
        <v/>
      </c>
      <c r="B4073" s="23">
        <f>IF(AND(IFERROR(N(INDEX(Clay_Brands!$A$2:$FZ$601,22,Sync!$D$12)),0)&gt;0,IFERROR(INDEX(Clay_Brands!$A$2:$FZ$601,22,Sync!$D$5)&amp;"","")&lt;&gt;"",OR(LEFT(IFERROR(INDEX(Clay_Brands!$A$2:$FZ$601,22,Sync!$D$5)&amp;"",""),6)&lt;&gt;"SAMPLE",Config!$B$19="Y")),IFERROR(N(INDEX(Clay_Brands!$A$2:$FZ$601,22,Sync!$D$12)),0),"")</f>
        <v/>
      </c>
      <c r="C4073" s="17">
        <f>IF(B4073="","","brand")</f>
        <v/>
      </c>
      <c r="D4073" s="17">
        <f>IF(B4073="","",IFERROR(INDEX(Clay_Brands!$A$2:$FZ$601,22,Sync!$D$5)&amp;"",""))</f>
        <v/>
      </c>
      <c r="E4073" s="17">
        <f>IF(B4073="","",IFERROR(INDEX(Clay_Brands!$A$2:$FZ$601,22,Sync!$D$6)&amp;"",""))</f>
        <v/>
      </c>
      <c r="F4073" s="17">
        <f>IF(B4073="","","outreach_sent")</f>
        <v/>
      </c>
      <c r="G4073" s="17">
        <f>IF(B4073="","","")</f>
        <v/>
      </c>
      <c r="H4073" s="17">
        <f>IF(B4073="","","")</f>
        <v/>
      </c>
      <c r="I4073" s="17">
        <f>IF(B4073="","","")</f>
        <v/>
      </c>
      <c r="J4073" s="17">
        <f>IF(B4073="","","touch_2; "&amp;IFERROR(INDEX(Clay_Brands!$A$2:$FZ$601,22,Sync!$D$10)&amp;"","")&amp;"; "&amp;IFERROR(INDEX(Clay_Brands!$A$2:$FZ$601,22,Sync!$D$9)&amp;"",""))</f>
        <v/>
      </c>
      <c r="K4073" t="inlineStr">
        <is>
          <t>brand outreach touch 2</t>
        </is>
      </c>
    </row>
    <row r="4074">
      <c r="A4074" s="17">
        <f>IF(B4074="","",B4074+(16*1000+23)/10000000)</f>
        <v/>
      </c>
      <c r="B4074" s="23">
        <f>IF(AND(IFERROR(N(INDEX(Clay_Brands!$A$2:$FZ$601,23,Sync!$D$12)),0)&gt;0,IFERROR(INDEX(Clay_Brands!$A$2:$FZ$601,23,Sync!$D$5)&amp;"","")&lt;&gt;"",OR(LEFT(IFERROR(INDEX(Clay_Brands!$A$2:$FZ$601,23,Sync!$D$5)&amp;"",""),6)&lt;&gt;"SAMPLE",Config!$B$19="Y")),IFERROR(N(INDEX(Clay_Brands!$A$2:$FZ$601,23,Sync!$D$12)),0),"")</f>
        <v/>
      </c>
      <c r="C4074" s="17">
        <f>IF(B4074="","","brand")</f>
        <v/>
      </c>
      <c r="D4074" s="17">
        <f>IF(B4074="","",IFERROR(INDEX(Clay_Brands!$A$2:$FZ$601,23,Sync!$D$5)&amp;"",""))</f>
        <v/>
      </c>
      <c r="E4074" s="17">
        <f>IF(B4074="","",IFERROR(INDEX(Clay_Brands!$A$2:$FZ$601,23,Sync!$D$6)&amp;"",""))</f>
        <v/>
      </c>
      <c r="F4074" s="17">
        <f>IF(B4074="","","outreach_sent")</f>
        <v/>
      </c>
      <c r="G4074" s="17">
        <f>IF(B4074="","","")</f>
        <v/>
      </c>
      <c r="H4074" s="17">
        <f>IF(B4074="","","")</f>
        <v/>
      </c>
      <c r="I4074" s="17">
        <f>IF(B4074="","","")</f>
        <v/>
      </c>
      <c r="J4074" s="17">
        <f>IF(B4074="","","touch_2; "&amp;IFERROR(INDEX(Clay_Brands!$A$2:$FZ$601,23,Sync!$D$10)&amp;"","")&amp;"; "&amp;IFERROR(INDEX(Clay_Brands!$A$2:$FZ$601,23,Sync!$D$9)&amp;"",""))</f>
        <v/>
      </c>
      <c r="K4074" t="inlineStr">
        <is>
          <t>brand outreach touch 2</t>
        </is>
      </c>
    </row>
    <row r="4075">
      <c r="A4075" s="17">
        <f>IF(B4075="","",B4075+(16*1000+24)/10000000)</f>
        <v/>
      </c>
      <c r="B4075" s="23">
        <f>IF(AND(IFERROR(N(INDEX(Clay_Brands!$A$2:$FZ$601,24,Sync!$D$12)),0)&gt;0,IFERROR(INDEX(Clay_Brands!$A$2:$FZ$601,24,Sync!$D$5)&amp;"","")&lt;&gt;"",OR(LEFT(IFERROR(INDEX(Clay_Brands!$A$2:$FZ$601,24,Sync!$D$5)&amp;"",""),6)&lt;&gt;"SAMPLE",Config!$B$19="Y")),IFERROR(N(INDEX(Clay_Brands!$A$2:$FZ$601,24,Sync!$D$12)),0),"")</f>
        <v/>
      </c>
      <c r="C4075" s="17">
        <f>IF(B4075="","","brand")</f>
        <v/>
      </c>
      <c r="D4075" s="17">
        <f>IF(B4075="","",IFERROR(INDEX(Clay_Brands!$A$2:$FZ$601,24,Sync!$D$5)&amp;"",""))</f>
        <v/>
      </c>
      <c r="E4075" s="17">
        <f>IF(B4075="","",IFERROR(INDEX(Clay_Brands!$A$2:$FZ$601,24,Sync!$D$6)&amp;"",""))</f>
        <v/>
      </c>
      <c r="F4075" s="17">
        <f>IF(B4075="","","outreach_sent")</f>
        <v/>
      </c>
      <c r="G4075" s="17">
        <f>IF(B4075="","","")</f>
        <v/>
      </c>
      <c r="H4075" s="17">
        <f>IF(B4075="","","")</f>
        <v/>
      </c>
      <c r="I4075" s="17">
        <f>IF(B4075="","","")</f>
        <v/>
      </c>
      <c r="J4075" s="17">
        <f>IF(B4075="","","touch_2; "&amp;IFERROR(INDEX(Clay_Brands!$A$2:$FZ$601,24,Sync!$D$10)&amp;"","")&amp;"; "&amp;IFERROR(INDEX(Clay_Brands!$A$2:$FZ$601,24,Sync!$D$9)&amp;"",""))</f>
        <v/>
      </c>
      <c r="K4075" t="inlineStr">
        <is>
          <t>brand outreach touch 2</t>
        </is>
      </c>
    </row>
    <row r="4076">
      <c r="A4076" s="17">
        <f>IF(B4076="","",B4076+(16*1000+25)/10000000)</f>
        <v/>
      </c>
      <c r="B4076" s="23">
        <f>IF(AND(IFERROR(N(INDEX(Clay_Brands!$A$2:$FZ$601,25,Sync!$D$12)),0)&gt;0,IFERROR(INDEX(Clay_Brands!$A$2:$FZ$601,25,Sync!$D$5)&amp;"","")&lt;&gt;"",OR(LEFT(IFERROR(INDEX(Clay_Brands!$A$2:$FZ$601,25,Sync!$D$5)&amp;"",""),6)&lt;&gt;"SAMPLE",Config!$B$19="Y")),IFERROR(N(INDEX(Clay_Brands!$A$2:$FZ$601,25,Sync!$D$12)),0),"")</f>
        <v/>
      </c>
      <c r="C4076" s="17">
        <f>IF(B4076="","","brand")</f>
        <v/>
      </c>
      <c r="D4076" s="17">
        <f>IF(B4076="","",IFERROR(INDEX(Clay_Brands!$A$2:$FZ$601,25,Sync!$D$5)&amp;"",""))</f>
        <v/>
      </c>
      <c r="E4076" s="17">
        <f>IF(B4076="","",IFERROR(INDEX(Clay_Brands!$A$2:$FZ$601,25,Sync!$D$6)&amp;"",""))</f>
        <v/>
      </c>
      <c r="F4076" s="17">
        <f>IF(B4076="","","outreach_sent")</f>
        <v/>
      </c>
      <c r="G4076" s="17">
        <f>IF(B4076="","","")</f>
        <v/>
      </c>
      <c r="H4076" s="17">
        <f>IF(B4076="","","")</f>
        <v/>
      </c>
      <c r="I4076" s="17">
        <f>IF(B4076="","","")</f>
        <v/>
      </c>
      <c r="J4076" s="17">
        <f>IF(B4076="","","touch_2; "&amp;IFERROR(INDEX(Clay_Brands!$A$2:$FZ$601,25,Sync!$D$10)&amp;"","")&amp;"; "&amp;IFERROR(INDEX(Clay_Brands!$A$2:$FZ$601,25,Sync!$D$9)&amp;"",""))</f>
        <v/>
      </c>
      <c r="K4076" t="inlineStr">
        <is>
          <t>brand outreach touch 2</t>
        </is>
      </c>
    </row>
    <row r="4077">
      <c r="A4077" s="17">
        <f>IF(B4077="","",B4077+(16*1000+26)/10000000)</f>
        <v/>
      </c>
      <c r="B4077" s="23">
        <f>IF(AND(IFERROR(N(INDEX(Clay_Brands!$A$2:$FZ$601,26,Sync!$D$12)),0)&gt;0,IFERROR(INDEX(Clay_Brands!$A$2:$FZ$601,26,Sync!$D$5)&amp;"","")&lt;&gt;"",OR(LEFT(IFERROR(INDEX(Clay_Brands!$A$2:$FZ$601,26,Sync!$D$5)&amp;"",""),6)&lt;&gt;"SAMPLE",Config!$B$19="Y")),IFERROR(N(INDEX(Clay_Brands!$A$2:$FZ$601,26,Sync!$D$12)),0),"")</f>
        <v/>
      </c>
      <c r="C4077" s="17">
        <f>IF(B4077="","","brand")</f>
        <v/>
      </c>
      <c r="D4077" s="17">
        <f>IF(B4077="","",IFERROR(INDEX(Clay_Brands!$A$2:$FZ$601,26,Sync!$D$5)&amp;"",""))</f>
        <v/>
      </c>
      <c r="E4077" s="17">
        <f>IF(B4077="","",IFERROR(INDEX(Clay_Brands!$A$2:$FZ$601,26,Sync!$D$6)&amp;"",""))</f>
        <v/>
      </c>
      <c r="F4077" s="17">
        <f>IF(B4077="","","outreach_sent")</f>
        <v/>
      </c>
      <c r="G4077" s="17">
        <f>IF(B4077="","","")</f>
        <v/>
      </c>
      <c r="H4077" s="17">
        <f>IF(B4077="","","")</f>
        <v/>
      </c>
      <c r="I4077" s="17">
        <f>IF(B4077="","","")</f>
        <v/>
      </c>
      <c r="J4077" s="17">
        <f>IF(B4077="","","touch_2; "&amp;IFERROR(INDEX(Clay_Brands!$A$2:$FZ$601,26,Sync!$D$10)&amp;"","")&amp;"; "&amp;IFERROR(INDEX(Clay_Brands!$A$2:$FZ$601,26,Sync!$D$9)&amp;"",""))</f>
        <v/>
      </c>
      <c r="K4077" t="inlineStr">
        <is>
          <t>brand outreach touch 2</t>
        </is>
      </c>
    </row>
    <row r="4078">
      <c r="A4078" s="17">
        <f>IF(B4078="","",B4078+(16*1000+27)/10000000)</f>
        <v/>
      </c>
      <c r="B4078" s="23">
        <f>IF(AND(IFERROR(N(INDEX(Clay_Brands!$A$2:$FZ$601,27,Sync!$D$12)),0)&gt;0,IFERROR(INDEX(Clay_Brands!$A$2:$FZ$601,27,Sync!$D$5)&amp;"","")&lt;&gt;"",OR(LEFT(IFERROR(INDEX(Clay_Brands!$A$2:$FZ$601,27,Sync!$D$5)&amp;"",""),6)&lt;&gt;"SAMPLE",Config!$B$19="Y")),IFERROR(N(INDEX(Clay_Brands!$A$2:$FZ$601,27,Sync!$D$12)),0),"")</f>
        <v/>
      </c>
      <c r="C4078" s="17">
        <f>IF(B4078="","","brand")</f>
        <v/>
      </c>
      <c r="D4078" s="17">
        <f>IF(B4078="","",IFERROR(INDEX(Clay_Brands!$A$2:$FZ$601,27,Sync!$D$5)&amp;"",""))</f>
        <v/>
      </c>
      <c r="E4078" s="17">
        <f>IF(B4078="","",IFERROR(INDEX(Clay_Brands!$A$2:$FZ$601,27,Sync!$D$6)&amp;"",""))</f>
        <v/>
      </c>
      <c r="F4078" s="17">
        <f>IF(B4078="","","outreach_sent")</f>
        <v/>
      </c>
      <c r="G4078" s="17">
        <f>IF(B4078="","","")</f>
        <v/>
      </c>
      <c r="H4078" s="17">
        <f>IF(B4078="","","")</f>
        <v/>
      </c>
      <c r="I4078" s="17">
        <f>IF(B4078="","","")</f>
        <v/>
      </c>
      <c r="J4078" s="17">
        <f>IF(B4078="","","touch_2; "&amp;IFERROR(INDEX(Clay_Brands!$A$2:$FZ$601,27,Sync!$D$10)&amp;"","")&amp;"; "&amp;IFERROR(INDEX(Clay_Brands!$A$2:$FZ$601,27,Sync!$D$9)&amp;"",""))</f>
        <v/>
      </c>
      <c r="K4078" t="inlineStr">
        <is>
          <t>brand outreach touch 2</t>
        </is>
      </c>
    </row>
    <row r="4079">
      <c r="A4079" s="17">
        <f>IF(B4079="","",B4079+(16*1000+28)/10000000)</f>
        <v/>
      </c>
      <c r="B4079" s="23">
        <f>IF(AND(IFERROR(N(INDEX(Clay_Brands!$A$2:$FZ$601,28,Sync!$D$12)),0)&gt;0,IFERROR(INDEX(Clay_Brands!$A$2:$FZ$601,28,Sync!$D$5)&amp;"","")&lt;&gt;"",OR(LEFT(IFERROR(INDEX(Clay_Brands!$A$2:$FZ$601,28,Sync!$D$5)&amp;"",""),6)&lt;&gt;"SAMPLE",Config!$B$19="Y")),IFERROR(N(INDEX(Clay_Brands!$A$2:$FZ$601,28,Sync!$D$12)),0),"")</f>
        <v/>
      </c>
      <c r="C4079" s="17">
        <f>IF(B4079="","","brand")</f>
        <v/>
      </c>
      <c r="D4079" s="17">
        <f>IF(B4079="","",IFERROR(INDEX(Clay_Brands!$A$2:$FZ$601,28,Sync!$D$5)&amp;"",""))</f>
        <v/>
      </c>
      <c r="E4079" s="17">
        <f>IF(B4079="","",IFERROR(INDEX(Clay_Brands!$A$2:$FZ$601,28,Sync!$D$6)&amp;"",""))</f>
        <v/>
      </c>
      <c r="F4079" s="17">
        <f>IF(B4079="","","outreach_sent")</f>
        <v/>
      </c>
      <c r="G4079" s="17">
        <f>IF(B4079="","","")</f>
        <v/>
      </c>
      <c r="H4079" s="17">
        <f>IF(B4079="","","")</f>
        <v/>
      </c>
      <c r="I4079" s="17">
        <f>IF(B4079="","","")</f>
        <v/>
      </c>
      <c r="J4079" s="17">
        <f>IF(B4079="","","touch_2; "&amp;IFERROR(INDEX(Clay_Brands!$A$2:$FZ$601,28,Sync!$D$10)&amp;"","")&amp;"; "&amp;IFERROR(INDEX(Clay_Brands!$A$2:$FZ$601,28,Sync!$D$9)&amp;"",""))</f>
        <v/>
      </c>
      <c r="K4079" t="inlineStr">
        <is>
          <t>brand outreach touch 2</t>
        </is>
      </c>
    </row>
    <row r="4080">
      <c r="A4080" s="17">
        <f>IF(B4080="","",B4080+(16*1000+29)/10000000)</f>
        <v/>
      </c>
      <c r="B4080" s="23">
        <f>IF(AND(IFERROR(N(INDEX(Clay_Brands!$A$2:$FZ$601,29,Sync!$D$12)),0)&gt;0,IFERROR(INDEX(Clay_Brands!$A$2:$FZ$601,29,Sync!$D$5)&amp;"","")&lt;&gt;"",OR(LEFT(IFERROR(INDEX(Clay_Brands!$A$2:$FZ$601,29,Sync!$D$5)&amp;"",""),6)&lt;&gt;"SAMPLE",Config!$B$19="Y")),IFERROR(N(INDEX(Clay_Brands!$A$2:$FZ$601,29,Sync!$D$12)),0),"")</f>
        <v/>
      </c>
      <c r="C4080" s="17">
        <f>IF(B4080="","","brand")</f>
        <v/>
      </c>
      <c r="D4080" s="17">
        <f>IF(B4080="","",IFERROR(INDEX(Clay_Brands!$A$2:$FZ$601,29,Sync!$D$5)&amp;"",""))</f>
        <v/>
      </c>
      <c r="E4080" s="17">
        <f>IF(B4080="","",IFERROR(INDEX(Clay_Brands!$A$2:$FZ$601,29,Sync!$D$6)&amp;"",""))</f>
        <v/>
      </c>
      <c r="F4080" s="17">
        <f>IF(B4080="","","outreach_sent")</f>
        <v/>
      </c>
      <c r="G4080" s="17">
        <f>IF(B4080="","","")</f>
        <v/>
      </c>
      <c r="H4080" s="17">
        <f>IF(B4080="","","")</f>
        <v/>
      </c>
      <c r="I4080" s="17">
        <f>IF(B4080="","","")</f>
        <v/>
      </c>
      <c r="J4080" s="17">
        <f>IF(B4080="","","touch_2; "&amp;IFERROR(INDEX(Clay_Brands!$A$2:$FZ$601,29,Sync!$D$10)&amp;"","")&amp;"; "&amp;IFERROR(INDEX(Clay_Brands!$A$2:$FZ$601,29,Sync!$D$9)&amp;"",""))</f>
        <v/>
      </c>
      <c r="K4080" t="inlineStr">
        <is>
          <t>brand outreach touch 2</t>
        </is>
      </c>
    </row>
    <row r="4081">
      <c r="A4081" s="17">
        <f>IF(B4081="","",B4081+(16*1000+30)/10000000)</f>
        <v/>
      </c>
      <c r="B4081" s="23">
        <f>IF(AND(IFERROR(N(INDEX(Clay_Brands!$A$2:$FZ$601,30,Sync!$D$12)),0)&gt;0,IFERROR(INDEX(Clay_Brands!$A$2:$FZ$601,30,Sync!$D$5)&amp;"","")&lt;&gt;"",OR(LEFT(IFERROR(INDEX(Clay_Brands!$A$2:$FZ$601,30,Sync!$D$5)&amp;"",""),6)&lt;&gt;"SAMPLE",Config!$B$19="Y")),IFERROR(N(INDEX(Clay_Brands!$A$2:$FZ$601,30,Sync!$D$12)),0),"")</f>
        <v/>
      </c>
      <c r="C4081" s="17">
        <f>IF(B4081="","","brand")</f>
        <v/>
      </c>
      <c r="D4081" s="17">
        <f>IF(B4081="","",IFERROR(INDEX(Clay_Brands!$A$2:$FZ$601,30,Sync!$D$5)&amp;"",""))</f>
        <v/>
      </c>
      <c r="E4081" s="17">
        <f>IF(B4081="","",IFERROR(INDEX(Clay_Brands!$A$2:$FZ$601,30,Sync!$D$6)&amp;"",""))</f>
        <v/>
      </c>
      <c r="F4081" s="17">
        <f>IF(B4081="","","outreach_sent")</f>
        <v/>
      </c>
      <c r="G4081" s="17">
        <f>IF(B4081="","","")</f>
        <v/>
      </c>
      <c r="H4081" s="17">
        <f>IF(B4081="","","")</f>
        <v/>
      </c>
      <c r="I4081" s="17">
        <f>IF(B4081="","","")</f>
        <v/>
      </c>
      <c r="J4081" s="17">
        <f>IF(B4081="","","touch_2; "&amp;IFERROR(INDEX(Clay_Brands!$A$2:$FZ$601,30,Sync!$D$10)&amp;"","")&amp;"; "&amp;IFERROR(INDEX(Clay_Brands!$A$2:$FZ$601,30,Sync!$D$9)&amp;"",""))</f>
        <v/>
      </c>
      <c r="K4081" t="inlineStr">
        <is>
          <t>brand outreach touch 2</t>
        </is>
      </c>
    </row>
    <row r="4082">
      <c r="A4082" s="17">
        <f>IF(B4082="","",B4082+(16*1000+31)/10000000)</f>
        <v/>
      </c>
      <c r="B4082" s="23">
        <f>IF(AND(IFERROR(N(INDEX(Clay_Brands!$A$2:$FZ$601,31,Sync!$D$12)),0)&gt;0,IFERROR(INDEX(Clay_Brands!$A$2:$FZ$601,31,Sync!$D$5)&amp;"","")&lt;&gt;"",OR(LEFT(IFERROR(INDEX(Clay_Brands!$A$2:$FZ$601,31,Sync!$D$5)&amp;"",""),6)&lt;&gt;"SAMPLE",Config!$B$19="Y")),IFERROR(N(INDEX(Clay_Brands!$A$2:$FZ$601,31,Sync!$D$12)),0),"")</f>
        <v/>
      </c>
      <c r="C4082" s="17">
        <f>IF(B4082="","","brand")</f>
        <v/>
      </c>
      <c r="D4082" s="17">
        <f>IF(B4082="","",IFERROR(INDEX(Clay_Brands!$A$2:$FZ$601,31,Sync!$D$5)&amp;"",""))</f>
        <v/>
      </c>
      <c r="E4082" s="17">
        <f>IF(B4082="","",IFERROR(INDEX(Clay_Brands!$A$2:$FZ$601,31,Sync!$D$6)&amp;"",""))</f>
        <v/>
      </c>
      <c r="F4082" s="17">
        <f>IF(B4082="","","outreach_sent")</f>
        <v/>
      </c>
      <c r="G4082" s="17">
        <f>IF(B4082="","","")</f>
        <v/>
      </c>
      <c r="H4082" s="17">
        <f>IF(B4082="","","")</f>
        <v/>
      </c>
      <c r="I4082" s="17">
        <f>IF(B4082="","","")</f>
        <v/>
      </c>
      <c r="J4082" s="17">
        <f>IF(B4082="","","touch_2; "&amp;IFERROR(INDEX(Clay_Brands!$A$2:$FZ$601,31,Sync!$D$10)&amp;"","")&amp;"; "&amp;IFERROR(INDEX(Clay_Brands!$A$2:$FZ$601,31,Sync!$D$9)&amp;"",""))</f>
        <v/>
      </c>
      <c r="K4082" t="inlineStr">
        <is>
          <t>brand outreach touch 2</t>
        </is>
      </c>
    </row>
    <row r="4083">
      <c r="A4083" s="17">
        <f>IF(B4083="","",B4083+(16*1000+32)/10000000)</f>
        <v/>
      </c>
      <c r="B4083" s="23">
        <f>IF(AND(IFERROR(N(INDEX(Clay_Brands!$A$2:$FZ$601,32,Sync!$D$12)),0)&gt;0,IFERROR(INDEX(Clay_Brands!$A$2:$FZ$601,32,Sync!$D$5)&amp;"","")&lt;&gt;"",OR(LEFT(IFERROR(INDEX(Clay_Brands!$A$2:$FZ$601,32,Sync!$D$5)&amp;"",""),6)&lt;&gt;"SAMPLE",Config!$B$19="Y")),IFERROR(N(INDEX(Clay_Brands!$A$2:$FZ$601,32,Sync!$D$12)),0),"")</f>
        <v/>
      </c>
      <c r="C4083" s="17">
        <f>IF(B4083="","","brand")</f>
        <v/>
      </c>
      <c r="D4083" s="17">
        <f>IF(B4083="","",IFERROR(INDEX(Clay_Brands!$A$2:$FZ$601,32,Sync!$D$5)&amp;"",""))</f>
        <v/>
      </c>
      <c r="E4083" s="17">
        <f>IF(B4083="","",IFERROR(INDEX(Clay_Brands!$A$2:$FZ$601,32,Sync!$D$6)&amp;"",""))</f>
        <v/>
      </c>
      <c r="F4083" s="17">
        <f>IF(B4083="","","outreach_sent")</f>
        <v/>
      </c>
      <c r="G4083" s="17">
        <f>IF(B4083="","","")</f>
        <v/>
      </c>
      <c r="H4083" s="17">
        <f>IF(B4083="","","")</f>
        <v/>
      </c>
      <c r="I4083" s="17">
        <f>IF(B4083="","","")</f>
        <v/>
      </c>
      <c r="J4083" s="17">
        <f>IF(B4083="","","touch_2; "&amp;IFERROR(INDEX(Clay_Brands!$A$2:$FZ$601,32,Sync!$D$10)&amp;"","")&amp;"; "&amp;IFERROR(INDEX(Clay_Brands!$A$2:$FZ$601,32,Sync!$D$9)&amp;"",""))</f>
        <v/>
      </c>
      <c r="K4083" t="inlineStr">
        <is>
          <t>brand outreach touch 2</t>
        </is>
      </c>
    </row>
    <row r="4084">
      <c r="A4084" s="17">
        <f>IF(B4084="","",B4084+(16*1000+33)/10000000)</f>
        <v/>
      </c>
      <c r="B4084" s="23">
        <f>IF(AND(IFERROR(N(INDEX(Clay_Brands!$A$2:$FZ$601,33,Sync!$D$12)),0)&gt;0,IFERROR(INDEX(Clay_Brands!$A$2:$FZ$601,33,Sync!$D$5)&amp;"","")&lt;&gt;"",OR(LEFT(IFERROR(INDEX(Clay_Brands!$A$2:$FZ$601,33,Sync!$D$5)&amp;"",""),6)&lt;&gt;"SAMPLE",Config!$B$19="Y")),IFERROR(N(INDEX(Clay_Brands!$A$2:$FZ$601,33,Sync!$D$12)),0),"")</f>
        <v/>
      </c>
      <c r="C4084" s="17">
        <f>IF(B4084="","","brand")</f>
        <v/>
      </c>
      <c r="D4084" s="17">
        <f>IF(B4084="","",IFERROR(INDEX(Clay_Brands!$A$2:$FZ$601,33,Sync!$D$5)&amp;"",""))</f>
        <v/>
      </c>
      <c r="E4084" s="17">
        <f>IF(B4084="","",IFERROR(INDEX(Clay_Brands!$A$2:$FZ$601,33,Sync!$D$6)&amp;"",""))</f>
        <v/>
      </c>
      <c r="F4084" s="17">
        <f>IF(B4084="","","outreach_sent")</f>
        <v/>
      </c>
      <c r="G4084" s="17">
        <f>IF(B4084="","","")</f>
        <v/>
      </c>
      <c r="H4084" s="17">
        <f>IF(B4084="","","")</f>
        <v/>
      </c>
      <c r="I4084" s="17">
        <f>IF(B4084="","","")</f>
        <v/>
      </c>
      <c r="J4084" s="17">
        <f>IF(B4084="","","touch_2; "&amp;IFERROR(INDEX(Clay_Brands!$A$2:$FZ$601,33,Sync!$D$10)&amp;"","")&amp;"; "&amp;IFERROR(INDEX(Clay_Brands!$A$2:$FZ$601,33,Sync!$D$9)&amp;"",""))</f>
        <v/>
      </c>
      <c r="K4084" t="inlineStr">
        <is>
          <t>brand outreach touch 2</t>
        </is>
      </c>
    </row>
    <row r="4085">
      <c r="A4085" s="17">
        <f>IF(B4085="","",B4085+(16*1000+34)/10000000)</f>
        <v/>
      </c>
      <c r="B4085" s="23">
        <f>IF(AND(IFERROR(N(INDEX(Clay_Brands!$A$2:$FZ$601,34,Sync!$D$12)),0)&gt;0,IFERROR(INDEX(Clay_Brands!$A$2:$FZ$601,34,Sync!$D$5)&amp;"","")&lt;&gt;"",OR(LEFT(IFERROR(INDEX(Clay_Brands!$A$2:$FZ$601,34,Sync!$D$5)&amp;"",""),6)&lt;&gt;"SAMPLE",Config!$B$19="Y")),IFERROR(N(INDEX(Clay_Brands!$A$2:$FZ$601,34,Sync!$D$12)),0),"")</f>
        <v/>
      </c>
      <c r="C4085" s="17">
        <f>IF(B4085="","","brand")</f>
        <v/>
      </c>
      <c r="D4085" s="17">
        <f>IF(B4085="","",IFERROR(INDEX(Clay_Brands!$A$2:$FZ$601,34,Sync!$D$5)&amp;"",""))</f>
        <v/>
      </c>
      <c r="E4085" s="17">
        <f>IF(B4085="","",IFERROR(INDEX(Clay_Brands!$A$2:$FZ$601,34,Sync!$D$6)&amp;"",""))</f>
        <v/>
      </c>
      <c r="F4085" s="17">
        <f>IF(B4085="","","outreach_sent")</f>
        <v/>
      </c>
      <c r="G4085" s="17">
        <f>IF(B4085="","","")</f>
        <v/>
      </c>
      <c r="H4085" s="17">
        <f>IF(B4085="","","")</f>
        <v/>
      </c>
      <c r="I4085" s="17">
        <f>IF(B4085="","","")</f>
        <v/>
      </c>
      <c r="J4085" s="17">
        <f>IF(B4085="","","touch_2; "&amp;IFERROR(INDEX(Clay_Brands!$A$2:$FZ$601,34,Sync!$D$10)&amp;"","")&amp;"; "&amp;IFERROR(INDEX(Clay_Brands!$A$2:$FZ$601,34,Sync!$D$9)&amp;"",""))</f>
        <v/>
      </c>
      <c r="K4085" t="inlineStr">
        <is>
          <t>brand outreach touch 2</t>
        </is>
      </c>
    </row>
    <row r="4086">
      <c r="A4086" s="17">
        <f>IF(B4086="","",B4086+(16*1000+35)/10000000)</f>
        <v/>
      </c>
      <c r="B4086" s="23">
        <f>IF(AND(IFERROR(N(INDEX(Clay_Brands!$A$2:$FZ$601,35,Sync!$D$12)),0)&gt;0,IFERROR(INDEX(Clay_Brands!$A$2:$FZ$601,35,Sync!$D$5)&amp;"","")&lt;&gt;"",OR(LEFT(IFERROR(INDEX(Clay_Brands!$A$2:$FZ$601,35,Sync!$D$5)&amp;"",""),6)&lt;&gt;"SAMPLE",Config!$B$19="Y")),IFERROR(N(INDEX(Clay_Brands!$A$2:$FZ$601,35,Sync!$D$12)),0),"")</f>
        <v/>
      </c>
      <c r="C4086" s="17">
        <f>IF(B4086="","","brand")</f>
        <v/>
      </c>
      <c r="D4086" s="17">
        <f>IF(B4086="","",IFERROR(INDEX(Clay_Brands!$A$2:$FZ$601,35,Sync!$D$5)&amp;"",""))</f>
        <v/>
      </c>
      <c r="E4086" s="17">
        <f>IF(B4086="","",IFERROR(INDEX(Clay_Brands!$A$2:$FZ$601,35,Sync!$D$6)&amp;"",""))</f>
        <v/>
      </c>
      <c r="F4086" s="17">
        <f>IF(B4086="","","outreach_sent")</f>
        <v/>
      </c>
      <c r="G4086" s="17">
        <f>IF(B4086="","","")</f>
        <v/>
      </c>
      <c r="H4086" s="17">
        <f>IF(B4086="","","")</f>
        <v/>
      </c>
      <c r="I4086" s="17">
        <f>IF(B4086="","","")</f>
        <v/>
      </c>
      <c r="J4086" s="17">
        <f>IF(B4086="","","touch_2; "&amp;IFERROR(INDEX(Clay_Brands!$A$2:$FZ$601,35,Sync!$D$10)&amp;"","")&amp;"; "&amp;IFERROR(INDEX(Clay_Brands!$A$2:$FZ$601,35,Sync!$D$9)&amp;"",""))</f>
        <v/>
      </c>
      <c r="K4086" t="inlineStr">
        <is>
          <t>brand outreach touch 2</t>
        </is>
      </c>
    </row>
    <row r="4087">
      <c r="A4087" s="17">
        <f>IF(B4087="","",B4087+(16*1000+36)/10000000)</f>
        <v/>
      </c>
      <c r="B4087" s="23">
        <f>IF(AND(IFERROR(N(INDEX(Clay_Brands!$A$2:$FZ$601,36,Sync!$D$12)),0)&gt;0,IFERROR(INDEX(Clay_Brands!$A$2:$FZ$601,36,Sync!$D$5)&amp;"","")&lt;&gt;"",OR(LEFT(IFERROR(INDEX(Clay_Brands!$A$2:$FZ$601,36,Sync!$D$5)&amp;"",""),6)&lt;&gt;"SAMPLE",Config!$B$19="Y")),IFERROR(N(INDEX(Clay_Brands!$A$2:$FZ$601,36,Sync!$D$12)),0),"")</f>
        <v/>
      </c>
      <c r="C4087" s="17">
        <f>IF(B4087="","","brand")</f>
        <v/>
      </c>
      <c r="D4087" s="17">
        <f>IF(B4087="","",IFERROR(INDEX(Clay_Brands!$A$2:$FZ$601,36,Sync!$D$5)&amp;"",""))</f>
        <v/>
      </c>
      <c r="E4087" s="17">
        <f>IF(B4087="","",IFERROR(INDEX(Clay_Brands!$A$2:$FZ$601,36,Sync!$D$6)&amp;"",""))</f>
        <v/>
      </c>
      <c r="F4087" s="17">
        <f>IF(B4087="","","outreach_sent")</f>
        <v/>
      </c>
      <c r="G4087" s="17">
        <f>IF(B4087="","","")</f>
        <v/>
      </c>
      <c r="H4087" s="17">
        <f>IF(B4087="","","")</f>
        <v/>
      </c>
      <c r="I4087" s="17">
        <f>IF(B4087="","","")</f>
        <v/>
      </c>
      <c r="J4087" s="17">
        <f>IF(B4087="","","touch_2; "&amp;IFERROR(INDEX(Clay_Brands!$A$2:$FZ$601,36,Sync!$D$10)&amp;"","")&amp;"; "&amp;IFERROR(INDEX(Clay_Brands!$A$2:$FZ$601,36,Sync!$D$9)&amp;"",""))</f>
        <v/>
      </c>
      <c r="K4087" t="inlineStr">
        <is>
          <t>brand outreach touch 2</t>
        </is>
      </c>
    </row>
    <row r="4088">
      <c r="A4088" s="17">
        <f>IF(B4088="","",B4088+(16*1000+37)/10000000)</f>
        <v/>
      </c>
      <c r="B4088" s="23">
        <f>IF(AND(IFERROR(N(INDEX(Clay_Brands!$A$2:$FZ$601,37,Sync!$D$12)),0)&gt;0,IFERROR(INDEX(Clay_Brands!$A$2:$FZ$601,37,Sync!$D$5)&amp;"","")&lt;&gt;"",OR(LEFT(IFERROR(INDEX(Clay_Brands!$A$2:$FZ$601,37,Sync!$D$5)&amp;"",""),6)&lt;&gt;"SAMPLE",Config!$B$19="Y")),IFERROR(N(INDEX(Clay_Brands!$A$2:$FZ$601,37,Sync!$D$12)),0),"")</f>
        <v/>
      </c>
      <c r="C4088" s="17">
        <f>IF(B4088="","","brand")</f>
        <v/>
      </c>
      <c r="D4088" s="17">
        <f>IF(B4088="","",IFERROR(INDEX(Clay_Brands!$A$2:$FZ$601,37,Sync!$D$5)&amp;"",""))</f>
        <v/>
      </c>
      <c r="E4088" s="17">
        <f>IF(B4088="","",IFERROR(INDEX(Clay_Brands!$A$2:$FZ$601,37,Sync!$D$6)&amp;"",""))</f>
        <v/>
      </c>
      <c r="F4088" s="17">
        <f>IF(B4088="","","outreach_sent")</f>
        <v/>
      </c>
      <c r="G4088" s="17">
        <f>IF(B4088="","","")</f>
        <v/>
      </c>
      <c r="H4088" s="17">
        <f>IF(B4088="","","")</f>
        <v/>
      </c>
      <c r="I4088" s="17">
        <f>IF(B4088="","","")</f>
        <v/>
      </c>
      <c r="J4088" s="17">
        <f>IF(B4088="","","touch_2; "&amp;IFERROR(INDEX(Clay_Brands!$A$2:$FZ$601,37,Sync!$D$10)&amp;"","")&amp;"; "&amp;IFERROR(INDEX(Clay_Brands!$A$2:$FZ$601,37,Sync!$D$9)&amp;"",""))</f>
        <v/>
      </c>
      <c r="K4088" t="inlineStr">
        <is>
          <t>brand outreach touch 2</t>
        </is>
      </c>
    </row>
    <row r="4089">
      <c r="A4089" s="17">
        <f>IF(B4089="","",B4089+(16*1000+38)/10000000)</f>
        <v/>
      </c>
      <c r="B4089" s="23">
        <f>IF(AND(IFERROR(N(INDEX(Clay_Brands!$A$2:$FZ$601,38,Sync!$D$12)),0)&gt;0,IFERROR(INDEX(Clay_Brands!$A$2:$FZ$601,38,Sync!$D$5)&amp;"","")&lt;&gt;"",OR(LEFT(IFERROR(INDEX(Clay_Brands!$A$2:$FZ$601,38,Sync!$D$5)&amp;"",""),6)&lt;&gt;"SAMPLE",Config!$B$19="Y")),IFERROR(N(INDEX(Clay_Brands!$A$2:$FZ$601,38,Sync!$D$12)),0),"")</f>
        <v/>
      </c>
      <c r="C4089" s="17">
        <f>IF(B4089="","","brand")</f>
        <v/>
      </c>
      <c r="D4089" s="17">
        <f>IF(B4089="","",IFERROR(INDEX(Clay_Brands!$A$2:$FZ$601,38,Sync!$D$5)&amp;"",""))</f>
        <v/>
      </c>
      <c r="E4089" s="17">
        <f>IF(B4089="","",IFERROR(INDEX(Clay_Brands!$A$2:$FZ$601,38,Sync!$D$6)&amp;"",""))</f>
        <v/>
      </c>
      <c r="F4089" s="17">
        <f>IF(B4089="","","outreach_sent")</f>
        <v/>
      </c>
      <c r="G4089" s="17">
        <f>IF(B4089="","","")</f>
        <v/>
      </c>
      <c r="H4089" s="17">
        <f>IF(B4089="","","")</f>
        <v/>
      </c>
      <c r="I4089" s="17">
        <f>IF(B4089="","","")</f>
        <v/>
      </c>
      <c r="J4089" s="17">
        <f>IF(B4089="","","touch_2; "&amp;IFERROR(INDEX(Clay_Brands!$A$2:$FZ$601,38,Sync!$D$10)&amp;"","")&amp;"; "&amp;IFERROR(INDEX(Clay_Brands!$A$2:$FZ$601,38,Sync!$D$9)&amp;"",""))</f>
        <v/>
      </c>
      <c r="K4089" t="inlineStr">
        <is>
          <t>brand outreach touch 2</t>
        </is>
      </c>
    </row>
    <row r="4090">
      <c r="A4090" s="17">
        <f>IF(B4090="","",B4090+(16*1000+39)/10000000)</f>
        <v/>
      </c>
      <c r="B4090" s="23">
        <f>IF(AND(IFERROR(N(INDEX(Clay_Brands!$A$2:$FZ$601,39,Sync!$D$12)),0)&gt;0,IFERROR(INDEX(Clay_Brands!$A$2:$FZ$601,39,Sync!$D$5)&amp;"","")&lt;&gt;"",OR(LEFT(IFERROR(INDEX(Clay_Brands!$A$2:$FZ$601,39,Sync!$D$5)&amp;"",""),6)&lt;&gt;"SAMPLE",Config!$B$19="Y")),IFERROR(N(INDEX(Clay_Brands!$A$2:$FZ$601,39,Sync!$D$12)),0),"")</f>
        <v/>
      </c>
      <c r="C4090" s="17">
        <f>IF(B4090="","","brand")</f>
        <v/>
      </c>
      <c r="D4090" s="17">
        <f>IF(B4090="","",IFERROR(INDEX(Clay_Brands!$A$2:$FZ$601,39,Sync!$D$5)&amp;"",""))</f>
        <v/>
      </c>
      <c r="E4090" s="17">
        <f>IF(B4090="","",IFERROR(INDEX(Clay_Brands!$A$2:$FZ$601,39,Sync!$D$6)&amp;"",""))</f>
        <v/>
      </c>
      <c r="F4090" s="17">
        <f>IF(B4090="","","outreach_sent")</f>
        <v/>
      </c>
      <c r="G4090" s="17">
        <f>IF(B4090="","","")</f>
        <v/>
      </c>
      <c r="H4090" s="17">
        <f>IF(B4090="","","")</f>
        <v/>
      </c>
      <c r="I4090" s="17">
        <f>IF(B4090="","","")</f>
        <v/>
      </c>
      <c r="J4090" s="17">
        <f>IF(B4090="","","touch_2; "&amp;IFERROR(INDEX(Clay_Brands!$A$2:$FZ$601,39,Sync!$D$10)&amp;"","")&amp;"; "&amp;IFERROR(INDEX(Clay_Brands!$A$2:$FZ$601,39,Sync!$D$9)&amp;"",""))</f>
        <v/>
      </c>
      <c r="K4090" t="inlineStr">
        <is>
          <t>brand outreach touch 2</t>
        </is>
      </c>
    </row>
    <row r="4091">
      <c r="A4091" s="17">
        <f>IF(B4091="","",B4091+(16*1000+40)/10000000)</f>
        <v/>
      </c>
      <c r="B4091" s="23">
        <f>IF(AND(IFERROR(N(INDEX(Clay_Brands!$A$2:$FZ$601,40,Sync!$D$12)),0)&gt;0,IFERROR(INDEX(Clay_Brands!$A$2:$FZ$601,40,Sync!$D$5)&amp;"","")&lt;&gt;"",OR(LEFT(IFERROR(INDEX(Clay_Brands!$A$2:$FZ$601,40,Sync!$D$5)&amp;"",""),6)&lt;&gt;"SAMPLE",Config!$B$19="Y")),IFERROR(N(INDEX(Clay_Brands!$A$2:$FZ$601,40,Sync!$D$12)),0),"")</f>
        <v/>
      </c>
      <c r="C4091" s="17">
        <f>IF(B4091="","","brand")</f>
        <v/>
      </c>
      <c r="D4091" s="17">
        <f>IF(B4091="","",IFERROR(INDEX(Clay_Brands!$A$2:$FZ$601,40,Sync!$D$5)&amp;"",""))</f>
        <v/>
      </c>
      <c r="E4091" s="17">
        <f>IF(B4091="","",IFERROR(INDEX(Clay_Brands!$A$2:$FZ$601,40,Sync!$D$6)&amp;"",""))</f>
        <v/>
      </c>
      <c r="F4091" s="17">
        <f>IF(B4091="","","outreach_sent")</f>
        <v/>
      </c>
      <c r="G4091" s="17">
        <f>IF(B4091="","","")</f>
        <v/>
      </c>
      <c r="H4091" s="17">
        <f>IF(B4091="","","")</f>
        <v/>
      </c>
      <c r="I4091" s="17">
        <f>IF(B4091="","","")</f>
        <v/>
      </c>
      <c r="J4091" s="17">
        <f>IF(B4091="","","touch_2; "&amp;IFERROR(INDEX(Clay_Brands!$A$2:$FZ$601,40,Sync!$D$10)&amp;"","")&amp;"; "&amp;IFERROR(INDEX(Clay_Brands!$A$2:$FZ$601,40,Sync!$D$9)&amp;"",""))</f>
        <v/>
      </c>
      <c r="K4091" t="inlineStr">
        <is>
          <t>brand outreach touch 2</t>
        </is>
      </c>
    </row>
    <row r="4092">
      <c r="A4092" s="17">
        <f>IF(B4092="","",B4092+(16*1000+41)/10000000)</f>
        <v/>
      </c>
      <c r="B4092" s="23">
        <f>IF(AND(IFERROR(N(INDEX(Clay_Brands!$A$2:$FZ$601,41,Sync!$D$12)),0)&gt;0,IFERROR(INDEX(Clay_Brands!$A$2:$FZ$601,41,Sync!$D$5)&amp;"","")&lt;&gt;"",OR(LEFT(IFERROR(INDEX(Clay_Brands!$A$2:$FZ$601,41,Sync!$D$5)&amp;"",""),6)&lt;&gt;"SAMPLE",Config!$B$19="Y")),IFERROR(N(INDEX(Clay_Brands!$A$2:$FZ$601,41,Sync!$D$12)),0),"")</f>
        <v/>
      </c>
      <c r="C4092" s="17">
        <f>IF(B4092="","","brand")</f>
        <v/>
      </c>
      <c r="D4092" s="17">
        <f>IF(B4092="","",IFERROR(INDEX(Clay_Brands!$A$2:$FZ$601,41,Sync!$D$5)&amp;"",""))</f>
        <v/>
      </c>
      <c r="E4092" s="17">
        <f>IF(B4092="","",IFERROR(INDEX(Clay_Brands!$A$2:$FZ$601,41,Sync!$D$6)&amp;"",""))</f>
        <v/>
      </c>
      <c r="F4092" s="17">
        <f>IF(B4092="","","outreach_sent")</f>
        <v/>
      </c>
      <c r="G4092" s="17">
        <f>IF(B4092="","","")</f>
        <v/>
      </c>
      <c r="H4092" s="17">
        <f>IF(B4092="","","")</f>
        <v/>
      </c>
      <c r="I4092" s="17">
        <f>IF(B4092="","","")</f>
        <v/>
      </c>
      <c r="J4092" s="17">
        <f>IF(B4092="","","touch_2; "&amp;IFERROR(INDEX(Clay_Brands!$A$2:$FZ$601,41,Sync!$D$10)&amp;"","")&amp;"; "&amp;IFERROR(INDEX(Clay_Brands!$A$2:$FZ$601,41,Sync!$D$9)&amp;"",""))</f>
        <v/>
      </c>
      <c r="K4092" t="inlineStr">
        <is>
          <t>brand outreach touch 2</t>
        </is>
      </c>
    </row>
    <row r="4093">
      <c r="A4093" s="17">
        <f>IF(B4093="","",B4093+(16*1000+42)/10000000)</f>
        <v/>
      </c>
      <c r="B4093" s="23">
        <f>IF(AND(IFERROR(N(INDEX(Clay_Brands!$A$2:$FZ$601,42,Sync!$D$12)),0)&gt;0,IFERROR(INDEX(Clay_Brands!$A$2:$FZ$601,42,Sync!$D$5)&amp;"","")&lt;&gt;"",OR(LEFT(IFERROR(INDEX(Clay_Brands!$A$2:$FZ$601,42,Sync!$D$5)&amp;"",""),6)&lt;&gt;"SAMPLE",Config!$B$19="Y")),IFERROR(N(INDEX(Clay_Brands!$A$2:$FZ$601,42,Sync!$D$12)),0),"")</f>
        <v/>
      </c>
      <c r="C4093" s="17">
        <f>IF(B4093="","","brand")</f>
        <v/>
      </c>
      <c r="D4093" s="17">
        <f>IF(B4093="","",IFERROR(INDEX(Clay_Brands!$A$2:$FZ$601,42,Sync!$D$5)&amp;"",""))</f>
        <v/>
      </c>
      <c r="E4093" s="17">
        <f>IF(B4093="","",IFERROR(INDEX(Clay_Brands!$A$2:$FZ$601,42,Sync!$D$6)&amp;"",""))</f>
        <v/>
      </c>
      <c r="F4093" s="17">
        <f>IF(B4093="","","outreach_sent")</f>
        <v/>
      </c>
      <c r="G4093" s="17">
        <f>IF(B4093="","","")</f>
        <v/>
      </c>
      <c r="H4093" s="17">
        <f>IF(B4093="","","")</f>
        <v/>
      </c>
      <c r="I4093" s="17">
        <f>IF(B4093="","","")</f>
        <v/>
      </c>
      <c r="J4093" s="17">
        <f>IF(B4093="","","touch_2; "&amp;IFERROR(INDEX(Clay_Brands!$A$2:$FZ$601,42,Sync!$D$10)&amp;"","")&amp;"; "&amp;IFERROR(INDEX(Clay_Brands!$A$2:$FZ$601,42,Sync!$D$9)&amp;"",""))</f>
        <v/>
      </c>
      <c r="K4093" t="inlineStr">
        <is>
          <t>brand outreach touch 2</t>
        </is>
      </c>
    </row>
    <row r="4094">
      <c r="A4094" s="17">
        <f>IF(B4094="","",B4094+(16*1000+43)/10000000)</f>
        <v/>
      </c>
      <c r="B4094" s="23">
        <f>IF(AND(IFERROR(N(INDEX(Clay_Brands!$A$2:$FZ$601,43,Sync!$D$12)),0)&gt;0,IFERROR(INDEX(Clay_Brands!$A$2:$FZ$601,43,Sync!$D$5)&amp;"","")&lt;&gt;"",OR(LEFT(IFERROR(INDEX(Clay_Brands!$A$2:$FZ$601,43,Sync!$D$5)&amp;"",""),6)&lt;&gt;"SAMPLE",Config!$B$19="Y")),IFERROR(N(INDEX(Clay_Brands!$A$2:$FZ$601,43,Sync!$D$12)),0),"")</f>
        <v/>
      </c>
      <c r="C4094" s="17">
        <f>IF(B4094="","","brand")</f>
        <v/>
      </c>
      <c r="D4094" s="17">
        <f>IF(B4094="","",IFERROR(INDEX(Clay_Brands!$A$2:$FZ$601,43,Sync!$D$5)&amp;"",""))</f>
        <v/>
      </c>
      <c r="E4094" s="17">
        <f>IF(B4094="","",IFERROR(INDEX(Clay_Brands!$A$2:$FZ$601,43,Sync!$D$6)&amp;"",""))</f>
        <v/>
      </c>
      <c r="F4094" s="17">
        <f>IF(B4094="","","outreach_sent")</f>
        <v/>
      </c>
      <c r="G4094" s="17">
        <f>IF(B4094="","","")</f>
        <v/>
      </c>
      <c r="H4094" s="17">
        <f>IF(B4094="","","")</f>
        <v/>
      </c>
      <c r="I4094" s="17">
        <f>IF(B4094="","","")</f>
        <v/>
      </c>
      <c r="J4094" s="17">
        <f>IF(B4094="","","touch_2; "&amp;IFERROR(INDEX(Clay_Brands!$A$2:$FZ$601,43,Sync!$D$10)&amp;"","")&amp;"; "&amp;IFERROR(INDEX(Clay_Brands!$A$2:$FZ$601,43,Sync!$D$9)&amp;"",""))</f>
        <v/>
      </c>
      <c r="K4094" t="inlineStr">
        <is>
          <t>brand outreach touch 2</t>
        </is>
      </c>
    </row>
    <row r="4095">
      <c r="A4095" s="17">
        <f>IF(B4095="","",B4095+(16*1000+44)/10000000)</f>
        <v/>
      </c>
      <c r="B4095" s="23">
        <f>IF(AND(IFERROR(N(INDEX(Clay_Brands!$A$2:$FZ$601,44,Sync!$D$12)),0)&gt;0,IFERROR(INDEX(Clay_Brands!$A$2:$FZ$601,44,Sync!$D$5)&amp;"","")&lt;&gt;"",OR(LEFT(IFERROR(INDEX(Clay_Brands!$A$2:$FZ$601,44,Sync!$D$5)&amp;"",""),6)&lt;&gt;"SAMPLE",Config!$B$19="Y")),IFERROR(N(INDEX(Clay_Brands!$A$2:$FZ$601,44,Sync!$D$12)),0),"")</f>
        <v/>
      </c>
      <c r="C4095" s="17">
        <f>IF(B4095="","","brand")</f>
        <v/>
      </c>
      <c r="D4095" s="17">
        <f>IF(B4095="","",IFERROR(INDEX(Clay_Brands!$A$2:$FZ$601,44,Sync!$D$5)&amp;"",""))</f>
        <v/>
      </c>
      <c r="E4095" s="17">
        <f>IF(B4095="","",IFERROR(INDEX(Clay_Brands!$A$2:$FZ$601,44,Sync!$D$6)&amp;"",""))</f>
        <v/>
      </c>
      <c r="F4095" s="17">
        <f>IF(B4095="","","outreach_sent")</f>
        <v/>
      </c>
      <c r="G4095" s="17">
        <f>IF(B4095="","","")</f>
        <v/>
      </c>
      <c r="H4095" s="17">
        <f>IF(B4095="","","")</f>
        <v/>
      </c>
      <c r="I4095" s="17">
        <f>IF(B4095="","","")</f>
        <v/>
      </c>
      <c r="J4095" s="17">
        <f>IF(B4095="","","touch_2; "&amp;IFERROR(INDEX(Clay_Brands!$A$2:$FZ$601,44,Sync!$D$10)&amp;"","")&amp;"; "&amp;IFERROR(INDEX(Clay_Brands!$A$2:$FZ$601,44,Sync!$D$9)&amp;"",""))</f>
        <v/>
      </c>
      <c r="K4095" t="inlineStr">
        <is>
          <t>brand outreach touch 2</t>
        </is>
      </c>
    </row>
    <row r="4096">
      <c r="A4096" s="17">
        <f>IF(B4096="","",B4096+(16*1000+45)/10000000)</f>
        <v/>
      </c>
      <c r="B4096" s="23">
        <f>IF(AND(IFERROR(N(INDEX(Clay_Brands!$A$2:$FZ$601,45,Sync!$D$12)),0)&gt;0,IFERROR(INDEX(Clay_Brands!$A$2:$FZ$601,45,Sync!$D$5)&amp;"","")&lt;&gt;"",OR(LEFT(IFERROR(INDEX(Clay_Brands!$A$2:$FZ$601,45,Sync!$D$5)&amp;"",""),6)&lt;&gt;"SAMPLE",Config!$B$19="Y")),IFERROR(N(INDEX(Clay_Brands!$A$2:$FZ$601,45,Sync!$D$12)),0),"")</f>
        <v/>
      </c>
      <c r="C4096" s="17">
        <f>IF(B4096="","","brand")</f>
        <v/>
      </c>
      <c r="D4096" s="17">
        <f>IF(B4096="","",IFERROR(INDEX(Clay_Brands!$A$2:$FZ$601,45,Sync!$D$5)&amp;"",""))</f>
        <v/>
      </c>
      <c r="E4096" s="17">
        <f>IF(B4096="","",IFERROR(INDEX(Clay_Brands!$A$2:$FZ$601,45,Sync!$D$6)&amp;"",""))</f>
        <v/>
      </c>
      <c r="F4096" s="17">
        <f>IF(B4096="","","outreach_sent")</f>
        <v/>
      </c>
      <c r="G4096" s="17">
        <f>IF(B4096="","","")</f>
        <v/>
      </c>
      <c r="H4096" s="17">
        <f>IF(B4096="","","")</f>
        <v/>
      </c>
      <c r="I4096" s="17">
        <f>IF(B4096="","","")</f>
        <v/>
      </c>
      <c r="J4096" s="17">
        <f>IF(B4096="","","touch_2; "&amp;IFERROR(INDEX(Clay_Brands!$A$2:$FZ$601,45,Sync!$D$10)&amp;"","")&amp;"; "&amp;IFERROR(INDEX(Clay_Brands!$A$2:$FZ$601,45,Sync!$D$9)&amp;"",""))</f>
        <v/>
      </c>
      <c r="K4096" t="inlineStr">
        <is>
          <t>brand outreach touch 2</t>
        </is>
      </c>
    </row>
    <row r="4097">
      <c r="A4097" s="17">
        <f>IF(B4097="","",B4097+(16*1000+46)/10000000)</f>
        <v/>
      </c>
      <c r="B4097" s="23">
        <f>IF(AND(IFERROR(N(INDEX(Clay_Brands!$A$2:$FZ$601,46,Sync!$D$12)),0)&gt;0,IFERROR(INDEX(Clay_Brands!$A$2:$FZ$601,46,Sync!$D$5)&amp;"","")&lt;&gt;"",OR(LEFT(IFERROR(INDEX(Clay_Brands!$A$2:$FZ$601,46,Sync!$D$5)&amp;"",""),6)&lt;&gt;"SAMPLE",Config!$B$19="Y")),IFERROR(N(INDEX(Clay_Brands!$A$2:$FZ$601,46,Sync!$D$12)),0),"")</f>
        <v/>
      </c>
      <c r="C4097" s="17">
        <f>IF(B4097="","","brand")</f>
        <v/>
      </c>
      <c r="D4097" s="17">
        <f>IF(B4097="","",IFERROR(INDEX(Clay_Brands!$A$2:$FZ$601,46,Sync!$D$5)&amp;"",""))</f>
        <v/>
      </c>
      <c r="E4097" s="17">
        <f>IF(B4097="","",IFERROR(INDEX(Clay_Brands!$A$2:$FZ$601,46,Sync!$D$6)&amp;"",""))</f>
        <v/>
      </c>
      <c r="F4097" s="17">
        <f>IF(B4097="","","outreach_sent")</f>
        <v/>
      </c>
      <c r="G4097" s="17">
        <f>IF(B4097="","","")</f>
        <v/>
      </c>
      <c r="H4097" s="17">
        <f>IF(B4097="","","")</f>
        <v/>
      </c>
      <c r="I4097" s="17">
        <f>IF(B4097="","","")</f>
        <v/>
      </c>
      <c r="J4097" s="17">
        <f>IF(B4097="","","touch_2; "&amp;IFERROR(INDEX(Clay_Brands!$A$2:$FZ$601,46,Sync!$D$10)&amp;"","")&amp;"; "&amp;IFERROR(INDEX(Clay_Brands!$A$2:$FZ$601,46,Sync!$D$9)&amp;"",""))</f>
        <v/>
      </c>
      <c r="K4097" t="inlineStr">
        <is>
          <t>brand outreach touch 2</t>
        </is>
      </c>
    </row>
    <row r="4098">
      <c r="A4098" s="17">
        <f>IF(B4098="","",B4098+(16*1000+47)/10000000)</f>
        <v/>
      </c>
      <c r="B4098" s="23">
        <f>IF(AND(IFERROR(N(INDEX(Clay_Brands!$A$2:$FZ$601,47,Sync!$D$12)),0)&gt;0,IFERROR(INDEX(Clay_Brands!$A$2:$FZ$601,47,Sync!$D$5)&amp;"","")&lt;&gt;"",OR(LEFT(IFERROR(INDEX(Clay_Brands!$A$2:$FZ$601,47,Sync!$D$5)&amp;"",""),6)&lt;&gt;"SAMPLE",Config!$B$19="Y")),IFERROR(N(INDEX(Clay_Brands!$A$2:$FZ$601,47,Sync!$D$12)),0),"")</f>
        <v/>
      </c>
      <c r="C4098" s="17">
        <f>IF(B4098="","","brand")</f>
        <v/>
      </c>
      <c r="D4098" s="17">
        <f>IF(B4098="","",IFERROR(INDEX(Clay_Brands!$A$2:$FZ$601,47,Sync!$D$5)&amp;"",""))</f>
        <v/>
      </c>
      <c r="E4098" s="17">
        <f>IF(B4098="","",IFERROR(INDEX(Clay_Brands!$A$2:$FZ$601,47,Sync!$D$6)&amp;"",""))</f>
        <v/>
      </c>
      <c r="F4098" s="17">
        <f>IF(B4098="","","outreach_sent")</f>
        <v/>
      </c>
      <c r="G4098" s="17">
        <f>IF(B4098="","","")</f>
        <v/>
      </c>
      <c r="H4098" s="17">
        <f>IF(B4098="","","")</f>
        <v/>
      </c>
      <c r="I4098" s="17">
        <f>IF(B4098="","","")</f>
        <v/>
      </c>
      <c r="J4098" s="17">
        <f>IF(B4098="","","touch_2; "&amp;IFERROR(INDEX(Clay_Brands!$A$2:$FZ$601,47,Sync!$D$10)&amp;"","")&amp;"; "&amp;IFERROR(INDEX(Clay_Brands!$A$2:$FZ$601,47,Sync!$D$9)&amp;"",""))</f>
        <v/>
      </c>
      <c r="K4098" t="inlineStr">
        <is>
          <t>brand outreach touch 2</t>
        </is>
      </c>
    </row>
    <row r="4099">
      <c r="A4099" s="17">
        <f>IF(B4099="","",B4099+(16*1000+48)/10000000)</f>
        <v/>
      </c>
      <c r="B4099" s="23">
        <f>IF(AND(IFERROR(N(INDEX(Clay_Brands!$A$2:$FZ$601,48,Sync!$D$12)),0)&gt;0,IFERROR(INDEX(Clay_Brands!$A$2:$FZ$601,48,Sync!$D$5)&amp;"","")&lt;&gt;"",OR(LEFT(IFERROR(INDEX(Clay_Brands!$A$2:$FZ$601,48,Sync!$D$5)&amp;"",""),6)&lt;&gt;"SAMPLE",Config!$B$19="Y")),IFERROR(N(INDEX(Clay_Brands!$A$2:$FZ$601,48,Sync!$D$12)),0),"")</f>
        <v/>
      </c>
      <c r="C4099" s="17">
        <f>IF(B4099="","","brand")</f>
        <v/>
      </c>
      <c r="D4099" s="17">
        <f>IF(B4099="","",IFERROR(INDEX(Clay_Brands!$A$2:$FZ$601,48,Sync!$D$5)&amp;"",""))</f>
        <v/>
      </c>
      <c r="E4099" s="17">
        <f>IF(B4099="","",IFERROR(INDEX(Clay_Brands!$A$2:$FZ$601,48,Sync!$D$6)&amp;"",""))</f>
        <v/>
      </c>
      <c r="F4099" s="17">
        <f>IF(B4099="","","outreach_sent")</f>
        <v/>
      </c>
      <c r="G4099" s="17">
        <f>IF(B4099="","","")</f>
        <v/>
      </c>
      <c r="H4099" s="17">
        <f>IF(B4099="","","")</f>
        <v/>
      </c>
      <c r="I4099" s="17">
        <f>IF(B4099="","","")</f>
        <v/>
      </c>
      <c r="J4099" s="17">
        <f>IF(B4099="","","touch_2; "&amp;IFERROR(INDEX(Clay_Brands!$A$2:$FZ$601,48,Sync!$D$10)&amp;"","")&amp;"; "&amp;IFERROR(INDEX(Clay_Brands!$A$2:$FZ$601,48,Sync!$D$9)&amp;"",""))</f>
        <v/>
      </c>
      <c r="K4099" t="inlineStr">
        <is>
          <t>brand outreach touch 2</t>
        </is>
      </c>
    </row>
    <row r="4100">
      <c r="A4100" s="17">
        <f>IF(B4100="","",B4100+(16*1000+49)/10000000)</f>
        <v/>
      </c>
      <c r="B4100" s="23">
        <f>IF(AND(IFERROR(N(INDEX(Clay_Brands!$A$2:$FZ$601,49,Sync!$D$12)),0)&gt;0,IFERROR(INDEX(Clay_Brands!$A$2:$FZ$601,49,Sync!$D$5)&amp;"","")&lt;&gt;"",OR(LEFT(IFERROR(INDEX(Clay_Brands!$A$2:$FZ$601,49,Sync!$D$5)&amp;"",""),6)&lt;&gt;"SAMPLE",Config!$B$19="Y")),IFERROR(N(INDEX(Clay_Brands!$A$2:$FZ$601,49,Sync!$D$12)),0),"")</f>
        <v/>
      </c>
      <c r="C4100" s="17">
        <f>IF(B4100="","","brand")</f>
        <v/>
      </c>
      <c r="D4100" s="17">
        <f>IF(B4100="","",IFERROR(INDEX(Clay_Brands!$A$2:$FZ$601,49,Sync!$D$5)&amp;"",""))</f>
        <v/>
      </c>
      <c r="E4100" s="17">
        <f>IF(B4100="","",IFERROR(INDEX(Clay_Brands!$A$2:$FZ$601,49,Sync!$D$6)&amp;"",""))</f>
        <v/>
      </c>
      <c r="F4100" s="17">
        <f>IF(B4100="","","outreach_sent")</f>
        <v/>
      </c>
      <c r="G4100" s="17">
        <f>IF(B4100="","","")</f>
        <v/>
      </c>
      <c r="H4100" s="17">
        <f>IF(B4100="","","")</f>
        <v/>
      </c>
      <c r="I4100" s="17">
        <f>IF(B4100="","","")</f>
        <v/>
      </c>
      <c r="J4100" s="17">
        <f>IF(B4100="","","touch_2; "&amp;IFERROR(INDEX(Clay_Brands!$A$2:$FZ$601,49,Sync!$D$10)&amp;"","")&amp;"; "&amp;IFERROR(INDEX(Clay_Brands!$A$2:$FZ$601,49,Sync!$D$9)&amp;"",""))</f>
        <v/>
      </c>
      <c r="K4100" t="inlineStr">
        <is>
          <t>brand outreach touch 2</t>
        </is>
      </c>
    </row>
    <row r="4101">
      <c r="A4101" s="17">
        <f>IF(B4101="","",B4101+(16*1000+50)/10000000)</f>
        <v/>
      </c>
      <c r="B4101" s="23">
        <f>IF(AND(IFERROR(N(INDEX(Clay_Brands!$A$2:$FZ$601,50,Sync!$D$12)),0)&gt;0,IFERROR(INDEX(Clay_Brands!$A$2:$FZ$601,50,Sync!$D$5)&amp;"","")&lt;&gt;"",OR(LEFT(IFERROR(INDEX(Clay_Brands!$A$2:$FZ$601,50,Sync!$D$5)&amp;"",""),6)&lt;&gt;"SAMPLE",Config!$B$19="Y")),IFERROR(N(INDEX(Clay_Brands!$A$2:$FZ$601,50,Sync!$D$12)),0),"")</f>
        <v/>
      </c>
      <c r="C4101" s="17">
        <f>IF(B4101="","","brand")</f>
        <v/>
      </c>
      <c r="D4101" s="17">
        <f>IF(B4101="","",IFERROR(INDEX(Clay_Brands!$A$2:$FZ$601,50,Sync!$D$5)&amp;"",""))</f>
        <v/>
      </c>
      <c r="E4101" s="17">
        <f>IF(B4101="","",IFERROR(INDEX(Clay_Brands!$A$2:$FZ$601,50,Sync!$D$6)&amp;"",""))</f>
        <v/>
      </c>
      <c r="F4101" s="17">
        <f>IF(B4101="","","outreach_sent")</f>
        <v/>
      </c>
      <c r="G4101" s="17">
        <f>IF(B4101="","","")</f>
        <v/>
      </c>
      <c r="H4101" s="17">
        <f>IF(B4101="","","")</f>
        <v/>
      </c>
      <c r="I4101" s="17">
        <f>IF(B4101="","","")</f>
        <v/>
      </c>
      <c r="J4101" s="17">
        <f>IF(B4101="","","touch_2; "&amp;IFERROR(INDEX(Clay_Brands!$A$2:$FZ$601,50,Sync!$D$10)&amp;"","")&amp;"; "&amp;IFERROR(INDEX(Clay_Brands!$A$2:$FZ$601,50,Sync!$D$9)&amp;"",""))</f>
        <v/>
      </c>
      <c r="K4101" t="inlineStr">
        <is>
          <t>brand outreach touch 2</t>
        </is>
      </c>
    </row>
    <row r="4102">
      <c r="A4102" s="17">
        <f>IF(B4102="","",B4102+(16*1000+51)/10000000)</f>
        <v/>
      </c>
      <c r="B4102" s="23">
        <f>IF(AND(IFERROR(N(INDEX(Clay_Brands!$A$2:$FZ$601,51,Sync!$D$12)),0)&gt;0,IFERROR(INDEX(Clay_Brands!$A$2:$FZ$601,51,Sync!$D$5)&amp;"","")&lt;&gt;"",OR(LEFT(IFERROR(INDEX(Clay_Brands!$A$2:$FZ$601,51,Sync!$D$5)&amp;"",""),6)&lt;&gt;"SAMPLE",Config!$B$19="Y")),IFERROR(N(INDEX(Clay_Brands!$A$2:$FZ$601,51,Sync!$D$12)),0),"")</f>
        <v/>
      </c>
      <c r="C4102" s="17">
        <f>IF(B4102="","","brand")</f>
        <v/>
      </c>
      <c r="D4102" s="17">
        <f>IF(B4102="","",IFERROR(INDEX(Clay_Brands!$A$2:$FZ$601,51,Sync!$D$5)&amp;"",""))</f>
        <v/>
      </c>
      <c r="E4102" s="17">
        <f>IF(B4102="","",IFERROR(INDEX(Clay_Brands!$A$2:$FZ$601,51,Sync!$D$6)&amp;"",""))</f>
        <v/>
      </c>
      <c r="F4102" s="17">
        <f>IF(B4102="","","outreach_sent")</f>
        <v/>
      </c>
      <c r="G4102" s="17">
        <f>IF(B4102="","","")</f>
        <v/>
      </c>
      <c r="H4102" s="17">
        <f>IF(B4102="","","")</f>
        <v/>
      </c>
      <c r="I4102" s="17">
        <f>IF(B4102="","","")</f>
        <v/>
      </c>
      <c r="J4102" s="17">
        <f>IF(B4102="","","touch_2; "&amp;IFERROR(INDEX(Clay_Brands!$A$2:$FZ$601,51,Sync!$D$10)&amp;"","")&amp;"; "&amp;IFERROR(INDEX(Clay_Brands!$A$2:$FZ$601,51,Sync!$D$9)&amp;"",""))</f>
        <v/>
      </c>
      <c r="K4102" t="inlineStr">
        <is>
          <t>brand outreach touch 2</t>
        </is>
      </c>
    </row>
    <row r="4103">
      <c r="A4103" s="17">
        <f>IF(B4103="","",B4103+(16*1000+52)/10000000)</f>
        <v/>
      </c>
      <c r="B4103" s="23">
        <f>IF(AND(IFERROR(N(INDEX(Clay_Brands!$A$2:$FZ$601,52,Sync!$D$12)),0)&gt;0,IFERROR(INDEX(Clay_Brands!$A$2:$FZ$601,52,Sync!$D$5)&amp;"","")&lt;&gt;"",OR(LEFT(IFERROR(INDEX(Clay_Brands!$A$2:$FZ$601,52,Sync!$D$5)&amp;"",""),6)&lt;&gt;"SAMPLE",Config!$B$19="Y")),IFERROR(N(INDEX(Clay_Brands!$A$2:$FZ$601,52,Sync!$D$12)),0),"")</f>
        <v/>
      </c>
      <c r="C4103" s="17">
        <f>IF(B4103="","","brand")</f>
        <v/>
      </c>
      <c r="D4103" s="17">
        <f>IF(B4103="","",IFERROR(INDEX(Clay_Brands!$A$2:$FZ$601,52,Sync!$D$5)&amp;"",""))</f>
        <v/>
      </c>
      <c r="E4103" s="17">
        <f>IF(B4103="","",IFERROR(INDEX(Clay_Brands!$A$2:$FZ$601,52,Sync!$D$6)&amp;"",""))</f>
        <v/>
      </c>
      <c r="F4103" s="17">
        <f>IF(B4103="","","outreach_sent")</f>
        <v/>
      </c>
      <c r="G4103" s="17">
        <f>IF(B4103="","","")</f>
        <v/>
      </c>
      <c r="H4103" s="17">
        <f>IF(B4103="","","")</f>
        <v/>
      </c>
      <c r="I4103" s="17">
        <f>IF(B4103="","","")</f>
        <v/>
      </c>
      <c r="J4103" s="17">
        <f>IF(B4103="","","touch_2; "&amp;IFERROR(INDEX(Clay_Brands!$A$2:$FZ$601,52,Sync!$D$10)&amp;"","")&amp;"; "&amp;IFERROR(INDEX(Clay_Brands!$A$2:$FZ$601,52,Sync!$D$9)&amp;"",""))</f>
        <v/>
      </c>
      <c r="K4103" t="inlineStr">
        <is>
          <t>brand outreach touch 2</t>
        </is>
      </c>
    </row>
    <row r="4104">
      <c r="A4104" s="17">
        <f>IF(B4104="","",B4104+(16*1000+53)/10000000)</f>
        <v/>
      </c>
      <c r="B4104" s="23">
        <f>IF(AND(IFERROR(N(INDEX(Clay_Brands!$A$2:$FZ$601,53,Sync!$D$12)),0)&gt;0,IFERROR(INDEX(Clay_Brands!$A$2:$FZ$601,53,Sync!$D$5)&amp;"","")&lt;&gt;"",OR(LEFT(IFERROR(INDEX(Clay_Brands!$A$2:$FZ$601,53,Sync!$D$5)&amp;"",""),6)&lt;&gt;"SAMPLE",Config!$B$19="Y")),IFERROR(N(INDEX(Clay_Brands!$A$2:$FZ$601,53,Sync!$D$12)),0),"")</f>
        <v/>
      </c>
      <c r="C4104" s="17">
        <f>IF(B4104="","","brand")</f>
        <v/>
      </c>
      <c r="D4104" s="17">
        <f>IF(B4104="","",IFERROR(INDEX(Clay_Brands!$A$2:$FZ$601,53,Sync!$D$5)&amp;"",""))</f>
        <v/>
      </c>
      <c r="E4104" s="17">
        <f>IF(B4104="","",IFERROR(INDEX(Clay_Brands!$A$2:$FZ$601,53,Sync!$D$6)&amp;"",""))</f>
        <v/>
      </c>
      <c r="F4104" s="17">
        <f>IF(B4104="","","outreach_sent")</f>
        <v/>
      </c>
      <c r="G4104" s="17">
        <f>IF(B4104="","","")</f>
        <v/>
      </c>
      <c r="H4104" s="17">
        <f>IF(B4104="","","")</f>
        <v/>
      </c>
      <c r="I4104" s="17">
        <f>IF(B4104="","","")</f>
        <v/>
      </c>
      <c r="J4104" s="17">
        <f>IF(B4104="","","touch_2; "&amp;IFERROR(INDEX(Clay_Brands!$A$2:$FZ$601,53,Sync!$D$10)&amp;"","")&amp;"; "&amp;IFERROR(INDEX(Clay_Brands!$A$2:$FZ$601,53,Sync!$D$9)&amp;"",""))</f>
        <v/>
      </c>
      <c r="K4104" t="inlineStr">
        <is>
          <t>brand outreach touch 2</t>
        </is>
      </c>
    </row>
    <row r="4105">
      <c r="A4105" s="17">
        <f>IF(B4105="","",B4105+(16*1000+54)/10000000)</f>
        <v/>
      </c>
      <c r="B4105" s="23">
        <f>IF(AND(IFERROR(N(INDEX(Clay_Brands!$A$2:$FZ$601,54,Sync!$D$12)),0)&gt;0,IFERROR(INDEX(Clay_Brands!$A$2:$FZ$601,54,Sync!$D$5)&amp;"","")&lt;&gt;"",OR(LEFT(IFERROR(INDEX(Clay_Brands!$A$2:$FZ$601,54,Sync!$D$5)&amp;"",""),6)&lt;&gt;"SAMPLE",Config!$B$19="Y")),IFERROR(N(INDEX(Clay_Brands!$A$2:$FZ$601,54,Sync!$D$12)),0),"")</f>
        <v/>
      </c>
      <c r="C4105" s="17">
        <f>IF(B4105="","","brand")</f>
        <v/>
      </c>
      <c r="D4105" s="17">
        <f>IF(B4105="","",IFERROR(INDEX(Clay_Brands!$A$2:$FZ$601,54,Sync!$D$5)&amp;"",""))</f>
        <v/>
      </c>
      <c r="E4105" s="17">
        <f>IF(B4105="","",IFERROR(INDEX(Clay_Brands!$A$2:$FZ$601,54,Sync!$D$6)&amp;"",""))</f>
        <v/>
      </c>
      <c r="F4105" s="17">
        <f>IF(B4105="","","outreach_sent")</f>
        <v/>
      </c>
      <c r="G4105" s="17">
        <f>IF(B4105="","","")</f>
        <v/>
      </c>
      <c r="H4105" s="17">
        <f>IF(B4105="","","")</f>
        <v/>
      </c>
      <c r="I4105" s="17">
        <f>IF(B4105="","","")</f>
        <v/>
      </c>
      <c r="J4105" s="17">
        <f>IF(B4105="","","touch_2; "&amp;IFERROR(INDEX(Clay_Brands!$A$2:$FZ$601,54,Sync!$D$10)&amp;"","")&amp;"; "&amp;IFERROR(INDEX(Clay_Brands!$A$2:$FZ$601,54,Sync!$D$9)&amp;"",""))</f>
        <v/>
      </c>
      <c r="K4105" t="inlineStr">
        <is>
          <t>brand outreach touch 2</t>
        </is>
      </c>
    </row>
    <row r="4106">
      <c r="A4106" s="17">
        <f>IF(B4106="","",B4106+(16*1000+55)/10000000)</f>
        <v/>
      </c>
      <c r="B4106" s="23">
        <f>IF(AND(IFERROR(N(INDEX(Clay_Brands!$A$2:$FZ$601,55,Sync!$D$12)),0)&gt;0,IFERROR(INDEX(Clay_Brands!$A$2:$FZ$601,55,Sync!$D$5)&amp;"","")&lt;&gt;"",OR(LEFT(IFERROR(INDEX(Clay_Brands!$A$2:$FZ$601,55,Sync!$D$5)&amp;"",""),6)&lt;&gt;"SAMPLE",Config!$B$19="Y")),IFERROR(N(INDEX(Clay_Brands!$A$2:$FZ$601,55,Sync!$D$12)),0),"")</f>
        <v/>
      </c>
      <c r="C4106" s="17">
        <f>IF(B4106="","","brand")</f>
        <v/>
      </c>
      <c r="D4106" s="17">
        <f>IF(B4106="","",IFERROR(INDEX(Clay_Brands!$A$2:$FZ$601,55,Sync!$D$5)&amp;"",""))</f>
        <v/>
      </c>
      <c r="E4106" s="17">
        <f>IF(B4106="","",IFERROR(INDEX(Clay_Brands!$A$2:$FZ$601,55,Sync!$D$6)&amp;"",""))</f>
        <v/>
      </c>
      <c r="F4106" s="17">
        <f>IF(B4106="","","outreach_sent")</f>
        <v/>
      </c>
      <c r="G4106" s="17">
        <f>IF(B4106="","","")</f>
        <v/>
      </c>
      <c r="H4106" s="17">
        <f>IF(B4106="","","")</f>
        <v/>
      </c>
      <c r="I4106" s="17">
        <f>IF(B4106="","","")</f>
        <v/>
      </c>
      <c r="J4106" s="17">
        <f>IF(B4106="","","touch_2; "&amp;IFERROR(INDEX(Clay_Brands!$A$2:$FZ$601,55,Sync!$D$10)&amp;"","")&amp;"; "&amp;IFERROR(INDEX(Clay_Brands!$A$2:$FZ$601,55,Sync!$D$9)&amp;"",""))</f>
        <v/>
      </c>
      <c r="K4106" t="inlineStr">
        <is>
          <t>brand outreach touch 2</t>
        </is>
      </c>
    </row>
    <row r="4107">
      <c r="A4107" s="17">
        <f>IF(B4107="","",B4107+(16*1000+56)/10000000)</f>
        <v/>
      </c>
      <c r="B4107" s="23">
        <f>IF(AND(IFERROR(N(INDEX(Clay_Brands!$A$2:$FZ$601,56,Sync!$D$12)),0)&gt;0,IFERROR(INDEX(Clay_Brands!$A$2:$FZ$601,56,Sync!$D$5)&amp;"","")&lt;&gt;"",OR(LEFT(IFERROR(INDEX(Clay_Brands!$A$2:$FZ$601,56,Sync!$D$5)&amp;"",""),6)&lt;&gt;"SAMPLE",Config!$B$19="Y")),IFERROR(N(INDEX(Clay_Brands!$A$2:$FZ$601,56,Sync!$D$12)),0),"")</f>
        <v/>
      </c>
      <c r="C4107" s="17">
        <f>IF(B4107="","","brand")</f>
        <v/>
      </c>
      <c r="D4107" s="17">
        <f>IF(B4107="","",IFERROR(INDEX(Clay_Brands!$A$2:$FZ$601,56,Sync!$D$5)&amp;"",""))</f>
        <v/>
      </c>
      <c r="E4107" s="17">
        <f>IF(B4107="","",IFERROR(INDEX(Clay_Brands!$A$2:$FZ$601,56,Sync!$D$6)&amp;"",""))</f>
        <v/>
      </c>
      <c r="F4107" s="17">
        <f>IF(B4107="","","outreach_sent")</f>
        <v/>
      </c>
      <c r="G4107" s="17">
        <f>IF(B4107="","","")</f>
        <v/>
      </c>
      <c r="H4107" s="17">
        <f>IF(B4107="","","")</f>
        <v/>
      </c>
      <c r="I4107" s="17">
        <f>IF(B4107="","","")</f>
        <v/>
      </c>
      <c r="J4107" s="17">
        <f>IF(B4107="","","touch_2; "&amp;IFERROR(INDEX(Clay_Brands!$A$2:$FZ$601,56,Sync!$D$10)&amp;"","")&amp;"; "&amp;IFERROR(INDEX(Clay_Brands!$A$2:$FZ$601,56,Sync!$D$9)&amp;"",""))</f>
        <v/>
      </c>
      <c r="K4107" t="inlineStr">
        <is>
          <t>brand outreach touch 2</t>
        </is>
      </c>
    </row>
    <row r="4108">
      <c r="A4108" s="17">
        <f>IF(B4108="","",B4108+(16*1000+57)/10000000)</f>
        <v/>
      </c>
      <c r="B4108" s="23">
        <f>IF(AND(IFERROR(N(INDEX(Clay_Brands!$A$2:$FZ$601,57,Sync!$D$12)),0)&gt;0,IFERROR(INDEX(Clay_Brands!$A$2:$FZ$601,57,Sync!$D$5)&amp;"","")&lt;&gt;"",OR(LEFT(IFERROR(INDEX(Clay_Brands!$A$2:$FZ$601,57,Sync!$D$5)&amp;"",""),6)&lt;&gt;"SAMPLE",Config!$B$19="Y")),IFERROR(N(INDEX(Clay_Brands!$A$2:$FZ$601,57,Sync!$D$12)),0),"")</f>
        <v/>
      </c>
      <c r="C4108" s="17">
        <f>IF(B4108="","","brand")</f>
        <v/>
      </c>
      <c r="D4108" s="17">
        <f>IF(B4108="","",IFERROR(INDEX(Clay_Brands!$A$2:$FZ$601,57,Sync!$D$5)&amp;"",""))</f>
        <v/>
      </c>
      <c r="E4108" s="17">
        <f>IF(B4108="","",IFERROR(INDEX(Clay_Brands!$A$2:$FZ$601,57,Sync!$D$6)&amp;"",""))</f>
        <v/>
      </c>
      <c r="F4108" s="17">
        <f>IF(B4108="","","outreach_sent")</f>
        <v/>
      </c>
      <c r="G4108" s="17">
        <f>IF(B4108="","","")</f>
        <v/>
      </c>
      <c r="H4108" s="17">
        <f>IF(B4108="","","")</f>
        <v/>
      </c>
      <c r="I4108" s="17">
        <f>IF(B4108="","","")</f>
        <v/>
      </c>
      <c r="J4108" s="17">
        <f>IF(B4108="","","touch_2; "&amp;IFERROR(INDEX(Clay_Brands!$A$2:$FZ$601,57,Sync!$D$10)&amp;"","")&amp;"; "&amp;IFERROR(INDEX(Clay_Brands!$A$2:$FZ$601,57,Sync!$D$9)&amp;"",""))</f>
        <v/>
      </c>
      <c r="K4108" t="inlineStr">
        <is>
          <t>brand outreach touch 2</t>
        </is>
      </c>
    </row>
    <row r="4109">
      <c r="A4109" s="17">
        <f>IF(B4109="","",B4109+(16*1000+58)/10000000)</f>
        <v/>
      </c>
      <c r="B4109" s="23">
        <f>IF(AND(IFERROR(N(INDEX(Clay_Brands!$A$2:$FZ$601,58,Sync!$D$12)),0)&gt;0,IFERROR(INDEX(Clay_Brands!$A$2:$FZ$601,58,Sync!$D$5)&amp;"","")&lt;&gt;"",OR(LEFT(IFERROR(INDEX(Clay_Brands!$A$2:$FZ$601,58,Sync!$D$5)&amp;"",""),6)&lt;&gt;"SAMPLE",Config!$B$19="Y")),IFERROR(N(INDEX(Clay_Brands!$A$2:$FZ$601,58,Sync!$D$12)),0),"")</f>
        <v/>
      </c>
      <c r="C4109" s="17">
        <f>IF(B4109="","","brand")</f>
        <v/>
      </c>
      <c r="D4109" s="17">
        <f>IF(B4109="","",IFERROR(INDEX(Clay_Brands!$A$2:$FZ$601,58,Sync!$D$5)&amp;"",""))</f>
        <v/>
      </c>
      <c r="E4109" s="17">
        <f>IF(B4109="","",IFERROR(INDEX(Clay_Brands!$A$2:$FZ$601,58,Sync!$D$6)&amp;"",""))</f>
        <v/>
      </c>
      <c r="F4109" s="17">
        <f>IF(B4109="","","outreach_sent")</f>
        <v/>
      </c>
      <c r="G4109" s="17">
        <f>IF(B4109="","","")</f>
        <v/>
      </c>
      <c r="H4109" s="17">
        <f>IF(B4109="","","")</f>
        <v/>
      </c>
      <c r="I4109" s="17">
        <f>IF(B4109="","","")</f>
        <v/>
      </c>
      <c r="J4109" s="17">
        <f>IF(B4109="","","touch_2; "&amp;IFERROR(INDEX(Clay_Brands!$A$2:$FZ$601,58,Sync!$D$10)&amp;"","")&amp;"; "&amp;IFERROR(INDEX(Clay_Brands!$A$2:$FZ$601,58,Sync!$D$9)&amp;"",""))</f>
        <v/>
      </c>
      <c r="K4109" t="inlineStr">
        <is>
          <t>brand outreach touch 2</t>
        </is>
      </c>
    </row>
    <row r="4110">
      <c r="A4110" s="17">
        <f>IF(B4110="","",B4110+(16*1000+59)/10000000)</f>
        <v/>
      </c>
      <c r="B4110" s="23">
        <f>IF(AND(IFERROR(N(INDEX(Clay_Brands!$A$2:$FZ$601,59,Sync!$D$12)),0)&gt;0,IFERROR(INDEX(Clay_Brands!$A$2:$FZ$601,59,Sync!$D$5)&amp;"","")&lt;&gt;"",OR(LEFT(IFERROR(INDEX(Clay_Brands!$A$2:$FZ$601,59,Sync!$D$5)&amp;"",""),6)&lt;&gt;"SAMPLE",Config!$B$19="Y")),IFERROR(N(INDEX(Clay_Brands!$A$2:$FZ$601,59,Sync!$D$12)),0),"")</f>
        <v/>
      </c>
      <c r="C4110" s="17">
        <f>IF(B4110="","","brand")</f>
        <v/>
      </c>
      <c r="D4110" s="17">
        <f>IF(B4110="","",IFERROR(INDEX(Clay_Brands!$A$2:$FZ$601,59,Sync!$D$5)&amp;"",""))</f>
        <v/>
      </c>
      <c r="E4110" s="17">
        <f>IF(B4110="","",IFERROR(INDEX(Clay_Brands!$A$2:$FZ$601,59,Sync!$D$6)&amp;"",""))</f>
        <v/>
      </c>
      <c r="F4110" s="17">
        <f>IF(B4110="","","outreach_sent")</f>
        <v/>
      </c>
      <c r="G4110" s="17">
        <f>IF(B4110="","","")</f>
        <v/>
      </c>
      <c r="H4110" s="17">
        <f>IF(B4110="","","")</f>
        <v/>
      </c>
      <c r="I4110" s="17">
        <f>IF(B4110="","","")</f>
        <v/>
      </c>
      <c r="J4110" s="17">
        <f>IF(B4110="","","touch_2; "&amp;IFERROR(INDEX(Clay_Brands!$A$2:$FZ$601,59,Sync!$D$10)&amp;"","")&amp;"; "&amp;IFERROR(INDEX(Clay_Brands!$A$2:$FZ$601,59,Sync!$D$9)&amp;"",""))</f>
        <v/>
      </c>
      <c r="K4110" t="inlineStr">
        <is>
          <t>brand outreach touch 2</t>
        </is>
      </c>
    </row>
    <row r="4111">
      <c r="A4111" s="17">
        <f>IF(B4111="","",B4111+(16*1000+60)/10000000)</f>
        <v/>
      </c>
      <c r="B4111" s="23">
        <f>IF(AND(IFERROR(N(INDEX(Clay_Brands!$A$2:$FZ$601,60,Sync!$D$12)),0)&gt;0,IFERROR(INDEX(Clay_Brands!$A$2:$FZ$601,60,Sync!$D$5)&amp;"","")&lt;&gt;"",OR(LEFT(IFERROR(INDEX(Clay_Brands!$A$2:$FZ$601,60,Sync!$D$5)&amp;"",""),6)&lt;&gt;"SAMPLE",Config!$B$19="Y")),IFERROR(N(INDEX(Clay_Brands!$A$2:$FZ$601,60,Sync!$D$12)),0),"")</f>
        <v/>
      </c>
      <c r="C4111" s="17">
        <f>IF(B4111="","","brand")</f>
        <v/>
      </c>
      <c r="D4111" s="17">
        <f>IF(B4111="","",IFERROR(INDEX(Clay_Brands!$A$2:$FZ$601,60,Sync!$D$5)&amp;"",""))</f>
        <v/>
      </c>
      <c r="E4111" s="17">
        <f>IF(B4111="","",IFERROR(INDEX(Clay_Brands!$A$2:$FZ$601,60,Sync!$D$6)&amp;"",""))</f>
        <v/>
      </c>
      <c r="F4111" s="17">
        <f>IF(B4111="","","outreach_sent")</f>
        <v/>
      </c>
      <c r="G4111" s="17">
        <f>IF(B4111="","","")</f>
        <v/>
      </c>
      <c r="H4111" s="17">
        <f>IF(B4111="","","")</f>
        <v/>
      </c>
      <c r="I4111" s="17">
        <f>IF(B4111="","","")</f>
        <v/>
      </c>
      <c r="J4111" s="17">
        <f>IF(B4111="","","touch_2; "&amp;IFERROR(INDEX(Clay_Brands!$A$2:$FZ$601,60,Sync!$D$10)&amp;"","")&amp;"; "&amp;IFERROR(INDEX(Clay_Brands!$A$2:$FZ$601,60,Sync!$D$9)&amp;"",""))</f>
        <v/>
      </c>
      <c r="K4111" t="inlineStr">
        <is>
          <t>brand outreach touch 2</t>
        </is>
      </c>
    </row>
    <row r="4112">
      <c r="A4112" s="17">
        <f>IF(B4112="","",B4112+(16*1000+61)/10000000)</f>
        <v/>
      </c>
      <c r="B4112" s="23">
        <f>IF(AND(IFERROR(N(INDEX(Clay_Brands!$A$2:$FZ$601,61,Sync!$D$12)),0)&gt;0,IFERROR(INDEX(Clay_Brands!$A$2:$FZ$601,61,Sync!$D$5)&amp;"","")&lt;&gt;"",OR(LEFT(IFERROR(INDEX(Clay_Brands!$A$2:$FZ$601,61,Sync!$D$5)&amp;"",""),6)&lt;&gt;"SAMPLE",Config!$B$19="Y")),IFERROR(N(INDEX(Clay_Brands!$A$2:$FZ$601,61,Sync!$D$12)),0),"")</f>
        <v/>
      </c>
      <c r="C4112" s="17">
        <f>IF(B4112="","","brand")</f>
        <v/>
      </c>
      <c r="D4112" s="17">
        <f>IF(B4112="","",IFERROR(INDEX(Clay_Brands!$A$2:$FZ$601,61,Sync!$D$5)&amp;"",""))</f>
        <v/>
      </c>
      <c r="E4112" s="17">
        <f>IF(B4112="","",IFERROR(INDEX(Clay_Brands!$A$2:$FZ$601,61,Sync!$D$6)&amp;"",""))</f>
        <v/>
      </c>
      <c r="F4112" s="17">
        <f>IF(B4112="","","outreach_sent")</f>
        <v/>
      </c>
      <c r="G4112" s="17">
        <f>IF(B4112="","","")</f>
        <v/>
      </c>
      <c r="H4112" s="17">
        <f>IF(B4112="","","")</f>
        <v/>
      </c>
      <c r="I4112" s="17">
        <f>IF(B4112="","","")</f>
        <v/>
      </c>
      <c r="J4112" s="17">
        <f>IF(B4112="","","touch_2; "&amp;IFERROR(INDEX(Clay_Brands!$A$2:$FZ$601,61,Sync!$D$10)&amp;"","")&amp;"; "&amp;IFERROR(INDEX(Clay_Brands!$A$2:$FZ$601,61,Sync!$D$9)&amp;"",""))</f>
        <v/>
      </c>
      <c r="K4112" t="inlineStr">
        <is>
          <t>brand outreach touch 2</t>
        </is>
      </c>
    </row>
    <row r="4113">
      <c r="A4113" s="17">
        <f>IF(B4113="","",B4113+(16*1000+62)/10000000)</f>
        <v/>
      </c>
      <c r="B4113" s="23">
        <f>IF(AND(IFERROR(N(INDEX(Clay_Brands!$A$2:$FZ$601,62,Sync!$D$12)),0)&gt;0,IFERROR(INDEX(Clay_Brands!$A$2:$FZ$601,62,Sync!$D$5)&amp;"","")&lt;&gt;"",OR(LEFT(IFERROR(INDEX(Clay_Brands!$A$2:$FZ$601,62,Sync!$D$5)&amp;"",""),6)&lt;&gt;"SAMPLE",Config!$B$19="Y")),IFERROR(N(INDEX(Clay_Brands!$A$2:$FZ$601,62,Sync!$D$12)),0),"")</f>
        <v/>
      </c>
      <c r="C4113" s="17">
        <f>IF(B4113="","","brand")</f>
        <v/>
      </c>
      <c r="D4113" s="17">
        <f>IF(B4113="","",IFERROR(INDEX(Clay_Brands!$A$2:$FZ$601,62,Sync!$D$5)&amp;"",""))</f>
        <v/>
      </c>
      <c r="E4113" s="17">
        <f>IF(B4113="","",IFERROR(INDEX(Clay_Brands!$A$2:$FZ$601,62,Sync!$D$6)&amp;"",""))</f>
        <v/>
      </c>
      <c r="F4113" s="17">
        <f>IF(B4113="","","outreach_sent")</f>
        <v/>
      </c>
      <c r="G4113" s="17">
        <f>IF(B4113="","","")</f>
        <v/>
      </c>
      <c r="H4113" s="17">
        <f>IF(B4113="","","")</f>
        <v/>
      </c>
      <c r="I4113" s="17">
        <f>IF(B4113="","","")</f>
        <v/>
      </c>
      <c r="J4113" s="17">
        <f>IF(B4113="","","touch_2; "&amp;IFERROR(INDEX(Clay_Brands!$A$2:$FZ$601,62,Sync!$D$10)&amp;"","")&amp;"; "&amp;IFERROR(INDEX(Clay_Brands!$A$2:$FZ$601,62,Sync!$D$9)&amp;"",""))</f>
        <v/>
      </c>
      <c r="K4113" t="inlineStr">
        <is>
          <t>brand outreach touch 2</t>
        </is>
      </c>
    </row>
    <row r="4114">
      <c r="A4114" s="17">
        <f>IF(B4114="","",B4114+(16*1000+63)/10000000)</f>
        <v/>
      </c>
      <c r="B4114" s="23">
        <f>IF(AND(IFERROR(N(INDEX(Clay_Brands!$A$2:$FZ$601,63,Sync!$D$12)),0)&gt;0,IFERROR(INDEX(Clay_Brands!$A$2:$FZ$601,63,Sync!$D$5)&amp;"","")&lt;&gt;"",OR(LEFT(IFERROR(INDEX(Clay_Brands!$A$2:$FZ$601,63,Sync!$D$5)&amp;"",""),6)&lt;&gt;"SAMPLE",Config!$B$19="Y")),IFERROR(N(INDEX(Clay_Brands!$A$2:$FZ$601,63,Sync!$D$12)),0),"")</f>
        <v/>
      </c>
      <c r="C4114" s="17">
        <f>IF(B4114="","","brand")</f>
        <v/>
      </c>
      <c r="D4114" s="17">
        <f>IF(B4114="","",IFERROR(INDEX(Clay_Brands!$A$2:$FZ$601,63,Sync!$D$5)&amp;"",""))</f>
        <v/>
      </c>
      <c r="E4114" s="17">
        <f>IF(B4114="","",IFERROR(INDEX(Clay_Brands!$A$2:$FZ$601,63,Sync!$D$6)&amp;"",""))</f>
        <v/>
      </c>
      <c r="F4114" s="17">
        <f>IF(B4114="","","outreach_sent")</f>
        <v/>
      </c>
      <c r="G4114" s="17">
        <f>IF(B4114="","","")</f>
        <v/>
      </c>
      <c r="H4114" s="17">
        <f>IF(B4114="","","")</f>
        <v/>
      </c>
      <c r="I4114" s="17">
        <f>IF(B4114="","","")</f>
        <v/>
      </c>
      <c r="J4114" s="17">
        <f>IF(B4114="","","touch_2; "&amp;IFERROR(INDEX(Clay_Brands!$A$2:$FZ$601,63,Sync!$D$10)&amp;"","")&amp;"; "&amp;IFERROR(INDEX(Clay_Brands!$A$2:$FZ$601,63,Sync!$D$9)&amp;"",""))</f>
        <v/>
      </c>
      <c r="K4114" t="inlineStr">
        <is>
          <t>brand outreach touch 2</t>
        </is>
      </c>
    </row>
    <row r="4115">
      <c r="A4115" s="17">
        <f>IF(B4115="","",B4115+(16*1000+64)/10000000)</f>
        <v/>
      </c>
      <c r="B4115" s="23">
        <f>IF(AND(IFERROR(N(INDEX(Clay_Brands!$A$2:$FZ$601,64,Sync!$D$12)),0)&gt;0,IFERROR(INDEX(Clay_Brands!$A$2:$FZ$601,64,Sync!$D$5)&amp;"","")&lt;&gt;"",OR(LEFT(IFERROR(INDEX(Clay_Brands!$A$2:$FZ$601,64,Sync!$D$5)&amp;"",""),6)&lt;&gt;"SAMPLE",Config!$B$19="Y")),IFERROR(N(INDEX(Clay_Brands!$A$2:$FZ$601,64,Sync!$D$12)),0),"")</f>
        <v/>
      </c>
      <c r="C4115" s="17">
        <f>IF(B4115="","","brand")</f>
        <v/>
      </c>
      <c r="D4115" s="17">
        <f>IF(B4115="","",IFERROR(INDEX(Clay_Brands!$A$2:$FZ$601,64,Sync!$D$5)&amp;"",""))</f>
        <v/>
      </c>
      <c r="E4115" s="17">
        <f>IF(B4115="","",IFERROR(INDEX(Clay_Brands!$A$2:$FZ$601,64,Sync!$D$6)&amp;"",""))</f>
        <v/>
      </c>
      <c r="F4115" s="17">
        <f>IF(B4115="","","outreach_sent")</f>
        <v/>
      </c>
      <c r="G4115" s="17">
        <f>IF(B4115="","","")</f>
        <v/>
      </c>
      <c r="H4115" s="17">
        <f>IF(B4115="","","")</f>
        <v/>
      </c>
      <c r="I4115" s="17">
        <f>IF(B4115="","","")</f>
        <v/>
      </c>
      <c r="J4115" s="17">
        <f>IF(B4115="","","touch_2; "&amp;IFERROR(INDEX(Clay_Brands!$A$2:$FZ$601,64,Sync!$D$10)&amp;"","")&amp;"; "&amp;IFERROR(INDEX(Clay_Brands!$A$2:$FZ$601,64,Sync!$D$9)&amp;"",""))</f>
        <v/>
      </c>
      <c r="K4115" t="inlineStr">
        <is>
          <t>brand outreach touch 2</t>
        </is>
      </c>
    </row>
    <row r="4116">
      <c r="A4116" s="17">
        <f>IF(B4116="","",B4116+(16*1000+65)/10000000)</f>
        <v/>
      </c>
      <c r="B4116" s="23">
        <f>IF(AND(IFERROR(N(INDEX(Clay_Brands!$A$2:$FZ$601,65,Sync!$D$12)),0)&gt;0,IFERROR(INDEX(Clay_Brands!$A$2:$FZ$601,65,Sync!$D$5)&amp;"","")&lt;&gt;"",OR(LEFT(IFERROR(INDEX(Clay_Brands!$A$2:$FZ$601,65,Sync!$D$5)&amp;"",""),6)&lt;&gt;"SAMPLE",Config!$B$19="Y")),IFERROR(N(INDEX(Clay_Brands!$A$2:$FZ$601,65,Sync!$D$12)),0),"")</f>
        <v/>
      </c>
      <c r="C4116" s="17">
        <f>IF(B4116="","","brand")</f>
        <v/>
      </c>
      <c r="D4116" s="17">
        <f>IF(B4116="","",IFERROR(INDEX(Clay_Brands!$A$2:$FZ$601,65,Sync!$D$5)&amp;"",""))</f>
        <v/>
      </c>
      <c r="E4116" s="17">
        <f>IF(B4116="","",IFERROR(INDEX(Clay_Brands!$A$2:$FZ$601,65,Sync!$D$6)&amp;"",""))</f>
        <v/>
      </c>
      <c r="F4116" s="17">
        <f>IF(B4116="","","outreach_sent")</f>
        <v/>
      </c>
      <c r="G4116" s="17">
        <f>IF(B4116="","","")</f>
        <v/>
      </c>
      <c r="H4116" s="17">
        <f>IF(B4116="","","")</f>
        <v/>
      </c>
      <c r="I4116" s="17">
        <f>IF(B4116="","","")</f>
        <v/>
      </c>
      <c r="J4116" s="17">
        <f>IF(B4116="","","touch_2; "&amp;IFERROR(INDEX(Clay_Brands!$A$2:$FZ$601,65,Sync!$D$10)&amp;"","")&amp;"; "&amp;IFERROR(INDEX(Clay_Brands!$A$2:$FZ$601,65,Sync!$D$9)&amp;"",""))</f>
        <v/>
      </c>
      <c r="K4116" t="inlineStr">
        <is>
          <t>brand outreach touch 2</t>
        </is>
      </c>
    </row>
    <row r="4117">
      <c r="A4117" s="17">
        <f>IF(B4117="","",B4117+(16*1000+66)/10000000)</f>
        <v/>
      </c>
      <c r="B4117" s="23">
        <f>IF(AND(IFERROR(N(INDEX(Clay_Brands!$A$2:$FZ$601,66,Sync!$D$12)),0)&gt;0,IFERROR(INDEX(Clay_Brands!$A$2:$FZ$601,66,Sync!$D$5)&amp;"","")&lt;&gt;"",OR(LEFT(IFERROR(INDEX(Clay_Brands!$A$2:$FZ$601,66,Sync!$D$5)&amp;"",""),6)&lt;&gt;"SAMPLE",Config!$B$19="Y")),IFERROR(N(INDEX(Clay_Brands!$A$2:$FZ$601,66,Sync!$D$12)),0),"")</f>
        <v/>
      </c>
      <c r="C4117" s="17">
        <f>IF(B4117="","","brand")</f>
        <v/>
      </c>
      <c r="D4117" s="17">
        <f>IF(B4117="","",IFERROR(INDEX(Clay_Brands!$A$2:$FZ$601,66,Sync!$D$5)&amp;"",""))</f>
        <v/>
      </c>
      <c r="E4117" s="17">
        <f>IF(B4117="","",IFERROR(INDEX(Clay_Brands!$A$2:$FZ$601,66,Sync!$D$6)&amp;"",""))</f>
        <v/>
      </c>
      <c r="F4117" s="17">
        <f>IF(B4117="","","outreach_sent")</f>
        <v/>
      </c>
      <c r="G4117" s="17">
        <f>IF(B4117="","","")</f>
        <v/>
      </c>
      <c r="H4117" s="17">
        <f>IF(B4117="","","")</f>
        <v/>
      </c>
      <c r="I4117" s="17">
        <f>IF(B4117="","","")</f>
        <v/>
      </c>
      <c r="J4117" s="17">
        <f>IF(B4117="","","touch_2; "&amp;IFERROR(INDEX(Clay_Brands!$A$2:$FZ$601,66,Sync!$D$10)&amp;"","")&amp;"; "&amp;IFERROR(INDEX(Clay_Brands!$A$2:$FZ$601,66,Sync!$D$9)&amp;"",""))</f>
        <v/>
      </c>
      <c r="K4117" t="inlineStr">
        <is>
          <t>brand outreach touch 2</t>
        </is>
      </c>
    </row>
    <row r="4118">
      <c r="A4118" s="17">
        <f>IF(B4118="","",B4118+(16*1000+67)/10000000)</f>
        <v/>
      </c>
      <c r="B4118" s="23">
        <f>IF(AND(IFERROR(N(INDEX(Clay_Brands!$A$2:$FZ$601,67,Sync!$D$12)),0)&gt;0,IFERROR(INDEX(Clay_Brands!$A$2:$FZ$601,67,Sync!$D$5)&amp;"","")&lt;&gt;"",OR(LEFT(IFERROR(INDEX(Clay_Brands!$A$2:$FZ$601,67,Sync!$D$5)&amp;"",""),6)&lt;&gt;"SAMPLE",Config!$B$19="Y")),IFERROR(N(INDEX(Clay_Brands!$A$2:$FZ$601,67,Sync!$D$12)),0),"")</f>
        <v/>
      </c>
      <c r="C4118" s="17">
        <f>IF(B4118="","","brand")</f>
        <v/>
      </c>
      <c r="D4118" s="17">
        <f>IF(B4118="","",IFERROR(INDEX(Clay_Brands!$A$2:$FZ$601,67,Sync!$D$5)&amp;"",""))</f>
        <v/>
      </c>
      <c r="E4118" s="17">
        <f>IF(B4118="","",IFERROR(INDEX(Clay_Brands!$A$2:$FZ$601,67,Sync!$D$6)&amp;"",""))</f>
        <v/>
      </c>
      <c r="F4118" s="17">
        <f>IF(B4118="","","outreach_sent")</f>
        <v/>
      </c>
      <c r="G4118" s="17">
        <f>IF(B4118="","","")</f>
        <v/>
      </c>
      <c r="H4118" s="17">
        <f>IF(B4118="","","")</f>
        <v/>
      </c>
      <c r="I4118" s="17">
        <f>IF(B4118="","","")</f>
        <v/>
      </c>
      <c r="J4118" s="17">
        <f>IF(B4118="","","touch_2; "&amp;IFERROR(INDEX(Clay_Brands!$A$2:$FZ$601,67,Sync!$D$10)&amp;"","")&amp;"; "&amp;IFERROR(INDEX(Clay_Brands!$A$2:$FZ$601,67,Sync!$D$9)&amp;"",""))</f>
        <v/>
      </c>
      <c r="K4118" t="inlineStr">
        <is>
          <t>brand outreach touch 2</t>
        </is>
      </c>
    </row>
    <row r="4119">
      <c r="A4119" s="17">
        <f>IF(B4119="","",B4119+(16*1000+68)/10000000)</f>
        <v/>
      </c>
      <c r="B4119" s="23">
        <f>IF(AND(IFERROR(N(INDEX(Clay_Brands!$A$2:$FZ$601,68,Sync!$D$12)),0)&gt;0,IFERROR(INDEX(Clay_Brands!$A$2:$FZ$601,68,Sync!$D$5)&amp;"","")&lt;&gt;"",OR(LEFT(IFERROR(INDEX(Clay_Brands!$A$2:$FZ$601,68,Sync!$D$5)&amp;"",""),6)&lt;&gt;"SAMPLE",Config!$B$19="Y")),IFERROR(N(INDEX(Clay_Brands!$A$2:$FZ$601,68,Sync!$D$12)),0),"")</f>
        <v/>
      </c>
      <c r="C4119" s="17">
        <f>IF(B4119="","","brand")</f>
        <v/>
      </c>
      <c r="D4119" s="17">
        <f>IF(B4119="","",IFERROR(INDEX(Clay_Brands!$A$2:$FZ$601,68,Sync!$D$5)&amp;"",""))</f>
        <v/>
      </c>
      <c r="E4119" s="17">
        <f>IF(B4119="","",IFERROR(INDEX(Clay_Brands!$A$2:$FZ$601,68,Sync!$D$6)&amp;"",""))</f>
        <v/>
      </c>
      <c r="F4119" s="17">
        <f>IF(B4119="","","outreach_sent")</f>
        <v/>
      </c>
      <c r="G4119" s="17">
        <f>IF(B4119="","","")</f>
        <v/>
      </c>
      <c r="H4119" s="17">
        <f>IF(B4119="","","")</f>
        <v/>
      </c>
      <c r="I4119" s="17">
        <f>IF(B4119="","","")</f>
        <v/>
      </c>
      <c r="J4119" s="17">
        <f>IF(B4119="","","touch_2; "&amp;IFERROR(INDEX(Clay_Brands!$A$2:$FZ$601,68,Sync!$D$10)&amp;"","")&amp;"; "&amp;IFERROR(INDEX(Clay_Brands!$A$2:$FZ$601,68,Sync!$D$9)&amp;"",""))</f>
        <v/>
      </c>
      <c r="K4119" t="inlineStr">
        <is>
          <t>brand outreach touch 2</t>
        </is>
      </c>
    </row>
    <row r="4120">
      <c r="A4120" s="17">
        <f>IF(B4120="","",B4120+(16*1000+69)/10000000)</f>
        <v/>
      </c>
      <c r="B4120" s="23">
        <f>IF(AND(IFERROR(N(INDEX(Clay_Brands!$A$2:$FZ$601,69,Sync!$D$12)),0)&gt;0,IFERROR(INDEX(Clay_Brands!$A$2:$FZ$601,69,Sync!$D$5)&amp;"","")&lt;&gt;"",OR(LEFT(IFERROR(INDEX(Clay_Brands!$A$2:$FZ$601,69,Sync!$D$5)&amp;"",""),6)&lt;&gt;"SAMPLE",Config!$B$19="Y")),IFERROR(N(INDEX(Clay_Brands!$A$2:$FZ$601,69,Sync!$D$12)),0),"")</f>
        <v/>
      </c>
      <c r="C4120" s="17">
        <f>IF(B4120="","","brand")</f>
        <v/>
      </c>
      <c r="D4120" s="17">
        <f>IF(B4120="","",IFERROR(INDEX(Clay_Brands!$A$2:$FZ$601,69,Sync!$D$5)&amp;"",""))</f>
        <v/>
      </c>
      <c r="E4120" s="17">
        <f>IF(B4120="","",IFERROR(INDEX(Clay_Brands!$A$2:$FZ$601,69,Sync!$D$6)&amp;"",""))</f>
        <v/>
      </c>
      <c r="F4120" s="17">
        <f>IF(B4120="","","outreach_sent")</f>
        <v/>
      </c>
      <c r="G4120" s="17">
        <f>IF(B4120="","","")</f>
        <v/>
      </c>
      <c r="H4120" s="17">
        <f>IF(B4120="","","")</f>
        <v/>
      </c>
      <c r="I4120" s="17">
        <f>IF(B4120="","","")</f>
        <v/>
      </c>
      <c r="J4120" s="17">
        <f>IF(B4120="","","touch_2; "&amp;IFERROR(INDEX(Clay_Brands!$A$2:$FZ$601,69,Sync!$D$10)&amp;"","")&amp;"; "&amp;IFERROR(INDEX(Clay_Brands!$A$2:$FZ$601,69,Sync!$D$9)&amp;"",""))</f>
        <v/>
      </c>
      <c r="K4120" t="inlineStr">
        <is>
          <t>brand outreach touch 2</t>
        </is>
      </c>
    </row>
    <row r="4121">
      <c r="A4121" s="17">
        <f>IF(B4121="","",B4121+(16*1000+70)/10000000)</f>
        <v/>
      </c>
      <c r="B4121" s="23">
        <f>IF(AND(IFERROR(N(INDEX(Clay_Brands!$A$2:$FZ$601,70,Sync!$D$12)),0)&gt;0,IFERROR(INDEX(Clay_Brands!$A$2:$FZ$601,70,Sync!$D$5)&amp;"","")&lt;&gt;"",OR(LEFT(IFERROR(INDEX(Clay_Brands!$A$2:$FZ$601,70,Sync!$D$5)&amp;"",""),6)&lt;&gt;"SAMPLE",Config!$B$19="Y")),IFERROR(N(INDEX(Clay_Brands!$A$2:$FZ$601,70,Sync!$D$12)),0),"")</f>
        <v/>
      </c>
      <c r="C4121" s="17">
        <f>IF(B4121="","","brand")</f>
        <v/>
      </c>
      <c r="D4121" s="17">
        <f>IF(B4121="","",IFERROR(INDEX(Clay_Brands!$A$2:$FZ$601,70,Sync!$D$5)&amp;"",""))</f>
        <v/>
      </c>
      <c r="E4121" s="17">
        <f>IF(B4121="","",IFERROR(INDEX(Clay_Brands!$A$2:$FZ$601,70,Sync!$D$6)&amp;"",""))</f>
        <v/>
      </c>
      <c r="F4121" s="17">
        <f>IF(B4121="","","outreach_sent")</f>
        <v/>
      </c>
      <c r="G4121" s="17">
        <f>IF(B4121="","","")</f>
        <v/>
      </c>
      <c r="H4121" s="17">
        <f>IF(B4121="","","")</f>
        <v/>
      </c>
      <c r="I4121" s="17">
        <f>IF(B4121="","","")</f>
        <v/>
      </c>
      <c r="J4121" s="17">
        <f>IF(B4121="","","touch_2; "&amp;IFERROR(INDEX(Clay_Brands!$A$2:$FZ$601,70,Sync!$D$10)&amp;"","")&amp;"; "&amp;IFERROR(INDEX(Clay_Brands!$A$2:$FZ$601,70,Sync!$D$9)&amp;"",""))</f>
        <v/>
      </c>
      <c r="K4121" t="inlineStr">
        <is>
          <t>brand outreach touch 2</t>
        </is>
      </c>
    </row>
    <row r="4122">
      <c r="A4122" s="17">
        <f>IF(B4122="","",B4122+(16*1000+71)/10000000)</f>
        <v/>
      </c>
      <c r="B4122" s="23">
        <f>IF(AND(IFERROR(N(INDEX(Clay_Brands!$A$2:$FZ$601,71,Sync!$D$12)),0)&gt;0,IFERROR(INDEX(Clay_Brands!$A$2:$FZ$601,71,Sync!$D$5)&amp;"","")&lt;&gt;"",OR(LEFT(IFERROR(INDEX(Clay_Brands!$A$2:$FZ$601,71,Sync!$D$5)&amp;"",""),6)&lt;&gt;"SAMPLE",Config!$B$19="Y")),IFERROR(N(INDEX(Clay_Brands!$A$2:$FZ$601,71,Sync!$D$12)),0),"")</f>
        <v/>
      </c>
      <c r="C4122" s="17">
        <f>IF(B4122="","","brand")</f>
        <v/>
      </c>
      <c r="D4122" s="17">
        <f>IF(B4122="","",IFERROR(INDEX(Clay_Brands!$A$2:$FZ$601,71,Sync!$D$5)&amp;"",""))</f>
        <v/>
      </c>
      <c r="E4122" s="17">
        <f>IF(B4122="","",IFERROR(INDEX(Clay_Brands!$A$2:$FZ$601,71,Sync!$D$6)&amp;"",""))</f>
        <v/>
      </c>
      <c r="F4122" s="17">
        <f>IF(B4122="","","outreach_sent")</f>
        <v/>
      </c>
      <c r="G4122" s="17">
        <f>IF(B4122="","","")</f>
        <v/>
      </c>
      <c r="H4122" s="17">
        <f>IF(B4122="","","")</f>
        <v/>
      </c>
      <c r="I4122" s="17">
        <f>IF(B4122="","","")</f>
        <v/>
      </c>
      <c r="J4122" s="17">
        <f>IF(B4122="","","touch_2; "&amp;IFERROR(INDEX(Clay_Brands!$A$2:$FZ$601,71,Sync!$D$10)&amp;"","")&amp;"; "&amp;IFERROR(INDEX(Clay_Brands!$A$2:$FZ$601,71,Sync!$D$9)&amp;"",""))</f>
        <v/>
      </c>
      <c r="K4122" t="inlineStr">
        <is>
          <t>brand outreach touch 2</t>
        </is>
      </c>
    </row>
    <row r="4123">
      <c r="A4123" s="17">
        <f>IF(B4123="","",B4123+(16*1000+72)/10000000)</f>
        <v/>
      </c>
      <c r="B4123" s="23">
        <f>IF(AND(IFERROR(N(INDEX(Clay_Brands!$A$2:$FZ$601,72,Sync!$D$12)),0)&gt;0,IFERROR(INDEX(Clay_Brands!$A$2:$FZ$601,72,Sync!$D$5)&amp;"","")&lt;&gt;"",OR(LEFT(IFERROR(INDEX(Clay_Brands!$A$2:$FZ$601,72,Sync!$D$5)&amp;"",""),6)&lt;&gt;"SAMPLE",Config!$B$19="Y")),IFERROR(N(INDEX(Clay_Brands!$A$2:$FZ$601,72,Sync!$D$12)),0),"")</f>
        <v/>
      </c>
      <c r="C4123" s="17">
        <f>IF(B4123="","","brand")</f>
        <v/>
      </c>
      <c r="D4123" s="17">
        <f>IF(B4123="","",IFERROR(INDEX(Clay_Brands!$A$2:$FZ$601,72,Sync!$D$5)&amp;"",""))</f>
        <v/>
      </c>
      <c r="E4123" s="17">
        <f>IF(B4123="","",IFERROR(INDEX(Clay_Brands!$A$2:$FZ$601,72,Sync!$D$6)&amp;"",""))</f>
        <v/>
      </c>
      <c r="F4123" s="17">
        <f>IF(B4123="","","outreach_sent")</f>
        <v/>
      </c>
      <c r="G4123" s="17">
        <f>IF(B4123="","","")</f>
        <v/>
      </c>
      <c r="H4123" s="17">
        <f>IF(B4123="","","")</f>
        <v/>
      </c>
      <c r="I4123" s="17">
        <f>IF(B4123="","","")</f>
        <v/>
      </c>
      <c r="J4123" s="17">
        <f>IF(B4123="","","touch_2; "&amp;IFERROR(INDEX(Clay_Brands!$A$2:$FZ$601,72,Sync!$D$10)&amp;"","")&amp;"; "&amp;IFERROR(INDEX(Clay_Brands!$A$2:$FZ$601,72,Sync!$D$9)&amp;"",""))</f>
        <v/>
      </c>
      <c r="K4123" t="inlineStr">
        <is>
          <t>brand outreach touch 2</t>
        </is>
      </c>
    </row>
    <row r="4124">
      <c r="A4124" s="17">
        <f>IF(B4124="","",B4124+(16*1000+73)/10000000)</f>
        <v/>
      </c>
      <c r="B4124" s="23">
        <f>IF(AND(IFERROR(N(INDEX(Clay_Brands!$A$2:$FZ$601,73,Sync!$D$12)),0)&gt;0,IFERROR(INDEX(Clay_Brands!$A$2:$FZ$601,73,Sync!$D$5)&amp;"","")&lt;&gt;"",OR(LEFT(IFERROR(INDEX(Clay_Brands!$A$2:$FZ$601,73,Sync!$D$5)&amp;"",""),6)&lt;&gt;"SAMPLE",Config!$B$19="Y")),IFERROR(N(INDEX(Clay_Brands!$A$2:$FZ$601,73,Sync!$D$12)),0),"")</f>
        <v/>
      </c>
      <c r="C4124" s="17">
        <f>IF(B4124="","","brand")</f>
        <v/>
      </c>
      <c r="D4124" s="17">
        <f>IF(B4124="","",IFERROR(INDEX(Clay_Brands!$A$2:$FZ$601,73,Sync!$D$5)&amp;"",""))</f>
        <v/>
      </c>
      <c r="E4124" s="17">
        <f>IF(B4124="","",IFERROR(INDEX(Clay_Brands!$A$2:$FZ$601,73,Sync!$D$6)&amp;"",""))</f>
        <v/>
      </c>
      <c r="F4124" s="17">
        <f>IF(B4124="","","outreach_sent")</f>
        <v/>
      </c>
      <c r="G4124" s="17">
        <f>IF(B4124="","","")</f>
        <v/>
      </c>
      <c r="H4124" s="17">
        <f>IF(B4124="","","")</f>
        <v/>
      </c>
      <c r="I4124" s="17">
        <f>IF(B4124="","","")</f>
        <v/>
      </c>
      <c r="J4124" s="17">
        <f>IF(B4124="","","touch_2; "&amp;IFERROR(INDEX(Clay_Brands!$A$2:$FZ$601,73,Sync!$D$10)&amp;"","")&amp;"; "&amp;IFERROR(INDEX(Clay_Brands!$A$2:$FZ$601,73,Sync!$D$9)&amp;"",""))</f>
        <v/>
      </c>
      <c r="K4124" t="inlineStr">
        <is>
          <t>brand outreach touch 2</t>
        </is>
      </c>
    </row>
    <row r="4125">
      <c r="A4125" s="17">
        <f>IF(B4125="","",B4125+(16*1000+74)/10000000)</f>
        <v/>
      </c>
      <c r="B4125" s="23">
        <f>IF(AND(IFERROR(N(INDEX(Clay_Brands!$A$2:$FZ$601,74,Sync!$D$12)),0)&gt;0,IFERROR(INDEX(Clay_Brands!$A$2:$FZ$601,74,Sync!$D$5)&amp;"","")&lt;&gt;"",OR(LEFT(IFERROR(INDEX(Clay_Brands!$A$2:$FZ$601,74,Sync!$D$5)&amp;"",""),6)&lt;&gt;"SAMPLE",Config!$B$19="Y")),IFERROR(N(INDEX(Clay_Brands!$A$2:$FZ$601,74,Sync!$D$12)),0),"")</f>
        <v/>
      </c>
      <c r="C4125" s="17">
        <f>IF(B4125="","","brand")</f>
        <v/>
      </c>
      <c r="D4125" s="17">
        <f>IF(B4125="","",IFERROR(INDEX(Clay_Brands!$A$2:$FZ$601,74,Sync!$D$5)&amp;"",""))</f>
        <v/>
      </c>
      <c r="E4125" s="17">
        <f>IF(B4125="","",IFERROR(INDEX(Clay_Brands!$A$2:$FZ$601,74,Sync!$D$6)&amp;"",""))</f>
        <v/>
      </c>
      <c r="F4125" s="17">
        <f>IF(B4125="","","outreach_sent")</f>
        <v/>
      </c>
      <c r="G4125" s="17">
        <f>IF(B4125="","","")</f>
        <v/>
      </c>
      <c r="H4125" s="17">
        <f>IF(B4125="","","")</f>
        <v/>
      </c>
      <c r="I4125" s="17">
        <f>IF(B4125="","","")</f>
        <v/>
      </c>
      <c r="J4125" s="17">
        <f>IF(B4125="","","touch_2; "&amp;IFERROR(INDEX(Clay_Brands!$A$2:$FZ$601,74,Sync!$D$10)&amp;"","")&amp;"; "&amp;IFERROR(INDEX(Clay_Brands!$A$2:$FZ$601,74,Sync!$D$9)&amp;"",""))</f>
        <v/>
      </c>
      <c r="K4125" t="inlineStr">
        <is>
          <t>brand outreach touch 2</t>
        </is>
      </c>
    </row>
    <row r="4126">
      <c r="A4126" s="17">
        <f>IF(B4126="","",B4126+(16*1000+75)/10000000)</f>
        <v/>
      </c>
      <c r="B4126" s="23">
        <f>IF(AND(IFERROR(N(INDEX(Clay_Brands!$A$2:$FZ$601,75,Sync!$D$12)),0)&gt;0,IFERROR(INDEX(Clay_Brands!$A$2:$FZ$601,75,Sync!$D$5)&amp;"","")&lt;&gt;"",OR(LEFT(IFERROR(INDEX(Clay_Brands!$A$2:$FZ$601,75,Sync!$D$5)&amp;"",""),6)&lt;&gt;"SAMPLE",Config!$B$19="Y")),IFERROR(N(INDEX(Clay_Brands!$A$2:$FZ$601,75,Sync!$D$12)),0),"")</f>
        <v/>
      </c>
      <c r="C4126" s="17">
        <f>IF(B4126="","","brand")</f>
        <v/>
      </c>
      <c r="D4126" s="17">
        <f>IF(B4126="","",IFERROR(INDEX(Clay_Brands!$A$2:$FZ$601,75,Sync!$D$5)&amp;"",""))</f>
        <v/>
      </c>
      <c r="E4126" s="17">
        <f>IF(B4126="","",IFERROR(INDEX(Clay_Brands!$A$2:$FZ$601,75,Sync!$D$6)&amp;"",""))</f>
        <v/>
      </c>
      <c r="F4126" s="17">
        <f>IF(B4126="","","outreach_sent")</f>
        <v/>
      </c>
      <c r="G4126" s="17">
        <f>IF(B4126="","","")</f>
        <v/>
      </c>
      <c r="H4126" s="17">
        <f>IF(B4126="","","")</f>
        <v/>
      </c>
      <c r="I4126" s="17">
        <f>IF(B4126="","","")</f>
        <v/>
      </c>
      <c r="J4126" s="17">
        <f>IF(B4126="","","touch_2; "&amp;IFERROR(INDEX(Clay_Brands!$A$2:$FZ$601,75,Sync!$D$10)&amp;"","")&amp;"; "&amp;IFERROR(INDEX(Clay_Brands!$A$2:$FZ$601,75,Sync!$D$9)&amp;"",""))</f>
        <v/>
      </c>
      <c r="K4126" t="inlineStr">
        <is>
          <t>brand outreach touch 2</t>
        </is>
      </c>
    </row>
    <row r="4127">
      <c r="A4127" s="17">
        <f>IF(B4127="","",B4127+(16*1000+76)/10000000)</f>
        <v/>
      </c>
      <c r="B4127" s="23">
        <f>IF(AND(IFERROR(N(INDEX(Clay_Brands!$A$2:$FZ$601,76,Sync!$D$12)),0)&gt;0,IFERROR(INDEX(Clay_Brands!$A$2:$FZ$601,76,Sync!$D$5)&amp;"","")&lt;&gt;"",OR(LEFT(IFERROR(INDEX(Clay_Brands!$A$2:$FZ$601,76,Sync!$D$5)&amp;"",""),6)&lt;&gt;"SAMPLE",Config!$B$19="Y")),IFERROR(N(INDEX(Clay_Brands!$A$2:$FZ$601,76,Sync!$D$12)),0),"")</f>
        <v/>
      </c>
      <c r="C4127" s="17">
        <f>IF(B4127="","","brand")</f>
        <v/>
      </c>
      <c r="D4127" s="17">
        <f>IF(B4127="","",IFERROR(INDEX(Clay_Brands!$A$2:$FZ$601,76,Sync!$D$5)&amp;"",""))</f>
        <v/>
      </c>
      <c r="E4127" s="17">
        <f>IF(B4127="","",IFERROR(INDEX(Clay_Brands!$A$2:$FZ$601,76,Sync!$D$6)&amp;"",""))</f>
        <v/>
      </c>
      <c r="F4127" s="17">
        <f>IF(B4127="","","outreach_sent")</f>
        <v/>
      </c>
      <c r="G4127" s="17">
        <f>IF(B4127="","","")</f>
        <v/>
      </c>
      <c r="H4127" s="17">
        <f>IF(B4127="","","")</f>
        <v/>
      </c>
      <c r="I4127" s="17">
        <f>IF(B4127="","","")</f>
        <v/>
      </c>
      <c r="J4127" s="17">
        <f>IF(B4127="","","touch_2; "&amp;IFERROR(INDEX(Clay_Brands!$A$2:$FZ$601,76,Sync!$D$10)&amp;"","")&amp;"; "&amp;IFERROR(INDEX(Clay_Brands!$A$2:$FZ$601,76,Sync!$D$9)&amp;"",""))</f>
        <v/>
      </c>
      <c r="K4127" t="inlineStr">
        <is>
          <t>brand outreach touch 2</t>
        </is>
      </c>
    </row>
    <row r="4128">
      <c r="A4128" s="17">
        <f>IF(B4128="","",B4128+(16*1000+77)/10000000)</f>
        <v/>
      </c>
      <c r="B4128" s="23">
        <f>IF(AND(IFERROR(N(INDEX(Clay_Brands!$A$2:$FZ$601,77,Sync!$D$12)),0)&gt;0,IFERROR(INDEX(Clay_Brands!$A$2:$FZ$601,77,Sync!$D$5)&amp;"","")&lt;&gt;"",OR(LEFT(IFERROR(INDEX(Clay_Brands!$A$2:$FZ$601,77,Sync!$D$5)&amp;"",""),6)&lt;&gt;"SAMPLE",Config!$B$19="Y")),IFERROR(N(INDEX(Clay_Brands!$A$2:$FZ$601,77,Sync!$D$12)),0),"")</f>
        <v/>
      </c>
      <c r="C4128" s="17">
        <f>IF(B4128="","","brand")</f>
        <v/>
      </c>
      <c r="D4128" s="17">
        <f>IF(B4128="","",IFERROR(INDEX(Clay_Brands!$A$2:$FZ$601,77,Sync!$D$5)&amp;"",""))</f>
        <v/>
      </c>
      <c r="E4128" s="17">
        <f>IF(B4128="","",IFERROR(INDEX(Clay_Brands!$A$2:$FZ$601,77,Sync!$D$6)&amp;"",""))</f>
        <v/>
      </c>
      <c r="F4128" s="17">
        <f>IF(B4128="","","outreach_sent")</f>
        <v/>
      </c>
      <c r="G4128" s="17">
        <f>IF(B4128="","","")</f>
        <v/>
      </c>
      <c r="H4128" s="17">
        <f>IF(B4128="","","")</f>
        <v/>
      </c>
      <c r="I4128" s="17">
        <f>IF(B4128="","","")</f>
        <v/>
      </c>
      <c r="J4128" s="17">
        <f>IF(B4128="","","touch_2; "&amp;IFERROR(INDEX(Clay_Brands!$A$2:$FZ$601,77,Sync!$D$10)&amp;"","")&amp;"; "&amp;IFERROR(INDEX(Clay_Brands!$A$2:$FZ$601,77,Sync!$D$9)&amp;"",""))</f>
        <v/>
      </c>
      <c r="K4128" t="inlineStr">
        <is>
          <t>brand outreach touch 2</t>
        </is>
      </c>
    </row>
    <row r="4129">
      <c r="A4129" s="17">
        <f>IF(B4129="","",B4129+(16*1000+78)/10000000)</f>
        <v/>
      </c>
      <c r="B4129" s="23">
        <f>IF(AND(IFERROR(N(INDEX(Clay_Brands!$A$2:$FZ$601,78,Sync!$D$12)),0)&gt;0,IFERROR(INDEX(Clay_Brands!$A$2:$FZ$601,78,Sync!$D$5)&amp;"","")&lt;&gt;"",OR(LEFT(IFERROR(INDEX(Clay_Brands!$A$2:$FZ$601,78,Sync!$D$5)&amp;"",""),6)&lt;&gt;"SAMPLE",Config!$B$19="Y")),IFERROR(N(INDEX(Clay_Brands!$A$2:$FZ$601,78,Sync!$D$12)),0),"")</f>
        <v/>
      </c>
      <c r="C4129" s="17">
        <f>IF(B4129="","","brand")</f>
        <v/>
      </c>
      <c r="D4129" s="17">
        <f>IF(B4129="","",IFERROR(INDEX(Clay_Brands!$A$2:$FZ$601,78,Sync!$D$5)&amp;"",""))</f>
        <v/>
      </c>
      <c r="E4129" s="17">
        <f>IF(B4129="","",IFERROR(INDEX(Clay_Brands!$A$2:$FZ$601,78,Sync!$D$6)&amp;"",""))</f>
        <v/>
      </c>
      <c r="F4129" s="17">
        <f>IF(B4129="","","outreach_sent")</f>
        <v/>
      </c>
      <c r="G4129" s="17">
        <f>IF(B4129="","","")</f>
        <v/>
      </c>
      <c r="H4129" s="17">
        <f>IF(B4129="","","")</f>
        <v/>
      </c>
      <c r="I4129" s="17">
        <f>IF(B4129="","","")</f>
        <v/>
      </c>
      <c r="J4129" s="17">
        <f>IF(B4129="","","touch_2; "&amp;IFERROR(INDEX(Clay_Brands!$A$2:$FZ$601,78,Sync!$D$10)&amp;"","")&amp;"; "&amp;IFERROR(INDEX(Clay_Brands!$A$2:$FZ$601,78,Sync!$D$9)&amp;"",""))</f>
        <v/>
      </c>
      <c r="K4129" t="inlineStr">
        <is>
          <t>brand outreach touch 2</t>
        </is>
      </c>
    </row>
    <row r="4130">
      <c r="A4130" s="17">
        <f>IF(B4130="","",B4130+(16*1000+79)/10000000)</f>
        <v/>
      </c>
      <c r="B4130" s="23">
        <f>IF(AND(IFERROR(N(INDEX(Clay_Brands!$A$2:$FZ$601,79,Sync!$D$12)),0)&gt;0,IFERROR(INDEX(Clay_Brands!$A$2:$FZ$601,79,Sync!$D$5)&amp;"","")&lt;&gt;"",OR(LEFT(IFERROR(INDEX(Clay_Brands!$A$2:$FZ$601,79,Sync!$D$5)&amp;"",""),6)&lt;&gt;"SAMPLE",Config!$B$19="Y")),IFERROR(N(INDEX(Clay_Brands!$A$2:$FZ$601,79,Sync!$D$12)),0),"")</f>
        <v/>
      </c>
      <c r="C4130" s="17">
        <f>IF(B4130="","","brand")</f>
        <v/>
      </c>
      <c r="D4130" s="17">
        <f>IF(B4130="","",IFERROR(INDEX(Clay_Brands!$A$2:$FZ$601,79,Sync!$D$5)&amp;"",""))</f>
        <v/>
      </c>
      <c r="E4130" s="17">
        <f>IF(B4130="","",IFERROR(INDEX(Clay_Brands!$A$2:$FZ$601,79,Sync!$D$6)&amp;"",""))</f>
        <v/>
      </c>
      <c r="F4130" s="17">
        <f>IF(B4130="","","outreach_sent")</f>
        <v/>
      </c>
      <c r="G4130" s="17">
        <f>IF(B4130="","","")</f>
        <v/>
      </c>
      <c r="H4130" s="17">
        <f>IF(B4130="","","")</f>
        <v/>
      </c>
      <c r="I4130" s="17">
        <f>IF(B4130="","","")</f>
        <v/>
      </c>
      <c r="J4130" s="17">
        <f>IF(B4130="","","touch_2; "&amp;IFERROR(INDEX(Clay_Brands!$A$2:$FZ$601,79,Sync!$D$10)&amp;"","")&amp;"; "&amp;IFERROR(INDEX(Clay_Brands!$A$2:$FZ$601,79,Sync!$D$9)&amp;"",""))</f>
        <v/>
      </c>
      <c r="K4130" t="inlineStr">
        <is>
          <t>brand outreach touch 2</t>
        </is>
      </c>
    </row>
    <row r="4131">
      <c r="A4131" s="17">
        <f>IF(B4131="","",B4131+(16*1000+80)/10000000)</f>
        <v/>
      </c>
      <c r="B4131" s="23">
        <f>IF(AND(IFERROR(N(INDEX(Clay_Brands!$A$2:$FZ$601,80,Sync!$D$12)),0)&gt;0,IFERROR(INDEX(Clay_Brands!$A$2:$FZ$601,80,Sync!$D$5)&amp;"","")&lt;&gt;"",OR(LEFT(IFERROR(INDEX(Clay_Brands!$A$2:$FZ$601,80,Sync!$D$5)&amp;"",""),6)&lt;&gt;"SAMPLE",Config!$B$19="Y")),IFERROR(N(INDEX(Clay_Brands!$A$2:$FZ$601,80,Sync!$D$12)),0),"")</f>
        <v/>
      </c>
      <c r="C4131" s="17">
        <f>IF(B4131="","","brand")</f>
        <v/>
      </c>
      <c r="D4131" s="17">
        <f>IF(B4131="","",IFERROR(INDEX(Clay_Brands!$A$2:$FZ$601,80,Sync!$D$5)&amp;"",""))</f>
        <v/>
      </c>
      <c r="E4131" s="17">
        <f>IF(B4131="","",IFERROR(INDEX(Clay_Brands!$A$2:$FZ$601,80,Sync!$D$6)&amp;"",""))</f>
        <v/>
      </c>
      <c r="F4131" s="17">
        <f>IF(B4131="","","outreach_sent")</f>
        <v/>
      </c>
      <c r="G4131" s="17">
        <f>IF(B4131="","","")</f>
        <v/>
      </c>
      <c r="H4131" s="17">
        <f>IF(B4131="","","")</f>
        <v/>
      </c>
      <c r="I4131" s="17">
        <f>IF(B4131="","","")</f>
        <v/>
      </c>
      <c r="J4131" s="17">
        <f>IF(B4131="","","touch_2; "&amp;IFERROR(INDEX(Clay_Brands!$A$2:$FZ$601,80,Sync!$D$10)&amp;"","")&amp;"; "&amp;IFERROR(INDEX(Clay_Brands!$A$2:$FZ$601,80,Sync!$D$9)&amp;"",""))</f>
        <v/>
      </c>
      <c r="K4131" t="inlineStr">
        <is>
          <t>brand outreach touch 2</t>
        </is>
      </c>
    </row>
    <row r="4132">
      <c r="A4132" s="17">
        <f>IF(B4132="","",B4132+(16*1000+81)/10000000)</f>
        <v/>
      </c>
      <c r="B4132" s="23">
        <f>IF(AND(IFERROR(N(INDEX(Clay_Brands!$A$2:$FZ$601,81,Sync!$D$12)),0)&gt;0,IFERROR(INDEX(Clay_Brands!$A$2:$FZ$601,81,Sync!$D$5)&amp;"","")&lt;&gt;"",OR(LEFT(IFERROR(INDEX(Clay_Brands!$A$2:$FZ$601,81,Sync!$D$5)&amp;"",""),6)&lt;&gt;"SAMPLE",Config!$B$19="Y")),IFERROR(N(INDEX(Clay_Brands!$A$2:$FZ$601,81,Sync!$D$12)),0),"")</f>
        <v/>
      </c>
      <c r="C4132" s="17">
        <f>IF(B4132="","","brand")</f>
        <v/>
      </c>
      <c r="D4132" s="17">
        <f>IF(B4132="","",IFERROR(INDEX(Clay_Brands!$A$2:$FZ$601,81,Sync!$D$5)&amp;"",""))</f>
        <v/>
      </c>
      <c r="E4132" s="17">
        <f>IF(B4132="","",IFERROR(INDEX(Clay_Brands!$A$2:$FZ$601,81,Sync!$D$6)&amp;"",""))</f>
        <v/>
      </c>
      <c r="F4132" s="17">
        <f>IF(B4132="","","outreach_sent")</f>
        <v/>
      </c>
      <c r="G4132" s="17">
        <f>IF(B4132="","","")</f>
        <v/>
      </c>
      <c r="H4132" s="17">
        <f>IF(B4132="","","")</f>
        <v/>
      </c>
      <c r="I4132" s="17">
        <f>IF(B4132="","","")</f>
        <v/>
      </c>
      <c r="J4132" s="17">
        <f>IF(B4132="","","touch_2; "&amp;IFERROR(INDEX(Clay_Brands!$A$2:$FZ$601,81,Sync!$D$10)&amp;"","")&amp;"; "&amp;IFERROR(INDEX(Clay_Brands!$A$2:$FZ$601,81,Sync!$D$9)&amp;"",""))</f>
        <v/>
      </c>
      <c r="K4132" t="inlineStr">
        <is>
          <t>brand outreach touch 2</t>
        </is>
      </c>
    </row>
    <row r="4133">
      <c r="A4133" s="17">
        <f>IF(B4133="","",B4133+(16*1000+82)/10000000)</f>
        <v/>
      </c>
      <c r="B4133" s="23">
        <f>IF(AND(IFERROR(N(INDEX(Clay_Brands!$A$2:$FZ$601,82,Sync!$D$12)),0)&gt;0,IFERROR(INDEX(Clay_Brands!$A$2:$FZ$601,82,Sync!$D$5)&amp;"","")&lt;&gt;"",OR(LEFT(IFERROR(INDEX(Clay_Brands!$A$2:$FZ$601,82,Sync!$D$5)&amp;"",""),6)&lt;&gt;"SAMPLE",Config!$B$19="Y")),IFERROR(N(INDEX(Clay_Brands!$A$2:$FZ$601,82,Sync!$D$12)),0),"")</f>
        <v/>
      </c>
      <c r="C4133" s="17">
        <f>IF(B4133="","","brand")</f>
        <v/>
      </c>
      <c r="D4133" s="17">
        <f>IF(B4133="","",IFERROR(INDEX(Clay_Brands!$A$2:$FZ$601,82,Sync!$D$5)&amp;"",""))</f>
        <v/>
      </c>
      <c r="E4133" s="17">
        <f>IF(B4133="","",IFERROR(INDEX(Clay_Brands!$A$2:$FZ$601,82,Sync!$D$6)&amp;"",""))</f>
        <v/>
      </c>
      <c r="F4133" s="17">
        <f>IF(B4133="","","outreach_sent")</f>
        <v/>
      </c>
      <c r="G4133" s="17">
        <f>IF(B4133="","","")</f>
        <v/>
      </c>
      <c r="H4133" s="17">
        <f>IF(B4133="","","")</f>
        <v/>
      </c>
      <c r="I4133" s="17">
        <f>IF(B4133="","","")</f>
        <v/>
      </c>
      <c r="J4133" s="17">
        <f>IF(B4133="","","touch_2; "&amp;IFERROR(INDEX(Clay_Brands!$A$2:$FZ$601,82,Sync!$D$10)&amp;"","")&amp;"; "&amp;IFERROR(INDEX(Clay_Brands!$A$2:$FZ$601,82,Sync!$D$9)&amp;"",""))</f>
        <v/>
      </c>
      <c r="K4133" t="inlineStr">
        <is>
          <t>brand outreach touch 2</t>
        </is>
      </c>
    </row>
    <row r="4134">
      <c r="A4134" s="17">
        <f>IF(B4134="","",B4134+(16*1000+83)/10000000)</f>
        <v/>
      </c>
      <c r="B4134" s="23">
        <f>IF(AND(IFERROR(N(INDEX(Clay_Brands!$A$2:$FZ$601,83,Sync!$D$12)),0)&gt;0,IFERROR(INDEX(Clay_Brands!$A$2:$FZ$601,83,Sync!$D$5)&amp;"","")&lt;&gt;"",OR(LEFT(IFERROR(INDEX(Clay_Brands!$A$2:$FZ$601,83,Sync!$D$5)&amp;"",""),6)&lt;&gt;"SAMPLE",Config!$B$19="Y")),IFERROR(N(INDEX(Clay_Brands!$A$2:$FZ$601,83,Sync!$D$12)),0),"")</f>
        <v/>
      </c>
      <c r="C4134" s="17">
        <f>IF(B4134="","","brand")</f>
        <v/>
      </c>
      <c r="D4134" s="17">
        <f>IF(B4134="","",IFERROR(INDEX(Clay_Brands!$A$2:$FZ$601,83,Sync!$D$5)&amp;"",""))</f>
        <v/>
      </c>
      <c r="E4134" s="17">
        <f>IF(B4134="","",IFERROR(INDEX(Clay_Brands!$A$2:$FZ$601,83,Sync!$D$6)&amp;"",""))</f>
        <v/>
      </c>
      <c r="F4134" s="17">
        <f>IF(B4134="","","outreach_sent")</f>
        <v/>
      </c>
      <c r="G4134" s="17">
        <f>IF(B4134="","","")</f>
        <v/>
      </c>
      <c r="H4134" s="17">
        <f>IF(B4134="","","")</f>
        <v/>
      </c>
      <c r="I4134" s="17">
        <f>IF(B4134="","","")</f>
        <v/>
      </c>
      <c r="J4134" s="17">
        <f>IF(B4134="","","touch_2; "&amp;IFERROR(INDEX(Clay_Brands!$A$2:$FZ$601,83,Sync!$D$10)&amp;"","")&amp;"; "&amp;IFERROR(INDEX(Clay_Brands!$A$2:$FZ$601,83,Sync!$D$9)&amp;"",""))</f>
        <v/>
      </c>
      <c r="K4134" t="inlineStr">
        <is>
          <t>brand outreach touch 2</t>
        </is>
      </c>
    </row>
    <row r="4135">
      <c r="A4135" s="17">
        <f>IF(B4135="","",B4135+(16*1000+84)/10000000)</f>
        <v/>
      </c>
      <c r="B4135" s="23">
        <f>IF(AND(IFERROR(N(INDEX(Clay_Brands!$A$2:$FZ$601,84,Sync!$D$12)),0)&gt;0,IFERROR(INDEX(Clay_Brands!$A$2:$FZ$601,84,Sync!$D$5)&amp;"","")&lt;&gt;"",OR(LEFT(IFERROR(INDEX(Clay_Brands!$A$2:$FZ$601,84,Sync!$D$5)&amp;"",""),6)&lt;&gt;"SAMPLE",Config!$B$19="Y")),IFERROR(N(INDEX(Clay_Brands!$A$2:$FZ$601,84,Sync!$D$12)),0),"")</f>
        <v/>
      </c>
      <c r="C4135" s="17">
        <f>IF(B4135="","","brand")</f>
        <v/>
      </c>
      <c r="D4135" s="17">
        <f>IF(B4135="","",IFERROR(INDEX(Clay_Brands!$A$2:$FZ$601,84,Sync!$D$5)&amp;"",""))</f>
        <v/>
      </c>
      <c r="E4135" s="17">
        <f>IF(B4135="","",IFERROR(INDEX(Clay_Brands!$A$2:$FZ$601,84,Sync!$D$6)&amp;"",""))</f>
        <v/>
      </c>
      <c r="F4135" s="17">
        <f>IF(B4135="","","outreach_sent")</f>
        <v/>
      </c>
      <c r="G4135" s="17">
        <f>IF(B4135="","","")</f>
        <v/>
      </c>
      <c r="H4135" s="17">
        <f>IF(B4135="","","")</f>
        <v/>
      </c>
      <c r="I4135" s="17">
        <f>IF(B4135="","","")</f>
        <v/>
      </c>
      <c r="J4135" s="17">
        <f>IF(B4135="","","touch_2; "&amp;IFERROR(INDEX(Clay_Brands!$A$2:$FZ$601,84,Sync!$D$10)&amp;"","")&amp;"; "&amp;IFERROR(INDEX(Clay_Brands!$A$2:$FZ$601,84,Sync!$D$9)&amp;"",""))</f>
        <v/>
      </c>
      <c r="K4135" t="inlineStr">
        <is>
          <t>brand outreach touch 2</t>
        </is>
      </c>
    </row>
    <row r="4136">
      <c r="A4136" s="17">
        <f>IF(B4136="","",B4136+(16*1000+85)/10000000)</f>
        <v/>
      </c>
      <c r="B4136" s="23">
        <f>IF(AND(IFERROR(N(INDEX(Clay_Brands!$A$2:$FZ$601,85,Sync!$D$12)),0)&gt;0,IFERROR(INDEX(Clay_Brands!$A$2:$FZ$601,85,Sync!$D$5)&amp;"","")&lt;&gt;"",OR(LEFT(IFERROR(INDEX(Clay_Brands!$A$2:$FZ$601,85,Sync!$D$5)&amp;"",""),6)&lt;&gt;"SAMPLE",Config!$B$19="Y")),IFERROR(N(INDEX(Clay_Brands!$A$2:$FZ$601,85,Sync!$D$12)),0),"")</f>
        <v/>
      </c>
      <c r="C4136" s="17">
        <f>IF(B4136="","","brand")</f>
        <v/>
      </c>
      <c r="D4136" s="17">
        <f>IF(B4136="","",IFERROR(INDEX(Clay_Brands!$A$2:$FZ$601,85,Sync!$D$5)&amp;"",""))</f>
        <v/>
      </c>
      <c r="E4136" s="17">
        <f>IF(B4136="","",IFERROR(INDEX(Clay_Brands!$A$2:$FZ$601,85,Sync!$D$6)&amp;"",""))</f>
        <v/>
      </c>
      <c r="F4136" s="17">
        <f>IF(B4136="","","outreach_sent")</f>
        <v/>
      </c>
      <c r="G4136" s="17">
        <f>IF(B4136="","","")</f>
        <v/>
      </c>
      <c r="H4136" s="17">
        <f>IF(B4136="","","")</f>
        <v/>
      </c>
      <c r="I4136" s="17">
        <f>IF(B4136="","","")</f>
        <v/>
      </c>
      <c r="J4136" s="17">
        <f>IF(B4136="","","touch_2; "&amp;IFERROR(INDEX(Clay_Brands!$A$2:$FZ$601,85,Sync!$D$10)&amp;"","")&amp;"; "&amp;IFERROR(INDEX(Clay_Brands!$A$2:$FZ$601,85,Sync!$D$9)&amp;"",""))</f>
        <v/>
      </c>
      <c r="K4136" t="inlineStr">
        <is>
          <t>brand outreach touch 2</t>
        </is>
      </c>
    </row>
    <row r="4137">
      <c r="A4137" s="17">
        <f>IF(B4137="","",B4137+(16*1000+86)/10000000)</f>
        <v/>
      </c>
      <c r="B4137" s="23">
        <f>IF(AND(IFERROR(N(INDEX(Clay_Brands!$A$2:$FZ$601,86,Sync!$D$12)),0)&gt;0,IFERROR(INDEX(Clay_Brands!$A$2:$FZ$601,86,Sync!$D$5)&amp;"","")&lt;&gt;"",OR(LEFT(IFERROR(INDEX(Clay_Brands!$A$2:$FZ$601,86,Sync!$D$5)&amp;"",""),6)&lt;&gt;"SAMPLE",Config!$B$19="Y")),IFERROR(N(INDEX(Clay_Brands!$A$2:$FZ$601,86,Sync!$D$12)),0),"")</f>
        <v/>
      </c>
      <c r="C4137" s="17">
        <f>IF(B4137="","","brand")</f>
        <v/>
      </c>
      <c r="D4137" s="17">
        <f>IF(B4137="","",IFERROR(INDEX(Clay_Brands!$A$2:$FZ$601,86,Sync!$D$5)&amp;"",""))</f>
        <v/>
      </c>
      <c r="E4137" s="17">
        <f>IF(B4137="","",IFERROR(INDEX(Clay_Brands!$A$2:$FZ$601,86,Sync!$D$6)&amp;"",""))</f>
        <v/>
      </c>
      <c r="F4137" s="17">
        <f>IF(B4137="","","outreach_sent")</f>
        <v/>
      </c>
      <c r="G4137" s="17">
        <f>IF(B4137="","","")</f>
        <v/>
      </c>
      <c r="H4137" s="17">
        <f>IF(B4137="","","")</f>
        <v/>
      </c>
      <c r="I4137" s="17">
        <f>IF(B4137="","","")</f>
        <v/>
      </c>
      <c r="J4137" s="17">
        <f>IF(B4137="","","touch_2; "&amp;IFERROR(INDEX(Clay_Brands!$A$2:$FZ$601,86,Sync!$D$10)&amp;"","")&amp;"; "&amp;IFERROR(INDEX(Clay_Brands!$A$2:$FZ$601,86,Sync!$D$9)&amp;"",""))</f>
        <v/>
      </c>
      <c r="K4137" t="inlineStr">
        <is>
          <t>brand outreach touch 2</t>
        </is>
      </c>
    </row>
    <row r="4138">
      <c r="A4138" s="17">
        <f>IF(B4138="","",B4138+(16*1000+87)/10000000)</f>
        <v/>
      </c>
      <c r="B4138" s="23">
        <f>IF(AND(IFERROR(N(INDEX(Clay_Brands!$A$2:$FZ$601,87,Sync!$D$12)),0)&gt;0,IFERROR(INDEX(Clay_Brands!$A$2:$FZ$601,87,Sync!$D$5)&amp;"","")&lt;&gt;"",OR(LEFT(IFERROR(INDEX(Clay_Brands!$A$2:$FZ$601,87,Sync!$D$5)&amp;"",""),6)&lt;&gt;"SAMPLE",Config!$B$19="Y")),IFERROR(N(INDEX(Clay_Brands!$A$2:$FZ$601,87,Sync!$D$12)),0),"")</f>
        <v/>
      </c>
      <c r="C4138" s="17">
        <f>IF(B4138="","","brand")</f>
        <v/>
      </c>
      <c r="D4138" s="17">
        <f>IF(B4138="","",IFERROR(INDEX(Clay_Brands!$A$2:$FZ$601,87,Sync!$D$5)&amp;"",""))</f>
        <v/>
      </c>
      <c r="E4138" s="17">
        <f>IF(B4138="","",IFERROR(INDEX(Clay_Brands!$A$2:$FZ$601,87,Sync!$D$6)&amp;"",""))</f>
        <v/>
      </c>
      <c r="F4138" s="17">
        <f>IF(B4138="","","outreach_sent")</f>
        <v/>
      </c>
      <c r="G4138" s="17">
        <f>IF(B4138="","","")</f>
        <v/>
      </c>
      <c r="H4138" s="17">
        <f>IF(B4138="","","")</f>
        <v/>
      </c>
      <c r="I4138" s="17">
        <f>IF(B4138="","","")</f>
        <v/>
      </c>
      <c r="J4138" s="17">
        <f>IF(B4138="","","touch_2; "&amp;IFERROR(INDEX(Clay_Brands!$A$2:$FZ$601,87,Sync!$D$10)&amp;"","")&amp;"; "&amp;IFERROR(INDEX(Clay_Brands!$A$2:$FZ$601,87,Sync!$D$9)&amp;"",""))</f>
        <v/>
      </c>
      <c r="K4138" t="inlineStr">
        <is>
          <t>brand outreach touch 2</t>
        </is>
      </c>
    </row>
    <row r="4139">
      <c r="A4139" s="17">
        <f>IF(B4139="","",B4139+(16*1000+88)/10000000)</f>
        <v/>
      </c>
      <c r="B4139" s="23">
        <f>IF(AND(IFERROR(N(INDEX(Clay_Brands!$A$2:$FZ$601,88,Sync!$D$12)),0)&gt;0,IFERROR(INDEX(Clay_Brands!$A$2:$FZ$601,88,Sync!$D$5)&amp;"","")&lt;&gt;"",OR(LEFT(IFERROR(INDEX(Clay_Brands!$A$2:$FZ$601,88,Sync!$D$5)&amp;"",""),6)&lt;&gt;"SAMPLE",Config!$B$19="Y")),IFERROR(N(INDEX(Clay_Brands!$A$2:$FZ$601,88,Sync!$D$12)),0),"")</f>
        <v/>
      </c>
      <c r="C4139" s="17">
        <f>IF(B4139="","","brand")</f>
        <v/>
      </c>
      <c r="D4139" s="17">
        <f>IF(B4139="","",IFERROR(INDEX(Clay_Brands!$A$2:$FZ$601,88,Sync!$D$5)&amp;"",""))</f>
        <v/>
      </c>
      <c r="E4139" s="17">
        <f>IF(B4139="","",IFERROR(INDEX(Clay_Brands!$A$2:$FZ$601,88,Sync!$D$6)&amp;"",""))</f>
        <v/>
      </c>
      <c r="F4139" s="17">
        <f>IF(B4139="","","outreach_sent")</f>
        <v/>
      </c>
      <c r="G4139" s="17">
        <f>IF(B4139="","","")</f>
        <v/>
      </c>
      <c r="H4139" s="17">
        <f>IF(B4139="","","")</f>
        <v/>
      </c>
      <c r="I4139" s="17">
        <f>IF(B4139="","","")</f>
        <v/>
      </c>
      <c r="J4139" s="17">
        <f>IF(B4139="","","touch_2; "&amp;IFERROR(INDEX(Clay_Brands!$A$2:$FZ$601,88,Sync!$D$10)&amp;"","")&amp;"; "&amp;IFERROR(INDEX(Clay_Brands!$A$2:$FZ$601,88,Sync!$D$9)&amp;"",""))</f>
        <v/>
      </c>
      <c r="K4139" t="inlineStr">
        <is>
          <t>brand outreach touch 2</t>
        </is>
      </c>
    </row>
    <row r="4140">
      <c r="A4140" s="17">
        <f>IF(B4140="","",B4140+(16*1000+89)/10000000)</f>
        <v/>
      </c>
      <c r="B4140" s="23">
        <f>IF(AND(IFERROR(N(INDEX(Clay_Brands!$A$2:$FZ$601,89,Sync!$D$12)),0)&gt;0,IFERROR(INDEX(Clay_Brands!$A$2:$FZ$601,89,Sync!$D$5)&amp;"","")&lt;&gt;"",OR(LEFT(IFERROR(INDEX(Clay_Brands!$A$2:$FZ$601,89,Sync!$D$5)&amp;"",""),6)&lt;&gt;"SAMPLE",Config!$B$19="Y")),IFERROR(N(INDEX(Clay_Brands!$A$2:$FZ$601,89,Sync!$D$12)),0),"")</f>
        <v/>
      </c>
      <c r="C4140" s="17">
        <f>IF(B4140="","","brand")</f>
        <v/>
      </c>
      <c r="D4140" s="17">
        <f>IF(B4140="","",IFERROR(INDEX(Clay_Brands!$A$2:$FZ$601,89,Sync!$D$5)&amp;"",""))</f>
        <v/>
      </c>
      <c r="E4140" s="17">
        <f>IF(B4140="","",IFERROR(INDEX(Clay_Brands!$A$2:$FZ$601,89,Sync!$D$6)&amp;"",""))</f>
        <v/>
      </c>
      <c r="F4140" s="17">
        <f>IF(B4140="","","outreach_sent")</f>
        <v/>
      </c>
      <c r="G4140" s="17">
        <f>IF(B4140="","","")</f>
        <v/>
      </c>
      <c r="H4140" s="17">
        <f>IF(B4140="","","")</f>
        <v/>
      </c>
      <c r="I4140" s="17">
        <f>IF(B4140="","","")</f>
        <v/>
      </c>
      <c r="J4140" s="17">
        <f>IF(B4140="","","touch_2; "&amp;IFERROR(INDEX(Clay_Brands!$A$2:$FZ$601,89,Sync!$D$10)&amp;"","")&amp;"; "&amp;IFERROR(INDEX(Clay_Brands!$A$2:$FZ$601,89,Sync!$D$9)&amp;"",""))</f>
        <v/>
      </c>
      <c r="K4140" t="inlineStr">
        <is>
          <t>brand outreach touch 2</t>
        </is>
      </c>
    </row>
    <row r="4141">
      <c r="A4141" s="17">
        <f>IF(B4141="","",B4141+(16*1000+90)/10000000)</f>
        <v/>
      </c>
      <c r="B4141" s="23">
        <f>IF(AND(IFERROR(N(INDEX(Clay_Brands!$A$2:$FZ$601,90,Sync!$D$12)),0)&gt;0,IFERROR(INDEX(Clay_Brands!$A$2:$FZ$601,90,Sync!$D$5)&amp;"","")&lt;&gt;"",OR(LEFT(IFERROR(INDEX(Clay_Brands!$A$2:$FZ$601,90,Sync!$D$5)&amp;"",""),6)&lt;&gt;"SAMPLE",Config!$B$19="Y")),IFERROR(N(INDEX(Clay_Brands!$A$2:$FZ$601,90,Sync!$D$12)),0),"")</f>
        <v/>
      </c>
      <c r="C4141" s="17">
        <f>IF(B4141="","","brand")</f>
        <v/>
      </c>
      <c r="D4141" s="17">
        <f>IF(B4141="","",IFERROR(INDEX(Clay_Brands!$A$2:$FZ$601,90,Sync!$D$5)&amp;"",""))</f>
        <v/>
      </c>
      <c r="E4141" s="17">
        <f>IF(B4141="","",IFERROR(INDEX(Clay_Brands!$A$2:$FZ$601,90,Sync!$D$6)&amp;"",""))</f>
        <v/>
      </c>
      <c r="F4141" s="17">
        <f>IF(B4141="","","outreach_sent")</f>
        <v/>
      </c>
      <c r="G4141" s="17">
        <f>IF(B4141="","","")</f>
        <v/>
      </c>
      <c r="H4141" s="17">
        <f>IF(B4141="","","")</f>
        <v/>
      </c>
      <c r="I4141" s="17">
        <f>IF(B4141="","","")</f>
        <v/>
      </c>
      <c r="J4141" s="17">
        <f>IF(B4141="","","touch_2; "&amp;IFERROR(INDEX(Clay_Brands!$A$2:$FZ$601,90,Sync!$D$10)&amp;"","")&amp;"; "&amp;IFERROR(INDEX(Clay_Brands!$A$2:$FZ$601,90,Sync!$D$9)&amp;"",""))</f>
        <v/>
      </c>
      <c r="K4141" t="inlineStr">
        <is>
          <t>brand outreach touch 2</t>
        </is>
      </c>
    </row>
    <row r="4142">
      <c r="A4142" s="17">
        <f>IF(B4142="","",B4142+(16*1000+91)/10000000)</f>
        <v/>
      </c>
      <c r="B4142" s="23">
        <f>IF(AND(IFERROR(N(INDEX(Clay_Brands!$A$2:$FZ$601,91,Sync!$D$12)),0)&gt;0,IFERROR(INDEX(Clay_Brands!$A$2:$FZ$601,91,Sync!$D$5)&amp;"","")&lt;&gt;"",OR(LEFT(IFERROR(INDEX(Clay_Brands!$A$2:$FZ$601,91,Sync!$D$5)&amp;"",""),6)&lt;&gt;"SAMPLE",Config!$B$19="Y")),IFERROR(N(INDEX(Clay_Brands!$A$2:$FZ$601,91,Sync!$D$12)),0),"")</f>
        <v/>
      </c>
      <c r="C4142" s="17">
        <f>IF(B4142="","","brand")</f>
        <v/>
      </c>
      <c r="D4142" s="17">
        <f>IF(B4142="","",IFERROR(INDEX(Clay_Brands!$A$2:$FZ$601,91,Sync!$D$5)&amp;"",""))</f>
        <v/>
      </c>
      <c r="E4142" s="17">
        <f>IF(B4142="","",IFERROR(INDEX(Clay_Brands!$A$2:$FZ$601,91,Sync!$D$6)&amp;"",""))</f>
        <v/>
      </c>
      <c r="F4142" s="17">
        <f>IF(B4142="","","outreach_sent")</f>
        <v/>
      </c>
      <c r="G4142" s="17">
        <f>IF(B4142="","","")</f>
        <v/>
      </c>
      <c r="H4142" s="17">
        <f>IF(B4142="","","")</f>
        <v/>
      </c>
      <c r="I4142" s="17">
        <f>IF(B4142="","","")</f>
        <v/>
      </c>
      <c r="J4142" s="17">
        <f>IF(B4142="","","touch_2; "&amp;IFERROR(INDEX(Clay_Brands!$A$2:$FZ$601,91,Sync!$D$10)&amp;"","")&amp;"; "&amp;IFERROR(INDEX(Clay_Brands!$A$2:$FZ$601,91,Sync!$D$9)&amp;"",""))</f>
        <v/>
      </c>
      <c r="K4142" t="inlineStr">
        <is>
          <t>brand outreach touch 2</t>
        </is>
      </c>
    </row>
    <row r="4143">
      <c r="A4143" s="17">
        <f>IF(B4143="","",B4143+(16*1000+92)/10000000)</f>
        <v/>
      </c>
      <c r="B4143" s="23">
        <f>IF(AND(IFERROR(N(INDEX(Clay_Brands!$A$2:$FZ$601,92,Sync!$D$12)),0)&gt;0,IFERROR(INDEX(Clay_Brands!$A$2:$FZ$601,92,Sync!$D$5)&amp;"","")&lt;&gt;"",OR(LEFT(IFERROR(INDEX(Clay_Brands!$A$2:$FZ$601,92,Sync!$D$5)&amp;"",""),6)&lt;&gt;"SAMPLE",Config!$B$19="Y")),IFERROR(N(INDEX(Clay_Brands!$A$2:$FZ$601,92,Sync!$D$12)),0),"")</f>
        <v/>
      </c>
      <c r="C4143" s="17">
        <f>IF(B4143="","","brand")</f>
        <v/>
      </c>
      <c r="D4143" s="17">
        <f>IF(B4143="","",IFERROR(INDEX(Clay_Brands!$A$2:$FZ$601,92,Sync!$D$5)&amp;"",""))</f>
        <v/>
      </c>
      <c r="E4143" s="17">
        <f>IF(B4143="","",IFERROR(INDEX(Clay_Brands!$A$2:$FZ$601,92,Sync!$D$6)&amp;"",""))</f>
        <v/>
      </c>
      <c r="F4143" s="17">
        <f>IF(B4143="","","outreach_sent")</f>
        <v/>
      </c>
      <c r="G4143" s="17">
        <f>IF(B4143="","","")</f>
        <v/>
      </c>
      <c r="H4143" s="17">
        <f>IF(B4143="","","")</f>
        <v/>
      </c>
      <c r="I4143" s="17">
        <f>IF(B4143="","","")</f>
        <v/>
      </c>
      <c r="J4143" s="17">
        <f>IF(B4143="","","touch_2; "&amp;IFERROR(INDEX(Clay_Brands!$A$2:$FZ$601,92,Sync!$D$10)&amp;"","")&amp;"; "&amp;IFERROR(INDEX(Clay_Brands!$A$2:$FZ$601,92,Sync!$D$9)&amp;"",""))</f>
        <v/>
      </c>
      <c r="K4143" t="inlineStr">
        <is>
          <t>brand outreach touch 2</t>
        </is>
      </c>
    </row>
    <row r="4144">
      <c r="A4144" s="17">
        <f>IF(B4144="","",B4144+(16*1000+93)/10000000)</f>
        <v/>
      </c>
      <c r="B4144" s="23">
        <f>IF(AND(IFERROR(N(INDEX(Clay_Brands!$A$2:$FZ$601,93,Sync!$D$12)),0)&gt;0,IFERROR(INDEX(Clay_Brands!$A$2:$FZ$601,93,Sync!$D$5)&amp;"","")&lt;&gt;"",OR(LEFT(IFERROR(INDEX(Clay_Brands!$A$2:$FZ$601,93,Sync!$D$5)&amp;"",""),6)&lt;&gt;"SAMPLE",Config!$B$19="Y")),IFERROR(N(INDEX(Clay_Brands!$A$2:$FZ$601,93,Sync!$D$12)),0),"")</f>
        <v/>
      </c>
      <c r="C4144" s="17">
        <f>IF(B4144="","","brand")</f>
        <v/>
      </c>
      <c r="D4144" s="17">
        <f>IF(B4144="","",IFERROR(INDEX(Clay_Brands!$A$2:$FZ$601,93,Sync!$D$5)&amp;"",""))</f>
        <v/>
      </c>
      <c r="E4144" s="17">
        <f>IF(B4144="","",IFERROR(INDEX(Clay_Brands!$A$2:$FZ$601,93,Sync!$D$6)&amp;"",""))</f>
        <v/>
      </c>
      <c r="F4144" s="17">
        <f>IF(B4144="","","outreach_sent")</f>
        <v/>
      </c>
      <c r="G4144" s="17">
        <f>IF(B4144="","","")</f>
        <v/>
      </c>
      <c r="H4144" s="17">
        <f>IF(B4144="","","")</f>
        <v/>
      </c>
      <c r="I4144" s="17">
        <f>IF(B4144="","","")</f>
        <v/>
      </c>
      <c r="J4144" s="17">
        <f>IF(B4144="","","touch_2; "&amp;IFERROR(INDEX(Clay_Brands!$A$2:$FZ$601,93,Sync!$D$10)&amp;"","")&amp;"; "&amp;IFERROR(INDEX(Clay_Brands!$A$2:$FZ$601,93,Sync!$D$9)&amp;"",""))</f>
        <v/>
      </c>
      <c r="K4144" t="inlineStr">
        <is>
          <t>brand outreach touch 2</t>
        </is>
      </c>
    </row>
    <row r="4145">
      <c r="A4145" s="17">
        <f>IF(B4145="","",B4145+(16*1000+94)/10000000)</f>
        <v/>
      </c>
      <c r="B4145" s="23">
        <f>IF(AND(IFERROR(N(INDEX(Clay_Brands!$A$2:$FZ$601,94,Sync!$D$12)),0)&gt;0,IFERROR(INDEX(Clay_Brands!$A$2:$FZ$601,94,Sync!$D$5)&amp;"","")&lt;&gt;"",OR(LEFT(IFERROR(INDEX(Clay_Brands!$A$2:$FZ$601,94,Sync!$D$5)&amp;"",""),6)&lt;&gt;"SAMPLE",Config!$B$19="Y")),IFERROR(N(INDEX(Clay_Brands!$A$2:$FZ$601,94,Sync!$D$12)),0),"")</f>
        <v/>
      </c>
      <c r="C4145" s="17">
        <f>IF(B4145="","","brand")</f>
        <v/>
      </c>
      <c r="D4145" s="17">
        <f>IF(B4145="","",IFERROR(INDEX(Clay_Brands!$A$2:$FZ$601,94,Sync!$D$5)&amp;"",""))</f>
        <v/>
      </c>
      <c r="E4145" s="17">
        <f>IF(B4145="","",IFERROR(INDEX(Clay_Brands!$A$2:$FZ$601,94,Sync!$D$6)&amp;"",""))</f>
        <v/>
      </c>
      <c r="F4145" s="17">
        <f>IF(B4145="","","outreach_sent")</f>
        <v/>
      </c>
      <c r="G4145" s="17">
        <f>IF(B4145="","","")</f>
        <v/>
      </c>
      <c r="H4145" s="17">
        <f>IF(B4145="","","")</f>
        <v/>
      </c>
      <c r="I4145" s="17">
        <f>IF(B4145="","","")</f>
        <v/>
      </c>
      <c r="J4145" s="17">
        <f>IF(B4145="","","touch_2; "&amp;IFERROR(INDEX(Clay_Brands!$A$2:$FZ$601,94,Sync!$D$10)&amp;"","")&amp;"; "&amp;IFERROR(INDEX(Clay_Brands!$A$2:$FZ$601,94,Sync!$D$9)&amp;"",""))</f>
        <v/>
      </c>
      <c r="K4145" t="inlineStr">
        <is>
          <t>brand outreach touch 2</t>
        </is>
      </c>
    </row>
    <row r="4146">
      <c r="A4146" s="17">
        <f>IF(B4146="","",B4146+(16*1000+95)/10000000)</f>
        <v/>
      </c>
      <c r="B4146" s="23">
        <f>IF(AND(IFERROR(N(INDEX(Clay_Brands!$A$2:$FZ$601,95,Sync!$D$12)),0)&gt;0,IFERROR(INDEX(Clay_Brands!$A$2:$FZ$601,95,Sync!$D$5)&amp;"","")&lt;&gt;"",OR(LEFT(IFERROR(INDEX(Clay_Brands!$A$2:$FZ$601,95,Sync!$D$5)&amp;"",""),6)&lt;&gt;"SAMPLE",Config!$B$19="Y")),IFERROR(N(INDEX(Clay_Brands!$A$2:$FZ$601,95,Sync!$D$12)),0),"")</f>
        <v/>
      </c>
      <c r="C4146" s="17">
        <f>IF(B4146="","","brand")</f>
        <v/>
      </c>
      <c r="D4146" s="17">
        <f>IF(B4146="","",IFERROR(INDEX(Clay_Brands!$A$2:$FZ$601,95,Sync!$D$5)&amp;"",""))</f>
        <v/>
      </c>
      <c r="E4146" s="17">
        <f>IF(B4146="","",IFERROR(INDEX(Clay_Brands!$A$2:$FZ$601,95,Sync!$D$6)&amp;"",""))</f>
        <v/>
      </c>
      <c r="F4146" s="17">
        <f>IF(B4146="","","outreach_sent")</f>
        <v/>
      </c>
      <c r="G4146" s="17">
        <f>IF(B4146="","","")</f>
        <v/>
      </c>
      <c r="H4146" s="17">
        <f>IF(B4146="","","")</f>
        <v/>
      </c>
      <c r="I4146" s="17">
        <f>IF(B4146="","","")</f>
        <v/>
      </c>
      <c r="J4146" s="17">
        <f>IF(B4146="","","touch_2; "&amp;IFERROR(INDEX(Clay_Brands!$A$2:$FZ$601,95,Sync!$D$10)&amp;"","")&amp;"; "&amp;IFERROR(INDEX(Clay_Brands!$A$2:$FZ$601,95,Sync!$D$9)&amp;"",""))</f>
        <v/>
      </c>
      <c r="K4146" t="inlineStr">
        <is>
          <t>brand outreach touch 2</t>
        </is>
      </c>
    </row>
    <row r="4147">
      <c r="A4147" s="17">
        <f>IF(B4147="","",B4147+(16*1000+96)/10000000)</f>
        <v/>
      </c>
      <c r="B4147" s="23">
        <f>IF(AND(IFERROR(N(INDEX(Clay_Brands!$A$2:$FZ$601,96,Sync!$D$12)),0)&gt;0,IFERROR(INDEX(Clay_Brands!$A$2:$FZ$601,96,Sync!$D$5)&amp;"","")&lt;&gt;"",OR(LEFT(IFERROR(INDEX(Clay_Brands!$A$2:$FZ$601,96,Sync!$D$5)&amp;"",""),6)&lt;&gt;"SAMPLE",Config!$B$19="Y")),IFERROR(N(INDEX(Clay_Brands!$A$2:$FZ$601,96,Sync!$D$12)),0),"")</f>
        <v/>
      </c>
      <c r="C4147" s="17">
        <f>IF(B4147="","","brand")</f>
        <v/>
      </c>
      <c r="D4147" s="17">
        <f>IF(B4147="","",IFERROR(INDEX(Clay_Brands!$A$2:$FZ$601,96,Sync!$D$5)&amp;"",""))</f>
        <v/>
      </c>
      <c r="E4147" s="17">
        <f>IF(B4147="","",IFERROR(INDEX(Clay_Brands!$A$2:$FZ$601,96,Sync!$D$6)&amp;"",""))</f>
        <v/>
      </c>
      <c r="F4147" s="17">
        <f>IF(B4147="","","outreach_sent")</f>
        <v/>
      </c>
      <c r="G4147" s="17">
        <f>IF(B4147="","","")</f>
        <v/>
      </c>
      <c r="H4147" s="17">
        <f>IF(B4147="","","")</f>
        <v/>
      </c>
      <c r="I4147" s="17">
        <f>IF(B4147="","","")</f>
        <v/>
      </c>
      <c r="J4147" s="17">
        <f>IF(B4147="","","touch_2; "&amp;IFERROR(INDEX(Clay_Brands!$A$2:$FZ$601,96,Sync!$D$10)&amp;"","")&amp;"; "&amp;IFERROR(INDEX(Clay_Brands!$A$2:$FZ$601,96,Sync!$D$9)&amp;"",""))</f>
        <v/>
      </c>
      <c r="K4147" t="inlineStr">
        <is>
          <t>brand outreach touch 2</t>
        </is>
      </c>
    </row>
    <row r="4148">
      <c r="A4148" s="17">
        <f>IF(B4148="","",B4148+(16*1000+97)/10000000)</f>
        <v/>
      </c>
      <c r="B4148" s="23">
        <f>IF(AND(IFERROR(N(INDEX(Clay_Brands!$A$2:$FZ$601,97,Sync!$D$12)),0)&gt;0,IFERROR(INDEX(Clay_Brands!$A$2:$FZ$601,97,Sync!$D$5)&amp;"","")&lt;&gt;"",OR(LEFT(IFERROR(INDEX(Clay_Brands!$A$2:$FZ$601,97,Sync!$D$5)&amp;"",""),6)&lt;&gt;"SAMPLE",Config!$B$19="Y")),IFERROR(N(INDEX(Clay_Brands!$A$2:$FZ$601,97,Sync!$D$12)),0),"")</f>
        <v/>
      </c>
      <c r="C4148" s="17">
        <f>IF(B4148="","","brand")</f>
        <v/>
      </c>
      <c r="D4148" s="17">
        <f>IF(B4148="","",IFERROR(INDEX(Clay_Brands!$A$2:$FZ$601,97,Sync!$D$5)&amp;"",""))</f>
        <v/>
      </c>
      <c r="E4148" s="17">
        <f>IF(B4148="","",IFERROR(INDEX(Clay_Brands!$A$2:$FZ$601,97,Sync!$D$6)&amp;"",""))</f>
        <v/>
      </c>
      <c r="F4148" s="17">
        <f>IF(B4148="","","outreach_sent")</f>
        <v/>
      </c>
      <c r="G4148" s="17">
        <f>IF(B4148="","","")</f>
        <v/>
      </c>
      <c r="H4148" s="17">
        <f>IF(B4148="","","")</f>
        <v/>
      </c>
      <c r="I4148" s="17">
        <f>IF(B4148="","","")</f>
        <v/>
      </c>
      <c r="J4148" s="17">
        <f>IF(B4148="","","touch_2; "&amp;IFERROR(INDEX(Clay_Brands!$A$2:$FZ$601,97,Sync!$D$10)&amp;"","")&amp;"; "&amp;IFERROR(INDEX(Clay_Brands!$A$2:$FZ$601,97,Sync!$D$9)&amp;"",""))</f>
        <v/>
      </c>
      <c r="K4148" t="inlineStr">
        <is>
          <t>brand outreach touch 2</t>
        </is>
      </c>
    </row>
    <row r="4149">
      <c r="A4149" s="17">
        <f>IF(B4149="","",B4149+(16*1000+98)/10000000)</f>
        <v/>
      </c>
      <c r="B4149" s="23">
        <f>IF(AND(IFERROR(N(INDEX(Clay_Brands!$A$2:$FZ$601,98,Sync!$D$12)),0)&gt;0,IFERROR(INDEX(Clay_Brands!$A$2:$FZ$601,98,Sync!$D$5)&amp;"","")&lt;&gt;"",OR(LEFT(IFERROR(INDEX(Clay_Brands!$A$2:$FZ$601,98,Sync!$D$5)&amp;"",""),6)&lt;&gt;"SAMPLE",Config!$B$19="Y")),IFERROR(N(INDEX(Clay_Brands!$A$2:$FZ$601,98,Sync!$D$12)),0),"")</f>
        <v/>
      </c>
      <c r="C4149" s="17">
        <f>IF(B4149="","","brand")</f>
        <v/>
      </c>
      <c r="D4149" s="17">
        <f>IF(B4149="","",IFERROR(INDEX(Clay_Brands!$A$2:$FZ$601,98,Sync!$D$5)&amp;"",""))</f>
        <v/>
      </c>
      <c r="E4149" s="17">
        <f>IF(B4149="","",IFERROR(INDEX(Clay_Brands!$A$2:$FZ$601,98,Sync!$D$6)&amp;"",""))</f>
        <v/>
      </c>
      <c r="F4149" s="17">
        <f>IF(B4149="","","outreach_sent")</f>
        <v/>
      </c>
      <c r="G4149" s="17">
        <f>IF(B4149="","","")</f>
        <v/>
      </c>
      <c r="H4149" s="17">
        <f>IF(B4149="","","")</f>
        <v/>
      </c>
      <c r="I4149" s="17">
        <f>IF(B4149="","","")</f>
        <v/>
      </c>
      <c r="J4149" s="17">
        <f>IF(B4149="","","touch_2; "&amp;IFERROR(INDEX(Clay_Brands!$A$2:$FZ$601,98,Sync!$D$10)&amp;"","")&amp;"; "&amp;IFERROR(INDEX(Clay_Brands!$A$2:$FZ$601,98,Sync!$D$9)&amp;"",""))</f>
        <v/>
      </c>
      <c r="K4149" t="inlineStr">
        <is>
          <t>brand outreach touch 2</t>
        </is>
      </c>
    </row>
    <row r="4150">
      <c r="A4150" s="17">
        <f>IF(B4150="","",B4150+(16*1000+99)/10000000)</f>
        <v/>
      </c>
      <c r="B4150" s="23">
        <f>IF(AND(IFERROR(N(INDEX(Clay_Brands!$A$2:$FZ$601,99,Sync!$D$12)),0)&gt;0,IFERROR(INDEX(Clay_Brands!$A$2:$FZ$601,99,Sync!$D$5)&amp;"","")&lt;&gt;"",OR(LEFT(IFERROR(INDEX(Clay_Brands!$A$2:$FZ$601,99,Sync!$D$5)&amp;"",""),6)&lt;&gt;"SAMPLE",Config!$B$19="Y")),IFERROR(N(INDEX(Clay_Brands!$A$2:$FZ$601,99,Sync!$D$12)),0),"")</f>
        <v/>
      </c>
      <c r="C4150" s="17">
        <f>IF(B4150="","","brand")</f>
        <v/>
      </c>
      <c r="D4150" s="17">
        <f>IF(B4150="","",IFERROR(INDEX(Clay_Brands!$A$2:$FZ$601,99,Sync!$D$5)&amp;"",""))</f>
        <v/>
      </c>
      <c r="E4150" s="17">
        <f>IF(B4150="","",IFERROR(INDEX(Clay_Brands!$A$2:$FZ$601,99,Sync!$D$6)&amp;"",""))</f>
        <v/>
      </c>
      <c r="F4150" s="17">
        <f>IF(B4150="","","outreach_sent")</f>
        <v/>
      </c>
      <c r="G4150" s="17">
        <f>IF(B4150="","","")</f>
        <v/>
      </c>
      <c r="H4150" s="17">
        <f>IF(B4150="","","")</f>
        <v/>
      </c>
      <c r="I4150" s="17">
        <f>IF(B4150="","","")</f>
        <v/>
      </c>
      <c r="J4150" s="17">
        <f>IF(B4150="","","touch_2; "&amp;IFERROR(INDEX(Clay_Brands!$A$2:$FZ$601,99,Sync!$D$10)&amp;"","")&amp;"; "&amp;IFERROR(INDEX(Clay_Brands!$A$2:$FZ$601,99,Sync!$D$9)&amp;"",""))</f>
        <v/>
      </c>
      <c r="K4150" t="inlineStr">
        <is>
          <t>brand outreach touch 2</t>
        </is>
      </c>
    </row>
    <row r="4151">
      <c r="A4151" s="17">
        <f>IF(B4151="","",B4151+(16*1000+100)/10000000)</f>
        <v/>
      </c>
      <c r="B4151" s="23">
        <f>IF(AND(IFERROR(N(INDEX(Clay_Brands!$A$2:$FZ$601,100,Sync!$D$12)),0)&gt;0,IFERROR(INDEX(Clay_Brands!$A$2:$FZ$601,100,Sync!$D$5)&amp;"","")&lt;&gt;"",OR(LEFT(IFERROR(INDEX(Clay_Brands!$A$2:$FZ$601,100,Sync!$D$5)&amp;"",""),6)&lt;&gt;"SAMPLE",Config!$B$19="Y")),IFERROR(N(INDEX(Clay_Brands!$A$2:$FZ$601,100,Sync!$D$12)),0),"")</f>
        <v/>
      </c>
      <c r="C4151" s="17">
        <f>IF(B4151="","","brand")</f>
        <v/>
      </c>
      <c r="D4151" s="17">
        <f>IF(B4151="","",IFERROR(INDEX(Clay_Brands!$A$2:$FZ$601,100,Sync!$D$5)&amp;"",""))</f>
        <v/>
      </c>
      <c r="E4151" s="17">
        <f>IF(B4151="","",IFERROR(INDEX(Clay_Brands!$A$2:$FZ$601,100,Sync!$D$6)&amp;"",""))</f>
        <v/>
      </c>
      <c r="F4151" s="17">
        <f>IF(B4151="","","outreach_sent")</f>
        <v/>
      </c>
      <c r="G4151" s="17">
        <f>IF(B4151="","","")</f>
        <v/>
      </c>
      <c r="H4151" s="17">
        <f>IF(B4151="","","")</f>
        <v/>
      </c>
      <c r="I4151" s="17">
        <f>IF(B4151="","","")</f>
        <v/>
      </c>
      <c r="J4151" s="17">
        <f>IF(B4151="","","touch_2; "&amp;IFERROR(INDEX(Clay_Brands!$A$2:$FZ$601,100,Sync!$D$10)&amp;"","")&amp;"; "&amp;IFERROR(INDEX(Clay_Brands!$A$2:$FZ$601,100,Sync!$D$9)&amp;"",""))</f>
        <v/>
      </c>
      <c r="K4151" t="inlineStr">
        <is>
          <t>brand outreach touch 2</t>
        </is>
      </c>
    </row>
    <row r="4152">
      <c r="A4152" s="17">
        <f>IF(B4152="","",B4152+(16*1000+101)/10000000)</f>
        <v/>
      </c>
      <c r="B4152" s="23">
        <f>IF(AND(IFERROR(N(INDEX(Clay_Brands!$A$2:$FZ$601,101,Sync!$D$12)),0)&gt;0,IFERROR(INDEX(Clay_Brands!$A$2:$FZ$601,101,Sync!$D$5)&amp;"","")&lt;&gt;"",OR(LEFT(IFERROR(INDEX(Clay_Brands!$A$2:$FZ$601,101,Sync!$D$5)&amp;"",""),6)&lt;&gt;"SAMPLE",Config!$B$19="Y")),IFERROR(N(INDEX(Clay_Brands!$A$2:$FZ$601,101,Sync!$D$12)),0),"")</f>
        <v/>
      </c>
      <c r="C4152" s="17">
        <f>IF(B4152="","","brand")</f>
        <v/>
      </c>
      <c r="D4152" s="17">
        <f>IF(B4152="","",IFERROR(INDEX(Clay_Brands!$A$2:$FZ$601,101,Sync!$D$5)&amp;"",""))</f>
        <v/>
      </c>
      <c r="E4152" s="17">
        <f>IF(B4152="","",IFERROR(INDEX(Clay_Brands!$A$2:$FZ$601,101,Sync!$D$6)&amp;"",""))</f>
        <v/>
      </c>
      <c r="F4152" s="17">
        <f>IF(B4152="","","outreach_sent")</f>
        <v/>
      </c>
      <c r="G4152" s="17">
        <f>IF(B4152="","","")</f>
        <v/>
      </c>
      <c r="H4152" s="17">
        <f>IF(B4152="","","")</f>
        <v/>
      </c>
      <c r="I4152" s="17">
        <f>IF(B4152="","","")</f>
        <v/>
      </c>
      <c r="J4152" s="17">
        <f>IF(B4152="","","touch_2; "&amp;IFERROR(INDEX(Clay_Brands!$A$2:$FZ$601,101,Sync!$D$10)&amp;"","")&amp;"; "&amp;IFERROR(INDEX(Clay_Brands!$A$2:$FZ$601,101,Sync!$D$9)&amp;"",""))</f>
        <v/>
      </c>
      <c r="K4152" t="inlineStr">
        <is>
          <t>brand outreach touch 2</t>
        </is>
      </c>
    </row>
    <row r="4153">
      <c r="A4153" s="17">
        <f>IF(B4153="","",B4153+(16*1000+102)/10000000)</f>
        <v/>
      </c>
      <c r="B4153" s="23">
        <f>IF(AND(IFERROR(N(INDEX(Clay_Brands!$A$2:$FZ$601,102,Sync!$D$12)),0)&gt;0,IFERROR(INDEX(Clay_Brands!$A$2:$FZ$601,102,Sync!$D$5)&amp;"","")&lt;&gt;"",OR(LEFT(IFERROR(INDEX(Clay_Brands!$A$2:$FZ$601,102,Sync!$D$5)&amp;"",""),6)&lt;&gt;"SAMPLE",Config!$B$19="Y")),IFERROR(N(INDEX(Clay_Brands!$A$2:$FZ$601,102,Sync!$D$12)),0),"")</f>
        <v/>
      </c>
      <c r="C4153" s="17">
        <f>IF(B4153="","","brand")</f>
        <v/>
      </c>
      <c r="D4153" s="17">
        <f>IF(B4153="","",IFERROR(INDEX(Clay_Brands!$A$2:$FZ$601,102,Sync!$D$5)&amp;"",""))</f>
        <v/>
      </c>
      <c r="E4153" s="17">
        <f>IF(B4153="","",IFERROR(INDEX(Clay_Brands!$A$2:$FZ$601,102,Sync!$D$6)&amp;"",""))</f>
        <v/>
      </c>
      <c r="F4153" s="17">
        <f>IF(B4153="","","outreach_sent")</f>
        <v/>
      </c>
      <c r="G4153" s="17">
        <f>IF(B4153="","","")</f>
        <v/>
      </c>
      <c r="H4153" s="17">
        <f>IF(B4153="","","")</f>
        <v/>
      </c>
      <c r="I4153" s="17">
        <f>IF(B4153="","","")</f>
        <v/>
      </c>
      <c r="J4153" s="17">
        <f>IF(B4153="","","touch_2; "&amp;IFERROR(INDEX(Clay_Brands!$A$2:$FZ$601,102,Sync!$D$10)&amp;"","")&amp;"; "&amp;IFERROR(INDEX(Clay_Brands!$A$2:$FZ$601,102,Sync!$D$9)&amp;"",""))</f>
        <v/>
      </c>
      <c r="K4153" t="inlineStr">
        <is>
          <t>brand outreach touch 2</t>
        </is>
      </c>
    </row>
    <row r="4154">
      <c r="A4154" s="17">
        <f>IF(B4154="","",B4154+(16*1000+103)/10000000)</f>
        <v/>
      </c>
      <c r="B4154" s="23">
        <f>IF(AND(IFERROR(N(INDEX(Clay_Brands!$A$2:$FZ$601,103,Sync!$D$12)),0)&gt;0,IFERROR(INDEX(Clay_Brands!$A$2:$FZ$601,103,Sync!$D$5)&amp;"","")&lt;&gt;"",OR(LEFT(IFERROR(INDEX(Clay_Brands!$A$2:$FZ$601,103,Sync!$D$5)&amp;"",""),6)&lt;&gt;"SAMPLE",Config!$B$19="Y")),IFERROR(N(INDEX(Clay_Brands!$A$2:$FZ$601,103,Sync!$D$12)),0),"")</f>
        <v/>
      </c>
      <c r="C4154" s="17">
        <f>IF(B4154="","","brand")</f>
        <v/>
      </c>
      <c r="D4154" s="17">
        <f>IF(B4154="","",IFERROR(INDEX(Clay_Brands!$A$2:$FZ$601,103,Sync!$D$5)&amp;"",""))</f>
        <v/>
      </c>
      <c r="E4154" s="17">
        <f>IF(B4154="","",IFERROR(INDEX(Clay_Brands!$A$2:$FZ$601,103,Sync!$D$6)&amp;"",""))</f>
        <v/>
      </c>
      <c r="F4154" s="17">
        <f>IF(B4154="","","outreach_sent")</f>
        <v/>
      </c>
      <c r="G4154" s="17">
        <f>IF(B4154="","","")</f>
        <v/>
      </c>
      <c r="H4154" s="17">
        <f>IF(B4154="","","")</f>
        <v/>
      </c>
      <c r="I4154" s="17">
        <f>IF(B4154="","","")</f>
        <v/>
      </c>
      <c r="J4154" s="17">
        <f>IF(B4154="","","touch_2; "&amp;IFERROR(INDEX(Clay_Brands!$A$2:$FZ$601,103,Sync!$D$10)&amp;"","")&amp;"; "&amp;IFERROR(INDEX(Clay_Brands!$A$2:$FZ$601,103,Sync!$D$9)&amp;"",""))</f>
        <v/>
      </c>
      <c r="K4154" t="inlineStr">
        <is>
          <t>brand outreach touch 2</t>
        </is>
      </c>
    </row>
    <row r="4155">
      <c r="A4155" s="17">
        <f>IF(B4155="","",B4155+(16*1000+104)/10000000)</f>
        <v/>
      </c>
      <c r="B4155" s="23">
        <f>IF(AND(IFERROR(N(INDEX(Clay_Brands!$A$2:$FZ$601,104,Sync!$D$12)),0)&gt;0,IFERROR(INDEX(Clay_Brands!$A$2:$FZ$601,104,Sync!$D$5)&amp;"","")&lt;&gt;"",OR(LEFT(IFERROR(INDEX(Clay_Brands!$A$2:$FZ$601,104,Sync!$D$5)&amp;"",""),6)&lt;&gt;"SAMPLE",Config!$B$19="Y")),IFERROR(N(INDEX(Clay_Brands!$A$2:$FZ$601,104,Sync!$D$12)),0),"")</f>
        <v/>
      </c>
      <c r="C4155" s="17">
        <f>IF(B4155="","","brand")</f>
        <v/>
      </c>
      <c r="D4155" s="17">
        <f>IF(B4155="","",IFERROR(INDEX(Clay_Brands!$A$2:$FZ$601,104,Sync!$D$5)&amp;"",""))</f>
        <v/>
      </c>
      <c r="E4155" s="17">
        <f>IF(B4155="","",IFERROR(INDEX(Clay_Brands!$A$2:$FZ$601,104,Sync!$D$6)&amp;"",""))</f>
        <v/>
      </c>
      <c r="F4155" s="17">
        <f>IF(B4155="","","outreach_sent")</f>
        <v/>
      </c>
      <c r="G4155" s="17">
        <f>IF(B4155="","","")</f>
        <v/>
      </c>
      <c r="H4155" s="17">
        <f>IF(B4155="","","")</f>
        <v/>
      </c>
      <c r="I4155" s="17">
        <f>IF(B4155="","","")</f>
        <v/>
      </c>
      <c r="J4155" s="17">
        <f>IF(B4155="","","touch_2; "&amp;IFERROR(INDEX(Clay_Brands!$A$2:$FZ$601,104,Sync!$D$10)&amp;"","")&amp;"; "&amp;IFERROR(INDEX(Clay_Brands!$A$2:$FZ$601,104,Sync!$D$9)&amp;"",""))</f>
        <v/>
      </c>
      <c r="K4155" t="inlineStr">
        <is>
          <t>brand outreach touch 2</t>
        </is>
      </c>
    </row>
    <row r="4156">
      <c r="A4156" s="17">
        <f>IF(B4156="","",B4156+(16*1000+105)/10000000)</f>
        <v/>
      </c>
      <c r="B4156" s="23">
        <f>IF(AND(IFERROR(N(INDEX(Clay_Brands!$A$2:$FZ$601,105,Sync!$D$12)),0)&gt;0,IFERROR(INDEX(Clay_Brands!$A$2:$FZ$601,105,Sync!$D$5)&amp;"","")&lt;&gt;"",OR(LEFT(IFERROR(INDEX(Clay_Brands!$A$2:$FZ$601,105,Sync!$D$5)&amp;"",""),6)&lt;&gt;"SAMPLE",Config!$B$19="Y")),IFERROR(N(INDEX(Clay_Brands!$A$2:$FZ$601,105,Sync!$D$12)),0),"")</f>
        <v/>
      </c>
      <c r="C4156" s="17">
        <f>IF(B4156="","","brand")</f>
        <v/>
      </c>
      <c r="D4156" s="17">
        <f>IF(B4156="","",IFERROR(INDEX(Clay_Brands!$A$2:$FZ$601,105,Sync!$D$5)&amp;"",""))</f>
        <v/>
      </c>
      <c r="E4156" s="17">
        <f>IF(B4156="","",IFERROR(INDEX(Clay_Brands!$A$2:$FZ$601,105,Sync!$D$6)&amp;"",""))</f>
        <v/>
      </c>
      <c r="F4156" s="17">
        <f>IF(B4156="","","outreach_sent")</f>
        <v/>
      </c>
      <c r="G4156" s="17">
        <f>IF(B4156="","","")</f>
        <v/>
      </c>
      <c r="H4156" s="17">
        <f>IF(B4156="","","")</f>
        <v/>
      </c>
      <c r="I4156" s="17">
        <f>IF(B4156="","","")</f>
        <v/>
      </c>
      <c r="J4156" s="17">
        <f>IF(B4156="","","touch_2; "&amp;IFERROR(INDEX(Clay_Brands!$A$2:$FZ$601,105,Sync!$D$10)&amp;"","")&amp;"; "&amp;IFERROR(INDEX(Clay_Brands!$A$2:$FZ$601,105,Sync!$D$9)&amp;"",""))</f>
        <v/>
      </c>
      <c r="K4156" t="inlineStr">
        <is>
          <t>brand outreach touch 2</t>
        </is>
      </c>
    </row>
    <row r="4157">
      <c r="A4157" s="17">
        <f>IF(B4157="","",B4157+(16*1000+106)/10000000)</f>
        <v/>
      </c>
      <c r="B4157" s="23">
        <f>IF(AND(IFERROR(N(INDEX(Clay_Brands!$A$2:$FZ$601,106,Sync!$D$12)),0)&gt;0,IFERROR(INDEX(Clay_Brands!$A$2:$FZ$601,106,Sync!$D$5)&amp;"","")&lt;&gt;"",OR(LEFT(IFERROR(INDEX(Clay_Brands!$A$2:$FZ$601,106,Sync!$D$5)&amp;"",""),6)&lt;&gt;"SAMPLE",Config!$B$19="Y")),IFERROR(N(INDEX(Clay_Brands!$A$2:$FZ$601,106,Sync!$D$12)),0),"")</f>
        <v/>
      </c>
      <c r="C4157" s="17">
        <f>IF(B4157="","","brand")</f>
        <v/>
      </c>
      <c r="D4157" s="17">
        <f>IF(B4157="","",IFERROR(INDEX(Clay_Brands!$A$2:$FZ$601,106,Sync!$D$5)&amp;"",""))</f>
        <v/>
      </c>
      <c r="E4157" s="17">
        <f>IF(B4157="","",IFERROR(INDEX(Clay_Brands!$A$2:$FZ$601,106,Sync!$D$6)&amp;"",""))</f>
        <v/>
      </c>
      <c r="F4157" s="17">
        <f>IF(B4157="","","outreach_sent")</f>
        <v/>
      </c>
      <c r="G4157" s="17">
        <f>IF(B4157="","","")</f>
        <v/>
      </c>
      <c r="H4157" s="17">
        <f>IF(B4157="","","")</f>
        <v/>
      </c>
      <c r="I4157" s="17">
        <f>IF(B4157="","","")</f>
        <v/>
      </c>
      <c r="J4157" s="17">
        <f>IF(B4157="","","touch_2; "&amp;IFERROR(INDEX(Clay_Brands!$A$2:$FZ$601,106,Sync!$D$10)&amp;"","")&amp;"; "&amp;IFERROR(INDEX(Clay_Brands!$A$2:$FZ$601,106,Sync!$D$9)&amp;"",""))</f>
        <v/>
      </c>
      <c r="K4157" t="inlineStr">
        <is>
          <t>brand outreach touch 2</t>
        </is>
      </c>
    </row>
    <row r="4158">
      <c r="A4158" s="17">
        <f>IF(B4158="","",B4158+(16*1000+107)/10000000)</f>
        <v/>
      </c>
      <c r="B4158" s="23">
        <f>IF(AND(IFERROR(N(INDEX(Clay_Brands!$A$2:$FZ$601,107,Sync!$D$12)),0)&gt;0,IFERROR(INDEX(Clay_Brands!$A$2:$FZ$601,107,Sync!$D$5)&amp;"","")&lt;&gt;"",OR(LEFT(IFERROR(INDEX(Clay_Brands!$A$2:$FZ$601,107,Sync!$D$5)&amp;"",""),6)&lt;&gt;"SAMPLE",Config!$B$19="Y")),IFERROR(N(INDEX(Clay_Brands!$A$2:$FZ$601,107,Sync!$D$12)),0),"")</f>
        <v/>
      </c>
      <c r="C4158" s="17">
        <f>IF(B4158="","","brand")</f>
        <v/>
      </c>
      <c r="D4158" s="17">
        <f>IF(B4158="","",IFERROR(INDEX(Clay_Brands!$A$2:$FZ$601,107,Sync!$D$5)&amp;"",""))</f>
        <v/>
      </c>
      <c r="E4158" s="17">
        <f>IF(B4158="","",IFERROR(INDEX(Clay_Brands!$A$2:$FZ$601,107,Sync!$D$6)&amp;"",""))</f>
        <v/>
      </c>
      <c r="F4158" s="17">
        <f>IF(B4158="","","outreach_sent")</f>
        <v/>
      </c>
      <c r="G4158" s="17">
        <f>IF(B4158="","","")</f>
        <v/>
      </c>
      <c r="H4158" s="17">
        <f>IF(B4158="","","")</f>
        <v/>
      </c>
      <c r="I4158" s="17">
        <f>IF(B4158="","","")</f>
        <v/>
      </c>
      <c r="J4158" s="17">
        <f>IF(B4158="","","touch_2; "&amp;IFERROR(INDEX(Clay_Brands!$A$2:$FZ$601,107,Sync!$D$10)&amp;"","")&amp;"; "&amp;IFERROR(INDEX(Clay_Brands!$A$2:$FZ$601,107,Sync!$D$9)&amp;"",""))</f>
        <v/>
      </c>
      <c r="K4158" t="inlineStr">
        <is>
          <t>brand outreach touch 2</t>
        </is>
      </c>
    </row>
    <row r="4159">
      <c r="A4159" s="17">
        <f>IF(B4159="","",B4159+(16*1000+108)/10000000)</f>
        <v/>
      </c>
      <c r="B4159" s="23">
        <f>IF(AND(IFERROR(N(INDEX(Clay_Brands!$A$2:$FZ$601,108,Sync!$D$12)),0)&gt;0,IFERROR(INDEX(Clay_Brands!$A$2:$FZ$601,108,Sync!$D$5)&amp;"","")&lt;&gt;"",OR(LEFT(IFERROR(INDEX(Clay_Brands!$A$2:$FZ$601,108,Sync!$D$5)&amp;"",""),6)&lt;&gt;"SAMPLE",Config!$B$19="Y")),IFERROR(N(INDEX(Clay_Brands!$A$2:$FZ$601,108,Sync!$D$12)),0),"")</f>
        <v/>
      </c>
      <c r="C4159" s="17">
        <f>IF(B4159="","","brand")</f>
        <v/>
      </c>
      <c r="D4159" s="17">
        <f>IF(B4159="","",IFERROR(INDEX(Clay_Brands!$A$2:$FZ$601,108,Sync!$D$5)&amp;"",""))</f>
        <v/>
      </c>
      <c r="E4159" s="17">
        <f>IF(B4159="","",IFERROR(INDEX(Clay_Brands!$A$2:$FZ$601,108,Sync!$D$6)&amp;"",""))</f>
        <v/>
      </c>
      <c r="F4159" s="17">
        <f>IF(B4159="","","outreach_sent")</f>
        <v/>
      </c>
      <c r="G4159" s="17">
        <f>IF(B4159="","","")</f>
        <v/>
      </c>
      <c r="H4159" s="17">
        <f>IF(B4159="","","")</f>
        <v/>
      </c>
      <c r="I4159" s="17">
        <f>IF(B4159="","","")</f>
        <v/>
      </c>
      <c r="J4159" s="17">
        <f>IF(B4159="","","touch_2; "&amp;IFERROR(INDEX(Clay_Brands!$A$2:$FZ$601,108,Sync!$D$10)&amp;"","")&amp;"; "&amp;IFERROR(INDEX(Clay_Brands!$A$2:$FZ$601,108,Sync!$D$9)&amp;"",""))</f>
        <v/>
      </c>
      <c r="K4159" t="inlineStr">
        <is>
          <t>brand outreach touch 2</t>
        </is>
      </c>
    </row>
    <row r="4160">
      <c r="A4160" s="17">
        <f>IF(B4160="","",B4160+(16*1000+109)/10000000)</f>
        <v/>
      </c>
      <c r="B4160" s="23">
        <f>IF(AND(IFERROR(N(INDEX(Clay_Brands!$A$2:$FZ$601,109,Sync!$D$12)),0)&gt;0,IFERROR(INDEX(Clay_Brands!$A$2:$FZ$601,109,Sync!$D$5)&amp;"","")&lt;&gt;"",OR(LEFT(IFERROR(INDEX(Clay_Brands!$A$2:$FZ$601,109,Sync!$D$5)&amp;"",""),6)&lt;&gt;"SAMPLE",Config!$B$19="Y")),IFERROR(N(INDEX(Clay_Brands!$A$2:$FZ$601,109,Sync!$D$12)),0),"")</f>
        <v/>
      </c>
      <c r="C4160" s="17">
        <f>IF(B4160="","","brand")</f>
        <v/>
      </c>
      <c r="D4160" s="17">
        <f>IF(B4160="","",IFERROR(INDEX(Clay_Brands!$A$2:$FZ$601,109,Sync!$D$5)&amp;"",""))</f>
        <v/>
      </c>
      <c r="E4160" s="17">
        <f>IF(B4160="","",IFERROR(INDEX(Clay_Brands!$A$2:$FZ$601,109,Sync!$D$6)&amp;"",""))</f>
        <v/>
      </c>
      <c r="F4160" s="17">
        <f>IF(B4160="","","outreach_sent")</f>
        <v/>
      </c>
      <c r="G4160" s="17">
        <f>IF(B4160="","","")</f>
        <v/>
      </c>
      <c r="H4160" s="17">
        <f>IF(B4160="","","")</f>
        <v/>
      </c>
      <c r="I4160" s="17">
        <f>IF(B4160="","","")</f>
        <v/>
      </c>
      <c r="J4160" s="17">
        <f>IF(B4160="","","touch_2; "&amp;IFERROR(INDEX(Clay_Brands!$A$2:$FZ$601,109,Sync!$D$10)&amp;"","")&amp;"; "&amp;IFERROR(INDEX(Clay_Brands!$A$2:$FZ$601,109,Sync!$D$9)&amp;"",""))</f>
        <v/>
      </c>
      <c r="K4160" t="inlineStr">
        <is>
          <t>brand outreach touch 2</t>
        </is>
      </c>
    </row>
    <row r="4161">
      <c r="A4161" s="17">
        <f>IF(B4161="","",B4161+(16*1000+110)/10000000)</f>
        <v/>
      </c>
      <c r="B4161" s="23">
        <f>IF(AND(IFERROR(N(INDEX(Clay_Brands!$A$2:$FZ$601,110,Sync!$D$12)),0)&gt;0,IFERROR(INDEX(Clay_Brands!$A$2:$FZ$601,110,Sync!$D$5)&amp;"","")&lt;&gt;"",OR(LEFT(IFERROR(INDEX(Clay_Brands!$A$2:$FZ$601,110,Sync!$D$5)&amp;"",""),6)&lt;&gt;"SAMPLE",Config!$B$19="Y")),IFERROR(N(INDEX(Clay_Brands!$A$2:$FZ$601,110,Sync!$D$12)),0),"")</f>
        <v/>
      </c>
      <c r="C4161" s="17">
        <f>IF(B4161="","","brand")</f>
        <v/>
      </c>
      <c r="D4161" s="17">
        <f>IF(B4161="","",IFERROR(INDEX(Clay_Brands!$A$2:$FZ$601,110,Sync!$D$5)&amp;"",""))</f>
        <v/>
      </c>
      <c r="E4161" s="17">
        <f>IF(B4161="","",IFERROR(INDEX(Clay_Brands!$A$2:$FZ$601,110,Sync!$D$6)&amp;"",""))</f>
        <v/>
      </c>
      <c r="F4161" s="17">
        <f>IF(B4161="","","outreach_sent")</f>
        <v/>
      </c>
      <c r="G4161" s="17">
        <f>IF(B4161="","","")</f>
        <v/>
      </c>
      <c r="H4161" s="17">
        <f>IF(B4161="","","")</f>
        <v/>
      </c>
      <c r="I4161" s="17">
        <f>IF(B4161="","","")</f>
        <v/>
      </c>
      <c r="J4161" s="17">
        <f>IF(B4161="","","touch_2; "&amp;IFERROR(INDEX(Clay_Brands!$A$2:$FZ$601,110,Sync!$D$10)&amp;"","")&amp;"; "&amp;IFERROR(INDEX(Clay_Brands!$A$2:$FZ$601,110,Sync!$D$9)&amp;"",""))</f>
        <v/>
      </c>
      <c r="K4161" t="inlineStr">
        <is>
          <t>brand outreach touch 2</t>
        </is>
      </c>
    </row>
    <row r="4162">
      <c r="A4162" s="17">
        <f>IF(B4162="","",B4162+(16*1000+111)/10000000)</f>
        <v/>
      </c>
      <c r="B4162" s="23">
        <f>IF(AND(IFERROR(N(INDEX(Clay_Brands!$A$2:$FZ$601,111,Sync!$D$12)),0)&gt;0,IFERROR(INDEX(Clay_Brands!$A$2:$FZ$601,111,Sync!$D$5)&amp;"","")&lt;&gt;"",OR(LEFT(IFERROR(INDEX(Clay_Brands!$A$2:$FZ$601,111,Sync!$D$5)&amp;"",""),6)&lt;&gt;"SAMPLE",Config!$B$19="Y")),IFERROR(N(INDEX(Clay_Brands!$A$2:$FZ$601,111,Sync!$D$12)),0),"")</f>
        <v/>
      </c>
      <c r="C4162" s="17">
        <f>IF(B4162="","","brand")</f>
        <v/>
      </c>
      <c r="D4162" s="17">
        <f>IF(B4162="","",IFERROR(INDEX(Clay_Brands!$A$2:$FZ$601,111,Sync!$D$5)&amp;"",""))</f>
        <v/>
      </c>
      <c r="E4162" s="17">
        <f>IF(B4162="","",IFERROR(INDEX(Clay_Brands!$A$2:$FZ$601,111,Sync!$D$6)&amp;"",""))</f>
        <v/>
      </c>
      <c r="F4162" s="17">
        <f>IF(B4162="","","outreach_sent")</f>
        <v/>
      </c>
      <c r="G4162" s="17">
        <f>IF(B4162="","","")</f>
        <v/>
      </c>
      <c r="H4162" s="17">
        <f>IF(B4162="","","")</f>
        <v/>
      </c>
      <c r="I4162" s="17">
        <f>IF(B4162="","","")</f>
        <v/>
      </c>
      <c r="J4162" s="17">
        <f>IF(B4162="","","touch_2; "&amp;IFERROR(INDEX(Clay_Brands!$A$2:$FZ$601,111,Sync!$D$10)&amp;"","")&amp;"; "&amp;IFERROR(INDEX(Clay_Brands!$A$2:$FZ$601,111,Sync!$D$9)&amp;"",""))</f>
        <v/>
      </c>
      <c r="K4162" t="inlineStr">
        <is>
          <t>brand outreach touch 2</t>
        </is>
      </c>
    </row>
    <row r="4163">
      <c r="A4163" s="17">
        <f>IF(B4163="","",B4163+(16*1000+112)/10000000)</f>
        <v/>
      </c>
      <c r="B4163" s="23">
        <f>IF(AND(IFERROR(N(INDEX(Clay_Brands!$A$2:$FZ$601,112,Sync!$D$12)),0)&gt;0,IFERROR(INDEX(Clay_Brands!$A$2:$FZ$601,112,Sync!$D$5)&amp;"","")&lt;&gt;"",OR(LEFT(IFERROR(INDEX(Clay_Brands!$A$2:$FZ$601,112,Sync!$D$5)&amp;"",""),6)&lt;&gt;"SAMPLE",Config!$B$19="Y")),IFERROR(N(INDEX(Clay_Brands!$A$2:$FZ$601,112,Sync!$D$12)),0),"")</f>
        <v/>
      </c>
      <c r="C4163" s="17">
        <f>IF(B4163="","","brand")</f>
        <v/>
      </c>
      <c r="D4163" s="17">
        <f>IF(B4163="","",IFERROR(INDEX(Clay_Brands!$A$2:$FZ$601,112,Sync!$D$5)&amp;"",""))</f>
        <v/>
      </c>
      <c r="E4163" s="17">
        <f>IF(B4163="","",IFERROR(INDEX(Clay_Brands!$A$2:$FZ$601,112,Sync!$D$6)&amp;"",""))</f>
        <v/>
      </c>
      <c r="F4163" s="17">
        <f>IF(B4163="","","outreach_sent")</f>
        <v/>
      </c>
      <c r="G4163" s="17">
        <f>IF(B4163="","","")</f>
        <v/>
      </c>
      <c r="H4163" s="17">
        <f>IF(B4163="","","")</f>
        <v/>
      </c>
      <c r="I4163" s="17">
        <f>IF(B4163="","","")</f>
        <v/>
      </c>
      <c r="J4163" s="17">
        <f>IF(B4163="","","touch_2; "&amp;IFERROR(INDEX(Clay_Brands!$A$2:$FZ$601,112,Sync!$D$10)&amp;"","")&amp;"; "&amp;IFERROR(INDEX(Clay_Brands!$A$2:$FZ$601,112,Sync!$D$9)&amp;"",""))</f>
        <v/>
      </c>
      <c r="K4163" t="inlineStr">
        <is>
          <t>brand outreach touch 2</t>
        </is>
      </c>
    </row>
    <row r="4164">
      <c r="A4164" s="17">
        <f>IF(B4164="","",B4164+(16*1000+113)/10000000)</f>
        <v/>
      </c>
      <c r="B4164" s="23">
        <f>IF(AND(IFERROR(N(INDEX(Clay_Brands!$A$2:$FZ$601,113,Sync!$D$12)),0)&gt;0,IFERROR(INDEX(Clay_Brands!$A$2:$FZ$601,113,Sync!$D$5)&amp;"","")&lt;&gt;"",OR(LEFT(IFERROR(INDEX(Clay_Brands!$A$2:$FZ$601,113,Sync!$D$5)&amp;"",""),6)&lt;&gt;"SAMPLE",Config!$B$19="Y")),IFERROR(N(INDEX(Clay_Brands!$A$2:$FZ$601,113,Sync!$D$12)),0),"")</f>
        <v/>
      </c>
      <c r="C4164" s="17">
        <f>IF(B4164="","","brand")</f>
        <v/>
      </c>
      <c r="D4164" s="17">
        <f>IF(B4164="","",IFERROR(INDEX(Clay_Brands!$A$2:$FZ$601,113,Sync!$D$5)&amp;"",""))</f>
        <v/>
      </c>
      <c r="E4164" s="17">
        <f>IF(B4164="","",IFERROR(INDEX(Clay_Brands!$A$2:$FZ$601,113,Sync!$D$6)&amp;"",""))</f>
        <v/>
      </c>
      <c r="F4164" s="17">
        <f>IF(B4164="","","outreach_sent")</f>
        <v/>
      </c>
      <c r="G4164" s="17">
        <f>IF(B4164="","","")</f>
        <v/>
      </c>
      <c r="H4164" s="17">
        <f>IF(B4164="","","")</f>
        <v/>
      </c>
      <c r="I4164" s="17">
        <f>IF(B4164="","","")</f>
        <v/>
      </c>
      <c r="J4164" s="17">
        <f>IF(B4164="","","touch_2; "&amp;IFERROR(INDEX(Clay_Brands!$A$2:$FZ$601,113,Sync!$D$10)&amp;"","")&amp;"; "&amp;IFERROR(INDEX(Clay_Brands!$A$2:$FZ$601,113,Sync!$D$9)&amp;"",""))</f>
        <v/>
      </c>
      <c r="K4164" t="inlineStr">
        <is>
          <t>brand outreach touch 2</t>
        </is>
      </c>
    </row>
    <row r="4165">
      <c r="A4165" s="17">
        <f>IF(B4165="","",B4165+(16*1000+114)/10000000)</f>
        <v/>
      </c>
      <c r="B4165" s="23">
        <f>IF(AND(IFERROR(N(INDEX(Clay_Brands!$A$2:$FZ$601,114,Sync!$D$12)),0)&gt;0,IFERROR(INDEX(Clay_Brands!$A$2:$FZ$601,114,Sync!$D$5)&amp;"","")&lt;&gt;"",OR(LEFT(IFERROR(INDEX(Clay_Brands!$A$2:$FZ$601,114,Sync!$D$5)&amp;"",""),6)&lt;&gt;"SAMPLE",Config!$B$19="Y")),IFERROR(N(INDEX(Clay_Brands!$A$2:$FZ$601,114,Sync!$D$12)),0),"")</f>
        <v/>
      </c>
      <c r="C4165" s="17">
        <f>IF(B4165="","","brand")</f>
        <v/>
      </c>
      <c r="D4165" s="17">
        <f>IF(B4165="","",IFERROR(INDEX(Clay_Brands!$A$2:$FZ$601,114,Sync!$D$5)&amp;"",""))</f>
        <v/>
      </c>
      <c r="E4165" s="17">
        <f>IF(B4165="","",IFERROR(INDEX(Clay_Brands!$A$2:$FZ$601,114,Sync!$D$6)&amp;"",""))</f>
        <v/>
      </c>
      <c r="F4165" s="17">
        <f>IF(B4165="","","outreach_sent")</f>
        <v/>
      </c>
      <c r="G4165" s="17">
        <f>IF(B4165="","","")</f>
        <v/>
      </c>
      <c r="H4165" s="17">
        <f>IF(B4165="","","")</f>
        <v/>
      </c>
      <c r="I4165" s="17">
        <f>IF(B4165="","","")</f>
        <v/>
      </c>
      <c r="J4165" s="17">
        <f>IF(B4165="","","touch_2; "&amp;IFERROR(INDEX(Clay_Brands!$A$2:$FZ$601,114,Sync!$D$10)&amp;"","")&amp;"; "&amp;IFERROR(INDEX(Clay_Brands!$A$2:$FZ$601,114,Sync!$D$9)&amp;"",""))</f>
        <v/>
      </c>
      <c r="K4165" t="inlineStr">
        <is>
          <t>brand outreach touch 2</t>
        </is>
      </c>
    </row>
    <row r="4166">
      <c r="A4166" s="17">
        <f>IF(B4166="","",B4166+(16*1000+115)/10000000)</f>
        <v/>
      </c>
      <c r="B4166" s="23">
        <f>IF(AND(IFERROR(N(INDEX(Clay_Brands!$A$2:$FZ$601,115,Sync!$D$12)),0)&gt;0,IFERROR(INDEX(Clay_Brands!$A$2:$FZ$601,115,Sync!$D$5)&amp;"","")&lt;&gt;"",OR(LEFT(IFERROR(INDEX(Clay_Brands!$A$2:$FZ$601,115,Sync!$D$5)&amp;"",""),6)&lt;&gt;"SAMPLE",Config!$B$19="Y")),IFERROR(N(INDEX(Clay_Brands!$A$2:$FZ$601,115,Sync!$D$12)),0),"")</f>
        <v/>
      </c>
      <c r="C4166" s="17">
        <f>IF(B4166="","","brand")</f>
        <v/>
      </c>
      <c r="D4166" s="17">
        <f>IF(B4166="","",IFERROR(INDEX(Clay_Brands!$A$2:$FZ$601,115,Sync!$D$5)&amp;"",""))</f>
        <v/>
      </c>
      <c r="E4166" s="17">
        <f>IF(B4166="","",IFERROR(INDEX(Clay_Brands!$A$2:$FZ$601,115,Sync!$D$6)&amp;"",""))</f>
        <v/>
      </c>
      <c r="F4166" s="17">
        <f>IF(B4166="","","outreach_sent")</f>
        <v/>
      </c>
      <c r="G4166" s="17">
        <f>IF(B4166="","","")</f>
        <v/>
      </c>
      <c r="H4166" s="17">
        <f>IF(B4166="","","")</f>
        <v/>
      </c>
      <c r="I4166" s="17">
        <f>IF(B4166="","","")</f>
        <v/>
      </c>
      <c r="J4166" s="17">
        <f>IF(B4166="","","touch_2; "&amp;IFERROR(INDEX(Clay_Brands!$A$2:$FZ$601,115,Sync!$D$10)&amp;"","")&amp;"; "&amp;IFERROR(INDEX(Clay_Brands!$A$2:$FZ$601,115,Sync!$D$9)&amp;"",""))</f>
        <v/>
      </c>
      <c r="K4166" t="inlineStr">
        <is>
          <t>brand outreach touch 2</t>
        </is>
      </c>
    </row>
    <row r="4167">
      <c r="A4167" s="17">
        <f>IF(B4167="","",B4167+(16*1000+116)/10000000)</f>
        <v/>
      </c>
      <c r="B4167" s="23">
        <f>IF(AND(IFERROR(N(INDEX(Clay_Brands!$A$2:$FZ$601,116,Sync!$D$12)),0)&gt;0,IFERROR(INDEX(Clay_Brands!$A$2:$FZ$601,116,Sync!$D$5)&amp;"","")&lt;&gt;"",OR(LEFT(IFERROR(INDEX(Clay_Brands!$A$2:$FZ$601,116,Sync!$D$5)&amp;"",""),6)&lt;&gt;"SAMPLE",Config!$B$19="Y")),IFERROR(N(INDEX(Clay_Brands!$A$2:$FZ$601,116,Sync!$D$12)),0),"")</f>
        <v/>
      </c>
      <c r="C4167" s="17">
        <f>IF(B4167="","","brand")</f>
        <v/>
      </c>
      <c r="D4167" s="17">
        <f>IF(B4167="","",IFERROR(INDEX(Clay_Brands!$A$2:$FZ$601,116,Sync!$D$5)&amp;"",""))</f>
        <v/>
      </c>
      <c r="E4167" s="17">
        <f>IF(B4167="","",IFERROR(INDEX(Clay_Brands!$A$2:$FZ$601,116,Sync!$D$6)&amp;"",""))</f>
        <v/>
      </c>
      <c r="F4167" s="17">
        <f>IF(B4167="","","outreach_sent")</f>
        <v/>
      </c>
      <c r="G4167" s="17">
        <f>IF(B4167="","","")</f>
        <v/>
      </c>
      <c r="H4167" s="17">
        <f>IF(B4167="","","")</f>
        <v/>
      </c>
      <c r="I4167" s="17">
        <f>IF(B4167="","","")</f>
        <v/>
      </c>
      <c r="J4167" s="17">
        <f>IF(B4167="","","touch_2; "&amp;IFERROR(INDEX(Clay_Brands!$A$2:$FZ$601,116,Sync!$D$10)&amp;"","")&amp;"; "&amp;IFERROR(INDEX(Clay_Brands!$A$2:$FZ$601,116,Sync!$D$9)&amp;"",""))</f>
        <v/>
      </c>
      <c r="K4167" t="inlineStr">
        <is>
          <t>brand outreach touch 2</t>
        </is>
      </c>
    </row>
    <row r="4168">
      <c r="A4168" s="17">
        <f>IF(B4168="","",B4168+(16*1000+117)/10000000)</f>
        <v/>
      </c>
      <c r="B4168" s="23">
        <f>IF(AND(IFERROR(N(INDEX(Clay_Brands!$A$2:$FZ$601,117,Sync!$D$12)),0)&gt;0,IFERROR(INDEX(Clay_Brands!$A$2:$FZ$601,117,Sync!$D$5)&amp;"","")&lt;&gt;"",OR(LEFT(IFERROR(INDEX(Clay_Brands!$A$2:$FZ$601,117,Sync!$D$5)&amp;"",""),6)&lt;&gt;"SAMPLE",Config!$B$19="Y")),IFERROR(N(INDEX(Clay_Brands!$A$2:$FZ$601,117,Sync!$D$12)),0),"")</f>
        <v/>
      </c>
      <c r="C4168" s="17">
        <f>IF(B4168="","","brand")</f>
        <v/>
      </c>
      <c r="D4168" s="17">
        <f>IF(B4168="","",IFERROR(INDEX(Clay_Brands!$A$2:$FZ$601,117,Sync!$D$5)&amp;"",""))</f>
        <v/>
      </c>
      <c r="E4168" s="17">
        <f>IF(B4168="","",IFERROR(INDEX(Clay_Brands!$A$2:$FZ$601,117,Sync!$D$6)&amp;"",""))</f>
        <v/>
      </c>
      <c r="F4168" s="17">
        <f>IF(B4168="","","outreach_sent")</f>
        <v/>
      </c>
      <c r="G4168" s="17">
        <f>IF(B4168="","","")</f>
        <v/>
      </c>
      <c r="H4168" s="17">
        <f>IF(B4168="","","")</f>
        <v/>
      </c>
      <c r="I4168" s="17">
        <f>IF(B4168="","","")</f>
        <v/>
      </c>
      <c r="J4168" s="17">
        <f>IF(B4168="","","touch_2; "&amp;IFERROR(INDEX(Clay_Brands!$A$2:$FZ$601,117,Sync!$D$10)&amp;"","")&amp;"; "&amp;IFERROR(INDEX(Clay_Brands!$A$2:$FZ$601,117,Sync!$D$9)&amp;"",""))</f>
        <v/>
      </c>
      <c r="K4168" t="inlineStr">
        <is>
          <t>brand outreach touch 2</t>
        </is>
      </c>
    </row>
    <row r="4169">
      <c r="A4169" s="17">
        <f>IF(B4169="","",B4169+(16*1000+118)/10000000)</f>
        <v/>
      </c>
      <c r="B4169" s="23">
        <f>IF(AND(IFERROR(N(INDEX(Clay_Brands!$A$2:$FZ$601,118,Sync!$D$12)),0)&gt;0,IFERROR(INDEX(Clay_Brands!$A$2:$FZ$601,118,Sync!$D$5)&amp;"","")&lt;&gt;"",OR(LEFT(IFERROR(INDEX(Clay_Brands!$A$2:$FZ$601,118,Sync!$D$5)&amp;"",""),6)&lt;&gt;"SAMPLE",Config!$B$19="Y")),IFERROR(N(INDEX(Clay_Brands!$A$2:$FZ$601,118,Sync!$D$12)),0),"")</f>
        <v/>
      </c>
      <c r="C4169" s="17">
        <f>IF(B4169="","","brand")</f>
        <v/>
      </c>
      <c r="D4169" s="17">
        <f>IF(B4169="","",IFERROR(INDEX(Clay_Brands!$A$2:$FZ$601,118,Sync!$D$5)&amp;"",""))</f>
        <v/>
      </c>
      <c r="E4169" s="17">
        <f>IF(B4169="","",IFERROR(INDEX(Clay_Brands!$A$2:$FZ$601,118,Sync!$D$6)&amp;"",""))</f>
        <v/>
      </c>
      <c r="F4169" s="17">
        <f>IF(B4169="","","outreach_sent")</f>
        <v/>
      </c>
      <c r="G4169" s="17">
        <f>IF(B4169="","","")</f>
        <v/>
      </c>
      <c r="H4169" s="17">
        <f>IF(B4169="","","")</f>
        <v/>
      </c>
      <c r="I4169" s="17">
        <f>IF(B4169="","","")</f>
        <v/>
      </c>
      <c r="J4169" s="17">
        <f>IF(B4169="","","touch_2; "&amp;IFERROR(INDEX(Clay_Brands!$A$2:$FZ$601,118,Sync!$D$10)&amp;"","")&amp;"; "&amp;IFERROR(INDEX(Clay_Brands!$A$2:$FZ$601,118,Sync!$D$9)&amp;"",""))</f>
        <v/>
      </c>
      <c r="K4169" t="inlineStr">
        <is>
          <t>brand outreach touch 2</t>
        </is>
      </c>
    </row>
    <row r="4170">
      <c r="A4170" s="17">
        <f>IF(B4170="","",B4170+(16*1000+119)/10000000)</f>
        <v/>
      </c>
      <c r="B4170" s="23">
        <f>IF(AND(IFERROR(N(INDEX(Clay_Brands!$A$2:$FZ$601,119,Sync!$D$12)),0)&gt;0,IFERROR(INDEX(Clay_Brands!$A$2:$FZ$601,119,Sync!$D$5)&amp;"","")&lt;&gt;"",OR(LEFT(IFERROR(INDEX(Clay_Brands!$A$2:$FZ$601,119,Sync!$D$5)&amp;"",""),6)&lt;&gt;"SAMPLE",Config!$B$19="Y")),IFERROR(N(INDEX(Clay_Brands!$A$2:$FZ$601,119,Sync!$D$12)),0),"")</f>
        <v/>
      </c>
      <c r="C4170" s="17">
        <f>IF(B4170="","","brand")</f>
        <v/>
      </c>
      <c r="D4170" s="17">
        <f>IF(B4170="","",IFERROR(INDEX(Clay_Brands!$A$2:$FZ$601,119,Sync!$D$5)&amp;"",""))</f>
        <v/>
      </c>
      <c r="E4170" s="17">
        <f>IF(B4170="","",IFERROR(INDEX(Clay_Brands!$A$2:$FZ$601,119,Sync!$D$6)&amp;"",""))</f>
        <v/>
      </c>
      <c r="F4170" s="17">
        <f>IF(B4170="","","outreach_sent")</f>
        <v/>
      </c>
      <c r="G4170" s="17">
        <f>IF(B4170="","","")</f>
        <v/>
      </c>
      <c r="H4170" s="17">
        <f>IF(B4170="","","")</f>
        <v/>
      </c>
      <c r="I4170" s="17">
        <f>IF(B4170="","","")</f>
        <v/>
      </c>
      <c r="J4170" s="17">
        <f>IF(B4170="","","touch_2; "&amp;IFERROR(INDEX(Clay_Brands!$A$2:$FZ$601,119,Sync!$D$10)&amp;"","")&amp;"; "&amp;IFERROR(INDEX(Clay_Brands!$A$2:$FZ$601,119,Sync!$D$9)&amp;"",""))</f>
        <v/>
      </c>
      <c r="K4170" t="inlineStr">
        <is>
          <t>brand outreach touch 2</t>
        </is>
      </c>
    </row>
    <row r="4171">
      <c r="A4171" s="17">
        <f>IF(B4171="","",B4171+(16*1000+120)/10000000)</f>
        <v/>
      </c>
      <c r="B4171" s="23">
        <f>IF(AND(IFERROR(N(INDEX(Clay_Brands!$A$2:$FZ$601,120,Sync!$D$12)),0)&gt;0,IFERROR(INDEX(Clay_Brands!$A$2:$FZ$601,120,Sync!$D$5)&amp;"","")&lt;&gt;"",OR(LEFT(IFERROR(INDEX(Clay_Brands!$A$2:$FZ$601,120,Sync!$D$5)&amp;"",""),6)&lt;&gt;"SAMPLE",Config!$B$19="Y")),IFERROR(N(INDEX(Clay_Brands!$A$2:$FZ$601,120,Sync!$D$12)),0),"")</f>
        <v/>
      </c>
      <c r="C4171" s="17">
        <f>IF(B4171="","","brand")</f>
        <v/>
      </c>
      <c r="D4171" s="17">
        <f>IF(B4171="","",IFERROR(INDEX(Clay_Brands!$A$2:$FZ$601,120,Sync!$D$5)&amp;"",""))</f>
        <v/>
      </c>
      <c r="E4171" s="17">
        <f>IF(B4171="","",IFERROR(INDEX(Clay_Brands!$A$2:$FZ$601,120,Sync!$D$6)&amp;"",""))</f>
        <v/>
      </c>
      <c r="F4171" s="17">
        <f>IF(B4171="","","outreach_sent")</f>
        <v/>
      </c>
      <c r="G4171" s="17">
        <f>IF(B4171="","","")</f>
        <v/>
      </c>
      <c r="H4171" s="17">
        <f>IF(B4171="","","")</f>
        <v/>
      </c>
      <c r="I4171" s="17">
        <f>IF(B4171="","","")</f>
        <v/>
      </c>
      <c r="J4171" s="17">
        <f>IF(B4171="","","touch_2; "&amp;IFERROR(INDEX(Clay_Brands!$A$2:$FZ$601,120,Sync!$D$10)&amp;"","")&amp;"; "&amp;IFERROR(INDEX(Clay_Brands!$A$2:$FZ$601,120,Sync!$D$9)&amp;"",""))</f>
        <v/>
      </c>
      <c r="K4171" t="inlineStr">
        <is>
          <t>brand outreach touch 2</t>
        </is>
      </c>
    </row>
    <row r="4172">
      <c r="A4172" s="17">
        <f>IF(B4172="","",B4172+(16*1000+121)/10000000)</f>
        <v/>
      </c>
      <c r="B4172" s="23">
        <f>IF(AND(IFERROR(N(INDEX(Clay_Brands!$A$2:$FZ$601,121,Sync!$D$12)),0)&gt;0,IFERROR(INDEX(Clay_Brands!$A$2:$FZ$601,121,Sync!$D$5)&amp;"","")&lt;&gt;"",OR(LEFT(IFERROR(INDEX(Clay_Brands!$A$2:$FZ$601,121,Sync!$D$5)&amp;"",""),6)&lt;&gt;"SAMPLE",Config!$B$19="Y")),IFERROR(N(INDEX(Clay_Brands!$A$2:$FZ$601,121,Sync!$D$12)),0),"")</f>
        <v/>
      </c>
      <c r="C4172" s="17">
        <f>IF(B4172="","","brand")</f>
        <v/>
      </c>
      <c r="D4172" s="17">
        <f>IF(B4172="","",IFERROR(INDEX(Clay_Brands!$A$2:$FZ$601,121,Sync!$D$5)&amp;"",""))</f>
        <v/>
      </c>
      <c r="E4172" s="17">
        <f>IF(B4172="","",IFERROR(INDEX(Clay_Brands!$A$2:$FZ$601,121,Sync!$D$6)&amp;"",""))</f>
        <v/>
      </c>
      <c r="F4172" s="17">
        <f>IF(B4172="","","outreach_sent")</f>
        <v/>
      </c>
      <c r="G4172" s="17">
        <f>IF(B4172="","","")</f>
        <v/>
      </c>
      <c r="H4172" s="17">
        <f>IF(B4172="","","")</f>
        <v/>
      </c>
      <c r="I4172" s="17">
        <f>IF(B4172="","","")</f>
        <v/>
      </c>
      <c r="J4172" s="17">
        <f>IF(B4172="","","touch_2; "&amp;IFERROR(INDEX(Clay_Brands!$A$2:$FZ$601,121,Sync!$D$10)&amp;"","")&amp;"; "&amp;IFERROR(INDEX(Clay_Brands!$A$2:$FZ$601,121,Sync!$D$9)&amp;"",""))</f>
        <v/>
      </c>
      <c r="K4172" t="inlineStr">
        <is>
          <t>brand outreach touch 2</t>
        </is>
      </c>
    </row>
    <row r="4173">
      <c r="A4173" s="17">
        <f>IF(B4173="","",B4173+(16*1000+122)/10000000)</f>
        <v/>
      </c>
      <c r="B4173" s="23">
        <f>IF(AND(IFERROR(N(INDEX(Clay_Brands!$A$2:$FZ$601,122,Sync!$D$12)),0)&gt;0,IFERROR(INDEX(Clay_Brands!$A$2:$FZ$601,122,Sync!$D$5)&amp;"","")&lt;&gt;"",OR(LEFT(IFERROR(INDEX(Clay_Brands!$A$2:$FZ$601,122,Sync!$D$5)&amp;"",""),6)&lt;&gt;"SAMPLE",Config!$B$19="Y")),IFERROR(N(INDEX(Clay_Brands!$A$2:$FZ$601,122,Sync!$D$12)),0),"")</f>
        <v/>
      </c>
      <c r="C4173" s="17">
        <f>IF(B4173="","","brand")</f>
        <v/>
      </c>
      <c r="D4173" s="17">
        <f>IF(B4173="","",IFERROR(INDEX(Clay_Brands!$A$2:$FZ$601,122,Sync!$D$5)&amp;"",""))</f>
        <v/>
      </c>
      <c r="E4173" s="17">
        <f>IF(B4173="","",IFERROR(INDEX(Clay_Brands!$A$2:$FZ$601,122,Sync!$D$6)&amp;"",""))</f>
        <v/>
      </c>
      <c r="F4173" s="17">
        <f>IF(B4173="","","outreach_sent")</f>
        <v/>
      </c>
      <c r="G4173" s="17">
        <f>IF(B4173="","","")</f>
        <v/>
      </c>
      <c r="H4173" s="17">
        <f>IF(B4173="","","")</f>
        <v/>
      </c>
      <c r="I4173" s="17">
        <f>IF(B4173="","","")</f>
        <v/>
      </c>
      <c r="J4173" s="17">
        <f>IF(B4173="","","touch_2; "&amp;IFERROR(INDEX(Clay_Brands!$A$2:$FZ$601,122,Sync!$D$10)&amp;"","")&amp;"; "&amp;IFERROR(INDEX(Clay_Brands!$A$2:$FZ$601,122,Sync!$D$9)&amp;"",""))</f>
        <v/>
      </c>
      <c r="K4173" t="inlineStr">
        <is>
          <t>brand outreach touch 2</t>
        </is>
      </c>
    </row>
    <row r="4174">
      <c r="A4174" s="17">
        <f>IF(B4174="","",B4174+(16*1000+123)/10000000)</f>
        <v/>
      </c>
      <c r="B4174" s="23">
        <f>IF(AND(IFERROR(N(INDEX(Clay_Brands!$A$2:$FZ$601,123,Sync!$D$12)),0)&gt;0,IFERROR(INDEX(Clay_Brands!$A$2:$FZ$601,123,Sync!$D$5)&amp;"","")&lt;&gt;"",OR(LEFT(IFERROR(INDEX(Clay_Brands!$A$2:$FZ$601,123,Sync!$D$5)&amp;"",""),6)&lt;&gt;"SAMPLE",Config!$B$19="Y")),IFERROR(N(INDEX(Clay_Brands!$A$2:$FZ$601,123,Sync!$D$12)),0),"")</f>
        <v/>
      </c>
      <c r="C4174" s="17">
        <f>IF(B4174="","","brand")</f>
        <v/>
      </c>
      <c r="D4174" s="17">
        <f>IF(B4174="","",IFERROR(INDEX(Clay_Brands!$A$2:$FZ$601,123,Sync!$D$5)&amp;"",""))</f>
        <v/>
      </c>
      <c r="E4174" s="17">
        <f>IF(B4174="","",IFERROR(INDEX(Clay_Brands!$A$2:$FZ$601,123,Sync!$D$6)&amp;"",""))</f>
        <v/>
      </c>
      <c r="F4174" s="17">
        <f>IF(B4174="","","outreach_sent")</f>
        <v/>
      </c>
      <c r="G4174" s="17">
        <f>IF(B4174="","","")</f>
        <v/>
      </c>
      <c r="H4174" s="17">
        <f>IF(B4174="","","")</f>
        <v/>
      </c>
      <c r="I4174" s="17">
        <f>IF(B4174="","","")</f>
        <v/>
      </c>
      <c r="J4174" s="17">
        <f>IF(B4174="","","touch_2; "&amp;IFERROR(INDEX(Clay_Brands!$A$2:$FZ$601,123,Sync!$D$10)&amp;"","")&amp;"; "&amp;IFERROR(INDEX(Clay_Brands!$A$2:$FZ$601,123,Sync!$D$9)&amp;"",""))</f>
        <v/>
      </c>
      <c r="K4174" t="inlineStr">
        <is>
          <t>brand outreach touch 2</t>
        </is>
      </c>
    </row>
    <row r="4175">
      <c r="A4175" s="17">
        <f>IF(B4175="","",B4175+(16*1000+124)/10000000)</f>
        <v/>
      </c>
      <c r="B4175" s="23">
        <f>IF(AND(IFERROR(N(INDEX(Clay_Brands!$A$2:$FZ$601,124,Sync!$D$12)),0)&gt;0,IFERROR(INDEX(Clay_Brands!$A$2:$FZ$601,124,Sync!$D$5)&amp;"","")&lt;&gt;"",OR(LEFT(IFERROR(INDEX(Clay_Brands!$A$2:$FZ$601,124,Sync!$D$5)&amp;"",""),6)&lt;&gt;"SAMPLE",Config!$B$19="Y")),IFERROR(N(INDEX(Clay_Brands!$A$2:$FZ$601,124,Sync!$D$12)),0),"")</f>
        <v/>
      </c>
      <c r="C4175" s="17">
        <f>IF(B4175="","","brand")</f>
        <v/>
      </c>
      <c r="D4175" s="17">
        <f>IF(B4175="","",IFERROR(INDEX(Clay_Brands!$A$2:$FZ$601,124,Sync!$D$5)&amp;"",""))</f>
        <v/>
      </c>
      <c r="E4175" s="17">
        <f>IF(B4175="","",IFERROR(INDEX(Clay_Brands!$A$2:$FZ$601,124,Sync!$D$6)&amp;"",""))</f>
        <v/>
      </c>
      <c r="F4175" s="17">
        <f>IF(B4175="","","outreach_sent")</f>
        <v/>
      </c>
      <c r="G4175" s="17">
        <f>IF(B4175="","","")</f>
        <v/>
      </c>
      <c r="H4175" s="17">
        <f>IF(B4175="","","")</f>
        <v/>
      </c>
      <c r="I4175" s="17">
        <f>IF(B4175="","","")</f>
        <v/>
      </c>
      <c r="J4175" s="17">
        <f>IF(B4175="","","touch_2; "&amp;IFERROR(INDEX(Clay_Brands!$A$2:$FZ$601,124,Sync!$D$10)&amp;"","")&amp;"; "&amp;IFERROR(INDEX(Clay_Brands!$A$2:$FZ$601,124,Sync!$D$9)&amp;"",""))</f>
        <v/>
      </c>
      <c r="K4175" t="inlineStr">
        <is>
          <t>brand outreach touch 2</t>
        </is>
      </c>
    </row>
    <row r="4176">
      <c r="A4176" s="17">
        <f>IF(B4176="","",B4176+(16*1000+125)/10000000)</f>
        <v/>
      </c>
      <c r="B4176" s="23">
        <f>IF(AND(IFERROR(N(INDEX(Clay_Brands!$A$2:$FZ$601,125,Sync!$D$12)),0)&gt;0,IFERROR(INDEX(Clay_Brands!$A$2:$FZ$601,125,Sync!$D$5)&amp;"","")&lt;&gt;"",OR(LEFT(IFERROR(INDEX(Clay_Brands!$A$2:$FZ$601,125,Sync!$D$5)&amp;"",""),6)&lt;&gt;"SAMPLE",Config!$B$19="Y")),IFERROR(N(INDEX(Clay_Brands!$A$2:$FZ$601,125,Sync!$D$12)),0),"")</f>
        <v/>
      </c>
      <c r="C4176" s="17">
        <f>IF(B4176="","","brand")</f>
        <v/>
      </c>
      <c r="D4176" s="17">
        <f>IF(B4176="","",IFERROR(INDEX(Clay_Brands!$A$2:$FZ$601,125,Sync!$D$5)&amp;"",""))</f>
        <v/>
      </c>
      <c r="E4176" s="17">
        <f>IF(B4176="","",IFERROR(INDEX(Clay_Brands!$A$2:$FZ$601,125,Sync!$D$6)&amp;"",""))</f>
        <v/>
      </c>
      <c r="F4176" s="17">
        <f>IF(B4176="","","outreach_sent")</f>
        <v/>
      </c>
      <c r="G4176" s="17">
        <f>IF(B4176="","","")</f>
        <v/>
      </c>
      <c r="H4176" s="17">
        <f>IF(B4176="","","")</f>
        <v/>
      </c>
      <c r="I4176" s="17">
        <f>IF(B4176="","","")</f>
        <v/>
      </c>
      <c r="J4176" s="17">
        <f>IF(B4176="","","touch_2; "&amp;IFERROR(INDEX(Clay_Brands!$A$2:$FZ$601,125,Sync!$D$10)&amp;"","")&amp;"; "&amp;IFERROR(INDEX(Clay_Brands!$A$2:$FZ$601,125,Sync!$D$9)&amp;"",""))</f>
        <v/>
      </c>
      <c r="K4176" t="inlineStr">
        <is>
          <t>brand outreach touch 2</t>
        </is>
      </c>
    </row>
    <row r="4177">
      <c r="A4177" s="17">
        <f>IF(B4177="","",B4177+(16*1000+126)/10000000)</f>
        <v/>
      </c>
      <c r="B4177" s="23">
        <f>IF(AND(IFERROR(N(INDEX(Clay_Brands!$A$2:$FZ$601,126,Sync!$D$12)),0)&gt;0,IFERROR(INDEX(Clay_Brands!$A$2:$FZ$601,126,Sync!$D$5)&amp;"","")&lt;&gt;"",OR(LEFT(IFERROR(INDEX(Clay_Brands!$A$2:$FZ$601,126,Sync!$D$5)&amp;"",""),6)&lt;&gt;"SAMPLE",Config!$B$19="Y")),IFERROR(N(INDEX(Clay_Brands!$A$2:$FZ$601,126,Sync!$D$12)),0),"")</f>
        <v/>
      </c>
      <c r="C4177" s="17">
        <f>IF(B4177="","","brand")</f>
        <v/>
      </c>
      <c r="D4177" s="17">
        <f>IF(B4177="","",IFERROR(INDEX(Clay_Brands!$A$2:$FZ$601,126,Sync!$D$5)&amp;"",""))</f>
        <v/>
      </c>
      <c r="E4177" s="17">
        <f>IF(B4177="","",IFERROR(INDEX(Clay_Brands!$A$2:$FZ$601,126,Sync!$D$6)&amp;"",""))</f>
        <v/>
      </c>
      <c r="F4177" s="17">
        <f>IF(B4177="","","outreach_sent")</f>
        <v/>
      </c>
      <c r="G4177" s="17">
        <f>IF(B4177="","","")</f>
        <v/>
      </c>
      <c r="H4177" s="17">
        <f>IF(B4177="","","")</f>
        <v/>
      </c>
      <c r="I4177" s="17">
        <f>IF(B4177="","","")</f>
        <v/>
      </c>
      <c r="J4177" s="17">
        <f>IF(B4177="","","touch_2; "&amp;IFERROR(INDEX(Clay_Brands!$A$2:$FZ$601,126,Sync!$D$10)&amp;"","")&amp;"; "&amp;IFERROR(INDEX(Clay_Brands!$A$2:$FZ$601,126,Sync!$D$9)&amp;"",""))</f>
        <v/>
      </c>
      <c r="K4177" t="inlineStr">
        <is>
          <t>brand outreach touch 2</t>
        </is>
      </c>
    </row>
    <row r="4178">
      <c r="A4178" s="17">
        <f>IF(B4178="","",B4178+(16*1000+127)/10000000)</f>
        <v/>
      </c>
      <c r="B4178" s="23">
        <f>IF(AND(IFERROR(N(INDEX(Clay_Brands!$A$2:$FZ$601,127,Sync!$D$12)),0)&gt;0,IFERROR(INDEX(Clay_Brands!$A$2:$FZ$601,127,Sync!$D$5)&amp;"","")&lt;&gt;"",OR(LEFT(IFERROR(INDEX(Clay_Brands!$A$2:$FZ$601,127,Sync!$D$5)&amp;"",""),6)&lt;&gt;"SAMPLE",Config!$B$19="Y")),IFERROR(N(INDEX(Clay_Brands!$A$2:$FZ$601,127,Sync!$D$12)),0),"")</f>
        <v/>
      </c>
      <c r="C4178" s="17">
        <f>IF(B4178="","","brand")</f>
        <v/>
      </c>
      <c r="D4178" s="17">
        <f>IF(B4178="","",IFERROR(INDEX(Clay_Brands!$A$2:$FZ$601,127,Sync!$D$5)&amp;"",""))</f>
        <v/>
      </c>
      <c r="E4178" s="17">
        <f>IF(B4178="","",IFERROR(INDEX(Clay_Brands!$A$2:$FZ$601,127,Sync!$D$6)&amp;"",""))</f>
        <v/>
      </c>
      <c r="F4178" s="17">
        <f>IF(B4178="","","outreach_sent")</f>
        <v/>
      </c>
      <c r="G4178" s="17">
        <f>IF(B4178="","","")</f>
        <v/>
      </c>
      <c r="H4178" s="17">
        <f>IF(B4178="","","")</f>
        <v/>
      </c>
      <c r="I4178" s="17">
        <f>IF(B4178="","","")</f>
        <v/>
      </c>
      <c r="J4178" s="17">
        <f>IF(B4178="","","touch_2; "&amp;IFERROR(INDEX(Clay_Brands!$A$2:$FZ$601,127,Sync!$D$10)&amp;"","")&amp;"; "&amp;IFERROR(INDEX(Clay_Brands!$A$2:$FZ$601,127,Sync!$D$9)&amp;"",""))</f>
        <v/>
      </c>
      <c r="K4178" t="inlineStr">
        <is>
          <t>brand outreach touch 2</t>
        </is>
      </c>
    </row>
    <row r="4179">
      <c r="A4179" s="17">
        <f>IF(B4179="","",B4179+(16*1000+128)/10000000)</f>
        <v/>
      </c>
      <c r="B4179" s="23">
        <f>IF(AND(IFERROR(N(INDEX(Clay_Brands!$A$2:$FZ$601,128,Sync!$D$12)),0)&gt;0,IFERROR(INDEX(Clay_Brands!$A$2:$FZ$601,128,Sync!$D$5)&amp;"","")&lt;&gt;"",OR(LEFT(IFERROR(INDEX(Clay_Brands!$A$2:$FZ$601,128,Sync!$D$5)&amp;"",""),6)&lt;&gt;"SAMPLE",Config!$B$19="Y")),IFERROR(N(INDEX(Clay_Brands!$A$2:$FZ$601,128,Sync!$D$12)),0),"")</f>
        <v/>
      </c>
      <c r="C4179" s="17">
        <f>IF(B4179="","","brand")</f>
        <v/>
      </c>
      <c r="D4179" s="17">
        <f>IF(B4179="","",IFERROR(INDEX(Clay_Brands!$A$2:$FZ$601,128,Sync!$D$5)&amp;"",""))</f>
        <v/>
      </c>
      <c r="E4179" s="17">
        <f>IF(B4179="","",IFERROR(INDEX(Clay_Brands!$A$2:$FZ$601,128,Sync!$D$6)&amp;"",""))</f>
        <v/>
      </c>
      <c r="F4179" s="17">
        <f>IF(B4179="","","outreach_sent")</f>
        <v/>
      </c>
      <c r="G4179" s="17">
        <f>IF(B4179="","","")</f>
        <v/>
      </c>
      <c r="H4179" s="17">
        <f>IF(B4179="","","")</f>
        <v/>
      </c>
      <c r="I4179" s="17">
        <f>IF(B4179="","","")</f>
        <v/>
      </c>
      <c r="J4179" s="17">
        <f>IF(B4179="","","touch_2; "&amp;IFERROR(INDEX(Clay_Brands!$A$2:$FZ$601,128,Sync!$D$10)&amp;"","")&amp;"; "&amp;IFERROR(INDEX(Clay_Brands!$A$2:$FZ$601,128,Sync!$D$9)&amp;"",""))</f>
        <v/>
      </c>
      <c r="K4179" t="inlineStr">
        <is>
          <t>brand outreach touch 2</t>
        </is>
      </c>
    </row>
    <row r="4180">
      <c r="A4180" s="17">
        <f>IF(B4180="","",B4180+(16*1000+129)/10000000)</f>
        <v/>
      </c>
      <c r="B4180" s="23">
        <f>IF(AND(IFERROR(N(INDEX(Clay_Brands!$A$2:$FZ$601,129,Sync!$D$12)),0)&gt;0,IFERROR(INDEX(Clay_Brands!$A$2:$FZ$601,129,Sync!$D$5)&amp;"","")&lt;&gt;"",OR(LEFT(IFERROR(INDEX(Clay_Brands!$A$2:$FZ$601,129,Sync!$D$5)&amp;"",""),6)&lt;&gt;"SAMPLE",Config!$B$19="Y")),IFERROR(N(INDEX(Clay_Brands!$A$2:$FZ$601,129,Sync!$D$12)),0),"")</f>
        <v/>
      </c>
      <c r="C4180" s="17">
        <f>IF(B4180="","","brand")</f>
        <v/>
      </c>
      <c r="D4180" s="17">
        <f>IF(B4180="","",IFERROR(INDEX(Clay_Brands!$A$2:$FZ$601,129,Sync!$D$5)&amp;"",""))</f>
        <v/>
      </c>
      <c r="E4180" s="17">
        <f>IF(B4180="","",IFERROR(INDEX(Clay_Brands!$A$2:$FZ$601,129,Sync!$D$6)&amp;"",""))</f>
        <v/>
      </c>
      <c r="F4180" s="17">
        <f>IF(B4180="","","outreach_sent")</f>
        <v/>
      </c>
      <c r="G4180" s="17">
        <f>IF(B4180="","","")</f>
        <v/>
      </c>
      <c r="H4180" s="17">
        <f>IF(B4180="","","")</f>
        <v/>
      </c>
      <c r="I4180" s="17">
        <f>IF(B4180="","","")</f>
        <v/>
      </c>
      <c r="J4180" s="17">
        <f>IF(B4180="","","touch_2; "&amp;IFERROR(INDEX(Clay_Brands!$A$2:$FZ$601,129,Sync!$D$10)&amp;"","")&amp;"; "&amp;IFERROR(INDEX(Clay_Brands!$A$2:$FZ$601,129,Sync!$D$9)&amp;"",""))</f>
        <v/>
      </c>
      <c r="K4180" t="inlineStr">
        <is>
          <t>brand outreach touch 2</t>
        </is>
      </c>
    </row>
    <row r="4181">
      <c r="A4181" s="17">
        <f>IF(B4181="","",B4181+(16*1000+130)/10000000)</f>
        <v/>
      </c>
      <c r="B4181" s="23">
        <f>IF(AND(IFERROR(N(INDEX(Clay_Brands!$A$2:$FZ$601,130,Sync!$D$12)),0)&gt;0,IFERROR(INDEX(Clay_Brands!$A$2:$FZ$601,130,Sync!$D$5)&amp;"","")&lt;&gt;"",OR(LEFT(IFERROR(INDEX(Clay_Brands!$A$2:$FZ$601,130,Sync!$D$5)&amp;"",""),6)&lt;&gt;"SAMPLE",Config!$B$19="Y")),IFERROR(N(INDEX(Clay_Brands!$A$2:$FZ$601,130,Sync!$D$12)),0),"")</f>
        <v/>
      </c>
      <c r="C4181" s="17">
        <f>IF(B4181="","","brand")</f>
        <v/>
      </c>
      <c r="D4181" s="17">
        <f>IF(B4181="","",IFERROR(INDEX(Clay_Brands!$A$2:$FZ$601,130,Sync!$D$5)&amp;"",""))</f>
        <v/>
      </c>
      <c r="E4181" s="17">
        <f>IF(B4181="","",IFERROR(INDEX(Clay_Brands!$A$2:$FZ$601,130,Sync!$D$6)&amp;"",""))</f>
        <v/>
      </c>
      <c r="F4181" s="17">
        <f>IF(B4181="","","outreach_sent")</f>
        <v/>
      </c>
      <c r="G4181" s="17">
        <f>IF(B4181="","","")</f>
        <v/>
      </c>
      <c r="H4181" s="17">
        <f>IF(B4181="","","")</f>
        <v/>
      </c>
      <c r="I4181" s="17">
        <f>IF(B4181="","","")</f>
        <v/>
      </c>
      <c r="J4181" s="17">
        <f>IF(B4181="","","touch_2; "&amp;IFERROR(INDEX(Clay_Brands!$A$2:$FZ$601,130,Sync!$D$10)&amp;"","")&amp;"; "&amp;IFERROR(INDEX(Clay_Brands!$A$2:$FZ$601,130,Sync!$D$9)&amp;"",""))</f>
        <v/>
      </c>
      <c r="K4181" t="inlineStr">
        <is>
          <t>brand outreach touch 2</t>
        </is>
      </c>
    </row>
    <row r="4182">
      <c r="A4182" s="17">
        <f>IF(B4182="","",B4182+(16*1000+131)/10000000)</f>
        <v/>
      </c>
      <c r="B4182" s="23">
        <f>IF(AND(IFERROR(N(INDEX(Clay_Brands!$A$2:$FZ$601,131,Sync!$D$12)),0)&gt;0,IFERROR(INDEX(Clay_Brands!$A$2:$FZ$601,131,Sync!$D$5)&amp;"","")&lt;&gt;"",OR(LEFT(IFERROR(INDEX(Clay_Brands!$A$2:$FZ$601,131,Sync!$D$5)&amp;"",""),6)&lt;&gt;"SAMPLE",Config!$B$19="Y")),IFERROR(N(INDEX(Clay_Brands!$A$2:$FZ$601,131,Sync!$D$12)),0),"")</f>
        <v/>
      </c>
      <c r="C4182" s="17">
        <f>IF(B4182="","","brand")</f>
        <v/>
      </c>
      <c r="D4182" s="17">
        <f>IF(B4182="","",IFERROR(INDEX(Clay_Brands!$A$2:$FZ$601,131,Sync!$D$5)&amp;"",""))</f>
        <v/>
      </c>
      <c r="E4182" s="17">
        <f>IF(B4182="","",IFERROR(INDEX(Clay_Brands!$A$2:$FZ$601,131,Sync!$D$6)&amp;"",""))</f>
        <v/>
      </c>
      <c r="F4182" s="17">
        <f>IF(B4182="","","outreach_sent")</f>
        <v/>
      </c>
      <c r="G4182" s="17">
        <f>IF(B4182="","","")</f>
        <v/>
      </c>
      <c r="H4182" s="17">
        <f>IF(B4182="","","")</f>
        <v/>
      </c>
      <c r="I4182" s="17">
        <f>IF(B4182="","","")</f>
        <v/>
      </c>
      <c r="J4182" s="17">
        <f>IF(B4182="","","touch_2; "&amp;IFERROR(INDEX(Clay_Brands!$A$2:$FZ$601,131,Sync!$D$10)&amp;"","")&amp;"; "&amp;IFERROR(INDEX(Clay_Brands!$A$2:$FZ$601,131,Sync!$D$9)&amp;"",""))</f>
        <v/>
      </c>
      <c r="K4182" t="inlineStr">
        <is>
          <t>brand outreach touch 2</t>
        </is>
      </c>
    </row>
    <row r="4183">
      <c r="A4183" s="17">
        <f>IF(B4183="","",B4183+(16*1000+132)/10000000)</f>
        <v/>
      </c>
      <c r="B4183" s="23">
        <f>IF(AND(IFERROR(N(INDEX(Clay_Brands!$A$2:$FZ$601,132,Sync!$D$12)),0)&gt;0,IFERROR(INDEX(Clay_Brands!$A$2:$FZ$601,132,Sync!$D$5)&amp;"","")&lt;&gt;"",OR(LEFT(IFERROR(INDEX(Clay_Brands!$A$2:$FZ$601,132,Sync!$D$5)&amp;"",""),6)&lt;&gt;"SAMPLE",Config!$B$19="Y")),IFERROR(N(INDEX(Clay_Brands!$A$2:$FZ$601,132,Sync!$D$12)),0),"")</f>
        <v/>
      </c>
      <c r="C4183" s="17">
        <f>IF(B4183="","","brand")</f>
        <v/>
      </c>
      <c r="D4183" s="17">
        <f>IF(B4183="","",IFERROR(INDEX(Clay_Brands!$A$2:$FZ$601,132,Sync!$D$5)&amp;"",""))</f>
        <v/>
      </c>
      <c r="E4183" s="17">
        <f>IF(B4183="","",IFERROR(INDEX(Clay_Brands!$A$2:$FZ$601,132,Sync!$D$6)&amp;"",""))</f>
        <v/>
      </c>
      <c r="F4183" s="17">
        <f>IF(B4183="","","outreach_sent")</f>
        <v/>
      </c>
      <c r="G4183" s="17">
        <f>IF(B4183="","","")</f>
        <v/>
      </c>
      <c r="H4183" s="17">
        <f>IF(B4183="","","")</f>
        <v/>
      </c>
      <c r="I4183" s="17">
        <f>IF(B4183="","","")</f>
        <v/>
      </c>
      <c r="J4183" s="17">
        <f>IF(B4183="","","touch_2; "&amp;IFERROR(INDEX(Clay_Brands!$A$2:$FZ$601,132,Sync!$D$10)&amp;"","")&amp;"; "&amp;IFERROR(INDEX(Clay_Brands!$A$2:$FZ$601,132,Sync!$D$9)&amp;"",""))</f>
        <v/>
      </c>
      <c r="K4183" t="inlineStr">
        <is>
          <t>brand outreach touch 2</t>
        </is>
      </c>
    </row>
    <row r="4184">
      <c r="A4184" s="17">
        <f>IF(B4184="","",B4184+(16*1000+133)/10000000)</f>
        <v/>
      </c>
      <c r="B4184" s="23">
        <f>IF(AND(IFERROR(N(INDEX(Clay_Brands!$A$2:$FZ$601,133,Sync!$D$12)),0)&gt;0,IFERROR(INDEX(Clay_Brands!$A$2:$FZ$601,133,Sync!$D$5)&amp;"","")&lt;&gt;"",OR(LEFT(IFERROR(INDEX(Clay_Brands!$A$2:$FZ$601,133,Sync!$D$5)&amp;"",""),6)&lt;&gt;"SAMPLE",Config!$B$19="Y")),IFERROR(N(INDEX(Clay_Brands!$A$2:$FZ$601,133,Sync!$D$12)),0),"")</f>
        <v/>
      </c>
      <c r="C4184" s="17">
        <f>IF(B4184="","","brand")</f>
        <v/>
      </c>
      <c r="D4184" s="17">
        <f>IF(B4184="","",IFERROR(INDEX(Clay_Brands!$A$2:$FZ$601,133,Sync!$D$5)&amp;"",""))</f>
        <v/>
      </c>
      <c r="E4184" s="17">
        <f>IF(B4184="","",IFERROR(INDEX(Clay_Brands!$A$2:$FZ$601,133,Sync!$D$6)&amp;"",""))</f>
        <v/>
      </c>
      <c r="F4184" s="17">
        <f>IF(B4184="","","outreach_sent")</f>
        <v/>
      </c>
      <c r="G4184" s="17">
        <f>IF(B4184="","","")</f>
        <v/>
      </c>
      <c r="H4184" s="17">
        <f>IF(B4184="","","")</f>
        <v/>
      </c>
      <c r="I4184" s="17">
        <f>IF(B4184="","","")</f>
        <v/>
      </c>
      <c r="J4184" s="17">
        <f>IF(B4184="","","touch_2; "&amp;IFERROR(INDEX(Clay_Brands!$A$2:$FZ$601,133,Sync!$D$10)&amp;"","")&amp;"; "&amp;IFERROR(INDEX(Clay_Brands!$A$2:$FZ$601,133,Sync!$D$9)&amp;"",""))</f>
        <v/>
      </c>
      <c r="K4184" t="inlineStr">
        <is>
          <t>brand outreach touch 2</t>
        </is>
      </c>
    </row>
    <row r="4185">
      <c r="A4185" s="17">
        <f>IF(B4185="","",B4185+(16*1000+134)/10000000)</f>
        <v/>
      </c>
      <c r="B4185" s="23">
        <f>IF(AND(IFERROR(N(INDEX(Clay_Brands!$A$2:$FZ$601,134,Sync!$D$12)),0)&gt;0,IFERROR(INDEX(Clay_Brands!$A$2:$FZ$601,134,Sync!$D$5)&amp;"","")&lt;&gt;"",OR(LEFT(IFERROR(INDEX(Clay_Brands!$A$2:$FZ$601,134,Sync!$D$5)&amp;"",""),6)&lt;&gt;"SAMPLE",Config!$B$19="Y")),IFERROR(N(INDEX(Clay_Brands!$A$2:$FZ$601,134,Sync!$D$12)),0),"")</f>
        <v/>
      </c>
      <c r="C4185" s="17">
        <f>IF(B4185="","","brand")</f>
        <v/>
      </c>
      <c r="D4185" s="17">
        <f>IF(B4185="","",IFERROR(INDEX(Clay_Brands!$A$2:$FZ$601,134,Sync!$D$5)&amp;"",""))</f>
        <v/>
      </c>
      <c r="E4185" s="17">
        <f>IF(B4185="","",IFERROR(INDEX(Clay_Brands!$A$2:$FZ$601,134,Sync!$D$6)&amp;"",""))</f>
        <v/>
      </c>
      <c r="F4185" s="17">
        <f>IF(B4185="","","outreach_sent")</f>
        <v/>
      </c>
      <c r="G4185" s="17">
        <f>IF(B4185="","","")</f>
        <v/>
      </c>
      <c r="H4185" s="17">
        <f>IF(B4185="","","")</f>
        <v/>
      </c>
      <c r="I4185" s="17">
        <f>IF(B4185="","","")</f>
        <v/>
      </c>
      <c r="J4185" s="17">
        <f>IF(B4185="","","touch_2; "&amp;IFERROR(INDEX(Clay_Brands!$A$2:$FZ$601,134,Sync!$D$10)&amp;"","")&amp;"; "&amp;IFERROR(INDEX(Clay_Brands!$A$2:$FZ$601,134,Sync!$D$9)&amp;"",""))</f>
        <v/>
      </c>
      <c r="K4185" t="inlineStr">
        <is>
          <t>brand outreach touch 2</t>
        </is>
      </c>
    </row>
    <row r="4186">
      <c r="A4186" s="17">
        <f>IF(B4186="","",B4186+(16*1000+135)/10000000)</f>
        <v/>
      </c>
      <c r="B4186" s="23">
        <f>IF(AND(IFERROR(N(INDEX(Clay_Brands!$A$2:$FZ$601,135,Sync!$D$12)),0)&gt;0,IFERROR(INDEX(Clay_Brands!$A$2:$FZ$601,135,Sync!$D$5)&amp;"","")&lt;&gt;"",OR(LEFT(IFERROR(INDEX(Clay_Brands!$A$2:$FZ$601,135,Sync!$D$5)&amp;"",""),6)&lt;&gt;"SAMPLE",Config!$B$19="Y")),IFERROR(N(INDEX(Clay_Brands!$A$2:$FZ$601,135,Sync!$D$12)),0),"")</f>
        <v/>
      </c>
      <c r="C4186" s="17">
        <f>IF(B4186="","","brand")</f>
        <v/>
      </c>
      <c r="D4186" s="17">
        <f>IF(B4186="","",IFERROR(INDEX(Clay_Brands!$A$2:$FZ$601,135,Sync!$D$5)&amp;"",""))</f>
        <v/>
      </c>
      <c r="E4186" s="17">
        <f>IF(B4186="","",IFERROR(INDEX(Clay_Brands!$A$2:$FZ$601,135,Sync!$D$6)&amp;"",""))</f>
        <v/>
      </c>
      <c r="F4186" s="17">
        <f>IF(B4186="","","outreach_sent")</f>
        <v/>
      </c>
      <c r="G4186" s="17">
        <f>IF(B4186="","","")</f>
        <v/>
      </c>
      <c r="H4186" s="17">
        <f>IF(B4186="","","")</f>
        <v/>
      </c>
      <c r="I4186" s="17">
        <f>IF(B4186="","","")</f>
        <v/>
      </c>
      <c r="J4186" s="17">
        <f>IF(B4186="","","touch_2; "&amp;IFERROR(INDEX(Clay_Brands!$A$2:$FZ$601,135,Sync!$D$10)&amp;"","")&amp;"; "&amp;IFERROR(INDEX(Clay_Brands!$A$2:$FZ$601,135,Sync!$D$9)&amp;"",""))</f>
        <v/>
      </c>
      <c r="K4186" t="inlineStr">
        <is>
          <t>brand outreach touch 2</t>
        </is>
      </c>
    </row>
    <row r="4187">
      <c r="A4187" s="17">
        <f>IF(B4187="","",B4187+(16*1000+136)/10000000)</f>
        <v/>
      </c>
      <c r="B4187" s="23">
        <f>IF(AND(IFERROR(N(INDEX(Clay_Brands!$A$2:$FZ$601,136,Sync!$D$12)),0)&gt;0,IFERROR(INDEX(Clay_Brands!$A$2:$FZ$601,136,Sync!$D$5)&amp;"","")&lt;&gt;"",OR(LEFT(IFERROR(INDEX(Clay_Brands!$A$2:$FZ$601,136,Sync!$D$5)&amp;"",""),6)&lt;&gt;"SAMPLE",Config!$B$19="Y")),IFERROR(N(INDEX(Clay_Brands!$A$2:$FZ$601,136,Sync!$D$12)),0),"")</f>
        <v/>
      </c>
      <c r="C4187" s="17">
        <f>IF(B4187="","","brand")</f>
        <v/>
      </c>
      <c r="D4187" s="17">
        <f>IF(B4187="","",IFERROR(INDEX(Clay_Brands!$A$2:$FZ$601,136,Sync!$D$5)&amp;"",""))</f>
        <v/>
      </c>
      <c r="E4187" s="17">
        <f>IF(B4187="","",IFERROR(INDEX(Clay_Brands!$A$2:$FZ$601,136,Sync!$D$6)&amp;"",""))</f>
        <v/>
      </c>
      <c r="F4187" s="17">
        <f>IF(B4187="","","outreach_sent")</f>
        <v/>
      </c>
      <c r="G4187" s="17">
        <f>IF(B4187="","","")</f>
        <v/>
      </c>
      <c r="H4187" s="17">
        <f>IF(B4187="","","")</f>
        <v/>
      </c>
      <c r="I4187" s="17">
        <f>IF(B4187="","","")</f>
        <v/>
      </c>
      <c r="J4187" s="17">
        <f>IF(B4187="","","touch_2; "&amp;IFERROR(INDEX(Clay_Brands!$A$2:$FZ$601,136,Sync!$D$10)&amp;"","")&amp;"; "&amp;IFERROR(INDEX(Clay_Brands!$A$2:$FZ$601,136,Sync!$D$9)&amp;"",""))</f>
        <v/>
      </c>
      <c r="K4187" t="inlineStr">
        <is>
          <t>brand outreach touch 2</t>
        </is>
      </c>
    </row>
    <row r="4188">
      <c r="A4188" s="17">
        <f>IF(B4188="","",B4188+(16*1000+137)/10000000)</f>
        <v/>
      </c>
      <c r="B4188" s="23">
        <f>IF(AND(IFERROR(N(INDEX(Clay_Brands!$A$2:$FZ$601,137,Sync!$D$12)),0)&gt;0,IFERROR(INDEX(Clay_Brands!$A$2:$FZ$601,137,Sync!$D$5)&amp;"","")&lt;&gt;"",OR(LEFT(IFERROR(INDEX(Clay_Brands!$A$2:$FZ$601,137,Sync!$D$5)&amp;"",""),6)&lt;&gt;"SAMPLE",Config!$B$19="Y")),IFERROR(N(INDEX(Clay_Brands!$A$2:$FZ$601,137,Sync!$D$12)),0),"")</f>
        <v/>
      </c>
      <c r="C4188" s="17">
        <f>IF(B4188="","","brand")</f>
        <v/>
      </c>
      <c r="D4188" s="17">
        <f>IF(B4188="","",IFERROR(INDEX(Clay_Brands!$A$2:$FZ$601,137,Sync!$D$5)&amp;"",""))</f>
        <v/>
      </c>
      <c r="E4188" s="17">
        <f>IF(B4188="","",IFERROR(INDEX(Clay_Brands!$A$2:$FZ$601,137,Sync!$D$6)&amp;"",""))</f>
        <v/>
      </c>
      <c r="F4188" s="17">
        <f>IF(B4188="","","outreach_sent")</f>
        <v/>
      </c>
      <c r="G4188" s="17">
        <f>IF(B4188="","","")</f>
        <v/>
      </c>
      <c r="H4188" s="17">
        <f>IF(B4188="","","")</f>
        <v/>
      </c>
      <c r="I4188" s="17">
        <f>IF(B4188="","","")</f>
        <v/>
      </c>
      <c r="J4188" s="17">
        <f>IF(B4188="","","touch_2; "&amp;IFERROR(INDEX(Clay_Brands!$A$2:$FZ$601,137,Sync!$D$10)&amp;"","")&amp;"; "&amp;IFERROR(INDEX(Clay_Brands!$A$2:$FZ$601,137,Sync!$D$9)&amp;"",""))</f>
        <v/>
      </c>
      <c r="K4188" t="inlineStr">
        <is>
          <t>brand outreach touch 2</t>
        </is>
      </c>
    </row>
    <row r="4189">
      <c r="A4189" s="17">
        <f>IF(B4189="","",B4189+(16*1000+138)/10000000)</f>
        <v/>
      </c>
      <c r="B4189" s="23">
        <f>IF(AND(IFERROR(N(INDEX(Clay_Brands!$A$2:$FZ$601,138,Sync!$D$12)),0)&gt;0,IFERROR(INDEX(Clay_Brands!$A$2:$FZ$601,138,Sync!$D$5)&amp;"","")&lt;&gt;"",OR(LEFT(IFERROR(INDEX(Clay_Brands!$A$2:$FZ$601,138,Sync!$D$5)&amp;"",""),6)&lt;&gt;"SAMPLE",Config!$B$19="Y")),IFERROR(N(INDEX(Clay_Brands!$A$2:$FZ$601,138,Sync!$D$12)),0),"")</f>
        <v/>
      </c>
      <c r="C4189" s="17">
        <f>IF(B4189="","","brand")</f>
        <v/>
      </c>
      <c r="D4189" s="17">
        <f>IF(B4189="","",IFERROR(INDEX(Clay_Brands!$A$2:$FZ$601,138,Sync!$D$5)&amp;"",""))</f>
        <v/>
      </c>
      <c r="E4189" s="17">
        <f>IF(B4189="","",IFERROR(INDEX(Clay_Brands!$A$2:$FZ$601,138,Sync!$D$6)&amp;"",""))</f>
        <v/>
      </c>
      <c r="F4189" s="17">
        <f>IF(B4189="","","outreach_sent")</f>
        <v/>
      </c>
      <c r="G4189" s="17">
        <f>IF(B4189="","","")</f>
        <v/>
      </c>
      <c r="H4189" s="17">
        <f>IF(B4189="","","")</f>
        <v/>
      </c>
      <c r="I4189" s="17">
        <f>IF(B4189="","","")</f>
        <v/>
      </c>
      <c r="J4189" s="17">
        <f>IF(B4189="","","touch_2; "&amp;IFERROR(INDEX(Clay_Brands!$A$2:$FZ$601,138,Sync!$D$10)&amp;"","")&amp;"; "&amp;IFERROR(INDEX(Clay_Brands!$A$2:$FZ$601,138,Sync!$D$9)&amp;"",""))</f>
        <v/>
      </c>
      <c r="K4189" t="inlineStr">
        <is>
          <t>brand outreach touch 2</t>
        </is>
      </c>
    </row>
    <row r="4190">
      <c r="A4190" s="17">
        <f>IF(B4190="","",B4190+(16*1000+139)/10000000)</f>
        <v/>
      </c>
      <c r="B4190" s="23">
        <f>IF(AND(IFERROR(N(INDEX(Clay_Brands!$A$2:$FZ$601,139,Sync!$D$12)),0)&gt;0,IFERROR(INDEX(Clay_Brands!$A$2:$FZ$601,139,Sync!$D$5)&amp;"","")&lt;&gt;"",OR(LEFT(IFERROR(INDEX(Clay_Brands!$A$2:$FZ$601,139,Sync!$D$5)&amp;"",""),6)&lt;&gt;"SAMPLE",Config!$B$19="Y")),IFERROR(N(INDEX(Clay_Brands!$A$2:$FZ$601,139,Sync!$D$12)),0),"")</f>
        <v/>
      </c>
      <c r="C4190" s="17">
        <f>IF(B4190="","","brand")</f>
        <v/>
      </c>
      <c r="D4190" s="17">
        <f>IF(B4190="","",IFERROR(INDEX(Clay_Brands!$A$2:$FZ$601,139,Sync!$D$5)&amp;"",""))</f>
        <v/>
      </c>
      <c r="E4190" s="17">
        <f>IF(B4190="","",IFERROR(INDEX(Clay_Brands!$A$2:$FZ$601,139,Sync!$D$6)&amp;"",""))</f>
        <v/>
      </c>
      <c r="F4190" s="17">
        <f>IF(B4190="","","outreach_sent")</f>
        <v/>
      </c>
      <c r="G4190" s="17">
        <f>IF(B4190="","","")</f>
        <v/>
      </c>
      <c r="H4190" s="17">
        <f>IF(B4190="","","")</f>
        <v/>
      </c>
      <c r="I4190" s="17">
        <f>IF(B4190="","","")</f>
        <v/>
      </c>
      <c r="J4190" s="17">
        <f>IF(B4190="","","touch_2; "&amp;IFERROR(INDEX(Clay_Brands!$A$2:$FZ$601,139,Sync!$D$10)&amp;"","")&amp;"; "&amp;IFERROR(INDEX(Clay_Brands!$A$2:$FZ$601,139,Sync!$D$9)&amp;"",""))</f>
        <v/>
      </c>
      <c r="K4190" t="inlineStr">
        <is>
          <t>brand outreach touch 2</t>
        </is>
      </c>
    </row>
    <row r="4191">
      <c r="A4191" s="17">
        <f>IF(B4191="","",B4191+(16*1000+140)/10000000)</f>
        <v/>
      </c>
      <c r="B4191" s="23">
        <f>IF(AND(IFERROR(N(INDEX(Clay_Brands!$A$2:$FZ$601,140,Sync!$D$12)),0)&gt;0,IFERROR(INDEX(Clay_Brands!$A$2:$FZ$601,140,Sync!$D$5)&amp;"","")&lt;&gt;"",OR(LEFT(IFERROR(INDEX(Clay_Brands!$A$2:$FZ$601,140,Sync!$D$5)&amp;"",""),6)&lt;&gt;"SAMPLE",Config!$B$19="Y")),IFERROR(N(INDEX(Clay_Brands!$A$2:$FZ$601,140,Sync!$D$12)),0),"")</f>
        <v/>
      </c>
      <c r="C4191" s="17">
        <f>IF(B4191="","","brand")</f>
        <v/>
      </c>
      <c r="D4191" s="17">
        <f>IF(B4191="","",IFERROR(INDEX(Clay_Brands!$A$2:$FZ$601,140,Sync!$D$5)&amp;"",""))</f>
        <v/>
      </c>
      <c r="E4191" s="17">
        <f>IF(B4191="","",IFERROR(INDEX(Clay_Brands!$A$2:$FZ$601,140,Sync!$D$6)&amp;"",""))</f>
        <v/>
      </c>
      <c r="F4191" s="17">
        <f>IF(B4191="","","outreach_sent")</f>
        <v/>
      </c>
      <c r="G4191" s="17">
        <f>IF(B4191="","","")</f>
        <v/>
      </c>
      <c r="H4191" s="17">
        <f>IF(B4191="","","")</f>
        <v/>
      </c>
      <c r="I4191" s="17">
        <f>IF(B4191="","","")</f>
        <v/>
      </c>
      <c r="J4191" s="17">
        <f>IF(B4191="","","touch_2; "&amp;IFERROR(INDEX(Clay_Brands!$A$2:$FZ$601,140,Sync!$D$10)&amp;"","")&amp;"; "&amp;IFERROR(INDEX(Clay_Brands!$A$2:$FZ$601,140,Sync!$D$9)&amp;"",""))</f>
        <v/>
      </c>
      <c r="K4191" t="inlineStr">
        <is>
          <t>brand outreach touch 2</t>
        </is>
      </c>
    </row>
    <row r="4192">
      <c r="A4192" s="17">
        <f>IF(B4192="","",B4192+(16*1000+141)/10000000)</f>
        <v/>
      </c>
      <c r="B4192" s="23">
        <f>IF(AND(IFERROR(N(INDEX(Clay_Brands!$A$2:$FZ$601,141,Sync!$D$12)),0)&gt;0,IFERROR(INDEX(Clay_Brands!$A$2:$FZ$601,141,Sync!$D$5)&amp;"","")&lt;&gt;"",OR(LEFT(IFERROR(INDEX(Clay_Brands!$A$2:$FZ$601,141,Sync!$D$5)&amp;"",""),6)&lt;&gt;"SAMPLE",Config!$B$19="Y")),IFERROR(N(INDEX(Clay_Brands!$A$2:$FZ$601,141,Sync!$D$12)),0),"")</f>
        <v/>
      </c>
      <c r="C4192" s="17">
        <f>IF(B4192="","","brand")</f>
        <v/>
      </c>
      <c r="D4192" s="17">
        <f>IF(B4192="","",IFERROR(INDEX(Clay_Brands!$A$2:$FZ$601,141,Sync!$D$5)&amp;"",""))</f>
        <v/>
      </c>
      <c r="E4192" s="17">
        <f>IF(B4192="","",IFERROR(INDEX(Clay_Brands!$A$2:$FZ$601,141,Sync!$D$6)&amp;"",""))</f>
        <v/>
      </c>
      <c r="F4192" s="17">
        <f>IF(B4192="","","outreach_sent")</f>
        <v/>
      </c>
      <c r="G4192" s="17">
        <f>IF(B4192="","","")</f>
        <v/>
      </c>
      <c r="H4192" s="17">
        <f>IF(B4192="","","")</f>
        <v/>
      </c>
      <c r="I4192" s="17">
        <f>IF(B4192="","","")</f>
        <v/>
      </c>
      <c r="J4192" s="17">
        <f>IF(B4192="","","touch_2; "&amp;IFERROR(INDEX(Clay_Brands!$A$2:$FZ$601,141,Sync!$D$10)&amp;"","")&amp;"; "&amp;IFERROR(INDEX(Clay_Brands!$A$2:$FZ$601,141,Sync!$D$9)&amp;"",""))</f>
        <v/>
      </c>
      <c r="K4192" t="inlineStr">
        <is>
          <t>brand outreach touch 2</t>
        </is>
      </c>
    </row>
    <row r="4193">
      <c r="A4193" s="17">
        <f>IF(B4193="","",B4193+(16*1000+142)/10000000)</f>
        <v/>
      </c>
      <c r="B4193" s="23">
        <f>IF(AND(IFERROR(N(INDEX(Clay_Brands!$A$2:$FZ$601,142,Sync!$D$12)),0)&gt;0,IFERROR(INDEX(Clay_Brands!$A$2:$FZ$601,142,Sync!$D$5)&amp;"","")&lt;&gt;"",OR(LEFT(IFERROR(INDEX(Clay_Brands!$A$2:$FZ$601,142,Sync!$D$5)&amp;"",""),6)&lt;&gt;"SAMPLE",Config!$B$19="Y")),IFERROR(N(INDEX(Clay_Brands!$A$2:$FZ$601,142,Sync!$D$12)),0),"")</f>
        <v/>
      </c>
      <c r="C4193" s="17">
        <f>IF(B4193="","","brand")</f>
        <v/>
      </c>
      <c r="D4193" s="17">
        <f>IF(B4193="","",IFERROR(INDEX(Clay_Brands!$A$2:$FZ$601,142,Sync!$D$5)&amp;"",""))</f>
        <v/>
      </c>
      <c r="E4193" s="17">
        <f>IF(B4193="","",IFERROR(INDEX(Clay_Brands!$A$2:$FZ$601,142,Sync!$D$6)&amp;"",""))</f>
        <v/>
      </c>
      <c r="F4193" s="17">
        <f>IF(B4193="","","outreach_sent")</f>
        <v/>
      </c>
      <c r="G4193" s="17">
        <f>IF(B4193="","","")</f>
        <v/>
      </c>
      <c r="H4193" s="17">
        <f>IF(B4193="","","")</f>
        <v/>
      </c>
      <c r="I4193" s="17">
        <f>IF(B4193="","","")</f>
        <v/>
      </c>
      <c r="J4193" s="17">
        <f>IF(B4193="","","touch_2; "&amp;IFERROR(INDEX(Clay_Brands!$A$2:$FZ$601,142,Sync!$D$10)&amp;"","")&amp;"; "&amp;IFERROR(INDEX(Clay_Brands!$A$2:$FZ$601,142,Sync!$D$9)&amp;"",""))</f>
        <v/>
      </c>
      <c r="K4193" t="inlineStr">
        <is>
          <t>brand outreach touch 2</t>
        </is>
      </c>
    </row>
    <row r="4194">
      <c r="A4194" s="17">
        <f>IF(B4194="","",B4194+(16*1000+143)/10000000)</f>
        <v/>
      </c>
      <c r="B4194" s="23">
        <f>IF(AND(IFERROR(N(INDEX(Clay_Brands!$A$2:$FZ$601,143,Sync!$D$12)),0)&gt;0,IFERROR(INDEX(Clay_Brands!$A$2:$FZ$601,143,Sync!$D$5)&amp;"","")&lt;&gt;"",OR(LEFT(IFERROR(INDEX(Clay_Brands!$A$2:$FZ$601,143,Sync!$D$5)&amp;"",""),6)&lt;&gt;"SAMPLE",Config!$B$19="Y")),IFERROR(N(INDEX(Clay_Brands!$A$2:$FZ$601,143,Sync!$D$12)),0),"")</f>
        <v/>
      </c>
      <c r="C4194" s="17">
        <f>IF(B4194="","","brand")</f>
        <v/>
      </c>
      <c r="D4194" s="17">
        <f>IF(B4194="","",IFERROR(INDEX(Clay_Brands!$A$2:$FZ$601,143,Sync!$D$5)&amp;"",""))</f>
        <v/>
      </c>
      <c r="E4194" s="17">
        <f>IF(B4194="","",IFERROR(INDEX(Clay_Brands!$A$2:$FZ$601,143,Sync!$D$6)&amp;"",""))</f>
        <v/>
      </c>
      <c r="F4194" s="17">
        <f>IF(B4194="","","outreach_sent")</f>
        <v/>
      </c>
      <c r="G4194" s="17">
        <f>IF(B4194="","","")</f>
        <v/>
      </c>
      <c r="H4194" s="17">
        <f>IF(B4194="","","")</f>
        <v/>
      </c>
      <c r="I4194" s="17">
        <f>IF(B4194="","","")</f>
        <v/>
      </c>
      <c r="J4194" s="17">
        <f>IF(B4194="","","touch_2; "&amp;IFERROR(INDEX(Clay_Brands!$A$2:$FZ$601,143,Sync!$D$10)&amp;"","")&amp;"; "&amp;IFERROR(INDEX(Clay_Brands!$A$2:$FZ$601,143,Sync!$D$9)&amp;"",""))</f>
        <v/>
      </c>
      <c r="K4194" t="inlineStr">
        <is>
          <t>brand outreach touch 2</t>
        </is>
      </c>
    </row>
    <row r="4195">
      <c r="A4195" s="17">
        <f>IF(B4195="","",B4195+(16*1000+144)/10000000)</f>
        <v/>
      </c>
      <c r="B4195" s="23">
        <f>IF(AND(IFERROR(N(INDEX(Clay_Brands!$A$2:$FZ$601,144,Sync!$D$12)),0)&gt;0,IFERROR(INDEX(Clay_Brands!$A$2:$FZ$601,144,Sync!$D$5)&amp;"","")&lt;&gt;"",OR(LEFT(IFERROR(INDEX(Clay_Brands!$A$2:$FZ$601,144,Sync!$D$5)&amp;"",""),6)&lt;&gt;"SAMPLE",Config!$B$19="Y")),IFERROR(N(INDEX(Clay_Brands!$A$2:$FZ$601,144,Sync!$D$12)),0),"")</f>
        <v/>
      </c>
      <c r="C4195" s="17">
        <f>IF(B4195="","","brand")</f>
        <v/>
      </c>
      <c r="D4195" s="17">
        <f>IF(B4195="","",IFERROR(INDEX(Clay_Brands!$A$2:$FZ$601,144,Sync!$D$5)&amp;"",""))</f>
        <v/>
      </c>
      <c r="E4195" s="17">
        <f>IF(B4195="","",IFERROR(INDEX(Clay_Brands!$A$2:$FZ$601,144,Sync!$D$6)&amp;"",""))</f>
        <v/>
      </c>
      <c r="F4195" s="17">
        <f>IF(B4195="","","outreach_sent")</f>
        <v/>
      </c>
      <c r="G4195" s="17">
        <f>IF(B4195="","","")</f>
        <v/>
      </c>
      <c r="H4195" s="17">
        <f>IF(B4195="","","")</f>
        <v/>
      </c>
      <c r="I4195" s="17">
        <f>IF(B4195="","","")</f>
        <v/>
      </c>
      <c r="J4195" s="17">
        <f>IF(B4195="","","touch_2; "&amp;IFERROR(INDEX(Clay_Brands!$A$2:$FZ$601,144,Sync!$D$10)&amp;"","")&amp;"; "&amp;IFERROR(INDEX(Clay_Brands!$A$2:$FZ$601,144,Sync!$D$9)&amp;"",""))</f>
        <v/>
      </c>
      <c r="K4195" t="inlineStr">
        <is>
          <t>brand outreach touch 2</t>
        </is>
      </c>
    </row>
    <row r="4196">
      <c r="A4196" s="17">
        <f>IF(B4196="","",B4196+(16*1000+145)/10000000)</f>
        <v/>
      </c>
      <c r="B4196" s="23">
        <f>IF(AND(IFERROR(N(INDEX(Clay_Brands!$A$2:$FZ$601,145,Sync!$D$12)),0)&gt;0,IFERROR(INDEX(Clay_Brands!$A$2:$FZ$601,145,Sync!$D$5)&amp;"","")&lt;&gt;"",OR(LEFT(IFERROR(INDEX(Clay_Brands!$A$2:$FZ$601,145,Sync!$D$5)&amp;"",""),6)&lt;&gt;"SAMPLE",Config!$B$19="Y")),IFERROR(N(INDEX(Clay_Brands!$A$2:$FZ$601,145,Sync!$D$12)),0),"")</f>
        <v/>
      </c>
      <c r="C4196" s="17">
        <f>IF(B4196="","","brand")</f>
        <v/>
      </c>
      <c r="D4196" s="17">
        <f>IF(B4196="","",IFERROR(INDEX(Clay_Brands!$A$2:$FZ$601,145,Sync!$D$5)&amp;"",""))</f>
        <v/>
      </c>
      <c r="E4196" s="17">
        <f>IF(B4196="","",IFERROR(INDEX(Clay_Brands!$A$2:$FZ$601,145,Sync!$D$6)&amp;"",""))</f>
        <v/>
      </c>
      <c r="F4196" s="17">
        <f>IF(B4196="","","outreach_sent")</f>
        <v/>
      </c>
      <c r="G4196" s="17">
        <f>IF(B4196="","","")</f>
        <v/>
      </c>
      <c r="H4196" s="17">
        <f>IF(B4196="","","")</f>
        <v/>
      </c>
      <c r="I4196" s="17">
        <f>IF(B4196="","","")</f>
        <v/>
      </c>
      <c r="J4196" s="17">
        <f>IF(B4196="","","touch_2; "&amp;IFERROR(INDEX(Clay_Brands!$A$2:$FZ$601,145,Sync!$D$10)&amp;"","")&amp;"; "&amp;IFERROR(INDEX(Clay_Brands!$A$2:$FZ$601,145,Sync!$D$9)&amp;"",""))</f>
        <v/>
      </c>
      <c r="K4196" t="inlineStr">
        <is>
          <t>brand outreach touch 2</t>
        </is>
      </c>
    </row>
    <row r="4197">
      <c r="A4197" s="17">
        <f>IF(B4197="","",B4197+(16*1000+146)/10000000)</f>
        <v/>
      </c>
      <c r="B4197" s="23">
        <f>IF(AND(IFERROR(N(INDEX(Clay_Brands!$A$2:$FZ$601,146,Sync!$D$12)),0)&gt;0,IFERROR(INDEX(Clay_Brands!$A$2:$FZ$601,146,Sync!$D$5)&amp;"","")&lt;&gt;"",OR(LEFT(IFERROR(INDEX(Clay_Brands!$A$2:$FZ$601,146,Sync!$D$5)&amp;"",""),6)&lt;&gt;"SAMPLE",Config!$B$19="Y")),IFERROR(N(INDEX(Clay_Brands!$A$2:$FZ$601,146,Sync!$D$12)),0),"")</f>
        <v/>
      </c>
      <c r="C4197" s="17">
        <f>IF(B4197="","","brand")</f>
        <v/>
      </c>
      <c r="D4197" s="17">
        <f>IF(B4197="","",IFERROR(INDEX(Clay_Brands!$A$2:$FZ$601,146,Sync!$D$5)&amp;"",""))</f>
        <v/>
      </c>
      <c r="E4197" s="17">
        <f>IF(B4197="","",IFERROR(INDEX(Clay_Brands!$A$2:$FZ$601,146,Sync!$D$6)&amp;"",""))</f>
        <v/>
      </c>
      <c r="F4197" s="17">
        <f>IF(B4197="","","outreach_sent")</f>
        <v/>
      </c>
      <c r="G4197" s="17">
        <f>IF(B4197="","","")</f>
        <v/>
      </c>
      <c r="H4197" s="17">
        <f>IF(B4197="","","")</f>
        <v/>
      </c>
      <c r="I4197" s="17">
        <f>IF(B4197="","","")</f>
        <v/>
      </c>
      <c r="J4197" s="17">
        <f>IF(B4197="","","touch_2; "&amp;IFERROR(INDEX(Clay_Brands!$A$2:$FZ$601,146,Sync!$D$10)&amp;"","")&amp;"; "&amp;IFERROR(INDEX(Clay_Brands!$A$2:$FZ$601,146,Sync!$D$9)&amp;"",""))</f>
        <v/>
      </c>
      <c r="K4197" t="inlineStr">
        <is>
          <t>brand outreach touch 2</t>
        </is>
      </c>
    </row>
    <row r="4198">
      <c r="A4198" s="17">
        <f>IF(B4198="","",B4198+(16*1000+147)/10000000)</f>
        <v/>
      </c>
      <c r="B4198" s="23">
        <f>IF(AND(IFERROR(N(INDEX(Clay_Brands!$A$2:$FZ$601,147,Sync!$D$12)),0)&gt;0,IFERROR(INDEX(Clay_Brands!$A$2:$FZ$601,147,Sync!$D$5)&amp;"","")&lt;&gt;"",OR(LEFT(IFERROR(INDEX(Clay_Brands!$A$2:$FZ$601,147,Sync!$D$5)&amp;"",""),6)&lt;&gt;"SAMPLE",Config!$B$19="Y")),IFERROR(N(INDEX(Clay_Brands!$A$2:$FZ$601,147,Sync!$D$12)),0),"")</f>
        <v/>
      </c>
      <c r="C4198" s="17">
        <f>IF(B4198="","","brand")</f>
        <v/>
      </c>
      <c r="D4198" s="17">
        <f>IF(B4198="","",IFERROR(INDEX(Clay_Brands!$A$2:$FZ$601,147,Sync!$D$5)&amp;"",""))</f>
        <v/>
      </c>
      <c r="E4198" s="17">
        <f>IF(B4198="","",IFERROR(INDEX(Clay_Brands!$A$2:$FZ$601,147,Sync!$D$6)&amp;"",""))</f>
        <v/>
      </c>
      <c r="F4198" s="17">
        <f>IF(B4198="","","outreach_sent")</f>
        <v/>
      </c>
      <c r="G4198" s="17">
        <f>IF(B4198="","","")</f>
        <v/>
      </c>
      <c r="H4198" s="17">
        <f>IF(B4198="","","")</f>
        <v/>
      </c>
      <c r="I4198" s="17">
        <f>IF(B4198="","","")</f>
        <v/>
      </c>
      <c r="J4198" s="17">
        <f>IF(B4198="","","touch_2; "&amp;IFERROR(INDEX(Clay_Brands!$A$2:$FZ$601,147,Sync!$D$10)&amp;"","")&amp;"; "&amp;IFERROR(INDEX(Clay_Brands!$A$2:$FZ$601,147,Sync!$D$9)&amp;"",""))</f>
        <v/>
      </c>
      <c r="K4198" t="inlineStr">
        <is>
          <t>brand outreach touch 2</t>
        </is>
      </c>
    </row>
    <row r="4199">
      <c r="A4199" s="17">
        <f>IF(B4199="","",B4199+(16*1000+148)/10000000)</f>
        <v/>
      </c>
      <c r="B4199" s="23">
        <f>IF(AND(IFERROR(N(INDEX(Clay_Brands!$A$2:$FZ$601,148,Sync!$D$12)),0)&gt;0,IFERROR(INDEX(Clay_Brands!$A$2:$FZ$601,148,Sync!$D$5)&amp;"","")&lt;&gt;"",OR(LEFT(IFERROR(INDEX(Clay_Brands!$A$2:$FZ$601,148,Sync!$D$5)&amp;"",""),6)&lt;&gt;"SAMPLE",Config!$B$19="Y")),IFERROR(N(INDEX(Clay_Brands!$A$2:$FZ$601,148,Sync!$D$12)),0),"")</f>
        <v/>
      </c>
      <c r="C4199" s="17">
        <f>IF(B4199="","","brand")</f>
        <v/>
      </c>
      <c r="D4199" s="17">
        <f>IF(B4199="","",IFERROR(INDEX(Clay_Brands!$A$2:$FZ$601,148,Sync!$D$5)&amp;"",""))</f>
        <v/>
      </c>
      <c r="E4199" s="17">
        <f>IF(B4199="","",IFERROR(INDEX(Clay_Brands!$A$2:$FZ$601,148,Sync!$D$6)&amp;"",""))</f>
        <v/>
      </c>
      <c r="F4199" s="17">
        <f>IF(B4199="","","outreach_sent")</f>
        <v/>
      </c>
      <c r="G4199" s="17">
        <f>IF(B4199="","","")</f>
        <v/>
      </c>
      <c r="H4199" s="17">
        <f>IF(B4199="","","")</f>
        <v/>
      </c>
      <c r="I4199" s="17">
        <f>IF(B4199="","","")</f>
        <v/>
      </c>
      <c r="J4199" s="17">
        <f>IF(B4199="","","touch_2; "&amp;IFERROR(INDEX(Clay_Brands!$A$2:$FZ$601,148,Sync!$D$10)&amp;"","")&amp;"; "&amp;IFERROR(INDEX(Clay_Brands!$A$2:$FZ$601,148,Sync!$D$9)&amp;"",""))</f>
        <v/>
      </c>
      <c r="K4199" t="inlineStr">
        <is>
          <t>brand outreach touch 2</t>
        </is>
      </c>
    </row>
    <row r="4200">
      <c r="A4200" s="17">
        <f>IF(B4200="","",B4200+(16*1000+149)/10000000)</f>
        <v/>
      </c>
      <c r="B4200" s="23">
        <f>IF(AND(IFERROR(N(INDEX(Clay_Brands!$A$2:$FZ$601,149,Sync!$D$12)),0)&gt;0,IFERROR(INDEX(Clay_Brands!$A$2:$FZ$601,149,Sync!$D$5)&amp;"","")&lt;&gt;"",OR(LEFT(IFERROR(INDEX(Clay_Brands!$A$2:$FZ$601,149,Sync!$D$5)&amp;"",""),6)&lt;&gt;"SAMPLE",Config!$B$19="Y")),IFERROR(N(INDEX(Clay_Brands!$A$2:$FZ$601,149,Sync!$D$12)),0),"")</f>
        <v/>
      </c>
      <c r="C4200" s="17">
        <f>IF(B4200="","","brand")</f>
        <v/>
      </c>
      <c r="D4200" s="17">
        <f>IF(B4200="","",IFERROR(INDEX(Clay_Brands!$A$2:$FZ$601,149,Sync!$D$5)&amp;"",""))</f>
        <v/>
      </c>
      <c r="E4200" s="17">
        <f>IF(B4200="","",IFERROR(INDEX(Clay_Brands!$A$2:$FZ$601,149,Sync!$D$6)&amp;"",""))</f>
        <v/>
      </c>
      <c r="F4200" s="17">
        <f>IF(B4200="","","outreach_sent")</f>
        <v/>
      </c>
      <c r="G4200" s="17">
        <f>IF(B4200="","","")</f>
        <v/>
      </c>
      <c r="H4200" s="17">
        <f>IF(B4200="","","")</f>
        <v/>
      </c>
      <c r="I4200" s="17">
        <f>IF(B4200="","","")</f>
        <v/>
      </c>
      <c r="J4200" s="17">
        <f>IF(B4200="","","touch_2; "&amp;IFERROR(INDEX(Clay_Brands!$A$2:$FZ$601,149,Sync!$D$10)&amp;"","")&amp;"; "&amp;IFERROR(INDEX(Clay_Brands!$A$2:$FZ$601,149,Sync!$D$9)&amp;"",""))</f>
        <v/>
      </c>
      <c r="K4200" t="inlineStr">
        <is>
          <t>brand outreach touch 2</t>
        </is>
      </c>
    </row>
    <row r="4201">
      <c r="A4201" s="17">
        <f>IF(B4201="","",B4201+(16*1000+150)/10000000)</f>
        <v/>
      </c>
      <c r="B4201" s="23">
        <f>IF(AND(IFERROR(N(INDEX(Clay_Brands!$A$2:$FZ$601,150,Sync!$D$12)),0)&gt;0,IFERROR(INDEX(Clay_Brands!$A$2:$FZ$601,150,Sync!$D$5)&amp;"","")&lt;&gt;"",OR(LEFT(IFERROR(INDEX(Clay_Brands!$A$2:$FZ$601,150,Sync!$D$5)&amp;"",""),6)&lt;&gt;"SAMPLE",Config!$B$19="Y")),IFERROR(N(INDEX(Clay_Brands!$A$2:$FZ$601,150,Sync!$D$12)),0),"")</f>
        <v/>
      </c>
      <c r="C4201" s="17">
        <f>IF(B4201="","","brand")</f>
        <v/>
      </c>
      <c r="D4201" s="17">
        <f>IF(B4201="","",IFERROR(INDEX(Clay_Brands!$A$2:$FZ$601,150,Sync!$D$5)&amp;"",""))</f>
        <v/>
      </c>
      <c r="E4201" s="17">
        <f>IF(B4201="","",IFERROR(INDEX(Clay_Brands!$A$2:$FZ$601,150,Sync!$D$6)&amp;"",""))</f>
        <v/>
      </c>
      <c r="F4201" s="17">
        <f>IF(B4201="","","outreach_sent")</f>
        <v/>
      </c>
      <c r="G4201" s="17">
        <f>IF(B4201="","","")</f>
        <v/>
      </c>
      <c r="H4201" s="17">
        <f>IF(B4201="","","")</f>
        <v/>
      </c>
      <c r="I4201" s="17">
        <f>IF(B4201="","","")</f>
        <v/>
      </c>
      <c r="J4201" s="17">
        <f>IF(B4201="","","touch_2; "&amp;IFERROR(INDEX(Clay_Brands!$A$2:$FZ$601,150,Sync!$D$10)&amp;"","")&amp;"; "&amp;IFERROR(INDEX(Clay_Brands!$A$2:$FZ$601,150,Sync!$D$9)&amp;"",""))</f>
        <v/>
      </c>
      <c r="K4201" t="inlineStr">
        <is>
          <t>brand outreach touch 2</t>
        </is>
      </c>
    </row>
    <row r="4202">
      <c r="A4202" s="17">
        <f>IF(B4202="","",B4202+(16*1000+151)/10000000)</f>
        <v/>
      </c>
      <c r="B4202" s="23">
        <f>IF(AND(IFERROR(N(INDEX(Clay_Brands!$A$2:$FZ$601,151,Sync!$D$12)),0)&gt;0,IFERROR(INDEX(Clay_Brands!$A$2:$FZ$601,151,Sync!$D$5)&amp;"","")&lt;&gt;"",OR(LEFT(IFERROR(INDEX(Clay_Brands!$A$2:$FZ$601,151,Sync!$D$5)&amp;"",""),6)&lt;&gt;"SAMPLE",Config!$B$19="Y")),IFERROR(N(INDEX(Clay_Brands!$A$2:$FZ$601,151,Sync!$D$12)),0),"")</f>
        <v/>
      </c>
      <c r="C4202" s="17">
        <f>IF(B4202="","","brand")</f>
        <v/>
      </c>
      <c r="D4202" s="17">
        <f>IF(B4202="","",IFERROR(INDEX(Clay_Brands!$A$2:$FZ$601,151,Sync!$D$5)&amp;"",""))</f>
        <v/>
      </c>
      <c r="E4202" s="17">
        <f>IF(B4202="","",IFERROR(INDEX(Clay_Brands!$A$2:$FZ$601,151,Sync!$D$6)&amp;"",""))</f>
        <v/>
      </c>
      <c r="F4202" s="17">
        <f>IF(B4202="","","outreach_sent")</f>
        <v/>
      </c>
      <c r="G4202" s="17">
        <f>IF(B4202="","","")</f>
        <v/>
      </c>
      <c r="H4202" s="17">
        <f>IF(B4202="","","")</f>
        <v/>
      </c>
      <c r="I4202" s="17">
        <f>IF(B4202="","","")</f>
        <v/>
      </c>
      <c r="J4202" s="17">
        <f>IF(B4202="","","touch_2; "&amp;IFERROR(INDEX(Clay_Brands!$A$2:$FZ$601,151,Sync!$D$10)&amp;"","")&amp;"; "&amp;IFERROR(INDEX(Clay_Brands!$A$2:$FZ$601,151,Sync!$D$9)&amp;"",""))</f>
        <v/>
      </c>
      <c r="K4202" t="inlineStr">
        <is>
          <t>brand outreach touch 2</t>
        </is>
      </c>
    </row>
    <row r="4203">
      <c r="A4203" s="17">
        <f>IF(B4203="","",B4203+(16*1000+152)/10000000)</f>
        <v/>
      </c>
      <c r="B4203" s="23">
        <f>IF(AND(IFERROR(N(INDEX(Clay_Brands!$A$2:$FZ$601,152,Sync!$D$12)),0)&gt;0,IFERROR(INDEX(Clay_Brands!$A$2:$FZ$601,152,Sync!$D$5)&amp;"","")&lt;&gt;"",OR(LEFT(IFERROR(INDEX(Clay_Brands!$A$2:$FZ$601,152,Sync!$D$5)&amp;"",""),6)&lt;&gt;"SAMPLE",Config!$B$19="Y")),IFERROR(N(INDEX(Clay_Brands!$A$2:$FZ$601,152,Sync!$D$12)),0),"")</f>
        <v/>
      </c>
      <c r="C4203" s="17">
        <f>IF(B4203="","","brand")</f>
        <v/>
      </c>
      <c r="D4203" s="17">
        <f>IF(B4203="","",IFERROR(INDEX(Clay_Brands!$A$2:$FZ$601,152,Sync!$D$5)&amp;"",""))</f>
        <v/>
      </c>
      <c r="E4203" s="17">
        <f>IF(B4203="","",IFERROR(INDEX(Clay_Brands!$A$2:$FZ$601,152,Sync!$D$6)&amp;"",""))</f>
        <v/>
      </c>
      <c r="F4203" s="17">
        <f>IF(B4203="","","outreach_sent")</f>
        <v/>
      </c>
      <c r="G4203" s="17">
        <f>IF(B4203="","","")</f>
        <v/>
      </c>
      <c r="H4203" s="17">
        <f>IF(B4203="","","")</f>
        <v/>
      </c>
      <c r="I4203" s="17">
        <f>IF(B4203="","","")</f>
        <v/>
      </c>
      <c r="J4203" s="17">
        <f>IF(B4203="","","touch_2; "&amp;IFERROR(INDEX(Clay_Brands!$A$2:$FZ$601,152,Sync!$D$10)&amp;"","")&amp;"; "&amp;IFERROR(INDEX(Clay_Brands!$A$2:$FZ$601,152,Sync!$D$9)&amp;"",""))</f>
        <v/>
      </c>
      <c r="K4203" t="inlineStr">
        <is>
          <t>brand outreach touch 2</t>
        </is>
      </c>
    </row>
    <row r="4204">
      <c r="A4204" s="17">
        <f>IF(B4204="","",B4204+(16*1000+153)/10000000)</f>
        <v/>
      </c>
      <c r="B4204" s="23">
        <f>IF(AND(IFERROR(N(INDEX(Clay_Brands!$A$2:$FZ$601,153,Sync!$D$12)),0)&gt;0,IFERROR(INDEX(Clay_Brands!$A$2:$FZ$601,153,Sync!$D$5)&amp;"","")&lt;&gt;"",OR(LEFT(IFERROR(INDEX(Clay_Brands!$A$2:$FZ$601,153,Sync!$D$5)&amp;"",""),6)&lt;&gt;"SAMPLE",Config!$B$19="Y")),IFERROR(N(INDEX(Clay_Brands!$A$2:$FZ$601,153,Sync!$D$12)),0),"")</f>
        <v/>
      </c>
      <c r="C4204" s="17">
        <f>IF(B4204="","","brand")</f>
        <v/>
      </c>
      <c r="D4204" s="17">
        <f>IF(B4204="","",IFERROR(INDEX(Clay_Brands!$A$2:$FZ$601,153,Sync!$D$5)&amp;"",""))</f>
        <v/>
      </c>
      <c r="E4204" s="17">
        <f>IF(B4204="","",IFERROR(INDEX(Clay_Brands!$A$2:$FZ$601,153,Sync!$D$6)&amp;"",""))</f>
        <v/>
      </c>
      <c r="F4204" s="17">
        <f>IF(B4204="","","outreach_sent")</f>
        <v/>
      </c>
      <c r="G4204" s="17">
        <f>IF(B4204="","","")</f>
        <v/>
      </c>
      <c r="H4204" s="17">
        <f>IF(B4204="","","")</f>
        <v/>
      </c>
      <c r="I4204" s="17">
        <f>IF(B4204="","","")</f>
        <v/>
      </c>
      <c r="J4204" s="17">
        <f>IF(B4204="","","touch_2; "&amp;IFERROR(INDEX(Clay_Brands!$A$2:$FZ$601,153,Sync!$D$10)&amp;"","")&amp;"; "&amp;IFERROR(INDEX(Clay_Brands!$A$2:$FZ$601,153,Sync!$D$9)&amp;"",""))</f>
        <v/>
      </c>
      <c r="K4204" t="inlineStr">
        <is>
          <t>brand outreach touch 2</t>
        </is>
      </c>
    </row>
    <row r="4205">
      <c r="A4205" s="17">
        <f>IF(B4205="","",B4205+(16*1000+154)/10000000)</f>
        <v/>
      </c>
      <c r="B4205" s="23">
        <f>IF(AND(IFERROR(N(INDEX(Clay_Brands!$A$2:$FZ$601,154,Sync!$D$12)),0)&gt;0,IFERROR(INDEX(Clay_Brands!$A$2:$FZ$601,154,Sync!$D$5)&amp;"","")&lt;&gt;"",OR(LEFT(IFERROR(INDEX(Clay_Brands!$A$2:$FZ$601,154,Sync!$D$5)&amp;"",""),6)&lt;&gt;"SAMPLE",Config!$B$19="Y")),IFERROR(N(INDEX(Clay_Brands!$A$2:$FZ$601,154,Sync!$D$12)),0),"")</f>
        <v/>
      </c>
      <c r="C4205" s="17">
        <f>IF(B4205="","","brand")</f>
        <v/>
      </c>
      <c r="D4205" s="17">
        <f>IF(B4205="","",IFERROR(INDEX(Clay_Brands!$A$2:$FZ$601,154,Sync!$D$5)&amp;"",""))</f>
        <v/>
      </c>
      <c r="E4205" s="17">
        <f>IF(B4205="","",IFERROR(INDEX(Clay_Brands!$A$2:$FZ$601,154,Sync!$D$6)&amp;"",""))</f>
        <v/>
      </c>
      <c r="F4205" s="17">
        <f>IF(B4205="","","outreach_sent")</f>
        <v/>
      </c>
      <c r="G4205" s="17">
        <f>IF(B4205="","","")</f>
        <v/>
      </c>
      <c r="H4205" s="17">
        <f>IF(B4205="","","")</f>
        <v/>
      </c>
      <c r="I4205" s="17">
        <f>IF(B4205="","","")</f>
        <v/>
      </c>
      <c r="J4205" s="17">
        <f>IF(B4205="","","touch_2; "&amp;IFERROR(INDEX(Clay_Brands!$A$2:$FZ$601,154,Sync!$D$10)&amp;"","")&amp;"; "&amp;IFERROR(INDEX(Clay_Brands!$A$2:$FZ$601,154,Sync!$D$9)&amp;"",""))</f>
        <v/>
      </c>
      <c r="K4205" t="inlineStr">
        <is>
          <t>brand outreach touch 2</t>
        </is>
      </c>
    </row>
    <row r="4206">
      <c r="A4206" s="17">
        <f>IF(B4206="","",B4206+(16*1000+155)/10000000)</f>
        <v/>
      </c>
      <c r="B4206" s="23">
        <f>IF(AND(IFERROR(N(INDEX(Clay_Brands!$A$2:$FZ$601,155,Sync!$D$12)),0)&gt;0,IFERROR(INDEX(Clay_Brands!$A$2:$FZ$601,155,Sync!$D$5)&amp;"","")&lt;&gt;"",OR(LEFT(IFERROR(INDEX(Clay_Brands!$A$2:$FZ$601,155,Sync!$D$5)&amp;"",""),6)&lt;&gt;"SAMPLE",Config!$B$19="Y")),IFERROR(N(INDEX(Clay_Brands!$A$2:$FZ$601,155,Sync!$D$12)),0),"")</f>
        <v/>
      </c>
      <c r="C4206" s="17">
        <f>IF(B4206="","","brand")</f>
        <v/>
      </c>
      <c r="D4206" s="17">
        <f>IF(B4206="","",IFERROR(INDEX(Clay_Brands!$A$2:$FZ$601,155,Sync!$D$5)&amp;"",""))</f>
        <v/>
      </c>
      <c r="E4206" s="17">
        <f>IF(B4206="","",IFERROR(INDEX(Clay_Brands!$A$2:$FZ$601,155,Sync!$D$6)&amp;"",""))</f>
        <v/>
      </c>
      <c r="F4206" s="17">
        <f>IF(B4206="","","outreach_sent")</f>
        <v/>
      </c>
      <c r="G4206" s="17">
        <f>IF(B4206="","","")</f>
        <v/>
      </c>
      <c r="H4206" s="17">
        <f>IF(B4206="","","")</f>
        <v/>
      </c>
      <c r="I4206" s="17">
        <f>IF(B4206="","","")</f>
        <v/>
      </c>
      <c r="J4206" s="17">
        <f>IF(B4206="","","touch_2; "&amp;IFERROR(INDEX(Clay_Brands!$A$2:$FZ$601,155,Sync!$D$10)&amp;"","")&amp;"; "&amp;IFERROR(INDEX(Clay_Brands!$A$2:$FZ$601,155,Sync!$D$9)&amp;"",""))</f>
        <v/>
      </c>
      <c r="K4206" t="inlineStr">
        <is>
          <t>brand outreach touch 2</t>
        </is>
      </c>
    </row>
    <row r="4207">
      <c r="A4207" s="17">
        <f>IF(B4207="","",B4207+(16*1000+156)/10000000)</f>
        <v/>
      </c>
      <c r="B4207" s="23">
        <f>IF(AND(IFERROR(N(INDEX(Clay_Brands!$A$2:$FZ$601,156,Sync!$D$12)),0)&gt;0,IFERROR(INDEX(Clay_Brands!$A$2:$FZ$601,156,Sync!$D$5)&amp;"","")&lt;&gt;"",OR(LEFT(IFERROR(INDEX(Clay_Brands!$A$2:$FZ$601,156,Sync!$D$5)&amp;"",""),6)&lt;&gt;"SAMPLE",Config!$B$19="Y")),IFERROR(N(INDEX(Clay_Brands!$A$2:$FZ$601,156,Sync!$D$12)),0),"")</f>
        <v/>
      </c>
      <c r="C4207" s="17">
        <f>IF(B4207="","","brand")</f>
        <v/>
      </c>
      <c r="D4207" s="17">
        <f>IF(B4207="","",IFERROR(INDEX(Clay_Brands!$A$2:$FZ$601,156,Sync!$D$5)&amp;"",""))</f>
        <v/>
      </c>
      <c r="E4207" s="17">
        <f>IF(B4207="","",IFERROR(INDEX(Clay_Brands!$A$2:$FZ$601,156,Sync!$D$6)&amp;"",""))</f>
        <v/>
      </c>
      <c r="F4207" s="17">
        <f>IF(B4207="","","outreach_sent")</f>
        <v/>
      </c>
      <c r="G4207" s="17">
        <f>IF(B4207="","","")</f>
        <v/>
      </c>
      <c r="H4207" s="17">
        <f>IF(B4207="","","")</f>
        <v/>
      </c>
      <c r="I4207" s="17">
        <f>IF(B4207="","","")</f>
        <v/>
      </c>
      <c r="J4207" s="17">
        <f>IF(B4207="","","touch_2; "&amp;IFERROR(INDEX(Clay_Brands!$A$2:$FZ$601,156,Sync!$D$10)&amp;"","")&amp;"; "&amp;IFERROR(INDEX(Clay_Brands!$A$2:$FZ$601,156,Sync!$D$9)&amp;"",""))</f>
        <v/>
      </c>
      <c r="K4207" t="inlineStr">
        <is>
          <t>brand outreach touch 2</t>
        </is>
      </c>
    </row>
    <row r="4208">
      <c r="A4208" s="17">
        <f>IF(B4208="","",B4208+(16*1000+157)/10000000)</f>
        <v/>
      </c>
      <c r="B4208" s="23">
        <f>IF(AND(IFERROR(N(INDEX(Clay_Brands!$A$2:$FZ$601,157,Sync!$D$12)),0)&gt;0,IFERROR(INDEX(Clay_Brands!$A$2:$FZ$601,157,Sync!$D$5)&amp;"","")&lt;&gt;"",OR(LEFT(IFERROR(INDEX(Clay_Brands!$A$2:$FZ$601,157,Sync!$D$5)&amp;"",""),6)&lt;&gt;"SAMPLE",Config!$B$19="Y")),IFERROR(N(INDEX(Clay_Brands!$A$2:$FZ$601,157,Sync!$D$12)),0),"")</f>
        <v/>
      </c>
      <c r="C4208" s="17">
        <f>IF(B4208="","","brand")</f>
        <v/>
      </c>
      <c r="D4208" s="17">
        <f>IF(B4208="","",IFERROR(INDEX(Clay_Brands!$A$2:$FZ$601,157,Sync!$D$5)&amp;"",""))</f>
        <v/>
      </c>
      <c r="E4208" s="17">
        <f>IF(B4208="","",IFERROR(INDEX(Clay_Brands!$A$2:$FZ$601,157,Sync!$D$6)&amp;"",""))</f>
        <v/>
      </c>
      <c r="F4208" s="17">
        <f>IF(B4208="","","outreach_sent")</f>
        <v/>
      </c>
      <c r="G4208" s="17">
        <f>IF(B4208="","","")</f>
        <v/>
      </c>
      <c r="H4208" s="17">
        <f>IF(B4208="","","")</f>
        <v/>
      </c>
      <c r="I4208" s="17">
        <f>IF(B4208="","","")</f>
        <v/>
      </c>
      <c r="J4208" s="17">
        <f>IF(B4208="","","touch_2; "&amp;IFERROR(INDEX(Clay_Brands!$A$2:$FZ$601,157,Sync!$D$10)&amp;"","")&amp;"; "&amp;IFERROR(INDEX(Clay_Brands!$A$2:$FZ$601,157,Sync!$D$9)&amp;"",""))</f>
        <v/>
      </c>
      <c r="K4208" t="inlineStr">
        <is>
          <t>brand outreach touch 2</t>
        </is>
      </c>
    </row>
    <row r="4209">
      <c r="A4209" s="17">
        <f>IF(B4209="","",B4209+(16*1000+158)/10000000)</f>
        <v/>
      </c>
      <c r="B4209" s="23">
        <f>IF(AND(IFERROR(N(INDEX(Clay_Brands!$A$2:$FZ$601,158,Sync!$D$12)),0)&gt;0,IFERROR(INDEX(Clay_Brands!$A$2:$FZ$601,158,Sync!$D$5)&amp;"","")&lt;&gt;"",OR(LEFT(IFERROR(INDEX(Clay_Brands!$A$2:$FZ$601,158,Sync!$D$5)&amp;"",""),6)&lt;&gt;"SAMPLE",Config!$B$19="Y")),IFERROR(N(INDEX(Clay_Brands!$A$2:$FZ$601,158,Sync!$D$12)),0),"")</f>
        <v/>
      </c>
      <c r="C4209" s="17">
        <f>IF(B4209="","","brand")</f>
        <v/>
      </c>
      <c r="D4209" s="17">
        <f>IF(B4209="","",IFERROR(INDEX(Clay_Brands!$A$2:$FZ$601,158,Sync!$D$5)&amp;"",""))</f>
        <v/>
      </c>
      <c r="E4209" s="17">
        <f>IF(B4209="","",IFERROR(INDEX(Clay_Brands!$A$2:$FZ$601,158,Sync!$D$6)&amp;"",""))</f>
        <v/>
      </c>
      <c r="F4209" s="17">
        <f>IF(B4209="","","outreach_sent")</f>
        <v/>
      </c>
      <c r="G4209" s="17">
        <f>IF(B4209="","","")</f>
        <v/>
      </c>
      <c r="H4209" s="17">
        <f>IF(B4209="","","")</f>
        <v/>
      </c>
      <c r="I4209" s="17">
        <f>IF(B4209="","","")</f>
        <v/>
      </c>
      <c r="J4209" s="17">
        <f>IF(B4209="","","touch_2; "&amp;IFERROR(INDEX(Clay_Brands!$A$2:$FZ$601,158,Sync!$D$10)&amp;"","")&amp;"; "&amp;IFERROR(INDEX(Clay_Brands!$A$2:$FZ$601,158,Sync!$D$9)&amp;"",""))</f>
        <v/>
      </c>
      <c r="K4209" t="inlineStr">
        <is>
          <t>brand outreach touch 2</t>
        </is>
      </c>
    </row>
    <row r="4210">
      <c r="A4210" s="17">
        <f>IF(B4210="","",B4210+(16*1000+159)/10000000)</f>
        <v/>
      </c>
      <c r="B4210" s="23">
        <f>IF(AND(IFERROR(N(INDEX(Clay_Brands!$A$2:$FZ$601,159,Sync!$D$12)),0)&gt;0,IFERROR(INDEX(Clay_Brands!$A$2:$FZ$601,159,Sync!$D$5)&amp;"","")&lt;&gt;"",OR(LEFT(IFERROR(INDEX(Clay_Brands!$A$2:$FZ$601,159,Sync!$D$5)&amp;"",""),6)&lt;&gt;"SAMPLE",Config!$B$19="Y")),IFERROR(N(INDEX(Clay_Brands!$A$2:$FZ$601,159,Sync!$D$12)),0),"")</f>
        <v/>
      </c>
      <c r="C4210" s="17">
        <f>IF(B4210="","","brand")</f>
        <v/>
      </c>
      <c r="D4210" s="17">
        <f>IF(B4210="","",IFERROR(INDEX(Clay_Brands!$A$2:$FZ$601,159,Sync!$D$5)&amp;"",""))</f>
        <v/>
      </c>
      <c r="E4210" s="17">
        <f>IF(B4210="","",IFERROR(INDEX(Clay_Brands!$A$2:$FZ$601,159,Sync!$D$6)&amp;"",""))</f>
        <v/>
      </c>
      <c r="F4210" s="17">
        <f>IF(B4210="","","outreach_sent")</f>
        <v/>
      </c>
      <c r="G4210" s="17">
        <f>IF(B4210="","","")</f>
        <v/>
      </c>
      <c r="H4210" s="17">
        <f>IF(B4210="","","")</f>
        <v/>
      </c>
      <c r="I4210" s="17">
        <f>IF(B4210="","","")</f>
        <v/>
      </c>
      <c r="J4210" s="17">
        <f>IF(B4210="","","touch_2; "&amp;IFERROR(INDEX(Clay_Brands!$A$2:$FZ$601,159,Sync!$D$10)&amp;"","")&amp;"; "&amp;IFERROR(INDEX(Clay_Brands!$A$2:$FZ$601,159,Sync!$D$9)&amp;"",""))</f>
        <v/>
      </c>
      <c r="K4210" t="inlineStr">
        <is>
          <t>brand outreach touch 2</t>
        </is>
      </c>
    </row>
    <row r="4211">
      <c r="A4211" s="17">
        <f>IF(B4211="","",B4211+(16*1000+160)/10000000)</f>
        <v/>
      </c>
      <c r="B4211" s="23">
        <f>IF(AND(IFERROR(N(INDEX(Clay_Brands!$A$2:$FZ$601,160,Sync!$D$12)),0)&gt;0,IFERROR(INDEX(Clay_Brands!$A$2:$FZ$601,160,Sync!$D$5)&amp;"","")&lt;&gt;"",OR(LEFT(IFERROR(INDEX(Clay_Brands!$A$2:$FZ$601,160,Sync!$D$5)&amp;"",""),6)&lt;&gt;"SAMPLE",Config!$B$19="Y")),IFERROR(N(INDEX(Clay_Brands!$A$2:$FZ$601,160,Sync!$D$12)),0),"")</f>
        <v/>
      </c>
      <c r="C4211" s="17">
        <f>IF(B4211="","","brand")</f>
        <v/>
      </c>
      <c r="D4211" s="17">
        <f>IF(B4211="","",IFERROR(INDEX(Clay_Brands!$A$2:$FZ$601,160,Sync!$D$5)&amp;"",""))</f>
        <v/>
      </c>
      <c r="E4211" s="17">
        <f>IF(B4211="","",IFERROR(INDEX(Clay_Brands!$A$2:$FZ$601,160,Sync!$D$6)&amp;"",""))</f>
        <v/>
      </c>
      <c r="F4211" s="17">
        <f>IF(B4211="","","outreach_sent")</f>
        <v/>
      </c>
      <c r="G4211" s="17">
        <f>IF(B4211="","","")</f>
        <v/>
      </c>
      <c r="H4211" s="17">
        <f>IF(B4211="","","")</f>
        <v/>
      </c>
      <c r="I4211" s="17">
        <f>IF(B4211="","","")</f>
        <v/>
      </c>
      <c r="J4211" s="17">
        <f>IF(B4211="","","touch_2; "&amp;IFERROR(INDEX(Clay_Brands!$A$2:$FZ$601,160,Sync!$D$10)&amp;"","")&amp;"; "&amp;IFERROR(INDEX(Clay_Brands!$A$2:$FZ$601,160,Sync!$D$9)&amp;"",""))</f>
        <v/>
      </c>
      <c r="K4211" t="inlineStr">
        <is>
          <t>brand outreach touch 2</t>
        </is>
      </c>
    </row>
    <row r="4212">
      <c r="A4212" s="17">
        <f>IF(B4212="","",B4212+(16*1000+161)/10000000)</f>
        <v/>
      </c>
      <c r="B4212" s="23">
        <f>IF(AND(IFERROR(N(INDEX(Clay_Brands!$A$2:$FZ$601,161,Sync!$D$12)),0)&gt;0,IFERROR(INDEX(Clay_Brands!$A$2:$FZ$601,161,Sync!$D$5)&amp;"","")&lt;&gt;"",OR(LEFT(IFERROR(INDEX(Clay_Brands!$A$2:$FZ$601,161,Sync!$D$5)&amp;"",""),6)&lt;&gt;"SAMPLE",Config!$B$19="Y")),IFERROR(N(INDEX(Clay_Brands!$A$2:$FZ$601,161,Sync!$D$12)),0),"")</f>
        <v/>
      </c>
      <c r="C4212" s="17">
        <f>IF(B4212="","","brand")</f>
        <v/>
      </c>
      <c r="D4212" s="17">
        <f>IF(B4212="","",IFERROR(INDEX(Clay_Brands!$A$2:$FZ$601,161,Sync!$D$5)&amp;"",""))</f>
        <v/>
      </c>
      <c r="E4212" s="17">
        <f>IF(B4212="","",IFERROR(INDEX(Clay_Brands!$A$2:$FZ$601,161,Sync!$D$6)&amp;"",""))</f>
        <v/>
      </c>
      <c r="F4212" s="17">
        <f>IF(B4212="","","outreach_sent")</f>
        <v/>
      </c>
      <c r="G4212" s="17">
        <f>IF(B4212="","","")</f>
        <v/>
      </c>
      <c r="H4212" s="17">
        <f>IF(B4212="","","")</f>
        <v/>
      </c>
      <c r="I4212" s="17">
        <f>IF(B4212="","","")</f>
        <v/>
      </c>
      <c r="J4212" s="17">
        <f>IF(B4212="","","touch_2; "&amp;IFERROR(INDEX(Clay_Brands!$A$2:$FZ$601,161,Sync!$D$10)&amp;"","")&amp;"; "&amp;IFERROR(INDEX(Clay_Brands!$A$2:$FZ$601,161,Sync!$D$9)&amp;"",""))</f>
        <v/>
      </c>
      <c r="K4212" t="inlineStr">
        <is>
          <t>brand outreach touch 2</t>
        </is>
      </c>
    </row>
    <row r="4213">
      <c r="A4213" s="17">
        <f>IF(B4213="","",B4213+(16*1000+162)/10000000)</f>
        <v/>
      </c>
      <c r="B4213" s="23">
        <f>IF(AND(IFERROR(N(INDEX(Clay_Brands!$A$2:$FZ$601,162,Sync!$D$12)),0)&gt;0,IFERROR(INDEX(Clay_Brands!$A$2:$FZ$601,162,Sync!$D$5)&amp;"","")&lt;&gt;"",OR(LEFT(IFERROR(INDEX(Clay_Brands!$A$2:$FZ$601,162,Sync!$D$5)&amp;"",""),6)&lt;&gt;"SAMPLE",Config!$B$19="Y")),IFERROR(N(INDEX(Clay_Brands!$A$2:$FZ$601,162,Sync!$D$12)),0),"")</f>
        <v/>
      </c>
      <c r="C4213" s="17">
        <f>IF(B4213="","","brand")</f>
        <v/>
      </c>
      <c r="D4213" s="17">
        <f>IF(B4213="","",IFERROR(INDEX(Clay_Brands!$A$2:$FZ$601,162,Sync!$D$5)&amp;"",""))</f>
        <v/>
      </c>
      <c r="E4213" s="17">
        <f>IF(B4213="","",IFERROR(INDEX(Clay_Brands!$A$2:$FZ$601,162,Sync!$D$6)&amp;"",""))</f>
        <v/>
      </c>
      <c r="F4213" s="17">
        <f>IF(B4213="","","outreach_sent")</f>
        <v/>
      </c>
      <c r="G4213" s="17">
        <f>IF(B4213="","","")</f>
        <v/>
      </c>
      <c r="H4213" s="17">
        <f>IF(B4213="","","")</f>
        <v/>
      </c>
      <c r="I4213" s="17">
        <f>IF(B4213="","","")</f>
        <v/>
      </c>
      <c r="J4213" s="17">
        <f>IF(B4213="","","touch_2; "&amp;IFERROR(INDEX(Clay_Brands!$A$2:$FZ$601,162,Sync!$D$10)&amp;"","")&amp;"; "&amp;IFERROR(INDEX(Clay_Brands!$A$2:$FZ$601,162,Sync!$D$9)&amp;"",""))</f>
        <v/>
      </c>
      <c r="K4213" t="inlineStr">
        <is>
          <t>brand outreach touch 2</t>
        </is>
      </c>
    </row>
    <row r="4214">
      <c r="A4214" s="17">
        <f>IF(B4214="","",B4214+(16*1000+163)/10000000)</f>
        <v/>
      </c>
      <c r="B4214" s="23">
        <f>IF(AND(IFERROR(N(INDEX(Clay_Brands!$A$2:$FZ$601,163,Sync!$D$12)),0)&gt;0,IFERROR(INDEX(Clay_Brands!$A$2:$FZ$601,163,Sync!$D$5)&amp;"","")&lt;&gt;"",OR(LEFT(IFERROR(INDEX(Clay_Brands!$A$2:$FZ$601,163,Sync!$D$5)&amp;"",""),6)&lt;&gt;"SAMPLE",Config!$B$19="Y")),IFERROR(N(INDEX(Clay_Brands!$A$2:$FZ$601,163,Sync!$D$12)),0),"")</f>
        <v/>
      </c>
      <c r="C4214" s="17">
        <f>IF(B4214="","","brand")</f>
        <v/>
      </c>
      <c r="D4214" s="17">
        <f>IF(B4214="","",IFERROR(INDEX(Clay_Brands!$A$2:$FZ$601,163,Sync!$D$5)&amp;"",""))</f>
        <v/>
      </c>
      <c r="E4214" s="17">
        <f>IF(B4214="","",IFERROR(INDEX(Clay_Brands!$A$2:$FZ$601,163,Sync!$D$6)&amp;"",""))</f>
        <v/>
      </c>
      <c r="F4214" s="17">
        <f>IF(B4214="","","outreach_sent")</f>
        <v/>
      </c>
      <c r="G4214" s="17">
        <f>IF(B4214="","","")</f>
        <v/>
      </c>
      <c r="H4214" s="17">
        <f>IF(B4214="","","")</f>
        <v/>
      </c>
      <c r="I4214" s="17">
        <f>IF(B4214="","","")</f>
        <v/>
      </c>
      <c r="J4214" s="17">
        <f>IF(B4214="","","touch_2; "&amp;IFERROR(INDEX(Clay_Brands!$A$2:$FZ$601,163,Sync!$D$10)&amp;"","")&amp;"; "&amp;IFERROR(INDEX(Clay_Brands!$A$2:$FZ$601,163,Sync!$D$9)&amp;"",""))</f>
        <v/>
      </c>
      <c r="K4214" t="inlineStr">
        <is>
          <t>brand outreach touch 2</t>
        </is>
      </c>
    </row>
    <row r="4215">
      <c r="A4215" s="17">
        <f>IF(B4215="","",B4215+(16*1000+164)/10000000)</f>
        <v/>
      </c>
      <c r="B4215" s="23">
        <f>IF(AND(IFERROR(N(INDEX(Clay_Brands!$A$2:$FZ$601,164,Sync!$D$12)),0)&gt;0,IFERROR(INDEX(Clay_Brands!$A$2:$FZ$601,164,Sync!$D$5)&amp;"","")&lt;&gt;"",OR(LEFT(IFERROR(INDEX(Clay_Brands!$A$2:$FZ$601,164,Sync!$D$5)&amp;"",""),6)&lt;&gt;"SAMPLE",Config!$B$19="Y")),IFERROR(N(INDEX(Clay_Brands!$A$2:$FZ$601,164,Sync!$D$12)),0),"")</f>
        <v/>
      </c>
      <c r="C4215" s="17">
        <f>IF(B4215="","","brand")</f>
        <v/>
      </c>
      <c r="D4215" s="17">
        <f>IF(B4215="","",IFERROR(INDEX(Clay_Brands!$A$2:$FZ$601,164,Sync!$D$5)&amp;"",""))</f>
        <v/>
      </c>
      <c r="E4215" s="17">
        <f>IF(B4215="","",IFERROR(INDEX(Clay_Brands!$A$2:$FZ$601,164,Sync!$D$6)&amp;"",""))</f>
        <v/>
      </c>
      <c r="F4215" s="17">
        <f>IF(B4215="","","outreach_sent")</f>
        <v/>
      </c>
      <c r="G4215" s="17">
        <f>IF(B4215="","","")</f>
        <v/>
      </c>
      <c r="H4215" s="17">
        <f>IF(B4215="","","")</f>
        <v/>
      </c>
      <c r="I4215" s="17">
        <f>IF(B4215="","","")</f>
        <v/>
      </c>
      <c r="J4215" s="17">
        <f>IF(B4215="","","touch_2; "&amp;IFERROR(INDEX(Clay_Brands!$A$2:$FZ$601,164,Sync!$D$10)&amp;"","")&amp;"; "&amp;IFERROR(INDEX(Clay_Brands!$A$2:$FZ$601,164,Sync!$D$9)&amp;"",""))</f>
        <v/>
      </c>
      <c r="K4215" t="inlineStr">
        <is>
          <t>brand outreach touch 2</t>
        </is>
      </c>
    </row>
    <row r="4216">
      <c r="A4216" s="17">
        <f>IF(B4216="","",B4216+(16*1000+165)/10000000)</f>
        <v/>
      </c>
      <c r="B4216" s="23">
        <f>IF(AND(IFERROR(N(INDEX(Clay_Brands!$A$2:$FZ$601,165,Sync!$D$12)),0)&gt;0,IFERROR(INDEX(Clay_Brands!$A$2:$FZ$601,165,Sync!$D$5)&amp;"","")&lt;&gt;"",OR(LEFT(IFERROR(INDEX(Clay_Brands!$A$2:$FZ$601,165,Sync!$D$5)&amp;"",""),6)&lt;&gt;"SAMPLE",Config!$B$19="Y")),IFERROR(N(INDEX(Clay_Brands!$A$2:$FZ$601,165,Sync!$D$12)),0),"")</f>
        <v/>
      </c>
      <c r="C4216" s="17">
        <f>IF(B4216="","","brand")</f>
        <v/>
      </c>
      <c r="D4216" s="17">
        <f>IF(B4216="","",IFERROR(INDEX(Clay_Brands!$A$2:$FZ$601,165,Sync!$D$5)&amp;"",""))</f>
        <v/>
      </c>
      <c r="E4216" s="17">
        <f>IF(B4216="","",IFERROR(INDEX(Clay_Brands!$A$2:$FZ$601,165,Sync!$D$6)&amp;"",""))</f>
        <v/>
      </c>
      <c r="F4216" s="17">
        <f>IF(B4216="","","outreach_sent")</f>
        <v/>
      </c>
      <c r="G4216" s="17">
        <f>IF(B4216="","","")</f>
        <v/>
      </c>
      <c r="H4216" s="17">
        <f>IF(B4216="","","")</f>
        <v/>
      </c>
      <c r="I4216" s="17">
        <f>IF(B4216="","","")</f>
        <v/>
      </c>
      <c r="J4216" s="17">
        <f>IF(B4216="","","touch_2; "&amp;IFERROR(INDEX(Clay_Brands!$A$2:$FZ$601,165,Sync!$D$10)&amp;"","")&amp;"; "&amp;IFERROR(INDEX(Clay_Brands!$A$2:$FZ$601,165,Sync!$D$9)&amp;"",""))</f>
        <v/>
      </c>
      <c r="K4216" t="inlineStr">
        <is>
          <t>brand outreach touch 2</t>
        </is>
      </c>
    </row>
    <row r="4217">
      <c r="A4217" s="17">
        <f>IF(B4217="","",B4217+(16*1000+166)/10000000)</f>
        <v/>
      </c>
      <c r="B4217" s="23">
        <f>IF(AND(IFERROR(N(INDEX(Clay_Brands!$A$2:$FZ$601,166,Sync!$D$12)),0)&gt;0,IFERROR(INDEX(Clay_Brands!$A$2:$FZ$601,166,Sync!$D$5)&amp;"","")&lt;&gt;"",OR(LEFT(IFERROR(INDEX(Clay_Brands!$A$2:$FZ$601,166,Sync!$D$5)&amp;"",""),6)&lt;&gt;"SAMPLE",Config!$B$19="Y")),IFERROR(N(INDEX(Clay_Brands!$A$2:$FZ$601,166,Sync!$D$12)),0),"")</f>
        <v/>
      </c>
      <c r="C4217" s="17">
        <f>IF(B4217="","","brand")</f>
        <v/>
      </c>
      <c r="D4217" s="17">
        <f>IF(B4217="","",IFERROR(INDEX(Clay_Brands!$A$2:$FZ$601,166,Sync!$D$5)&amp;"",""))</f>
        <v/>
      </c>
      <c r="E4217" s="17">
        <f>IF(B4217="","",IFERROR(INDEX(Clay_Brands!$A$2:$FZ$601,166,Sync!$D$6)&amp;"",""))</f>
        <v/>
      </c>
      <c r="F4217" s="17">
        <f>IF(B4217="","","outreach_sent")</f>
        <v/>
      </c>
      <c r="G4217" s="17">
        <f>IF(B4217="","","")</f>
        <v/>
      </c>
      <c r="H4217" s="17">
        <f>IF(B4217="","","")</f>
        <v/>
      </c>
      <c r="I4217" s="17">
        <f>IF(B4217="","","")</f>
        <v/>
      </c>
      <c r="J4217" s="17">
        <f>IF(B4217="","","touch_2; "&amp;IFERROR(INDEX(Clay_Brands!$A$2:$FZ$601,166,Sync!$D$10)&amp;"","")&amp;"; "&amp;IFERROR(INDEX(Clay_Brands!$A$2:$FZ$601,166,Sync!$D$9)&amp;"",""))</f>
        <v/>
      </c>
      <c r="K4217" t="inlineStr">
        <is>
          <t>brand outreach touch 2</t>
        </is>
      </c>
    </row>
    <row r="4218">
      <c r="A4218" s="17">
        <f>IF(B4218="","",B4218+(16*1000+167)/10000000)</f>
        <v/>
      </c>
      <c r="B4218" s="23">
        <f>IF(AND(IFERROR(N(INDEX(Clay_Brands!$A$2:$FZ$601,167,Sync!$D$12)),0)&gt;0,IFERROR(INDEX(Clay_Brands!$A$2:$FZ$601,167,Sync!$D$5)&amp;"","")&lt;&gt;"",OR(LEFT(IFERROR(INDEX(Clay_Brands!$A$2:$FZ$601,167,Sync!$D$5)&amp;"",""),6)&lt;&gt;"SAMPLE",Config!$B$19="Y")),IFERROR(N(INDEX(Clay_Brands!$A$2:$FZ$601,167,Sync!$D$12)),0),"")</f>
        <v/>
      </c>
      <c r="C4218" s="17">
        <f>IF(B4218="","","brand")</f>
        <v/>
      </c>
      <c r="D4218" s="17">
        <f>IF(B4218="","",IFERROR(INDEX(Clay_Brands!$A$2:$FZ$601,167,Sync!$D$5)&amp;"",""))</f>
        <v/>
      </c>
      <c r="E4218" s="17">
        <f>IF(B4218="","",IFERROR(INDEX(Clay_Brands!$A$2:$FZ$601,167,Sync!$D$6)&amp;"",""))</f>
        <v/>
      </c>
      <c r="F4218" s="17">
        <f>IF(B4218="","","outreach_sent")</f>
        <v/>
      </c>
      <c r="G4218" s="17">
        <f>IF(B4218="","","")</f>
        <v/>
      </c>
      <c r="H4218" s="17">
        <f>IF(B4218="","","")</f>
        <v/>
      </c>
      <c r="I4218" s="17">
        <f>IF(B4218="","","")</f>
        <v/>
      </c>
      <c r="J4218" s="17">
        <f>IF(B4218="","","touch_2; "&amp;IFERROR(INDEX(Clay_Brands!$A$2:$FZ$601,167,Sync!$D$10)&amp;"","")&amp;"; "&amp;IFERROR(INDEX(Clay_Brands!$A$2:$FZ$601,167,Sync!$D$9)&amp;"",""))</f>
        <v/>
      </c>
      <c r="K4218" t="inlineStr">
        <is>
          <t>brand outreach touch 2</t>
        </is>
      </c>
    </row>
    <row r="4219">
      <c r="A4219" s="17">
        <f>IF(B4219="","",B4219+(16*1000+168)/10000000)</f>
        <v/>
      </c>
      <c r="B4219" s="23">
        <f>IF(AND(IFERROR(N(INDEX(Clay_Brands!$A$2:$FZ$601,168,Sync!$D$12)),0)&gt;0,IFERROR(INDEX(Clay_Brands!$A$2:$FZ$601,168,Sync!$D$5)&amp;"","")&lt;&gt;"",OR(LEFT(IFERROR(INDEX(Clay_Brands!$A$2:$FZ$601,168,Sync!$D$5)&amp;"",""),6)&lt;&gt;"SAMPLE",Config!$B$19="Y")),IFERROR(N(INDEX(Clay_Brands!$A$2:$FZ$601,168,Sync!$D$12)),0),"")</f>
        <v/>
      </c>
      <c r="C4219" s="17">
        <f>IF(B4219="","","brand")</f>
        <v/>
      </c>
      <c r="D4219" s="17">
        <f>IF(B4219="","",IFERROR(INDEX(Clay_Brands!$A$2:$FZ$601,168,Sync!$D$5)&amp;"",""))</f>
        <v/>
      </c>
      <c r="E4219" s="17">
        <f>IF(B4219="","",IFERROR(INDEX(Clay_Brands!$A$2:$FZ$601,168,Sync!$D$6)&amp;"",""))</f>
        <v/>
      </c>
      <c r="F4219" s="17">
        <f>IF(B4219="","","outreach_sent")</f>
        <v/>
      </c>
      <c r="G4219" s="17">
        <f>IF(B4219="","","")</f>
        <v/>
      </c>
      <c r="H4219" s="17">
        <f>IF(B4219="","","")</f>
        <v/>
      </c>
      <c r="I4219" s="17">
        <f>IF(B4219="","","")</f>
        <v/>
      </c>
      <c r="J4219" s="17">
        <f>IF(B4219="","","touch_2; "&amp;IFERROR(INDEX(Clay_Brands!$A$2:$FZ$601,168,Sync!$D$10)&amp;"","")&amp;"; "&amp;IFERROR(INDEX(Clay_Brands!$A$2:$FZ$601,168,Sync!$D$9)&amp;"",""))</f>
        <v/>
      </c>
      <c r="K4219" t="inlineStr">
        <is>
          <t>brand outreach touch 2</t>
        </is>
      </c>
    </row>
    <row r="4220">
      <c r="A4220" s="17">
        <f>IF(B4220="","",B4220+(16*1000+169)/10000000)</f>
        <v/>
      </c>
      <c r="B4220" s="23">
        <f>IF(AND(IFERROR(N(INDEX(Clay_Brands!$A$2:$FZ$601,169,Sync!$D$12)),0)&gt;0,IFERROR(INDEX(Clay_Brands!$A$2:$FZ$601,169,Sync!$D$5)&amp;"","")&lt;&gt;"",OR(LEFT(IFERROR(INDEX(Clay_Brands!$A$2:$FZ$601,169,Sync!$D$5)&amp;"",""),6)&lt;&gt;"SAMPLE",Config!$B$19="Y")),IFERROR(N(INDEX(Clay_Brands!$A$2:$FZ$601,169,Sync!$D$12)),0),"")</f>
        <v/>
      </c>
      <c r="C4220" s="17">
        <f>IF(B4220="","","brand")</f>
        <v/>
      </c>
      <c r="D4220" s="17">
        <f>IF(B4220="","",IFERROR(INDEX(Clay_Brands!$A$2:$FZ$601,169,Sync!$D$5)&amp;"",""))</f>
        <v/>
      </c>
      <c r="E4220" s="17">
        <f>IF(B4220="","",IFERROR(INDEX(Clay_Brands!$A$2:$FZ$601,169,Sync!$D$6)&amp;"",""))</f>
        <v/>
      </c>
      <c r="F4220" s="17">
        <f>IF(B4220="","","outreach_sent")</f>
        <v/>
      </c>
      <c r="G4220" s="17">
        <f>IF(B4220="","","")</f>
        <v/>
      </c>
      <c r="H4220" s="17">
        <f>IF(B4220="","","")</f>
        <v/>
      </c>
      <c r="I4220" s="17">
        <f>IF(B4220="","","")</f>
        <v/>
      </c>
      <c r="J4220" s="17">
        <f>IF(B4220="","","touch_2; "&amp;IFERROR(INDEX(Clay_Brands!$A$2:$FZ$601,169,Sync!$D$10)&amp;"","")&amp;"; "&amp;IFERROR(INDEX(Clay_Brands!$A$2:$FZ$601,169,Sync!$D$9)&amp;"",""))</f>
        <v/>
      </c>
      <c r="K4220" t="inlineStr">
        <is>
          <t>brand outreach touch 2</t>
        </is>
      </c>
    </row>
    <row r="4221">
      <c r="A4221" s="17">
        <f>IF(B4221="","",B4221+(16*1000+170)/10000000)</f>
        <v/>
      </c>
      <c r="B4221" s="23">
        <f>IF(AND(IFERROR(N(INDEX(Clay_Brands!$A$2:$FZ$601,170,Sync!$D$12)),0)&gt;0,IFERROR(INDEX(Clay_Brands!$A$2:$FZ$601,170,Sync!$D$5)&amp;"","")&lt;&gt;"",OR(LEFT(IFERROR(INDEX(Clay_Brands!$A$2:$FZ$601,170,Sync!$D$5)&amp;"",""),6)&lt;&gt;"SAMPLE",Config!$B$19="Y")),IFERROR(N(INDEX(Clay_Brands!$A$2:$FZ$601,170,Sync!$D$12)),0),"")</f>
        <v/>
      </c>
      <c r="C4221" s="17">
        <f>IF(B4221="","","brand")</f>
        <v/>
      </c>
      <c r="D4221" s="17">
        <f>IF(B4221="","",IFERROR(INDEX(Clay_Brands!$A$2:$FZ$601,170,Sync!$D$5)&amp;"",""))</f>
        <v/>
      </c>
      <c r="E4221" s="17">
        <f>IF(B4221="","",IFERROR(INDEX(Clay_Brands!$A$2:$FZ$601,170,Sync!$D$6)&amp;"",""))</f>
        <v/>
      </c>
      <c r="F4221" s="17">
        <f>IF(B4221="","","outreach_sent")</f>
        <v/>
      </c>
      <c r="G4221" s="17">
        <f>IF(B4221="","","")</f>
        <v/>
      </c>
      <c r="H4221" s="17">
        <f>IF(B4221="","","")</f>
        <v/>
      </c>
      <c r="I4221" s="17">
        <f>IF(B4221="","","")</f>
        <v/>
      </c>
      <c r="J4221" s="17">
        <f>IF(B4221="","","touch_2; "&amp;IFERROR(INDEX(Clay_Brands!$A$2:$FZ$601,170,Sync!$D$10)&amp;"","")&amp;"; "&amp;IFERROR(INDEX(Clay_Brands!$A$2:$FZ$601,170,Sync!$D$9)&amp;"",""))</f>
        <v/>
      </c>
      <c r="K4221" t="inlineStr">
        <is>
          <t>brand outreach touch 2</t>
        </is>
      </c>
    </row>
    <row r="4222">
      <c r="A4222" s="17">
        <f>IF(B4222="","",B4222+(16*1000+171)/10000000)</f>
        <v/>
      </c>
      <c r="B4222" s="23">
        <f>IF(AND(IFERROR(N(INDEX(Clay_Brands!$A$2:$FZ$601,171,Sync!$D$12)),0)&gt;0,IFERROR(INDEX(Clay_Brands!$A$2:$FZ$601,171,Sync!$D$5)&amp;"","")&lt;&gt;"",OR(LEFT(IFERROR(INDEX(Clay_Brands!$A$2:$FZ$601,171,Sync!$D$5)&amp;"",""),6)&lt;&gt;"SAMPLE",Config!$B$19="Y")),IFERROR(N(INDEX(Clay_Brands!$A$2:$FZ$601,171,Sync!$D$12)),0),"")</f>
        <v/>
      </c>
      <c r="C4222" s="17">
        <f>IF(B4222="","","brand")</f>
        <v/>
      </c>
      <c r="D4222" s="17">
        <f>IF(B4222="","",IFERROR(INDEX(Clay_Brands!$A$2:$FZ$601,171,Sync!$D$5)&amp;"",""))</f>
        <v/>
      </c>
      <c r="E4222" s="17">
        <f>IF(B4222="","",IFERROR(INDEX(Clay_Brands!$A$2:$FZ$601,171,Sync!$D$6)&amp;"",""))</f>
        <v/>
      </c>
      <c r="F4222" s="17">
        <f>IF(B4222="","","outreach_sent")</f>
        <v/>
      </c>
      <c r="G4222" s="17">
        <f>IF(B4222="","","")</f>
        <v/>
      </c>
      <c r="H4222" s="17">
        <f>IF(B4222="","","")</f>
        <v/>
      </c>
      <c r="I4222" s="17">
        <f>IF(B4222="","","")</f>
        <v/>
      </c>
      <c r="J4222" s="17">
        <f>IF(B4222="","","touch_2; "&amp;IFERROR(INDEX(Clay_Brands!$A$2:$FZ$601,171,Sync!$D$10)&amp;"","")&amp;"; "&amp;IFERROR(INDEX(Clay_Brands!$A$2:$FZ$601,171,Sync!$D$9)&amp;"",""))</f>
        <v/>
      </c>
      <c r="K4222" t="inlineStr">
        <is>
          <t>brand outreach touch 2</t>
        </is>
      </c>
    </row>
    <row r="4223">
      <c r="A4223" s="17">
        <f>IF(B4223="","",B4223+(16*1000+172)/10000000)</f>
        <v/>
      </c>
      <c r="B4223" s="23">
        <f>IF(AND(IFERROR(N(INDEX(Clay_Brands!$A$2:$FZ$601,172,Sync!$D$12)),0)&gt;0,IFERROR(INDEX(Clay_Brands!$A$2:$FZ$601,172,Sync!$D$5)&amp;"","")&lt;&gt;"",OR(LEFT(IFERROR(INDEX(Clay_Brands!$A$2:$FZ$601,172,Sync!$D$5)&amp;"",""),6)&lt;&gt;"SAMPLE",Config!$B$19="Y")),IFERROR(N(INDEX(Clay_Brands!$A$2:$FZ$601,172,Sync!$D$12)),0),"")</f>
        <v/>
      </c>
      <c r="C4223" s="17">
        <f>IF(B4223="","","brand")</f>
        <v/>
      </c>
      <c r="D4223" s="17">
        <f>IF(B4223="","",IFERROR(INDEX(Clay_Brands!$A$2:$FZ$601,172,Sync!$D$5)&amp;"",""))</f>
        <v/>
      </c>
      <c r="E4223" s="17">
        <f>IF(B4223="","",IFERROR(INDEX(Clay_Brands!$A$2:$FZ$601,172,Sync!$D$6)&amp;"",""))</f>
        <v/>
      </c>
      <c r="F4223" s="17">
        <f>IF(B4223="","","outreach_sent")</f>
        <v/>
      </c>
      <c r="G4223" s="17">
        <f>IF(B4223="","","")</f>
        <v/>
      </c>
      <c r="H4223" s="17">
        <f>IF(B4223="","","")</f>
        <v/>
      </c>
      <c r="I4223" s="17">
        <f>IF(B4223="","","")</f>
        <v/>
      </c>
      <c r="J4223" s="17">
        <f>IF(B4223="","","touch_2; "&amp;IFERROR(INDEX(Clay_Brands!$A$2:$FZ$601,172,Sync!$D$10)&amp;"","")&amp;"; "&amp;IFERROR(INDEX(Clay_Brands!$A$2:$FZ$601,172,Sync!$D$9)&amp;"",""))</f>
        <v/>
      </c>
      <c r="K4223" t="inlineStr">
        <is>
          <t>brand outreach touch 2</t>
        </is>
      </c>
    </row>
    <row r="4224">
      <c r="A4224" s="17">
        <f>IF(B4224="","",B4224+(16*1000+173)/10000000)</f>
        <v/>
      </c>
      <c r="B4224" s="23">
        <f>IF(AND(IFERROR(N(INDEX(Clay_Brands!$A$2:$FZ$601,173,Sync!$D$12)),0)&gt;0,IFERROR(INDEX(Clay_Brands!$A$2:$FZ$601,173,Sync!$D$5)&amp;"","")&lt;&gt;"",OR(LEFT(IFERROR(INDEX(Clay_Brands!$A$2:$FZ$601,173,Sync!$D$5)&amp;"",""),6)&lt;&gt;"SAMPLE",Config!$B$19="Y")),IFERROR(N(INDEX(Clay_Brands!$A$2:$FZ$601,173,Sync!$D$12)),0),"")</f>
        <v/>
      </c>
      <c r="C4224" s="17">
        <f>IF(B4224="","","brand")</f>
        <v/>
      </c>
      <c r="D4224" s="17">
        <f>IF(B4224="","",IFERROR(INDEX(Clay_Brands!$A$2:$FZ$601,173,Sync!$D$5)&amp;"",""))</f>
        <v/>
      </c>
      <c r="E4224" s="17">
        <f>IF(B4224="","",IFERROR(INDEX(Clay_Brands!$A$2:$FZ$601,173,Sync!$D$6)&amp;"",""))</f>
        <v/>
      </c>
      <c r="F4224" s="17">
        <f>IF(B4224="","","outreach_sent")</f>
        <v/>
      </c>
      <c r="G4224" s="17">
        <f>IF(B4224="","","")</f>
        <v/>
      </c>
      <c r="H4224" s="17">
        <f>IF(B4224="","","")</f>
        <v/>
      </c>
      <c r="I4224" s="17">
        <f>IF(B4224="","","")</f>
        <v/>
      </c>
      <c r="J4224" s="17">
        <f>IF(B4224="","","touch_2; "&amp;IFERROR(INDEX(Clay_Brands!$A$2:$FZ$601,173,Sync!$D$10)&amp;"","")&amp;"; "&amp;IFERROR(INDEX(Clay_Brands!$A$2:$FZ$601,173,Sync!$D$9)&amp;"",""))</f>
        <v/>
      </c>
      <c r="K4224" t="inlineStr">
        <is>
          <t>brand outreach touch 2</t>
        </is>
      </c>
    </row>
    <row r="4225">
      <c r="A4225" s="17">
        <f>IF(B4225="","",B4225+(16*1000+174)/10000000)</f>
        <v/>
      </c>
      <c r="B4225" s="23">
        <f>IF(AND(IFERROR(N(INDEX(Clay_Brands!$A$2:$FZ$601,174,Sync!$D$12)),0)&gt;0,IFERROR(INDEX(Clay_Brands!$A$2:$FZ$601,174,Sync!$D$5)&amp;"","")&lt;&gt;"",OR(LEFT(IFERROR(INDEX(Clay_Brands!$A$2:$FZ$601,174,Sync!$D$5)&amp;"",""),6)&lt;&gt;"SAMPLE",Config!$B$19="Y")),IFERROR(N(INDEX(Clay_Brands!$A$2:$FZ$601,174,Sync!$D$12)),0),"")</f>
        <v/>
      </c>
      <c r="C4225" s="17">
        <f>IF(B4225="","","brand")</f>
        <v/>
      </c>
      <c r="D4225" s="17">
        <f>IF(B4225="","",IFERROR(INDEX(Clay_Brands!$A$2:$FZ$601,174,Sync!$D$5)&amp;"",""))</f>
        <v/>
      </c>
      <c r="E4225" s="17">
        <f>IF(B4225="","",IFERROR(INDEX(Clay_Brands!$A$2:$FZ$601,174,Sync!$D$6)&amp;"",""))</f>
        <v/>
      </c>
      <c r="F4225" s="17">
        <f>IF(B4225="","","outreach_sent")</f>
        <v/>
      </c>
      <c r="G4225" s="17">
        <f>IF(B4225="","","")</f>
        <v/>
      </c>
      <c r="H4225" s="17">
        <f>IF(B4225="","","")</f>
        <v/>
      </c>
      <c r="I4225" s="17">
        <f>IF(B4225="","","")</f>
        <v/>
      </c>
      <c r="J4225" s="17">
        <f>IF(B4225="","","touch_2; "&amp;IFERROR(INDEX(Clay_Brands!$A$2:$FZ$601,174,Sync!$D$10)&amp;"","")&amp;"; "&amp;IFERROR(INDEX(Clay_Brands!$A$2:$FZ$601,174,Sync!$D$9)&amp;"",""))</f>
        <v/>
      </c>
      <c r="K4225" t="inlineStr">
        <is>
          <t>brand outreach touch 2</t>
        </is>
      </c>
    </row>
    <row r="4226">
      <c r="A4226" s="17">
        <f>IF(B4226="","",B4226+(16*1000+175)/10000000)</f>
        <v/>
      </c>
      <c r="B4226" s="23">
        <f>IF(AND(IFERROR(N(INDEX(Clay_Brands!$A$2:$FZ$601,175,Sync!$D$12)),0)&gt;0,IFERROR(INDEX(Clay_Brands!$A$2:$FZ$601,175,Sync!$D$5)&amp;"","")&lt;&gt;"",OR(LEFT(IFERROR(INDEX(Clay_Brands!$A$2:$FZ$601,175,Sync!$D$5)&amp;"",""),6)&lt;&gt;"SAMPLE",Config!$B$19="Y")),IFERROR(N(INDEX(Clay_Brands!$A$2:$FZ$601,175,Sync!$D$12)),0),"")</f>
        <v/>
      </c>
      <c r="C4226" s="17">
        <f>IF(B4226="","","brand")</f>
        <v/>
      </c>
      <c r="D4226" s="17">
        <f>IF(B4226="","",IFERROR(INDEX(Clay_Brands!$A$2:$FZ$601,175,Sync!$D$5)&amp;"",""))</f>
        <v/>
      </c>
      <c r="E4226" s="17">
        <f>IF(B4226="","",IFERROR(INDEX(Clay_Brands!$A$2:$FZ$601,175,Sync!$D$6)&amp;"",""))</f>
        <v/>
      </c>
      <c r="F4226" s="17">
        <f>IF(B4226="","","outreach_sent")</f>
        <v/>
      </c>
      <c r="G4226" s="17">
        <f>IF(B4226="","","")</f>
        <v/>
      </c>
      <c r="H4226" s="17">
        <f>IF(B4226="","","")</f>
        <v/>
      </c>
      <c r="I4226" s="17">
        <f>IF(B4226="","","")</f>
        <v/>
      </c>
      <c r="J4226" s="17">
        <f>IF(B4226="","","touch_2; "&amp;IFERROR(INDEX(Clay_Brands!$A$2:$FZ$601,175,Sync!$D$10)&amp;"","")&amp;"; "&amp;IFERROR(INDEX(Clay_Brands!$A$2:$FZ$601,175,Sync!$D$9)&amp;"",""))</f>
        <v/>
      </c>
      <c r="K4226" t="inlineStr">
        <is>
          <t>brand outreach touch 2</t>
        </is>
      </c>
    </row>
    <row r="4227">
      <c r="A4227" s="17">
        <f>IF(B4227="","",B4227+(16*1000+176)/10000000)</f>
        <v/>
      </c>
      <c r="B4227" s="23">
        <f>IF(AND(IFERROR(N(INDEX(Clay_Brands!$A$2:$FZ$601,176,Sync!$D$12)),0)&gt;0,IFERROR(INDEX(Clay_Brands!$A$2:$FZ$601,176,Sync!$D$5)&amp;"","")&lt;&gt;"",OR(LEFT(IFERROR(INDEX(Clay_Brands!$A$2:$FZ$601,176,Sync!$D$5)&amp;"",""),6)&lt;&gt;"SAMPLE",Config!$B$19="Y")),IFERROR(N(INDEX(Clay_Brands!$A$2:$FZ$601,176,Sync!$D$12)),0),"")</f>
        <v/>
      </c>
      <c r="C4227" s="17">
        <f>IF(B4227="","","brand")</f>
        <v/>
      </c>
      <c r="D4227" s="17">
        <f>IF(B4227="","",IFERROR(INDEX(Clay_Brands!$A$2:$FZ$601,176,Sync!$D$5)&amp;"",""))</f>
        <v/>
      </c>
      <c r="E4227" s="17">
        <f>IF(B4227="","",IFERROR(INDEX(Clay_Brands!$A$2:$FZ$601,176,Sync!$D$6)&amp;"",""))</f>
        <v/>
      </c>
      <c r="F4227" s="17">
        <f>IF(B4227="","","outreach_sent")</f>
        <v/>
      </c>
      <c r="G4227" s="17">
        <f>IF(B4227="","","")</f>
        <v/>
      </c>
      <c r="H4227" s="17">
        <f>IF(B4227="","","")</f>
        <v/>
      </c>
      <c r="I4227" s="17">
        <f>IF(B4227="","","")</f>
        <v/>
      </c>
      <c r="J4227" s="17">
        <f>IF(B4227="","","touch_2; "&amp;IFERROR(INDEX(Clay_Brands!$A$2:$FZ$601,176,Sync!$D$10)&amp;"","")&amp;"; "&amp;IFERROR(INDEX(Clay_Brands!$A$2:$FZ$601,176,Sync!$D$9)&amp;"",""))</f>
        <v/>
      </c>
      <c r="K4227" t="inlineStr">
        <is>
          <t>brand outreach touch 2</t>
        </is>
      </c>
    </row>
    <row r="4228">
      <c r="A4228" s="17">
        <f>IF(B4228="","",B4228+(16*1000+177)/10000000)</f>
        <v/>
      </c>
      <c r="B4228" s="23">
        <f>IF(AND(IFERROR(N(INDEX(Clay_Brands!$A$2:$FZ$601,177,Sync!$D$12)),0)&gt;0,IFERROR(INDEX(Clay_Brands!$A$2:$FZ$601,177,Sync!$D$5)&amp;"","")&lt;&gt;"",OR(LEFT(IFERROR(INDEX(Clay_Brands!$A$2:$FZ$601,177,Sync!$D$5)&amp;"",""),6)&lt;&gt;"SAMPLE",Config!$B$19="Y")),IFERROR(N(INDEX(Clay_Brands!$A$2:$FZ$601,177,Sync!$D$12)),0),"")</f>
        <v/>
      </c>
      <c r="C4228" s="17">
        <f>IF(B4228="","","brand")</f>
        <v/>
      </c>
      <c r="D4228" s="17">
        <f>IF(B4228="","",IFERROR(INDEX(Clay_Brands!$A$2:$FZ$601,177,Sync!$D$5)&amp;"",""))</f>
        <v/>
      </c>
      <c r="E4228" s="17">
        <f>IF(B4228="","",IFERROR(INDEX(Clay_Brands!$A$2:$FZ$601,177,Sync!$D$6)&amp;"",""))</f>
        <v/>
      </c>
      <c r="F4228" s="17">
        <f>IF(B4228="","","outreach_sent")</f>
        <v/>
      </c>
      <c r="G4228" s="17">
        <f>IF(B4228="","","")</f>
        <v/>
      </c>
      <c r="H4228" s="17">
        <f>IF(B4228="","","")</f>
        <v/>
      </c>
      <c r="I4228" s="17">
        <f>IF(B4228="","","")</f>
        <v/>
      </c>
      <c r="J4228" s="17">
        <f>IF(B4228="","","touch_2; "&amp;IFERROR(INDEX(Clay_Brands!$A$2:$FZ$601,177,Sync!$D$10)&amp;"","")&amp;"; "&amp;IFERROR(INDEX(Clay_Brands!$A$2:$FZ$601,177,Sync!$D$9)&amp;"",""))</f>
        <v/>
      </c>
      <c r="K4228" t="inlineStr">
        <is>
          <t>brand outreach touch 2</t>
        </is>
      </c>
    </row>
    <row r="4229">
      <c r="A4229" s="17">
        <f>IF(B4229="","",B4229+(16*1000+178)/10000000)</f>
        <v/>
      </c>
      <c r="B4229" s="23">
        <f>IF(AND(IFERROR(N(INDEX(Clay_Brands!$A$2:$FZ$601,178,Sync!$D$12)),0)&gt;0,IFERROR(INDEX(Clay_Brands!$A$2:$FZ$601,178,Sync!$D$5)&amp;"","")&lt;&gt;"",OR(LEFT(IFERROR(INDEX(Clay_Brands!$A$2:$FZ$601,178,Sync!$D$5)&amp;"",""),6)&lt;&gt;"SAMPLE",Config!$B$19="Y")),IFERROR(N(INDEX(Clay_Brands!$A$2:$FZ$601,178,Sync!$D$12)),0),"")</f>
        <v/>
      </c>
      <c r="C4229" s="17">
        <f>IF(B4229="","","brand")</f>
        <v/>
      </c>
      <c r="D4229" s="17">
        <f>IF(B4229="","",IFERROR(INDEX(Clay_Brands!$A$2:$FZ$601,178,Sync!$D$5)&amp;"",""))</f>
        <v/>
      </c>
      <c r="E4229" s="17">
        <f>IF(B4229="","",IFERROR(INDEX(Clay_Brands!$A$2:$FZ$601,178,Sync!$D$6)&amp;"",""))</f>
        <v/>
      </c>
      <c r="F4229" s="17">
        <f>IF(B4229="","","outreach_sent")</f>
        <v/>
      </c>
      <c r="G4229" s="17">
        <f>IF(B4229="","","")</f>
        <v/>
      </c>
      <c r="H4229" s="17">
        <f>IF(B4229="","","")</f>
        <v/>
      </c>
      <c r="I4229" s="17">
        <f>IF(B4229="","","")</f>
        <v/>
      </c>
      <c r="J4229" s="17">
        <f>IF(B4229="","","touch_2; "&amp;IFERROR(INDEX(Clay_Brands!$A$2:$FZ$601,178,Sync!$D$10)&amp;"","")&amp;"; "&amp;IFERROR(INDEX(Clay_Brands!$A$2:$FZ$601,178,Sync!$D$9)&amp;"",""))</f>
        <v/>
      </c>
      <c r="K4229" t="inlineStr">
        <is>
          <t>brand outreach touch 2</t>
        </is>
      </c>
    </row>
    <row r="4230">
      <c r="A4230" s="17">
        <f>IF(B4230="","",B4230+(16*1000+179)/10000000)</f>
        <v/>
      </c>
      <c r="B4230" s="23">
        <f>IF(AND(IFERROR(N(INDEX(Clay_Brands!$A$2:$FZ$601,179,Sync!$D$12)),0)&gt;0,IFERROR(INDEX(Clay_Brands!$A$2:$FZ$601,179,Sync!$D$5)&amp;"","")&lt;&gt;"",OR(LEFT(IFERROR(INDEX(Clay_Brands!$A$2:$FZ$601,179,Sync!$D$5)&amp;"",""),6)&lt;&gt;"SAMPLE",Config!$B$19="Y")),IFERROR(N(INDEX(Clay_Brands!$A$2:$FZ$601,179,Sync!$D$12)),0),"")</f>
        <v/>
      </c>
      <c r="C4230" s="17">
        <f>IF(B4230="","","brand")</f>
        <v/>
      </c>
      <c r="D4230" s="17">
        <f>IF(B4230="","",IFERROR(INDEX(Clay_Brands!$A$2:$FZ$601,179,Sync!$D$5)&amp;"",""))</f>
        <v/>
      </c>
      <c r="E4230" s="17">
        <f>IF(B4230="","",IFERROR(INDEX(Clay_Brands!$A$2:$FZ$601,179,Sync!$D$6)&amp;"",""))</f>
        <v/>
      </c>
      <c r="F4230" s="17">
        <f>IF(B4230="","","outreach_sent")</f>
        <v/>
      </c>
      <c r="G4230" s="17">
        <f>IF(B4230="","","")</f>
        <v/>
      </c>
      <c r="H4230" s="17">
        <f>IF(B4230="","","")</f>
        <v/>
      </c>
      <c r="I4230" s="17">
        <f>IF(B4230="","","")</f>
        <v/>
      </c>
      <c r="J4230" s="17">
        <f>IF(B4230="","","touch_2; "&amp;IFERROR(INDEX(Clay_Brands!$A$2:$FZ$601,179,Sync!$D$10)&amp;"","")&amp;"; "&amp;IFERROR(INDEX(Clay_Brands!$A$2:$FZ$601,179,Sync!$D$9)&amp;"",""))</f>
        <v/>
      </c>
      <c r="K4230" t="inlineStr">
        <is>
          <t>brand outreach touch 2</t>
        </is>
      </c>
    </row>
    <row r="4231">
      <c r="A4231" s="17">
        <f>IF(B4231="","",B4231+(16*1000+180)/10000000)</f>
        <v/>
      </c>
      <c r="B4231" s="23">
        <f>IF(AND(IFERROR(N(INDEX(Clay_Brands!$A$2:$FZ$601,180,Sync!$D$12)),0)&gt;0,IFERROR(INDEX(Clay_Brands!$A$2:$FZ$601,180,Sync!$D$5)&amp;"","")&lt;&gt;"",OR(LEFT(IFERROR(INDEX(Clay_Brands!$A$2:$FZ$601,180,Sync!$D$5)&amp;"",""),6)&lt;&gt;"SAMPLE",Config!$B$19="Y")),IFERROR(N(INDEX(Clay_Brands!$A$2:$FZ$601,180,Sync!$D$12)),0),"")</f>
        <v/>
      </c>
      <c r="C4231" s="17">
        <f>IF(B4231="","","brand")</f>
        <v/>
      </c>
      <c r="D4231" s="17">
        <f>IF(B4231="","",IFERROR(INDEX(Clay_Brands!$A$2:$FZ$601,180,Sync!$D$5)&amp;"",""))</f>
        <v/>
      </c>
      <c r="E4231" s="17">
        <f>IF(B4231="","",IFERROR(INDEX(Clay_Brands!$A$2:$FZ$601,180,Sync!$D$6)&amp;"",""))</f>
        <v/>
      </c>
      <c r="F4231" s="17">
        <f>IF(B4231="","","outreach_sent")</f>
        <v/>
      </c>
      <c r="G4231" s="17">
        <f>IF(B4231="","","")</f>
        <v/>
      </c>
      <c r="H4231" s="17">
        <f>IF(B4231="","","")</f>
        <v/>
      </c>
      <c r="I4231" s="17">
        <f>IF(B4231="","","")</f>
        <v/>
      </c>
      <c r="J4231" s="17">
        <f>IF(B4231="","","touch_2; "&amp;IFERROR(INDEX(Clay_Brands!$A$2:$FZ$601,180,Sync!$D$10)&amp;"","")&amp;"; "&amp;IFERROR(INDEX(Clay_Brands!$A$2:$FZ$601,180,Sync!$D$9)&amp;"",""))</f>
        <v/>
      </c>
      <c r="K4231" t="inlineStr">
        <is>
          <t>brand outreach touch 2</t>
        </is>
      </c>
    </row>
    <row r="4232">
      <c r="A4232" s="17">
        <f>IF(B4232="","",B4232+(16*1000+181)/10000000)</f>
        <v/>
      </c>
      <c r="B4232" s="23">
        <f>IF(AND(IFERROR(N(INDEX(Clay_Brands!$A$2:$FZ$601,181,Sync!$D$12)),0)&gt;0,IFERROR(INDEX(Clay_Brands!$A$2:$FZ$601,181,Sync!$D$5)&amp;"","")&lt;&gt;"",OR(LEFT(IFERROR(INDEX(Clay_Brands!$A$2:$FZ$601,181,Sync!$D$5)&amp;"",""),6)&lt;&gt;"SAMPLE",Config!$B$19="Y")),IFERROR(N(INDEX(Clay_Brands!$A$2:$FZ$601,181,Sync!$D$12)),0),"")</f>
        <v/>
      </c>
      <c r="C4232" s="17">
        <f>IF(B4232="","","brand")</f>
        <v/>
      </c>
      <c r="D4232" s="17">
        <f>IF(B4232="","",IFERROR(INDEX(Clay_Brands!$A$2:$FZ$601,181,Sync!$D$5)&amp;"",""))</f>
        <v/>
      </c>
      <c r="E4232" s="17">
        <f>IF(B4232="","",IFERROR(INDEX(Clay_Brands!$A$2:$FZ$601,181,Sync!$D$6)&amp;"",""))</f>
        <v/>
      </c>
      <c r="F4232" s="17">
        <f>IF(B4232="","","outreach_sent")</f>
        <v/>
      </c>
      <c r="G4232" s="17">
        <f>IF(B4232="","","")</f>
        <v/>
      </c>
      <c r="H4232" s="17">
        <f>IF(B4232="","","")</f>
        <v/>
      </c>
      <c r="I4232" s="17">
        <f>IF(B4232="","","")</f>
        <v/>
      </c>
      <c r="J4232" s="17">
        <f>IF(B4232="","","touch_2; "&amp;IFERROR(INDEX(Clay_Brands!$A$2:$FZ$601,181,Sync!$D$10)&amp;"","")&amp;"; "&amp;IFERROR(INDEX(Clay_Brands!$A$2:$FZ$601,181,Sync!$D$9)&amp;"",""))</f>
        <v/>
      </c>
      <c r="K4232" t="inlineStr">
        <is>
          <t>brand outreach touch 2</t>
        </is>
      </c>
    </row>
    <row r="4233">
      <c r="A4233" s="17">
        <f>IF(B4233="","",B4233+(16*1000+182)/10000000)</f>
        <v/>
      </c>
      <c r="B4233" s="23">
        <f>IF(AND(IFERROR(N(INDEX(Clay_Brands!$A$2:$FZ$601,182,Sync!$D$12)),0)&gt;0,IFERROR(INDEX(Clay_Brands!$A$2:$FZ$601,182,Sync!$D$5)&amp;"","")&lt;&gt;"",OR(LEFT(IFERROR(INDEX(Clay_Brands!$A$2:$FZ$601,182,Sync!$D$5)&amp;"",""),6)&lt;&gt;"SAMPLE",Config!$B$19="Y")),IFERROR(N(INDEX(Clay_Brands!$A$2:$FZ$601,182,Sync!$D$12)),0),"")</f>
        <v/>
      </c>
      <c r="C4233" s="17">
        <f>IF(B4233="","","brand")</f>
        <v/>
      </c>
      <c r="D4233" s="17">
        <f>IF(B4233="","",IFERROR(INDEX(Clay_Brands!$A$2:$FZ$601,182,Sync!$D$5)&amp;"",""))</f>
        <v/>
      </c>
      <c r="E4233" s="17">
        <f>IF(B4233="","",IFERROR(INDEX(Clay_Brands!$A$2:$FZ$601,182,Sync!$D$6)&amp;"",""))</f>
        <v/>
      </c>
      <c r="F4233" s="17">
        <f>IF(B4233="","","outreach_sent")</f>
        <v/>
      </c>
      <c r="G4233" s="17">
        <f>IF(B4233="","","")</f>
        <v/>
      </c>
      <c r="H4233" s="17">
        <f>IF(B4233="","","")</f>
        <v/>
      </c>
      <c r="I4233" s="17">
        <f>IF(B4233="","","")</f>
        <v/>
      </c>
      <c r="J4233" s="17">
        <f>IF(B4233="","","touch_2; "&amp;IFERROR(INDEX(Clay_Brands!$A$2:$FZ$601,182,Sync!$D$10)&amp;"","")&amp;"; "&amp;IFERROR(INDEX(Clay_Brands!$A$2:$FZ$601,182,Sync!$D$9)&amp;"",""))</f>
        <v/>
      </c>
      <c r="K4233" t="inlineStr">
        <is>
          <t>brand outreach touch 2</t>
        </is>
      </c>
    </row>
    <row r="4234">
      <c r="A4234" s="17">
        <f>IF(B4234="","",B4234+(16*1000+183)/10000000)</f>
        <v/>
      </c>
      <c r="B4234" s="23">
        <f>IF(AND(IFERROR(N(INDEX(Clay_Brands!$A$2:$FZ$601,183,Sync!$D$12)),0)&gt;0,IFERROR(INDEX(Clay_Brands!$A$2:$FZ$601,183,Sync!$D$5)&amp;"","")&lt;&gt;"",OR(LEFT(IFERROR(INDEX(Clay_Brands!$A$2:$FZ$601,183,Sync!$D$5)&amp;"",""),6)&lt;&gt;"SAMPLE",Config!$B$19="Y")),IFERROR(N(INDEX(Clay_Brands!$A$2:$FZ$601,183,Sync!$D$12)),0),"")</f>
        <v/>
      </c>
      <c r="C4234" s="17">
        <f>IF(B4234="","","brand")</f>
        <v/>
      </c>
      <c r="D4234" s="17">
        <f>IF(B4234="","",IFERROR(INDEX(Clay_Brands!$A$2:$FZ$601,183,Sync!$D$5)&amp;"",""))</f>
        <v/>
      </c>
      <c r="E4234" s="17">
        <f>IF(B4234="","",IFERROR(INDEX(Clay_Brands!$A$2:$FZ$601,183,Sync!$D$6)&amp;"",""))</f>
        <v/>
      </c>
      <c r="F4234" s="17">
        <f>IF(B4234="","","outreach_sent")</f>
        <v/>
      </c>
      <c r="G4234" s="17">
        <f>IF(B4234="","","")</f>
        <v/>
      </c>
      <c r="H4234" s="17">
        <f>IF(B4234="","","")</f>
        <v/>
      </c>
      <c r="I4234" s="17">
        <f>IF(B4234="","","")</f>
        <v/>
      </c>
      <c r="J4234" s="17">
        <f>IF(B4234="","","touch_2; "&amp;IFERROR(INDEX(Clay_Brands!$A$2:$FZ$601,183,Sync!$D$10)&amp;"","")&amp;"; "&amp;IFERROR(INDEX(Clay_Brands!$A$2:$FZ$601,183,Sync!$D$9)&amp;"",""))</f>
        <v/>
      </c>
      <c r="K4234" t="inlineStr">
        <is>
          <t>brand outreach touch 2</t>
        </is>
      </c>
    </row>
    <row r="4235">
      <c r="A4235" s="17">
        <f>IF(B4235="","",B4235+(16*1000+184)/10000000)</f>
        <v/>
      </c>
      <c r="B4235" s="23">
        <f>IF(AND(IFERROR(N(INDEX(Clay_Brands!$A$2:$FZ$601,184,Sync!$D$12)),0)&gt;0,IFERROR(INDEX(Clay_Brands!$A$2:$FZ$601,184,Sync!$D$5)&amp;"","")&lt;&gt;"",OR(LEFT(IFERROR(INDEX(Clay_Brands!$A$2:$FZ$601,184,Sync!$D$5)&amp;"",""),6)&lt;&gt;"SAMPLE",Config!$B$19="Y")),IFERROR(N(INDEX(Clay_Brands!$A$2:$FZ$601,184,Sync!$D$12)),0),"")</f>
        <v/>
      </c>
      <c r="C4235" s="17">
        <f>IF(B4235="","","brand")</f>
        <v/>
      </c>
      <c r="D4235" s="17">
        <f>IF(B4235="","",IFERROR(INDEX(Clay_Brands!$A$2:$FZ$601,184,Sync!$D$5)&amp;"",""))</f>
        <v/>
      </c>
      <c r="E4235" s="17">
        <f>IF(B4235="","",IFERROR(INDEX(Clay_Brands!$A$2:$FZ$601,184,Sync!$D$6)&amp;"",""))</f>
        <v/>
      </c>
      <c r="F4235" s="17">
        <f>IF(B4235="","","outreach_sent")</f>
        <v/>
      </c>
      <c r="G4235" s="17">
        <f>IF(B4235="","","")</f>
        <v/>
      </c>
      <c r="H4235" s="17">
        <f>IF(B4235="","","")</f>
        <v/>
      </c>
      <c r="I4235" s="17">
        <f>IF(B4235="","","")</f>
        <v/>
      </c>
      <c r="J4235" s="17">
        <f>IF(B4235="","","touch_2; "&amp;IFERROR(INDEX(Clay_Brands!$A$2:$FZ$601,184,Sync!$D$10)&amp;"","")&amp;"; "&amp;IFERROR(INDEX(Clay_Brands!$A$2:$FZ$601,184,Sync!$D$9)&amp;"",""))</f>
        <v/>
      </c>
      <c r="K4235" t="inlineStr">
        <is>
          <t>brand outreach touch 2</t>
        </is>
      </c>
    </row>
    <row r="4236">
      <c r="A4236" s="17">
        <f>IF(B4236="","",B4236+(16*1000+185)/10000000)</f>
        <v/>
      </c>
      <c r="B4236" s="23">
        <f>IF(AND(IFERROR(N(INDEX(Clay_Brands!$A$2:$FZ$601,185,Sync!$D$12)),0)&gt;0,IFERROR(INDEX(Clay_Brands!$A$2:$FZ$601,185,Sync!$D$5)&amp;"","")&lt;&gt;"",OR(LEFT(IFERROR(INDEX(Clay_Brands!$A$2:$FZ$601,185,Sync!$D$5)&amp;"",""),6)&lt;&gt;"SAMPLE",Config!$B$19="Y")),IFERROR(N(INDEX(Clay_Brands!$A$2:$FZ$601,185,Sync!$D$12)),0),"")</f>
        <v/>
      </c>
      <c r="C4236" s="17">
        <f>IF(B4236="","","brand")</f>
        <v/>
      </c>
      <c r="D4236" s="17">
        <f>IF(B4236="","",IFERROR(INDEX(Clay_Brands!$A$2:$FZ$601,185,Sync!$D$5)&amp;"",""))</f>
        <v/>
      </c>
      <c r="E4236" s="17">
        <f>IF(B4236="","",IFERROR(INDEX(Clay_Brands!$A$2:$FZ$601,185,Sync!$D$6)&amp;"",""))</f>
        <v/>
      </c>
      <c r="F4236" s="17">
        <f>IF(B4236="","","outreach_sent")</f>
        <v/>
      </c>
      <c r="G4236" s="17">
        <f>IF(B4236="","","")</f>
        <v/>
      </c>
      <c r="H4236" s="17">
        <f>IF(B4236="","","")</f>
        <v/>
      </c>
      <c r="I4236" s="17">
        <f>IF(B4236="","","")</f>
        <v/>
      </c>
      <c r="J4236" s="17">
        <f>IF(B4236="","","touch_2; "&amp;IFERROR(INDEX(Clay_Brands!$A$2:$FZ$601,185,Sync!$D$10)&amp;"","")&amp;"; "&amp;IFERROR(INDEX(Clay_Brands!$A$2:$FZ$601,185,Sync!$D$9)&amp;"",""))</f>
        <v/>
      </c>
      <c r="K4236" t="inlineStr">
        <is>
          <t>brand outreach touch 2</t>
        </is>
      </c>
    </row>
    <row r="4237">
      <c r="A4237" s="17">
        <f>IF(B4237="","",B4237+(16*1000+186)/10000000)</f>
        <v/>
      </c>
      <c r="B4237" s="23">
        <f>IF(AND(IFERROR(N(INDEX(Clay_Brands!$A$2:$FZ$601,186,Sync!$D$12)),0)&gt;0,IFERROR(INDEX(Clay_Brands!$A$2:$FZ$601,186,Sync!$D$5)&amp;"","")&lt;&gt;"",OR(LEFT(IFERROR(INDEX(Clay_Brands!$A$2:$FZ$601,186,Sync!$D$5)&amp;"",""),6)&lt;&gt;"SAMPLE",Config!$B$19="Y")),IFERROR(N(INDEX(Clay_Brands!$A$2:$FZ$601,186,Sync!$D$12)),0),"")</f>
        <v/>
      </c>
      <c r="C4237" s="17">
        <f>IF(B4237="","","brand")</f>
        <v/>
      </c>
      <c r="D4237" s="17">
        <f>IF(B4237="","",IFERROR(INDEX(Clay_Brands!$A$2:$FZ$601,186,Sync!$D$5)&amp;"",""))</f>
        <v/>
      </c>
      <c r="E4237" s="17">
        <f>IF(B4237="","",IFERROR(INDEX(Clay_Brands!$A$2:$FZ$601,186,Sync!$D$6)&amp;"",""))</f>
        <v/>
      </c>
      <c r="F4237" s="17">
        <f>IF(B4237="","","outreach_sent")</f>
        <v/>
      </c>
      <c r="G4237" s="17">
        <f>IF(B4237="","","")</f>
        <v/>
      </c>
      <c r="H4237" s="17">
        <f>IF(B4237="","","")</f>
        <v/>
      </c>
      <c r="I4237" s="17">
        <f>IF(B4237="","","")</f>
        <v/>
      </c>
      <c r="J4237" s="17">
        <f>IF(B4237="","","touch_2; "&amp;IFERROR(INDEX(Clay_Brands!$A$2:$FZ$601,186,Sync!$D$10)&amp;"","")&amp;"; "&amp;IFERROR(INDEX(Clay_Brands!$A$2:$FZ$601,186,Sync!$D$9)&amp;"",""))</f>
        <v/>
      </c>
      <c r="K4237" t="inlineStr">
        <is>
          <t>brand outreach touch 2</t>
        </is>
      </c>
    </row>
    <row r="4238">
      <c r="A4238" s="17">
        <f>IF(B4238="","",B4238+(16*1000+187)/10000000)</f>
        <v/>
      </c>
      <c r="B4238" s="23">
        <f>IF(AND(IFERROR(N(INDEX(Clay_Brands!$A$2:$FZ$601,187,Sync!$D$12)),0)&gt;0,IFERROR(INDEX(Clay_Brands!$A$2:$FZ$601,187,Sync!$D$5)&amp;"","")&lt;&gt;"",OR(LEFT(IFERROR(INDEX(Clay_Brands!$A$2:$FZ$601,187,Sync!$D$5)&amp;"",""),6)&lt;&gt;"SAMPLE",Config!$B$19="Y")),IFERROR(N(INDEX(Clay_Brands!$A$2:$FZ$601,187,Sync!$D$12)),0),"")</f>
        <v/>
      </c>
      <c r="C4238" s="17">
        <f>IF(B4238="","","brand")</f>
        <v/>
      </c>
      <c r="D4238" s="17">
        <f>IF(B4238="","",IFERROR(INDEX(Clay_Brands!$A$2:$FZ$601,187,Sync!$D$5)&amp;"",""))</f>
        <v/>
      </c>
      <c r="E4238" s="17">
        <f>IF(B4238="","",IFERROR(INDEX(Clay_Brands!$A$2:$FZ$601,187,Sync!$D$6)&amp;"",""))</f>
        <v/>
      </c>
      <c r="F4238" s="17">
        <f>IF(B4238="","","outreach_sent")</f>
        <v/>
      </c>
      <c r="G4238" s="17">
        <f>IF(B4238="","","")</f>
        <v/>
      </c>
      <c r="H4238" s="17">
        <f>IF(B4238="","","")</f>
        <v/>
      </c>
      <c r="I4238" s="17">
        <f>IF(B4238="","","")</f>
        <v/>
      </c>
      <c r="J4238" s="17">
        <f>IF(B4238="","","touch_2; "&amp;IFERROR(INDEX(Clay_Brands!$A$2:$FZ$601,187,Sync!$D$10)&amp;"","")&amp;"; "&amp;IFERROR(INDEX(Clay_Brands!$A$2:$FZ$601,187,Sync!$D$9)&amp;"",""))</f>
        <v/>
      </c>
      <c r="K4238" t="inlineStr">
        <is>
          <t>brand outreach touch 2</t>
        </is>
      </c>
    </row>
    <row r="4239">
      <c r="A4239" s="17">
        <f>IF(B4239="","",B4239+(16*1000+188)/10000000)</f>
        <v/>
      </c>
      <c r="B4239" s="23">
        <f>IF(AND(IFERROR(N(INDEX(Clay_Brands!$A$2:$FZ$601,188,Sync!$D$12)),0)&gt;0,IFERROR(INDEX(Clay_Brands!$A$2:$FZ$601,188,Sync!$D$5)&amp;"","")&lt;&gt;"",OR(LEFT(IFERROR(INDEX(Clay_Brands!$A$2:$FZ$601,188,Sync!$D$5)&amp;"",""),6)&lt;&gt;"SAMPLE",Config!$B$19="Y")),IFERROR(N(INDEX(Clay_Brands!$A$2:$FZ$601,188,Sync!$D$12)),0),"")</f>
        <v/>
      </c>
      <c r="C4239" s="17">
        <f>IF(B4239="","","brand")</f>
        <v/>
      </c>
      <c r="D4239" s="17">
        <f>IF(B4239="","",IFERROR(INDEX(Clay_Brands!$A$2:$FZ$601,188,Sync!$D$5)&amp;"",""))</f>
        <v/>
      </c>
      <c r="E4239" s="17">
        <f>IF(B4239="","",IFERROR(INDEX(Clay_Brands!$A$2:$FZ$601,188,Sync!$D$6)&amp;"",""))</f>
        <v/>
      </c>
      <c r="F4239" s="17">
        <f>IF(B4239="","","outreach_sent")</f>
        <v/>
      </c>
      <c r="G4239" s="17">
        <f>IF(B4239="","","")</f>
        <v/>
      </c>
      <c r="H4239" s="17">
        <f>IF(B4239="","","")</f>
        <v/>
      </c>
      <c r="I4239" s="17">
        <f>IF(B4239="","","")</f>
        <v/>
      </c>
      <c r="J4239" s="17">
        <f>IF(B4239="","","touch_2; "&amp;IFERROR(INDEX(Clay_Brands!$A$2:$FZ$601,188,Sync!$D$10)&amp;"","")&amp;"; "&amp;IFERROR(INDEX(Clay_Brands!$A$2:$FZ$601,188,Sync!$D$9)&amp;"",""))</f>
        <v/>
      </c>
      <c r="K4239" t="inlineStr">
        <is>
          <t>brand outreach touch 2</t>
        </is>
      </c>
    </row>
    <row r="4240">
      <c r="A4240" s="17">
        <f>IF(B4240="","",B4240+(16*1000+189)/10000000)</f>
        <v/>
      </c>
      <c r="B4240" s="23">
        <f>IF(AND(IFERROR(N(INDEX(Clay_Brands!$A$2:$FZ$601,189,Sync!$D$12)),0)&gt;0,IFERROR(INDEX(Clay_Brands!$A$2:$FZ$601,189,Sync!$D$5)&amp;"","")&lt;&gt;"",OR(LEFT(IFERROR(INDEX(Clay_Brands!$A$2:$FZ$601,189,Sync!$D$5)&amp;"",""),6)&lt;&gt;"SAMPLE",Config!$B$19="Y")),IFERROR(N(INDEX(Clay_Brands!$A$2:$FZ$601,189,Sync!$D$12)),0),"")</f>
        <v/>
      </c>
      <c r="C4240" s="17">
        <f>IF(B4240="","","brand")</f>
        <v/>
      </c>
      <c r="D4240" s="17">
        <f>IF(B4240="","",IFERROR(INDEX(Clay_Brands!$A$2:$FZ$601,189,Sync!$D$5)&amp;"",""))</f>
        <v/>
      </c>
      <c r="E4240" s="17">
        <f>IF(B4240="","",IFERROR(INDEX(Clay_Brands!$A$2:$FZ$601,189,Sync!$D$6)&amp;"",""))</f>
        <v/>
      </c>
      <c r="F4240" s="17">
        <f>IF(B4240="","","outreach_sent")</f>
        <v/>
      </c>
      <c r="G4240" s="17">
        <f>IF(B4240="","","")</f>
        <v/>
      </c>
      <c r="H4240" s="17">
        <f>IF(B4240="","","")</f>
        <v/>
      </c>
      <c r="I4240" s="17">
        <f>IF(B4240="","","")</f>
        <v/>
      </c>
      <c r="J4240" s="17">
        <f>IF(B4240="","","touch_2; "&amp;IFERROR(INDEX(Clay_Brands!$A$2:$FZ$601,189,Sync!$D$10)&amp;"","")&amp;"; "&amp;IFERROR(INDEX(Clay_Brands!$A$2:$FZ$601,189,Sync!$D$9)&amp;"",""))</f>
        <v/>
      </c>
      <c r="K4240" t="inlineStr">
        <is>
          <t>brand outreach touch 2</t>
        </is>
      </c>
    </row>
    <row r="4241">
      <c r="A4241" s="17">
        <f>IF(B4241="","",B4241+(16*1000+190)/10000000)</f>
        <v/>
      </c>
      <c r="B4241" s="23">
        <f>IF(AND(IFERROR(N(INDEX(Clay_Brands!$A$2:$FZ$601,190,Sync!$D$12)),0)&gt;0,IFERROR(INDEX(Clay_Brands!$A$2:$FZ$601,190,Sync!$D$5)&amp;"","")&lt;&gt;"",OR(LEFT(IFERROR(INDEX(Clay_Brands!$A$2:$FZ$601,190,Sync!$D$5)&amp;"",""),6)&lt;&gt;"SAMPLE",Config!$B$19="Y")),IFERROR(N(INDEX(Clay_Brands!$A$2:$FZ$601,190,Sync!$D$12)),0),"")</f>
        <v/>
      </c>
      <c r="C4241" s="17">
        <f>IF(B4241="","","brand")</f>
        <v/>
      </c>
      <c r="D4241" s="17">
        <f>IF(B4241="","",IFERROR(INDEX(Clay_Brands!$A$2:$FZ$601,190,Sync!$D$5)&amp;"",""))</f>
        <v/>
      </c>
      <c r="E4241" s="17">
        <f>IF(B4241="","",IFERROR(INDEX(Clay_Brands!$A$2:$FZ$601,190,Sync!$D$6)&amp;"",""))</f>
        <v/>
      </c>
      <c r="F4241" s="17">
        <f>IF(B4241="","","outreach_sent")</f>
        <v/>
      </c>
      <c r="G4241" s="17">
        <f>IF(B4241="","","")</f>
        <v/>
      </c>
      <c r="H4241" s="17">
        <f>IF(B4241="","","")</f>
        <v/>
      </c>
      <c r="I4241" s="17">
        <f>IF(B4241="","","")</f>
        <v/>
      </c>
      <c r="J4241" s="17">
        <f>IF(B4241="","","touch_2; "&amp;IFERROR(INDEX(Clay_Brands!$A$2:$FZ$601,190,Sync!$D$10)&amp;"","")&amp;"; "&amp;IFERROR(INDEX(Clay_Brands!$A$2:$FZ$601,190,Sync!$D$9)&amp;"",""))</f>
        <v/>
      </c>
      <c r="K4241" t="inlineStr">
        <is>
          <t>brand outreach touch 2</t>
        </is>
      </c>
    </row>
    <row r="4242">
      <c r="A4242" s="17">
        <f>IF(B4242="","",B4242+(16*1000+191)/10000000)</f>
        <v/>
      </c>
      <c r="B4242" s="23">
        <f>IF(AND(IFERROR(N(INDEX(Clay_Brands!$A$2:$FZ$601,191,Sync!$D$12)),0)&gt;0,IFERROR(INDEX(Clay_Brands!$A$2:$FZ$601,191,Sync!$D$5)&amp;"","")&lt;&gt;"",OR(LEFT(IFERROR(INDEX(Clay_Brands!$A$2:$FZ$601,191,Sync!$D$5)&amp;"",""),6)&lt;&gt;"SAMPLE",Config!$B$19="Y")),IFERROR(N(INDEX(Clay_Brands!$A$2:$FZ$601,191,Sync!$D$12)),0),"")</f>
        <v/>
      </c>
      <c r="C4242" s="17">
        <f>IF(B4242="","","brand")</f>
        <v/>
      </c>
      <c r="D4242" s="17">
        <f>IF(B4242="","",IFERROR(INDEX(Clay_Brands!$A$2:$FZ$601,191,Sync!$D$5)&amp;"",""))</f>
        <v/>
      </c>
      <c r="E4242" s="17">
        <f>IF(B4242="","",IFERROR(INDEX(Clay_Brands!$A$2:$FZ$601,191,Sync!$D$6)&amp;"",""))</f>
        <v/>
      </c>
      <c r="F4242" s="17">
        <f>IF(B4242="","","outreach_sent")</f>
        <v/>
      </c>
      <c r="G4242" s="17">
        <f>IF(B4242="","","")</f>
        <v/>
      </c>
      <c r="H4242" s="17">
        <f>IF(B4242="","","")</f>
        <v/>
      </c>
      <c r="I4242" s="17">
        <f>IF(B4242="","","")</f>
        <v/>
      </c>
      <c r="J4242" s="17">
        <f>IF(B4242="","","touch_2; "&amp;IFERROR(INDEX(Clay_Brands!$A$2:$FZ$601,191,Sync!$D$10)&amp;"","")&amp;"; "&amp;IFERROR(INDEX(Clay_Brands!$A$2:$FZ$601,191,Sync!$D$9)&amp;"",""))</f>
        <v/>
      </c>
      <c r="K4242" t="inlineStr">
        <is>
          <t>brand outreach touch 2</t>
        </is>
      </c>
    </row>
    <row r="4243">
      <c r="A4243" s="17">
        <f>IF(B4243="","",B4243+(16*1000+192)/10000000)</f>
        <v/>
      </c>
      <c r="B4243" s="23">
        <f>IF(AND(IFERROR(N(INDEX(Clay_Brands!$A$2:$FZ$601,192,Sync!$D$12)),0)&gt;0,IFERROR(INDEX(Clay_Brands!$A$2:$FZ$601,192,Sync!$D$5)&amp;"","")&lt;&gt;"",OR(LEFT(IFERROR(INDEX(Clay_Brands!$A$2:$FZ$601,192,Sync!$D$5)&amp;"",""),6)&lt;&gt;"SAMPLE",Config!$B$19="Y")),IFERROR(N(INDEX(Clay_Brands!$A$2:$FZ$601,192,Sync!$D$12)),0),"")</f>
        <v/>
      </c>
      <c r="C4243" s="17">
        <f>IF(B4243="","","brand")</f>
        <v/>
      </c>
      <c r="D4243" s="17">
        <f>IF(B4243="","",IFERROR(INDEX(Clay_Brands!$A$2:$FZ$601,192,Sync!$D$5)&amp;"",""))</f>
        <v/>
      </c>
      <c r="E4243" s="17">
        <f>IF(B4243="","",IFERROR(INDEX(Clay_Brands!$A$2:$FZ$601,192,Sync!$D$6)&amp;"",""))</f>
        <v/>
      </c>
      <c r="F4243" s="17">
        <f>IF(B4243="","","outreach_sent")</f>
        <v/>
      </c>
      <c r="G4243" s="17">
        <f>IF(B4243="","","")</f>
        <v/>
      </c>
      <c r="H4243" s="17">
        <f>IF(B4243="","","")</f>
        <v/>
      </c>
      <c r="I4243" s="17">
        <f>IF(B4243="","","")</f>
        <v/>
      </c>
      <c r="J4243" s="17">
        <f>IF(B4243="","","touch_2; "&amp;IFERROR(INDEX(Clay_Brands!$A$2:$FZ$601,192,Sync!$D$10)&amp;"","")&amp;"; "&amp;IFERROR(INDEX(Clay_Brands!$A$2:$FZ$601,192,Sync!$D$9)&amp;"",""))</f>
        <v/>
      </c>
      <c r="K4243" t="inlineStr">
        <is>
          <t>brand outreach touch 2</t>
        </is>
      </c>
    </row>
    <row r="4244">
      <c r="A4244" s="17">
        <f>IF(B4244="","",B4244+(16*1000+193)/10000000)</f>
        <v/>
      </c>
      <c r="B4244" s="23">
        <f>IF(AND(IFERROR(N(INDEX(Clay_Brands!$A$2:$FZ$601,193,Sync!$D$12)),0)&gt;0,IFERROR(INDEX(Clay_Brands!$A$2:$FZ$601,193,Sync!$D$5)&amp;"","")&lt;&gt;"",OR(LEFT(IFERROR(INDEX(Clay_Brands!$A$2:$FZ$601,193,Sync!$D$5)&amp;"",""),6)&lt;&gt;"SAMPLE",Config!$B$19="Y")),IFERROR(N(INDEX(Clay_Brands!$A$2:$FZ$601,193,Sync!$D$12)),0),"")</f>
        <v/>
      </c>
      <c r="C4244" s="17">
        <f>IF(B4244="","","brand")</f>
        <v/>
      </c>
      <c r="D4244" s="17">
        <f>IF(B4244="","",IFERROR(INDEX(Clay_Brands!$A$2:$FZ$601,193,Sync!$D$5)&amp;"",""))</f>
        <v/>
      </c>
      <c r="E4244" s="17">
        <f>IF(B4244="","",IFERROR(INDEX(Clay_Brands!$A$2:$FZ$601,193,Sync!$D$6)&amp;"",""))</f>
        <v/>
      </c>
      <c r="F4244" s="17">
        <f>IF(B4244="","","outreach_sent")</f>
        <v/>
      </c>
      <c r="G4244" s="17">
        <f>IF(B4244="","","")</f>
        <v/>
      </c>
      <c r="H4244" s="17">
        <f>IF(B4244="","","")</f>
        <v/>
      </c>
      <c r="I4244" s="17">
        <f>IF(B4244="","","")</f>
        <v/>
      </c>
      <c r="J4244" s="17">
        <f>IF(B4244="","","touch_2; "&amp;IFERROR(INDEX(Clay_Brands!$A$2:$FZ$601,193,Sync!$D$10)&amp;"","")&amp;"; "&amp;IFERROR(INDEX(Clay_Brands!$A$2:$FZ$601,193,Sync!$D$9)&amp;"",""))</f>
        <v/>
      </c>
      <c r="K4244" t="inlineStr">
        <is>
          <t>brand outreach touch 2</t>
        </is>
      </c>
    </row>
    <row r="4245">
      <c r="A4245" s="17">
        <f>IF(B4245="","",B4245+(16*1000+194)/10000000)</f>
        <v/>
      </c>
      <c r="B4245" s="23">
        <f>IF(AND(IFERROR(N(INDEX(Clay_Brands!$A$2:$FZ$601,194,Sync!$D$12)),0)&gt;0,IFERROR(INDEX(Clay_Brands!$A$2:$FZ$601,194,Sync!$D$5)&amp;"","")&lt;&gt;"",OR(LEFT(IFERROR(INDEX(Clay_Brands!$A$2:$FZ$601,194,Sync!$D$5)&amp;"",""),6)&lt;&gt;"SAMPLE",Config!$B$19="Y")),IFERROR(N(INDEX(Clay_Brands!$A$2:$FZ$601,194,Sync!$D$12)),0),"")</f>
        <v/>
      </c>
      <c r="C4245" s="17">
        <f>IF(B4245="","","brand")</f>
        <v/>
      </c>
      <c r="D4245" s="17">
        <f>IF(B4245="","",IFERROR(INDEX(Clay_Brands!$A$2:$FZ$601,194,Sync!$D$5)&amp;"",""))</f>
        <v/>
      </c>
      <c r="E4245" s="17">
        <f>IF(B4245="","",IFERROR(INDEX(Clay_Brands!$A$2:$FZ$601,194,Sync!$D$6)&amp;"",""))</f>
        <v/>
      </c>
      <c r="F4245" s="17">
        <f>IF(B4245="","","outreach_sent")</f>
        <v/>
      </c>
      <c r="G4245" s="17">
        <f>IF(B4245="","","")</f>
        <v/>
      </c>
      <c r="H4245" s="17">
        <f>IF(B4245="","","")</f>
        <v/>
      </c>
      <c r="I4245" s="17">
        <f>IF(B4245="","","")</f>
        <v/>
      </c>
      <c r="J4245" s="17">
        <f>IF(B4245="","","touch_2; "&amp;IFERROR(INDEX(Clay_Brands!$A$2:$FZ$601,194,Sync!$D$10)&amp;"","")&amp;"; "&amp;IFERROR(INDEX(Clay_Brands!$A$2:$FZ$601,194,Sync!$D$9)&amp;"",""))</f>
        <v/>
      </c>
      <c r="K4245" t="inlineStr">
        <is>
          <t>brand outreach touch 2</t>
        </is>
      </c>
    </row>
    <row r="4246">
      <c r="A4246" s="17">
        <f>IF(B4246="","",B4246+(16*1000+195)/10000000)</f>
        <v/>
      </c>
      <c r="B4246" s="23">
        <f>IF(AND(IFERROR(N(INDEX(Clay_Brands!$A$2:$FZ$601,195,Sync!$D$12)),0)&gt;0,IFERROR(INDEX(Clay_Brands!$A$2:$FZ$601,195,Sync!$D$5)&amp;"","")&lt;&gt;"",OR(LEFT(IFERROR(INDEX(Clay_Brands!$A$2:$FZ$601,195,Sync!$D$5)&amp;"",""),6)&lt;&gt;"SAMPLE",Config!$B$19="Y")),IFERROR(N(INDEX(Clay_Brands!$A$2:$FZ$601,195,Sync!$D$12)),0),"")</f>
        <v/>
      </c>
      <c r="C4246" s="17">
        <f>IF(B4246="","","brand")</f>
        <v/>
      </c>
      <c r="D4246" s="17">
        <f>IF(B4246="","",IFERROR(INDEX(Clay_Brands!$A$2:$FZ$601,195,Sync!$D$5)&amp;"",""))</f>
        <v/>
      </c>
      <c r="E4246" s="17">
        <f>IF(B4246="","",IFERROR(INDEX(Clay_Brands!$A$2:$FZ$601,195,Sync!$D$6)&amp;"",""))</f>
        <v/>
      </c>
      <c r="F4246" s="17">
        <f>IF(B4246="","","outreach_sent")</f>
        <v/>
      </c>
      <c r="G4246" s="17">
        <f>IF(B4246="","","")</f>
        <v/>
      </c>
      <c r="H4246" s="17">
        <f>IF(B4246="","","")</f>
        <v/>
      </c>
      <c r="I4246" s="17">
        <f>IF(B4246="","","")</f>
        <v/>
      </c>
      <c r="J4246" s="17">
        <f>IF(B4246="","","touch_2; "&amp;IFERROR(INDEX(Clay_Brands!$A$2:$FZ$601,195,Sync!$D$10)&amp;"","")&amp;"; "&amp;IFERROR(INDEX(Clay_Brands!$A$2:$FZ$601,195,Sync!$D$9)&amp;"",""))</f>
        <v/>
      </c>
      <c r="K4246" t="inlineStr">
        <is>
          <t>brand outreach touch 2</t>
        </is>
      </c>
    </row>
    <row r="4247">
      <c r="A4247" s="17">
        <f>IF(B4247="","",B4247+(16*1000+196)/10000000)</f>
        <v/>
      </c>
      <c r="B4247" s="23">
        <f>IF(AND(IFERROR(N(INDEX(Clay_Brands!$A$2:$FZ$601,196,Sync!$D$12)),0)&gt;0,IFERROR(INDEX(Clay_Brands!$A$2:$FZ$601,196,Sync!$D$5)&amp;"","")&lt;&gt;"",OR(LEFT(IFERROR(INDEX(Clay_Brands!$A$2:$FZ$601,196,Sync!$D$5)&amp;"",""),6)&lt;&gt;"SAMPLE",Config!$B$19="Y")),IFERROR(N(INDEX(Clay_Brands!$A$2:$FZ$601,196,Sync!$D$12)),0),"")</f>
        <v/>
      </c>
      <c r="C4247" s="17">
        <f>IF(B4247="","","brand")</f>
        <v/>
      </c>
      <c r="D4247" s="17">
        <f>IF(B4247="","",IFERROR(INDEX(Clay_Brands!$A$2:$FZ$601,196,Sync!$D$5)&amp;"",""))</f>
        <v/>
      </c>
      <c r="E4247" s="17">
        <f>IF(B4247="","",IFERROR(INDEX(Clay_Brands!$A$2:$FZ$601,196,Sync!$D$6)&amp;"",""))</f>
        <v/>
      </c>
      <c r="F4247" s="17">
        <f>IF(B4247="","","outreach_sent")</f>
        <v/>
      </c>
      <c r="G4247" s="17">
        <f>IF(B4247="","","")</f>
        <v/>
      </c>
      <c r="H4247" s="17">
        <f>IF(B4247="","","")</f>
        <v/>
      </c>
      <c r="I4247" s="17">
        <f>IF(B4247="","","")</f>
        <v/>
      </c>
      <c r="J4247" s="17">
        <f>IF(B4247="","","touch_2; "&amp;IFERROR(INDEX(Clay_Brands!$A$2:$FZ$601,196,Sync!$D$10)&amp;"","")&amp;"; "&amp;IFERROR(INDEX(Clay_Brands!$A$2:$FZ$601,196,Sync!$D$9)&amp;"",""))</f>
        <v/>
      </c>
      <c r="K4247" t="inlineStr">
        <is>
          <t>brand outreach touch 2</t>
        </is>
      </c>
    </row>
    <row r="4248">
      <c r="A4248" s="17">
        <f>IF(B4248="","",B4248+(16*1000+197)/10000000)</f>
        <v/>
      </c>
      <c r="B4248" s="23">
        <f>IF(AND(IFERROR(N(INDEX(Clay_Brands!$A$2:$FZ$601,197,Sync!$D$12)),0)&gt;0,IFERROR(INDEX(Clay_Brands!$A$2:$FZ$601,197,Sync!$D$5)&amp;"","")&lt;&gt;"",OR(LEFT(IFERROR(INDEX(Clay_Brands!$A$2:$FZ$601,197,Sync!$D$5)&amp;"",""),6)&lt;&gt;"SAMPLE",Config!$B$19="Y")),IFERROR(N(INDEX(Clay_Brands!$A$2:$FZ$601,197,Sync!$D$12)),0),"")</f>
        <v/>
      </c>
      <c r="C4248" s="17">
        <f>IF(B4248="","","brand")</f>
        <v/>
      </c>
      <c r="D4248" s="17">
        <f>IF(B4248="","",IFERROR(INDEX(Clay_Brands!$A$2:$FZ$601,197,Sync!$D$5)&amp;"",""))</f>
        <v/>
      </c>
      <c r="E4248" s="17">
        <f>IF(B4248="","",IFERROR(INDEX(Clay_Brands!$A$2:$FZ$601,197,Sync!$D$6)&amp;"",""))</f>
        <v/>
      </c>
      <c r="F4248" s="17">
        <f>IF(B4248="","","outreach_sent")</f>
        <v/>
      </c>
      <c r="G4248" s="17">
        <f>IF(B4248="","","")</f>
        <v/>
      </c>
      <c r="H4248" s="17">
        <f>IF(B4248="","","")</f>
        <v/>
      </c>
      <c r="I4248" s="17">
        <f>IF(B4248="","","")</f>
        <v/>
      </c>
      <c r="J4248" s="17">
        <f>IF(B4248="","","touch_2; "&amp;IFERROR(INDEX(Clay_Brands!$A$2:$FZ$601,197,Sync!$D$10)&amp;"","")&amp;"; "&amp;IFERROR(INDEX(Clay_Brands!$A$2:$FZ$601,197,Sync!$D$9)&amp;"",""))</f>
        <v/>
      </c>
      <c r="K4248" t="inlineStr">
        <is>
          <t>brand outreach touch 2</t>
        </is>
      </c>
    </row>
    <row r="4249">
      <c r="A4249" s="17">
        <f>IF(B4249="","",B4249+(16*1000+198)/10000000)</f>
        <v/>
      </c>
      <c r="B4249" s="23">
        <f>IF(AND(IFERROR(N(INDEX(Clay_Brands!$A$2:$FZ$601,198,Sync!$D$12)),0)&gt;0,IFERROR(INDEX(Clay_Brands!$A$2:$FZ$601,198,Sync!$D$5)&amp;"","")&lt;&gt;"",OR(LEFT(IFERROR(INDEX(Clay_Brands!$A$2:$FZ$601,198,Sync!$D$5)&amp;"",""),6)&lt;&gt;"SAMPLE",Config!$B$19="Y")),IFERROR(N(INDEX(Clay_Brands!$A$2:$FZ$601,198,Sync!$D$12)),0),"")</f>
        <v/>
      </c>
      <c r="C4249" s="17">
        <f>IF(B4249="","","brand")</f>
        <v/>
      </c>
      <c r="D4249" s="17">
        <f>IF(B4249="","",IFERROR(INDEX(Clay_Brands!$A$2:$FZ$601,198,Sync!$D$5)&amp;"",""))</f>
        <v/>
      </c>
      <c r="E4249" s="17">
        <f>IF(B4249="","",IFERROR(INDEX(Clay_Brands!$A$2:$FZ$601,198,Sync!$D$6)&amp;"",""))</f>
        <v/>
      </c>
      <c r="F4249" s="17">
        <f>IF(B4249="","","outreach_sent")</f>
        <v/>
      </c>
      <c r="G4249" s="17">
        <f>IF(B4249="","","")</f>
        <v/>
      </c>
      <c r="H4249" s="17">
        <f>IF(B4249="","","")</f>
        <v/>
      </c>
      <c r="I4249" s="17">
        <f>IF(B4249="","","")</f>
        <v/>
      </c>
      <c r="J4249" s="17">
        <f>IF(B4249="","","touch_2; "&amp;IFERROR(INDEX(Clay_Brands!$A$2:$FZ$601,198,Sync!$D$10)&amp;"","")&amp;"; "&amp;IFERROR(INDEX(Clay_Brands!$A$2:$FZ$601,198,Sync!$D$9)&amp;"",""))</f>
        <v/>
      </c>
      <c r="K4249" t="inlineStr">
        <is>
          <t>brand outreach touch 2</t>
        </is>
      </c>
    </row>
    <row r="4250">
      <c r="A4250" s="17">
        <f>IF(B4250="","",B4250+(16*1000+199)/10000000)</f>
        <v/>
      </c>
      <c r="B4250" s="23">
        <f>IF(AND(IFERROR(N(INDEX(Clay_Brands!$A$2:$FZ$601,199,Sync!$D$12)),0)&gt;0,IFERROR(INDEX(Clay_Brands!$A$2:$FZ$601,199,Sync!$D$5)&amp;"","")&lt;&gt;"",OR(LEFT(IFERROR(INDEX(Clay_Brands!$A$2:$FZ$601,199,Sync!$D$5)&amp;"",""),6)&lt;&gt;"SAMPLE",Config!$B$19="Y")),IFERROR(N(INDEX(Clay_Brands!$A$2:$FZ$601,199,Sync!$D$12)),0),"")</f>
        <v/>
      </c>
      <c r="C4250" s="17">
        <f>IF(B4250="","","brand")</f>
        <v/>
      </c>
      <c r="D4250" s="17">
        <f>IF(B4250="","",IFERROR(INDEX(Clay_Brands!$A$2:$FZ$601,199,Sync!$D$5)&amp;"",""))</f>
        <v/>
      </c>
      <c r="E4250" s="17">
        <f>IF(B4250="","",IFERROR(INDEX(Clay_Brands!$A$2:$FZ$601,199,Sync!$D$6)&amp;"",""))</f>
        <v/>
      </c>
      <c r="F4250" s="17">
        <f>IF(B4250="","","outreach_sent")</f>
        <v/>
      </c>
      <c r="G4250" s="17">
        <f>IF(B4250="","","")</f>
        <v/>
      </c>
      <c r="H4250" s="17">
        <f>IF(B4250="","","")</f>
        <v/>
      </c>
      <c r="I4250" s="17">
        <f>IF(B4250="","","")</f>
        <v/>
      </c>
      <c r="J4250" s="17">
        <f>IF(B4250="","","touch_2; "&amp;IFERROR(INDEX(Clay_Brands!$A$2:$FZ$601,199,Sync!$D$10)&amp;"","")&amp;"; "&amp;IFERROR(INDEX(Clay_Brands!$A$2:$FZ$601,199,Sync!$D$9)&amp;"",""))</f>
        <v/>
      </c>
      <c r="K4250" t="inlineStr">
        <is>
          <t>brand outreach touch 2</t>
        </is>
      </c>
    </row>
    <row r="4251">
      <c r="A4251" s="17">
        <f>IF(B4251="","",B4251+(16*1000+200)/10000000)</f>
        <v/>
      </c>
      <c r="B4251" s="23">
        <f>IF(AND(IFERROR(N(INDEX(Clay_Brands!$A$2:$FZ$601,200,Sync!$D$12)),0)&gt;0,IFERROR(INDEX(Clay_Brands!$A$2:$FZ$601,200,Sync!$D$5)&amp;"","")&lt;&gt;"",OR(LEFT(IFERROR(INDEX(Clay_Brands!$A$2:$FZ$601,200,Sync!$D$5)&amp;"",""),6)&lt;&gt;"SAMPLE",Config!$B$19="Y")),IFERROR(N(INDEX(Clay_Brands!$A$2:$FZ$601,200,Sync!$D$12)),0),"")</f>
        <v/>
      </c>
      <c r="C4251" s="17">
        <f>IF(B4251="","","brand")</f>
        <v/>
      </c>
      <c r="D4251" s="17">
        <f>IF(B4251="","",IFERROR(INDEX(Clay_Brands!$A$2:$FZ$601,200,Sync!$D$5)&amp;"",""))</f>
        <v/>
      </c>
      <c r="E4251" s="17">
        <f>IF(B4251="","",IFERROR(INDEX(Clay_Brands!$A$2:$FZ$601,200,Sync!$D$6)&amp;"",""))</f>
        <v/>
      </c>
      <c r="F4251" s="17">
        <f>IF(B4251="","","outreach_sent")</f>
        <v/>
      </c>
      <c r="G4251" s="17">
        <f>IF(B4251="","","")</f>
        <v/>
      </c>
      <c r="H4251" s="17">
        <f>IF(B4251="","","")</f>
        <v/>
      </c>
      <c r="I4251" s="17">
        <f>IF(B4251="","","")</f>
        <v/>
      </c>
      <c r="J4251" s="17">
        <f>IF(B4251="","","touch_2; "&amp;IFERROR(INDEX(Clay_Brands!$A$2:$FZ$601,200,Sync!$D$10)&amp;"","")&amp;"; "&amp;IFERROR(INDEX(Clay_Brands!$A$2:$FZ$601,200,Sync!$D$9)&amp;"",""))</f>
        <v/>
      </c>
      <c r="K4251" t="inlineStr">
        <is>
          <t>brand outreach touch 2</t>
        </is>
      </c>
    </row>
    <row r="4252">
      <c r="A4252" s="17">
        <f>IF(B4252="","",B4252+(16*1000+201)/10000000)</f>
        <v/>
      </c>
      <c r="B4252" s="23">
        <f>IF(AND(IFERROR(N(INDEX(Clay_Brands!$A$2:$FZ$601,201,Sync!$D$12)),0)&gt;0,IFERROR(INDEX(Clay_Brands!$A$2:$FZ$601,201,Sync!$D$5)&amp;"","")&lt;&gt;"",OR(LEFT(IFERROR(INDEX(Clay_Brands!$A$2:$FZ$601,201,Sync!$D$5)&amp;"",""),6)&lt;&gt;"SAMPLE",Config!$B$19="Y")),IFERROR(N(INDEX(Clay_Brands!$A$2:$FZ$601,201,Sync!$D$12)),0),"")</f>
        <v/>
      </c>
      <c r="C4252" s="17">
        <f>IF(B4252="","","brand")</f>
        <v/>
      </c>
      <c r="D4252" s="17">
        <f>IF(B4252="","",IFERROR(INDEX(Clay_Brands!$A$2:$FZ$601,201,Sync!$D$5)&amp;"",""))</f>
        <v/>
      </c>
      <c r="E4252" s="17">
        <f>IF(B4252="","",IFERROR(INDEX(Clay_Brands!$A$2:$FZ$601,201,Sync!$D$6)&amp;"",""))</f>
        <v/>
      </c>
      <c r="F4252" s="17">
        <f>IF(B4252="","","outreach_sent")</f>
        <v/>
      </c>
      <c r="G4252" s="17">
        <f>IF(B4252="","","")</f>
        <v/>
      </c>
      <c r="H4252" s="17">
        <f>IF(B4252="","","")</f>
        <v/>
      </c>
      <c r="I4252" s="17">
        <f>IF(B4252="","","")</f>
        <v/>
      </c>
      <c r="J4252" s="17">
        <f>IF(B4252="","","touch_2; "&amp;IFERROR(INDEX(Clay_Brands!$A$2:$FZ$601,201,Sync!$D$10)&amp;"","")&amp;"; "&amp;IFERROR(INDEX(Clay_Brands!$A$2:$FZ$601,201,Sync!$D$9)&amp;"",""))</f>
        <v/>
      </c>
      <c r="K4252" t="inlineStr">
        <is>
          <t>brand outreach touch 2</t>
        </is>
      </c>
    </row>
    <row r="4253">
      <c r="A4253" s="17">
        <f>IF(B4253="","",B4253+(16*1000+202)/10000000)</f>
        <v/>
      </c>
      <c r="B4253" s="23">
        <f>IF(AND(IFERROR(N(INDEX(Clay_Brands!$A$2:$FZ$601,202,Sync!$D$12)),0)&gt;0,IFERROR(INDEX(Clay_Brands!$A$2:$FZ$601,202,Sync!$D$5)&amp;"","")&lt;&gt;"",OR(LEFT(IFERROR(INDEX(Clay_Brands!$A$2:$FZ$601,202,Sync!$D$5)&amp;"",""),6)&lt;&gt;"SAMPLE",Config!$B$19="Y")),IFERROR(N(INDEX(Clay_Brands!$A$2:$FZ$601,202,Sync!$D$12)),0),"")</f>
        <v/>
      </c>
      <c r="C4253" s="17">
        <f>IF(B4253="","","brand")</f>
        <v/>
      </c>
      <c r="D4253" s="17">
        <f>IF(B4253="","",IFERROR(INDEX(Clay_Brands!$A$2:$FZ$601,202,Sync!$D$5)&amp;"",""))</f>
        <v/>
      </c>
      <c r="E4253" s="17">
        <f>IF(B4253="","",IFERROR(INDEX(Clay_Brands!$A$2:$FZ$601,202,Sync!$D$6)&amp;"",""))</f>
        <v/>
      </c>
      <c r="F4253" s="17">
        <f>IF(B4253="","","outreach_sent")</f>
        <v/>
      </c>
      <c r="G4253" s="17">
        <f>IF(B4253="","","")</f>
        <v/>
      </c>
      <c r="H4253" s="17">
        <f>IF(B4253="","","")</f>
        <v/>
      </c>
      <c r="I4253" s="17">
        <f>IF(B4253="","","")</f>
        <v/>
      </c>
      <c r="J4253" s="17">
        <f>IF(B4253="","","touch_2; "&amp;IFERROR(INDEX(Clay_Brands!$A$2:$FZ$601,202,Sync!$D$10)&amp;"","")&amp;"; "&amp;IFERROR(INDEX(Clay_Brands!$A$2:$FZ$601,202,Sync!$D$9)&amp;"",""))</f>
        <v/>
      </c>
      <c r="K4253" t="inlineStr">
        <is>
          <t>brand outreach touch 2</t>
        </is>
      </c>
    </row>
    <row r="4254">
      <c r="A4254" s="17">
        <f>IF(B4254="","",B4254+(16*1000+203)/10000000)</f>
        <v/>
      </c>
      <c r="B4254" s="23">
        <f>IF(AND(IFERROR(N(INDEX(Clay_Brands!$A$2:$FZ$601,203,Sync!$D$12)),0)&gt;0,IFERROR(INDEX(Clay_Brands!$A$2:$FZ$601,203,Sync!$D$5)&amp;"","")&lt;&gt;"",OR(LEFT(IFERROR(INDEX(Clay_Brands!$A$2:$FZ$601,203,Sync!$D$5)&amp;"",""),6)&lt;&gt;"SAMPLE",Config!$B$19="Y")),IFERROR(N(INDEX(Clay_Brands!$A$2:$FZ$601,203,Sync!$D$12)),0),"")</f>
        <v/>
      </c>
      <c r="C4254" s="17">
        <f>IF(B4254="","","brand")</f>
        <v/>
      </c>
      <c r="D4254" s="17">
        <f>IF(B4254="","",IFERROR(INDEX(Clay_Brands!$A$2:$FZ$601,203,Sync!$D$5)&amp;"",""))</f>
        <v/>
      </c>
      <c r="E4254" s="17">
        <f>IF(B4254="","",IFERROR(INDEX(Clay_Brands!$A$2:$FZ$601,203,Sync!$D$6)&amp;"",""))</f>
        <v/>
      </c>
      <c r="F4254" s="17">
        <f>IF(B4254="","","outreach_sent")</f>
        <v/>
      </c>
      <c r="G4254" s="17">
        <f>IF(B4254="","","")</f>
        <v/>
      </c>
      <c r="H4254" s="17">
        <f>IF(B4254="","","")</f>
        <v/>
      </c>
      <c r="I4254" s="17">
        <f>IF(B4254="","","")</f>
        <v/>
      </c>
      <c r="J4254" s="17">
        <f>IF(B4254="","","touch_2; "&amp;IFERROR(INDEX(Clay_Brands!$A$2:$FZ$601,203,Sync!$D$10)&amp;"","")&amp;"; "&amp;IFERROR(INDEX(Clay_Brands!$A$2:$FZ$601,203,Sync!$D$9)&amp;"",""))</f>
        <v/>
      </c>
      <c r="K4254" t="inlineStr">
        <is>
          <t>brand outreach touch 2</t>
        </is>
      </c>
    </row>
    <row r="4255">
      <c r="A4255" s="17">
        <f>IF(B4255="","",B4255+(16*1000+204)/10000000)</f>
        <v/>
      </c>
      <c r="B4255" s="23">
        <f>IF(AND(IFERROR(N(INDEX(Clay_Brands!$A$2:$FZ$601,204,Sync!$D$12)),0)&gt;0,IFERROR(INDEX(Clay_Brands!$A$2:$FZ$601,204,Sync!$D$5)&amp;"","")&lt;&gt;"",OR(LEFT(IFERROR(INDEX(Clay_Brands!$A$2:$FZ$601,204,Sync!$D$5)&amp;"",""),6)&lt;&gt;"SAMPLE",Config!$B$19="Y")),IFERROR(N(INDEX(Clay_Brands!$A$2:$FZ$601,204,Sync!$D$12)),0),"")</f>
        <v/>
      </c>
      <c r="C4255" s="17">
        <f>IF(B4255="","","brand")</f>
        <v/>
      </c>
      <c r="D4255" s="17">
        <f>IF(B4255="","",IFERROR(INDEX(Clay_Brands!$A$2:$FZ$601,204,Sync!$D$5)&amp;"",""))</f>
        <v/>
      </c>
      <c r="E4255" s="17">
        <f>IF(B4255="","",IFERROR(INDEX(Clay_Brands!$A$2:$FZ$601,204,Sync!$D$6)&amp;"",""))</f>
        <v/>
      </c>
      <c r="F4255" s="17">
        <f>IF(B4255="","","outreach_sent")</f>
        <v/>
      </c>
      <c r="G4255" s="17">
        <f>IF(B4255="","","")</f>
        <v/>
      </c>
      <c r="H4255" s="17">
        <f>IF(B4255="","","")</f>
        <v/>
      </c>
      <c r="I4255" s="17">
        <f>IF(B4255="","","")</f>
        <v/>
      </c>
      <c r="J4255" s="17">
        <f>IF(B4255="","","touch_2; "&amp;IFERROR(INDEX(Clay_Brands!$A$2:$FZ$601,204,Sync!$D$10)&amp;"","")&amp;"; "&amp;IFERROR(INDEX(Clay_Brands!$A$2:$FZ$601,204,Sync!$D$9)&amp;"",""))</f>
        <v/>
      </c>
      <c r="K4255" t="inlineStr">
        <is>
          <t>brand outreach touch 2</t>
        </is>
      </c>
    </row>
    <row r="4256">
      <c r="A4256" s="17">
        <f>IF(B4256="","",B4256+(16*1000+205)/10000000)</f>
        <v/>
      </c>
      <c r="B4256" s="23">
        <f>IF(AND(IFERROR(N(INDEX(Clay_Brands!$A$2:$FZ$601,205,Sync!$D$12)),0)&gt;0,IFERROR(INDEX(Clay_Brands!$A$2:$FZ$601,205,Sync!$D$5)&amp;"","")&lt;&gt;"",OR(LEFT(IFERROR(INDEX(Clay_Brands!$A$2:$FZ$601,205,Sync!$D$5)&amp;"",""),6)&lt;&gt;"SAMPLE",Config!$B$19="Y")),IFERROR(N(INDEX(Clay_Brands!$A$2:$FZ$601,205,Sync!$D$12)),0),"")</f>
        <v/>
      </c>
      <c r="C4256" s="17">
        <f>IF(B4256="","","brand")</f>
        <v/>
      </c>
      <c r="D4256" s="17">
        <f>IF(B4256="","",IFERROR(INDEX(Clay_Brands!$A$2:$FZ$601,205,Sync!$D$5)&amp;"",""))</f>
        <v/>
      </c>
      <c r="E4256" s="17">
        <f>IF(B4256="","",IFERROR(INDEX(Clay_Brands!$A$2:$FZ$601,205,Sync!$D$6)&amp;"",""))</f>
        <v/>
      </c>
      <c r="F4256" s="17">
        <f>IF(B4256="","","outreach_sent")</f>
        <v/>
      </c>
      <c r="G4256" s="17">
        <f>IF(B4256="","","")</f>
        <v/>
      </c>
      <c r="H4256" s="17">
        <f>IF(B4256="","","")</f>
        <v/>
      </c>
      <c r="I4256" s="17">
        <f>IF(B4256="","","")</f>
        <v/>
      </c>
      <c r="J4256" s="17">
        <f>IF(B4256="","","touch_2; "&amp;IFERROR(INDEX(Clay_Brands!$A$2:$FZ$601,205,Sync!$D$10)&amp;"","")&amp;"; "&amp;IFERROR(INDEX(Clay_Brands!$A$2:$FZ$601,205,Sync!$D$9)&amp;"",""))</f>
        <v/>
      </c>
      <c r="K4256" t="inlineStr">
        <is>
          <t>brand outreach touch 2</t>
        </is>
      </c>
    </row>
    <row r="4257">
      <c r="A4257" s="17">
        <f>IF(B4257="","",B4257+(16*1000+206)/10000000)</f>
        <v/>
      </c>
      <c r="B4257" s="23">
        <f>IF(AND(IFERROR(N(INDEX(Clay_Brands!$A$2:$FZ$601,206,Sync!$D$12)),0)&gt;0,IFERROR(INDEX(Clay_Brands!$A$2:$FZ$601,206,Sync!$D$5)&amp;"","")&lt;&gt;"",OR(LEFT(IFERROR(INDEX(Clay_Brands!$A$2:$FZ$601,206,Sync!$D$5)&amp;"",""),6)&lt;&gt;"SAMPLE",Config!$B$19="Y")),IFERROR(N(INDEX(Clay_Brands!$A$2:$FZ$601,206,Sync!$D$12)),0),"")</f>
        <v/>
      </c>
      <c r="C4257" s="17">
        <f>IF(B4257="","","brand")</f>
        <v/>
      </c>
      <c r="D4257" s="17">
        <f>IF(B4257="","",IFERROR(INDEX(Clay_Brands!$A$2:$FZ$601,206,Sync!$D$5)&amp;"",""))</f>
        <v/>
      </c>
      <c r="E4257" s="17">
        <f>IF(B4257="","",IFERROR(INDEX(Clay_Brands!$A$2:$FZ$601,206,Sync!$D$6)&amp;"",""))</f>
        <v/>
      </c>
      <c r="F4257" s="17">
        <f>IF(B4257="","","outreach_sent")</f>
        <v/>
      </c>
      <c r="G4257" s="17">
        <f>IF(B4257="","","")</f>
        <v/>
      </c>
      <c r="H4257" s="17">
        <f>IF(B4257="","","")</f>
        <v/>
      </c>
      <c r="I4257" s="17">
        <f>IF(B4257="","","")</f>
        <v/>
      </c>
      <c r="J4257" s="17">
        <f>IF(B4257="","","touch_2; "&amp;IFERROR(INDEX(Clay_Brands!$A$2:$FZ$601,206,Sync!$D$10)&amp;"","")&amp;"; "&amp;IFERROR(INDEX(Clay_Brands!$A$2:$FZ$601,206,Sync!$D$9)&amp;"",""))</f>
        <v/>
      </c>
      <c r="K4257" t="inlineStr">
        <is>
          <t>brand outreach touch 2</t>
        </is>
      </c>
    </row>
    <row r="4258">
      <c r="A4258" s="17">
        <f>IF(B4258="","",B4258+(16*1000+207)/10000000)</f>
        <v/>
      </c>
      <c r="B4258" s="23">
        <f>IF(AND(IFERROR(N(INDEX(Clay_Brands!$A$2:$FZ$601,207,Sync!$D$12)),0)&gt;0,IFERROR(INDEX(Clay_Brands!$A$2:$FZ$601,207,Sync!$D$5)&amp;"","")&lt;&gt;"",OR(LEFT(IFERROR(INDEX(Clay_Brands!$A$2:$FZ$601,207,Sync!$D$5)&amp;"",""),6)&lt;&gt;"SAMPLE",Config!$B$19="Y")),IFERROR(N(INDEX(Clay_Brands!$A$2:$FZ$601,207,Sync!$D$12)),0),"")</f>
        <v/>
      </c>
      <c r="C4258" s="17">
        <f>IF(B4258="","","brand")</f>
        <v/>
      </c>
      <c r="D4258" s="17">
        <f>IF(B4258="","",IFERROR(INDEX(Clay_Brands!$A$2:$FZ$601,207,Sync!$D$5)&amp;"",""))</f>
        <v/>
      </c>
      <c r="E4258" s="17">
        <f>IF(B4258="","",IFERROR(INDEX(Clay_Brands!$A$2:$FZ$601,207,Sync!$D$6)&amp;"",""))</f>
        <v/>
      </c>
      <c r="F4258" s="17">
        <f>IF(B4258="","","outreach_sent")</f>
        <v/>
      </c>
      <c r="G4258" s="17">
        <f>IF(B4258="","","")</f>
        <v/>
      </c>
      <c r="H4258" s="17">
        <f>IF(B4258="","","")</f>
        <v/>
      </c>
      <c r="I4258" s="17">
        <f>IF(B4258="","","")</f>
        <v/>
      </c>
      <c r="J4258" s="17">
        <f>IF(B4258="","","touch_2; "&amp;IFERROR(INDEX(Clay_Brands!$A$2:$FZ$601,207,Sync!$D$10)&amp;"","")&amp;"; "&amp;IFERROR(INDEX(Clay_Brands!$A$2:$FZ$601,207,Sync!$D$9)&amp;"",""))</f>
        <v/>
      </c>
      <c r="K4258" t="inlineStr">
        <is>
          <t>brand outreach touch 2</t>
        </is>
      </c>
    </row>
    <row r="4259">
      <c r="A4259" s="17">
        <f>IF(B4259="","",B4259+(16*1000+208)/10000000)</f>
        <v/>
      </c>
      <c r="B4259" s="23">
        <f>IF(AND(IFERROR(N(INDEX(Clay_Brands!$A$2:$FZ$601,208,Sync!$D$12)),0)&gt;0,IFERROR(INDEX(Clay_Brands!$A$2:$FZ$601,208,Sync!$D$5)&amp;"","")&lt;&gt;"",OR(LEFT(IFERROR(INDEX(Clay_Brands!$A$2:$FZ$601,208,Sync!$D$5)&amp;"",""),6)&lt;&gt;"SAMPLE",Config!$B$19="Y")),IFERROR(N(INDEX(Clay_Brands!$A$2:$FZ$601,208,Sync!$D$12)),0),"")</f>
        <v/>
      </c>
      <c r="C4259" s="17">
        <f>IF(B4259="","","brand")</f>
        <v/>
      </c>
      <c r="D4259" s="17">
        <f>IF(B4259="","",IFERROR(INDEX(Clay_Brands!$A$2:$FZ$601,208,Sync!$D$5)&amp;"",""))</f>
        <v/>
      </c>
      <c r="E4259" s="17">
        <f>IF(B4259="","",IFERROR(INDEX(Clay_Brands!$A$2:$FZ$601,208,Sync!$D$6)&amp;"",""))</f>
        <v/>
      </c>
      <c r="F4259" s="17">
        <f>IF(B4259="","","outreach_sent")</f>
        <v/>
      </c>
      <c r="G4259" s="17">
        <f>IF(B4259="","","")</f>
        <v/>
      </c>
      <c r="H4259" s="17">
        <f>IF(B4259="","","")</f>
        <v/>
      </c>
      <c r="I4259" s="17">
        <f>IF(B4259="","","")</f>
        <v/>
      </c>
      <c r="J4259" s="17">
        <f>IF(B4259="","","touch_2; "&amp;IFERROR(INDEX(Clay_Brands!$A$2:$FZ$601,208,Sync!$D$10)&amp;"","")&amp;"; "&amp;IFERROR(INDEX(Clay_Brands!$A$2:$FZ$601,208,Sync!$D$9)&amp;"",""))</f>
        <v/>
      </c>
      <c r="K4259" t="inlineStr">
        <is>
          <t>brand outreach touch 2</t>
        </is>
      </c>
    </row>
    <row r="4260">
      <c r="A4260" s="17">
        <f>IF(B4260="","",B4260+(16*1000+209)/10000000)</f>
        <v/>
      </c>
      <c r="B4260" s="23">
        <f>IF(AND(IFERROR(N(INDEX(Clay_Brands!$A$2:$FZ$601,209,Sync!$D$12)),0)&gt;0,IFERROR(INDEX(Clay_Brands!$A$2:$FZ$601,209,Sync!$D$5)&amp;"","")&lt;&gt;"",OR(LEFT(IFERROR(INDEX(Clay_Brands!$A$2:$FZ$601,209,Sync!$D$5)&amp;"",""),6)&lt;&gt;"SAMPLE",Config!$B$19="Y")),IFERROR(N(INDEX(Clay_Brands!$A$2:$FZ$601,209,Sync!$D$12)),0),"")</f>
        <v/>
      </c>
      <c r="C4260" s="17">
        <f>IF(B4260="","","brand")</f>
        <v/>
      </c>
      <c r="D4260" s="17">
        <f>IF(B4260="","",IFERROR(INDEX(Clay_Brands!$A$2:$FZ$601,209,Sync!$D$5)&amp;"",""))</f>
        <v/>
      </c>
      <c r="E4260" s="17">
        <f>IF(B4260="","",IFERROR(INDEX(Clay_Brands!$A$2:$FZ$601,209,Sync!$D$6)&amp;"",""))</f>
        <v/>
      </c>
      <c r="F4260" s="17">
        <f>IF(B4260="","","outreach_sent")</f>
        <v/>
      </c>
      <c r="G4260" s="17">
        <f>IF(B4260="","","")</f>
        <v/>
      </c>
      <c r="H4260" s="17">
        <f>IF(B4260="","","")</f>
        <v/>
      </c>
      <c r="I4260" s="17">
        <f>IF(B4260="","","")</f>
        <v/>
      </c>
      <c r="J4260" s="17">
        <f>IF(B4260="","","touch_2; "&amp;IFERROR(INDEX(Clay_Brands!$A$2:$FZ$601,209,Sync!$D$10)&amp;"","")&amp;"; "&amp;IFERROR(INDEX(Clay_Brands!$A$2:$FZ$601,209,Sync!$D$9)&amp;"",""))</f>
        <v/>
      </c>
      <c r="K4260" t="inlineStr">
        <is>
          <t>brand outreach touch 2</t>
        </is>
      </c>
    </row>
    <row r="4261">
      <c r="A4261" s="17">
        <f>IF(B4261="","",B4261+(16*1000+210)/10000000)</f>
        <v/>
      </c>
      <c r="B4261" s="23">
        <f>IF(AND(IFERROR(N(INDEX(Clay_Brands!$A$2:$FZ$601,210,Sync!$D$12)),0)&gt;0,IFERROR(INDEX(Clay_Brands!$A$2:$FZ$601,210,Sync!$D$5)&amp;"","")&lt;&gt;"",OR(LEFT(IFERROR(INDEX(Clay_Brands!$A$2:$FZ$601,210,Sync!$D$5)&amp;"",""),6)&lt;&gt;"SAMPLE",Config!$B$19="Y")),IFERROR(N(INDEX(Clay_Brands!$A$2:$FZ$601,210,Sync!$D$12)),0),"")</f>
        <v/>
      </c>
      <c r="C4261" s="17">
        <f>IF(B4261="","","brand")</f>
        <v/>
      </c>
      <c r="D4261" s="17">
        <f>IF(B4261="","",IFERROR(INDEX(Clay_Brands!$A$2:$FZ$601,210,Sync!$D$5)&amp;"",""))</f>
        <v/>
      </c>
      <c r="E4261" s="17">
        <f>IF(B4261="","",IFERROR(INDEX(Clay_Brands!$A$2:$FZ$601,210,Sync!$D$6)&amp;"",""))</f>
        <v/>
      </c>
      <c r="F4261" s="17">
        <f>IF(B4261="","","outreach_sent")</f>
        <v/>
      </c>
      <c r="G4261" s="17">
        <f>IF(B4261="","","")</f>
        <v/>
      </c>
      <c r="H4261" s="17">
        <f>IF(B4261="","","")</f>
        <v/>
      </c>
      <c r="I4261" s="17">
        <f>IF(B4261="","","")</f>
        <v/>
      </c>
      <c r="J4261" s="17">
        <f>IF(B4261="","","touch_2; "&amp;IFERROR(INDEX(Clay_Brands!$A$2:$FZ$601,210,Sync!$D$10)&amp;"","")&amp;"; "&amp;IFERROR(INDEX(Clay_Brands!$A$2:$FZ$601,210,Sync!$D$9)&amp;"",""))</f>
        <v/>
      </c>
      <c r="K4261" t="inlineStr">
        <is>
          <t>brand outreach touch 2</t>
        </is>
      </c>
    </row>
    <row r="4262">
      <c r="A4262" s="17">
        <f>IF(B4262="","",B4262+(16*1000+211)/10000000)</f>
        <v/>
      </c>
      <c r="B4262" s="23">
        <f>IF(AND(IFERROR(N(INDEX(Clay_Brands!$A$2:$FZ$601,211,Sync!$D$12)),0)&gt;0,IFERROR(INDEX(Clay_Brands!$A$2:$FZ$601,211,Sync!$D$5)&amp;"","")&lt;&gt;"",OR(LEFT(IFERROR(INDEX(Clay_Brands!$A$2:$FZ$601,211,Sync!$D$5)&amp;"",""),6)&lt;&gt;"SAMPLE",Config!$B$19="Y")),IFERROR(N(INDEX(Clay_Brands!$A$2:$FZ$601,211,Sync!$D$12)),0),"")</f>
        <v/>
      </c>
      <c r="C4262" s="17">
        <f>IF(B4262="","","brand")</f>
        <v/>
      </c>
      <c r="D4262" s="17">
        <f>IF(B4262="","",IFERROR(INDEX(Clay_Brands!$A$2:$FZ$601,211,Sync!$D$5)&amp;"",""))</f>
        <v/>
      </c>
      <c r="E4262" s="17">
        <f>IF(B4262="","",IFERROR(INDEX(Clay_Brands!$A$2:$FZ$601,211,Sync!$D$6)&amp;"",""))</f>
        <v/>
      </c>
      <c r="F4262" s="17">
        <f>IF(B4262="","","outreach_sent")</f>
        <v/>
      </c>
      <c r="G4262" s="17">
        <f>IF(B4262="","","")</f>
        <v/>
      </c>
      <c r="H4262" s="17">
        <f>IF(B4262="","","")</f>
        <v/>
      </c>
      <c r="I4262" s="17">
        <f>IF(B4262="","","")</f>
        <v/>
      </c>
      <c r="J4262" s="17">
        <f>IF(B4262="","","touch_2; "&amp;IFERROR(INDEX(Clay_Brands!$A$2:$FZ$601,211,Sync!$D$10)&amp;"","")&amp;"; "&amp;IFERROR(INDEX(Clay_Brands!$A$2:$FZ$601,211,Sync!$D$9)&amp;"",""))</f>
        <v/>
      </c>
      <c r="K4262" t="inlineStr">
        <is>
          <t>brand outreach touch 2</t>
        </is>
      </c>
    </row>
    <row r="4263">
      <c r="A4263" s="17">
        <f>IF(B4263="","",B4263+(16*1000+212)/10000000)</f>
        <v/>
      </c>
      <c r="B4263" s="23">
        <f>IF(AND(IFERROR(N(INDEX(Clay_Brands!$A$2:$FZ$601,212,Sync!$D$12)),0)&gt;0,IFERROR(INDEX(Clay_Brands!$A$2:$FZ$601,212,Sync!$D$5)&amp;"","")&lt;&gt;"",OR(LEFT(IFERROR(INDEX(Clay_Brands!$A$2:$FZ$601,212,Sync!$D$5)&amp;"",""),6)&lt;&gt;"SAMPLE",Config!$B$19="Y")),IFERROR(N(INDEX(Clay_Brands!$A$2:$FZ$601,212,Sync!$D$12)),0),"")</f>
        <v/>
      </c>
      <c r="C4263" s="17">
        <f>IF(B4263="","","brand")</f>
        <v/>
      </c>
      <c r="D4263" s="17">
        <f>IF(B4263="","",IFERROR(INDEX(Clay_Brands!$A$2:$FZ$601,212,Sync!$D$5)&amp;"",""))</f>
        <v/>
      </c>
      <c r="E4263" s="17">
        <f>IF(B4263="","",IFERROR(INDEX(Clay_Brands!$A$2:$FZ$601,212,Sync!$D$6)&amp;"",""))</f>
        <v/>
      </c>
      <c r="F4263" s="17">
        <f>IF(B4263="","","outreach_sent")</f>
        <v/>
      </c>
      <c r="G4263" s="17">
        <f>IF(B4263="","","")</f>
        <v/>
      </c>
      <c r="H4263" s="17">
        <f>IF(B4263="","","")</f>
        <v/>
      </c>
      <c r="I4263" s="17">
        <f>IF(B4263="","","")</f>
        <v/>
      </c>
      <c r="J4263" s="17">
        <f>IF(B4263="","","touch_2; "&amp;IFERROR(INDEX(Clay_Brands!$A$2:$FZ$601,212,Sync!$D$10)&amp;"","")&amp;"; "&amp;IFERROR(INDEX(Clay_Brands!$A$2:$FZ$601,212,Sync!$D$9)&amp;"",""))</f>
        <v/>
      </c>
      <c r="K4263" t="inlineStr">
        <is>
          <t>brand outreach touch 2</t>
        </is>
      </c>
    </row>
    <row r="4264">
      <c r="A4264" s="17">
        <f>IF(B4264="","",B4264+(16*1000+213)/10000000)</f>
        <v/>
      </c>
      <c r="B4264" s="23">
        <f>IF(AND(IFERROR(N(INDEX(Clay_Brands!$A$2:$FZ$601,213,Sync!$D$12)),0)&gt;0,IFERROR(INDEX(Clay_Brands!$A$2:$FZ$601,213,Sync!$D$5)&amp;"","")&lt;&gt;"",OR(LEFT(IFERROR(INDEX(Clay_Brands!$A$2:$FZ$601,213,Sync!$D$5)&amp;"",""),6)&lt;&gt;"SAMPLE",Config!$B$19="Y")),IFERROR(N(INDEX(Clay_Brands!$A$2:$FZ$601,213,Sync!$D$12)),0),"")</f>
        <v/>
      </c>
      <c r="C4264" s="17">
        <f>IF(B4264="","","brand")</f>
        <v/>
      </c>
      <c r="D4264" s="17">
        <f>IF(B4264="","",IFERROR(INDEX(Clay_Brands!$A$2:$FZ$601,213,Sync!$D$5)&amp;"",""))</f>
        <v/>
      </c>
      <c r="E4264" s="17">
        <f>IF(B4264="","",IFERROR(INDEX(Clay_Brands!$A$2:$FZ$601,213,Sync!$D$6)&amp;"",""))</f>
        <v/>
      </c>
      <c r="F4264" s="17">
        <f>IF(B4264="","","outreach_sent")</f>
        <v/>
      </c>
      <c r="G4264" s="17">
        <f>IF(B4264="","","")</f>
        <v/>
      </c>
      <c r="H4264" s="17">
        <f>IF(B4264="","","")</f>
        <v/>
      </c>
      <c r="I4264" s="17">
        <f>IF(B4264="","","")</f>
        <v/>
      </c>
      <c r="J4264" s="17">
        <f>IF(B4264="","","touch_2; "&amp;IFERROR(INDEX(Clay_Brands!$A$2:$FZ$601,213,Sync!$D$10)&amp;"","")&amp;"; "&amp;IFERROR(INDEX(Clay_Brands!$A$2:$FZ$601,213,Sync!$D$9)&amp;"",""))</f>
        <v/>
      </c>
      <c r="K4264" t="inlineStr">
        <is>
          <t>brand outreach touch 2</t>
        </is>
      </c>
    </row>
    <row r="4265">
      <c r="A4265" s="17">
        <f>IF(B4265="","",B4265+(16*1000+214)/10000000)</f>
        <v/>
      </c>
      <c r="B4265" s="23">
        <f>IF(AND(IFERROR(N(INDEX(Clay_Brands!$A$2:$FZ$601,214,Sync!$D$12)),0)&gt;0,IFERROR(INDEX(Clay_Brands!$A$2:$FZ$601,214,Sync!$D$5)&amp;"","")&lt;&gt;"",OR(LEFT(IFERROR(INDEX(Clay_Brands!$A$2:$FZ$601,214,Sync!$D$5)&amp;"",""),6)&lt;&gt;"SAMPLE",Config!$B$19="Y")),IFERROR(N(INDEX(Clay_Brands!$A$2:$FZ$601,214,Sync!$D$12)),0),"")</f>
        <v/>
      </c>
      <c r="C4265" s="17">
        <f>IF(B4265="","","brand")</f>
        <v/>
      </c>
      <c r="D4265" s="17">
        <f>IF(B4265="","",IFERROR(INDEX(Clay_Brands!$A$2:$FZ$601,214,Sync!$D$5)&amp;"",""))</f>
        <v/>
      </c>
      <c r="E4265" s="17">
        <f>IF(B4265="","",IFERROR(INDEX(Clay_Brands!$A$2:$FZ$601,214,Sync!$D$6)&amp;"",""))</f>
        <v/>
      </c>
      <c r="F4265" s="17">
        <f>IF(B4265="","","outreach_sent")</f>
        <v/>
      </c>
      <c r="G4265" s="17">
        <f>IF(B4265="","","")</f>
        <v/>
      </c>
      <c r="H4265" s="17">
        <f>IF(B4265="","","")</f>
        <v/>
      </c>
      <c r="I4265" s="17">
        <f>IF(B4265="","","")</f>
        <v/>
      </c>
      <c r="J4265" s="17">
        <f>IF(B4265="","","touch_2; "&amp;IFERROR(INDEX(Clay_Brands!$A$2:$FZ$601,214,Sync!$D$10)&amp;"","")&amp;"; "&amp;IFERROR(INDEX(Clay_Brands!$A$2:$FZ$601,214,Sync!$D$9)&amp;"",""))</f>
        <v/>
      </c>
      <c r="K4265" t="inlineStr">
        <is>
          <t>brand outreach touch 2</t>
        </is>
      </c>
    </row>
    <row r="4266">
      <c r="A4266" s="17">
        <f>IF(B4266="","",B4266+(16*1000+215)/10000000)</f>
        <v/>
      </c>
      <c r="B4266" s="23">
        <f>IF(AND(IFERROR(N(INDEX(Clay_Brands!$A$2:$FZ$601,215,Sync!$D$12)),0)&gt;0,IFERROR(INDEX(Clay_Brands!$A$2:$FZ$601,215,Sync!$D$5)&amp;"","")&lt;&gt;"",OR(LEFT(IFERROR(INDEX(Clay_Brands!$A$2:$FZ$601,215,Sync!$D$5)&amp;"",""),6)&lt;&gt;"SAMPLE",Config!$B$19="Y")),IFERROR(N(INDEX(Clay_Brands!$A$2:$FZ$601,215,Sync!$D$12)),0),"")</f>
        <v/>
      </c>
      <c r="C4266" s="17">
        <f>IF(B4266="","","brand")</f>
        <v/>
      </c>
      <c r="D4266" s="17">
        <f>IF(B4266="","",IFERROR(INDEX(Clay_Brands!$A$2:$FZ$601,215,Sync!$D$5)&amp;"",""))</f>
        <v/>
      </c>
      <c r="E4266" s="17">
        <f>IF(B4266="","",IFERROR(INDEX(Clay_Brands!$A$2:$FZ$601,215,Sync!$D$6)&amp;"",""))</f>
        <v/>
      </c>
      <c r="F4266" s="17">
        <f>IF(B4266="","","outreach_sent")</f>
        <v/>
      </c>
      <c r="G4266" s="17">
        <f>IF(B4266="","","")</f>
        <v/>
      </c>
      <c r="H4266" s="17">
        <f>IF(B4266="","","")</f>
        <v/>
      </c>
      <c r="I4266" s="17">
        <f>IF(B4266="","","")</f>
        <v/>
      </c>
      <c r="J4266" s="17">
        <f>IF(B4266="","","touch_2; "&amp;IFERROR(INDEX(Clay_Brands!$A$2:$FZ$601,215,Sync!$D$10)&amp;"","")&amp;"; "&amp;IFERROR(INDEX(Clay_Brands!$A$2:$FZ$601,215,Sync!$D$9)&amp;"",""))</f>
        <v/>
      </c>
      <c r="K4266" t="inlineStr">
        <is>
          <t>brand outreach touch 2</t>
        </is>
      </c>
    </row>
    <row r="4267">
      <c r="A4267" s="17">
        <f>IF(B4267="","",B4267+(16*1000+216)/10000000)</f>
        <v/>
      </c>
      <c r="B4267" s="23">
        <f>IF(AND(IFERROR(N(INDEX(Clay_Brands!$A$2:$FZ$601,216,Sync!$D$12)),0)&gt;0,IFERROR(INDEX(Clay_Brands!$A$2:$FZ$601,216,Sync!$D$5)&amp;"","")&lt;&gt;"",OR(LEFT(IFERROR(INDEX(Clay_Brands!$A$2:$FZ$601,216,Sync!$D$5)&amp;"",""),6)&lt;&gt;"SAMPLE",Config!$B$19="Y")),IFERROR(N(INDEX(Clay_Brands!$A$2:$FZ$601,216,Sync!$D$12)),0),"")</f>
        <v/>
      </c>
      <c r="C4267" s="17">
        <f>IF(B4267="","","brand")</f>
        <v/>
      </c>
      <c r="D4267" s="17">
        <f>IF(B4267="","",IFERROR(INDEX(Clay_Brands!$A$2:$FZ$601,216,Sync!$D$5)&amp;"",""))</f>
        <v/>
      </c>
      <c r="E4267" s="17">
        <f>IF(B4267="","",IFERROR(INDEX(Clay_Brands!$A$2:$FZ$601,216,Sync!$D$6)&amp;"",""))</f>
        <v/>
      </c>
      <c r="F4267" s="17">
        <f>IF(B4267="","","outreach_sent")</f>
        <v/>
      </c>
      <c r="G4267" s="17">
        <f>IF(B4267="","","")</f>
        <v/>
      </c>
      <c r="H4267" s="17">
        <f>IF(B4267="","","")</f>
        <v/>
      </c>
      <c r="I4267" s="17">
        <f>IF(B4267="","","")</f>
        <v/>
      </c>
      <c r="J4267" s="17">
        <f>IF(B4267="","","touch_2; "&amp;IFERROR(INDEX(Clay_Brands!$A$2:$FZ$601,216,Sync!$D$10)&amp;"","")&amp;"; "&amp;IFERROR(INDEX(Clay_Brands!$A$2:$FZ$601,216,Sync!$D$9)&amp;"",""))</f>
        <v/>
      </c>
      <c r="K4267" t="inlineStr">
        <is>
          <t>brand outreach touch 2</t>
        </is>
      </c>
    </row>
    <row r="4268">
      <c r="A4268" s="17">
        <f>IF(B4268="","",B4268+(16*1000+217)/10000000)</f>
        <v/>
      </c>
      <c r="B4268" s="23">
        <f>IF(AND(IFERROR(N(INDEX(Clay_Brands!$A$2:$FZ$601,217,Sync!$D$12)),0)&gt;0,IFERROR(INDEX(Clay_Brands!$A$2:$FZ$601,217,Sync!$D$5)&amp;"","")&lt;&gt;"",OR(LEFT(IFERROR(INDEX(Clay_Brands!$A$2:$FZ$601,217,Sync!$D$5)&amp;"",""),6)&lt;&gt;"SAMPLE",Config!$B$19="Y")),IFERROR(N(INDEX(Clay_Brands!$A$2:$FZ$601,217,Sync!$D$12)),0),"")</f>
        <v/>
      </c>
      <c r="C4268" s="17">
        <f>IF(B4268="","","brand")</f>
        <v/>
      </c>
      <c r="D4268" s="17">
        <f>IF(B4268="","",IFERROR(INDEX(Clay_Brands!$A$2:$FZ$601,217,Sync!$D$5)&amp;"",""))</f>
        <v/>
      </c>
      <c r="E4268" s="17">
        <f>IF(B4268="","",IFERROR(INDEX(Clay_Brands!$A$2:$FZ$601,217,Sync!$D$6)&amp;"",""))</f>
        <v/>
      </c>
      <c r="F4268" s="17">
        <f>IF(B4268="","","outreach_sent")</f>
        <v/>
      </c>
      <c r="G4268" s="17">
        <f>IF(B4268="","","")</f>
        <v/>
      </c>
      <c r="H4268" s="17">
        <f>IF(B4268="","","")</f>
        <v/>
      </c>
      <c r="I4268" s="17">
        <f>IF(B4268="","","")</f>
        <v/>
      </c>
      <c r="J4268" s="17">
        <f>IF(B4268="","","touch_2; "&amp;IFERROR(INDEX(Clay_Brands!$A$2:$FZ$601,217,Sync!$D$10)&amp;"","")&amp;"; "&amp;IFERROR(INDEX(Clay_Brands!$A$2:$FZ$601,217,Sync!$D$9)&amp;"",""))</f>
        <v/>
      </c>
      <c r="K4268" t="inlineStr">
        <is>
          <t>brand outreach touch 2</t>
        </is>
      </c>
    </row>
    <row r="4269">
      <c r="A4269" s="17">
        <f>IF(B4269="","",B4269+(16*1000+218)/10000000)</f>
        <v/>
      </c>
      <c r="B4269" s="23">
        <f>IF(AND(IFERROR(N(INDEX(Clay_Brands!$A$2:$FZ$601,218,Sync!$D$12)),0)&gt;0,IFERROR(INDEX(Clay_Brands!$A$2:$FZ$601,218,Sync!$D$5)&amp;"","")&lt;&gt;"",OR(LEFT(IFERROR(INDEX(Clay_Brands!$A$2:$FZ$601,218,Sync!$D$5)&amp;"",""),6)&lt;&gt;"SAMPLE",Config!$B$19="Y")),IFERROR(N(INDEX(Clay_Brands!$A$2:$FZ$601,218,Sync!$D$12)),0),"")</f>
        <v/>
      </c>
      <c r="C4269" s="17">
        <f>IF(B4269="","","brand")</f>
        <v/>
      </c>
      <c r="D4269" s="17">
        <f>IF(B4269="","",IFERROR(INDEX(Clay_Brands!$A$2:$FZ$601,218,Sync!$D$5)&amp;"",""))</f>
        <v/>
      </c>
      <c r="E4269" s="17">
        <f>IF(B4269="","",IFERROR(INDEX(Clay_Brands!$A$2:$FZ$601,218,Sync!$D$6)&amp;"",""))</f>
        <v/>
      </c>
      <c r="F4269" s="17">
        <f>IF(B4269="","","outreach_sent")</f>
        <v/>
      </c>
      <c r="G4269" s="17">
        <f>IF(B4269="","","")</f>
        <v/>
      </c>
      <c r="H4269" s="17">
        <f>IF(B4269="","","")</f>
        <v/>
      </c>
      <c r="I4269" s="17">
        <f>IF(B4269="","","")</f>
        <v/>
      </c>
      <c r="J4269" s="17">
        <f>IF(B4269="","","touch_2; "&amp;IFERROR(INDEX(Clay_Brands!$A$2:$FZ$601,218,Sync!$D$10)&amp;"","")&amp;"; "&amp;IFERROR(INDEX(Clay_Brands!$A$2:$FZ$601,218,Sync!$D$9)&amp;"",""))</f>
        <v/>
      </c>
      <c r="K4269" t="inlineStr">
        <is>
          <t>brand outreach touch 2</t>
        </is>
      </c>
    </row>
    <row r="4270">
      <c r="A4270" s="17">
        <f>IF(B4270="","",B4270+(16*1000+219)/10000000)</f>
        <v/>
      </c>
      <c r="B4270" s="23">
        <f>IF(AND(IFERROR(N(INDEX(Clay_Brands!$A$2:$FZ$601,219,Sync!$D$12)),0)&gt;0,IFERROR(INDEX(Clay_Brands!$A$2:$FZ$601,219,Sync!$D$5)&amp;"","")&lt;&gt;"",OR(LEFT(IFERROR(INDEX(Clay_Brands!$A$2:$FZ$601,219,Sync!$D$5)&amp;"",""),6)&lt;&gt;"SAMPLE",Config!$B$19="Y")),IFERROR(N(INDEX(Clay_Brands!$A$2:$FZ$601,219,Sync!$D$12)),0),"")</f>
        <v/>
      </c>
      <c r="C4270" s="17">
        <f>IF(B4270="","","brand")</f>
        <v/>
      </c>
      <c r="D4270" s="17">
        <f>IF(B4270="","",IFERROR(INDEX(Clay_Brands!$A$2:$FZ$601,219,Sync!$D$5)&amp;"",""))</f>
        <v/>
      </c>
      <c r="E4270" s="17">
        <f>IF(B4270="","",IFERROR(INDEX(Clay_Brands!$A$2:$FZ$601,219,Sync!$D$6)&amp;"",""))</f>
        <v/>
      </c>
      <c r="F4270" s="17">
        <f>IF(B4270="","","outreach_sent")</f>
        <v/>
      </c>
      <c r="G4270" s="17">
        <f>IF(B4270="","","")</f>
        <v/>
      </c>
      <c r="H4270" s="17">
        <f>IF(B4270="","","")</f>
        <v/>
      </c>
      <c r="I4270" s="17">
        <f>IF(B4270="","","")</f>
        <v/>
      </c>
      <c r="J4270" s="17">
        <f>IF(B4270="","","touch_2; "&amp;IFERROR(INDEX(Clay_Brands!$A$2:$FZ$601,219,Sync!$D$10)&amp;"","")&amp;"; "&amp;IFERROR(INDEX(Clay_Brands!$A$2:$FZ$601,219,Sync!$D$9)&amp;"",""))</f>
        <v/>
      </c>
      <c r="K4270" t="inlineStr">
        <is>
          <t>brand outreach touch 2</t>
        </is>
      </c>
    </row>
    <row r="4271">
      <c r="A4271" s="17">
        <f>IF(B4271="","",B4271+(16*1000+220)/10000000)</f>
        <v/>
      </c>
      <c r="B4271" s="23">
        <f>IF(AND(IFERROR(N(INDEX(Clay_Brands!$A$2:$FZ$601,220,Sync!$D$12)),0)&gt;0,IFERROR(INDEX(Clay_Brands!$A$2:$FZ$601,220,Sync!$D$5)&amp;"","")&lt;&gt;"",OR(LEFT(IFERROR(INDEX(Clay_Brands!$A$2:$FZ$601,220,Sync!$D$5)&amp;"",""),6)&lt;&gt;"SAMPLE",Config!$B$19="Y")),IFERROR(N(INDEX(Clay_Brands!$A$2:$FZ$601,220,Sync!$D$12)),0),"")</f>
        <v/>
      </c>
      <c r="C4271" s="17">
        <f>IF(B4271="","","brand")</f>
        <v/>
      </c>
      <c r="D4271" s="17">
        <f>IF(B4271="","",IFERROR(INDEX(Clay_Brands!$A$2:$FZ$601,220,Sync!$D$5)&amp;"",""))</f>
        <v/>
      </c>
      <c r="E4271" s="17">
        <f>IF(B4271="","",IFERROR(INDEX(Clay_Brands!$A$2:$FZ$601,220,Sync!$D$6)&amp;"",""))</f>
        <v/>
      </c>
      <c r="F4271" s="17">
        <f>IF(B4271="","","outreach_sent")</f>
        <v/>
      </c>
      <c r="G4271" s="17">
        <f>IF(B4271="","","")</f>
        <v/>
      </c>
      <c r="H4271" s="17">
        <f>IF(B4271="","","")</f>
        <v/>
      </c>
      <c r="I4271" s="17">
        <f>IF(B4271="","","")</f>
        <v/>
      </c>
      <c r="J4271" s="17">
        <f>IF(B4271="","","touch_2; "&amp;IFERROR(INDEX(Clay_Brands!$A$2:$FZ$601,220,Sync!$D$10)&amp;"","")&amp;"; "&amp;IFERROR(INDEX(Clay_Brands!$A$2:$FZ$601,220,Sync!$D$9)&amp;"",""))</f>
        <v/>
      </c>
      <c r="K4271" t="inlineStr">
        <is>
          <t>brand outreach touch 2</t>
        </is>
      </c>
    </row>
    <row r="4272">
      <c r="A4272" s="17">
        <f>IF(B4272="","",B4272+(16*1000+221)/10000000)</f>
        <v/>
      </c>
      <c r="B4272" s="23">
        <f>IF(AND(IFERROR(N(INDEX(Clay_Brands!$A$2:$FZ$601,221,Sync!$D$12)),0)&gt;0,IFERROR(INDEX(Clay_Brands!$A$2:$FZ$601,221,Sync!$D$5)&amp;"","")&lt;&gt;"",OR(LEFT(IFERROR(INDEX(Clay_Brands!$A$2:$FZ$601,221,Sync!$D$5)&amp;"",""),6)&lt;&gt;"SAMPLE",Config!$B$19="Y")),IFERROR(N(INDEX(Clay_Brands!$A$2:$FZ$601,221,Sync!$D$12)),0),"")</f>
        <v/>
      </c>
      <c r="C4272" s="17">
        <f>IF(B4272="","","brand")</f>
        <v/>
      </c>
      <c r="D4272" s="17">
        <f>IF(B4272="","",IFERROR(INDEX(Clay_Brands!$A$2:$FZ$601,221,Sync!$D$5)&amp;"",""))</f>
        <v/>
      </c>
      <c r="E4272" s="17">
        <f>IF(B4272="","",IFERROR(INDEX(Clay_Brands!$A$2:$FZ$601,221,Sync!$D$6)&amp;"",""))</f>
        <v/>
      </c>
      <c r="F4272" s="17">
        <f>IF(B4272="","","outreach_sent")</f>
        <v/>
      </c>
      <c r="G4272" s="17">
        <f>IF(B4272="","","")</f>
        <v/>
      </c>
      <c r="H4272" s="17">
        <f>IF(B4272="","","")</f>
        <v/>
      </c>
      <c r="I4272" s="17">
        <f>IF(B4272="","","")</f>
        <v/>
      </c>
      <c r="J4272" s="17">
        <f>IF(B4272="","","touch_2; "&amp;IFERROR(INDEX(Clay_Brands!$A$2:$FZ$601,221,Sync!$D$10)&amp;"","")&amp;"; "&amp;IFERROR(INDEX(Clay_Brands!$A$2:$FZ$601,221,Sync!$D$9)&amp;"",""))</f>
        <v/>
      </c>
      <c r="K4272" t="inlineStr">
        <is>
          <t>brand outreach touch 2</t>
        </is>
      </c>
    </row>
    <row r="4273">
      <c r="A4273" s="17">
        <f>IF(B4273="","",B4273+(16*1000+222)/10000000)</f>
        <v/>
      </c>
      <c r="B4273" s="23">
        <f>IF(AND(IFERROR(N(INDEX(Clay_Brands!$A$2:$FZ$601,222,Sync!$D$12)),0)&gt;0,IFERROR(INDEX(Clay_Brands!$A$2:$FZ$601,222,Sync!$D$5)&amp;"","")&lt;&gt;"",OR(LEFT(IFERROR(INDEX(Clay_Brands!$A$2:$FZ$601,222,Sync!$D$5)&amp;"",""),6)&lt;&gt;"SAMPLE",Config!$B$19="Y")),IFERROR(N(INDEX(Clay_Brands!$A$2:$FZ$601,222,Sync!$D$12)),0),"")</f>
        <v/>
      </c>
      <c r="C4273" s="17">
        <f>IF(B4273="","","brand")</f>
        <v/>
      </c>
      <c r="D4273" s="17">
        <f>IF(B4273="","",IFERROR(INDEX(Clay_Brands!$A$2:$FZ$601,222,Sync!$D$5)&amp;"",""))</f>
        <v/>
      </c>
      <c r="E4273" s="17">
        <f>IF(B4273="","",IFERROR(INDEX(Clay_Brands!$A$2:$FZ$601,222,Sync!$D$6)&amp;"",""))</f>
        <v/>
      </c>
      <c r="F4273" s="17">
        <f>IF(B4273="","","outreach_sent")</f>
        <v/>
      </c>
      <c r="G4273" s="17">
        <f>IF(B4273="","","")</f>
        <v/>
      </c>
      <c r="H4273" s="17">
        <f>IF(B4273="","","")</f>
        <v/>
      </c>
      <c r="I4273" s="17">
        <f>IF(B4273="","","")</f>
        <v/>
      </c>
      <c r="J4273" s="17">
        <f>IF(B4273="","","touch_2; "&amp;IFERROR(INDEX(Clay_Brands!$A$2:$FZ$601,222,Sync!$D$10)&amp;"","")&amp;"; "&amp;IFERROR(INDEX(Clay_Brands!$A$2:$FZ$601,222,Sync!$D$9)&amp;"",""))</f>
        <v/>
      </c>
      <c r="K4273" t="inlineStr">
        <is>
          <t>brand outreach touch 2</t>
        </is>
      </c>
    </row>
    <row r="4274">
      <c r="A4274" s="17">
        <f>IF(B4274="","",B4274+(16*1000+223)/10000000)</f>
        <v/>
      </c>
      <c r="B4274" s="23">
        <f>IF(AND(IFERROR(N(INDEX(Clay_Brands!$A$2:$FZ$601,223,Sync!$D$12)),0)&gt;0,IFERROR(INDEX(Clay_Brands!$A$2:$FZ$601,223,Sync!$D$5)&amp;"","")&lt;&gt;"",OR(LEFT(IFERROR(INDEX(Clay_Brands!$A$2:$FZ$601,223,Sync!$D$5)&amp;"",""),6)&lt;&gt;"SAMPLE",Config!$B$19="Y")),IFERROR(N(INDEX(Clay_Brands!$A$2:$FZ$601,223,Sync!$D$12)),0),"")</f>
        <v/>
      </c>
      <c r="C4274" s="17">
        <f>IF(B4274="","","brand")</f>
        <v/>
      </c>
      <c r="D4274" s="17">
        <f>IF(B4274="","",IFERROR(INDEX(Clay_Brands!$A$2:$FZ$601,223,Sync!$D$5)&amp;"",""))</f>
        <v/>
      </c>
      <c r="E4274" s="17">
        <f>IF(B4274="","",IFERROR(INDEX(Clay_Brands!$A$2:$FZ$601,223,Sync!$D$6)&amp;"",""))</f>
        <v/>
      </c>
      <c r="F4274" s="17">
        <f>IF(B4274="","","outreach_sent")</f>
        <v/>
      </c>
      <c r="G4274" s="17">
        <f>IF(B4274="","","")</f>
        <v/>
      </c>
      <c r="H4274" s="17">
        <f>IF(B4274="","","")</f>
        <v/>
      </c>
      <c r="I4274" s="17">
        <f>IF(B4274="","","")</f>
        <v/>
      </c>
      <c r="J4274" s="17">
        <f>IF(B4274="","","touch_2; "&amp;IFERROR(INDEX(Clay_Brands!$A$2:$FZ$601,223,Sync!$D$10)&amp;"","")&amp;"; "&amp;IFERROR(INDEX(Clay_Brands!$A$2:$FZ$601,223,Sync!$D$9)&amp;"",""))</f>
        <v/>
      </c>
      <c r="K4274" t="inlineStr">
        <is>
          <t>brand outreach touch 2</t>
        </is>
      </c>
    </row>
    <row r="4275">
      <c r="A4275" s="17">
        <f>IF(B4275="","",B4275+(16*1000+224)/10000000)</f>
        <v/>
      </c>
      <c r="B4275" s="23">
        <f>IF(AND(IFERROR(N(INDEX(Clay_Brands!$A$2:$FZ$601,224,Sync!$D$12)),0)&gt;0,IFERROR(INDEX(Clay_Brands!$A$2:$FZ$601,224,Sync!$D$5)&amp;"","")&lt;&gt;"",OR(LEFT(IFERROR(INDEX(Clay_Brands!$A$2:$FZ$601,224,Sync!$D$5)&amp;"",""),6)&lt;&gt;"SAMPLE",Config!$B$19="Y")),IFERROR(N(INDEX(Clay_Brands!$A$2:$FZ$601,224,Sync!$D$12)),0),"")</f>
        <v/>
      </c>
      <c r="C4275" s="17">
        <f>IF(B4275="","","brand")</f>
        <v/>
      </c>
      <c r="D4275" s="17">
        <f>IF(B4275="","",IFERROR(INDEX(Clay_Brands!$A$2:$FZ$601,224,Sync!$D$5)&amp;"",""))</f>
        <v/>
      </c>
      <c r="E4275" s="17">
        <f>IF(B4275="","",IFERROR(INDEX(Clay_Brands!$A$2:$FZ$601,224,Sync!$D$6)&amp;"",""))</f>
        <v/>
      </c>
      <c r="F4275" s="17">
        <f>IF(B4275="","","outreach_sent")</f>
        <v/>
      </c>
      <c r="G4275" s="17">
        <f>IF(B4275="","","")</f>
        <v/>
      </c>
      <c r="H4275" s="17">
        <f>IF(B4275="","","")</f>
        <v/>
      </c>
      <c r="I4275" s="17">
        <f>IF(B4275="","","")</f>
        <v/>
      </c>
      <c r="J4275" s="17">
        <f>IF(B4275="","","touch_2; "&amp;IFERROR(INDEX(Clay_Brands!$A$2:$FZ$601,224,Sync!$D$10)&amp;"","")&amp;"; "&amp;IFERROR(INDEX(Clay_Brands!$A$2:$FZ$601,224,Sync!$D$9)&amp;"",""))</f>
        <v/>
      </c>
      <c r="K4275" t="inlineStr">
        <is>
          <t>brand outreach touch 2</t>
        </is>
      </c>
    </row>
    <row r="4276">
      <c r="A4276" s="17">
        <f>IF(B4276="","",B4276+(16*1000+225)/10000000)</f>
        <v/>
      </c>
      <c r="B4276" s="23">
        <f>IF(AND(IFERROR(N(INDEX(Clay_Brands!$A$2:$FZ$601,225,Sync!$D$12)),0)&gt;0,IFERROR(INDEX(Clay_Brands!$A$2:$FZ$601,225,Sync!$D$5)&amp;"","")&lt;&gt;"",OR(LEFT(IFERROR(INDEX(Clay_Brands!$A$2:$FZ$601,225,Sync!$D$5)&amp;"",""),6)&lt;&gt;"SAMPLE",Config!$B$19="Y")),IFERROR(N(INDEX(Clay_Brands!$A$2:$FZ$601,225,Sync!$D$12)),0),"")</f>
        <v/>
      </c>
      <c r="C4276" s="17">
        <f>IF(B4276="","","brand")</f>
        <v/>
      </c>
      <c r="D4276" s="17">
        <f>IF(B4276="","",IFERROR(INDEX(Clay_Brands!$A$2:$FZ$601,225,Sync!$D$5)&amp;"",""))</f>
        <v/>
      </c>
      <c r="E4276" s="17">
        <f>IF(B4276="","",IFERROR(INDEX(Clay_Brands!$A$2:$FZ$601,225,Sync!$D$6)&amp;"",""))</f>
        <v/>
      </c>
      <c r="F4276" s="17">
        <f>IF(B4276="","","outreach_sent")</f>
        <v/>
      </c>
      <c r="G4276" s="17">
        <f>IF(B4276="","","")</f>
        <v/>
      </c>
      <c r="H4276" s="17">
        <f>IF(B4276="","","")</f>
        <v/>
      </c>
      <c r="I4276" s="17">
        <f>IF(B4276="","","")</f>
        <v/>
      </c>
      <c r="J4276" s="17">
        <f>IF(B4276="","","touch_2; "&amp;IFERROR(INDEX(Clay_Brands!$A$2:$FZ$601,225,Sync!$D$10)&amp;"","")&amp;"; "&amp;IFERROR(INDEX(Clay_Brands!$A$2:$FZ$601,225,Sync!$D$9)&amp;"",""))</f>
        <v/>
      </c>
      <c r="K4276" t="inlineStr">
        <is>
          <t>brand outreach touch 2</t>
        </is>
      </c>
    </row>
    <row r="4277">
      <c r="A4277" s="17">
        <f>IF(B4277="","",B4277+(16*1000+226)/10000000)</f>
        <v/>
      </c>
      <c r="B4277" s="23">
        <f>IF(AND(IFERROR(N(INDEX(Clay_Brands!$A$2:$FZ$601,226,Sync!$D$12)),0)&gt;0,IFERROR(INDEX(Clay_Brands!$A$2:$FZ$601,226,Sync!$D$5)&amp;"","")&lt;&gt;"",OR(LEFT(IFERROR(INDEX(Clay_Brands!$A$2:$FZ$601,226,Sync!$D$5)&amp;"",""),6)&lt;&gt;"SAMPLE",Config!$B$19="Y")),IFERROR(N(INDEX(Clay_Brands!$A$2:$FZ$601,226,Sync!$D$12)),0),"")</f>
        <v/>
      </c>
      <c r="C4277" s="17">
        <f>IF(B4277="","","brand")</f>
        <v/>
      </c>
      <c r="D4277" s="17">
        <f>IF(B4277="","",IFERROR(INDEX(Clay_Brands!$A$2:$FZ$601,226,Sync!$D$5)&amp;"",""))</f>
        <v/>
      </c>
      <c r="E4277" s="17">
        <f>IF(B4277="","",IFERROR(INDEX(Clay_Brands!$A$2:$FZ$601,226,Sync!$D$6)&amp;"",""))</f>
        <v/>
      </c>
      <c r="F4277" s="17">
        <f>IF(B4277="","","outreach_sent")</f>
        <v/>
      </c>
      <c r="G4277" s="17">
        <f>IF(B4277="","","")</f>
        <v/>
      </c>
      <c r="H4277" s="17">
        <f>IF(B4277="","","")</f>
        <v/>
      </c>
      <c r="I4277" s="17">
        <f>IF(B4277="","","")</f>
        <v/>
      </c>
      <c r="J4277" s="17">
        <f>IF(B4277="","","touch_2; "&amp;IFERROR(INDEX(Clay_Brands!$A$2:$FZ$601,226,Sync!$D$10)&amp;"","")&amp;"; "&amp;IFERROR(INDEX(Clay_Brands!$A$2:$FZ$601,226,Sync!$D$9)&amp;"",""))</f>
        <v/>
      </c>
      <c r="K4277" t="inlineStr">
        <is>
          <t>brand outreach touch 2</t>
        </is>
      </c>
    </row>
    <row r="4278">
      <c r="A4278" s="17">
        <f>IF(B4278="","",B4278+(16*1000+227)/10000000)</f>
        <v/>
      </c>
      <c r="B4278" s="23">
        <f>IF(AND(IFERROR(N(INDEX(Clay_Brands!$A$2:$FZ$601,227,Sync!$D$12)),0)&gt;0,IFERROR(INDEX(Clay_Brands!$A$2:$FZ$601,227,Sync!$D$5)&amp;"","")&lt;&gt;"",OR(LEFT(IFERROR(INDEX(Clay_Brands!$A$2:$FZ$601,227,Sync!$D$5)&amp;"",""),6)&lt;&gt;"SAMPLE",Config!$B$19="Y")),IFERROR(N(INDEX(Clay_Brands!$A$2:$FZ$601,227,Sync!$D$12)),0),"")</f>
        <v/>
      </c>
      <c r="C4278" s="17">
        <f>IF(B4278="","","brand")</f>
        <v/>
      </c>
      <c r="D4278" s="17">
        <f>IF(B4278="","",IFERROR(INDEX(Clay_Brands!$A$2:$FZ$601,227,Sync!$D$5)&amp;"",""))</f>
        <v/>
      </c>
      <c r="E4278" s="17">
        <f>IF(B4278="","",IFERROR(INDEX(Clay_Brands!$A$2:$FZ$601,227,Sync!$D$6)&amp;"",""))</f>
        <v/>
      </c>
      <c r="F4278" s="17">
        <f>IF(B4278="","","outreach_sent")</f>
        <v/>
      </c>
      <c r="G4278" s="17">
        <f>IF(B4278="","","")</f>
        <v/>
      </c>
      <c r="H4278" s="17">
        <f>IF(B4278="","","")</f>
        <v/>
      </c>
      <c r="I4278" s="17">
        <f>IF(B4278="","","")</f>
        <v/>
      </c>
      <c r="J4278" s="17">
        <f>IF(B4278="","","touch_2; "&amp;IFERROR(INDEX(Clay_Brands!$A$2:$FZ$601,227,Sync!$D$10)&amp;"","")&amp;"; "&amp;IFERROR(INDEX(Clay_Brands!$A$2:$FZ$601,227,Sync!$D$9)&amp;"",""))</f>
        <v/>
      </c>
      <c r="K4278" t="inlineStr">
        <is>
          <t>brand outreach touch 2</t>
        </is>
      </c>
    </row>
    <row r="4279">
      <c r="A4279" s="17">
        <f>IF(B4279="","",B4279+(16*1000+228)/10000000)</f>
        <v/>
      </c>
      <c r="B4279" s="23">
        <f>IF(AND(IFERROR(N(INDEX(Clay_Brands!$A$2:$FZ$601,228,Sync!$D$12)),0)&gt;0,IFERROR(INDEX(Clay_Brands!$A$2:$FZ$601,228,Sync!$D$5)&amp;"","")&lt;&gt;"",OR(LEFT(IFERROR(INDEX(Clay_Brands!$A$2:$FZ$601,228,Sync!$D$5)&amp;"",""),6)&lt;&gt;"SAMPLE",Config!$B$19="Y")),IFERROR(N(INDEX(Clay_Brands!$A$2:$FZ$601,228,Sync!$D$12)),0),"")</f>
        <v/>
      </c>
      <c r="C4279" s="17">
        <f>IF(B4279="","","brand")</f>
        <v/>
      </c>
      <c r="D4279" s="17">
        <f>IF(B4279="","",IFERROR(INDEX(Clay_Brands!$A$2:$FZ$601,228,Sync!$D$5)&amp;"",""))</f>
        <v/>
      </c>
      <c r="E4279" s="17">
        <f>IF(B4279="","",IFERROR(INDEX(Clay_Brands!$A$2:$FZ$601,228,Sync!$D$6)&amp;"",""))</f>
        <v/>
      </c>
      <c r="F4279" s="17">
        <f>IF(B4279="","","outreach_sent")</f>
        <v/>
      </c>
      <c r="G4279" s="17">
        <f>IF(B4279="","","")</f>
        <v/>
      </c>
      <c r="H4279" s="17">
        <f>IF(B4279="","","")</f>
        <v/>
      </c>
      <c r="I4279" s="17">
        <f>IF(B4279="","","")</f>
        <v/>
      </c>
      <c r="J4279" s="17">
        <f>IF(B4279="","","touch_2; "&amp;IFERROR(INDEX(Clay_Brands!$A$2:$FZ$601,228,Sync!$D$10)&amp;"","")&amp;"; "&amp;IFERROR(INDEX(Clay_Brands!$A$2:$FZ$601,228,Sync!$D$9)&amp;"",""))</f>
        <v/>
      </c>
      <c r="K4279" t="inlineStr">
        <is>
          <t>brand outreach touch 2</t>
        </is>
      </c>
    </row>
    <row r="4280">
      <c r="A4280" s="17">
        <f>IF(B4280="","",B4280+(16*1000+229)/10000000)</f>
        <v/>
      </c>
      <c r="B4280" s="23">
        <f>IF(AND(IFERROR(N(INDEX(Clay_Brands!$A$2:$FZ$601,229,Sync!$D$12)),0)&gt;0,IFERROR(INDEX(Clay_Brands!$A$2:$FZ$601,229,Sync!$D$5)&amp;"","")&lt;&gt;"",OR(LEFT(IFERROR(INDEX(Clay_Brands!$A$2:$FZ$601,229,Sync!$D$5)&amp;"",""),6)&lt;&gt;"SAMPLE",Config!$B$19="Y")),IFERROR(N(INDEX(Clay_Brands!$A$2:$FZ$601,229,Sync!$D$12)),0),"")</f>
        <v/>
      </c>
      <c r="C4280" s="17">
        <f>IF(B4280="","","brand")</f>
        <v/>
      </c>
      <c r="D4280" s="17">
        <f>IF(B4280="","",IFERROR(INDEX(Clay_Brands!$A$2:$FZ$601,229,Sync!$D$5)&amp;"",""))</f>
        <v/>
      </c>
      <c r="E4280" s="17">
        <f>IF(B4280="","",IFERROR(INDEX(Clay_Brands!$A$2:$FZ$601,229,Sync!$D$6)&amp;"",""))</f>
        <v/>
      </c>
      <c r="F4280" s="17">
        <f>IF(B4280="","","outreach_sent")</f>
        <v/>
      </c>
      <c r="G4280" s="17">
        <f>IF(B4280="","","")</f>
        <v/>
      </c>
      <c r="H4280" s="17">
        <f>IF(B4280="","","")</f>
        <v/>
      </c>
      <c r="I4280" s="17">
        <f>IF(B4280="","","")</f>
        <v/>
      </c>
      <c r="J4280" s="17">
        <f>IF(B4280="","","touch_2; "&amp;IFERROR(INDEX(Clay_Brands!$A$2:$FZ$601,229,Sync!$D$10)&amp;"","")&amp;"; "&amp;IFERROR(INDEX(Clay_Brands!$A$2:$FZ$601,229,Sync!$D$9)&amp;"",""))</f>
        <v/>
      </c>
      <c r="K4280" t="inlineStr">
        <is>
          <t>brand outreach touch 2</t>
        </is>
      </c>
    </row>
    <row r="4281">
      <c r="A4281" s="17">
        <f>IF(B4281="","",B4281+(16*1000+230)/10000000)</f>
        <v/>
      </c>
      <c r="B4281" s="23">
        <f>IF(AND(IFERROR(N(INDEX(Clay_Brands!$A$2:$FZ$601,230,Sync!$D$12)),0)&gt;0,IFERROR(INDEX(Clay_Brands!$A$2:$FZ$601,230,Sync!$D$5)&amp;"","")&lt;&gt;"",OR(LEFT(IFERROR(INDEX(Clay_Brands!$A$2:$FZ$601,230,Sync!$D$5)&amp;"",""),6)&lt;&gt;"SAMPLE",Config!$B$19="Y")),IFERROR(N(INDEX(Clay_Brands!$A$2:$FZ$601,230,Sync!$D$12)),0),"")</f>
        <v/>
      </c>
      <c r="C4281" s="17">
        <f>IF(B4281="","","brand")</f>
        <v/>
      </c>
      <c r="D4281" s="17">
        <f>IF(B4281="","",IFERROR(INDEX(Clay_Brands!$A$2:$FZ$601,230,Sync!$D$5)&amp;"",""))</f>
        <v/>
      </c>
      <c r="E4281" s="17">
        <f>IF(B4281="","",IFERROR(INDEX(Clay_Brands!$A$2:$FZ$601,230,Sync!$D$6)&amp;"",""))</f>
        <v/>
      </c>
      <c r="F4281" s="17">
        <f>IF(B4281="","","outreach_sent")</f>
        <v/>
      </c>
      <c r="G4281" s="17">
        <f>IF(B4281="","","")</f>
        <v/>
      </c>
      <c r="H4281" s="17">
        <f>IF(B4281="","","")</f>
        <v/>
      </c>
      <c r="I4281" s="17">
        <f>IF(B4281="","","")</f>
        <v/>
      </c>
      <c r="J4281" s="17">
        <f>IF(B4281="","","touch_2; "&amp;IFERROR(INDEX(Clay_Brands!$A$2:$FZ$601,230,Sync!$D$10)&amp;"","")&amp;"; "&amp;IFERROR(INDEX(Clay_Brands!$A$2:$FZ$601,230,Sync!$D$9)&amp;"",""))</f>
        <v/>
      </c>
      <c r="K4281" t="inlineStr">
        <is>
          <t>brand outreach touch 2</t>
        </is>
      </c>
    </row>
    <row r="4282">
      <c r="A4282" s="17">
        <f>IF(B4282="","",B4282+(16*1000+231)/10000000)</f>
        <v/>
      </c>
      <c r="B4282" s="23">
        <f>IF(AND(IFERROR(N(INDEX(Clay_Brands!$A$2:$FZ$601,231,Sync!$D$12)),0)&gt;0,IFERROR(INDEX(Clay_Brands!$A$2:$FZ$601,231,Sync!$D$5)&amp;"","")&lt;&gt;"",OR(LEFT(IFERROR(INDEX(Clay_Brands!$A$2:$FZ$601,231,Sync!$D$5)&amp;"",""),6)&lt;&gt;"SAMPLE",Config!$B$19="Y")),IFERROR(N(INDEX(Clay_Brands!$A$2:$FZ$601,231,Sync!$D$12)),0),"")</f>
        <v/>
      </c>
      <c r="C4282" s="17">
        <f>IF(B4282="","","brand")</f>
        <v/>
      </c>
      <c r="D4282" s="17">
        <f>IF(B4282="","",IFERROR(INDEX(Clay_Brands!$A$2:$FZ$601,231,Sync!$D$5)&amp;"",""))</f>
        <v/>
      </c>
      <c r="E4282" s="17">
        <f>IF(B4282="","",IFERROR(INDEX(Clay_Brands!$A$2:$FZ$601,231,Sync!$D$6)&amp;"",""))</f>
        <v/>
      </c>
      <c r="F4282" s="17">
        <f>IF(B4282="","","outreach_sent")</f>
        <v/>
      </c>
      <c r="G4282" s="17">
        <f>IF(B4282="","","")</f>
        <v/>
      </c>
      <c r="H4282" s="17">
        <f>IF(B4282="","","")</f>
        <v/>
      </c>
      <c r="I4282" s="17">
        <f>IF(B4282="","","")</f>
        <v/>
      </c>
      <c r="J4282" s="17">
        <f>IF(B4282="","","touch_2; "&amp;IFERROR(INDEX(Clay_Brands!$A$2:$FZ$601,231,Sync!$D$10)&amp;"","")&amp;"; "&amp;IFERROR(INDEX(Clay_Brands!$A$2:$FZ$601,231,Sync!$D$9)&amp;"",""))</f>
        <v/>
      </c>
      <c r="K4282" t="inlineStr">
        <is>
          <t>brand outreach touch 2</t>
        </is>
      </c>
    </row>
    <row r="4283">
      <c r="A4283" s="17">
        <f>IF(B4283="","",B4283+(16*1000+232)/10000000)</f>
        <v/>
      </c>
      <c r="B4283" s="23">
        <f>IF(AND(IFERROR(N(INDEX(Clay_Brands!$A$2:$FZ$601,232,Sync!$D$12)),0)&gt;0,IFERROR(INDEX(Clay_Brands!$A$2:$FZ$601,232,Sync!$D$5)&amp;"","")&lt;&gt;"",OR(LEFT(IFERROR(INDEX(Clay_Brands!$A$2:$FZ$601,232,Sync!$D$5)&amp;"",""),6)&lt;&gt;"SAMPLE",Config!$B$19="Y")),IFERROR(N(INDEX(Clay_Brands!$A$2:$FZ$601,232,Sync!$D$12)),0),"")</f>
        <v/>
      </c>
      <c r="C4283" s="17">
        <f>IF(B4283="","","brand")</f>
        <v/>
      </c>
      <c r="D4283" s="17">
        <f>IF(B4283="","",IFERROR(INDEX(Clay_Brands!$A$2:$FZ$601,232,Sync!$D$5)&amp;"",""))</f>
        <v/>
      </c>
      <c r="E4283" s="17">
        <f>IF(B4283="","",IFERROR(INDEX(Clay_Brands!$A$2:$FZ$601,232,Sync!$D$6)&amp;"",""))</f>
        <v/>
      </c>
      <c r="F4283" s="17">
        <f>IF(B4283="","","outreach_sent")</f>
        <v/>
      </c>
      <c r="G4283" s="17">
        <f>IF(B4283="","","")</f>
        <v/>
      </c>
      <c r="H4283" s="17">
        <f>IF(B4283="","","")</f>
        <v/>
      </c>
      <c r="I4283" s="17">
        <f>IF(B4283="","","")</f>
        <v/>
      </c>
      <c r="J4283" s="17">
        <f>IF(B4283="","","touch_2; "&amp;IFERROR(INDEX(Clay_Brands!$A$2:$FZ$601,232,Sync!$D$10)&amp;"","")&amp;"; "&amp;IFERROR(INDEX(Clay_Brands!$A$2:$FZ$601,232,Sync!$D$9)&amp;"",""))</f>
        <v/>
      </c>
      <c r="K4283" t="inlineStr">
        <is>
          <t>brand outreach touch 2</t>
        </is>
      </c>
    </row>
    <row r="4284">
      <c r="A4284" s="17">
        <f>IF(B4284="","",B4284+(16*1000+233)/10000000)</f>
        <v/>
      </c>
      <c r="B4284" s="23">
        <f>IF(AND(IFERROR(N(INDEX(Clay_Brands!$A$2:$FZ$601,233,Sync!$D$12)),0)&gt;0,IFERROR(INDEX(Clay_Brands!$A$2:$FZ$601,233,Sync!$D$5)&amp;"","")&lt;&gt;"",OR(LEFT(IFERROR(INDEX(Clay_Brands!$A$2:$FZ$601,233,Sync!$D$5)&amp;"",""),6)&lt;&gt;"SAMPLE",Config!$B$19="Y")),IFERROR(N(INDEX(Clay_Brands!$A$2:$FZ$601,233,Sync!$D$12)),0),"")</f>
        <v/>
      </c>
      <c r="C4284" s="17">
        <f>IF(B4284="","","brand")</f>
        <v/>
      </c>
      <c r="D4284" s="17">
        <f>IF(B4284="","",IFERROR(INDEX(Clay_Brands!$A$2:$FZ$601,233,Sync!$D$5)&amp;"",""))</f>
        <v/>
      </c>
      <c r="E4284" s="17">
        <f>IF(B4284="","",IFERROR(INDEX(Clay_Brands!$A$2:$FZ$601,233,Sync!$D$6)&amp;"",""))</f>
        <v/>
      </c>
      <c r="F4284" s="17">
        <f>IF(B4284="","","outreach_sent")</f>
        <v/>
      </c>
      <c r="G4284" s="17">
        <f>IF(B4284="","","")</f>
        <v/>
      </c>
      <c r="H4284" s="17">
        <f>IF(B4284="","","")</f>
        <v/>
      </c>
      <c r="I4284" s="17">
        <f>IF(B4284="","","")</f>
        <v/>
      </c>
      <c r="J4284" s="17">
        <f>IF(B4284="","","touch_2; "&amp;IFERROR(INDEX(Clay_Brands!$A$2:$FZ$601,233,Sync!$D$10)&amp;"","")&amp;"; "&amp;IFERROR(INDEX(Clay_Brands!$A$2:$FZ$601,233,Sync!$D$9)&amp;"",""))</f>
        <v/>
      </c>
      <c r="K4284" t="inlineStr">
        <is>
          <t>brand outreach touch 2</t>
        </is>
      </c>
    </row>
    <row r="4285">
      <c r="A4285" s="17">
        <f>IF(B4285="","",B4285+(16*1000+234)/10000000)</f>
        <v/>
      </c>
      <c r="B4285" s="23">
        <f>IF(AND(IFERROR(N(INDEX(Clay_Brands!$A$2:$FZ$601,234,Sync!$D$12)),0)&gt;0,IFERROR(INDEX(Clay_Brands!$A$2:$FZ$601,234,Sync!$D$5)&amp;"","")&lt;&gt;"",OR(LEFT(IFERROR(INDEX(Clay_Brands!$A$2:$FZ$601,234,Sync!$D$5)&amp;"",""),6)&lt;&gt;"SAMPLE",Config!$B$19="Y")),IFERROR(N(INDEX(Clay_Brands!$A$2:$FZ$601,234,Sync!$D$12)),0),"")</f>
        <v/>
      </c>
      <c r="C4285" s="17">
        <f>IF(B4285="","","brand")</f>
        <v/>
      </c>
      <c r="D4285" s="17">
        <f>IF(B4285="","",IFERROR(INDEX(Clay_Brands!$A$2:$FZ$601,234,Sync!$D$5)&amp;"",""))</f>
        <v/>
      </c>
      <c r="E4285" s="17">
        <f>IF(B4285="","",IFERROR(INDEX(Clay_Brands!$A$2:$FZ$601,234,Sync!$D$6)&amp;"",""))</f>
        <v/>
      </c>
      <c r="F4285" s="17">
        <f>IF(B4285="","","outreach_sent")</f>
        <v/>
      </c>
      <c r="G4285" s="17">
        <f>IF(B4285="","","")</f>
        <v/>
      </c>
      <c r="H4285" s="17">
        <f>IF(B4285="","","")</f>
        <v/>
      </c>
      <c r="I4285" s="17">
        <f>IF(B4285="","","")</f>
        <v/>
      </c>
      <c r="J4285" s="17">
        <f>IF(B4285="","","touch_2; "&amp;IFERROR(INDEX(Clay_Brands!$A$2:$FZ$601,234,Sync!$D$10)&amp;"","")&amp;"; "&amp;IFERROR(INDEX(Clay_Brands!$A$2:$FZ$601,234,Sync!$D$9)&amp;"",""))</f>
        <v/>
      </c>
      <c r="K4285" t="inlineStr">
        <is>
          <t>brand outreach touch 2</t>
        </is>
      </c>
    </row>
    <row r="4286">
      <c r="A4286" s="17">
        <f>IF(B4286="","",B4286+(16*1000+235)/10000000)</f>
        <v/>
      </c>
      <c r="B4286" s="23">
        <f>IF(AND(IFERROR(N(INDEX(Clay_Brands!$A$2:$FZ$601,235,Sync!$D$12)),0)&gt;0,IFERROR(INDEX(Clay_Brands!$A$2:$FZ$601,235,Sync!$D$5)&amp;"","")&lt;&gt;"",OR(LEFT(IFERROR(INDEX(Clay_Brands!$A$2:$FZ$601,235,Sync!$D$5)&amp;"",""),6)&lt;&gt;"SAMPLE",Config!$B$19="Y")),IFERROR(N(INDEX(Clay_Brands!$A$2:$FZ$601,235,Sync!$D$12)),0),"")</f>
        <v/>
      </c>
      <c r="C4286" s="17">
        <f>IF(B4286="","","brand")</f>
        <v/>
      </c>
      <c r="D4286" s="17">
        <f>IF(B4286="","",IFERROR(INDEX(Clay_Brands!$A$2:$FZ$601,235,Sync!$D$5)&amp;"",""))</f>
        <v/>
      </c>
      <c r="E4286" s="17">
        <f>IF(B4286="","",IFERROR(INDEX(Clay_Brands!$A$2:$FZ$601,235,Sync!$D$6)&amp;"",""))</f>
        <v/>
      </c>
      <c r="F4286" s="17">
        <f>IF(B4286="","","outreach_sent")</f>
        <v/>
      </c>
      <c r="G4286" s="17">
        <f>IF(B4286="","","")</f>
        <v/>
      </c>
      <c r="H4286" s="17">
        <f>IF(B4286="","","")</f>
        <v/>
      </c>
      <c r="I4286" s="17">
        <f>IF(B4286="","","")</f>
        <v/>
      </c>
      <c r="J4286" s="17">
        <f>IF(B4286="","","touch_2; "&amp;IFERROR(INDEX(Clay_Brands!$A$2:$FZ$601,235,Sync!$D$10)&amp;"","")&amp;"; "&amp;IFERROR(INDEX(Clay_Brands!$A$2:$FZ$601,235,Sync!$D$9)&amp;"",""))</f>
        <v/>
      </c>
      <c r="K4286" t="inlineStr">
        <is>
          <t>brand outreach touch 2</t>
        </is>
      </c>
    </row>
    <row r="4287">
      <c r="A4287" s="17">
        <f>IF(B4287="","",B4287+(16*1000+236)/10000000)</f>
        <v/>
      </c>
      <c r="B4287" s="23">
        <f>IF(AND(IFERROR(N(INDEX(Clay_Brands!$A$2:$FZ$601,236,Sync!$D$12)),0)&gt;0,IFERROR(INDEX(Clay_Brands!$A$2:$FZ$601,236,Sync!$D$5)&amp;"","")&lt;&gt;"",OR(LEFT(IFERROR(INDEX(Clay_Brands!$A$2:$FZ$601,236,Sync!$D$5)&amp;"",""),6)&lt;&gt;"SAMPLE",Config!$B$19="Y")),IFERROR(N(INDEX(Clay_Brands!$A$2:$FZ$601,236,Sync!$D$12)),0),"")</f>
        <v/>
      </c>
      <c r="C4287" s="17">
        <f>IF(B4287="","","brand")</f>
        <v/>
      </c>
      <c r="D4287" s="17">
        <f>IF(B4287="","",IFERROR(INDEX(Clay_Brands!$A$2:$FZ$601,236,Sync!$D$5)&amp;"",""))</f>
        <v/>
      </c>
      <c r="E4287" s="17">
        <f>IF(B4287="","",IFERROR(INDEX(Clay_Brands!$A$2:$FZ$601,236,Sync!$D$6)&amp;"",""))</f>
        <v/>
      </c>
      <c r="F4287" s="17">
        <f>IF(B4287="","","outreach_sent")</f>
        <v/>
      </c>
      <c r="G4287" s="17">
        <f>IF(B4287="","","")</f>
        <v/>
      </c>
      <c r="H4287" s="17">
        <f>IF(B4287="","","")</f>
        <v/>
      </c>
      <c r="I4287" s="17">
        <f>IF(B4287="","","")</f>
        <v/>
      </c>
      <c r="J4287" s="17">
        <f>IF(B4287="","","touch_2; "&amp;IFERROR(INDEX(Clay_Brands!$A$2:$FZ$601,236,Sync!$D$10)&amp;"","")&amp;"; "&amp;IFERROR(INDEX(Clay_Brands!$A$2:$FZ$601,236,Sync!$D$9)&amp;"",""))</f>
        <v/>
      </c>
      <c r="K4287" t="inlineStr">
        <is>
          <t>brand outreach touch 2</t>
        </is>
      </c>
    </row>
    <row r="4288">
      <c r="A4288" s="17">
        <f>IF(B4288="","",B4288+(16*1000+237)/10000000)</f>
        <v/>
      </c>
      <c r="B4288" s="23">
        <f>IF(AND(IFERROR(N(INDEX(Clay_Brands!$A$2:$FZ$601,237,Sync!$D$12)),0)&gt;0,IFERROR(INDEX(Clay_Brands!$A$2:$FZ$601,237,Sync!$D$5)&amp;"","")&lt;&gt;"",OR(LEFT(IFERROR(INDEX(Clay_Brands!$A$2:$FZ$601,237,Sync!$D$5)&amp;"",""),6)&lt;&gt;"SAMPLE",Config!$B$19="Y")),IFERROR(N(INDEX(Clay_Brands!$A$2:$FZ$601,237,Sync!$D$12)),0),"")</f>
        <v/>
      </c>
      <c r="C4288" s="17">
        <f>IF(B4288="","","brand")</f>
        <v/>
      </c>
      <c r="D4288" s="17">
        <f>IF(B4288="","",IFERROR(INDEX(Clay_Brands!$A$2:$FZ$601,237,Sync!$D$5)&amp;"",""))</f>
        <v/>
      </c>
      <c r="E4288" s="17">
        <f>IF(B4288="","",IFERROR(INDEX(Clay_Brands!$A$2:$FZ$601,237,Sync!$D$6)&amp;"",""))</f>
        <v/>
      </c>
      <c r="F4288" s="17">
        <f>IF(B4288="","","outreach_sent")</f>
        <v/>
      </c>
      <c r="G4288" s="17">
        <f>IF(B4288="","","")</f>
        <v/>
      </c>
      <c r="H4288" s="17">
        <f>IF(B4288="","","")</f>
        <v/>
      </c>
      <c r="I4288" s="17">
        <f>IF(B4288="","","")</f>
        <v/>
      </c>
      <c r="J4288" s="17">
        <f>IF(B4288="","","touch_2; "&amp;IFERROR(INDEX(Clay_Brands!$A$2:$FZ$601,237,Sync!$D$10)&amp;"","")&amp;"; "&amp;IFERROR(INDEX(Clay_Brands!$A$2:$FZ$601,237,Sync!$D$9)&amp;"",""))</f>
        <v/>
      </c>
      <c r="K4288" t="inlineStr">
        <is>
          <t>brand outreach touch 2</t>
        </is>
      </c>
    </row>
    <row r="4289">
      <c r="A4289" s="17">
        <f>IF(B4289="","",B4289+(16*1000+238)/10000000)</f>
        <v/>
      </c>
      <c r="B4289" s="23">
        <f>IF(AND(IFERROR(N(INDEX(Clay_Brands!$A$2:$FZ$601,238,Sync!$D$12)),0)&gt;0,IFERROR(INDEX(Clay_Brands!$A$2:$FZ$601,238,Sync!$D$5)&amp;"","")&lt;&gt;"",OR(LEFT(IFERROR(INDEX(Clay_Brands!$A$2:$FZ$601,238,Sync!$D$5)&amp;"",""),6)&lt;&gt;"SAMPLE",Config!$B$19="Y")),IFERROR(N(INDEX(Clay_Brands!$A$2:$FZ$601,238,Sync!$D$12)),0),"")</f>
        <v/>
      </c>
      <c r="C4289" s="17">
        <f>IF(B4289="","","brand")</f>
        <v/>
      </c>
      <c r="D4289" s="17">
        <f>IF(B4289="","",IFERROR(INDEX(Clay_Brands!$A$2:$FZ$601,238,Sync!$D$5)&amp;"",""))</f>
        <v/>
      </c>
      <c r="E4289" s="17">
        <f>IF(B4289="","",IFERROR(INDEX(Clay_Brands!$A$2:$FZ$601,238,Sync!$D$6)&amp;"",""))</f>
        <v/>
      </c>
      <c r="F4289" s="17">
        <f>IF(B4289="","","outreach_sent")</f>
        <v/>
      </c>
      <c r="G4289" s="17">
        <f>IF(B4289="","","")</f>
        <v/>
      </c>
      <c r="H4289" s="17">
        <f>IF(B4289="","","")</f>
        <v/>
      </c>
      <c r="I4289" s="17">
        <f>IF(B4289="","","")</f>
        <v/>
      </c>
      <c r="J4289" s="17">
        <f>IF(B4289="","","touch_2; "&amp;IFERROR(INDEX(Clay_Brands!$A$2:$FZ$601,238,Sync!$D$10)&amp;"","")&amp;"; "&amp;IFERROR(INDEX(Clay_Brands!$A$2:$FZ$601,238,Sync!$D$9)&amp;"",""))</f>
        <v/>
      </c>
      <c r="K4289" t="inlineStr">
        <is>
          <t>brand outreach touch 2</t>
        </is>
      </c>
    </row>
    <row r="4290">
      <c r="A4290" s="17">
        <f>IF(B4290="","",B4290+(16*1000+239)/10000000)</f>
        <v/>
      </c>
      <c r="B4290" s="23">
        <f>IF(AND(IFERROR(N(INDEX(Clay_Brands!$A$2:$FZ$601,239,Sync!$D$12)),0)&gt;0,IFERROR(INDEX(Clay_Brands!$A$2:$FZ$601,239,Sync!$D$5)&amp;"","")&lt;&gt;"",OR(LEFT(IFERROR(INDEX(Clay_Brands!$A$2:$FZ$601,239,Sync!$D$5)&amp;"",""),6)&lt;&gt;"SAMPLE",Config!$B$19="Y")),IFERROR(N(INDEX(Clay_Brands!$A$2:$FZ$601,239,Sync!$D$12)),0),"")</f>
        <v/>
      </c>
      <c r="C4290" s="17">
        <f>IF(B4290="","","brand")</f>
        <v/>
      </c>
      <c r="D4290" s="17">
        <f>IF(B4290="","",IFERROR(INDEX(Clay_Brands!$A$2:$FZ$601,239,Sync!$D$5)&amp;"",""))</f>
        <v/>
      </c>
      <c r="E4290" s="17">
        <f>IF(B4290="","",IFERROR(INDEX(Clay_Brands!$A$2:$FZ$601,239,Sync!$D$6)&amp;"",""))</f>
        <v/>
      </c>
      <c r="F4290" s="17">
        <f>IF(B4290="","","outreach_sent")</f>
        <v/>
      </c>
      <c r="G4290" s="17">
        <f>IF(B4290="","","")</f>
        <v/>
      </c>
      <c r="H4290" s="17">
        <f>IF(B4290="","","")</f>
        <v/>
      </c>
      <c r="I4290" s="17">
        <f>IF(B4290="","","")</f>
        <v/>
      </c>
      <c r="J4290" s="17">
        <f>IF(B4290="","","touch_2; "&amp;IFERROR(INDEX(Clay_Brands!$A$2:$FZ$601,239,Sync!$D$10)&amp;"","")&amp;"; "&amp;IFERROR(INDEX(Clay_Brands!$A$2:$FZ$601,239,Sync!$D$9)&amp;"",""))</f>
        <v/>
      </c>
      <c r="K4290" t="inlineStr">
        <is>
          <t>brand outreach touch 2</t>
        </is>
      </c>
    </row>
    <row r="4291">
      <c r="A4291" s="17">
        <f>IF(B4291="","",B4291+(16*1000+240)/10000000)</f>
        <v/>
      </c>
      <c r="B4291" s="23">
        <f>IF(AND(IFERROR(N(INDEX(Clay_Brands!$A$2:$FZ$601,240,Sync!$D$12)),0)&gt;0,IFERROR(INDEX(Clay_Brands!$A$2:$FZ$601,240,Sync!$D$5)&amp;"","")&lt;&gt;"",OR(LEFT(IFERROR(INDEX(Clay_Brands!$A$2:$FZ$601,240,Sync!$D$5)&amp;"",""),6)&lt;&gt;"SAMPLE",Config!$B$19="Y")),IFERROR(N(INDEX(Clay_Brands!$A$2:$FZ$601,240,Sync!$D$12)),0),"")</f>
        <v/>
      </c>
      <c r="C4291" s="17">
        <f>IF(B4291="","","brand")</f>
        <v/>
      </c>
      <c r="D4291" s="17">
        <f>IF(B4291="","",IFERROR(INDEX(Clay_Brands!$A$2:$FZ$601,240,Sync!$D$5)&amp;"",""))</f>
        <v/>
      </c>
      <c r="E4291" s="17">
        <f>IF(B4291="","",IFERROR(INDEX(Clay_Brands!$A$2:$FZ$601,240,Sync!$D$6)&amp;"",""))</f>
        <v/>
      </c>
      <c r="F4291" s="17">
        <f>IF(B4291="","","outreach_sent")</f>
        <v/>
      </c>
      <c r="G4291" s="17">
        <f>IF(B4291="","","")</f>
        <v/>
      </c>
      <c r="H4291" s="17">
        <f>IF(B4291="","","")</f>
        <v/>
      </c>
      <c r="I4291" s="17">
        <f>IF(B4291="","","")</f>
        <v/>
      </c>
      <c r="J4291" s="17">
        <f>IF(B4291="","","touch_2; "&amp;IFERROR(INDEX(Clay_Brands!$A$2:$FZ$601,240,Sync!$D$10)&amp;"","")&amp;"; "&amp;IFERROR(INDEX(Clay_Brands!$A$2:$FZ$601,240,Sync!$D$9)&amp;"",""))</f>
        <v/>
      </c>
      <c r="K4291" t="inlineStr">
        <is>
          <t>brand outreach touch 2</t>
        </is>
      </c>
    </row>
    <row r="4292">
      <c r="A4292" s="17">
        <f>IF(B4292="","",B4292+(16*1000+241)/10000000)</f>
        <v/>
      </c>
      <c r="B4292" s="23">
        <f>IF(AND(IFERROR(N(INDEX(Clay_Brands!$A$2:$FZ$601,241,Sync!$D$12)),0)&gt;0,IFERROR(INDEX(Clay_Brands!$A$2:$FZ$601,241,Sync!$D$5)&amp;"","")&lt;&gt;"",OR(LEFT(IFERROR(INDEX(Clay_Brands!$A$2:$FZ$601,241,Sync!$D$5)&amp;"",""),6)&lt;&gt;"SAMPLE",Config!$B$19="Y")),IFERROR(N(INDEX(Clay_Brands!$A$2:$FZ$601,241,Sync!$D$12)),0),"")</f>
        <v/>
      </c>
      <c r="C4292" s="17">
        <f>IF(B4292="","","brand")</f>
        <v/>
      </c>
      <c r="D4292" s="17">
        <f>IF(B4292="","",IFERROR(INDEX(Clay_Brands!$A$2:$FZ$601,241,Sync!$D$5)&amp;"",""))</f>
        <v/>
      </c>
      <c r="E4292" s="17">
        <f>IF(B4292="","",IFERROR(INDEX(Clay_Brands!$A$2:$FZ$601,241,Sync!$D$6)&amp;"",""))</f>
        <v/>
      </c>
      <c r="F4292" s="17">
        <f>IF(B4292="","","outreach_sent")</f>
        <v/>
      </c>
      <c r="G4292" s="17">
        <f>IF(B4292="","","")</f>
        <v/>
      </c>
      <c r="H4292" s="17">
        <f>IF(B4292="","","")</f>
        <v/>
      </c>
      <c r="I4292" s="17">
        <f>IF(B4292="","","")</f>
        <v/>
      </c>
      <c r="J4292" s="17">
        <f>IF(B4292="","","touch_2; "&amp;IFERROR(INDEX(Clay_Brands!$A$2:$FZ$601,241,Sync!$D$10)&amp;"","")&amp;"; "&amp;IFERROR(INDEX(Clay_Brands!$A$2:$FZ$601,241,Sync!$D$9)&amp;"",""))</f>
        <v/>
      </c>
      <c r="K4292" t="inlineStr">
        <is>
          <t>brand outreach touch 2</t>
        </is>
      </c>
    </row>
    <row r="4293">
      <c r="A4293" s="17">
        <f>IF(B4293="","",B4293+(16*1000+242)/10000000)</f>
        <v/>
      </c>
      <c r="B4293" s="23">
        <f>IF(AND(IFERROR(N(INDEX(Clay_Brands!$A$2:$FZ$601,242,Sync!$D$12)),0)&gt;0,IFERROR(INDEX(Clay_Brands!$A$2:$FZ$601,242,Sync!$D$5)&amp;"","")&lt;&gt;"",OR(LEFT(IFERROR(INDEX(Clay_Brands!$A$2:$FZ$601,242,Sync!$D$5)&amp;"",""),6)&lt;&gt;"SAMPLE",Config!$B$19="Y")),IFERROR(N(INDEX(Clay_Brands!$A$2:$FZ$601,242,Sync!$D$12)),0),"")</f>
        <v/>
      </c>
      <c r="C4293" s="17">
        <f>IF(B4293="","","brand")</f>
        <v/>
      </c>
      <c r="D4293" s="17">
        <f>IF(B4293="","",IFERROR(INDEX(Clay_Brands!$A$2:$FZ$601,242,Sync!$D$5)&amp;"",""))</f>
        <v/>
      </c>
      <c r="E4293" s="17">
        <f>IF(B4293="","",IFERROR(INDEX(Clay_Brands!$A$2:$FZ$601,242,Sync!$D$6)&amp;"",""))</f>
        <v/>
      </c>
      <c r="F4293" s="17">
        <f>IF(B4293="","","outreach_sent")</f>
        <v/>
      </c>
      <c r="G4293" s="17">
        <f>IF(B4293="","","")</f>
        <v/>
      </c>
      <c r="H4293" s="17">
        <f>IF(B4293="","","")</f>
        <v/>
      </c>
      <c r="I4293" s="17">
        <f>IF(B4293="","","")</f>
        <v/>
      </c>
      <c r="J4293" s="17">
        <f>IF(B4293="","","touch_2; "&amp;IFERROR(INDEX(Clay_Brands!$A$2:$FZ$601,242,Sync!$D$10)&amp;"","")&amp;"; "&amp;IFERROR(INDEX(Clay_Brands!$A$2:$FZ$601,242,Sync!$D$9)&amp;"",""))</f>
        <v/>
      </c>
      <c r="K4293" t="inlineStr">
        <is>
          <t>brand outreach touch 2</t>
        </is>
      </c>
    </row>
    <row r="4294">
      <c r="A4294" s="17">
        <f>IF(B4294="","",B4294+(16*1000+243)/10000000)</f>
        <v/>
      </c>
      <c r="B4294" s="23">
        <f>IF(AND(IFERROR(N(INDEX(Clay_Brands!$A$2:$FZ$601,243,Sync!$D$12)),0)&gt;0,IFERROR(INDEX(Clay_Brands!$A$2:$FZ$601,243,Sync!$D$5)&amp;"","")&lt;&gt;"",OR(LEFT(IFERROR(INDEX(Clay_Brands!$A$2:$FZ$601,243,Sync!$D$5)&amp;"",""),6)&lt;&gt;"SAMPLE",Config!$B$19="Y")),IFERROR(N(INDEX(Clay_Brands!$A$2:$FZ$601,243,Sync!$D$12)),0),"")</f>
        <v/>
      </c>
      <c r="C4294" s="17">
        <f>IF(B4294="","","brand")</f>
        <v/>
      </c>
      <c r="D4294" s="17">
        <f>IF(B4294="","",IFERROR(INDEX(Clay_Brands!$A$2:$FZ$601,243,Sync!$D$5)&amp;"",""))</f>
        <v/>
      </c>
      <c r="E4294" s="17">
        <f>IF(B4294="","",IFERROR(INDEX(Clay_Brands!$A$2:$FZ$601,243,Sync!$D$6)&amp;"",""))</f>
        <v/>
      </c>
      <c r="F4294" s="17">
        <f>IF(B4294="","","outreach_sent")</f>
        <v/>
      </c>
      <c r="G4294" s="17">
        <f>IF(B4294="","","")</f>
        <v/>
      </c>
      <c r="H4294" s="17">
        <f>IF(B4294="","","")</f>
        <v/>
      </c>
      <c r="I4294" s="17">
        <f>IF(B4294="","","")</f>
        <v/>
      </c>
      <c r="J4294" s="17">
        <f>IF(B4294="","","touch_2; "&amp;IFERROR(INDEX(Clay_Brands!$A$2:$FZ$601,243,Sync!$D$10)&amp;"","")&amp;"; "&amp;IFERROR(INDEX(Clay_Brands!$A$2:$FZ$601,243,Sync!$D$9)&amp;"",""))</f>
        <v/>
      </c>
      <c r="K4294" t="inlineStr">
        <is>
          <t>brand outreach touch 2</t>
        </is>
      </c>
    </row>
    <row r="4295">
      <c r="A4295" s="17">
        <f>IF(B4295="","",B4295+(16*1000+244)/10000000)</f>
        <v/>
      </c>
      <c r="B4295" s="23">
        <f>IF(AND(IFERROR(N(INDEX(Clay_Brands!$A$2:$FZ$601,244,Sync!$D$12)),0)&gt;0,IFERROR(INDEX(Clay_Brands!$A$2:$FZ$601,244,Sync!$D$5)&amp;"","")&lt;&gt;"",OR(LEFT(IFERROR(INDEX(Clay_Brands!$A$2:$FZ$601,244,Sync!$D$5)&amp;"",""),6)&lt;&gt;"SAMPLE",Config!$B$19="Y")),IFERROR(N(INDEX(Clay_Brands!$A$2:$FZ$601,244,Sync!$D$12)),0),"")</f>
        <v/>
      </c>
      <c r="C4295" s="17">
        <f>IF(B4295="","","brand")</f>
        <v/>
      </c>
      <c r="D4295" s="17">
        <f>IF(B4295="","",IFERROR(INDEX(Clay_Brands!$A$2:$FZ$601,244,Sync!$D$5)&amp;"",""))</f>
        <v/>
      </c>
      <c r="E4295" s="17">
        <f>IF(B4295="","",IFERROR(INDEX(Clay_Brands!$A$2:$FZ$601,244,Sync!$D$6)&amp;"",""))</f>
        <v/>
      </c>
      <c r="F4295" s="17">
        <f>IF(B4295="","","outreach_sent")</f>
        <v/>
      </c>
      <c r="G4295" s="17">
        <f>IF(B4295="","","")</f>
        <v/>
      </c>
      <c r="H4295" s="17">
        <f>IF(B4295="","","")</f>
        <v/>
      </c>
      <c r="I4295" s="17">
        <f>IF(B4295="","","")</f>
        <v/>
      </c>
      <c r="J4295" s="17">
        <f>IF(B4295="","","touch_2; "&amp;IFERROR(INDEX(Clay_Brands!$A$2:$FZ$601,244,Sync!$D$10)&amp;"","")&amp;"; "&amp;IFERROR(INDEX(Clay_Brands!$A$2:$FZ$601,244,Sync!$D$9)&amp;"",""))</f>
        <v/>
      </c>
      <c r="K4295" t="inlineStr">
        <is>
          <t>brand outreach touch 2</t>
        </is>
      </c>
    </row>
    <row r="4296">
      <c r="A4296" s="17">
        <f>IF(B4296="","",B4296+(16*1000+245)/10000000)</f>
        <v/>
      </c>
      <c r="B4296" s="23">
        <f>IF(AND(IFERROR(N(INDEX(Clay_Brands!$A$2:$FZ$601,245,Sync!$D$12)),0)&gt;0,IFERROR(INDEX(Clay_Brands!$A$2:$FZ$601,245,Sync!$D$5)&amp;"","")&lt;&gt;"",OR(LEFT(IFERROR(INDEX(Clay_Brands!$A$2:$FZ$601,245,Sync!$D$5)&amp;"",""),6)&lt;&gt;"SAMPLE",Config!$B$19="Y")),IFERROR(N(INDEX(Clay_Brands!$A$2:$FZ$601,245,Sync!$D$12)),0),"")</f>
        <v/>
      </c>
      <c r="C4296" s="17">
        <f>IF(B4296="","","brand")</f>
        <v/>
      </c>
      <c r="D4296" s="17">
        <f>IF(B4296="","",IFERROR(INDEX(Clay_Brands!$A$2:$FZ$601,245,Sync!$D$5)&amp;"",""))</f>
        <v/>
      </c>
      <c r="E4296" s="17">
        <f>IF(B4296="","",IFERROR(INDEX(Clay_Brands!$A$2:$FZ$601,245,Sync!$D$6)&amp;"",""))</f>
        <v/>
      </c>
      <c r="F4296" s="17">
        <f>IF(B4296="","","outreach_sent")</f>
        <v/>
      </c>
      <c r="G4296" s="17">
        <f>IF(B4296="","","")</f>
        <v/>
      </c>
      <c r="H4296" s="17">
        <f>IF(B4296="","","")</f>
        <v/>
      </c>
      <c r="I4296" s="17">
        <f>IF(B4296="","","")</f>
        <v/>
      </c>
      <c r="J4296" s="17">
        <f>IF(B4296="","","touch_2; "&amp;IFERROR(INDEX(Clay_Brands!$A$2:$FZ$601,245,Sync!$D$10)&amp;"","")&amp;"; "&amp;IFERROR(INDEX(Clay_Brands!$A$2:$FZ$601,245,Sync!$D$9)&amp;"",""))</f>
        <v/>
      </c>
      <c r="K4296" t="inlineStr">
        <is>
          <t>brand outreach touch 2</t>
        </is>
      </c>
    </row>
    <row r="4297">
      <c r="A4297" s="17">
        <f>IF(B4297="","",B4297+(16*1000+246)/10000000)</f>
        <v/>
      </c>
      <c r="B4297" s="23">
        <f>IF(AND(IFERROR(N(INDEX(Clay_Brands!$A$2:$FZ$601,246,Sync!$D$12)),0)&gt;0,IFERROR(INDEX(Clay_Brands!$A$2:$FZ$601,246,Sync!$D$5)&amp;"","")&lt;&gt;"",OR(LEFT(IFERROR(INDEX(Clay_Brands!$A$2:$FZ$601,246,Sync!$D$5)&amp;"",""),6)&lt;&gt;"SAMPLE",Config!$B$19="Y")),IFERROR(N(INDEX(Clay_Brands!$A$2:$FZ$601,246,Sync!$D$12)),0),"")</f>
        <v/>
      </c>
      <c r="C4297" s="17">
        <f>IF(B4297="","","brand")</f>
        <v/>
      </c>
      <c r="D4297" s="17">
        <f>IF(B4297="","",IFERROR(INDEX(Clay_Brands!$A$2:$FZ$601,246,Sync!$D$5)&amp;"",""))</f>
        <v/>
      </c>
      <c r="E4297" s="17">
        <f>IF(B4297="","",IFERROR(INDEX(Clay_Brands!$A$2:$FZ$601,246,Sync!$D$6)&amp;"",""))</f>
        <v/>
      </c>
      <c r="F4297" s="17">
        <f>IF(B4297="","","outreach_sent")</f>
        <v/>
      </c>
      <c r="G4297" s="17">
        <f>IF(B4297="","","")</f>
        <v/>
      </c>
      <c r="H4297" s="17">
        <f>IF(B4297="","","")</f>
        <v/>
      </c>
      <c r="I4297" s="17">
        <f>IF(B4297="","","")</f>
        <v/>
      </c>
      <c r="J4297" s="17">
        <f>IF(B4297="","","touch_2; "&amp;IFERROR(INDEX(Clay_Brands!$A$2:$FZ$601,246,Sync!$D$10)&amp;"","")&amp;"; "&amp;IFERROR(INDEX(Clay_Brands!$A$2:$FZ$601,246,Sync!$D$9)&amp;"",""))</f>
        <v/>
      </c>
      <c r="K4297" t="inlineStr">
        <is>
          <t>brand outreach touch 2</t>
        </is>
      </c>
    </row>
    <row r="4298">
      <c r="A4298" s="17">
        <f>IF(B4298="","",B4298+(16*1000+247)/10000000)</f>
        <v/>
      </c>
      <c r="B4298" s="23">
        <f>IF(AND(IFERROR(N(INDEX(Clay_Brands!$A$2:$FZ$601,247,Sync!$D$12)),0)&gt;0,IFERROR(INDEX(Clay_Brands!$A$2:$FZ$601,247,Sync!$D$5)&amp;"","")&lt;&gt;"",OR(LEFT(IFERROR(INDEX(Clay_Brands!$A$2:$FZ$601,247,Sync!$D$5)&amp;"",""),6)&lt;&gt;"SAMPLE",Config!$B$19="Y")),IFERROR(N(INDEX(Clay_Brands!$A$2:$FZ$601,247,Sync!$D$12)),0),"")</f>
        <v/>
      </c>
      <c r="C4298" s="17">
        <f>IF(B4298="","","brand")</f>
        <v/>
      </c>
      <c r="D4298" s="17">
        <f>IF(B4298="","",IFERROR(INDEX(Clay_Brands!$A$2:$FZ$601,247,Sync!$D$5)&amp;"",""))</f>
        <v/>
      </c>
      <c r="E4298" s="17">
        <f>IF(B4298="","",IFERROR(INDEX(Clay_Brands!$A$2:$FZ$601,247,Sync!$D$6)&amp;"",""))</f>
        <v/>
      </c>
      <c r="F4298" s="17">
        <f>IF(B4298="","","outreach_sent")</f>
        <v/>
      </c>
      <c r="G4298" s="17">
        <f>IF(B4298="","","")</f>
        <v/>
      </c>
      <c r="H4298" s="17">
        <f>IF(B4298="","","")</f>
        <v/>
      </c>
      <c r="I4298" s="17">
        <f>IF(B4298="","","")</f>
        <v/>
      </c>
      <c r="J4298" s="17">
        <f>IF(B4298="","","touch_2; "&amp;IFERROR(INDEX(Clay_Brands!$A$2:$FZ$601,247,Sync!$D$10)&amp;"","")&amp;"; "&amp;IFERROR(INDEX(Clay_Brands!$A$2:$FZ$601,247,Sync!$D$9)&amp;"",""))</f>
        <v/>
      </c>
      <c r="K4298" t="inlineStr">
        <is>
          <t>brand outreach touch 2</t>
        </is>
      </c>
    </row>
    <row r="4299">
      <c r="A4299" s="17">
        <f>IF(B4299="","",B4299+(16*1000+248)/10000000)</f>
        <v/>
      </c>
      <c r="B4299" s="23">
        <f>IF(AND(IFERROR(N(INDEX(Clay_Brands!$A$2:$FZ$601,248,Sync!$D$12)),0)&gt;0,IFERROR(INDEX(Clay_Brands!$A$2:$FZ$601,248,Sync!$D$5)&amp;"","")&lt;&gt;"",OR(LEFT(IFERROR(INDEX(Clay_Brands!$A$2:$FZ$601,248,Sync!$D$5)&amp;"",""),6)&lt;&gt;"SAMPLE",Config!$B$19="Y")),IFERROR(N(INDEX(Clay_Brands!$A$2:$FZ$601,248,Sync!$D$12)),0),"")</f>
        <v/>
      </c>
      <c r="C4299" s="17">
        <f>IF(B4299="","","brand")</f>
        <v/>
      </c>
      <c r="D4299" s="17">
        <f>IF(B4299="","",IFERROR(INDEX(Clay_Brands!$A$2:$FZ$601,248,Sync!$D$5)&amp;"",""))</f>
        <v/>
      </c>
      <c r="E4299" s="17">
        <f>IF(B4299="","",IFERROR(INDEX(Clay_Brands!$A$2:$FZ$601,248,Sync!$D$6)&amp;"",""))</f>
        <v/>
      </c>
      <c r="F4299" s="17">
        <f>IF(B4299="","","outreach_sent")</f>
        <v/>
      </c>
      <c r="G4299" s="17">
        <f>IF(B4299="","","")</f>
        <v/>
      </c>
      <c r="H4299" s="17">
        <f>IF(B4299="","","")</f>
        <v/>
      </c>
      <c r="I4299" s="17">
        <f>IF(B4299="","","")</f>
        <v/>
      </c>
      <c r="J4299" s="17">
        <f>IF(B4299="","","touch_2; "&amp;IFERROR(INDEX(Clay_Brands!$A$2:$FZ$601,248,Sync!$D$10)&amp;"","")&amp;"; "&amp;IFERROR(INDEX(Clay_Brands!$A$2:$FZ$601,248,Sync!$D$9)&amp;"",""))</f>
        <v/>
      </c>
      <c r="K4299" t="inlineStr">
        <is>
          <t>brand outreach touch 2</t>
        </is>
      </c>
    </row>
    <row r="4300">
      <c r="A4300" s="17">
        <f>IF(B4300="","",B4300+(16*1000+249)/10000000)</f>
        <v/>
      </c>
      <c r="B4300" s="23">
        <f>IF(AND(IFERROR(N(INDEX(Clay_Brands!$A$2:$FZ$601,249,Sync!$D$12)),0)&gt;0,IFERROR(INDEX(Clay_Brands!$A$2:$FZ$601,249,Sync!$D$5)&amp;"","")&lt;&gt;"",OR(LEFT(IFERROR(INDEX(Clay_Brands!$A$2:$FZ$601,249,Sync!$D$5)&amp;"",""),6)&lt;&gt;"SAMPLE",Config!$B$19="Y")),IFERROR(N(INDEX(Clay_Brands!$A$2:$FZ$601,249,Sync!$D$12)),0),"")</f>
        <v/>
      </c>
      <c r="C4300" s="17">
        <f>IF(B4300="","","brand")</f>
        <v/>
      </c>
      <c r="D4300" s="17">
        <f>IF(B4300="","",IFERROR(INDEX(Clay_Brands!$A$2:$FZ$601,249,Sync!$D$5)&amp;"",""))</f>
        <v/>
      </c>
      <c r="E4300" s="17">
        <f>IF(B4300="","",IFERROR(INDEX(Clay_Brands!$A$2:$FZ$601,249,Sync!$D$6)&amp;"",""))</f>
        <v/>
      </c>
      <c r="F4300" s="17">
        <f>IF(B4300="","","outreach_sent")</f>
        <v/>
      </c>
      <c r="G4300" s="17">
        <f>IF(B4300="","","")</f>
        <v/>
      </c>
      <c r="H4300" s="17">
        <f>IF(B4300="","","")</f>
        <v/>
      </c>
      <c r="I4300" s="17">
        <f>IF(B4300="","","")</f>
        <v/>
      </c>
      <c r="J4300" s="17">
        <f>IF(B4300="","","touch_2; "&amp;IFERROR(INDEX(Clay_Brands!$A$2:$FZ$601,249,Sync!$D$10)&amp;"","")&amp;"; "&amp;IFERROR(INDEX(Clay_Brands!$A$2:$FZ$601,249,Sync!$D$9)&amp;"",""))</f>
        <v/>
      </c>
      <c r="K4300" t="inlineStr">
        <is>
          <t>brand outreach touch 2</t>
        </is>
      </c>
    </row>
    <row r="4301">
      <c r="A4301" s="17">
        <f>IF(B4301="","",B4301+(16*1000+250)/10000000)</f>
        <v/>
      </c>
      <c r="B4301" s="23">
        <f>IF(AND(IFERROR(N(INDEX(Clay_Brands!$A$2:$FZ$601,250,Sync!$D$12)),0)&gt;0,IFERROR(INDEX(Clay_Brands!$A$2:$FZ$601,250,Sync!$D$5)&amp;"","")&lt;&gt;"",OR(LEFT(IFERROR(INDEX(Clay_Brands!$A$2:$FZ$601,250,Sync!$D$5)&amp;"",""),6)&lt;&gt;"SAMPLE",Config!$B$19="Y")),IFERROR(N(INDEX(Clay_Brands!$A$2:$FZ$601,250,Sync!$D$12)),0),"")</f>
        <v/>
      </c>
      <c r="C4301" s="17">
        <f>IF(B4301="","","brand")</f>
        <v/>
      </c>
      <c r="D4301" s="17">
        <f>IF(B4301="","",IFERROR(INDEX(Clay_Brands!$A$2:$FZ$601,250,Sync!$D$5)&amp;"",""))</f>
        <v/>
      </c>
      <c r="E4301" s="17">
        <f>IF(B4301="","",IFERROR(INDEX(Clay_Brands!$A$2:$FZ$601,250,Sync!$D$6)&amp;"",""))</f>
        <v/>
      </c>
      <c r="F4301" s="17">
        <f>IF(B4301="","","outreach_sent")</f>
        <v/>
      </c>
      <c r="G4301" s="17">
        <f>IF(B4301="","","")</f>
        <v/>
      </c>
      <c r="H4301" s="17">
        <f>IF(B4301="","","")</f>
        <v/>
      </c>
      <c r="I4301" s="17">
        <f>IF(B4301="","","")</f>
        <v/>
      </c>
      <c r="J4301" s="17">
        <f>IF(B4301="","","touch_2; "&amp;IFERROR(INDEX(Clay_Brands!$A$2:$FZ$601,250,Sync!$D$10)&amp;"","")&amp;"; "&amp;IFERROR(INDEX(Clay_Brands!$A$2:$FZ$601,250,Sync!$D$9)&amp;"",""))</f>
        <v/>
      </c>
      <c r="K4301" t="inlineStr">
        <is>
          <t>brand outreach touch 2</t>
        </is>
      </c>
    </row>
    <row r="4302">
      <c r="A4302" s="17">
        <f>IF(B4302="","",B4302+(16*1000+251)/10000000)</f>
        <v/>
      </c>
      <c r="B4302" s="23">
        <f>IF(AND(IFERROR(N(INDEX(Clay_Brands!$A$2:$FZ$601,251,Sync!$D$12)),0)&gt;0,IFERROR(INDEX(Clay_Brands!$A$2:$FZ$601,251,Sync!$D$5)&amp;"","")&lt;&gt;"",OR(LEFT(IFERROR(INDEX(Clay_Brands!$A$2:$FZ$601,251,Sync!$D$5)&amp;"",""),6)&lt;&gt;"SAMPLE",Config!$B$19="Y")),IFERROR(N(INDEX(Clay_Brands!$A$2:$FZ$601,251,Sync!$D$12)),0),"")</f>
        <v/>
      </c>
      <c r="C4302" s="17">
        <f>IF(B4302="","","brand")</f>
        <v/>
      </c>
      <c r="D4302" s="17">
        <f>IF(B4302="","",IFERROR(INDEX(Clay_Brands!$A$2:$FZ$601,251,Sync!$D$5)&amp;"",""))</f>
        <v/>
      </c>
      <c r="E4302" s="17">
        <f>IF(B4302="","",IFERROR(INDEX(Clay_Brands!$A$2:$FZ$601,251,Sync!$D$6)&amp;"",""))</f>
        <v/>
      </c>
      <c r="F4302" s="17">
        <f>IF(B4302="","","outreach_sent")</f>
        <v/>
      </c>
      <c r="G4302" s="17">
        <f>IF(B4302="","","")</f>
        <v/>
      </c>
      <c r="H4302" s="17">
        <f>IF(B4302="","","")</f>
        <v/>
      </c>
      <c r="I4302" s="17">
        <f>IF(B4302="","","")</f>
        <v/>
      </c>
      <c r="J4302" s="17">
        <f>IF(B4302="","","touch_2; "&amp;IFERROR(INDEX(Clay_Brands!$A$2:$FZ$601,251,Sync!$D$10)&amp;"","")&amp;"; "&amp;IFERROR(INDEX(Clay_Brands!$A$2:$FZ$601,251,Sync!$D$9)&amp;"",""))</f>
        <v/>
      </c>
      <c r="K4302" t="inlineStr">
        <is>
          <t>brand outreach touch 2</t>
        </is>
      </c>
    </row>
    <row r="4303">
      <c r="A4303" s="17">
        <f>IF(B4303="","",B4303+(16*1000+252)/10000000)</f>
        <v/>
      </c>
      <c r="B4303" s="23">
        <f>IF(AND(IFERROR(N(INDEX(Clay_Brands!$A$2:$FZ$601,252,Sync!$D$12)),0)&gt;0,IFERROR(INDEX(Clay_Brands!$A$2:$FZ$601,252,Sync!$D$5)&amp;"","")&lt;&gt;"",OR(LEFT(IFERROR(INDEX(Clay_Brands!$A$2:$FZ$601,252,Sync!$D$5)&amp;"",""),6)&lt;&gt;"SAMPLE",Config!$B$19="Y")),IFERROR(N(INDEX(Clay_Brands!$A$2:$FZ$601,252,Sync!$D$12)),0),"")</f>
        <v/>
      </c>
      <c r="C4303" s="17">
        <f>IF(B4303="","","brand")</f>
        <v/>
      </c>
      <c r="D4303" s="17">
        <f>IF(B4303="","",IFERROR(INDEX(Clay_Brands!$A$2:$FZ$601,252,Sync!$D$5)&amp;"",""))</f>
        <v/>
      </c>
      <c r="E4303" s="17">
        <f>IF(B4303="","",IFERROR(INDEX(Clay_Brands!$A$2:$FZ$601,252,Sync!$D$6)&amp;"",""))</f>
        <v/>
      </c>
      <c r="F4303" s="17">
        <f>IF(B4303="","","outreach_sent")</f>
        <v/>
      </c>
      <c r="G4303" s="17">
        <f>IF(B4303="","","")</f>
        <v/>
      </c>
      <c r="H4303" s="17">
        <f>IF(B4303="","","")</f>
        <v/>
      </c>
      <c r="I4303" s="17">
        <f>IF(B4303="","","")</f>
        <v/>
      </c>
      <c r="J4303" s="17">
        <f>IF(B4303="","","touch_2; "&amp;IFERROR(INDEX(Clay_Brands!$A$2:$FZ$601,252,Sync!$D$10)&amp;"","")&amp;"; "&amp;IFERROR(INDEX(Clay_Brands!$A$2:$FZ$601,252,Sync!$D$9)&amp;"",""))</f>
        <v/>
      </c>
      <c r="K4303" t="inlineStr">
        <is>
          <t>brand outreach touch 2</t>
        </is>
      </c>
    </row>
    <row r="4304">
      <c r="A4304" s="17">
        <f>IF(B4304="","",B4304+(16*1000+253)/10000000)</f>
        <v/>
      </c>
      <c r="B4304" s="23">
        <f>IF(AND(IFERROR(N(INDEX(Clay_Brands!$A$2:$FZ$601,253,Sync!$D$12)),0)&gt;0,IFERROR(INDEX(Clay_Brands!$A$2:$FZ$601,253,Sync!$D$5)&amp;"","")&lt;&gt;"",OR(LEFT(IFERROR(INDEX(Clay_Brands!$A$2:$FZ$601,253,Sync!$D$5)&amp;"",""),6)&lt;&gt;"SAMPLE",Config!$B$19="Y")),IFERROR(N(INDEX(Clay_Brands!$A$2:$FZ$601,253,Sync!$D$12)),0),"")</f>
        <v/>
      </c>
      <c r="C4304" s="17">
        <f>IF(B4304="","","brand")</f>
        <v/>
      </c>
      <c r="D4304" s="17">
        <f>IF(B4304="","",IFERROR(INDEX(Clay_Brands!$A$2:$FZ$601,253,Sync!$D$5)&amp;"",""))</f>
        <v/>
      </c>
      <c r="E4304" s="17">
        <f>IF(B4304="","",IFERROR(INDEX(Clay_Brands!$A$2:$FZ$601,253,Sync!$D$6)&amp;"",""))</f>
        <v/>
      </c>
      <c r="F4304" s="17">
        <f>IF(B4304="","","outreach_sent")</f>
        <v/>
      </c>
      <c r="G4304" s="17">
        <f>IF(B4304="","","")</f>
        <v/>
      </c>
      <c r="H4304" s="17">
        <f>IF(B4304="","","")</f>
        <v/>
      </c>
      <c r="I4304" s="17">
        <f>IF(B4304="","","")</f>
        <v/>
      </c>
      <c r="J4304" s="17">
        <f>IF(B4304="","","touch_2; "&amp;IFERROR(INDEX(Clay_Brands!$A$2:$FZ$601,253,Sync!$D$10)&amp;"","")&amp;"; "&amp;IFERROR(INDEX(Clay_Brands!$A$2:$FZ$601,253,Sync!$D$9)&amp;"",""))</f>
        <v/>
      </c>
      <c r="K4304" t="inlineStr">
        <is>
          <t>brand outreach touch 2</t>
        </is>
      </c>
    </row>
    <row r="4305">
      <c r="A4305" s="17">
        <f>IF(B4305="","",B4305+(16*1000+254)/10000000)</f>
        <v/>
      </c>
      <c r="B4305" s="23">
        <f>IF(AND(IFERROR(N(INDEX(Clay_Brands!$A$2:$FZ$601,254,Sync!$D$12)),0)&gt;0,IFERROR(INDEX(Clay_Brands!$A$2:$FZ$601,254,Sync!$D$5)&amp;"","")&lt;&gt;"",OR(LEFT(IFERROR(INDEX(Clay_Brands!$A$2:$FZ$601,254,Sync!$D$5)&amp;"",""),6)&lt;&gt;"SAMPLE",Config!$B$19="Y")),IFERROR(N(INDEX(Clay_Brands!$A$2:$FZ$601,254,Sync!$D$12)),0),"")</f>
        <v/>
      </c>
      <c r="C4305" s="17">
        <f>IF(B4305="","","brand")</f>
        <v/>
      </c>
      <c r="D4305" s="17">
        <f>IF(B4305="","",IFERROR(INDEX(Clay_Brands!$A$2:$FZ$601,254,Sync!$D$5)&amp;"",""))</f>
        <v/>
      </c>
      <c r="E4305" s="17">
        <f>IF(B4305="","",IFERROR(INDEX(Clay_Brands!$A$2:$FZ$601,254,Sync!$D$6)&amp;"",""))</f>
        <v/>
      </c>
      <c r="F4305" s="17">
        <f>IF(B4305="","","outreach_sent")</f>
        <v/>
      </c>
      <c r="G4305" s="17">
        <f>IF(B4305="","","")</f>
        <v/>
      </c>
      <c r="H4305" s="17">
        <f>IF(B4305="","","")</f>
        <v/>
      </c>
      <c r="I4305" s="17">
        <f>IF(B4305="","","")</f>
        <v/>
      </c>
      <c r="J4305" s="17">
        <f>IF(B4305="","","touch_2; "&amp;IFERROR(INDEX(Clay_Brands!$A$2:$FZ$601,254,Sync!$D$10)&amp;"","")&amp;"; "&amp;IFERROR(INDEX(Clay_Brands!$A$2:$FZ$601,254,Sync!$D$9)&amp;"",""))</f>
        <v/>
      </c>
      <c r="K4305" t="inlineStr">
        <is>
          <t>brand outreach touch 2</t>
        </is>
      </c>
    </row>
    <row r="4306">
      <c r="A4306" s="17">
        <f>IF(B4306="","",B4306+(16*1000+255)/10000000)</f>
        <v/>
      </c>
      <c r="B4306" s="23">
        <f>IF(AND(IFERROR(N(INDEX(Clay_Brands!$A$2:$FZ$601,255,Sync!$D$12)),0)&gt;0,IFERROR(INDEX(Clay_Brands!$A$2:$FZ$601,255,Sync!$D$5)&amp;"","")&lt;&gt;"",OR(LEFT(IFERROR(INDEX(Clay_Brands!$A$2:$FZ$601,255,Sync!$D$5)&amp;"",""),6)&lt;&gt;"SAMPLE",Config!$B$19="Y")),IFERROR(N(INDEX(Clay_Brands!$A$2:$FZ$601,255,Sync!$D$12)),0),"")</f>
        <v/>
      </c>
      <c r="C4306" s="17">
        <f>IF(B4306="","","brand")</f>
        <v/>
      </c>
      <c r="D4306" s="17">
        <f>IF(B4306="","",IFERROR(INDEX(Clay_Brands!$A$2:$FZ$601,255,Sync!$D$5)&amp;"",""))</f>
        <v/>
      </c>
      <c r="E4306" s="17">
        <f>IF(B4306="","",IFERROR(INDEX(Clay_Brands!$A$2:$FZ$601,255,Sync!$D$6)&amp;"",""))</f>
        <v/>
      </c>
      <c r="F4306" s="17">
        <f>IF(B4306="","","outreach_sent")</f>
        <v/>
      </c>
      <c r="G4306" s="17">
        <f>IF(B4306="","","")</f>
        <v/>
      </c>
      <c r="H4306" s="17">
        <f>IF(B4306="","","")</f>
        <v/>
      </c>
      <c r="I4306" s="17">
        <f>IF(B4306="","","")</f>
        <v/>
      </c>
      <c r="J4306" s="17">
        <f>IF(B4306="","","touch_2; "&amp;IFERROR(INDEX(Clay_Brands!$A$2:$FZ$601,255,Sync!$D$10)&amp;"","")&amp;"; "&amp;IFERROR(INDEX(Clay_Brands!$A$2:$FZ$601,255,Sync!$D$9)&amp;"",""))</f>
        <v/>
      </c>
      <c r="K4306" t="inlineStr">
        <is>
          <t>brand outreach touch 2</t>
        </is>
      </c>
    </row>
    <row r="4307">
      <c r="A4307" s="17">
        <f>IF(B4307="","",B4307+(16*1000+256)/10000000)</f>
        <v/>
      </c>
      <c r="B4307" s="23">
        <f>IF(AND(IFERROR(N(INDEX(Clay_Brands!$A$2:$FZ$601,256,Sync!$D$12)),0)&gt;0,IFERROR(INDEX(Clay_Brands!$A$2:$FZ$601,256,Sync!$D$5)&amp;"","")&lt;&gt;"",OR(LEFT(IFERROR(INDEX(Clay_Brands!$A$2:$FZ$601,256,Sync!$D$5)&amp;"",""),6)&lt;&gt;"SAMPLE",Config!$B$19="Y")),IFERROR(N(INDEX(Clay_Brands!$A$2:$FZ$601,256,Sync!$D$12)),0),"")</f>
        <v/>
      </c>
      <c r="C4307" s="17">
        <f>IF(B4307="","","brand")</f>
        <v/>
      </c>
      <c r="D4307" s="17">
        <f>IF(B4307="","",IFERROR(INDEX(Clay_Brands!$A$2:$FZ$601,256,Sync!$D$5)&amp;"",""))</f>
        <v/>
      </c>
      <c r="E4307" s="17">
        <f>IF(B4307="","",IFERROR(INDEX(Clay_Brands!$A$2:$FZ$601,256,Sync!$D$6)&amp;"",""))</f>
        <v/>
      </c>
      <c r="F4307" s="17">
        <f>IF(B4307="","","outreach_sent")</f>
        <v/>
      </c>
      <c r="G4307" s="17">
        <f>IF(B4307="","","")</f>
        <v/>
      </c>
      <c r="H4307" s="17">
        <f>IF(B4307="","","")</f>
        <v/>
      </c>
      <c r="I4307" s="17">
        <f>IF(B4307="","","")</f>
        <v/>
      </c>
      <c r="J4307" s="17">
        <f>IF(B4307="","","touch_2; "&amp;IFERROR(INDEX(Clay_Brands!$A$2:$FZ$601,256,Sync!$D$10)&amp;"","")&amp;"; "&amp;IFERROR(INDEX(Clay_Brands!$A$2:$FZ$601,256,Sync!$D$9)&amp;"",""))</f>
        <v/>
      </c>
      <c r="K4307" t="inlineStr">
        <is>
          <t>brand outreach touch 2</t>
        </is>
      </c>
    </row>
    <row r="4308">
      <c r="A4308" s="17">
        <f>IF(B4308="","",B4308+(16*1000+257)/10000000)</f>
        <v/>
      </c>
      <c r="B4308" s="23">
        <f>IF(AND(IFERROR(N(INDEX(Clay_Brands!$A$2:$FZ$601,257,Sync!$D$12)),0)&gt;0,IFERROR(INDEX(Clay_Brands!$A$2:$FZ$601,257,Sync!$D$5)&amp;"","")&lt;&gt;"",OR(LEFT(IFERROR(INDEX(Clay_Brands!$A$2:$FZ$601,257,Sync!$D$5)&amp;"",""),6)&lt;&gt;"SAMPLE",Config!$B$19="Y")),IFERROR(N(INDEX(Clay_Brands!$A$2:$FZ$601,257,Sync!$D$12)),0),"")</f>
        <v/>
      </c>
      <c r="C4308" s="17">
        <f>IF(B4308="","","brand")</f>
        <v/>
      </c>
      <c r="D4308" s="17">
        <f>IF(B4308="","",IFERROR(INDEX(Clay_Brands!$A$2:$FZ$601,257,Sync!$D$5)&amp;"",""))</f>
        <v/>
      </c>
      <c r="E4308" s="17">
        <f>IF(B4308="","",IFERROR(INDEX(Clay_Brands!$A$2:$FZ$601,257,Sync!$D$6)&amp;"",""))</f>
        <v/>
      </c>
      <c r="F4308" s="17">
        <f>IF(B4308="","","outreach_sent")</f>
        <v/>
      </c>
      <c r="G4308" s="17">
        <f>IF(B4308="","","")</f>
        <v/>
      </c>
      <c r="H4308" s="17">
        <f>IF(B4308="","","")</f>
        <v/>
      </c>
      <c r="I4308" s="17">
        <f>IF(B4308="","","")</f>
        <v/>
      </c>
      <c r="J4308" s="17">
        <f>IF(B4308="","","touch_2; "&amp;IFERROR(INDEX(Clay_Brands!$A$2:$FZ$601,257,Sync!$D$10)&amp;"","")&amp;"; "&amp;IFERROR(INDEX(Clay_Brands!$A$2:$FZ$601,257,Sync!$D$9)&amp;"",""))</f>
        <v/>
      </c>
      <c r="K4308" t="inlineStr">
        <is>
          <t>brand outreach touch 2</t>
        </is>
      </c>
    </row>
    <row r="4309">
      <c r="A4309" s="17">
        <f>IF(B4309="","",B4309+(16*1000+258)/10000000)</f>
        <v/>
      </c>
      <c r="B4309" s="23">
        <f>IF(AND(IFERROR(N(INDEX(Clay_Brands!$A$2:$FZ$601,258,Sync!$D$12)),0)&gt;0,IFERROR(INDEX(Clay_Brands!$A$2:$FZ$601,258,Sync!$D$5)&amp;"","")&lt;&gt;"",OR(LEFT(IFERROR(INDEX(Clay_Brands!$A$2:$FZ$601,258,Sync!$D$5)&amp;"",""),6)&lt;&gt;"SAMPLE",Config!$B$19="Y")),IFERROR(N(INDEX(Clay_Brands!$A$2:$FZ$601,258,Sync!$D$12)),0),"")</f>
        <v/>
      </c>
      <c r="C4309" s="17">
        <f>IF(B4309="","","brand")</f>
        <v/>
      </c>
      <c r="D4309" s="17">
        <f>IF(B4309="","",IFERROR(INDEX(Clay_Brands!$A$2:$FZ$601,258,Sync!$D$5)&amp;"",""))</f>
        <v/>
      </c>
      <c r="E4309" s="17">
        <f>IF(B4309="","",IFERROR(INDEX(Clay_Brands!$A$2:$FZ$601,258,Sync!$D$6)&amp;"",""))</f>
        <v/>
      </c>
      <c r="F4309" s="17">
        <f>IF(B4309="","","outreach_sent")</f>
        <v/>
      </c>
      <c r="G4309" s="17">
        <f>IF(B4309="","","")</f>
        <v/>
      </c>
      <c r="H4309" s="17">
        <f>IF(B4309="","","")</f>
        <v/>
      </c>
      <c r="I4309" s="17">
        <f>IF(B4309="","","")</f>
        <v/>
      </c>
      <c r="J4309" s="17">
        <f>IF(B4309="","","touch_2; "&amp;IFERROR(INDEX(Clay_Brands!$A$2:$FZ$601,258,Sync!$D$10)&amp;"","")&amp;"; "&amp;IFERROR(INDEX(Clay_Brands!$A$2:$FZ$601,258,Sync!$D$9)&amp;"",""))</f>
        <v/>
      </c>
      <c r="K4309" t="inlineStr">
        <is>
          <t>brand outreach touch 2</t>
        </is>
      </c>
    </row>
    <row r="4310">
      <c r="A4310" s="17">
        <f>IF(B4310="","",B4310+(16*1000+259)/10000000)</f>
        <v/>
      </c>
      <c r="B4310" s="23">
        <f>IF(AND(IFERROR(N(INDEX(Clay_Brands!$A$2:$FZ$601,259,Sync!$D$12)),0)&gt;0,IFERROR(INDEX(Clay_Brands!$A$2:$FZ$601,259,Sync!$D$5)&amp;"","")&lt;&gt;"",OR(LEFT(IFERROR(INDEX(Clay_Brands!$A$2:$FZ$601,259,Sync!$D$5)&amp;"",""),6)&lt;&gt;"SAMPLE",Config!$B$19="Y")),IFERROR(N(INDEX(Clay_Brands!$A$2:$FZ$601,259,Sync!$D$12)),0),"")</f>
        <v/>
      </c>
      <c r="C4310" s="17">
        <f>IF(B4310="","","brand")</f>
        <v/>
      </c>
      <c r="D4310" s="17">
        <f>IF(B4310="","",IFERROR(INDEX(Clay_Brands!$A$2:$FZ$601,259,Sync!$D$5)&amp;"",""))</f>
        <v/>
      </c>
      <c r="E4310" s="17">
        <f>IF(B4310="","",IFERROR(INDEX(Clay_Brands!$A$2:$FZ$601,259,Sync!$D$6)&amp;"",""))</f>
        <v/>
      </c>
      <c r="F4310" s="17">
        <f>IF(B4310="","","outreach_sent")</f>
        <v/>
      </c>
      <c r="G4310" s="17">
        <f>IF(B4310="","","")</f>
        <v/>
      </c>
      <c r="H4310" s="17">
        <f>IF(B4310="","","")</f>
        <v/>
      </c>
      <c r="I4310" s="17">
        <f>IF(B4310="","","")</f>
        <v/>
      </c>
      <c r="J4310" s="17">
        <f>IF(B4310="","","touch_2; "&amp;IFERROR(INDEX(Clay_Brands!$A$2:$FZ$601,259,Sync!$D$10)&amp;"","")&amp;"; "&amp;IFERROR(INDEX(Clay_Brands!$A$2:$FZ$601,259,Sync!$D$9)&amp;"",""))</f>
        <v/>
      </c>
      <c r="K4310" t="inlineStr">
        <is>
          <t>brand outreach touch 2</t>
        </is>
      </c>
    </row>
    <row r="4311">
      <c r="A4311" s="17">
        <f>IF(B4311="","",B4311+(16*1000+260)/10000000)</f>
        <v/>
      </c>
      <c r="B4311" s="23">
        <f>IF(AND(IFERROR(N(INDEX(Clay_Brands!$A$2:$FZ$601,260,Sync!$D$12)),0)&gt;0,IFERROR(INDEX(Clay_Brands!$A$2:$FZ$601,260,Sync!$D$5)&amp;"","")&lt;&gt;"",OR(LEFT(IFERROR(INDEX(Clay_Brands!$A$2:$FZ$601,260,Sync!$D$5)&amp;"",""),6)&lt;&gt;"SAMPLE",Config!$B$19="Y")),IFERROR(N(INDEX(Clay_Brands!$A$2:$FZ$601,260,Sync!$D$12)),0),"")</f>
        <v/>
      </c>
      <c r="C4311" s="17">
        <f>IF(B4311="","","brand")</f>
        <v/>
      </c>
      <c r="D4311" s="17">
        <f>IF(B4311="","",IFERROR(INDEX(Clay_Brands!$A$2:$FZ$601,260,Sync!$D$5)&amp;"",""))</f>
        <v/>
      </c>
      <c r="E4311" s="17">
        <f>IF(B4311="","",IFERROR(INDEX(Clay_Brands!$A$2:$FZ$601,260,Sync!$D$6)&amp;"",""))</f>
        <v/>
      </c>
      <c r="F4311" s="17">
        <f>IF(B4311="","","outreach_sent")</f>
        <v/>
      </c>
      <c r="G4311" s="17">
        <f>IF(B4311="","","")</f>
        <v/>
      </c>
      <c r="H4311" s="17">
        <f>IF(B4311="","","")</f>
        <v/>
      </c>
      <c r="I4311" s="17">
        <f>IF(B4311="","","")</f>
        <v/>
      </c>
      <c r="J4311" s="17">
        <f>IF(B4311="","","touch_2; "&amp;IFERROR(INDEX(Clay_Brands!$A$2:$FZ$601,260,Sync!$D$10)&amp;"","")&amp;"; "&amp;IFERROR(INDEX(Clay_Brands!$A$2:$FZ$601,260,Sync!$D$9)&amp;"",""))</f>
        <v/>
      </c>
      <c r="K4311" t="inlineStr">
        <is>
          <t>brand outreach touch 2</t>
        </is>
      </c>
    </row>
    <row r="4312">
      <c r="A4312" s="17">
        <f>IF(B4312="","",B4312+(16*1000+261)/10000000)</f>
        <v/>
      </c>
      <c r="B4312" s="23">
        <f>IF(AND(IFERROR(N(INDEX(Clay_Brands!$A$2:$FZ$601,261,Sync!$D$12)),0)&gt;0,IFERROR(INDEX(Clay_Brands!$A$2:$FZ$601,261,Sync!$D$5)&amp;"","")&lt;&gt;"",OR(LEFT(IFERROR(INDEX(Clay_Brands!$A$2:$FZ$601,261,Sync!$D$5)&amp;"",""),6)&lt;&gt;"SAMPLE",Config!$B$19="Y")),IFERROR(N(INDEX(Clay_Brands!$A$2:$FZ$601,261,Sync!$D$12)),0),"")</f>
        <v/>
      </c>
      <c r="C4312" s="17">
        <f>IF(B4312="","","brand")</f>
        <v/>
      </c>
      <c r="D4312" s="17">
        <f>IF(B4312="","",IFERROR(INDEX(Clay_Brands!$A$2:$FZ$601,261,Sync!$D$5)&amp;"",""))</f>
        <v/>
      </c>
      <c r="E4312" s="17">
        <f>IF(B4312="","",IFERROR(INDEX(Clay_Brands!$A$2:$FZ$601,261,Sync!$D$6)&amp;"",""))</f>
        <v/>
      </c>
      <c r="F4312" s="17">
        <f>IF(B4312="","","outreach_sent")</f>
        <v/>
      </c>
      <c r="G4312" s="17">
        <f>IF(B4312="","","")</f>
        <v/>
      </c>
      <c r="H4312" s="17">
        <f>IF(B4312="","","")</f>
        <v/>
      </c>
      <c r="I4312" s="17">
        <f>IF(B4312="","","")</f>
        <v/>
      </c>
      <c r="J4312" s="17">
        <f>IF(B4312="","","touch_2; "&amp;IFERROR(INDEX(Clay_Brands!$A$2:$FZ$601,261,Sync!$D$10)&amp;"","")&amp;"; "&amp;IFERROR(INDEX(Clay_Brands!$A$2:$FZ$601,261,Sync!$D$9)&amp;"",""))</f>
        <v/>
      </c>
      <c r="K4312" t="inlineStr">
        <is>
          <t>brand outreach touch 2</t>
        </is>
      </c>
    </row>
    <row r="4313">
      <c r="A4313" s="17">
        <f>IF(B4313="","",B4313+(16*1000+262)/10000000)</f>
        <v/>
      </c>
      <c r="B4313" s="23">
        <f>IF(AND(IFERROR(N(INDEX(Clay_Brands!$A$2:$FZ$601,262,Sync!$D$12)),0)&gt;0,IFERROR(INDEX(Clay_Brands!$A$2:$FZ$601,262,Sync!$D$5)&amp;"","")&lt;&gt;"",OR(LEFT(IFERROR(INDEX(Clay_Brands!$A$2:$FZ$601,262,Sync!$D$5)&amp;"",""),6)&lt;&gt;"SAMPLE",Config!$B$19="Y")),IFERROR(N(INDEX(Clay_Brands!$A$2:$FZ$601,262,Sync!$D$12)),0),"")</f>
        <v/>
      </c>
      <c r="C4313" s="17">
        <f>IF(B4313="","","brand")</f>
        <v/>
      </c>
      <c r="D4313" s="17">
        <f>IF(B4313="","",IFERROR(INDEX(Clay_Brands!$A$2:$FZ$601,262,Sync!$D$5)&amp;"",""))</f>
        <v/>
      </c>
      <c r="E4313" s="17">
        <f>IF(B4313="","",IFERROR(INDEX(Clay_Brands!$A$2:$FZ$601,262,Sync!$D$6)&amp;"",""))</f>
        <v/>
      </c>
      <c r="F4313" s="17">
        <f>IF(B4313="","","outreach_sent")</f>
        <v/>
      </c>
      <c r="G4313" s="17">
        <f>IF(B4313="","","")</f>
        <v/>
      </c>
      <c r="H4313" s="17">
        <f>IF(B4313="","","")</f>
        <v/>
      </c>
      <c r="I4313" s="17">
        <f>IF(B4313="","","")</f>
        <v/>
      </c>
      <c r="J4313" s="17">
        <f>IF(B4313="","","touch_2; "&amp;IFERROR(INDEX(Clay_Brands!$A$2:$FZ$601,262,Sync!$D$10)&amp;"","")&amp;"; "&amp;IFERROR(INDEX(Clay_Brands!$A$2:$FZ$601,262,Sync!$D$9)&amp;"",""))</f>
        <v/>
      </c>
      <c r="K4313" t="inlineStr">
        <is>
          <t>brand outreach touch 2</t>
        </is>
      </c>
    </row>
    <row r="4314">
      <c r="A4314" s="17">
        <f>IF(B4314="","",B4314+(16*1000+263)/10000000)</f>
        <v/>
      </c>
      <c r="B4314" s="23">
        <f>IF(AND(IFERROR(N(INDEX(Clay_Brands!$A$2:$FZ$601,263,Sync!$D$12)),0)&gt;0,IFERROR(INDEX(Clay_Brands!$A$2:$FZ$601,263,Sync!$D$5)&amp;"","")&lt;&gt;"",OR(LEFT(IFERROR(INDEX(Clay_Brands!$A$2:$FZ$601,263,Sync!$D$5)&amp;"",""),6)&lt;&gt;"SAMPLE",Config!$B$19="Y")),IFERROR(N(INDEX(Clay_Brands!$A$2:$FZ$601,263,Sync!$D$12)),0),"")</f>
        <v/>
      </c>
      <c r="C4314" s="17">
        <f>IF(B4314="","","brand")</f>
        <v/>
      </c>
      <c r="D4314" s="17">
        <f>IF(B4314="","",IFERROR(INDEX(Clay_Brands!$A$2:$FZ$601,263,Sync!$D$5)&amp;"",""))</f>
        <v/>
      </c>
      <c r="E4314" s="17">
        <f>IF(B4314="","",IFERROR(INDEX(Clay_Brands!$A$2:$FZ$601,263,Sync!$D$6)&amp;"",""))</f>
        <v/>
      </c>
      <c r="F4314" s="17">
        <f>IF(B4314="","","outreach_sent")</f>
        <v/>
      </c>
      <c r="G4314" s="17">
        <f>IF(B4314="","","")</f>
        <v/>
      </c>
      <c r="H4314" s="17">
        <f>IF(B4314="","","")</f>
        <v/>
      </c>
      <c r="I4314" s="17">
        <f>IF(B4314="","","")</f>
        <v/>
      </c>
      <c r="J4314" s="17">
        <f>IF(B4314="","","touch_2; "&amp;IFERROR(INDEX(Clay_Brands!$A$2:$FZ$601,263,Sync!$D$10)&amp;"","")&amp;"; "&amp;IFERROR(INDEX(Clay_Brands!$A$2:$FZ$601,263,Sync!$D$9)&amp;"",""))</f>
        <v/>
      </c>
      <c r="K4314" t="inlineStr">
        <is>
          <t>brand outreach touch 2</t>
        </is>
      </c>
    </row>
    <row r="4315">
      <c r="A4315" s="17">
        <f>IF(B4315="","",B4315+(16*1000+264)/10000000)</f>
        <v/>
      </c>
      <c r="B4315" s="23">
        <f>IF(AND(IFERROR(N(INDEX(Clay_Brands!$A$2:$FZ$601,264,Sync!$D$12)),0)&gt;0,IFERROR(INDEX(Clay_Brands!$A$2:$FZ$601,264,Sync!$D$5)&amp;"","")&lt;&gt;"",OR(LEFT(IFERROR(INDEX(Clay_Brands!$A$2:$FZ$601,264,Sync!$D$5)&amp;"",""),6)&lt;&gt;"SAMPLE",Config!$B$19="Y")),IFERROR(N(INDEX(Clay_Brands!$A$2:$FZ$601,264,Sync!$D$12)),0),"")</f>
        <v/>
      </c>
      <c r="C4315" s="17">
        <f>IF(B4315="","","brand")</f>
        <v/>
      </c>
      <c r="D4315" s="17">
        <f>IF(B4315="","",IFERROR(INDEX(Clay_Brands!$A$2:$FZ$601,264,Sync!$D$5)&amp;"",""))</f>
        <v/>
      </c>
      <c r="E4315" s="17">
        <f>IF(B4315="","",IFERROR(INDEX(Clay_Brands!$A$2:$FZ$601,264,Sync!$D$6)&amp;"",""))</f>
        <v/>
      </c>
      <c r="F4315" s="17">
        <f>IF(B4315="","","outreach_sent")</f>
        <v/>
      </c>
      <c r="G4315" s="17">
        <f>IF(B4315="","","")</f>
        <v/>
      </c>
      <c r="H4315" s="17">
        <f>IF(B4315="","","")</f>
        <v/>
      </c>
      <c r="I4315" s="17">
        <f>IF(B4315="","","")</f>
        <v/>
      </c>
      <c r="J4315" s="17">
        <f>IF(B4315="","","touch_2; "&amp;IFERROR(INDEX(Clay_Brands!$A$2:$FZ$601,264,Sync!$D$10)&amp;"","")&amp;"; "&amp;IFERROR(INDEX(Clay_Brands!$A$2:$FZ$601,264,Sync!$D$9)&amp;"",""))</f>
        <v/>
      </c>
      <c r="K4315" t="inlineStr">
        <is>
          <t>brand outreach touch 2</t>
        </is>
      </c>
    </row>
    <row r="4316">
      <c r="A4316" s="17">
        <f>IF(B4316="","",B4316+(16*1000+265)/10000000)</f>
        <v/>
      </c>
      <c r="B4316" s="23">
        <f>IF(AND(IFERROR(N(INDEX(Clay_Brands!$A$2:$FZ$601,265,Sync!$D$12)),0)&gt;0,IFERROR(INDEX(Clay_Brands!$A$2:$FZ$601,265,Sync!$D$5)&amp;"","")&lt;&gt;"",OR(LEFT(IFERROR(INDEX(Clay_Brands!$A$2:$FZ$601,265,Sync!$D$5)&amp;"",""),6)&lt;&gt;"SAMPLE",Config!$B$19="Y")),IFERROR(N(INDEX(Clay_Brands!$A$2:$FZ$601,265,Sync!$D$12)),0),"")</f>
        <v/>
      </c>
      <c r="C4316" s="17">
        <f>IF(B4316="","","brand")</f>
        <v/>
      </c>
      <c r="D4316" s="17">
        <f>IF(B4316="","",IFERROR(INDEX(Clay_Brands!$A$2:$FZ$601,265,Sync!$D$5)&amp;"",""))</f>
        <v/>
      </c>
      <c r="E4316" s="17">
        <f>IF(B4316="","",IFERROR(INDEX(Clay_Brands!$A$2:$FZ$601,265,Sync!$D$6)&amp;"",""))</f>
        <v/>
      </c>
      <c r="F4316" s="17">
        <f>IF(B4316="","","outreach_sent")</f>
        <v/>
      </c>
      <c r="G4316" s="17">
        <f>IF(B4316="","","")</f>
        <v/>
      </c>
      <c r="H4316" s="17">
        <f>IF(B4316="","","")</f>
        <v/>
      </c>
      <c r="I4316" s="17">
        <f>IF(B4316="","","")</f>
        <v/>
      </c>
      <c r="J4316" s="17">
        <f>IF(B4316="","","touch_2; "&amp;IFERROR(INDEX(Clay_Brands!$A$2:$FZ$601,265,Sync!$D$10)&amp;"","")&amp;"; "&amp;IFERROR(INDEX(Clay_Brands!$A$2:$FZ$601,265,Sync!$D$9)&amp;"",""))</f>
        <v/>
      </c>
      <c r="K4316" t="inlineStr">
        <is>
          <t>brand outreach touch 2</t>
        </is>
      </c>
    </row>
    <row r="4317">
      <c r="A4317" s="17">
        <f>IF(B4317="","",B4317+(16*1000+266)/10000000)</f>
        <v/>
      </c>
      <c r="B4317" s="23">
        <f>IF(AND(IFERROR(N(INDEX(Clay_Brands!$A$2:$FZ$601,266,Sync!$D$12)),0)&gt;0,IFERROR(INDEX(Clay_Brands!$A$2:$FZ$601,266,Sync!$D$5)&amp;"","")&lt;&gt;"",OR(LEFT(IFERROR(INDEX(Clay_Brands!$A$2:$FZ$601,266,Sync!$D$5)&amp;"",""),6)&lt;&gt;"SAMPLE",Config!$B$19="Y")),IFERROR(N(INDEX(Clay_Brands!$A$2:$FZ$601,266,Sync!$D$12)),0),"")</f>
        <v/>
      </c>
      <c r="C4317" s="17">
        <f>IF(B4317="","","brand")</f>
        <v/>
      </c>
      <c r="D4317" s="17">
        <f>IF(B4317="","",IFERROR(INDEX(Clay_Brands!$A$2:$FZ$601,266,Sync!$D$5)&amp;"",""))</f>
        <v/>
      </c>
      <c r="E4317" s="17">
        <f>IF(B4317="","",IFERROR(INDEX(Clay_Brands!$A$2:$FZ$601,266,Sync!$D$6)&amp;"",""))</f>
        <v/>
      </c>
      <c r="F4317" s="17">
        <f>IF(B4317="","","outreach_sent")</f>
        <v/>
      </c>
      <c r="G4317" s="17">
        <f>IF(B4317="","","")</f>
        <v/>
      </c>
      <c r="H4317" s="17">
        <f>IF(B4317="","","")</f>
        <v/>
      </c>
      <c r="I4317" s="17">
        <f>IF(B4317="","","")</f>
        <v/>
      </c>
      <c r="J4317" s="17">
        <f>IF(B4317="","","touch_2; "&amp;IFERROR(INDEX(Clay_Brands!$A$2:$FZ$601,266,Sync!$D$10)&amp;"","")&amp;"; "&amp;IFERROR(INDEX(Clay_Brands!$A$2:$FZ$601,266,Sync!$D$9)&amp;"",""))</f>
        <v/>
      </c>
      <c r="K4317" t="inlineStr">
        <is>
          <t>brand outreach touch 2</t>
        </is>
      </c>
    </row>
    <row r="4318">
      <c r="A4318" s="17">
        <f>IF(B4318="","",B4318+(16*1000+267)/10000000)</f>
        <v/>
      </c>
      <c r="B4318" s="23">
        <f>IF(AND(IFERROR(N(INDEX(Clay_Brands!$A$2:$FZ$601,267,Sync!$D$12)),0)&gt;0,IFERROR(INDEX(Clay_Brands!$A$2:$FZ$601,267,Sync!$D$5)&amp;"","")&lt;&gt;"",OR(LEFT(IFERROR(INDEX(Clay_Brands!$A$2:$FZ$601,267,Sync!$D$5)&amp;"",""),6)&lt;&gt;"SAMPLE",Config!$B$19="Y")),IFERROR(N(INDEX(Clay_Brands!$A$2:$FZ$601,267,Sync!$D$12)),0),"")</f>
        <v/>
      </c>
      <c r="C4318" s="17">
        <f>IF(B4318="","","brand")</f>
        <v/>
      </c>
      <c r="D4318" s="17">
        <f>IF(B4318="","",IFERROR(INDEX(Clay_Brands!$A$2:$FZ$601,267,Sync!$D$5)&amp;"",""))</f>
        <v/>
      </c>
      <c r="E4318" s="17">
        <f>IF(B4318="","",IFERROR(INDEX(Clay_Brands!$A$2:$FZ$601,267,Sync!$D$6)&amp;"",""))</f>
        <v/>
      </c>
      <c r="F4318" s="17">
        <f>IF(B4318="","","outreach_sent")</f>
        <v/>
      </c>
      <c r="G4318" s="17">
        <f>IF(B4318="","","")</f>
        <v/>
      </c>
      <c r="H4318" s="17">
        <f>IF(B4318="","","")</f>
        <v/>
      </c>
      <c r="I4318" s="17">
        <f>IF(B4318="","","")</f>
        <v/>
      </c>
      <c r="J4318" s="17">
        <f>IF(B4318="","","touch_2; "&amp;IFERROR(INDEX(Clay_Brands!$A$2:$FZ$601,267,Sync!$D$10)&amp;"","")&amp;"; "&amp;IFERROR(INDEX(Clay_Brands!$A$2:$FZ$601,267,Sync!$D$9)&amp;"",""))</f>
        <v/>
      </c>
      <c r="K4318" t="inlineStr">
        <is>
          <t>brand outreach touch 2</t>
        </is>
      </c>
    </row>
    <row r="4319">
      <c r="A4319" s="17">
        <f>IF(B4319="","",B4319+(16*1000+268)/10000000)</f>
        <v/>
      </c>
      <c r="B4319" s="23">
        <f>IF(AND(IFERROR(N(INDEX(Clay_Brands!$A$2:$FZ$601,268,Sync!$D$12)),0)&gt;0,IFERROR(INDEX(Clay_Brands!$A$2:$FZ$601,268,Sync!$D$5)&amp;"","")&lt;&gt;"",OR(LEFT(IFERROR(INDEX(Clay_Brands!$A$2:$FZ$601,268,Sync!$D$5)&amp;"",""),6)&lt;&gt;"SAMPLE",Config!$B$19="Y")),IFERROR(N(INDEX(Clay_Brands!$A$2:$FZ$601,268,Sync!$D$12)),0),"")</f>
        <v/>
      </c>
      <c r="C4319" s="17">
        <f>IF(B4319="","","brand")</f>
        <v/>
      </c>
      <c r="D4319" s="17">
        <f>IF(B4319="","",IFERROR(INDEX(Clay_Brands!$A$2:$FZ$601,268,Sync!$D$5)&amp;"",""))</f>
        <v/>
      </c>
      <c r="E4319" s="17">
        <f>IF(B4319="","",IFERROR(INDEX(Clay_Brands!$A$2:$FZ$601,268,Sync!$D$6)&amp;"",""))</f>
        <v/>
      </c>
      <c r="F4319" s="17">
        <f>IF(B4319="","","outreach_sent")</f>
        <v/>
      </c>
      <c r="G4319" s="17">
        <f>IF(B4319="","","")</f>
        <v/>
      </c>
      <c r="H4319" s="17">
        <f>IF(B4319="","","")</f>
        <v/>
      </c>
      <c r="I4319" s="17">
        <f>IF(B4319="","","")</f>
        <v/>
      </c>
      <c r="J4319" s="17">
        <f>IF(B4319="","","touch_2; "&amp;IFERROR(INDEX(Clay_Brands!$A$2:$FZ$601,268,Sync!$D$10)&amp;"","")&amp;"; "&amp;IFERROR(INDEX(Clay_Brands!$A$2:$FZ$601,268,Sync!$D$9)&amp;"",""))</f>
        <v/>
      </c>
      <c r="K4319" t="inlineStr">
        <is>
          <t>brand outreach touch 2</t>
        </is>
      </c>
    </row>
    <row r="4320">
      <c r="A4320" s="17">
        <f>IF(B4320="","",B4320+(16*1000+269)/10000000)</f>
        <v/>
      </c>
      <c r="B4320" s="23">
        <f>IF(AND(IFERROR(N(INDEX(Clay_Brands!$A$2:$FZ$601,269,Sync!$D$12)),0)&gt;0,IFERROR(INDEX(Clay_Brands!$A$2:$FZ$601,269,Sync!$D$5)&amp;"","")&lt;&gt;"",OR(LEFT(IFERROR(INDEX(Clay_Brands!$A$2:$FZ$601,269,Sync!$D$5)&amp;"",""),6)&lt;&gt;"SAMPLE",Config!$B$19="Y")),IFERROR(N(INDEX(Clay_Brands!$A$2:$FZ$601,269,Sync!$D$12)),0),"")</f>
        <v/>
      </c>
      <c r="C4320" s="17">
        <f>IF(B4320="","","brand")</f>
        <v/>
      </c>
      <c r="D4320" s="17">
        <f>IF(B4320="","",IFERROR(INDEX(Clay_Brands!$A$2:$FZ$601,269,Sync!$D$5)&amp;"",""))</f>
        <v/>
      </c>
      <c r="E4320" s="17">
        <f>IF(B4320="","",IFERROR(INDEX(Clay_Brands!$A$2:$FZ$601,269,Sync!$D$6)&amp;"",""))</f>
        <v/>
      </c>
      <c r="F4320" s="17">
        <f>IF(B4320="","","outreach_sent")</f>
        <v/>
      </c>
      <c r="G4320" s="17">
        <f>IF(B4320="","","")</f>
        <v/>
      </c>
      <c r="H4320" s="17">
        <f>IF(B4320="","","")</f>
        <v/>
      </c>
      <c r="I4320" s="17">
        <f>IF(B4320="","","")</f>
        <v/>
      </c>
      <c r="J4320" s="17">
        <f>IF(B4320="","","touch_2; "&amp;IFERROR(INDEX(Clay_Brands!$A$2:$FZ$601,269,Sync!$D$10)&amp;"","")&amp;"; "&amp;IFERROR(INDEX(Clay_Brands!$A$2:$FZ$601,269,Sync!$D$9)&amp;"",""))</f>
        <v/>
      </c>
      <c r="K4320" t="inlineStr">
        <is>
          <t>brand outreach touch 2</t>
        </is>
      </c>
    </row>
    <row r="4321">
      <c r="A4321" s="17">
        <f>IF(B4321="","",B4321+(16*1000+270)/10000000)</f>
        <v/>
      </c>
      <c r="B4321" s="23">
        <f>IF(AND(IFERROR(N(INDEX(Clay_Brands!$A$2:$FZ$601,270,Sync!$D$12)),0)&gt;0,IFERROR(INDEX(Clay_Brands!$A$2:$FZ$601,270,Sync!$D$5)&amp;"","")&lt;&gt;"",OR(LEFT(IFERROR(INDEX(Clay_Brands!$A$2:$FZ$601,270,Sync!$D$5)&amp;"",""),6)&lt;&gt;"SAMPLE",Config!$B$19="Y")),IFERROR(N(INDEX(Clay_Brands!$A$2:$FZ$601,270,Sync!$D$12)),0),"")</f>
        <v/>
      </c>
      <c r="C4321" s="17">
        <f>IF(B4321="","","brand")</f>
        <v/>
      </c>
      <c r="D4321" s="17">
        <f>IF(B4321="","",IFERROR(INDEX(Clay_Brands!$A$2:$FZ$601,270,Sync!$D$5)&amp;"",""))</f>
        <v/>
      </c>
      <c r="E4321" s="17">
        <f>IF(B4321="","",IFERROR(INDEX(Clay_Brands!$A$2:$FZ$601,270,Sync!$D$6)&amp;"",""))</f>
        <v/>
      </c>
      <c r="F4321" s="17">
        <f>IF(B4321="","","outreach_sent")</f>
        <v/>
      </c>
      <c r="G4321" s="17">
        <f>IF(B4321="","","")</f>
        <v/>
      </c>
      <c r="H4321" s="17">
        <f>IF(B4321="","","")</f>
        <v/>
      </c>
      <c r="I4321" s="17">
        <f>IF(B4321="","","")</f>
        <v/>
      </c>
      <c r="J4321" s="17">
        <f>IF(B4321="","","touch_2; "&amp;IFERROR(INDEX(Clay_Brands!$A$2:$FZ$601,270,Sync!$D$10)&amp;"","")&amp;"; "&amp;IFERROR(INDEX(Clay_Brands!$A$2:$FZ$601,270,Sync!$D$9)&amp;"",""))</f>
        <v/>
      </c>
      <c r="K4321" t="inlineStr">
        <is>
          <t>brand outreach touch 2</t>
        </is>
      </c>
    </row>
    <row r="4322">
      <c r="A4322" s="17">
        <f>IF(B4322="","",B4322+(16*1000+271)/10000000)</f>
        <v/>
      </c>
      <c r="B4322" s="23">
        <f>IF(AND(IFERROR(N(INDEX(Clay_Brands!$A$2:$FZ$601,271,Sync!$D$12)),0)&gt;0,IFERROR(INDEX(Clay_Brands!$A$2:$FZ$601,271,Sync!$D$5)&amp;"","")&lt;&gt;"",OR(LEFT(IFERROR(INDEX(Clay_Brands!$A$2:$FZ$601,271,Sync!$D$5)&amp;"",""),6)&lt;&gt;"SAMPLE",Config!$B$19="Y")),IFERROR(N(INDEX(Clay_Brands!$A$2:$FZ$601,271,Sync!$D$12)),0),"")</f>
        <v/>
      </c>
      <c r="C4322" s="17">
        <f>IF(B4322="","","brand")</f>
        <v/>
      </c>
      <c r="D4322" s="17">
        <f>IF(B4322="","",IFERROR(INDEX(Clay_Brands!$A$2:$FZ$601,271,Sync!$D$5)&amp;"",""))</f>
        <v/>
      </c>
      <c r="E4322" s="17">
        <f>IF(B4322="","",IFERROR(INDEX(Clay_Brands!$A$2:$FZ$601,271,Sync!$D$6)&amp;"",""))</f>
        <v/>
      </c>
      <c r="F4322" s="17">
        <f>IF(B4322="","","outreach_sent")</f>
        <v/>
      </c>
      <c r="G4322" s="17">
        <f>IF(B4322="","","")</f>
        <v/>
      </c>
      <c r="H4322" s="17">
        <f>IF(B4322="","","")</f>
        <v/>
      </c>
      <c r="I4322" s="17">
        <f>IF(B4322="","","")</f>
        <v/>
      </c>
      <c r="J4322" s="17">
        <f>IF(B4322="","","touch_2; "&amp;IFERROR(INDEX(Clay_Brands!$A$2:$FZ$601,271,Sync!$D$10)&amp;"","")&amp;"; "&amp;IFERROR(INDEX(Clay_Brands!$A$2:$FZ$601,271,Sync!$D$9)&amp;"",""))</f>
        <v/>
      </c>
      <c r="K4322" t="inlineStr">
        <is>
          <t>brand outreach touch 2</t>
        </is>
      </c>
    </row>
    <row r="4323">
      <c r="A4323" s="17">
        <f>IF(B4323="","",B4323+(16*1000+272)/10000000)</f>
        <v/>
      </c>
      <c r="B4323" s="23">
        <f>IF(AND(IFERROR(N(INDEX(Clay_Brands!$A$2:$FZ$601,272,Sync!$D$12)),0)&gt;0,IFERROR(INDEX(Clay_Brands!$A$2:$FZ$601,272,Sync!$D$5)&amp;"","")&lt;&gt;"",OR(LEFT(IFERROR(INDEX(Clay_Brands!$A$2:$FZ$601,272,Sync!$D$5)&amp;"",""),6)&lt;&gt;"SAMPLE",Config!$B$19="Y")),IFERROR(N(INDEX(Clay_Brands!$A$2:$FZ$601,272,Sync!$D$12)),0),"")</f>
        <v/>
      </c>
      <c r="C4323" s="17">
        <f>IF(B4323="","","brand")</f>
        <v/>
      </c>
      <c r="D4323" s="17">
        <f>IF(B4323="","",IFERROR(INDEX(Clay_Brands!$A$2:$FZ$601,272,Sync!$D$5)&amp;"",""))</f>
        <v/>
      </c>
      <c r="E4323" s="17">
        <f>IF(B4323="","",IFERROR(INDEX(Clay_Brands!$A$2:$FZ$601,272,Sync!$D$6)&amp;"",""))</f>
        <v/>
      </c>
      <c r="F4323" s="17">
        <f>IF(B4323="","","outreach_sent")</f>
        <v/>
      </c>
      <c r="G4323" s="17">
        <f>IF(B4323="","","")</f>
        <v/>
      </c>
      <c r="H4323" s="17">
        <f>IF(B4323="","","")</f>
        <v/>
      </c>
      <c r="I4323" s="17">
        <f>IF(B4323="","","")</f>
        <v/>
      </c>
      <c r="J4323" s="17">
        <f>IF(B4323="","","touch_2; "&amp;IFERROR(INDEX(Clay_Brands!$A$2:$FZ$601,272,Sync!$D$10)&amp;"","")&amp;"; "&amp;IFERROR(INDEX(Clay_Brands!$A$2:$FZ$601,272,Sync!$D$9)&amp;"",""))</f>
        <v/>
      </c>
      <c r="K4323" t="inlineStr">
        <is>
          <t>brand outreach touch 2</t>
        </is>
      </c>
    </row>
    <row r="4324">
      <c r="A4324" s="17">
        <f>IF(B4324="","",B4324+(16*1000+273)/10000000)</f>
        <v/>
      </c>
      <c r="B4324" s="23">
        <f>IF(AND(IFERROR(N(INDEX(Clay_Brands!$A$2:$FZ$601,273,Sync!$D$12)),0)&gt;0,IFERROR(INDEX(Clay_Brands!$A$2:$FZ$601,273,Sync!$D$5)&amp;"","")&lt;&gt;"",OR(LEFT(IFERROR(INDEX(Clay_Brands!$A$2:$FZ$601,273,Sync!$D$5)&amp;"",""),6)&lt;&gt;"SAMPLE",Config!$B$19="Y")),IFERROR(N(INDEX(Clay_Brands!$A$2:$FZ$601,273,Sync!$D$12)),0),"")</f>
        <v/>
      </c>
      <c r="C4324" s="17">
        <f>IF(B4324="","","brand")</f>
        <v/>
      </c>
      <c r="D4324" s="17">
        <f>IF(B4324="","",IFERROR(INDEX(Clay_Brands!$A$2:$FZ$601,273,Sync!$D$5)&amp;"",""))</f>
        <v/>
      </c>
      <c r="E4324" s="17">
        <f>IF(B4324="","",IFERROR(INDEX(Clay_Brands!$A$2:$FZ$601,273,Sync!$D$6)&amp;"",""))</f>
        <v/>
      </c>
      <c r="F4324" s="17">
        <f>IF(B4324="","","outreach_sent")</f>
        <v/>
      </c>
      <c r="G4324" s="17">
        <f>IF(B4324="","","")</f>
        <v/>
      </c>
      <c r="H4324" s="17">
        <f>IF(B4324="","","")</f>
        <v/>
      </c>
      <c r="I4324" s="17">
        <f>IF(B4324="","","")</f>
        <v/>
      </c>
      <c r="J4324" s="17">
        <f>IF(B4324="","","touch_2; "&amp;IFERROR(INDEX(Clay_Brands!$A$2:$FZ$601,273,Sync!$D$10)&amp;"","")&amp;"; "&amp;IFERROR(INDEX(Clay_Brands!$A$2:$FZ$601,273,Sync!$D$9)&amp;"",""))</f>
        <v/>
      </c>
      <c r="K4324" t="inlineStr">
        <is>
          <t>brand outreach touch 2</t>
        </is>
      </c>
    </row>
    <row r="4325">
      <c r="A4325" s="17">
        <f>IF(B4325="","",B4325+(16*1000+274)/10000000)</f>
        <v/>
      </c>
      <c r="B4325" s="23">
        <f>IF(AND(IFERROR(N(INDEX(Clay_Brands!$A$2:$FZ$601,274,Sync!$D$12)),0)&gt;0,IFERROR(INDEX(Clay_Brands!$A$2:$FZ$601,274,Sync!$D$5)&amp;"","")&lt;&gt;"",OR(LEFT(IFERROR(INDEX(Clay_Brands!$A$2:$FZ$601,274,Sync!$D$5)&amp;"",""),6)&lt;&gt;"SAMPLE",Config!$B$19="Y")),IFERROR(N(INDEX(Clay_Brands!$A$2:$FZ$601,274,Sync!$D$12)),0),"")</f>
        <v/>
      </c>
      <c r="C4325" s="17">
        <f>IF(B4325="","","brand")</f>
        <v/>
      </c>
      <c r="D4325" s="17">
        <f>IF(B4325="","",IFERROR(INDEX(Clay_Brands!$A$2:$FZ$601,274,Sync!$D$5)&amp;"",""))</f>
        <v/>
      </c>
      <c r="E4325" s="17">
        <f>IF(B4325="","",IFERROR(INDEX(Clay_Brands!$A$2:$FZ$601,274,Sync!$D$6)&amp;"",""))</f>
        <v/>
      </c>
      <c r="F4325" s="17">
        <f>IF(B4325="","","outreach_sent")</f>
        <v/>
      </c>
      <c r="G4325" s="17">
        <f>IF(B4325="","","")</f>
        <v/>
      </c>
      <c r="H4325" s="17">
        <f>IF(B4325="","","")</f>
        <v/>
      </c>
      <c r="I4325" s="17">
        <f>IF(B4325="","","")</f>
        <v/>
      </c>
      <c r="J4325" s="17">
        <f>IF(B4325="","","touch_2; "&amp;IFERROR(INDEX(Clay_Brands!$A$2:$FZ$601,274,Sync!$D$10)&amp;"","")&amp;"; "&amp;IFERROR(INDEX(Clay_Brands!$A$2:$FZ$601,274,Sync!$D$9)&amp;"",""))</f>
        <v/>
      </c>
      <c r="K4325" t="inlineStr">
        <is>
          <t>brand outreach touch 2</t>
        </is>
      </c>
    </row>
    <row r="4326">
      <c r="A4326" s="17">
        <f>IF(B4326="","",B4326+(16*1000+275)/10000000)</f>
        <v/>
      </c>
      <c r="B4326" s="23">
        <f>IF(AND(IFERROR(N(INDEX(Clay_Brands!$A$2:$FZ$601,275,Sync!$D$12)),0)&gt;0,IFERROR(INDEX(Clay_Brands!$A$2:$FZ$601,275,Sync!$D$5)&amp;"","")&lt;&gt;"",OR(LEFT(IFERROR(INDEX(Clay_Brands!$A$2:$FZ$601,275,Sync!$D$5)&amp;"",""),6)&lt;&gt;"SAMPLE",Config!$B$19="Y")),IFERROR(N(INDEX(Clay_Brands!$A$2:$FZ$601,275,Sync!$D$12)),0),"")</f>
        <v/>
      </c>
      <c r="C4326" s="17">
        <f>IF(B4326="","","brand")</f>
        <v/>
      </c>
      <c r="D4326" s="17">
        <f>IF(B4326="","",IFERROR(INDEX(Clay_Brands!$A$2:$FZ$601,275,Sync!$D$5)&amp;"",""))</f>
        <v/>
      </c>
      <c r="E4326" s="17">
        <f>IF(B4326="","",IFERROR(INDEX(Clay_Brands!$A$2:$FZ$601,275,Sync!$D$6)&amp;"",""))</f>
        <v/>
      </c>
      <c r="F4326" s="17">
        <f>IF(B4326="","","outreach_sent")</f>
        <v/>
      </c>
      <c r="G4326" s="17">
        <f>IF(B4326="","","")</f>
        <v/>
      </c>
      <c r="H4326" s="17">
        <f>IF(B4326="","","")</f>
        <v/>
      </c>
      <c r="I4326" s="17">
        <f>IF(B4326="","","")</f>
        <v/>
      </c>
      <c r="J4326" s="17">
        <f>IF(B4326="","","touch_2; "&amp;IFERROR(INDEX(Clay_Brands!$A$2:$FZ$601,275,Sync!$D$10)&amp;"","")&amp;"; "&amp;IFERROR(INDEX(Clay_Brands!$A$2:$FZ$601,275,Sync!$D$9)&amp;"",""))</f>
        <v/>
      </c>
      <c r="K4326" t="inlineStr">
        <is>
          <t>brand outreach touch 2</t>
        </is>
      </c>
    </row>
    <row r="4327">
      <c r="A4327" s="17">
        <f>IF(B4327="","",B4327+(16*1000+276)/10000000)</f>
        <v/>
      </c>
      <c r="B4327" s="23">
        <f>IF(AND(IFERROR(N(INDEX(Clay_Brands!$A$2:$FZ$601,276,Sync!$D$12)),0)&gt;0,IFERROR(INDEX(Clay_Brands!$A$2:$FZ$601,276,Sync!$D$5)&amp;"","")&lt;&gt;"",OR(LEFT(IFERROR(INDEX(Clay_Brands!$A$2:$FZ$601,276,Sync!$D$5)&amp;"",""),6)&lt;&gt;"SAMPLE",Config!$B$19="Y")),IFERROR(N(INDEX(Clay_Brands!$A$2:$FZ$601,276,Sync!$D$12)),0),"")</f>
        <v/>
      </c>
      <c r="C4327" s="17">
        <f>IF(B4327="","","brand")</f>
        <v/>
      </c>
      <c r="D4327" s="17">
        <f>IF(B4327="","",IFERROR(INDEX(Clay_Brands!$A$2:$FZ$601,276,Sync!$D$5)&amp;"",""))</f>
        <v/>
      </c>
      <c r="E4327" s="17">
        <f>IF(B4327="","",IFERROR(INDEX(Clay_Brands!$A$2:$FZ$601,276,Sync!$D$6)&amp;"",""))</f>
        <v/>
      </c>
      <c r="F4327" s="17">
        <f>IF(B4327="","","outreach_sent")</f>
        <v/>
      </c>
      <c r="G4327" s="17">
        <f>IF(B4327="","","")</f>
        <v/>
      </c>
      <c r="H4327" s="17">
        <f>IF(B4327="","","")</f>
        <v/>
      </c>
      <c r="I4327" s="17">
        <f>IF(B4327="","","")</f>
        <v/>
      </c>
      <c r="J4327" s="17">
        <f>IF(B4327="","","touch_2; "&amp;IFERROR(INDEX(Clay_Brands!$A$2:$FZ$601,276,Sync!$D$10)&amp;"","")&amp;"; "&amp;IFERROR(INDEX(Clay_Brands!$A$2:$FZ$601,276,Sync!$D$9)&amp;"",""))</f>
        <v/>
      </c>
      <c r="K4327" t="inlineStr">
        <is>
          <t>brand outreach touch 2</t>
        </is>
      </c>
    </row>
    <row r="4328">
      <c r="A4328" s="17">
        <f>IF(B4328="","",B4328+(16*1000+277)/10000000)</f>
        <v/>
      </c>
      <c r="B4328" s="23">
        <f>IF(AND(IFERROR(N(INDEX(Clay_Brands!$A$2:$FZ$601,277,Sync!$D$12)),0)&gt;0,IFERROR(INDEX(Clay_Brands!$A$2:$FZ$601,277,Sync!$D$5)&amp;"","")&lt;&gt;"",OR(LEFT(IFERROR(INDEX(Clay_Brands!$A$2:$FZ$601,277,Sync!$D$5)&amp;"",""),6)&lt;&gt;"SAMPLE",Config!$B$19="Y")),IFERROR(N(INDEX(Clay_Brands!$A$2:$FZ$601,277,Sync!$D$12)),0),"")</f>
        <v/>
      </c>
      <c r="C4328" s="17">
        <f>IF(B4328="","","brand")</f>
        <v/>
      </c>
      <c r="D4328" s="17">
        <f>IF(B4328="","",IFERROR(INDEX(Clay_Brands!$A$2:$FZ$601,277,Sync!$D$5)&amp;"",""))</f>
        <v/>
      </c>
      <c r="E4328" s="17">
        <f>IF(B4328="","",IFERROR(INDEX(Clay_Brands!$A$2:$FZ$601,277,Sync!$D$6)&amp;"",""))</f>
        <v/>
      </c>
      <c r="F4328" s="17">
        <f>IF(B4328="","","outreach_sent")</f>
        <v/>
      </c>
      <c r="G4328" s="17">
        <f>IF(B4328="","","")</f>
        <v/>
      </c>
      <c r="H4328" s="17">
        <f>IF(B4328="","","")</f>
        <v/>
      </c>
      <c r="I4328" s="17">
        <f>IF(B4328="","","")</f>
        <v/>
      </c>
      <c r="J4328" s="17">
        <f>IF(B4328="","","touch_2; "&amp;IFERROR(INDEX(Clay_Brands!$A$2:$FZ$601,277,Sync!$D$10)&amp;"","")&amp;"; "&amp;IFERROR(INDEX(Clay_Brands!$A$2:$FZ$601,277,Sync!$D$9)&amp;"",""))</f>
        <v/>
      </c>
      <c r="K4328" t="inlineStr">
        <is>
          <t>brand outreach touch 2</t>
        </is>
      </c>
    </row>
    <row r="4329">
      <c r="A4329" s="17">
        <f>IF(B4329="","",B4329+(16*1000+278)/10000000)</f>
        <v/>
      </c>
      <c r="B4329" s="23">
        <f>IF(AND(IFERROR(N(INDEX(Clay_Brands!$A$2:$FZ$601,278,Sync!$D$12)),0)&gt;0,IFERROR(INDEX(Clay_Brands!$A$2:$FZ$601,278,Sync!$D$5)&amp;"","")&lt;&gt;"",OR(LEFT(IFERROR(INDEX(Clay_Brands!$A$2:$FZ$601,278,Sync!$D$5)&amp;"",""),6)&lt;&gt;"SAMPLE",Config!$B$19="Y")),IFERROR(N(INDEX(Clay_Brands!$A$2:$FZ$601,278,Sync!$D$12)),0),"")</f>
        <v/>
      </c>
      <c r="C4329" s="17">
        <f>IF(B4329="","","brand")</f>
        <v/>
      </c>
      <c r="D4329" s="17">
        <f>IF(B4329="","",IFERROR(INDEX(Clay_Brands!$A$2:$FZ$601,278,Sync!$D$5)&amp;"",""))</f>
        <v/>
      </c>
      <c r="E4329" s="17">
        <f>IF(B4329="","",IFERROR(INDEX(Clay_Brands!$A$2:$FZ$601,278,Sync!$D$6)&amp;"",""))</f>
        <v/>
      </c>
      <c r="F4329" s="17">
        <f>IF(B4329="","","outreach_sent")</f>
        <v/>
      </c>
      <c r="G4329" s="17">
        <f>IF(B4329="","","")</f>
        <v/>
      </c>
      <c r="H4329" s="17">
        <f>IF(B4329="","","")</f>
        <v/>
      </c>
      <c r="I4329" s="17">
        <f>IF(B4329="","","")</f>
        <v/>
      </c>
      <c r="J4329" s="17">
        <f>IF(B4329="","","touch_2; "&amp;IFERROR(INDEX(Clay_Brands!$A$2:$FZ$601,278,Sync!$D$10)&amp;"","")&amp;"; "&amp;IFERROR(INDEX(Clay_Brands!$A$2:$FZ$601,278,Sync!$D$9)&amp;"",""))</f>
        <v/>
      </c>
      <c r="K4329" t="inlineStr">
        <is>
          <t>brand outreach touch 2</t>
        </is>
      </c>
    </row>
    <row r="4330">
      <c r="A4330" s="17">
        <f>IF(B4330="","",B4330+(16*1000+279)/10000000)</f>
        <v/>
      </c>
      <c r="B4330" s="23">
        <f>IF(AND(IFERROR(N(INDEX(Clay_Brands!$A$2:$FZ$601,279,Sync!$D$12)),0)&gt;0,IFERROR(INDEX(Clay_Brands!$A$2:$FZ$601,279,Sync!$D$5)&amp;"","")&lt;&gt;"",OR(LEFT(IFERROR(INDEX(Clay_Brands!$A$2:$FZ$601,279,Sync!$D$5)&amp;"",""),6)&lt;&gt;"SAMPLE",Config!$B$19="Y")),IFERROR(N(INDEX(Clay_Brands!$A$2:$FZ$601,279,Sync!$D$12)),0),"")</f>
        <v/>
      </c>
      <c r="C4330" s="17">
        <f>IF(B4330="","","brand")</f>
        <v/>
      </c>
      <c r="D4330" s="17">
        <f>IF(B4330="","",IFERROR(INDEX(Clay_Brands!$A$2:$FZ$601,279,Sync!$D$5)&amp;"",""))</f>
        <v/>
      </c>
      <c r="E4330" s="17">
        <f>IF(B4330="","",IFERROR(INDEX(Clay_Brands!$A$2:$FZ$601,279,Sync!$D$6)&amp;"",""))</f>
        <v/>
      </c>
      <c r="F4330" s="17">
        <f>IF(B4330="","","outreach_sent")</f>
        <v/>
      </c>
      <c r="G4330" s="17">
        <f>IF(B4330="","","")</f>
        <v/>
      </c>
      <c r="H4330" s="17">
        <f>IF(B4330="","","")</f>
        <v/>
      </c>
      <c r="I4330" s="17">
        <f>IF(B4330="","","")</f>
        <v/>
      </c>
      <c r="J4330" s="17">
        <f>IF(B4330="","","touch_2; "&amp;IFERROR(INDEX(Clay_Brands!$A$2:$FZ$601,279,Sync!$D$10)&amp;"","")&amp;"; "&amp;IFERROR(INDEX(Clay_Brands!$A$2:$FZ$601,279,Sync!$D$9)&amp;"",""))</f>
        <v/>
      </c>
      <c r="K4330" t="inlineStr">
        <is>
          <t>brand outreach touch 2</t>
        </is>
      </c>
    </row>
    <row r="4331">
      <c r="A4331" s="17">
        <f>IF(B4331="","",B4331+(16*1000+280)/10000000)</f>
        <v/>
      </c>
      <c r="B4331" s="23">
        <f>IF(AND(IFERROR(N(INDEX(Clay_Brands!$A$2:$FZ$601,280,Sync!$D$12)),0)&gt;0,IFERROR(INDEX(Clay_Brands!$A$2:$FZ$601,280,Sync!$D$5)&amp;"","")&lt;&gt;"",OR(LEFT(IFERROR(INDEX(Clay_Brands!$A$2:$FZ$601,280,Sync!$D$5)&amp;"",""),6)&lt;&gt;"SAMPLE",Config!$B$19="Y")),IFERROR(N(INDEX(Clay_Brands!$A$2:$FZ$601,280,Sync!$D$12)),0),"")</f>
        <v/>
      </c>
      <c r="C4331" s="17">
        <f>IF(B4331="","","brand")</f>
        <v/>
      </c>
      <c r="D4331" s="17">
        <f>IF(B4331="","",IFERROR(INDEX(Clay_Brands!$A$2:$FZ$601,280,Sync!$D$5)&amp;"",""))</f>
        <v/>
      </c>
      <c r="E4331" s="17">
        <f>IF(B4331="","",IFERROR(INDEX(Clay_Brands!$A$2:$FZ$601,280,Sync!$D$6)&amp;"",""))</f>
        <v/>
      </c>
      <c r="F4331" s="17">
        <f>IF(B4331="","","outreach_sent")</f>
        <v/>
      </c>
      <c r="G4331" s="17">
        <f>IF(B4331="","","")</f>
        <v/>
      </c>
      <c r="H4331" s="17">
        <f>IF(B4331="","","")</f>
        <v/>
      </c>
      <c r="I4331" s="17">
        <f>IF(B4331="","","")</f>
        <v/>
      </c>
      <c r="J4331" s="17">
        <f>IF(B4331="","","touch_2; "&amp;IFERROR(INDEX(Clay_Brands!$A$2:$FZ$601,280,Sync!$D$10)&amp;"","")&amp;"; "&amp;IFERROR(INDEX(Clay_Brands!$A$2:$FZ$601,280,Sync!$D$9)&amp;"",""))</f>
        <v/>
      </c>
      <c r="K4331" t="inlineStr">
        <is>
          <t>brand outreach touch 2</t>
        </is>
      </c>
    </row>
    <row r="4332">
      <c r="A4332" s="17">
        <f>IF(B4332="","",B4332+(16*1000+281)/10000000)</f>
        <v/>
      </c>
      <c r="B4332" s="23">
        <f>IF(AND(IFERROR(N(INDEX(Clay_Brands!$A$2:$FZ$601,281,Sync!$D$12)),0)&gt;0,IFERROR(INDEX(Clay_Brands!$A$2:$FZ$601,281,Sync!$D$5)&amp;"","")&lt;&gt;"",OR(LEFT(IFERROR(INDEX(Clay_Brands!$A$2:$FZ$601,281,Sync!$D$5)&amp;"",""),6)&lt;&gt;"SAMPLE",Config!$B$19="Y")),IFERROR(N(INDEX(Clay_Brands!$A$2:$FZ$601,281,Sync!$D$12)),0),"")</f>
        <v/>
      </c>
      <c r="C4332" s="17">
        <f>IF(B4332="","","brand")</f>
        <v/>
      </c>
      <c r="D4332" s="17">
        <f>IF(B4332="","",IFERROR(INDEX(Clay_Brands!$A$2:$FZ$601,281,Sync!$D$5)&amp;"",""))</f>
        <v/>
      </c>
      <c r="E4332" s="17">
        <f>IF(B4332="","",IFERROR(INDEX(Clay_Brands!$A$2:$FZ$601,281,Sync!$D$6)&amp;"",""))</f>
        <v/>
      </c>
      <c r="F4332" s="17">
        <f>IF(B4332="","","outreach_sent")</f>
        <v/>
      </c>
      <c r="G4332" s="17">
        <f>IF(B4332="","","")</f>
        <v/>
      </c>
      <c r="H4332" s="17">
        <f>IF(B4332="","","")</f>
        <v/>
      </c>
      <c r="I4332" s="17">
        <f>IF(B4332="","","")</f>
        <v/>
      </c>
      <c r="J4332" s="17">
        <f>IF(B4332="","","touch_2; "&amp;IFERROR(INDEX(Clay_Brands!$A$2:$FZ$601,281,Sync!$D$10)&amp;"","")&amp;"; "&amp;IFERROR(INDEX(Clay_Brands!$A$2:$FZ$601,281,Sync!$D$9)&amp;"",""))</f>
        <v/>
      </c>
      <c r="K4332" t="inlineStr">
        <is>
          <t>brand outreach touch 2</t>
        </is>
      </c>
    </row>
    <row r="4333">
      <c r="A4333" s="17">
        <f>IF(B4333="","",B4333+(16*1000+282)/10000000)</f>
        <v/>
      </c>
      <c r="B4333" s="23">
        <f>IF(AND(IFERROR(N(INDEX(Clay_Brands!$A$2:$FZ$601,282,Sync!$D$12)),0)&gt;0,IFERROR(INDEX(Clay_Brands!$A$2:$FZ$601,282,Sync!$D$5)&amp;"","")&lt;&gt;"",OR(LEFT(IFERROR(INDEX(Clay_Brands!$A$2:$FZ$601,282,Sync!$D$5)&amp;"",""),6)&lt;&gt;"SAMPLE",Config!$B$19="Y")),IFERROR(N(INDEX(Clay_Brands!$A$2:$FZ$601,282,Sync!$D$12)),0),"")</f>
        <v/>
      </c>
      <c r="C4333" s="17">
        <f>IF(B4333="","","brand")</f>
        <v/>
      </c>
      <c r="D4333" s="17">
        <f>IF(B4333="","",IFERROR(INDEX(Clay_Brands!$A$2:$FZ$601,282,Sync!$D$5)&amp;"",""))</f>
        <v/>
      </c>
      <c r="E4333" s="17">
        <f>IF(B4333="","",IFERROR(INDEX(Clay_Brands!$A$2:$FZ$601,282,Sync!$D$6)&amp;"",""))</f>
        <v/>
      </c>
      <c r="F4333" s="17">
        <f>IF(B4333="","","outreach_sent")</f>
        <v/>
      </c>
      <c r="G4333" s="17">
        <f>IF(B4333="","","")</f>
        <v/>
      </c>
      <c r="H4333" s="17">
        <f>IF(B4333="","","")</f>
        <v/>
      </c>
      <c r="I4333" s="17">
        <f>IF(B4333="","","")</f>
        <v/>
      </c>
      <c r="J4333" s="17">
        <f>IF(B4333="","","touch_2; "&amp;IFERROR(INDEX(Clay_Brands!$A$2:$FZ$601,282,Sync!$D$10)&amp;"","")&amp;"; "&amp;IFERROR(INDEX(Clay_Brands!$A$2:$FZ$601,282,Sync!$D$9)&amp;"",""))</f>
        <v/>
      </c>
      <c r="K4333" t="inlineStr">
        <is>
          <t>brand outreach touch 2</t>
        </is>
      </c>
    </row>
    <row r="4334">
      <c r="A4334" s="17">
        <f>IF(B4334="","",B4334+(16*1000+283)/10000000)</f>
        <v/>
      </c>
      <c r="B4334" s="23">
        <f>IF(AND(IFERROR(N(INDEX(Clay_Brands!$A$2:$FZ$601,283,Sync!$D$12)),0)&gt;0,IFERROR(INDEX(Clay_Brands!$A$2:$FZ$601,283,Sync!$D$5)&amp;"","")&lt;&gt;"",OR(LEFT(IFERROR(INDEX(Clay_Brands!$A$2:$FZ$601,283,Sync!$D$5)&amp;"",""),6)&lt;&gt;"SAMPLE",Config!$B$19="Y")),IFERROR(N(INDEX(Clay_Brands!$A$2:$FZ$601,283,Sync!$D$12)),0),"")</f>
        <v/>
      </c>
      <c r="C4334" s="17">
        <f>IF(B4334="","","brand")</f>
        <v/>
      </c>
      <c r="D4334" s="17">
        <f>IF(B4334="","",IFERROR(INDEX(Clay_Brands!$A$2:$FZ$601,283,Sync!$D$5)&amp;"",""))</f>
        <v/>
      </c>
      <c r="E4334" s="17">
        <f>IF(B4334="","",IFERROR(INDEX(Clay_Brands!$A$2:$FZ$601,283,Sync!$D$6)&amp;"",""))</f>
        <v/>
      </c>
      <c r="F4334" s="17">
        <f>IF(B4334="","","outreach_sent")</f>
        <v/>
      </c>
      <c r="G4334" s="17">
        <f>IF(B4334="","","")</f>
        <v/>
      </c>
      <c r="H4334" s="17">
        <f>IF(B4334="","","")</f>
        <v/>
      </c>
      <c r="I4334" s="17">
        <f>IF(B4334="","","")</f>
        <v/>
      </c>
      <c r="J4334" s="17">
        <f>IF(B4334="","","touch_2; "&amp;IFERROR(INDEX(Clay_Brands!$A$2:$FZ$601,283,Sync!$D$10)&amp;"","")&amp;"; "&amp;IFERROR(INDEX(Clay_Brands!$A$2:$FZ$601,283,Sync!$D$9)&amp;"",""))</f>
        <v/>
      </c>
      <c r="K4334" t="inlineStr">
        <is>
          <t>brand outreach touch 2</t>
        </is>
      </c>
    </row>
    <row r="4335">
      <c r="A4335" s="17">
        <f>IF(B4335="","",B4335+(16*1000+284)/10000000)</f>
        <v/>
      </c>
      <c r="B4335" s="23">
        <f>IF(AND(IFERROR(N(INDEX(Clay_Brands!$A$2:$FZ$601,284,Sync!$D$12)),0)&gt;0,IFERROR(INDEX(Clay_Brands!$A$2:$FZ$601,284,Sync!$D$5)&amp;"","")&lt;&gt;"",OR(LEFT(IFERROR(INDEX(Clay_Brands!$A$2:$FZ$601,284,Sync!$D$5)&amp;"",""),6)&lt;&gt;"SAMPLE",Config!$B$19="Y")),IFERROR(N(INDEX(Clay_Brands!$A$2:$FZ$601,284,Sync!$D$12)),0),"")</f>
        <v/>
      </c>
      <c r="C4335" s="17">
        <f>IF(B4335="","","brand")</f>
        <v/>
      </c>
      <c r="D4335" s="17">
        <f>IF(B4335="","",IFERROR(INDEX(Clay_Brands!$A$2:$FZ$601,284,Sync!$D$5)&amp;"",""))</f>
        <v/>
      </c>
      <c r="E4335" s="17">
        <f>IF(B4335="","",IFERROR(INDEX(Clay_Brands!$A$2:$FZ$601,284,Sync!$D$6)&amp;"",""))</f>
        <v/>
      </c>
      <c r="F4335" s="17">
        <f>IF(B4335="","","outreach_sent")</f>
        <v/>
      </c>
      <c r="G4335" s="17">
        <f>IF(B4335="","","")</f>
        <v/>
      </c>
      <c r="H4335" s="17">
        <f>IF(B4335="","","")</f>
        <v/>
      </c>
      <c r="I4335" s="17">
        <f>IF(B4335="","","")</f>
        <v/>
      </c>
      <c r="J4335" s="17">
        <f>IF(B4335="","","touch_2; "&amp;IFERROR(INDEX(Clay_Brands!$A$2:$FZ$601,284,Sync!$D$10)&amp;"","")&amp;"; "&amp;IFERROR(INDEX(Clay_Brands!$A$2:$FZ$601,284,Sync!$D$9)&amp;"",""))</f>
        <v/>
      </c>
      <c r="K4335" t="inlineStr">
        <is>
          <t>brand outreach touch 2</t>
        </is>
      </c>
    </row>
    <row r="4336">
      <c r="A4336" s="17">
        <f>IF(B4336="","",B4336+(16*1000+285)/10000000)</f>
        <v/>
      </c>
      <c r="B4336" s="23">
        <f>IF(AND(IFERROR(N(INDEX(Clay_Brands!$A$2:$FZ$601,285,Sync!$D$12)),0)&gt;0,IFERROR(INDEX(Clay_Brands!$A$2:$FZ$601,285,Sync!$D$5)&amp;"","")&lt;&gt;"",OR(LEFT(IFERROR(INDEX(Clay_Brands!$A$2:$FZ$601,285,Sync!$D$5)&amp;"",""),6)&lt;&gt;"SAMPLE",Config!$B$19="Y")),IFERROR(N(INDEX(Clay_Brands!$A$2:$FZ$601,285,Sync!$D$12)),0),"")</f>
        <v/>
      </c>
      <c r="C4336" s="17">
        <f>IF(B4336="","","brand")</f>
        <v/>
      </c>
      <c r="D4336" s="17">
        <f>IF(B4336="","",IFERROR(INDEX(Clay_Brands!$A$2:$FZ$601,285,Sync!$D$5)&amp;"",""))</f>
        <v/>
      </c>
      <c r="E4336" s="17">
        <f>IF(B4336="","",IFERROR(INDEX(Clay_Brands!$A$2:$FZ$601,285,Sync!$D$6)&amp;"",""))</f>
        <v/>
      </c>
      <c r="F4336" s="17">
        <f>IF(B4336="","","outreach_sent")</f>
        <v/>
      </c>
      <c r="G4336" s="17">
        <f>IF(B4336="","","")</f>
        <v/>
      </c>
      <c r="H4336" s="17">
        <f>IF(B4336="","","")</f>
        <v/>
      </c>
      <c r="I4336" s="17">
        <f>IF(B4336="","","")</f>
        <v/>
      </c>
      <c r="J4336" s="17">
        <f>IF(B4336="","","touch_2; "&amp;IFERROR(INDEX(Clay_Brands!$A$2:$FZ$601,285,Sync!$D$10)&amp;"","")&amp;"; "&amp;IFERROR(INDEX(Clay_Brands!$A$2:$FZ$601,285,Sync!$D$9)&amp;"",""))</f>
        <v/>
      </c>
      <c r="K4336" t="inlineStr">
        <is>
          <t>brand outreach touch 2</t>
        </is>
      </c>
    </row>
    <row r="4337">
      <c r="A4337" s="17">
        <f>IF(B4337="","",B4337+(16*1000+286)/10000000)</f>
        <v/>
      </c>
      <c r="B4337" s="23">
        <f>IF(AND(IFERROR(N(INDEX(Clay_Brands!$A$2:$FZ$601,286,Sync!$D$12)),0)&gt;0,IFERROR(INDEX(Clay_Brands!$A$2:$FZ$601,286,Sync!$D$5)&amp;"","")&lt;&gt;"",OR(LEFT(IFERROR(INDEX(Clay_Brands!$A$2:$FZ$601,286,Sync!$D$5)&amp;"",""),6)&lt;&gt;"SAMPLE",Config!$B$19="Y")),IFERROR(N(INDEX(Clay_Brands!$A$2:$FZ$601,286,Sync!$D$12)),0),"")</f>
        <v/>
      </c>
      <c r="C4337" s="17">
        <f>IF(B4337="","","brand")</f>
        <v/>
      </c>
      <c r="D4337" s="17">
        <f>IF(B4337="","",IFERROR(INDEX(Clay_Brands!$A$2:$FZ$601,286,Sync!$D$5)&amp;"",""))</f>
        <v/>
      </c>
      <c r="E4337" s="17">
        <f>IF(B4337="","",IFERROR(INDEX(Clay_Brands!$A$2:$FZ$601,286,Sync!$D$6)&amp;"",""))</f>
        <v/>
      </c>
      <c r="F4337" s="17">
        <f>IF(B4337="","","outreach_sent")</f>
        <v/>
      </c>
      <c r="G4337" s="17">
        <f>IF(B4337="","","")</f>
        <v/>
      </c>
      <c r="H4337" s="17">
        <f>IF(B4337="","","")</f>
        <v/>
      </c>
      <c r="I4337" s="17">
        <f>IF(B4337="","","")</f>
        <v/>
      </c>
      <c r="J4337" s="17">
        <f>IF(B4337="","","touch_2; "&amp;IFERROR(INDEX(Clay_Brands!$A$2:$FZ$601,286,Sync!$D$10)&amp;"","")&amp;"; "&amp;IFERROR(INDEX(Clay_Brands!$A$2:$FZ$601,286,Sync!$D$9)&amp;"",""))</f>
        <v/>
      </c>
      <c r="K4337" t="inlineStr">
        <is>
          <t>brand outreach touch 2</t>
        </is>
      </c>
    </row>
    <row r="4338">
      <c r="A4338" s="17">
        <f>IF(B4338="","",B4338+(16*1000+287)/10000000)</f>
        <v/>
      </c>
      <c r="B4338" s="23">
        <f>IF(AND(IFERROR(N(INDEX(Clay_Brands!$A$2:$FZ$601,287,Sync!$D$12)),0)&gt;0,IFERROR(INDEX(Clay_Brands!$A$2:$FZ$601,287,Sync!$D$5)&amp;"","")&lt;&gt;"",OR(LEFT(IFERROR(INDEX(Clay_Brands!$A$2:$FZ$601,287,Sync!$D$5)&amp;"",""),6)&lt;&gt;"SAMPLE",Config!$B$19="Y")),IFERROR(N(INDEX(Clay_Brands!$A$2:$FZ$601,287,Sync!$D$12)),0),"")</f>
        <v/>
      </c>
      <c r="C4338" s="17">
        <f>IF(B4338="","","brand")</f>
        <v/>
      </c>
      <c r="D4338" s="17">
        <f>IF(B4338="","",IFERROR(INDEX(Clay_Brands!$A$2:$FZ$601,287,Sync!$D$5)&amp;"",""))</f>
        <v/>
      </c>
      <c r="E4338" s="17">
        <f>IF(B4338="","",IFERROR(INDEX(Clay_Brands!$A$2:$FZ$601,287,Sync!$D$6)&amp;"",""))</f>
        <v/>
      </c>
      <c r="F4338" s="17">
        <f>IF(B4338="","","outreach_sent")</f>
        <v/>
      </c>
      <c r="G4338" s="17">
        <f>IF(B4338="","","")</f>
        <v/>
      </c>
      <c r="H4338" s="17">
        <f>IF(B4338="","","")</f>
        <v/>
      </c>
      <c r="I4338" s="17">
        <f>IF(B4338="","","")</f>
        <v/>
      </c>
      <c r="J4338" s="17">
        <f>IF(B4338="","","touch_2; "&amp;IFERROR(INDEX(Clay_Brands!$A$2:$FZ$601,287,Sync!$D$10)&amp;"","")&amp;"; "&amp;IFERROR(INDEX(Clay_Brands!$A$2:$FZ$601,287,Sync!$D$9)&amp;"",""))</f>
        <v/>
      </c>
      <c r="K4338" t="inlineStr">
        <is>
          <t>brand outreach touch 2</t>
        </is>
      </c>
    </row>
    <row r="4339">
      <c r="A4339" s="17">
        <f>IF(B4339="","",B4339+(16*1000+288)/10000000)</f>
        <v/>
      </c>
      <c r="B4339" s="23">
        <f>IF(AND(IFERROR(N(INDEX(Clay_Brands!$A$2:$FZ$601,288,Sync!$D$12)),0)&gt;0,IFERROR(INDEX(Clay_Brands!$A$2:$FZ$601,288,Sync!$D$5)&amp;"","")&lt;&gt;"",OR(LEFT(IFERROR(INDEX(Clay_Brands!$A$2:$FZ$601,288,Sync!$D$5)&amp;"",""),6)&lt;&gt;"SAMPLE",Config!$B$19="Y")),IFERROR(N(INDEX(Clay_Brands!$A$2:$FZ$601,288,Sync!$D$12)),0),"")</f>
        <v/>
      </c>
      <c r="C4339" s="17">
        <f>IF(B4339="","","brand")</f>
        <v/>
      </c>
      <c r="D4339" s="17">
        <f>IF(B4339="","",IFERROR(INDEX(Clay_Brands!$A$2:$FZ$601,288,Sync!$D$5)&amp;"",""))</f>
        <v/>
      </c>
      <c r="E4339" s="17">
        <f>IF(B4339="","",IFERROR(INDEX(Clay_Brands!$A$2:$FZ$601,288,Sync!$D$6)&amp;"",""))</f>
        <v/>
      </c>
      <c r="F4339" s="17">
        <f>IF(B4339="","","outreach_sent")</f>
        <v/>
      </c>
      <c r="G4339" s="17">
        <f>IF(B4339="","","")</f>
        <v/>
      </c>
      <c r="H4339" s="17">
        <f>IF(B4339="","","")</f>
        <v/>
      </c>
      <c r="I4339" s="17">
        <f>IF(B4339="","","")</f>
        <v/>
      </c>
      <c r="J4339" s="17">
        <f>IF(B4339="","","touch_2; "&amp;IFERROR(INDEX(Clay_Brands!$A$2:$FZ$601,288,Sync!$D$10)&amp;"","")&amp;"; "&amp;IFERROR(INDEX(Clay_Brands!$A$2:$FZ$601,288,Sync!$D$9)&amp;"",""))</f>
        <v/>
      </c>
      <c r="K4339" t="inlineStr">
        <is>
          <t>brand outreach touch 2</t>
        </is>
      </c>
    </row>
    <row r="4340">
      <c r="A4340" s="17">
        <f>IF(B4340="","",B4340+(16*1000+289)/10000000)</f>
        <v/>
      </c>
      <c r="B4340" s="23">
        <f>IF(AND(IFERROR(N(INDEX(Clay_Brands!$A$2:$FZ$601,289,Sync!$D$12)),0)&gt;0,IFERROR(INDEX(Clay_Brands!$A$2:$FZ$601,289,Sync!$D$5)&amp;"","")&lt;&gt;"",OR(LEFT(IFERROR(INDEX(Clay_Brands!$A$2:$FZ$601,289,Sync!$D$5)&amp;"",""),6)&lt;&gt;"SAMPLE",Config!$B$19="Y")),IFERROR(N(INDEX(Clay_Brands!$A$2:$FZ$601,289,Sync!$D$12)),0),"")</f>
        <v/>
      </c>
      <c r="C4340" s="17">
        <f>IF(B4340="","","brand")</f>
        <v/>
      </c>
      <c r="D4340" s="17">
        <f>IF(B4340="","",IFERROR(INDEX(Clay_Brands!$A$2:$FZ$601,289,Sync!$D$5)&amp;"",""))</f>
        <v/>
      </c>
      <c r="E4340" s="17">
        <f>IF(B4340="","",IFERROR(INDEX(Clay_Brands!$A$2:$FZ$601,289,Sync!$D$6)&amp;"",""))</f>
        <v/>
      </c>
      <c r="F4340" s="17">
        <f>IF(B4340="","","outreach_sent")</f>
        <v/>
      </c>
      <c r="G4340" s="17">
        <f>IF(B4340="","","")</f>
        <v/>
      </c>
      <c r="H4340" s="17">
        <f>IF(B4340="","","")</f>
        <v/>
      </c>
      <c r="I4340" s="17">
        <f>IF(B4340="","","")</f>
        <v/>
      </c>
      <c r="J4340" s="17">
        <f>IF(B4340="","","touch_2; "&amp;IFERROR(INDEX(Clay_Brands!$A$2:$FZ$601,289,Sync!$D$10)&amp;"","")&amp;"; "&amp;IFERROR(INDEX(Clay_Brands!$A$2:$FZ$601,289,Sync!$D$9)&amp;"",""))</f>
        <v/>
      </c>
      <c r="K4340" t="inlineStr">
        <is>
          <t>brand outreach touch 2</t>
        </is>
      </c>
    </row>
    <row r="4341">
      <c r="A4341" s="17">
        <f>IF(B4341="","",B4341+(16*1000+290)/10000000)</f>
        <v/>
      </c>
      <c r="B4341" s="23">
        <f>IF(AND(IFERROR(N(INDEX(Clay_Brands!$A$2:$FZ$601,290,Sync!$D$12)),0)&gt;0,IFERROR(INDEX(Clay_Brands!$A$2:$FZ$601,290,Sync!$D$5)&amp;"","")&lt;&gt;"",OR(LEFT(IFERROR(INDEX(Clay_Brands!$A$2:$FZ$601,290,Sync!$D$5)&amp;"",""),6)&lt;&gt;"SAMPLE",Config!$B$19="Y")),IFERROR(N(INDEX(Clay_Brands!$A$2:$FZ$601,290,Sync!$D$12)),0),"")</f>
        <v/>
      </c>
      <c r="C4341" s="17">
        <f>IF(B4341="","","brand")</f>
        <v/>
      </c>
      <c r="D4341" s="17">
        <f>IF(B4341="","",IFERROR(INDEX(Clay_Brands!$A$2:$FZ$601,290,Sync!$D$5)&amp;"",""))</f>
        <v/>
      </c>
      <c r="E4341" s="17">
        <f>IF(B4341="","",IFERROR(INDEX(Clay_Brands!$A$2:$FZ$601,290,Sync!$D$6)&amp;"",""))</f>
        <v/>
      </c>
      <c r="F4341" s="17">
        <f>IF(B4341="","","outreach_sent")</f>
        <v/>
      </c>
      <c r="G4341" s="17">
        <f>IF(B4341="","","")</f>
        <v/>
      </c>
      <c r="H4341" s="17">
        <f>IF(B4341="","","")</f>
        <v/>
      </c>
      <c r="I4341" s="17">
        <f>IF(B4341="","","")</f>
        <v/>
      </c>
      <c r="J4341" s="17">
        <f>IF(B4341="","","touch_2; "&amp;IFERROR(INDEX(Clay_Brands!$A$2:$FZ$601,290,Sync!$D$10)&amp;"","")&amp;"; "&amp;IFERROR(INDEX(Clay_Brands!$A$2:$FZ$601,290,Sync!$D$9)&amp;"",""))</f>
        <v/>
      </c>
      <c r="K4341" t="inlineStr">
        <is>
          <t>brand outreach touch 2</t>
        </is>
      </c>
    </row>
    <row r="4342">
      <c r="A4342" s="17">
        <f>IF(B4342="","",B4342+(16*1000+291)/10000000)</f>
        <v/>
      </c>
      <c r="B4342" s="23">
        <f>IF(AND(IFERROR(N(INDEX(Clay_Brands!$A$2:$FZ$601,291,Sync!$D$12)),0)&gt;0,IFERROR(INDEX(Clay_Brands!$A$2:$FZ$601,291,Sync!$D$5)&amp;"","")&lt;&gt;"",OR(LEFT(IFERROR(INDEX(Clay_Brands!$A$2:$FZ$601,291,Sync!$D$5)&amp;"",""),6)&lt;&gt;"SAMPLE",Config!$B$19="Y")),IFERROR(N(INDEX(Clay_Brands!$A$2:$FZ$601,291,Sync!$D$12)),0),"")</f>
        <v/>
      </c>
      <c r="C4342" s="17">
        <f>IF(B4342="","","brand")</f>
        <v/>
      </c>
      <c r="D4342" s="17">
        <f>IF(B4342="","",IFERROR(INDEX(Clay_Brands!$A$2:$FZ$601,291,Sync!$D$5)&amp;"",""))</f>
        <v/>
      </c>
      <c r="E4342" s="17">
        <f>IF(B4342="","",IFERROR(INDEX(Clay_Brands!$A$2:$FZ$601,291,Sync!$D$6)&amp;"",""))</f>
        <v/>
      </c>
      <c r="F4342" s="17">
        <f>IF(B4342="","","outreach_sent")</f>
        <v/>
      </c>
      <c r="G4342" s="17">
        <f>IF(B4342="","","")</f>
        <v/>
      </c>
      <c r="H4342" s="17">
        <f>IF(B4342="","","")</f>
        <v/>
      </c>
      <c r="I4342" s="17">
        <f>IF(B4342="","","")</f>
        <v/>
      </c>
      <c r="J4342" s="17">
        <f>IF(B4342="","","touch_2; "&amp;IFERROR(INDEX(Clay_Brands!$A$2:$FZ$601,291,Sync!$D$10)&amp;"","")&amp;"; "&amp;IFERROR(INDEX(Clay_Brands!$A$2:$FZ$601,291,Sync!$D$9)&amp;"",""))</f>
        <v/>
      </c>
      <c r="K4342" t="inlineStr">
        <is>
          <t>brand outreach touch 2</t>
        </is>
      </c>
    </row>
    <row r="4343">
      <c r="A4343" s="17">
        <f>IF(B4343="","",B4343+(16*1000+292)/10000000)</f>
        <v/>
      </c>
      <c r="B4343" s="23">
        <f>IF(AND(IFERROR(N(INDEX(Clay_Brands!$A$2:$FZ$601,292,Sync!$D$12)),0)&gt;0,IFERROR(INDEX(Clay_Brands!$A$2:$FZ$601,292,Sync!$D$5)&amp;"","")&lt;&gt;"",OR(LEFT(IFERROR(INDEX(Clay_Brands!$A$2:$FZ$601,292,Sync!$D$5)&amp;"",""),6)&lt;&gt;"SAMPLE",Config!$B$19="Y")),IFERROR(N(INDEX(Clay_Brands!$A$2:$FZ$601,292,Sync!$D$12)),0),"")</f>
        <v/>
      </c>
      <c r="C4343" s="17">
        <f>IF(B4343="","","brand")</f>
        <v/>
      </c>
      <c r="D4343" s="17">
        <f>IF(B4343="","",IFERROR(INDEX(Clay_Brands!$A$2:$FZ$601,292,Sync!$D$5)&amp;"",""))</f>
        <v/>
      </c>
      <c r="E4343" s="17">
        <f>IF(B4343="","",IFERROR(INDEX(Clay_Brands!$A$2:$FZ$601,292,Sync!$D$6)&amp;"",""))</f>
        <v/>
      </c>
      <c r="F4343" s="17">
        <f>IF(B4343="","","outreach_sent")</f>
        <v/>
      </c>
      <c r="G4343" s="17">
        <f>IF(B4343="","","")</f>
        <v/>
      </c>
      <c r="H4343" s="17">
        <f>IF(B4343="","","")</f>
        <v/>
      </c>
      <c r="I4343" s="17">
        <f>IF(B4343="","","")</f>
        <v/>
      </c>
      <c r="J4343" s="17">
        <f>IF(B4343="","","touch_2; "&amp;IFERROR(INDEX(Clay_Brands!$A$2:$FZ$601,292,Sync!$D$10)&amp;"","")&amp;"; "&amp;IFERROR(INDEX(Clay_Brands!$A$2:$FZ$601,292,Sync!$D$9)&amp;"",""))</f>
        <v/>
      </c>
      <c r="K4343" t="inlineStr">
        <is>
          <t>brand outreach touch 2</t>
        </is>
      </c>
    </row>
    <row r="4344">
      <c r="A4344" s="17">
        <f>IF(B4344="","",B4344+(16*1000+293)/10000000)</f>
        <v/>
      </c>
      <c r="B4344" s="23">
        <f>IF(AND(IFERROR(N(INDEX(Clay_Brands!$A$2:$FZ$601,293,Sync!$D$12)),0)&gt;0,IFERROR(INDEX(Clay_Brands!$A$2:$FZ$601,293,Sync!$D$5)&amp;"","")&lt;&gt;"",OR(LEFT(IFERROR(INDEX(Clay_Brands!$A$2:$FZ$601,293,Sync!$D$5)&amp;"",""),6)&lt;&gt;"SAMPLE",Config!$B$19="Y")),IFERROR(N(INDEX(Clay_Brands!$A$2:$FZ$601,293,Sync!$D$12)),0),"")</f>
        <v/>
      </c>
      <c r="C4344" s="17">
        <f>IF(B4344="","","brand")</f>
        <v/>
      </c>
      <c r="D4344" s="17">
        <f>IF(B4344="","",IFERROR(INDEX(Clay_Brands!$A$2:$FZ$601,293,Sync!$D$5)&amp;"",""))</f>
        <v/>
      </c>
      <c r="E4344" s="17">
        <f>IF(B4344="","",IFERROR(INDEX(Clay_Brands!$A$2:$FZ$601,293,Sync!$D$6)&amp;"",""))</f>
        <v/>
      </c>
      <c r="F4344" s="17">
        <f>IF(B4344="","","outreach_sent")</f>
        <v/>
      </c>
      <c r="G4344" s="17">
        <f>IF(B4344="","","")</f>
        <v/>
      </c>
      <c r="H4344" s="17">
        <f>IF(B4344="","","")</f>
        <v/>
      </c>
      <c r="I4344" s="17">
        <f>IF(B4344="","","")</f>
        <v/>
      </c>
      <c r="J4344" s="17">
        <f>IF(B4344="","","touch_2; "&amp;IFERROR(INDEX(Clay_Brands!$A$2:$FZ$601,293,Sync!$D$10)&amp;"","")&amp;"; "&amp;IFERROR(INDEX(Clay_Brands!$A$2:$FZ$601,293,Sync!$D$9)&amp;"",""))</f>
        <v/>
      </c>
      <c r="K4344" t="inlineStr">
        <is>
          <t>brand outreach touch 2</t>
        </is>
      </c>
    </row>
    <row r="4345">
      <c r="A4345" s="17">
        <f>IF(B4345="","",B4345+(16*1000+294)/10000000)</f>
        <v/>
      </c>
      <c r="B4345" s="23">
        <f>IF(AND(IFERROR(N(INDEX(Clay_Brands!$A$2:$FZ$601,294,Sync!$D$12)),0)&gt;0,IFERROR(INDEX(Clay_Brands!$A$2:$FZ$601,294,Sync!$D$5)&amp;"","")&lt;&gt;"",OR(LEFT(IFERROR(INDEX(Clay_Brands!$A$2:$FZ$601,294,Sync!$D$5)&amp;"",""),6)&lt;&gt;"SAMPLE",Config!$B$19="Y")),IFERROR(N(INDEX(Clay_Brands!$A$2:$FZ$601,294,Sync!$D$12)),0),"")</f>
        <v/>
      </c>
      <c r="C4345" s="17">
        <f>IF(B4345="","","brand")</f>
        <v/>
      </c>
      <c r="D4345" s="17">
        <f>IF(B4345="","",IFERROR(INDEX(Clay_Brands!$A$2:$FZ$601,294,Sync!$D$5)&amp;"",""))</f>
        <v/>
      </c>
      <c r="E4345" s="17">
        <f>IF(B4345="","",IFERROR(INDEX(Clay_Brands!$A$2:$FZ$601,294,Sync!$D$6)&amp;"",""))</f>
        <v/>
      </c>
      <c r="F4345" s="17">
        <f>IF(B4345="","","outreach_sent")</f>
        <v/>
      </c>
      <c r="G4345" s="17">
        <f>IF(B4345="","","")</f>
        <v/>
      </c>
      <c r="H4345" s="17">
        <f>IF(B4345="","","")</f>
        <v/>
      </c>
      <c r="I4345" s="17">
        <f>IF(B4345="","","")</f>
        <v/>
      </c>
      <c r="J4345" s="17">
        <f>IF(B4345="","","touch_2; "&amp;IFERROR(INDEX(Clay_Brands!$A$2:$FZ$601,294,Sync!$D$10)&amp;"","")&amp;"; "&amp;IFERROR(INDEX(Clay_Brands!$A$2:$FZ$601,294,Sync!$D$9)&amp;"",""))</f>
        <v/>
      </c>
      <c r="K4345" t="inlineStr">
        <is>
          <t>brand outreach touch 2</t>
        </is>
      </c>
    </row>
    <row r="4346">
      <c r="A4346" s="17">
        <f>IF(B4346="","",B4346+(16*1000+295)/10000000)</f>
        <v/>
      </c>
      <c r="B4346" s="23">
        <f>IF(AND(IFERROR(N(INDEX(Clay_Brands!$A$2:$FZ$601,295,Sync!$D$12)),0)&gt;0,IFERROR(INDEX(Clay_Brands!$A$2:$FZ$601,295,Sync!$D$5)&amp;"","")&lt;&gt;"",OR(LEFT(IFERROR(INDEX(Clay_Brands!$A$2:$FZ$601,295,Sync!$D$5)&amp;"",""),6)&lt;&gt;"SAMPLE",Config!$B$19="Y")),IFERROR(N(INDEX(Clay_Brands!$A$2:$FZ$601,295,Sync!$D$12)),0),"")</f>
        <v/>
      </c>
      <c r="C4346" s="17">
        <f>IF(B4346="","","brand")</f>
        <v/>
      </c>
      <c r="D4346" s="17">
        <f>IF(B4346="","",IFERROR(INDEX(Clay_Brands!$A$2:$FZ$601,295,Sync!$D$5)&amp;"",""))</f>
        <v/>
      </c>
      <c r="E4346" s="17">
        <f>IF(B4346="","",IFERROR(INDEX(Clay_Brands!$A$2:$FZ$601,295,Sync!$D$6)&amp;"",""))</f>
        <v/>
      </c>
      <c r="F4346" s="17">
        <f>IF(B4346="","","outreach_sent")</f>
        <v/>
      </c>
      <c r="G4346" s="17">
        <f>IF(B4346="","","")</f>
        <v/>
      </c>
      <c r="H4346" s="17">
        <f>IF(B4346="","","")</f>
        <v/>
      </c>
      <c r="I4346" s="17">
        <f>IF(B4346="","","")</f>
        <v/>
      </c>
      <c r="J4346" s="17">
        <f>IF(B4346="","","touch_2; "&amp;IFERROR(INDEX(Clay_Brands!$A$2:$FZ$601,295,Sync!$D$10)&amp;"","")&amp;"; "&amp;IFERROR(INDEX(Clay_Brands!$A$2:$FZ$601,295,Sync!$D$9)&amp;"",""))</f>
        <v/>
      </c>
      <c r="K4346" t="inlineStr">
        <is>
          <t>brand outreach touch 2</t>
        </is>
      </c>
    </row>
    <row r="4347">
      <c r="A4347" s="17">
        <f>IF(B4347="","",B4347+(16*1000+296)/10000000)</f>
        <v/>
      </c>
      <c r="B4347" s="23">
        <f>IF(AND(IFERROR(N(INDEX(Clay_Brands!$A$2:$FZ$601,296,Sync!$D$12)),0)&gt;0,IFERROR(INDEX(Clay_Brands!$A$2:$FZ$601,296,Sync!$D$5)&amp;"","")&lt;&gt;"",OR(LEFT(IFERROR(INDEX(Clay_Brands!$A$2:$FZ$601,296,Sync!$D$5)&amp;"",""),6)&lt;&gt;"SAMPLE",Config!$B$19="Y")),IFERROR(N(INDEX(Clay_Brands!$A$2:$FZ$601,296,Sync!$D$12)),0),"")</f>
        <v/>
      </c>
      <c r="C4347" s="17">
        <f>IF(B4347="","","brand")</f>
        <v/>
      </c>
      <c r="D4347" s="17">
        <f>IF(B4347="","",IFERROR(INDEX(Clay_Brands!$A$2:$FZ$601,296,Sync!$D$5)&amp;"",""))</f>
        <v/>
      </c>
      <c r="E4347" s="17">
        <f>IF(B4347="","",IFERROR(INDEX(Clay_Brands!$A$2:$FZ$601,296,Sync!$D$6)&amp;"",""))</f>
        <v/>
      </c>
      <c r="F4347" s="17">
        <f>IF(B4347="","","outreach_sent")</f>
        <v/>
      </c>
      <c r="G4347" s="17">
        <f>IF(B4347="","","")</f>
        <v/>
      </c>
      <c r="H4347" s="17">
        <f>IF(B4347="","","")</f>
        <v/>
      </c>
      <c r="I4347" s="17">
        <f>IF(B4347="","","")</f>
        <v/>
      </c>
      <c r="J4347" s="17">
        <f>IF(B4347="","","touch_2; "&amp;IFERROR(INDEX(Clay_Brands!$A$2:$FZ$601,296,Sync!$D$10)&amp;"","")&amp;"; "&amp;IFERROR(INDEX(Clay_Brands!$A$2:$FZ$601,296,Sync!$D$9)&amp;"",""))</f>
        <v/>
      </c>
      <c r="K4347" t="inlineStr">
        <is>
          <t>brand outreach touch 2</t>
        </is>
      </c>
    </row>
    <row r="4348">
      <c r="A4348" s="17">
        <f>IF(B4348="","",B4348+(16*1000+297)/10000000)</f>
        <v/>
      </c>
      <c r="B4348" s="23">
        <f>IF(AND(IFERROR(N(INDEX(Clay_Brands!$A$2:$FZ$601,297,Sync!$D$12)),0)&gt;0,IFERROR(INDEX(Clay_Brands!$A$2:$FZ$601,297,Sync!$D$5)&amp;"","")&lt;&gt;"",OR(LEFT(IFERROR(INDEX(Clay_Brands!$A$2:$FZ$601,297,Sync!$D$5)&amp;"",""),6)&lt;&gt;"SAMPLE",Config!$B$19="Y")),IFERROR(N(INDEX(Clay_Brands!$A$2:$FZ$601,297,Sync!$D$12)),0),"")</f>
        <v/>
      </c>
      <c r="C4348" s="17">
        <f>IF(B4348="","","brand")</f>
        <v/>
      </c>
      <c r="D4348" s="17">
        <f>IF(B4348="","",IFERROR(INDEX(Clay_Brands!$A$2:$FZ$601,297,Sync!$D$5)&amp;"",""))</f>
        <v/>
      </c>
      <c r="E4348" s="17">
        <f>IF(B4348="","",IFERROR(INDEX(Clay_Brands!$A$2:$FZ$601,297,Sync!$D$6)&amp;"",""))</f>
        <v/>
      </c>
      <c r="F4348" s="17">
        <f>IF(B4348="","","outreach_sent")</f>
        <v/>
      </c>
      <c r="G4348" s="17">
        <f>IF(B4348="","","")</f>
        <v/>
      </c>
      <c r="H4348" s="17">
        <f>IF(B4348="","","")</f>
        <v/>
      </c>
      <c r="I4348" s="17">
        <f>IF(B4348="","","")</f>
        <v/>
      </c>
      <c r="J4348" s="17">
        <f>IF(B4348="","","touch_2; "&amp;IFERROR(INDEX(Clay_Brands!$A$2:$FZ$601,297,Sync!$D$10)&amp;"","")&amp;"; "&amp;IFERROR(INDEX(Clay_Brands!$A$2:$FZ$601,297,Sync!$D$9)&amp;"",""))</f>
        <v/>
      </c>
      <c r="K4348" t="inlineStr">
        <is>
          <t>brand outreach touch 2</t>
        </is>
      </c>
    </row>
    <row r="4349">
      <c r="A4349" s="17">
        <f>IF(B4349="","",B4349+(16*1000+298)/10000000)</f>
        <v/>
      </c>
      <c r="B4349" s="23">
        <f>IF(AND(IFERROR(N(INDEX(Clay_Brands!$A$2:$FZ$601,298,Sync!$D$12)),0)&gt;0,IFERROR(INDEX(Clay_Brands!$A$2:$FZ$601,298,Sync!$D$5)&amp;"","")&lt;&gt;"",OR(LEFT(IFERROR(INDEX(Clay_Brands!$A$2:$FZ$601,298,Sync!$D$5)&amp;"",""),6)&lt;&gt;"SAMPLE",Config!$B$19="Y")),IFERROR(N(INDEX(Clay_Brands!$A$2:$FZ$601,298,Sync!$D$12)),0),"")</f>
        <v/>
      </c>
      <c r="C4349" s="17">
        <f>IF(B4349="","","brand")</f>
        <v/>
      </c>
      <c r="D4349" s="17">
        <f>IF(B4349="","",IFERROR(INDEX(Clay_Brands!$A$2:$FZ$601,298,Sync!$D$5)&amp;"",""))</f>
        <v/>
      </c>
      <c r="E4349" s="17">
        <f>IF(B4349="","",IFERROR(INDEX(Clay_Brands!$A$2:$FZ$601,298,Sync!$D$6)&amp;"",""))</f>
        <v/>
      </c>
      <c r="F4349" s="17">
        <f>IF(B4349="","","outreach_sent")</f>
        <v/>
      </c>
      <c r="G4349" s="17">
        <f>IF(B4349="","","")</f>
        <v/>
      </c>
      <c r="H4349" s="17">
        <f>IF(B4349="","","")</f>
        <v/>
      </c>
      <c r="I4349" s="17">
        <f>IF(B4349="","","")</f>
        <v/>
      </c>
      <c r="J4349" s="17">
        <f>IF(B4349="","","touch_2; "&amp;IFERROR(INDEX(Clay_Brands!$A$2:$FZ$601,298,Sync!$D$10)&amp;"","")&amp;"; "&amp;IFERROR(INDEX(Clay_Brands!$A$2:$FZ$601,298,Sync!$D$9)&amp;"",""))</f>
        <v/>
      </c>
      <c r="K4349" t="inlineStr">
        <is>
          <t>brand outreach touch 2</t>
        </is>
      </c>
    </row>
    <row r="4350">
      <c r="A4350" s="17">
        <f>IF(B4350="","",B4350+(16*1000+299)/10000000)</f>
        <v/>
      </c>
      <c r="B4350" s="23">
        <f>IF(AND(IFERROR(N(INDEX(Clay_Brands!$A$2:$FZ$601,299,Sync!$D$12)),0)&gt;0,IFERROR(INDEX(Clay_Brands!$A$2:$FZ$601,299,Sync!$D$5)&amp;"","")&lt;&gt;"",OR(LEFT(IFERROR(INDEX(Clay_Brands!$A$2:$FZ$601,299,Sync!$D$5)&amp;"",""),6)&lt;&gt;"SAMPLE",Config!$B$19="Y")),IFERROR(N(INDEX(Clay_Brands!$A$2:$FZ$601,299,Sync!$D$12)),0),"")</f>
        <v/>
      </c>
      <c r="C4350" s="17">
        <f>IF(B4350="","","brand")</f>
        <v/>
      </c>
      <c r="D4350" s="17">
        <f>IF(B4350="","",IFERROR(INDEX(Clay_Brands!$A$2:$FZ$601,299,Sync!$D$5)&amp;"",""))</f>
        <v/>
      </c>
      <c r="E4350" s="17">
        <f>IF(B4350="","",IFERROR(INDEX(Clay_Brands!$A$2:$FZ$601,299,Sync!$D$6)&amp;"",""))</f>
        <v/>
      </c>
      <c r="F4350" s="17">
        <f>IF(B4350="","","outreach_sent")</f>
        <v/>
      </c>
      <c r="G4350" s="17">
        <f>IF(B4350="","","")</f>
        <v/>
      </c>
      <c r="H4350" s="17">
        <f>IF(B4350="","","")</f>
        <v/>
      </c>
      <c r="I4350" s="17">
        <f>IF(B4350="","","")</f>
        <v/>
      </c>
      <c r="J4350" s="17">
        <f>IF(B4350="","","touch_2; "&amp;IFERROR(INDEX(Clay_Brands!$A$2:$FZ$601,299,Sync!$D$10)&amp;"","")&amp;"; "&amp;IFERROR(INDEX(Clay_Brands!$A$2:$FZ$601,299,Sync!$D$9)&amp;"",""))</f>
        <v/>
      </c>
      <c r="K4350" t="inlineStr">
        <is>
          <t>brand outreach touch 2</t>
        </is>
      </c>
    </row>
    <row r="4351">
      <c r="A4351" s="17">
        <f>IF(B4351="","",B4351+(16*1000+300)/10000000)</f>
        <v/>
      </c>
      <c r="B4351" s="23">
        <f>IF(AND(IFERROR(N(INDEX(Clay_Brands!$A$2:$FZ$601,300,Sync!$D$12)),0)&gt;0,IFERROR(INDEX(Clay_Brands!$A$2:$FZ$601,300,Sync!$D$5)&amp;"","")&lt;&gt;"",OR(LEFT(IFERROR(INDEX(Clay_Brands!$A$2:$FZ$601,300,Sync!$D$5)&amp;"",""),6)&lt;&gt;"SAMPLE",Config!$B$19="Y")),IFERROR(N(INDEX(Clay_Brands!$A$2:$FZ$601,300,Sync!$D$12)),0),"")</f>
        <v/>
      </c>
      <c r="C4351" s="17">
        <f>IF(B4351="","","brand")</f>
        <v/>
      </c>
      <c r="D4351" s="17">
        <f>IF(B4351="","",IFERROR(INDEX(Clay_Brands!$A$2:$FZ$601,300,Sync!$D$5)&amp;"",""))</f>
        <v/>
      </c>
      <c r="E4351" s="17">
        <f>IF(B4351="","",IFERROR(INDEX(Clay_Brands!$A$2:$FZ$601,300,Sync!$D$6)&amp;"",""))</f>
        <v/>
      </c>
      <c r="F4351" s="17">
        <f>IF(B4351="","","outreach_sent")</f>
        <v/>
      </c>
      <c r="G4351" s="17">
        <f>IF(B4351="","","")</f>
        <v/>
      </c>
      <c r="H4351" s="17">
        <f>IF(B4351="","","")</f>
        <v/>
      </c>
      <c r="I4351" s="17">
        <f>IF(B4351="","","")</f>
        <v/>
      </c>
      <c r="J4351" s="17">
        <f>IF(B4351="","","touch_2; "&amp;IFERROR(INDEX(Clay_Brands!$A$2:$FZ$601,300,Sync!$D$10)&amp;"","")&amp;"; "&amp;IFERROR(INDEX(Clay_Brands!$A$2:$FZ$601,300,Sync!$D$9)&amp;"",""))</f>
        <v/>
      </c>
      <c r="K4351" t="inlineStr">
        <is>
          <t>brand outreach touch 2</t>
        </is>
      </c>
    </row>
    <row r="4352">
      <c r="A4352" s="17">
        <f>IF(B4352="","",B4352+(16*1000+301)/10000000)</f>
        <v/>
      </c>
      <c r="B4352" s="23">
        <f>IF(AND(IFERROR(N(INDEX(Clay_Brands!$A$2:$FZ$601,301,Sync!$D$12)),0)&gt;0,IFERROR(INDEX(Clay_Brands!$A$2:$FZ$601,301,Sync!$D$5)&amp;"","")&lt;&gt;"",OR(LEFT(IFERROR(INDEX(Clay_Brands!$A$2:$FZ$601,301,Sync!$D$5)&amp;"",""),6)&lt;&gt;"SAMPLE",Config!$B$19="Y")),IFERROR(N(INDEX(Clay_Brands!$A$2:$FZ$601,301,Sync!$D$12)),0),"")</f>
        <v/>
      </c>
      <c r="C4352" s="17">
        <f>IF(B4352="","","brand")</f>
        <v/>
      </c>
      <c r="D4352" s="17">
        <f>IF(B4352="","",IFERROR(INDEX(Clay_Brands!$A$2:$FZ$601,301,Sync!$D$5)&amp;"",""))</f>
        <v/>
      </c>
      <c r="E4352" s="17">
        <f>IF(B4352="","",IFERROR(INDEX(Clay_Brands!$A$2:$FZ$601,301,Sync!$D$6)&amp;"",""))</f>
        <v/>
      </c>
      <c r="F4352" s="17">
        <f>IF(B4352="","","outreach_sent")</f>
        <v/>
      </c>
      <c r="G4352" s="17">
        <f>IF(B4352="","","")</f>
        <v/>
      </c>
      <c r="H4352" s="17">
        <f>IF(B4352="","","")</f>
        <v/>
      </c>
      <c r="I4352" s="17">
        <f>IF(B4352="","","")</f>
        <v/>
      </c>
      <c r="J4352" s="17">
        <f>IF(B4352="","","touch_2; "&amp;IFERROR(INDEX(Clay_Brands!$A$2:$FZ$601,301,Sync!$D$10)&amp;"","")&amp;"; "&amp;IFERROR(INDEX(Clay_Brands!$A$2:$FZ$601,301,Sync!$D$9)&amp;"",""))</f>
        <v/>
      </c>
      <c r="K4352" t="inlineStr">
        <is>
          <t>brand outreach touch 2</t>
        </is>
      </c>
    </row>
    <row r="4353">
      <c r="A4353" s="17">
        <f>IF(B4353="","",B4353+(16*1000+302)/10000000)</f>
        <v/>
      </c>
      <c r="B4353" s="23">
        <f>IF(AND(IFERROR(N(INDEX(Clay_Brands!$A$2:$FZ$601,302,Sync!$D$12)),0)&gt;0,IFERROR(INDEX(Clay_Brands!$A$2:$FZ$601,302,Sync!$D$5)&amp;"","")&lt;&gt;"",OR(LEFT(IFERROR(INDEX(Clay_Brands!$A$2:$FZ$601,302,Sync!$D$5)&amp;"",""),6)&lt;&gt;"SAMPLE",Config!$B$19="Y")),IFERROR(N(INDEX(Clay_Brands!$A$2:$FZ$601,302,Sync!$D$12)),0),"")</f>
        <v/>
      </c>
      <c r="C4353" s="17">
        <f>IF(B4353="","","brand")</f>
        <v/>
      </c>
      <c r="D4353" s="17">
        <f>IF(B4353="","",IFERROR(INDEX(Clay_Brands!$A$2:$FZ$601,302,Sync!$D$5)&amp;"",""))</f>
        <v/>
      </c>
      <c r="E4353" s="17">
        <f>IF(B4353="","",IFERROR(INDEX(Clay_Brands!$A$2:$FZ$601,302,Sync!$D$6)&amp;"",""))</f>
        <v/>
      </c>
      <c r="F4353" s="17">
        <f>IF(B4353="","","outreach_sent")</f>
        <v/>
      </c>
      <c r="G4353" s="17">
        <f>IF(B4353="","","")</f>
        <v/>
      </c>
      <c r="H4353" s="17">
        <f>IF(B4353="","","")</f>
        <v/>
      </c>
      <c r="I4353" s="17">
        <f>IF(B4353="","","")</f>
        <v/>
      </c>
      <c r="J4353" s="17">
        <f>IF(B4353="","","touch_2; "&amp;IFERROR(INDEX(Clay_Brands!$A$2:$FZ$601,302,Sync!$D$10)&amp;"","")&amp;"; "&amp;IFERROR(INDEX(Clay_Brands!$A$2:$FZ$601,302,Sync!$D$9)&amp;"",""))</f>
        <v/>
      </c>
      <c r="K4353" t="inlineStr">
        <is>
          <t>brand outreach touch 2</t>
        </is>
      </c>
    </row>
    <row r="4354">
      <c r="A4354" s="17">
        <f>IF(B4354="","",B4354+(16*1000+303)/10000000)</f>
        <v/>
      </c>
      <c r="B4354" s="23">
        <f>IF(AND(IFERROR(N(INDEX(Clay_Brands!$A$2:$FZ$601,303,Sync!$D$12)),0)&gt;0,IFERROR(INDEX(Clay_Brands!$A$2:$FZ$601,303,Sync!$D$5)&amp;"","")&lt;&gt;"",OR(LEFT(IFERROR(INDEX(Clay_Brands!$A$2:$FZ$601,303,Sync!$D$5)&amp;"",""),6)&lt;&gt;"SAMPLE",Config!$B$19="Y")),IFERROR(N(INDEX(Clay_Brands!$A$2:$FZ$601,303,Sync!$D$12)),0),"")</f>
        <v/>
      </c>
      <c r="C4354" s="17">
        <f>IF(B4354="","","brand")</f>
        <v/>
      </c>
      <c r="D4354" s="17">
        <f>IF(B4354="","",IFERROR(INDEX(Clay_Brands!$A$2:$FZ$601,303,Sync!$D$5)&amp;"",""))</f>
        <v/>
      </c>
      <c r="E4354" s="17">
        <f>IF(B4354="","",IFERROR(INDEX(Clay_Brands!$A$2:$FZ$601,303,Sync!$D$6)&amp;"",""))</f>
        <v/>
      </c>
      <c r="F4354" s="17">
        <f>IF(B4354="","","outreach_sent")</f>
        <v/>
      </c>
      <c r="G4354" s="17">
        <f>IF(B4354="","","")</f>
        <v/>
      </c>
      <c r="H4354" s="17">
        <f>IF(B4354="","","")</f>
        <v/>
      </c>
      <c r="I4354" s="17">
        <f>IF(B4354="","","")</f>
        <v/>
      </c>
      <c r="J4354" s="17">
        <f>IF(B4354="","","touch_2; "&amp;IFERROR(INDEX(Clay_Brands!$A$2:$FZ$601,303,Sync!$D$10)&amp;"","")&amp;"; "&amp;IFERROR(INDEX(Clay_Brands!$A$2:$FZ$601,303,Sync!$D$9)&amp;"",""))</f>
        <v/>
      </c>
      <c r="K4354" t="inlineStr">
        <is>
          <t>brand outreach touch 2</t>
        </is>
      </c>
    </row>
    <row r="4355">
      <c r="A4355" s="17">
        <f>IF(B4355="","",B4355+(16*1000+304)/10000000)</f>
        <v/>
      </c>
      <c r="B4355" s="23">
        <f>IF(AND(IFERROR(N(INDEX(Clay_Brands!$A$2:$FZ$601,304,Sync!$D$12)),0)&gt;0,IFERROR(INDEX(Clay_Brands!$A$2:$FZ$601,304,Sync!$D$5)&amp;"","")&lt;&gt;"",OR(LEFT(IFERROR(INDEX(Clay_Brands!$A$2:$FZ$601,304,Sync!$D$5)&amp;"",""),6)&lt;&gt;"SAMPLE",Config!$B$19="Y")),IFERROR(N(INDEX(Clay_Brands!$A$2:$FZ$601,304,Sync!$D$12)),0),"")</f>
        <v/>
      </c>
      <c r="C4355" s="17">
        <f>IF(B4355="","","brand")</f>
        <v/>
      </c>
      <c r="D4355" s="17">
        <f>IF(B4355="","",IFERROR(INDEX(Clay_Brands!$A$2:$FZ$601,304,Sync!$D$5)&amp;"",""))</f>
        <v/>
      </c>
      <c r="E4355" s="17">
        <f>IF(B4355="","",IFERROR(INDEX(Clay_Brands!$A$2:$FZ$601,304,Sync!$D$6)&amp;"",""))</f>
        <v/>
      </c>
      <c r="F4355" s="17">
        <f>IF(B4355="","","outreach_sent")</f>
        <v/>
      </c>
      <c r="G4355" s="17">
        <f>IF(B4355="","","")</f>
        <v/>
      </c>
      <c r="H4355" s="17">
        <f>IF(B4355="","","")</f>
        <v/>
      </c>
      <c r="I4355" s="17">
        <f>IF(B4355="","","")</f>
        <v/>
      </c>
      <c r="J4355" s="17">
        <f>IF(B4355="","","touch_2; "&amp;IFERROR(INDEX(Clay_Brands!$A$2:$FZ$601,304,Sync!$D$10)&amp;"","")&amp;"; "&amp;IFERROR(INDEX(Clay_Brands!$A$2:$FZ$601,304,Sync!$D$9)&amp;"",""))</f>
        <v/>
      </c>
      <c r="K4355" t="inlineStr">
        <is>
          <t>brand outreach touch 2</t>
        </is>
      </c>
    </row>
    <row r="4356">
      <c r="A4356" s="17">
        <f>IF(B4356="","",B4356+(16*1000+305)/10000000)</f>
        <v/>
      </c>
      <c r="B4356" s="23">
        <f>IF(AND(IFERROR(N(INDEX(Clay_Brands!$A$2:$FZ$601,305,Sync!$D$12)),0)&gt;0,IFERROR(INDEX(Clay_Brands!$A$2:$FZ$601,305,Sync!$D$5)&amp;"","")&lt;&gt;"",OR(LEFT(IFERROR(INDEX(Clay_Brands!$A$2:$FZ$601,305,Sync!$D$5)&amp;"",""),6)&lt;&gt;"SAMPLE",Config!$B$19="Y")),IFERROR(N(INDEX(Clay_Brands!$A$2:$FZ$601,305,Sync!$D$12)),0),"")</f>
        <v/>
      </c>
      <c r="C4356" s="17">
        <f>IF(B4356="","","brand")</f>
        <v/>
      </c>
      <c r="D4356" s="17">
        <f>IF(B4356="","",IFERROR(INDEX(Clay_Brands!$A$2:$FZ$601,305,Sync!$D$5)&amp;"",""))</f>
        <v/>
      </c>
      <c r="E4356" s="17">
        <f>IF(B4356="","",IFERROR(INDEX(Clay_Brands!$A$2:$FZ$601,305,Sync!$D$6)&amp;"",""))</f>
        <v/>
      </c>
      <c r="F4356" s="17">
        <f>IF(B4356="","","outreach_sent")</f>
        <v/>
      </c>
      <c r="G4356" s="17">
        <f>IF(B4356="","","")</f>
        <v/>
      </c>
      <c r="H4356" s="17">
        <f>IF(B4356="","","")</f>
        <v/>
      </c>
      <c r="I4356" s="17">
        <f>IF(B4356="","","")</f>
        <v/>
      </c>
      <c r="J4356" s="17">
        <f>IF(B4356="","","touch_2; "&amp;IFERROR(INDEX(Clay_Brands!$A$2:$FZ$601,305,Sync!$D$10)&amp;"","")&amp;"; "&amp;IFERROR(INDEX(Clay_Brands!$A$2:$FZ$601,305,Sync!$D$9)&amp;"",""))</f>
        <v/>
      </c>
      <c r="K4356" t="inlineStr">
        <is>
          <t>brand outreach touch 2</t>
        </is>
      </c>
    </row>
    <row r="4357">
      <c r="A4357" s="17">
        <f>IF(B4357="","",B4357+(16*1000+306)/10000000)</f>
        <v/>
      </c>
      <c r="B4357" s="23">
        <f>IF(AND(IFERROR(N(INDEX(Clay_Brands!$A$2:$FZ$601,306,Sync!$D$12)),0)&gt;0,IFERROR(INDEX(Clay_Brands!$A$2:$FZ$601,306,Sync!$D$5)&amp;"","")&lt;&gt;"",OR(LEFT(IFERROR(INDEX(Clay_Brands!$A$2:$FZ$601,306,Sync!$D$5)&amp;"",""),6)&lt;&gt;"SAMPLE",Config!$B$19="Y")),IFERROR(N(INDEX(Clay_Brands!$A$2:$FZ$601,306,Sync!$D$12)),0),"")</f>
        <v/>
      </c>
      <c r="C4357" s="17">
        <f>IF(B4357="","","brand")</f>
        <v/>
      </c>
      <c r="D4357" s="17">
        <f>IF(B4357="","",IFERROR(INDEX(Clay_Brands!$A$2:$FZ$601,306,Sync!$D$5)&amp;"",""))</f>
        <v/>
      </c>
      <c r="E4357" s="17">
        <f>IF(B4357="","",IFERROR(INDEX(Clay_Brands!$A$2:$FZ$601,306,Sync!$D$6)&amp;"",""))</f>
        <v/>
      </c>
      <c r="F4357" s="17">
        <f>IF(B4357="","","outreach_sent")</f>
        <v/>
      </c>
      <c r="G4357" s="17">
        <f>IF(B4357="","","")</f>
        <v/>
      </c>
      <c r="H4357" s="17">
        <f>IF(B4357="","","")</f>
        <v/>
      </c>
      <c r="I4357" s="17">
        <f>IF(B4357="","","")</f>
        <v/>
      </c>
      <c r="J4357" s="17">
        <f>IF(B4357="","","touch_2; "&amp;IFERROR(INDEX(Clay_Brands!$A$2:$FZ$601,306,Sync!$D$10)&amp;"","")&amp;"; "&amp;IFERROR(INDEX(Clay_Brands!$A$2:$FZ$601,306,Sync!$D$9)&amp;"",""))</f>
        <v/>
      </c>
      <c r="K4357" t="inlineStr">
        <is>
          <t>brand outreach touch 2</t>
        </is>
      </c>
    </row>
    <row r="4358">
      <c r="A4358" s="17">
        <f>IF(B4358="","",B4358+(16*1000+307)/10000000)</f>
        <v/>
      </c>
      <c r="B4358" s="23">
        <f>IF(AND(IFERROR(N(INDEX(Clay_Brands!$A$2:$FZ$601,307,Sync!$D$12)),0)&gt;0,IFERROR(INDEX(Clay_Brands!$A$2:$FZ$601,307,Sync!$D$5)&amp;"","")&lt;&gt;"",OR(LEFT(IFERROR(INDEX(Clay_Brands!$A$2:$FZ$601,307,Sync!$D$5)&amp;"",""),6)&lt;&gt;"SAMPLE",Config!$B$19="Y")),IFERROR(N(INDEX(Clay_Brands!$A$2:$FZ$601,307,Sync!$D$12)),0),"")</f>
        <v/>
      </c>
      <c r="C4358" s="17">
        <f>IF(B4358="","","brand")</f>
        <v/>
      </c>
      <c r="D4358" s="17">
        <f>IF(B4358="","",IFERROR(INDEX(Clay_Brands!$A$2:$FZ$601,307,Sync!$D$5)&amp;"",""))</f>
        <v/>
      </c>
      <c r="E4358" s="17">
        <f>IF(B4358="","",IFERROR(INDEX(Clay_Brands!$A$2:$FZ$601,307,Sync!$D$6)&amp;"",""))</f>
        <v/>
      </c>
      <c r="F4358" s="17">
        <f>IF(B4358="","","outreach_sent")</f>
        <v/>
      </c>
      <c r="G4358" s="17">
        <f>IF(B4358="","","")</f>
        <v/>
      </c>
      <c r="H4358" s="17">
        <f>IF(B4358="","","")</f>
        <v/>
      </c>
      <c r="I4358" s="17">
        <f>IF(B4358="","","")</f>
        <v/>
      </c>
      <c r="J4358" s="17">
        <f>IF(B4358="","","touch_2; "&amp;IFERROR(INDEX(Clay_Brands!$A$2:$FZ$601,307,Sync!$D$10)&amp;"","")&amp;"; "&amp;IFERROR(INDEX(Clay_Brands!$A$2:$FZ$601,307,Sync!$D$9)&amp;"",""))</f>
        <v/>
      </c>
      <c r="K4358" t="inlineStr">
        <is>
          <t>brand outreach touch 2</t>
        </is>
      </c>
    </row>
    <row r="4359">
      <c r="A4359" s="17">
        <f>IF(B4359="","",B4359+(16*1000+308)/10000000)</f>
        <v/>
      </c>
      <c r="B4359" s="23">
        <f>IF(AND(IFERROR(N(INDEX(Clay_Brands!$A$2:$FZ$601,308,Sync!$D$12)),0)&gt;0,IFERROR(INDEX(Clay_Brands!$A$2:$FZ$601,308,Sync!$D$5)&amp;"","")&lt;&gt;"",OR(LEFT(IFERROR(INDEX(Clay_Brands!$A$2:$FZ$601,308,Sync!$D$5)&amp;"",""),6)&lt;&gt;"SAMPLE",Config!$B$19="Y")),IFERROR(N(INDEX(Clay_Brands!$A$2:$FZ$601,308,Sync!$D$12)),0),"")</f>
        <v/>
      </c>
      <c r="C4359" s="17">
        <f>IF(B4359="","","brand")</f>
        <v/>
      </c>
      <c r="D4359" s="17">
        <f>IF(B4359="","",IFERROR(INDEX(Clay_Brands!$A$2:$FZ$601,308,Sync!$D$5)&amp;"",""))</f>
        <v/>
      </c>
      <c r="E4359" s="17">
        <f>IF(B4359="","",IFERROR(INDEX(Clay_Brands!$A$2:$FZ$601,308,Sync!$D$6)&amp;"",""))</f>
        <v/>
      </c>
      <c r="F4359" s="17">
        <f>IF(B4359="","","outreach_sent")</f>
        <v/>
      </c>
      <c r="G4359" s="17">
        <f>IF(B4359="","","")</f>
        <v/>
      </c>
      <c r="H4359" s="17">
        <f>IF(B4359="","","")</f>
        <v/>
      </c>
      <c r="I4359" s="17">
        <f>IF(B4359="","","")</f>
        <v/>
      </c>
      <c r="J4359" s="17">
        <f>IF(B4359="","","touch_2; "&amp;IFERROR(INDEX(Clay_Brands!$A$2:$FZ$601,308,Sync!$D$10)&amp;"","")&amp;"; "&amp;IFERROR(INDEX(Clay_Brands!$A$2:$FZ$601,308,Sync!$D$9)&amp;"",""))</f>
        <v/>
      </c>
      <c r="K4359" t="inlineStr">
        <is>
          <t>brand outreach touch 2</t>
        </is>
      </c>
    </row>
    <row r="4360">
      <c r="A4360" s="17">
        <f>IF(B4360="","",B4360+(16*1000+309)/10000000)</f>
        <v/>
      </c>
      <c r="B4360" s="23">
        <f>IF(AND(IFERROR(N(INDEX(Clay_Brands!$A$2:$FZ$601,309,Sync!$D$12)),0)&gt;0,IFERROR(INDEX(Clay_Brands!$A$2:$FZ$601,309,Sync!$D$5)&amp;"","")&lt;&gt;"",OR(LEFT(IFERROR(INDEX(Clay_Brands!$A$2:$FZ$601,309,Sync!$D$5)&amp;"",""),6)&lt;&gt;"SAMPLE",Config!$B$19="Y")),IFERROR(N(INDEX(Clay_Brands!$A$2:$FZ$601,309,Sync!$D$12)),0),"")</f>
        <v/>
      </c>
      <c r="C4360" s="17">
        <f>IF(B4360="","","brand")</f>
        <v/>
      </c>
      <c r="D4360" s="17">
        <f>IF(B4360="","",IFERROR(INDEX(Clay_Brands!$A$2:$FZ$601,309,Sync!$D$5)&amp;"",""))</f>
        <v/>
      </c>
      <c r="E4360" s="17">
        <f>IF(B4360="","",IFERROR(INDEX(Clay_Brands!$A$2:$FZ$601,309,Sync!$D$6)&amp;"",""))</f>
        <v/>
      </c>
      <c r="F4360" s="17">
        <f>IF(B4360="","","outreach_sent")</f>
        <v/>
      </c>
      <c r="G4360" s="17">
        <f>IF(B4360="","","")</f>
        <v/>
      </c>
      <c r="H4360" s="17">
        <f>IF(B4360="","","")</f>
        <v/>
      </c>
      <c r="I4360" s="17">
        <f>IF(B4360="","","")</f>
        <v/>
      </c>
      <c r="J4360" s="17">
        <f>IF(B4360="","","touch_2; "&amp;IFERROR(INDEX(Clay_Brands!$A$2:$FZ$601,309,Sync!$D$10)&amp;"","")&amp;"; "&amp;IFERROR(INDEX(Clay_Brands!$A$2:$FZ$601,309,Sync!$D$9)&amp;"",""))</f>
        <v/>
      </c>
      <c r="K4360" t="inlineStr">
        <is>
          <t>brand outreach touch 2</t>
        </is>
      </c>
    </row>
    <row r="4361">
      <c r="A4361" s="17">
        <f>IF(B4361="","",B4361+(16*1000+310)/10000000)</f>
        <v/>
      </c>
      <c r="B4361" s="23">
        <f>IF(AND(IFERROR(N(INDEX(Clay_Brands!$A$2:$FZ$601,310,Sync!$D$12)),0)&gt;0,IFERROR(INDEX(Clay_Brands!$A$2:$FZ$601,310,Sync!$D$5)&amp;"","")&lt;&gt;"",OR(LEFT(IFERROR(INDEX(Clay_Brands!$A$2:$FZ$601,310,Sync!$D$5)&amp;"",""),6)&lt;&gt;"SAMPLE",Config!$B$19="Y")),IFERROR(N(INDEX(Clay_Brands!$A$2:$FZ$601,310,Sync!$D$12)),0),"")</f>
        <v/>
      </c>
      <c r="C4361" s="17">
        <f>IF(B4361="","","brand")</f>
        <v/>
      </c>
      <c r="D4361" s="17">
        <f>IF(B4361="","",IFERROR(INDEX(Clay_Brands!$A$2:$FZ$601,310,Sync!$D$5)&amp;"",""))</f>
        <v/>
      </c>
      <c r="E4361" s="17">
        <f>IF(B4361="","",IFERROR(INDEX(Clay_Brands!$A$2:$FZ$601,310,Sync!$D$6)&amp;"",""))</f>
        <v/>
      </c>
      <c r="F4361" s="17">
        <f>IF(B4361="","","outreach_sent")</f>
        <v/>
      </c>
      <c r="G4361" s="17">
        <f>IF(B4361="","","")</f>
        <v/>
      </c>
      <c r="H4361" s="17">
        <f>IF(B4361="","","")</f>
        <v/>
      </c>
      <c r="I4361" s="17">
        <f>IF(B4361="","","")</f>
        <v/>
      </c>
      <c r="J4361" s="17">
        <f>IF(B4361="","","touch_2; "&amp;IFERROR(INDEX(Clay_Brands!$A$2:$FZ$601,310,Sync!$D$10)&amp;"","")&amp;"; "&amp;IFERROR(INDEX(Clay_Brands!$A$2:$FZ$601,310,Sync!$D$9)&amp;"",""))</f>
        <v/>
      </c>
      <c r="K4361" t="inlineStr">
        <is>
          <t>brand outreach touch 2</t>
        </is>
      </c>
    </row>
    <row r="4362">
      <c r="A4362" s="17">
        <f>IF(B4362="","",B4362+(16*1000+311)/10000000)</f>
        <v/>
      </c>
      <c r="B4362" s="23">
        <f>IF(AND(IFERROR(N(INDEX(Clay_Brands!$A$2:$FZ$601,311,Sync!$D$12)),0)&gt;0,IFERROR(INDEX(Clay_Brands!$A$2:$FZ$601,311,Sync!$D$5)&amp;"","")&lt;&gt;"",OR(LEFT(IFERROR(INDEX(Clay_Brands!$A$2:$FZ$601,311,Sync!$D$5)&amp;"",""),6)&lt;&gt;"SAMPLE",Config!$B$19="Y")),IFERROR(N(INDEX(Clay_Brands!$A$2:$FZ$601,311,Sync!$D$12)),0),"")</f>
        <v/>
      </c>
      <c r="C4362" s="17">
        <f>IF(B4362="","","brand")</f>
        <v/>
      </c>
      <c r="D4362" s="17">
        <f>IF(B4362="","",IFERROR(INDEX(Clay_Brands!$A$2:$FZ$601,311,Sync!$D$5)&amp;"",""))</f>
        <v/>
      </c>
      <c r="E4362" s="17">
        <f>IF(B4362="","",IFERROR(INDEX(Clay_Brands!$A$2:$FZ$601,311,Sync!$D$6)&amp;"",""))</f>
        <v/>
      </c>
      <c r="F4362" s="17">
        <f>IF(B4362="","","outreach_sent")</f>
        <v/>
      </c>
      <c r="G4362" s="17">
        <f>IF(B4362="","","")</f>
        <v/>
      </c>
      <c r="H4362" s="17">
        <f>IF(B4362="","","")</f>
        <v/>
      </c>
      <c r="I4362" s="17">
        <f>IF(B4362="","","")</f>
        <v/>
      </c>
      <c r="J4362" s="17">
        <f>IF(B4362="","","touch_2; "&amp;IFERROR(INDEX(Clay_Brands!$A$2:$FZ$601,311,Sync!$D$10)&amp;"","")&amp;"; "&amp;IFERROR(INDEX(Clay_Brands!$A$2:$FZ$601,311,Sync!$D$9)&amp;"",""))</f>
        <v/>
      </c>
      <c r="K4362" t="inlineStr">
        <is>
          <t>brand outreach touch 2</t>
        </is>
      </c>
    </row>
    <row r="4363">
      <c r="A4363" s="17">
        <f>IF(B4363="","",B4363+(16*1000+312)/10000000)</f>
        <v/>
      </c>
      <c r="B4363" s="23">
        <f>IF(AND(IFERROR(N(INDEX(Clay_Brands!$A$2:$FZ$601,312,Sync!$D$12)),0)&gt;0,IFERROR(INDEX(Clay_Brands!$A$2:$FZ$601,312,Sync!$D$5)&amp;"","")&lt;&gt;"",OR(LEFT(IFERROR(INDEX(Clay_Brands!$A$2:$FZ$601,312,Sync!$D$5)&amp;"",""),6)&lt;&gt;"SAMPLE",Config!$B$19="Y")),IFERROR(N(INDEX(Clay_Brands!$A$2:$FZ$601,312,Sync!$D$12)),0),"")</f>
        <v/>
      </c>
      <c r="C4363" s="17">
        <f>IF(B4363="","","brand")</f>
        <v/>
      </c>
      <c r="D4363" s="17">
        <f>IF(B4363="","",IFERROR(INDEX(Clay_Brands!$A$2:$FZ$601,312,Sync!$D$5)&amp;"",""))</f>
        <v/>
      </c>
      <c r="E4363" s="17">
        <f>IF(B4363="","",IFERROR(INDEX(Clay_Brands!$A$2:$FZ$601,312,Sync!$D$6)&amp;"",""))</f>
        <v/>
      </c>
      <c r="F4363" s="17">
        <f>IF(B4363="","","outreach_sent")</f>
        <v/>
      </c>
      <c r="G4363" s="17">
        <f>IF(B4363="","","")</f>
        <v/>
      </c>
      <c r="H4363" s="17">
        <f>IF(B4363="","","")</f>
        <v/>
      </c>
      <c r="I4363" s="17">
        <f>IF(B4363="","","")</f>
        <v/>
      </c>
      <c r="J4363" s="17">
        <f>IF(B4363="","","touch_2; "&amp;IFERROR(INDEX(Clay_Brands!$A$2:$FZ$601,312,Sync!$D$10)&amp;"","")&amp;"; "&amp;IFERROR(INDEX(Clay_Brands!$A$2:$FZ$601,312,Sync!$D$9)&amp;"",""))</f>
        <v/>
      </c>
      <c r="K4363" t="inlineStr">
        <is>
          <t>brand outreach touch 2</t>
        </is>
      </c>
    </row>
    <row r="4364">
      <c r="A4364" s="17">
        <f>IF(B4364="","",B4364+(16*1000+313)/10000000)</f>
        <v/>
      </c>
      <c r="B4364" s="23">
        <f>IF(AND(IFERROR(N(INDEX(Clay_Brands!$A$2:$FZ$601,313,Sync!$D$12)),0)&gt;0,IFERROR(INDEX(Clay_Brands!$A$2:$FZ$601,313,Sync!$D$5)&amp;"","")&lt;&gt;"",OR(LEFT(IFERROR(INDEX(Clay_Brands!$A$2:$FZ$601,313,Sync!$D$5)&amp;"",""),6)&lt;&gt;"SAMPLE",Config!$B$19="Y")),IFERROR(N(INDEX(Clay_Brands!$A$2:$FZ$601,313,Sync!$D$12)),0),"")</f>
        <v/>
      </c>
      <c r="C4364" s="17">
        <f>IF(B4364="","","brand")</f>
        <v/>
      </c>
      <c r="D4364" s="17">
        <f>IF(B4364="","",IFERROR(INDEX(Clay_Brands!$A$2:$FZ$601,313,Sync!$D$5)&amp;"",""))</f>
        <v/>
      </c>
      <c r="E4364" s="17">
        <f>IF(B4364="","",IFERROR(INDEX(Clay_Brands!$A$2:$FZ$601,313,Sync!$D$6)&amp;"",""))</f>
        <v/>
      </c>
      <c r="F4364" s="17">
        <f>IF(B4364="","","outreach_sent")</f>
        <v/>
      </c>
      <c r="G4364" s="17">
        <f>IF(B4364="","","")</f>
        <v/>
      </c>
      <c r="H4364" s="17">
        <f>IF(B4364="","","")</f>
        <v/>
      </c>
      <c r="I4364" s="17">
        <f>IF(B4364="","","")</f>
        <v/>
      </c>
      <c r="J4364" s="17">
        <f>IF(B4364="","","touch_2; "&amp;IFERROR(INDEX(Clay_Brands!$A$2:$FZ$601,313,Sync!$D$10)&amp;"","")&amp;"; "&amp;IFERROR(INDEX(Clay_Brands!$A$2:$FZ$601,313,Sync!$D$9)&amp;"",""))</f>
        <v/>
      </c>
      <c r="K4364" t="inlineStr">
        <is>
          <t>brand outreach touch 2</t>
        </is>
      </c>
    </row>
    <row r="4365">
      <c r="A4365" s="17">
        <f>IF(B4365="","",B4365+(16*1000+314)/10000000)</f>
        <v/>
      </c>
      <c r="B4365" s="23">
        <f>IF(AND(IFERROR(N(INDEX(Clay_Brands!$A$2:$FZ$601,314,Sync!$D$12)),0)&gt;0,IFERROR(INDEX(Clay_Brands!$A$2:$FZ$601,314,Sync!$D$5)&amp;"","")&lt;&gt;"",OR(LEFT(IFERROR(INDEX(Clay_Brands!$A$2:$FZ$601,314,Sync!$D$5)&amp;"",""),6)&lt;&gt;"SAMPLE",Config!$B$19="Y")),IFERROR(N(INDEX(Clay_Brands!$A$2:$FZ$601,314,Sync!$D$12)),0),"")</f>
        <v/>
      </c>
      <c r="C4365" s="17">
        <f>IF(B4365="","","brand")</f>
        <v/>
      </c>
      <c r="D4365" s="17">
        <f>IF(B4365="","",IFERROR(INDEX(Clay_Brands!$A$2:$FZ$601,314,Sync!$D$5)&amp;"",""))</f>
        <v/>
      </c>
      <c r="E4365" s="17">
        <f>IF(B4365="","",IFERROR(INDEX(Clay_Brands!$A$2:$FZ$601,314,Sync!$D$6)&amp;"",""))</f>
        <v/>
      </c>
      <c r="F4365" s="17">
        <f>IF(B4365="","","outreach_sent")</f>
        <v/>
      </c>
      <c r="G4365" s="17">
        <f>IF(B4365="","","")</f>
        <v/>
      </c>
      <c r="H4365" s="17">
        <f>IF(B4365="","","")</f>
        <v/>
      </c>
      <c r="I4365" s="17">
        <f>IF(B4365="","","")</f>
        <v/>
      </c>
      <c r="J4365" s="17">
        <f>IF(B4365="","","touch_2; "&amp;IFERROR(INDEX(Clay_Brands!$A$2:$FZ$601,314,Sync!$D$10)&amp;"","")&amp;"; "&amp;IFERROR(INDEX(Clay_Brands!$A$2:$FZ$601,314,Sync!$D$9)&amp;"",""))</f>
        <v/>
      </c>
      <c r="K4365" t="inlineStr">
        <is>
          <t>brand outreach touch 2</t>
        </is>
      </c>
    </row>
    <row r="4366">
      <c r="A4366" s="17">
        <f>IF(B4366="","",B4366+(16*1000+315)/10000000)</f>
        <v/>
      </c>
      <c r="B4366" s="23">
        <f>IF(AND(IFERROR(N(INDEX(Clay_Brands!$A$2:$FZ$601,315,Sync!$D$12)),0)&gt;0,IFERROR(INDEX(Clay_Brands!$A$2:$FZ$601,315,Sync!$D$5)&amp;"","")&lt;&gt;"",OR(LEFT(IFERROR(INDEX(Clay_Brands!$A$2:$FZ$601,315,Sync!$D$5)&amp;"",""),6)&lt;&gt;"SAMPLE",Config!$B$19="Y")),IFERROR(N(INDEX(Clay_Brands!$A$2:$FZ$601,315,Sync!$D$12)),0),"")</f>
        <v/>
      </c>
      <c r="C4366" s="17">
        <f>IF(B4366="","","brand")</f>
        <v/>
      </c>
      <c r="D4366" s="17">
        <f>IF(B4366="","",IFERROR(INDEX(Clay_Brands!$A$2:$FZ$601,315,Sync!$D$5)&amp;"",""))</f>
        <v/>
      </c>
      <c r="E4366" s="17">
        <f>IF(B4366="","",IFERROR(INDEX(Clay_Brands!$A$2:$FZ$601,315,Sync!$D$6)&amp;"",""))</f>
        <v/>
      </c>
      <c r="F4366" s="17">
        <f>IF(B4366="","","outreach_sent")</f>
        <v/>
      </c>
      <c r="G4366" s="17">
        <f>IF(B4366="","","")</f>
        <v/>
      </c>
      <c r="H4366" s="17">
        <f>IF(B4366="","","")</f>
        <v/>
      </c>
      <c r="I4366" s="17">
        <f>IF(B4366="","","")</f>
        <v/>
      </c>
      <c r="J4366" s="17">
        <f>IF(B4366="","","touch_2; "&amp;IFERROR(INDEX(Clay_Brands!$A$2:$FZ$601,315,Sync!$D$10)&amp;"","")&amp;"; "&amp;IFERROR(INDEX(Clay_Brands!$A$2:$FZ$601,315,Sync!$D$9)&amp;"",""))</f>
        <v/>
      </c>
      <c r="K4366" t="inlineStr">
        <is>
          <t>brand outreach touch 2</t>
        </is>
      </c>
    </row>
    <row r="4367">
      <c r="A4367" s="17">
        <f>IF(B4367="","",B4367+(16*1000+316)/10000000)</f>
        <v/>
      </c>
      <c r="B4367" s="23">
        <f>IF(AND(IFERROR(N(INDEX(Clay_Brands!$A$2:$FZ$601,316,Sync!$D$12)),0)&gt;0,IFERROR(INDEX(Clay_Brands!$A$2:$FZ$601,316,Sync!$D$5)&amp;"","")&lt;&gt;"",OR(LEFT(IFERROR(INDEX(Clay_Brands!$A$2:$FZ$601,316,Sync!$D$5)&amp;"",""),6)&lt;&gt;"SAMPLE",Config!$B$19="Y")),IFERROR(N(INDEX(Clay_Brands!$A$2:$FZ$601,316,Sync!$D$12)),0),"")</f>
        <v/>
      </c>
      <c r="C4367" s="17">
        <f>IF(B4367="","","brand")</f>
        <v/>
      </c>
      <c r="D4367" s="17">
        <f>IF(B4367="","",IFERROR(INDEX(Clay_Brands!$A$2:$FZ$601,316,Sync!$D$5)&amp;"",""))</f>
        <v/>
      </c>
      <c r="E4367" s="17">
        <f>IF(B4367="","",IFERROR(INDEX(Clay_Brands!$A$2:$FZ$601,316,Sync!$D$6)&amp;"",""))</f>
        <v/>
      </c>
      <c r="F4367" s="17">
        <f>IF(B4367="","","outreach_sent")</f>
        <v/>
      </c>
      <c r="G4367" s="17">
        <f>IF(B4367="","","")</f>
        <v/>
      </c>
      <c r="H4367" s="17">
        <f>IF(B4367="","","")</f>
        <v/>
      </c>
      <c r="I4367" s="17">
        <f>IF(B4367="","","")</f>
        <v/>
      </c>
      <c r="J4367" s="17">
        <f>IF(B4367="","","touch_2; "&amp;IFERROR(INDEX(Clay_Brands!$A$2:$FZ$601,316,Sync!$D$10)&amp;"","")&amp;"; "&amp;IFERROR(INDEX(Clay_Brands!$A$2:$FZ$601,316,Sync!$D$9)&amp;"",""))</f>
        <v/>
      </c>
      <c r="K4367" t="inlineStr">
        <is>
          <t>brand outreach touch 2</t>
        </is>
      </c>
    </row>
    <row r="4368">
      <c r="A4368" s="17">
        <f>IF(B4368="","",B4368+(16*1000+317)/10000000)</f>
        <v/>
      </c>
      <c r="B4368" s="23">
        <f>IF(AND(IFERROR(N(INDEX(Clay_Brands!$A$2:$FZ$601,317,Sync!$D$12)),0)&gt;0,IFERROR(INDEX(Clay_Brands!$A$2:$FZ$601,317,Sync!$D$5)&amp;"","")&lt;&gt;"",OR(LEFT(IFERROR(INDEX(Clay_Brands!$A$2:$FZ$601,317,Sync!$D$5)&amp;"",""),6)&lt;&gt;"SAMPLE",Config!$B$19="Y")),IFERROR(N(INDEX(Clay_Brands!$A$2:$FZ$601,317,Sync!$D$12)),0),"")</f>
        <v/>
      </c>
      <c r="C4368" s="17">
        <f>IF(B4368="","","brand")</f>
        <v/>
      </c>
      <c r="D4368" s="17">
        <f>IF(B4368="","",IFERROR(INDEX(Clay_Brands!$A$2:$FZ$601,317,Sync!$D$5)&amp;"",""))</f>
        <v/>
      </c>
      <c r="E4368" s="17">
        <f>IF(B4368="","",IFERROR(INDEX(Clay_Brands!$A$2:$FZ$601,317,Sync!$D$6)&amp;"",""))</f>
        <v/>
      </c>
      <c r="F4368" s="17">
        <f>IF(B4368="","","outreach_sent")</f>
        <v/>
      </c>
      <c r="G4368" s="17">
        <f>IF(B4368="","","")</f>
        <v/>
      </c>
      <c r="H4368" s="17">
        <f>IF(B4368="","","")</f>
        <v/>
      </c>
      <c r="I4368" s="17">
        <f>IF(B4368="","","")</f>
        <v/>
      </c>
      <c r="J4368" s="17">
        <f>IF(B4368="","","touch_2; "&amp;IFERROR(INDEX(Clay_Brands!$A$2:$FZ$601,317,Sync!$D$10)&amp;"","")&amp;"; "&amp;IFERROR(INDEX(Clay_Brands!$A$2:$FZ$601,317,Sync!$D$9)&amp;"",""))</f>
        <v/>
      </c>
      <c r="K4368" t="inlineStr">
        <is>
          <t>brand outreach touch 2</t>
        </is>
      </c>
    </row>
    <row r="4369">
      <c r="A4369" s="17">
        <f>IF(B4369="","",B4369+(16*1000+318)/10000000)</f>
        <v/>
      </c>
      <c r="B4369" s="23">
        <f>IF(AND(IFERROR(N(INDEX(Clay_Brands!$A$2:$FZ$601,318,Sync!$D$12)),0)&gt;0,IFERROR(INDEX(Clay_Brands!$A$2:$FZ$601,318,Sync!$D$5)&amp;"","")&lt;&gt;"",OR(LEFT(IFERROR(INDEX(Clay_Brands!$A$2:$FZ$601,318,Sync!$D$5)&amp;"",""),6)&lt;&gt;"SAMPLE",Config!$B$19="Y")),IFERROR(N(INDEX(Clay_Brands!$A$2:$FZ$601,318,Sync!$D$12)),0),"")</f>
        <v/>
      </c>
      <c r="C4369" s="17">
        <f>IF(B4369="","","brand")</f>
        <v/>
      </c>
      <c r="D4369" s="17">
        <f>IF(B4369="","",IFERROR(INDEX(Clay_Brands!$A$2:$FZ$601,318,Sync!$D$5)&amp;"",""))</f>
        <v/>
      </c>
      <c r="E4369" s="17">
        <f>IF(B4369="","",IFERROR(INDEX(Clay_Brands!$A$2:$FZ$601,318,Sync!$D$6)&amp;"",""))</f>
        <v/>
      </c>
      <c r="F4369" s="17">
        <f>IF(B4369="","","outreach_sent")</f>
        <v/>
      </c>
      <c r="G4369" s="17">
        <f>IF(B4369="","","")</f>
        <v/>
      </c>
      <c r="H4369" s="17">
        <f>IF(B4369="","","")</f>
        <v/>
      </c>
      <c r="I4369" s="17">
        <f>IF(B4369="","","")</f>
        <v/>
      </c>
      <c r="J4369" s="17">
        <f>IF(B4369="","","touch_2; "&amp;IFERROR(INDEX(Clay_Brands!$A$2:$FZ$601,318,Sync!$D$10)&amp;"","")&amp;"; "&amp;IFERROR(INDEX(Clay_Brands!$A$2:$FZ$601,318,Sync!$D$9)&amp;"",""))</f>
        <v/>
      </c>
      <c r="K4369" t="inlineStr">
        <is>
          <t>brand outreach touch 2</t>
        </is>
      </c>
    </row>
    <row r="4370">
      <c r="A4370" s="17">
        <f>IF(B4370="","",B4370+(16*1000+319)/10000000)</f>
        <v/>
      </c>
      <c r="B4370" s="23">
        <f>IF(AND(IFERROR(N(INDEX(Clay_Brands!$A$2:$FZ$601,319,Sync!$D$12)),0)&gt;0,IFERROR(INDEX(Clay_Brands!$A$2:$FZ$601,319,Sync!$D$5)&amp;"","")&lt;&gt;"",OR(LEFT(IFERROR(INDEX(Clay_Brands!$A$2:$FZ$601,319,Sync!$D$5)&amp;"",""),6)&lt;&gt;"SAMPLE",Config!$B$19="Y")),IFERROR(N(INDEX(Clay_Brands!$A$2:$FZ$601,319,Sync!$D$12)),0),"")</f>
        <v/>
      </c>
      <c r="C4370" s="17">
        <f>IF(B4370="","","brand")</f>
        <v/>
      </c>
      <c r="D4370" s="17">
        <f>IF(B4370="","",IFERROR(INDEX(Clay_Brands!$A$2:$FZ$601,319,Sync!$D$5)&amp;"",""))</f>
        <v/>
      </c>
      <c r="E4370" s="17">
        <f>IF(B4370="","",IFERROR(INDEX(Clay_Brands!$A$2:$FZ$601,319,Sync!$D$6)&amp;"",""))</f>
        <v/>
      </c>
      <c r="F4370" s="17">
        <f>IF(B4370="","","outreach_sent")</f>
        <v/>
      </c>
      <c r="G4370" s="17">
        <f>IF(B4370="","","")</f>
        <v/>
      </c>
      <c r="H4370" s="17">
        <f>IF(B4370="","","")</f>
        <v/>
      </c>
      <c r="I4370" s="17">
        <f>IF(B4370="","","")</f>
        <v/>
      </c>
      <c r="J4370" s="17">
        <f>IF(B4370="","","touch_2; "&amp;IFERROR(INDEX(Clay_Brands!$A$2:$FZ$601,319,Sync!$D$10)&amp;"","")&amp;"; "&amp;IFERROR(INDEX(Clay_Brands!$A$2:$FZ$601,319,Sync!$D$9)&amp;"",""))</f>
        <v/>
      </c>
      <c r="K4370" t="inlineStr">
        <is>
          <t>brand outreach touch 2</t>
        </is>
      </c>
    </row>
    <row r="4371">
      <c r="A4371" s="17">
        <f>IF(B4371="","",B4371+(16*1000+320)/10000000)</f>
        <v/>
      </c>
      <c r="B4371" s="23">
        <f>IF(AND(IFERROR(N(INDEX(Clay_Brands!$A$2:$FZ$601,320,Sync!$D$12)),0)&gt;0,IFERROR(INDEX(Clay_Brands!$A$2:$FZ$601,320,Sync!$D$5)&amp;"","")&lt;&gt;"",OR(LEFT(IFERROR(INDEX(Clay_Brands!$A$2:$FZ$601,320,Sync!$D$5)&amp;"",""),6)&lt;&gt;"SAMPLE",Config!$B$19="Y")),IFERROR(N(INDEX(Clay_Brands!$A$2:$FZ$601,320,Sync!$D$12)),0),"")</f>
        <v/>
      </c>
      <c r="C4371" s="17">
        <f>IF(B4371="","","brand")</f>
        <v/>
      </c>
      <c r="D4371" s="17">
        <f>IF(B4371="","",IFERROR(INDEX(Clay_Brands!$A$2:$FZ$601,320,Sync!$D$5)&amp;"",""))</f>
        <v/>
      </c>
      <c r="E4371" s="17">
        <f>IF(B4371="","",IFERROR(INDEX(Clay_Brands!$A$2:$FZ$601,320,Sync!$D$6)&amp;"",""))</f>
        <v/>
      </c>
      <c r="F4371" s="17">
        <f>IF(B4371="","","outreach_sent")</f>
        <v/>
      </c>
      <c r="G4371" s="17">
        <f>IF(B4371="","","")</f>
        <v/>
      </c>
      <c r="H4371" s="17">
        <f>IF(B4371="","","")</f>
        <v/>
      </c>
      <c r="I4371" s="17">
        <f>IF(B4371="","","")</f>
        <v/>
      </c>
      <c r="J4371" s="17">
        <f>IF(B4371="","","touch_2; "&amp;IFERROR(INDEX(Clay_Brands!$A$2:$FZ$601,320,Sync!$D$10)&amp;"","")&amp;"; "&amp;IFERROR(INDEX(Clay_Brands!$A$2:$FZ$601,320,Sync!$D$9)&amp;"",""))</f>
        <v/>
      </c>
      <c r="K4371" t="inlineStr">
        <is>
          <t>brand outreach touch 2</t>
        </is>
      </c>
    </row>
    <row r="4372">
      <c r="A4372" s="17">
        <f>IF(B4372="","",B4372+(16*1000+321)/10000000)</f>
        <v/>
      </c>
      <c r="B4372" s="23">
        <f>IF(AND(IFERROR(N(INDEX(Clay_Brands!$A$2:$FZ$601,321,Sync!$D$12)),0)&gt;0,IFERROR(INDEX(Clay_Brands!$A$2:$FZ$601,321,Sync!$D$5)&amp;"","")&lt;&gt;"",OR(LEFT(IFERROR(INDEX(Clay_Brands!$A$2:$FZ$601,321,Sync!$D$5)&amp;"",""),6)&lt;&gt;"SAMPLE",Config!$B$19="Y")),IFERROR(N(INDEX(Clay_Brands!$A$2:$FZ$601,321,Sync!$D$12)),0),"")</f>
        <v/>
      </c>
      <c r="C4372" s="17">
        <f>IF(B4372="","","brand")</f>
        <v/>
      </c>
      <c r="D4372" s="17">
        <f>IF(B4372="","",IFERROR(INDEX(Clay_Brands!$A$2:$FZ$601,321,Sync!$D$5)&amp;"",""))</f>
        <v/>
      </c>
      <c r="E4372" s="17">
        <f>IF(B4372="","",IFERROR(INDEX(Clay_Brands!$A$2:$FZ$601,321,Sync!$D$6)&amp;"",""))</f>
        <v/>
      </c>
      <c r="F4372" s="17">
        <f>IF(B4372="","","outreach_sent")</f>
        <v/>
      </c>
      <c r="G4372" s="17">
        <f>IF(B4372="","","")</f>
        <v/>
      </c>
      <c r="H4372" s="17">
        <f>IF(B4372="","","")</f>
        <v/>
      </c>
      <c r="I4372" s="17">
        <f>IF(B4372="","","")</f>
        <v/>
      </c>
      <c r="J4372" s="17">
        <f>IF(B4372="","","touch_2; "&amp;IFERROR(INDEX(Clay_Brands!$A$2:$FZ$601,321,Sync!$D$10)&amp;"","")&amp;"; "&amp;IFERROR(INDEX(Clay_Brands!$A$2:$FZ$601,321,Sync!$D$9)&amp;"",""))</f>
        <v/>
      </c>
      <c r="K4372" t="inlineStr">
        <is>
          <t>brand outreach touch 2</t>
        </is>
      </c>
    </row>
    <row r="4373">
      <c r="A4373" s="17">
        <f>IF(B4373="","",B4373+(16*1000+322)/10000000)</f>
        <v/>
      </c>
      <c r="B4373" s="23">
        <f>IF(AND(IFERROR(N(INDEX(Clay_Brands!$A$2:$FZ$601,322,Sync!$D$12)),0)&gt;0,IFERROR(INDEX(Clay_Brands!$A$2:$FZ$601,322,Sync!$D$5)&amp;"","")&lt;&gt;"",OR(LEFT(IFERROR(INDEX(Clay_Brands!$A$2:$FZ$601,322,Sync!$D$5)&amp;"",""),6)&lt;&gt;"SAMPLE",Config!$B$19="Y")),IFERROR(N(INDEX(Clay_Brands!$A$2:$FZ$601,322,Sync!$D$12)),0),"")</f>
        <v/>
      </c>
      <c r="C4373" s="17">
        <f>IF(B4373="","","brand")</f>
        <v/>
      </c>
      <c r="D4373" s="17">
        <f>IF(B4373="","",IFERROR(INDEX(Clay_Brands!$A$2:$FZ$601,322,Sync!$D$5)&amp;"",""))</f>
        <v/>
      </c>
      <c r="E4373" s="17">
        <f>IF(B4373="","",IFERROR(INDEX(Clay_Brands!$A$2:$FZ$601,322,Sync!$D$6)&amp;"",""))</f>
        <v/>
      </c>
      <c r="F4373" s="17">
        <f>IF(B4373="","","outreach_sent")</f>
        <v/>
      </c>
      <c r="G4373" s="17">
        <f>IF(B4373="","","")</f>
        <v/>
      </c>
      <c r="H4373" s="17">
        <f>IF(B4373="","","")</f>
        <v/>
      </c>
      <c r="I4373" s="17">
        <f>IF(B4373="","","")</f>
        <v/>
      </c>
      <c r="J4373" s="17">
        <f>IF(B4373="","","touch_2; "&amp;IFERROR(INDEX(Clay_Brands!$A$2:$FZ$601,322,Sync!$D$10)&amp;"","")&amp;"; "&amp;IFERROR(INDEX(Clay_Brands!$A$2:$FZ$601,322,Sync!$D$9)&amp;"",""))</f>
        <v/>
      </c>
      <c r="K4373" t="inlineStr">
        <is>
          <t>brand outreach touch 2</t>
        </is>
      </c>
    </row>
    <row r="4374">
      <c r="A4374" s="17">
        <f>IF(B4374="","",B4374+(16*1000+323)/10000000)</f>
        <v/>
      </c>
      <c r="B4374" s="23">
        <f>IF(AND(IFERROR(N(INDEX(Clay_Brands!$A$2:$FZ$601,323,Sync!$D$12)),0)&gt;0,IFERROR(INDEX(Clay_Brands!$A$2:$FZ$601,323,Sync!$D$5)&amp;"","")&lt;&gt;"",OR(LEFT(IFERROR(INDEX(Clay_Brands!$A$2:$FZ$601,323,Sync!$D$5)&amp;"",""),6)&lt;&gt;"SAMPLE",Config!$B$19="Y")),IFERROR(N(INDEX(Clay_Brands!$A$2:$FZ$601,323,Sync!$D$12)),0),"")</f>
        <v/>
      </c>
      <c r="C4374" s="17">
        <f>IF(B4374="","","brand")</f>
        <v/>
      </c>
      <c r="D4374" s="17">
        <f>IF(B4374="","",IFERROR(INDEX(Clay_Brands!$A$2:$FZ$601,323,Sync!$D$5)&amp;"",""))</f>
        <v/>
      </c>
      <c r="E4374" s="17">
        <f>IF(B4374="","",IFERROR(INDEX(Clay_Brands!$A$2:$FZ$601,323,Sync!$D$6)&amp;"",""))</f>
        <v/>
      </c>
      <c r="F4374" s="17">
        <f>IF(B4374="","","outreach_sent")</f>
        <v/>
      </c>
      <c r="G4374" s="17">
        <f>IF(B4374="","","")</f>
        <v/>
      </c>
      <c r="H4374" s="17">
        <f>IF(B4374="","","")</f>
        <v/>
      </c>
      <c r="I4374" s="17">
        <f>IF(B4374="","","")</f>
        <v/>
      </c>
      <c r="J4374" s="17">
        <f>IF(B4374="","","touch_2; "&amp;IFERROR(INDEX(Clay_Brands!$A$2:$FZ$601,323,Sync!$D$10)&amp;"","")&amp;"; "&amp;IFERROR(INDEX(Clay_Brands!$A$2:$FZ$601,323,Sync!$D$9)&amp;"",""))</f>
        <v/>
      </c>
      <c r="K4374" t="inlineStr">
        <is>
          <t>brand outreach touch 2</t>
        </is>
      </c>
    </row>
    <row r="4375">
      <c r="A4375" s="17">
        <f>IF(B4375="","",B4375+(16*1000+324)/10000000)</f>
        <v/>
      </c>
      <c r="B4375" s="23">
        <f>IF(AND(IFERROR(N(INDEX(Clay_Brands!$A$2:$FZ$601,324,Sync!$D$12)),0)&gt;0,IFERROR(INDEX(Clay_Brands!$A$2:$FZ$601,324,Sync!$D$5)&amp;"","")&lt;&gt;"",OR(LEFT(IFERROR(INDEX(Clay_Brands!$A$2:$FZ$601,324,Sync!$D$5)&amp;"",""),6)&lt;&gt;"SAMPLE",Config!$B$19="Y")),IFERROR(N(INDEX(Clay_Brands!$A$2:$FZ$601,324,Sync!$D$12)),0),"")</f>
        <v/>
      </c>
      <c r="C4375" s="17">
        <f>IF(B4375="","","brand")</f>
        <v/>
      </c>
      <c r="D4375" s="17">
        <f>IF(B4375="","",IFERROR(INDEX(Clay_Brands!$A$2:$FZ$601,324,Sync!$D$5)&amp;"",""))</f>
        <v/>
      </c>
      <c r="E4375" s="17">
        <f>IF(B4375="","",IFERROR(INDEX(Clay_Brands!$A$2:$FZ$601,324,Sync!$D$6)&amp;"",""))</f>
        <v/>
      </c>
      <c r="F4375" s="17">
        <f>IF(B4375="","","outreach_sent")</f>
        <v/>
      </c>
      <c r="G4375" s="17">
        <f>IF(B4375="","","")</f>
        <v/>
      </c>
      <c r="H4375" s="17">
        <f>IF(B4375="","","")</f>
        <v/>
      </c>
      <c r="I4375" s="17">
        <f>IF(B4375="","","")</f>
        <v/>
      </c>
      <c r="J4375" s="17">
        <f>IF(B4375="","","touch_2; "&amp;IFERROR(INDEX(Clay_Brands!$A$2:$FZ$601,324,Sync!$D$10)&amp;"","")&amp;"; "&amp;IFERROR(INDEX(Clay_Brands!$A$2:$FZ$601,324,Sync!$D$9)&amp;"",""))</f>
        <v/>
      </c>
      <c r="K4375" t="inlineStr">
        <is>
          <t>brand outreach touch 2</t>
        </is>
      </c>
    </row>
    <row r="4376">
      <c r="A4376" s="17">
        <f>IF(B4376="","",B4376+(16*1000+325)/10000000)</f>
        <v/>
      </c>
      <c r="B4376" s="23">
        <f>IF(AND(IFERROR(N(INDEX(Clay_Brands!$A$2:$FZ$601,325,Sync!$D$12)),0)&gt;0,IFERROR(INDEX(Clay_Brands!$A$2:$FZ$601,325,Sync!$D$5)&amp;"","")&lt;&gt;"",OR(LEFT(IFERROR(INDEX(Clay_Brands!$A$2:$FZ$601,325,Sync!$D$5)&amp;"",""),6)&lt;&gt;"SAMPLE",Config!$B$19="Y")),IFERROR(N(INDEX(Clay_Brands!$A$2:$FZ$601,325,Sync!$D$12)),0),"")</f>
        <v/>
      </c>
      <c r="C4376" s="17">
        <f>IF(B4376="","","brand")</f>
        <v/>
      </c>
      <c r="D4376" s="17">
        <f>IF(B4376="","",IFERROR(INDEX(Clay_Brands!$A$2:$FZ$601,325,Sync!$D$5)&amp;"",""))</f>
        <v/>
      </c>
      <c r="E4376" s="17">
        <f>IF(B4376="","",IFERROR(INDEX(Clay_Brands!$A$2:$FZ$601,325,Sync!$D$6)&amp;"",""))</f>
        <v/>
      </c>
      <c r="F4376" s="17">
        <f>IF(B4376="","","outreach_sent")</f>
        <v/>
      </c>
      <c r="G4376" s="17">
        <f>IF(B4376="","","")</f>
        <v/>
      </c>
      <c r="H4376" s="17">
        <f>IF(B4376="","","")</f>
        <v/>
      </c>
      <c r="I4376" s="17">
        <f>IF(B4376="","","")</f>
        <v/>
      </c>
      <c r="J4376" s="17">
        <f>IF(B4376="","","touch_2; "&amp;IFERROR(INDEX(Clay_Brands!$A$2:$FZ$601,325,Sync!$D$10)&amp;"","")&amp;"; "&amp;IFERROR(INDEX(Clay_Brands!$A$2:$FZ$601,325,Sync!$D$9)&amp;"",""))</f>
        <v/>
      </c>
      <c r="K4376" t="inlineStr">
        <is>
          <t>brand outreach touch 2</t>
        </is>
      </c>
    </row>
    <row r="4377">
      <c r="A4377" s="17">
        <f>IF(B4377="","",B4377+(16*1000+326)/10000000)</f>
        <v/>
      </c>
      <c r="B4377" s="23">
        <f>IF(AND(IFERROR(N(INDEX(Clay_Brands!$A$2:$FZ$601,326,Sync!$D$12)),0)&gt;0,IFERROR(INDEX(Clay_Brands!$A$2:$FZ$601,326,Sync!$D$5)&amp;"","")&lt;&gt;"",OR(LEFT(IFERROR(INDEX(Clay_Brands!$A$2:$FZ$601,326,Sync!$D$5)&amp;"",""),6)&lt;&gt;"SAMPLE",Config!$B$19="Y")),IFERROR(N(INDEX(Clay_Brands!$A$2:$FZ$601,326,Sync!$D$12)),0),"")</f>
        <v/>
      </c>
      <c r="C4377" s="17">
        <f>IF(B4377="","","brand")</f>
        <v/>
      </c>
      <c r="D4377" s="17">
        <f>IF(B4377="","",IFERROR(INDEX(Clay_Brands!$A$2:$FZ$601,326,Sync!$D$5)&amp;"",""))</f>
        <v/>
      </c>
      <c r="E4377" s="17">
        <f>IF(B4377="","",IFERROR(INDEX(Clay_Brands!$A$2:$FZ$601,326,Sync!$D$6)&amp;"",""))</f>
        <v/>
      </c>
      <c r="F4377" s="17">
        <f>IF(B4377="","","outreach_sent")</f>
        <v/>
      </c>
      <c r="G4377" s="17">
        <f>IF(B4377="","","")</f>
        <v/>
      </c>
      <c r="H4377" s="17">
        <f>IF(B4377="","","")</f>
        <v/>
      </c>
      <c r="I4377" s="17">
        <f>IF(B4377="","","")</f>
        <v/>
      </c>
      <c r="J4377" s="17">
        <f>IF(B4377="","","touch_2; "&amp;IFERROR(INDEX(Clay_Brands!$A$2:$FZ$601,326,Sync!$D$10)&amp;"","")&amp;"; "&amp;IFERROR(INDEX(Clay_Brands!$A$2:$FZ$601,326,Sync!$D$9)&amp;"",""))</f>
        <v/>
      </c>
      <c r="K4377" t="inlineStr">
        <is>
          <t>brand outreach touch 2</t>
        </is>
      </c>
    </row>
    <row r="4378">
      <c r="A4378" s="17">
        <f>IF(B4378="","",B4378+(16*1000+327)/10000000)</f>
        <v/>
      </c>
      <c r="B4378" s="23">
        <f>IF(AND(IFERROR(N(INDEX(Clay_Brands!$A$2:$FZ$601,327,Sync!$D$12)),0)&gt;0,IFERROR(INDEX(Clay_Brands!$A$2:$FZ$601,327,Sync!$D$5)&amp;"","")&lt;&gt;"",OR(LEFT(IFERROR(INDEX(Clay_Brands!$A$2:$FZ$601,327,Sync!$D$5)&amp;"",""),6)&lt;&gt;"SAMPLE",Config!$B$19="Y")),IFERROR(N(INDEX(Clay_Brands!$A$2:$FZ$601,327,Sync!$D$12)),0),"")</f>
        <v/>
      </c>
      <c r="C4378" s="17">
        <f>IF(B4378="","","brand")</f>
        <v/>
      </c>
      <c r="D4378" s="17">
        <f>IF(B4378="","",IFERROR(INDEX(Clay_Brands!$A$2:$FZ$601,327,Sync!$D$5)&amp;"",""))</f>
        <v/>
      </c>
      <c r="E4378" s="17">
        <f>IF(B4378="","",IFERROR(INDEX(Clay_Brands!$A$2:$FZ$601,327,Sync!$D$6)&amp;"",""))</f>
        <v/>
      </c>
      <c r="F4378" s="17">
        <f>IF(B4378="","","outreach_sent")</f>
        <v/>
      </c>
      <c r="G4378" s="17">
        <f>IF(B4378="","","")</f>
        <v/>
      </c>
      <c r="H4378" s="17">
        <f>IF(B4378="","","")</f>
        <v/>
      </c>
      <c r="I4378" s="17">
        <f>IF(B4378="","","")</f>
        <v/>
      </c>
      <c r="J4378" s="17">
        <f>IF(B4378="","","touch_2; "&amp;IFERROR(INDEX(Clay_Brands!$A$2:$FZ$601,327,Sync!$D$10)&amp;"","")&amp;"; "&amp;IFERROR(INDEX(Clay_Brands!$A$2:$FZ$601,327,Sync!$D$9)&amp;"",""))</f>
        <v/>
      </c>
      <c r="K4378" t="inlineStr">
        <is>
          <t>brand outreach touch 2</t>
        </is>
      </c>
    </row>
    <row r="4379">
      <c r="A4379" s="17">
        <f>IF(B4379="","",B4379+(16*1000+328)/10000000)</f>
        <v/>
      </c>
      <c r="B4379" s="23">
        <f>IF(AND(IFERROR(N(INDEX(Clay_Brands!$A$2:$FZ$601,328,Sync!$D$12)),0)&gt;0,IFERROR(INDEX(Clay_Brands!$A$2:$FZ$601,328,Sync!$D$5)&amp;"","")&lt;&gt;"",OR(LEFT(IFERROR(INDEX(Clay_Brands!$A$2:$FZ$601,328,Sync!$D$5)&amp;"",""),6)&lt;&gt;"SAMPLE",Config!$B$19="Y")),IFERROR(N(INDEX(Clay_Brands!$A$2:$FZ$601,328,Sync!$D$12)),0),"")</f>
        <v/>
      </c>
      <c r="C4379" s="17">
        <f>IF(B4379="","","brand")</f>
        <v/>
      </c>
      <c r="D4379" s="17">
        <f>IF(B4379="","",IFERROR(INDEX(Clay_Brands!$A$2:$FZ$601,328,Sync!$D$5)&amp;"",""))</f>
        <v/>
      </c>
      <c r="E4379" s="17">
        <f>IF(B4379="","",IFERROR(INDEX(Clay_Brands!$A$2:$FZ$601,328,Sync!$D$6)&amp;"",""))</f>
        <v/>
      </c>
      <c r="F4379" s="17">
        <f>IF(B4379="","","outreach_sent")</f>
        <v/>
      </c>
      <c r="G4379" s="17">
        <f>IF(B4379="","","")</f>
        <v/>
      </c>
      <c r="H4379" s="17">
        <f>IF(B4379="","","")</f>
        <v/>
      </c>
      <c r="I4379" s="17">
        <f>IF(B4379="","","")</f>
        <v/>
      </c>
      <c r="J4379" s="17">
        <f>IF(B4379="","","touch_2; "&amp;IFERROR(INDEX(Clay_Brands!$A$2:$FZ$601,328,Sync!$D$10)&amp;"","")&amp;"; "&amp;IFERROR(INDEX(Clay_Brands!$A$2:$FZ$601,328,Sync!$D$9)&amp;"",""))</f>
        <v/>
      </c>
      <c r="K4379" t="inlineStr">
        <is>
          <t>brand outreach touch 2</t>
        </is>
      </c>
    </row>
    <row r="4380">
      <c r="A4380" s="17">
        <f>IF(B4380="","",B4380+(16*1000+329)/10000000)</f>
        <v/>
      </c>
      <c r="B4380" s="23">
        <f>IF(AND(IFERROR(N(INDEX(Clay_Brands!$A$2:$FZ$601,329,Sync!$D$12)),0)&gt;0,IFERROR(INDEX(Clay_Brands!$A$2:$FZ$601,329,Sync!$D$5)&amp;"","")&lt;&gt;"",OR(LEFT(IFERROR(INDEX(Clay_Brands!$A$2:$FZ$601,329,Sync!$D$5)&amp;"",""),6)&lt;&gt;"SAMPLE",Config!$B$19="Y")),IFERROR(N(INDEX(Clay_Brands!$A$2:$FZ$601,329,Sync!$D$12)),0),"")</f>
        <v/>
      </c>
      <c r="C4380" s="17">
        <f>IF(B4380="","","brand")</f>
        <v/>
      </c>
      <c r="D4380" s="17">
        <f>IF(B4380="","",IFERROR(INDEX(Clay_Brands!$A$2:$FZ$601,329,Sync!$D$5)&amp;"",""))</f>
        <v/>
      </c>
      <c r="E4380" s="17">
        <f>IF(B4380="","",IFERROR(INDEX(Clay_Brands!$A$2:$FZ$601,329,Sync!$D$6)&amp;"",""))</f>
        <v/>
      </c>
      <c r="F4380" s="17">
        <f>IF(B4380="","","outreach_sent")</f>
        <v/>
      </c>
      <c r="G4380" s="17">
        <f>IF(B4380="","","")</f>
        <v/>
      </c>
      <c r="H4380" s="17">
        <f>IF(B4380="","","")</f>
        <v/>
      </c>
      <c r="I4380" s="17">
        <f>IF(B4380="","","")</f>
        <v/>
      </c>
      <c r="J4380" s="17">
        <f>IF(B4380="","","touch_2; "&amp;IFERROR(INDEX(Clay_Brands!$A$2:$FZ$601,329,Sync!$D$10)&amp;"","")&amp;"; "&amp;IFERROR(INDEX(Clay_Brands!$A$2:$FZ$601,329,Sync!$D$9)&amp;"",""))</f>
        <v/>
      </c>
      <c r="K4380" t="inlineStr">
        <is>
          <t>brand outreach touch 2</t>
        </is>
      </c>
    </row>
    <row r="4381">
      <c r="A4381" s="17">
        <f>IF(B4381="","",B4381+(16*1000+330)/10000000)</f>
        <v/>
      </c>
      <c r="B4381" s="23">
        <f>IF(AND(IFERROR(N(INDEX(Clay_Brands!$A$2:$FZ$601,330,Sync!$D$12)),0)&gt;0,IFERROR(INDEX(Clay_Brands!$A$2:$FZ$601,330,Sync!$D$5)&amp;"","")&lt;&gt;"",OR(LEFT(IFERROR(INDEX(Clay_Brands!$A$2:$FZ$601,330,Sync!$D$5)&amp;"",""),6)&lt;&gt;"SAMPLE",Config!$B$19="Y")),IFERROR(N(INDEX(Clay_Brands!$A$2:$FZ$601,330,Sync!$D$12)),0),"")</f>
        <v/>
      </c>
      <c r="C4381" s="17">
        <f>IF(B4381="","","brand")</f>
        <v/>
      </c>
      <c r="D4381" s="17">
        <f>IF(B4381="","",IFERROR(INDEX(Clay_Brands!$A$2:$FZ$601,330,Sync!$D$5)&amp;"",""))</f>
        <v/>
      </c>
      <c r="E4381" s="17">
        <f>IF(B4381="","",IFERROR(INDEX(Clay_Brands!$A$2:$FZ$601,330,Sync!$D$6)&amp;"",""))</f>
        <v/>
      </c>
      <c r="F4381" s="17">
        <f>IF(B4381="","","outreach_sent")</f>
        <v/>
      </c>
      <c r="G4381" s="17">
        <f>IF(B4381="","","")</f>
        <v/>
      </c>
      <c r="H4381" s="17">
        <f>IF(B4381="","","")</f>
        <v/>
      </c>
      <c r="I4381" s="17">
        <f>IF(B4381="","","")</f>
        <v/>
      </c>
      <c r="J4381" s="17">
        <f>IF(B4381="","","touch_2; "&amp;IFERROR(INDEX(Clay_Brands!$A$2:$FZ$601,330,Sync!$D$10)&amp;"","")&amp;"; "&amp;IFERROR(INDEX(Clay_Brands!$A$2:$FZ$601,330,Sync!$D$9)&amp;"",""))</f>
        <v/>
      </c>
      <c r="K4381" t="inlineStr">
        <is>
          <t>brand outreach touch 2</t>
        </is>
      </c>
    </row>
    <row r="4382">
      <c r="A4382" s="17">
        <f>IF(B4382="","",B4382+(16*1000+331)/10000000)</f>
        <v/>
      </c>
      <c r="B4382" s="23">
        <f>IF(AND(IFERROR(N(INDEX(Clay_Brands!$A$2:$FZ$601,331,Sync!$D$12)),0)&gt;0,IFERROR(INDEX(Clay_Brands!$A$2:$FZ$601,331,Sync!$D$5)&amp;"","")&lt;&gt;"",OR(LEFT(IFERROR(INDEX(Clay_Brands!$A$2:$FZ$601,331,Sync!$D$5)&amp;"",""),6)&lt;&gt;"SAMPLE",Config!$B$19="Y")),IFERROR(N(INDEX(Clay_Brands!$A$2:$FZ$601,331,Sync!$D$12)),0),"")</f>
        <v/>
      </c>
      <c r="C4382" s="17">
        <f>IF(B4382="","","brand")</f>
        <v/>
      </c>
      <c r="D4382" s="17">
        <f>IF(B4382="","",IFERROR(INDEX(Clay_Brands!$A$2:$FZ$601,331,Sync!$D$5)&amp;"",""))</f>
        <v/>
      </c>
      <c r="E4382" s="17">
        <f>IF(B4382="","",IFERROR(INDEX(Clay_Brands!$A$2:$FZ$601,331,Sync!$D$6)&amp;"",""))</f>
        <v/>
      </c>
      <c r="F4382" s="17">
        <f>IF(B4382="","","outreach_sent")</f>
        <v/>
      </c>
      <c r="G4382" s="17">
        <f>IF(B4382="","","")</f>
        <v/>
      </c>
      <c r="H4382" s="17">
        <f>IF(B4382="","","")</f>
        <v/>
      </c>
      <c r="I4382" s="17">
        <f>IF(B4382="","","")</f>
        <v/>
      </c>
      <c r="J4382" s="17">
        <f>IF(B4382="","","touch_2; "&amp;IFERROR(INDEX(Clay_Brands!$A$2:$FZ$601,331,Sync!$D$10)&amp;"","")&amp;"; "&amp;IFERROR(INDEX(Clay_Brands!$A$2:$FZ$601,331,Sync!$D$9)&amp;"",""))</f>
        <v/>
      </c>
      <c r="K4382" t="inlineStr">
        <is>
          <t>brand outreach touch 2</t>
        </is>
      </c>
    </row>
    <row r="4383">
      <c r="A4383" s="17">
        <f>IF(B4383="","",B4383+(16*1000+332)/10000000)</f>
        <v/>
      </c>
      <c r="B4383" s="23">
        <f>IF(AND(IFERROR(N(INDEX(Clay_Brands!$A$2:$FZ$601,332,Sync!$D$12)),0)&gt;0,IFERROR(INDEX(Clay_Brands!$A$2:$FZ$601,332,Sync!$D$5)&amp;"","")&lt;&gt;"",OR(LEFT(IFERROR(INDEX(Clay_Brands!$A$2:$FZ$601,332,Sync!$D$5)&amp;"",""),6)&lt;&gt;"SAMPLE",Config!$B$19="Y")),IFERROR(N(INDEX(Clay_Brands!$A$2:$FZ$601,332,Sync!$D$12)),0),"")</f>
        <v/>
      </c>
      <c r="C4383" s="17">
        <f>IF(B4383="","","brand")</f>
        <v/>
      </c>
      <c r="D4383" s="17">
        <f>IF(B4383="","",IFERROR(INDEX(Clay_Brands!$A$2:$FZ$601,332,Sync!$D$5)&amp;"",""))</f>
        <v/>
      </c>
      <c r="E4383" s="17">
        <f>IF(B4383="","",IFERROR(INDEX(Clay_Brands!$A$2:$FZ$601,332,Sync!$D$6)&amp;"",""))</f>
        <v/>
      </c>
      <c r="F4383" s="17">
        <f>IF(B4383="","","outreach_sent")</f>
        <v/>
      </c>
      <c r="G4383" s="17">
        <f>IF(B4383="","","")</f>
        <v/>
      </c>
      <c r="H4383" s="17">
        <f>IF(B4383="","","")</f>
        <v/>
      </c>
      <c r="I4383" s="17">
        <f>IF(B4383="","","")</f>
        <v/>
      </c>
      <c r="J4383" s="17">
        <f>IF(B4383="","","touch_2; "&amp;IFERROR(INDEX(Clay_Brands!$A$2:$FZ$601,332,Sync!$D$10)&amp;"","")&amp;"; "&amp;IFERROR(INDEX(Clay_Brands!$A$2:$FZ$601,332,Sync!$D$9)&amp;"",""))</f>
        <v/>
      </c>
      <c r="K4383" t="inlineStr">
        <is>
          <t>brand outreach touch 2</t>
        </is>
      </c>
    </row>
    <row r="4384">
      <c r="A4384" s="17">
        <f>IF(B4384="","",B4384+(16*1000+333)/10000000)</f>
        <v/>
      </c>
      <c r="B4384" s="23">
        <f>IF(AND(IFERROR(N(INDEX(Clay_Brands!$A$2:$FZ$601,333,Sync!$D$12)),0)&gt;0,IFERROR(INDEX(Clay_Brands!$A$2:$FZ$601,333,Sync!$D$5)&amp;"","")&lt;&gt;"",OR(LEFT(IFERROR(INDEX(Clay_Brands!$A$2:$FZ$601,333,Sync!$D$5)&amp;"",""),6)&lt;&gt;"SAMPLE",Config!$B$19="Y")),IFERROR(N(INDEX(Clay_Brands!$A$2:$FZ$601,333,Sync!$D$12)),0),"")</f>
        <v/>
      </c>
      <c r="C4384" s="17">
        <f>IF(B4384="","","brand")</f>
        <v/>
      </c>
      <c r="D4384" s="17">
        <f>IF(B4384="","",IFERROR(INDEX(Clay_Brands!$A$2:$FZ$601,333,Sync!$D$5)&amp;"",""))</f>
        <v/>
      </c>
      <c r="E4384" s="17">
        <f>IF(B4384="","",IFERROR(INDEX(Clay_Brands!$A$2:$FZ$601,333,Sync!$D$6)&amp;"",""))</f>
        <v/>
      </c>
      <c r="F4384" s="17">
        <f>IF(B4384="","","outreach_sent")</f>
        <v/>
      </c>
      <c r="G4384" s="17">
        <f>IF(B4384="","","")</f>
        <v/>
      </c>
      <c r="H4384" s="17">
        <f>IF(B4384="","","")</f>
        <v/>
      </c>
      <c r="I4384" s="17">
        <f>IF(B4384="","","")</f>
        <v/>
      </c>
      <c r="J4384" s="17">
        <f>IF(B4384="","","touch_2; "&amp;IFERROR(INDEX(Clay_Brands!$A$2:$FZ$601,333,Sync!$D$10)&amp;"","")&amp;"; "&amp;IFERROR(INDEX(Clay_Brands!$A$2:$FZ$601,333,Sync!$D$9)&amp;"",""))</f>
        <v/>
      </c>
      <c r="K4384" t="inlineStr">
        <is>
          <t>brand outreach touch 2</t>
        </is>
      </c>
    </row>
    <row r="4385">
      <c r="A4385" s="17">
        <f>IF(B4385="","",B4385+(16*1000+334)/10000000)</f>
        <v/>
      </c>
      <c r="B4385" s="23">
        <f>IF(AND(IFERROR(N(INDEX(Clay_Brands!$A$2:$FZ$601,334,Sync!$D$12)),0)&gt;0,IFERROR(INDEX(Clay_Brands!$A$2:$FZ$601,334,Sync!$D$5)&amp;"","")&lt;&gt;"",OR(LEFT(IFERROR(INDEX(Clay_Brands!$A$2:$FZ$601,334,Sync!$D$5)&amp;"",""),6)&lt;&gt;"SAMPLE",Config!$B$19="Y")),IFERROR(N(INDEX(Clay_Brands!$A$2:$FZ$601,334,Sync!$D$12)),0),"")</f>
        <v/>
      </c>
      <c r="C4385" s="17">
        <f>IF(B4385="","","brand")</f>
        <v/>
      </c>
      <c r="D4385" s="17">
        <f>IF(B4385="","",IFERROR(INDEX(Clay_Brands!$A$2:$FZ$601,334,Sync!$D$5)&amp;"",""))</f>
        <v/>
      </c>
      <c r="E4385" s="17">
        <f>IF(B4385="","",IFERROR(INDEX(Clay_Brands!$A$2:$FZ$601,334,Sync!$D$6)&amp;"",""))</f>
        <v/>
      </c>
      <c r="F4385" s="17">
        <f>IF(B4385="","","outreach_sent")</f>
        <v/>
      </c>
      <c r="G4385" s="17">
        <f>IF(B4385="","","")</f>
        <v/>
      </c>
      <c r="H4385" s="17">
        <f>IF(B4385="","","")</f>
        <v/>
      </c>
      <c r="I4385" s="17">
        <f>IF(B4385="","","")</f>
        <v/>
      </c>
      <c r="J4385" s="17">
        <f>IF(B4385="","","touch_2; "&amp;IFERROR(INDEX(Clay_Brands!$A$2:$FZ$601,334,Sync!$D$10)&amp;"","")&amp;"; "&amp;IFERROR(INDEX(Clay_Brands!$A$2:$FZ$601,334,Sync!$D$9)&amp;"",""))</f>
        <v/>
      </c>
      <c r="K4385" t="inlineStr">
        <is>
          <t>brand outreach touch 2</t>
        </is>
      </c>
    </row>
    <row r="4386">
      <c r="A4386" s="17">
        <f>IF(B4386="","",B4386+(16*1000+335)/10000000)</f>
        <v/>
      </c>
      <c r="B4386" s="23">
        <f>IF(AND(IFERROR(N(INDEX(Clay_Brands!$A$2:$FZ$601,335,Sync!$D$12)),0)&gt;0,IFERROR(INDEX(Clay_Brands!$A$2:$FZ$601,335,Sync!$D$5)&amp;"","")&lt;&gt;"",OR(LEFT(IFERROR(INDEX(Clay_Brands!$A$2:$FZ$601,335,Sync!$D$5)&amp;"",""),6)&lt;&gt;"SAMPLE",Config!$B$19="Y")),IFERROR(N(INDEX(Clay_Brands!$A$2:$FZ$601,335,Sync!$D$12)),0),"")</f>
        <v/>
      </c>
      <c r="C4386" s="17">
        <f>IF(B4386="","","brand")</f>
        <v/>
      </c>
      <c r="D4386" s="17">
        <f>IF(B4386="","",IFERROR(INDEX(Clay_Brands!$A$2:$FZ$601,335,Sync!$D$5)&amp;"",""))</f>
        <v/>
      </c>
      <c r="E4386" s="17">
        <f>IF(B4386="","",IFERROR(INDEX(Clay_Brands!$A$2:$FZ$601,335,Sync!$D$6)&amp;"",""))</f>
        <v/>
      </c>
      <c r="F4386" s="17">
        <f>IF(B4386="","","outreach_sent")</f>
        <v/>
      </c>
      <c r="G4386" s="17">
        <f>IF(B4386="","","")</f>
        <v/>
      </c>
      <c r="H4386" s="17">
        <f>IF(B4386="","","")</f>
        <v/>
      </c>
      <c r="I4386" s="17">
        <f>IF(B4386="","","")</f>
        <v/>
      </c>
      <c r="J4386" s="17">
        <f>IF(B4386="","","touch_2; "&amp;IFERROR(INDEX(Clay_Brands!$A$2:$FZ$601,335,Sync!$D$10)&amp;"","")&amp;"; "&amp;IFERROR(INDEX(Clay_Brands!$A$2:$FZ$601,335,Sync!$D$9)&amp;"",""))</f>
        <v/>
      </c>
      <c r="K4386" t="inlineStr">
        <is>
          <t>brand outreach touch 2</t>
        </is>
      </c>
    </row>
    <row r="4387">
      <c r="A4387" s="17">
        <f>IF(B4387="","",B4387+(16*1000+336)/10000000)</f>
        <v/>
      </c>
      <c r="B4387" s="23">
        <f>IF(AND(IFERROR(N(INDEX(Clay_Brands!$A$2:$FZ$601,336,Sync!$D$12)),0)&gt;0,IFERROR(INDEX(Clay_Brands!$A$2:$FZ$601,336,Sync!$D$5)&amp;"","")&lt;&gt;"",OR(LEFT(IFERROR(INDEX(Clay_Brands!$A$2:$FZ$601,336,Sync!$D$5)&amp;"",""),6)&lt;&gt;"SAMPLE",Config!$B$19="Y")),IFERROR(N(INDEX(Clay_Brands!$A$2:$FZ$601,336,Sync!$D$12)),0),"")</f>
        <v/>
      </c>
      <c r="C4387" s="17">
        <f>IF(B4387="","","brand")</f>
        <v/>
      </c>
      <c r="D4387" s="17">
        <f>IF(B4387="","",IFERROR(INDEX(Clay_Brands!$A$2:$FZ$601,336,Sync!$D$5)&amp;"",""))</f>
        <v/>
      </c>
      <c r="E4387" s="17">
        <f>IF(B4387="","",IFERROR(INDEX(Clay_Brands!$A$2:$FZ$601,336,Sync!$D$6)&amp;"",""))</f>
        <v/>
      </c>
      <c r="F4387" s="17">
        <f>IF(B4387="","","outreach_sent")</f>
        <v/>
      </c>
      <c r="G4387" s="17">
        <f>IF(B4387="","","")</f>
        <v/>
      </c>
      <c r="H4387" s="17">
        <f>IF(B4387="","","")</f>
        <v/>
      </c>
      <c r="I4387" s="17">
        <f>IF(B4387="","","")</f>
        <v/>
      </c>
      <c r="J4387" s="17">
        <f>IF(B4387="","","touch_2; "&amp;IFERROR(INDEX(Clay_Brands!$A$2:$FZ$601,336,Sync!$D$10)&amp;"","")&amp;"; "&amp;IFERROR(INDEX(Clay_Brands!$A$2:$FZ$601,336,Sync!$D$9)&amp;"",""))</f>
        <v/>
      </c>
      <c r="K4387" t="inlineStr">
        <is>
          <t>brand outreach touch 2</t>
        </is>
      </c>
    </row>
    <row r="4388">
      <c r="A4388" s="17">
        <f>IF(B4388="","",B4388+(16*1000+337)/10000000)</f>
        <v/>
      </c>
      <c r="B4388" s="23">
        <f>IF(AND(IFERROR(N(INDEX(Clay_Brands!$A$2:$FZ$601,337,Sync!$D$12)),0)&gt;0,IFERROR(INDEX(Clay_Brands!$A$2:$FZ$601,337,Sync!$D$5)&amp;"","")&lt;&gt;"",OR(LEFT(IFERROR(INDEX(Clay_Brands!$A$2:$FZ$601,337,Sync!$D$5)&amp;"",""),6)&lt;&gt;"SAMPLE",Config!$B$19="Y")),IFERROR(N(INDEX(Clay_Brands!$A$2:$FZ$601,337,Sync!$D$12)),0),"")</f>
        <v/>
      </c>
      <c r="C4388" s="17">
        <f>IF(B4388="","","brand")</f>
        <v/>
      </c>
      <c r="D4388" s="17">
        <f>IF(B4388="","",IFERROR(INDEX(Clay_Brands!$A$2:$FZ$601,337,Sync!$D$5)&amp;"",""))</f>
        <v/>
      </c>
      <c r="E4388" s="17">
        <f>IF(B4388="","",IFERROR(INDEX(Clay_Brands!$A$2:$FZ$601,337,Sync!$D$6)&amp;"",""))</f>
        <v/>
      </c>
      <c r="F4388" s="17">
        <f>IF(B4388="","","outreach_sent")</f>
        <v/>
      </c>
      <c r="G4388" s="17">
        <f>IF(B4388="","","")</f>
        <v/>
      </c>
      <c r="H4388" s="17">
        <f>IF(B4388="","","")</f>
        <v/>
      </c>
      <c r="I4388" s="17">
        <f>IF(B4388="","","")</f>
        <v/>
      </c>
      <c r="J4388" s="17">
        <f>IF(B4388="","","touch_2; "&amp;IFERROR(INDEX(Clay_Brands!$A$2:$FZ$601,337,Sync!$D$10)&amp;"","")&amp;"; "&amp;IFERROR(INDEX(Clay_Brands!$A$2:$FZ$601,337,Sync!$D$9)&amp;"",""))</f>
        <v/>
      </c>
      <c r="K4388" t="inlineStr">
        <is>
          <t>brand outreach touch 2</t>
        </is>
      </c>
    </row>
    <row r="4389">
      <c r="A4389" s="17">
        <f>IF(B4389="","",B4389+(16*1000+338)/10000000)</f>
        <v/>
      </c>
      <c r="B4389" s="23">
        <f>IF(AND(IFERROR(N(INDEX(Clay_Brands!$A$2:$FZ$601,338,Sync!$D$12)),0)&gt;0,IFERROR(INDEX(Clay_Brands!$A$2:$FZ$601,338,Sync!$D$5)&amp;"","")&lt;&gt;"",OR(LEFT(IFERROR(INDEX(Clay_Brands!$A$2:$FZ$601,338,Sync!$D$5)&amp;"",""),6)&lt;&gt;"SAMPLE",Config!$B$19="Y")),IFERROR(N(INDEX(Clay_Brands!$A$2:$FZ$601,338,Sync!$D$12)),0),"")</f>
        <v/>
      </c>
      <c r="C4389" s="17">
        <f>IF(B4389="","","brand")</f>
        <v/>
      </c>
      <c r="D4389" s="17">
        <f>IF(B4389="","",IFERROR(INDEX(Clay_Brands!$A$2:$FZ$601,338,Sync!$D$5)&amp;"",""))</f>
        <v/>
      </c>
      <c r="E4389" s="17">
        <f>IF(B4389="","",IFERROR(INDEX(Clay_Brands!$A$2:$FZ$601,338,Sync!$D$6)&amp;"",""))</f>
        <v/>
      </c>
      <c r="F4389" s="17">
        <f>IF(B4389="","","outreach_sent")</f>
        <v/>
      </c>
      <c r="G4389" s="17">
        <f>IF(B4389="","","")</f>
        <v/>
      </c>
      <c r="H4389" s="17">
        <f>IF(B4389="","","")</f>
        <v/>
      </c>
      <c r="I4389" s="17">
        <f>IF(B4389="","","")</f>
        <v/>
      </c>
      <c r="J4389" s="17">
        <f>IF(B4389="","","touch_2; "&amp;IFERROR(INDEX(Clay_Brands!$A$2:$FZ$601,338,Sync!$D$10)&amp;"","")&amp;"; "&amp;IFERROR(INDEX(Clay_Brands!$A$2:$FZ$601,338,Sync!$D$9)&amp;"",""))</f>
        <v/>
      </c>
      <c r="K4389" t="inlineStr">
        <is>
          <t>brand outreach touch 2</t>
        </is>
      </c>
    </row>
    <row r="4390">
      <c r="A4390" s="17">
        <f>IF(B4390="","",B4390+(16*1000+339)/10000000)</f>
        <v/>
      </c>
      <c r="B4390" s="23">
        <f>IF(AND(IFERROR(N(INDEX(Clay_Brands!$A$2:$FZ$601,339,Sync!$D$12)),0)&gt;0,IFERROR(INDEX(Clay_Brands!$A$2:$FZ$601,339,Sync!$D$5)&amp;"","")&lt;&gt;"",OR(LEFT(IFERROR(INDEX(Clay_Brands!$A$2:$FZ$601,339,Sync!$D$5)&amp;"",""),6)&lt;&gt;"SAMPLE",Config!$B$19="Y")),IFERROR(N(INDEX(Clay_Brands!$A$2:$FZ$601,339,Sync!$D$12)),0),"")</f>
        <v/>
      </c>
      <c r="C4390" s="17">
        <f>IF(B4390="","","brand")</f>
        <v/>
      </c>
      <c r="D4390" s="17">
        <f>IF(B4390="","",IFERROR(INDEX(Clay_Brands!$A$2:$FZ$601,339,Sync!$D$5)&amp;"",""))</f>
        <v/>
      </c>
      <c r="E4390" s="17">
        <f>IF(B4390="","",IFERROR(INDEX(Clay_Brands!$A$2:$FZ$601,339,Sync!$D$6)&amp;"",""))</f>
        <v/>
      </c>
      <c r="F4390" s="17">
        <f>IF(B4390="","","outreach_sent")</f>
        <v/>
      </c>
      <c r="G4390" s="17">
        <f>IF(B4390="","","")</f>
        <v/>
      </c>
      <c r="H4390" s="17">
        <f>IF(B4390="","","")</f>
        <v/>
      </c>
      <c r="I4390" s="17">
        <f>IF(B4390="","","")</f>
        <v/>
      </c>
      <c r="J4390" s="17">
        <f>IF(B4390="","","touch_2; "&amp;IFERROR(INDEX(Clay_Brands!$A$2:$FZ$601,339,Sync!$D$10)&amp;"","")&amp;"; "&amp;IFERROR(INDEX(Clay_Brands!$A$2:$FZ$601,339,Sync!$D$9)&amp;"",""))</f>
        <v/>
      </c>
      <c r="K4390" t="inlineStr">
        <is>
          <t>brand outreach touch 2</t>
        </is>
      </c>
    </row>
    <row r="4391">
      <c r="A4391" s="17">
        <f>IF(B4391="","",B4391+(16*1000+340)/10000000)</f>
        <v/>
      </c>
      <c r="B4391" s="23">
        <f>IF(AND(IFERROR(N(INDEX(Clay_Brands!$A$2:$FZ$601,340,Sync!$D$12)),0)&gt;0,IFERROR(INDEX(Clay_Brands!$A$2:$FZ$601,340,Sync!$D$5)&amp;"","")&lt;&gt;"",OR(LEFT(IFERROR(INDEX(Clay_Brands!$A$2:$FZ$601,340,Sync!$D$5)&amp;"",""),6)&lt;&gt;"SAMPLE",Config!$B$19="Y")),IFERROR(N(INDEX(Clay_Brands!$A$2:$FZ$601,340,Sync!$D$12)),0),"")</f>
        <v/>
      </c>
      <c r="C4391" s="17">
        <f>IF(B4391="","","brand")</f>
        <v/>
      </c>
      <c r="D4391" s="17">
        <f>IF(B4391="","",IFERROR(INDEX(Clay_Brands!$A$2:$FZ$601,340,Sync!$D$5)&amp;"",""))</f>
        <v/>
      </c>
      <c r="E4391" s="17">
        <f>IF(B4391="","",IFERROR(INDEX(Clay_Brands!$A$2:$FZ$601,340,Sync!$D$6)&amp;"",""))</f>
        <v/>
      </c>
      <c r="F4391" s="17">
        <f>IF(B4391="","","outreach_sent")</f>
        <v/>
      </c>
      <c r="G4391" s="17">
        <f>IF(B4391="","","")</f>
        <v/>
      </c>
      <c r="H4391" s="17">
        <f>IF(B4391="","","")</f>
        <v/>
      </c>
      <c r="I4391" s="17">
        <f>IF(B4391="","","")</f>
        <v/>
      </c>
      <c r="J4391" s="17">
        <f>IF(B4391="","","touch_2; "&amp;IFERROR(INDEX(Clay_Brands!$A$2:$FZ$601,340,Sync!$D$10)&amp;"","")&amp;"; "&amp;IFERROR(INDEX(Clay_Brands!$A$2:$FZ$601,340,Sync!$D$9)&amp;"",""))</f>
        <v/>
      </c>
      <c r="K4391" t="inlineStr">
        <is>
          <t>brand outreach touch 2</t>
        </is>
      </c>
    </row>
    <row r="4392">
      <c r="A4392" s="17">
        <f>IF(B4392="","",B4392+(16*1000+341)/10000000)</f>
        <v/>
      </c>
      <c r="B4392" s="23">
        <f>IF(AND(IFERROR(N(INDEX(Clay_Brands!$A$2:$FZ$601,341,Sync!$D$12)),0)&gt;0,IFERROR(INDEX(Clay_Brands!$A$2:$FZ$601,341,Sync!$D$5)&amp;"","")&lt;&gt;"",OR(LEFT(IFERROR(INDEX(Clay_Brands!$A$2:$FZ$601,341,Sync!$D$5)&amp;"",""),6)&lt;&gt;"SAMPLE",Config!$B$19="Y")),IFERROR(N(INDEX(Clay_Brands!$A$2:$FZ$601,341,Sync!$D$12)),0),"")</f>
        <v/>
      </c>
      <c r="C4392" s="17">
        <f>IF(B4392="","","brand")</f>
        <v/>
      </c>
      <c r="D4392" s="17">
        <f>IF(B4392="","",IFERROR(INDEX(Clay_Brands!$A$2:$FZ$601,341,Sync!$D$5)&amp;"",""))</f>
        <v/>
      </c>
      <c r="E4392" s="17">
        <f>IF(B4392="","",IFERROR(INDEX(Clay_Brands!$A$2:$FZ$601,341,Sync!$D$6)&amp;"",""))</f>
        <v/>
      </c>
      <c r="F4392" s="17">
        <f>IF(B4392="","","outreach_sent")</f>
        <v/>
      </c>
      <c r="G4392" s="17">
        <f>IF(B4392="","","")</f>
        <v/>
      </c>
      <c r="H4392" s="17">
        <f>IF(B4392="","","")</f>
        <v/>
      </c>
      <c r="I4392" s="17">
        <f>IF(B4392="","","")</f>
        <v/>
      </c>
      <c r="J4392" s="17">
        <f>IF(B4392="","","touch_2; "&amp;IFERROR(INDEX(Clay_Brands!$A$2:$FZ$601,341,Sync!$D$10)&amp;"","")&amp;"; "&amp;IFERROR(INDEX(Clay_Brands!$A$2:$FZ$601,341,Sync!$D$9)&amp;"",""))</f>
        <v/>
      </c>
      <c r="K4392" t="inlineStr">
        <is>
          <t>brand outreach touch 2</t>
        </is>
      </c>
    </row>
    <row r="4393">
      <c r="A4393" s="17">
        <f>IF(B4393="","",B4393+(16*1000+342)/10000000)</f>
        <v/>
      </c>
      <c r="B4393" s="23">
        <f>IF(AND(IFERROR(N(INDEX(Clay_Brands!$A$2:$FZ$601,342,Sync!$D$12)),0)&gt;0,IFERROR(INDEX(Clay_Brands!$A$2:$FZ$601,342,Sync!$D$5)&amp;"","")&lt;&gt;"",OR(LEFT(IFERROR(INDEX(Clay_Brands!$A$2:$FZ$601,342,Sync!$D$5)&amp;"",""),6)&lt;&gt;"SAMPLE",Config!$B$19="Y")),IFERROR(N(INDEX(Clay_Brands!$A$2:$FZ$601,342,Sync!$D$12)),0),"")</f>
        <v/>
      </c>
      <c r="C4393" s="17">
        <f>IF(B4393="","","brand")</f>
        <v/>
      </c>
      <c r="D4393" s="17">
        <f>IF(B4393="","",IFERROR(INDEX(Clay_Brands!$A$2:$FZ$601,342,Sync!$D$5)&amp;"",""))</f>
        <v/>
      </c>
      <c r="E4393" s="17">
        <f>IF(B4393="","",IFERROR(INDEX(Clay_Brands!$A$2:$FZ$601,342,Sync!$D$6)&amp;"",""))</f>
        <v/>
      </c>
      <c r="F4393" s="17">
        <f>IF(B4393="","","outreach_sent")</f>
        <v/>
      </c>
      <c r="G4393" s="17">
        <f>IF(B4393="","","")</f>
        <v/>
      </c>
      <c r="H4393" s="17">
        <f>IF(B4393="","","")</f>
        <v/>
      </c>
      <c r="I4393" s="17">
        <f>IF(B4393="","","")</f>
        <v/>
      </c>
      <c r="J4393" s="17">
        <f>IF(B4393="","","touch_2; "&amp;IFERROR(INDEX(Clay_Brands!$A$2:$FZ$601,342,Sync!$D$10)&amp;"","")&amp;"; "&amp;IFERROR(INDEX(Clay_Brands!$A$2:$FZ$601,342,Sync!$D$9)&amp;"",""))</f>
        <v/>
      </c>
      <c r="K4393" t="inlineStr">
        <is>
          <t>brand outreach touch 2</t>
        </is>
      </c>
    </row>
    <row r="4394">
      <c r="A4394" s="17">
        <f>IF(B4394="","",B4394+(16*1000+343)/10000000)</f>
        <v/>
      </c>
      <c r="B4394" s="23">
        <f>IF(AND(IFERROR(N(INDEX(Clay_Brands!$A$2:$FZ$601,343,Sync!$D$12)),0)&gt;0,IFERROR(INDEX(Clay_Brands!$A$2:$FZ$601,343,Sync!$D$5)&amp;"","")&lt;&gt;"",OR(LEFT(IFERROR(INDEX(Clay_Brands!$A$2:$FZ$601,343,Sync!$D$5)&amp;"",""),6)&lt;&gt;"SAMPLE",Config!$B$19="Y")),IFERROR(N(INDEX(Clay_Brands!$A$2:$FZ$601,343,Sync!$D$12)),0),"")</f>
        <v/>
      </c>
      <c r="C4394" s="17">
        <f>IF(B4394="","","brand")</f>
        <v/>
      </c>
      <c r="D4394" s="17">
        <f>IF(B4394="","",IFERROR(INDEX(Clay_Brands!$A$2:$FZ$601,343,Sync!$D$5)&amp;"",""))</f>
        <v/>
      </c>
      <c r="E4394" s="17">
        <f>IF(B4394="","",IFERROR(INDEX(Clay_Brands!$A$2:$FZ$601,343,Sync!$D$6)&amp;"",""))</f>
        <v/>
      </c>
      <c r="F4394" s="17">
        <f>IF(B4394="","","outreach_sent")</f>
        <v/>
      </c>
      <c r="G4394" s="17">
        <f>IF(B4394="","","")</f>
        <v/>
      </c>
      <c r="H4394" s="17">
        <f>IF(B4394="","","")</f>
        <v/>
      </c>
      <c r="I4394" s="17">
        <f>IF(B4394="","","")</f>
        <v/>
      </c>
      <c r="J4394" s="17">
        <f>IF(B4394="","","touch_2; "&amp;IFERROR(INDEX(Clay_Brands!$A$2:$FZ$601,343,Sync!$D$10)&amp;"","")&amp;"; "&amp;IFERROR(INDEX(Clay_Brands!$A$2:$FZ$601,343,Sync!$D$9)&amp;"",""))</f>
        <v/>
      </c>
      <c r="K4394" t="inlineStr">
        <is>
          <t>brand outreach touch 2</t>
        </is>
      </c>
    </row>
    <row r="4395">
      <c r="A4395" s="17">
        <f>IF(B4395="","",B4395+(16*1000+344)/10000000)</f>
        <v/>
      </c>
      <c r="B4395" s="23">
        <f>IF(AND(IFERROR(N(INDEX(Clay_Brands!$A$2:$FZ$601,344,Sync!$D$12)),0)&gt;0,IFERROR(INDEX(Clay_Brands!$A$2:$FZ$601,344,Sync!$D$5)&amp;"","")&lt;&gt;"",OR(LEFT(IFERROR(INDEX(Clay_Brands!$A$2:$FZ$601,344,Sync!$D$5)&amp;"",""),6)&lt;&gt;"SAMPLE",Config!$B$19="Y")),IFERROR(N(INDEX(Clay_Brands!$A$2:$FZ$601,344,Sync!$D$12)),0),"")</f>
        <v/>
      </c>
      <c r="C4395" s="17">
        <f>IF(B4395="","","brand")</f>
        <v/>
      </c>
      <c r="D4395" s="17">
        <f>IF(B4395="","",IFERROR(INDEX(Clay_Brands!$A$2:$FZ$601,344,Sync!$D$5)&amp;"",""))</f>
        <v/>
      </c>
      <c r="E4395" s="17">
        <f>IF(B4395="","",IFERROR(INDEX(Clay_Brands!$A$2:$FZ$601,344,Sync!$D$6)&amp;"",""))</f>
        <v/>
      </c>
      <c r="F4395" s="17">
        <f>IF(B4395="","","outreach_sent")</f>
        <v/>
      </c>
      <c r="G4395" s="17">
        <f>IF(B4395="","","")</f>
        <v/>
      </c>
      <c r="H4395" s="17">
        <f>IF(B4395="","","")</f>
        <v/>
      </c>
      <c r="I4395" s="17">
        <f>IF(B4395="","","")</f>
        <v/>
      </c>
      <c r="J4395" s="17">
        <f>IF(B4395="","","touch_2; "&amp;IFERROR(INDEX(Clay_Brands!$A$2:$FZ$601,344,Sync!$D$10)&amp;"","")&amp;"; "&amp;IFERROR(INDEX(Clay_Brands!$A$2:$FZ$601,344,Sync!$D$9)&amp;"",""))</f>
        <v/>
      </c>
      <c r="K4395" t="inlineStr">
        <is>
          <t>brand outreach touch 2</t>
        </is>
      </c>
    </row>
    <row r="4396">
      <c r="A4396" s="17">
        <f>IF(B4396="","",B4396+(16*1000+345)/10000000)</f>
        <v/>
      </c>
      <c r="B4396" s="23">
        <f>IF(AND(IFERROR(N(INDEX(Clay_Brands!$A$2:$FZ$601,345,Sync!$D$12)),0)&gt;0,IFERROR(INDEX(Clay_Brands!$A$2:$FZ$601,345,Sync!$D$5)&amp;"","")&lt;&gt;"",OR(LEFT(IFERROR(INDEX(Clay_Brands!$A$2:$FZ$601,345,Sync!$D$5)&amp;"",""),6)&lt;&gt;"SAMPLE",Config!$B$19="Y")),IFERROR(N(INDEX(Clay_Brands!$A$2:$FZ$601,345,Sync!$D$12)),0),"")</f>
        <v/>
      </c>
      <c r="C4396" s="17">
        <f>IF(B4396="","","brand")</f>
        <v/>
      </c>
      <c r="D4396" s="17">
        <f>IF(B4396="","",IFERROR(INDEX(Clay_Brands!$A$2:$FZ$601,345,Sync!$D$5)&amp;"",""))</f>
        <v/>
      </c>
      <c r="E4396" s="17">
        <f>IF(B4396="","",IFERROR(INDEX(Clay_Brands!$A$2:$FZ$601,345,Sync!$D$6)&amp;"",""))</f>
        <v/>
      </c>
      <c r="F4396" s="17">
        <f>IF(B4396="","","outreach_sent")</f>
        <v/>
      </c>
      <c r="G4396" s="17">
        <f>IF(B4396="","","")</f>
        <v/>
      </c>
      <c r="H4396" s="17">
        <f>IF(B4396="","","")</f>
        <v/>
      </c>
      <c r="I4396" s="17">
        <f>IF(B4396="","","")</f>
        <v/>
      </c>
      <c r="J4396" s="17">
        <f>IF(B4396="","","touch_2; "&amp;IFERROR(INDEX(Clay_Brands!$A$2:$FZ$601,345,Sync!$D$10)&amp;"","")&amp;"; "&amp;IFERROR(INDEX(Clay_Brands!$A$2:$FZ$601,345,Sync!$D$9)&amp;"",""))</f>
        <v/>
      </c>
      <c r="K4396" t="inlineStr">
        <is>
          <t>brand outreach touch 2</t>
        </is>
      </c>
    </row>
    <row r="4397">
      <c r="A4397" s="17">
        <f>IF(B4397="","",B4397+(16*1000+346)/10000000)</f>
        <v/>
      </c>
      <c r="B4397" s="23">
        <f>IF(AND(IFERROR(N(INDEX(Clay_Brands!$A$2:$FZ$601,346,Sync!$D$12)),0)&gt;0,IFERROR(INDEX(Clay_Brands!$A$2:$FZ$601,346,Sync!$D$5)&amp;"","")&lt;&gt;"",OR(LEFT(IFERROR(INDEX(Clay_Brands!$A$2:$FZ$601,346,Sync!$D$5)&amp;"",""),6)&lt;&gt;"SAMPLE",Config!$B$19="Y")),IFERROR(N(INDEX(Clay_Brands!$A$2:$FZ$601,346,Sync!$D$12)),0),"")</f>
        <v/>
      </c>
      <c r="C4397" s="17">
        <f>IF(B4397="","","brand")</f>
        <v/>
      </c>
      <c r="D4397" s="17">
        <f>IF(B4397="","",IFERROR(INDEX(Clay_Brands!$A$2:$FZ$601,346,Sync!$D$5)&amp;"",""))</f>
        <v/>
      </c>
      <c r="E4397" s="17">
        <f>IF(B4397="","",IFERROR(INDEX(Clay_Brands!$A$2:$FZ$601,346,Sync!$D$6)&amp;"",""))</f>
        <v/>
      </c>
      <c r="F4397" s="17">
        <f>IF(B4397="","","outreach_sent")</f>
        <v/>
      </c>
      <c r="G4397" s="17">
        <f>IF(B4397="","","")</f>
        <v/>
      </c>
      <c r="H4397" s="17">
        <f>IF(B4397="","","")</f>
        <v/>
      </c>
      <c r="I4397" s="17">
        <f>IF(B4397="","","")</f>
        <v/>
      </c>
      <c r="J4397" s="17">
        <f>IF(B4397="","","touch_2; "&amp;IFERROR(INDEX(Clay_Brands!$A$2:$FZ$601,346,Sync!$D$10)&amp;"","")&amp;"; "&amp;IFERROR(INDEX(Clay_Brands!$A$2:$FZ$601,346,Sync!$D$9)&amp;"",""))</f>
        <v/>
      </c>
      <c r="K4397" t="inlineStr">
        <is>
          <t>brand outreach touch 2</t>
        </is>
      </c>
    </row>
    <row r="4398">
      <c r="A4398" s="17">
        <f>IF(B4398="","",B4398+(16*1000+347)/10000000)</f>
        <v/>
      </c>
      <c r="B4398" s="23">
        <f>IF(AND(IFERROR(N(INDEX(Clay_Brands!$A$2:$FZ$601,347,Sync!$D$12)),0)&gt;0,IFERROR(INDEX(Clay_Brands!$A$2:$FZ$601,347,Sync!$D$5)&amp;"","")&lt;&gt;"",OR(LEFT(IFERROR(INDEX(Clay_Brands!$A$2:$FZ$601,347,Sync!$D$5)&amp;"",""),6)&lt;&gt;"SAMPLE",Config!$B$19="Y")),IFERROR(N(INDEX(Clay_Brands!$A$2:$FZ$601,347,Sync!$D$12)),0),"")</f>
        <v/>
      </c>
      <c r="C4398" s="17">
        <f>IF(B4398="","","brand")</f>
        <v/>
      </c>
      <c r="D4398" s="17">
        <f>IF(B4398="","",IFERROR(INDEX(Clay_Brands!$A$2:$FZ$601,347,Sync!$D$5)&amp;"",""))</f>
        <v/>
      </c>
      <c r="E4398" s="17">
        <f>IF(B4398="","",IFERROR(INDEX(Clay_Brands!$A$2:$FZ$601,347,Sync!$D$6)&amp;"",""))</f>
        <v/>
      </c>
      <c r="F4398" s="17">
        <f>IF(B4398="","","outreach_sent")</f>
        <v/>
      </c>
      <c r="G4398" s="17">
        <f>IF(B4398="","","")</f>
        <v/>
      </c>
      <c r="H4398" s="17">
        <f>IF(B4398="","","")</f>
        <v/>
      </c>
      <c r="I4398" s="17">
        <f>IF(B4398="","","")</f>
        <v/>
      </c>
      <c r="J4398" s="17">
        <f>IF(B4398="","","touch_2; "&amp;IFERROR(INDEX(Clay_Brands!$A$2:$FZ$601,347,Sync!$D$10)&amp;"","")&amp;"; "&amp;IFERROR(INDEX(Clay_Brands!$A$2:$FZ$601,347,Sync!$D$9)&amp;"",""))</f>
        <v/>
      </c>
      <c r="K4398" t="inlineStr">
        <is>
          <t>brand outreach touch 2</t>
        </is>
      </c>
    </row>
    <row r="4399">
      <c r="A4399" s="17">
        <f>IF(B4399="","",B4399+(16*1000+348)/10000000)</f>
        <v/>
      </c>
      <c r="B4399" s="23">
        <f>IF(AND(IFERROR(N(INDEX(Clay_Brands!$A$2:$FZ$601,348,Sync!$D$12)),0)&gt;0,IFERROR(INDEX(Clay_Brands!$A$2:$FZ$601,348,Sync!$D$5)&amp;"","")&lt;&gt;"",OR(LEFT(IFERROR(INDEX(Clay_Brands!$A$2:$FZ$601,348,Sync!$D$5)&amp;"",""),6)&lt;&gt;"SAMPLE",Config!$B$19="Y")),IFERROR(N(INDEX(Clay_Brands!$A$2:$FZ$601,348,Sync!$D$12)),0),"")</f>
        <v/>
      </c>
      <c r="C4399" s="17">
        <f>IF(B4399="","","brand")</f>
        <v/>
      </c>
      <c r="D4399" s="17">
        <f>IF(B4399="","",IFERROR(INDEX(Clay_Brands!$A$2:$FZ$601,348,Sync!$D$5)&amp;"",""))</f>
        <v/>
      </c>
      <c r="E4399" s="17">
        <f>IF(B4399="","",IFERROR(INDEX(Clay_Brands!$A$2:$FZ$601,348,Sync!$D$6)&amp;"",""))</f>
        <v/>
      </c>
      <c r="F4399" s="17">
        <f>IF(B4399="","","outreach_sent")</f>
        <v/>
      </c>
      <c r="G4399" s="17">
        <f>IF(B4399="","","")</f>
        <v/>
      </c>
      <c r="H4399" s="17">
        <f>IF(B4399="","","")</f>
        <v/>
      </c>
      <c r="I4399" s="17">
        <f>IF(B4399="","","")</f>
        <v/>
      </c>
      <c r="J4399" s="17">
        <f>IF(B4399="","","touch_2; "&amp;IFERROR(INDEX(Clay_Brands!$A$2:$FZ$601,348,Sync!$D$10)&amp;"","")&amp;"; "&amp;IFERROR(INDEX(Clay_Brands!$A$2:$FZ$601,348,Sync!$D$9)&amp;"",""))</f>
        <v/>
      </c>
      <c r="K4399" t="inlineStr">
        <is>
          <t>brand outreach touch 2</t>
        </is>
      </c>
    </row>
    <row r="4400">
      <c r="A4400" s="17">
        <f>IF(B4400="","",B4400+(16*1000+349)/10000000)</f>
        <v/>
      </c>
      <c r="B4400" s="23">
        <f>IF(AND(IFERROR(N(INDEX(Clay_Brands!$A$2:$FZ$601,349,Sync!$D$12)),0)&gt;0,IFERROR(INDEX(Clay_Brands!$A$2:$FZ$601,349,Sync!$D$5)&amp;"","")&lt;&gt;"",OR(LEFT(IFERROR(INDEX(Clay_Brands!$A$2:$FZ$601,349,Sync!$D$5)&amp;"",""),6)&lt;&gt;"SAMPLE",Config!$B$19="Y")),IFERROR(N(INDEX(Clay_Brands!$A$2:$FZ$601,349,Sync!$D$12)),0),"")</f>
        <v/>
      </c>
      <c r="C4400" s="17">
        <f>IF(B4400="","","brand")</f>
        <v/>
      </c>
      <c r="D4400" s="17">
        <f>IF(B4400="","",IFERROR(INDEX(Clay_Brands!$A$2:$FZ$601,349,Sync!$D$5)&amp;"",""))</f>
        <v/>
      </c>
      <c r="E4400" s="17">
        <f>IF(B4400="","",IFERROR(INDEX(Clay_Brands!$A$2:$FZ$601,349,Sync!$D$6)&amp;"",""))</f>
        <v/>
      </c>
      <c r="F4400" s="17">
        <f>IF(B4400="","","outreach_sent")</f>
        <v/>
      </c>
      <c r="G4400" s="17">
        <f>IF(B4400="","","")</f>
        <v/>
      </c>
      <c r="H4400" s="17">
        <f>IF(B4400="","","")</f>
        <v/>
      </c>
      <c r="I4400" s="17">
        <f>IF(B4400="","","")</f>
        <v/>
      </c>
      <c r="J4400" s="17">
        <f>IF(B4400="","","touch_2; "&amp;IFERROR(INDEX(Clay_Brands!$A$2:$FZ$601,349,Sync!$D$10)&amp;"","")&amp;"; "&amp;IFERROR(INDEX(Clay_Brands!$A$2:$FZ$601,349,Sync!$D$9)&amp;"",""))</f>
        <v/>
      </c>
      <c r="K4400" t="inlineStr">
        <is>
          <t>brand outreach touch 2</t>
        </is>
      </c>
    </row>
    <row r="4401">
      <c r="A4401" s="17">
        <f>IF(B4401="","",B4401+(16*1000+350)/10000000)</f>
        <v/>
      </c>
      <c r="B4401" s="23">
        <f>IF(AND(IFERROR(N(INDEX(Clay_Brands!$A$2:$FZ$601,350,Sync!$D$12)),0)&gt;0,IFERROR(INDEX(Clay_Brands!$A$2:$FZ$601,350,Sync!$D$5)&amp;"","")&lt;&gt;"",OR(LEFT(IFERROR(INDEX(Clay_Brands!$A$2:$FZ$601,350,Sync!$D$5)&amp;"",""),6)&lt;&gt;"SAMPLE",Config!$B$19="Y")),IFERROR(N(INDEX(Clay_Brands!$A$2:$FZ$601,350,Sync!$D$12)),0),"")</f>
        <v/>
      </c>
      <c r="C4401" s="17">
        <f>IF(B4401="","","brand")</f>
        <v/>
      </c>
      <c r="D4401" s="17">
        <f>IF(B4401="","",IFERROR(INDEX(Clay_Brands!$A$2:$FZ$601,350,Sync!$D$5)&amp;"",""))</f>
        <v/>
      </c>
      <c r="E4401" s="17">
        <f>IF(B4401="","",IFERROR(INDEX(Clay_Brands!$A$2:$FZ$601,350,Sync!$D$6)&amp;"",""))</f>
        <v/>
      </c>
      <c r="F4401" s="17">
        <f>IF(B4401="","","outreach_sent")</f>
        <v/>
      </c>
      <c r="G4401" s="17">
        <f>IF(B4401="","","")</f>
        <v/>
      </c>
      <c r="H4401" s="17">
        <f>IF(B4401="","","")</f>
        <v/>
      </c>
      <c r="I4401" s="17">
        <f>IF(B4401="","","")</f>
        <v/>
      </c>
      <c r="J4401" s="17">
        <f>IF(B4401="","","touch_2; "&amp;IFERROR(INDEX(Clay_Brands!$A$2:$FZ$601,350,Sync!$D$10)&amp;"","")&amp;"; "&amp;IFERROR(INDEX(Clay_Brands!$A$2:$FZ$601,350,Sync!$D$9)&amp;"",""))</f>
        <v/>
      </c>
      <c r="K4401" t="inlineStr">
        <is>
          <t>brand outreach touch 2</t>
        </is>
      </c>
    </row>
    <row r="4402">
      <c r="A4402" s="17">
        <f>IF(B4402="","",B4402+(16*1000+351)/10000000)</f>
        <v/>
      </c>
      <c r="B4402" s="23">
        <f>IF(AND(IFERROR(N(INDEX(Clay_Brands!$A$2:$FZ$601,351,Sync!$D$12)),0)&gt;0,IFERROR(INDEX(Clay_Brands!$A$2:$FZ$601,351,Sync!$D$5)&amp;"","")&lt;&gt;"",OR(LEFT(IFERROR(INDEX(Clay_Brands!$A$2:$FZ$601,351,Sync!$D$5)&amp;"",""),6)&lt;&gt;"SAMPLE",Config!$B$19="Y")),IFERROR(N(INDEX(Clay_Brands!$A$2:$FZ$601,351,Sync!$D$12)),0),"")</f>
        <v/>
      </c>
      <c r="C4402" s="17">
        <f>IF(B4402="","","brand")</f>
        <v/>
      </c>
      <c r="D4402" s="17">
        <f>IF(B4402="","",IFERROR(INDEX(Clay_Brands!$A$2:$FZ$601,351,Sync!$D$5)&amp;"",""))</f>
        <v/>
      </c>
      <c r="E4402" s="17">
        <f>IF(B4402="","",IFERROR(INDEX(Clay_Brands!$A$2:$FZ$601,351,Sync!$D$6)&amp;"",""))</f>
        <v/>
      </c>
      <c r="F4402" s="17">
        <f>IF(B4402="","","outreach_sent")</f>
        <v/>
      </c>
      <c r="G4402" s="17">
        <f>IF(B4402="","","")</f>
        <v/>
      </c>
      <c r="H4402" s="17">
        <f>IF(B4402="","","")</f>
        <v/>
      </c>
      <c r="I4402" s="17">
        <f>IF(B4402="","","")</f>
        <v/>
      </c>
      <c r="J4402" s="17">
        <f>IF(B4402="","","touch_2; "&amp;IFERROR(INDEX(Clay_Brands!$A$2:$FZ$601,351,Sync!$D$10)&amp;"","")&amp;"; "&amp;IFERROR(INDEX(Clay_Brands!$A$2:$FZ$601,351,Sync!$D$9)&amp;"",""))</f>
        <v/>
      </c>
      <c r="K4402" t="inlineStr">
        <is>
          <t>brand outreach touch 2</t>
        </is>
      </c>
    </row>
    <row r="4403">
      <c r="A4403" s="17">
        <f>IF(B4403="","",B4403+(16*1000+352)/10000000)</f>
        <v/>
      </c>
      <c r="B4403" s="23">
        <f>IF(AND(IFERROR(N(INDEX(Clay_Brands!$A$2:$FZ$601,352,Sync!$D$12)),0)&gt;0,IFERROR(INDEX(Clay_Brands!$A$2:$FZ$601,352,Sync!$D$5)&amp;"","")&lt;&gt;"",OR(LEFT(IFERROR(INDEX(Clay_Brands!$A$2:$FZ$601,352,Sync!$D$5)&amp;"",""),6)&lt;&gt;"SAMPLE",Config!$B$19="Y")),IFERROR(N(INDEX(Clay_Brands!$A$2:$FZ$601,352,Sync!$D$12)),0),"")</f>
        <v/>
      </c>
      <c r="C4403" s="17">
        <f>IF(B4403="","","brand")</f>
        <v/>
      </c>
      <c r="D4403" s="17">
        <f>IF(B4403="","",IFERROR(INDEX(Clay_Brands!$A$2:$FZ$601,352,Sync!$D$5)&amp;"",""))</f>
        <v/>
      </c>
      <c r="E4403" s="17">
        <f>IF(B4403="","",IFERROR(INDEX(Clay_Brands!$A$2:$FZ$601,352,Sync!$D$6)&amp;"",""))</f>
        <v/>
      </c>
      <c r="F4403" s="17">
        <f>IF(B4403="","","outreach_sent")</f>
        <v/>
      </c>
      <c r="G4403" s="17">
        <f>IF(B4403="","","")</f>
        <v/>
      </c>
      <c r="H4403" s="17">
        <f>IF(B4403="","","")</f>
        <v/>
      </c>
      <c r="I4403" s="17">
        <f>IF(B4403="","","")</f>
        <v/>
      </c>
      <c r="J4403" s="17">
        <f>IF(B4403="","","touch_2; "&amp;IFERROR(INDEX(Clay_Brands!$A$2:$FZ$601,352,Sync!$D$10)&amp;"","")&amp;"; "&amp;IFERROR(INDEX(Clay_Brands!$A$2:$FZ$601,352,Sync!$D$9)&amp;"",""))</f>
        <v/>
      </c>
      <c r="K4403" t="inlineStr">
        <is>
          <t>brand outreach touch 2</t>
        </is>
      </c>
    </row>
    <row r="4404">
      <c r="A4404" s="17">
        <f>IF(B4404="","",B4404+(16*1000+353)/10000000)</f>
        <v/>
      </c>
      <c r="B4404" s="23">
        <f>IF(AND(IFERROR(N(INDEX(Clay_Brands!$A$2:$FZ$601,353,Sync!$D$12)),0)&gt;0,IFERROR(INDEX(Clay_Brands!$A$2:$FZ$601,353,Sync!$D$5)&amp;"","")&lt;&gt;"",OR(LEFT(IFERROR(INDEX(Clay_Brands!$A$2:$FZ$601,353,Sync!$D$5)&amp;"",""),6)&lt;&gt;"SAMPLE",Config!$B$19="Y")),IFERROR(N(INDEX(Clay_Brands!$A$2:$FZ$601,353,Sync!$D$12)),0),"")</f>
        <v/>
      </c>
      <c r="C4404" s="17">
        <f>IF(B4404="","","brand")</f>
        <v/>
      </c>
      <c r="D4404" s="17">
        <f>IF(B4404="","",IFERROR(INDEX(Clay_Brands!$A$2:$FZ$601,353,Sync!$D$5)&amp;"",""))</f>
        <v/>
      </c>
      <c r="E4404" s="17">
        <f>IF(B4404="","",IFERROR(INDEX(Clay_Brands!$A$2:$FZ$601,353,Sync!$D$6)&amp;"",""))</f>
        <v/>
      </c>
      <c r="F4404" s="17">
        <f>IF(B4404="","","outreach_sent")</f>
        <v/>
      </c>
      <c r="G4404" s="17">
        <f>IF(B4404="","","")</f>
        <v/>
      </c>
      <c r="H4404" s="17">
        <f>IF(B4404="","","")</f>
        <v/>
      </c>
      <c r="I4404" s="17">
        <f>IF(B4404="","","")</f>
        <v/>
      </c>
      <c r="J4404" s="17">
        <f>IF(B4404="","","touch_2; "&amp;IFERROR(INDEX(Clay_Brands!$A$2:$FZ$601,353,Sync!$D$10)&amp;"","")&amp;"; "&amp;IFERROR(INDEX(Clay_Brands!$A$2:$FZ$601,353,Sync!$D$9)&amp;"",""))</f>
        <v/>
      </c>
      <c r="K4404" t="inlineStr">
        <is>
          <t>brand outreach touch 2</t>
        </is>
      </c>
    </row>
    <row r="4405">
      <c r="A4405" s="17">
        <f>IF(B4405="","",B4405+(16*1000+354)/10000000)</f>
        <v/>
      </c>
      <c r="B4405" s="23">
        <f>IF(AND(IFERROR(N(INDEX(Clay_Brands!$A$2:$FZ$601,354,Sync!$D$12)),0)&gt;0,IFERROR(INDEX(Clay_Brands!$A$2:$FZ$601,354,Sync!$D$5)&amp;"","")&lt;&gt;"",OR(LEFT(IFERROR(INDEX(Clay_Brands!$A$2:$FZ$601,354,Sync!$D$5)&amp;"",""),6)&lt;&gt;"SAMPLE",Config!$B$19="Y")),IFERROR(N(INDEX(Clay_Brands!$A$2:$FZ$601,354,Sync!$D$12)),0),"")</f>
        <v/>
      </c>
      <c r="C4405" s="17">
        <f>IF(B4405="","","brand")</f>
        <v/>
      </c>
      <c r="D4405" s="17">
        <f>IF(B4405="","",IFERROR(INDEX(Clay_Brands!$A$2:$FZ$601,354,Sync!$D$5)&amp;"",""))</f>
        <v/>
      </c>
      <c r="E4405" s="17">
        <f>IF(B4405="","",IFERROR(INDEX(Clay_Brands!$A$2:$FZ$601,354,Sync!$D$6)&amp;"",""))</f>
        <v/>
      </c>
      <c r="F4405" s="17">
        <f>IF(B4405="","","outreach_sent")</f>
        <v/>
      </c>
      <c r="G4405" s="17">
        <f>IF(B4405="","","")</f>
        <v/>
      </c>
      <c r="H4405" s="17">
        <f>IF(B4405="","","")</f>
        <v/>
      </c>
      <c r="I4405" s="17">
        <f>IF(B4405="","","")</f>
        <v/>
      </c>
      <c r="J4405" s="17">
        <f>IF(B4405="","","touch_2; "&amp;IFERROR(INDEX(Clay_Brands!$A$2:$FZ$601,354,Sync!$D$10)&amp;"","")&amp;"; "&amp;IFERROR(INDEX(Clay_Brands!$A$2:$FZ$601,354,Sync!$D$9)&amp;"",""))</f>
        <v/>
      </c>
      <c r="K4405" t="inlineStr">
        <is>
          <t>brand outreach touch 2</t>
        </is>
      </c>
    </row>
    <row r="4406">
      <c r="A4406" s="17">
        <f>IF(B4406="","",B4406+(16*1000+355)/10000000)</f>
        <v/>
      </c>
      <c r="B4406" s="23">
        <f>IF(AND(IFERROR(N(INDEX(Clay_Brands!$A$2:$FZ$601,355,Sync!$D$12)),0)&gt;0,IFERROR(INDEX(Clay_Brands!$A$2:$FZ$601,355,Sync!$D$5)&amp;"","")&lt;&gt;"",OR(LEFT(IFERROR(INDEX(Clay_Brands!$A$2:$FZ$601,355,Sync!$D$5)&amp;"",""),6)&lt;&gt;"SAMPLE",Config!$B$19="Y")),IFERROR(N(INDEX(Clay_Brands!$A$2:$FZ$601,355,Sync!$D$12)),0),"")</f>
        <v/>
      </c>
      <c r="C4406" s="17">
        <f>IF(B4406="","","brand")</f>
        <v/>
      </c>
      <c r="D4406" s="17">
        <f>IF(B4406="","",IFERROR(INDEX(Clay_Brands!$A$2:$FZ$601,355,Sync!$D$5)&amp;"",""))</f>
        <v/>
      </c>
      <c r="E4406" s="17">
        <f>IF(B4406="","",IFERROR(INDEX(Clay_Brands!$A$2:$FZ$601,355,Sync!$D$6)&amp;"",""))</f>
        <v/>
      </c>
      <c r="F4406" s="17">
        <f>IF(B4406="","","outreach_sent")</f>
        <v/>
      </c>
      <c r="G4406" s="17">
        <f>IF(B4406="","","")</f>
        <v/>
      </c>
      <c r="H4406" s="17">
        <f>IF(B4406="","","")</f>
        <v/>
      </c>
      <c r="I4406" s="17">
        <f>IF(B4406="","","")</f>
        <v/>
      </c>
      <c r="J4406" s="17">
        <f>IF(B4406="","","touch_2; "&amp;IFERROR(INDEX(Clay_Brands!$A$2:$FZ$601,355,Sync!$D$10)&amp;"","")&amp;"; "&amp;IFERROR(INDEX(Clay_Brands!$A$2:$FZ$601,355,Sync!$D$9)&amp;"",""))</f>
        <v/>
      </c>
      <c r="K4406" t="inlineStr">
        <is>
          <t>brand outreach touch 2</t>
        </is>
      </c>
    </row>
    <row r="4407">
      <c r="A4407" s="17">
        <f>IF(B4407="","",B4407+(16*1000+356)/10000000)</f>
        <v/>
      </c>
      <c r="B4407" s="23">
        <f>IF(AND(IFERROR(N(INDEX(Clay_Brands!$A$2:$FZ$601,356,Sync!$D$12)),0)&gt;0,IFERROR(INDEX(Clay_Brands!$A$2:$FZ$601,356,Sync!$D$5)&amp;"","")&lt;&gt;"",OR(LEFT(IFERROR(INDEX(Clay_Brands!$A$2:$FZ$601,356,Sync!$D$5)&amp;"",""),6)&lt;&gt;"SAMPLE",Config!$B$19="Y")),IFERROR(N(INDEX(Clay_Brands!$A$2:$FZ$601,356,Sync!$D$12)),0),"")</f>
        <v/>
      </c>
      <c r="C4407" s="17">
        <f>IF(B4407="","","brand")</f>
        <v/>
      </c>
      <c r="D4407" s="17">
        <f>IF(B4407="","",IFERROR(INDEX(Clay_Brands!$A$2:$FZ$601,356,Sync!$D$5)&amp;"",""))</f>
        <v/>
      </c>
      <c r="E4407" s="17">
        <f>IF(B4407="","",IFERROR(INDEX(Clay_Brands!$A$2:$FZ$601,356,Sync!$D$6)&amp;"",""))</f>
        <v/>
      </c>
      <c r="F4407" s="17">
        <f>IF(B4407="","","outreach_sent")</f>
        <v/>
      </c>
      <c r="G4407" s="17">
        <f>IF(B4407="","","")</f>
        <v/>
      </c>
      <c r="H4407" s="17">
        <f>IF(B4407="","","")</f>
        <v/>
      </c>
      <c r="I4407" s="17">
        <f>IF(B4407="","","")</f>
        <v/>
      </c>
      <c r="J4407" s="17">
        <f>IF(B4407="","","touch_2; "&amp;IFERROR(INDEX(Clay_Brands!$A$2:$FZ$601,356,Sync!$D$10)&amp;"","")&amp;"; "&amp;IFERROR(INDEX(Clay_Brands!$A$2:$FZ$601,356,Sync!$D$9)&amp;"",""))</f>
        <v/>
      </c>
      <c r="K4407" t="inlineStr">
        <is>
          <t>brand outreach touch 2</t>
        </is>
      </c>
    </row>
    <row r="4408">
      <c r="A4408" s="17">
        <f>IF(B4408="","",B4408+(16*1000+357)/10000000)</f>
        <v/>
      </c>
      <c r="B4408" s="23">
        <f>IF(AND(IFERROR(N(INDEX(Clay_Brands!$A$2:$FZ$601,357,Sync!$D$12)),0)&gt;0,IFERROR(INDEX(Clay_Brands!$A$2:$FZ$601,357,Sync!$D$5)&amp;"","")&lt;&gt;"",OR(LEFT(IFERROR(INDEX(Clay_Brands!$A$2:$FZ$601,357,Sync!$D$5)&amp;"",""),6)&lt;&gt;"SAMPLE",Config!$B$19="Y")),IFERROR(N(INDEX(Clay_Brands!$A$2:$FZ$601,357,Sync!$D$12)),0),"")</f>
        <v/>
      </c>
      <c r="C4408" s="17">
        <f>IF(B4408="","","brand")</f>
        <v/>
      </c>
      <c r="D4408" s="17">
        <f>IF(B4408="","",IFERROR(INDEX(Clay_Brands!$A$2:$FZ$601,357,Sync!$D$5)&amp;"",""))</f>
        <v/>
      </c>
      <c r="E4408" s="17">
        <f>IF(B4408="","",IFERROR(INDEX(Clay_Brands!$A$2:$FZ$601,357,Sync!$D$6)&amp;"",""))</f>
        <v/>
      </c>
      <c r="F4408" s="17">
        <f>IF(B4408="","","outreach_sent")</f>
        <v/>
      </c>
      <c r="G4408" s="17">
        <f>IF(B4408="","","")</f>
        <v/>
      </c>
      <c r="H4408" s="17">
        <f>IF(B4408="","","")</f>
        <v/>
      </c>
      <c r="I4408" s="17">
        <f>IF(B4408="","","")</f>
        <v/>
      </c>
      <c r="J4408" s="17">
        <f>IF(B4408="","","touch_2; "&amp;IFERROR(INDEX(Clay_Brands!$A$2:$FZ$601,357,Sync!$D$10)&amp;"","")&amp;"; "&amp;IFERROR(INDEX(Clay_Brands!$A$2:$FZ$601,357,Sync!$D$9)&amp;"",""))</f>
        <v/>
      </c>
      <c r="K4408" t="inlineStr">
        <is>
          <t>brand outreach touch 2</t>
        </is>
      </c>
    </row>
    <row r="4409">
      <c r="A4409" s="17">
        <f>IF(B4409="","",B4409+(16*1000+358)/10000000)</f>
        <v/>
      </c>
      <c r="B4409" s="23">
        <f>IF(AND(IFERROR(N(INDEX(Clay_Brands!$A$2:$FZ$601,358,Sync!$D$12)),0)&gt;0,IFERROR(INDEX(Clay_Brands!$A$2:$FZ$601,358,Sync!$D$5)&amp;"","")&lt;&gt;"",OR(LEFT(IFERROR(INDEX(Clay_Brands!$A$2:$FZ$601,358,Sync!$D$5)&amp;"",""),6)&lt;&gt;"SAMPLE",Config!$B$19="Y")),IFERROR(N(INDEX(Clay_Brands!$A$2:$FZ$601,358,Sync!$D$12)),0),"")</f>
        <v/>
      </c>
      <c r="C4409" s="17">
        <f>IF(B4409="","","brand")</f>
        <v/>
      </c>
      <c r="D4409" s="17">
        <f>IF(B4409="","",IFERROR(INDEX(Clay_Brands!$A$2:$FZ$601,358,Sync!$D$5)&amp;"",""))</f>
        <v/>
      </c>
      <c r="E4409" s="17">
        <f>IF(B4409="","",IFERROR(INDEX(Clay_Brands!$A$2:$FZ$601,358,Sync!$D$6)&amp;"",""))</f>
        <v/>
      </c>
      <c r="F4409" s="17">
        <f>IF(B4409="","","outreach_sent")</f>
        <v/>
      </c>
      <c r="G4409" s="17">
        <f>IF(B4409="","","")</f>
        <v/>
      </c>
      <c r="H4409" s="17">
        <f>IF(B4409="","","")</f>
        <v/>
      </c>
      <c r="I4409" s="17">
        <f>IF(B4409="","","")</f>
        <v/>
      </c>
      <c r="J4409" s="17">
        <f>IF(B4409="","","touch_2; "&amp;IFERROR(INDEX(Clay_Brands!$A$2:$FZ$601,358,Sync!$D$10)&amp;"","")&amp;"; "&amp;IFERROR(INDEX(Clay_Brands!$A$2:$FZ$601,358,Sync!$D$9)&amp;"",""))</f>
        <v/>
      </c>
      <c r="K4409" t="inlineStr">
        <is>
          <t>brand outreach touch 2</t>
        </is>
      </c>
    </row>
    <row r="4410">
      <c r="A4410" s="17">
        <f>IF(B4410="","",B4410+(16*1000+359)/10000000)</f>
        <v/>
      </c>
      <c r="B4410" s="23">
        <f>IF(AND(IFERROR(N(INDEX(Clay_Brands!$A$2:$FZ$601,359,Sync!$D$12)),0)&gt;0,IFERROR(INDEX(Clay_Brands!$A$2:$FZ$601,359,Sync!$D$5)&amp;"","")&lt;&gt;"",OR(LEFT(IFERROR(INDEX(Clay_Brands!$A$2:$FZ$601,359,Sync!$D$5)&amp;"",""),6)&lt;&gt;"SAMPLE",Config!$B$19="Y")),IFERROR(N(INDEX(Clay_Brands!$A$2:$FZ$601,359,Sync!$D$12)),0),"")</f>
        <v/>
      </c>
      <c r="C4410" s="17">
        <f>IF(B4410="","","brand")</f>
        <v/>
      </c>
      <c r="D4410" s="17">
        <f>IF(B4410="","",IFERROR(INDEX(Clay_Brands!$A$2:$FZ$601,359,Sync!$D$5)&amp;"",""))</f>
        <v/>
      </c>
      <c r="E4410" s="17">
        <f>IF(B4410="","",IFERROR(INDEX(Clay_Brands!$A$2:$FZ$601,359,Sync!$D$6)&amp;"",""))</f>
        <v/>
      </c>
      <c r="F4410" s="17">
        <f>IF(B4410="","","outreach_sent")</f>
        <v/>
      </c>
      <c r="G4410" s="17">
        <f>IF(B4410="","","")</f>
        <v/>
      </c>
      <c r="H4410" s="17">
        <f>IF(B4410="","","")</f>
        <v/>
      </c>
      <c r="I4410" s="17">
        <f>IF(B4410="","","")</f>
        <v/>
      </c>
      <c r="J4410" s="17">
        <f>IF(B4410="","","touch_2; "&amp;IFERROR(INDEX(Clay_Brands!$A$2:$FZ$601,359,Sync!$D$10)&amp;"","")&amp;"; "&amp;IFERROR(INDEX(Clay_Brands!$A$2:$FZ$601,359,Sync!$D$9)&amp;"",""))</f>
        <v/>
      </c>
      <c r="K4410" t="inlineStr">
        <is>
          <t>brand outreach touch 2</t>
        </is>
      </c>
    </row>
    <row r="4411">
      <c r="A4411" s="17">
        <f>IF(B4411="","",B4411+(16*1000+360)/10000000)</f>
        <v/>
      </c>
      <c r="B4411" s="23">
        <f>IF(AND(IFERROR(N(INDEX(Clay_Brands!$A$2:$FZ$601,360,Sync!$D$12)),0)&gt;0,IFERROR(INDEX(Clay_Brands!$A$2:$FZ$601,360,Sync!$D$5)&amp;"","")&lt;&gt;"",OR(LEFT(IFERROR(INDEX(Clay_Brands!$A$2:$FZ$601,360,Sync!$D$5)&amp;"",""),6)&lt;&gt;"SAMPLE",Config!$B$19="Y")),IFERROR(N(INDEX(Clay_Brands!$A$2:$FZ$601,360,Sync!$D$12)),0),"")</f>
        <v/>
      </c>
      <c r="C4411" s="17">
        <f>IF(B4411="","","brand")</f>
        <v/>
      </c>
      <c r="D4411" s="17">
        <f>IF(B4411="","",IFERROR(INDEX(Clay_Brands!$A$2:$FZ$601,360,Sync!$D$5)&amp;"",""))</f>
        <v/>
      </c>
      <c r="E4411" s="17">
        <f>IF(B4411="","",IFERROR(INDEX(Clay_Brands!$A$2:$FZ$601,360,Sync!$D$6)&amp;"",""))</f>
        <v/>
      </c>
      <c r="F4411" s="17">
        <f>IF(B4411="","","outreach_sent")</f>
        <v/>
      </c>
      <c r="G4411" s="17">
        <f>IF(B4411="","","")</f>
        <v/>
      </c>
      <c r="H4411" s="17">
        <f>IF(B4411="","","")</f>
        <v/>
      </c>
      <c r="I4411" s="17">
        <f>IF(B4411="","","")</f>
        <v/>
      </c>
      <c r="J4411" s="17">
        <f>IF(B4411="","","touch_2; "&amp;IFERROR(INDEX(Clay_Brands!$A$2:$FZ$601,360,Sync!$D$10)&amp;"","")&amp;"; "&amp;IFERROR(INDEX(Clay_Brands!$A$2:$FZ$601,360,Sync!$D$9)&amp;"",""))</f>
        <v/>
      </c>
      <c r="K4411" t="inlineStr">
        <is>
          <t>brand outreach touch 2</t>
        </is>
      </c>
    </row>
    <row r="4412">
      <c r="A4412" s="17">
        <f>IF(B4412="","",B4412+(16*1000+361)/10000000)</f>
        <v/>
      </c>
      <c r="B4412" s="23">
        <f>IF(AND(IFERROR(N(INDEX(Clay_Brands!$A$2:$FZ$601,361,Sync!$D$12)),0)&gt;0,IFERROR(INDEX(Clay_Brands!$A$2:$FZ$601,361,Sync!$D$5)&amp;"","")&lt;&gt;"",OR(LEFT(IFERROR(INDEX(Clay_Brands!$A$2:$FZ$601,361,Sync!$D$5)&amp;"",""),6)&lt;&gt;"SAMPLE",Config!$B$19="Y")),IFERROR(N(INDEX(Clay_Brands!$A$2:$FZ$601,361,Sync!$D$12)),0),"")</f>
        <v/>
      </c>
      <c r="C4412" s="17">
        <f>IF(B4412="","","brand")</f>
        <v/>
      </c>
      <c r="D4412" s="17">
        <f>IF(B4412="","",IFERROR(INDEX(Clay_Brands!$A$2:$FZ$601,361,Sync!$D$5)&amp;"",""))</f>
        <v/>
      </c>
      <c r="E4412" s="17">
        <f>IF(B4412="","",IFERROR(INDEX(Clay_Brands!$A$2:$FZ$601,361,Sync!$D$6)&amp;"",""))</f>
        <v/>
      </c>
      <c r="F4412" s="17">
        <f>IF(B4412="","","outreach_sent")</f>
        <v/>
      </c>
      <c r="G4412" s="17">
        <f>IF(B4412="","","")</f>
        <v/>
      </c>
      <c r="H4412" s="17">
        <f>IF(B4412="","","")</f>
        <v/>
      </c>
      <c r="I4412" s="17">
        <f>IF(B4412="","","")</f>
        <v/>
      </c>
      <c r="J4412" s="17">
        <f>IF(B4412="","","touch_2; "&amp;IFERROR(INDEX(Clay_Brands!$A$2:$FZ$601,361,Sync!$D$10)&amp;"","")&amp;"; "&amp;IFERROR(INDEX(Clay_Brands!$A$2:$FZ$601,361,Sync!$D$9)&amp;"",""))</f>
        <v/>
      </c>
      <c r="K4412" t="inlineStr">
        <is>
          <t>brand outreach touch 2</t>
        </is>
      </c>
    </row>
    <row r="4413">
      <c r="A4413" s="17">
        <f>IF(B4413="","",B4413+(16*1000+362)/10000000)</f>
        <v/>
      </c>
      <c r="B4413" s="23">
        <f>IF(AND(IFERROR(N(INDEX(Clay_Brands!$A$2:$FZ$601,362,Sync!$D$12)),0)&gt;0,IFERROR(INDEX(Clay_Brands!$A$2:$FZ$601,362,Sync!$D$5)&amp;"","")&lt;&gt;"",OR(LEFT(IFERROR(INDEX(Clay_Brands!$A$2:$FZ$601,362,Sync!$D$5)&amp;"",""),6)&lt;&gt;"SAMPLE",Config!$B$19="Y")),IFERROR(N(INDEX(Clay_Brands!$A$2:$FZ$601,362,Sync!$D$12)),0),"")</f>
        <v/>
      </c>
      <c r="C4413" s="17">
        <f>IF(B4413="","","brand")</f>
        <v/>
      </c>
      <c r="D4413" s="17">
        <f>IF(B4413="","",IFERROR(INDEX(Clay_Brands!$A$2:$FZ$601,362,Sync!$D$5)&amp;"",""))</f>
        <v/>
      </c>
      <c r="E4413" s="17">
        <f>IF(B4413="","",IFERROR(INDEX(Clay_Brands!$A$2:$FZ$601,362,Sync!$D$6)&amp;"",""))</f>
        <v/>
      </c>
      <c r="F4413" s="17">
        <f>IF(B4413="","","outreach_sent")</f>
        <v/>
      </c>
      <c r="G4413" s="17">
        <f>IF(B4413="","","")</f>
        <v/>
      </c>
      <c r="H4413" s="17">
        <f>IF(B4413="","","")</f>
        <v/>
      </c>
      <c r="I4413" s="17">
        <f>IF(B4413="","","")</f>
        <v/>
      </c>
      <c r="J4413" s="17">
        <f>IF(B4413="","","touch_2; "&amp;IFERROR(INDEX(Clay_Brands!$A$2:$FZ$601,362,Sync!$D$10)&amp;"","")&amp;"; "&amp;IFERROR(INDEX(Clay_Brands!$A$2:$FZ$601,362,Sync!$D$9)&amp;"",""))</f>
        <v/>
      </c>
      <c r="K4413" t="inlineStr">
        <is>
          <t>brand outreach touch 2</t>
        </is>
      </c>
    </row>
    <row r="4414">
      <c r="A4414" s="17">
        <f>IF(B4414="","",B4414+(16*1000+363)/10000000)</f>
        <v/>
      </c>
      <c r="B4414" s="23">
        <f>IF(AND(IFERROR(N(INDEX(Clay_Brands!$A$2:$FZ$601,363,Sync!$D$12)),0)&gt;0,IFERROR(INDEX(Clay_Brands!$A$2:$FZ$601,363,Sync!$D$5)&amp;"","")&lt;&gt;"",OR(LEFT(IFERROR(INDEX(Clay_Brands!$A$2:$FZ$601,363,Sync!$D$5)&amp;"",""),6)&lt;&gt;"SAMPLE",Config!$B$19="Y")),IFERROR(N(INDEX(Clay_Brands!$A$2:$FZ$601,363,Sync!$D$12)),0),"")</f>
        <v/>
      </c>
      <c r="C4414" s="17">
        <f>IF(B4414="","","brand")</f>
        <v/>
      </c>
      <c r="D4414" s="17">
        <f>IF(B4414="","",IFERROR(INDEX(Clay_Brands!$A$2:$FZ$601,363,Sync!$D$5)&amp;"",""))</f>
        <v/>
      </c>
      <c r="E4414" s="17">
        <f>IF(B4414="","",IFERROR(INDEX(Clay_Brands!$A$2:$FZ$601,363,Sync!$D$6)&amp;"",""))</f>
        <v/>
      </c>
      <c r="F4414" s="17">
        <f>IF(B4414="","","outreach_sent")</f>
        <v/>
      </c>
      <c r="G4414" s="17">
        <f>IF(B4414="","","")</f>
        <v/>
      </c>
      <c r="H4414" s="17">
        <f>IF(B4414="","","")</f>
        <v/>
      </c>
      <c r="I4414" s="17">
        <f>IF(B4414="","","")</f>
        <v/>
      </c>
      <c r="J4414" s="17">
        <f>IF(B4414="","","touch_2; "&amp;IFERROR(INDEX(Clay_Brands!$A$2:$FZ$601,363,Sync!$D$10)&amp;"","")&amp;"; "&amp;IFERROR(INDEX(Clay_Brands!$A$2:$FZ$601,363,Sync!$D$9)&amp;"",""))</f>
        <v/>
      </c>
      <c r="K4414" t="inlineStr">
        <is>
          <t>brand outreach touch 2</t>
        </is>
      </c>
    </row>
    <row r="4415">
      <c r="A4415" s="17">
        <f>IF(B4415="","",B4415+(16*1000+364)/10000000)</f>
        <v/>
      </c>
      <c r="B4415" s="23">
        <f>IF(AND(IFERROR(N(INDEX(Clay_Brands!$A$2:$FZ$601,364,Sync!$D$12)),0)&gt;0,IFERROR(INDEX(Clay_Brands!$A$2:$FZ$601,364,Sync!$D$5)&amp;"","")&lt;&gt;"",OR(LEFT(IFERROR(INDEX(Clay_Brands!$A$2:$FZ$601,364,Sync!$D$5)&amp;"",""),6)&lt;&gt;"SAMPLE",Config!$B$19="Y")),IFERROR(N(INDEX(Clay_Brands!$A$2:$FZ$601,364,Sync!$D$12)),0),"")</f>
        <v/>
      </c>
      <c r="C4415" s="17">
        <f>IF(B4415="","","brand")</f>
        <v/>
      </c>
      <c r="D4415" s="17">
        <f>IF(B4415="","",IFERROR(INDEX(Clay_Brands!$A$2:$FZ$601,364,Sync!$D$5)&amp;"",""))</f>
        <v/>
      </c>
      <c r="E4415" s="17">
        <f>IF(B4415="","",IFERROR(INDEX(Clay_Brands!$A$2:$FZ$601,364,Sync!$D$6)&amp;"",""))</f>
        <v/>
      </c>
      <c r="F4415" s="17">
        <f>IF(B4415="","","outreach_sent")</f>
        <v/>
      </c>
      <c r="G4415" s="17">
        <f>IF(B4415="","","")</f>
        <v/>
      </c>
      <c r="H4415" s="17">
        <f>IF(B4415="","","")</f>
        <v/>
      </c>
      <c r="I4415" s="17">
        <f>IF(B4415="","","")</f>
        <v/>
      </c>
      <c r="J4415" s="17">
        <f>IF(B4415="","","touch_2; "&amp;IFERROR(INDEX(Clay_Brands!$A$2:$FZ$601,364,Sync!$D$10)&amp;"","")&amp;"; "&amp;IFERROR(INDEX(Clay_Brands!$A$2:$FZ$601,364,Sync!$D$9)&amp;"",""))</f>
        <v/>
      </c>
      <c r="K4415" t="inlineStr">
        <is>
          <t>brand outreach touch 2</t>
        </is>
      </c>
    </row>
    <row r="4416">
      <c r="A4416" s="17">
        <f>IF(B4416="","",B4416+(16*1000+365)/10000000)</f>
        <v/>
      </c>
      <c r="B4416" s="23">
        <f>IF(AND(IFERROR(N(INDEX(Clay_Brands!$A$2:$FZ$601,365,Sync!$D$12)),0)&gt;0,IFERROR(INDEX(Clay_Brands!$A$2:$FZ$601,365,Sync!$D$5)&amp;"","")&lt;&gt;"",OR(LEFT(IFERROR(INDEX(Clay_Brands!$A$2:$FZ$601,365,Sync!$D$5)&amp;"",""),6)&lt;&gt;"SAMPLE",Config!$B$19="Y")),IFERROR(N(INDEX(Clay_Brands!$A$2:$FZ$601,365,Sync!$D$12)),0),"")</f>
        <v/>
      </c>
      <c r="C4416" s="17">
        <f>IF(B4416="","","brand")</f>
        <v/>
      </c>
      <c r="D4416" s="17">
        <f>IF(B4416="","",IFERROR(INDEX(Clay_Brands!$A$2:$FZ$601,365,Sync!$D$5)&amp;"",""))</f>
        <v/>
      </c>
      <c r="E4416" s="17">
        <f>IF(B4416="","",IFERROR(INDEX(Clay_Brands!$A$2:$FZ$601,365,Sync!$D$6)&amp;"",""))</f>
        <v/>
      </c>
      <c r="F4416" s="17">
        <f>IF(B4416="","","outreach_sent")</f>
        <v/>
      </c>
      <c r="G4416" s="17">
        <f>IF(B4416="","","")</f>
        <v/>
      </c>
      <c r="H4416" s="17">
        <f>IF(B4416="","","")</f>
        <v/>
      </c>
      <c r="I4416" s="17">
        <f>IF(B4416="","","")</f>
        <v/>
      </c>
      <c r="J4416" s="17">
        <f>IF(B4416="","","touch_2; "&amp;IFERROR(INDEX(Clay_Brands!$A$2:$FZ$601,365,Sync!$D$10)&amp;"","")&amp;"; "&amp;IFERROR(INDEX(Clay_Brands!$A$2:$FZ$601,365,Sync!$D$9)&amp;"",""))</f>
        <v/>
      </c>
      <c r="K4416" t="inlineStr">
        <is>
          <t>brand outreach touch 2</t>
        </is>
      </c>
    </row>
    <row r="4417">
      <c r="A4417" s="17">
        <f>IF(B4417="","",B4417+(16*1000+366)/10000000)</f>
        <v/>
      </c>
      <c r="B4417" s="23">
        <f>IF(AND(IFERROR(N(INDEX(Clay_Brands!$A$2:$FZ$601,366,Sync!$D$12)),0)&gt;0,IFERROR(INDEX(Clay_Brands!$A$2:$FZ$601,366,Sync!$D$5)&amp;"","")&lt;&gt;"",OR(LEFT(IFERROR(INDEX(Clay_Brands!$A$2:$FZ$601,366,Sync!$D$5)&amp;"",""),6)&lt;&gt;"SAMPLE",Config!$B$19="Y")),IFERROR(N(INDEX(Clay_Brands!$A$2:$FZ$601,366,Sync!$D$12)),0),"")</f>
        <v/>
      </c>
      <c r="C4417" s="17">
        <f>IF(B4417="","","brand")</f>
        <v/>
      </c>
      <c r="D4417" s="17">
        <f>IF(B4417="","",IFERROR(INDEX(Clay_Brands!$A$2:$FZ$601,366,Sync!$D$5)&amp;"",""))</f>
        <v/>
      </c>
      <c r="E4417" s="17">
        <f>IF(B4417="","",IFERROR(INDEX(Clay_Brands!$A$2:$FZ$601,366,Sync!$D$6)&amp;"",""))</f>
        <v/>
      </c>
      <c r="F4417" s="17">
        <f>IF(B4417="","","outreach_sent")</f>
        <v/>
      </c>
      <c r="G4417" s="17">
        <f>IF(B4417="","","")</f>
        <v/>
      </c>
      <c r="H4417" s="17">
        <f>IF(B4417="","","")</f>
        <v/>
      </c>
      <c r="I4417" s="17">
        <f>IF(B4417="","","")</f>
        <v/>
      </c>
      <c r="J4417" s="17">
        <f>IF(B4417="","","touch_2; "&amp;IFERROR(INDEX(Clay_Brands!$A$2:$FZ$601,366,Sync!$D$10)&amp;"","")&amp;"; "&amp;IFERROR(INDEX(Clay_Brands!$A$2:$FZ$601,366,Sync!$D$9)&amp;"",""))</f>
        <v/>
      </c>
      <c r="K4417" t="inlineStr">
        <is>
          <t>brand outreach touch 2</t>
        </is>
      </c>
    </row>
    <row r="4418">
      <c r="A4418" s="17">
        <f>IF(B4418="","",B4418+(16*1000+367)/10000000)</f>
        <v/>
      </c>
      <c r="B4418" s="23">
        <f>IF(AND(IFERROR(N(INDEX(Clay_Brands!$A$2:$FZ$601,367,Sync!$D$12)),0)&gt;0,IFERROR(INDEX(Clay_Brands!$A$2:$FZ$601,367,Sync!$D$5)&amp;"","")&lt;&gt;"",OR(LEFT(IFERROR(INDEX(Clay_Brands!$A$2:$FZ$601,367,Sync!$D$5)&amp;"",""),6)&lt;&gt;"SAMPLE",Config!$B$19="Y")),IFERROR(N(INDEX(Clay_Brands!$A$2:$FZ$601,367,Sync!$D$12)),0),"")</f>
        <v/>
      </c>
      <c r="C4418" s="17">
        <f>IF(B4418="","","brand")</f>
        <v/>
      </c>
      <c r="D4418" s="17">
        <f>IF(B4418="","",IFERROR(INDEX(Clay_Brands!$A$2:$FZ$601,367,Sync!$D$5)&amp;"",""))</f>
        <v/>
      </c>
      <c r="E4418" s="17">
        <f>IF(B4418="","",IFERROR(INDEX(Clay_Brands!$A$2:$FZ$601,367,Sync!$D$6)&amp;"",""))</f>
        <v/>
      </c>
      <c r="F4418" s="17">
        <f>IF(B4418="","","outreach_sent")</f>
        <v/>
      </c>
      <c r="G4418" s="17">
        <f>IF(B4418="","","")</f>
        <v/>
      </c>
      <c r="H4418" s="17">
        <f>IF(B4418="","","")</f>
        <v/>
      </c>
      <c r="I4418" s="17">
        <f>IF(B4418="","","")</f>
        <v/>
      </c>
      <c r="J4418" s="17">
        <f>IF(B4418="","","touch_2; "&amp;IFERROR(INDEX(Clay_Brands!$A$2:$FZ$601,367,Sync!$D$10)&amp;"","")&amp;"; "&amp;IFERROR(INDEX(Clay_Brands!$A$2:$FZ$601,367,Sync!$D$9)&amp;"",""))</f>
        <v/>
      </c>
      <c r="K4418" t="inlineStr">
        <is>
          <t>brand outreach touch 2</t>
        </is>
      </c>
    </row>
    <row r="4419">
      <c r="A4419" s="17">
        <f>IF(B4419="","",B4419+(16*1000+368)/10000000)</f>
        <v/>
      </c>
      <c r="B4419" s="23">
        <f>IF(AND(IFERROR(N(INDEX(Clay_Brands!$A$2:$FZ$601,368,Sync!$D$12)),0)&gt;0,IFERROR(INDEX(Clay_Brands!$A$2:$FZ$601,368,Sync!$D$5)&amp;"","")&lt;&gt;"",OR(LEFT(IFERROR(INDEX(Clay_Brands!$A$2:$FZ$601,368,Sync!$D$5)&amp;"",""),6)&lt;&gt;"SAMPLE",Config!$B$19="Y")),IFERROR(N(INDEX(Clay_Brands!$A$2:$FZ$601,368,Sync!$D$12)),0),"")</f>
        <v/>
      </c>
      <c r="C4419" s="17">
        <f>IF(B4419="","","brand")</f>
        <v/>
      </c>
      <c r="D4419" s="17">
        <f>IF(B4419="","",IFERROR(INDEX(Clay_Brands!$A$2:$FZ$601,368,Sync!$D$5)&amp;"",""))</f>
        <v/>
      </c>
      <c r="E4419" s="17">
        <f>IF(B4419="","",IFERROR(INDEX(Clay_Brands!$A$2:$FZ$601,368,Sync!$D$6)&amp;"",""))</f>
        <v/>
      </c>
      <c r="F4419" s="17">
        <f>IF(B4419="","","outreach_sent")</f>
        <v/>
      </c>
      <c r="G4419" s="17">
        <f>IF(B4419="","","")</f>
        <v/>
      </c>
      <c r="H4419" s="17">
        <f>IF(B4419="","","")</f>
        <v/>
      </c>
      <c r="I4419" s="17">
        <f>IF(B4419="","","")</f>
        <v/>
      </c>
      <c r="J4419" s="17">
        <f>IF(B4419="","","touch_2; "&amp;IFERROR(INDEX(Clay_Brands!$A$2:$FZ$601,368,Sync!$D$10)&amp;"","")&amp;"; "&amp;IFERROR(INDEX(Clay_Brands!$A$2:$FZ$601,368,Sync!$D$9)&amp;"",""))</f>
        <v/>
      </c>
      <c r="K4419" t="inlineStr">
        <is>
          <t>brand outreach touch 2</t>
        </is>
      </c>
    </row>
    <row r="4420">
      <c r="A4420" s="17">
        <f>IF(B4420="","",B4420+(16*1000+369)/10000000)</f>
        <v/>
      </c>
      <c r="B4420" s="23">
        <f>IF(AND(IFERROR(N(INDEX(Clay_Brands!$A$2:$FZ$601,369,Sync!$D$12)),0)&gt;0,IFERROR(INDEX(Clay_Brands!$A$2:$FZ$601,369,Sync!$D$5)&amp;"","")&lt;&gt;"",OR(LEFT(IFERROR(INDEX(Clay_Brands!$A$2:$FZ$601,369,Sync!$D$5)&amp;"",""),6)&lt;&gt;"SAMPLE",Config!$B$19="Y")),IFERROR(N(INDEX(Clay_Brands!$A$2:$FZ$601,369,Sync!$D$12)),0),"")</f>
        <v/>
      </c>
      <c r="C4420" s="17">
        <f>IF(B4420="","","brand")</f>
        <v/>
      </c>
      <c r="D4420" s="17">
        <f>IF(B4420="","",IFERROR(INDEX(Clay_Brands!$A$2:$FZ$601,369,Sync!$D$5)&amp;"",""))</f>
        <v/>
      </c>
      <c r="E4420" s="17">
        <f>IF(B4420="","",IFERROR(INDEX(Clay_Brands!$A$2:$FZ$601,369,Sync!$D$6)&amp;"",""))</f>
        <v/>
      </c>
      <c r="F4420" s="17">
        <f>IF(B4420="","","outreach_sent")</f>
        <v/>
      </c>
      <c r="G4420" s="17">
        <f>IF(B4420="","","")</f>
        <v/>
      </c>
      <c r="H4420" s="17">
        <f>IF(B4420="","","")</f>
        <v/>
      </c>
      <c r="I4420" s="17">
        <f>IF(B4420="","","")</f>
        <v/>
      </c>
      <c r="J4420" s="17">
        <f>IF(B4420="","","touch_2; "&amp;IFERROR(INDEX(Clay_Brands!$A$2:$FZ$601,369,Sync!$D$10)&amp;"","")&amp;"; "&amp;IFERROR(INDEX(Clay_Brands!$A$2:$FZ$601,369,Sync!$D$9)&amp;"",""))</f>
        <v/>
      </c>
      <c r="K4420" t="inlineStr">
        <is>
          <t>brand outreach touch 2</t>
        </is>
      </c>
    </row>
    <row r="4421">
      <c r="A4421" s="17">
        <f>IF(B4421="","",B4421+(16*1000+370)/10000000)</f>
        <v/>
      </c>
      <c r="B4421" s="23">
        <f>IF(AND(IFERROR(N(INDEX(Clay_Brands!$A$2:$FZ$601,370,Sync!$D$12)),0)&gt;0,IFERROR(INDEX(Clay_Brands!$A$2:$FZ$601,370,Sync!$D$5)&amp;"","")&lt;&gt;"",OR(LEFT(IFERROR(INDEX(Clay_Brands!$A$2:$FZ$601,370,Sync!$D$5)&amp;"",""),6)&lt;&gt;"SAMPLE",Config!$B$19="Y")),IFERROR(N(INDEX(Clay_Brands!$A$2:$FZ$601,370,Sync!$D$12)),0),"")</f>
        <v/>
      </c>
      <c r="C4421" s="17">
        <f>IF(B4421="","","brand")</f>
        <v/>
      </c>
      <c r="D4421" s="17">
        <f>IF(B4421="","",IFERROR(INDEX(Clay_Brands!$A$2:$FZ$601,370,Sync!$D$5)&amp;"",""))</f>
        <v/>
      </c>
      <c r="E4421" s="17">
        <f>IF(B4421="","",IFERROR(INDEX(Clay_Brands!$A$2:$FZ$601,370,Sync!$D$6)&amp;"",""))</f>
        <v/>
      </c>
      <c r="F4421" s="17">
        <f>IF(B4421="","","outreach_sent")</f>
        <v/>
      </c>
      <c r="G4421" s="17">
        <f>IF(B4421="","","")</f>
        <v/>
      </c>
      <c r="H4421" s="17">
        <f>IF(B4421="","","")</f>
        <v/>
      </c>
      <c r="I4421" s="17">
        <f>IF(B4421="","","")</f>
        <v/>
      </c>
      <c r="J4421" s="17">
        <f>IF(B4421="","","touch_2; "&amp;IFERROR(INDEX(Clay_Brands!$A$2:$FZ$601,370,Sync!$D$10)&amp;"","")&amp;"; "&amp;IFERROR(INDEX(Clay_Brands!$A$2:$FZ$601,370,Sync!$D$9)&amp;"",""))</f>
        <v/>
      </c>
      <c r="K4421" t="inlineStr">
        <is>
          <t>brand outreach touch 2</t>
        </is>
      </c>
    </row>
    <row r="4422">
      <c r="A4422" s="17">
        <f>IF(B4422="","",B4422+(16*1000+371)/10000000)</f>
        <v/>
      </c>
      <c r="B4422" s="23">
        <f>IF(AND(IFERROR(N(INDEX(Clay_Brands!$A$2:$FZ$601,371,Sync!$D$12)),0)&gt;0,IFERROR(INDEX(Clay_Brands!$A$2:$FZ$601,371,Sync!$D$5)&amp;"","")&lt;&gt;"",OR(LEFT(IFERROR(INDEX(Clay_Brands!$A$2:$FZ$601,371,Sync!$D$5)&amp;"",""),6)&lt;&gt;"SAMPLE",Config!$B$19="Y")),IFERROR(N(INDEX(Clay_Brands!$A$2:$FZ$601,371,Sync!$D$12)),0),"")</f>
        <v/>
      </c>
      <c r="C4422" s="17">
        <f>IF(B4422="","","brand")</f>
        <v/>
      </c>
      <c r="D4422" s="17">
        <f>IF(B4422="","",IFERROR(INDEX(Clay_Brands!$A$2:$FZ$601,371,Sync!$D$5)&amp;"",""))</f>
        <v/>
      </c>
      <c r="E4422" s="17">
        <f>IF(B4422="","",IFERROR(INDEX(Clay_Brands!$A$2:$FZ$601,371,Sync!$D$6)&amp;"",""))</f>
        <v/>
      </c>
      <c r="F4422" s="17">
        <f>IF(B4422="","","outreach_sent")</f>
        <v/>
      </c>
      <c r="G4422" s="17">
        <f>IF(B4422="","","")</f>
        <v/>
      </c>
      <c r="H4422" s="17">
        <f>IF(B4422="","","")</f>
        <v/>
      </c>
      <c r="I4422" s="17">
        <f>IF(B4422="","","")</f>
        <v/>
      </c>
      <c r="J4422" s="17">
        <f>IF(B4422="","","touch_2; "&amp;IFERROR(INDEX(Clay_Brands!$A$2:$FZ$601,371,Sync!$D$10)&amp;"","")&amp;"; "&amp;IFERROR(INDEX(Clay_Brands!$A$2:$FZ$601,371,Sync!$D$9)&amp;"",""))</f>
        <v/>
      </c>
      <c r="K4422" t="inlineStr">
        <is>
          <t>brand outreach touch 2</t>
        </is>
      </c>
    </row>
    <row r="4423">
      <c r="A4423" s="17">
        <f>IF(B4423="","",B4423+(16*1000+372)/10000000)</f>
        <v/>
      </c>
      <c r="B4423" s="23">
        <f>IF(AND(IFERROR(N(INDEX(Clay_Brands!$A$2:$FZ$601,372,Sync!$D$12)),0)&gt;0,IFERROR(INDEX(Clay_Brands!$A$2:$FZ$601,372,Sync!$D$5)&amp;"","")&lt;&gt;"",OR(LEFT(IFERROR(INDEX(Clay_Brands!$A$2:$FZ$601,372,Sync!$D$5)&amp;"",""),6)&lt;&gt;"SAMPLE",Config!$B$19="Y")),IFERROR(N(INDEX(Clay_Brands!$A$2:$FZ$601,372,Sync!$D$12)),0),"")</f>
        <v/>
      </c>
      <c r="C4423" s="17">
        <f>IF(B4423="","","brand")</f>
        <v/>
      </c>
      <c r="D4423" s="17">
        <f>IF(B4423="","",IFERROR(INDEX(Clay_Brands!$A$2:$FZ$601,372,Sync!$D$5)&amp;"",""))</f>
        <v/>
      </c>
      <c r="E4423" s="17">
        <f>IF(B4423="","",IFERROR(INDEX(Clay_Brands!$A$2:$FZ$601,372,Sync!$D$6)&amp;"",""))</f>
        <v/>
      </c>
      <c r="F4423" s="17">
        <f>IF(B4423="","","outreach_sent")</f>
        <v/>
      </c>
      <c r="G4423" s="17">
        <f>IF(B4423="","","")</f>
        <v/>
      </c>
      <c r="H4423" s="17">
        <f>IF(B4423="","","")</f>
        <v/>
      </c>
      <c r="I4423" s="17">
        <f>IF(B4423="","","")</f>
        <v/>
      </c>
      <c r="J4423" s="17">
        <f>IF(B4423="","","touch_2; "&amp;IFERROR(INDEX(Clay_Brands!$A$2:$FZ$601,372,Sync!$D$10)&amp;"","")&amp;"; "&amp;IFERROR(INDEX(Clay_Brands!$A$2:$FZ$601,372,Sync!$D$9)&amp;"",""))</f>
        <v/>
      </c>
      <c r="K4423" t="inlineStr">
        <is>
          <t>brand outreach touch 2</t>
        </is>
      </c>
    </row>
    <row r="4424">
      <c r="A4424" s="17">
        <f>IF(B4424="","",B4424+(16*1000+373)/10000000)</f>
        <v/>
      </c>
      <c r="B4424" s="23">
        <f>IF(AND(IFERROR(N(INDEX(Clay_Brands!$A$2:$FZ$601,373,Sync!$D$12)),0)&gt;0,IFERROR(INDEX(Clay_Brands!$A$2:$FZ$601,373,Sync!$D$5)&amp;"","")&lt;&gt;"",OR(LEFT(IFERROR(INDEX(Clay_Brands!$A$2:$FZ$601,373,Sync!$D$5)&amp;"",""),6)&lt;&gt;"SAMPLE",Config!$B$19="Y")),IFERROR(N(INDEX(Clay_Brands!$A$2:$FZ$601,373,Sync!$D$12)),0),"")</f>
        <v/>
      </c>
      <c r="C4424" s="17">
        <f>IF(B4424="","","brand")</f>
        <v/>
      </c>
      <c r="D4424" s="17">
        <f>IF(B4424="","",IFERROR(INDEX(Clay_Brands!$A$2:$FZ$601,373,Sync!$D$5)&amp;"",""))</f>
        <v/>
      </c>
      <c r="E4424" s="17">
        <f>IF(B4424="","",IFERROR(INDEX(Clay_Brands!$A$2:$FZ$601,373,Sync!$D$6)&amp;"",""))</f>
        <v/>
      </c>
      <c r="F4424" s="17">
        <f>IF(B4424="","","outreach_sent")</f>
        <v/>
      </c>
      <c r="G4424" s="17">
        <f>IF(B4424="","","")</f>
        <v/>
      </c>
      <c r="H4424" s="17">
        <f>IF(B4424="","","")</f>
        <v/>
      </c>
      <c r="I4424" s="17">
        <f>IF(B4424="","","")</f>
        <v/>
      </c>
      <c r="J4424" s="17">
        <f>IF(B4424="","","touch_2; "&amp;IFERROR(INDEX(Clay_Brands!$A$2:$FZ$601,373,Sync!$D$10)&amp;"","")&amp;"; "&amp;IFERROR(INDEX(Clay_Brands!$A$2:$FZ$601,373,Sync!$D$9)&amp;"",""))</f>
        <v/>
      </c>
      <c r="K4424" t="inlineStr">
        <is>
          <t>brand outreach touch 2</t>
        </is>
      </c>
    </row>
    <row r="4425">
      <c r="A4425" s="17">
        <f>IF(B4425="","",B4425+(16*1000+374)/10000000)</f>
        <v/>
      </c>
      <c r="B4425" s="23">
        <f>IF(AND(IFERROR(N(INDEX(Clay_Brands!$A$2:$FZ$601,374,Sync!$D$12)),0)&gt;0,IFERROR(INDEX(Clay_Brands!$A$2:$FZ$601,374,Sync!$D$5)&amp;"","")&lt;&gt;"",OR(LEFT(IFERROR(INDEX(Clay_Brands!$A$2:$FZ$601,374,Sync!$D$5)&amp;"",""),6)&lt;&gt;"SAMPLE",Config!$B$19="Y")),IFERROR(N(INDEX(Clay_Brands!$A$2:$FZ$601,374,Sync!$D$12)),0),"")</f>
        <v/>
      </c>
      <c r="C4425" s="17">
        <f>IF(B4425="","","brand")</f>
        <v/>
      </c>
      <c r="D4425" s="17">
        <f>IF(B4425="","",IFERROR(INDEX(Clay_Brands!$A$2:$FZ$601,374,Sync!$D$5)&amp;"",""))</f>
        <v/>
      </c>
      <c r="E4425" s="17">
        <f>IF(B4425="","",IFERROR(INDEX(Clay_Brands!$A$2:$FZ$601,374,Sync!$D$6)&amp;"",""))</f>
        <v/>
      </c>
      <c r="F4425" s="17">
        <f>IF(B4425="","","outreach_sent")</f>
        <v/>
      </c>
      <c r="G4425" s="17">
        <f>IF(B4425="","","")</f>
        <v/>
      </c>
      <c r="H4425" s="17">
        <f>IF(B4425="","","")</f>
        <v/>
      </c>
      <c r="I4425" s="17">
        <f>IF(B4425="","","")</f>
        <v/>
      </c>
      <c r="J4425" s="17">
        <f>IF(B4425="","","touch_2; "&amp;IFERROR(INDEX(Clay_Brands!$A$2:$FZ$601,374,Sync!$D$10)&amp;"","")&amp;"; "&amp;IFERROR(INDEX(Clay_Brands!$A$2:$FZ$601,374,Sync!$D$9)&amp;"",""))</f>
        <v/>
      </c>
      <c r="K4425" t="inlineStr">
        <is>
          <t>brand outreach touch 2</t>
        </is>
      </c>
    </row>
    <row r="4426">
      <c r="A4426" s="17">
        <f>IF(B4426="","",B4426+(16*1000+375)/10000000)</f>
        <v/>
      </c>
      <c r="B4426" s="23">
        <f>IF(AND(IFERROR(N(INDEX(Clay_Brands!$A$2:$FZ$601,375,Sync!$D$12)),0)&gt;0,IFERROR(INDEX(Clay_Brands!$A$2:$FZ$601,375,Sync!$D$5)&amp;"","")&lt;&gt;"",OR(LEFT(IFERROR(INDEX(Clay_Brands!$A$2:$FZ$601,375,Sync!$D$5)&amp;"",""),6)&lt;&gt;"SAMPLE",Config!$B$19="Y")),IFERROR(N(INDEX(Clay_Brands!$A$2:$FZ$601,375,Sync!$D$12)),0),"")</f>
        <v/>
      </c>
      <c r="C4426" s="17">
        <f>IF(B4426="","","brand")</f>
        <v/>
      </c>
      <c r="D4426" s="17">
        <f>IF(B4426="","",IFERROR(INDEX(Clay_Brands!$A$2:$FZ$601,375,Sync!$D$5)&amp;"",""))</f>
        <v/>
      </c>
      <c r="E4426" s="17">
        <f>IF(B4426="","",IFERROR(INDEX(Clay_Brands!$A$2:$FZ$601,375,Sync!$D$6)&amp;"",""))</f>
        <v/>
      </c>
      <c r="F4426" s="17">
        <f>IF(B4426="","","outreach_sent")</f>
        <v/>
      </c>
      <c r="G4426" s="17">
        <f>IF(B4426="","","")</f>
        <v/>
      </c>
      <c r="H4426" s="17">
        <f>IF(B4426="","","")</f>
        <v/>
      </c>
      <c r="I4426" s="17">
        <f>IF(B4426="","","")</f>
        <v/>
      </c>
      <c r="J4426" s="17">
        <f>IF(B4426="","","touch_2; "&amp;IFERROR(INDEX(Clay_Brands!$A$2:$FZ$601,375,Sync!$D$10)&amp;"","")&amp;"; "&amp;IFERROR(INDEX(Clay_Brands!$A$2:$FZ$601,375,Sync!$D$9)&amp;"",""))</f>
        <v/>
      </c>
      <c r="K4426" t="inlineStr">
        <is>
          <t>brand outreach touch 2</t>
        </is>
      </c>
    </row>
    <row r="4427">
      <c r="A4427" s="17">
        <f>IF(B4427="","",B4427+(16*1000+376)/10000000)</f>
        <v/>
      </c>
      <c r="B4427" s="23">
        <f>IF(AND(IFERROR(N(INDEX(Clay_Brands!$A$2:$FZ$601,376,Sync!$D$12)),0)&gt;0,IFERROR(INDEX(Clay_Brands!$A$2:$FZ$601,376,Sync!$D$5)&amp;"","")&lt;&gt;"",OR(LEFT(IFERROR(INDEX(Clay_Brands!$A$2:$FZ$601,376,Sync!$D$5)&amp;"",""),6)&lt;&gt;"SAMPLE",Config!$B$19="Y")),IFERROR(N(INDEX(Clay_Brands!$A$2:$FZ$601,376,Sync!$D$12)),0),"")</f>
        <v/>
      </c>
      <c r="C4427" s="17">
        <f>IF(B4427="","","brand")</f>
        <v/>
      </c>
      <c r="D4427" s="17">
        <f>IF(B4427="","",IFERROR(INDEX(Clay_Brands!$A$2:$FZ$601,376,Sync!$D$5)&amp;"",""))</f>
        <v/>
      </c>
      <c r="E4427" s="17">
        <f>IF(B4427="","",IFERROR(INDEX(Clay_Brands!$A$2:$FZ$601,376,Sync!$D$6)&amp;"",""))</f>
        <v/>
      </c>
      <c r="F4427" s="17">
        <f>IF(B4427="","","outreach_sent")</f>
        <v/>
      </c>
      <c r="G4427" s="17">
        <f>IF(B4427="","","")</f>
        <v/>
      </c>
      <c r="H4427" s="17">
        <f>IF(B4427="","","")</f>
        <v/>
      </c>
      <c r="I4427" s="17">
        <f>IF(B4427="","","")</f>
        <v/>
      </c>
      <c r="J4427" s="17">
        <f>IF(B4427="","","touch_2; "&amp;IFERROR(INDEX(Clay_Brands!$A$2:$FZ$601,376,Sync!$D$10)&amp;"","")&amp;"; "&amp;IFERROR(INDEX(Clay_Brands!$A$2:$FZ$601,376,Sync!$D$9)&amp;"",""))</f>
        <v/>
      </c>
      <c r="K4427" t="inlineStr">
        <is>
          <t>brand outreach touch 2</t>
        </is>
      </c>
    </row>
    <row r="4428">
      <c r="A4428" s="17">
        <f>IF(B4428="","",B4428+(16*1000+377)/10000000)</f>
        <v/>
      </c>
      <c r="B4428" s="23">
        <f>IF(AND(IFERROR(N(INDEX(Clay_Brands!$A$2:$FZ$601,377,Sync!$D$12)),0)&gt;0,IFERROR(INDEX(Clay_Brands!$A$2:$FZ$601,377,Sync!$D$5)&amp;"","")&lt;&gt;"",OR(LEFT(IFERROR(INDEX(Clay_Brands!$A$2:$FZ$601,377,Sync!$D$5)&amp;"",""),6)&lt;&gt;"SAMPLE",Config!$B$19="Y")),IFERROR(N(INDEX(Clay_Brands!$A$2:$FZ$601,377,Sync!$D$12)),0),"")</f>
        <v/>
      </c>
      <c r="C4428" s="17">
        <f>IF(B4428="","","brand")</f>
        <v/>
      </c>
      <c r="D4428" s="17">
        <f>IF(B4428="","",IFERROR(INDEX(Clay_Brands!$A$2:$FZ$601,377,Sync!$D$5)&amp;"",""))</f>
        <v/>
      </c>
      <c r="E4428" s="17">
        <f>IF(B4428="","",IFERROR(INDEX(Clay_Brands!$A$2:$FZ$601,377,Sync!$D$6)&amp;"",""))</f>
        <v/>
      </c>
      <c r="F4428" s="17">
        <f>IF(B4428="","","outreach_sent")</f>
        <v/>
      </c>
      <c r="G4428" s="17">
        <f>IF(B4428="","","")</f>
        <v/>
      </c>
      <c r="H4428" s="17">
        <f>IF(B4428="","","")</f>
        <v/>
      </c>
      <c r="I4428" s="17">
        <f>IF(B4428="","","")</f>
        <v/>
      </c>
      <c r="J4428" s="17">
        <f>IF(B4428="","","touch_2; "&amp;IFERROR(INDEX(Clay_Brands!$A$2:$FZ$601,377,Sync!$D$10)&amp;"","")&amp;"; "&amp;IFERROR(INDEX(Clay_Brands!$A$2:$FZ$601,377,Sync!$D$9)&amp;"",""))</f>
        <v/>
      </c>
      <c r="K4428" t="inlineStr">
        <is>
          <t>brand outreach touch 2</t>
        </is>
      </c>
    </row>
    <row r="4429">
      <c r="A4429" s="17">
        <f>IF(B4429="","",B4429+(16*1000+378)/10000000)</f>
        <v/>
      </c>
      <c r="B4429" s="23">
        <f>IF(AND(IFERROR(N(INDEX(Clay_Brands!$A$2:$FZ$601,378,Sync!$D$12)),0)&gt;0,IFERROR(INDEX(Clay_Brands!$A$2:$FZ$601,378,Sync!$D$5)&amp;"","")&lt;&gt;"",OR(LEFT(IFERROR(INDEX(Clay_Brands!$A$2:$FZ$601,378,Sync!$D$5)&amp;"",""),6)&lt;&gt;"SAMPLE",Config!$B$19="Y")),IFERROR(N(INDEX(Clay_Brands!$A$2:$FZ$601,378,Sync!$D$12)),0),"")</f>
        <v/>
      </c>
      <c r="C4429" s="17">
        <f>IF(B4429="","","brand")</f>
        <v/>
      </c>
      <c r="D4429" s="17">
        <f>IF(B4429="","",IFERROR(INDEX(Clay_Brands!$A$2:$FZ$601,378,Sync!$D$5)&amp;"",""))</f>
        <v/>
      </c>
      <c r="E4429" s="17">
        <f>IF(B4429="","",IFERROR(INDEX(Clay_Brands!$A$2:$FZ$601,378,Sync!$D$6)&amp;"",""))</f>
        <v/>
      </c>
      <c r="F4429" s="17">
        <f>IF(B4429="","","outreach_sent")</f>
        <v/>
      </c>
      <c r="G4429" s="17">
        <f>IF(B4429="","","")</f>
        <v/>
      </c>
      <c r="H4429" s="17">
        <f>IF(B4429="","","")</f>
        <v/>
      </c>
      <c r="I4429" s="17">
        <f>IF(B4429="","","")</f>
        <v/>
      </c>
      <c r="J4429" s="17">
        <f>IF(B4429="","","touch_2; "&amp;IFERROR(INDEX(Clay_Brands!$A$2:$FZ$601,378,Sync!$D$10)&amp;"","")&amp;"; "&amp;IFERROR(INDEX(Clay_Brands!$A$2:$FZ$601,378,Sync!$D$9)&amp;"",""))</f>
        <v/>
      </c>
      <c r="K4429" t="inlineStr">
        <is>
          <t>brand outreach touch 2</t>
        </is>
      </c>
    </row>
    <row r="4430">
      <c r="A4430" s="17">
        <f>IF(B4430="","",B4430+(16*1000+379)/10000000)</f>
        <v/>
      </c>
      <c r="B4430" s="23">
        <f>IF(AND(IFERROR(N(INDEX(Clay_Brands!$A$2:$FZ$601,379,Sync!$D$12)),0)&gt;0,IFERROR(INDEX(Clay_Brands!$A$2:$FZ$601,379,Sync!$D$5)&amp;"","")&lt;&gt;"",OR(LEFT(IFERROR(INDEX(Clay_Brands!$A$2:$FZ$601,379,Sync!$D$5)&amp;"",""),6)&lt;&gt;"SAMPLE",Config!$B$19="Y")),IFERROR(N(INDEX(Clay_Brands!$A$2:$FZ$601,379,Sync!$D$12)),0),"")</f>
        <v/>
      </c>
      <c r="C4430" s="17">
        <f>IF(B4430="","","brand")</f>
        <v/>
      </c>
      <c r="D4430" s="17">
        <f>IF(B4430="","",IFERROR(INDEX(Clay_Brands!$A$2:$FZ$601,379,Sync!$D$5)&amp;"",""))</f>
        <v/>
      </c>
      <c r="E4430" s="17">
        <f>IF(B4430="","",IFERROR(INDEX(Clay_Brands!$A$2:$FZ$601,379,Sync!$D$6)&amp;"",""))</f>
        <v/>
      </c>
      <c r="F4430" s="17">
        <f>IF(B4430="","","outreach_sent")</f>
        <v/>
      </c>
      <c r="G4430" s="17">
        <f>IF(B4430="","","")</f>
        <v/>
      </c>
      <c r="H4430" s="17">
        <f>IF(B4430="","","")</f>
        <v/>
      </c>
      <c r="I4430" s="17">
        <f>IF(B4430="","","")</f>
        <v/>
      </c>
      <c r="J4430" s="17">
        <f>IF(B4430="","","touch_2; "&amp;IFERROR(INDEX(Clay_Brands!$A$2:$FZ$601,379,Sync!$D$10)&amp;"","")&amp;"; "&amp;IFERROR(INDEX(Clay_Brands!$A$2:$FZ$601,379,Sync!$D$9)&amp;"",""))</f>
        <v/>
      </c>
      <c r="K4430" t="inlineStr">
        <is>
          <t>brand outreach touch 2</t>
        </is>
      </c>
    </row>
    <row r="4431">
      <c r="A4431" s="17">
        <f>IF(B4431="","",B4431+(16*1000+380)/10000000)</f>
        <v/>
      </c>
      <c r="B4431" s="23">
        <f>IF(AND(IFERROR(N(INDEX(Clay_Brands!$A$2:$FZ$601,380,Sync!$D$12)),0)&gt;0,IFERROR(INDEX(Clay_Brands!$A$2:$FZ$601,380,Sync!$D$5)&amp;"","")&lt;&gt;"",OR(LEFT(IFERROR(INDEX(Clay_Brands!$A$2:$FZ$601,380,Sync!$D$5)&amp;"",""),6)&lt;&gt;"SAMPLE",Config!$B$19="Y")),IFERROR(N(INDEX(Clay_Brands!$A$2:$FZ$601,380,Sync!$D$12)),0),"")</f>
        <v/>
      </c>
      <c r="C4431" s="17">
        <f>IF(B4431="","","brand")</f>
        <v/>
      </c>
      <c r="D4431" s="17">
        <f>IF(B4431="","",IFERROR(INDEX(Clay_Brands!$A$2:$FZ$601,380,Sync!$D$5)&amp;"",""))</f>
        <v/>
      </c>
      <c r="E4431" s="17">
        <f>IF(B4431="","",IFERROR(INDEX(Clay_Brands!$A$2:$FZ$601,380,Sync!$D$6)&amp;"",""))</f>
        <v/>
      </c>
      <c r="F4431" s="17">
        <f>IF(B4431="","","outreach_sent")</f>
        <v/>
      </c>
      <c r="G4431" s="17">
        <f>IF(B4431="","","")</f>
        <v/>
      </c>
      <c r="H4431" s="17">
        <f>IF(B4431="","","")</f>
        <v/>
      </c>
      <c r="I4431" s="17">
        <f>IF(B4431="","","")</f>
        <v/>
      </c>
      <c r="J4431" s="17">
        <f>IF(B4431="","","touch_2; "&amp;IFERROR(INDEX(Clay_Brands!$A$2:$FZ$601,380,Sync!$D$10)&amp;"","")&amp;"; "&amp;IFERROR(INDEX(Clay_Brands!$A$2:$FZ$601,380,Sync!$D$9)&amp;"",""))</f>
        <v/>
      </c>
      <c r="K4431" t="inlineStr">
        <is>
          <t>brand outreach touch 2</t>
        </is>
      </c>
    </row>
    <row r="4432">
      <c r="A4432" s="17">
        <f>IF(B4432="","",B4432+(16*1000+381)/10000000)</f>
        <v/>
      </c>
      <c r="B4432" s="23">
        <f>IF(AND(IFERROR(N(INDEX(Clay_Brands!$A$2:$FZ$601,381,Sync!$D$12)),0)&gt;0,IFERROR(INDEX(Clay_Brands!$A$2:$FZ$601,381,Sync!$D$5)&amp;"","")&lt;&gt;"",OR(LEFT(IFERROR(INDEX(Clay_Brands!$A$2:$FZ$601,381,Sync!$D$5)&amp;"",""),6)&lt;&gt;"SAMPLE",Config!$B$19="Y")),IFERROR(N(INDEX(Clay_Brands!$A$2:$FZ$601,381,Sync!$D$12)),0),"")</f>
        <v/>
      </c>
      <c r="C4432" s="17">
        <f>IF(B4432="","","brand")</f>
        <v/>
      </c>
      <c r="D4432" s="17">
        <f>IF(B4432="","",IFERROR(INDEX(Clay_Brands!$A$2:$FZ$601,381,Sync!$D$5)&amp;"",""))</f>
        <v/>
      </c>
      <c r="E4432" s="17">
        <f>IF(B4432="","",IFERROR(INDEX(Clay_Brands!$A$2:$FZ$601,381,Sync!$D$6)&amp;"",""))</f>
        <v/>
      </c>
      <c r="F4432" s="17">
        <f>IF(B4432="","","outreach_sent")</f>
        <v/>
      </c>
      <c r="G4432" s="17">
        <f>IF(B4432="","","")</f>
        <v/>
      </c>
      <c r="H4432" s="17">
        <f>IF(B4432="","","")</f>
        <v/>
      </c>
      <c r="I4432" s="17">
        <f>IF(B4432="","","")</f>
        <v/>
      </c>
      <c r="J4432" s="17">
        <f>IF(B4432="","","touch_2; "&amp;IFERROR(INDEX(Clay_Brands!$A$2:$FZ$601,381,Sync!$D$10)&amp;"","")&amp;"; "&amp;IFERROR(INDEX(Clay_Brands!$A$2:$FZ$601,381,Sync!$D$9)&amp;"",""))</f>
        <v/>
      </c>
      <c r="K4432" t="inlineStr">
        <is>
          <t>brand outreach touch 2</t>
        </is>
      </c>
    </row>
    <row r="4433">
      <c r="A4433" s="17">
        <f>IF(B4433="","",B4433+(16*1000+382)/10000000)</f>
        <v/>
      </c>
      <c r="B4433" s="23">
        <f>IF(AND(IFERROR(N(INDEX(Clay_Brands!$A$2:$FZ$601,382,Sync!$D$12)),0)&gt;0,IFERROR(INDEX(Clay_Brands!$A$2:$FZ$601,382,Sync!$D$5)&amp;"","")&lt;&gt;"",OR(LEFT(IFERROR(INDEX(Clay_Brands!$A$2:$FZ$601,382,Sync!$D$5)&amp;"",""),6)&lt;&gt;"SAMPLE",Config!$B$19="Y")),IFERROR(N(INDEX(Clay_Brands!$A$2:$FZ$601,382,Sync!$D$12)),0),"")</f>
        <v/>
      </c>
      <c r="C4433" s="17">
        <f>IF(B4433="","","brand")</f>
        <v/>
      </c>
      <c r="D4433" s="17">
        <f>IF(B4433="","",IFERROR(INDEX(Clay_Brands!$A$2:$FZ$601,382,Sync!$D$5)&amp;"",""))</f>
        <v/>
      </c>
      <c r="E4433" s="17">
        <f>IF(B4433="","",IFERROR(INDEX(Clay_Brands!$A$2:$FZ$601,382,Sync!$D$6)&amp;"",""))</f>
        <v/>
      </c>
      <c r="F4433" s="17">
        <f>IF(B4433="","","outreach_sent")</f>
        <v/>
      </c>
      <c r="G4433" s="17">
        <f>IF(B4433="","","")</f>
        <v/>
      </c>
      <c r="H4433" s="17">
        <f>IF(B4433="","","")</f>
        <v/>
      </c>
      <c r="I4433" s="17">
        <f>IF(B4433="","","")</f>
        <v/>
      </c>
      <c r="J4433" s="17">
        <f>IF(B4433="","","touch_2; "&amp;IFERROR(INDEX(Clay_Brands!$A$2:$FZ$601,382,Sync!$D$10)&amp;"","")&amp;"; "&amp;IFERROR(INDEX(Clay_Brands!$A$2:$FZ$601,382,Sync!$D$9)&amp;"",""))</f>
        <v/>
      </c>
      <c r="K4433" t="inlineStr">
        <is>
          <t>brand outreach touch 2</t>
        </is>
      </c>
    </row>
    <row r="4434">
      <c r="A4434" s="17">
        <f>IF(B4434="","",B4434+(16*1000+383)/10000000)</f>
        <v/>
      </c>
      <c r="B4434" s="23">
        <f>IF(AND(IFERROR(N(INDEX(Clay_Brands!$A$2:$FZ$601,383,Sync!$D$12)),0)&gt;0,IFERROR(INDEX(Clay_Brands!$A$2:$FZ$601,383,Sync!$D$5)&amp;"","")&lt;&gt;"",OR(LEFT(IFERROR(INDEX(Clay_Brands!$A$2:$FZ$601,383,Sync!$D$5)&amp;"",""),6)&lt;&gt;"SAMPLE",Config!$B$19="Y")),IFERROR(N(INDEX(Clay_Brands!$A$2:$FZ$601,383,Sync!$D$12)),0),"")</f>
        <v/>
      </c>
      <c r="C4434" s="17">
        <f>IF(B4434="","","brand")</f>
        <v/>
      </c>
      <c r="D4434" s="17">
        <f>IF(B4434="","",IFERROR(INDEX(Clay_Brands!$A$2:$FZ$601,383,Sync!$D$5)&amp;"",""))</f>
        <v/>
      </c>
      <c r="E4434" s="17">
        <f>IF(B4434="","",IFERROR(INDEX(Clay_Brands!$A$2:$FZ$601,383,Sync!$D$6)&amp;"",""))</f>
        <v/>
      </c>
      <c r="F4434" s="17">
        <f>IF(B4434="","","outreach_sent")</f>
        <v/>
      </c>
      <c r="G4434" s="17">
        <f>IF(B4434="","","")</f>
        <v/>
      </c>
      <c r="H4434" s="17">
        <f>IF(B4434="","","")</f>
        <v/>
      </c>
      <c r="I4434" s="17">
        <f>IF(B4434="","","")</f>
        <v/>
      </c>
      <c r="J4434" s="17">
        <f>IF(B4434="","","touch_2; "&amp;IFERROR(INDEX(Clay_Brands!$A$2:$FZ$601,383,Sync!$D$10)&amp;"","")&amp;"; "&amp;IFERROR(INDEX(Clay_Brands!$A$2:$FZ$601,383,Sync!$D$9)&amp;"",""))</f>
        <v/>
      </c>
      <c r="K4434" t="inlineStr">
        <is>
          <t>brand outreach touch 2</t>
        </is>
      </c>
    </row>
    <row r="4435">
      <c r="A4435" s="17">
        <f>IF(B4435="","",B4435+(16*1000+384)/10000000)</f>
        <v/>
      </c>
      <c r="B4435" s="23">
        <f>IF(AND(IFERROR(N(INDEX(Clay_Brands!$A$2:$FZ$601,384,Sync!$D$12)),0)&gt;0,IFERROR(INDEX(Clay_Brands!$A$2:$FZ$601,384,Sync!$D$5)&amp;"","")&lt;&gt;"",OR(LEFT(IFERROR(INDEX(Clay_Brands!$A$2:$FZ$601,384,Sync!$D$5)&amp;"",""),6)&lt;&gt;"SAMPLE",Config!$B$19="Y")),IFERROR(N(INDEX(Clay_Brands!$A$2:$FZ$601,384,Sync!$D$12)),0),"")</f>
        <v/>
      </c>
      <c r="C4435" s="17">
        <f>IF(B4435="","","brand")</f>
        <v/>
      </c>
      <c r="D4435" s="17">
        <f>IF(B4435="","",IFERROR(INDEX(Clay_Brands!$A$2:$FZ$601,384,Sync!$D$5)&amp;"",""))</f>
        <v/>
      </c>
      <c r="E4435" s="17">
        <f>IF(B4435="","",IFERROR(INDEX(Clay_Brands!$A$2:$FZ$601,384,Sync!$D$6)&amp;"",""))</f>
        <v/>
      </c>
      <c r="F4435" s="17">
        <f>IF(B4435="","","outreach_sent")</f>
        <v/>
      </c>
      <c r="G4435" s="17">
        <f>IF(B4435="","","")</f>
        <v/>
      </c>
      <c r="H4435" s="17">
        <f>IF(B4435="","","")</f>
        <v/>
      </c>
      <c r="I4435" s="17">
        <f>IF(B4435="","","")</f>
        <v/>
      </c>
      <c r="J4435" s="17">
        <f>IF(B4435="","","touch_2; "&amp;IFERROR(INDEX(Clay_Brands!$A$2:$FZ$601,384,Sync!$D$10)&amp;"","")&amp;"; "&amp;IFERROR(INDEX(Clay_Brands!$A$2:$FZ$601,384,Sync!$D$9)&amp;"",""))</f>
        <v/>
      </c>
      <c r="K4435" t="inlineStr">
        <is>
          <t>brand outreach touch 2</t>
        </is>
      </c>
    </row>
    <row r="4436">
      <c r="A4436" s="17">
        <f>IF(B4436="","",B4436+(16*1000+385)/10000000)</f>
        <v/>
      </c>
      <c r="B4436" s="23">
        <f>IF(AND(IFERROR(N(INDEX(Clay_Brands!$A$2:$FZ$601,385,Sync!$D$12)),0)&gt;0,IFERROR(INDEX(Clay_Brands!$A$2:$FZ$601,385,Sync!$D$5)&amp;"","")&lt;&gt;"",OR(LEFT(IFERROR(INDEX(Clay_Brands!$A$2:$FZ$601,385,Sync!$D$5)&amp;"",""),6)&lt;&gt;"SAMPLE",Config!$B$19="Y")),IFERROR(N(INDEX(Clay_Brands!$A$2:$FZ$601,385,Sync!$D$12)),0),"")</f>
        <v/>
      </c>
      <c r="C4436" s="17">
        <f>IF(B4436="","","brand")</f>
        <v/>
      </c>
      <c r="D4436" s="17">
        <f>IF(B4436="","",IFERROR(INDEX(Clay_Brands!$A$2:$FZ$601,385,Sync!$D$5)&amp;"",""))</f>
        <v/>
      </c>
      <c r="E4436" s="17">
        <f>IF(B4436="","",IFERROR(INDEX(Clay_Brands!$A$2:$FZ$601,385,Sync!$D$6)&amp;"",""))</f>
        <v/>
      </c>
      <c r="F4436" s="17">
        <f>IF(B4436="","","outreach_sent")</f>
        <v/>
      </c>
      <c r="G4436" s="17">
        <f>IF(B4436="","","")</f>
        <v/>
      </c>
      <c r="H4436" s="17">
        <f>IF(B4436="","","")</f>
        <v/>
      </c>
      <c r="I4436" s="17">
        <f>IF(B4436="","","")</f>
        <v/>
      </c>
      <c r="J4436" s="17">
        <f>IF(B4436="","","touch_2; "&amp;IFERROR(INDEX(Clay_Brands!$A$2:$FZ$601,385,Sync!$D$10)&amp;"","")&amp;"; "&amp;IFERROR(INDEX(Clay_Brands!$A$2:$FZ$601,385,Sync!$D$9)&amp;"",""))</f>
        <v/>
      </c>
      <c r="K4436" t="inlineStr">
        <is>
          <t>brand outreach touch 2</t>
        </is>
      </c>
    </row>
    <row r="4437">
      <c r="A4437" s="17">
        <f>IF(B4437="","",B4437+(16*1000+386)/10000000)</f>
        <v/>
      </c>
      <c r="B4437" s="23">
        <f>IF(AND(IFERROR(N(INDEX(Clay_Brands!$A$2:$FZ$601,386,Sync!$D$12)),0)&gt;0,IFERROR(INDEX(Clay_Brands!$A$2:$FZ$601,386,Sync!$D$5)&amp;"","")&lt;&gt;"",OR(LEFT(IFERROR(INDEX(Clay_Brands!$A$2:$FZ$601,386,Sync!$D$5)&amp;"",""),6)&lt;&gt;"SAMPLE",Config!$B$19="Y")),IFERROR(N(INDEX(Clay_Brands!$A$2:$FZ$601,386,Sync!$D$12)),0),"")</f>
        <v/>
      </c>
      <c r="C4437" s="17">
        <f>IF(B4437="","","brand")</f>
        <v/>
      </c>
      <c r="D4437" s="17">
        <f>IF(B4437="","",IFERROR(INDEX(Clay_Brands!$A$2:$FZ$601,386,Sync!$D$5)&amp;"",""))</f>
        <v/>
      </c>
      <c r="E4437" s="17">
        <f>IF(B4437="","",IFERROR(INDEX(Clay_Brands!$A$2:$FZ$601,386,Sync!$D$6)&amp;"",""))</f>
        <v/>
      </c>
      <c r="F4437" s="17">
        <f>IF(B4437="","","outreach_sent")</f>
        <v/>
      </c>
      <c r="G4437" s="17">
        <f>IF(B4437="","","")</f>
        <v/>
      </c>
      <c r="H4437" s="17">
        <f>IF(B4437="","","")</f>
        <v/>
      </c>
      <c r="I4437" s="17">
        <f>IF(B4437="","","")</f>
        <v/>
      </c>
      <c r="J4437" s="17">
        <f>IF(B4437="","","touch_2; "&amp;IFERROR(INDEX(Clay_Brands!$A$2:$FZ$601,386,Sync!$D$10)&amp;"","")&amp;"; "&amp;IFERROR(INDEX(Clay_Brands!$A$2:$FZ$601,386,Sync!$D$9)&amp;"",""))</f>
        <v/>
      </c>
      <c r="K4437" t="inlineStr">
        <is>
          <t>brand outreach touch 2</t>
        </is>
      </c>
    </row>
    <row r="4438">
      <c r="A4438" s="17">
        <f>IF(B4438="","",B4438+(16*1000+387)/10000000)</f>
        <v/>
      </c>
      <c r="B4438" s="23">
        <f>IF(AND(IFERROR(N(INDEX(Clay_Brands!$A$2:$FZ$601,387,Sync!$D$12)),0)&gt;0,IFERROR(INDEX(Clay_Brands!$A$2:$FZ$601,387,Sync!$D$5)&amp;"","")&lt;&gt;"",OR(LEFT(IFERROR(INDEX(Clay_Brands!$A$2:$FZ$601,387,Sync!$D$5)&amp;"",""),6)&lt;&gt;"SAMPLE",Config!$B$19="Y")),IFERROR(N(INDEX(Clay_Brands!$A$2:$FZ$601,387,Sync!$D$12)),0),"")</f>
        <v/>
      </c>
      <c r="C4438" s="17">
        <f>IF(B4438="","","brand")</f>
        <v/>
      </c>
      <c r="D4438" s="17">
        <f>IF(B4438="","",IFERROR(INDEX(Clay_Brands!$A$2:$FZ$601,387,Sync!$D$5)&amp;"",""))</f>
        <v/>
      </c>
      <c r="E4438" s="17">
        <f>IF(B4438="","",IFERROR(INDEX(Clay_Brands!$A$2:$FZ$601,387,Sync!$D$6)&amp;"",""))</f>
        <v/>
      </c>
      <c r="F4438" s="17">
        <f>IF(B4438="","","outreach_sent")</f>
        <v/>
      </c>
      <c r="G4438" s="17">
        <f>IF(B4438="","","")</f>
        <v/>
      </c>
      <c r="H4438" s="17">
        <f>IF(B4438="","","")</f>
        <v/>
      </c>
      <c r="I4438" s="17">
        <f>IF(B4438="","","")</f>
        <v/>
      </c>
      <c r="J4438" s="17">
        <f>IF(B4438="","","touch_2; "&amp;IFERROR(INDEX(Clay_Brands!$A$2:$FZ$601,387,Sync!$D$10)&amp;"","")&amp;"; "&amp;IFERROR(INDEX(Clay_Brands!$A$2:$FZ$601,387,Sync!$D$9)&amp;"",""))</f>
        <v/>
      </c>
      <c r="K4438" t="inlineStr">
        <is>
          <t>brand outreach touch 2</t>
        </is>
      </c>
    </row>
    <row r="4439">
      <c r="A4439" s="17">
        <f>IF(B4439="","",B4439+(16*1000+388)/10000000)</f>
        <v/>
      </c>
      <c r="B4439" s="23">
        <f>IF(AND(IFERROR(N(INDEX(Clay_Brands!$A$2:$FZ$601,388,Sync!$D$12)),0)&gt;0,IFERROR(INDEX(Clay_Brands!$A$2:$FZ$601,388,Sync!$D$5)&amp;"","")&lt;&gt;"",OR(LEFT(IFERROR(INDEX(Clay_Brands!$A$2:$FZ$601,388,Sync!$D$5)&amp;"",""),6)&lt;&gt;"SAMPLE",Config!$B$19="Y")),IFERROR(N(INDEX(Clay_Brands!$A$2:$FZ$601,388,Sync!$D$12)),0),"")</f>
        <v/>
      </c>
      <c r="C4439" s="17">
        <f>IF(B4439="","","brand")</f>
        <v/>
      </c>
      <c r="D4439" s="17">
        <f>IF(B4439="","",IFERROR(INDEX(Clay_Brands!$A$2:$FZ$601,388,Sync!$D$5)&amp;"",""))</f>
        <v/>
      </c>
      <c r="E4439" s="17">
        <f>IF(B4439="","",IFERROR(INDEX(Clay_Brands!$A$2:$FZ$601,388,Sync!$D$6)&amp;"",""))</f>
        <v/>
      </c>
      <c r="F4439" s="17">
        <f>IF(B4439="","","outreach_sent")</f>
        <v/>
      </c>
      <c r="G4439" s="17">
        <f>IF(B4439="","","")</f>
        <v/>
      </c>
      <c r="H4439" s="17">
        <f>IF(B4439="","","")</f>
        <v/>
      </c>
      <c r="I4439" s="17">
        <f>IF(B4439="","","")</f>
        <v/>
      </c>
      <c r="J4439" s="17">
        <f>IF(B4439="","","touch_2; "&amp;IFERROR(INDEX(Clay_Brands!$A$2:$FZ$601,388,Sync!$D$10)&amp;"","")&amp;"; "&amp;IFERROR(INDEX(Clay_Brands!$A$2:$FZ$601,388,Sync!$D$9)&amp;"",""))</f>
        <v/>
      </c>
      <c r="K4439" t="inlineStr">
        <is>
          <t>brand outreach touch 2</t>
        </is>
      </c>
    </row>
    <row r="4440">
      <c r="A4440" s="17">
        <f>IF(B4440="","",B4440+(16*1000+389)/10000000)</f>
        <v/>
      </c>
      <c r="B4440" s="23">
        <f>IF(AND(IFERROR(N(INDEX(Clay_Brands!$A$2:$FZ$601,389,Sync!$D$12)),0)&gt;0,IFERROR(INDEX(Clay_Brands!$A$2:$FZ$601,389,Sync!$D$5)&amp;"","")&lt;&gt;"",OR(LEFT(IFERROR(INDEX(Clay_Brands!$A$2:$FZ$601,389,Sync!$D$5)&amp;"",""),6)&lt;&gt;"SAMPLE",Config!$B$19="Y")),IFERROR(N(INDEX(Clay_Brands!$A$2:$FZ$601,389,Sync!$D$12)),0),"")</f>
        <v/>
      </c>
      <c r="C4440" s="17">
        <f>IF(B4440="","","brand")</f>
        <v/>
      </c>
      <c r="D4440" s="17">
        <f>IF(B4440="","",IFERROR(INDEX(Clay_Brands!$A$2:$FZ$601,389,Sync!$D$5)&amp;"",""))</f>
        <v/>
      </c>
      <c r="E4440" s="17">
        <f>IF(B4440="","",IFERROR(INDEX(Clay_Brands!$A$2:$FZ$601,389,Sync!$D$6)&amp;"",""))</f>
        <v/>
      </c>
      <c r="F4440" s="17">
        <f>IF(B4440="","","outreach_sent")</f>
        <v/>
      </c>
      <c r="G4440" s="17">
        <f>IF(B4440="","","")</f>
        <v/>
      </c>
      <c r="H4440" s="17">
        <f>IF(B4440="","","")</f>
        <v/>
      </c>
      <c r="I4440" s="17">
        <f>IF(B4440="","","")</f>
        <v/>
      </c>
      <c r="J4440" s="17">
        <f>IF(B4440="","","touch_2; "&amp;IFERROR(INDEX(Clay_Brands!$A$2:$FZ$601,389,Sync!$D$10)&amp;"","")&amp;"; "&amp;IFERROR(INDEX(Clay_Brands!$A$2:$FZ$601,389,Sync!$D$9)&amp;"",""))</f>
        <v/>
      </c>
      <c r="K4440" t="inlineStr">
        <is>
          <t>brand outreach touch 2</t>
        </is>
      </c>
    </row>
    <row r="4441">
      <c r="A4441" s="17">
        <f>IF(B4441="","",B4441+(16*1000+390)/10000000)</f>
        <v/>
      </c>
      <c r="B4441" s="23">
        <f>IF(AND(IFERROR(N(INDEX(Clay_Brands!$A$2:$FZ$601,390,Sync!$D$12)),0)&gt;0,IFERROR(INDEX(Clay_Brands!$A$2:$FZ$601,390,Sync!$D$5)&amp;"","")&lt;&gt;"",OR(LEFT(IFERROR(INDEX(Clay_Brands!$A$2:$FZ$601,390,Sync!$D$5)&amp;"",""),6)&lt;&gt;"SAMPLE",Config!$B$19="Y")),IFERROR(N(INDEX(Clay_Brands!$A$2:$FZ$601,390,Sync!$D$12)),0),"")</f>
        <v/>
      </c>
      <c r="C4441" s="17">
        <f>IF(B4441="","","brand")</f>
        <v/>
      </c>
      <c r="D4441" s="17">
        <f>IF(B4441="","",IFERROR(INDEX(Clay_Brands!$A$2:$FZ$601,390,Sync!$D$5)&amp;"",""))</f>
        <v/>
      </c>
      <c r="E4441" s="17">
        <f>IF(B4441="","",IFERROR(INDEX(Clay_Brands!$A$2:$FZ$601,390,Sync!$D$6)&amp;"",""))</f>
        <v/>
      </c>
      <c r="F4441" s="17">
        <f>IF(B4441="","","outreach_sent")</f>
        <v/>
      </c>
      <c r="G4441" s="17">
        <f>IF(B4441="","","")</f>
        <v/>
      </c>
      <c r="H4441" s="17">
        <f>IF(B4441="","","")</f>
        <v/>
      </c>
      <c r="I4441" s="17">
        <f>IF(B4441="","","")</f>
        <v/>
      </c>
      <c r="J4441" s="17">
        <f>IF(B4441="","","touch_2; "&amp;IFERROR(INDEX(Clay_Brands!$A$2:$FZ$601,390,Sync!$D$10)&amp;"","")&amp;"; "&amp;IFERROR(INDEX(Clay_Brands!$A$2:$FZ$601,390,Sync!$D$9)&amp;"",""))</f>
        <v/>
      </c>
      <c r="K4441" t="inlineStr">
        <is>
          <t>brand outreach touch 2</t>
        </is>
      </c>
    </row>
    <row r="4442">
      <c r="A4442" s="17">
        <f>IF(B4442="","",B4442+(16*1000+391)/10000000)</f>
        <v/>
      </c>
      <c r="B4442" s="23">
        <f>IF(AND(IFERROR(N(INDEX(Clay_Brands!$A$2:$FZ$601,391,Sync!$D$12)),0)&gt;0,IFERROR(INDEX(Clay_Brands!$A$2:$FZ$601,391,Sync!$D$5)&amp;"","")&lt;&gt;"",OR(LEFT(IFERROR(INDEX(Clay_Brands!$A$2:$FZ$601,391,Sync!$D$5)&amp;"",""),6)&lt;&gt;"SAMPLE",Config!$B$19="Y")),IFERROR(N(INDEX(Clay_Brands!$A$2:$FZ$601,391,Sync!$D$12)),0),"")</f>
        <v/>
      </c>
      <c r="C4442" s="17">
        <f>IF(B4442="","","brand")</f>
        <v/>
      </c>
      <c r="D4442" s="17">
        <f>IF(B4442="","",IFERROR(INDEX(Clay_Brands!$A$2:$FZ$601,391,Sync!$D$5)&amp;"",""))</f>
        <v/>
      </c>
      <c r="E4442" s="17">
        <f>IF(B4442="","",IFERROR(INDEX(Clay_Brands!$A$2:$FZ$601,391,Sync!$D$6)&amp;"",""))</f>
        <v/>
      </c>
      <c r="F4442" s="17">
        <f>IF(B4442="","","outreach_sent")</f>
        <v/>
      </c>
      <c r="G4442" s="17">
        <f>IF(B4442="","","")</f>
        <v/>
      </c>
      <c r="H4442" s="17">
        <f>IF(B4442="","","")</f>
        <v/>
      </c>
      <c r="I4442" s="17">
        <f>IF(B4442="","","")</f>
        <v/>
      </c>
      <c r="J4442" s="17">
        <f>IF(B4442="","","touch_2; "&amp;IFERROR(INDEX(Clay_Brands!$A$2:$FZ$601,391,Sync!$D$10)&amp;"","")&amp;"; "&amp;IFERROR(INDEX(Clay_Brands!$A$2:$FZ$601,391,Sync!$D$9)&amp;"",""))</f>
        <v/>
      </c>
      <c r="K4442" t="inlineStr">
        <is>
          <t>brand outreach touch 2</t>
        </is>
      </c>
    </row>
    <row r="4443">
      <c r="A4443" s="17">
        <f>IF(B4443="","",B4443+(16*1000+392)/10000000)</f>
        <v/>
      </c>
      <c r="B4443" s="23">
        <f>IF(AND(IFERROR(N(INDEX(Clay_Brands!$A$2:$FZ$601,392,Sync!$D$12)),0)&gt;0,IFERROR(INDEX(Clay_Brands!$A$2:$FZ$601,392,Sync!$D$5)&amp;"","")&lt;&gt;"",OR(LEFT(IFERROR(INDEX(Clay_Brands!$A$2:$FZ$601,392,Sync!$D$5)&amp;"",""),6)&lt;&gt;"SAMPLE",Config!$B$19="Y")),IFERROR(N(INDEX(Clay_Brands!$A$2:$FZ$601,392,Sync!$D$12)),0),"")</f>
        <v/>
      </c>
      <c r="C4443" s="17">
        <f>IF(B4443="","","brand")</f>
        <v/>
      </c>
      <c r="D4443" s="17">
        <f>IF(B4443="","",IFERROR(INDEX(Clay_Brands!$A$2:$FZ$601,392,Sync!$D$5)&amp;"",""))</f>
        <v/>
      </c>
      <c r="E4443" s="17">
        <f>IF(B4443="","",IFERROR(INDEX(Clay_Brands!$A$2:$FZ$601,392,Sync!$D$6)&amp;"",""))</f>
        <v/>
      </c>
      <c r="F4443" s="17">
        <f>IF(B4443="","","outreach_sent")</f>
        <v/>
      </c>
      <c r="G4443" s="17">
        <f>IF(B4443="","","")</f>
        <v/>
      </c>
      <c r="H4443" s="17">
        <f>IF(B4443="","","")</f>
        <v/>
      </c>
      <c r="I4443" s="17">
        <f>IF(B4443="","","")</f>
        <v/>
      </c>
      <c r="J4443" s="17">
        <f>IF(B4443="","","touch_2; "&amp;IFERROR(INDEX(Clay_Brands!$A$2:$FZ$601,392,Sync!$D$10)&amp;"","")&amp;"; "&amp;IFERROR(INDEX(Clay_Brands!$A$2:$FZ$601,392,Sync!$D$9)&amp;"",""))</f>
        <v/>
      </c>
      <c r="K4443" t="inlineStr">
        <is>
          <t>brand outreach touch 2</t>
        </is>
      </c>
    </row>
    <row r="4444">
      <c r="A4444" s="17">
        <f>IF(B4444="","",B4444+(16*1000+393)/10000000)</f>
        <v/>
      </c>
      <c r="B4444" s="23">
        <f>IF(AND(IFERROR(N(INDEX(Clay_Brands!$A$2:$FZ$601,393,Sync!$D$12)),0)&gt;0,IFERROR(INDEX(Clay_Brands!$A$2:$FZ$601,393,Sync!$D$5)&amp;"","")&lt;&gt;"",OR(LEFT(IFERROR(INDEX(Clay_Brands!$A$2:$FZ$601,393,Sync!$D$5)&amp;"",""),6)&lt;&gt;"SAMPLE",Config!$B$19="Y")),IFERROR(N(INDEX(Clay_Brands!$A$2:$FZ$601,393,Sync!$D$12)),0),"")</f>
        <v/>
      </c>
      <c r="C4444" s="17">
        <f>IF(B4444="","","brand")</f>
        <v/>
      </c>
      <c r="D4444" s="17">
        <f>IF(B4444="","",IFERROR(INDEX(Clay_Brands!$A$2:$FZ$601,393,Sync!$D$5)&amp;"",""))</f>
        <v/>
      </c>
      <c r="E4444" s="17">
        <f>IF(B4444="","",IFERROR(INDEX(Clay_Brands!$A$2:$FZ$601,393,Sync!$D$6)&amp;"",""))</f>
        <v/>
      </c>
      <c r="F4444" s="17">
        <f>IF(B4444="","","outreach_sent")</f>
        <v/>
      </c>
      <c r="G4444" s="17">
        <f>IF(B4444="","","")</f>
        <v/>
      </c>
      <c r="H4444" s="17">
        <f>IF(B4444="","","")</f>
        <v/>
      </c>
      <c r="I4444" s="17">
        <f>IF(B4444="","","")</f>
        <v/>
      </c>
      <c r="J4444" s="17">
        <f>IF(B4444="","","touch_2; "&amp;IFERROR(INDEX(Clay_Brands!$A$2:$FZ$601,393,Sync!$D$10)&amp;"","")&amp;"; "&amp;IFERROR(INDEX(Clay_Brands!$A$2:$FZ$601,393,Sync!$D$9)&amp;"",""))</f>
        <v/>
      </c>
      <c r="K4444" t="inlineStr">
        <is>
          <t>brand outreach touch 2</t>
        </is>
      </c>
    </row>
    <row r="4445">
      <c r="A4445" s="17">
        <f>IF(B4445="","",B4445+(16*1000+394)/10000000)</f>
        <v/>
      </c>
      <c r="B4445" s="23">
        <f>IF(AND(IFERROR(N(INDEX(Clay_Brands!$A$2:$FZ$601,394,Sync!$D$12)),0)&gt;0,IFERROR(INDEX(Clay_Brands!$A$2:$FZ$601,394,Sync!$D$5)&amp;"","")&lt;&gt;"",OR(LEFT(IFERROR(INDEX(Clay_Brands!$A$2:$FZ$601,394,Sync!$D$5)&amp;"",""),6)&lt;&gt;"SAMPLE",Config!$B$19="Y")),IFERROR(N(INDEX(Clay_Brands!$A$2:$FZ$601,394,Sync!$D$12)),0),"")</f>
        <v/>
      </c>
      <c r="C4445" s="17">
        <f>IF(B4445="","","brand")</f>
        <v/>
      </c>
      <c r="D4445" s="17">
        <f>IF(B4445="","",IFERROR(INDEX(Clay_Brands!$A$2:$FZ$601,394,Sync!$D$5)&amp;"",""))</f>
        <v/>
      </c>
      <c r="E4445" s="17">
        <f>IF(B4445="","",IFERROR(INDEX(Clay_Brands!$A$2:$FZ$601,394,Sync!$D$6)&amp;"",""))</f>
        <v/>
      </c>
      <c r="F4445" s="17">
        <f>IF(B4445="","","outreach_sent")</f>
        <v/>
      </c>
      <c r="G4445" s="17">
        <f>IF(B4445="","","")</f>
        <v/>
      </c>
      <c r="H4445" s="17">
        <f>IF(B4445="","","")</f>
        <v/>
      </c>
      <c r="I4445" s="17">
        <f>IF(B4445="","","")</f>
        <v/>
      </c>
      <c r="J4445" s="17">
        <f>IF(B4445="","","touch_2; "&amp;IFERROR(INDEX(Clay_Brands!$A$2:$FZ$601,394,Sync!$D$10)&amp;"","")&amp;"; "&amp;IFERROR(INDEX(Clay_Brands!$A$2:$FZ$601,394,Sync!$D$9)&amp;"",""))</f>
        <v/>
      </c>
      <c r="K4445" t="inlineStr">
        <is>
          <t>brand outreach touch 2</t>
        </is>
      </c>
    </row>
    <row r="4446">
      <c r="A4446" s="17">
        <f>IF(B4446="","",B4446+(16*1000+395)/10000000)</f>
        <v/>
      </c>
      <c r="B4446" s="23">
        <f>IF(AND(IFERROR(N(INDEX(Clay_Brands!$A$2:$FZ$601,395,Sync!$D$12)),0)&gt;0,IFERROR(INDEX(Clay_Brands!$A$2:$FZ$601,395,Sync!$D$5)&amp;"","")&lt;&gt;"",OR(LEFT(IFERROR(INDEX(Clay_Brands!$A$2:$FZ$601,395,Sync!$D$5)&amp;"",""),6)&lt;&gt;"SAMPLE",Config!$B$19="Y")),IFERROR(N(INDEX(Clay_Brands!$A$2:$FZ$601,395,Sync!$D$12)),0),"")</f>
        <v/>
      </c>
      <c r="C4446" s="17">
        <f>IF(B4446="","","brand")</f>
        <v/>
      </c>
      <c r="D4446" s="17">
        <f>IF(B4446="","",IFERROR(INDEX(Clay_Brands!$A$2:$FZ$601,395,Sync!$D$5)&amp;"",""))</f>
        <v/>
      </c>
      <c r="E4446" s="17">
        <f>IF(B4446="","",IFERROR(INDEX(Clay_Brands!$A$2:$FZ$601,395,Sync!$D$6)&amp;"",""))</f>
        <v/>
      </c>
      <c r="F4446" s="17">
        <f>IF(B4446="","","outreach_sent")</f>
        <v/>
      </c>
      <c r="G4446" s="17">
        <f>IF(B4446="","","")</f>
        <v/>
      </c>
      <c r="H4446" s="17">
        <f>IF(B4446="","","")</f>
        <v/>
      </c>
      <c r="I4446" s="17">
        <f>IF(B4446="","","")</f>
        <v/>
      </c>
      <c r="J4446" s="17">
        <f>IF(B4446="","","touch_2; "&amp;IFERROR(INDEX(Clay_Brands!$A$2:$FZ$601,395,Sync!$D$10)&amp;"","")&amp;"; "&amp;IFERROR(INDEX(Clay_Brands!$A$2:$FZ$601,395,Sync!$D$9)&amp;"",""))</f>
        <v/>
      </c>
      <c r="K4446" t="inlineStr">
        <is>
          <t>brand outreach touch 2</t>
        </is>
      </c>
    </row>
    <row r="4447">
      <c r="A4447" s="17">
        <f>IF(B4447="","",B4447+(16*1000+396)/10000000)</f>
        <v/>
      </c>
      <c r="B4447" s="23">
        <f>IF(AND(IFERROR(N(INDEX(Clay_Brands!$A$2:$FZ$601,396,Sync!$D$12)),0)&gt;0,IFERROR(INDEX(Clay_Brands!$A$2:$FZ$601,396,Sync!$D$5)&amp;"","")&lt;&gt;"",OR(LEFT(IFERROR(INDEX(Clay_Brands!$A$2:$FZ$601,396,Sync!$D$5)&amp;"",""),6)&lt;&gt;"SAMPLE",Config!$B$19="Y")),IFERROR(N(INDEX(Clay_Brands!$A$2:$FZ$601,396,Sync!$D$12)),0),"")</f>
        <v/>
      </c>
      <c r="C4447" s="17">
        <f>IF(B4447="","","brand")</f>
        <v/>
      </c>
      <c r="D4447" s="17">
        <f>IF(B4447="","",IFERROR(INDEX(Clay_Brands!$A$2:$FZ$601,396,Sync!$D$5)&amp;"",""))</f>
        <v/>
      </c>
      <c r="E4447" s="17">
        <f>IF(B4447="","",IFERROR(INDEX(Clay_Brands!$A$2:$FZ$601,396,Sync!$D$6)&amp;"",""))</f>
        <v/>
      </c>
      <c r="F4447" s="17">
        <f>IF(B4447="","","outreach_sent")</f>
        <v/>
      </c>
      <c r="G4447" s="17">
        <f>IF(B4447="","","")</f>
        <v/>
      </c>
      <c r="H4447" s="17">
        <f>IF(B4447="","","")</f>
        <v/>
      </c>
      <c r="I4447" s="17">
        <f>IF(B4447="","","")</f>
        <v/>
      </c>
      <c r="J4447" s="17">
        <f>IF(B4447="","","touch_2; "&amp;IFERROR(INDEX(Clay_Brands!$A$2:$FZ$601,396,Sync!$D$10)&amp;"","")&amp;"; "&amp;IFERROR(INDEX(Clay_Brands!$A$2:$FZ$601,396,Sync!$D$9)&amp;"",""))</f>
        <v/>
      </c>
      <c r="K4447" t="inlineStr">
        <is>
          <t>brand outreach touch 2</t>
        </is>
      </c>
    </row>
    <row r="4448">
      <c r="A4448" s="17">
        <f>IF(B4448="","",B4448+(16*1000+397)/10000000)</f>
        <v/>
      </c>
      <c r="B4448" s="23">
        <f>IF(AND(IFERROR(N(INDEX(Clay_Brands!$A$2:$FZ$601,397,Sync!$D$12)),0)&gt;0,IFERROR(INDEX(Clay_Brands!$A$2:$FZ$601,397,Sync!$D$5)&amp;"","")&lt;&gt;"",OR(LEFT(IFERROR(INDEX(Clay_Brands!$A$2:$FZ$601,397,Sync!$D$5)&amp;"",""),6)&lt;&gt;"SAMPLE",Config!$B$19="Y")),IFERROR(N(INDEX(Clay_Brands!$A$2:$FZ$601,397,Sync!$D$12)),0),"")</f>
        <v/>
      </c>
      <c r="C4448" s="17">
        <f>IF(B4448="","","brand")</f>
        <v/>
      </c>
      <c r="D4448" s="17">
        <f>IF(B4448="","",IFERROR(INDEX(Clay_Brands!$A$2:$FZ$601,397,Sync!$D$5)&amp;"",""))</f>
        <v/>
      </c>
      <c r="E4448" s="17">
        <f>IF(B4448="","",IFERROR(INDEX(Clay_Brands!$A$2:$FZ$601,397,Sync!$D$6)&amp;"",""))</f>
        <v/>
      </c>
      <c r="F4448" s="17">
        <f>IF(B4448="","","outreach_sent")</f>
        <v/>
      </c>
      <c r="G4448" s="17">
        <f>IF(B4448="","","")</f>
        <v/>
      </c>
      <c r="H4448" s="17">
        <f>IF(B4448="","","")</f>
        <v/>
      </c>
      <c r="I4448" s="17">
        <f>IF(B4448="","","")</f>
        <v/>
      </c>
      <c r="J4448" s="17">
        <f>IF(B4448="","","touch_2; "&amp;IFERROR(INDEX(Clay_Brands!$A$2:$FZ$601,397,Sync!$D$10)&amp;"","")&amp;"; "&amp;IFERROR(INDEX(Clay_Brands!$A$2:$FZ$601,397,Sync!$D$9)&amp;"",""))</f>
        <v/>
      </c>
      <c r="K4448" t="inlineStr">
        <is>
          <t>brand outreach touch 2</t>
        </is>
      </c>
    </row>
    <row r="4449">
      <c r="A4449" s="17">
        <f>IF(B4449="","",B4449+(16*1000+398)/10000000)</f>
        <v/>
      </c>
      <c r="B4449" s="23">
        <f>IF(AND(IFERROR(N(INDEX(Clay_Brands!$A$2:$FZ$601,398,Sync!$D$12)),0)&gt;0,IFERROR(INDEX(Clay_Brands!$A$2:$FZ$601,398,Sync!$D$5)&amp;"","")&lt;&gt;"",OR(LEFT(IFERROR(INDEX(Clay_Brands!$A$2:$FZ$601,398,Sync!$D$5)&amp;"",""),6)&lt;&gt;"SAMPLE",Config!$B$19="Y")),IFERROR(N(INDEX(Clay_Brands!$A$2:$FZ$601,398,Sync!$D$12)),0),"")</f>
        <v/>
      </c>
      <c r="C4449" s="17">
        <f>IF(B4449="","","brand")</f>
        <v/>
      </c>
      <c r="D4449" s="17">
        <f>IF(B4449="","",IFERROR(INDEX(Clay_Brands!$A$2:$FZ$601,398,Sync!$D$5)&amp;"",""))</f>
        <v/>
      </c>
      <c r="E4449" s="17">
        <f>IF(B4449="","",IFERROR(INDEX(Clay_Brands!$A$2:$FZ$601,398,Sync!$D$6)&amp;"",""))</f>
        <v/>
      </c>
      <c r="F4449" s="17">
        <f>IF(B4449="","","outreach_sent")</f>
        <v/>
      </c>
      <c r="G4449" s="17">
        <f>IF(B4449="","","")</f>
        <v/>
      </c>
      <c r="H4449" s="17">
        <f>IF(B4449="","","")</f>
        <v/>
      </c>
      <c r="I4449" s="17">
        <f>IF(B4449="","","")</f>
        <v/>
      </c>
      <c r="J4449" s="17">
        <f>IF(B4449="","","touch_2; "&amp;IFERROR(INDEX(Clay_Brands!$A$2:$FZ$601,398,Sync!$D$10)&amp;"","")&amp;"; "&amp;IFERROR(INDEX(Clay_Brands!$A$2:$FZ$601,398,Sync!$D$9)&amp;"",""))</f>
        <v/>
      </c>
      <c r="K4449" t="inlineStr">
        <is>
          <t>brand outreach touch 2</t>
        </is>
      </c>
    </row>
    <row r="4450">
      <c r="A4450" s="17">
        <f>IF(B4450="","",B4450+(16*1000+399)/10000000)</f>
        <v/>
      </c>
      <c r="B4450" s="23">
        <f>IF(AND(IFERROR(N(INDEX(Clay_Brands!$A$2:$FZ$601,399,Sync!$D$12)),0)&gt;0,IFERROR(INDEX(Clay_Brands!$A$2:$FZ$601,399,Sync!$D$5)&amp;"","")&lt;&gt;"",OR(LEFT(IFERROR(INDEX(Clay_Brands!$A$2:$FZ$601,399,Sync!$D$5)&amp;"",""),6)&lt;&gt;"SAMPLE",Config!$B$19="Y")),IFERROR(N(INDEX(Clay_Brands!$A$2:$FZ$601,399,Sync!$D$12)),0),"")</f>
        <v/>
      </c>
      <c r="C4450" s="17">
        <f>IF(B4450="","","brand")</f>
        <v/>
      </c>
      <c r="D4450" s="17">
        <f>IF(B4450="","",IFERROR(INDEX(Clay_Brands!$A$2:$FZ$601,399,Sync!$D$5)&amp;"",""))</f>
        <v/>
      </c>
      <c r="E4450" s="17">
        <f>IF(B4450="","",IFERROR(INDEX(Clay_Brands!$A$2:$FZ$601,399,Sync!$D$6)&amp;"",""))</f>
        <v/>
      </c>
      <c r="F4450" s="17">
        <f>IF(B4450="","","outreach_sent")</f>
        <v/>
      </c>
      <c r="G4450" s="17">
        <f>IF(B4450="","","")</f>
        <v/>
      </c>
      <c r="H4450" s="17">
        <f>IF(B4450="","","")</f>
        <v/>
      </c>
      <c r="I4450" s="17">
        <f>IF(B4450="","","")</f>
        <v/>
      </c>
      <c r="J4450" s="17">
        <f>IF(B4450="","","touch_2; "&amp;IFERROR(INDEX(Clay_Brands!$A$2:$FZ$601,399,Sync!$D$10)&amp;"","")&amp;"; "&amp;IFERROR(INDEX(Clay_Brands!$A$2:$FZ$601,399,Sync!$D$9)&amp;"",""))</f>
        <v/>
      </c>
      <c r="K4450" t="inlineStr">
        <is>
          <t>brand outreach touch 2</t>
        </is>
      </c>
    </row>
    <row r="4451">
      <c r="A4451" s="17">
        <f>IF(B4451="","",B4451+(16*1000+400)/10000000)</f>
        <v/>
      </c>
      <c r="B4451" s="23">
        <f>IF(AND(IFERROR(N(INDEX(Clay_Brands!$A$2:$FZ$601,400,Sync!$D$12)),0)&gt;0,IFERROR(INDEX(Clay_Brands!$A$2:$FZ$601,400,Sync!$D$5)&amp;"","")&lt;&gt;"",OR(LEFT(IFERROR(INDEX(Clay_Brands!$A$2:$FZ$601,400,Sync!$D$5)&amp;"",""),6)&lt;&gt;"SAMPLE",Config!$B$19="Y")),IFERROR(N(INDEX(Clay_Brands!$A$2:$FZ$601,400,Sync!$D$12)),0),"")</f>
        <v/>
      </c>
      <c r="C4451" s="17">
        <f>IF(B4451="","","brand")</f>
        <v/>
      </c>
      <c r="D4451" s="17">
        <f>IF(B4451="","",IFERROR(INDEX(Clay_Brands!$A$2:$FZ$601,400,Sync!$D$5)&amp;"",""))</f>
        <v/>
      </c>
      <c r="E4451" s="17">
        <f>IF(B4451="","",IFERROR(INDEX(Clay_Brands!$A$2:$FZ$601,400,Sync!$D$6)&amp;"",""))</f>
        <v/>
      </c>
      <c r="F4451" s="17">
        <f>IF(B4451="","","outreach_sent")</f>
        <v/>
      </c>
      <c r="G4451" s="17">
        <f>IF(B4451="","","")</f>
        <v/>
      </c>
      <c r="H4451" s="17">
        <f>IF(B4451="","","")</f>
        <v/>
      </c>
      <c r="I4451" s="17">
        <f>IF(B4451="","","")</f>
        <v/>
      </c>
      <c r="J4451" s="17">
        <f>IF(B4451="","","touch_2; "&amp;IFERROR(INDEX(Clay_Brands!$A$2:$FZ$601,400,Sync!$D$10)&amp;"","")&amp;"; "&amp;IFERROR(INDEX(Clay_Brands!$A$2:$FZ$601,400,Sync!$D$9)&amp;"",""))</f>
        <v/>
      </c>
      <c r="K4451" t="inlineStr">
        <is>
          <t>brand outreach touch 2</t>
        </is>
      </c>
    </row>
    <row r="4452">
      <c r="A4452" s="17">
        <f>IF(B4452="","",B4452+(16*1000+401)/10000000)</f>
        <v/>
      </c>
      <c r="B4452" s="23">
        <f>IF(AND(IFERROR(N(INDEX(Clay_Brands!$A$2:$FZ$601,401,Sync!$D$12)),0)&gt;0,IFERROR(INDEX(Clay_Brands!$A$2:$FZ$601,401,Sync!$D$5)&amp;"","")&lt;&gt;"",OR(LEFT(IFERROR(INDEX(Clay_Brands!$A$2:$FZ$601,401,Sync!$D$5)&amp;"",""),6)&lt;&gt;"SAMPLE",Config!$B$19="Y")),IFERROR(N(INDEX(Clay_Brands!$A$2:$FZ$601,401,Sync!$D$12)),0),"")</f>
        <v/>
      </c>
      <c r="C4452" s="17">
        <f>IF(B4452="","","brand")</f>
        <v/>
      </c>
      <c r="D4452" s="17">
        <f>IF(B4452="","",IFERROR(INDEX(Clay_Brands!$A$2:$FZ$601,401,Sync!$D$5)&amp;"",""))</f>
        <v/>
      </c>
      <c r="E4452" s="17">
        <f>IF(B4452="","",IFERROR(INDEX(Clay_Brands!$A$2:$FZ$601,401,Sync!$D$6)&amp;"",""))</f>
        <v/>
      </c>
      <c r="F4452" s="17">
        <f>IF(B4452="","","outreach_sent")</f>
        <v/>
      </c>
      <c r="G4452" s="17">
        <f>IF(B4452="","","")</f>
        <v/>
      </c>
      <c r="H4452" s="17">
        <f>IF(B4452="","","")</f>
        <v/>
      </c>
      <c r="I4452" s="17">
        <f>IF(B4452="","","")</f>
        <v/>
      </c>
      <c r="J4452" s="17">
        <f>IF(B4452="","","touch_2; "&amp;IFERROR(INDEX(Clay_Brands!$A$2:$FZ$601,401,Sync!$D$10)&amp;"","")&amp;"; "&amp;IFERROR(INDEX(Clay_Brands!$A$2:$FZ$601,401,Sync!$D$9)&amp;"",""))</f>
        <v/>
      </c>
      <c r="K4452" t="inlineStr">
        <is>
          <t>brand outreach touch 2</t>
        </is>
      </c>
    </row>
    <row r="4453">
      <c r="A4453" s="17">
        <f>IF(B4453="","",B4453+(16*1000+402)/10000000)</f>
        <v/>
      </c>
      <c r="B4453" s="23">
        <f>IF(AND(IFERROR(N(INDEX(Clay_Brands!$A$2:$FZ$601,402,Sync!$D$12)),0)&gt;0,IFERROR(INDEX(Clay_Brands!$A$2:$FZ$601,402,Sync!$D$5)&amp;"","")&lt;&gt;"",OR(LEFT(IFERROR(INDEX(Clay_Brands!$A$2:$FZ$601,402,Sync!$D$5)&amp;"",""),6)&lt;&gt;"SAMPLE",Config!$B$19="Y")),IFERROR(N(INDEX(Clay_Brands!$A$2:$FZ$601,402,Sync!$D$12)),0),"")</f>
        <v/>
      </c>
      <c r="C4453" s="17">
        <f>IF(B4453="","","brand")</f>
        <v/>
      </c>
      <c r="D4453" s="17">
        <f>IF(B4453="","",IFERROR(INDEX(Clay_Brands!$A$2:$FZ$601,402,Sync!$D$5)&amp;"",""))</f>
        <v/>
      </c>
      <c r="E4453" s="17">
        <f>IF(B4453="","",IFERROR(INDEX(Clay_Brands!$A$2:$FZ$601,402,Sync!$D$6)&amp;"",""))</f>
        <v/>
      </c>
      <c r="F4453" s="17">
        <f>IF(B4453="","","outreach_sent")</f>
        <v/>
      </c>
      <c r="G4453" s="17">
        <f>IF(B4453="","","")</f>
        <v/>
      </c>
      <c r="H4453" s="17">
        <f>IF(B4453="","","")</f>
        <v/>
      </c>
      <c r="I4453" s="17">
        <f>IF(B4453="","","")</f>
        <v/>
      </c>
      <c r="J4453" s="17">
        <f>IF(B4453="","","touch_2; "&amp;IFERROR(INDEX(Clay_Brands!$A$2:$FZ$601,402,Sync!$D$10)&amp;"","")&amp;"; "&amp;IFERROR(INDEX(Clay_Brands!$A$2:$FZ$601,402,Sync!$D$9)&amp;"",""))</f>
        <v/>
      </c>
      <c r="K4453" t="inlineStr">
        <is>
          <t>brand outreach touch 2</t>
        </is>
      </c>
    </row>
    <row r="4454">
      <c r="A4454" s="17">
        <f>IF(B4454="","",B4454+(16*1000+403)/10000000)</f>
        <v/>
      </c>
      <c r="B4454" s="23">
        <f>IF(AND(IFERROR(N(INDEX(Clay_Brands!$A$2:$FZ$601,403,Sync!$D$12)),0)&gt;0,IFERROR(INDEX(Clay_Brands!$A$2:$FZ$601,403,Sync!$D$5)&amp;"","")&lt;&gt;"",OR(LEFT(IFERROR(INDEX(Clay_Brands!$A$2:$FZ$601,403,Sync!$D$5)&amp;"",""),6)&lt;&gt;"SAMPLE",Config!$B$19="Y")),IFERROR(N(INDEX(Clay_Brands!$A$2:$FZ$601,403,Sync!$D$12)),0),"")</f>
        <v/>
      </c>
      <c r="C4454" s="17">
        <f>IF(B4454="","","brand")</f>
        <v/>
      </c>
      <c r="D4454" s="17">
        <f>IF(B4454="","",IFERROR(INDEX(Clay_Brands!$A$2:$FZ$601,403,Sync!$D$5)&amp;"",""))</f>
        <v/>
      </c>
      <c r="E4454" s="17">
        <f>IF(B4454="","",IFERROR(INDEX(Clay_Brands!$A$2:$FZ$601,403,Sync!$D$6)&amp;"",""))</f>
        <v/>
      </c>
      <c r="F4454" s="17">
        <f>IF(B4454="","","outreach_sent")</f>
        <v/>
      </c>
      <c r="G4454" s="17">
        <f>IF(B4454="","","")</f>
        <v/>
      </c>
      <c r="H4454" s="17">
        <f>IF(B4454="","","")</f>
        <v/>
      </c>
      <c r="I4454" s="17">
        <f>IF(B4454="","","")</f>
        <v/>
      </c>
      <c r="J4454" s="17">
        <f>IF(B4454="","","touch_2; "&amp;IFERROR(INDEX(Clay_Brands!$A$2:$FZ$601,403,Sync!$D$10)&amp;"","")&amp;"; "&amp;IFERROR(INDEX(Clay_Brands!$A$2:$FZ$601,403,Sync!$D$9)&amp;"",""))</f>
        <v/>
      </c>
      <c r="K4454" t="inlineStr">
        <is>
          <t>brand outreach touch 2</t>
        </is>
      </c>
    </row>
    <row r="4455">
      <c r="A4455" s="17">
        <f>IF(B4455="","",B4455+(16*1000+404)/10000000)</f>
        <v/>
      </c>
      <c r="B4455" s="23">
        <f>IF(AND(IFERROR(N(INDEX(Clay_Brands!$A$2:$FZ$601,404,Sync!$D$12)),0)&gt;0,IFERROR(INDEX(Clay_Brands!$A$2:$FZ$601,404,Sync!$D$5)&amp;"","")&lt;&gt;"",OR(LEFT(IFERROR(INDEX(Clay_Brands!$A$2:$FZ$601,404,Sync!$D$5)&amp;"",""),6)&lt;&gt;"SAMPLE",Config!$B$19="Y")),IFERROR(N(INDEX(Clay_Brands!$A$2:$FZ$601,404,Sync!$D$12)),0),"")</f>
        <v/>
      </c>
      <c r="C4455" s="17">
        <f>IF(B4455="","","brand")</f>
        <v/>
      </c>
      <c r="D4455" s="17">
        <f>IF(B4455="","",IFERROR(INDEX(Clay_Brands!$A$2:$FZ$601,404,Sync!$D$5)&amp;"",""))</f>
        <v/>
      </c>
      <c r="E4455" s="17">
        <f>IF(B4455="","",IFERROR(INDEX(Clay_Brands!$A$2:$FZ$601,404,Sync!$D$6)&amp;"",""))</f>
        <v/>
      </c>
      <c r="F4455" s="17">
        <f>IF(B4455="","","outreach_sent")</f>
        <v/>
      </c>
      <c r="G4455" s="17">
        <f>IF(B4455="","","")</f>
        <v/>
      </c>
      <c r="H4455" s="17">
        <f>IF(B4455="","","")</f>
        <v/>
      </c>
      <c r="I4455" s="17">
        <f>IF(B4455="","","")</f>
        <v/>
      </c>
      <c r="J4455" s="17">
        <f>IF(B4455="","","touch_2; "&amp;IFERROR(INDEX(Clay_Brands!$A$2:$FZ$601,404,Sync!$D$10)&amp;"","")&amp;"; "&amp;IFERROR(INDEX(Clay_Brands!$A$2:$FZ$601,404,Sync!$D$9)&amp;"",""))</f>
        <v/>
      </c>
      <c r="K4455" t="inlineStr">
        <is>
          <t>brand outreach touch 2</t>
        </is>
      </c>
    </row>
    <row r="4456">
      <c r="A4456" s="17">
        <f>IF(B4456="","",B4456+(16*1000+405)/10000000)</f>
        <v/>
      </c>
      <c r="B4456" s="23">
        <f>IF(AND(IFERROR(N(INDEX(Clay_Brands!$A$2:$FZ$601,405,Sync!$D$12)),0)&gt;0,IFERROR(INDEX(Clay_Brands!$A$2:$FZ$601,405,Sync!$D$5)&amp;"","")&lt;&gt;"",OR(LEFT(IFERROR(INDEX(Clay_Brands!$A$2:$FZ$601,405,Sync!$D$5)&amp;"",""),6)&lt;&gt;"SAMPLE",Config!$B$19="Y")),IFERROR(N(INDEX(Clay_Brands!$A$2:$FZ$601,405,Sync!$D$12)),0),"")</f>
        <v/>
      </c>
      <c r="C4456" s="17">
        <f>IF(B4456="","","brand")</f>
        <v/>
      </c>
      <c r="D4456" s="17">
        <f>IF(B4456="","",IFERROR(INDEX(Clay_Brands!$A$2:$FZ$601,405,Sync!$D$5)&amp;"",""))</f>
        <v/>
      </c>
      <c r="E4456" s="17">
        <f>IF(B4456="","",IFERROR(INDEX(Clay_Brands!$A$2:$FZ$601,405,Sync!$D$6)&amp;"",""))</f>
        <v/>
      </c>
      <c r="F4456" s="17">
        <f>IF(B4456="","","outreach_sent")</f>
        <v/>
      </c>
      <c r="G4456" s="17">
        <f>IF(B4456="","","")</f>
        <v/>
      </c>
      <c r="H4456" s="17">
        <f>IF(B4456="","","")</f>
        <v/>
      </c>
      <c r="I4456" s="17">
        <f>IF(B4456="","","")</f>
        <v/>
      </c>
      <c r="J4456" s="17">
        <f>IF(B4456="","","touch_2; "&amp;IFERROR(INDEX(Clay_Brands!$A$2:$FZ$601,405,Sync!$D$10)&amp;"","")&amp;"; "&amp;IFERROR(INDEX(Clay_Brands!$A$2:$FZ$601,405,Sync!$D$9)&amp;"",""))</f>
        <v/>
      </c>
      <c r="K4456" t="inlineStr">
        <is>
          <t>brand outreach touch 2</t>
        </is>
      </c>
    </row>
    <row r="4457">
      <c r="A4457" s="17">
        <f>IF(B4457="","",B4457+(16*1000+406)/10000000)</f>
        <v/>
      </c>
      <c r="B4457" s="23">
        <f>IF(AND(IFERROR(N(INDEX(Clay_Brands!$A$2:$FZ$601,406,Sync!$D$12)),0)&gt;0,IFERROR(INDEX(Clay_Brands!$A$2:$FZ$601,406,Sync!$D$5)&amp;"","")&lt;&gt;"",OR(LEFT(IFERROR(INDEX(Clay_Brands!$A$2:$FZ$601,406,Sync!$D$5)&amp;"",""),6)&lt;&gt;"SAMPLE",Config!$B$19="Y")),IFERROR(N(INDEX(Clay_Brands!$A$2:$FZ$601,406,Sync!$D$12)),0),"")</f>
        <v/>
      </c>
      <c r="C4457" s="17">
        <f>IF(B4457="","","brand")</f>
        <v/>
      </c>
      <c r="D4457" s="17">
        <f>IF(B4457="","",IFERROR(INDEX(Clay_Brands!$A$2:$FZ$601,406,Sync!$D$5)&amp;"",""))</f>
        <v/>
      </c>
      <c r="E4457" s="17">
        <f>IF(B4457="","",IFERROR(INDEX(Clay_Brands!$A$2:$FZ$601,406,Sync!$D$6)&amp;"",""))</f>
        <v/>
      </c>
      <c r="F4457" s="17">
        <f>IF(B4457="","","outreach_sent")</f>
        <v/>
      </c>
      <c r="G4457" s="17">
        <f>IF(B4457="","","")</f>
        <v/>
      </c>
      <c r="H4457" s="17">
        <f>IF(B4457="","","")</f>
        <v/>
      </c>
      <c r="I4457" s="17">
        <f>IF(B4457="","","")</f>
        <v/>
      </c>
      <c r="J4457" s="17">
        <f>IF(B4457="","","touch_2; "&amp;IFERROR(INDEX(Clay_Brands!$A$2:$FZ$601,406,Sync!$D$10)&amp;"","")&amp;"; "&amp;IFERROR(INDEX(Clay_Brands!$A$2:$FZ$601,406,Sync!$D$9)&amp;"",""))</f>
        <v/>
      </c>
      <c r="K4457" t="inlineStr">
        <is>
          <t>brand outreach touch 2</t>
        </is>
      </c>
    </row>
    <row r="4458">
      <c r="A4458" s="17">
        <f>IF(B4458="","",B4458+(16*1000+407)/10000000)</f>
        <v/>
      </c>
      <c r="B4458" s="23">
        <f>IF(AND(IFERROR(N(INDEX(Clay_Brands!$A$2:$FZ$601,407,Sync!$D$12)),0)&gt;0,IFERROR(INDEX(Clay_Brands!$A$2:$FZ$601,407,Sync!$D$5)&amp;"","")&lt;&gt;"",OR(LEFT(IFERROR(INDEX(Clay_Brands!$A$2:$FZ$601,407,Sync!$D$5)&amp;"",""),6)&lt;&gt;"SAMPLE",Config!$B$19="Y")),IFERROR(N(INDEX(Clay_Brands!$A$2:$FZ$601,407,Sync!$D$12)),0),"")</f>
        <v/>
      </c>
      <c r="C4458" s="17">
        <f>IF(B4458="","","brand")</f>
        <v/>
      </c>
      <c r="D4458" s="17">
        <f>IF(B4458="","",IFERROR(INDEX(Clay_Brands!$A$2:$FZ$601,407,Sync!$D$5)&amp;"",""))</f>
        <v/>
      </c>
      <c r="E4458" s="17">
        <f>IF(B4458="","",IFERROR(INDEX(Clay_Brands!$A$2:$FZ$601,407,Sync!$D$6)&amp;"",""))</f>
        <v/>
      </c>
      <c r="F4458" s="17">
        <f>IF(B4458="","","outreach_sent")</f>
        <v/>
      </c>
      <c r="G4458" s="17">
        <f>IF(B4458="","","")</f>
        <v/>
      </c>
      <c r="H4458" s="17">
        <f>IF(B4458="","","")</f>
        <v/>
      </c>
      <c r="I4458" s="17">
        <f>IF(B4458="","","")</f>
        <v/>
      </c>
      <c r="J4458" s="17">
        <f>IF(B4458="","","touch_2; "&amp;IFERROR(INDEX(Clay_Brands!$A$2:$FZ$601,407,Sync!$D$10)&amp;"","")&amp;"; "&amp;IFERROR(INDEX(Clay_Brands!$A$2:$FZ$601,407,Sync!$D$9)&amp;"",""))</f>
        <v/>
      </c>
      <c r="K4458" t="inlineStr">
        <is>
          <t>brand outreach touch 2</t>
        </is>
      </c>
    </row>
    <row r="4459">
      <c r="A4459" s="17">
        <f>IF(B4459="","",B4459+(16*1000+408)/10000000)</f>
        <v/>
      </c>
      <c r="B4459" s="23">
        <f>IF(AND(IFERROR(N(INDEX(Clay_Brands!$A$2:$FZ$601,408,Sync!$D$12)),0)&gt;0,IFERROR(INDEX(Clay_Brands!$A$2:$FZ$601,408,Sync!$D$5)&amp;"","")&lt;&gt;"",OR(LEFT(IFERROR(INDEX(Clay_Brands!$A$2:$FZ$601,408,Sync!$D$5)&amp;"",""),6)&lt;&gt;"SAMPLE",Config!$B$19="Y")),IFERROR(N(INDEX(Clay_Brands!$A$2:$FZ$601,408,Sync!$D$12)),0),"")</f>
        <v/>
      </c>
      <c r="C4459" s="17">
        <f>IF(B4459="","","brand")</f>
        <v/>
      </c>
      <c r="D4459" s="17">
        <f>IF(B4459="","",IFERROR(INDEX(Clay_Brands!$A$2:$FZ$601,408,Sync!$D$5)&amp;"",""))</f>
        <v/>
      </c>
      <c r="E4459" s="17">
        <f>IF(B4459="","",IFERROR(INDEX(Clay_Brands!$A$2:$FZ$601,408,Sync!$D$6)&amp;"",""))</f>
        <v/>
      </c>
      <c r="F4459" s="17">
        <f>IF(B4459="","","outreach_sent")</f>
        <v/>
      </c>
      <c r="G4459" s="17">
        <f>IF(B4459="","","")</f>
        <v/>
      </c>
      <c r="H4459" s="17">
        <f>IF(B4459="","","")</f>
        <v/>
      </c>
      <c r="I4459" s="17">
        <f>IF(B4459="","","")</f>
        <v/>
      </c>
      <c r="J4459" s="17">
        <f>IF(B4459="","","touch_2; "&amp;IFERROR(INDEX(Clay_Brands!$A$2:$FZ$601,408,Sync!$D$10)&amp;"","")&amp;"; "&amp;IFERROR(INDEX(Clay_Brands!$A$2:$FZ$601,408,Sync!$D$9)&amp;"",""))</f>
        <v/>
      </c>
      <c r="K4459" t="inlineStr">
        <is>
          <t>brand outreach touch 2</t>
        </is>
      </c>
    </row>
    <row r="4460">
      <c r="A4460" s="17">
        <f>IF(B4460="","",B4460+(16*1000+409)/10000000)</f>
        <v/>
      </c>
      <c r="B4460" s="23">
        <f>IF(AND(IFERROR(N(INDEX(Clay_Brands!$A$2:$FZ$601,409,Sync!$D$12)),0)&gt;0,IFERROR(INDEX(Clay_Brands!$A$2:$FZ$601,409,Sync!$D$5)&amp;"","")&lt;&gt;"",OR(LEFT(IFERROR(INDEX(Clay_Brands!$A$2:$FZ$601,409,Sync!$D$5)&amp;"",""),6)&lt;&gt;"SAMPLE",Config!$B$19="Y")),IFERROR(N(INDEX(Clay_Brands!$A$2:$FZ$601,409,Sync!$D$12)),0),"")</f>
        <v/>
      </c>
      <c r="C4460" s="17">
        <f>IF(B4460="","","brand")</f>
        <v/>
      </c>
      <c r="D4460" s="17">
        <f>IF(B4460="","",IFERROR(INDEX(Clay_Brands!$A$2:$FZ$601,409,Sync!$D$5)&amp;"",""))</f>
        <v/>
      </c>
      <c r="E4460" s="17">
        <f>IF(B4460="","",IFERROR(INDEX(Clay_Brands!$A$2:$FZ$601,409,Sync!$D$6)&amp;"",""))</f>
        <v/>
      </c>
      <c r="F4460" s="17">
        <f>IF(B4460="","","outreach_sent")</f>
        <v/>
      </c>
      <c r="G4460" s="17">
        <f>IF(B4460="","","")</f>
        <v/>
      </c>
      <c r="H4460" s="17">
        <f>IF(B4460="","","")</f>
        <v/>
      </c>
      <c r="I4460" s="17">
        <f>IF(B4460="","","")</f>
        <v/>
      </c>
      <c r="J4460" s="17">
        <f>IF(B4460="","","touch_2; "&amp;IFERROR(INDEX(Clay_Brands!$A$2:$FZ$601,409,Sync!$D$10)&amp;"","")&amp;"; "&amp;IFERROR(INDEX(Clay_Brands!$A$2:$FZ$601,409,Sync!$D$9)&amp;"",""))</f>
        <v/>
      </c>
      <c r="K4460" t="inlineStr">
        <is>
          <t>brand outreach touch 2</t>
        </is>
      </c>
    </row>
    <row r="4461">
      <c r="A4461" s="17">
        <f>IF(B4461="","",B4461+(16*1000+410)/10000000)</f>
        <v/>
      </c>
      <c r="B4461" s="23">
        <f>IF(AND(IFERROR(N(INDEX(Clay_Brands!$A$2:$FZ$601,410,Sync!$D$12)),0)&gt;0,IFERROR(INDEX(Clay_Brands!$A$2:$FZ$601,410,Sync!$D$5)&amp;"","")&lt;&gt;"",OR(LEFT(IFERROR(INDEX(Clay_Brands!$A$2:$FZ$601,410,Sync!$D$5)&amp;"",""),6)&lt;&gt;"SAMPLE",Config!$B$19="Y")),IFERROR(N(INDEX(Clay_Brands!$A$2:$FZ$601,410,Sync!$D$12)),0),"")</f>
        <v/>
      </c>
      <c r="C4461" s="17">
        <f>IF(B4461="","","brand")</f>
        <v/>
      </c>
      <c r="D4461" s="17">
        <f>IF(B4461="","",IFERROR(INDEX(Clay_Brands!$A$2:$FZ$601,410,Sync!$D$5)&amp;"",""))</f>
        <v/>
      </c>
      <c r="E4461" s="17">
        <f>IF(B4461="","",IFERROR(INDEX(Clay_Brands!$A$2:$FZ$601,410,Sync!$D$6)&amp;"",""))</f>
        <v/>
      </c>
      <c r="F4461" s="17">
        <f>IF(B4461="","","outreach_sent")</f>
        <v/>
      </c>
      <c r="G4461" s="17">
        <f>IF(B4461="","","")</f>
        <v/>
      </c>
      <c r="H4461" s="17">
        <f>IF(B4461="","","")</f>
        <v/>
      </c>
      <c r="I4461" s="17">
        <f>IF(B4461="","","")</f>
        <v/>
      </c>
      <c r="J4461" s="17">
        <f>IF(B4461="","","touch_2; "&amp;IFERROR(INDEX(Clay_Brands!$A$2:$FZ$601,410,Sync!$D$10)&amp;"","")&amp;"; "&amp;IFERROR(INDEX(Clay_Brands!$A$2:$FZ$601,410,Sync!$D$9)&amp;"",""))</f>
        <v/>
      </c>
      <c r="K4461" t="inlineStr">
        <is>
          <t>brand outreach touch 2</t>
        </is>
      </c>
    </row>
    <row r="4462">
      <c r="A4462" s="17">
        <f>IF(B4462="","",B4462+(16*1000+411)/10000000)</f>
        <v/>
      </c>
      <c r="B4462" s="23">
        <f>IF(AND(IFERROR(N(INDEX(Clay_Brands!$A$2:$FZ$601,411,Sync!$D$12)),0)&gt;0,IFERROR(INDEX(Clay_Brands!$A$2:$FZ$601,411,Sync!$D$5)&amp;"","")&lt;&gt;"",OR(LEFT(IFERROR(INDEX(Clay_Brands!$A$2:$FZ$601,411,Sync!$D$5)&amp;"",""),6)&lt;&gt;"SAMPLE",Config!$B$19="Y")),IFERROR(N(INDEX(Clay_Brands!$A$2:$FZ$601,411,Sync!$D$12)),0),"")</f>
        <v/>
      </c>
      <c r="C4462" s="17">
        <f>IF(B4462="","","brand")</f>
        <v/>
      </c>
      <c r="D4462" s="17">
        <f>IF(B4462="","",IFERROR(INDEX(Clay_Brands!$A$2:$FZ$601,411,Sync!$D$5)&amp;"",""))</f>
        <v/>
      </c>
      <c r="E4462" s="17">
        <f>IF(B4462="","",IFERROR(INDEX(Clay_Brands!$A$2:$FZ$601,411,Sync!$D$6)&amp;"",""))</f>
        <v/>
      </c>
      <c r="F4462" s="17">
        <f>IF(B4462="","","outreach_sent")</f>
        <v/>
      </c>
      <c r="G4462" s="17">
        <f>IF(B4462="","","")</f>
        <v/>
      </c>
      <c r="H4462" s="17">
        <f>IF(B4462="","","")</f>
        <v/>
      </c>
      <c r="I4462" s="17">
        <f>IF(B4462="","","")</f>
        <v/>
      </c>
      <c r="J4462" s="17">
        <f>IF(B4462="","","touch_2; "&amp;IFERROR(INDEX(Clay_Brands!$A$2:$FZ$601,411,Sync!$D$10)&amp;"","")&amp;"; "&amp;IFERROR(INDEX(Clay_Brands!$A$2:$FZ$601,411,Sync!$D$9)&amp;"",""))</f>
        <v/>
      </c>
      <c r="K4462" t="inlineStr">
        <is>
          <t>brand outreach touch 2</t>
        </is>
      </c>
    </row>
    <row r="4463">
      <c r="A4463" s="17">
        <f>IF(B4463="","",B4463+(16*1000+412)/10000000)</f>
        <v/>
      </c>
      <c r="B4463" s="23">
        <f>IF(AND(IFERROR(N(INDEX(Clay_Brands!$A$2:$FZ$601,412,Sync!$D$12)),0)&gt;0,IFERROR(INDEX(Clay_Brands!$A$2:$FZ$601,412,Sync!$D$5)&amp;"","")&lt;&gt;"",OR(LEFT(IFERROR(INDEX(Clay_Brands!$A$2:$FZ$601,412,Sync!$D$5)&amp;"",""),6)&lt;&gt;"SAMPLE",Config!$B$19="Y")),IFERROR(N(INDEX(Clay_Brands!$A$2:$FZ$601,412,Sync!$D$12)),0),"")</f>
        <v/>
      </c>
      <c r="C4463" s="17">
        <f>IF(B4463="","","brand")</f>
        <v/>
      </c>
      <c r="D4463" s="17">
        <f>IF(B4463="","",IFERROR(INDEX(Clay_Brands!$A$2:$FZ$601,412,Sync!$D$5)&amp;"",""))</f>
        <v/>
      </c>
      <c r="E4463" s="17">
        <f>IF(B4463="","",IFERROR(INDEX(Clay_Brands!$A$2:$FZ$601,412,Sync!$D$6)&amp;"",""))</f>
        <v/>
      </c>
      <c r="F4463" s="17">
        <f>IF(B4463="","","outreach_sent")</f>
        <v/>
      </c>
      <c r="G4463" s="17">
        <f>IF(B4463="","","")</f>
        <v/>
      </c>
      <c r="H4463" s="17">
        <f>IF(B4463="","","")</f>
        <v/>
      </c>
      <c r="I4463" s="17">
        <f>IF(B4463="","","")</f>
        <v/>
      </c>
      <c r="J4463" s="17">
        <f>IF(B4463="","","touch_2; "&amp;IFERROR(INDEX(Clay_Brands!$A$2:$FZ$601,412,Sync!$D$10)&amp;"","")&amp;"; "&amp;IFERROR(INDEX(Clay_Brands!$A$2:$FZ$601,412,Sync!$D$9)&amp;"",""))</f>
        <v/>
      </c>
      <c r="K4463" t="inlineStr">
        <is>
          <t>brand outreach touch 2</t>
        </is>
      </c>
    </row>
    <row r="4464">
      <c r="A4464" s="17">
        <f>IF(B4464="","",B4464+(16*1000+413)/10000000)</f>
        <v/>
      </c>
      <c r="B4464" s="23">
        <f>IF(AND(IFERROR(N(INDEX(Clay_Brands!$A$2:$FZ$601,413,Sync!$D$12)),0)&gt;0,IFERROR(INDEX(Clay_Brands!$A$2:$FZ$601,413,Sync!$D$5)&amp;"","")&lt;&gt;"",OR(LEFT(IFERROR(INDEX(Clay_Brands!$A$2:$FZ$601,413,Sync!$D$5)&amp;"",""),6)&lt;&gt;"SAMPLE",Config!$B$19="Y")),IFERROR(N(INDEX(Clay_Brands!$A$2:$FZ$601,413,Sync!$D$12)),0),"")</f>
        <v/>
      </c>
      <c r="C4464" s="17">
        <f>IF(B4464="","","brand")</f>
        <v/>
      </c>
      <c r="D4464" s="17">
        <f>IF(B4464="","",IFERROR(INDEX(Clay_Brands!$A$2:$FZ$601,413,Sync!$D$5)&amp;"",""))</f>
        <v/>
      </c>
      <c r="E4464" s="17">
        <f>IF(B4464="","",IFERROR(INDEX(Clay_Brands!$A$2:$FZ$601,413,Sync!$D$6)&amp;"",""))</f>
        <v/>
      </c>
      <c r="F4464" s="17">
        <f>IF(B4464="","","outreach_sent")</f>
        <v/>
      </c>
      <c r="G4464" s="17">
        <f>IF(B4464="","","")</f>
        <v/>
      </c>
      <c r="H4464" s="17">
        <f>IF(B4464="","","")</f>
        <v/>
      </c>
      <c r="I4464" s="17">
        <f>IF(B4464="","","")</f>
        <v/>
      </c>
      <c r="J4464" s="17">
        <f>IF(B4464="","","touch_2; "&amp;IFERROR(INDEX(Clay_Brands!$A$2:$FZ$601,413,Sync!$D$10)&amp;"","")&amp;"; "&amp;IFERROR(INDEX(Clay_Brands!$A$2:$FZ$601,413,Sync!$D$9)&amp;"",""))</f>
        <v/>
      </c>
      <c r="K4464" t="inlineStr">
        <is>
          <t>brand outreach touch 2</t>
        </is>
      </c>
    </row>
    <row r="4465">
      <c r="A4465" s="17">
        <f>IF(B4465="","",B4465+(16*1000+414)/10000000)</f>
        <v/>
      </c>
      <c r="B4465" s="23">
        <f>IF(AND(IFERROR(N(INDEX(Clay_Brands!$A$2:$FZ$601,414,Sync!$D$12)),0)&gt;0,IFERROR(INDEX(Clay_Brands!$A$2:$FZ$601,414,Sync!$D$5)&amp;"","")&lt;&gt;"",OR(LEFT(IFERROR(INDEX(Clay_Brands!$A$2:$FZ$601,414,Sync!$D$5)&amp;"",""),6)&lt;&gt;"SAMPLE",Config!$B$19="Y")),IFERROR(N(INDEX(Clay_Brands!$A$2:$FZ$601,414,Sync!$D$12)),0),"")</f>
        <v/>
      </c>
      <c r="C4465" s="17">
        <f>IF(B4465="","","brand")</f>
        <v/>
      </c>
      <c r="D4465" s="17">
        <f>IF(B4465="","",IFERROR(INDEX(Clay_Brands!$A$2:$FZ$601,414,Sync!$D$5)&amp;"",""))</f>
        <v/>
      </c>
      <c r="E4465" s="17">
        <f>IF(B4465="","",IFERROR(INDEX(Clay_Brands!$A$2:$FZ$601,414,Sync!$D$6)&amp;"",""))</f>
        <v/>
      </c>
      <c r="F4465" s="17">
        <f>IF(B4465="","","outreach_sent")</f>
        <v/>
      </c>
      <c r="G4465" s="17">
        <f>IF(B4465="","","")</f>
        <v/>
      </c>
      <c r="H4465" s="17">
        <f>IF(B4465="","","")</f>
        <v/>
      </c>
      <c r="I4465" s="17">
        <f>IF(B4465="","","")</f>
        <v/>
      </c>
      <c r="J4465" s="17">
        <f>IF(B4465="","","touch_2; "&amp;IFERROR(INDEX(Clay_Brands!$A$2:$FZ$601,414,Sync!$D$10)&amp;"","")&amp;"; "&amp;IFERROR(INDEX(Clay_Brands!$A$2:$FZ$601,414,Sync!$D$9)&amp;"",""))</f>
        <v/>
      </c>
      <c r="K4465" t="inlineStr">
        <is>
          <t>brand outreach touch 2</t>
        </is>
      </c>
    </row>
    <row r="4466">
      <c r="A4466" s="17">
        <f>IF(B4466="","",B4466+(16*1000+415)/10000000)</f>
        <v/>
      </c>
      <c r="B4466" s="23">
        <f>IF(AND(IFERROR(N(INDEX(Clay_Brands!$A$2:$FZ$601,415,Sync!$D$12)),0)&gt;0,IFERROR(INDEX(Clay_Brands!$A$2:$FZ$601,415,Sync!$D$5)&amp;"","")&lt;&gt;"",OR(LEFT(IFERROR(INDEX(Clay_Brands!$A$2:$FZ$601,415,Sync!$D$5)&amp;"",""),6)&lt;&gt;"SAMPLE",Config!$B$19="Y")),IFERROR(N(INDEX(Clay_Brands!$A$2:$FZ$601,415,Sync!$D$12)),0),"")</f>
        <v/>
      </c>
      <c r="C4466" s="17">
        <f>IF(B4466="","","brand")</f>
        <v/>
      </c>
      <c r="D4466" s="17">
        <f>IF(B4466="","",IFERROR(INDEX(Clay_Brands!$A$2:$FZ$601,415,Sync!$D$5)&amp;"",""))</f>
        <v/>
      </c>
      <c r="E4466" s="17">
        <f>IF(B4466="","",IFERROR(INDEX(Clay_Brands!$A$2:$FZ$601,415,Sync!$D$6)&amp;"",""))</f>
        <v/>
      </c>
      <c r="F4466" s="17">
        <f>IF(B4466="","","outreach_sent")</f>
        <v/>
      </c>
      <c r="G4466" s="17">
        <f>IF(B4466="","","")</f>
        <v/>
      </c>
      <c r="H4466" s="17">
        <f>IF(B4466="","","")</f>
        <v/>
      </c>
      <c r="I4466" s="17">
        <f>IF(B4466="","","")</f>
        <v/>
      </c>
      <c r="J4466" s="17">
        <f>IF(B4466="","","touch_2; "&amp;IFERROR(INDEX(Clay_Brands!$A$2:$FZ$601,415,Sync!$D$10)&amp;"","")&amp;"; "&amp;IFERROR(INDEX(Clay_Brands!$A$2:$FZ$601,415,Sync!$D$9)&amp;"",""))</f>
        <v/>
      </c>
      <c r="K4466" t="inlineStr">
        <is>
          <t>brand outreach touch 2</t>
        </is>
      </c>
    </row>
    <row r="4467">
      <c r="A4467" s="17">
        <f>IF(B4467="","",B4467+(16*1000+416)/10000000)</f>
        <v/>
      </c>
      <c r="B4467" s="23">
        <f>IF(AND(IFERROR(N(INDEX(Clay_Brands!$A$2:$FZ$601,416,Sync!$D$12)),0)&gt;0,IFERROR(INDEX(Clay_Brands!$A$2:$FZ$601,416,Sync!$D$5)&amp;"","")&lt;&gt;"",OR(LEFT(IFERROR(INDEX(Clay_Brands!$A$2:$FZ$601,416,Sync!$D$5)&amp;"",""),6)&lt;&gt;"SAMPLE",Config!$B$19="Y")),IFERROR(N(INDEX(Clay_Brands!$A$2:$FZ$601,416,Sync!$D$12)),0),"")</f>
        <v/>
      </c>
      <c r="C4467" s="17">
        <f>IF(B4467="","","brand")</f>
        <v/>
      </c>
      <c r="D4467" s="17">
        <f>IF(B4467="","",IFERROR(INDEX(Clay_Brands!$A$2:$FZ$601,416,Sync!$D$5)&amp;"",""))</f>
        <v/>
      </c>
      <c r="E4467" s="17">
        <f>IF(B4467="","",IFERROR(INDEX(Clay_Brands!$A$2:$FZ$601,416,Sync!$D$6)&amp;"",""))</f>
        <v/>
      </c>
      <c r="F4467" s="17">
        <f>IF(B4467="","","outreach_sent")</f>
        <v/>
      </c>
      <c r="G4467" s="17">
        <f>IF(B4467="","","")</f>
        <v/>
      </c>
      <c r="H4467" s="17">
        <f>IF(B4467="","","")</f>
        <v/>
      </c>
      <c r="I4467" s="17">
        <f>IF(B4467="","","")</f>
        <v/>
      </c>
      <c r="J4467" s="17">
        <f>IF(B4467="","","touch_2; "&amp;IFERROR(INDEX(Clay_Brands!$A$2:$FZ$601,416,Sync!$D$10)&amp;"","")&amp;"; "&amp;IFERROR(INDEX(Clay_Brands!$A$2:$FZ$601,416,Sync!$D$9)&amp;"",""))</f>
        <v/>
      </c>
      <c r="K4467" t="inlineStr">
        <is>
          <t>brand outreach touch 2</t>
        </is>
      </c>
    </row>
    <row r="4468">
      <c r="A4468" s="17">
        <f>IF(B4468="","",B4468+(16*1000+417)/10000000)</f>
        <v/>
      </c>
      <c r="B4468" s="23">
        <f>IF(AND(IFERROR(N(INDEX(Clay_Brands!$A$2:$FZ$601,417,Sync!$D$12)),0)&gt;0,IFERROR(INDEX(Clay_Brands!$A$2:$FZ$601,417,Sync!$D$5)&amp;"","")&lt;&gt;"",OR(LEFT(IFERROR(INDEX(Clay_Brands!$A$2:$FZ$601,417,Sync!$D$5)&amp;"",""),6)&lt;&gt;"SAMPLE",Config!$B$19="Y")),IFERROR(N(INDEX(Clay_Brands!$A$2:$FZ$601,417,Sync!$D$12)),0),"")</f>
        <v/>
      </c>
      <c r="C4468" s="17">
        <f>IF(B4468="","","brand")</f>
        <v/>
      </c>
      <c r="D4468" s="17">
        <f>IF(B4468="","",IFERROR(INDEX(Clay_Brands!$A$2:$FZ$601,417,Sync!$D$5)&amp;"",""))</f>
        <v/>
      </c>
      <c r="E4468" s="17">
        <f>IF(B4468="","",IFERROR(INDEX(Clay_Brands!$A$2:$FZ$601,417,Sync!$D$6)&amp;"",""))</f>
        <v/>
      </c>
      <c r="F4468" s="17">
        <f>IF(B4468="","","outreach_sent")</f>
        <v/>
      </c>
      <c r="G4468" s="17">
        <f>IF(B4468="","","")</f>
        <v/>
      </c>
      <c r="H4468" s="17">
        <f>IF(B4468="","","")</f>
        <v/>
      </c>
      <c r="I4468" s="17">
        <f>IF(B4468="","","")</f>
        <v/>
      </c>
      <c r="J4468" s="17">
        <f>IF(B4468="","","touch_2; "&amp;IFERROR(INDEX(Clay_Brands!$A$2:$FZ$601,417,Sync!$D$10)&amp;"","")&amp;"; "&amp;IFERROR(INDEX(Clay_Brands!$A$2:$FZ$601,417,Sync!$D$9)&amp;"",""))</f>
        <v/>
      </c>
      <c r="K4468" t="inlineStr">
        <is>
          <t>brand outreach touch 2</t>
        </is>
      </c>
    </row>
    <row r="4469">
      <c r="A4469" s="17">
        <f>IF(B4469="","",B4469+(16*1000+418)/10000000)</f>
        <v/>
      </c>
      <c r="B4469" s="23">
        <f>IF(AND(IFERROR(N(INDEX(Clay_Brands!$A$2:$FZ$601,418,Sync!$D$12)),0)&gt;0,IFERROR(INDEX(Clay_Brands!$A$2:$FZ$601,418,Sync!$D$5)&amp;"","")&lt;&gt;"",OR(LEFT(IFERROR(INDEX(Clay_Brands!$A$2:$FZ$601,418,Sync!$D$5)&amp;"",""),6)&lt;&gt;"SAMPLE",Config!$B$19="Y")),IFERROR(N(INDEX(Clay_Brands!$A$2:$FZ$601,418,Sync!$D$12)),0),"")</f>
        <v/>
      </c>
      <c r="C4469" s="17">
        <f>IF(B4469="","","brand")</f>
        <v/>
      </c>
      <c r="D4469" s="17">
        <f>IF(B4469="","",IFERROR(INDEX(Clay_Brands!$A$2:$FZ$601,418,Sync!$D$5)&amp;"",""))</f>
        <v/>
      </c>
      <c r="E4469" s="17">
        <f>IF(B4469="","",IFERROR(INDEX(Clay_Brands!$A$2:$FZ$601,418,Sync!$D$6)&amp;"",""))</f>
        <v/>
      </c>
      <c r="F4469" s="17">
        <f>IF(B4469="","","outreach_sent")</f>
        <v/>
      </c>
      <c r="G4469" s="17">
        <f>IF(B4469="","","")</f>
        <v/>
      </c>
      <c r="H4469" s="17">
        <f>IF(B4469="","","")</f>
        <v/>
      </c>
      <c r="I4469" s="17">
        <f>IF(B4469="","","")</f>
        <v/>
      </c>
      <c r="J4469" s="17">
        <f>IF(B4469="","","touch_2; "&amp;IFERROR(INDEX(Clay_Brands!$A$2:$FZ$601,418,Sync!$D$10)&amp;"","")&amp;"; "&amp;IFERROR(INDEX(Clay_Brands!$A$2:$FZ$601,418,Sync!$D$9)&amp;"",""))</f>
        <v/>
      </c>
      <c r="K4469" t="inlineStr">
        <is>
          <t>brand outreach touch 2</t>
        </is>
      </c>
    </row>
    <row r="4470">
      <c r="A4470" s="17">
        <f>IF(B4470="","",B4470+(16*1000+419)/10000000)</f>
        <v/>
      </c>
      <c r="B4470" s="23">
        <f>IF(AND(IFERROR(N(INDEX(Clay_Brands!$A$2:$FZ$601,419,Sync!$D$12)),0)&gt;0,IFERROR(INDEX(Clay_Brands!$A$2:$FZ$601,419,Sync!$D$5)&amp;"","")&lt;&gt;"",OR(LEFT(IFERROR(INDEX(Clay_Brands!$A$2:$FZ$601,419,Sync!$D$5)&amp;"",""),6)&lt;&gt;"SAMPLE",Config!$B$19="Y")),IFERROR(N(INDEX(Clay_Brands!$A$2:$FZ$601,419,Sync!$D$12)),0),"")</f>
        <v/>
      </c>
      <c r="C4470" s="17">
        <f>IF(B4470="","","brand")</f>
        <v/>
      </c>
      <c r="D4470" s="17">
        <f>IF(B4470="","",IFERROR(INDEX(Clay_Brands!$A$2:$FZ$601,419,Sync!$D$5)&amp;"",""))</f>
        <v/>
      </c>
      <c r="E4470" s="17">
        <f>IF(B4470="","",IFERROR(INDEX(Clay_Brands!$A$2:$FZ$601,419,Sync!$D$6)&amp;"",""))</f>
        <v/>
      </c>
      <c r="F4470" s="17">
        <f>IF(B4470="","","outreach_sent")</f>
        <v/>
      </c>
      <c r="G4470" s="17">
        <f>IF(B4470="","","")</f>
        <v/>
      </c>
      <c r="H4470" s="17">
        <f>IF(B4470="","","")</f>
        <v/>
      </c>
      <c r="I4470" s="17">
        <f>IF(B4470="","","")</f>
        <v/>
      </c>
      <c r="J4470" s="17">
        <f>IF(B4470="","","touch_2; "&amp;IFERROR(INDEX(Clay_Brands!$A$2:$FZ$601,419,Sync!$D$10)&amp;"","")&amp;"; "&amp;IFERROR(INDEX(Clay_Brands!$A$2:$FZ$601,419,Sync!$D$9)&amp;"",""))</f>
        <v/>
      </c>
      <c r="K4470" t="inlineStr">
        <is>
          <t>brand outreach touch 2</t>
        </is>
      </c>
    </row>
    <row r="4471">
      <c r="A4471" s="17">
        <f>IF(B4471="","",B4471+(16*1000+420)/10000000)</f>
        <v/>
      </c>
      <c r="B4471" s="23">
        <f>IF(AND(IFERROR(N(INDEX(Clay_Brands!$A$2:$FZ$601,420,Sync!$D$12)),0)&gt;0,IFERROR(INDEX(Clay_Brands!$A$2:$FZ$601,420,Sync!$D$5)&amp;"","")&lt;&gt;"",OR(LEFT(IFERROR(INDEX(Clay_Brands!$A$2:$FZ$601,420,Sync!$D$5)&amp;"",""),6)&lt;&gt;"SAMPLE",Config!$B$19="Y")),IFERROR(N(INDEX(Clay_Brands!$A$2:$FZ$601,420,Sync!$D$12)),0),"")</f>
        <v/>
      </c>
      <c r="C4471" s="17">
        <f>IF(B4471="","","brand")</f>
        <v/>
      </c>
      <c r="D4471" s="17">
        <f>IF(B4471="","",IFERROR(INDEX(Clay_Brands!$A$2:$FZ$601,420,Sync!$D$5)&amp;"",""))</f>
        <v/>
      </c>
      <c r="E4471" s="17">
        <f>IF(B4471="","",IFERROR(INDEX(Clay_Brands!$A$2:$FZ$601,420,Sync!$D$6)&amp;"",""))</f>
        <v/>
      </c>
      <c r="F4471" s="17">
        <f>IF(B4471="","","outreach_sent")</f>
        <v/>
      </c>
      <c r="G4471" s="17">
        <f>IF(B4471="","","")</f>
        <v/>
      </c>
      <c r="H4471" s="17">
        <f>IF(B4471="","","")</f>
        <v/>
      </c>
      <c r="I4471" s="17">
        <f>IF(B4471="","","")</f>
        <v/>
      </c>
      <c r="J4471" s="17">
        <f>IF(B4471="","","touch_2; "&amp;IFERROR(INDEX(Clay_Brands!$A$2:$FZ$601,420,Sync!$D$10)&amp;"","")&amp;"; "&amp;IFERROR(INDEX(Clay_Brands!$A$2:$FZ$601,420,Sync!$D$9)&amp;"",""))</f>
        <v/>
      </c>
      <c r="K4471" t="inlineStr">
        <is>
          <t>brand outreach touch 2</t>
        </is>
      </c>
    </row>
    <row r="4472">
      <c r="A4472" s="17">
        <f>IF(B4472="","",B4472+(16*1000+421)/10000000)</f>
        <v/>
      </c>
      <c r="B4472" s="23">
        <f>IF(AND(IFERROR(N(INDEX(Clay_Brands!$A$2:$FZ$601,421,Sync!$D$12)),0)&gt;0,IFERROR(INDEX(Clay_Brands!$A$2:$FZ$601,421,Sync!$D$5)&amp;"","")&lt;&gt;"",OR(LEFT(IFERROR(INDEX(Clay_Brands!$A$2:$FZ$601,421,Sync!$D$5)&amp;"",""),6)&lt;&gt;"SAMPLE",Config!$B$19="Y")),IFERROR(N(INDEX(Clay_Brands!$A$2:$FZ$601,421,Sync!$D$12)),0),"")</f>
        <v/>
      </c>
      <c r="C4472" s="17">
        <f>IF(B4472="","","brand")</f>
        <v/>
      </c>
      <c r="D4472" s="17">
        <f>IF(B4472="","",IFERROR(INDEX(Clay_Brands!$A$2:$FZ$601,421,Sync!$D$5)&amp;"",""))</f>
        <v/>
      </c>
      <c r="E4472" s="17">
        <f>IF(B4472="","",IFERROR(INDEX(Clay_Brands!$A$2:$FZ$601,421,Sync!$D$6)&amp;"",""))</f>
        <v/>
      </c>
      <c r="F4472" s="17">
        <f>IF(B4472="","","outreach_sent")</f>
        <v/>
      </c>
      <c r="G4472" s="17">
        <f>IF(B4472="","","")</f>
        <v/>
      </c>
      <c r="H4472" s="17">
        <f>IF(B4472="","","")</f>
        <v/>
      </c>
      <c r="I4472" s="17">
        <f>IF(B4472="","","")</f>
        <v/>
      </c>
      <c r="J4472" s="17">
        <f>IF(B4472="","","touch_2; "&amp;IFERROR(INDEX(Clay_Brands!$A$2:$FZ$601,421,Sync!$D$10)&amp;"","")&amp;"; "&amp;IFERROR(INDEX(Clay_Brands!$A$2:$FZ$601,421,Sync!$D$9)&amp;"",""))</f>
        <v/>
      </c>
      <c r="K4472" t="inlineStr">
        <is>
          <t>brand outreach touch 2</t>
        </is>
      </c>
    </row>
    <row r="4473">
      <c r="A4473" s="17">
        <f>IF(B4473="","",B4473+(16*1000+422)/10000000)</f>
        <v/>
      </c>
      <c r="B4473" s="23">
        <f>IF(AND(IFERROR(N(INDEX(Clay_Brands!$A$2:$FZ$601,422,Sync!$D$12)),0)&gt;0,IFERROR(INDEX(Clay_Brands!$A$2:$FZ$601,422,Sync!$D$5)&amp;"","")&lt;&gt;"",OR(LEFT(IFERROR(INDEX(Clay_Brands!$A$2:$FZ$601,422,Sync!$D$5)&amp;"",""),6)&lt;&gt;"SAMPLE",Config!$B$19="Y")),IFERROR(N(INDEX(Clay_Brands!$A$2:$FZ$601,422,Sync!$D$12)),0),"")</f>
        <v/>
      </c>
      <c r="C4473" s="17">
        <f>IF(B4473="","","brand")</f>
        <v/>
      </c>
      <c r="D4473" s="17">
        <f>IF(B4473="","",IFERROR(INDEX(Clay_Brands!$A$2:$FZ$601,422,Sync!$D$5)&amp;"",""))</f>
        <v/>
      </c>
      <c r="E4473" s="17">
        <f>IF(B4473="","",IFERROR(INDEX(Clay_Brands!$A$2:$FZ$601,422,Sync!$D$6)&amp;"",""))</f>
        <v/>
      </c>
      <c r="F4473" s="17">
        <f>IF(B4473="","","outreach_sent")</f>
        <v/>
      </c>
      <c r="G4473" s="17">
        <f>IF(B4473="","","")</f>
        <v/>
      </c>
      <c r="H4473" s="17">
        <f>IF(B4473="","","")</f>
        <v/>
      </c>
      <c r="I4473" s="17">
        <f>IF(B4473="","","")</f>
        <v/>
      </c>
      <c r="J4473" s="17">
        <f>IF(B4473="","","touch_2; "&amp;IFERROR(INDEX(Clay_Brands!$A$2:$FZ$601,422,Sync!$D$10)&amp;"","")&amp;"; "&amp;IFERROR(INDEX(Clay_Brands!$A$2:$FZ$601,422,Sync!$D$9)&amp;"",""))</f>
        <v/>
      </c>
      <c r="K4473" t="inlineStr">
        <is>
          <t>brand outreach touch 2</t>
        </is>
      </c>
    </row>
    <row r="4474">
      <c r="A4474" s="17">
        <f>IF(B4474="","",B4474+(16*1000+423)/10000000)</f>
        <v/>
      </c>
      <c r="B4474" s="23">
        <f>IF(AND(IFERROR(N(INDEX(Clay_Brands!$A$2:$FZ$601,423,Sync!$D$12)),0)&gt;0,IFERROR(INDEX(Clay_Brands!$A$2:$FZ$601,423,Sync!$D$5)&amp;"","")&lt;&gt;"",OR(LEFT(IFERROR(INDEX(Clay_Brands!$A$2:$FZ$601,423,Sync!$D$5)&amp;"",""),6)&lt;&gt;"SAMPLE",Config!$B$19="Y")),IFERROR(N(INDEX(Clay_Brands!$A$2:$FZ$601,423,Sync!$D$12)),0),"")</f>
        <v/>
      </c>
      <c r="C4474" s="17">
        <f>IF(B4474="","","brand")</f>
        <v/>
      </c>
      <c r="D4474" s="17">
        <f>IF(B4474="","",IFERROR(INDEX(Clay_Brands!$A$2:$FZ$601,423,Sync!$D$5)&amp;"",""))</f>
        <v/>
      </c>
      <c r="E4474" s="17">
        <f>IF(B4474="","",IFERROR(INDEX(Clay_Brands!$A$2:$FZ$601,423,Sync!$D$6)&amp;"",""))</f>
        <v/>
      </c>
      <c r="F4474" s="17">
        <f>IF(B4474="","","outreach_sent")</f>
        <v/>
      </c>
      <c r="G4474" s="17">
        <f>IF(B4474="","","")</f>
        <v/>
      </c>
      <c r="H4474" s="17">
        <f>IF(B4474="","","")</f>
        <v/>
      </c>
      <c r="I4474" s="17">
        <f>IF(B4474="","","")</f>
        <v/>
      </c>
      <c r="J4474" s="17">
        <f>IF(B4474="","","touch_2; "&amp;IFERROR(INDEX(Clay_Brands!$A$2:$FZ$601,423,Sync!$D$10)&amp;"","")&amp;"; "&amp;IFERROR(INDEX(Clay_Brands!$A$2:$FZ$601,423,Sync!$D$9)&amp;"",""))</f>
        <v/>
      </c>
      <c r="K4474" t="inlineStr">
        <is>
          <t>brand outreach touch 2</t>
        </is>
      </c>
    </row>
    <row r="4475">
      <c r="A4475" s="17">
        <f>IF(B4475="","",B4475+(16*1000+424)/10000000)</f>
        <v/>
      </c>
      <c r="B4475" s="23">
        <f>IF(AND(IFERROR(N(INDEX(Clay_Brands!$A$2:$FZ$601,424,Sync!$D$12)),0)&gt;0,IFERROR(INDEX(Clay_Brands!$A$2:$FZ$601,424,Sync!$D$5)&amp;"","")&lt;&gt;"",OR(LEFT(IFERROR(INDEX(Clay_Brands!$A$2:$FZ$601,424,Sync!$D$5)&amp;"",""),6)&lt;&gt;"SAMPLE",Config!$B$19="Y")),IFERROR(N(INDEX(Clay_Brands!$A$2:$FZ$601,424,Sync!$D$12)),0),"")</f>
        <v/>
      </c>
      <c r="C4475" s="17">
        <f>IF(B4475="","","brand")</f>
        <v/>
      </c>
      <c r="D4475" s="17">
        <f>IF(B4475="","",IFERROR(INDEX(Clay_Brands!$A$2:$FZ$601,424,Sync!$D$5)&amp;"",""))</f>
        <v/>
      </c>
      <c r="E4475" s="17">
        <f>IF(B4475="","",IFERROR(INDEX(Clay_Brands!$A$2:$FZ$601,424,Sync!$D$6)&amp;"",""))</f>
        <v/>
      </c>
      <c r="F4475" s="17">
        <f>IF(B4475="","","outreach_sent")</f>
        <v/>
      </c>
      <c r="G4475" s="17">
        <f>IF(B4475="","","")</f>
        <v/>
      </c>
      <c r="H4475" s="17">
        <f>IF(B4475="","","")</f>
        <v/>
      </c>
      <c r="I4475" s="17">
        <f>IF(B4475="","","")</f>
        <v/>
      </c>
      <c r="J4475" s="17">
        <f>IF(B4475="","","touch_2; "&amp;IFERROR(INDEX(Clay_Brands!$A$2:$FZ$601,424,Sync!$D$10)&amp;"","")&amp;"; "&amp;IFERROR(INDEX(Clay_Brands!$A$2:$FZ$601,424,Sync!$D$9)&amp;"",""))</f>
        <v/>
      </c>
      <c r="K4475" t="inlineStr">
        <is>
          <t>brand outreach touch 2</t>
        </is>
      </c>
    </row>
    <row r="4476">
      <c r="A4476" s="17">
        <f>IF(B4476="","",B4476+(16*1000+425)/10000000)</f>
        <v/>
      </c>
      <c r="B4476" s="23">
        <f>IF(AND(IFERROR(N(INDEX(Clay_Brands!$A$2:$FZ$601,425,Sync!$D$12)),0)&gt;0,IFERROR(INDEX(Clay_Brands!$A$2:$FZ$601,425,Sync!$D$5)&amp;"","")&lt;&gt;"",OR(LEFT(IFERROR(INDEX(Clay_Brands!$A$2:$FZ$601,425,Sync!$D$5)&amp;"",""),6)&lt;&gt;"SAMPLE",Config!$B$19="Y")),IFERROR(N(INDEX(Clay_Brands!$A$2:$FZ$601,425,Sync!$D$12)),0),"")</f>
        <v/>
      </c>
      <c r="C4476" s="17">
        <f>IF(B4476="","","brand")</f>
        <v/>
      </c>
      <c r="D4476" s="17">
        <f>IF(B4476="","",IFERROR(INDEX(Clay_Brands!$A$2:$FZ$601,425,Sync!$D$5)&amp;"",""))</f>
        <v/>
      </c>
      <c r="E4476" s="17">
        <f>IF(B4476="","",IFERROR(INDEX(Clay_Brands!$A$2:$FZ$601,425,Sync!$D$6)&amp;"",""))</f>
        <v/>
      </c>
      <c r="F4476" s="17">
        <f>IF(B4476="","","outreach_sent")</f>
        <v/>
      </c>
      <c r="G4476" s="17">
        <f>IF(B4476="","","")</f>
        <v/>
      </c>
      <c r="H4476" s="17">
        <f>IF(B4476="","","")</f>
        <v/>
      </c>
      <c r="I4476" s="17">
        <f>IF(B4476="","","")</f>
        <v/>
      </c>
      <c r="J4476" s="17">
        <f>IF(B4476="","","touch_2; "&amp;IFERROR(INDEX(Clay_Brands!$A$2:$FZ$601,425,Sync!$D$10)&amp;"","")&amp;"; "&amp;IFERROR(INDEX(Clay_Brands!$A$2:$FZ$601,425,Sync!$D$9)&amp;"",""))</f>
        <v/>
      </c>
      <c r="K4476" t="inlineStr">
        <is>
          <t>brand outreach touch 2</t>
        </is>
      </c>
    </row>
    <row r="4477">
      <c r="A4477" s="17">
        <f>IF(B4477="","",B4477+(16*1000+426)/10000000)</f>
        <v/>
      </c>
      <c r="B4477" s="23">
        <f>IF(AND(IFERROR(N(INDEX(Clay_Brands!$A$2:$FZ$601,426,Sync!$D$12)),0)&gt;0,IFERROR(INDEX(Clay_Brands!$A$2:$FZ$601,426,Sync!$D$5)&amp;"","")&lt;&gt;"",OR(LEFT(IFERROR(INDEX(Clay_Brands!$A$2:$FZ$601,426,Sync!$D$5)&amp;"",""),6)&lt;&gt;"SAMPLE",Config!$B$19="Y")),IFERROR(N(INDEX(Clay_Brands!$A$2:$FZ$601,426,Sync!$D$12)),0),"")</f>
        <v/>
      </c>
      <c r="C4477" s="17">
        <f>IF(B4477="","","brand")</f>
        <v/>
      </c>
      <c r="D4477" s="17">
        <f>IF(B4477="","",IFERROR(INDEX(Clay_Brands!$A$2:$FZ$601,426,Sync!$D$5)&amp;"",""))</f>
        <v/>
      </c>
      <c r="E4477" s="17">
        <f>IF(B4477="","",IFERROR(INDEX(Clay_Brands!$A$2:$FZ$601,426,Sync!$D$6)&amp;"",""))</f>
        <v/>
      </c>
      <c r="F4477" s="17">
        <f>IF(B4477="","","outreach_sent")</f>
        <v/>
      </c>
      <c r="G4477" s="17">
        <f>IF(B4477="","","")</f>
        <v/>
      </c>
      <c r="H4477" s="17">
        <f>IF(B4477="","","")</f>
        <v/>
      </c>
      <c r="I4477" s="17">
        <f>IF(B4477="","","")</f>
        <v/>
      </c>
      <c r="J4477" s="17">
        <f>IF(B4477="","","touch_2; "&amp;IFERROR(INDEX(Clay_Brands!$A$2:$FZ$601,426,Sync!$D$10)&amp;"","")&amp;"; "&amp;IFERROR(INDEX(Clay_Brands!$A$2:$FZ$601,426,Sync!$D$9)&amp;"",""))</f>
        <v/>
      </c>
      <c r="K4477" t="inlineStr">
        <is>
          <t>brand outreach touch 2</t>
        </is>
      </c>
    </row>
    <row r="4478">
      <c r="A4478" s="17">
        <f>IF(B4478="","",B4478+(16*1000+427)/10000000)</f>
        <v/>
      </c>
      <c r="B4478" s="23">
        <f>IF(AND(IFERROR(N(INDEX(Clay_Brands!$A$2:$FZ$601,427,Sync!$D$12)),0)&gt;0,IFERROR(INDEX(Clay_Brands!$A$2:$FZ$601,427,Sync!$D$5)&amp;"","")&lt;&gt;"",OR(LEFT(IFERROR(INDEX(Clay_Brands!$A$2:$FZ$601,427,Sync!$D$5)&amp;"",""),6)&lt;&gt;"SAMPLE",Config!$B$19="Y")),IFERROR(N(INDEX(Clay_Brands!$A$2:$FZ$601,427,Sync!$D$12)),0),"")</f>
        <v/>
      </c>
      <c r="C4478" s="17">
        <f>IF(B4478="","","brand")</f>
        <v/>
      </c>
      <c r="D4478" s="17">
        <f>IF(B4478="","",IFERROR(INDEX(Clay_Brands!$A$2:$FZ$601,427,Sync!$D$5)&amp;"",""))</f>
        <v/>
      </c>
      <c r="E4478" s="17">
        <f>IF(B4478="","",IFERROR(INDEX(Clay_Brands!$A$2:$FZ$601,427,Sync!$D$6)&amp;"",""))</f>
        <v/>
      </c>
      <c r="F4478" s="17">
        <f>IF(B4478="","","outreach_sent")</f>
        <v/>
      </c>
      <c r="G4478" s="17">
        <f>IF(B4478="","","")</f>
        <v/>
      </c>
      <c r="H4478" s="17">
        <f>IF(B4478="","","")</f>
        <v/>
      </c>
      <c r="I4478" s="17">
        <f>IF(B4478="","","")</f>
        <v/>
      </c>
      <c r="J4478" s="17">
        <f>IF(B4478="","","touch_2; "&amp;IFERROR(INDEX(Clay_Brands!$A$2:$FZ$601,427,Sync!$D$10)&amp;"","")&amp;"; "&amp;IFERROR(INDEX(Clay_Brands!$A$2:$FZ$601,427,Sync!$D$9)&amp;"",""))</f>
        <v/>
      </c>
      <c r="K4478" t="inlineStr">
        <is>
          <t>brand outreach touch 2</t>
        </is>
      </c>
    </row>
    <row r="4479">
      <c r="A4479" s="17">
        <f>IF(B4479="","",B4479+(16*1000+428)/10000000)</f>
        <v/>
      </c>
      <c r="B4479" s="23">
        <f>IF(AND(IFERROR(N(INDEX(Clay_Brands!$A$2:$FZ$601,428,Sync!$D$12)),0)&gt;0,IFERROR(INDEX(Clay_Brands!$A$2:$FZ$601,428,Sync!$D$5)&amp;"","")&lt;&gt;"",OR(LEFT(IFERROR(INDEX(Clay_Brands!$A$2:$FZ$601,428,Sync!$D$5)&amp;"",""),6)&lt;&gt;"SAMPLE",Config!$B$19="Y")),IFERROR(N(INDEX(Clay_Brands!$A$2:$FZ$601,428,Sync!$D$12)),0),"")</f>
        <v/>
      </c>
      <c r="C4479" s="17">
        <f>IF(B4479="","","brand")</f>
        <v/>
      </c>
      <c r="D4479" s="17">
        <f>IF(B4479="","",IFERROR(INDEX(Clay_Brands!$A$2:$FZ$601,428,Sync!$D$5)&amp;"",""))</f>
        <v/>
      </c>
      <c r="E4479" s="17">
        <f>IF(B4479="","",IFERROR(INDEX(Clay_Brands!$A$2:$FZ$601,428,Sync!$D$6)&amp;"",""))</f>
        <v/>
      </c>
      <c r="F4479" s="17">
        <f>IF(B4479="","","outreach_sent")</f>
        <v/>
      </c>
      <c r="G4479" s="17">
        <f>IF(B4479="","","")</f>
        <v/>
      </c>
      <c r="H4479" s="17">
        <f>IF(B4479="","","")</f>
        <v/>
      </c>
      <c r="I4479" s="17">
        <f>IF(B4479="","","")</f>
        <v/>
      </c>
      <c r="J4479" s="17">
        <f>IF(B4479="","","touch_2; "&amp;IFERROR(INDEX(Clay_Brands!$A$2:$FZ$601,428,Sync!$D$10)&amp;"","")&amp;"; "&amp;IFERROR(INDEX(Clay_Brands!$A$2:$FZ$601,428,Sync!$D$9)&amp;"",""))</f>
        <v/>
      </c>
      <c r="K4479" t="inlineStr">
        <is>
          <t>brand outreach touch 2</t>
        </is>
      </c>
    </row>
    <row r="4480">
      <c r="A4480" s="17">
        <f>IF(B4480="","",B4480+(16*1000+429)/10000000)</f>
        <v/>
      </c>
      <c r="B4480" s="23">
        <f>IF(AND(IFERROR(N(INDEX(Clay_Brands!$A$2:$FZ$601,429,Sync!$D$12)),0)&gt;0,IFERROR(INDEX(Clay_Brands!$A$2:$FZ$601,429,Sync!$D$5)&amp;"","")&lt;&gt;"",OR(LEFT(IFERROR(INDEX(Clay_Brands!$A$2:$FZ$601,429,Sync!$D$5)&amp;"",""),6)&lt;&gt;"SAMPLE",Config!$B$19="Y")),IFERROR(N(INDEX(Clay_Brands!$A$2:$FZ$601,429,Sync!$D$12)),0),"")</f>
        <v/>
      </c>
      <c r="C4480" s="17">
        <f>IF(B4480="","","brand")</f>
        <v/>
      </c>
      <c r="D4480" s="17">
        <f>IF(B4480="","",IFERROR(INDEX(Clay_Brands!$A$2:$FZ$601,429,Sync!$D$5)&amp;"",""))</f>
        <v/>
      </c>
      <c r="E4480" s="17">
        <f>IF(B4480="","",IFERROR(INDEX(Clay_Brands!$A$2:$FZ$601,429,Sync!$D$6)&amp;"",""))</f>
        <v/>
      </c>
      <c r="F4480" s="17">
        <f>IF(B4480="","","outreach_sent")</f>
        <v/>
      </c>
      <c r="G4480" s="17">
        <f>IF(B4480="","","")</f>
        <v/>
      </c>
      <c r="H4480" s="17">
        <f>IF(B4480="","","")</f>
        <v/>
      </c>
      <c r="I4480" s="17">
        <f>IF(B4480="","","")</f>
        <v/>
      </c>
      <c r="J4480" s="17">
        <f>IF(B4480="","","touch_2; "&amp;IFERROR(INDEX(Clay_Brands!$A$2:$FZ$601,429,Sync!$D$10)&amp;"","")&amp;"; "&amp;IFERROR(INDEX(Clay_Brands!$A$2:$FZ$601,429,Sync!$D$9)&amp;"",""))</f>
        <v/>
      </c>
      <c r="K4480" t="inlineStr">
        <is>
          <t>brand outreach touch 2</t>
        </is>
      </c>
    </row>
    <row r="4481">
      <c r="A4481" s="17">
        <f>IF(B4481="","",B4481+(16*1000+430)/10000000)</f>
        <v/>
      </c>
      <c r="B4481" s="23">
        <f>IF(AND(IFERROR(N(INDEX(Clay_Brands!$A$2:$FZ$601,430,Sync!$D$12)),0)&gt;0,IFERROR(INDEX(Clay_Brands!$A$2:$FZ$601,430,Sync!$D$5)&amp;"","")&lt;&gt;"",OR(LEFT(IFERROR(INDEX(Clay_Brands!$A$2:$FZ$601,430,Sync!$D$5)&amp;"",""),6)&lt;&gt;"SAMPLE",Config!$B$19="Y")),IFERROR(N(INDEX(Clay_Brands!$A$2:$FZ$601,430,Sync!$D$12)),0),"")</f>
        <v/>
      </c>
      <c r="C4481" s="17">
        <f>IF(B4481="","","brand")</f>
        <v/>
      </c>
      <c r="D4481" s="17">
        <f>IF(B4481="","",IFERROR(INDEX(Clay_Brands!$A$2:$FZ$601,430,Sync!$D$5)&amp;"",""))</f>
        <v/>
      </c>
      <c r="E4481" s="17">
        <f>IF(B4481="","",IFERROR(INDEX(Clay_Brands!$A$2:$FZ$601,430,Sync!$D$6)&amp;"",""))</f>
        <v/>
      </c>
      <c r="F4481" s="17">
        <f>IF(B4481="","","outreach_sent")</f>
        <v/>
      </c>
      <c r="G4481" s="17">
        <f>IF(B4481="","","")</f>
        <v/>
      </c>
      <c r="H4481" s="17">
        <f>IF(B4481="","","")</f>
        <v/>
      </c>
      <c r="I4481" s="17">
        <f>IF(B4481="","","")</f>
        <v/>
      </c>
      <c r="J4481" s="17">
        <f>IF(B4481="","","touch_2; "&amp;IFERROR(INDEX(Clay_Brands!$A$2:$FZ$601,430,Sync!$D$10)&amp;"","")&amp;"; "&amp;IFERROR(INDEX(Clay_Brands!$A$2:$FZ$601,430,Sync!$D$9)&amp;"",""))</f>
        <v/>
      </c>
      <c r="K4481" t="inlineStr">
        <is>
          <t>brand outreach touch 2</t>
        </is>
      </c>
    </row>
    <row r="4482">
      <c r="A4482" s="17">
        <f>IF(B4482="","",B4482+(16*1000+431)/10000000)</f>
        <v/>
      </c>
      <c r="B4482" s="23">
        <f>IF(AND(IFERROR(N(INDEX(Clay_Brands!$A$2:$FZ$601,431,Sync!$D$12)),0)&gt;0,IFERROR(INDEX(Clay_Brands!$A$2:$FZ$601,431,Sync!$D$5)&amp;"","")&lt;&gt;"",OR(LEFT(IFERROR(INDEX(Clay_Brands!$A$2:$FZ$601,431,Sync!$D$5)&amp;"",""),6)&lt;&gt;"SAMPLE",Config!$B$19="Y")),IFERROR(N(INDEX(Clay_Brands!$A$2:$FZ$601,431,Sync!$D$12)),0),"")</f>
        <v/>
      </c>
      <c r="C4482" s="17">
        <f>IF(B4482="","","brand")</f>
        <v/>
      </c>
      <c r="D4482" s="17">
        <f>IF(B4482="","",IFERROR(INDEX(Clay_Brands!$A$2:$FZ$601,431,Sync!$D$5)&amp;"",""))</f>
        <v/>
      </c>
      <c r="E4482" s="17">
        <f>IF(B4482="","",IFERROR(INDEX(Clay_Brands!$A$2:$FZ$601,431,Sync!$D$6)&amp;"",""))</f>
        <v/>
      </c>
      <c r="F4482" s="17">
        <f>IF(B4482="","","outreach_sent")</f>
        <v/>
      </c>
      <c r="G4482" s="17">
        <f>IF(B4482="","","")</f>
        <v/>
      </c>
      <c r="H4482" s="17">
        <f>IF(B4482="","","")</f>
        <v/>
      </c>
      <c r="I4482" s="17">
        <f>IF(B4482="","","")</f>
        <v/>
      </c>
      <c r="J4482" s="17">
        <f>IF(B4482="","","touch_2; "&amp;IFERROR(INDEX(Clay_Brands!$A$2:$FZ$601,431,Sync!$D$10)&amp;"","")&amp;"; "&amp;IFERROR(INDEX(Clay_Brands!$A$2:$FZ$601,431,Sync!$D$9)&amp;"",""))</f>
        <v/>
      </c>
      <c r="K4482" t="inlineStr">
        <is>
          <t>brand outreach touch 2</t>
        </is>
      </c>
    </row>
    <row r="4483">
      <c r="A4483" s="17">
        <f>IF(B4483="","",B4483+(16*1000+432)/10000000)</f>
        <v/>
      </c>
      <c r="B4483" s="23">
        <f>IF(AND(IFERROR(N(INDEX(Clay_Brands!$A$2:$FZ$601,432,Sync!$D$12)),0)&gt;0,IFERROR(INDEX(Clay_Brands!$A$2:$FZ$601,432,Sync!$D$5)&amp;"","")&lt;&gt;"",OR(LEFT(IFERROR(INDEX(Clay_Brands!$A$2:$FZ$601,432,Sync!$D$5)&amp;"",""),6)&lt;&gt;"SAMPLE",Config!$B$19="Y")),IFERROR(N(INDEX(Clay_Brands!$A$2:$FZ$601,432,Sync!$D$12)),0),"")</f>
        <v/>
      </c>
      <c r="C4483" s="17">
        <f>IF(B4483="","","brand")</f>
        <v/>
      </c>
      <c r="D4483" s="17">
        <f>IF(B4483="","",IFERROR(INDEX(Clay_Brands!$A$2:$FZ$601,432,Sync!$D$5)&amp;"",""))</f>
        <v/>
      </c>
      <c r="E4483" s="17">
        <f>IF(B4483="","",IFERROR(INDEX(Clay_Brands!$A$2:$FZ$601,432,Sync!$D$6)&amp;"",""))</f>
        <v/>
      </c>
      <c r="F4483" s="17">
        <f>IF(B4483="","","outreach_sent")</f>
        <v/>
      </c>
      <c r="G4483" s="17">
        <f>IF(B4483="","","")</f>
        <v/>
      </c>
      <c r="H4483" s="17">
        <f>IF(B4483="","","")</f>
        <v/>
      </c>
      <c r="I4483" s="17">
        <f>IF(B4483="","","")</f>
        <v/>
      </c>
      <c r="J4483" s="17">
        <f>IF(B4483="","","touch_2; "&amp;IFERROR(INDEX(Clay_Brands!$A$2:$FZ$601,432,Sync!$D$10)&amp;"","")&amp;"; "&amp;IFERROR(INDEX(Clay_Brands!$A$2:$FZ$601,432,Sync!$D$9)&amp;"",""))</f>
        <v/>
      </c>
      <c r="K4483" t="inlineStr">
        <is>
          <t>brand outreach touch 2</t>
        </is>
      </c>
    </row>
    <row r="4484">
      <c r="A4484" s="17">
        <f>IF(B4484="","",B4484+(16*1000+433)/10000000)</f>
        <v/>
      </c>
      <c r="B4484" s="23">
        <f>IF(AND(IFERROR(N(INDEX(Clay_Brands!$A$2:$FZ$601,433,Sync!$D$12)),0)&gt;0,IFERROR(INDEX(Clay_Brands!$A$2:$FZ$601,433,Sync!$D$5)&amp;"","")&lt;&gt;"",OR(LEFT(IFERROR(INDEX(Clay_Brands!$A$2:$FZ$601,433,Sync!$D$5)&amp;"",""),6)&lt;&gt;"SAMPLE",Config!$B$19="Y")),IFERROR(N(INDEX(Clay_Brands!$A$2:$FZ$601,433,Sync!$D$12)),0),"")</f>
        <v/>
      </c>
      <c r="C4484" s="17">
        <f>IF(B4484="","","brand")</f>
        <v/>
      </c>
      <c r="D4484" s="17">
        <f>IF(B4484="","",IFERROR(INDEX(Clay_Brands!$A$2:$FZ$601,433,Sync!$D$5)&amp;"",""))</f>
        <v/>
      </c>
      <c r="E4484" s="17">
        <f>IF(B4484="","",IFERROR(INDEX(Clay_Brands!$A$2:$FZ$601,433,Sync!$D$6)&amp;"",""))</f>
        <v/>
      </c>
      <c r="F4484" s="17">
        <f>IF(B4484="","","outreach_sent")</f>
        <v/>
      </c>
      <c r="G4484" s="17">
        <f>IF(B4484="","","")</f>
        <v/>
      </c>
      <c r="H4484" s="17">
        <f>IF(B4484="","","")</f>
        <v/>
      </c>
      <c r="I4484" s="17">
        <f>IF(B4484="","","")</f>
        <v/>
      </c>
      <c r="J4484" s="17">
        <f>IF(B4484="","","touch_2; "&amp;IFERROR(INDEX(Clay_Brands!$A$2:$FZ$601,433,Sync!$D$10)&amp;"","")&amp;"; "&amp;IFERROR(INDEX(Clay_Brands!$A$2:$FZ$601,433,Sync!$D$9)&amp;"",""))</f>
        <v/>
      </c>
      <c r="K4484" t="inlineStr">
        <is>
          <t>brand outreach touch 2</t>
        </is>
      </c>
    </row>
    <row r="4485">
      <c r="A4485" s="17">
        <f>IF(B4485="","",B4485+(16*1000+434)/10000000)</f>
        <v/>
      </c>
      <c r="B4485" s="23">
        <f>IF(AND(IFERROR(N(INDEX(Clay_Brands!$A$2:$FZ$601,434,Sync!$D$12)),0)&gt;0,IFERROR(INDEX(Clay_Brands!$A$2:$FZ$601,434,Sync!$D$5)&amp;"","")&lt;&gt;"",OR(LEFT(IFERROR(INDEX(Clay_Brands!$A$2:$FZ$601,434,Sync!$D$5)&amp;"",""),6)&lt;&gt;"SAMPLE",Config!$B$19="Y")),IFERROR(N(INDEX(Clay_Brands!$A$2:$FZ$601,434,Sync!$D$12)),0),"")</f>
        <v/>
      </c>
      <c r="C4485" s="17">
        <f>IF(B4485="","","brand")</f>
        <v/>
      </c>
      <c r="D4485" s="17">
        <f>IF(B4485="","",IFERROR(INDEX(Clay_Brands!$A$2:$FZ$601,434,Sync!$D$5)&amp;"",""))</f>
        <v/>
      </c>
      <c r="E4485" s="17">
        <f>IF(B4485="","",IFERROR(INDEX(Clay_Brands!$A$2:$FZ$601,434,Sync!$D$6)&amp;"",""))</f>
        <v/>
      </c>
      <c r="F4485" s="17">
        <f>IF(B4485="","","outreach_sent")</f>
        <v/>
      </c>
      <c r="G4485" s="17">
        <f>IF(B4485="","","")</f>
        <v/>
      </c>
      <c r="H4485" s="17">
        <f>IF(B4485="","","")</f>
        <v/>
      </c>
      <c r="I4485" s="17">
        <f>IF(B4485="","","")</f>
        <v/>
      </c>
      <c r="J4485" s="17">
        <f>IF(B4485="","","touch_2; "&amp;IFERROR(INDEX(Clay_Brands!$A$2:$FZ$601,434,Sync!$D$10)&amp;"","")&amp;"; "&amp;IFERROR(INDEX(Clay_Brands!$A$2:$FZ$601,434,Sync!$D$9)&amp;"",""))</f>
        <v/>
      </c>
      <c r="K4485" t="inlineStr">
        <is>
          <t>brand outreach touch 2</t>
        </is>
      </c>
    </row>
    <row r="4486">
      <c r="A4486" s="17">
        <f>IF(B4486="","",B4486+(16*1000+435)/10000000)</f>
        <v/>
      </c>
      <c r="B4486" s="23">
        <f>IF(AND(IFERROR(N(INDEX(Clay_Brands!$A$2:$FZ$601,435,Sync!$D$12)),0)&gt;0,IFERROR(INDEX(Clay_Brands!$A$2:$FZ$601,435,Sync!$D$5)&amp;"","")&lt;&gt;"",OR(LEFT(IFERROR(INDEX(Clay_Brands!$A$2:$FZ$601,435,Sync!$D$5)&amp;"",""),6)&lt;&gt;"SAMPLE",Config!$B$19="Y")),IFERROR(N(INDEX(Clay_Brands!$A$2:$FZ$601,435,Sync!$D$12)),0),"")</f>
        <v/>
      </c>
      <c r="C4486" s="17">
        <f>IF(B4486="","","brand")</f>
        <v/>
      </c>
      <c r="D4486" s="17">
        <f>IF(B4486="","",IFERROR(INDEX(Clay_Brands!$A$2:$FZ$601,435,Sync!$D$5)&amp;"",""))</f>
        <v/>
      </c>
      <c r="E4486" s="17">
        <f>IF(B4486="","",IFERROR(INDEX(Clay_Brands!$A$2:$FZ$601,435,Sync!$D$6)&amp;"",""))</f>
        <v/>
      </c>
      <c r="F4486" s="17">
        <f>IF(B4486="","","outreach_sent")</f>
        <v/>
      </c>
      <c r="G4486" s="17">
        <f>IF(B4486="","","")</f>
        <v/>
      </c>
      <c r="H4486" s="17">
        <f>IF(B4486="","","")</f>
        <v/>
      </c>
      <c r="I4486" s="17">
        <f>IF(B4486="","","")</f>
        <v/>
      </c>
      <c r="J4486" s="17">
        <f>IF(B4486="","","touch_2; "&amp;IFERROR(INDEX(Clay_Brands!$A$2:$FZ$601,435,Sync!$D$10)&amp;"","")&amp;"; "&amp;IFERROR(INDEX(Clay_Brands!$A$2:$FZ$601,435,Sync!$D$9)&amp;"",""))</f>
        <v/>
      </c>
      <c r="K4486" t="inlineStr">
        <is>
          <t>brand outreach touch 2</t>
        </is>
      </c>
    </row>
    <row r="4487">
      <c r="A4487" s="17">
        <f>IF(B4487="","",B4487+(16*1000+436)/10000000)</f>
        <v/>
      </c>
      <c r="B4487" s="23">
        <f>IF(AND(IFERROR(N(INDEX(Clay_Brands!$A$2:$FZ$601,436,Sync!$D$12)),0)&gt;0,IFERROR(INDEX(Clay_Brands!$A$2:$FZ$601,436,Sync!$D$5)&amp;"","")&lt;&gt;"",OR(LEFT(IFERROR(INDEX(Clay_Brands!$A$2:$FZ$601,436,Sync!$D$5)&amp;"",""),6)&lt;&gt;"SAMPLE",Config!$B$19="Y")),IFERROR(N(INDEX(Clay_Brands!$A$2:$FZ$601,436,Sync!$D$12)),0),"")</f>
        <v/>
      </c>
      <c r="C4487" s="17">
        <f>IF(B4487="","","brand")</f>
        <v/>
      </c>
      <c r="D4487" s="17">
        <f>IF(B4487="","",IFERROR(INDEX(Clay_Brands!$A$2:$FZ$601,436,Sync!$D$5)&amp;"",""))</f>
        <v/>
      </c>
      <c r="E4487" s="17">
        <f>IF(B4487="","",IFERROR(INDEX(Clay_Brands!$A$2:$FZ$601,436,Sync!$D$6)&amp;"",""))</f>
        <v/>
      </c>
      <c r="F4487" s="17">
        <f>IF(B4487="","","outreach_sent")</f>
        <v/>
      </c>
      <c r="G4487" s="17">
        <f>IF(B4487="","","")</f>
        <v/>
      </c>
      <c r="H4487" s="17">
        <f>IF(B4487="","","")</f>
        <v/>
      </c>
      <c r="I4487" s="17">
        <f>IF(B4487="","","")</f>
        <v/>
      </c>
      <c r="J4487" s="17">
        <f>IF(B4487="","","touch_2; "&amp;IFERROR(INDEX(Clay_Brands!$A$2:$FZ$601,436,Sync!$D$10)&amp;"","")&amp;"; "&amp;IFERROR(INDEX(Clay_Brands!$A$2:$FZ$601,436,Sync!$D$9)&amp;"",""))</f>
        <v/>
      </c>
      <c r="K4487" t="inlineStr">
        <is>
          <t>brand outreach touch 2</t>
        </is>
      </c>
    </row>
    <row r="4488">
      <c r="A4488" s="17">
        <f>IF(B4488="","",B4488+(16*1000+437)/10000000)</f>
        <v/>
      </c>
      <c r="B4488" s="23">
        <f>IF(AND(IFERROR(N(INDEX(Clay_Brands!$A$2:$FZ$601,437,Sync!$D$12)),0)&gt;0,IFERROR(INDEX(Clay_Brands!$A$2:$FZ$601,437,Sync!$D$5)&amp;"","")&lt;&gt;"",OR(LEFT(IFERROR(INDEX(Clay_Brands!$A$2:$FZ$601,437,Sync!$D$5)&amp;"",""),6)&lt;&gt;"SAMPLE",Config!$B$19="Y")),IFERROR(N(INDEX(Clay_Brands!$A$2:$FZ$601,437,Sync!$D$12)),0),"")</f>
        <v/>
      </c>
      <c r="C4488" s="17">
        <f>IF(B4488="","","brand")</f>
        <v/>
      </c>
      <c r="D4488" s="17">
        <f>IF(B4488="","",IFERROR(INDEX(Clay_Brands!$A$2:$FZ$601,437,Sync!$D$5)&amp;"",""))</f>
        <v/>
      </c>
      <c r="E4488" s="17">
        <f>IF(B4488="","",IFERROR(INDEX(Clay_Brands!$A$2:$FZ$601,437,Sync!$D$6)&amp;"",""))</f>
        <v/>
      </c>
      <c r="F4488" s="17">
        <f>IF(B4488="","","outreach_sent")</f>
        <v/>
      </c>
      <c r="G4488" s="17">
        <f>IF(B4488="","","")</f>
        <v/>
      </c>
      <c r="H4488" s="17">
        <f>IF(B4488="","","")</f>
        <v/>
      </c>
      <c r="I4488" s="17">
        <f>IF(B4488="","","")</f>
        <v/>
      </c>
      <c r="J4488" s="17">
        <f>IF(B4488="","","touch_2; "&amp;IFERROR(INDEX(Clay_Brands!$A$2:$FZ$601,437,Sync!$D$10)&amp;"","")&amp;"; "&amp;IFERROR(INDEX(Clay_Brands!$A$2:$FZ$601,437,Sync!$D$9)&amp;"",""))</f>
        <v/>
      </c>
      <c r="K4488" t="inlineStr">
        <is>
          <t>brand outreach touch 2</t>
        </is>
      </c>
    </row>
    <row r="4489">
      <c r="A4489" s="17">
        <f>IF(B4489="","",B4489+(16*1000+438)/10000000)</f>
        <v/>
      </c>
      <c r="B4489" s="23">
        <f>IF(AND(IFERROR(N(INDEX(Clay_Brands!$A$2:$FZ$601,438,Sync!$D$12)),0)&gt;0,IFERROR(INDEX(Clay_Brands!$A$2:$FZ$601,438,Sync!$D$5)&amp;"","")&lt;&gt;"",OR(LEFT(IFERROR(INDEX(Clay_Brands!$A$2:$FZ$601,438,Sync!$D$5)&amp;"",""),6)&lt;&gt;"SAMPLE",Config!$B$19="Y")),IFERROR(N(INDEX(Clay_Brands!$A$2:$FZ$601,438,Sync!$D$12)),0),"")</f>
        <v/>
      </c>
      <c r="C4489" s="17">
        <f>IF(B4489="","","brand")</f>
        <v/>
      </c>
      <c r="D4489" s="17">
        <f>IF(B4489="","",IFERROR(INDEX(Clay_Brands!$A$2:$FZ$601,438,Sync!$D$5)&amp;"",""))</f>
        <v/>
      </c>
      <c r="E4489" s="17">
        <f>IF(B4489="","",IFERROR(INDEX(Clay_Brands!$A$2:$FZ$601,438,Sync!$D$6)&amp;"",""))</f>
        <v/>
      </c>
      <c r="F4489" s="17">
        <f>IF(B4489="","","outreach_sent")</f>
        <v/>
      </c>
      <c r="G4489" s="17">
        <f>IF(B4489="","","")</f>
        <v/>
      </c>
      <c r="H4489" s="17">
        <f>IF(B4489="","","")</f>
        <v/>
      </c>
      <c r="I4489" s="17">
        <f>IF(B4489="","","")</f>
        <v/>
      </c>
      <c r="J4489" s="17">
        <f>IF(B4489="","","touch_2; "&amp;IFERROR(INDEX(Clay_Brands!$A$2:$FZ$601,438,Sync!$D$10)&amp;"","")&amp;"; "&amp;IFERROR(INDEX(Clay_Brands!$A$2:$FZ$601,438,Sync!$D$9)&amp;"",""))</f>
        <v/>
      </c>
      <c r="K4489" t="inlineStr">
        <is>
          <t>brand outreach touch 2</t>
        </is>
      </c>
    </row>
    <row r="4490">
      <c r="A4490" s="17">
        <f>IF(B4490="","",B4490+(16*1000+439)/10000000)</f>
        <v/>
      </c>
      <c r="B4490" s="23">
        <f>IF(AND(IFERROR(N(INDEX(Clay_Brands!$A$2:$FZ$601,439,Sync!$D$12)),0)&gt;0,IFERROR(INDEX(Clay_Brands!$A$2:$FZ$601,439,Sync!$D$5)&amp;"","")&lt;&gt;"",OR(LEFT(IFERROR(INDEX(Clay_Brands!$A$2:$FZ$601,439,Sync!$D$5)&amp;"",""),6)&lt;&gt;"SAMPLE",Config!$B$19="Y")),IFERROR(N(INDEX(Clay_Brands!$A$2:$FZ$601,439,Sync!$D$12)),0),"")</f>
        <v/>
      </c>
      <c r="C4490" s="17">
        <f>IF(B4490="","","brand")</f>
        <v/>
      </c>
      <c r="D4490" s="17">
        <f>IF(B4490="","",IFERROR(INDEX(Clay_Brands!$A$2:$FZ$601,439,Sync!$D$5)&amp;"",""))</f>
        <v/>
      </c>
      <c r="E4490" s="17">
        <f>IF(B4490="","",IFERROR(INDEX(Clay_Brands!$A$2:$FZ$601,439,Sync!$D$6)&amp;"",""))</f>
        <v/>
      </c>
      <c r="F4490" s="17">
        <f>IF(B4490="","","outreach_sent")</f>
        <v/>
      </c>
      <c r="G4490" s="17">
        <f>IF(B4490="","","")</f>
        <v/>
      </c>
      <c r="H4490" s="17">
        <f>IF(B4490="","","")</f>
        <v/>
      </c>
      <c r="I4490" s="17">
        <f>IF(B4490="","","")</f>
        <v/>
      </c>
      <c r="J4490" s="17">
        <f>IF(B4490="","","touch_2; "&amp;IFERROR(INDEX(Clay_Brands!$A$2:$FZ$601,439,Sync!$D$10)&amp;"","")&amp;"; "&amp;IFERROR(INDEX(Clay_Brands!$A$2:$FZ$601,439,Sync!$D$9)&amp;"",""))</f>
        <v/>
      </c>
      <c r="K4490" t="inlineStr">
        <is>
          <t>brand outreach touch 2</t>
        </is>
      </c>
    </row>
    <row r="4491">
      <c r="A4491" s="17">
        <f>IF(B4491="","",B4491+(16*1000+440)/10000000)</f>
        <v/>
      </c>
      <c r="B4491" s="23">
        <f>IF(AND(IFERROR(N(INDEX(Clay_Brands!$A$2:$FZ$601,440,Sync!$D$12)),0)&gt;0,IFERROR(INDEX(Clay_Brands!$A$2:$FZ$601,440,Sync!$D$5)&amp;"","")&lt;&gt;"",OR(LEFT(IFERROR(INDEX(Clay_Brands!$A$2:$FZ$601,440,Sync!$D$5)&amp;"",""),6)&lt;&gt;"SAMPLE",Config!$B$19="Y")),IFERROR(N(INDEX(Clay_Brands!$A$2:$FZ$601,440,Sync!$D$12)),0),"")</f>
        <v/>
      </c>
      <c r="C4491" s="17">
        <f>IF(B4491="","","brand")</f>
        <v/>
      </c>
      <c r="D4491" s="17">
        <f>IF(B4491="","",IFERROR(INDEX(Clay_Brands!$A$2:$FZ$601,440,Sync!$D$5)&amp;"",""))</f>
        <v/>
      </c>
      <c r="E4491" s="17">
        <f>IF(B4491="","",IFERROR(INDEX(Clay_Brands!$A$2:$FZ$601,440,Sync!$D$6)&amp;"",""))</f>
        <v/>
      </c>
      <c r="F4491" s="17">
        <f>IF(B4491="","","outreach_sent")</f>
        <v/>
      </c>
      <c r="G4491" s="17">
        <f>IF(B4491="","","")</f>
        <v/>
      </c>
      <c r="H4491" s="17">
        <f>IF(B4491="","","")</f>
        <v/>
      </c>
      <c r="I4491" s="17">
        <f>IF(B4491="","","")</f>
        <v/>
      </c>
      <c r="J4491" s="17">
        <f>IF(B4491="","","touch_2; "&amp;IFERROR(INDEX(Clay_Brands!$A$2:$FZ$601,440,Sync!$D$10)&amp;"","")&amp;"; "&amp;IFERROR(INDEX(Clay_Brands!$A$2:$FZ$601,440,Sync!$D$9)&amp;"",""))</f>
        <v/>
      </c>
      <c r="K4491" t="inlineStr">
        <is>
          <t>brand outreach touch 2</t>
        </is>
      </c>
    </row>
    <row r="4492">
      <c r="A4492" s="17">
        <f>IF(B4492="","",B4492+(16*1000+441)/10000000)</f>
        <v/>
      </c>
      <c r="B4492" s="23">
        <f>IF(AND(IFERROR(N(INDEX(Clay_Brands!$A$2:$FZ$601,441,Sync!$D$12)),0)&gt;0,IFERROR(INDEX(Clay_Brands!$A$2:$FZ$601,441,Sync!$D$5)&amp;"","")&lt;&gt;"",OR(LEFT(IFERROR(INDEX(Clay_Brands!$A$2:$FZ$601,441,Sync!$D$5)&amp;"",""),6)&lt;&gt;"SAMPLE",Config!$B$19="Y")),IFERROR(N(INDEX(Clay_Brands!$A$2:$FZ$601,441,Sync!$D$12)),0),"")</f>
        <v/>
      </c>
      <c r="C4492" s="17">
        <f>IF(B4492="","","brand")</f>
        <v/>
      </c>
      <c r="D4492" s="17">
        <f>IF(B4492="","",IFERROR(INDEX(Clay_Brands!$A$2:$FZ$601,441,Sync!$D$5)&amp;"",""))</f>
        <v/>
      </c>
      <c r="E4492" s="17">
        <f>IF(B4492="","",IFERROR(INDEX(Clay_Brands!$A$2:$FZ$601,441,Sync!$D$6)&amp;"",""))</f>
        <v/>
      </c>
      <c r="F4492" s="17">
        <f>IF(B4492="","","outreach_sent")</f>
        <v/>
      </c>
      <c r="G4492" s="17">
        <f>IF(B4492="","","")</f>
        <v/>
      </c>
      <c r="H4492" s="17">
        <f>IF(B4492="","","")</f>
        <v/>
      </c>
      <c r="I4492" s="17">
        <f>IF(B4492="","","")</f>
        <v/>
      </c>
      <c r="J4492" s="17">
        <f>IF(B4492="","","touch_2; "&amp;IFERROR(INDEX(Clay_Brands!$A$2:$FZ$601,441,Sync!$D$10)&amp;"","")&amp;"; "&amp;IFERROR(INDEX(Clay_Brands!$A$2:$FZ$601,441,Sync!$D$9)&amp;"",""))</f>
        <v/>
      </c>
      <c r="K4492" t="inlineStr">
        <is>
          <t>brand outreach touch 2</t>
        </is>
      </c>
    </row>
    <row r="4493">
      <c r="A4493" s="17">
        <f>IF(B4493="","",B4493+(16*1000+442)/10000000)</f>
        <v/>
      </c>
      <c r="B4493" s="23">
        <f>IF(AND(IFERROR(N(INDEX(Clay_Brands!$A$2:$FZ$601,442,Sync!$D$12)),0)&gt;0,IFERROR(INDEX(Clay_Brands!$A$2:$FZ$601,442,Sync!$D$5)&amp;"","")&lt;&gt;"",OR(LEFT(IFERROR(INDEX(Clay_Brands!$A$2:$FZ$601,442,Sync!$D$5)&amp;"",""),6)&lt;&gt;"SAMPLE",Config!$B$19="Y")),IFERROR(N(INDEX(Clay_Brands!$A$2:$FZ$601,442,Sync!$D$12)),0),"")</f>
        <v/>
      </c>
      <c r="C4493" s="17">
        <f>IF(B4493="","","brand")</f>
        <v/>
      </c>
      <c r="D4493" s="17">
        <f>IF(B4493="","",IFERROR(INDEX(Clay_Brands!$A$2:$FZ$601,442,Sync!$D$5)&amp;"",""))</f>
        <v/>
      </c>
      <c r="E4493" s="17">
        <f>IF(B4493="","",IFERROR(INDEX(Clay_Brands!$A$2:$FZ$601,442,Sync!$D$6)&amp;"",""))</f>
        <v/>
      </c>
      <c r="F4493" s="17">
        <f>IF(B4493="","","outreach_sent")</f>
        <v/>
      </c>
      <c r="G4493" s="17">
        <f>IF(B4493="","","")</f>
        <v/>
      </c>
      <c r="H4493" s="17">
        <f>IF(B4493="","","")</f>
        <v/>
      </c>
      <c r="I4493" s="17">
        <f>IF(B4493="","","")</f>
        <v/>
      </c>
      <c r="J4493" s="17">
        <f>IF(B4493="","","touch_2; "&amp;IFERROR(INDEX(Clay_Brands!$A$2:$FZ$601,442,Sync!$D$10)&amp;"","")&amp;"; "&amp;IFERROR(INDEX(Clay_Brands!$A$2:$FZ$601,442,Sync!$D$9)&amp;"",""))</f>
        <v/>
      </c>
      <c r="K4493" t="inlineStr">
        <is>
          <t>brand outreach touch 2</t>
        </is>
      </c>
    </row>
    <row r="4494">
      <c r="A4494" s="17">
        <f>IF(B4494="","",B4494+(16*1000+443)/10000000)</f>
        <v/>
      </c>
      <c r="B4494" s="23">
        <f>IF(AND(IFERROR(N(INDEX(Clay_Brands!$A$2:$FZ$601,443,Sync!$D$12)),0)&gt;0,IFERROR(INDEX(Clay_Brands!$A$2:$FZ$601,443,Sync!$D$5)&amp;"","")&lt;&gt;"",OR(LEFT(IFERROR(INDEX(Clay_Brands!$A$2:$FZ$601,443,Sync!$D$5)&amp;"",""),6)&lt;&gt;"SAMPLE",Config!$B$19="Y")),IFERROR(N(INDEX(Clay_Brands!$A$2:$FZ$601,443,Sync!$D$12)),0),"")</f>
        <v/>
      </c>
      <c r="C4494" s="17">
        <f>IF(B4494="","","brand")</f>
        <v/>
      </c>
      <c r="D4494" s="17">
        <f>IF(B4494="","",IFERROR(INDEX(Clay_Brands!$A$2:$FZ$601,443,Sync!$D$5)&amp;"",""))</f>
        <v/>
      </c>
      <c r="E4494" s="17">
        <f>IF(B4494="","",IFERROR(INDEX(Clay_Brands!$A$2:$FZ$601,443,Sync!$D$6)&amp;"",""))</f>
        <v/>
      </c>
      <c r="F4494" s="17">
        <f>IF(B4494="","","outreach_sent")</f>
        <v/>
      </c>
      <c r="G4494" s="17">
        <f>IF(B4494="","","")</f>
        <v/>
      </c>
      <c r="H4494" s="17">
        <f>IF(B4494="","","")</f>
        <v/>
      </c>
      <c r="I4494" s="17">
        <f>IF(B4494="","","")</f>
        <v/>
      </c>
      <c r="J4494" s="17">
        <f>IF(B4494="","","touch_2; "&amp;IFERROR(INDEX(Clay_Brands!$A$2:$FZ$601,443,Sync!$D$10)&amp;"","")&amp;"; "&amp;IFERROR(INDEX(Clay_Brands!$A$2:$FZ$601,443,Sync!$D$9)&amp;"",""))</f>
        <v/>
      </c>
      <c r="K4494" t="inlineStr">
        <is>
          <t>brand outreach touch 2</t>
        </is>
      </c>
    </row>
    <row r="4495">
      <c r="A4495" s="17">
        <f>IF(B4495="","",B4495+(16*1000+444)/10000000)</f>
        <v/>
      </c>
      <c r="B4495" s="23">
        <f>IF(AND(IFERROR(N(INDEX(Clay_Brands!$A$2:$FZ$601,444,Sync!$D$12)),0)&gt;0,IFERROR(INDEX(Clay_Brands!$A$2:$FZ$601,444,Sync!$D$5)&amp;"","")&lt;&gt;"",OR(LEFT(IFERROR(INDEX(Clay_Brands!$A$2:$FZ$601,444,Sync!$D$5)&amp;"",""),6)&lt;&gt;"SAMPLE",Config!$B$19="Y")),IFERROR(N(INDEX(Clay_Brands!$A$2:$FZ$601,444,Sync!$D$12)),0),"")</f>
        <v/>
      </c>
      <c r="C4495" s="17">
        <f>IF(B4495="","","brand")</f>
        <v/>
      </c>
      <c r="D4495" s="17">
        <f>IF(B4495="","",IFERROR(INDEX(Clay_Brands!$A$2:$FZ$601,444,Sync!$D$5)&amp;"",""))</f>
        <v/>
      </c>
      <c r="E4495" s="17">
        <f>IF(B4495="","",IFERROR(INDEX(Clay_Brands!$A$2:$FZ$601,444,Sync!$D$6)&amp;"",""))</f>
        <v/>
      </c>
      <c r="F4495" s="17">
        <f>IF(B4495="","","outreach_sent")</f>
        <v/>
      </c>
      <c r="G4495" s="17">
        <f>IF(B4495="","","")</f>
        <v/>
      </c>
      <c r="H4495" s="17">
        <f>IF(B4495="","","")</f>
        <v/>
      </c>
      <c r="I4495" s="17">
        <f>IF(B4495="","","")</f>
        <v/>
      </c>
      <c r="J4495" s="17">
        <f>IF(B4495="","","touch_2; "&amp;IFERROR(INDEX(Clay_Brands!$A$2:$FZ$601,444,Sync!$D$10)&amp;"","")&amp;"; "&amp;IFERROR(INDEX(Clay_Brands!$A$2:$FZ$601,444,Sync!$D$9)&amp;"",""))</f>
        <v/>
      </c>
      <c r="K4495" t="inlineStr">
        <is>
          <t>brand outreach touch 2</t>
        </is>
      </c>
    </row>
    <row r="4496">
      <c r="A4496" s="17">
        <f>IF(B4496="","",B4496+(16*1000+445)/10000000)</f>
        <v/>
      </c>
      <c r="B4496" s="23">
        <f>IF(AND(IFERROR(N(INDEX(Clay_Brands!$A$2:$FZ$601,445,Sync!$D$12)),0)&gt;0,IFERROR(INDEX(Clay_Brands!$A$2:$FZ$601,445,Sync!$D$5)&amp;"","")&lt;&gt;"",OR(LEFT(IFERROR(INDEX(Clay_Brands!$A$2:$FZ$601,445,Sync!$D$5)&amp;"",""),6)&lt;&gt;"SAMPLE",Config!$B$19="Y")),IFERROR(N(INDEX(Clay_Brands!$A$2:$FZ$601,445,Sync!$D$12)),0),"")</f>
        <v/>
      </c>
      <c r="C4496" s="17">
        <f>IF(B4496="","","brand")</f>
        <v/>
      </c>
      <c r="D4496" s="17">
        <f>IF(B4496="","",IFERROR(INDEX(Clay_Brands!$A$2:$FZ$601,445,Sync!$D$5)&amp;"",""))</f>
        <v/>
      </c>
      <c r="E4496" s="17">
        <f>IF(B4496="","",IFERROR(INDEX(Clay_Brands!$A$2:$FZ$601,445,Sync!$D$6)&amp;"",""))</f>
        <v/>
      </c>
      <c r="F4496" s="17">
        <f>IF(B4496="","","outreach_sent")</f>
        <v/>
      </c>
      <c r="G4496" s="17">
        <f>IF(B4496="","","")</f>
        <v/>
      </c>
      <c r="H4496" s="17">
        <f>IF(B4496="","","")</f>
        <v/>
      </c>
      <c r="I4496" s="17">
        <f>IF(B4496="","","")</f>
        <v/>
      </c>
      <c r="J4496" s="17">
        <f>IF(B4496="","","touch_2; "&amp;IFERROR(INDEX(Clay_Brands!$A$2:$FZ$601,445,Sync!$D$10)&amp;"","")&amp;"; "&amp;IFERROR(INDEX(Clay_Brands!$A$2:$FZ$601,445,Sync!$D$9)&amp;"",""))</f>
        <v/>
      </c>
      <c r="K4496" t="inlineStr">
        <is>
          <t>brand outreach touch 2</t>
        </is>
      </c>
    </row>
    <row r="4497">
      <c r="A4497" s="17">
        <f>IF(B4497="","",B4497+(16*1000+446)/10000000)</f>
        <v/>
      </c>
      <c r="B4497" s="23">
        <f>IF(AND(IFERROR(N(INDEX(Clay_Brands!$A$2:$FZ$601,446,Sync!$D$12)),0)&gt;0,IFERROR(INDEX(Clay_Brands!$A$2:$FZ$601,446,Sync!$D$5)&amp;"","")&lt;&gt;"",OR(LEFT(IFERROR(INDEX(Clay_Brands!$A$2:$FZ$601,446,Sync!$D$5)&amp;"",""),6)&lt;&gt;"SAMPLE",Config!$B$19="Y")),IFERROR(N(INDEX(Clay_Brands!$A$2:$FZ$601,446,Sync!$D$12)),0),"")</f>
        <v/>
      </c>
      <c r="C4497" s="17">
        <f>IF(B4497="","","brand")</f>
        <v/>
      </c>
      <c r="D4497" s="17">
        <f>IF(B4497="","",IFERROR(INDEX(Clay_Brands!$A$2:$FZ$601,446,Sync!$D$5)&amp;"",""))</f>
        <v/>
      </c>
      <c r="E4497" s="17">
        <f>IF(B4497="","",IFERROR(INDEX(Clay_Brands!$A$2:$FZ$601,446,Sync!$D$6)&amp;"",""))</f>
        <v/>
      </c>
      <c r="F4497" s="17">
        <f>IF(B4497="","","outreach_sent")</f>
        <v/>
      </c>
      <c r="G4497" s="17">
        <f>IF(B4497="","","")</f>
        <v/>
      </c>
      <c r="H4497" s="17">
        <f>IF(B4497="","","")</f>
        <v/>
      </c>
      <c r="I4497" s="17">
        <f>IF(B4497="","","")</f>
        <v/>
      </c>
      <c r="J4497" s="17">
        <f>IF(B4497="","","touch_2; "&amp;IFERROR(INDEX(Clay_Brands!$A$2:$FZ$601,446,Sync!$D$10)&amp;"","")&amp;"; "&amp;IFERROR(INDEX(Clay_Brands!$A$2:$FZ$601,446,Sync!$D$9)&amp;"",""))</f>
        <v/>
      </c>
      <c r="K4497" t="inlineStr">
        <is>
          <t>brand outreach touch 2</t>
        </is>
      </c>
    </row>
    <row r="4498">
      <c r="A4498" s="17">
        <f>IF(B4498="","",B4498+(16*1000+447)/10000000)</f>
        <v/>
      </c>
      <c r="B4498" s="23">
        <f>IF(AND(IFERROR(N(INDEX(Clay_Brands!$A$2:$FZ$601,447,Sync!$D$12)),0)&gt;0,IFERROR(INDEX(Clay_Brands!$A$2:$FZ$601,447,Sync!$D$5)&amp;"","")&lt;&gt;"",OR(LEFT(IFERROR(INDEX(Clay_Brands!$A$2:$FZ$601,447,Sync!$D$5)&amp;"",""),6)&lt;&gt;"SAMPLE",Config!$B$19="Y")),IFERROR(N(INDEX(Clay_Brands!$A$2:$FZ$601,447,Sync!$D$12)),0),"")</f>
        <v/>
      </c>
      <c r="C4498" s="17">
        <f>IF(B4498="","","brand")</f>
        <v/>
      </c>
      <c r="D4498" s="17">
        <f>IF(B4498="","",IFERROR(INDEX(Clay_Brands!$A$2:$FZ$601,447,Sync!$D$5)&amp;"",""))</f>
        <v/>
      </c>
      <c r="E4498" s="17">
        <f>IF(B4498="","",IFERROR(INDEX(Clay_Brands!$A$2:$FZ$601,447,Sync!$D$6)&amp;"",""))</f>
        <v/>
      </c>
      <c r="F4498" s="17">
        <f>IF(B4498="","","outreach_sent")</f>
        <v/>
      </c>
      <c r="G4498" s="17">
        <f>IF(B4498="","","")</f>
        <v/>
      </c>
      <c r="H4498" s="17">
        <f>IF(B4498="","","")</f>
        <v/>
      </c>
      <c r="I4498" s="17">
        <f>IF(B4498="","","")</f>
        <v/>
      </c>
      <c r="J4498" s="17">
        <f>IF(B4498="","","touch_2; "&amp;IFERROR(INDEX(Clay_Brands!$A$2:$FZ$601,447,Sync!$D$10)&amp;"","")&amp;"; "&amp;IFERROR(INDEX(Clay_Brands!$A$2:$FZ$601,447,Sync!$D$9)&amp;"",""))</f>
        <v/>
      </c>
      <c r="K4498" t="inlineStr">
        <is>
          <t>brand outreach touch 2</t>
        </is>
      </c>
    </row>
    <row r="4499">
      <c r="A4499" s="17">
        <f>IF(B4499="","",B4499+(16*1000+448)/10000000)</f>
        <v/>
      </c>
      <c r="B4499" s="23">
        <f>IF(AND(IFERROR(N(INDEX(Clay_Brands!$A$2:$FZ$601,448,Sync!$D$12)),0)&gt;0,IFERROR(INDEX(Clay_Brands!$A$2:$FZ$601,448,Sync!$D$5)&amp;"","")&lt;&gt;"",OR(LEFT(IFERROR(INDEX(Clay_Brands!$A$2:$FZ$601,448,Sync!$D$5)&amp;"",""),6)&lt;&gt;"SAMPLE",Config!$B$19="Y")),IFERROR(N(INDEX(Clay_Brands!$A$2:$FZ$601,448,Sync!$D$12)),0),"")</f>
        <v/>
      </c>
      <c r="C4499" s="17">
        <f>IF(B4499="","","brand")</f>
        <v/>
      </c>
      <c r="D4499" s="17">
        <f>IF(B4499="","",IFERROR(INDEX(Clay_Brands!$A$2:$FZ$601,448,Sync!$D$5)&amp;"",""))</f>
        <v/>
      </c>
      <c r="E4499" s="17">
        <f>IF(B4499="","",IFERROR(INDEX(Clay_Brands!$A$2:$FZ$601,448,Sync!$D$6)&amp;"",""))</f>
        <v/>
      </c>
      <c r="F4499" s="17">
        <f>IF(B4499="","","outreach_sent")</f>
        <v/>
      </c>
      <c r="G4499" s="17">
        <f>IF(B4499="","","")</f>
        <v/>
      </c>
      <c r="H4499" s="17">
        <f>IF(B4499="","","")</f>
        <v/>
      </c>
      <c r="I4499" s="17">
        <f>IF(B4499="","","")</f>
        <v/>
      </c>
      <c r="J4499" s="17">
        <f>IF(B4499="","","touch_2; "&amp;IFERROR(INDEX(Clay_Brands!$A$2:$FZ$601,448,Sync!$D$10)&amp;"","")&amp;"; "&amp;IFERROR(INDEX(Clay_Brands!$A$2:$FZ$601,448,Sync!$D$9)&amp;"",""))</f>
        <v/>
      </c>
      <c r="K4499" t="inlineStr">
        <is>
          <t>brand outreach touch 2</t>
        </is>
      </c>
    </row>
    <row r="4500">
      <c r="A4500" s="17">
        <f>IF(B4500="","",B4500+(16*1000+449)/10000000)</f>
        <v/>
      </c>
      <c r="B4500" s="23">
        <f>IF(AND(IFERROR(N(INDEX(Clay_Brands!$A$2:$FZ$601,449,Sync!$D$12)),0)&gt;0,IFERROR(INDEX(Clay_Brands!$A$2:$FZ$601,449,Sync!$D$5)&amp;"","")&lt;&gt;"",OR(LEFT(IFERROR(INDEX(Clay_Brands!$A$2:$FZ$601,449,Sync!$D$5)&amp;"",""),6)&lt;&gt;"SAMPLE",Config!$B$19="Y")),IFERROR(N(INDEX(Clay_Brands!$A$2:$FZ$601,449,Sync!$D$12)),0),"")</f>
        <v/>
      </c>
      <c r="C4500" s="17">
        <f>IF(B4500="","","brand")</f>
        <v/>
      </c>
      <c r="D4500" s="17">
        <f>IF(B4500="","",IFERROR(INDEX(Clay_Brands!$A$2:$FZ$601,449,Sync!$D$5)&amp;"",""))</f>
        <v/>
      </c>
      <c r="E4500" s="17">
        <f>IF(B4500="","",IFERROR(INDEX(Clay_Brands!$A$2:$FZ$601,449,Sync!$D$6)&amp;"",""))</f>
        <v/>
      </c>
      <c r="F4500" s="17">
        <f>IF(B4500="","","outreach_sent")</f>
        <v/>
      </c>
      <c r="G4500" s="17">
        <f>IF(B4500="","","")</f>
        <v/>
      </c>
      <c r="H4500" s="17">
        <f>IF(B4500="","","")</f>
        <v/>
      </c>
      <c r="I4500" s="17">
        <f>IF(B4500="","","")</f>
        <v/>
      </c>
      <c r="J4500" s="17">
        <f>IF(B4500="","","touch_2; "&amp;IFERROR(INDEX(Clay_Brands!$A$2:$FZ$601,449,Sync!$D$10)&amp;"","")&amp;"; "&amp;IFERROR(INDEX(Clay_Brands!$A$2:$FZ$601,449,Sync!$D$9)&amp;"",""))</f>
        <v/>
      </c>
      <c r="K4500" t="inlineStr">
        <is>
          <t>brand outreach touch 2</t>
        </is>
      </c>
    </row>
    <row r="4501">
      <c r="A4501" s="17">
        <f>IF(B4501="","",B4501+(16*1000+450)/10000000)</f>
        <v/>
      </c>
      <c r="B4501" s="23">
        <f>IF(AND(IFERROR(N(INDEX(Clay_Brands!$A$2:$FZ$601,450,Sync!$D$12)),0)&gt;0,IFERROR(INDEX(Clay_Brands!$A$2:$FZ$601,450,Sync!$D$5)&amp;"","")&lt;&gt;"",OR(LEFT(IFERROR(INDEX(Clay_Brands!$A$2:$FZ$601,450,Sync!$D$5)&amp;"",""),6)&lt;&gt;"SAMPLE",Config!$B$19="Y")),IFERROR(N(INDEX(Clay_Brands!$A$2:$FZ$601,450,Sync!$D$12)),0),"")</f>
        <v/>
      </c>
      <c r="C4501" s="17">
        <f>IF(B4501="","","brand")</f>
        <v/>
      </c>
      <c r="D4501" s="17">
        <f>IF(B4501="","",IFERROR(INDEX(Clay_Brands!$A$2:$FZ$601,450,Sync!$D$5)&amp;"",""))</f>
        <v/>
      </c>
      <c r="E4501" s="17">
        <f>IF(B4501="","",IFERROR(INDEX(Clay_Brands!$A$2:$FZ$601,450,Sync!$D$6)&amp;"",""))</f>
        <v/>
      </c>
      <c r="F4501" s="17">
        <f>IF(B4501="","","outreach_sent")</f>
        <v/>
      </c>
      <c r="G4501" s="17">
        <f>IF(B4501="","","")</f>
        <v/>
      </c>
      <c r="H4501" s="17">
        <f>IF(B4501="","","")</f>
        <v/>
      </c>
      <c r="I4501" s="17">
        <f>IF(B4501="","","")</f>
        <v/>
      </c>
      <c r="J4501" s="17">
        <f>IF(B4501="","","touch_2; "&amp;IFERROR(INDEX(Clay_Brands!$A$2:$FZ$601,450,Sync!$D$10)&amp;"","")&amp;"; "&amp;IFERROR(INDEX(Clay_Brands!$A$2:$FZ$601,450,Sync!$D$9)&amp;"",""))</f>
        <v/>
      </c>
      <c r="K4501" t="inlineStr">
        <is>
          <t>brand outreach touch 2</t>
        </is>
      </c>
    </row>
    <row r="4502">
      <c r="A4502" s="17">
        <f>IF(B4502="","",B4502+(16*1000+451)/10000000)</f>
        <v/>
      </c>
      <c r="B4502" s="23">
        <f>IF(AND(IFERROR(N(INDEX(Clay_Brands!$A$2:$FZ$601,451,Sync!$D$12)),0)&gt;0,IFERROR(INDEX(Clay_Brands!$A$2:$FZ$601,451,Sync!$D$5)&amp;"","")&lt;&gt;"",OR(LEFT(IFERROR(INDEX(Clay_Brands!$A$2:$FZ$601,451,Sync!$D$5)&amp;"",""),6)&lt;&gt;"SAMPLE",Config!$B$19="Y")),IFERROR(N(INDEX(Clay_Brands!$A$2:$FZ$601,451,Sync!$D$12)),0),"")</f>
        <v/>
      </c>
      <c r="C4502" s="17">
        <f>IF(B4502="","","brand")</f>
        <v/>
      </c>
      <c r="D4502" s="17">
        <f>IF(B4502="","",IFERROR(INDEX(Clay_Brands!$A$2:$FZ$601,451,Sync!$D$5)&amp;"",""))</f>
        <v/>
      </c>
      <c r="E4502" s="17">
        <f>IF(B4502="","",IFERROR(INDEX(Clay_Brands!$A$2:$FZ$601,451,Sync!$D$6)&amp;"",""))</f>
        <v/>
      </c>
      <c r="F4502" s="17">
        <f>IF(B4502="","","outreach_sent")</f>
        <v/>
      </c>
      <c r="G4502" s="17">
        <f>IF(B4502="","","")</f>
        <v/>
      </c>
      <c r="H4502" s="17">
        <f>IF(B4502="","","")</f>
        <v/>
      </c>
      <c r="I4502" s="17">
        <f>IF(B4502="","","")</f>
        <v/>
      </c>
      <c r="J4502" s="17">
        <f>IF(B4502="","","touch_2; "&amp;IFERROR(INDEX(Clay_Brands!$A$2:$FZ$601,451,Sync!$D$10)&amp;"","")&amp;"; "&amp;IFERROR(INDEX(Clay_Brands!$A$2:$FZ$601,451,Sync!$D$9)&amp;"",""))</f>
        <v/>
      </c>
      <c r="K4502" t="inlineStr">
        <is>
          <t>brand outreach touch 2</t>
        </is>
      </c>
    </row>
    <row r="4503">
      <c r="A4503" s="17">
        <f>IF(B4503="","",B4503+(16*1000+452)/10000000)</f>
        <v/>
      </c>
      <c r="B4503" s="23">
        <f>IF(AND(IFERROR(N(INDEX(Clay_Brands!$A$2:$FZ$601,452,Sync!$D$12)),0)&gt;0,IFERROR(INDEX(Clay_Brands!$A$2:$FZ$601,452,Sync!$D$5)&amp;"","")&lt;&gt;"",OR(LEFT(IFERROR(INDEX(Clay_Brands!$A$2:$FZ$601,452,Sync!$D$5)&amp;"",""),6)&lt;&gt;"SAMPLE",Config!$B$19="Y")),IFERROR(N(INDEX(Clay_Brands!$A$2:$FZ$601,452,Sync!$D$12)),0),"")</f>
        <v/>
      </c>
      <c r="C4503" s="17">
        <f>IF(B4503="","","brand")</f>
        <v/>
      </c>
      <c r="D4503" s="17">
        <f>IF(B4503="","",IFERROR(INDEX(Clay_Brands!$A$2:$FZ$601,452,Sync!$D$5)&amp;"",""))</f>
        <v/>
      </c>
      <c r="E4503" s="17">
        <f>IF(B4503="","",IFERROR(INDEX(Clay_Brands!$A$2:$FZ$601,452,Sync!$D$6)&amp;"",""))</f>
        <v/>
      </c>
      <c r="F4503" s="17">
        <f>IF(B4503="","","outreach_sent")</f>
        <v/>
      </c>
      <c r="G4503" s="17">
        <f>IF(B4503="","","")</f>
        <v/>
      </c>
      <c r="H4503" s="17">
        <f>IF(B4503="","","")</f>
        <v/>
      </c>
      <c r="I4503" s="17">
        <f>IF(B4503="","","")</f>
        <v/>
      </c>
      <c r="J4503" s="17">
        <f>IF(B4503="","","touch_2; "&amp;IFERROR(INDEX(Clay_Brands!$A$2:$FZ$601,452,Sync!$D$10)&amp;"","")&amp;"; "&amp;IFERROR(INDEX(Clay_Brands!$A$2:$FZ$601,452,Sync!$D$9)&amp;"",""))</f>
        <v/>
      </c>
      <c r="K4503" t="inlineStr">
        <is>
          <t>brand outreach touch 2</t>
        </is>
      </c>
    </row>
    <row r="4504">
      <c r="A4504" s="17">
        <f>IF(B4504="","",B4504+(16*1000+453)/10000000)</f>
        <v/>
      </c>
      <c r="B4504" s="23">
        <f>IF(AND(IFERROR(N(INDEX(Clay_Brands!$A$2:$FZ$601,453,Sync!$D$12)),0)&gt;0,IFERROR(INDEX(Clay_Brands!$A$2:$FZ$601,453,Sync!$D$5)&amp;"","")&lt;&gt;"",OR(LEFT(IFERROR(INDEX(Clay_Brands!$A$2:$FZ$601,453,Sync!$D$5)&amp;"",""),6)&lt;&gt;"SAMPLE",Config!$B$19="Y")),IFERROR(N(INDEX(Clay_Brands!$A$2:$FZ$601,453,Sync!$D$12)),0),"")</f>
        <v/>
      </c>
      <c r="C4504" s="17">
        <f>IF(B4504="","","brand")</f>
        <v/>
      </c>
      <c r="D4504" s="17">
        <f>IF(B4504="","",IFERROR(INDEX(Clay_Brands!$A$2:$FZ$601,453,Sync!$D$5)&amp;"",""))</f>
        <v/>
      </c>
      <c r="E4504" s="17">
        <f>IF(B4504="","",IFERROR(INDEX(Clay_Brands!$A$2:$FZ$601,453,Sync!$D$6)&amp;"",""))</f>
        <v/>
      </c>
      <c r="F4504" s="17">
        <f>IF(B4504="","","outreach_sent")</f>
        <v/>
      </c>
      <c r="G4504" s="17">
        <f>IF(B4504="","","")</f>
        <v/>
      </c>
      <c r="H4504" s="17">
        <f>IF(B4504="","","")</f>
        <v/>
      </c>
      <c r="I4504" s="17">
        <f>IF(B4504="","","")</f>
        <v/>
      </c>
      <c r="J4504" s="17">
        <f>IF(B4504="","","touch_2; "&amp;IFERROR(INDEX(Clay_Brands!$A$2:$FZ$601,453,Sync!$D$10)&amp;"","")&amp;"; "&amp;IFERROR(INDEX(Clay_Brands!$A$2:$FZ$601,453,Sync!$D$9)&amp;"",""))</f>
        <v/>
      </c>
      <c r="K4504" t="inlineStr">
        <is>
          <t>brand outreach touch 2</t>
        </is>
      </c>
    </row>
    <row r="4505">
      <c r="A4505" s="17">
        <f>IF(B4505="","",B4505+(16*1000+454)/10000000)</f>
        <v/>
      </c>
      <c r="B4505" s="23">
        <f>IF(AND(IFERROR(N(INDEX(Clay_Brands!$A$2:$FZ$601,454,Sync!$D$12)),0)&gt;0,IFERROR(INDEX(Clay_Brands!$A$2:$FZ$601,454,Sync!$D$5)&amp;"","")&lt;&gt;"",OR(LEFT(IFERROR(INDEX(Clay_Brands!$A$2:$FZ$601,454,Sync!$D$5)&amp;"",""),6)&lt;&gt;"SAMPLE",Config!$B$19="Y")),IFERROR(N(INDEX(Clay_Brands!$A$2:$FZ$601,454,Sync!$D$12)),0),"")</f>
        <v/>
      </c>
      <c r="C4505" s="17">
        <f>IF(B4505="","","brand")</f>
        <v/>
      </c>
      <c r="D4505" s="17">
        <f>IF(B4505="","",IFERROR(INDEX(Clay_Brands!$A$2:$FZ$601,454,Sync!$D$5)&amp;"",""))</f>
        <v/>
      </c>
      <c r="E4505" s="17">
        <f>IF(B4505="","",IFERROR(INDEX(Clay_Brands!$A$2:$FZ$601,454,Sync!$D$6)&amp;"",""))</f>
        <v/>
      </c>
      <c r="F4505" s="17">
        <f>IF(B4505="","","outreach_sent")</f>
        <v/>
      </c>
      <c r="G4505" s="17">
        <f>IF(B4505="","","")</f>
        <v/>
      </c>
      <c r="H4505" s="17">
        <f>IF(B4505="","","")</f>
        <v/>
      </c>
      <c r="I4505" s="17">
        <f>IF(B4505="","","")</f>
        <v/>
      </c>
      <c r="J4505" s="17">
        <f>IF(B4505="","","touch_2; "&amp;IFERROR(INDEX(Clay_Brands!$A$2:$FZ$601,454,Sync!$D$10)&amp;"","")&amp;"; "&amp;IFERROR(INDEX(Clay_Brands!$A$2:$FZ$601,454,Sync!$D$9)&amp;"",""))</f>
        <v/>
      </c>
      <c r="K4505" t="inlineStr">
        <is>
          <t>brand outreach touch 2</t>
        </is>
      </c>
    </row>
    <row r="4506">
      <c r="A4506" s="17">
        <f>IF(B4506="","",B4506+(16*1000+455)/10000000)</f>
        <v/>
      </c>
      <c r="B4506" s="23">
        <f>IF(AND(IFERROR(N(INDEX(Clay_Brands!$A$2:$FZ$601,455,Sync!$D$12)),0)&gt;0,IFERROR(INDEX(Clay_Brands!$A$2:$FZ$601,455,Sync!$D$5)&amp;"","")&lt;&gt;"",OR(LEFT(IFERROR(INDEX(Clay_Brands!$A$2:$FZ$601,455,Sync!$D$5)&amp;"",""),6)&lt;&gt;"SAMPLE",Config!$B$19="Y")),IFERROR(N(INDEX(Clay_Brands!$A$2:$FZ$601,455,Sync!$D$12)),0),"")</f>
        <v/>
      </c>
      <c r="C4506" s="17">
        <f>IF(B4506="","","brand")</f>
        <v/>
      </c>
      <c r="D4506" s="17">
        <f>IF(B4506="","",IFERROR(INDEX(Clay_Brands!$A$2:$FZ$601,455,Sync!$D$5)&amp;"",""))</f>
        <v/>
      </c>
      <c r="E4506" s="17">
        <f>IF(B4506="","",IFERROR(INDEX(Clay_Brands!$A$2:$FZ$601,455,Sync!$D$6)&amp;"",""))</f>
        <v/>
      </c>
      <c r="F4506" s="17">
        <f>IF(B4506="","","outreach_sent")</f>
        <v/>
      </c>
      <c r="G4506" s="17">
        <f>IF(B4506="","","")</f>
        <v/>
      </c>
      <c r="H4506" s="17">
        <f>IF(B4506="","","")</f>
        <v/>
      </c>
      <c r="I4506" s="17">
        <f>IF(B4506="","","")</f>
        <v/>
      </c>
      <c r="J4506" s="17">
        <f>IF(B4506="","","touch_2; "&amp;IFERROR(INDEX(Clay_Brands!$A$2:$FZ$601,455,Sync!$D$10)&amp;"","")&amp;"; "&amp;IFERROR(INDEX(Clay_Brands!$A$2:$FZ$601,455,Sync!$D$9)&amp;"",""))</f>
        <v/>
      </c>
      <c r="K4506" t="inlineStr">
        <is>
          <t>brand outreach touch 2</t>
        </is>
      </c>
    </row>
    <row r="4507">
      <c r="A4507" s="17">
        <f>IF(B4507="","",B4507+(16*1000+456)/10000000)</f>
        <v/>
      </c>
      <c r="B4507" s="23">
        <f>IF(AND(IFERROR(N(INDEX(Clay_Brands!$A$2:$FZ$601,456,Sync!$D$12)),0)&gt;0,IFERROR(INDEX(Clay_Brands!$A$2:$FZ$601,456,Sync!$D$5)&amp;"","")&lt;&gt;"",OR(LEFT(IFERROR(INDEX(Clay_Brands!$A$2:$FZ$601,456,Sync!$D$5)&amp;"",""),6)&lt;&gt;"SAMPLE",Config!$B$19="Y")),IFERROR(N(INDEX(Clay_Brands!$A$2:$FZ$601,456,Sync!$D$12)),0),"")</f>
        <v/>
      </c>
      <c r="C4507" s="17">
        <f>IF(B4507="","","brand")</f>
        <v/>
      </c>
      <c r="D4507" s="17">
        <f>IF(B4507="","",IFERROR(INDEX(Clay_Brands!$A$2:$FZ$601,456,Sync!$D$5)&amp;"",""))</f>
        <v/>
      </c>
      <c r="E4507" s="17">
        <f>IF(B4507="","",IFERROR(INDEX(Clay_Brands!$A$2:$FZ$601,456,Sync!$D$6)&amp;"",""))</f>
        <v/>
      </c>
      <c r="F4507" s="17">
        <f>IF(B4507="","","outreach_sent")</f>
        <v/>
      </c>
      <c r="G4507" s="17">
        <f>IF(B4507="","","")</f>
        <v/>
      </c>
      <c r="H4507" s="17">
        <f>IF(B4507="","","")</f>
        <v/>
      </c>
      <c r="I4507" s="17">
        <f>IF(B4507="","","")</f>
        <v/>
      </c>
      <c r="J4507" s="17">
        <f>IF(B4507="","","touch_2; "&amp;IFERROR(INDEX(Clay_Brands!$A$2:$FZ$601,456,Sync!$D$10)&amp;"","")&amp;"; "&amp;IFERROR(INDEX(Clay_Brands!$A$2:$FZ$601,456,Sync!$D$9)&amp;"",""))</f>
        <v/>
      </c>
      <c r="K4507" t="inlineStr">
        <is>
          <t>brand outreach touch 2</t>
        </is>
      </c>
    </row>
    <row r="4508">
      <c r="A4508" s="17">
        <f>IF(B4508="","",B4508+(16*1000+457)/10000000)</f>
        <v/>
      </c>
      <c r="B4508" s="23">
        <f>IF(AND(IFERROR(N(INDEX(Clay_Brands!$A$2:$FZ$601,457,Sync!$D$12)),0)&gt;0,IFERROR(INDEX(Clay_Brands!$A$2:$FZ$601,457,Sync!$D$5)&amp;"","")&lt;&gt;"",OR(LEFT(IFERROR(INDEX(Clay_Brands!$A$2:$FZ$601,457,Sync!$D$5)&amp;"",""),6)&lt;&gt;"SAMPLE",Config!$B$19="Y")),IFERROR(N(INDEX(Clay_Brands!$A$2:$FZ$601,457,Sync!$D$12)),0),"")</f>
        <v/>
      </c>
      <c r="C4508" s="17">
        <f>IF(B4508="","","brand")</f>
        <v/>
      </c>
      <c r="D4508" s="17">
        <f>IF(B4508="","",IFERROR(INDEX(Clay_Brands!$A$2:$FZ$601,457,Sync!$D$5)&amp;"",""))</f>
        <v/>
      </c>
      <c r="E4508" s="17">
        <f>IF(B4508="","",IFERROR(INDEX(Clay_Brands!$A$2:$FZ$601,457,Sync!$D$6)&amp;"",""))</f>
        <v/>
      </c>
      <c r="F4508" s="17">
        <f>IF(B4508="","","outreach_sent")</f>
        <v/>
      </c>
      <c r="G4508" s="17">
        <f>IF(B4508="","","")</f>
        <v/>
      </c>
      <c r="H4508" s="17">
        <f>IF(B4508="","","")</f>
        <v/>
      </c>
      <c r="I4508" s="17">
        <f>IF(B4508="","","")</f>
        <v/>
      </c>
      <c r="J4508" s="17">
        <f>IF(B4508="","","touch_2; "&amp;IFERROR(INDEX(Clay_Brands!$A$2:$FZ$601,457,Sync!$D$10)&amp;"","")&amp;"; "&amp;IFERROR(INDEX(Clay_Brands!$A$2:$FZ$601,457,Sync!$D$9)&amp;"",""))</f>
        <v/>
      </c>
      <c r="K4508" t="inlineStr">
        <is>
          <t>brand outreach touch 2</t>
        </is>
      </c>
    </row>
    <row r="4509">
      <c r="A4509" s="17">
        <f>IF(B4509="","",B4509+(16*1000+458)/10000000)</f>
        <v/>
      </c>
      <c r="B4509" s="23">
        <f>IF(AND(IFERROR(N(INDEX(Clay_Brands!$A$2:$FZ$601,458,Sync!$D$12)),0)&gt;0,IFERROR(INDEX(Clay_Brands!$A$2:$FZ$601,458,Sync!$D$5)&amp;"","")&lt;&gt;"",OR(LEFT(IFERROR(INDEX(Clay_Brands!$A$2:$FZ$601,458,Sync!$D$5)&amp;"",""),6)&lt;&gt;"SAMPLE",Config!$B$19="Y")),IFERROR(N(INDEX(Clay_Brands!$A$2:$FZ$601,458,Sync!$D$12)),0),"")</f>
        <v/>
      </c>
      <c r="C4509" s="17">
        <f>IF(B4509="","","brand")</f>
        <v/>
      </c>
      <c r="D4509" s="17">
        <f>IF(B4509="","",IFERROR(INDEX(Clay_Brands!$A$2:$FZ$601,458,Sync!$D$5)&amp;"",""))</f>
        <v/>
      </c>
      <c r="E4509" s="17">
        <f>IF(B4509="","",IFERROR(INDEX(Clay_Brands!$A$2:$FZ$601,458,Sync!$D$6)&amp;"",""))</f>
        <v/>
      </c>
      <c r="F4509" s="17">
        <f>IF(B4509="","","outreach_sent")</f>
        <v/>
      </c>
      <c r="G4509" s="17">
        <f>IF(B4509="","","")</f>
        <v/>
      </c>
      <c r="H4509" s="17">
        <f>IF(B4509="","","")</f>
        <v/>
      </c>
      <c r="I4509" s="17">
        <f>IF(B4509="","","")</f>
        <v/>
      </c>
      <c r="J4509" s="17">
        <f>IF(B4509="","","touch_2; "&amp;IFERROR(INDEX(Clay_Brands!$A$2:$FZ$601,458,Sync!$D$10)&amp;"","")&amp;"; "&amp;IFERROR(INDEX(Clay_Brands!$A$2:$FZ$601,458,Sync!$D$9)&amp;"",""))</f>
        <v/>
      </c>
      <c r="K4509" t="inlineStr">
        <is>
          <t>brand outreach touch 2</t>
        </is>
      </c>
    </row>
    <row r="4510">
      <c r="A4510" s="17">
        <f>IF(B4510="","",B4510+(16*1000+459)/10000000)</f>
        <v/>
      </c>
      <c r="B4510" s="23">
        <f>IF(AND(IFERROR(N(INDEX(Clay_Brands!$A$2:$FZ$601,459,Sync!$D$12)),0)&gt;0,IFERROR(INDEX(Clay_Brands!$A$2:$FZ$601,459,Sync!$D$5)&amp;"","")&lt;&gt;"",OR(LEFT(IFERROR(INDEX(Clay_Brands!$A$2:$FZ$601,459,Sync!$D$5)&amp;"",""),6)&lt;&gt;"SAMPLE",Config!$B$19="Y")),IFERROR(N(INDEX(Clay_Brands!$A$2:$FZ$601,459,Sync!$D$12)),0),"")</f>
        <v/>
      </c>
      <c r="C4510" s="17">
        <f>IF(B4510="","","brand")</f>
        <v/>
      </c>
      <c r="D4510" s="17">
        <f>IF(B4510="","",IFERROR(INDEX(Clay_Brands!$A$2:$FZ$601,459,Sync!$D$5)&amp;"",""))</f>
        <v/>
      </c>
      <c r="E4510" s="17">
        <f>IF(B4510="","",IFERROR(INDEX(Clay_Brands!$A$2:$FZ$601,459,Sync!$D$6)&amp;"",""))</f>
        <v/>
      </c>
      <c r="F4510" s="17">
        <f>IF(B4510="","","outreach_sent")</f>
        <v/>
      </c>
      <c r="G4510" s="17">
        <f>IF(B4510="","","")</f>
        <v/>
      </c>
      <c r="H4510" s="17">
        <f>IF(B4510="","","")</f>
        <v/>
      </c>
      <c r="I4510" s="17">
        <f>IF(B4510="","","")</f>
        <v/>
      </c>
      <c r="J4510" s="17">
        <f>IF(B4510="","","touch_2; "&amp;IFERROR(INDEX(Clay_Brands!$A$2:$FZ$601,459,Sync!$D$10)&amp;"","")&amp;"; "&amp;IFERROR(INDEX(Clay_Brands!$A$2:$FZ$601,459,Sync!$D$9)&amp;"",""))</f>
        <v/>
      </c>
      <c r="K4510" t="inlineStr">
        <is>
          <t>brand outreach touch 2</t>
        </is>
      </c>
    </row>
    <row r="4511">
      <c r="A4511" s="17">
        <f>IF(B4511="","",B4511+(16*1000+460)/10000000)</f>
        <v/>
      </c>
      <c r="B4511" s="23">
        <f>IF(AND(IFERROR(N(INDEX(Clay_Brands!$A$2:$FZ$601,460,Sync!$D$12)),0)&gt;0,IFERROR(INDEX(Clay_Brands!$A$2:$FZ$601,460,Sync!$D$5)&amp;"","")&lt;&gt;"",OR(LEFT(IFERROR(INDEX(Clay_Brands!$A$2:$FZ$601,460,Sync!$D$5)&amp;"",""),6)&lt;&gt;"SAMPLE",Config!$B$19="Y")),IFERROR(N(INDEX(Clay_Brands!$A$2:$FZ$601,460,Sync!$D$12)),0),"")</f>
        <v/>
      </c>
      <c r="C4511" s="17">
        <f>IF(B4511="","","brand")</f>
        <v/>
      </c>
      <c r="D4511" s="17">
        <f>IF(B4511="","",IFERROR(INDEX(Clay_Brands!$A$2:$FZ$601,460,Sync!$D$5)&amp;"",""))</f>
        <v/>
      </c>
      <c r="E4511" s="17">
        <f>IF(B4511="","",IFERROR(INDEX(Clay_Brands!$A$2:$FZ$601,460,Sync!$D$6)&amp;"",""))</f>
        <v/>
      </c>
      <c r="F4511" s="17">
        <f>IF(B4511="","","outreach_sent")</f>
        <v/>
      </c>
      <c r="G4511" s="17">
        <f>IF(B4511="","","")</f>
        <v/>
      </c>
      <c r="H4511" s="17">
        <f>IF(B4511="","","")</f>
        <v/>
      </c>
      <c r="I4511" s="17">
        <f>IF(B4511="","","")</f>
        <v/>
      </c>
      <c r="J4511" s="17">
        <f>IF(B4511="","","touch_2; "&amp;IFERROR(INDEX(Clay_Brands!$A$2:$FZ$601,460,Sync!$D$10)&amp;"","")&amp;"; "&amp;IFERROR(INDEX(Clay_Brands!$A$2:$FZ$601,460,Sync!$D$9)&amp;"",""))</f>
        <v/>
      </c>
      <c r="K4511" t="inlineStr">
        <is>
          <t>brand outreach touch 2</t>
        </is>
      </c>
    </row>
    <row r="4512">
      <c r="A4512" s="17">
        <f>IF(B4512="","",B4512+(16*1000+461)/10000000)</f>
        <v/>
      </c>
      <c r="B4512" s="23">
        <f>IF(AND(IFERROR(N(INDEX(Clay_Brands!$A$2:$FZ$601,461,Sync!$D$12)),0)&gt;0,IFERROR(INDEX(Clay_Brands!$A$2:$FZ$601,461,Sync!$D$5)&amp;"","")&lt;&gt;"",OR(LEFT(IFERROR(INDEX(Clay_Brands!$A$2:$FZ$601,461,Sync!$D$5)&amp;"",""),6)&lt;&gt;"SAMPLE",Config!$B$19="Y")),IFERROR(N(INDEX(Clay_Brands!$A$2:$FZ$601,461,Sync!$D$12)),0),"")</f>
        <v/>
      </c>
      <c r="C4512" s="17">
        <f>IF(B4512="","","brand")</f>
        <v/>
      </c>
      <c r="D4512" s="17">
        <f>IF(B4512="","",IFERROR(INDEX(Clay_Brands!$A$2:$FZ$601,461,Sync!$D$5)&amp;"",""))</f>
        <v/>
      </c>
      <c r="E4512" s="17">
        <f>IF(B4512="","",IFERROR(INDEX(Clay_Brands!$A$2:$FZ$601,461,Sync!$D$6)&amp;"",""))</f>
        <v/>
      </c>
      <c r="F4512" s="17">
        <f>IF(B4512="","","outreach_sent")</f>
        <v/>
      </c>
      <c r="G4512" s="17">
        <f>IF(B4512="","","")</f>
        <v/>
      </c>
      <c r="H4512" s="17">
        <f>IF(B4512="","","")</f>
        <v/>
      </c>
      <c r="I4512" s="17">
        <f>IF(B4512="","","")</f>
        <v/>
      </c>
      <c r="J4512" s="17">
        <f>IF(B4512="","","touch_2; "&amp;IFERROR(INDEX(Clay_Brands!$A$2:$FZ$601,461,Sync!$D$10)&amp;"","")&amp;"; "&amp;IFERROR(INDEX(Clay_Brands!$A$2:$FZ$601,461,Sync!$D$9)&amp;"",""))</f>
        <v/>
      </c>
      <c r="K4512" t="inlineStr">
        <is>
          <t>brand outreach touch 2</t>
        </is>
      </c>
    </row>
    <row r="4513">
      <c r="A4513" s="17">
        <f>IF(B4513="","",B4513+(16*1000+462)/10000000)</f>
        <v/>
      </c>
      <c r="B4513" s="23">
        <f>IF(AND(IFERROR(N(INDEX(Clay_Brands!$A$2:$FZ$601,462,Sync!$D$12)),0)&gt;0,IFERROR(INDEX(Clay_Brands!$A$2:$FZ$601,462,Sync!$D$5)&amp;"","")&lt;&gt;"",OR(LEFT(IFERROR(INDEX(Clay_Brands!$A$2:$FZ$601,462,Sync!$D$5)&amp;"",""),6)&lt;&gt;"SAMPLE",Config!$B$19="Y")),IFERROR(N(INDEX(Clay_Brands!$A$2:$FZ$601,462,Sync!$D$12)),0),"")</f>
        <v/>
      </c>
      <c r="C4513" s="17">
        <f>IF(B4513="","","brand")</f>
        <v/>
      </c>
      <c r="D4513" s="17">
        <f>IF(B4513="","",IFERROR(INDEX(Clay_Brands!$A$2:$FZ$601,462,Sync!$D$5)&amp;"",""))</f>
        <v/>
      </c>
      <c r="E4513" s="17">
        <f>IF(B4513="","",IFERROR(INDEX(Clay_Brands!$A$2:$FZ$601,462,Sync!$D$6)&amp;"",""))</f>
        <v/>
      </c>
      <c r="F4513" s="17">
        <f>IF(B4513="","","outreach_sent")</f>
        <v/>
      </c>
      <c r="G4513" s="17">
        <f>IF(B4513="","","")</f>
        <v/>
      </c>
      <c r="H4513" s="17">
        <f>IF(B4513="","","")</f>
        <v/>
      </c>
      <c r="I4513" s="17">
        <f>IF(B4513="","","")</f>
        <v/>
      </c>
      <c r="J4513" s="17">
        <f>IF(B4513="","","touch_2; "&amp;IFERROR(INDEX(Clay_Brands!$A$2:$FZ$601,462,Sync!$D$10)&amp;"","")&amp;"; "&amp;IFERROR(INDEX(Clay_Brands!$A$2:$FZ$601,462,Sync!$D$9)&amp;"",""))</f>
        <v/>
      </c>
      <c r="K4513" t="inlineStr">
        <is>
          <t>brand outreach touch 2</t>
        </is>
      </c>
    </row>
    <row r="4514">
      <c r="A4514" s="17">
        <f>IF(B4514="","",B4514+(16*1000+463)/10000000)</f>
        <v/>
      </c>
      <c r="B4514" s="23">
        <f>IF(AND(IFERROR(N(INDEX(Clay_Brands!$A$2:$FZ$601,463,Sync!$D$12)),0)&gt;0,IFERROR(INDEX(Clay_Brands!$A$2:$FZ$601,463,Sync!$D$5)&amp;"","")&lt;&gt;"",OR(LEFT(IFERROR(INDEX(Clay_Brands!$A$2:$FZ$601,463,Sync!$D$5)&amp;"",""),6)&lt;&gt;"SAMPLE",Config!$B$19="Y")),IFERROR(N(INDEX(Clay_Brands!$A$2:$FZ$601,463,Sync!$D$12)),0),"")</f>
        <v/>
      </c>
      <c r="C4514" s="17">
        <f>IF(B4514="","","brand")</f>
        <v/>
      </c>
      <c r="D4514" s="17">
        <f>IF(B4514="","",IFERROR(INDEX(Clay_Brands!$A$2:$FZ$601,463,Sync!$D$5)&amp;"",""))</f>
        <v/>
      </c>
      <c r="E4514" s="17">
        <f>IF(B4514="","",IFERROR(INDEX(Clay_Brands!$A$2:$FZ$601,463,Sync!$D$6)&amp;"",""))</f>
        <v/>
      </c>
      <c r="F4514" s="17">
        <f>IF(B4514="","","outreach_sent")</f>
        <v/>
      </c>
      <c r="G4514" s="17">
        <f>IF(B4514="","","")</f>
        <v/>
      </c>
      <c r="H4514" s="17">
        <f>IF(B4514="","","")</f>
        <v/>
      </c>
      <c r="I4514" s="17">
        <f>IF(B4514="","","")</f>
        <v/>
      </c>
      <c r="J4514" s="17">
        <f>IF(B4514="","","touch_2; "&amp;IFERROR(INDEX(Clay_Brands!$A$2:$FZ$601,463,Sync!$D$10)&amp;"","")&amp;"; "&amp;IFERROR(INDEX(Clay_Brands!$A$2:$FZ$601,463,Sync!$D$9)&amp;"",""))</f>
        <v/>
      </c>
      <c r="K4514" t="inlineStr">
        <is>
          <t>brand outreach touch 2</t>
        </is>
      </c>
    </row>
    <row r="4515">
      <c r="A4515" s="17">
        <f>IF(B4515="","",B4515+(16*1000+464)/10000000)</f>
        <v/>
      </c>
      <c r="B4515" s="23">
        <f>IF(AND(IFERROR(N(INDEX(Clay_Brands!$A$2:$FZ$601,464,Sync!$D$12)),0)&gt;0,IFERROR(INDEX(Clay_Brands!$A$2:$FZ$601,464,Sync!$D$5)&amp;"","")&lt;&gt;"",OR(LEFT(IFERROR(INDEX(Clay_Brands!$A$2:$FZ$601,464,Sync!$D$5)&amp;"",""),6)&lt;&gt;"SAMPLE",Config!$B$19="Y")),IFERROR(N(INDEX(Clay_Brands!$A$2:$FZ$601,464,Sync!$D$12)),0),"")</f>
        <v/>
      </c>
      <c r="C4515" s="17">
        <f>IF(B4515="","","brand")</f>
        <v/>
      </c>
      <c r="D4515" s="17">
        <f>IF(B4515="","",IFERROR(INDEX(Clay_Brands!$A$2:$FZ$601,464,Sync!$D$5)&amp;"",""))</f>
        <v/>
      </c>
      <c r="E4515" s="17">
        <f>IF(B4515="","",IFERROR(INDEX(Clay_Brands!$A$2:$FZ$601,464,Sync!$D$6)&amp;"",""))</f>
        <v/>
      </c>
      <c r="F4515" s="17">
        <f>IF(B4515="","","outreach_sent")</f>
        <v/>
      </c>
      <c r="G4515" s="17">
        <f>IF(B4515="","","")</f>
        <v/>
      </c>
      <c r="H4515" s="17">
        <f>IF(B4515="","","")</f>
        <v/>
      </c>
      <c r="I4515" s="17">
        <f>IF(B4515="","","")</f>
        <v/>
      </c>
      <c r="J4515" s="17">
        <f>IF(B4515="","","touch_2; "&amp;IFERROR(INDEX(Clay_Brands!$A$2:$FZ$601,464,Sync!$D$10)&amp;"","")&amp;"; "&amp;IFERROR(INDEX(Clay_Brands!$A$2:$FZ$601,464,Sync!$D$9)&amp;"",""))</f>
        <v/>
      </c>
      <c r="K4515" t="inlineStr">
        <is>
          <t>brand outreach touch 2</t>
        </is>
      </c>
    </row>
    <row r="4516">
      <c r="A4516" s="17">
        <f>IF(B4516="","",B4516+(16*1000+465)/10000000)</f>
        <v/>
      </c>
      <c r="B4516" s="23">
        <f>IF(AND(IFERROR(N(INDEX(Clay_Brands!$A$2:$FZ$601,465,Sync!$D$12)),0)&gt;0,IFERROR(INDEX(Clay_Brands!$A$2:$FZ$601,465,Sync!$D$5)&amp;"","")&lt;&gt;"",OR(LEFT(IFERROR(INDEX(Clay_Brands!$A$2:$FZ$601,465,Sync!$D$5)&amp;"",""),6)&lt;&gt;"SAMPLE",Config!$B$19="Y")),IFERROR(N(INDEX(Clay_Brands!$A$2:$FZ$601,465,Sync!$D$12)),0),"")</f>
        <v/>
      </c>
      <c r="C4516" s="17">
        <f>IF(B4516="","","brand")</f>
        <v/>
      </c>
      <c r="D4516" s="17">
        <f>IF(B4516="","",IFERROR(INDEX(Clay_Brands!$A$2:$FZ$601,465,Sync!$D$5)&amp;"",""))</f>
        <v/>
      </c>
      <c r="E4516" s="17">
        <f>IF(B4516="","",IFERROR(INDEX(Clay_Brands!$A$2:$FZ$601,465,Sync!$D$6)&amp;"",""))</f>
        <v/>
      </c>
      <c r="F4516" s="17">
        <f>IF(B4516="","","outreach_sent")</f>
        <v/>
      </c>
      <c r="G4516" s="17">
        <f>IF(B4516="","","")</f>
        <v/>
      </c>
      <c r="H4516" s="17">
        <f>IF(B4516="","","")</f>
        <v/>
      </c>
      <c r="I4516" s="17">
        <f>IF(B4516="","","")</f>
        <v/>
      </c>
      <c r="J4516" s="17">
        <f>IF(B4516="","","touch_2; "&amp;IFERROR(INDEX(Clay_Brands!$A$2:$FZ$601,465,Sync!$D$10)&amp;"","")&amp;"; "&amp;IFERROR(INDEX(Clay_Brands!$A$2:$FZ$601,465,Sync!$D$9)&amp;"",""))</f>
        <v/>
      </c>
      <c r="K4516" t="inlineStr">
        <is>
          <t>brand outreach touch 2</t>
        </is>
      </c>
    </row>
    <row r="4517">
      <c r="A4517" s="17">
        <f>IF(B4517="","",B4517+(16*1000+466)/10000000)</f>
        <v/>
      </c>
      <c r="B4517" s="23">
        <f>IF(AND(IFERROR(N(INDEX(Clay_Brands!$A$2:$FZ$601,466,Sync!$D$12)),0)&gt;0,IFERROR(INDEX(Clay_Brands!$A$2:$FZ$601,466,Sync!$D$5)&amp;"","")&lt;&gt;"",OR(LEFT(IFERROR(INDEX(Clay_Brands!$A$2:$FZ$601,466,Sync!$D$5)&amp;"",""),6)&lt;&gt;"SAMPLE",Config!$B$19="Y")),IFERROR(N(INDEX(Clay_Brands!$A$2:$FZ$601,466,Sync!$D$12)),0),"")</f>
        <v/>
      </c>
      <c r="C4517" s="17">
        <f>IF(B4517="","","brand")</f>
        <v/>
      </c>
      <c r="D4517" s="17">
        <f>IF(B4517="","",IFERROR(INDEX(Clay_Brands!$A$2:$FZ$601,466,Sync!$D$5)&amp;"",""))</f>
        <v/>
      </c>
      <c r="E4517" s="17">
        <f>IF(B4517="","",IFERROR(INDEX(Clay_Brands!$A$2:$FZ$601,466,Sync!$D$6)&amp;"",""))</f>
        <v/>
      </c>
      <c r="F4517" s="17">
        <f>IF(B4517="","","outreach_sent")</f>
        <v/>
      </c>
      <c r="G4517" s="17">
        <f>IF(B4517="","","")</f>
        <v/>
      </c>
      <c r="H4517" s="17">
        <f>IF(B4517="","","")</f>
        <v/>
      </c>
      <c r="I4517" s="17">
        <f>IF(B4517="","","")</f>
        <v/>
      </c>
      <c r="J4517" s="17">
        <f>IF(B4517="","","touch_2; "&amp;IFERROR(INDEX(Clay_Brands!$A$2:$FZ$601,466,Sync!$D$10)&amp;"","")&amp;"; "&amp;IFERROR(INDEX(Clay_Brands!$A$2:$FZ$601,466,Sync!$D$9)&amp;"",""))</f>
        <v/>
      </c>
      <c r="K4517" t="inlineStr">
        <is>
          <t>brand outreach touch 2</t>
        </is>
      </c>
    </row>
    <row r="4518">
      <c r="A4518" s="17">
        <f>IF(B4518="","",B4518+(16*1000+467)/10000000)</f>
        <v/>
      </c>
      <c r="B4518" s="23">
        <f>IF(AND(IFERROR(N(INDEX(Clay_Brands!$A$2:$FZ$601,467,Sync!$D$12)),0)&gt;0,IFERROR(INDEX(Clay_Brands!$A$2:$FZ$601,467,Sync!$D$5)&amp;"","")&lt;&gt;"",OR(LEFT(IFERROR(INDEX(Clay_Brands!$A$2:$FZ$601,467,Sync!$D$5)&amp;"",""),6)&lt;&gt;"SAMPLE",Config!$B$19="Y")),IFERROR(N(INDEX(Clay_Brands!$A$2:$FZ$601,467,Sync!$D$12)),0),"")</f>
        <v/>
      </c>
      <c r="C4518" s="17">
        <f>IF(B4518="","","brand")</f>
        <v/>
      </c>
      <c r="D4518" s="17">
        <f>IF(B4518="","",IFERROR(INDEX(Clay_Brands!$A$2:$FZ$601,467,Sync!$D$5)&amp;"",""))</f>
        <v/>
      </c>
      <c r="E4518" s="17">
        <f>IF(B4518="","",IFERROR(INDEX(Clay_Brands!$A$2:$FZ$601,467,Sync!$D$6)&amp;"",""))</f>
        <v/>
      </c>
      <c r="F4518" s="17">
        <f>IF(B4518="","","outreach_sent")</f>
        <v/>
      </c>
      <c r="G4518" s="17">
        <f>IF(B4518="","","")</f>
        <v/>
      </c>
      <c r="H4518" s="17">
        <f>IF(B4518="","","")</f>
        <v/>
      </c>
      <c r="I4518" s="17">
        <f>IF(B4518="","","")</f>
        <v/>
      </c>
      <c r="J4518" s="17">
        <f>IF(B4518="","","touch_2; "&amp;IFERROR(INDEX(Clay_Brands!$A$2:$FZ$601,467,Sync!$D$10)&amp;"","")&amp;"; "&amp;IFERROR(INDEX(Clay_Brands!$A$2:$FZ$601,467,Sync!$D$9)&amp;"",""))</f>
        <v/>
      </c>
      <c r="K4518" t="inlineStr">
        <is>
          <t>brand outreach touch 2</t>
        </is>
      </c>
    </row>
    <row r="4519">
      <c r="A4519" s="17">
        <f>IF(B4519="","",B4519+(16*1000+468)/10000000)</f>
        <v/>
      </c>
      <c r="B4519" s="23">
        <f>IF(AND(IFERROR(N(INDEX(Clay_Brands!$A$2:$FZ$601,468,Sync!$D$12)),0)&gt;0,IFERROR(INDEX(Clay_Brands!$A$2:$FZ$601,468,Sync!$D$5)&amp;"","")&lt;&gt;"",OR(LEFT(IFERROR(INDEX(Clay_Brands!$A$2:$FZ$601,468,Sync!$D$5)&amp;"",""),6)&lt;&gt;"SAMPLE",Config!$B$19="Y")),IFERROR(N(INDEX(Clay_Brands!$A$2:$FZ$601,468,Sync!$D$12)),0),"")</f>
        <v/>
      </c>
      <c r="C4519" s="17">
        <f>IF(B4519="","","brand")</f>
        <v/>
      </c>
      <c r="D4519" s="17">
        <f>IF(B4519="","",IFERROR(INDEX(Clay_Brands!$A$2:$FZ$601,468,Sync!$D$5)&amp;"",""))</f>
        <v/>
      </c>
      <c r="E4519" s="17">
        <f>IF(B4519="","",IFERROR(INDEX(Clay_Brands!$A$2:$FZ$601,468,Sync!$D$6)&amp;"",""))</f>
        <v/>
      </c>
      <c r="F4519" s="17">
        <f>IF(B4519="","","outreach_sent")</f>
        <v/>
      </c>
      <c r="G4519" s="17">
        <f>IF(B4519="","","")</f>
        <v/>
      </c>
      <c r="H4519" s="17">
        <f>IF(B4519="","","")</f>
        <v/>
      </c>
      <c r="I4519" s="17">
        <f>IF(B4519="","","")</f>
        <v/>
      </c>
      <c r="J4519" s="17">
        <f>IF(B4519="","","touch_2; "&amp;IFERROR(INDEX(Clay_Brands!$A$2:$FZ$601,468,Sync!$D$10)&amp;"","")&amp;"; "&amp;IFERROR(INDEX(Clay_Brands!$A$2:$FZ$601,468,Sync!$D$9)&amp;"",""))</f>
        <v/>
      </c>
      <c r="K4519" t="inlineStr">
        <is>
          <t>brand outreach touch 2</t>
        </is>
      </c>
    </row>
    <row r="4520">
      <c r="A4520" s="17">
        <f>IF(B4520="","",B4520+(16*1000+469)/10000000)</f>
        <v/>
      </c>
      <c r="B4520" s="23">
        <f>IF(AND(IFERROR(N(INDEX(Clay_Brands!$A$2:$FZ$601,469,Sync!$D$12)),0)&gt;0,IFERROR(INDEX(Clay_Brands!$A$2:$FZ$601,469,Sync!$D$5)&amp;"","")&lt;&gt;"",OR(LEFT(IFERROR(INDEX(Clay_Brands!$A$2:$FZ$601,469,Sync!$D$5)&amp;"",""),6)&lt;&gt;"SAMPLE",Config!$B$19="Y")),IFERROR(N(INDEX(Clay_Brands!$A$2:$FZ$601,469,Sync!$D$12)),0),"")</f>
        <v/>
      </c>
      <c r="C4520" s="17">
        <f>IF(B4520="","","brand")</f>
        <v/>
      </c>
      <c r="D4520" s="17">
        <f>IF(B4520="","",IFERROR(INDEX(Clay_Brands!$A$2:$FZ$601,469,Sync!$D$5)&amp;"",""))</f>
        <v/>
      </c>
      <c r="E4520" s="17">
        <f>IF(B4520="","",IFERROR(INDEX(Clay_Brands!$A$2:$FZ$601,469,Sync!$D$6)&amp;"",""))</f>
        <v/>
      </c>
      <c r="F4520" s="17">
        <f>IF(B4520="","","outreach_sent")</f>
        <v/>
      </c>
      <c r="G4520" s="17">
        <f>IF(B4520="","","")</f>
        <v/>
      </c>
      <c r="H4520" s="17">
        <f>IF(B4520="","","")</f>
        <v/>
      </c>
      <c r="I4520" s="17">
        <f>IF(B4520="","","")</f>
        <v/>
      </c>
      <c r="J4520" s="17">
        <f>IF(B4520="","","touch_2; "&amp;IFERROR(INDEX(Clay_Brands!$A$2:$FZ$601,469,Sync!$D$10)&amp;"","")&amp;"; "&amp;IFERROR(INDEX(Clay_Brands!$A$2:$FZ$601,469,Sync!$D$9)&amp;"",""))</f>
        <v/>
      </c>
      <c r="K4520" t="inlineStr">
        <is>
          <t>brand outreach touch 2</t>
        </is>
      </c>
    </row>
    <row r="4521">
      <c r="A4521" s="17">
        <f>IF(B4521="","",B4521+(16*1000+470)/10000000)</f>
        <v/>
      </c>
      <c r="B4521" s="23">
        <f>IF(AND(IFERROR(N(INDEX(Clay_Brands!$A$2:$FZ$601,470,Sync!$D$12)),0)&gt;0,IFERROR(INDEX(Clay_Brands!$A$2:$FZ$601,470,Sync!$D$5)&amp;"","")&lt;&gt;"",OR(LEFT(IFERROR(INDEX(Clay_Brands!$A$2:$FZ$601,470,Sync!$D$5)&amp;"",""),6)&lt;&gt;"SAMPLE",Config!$B$19="Y")),IFERROR(N(INDEX(Clay_Brands!$A$2:$FZ$601,470,Sync!$D$12)),0),"")</f>
        <v/>
      </c>
      <c r="C4521" s="17">
        <f>IF(B4521="","","brand")</f>
        <v/>
      </c>
      <c r="D4521" s="17">
        <f>IF(B4521="","",IFERROR(INDEX(Clay_Brands!$A$2:$FZ$601,470,Sync!$D$5)&amp;"",""))</f>
        <v/>
      </c>
      <c r="E4521" s="17">
        <f>IF(B4521="","",IFERROR(INDEX(Clay_Brands!$A$2:$FZ$601,470,Sync!$D$6)&amp;"",""))</f>
        <v/>
      </c>
      <c r="F4521" s="17">
        <f>IF(B4521="","","outreach_sent")</f>
        <v/>
      </c>
      <c r="G4521" s="17">
        <f>IF(B4521="","","")</f>
        <v/>
      </c>
      <c r="H4521" s="17">
        <f>IF(B4521="","","")</f>
        <v/>
      </c>
      <c r="I4521" s="17">
        <f>IF(B4521="","","")</f>
        <v/>
      </c>
      <c r="J4521" s="17">
        <f>IF(B4521="","","touch_2; "&amp;IFERROR(INDEX(Clay_Brands!$A$2:$FZ$601,470,Sync!$D$10)&amp;"","")&amp;"; "&amp;IFERROR(INDEX(Clay_Brands!$A$2:$FZ$601,470,Sync!$D$9)&amp;"",""))</f>
        <v/>
      </c>
      <c r="K4521" t="inlineStr">
        <is>
          <t>brand outreach touch 2</t>
        </is>
      </c>
    </row>
    <row r="4522">
      <c r="A4522" s="17">
        <f>IF(B4522="","",B4522+(16*1000+471)/10000000)</f>
        <v/>
      </c>
      <c r="B4522" s="23">
        <f>IF(AND(IFERROR(N(INDEX(Clay_Brands!$A$2:$FZ$601,471,Sync!$D$12)),0)&gt;0,IFERROR(INDEX(Clay_Brands!$A$2:$FZ$601,471,Sync!$D$5)&amp;"","")&lt;&gt;"",OR(LEFT(IFERROR(INDEX(Clay_Brands!$A$2:$FZ$601,471,Sync!$D$5)&amp;"",""),6)&lt;&gt;"SAMPLE",Config!$B$19="Y")),IFERROR(N(INDEX(Clay_Brands!$A$2:$FZ$601,471,Sync!$D$12)),0),"")</f>
        <v/>
      </c>
      <c r="C4522" s="17">
        <f>IF(B4522="","","brand")</f>
        <v/>
      </c>
      <c r="D4522" s="17">
        <f>IF(B4522="","",IFERROR(INDEX(Clay_Brands!$A$2:$FZ$601,471,Sync!$D$5)&amp;"",""))</f>
        <v/>
      </c>
      <c r="E4522" s="17">
        <f>IF(B4522="","",IFERROR(INDEX(Clay_Brands!$A$2:$FZ$601,471,Sync!$D$6)&amp;"",""))</f>
        <v/>
      </c>
      <c r="F4522" s="17">
        <f>IF(B4522="","","outreach_sent")</f>
        <v/>
      </c>
      <c r="G4522" s="17">
        <f>IF(B4522="","","")</f>
        <v/>
      </c>
      <c r="H4522" s="17">
        <f>IF(B4522="","","")</f>
        <v/>
      </c>
      <c r="I4522" s="17">
        <f>IF(B4522="","","")</f>
        <v/>
      </c>
      <c r="J4522" s="17">
        <f>IF(B4522="","","touch_2; "&amp;IFERROR(INDEX(Clay_Brands!$A$2:$FZ$601,471,Sync!$D$10)&amp;"","")&amp;"; "&amp;IFERROR(INDEX(Clay_Brands!$A$2:$FZ$601,471,Sync!$D$9)&amp;"",""))</f>
        <v/>
      </c>
      <c r="K4522" t="inlineStr">
        <is>
          <t>brand outreach touch 2</t>
        </is>
      </c>
    </row>
    <row r="4523">
      <c r="A4523" s="17">
        <f>IF(B4523="","",B4523+(16*1000+472)/10000000)</f>
        <v/>
      </c>
      <c r="B4523" s="23">
        <f>IF(AND(IFERROR(N(INDEX(Clay_Brands!$A$2:$FZ$601,472,Sync!$D$12)),0)&gt;0,IFERROR(INDEX(Clay_Brands!$A$2:$FZ$601,472,Sync!$D$5)&amp;"","")&lt;&gt;"",OR(LEFT(IFERROR(INDEX(Clay_Brands!$A$2:$FZ$601,472,Sync!$D$5)&amp;"",""),6)&lt;&gt;"SAMPLE",Config!$B$19="Y")),IFERROR(N(INDEX(Clay_Brands!$A$2:$FZ$601,472,Sync!$D$12)),0),"")</f>
        <v/>
      </c>
      <c r="C4523" s="17">
        <f>IF(B4523="","","brand")</f>
        <v/>
      </c>
      <c r="D4523" s="17">
        <f>IF(B4523="","",IFERROR(INDEX(Clay_Brands!$A$2:$FZ$601,472,Sync!$D$5)&amp;"",""))</f>
        <v/>
      </c>
      <c r="E4523" s="17">
        <f>IF(B4523="","",IFERROR(INDEX(Clay_Brands!$A$2:$FZ$601,472,Sync!$D$6)&amp;"",""))</f>
        <v/>
      </c>
      <c r="F4523" s="17">
        <f>IF(B4523="","","outreach_sent")</f>
        <v/>
      </c>
      <c r="G4523" s="17">
        <f>IF(B4523="","","")</f>
        <v/>
      </c>
      <c r="H4523" s="17">
        <f>IF(B4523="","","")</f>
        <v/>
      </c>
      <c r="I4523" s="17">
        <f>IF(B4523="","","")</f>
        <v/>
      </c>
      <c r="J4523" s="17">
        <f>IF(B4523="","","touch_2; "&amp;IFERROR(INDEX(Clay_Brands!$A$2:$FZ$601,472,Sync!$D$10)&amp;"","")&amp;"; "&amp;IFERROR(INDEX(Clay_Brands!$A$2:$FZ$601,472,Sync!$D$9)&amp;"",""))</f>
        <v/>
      </c>
      <c r="K4523" t="inlineStr">
        <is>
          <t>brand outreach touch 2</t>
        </is>
      </c>
    </row>
    <row r="4524">
      <c r="A4524" s="17">
        <f>IF(B4524="","",B4524+(16*1000+473)/10000000)</f>
        <v/>
      </c>
      <c r="B4524" s="23">
        <f>IF(AND(IFERROR(N(INDEX(Clay_Brands!$A$2:$FZ$601,473,Sync!$D$12)),0)&gt;0,IFERROR(INDEX(Clay_Brands!$A$2:$FZ$601,473,Sync!$D$5)&amp;"","")&lt;&gt;"",OR(LEFT(IFERROR(INDEX(Clay_Brands!$A$2:$FZ$601,473,Sync!$D$5)&amp;"",""),6)&lt;&gt;"SAMPLE",Config!$B$19="Y")),IFERROR(N(INDEX(Clay_Brands!$A$2:$FZ$601,473,Sync!$D$12)),0),"")</f>
        <v/>
      </c>
      <c r="C4524" s="17">
        <f>IF(B4524="","","brand")</f>
        <v/>
      </c>
      <c r="D4524" s="17">
        <f>IF(B4524="","",IFERROR(INDEX(Clay_Brands!$A$2:$FZ$601,473,Sync!$D$5)&amp;"",""))</f>
        <v/>
      </c>
      <c r="E4524" s="17">
        <f>IF(B4524="","",IFERROR(INDEX(Clay_Brands!$A$2:$FZ$601,473,Sync!$D$6)&amp;"",""))</f>
        <v/>
      </c>
      <c r="F4524" s="17">
        <f>IF(B4524="","","outreach_sent")</f>
        <v/>
      </c>
      <c r="G4524" s="17">
        <f>IF(B4524="","","")</f>
        <v/>
      </c>
      <c r="H4524" s="17">
        <f>IF(B4524="","","")</f>
        <v/>
      </c>
      <c r="I4524" s="17">
        <f>IF(B4524="","","")</f>
        <v/>
      </c>
      <c r="J4524" s="17">
        <f>IF(B4524="","","touch_2; "&amp;IFERROR(INDEX(Clay_Brands!$A$2:$FZ$601,473,Sync!$D$10)&amp;"","")&amp;"; "&amp;IFERROR(INDEX(Clay_Brands!$A$2:$FZ$601,473,Sync!$D$9)&amp;"",""))</f>
        <v/>
      </c>
      <c r="K4524" t="inlineStr">
        <is>
          <t>brand outreach touch 2</t>
        </is>
      </c>
    </row>
    <row r="4525">
      <c r="A4525" s="17">
        <f>IF(B4525="","",B4525+(16*1000+474)/10000000)</f>
        <v/>
      </c>
      <c r="B4525" s="23">
        <f>IF(AND(IFERROR(N(INDEX(Clay_Brands!$A$2:$FZ$601,474,Sync!$D$12)),0)&gt;0,IFERROR(INDEX(Clay_Brands!$A$2:$FZ$601,474,Sync!$D$5)&amp;"","")&lt;&gt;"",OR(LEFT(IFERROR(INDEX(Clay_Brands!$A$2:$FZ$601,474,Sync!$D$5)&amp;"",""),6)&lt;&gt;"SAMPLE",Config!$B$19="Y")),IFERROR(N(INDEX(Clay_Brands!$A$2:$FZ$601,474,Sync!$D$12)),0),"")</f>
        <v/>
      </c>
      <c r="C4525" s="17">
        <f>IF(B4525="","","brand")</f>
        <v/>
      </c>
      <c r="D4525" s="17">
        <f>IF(B4525="","",IFERROR(INDEX(Clay_Brands!$A$2:$FZ$601,474,Sync!$D$5)&amp;"",""))</f>
        <v/>
      </c>
      <c r="E4525" s="17">
        <f>IF(B4525="","",IFERROR(INDEX(Clay_Brands!$A$2:$FZ$601,474,Sync!$D$6)&amp;"",""))</f>
        <v/>
      </c>
      <c r="F4525" s="17">
        <f>IF(B4525="","","outreach_sent")</f>
        <v/>
      </c>
      <c r="G4525" s="17">
        <f>IF(B4525="","","")</f>
        <v/>
      </c>
      <c r="H4525" s="17">
        <f>IF(B4525="","","")</f>
        <v/>
      </c>
      <c r="I4525" s="17">
        <f>IF(B4525="","","")</f>
        <v/>
      </c>
      <c r="J4525" s="17">
        <f>IF(B4525="","","touch_2; "&amp;IFERROR(INDEX(Clay_Brands!$A$2:$FZ$601,474,Sync!$D$10)&amp;"","")&amp;"; "&amp;IFERROR(INDEX(Clay_Brands!$A$2:$FZ$601,474,Sync!$D$9)&amp;"",""))</f>
        <v/>
      </c>
      <c r="K4525" t="inlineStr">
        <is>
          <t>brand outreach touch 2</t>
        </is>
      </c>
    </row>
    <row r="4526">
      <c r="A4526" s="17">
        <f>IF(B4526="","",B4526+(16*1000+475)/10000000)</f>
        <v/>
      </c>
      <c r="B4526" s="23">
        <f>IF(AND(IFERROR(N(INDEX(Clay_Brands!$A$2:$FZ$601,475,Sync!$D$12)),0)&gt;0,IFERROR(INDEX(Clay_Brands!$A$2:$FZ$601,475,Sync!$D$5)&amp;"","")&lt;&gt;"",OR(LEFT(IFERROR(INDEX(Clay_Brands!$A$2:$FZ$601,475,Sync!$D$5)&amp;"",""),6)&lt;&gt;"SAMPLE",Config!$B$19="Y")),IFERROR(N(INDEX(Clay_Brands!$A$2:$FZ$601,475,Sync!$D$12)),0),"")</f>
        <v/>
      </c>
      <c r="C4526" s="17">
        <f>IF(B4526="","","brand")</f>
        <v/>
      </c>
      <c r="D4526" s="17">
        <f>IF(B4526="","",IFERROR(INDEX(Clay_Brands!$A$2:$FZ$601,475,Sync!$D$5)&amp;"",""))</f>
        <v/>
      </c>
      <c r="E4526" s="17">
        <f>IF(B4526="","",IFERROR(INDEX(Clay_Brands!$A$2:$FZ$601,475,Sync!$D$6)&amp;"",""))</f>
        <v/>
      </c>
      <c r="F4526" s="17">
        <f>IF(B4526="","","outreach_sent")</f>
        <v/>
      </c>
      <c r="G4526" s="17">
        <f>IF(B4526="","","")</f>
        <v/>
      </c>
      <c r="H4526" s="17">
        <f>IF(B4526="","","")</f>
        <v/>
      </c>
      <c r="I4526" s="17">
        <f>IF(B4526="","","")</f>
        <v/>
      </c>
      <c r="J4526" s="17">
        <f>IF(B4526="","","touch_2; "&amp;IFERROR(INDEX(Clay_Brands!$A$2:$FZ$601,475,Sync!$D$10)&amp;"","")&amp;"; "&amp;IFERROR(INDEX(Clay_Brands!$A$2:$FZ$601,475,Sync!$D$9)&amp;"",""))</f>
        <v/>
      </c>
      <c r="K4526" t="inlineStr">
        <is>
          <t>brand outreach touch 2</t>
        </is>
      </c>
    </row>
    <row r="4527">
      <c r="A4527" s="17">
        <f>IF(B4527="","",B4527+(16*1000+476)/10000000)</f>
        <v/>
      </c>
      <c r="B4527" s="23">
        <f>IF(AND(IFERROR(N(INDEX(Clay_Brands!$A$2:$FZ$601,476,Sync!$D$12)),0)&gt;0,IFERROR(INDEX(Clay_Brands!$A$2:$FZ$601,476,Sync!$D$5)&amp;"","")&lt;&gt;"",OR(LEFT(IFERROR(INDEX(Clay_Brands!$A$2:$FZ$601,476,Sync!$D$5)&amp;"",""),6)&lt;&gt;"SAMPLE",Config!$B$19="Y")),IFERROR(N(INDEX(Clay_Brands!$A$2:$FZ$601,476,Sync!$D$12)),0),"")</f>
        <v/>
      </c>
      <c r="C4527" s="17">
        <f>IF(B4527="","","brand")</f>
        <v/>
      </c>
      <c r="D4527" s="17">
        <f>IF(B4527="","",IFERROR(INDEX(Clay_Brands!$A$2:$FZ$601,476,Sync!$D$5)&amp;"",""))</f>
        <v/>
      </c>
      <c r="E4527" s="17">
        <f>IF(B4527="","",IFERROR(INDEX(Clay_Brands!$A$2:$FZ$601,476,Sync!$D$6)&amp;"",""))</f>
        <v/>
      </c>
      <c r="F4527" s="17">
        <f>IF(B4527="","","outreach_sent")</f>
        <v/>
      </c>
      <c r="G4527" s="17">
        <f>IF(B4527="","","")</f>
        <v/>
      </c>
      <c r="H4527" s="17">
        <f>IF(B4527="","","")</f>
        <v/>
      </c>
      <c r="I4527" s="17">
        <f>IF(B4527="","","")</f>
        <v/>
      </c>
      <c r="J4527" s="17">
        <f>IF(B4527="","","touch_2; "&amp;IFERROR(INDEX(Clay_Brands!$A$2:$FZ$601,476,Sync!$D$10)&amp;"","")&amp;"; "&amp;IFERROR(INDEX(Clay_Brands!$A$2:$FZ$601,476,Sync!$D$9)&amp;"",""))</f>
        <v/>
      </c>
      <c r="K4527" t="inlineStr">
        <is>
          <t>brand outreach touch 2</t>
        </is>
      </c>
    </row>
    <row r="4528">
      <c r="A4528" s="17">
        <f>IF(B4528="","",B4528+(16*1000+477)/10000000)</f>
        <v/>
      </c>
      <c r="B4528" s="23">
        <f>IF(AND(IFERROR(N(INDEX(Clay_Brands!$A$2:$FZ$601,477,Sync!$D$12)),0)&gt;0,IFERROR(INDEX(Clay_Brands!$A$2:$FZ$601,477,Sync!$D$5)&amp;"","")&lt;&gt;"",OR(LEFT(IFERROR(INDEX(Clay_Brands!$A$2:$FZ$601,477,Sync!$D$5)&amp;"",""),6)&lt;&gt;"SAMPLE",Config!$B$19="Y")),IFERROR(N(INDEX(Clay_Brands!$A$2:$FZ$601,477,Sync!$D$12)),0),"")</f>
        <v/>
      </c>
      <c r="C4528" s="17">
        <f>IF(B4528="","","brand")</f>
        <v/>
      </c>
      <c r="D4528" s="17">
        <f>IF(B4528="","",IFERROR(INDEX(Clay_Brands!$A$2:$FZ$601,477,Sync!$D$5)&amp;"",""))</f>
        <v/>
      </c>
      <c r="E4528" s="17">
        <f>IF(B4528="","",IFERROR(INDEX(Clay_Brands!$A$2:$FZ$601,477,Sync!$D$6)&amp;"",""))</f>
        <v/>
      </c>
      <c r="F4528" s="17">
        <f>IF(B4528="","","outreach_sent")</f>
        <v/>
      </c>
      <c r="G4528" s="17">
        <f>IF(B4528="","","")</f>
        <v/>
      </c>
      <c r="H4528" s="17">
        <f>IF(B4528="","","")</f>
        <v/>
      </c>
      <c r="I4528" s="17">
        <f>IF(B4528="","","")</f>
        <v/>
      </c>
      <c r="J4528" s="17">
        <f>IF(B4528="","","touch_2; "&amp;IFERROR(INDEX(Clay_Brands!$A$2:$FZ$601,477,Sync!$D$10)&amp;"","")&amp;"; "&amp;IFERROR(INDEX(Clay_Brands!$A$2:$FZ$601,477,Sync!$D$9)&amp;"",""))</f>
        <v/>
      </c>
      <c r="K4528" t="inlineStr">
        <is>
          <t>brand outreach touch 2</t>
        </is>
      </c>
    </row>
    <row r="4529">
      <c r="A4529" s="17">
        <f>IF(B4529="","",B4529+(16*1000+478)/10000000)</f>
        <v/>
      </c>
      <c r="B4529" s="23">
        <f>IF(AND(IFERROR(N(INDEX(Clay_Brands!$A$2:$FZ$601,478,Sync!$D$12)),0)&gt;0,IFERROR(INDEX(Clay_Brands!$A$2:$FZ$601,478,Sync!$D$5)&amp;"","")&lt;&gt;"",OR(LEFT(IFERROR(INDEX(Clay_Brands!$A$2:$FZ$601,478,Sync!$D$5)&amp;"",""),6)&lt;&gt;"SAMPLE",Config!$B$19="Y")),IFERROR(N(INDEX(Clay_Brands!$A$2:$FZ$601,478,Sync!$D$12)),0),"")</f>
        <v/>
      </c>
      <c r="C4529" s="17">
        <f>IF(B4529="","","brand")</f>
        <v/>
      </c>
      <c r="D4529" s="17">
        <f>IF(B4529="","",IFERROR(INDEX(Clay_Brands!$A$2:$FZ$601,478,Sync!$D$5)&amp;"",""))</f>
        <v/>
      </c>
      <c r="E4529" s="17">
        <f>IF(B4529="","",IFERROR(INDEX(Clay_Brands!$A$2:$FZ$601,478,Sync!$D$6)&amp;"",""))</f>
        <v/>
      </c>
      <c r="F4529" s="17">
        <f>IF(B4529="","","outreach_sent")</f>
        <v/>
      </c>
      <c r="G4529" s="17">
        <f>IF(B4529="","","")</f>
        <v/>
      </c>
      <c r="H4529" s="17">
        <f>IF(B4529="","","")</f>
        <v/>
      </c>
      <c r="I4529" s="17">
        <f>IF(B4529="","","")</f>
        <v/>
      </c>
      <c r="J4529" s="17">
        <f>IF(B4529="","","touch_2; "&amp;IFERROR(INDEX(Clay_Brands!$A$2:$FZ$601,478,Sync!$D$10)&amp;"","")&amp;"; "&amp;IFERROR(INDEX(Clay_Brands!$A$2:$FZ$601,478,Sync!$D$9)&amp;"",""))</f>
        <v/>
      </c>
      <c r="K4529" t="inlineStr">
        <is>
          <t>brand outreach touch 2</t>
        </is>
      </c>
    </row>
    <row r="4530">
      <c r="A4530" s="17">
        <f>IF(B4530="","",B4530+(16*1000+479)/10000000)</f>
        <v/>
      </c>
      <c r="B4530" s="23">
        <f>IF(AND(IFERROR(N(INDEX(Clay_Brands!$A$2:$FZ$601,479,Sync!$D$12)),0)&gt;0,IFERROR(INDEX(Clay_Brands!$A$2:$FZ$601,479,Sync!$D$5)&amp;"","")&lt;&gt;"",OR(LEFT(IFERROR(INDEX(Clay_Brands!$A$2:$FZ$601,479,Sync!$D$5)&amp;"",""),6)&lt;&gt;"SAMPLE",Config!$B$19="Y")),IFERROR(N(INDEX(Clay_Brands!$A$2:$FZ$601,479,Sync!$D$12)),0),"")</f>
        <v/>
      </c>
      <c r="C4530" s="17">
        <f>IF(B4530="","","brand")</f>
        <v/>
      </c>
      <c r="D4530" s="17">
        <f>IF(B4530="","",IFERROR(INDEX(Clay_Brands!$A$2:$FZ$601,479,Sync!$D$5)&amp;"",""))</f>
        <v/>
      </c>
      <c r="E4530" s="17">
        <f>IF(B4530="","",IFERROR(INDEX(Clay_Brands!$A$2:$FZ$601,479,Sync!$D$6)&amp;"",""))</f>
        <v/>
      </c>
      <c r="F4530" s="17">
        <f>IF(B4530="","","outreach_sent")</f>
        <v/>
      </c>
      <c r="G4530" s="17">
        <f>IF(B4530="","","")</f>
        <v/>
      </c>
      <c r="H4530" s="17">
        <f>IF(B4530="","","")</f>
        <v/>
      </c>
      <c r="I4530" s="17">
        <f>IF(B4530="","","")</f>
        <v/>
      </c>
      <c r="J4530" s="17">
        <f>IF(B4530="","","touch_2; "&amp;IFERROR(INDEX(Clay_Brands!$A$2:$FZ$601,479,Sync!$D$10)&amp;"","")&amp;"; "&amp;IFERROR(INDEX(Clay_Brands!$A$2:$FZ$601,479,Sync!$D$9)&amp;"",""))</f>
        <v/>
      </c>
      <c r="K4530" t="inlineStr">
        <is>
          <t>brand outreach touch 2</t>
        </is>
      </c>
    </row>
    <row r="4531">
      <c r="A4531" s="17">
        <f>IF(B4531="","",B4531+(16*1000+480)/10000000)</f>
        <v/>
      </c>
      <c r="B4531" s="23">
        <f>IF(AND(IFERROR(N(INDEX(Clay_Brands!$A$2:$FZ$601,480,Sync!$D$12)),0)&gt;0,IFERROR(INDEX(Clay_Brands!$A$2:$FZ$601,480,Sync!$D$5)&amp;"","")&lt;&gt;"",OR(LEFT(IFERROR(INDEX(Clay_Brands!$A$2:$FZ$601,480,Sync!$D$5)&amp;"",""),6)&lt;&gt;"SAMPLE",Config!$B$19="Y")),IFERROR(N(INDEX(Clay_Brands!$A$2:$FZ$601,480,Sync!$D$12)),0),"")</f>
        <v/>
      </c>
      <c r="C4531" s="17">
        <f>IF(B4531="","","brand")</f>
        <v/>
      </c>
      <c r="D4531" s="17">
        <f>IF(B4531="","",IFERROR(INDEX(Clay_Brands!$A$2:$FZ$601,480,Sync!$D$5)&amp;"",""))</f>
        <v/>
      </c>
      <c r="E4531" s="17">
        <f>IF(B4531="","",IFERROR(INDEX(Clay_Brands!$A$2:$FZ$601,480,Sync!$D$6)&amp;"",""))</f>
        <v/>
      </c>
      <c r="F4531" s="17">
        <f>IF(B4531="","","outreach_sent")</f>
        <v/>
      </c>
      <c r="G4531" s="17">
        <f>IF(B4531="","","")</f>
        <v/>
      </c>
      <c r="H4531" s="17">
        <f>IF(B4531="","","")</f>
        <v/>
      </c>
      <c r="I4531" s="17">
        <f>IF(B4531="","","")</f>
        <v/>
      </c>
      <c r="J4531" s="17">
        <f>IF(B4531="","","touch_2; "&amp;IFERROR(INDEX(Clay_Brands!$A$2:$FZ$601,480,Sync!$D$10)&amp;"","")&amp;"; "&amp;IFERROR(INDEX(Clay_Brands!$A$2:$FZ$601,480,Sync!$D$9)&amp;"",""))</f>
        <v/>
      </c>
      <c r="K4531" t="inlineStr">
        <is>
          <t>brand outreach touch 2</t>
        </is>
      </c>
    </row>
    <row r="4532">
      <c r="A4532" s="17">
        <f>IF(B4532="","",B4532+(16*1000+481)/10000000)</f>
        <v/>
      </c>
      <c r="B4532" s="23">
        <f>IF(AND(IFERROR(N(INDEX(Clay_Brands!$A$2:$FZ$601,481,Sync!$D$12)),0)&gt;0,IFERROR(INDEX(Clay_Brands!$A$2:$FZ$601,481,Sync!$D$5)&amp;"","")&lt;&gt;"",OR(LEFT(IFERROR(INDEX(Clay_Brands!$A$2:$FZ$601,481,Sync!$D$5)&amp;"",""),6)&lt;&gt;"SAMPLE",Config!$B$19="Y")),IFERROR(N(INDEX(Clay_Brands!$A$2:$FZ$601,481,Sync!$D$12)),0),"")</f>
        <v/>
      </c>
      <c r="C4532" s="17">
        <f>IF(B4532="","","brand")</f>
        <v/>
      </c>
      <c r="D4532" s="17">
        <f>IF(B4532="","",IFERROR(INDEX(Clay_Brands!$A$2:$FZ$601,481,Sync!$D$5)&amp;"",""))</f>
        <v/>
      </c>
      <c r="E4532" s="17">
        <f>IF(B4532="","",IFERROR(INDEX(Clay_Brands!$A$2:$FZ$601,481,Sync!$D$6)&amp;"",""))</f>
        <v/>
      </c>
      <c r="F4532" s="17">
        <f>IF(B4532="","","outreach_sent")</f>
        <v/>
      </c>
      <c r="G4532" s="17">
        <f>IF(B4532="","","")</f>
        <v/>
      </c>
      <c r="H4532" s="17">
        <f>IF(B4532="","","")</f>
        <v/>
      </c>
      <c r="I4532" s="17">
        <f>IF(B4532="","","")</f>
        <v/>
      </c>
      <c r="J4532" s="17">
        <f>IF(B4532="","","touch_2; "&amp;IFERROR(INDEX(Clay_Brands!$A$2:$FZ$601,481,Sync!$D$10)&amp;"","")&amp;"; "&amp;IFERROR(INDEX(Clay_Brands!$A$2:$FZ$601,481,Sync!$D$9)&amp;"",""))</f>
        <v/>
      </c>
      <c r="K4532" t="inlineStr">
        <is>
          <t>brand outreach touch 2</t>
        </is>
      </c>
    </row>
    <row r="4533">
      <c r="A4533" s="17">
        <f>IF(B4533="","",B4533+(16*1000+482)/10000000)</f>
        <v/>
      </c>
      <c r="B4533" s="23">
        <f>IF(AND(IFERROR(N(INDEX(Clay_Brands!$A$2:$FZ$601,482,Sync!$D$12)),0)&gt;0,IFERROR(INDEX(Clay_Brands!$A$2:$FZ$601,482,Sync!$D$5)&amp;"","")&lt;&gt;"",OR(LEFT(IFERROR(INDEX(Clay_Brands!$A$2:$FZ$601,482,Sync!$D$5)&amp;"",""),6)&lt;&gt;"SAMPLE",Config!$B$19="Y")),IFERROR(N(INDEX(Clay_Brands!$A$2:$FZ$601,482,Sync!$D$12)),0),"")</f>
        <v/>
      </c>
      <c r="C4533" s="17">
        <f>IF(B4533="","","brand")</f>
        <v/>
      </c>
      <c r="D4533" s="17">
        <f>IF(B4533="","",IFERROR(INDEX(Clay_Brands!$A$2:$FZ$601,482,Sync!$D$5)&amp;"",""))</f>
        <v/>
      </c>
      <c r="E4533" s="17">
        <f>IF(B4533="","",IFERROR(INDEX(Clay_Brands!$A$2:$FZ$601,482,Sync!$D$6)&amp;"",""))</f>
        <v/>
      </c>
      <c r="F4533" s="17">
        <f>IF(B4533="","","outreach_sent")</f>
        <v/>
      </c>
      <c r="G4533" s="17">
        <f>IF(B4533="","","")</f>
        <v/>
      </c>
      <c r="H4533" s="17">
        <f>IF(B4533="","","")</f>
        <v/>
      </c>
      <c r="I4533" s="17">
        <f>IF(B4533="","","")</f>
        <v/>
      </c>
      <c r="J4533" s="17">
        <f>IF(B4533="","","touch_2; "&amp;IFERROR(INDEX(Clay_Brands!$A$2:$FZ$601,482,Sync!$D$10)&amp;"","")&amp;"; "&amp;IFERROR(INDEX(Clay_Brands!$A$2:$FZ$601,482,Sync!$D$9)&amp;"",""))</f>
        <v/>
      </c>
      <c r="K4533" t="inlineStr">
        <is>
          <t>brand outreach touch 2</t>
        </is>
      </c>
    </row>
    <row r="4534">
      <c r="A4534" s="17">
        <f>IF(B4534="","",B4534+(16*1000+483)/10000000)</f>
        <v/>
      </c>
      <c r="B4534" s="23">
        <f>IF(AND(IFERROR(N(INDEX(Clay_Brands!$A$2:$FZ$601,483,Sync!$D$12)),0)&gt;0,IFERROR(INDEX(Clay_Brands!$A$2:$FZ$601,483,Sync!$D$5)&amp;"","")&lt;&gt;"",OR(LEFT(IFERROR(INDEX(Clay_Brands!$A$2:$FZ$601,483,Sync!$D$5)&amp;"",""),6)&lt;&gt;"SAMPLE",Config!$B$19="Y")),IFERROR(N(INDEX(Clay_Brands!$A$2:$FZ$601,483,Sync!$D$12)),0),"")</f>
        <v/>
      </c>
      <c r="C4534" s="17">
        <f>IF(B4534="","","brand")</f>
        <v/>
      </c>
      <c r="D4534" s="17">
        <f>IF(B4534="","",IFERROR(INDEX(Clay_Brands!$A$2:$FZ$601,483,Sync!$D$5)&amp;"",""))</f>
        <v/>
      </c>
      <c r="E4534" s="17">
        <f>IF(B4534="","",IFERROR(INDEX(Clay_Brands!$A$2:$FZ$601,483,Sync!$D$6)&amp;"",""))</f>
        <v/>
      </c>
      <c r="F4534" s="17">
        <f>IF(B4534="","","outreach_sent")</f>
        <v/>
      </c>
      <c r="G4534" s="17">
        <f>IF(B4534="","","")</f>
        <v/>
      </c>
      <c r="H4534" s="17">
        <f>IF(B4534="","","")</f>
        <v/>
      </c>
      <c r="I4534" s="17">
        <f>IF(B4534="","","")</f>
        <v/>
      </c>
      <c r="J4534" s="17">
        <f>IF(B4534="","","touch_2; "&amp;IFERROR(INDEX(Clay_Brands!$A$2:$FZ$601,483,Sync!$D$10)&amp;"","")&amp;"; "&amp;IFERROR(INDEX(Clay_Brands!$A$2:$FZ$601,483,Sync!$D$9)&amp;"",""))</f>
        <v/>
      </c>
      <c r="K4534" t="inlineStr">
        <is>
          <t>brand outreach touch 2</t>
        </is>
      </c>
    </row>
    <row r="4535">
      <c r="A4535" s="17">
        <f>IF(B4535="","",B4535+(16*1000+484)/10000000)</f>
        <v/>
      </c>
      <c r="B4535" s="23">
        <f>IF(AND(IFERROR(N(INDEX(Clay_Brands!$A$2:$FZ$601,484,Sync!$D$12)),0)&gt;0,IFERROR(INDEX(Clay_Brands!$A$2:$FZ$601,484,Sync!$D$5)&amp;"","")&lt;&gt;"",OR(LEFT(IFERROR(INDEX(Clay_Brands!$A$2:$FZ$601,484,Sync!$D$5)&amp;"",""),6)&lt;&gt;"SAMPLE",Config!$B$19="Y")),IFERROR(N(INDEX(Clay_Brands!$A$2:$FZ$601,484,Sync!$D$12)),0),"")</f>
        <v/>
      </c>
      <c r="C4535" s="17">
        <f>IF(B4535="","","brand")</f>
        <v/>
      </c>
      <c r="D4535" s="17">
        <f>IF(B4535="","",IFERROR(INDEX(Clay_Brands!$A$2:$FZ$601,484,Sync!$D$5)&amp;"",""))</f>
        <v/>
      </c>
      <c r="E4535" s="17">
        <f>IF(B4535="","",IFERROR(INDEX(Clay_Brands!$A$2:$FZ$601,484,Sync!$D$6)&amp;"",""))</f>
        <v/>
      </c>
      <c r="F4535" s="17">
        <f>IF(B4535="","","outreach_sent")</f>
        <v/>
      </c>
      <c r="G4535" s="17">
        <f>IF(B4535="","","")</f>
        <v/>
      </c>
      <c r="H4535" s="17">
        <f>IF(B4535="","","")</f>
        <v/>
      </c>
      <c r="I4535" s="17">
        <f>IF(B4535="","","")</f>
        <v/>
      </c>
      <c r="J4535" s="17">
        <f>IF(B4535="","","touch_2; "&amp;IFERROR(INDEX(Clay_Brands!$A$2:$FZ$601,484,Sync!$D$10)&amp;"","")&amp;"; "&amp;IFERROR(INDEX(Clay_Brands!$A$2:$FZ$601,484,Sync!$D$9)&amp;"",""))</f>
        <v/>
      </c>
      <c r="K4535" t="inlineStr">
        <is>
          <t>brand outreach touch 2</t>
        </is>
      </c>
    </row>
    <row r="4536">
      <c r="A4536" s="17">
        <f>IF(B4536="","",B4536+(16*1000+485)/10000000)</f>
        <v/>
      </c>
      <c r="B4536" s="23">
        <f>IF(AND(IFERROR(N(INDEX(Clay_Brands!$A$2:$FZ$601,485,Sync!$D$12)),0)&gt;0,IFERROR(INDEX(Clay_Brands!$A$2:$FZ$601,485,Sync!$D$5)&amp;"","")&lt;&gt;"",OR(LEFT(IFERROR(INDEX(Clay_Brands!$A$2:$FZ$601,485,Sync!$D$5)&amp;"",""),6)&lt;&gt;"SAMPLE",Config!$B$19="Y")),IFERROR(N(INDEX(Clay_Brands!$A$2:$FZ$601,485,Sync!$D$12)),0),"")</f>
        <v/>
      </c>
      <c r="C4536" s="17">
        <f>IF(B4536="","","brand")</f>
        <v/>
      </c>
      <c r="D4536" s="17">
        <f>IF(B4536="","",IFERROR(INDEX(Clay_Brands!$A$2:$FZ$601,485,Sync!$D$5)&amp;"",""))</f>
        <v/>
      </c>
      <c r="E4536" s="17">
        <f>IF(B4536="","",IFERROR(INDEX(Clay_Brands!$A$2:$FZ$601,485,Sync!$D$6)&amp;"",""))</f>
        <v/>
      </c>
      <c r="F4536" s="17">
        <f>IF(B4536="","","outreach_sent")</f>
        <v/>
      </c>
      <c r="G4536" s="17">
        <f>IF(B4536="","","")</f>
        <v/>
      </c>
      <c r="H4536" s="17">
        <f>IF(B4536="","","")</f>
        <v/>
      </c>
      <c r="I4536" s="17">
        <f>IF(B4536="","","")</f>
        <v/>
      </c>
      <c r="J4536" s="17">
        <f>IF(B4536="","","touch_2; "&amp;IFERROR(INDEX(Clay_Brands!$A$2:$FZ$601,485,Sync!$D$10)&amp;"","")&amp;"; "&amp;IFERROR(INDEX(Clay_Brands!$A$2:$FZ$601,485,Sync!$D$9)&amp;"",""))</f>
        <v/>
      </c>
      <c r="K4536" t="inlineStr">
        <is>
          <t>brand outreach touch 2</t>
        </is>
      </c>
    </row>
    <row r="4537">
      <c r="A4537" s="17">
        <f>IF(B4537="","",B4537+(16*1000+486)/10000000)</f>
        <v/>
      </c>
      <c r="B4537" s="23">
        <f>IF(AND(IFERROR(N(INDEX(Clay_Brands!$A$2:$FZ$601,486,Sync!$D$12)),0)&gt;0,IFERROR(INDEX(Clay_Brands!$A$2:$FZ$601,486,Sync!$D$5)&amp;"","")&lt;&gt;"",OR(LEFT(IFERROR(INDEX(Clay_Brands!$A$2:$FZ$601,486,Sync!$D$5)&amp;"",""),6)&lt;&gt;"SAMPLE",Config!$B$19="Y")),IFERROR(N(INDEX(Clay_Brands!$A$2:$FZ$601,486,Sync!$D$12)),0),"")</f>
        <v/>
      </c>
      <c r="C4537" s="17">
        <f>IF(B4537="","","brand")</f>
        <v/>
      </c>
      <c r="D4537" s="17">
        <f>IF(B4537="","",IFERROR(INDEX(Clay_Brands!$A$2:$FZ$601,486,Sync!$D$5)&amp;"",""))</f>
        <v/>
      </c>
      <c r="E4537" s="17">
        <f>IF(B4537="","",IFERROR(INDEX(Clay_Brands!$A$2:$FZ$601,486,Sync!$D$6)&amp;"",""))</f>
        <v/>
      </c>
      <c r="F4537" s="17">
        <f>IF(B4537="","","outreach_sent")</f>
        <v/>
      </c>
      <c r="G4537" s="17">
        <f>IF(B4537="","","")</f>
        <v/>
      </c>
      <c r="H4537" s="17">
        <f>IF(B4537="","","")</f>
        <v/>
      </c>
      <c r="I4537" s="17">
        <f>IF(B4537="","","")</f>
        <v/>
      </c>
      <c r="J4537" s="17">
        <f>IF(B4537="","","touch_2; "&amp;IFERROR(INDEX(Clay_Brands!$A$2:$FZ$601,486,Sync!$D$10)&amp;"","")&amp;"; "&amp;IFERROR(INDEX(Clay_Brands!$A$2:$FZ$601,486,Sync!$D$9)&amp;"",""))</f>
        <v/>
      </c>
      <c r="K4537" t="inlineStr">
        <is>
          <t>brand outreach touch 2</t>
        </is>
      </c>
    </row>
    <row r="4538">
      <c r="A4538" s="17">
        <f>IF(B4538="","",B4538+(16*1000+487)/10000000)</f>
        <v/>
      </c>
      <c r="B4538" s="23">
        <f>IF(AND(IFERROR(N(INDEX(Clay_Brands!$A$2:$FZ$601,487,Sync!$D$12)),0)&gt;0,IFERROR(INDEX(Clay_Brands!$A$2:$FZ$601,487,Sync!$D$5)&amp;"","")&lt;&gt;"",OR(LEFT(IFERROR(INDEX(Clay_Brands!$A$2:$FZ$601,487,Sync!$D$5)&amp;"",""),6)&lt;&gt;"SAMPLE",Config!$B$19="Y")),IFERROR(N(INDEX(Clay_Brands!$A$2:$FZ$601,487,Sync!$D$12)),0),"")</f>
        <v/>
      </c>
      <c r="C4538" s="17">
        <f>IF(B4538="","","brand")</f>
        <v/>
      </c>
      <c r="D4538" s="17">
        <f>IF(B4538="","",IFERROR(INDEX(Clay_Brands!$A$2:$FZ$601,487,Sync!$D$5)&amp;"",""))</f>
        <v/>
      </c>
      <c r="E4538" s="17">
        <f>IF(B4538="","",IFERROR(INDEX(Clay_Brands!$A$2:$FZ$601,487,Sync!$D$6)&amp;"",""))</f>
        <v/>
      </c>
      <c r="F4538" s="17">
        <f>IF(B4538="","","outreach_sent")</f>
        <v/>
      </c>
      <c r="G4538" s="17">
        <f>IF(B4538="","","")</f>
        <v/>
      </c>
      <c r="H4538" s="17">
        <f>IF(B4538="","","")</f>
        <v/>
      </c>
      <c r="I4538" s="17">
        <f>IF(B4538="","","")</f>
        <v/>
      </c>
      <c r="J4538" s="17">
        <f>IF(B4538="","","touch_2; "&amp;IFERROR(INDEX(Clay_Brands!$A$2:$FZ$601,487,Sync!$D$10)&amp;"","")&amp;"; "&amp;IFERROR(INDEX(Clay_Brands!$A$2:$FZ$601,487,Sync!$D$9)&amp;"",""))</f>
        <v/>
      </c>
      <c r="K4538" t="inlineStr">
        <is>
          <t>brand outreach touch 2</t>
        </is>
      </c>
    </row>
    <row r="4539">
      <c r="A4539" s="17">
        <f>IF(B4539="","",B4539+(16*1000+488)/10000000)</f>
        <v/>
      </c>
      <c r="B4539" s="23">
        <f>IF(AND(IFERROR(N(INDEX(Clay_Brands!$A$2:$FZ$601,488,Sync!$D$12)),0)&gt;0,IFERROR(INDEX(Clay_Brands!$A$2:$FZ$601,488,Sync!$D$5)&amp;"","")&lt;&gt;"",OR(LEFT(IFERROR(INDEX(Clay_Brands!$A$2:$FZ$601,488,Sync!$D$5)&amp;"",""),6)&lt;&gt;"SAMPLE",Config!$B$19="Y")),IFERROR(N(INDEX(Clay_Brands!$A$2:$FZ$601,488,Sync!$D$12)),0),"")</f>
        <v/>
      </c>
      <c r="C4539" s="17">
        <f>IF(B4539="","","brand")</f>
        <v/>
      </c>
      <c r="D4539" s="17">
        <f>IF(B4539="","",IFERROR(INDEX(Clay_Brands!$A$2:$FZ$601,488,Sync!$D$5)&amp;"",""))</f>
        <v/>
      </c>
      <c r="E4539" s="17">
        <f>IF(B4539="","",IFERROR(INDEX(Clay_Brands!$A$2:$FZ$601,488,Sync!$D$6)&amp;"",""))</f>
        <v/>
      </c>
      <c r="F4539" s="17">
        <f>IF(B4539="","","outreach_sent")</f>
        <v/>
      </c>
      <c r="G4539" s="17">
        <f>IF(B4539="","","")</f>
        <v/>
      </c>
      <c r="H4539" s="17">
        <f>IF(B4539="","","")</f>
        <v/>
      </c>
      <c r="I4539" s="17">
        <f>IF(B4539="","","")</f>
        <v/>
      </c>
      <c r="J4539" s="17">
        <f>IF(B4539="","","touch_2; "&amp;IFERROR(INDEX(Clay_Brands!$A$2:$FZ$601,488,Sync!$D$10)&amp;"","")&amp;"; "&amp;IFERROR(INDEX(Clay_Brands!$A$2:$FZ$601,488,Sync!$D$9)&amp;"",""))</f>
        <v/>
      </c>
      <c r="K4539" t="inlineStr">
        <is>
          <t>brand outreach touch 2</t>
        </is>
      </c>
    </row>
    <row r="4540">
      <c r="A4540" s="17">
        <f>IF(B4540="","",B4540+(16*1000+489)/10000000)</f>
        <v/>
      </c>
      <c r="B4540" s="23">
        <f>IF(AND(IFERROR(N(INDEX(Clay_Brands!$A$2:$FZ$601,489,Sync!$D$12)),0)&gt;0,IFERROR(INDEX(Clay_Brands!$A$2:$FZ$601,489,Sync!$D$5)&amp;"","")&lt;&gt;"",OR(LEFT(IFERROR(INDEX(Clay_Brands!$A$2:$FZ$601,489,Sync!$D$5)&amp;"",""),6)&lt;&gt;"SAMPLE",Config!$B$19="Y")),IFERROR(N(INDEX(Clay_Brands!$A$2:$FZ$601,489,Sync!$D$12)),0),"")</f>
        <v/>
      </c>
      <c r="C4540" s="17">
        <f>IF(B4540="","","brand")</f>
        <v/>
      </c>
      <c r="D4540" s="17">
        <f>IF(B4540="","",IFERROR(INDEX(Clay_Brands!$A$2:$FZ$601,489,Sync!$D$5)&amp;"",""))</f>
        <v/>
      </c>
      <c r="E4540" s="17">
        <f>IF(B4540="","",IFERROR(INDEX(Clay_Brands!$A$2:$FZ$601,489,Sync!$D$6)&amp;"",""))</f>
        <v/>
      </c>
      <c r="F4540" s="17">
        <f>IF(B4540="","","outreach_sent")</f>
        <v/>
      </c>
      <c r="G4540" s="17">
        <f>IF(B4540="","","")</f>
        <v/>
      </c>
      <c r="H4540" s="17">
        <f>IF(B4540="","","")</f>
        <v/>
      </c>
      <c r="I4540" s="17">
        <f>IF(B4540="","","")</f>
        <v/>
      </c>
      <c r="J4540" s="17">
        <f>IF(B4540="","","touch_2; "&amp;IFERROR(INDEX(Clay_Brands!$A$2:$FZ$601,489,Sync!$D$10)&amp;"","")&amp;"; "&amp;IFERROR(INDEX(Clay_Brands!$A$2:$FZ$601,489,Sync!$D$9)&amp;"",""))</f>
        <v/>
      </c>
      <c r="K4540" t="inlineStr">
        <is>
          <t>brand outreach touch 2</t>
        </is>
      </c>
    </row>
    <row r="4541">
      <c r="A4541" s="17">
        <f>IF(B4541="","",B4541+(16*1000+490)/10000000)</f>
        <v/>
      </c>
      <c r="B4541" s="23">
        <f>IF(AND(IFERROR(N(INDEX(Clay_Brands!$A$2:$FZ$601,490,Sync!$D$12)),0)&gt;0,IFERROR(INDEX(Clay_Brands!$A$2:$FZ$601,490,Sync!$D$5)&amp;"","")&lt;&gt;"",OR(LEFT(IFERROR(INDEX(Clay_Brands!$A$2:$FZ$601,490,Sync!$D$5)&amp;"",""),6)&lt;&gt;"SAMPLE",Config!$B$19="Y")),IFERROR(N(INDEX(Clay_Brands!$A$2:$FZ$601,490,Sync!$D$12)),0),"")</f>
        <v/>
      </c>
      <c r="C4541" s="17">
        <f>IF(B4541="","","brand")</f>
        <v/>
      </c>
      <c r="D4541" s="17">
        <f>IF(B4541="","",IFERROR(INDEX(Clay_Brands!$A$2:$FZ$601,490,Sync!$D$5)&amp;"",""))</f>
        <v/>
      </c>
      <c r="E4541" s="17">
        <f>IF(B4541="","",IFERROR(INDEX(Clay_Brands!$A$2:$FZ$601,490,Sync!$D$6)&amp;"",""))</f>
        <v/>
      </c>
      <c r="F4541" s="17">
        <f>IF(B4541="","","outreach_sent")</f>
        <v/>
      </c>
      <c r="G4541" s="17">
        <f>IF(B4541="","","")</f>
        <v/>
      </c>
      <c r="H4541" s="17">
        <f>IF(B4541="","","")</f>
        <v/>
      </c>
      <c r="I4541" s="17">
        <f>IF(B4541="","","")</f>
        <v/>
      </c>
      <c r="J4541" s="17">
        <f>IF(B4541="","","touch_2; "&amp;IFERROR(INDEX(Clay_Brands!$A$2:$FZ$601,490,Sync!$D$10)&amp;"","")&amp;"; "&amp;IFERROR(INDEX(Clay_Brands!$A$2:$FZ$601,490,Sync!$D$9)&amp;"",""))</f>
        <v/>
      </c>
      <c r="K4541" t="inlineStr">
        <is>
          <t>brand outreach touch 2</t>
        </is>
      </c>
    </row>
    <row r="4542">
      <c r="A4542" s="17">
        <f>IF(B4542="","",B4542+(16*1000+491)/10000000)</f>
        <v/>
      </c>
      <c r="B4542" s="23">
        <f>IF(AND(IFERROR(N(INDEX(Clay_Brands!$A$2:$FZ$601,491,Sync!$D$12)),0)&gt;0,IFERROR(INDEX(Clay_Brands!$A$2:$FZ$601,491,Sync!$D$5)&amp;"","")&lt;&gt;"",OR(LEFT(IFERROR(INDEX(Clay_Brands!$A$2:$FZ$601,491,Sync!$D$5)&amp;"",""),6)&lt;&gt;"SAMPLE",Config!$B$19="Y")),IFERROR(N(INDEX(Clay_Brands!$A$2:$FZ$601,491,Sync!$D$12)),0),"")</f>
        <v/>
      </c>
      <c r="C4542" s="17">
        <f>IF(B4542="","","brand")</f>
        <v/>
      </c>
      <c r="D4542" s="17">
        <f>IF(B4542="","",IFERROR(INDEX(Clay_Brands!$A$2:$FZ$601,491,Sync!$D$5)&amp;"",""))</f>
        <v/>
      </c>
      <c r="E4542" s="17">
        <f>IF(B4542="","",IFERROR(INDEX(Clay_Brands!$A$2:$FZ$601,491,Sync!$D$6)&amp;"",""))</f>
        <v/>
      </c>
      <c r="F4542" s="17">
        <f>IF(B4542="","","outreach_sent")</f>
        <v/>
      </c>
      <c r="G4542" s="17">
        <f>IF(B4542="","","")</f>
        <v/>
      </c>
      <c r="H4542" s="17">
        <f>IF(B4542="","","")</f>
        <v/>
      </c>
      <c r="I4542" s="17">
        <f>IF(B4542="","","")</f>
        <v/>
      </c>
      <c r="J4542" s="17">
        <f>IF(B4542="","","touch_2; "&amp;IFERROR(INDEX(Clay_Brands!$A$2:$FZ$601,491,Sync!$D$10)&amp;"","")&amp;"; "&amp;IFERROR(INDEX(Clay_Brands!$A$2:$FZ$601,491,Sync!$D$9)&amp;"",""))</f>
        <v/>
      </c>
      <c r="K4542" t="inlineStr">
        <is>
          <t>brand outreach touch 2</t>
        </is>
      </c>
    </row>
    <row r="4543">
      <c r="A4543" s="17">
        <f>IF(B4543="","",B4543+(16*1000+492)/10000000)</f>
        <v/>
      </c>
      <c r="B4543" s="23">
        <f>IF(AND(IFERROR(N(INDEX(Clay_Brands!$A$2:$FZ$601,492,Sync!$D$12)),0)&gt;0,IFERROR(INDEX(Clay_Brands!$A$2:$FZ$601,492,Sync!$D$5)&amp;"","")&lt;&gt;"",OR(LEFT(IFERROR(INDEX(Clay_Brands!$A$2:$FZ$601,492,Sync!$D$5)&amp;"",""),6)&lt;&gt;"SAMPLE",Config!$B$19="Y")),IFERROR(N(INDEX(Clay_Brands!$A$2:$FZ$601,492,Sync!$D$12)),0),"")</f>
        <v/>
      </c>
      <c r="C4543" s="17">
        <f>IF(B4543="","","brand")</f>
        <v/>
      </c>
      <c r="D4543" s="17">
        <f>IF(B4543="","",IFERROR(INDEX(Clay_Brands!$A$2:$FZ$601,492,Sync!$D$5)&amp;"",""))</f>
        <v/>
      </c>
      <c r="E4543" s="17">
        <f>IF(B4543="","",IFERROR(INDEX(Clay_Brands!$A$2:$FZ$601,492,Sync!$D$6)&amp;"",""))</f>
        <v/>
      </c>
      <c r="F4543" s="17">
        <f>IF(B4543="","","outreach_sent")</f>
        <v/>
      </c>
      <c r="G4543" s="17">
        <f>IF(B4543="","","")</f>
        <v/>
      </c>
      <c r="H4543" s="17">
        <f>IF(B4543="","","")</f>
        <v/>
      </c>
      <c r="I4543" s="17">
        <f>IF(B4543="","","")</f>
        <v/>
      </c>
      <c r="J4543" s="17">
        <f>IF(B4543="","","touch_2; "&amp;IFERROR(INDEX(Clay_Brands!$A$2:$FZ$601,492,Sync!$D$10)&amp;"","")&amp;"; "&amp;IFERROR(INDEX(Clay_Brands!$A$2:$FZ$601,492,Sync!$D$9)&amp;"",""))</f>
        <v/>
      </c>
      <c r="K4543" t="inlineStr">
        <is>
          <t>brand outreach touch 2</t>
        </is>
      </c>
    </row>
    <row r="4544">
      <c r="A4544" s="17">
        <f>IF(B4544="","",B4544+(16*1000+493)/10000000)</f>
        <v/>
      </c>
      <c r="B4544" s="23">
        <f>IF(AND(IFERROR(N(INDEX(Clay_Brands!$A$2:$FZ$601,493,Sync!$D$12)),0)&gt;0,IFERROR(INDEX(Clay_Brands!$A$2:$FZ$601,493,Sync!$D$5)&amp;"","")&lt;&gt;"",OR(LEFT(IFERROR(INDEX(Clay_Brands!$A$2:$FZ$601,493,Sync!$D$5)&amp;"",""),6)&lt;&gt;"SAMPLE",Config!$B$19="Y")),IFERROR(N(INDEX(Clay_Brands!$A$2:$FZ$601,493,Sync!$D$12)),0),"")</f>
        <v/>
      </c>
      <c r="C4544" s="17">
        <f>IF(B4544="","","brand")</f>
        <v/>
      </c>
      <c r="D4544" s="17">
        <f>IF(B4544="","",IFERROR(INDEX(Clay_Brands!$A$2:$FZ$601,493,Sync!$D$5)&amp;"",""))</f>
        <v/>
      </c>
      <c r="E4544" s="17">
        <f>IF(B4544="","",IFERROR(INDEX(Clay_Brands!$A$2:$FZ$601,493,Sync!$D$6)&amp;"",""))</f>
        <v/>
      </c>
      <c r="F4544" s="17">
        <f>IF(B4544="","","outreach_sent")</f>
        <v/>
      </c>
      <c r="G4544" s="17">
        <f>IF(B4544="","","")</f>
        <v/>
      </c>
      <c r="H4544" s="17">
        <f>IF(B4544="","","")</f>
        <v/>
      </c>
      <c r="I4544" s="17">
        <f>IF(B4544="","","")</f>
        <v/>
      </c>
      <c r="J4544" s="17">
        <f>IF(B4544="","","touch_2; "&amp;IFERROR(INDEX(Clay_Brands!$A$2:$FZ$601,493,Sync!$D$10)&amp;"","")&amp;"; "&amp;IFERROR(INDEX(Clay_Brands!$A$2:$FZ$601,493,Sync!$D$9)&amp;"",""))</f>
        <v/>
      </c>
      <c r="K4544" t="inlineStr">
        <is>
          <t>brand outreach touch 2</t>
        </is>
      </c>
    </row>
    <row r="4545">
      <c r="A4545" s="17">
        <f>IF(B4545="","",B4545+(16*1000+494)/10000000)</f>
        <v/>
      </c>
      <c r="B4545" s="23">
        <f>IF(AND(IFERROR(N(INDEX(Clay_Brands!$A$2:$FZ$601,494,Sync!$D$12)),0)&gt;0,IFERROR(INDEX(Clay_Brands!$A$2:$FZ$601,494,Sync!$D$5)&amp;"","")&lt;&gt;"",OR(LEFT(IFERROR(INDEX(Clay_Brands!$A$2:$FZ$601,494,Sync!$D$5)&amp;"",""),6)&lt;&gt;"SAMPLE",Config!$B$19="Y")),IFERROR(N(INDEX(Clay_Brands!$A$2:$FZ$601,494,Sync!$D$12)),0),"")</f>
        <v/>
      </c>
      <c r="C4545" s="17">
        <f>IF(B4545="","","brand")</f>
        <v/>
      </c>
      <c r="D4545" s="17">
        <f>IF(B4545="","",IFERROR(INDEX(Clay_Brands!$A$2:$FZ$601,494,Sync!$D$5)&amp;"",""))</f>
        <v/>
      </c>
      <c r="E4545" s="17">
        <f>IF(B4545="","",IFERROR(INDEX(Clay_Brands!$A$2:$FZ$601,494,Sync!$D$6)&amp;"",""))</f>
        <v/>
      </c>
      <c r="F4545" s="17">
        <f>IF(B4545="","","outreach_sent")</f>
        <v/>
      </c>
      <c r="G4545" s="17">
        <f>IF(B4545="","","")</f>
        <v/>
      </c>
      <c r="H4545" s="17">
        <f>IF(B4545="","","")</f>
        <v/>
      </c>
      <c r="I4545" s="17">
        <f>IF(B4545="","","")</f>
        <v/>
      </c>
      <c r="J4545" s="17">
        <f>IF(B4545="","","touch_2; "&amp;IFERROR(INDEX(Clay_Brands!$A$2:$FZ$601,494,Sync!$D$10)&amp;"","")&amp;"; "&amp;IFERROR(INDEX(Clay_Brands!$A$2:$FZ$601,494,Sync!$D$9)&amp;"",""))</f>
        <v/>
      </c>
      <c r="K4545" t="inlineStr">
        <is>
          <t>brand outreach touch 2</t>
        </is>
      </c>
    </row>
    <row r="4546">
      <c r="A4546" s="17">
        <f>IF(B4546="","",B4546+(16*1000+495)/10000000)</f>
        <v/>
      </c>
      <c r="B4546" s="23">
        <f>IF(AND(IFERROR(N(INDEX(Clay_Brands!$A$2:$FZ$601,495,Sync!$D$12)),0)&gt;0,IFERROR(INDEX(Clay_Brands!$A$2:$FZ$601,495,Sync!$D$5)&amp;"","")&lt;&gt;"",OR(LEFT(IFERROR(INDEX(Clay_Brands!$A$2:$FZ$601,495,Sync!$D$5)&amp;"",""),6)&lt;&gt;"SAMPLE",Config!$B$19="Y")),IFERROR(N(INDEX(Clay_Brands!$A$2:$FZ$601,495,Sync!$D$12)),0),"")</f>
        <v/>
      </c>
      <c r="C4546" s="17">
        <f>IF(B4546="","","brand")</f>
        <v/>
      </c>
      <c r="D4546" s="17">
        <f>IF(B4546="","",IFERROR(INDEX(Clay_Brands!$A$2:$FZ$601,495,Sync!$D$5)&amp;"",""))</f>
        <v/>
      </c>
      <c r="E4546" s="17">
        <f>IF(B4546="","",IFERROR(INDEX(Clay_Brands!$A$2:$FZ$601,495,Sync!$D$6)&amp;"",""))</f>
        <v/>
      </c>
      <c r="F4546" s="17">
        <f>IF(B4546="","","outreach_sent")</f>
        <v/>
      </c>
      <c r="G4546" s="17">
        <f>IF(B4546="","","")</f>
        <v/>
      </c>
      <c r="H4546" s="17">
        <f>IF(B4546="","","")</f>
        <v/>
      </c>
      <c r="I4546" s="17">
        <f>IF(B4546="","","")</f>
        <v/>
      </c>
      <c r="J4546" s="17">
        <f>IF(B4546="","","touch_2; "&amp;IFERROR(INDEX(Clay_Brands!$A$2:$FZ$601,495,Sync!$D$10)&amp;"","")&amp;"; "&amp;IFERROR(INDEX(Clay_Brands!$A$2:$FZ$601,495,Sync!$D$9)&amp;"",""))</f>
        <v/>
      </c>
      <c r="K4546" t="inlineStr">
        <is>
          <t>brand outreach touch 2</t>
        </is>
      </c>
    </row>
    <row r="4547">
      <c r="A4547" s="17">
        <f>IF(B4547="","",B4547+(16*1000+496)/10000000)</f>
        <v/>
      </c>
      <c r="B4547" s="23">
        <f>IF(AND(IFERROR(N(INDEX(Clay_Brands!$A$2:$FZ$601,496,Sync!$D$12)),0)&gt;0,IFERROR(INDEX(Clay_Brands!$A$2:$FZ$601,496,Sync!$D$5)&amp;"","")&lt;&gt;"",OR(LEFT(IFERROR(INDEX(Clay_Brands!$A$2:$FZ$601,496,Sync!$D$5)&amp;"",""),6)&lt;&gt;"SAMPLE",Config!$B$19="Y")),IFERROR(N(INDEX(Clay_Brands!$A$2:$FZ$601,496,Sync!$D$12)),0),"")</f>
        <v/>
      </c>
      <c r="C4547" s="17">
        <f>IF(B4547="","","brand")</f>
        <v/>
      </c>
      <c r="D4547" s="17">
        <f>IF(B4547="","",IFERROR(INDEX(Clay_Brands!$A$2:$FZ$601,496,Sync!$D$5)&amp;"",""))</f>
        <v/>
      </c>
      <c r="E4547" s="17">
        <f>IF(B4547="","",IFERROR(INDEX(Clay_Brands!$A$2:$FZ$601,496,Sync!$D$6)&amp;"",""))</f>
        <v/>
      </c>
      <c r="F4547" s="17">
        <f>IF(B4547="","","outreach_sent")</f>
        <v/>
      </c>
      <c r="G4547" s="17">
        <f>IF(B4547="","","")</f>
        <v/>
      </c>
      <c r="H4547" s="17">
        <f>IF(B4547="","","")</f>
        <v/>
      </c>
      <c r="I4547" s="17">
        <f>IF(B4547="","","")</f>
        <v/>
      </c>
      <c r="J4547" s="17">
        <f>IF(B4547="","","touch_2; "&amp;IFERROR(INDEX(Clay_Brands!$A$2:$FZ$601,496,Sync!$D$10)&amp;"","")&amp;"; "&amp;IFERROR(INDEX(Clay_Brands!$A$2:$FZ$601,496,Sync!$D$9)&amp;"",""))</f>
        <v/>
      </c>
      <c r="K4547" t="inlineStr">
        <is>
          <t>brand outreach touch 2</t>
        </is>
      </c>
    </row>
    <row r="4548">
      <c r="A4548" s="17">
        <f>IF(B4548="","",B4548+(16*1000+497)/10000000)</f>
        <v/>
      </c>
      <c r="B4548" s="23">
        <f>IF(AND(IFERROR(N(INDEX(Clay_Brands!$A$2:$FZ$601,497,Sync!$D$12)),0)&gt;0,IFERROR(INDEX(Clay_Brands!$A$2:$FZ$601,497,Sync!$D$5)&amp;"","")&lt;&gt;"",OR(LEFT(IFERROR(INDEX(Clay_Brands!$A$2:$FZ$601,497,Sync!$D$5)&amp;"",""),6)&lt;&gt;"SAMPLE",Config!$B$19="Y")),IFERROR(N(INDEX(Clay_Brands!$A$2:$FZ$601,497,Sync!$D$12)),0),"")</f>
        <v/>
      </c>
      <c r="C4548" s="17">
        <f>IF(B4548="","","brand")</f>
        <v/>
      </c>
      <c r="D4548" s="17">
        <f>IF(B4548="","",IFERROR(INDEX(Clay_Brands!$A$2:$FZ$601,497,Sync!$D$5)&amp;"",""))</f>
        <v/>
      </c>
      <c r="E4548" s="17">
        <f>IF(B4548="","",IFERROR(INDEX(Clay_Brands!$A$2:$FZ$601,497,Sync!$D$6)&amp;"",""))</f>
        <v/>
      </c>
      <c r="F4548" s="17">
        <f>IF(B4548="","","outreach_sent")</f>
        <v/>
      </c>
      <c r="G4548" s="17">
        <f>IF(B4548="","","")</f>
        <v/>
      </c>
      <c r="H4548" s="17">
        <f>IF(B4548="","","")</f>
        <v/>
      </c>
      <c r="I4548" s="17">
        <f>IF(B4548="","","")</f>
        <v/>
      </c>
      <c r="J4548" s="17">
        <f>IF(B4548="","","touch_2; "&amp;IFERROR(INDEX(Clay_Brands!$A$2:$FZ$601,497,Sync!$D$10)&amp;"","")&amp;"; "&amp;IFERROR(INDEX(Clay_Brands!$A$2:$FZ$601,497,Sync!$D$9)&amp;"",""))</f>
        <v/>
      </c>
      <c r="K4548" t="inlineStr">
        <is>
          <t>brand outreach touch 2</t>
        </is>
      </c>
    </row>
    <row r="4549">
      <c r="A4549" s="17">
        <f>IF(B4549="","",B4549+(16*1000+498)/10000000)</f>
        <v/>
      </c>
      <c r="B4549" s="23">
        <f>IF(AND(IFERROR(N(INDEX(Clay_Brands!$A$2:$FZ$601,498,Sync!$D$12)),0)&gt;0,IFERROR(INDEX(Clay_Brands!$A$2:$FZ$601,498,Sync!$D$5)&amp;"","")&lt;&gt;"",OR(LEFT(IFERROR(INDEX(Clay_Brands!$A$2:$FZ$601,498,Sync!$D$5)&amp;"",""),6)&lt;&gt;"SAMPLE",Config!$B$19="Y")),IFERROR(N(INDEX(Clay_Brands!$A$2:$FZ$601,498,Sync!$D$12)),0),"")</f>
        <v/>
      </c>
      <c r="C4549" s="17">
        <f>IF(B4549="","","brand")</f>
        <v/>
      </c>
      <c r="D4549" s="17">
        <f>IF(B4549="","",IFERROR(INDEX(Clay_Brands!$A$2:$FZ$601,498,Sync!$D$5)&amp;"",""))</f>
        <v/>
      </c>
      <c r="E4549" s="17">
        <f>IF(B4549="","",IFERROR(INDEX(Clay_Brands!$A$2:$FZ$601,498,Sync!$D$6)&amp;"",""))</f>
        <v/>
      </c>
      <c r="F4549" s="17">
        <f>IF(B4549="","","outreach_sent")</f>
        <v/>
      </c>
      <c r="G4549" s="17">
        <f>IF(B4549="","","")</f>
        <v/>
      </c>
      <c r="H4549" s="17">
        <f>IF(B4549="","","")</f>
        <v/>
      </c>
      <c r="I4549" s="17">
        <f>IF(B4549="","","")</f>
        <v/>
      </c>
      <c r="J4549" s="17">
        <f>IF(B4549="","","touch_2; "&amp;IFERROR(INDEX(Clay_Brands!$A$2:$FZ$601,498,Sync!$D$10)&amp;"","")&amp;"; "&amp;IFERROR(INDEX(Clay_Brands!$A$2:$FZ$601,498,Sync!$D$9)&amp;"",""))</f>
        <v/>
      </c>
      <c r="K4549" t="inlineStr">
        <is>
          <t>brand outreach touch 2</t>
        </is>
      </c>
    </row>
    <row r="4550">
      <c r="A4550" s="17">
        <f>IF(B4550="","",B4550+(16*1000+499)/10000000)</f>
        <v/>
      </c>
      <c r="B4550" s="23">
        <f>IF(AND(IFERROR(N(INDEX(Clay_Brands!$A$2:$FZ$601,499,Sync!$D$12)),0)&gt;0,IFERROR(INDEX(Clay_Brands!$A$2:$FZ$601,499,Sync!$D$5)&amp;"","")&lt;&gt;"",OR(LEFT(IFERROR(INDEX(Clay_Brands!$A$2:$FZ$601,499,Sync!$D$5)&amp;"",""),6)&lt;&gt;"SAMPLE",Config!$B$19="Y")),IFERROR(N(INDEX(Clay_Brands!$A$2:$FZ$601,499,Sync!$D$12)),0),"")</f>
        <v/>
      </c>
      <c r="C4550" s="17">
        <f>IF(B4550="","","brand")</f>
        <v/>
      </c>
      <c r="D4550" s="17">
        <f>IF(B4550="","",IFERROR(INDEX(Clay_Brands!$A$2:$FZ$601,499,Sync!$D$5)&amp;"",""))</f>
        <v/>
      </c>
      <c r="E4550" s="17">
        <f>IF(B4550="","",IFERROR(INDEX(Clay_Brands!$A$2:$FZ$601,499,Sync!$D$6)&amp;"",""))</f>
        <v/>
      </c>
      <c r="F4550" s="17">
        <f>IF(B4550="","","outreach_sent")</f>
        <v/>
      </c>
      <c r="G4550" s="17">
        <f>IF(B4550="","","")</f>
        <v/>
      </c>
      <c r="H4550" s="17">
        <f>IF(B4550="","","")</f>
        <v/>
      </c>
      <c r="I4550" s="17">
        <f>IF(B4550="","","")</f>
        <v/>
      </c>
      <c r="J4550" s="17">
        <f>IF(B4550="","","touch_2; "&amp;IFERROR(INDEX(Clay_Brands!$A$2:$FZ$601,499,Sync!$D$10)&amp;"","")&amp;"; "&amp;IFERROR(INDEX(Clay_Brands!$A$2:$FZ$601,499,Sync!$D$9)&amp;"",""))</f>
        <v/>
      </c>
      <c r="K4550" t="inlineStr">
        <is>
          <t>brand outreach touch 2</t>
        </is>
      </c>
    </row>
    <row r="4551">
      <c r="A4551" s="17">
        <f>IF(B4551="","",B4551+(16*1000+500)/10000000)</f>
        <v/>
      </c>
      <c r="B4551" s="23">
        <f>IF(AND(IFERROR(N(INDEX(Clay_Brands!$A$2:$FZ$601,500,Sync!$D$12)),0)&gt;0,IFERROR(INDEX(Clay_Brands!$A$2:$FZ$601,500,Sync!$D$5)&amp;"","")&lt;&gt;"",OR(LEFT(IFERROR(INDEX(Clay_Brands!$A$2:$FZ$601,500,Sync!$D$5)&amp;"",""),6)&lt;&gt;"SAMPLE",Config!$B$19="Y")),IFERROR(N(INDEX(Clay_Brands!$A$2:$FZ$601,500,Sync!$D$12)),0),"")</f>
        <v/>
      </c>
      <c r="C4551" s="17">
        <f>IF(B4551="","","brand")</f>
        <v/>
      </c>
      <c r="D4551" s="17">
        <f>IF(B4551="","",IFERROR(INDEX(Clay_Brands!$A$2:$FZ$601,500,Sync!$D$5)&amp;"",""))</f>
        <v/>
      </c>
      <c r="E4551" s="17">
        <f>IF(B4551="","",IFERROR(INDEX(Clay_Brands!$A$2:$FZ$601,500,Sync!$D$6)&amp;"",""))</f>
        <v/>
      </c>
      <c r="F4551" s="17">
        <f>IF(B4551="","","outreach_sent")</f>
        <v/>
      </c>
      <c r="G4551" s="17">
        <f>IF(B4551="","","")</f>
        <v/>
      </c>
      <c r="H4551" s="17">
        <f>IF(B4551="","","")</f>
        <v/>
      </c>
      <c r="I4551" s="17">
        <f>IF(B4551="","","")</f>
        <v/>
      </c>
      <c r="J4551" s="17">
        <f>IF(B4551="","","touch_2; "&amp;IFERROR(INDEX(Clay_Brands!$A$2:$FZ$601,500,Sync!$D$10)&amp;"","")&amp;"; "&amp;IFERROR(INDEX(Clay_Brands!$A$2:$FZ$601,500,Sync!$D$9)&amp;"",""))</f>
        <v/>
      </c>
      <c r="K4551" t="inlineStr">
        <is>
          <t>brand outreach touch 2</t>
        </is>
      </c>
    </row>
    <row r="4552">
      <c r="A4552" s="17">
        <f>IF(B4552="","",B4552+(16*1000+501)/10000000)</f>
        <v/>
      </c>
      <c r="B4552" s="23">
        <f>IF(AND(IFERROR(N(INDEX(Clay_Brands!$A$2:$FZ$601,501,Sync!$D$12)),0)&gt;0,IFERROR(INDEX(Clay_Brands!$A$2:$FZ$601,501,Sync!$D$5)&amp;"","")&lt;&gt;"",OR(LEFT(IFERROR(INDEX(Clay_Brands!$A$2:$FZ$601,501,Sync!$D$5)&amp;"",""),6)&lt;&gt;"SAMPLE",Config!$B$19="Y")),IFERROR(N(INDEX(Clay_Brands!$A$2:$FZ$601,501,Sync!$D$12)),0),"")</f>
        <v/>
      </c>
      <c r="C4552" s="17">
        <f>IF(B4552="","","brand")</f>
        <v/>
      </c>
      <c r="D4552" s="17">
        <f>IF(B4552="","",IFERROR(INDEX(Clay_Brands!$A$2:$FZ$601,501,Sync!$D$5)&amp;"",""))</f>
        <v/>
      </c>
      <c r="E4552" s="17">
        <f>IF(B4552="","",IFERROR(INDEX(Clay_Brands!$A$2:$FZ$601,501,Sync!$D$6)&amp;"",""))</f>
        <v/>
      </c>
      <c r="F4552" s="17">
        <f>IF(B4552="","","outreach_sent")</f>
        <v/>
      </c>
      <c r="G4552" s="17">
        <f>IF(B4552="","","")</f>
        <v/>
      </c>
      <c r="H4552" s="17">
        <f>IF(B4552="","","")</f>
        <v/>
      </c>
      <c r="I4552" s="17">
        <f>IF(B4552="","","")</f>
        <v/>
      </c>
      <c r="J4552" s="17">
        <f>IF(B4552="","","touch_2; "&amp;IFERROR(INDEX(Clay_Brands!$A$2:$FZ$601,501,Sync!$D$10)&amp;"","")&amp;"; "&amp;IFERROR(INDEX(Clay_Brands!$A$2:$FZ$601,501,Sync!$D$9)&amp;"",""))</f>
        <v/>
      </c>
      <c r="K4552" t="inlineStr">
        <is>
          <t>brand outreach touch 2</t>
        </is>
      </c>
    </row>
    <row r="4553">
      <c r="A4553" s="17">
        <f>IF(B4553="","",B4553+(16*1000+502)/10000000)</f>
        <v/>
      </c>
      <c r="B4553" s="23">
        <f>IF(AND(IFERROR(N(INDEX(Clay_Brands!$A$2:$FZ$601,502,Sync!$D$12)),0)&gt;0,IFERROR(INDEX(Clay_Brands!$A$2:$FZ$601,502,Sync!$D$5)&amp;"","")&lt;&gt;"",OR(LEFT(IFERROR(INDEX(Clay_Brands!$A$2:$FZ$601,502,Sync!$D$5)&amp;"",""),6)&lt;&gt;"SAMPLE",Config!$B$19="Y")),IFERROR(N(INDEX(Clay_Brands!$A$2:$FZ$601,502,Sync!$D$12)),0),"")</f>
        <v/>
      </c>
      <c r="C4553" s="17">
        <f>IF(B4553="","","brand")</f>
        <v/>
      </c>
      <c r="D4553" s="17">
        <f>IF(B4553="","",IFERROR(INDEX(Clay_Brands!$A$2:$FZ$601,502,Sync!$D$5)&amp;"",""))</f>
        <v/>
      </c>
      <c r="E4553" s="17">
        <f>IF(B4553="","",IFERROR(INDEX(Clay_Brands!$A$2:$FZ$601,502,Sync!$D$6)&amp;"",""))</f>
        <v/>
      </c>
      <c r="F4553" s="17">
        <f>IF(B4553="","","outreach_sent")</f>
        <v/>
      </c>
      <c r="G4553" s="17">
        <f>IF(B4553="","","")</f>
        <v/>
      </c>
      <c r="H4553" s="17">
        <f>IF(B4553="","","")</f>
        <v/>
      </c>
      <c r="I4553" s="17">
        <f>IF(B4553="","","")</f>
        <v/>
      </c>
      <c r="J4553" s="17">
        <f>IF(B4553="","","touch_2; "&amp;IFERROR(INDEX(Clay_Brands!$A$2:$FZ$601,502,Sync!$D$10)&amp;"","")&amp;"; "&amp;IFERROR(INDEX(Clay_Brands!$A$2:$FZ$601,502,Sync!$D$9)&amp;"",""))</f>
        <v/>
      </c>
      <c r="K4553" t="inlineStr">
        <is>
          <t>brand outreach touch 2</t>
        </is>
      </c>
    </row>
    <row r="4554">
      <c r="A4554" s="17">
        <f>IF(B4554="","",B4554+(16*1000+503)/10000000)</f>
        <v/>
      </c>
      <c r="B4554" s="23">
        <f>IF(AND(IFERROR(N(INDEX(Clay_Brands!$A$2:$FZ$601,503,Sync!$D$12)),0)&gt;0,IFERROR(INDEX(Clay_Brands!$A$2:$FZ$601,503,Sync!$D$5)&amp;"","")&lt;&gt;"",OR(LEFT(IFERROR(INDEX(Clay_Brands!$A$2:$FZ$601,503,Sync!$D$5)&amp;"",""),6)&lt;&gt;"SAMPLE",Config!$B$19="Y")),IFERROR(N(INDEX(Clay_Brands!$A$2:$FZ$601,503,Sync!$D$12)),0),"")</f>
        <v/>
      </c>
      <c r="C4554" s="17">
        <f>IF(B4554="","","brand")</f>
        <v/>
      </c>
      <c r="D4554" s="17">
        <f>IF(B4554="","",IFERROR(INDEX(Clay_Brands!$A$2:$FZ$601,503,Sync!$D$5)&amp;"",""))</f>
        <v/>
      </c>
      <c r="E4554" s="17">
        <f>IF(B4554="","",IFERROR(INDEX(Clay_Brands!$A$2:$FZ$601,503,Sync!$D$6)&amp;"",""))</f>
        <v/>
      </c>
      <c r="F4554" s="17">
        <f>IF(B4554="","","outreach_sent")</f>
        <v/>
      </c>
      <c r="G4554" s="17">
        <f>IF(B4554="","","")</f>
        <v/>
      </c>
      <c r="H4554" s="17">
        <f>IF(B4554="","","")</f>
        <v/>
      </c>
      <c r="I4554" s="17">
        <f>IF(B4554="","","")</f>
        <v/>
      </c>
      <c r="J4554" s="17">
        <f>IF(B4554="","","touch_2; "&amp;IFERROR(INDEX(Clay_Brands!$A$2:$FZ$601,503,Sync!$D$10)&amp;"","")&amp;"; "&amp;IFERROR(INDEX(Clay_Brands!$A$2:$FZ$601,503,Sync!$D$9)&amp;"",""))</f>
        <v/>
      </c>
      <c r="K4554" t="inlineStr">
        <is>
          <t>brand outreach touch 2</t>
        </is>
      </c>
    </row>
    <row r="4555">
      <c r="A4555" s="17">
        <f>IF(B4555="","",B4555+(16*1000+504)/10000000)</f>
        <v/>
      </c>
      <c r="B4555" s="23">
        <f>IF(AND(IFERROR(N(INDEX(Clay_Brands!$A$2:$FZ$601,504,Sync!$D$12)),0)&gt;0,IFERROR(INDEX(Clay_Brands!$A$2:$FZ$601,504,Sync!$D$5)&amp;"","")&lt;&gt;"",OR(LEFT(IFERROR(INDEX(Clay_Brands!$A$2:$FZ$601,504,Sync!$D$5)&amp;"",""),6)&lt;&gt;"SAMPLE",Config!$B$19="Y")),IFERROR(N(INDEX(Clay_Brands!$A$2:$FZ$601,504,Sync!$D$12)),0),"")</f>
        <v/>
      </c>
      <c r="C4555" s="17">
        <f>IF(B4555="","","brand")</f>
        <v/>
      </c>
      <c r="D4555" s="17">
        <f>IF(B4555="","",IFERROR(INDEX(Clay_Brands!$A$2:$FZ$601,504,Sync!$D$5)&amp;"",""))</f>
        <v/>
      </c>
      <c r="E4555" s="17">
        <f>IF(B4555="","",IFERROR(INDEX(Clay_Brands!$A$2:$FZ$601,504,Sync!$D$6)&amp;"",""))</f>
        <v/>
      </c>
      <c r="F4555" s="17">
        <f>IF(B4555="","","outreach_sent")</f>
        <v/>
      </c>
      <c r="G4555" s="17">
        <f>IF(B4555="","","")</f>
        <v/>
      </c>
      <c r="H4555" s="17">
        <f>IF(B4555="","","")</f>
        <v/>
      </c>
      <c r="I4555" s="17">
        <f>IF(B4555="","","")</f>
        <v/>
      </c>
      <c r="J4555" s="17">
        <f>IF(B4555="","","touch_2; "&amp;IFERROR(INDEX(Clay_Brands!$A$2:$FZ$601,504,Sync!$D$10)&amp;"","")&amp;"; "&amp;IFERROR(INDEX(Clay_Brands!$A$2:$FZ$601,504,Sync!$D$9)&amp;"",""))</f>
        <v/>
      </c>
      <c r="K4555" t="inlineStr">
        <is>
          <t>brand outreach touch 2</t>
        </is>
      </c>
    </row>
    <row r="4556">
      <c r="A4556" s="17">
        <f>IF(B4556="","",B4556+(16*1000+505)/10000000)</f>
        <v/>
      </c>
      <c r="B4556" s="23">
        <f>IF(AND(IFERROR(N(INDEX(Clay_Brands!$A$2:$FZ$601,505,Sync!$D$12)),0)&gt;0,IFERROR(INDEX(Clay_Brands!$A$2:$FZ$601,505,Sync!$D$5)&amp;"","")&lt;&gt;"",OR(LEFT(IFERROR(INDEX(Clay_Brands!$A$2:$FZ$601,505,Sync!$D$5)&amp;"",""),6)&lt;&gt;"SAMPLE",Config!$B$19="Y")),IFERROR(N(INDEX(Clay_Brands!$A$2:$FZ$601,505,Sync!$D$12)),0),"")</f>
        <v/>
      </c>
      <c r="C4556" s="17">
        <f>IF(B4556="","","brand")</f>
        <v/>
      </c>
      <c r="D4556" s="17">
        <f>IF(B4556="","",IFERROR(INDEX(Clay_Brands!$A$2:$FZ$601,505,Sync!$D$5)&amp;"",""))</f>
        <v/>
      </c>
      <c r="E4556" s="17">
        <f>IF(B4556="","",IFERROR(INDEX(Clay_Brands!$A$2:$FZ$601,505,Sync!$D$6)&amp;"",""))</f>
        <v/>
      </c>
      <c r="F4556" s="17">
        <f>IF(B4556="","","outreach_sent")</f>
        <v/>
      </c>
      <c r="G4556" s="17">
        <f>IF(B4556="","","")</f>
        <v/>
      </c>
      <c r="H4556" s="17">
        <f>IF(B4556="","","")</f>
        <v/>
      </c>
      <c r="I4556" s="17">
        <f>IF(B4556="","","")</f>
        <v/>
      </c>
      <c r="J4556" s="17">
        <f>IF(B4556="","","touch_2; "&amp;IFERROR(INDEX(Clay_Brands!$A$2:$FZ$601,505,Sync!$D$10)&amp;"","")&amp;"; "&amp;IFERROR(INDEX(Clay_Brands!$A$2:$FZ$601,505,Sync!$D$9)&amp;"",""))</f>
        <v/>
      </c>
      <c r="K4556" t="inlineStr">
        <is>
          <t>brand outreach touch 2</t>
        </is>
      </c>
    </row>
    <row r="4557">
      <c r="A4557" s="17">
        <f>IF(B4557="","",B4557+(16*1000+506)/10000000)</f>
        <v/>
      </c>
      <c r="B4557" s="23">
        <f>IF(AND(IFERROR(N(INDEX(Clay_Brands!$A$2:$FZ$601,506,Sync!$D$12)),0)&gt;0,IFERROR(INDEX(Clay_Brands!$A$2:$FZ$601,506,Sync!$D$5)&amp;"","")&lt;&gt;"",OR(LEFT(IFERROR(INDEX(Clay_Brands!$A$2:$FZ$601,506,Sync!$D$5)&amp;"",""),6)&lt;&gt;"SAMPLE",Config!$B$19="Y")),IFERROR(N(INDEX(Clay_Brands!$A$2:$FZ$601,506,Sync!$D$12)),0),"")</f>
        <v/>
      </c>
      <c r="C4557" s="17">
        <f>IF(B4557="","","brand")</f>
        <v/>
      </c>
      <c r="D4557" s="17">
        <f>IF(B4557="","",IFERROR(INDEX(Clay_Brands!$A$2:$FZ$601,506,Sync!$D$5)&amp;"",""))</f>
        <v/>
      </c>
      <c r="E4557" s="17">
        <f>IF(B4557="","",IFERROR(INDEX(Clay_Brands!$A$2:$FZ$601,506,Sync!$D$6)&amp;"",""))</f>
        <v/>
      </c>
      <c r="F4557" s="17">
        <f>IF(B4557="","","outreach_sent")</f>
        <v/>
      </c>
      <c r="G4557" s="17">
        <f>IF(B4557="","","")</f>
        <v/>
      </c>
      <c r="H4557" s="17">
        <f>IF(B4557="","","")</f>
        <v/>
      </c>
      <c r="I4557" s="17">
        <f>IF(B4557="","","")</f>
        <v/>
      </c>
      <c r="J4557" s="17">
        <f>IF(B4557="","","touch_2; "&amp;IFERROR(INDEX(Clay_Brands!$A$2:$FZ$601,506,Sync!$D$10)&amp;"","")&amp;"; "&amp;IFERROR(INDEX(Clay_Brands!$A$2:$FZ$601,506,Sync!$D$9)&amp;"",""))</f>
        <v/>
      </c>
      <c r="K4557" t="inlineStr">
        <is>
          <t>brand outreach touch 2</t>
        </is>
      </c>
    </row>
    <row r="4558">
      <c r="A4558" s="17">
        <f>IF(B4558="","",B4558+(16*1000+507)/10000000)</f>
        <v/>
      </c>
      <c r="B4558" s="23">
        <f>IF(AND(IFERROR(N(INDEX(Clay_Brands!$A$2:$FZ$601,507,Sync!$D$12)),0)&gt;0,IFERROR(INDEX(Clay_Brands!$A$2:$FZ$601,507,Sync!$D$5)&amp;"","")&lt;&gt;"",OR(LEFT(IFERROR(INDEX(Clay_Brands!$A$2:$FZ$601,507,Sync!$D$5)&amp;"",""),6)&lt;&gt;"SAMPLE",Config!$B$19="Y")),IFERROR(N(INDEX(Clay_Brands!$A$2:$FZ$601,507,Sync!$D$12)),0),"")</f>
        <v/>
      </c>
      <c r="C4558" s="17">
        <f>IF(B4558="","","brand")</f>
        <v/>
      </c>
      <c r="D4558" s="17">
        <f>IF(B4558="","",IFERROR(INDEX(Clay_Brands!$A$2:$FZ$601,507,Sync!$D$5)&amp;"",""))</f>
        <v/>
      </c>
      <c r="E4558" s="17">
        <f>IF(B4558="","",IFERROR(INDEX(Clay_Brands!$A$2:$FZ$601,507,Sync!$D$6)&amp;"",""))</f>
        <v/>
      </c>
      <c r="F4558" s="17">
        <f>IF(B4558="","","outreach_sent")</f>
        <v/>
      </c>
      <c r="G4558" s="17">
        <f>IF(B4558="","","")</f>
        <v/>
      </c>
      <c r="H4558" s="17">
        <f>IF(B4558="","","")</f>
        <v/>
      </c>
      <c r="I4558" s="17">
        <f>IF(B4558="","","")</f>
        <v/>
      </c>
      <c r="J4558" s="17">
        <f>IF(B4558="","","touch_2; "&amp;IFERROR(INDEX(Clay_Brands!$A$2:$FZ$601,507,Sync!$D$10)&amp;"","")&amp;"; "&amp;IFERROR(INDEX(Clay_Brands!$A$2:$FZ$601,507,Sync!$D$9)&amp;"",""))</f>
        <v/>
      </c>
      <c r="K4558" t="inlineStr">
        <is>
          <t>brand outreach touch 2</t>
        </is>
      </c>
    </row>
    <row r="4559">
      <c r="A4559" s="17">
        <f>IF(B4559="","",B4559+(16*1000+508)/10000000)</f>
        <v/>
      </c>
      <c r="B4559" s="23">
        <f>IF(AND(IFERROR(N(INDEX(Clay_Brands!$A$2:$FZ$601,508,Sync!$D$12)),0)&gt;0,IFERROR(INDEX(Clay_Brands!$A$2:$FZ$601,508,Sync!$D$5)&amp;"","")&lt;&gt;"",OR(LEFT(IFERROR(INDEX(Clay_Brands!$A$2:$FZ$601,508,Sync!$D$5)&amp;"",""),6)&lt;&gt;"SAMPLE",Config!$B$19="Y")),IFERROR(N(INDEX(Clay_Brands!$A$2:$FZ$601,508,Sync!$D$12)),0),"")</f>
        <v/>
      </c>
      <c r="C4559" s="17">
        <f>IF(B4559="","","brand")</f>
        <v/>
      </c>
      <c r="D4559" s="17">
        <f>IF(B4559="","",IFERROR(INDEX(Clay_Brands!$A$2:$FZ$601,508,Sync!$D$5)&amp;"",""))</f>
        <v/>
      </c>
      <c r="E4559" s="17">
        <f>IF(B4559="","",IFERROR(INDEX(Clay_Brands!$A$2:$FZ$601,508,Sync!$D$6)&amp;"",""))</f>
        <v/>
      </c>
      <c r="F4559" s="17">
        <f>IF(B4559="","","outreach_sent")</f>
        <v/>
      </c>
      <c r="G4559" s="17">
        <f>IF(B4559="","","")</f>
        <v/>
      </c>
      <c r="H4559" s="17">
        <f>IF(B4559="","","")</f>
        <v/>
      </c>
      <c r="I4559" s="17">
        <f>IF(B4559="","","")</f>
        <v/>
      </c>
      <c r="J4559" s="17">
        <f>IF(B4559="","","touch_2; "&amp;IFERROR(INDEX(Clay_Brands!$A$2:$FZ$601,508,Sync!$D$10)&amp;"","")&amp;"; "&amp;IFERROR(INDEX(Clay_Brands!$A$2:$FZ$601,508,Sync!$D$9)&amp;"",""))</f>
        <v/>
      </c>
      <c r="K4559" t="inlineStr">
        <is>
          <t>brand outreach touch 2</t>
        </is>
      </c>
    </row>
    <row r="4560">
      <c r="A4560" s="17">
        <f>IF(B4560="","",B4560+(16*1000+509)/10000000)</f>
        <v/>
      </c>
      <c r="B4560" s="23">
        <f>IF(AND(IFERROR(N(INDEX(Clay_Brands!$A$2:$FZ$601,509,Sync!$D$12)),0)&gt;0,IFERROR(INDEX(Clay_Brands!$A$2:$FZ$601,509,Sync!$D$5)&amp;"","")&lt;&gt;"",OR(LEFT(IFERROR(INDEX(Clay_Brands!$A$2:$FZ$601,509,Sync!$D$5)&amp;"",""),6)&lt;&gt;"SAMPLE",Config!$B$19="Y")),IFERROR(N(INDEX(Clay_Brands!$A$2:$FZ$601,509,Sync!$D$12)),0),"")</f>
        <v/>
      </c>
      <c r="C4560" s="17">
        <f>IF(B4560="","","brand")</f>
        <v/>
      </c>
      <c r="D4560" s="17">
        <f>IF(B4560="","",IFERROR(INDEX(Clay_Brands!$A$2:$FZ$601,509,Sync!$D$5)&amp;"",""))</f>
        <v/>
      </c>
      <c r="E4560" s="17">
        <f>IF(B4560="","",IFERROR(INDEX(Clay_Brands!$A$2:$FZ$601,509,Sync!$D$6)&amp;"",""))</f>
        <v/>
      </c>
      <c r="F4560" s="17">
        <f>IF(B4560="","","outreach_sent")</f>
        <v/>
      </c>
      <c r="G4560" s="17">
        <f>IF(B4560="","","")</f>
        <v/>
      </c>
      <c r="H4560" s="17">
        <f>IF(B4560="","","")</f>
        <v/>
      </c>
      <c r="I4560" s="17">
        <f>IF(B4560="","","")</f>
        <v/>
      </c>
      <c r="J4560" s="17">
        <f>IF(B4560="","","touch_2; "&amp;IFERROR(INDEX(Clay_Brands!$A$2:$FZ$601,509,Sync!$D$10)&amp;"","")&amp;"; "&amp;IFERROR(INDEX(Clay_Brands!$A$2:$FZ$601,509,Sync!$D$9)&amp;"",""))</f>
        <v/>
      </c>
      <c r="K4560" t="inlineStr">
        <is>
          <t>brand outreach touch 2</t>
        </is>
      </c>
    </row>
    <row r="4561">
      <c r="A4561" s="17">
        <f>IF(B4561="","",B4561+(16*1000+510)/10000000)</f>
        <v/>
      </c>
      <c r="B4561" s="23">
        <f>IF(AND(IFERROR(N(INDEX(Clay_Brands!$A$2:$FZ$601,510,Sync!$D$12)),0)&gt;0,IFERROR(INDEX(Clay_Brands!$A$2:$FZ$601,510,Sync!$D$5)&amp;"","")&lt;&gt;"",OR(LEFT(IFERROR(INDEX(Clay_Brands!$A$2:$FZ$601,510,Sync!$D$5)&amp;"",""),6)&lt;&gt;"SAMPLE",Config!$B$19="Y")),IFERROR(N(INDEX(Clay_Brands!$A$2:$FZ$601,510,Sync!$D$12)),0),"")</f>
        <v/>
      </c>
      <c r="C4561" s="17">
        <f>IF(B4561="","","brand")</f>
        <v/>
      </c>
      <c r="D4561" s="17">
        <f>IF(B4561="","",IFERROR(INDEX(Clay_Brands!$A$2:$FZ$601,510,Sync!$D$5)&amp;"",""))</f>
        <v/>
      </c>
      <c r="E4561" s="17">
        <f>IF(B4561="","",IFERROR(INDEX(Clay_Brands!$A$2:$FZ$601,510,Sync!$D$6)&amp;"",""))</f>
        <v/>
      </c>
      <c r="F4561" s="17">
        <f>IF(B4561="","","outreach_sent")</f>
        <v/>
      </c>
      <c r="G4561" s="17">
        <f>IF(B4561="","","")</f>
        <v/>
      </c>
      <c r="H4561" s="17">
        <f>IF(B4561="","","")</f>
        <v/>
      </c>
      <c r="I4561" s="17">
        <f>IF(B4561="","","")</f>
        <v/>
      </c>
      <c r="J4561" s="17">
        <f>IF(B4561="","","touch_2; "&amp;IFERROR(INDEX(Clay_Brands!$A$2:$FZ$601,510,Sync!$D$10)&amp;"","")&amp;"; "&amp;IFERROR(INDEX(Clay_Brands!$A$2:$FZ$601,510,Sync!$D$9)&amp;"",""))</f>
        <v/>
      </c>
      <c r="K4561" t="inlineStr">
        <is>
          <t>brand outreach touch 2</t>
        </is>
      </c>
    </row>
    <row r="4562">
      <c r="A4562" s="17">
        <f>IF(B4562="","",B4562+(16*1000+511)/10000000)</f>
        <v/>
      </c>
      <c r="B4562" s="23">
        <f>IF(AND(IFERROR(N(INDEX(Clay_Brands!$A$2:$FZ$601,511,Sync!$D$12)),0)&gt;0,IFERROR(INDEX(Clay_Brands!$A$2:$FZ$601,511,Sync!$D$5)&amp;"","")&lt;&gt;"",OR(LEFT(IFERROR(INDEX(Clay_Brands!$A$2:$FZ$601,511,Sync!$D$5)&amp;"",""),6)&lt;&gt;"SAMPLE",Config!$B$19="Y")),IFERROR(N(INDEX(Clay_Brands!$A$2:$FZ$601,511,Sync!$D$12)),0),"")</f>
        <v/>
      </c>
      <c r="C4562" s="17">
        <f>IF(B4562="","","brand")</f>
        <v/>
      </c>
      <c r="D4562" s="17">
        <f>IF(B4562="","",IFERROR(INDEX(Clay_Brands!$A$2:$FZ$601,511,Sync!$D$5)&amp;"",""))</f>
        <v/>
      </c>
      <c r="E4562" s="17">
        <f>IF(B4562="","",IFERROR(INDEX(Clay_Brands!$A$2:$FZ$601,511,Sync!$D$6)&amp;"",""))</f>
        <v/>
      </c>
      <c r="F4562" s="17">
        <f>IF(B4562="","","outreach_sent")</f>
        <v/>
      </c>
      <c r="G4562" s="17">
        <f>IF(B4562="","","")</f>
        <v/>
      </c>
      <c r="H4562" s="17">
        <f>IF(B4562="","","")</f>
        <v/>
      </c>
      <c r="I4562" s="17">
        <f>IF(B4562="","","")</f>
        <v/>
      </c>
      <c r="J4562" s="17">
        <f>IF(B4562="","","touch_2; "&amp;IFERROR(INDEX(Clay_Brands!$A$2:$FZ$601,511,Sync!$D$10)&amp;"","")&amp;"; "&amp;IFERROR(INDEX(Clay_Brands!$A$2:$FZ$601,511,Sync!$D$9)&amp;"",""))</f>
        <v/>
      </c>
      <c r="K4562" t="inlineStr">
        <is>
          <t>brand outreach touch 2</t>
        </is>
      </c>
    </row>
    <row r="4563">
      <c r="A4563" s="17">
        <f>IF(B4563="","",B4563+(16*1000+512)/10000000)</f>
        <v/>
      </c>
      <c r="B4563" s="23">
        <f>IF(AND(IFERROR(N(INDEX(Clay_Brands!$A$2:$FZ$601,512,Sync!$D$12)),0)&gt;0,IFERROR(INDEX(Clay_Brands!$A$2:$FZ$601,512,Sync!$D$5)&amp;"","")&lt;&gt;"",OR(LEFT(IFERROR(INDEX(Clay_Brands!$A$2:$FZ$601,512,Sync!$D$5)&amp;"",""),6)&lt;&gt;"SAMPLE",Config!$B$19="Y")),IFERROR(N(INDEX(Clay_Brands!$A$2:$FZ$601,512,Sync!$D$12)),0),"")</f>
        <v/>
      </c>
      <c r="C4563" s="17">
        <f>IF(B4563="","","brand")</f>
        <v/>
      </c>
      <c r="D4563" s="17">
        <f>IF(B4563="","",IFERROR(INDEX(Clay_Brands!$A$2:$FZ$601,512,Sync!$D$5)&amp;"",""))</f>
        <v/>
      </c>
      <c r="E4563" s="17">
        <f>IF(B4563="","",IFERROR(INDEX(Clay_Brands!$A$2:$FZ$601,512,Sync!$D$6)&amp;"",""))</f>
        <v/>
      </c>
      <c r="F4563" s="17">
        <f>IF(B4563="","","outreach_sent")</f>
        <v/>
      </c>
      <c r="G4563" s="17">
        <f>IF(B4563="","","")</f>
        <v/>
      </c>
      <c r="H4563" s="17">
        <f>IF(B4563="","","")</f>
        <v/>
      </c>
      <c r="I4563" s="17">
        <f>IF(B4563="","","")</f>
        <v/>
      </c>
      <c r="J4563" s="17">
        <f>IF(B4563="","","touch_2; "&amp;IFERROR(INDEX(Clay_Brands!$A$2:$FZ$601,512,Sync!$D$10)&amp;"","")&amp;"; "&amp;IFERROR(INDEX(Clay_Brands!$A$2:$FZ$601,512,Sync!$D$9)&amp;"",""))</f>
        <v/>
      </c>
      <c r="K4563" t="inlineStr">
        <is>
          <t>brand outreach touch 2</t>
        </is>
      </c>
    </row>
    <row r="4564">
      <c r="A4564" s="17">
        <f>IF(B4564="","",B4564+(16*1000+513)/10000000)</f>
        <v/>
      </c>
      <c r="B4564" s="23">
        <f>IF(AND(IFERROR(N(INDEX(Clay_Brands!$A$2:$FZ$601,513,Sync!$D$12)),0)&gt;0,IFERROR(INDEX(Clay_Brands!$A$2:$FZ$601,513,Sync!$D$5)&amp;"","")&lt;&gt;"",OR(LEFT(IFERROR(INDEX(Clay_Brands!$A$2:$FZ$601,513,Sync!$D$5)&amp;"",""),6)&lt;&gt;"SAMPLE",Config!$B$19="Y")),IFERROR(N(INDEX(Clay_Brands!$A$2:$FZ$601,513,Sync!$D$12)),0),"")</f>
        <v/>
      </c>
      <c r="C4564" s="17">
        <f>IF(B4564="","","brand")</f>
        <v/>
      </c>
      <c r="D4564" s="17">
        <f>IF(B4564="","",IFERROR(INDEX(Clay_Brands!$A$2:$FZ$601,513,Sync!$D$5)&amp;"",""))</f>
        <v/>
      </c>
      <c r="E4564" s="17">
        <f>IF(B4564="","",IFERROR(INDEX(Clay_Brands!$A$2:$FZ$601,513,Sync!$D$6)&amp;"",""))</f>
        <v/>
      </c>
      <c r="F4564" s="17">
        <f>IF(B4564="","","outreach_sent")</f>
        <v/>
      </c>
      <c r="G4564" s="17">
        <f>IF(B4564="","","")</f>
        <v/>
      </c>
      <c r="H4564" s="17">
        <f>IF(B4564="","","")</f>
        <v/>
      </c>
      <c r="I4564" s="17">
        <f>IF(B4564="","","")</f>
        <v/>
      </c>
      <c r="J4564" s="17">
        <f>IF(B4564="","","touch_2; "&amp;IFERROR(INDEX(Clay_Brands!$A$2:$FZ$601,513,Sync!$D$10)&amp;"","")&amp;"; "&amp;IFERROR(INDEX(Clay_Brands!$A$2:$FZ$601,513,Sync!$D$9)&amp;"",""))</f>
        <v/>
      </c>
      <c r="K4564" t="inlineStr">
        <is>
          <t>brand outreach touch 2</t>
        </is>
      </c>
    </row>
    <row r="4565">
      <c r="A4565" s="17">
        <f>IF(B4565="","",B4565+(16*1000+514)/10000000)</f>
        <v/>
      </c>
      <c r="B4565" s="23">
        <f>IF(AND(IFERROR(N(INDEX(Clay_Brands!$A$2:$FZ$601,514,Sync!$D$12)),0)&gt;0,IFERROR(INDEX(Clay_Brands!$A$2:$FZ$601,514,Sync!$D$5)&amp;"","")&lt;&gt;"",OR(LEFT(IFERROR(INDEX(Clay_Brands!$A$2:$FZ$601,514,Sync!$D$5)&amp;"",""),6)&lt;&gt;"SAMPLE",Config!$B$19="Y")),IFERROR(N(INDEX(Clay_Brands!$A$2:$FZ$601,514,Sync!$D$12)),0),"")</f>
        <v/>
      </c>
      <c r="C4565" s="17">
        <f>IF(B4565="","","brand")</f>
        <v/>
      </c>
      <c r="D4565" s="17">
        <f>IF(B4565="","",IFERROR(INDEX(Clay_Brands!$A$2:$FZ$601,514,Sync!$D$5)&amp;"",""))</f>
        <v/>
      </c>
      <c r="E4565" s="17">
        <f>IF(B4565="","",IFERROR(INDEX(Clay_Brands!$A$2:$FZ$601,514,Sync!$D$6)&amp;"",""))</f>
        <v/>
      </c>
      <c r="F4565" s="17">
        <f>IF(B4565="","","outreach_sent")</f>
        <v/>
      </c>
      <c r="G4565" s="17">
        <f>IF(B4565="","","")</f>
        <v/>
      </c>
      <c r="H4565" s="17">
        <f>IF(B4565="","","")</f>
        <v/>
      </c>
      <c r="I4565" s="17">
        <f>IF(B4565="","","")</f>
        <v/>
      </c>
      <c r="J4565" s="17">
        <f>IF(B4565="","","touch_2; "&amp;IFERROR(INDEX(Clay_Brands!$A$2:$FZ$601,514,Sync!$D$10)&amp;"","")&amp;"; "&amp;IFERROR(INDEX(Clay_Brands!$A$2:$FZ$601,514,Sync!$D$9)&amp;"",""))</f>
        <v/>
      </c>
      <c r="K4565" t="inlineStr">
        <is>
          <t>brand outreach touch 2</t>
        </is>
      </c>
    </row>
    <row r="4566">
      <c r="A4566" s="17">
        <f>IF(B4566="","",B4566+(16*1000+515)/10000000)</f>
        <v/>
      </c>
      <c r="B4566" s="23">
        <f>IF(AND(IFERROR(N(INDEX(Clay_Brands!$A$2:$FZ$601,515,Sync!$D$12)),0)&gt;0,IFERROR(INDEX(Clay_Brands!$A$2:$FZ$601,515,Sync!$D$5)&amp;"","")&lt;&gt;"",OR(LEFT(IFERROR(INDEX(Clay_Brands!$A$2:$FZ$601,515,Sync!$D$5)&amp;"",""),6)&lt;&gt;"SAMPLE",Config!$B$19="Y")),IFERROR(N(INDEX(Clay_Brands!$A$2:$FZ$601,515,Sync!$D$12)),0),"")</f>
        <v/>
      </c>
      <c r="C4566" s="17">
        <f>IF(B4566="","","brand")</f>
        <v/>
      </c>
      <c r="D4566" s="17">
        <f>IF(B4566="","",IFERROR(INDEX(Clay_Brands!$A$2:$FZ$601,515,Sync!$D$5)&amp;"",""))</f>
        <v/>
      </c>
      <c r="E4566" s="17">
        <f>IF(B4566="","",IFERROR(INDEX(Clay_Brands!$A$2:$FZ$601,515,Sync!$D$6)&amp;"",""))</f>
        <v/>
      </c>
      <c r="F4566" s="17">
        <f>IF(B4566="","","outreach_sent")</f>
        <v/>
      </c>
      <c r="G4566" s="17">
        <f>IF(B4566="","","")</f>
        <v/>
      </c>
      <c r="H4566" s="17">
        <f>IF(B4566="","","")</f>
        <v/>
      </c>
      <c r="I4566" s="17">
        <f>IF(B4566="","","")</f>
        <v/>
      </c>
      <c r="J4566" s="17">
        <f>IF(B4566="","","touch_2; "&amp;IFERROR(INDEX(Clay_Brands!$A$2:$FZ$601,515,Sync!$D$10)&amp;"","")&amp;"; "&amp;IFERROR(INDEX(Clay_Brands!$A$2:$FZ$601,515,Sync!$D$9)&amp;"",""))</f>
        <v/>
      </c>
      <c r="K4566" t="inlineStr">
        <is>
          <t>brand outreach touch 2</t>
        </is>
      </c>
    </row>
    <row r="4567">
      <c r="A4567" s="17">
        <f>IF(B4567="","",B4567+(16*1000+516)/10000000)</f>
        <v/>
      </c>
      <c r="B4567" s="23">
        <f>IF(AND(IFERROR(N(INDEX(Clay_Brands!$A$2:$FZ$601,516,Sync!$D$12)),0)&gt;0,IFERROR(INDEX(Clay_Brands!$A$2:$FZ$601,516,Sync!$D$5)&amp;"","")&lt;&gt;"",OR(LEFT(IFERROR(INDEX(Clay_Brands!$A$2:$FZ$601,516,Sync!$D$5)&amp;"",""),6)&lt;&gt;"SAMPLE",Config!$B$19="Y")),IFERROR(N(INDEX(Clay_Brands!$A$2:$FZ$601,516,Sync!$D$12)),0),"")</f>
        <v/>
      </c>
      <c r="C4567" s="17">
        <f>IF(B4567="","","brand")</f>
        <v/>
      </c>
      <c r="D4567" s="17">
        <f>IF(B4567="","",IFERROR(INDEX(Clay_Brands!$A$2:$FZ$601,516,Sync!$D$5)&amp;"",""))</f>
        <v/>
      </c>
      <c r="E4567" s="17">
        <f>IF(B4567="","",IFERROR(INDEX(Clay_Brands!$A$2:$FZ$601,516,Sync!$D$6)&amp;"",""))</f>
        <v/>
      </c>
      <c r="F4567" s="17">
        <f>IF(B4567="","","outreach_sent")</f>
        <v/>
      </c>
      <c r="G4567" s="17">
        <f>IF(B4567="","","")</f>
        <v/>
      </c>
      <c r="H4567" s="17">
        <f>IF(B4567="","","")</f>
        <v/>
      </c>
      <c r="I4567" s="17">
        <f>IF(B4567="","","")</f>
        <v/>
      </c>
      <c r="J4567" s="17">
        <f>IF(B4567="","","touch_2; "&amp;IFERROR(INDEX(Clay_Brands!$A$2:$FZ$601,516,Sync!$D$10)&amp;"","")&amp;"; "&amp;IFERROR(INDEX(Clay_Brands!$A$2:$FZ$601,516,Sync!$D$9)&amp;"",""))</f>
        <v/>
      </c>
      <c r="K4567" t="inlineStr">
        <is>
          <t>brand outreach touch 2</t>
        </is>
      </c>
    </row>
    <row r="4568">
      <c r="A4568" s="17">
        <f>IF(B4568="","",B4568+(16*1000+517)/10000000)</f>
        <v/>
      </c>
      <c r="B4568" s="23">
        <f>IF(AND(IFERROR(N(INDEX(Clay_Brands!$A$2:$FZ$601,517,Sync!$D$12)),0)&gt;0,IFERROR(INDEX(Clay_Brands!$A$2:$FZ$601,517,Sync!$D$5)&amp;"","")&lt;&gt;"",OR(LEFT(IFERROR(INDEX(Clay_Brands!$A$2:$FZ$601,517,Sync!$D$5)&amp;"",""),6)&lt;&gt;"SAMPLE",Config!$B$19="Y")),IFERROR(N(INDEX(Clay_Brands!$A$2:$FZ$601,517,Sync!$D$12)),0),"")</f>
        <v/>
      </c>
      <c r="C4568" s="17">
        <f>IF(B4568="","","brand")</f>
        <v/>
      </c>
      <c r="D4568" s="17">
        <f>IF(B4568="","",IFERROR(INDEX(Clay_Brands!$A$2:$FZ$601,517,Sync!$D$5)&amp;"",""))</f>
        <v/>
      </c>
      <c r="E4568" s="17">
        <f>IF(B4568="","",IFERROR(INDEX(Clay_Brands!$A$2:$FZ$601,517,Sync!$D$6)&amp;"",""))</f>
        <v/>
      </c>
      <c r="F4568" s="17">
        <f>IF(B4568="","","outreach_sent")</f>
        <v/>
      </c>
      <c r="G4568" s="17">
        <f>IF(B4568="","","")</f>
        <v/>
      </c>
      <c r="H4568" s="17">
        <f>IF(B4568="","","")</f>
        <v/>
      </c>
      <c r="I4568" s="17">
        <f>IF(B4568="","","")</f>
        <v/>
      </c>
      <c r="J4568" s="17">
        <f>IF(B4568="","","touch_2; "&amp;IFERROR(INDEX(Clay_Brands!$A$2:$FZ$601,517,Sync!$D$10)&amp;"","")&amp;"; "&amp;IFERROR(INDEX(Clay_Brands!$A$2:$FZ$601,517,Sync!$D$9)&amp;"",""))</f>
        <v/>
      </c>
      <c r="K4568" t="inlineStr">
        <is>
          <t>brand outreach touch 2</t>
        </is>
      </c>
    </row>
    <row r="4569">
      <c r="A4569" s="17">
        <f>IF(B4569="","",B4569+(16*1000+518)/10000000)</f>
        <v/>
      </c>
      <c r="B4569" s="23">
        <f>IF(AND(IFERROR(N(INDEX(Clay_Brands!$A$2:$FZ$601,518,Sync!$D$12)),0)&gt;0,IFERROR(INDEX(Clay_Brands!$A$2:$FZ$601,518,Sync!$D$5)&amp;"","")&lt;&gt;"",OR(LEFT(IFERROR(INDEX(Clay_Brands!$A$2:$FZ$601,518,Sync!$D$5)&amp;"",""),6)&lt;&gt;"SAMPLE",Config!$B$19="Y")),IFERROR(N(INDEX(Clay_Brands!$A$2:$FZ$601,518,Sync!$D$12)),0),"")</f>
        <v/>
      </c>
      <c r="C4569" s="17">
        <f>IF(B4569="","","brand")</f>
        <v/>
      </c>
      <c r="D4569" s="17">
        <f>IF(B4569="","",IFERROR(INDEX(Clay_Brands!$A$2:$FZ$601,518,Sync!$D$5)&amp;"",""))</f>
        <v/>
      </c>
      <c r="E4569" s="17">
        <f>IF(B4569="","",IFERROR(INDEX(Clay_Brands!$A$2:$FZ$601,518,Sync!$D$6)&amp;"",""))</f>
        <v/>
      </c>
      <c r="F4569" s="17">
        <f>IF(B4569="","","outreach_sent")</f>
        <v/>
      </c>
      <c r="G4569" s="17">
        <f>IF(B4569="","","")</f>
        <v/>
      </c>
      <c r="H4569" s="17">
        <f>IF(B4569="","","")</f>
        <v/>
      </c>
      <c r="I4569" s="17">
        <f>IF(B4569="","","")</f>
        <v/>
      </c>
      <c r="J4569" s="17">
        <f>IF(B4569="","","touch_2; "&amp;IFERROR(INDEX(Clay_Brands!$A$2:$FZ$601,518,Sync!$D$10)&amp;"","")&amp;"; "&amp;IFERROR(INDEX(Clay_Brands!$A$2:$FZ$601,518,Sync!$D$9)&amp;"",""))</f>
        <v/>
      </c>
      <c r="K4569" t="inlineStr">
        <is>
          <t>brand outreach touch 2</t>
        </is>
      </c>
    </row>
    <row r="4570">
      <c r="A4570" s="17">
        <f>IF(B4570="","",B4570+(16*1000+519)/10000000)</f>
        <v/>
      </c>
      <c r="B4570" s="23">
        <f>IF(AND(IFERROR(N(INDEX(Clay_Brands!$A$2:$FZ$601,519,Sync!$D$12)),0)&gt;0,IFERROR(INDEX(Clay_Brands!$A$2:$FZ$601,519,Sync!$D$5)&amp;"","")&lt;&gt;"",OR(LEFT(IFERROR(INDEX(Clay_Brands!$A$2:$FZ$601,519,Sync!$D$5)&amp;"",""),6)&lt;&gt;"SAMPLE",Config!$B$19="Y")),IFERROR(N(INDEX(Clay_Brands!$A$2:$FZ$601,519,Sync!$D$12)),0),"")</f>
        <v/>
      </c>
      <c r="C4570" s="17">
        <f>IF(B4570="","","brand")</f>
        <v/>
      </c>
      <c r="D4570" s="17">
        <f>IF(B4570="","",IFERROR(INDEX(Clay_Brands!$A$2:$FZ$601,519,Sync!$D$5)&amp;"",""))</f>
        <v/>
      </c>
      <c r="E4570" s="17">
        <f>IF(B4570="","",IFERROR(INDEX(Clay_Brands!$A$2:$FZ$601,519,Sync!$D$6)&amp;"",""))</f>
        <v/>
      </c>
      <c r="F4570" s="17">
        <f>IF(B4570="","","outreach_sent")</f>
        <v/>
      </c>
      <c r="G4570" s="17">
        <f>IF(B4570="","","")</f>
        <v/>
      </c>
      <c r="H4570" s="17">
        <f>IF(B4570="","","")</f>
        <v/>
      </c>
      <c r="I4570" s="17">
        <f>IF(B4570="","","")</f>
        <v/>
      </c>
      <c r="J4570" s="17">
        <f>IF(B4570="","","touch_2; "&amp;IFERROR(INDEX(Clay_Brands!$A$2:$FZ$601,519,Sync!$D$10)&amp;"","")&amp;"; "&amp;IFERROR(INDEX(Clay_Brands!$A$2:$FZ$601,519,Sync!$D$9)&amp;"",""))</f>
        <v/>
      </c>
      <c r="K4570" t="inlineStr">
        <is>
          <t>brand outreach touch 2</t>
        </is>
      </c>
    </row>
    <row r="4571">
      <c r="A4571" s="17">
        <f>IF(B4571="","",B4571+(16*1000+520)/10000000)</f>
        <v/>
      </c>
      <c r="B4571" s="23">
        <f>IF(AND(IFERROR(N(INDEX(Clay_Brands!$A$2:$FZ$601,520,Sync!$D$12)),0)&gt;0,IFERROR(INDEX(Clay_Brands!$A$2:$FZ$601,520,Sync!$D$5)&amp;"","")&lt;&gt;"",OR(LEFT(IFERROR(INDEX(Clay_Brands!$A$2:$FZ$601,520,Sync!$D$5)&amp;"",""),6)&lt;&gt;"SAMPLE",Config!$B$19="Y")),IFERROR(N(INDEX(Clay_Brands!$A$2:$FZ$601,520,Sync!$D$12)),0),"")</f>
        <v/>
      </c>
      <c r="C4571" s="17">
        <f>IF(B4571="","","brand")</f>
        <v/>
      </c>
      <c r="D4571" s="17">
        <f>IF(B4571="","",IFERROR(INDEX(Clay_Brands!$A$2:$FZ$601,520,Sync!$D$5)&amp;"",""))</f>
        <v/>
      </c>
      <c r="E4571" s="17">
        <f>IF(B4571="","",IFERROR(INDEX(Clay_Brands!$A$2:$FZ$601,520,Sync!$D$6)&amp;"",""))</f>
        <v/>
      </c>
      <c r="F4571" s="17">
        <f>IF(B4571="","","outreach_sent")</f>
        <v/>
      </c>
      <c r="G4571" s="17">
        <f>IF(B4571="","","")</f>
        <v/>
      </c>
      <c r="H4571" s="17">
        <f>IF(B4571="","","")</f>
        <v/>
      </c>
      <c r="I4571" s="17">
        <f>IF(B4571="","","")</f>
        <v/>
      </c>
      <c r="J4571" s="17">
        <f>IF(B4571="","","touch_2; "&amp;IFERROR(INDEX(Clay_Brands!$A$2:$FZ$601,520,Sync!$D$10)&amp;"","")&amp;"; "&amp;IFERROR(INDEX(Clay_Brands!$A$2:$FZ$601,520,Sync!$D$9)&amp;"",""))</f>
        <v/>
      </c>
      <c r="K4571" t="inlineStr">
        <is>
          <t>brand outreach touch 2</t>
        </is>
      </c>
    </row>
    <row r="4572">
      <c r="A4572" s="17">
        <f>IF(B4572="","",B4572+(16*1000+521)/10000000)</f>
        <v/>
      </c>
      <c r="B4572" s="23">
        <f>IF(AND(IFERROR(N(INDEX(Clay_Brands!$A$2:$FZ$601,521,Sync!$D$12)),0)&gt;0,IFERROR(INDEX(Clay_Brands!$A$2:$FZ$601,521,Sync!$D$5)&amp;"","")&lt;&gt;"",OR(LEFT(IFERROR(INDEX(Clay_Brands!$A$2:$FZ$601,521,Sync!$D$5)&amp;"",""),6)&lt;&gt;"SAMPLE",Config!$B$19="Y")),IFERROR(N(INDEX(Clay_Brands!$A$2:$FZ$601,521,Sync!$D$12)),0),"")</f>
        <v/>
      </c>
      <c r="C4572" s="17">
        <f>IF(B4572="","","brand")</f>
        <v/>
      </c>
      <c r="D4572" s="17">
        <f>IF(B4572="","",IFERROR(INDEX(Clay_Brands!$A$2:$FZ$601,521,Sync!$D$5)&amp;"",""))</f>
        <v/>
      </c>
      <c r="E4572" s="17">
        <f>IF(B4572="","",IFERROR(INDEX(Clay_Brands!$A$2:$FZ$601,521,Sync!$D$6)&amp;"",""))</f>
        <v/>
      </c>
      <c r="F4572" s="17">
        <f>IF(B4572="","","outreach_sent")</f>
        <v/>
      </c>
      <c r="G4572" s="17">
        <f>IF(B4572="","","")</f>
        <v/>
      </c>
      <c r="H4572" s="17">
        <f>IF(B4572="","","")</f>
        <v/>
      </c>
      <c r="I4572" s="17">
        <f>IF(B4572="","","")</f>
        <v/>
      </c>
      <c r="J4572" s="17">
        <f>IF(B4572="","","touch_2; "&amp;IFERROR(INDEX(Clay_Brands!$A$2:$FZ$601,521,Sync!$D$10)&amp;"","")&amp;"; "&amp;IFERROR(INDEX(Clay_Brands!$A$2:$FZ$601,521,Sync!$D$9)&amp;"",""))</f>
        <v/>
      </c>
      <c r="K4572" t="inlineStr">
        <is>
          <t>brand outreach touch 2</t>
        </is>
      </c>
    </row>
    <row r="4573">
      <c r="A4573" s="17">
        <f>IF(B4573="","",B4573+(16*1000+522)/10000000)</f>
        <v/>
      </c>
      <c r="B4573" s="23">
        <f>IF(AND(IFERROR(N(INDEX(Clay_Brands!$A$2:$FZ$601,522,Sync!$D$12)),0)&gt;0,IFERROR(INDEX(Clay_Brands!$A$2:$FZ$601,522,Sync!$D$5)&amp;"","")&lt;&gt;"",OR(LEFT(IFERROR(INDEX(Clay_Brands!$A$2:$FZ$601,522,Sync!$D$5)&amp;"",""),6)&lt;&gt;"SAMPLE",Config!$B$19="Y")),IFERROR(N(INDEX(Clay_Brands!$A$2:$FZ$601,522,Sync!$D$12)),0),"")</f>
        <v/>
      </c>
      <c r="C4573" s="17">
        <f>IF(B4573="","","brand")</f>
        <v/>
      </c>
      <c r="D4573" s="17">
        <f>IF(B4573="","",IFERROR(INDEX(Clay_Brands!$A$2:$FZ$601,522,Sync!$D$5)&amp;"",""))</f>
        <v/>
      </c>
      <c r="E4573" s="17">
        <f>IF(B4573="","",IFERROR(INDEX(Clay_Brands!$A$2:$FZ$601,522,Sync!$D$6)&amp;"",""))</f>
        <v/>
      </c>
      <c r="F4573" s="17">
        <f>IF(B4573="","","outreach_sent")</f>
        <v/>
      </c>
      <c r="G4573" s="17">
        <f>IF(B4573="","","")</f>
        <v/>
      </c>
      <c r="H4573" s="17">
        <f>IF(B4573="","","")</f>
        <v/>
      </c>
      <c r="I4573" s="17">
        <f>IF(B4573="","","")</f>
        <v/>
      </c>
      <c r="J4573" s="17">
        <f>IF(B4573="","","touch_2; "&amp;IFERROR(INDEX(Clay_Brands!$A$2:$FZ$601,522,Sync!$D$10)&amp;"","")&amp;"; "&amp;IFERROR(INDEX(Clay_Brands!$A$2:$FZ$601,522,Sync!$D$9)&amp;"",""))</f>
        <v/>
      </c>
      <c r="K4573" t="inlineStr">
        <is>
          <t>brand outreach touch 2</t>
        </is>
      </c>
    </row>
    <row r="4574">
      <c r="A4574" s="17">
        <f>IF(B4574="","",B4574+(16*1000+523)/10000000)</f>
        <v/>
      </c>
      <c r="B4574" s="23">
        <f>IF(AND(IFERROR(N(INDEX(Clay_Brands!$A$2:$FZ$601,523,Sync!$D$12)),0)&gt;0,IFERROR(INDEX(Clay_Brands!$A$2:$FZ$601,523,Sync!$D$5)&amp;"","")&lt;&gt;"",OR(LEFT(IFERROR(INDEX(Clay_Brands!$A$2:$FZ$601,523,Sync!$D$5)&amp;"",""),6)&lt;&gt;"SAMPLE",Config!$B$19="Y")),IFERROR(N(INDEX(Clay_Brands!$A$2:$FZ$601,523,Sync!$D$12)),0),"")</f>
        <v/>
      </c>
      <c r="C4574" s="17">
        <f>IF(B4574="","","brand")</f>
        <v/>
      </c>
      <c r="D4574" s="17">
        <f>IF(B4574="","",IFERROR(INDEX(Clay_Brands!$A$2:$FZ$601,523,Sync!$D$5)&amp;"",""))</f>
        <v/>
      </c>
      <c r="E4574" s="17">
        <f>IF(B4574="","",IFERROR(INDEX(Clay_Brands!$A$2:$FZ$601,523,Sync!$D$6)&amp;"",""))</f>
        <v/>
      </c>
      <c r="F4574" s="17">
        <f>IF(B4574="","","outreach_sent")</f>
        <v/>
      </c>
      <c r="G4574" s="17">
        <f>IF(B4574="","","")</f>
        <v/>
      </c>
      <c r="H4574" s="17">
        <f>IF(B4574="","","")</f>
        <v/>
      </c>
      <c r="I4574" s="17">
        <f>IF(B4574="","","")</f>
        <v/>
      </c>
      <c r="J4574" s="17">
        <f>IF(B4574="","","touch_2; "&amp;IFERROR(INDEX(Clay_Brands!$A$2:$FZ$601,523,Sync!$D$10)&amp;"","")&amp;"; "&amp;IFERROR(INDEX(Clay_Brands!$A$2:$FZ$601,523,Sync!$D$9)&amp;"",""))</f>
        <v/>
      </c>
      <c r="K4574" t="inlineStr">
        <is>
          <t>brand outreach touch 2</t>
        </is>
      </c>
    </row>
    <row r="4575">
      <c r="A4575" s="17">
        <f>IF(B4575="","",B4575+(16*1000+524)/10000000)</f>
        <v/>
      </c>
      <c r="B4575" s="23">
        <f>IF(AND(IFERROR(N(INDEX(Clay_Brands!$A$2:$FZ$601,524,Sync!$D$12)),0)&gt;0,IFERROR(INDEX(Clay_Brands!$A$2:$FZ$601,524,Sync!$D$5)&amp;"","")&lt;&gt;"",OR(LEFT(IFERROR(INDEX(Clay_Brands!$A$2:$FZ$601,524,Sync!$D$5)&amp;"",""),6)&lt;&gt;"SAMPLE",Config!$B$19="Y")),IFERROR(N(INDEX(Clay_Brands!$A$2:$FZ$601,524,Sync!$D$12)),0),"")</f>
        <v/>
      </c>
      <c r="C4575" s="17">
        <f>IF(B4575="","","brand")</f>
        <v/>
      </c>
      <c r="D4575" s="17">
        <f>IF(B4575="","",IFERROR(INDEX(Clay_Brands!$A$2:$FZ$601,524,Sync!$D$5)&amp;"",""))</f>
        <v/>
      </c>
      <c r="E4575" s="17">
        <f>IF(B4575="","",IFERROR(INDEX(Clay_Brands!$A$2:$FZ$601,524,Sync!$D$6)&amp;"",""))</f>
        <v/>
      </c>
      <c r="F4575" s="17">
        <f>IF(B4575="","","outreach_sent")</f>
        <v/>
      </c>
      <c r="G4575" s="17">
        <f>IF(B4575="","","")</f>
        <v/>
      </c>
      <c r="H4575" s="17">
        <f>IF(B4575="","","")</f>
        <v/>
      </c>
      <c r="I4575" s="17">
        <f>IF(B4575="","","")</f>
        <v/>
      </c>
      <c r="J4575" s="17">
        <f>IF(B4575="","","touch_2; "&amp;IFERROR(INDEX(Clay_Brands!$A$2:$FZ$601,524,Sync!$D$10)&amp;"","")&amp;"; "&amp;IFERROR(INDEX(Clay_Brands!$A$2:$FZ$601,524,Sync!$D$9)&amp;"",""))</f>
        <v/>
      </c>
      <c r="K4575" t="inlineStr">
        <is>
          <t>brand outreach touch 2</t>
        </is>
      </c>
    </row>
    <row r="4576">
      <c r="A4576" s="17">
        <f>IF(B4576="","",B4576+(16*1000+525)/10000000)</f>
        <v/>
      </c>
      <c r="B4576" s="23">
        <f>IF(AND(IFERROR(N(INDEX(Clay_Brands!$A$2:$FZ$601,525,Sync!$D$12)),0)&gt;0,IFERROR(INDEX(Clay_Brands!$A$2:$FZ$601,525,Sync!$D$5)&amp;"","")&lt;&gt;"",OR(LEFT(IFERROR(INDEX(Clay_Brands!$A$2:$FZ$601,525,Sync!$D$5)&amp;"",""),6)&lt;&gt;"SAMPLE",Config!$B$19="Y")),IFERROR(N(INDEX(Clay_Brands!$A$2:$FZ$601,525,Sync!$D$12)),0),"")</f>
        <v/>
      </c>
      <c r="C4576" s="17">
        <f>IF(B4576="","","brand")</f>
        <v/>
      </c>
      <c r="D4576" s="17">
        <f>IF(B4576="","",IFERROR(INDEX(Clay_Brands!$A$2:$FZ$601,525,Sync!$D$5)&amp;"",""))</f>
        <v/>
      </c>
      <c r="E4576" s="17">
        <f>IF(B4576="","",IFERROR(INDEX(Clay_Brands!$A$2:$FZ$601,525,Sync!$D$6)&amp;"",""))</f>
        <v/>
      </c>
      <c r="F4576" s="17">
        <f>IF(B4576="","","outreach_sent")</f>
        <v/>
      </c>
      <c r="G4576" s="17">
        <f>IF(B4576="","","")</f>
        <v/>
      </c>
      <c r="H4576" s="17">
        <f>IF(B4576="","","")</f>
        <v/>
      </c>
      <c r="I4576" s="17">
        <f>IF(B4576="","","")</f>
        <v/>
      </c>
      <c r="J4576" s="17">
        <f>IF(B4576="","","touch_2; "&amp;IFERROR(INDEX(Clay_Brands!$A$2:$FZ$601,525,Sync!$D$10)&amp;"","")&amp;"; "&amp;IFERROR(INDEX(Clay_Brands!$A$2:$FZ$601,525,Sync!$D$9)&amp;"",""))</f>
        <v/>
      </c>
      <c r="K4576" t="inlineStr">
        <is>
          <t>brand outreach touch 2</t>
        </is>
      </c>
    </row>
    <row r="4577">
      <c r="A4577" s="17">
        <f>IF(B4577="","",B4577+(16*1000+526)/10000000)</f>
        <v/>
      </c>
      <c r="B4577" s="23">
        <f>IF(AND(IFERROR(N(INDEX(Clay_Brands!$A$2:$FZ$601,526,Sync!$D$12)),0)&gt;0,IFERROR(INDEX(Clay_Brands!$A$2:$FZ$601,526,Sync!$D$5)&amp;"","")&lt;&gt;"",OR(LEFT(IFERROR(INDEX(Clay_Brands!$A$2:$FZ$601,526,Sync!$D$5)&amp;"",""),6)&lt;&gt;"SAMPLE",Config!$B$19="Y")),IFERROR(N(INDEX(Clay_Brands!$A$2:$FZ$601,526,Sync!$D$12)),0),"")</f>
        <v/>
      </c>
      <c r="C4577" s="17">
        <f>IF(B4577="","","brand")</f>
        <v/>
      </c>
      <c r="D4577" s="17">
        <f>IF(B4577="","",IFERROR(INDEX(Clay_Brands!$A$2:$FZ$601,526,Sync!$D$5)&amp;"",""))</f>
        <v/>
      </c>
      <c r="E4577" s="17">
        <f>IF(B4577="","",IFERROR(INDEX(Clay_Brands!$A$2:$FZ$601,526,Sync!$D$6)&amp;"",""))</f>
        <v/>
      </c>
      <c r="F4577" s="17">
        <f>IF(B4577="","","outreach_sent")</f>
        <v/>
      </c>
      <c r="G4577" s="17">
        <f>IF(B4577="","","")</f>
        <v/>
      </c>
      <c r="H4577" s="17">
        <f>IF(B4577="","","")</f>
        <v/>
      </c>
      <c r="I4577" s="17">
        <f>IF(B4577="","","")</f>
        <v/>
      </c>
      <c r="J4577" s="17">
        <f>IF(B4577="","","touch_2; "&amp;IFERROR(INDEX(Clay_Brands!$A$2:$FZ$601,526,Sync!$D$10)&amp;"","")&amp;"; "&amp;IFERROR(INDEX(Clay_Brands!$A$2:$FZ$601,526,Sync!$D$9)&amp;"",""))</f>
        <v/>
      </c>
      <c r="K4577" t="inlineStr">
        <is>
          <t>brand outreach touch 2</t>
        </is>
      </c>
    </row>
    <row r="4578">
      <c r="A4578" s="17">
        <f>IF(B4578="","",B4578+(16*1000+527)/10000000)</f>
        <v/>
      </c>
      <c r="B4578" s="23">
        <f>IF(AND(IFERROR(N(INDEX(Clay_Brands!$A$2:$FZ$601,527,Sync!$D$12)),0)&gt;0,IFERROR(INDEX(Clay_Brands!$A$2:$FZ$601,527,Sync!$D$5)&amp;"","")&lt;&gt;"",OR(LEFT(IFERROR(INDEX(Clay_Brands!$A$2:$FZ$601,527,Sync!$D$5)&amp;"",""),6)&lt;&gt;"SAMPLE",Config!$B$19="Y")),IFERROR(N(INDEX(Clay_Brands!$A$2:$FZ$601,527,Sync!$D$12)),0),"")</f>
        <v/>
      </c>
      <c r="C4578" s="17">
        <f>IF(B4578="","","brand")</f>
        <v/>
      </c>
      <c r="D4578" s="17">
        <f>IF(B4578="","",IFERROR(INDEX(Clay_Brands!$A$2:$FZ$601,527,Sync!$D$5)&amp;"",""))</f>
        <v/>
      </c>
      <c r="E4578" s="17">
        <f>IF(B4578="","",IFERROR(INDEX(Clay_Brands!$A$2:$FZ$601,527,Sync!$D$6)&amp;"",""))</f>
        <v/>
      </c>
      <c r="F4578" s="17">
        <f>IF(B4578="","","outreach_sent")</f>
        <v/>
      </c>
      <c r="G4578" s="17">
        <f>IF(B4578="","","")</f>
        <v/>
      </c>
      <c r="H4578" s="17">
        <f>IF(B4578="","","")</f>
        <v/>
      </c>
      <c r="I4578" s="17">
        <f>IF(B4578="","","")</f>
        <v/>
      </c>
      <c r="J4578" s="17">
        <f>IF(B4578="","","touch_2; "&amp;IFERROR(INDEX(Clay_Brands!$A$2:$FZ$601,527,Sync!$D$10)&amp;"","")&amp;"; "&amp;IFERROR(INDEX(Clay_Brands!$A$2:$FZ$601,527,Sync!$D$9)&amp;"",""))</f>
        <v/>
      </c>
      <c r="K4578" t="inlineStr">
        <is>
          <t>brand outreach touch 2</t>
        </is>
      </c>
    </row>
    <row r="4579">
      <c r="A4579" s="17">
        <f>IF(B4579="","",B4579+(16*1000+528)/10000000)</f>
        <v/>
      </c>
      <c r="B4579" s="23">
        <f>IF(AND(IFERROR(N(INDEX(Clay_Brands!$A$2:$FZ$601,528,Sync!$D$12)),0)&gt;0,IFERROR(INDEX(Clay_Brands!$A$2:$FZ$601,528,Sync!$D$5)&amp;"","")&lt;&gt;"",OR(LEFT(IFERROR(INDEX(Clay_Brands!$A$2:$FZ$601,528,Sync!$D$5)&amp;"",""),6)&lt;&gt;"SAMPLE",Config!$B$19="Y")),IFERROR(N(INDEX(Clay_Brands!$A$2:$FZ$601,528,Sync!$D$12)),0),"")</f>
        <v/>
      </c>
      <c r="C4579" s="17">
        <f>IF(B4579="","","brand")</f>
        <v/>
      </c>
      <c r="D4579" s="17">
        <f>IF(B4579="","",IFERROR(INDEX(Clay_Brands!$A$2:$FZ$601,528,Sync!$D$5)&amp;"",""))</f>
        <v/>
      </c>
      <c r="E4579" s="17">
        <f>IF(B4579="","",IFERROR(INDEX(Clay_Brands!$A$2:$FZ$601,528,Sync!$D$6)&amp;"",""))</f>
        <v/>
      </c>
      <c r="F4579" s="17">
        <f>IF(B4579="","","outreach_sent")</f>
        <v/>
      </c>
      <c r="G4579" s="17">
        <f>IF(B4579="","","")</f>
        <v/>
      </c>
      <c r="H4579" s="17">
        <f>IF(B4579="","","")</f>
        <v/>
      </c>
      <c r="I4579" s="17">
        <f>IF(B4579="","","")</f>
        <v/>
      </c>
      <c r="J4579" s="17">
        <f>IF(B4579="","","touch_2; "&amp;IFERROR(INDEX(Clay_Brands!$A$2:$FZ$601,528,Sync!$D$10)&amp;"","")&amp;"; "&amp;IFERROR(INDEX(Clay_Brands!$A$2:$FZ$601,528,Sync!$D$9)&amp;"",""))</f>
        <v/>
      </c>
      <c r="K4579" t="inlineStr">
        <is>
          <t>brand outreach touch 2</t>
        </is>
      </c>
    </row>
    <row r="4580">
      <c r="A4580" s="17">
        <f>IF(B4580="","",B4580+(16*1000+529)/10000000)</f>
        <v/>
      </c>
      <c r="B4580" s="23">
        <f>IF(AND(IFERROR(N(INDEX(Clay_Brands!$A$2:$FZ$601,529,Sync!$D$12)),0)&gt;0,IFERROR(INDEX(Clay_Brands!$A$2:$FZ$601,529,Sync!$D$5)&amp;"","")&lt;&gt;"",OR(LEFT(IFERROR(INDEX(Clay_Brands!$A$2:$FZ$601,529,Sync!$D$5)&amp;"",""),6)&lt;&gt;"SAMPLE",Config!$B$19="Y")),IFERROR(N(INDEX(Clay_Brands!$A$2:$FZ$601,529,Sync!$D$12)),0),"")</f>
        <v/>
      </c>
      <c r="C4580" s="17">
        <f>IF(B4580="","","brand")</f>
        <v/>
      </c>
      <c r="D4580" s="17">
        <f>IF(B4580="","",IFERROR(INDEX(Clay_Brands!$A$2:$FZ$601,529,Sync!$D$5)&amp;"",""))</f>
        <v/>
      </c>
      <c r="E4580" s="17">
        <f>IF(B4580="","",IFERROR(INDEX(Clay_Brands!$A$2:$FZ$601,529,Sync!$D$6)&amp;"",""))</f>
        <v/>
      </c>
      <c r="F4580" s="17">
        <f>IF(B4580="","","outreach_sent")</f>
        <v/>
      </c>
      <c r="G4580" s="17">
        <f>IF(B4580="","","")</f>
        <v/>
      </c>
      <c r="H4580" s="17">
        <f>IF(B4580="","","")</f>
        <v/>
      </c>
      <c r="I4580" s="17">
        <f>IF(B4580="","","")</f>
        <v/>
      </c>
      <c r="J4580" s="17">
        <f>IF(B4580="","","touch_2; "&amp;IFERROR(INDEX(Clay_Brands!$A$2:$FZ$601,529,Sync!$D$10)&amp;"","")&amp;"; "&amp;IFERROR(INDEX(Clay_Brands!$A$2:$FZ$601,529,Sync!$D$9)&amp;"",""))</f>
        <v/>
      </c>
      <c r="K4580" t="inlineStr">
        <is>
          <t>brand outreach touch 2</t>
        </is>
      </c>
    </row>
    <row r="4581">
      <c r="A4581" s="17">
        <f>IF(B4581="","",B4581+(16*1000+530)/10000000)</f>
        <v/>
      </c>
      <c r="B4581" s="23">
        <f>IF(AND(IFERROR(N(INDEX(Clay_Brands!$A$2:$FZ$601,530,Sync!$D$12)),0)&gt;0,IFERROR(INDEX(Clay_Brands!$A$2:$FZ$601,530,Sync!$D$5)&amp;"","")&lt;&gt;"",OR(LEFT(IFERROR(INDEX(Clay_Brands!$A$2:$FZ$601,530,Sync!$D$5)&amp;"",""),6)&lt;&gt;"SAMPLE",Config!$B$19="Y")),IFERROR(N(INDEX(Clay_Brands!$A$2:$FZ$601,530,Sync!$D$12)),0),"")</f>
        <v/>
      </c>
      <c r="C4581" s="17">
        <f>IF(B4581="","","brand")</f>
        <v/>
      </c>
      <c r="D4581" s="17">
        <f>IF(B4581="","",IFERROR(INDEX(Clay_Brands!$A$2:$FZ$601,530,Sync!$D$5)&amp;"",""))</f>
        <v/>
      </c>
      <c r="E4581" s="17">
        <f>IF(B4581="","",IFERROR(INDEX(Clay_Brands!$A$2:$FZ$601,530,Sync!$D$6)&amp;"",""))</f>
        <v/>
      </c>
      <c r="F4581" s="17">
        <f>IF(B4581="","","outreach_sent")</f>
        <v/>
      </c>
      <c r="G4581" s="17">
        <f>IF(B4581="","","")</f>
        <v/>
      </c>
      <c r="H4581" s="17">
        <f>IF(B4581="","","")</f>
        <v/>
      </c>
      <c r="I4581" s="17">
        <f>IF(B4581="","","")</f>
        <v/>
      </c>
      <c r="J4581" s="17">
        <f>IF(B4581="","","touch_2; "&amp;IFERROR(INDEX(Clay_Brands!$A$2:$FZ$601,530,Sync!$D$10)&amp;"","")&amp;"; "&amp;IFERROR(INDEX(Clay_Brands!$A$2:$FZ$601,530,Sync!$D$9)&amp;"",""))</f>
        <v/>
      </c>
      <c r="K4581" t="inlineStr">
        <is>
          <t>brand outreach touch 2</t>
        </is>
      </c>
    </row>
    <row r="4582">
      <c r="A4582" s="17">
        <f>IF(B4582="","",B4582+(16*1000+531)/10000000)</f>
        <v/>
      </c>
      <c r="B4582" s="23">
        <f>IF(AND(IFERROR(N(INDEX(Clay_Brands!$A$2:$FZ$601,531,Sync!$D$12)),0)&gt;0,IFERROR(INDEX(Clay_Brands!$A$2:$FZ$601,531,Sync!$D$5)&amp;"","")&lt;&gt;"",OR(LEFT(IFERROR(INDEX(Clay_Brands!$A$2:$FZ$601,531,Sync!$D$5)&amp;"",""),6)&lt;&gt;"SAMPLE",Config!$B$19="Y")),IFERROR(N(INDEX(Clay_Brands!$A$2:$FZ$601,531,Sync!$D$12)),0),"")</f>
        <v/>
      </c>
      <c r="C4582" s="17">
        <f>IF(B4582="","","brand")</f>
        <v/>
      </c>
      <c r="D4582" s="17">
        <f>IF(B4582="","",IFERROR(INDEX(Clay_Brands!$A$2:$FZ$601,531,Sync!$D$5)&amp;"",""))</f>
        <v/>
      </c>
      <c r="E4582" s="17">
        <f>IF(B4582="","",IFERROR(INDEX(Clay_Brands!$A$2:$FZ$601,531,Sync!$D$6)&amp;"",""))</f>
        <v/>
      </c>
      <c r="F4582" s="17">
        <f>IF(B4582="","","outreach_sent")</f>
        <v/>
      </c>
      <c r="G4582" s="17">
        <f>IF(B4582="","","")</f>
        <v/>
      </c>
      <c r="H4582" s="17">
        <f>IF(B4582="","","")</f>
        <v/>
      </c>
      <c r="I4582" s="17">
        <f>IF(B4582="","","")</f>
        <v/>
      </c>
      <c r="J4582" s="17">
        <f>IF(B4582="","","touch_2; "&amp;IFERROR(INDEX(Clay_Brands!$A$2:$FZ$601,531,Sync!$D$10)&amp;"","")&amp;"; "&amp;IFERROR(INDEX(Clay_Brands!$A$2:$FZ$601,531,Sync!$D$9)&amp;"",""))</f>
        <v/>
      </c>
      <c r="K4582" t="inlineStr">
        <is>
          <t>brand outreach touch 2</t>
        </is>
      </c>
    </row>
    <row r="4583">
      <c r="A4583" s="17">
        <f>IF(B4583="","",B4583+(16*1000+532)/10000000)</f>
        <v/>
      </c>
      <c r="B4583" s="23">
        <f>IF(AND(IFERROR(N(INDEX(Clay_Brands!$A$2:$FZ$601,532,Sync!$D$12)),0)&gt;0,IFERROR(INDEX(Clay_Brands!$A$2:$FZ$601,532,Sync!$D$5)&amp;"","")&lt;&gt;"",OR(LEFT(IFERROR(INDEX(Clay_Brands!$A$2:$FZ$601,532,Sync!$D$5)&amp;"",""),6)&lt;&gt;"SAMPLE",Config!$B$19="Y")),IFERROR(N(INDEX(Clay_Brands!$A$2:$FZ$601,532,Sync!$D$12)),0),"")</f>
        <v/>
      </c>
      <c r="C4583" s="17">
        <f>IF(B4583="","","brand")</f>
        <v/>
      </c>
      <c r="D4583" s="17">
        <f>IF(B4583="","",IFERROR(INDEX(Clay_Brands!$A$2:$FZ$601,532,Sync!$D$5)&amp;"",""))</f>
        <v/>
      </c>
      <c r="E4583" s="17">
        <f>IF(B4583="","",IFERROR(INDEX(Clay_Brands!$A$2:$FZ$601,532,Sync!$D$6)&amp;"",""))</f>
        <v/>
      </c>
      <c r="F4583" s="17">
        <f>IF(B4583="","","outreach_sent")</f>
        <v/>
      </c>
      <c r="G4583" s="17">
        <f>IF(B4583="","","")</f>
        <v/>
      </c>
      <c r="H4583" s="17">
        <f>IF(B4583="","","")</f>
        <v/>
      </c>
      <c r="I4583" s="17">
        <f>IF(B4583="","","")</f>
        <v/>
      </c>
      <c r="J4583" s="17">
        <f>IF(B4583="","","touch_2; "&amp;IFERROR(INDEX(Clay_Brands!$A$2:$FZ$601,532,Sync!$D$10)&amp;"","")&amp;"; "&amp;IFERROR(INDEX(Clay_Brands!$A$2:$FZ$601,532,Sync!$D$9)&amp;"",""))</f>
        <v/>
      </c>
      <c r="K4583" t="inlineStr">
        <is>
          <t>brand outreach touch 2</t>
        </is>
      </c>
    </row>
    <row r="4584">
      <c r="A4584" s="17">
        <f>IF(B4584="","",B4584+(16*1000+533)/10000000)</f>
        <v/>
      </c>
      <c r="B4584" s="23">
        <f>IF(AND(IFERROR(N(INDEX(Clay_Brands!$A$2:$FZ$601,533,Sync!$D$12)),0)&gt;0,IFERROR(INDEX(Clay_Brands!$A$2:$FZ$601,533,Sync!$D$5)&amp;"","")&lt;&gt;"",OR(LEFT(IFERROR(INDEX(Clay_Brands!$A$2:$FZ$601,533,Sync!$D$5)&amp;"",""),6)&lt;&gt;"SAMPLE",Config!$B$19="Y")),IFERROR(N(INDEX(Clay_Brands!$A$2:$FZ$601,533,Sync!$D$12)),0),"")</f>
        <v/>
      </c>
      <c r="C4584" s="17">
        <f>IF(B4584="","","brand")</f>
        <v/>
      </c>
      <c r="D4584" s="17">
        <f>IF(B4584="","",IFERROR(INDEX(Clay_Brands!$A$2:$FZ$601,533,Sync!$D$5)&amp;"",""))</f>
        <v/>
      </c>
      <c r="E4584" s="17">
        <f>IF(B4584="","",IFERROR(INDEX(Clay_Brands!$A$2:$FZ$601,533,Sync!$D$6)&amp;"",""))</f>
        <v/>
      </c>
      <c r="F4584" s="17">
        <f>IF(B4584="","","outreach_sent")</f>
        <v/>
      </c>
      <c r="G4584" s="17">
        <f>IF(B4584="","","")</f>
        <v/>
      </c>
      <c r="H4584" s="17">
        <f>IF(B4584="","","")</f>
        <v/>
      </c>
      <c r="I4584" s="17">
        <f>IF(B4584="","","")</f>
        <v/>
      </c>
      <c r="J4584" s="17">
        <f>IF(B4584="","","touch_2; "&amp;IFERROR(INDEX(Clay_Brands!$A$2:$FZ$601,533,Sync!$D$10)&amp;"","")&amp;"; "&amp;IFERROR(INDEX(Clay_Brands!$A$2:$FZ$601,533,Sync!$D$9)&amp;"",""))</f>
        <v/>
      </c>
      <c r="K4584" t="inlineStr">
        <is>
          <t>brand outreach touch 2</t>
        </is>
      </c>
    </row>
    <row r="4585">
      <c r="A4585" s="17">
        <f>IF(B4585="","",B4585+(16*1000+534)/10000000)</f>
        <v/>
      </c>
      <c r="B4585" s="23">
        <f>IF(AND(IFERROR(N(INDEX(Clay_Brands!$A$2:$FZ$601,534,Sync!$D$12)),0)&gt;0,IFERROR(INDEX(Clay_Brands!$A$2:$FZ$601,534,Sync!$D$5)&amp;"","")&lt;&gt;"",OR(LEFT(IFERROR(INDEX(Clay_Brands!$A$2:$FZ$601,534,Sync!$D$5)&amp;"",""),6)&lt;&gt;"SAMPLE",Config!$B$19="Y")),IFERROR(N(INDEX(Clay_Brands!$A$2:$FZ$601,534,Sync!$D$12)),0),"")</f>
        <v/>
      </c>
      <c r="C4585" s="17">
        <f>IF(B4585="","","brand")</f>
        <v/>
      </c>
      <c r="D4585" s="17">
        <f>IF(B4585="","",IFERROR(INDEX(Clay_Brands!$A$2:$FZ$601,534,Sync!$D$5)&amp;"",""))</f>
        <v/>
      </c>
      <c r="E4585" s="17">
        <f>IF(B4585="","",IFERROR(INDEX(Clay_Brands!$A$2:$FZ$601,534,Sync!$D$6)&amp;"",""))</f>
        <v/>
      </c>
      <c r="F4585" s="17">
        <f>IF(B4585="","","outreach_sent")</f>
        <v/>
      </c>
      <c r="G4585" s="17">
        <f>IF(B4585="","","")</f>
        <v/>
      </c>
      <c r="H4585" s="17">
        <f>IF(B4585="","","")</f>
        <v/>
      </c>
      <c r="I4585" s="17">
        <f>IF(B4585="","","")</f>
        <v/>
      </c>
      <c r="J4585" s="17">
        <f>IF(B4585="","","touch_2; "&amp;IFERROR(INDEX(Clay_Brands!$A$2:$FZ$601,534,Sync!$D$10)&amp;"","")&amp;"; "&amp;IFERROR(INDEX(Clay_Brands!$A$2:$FZ$601,534,Sync!$D$9)&amp;"",""))</f>
        <v/>
      </c>
      <c r="K4585" t="inlineStr">
        <is>
          <t>brand outreach touch 2</t>
        </is>
      </c>
    </row>
    <row r="4586">
      <c r="A4586" s="17">
        <f>IF(B4586="","",B4586+(16*1000+535)/10000000)</f>
        <v/>
      </c>
      <c r="B4586" s="23">
        <f>IF(AND(IFERROR(N(INDEX(Clay_Brands!$A$2:$FZ$601,535,Sync!$D$12)),0)&gt;0,IFERROR(INDEX(Clay_Brands!$A$2:$FZ$601,535,Sync!$D$5)&amp;"","")&lt;&gt;"",OR(LEFT(IFERROR(INDEX(Clay_Brands!$A$2:$FZ$601,535,Sync!$D$5)&amp;"",""),6)&lt;&gt;"SAMPLE",Config!$B$19="Y")),IFERROR(N(INDEX(Clay_Brands!$A$2:$FZ$601,535,Sync!$D$12)),0),"")</f>
        <v/>
      </c>
      <c r="C4586" s="17">
        <f>IF(B4586="","","brand")</f>
        <v/>
      </c>
      <c r="D4586" s="17">
        <f>IF(B4586="","",IFERROR(INDEX(Clay_Brands!$A$2:$FZ$601,535,Sync!$D$5)&amp;"",""))</f>
        <v/>
      </c>
      <c r="E4586" s="17">
        <f>IF(B4586="","",IFERROR(INDEX(Clay_Brands!$A$2:$FZ$601,535,Sync!$D$6)&amp;"",""))</f>
        <v/>
      </c>
      <c r="F4586" s="17">
        <f>IF(B4586="","","outreach_sent")</f>
        <v/>
      </c>
      <c r="G4586" s="17">
        <f>IF(B4586="","","")</f>
        <v/>
      </c>
      <c r="H4586" s="17">
        <f>IF(B4586="","","")</f>
        <v/>
      </c>
      <c r="I4586" s="17">
        <f>IF(B4586="","","")</f>
        <v/>
      </c>
      <c r="J4586" s="17">
        <f>IF(B4586="","","touch_2; "&amp;IFERROR(INDEX(Clay_Brands!$A$2:$FZ$601,535,Sync!$D$10)&amp;"","")&amp;"; "&amp;IFERROR(INDEX(Clay_Brands!$A$2:$FZ$601,535,Sync!$D$9)&amp;"",""))</f>
        <v/>
      </c>
      <c r="K4586" t="inlineStr">
        <is>
          <t>brand outreach touch 2</t>
        </is>
      </c>
    </row>
    <row r="4587">
      <c r="A4587" s="17">
        <f>IF(B4587="","",B4587+(16*1000+536)/10000000)</f>
        <v/>
      </c>
      <c r="B4587" s="23">
        <f>IF(AND(IFERROR(N(INDEX(Clay_Brands!$A$2:$FZ$601,536,Sync!$D$12)),0)&gt;0,IFERROR(INDEX(Clay_Brands!$A$2:$FZ$601,536,Sync!$D$5)&amp;"","")&lt;&gt;"",OR(LEFT(IFERROR(INDEX(Clay_Brands!$A$2:$FZ$601,536,Sync!$D$5)&amp;"",""),6)&lt;&gt;"SAMPLE",Config!$B$19="Y")),IFERROR(N(INDEX(Clay_Brands!$A$2:$FZ$601,536,Sync!$D$12)),0),"")</f>
        <v/>
      </c>
      <c r="C4587" s="17">
        <f>IF(B4587="","","brand")</f>
        <v/>
      </c>
      <c r="D4587" s="17">
        <f>IF(B4587="","",IFERROR(INDEX(Clay_Brands!$A$2:$FZ$601,536,Sync!$D$5)&amp;"",""))</f>
        <v/>
      </c>
      <c r="E4587" s="17">
        <f>IF(B4587="","",IFERROR(INDEX(Clay_Brands!$A$2:$FZ$601,536,Sync!$D$6)&amp;"",""))</f>
        <v/>
      </c>
      <c r="F4587" s="17">
        <f>IF(B4587="","","outreach_sent")</f>
        <v/>
      </c>
      <c r="G4587" s="17">
        <f>IF(B4587="","","")</f>
        <v/>
      </c>
      <c r="H4587" s="17">
        <f>IF(B4587="","","")</f>
        <v/>
      </c>
      <c r="I4587" s="17">
        <f>IF(B4587="","","")</f>
        <v/>
      </c>
      <c r="J4587" s="17">
        <f>IF(B4587="","","touch_2; "&amp;IFERROR(INDEX(Clay_Brands!$A$2:$FZ$601,536,Sync!$D$10)&amp;"","")&amp;"; "&amp;IFERROR(INDEX(Clay_Brands!$A$2:$FZ$601,536,Sync!$D$9)&amp;"",""))</f>
        <v/>
      </c>
      <c r="K4587" t="inlineStr">
        <is>
          <t>brand outreach touch 2</t>
        </is>
      </c>
    </row>
    <row r="4588">
      <c r="A4588" s="17">
        <f>IF(B4588="","",B4588+(16*1000+537)/10000000)</f>
        <v/>
      </c>
      <c r="B4588" s="23">
        <f>IF(AND(IFERROR(N(INDEX(Clay_Brands!$A$2:$FZ$601,537,Sync!$D$12)),0)&gt;0,IFERROR(INDEX(Clay_Brands!$A$2:$FZ$601,537,Sync!$D$5)&amp;"","")&lt;&gt;"",OR(LEFT(IFERROR(INDEX(Clay_Brands!$A$2:$FZ$601,537,Sync!$D$5)&amp;"",""),6)&lt;&gt;"SAMPLE",Config!$B$19="Y")),IFERROR(N(INDEX(Clay_Brands!$A$2:$FZ$601,537,Sync!$D$12)),0),"")</f>
        <v/>
      </c>
      <c r="C4588" s="17">
        <f>IF(B4588="","","brand")</f>
        <v/>
      </c>
      <c r="D4588" s="17">
        <f>IF(B4588="","",IFERROR(INDEX(Clay_Brands!$A$2:$FZ$601,537,Sync!$D$5)&amp;"",""))</f>
        <v/>
      </c>
      <c r="E4588" s="17">
        <f>IF(B4588="","",IFERROR(INDEX(Clay_Brands!$A$2:$FZ$601,537,Sync!$D$6)&amp;"",""))</f>
        <v/>
      </c>
      <c r="F4588" s="17">
        <f>IF(B4588="","","outreach_sent")</f>
        <v/>
      </c>
      <c r="G4588" s="17">
        <f>IF(B4588="","","")</f>
        <v/>
      </c>
      <c r="H4588" s="17">
        <f>IF(B4588="","","")</f>
        <v/>
      </c>
      <c r="I4588" s="17">
        <f>IF(B4588="","","")</f>
        <v/>
      </c>
      <c r="J4588" s="17">
        <f>IF(B4588="","","touch_2; "&amp;IFERROR(INDEX(Clay_Brands!$A$2:$FZ$601,537,Sync!$D$10)&amp;"","")&amp;"; "&amp;IFERROR(INDEX(Clay_Brands!$A$2:$FZ$601,537,Sync!$D$9)&amp;"",""))</f>
        <v/>
      </c>
      <c r="K4588" t="inlineStr">
        <is>
          <t>brand outreach touch 2</t>
        </is>
      </c>
    </row>
    <row r="4589">
      <c r="A4589" s="17">
        <f>IF(B4589="","",B4589+(16*1000+538)/10000000)</f>
        <v/>
      </c>
      <c r="B4589" s="23">
        <f>IF(AND(IFERROR(N(INDEX(Clay_Brands!$A$2:$FZ$601,538,Sync!$D$12)),0)&gt;0,IFERROR(INDEX(Clay_Brands!$A$2:$FZ$601,538,Sync!$D$5)&amp;"","")&lt;&gt;"",OR(LEFT(IFERROR(INDEX(Clay_Brands!$A$2:$FZ$601,538,Sync!$D$5)&amp;"",""),6)&lt;&gt;"SAMPLE",Config!$B$19="Y")),IFERROR(N(INDEX(Clay_Brands!$A$2:$FZ$601,538,Sync!$D$12)),0),"")</f>
        <v/>
      </c>
      <c r="C4589" s="17">
        <f>IF(B4589="","","brand")</f>
        <v/>
      </c>
      <c r="D4589" s="17">
        <f>IF(B4589="","",IFERROR(INDEX(Clay_Brands!$A$2:$FZ$601,538,Sync!$D$5)&amp;"",""))</f>
        <v/>
      </c>
      <c r="E4589" s="17">
        <f>IF(B4589="","",IFERROR(INDEX(Clay_Brands!$A$2:$FZ$601,538,Sync!$D$6)&amp;"",""))</f>
        <v/>
      </c>
      <c r="F4589" s="17">
        <f>IF(B4589="","","outreach_sent")</f>
        <v/>
      </c>
      <c r="G4589" s="17">
        <f>IF(B4589="","","")</f>
        <v/>
      </c>
      <c r="H4589" s="17">
        <f>IF(B4589="","","")</f>
        <v/>
      </c>
      <c r="I4589" s="17">
        <f>IF(B4589="","","")</f>
        <v/>
      </c>
      <c r="J4589" s="17">
        <f>IF(B4589="","","touch_2; "&amp;IFERROR(INDEX(Clay_Brands!$A$2:$FZ$601,538,Sync!$D$10)&amp;"","")&amp;"; "&amp;IFERROR(INDEX(Clay_Brands!$A$2:$FZ$601,538,Sync!$D$9)&amp;"",""))</f>
        <v/>
      </c>
      <c r="K4589" t="inlineStr">
        <is>
          <t>brand outreach touch 2</t>
        </is>
      </c>
    </row>
    <row r="4590">
      <c r="A4590" s="17">
        <f>IF(B4590="","",B4590+(16*1000+539)/10000000)</f>
        <v/>
      </c>
      <c r="B4590" s="23">
        <f>IF(AND(IFERROR(N(INDEX(Clay_Brands!$A$2:$FZ$601,539,Sync!$D$12)),0)&gt;0,IFERROR(INDEX(Clay_Brands!$A$2:$FZ$601,539,Sync!$D$5)&amp;"","")&lt;&gt;"",OR(LEFT(IFERROR(INDEX(Clay_Brands!$A$2:$FZ$601,539,Sync!$D$5)&amp;"",""),6)&lt;&gt;"SAMPLE",Config!$B$19="Y")),IFERROR(N(INDEX(Clay_Brands!$A$2:$FZ$601,539,Sync!$D$12)),0),"")</f>
        <v/>
      </c>
      <c r="C4590" s="17">
        <f>IF(B4590="","","brand")</f>
        <v/>
      </c>
      <c r="D4590" s="17">
        <f>IF(B4590="","",IFERROR(INDEX(Clay_Brands!$A$2:$FZ$601,539,Sync!$D$5)&amp;"",""))</f>
        <v/>
      </c>
      <c r="E4590" s="17">
        <f>IF(B4590="","",IFERROR(INDEX(Clay_Brands!$A$2:$FZ$601,539,Sync!$D$6)&amp;"",""))</f>
        <v/>
      </c>
      <c r="F4590" s="17">
        <f>IF(B4590="","","outreach_sent")</f>
        <v/>
      </c>
      <c r="G4590" s="17">
        <f>IF(B4590="","","")</f>
        <v/>
      </c>
      <c r="H4590" s="17">
        <f>IF(B4590="","","")</f>
        <v/>
      </c>
      <c r="I4590" s="17">
        <f>IF(B4590="","","")</f>
        <v/>
      </c>
      <c r="J4590" s="17">
        <f>IF(B4590="","","touch_2; "&amp;IFERROR(INDEX(Clay_Brands!$A$2:$FZ$601,539,Sync!$D$10)&amp;"","")&amp;"; "&amp;IFERROR(INDEX(Clay_Brands!$A$2:$FZ$601,539,Sync!$D$9)&amp;"",""))</f>
        <v/>
      </c>
      <c r="K4590" t="inlineStr">
        <is>
          <t>brand outreach touch 2</t>
        </is>
      </c>
    </row>
    <row r="4591">
      <c r="A4591" s="17">
        <f>IF(B4591="","",B4591+(16*1000+540)/10000000)</f>
        <v/>
      </c>
      <c r="B4591" s="23">
        <f>IF(AND(IFERROR(N(INDEX(Clay_Brands!$A$2:$FZ$601,540,Sync!$D$12)),0)&gt;0,IFERROR(INDEX(Clay_Brands!$A$2:$FZ$601,540,Sync!$D$5)&amp;"","")&lt;&gt;"",OR(LEFT(IFERROR(INDEX(Clay_Brands!$A$2:$FZ$601,540,Sync!$D$5)&amp;"",""),6)&lt;&gt;"SAMPLE",Config!$B$19="Y")),IFERROR(N(INDEX(Clay_Brands!$A$2:$FZ$601,540,Sync!$D$12)),0),"")</f>
        <v/>
      </c>
      <c r="C4591" s="17">
        <f>IF(B4591="","","brand")</f>
        <v/>
      </c>
      <c r="D4591" s="17">
        <f>IF(B4591="","",IFERROR(INDEX(Clay_Brands!$A$2:$FZ$601,540,Sync!$D$5)&amp;"",""))</f>
        <v/>
      </c>
      <c r="E4591" s="17">
        <f>IF(B4591="","",IFERROR(INDEX(Clay_Brands!$A$2:$FZ$601,540,Sync!$D$6)&amp;"",""))</f>
        <v/>
      </c>
      <c r="F4591" s="17">
        <f>IF(B4591="","","outreach_sent")</f>
        <v/>
      </c>
      <c r="G4591" s="17">
        <f>IF(B4591="","","")</f>
        <v/>
      </c>
      <c r="H4591" s="17">
        <f>IF(B4591="","","")</f>
        <v/>
      </c>
      <c r="I4591" s="17">
        <f>IF(B4591="","","")</f>
        <v/>
      </c>
      <c r="J4591" s="17">
        <f>IF(B4591="","","touch_2; "&amp;IFERROR(INDEX(Clay_Brands!$A$2:$FZ$601,540,Sync!$D$10)&amp;"","")&amp;"; "&amp;IFERROR(INDEX(Clay_Brands!$A$2:$FZ$601,540,Sync!$D$9)&amp;"",""))</f>
        <v/>
      </c>
      <c r="K4591" t="inlineStr">
        <is>
          <t>brand outreach touch 2</t>
        </is>
      </c>
    </row>
    <row r="4592">
      <c r="A4592" s="17">
        <f>IF(B4592="","",B4592+(16*1000+541)/10000000)</f>
        <v/>
      </c>
      <c r="B4592" s="23">
        <f>IF(AND(IFERROR(N(INDEX(Clay_Brands!$A$2:$FZ$601,541,Sync!$D$12)),0)&gt;0,IFERROR(INDEX(Clay_Brands!$A$2:$FZ$601,541,Sync!$D$5)&amp;"","")&lt;&gt;"",OR(LEFT(IFERROR(INDEX(Clay_Brands!$A$2:$FZ$601,541,Sync!$D$5)&amp;"",""),6)&lt;&gt;"SAMPLE",Config!$B$19="Y")),IFERROR(N(INDEX(Clay_Brands!$A$2:$FZ$601,541,Sync!$D$12)),0),"")</f>
        <v/>
      </c>
      <c r="C4592" s="17">
        <f>IF(B4592="","","brand")</f>
        <v/>
      </c>
      <c r="D4592" s="17">
        <f>IF(B4592="","",IFERROR(INDEX(Clay_Brands!$A$2:$FZ$601,541,Sync!$D$5)&amp;"",""))</f>
        <v/>
      </c>
      <c r="E4592" s="17">
        <f>IF(B4592="","",IFERROR(INDEX(Clay_Brands!$A$2:$FZ$601,541,Sync!$D$6)&amp;"",""))</f>
        <v/>
      </c>
      <c r="F4592" s="17">
        <f>IF(B4592="","","outreach_sent")</f>
        <v/>
      </c>
      <c r="G4592" s="17">
        <f>IF(B4592="","","")</f>
        <v/>
      </c>
      <c r="H4592" s="17">
        <f>IF(B4592="","","")</f>
        <v/>
      </c>
      <c r="I4592" s="17">
        <f>IF(B4592="","","")</f>
        <v/>
      </c>
      <c r="J4592" s="17">
        <f>IF(B4592="","","touch_2; "&amp;IFERROR(INDEX(Clay_Brands!$A$2:$FZ$601,541,Sync!$D$10)&amp;"","")&amp;"; "&amp;IFERROR(INDEX(Clay_Brands!$A$2:$FZ$601,541,Sync!$D$9)&amp;"",""))</f>
        <v/>
      </c>
      <c r="K4592" t="inlineStr">
        <is>
          <t>brand outreach touch 2</t>
        </is>
      </c>
    </row>
    <row r="4593">
      <c r="A4593" s="17">
        <f>IF(B4593="","",B4593+(16*1000+542)/10000000)</f>
        <v/>
      </c>
      <c r="B4593" s="23">
        <f>IF(AND(IFERROR(N(INDEX(Clay_Brands!$A$2:$FZ$601,542,Sync!$D$12)),0)&gt;0,IFERROR(INDEX(Clay_Brands!$A$2:$FZ$601,542,Sync!$D$5)&amp;"","")&lt;&gt;"",OR(LEFT(IFERROR(INDEX(Clay_Brands!$A$2:$FZ$601,542,Sync!$D$5)&amp;"",""),6)&lt;&gt;"SAMPLE",Config!$B$19="Y")),IFERROR(N(INDEX(Clay_Brands!$A$2:$FZ$601,542,Sync!$D$12)),0),"")</f>
        <v/>
      </c>
      <c r="C4593" s="17">
        <f>IF(B4593="","","brand")</f>
        <v/>
      </c>
      <c r="D4593" s="17">
        <f>IF(B4593="","",IFERROR(INDEX(Clay_Brands!$A$2:$FZ$601,542,Sync!$D$5)&amp;"",""))</f>
        <v/>
      </c>
      <c r="E4593" s="17">
        <f>IF(B4593="","",IFERROR(INDEX(Clay_Brands!$A$2:$FZ$601,542,Sync!$D$6)&amp;"",""))</f>
        <v/>
      </c>
      <c r="F4593" s="17">
        <f>IF(B4593="","","outreach_sent")</f>
        <v/>
      </c>
      <c r="G4593" s="17">
        <f>IF(B4593="","","")</f>
        <v/>
      </c>
      <c r="H4593" s="17">
        <f>IF(B4593="","","")</f>
        <v/>
      </c>
      <c r="I4593" s="17">
        <f>IF(B4593="","","")</f>
        <v/>
      </c>
      <c r="J4593" s="17">
        <f>IF(B4593="","","touch_2; "&amp;IFERROR(INDEX(Clay_Brands!$A$2:$FZ$601,542,Sync!$D$10)&amp;"","")&amp;"; "&amp;IFERROR(INDEX(Clay_Brands!$A$2:$FZ$601,542,Sync!$D$9)&amp;"",""))</f>
        <v/>
      </c>
      <c r="K4593" t="inlineStr">
        <is>
          <t>brand outreach touch 2</t>
        </is>
      </c>
    </row>
    <row r="4594">
      <c r="A4594" s="17">
        <f>IF(B4594="","",B4594+(16*1000+543)/10000000)</f>
        <v/>
      </c>
      <c r="B4594" s="23">
        <f>IF(AND(IFERROR(N(INDEX(Clay_Brands!$A$2:$FZ$601,543,Sync!$D$12)),0)&gt;0,IFERROR(INDEX(Clay_Brands!$A$2:$FZ$601,543,Sync!$D$5)&amp;"","")&lt;&gt;"",OR(LEFT(IFERROR(INDEX(Clay_Brands!$A$2:$FZ$601,543,Sync!$D$5)&amp;"",""),6)&lt;&gt;"SAMPLE",Config!$B$19="Y")),IFERROR(N(INDEX(Clay_Brands!$A$2:$FZ$601,543,Sync!$D$12)),0),"")</f>
        <v/>
      </c>
      <c r="C4594" s="17">
        <f>IF(B4594="","","brand")</f>
        <v/>
      </c>
      <c r="D4594" s="17">
        <f>IF(B4594="","",IFERROR(INDEX(Clay_Brands!$A$2:$FZ$601,543,Sync!$D$5)&amp;"",""))</f>
        <v/>
      </c>
      <c r="E4594" s="17">
        <f>IF(B4594="","",IFERROR(INDEX(Clay_Brands!$A$2:$FZ$601,543,Sync!$D$6)&amp;"",""))</f>
        <v/>
      </c>
      <c r="F4594" s="17">
        <f>IF(B4594="","","outreach_sent")</f>
        <v/>
      </c>
      <c r="G4594" s="17">
        <f>IF(B4594="","","")</f>
        <v/>
      </c>
      <c r="H4594" s="17">
        <f>IF(B4594="","","")</f>
        <v/>
      </c>
      <c r="I4594" s="17">
        <f>IF(B4594="","","")</f>
        <v/>
      </c>
      <c r="J4594" s="17">
        <f>IF(B4594="","","touch_2; "&amp;IFERROR(INDEX(Clay_Brands!$A$2:$FZ$601,543,Sync!$D$10)&amp;"","")&amp;"; "&amp;IFERROR(INDEX(Clay_Brands!$A$2:$FZ$601,543,Sync!$D$9)&amp;"",""))</f>
        <v/>
      </c>
      <c r="K4594" t="inlineStr">
        <is>
          <t>brand outreach touch 2</t>
        </is>
      </c>
    </row>
    <row r="4595">
      <c r="A4595" s="17">
        <f>IF(B4595="","",B4595+(16*1000+544)/10000000)</f>
        <v/>
      </c>
      <c r="B4595" s="23">
        <f>IF(AND(IFERROR(N(INDEX(Clay_Brands!$A$2:$FZ$601,544,Sync!$D$12)),0)&gt;0,IFERROR(INDEX(Clay_Brands!$A$2:$FZ$601,544,Sync!$D$5)&amp;"","")&lt;&gt;"",OR(LEFT(IFERROR(INDEX(Clay_Brands!$A$2:$FZ$601,544,Sync!$D$5)&amp;"",""),6)&lt;&gt;"SAMPLE",Config!$B$19="Y")),IFERROR(N(INDEX(Clay_Brands!$A$2:$FZ$601,544,Sync!$D$12)),0),"")</f>
        <v/>
      </c>
      <c r="C4595" s="17">
        <f>IF(B4595="","","brand")</f>
        <v/>
      </c>
      <c r="D4595" s="17">
        <f>IF(B4595="","",IFERROR(INDEX(Clay_Brands!$A$2:$FZ$601,544,Sync!$D$5)&amp;"",""))</f>
        <v/>
      </c>
      <c r="E4595" s="17">
        <f>IF(B4595="","",IFERROR(INDEX(Clay_Brands!$A$2:$FZ$601,544,Sync!$D$6)&amp;"",""))</f>
        <v/>
      </c>
      <c r="F4595" s="17">
        <f>IF(B4595="","","outreach_sent")</f>
        <v/>
      </c>
      <c r="G4595" s="17">
        <f>IF(B4595="","","")</f>
        <v/>
      </c>
      <c r="H4595" s="17">
        <f>IF(B4595="","","")</f>
        <v/>
      </c>
      <c r="I4595" s="17">
        <f>IF(B4595="","","")</f>
        <v/>
      </c>
      <c r="J4595" s="17">
        <f>IF(B4595="","","touch_2; "&amp;IFERROR(INDEX(Clay_Brands!$A$2:$FZ$601,544,Sync!$D$10)&amp;"","")&amp;"; "&amp;IFERROR(INDEX(Clay_Brands!$A$2:$FZ$601,544,Sync!$D$9)&amp;"",""))</f>
        <v/>
      </c>
      <c r="K4595" t="inlineStr">
        <is>
          <t>brand outreach touch 2</t>
        </is>
      </c>
    </row>
    <row r="4596">
      <c r="A4596" s="17">
        <f>IF(B4596="","",B4596+(16*1000+545)/10000000)</f>
        <v/>
      </c>
      <c r="B4596" s="23">
        <f>IF(AND(IFERROR(N(INDEX(Clay_Brands!$A$2:$FZ$601,545,Sync!$D$12)),0)&gt;0,IFERROR(INDEX(Clay_Brands!$A$2:$FZ$601,545,Sync!$D$5)&amp;"","")&lt;&gt;"",OR(LEFT(IFERROR(INDEX(Clay_Brands!$A$2:$FZ$601,545,Sync!$D$5)&amp;"",""),6)&lt;&gt;"SAMPLE",Config!$B$19="Y")),IFERROR(N(INDEX(Clay_Brands!$A$2:$FZ$601,545,Sync!$D$12)),0),"")</f>
        <v/>
      </c>
      <c r="C4596" s="17">
        <f>IF(B4596="","","brand")</f>
        <v/>
      </c>
      <c r="D4596" s="17">
        <f>IF(B4596="","",IFERROR(INDEX(Clay_Brands!$A$2:$FZ$601,545,Sync!$D$5)&amp;"",""))</f>
        <v/>
      </c>
      <c r="E4596" s="17">
        <f>IF(B4596="","",IFERROR(INDEX(Clay_Brands!$A$2:$FZ$601,545,Sync!$D$6)&amp;"",""))</f>
        <v/>
      </c>
      <c r="F4596" s="17">
        <f>IF(B4596="","","outreach_sent")</f>
        <v/>
      </c>
      <c r="G4596" s="17">
        <f>IF(B4596="","","")</f>
        <v/>
      </c>
      <c r="H4596" s="17">
        <f>IF(B4596="","","")</f>
        <v/>
      </c>
      <c r="I4596" s="17">
        <f>IF(B4596="","","")</f>
        <v/>
      </c>
      <c r="J4596" s="17">
        <f>IF(B4596="","","touch_2; "&amp;IFERROR(INDEX(Clay_Brands!$A$2:$FZ$601,545,Sync!$D$10)&amp;"","")&amp;"; "&amp;IFERROR(INDEX(Clay_Brands!$A$2:$FZ$601,545,Sync!$D$9)&amp;"",""))</f>
        <v/>
      </c>
      <c r="K4596" t="inlineStr">
        <is>
          <t>brand outreach touch 2</t>
        </is>
      </c>
    </row>
    <row r="4597">
      <c r="A4597" s="17">
        <f>IF(B4597="","",B4597+(16*1000+546)/10000000)</f>
        <v/>
      </c>
      <c r="B4597" s="23">
        <f>IF(AND(IFERROR(N(INDEX(Clay_Brands!$A$2:$FZ$601,546,Sync!$D$12)),0)&gt;0,IFERROR(INDEX(Clay_Brands!$A$2:$FZ$601,546,Sync!$D$5)&amp;"","")&lt;&gt;"",OR(LEFT(IFERROR(INDEX(Clay_Brands!$A$2:$FZ$601,546,Sync!$D$5)&amp;"",""),6)&lt;&gt;"SAMPLE",Config!$B$19="Y")),IFERROR(N(INDEX(Clay_Brands!$A$2:$FZ$601,546,Sync!$D$12)),0),"")</f>
        <v/>
      </c>
      <c r="C4597" s="17">
        <f>IF(B4597="","","brand")</f>
        <v/>
      </c>
      <c r="D4597" s="17">
        <f>IF(B4597="","",IFERROR(INDEX(Clay_Brands!$A$2:$FZ$601,546,Sync!$D$5)&amp;"",""))</f>
        <v/>
      </c>
      <c r="E4597" s="17">
        <f>IF(B4597="","",IFERROR(INDEX(Clay_Brands!$A$2:$FZ$601,546,Sync!$D$6)&amp;"",""))</f>
        <v/>
      </c>
      <c r="F4597" s="17">
        <f>IF(B4597="","","outreach_sent")</f>
        <v/>
      </c>
      <c r="G4597" s="17">
        <f>IF(B4597="","","")</f>
        <v/>
      </c>
      <c r="H4597" s="17">
        <f>IF(B4597="","","")</f>
        <v/>
      </c>
      <c r="I4597" s="17">
        <f>IF(B4597="","","")</f>
        <v/>
      </c>
      <c r="J4597" s="17">
        <f>IF(B4597="","","touch_2; "&amp;IFERROR(INDEX(Clay_Brands!$A$2:$FZ$601,546,Sync!$D$10)&amp;"","")&amp;"; "&amp;IFERROR(INDEX(Clay_Brands!$A$2:$FZ$601,546,Sync!$D$9)&amp;"",""))</f>
        <v/>
      </c>
      <c r="K4597" t="inlineStr">
        <is>
          <t>brand outreach touch 2</t>
        </is>
      </c>
    </row>
    <row r="4598">
      <c r="A4598" s="17">
        <f>IF(B4598="","",B4598+(16*1000+547)/10000000)</f>
        <v/>
      </c>
      <c r="B4598" s="23">
        <f>IF(AND(IFERROR(N(INDEX(Clay_Brands!$A$2:$FZ$601,547,Sync!$D$12)),0)&gt;0,IFERROR(INDEX(Clay_Brands!$A$2:$FZ$601,547,Sync!$D$5)&amp;"","")&lt;&gt;"",OR(LEFT(IFERROR(INDEX(Clay_Brands!$A$2:$FZ$601,547,Sync!$D$5)&amp;"",""),6)&lt;&gt;"SAMPLE",Config!$B$19="Y")),IFERROR(N(INDEX(Clay_Brands!$A$2:$FZ$601,547,Sync!$D$12)),0),"")</f>
        <v/>
      </c>
      <c r="C4598" s="17">
        <f>IF(B4598="","","brand")</f>
        <v/>
      </c>
      <c r="D4598" s="17">
        <f>IF(B4598="","",IFERROR(INDEX(Clay_Brands!$A$2:$FZ$601,547,Sync!$D$5)&amp;"",""))</f>
        <v/>
      </c>
      <c r="E4598" s="17">
        <f>IF(B4598="","",IFERROR(INDEX(Clay_Brands!$A$2:$FZ$601,547,Sync!$D$6)&amp;"",""))</f>
        <v/>
      </c>
      <c r="F4598" s="17">
        <f>IF(B4598="","","outreach_sent")</f>
        <v/>
      </c>
      <c r="G4598" s="17">
        <f>IF(B4598="","","")</f>
        <v/>
      </c>
      <c r="H4598" s="17">
        <f>IF(B4598="","","")</f>
        <v/>
      </c>
      <c r="I4598" s="17">
        <f>IF(B4598="","","")</f>
        <v/>
      </c>
      <c r="J4598" s="17">
        <f>IF(B4598="","","touch_2; "&amp;IFERROR(INDEX(Clay_Brands!$A$2:$FZ$601,547,Sync!$D$10)&amp;"","")&amp;"; "&amp;IFERROR(INDEX(Clay_Brands!$A$2:$FZ$601,547,Sync!$D$9)&amp;"",""))</f>
        <v/>
      </c>
      <c r="K4598" t="inlineStr">
        <is>
          <t>brand outreach touch 2</t>
        </is>
      </c>
    </row>
    <row r="4599">
      <c r="A4599" s="17">
        <f>IF(B4599="","",B4599+(16*1000+548)/10000000)</f>
        <v/>
      </c>
      <c r="B4599" s="23">
        <f>IF(AND(IFERROR(N(INDEX(Clay_Brands!$A$2:$FZ$601,548,Sync!$D$12)),0)&gt;0,IFERROR(INDEX(Clay_Brands!$A$2:$FZ$601,548,Sync!$D$5)&amp;"","")&lt;&gt;"",OR(LEFT(IFERROR(INDEX(Clay_Brands!$A$2:$FZ$601,548,Sync!$D$5)&amp;"",""),6)&lt;&gt;"SAMPLE",Config!$B$19="Y")),IFERROR(N(INDEX(Clay_Brands!$A$2:$FZ$601,548,Sync!$D$12)),0),"")</f>
        <v/>
      </c>
      <c r="C4599" s="17">
        <f>IF(B4599="","","brand")</f>
        <v/>
      </c>
      <c r="D4599" s="17">
        <f>IF(B4599="","",IFERROR(INDEX(Clay_Brands!$A$2:$FZ$601,548,Sync!$D$5)&amp;"",""))</f>
        <v/>
      </c>
      <c r="E4599" s="17">
        <f>IF(B4599="","",IFERROR(INDEX(Clay_Brands!$A$2:$FZ$601,548,Sync!$D$6)&amp;"",""))</f>
        <v/>
      </c>
      <c r="F4599" s="17">
        <f>IF(B4599="","","outreach_sent")</f>
        <v/>
      </c>
      <c r="G4599" s="17">
        <f>IF(B4599="","","")</f>
        <v/>
      </c>
      <c r="H4599" s="17">
        <f>IF(B4599="","","")</f>
        <v/>
      </c>
      <c r="I4599" s="17">
        <f>IF(B4599="","","")</f>
        <v/>
      </c>
      <c r="J4599" s="17">
        <f>IF(B4599="","","touch_2; "&amp;IFERROR(INDEX(Clay_Brands!$A$2:$FZ$601,548,Sync!$D$10)&amp;"","")&amp;"; "&amp;IFERROR(INDEX(Clay_Brands!$A$2:$FZ$601,548,Sync!$D$9)&amp;"",""))</f>
        <v/>
      </c>
      <c r="K4599" t="inlineStr">
        <is>
          <t>brand outreach touch 2</t>
        </is>
      </c>
    </row>
    <row r="4600">
      <c r="A4600" s="17">
        <f>IF(B4600="","",B4600+(16*1000+549)/10000000)</f>
        <v/>
      </c>
      <c r="B4600" s="23">
        <f>IF(AND(IFERROR(N(INDEX(Clay_Brands!$A$2:$FZ$601,549,Sync!$D$12)),0)&gt;0,IFERROR(INDEX(Clay_Brands!$A$2:$FZ$601,549,Sync!$D$5)&amp;"","")&lt;&gt;"",OR(LEFT(IFERROR(INDEX(Clay_Brands!$A$2:$FZ$601,549,Sync!$D$5)&amp;"",""),6)&lt;&gt;"SAMPLE",Config!$B$19="Y")),IFERROR(N(INDEX(Clay_Brands!$A$2:$FZ$601,549,Sync!$D$12)),0),"")</f>
        <v/>
      </c>
      <c r="C4600" s="17">
        <f>IF(B4600="","","brand")</f>
        <v/>
      </c>
      <c r="D4600" s="17">
        <f>IF(B4600="","",IFERROR(INDEX(Clay_Brands!$A$2:$FZ$601,549,Sync!$D$5)&amp;"",""))</f>
        <v/>
      </c>
      <c r="E4600" s="17">
        <f>IF(B4600="","",IFERROR(INDEX(Clay_Brands!$A$2:$FZ$601,549,Sync!$D$6)&amp;"",""))</f>
        <v/>
      </c>
      <c r="F4600" s="17">
        <f>IF(B4600="","","outreach_sent")</f>
        <v/>
      </c>
      <c r="G4600" s="17">
        <f>IF(B4600="","","")</f>
        <v/>
      </c>
      <c r="H4600" s="17">
        <f>IF(B4600="","","")</f>
        <v/>
      </c>
      <c r="I4600" s="17">
        <f>IF(B4600="","","")</f>
        <v/>
      </c>
      <c r="J4600" s="17">
        <f>IF(B4600="","","touch_2; "&amp;IFERROR(INDEX(Clay_Brands!$A$2:$FZ$601,549,Sync!$D$10)&amp;"","")&amp;"; "&amp;IFERROR(INDEX(Clay_Brands!$A$2:$FZ$601,549,Sync!$D$9)&amp;"",""))</f>
        <v/>
      </c>
      <c r="K4600" t="inlineStr">
        <is>
          <t>brand outreach touch 2</t>
        </is>
      </c>
    </row>
    <row r="4601">
      <c r="A4601" s="17">
        <f>IF(B4601="","",B4601+(16*1000+550)/10000000)</f>
        <v/>
      </c>
      <c r="B4601" s="23">
        <f>IF(AND(IFERROR(N(INDEX(Clay_Brands!$A$2:$FZ$601,550,Sync!$D$12)),0)&gt;0,IFERROR(INDEX(Clay_Brands!$A$2:$FZ$601,550,Sync!$D$5)&amp;"","")&lt;&gt;"",OR(LEFT(IFERROR(INDEX(Clay_Brands!$A$2:$FZ$601,550,Sync!$D$5)&amp;"",""),6)&lt;&gt;"SAMPLE",Config!$B$19="Y")),IFERROR(N(INDEX(Clay_Brands!$A$2:$FZ$601,550,Sync!$D$12)),0),"")</f>
        <v/>
      </c>
      <c r="C4601" s="17">
        <f>IF(B4601="","","brand")</f>
        <v/>
      </c>
      <c r="D4601" s="17">
        <f>IF(B4601="","",IFERROR(INDEX(Clay_Brands!$A$2:$FZ$601,550,Sync!$D$5)&amp;"",""))</f>
        <v/>
      </c>
      <c r="E4601" s="17">
        <f>IF(B4601="","",IFERROR(INDEX(Clay_Brands!$A$2:$FZ$601,550,Sync!$D$6)&amp;"",""))</f>
        <v/>
      </c>
      <c r="F4601" s="17">
        <f>IF(B4601="","","outreach_sent")</f>
        <v/>
      </c>
      <c r="G4601" s="17">
        <f>IF(B4601="","","")</f>
        <v/>
      </c>
      <c r="H4601" s="17">
        <f>IF(B4601="","","")</f>
        <v/>
      </c>
      <c r="I4601" s="17">
        <f>IF(B4601="","","")</f>
        <v/>
      </c>
      <c r="J4601" s="17">
        <f>IF(B4601="","","touch_2; "&amp;IFERROR(INDEX(Clay_Brands!$A$2:$FZ$601,550,Sync!$D$10)&amp;"","")&amp;"; "&amp;IFERROR(INDEX(Clay_Brands!$A$2:$FZ$601,550,Sync!$D$9)&amp;"",""))</f>
        <v/>
      </c>
      <c r="K4601" t="inlineStr">
        <is>
          <t>brand outreach touch 2</t>
        </is>
      </c>
    </row>
    <row r="4602">
      <c r="A4602" s="17">
        <f>IF(B4602="","",B4602+(16*1000+551)/10000000)</f>
        <v/>
      </c>
      <c r="B4602" s="23">
        <f>IF(AND(IFERROR(N(INDEX(Clay_Brands!$A$2:$FZ$601,551,Sync!$D$12)),0)&gt;0,IFERROR(INDEX(Clay_Brands!$A$2:$FZ$601,551,Sync!$D$5)&amp;"","")&lt;&gt;"",OR(LEFT(IFERROR(INDEX(Clay_Brands!$A$2:$FZ$601,551,Sync!$D$5)&amp;"",""),6)&lt;&gt;"SAMPLE",Config!$B$19="Y")),IFERROR(N(INDEX(Clay_Brands!$A$2:$FZ$601,551,Sync!$D$12)),0),"")</f>
        <v/>
      </c>
      <c r="C4602" s="17">
        <f>IF(B4602="","","brand")</f>
        <v/>
      </c>
      <c r="D4602" s="17">
        <f>IF(B4602="","",IFERROR(INDEX(Clay_Brands!$A$2:$FZ$601,551,Sync!$D$5)&amp;"",""))</f>
        <v/>
      </c>
      <c r="E4602" s="17">
        <f>IF(B4602="","",IFERROR(INDEX(Clay_Brands!$A$2:$FZ$601,551,Sync!$D$6)&amp;"",""))</f>
        <v/>
      </c>
      <c r="F4602" s="17">
        <f>IF(B4602="","","outreach_sent")</f>
        <v/>
      </c>
      <c r="G4602" s="17">
        <f>IF(B4602="","","")</f>
        <v/>
      </c>
      <c r="H4602" s="17">
        <f>IF(B4602="","","")</f>
        <v/>
      </c>
      <c r="I4602" s="17">
        <f>IF(B4602="","","")</f>
        <v/>
      </c>
      <c r="J4602" s="17">
        <f>IF(B4602="","","touch_2; "&amp;IFERROR(INDEX(Clay_Brands!$A$2:$FZ$601,551,Sync!$D$10)&amp;"","")&amp;"; "&amp;IFERROR(INDEX(Clay_Brands!$A$2:$FZ$601,551,Sync!$D$9)&amp;"",""))</f>
        <v/>
      </c>
      <c r="K4602" t="inlineStr">
        <is>
          <t>brand outreach touch 2</t>
        </is>
      </c>
    </row>
    <row r="4603">
      <c r="A4603" s="17">
        <f>IF(B4603="","",B4603+(16*1000+552)/10000000)</f>
        <v/>
      </c>
      <c r="B4603" s="23">
        <f>IF(AND(IFERROR(N(INDEX(Clay_Brands!$A$2:$FZ$601,552,Sync!$D$12)),0)&gt;0,IFERROR(INDEX(Clay_Brands!$A$2:$FZ$601,552,Sync!$D$5)&amp;"","")&lt;&gt;"",OR(LEFT(IFERROR(INDEX(Clay_Brands!$A$2:$FZ$601,552,Sync!$D$5)&amp;"",""),6)&lt;&gt;"SAMPLE",Config!$B$19="Y")),IFERROR(N(INDEX(Clay_Brands!$A$2:$FZ$601,552,Sync!$D$12)),0),"")</f>
        <v/>
      </c>
      <c r="C4603" s="17">
        <f>IF(B4603="","","brand")</f>
        <v/>
      </c>
      <c r="D4603" s="17">
        <f>IF(B4603="","",IFERROR(INDEX(Clay_Brands!$A$2:$FZ$601,552,Sync!$D$5)&amp;"",""))</f>
        <v/>
      </c>
      <c r="E4603" s="17">
        <f>IF(B4603="","",IFERROR(INDEX(Clay_Brands!$A$2:$FZ$601,552,Sync!$D$6)&amp;"",""))</f>
        <v/>
      </c>
      <c r="F4603" s="17">
        <f>IF(B4603="","","outreach_sent")</f>
        <v/>
      </c>
      <c r="G4603" s="17">
        <f>IF(B4603="","","")</f>
        <v/>
      </c>
      <c r="H4603" s="17">
        <f>IF(B4603="","","")</f>
        <v/>
      </c>
      <c r="I4603" s="17">
        <f>IF(B4603="","","")</f>
        <v/>
      </c>
      <c r="J4603" s="17">
        <f>IF(B4603="","","touch_2; "&amp;IFERROR(INDEX(Clay_Brands!$A$2:$FZ$601,552,Sync!$D$10)&amp;"","")&amp;"; "&amp;IFERROR(INDEX(Clay_Brands!$A$2:$FZ$601,552,Sync!$D$9)&amp;"",""))</f>
        <v/>
      </c>
      <c r="K4603" t="inlineStr">
        <is>
          <t>brand outreach touch 2</t>
        </is>
      </c>
    </row>
    <row r="4604">
      <c r="A4604" s="17">
        <f>IF(B4604="","",B4604+(16*1000+553)/10000000)</f>
        <v/>
      </c>
      <c r="B4604" s="23">
        <f>IF(AND(IFERROR(N(INDEX(Clay_Brands!$A$2:$FZ$601,553,Sync!$D$12)),0)&gt;0,IFERROR(INDEX(Clay_Brands!$A$2:$FZ$601,553,Sync!$D$5)&amp;"","")&lt;&gt;"",OR(LEFT(IFERROR(INDEX(Clay_Brands!$A$2:$FZ$601,553,Sync!$D$5)&amp;"",""),6)&lt;&gt;"SAMPLE",Config!$B$19="Y")),IFERROR(N(INDEX(Clay_Brands!$A$2:$FZ$601,553,Sync!$D$12)),0),"")</f>
        <v/>
      </c>
      <c r="C4604" s="17">
        <f>IF(B4604="","","brand")</f>
        <v/>
      </c>
      <c r="D4604" s="17">
        <f>IF(B4604="","",IFERROR(INDEX(Clay_Brands!$A$2:$FZ$601,553,Sync!$D$5)&amp;"",""))</f>
        <v/>
      </c>
      <c r="E4604" s="17">
        <f>IF(B4604="","",IFERROR(INDEX(Clay_Brands!$A$2:$FZ$601,553,Sync!$D$6)&amp;"",""))</f>
        <v/>
      </c>
      <c r="F4604" s="17">
        <f>IF(B4604="","","outreach_sent")</f>
        <v/>
      </c>
      <c r="G4604" s="17">
        <f>IF(B4604="","","")</f>
        <v/>
      </c>
      <c r="H4604" s="17">
        <f>IF(B4604="","","")</f>
        <v/>
      </c>
      <c r="I4604" s="17">
        <f>IF(B4604="","","")</f>
        <v/>
      </c>
      <c r="J4604" s="17">
        <f>IF(B4604="","","touch_2; "&amp;IFERROR(INDEX(Clay_Brands!$A$2:$FZ$601,553,Sync!$D$10)&amp;"","")&amp;"; "&amp;IFERROR(INDEX(Clay_Brands!$A$2:$FZ$601,553,Sync!$D$9)&amp;"",""))</f>
        <v/>
      </c>
      <c r="K4604" t="inlineStr">
        <is>
          <t>brand outreach touch 2</t>
        </is>
      </c>
    </row>
    <row r="4605">
      <c r="A4605" s="17">
        <f>IF(B4605="","",B4605+(16*1000+554)/10000000)</f>
        <v/>
      </c>
      <c r="B4605" s="23">
        <f>IF(AND(IFERROR(N(INDEX(Clay_Brands!$A$2:$FZ$601,554,Sync!$D$12)),0)&gt;0,IFERROR(INDEX(Clay_Brands!$A$2:$FZ$601,554,Sync!$D$5)&amp;"","")&lt;&gt;"",OR(LEFT(IFERROR(INDEX(Clay_Brands!$A$2:$FZ$601,554,Sync!$D$5)&amp;"",""),6)&lt;&gt;"SAMPLE",Config!$B$19="Y")),IFERROR(N(INDEX(Clay_Brands!$A$2:$FZ$601,554,Sync!$D$12)),0),"")</f>
        <v/>
      </c>
      <c r="C4605" s="17">
        <f>IF(B4605="","","brand")</f>
        <v/>
      </c>
      <c r="D4605" s="17">
        <f>IF(B4605="","",IFERROR(INDEX(Clay_Brands!$A$2:$FZ$601,554,Sync!$D$5)&amp;"",""))</f>
        <v/>
      </c>
      <c r="E4605" s="17">
        <f>IF(B4605="","",IFERROR(INDEX(Clay_Brands!$A$2:$FZ$601,554,Sync!$D$6)&amp;"",""))</f>
        <v/>
      </c>
      <c r="F4605" s="17">
        <f>IF(B4605="","","outreach_sent")</f>
        <v/>
      </c>
      <c r="G4605" s="17">
        <f>IF(B4605="","","")</f>
        <v/>
      </c>
      <c r="H4605" s="17">
        <f>IF(B4605="","","")</f>
        <v/>
      </c>
      <c r="I4605" s="17">
        <f>IF(B4605="","","")</f>
        <v/>
      </c>
      <c r="J4605" s="17">
        <f>IF(B4605="","","touch_2; "&amp;IFERROR(INDEX(Clay_Brands!$A$2:$FZ$601,554,Sync!$D$10)&amp;"","")&amp;"; "&amp;IFERROR(INDEX(Clay_Brands!$A$2:$FZ$601,554,Sync!$D$9)&amp;"",""))</f>
        <v/>
      </c>
      <c r="K4605" t="inlineStr">
        <is>
          <t>brand outreach touch 2</t>
        </is>
      </c>
    </row>
    <row r="4606">
      <c r="A4606" s="17">
        <f>IF(B4606="","",B4606+(16*1000+555)/10000000)</f>
        <v/>
      </c>
      <c r="B4606" s="23">
        <f>IF(AND(IFERROR(N(INDEX(Clay_Brands!$A$2:$FZ$601,555,Sync!$D$12)),0)&gt;0,IFERROR(INDEX(Clay_Brands!$A$2:$FZ$601,555,Sync!$D$5)&amp;"","")&lt;&gt;"",OR(LEFT(IFERROR(INDEX(Clay_Brands!$A$2:$FZ$601,555,Sync!$D$5)&amp;"",""),6)&lt;&gt;"SAMPLE",Config!$B$19="Y")),IFERROR(N(INDEX(Clay_Brands!$A$2:$FZ$601,555,Sync!$D$12)),0),"")</f>
        <v/>
      </c>
      <c r="C4606" s="17">
        <f>IF(B4606="","","brand")</f>
        <v/>
      </c>
      <c r="D4606" s="17">
        <f>IF(B4606="","",IFERROR(INDEX(Clay_Brands!$A$2:$FZ$601,555,Sync!$D$5)&amp;"",""))</f>
        <v/>
      </c>
      <c r="E4606" s="17">
        <f>IF(B4606="","",IFERROR(INDEX(Clay_Brands!$A$2:$FZ$601,555,Sync!$D$6)&amp;"",""))</f>
        <v/>
      </c>
      <c r="F4606" s="17">
        <f>IF(B4606="","","outreach_sent")</f>
        <v/>
      </c>
      <c r="G4606" s="17">
        <f>IF(B4606="","","")</f>
        <v/>
      </c>
      <c r="H4606" s="17">
        <f>IF(B4606="","","")</f>
        <v/>
      </c>
      <c r="I4606" s="17">
        <f>IF(B4606="","","")</f>
        <v/>
      </c>
      <c r="J4606" s="17">
        <f>IF(B4606="","","touch_2; "&amp;IFERROR(INDEX(Clay_Brands!$A$2:$FZ$601,555,Sync!$D$10)&amp;"","")&amp;"; "&amp;IFERROR(INDEX(Clay_Brands!$A$2:$FZ$601,555,Sync!$D$9)&amp;"",""))</f>
        <v/>
      </c>
      <c r="K4606" t="inlineStr">
        <is>
          <t>brand outreach touch 2</t>
        </is>
      </c>
    </row>
    <row r="4607">
      <c r="A4607" s="17">
        <f>IF(B4607="","",B4607+(16*1000+556)/10000000)</f>
        <v/>
      </c>
      <c r="B4607" s="23">
        <f>IF(AND(IFERROR(N(INDEX(Clay_Brands!$A$2:$FZ$601,556,Sync!$D$12)),0)&gt;0,IFERROR(INDEX(Clay_Brands!$A$2:$FZ$601,556,Sync!$D$5)&amp;"","")&lt;&gt;"",OR(LEFT(IFERROR(INDEX(Clay_Brands!$A$2:$FZ$601,556,Sync!$D$5)&amp;"",""),6)&lt;&gt;"SAMPLE",Config!$B$19="Y")),IFERROR(N(INDEX(Clay_Brands!$A$2:$FZ$601,556,Sync!$D$12)),0),"")</f>
        <v/>
      </c>
      <c r="C4607" s="17">
        <f>IF(B4607="","","brand")</f>
        <v/>
      </c>
      <c r="D4607" s="17">
        <f>IF(B4607="","",IFERROR(INDEX(Clay_Brands!$A$2:$FZ$601,556,Sync!$D$5)&amp;"",""))</f>
        <v/>
      </c>
      <c r="E4607" s="17">
        <f>IF(B4607="","",IFERROR(INDEX(Clay_Brands!$A$2:$FZ$601,556,Sync!$D$6)&amp;"",""))</f>
        <v/>
      </c>
      <c r="F4607" s="17">
        <f>IF(B4607="","","outreach_sent")</f>
        <v/>
      </c>
      <c r="G4607" s="17">
        <f>IF(B4607="","","")</f>
        <v/>
      </c>
      <c r="H4607" s="17">
        <f>IF(B4607="","","")</f>
        <v/>
      </c>
      <c r="I4607" s="17">
        <f>IF(B4607="","","")</f>
        <v/>
      </c>
      <c r="J4607" s="17">
        <f>IF(B4607="","","touch_2; "&amp;IFERROR(INDEX(Clay_Brands!$A$2:$FZ$601,556,Sync!$D$10)&amp;"","")&amp;"; "&amp;IFERROR(INDEX(Clay_Brands!$A$2:$FZ$601,556,Sync!$D$9)&amp;"",""))</f>
        <v/>
      </c>
      <c r="K4607" t="inlineStr">
        <is>
          <t>brand outreach touch 2</t>
        </is>
      </c>
    </row>
    <row r="4608">
      <c r="A4608" s="17">
        <f>IF(B4608="","",B4608+(16*1000+557)/10000000)</f>
        <v/>
      </c>
      <c r="B4608" s="23">
        <f>IF(AND(IFERROR(N(INDEX(Clay_Brands!$A$2:$FZ$601,557,Sync!$D$12)),0)&gt;0,IFERROR(INDEX(Clay_Brands!$A$2:$FZ$601,557,Sync!$D$5)&amp;"","")&lt;&gt;"",OR(LEFT(IFERROR(INDEX(Clay_Brands!$A$2:$FZ$601,557,Sync!$D$5)&amp;"",""),6)&lt;&gt;"SAMPLE",Config!$B$19="Y")),IFERROR(N(INDEX(Clay_Brands!$A$2:$FZ$601,557,Sync!$D$12)),0),"")</f>
        <v/>
      </c>
      <c r="C4608" s="17">
        <f>IF(B4608="","","brand")</f>
        <v/>
      </c>
      <c r="D4608" s="17">
        <f>IF(B4608="","",IFERROR(INDEX(Clay_Brands!$A$2:$FZ$601,557,Sync!$D$5)&amp;"",""))</f>
        <v/>
      </c>
      <c r="E4608" s="17">
        <f>IF(B4608="","",IFERROR(INDEX(Clay_Brands!$A$2:$FZ$601,557,Sync!$D$6)&amp;"",""))</f>
        <v/>
      </c>
      <c r="F4608" s="17">
        <f>IF(B4608="","","outreach_sent")</f>
        <v/>
      </c>
      <c r="G4608" s="17">
        <f>IF(B4608="","","")</f>
        <v/>
      </c>
      <c r="H4608" s="17">
        <f>IF(B4608="","","")</f>
        <v/>
      </c>
      <c r="I4608" s="17">
        <f>IF(B4608="","","")</f>
        <v/>
      </c>
      <c r="J4608" s="17">
        <f>IF(B4608="","","touch_2; "&amp;IFERROR(INDEX(Clay_Brands!$A$2:$FZ$601,557,Sync!$D$10)&amp;"","")&amp;"; "&amp;IFERROR(INDEX(Clay_Brands!$A$2:$FZ$601,557,Sync!$D$9)&amp;"",""))</f>
        <v/>
      </c>
      <c r="K4608" t="inlineStr">
        <is>
          <t>brand outreach touch 2</t>
        </is>
      </c>
    </row>
    <row r="4609">
      <c r="A4609" s="17">
        <f>IF(B4609="","",B4609+(16*1000+558)/10000000)</f>
        <v/>
      </c>
      <c r="B4609" s="23">
        <f>IF(AND(IFERROR(N(INDEX(Clay_Brands!$A$2:$FZ$601,558,Sync!$D$12)),0)&gt;0,IFERROR(INDEX(Clay_Brands!$A$2:$FZ$601,558,Sync!$D$5)&amp;"","")&lt;&gt;"",OR(LEFT(IFERROR(INDEX(Clay_Brands!$A$2:$FZ$601,558,Sync!$D$5)&amp;"",""),6)&lt;&gt;"SAMPLE",Config!$B$19="Y")),IFERROR(N(INDEX(Clay_Brands!$A$2:$FZ$601,558,Sync!$D$12)),0),"")</f>
        <v/>
      </c>
      <c r="C4609" s="17">
        <f>IF(B4609="","","brand")</f>
        <v/>
      </c>
      <c r="D4609" s="17">
        <f>IF(B4609="","",IFERROR(INDEX(Clay_Brands!$A$2:$FZ$601,558,Sync!$D$5)&amp;"",""))</f>
        <v/>
      </c>
      <c r="E4609" s="17">
        <f>IF(B4609="","",IFERROR(INDEX(Clay_Brands!$A$2:$FZ$601,558,Sync!$D$6)&amp;"",""))</f>
        <v/>
      </c>
      <c r="F4609" s="17">
        <f>IF(B4609="","","outreach_sent")</f>
        <v/>
      </c>
      <c r="G4609" s="17">
        <f>IF(B4609="","","")</f>
        <v/>
      </c>
      <c r="H4609" s="17">
        <f>IF(B4609="","","")</f>
        <v/>
      </c>
      <c r="I4609" s="17">
        <f>IF(B4609="","","")</f>
        <v/>
      </c>
      <c r="J4609" s="17">
        <f>IF(B4609="","","touch_2; "&amp;IFERROR(INDEX(Clay_Brands!$A$2:$FZ$601,558,Sync!$D$10)&amp;"","")&amp;"; "&amp;IFERROR(INDEX(Clay_Brands!$A$2:$FZ$601,558,Sync!$D$9)&amp;"",""))</f>
        <v/>
      </c>
      <c r="K4609" t="inlineStr">
        <is>
          <t>brand outreach touch 2</t>
        </is>
      </c>
    </row>
    <row r="4610">
      <c r="A4610" s="17">
        <f>IF(B4610="","",B4610+(16*1000+559)/10000000)</f>
        <v/>
      </c>
      <c r="B4610" s="23">
        <f>IF(AND(IFERROR(N(INDEX(Clay_Brands!$A$2:$FZ$601,559,Sync!$D$12)),0)&gt;0,IFERROR(INDEX(Clay_Brands!$A$2:$FZ$601,559,Sync!$D$5)&amp;"","")&lt;&gt;"",OR(LEFT(IFERROR(INDEX(Clay_Brands!$A$2:$FZ$601,559,Sync!$D$5)&amp;"",""),6)&lt;&gt;"SAMPLE",Config!$B$19="Y")),IFERROR(N(INDEX(Clay_Brands!$A$2:$FZ$601,559,Sync!$D$12)),0),"")</f>
        <v/>
      </c>
      <c r="C4610" s="17">
        <f>IF(B4610="","","brand")</f>
        <v/>
      </c>
      <c r="D4610" s="17">
        <f>IF(B4610="","",IFERROR(INDEX(Clay_Brands!$A$2:$FZ$601,559,Sync!$D$5)&amp;"",""))</f>
        <v/>
      </c>
      <c r="E4610" s="17">
        <f>IF(B4610="","",IFERROR(INDEX(Clay_Brands!$A$2:$FZ$601,559,Sync!$D$6)&amp;"",""))</f>
        <v/>
      </c>
      <c r="F4610" s="17">
        <f>IF(B4610="","","outreach_sent")</f>
        <v/>
      </c>
      <c r="G4610" s="17">
        <f>IF(B4610="","","")</f>
        <v/>
      </c>
      <c r="H4610" s="17">
        <f>IF(B4610="","","")</f>
        <v/>
      </c>
      <c r="I4610" s="17">
        <f>IF(B4610="","","")</f>
        <v/>
      </c>
      <c r="J4610" s="17">
        <f>IF(B4610="","","touch_2; "&amp;IFERROR(INDEX(Clay_Brands!$A$2:$FZ$601,559,Sync!$D$10)&amp;"","")&amp;"; "&amp;IFERROR(INDEX(Clay_Brands!$A$2:$FZ$601,559,Sync!$D$9)&amp;"",""))</f>
        <v/>
      </c>
      <c r="K4610" t="inlineStr">
        <is>
          <t>brand outreach touch 2</t>
        </is>
      </c>
    </row>
    <row r="4611">
      <c r="A4611" s="17">
        <f>IF(B4611="","",B4611+(16*1000+560)/10000000)</f>
        <v/>
      </c>
      <c r="B4611" s="23">
        <f>IF(AND(IFERROR(N(INDEX(Clay_Brands!$A$2:$FZ$601,560,Sync!$D$12)),0)&gt;0,IFERROR(INDEX(Clay_Brands!$A$2:$FZ$601,560,Sync!$D$5)&amp;"","")&lt;&gt;"",OR(LEFT(IFERROR(INDEX(Clay_Brands!$A$2:$FZ$601,560,Sync!$D$5)&amp;"",""),6)&lt;&gt;"SAMPLE",Config!$B$19="Y")),IFERROR(N(INDEX(Clay_Brands!$A$2:$FZ$601,560,Sync!$D$12)),0),"")</f>
        <v/>
      </c>
      <c r="C4611" s="17">
        <f>IF(B4611="","","brand")</f>
        <v/>
      </c>
      <c r="D4611" s="17">
        <f>IF(B4611="","",IFERROR(INDEX(Clay_Brands!$A$2:$FZ$601,560,Sync!$D$5)&amp;"",""))</f>
        <v/>
      </c>
      <c r="E4611" s="17">
        <f>IF(B4611="","",IFERROR(INDEX(Clay_Brands!$A$2:$FZ$601,560,Sync!$D$6)&amp;"",""))</f>
        <v/>
      </c>
      <c r="F4611" s="17">
        <f>IF(B4611="","","outreach_sent")</f>
        <v/>
      </c>
      <c r="G4611" s="17">
        <f>IF(B4611="","","")</f>
        <v/>
      </c>
      <c r="H4611" s="17">
        <f>IF(B4611="","","")</f>
        <v/>
      </c>
      <c r="I4611" s="17">
        <f>IF(B4611="","","")</f>
        <v/>
      </c>
      <c r="J4611" s="17">
        <f>IF(B4611="","","touch_2; "&amp;IFERROR(INDEX(Clay_Brands!$A$2:$FZ$601,560,Sync!$D$10)&amp;"","")&amp;"; "&amp;IFERROR(INDEX(Clay_Brands!$A$2:$FZ$601,560,Sync!$D$9)&amp;"",""))</f>
        <v/>
      </c>
      <c r="K4611" t="inlineStr">
        <is>
          <t>brand outreach touch 2</t>
        </is>
      </c>
    </row>
    <row r="4612">
      <c r="A4612" s="17">
        <f>IF(B4612="","",B4612+(16*1000+561)/10000000)</f>
        <v/>
      </c>
      <c r="B4612" s="23">
        <f>IF(AND(IFERROR(N(INDEX(Clay_Brands!$A$2:$FZ$601,561,Sync!$D$12)),0)&gt;0,IFERROR(INDEX(Clay_Brands!$A$2:$FZ$601,561,Sync!$D$5)&amp;"","")&lt;&gt;"",OR(LEFT(IFERROR(INDEX(Clay_Brands!$A$2:$FZ$601,561,Sync!$D$5)&amp;"",""),6)&lt;&gt;"SAMPLE",Config!$B$19="Y")),IFERROR(N(INDEX(Clay_Brands!$A$2:$FZ$601,561,Sync!$D$12)),0),"")</f>
        <v/>
      </c>
      <c r="C4612" s="17">
        <f>IF(B4612="","","brand")</f>
        <v/>
      </c>
      <c r="D4612" s="17">
        <f>IF(B4612="","",IFERROR(INDEX(Clay_Brands!$A$2:$FZ$601,561,Sync!$D$5)&amp;"",""))</f>
        <v/>
      </c>
      <c r="E4612" s="17">
        <f>IF(B4612="","",IFERROR(INDEX(Clay_Brands!$A$2:$FZ$601,561,Sync!$D$6)&amp;"",""))</f>
        <v/>
      </c>
      <c r="F4612" s="17">
        <f>IF(B4612="","","outreach_sent")</f>
        <v/>
      </c>
      <c r="G4612" s="17">
        <f>IF(B4612="","","")</f>
        <v/>
      </c>
      <c r="H4612" s="17">
        <f>IF(B4612="","","")</f>
        <v/>
      </c>
      <c r="I4612" s="17">
        <f>IF(B4612="","","")</f>
        <v/>
      </c>
      <c r="J4612" s="17">
        <f>IF(B4612="","","touch_2; "&amp;IFERROR(INDEX(Clay_Brands!$A$2:$FZ$601,561,Sync!$D$10)&amp;"","")&amp;"; "&amp;IFERROR(INDEX(Clay_Brands!$A$2:$FZ$601,561,Sync!$D$9)&amp;"",""))</f>
        <v/>
      </c>
      <c r="K4612" t="inlineStr">
        <is>
          <t>brand outreach touch 2</t>
        </is>
      </c>
    </row>
    <row r="4613">
      <c r="A4613" s="17">
        <f>IF(B4613="","",B4613+(16*1000+562)/10000000)</f>
        <v/>
      </c>
      <c r="B4613" s="23">
        <f>IF(AND(IFERROR(N(INDEX(Clay_Brands!$A$2:$FZ$601,562,Sync!$D$12)),0)&gt;0,IFERROR(INDEX(Clay_Brands!$A$2:$FZ$601,562,Sync!$D$5)&amp;"","")&lt;&gt;"",OR(LEFT(IFERROR(INDEX(Clay_Brands!$A$2:$FZ$601,562,Sync!$D$5)&amp;"",""),6)&lt;&gt;"SAMPLE",Config!$B$19="Y")),IFERROR(N(INDEX(Clay_Brands!$A$2:$FZ$601,562,Sync!$D$12)),0),"")</f>
        <v/>
      </c>
      <c r="C4613" s="17">
        <f>IF(B4613="","","brand")</f>
        <v/>
      </c>
      <c r="D4613" s="17">
        <f>IF(B4613="","",IFERROR(INDEX(Clay_Brands!$A$2:$FZ$601,562,Sync!$D$5)&amp;"",""))</f>
        <v/>
      </c>
      <c r="E4613" s="17">
        <f>IF(B4613="","",IFERROR(INDEX(Clay_Brands!$A$2:$FZ$601,562,Sync!$D$6)&amp;"",""))</f>
        <v/>
      </c>
      <c r="F4613" s="17">
        <f>IF(B4613="","","outreach_sent")</f>
        <v/>
      </c>
      <c r="G4613" s="17">
        <f>IF(B4613="","","")</f>
        <v/>
      </c>
      <c r="H4613" s="17">
        <f>IF(B4613="","","")</f>
        <v/>
      </c>
      <c r="I4613" s="17">
        <f>IF(B4613="","","")</f>
        <v/>
      </c>
      <c r="J4613" s="17">
        <f>IF(B4613="","","touch_2; "&amp;IFERROR(INDEX(Clay_Brands!$A$2:$FZ$601,562,Sync!$D$10)&amp;"","")&amp;"; "&amp;IFERROR(INDEX(Clay_Brands!$A$2:$FZ$601,562,Sync!$D$9)&amp;"",""))</f>
        <v/>
      </c>
      <c r="K4613" t="inlineStr">
        <is>
          <t>brand outreach touch 2</t>
        </is>
      </c>
    </row>
    <row r="4614">
      <c r="A4614" s="17">
        <f>IF(B4614="","",B4614+(16*1000+563)/10000000)</f>
        <v/>
      </c>
      <c r="B4614" s="23">
        <f>IF(AND(IFERROR(N(INDEX(Clay_Brands!$A$2:$FZ$601,563,Sync!$D$12)),0)&gt;0,IFERROR(INDEX(Clay_Brands!$A$2:$FZ$601,563,Sync!$D$5)&amp;"","")&lt;&gt;"",OR(LEFT(IFERROR(INDEX(Clay_Brands!$A$2:$FZ$601,563,Sync!$D$5)&amp;"",""),6)&lt;&gt;"SAMPLE",Config!$B$19="Y")),IFERROR(N(INDEX(Clay_Brands!$A$2:$FZ$601,563,Sync!$D$12)),0),"")</f>
        <v/>
      </c>
      <c r="C4614" s="17">
        <f>IF(B4614="","","brand")</f>
        <v/>
      </c>
      <c r="D4614" s="17">
        <f>IF(B4614="","",IFERROR(INDEX(Clay_Brands!$A$2:$FZ$601,563,Sync!$D$5)&amp;"",""))</f>
        <v/>
      </c>
      <c r="E4614" s="17">
        <f>IF(B4614="","",IFERROR(INDEX(Clay_Brands!$A$2:$FZ$601,563,Sync!$D$6)&amp;"",""))</f>
        <v/>
      </c>
      <c r="F4614" s="17">
        <f>IF(B4614="","","outreach_sent")</f>
        <v/>
      </c>
      <c r="G4614" s="17">
        <f>IF(B4614="","","")</f>
        <v/>
      </c>
      <c r="H4614" s="17">
        <f>IF(B4614="","","")</f>
        <v/>
      </c>
      <c r="I4614" s="17">
        <f>IF(B4614="","","")</f>
        <v/>
      </c>
      <c r="J4614" s="17">
        <f>IF(B4614="","","touch_2; "&amp;IFERROR(INDEX(Clay_Brands!$A$2:$FZ$601,563,Sync!$D$10)&amp;"","")&amp;"; "&amp;IFERROR(INDEX(Clay_Brands!$A$2:$FZ$601,563,Sync!$D$9)&amp;"",""))</f>
        <v/>
      </c>
      <c r="K4614" t="inlineStr">
        <is>
          <t>brand outreach touch 2</t>
        </is>
      </c>
    </row>
    <row r="4615">
      <c r="A4615" s="17">
        <f>IF(B4615="","",B4615+(16*1000+564)/10000000)</f>
        <v/>
      </c>
      <c r="B4615" s="23">
        <f>IF(AND(IFERROR(N(INDEX(Clay_Brands!$A$2:$FZ$601,564,Sync!$D$12)),0)&gt;0,IFERROR(INDEX(Clay_Brands!$A$2:$FZ$601,564,Sync!$D$5)&amp;"","")&lt;&gt;"",OR(LEFT(IFERROR(INDEX(Clay_Brands!$A$2:$FZ$601,564,Sync!$D$5)&amp;"",""),6)&lt;&gt;"SAMPLE",Config!$B$19="Y")),IFERROR(N(INDEX(Clay_Brands!$A$2:$FZ$601,564,Sync!$D$12)),0),"")</f>
        <v/>
      </c>
      <c r="C4615" s="17">
        <f>IF(B4615="","","brand")</f>
        <v/>
      </c>
      <c r="D4615" s="17">
        <f>IF(B4615="","",IFERROR(INDEX(Clay_Brands!$A$2:$FZ$601,564,Sync!$D$5)&amp;"",""))</f>
        <v/>
      </c>
      <c r="E4615" s="17">
        <f>IF(B4615="","",IFERROR(INDEX(Clay_Brands!$A$2:$FZ$601,564,Sync!$D$6)&amp;"",""))</f>
        <v/>
      </c>
      <c r="F4615" s="17">
        <f>IF(B4615="","","outreach_sent")</f>
        <v/>
      </c>
      <c r="G4615" s="17">
        <f>IF(B4615="","","")</f>
        <v/>
      </c>
      <c r="H4615" s="17">
        <f>IF(B4615="","","")</f>
        <v/>
      </c>
      <c r="I4615" s="17">
        <f>IF(B4615="","","")</f>
        <v/>
      </c>
      <c r="J4615" s="17">
        <f>IF(B4615="","","touch_2; "&amp;IFERROR(INDEX(Clay_Brands!$A$2:$FZ$601,564,Sync!$D$10)&amp;"","")&amp;"; "&amp;IFERROR(INDEX(Clay_Brands!$A$2:$FZ$601,564,Sync!$D$9)&amp;"",""))</f>
        <v/>
      </c>
      <c r="K4615" t="inlineStr">
        <is>
          <t>brand outreach touch 2</t>
        </is>
      </c>
    </row>
    <row r="4616">
      <c r="A4616" s="17">
        <f>IF(B4616="","",B4616+(16*1000+565)/10000000)</f>
        <v/>
      </c>
      <c r="B4616" s="23">
        <f>IF(AND(IFERROR(N(INDEX(Clay_Brands!$A$2:$FZ$601,565,Sync!$D$12)),0)&gt;0,IFERROR(INDEX(Clay_Brands!$A$2:$FZ$601,565,Sync!$D$5)&amp;"","")&lt;&gt;"",OR(LEFT(IFERROR(INDEX(Clay_Brands!$A$2:$FZ$601,565,Sync!$D$5)&amp;"",""),6)&lt;&gt;"SAMPLE",Config!$B$19="Y")),IFERROR(N(INDEX(Clay_Brands!$A$2:$FZ$601,565,Sync!$D$12)),0),"")</f>
        <v/>
      </c>
      <c r="C4616" s="17">
        <f>IF(B4616="","","brand")</f>
        <v/>
      </c>
      <c r="D4616" s="17">
        <f>IF(B4616="","",IFERROR(INDEX(Clay_Brands!$A$2:$FZ$601,565,Sync!$D$5)&amp;"",""))</f>
        <v/>
      </c>
      <c r="E4616" s="17">
        <f>IF(B4616="","",IFERROR(INDEX(Clay_Brands!$A$2:$FZ$601,565,Sync!$D$6)&amp;"",""))</f>
        <v/>
      </c>
      <c r="F4616" s="17">
        <f>IF(B4616="","","outreach_sent")</f>
        <v/>
      </c>
      <c r="G4616" s="17">
        <f>IF(B4616="","","")</f>
        <v/>
      </c>
      <c r="H4616" s="17">
        <f>IF(B4616="","","")</f>
        <v/>
      </c>
      <c r="I4616" s="17">
        <f>IF(B4616="","","")</f>
        <v/>
      </c>
      <c r="J4616" s="17">
        <f>IF(B4616="","","touch_2; "&amp;IFERROR(INDEX(Clay_Brands!$A$2:$FZ$601,565,Sync!$D$10)&amp;"","")&amp;"; "&amp;IFERROR(INDEX(Clay_Brands!$A$2:$FZ$601,565,Sync!$D$9)&amp;"",""))</f>
        <v/>
      </c>
      <c r="K4616" t="inlineStr">
        <is>
          <t>brand outreach touch 2</t>
        </is>
      </c>
    </row>
    <row r="4617">
      <c r="A4617" s="17">
        <f>IF(B4617="","",B4617+(16*1000+566)/10000000)</f>
        <v/>
      </c>
      <c r="B4617" s="23">
        <f>IF(AND(IFERROR(N(INDEX(Clay_Brands!$A$2:$FZ$601,566,Sync!$D$12)),0)&gt;0,IFERROR(INDEX(Clay_Brands!$A$2:$FZ$601,566,Sync!$D$5)&amp;"","")&lt;&gt;"",OR(LEFT(IFERROR(INDEX(Clay_Brands!$A$2:$FZ$601,566,Sync!$D$5)&amp;"",""),6)&lt;&gt;"SAMPLE",Config!$B$19="Y")),IFERROR(N(INDEX(Clay_Brands!$A$2:$FZ$601,566,Sync!$D$12)),0),"")</f>
        <v/>
      </c>
      <c r="C4617" s="17">
        <f>IF(B4617="","","brand")</f>
        <v/>
      </c>
      <c r="D4617" s="17">
        <f>IF(B4617="","",IFERROR(INDEX(Clay_Brands!$A$2:$FZ$601,566,Sync!$D$5)&amp;"",""))</f>
        <v/>
      </c>
      <c r="E4617" s="17">
        <f>IF(B4617="","",IFERROR(INDEX(Clay_Brands!$A$2:$FZ$601,566,Sync!$D$6)&amp;"",""))</f>
        <v/>
      </c>
      <c r="F4617" s="17">
        <f>IF(B4617="","","outreach_sent")</f>
        <v/>
      </c>
      <c r="G4617" s="17">
        <f>IF(B4617="","","")</f>
        <v/>
      </c>
      <c r="H4617" s="17">
        <f>IF(B4617="","","")</f>
        <v/>
      </c>
      <c r="I4617" s="17">
        <f>IF(B4617="","","")</f>
        <v/>
      </c>
      <c r="J4617" s="17">
        <f>IF(B4617="","","touch_2; "&amp;IFERROR(INDEX(Clay_Brands!$A$2:$FZ$601,566,Sync!$D$10)&amp;"","")&amp;"; "&amp;IFERROR(INDEX(Clay_Brands!$A$2:$FZ$601,566,Sync!$D$9)&amp;"",""))</f>
        <v/>
      </c>
      <c r="K4617" t="inlineStr">
        <is>
          <t>brand outreach touch 2</t>
        </is>
      </c>
    </row>
    <row r="4618">
      <c r="A4618" s="17">
        <f>IF(B4618="","",B4618+(16*1000+567)/10000000)</f>
        <v/>
      </c>
      <c r="B4618" s="23">
        <f>IF(AND(IFERROR(N(INDEX(Clay_Brands!$A$2:$FZ$601,567,Sync!$D$12)),0)&gt;0,IFERROR(INDEX(Clay_Brands!$A$2:$FZ$601,567,Sync!$D$5)&amp;"","")&lt;&gt;"",OR(LEFT(IFERROR(INDEX(Clay_Brands!$A$2:$FZ$601,567,Sync!$D$5)&amp;"",""),6)&lt;&gt;"SAMPLE",Config!$B$19="Y")),IFERROR(N(INDEX(Clay_Brands!$A$2:$FZ$601,567,Sync!$D$12)),0),"")</f>
        <v/>
      </c>
      <c r="C4618" s="17">
        <f>IF(B4618="","","brand")</f>
        <v/>
      </c>
      <c r="D4618" s="17">
        <f>IF(B4618="","",IFERROR(INDEX(Clay_Brands!$A$2:$FZ$601,567,Sync!$D$5)&amp;"",""))</f>
        <v/>
      </c>
      <c r="E4618" s="17">
        <f>IF(B4618="","",IFERROR(INDEX(Clay_Brands!$A$2:$FZ$601,567,Sync!$D$6)&amp;"",""))</f>
        <v/>
      </c>
      <c r="F4618" s="17">
        <f>IF(B4618="","","outreach_sent")</f>
        <v/>
      </c>
      <c r="G4618" s="17">
        <f>IF(B4618="","","")</f>
        <v/>
      </c>
      <c r="H4618" s="17">
        <f>IF(B4618="","","")</f>
        <v/>
      </c>
      <c r="I4618" s="17">
        <f>IF(B4618="","","")</f>
        <v/>
      </c>
      <c r="J4618" s="17">
        <f>IF(B4618="","","touch_2; "&amp;IFERROR(INDEX(Clay_Brands!$A$2:$FZ$601,567,Sync!$D$10)&amp;"","")&amp;"; "&amp;IFERROR(INDEX(Clay_Brands!$A$2:$FZ$601,567,Sync!$D$9)&amp;"",""))</f>
        <v/>
      </c>
      <c r="K4618" t="inlineStr">
        <is>
          <t>brand outreach touch 2</t>
        </is>
      </c>
    </row>
    <row r="4619">
      <c r="A4619" s="17">
        <f>IF(B4619="","",B4619+(16*1000+568)/10000000)</f>
        <v/>
      </c>
      <c r="B4619" s="23">
        <f>IF(AND(IFERROR(N(INDEX(Clay_Brands!$A$2:$FZ$601,568,Sync!$D$12)),0)&gt;0,IFERROR(INDEX(Clay_Brands!$A$2:$FZ$601,568,Sync!$D$5)&amp;"","")&lt;&gt;"",OR(LEFT(IFERROR(INDEX(Clay_Brands!$A$2:$FZ$601,568,Sync!$D$5)&amp;"",""),6)&lt;&gt;"SAMPLE",Config!$B$19="Y")),IFERROR(N(INDEX(Clay_Brands!$A$2:$FZ$601,568,Sync!$D$12)),0),"")</f>
        <v/>
      </c>
      <c r="C4619" s="17">
        <f>IF(B4619="","","brand")</f>
        <v/>
      </c>
      <c r="D4619" s="17">
        <f>IF(B4619="","",IFERROR(INDEX(Clay_Brands!$A$2:$FZ$601,568,Sync!$D$5)&amp;"",""))</f>
        <v/>
      </c>
      <c r="E4619" s="17">
        <f>IF(B4619="","",IFERROR(INDEX(Clay_Brands!$A$2:$FZ$601,568,Sync!$D$6)&amp;"",""))</f>
        <v/>
      </c>
      <c r="F4619" s="17">
        <f>IF(B4619="","","outreach_sent")</f>
        <v/>
      </c>
      <c r="G4619" s="17">
        <f>IF(B4619="","","")</f>
        <v/>
      </c>
      <c r="H4619" s="17">
        <f>IF(B4619="","","")</f>
        <v/>
      </c>
      <c r="I4619" s="17">
        <f>IF(B4619="","","")</f>
        <v/>
      </c>
      <c r="J4619" s="17">
        <f>IF(B4619="","","touch_2; "&amp;IFERROR(INDEX(Clay_Brands!$A$2:$FZ$601,568,Sync!$D$10)&amp;"","")&amp;"; "&amp;IFERROR(INDEX(Clay_Brands!$A$2:$FZ$601,568,Sync!$D$9)&amp;"",""))</f>
        <v/>
      </c>
      <c r="K4619" t="inlineStr">
        <is>
          <t>brand outreach touch 2</t>
        </is>
      </c>
    </row>
    <row r="4620">
      <c r="A4620" s="17">
        <f>IF(B4620="","",B4620+(16*1000+569)/10000000)</f>
        <v/>
      </c>
      <c r="B4620" s="23">
        <f>IF(AND(IFERROR(N(INDEX(Clay_Brands!$A$2:$FZ$601,569,Sync!$D$12)),0)&gt;0,IFERROR(INDEX(Clay_Brands!$A$2:$FZ$601,569,Sync!$D$5)&amp;"","")&lt;&gt;"",OR(LEFT(IFERROR(INDEX(Clay_Brands!$A$2:$FZ$601,569,Sync!$D$5)&amp;"",""),6)&lt;&gt;"SAMPLE",Config!$B$19="Y")),IFERROR(N(INDEX(Clay_Brands!$A$2:$FZ$601,569,Sync!$D$12)),0),"")</f>
        <v/>
      </c>
      <c r="C4620" s="17">
        <f>IF(B4620="","","brand")</f>
        <v/>
      </c>
      <c r="D4620" s="17">
        <f>IF(B4620="","",IFERROR(INDEX(Clay_Brands!$A$2:$FZ$601,569,Sync!$D$5)&amp;"",""))</f>
        <v/>
      </c>
      <c r="E4620" s="17">
        <f>IF(B4620="","",IFERROR(INDEX(Clay_Brands!$A$2:$FZ$601,569,Sync!$D$6)&amp;"",""))</f>
        <v/>
      </c>
      <c r="F4620" s="17">
        <f>IF(B4620="","","outreach_sent")</f>
        <v/>
      </c>
      <c r="G4620" s="17">
        <f>IF(B4620="","","")</f>
        <v/>
      </c>
      <c r="H4620" s="17">
        <f>IF(B4620="","","")</f>
        <v/>
      </c>
      <c r="I4620" s="17">
        <f>IF(B4620="","","")</f>
        <v/>
      </c>
      <c r="J4620" s="17">
        <f>IF(B4620="","","touch_2; "&amp;IFERROR(INDEX(Clay_Brands!$A$2:$FZ$601,569,Sync!$D$10)&amp;"","")&amp;"; "&amp;IFERROR(INDEX(Clay_Brands!$A$2:$FZ$601,569,Sync!$D$9)&amp;"",""))</f>
        <v/>
      </c>
      <c r="K4620" t="inlineStr">
        <is>
          <t>brand outreach touch 2</t>
        </is>
      </c>
    </row>
    <row r="4621">
      <c r="A4621" s="17">
        <f>IF(B4621="","",B4621+(16*1000+570)/10000000)</f>
        <v/>
      </c>
      <c r="B4621" s="23">
        <f>IF(AND(IFERROR(N(INDEX(Clay_Brands!$A$2:$FZ$601,570,Sync!$D$12)),0)&gt;0,IFERROR(INDEX(Clay_Brands!$A$2:$FZ$601,570,Sync!$D$5)&amp;"","")&lt;&gt;"",OR(LEFT(IFERROR(INDEX(Clay_Brands!$A$2:$FZ$601,570,Sync!$D$5)&amp;"",""),6)&lt;&gt;"SAMPLE",Config!$B$19="Y")),IFERROR(N(INDEX(Clay_Brands!$A$2:$FZ$601,570,Sync!$D$12)),0),"")</f>
        <v/>
      </c>
      <c r="C4621" s="17">
        <f>IF(B4621="","","brand")</f>
        <v/>
      </c>
      <c r="D4621" s="17">
        <f>IF(B4621="","",IFERROR(INDEX(Clay_Brands!$A$2:$FZ$601,570,Sync!$D$5)&amp;"",""))</f>
        <v/>
      </c>
      <c r="E4621" s="17">
        <f>IF(B4621="","",IFERROR(INDEX(Clay_Brands!$A$2:$FZ$601,570,Sync!$D$6)&amp;"",""))</f>
        <v/>
      </c>
      <c r="F4621" s="17">
        <f>IF(B4621="","","outreach_sent")</f>
        <v/>
      </c>
      <c r="G4621" s="17">
        <f>IF(B4621="","","")</f>
        <v/>
      </c>
      <c r="H4621" s="17">
        <f>IF(B4621="","","")</f>
        <v/>
      </c>
      <c r="I4621" s="17">
        <f>IF(B4621="","","")</f>
        <v/>
      </c>
      <c r="J4621" s="17">
        <f>IF(B4621="","","touch_2; "&amp;IFERROR(INDEX(Clay_Brands!$A$2:$FZ$601,570,Sync!$D$10)&amp;"","")&amp;"; "&amp;IFERROR(INDEX(Clay_Brands!$A$2:$FZ$601,570,Sync!$D$9)&amp;"",""))</f>
        <v/>
      </c>
      <c r="K4621" t="inlineStr">
        <is>
          <t>brand outreach touch 2</t>
        </is>
      </c>
    </row>
    <row r="4622">
      <c r="A4622" s="17">
        <f>IF(B4622="","",B4622+(16*1000+571)/10000000)</f>
        <v/>
      </c>
      <c r="B4622" s="23">
        <f>IF(AND(IFERROR(N(INDEX(Clay_Brands!$A$2:$FZ$601,571,Sync!$D$12)),0)&gt;0,IFERROR(INDEX(Clay_Brands!$A$2:$FZ$601,571,Sync!$D$5)&amp;"","")&lt;&gt;"",OR(LEFT(IFERROR(INDEX(Clay_Brands!$A$2:$FZ$601,571,Sync!$D$5)&amp;"",""),6)&lt;&gt;"SAMPLE",Config!$B$19="Y")),IFERROR(N(INDEX(Clay_Brands!$A$2:$FZ$601,571,Sync!$D$12)),0),"")</f>
        <v/>
      </c>
      <c r="C4622" s="17">
        <f>IF(B4622="","","brand")</f>
        <v/>
      </c>
      <c r="D4622" s="17">
        <f>IF(B4622="","",IFERROR(INDEX(Clay_Brands!$A$2:$FZ$601,571,Sync!$D$5)&amp;"",""))</f>
        <v/>
      </c>
      <c r="E4622" s="17">
        <f>IF(B4622="","",IFERROR(INDEX(Clay_Brands!$A$2:$FZ$601,571,Sync!$D$6)&amp;"",""))</f>
        <v/>
      </c>
      <c r="F4622" s="17">
        <f>IF(B4622="","","outreach_sent")</f>
        <v/>
      </c>
      <c r="G4622" s="17">
        <f>IF(B4622="","","")</f>
        <v/>
      </c>
      <c r="H4622" s="17">
        <f>IF(B4622="","","")</f>
        <v/>
      </c>
      <c r="I4622" s="17">
        <f>IF(B4622="","","")</f>
        <v/>
      </c>
      <c r="J4622" s="17">
        <f>IF(B4622="","","touch_2; "&amp;IFERROR(INDEX(Clay_Brands!$A$2:$FZ$601,571,Sync!$D$10)&amp;"","")&amp;"; "&amp;IFERROR(INDEX(Clay_Brands!$A$2:$FZ$601,571,Sync!$D$9)&amp;"",""))</f>
        <v/>
      </c>
      <c r="K4622" t="inlineStr">
        <is>
          <t>brand outreach touch 2</t>
        </is>
      </c>
    </row>
    <row r="4623">
      <c r="A4623" s="17">
        <f>IF(B4623="","",B4623+(16*1000+572)/10000000)</f>
        <v/>
      </c>
      <c r="B4623" s="23">
        <f>IF(AND(IFERROR(N(INDEX(Clay_Brands!$A$2:$FZ$601,572,Sync!$D$12)),0)&gt;0,IFERROR(INDEX(Clay_Brands!$A$2:$FZ$601,572,Sync!$D$5)&amp;"","")&lt;&gt;"",OR(LEFT(IFERROR(INDEX(Clay_Brands!$A$2:$FZ$601,572,Sync!$D$5)&amp;"",""),6)&lt;&gt;"SAMPLE",Config!$B$19="Y")),IFERROR(N(INDEX(Clay_Brands!$A$2:$FZ$601,572,Sync!$D$12)),0),"")</f>
        <v/>
      </c>
      <c r="C4623" s="17">
        <f>IF(B4623="","","brand")</f>
        <v/>
      </c>
      <c r="D4623" s="17">
        <f>IF(B4623="","",IFERROR(INDEX(Clay_Brands!$A$2:$FZ$601,572,Sync!$D$5)&amp;"",""))</f>
        <v/>
      </c>
      <c r="E4623" s="17">
        <f>IF(B4623="","",IFERROR(INDEX(Clay_Brands!$A$2:$FZ$601,572,Sync!$D$6)&amp;"",""))</f>
        <v/>
      </c>
      <c r="F4623" s="17">
        <f>IF(B4623="","","outreach_sent")</f>
        <v/>
      </c>
      <c r="G4623" s="17">
        <f>IF(B4623="","","")</f>
        <v/>
      </c>
      <c r="H4623" s="17">
        <f>IF(B4623="","","")</f>
        <v/>
      </c>
      <c r="I4623" s="17">
        <f>IF(B4623="","","")</f>
        <v/>
      </c>
      <c r="J4623" s="17">
        <f>IF(B4623="","","touch_2; "&amp;IFERROR(INDEX(Clay_Brands!$A$2:$FZ$601,572,Sync!$D$10)&amp;"","")&amp;"; "&amp;IFERROR(INDEX(Clay_Brands!$A$2:$FZ$601,572,Sync!$D$9)&amp;"",""))</f>
        <v/>
      </c>
      <c r="K4623" t="inlineStr">
        <is>
          <t>brand outreach touch 2</t>
        </is>
      </c>
    </row>
    <row r="4624">
      <c r="A4624" s="17">
        <f>IF(B4624="","",B4624+(16*1000+573)/10000000)</f>
        <v/>
      </c>
      <c r="B4624" s="23">
        <f>IF(AND(IFERROR(N(INDEX(Clay_Brands!$A$2:$FZ$601,573,Sync!$D$12)),0)&gt;0,IFERROR(INDEX(Clay_Brands!$A$2:$FZ$601,573,Sync!$D$5)&amp;"","")&lt;&gt;"",OR(LEFT(IFERROR(INDEX(Clay_Brands!$A$2:$FZ$601,573,Sync!$D$5)&amp;"",""),6)&lt;&gt;"SAMPLE",Config!$B$19="Y")),IFERROR(N(INDEX(Clay_Brands!$A$2:$FZ$601,573,Sync!$D$12)),0),"")</f>
        <v/>
      </c>
      <c r="C4624" s="17">
        <f>IF(B4624="","","brand")</f>
        <v/>
      </c>
      <c r="D4624" s="17">
        <f>IF(B4624="","",IFERROR(INDEX(Clay_Brands!$A$2:$FZ$601,573,Sync!$D$5)&amp;"",""))</f>
        <v/>
      </c>
      <c r="E4624" s="17">
        <f>IF(B4624="","",IFERROR(INDEX(Clay_Brands!$A$2:$FZ$601,573,Sync!$D$6)&amp;"",""))</f>
        <v/>
      </c>
      <c r="F4624" s="17">
        <f>IF(B4624="","","outreach_sent")</f>
        <v/>
      </c>
      <c r="G4624" s="17">
        <f>IF(B4624="","","")</f>
        <v/>
      </c>
      <c r="H4624" s="17">
        <f>IF(B4624="","","")</f>
        <v/>
      </c>
      <c r="I4624" s="17">
        <f>IF(B4624="","","")</f>
        <v/>
      </c>
      <c r="J4624" s="17">
        <f>IF(B4624="","","touch_2; "&amp;IFERROR(INDEX(Clay_Brands!$A$2:$FZ$601,573,Sync!$D$10)&amp;"","")&amp;"; "&amp;IFERROR(INDEX(Clay_Brands!$A$2:$FZ$601,573,Sync!$D$9)&amp;"",""))</f>
        <v/>
      </c>
      <c r="K4624" t="inlineStr">
        <is>
          <t>brand outreach touch 2</t>
        </is>
      </c>
    </row>
    <row r="4625">
      <c r="A4625" s="17">
        <f>IF(B4625="","",B4625+(16*1000+574)/10000000)</f>
        <v/>
      </c>
      <c r="B4625" s="23">
        <f>IF(AND(IFERROR(N(INDEX(Clay_Brands!$A$2:$FZ$601,574,Sync!$D$12)),0)&gt;0,IFERROR(INDEX(Clay_Brands!$A$2:$FZ$601,574,Sync!$D$5)&amp;"","")&lt;&gt;"",OR(LEFT(IFERROR(INDEX(Clay_Brands!$A$2:$FZ$601,574,Sync!$D$5)&amp;"",""),6)&lt;&gt;"SAMPLE",Config!$B$19="Y")),IFERROR(N(INDEX(Clay_Brands!$A$2:$FZ$601,574,Sync!$D$12)),0),"")</f>
        <v/>
      </c>
      <c r="C4625" s="17">
        <f>IF(B4625="","","brand")</f>
        <v/>
      </c>
      <c r="D4625" s="17">
        <f>IF(B4625="","",IFERROR(INDEX(Clay_Brands!$A$2:$FZ$601,574,Sync!$D$5)&amp;"",""))</f>
        <v/>
      </c>
      <c r="E4625" s="17">
        <f>IF(B4625="","",IFERROR(INDEX(Clay_Brands!$A$2:$FZ$601,574,Sync!$D$6)&amp;"",""))</f>
        <v/>
      </c>
      <c r="F4625" s="17">
        <f>IF(B4625="","","outreach_sent")</f>
        <v/>
      </c>
      <c r="G4625" s="17">
        <f>IF(B4625="","","")</f>
        <v/>
      </c>
      <c r="H4625" s="17">
        <f>IF(B4625="","","")</f>
        <v/>
      </c>
      <c r="I4625" s="17">
        <f>IF(B4625="","","")</f>
        <v/>
      </c>
      <c r="J4625" s="17">
        <f>IF(B4625="","","touch_2; "&amp;IFERROR(INDEX(Clay_Brands!$A$2:$FZ$601,574,Sync!$D$10)&amp;"","")&amp;"; "&amp;IFERROR(INDEX(Clay_Brands!$A$2:$FZ$601,574,Sync!$D$9)&amp;"",""))</f>
        <v/>
      </c>
      <c r="K4625" t="inlineStr">
        <is>
          <t>brand outreach touch 2</t>
        </is>
      </c>
    </row>
    <row r="4626">
      <c r="A4626" s="17">
        <f>IF(B4626="","",B4626+(16*1000+575)/10000000)</f>
        <v/>
      </c>
      <c r="B4626" s="23">
        <f>IF(AND(IFERROR(N(INDEX(Clay_Brands!$A$2:$FZ$601,575,Sync!$D$12)),0)&gt;0,IFERROR(INDEX(Clay_Brands!$A$2:$FZ$601,575,Sync!$D$5)&amp;"","")&lt;&gt;"",OR(LEFT(IFERROR(INDEX(Clay_Brands!$A$2:$FZ$601,575,Sync!$D$5)&amp;"",""),6)&lt;&gt;"SAMPLE",Config!$B$19="Y")),IFERROR(N(INDEX(Clay_Brands!$A$2:$FZ$601,575,Sync!$D$12)),0),"")</f>
        <v/>
      </c>
      <c r="C4626" s="17">
        <f>IF(B4626="","","brand")</f>
        <v/>
      </c>
      <c r="D4626" s="17">
        <f>IF(B4626="","",IFERROR(INDEX(Clay_Brands!$A$2:$FZ$601,575,Sync!$D$5)&amp;"",""))</f>
        <v/>
      </c>
      <c r="E4626" s="17">
        <f>IF(B4626="","",IFERROR(INDEX(Clay_Brands!$A$2:$FZ$601,575,Sync!$D$6)&amp;"",""))</f>
        <v/>
      </c>
      <c r="F4626" s="17">
        <f>IF(B4626="","","outreach_sent")</f>
        <v/>
      </c>
      <c r="G4626" s="17">
        <f>IF(B4626="","","")</f>
        <v/>
      </c>
      <c r="H4626" s="17">
        <f>IF(B4626="","","")</f>
        <v/>
      </c>
      <c r="I4626" s="17">
        <f>IF(B4626="","","")</f>
        <v/>
      </c>
      <c r="J4626" s="17">
        <f>IF(B4626="","","touch_2; "&amp;IFERROR(INDEX(Clay_Brands!$A$2:$FZ$601,575,Sync!$D$10)&amp;"","")&amp;"; "&amp;IFERROR(INDEX(Clay_Brands!$A$2:$FZ$601,575,Sync!$D$9)&amp;"",""))</f>
        <v/>
      </c>
      <c r="K4626" t="inlineStr">
        <is>
          <t>brand outreach touch 2</t>
        </is>
      </c>
    </row>
    <row r="4627">
      <c r="A4627" s="17">
        <f>IF(B4627="","",B4627+(16*1000+576)/10000000)</f>
        <v/>
      </c>
      <c r="B4627" s="23">
        <f>IF(AND(IFERROR(N(INDEX(Clay_Brands!$A$2:$FZ$601,576,Sync!$D$12)),0)&gt;0,IFERROR(INDEX(Clay_Brands!$A$2:$FZ$601,576,Sync!$D$5)&amp;"","")&lt;&gt;"",OR(LEFT(IFERROR(INDEX(Clay_Brands!$A$2:$FZ$601,576,Sync!$D$5)&amp;"",""),6)&lt;&gt;"SAMPLE",Config!$B$19="Y")),IFERROR(N(INDEX(Clay_Brands!$A$2:$FZ$601,576,Sync!$D$12)),0),"")</f>
        <v/>
      </c>
      <c r="C4627" s="17">
        <f>IF(B4627="","","brand")</f>
        <v/>
      </c>
      <c r="D4627" s="17">
        <f>IF(B4627="","",IFERROR(INDEX(Clay_Brands!$A$2:$FZ$601,576,Sync!$D$5)&amp;"",""))</f>
        <v/>
      </c>
      <c r="E4627" s="17">
        <f>IF(B4627="","",IFERROR(INDEX(Clay_Brands!$A$2:$FZ$601,576,Sync!$D$6)&amp;"",""))</f>
        <v/>
      </c>
      <c r="F4627" s="17">
        <f>IF(B4627="","","outreach_sent")</f>
        <v/>
      </c>
      <c r="G4627" s="17">
        <f>IF(B4627="","","")</f>
        <v/>
      </c>
      <c r="H4627" s="17">
        <f>IF(B4627="","","")</f>
        <v/>
      </c>
      <c r="I4627" s="17">
        <f>IF(B4627="","","")</f>
        <v/>
      </c>
      <c r="J4627" s="17">
        <f>IF(B4627="","","touch_2; "&amp;IFERROR(INDEX(Clay_Brands!$A$2:$FZ$601,576,Sync!$D$10)&amp;"","")&amp;"; "&amp;IFERROR(INDEX(Clay_Brands!$A$2:$FZ$601,576,Sync!$D$9)&amp;"",""))</f>
        <v/>
      </c>
      <c r="K4627" t="inlineStr">
        <is>
          <t>brand outreach touch 2</t>
        </is>
      </c>
    </row>
    <row r="4628">
      <c r="A4628" s="17">
        <f>IF(B4628="","",B4628+(16*1000+577)/10000000)</f>
        <v/>
      </c>
      <c r="B4628" s="23">
        <f>IF(AND(IFERROR(N(INDEX(Clay_Brands!$A$2:$FZ$601,577,Sync!$D$12)),0)&gt;0,IFERROR(INDEX(Clay_Brands!$A$2:$FZ$601,577,Sync!$D$5)&amp;"","")&lt;&gt;"",OR(LEFT(IFERROR(INDEX(Clay_Brands!$A$2:$FZ$601,577,Sync!$D$5)&amp;"",""),6)&lt;&gt;"SAMPLE",Config!$B$19="Y")),IFERROR(N(INDEX(Clay_Brands!$A$2:$FZ$601,577,Sync!$D$12)),0),"")</f>
        <v/>
      </c>
      <c r="C4628" s="17">
        <f>IF(B4628="","","brand")</f>
        <v/>
      </c>
      <c r="D4628" s="17">
        <f>IF(B4628="","",IFERROR(INDEX(Clay_Brands!$A$2:$FZ$601,577,Sync!$D$5)&amp;"",""))</f>
        <v/>
      </c>
      <c r="E4628" s="17">
        <f>IF(B4628="","",IFERROR(INDEX(Clay_Brands!$A$2:$FZ$601,577,Sync!$D$6)&amp;"",""))</f>
        <v/>
      </c>
      <c r="F4628" s="17">
        <f>IF(B4628="","","outreach_sent")</f>
        <v/>
      </c>
      <c r="G4628" s="17">
        <f>IF(B4628="","","")</f>
        <v/>
      </c>
      <c r="H4628" s="17">
        <f>IF(B4628="","","")</f>
        <v/>
      </c>
      <c r="I4628" s="17">
        <f>IF(B4628="","","")</f>
        <v/>
      </c>
      <c r="J4628" s="17">
        <f>IF(B4628="","","touch_2; "&amp;IFERROR(INDEX(Clay_Brands!$A$2:$FZ$601,577,Sync!$D$10)&amp;"","")&amp;"; "&amp;IFERROR(INDEX(Clay_Brands!$A$2:$FZ$601,577,Sync!$D$9)&amp;"",""))</f>
        <v/>
      </c>
      <c r="K4628" t="inlineStr">
        <is>
          <t>brand outreach touch 2</t>
        </is>
      </c>
    </row>
    <row r="4629">
      <c r="A4629" s="17">
        <f>IF(B4629="","",B4629+(16*1000+578)/10000000)</f>
        <v/>
      </c>
      <c r="B4629" s="23">
        <f>IF(AND(IFERROR(N(INDEX(Clay_Brands!$A$2:$FZ$601,578,Sync!$D$12)),0)&gt;0,IFERROR(INDEX(Clay_Brands!$A$2:$FZ$601,578,Sync!$D$5)&amp;"","")&lt;&gt;"",OR(LEFT(IFERROR(INDEX(Clay_Brands!$A$2:$FZ$601,578,Sync!$D$5)&amp;"",""),6)&lt;&gt;"SAMPLE",Config!$B$19="Y")),IFERROR(N(INDEX(Clay_Brands!$A$2:$FZ$601,578,Sync!$D$12)),0),"")</f>
        <v/>
      </c>
      <c r="C4629" s="17">
        <f>IF(B4629="","","brand")</f>
        <v/>
      </c>
      <c r="D4629" s="17">
        <f>IF(B4629="","",IFERROR(INDEX(Clay_Brands!$A$2:$FZ$601,578,Sync!$D$5)&amp;"",""))</f>
        <v/>
      </c>
      <c r="E4629" s="17">
        <f>IF(B4629="","",IFERROR(INDEX(Clay_Brands!$A$2:$FZ$601,578,Sync!$D$6)&amp;"",""))</f>
        <v/>
      </c>
      <c r="F4629" s="17">
        <f>IF(B4629="","","outreach_sent")</f>
        <v/>
      </c>
      <c r="G4629" s="17">
        <f>IF(B4629="","","")</f>
        <v/>
      </c>
      <c r="H4629" s="17">
        <f>IF(B4629="","","")</f>
        <v/>
      </c>
      <c r="I4629" s="17">
        <f>IF(B4629="","","")</f>
        <v/>
      </c>
      <c r="J4629" s="17">
        <f>IF(B4629="","","touch_2; "&amp;IFERROR(INDEX(Clay_Brands!$A$2:$FZ$601,578,Sync!$D$10)&amp;"","")&amp;"; "&amp;IFERROR(INDEX(Clay_Brands!$A$2:$FZ$601,578,Sync!$D$9)&amp;"",""))</f>
        <v/>
      </c>
      <c r="K4629" t="inlineStr">
        <is>
          <t>brand outreach touch 2</t>
        </is>
      </c>
    </row>
    <row r="4630">
      <c r="A4630" s="17">
        <f>IF(B4630="","",B4630+(16*1000+579)/10000000)</f>
        <v/>
      </c>
      <c r="B4630" s="23">
        <f>IF(AND(IFERROR(N(INDEX(Clay_Brands!$A$2:$FZ$601,579,Sync!$D$12)),0)&gt;0,IFERROR(INDEX(Clay_Brands!$A$2:$FZ$601,579,Sync!$D$5)&amp;"","")&lt;&gt;"",OR(LEFT(IFERROR(INDEX(Clay_Brands!$A$2:$FZ$601,579,Sync!$D$5)&amp;"",""),6)&lt;&gt;"SAMPLE",Config!$B$19="Y")),IFERROR(N(INDEX(Clay_Brands!$A$2:$FZ$601,579,Sync!$D$12)),0),"")</f>
        <v/>
      </c>
      <c r="C4630" s="17">
        <f>IF(B4630="","","brand")</f>
        <v/>
      </c>
      <c r="D4630" s="17">
        <f>IF(B4630="","",IFERROR(INDEX(Clay_Brands!$A$2:$FZ$601,579,Sync!$D$5)&amp;"",""))</f>
        <v/>
      </c>
      <c r="E4630" s="17">
        <f>IF(B4630="","",IFERROR(INDEX(Clay_Brands!$A$2:$FZ$601,579,Sync!$D$6)&amp;"",""))</f>
        <v/>
      </c>
      <c r="F4630" s="17">
        <f>IF(B4630="","","outreach_sent")</f>
        <v/>
      </c>
      <c r="G4630" s="17">
        <f>IF(B4630="","","")</f>
        <v/>
      </c>
      <c r="H4630" s="17">
        <f>IF(B4630="","","")</f>
        <v/>
      </c>
      <c r="I4630" s="17">
        <f>IF(B4630="","","")</f>
        <v/>
      </c>
      <c r="J4630" s="17">
        <f>IF(B4630="","","touch_2; "&amp;IFERROR(INDEX(Clay_Brands!$A$2:$FZ$601,579,Sync!$D$10)&amp;"","")&amp;"; "&amp;IFERROR(INDEX(Clay_Brands!$A$2:$FZ$601,579,Sync!$D$9)&amp;"",""))</f>
        <v/>
      </c>
      <c r="K4630" t="inlineStr">
        <is>
          <t>brand outreach touch 2</t>
        </is>
      </c>
    </row>
    <row r="4631">
      <c r="A4631" s="17">
        <f>IF(B4631="","",B4631+(16*1000+580)/10000000)</f>
        <v/>
      </c>
      <c r="B4631" s="23">
        <f>IF(AND(IFERROR(N(INDEX(Clay_Brands!$A$2:$FZ$601,580,Sync!$D$12)),0)&gt;0,IFERROR(INDEX(Clay_Brands!$A$2:$FZ$601,580,Sync!$D$5)&amp;"","")&lt;&gt;"",OR(LEFT(IFERROR(INDEX(Clay_Brands!$A$2:$FZ$601,580,Sync!$D$5)&amp;"",""),6)&lt;&gt;"SAMPLE",Config!$B$19="Y")),IFERROR(N(INDEX(Clay_Brands!$A$2:$FZ$601,580,Sync!$D$12)),0),"")</f>
        <v/>
      </c>
      <c r="C4631" s="17">
        <f>IF(B4631="","","brand")</f>
        <v/>
      </c>
      <c r="D4631" s="17">
        <f>IF(B4631="","",IFERROR(INDEX(Clay_Brands!$A$2:$FZ$601,580,Sync!$D$5)&amp;"",""))</f>
        <v/>
      </c>
      <c r="E4631" s="17">
        <f>IF(B4631="","",IFERROR(INDEX(Clay_Brands!$A$2:$FZ$601,580,Sync!$D$6)&amp;"",""))</f>
        <v/>
      </c>
      <c r="F4631" s="17">
        <f>IF(B4631="","","outreach_sent")</f>
        <v/>
      </c>
      <c r="G4631" s="17">
        <f>IF(B4631="","","")</f>
        <v/>
      </c>
      <c r="H4631" s="17">
        <f>IF(B4631="","","")</f>
        <v/>
      </c>
      <c r="I4631" s="17">
        <f>IF(B4631="","","")</f>
        <v/>
      </c>
      <c r="J4631" s="17">
        <f>IF(B4631="","","touch_2; "&amp;IFERROR(INDEX(Clay_Brands!$A$2:$FZ$601,580,Sync!$D$10)&amp;"","")&amp;"; "&amp;IFERROR(INDEX(Clay_Brands!$A$2:$FZ$601,580,Sync!$D$9)&amp;"",""))</f>
        <v/>
      </c>
      <c r="K4631" t="inlineStr">
        <is>
          <t>brand outreach touch 2</t>
        </is>
      </c>
    </row>
    <row r="4632">
      <c r="A4632" s="17">
        <f>IF(B4632="","",B4632+(16*1000+581)/10000000)</f>
        <v/>
      </c>
      <c r="B4632" s="23">
        <f>IF(AND(IFERROR(N(INDEX(Clay_Brands!$A$2:$FZ$601,581,Sync!$D$12)),0)&gt;0,IFERROR(INDEX(Clay_Brands!$A$2:$FZ$601,581,Sync!$D$5)&amp;"","")&lt;&gt;"",OR(LEFT(IFERROR(INDEX(Clay_Brands!$A$2:$FZ$601,581,Sync!$D$5)&amp;"",""),6)&lt;&gt;"SAMPLE",Config!$B$19="Y")),IFERROR(N(INDEX(Clay_Brands!$A$2:$FZ$601,581,Sync!$D$12)),0),"")</f>
        <v/>
      </c>
      <c r="C4632" s="17">
        <f>IF(B4632="","","brand")</f>
        <v/>
      </c>
      <c r="D4632" s="17">
        <f>IF(B4632="","",IFERROR(INDEX(Clay_Brands!$A$2:$FZ$601,581,Sync!$D$5)&amp;"",""))</f>
        <v/>
      </c>
      <c r="E4632" s="17">
        <f>IF(B4632="","",IFERROR(INDEX(Clay_Brands!$A$2:$FZ$601,581,Sync!$D$6)&amp;"",""))</f>
        <v/>
      </c>
      <c r="F4632" s="17">
        <f>IF(B4632="","","outreach_sent")</f>
        <v/>
      </c>
      <c r="G4632" s="17">
        <f>IF(B4632="","","")</f>
        <v/>
      </c>
      <c r="H4632" s="17">
        <f>IF(B4632="","","")</f>
        <v/>
      </c>
      <c r="I4632" s="17">
        <f>IF(B4632="","","")</f>
        <v/>
      </c>
      <c r="J4632" s="17">
        <f>IF(B4632="","","touch_2; "&amp;IFERROR(INDEX(Clay_Brands!$A$2:$FZ$601,581,Sync!$D$10)&amp;"","")&amp;"; "&amp;IFERROR(INDEX(Clay_Brands!$A$2:$FZ$601,581,Sync!$D$9)&amp;"",""))</f>
        <v/>
      </c>
      <c r="K4632" t="inlineStr">
        <is>
          <t>brand outreach touch 2</t>
        </is>
      </c>
    </row>
    <row r="4633">
      <c r="A4633" s="17">
        <f>IF(B4633="","",B4633+(16*1000+582)/10000000)</f>
        <v/>
      </c>
      <c r="B4633" s="23">
        <f>IF(AND(IFERROR(N(INDEX(Clay_Brands!$A$2:$FZ$601,582,Sync!$D$12)),0)&gt;0,IFERROR(INDEX(Clay_Brands!$A$2:$FZ$601,582,Sync!$D$5)&amp;"","")&lt;&gt;"",OR(LEFT(IFERROR(INDEX(Clay_Brands!$A$2:$FZ$601,582,Sync!$D$5)&amp;"",""),6)&lt;&gt;"SAMPLE",Config!$B$19="Y")),IFERROR(N(INDEX(Clay_Brands!$A$2:$FZ$601,582,Sync!$D$12)),0),"")</f>
        <v/>
      </c>
      <c r="C4633" s="17">
        <f>IF(B4633="","","brand")</f>
        <v/>
      </c>
      <c r="D4633" s="17">
        <f>IF(B4633="","",IFERROR(INDEX(Clay_Brands!$A$2:$FZ$601,582,Sync!$D$5)&amp;"",""))</f>
        <v/>
      </c>
      <c r="E4633" s="17">
        <f>IF(B4633="","",IFERROR(INDEX(Clay_Brands!$A$2:$FZ$601,582,Sync!$D$6)&amp;"",""))</f>
        <v/>
      </c>
      <c r="F4633" s="17">
        <f>IF(B4633="","","outreach_sent")</f>
        <v/>
      </c>
      <c r="G4633" s="17">
        <f>IF(B4633="","","")</f>
        <v/>
      </c>
      <c r="H4633" s="17">
        <f>IF(B4633="","","")</f>
        <v/>
      </c>
      <c r="I4633" s="17">
        <f>IF(B4633="","","")</f>
        <v/>
      </c>
      <c r="J4633" s="17">
        <f>IF(B4633="","","touch_2; "&amp;IFERROR(INDEX(Clay_Brands!$A$2:$FZ$601,582,Sync!$D$10)&amp;"","")&amp;"; "&amp;IFERROR(INDEX(Clay_Brands!$A$2:$FZ$601,582,Sync!$D$9)&amp;"",""))</f>
        <v/>
      </c>
      <c r="K4633" t="inlineStr">
        <is>
          <t>brand outreach touch 2</t>
        </is>
      </c>
    </row>
    <row r="4634">
      <c r="A4634" s="17">
        <f>IF(B4634="","",B4634+(16*1000+583)/10000000)</f>
        <v/>
      </c>
      <c r="B4634" s="23">
        <f>IF(AND(IFERROR(N(INDEX(Clay_Brands!$A$2:$FZ$601,583,Sync!$D$12)),0)&gt;0,IFERROR(INDEX(Clay_Brands!$A$2:$FZ$601,583,Sync!$D$5)&amp;"","")&lt;&gt;"",OR(LEFT(IFERROR(INDEX(Clay_Brands!$A$2:$FZ$601,583,Sync!$D$5)&amp;"",""),6)&lt;&gt;"SAMPLE",Config!$B$19="Y")),IFERROR(N(INDEX(Clay_Brands!$A$2:$FZ$601,583,Sync!$D$12)),0),"")</f>
        <v/>
      </c>
      <c r="C4634" s="17">
        <f>IF(B4634="","","brand")</f>
        <v/>
      </c>
      <c r="D4634" s="17">
        <f>IF(B4634="","",IFERROR(INDEX(Clay_Brands!$A$2:$FZ$601,583,Sync!$D$5)&amp;"",""))</f>
        <v/>
      </c>
      <c r="E4634" s="17">
        <f>IF(B4634="","",IFERROR(INDEX(Clay_Brands!$A$2:$FZ$601,583,Sync!$D$6)&amp;"",""))</f>
        <v/>
      </c>
      <c r="F4634" s="17">
        <f>IF(B4634="","","outreach_sent")</f>
        <v/>
      </c>
      <c r="G4634" s="17">
        <f>IF(B4634="","","")</f>
        <v/>
      </c>
      <c r="H4634" s="17">
        <f>IF(B4634="","","")</f>
        <v/>
      </c>
      <c r="I4634" s="17">
        <f>IF(B4634="","","")</f>
        <v/>
      </c>
      <c r="J4634" s="17">
        <f>IF(B4634="","","touch_2; "&amp;IFERROR(INDEX(Clay_Brands!$A$2:$FZ$601,583,Sync!$D$10)&amp;"","")&amp;"; "&amp;IFERROR(INDEX(Clay_Brands!$A$2:$FZ$601,583,Sync!$D$9)&amp;"",""))</f>
        <v/>
      </c>
      <c r="K4634" t="inlineStr">
        <is>
          <t>brand outreach touch 2</t>
        </is>
      </c>
    </row>
    <row r="4635">
      <c r="A4635" s="17">
        <f>IF(B4635="","",B4635+(16*1000+584)/10000000)</f>
        <v/>
      </c>
      <c r="B4635" s="23">
        <f>IF(AND(IFERROR(N(INDEX(Clay_Brands!$A$2:$FZ$601,584,Sync!$D$12)),0)&gt;0,IFERROR(INDEX(Clay_Brands!$A$2:$FZ$601,584,Sync!$D$5)&amp;"","")&lt;&gt;"",OR(LEFT(IFERROR(INDEX(Clay_Brands!$A$2:$FZ$601,584,Sync!$D$5)&amp;"",""),6)&lt;&gt;"SAMPLE",Config!$B$19="Y")),IFERROR(N(INDEX(Clay_Brands!$A$2:$FZ$601,584,Sync!$D$12)),0),"")</f>
        <v/>
      </c>
      <c r="C4635" s="17">
        <f>IF(B4635="","","brand")</f>
        <v/>
      </c>
      <c r="D4635" s="17">
        <f>IF(B4635="","",IFERROR(INDEX(Clay_Brands!$A$2:$FZ$601,584,Sync!$D$5)&amp;"",""))</f>
        <v/>
      </c>
      <c r="E4635" s="17">
        <f>IF(B4635="","",IFERROR(INDEX(Clay_Brands!$A$2:$FZ$601,584,Sync!$D$6)&amp;"",""))</f>
        <v/>
      </c>
      <c r="F4635" s="17">
        <f>IF(B4635="","","outreach_sent")</f>
        <v/>
      </c>
      <c r="G4635" s="17">
        <f>IF(B4635="","","")</f>
        <v/>
      </c>
      <c r="H4635" s="17">
        <f>IF(B4635="","","")</f>
        <v/>
      </c>
      <c r="I4635" s="17">
        <f>IF(B4635="","","")</f>
        <v/>
      </c>
      <c r="J4635" s="17">
        <f>IF(B4635="","","touch_2; "&amp;IFERROR(INDEX(Clay_Brands!$A$2:$FZ$601,584,Sync!$D$10)&amp;"","")&amp;"; "&amp;IFERROR(INDEX(Clay_Brands!$A$2:$FZ$601,584,Sync!$D$9)&amp;"",""))</f>
        <v/>
      </c>
      <c r="K4635" t="inlineStr">
        <is>
          <t>brand outreach touch 2</t>
        </is>
      </c>
    </row>
    <row r="4636">
      <c r="A4636" s="17">
        <f>IF(B4636="","",B4636+(16*1000+585)/10000000)</f>
        <v/>
      </c>
      <c r="B4636" s="23">
        <f>IF(AND(IFERROR(N(INDEX(Clay_Brands!$A$2:$FZ$601,585,Sync!$D$12)),0)&gt;0,IFERROR(INDEX(Clay_Brands!$A$2:$FZ$601,585,Sync!$D$5)&amp;"","")&lt;&gt;"",OR(LEFT(IFERROR(INDEX(Clay_Brands!$A$2:$FZ$601,585,Sync!$D$5)&amp;"",""),6)&lt;&gt;"SAMPLE",Config!$B$19="Y")),IFERROR(N(INDEX(Clay_Brands!$A$2:$FZ$601,585,Sync!$D$12)),0),"")</f>
        <v/>
      </c>
      <c r="C4636" s="17">
        <f>IF(B4636="","","brand")</f>
        <v/>
      </c>
      <c r="D4636" s="17">
        <f>IF(B4636="","",IFERROR(INDEX(Clay_Brands!$A$2:$FZ$601,585,Sync!$D$5)&amp;"",""))</f>
        <v/>
      </c>
      <c r="E4636" s="17">
        <f>IF(B4636="","",IFERROR(INDEX(Clay_Brands!$A$2:$FZ$601,585,Sync!$D$6)&amp;"",""))</f>
        <v/>
      </c>
      <c r="F4636" s="17">
        <f>IF(B4636="","","outreach_sent")</f>
        <v/>
      </c>
      <c r="G4636" s="17">
        <f>IF(B4636="","","")</f>
        <v/>
      </c>
      <c r="H4636" s="17">
        <f>IF(B4636="","","")</f>
        <v/>
      </c>
      <c r="I4636" s="17">
        <f>IF(B4636="","","")</f>
        <v/>
      </c>
      <c r="J4636" s="17">
        <f>IF(B4636="","","touch_2; "&amp;IFERROR(INDEX(Clay_Brands!$A$2:$FZ$601,585,Sync!$D$10)&amp;"","")&amp;"; "&amp;IFERROR(INDEX(Clay_Brands!$A$2:$FZ$601,585,Sync!$D$9)&amp;"",""))</f>
        <v/>
      </c>
      <c r="K4636" t="inlineStr">
        <is>
          <t>brand outreach touch 2</t>
        </is>
      </c>
    </row>
    <row r="4637">
      <c r="A4637" s="17">
        <f>IF(B4637="","",B4637+(16*1000+586)/10000000)</f>
        <v/>
      </c>
      <c r="B4637" s="23">
        <f>IF(AND(IFERROR(N(INDEX(Clay_Brands!$A$2:$FZ$601,586,Sync!$D$12)),0)&gt;0,IFERROR(INDEX(Clay_Brands!$A$2:$FZ$601,586,Sync!$D$5)&amp;"","")&lt;&gt;"",OR(LEFT(IFERROR(INDEX(Clay_Brands!$A$2:$FZ$601,586,Sync!$D$5)&amp;"",""),6)&lt;&gt;"SAMPLE",Config!$B$19="Y")),IFERROR(N(INDEX(Clay_Brands!$A$2:$FZ$601,586,Sync!$D$12)),0),"")</f>
        <v/>
      </c>
      <c r="C4637" s="17">
        <f>IF(B4637="","","brand")</f>
        <v/>
      </c>
      <c r="D4637" s="17">
        <f>IF(B4637="","",IFERROR(INDEX(Clay_Brands!$A$2:$FZ$601,586,Sync!$D$5)&amp;"",""))</f>
        <v/>
      </c>
      <c r="E4637" s="17">
        <f>IF(B4637="","",IFERROR(INDEX(Clay_Brands!$A$2:$FZ$601,586,Sync!$D$6)&amp;"",""))</f>
        <v/>
      </c>
      <c r="F4637" s="17">
        <f>IF(B4637="","","outreach_sent")</f>
        <v/>
      </c>
      <c r="G4637" s="17">
        <f>IF(B4637="","","")</f>
        <v/>
      </c>
      <c r="H4637" s="17">
        <f>IF(B4637="","","")</f>
        <v/>
      </c>
      <c r="I4637" s="17">
        <f>IF(B4637="","","")</f>
        <v/>
      </c>
      <c r="J4637" s="17">
        <f>IF(B4637="","","touch_2; "&amp;IFERROR(INDEX(Clay_Brands!$A$2:$FZ$601,586,Sync!$D$10)&amp;"","")&amp;"; "&amp;IFERROR(INDEX(Clay_Brands!$A$2:$FZ$601,586,Sync!$D$9)&amp;"",""))</f>
        <v/>
      </c>
      <c r="K4637" t="inlineStr">
        <is>
          <t>brand outreach touch 2</t>
        </is>
      </c>
    </row>
    <row r="4638">
      <c r="A4638" s="17">
        <f>IF(B4638="","",B4638+(16*1000+587)/10000000)</f>
        <v/>
      </c>
      <c r="B4638" s="23">
        <f>IF(AND(IFERROR(N(INDEX(Clay_Brands!$A$2:$FZ$601,587,Sync!$D$12)),0)&gt;0,IFERROR(INDEX(Clay_Brands!$A$2:$FZ$601,587,Sync!$D$5)&amp;"","")&lt;&gt;"",OR(LEFT(IFERROR(INDEX(Clay_Brands!$A$2:$FZ$601,587,Sync!$D$5)&amp;"",""),6)&lt;&gt;"SAMPLE",Config!$B$19="Y")),IFERROR(N(INDEX(Clay_Brands!$A$2:$FZ$601,587,Sync!$D$12)),0),"")</f>
        <v/>
      </c>
      <c r="C4638" s="17">
        <f>IF(B4638="","","brand")</f>
        <v/>
      </c>
      <c r="D4638" s="17">
        <f>IF(B4638="","",IFERROR(INDEX(Clay_Brands!$A$2:$FZ$601,587,Sync!$D$5)&amp;"",""))</f>
        <v/>
      </c>
      <c r="E4638" s="17">
        <f>IF(B4638="","",IFERROR(INDEX(Clay_Brands!$A$2:$FZ$601,587,Sync!$D$6)&amp;"",""))</f>
        <v/>
      </c>
      <c r="F4638" s="17">
        <f>IF(B4638="","","outreach_sent")</f>
        <v/>
      </c>
      <c r="G4638" s="17">
        <f>IF(B4638="","","")</f>
        <v/>
      </c>
      <c r="H4638" s="17">
        <f>IF(B4638="","","")</f>
        <v/>
      </c>
      <c r="I4638" s="17">
        <f>IF(B4638="","","")</f>
        <v/>
      </c>
      <c r="J4638" s="17">
        <f>IF(B4638="","","touch_2; "&amp;IFERROR(INDEX(Clay_Brands!$A$2:$FZ$601,587,Sync!$D$10)&amp;"","")&amp;"; "&amp;IFERROR(INDEX(Clay_Brands!$A$2:$FZ$601,587,Sync!$D$9)&amp;"",""))</f>
        <v/>
      </c>
      <c r="K4638" t="inlineStr">
        <is>
          <t>brand outreach touch 2</t>
        </is>
      </c>
    </row>
    <row r="4639">
      <c r="A4639" s="17">
        <f>IF(B4639="","",B4639+(16*1000+588)/10000000)</f>
        <v/>
      </c>
      <c r="B4639" s="23">
        <f>IF(AND(IFERROR(N(INDEX(Clay_Brands!$A$2:$FZ$601,588,Sync!$D$12)),0)&gt;0,IFERROR(INDEX(Clay_Brands!$A$2:$FZ$601,588,Sync!$D$5)&amp;"","")&lt;&gt;"",OR(LEFT(IFERROR(INDEX(Clay_Brands!$A$2:$FZ$601,588,Sync!$D$5)&amp;"",""),6)&lt;&gt;"SAMPLE",Config!$B$19="Y")),IFERROR(N(INDEX(Clay_Brands!$A$2:$FZ$601,588,Sync!$D$12)),0),"")</f>
        <v/>
      </c>
      <c r="C4639" s="17">
        <f>IF(B4639="","","brand")</f>
        <v/>
      </c>
      <c r="D4639" s="17">
        <f>IF(B4639="","",IFERROR(INDEX(Clay_Brands!$A$2:$FZ$601,588,Sync!$D$5)&amp;"",""))</f>
        <v/>
      </c>
      <c r="E4639" s="17">
        <f>IF(B4639="","",IFERROR(INDEX(Clay_Brands!$A$2:$FZ$601,588,Sync!$D$6)&amp;"",""))</f>
        <v/>
      </c>
      <c r="F4639" s="17">
        <f>IF(B4639="","","outreach_sent")</f>
        <v/>
      </c>
      <c r="G4639" s="17">
        <f>IF(B4639="","","")</f>
        <v/>
      </c>
      <c r="H4639" s="17">
        <f>IF(B4639="","","")</f>
        <v/>
      </c>
      <c r="I4639" s="17">
        <f>IF(B4639="","","")</f>
        <v/>
      </c>
      <c r="J4639" s="17">
        <f>IF(B4639="","","touch_2; "&amp;IFERROR(INDEX(Clay_Brands!$A$2:$FZ$601,588,Sync!$D$10)&amp;"","")&amp;"; "&amp;IFERROR(INDEX(Clay_Brands!$A$2:$FZ$601,588,Sync!$D$9)&amp;"",""))</f>
        <v/>
      </c>
      <c r="K4639" t="inlineStr">
        <is>
          <t>brand outreach touch 2</t>
        </is>
      </c>
    </row>
    <row r="4640">
      <c r="A4640" s="17">
        <f>IF(B4640="","",B4640+(16*1000+589)/10000000)</f>
        <v/>
      </c>
      <c r="B4640" s="23">
        <f>IF(AND(IFERROR(N(INDEX(Clay_Brands!$A$2:$FZ$601,589,Sync!$D$12)),0)&gt;0,IFERROR(INDEX(Clay_Brands!$A$2:$FZ$601,589,Sync!$D$5)&amp;"","")&lt;&gt;"",OR(LEFT(IFERROR(INDEX(Clay_Brands!$A$2:$FZ$601,589,Sync!$D$5)&amp;"",""),6)&lt;&gt;"SAMPLE",Config!$B$19="Y")),IFERROR(N(INDEX(Clay_Brands!$A$2:$FZ$601,589,Sync!$D$12)),0),"")</f>
        <v/>
      </c>
      <c r="C4640" s="17">
        <f>IF(B4640="","","brand")</f>
        <v/>
      </c>
      <c r="D4640" s="17">
        <f>IF(B4640="","",IFERROR(INDEX(Clay_Brands!$A$2:$FZ$601,589,Sync!$D$5)&amp;"",""))</f>
        <v/>
      </c>
      <c r="E4640" s="17">
        <f>IF(B4640="","",IFERROR(INDEX(Clay_Brands!$A$2:$FZ$601,589,Sync!$D$6)&amp;"",""))</f>
        <v/>
      </c>
      <c r="F4640" s="17">
        <f>IF(B4640="","","outreach_sent")</f>
        <v/>
      </c>
      <c r="G4640" s="17">
        <f>IF(B4640="","","")</f>
        <v/>
      </c>
      <c r="H4640" s="17">
        <f>IF(B4640="","","")</f>
        <v/>
      </c>
      <c r="I4640" s="17">
        <f>IF(B4640="","","")</f>
        <v/>
      </c>
      <c r="J4640" s="17">
        <f>IF(B4640="","","touch_2; "&amp;IFERROR(INDEX(Clay_Brands!$A$2:$FZ$601,589,Sync!$D$10)&amp;"","")&amp;"; "&amp;IFERROR(INDEX(Clay_Brands!$A$2:$FZ$601,589,Sync!$D$9)&amp;"",""))</f>
        <v/>
      </c>
      <c r="K4640" t="inlineStr">
        <is>
          <t>brand outreach touch 2</t>
        </is>
      </c>
    </row>
    <row r="4641">
      <c r="A4641" s="17">
        <f>IF(B4641="","",B4641+(16*1000+590)/10000000)</f>
        <v/>
      </c>
      <c r="B4641" s="23">
        <f>IF(AND(IFERROR(N(INDEX(Clay_Brands!$A$2:$FZ$601,590,Sync!$D$12)),0)&gt;0,IFERROR(INDEX(Clay_Brands!$A$2:$FZ$601,590,Sync!$D$5)&amp;"","")&lt;&gt;"",OR(LEFT(IFERROR(INDEX(Clay_Brands!$A$2:$FZ$601,590,Sync!$D$5)&amp;"",""),6)&lt;&gt;"SAMPLE",Config!$B$19="Y")),IFERROR(N(INDEX(Clay_Brands!$A$2:$FZ$601,590,Sync!$D$12)),0),"")</f>
        <v/>
      </c>
      <c r="C4641" s="17">
        <f>IF(B4641="","","brand")</f>
        <v/>
      </c>
      <c r="D4641" s="17">
        <f>IF(B4641="","",IFERROR(INDEX(Clay_Brands!$A$2:$FZ$601,590,Sync!$D$5)&amp;"",""))</f>
        <v/>
      </c>
      <c r="E4641" s="17">
        <f>IF(B4641="","",IFERROR(INDEX(Clay_Brands!$A$2:$FZ$601,590,Sync!$D$6)&amp;"",""))</f>
        <v/>
      </c>
      <c r="F4641" s="17">
        <f>IF(B4641="","","outreach_sent")</f>
        <v/>
      </c>
      <c r="G4641" s="17">
        <f>IF(B4641="","","")</f>
        <v/>
      </c>
      <c r="H4641" s="17">
        <f>IF(B4641="","","")</f>
        <v/>
      </c>
      <c r="I4641" s="17">
        <f>IF(B4641="","","")</f>
        <v/>
      </c>
      <c r="J4641" s="17">
        <f>IF(B4641="","","touch_2; "&amp;IFERROR(INDEX(Clay_Brands!$A$2:$FZ$601,590,Sync!$D$10)&amp;"","")&amp;"; "&amp;IFERROR(INDEX(Clay_Brands!$A$2:$FZ$601,590,Sync!$D$9)&amp;"",""))</f>
        <v/>
      </c>
      <c r="K4641" t="inlineStr">
        <is>
          <t>brand outreach touch 2</t>
        </is>
      </c>
    </row>
    <row r="4642">
      <c r="A4642" s="17">
        <f>IF(B4642="","",B4642+(16*1000+591)/10000000)</f>
        <v/>
      </c>
      <c r="B4642" s="23">
        <f>IF(AND(IFERROR(N(INDEX(Clay_Brands!$A$2:$FZ$601,591,Sync!$D$12)),0)&gt;0,IFERROR(INDEX(Clay_Brands!$A$2:$FZ$601,591,Sync!$D$5)&amp;"","")&lt;&gt;"",OR(LEFT(IFERROR(INDEX(Clay_Brands!$A$2:$FZ$601,591,Sync!$D$5)&amp;"",""),6)&lt;&gt;"SAMPLE",Config!$B$19="Y")),IFERROR(N(INDEX(Clay_Brands!$A$2:$FZ$601,591,Sync!$D$12)),0),"")</f>
        <v/>
      </c>
      <c r="C4642" s="17">
        <f>IF(B4642="","","brand")</f>
        <v/>
      </c>
      <c r="D4642" s="17">
        <f>IF(B4642="","",IFERROR(INDEX(Clay_Brands!$A$2:$FZ$601,591,Sync!$D$5)&amp;"",""))</f>
        <v/>
      </c>
      <c r="E4642" s="17">
        <f>IF(B4642="","",IFERROR(INDEX(Clay_Brands!$A$2:$FZ$601,591,Sync!$D$6)&amp;"",""))</f>
        <v/>
      </c>
      <c r="F4642" s="17">
        <f>IF(B4642="","","outreach_sent")</f>
        <v/>
      </c>
      <c r="G4642" s="17">
        <f>IF(B4642="","","")</f>
        <v/>
      </c>
      <c r="H4642" s="17">
        <f>IF(B4642="","","")</f>
        <v/>
      </c>
      <c r="I4642" s="17">
        <f>IF(B4642="","","")</f>
        <v/>
      </c>
      <c r="J4642" s="17">
        <f>IF(B4642="","","touch_2; "&amp;IFERROR(INDEX(Clay_Brands!$A$2:$FZ$601,591,Sync!$D$10)&amp;"","")&amp;"; "&amp;IFERROR(INDEX(Clay_Brands!$A$2:$FZ$601,591,Sync!$D$9)&amp;"",""))</f>
        <v/>
      </c>
      <c r="K4642" t="inlineStr">
        <is>
          <t>brand outreach touch 2</t>
        </is>
      </c>
    </row>
    <row r="4643">
      <c r="A4643" s="17">
        <f>IF(B4643="","",B4643+(16*1000+592)/10000000)</f>
        <v/>
      </c>
      <c r="B4643" s="23">
        <f>IF(AND(IFERROR(N(INDEX(Clay_Brands!$A$2:$FZ$601,592,Sync!$D$12)),0)&gt;0,IFERROR(INDEX(Clay_Brands!$A$2:$FZ$601,592,Sync!$D$5)&amp;"","")&lt;&gt;"",OR(LEFT(IFERROR(INDEX(Clay_Brands!$A$2:$FZ$601,592,Sync!$D$5)&amp;"",""),6)&lt;&gt;"SAMPLE",Config!$B$19="Y")),IFERROR(N(INDEX(Clay_Brands!$A$2:$FZ$601,592,Sync!$D$12)),0),"")</f>
        <v/>
      </c>
      <c r="C4643" s="17">
        <f>IF(B4643="","","brand")</f>
        <v/>
      </c>
      <c r="D4643" s="17">
        <f>IF(B4643="","",IFERROR(INDEX(Clay_Brands!$A$2:$FZ$601,592,Sync!$D$5)&amp;"",""))</f>
        <v/>
      </c>
      <c r="E4643" s="17">
        <f>IF(B4643="","",IFERROR(INDEX(Clay_Brands!$A$2:$FZ$601,592,Sync!$D$6)&amp;"",""))</f>
        <v/>
      </c>
      <c r="F4643" s="17">
        <f>IF(B4643="","","outreach_sent")</f>
        <v/>
      </c>
      <c r="G4643" s="17">
        <f>IF(B4643="","","")</f>
        <v/>
      </c>
      <c r="H4643" s="17">
        <f>IF(B4643="","","")</f>
        <v/>
      </c>
      <c r="I4643" s="17">
        <f>IF(B4643="","","")</f>
        <v/>
      </c>
      <c r="J4643" s="17">
        <f>IF(B4643="","","touch_2; "&amp;IFERROR(INDEX(Clay_Brands!$A$2:$FZ$601,592,Sync!$D$10)&amp;"","")&amp;"; "&amp;IFERROR(INDEX(Clay_Brands!$A$2:$FZ$601,592,Sync!$D$9)&amp;"",""))</f>
        <v/>
      </c>
      <c r="K4643" t="inlineStr">
        <is>
          <t>brand outreach touch 2</t>
        </is>
      </c>
    </row>
    <row r="4644">
      <c r="A4644" s="17">
        <f>IF(B4644="","",B4644+(16*1000+593)/10000000)</f>
        <v/>
      </c>
      <c r="B4644" s="23">
        <f>IF(AND(IFERROR(N(INDEX(Clay_Brands!$A$2:$FZ$601,593,Sync!$D$12)),0)&gt;0,IFERROR(INDEX(Clay_Brands!$A$2:$FZ$601,593,Sync!$D$5)&amp;"","")&lt;&gt;"",OR(LEFT(IFERROR(INDEX(Clay_Brands!$A$2:$FZ$601,593,Sync!$D$5)&amp;"",""),6)&lt;&gt;"SAMPLE",Config!$B$19="Y")),IFERROR(N(INDEX(Clay_Brands!$A$2:$FZ$601,593,Sync!$D$12)),0),"")</f>
        <v/>
      </c>
      <c r="C4644" s="17">
        <f>IF(B4644="","","brand")</f>
        <v/>
      </c>
      <c r="D4644" s="17">
        <f>IF(B4644="","",IFERROR(INDEX(Clay_Brands!$A$2:$FZ$601,593,Sync!$D$5)&amp;"",""))</f>
        <v/>
      </c>
      <c r="E4644" s="17">
        <f>IF(B4644="","",IFERROR(INDEX(Clay_Brands!$A$2:$FZ$601,593,Sync!$D$6)&amp;"",""))</f>
        <v/>
      </c>
      <c r="F4644" s="17">
        <f>IF(B4644="","","outreach_sent")</f>
        <v/>
      </c>
      <c r="G4644" s="17">
        <f>IF(B4644="","","")</f>
        <v/>
      </c>
      <c r="H4644" s="17">
        <f>IF(B4644="","","")</f>
        <v/>
      </c>
      <c r="I4644" s="17">
        <f>IF(B4644="","","")</f>
        <v/>
      </c>
      <c r="J4644" s="17">
        <f>IF(B4644="","","touch_2; "&amp;IFERROR(INDEX(Clay_Brands!$A$2:$FZ$601,593,Sync!$D$10)&amp;"","")&amp;"; "&amp;IFERROR(INDEX(Clay_Brands!$A$2:$FZ$601,593,Sync!$D$9)&amp;"",""))</f>
        <v/>
      </c>
      <c r="K4644" t="inlineStr">
        <is>
          <t>brand outreach touch 2</t>
        </is>
      </c>
    </row>
    <row r="4645">
      <c r="A4645" s="17">
        <f>IF(B4645="","",B4645+(16*1000+594)/10000000)</f>
        <v/>
      </c>
      <c r="B4645" s="23">
        <f>IF(AND(IFERROR(N(INDEX(Clay_Brands!$A$2:$FZ$601,594,Sync!$D$12)),0)&gt;0,IFERROR(INDEX(Clay_Brands!$A$2:$FZ$601,594,Sync!$D$5)&amp;"","")&lt;&gt;"",OR(LEFT(IFERROR(INDEX(Clay_Brands!$A$2:$FZ$601,594,Sync!$D$5)&amp;"",""),6)&lt;&gt;"SAMPLE",Config!$B$19="Y")),IFERROR(N(INDEX(Clay_Brands!$A$2:$FZ$601,594,Sync!$D$12)),0),"")</f>
        <v/>
      </c>
      <c r="C4645" s="17">
        <f>IF(B4645="","","brand")</f>
        <v/>
      </c>
      <c r="D4645" s="17">
        <f>IF(B4645="","",IFERROR(INDEX(Clay_Brands!$A$2:$FZ$601,594,Sync!$D$5)&amp;"",""))</f>
        <v/>
      </c>
      <c r="E4645" s="17">
        <f>IF(B4645="","",IFERROR(INDEX(Clay_Brands!$A$2:$FZ$601,594,Sync!$D$6)&amp;"",""))</f>
        <v/>
      </c>
      <c r="F4645" s="17">
        <f>IF(B4645="","","outreach_sent")</f>
        <v/>
      </c>
      <c r="G4645" s="17">
        <f>IF(B4645="","","")</f>
        <v/>
      </c>
      <c r="H4645" s="17">
        <f>IF(B4645="","","")</f>
        <v/>
      </c>
      <c r="I4645" s="17">
        <f>IF(B4645="","","")</f>
        <v/>
      </c>
      <c r="J4645" s="17">
        <f>IF(B4645="","","touch_2; "&amp;IFERROR(INDEX(Clay_Brands!$A$2:$FZ$601,594,Sync!$D$10)&amp;"","")&amp;"; "&amp;IFERROR(INDEX(Clay_Brands!$A$2:$FZ$601,594,Sync!$D$9)&amp;"",""))</f>
        <v/>
      </c>
      <c r="K4645" t="inlineStr">
        <is>
          <t>brand outreach touch 2</t>
        </is>
      </c>
    </row>
    <row r="4646">
      <c r="A4646" s="17">
        <f>IF(B4646="","",B4646+(16*1000+595)/10000000)</f>
        <v/>
      </c>
      <c r="B4646" s="23">
        <f>IF(AND(IFERROR(N(INDEX(Clay_Brands!$A$2:$FZ$601,595,Sync!$D$12)),0)&gt;0,IFERROR(INDEX(Clay_Brands!$A$2:$FZ$601,595,Sync!$D$5)&amp;"","")&lt;&gt;"",OR(LEFT(IFERROR(INDEX(Clay_Brands!$A$2:$FZ$601,595,Sync!$D$5)&amp;"",""),6)&lt;&gt;"SAMPLE",Config!$B$19="Y")),IFERROR(N(INDEX(Clay_Brands!$A$2:$FZ$601,595,Sync!$D$12)),0),"")</f>
        <v/>
      </c>
      <c r="C4646" s="17">
        <f>IF(B4646="","","brand")</f>
        <v/>
      </c>
      <c r="D4646" s="17">
        <f>IF(B4646="","",IFERROR(INDEX(Clay_Brands!$A$2:$FZ$601,595,Sync!$D$5)&amp;"",""))</f>
        <v/>
      </c>
      <c r="E4646" s="17">
        <f>IF(B4646="","",IFERROR(INDEX(Clay_Brands!$A$2:$FZ$601,595,Sync!$D$6)&amp;"",""))</f>
        <v/>
      </c>
      <c r="F4646" s="17">
        <f>IF(B4646="","","outreach_sent")</f>
        <v/>
      </c>
      <c r="G4646" s="17">
        <f>IF(B4646="","","")</f>
        <v/>
      </c>
      <c r="H4646" s="17">
        <f>IF(B4646="","","")</f>
        <v/>
      </c>
      <c r="I4646" s="17">
        <f>IF(B4646="","","")</f>
        <v/>
      </c>
      <c r="J4646" s="17">
        <f>IF(B4646="","","touch_2; "&amp;IFERROR(INDEX(Clay_Brands!$A$2:$FZ$601,595,Sync!$D$10)&amp;"","")&amp;"; "&amp;IFERROR(INDEX(Clay_Brands!$A$2:$FZ$601,595,Sync!$D$9)&amp;"",""))</f>
        <v/>
      </c>
      <c r="K4646" t="inlineStr">
        <is>
          <t>brand outreach touch 2</t>
        </is>
      </c>
    </row>
    <row r="4647">
      <c r="A4647" s="17">
        <f>IF(B4647="","",B4647+(16*1000+596)/10000000)</f>
        <v/>
      </c>
      <c r="B4647" s="23">
        <f>IF(AND(IFERROR(N(INDEX(Clay_Brands!$A$2:$FZ$601,596,Sync!$D$12)),0)&gt;0,IFERROR(INDEX(Clay_Brands!$A$2:$FZ$601,596,Sync!$D$5)&amp;"","")&lt;&gt;"",OR(LEFT(IFERROR(INDEX(Clay_Brands!$A$2:$FZ$601,596,Sync!$D$5)&amp;"",""),6)&lt;&gt;"SAMPLE",Config!$B$19="Y")),IFERROR(N(INDEX(Clay_Brands!$A$2:$FZ$601,596,Sync!$D$12)),0),"")</f>
        <v/>
      </c>
      <c r="C4647" s="17">
        <f>IF(B4647="","","brand")</f>
        <v/>
      </c>
      <c r="D4647" s="17">
        <f>IF(B4647="","",IFERROR(INDEX(Clay_Brands!$A$2:$FZ$601,596,Sync!$D$5)&amp;"",""))</f>
        <v/>
      </c>
      <c r="E4647" s="17">
        <f>IF(B4647="","",IFERROR(INDEX(Clay_Brands!$A$2:$FZ$601,596,Sync!$D$6)&amp;"",""))</f>
        <v/>
      </c>
      <c r="F4647" s="17">
        <f>IF(B4647="","","outreach_sent")</f>
        <v/>
      </c>
      <c r="G4647" s="17">
        <f>IF(B4647="","","")</f>
        <v/>
      </c>
      <c r="H4647" s="17">
        <f>IF(B4647="","","")</f>
        <v/>
      </c>
      <c r="I4647" s="17">
        <f>IF(B4647="","","")</f>
        <v/>
      </c>
      <c r="J4647" s="17">
        <f>IF(B4647="","","touch_2; "&amp;IFERROR(INDEX(Clay_Brands!$A$2:$FZ$601,596,Sync!$D$10)&amp;"","")&amp;"; "&amp;IFERROR(INDEX(Clay_Brands!$A$2:$FZ$601,596,Sync!$D$9)&amp;"",""))</f>
        <v/>
      </c>
      <c r="K4647" t="inlineStr">
        <is>
          <t>brand outreach touch 2</t>
        </is>
      </c>
    </row>
    <row r="4648">
      <c r="A4648" s="17">
        <f>IF(B4648="","",B4648+(16*1000+597)/10000000)</f>
        <v/>
      </c>
      <c r="B4648" s="23">
        <f>IF(AND(IFERROR(N(INDEX(Clay_Brands!$A$2:$FZ$601,597,Sync!$D$12)),0)&gt;0,IFERROR(INDEX(Clay_Brands!$A$2:$FZ$601,597,Sync!$D$5)&amp;"","")&lt;&gt;"",OR(LEFT(IFERROR(INDEX(Clay_Brands!$A$2:$FZ$601,597,Sync!$D$5)&amp;"",""),6)&lt;&gt;"SAMPLE",Config!$B$19="Y")),IFERROR(N(INDEX(Clay_Brands!$A$2:$FZ$601,597,Sync!$D$12)),0),"")</f>
        <v/>
      </c>
      <c r="C4648" s="17">
        <f>IF(B4648="","","brand")</f>
        <v/>
      </c>
      <c r="D4648" s="17">
        <f>IF(B4648="","",IFERROR(INDEX(Clay_Brands!$A$2:$FZ$601,597,Sync!$D$5)&amp;"",""))</f>
        <v/>
      </c>
      <c r="E4648" s="17">
        <f>IF(B4648="","",IFERROR(INDEX(Clay_Brands!$A$2:$FZ$601,597,Sync!$D$6)&amp;"",""))</f>
        <v/>
      </c>
      <c r="F4648" s="17">
        <f>IF(B4648="","","outreach_sent")</f>
        <v/>
      </c>
      <c r="G4648" s="17">
        <f>IF(B4648="","","")</f>
        <v/>
      </c>
      <c r="H4648" s="17">
        <f>IF(B4648="","","")</f>
        <v/>
      </c>
      <c r="I4648" s="17">
        <f>IF(B4648="","","")</f>
        <v/>
      </c>
      <c r="J4648" s="17">
        <f>IF(B4648="","","touch_2; "&amp;IFERROR(INDEX(Clay_Brands!$A$2:$FZ$601,597,Sync!$D$10)&amp;"","")&amp;"; "&amp;IFERROR(INDEX(Clay_Brands!$A$2:$FZ$601,597,Sync!$D$9)&amp;"",""))</f>
        <v/>
      </c>
      <c r="K4648" t="inlineStr">
        <is>
          <t>brand outreach touch 2</t>
        </is>
      </c>
    </row>
    <row r="4649">
      <c r="A4649" s="17">
        <f>IF(B4649="","",B4649+(16*1000+598)/10000000)</f>
        <v/>
      </c>
      <c r="B4649" s="23">
        <f>IF(AND(IFERROR(N(INDEX(Clay_Brands!$A$2:$FZ$601,598,Sync!$D$12)),0)&gt;0,IFERROR(INDEX(Clay_Brands!$A$2:$FZ$601,598,Sync!$D$5)&amp;"","")&lt;&gt;"",OR(LEFT(IFERROR(INDEX(Clay_Brands!$A$2:$FZ$601,598,Sync!$D$5)&amp;"",""),6)&lt;&gt;"SAMPLE",Config!$B$19="Y")),IFERROR(N(INDEX(Clay_Brands!$A$2:$FZ$601,598,Sync!$D$12)),0),"")</f>
        <v/>
      </c>
      <c r="C4649" s="17">
        <f>IF(B4649="","","brand")</f>
        <v/>
      </c>
      <c r="D4649" s="17">
        <f>IF(B4649="","",IFERROR(INDEX(Clay_Brands!$A$2:$FZ$601,598,Sync!$D$5)&amp;"",""))</f>
        <v/>
      </c>
      <c r="E4649" s="17">
        <f>IF(B4649="","",IFERROR(INDEX(Clay_Brands!$A$2:$FZ$601,598,Sync!$D$6)&amp;"",""))</f>
        <v/>
      </c>
      <c r="F4649" s="17">
        <f>IF(B4649="","","outreach_sent")</f>
        <v/>
      </c>
      <c r="G4649" s="17">
        <f>IF(B4649="","","")</f>
        <v/>
      </c>
      <c r="H4649" s="17">
        <f>IF(B4649="","","")</f>
        <v/>
      </c>
      <c r="I4649" s="17">
        <f>IF(B4649="","","")</f>
        <v/>
      </c>
      <c r="J4649" s="17">
        <f>IF(B4649="","","touch_2; "&amp;IFERROR(INDEX(Clay_Brands!$A$2:$FZ$601,598,Sync!$D$10)&amp;"","")&amp;"; "&amp;IFERROR(INDEX(Clay_Brands!$A$2:$FZ$601,598,Sync!$D$9)&amp;"",""))</f>
        <v/>
      </c>
      <c r="K4649" t="inlineStr">
        <is>
          <t>brand outreach touch 2</t>
        </is>
      </c>
    </row>
    <row r="4650">
      <c r="A4650" s="17">
        <f>IF(B4650="","",B4650+(16*1000+599)/10000000)</f>
        <v/>
      </c>
      <c r="B4650" s="23">
        <f>IF(AND(IFERROR(N(INDEX(Clay_Brands!$A$2:$FZ$601,599,Sync!$D$12)),0)&gt;0,IFERROR(INDEX(Clay_Brands!$A$2:$FZ$601,599,Sync!$D$5)&amp;"","")&lt;&gt;"",OR(LEFT(IFERROR(INDEX(Clay_Brands!$A$2:$FZ$601,599,Sync!$D$5)&amp;"",""),6)&lt;&gt;"SAMPLE",Config!$B$19="Y")),IFERROR(N(INDEX(Clay_Brands!$A$2:$FZ$601,599,Sync!$D$12)),0),"")</f>
        <v/>
      </c>
      <c r="C4650" s="17">
        <f>IF(B4650="","","brand")</f>
        <v/>
      </c>
      <c r="D4650" s="17">
        <f>IF(B4650="","",IFERROR(INDEX(Clay_Brands!$A$2:$FZ$601,599,Sync!$D$5)&amp;"",""))</f>
        <v/>
      </c>
      <c r="E4650" s="17">
        <f>IF(B4650="","",IFERROR(INDEX(Clay_Brands!$A$2:$FZ$601,599,Sync!$D$6)&amp;"",""))</f>
        <v/>
      </c>
      <c r="F4650" s="17">
        <f>IF(B4650="","","outreach_sent")</f>
        <v/>
      </c>
      <c r="G4650" s="17">
        <f>IF(B4650="","","")</f>
        <v/>
      </c>
      <c r="H4650" s="17">
        <f>IF(B4650="","","")</f>
        <v/>
      </c>
      <c r="I4650" s="17">
        <f>IF(B4650="","","")</f>
        <v/>
      </c>
      <c r="J4650" s="17">
        <f>IF(B4650="","","touch_2; "&amp;IFERROR(INDEX(Clay_Brands!$A$2:$FZ$601,599,Sync!$D$10)&amp;"","")&amp;"; "&amp;IFERROR(INDEX(Clay_Brands!$A$2:$FZ$601,599,Sync!$D$9)&amp;"",""))</f>
        <v/>
      </c>
      <c r="K4650" t="inlineStr">
        <is>
          <t>brand outreach touch 2</t>
        </is>
      </c>
    </row>
    <row r="4651">
      <c r="A4651" s="17">
        <f>IF(B4651="","",B4651+(16*1000+600)/10000000)</f>
        <v/>
      </c>
      <c r="B4651" s="23">
        <f>IF(AND(IFERROR(N(INDEX(Clay_Brands!$A$2:$FZ$601,600,Sync!$D$12)),0)&gt;0,IFERROR(INDEX(Clay_Brands!$A$2:$FZ$601,600,Sync!$D$5)&amp;"","")&lt;&gt;"",OR(LEFT(IFERROR(INDEX(Clay_Brands!$A$2:$FZ$601,600,Sync!$D$5)&amp;"",""),6)&lt;&gt;"SAMPLE",Config!$B$19="Y")),IFERROR(N(INDEX(Clay_Brands!$A$2:$FZ$601,600,Sync!$D$12)),0),"")</f>
        <v/>
      </c>
      <c r="C4651" s="17">
        <f>IF(B4651="","","brand")</f>
        <v/>
      </c>
      <c r="D4651" s="17">
        <f>IF(B4651="","",IFERROR(INDEX(Clay_Brands!$A$2:$FZ$601,600,Sync!$D$5)&amp;"",""))</f>
        <v/>
      </c>
      <c r="E4651" s="17">
        <f>IF(B4651="","",IFERROR(INDEX(Clay_Brands!$A$2:$FZ$601,600,Sync!$D$6)&amp;"",""))</f>
        <v/>
      </c>
      <c r="F4651" s="17">
        <f>IF(B4651="","","outreach_sent")</f>
        <v/>
      </c>
      <c r="G4651" s="17">
        <f>IF(B4651="","","")</f>
        <v/>
      </c>
      <c r="H4651" s="17">
        <f>IF(B4651="","","")</f>
        <v/>
      </c>
      <c r="I4651" s="17">
        <f>IF(B4651="","","")</f>
        <v/>
      </c>
      <c r="J4651" s="17">
        <f>IF(B4651="","","touch_2; "&amp;IFERROR(INDEX(Clay_Brands!$A$2:$FZ$601,600,Sync!$D$10)&amp;"","")&amp;"; "&amp;IFERROR(INDEX(Clay_Brands!$A$2:$FZ$601,600,Sync!$D$9)&amp;"",""))</f>
        <v/>
      </c>
      <c r="K4651" t="inlineStr">
        <is>
          <t>brand outreach touch 2</t>
        </is>
      </c>
    </row>
    <row r="4652">
      <c r="A4652" s="17">
        <f>IF(B4652="","",B4652+(17*1000+1)/10000000)</f>
        <v/>
      </c>
      <c r="B4652" s="23">
        <f>IF(AND(IFERROR(N(INDEX(Clay_Brands!$A$2:$FZ$601,1,Sync!$D$13)),0)&gt;0,IFERROR(INDEX(Clay_Brands!$A$2:$FZ$601,1,Sync!$D$5)&amp;"","")&lt;&gt;"",OR(LEFT(IFERROR(INDEX(Clay_Brands!$A$2:$FZ$601,1,Sync!$D$5)&amp;"",""),6)&lt;&gt;"SAMPLE",Config!$B$19="Y")),IFERROR(N(INDEX(Clay_Brands!$A$2:$FZ$601,1,Sync!$D$13)),0),"")</f>
        <v/>
      </c>
      <c r="C4652" s="17">
        <f>IF(B4652="","","brand")</f>
        <v/>
      </c>
      <c r="D4652" s="17">
        <f>IF(B4652="","",IFERROR(INDEX(Clay_Brands!$A$2:$FZ$601,1,Sync!$D$5)&amp;"",""))</f>
        <v/>
      </c>
      <c r="E4652" s="17">
        <f>IF(B4652="","",IFERROR(INDEX(Clay_Brands!$A$2:$FZ$601,1,Sync!$D$6)&amp;"",""))</f>
        <v/>
      </c>
      <c r="F4652" s="17">
        <f>IF(B4652="","","outreach_sent")</f>
        <v/>
      </c>
      <c r="G4652" s="17">
        <f>IF(B4652="","","")</f>
        <v/>
      </c>
      <c r="H4652" s="17">
        <f>IF(B4652="","","")</f>
        <v/>
      </c>
      <c r="I4652" s="17">
        <f>IF(B4652="","","")</f>
        <v/>
      </c>
      <c r="J4652" s="17">
        <f>IF(B4652="","","touch_3; "&amp;IFERROR(INDEX(Clay_Brands!$A$2:$FZ$601,1,Sync!$D$10)&amp;"","")&amp;"; "&amp;IFERROR(INDEX(Clay_Brands!$A$2:$FZ$601,1,Sync!$D$9)&amp;"",""))</f>
        <v/>
      </c>
      <c r="K4652" t="inlineStr">
        <is>
          <t>brand outreach touch 3</t>
        </is>
      </c>
    </row>
    <row r="4653">
      <c r="A4653" s="17">
        <f>IF(B4653="","",B4653+(17*1000+2)/10000000)</f>
        <v/>
      </c>
      <c r="B4653" s="23">
        <f>IF(AND(IFERROR(N(INDEX(Clay_Brands!$A$2:$FZ$601,2,Sync!$D$13)),0)&gt;0,IFERROR(INDEX(Clay_Brands!$A$2:$FZ$601,2,Sync!$D$5)&amp;"","")&lt;&gt;"",OR(LEFT(IFERROR(INDEX(Clay_Brands!$A$2:$FZ$601,2,Sync!$D$5)&amp;"",""),6)&lt;&gt;"SAMPLE",Config!$B$19="Y")),IFERROR(N(INDEX(Clay_Brands!$A$2:$FZ$601,2,Sync!$D$13)),0),"")</f>
        <v/>
      </c>
      <c r="C4653" s="17">
        <f>IF(B4653="","","brand")</f>
        <v/>
      </c>
      <c r="D4653" s="17">
        <f>IF(B4653="","",IFERROR(INDEX(Clay_Brands!$A$2:$FZ$601,2,Sync!$D$5)&amp;"",""))</f>
        <v/>
      </c>
      <c r="E4653" s="17">
        <f>IF(B4653="","",IFERROR(INDEX(Clay_Brands!$A$2:$FZ$601,2,Sync!$D$6)&amp;"",""))</f>
        <v/>
      </c>
      <c r="F4653" s="17">
        <f>IF(B4653="","","outreach_sent")</f>
        <v/>
      </c>
      <c r="G4653" s="17">
        <f>IF(B4653="","","")</f>
        <v/>
      </c>
      <c r="H4653" s="17">
        <f>IF(B4653="","","")</f>
        <v/>
      </c>
      <c r="I4653" s="17">
        <f>IF(B4653="","","")</f>
        <v/>
      </c>
      <c r="J4653" s="17">
        <f>IF(B4653="","","touch_3; "&amp;IFERROR(INDEX(Clay_Brands!$A$2:$FZ$601,2,Sync!$D$10)&amp;"","")&amp;"; "&amp;IFERROR(INDEX(Clay_Brands!$A$2:$FZ$601,2,Sync!$D$9)&amp;"",""))</f>
        <v/>
      </c>
      <c r="K4653" t="inlineStr">
        <is>
          <t>brand outreach touch 3</t>
        </is>
      </c>
    </row>
    <row r="4654">
      <c r="A4654" s="17">
        <f>IF(B4654="","",B4654+(17*1000+3)/10000000)</f>
        <v/>
      </c>
      <c r="B4654" s="23">
        <f>IF(AND(IFERROR(N(INDEX(Clay_Brands!$A$2:$FZ$601,3,Sync!$D$13)),0)&gt;0,IFERROR(INDEX(Clay_Brands!$A$2:$FZ$601,3,Sync!$D$5)&amp;"","")&lt;&gt;"",OR(LEFT(IFERROR(INDEX(Clay_Brands!$A$2:$FZ$601,3,Sync!$D$5)&amp;"",""),6)&lt;&gt;"SAMPLE",Config!$B$19="Y")),IFERROR(N(INDEX(Clay_Brands!$A$2:$FZ$601,3,Sync!$D$13)),0),"")</f>
        <v/>
      </c>
      <c r="C4654" s="17">
        <f>IF(B4654="","","brand")</f>
        <v/>
      </c>
      <c r="D4654" s="17">
        <f>IF(B4654="","",IFERROR(INDEX(Clay_Brands!$A$2:$FZ$601,3,Sync!$D$5)&amp;"",""))</f>
        <v/>
      </c>
      <c r="E4654" s="17">
        <f>IF(B4654="","",IFERROR(INDEX(Clay_Brands!$A$2:$FZ$601,3,Sync!$D$6)&amp;"",""))</f>
        <v/>
      </c>
      <c r="F4654" s="17">
        <f>IF(B4654="","","outreach_sent")</f>
        <v/>
      </c>
      <c r="G4654" s="17">
        <f>IF(B4654="","","")</f>
        <v/>
      </c>
      <c r="H4654" s="17">
        <f>IF(B4654="","","")</f>
        <v/>
      </c>
      <c r="I4654" s="17">
        <f>IF(B4654="","","")</f>
        <v/>
      </c>
      <c r="J4654" s="17">
        <f>IF(B4654="","","touch_3; "&amp;IFERROR(INDEX(Clay_Brands!$A$2:$FZ$601,3,Sync!$D$10)&amp;"","")&amp;"; "&amp;IFERROR(INDEX(Clay_Brands!$A$2:$FZ$601,3,Sync!$D$9)&amp;"",""))</f>
        <v/>
      </c>
      <c r="K4654" t="inlineStr">
        <is>
          <t>brand outreach touch 3</t>
        </is>
      </c>
    </row>
    <row r="4655">
      <c r="A4655" s="17">
        <f>IF(B4655="","",B4655+(17*1000+4)/10000000)</f>
        <v/>
      </c>
      <c r="B4655" s="23">
        <f>IF(AND(IFERROR(N(INDEX(Clay_Brands!$A$2:$FZ$601,4,Sync!$D$13)),0)&gt;0,IFERROR(INDEX(Clay_Brands!$A$2:$FZ$601,4,Sync!$D$5)&amp;"","")&lt;&gt;"",OR(LEFT(IFERROR(INDEX(Clay_Brands!$A$2:$FZ$601,4,Sync!$D$5)&amp;"",""),6)&lt;&gt;"SAMPLE",Config!$B$19="Y")),IFERROR(N(INDEX(Clay_Brands!$A$2:$FZ$601,4,Sync!$D$13)),0),"")</f>
        <v/>
      </c>
      <c r="C4655" s="17">
        <f>IF(B4655="","","brand")</f>
        <v/>
      </c>
      <c r="D4655" s="17">
        <f>IF(B4655="","",IFERROR(INDEX(Clay_Brands!$A$2:$FZ$601,4,Sync!$D$5)&amp;"",""))</f>
        <v/>
      </c>
      <c r="E4655" s="17">
        <f>IF(B4655="","",IFERROR(INDEX(Clay_Brands!$A$2:$FZ$601,4,Sync!$D$6)&amp;"",""))</f>
        <v/>
      </c>
      <c r="F4655" s="17">
        <f>IF(B4655="","","outreach_sent")</f>
        <v/>
      </c>
      <c r="G4655" s="17">
        <f>IF(B4655="","","")</f>
        <v/>
      </c>
      <c r="H4655" s="17">
        <f>IF(B4655="","","")</f>
        <v/>
      </c>
      <c r="I4655" s="17">
        <f>IF(B4655="","","")</f>
        <v/>
      </c>
      <c r="J4655" s="17">
        <f>IF(B4655="","","touch_3; "&amp;IFERROR(INDEX(Clay_Brands!$A$2:$FZ$601,4,Sync!$D$10)&amp;"","")&amp;"; "&amp;IFERROR(INDEX(Clay_Brands!$A$2:$FZ$601,4,Sync!$D$9)&amp;"",""))</f>
        <v/>
      </c>
      <c r="K4655" t="inlineStr">
        <is>
          <t>brand outreach touch 3</t>
        </is>
      </c>
    </row>
    <row r="4656">
      <c r="A4656" s="17">
        <f>IF(B4656="","",B4656+(17*1000+5)/10000000)</f>
        <v/>
      </c>
      <c r="B4656" s="23">
        <f>IF(AND(IFERROR(N(INDEX(Clay_Brands!$A$2:$FZ$601,5,Sync!$D$13)),0)&gt;0,IFERROR(INDEX(Clay_Brands!$A$2:$FZ$601,5,Sync!$D$5)&amp;"","")&lt;&gt;"",OR(LEFT(IFERROR(INDEX(Clay_Brands!$A$2:$FZ$601,5,Sync!$D$5)&amp;"",""),6)&lt;&gt;"SAMPLE",Config!$B$19="Y")),IFERROR(N(INDEX(Clay_Brands!$A$2:$FZ$601,5,Sync!$D$13)),0),"")</f>
        <v/>
      </c>
      <c r="C4656" s="17">
        <f>IF(B4656="","","brand")</f>
        <v/>
      </c>
      <c r="D4656" s="17">
        <f>IF(B4656="","",IFERROR(INDEX(Clay_Brands!$A$2:$FZ$601,5,Sync!$D$5)&amp;"",""))</f>
        <v/>
      </c>
      <c r="E4656" s="17">
        <f>IF(B4656="","",IFERROR(INDEX(Clay_Brands!$A$2:$FZ$601,5,Sync!$D$6)&amp;"",""))</f>
        <v/>
      </c>
      <c r="F4656" s="17">
        <f>IF(B4656="","","outreach_sent")</f>
        <v/>
      </c>
      <c r="G4656" s="17">
        <f>IF(B4656="","","")</f>
        <v/>
      </c>
      <c r="H4656" s="17">
        <f>IF(B4656="","","")</f>
        <v/>
      </c>
      <c r="I4656" s="17">
        <f>IF(B4656="","","")</f>
        <v/>
      </c>
      <c r="J4656" s="17">
        <f>IF(B4656="","","touch_3; "&amp;IFERROR(INDEX(Clay_Brands!$A$2:$FZ$601,5,Sync!$D$10)&amp;"","")&amp;"; "&amp;IFERROR(INDEX(Clay_Brands!$A$2:$FZ$601,5,Sync!$D$9)&amp;"",""))</f>
        <v/>
      </c>
      <c r="K4656" t="inlineStr">
        <is>
          <t>brand outreach touch 3</t>
        </is>
      </c>
    </row>
    <row r="4657">
      <c r="A4657" s="17">
        <f>IF(B4657="","",B4657+(17*1000+6)/10000000)</f>
        <v/>
      </c>
      <c r="B4657" s="23">
        <f>IF(AND(IFERROR(N(INDEX(Clay_Brands!$A$2:$FZ$601,6,Sync!$D$13)),0)&gt;0,IFERROR(INDEX(Clay_Brands!$A$2:$FZ$601,6,Sync!$D$5)&amp;"","")&lt;&gt;"",OR(LEFT(IFERROR(INDEX(Clay_Brands!$A$2:$FZ$601,6,Sync!$D$5)&amp;"",""),6)&lt;&gt;"SAMPLE",Config!$B$19="Y")),IFERROR(N(INDEX(Clay_Brands!$A$2:$FZ$601,6,Sync!$D$13)),0),"")</f>
        <v/>
      </c>
      <c r="C4657" s="17">
        <f>IF(B4657="","","brand")</f>
        <v/>
      </c>
      <c r="D4657" s="17">
        <f>IF(B4657="","",IFERROR(INDEX(Clay_Brands!$A$2:$FZ$601,6,Sync!$D$5)&amp;"",""))</f>
        <v/>
      </c>
      <c r="E4657" s="17">
        <f>IF(B4657="","",IFERROR(INDEX(Clay_Brands!$A$2:$FZ$601,6,Sync!$D$6)&amp;"",""))</f>
        <v/>
      </c>
      <c r="F4657" s="17">
        <f>IF(B4657="","","outreach_sent")</f>
        <v/>
      </c>
      <c r="G4657" s="17">
        <f>IF(B4657="","","")</f>
        <v/>
      </c>
      <c r="H4657" s="17">
        <f>IF(B4657="","","")</f>
        <v/>
      </c>
      <c r="I4657" s="17">
        <f>IF(B4657="","","")</f>
        <v/>
      </c>
      <c r="J4657" s="17">
        <f>IF(B4657="","","touch_3; "&amp;IFERROR(INDEX(Clay_Brands!$A$2:$FZ$601,6,Sync!$D$10)&amp;"","")&amp;"; "&amp;IFERROR(INDEX(Clay_Brands!$A$2:$FZ$601,6,Sync!$D$9)&amp;"",""))</f>
        <v/>
      </c>
      <c r="K4657" t="inlineStr">
        <is>
          <t>brand outreach touch 3</t>
        </is>
      </c>
    </row>
    <row r="4658">
      <c r="A4658" s="17">
        <f>IF(B4658="","",B4658+(17*1000+7)/10000000)</f>
        <v/>
      </c>
      <c r="B4658" s="23">
        <f>IF(AND(IFERROR(N(INDEX(Clay_Brands!$A$2:$FZ$601,7,Sync!$D$13)),0)&gt;0,IFERROR(INDEX(Clay_Brands!$A$2:$FZ$601,7,Sync!$D$5)&amp;"","")&lt;&gt;"",OR(LEFT(IFERROR(INDEX(Clay_Brands!$A$2:$FZ$601,7,Sync!$D$5)&amp;"",""),6)&lt;&gt;"SAMPLE",Config!$B$19="Y")),IFERROR(N(INDEX(Clay_Brands!$A$2:$FZ$601,7,Sync!$D$13)),0),"")</f>
        <v/>
      </c>
      <c r="C4658" s="17">
        <f>IF(B4658="","","brand")</f>
        <v/>
      </c>
      <c r="D4658" s="17">
        <f>IF(B4658="","",IFERROR(INDEX(Clay_Brands!$A$2:$FZ$601,7,Sync!$D$5)&amp;"",""))</f>
        <v/>
      </c>
      <c r="E4658" s="17">
        <f>IF(B4658="","",IFERROR(INDEX(Clay_Brands!$A$2:$FZ$601,7,Sync!$D$6)&amp;"",""))</f>
        <v/>
      </c>
      <c r="F4658" s="17">
        <f>IF(B4658="","","outreach_sent")</f>
        <v/>
      </c>
      <c r="G4658" s="17">
        <f>IF(B4658="","","")</f>
        <v/>
      </c>
      <c r="H4658" s="17">
        <f>IF(B4658="","","")</f>
        <v/>
      </c>
      <c r="I4658" s="17">
        <f>IF(B4658="","","")</f>
        <v/>
      </c>
      <c r="J4658" s="17">
        <f>IF(B4658="","","touch_3; "&amp;IFERROR(INDEX(Clay_Brands!$A$2:$FZ$601,7,Sync!$D$10)&amp;"","")&amp;"; "&amp;IFERROR(INDEX(Clay_Brands!$A$2:$FZ$601,7,Sync!$D$9)&amp;"",""))</f>
        <v/>
      </c>
      <c r="K4658" t="inlineStr">
        <is>
          <t>brand outreach touch 3</t>
        </is>
      </c>
    </row>
    <row r="4659">
      <c r="A4659" s="17">
        <f>IF(B4659="","",B4659+(17*1000+8)/10000000)</f>
        <v/>
      </c>
      <c r="B4659" s="23">
        <f>IF(AND(IFERROR(N(INDEX(Clay_Brands!$A$2:$FZ$601,8,Sync!$D$13)),0)&gt;0,IFERROR(INDEX(Clay_Brands!$A$2:$FZ$601,8,Sync!$D$5)&amp;"","")&lt;&gt;"",OR(LEFT(IFERROR(INDEX(Clay_Brands!$A$2:$FZ$601,8,Sync!$D$5)&amp;"",""),6)&lt;&gt;"SAMPLE",Config!$B$19="Y")),IFERROR(N(INDEX(Clay_Brands!$A$2:$FZ$601,8,Sync!$D$13)),0),"")</f>
        <v/>
      </c>
      <c r="C4659" s="17">
        <f>IF(B4659="","","brand")</f>
        <v/>
      </c>
      <c r="D4659" s="17">
        <f>IF(B4659="","",IFERROR(INDEX(Clay_Brands!$A$2:$FZ$601,8,Sync!$D$5)&amp;"",""))</f>
        <v/>
      </c>
      <c r="E4659" s="17">
        <f>IF(B4659="","",IFERROR(INDEX(Clay_Brands!$A$2:$FZ$601,8,Sync!$D$6)&amp;"",""))</f>
        <v/>
      </c>
      <c r="F4659" s="17">
        <f>IF(B4659="","","outreach_sent")</f>
        <v/>
      </c>
      <c r="G4659" s="17">
        <f>IF(B4659="","","")</f>
        <v/>
      </c>
      <c r="H4659" s="17">
        <f>IF(B4659="","","")</f>
        <v/>
      </c>
      <c r="I4659" s="17">
        <f>IF(B4659="","","")</f>
        <v/>
      </c>
      <c r="J4659" s="17">
        <f>IF(B4659="","","touch_3; "&amp;IFERROR(INDEX(Clay_Brands!$A$2:$FZ$601,8,Sync!$D$10)&amp;"","")&amp;"; "&amp;IFERROR(INDEX(Clay_Brands!$A$2:$FZ$601,8,Sync!$D$9)&amp;"",""))</f>
        <v/>
      </c>
      <c r="K4659" t="inlineStr">
        <is>
          <t>brand outreach touch 3</t>
        </is>
      </c>
    </row>
    <row r="4660">
      <c r="A4660" s="17">
        <f>IF(B4660="","",B4660+(17*1000+9)/10000000)</f>
        <v/>
      </c>
      <c r="B4660" s="23">
        <f>IF(AND(IFERROR(N(INDEX(Clay_Brands!$A$2:$FZ$601,9,Sync!$D$13)),0)&gt;0,IFERROR(INDEX(Clay_Brands!$A$2:$FZ$601,9,Sync!$D$5)&amp;"","")&lt;&gt;"",OR(LEFT(IFERROR(INDEX(Clay_Brands!$A$2:$FZ$601,9,Sync!$D$5)&amp;"",""),6)&lt;&gt;"SAMPLE",Config!$B$19="Y")),IFERROR(N(INDEX(Clay_Brands!$A$2:$FZ$601,9,Sync!$D$13)),0),"")</f>
        <v/>
      </c>
      <c r="C4660" s="17">
        <f>IF(B4660="","","brand")</f>
        <v/>
      </c>
      <c r="D4660" s="17">
        <f>IF(B4660="","",IFERROR(INDEX(Clay_Brands!$A$2:$FZ$601,9,Sync!$D$5)&amp;"",""))</f>
        <v/>
      </c>
      <c r="E4660" s="17">
        <f>IF(B4660="","",IFERROR(INDEX(Clay_Brands!$A$2:$FZ$601,9,Sync!$D$6)&amp;"",""))</f>
        <v/>
      </c>
      <c r="F4660" s="17">
        <f>IF(B4660="","","outreach_sent")</f>
        <v/>
      </c>
      <c r="G4660" s="17">
        <f>IF(B4660="","","")</f>
        <v/>
      </c>
      <c r="H4660" s="17">
        <f>IF(B4660="","","")</f>
        <v/>
      </c>
      <c r="I4660" s="17">
        <f>IF(B4660="","","")</f>
        <v/>
      </c>
      <c r="J4660" s="17">
        <f>IF(B4660="","","touch_3; "&amp;IFERROR(INDEX(Clay_Brands!$A$2:$FZ$601,9,Sync!$D$10)&amp;"","")&amp;"; "&amp;IFERROR(INDEX(Clay_Brands!$A$2:$FZ$601,9,Sync!$D$9)&amp;"",""))</f>
        <v/>
      </c>
      <c r="K4660" t="inlineStr">
        <is>
          <t>brand outreach touch 3</t>
        </is>
      </c>
    </row>
    <row r="4661">
      <c r="A4661" s="17">
        <f>IF(B4661="","",B4661+(17*1000+10)/10000000)</f>
        <v/>
      </c>
      <c r="B4661" s="23">
        <f>IF(AND(IFERROR(N(INDEX(Clay_Brands!$A$2:$FZ$601,10,Sync!$D$13)),0)&gt;0,IFERROR(INDEX(Clay_Brands!$A$2:$FZ$601,10,Sync!$D$5)&amp;"","")&lt;&gt;"",OR(LEFT(IFERROR(INDEX(Clay_Brands!$A$2:$FZ$601,10,Sync!$D$5)&amp;"",""),6)&lt;&gt;"SAMPLE",Config!$B$19="Y")),IFERROR(N(INDEX(Clay_Brands!$A$2:$FZ$601,10,Sync!$D$13)),0),"")</f>
        <v/>
      </c>
      <c r="C4661" s="17">
        <f>IF(B4661="","","brand")</f>
        <v/>
      </c>
      <c r="D4661" s="17">
        <f>IF(B4661="","",IFERROR(INDEX(Clay_Brands!$A$2:$FZ$601,10,Sync!$D$5)&amp;"",""))</f>
        <v/>
      </c>
      <c r="E4661" s="17">
        <f>IF(B4661="","",IFERROR(INDEX(Clay_Brands!$A$2:$FZ$601,10,Sync!$D$6)&amp;"",""))</f>
        <v/>
      </c>
      <c r="F4661" s="17">
        <f>IF(B4661="","","outreach_sent")</f>
        <v/>
      </c>
      <c r="G4661" s="17">
        <f>IF(B4661="","","")</f>
        <v/>
      </c>
      <c r="H4661" s="17">
        <f>IF(B4661="","","")</f>
        <v/>
      </c>
      <c r="I4661" s="17">
        <f>IF(B4661="","","")</f>
        <v/>
      </c>
      <c r="J4661" s="17">
        <f>IF(B4661="","","touch_3; "&amp;IFERROR(INDEX(Clay_Brands!$A$2:$FZ$601,10,Sync!$D$10)&amp;"","")&amp;"; "&amp;IFERROR(INDEX(Clay_Brands!$A$2:$FZ$601,10,Sync!$D$9)&amp;"",""))</f>
        <v/>
      </c>
      <c r="K4661" t="inlineStr">
        <is>
          <t>brand outreach touch 3</t>
        </is>
      </c>
    </row>
    <row r="4662">
      <c r="A4662" s="17">
        <f>IF(B4662="","",B4662+(17*1000+11)/10000000)</f>
        <v/>
      </c>
      <c r="B4662" s="23">
        <f>IF(AND(IFERROR(N(INDEX(Clay_Brands!$A$2:$FZ$601,11,Sync!$D$13)),0)&gt;0,IFERROR(INDEX(Clay_Brands!$A$2:$FZ$601,11,Sync!$D$5)&amp;"","")&lt;&gt;"",OR(LEFT(IFERROR(INDEX(Clay_Brands!$A$2:$FZ$601,11,Sync!$D$5)&amp;"",""),6)&lt;&gt;"SAMPLE",Config!$B$19="Y")),IFERROR(N(INDEX(Clay_Brands!$A$2:$FZ$601,11,Sync!$D$13)),0),"")</f>
        <v/>
      </c>
      <c r="C4662" s="17">
        <f>IF(B4662="","","brand")</f>
        <v/>
      </c>
      <c r="D4662" s="17">
        <f>IF(B4662="","",IFERROR(INDEX(Clay_Brands!$A$2:$FZ$601,11,Sync!$D$5)&amp;"",""))</f>
        <v/>
      </c>
      <c r="E4662" s="17">
        <f>IF(B4662="","",IFERROR(INDEX(Clay_Brands!$A$2:$FZ$601,11,Sync!$D$6)&amp;"",""))</f>
        <v/>
      </c>
      <c r="F4662" s="17">
        <f>IF(B4662="","","outreach_sent")</f>
        <v/>
      </c>
      <c r="G4662" s="17">
        <f>IF(B4662="","","")</f>
        <v/>
      </c>
      <c r="H4662" s="17">
        <f>IF(B4662="","","")</f>
        <v/>
      </c>
      <c r="I4662" s="17">
        <f>IF(B4662="","","")</f>
        <v/>
      </c>
      <c r="J4662" s="17">
        <f>IF(B4662="","","touch_3; "&amp;IFERROR(INDEX(Clay_Brands!$A$2:$FZ$601,11,Sync!$D$10)&amp;"","")&amp;"; "&amp;IFERROR(INDEX(Clay_Brands!$A$2:$FZ$601,11,Sync!$D$9)&amp;"",""))</f>
        <v/>
      </c>
      <c r="K4662" t="inlineStr">
        <is>
          <t>brand outreach touch 3</t>
        </is>
      </c>
    </row>
    <row r="4663">
      <c r="A4663" s="17">
        <f>IF(B4663="","",B4663+(17*1000+12)/10000000)</f>
        <v/>
      </c>
      <c r="B4663" s="23">
        <f>IF(AND(IFERROR(N(INDEX(Clay_Brands!$A$2:$FZ$601,12,Sync!$D$13)),0)&gt;0,IFERROR(INDEX(Clay_Brands!$A$2:$FZ$601,12,Sync!$D$5)&amp;"","")&lt;&gt;"",OR(LEFT(IFERROR(INDEX(Clay_Brands!$A$2:$FZ$601,12,Sync!$D$5)&amp;"",""),6)&lt;&gt;"SAMPLE",Config!$B$19="Y")),IFERROR(N(INDEX(Clay_Brands!$A$2:$FZ$601,12,Sync!$D$13)),0),"")</f>
        <v/>
      </c>
      <c r="C4663" s="17">
        <f>IF(B4663="","","brand")</f>
        <v/>
      </c>
      <c r="D4663" s="17">
        <f>IF(B4663="","",IFERROR(INDEX(Clay_Brands!$A$2:$FZ$601,12,Sync!$D$5)&amp;"",""))</f>
        <v/>
      </c>
      <c r="E4663" s="17">
        <f>IF(B4663="","",IFERROR(INDEX(Clay_Brands!$A$2:$FZ$601,12,Sync!$D$6)&amp;"",""))</f>
        <v/>
      </c>
      <c r="F4663" s="17">
        <f>IF(B4663="","","outreach_sent")</f>
        <v/>
      </c>
      <c r="G4663" s="17">
        <f>IF(B4663="","","")</f>
        <v/>
      </c>
      <c r="H4663" s="17">
        <f>IF(B4663="","","")</f>
        <v/>
      </c>
      <c r="I4663" s="17">
        <f>IF(B4663="","","")</f>
        <v/>
      </c>
      <c r="J4663" s="17">
        <f>IF(B4663="","","touch_3; "&amp;IFERROR(INDEX(Clay_Brands!$A$2:$FZ$601,12,Sync!$D$10)&amp;"","")&amp;"; "&amp;IFERROR(INDEX(Clay_Brands!$A$2:$FZ$601,12,Sync!$D$9)&amp;"",""))</f>
        <v/>
      </c>
      <c r="K4663" t="inlineStr">
        <is>
          <t>brand outreach touch 3</t>
        </is>
      </c>
    </row>
    <row r="4664">
      <c r="A4664" s="17">
        <f>IF(B4664="","",B4664+(17*1000+13)/10000000)</f>
        <v/>
      </c>
      <c r="B4664" s="23">
        <f>IF(AND(IFERROR(N(INDEX(Clay_Brands!$A$2:$FZ$601,13,Sync!$D$13)),0)&gt;0,IFERROR(INDEX(Clay_Brands!$A$2:$FZ$601,13,Sync!$D$5)&amp;"","")&lt;&gt;"",OR(LEFT(IFERROR(INDEX(Clay_Brands!$A$2:$FZ$601,13,Sync!$D$5)&amp;"",""),6)&lt;&gt;"SAMPLE",Config!$B$19="Y")),IFERROR(N(INDEX(Clay_Brands!$A$2:$FZ$601,13,Sync!$D$13)),0),"")</f>
        <v/>
      </c>
      <c r="C4664" s="17">
        <f>IF(B4664="","","brand")</f>
        <v/>
      </c>
      <c r="D4664" s="17">
        <f>IF(B4664="","",IFERROR(INDEX(Clay_Brands!$A$2:$FZ$601,13,Sync!$D$5)&amp;"",""))</f>
        <v/>
      </c>
      <c r="E4664" s="17">
        <f>IF(B4664="","",IFERROR(INDEX(Clay_Brands!$A$2:$FZ$601,13,Sync!$D$6)&amp;"",""))</f>
        <v/>
      </c>
      <c r="F4664" s="17">
        <f>IF(B4664="","","outreach_sent")</f>
        <v/>
      </c>
      <c r="G4664" s="17">
        <f>IF(B4664="","","")</f>
        <v/>
      </c>
      <c r="H4664" s="17">
        <f>IF(B4664="","","")</f>
        <v/>
      </c>
      <c r="I4664" s="17">
        <f>IF(B4664="","","")</f>
        <v/>
      </c>
      <c r="J4664" s="17">
        <f>IF(B4664="","","touch_3; "&amp;IFERROR(INDEX(Clay_Brands!$A$2:$FZ$601,13,Sync!$D$10)&amp;"","")&amp;"; "&amp;IFERROR(INDEX(Clay_Brands!$A$2:$FZ$601,13,Sync!$D$9)&amp;"",""))</f>
        <v/>
      </c>
      <c r="K4664" t="inlineStr">
        <is>
          <t>brand outreach touch 3</t>
        </is>
      </c>
    </row>
    <row r="4665">
      <c r="A4665" s="17">
        <f>IF(B4665="","",B4665+(17*1000+14)/10000000)</f>
        <v/>
      </c>
      <c r="B4665" s="23">
        <f>IF(AND(IFERROR(N(INDEX(Clay_Brands!$A$2:$FZ$601,14,Sync!$D$13)),0)&gt;0,IFERROR(INDEX(Clay_Brands!$A$2:$FZ$601,14,Sync!$D$5)&amp;"","")&lt;&gt;"",OR(LEFT(IFERROR(INDEX(Clay_Brands!$A$2:$FZ$601,14,Sync!$D$5)&amp;"",""),6)&lt;&gt;"SAMPLE",Config!$B$19="Y")),IFERROR(N(INDEX(Clay_Brands!$A$2:$FZ$601,14,Sync!$D$13)),0),"")</f>
        <v/>
      </c>
      <c r="C4665" s="17">
        <f>IF(B4665="","","brand")</f>
        <v/>
      </c>
      <c r="D4665" s="17">
        <f>IF(B4665="","",IFERROR(INDEX(Clay_Brands!$A$2:$FZ$601,14,Sync!$D$5)&amp;"",""))</f>
        <v/>
      </c>
      <c r="E4665" s="17">
        <f>IF(B4665="","",IFERROR(INDEX(Clay_Brands!$A$2:$FZ$601,14,Sync!$D$6)&amp;"",""))</f>
        <v/>
      </c>
      <c r="F4665" s="17">
        <f>IF(B4665="","","outreach_sent")</f>
        <v/>
      </c>
      <c r="G4665" s="17">
        <f>IF(B4665="","","")</f>
        <v/>
      </c>
      <c r="H4665" s="17">
        <f>IF(B4665="","","")</f>
        <v/>
      </c>
      <c r="I4665" s="17">
        <f>IF(B4665="","","")</f>
        <v/>
      </c>
      <c r="J4665" s="17">
        <f>IF(B4665="","","touch_3; "&amp;IFERROR(INDEX(Clay_Brands!$A$2:$FZ$601,14,Sync!$D$10)&amp;"","")&amp;"; "&amp;IFERROR(INDEX(Clay_Brands!$A$2:$FZ$601,14,Sync!$D$9)&amp;"",""))</f>
        <v/>
      </c>
      <c r="K4665" t="inlineStr">
        <is>
          <t>brand outreach touch 3</t>
        </is>
      </c>
    </row>
    <row r="4666">
      <c r="A4666" s="17">
        <f>IF(B4666="","",B4666+(17*1000+15)/10000000)</f>
        <v/>
      </c>
      <c r="B4666" s="23">
        <f>IF(AND(IFERROR(N(INDEX(Clay_Brands!$A$2:$FZ$601,15,Sync!$D$13)),0)&gt;0,IFERROR(INDEX(Clay_Brands!$A$2:$FZ$601,15,Sync!$D$5)&amp;"","")&lt;&gt;"",OR(LEFT(IFERROR(INDEX(Clay_Brands!$A$2:$FZ$601,15,Sync!$D$5)&amp;"",""),6)&lt;&gt;"SAMPLE",Config!$B$19="Y")),IFERROR(N(INDEX(Clay_Brands!$A$2:$FZ$601,15,Sync!$D$13)),0),"")</f>
        <v/>
      </c>
      <c r="C4666" s="17">
        <f>IF(B4666="","","brand")</f>
        <v/>
      </c>
      <c r="D4666" s="17">
        <f>IF(B4666="","",IFERROR(INDEX(Clay_Brands!$A$2:$FZ$601,15,Sync!$D$5)&amp;"",""))</f>
        <v/>
      </c>
      <c r="E4666" s="17">
        <f>IF(B4666="","",IFERROR(INDEX(Clay_Brands!$A$2:$FZ$601,15,Sync!$D$6)&amp;"",""))</f>
        <v/>
      </c>
      <c r="F4666" s="17">
        <f>IF(B4666="","","outreach_sent")</f>
        <v/>
      </c>
      <c r="G4666" s="17">
        <f>IF(B4666="","","")</f>
        <v/>
      </c>
      <c r="H4666" s="17">
        <f>IF(B4666="","","")</f>
        <v/>
      </c>
      <c r="I4666" s="17">
        <f>IF(B4666="","","")</f>
        <v/>
      </c>
      <c r="J4666" s="17">
        <f>IF(B4666="","","touch_3; "&amp;IFERROR(INDEX(Clay_Brands!$A$2:$FZ$601,15,Sync!$D$10)&amp;"","")&amp;"; "&amp;IFERROR(INDEX(Clay_Brands!$A$2:$FZ$601,15,Sync!$D$9)&amp;"",""))</f>
        <v/>
      </c>
      <c r="K4666" t="inlineStr">
        <is>
          <t>brand outreach touch 3</t>
        </is>
      </c>
    </row>
    <row r="4667">
      <c r="A4667" s="17">
        <f>IF(B4667="","",B4667+(17*1000+16)/10000000)</f>
        <v/>
      </c>
      <c r="B4667" s="23">
        <f>IF(AND(IFERROR(N(INDEX(Clay_Brands!$A$2:$FZ$601,16,Sync!$D$13)),0)&gt;0,IFERROR(INDEX(Clay_Brands!$A$2:$FZ$601,16,Sync!$D$5)&amp;"","")&lt;&gt;"",OR(LEFT(IFERROR(INDEX(Clay_Brands!$A$2:$FZ$601,16,Sync!$D$5)&amp;"",""),6)&lt;&gt;"SAMPLE",Config!$B$19="Y")),IFERROR(N(INDEX(Clay_Brands!$A$2:$FZ$601,16,Sync!$D$13)),0),"")</f>
        <v/>
      </c>
      <c r="C4667" s="17">
        <f>IF(B4667="","","brand")</f>
        <v/>
      </c>
      <c r="D4667" s="17">
        <f>IF(B4667="","",IFERROR(INDEX(Clay_Brands!$A$2:$FZ$601,16,Sync!$D$5)&amp;"",""))</f>
        <v/>
      </c>
      <c r="E4667" s="17">
        <f>IF(B4667="","",IFERROR(INDEX(Clay_Brands!$A$2:$FZ$601,16,Sync!$D$6)&amp;"",""))</f>
        <v/>
      </c>
      <c r="F4667" s="17">
        <f>IF(B4667="","","outreach_sent")</f>
        <v/>
      </c>
      <c r="G4667" s="17">
        <f>IF(B4667="","","")</f>
        <v/>
      </c>
      <c r="H4667" s="17">
        <f>IF(B4667="","","")</f>
        <v/>
      </c>
      <c r="I4667" s="17">
        <f>IF(B4667="","","")</f>
        <v/>
      </c>
      <c r="J4667" s="17">
        <f>IF(B4667="","","touch_3; "&amp;IFERROR(INDEX(Clay_Brands!$A$2:$FZ$601,16,Sync!$D$10)&amp;"","")&amp;"; "&amp;IFERROR(INDEX(Clay_Brands!$A$2:$FZ$601,16,Sync!$D$9)&amp;"",""))</f>
        <v/>
      </c>
      <c r="K4667" t="inlineStr">
        <is>
          <t>brand outreach touch 3</t>
        </is>
      </c>
    </row>
    <row r="4668">
      <c r="A4668" s="17">
        <f>IF(B4668="","",B4668+(17*1000+17)/10000000)</f>
        <v/>
      </c>
      <c r="B4668" s="23">
        <f>IF(AND(IFERROR(N(INDEX(Clay_Brands!$A$2:$FZ$601,17,Sync!$D$13)),0)&gt;0,IFERROR(INDEX(Clay_Brands!$A$2:$FZ$601,17,Sync!$D$5)&amp;"","")&lt;&gt;"",OR(LEFT(IFERROR(INDEX(Clay_Brands!$A$2:$FZ$601,17,Sync!$D$5)&amp;"",""),6)&lt;&gt;"SAMPLE",Config!$B$19="Y")),IFERROR(N(INDEX(Clay_Brands!$A$2:$FZ$601,17,Sync!$D$13)),0),"")</f>
        <v/>
      </c>
      <c r="C4668" s="17">
        <f>IF(B4668="","","brand")</f>
        <v/>
      </c>
      <c r="D4668" s="17">
        <f>IF(B4668="","",IFERROR(INDEX(Clay_Brands!$A$2:$FZ$601,17,Sync!$D$5)&amp;"",""))</f>
        <v/>
      </c>
      <c r="E4668" s="17">
        <f>IF(B4668="","",IFERROR(INDEX(Clay_Brands!$A$2:$FZ$601,17,Sync!$D$6)&amp;"",""))</f>
        <v/>
      </c>
      <c r="F4668" s="17">
        <f>IF(B4668="","","outreach_sent")</f>
        <v/>
      </c>
      <c r="G4668" s="17">
        <f>IF(B4668="","","")</f>
        <v/>
      </c>
      <c r="H4668" s="17">
        <f>IF(B4668="","","")</f>
        <v/>
      </c>
      <c r="I4668" s="17">
        <f>IF(B4668="","","")</f>
        <v/>
      </c>
      <c r="J4668" s="17">
        <f>IF(B4668="","","touch_3; "&amp;IFERROR(INDEX(Clay_Brands!$A$2:$FZ$601,17,Sync!$D$10)&amp;"","")&amp;"; "&amp;IFERROR(INDEX(Clay_Brands!$A$2:$FZ$601,17,Sync!$D$9)&amp;"",""))</f>
        <v/>
      </c>
      <c r="K4668" t="inlineStr">
        <is>
          <t>brand outreach touch 3</t>
        </is>
      </c>
    </row>
    <row r="4669">
      <c r="A4669" s="17">
        <f>IF(B4669="","",B4669+(17*1000+18)/10000000)</f>
        <v/>
      </c>
      <c r="B4669" s="23">
        <f>IF(AND(IFERROR(N(INDEX(Clay_Brands!$A$2:$FZ$601,18,Sync!$D$13)),0)&gt;0,IFERROR(INDEX(Clay_Brands!$A$2:$FZ$601,18,Sync!$D$5)&amp;"","")&lt;&gt;"",OR(LEFT(IFERROR(INDEX(Clay_Brands!$A$2:$FZ$601,18,Sync!$D$5)&amp;"",""),6)&lt;&gt;"SAMPLE",Config!$B$19="Y")),IFERROR(N(INDEX(Clay_Brands!$A$2:$FZ$601,18,Sync!$D$13)),0),"")</f>
        <v/>
      </c>
      <c r="C4669" s="17">
        <f>IF(B4669="","","brand")</f>
        <v/>
      </c>
      <c r="D4669" s="17">
        <f>IF(B4669="","",IFERROR(INDEX(Clay_Brands!$A$2:$FZ$601,18,Sync!$D$5)&amp;"",""))</f>
        <v/>
      </c>
      <c r="E4669" s="17">
        <f>IF(B4669="","",IFERROR(INDEX(Clay_Brands!$A$2:$FZ$601,18,Sync!$D$6)&amp;"",""))</f>
        <v/>
      </c>
      <c r="F4669" s="17">
        <f>IF(B4669="","","outreach_sent")</f>
        <v/>
      </c>
      <c r="G4669" s="17">
        <f>IF(B4669="","","")</f>
        <v/>
      </c>
      <c r="H4669" s="17">
        <f>IF(B4669="","","")</f>
        <v/>
      </c>
      <c r="I4669" s="17">
        <f>IF(B4669="","","")</f>
        <v/>
      </c>
      <c r="J4669" s="17">
        <f>IF(B4669="","","touch_3; "&amp;IFERROR(INDEX(Clay_Brands!$A$2:$FZ$601,18,Sync!$D$10)&amp;"","")&amp;"; "&amp;IFERROR(INDEX(Clay_Brands!$A$2:$FZ$601,18,Sync!$D$9)&amp;"",""))</f>
        <v/>
      </c>
      <c r="K4669" t="inlineStr">
        <is>
          <t>brand outreach touch 3</t>
        </is>
      </c>
    </row>
    <row r="4670">
      <c r="A4670" s="17">
        <f>IF(B4670="","",B4670+(17*1000+19)/10000000)</f>
        <v/>
      </c>
      <c r="B4670" s="23">
        <f>IF(AND(IFERROR(N(INDEX(Clay_Brands!$A$2:$FZ$601,19,Sync!$D$13)),0)&gt;0,IFERROR(INDEX(Clay_Brands!$A$2:$FZ$601,19,Sync!$D$5)&amp;"","")&lt;&gt;"",OR(LEFT(IFERROR(INDEX(Clay_Brands!$A$2:$FZ$601,19,Sync!$D$5)&amp;"",""),6)&lt;&gt;"SAMPLE",Config!$B$19="Y")),IFERROR(N(INDEX(Clay_Brands!$A$2:$FZ$601,19,Sync!$D$13)),0),"")</f>
        <v/>
      </c>
      <c r="C4670" s="17">
        <f>IF(B4670="","","brand")</f>
        <v/>
      </c>
      <c r="D4670" s="17">
        <f>IF(B4670="","",IFERROR(INDEX(Clay_Brands!$A$2:$FZ$601,19,Sync!$D$5)&amp;"",""))</f>
        <v/>
      </c>
      <c r="E4670" s="17">
        <f>IF(B4670="","",IFERROR(INDEX(Clay_Brands!$A$2:$FZ$601,19,Sync!$D$6)&amp;"",""))</f>
        <v/>
      </c>
      <c r="F4670" s="17">
        <f>IF(B4670="","","outreach_sent")</f>
        <v/>
      </c>
      <c r="G4670" s="17">
        <f>IF(B4670="","","")</f>
        <v/>
      </c>
      <c r="H4670" s="17">
        <f>IF(B4670="","","")</f>
        <v/>
      </c>
      <c r="I4670" s="17">
        <f>IF(B4670="","","")</f>
        <v/>
      </c>
      <c r="J4670" s="17">
        <f>IF(B4670="","","touch_3; "&amp;IFERROR(INDEX(Clay_Brands!$A$2:$FZ$601,19,Sync!$D$10)&amp;"","")&amp;"; "&amp;IFERROR(INDEX(Clay_Brands!$A$2:$FZ$601,19,Sync!$D$9)&amp;"",""))</f>
        <v/>
      </c>
      <c r="K4670" t="inlineStr">
        <is>
          <t>brand outreach touch 3</t>
        </is>
      </c>
    </row>
    <row r="4671">
      <c r="A4671" s="17">
        <f>IF(B4671="","",B4671+(17*1000+20)/10000000)</f>
        <v/>
      </c>
      <c r="B4671" s="23">
        <f>IF(AND(IFERROR(N(INDEX(Clay_Brands!$A$2:$FZ$601,20,Sync!$D$13)),0)&gt;0,IFERROR(INDEX(Clay_Brands!$A$2:$FZ$601,20,Sync!$D$5)&amp;"","")&lt;&gt;"",OR(LEFT(IFERROR(INDEX(Clay_Brands!$A$2:$FZ$601,20,Sync!$D$5)&amp;"",""),6)&lt;&gt;"SAMPLE",Config!$B$19="Y")),IFERROR(N(INDEX(Clay_Brands!$A$2:$FZ$601,20,Sync!$D$13)),0),"")</f>
        <v/>
      </c>
      <c r="C4671" s="17">
        <f>IF(B4671="","","brand")</f>
        <v/>
      </c>
      <c r="D4671" s="17">
        <f>IF(B4671="","",IFERROR(INDEX(Clay_Brands!$A$2:$FZ$601,20,Sync!$D$5)&amp;"",""))</f>
        <v/>
      </c>
      <c r="E4671" s="17">
        <f>IF(B4671="","",IFERROR(INDEX(Clay_Brands!$A$2:$FZ$601,20,Sync!$D$6)&amp;"",""))</f>
        <v/>
      </c>
      <c r="F4671" s="17">
        <f>IF(B4671="","","outreach_sent")</f>
        <v/>
      </c>
      <c r="G4671" s="17">
        <f>IF(B4671="","","")</f>
        <v/>
      </c>
      <c r="H4671" s="17">
        <f>IF(B4671="","","")</f>
        <v/>
      </c>
      <c r="I4671" s="17">
        <f>IF(B4671="","","")</f>
        <v/>
      </c>
      <c r="J4671" s="17">
        <f>IF(B4671="","","touch_3; "&amp;IFERROR(INDEX(Clay_Brands!$A$2:$FZ$601,20,Sync!$D$10)&amp;"","")&amp;"; "&amp;IFERROR(INDEX(Clay_Brands!$A$2:$FZ$601,20,Sync!$D$9)&amp;"",""))</f>
        <v/>
      </c>
      <c r="K4671" t="inlineStr">
        <is>
          <t>brand outreach touch 3</t>
        </is>
      </c>
    </row>
    <row r="4672">
      <c r="A4672" s="17">
        <f>IF(B4672="","",B4672+(17*1000+21)/10000000)</f>
        <v/>
      </c>
      <c r="B4672" s="23">
        <f>IF(AND(IFERROR(N(INDEX(Clay_Brands!$A$2:$FZ$601,21,Sync!$D$13)),0)&gt;0,IFERROR(INDEX(Clay_Brands!$A$2:$FZ$601,21,Sync!$D$5)&amp;"","")&lt;&gt;"",OR(LEFT(IFERROR(INDEX(Clay_Brands!$A$2:$FZ$601,21,Sync!$D$5)&amp;"",""),6)&lt;&gt;"SAMPLE",Config!$B$19="Y")),IFERROR(N(INDEX(Clay_Brands!$A$2:$FZ$601,21,Sync!$D$13)),0),"")</f>
        <v/>
      </c>
      <c r="C4672" s="17">
        <f>IF(B4672="","","brand")</f>
        <v/>
      </c>
      <c r="D4672" s="17">
        <f>IF(B4672="","",IFERROR(INDEX(Clay_Brands!$A$2:$FZ$601,21,Sync!$D$5)&amp;"",""))</f>
        <v/>
      </c>
      <c r="E4672" s="17">
        <f>IF(B4672="","",IFERROR(INDEX(Clay_Brands!$A$2:$FZ$601,21,Sync!$D$6)&amp;"",""))</f>
        <v/>
      </c>
      <c r="F4672" s="17">
        <f>IF(B4672="","","outreach_sent")</f>
        <v/>
      </c>
      <c r="G4672" s="17">
        <f>IF(B4672="","","")</f>
        <v/>
      </c>
      <c r="H4672" s="17">
        <f>IF(B4672="","","")</f>
        <v/>
      </c>
      <c r="I4672" s="17">
        <f>IF(B4672="","","")</f>
        <v/>
      </c>
      <c r="J4672" s="17">
        <f>IF(B4672="","","touch_3; "&amp;IFERROR(INDEX(Clay_Brands!$A$2:$FZ$601,21,Sync!$D$10)&amp;"","")&amp;"; "&amp;IFERROR(INDEX(Clay_Brands!$A$2:$FZ$601,21,Sync!$D$9)&amp;"",""))</f>
        <v/>
      </c>
      <c r="K4672" t="inlineStr">
        <is>
          <t>brand outreach touch 3</t>
        </is>
      </c>
    </row>
    <row r="4673">
      <c r="A4673" s="17">
        <f>IF(B4673="","",B4673+(17*1000+22)/10000000)</f>
        <v/>
      </c>
      <c r="B4673" s="23">
        <f>IF(AND(IFERROR(N(INDEX(Clay_Brands!$A$2:$FZ$601,22,Sync!$D$13)),0)&gt;0,IFERROR(INDEX(Clay_Brands!$A$2:$FZ$601,22,Sync!$D$5)&amp;"","")&lt;&gt;"",OR(LEFT(IFERROR(INDEX(Clay_Brands!$A$2:$FZ$601,22,Sync!$D$5)&amp;"",""),6)&lt;&gt;"SAMPLE",Config!$B$19="Y")),IFERROR(N(INDEX(Clay_Brands!$A$2:$FZ$601,22,Sync!$D$13)),0),"")</f>
        <v/>
      </c>
      <c r="C4673" s="17">
        <f>IF(B4673="","","brand")</f>
        <v/>
      </c>
      <c r="D4673" s="17">
        <f>IF(B4673="","",IFERROR(INDEX(Clay_Brands!$A$2:$FZ$601,22,Sync!$D$5)&amp;"",""))</f>
        <v/>
      </c>
      <c r="E4673" s="17">
        <f>IF(B4673="","",IFERROR(INDEX(Clay_Brands!$A$2:$FZ$601,22,Sync!$D$6)&amp;"",""))</f>
        <v/>
      </c>
      <c r="F4673" s="17">
        <f>IF(B4673="","","outreach_sent")</f>
        <v/>
      </c>
      <c r="G4673" s="17">
        <f>IF(B4673="","","")</f>
        <v/>
      </c>
      <c r="H4673" s="17">
        <f>IF(B4673="","","")</f>
        <v/>
      </c>
      <c r="I4673" s="17">
        <f>IF(B4673="","","")</f>
        <v/>
      </c>
      <c r="J4673" s="17">
        <f>IF(B4673="","","touch_3; "&amp;IFERROR(INDEX(Clay_Brands!$A$2:$FZ$601,22,Sync!$D$10)&amp;"","")&amp;"; "&amp;IFERROR(INDEX(Clay_Brands!$A$2:$FZ$601,22,Sync!$D$9)&amp;"",""))</f>
        <v/>
      </c>
      <c r="K4673" t="inlineStr">
        <is>
          <t>brand outreach touch 3</t>
        </is>
      </c>
    </row>
    <row r="4674">
      <c r="A4674" s="17">
        <f>IF(B4674="","",B4674+(17*1000+23)/10000000)</f>
        <v/>
      </c>
      <c r="B4674" s="23">
        <f>IF(AND(IFERROR(N(INDEX(Clay_Brands!$A$2:$FZ$601,23,Sync!$D$13)),0)&gt;0,IFERROR(INDEX(Clay_Brands!$A$2:$FZ$601,23,Sync!$D$5)&amp;"","")&lt;&gt;"",OR(LEFT(IFERROR(INDEX(Clay_Brands!$A$2:$FZ$601,23,Sync!$D$5)&amp;"",""),6)&lt;&gt;"SAMPLE",Config!$B$19="Y")),IFERROR(N(INDEX(Clay_Brands!$A$2:$FZ$601,23,Sync!$D$13)),0),"")</f>
        <v/>
      </c>
      <c r="C4674" s="17">
        <f>IF(B4674="","","brand")</f>
        <v/>
      </c>
      <c r="D4674" s="17">
        <f>IF(B4674="","",IFERROR(INDEX(Clay_Brands!$A$2:$FZ$601,23,Sync!$D$5)&amp;"",""))</f>
        <v/>
      </c>
      <c r="E4674" s="17">
        <f>IF(B4674="","",IFERROR(INDEX(Clay_Brands!$A$2:$FZ$601,23,Sync!$D$6)&amp;"",""))</f>
        <v/>
      </c>
      <c r="F4674" s="17">
        <f>IF(B4674="","","outreach_sent")</f>
        <v/>
      </c>
      <c r="G4674" s="17">
        <f>IF(B4674="","","")</f>
        <v/>
      </c>
      <c r="H4674" s="17">
        <f>IF(B4674="","","")</f>
        <v/>
      </c>
      <c r="I4674" s="17">
        <f>IF(B4674="","","")</f>
        <v/>
      </c>
      <c r="J4674" s="17">
        <f>IF(B4674="","","touch_3; "&amp;IFERROR(INDEX(Clay_Brands!$A$2:$FZ$601,23,Sync!$D$10)&amp;"","")&amp;"; "&amp;IFERROR(INDEX(Clay_Brands!$A$2:$FZ$601,23,Sync!$D$9)&amp;"",""))</f>
        <v/>
      </c>
      <c r="K4674" t="inlineStr">
        <is>
          <t>brand outreach touch 3</t>
        </is>
      </c>
    </row>
    <row r="4675">
      <c r="A4675" s="17">
        <f>IF(B4675="","",B4675+(17*1000+24)/10000000)</f>
        <v/>
      </c>
      <c r="B4675" s="23">
        <f>IF(AND(IFERROR(N(INDEX(Clay_Brands!$A$2:$FZ$601,24,Sync!$D$13)),0)&gt;0,IFERROR(INDEX(Clay_Brands!$A$2:$FZ$601,24,Sync!$D$5)&amp;"","")&lt;&gt;"",OR(LEFT(IFERROR(INDEX(Clay_Brands!$A$2:$FZ$601,24,Sync!$D$5)&amp;"",""),6)&lt;&gt;"SAMPLE",Config!$B$19="Y")),IFERROR(N(INDEX(Clay_Brands!$A$2:$FZ$601,24,Sync!$D$13)),0),"")</f>
        <v/>
      </c>
      <c r="C4675" s="17">
        <f>IF(B4675="","","brand")</f>
        <v/>
      </c>
      <c r="D4675" s="17">
        <f>IF(B4675="","",IFERROR(INDEX(Clay_Brands!$A$2:$FZ$601,24,Sync!$D$5)&amp;"",""))</f>
        <v/>
      </c>
      <c r="E4675" s="17">
        <f>IF(B4675="","",IFERROR(INDEX(Clay_Brands!$A$2:$FZ$601,24,Sync!$D$6)&amp;"",""))</f>
        <v/>
      </c>
      <c r="F4675" s="17">
        <f>IF(B4675="","","outreach_sent")</f>
        <v/>
      </c>
      <c r="G4675" s="17">
        <f>IF(B4675="","","")</f>
        <v/>
      </c>
      <c r="H4675" s="17">
        <f>IF(B4675="","","")</f>
        <v/>
      </c>
      <c r="I4675" s="17">
        <f>IF(B4675="","","")</f>
        <v/>
      </c>
      <c r="J4675" s="17">
        <f>IF(B4675="","","touch_3; "&amp;IFERROR(INDEX(Clay_Brands!$A$2:$FZ$601,24,Sync!$D$10)&amp;"","")&amp;"; "&amp;IFERROR(INDEX(Clay_Brands!$A$2:$FZ$601,24,Sync!$D$9)&amp;"",""))</f>
        <v/>
      </c>
      <c r="K4675" t="inlineStr">
        <is>
          <t>brand outreach touch 3</t>
        </is>
      </c>
    </row>
    <row r="4676">
      <c r="A4676" s="17">
        <f>IF(B4676="","",B4676+(17*1000+25)/10000000)</f>
        <v/>
      </c>
      <c r="B4676" s="23">
        <f>IF(AND(IFERROR(N(INDEX(Clay_Brands!$A$2:$FZ$601,25,Sync!$D$13)),0)&gt;0,IFERROR(INDEX(Clay_Brands!$A$2:$FZ$601,25,Sync!$D$5)&amp;"","")&lt;&gt;"",OR(LEFT(IFERROR(INDEX(Clay_Brands!$A$2:$FZ$601,25,Sync!$D$5)&amp;"",""),6)&lt;&gt;"SAMPLE",Config!$B$19="Y")),IFERROR(N(INDEX(Clay_Brands!$A$2:$FZ$601,25,Sync!$D$13)),0),"")</f>
        <v/>
      </c>
      <c r="C4676" s="17">
        <f>IF(B4676="","","brand")</f>
        <v/>
      </c>
      <c r="D4676" s="17">
        <f>IF(B4676="","",IFERROR(INDEX(Clay_Brands!$A$2:$FZ$601,25,Sync!$D$5)&amp;"",""))</f>
        <v/>
      </c>
      <c r="E4676" s="17">
        <f>IF(B4676="","",IFERROR(INDEX(Clay_Brands!$A$2:$FZ$601,25,Sync!$D$6)&amp;"",""))</f>
        <v/>
      </c>
      <c r="F4676" s="17">
        <f>IF(B4676="","","outreach_sent")</f>
        <v/>
      </c>
      <c r="G4676" s="17">
        <f>IF(B4676="","","")</f>
        <v/>
      </c>
      <c r="H4676" s="17">
        <f>IF(B4676="","","")</f>
        <v/>
      </c>
      <c r="I4676" s="17">
        <f>IF(B4676="","","")</f>
        <v/>
      </c>
      <c r="J4676" s="17">
        <f>IF(B4676="","","touch_3; "&amp;IFERROR(INDEX(Clay_Brands!$A$2:$FZ$601,25,Sync!$D$10)&amp;"","")&amp;"; "&amp;IFERROR(INDEX(Clay_Brands!$A$2:$FZ$601,25,Sync!$D$9)&amp;"",""))</f>
        <v/>
      </c>
      <c r="K4676" t="inlineStr">
        <is>
          <t>brand outreach touch 3</t>
        </is>
      </c>
    </row>
    <row r="4677">
      <c r="A4677" s="17">
        <f>IF(B4677="","",B4677+(17*1000+26)/10000000)</f>
        <v/>
      </c>
      <c r="B4677" s="23">
        <f>IF(AND(IFERROR(N(INDEX(Clay_Brands!$A$2:$FZ$601,26,Sync!$D$13)),0)&gt;0,IFERROR(INDEX(Clay_Brands!$A$2:$FZ$601,26,Sync!$D$5)&amp;"","")&lt;&gt;"",OR(LEFT(IFERROR(INDEX(Clay_Brands!$A$2:$FZ$601,26,Sync!$D$5)&amp;"",""),6)&lt;&gt;"SAMPLE",Config!$B$19="Y")),IFERROR(N(INDEX(Clay_Brands!$A$2:$FZ$601,26,Sync!$D$13)),0),"")</f>
        <v/>
      </c>
      <c r="C4677" s="17">
        <f>IF(B4677="","","brand")</f>
        <v/>
      </c>
      <c r="D4677" s="17">
        <f>IF(B4677="","",IFERROR(INDEX(Clay_Brands!$A$2:$FZ$601,26,Sync!$D$5)&amp;"",""))</f>
        <v/>
      </c>
      <c r="E4677" s="17">
        <f>IF(B4677="","",IFERROR(INDEX(Clay_Brands!$A$2:$FZ$601,26,Sync!$D$6)&amp;"",""))</f>
        <v/>
      </c>
      <c r="F4677" s="17">
        <f>IF(B4677="","","outreach_sent")</f>
        <v/>
      </c>
      <c r="G4677" s="17">
        <f>IF(B4677="","","")</f>
        <v/>
      </c>
      <c r="H4677" s="17">
        <f>IF(B4677="","","")</f>
        <v/>
      </c>
      <c r="I4677" s="17">
        <f>IF(B4677="","","")</f>
        <v/>
      </c>
      <c r="J4677" s="17">
        <f>IF(B4677="","","touch_3; "&amp;IFERROR(INDEX(Clay_Brands!$A$2:$FZ$601,26,Sync!$D$10)&amp;"","")&amp;"; "&amp;IFERROR(INDEX(Clay_Brands!$A$2:$FZ$601,26,Sync!$D$9)&amp;"",""))</f>
        <v/>
      </c>
      <c r="K4677" t="inlineStr">
        <is>
          <t>brand outreach touch 3</t>
        </is>
      </c>
    </row>
    <row r="4678">
      <c r="A4678" s="17">
        <f>IF(B4678="","",B4678+(17*1000+27)/10000000)</f>
        <v/>
      </c>
      <c r="B4678" s="23">
        <f>IF(AND(IFERROR(N(INDEX(Clay_Brands!$A$2:$FZ$601,27,Sync!$D$13)),0)&gt;0,IFERROR(INDEX(Clay_Brands!$A$2:$FZ$601,27,Sync!$D$5)&amp;"","")&lt;&gt;"",OR(LEFT(IFERROR(INDEX(Clay_Brands!$A$2:$FZ$601,27,Sync!$D$5)&amp;"",""),6)&lt;&gt;"SAMPLE",Config!$B$19="Y")),IFERROR(N(INDEX(Clay_Brands!$A$2:$FZ$601,27,Sync!$D$13)),0),"")</f>
        <v/>
      </c>
      <c r="C4678" s="17">
        <f>IF(B4678="","","brand")</f>
        <v/>
      </c>
      <c r="D4678" s="17">
        <f>IF(B4678="","",IFERROR(INDEX(Clay_Brands!$A$2:$FZ$601,27,Sync!$D$5)&amp;"",""))</f>
        <v/>
      </c>
      <c r="E4678" s="17">
        <f>IF(B4678="","",IFERROR(INDEX(Clay_Brands!$A$2:$FZ$601,27,Sync!$D$6)&amp;"",""))</f>
        <v/>
      </c>
      <c r="F4678" s="17">
        <f>IF(B4678="","","outreach_sent")</f>
        <v/>
      </c>
      <c r="G4678" s="17">
        <f>IF(B4678="","","")</f>
        <v/>
      </c>
      <c r="H4678" s="17">
        <f>IF(B4678="","","")</f>
        <v/>
      </c>
      <c r="I4678" s="17">
        <f>IF(B4678="","","")</f>
        <v/>
      </c>
      <c r="J4678" s="17">
        <f>IF(B4678="","","touch_3; "&amp;IFERROR(INDEX(Clay_Brands!$A$2:$FZ$601,27,Sync!$D$10)&amp;"","")&amp;"; "&amp;IFERROR(INDEX(Clay_Brands!$A$2:$FZ$601,27,Sync!$D$9)&amp;"",""))</f>
        <v/>
      </c>
      <c r="K4678" t="inlineStr">
        <is>
          <t>brand outreach touch 3</t>
        </is>
      </c>
    </row>
    <row r="4679">
      <c r="A4679" s="17">
        <f>IF(B4679="","",B4679+(17*1000+28)/10000000)</f>
        <v/>
      </c>
      <c r="B4679" s="23">
        <f>IF(AND(IFERROR(N(INDEX(Clay_Brands!$A$2:$FZ$601,28,Sync!$D$13)),0)&gt;0,IFERROR(INDEX(Clay_Brands!$A$2:$FZ$601,28,Sync!$D$5)&amp;"","")&lt;&gt;"",OR(LEFT(IFERROR(INDEX(Clay_Brands!$A$2:$FZ$601,28,Sync!$D$5)&amp;"",""),6)&lt;&gt;"SAMPLE",Config!$B$19="Y")),IFERROR(N(INDEX(Clay_Brands!$A$2:$FZ$601,28,Sync!$D$13)),0),"")</f>
        <v/>
      </c>
      <c r="C4679" s="17">
        <f>IF(B4679="","","brand")</f>
        <v/>
      </c>
      <c r="D4679" s="17">
        <f>IF(B4679="","",IFERROR(INDEX(Clay_Brands!$A$2:$FZ$601,28,Sync!$D$5)&amp;"",""))</f>
        <v/>
      </c>
      <c r="E4679" s="17">
        <f>IF(B4679="","",IFERROR(INDEX(Clay_Brands!$A$2:$FZ$601,28,Sync!$D$6)&amp;"",""))</f>
        <v/>
      </c>
      <c r="F4679" s="17">
        <f>IF(B4679="","","outreach_sent")</f>
        <v/>
      </c>
      <c r="G4679" s="17">
        <f>IF(B4679="","","")</f>
        <v/>
      </c>
      <c r="H4679" s="17">
        <f>IF(B4679="","","")</f>
        <v/>
      </c>
      <c r="I4679" s="17">
        <f>IF(B4679="","","")</f>
        <v/>
      </c>
      <c r="J4679" s="17">
        <f>IF(B4679="","","touch_3; "&amp;IFERROR(INDEX(Clay_Brands!$A$2:$FZ$601,28,Sync!$D$10)&amp;"","")&amp;"; "&amp;IFERROR(INDEX(Clay_Brands!$A$2:$FZ$601,28,Sync!$D$9)&amp;"",""))</f>
        <v/>
      </c>
      <c r="K4679" t="inlineStr">
        <is>
          <t>brand outreach touch 3</t>
        </is>
      </c>
    </row>
    <row r="4680">
      <c r="A4680" s="17">
        <f>IF(B4680="","",B4680+(17*1000+29)/10000000)</f>
        <v/>
      </c>
      <c r="B4680" s="23">
        <f>IF(AND(IFERROR(N(INDEX(Clay_Brands!$A$2:$FZ$601,29,Sync!$D$13)),0)&gt;0,IFERROR(INDEX(Clay_Brands!$A$2:$FZ$601,29,Sync!$D$5)&amp;"","")&lt;&gt;"",OR(LEFT(IFERROR(INDEX(Clay_Brands!$A$2:$FZ$601,29,Sync!$D$5)&amp;"",""),6)&lt;&gt;"SAMPLE",Config!$B$19="Y")),IFERROR(N(INDEX(Clay_Brands!$A$2:$FZ$601,29,Sync!$D$13)),0),"")</f>
        <v/>
      </c>
      <c r="C4680" s="17">
        <f>IF(B4680="","","brand")</f>
        <v/>
      </c>
      <c r="D4680" s="17">
        <f>IF(B4680="","",IFERROR(INDEX(Clay_Brands!$A$2:$FZ$601,29,Sync!$D$5)&amp;"",""))</f>
        <v/>
      </c>
      <c r="E4680" s="17">
        <f>IF(B4680="","",IFERROR(INDEX(Clay_Brands!$A$2:$FZ$601,29,Sync!$D$6)&amp;"",""))</f>
        <v/>
      </c>
      <c r="F4680" s="17">
        <f>IF(B4680="","","outreach_sent")</f>
        <v/>
      </c>
      <c r="G4680" s="17">
        <f>IF(B4680="","","")</f>
        <v/>
      </c>
      <c r="H4680" s="17">
        <f>IF(B4680="","","")</f>
        <v/>
      </c>
      <c r="I4680" s="17">
        <f>IF(B4680="","","")</f>
        <v/>
      </c>
      <c r="J4680" s="17">
        <f>IF(B4680="","","touch_3; "&amp;IFERROR(INDEX(Clay_Brands!$A$2:$FZ$601,29,Sync!$D$10)&amp;"","")&amp;"; "&amp;IFERROR(INDEX(Clay_Brands!$A$2:$FZ$601,29,Sync!$D$9)&amp;"",""))</f>
        <v/>
      </c>
      <c r="K4680" t="inlineStr">
        <is>
          <t>brand outreach touch 3</t>
        </is>
      </c>
    </row>
    <row r="4681">
      <c r="A4681" s="17">
        <f>IF(B4681="","",B4681+(17*1000+30)/10000000)</f>
        <v/>
      </c>
      <c r="B4681" s="23">
        <f>IF(AND(IFERROR(N(INDEX(Clay_Brands!$A$2:$FZ$601,30,Sync!$D$13)),0)&gt;0,IFERROR(INDEX(Clay_Brands!$A$2:$FZ$601,30,Sync!$D$5)&amp;"","")&lt;&gt;"",OR(LEFT(IFERROR(INDEX(Clay_Brands!$A$2:$FZ$601,30,Sync!$D$5)&amp;"",""),6)&lt;&gt;"SAMPLE",Config!$B$19="Y")),IFERROR(N(INDEX(Clay_Brands!$A$2:$FZ$601,30,Sync!$D$13)),0),"")</f>
        <v/>
      </c>
      <c r="C4681" s="17">
        <f>IF(B4681="","","brand")</f>
        <v/>
      </c>
      <c r="D4681" s="17">
        <f>IF(B4681="","",IFERROR(INDEX(Clay_Brands!$A$2:$FZ$601,30,Sync!$D$5)&amp;"",""))</f>
        <v/>
      </c>
      <c r="E4681" s="17">
        <f>IF(B4681="","",IFERROR(INDEX(Clay_Brands!$A$2:$FZ$601,30,Sync!$D$6)&amp;"",""))</f>
        <v/>
      </c>
      <c r="F4681" s="17">
        <f>IF(B4681="","","outreach_sent")</f>
        <v/>
      </c>
      <c r="G4681" s="17">
        <f>IF(B4681="","","")</f>
        <v/>
      </c>
      <c r="H4681" s="17">
        <f>IF(B4681="","","")</f>
        <v/>
      </c>
      <c r="I4681" s="17">
        <f>IF(B4681="","","")</f>
        <v/>
      </c>
      <c r="J4681" s="17">
        <f>IF(B4681="","","touch_3; "&amp;IFERROR(INDEX(Clay_Brands!$A$2:$FZ$601,30,Sync!$D$10)&amp;"","")&amp;"; "&amp;IFERROR(INDEX(Clay_Brands!$A$2:$FZ$601,30,Sync!$D$9)&amp;"",""))</f>
        <v/>
      </c>
      <c r="K4681" t="inlineStr">
        <is>
          <t>brand outreach touch 3</t>
        </is>
      </c>
    </row>
    <row r="4682">
      <c r="A4682" s="17">
        <f>IF(B4682="","",B4682+(17*1000+31)/10000000)</f>
        <v/>
      </c>
      <c r="B4682" s="23">
        <f>IF(AND(IFERROR(N(INDEX(Clay_Brands!$A$2:$FZ$601,31,Sync!$D$13)),0)&gt;0,IFERROR(INDEX(Clay_Brands!$A$2:$FZ$601,31,Sync!$D$5)&amp;"","")&lt;&gt;"",OR(LEFT(IFERROR(INDEX(Clay_Brands!$A$2:$FZ$601,31,Sync!$D$5)&amp;"",""),6)&lt;&gt;"SAMPLE",Config!$B$19="Y")),IFERROR(N(INDEX(Clay_Brands!$A$2:$FZ$601,31,Sync!$D$13)),0),"")</f>
        <v/>
      </c>
      <c r="C4682" s="17">
        <f>IF(B4682="","","brand")</f>
        <v/>
      </c>
      <c r="D4682" s="17">
        <f>IF(B4682="","",IFERROR(INDEX(Clay_Brands!$A$2:$FZ$601,31,Sync!$D$5)&amp;"",""))</f>
        <v/>
      </c>
      <c r="E4682" s="17">
        <f>IF(B4682="","",IFERROR(INDEX(Clay_Brands!$A$2:$FZ$601,31,Sync!$D$6)&amp;"",""))</f>
        <v/>
      </c>
      <c r="F4682" s="17">
        <f>IF(B4682="","","outreach_sent")</f>
        <v/>
      </c>
      <c r="G4682" s="17">
        <f>IF(B4682="","","")</f>
        <v/>
      </c>
      <c r="H4682" s="17">
        <f>IF(B4682="","","")</f>
        <v/>
      </c>
      <c r="I4682" s="17">
        <f>IF(B4682="","","")</f>
        <v/>
      </c>
      <c r="J4682" s="17">
        <f>IF(B4682="","","touch_3; "&amp;IFERROR(INDEX(Clay_Brands!$A$2:$FZ$601,31,Sync!$D$10)&amp;"","")&amp;"; "&amp;IFERROR(INDEX(Clay_Brands!$A$2:$FZ$601,31,Sync!$D$9)&amp;"",""))</f>
        <v/>
      </c>
      <c r="K4682" t="inlineStr">
        <is>
          <t>brand outreach touch 3</t>
        </is>
      </c>
    </row>
    <row r="4683">
      <c r="A4683" s="17">
        <f>IF(B4683="","",B4683+(17*1000+32)/10000000)</f>
        <v/>
      </c>
      <c r="B4683" s="23">
        <f>IF(AND(IFERROR(N(INDEX(Clay_Brands!$A$2:$FZ$601,32,Sync!$D$13)),0)&gt;0,IFERROR(INDEX(Clay_Brands!$A$2:$FZ$601,32,Sync!$D$5)&amp;"","")&lt;&gt;"",OR(LEFT(IFERROR(INDEX(Clay_Brands!$A$2:$FZ$601,32,Sync!$D$5)&amp;"",""),6)&lt;&gt;"SAMPLE",Config!$B$19="Y")),IFERROR(N(INDEX(Clay_Brands!$A$2:$FZ$601,32,Sync!$D$13)),0),"")</f>
        <v/>
      </c>
      <c r="C4683" s="17">
        <f>IF(B4683="","","brand")</f>
        <v/>
      </c>
      <c r="D4683" s="17">
        <f>IF(B4683="","",IFERROR(INDEX(Clay_Brands!$A$2:$FZ$601,32,Sync!$D$5)&amp;"",""))</f>
        <v/>
      </c>
      <c r="E4683" s="17">
        <f>IF(B4683="","",IFERROR(INDEX(Clay_Brands!$A$2:$FZ$601,32,Sync!$D$6)&amp;"",""))</f>
        <v/>
      </c>
      <c r="F4683" s="17">
        <f>IF(B4683="","","outreach_sent")</f>
        <v/>
      </c>
      <c r="G4683" s="17">
        <f>IF(B4683="","","")</f>
        <v/>
      </c>
      <c r="H4683" s="17">
        <f>IF(B4683="","","")</f>
        <v/>
      </c>
      <c r="I4683" s="17">
        <f>IF(B4683="","","")</f>
        <v/>
      </c>
      <c r="J4683" s="17">
        <f>IF(B4683="","","touch_3; "&amp;IFERROR(INDEX(Clay_Brands!$A$2:$FZ$601,32,Sync!$D$10)&amp;"","")&amp;"; "&amp;IFERROR(INDEX(Clay_Brands!$A$2:$FZ$601,32,Sync!$D$9)&amp;"",""))</f>
        <v/>
      </c>
      <c r="K4683" t="inlineStr">
        <is>
          <t>brand outreach touch 3</t>
        </is>
      </c>
    </row>
    <row r="4684">
      <c r="A4684" s="17">
        <f>IF(B4684="","",B4684+(17*1000+33)/10000000)</f>
        <v/>
      </c>
      <c r="B4684" s="23">
        <f>IF(AND(IFERROR(N(INDEX(Clay_Brands!$A$2:$FZ$601,33,Sync!$D$13)),0)&gt;0,IFERROR(INDEX(Clay_Brands!$A$2:$FZ$601,33,Sync!$D$5)&amp;"","")&lt;&gt;"",OR(LEFT(IFERROR(INDEX(Clay_Brands!$A$2:$FZ$601,33,Sync!$D$5)&amp;"",""),6)&lt;&gt;"SAMPLE",Config!$B$19="Y")),IFERROR(N(INDEX(Clay_Brands!$A$2:$FZ$601,33,Sync!$D$13)),0),"")</f>
        <v/>
      </c>
      <c r="C4684" s="17">
        <f>IF(B4684="","","brand")</f>
        <v/>
      </c>
      <c r="D4684" s="17">
        <f>IF(B4684="","",IFERROR(INDEX(Clay_Brands!$A$2:$FZ$601,33,Sync!$D$5)&amp;"",""))</f>
        <v/>
      </c>
      <c r="E4684" s="17">
        <f>IF(B4684="","",IFERROR(INDEX(Clay_Brands!$A$2:$FZ$601,33,Sync!$D$6)&amp;"",""))</f>
        <v/>
      </c>
      <c r="F4684" s="17">
        <f>IF(B4684="","","outreach_sent")</f>
        <v/>
      </c>
      <c r="G4684" s="17">
        <f>IF(B4684="","","")</f>
        <v/>
      </c>
      <c r="H4684" s="17">
        <f>IF(B4684="","","")</f>
        <v/>
      </c>
      <c r="I4684" s="17">
        <f>IF(B4684="","","")</f>
        <v/>
      </c>
      <c r="J4684" s="17">
        <f>IF(B4684="","","touch_3; "&amp;IFERROR(INDEX(Clay_Brands!$A$2:$FZ$601,33,Sync!$D$10)&amp;"","")&amp;"; "&amp;IFERROR(INDEX(Clay_Brands!$A$2:$FZ$601,33,Sync!$D$9)&amp;"",""))</f>
        <v/>
      </c>
      <c r="K4684" t="inlineStr">
        <is>
          <t>brand outreach touch 3</t>
        </is>
      </c>
    </row>
    <row r="4685">
      <c r="A4685" s="17">
        <f>IF(B4685="","",B4685+(17*1000+34)/10000000)</f>
        <v/>
      </c>
      <c r="B4685" s="23">
        <f>IF(AND(IFERROR(N(INDEX(Clay_Brands!$A$2:$FZ$601,34,Sync!$D$13)),0)&gt;0,IFERROR(INDEX(Clay_Brands!$A$2:$FZ$601,34,Sync!$D$5)&amp;"","")&lt;&gt;"",OR(LEFT(IFERROR(INDEX(Clay_Brands!$A$2:$FZ$601,34,Sync!$D$5)&amp;"",""),6)&lt;&gt;"SAMPLE",Config!$B$19="Y")),IFERROR(N(INDEX(Clay_Brands!$A$2:$FZ$601,34,Sync!$D$13)),0),"")</f>
        <v/>
      </c>
      <c r="C4685" s="17">
        <f>IF(B4685="","","brand")</f>
        <v/>
      </c>
      <c r="D4685" s="17">
        <f>IF(B4685="","",IFERROR(INDEX(Clay_Brands!$A$2:$FZ$601,34,Sync!$D$5)&amp;"",""))</f>
        <v/>
      </c>
      <c r="E4685" s="17">
        <f>IF(B4685="","",IFERROR(INDEX(Clay_Brands!$A$2:$FZ$601,34,Sync!$D$6)&amp;"",""))</f>
        <v/>
      </c>
      <c r="F4685" s="17">
        <f>IF(B4685="","","outreach_sent")</f>
        <v/>
      </c>
      <c r="G4685" s="17">
        <f>IF(B4685="","","")</f>
        <v/>
      </c>
      <c r="H4685" s="17">
        <f>IF(B4685="","","")</f>
        <v/>
      </c>
      <c r="I4685" s="17">
        <f>IF(B4685="","","")</f>
        <v/>
      </c>
      <c r="J4685" s="17">
        <f>IF(B4685="","","touch_3; "&amp;IFERROR(INDEX(Clay_Brands!$A$2:$FZ$601,34,Sync!$D$10)&amp;"","")&amp;"; "&amp;IFERROR(INDEX(Clay_Brands!$A$2:$FZ$601,34,Sync!$D$9)&amp;"",""))</f>
        <v/>
      </c>
      <c r="K4685" t="inlineStr">
        <is>
          <t>brand outreach touch 3</t>
        </is>
      </c>
    </row>
    <row r="4686">
      <c r="A4686" s="17">
        <f>IF(B4686="","",B4686+(17*1000+35)/10000000)</f>
        <v/>
      </c>
      <c r="B4686" s="23">
        <f>IF(AND(IFERROR(N(INDEX(Clay_Brands!$A$2:$FZ$601,35,Sync!$D$13)),0)&gt;0,IFERROR(INDEX(Clay_Brands!$A$2:$FZ$601,35,Sync!$D$5)&amp;"","")&lt;&gt;"",OR(LEFT(IFERROR(INDEX(Clay_Brands!$A$2:$FZ$601,35,Sync!$D$5)&amp;"",""),6)&lt;&gt;"SAMPLE",Config!$B$19="Y")),IFERROR(N(INDEX(Clay_Brands!$A$2:$FZ$601,35,Sync!$D$13)),0),"")</f>
        <v/>
      </c>
      <c r="C4686" s="17">
        <f>IF(B4686="","","brand")</f>
        <v/>
      </c>
      <c r="D4686" s="17">
        <f>IF(B4686="","",IFERROR(INDEX(Clay_Brands!$A$2:$FZ$601,35,Sync!$D$5)&amp;"",""))</f>
        <v/>
      </c>
      <c r="E4686" s="17">
        <f>IF(B4686="","",IFERROR(INDEX(Clay_Brands!$A$2:$FZ$601,35,Sync!$D$6)&amp;"",""))</f>
        <v/>
      </c>
      <c r="F4686" s="17">
        <f>IF(B4686="","","outreach_sent")</f>
        <v/>
      </c>
      <c r="G4686" s="17">
        <f>IF(B4686="","","")</f>
        <v/>
      </c>
      <c r="H4686" s="17">
        <f>IF(B4686="","","")</f>
        <v/>
      </c>
      <c r="I4686" s="17">
        <f>IF(B4686="","","")</f>
        <v/>
      </c>
      <c r="J4686" s="17">
        <f>IF(B4686="","","touch_3; "&amp;IFERROR(INDEX(Clay_Brands!$A$2:$FZ$601,35,Sync!$D$10)&amp;"","")&amp;"; "&amp;IFERROR(INDEX(Clay_Brands!$A$2:$FZ$601,35,Sync!$D$9)&amp;"",""))</f>
        <v/>
      </c>
      <c r="K4686" t="inlineStr">
        <is>
          <t>brand outreach touch 3</t>
        </is>
      </c>
    </row>
    <row r="4687">
      <c r="A4687" s="17">
        <f>IF(B4687="","",B4687+(17*1000+36)/10000000)</f>
        <v/>
      </c>
      <c r="B4687" s="23">
        <f>IF(AND(IFERROR(N(INDEX(Clay_Brands!$A$2:$FZ$601,36,Sync!$D$13)),0)&gt;0,IFERROR(INDEX(Clay_Brands!$A$2:$FZ$601,36,Sync!$D$5)&amp;"","")&lt;&gt;"",OR(LEFT(IFERROR(INDEX(Clay_Brands!$A$2:$FZ$601,36,Sync!$D$5)&amp;"",""),6)&lt;&gt;"SAMPLE",Config!$B$19="Y")),IFERROR(N(INDEX(Clay_Brands!$A$2:$FZ$601,36,Sync!$D$13)),0),"")</f>
        <v/>
      </c>
      <c r="C4687" s="17">
        <f>IF(B4687="","","brand")</f>
        <v/>
      </c>
      <c r="D4687" s="17">
        <f>IF(B4687="","",IFERROR(INDEX(Clay_Brands!$A$2:$FZ$601,36,Sync!$D$5)&amp;"",""))</f>
        <v/>
      </c>
      <c r="E4687" s="17">
        <f>IF(B4687="","",IFERROR(INDEX(Clay_Brands!$A$2:$FZ$601,36,Sync!$D$6)&amp;"",""))</f>
        <v/>
      </c>
      <c r="F4687" s="17">
        <f>IF(B4687="","","outreach_sent")</f>
        <v/>
      </c>
      <c r="G4687" s="17">
        <f>IF(B4687="","","")</f>
        <v/>
      </c>
      <c r="H4687" s="17">
        <f>IF(B4687="","","")</f>
        <v/>
      </c>
      <c r="I4687" s="17">
        <f>IF(B4687="","","")</f>
        <v/>
      </c>
      <c r="J4687" s="17">
        <f>IF(B4687="","","touch_3; "&amp;IFERROR(INDEX(Clay_Brands!$A$2:$FZ$601,36,Sync!$D$10)&amp;"","")&amp;"; "&amp;IFERROR(INDEX(Clay_Brands!$A$2:$FZ$601,36,Sync!$D$9)&amp;"",""))</f>
        <v/>
      </c>
      <c r="K4687" t="inlineStr">
        <is>
          <t>brand outreach touch 3</t>
        </is>
      </c>
    </row>
    <row r="4688">
      <c r="A4688" s="17">
        <f>IF(B4688="","",B4688+(17*1000+37)/10000000)</f>
        <v/>
      </c>
      <c r="B4688" s="23">
        <f>IF(AND(IFERROR(N(INDEX(Clay_Brands!$A$2:$FZ$601,37,Sync!$D$13)),0)&gt;0,IFERROR(INDEX(Clay_Brands!$A$2:$FZ$601,37,Sync!$D$5)&amp;"","")&lt;&gt;"",OR(LEFT(IFERROR(INDEX(Clay_Brands!$A$2:$FZ$601,37,Sync!$D$5)&amp;"",""),6)&lt;&gt;"SAMPLE",Config!$B$19="Y")),IFERROR(N(INDEX(Clay_Brands!$A$2:$FZ$601,37,Sync!$D$13)),0),"")</f>
        <v/>
      </c>
      <c r="C4688" s="17">
        <f>IF(B4688="","","brand")</f>
        <v/>
      </c>
      <c r="D4688" s="17">
        <f>IF(B4688="","",IFERROR(INDEX(Clay_Brands!$A$2:$FZ$601,37,Sync!$D$5)&amp;"",""))</f>
        <v/>
      </c>
      <c r="E4688" s="17">
        <f>IF(B4688="","",IFERROR(INDEX(Clay_Brands!$A$2:$FZ$601,37,Sync!$D$6)&amp;"",""))</f>
        <v/>
      </c>
      <c r="F4688" s="17">
        <f>IF(B4688="","","outreach_sent")</f>
        <v/>
      </c>
      <c r="G4688" s="17">
        <f>IF(B4688="","","")</f>
        <v/>
      </c>
      <c r="H4688" s="17">
        <f>IF(B4688="","","")</f>
        <v/>
      </c>
      <c r="I4688" s="17">
        <f>IF(B4688="","","")</f>
        <v/>
      </c>
      <c r="J4688" s="17">
        <f>IF(B4688="","","touch_3; "&amp;IFERROR(INDEX(Clay_Brands!$A$2:$FZ$601,37,Sync!$D$10)&amp;"","")&amp;"; "&amp;IFERROR(INDEX(Clay_Brands!$A$2:$FZ$601,37,Sync!$D$9)&amp;"",""))</f>
        <v/>
      </c>
      <c r="K4688" t="inlineStr">
        <is>
          <t>brand outreach touch 3</t>
        </is>
      </c>
    </row>
    <row r="4689">
      <c r="A4689" s="17">
        <f>IF(B4689="","",B4689+(17*1000+38)/10000000)</f>
        <v/>
      </c>
      <c r="B4689" s="23">
        <f>IF(AND(IFERROR(N(INDEX(Clay_Brands!$A$2:$FZ$601,38,Sync!$D$13)),0)&gt;0,IFERROR(INDEX(Clay_Brands!$A$2:$FZ$601,38,Sync!$D$5)&amp;"","")&lt;&gt;"",OR(LEFT(IFERROR(INDEX(Clay_Brands!$A$2:$FZ$601,38,Sync!$D$5)&amp;"",""),6)&lt;&gt;"SAMPLE",Config!$B$19="Y")),IFERROR(N(INDEX(Clay_Brands!$A$2:$FZ$601,38,Sync!$D$13)),0),"")</f>
        <v/>
      </c>
      <c r="C4689" s="17">
        <f>IF(B4689="","","brand")</f>
        <v/>
      </c>
      <c r="D4689" s="17">
        <f>IF(B4689="","",IFERROR(INDEX(Clay_Brands!$A$2:$FZ$601,38,Sync!$D$5)&amp;"",""))</f>
        <v/>
      </c>
      <c r="E4689" s="17">
        <f>IF(B4689="","",IFERROR(INDEX(Clay_Brands!$A$2:$FZ$601,38,Sync!$D$6)&amp;"",""))</f>
        <v/>
      </c>
      <c r="F4689" s="17">
        <f>IF(B4689="","","outreach_sent")</f>
        <v/>
      </c>
      <c r="G4689" s="17">
        <f>IF(B4689="","","")</f>
        <v/>
      </c>
      <c r="H4689" s="17">
        <f>IF(B4689="","","")</f>
        <v/>
      </c>
      <c r="I4689" s="17">
        <f>IF(B4689="","","")</f>
        <v/>
      </c>
      <c r="J4689" s="17">
        <f>IF(B4689="","","touch_3; "&amp;IFERROR(INDEX(Clay_Brands!$A$2:$FZ$601,38,Sync!$D$10)&amp;"","")&amp;"; "&amp;IFERROR(INDEX(Clay_Brands!$A$2:$FZ$601,38,Sync!$D$9)&amp;"",""))</f>
        <v/>
      </c>
      <c r="K4689" t="inlineStr">
        <is>
          <t>brand outreach touch 3</t>
        </is>
      </c>
    </row>
    <row r="4690">
      <c r="A4690" s="17">
        <f>IF(B4690="","",B4690+(17*1000+39)/10000000)</f>
        <v/>
      </c>
      <c r="B4690" s="23">
        <f>IF(AND(IFERROR(N(INDEX(Clay_Brands!$A$2:$FZ$601,39,Sync!$D$13)),0)&gt;0,IFERROR(INDEX(Clay_Brands!$A$2:$FZ$601,39,Sync!$D$5)&amp;"","")&lt;&gt;"",OR(LEFT(IFERROR(INDEX(Clay_Brands!$A$2:$FZ$601,39,Sync!$D$5)&amp;"",""),6)&lt;&gt;"SAMPLE",Config!$B$19="Y")),IFERROR(N(INDEX(Clay_Brands!$A$2:$FZ$601,39,Sync!$D$13)),0),"")</f>
        <v/>
      </c>
      <c r="C4690" s="17">
        <f>IF(B4690="","","brand")</f>
        <v/>
      </c>
      <c r="D4690" s="17">
        <f>IF(B4690="","",IFERROR(INDEX(Clay_Brands!$A$2:$FZ$601,39,Sync!$D$5)&amp;"",""))</f>
        <v/>
      </c>
      <c r="E4690" s="17">
        <f>IF(B4690="","",IFERROR(INDEX(Clay_Brands!$A$2:$FZ$601,39,Sync!$D$6)&amp;"",""))</f>
        <v/>
      </c>
      <c r="F4690" s="17">
        <f>IF(B4690="","","outreach_sent")</f>
        <v/>
      </c>
      <c r="G4690" s="17">
        <f>IF(B4690="","","")</f>
        <v/>
      </c>
      <c r="H4690" s="17">
        <f>IF(B4690="","","")</f>
        <v/>
      </c>
      <c r="I4690" s="17">
        <f>IF(B4690="","","")</f>
        <v/>
      </c>
      <c r="J4690" s="17">
        <f>IF(B4690="","","touch_3; "&amp;IFERROR(INDEX(Clay_Brands!$A$2:$FZ$601,39,Sync!$D$10)&amp;"","")&amp;"; "&amp;IFERROR(INDEX(Clay_Brands!$A$2:$FZ$601,39,Sync!$D$9)&amp;"",""))</f>
        <v/>
      </c>
      <c r="K4690" t="inlineStr">
        <is>
          <t>brand outreach touch 3</t>
        </is>
      </c>
    </row>
    <row r="4691">
      <c r="A4691" s="17">
        <f>IF(B4691="","",B4691+(17*1000+40)/10000000)</f>
        <v/>
      </c>
      <c r="B4691" s="23">
        <f>IF(AND(IFERROR(N(INDEX(Clay_Brands!$A$2:$FZ$601,40,Sync!$D$13)),0)&gt;0,IFERROR(INDEX(Clay_Brands!$A$2:$FZ$601,40,Sync!$D$5)&amp;"","")&lt;&gt;"",OR(LEFT(IFERROR(INDEX(Clay_Brands!$A$2:$FZ$601,40,Sync!$D$5)&amp;"",""),6)&lt;&gt;"SAMPLE",Config!$B$19="Y")),IFERROR(N(INDEX(Clay_Brands!$A$2:$FZ$601,40,Sync!$D$13)),0),"")</f>
        <v/>
      </c>
      <c r="C4691" s="17">
        <f>IF(B4691="","","brand")</f>
        <v/>
      </c>
      <c r="D4691" s="17">
        <f>IF(B4691="","",IFERROR(INDEX(Clay_Brands!$A$2:$FZ$601,40,Sync!$D$5)&amp;"",""))</f>
        <v/>
      </c>
      <c r="E4691" s="17">
        <f>IF(B4691="","",IFERROR(INDEX(Clay_Brands!$A$2:$FZ$601,40,Sync!$D$6)&amp;"",""))</f>
        <v/>
      </c>
      <c r="F4691" s="17">
        <f>IF(B4691="","","outreach_sent")</f>
        <v/>
      </c>
      <c r="G4691" s="17">
        <f>IF(B4691="","","")</f>
        <v/>
      </c>
      <c r="H4691" s="17">
        <f>IF(B4691="","","")</f>
        <v/>
      </c>
      <c r="I4691" s="17">
        <f>IF(B4691="","","")</f>
        <v/>
      </c>
      <c r="J4691" s="17">
        <f>IF(B4691="","","touch_3; "&amp;IFERROR(INDEX(Clay_Brands!$A$2:$FZ$601,40,Sync!$D$10)&amp;"","")&amp;"; "&amp;IFERROR(INDEX(Clay_Brands!$A$2:$FZ$601,40,Sync!$D$9)&amp;"",""))</f>
        <v/>
      </c>
      <c r="K4691" t="inlineStr">
        <is>
          <t>brand outreach touch 3</t>
        </is>
      </c>
    </row>
    <row r="4692">
      <c r="A4692" s="17">
        <f>IF(B4692="","",B4692+(17*1000+41)/10000000)</f>
        <v/>
      </c>
      <c r="B4692" s="23">
        <f>IF(AND(IFERROR(N(INDEX(Clay_Brands!$A$2:$FZ$601,41,Sync!$D$13)),0)&gt;0,IFERROR(INDEX(Clay_Brands!$A$2:$FZ$601,41,Sync!$D$5)&amp;"","")&lt;&gt;"",OR(LEFT(IFERROR(INDEX(Clay_Brands!$A$2:$FZ$601,41,Sync!$D$5)&amp;"",""),6)&lt;&gt;"SAMPLE",Config!$B$19="Y")),IFERROR(N(INDEX(Clay_Brands!$A$2:$FZ$601,41,Sync!$D$13)),0),"")</f>
        <v/>
      </c>
      <c r="C4692" s="17">
        <f>IF(B4692="","","brand")</f>
        <v/>
      </c>
      <c r="D4692" s="17">
        <f>IF(B4692="","",IFERROR(INDEX(Clay_Brands!$A$2:$FZ$601,41,Sync!$D$5)&amp;"",""))</f>
        <v/>
      </c>
      <c r="E4692" s="17">
        <f>IF(B4692="","",IFERROR(INDEX(Clay_Brands!$A$2:$FZ$601,41,Sync!$D$6)&amp;"",""))</f>
        <v/>
      </c>
      <c r="F4692" s="17">
        <f>IF(B4692="","","outreach_sent")</f>
        <v/>
      </c>
      <c r="G4692" s="17">
        <f>IF(B4692="","","")</f>
        <v/>
      </c>
      <c r="H4692" s="17">
        <f>IF(B4692="","","")</f>
        <v/>
      </c>
      <c r="I4692" s="17">
        <f>IF(B4692="","","")</f>
        <v/>
      </c>
      <c r="J4692" s="17">
        <f>IF(B4692="","","touch_3; "&amp;IFERROR(INDEX(Clay_Brands!$A$2:$FZ$601,41,Sync!$D$10)&amp;"","")&amp;"; "&amp;IFERROR(INDEX(Clay_Brands!$A$2:$FZ$601,41,Sync!$D$9)&amp;"",""))</f>
        <v/>
      </c>
      <c r="K4692" t="inlineStr">
        <is>
          <t>brand outreach touch 3</t>
        </is>
      </c>
    </row>
    <row r="4693">
      <c r="A4693" s="17">
        <f>IF(B4693="","",B4693+(17*1000+42)/10000000)</f>
        <v/>
      </c>
      <c r="B4693" s="23">
        <f>IF(AND(IFERROR(N(INDEX(Clay_Brands!$A$2:$FZ$601,42,Sync!$D$13)),0)&gt;0,IFERROR(INDEX(Clay_Brands!$A$2:$FZ$601,42,Sync!$D$5)&amp;"","")&lt;&gt;"",OR(LEFT(IFERROR(INDEX(Clay_Brands!$A$2:$FZ$601,42,Sync!$D$5)&amp;"",""),6)&lt;&gt;"SAMPLE",Config!$B$19="Y")),IFERROR(N(INDEX(Clay_Brands!$A$2:$FZ$601,42,Sync!$D$13)),0),"")</f>
        <v/>
      </c>
      <c r="C4693" s="17">
        <f>IF(B4693="","","brand")</f>
        <v/>
      </c>
      <c r="D4693" s="17">
        <f>IF(B4693="","",IFERROR(INDEX(Clay_Brands!$A$2:$FZ$601,42,Sync!$D$5)&amp;"",""))</f>
        <v/>
      </c>
      <c r="E4693" s="17">
        <f>IF(B4693="","",IFERROR(INDEX(Clay_Brands!$A$2:$FZ$601,42,Sync!$D$6)&amp;"",""))</f>
        <v/>
      </c>
      <c r="F4693" s="17">
        <f>IF(B4693="","","outreach_sent")</f>
        <v/>
      </c>
      <c r="G4693" s="17">
        <f>IF(B4693="","","")</f>
        <v/>
      </c>
      <c r="H4693" s="17">
        <f>IF(B4693="","","")</f>
        <v/>
      </c>
      <c r="I4693" s="17">
        <f>IF(B4693="","","")</f>
        <v/>
      </c>
      <c r="J4693" s="17">
        <f>IF(B4693="","","touch_3; "&amp;IFERROR(INDEX(Clay_Brands!$A$2:$FZ$601,42,Sync!$D$10)&amp;"","")&amp;"; "&amp;IFERROR(INDEX(Clay_Brands!$A$2:$FZ$601,42,Sync!$D$9)&amp;"",""))</f>
        <v/>
      </c>
      <c r="K4693" t="inlineStr">
        <is>
          <t>brand outreach touch 3</t>
        </is>
      </c>
    </row>
    <row r="4694">
      <c r="A4694" s="17">
        <f>IF(B4694="","",B4694+(17*1000+43)/10000000)</f>
        <v/>
      </c>
      <c r="B4694" s="23">
        <f>IF(AND(IFERROR(N(INDEX(Clay_Brands!$A$2:$FZ$601,43,Sync!$D$13)),0)&gt;0,IFERROR(INDEX(Clay_Brands!$A$2:$FZ$601,43,Sync!$D$5)&amp;"","")&lt;&gt;"",OR(LEFT(IFERROR(INDEX(Clay_Brands!$A$2:$FZ$601,43,Sync!$D$5)&amp;"",""),6)&lt;&gt;"SAMPLE",Config!$B$19="Y")),IFERROR(N(INDEX(Clay_Brands!$A$2:$FZ$601,43,Sync!$D$13)),0),"")</f>
        <v/>
      </c>
      <c r="C4694" s="17">
        <f>IF(B4694="","","brand")</f>
        <v/>
      </c>
      <c r="D4694" s="17">
        <f>IF(B4694="","",IFERROR(INDEX(Clay_Brands!$A$2:$FZ$601,43,Sync!$D$5)&amp;"",""))</f>
        <v/>
      </c>
      <c r="E4694" s="17">
        <f>IF(B4694="","",IFERROR(INDEX(Clay_Brands!$A$2:$FZ$601,43,Sync!$D$6)&amp;"",""))</f>
        <v/>
      </c>
      <c r="F4694" s="17">
        <f>IF(B4694="","","outreach_sent")</f>
        <v/>
      </c>
      <c r="G4694" s="17">
        <f>IF(B4694="","","")</f>
        <v/>
      </c>
      <c r="H4694" s="17">
        <f>IF(B4694="","","")</f>
        <v/>
      </c>
      <c r="I4694" s="17">
        <f>IF(B4694="","","")</f>
        <v/>
      </c>
      <c r="J4694" s="17">
        <f>IF(B4694="","","touch_3; "&amp;IFERROR(INDEX(Clay_Brands!$A$2:$FZ$601,43,Sync!$D$10)&amp;"","")&amp;"; "&amp;IFERROR(INDEX(Clay_Brands!$A$2:$FZ$601,43,Sync!$D$9)&amp;"",""))</f>
        <v/>
      </c>
      <c r="K4694" t="inlineStr">
        <is>
          <t>brand outreach touch 3</t>
        </is>
      </c>
    </row>
    <row r="4695">
      <c r="A4695" s="17">
        <f>IF(B4695="","",B4695+(17*1000+44)/10000000)</f>
        <v/>
      </c>
      <c r="B4695" s="23">
        <f>IF(AND(IFERROR(N(INDEX(Clay_Brands!$A$2:$FZ$601,44,Sync!$D$13)),0)&gt;0,IFERROR(INDEX(Clay_Brands!$A$2:$FZ$601,44,Sync!$D$5)&amp;"","")&lt;&gt;"",OR(LEFT(IFERROR(INDEX(Clay_Brands!$A$2:$FZ$601,44,Sync!$D$5)&amp;"",""),6)&lt;&gt;"SAMPLE",Config!$B$19="Y")),IFERROR(N(INDEX(Clay_Brands!$A$2:$FZ$601,44,Sync!$D$13)),0),"")</f>
        <v/>
      </c>
      <c r="C4695" s="17">
        <f>IF(B4695="","","brand")</f>
        <v/>
      </c>
      <c r="D4695" s="17">
        <f>IF(B4695="","",IFERROR(INDEX(Clay_Brands!$A$2:$FZ$601,44,Sync!$D$5)&amp;"",""))</f>
        <v/>
      </c>
      <c r="E4695" s="17">
        <f>IF(B4695="","",IFERROR(INDEX(Clay_Brands!$A$2:$FZ$601,44,Sync!$D$6)&amp;"",""))</f>
        <v/>
      </c>
      <c r="F4695" s="17">
        <f>IF(B4695="","","outreach_sent")</f>
        <v/>
      </c>
      <c r="G4695" s="17">
        <f>IF(B4695="","","")</f>
        <v/>
      </c>
      <c r="H4695" s="17">
        <f>IF(B4695="","","")</f>
        <v/>
      </c>
      <c r="I4695" s="17">
        <f>IF(B4695="","","")</f>
        <v/>
      </c>
      <c r="J4695" s="17">
        <f>IF(B4695="","","touch_3; "&amp;IFERROR(INDEX(Clay_Brands!$A$2:$FZ$601,44,Sync!$D$10)&amp;"","")&amp;"; "&amp;IFERROR(INDEX(Clay_Brands!$A$2:$FZ$601,44,Sync!$D$9)&amp;"",""))</f>
        <v/>
      </c>
      <c r="K4695" t="inlineStr">
        <is>
          <t>brand outreach touch 3</t>
        </is>
      </c>
    </row>
    <row r="4696">
      <c r="A4696" s="17">
        <f>IF(B4696="","",B4696+(17*1000+45)/10000000)</f>
        <v/>
      </c>
      <c r="B4696" s="23">
        <f>IF(AND(IFERROR(N(INDEX(Clay_Brands!$A$2:$FZ$601,45,Sync!$D$13)),0)&gt;0,IFERROR(INDEX(Clay_Brands!$A$2:$FZ$601,45,Sync!$D$5)&amp;"","")&lt;&gt;"",OR(LEFT(IFERROR(INDEX(Clay_Brands!$A$2:$FZ$601,45,Sync!$D$5)&amp;"",""),6)&lt;&gt;"SAMPLE",Config!$B$19="Y")),IFERROR(N(INDEX(Clay_Brands!$A$2:$FZ$601,45,Sync!$D$13)),0),"")</f>
        <v/>
      </c>
      <c r="C4696" s="17">
        <f>IF(B4696="","","brand")</f>
        <v/>
      </c>
      <c r="D4696" s="17">
        <f>IF(B4696="","",IFERROR(INDEX(Clay_Brands!$A$2:$FZ$601,45,Sync!$D$5)&amp;"",""))</f>
        <v/>
      </c>
      <c r="E4696" s="17">
        <f>IF(B4696="","",IFERROR(INDEX(Clay_Brands!$A$2:$FZ$601,45,Sync!$D$6)&amp;"",""))</f>
        <v/>
      </c>
      <c r="F4696" s="17">
        <f>IF(B4696="","","outreach_sent")</f>
        <v/>
      </c>
      <c r="G4696" s="17">
        <f>IF(B4696="","","")</f>
        <v/>
      </c>
      <c r="H4696" s="17">
        <f>IF(B4696="","","")</f>
        <v/>
      </c>
      <c r="I4696" s="17">
        <f>IF(B4696="","","")</f>
        <v/>
      </c>
      <c r="J4696" s="17">
        <f>IF(B4696="","","touch_3; "&amp;IFERROR(INDEX(Clay_Brands!$A$2:$FZ$601,45,Sync!$D$10)&amp;"","")&amp;"; "&amp;IFERROR(INDEX(Clay_Brands!$A$2:$FZ$601,45,Sync!$D$9)&amp;"",""))</f>
        <v/>
      </c>
      <c r="K4696" t="inlineStr">
        <is>
          <t>brand outreach touch 3</t>
        </is>
      </c>
    </row>
    <row r="4697">
      <c r="A4697" s="17">
        <f>IF(B4697="","",B4697+(17*1000+46)/10000000)</f>
        <v/>
      </c>
      <c r="B4697" s="23">
        <f>IF(AND(IFERROR(N(INDEX(Clay_Brands!$A$2:$FZ$601,46,Sync!$D$13)),0)&gt;0,IFERROR(INDEX(Clay_Brands!$A$2:$FZ$601,46,Sync!$D$5)&amp;"","")&lt;&gt;"",OR(LEFT(IFERROR(INDEX(Clay_Brands!$A$2:$FZ$601,46,Sync!$D$5)&amp;"",""),6)&lt;&gt;"SAMPLE",Config!$B$19="Y")),IFERROR(N(INDEX(Clay_Brands!$A$2:$FZ$601,46,Sync!$D$13)),0),"")</f>
        <v/>
      </c>
      <c r="C4697" s="17">
        <f>IF(B4697="","","brand")</f>
        <v/>
      </c>
      <c r="D4697" s="17">
        <f>IF(B4697="","",IFERROR(INDEX(Clay_Brands!$A$2:$FZ$601,46,Sync!$D$5)&amp;"",""))</f>
        <v/>
      </c>
      <c r="E4697" s="17">
        <f>IF(B4697="","",IFERROR(INDEX(Clay_Brands!$A$2:$FZ$601,46,Sync!$D$6)&amp;"",""))</f>
        <v/>
      </c>
      <c r="F4697" s="17">
        <f>IF(B4697="","","outreach_sent")</f>
        <v/>
      </c>
      <c r="G4697" s="17">
        <f>IF(B4697="","","")</f>
        <v/>
      </c>
      <c r="H4697" s="17">
        <f>IF(B4697="","","")</f>
        <v/>
      </c>
      <c r="I4697" s="17">
        <f>IF(B4697="","","")</f>
        <v/>
      </c>
      <c r="J4697" s="17">
        <f>IF(B4697="","","touch_3; "&amp;IFERROR(INDEX(Clay_Brands!$A$2:$FZ$601,46,Sync!$D$10)&amp;"","")&amp;"; "&amp;IFERROR(INDEX(Clay_Brands!$A$2:$FZ$601,46,Sync!$D$9)&amp;"",""))</f>
        <v/>
      </c>
      <c r="K4697" t="inlineStr">
        <is>
          <t>brand outreach touch 3</t>
        </is>
      </c>
    </row>
    <row r="4698">
      <c r="A4698" s="17">
        <f>IF(B4698="","",B4698+(17*1000+47)/10000000)</f>
        <v/>
      </c>
      <c r="B4698" s="23">
        <f>IF(AND(IFERROR(N(INDEX(Clay_Brands!$A$2:$FZ$601,47,Sync!$D$13)),0)&gt;0,IFERROR(INDEX(Clay_Brands!$A$2:$FZ$601,47,Sync!$D$5)&amp;"","")&lt;&gt;"",OR(LEFT(IFERROR(INDEX(Clay_Brands!$A$2:$FZ$601,47,Sync!$D$5)&amp;"",""),6)&lt;&gt;"SAMPLE",Config!$B$19="Y")),IFERROR(N(INDEX(Clay_Brands!$A$2:$FZ$601,47,Sync!$D$13)),0),"")</f>
        <v/>
      </c>
      <c r="C4698" s="17">
        <f>IF(B4698="","","brand")</f>
        <v/>
      </c>
      <c r="D4698" s="17">
        <f>IF(B4698="","",IFERROR(INDEX(Clay_Brands!$A$2:$FZ$601,47,Sync!$D$5)&amp;"",""))</f>
        <v/>
      </c>
      <c r="E4698" s="17">
        <f>IF(B4698="","",IFERROR(INDEX(Clay_Brands!$A$2:$FZ$601,47,Sync!$D$6)&amp;"",""))</f>
        <v/>
      </c>
      <c r="F4698" s="17">
        <f>IF(B4698="","","outreach_sent")</f>
        <v/>
      </c>
      <c r="G4698" s="17">
        <f>IF(B4698="","","")</f>
        <v/>
      </c>
      <c r="H4698" s="17">
        <f>IF(B4698="","","")</f>
        <v/>
      </c>
      <c r="I4698" s="17">
        <f>IF(B4698="","","")</f>
        <v/>
      </c>
      <c r="J4698" s="17">
        <f>IF(B4698="","","touch_3; "&amp;IFERROR(INDEX(Clay_Brands!$A$2:$FZ$601,47,Sync!$D$10)&amp;"","")&amp;"; "&amp;IFERROR(INDEX(Clay_Brands!$A$2:$FZ$601,47,Sync!$D$9)&amp;"",""))</f>
        <v/>
      </c>
      <c r="K4698" t="inlineStr">
        <is>
          <t>brand outreach touch 3</t>
        </is>
      </c>
    </row>
    <row r="4699">
      <c r="A4699" s="17">
        <f>IF(B4699="","",B4699+(17*1000+48)/10000000)</f>
        <v/>
      </c>
      <c r="B4699" s="23">
        <f>IF(AND(IFERROR(N(INDEX(Clay_Brands!$A$2:$FZ$601,48,Sync!$D$13)),0)&gt;0,IFERROR(INDEX(Clay_Brands!$A$2:$FZ$601,48,Sync!$D$5)&amp;"","")&lt;&gt;"",OR(LEFT(IFERROR(INDEX(Clay_Brands!$A$2:$FZ$601,48,Sync!$D$5)&amp;"",""),6)&lt;&gt;"SAMPLE",Config!$B$19="Y")),IFERROR(N(INDEX(Clay_Brands!$A$2:$FZ$601,48,Sync!$D$13)),0),"")</f>
        <v/>
      </c>
      <c r="C4699" s="17">
        <f>IF(B4699="","","brand")</f>
        <v/>
      </c>
      <c r="D4699" s="17">
        <f>IF(B4699="","",IFERROR(INDEX(Clay_Brands!$A$2:$FZ$601,48,Sync!$D$5)&amp;"",""))</f>
        <v/>
      </c>
      <c r="E4699" s="17">
        <f>IF(B4699="","",IFERROR(INDEX(Clay_Brands!$A$2:$FZ$601,48,Sync!$D$6)&amp;"",""))</f>
        <v/>
      </c>
      <c r="F4699" s="17">
        <f>IF(B4699="","","outreach_sent")</f>
        <v/>
      </c>
      <c r="G4699" s="17">
        <f>IF(B4699="","","")</f>
        <v/>
      </c>
      <c r="H4699" s="17">
        <f>IF(B4699="","","")</f>
        <v/>
      </c>
      <c r="I4699" s="17">
        <f>IF(B4699="","","")</f>
        <v/>
      </c>
      <c r="J4699" s="17">
        <f>IF(B4699="","","touch_3; "&amp;IFERROR(INDEX(Clay_Brands!$A$2:$FZ$601,48,Sync!$D$10)&amp;"","")&amp;"; "&amp;IFERROR(INDEX(Clay_Brands!$A$2:$FZ$601,48,Sync!$D$9)&amp;"",""))</f>
        <v/>
      </c>
      <c r="K4699" t="inlineStr">
        <is>
          <t>brand outreach touch 3</t>
        </is>
      </c>
    </row>
    <row r="4700">
      <c r="A4700" s="17">
        <f>IF(B4700="","",B4700+(17*1000+49)/10000000)</f>
        <v/>
      </c>
      <c r="B4700" s="23">
        <f>IF(AND(IFERROR(N(INDEX(Clay_Brands!$A$2:$FZ$601,49,Sync!$D$13)),0)&gt;0,IFERROR(INDEX(Clay_Brands!$A$2:$FZ$601,49,Sync!$D$5)&amp;"","")&lt;&gt;"",OR(LEFT(IFERROR(INDEX(Clay_Brands!$A$2:$FZ$601,49,Sync!$D$5)&amp;"",""),6)&lt;&gt;"SAMPLE",Config!$B$19="Y")),IFERROR(N(INDEX(Clay_Brands!$A$2:$FZ$601,49,Sync!$D$13)),0),"")</f>
        <v/>
      </c>
      <c r="C4700" s="17">
        <f>IF(B4700="","","brand")</f>
        <v/>
      </c>
      <c r="D4700" s="17">
        <f>IF(B4700="","",IFERROR(INDEX(Clay_Brands!$A$2:$FZ$601,49,Sync!$D$5)&amp;"",""))</f>
        <v/>
      </c>
      <c r="E4700" s="17">
        <f>IF(B4700="","",IFERROR(INDEX(Clay_Brands!$A$2:$FZ$601,49,Sync!$D$6)&amp;"",""))</f>
        <v/>
      </c>
      <c r="F4700" s="17">
        <f>IF(B4700="","","outreach_sent")</f>
        <v/>
      </c>
      <c r="G4700" s="17">
        <f>IF(B4700="","","")</f>
        <v/>
      </c>
      <c r="H4700" s="17">
        <f>IF(B4700="","","")</f>
        <v/>
      </c>
      <c r="I4700" s="17">
        <f>IF(B4700="","","")</f>
        <v/>
      </c>
      <c r="J4700" s="17">
        <f>IF(B4700="","","touch_3; "&amp;IFERROR(INDEX(Clay_Brands!$A$2:$FZ$601,49,Sync!$D$10)&amp;"","")&amp;"; "&amp;IFERROR(INDEX(Clay_Brands!$A$2:$FZ$601,49,Sync!$D$9)&amp;"",""))</f>
        <v/>
      </c>
      <c r="K4700" t="inlineStr">
        <is>
          <t>brand outreach touch 3</t>
        </is>
      </c>
    </row>
    <row r="4701">
      <c r="A4701" s="17">
        <f>IF(B4701="","",B4701+(17*1000+50)/10000000)</f>
        <v/>
      </c>
      <c r="B4701" s="23">
        <f>IF(AND(IFERROR(N(INDEX(Clay_Brands!$A$2:$FZ$601,50,Sync!$D$13)),0)&gt;0,IFERROR(INDEX(Clay_Brands!$A$2:$FZ$601,50,Sync!$D$5)&amp;"","")&lt;&gt;"",OR(LEFT(IFERROR(INDEX(Clay_Brands!$A$2:$FZ$601,50,Sync!$D$5)&amp;"",""),6)&lt;&gt;"SAMPLE",Config!$B$19="Y")),IFERROR(N(INDEX(Clay_Brands!$A$2:$FZ$601,50,Sync!$D$13)),0),"")</f>
        <v/>
      </c>
      <c r="C4701" s="17">
        <f>IF(B4701="","","brand")</f>
        <v/>
      </c>
      <c r="D4701" s="17">
        <f>IF(B4701="","",IFERROR(INDEX(Clay_Brands!$A$2:$FZ$601,50,Sync!$D$5)&amp;"",""))</f>
        <v/>
      </c>
      <c r="E4701" s="17">
        <f>IF(B4701="","",IFERROR(INDEX(Clay_Brands!$A$2:$FZ$601,50,Sync!$D$6)&amp;"",""))</f>
        <v/>
      </c>
      <c r="F4701" s="17">
        <f>IF(B4701="","","outreach_sent")</f>
        <v/>
      </c>
      <c r="G4701" s="17">
        <f>IF(B4701="","","")</f>
        <v/>
      </c>
      <c r="H4701" s="17">
        <f>IF(B4701="","","")</f>
        <v/>
      </c>
      <c r="I4701" s="17">
        <f>IF(B4701="","","")</f>
        <v/>
      </c>
      <c r="J4701" s="17">
        <f>IF(B4701="","","touch_3; "&amp;IFERROR(INDEX(Clay_Brands!$A$2:$FZ$601,50,Sync!$D$10)&amp;"","")&amp;"; "&amp;IFERROR(INDEX(Clay_Brands!$A$2:$FZ$601,50,Sync!$D$9)&amp;"",""))</f>
        <v/>
      </c>
      <c r="K4701" t="inlineStr">
        <is>
          <t>brand outreach touch 3</t>
        </is>
      </c>
    </row>
    <row r="4702">
      <c r="A4702" s="17">
        <f>IF(B4702="","",B4702+(17*1000+51)/10000000)</f>
        <v/>
      </c>
      <c r="B4702" s="23">
        <f>IF(AND(IFERROR(N(INDEX(Clay_Brands!$A$2:$FZ$601,51,Sync!$D$13)),0)&gt;0,IFERROR(INDEX(Clay_Brands!$A$2:$FZ$601,51,Sync!$D$5)&amp;"","")&lt;&gt;"",OR(LEFT(IFERROR(INDEX(Clay_Brands!$A$2:$FZ$601,51,Sync!$D$5)&amp;"",""),6)&lt;&gt;"SAMPLE",Config!$B$19="Y")),IFERROR(N(INDEX(Clay_Brands!$A$2:$FZ$601,51,Sync!$D$13)),0),"")</f>
        <v/>
      </c>
      <c r="C4702" s="17">
        <f>IF(B4702="","","brand")</f>
        <v/>
      </c>
      <c r="D4702" s="17">
        <f>IF(B4702="","",IFERROR(INDEX(Clay_Brands!$A$2:$FZ$601,51,Sync!$D$5)&amp;"",""))</f>
        <v/>
      </c>
      <c r="E4702" s="17">
        <f>IF(B4702="","",IFERROR(INDEX(Clay_Brands!$A$2:$FZ$601,51,Sync!$D$6)&amp;"",""))</f>
        <v/>
      </c>
      <c r="F4702" s="17">
        <f>IF(B4702="","","outreach_sent")</f>
        <v/>
      </c>
      <c r="G4702" s="17">
        <f>IF(B4702="","","")</f>
        <v/>
      </c>
      <c r="H4702" s="17">
        <f>IF(B4702="","","")</f>
        <v/>
      </c>
      <c r="I4702" s="17">
        <f>IF(B4702="","","")</f>
        <v/>
      </c>
      <c r="J4702" s="17">
        <f>IF(B4702="","","touch_3; "&amp;IFERROR(INDEX(Clay_Brands!$A$2:$FZ$601,51,Sync!$D$10)&amp;"","")&amp;"; "&amp;IFERROR(INDEX(Clay_Brands!$A$2:$FZ$601,51,Sync!$D$9)&amp;"",""))</f>
        <v/>
      </c>
      <c r="K4702" t="inlineStr">
        <is>
          <t>brand outreach touch 3</t>
        </is>
      </c>
    </row>
    <row r="4703">
      <c r="A4703" s="17">
        <f>IF(B4703="","",B4703+(17*1000+52)/10000000)</f>
        <v/>
      </c>
      <c r="B4703" s="23">
        <f>IF(AND(IFERROR(N(INDEX(Clay_Brands!$A$2:$FZ$601,52,Sync!$D$13)),0)&gt;0,IFERROR(INDEX(Clay_Brands!$A$2:$FZ$601,52,Sync!$D$5)&amp;"","")&lt;&gt;"",OR(LEFT(IFERROR(INDEX(Clay_Brands!$A$2:$FZ$601,52,Sync!$D$5)&amp;"",""),6)&lt;&gt;"SAMPLE",Config!$B$19="Y")),IFERROR(N(INDEX(Clay_Brands!$A$2:$FZ$601,52,Sync!$D$13)),0),"")</f>
        <v/>
      </c>
      <c r="C4703" s="17">
        <f>IF(B4703="","","brand")</f>
        <v/>
      </c>
      <c r="D4703" s="17">
        <f>IF(B4703="","",IFERROR(INDEX(Clay_Brands!$A$2:$FZ$601,52,Sync!$D$5)&amp;"",""))</f>
        <v/>
      </c>
      <c r="E4703" s="17">
        <f>IF(B4703="","",IFERROR(INDEX(Clay_Brands!$A$2:$FZ$601,52,Sync!$D$6)&amp;"",""))</f>
        <v/>
      </c>
      <c r="F4703" s="17">
        <f>IF(B4703="","","outreach_sent")</f>
        <v/>
      </c>
      <c r="G4703" s="17">
        <f>IF(B4703="","","")</f>
        <v/>
      </c>
      <c r="H4703" s="17">
        <f>IF(B4703="","","")</f>
        <v/>
      </c>
      <c r="I4703" s="17">
        <f>IF(B4703="","","")</f>
        <v/>
      </c>
      <c r="J4703" s="17">
        <f>IF(B4703="","","touch_3; "&amp;IFERROR(INDEX(Clay_Brands!$A$2:$FZ$601,52,Sync!$D$10)&amp;"","")&amp;"; "&amp;IFERROR(INDEX(Clay_Brands!$A$2:$FZ$601,52,Sync!$D$9)&amp;"",""))</f>
        <v/>
      </c>
      <c r="K4703" t="inlineStr">
        <is>
          <t>brand outreach touch 3</t>
        </is>
      </c>
    </row>
    <row r="4704">
      <c r="A4704" s="17">
        <f>IF(B4704="","",B4704+(17*1000+53)/10000000)</f>
        <v/>
      </c>
      <c r="B4704" s="23">
        <f>IF(AND(IFERROR(N(INDEX(Clay_Brands!$A$2:$FZ$601,53,Sync!$D$13)),0)&gt;0,IFERROR(INDEX(Clay_Brands!$A$2:$FZ$601,53,Sync!$D$5)&amp;"","")&lt;&gt;"",OR(LEFT(IFERROR(INDEX(Clay_Brands!$A$2:$FZ$601,53,Sync!$D$5)&amp;"",""),6)&lt;&gt;"SAMPLE",Config!$B$19="Y")),IFERROR(N(INDEX(Clay_Brands!$A$2:$FZ$601,53,Sync!$D$13)),0),"")</f>
        <v/>
      </c>
      <c r="C4704" s="17">
        <f>IF(B4704="","","brand")</f>
        <v/>
      </c>
      <c r="D4704" s="17">
        <f>IF(B4704="","",IFERROR(INDEX(Clay_Brands!$A$2:$FZ$601,53,Sync!$D$5)&amp;"",""))</f>
        <v/>
      </c>
      <c r="E4704" s="17">
        <f>IF(B4704="","",IFERROR(INDEX(Clay_Brands!$A$2:$FZ$601,53,Sync!$D$6)&amp;"",""))</f>
        <v/>
      </c>
      <c r="F4704" s="17">
        <f>IF(B4704="","","outreach_sent")</f>
        <v/>
      </c>
      <c r="G4704" s="17">
        <f>IF(B4704="","","")</f>
        <v/>
      </c>
      <c r="H4704" s="17">
        <f>IF(B4704="","","")</f>
        <v/>
      </c>
      <c r="I4704" s="17">
        <f>IF(B4704="","","")</f>
        <v/>
      </c>
      <c r="J4704" s="17">
        <f>IF(B4704="","","touch_3; "&amp;IFERROR(INDEX(Clay_Brands!$A$2:$FZ$601,53,Sync!$D$10)&amp;"","")&amp;"; "&amp;IFERROR(INDEX(Clay_Brands!$A$2:$FZ$601,53,Sync!$D$9)&amp;"",""))</f>
        <v/>
      </c>
      <c r="K4704" t="inlineStr">
        <is>
          <t>brand outreach touch 3</t>
        </is>
      </c>
    </row>
    <row r="4705">
      <c r="A4705" s="17">
        <f>IF(B4705="","",B4705+(17*1000+54)/10000000)</f>
        <v/>
      </c>
      <c r="B4705" s="23">
        <f>IF(AND(IFERROR(N(INDEX(Clay_Brands!$A$2:$FZ$601,54,Sync!$D$13)),0)&gt;0,IFERROR(INDEX(Clay_Brands!$A$2:$FZ$601,54,Sync!$D$5)&amp;"","")&lt;&gt;"",OR(LEFT(IFERROR(INDEX(Clay_Brands!$A$2:$FZ$601,54,Sync!$D$5)&amp;"",""),6)&lt;&gt;"SAMPLE",Config!$B$19="Y")),IFERROR(N(INDEX(Clay_Brands!$A$2:$FZ$601,54,Sync!$D$13)),0),"")</f>
        <v/>
      </c>
      <c r="C4705" s="17">
        <f>IF(B4705="","","brand")</f>
        <v/>
      </c>
      <c r="D4705" s="17">
        <f>IF(B4705="","",IFERROR(INDEX(Clay_Brands!$A$2:$FZ$601,54,Sync!$D$5)&amp;"",""))</f>
        <v/>
      </c>
      <c r="E4705" s="17">
        <f>IF(B4705="","",IFERROR(INDEX(Clay_Brands!$A$2:$FZ$601,54,Sync!$D$6)&amp;"",""))</f>
        <v/>
      </c>
      <c r="F4705" s="17">
        <f>IF(B4705="","","outreach_sent")</f>
        <v/>
      </c>
      <c r="G4705" s="17">
        <f>IF(B4705="","","")</f>
        <v/>
      </c>
      <c r="H4705" s="17">
        <f>IF(B4705="","","")</f>
        <v/>
      </c>
      <c r="I4705" s="17">
        <f>IF(B4705="","","")</f>
        <v/>
      </c>
      <c r="J4705" s="17">
        <f>IF(B4705="","","touch_3; "&amp;IFERROR(INDEX(Clay_Brands!$A$2:$FZ$601,54,Sync!$D$10)&amp;"","")&amp;"; "&amp;IFERROR(INDEX(Clay_Brands!$A$2:$FZ$601,54,Sync!$D$9)&amp;"",""))</f>
        <v/>
      </c>
      <c r="K4705" t="inlineStr">
        <is>
          <t>brand outreach touch 3</t>
        </is>
      </c>
    </row>
    <row r="4706">
      <c r="A4706" s="17">
        <f>IF(B4706="","",B4706+(17*1000+55)/10000000)</f>
        <v/>
      </c>
      <c r="B4706" s="23">
        <f>IF(AND(IFERROR(N(INDEX(Clay_Brands!$A$2:$FZ$601,55,Sync!$D$13)),0)&gt;0,IFERROR(INDEX(Clay_Brands!$A$2:$FZ$601,55,Sync!$D$5)&amp;"","")&lt;&gt;"",OR(LEFT(IFERROR(INDEX(Clay_Brands!$A$2:$FZ$601,55,Sync!$D$5)&amp;"",""),6)&lt;&gt;"SAMPLE",Config!$B$19="Y")),IFERROR(N(INDEX(Clay_Brands!$A$2:$FZ$601,55,Sync!$D$13)),0),"")</f>
        <v/>
      </c>
      <c r="C4706" s="17">
        <f>IF(B4706="","","brand")</f>
        <v/>
      </c>
      <c r="D4706" s="17">
        <f>IF(B4706="","",IFERROR(INDEX(Clay_Brands!$A$2:$FZ$601,55,Sync!$D$5)&amp;"",""))</f>
        <v/>
      </c>
      <c r="E4706" s="17">
        <f>IF(B4706="","",IFERROR(INDEX(Clay_Brands!$A$2:$FZ$601,55,Sync!$D$6)&amp;"",""))</f>
        <v/>
      </c>
      <c r="F4706" s="17">
        <f>IF(B4706="","","outreach_sent")</f>
        <v/>
      </c>
      <c r="G4706" s="17">
        <f>IF(B4706="","","")</f>
        <v/>
      </c>
      <c r="H4706" s="17">
        <f>IF(B4706="","","")</f>
        <v/>
      </c>
      <c r="I4706" s="17">
        <f>IF(B4706="","","")</f>
        <v/>
      </c>
      <c r="J4706" s="17">
        <f>IF(B4706="","","touch_3; "&amp;IFERROR(INDEX(Clay_Brands!$A$2:$FZ$601,55,Sync!$D$10)&amp;"","")&amp;"; "&amp;IFERROR(INDEX(Clay_Brands!$A$2:$FZ$601,55,Sync!$D$9)&amp;"",""))</f>
        <v/>
      </c>
      <c r="K4706" t="inlineStr">
        <is>
          <t>brand outreach touch 3</t>
        </is>
      </c>
    </row>
    <row r="4707">
      <c r="A4707" s="17">
        <f>IF(B4707="","",B4707+(17*1000+56)/10000000)</f>
        <v/>
      </c>
      <c r="B4707" s="23">
        <f>IF(AND(IFERROR(N(INDEX(Clay_Brands!$A$2:$FZ$601,56,Sync!$D$13)),0)&gt;0,IFERROR(INDEX(Clay_Brands!$A$2:$FZ$601,56,Sync!$D$5)&amp;"","")&lt;&gt;"",OR(LEFT(IFERROR(INDEX(Clay_Brands!$A$2:$FZ$601,56,Sync!$D$5)&amp;"",""),6)&lt;&gt;"SAMPLE",Config!$B$19="Y")),IFERROR(N(INDEX(Clay_Brands!$A$2:$FZ$601,56,Sync!$D$13)),0),"")</f>
        <v/>
      </c>
      <c r="C4707" s="17">
        <f>IF(B4707="","","brand")</f>
        <v/>
      </c>
      <c r="D4707" s="17">
        <f>IF(B4707="","",IFERROR(INDEX(Clay_Brands!$A$2:$FZ$601,56,Sync!$D$5)&amp;"",""))</f>
        <v/>
      </c>
      <c r="E4707" s="17">
        <f>IF(B4707="","",IFERROR(INDEX(Clay_Brands!$A$2:$FZ$601,56,Sync!$D$6)&amp;"",""))</f>
        <v/>
      </c>
      <c r="F4707" s="17">
        <f>IF(B4707="","","outreach_sent")</f>
        <v/>
      </c>
      <c r="G4707" s="17">
        <f>IF(B4707="","","")</f>
        <v/>
      </c>
      <c r="H4707" s="17">
        <f>IF(B4707="","","")</f>
        <v/>
      </c>
      <c r="I4707" s="17">
        <f>IF(B4707="","","")</f>
        <v/>
      </c>
      <c r="J4707" s="17">
        <f>IF(B4707="","","touch_3; "&amp;IFERROR(INDEX(Clay_Brands!$A$2:$FZ$601,56,Sync!$D$10)&amp;"","")&amp;"; "&amp;IFERROR(INDEX(Clay_Brands!$A$2:$FZ$601,56,Sync!$D$9)&amp;"",""))</f>
        <v/>
      </c>
      <c r="K4707" t="inlineStr">
        <is>
          <t>brand outreach touch 3</t>
        </is>
      </c>
    </row>
    <row r="4708">
      <c r="A4708" s="17">
        <f>IF(B4708="","",B4708+(17*1000+57)/10000000)</f>
        <v/>
      </c>
      <c r="B4708" s="23">
        <f>IF(AND(IFERROR(N(INDEX(Clay_Brands!$A$2:$FZ$601,57,Sync!$D$13)),0)&gt;0,IFERROR(INDEX(Clay_Brands!$A$2:$FZ$601,57,Sync!$D$5)&amp;"","")&lt;&gt;"",OR(LEFT(IFERROR(INDEX(Clay_Brands!$A$2:$FZ$601,57,Sync!$D$5)&amp;"",""),6)&lt;&gt;"SAMPLE",Config!$B$19="Y")),IFERROR(N(INDEX(Clay_Brands!$A$2:$FZ$601,57,Sync!$D$13)),0),"")</f>
        <v/>
      </c>
      <c r="C4708" s="17">
        <f>IF(B4708="","","brand")</f>
        <v/>
      </c>
      <c r="D4708" s="17">
        <f>IF(B4708="","",IFERROR(INDEX(Clay_Brands!$A$2:$FZ$601,57,Sync!$D$5)&amp;"",""))</f>
        <v/>
      </c>
      <c r="E4708" s="17">
        <f>IF(B4708="","",IFERROR(INDEX(Clay_Brands!$A$2:$FZ$601,57,Sync!$D$6)&amp;"",""))</f>
        <v/>
      </c>
      <c r="F4708" s="17">
        <f>IF(B4708="","","outreach_sent")</f>
        <v/>
      </c>
      <c r="G4708" s="17">
        <f>IF(B4708="","","")</f>
        <v/>
      </c>
      <c r="H4708" s="17">
        <f>IF(B4708="","","")</f>
        <v/>
      </c>
      <c r="I4708" s="17">
        <f>IF(B4708="","","")</f>
        <v/>
      </c>
      <c r="J4708" s="17">
        <f>IF(B4708="","","touch_3; "&amp;IFERROR(INDEX(Clay_Brands!$A$2:$FZ$601,57,Sync!$D$10)&amp;"","")&amp;"; "&amp;IFERROR(INDEX(Clay_Brands!$A$2:$FZ$601,57,Sync!$D$9)&amp;"",""))</f>
        <v/>
      </c>
      <c r="K4708" t="inlineStr">
        <is>
          <t>brand outreach touch 3</t>
        </is>
      </c>
    </row>
    <row r="4709">
      <c r="A4709" s="17">
        <f>IF(B4709="","",B4709+(17*1000+58)/10000000)</f>
        <v/>
      </c>
      <c r="B4709" s="23">
        <f>IF(AND(IFERROR(N(INDEX(Clay_Brands!$A$2:$FZ$601,58,Sync!$D$13)),0)&gt;0,IFERROR(INDEX(Clay_Brands!$A$2:$FZ$601,58,Sync!$D$5)&amp;"","")&lt;&gt;"",OR(LEFT(IFERROR(INDEX(Clay_Brands!$A$2:$FZ$601,58,Sync!$D$5)&amp;"",""),6)&lt;&gt;"SAMPLE",Config!$B$19="Y")),IFERROR(N(INDEX(Clay_Brands!$A$2:$FZ$601,58,Sync!$D$13)),0),"")</f>
        <v/>
      </c>
      <c r="C4709" s="17">
        <f>IF(B4709="","","brand")</f>
        <v/>
      </c>
      <c r="D4709" s="17">
        <f>IF(B4709="","",IFERROR(INDEX(Clay_Brands!$A$2:$FZ$601,58,Sync!$D$5)&amp;"",""))</f>
        <v/>
      </c>
      <c r="E4709" s="17">
        <f>IF(B4709="","",IFERROR(INDEX(Clay_Brands!$A$2:$FZ$601,58,Sync!$D$6)&amp;"",""))</f>
        <v/>
      </c>
      <c r="F4709" s="17">
        <f>IF(B4709="","","outreach_sent")</f>
        <v/>
      </c>
      <c r="G4709" s="17">
        <f>IF(B4709="","","")</f>
        <v/>
      </c>
      <c r="H4709" s="17">
        <f>IF(B4709="","","")</f>
        <v/>
      </c>
      <c r="I4709" s="17">
        <f>IF(B4709="","","")</f>
        <v/>
      </c>
      <c r="J4709" s="17">
        <f>IF(B4709="","","touch_3; "&amp;IFERROR(INDEX(Clay_Brands!$A$2:$FZ$601,58,Sync!$D$10)&amp;"","")&amp;"; "&amp;IFERROR(INDEX(Clay_Brands!$A$2:$FZ$601,58,Sync!$D$9)&amp;"",""))</f>
        <v/>
      </c>
      <c r="K4709" t="inlineStr">
        <is>
          <t>brand outreach touch 3</t>
        </is>
      </c>
    </row>
    <row r="4710">
      <c r="A4710" s="17">
        <f>IF(B4710="","",B4710+(17*1000+59)/10000000)</f>
        <v/>
      </c>
      <c r="B4710" s="23">
        <f>IF(AND(IFERROR(N(INDEX(Clay_Brands!$A$2:$FZ$601,59,Sync!$D$13)),0)&gt;0,IFERROR(INDEX(Clay_Brands!$A$2:$FZ$601,59,Sync!$D$5)&amp;"","")&lt;&gt;"",OR(LEFT(IFERROR(INDEX(Clay_Brands!$A$2:$FZ$601,59,Sync!$D$5)&amp;"",""),6)&lt;&gt;"SAMPLE",Config!$B$19="Y")),IFERROR(N(INDEX(Clay_Brands!$A$2:$FZ$601,59,Sync!$D$13)),0),"")</f>
        <v/>
      </c>
      <c r="C4710" s="17">
        <f>IF(B4710="","","brand")</f>
        <v/>
      </c>
      <c r="D4710" s="17">
        <f>IF(B4710="","",IFERROR(INDEX(Clay_Brands!$A$2:$FZ$601,59,Sync!$D$5)&amp;"",""))</f>
        <v/>
      </c>
      <c r="E4710" s="17">
        <f>IF(B4710="","",IFERROR(INDEX(Clay_Brands!$A$2:$FZ$601,59,Sync!$D$6)&amp;"",""))</f>
        <v/>
      </c>
      <c r="F4710" s="17">
        <f>IF(B4710="","","outreach_sent")</f>
        <v/>
      </c>
      <c r="G4710" s="17">
        <f>IF(B4710="","","")</f>
        <v/>
      </c>
      <c r="H4710" s="17">
        <f>IF(B4710="","","")</f>
        <v/>
      </c>
      <c r="I4710" s="17">
        <f>IF(B4710="","","")</f>
        <v/>
      </c>
      <c r="J4710" s="17">
        <f>IF(B4710="","","touch_3; "&amp;IFERROR(INDEX(Clay_Brands!$A$2:$FZ$601,59,Sync!$D$10)&amp;"","")&amp;"; "&amp;IFERROR(INDEX(Clay_Brands!$A$2:$FZ$601,59,Sync!$D$9)&amp;"",""))</f>
        <v/>
      </c>
      <c r="K4710" t="inlineStr">
        <is>
          <t>brand outreach touch 3</t>
        </is>
      </c>
    </row>
    <row r="4711">
      <c r="A4711" s="17">
        <f>IF(B4711="","",B4711+(17*1000+60)/10000000)</f>
        <v/>
      </c>
      <c r="B4711" s="23">
        <f>IF(AND(IFERROR(N(INDEX(Clay_Brands!$A$2:$FZ$601,60,Sync!$D$13)),0)&gt;0,IFERROR(INDEX(Clay_Brands!$A$2:$FZ$601,60,Sync!$D$5)&amp;"","")&lt;&gt;"",OR(LEFT(IFERROR(INDEX(Clay_Brands!$A$2:$FZ$601,60,Sync!$D$5)&amp;"",""),6)&lt;&gt;"SAMPLE",Config!$B$19="Y")),IFERROR(N(INDEX(Clay_Brands!$A$2:$FZ$601,60,Sync!$D$13)),0),"")</f>
        <v/>
      </c>
      <c r="C4711" s="17">
        <f>IF(B4711="","","brand")</f>
        <v/>
      </c>
      <c r="D4711" s="17">
        <f>IF(B4711="","",IFERROR(INDEX(Clay_Brands!$A$2:$FZ$601,60,Sync!$D$5)&amp;"",""))</f>
        <v/>
      </c>
      <c r="E4711" s="17">
        <f>IF(B4711="","",IFERROR(INDEX(Clay_Brands!$A$2:$FZ$601,60,Sync!$D$6)&amp;"",""))</f>
        <v/>
      </c>
      <c r="F4711" s="17">
        <f>IF(B4711="","","outreach_sent")</f>
        <v/>
      </c>
      <c r="G4711" s="17">
        <f>IF(B4711="","","")</f>
        <v/>
      </c>
      <c r="H4711" s="17">
        <f>IF(B4711="","","")</f>
        <v/>
      </c>
      <c r="I4711" s="17">
        <f>IF(B4711="","","")</f>
        <v/>
      </c>
      <c r="J4711" s="17">
        <f>IF(B4711="","","touch_3; "&amp;IFERROR(INDEX(Clay_Brands!$A$2:$FZ$601,60,Sync!$D$10)&amp;"","")&amp;"; "&amp;IFERROR(INDEX(Clay_Brands!$A$2:$FZ$601,60,Sync!$D$9)&amp;"",""))</f>
        <v/>
      </c>
      <c r="K4711" t="inlineStr">
        <is>
          <t>brand outreach touch 3</t>
        </is>
      </c>
    </row>
    <row r="4712">
      <c r="A4712" s="17">
        <f>IF(B4712="","",B4712+(17*1000+61)/10000000)</f>
        <v/>
      </c>
      <c r="B4712" s="23">
        <f>IF(AND(IFERROR(N(INDEX(Clay_Brands!$A$2:$FZ$601,61,Sync!$D$13)),0)&gt;0,IFERROR(INDEX(Clay_Brands!$A$2:$FZ$601,61,Sync!$D$5)&amp;"","")&lt;&gt;"",OR(LEFT(IFERROR(INDEX(Clay_Brands!$A$2:$FZ$601,61,Sync!$D$5)&amp;"",""),6)&lt;&gt;"SAMPLE",Config!$B$19="Y")),IFERROR(N(INDEX(Clay_Brands!$A$2:$FZ$601,61,Sync!$D$13)),0),"")</f>
        <v/>
      </c>
      <c r="C4712" s="17">
        <f>IF(B4712="","","brand")</f>
        <v/>
      </c>
      <c r="D4712" s="17">
        <f>IF(B4712="","",IFERROR(INDEX(Clay_Brands!$A$2:$FZ$601,61,Sync!$D$5)&amp;"",""))</f>
        <v/>
      </c>
      <c r="E4712" s="17">
        <f>IF(B4712="","",IFERROR(INDEX(Clay_Brands!$A$2:$FZ$601,61,Sync!$D$6)&amp;"",""))</f>
        <v/>
      </c>
      <c r="F4712" s="17">
        <f>IF(B4712="","","outreach_sent")</f>
        <v/>
      </c>
      <c r="G4712" s="17">
        <f>IF(B4712="","","")</f>
        <v/>
      </c>
      <c r="H4712" s="17">
        <f>IF(B4712="","","")</f>
        <v/>
      </c>
      <c r="I4712" s="17">
        <f>IF(B4712="","","")</f>
        <v/>
      </c>
      <c r="J4712" s="17">
        <f>IF(B4712="","","touch_3; "&amp;IFERROR(INDEX(Clay_Brands!$A$2:$FZ$601,61,Sync!$D$10)&amp;"","")&amp;"; "&amp;IFERROR(INDEX(Clay_Brands!$A$2:$FZ$601,61,Sync!$D$9)&amp;"",""))</f>
        <v/>
      </c>
      <c r="K4712" t="inlineStr">
        <is>
          <t>brand outreach touch 3</t>
        </is>
      </c>
    </row>
    <row r="4713">
      <c r="A4713" s="17">
        <f>IF(B4713="","",B4713+(17*1000+62)/10000000)</f>
        <v/>
      </c>
      <c r="B4713" s="23">
        <f>IF(AND(IFERROR(N(INDEX(Clay_Brands!$A$2:$FZ$601,62,Sync!$D$13)),0)&gt;0,IFERROR(INDEX(Clay_Brands!$A$2:$FZ$601,62,Sync!$D$5)&amp;"","")&lt;&gt;"",OR(LEFT(IFERROR(INDEX(Clay_Brands!$A$2:$FZ$601,62,Sync!$D$5)&amp;"",""),6)&lt;&gt;"SAMPLE",Config!$B$19="Y")),IFERROR(N(INDEX(Clay_Brands!$A$2:$FZ$601,62,Sync!$D$13)),0),"")</f>
        <v/>
      </c>
      <c r="C4713" s="17">
        <f>IF(B4713="","","brand")</f>
        <v/>
      </c>
      <c r="D4713" s="17">
        <f>IF(B4713="","",IFERROR(INDEX(Clay_Brands!$A$2:$FZ$601,62,Sync!$D$5)&amp;"",""))</f>
        <v/>
      </c>
      <c r="E4713" s="17">
        <f>IF(B4713="","",IFERROR(INDEX(Clay_Brands!$A$2:$FZ$601,62,Sync!$D$6)&amp;"",""))</f>
        <v/>
      </c>
      <c r="F4713" s="17">
        <f>IF(B4713="","","outreach_sent")</f>
        <v/>
      </c>
      <c r="G4713" s="17">
        <f>IF(B4713="","","")</f>
        <v/>
      </c>
      <c r="H4713" s="17">
        <f>IF(B4713="","","")</f>
        <v/>
      </c>
      <c r="I4713" s="17">
        <f>IF(B4713="","","")</f>
        <v/>
      </c>
      <c r="J4713" s="17">
        <f>IF(B4713="","","touch_3; "&amp;IFERROR(INDEX(Clay_Brands!$A$2:$FZ$601,62,Sync!$D$10)&amp;"","")&amp;"; "&amp;IFERROR(INDEX(Clay_Brands!$A$2:$FZ$601,62,Sync!$D$9)&amp;"",""))</f>
        <v/>
      </c>
      <c r="K4713" t="inlineStr">
        <is>
          <t>brand outreach touch 3</t>
        </is>
      </c>
    </row>
    <row r="4714">
      <c r="A4714" s="17">
        <f>IF(B4714="","",B4714+(17*1000+63)/10000000)</f>
        <v/>
      </c>
      <c r="B4714" s="23">
        <f>IF(AND(IFERROR(N(INDEX(Clay_Brands!$A$2:$FZ$601,63,Sync!$D$13)),0)&gt;0,IFERROR(INDEX(Clay_Brands!$A$2:$FZ$601,63,Sync!$D$5)&amp;"","")&lt;&gt;"",OR(LEFT(IFERROR(INDEX(Clay_Brands!$A$2:$FZ$601,63,Sync!$D$5)&amp;"",""),6)&lt;&gt;"SAMPLE",Config!$B$19="Y")),IFERROR(N(INDEX(Clay_Brands!$A$2:$FZ$601,63,Sync!$D$13)),0),"")</f>
        <v/>
      </c>
      <c r="C4714" s="17">
        <f>IF(B4714="","","brand")</f>
        <v/>
      </c>
      <c r="D4714" s="17">
        <f>IF(B4714="","",IFERROR(INDEX(Clay_Brands!$A$2:$FZ$601,63,Sync!$D$5)&amp;"",""))</f>
        <v/>
      </c>
      <c r="E4714" s="17">
        <f>IF(B4714="","",IFERROR(INDEX(Clay_Brands!$A$2:$FZ$601,63,Sync!$D$6)&amp;"",""))</f>
        <v/>
      </c>
      <c r="F4714" s="17">
        <f>IF(B4714="","","outreach_sent")</f>
        <v/>
      </c>
      <c r="G4714" s="17">
        <f>IF(B4714="","","")</f>
        <v/>
      </c>
      <c r="H4714" s="17">
        <f>IF(B4714="","","")</f>
        <v/>
      </c>
      <c r="I4714" s="17">
        <f>IF(B4714="","","")</f>
        <v/>
      </c>
      <c r="J4714" s="17">
        <f>IF(B4714="","","touch_3; "&amp;IFERROR(INDEX(Clay_Brands!$A$2:$FZ$601,63,Sync!$D$10)&amp;"","")&amp;"; "&amp;IFERROR(INDEX(Clay_Brands!$A$2:$FZ$601,63,Sync!$D$9)&amp;"",""))</f>
        <v/>
      </c>
      <c r="K4714" t="inlineStr">
        <is>
          <t>brand outreach touch 3</t>
        </is>
      </c>
    </row>
    <row r="4715">
      <c r="A4715" s="17">
        <f>IF(B4715="","",B4715+(17*1000+64)/10000000)</f>
        <v/>
      </c>
      <c r="B4715" s="23">
        <f>IF(AND(IFERROR(N(INDEX(Clay_Brands!$A$2:$FZ$601,64,Sync!$D$13)),0)&gt;0,IFERROR(INDEX(Clay_Brands!$A$2:$FZ$601,64,Sync!$D$5)&amp;"","")&lt;&gt;"",OR(LEFT(IFERROR(INDEX(Clay_Brands!$A$2:$FZ$601,64,Sync!$D$5)&amp;"",""),6)&lt;&gt;"SAMPLE",Config!$B$19="Y")),IFERROR(N(INDEX(Clay_Brands!$A$2:$FZ$601,64,Sync!$D$13)),0),"")</f>
        <v/>
      </c>
      <c r="C4715" s="17">
        <f>IF(B4715="","","brand")</f>
        <v/>
      </c>
      <c r="D4715" s="17">
        <f>IF(B4715="","",IFERROR(INDEX(Clay_Brands!$A$2:$FZ$601,64,Sync!$D$5)&amp;"",""))</f>
        <v/>
      </c>
      <c r="E4715" s="17">
        <f>IF(B4715="","",IFERROR(INDEX(Clay_Brands!$A$2:$FZ$601,64,Sync!$D$6)&amp;"",""))</f>
        <v/>
      </c>
      <c r="F4715" s="17">
        <f>IF(B4715="","","outreach_sent")</f>
        <v/>
      </c>
      <c r="G4715" s="17">
        <f>IF(B4715="","","")</f>
        <v/>
      </c>
      <c r="H4715" s="17">
        <f>IF(B4715="","","")</f>
        <v/>
      </c>
      <c r="I4715" s="17">
        <f>IF(B4715="","","")</f>
        <v/>
      </c>
      <c r="J4715" s="17">
        <f>IF(B4715="","","touch_3; "&amp;IFERROR(INDEX(Clay_Brands!$A$2:$FZ$601,64,Sync!$D$10)&amp;"","")&amp;"; "&amp;IFERROR(INDEX(Clay_Brands!$A$2:$FZ$601,64,Sync!$D$9)&amp;"",""))</f>
        <v/>
      </c>
      <c r="K4715" t="inlineStr">
        <is>
          <t>brand outreach touch 3</t>
        </is>
      </c>
    </row>
    <row r="4716">
      <c r="A4716" s="17">
        <f>IF(B4716="","",B4716+(17*1000+65)/10000000)</f>
        <v/>
      </c>
      <c r="B4716" s="23">
        <f>IF(AND(IFERROR(N(INDEX(Clay_Brands!$A$2:$FZ$601,65,Sync!$D$13)),0)&gt;0,IFERROR(INDEX(Clay_Brands!$A$2:$FZ$601,65,Sync!$D$5)&amp;"","")&lt;&gt;"",OR(LEFT(IFERROR(INDEX(Clay_Brands!$A$2:$FZ$601,65,Sync!$D$5)&amp;"",""),6)&lt;&gt;"SAMPLE",Config!$B$19="Y")),IFERROR(N(INDEX(Clay_Brands!$A$2:$FZ$601,65,Sync!$D$13)),0),"")</f>
        <v/>
      </c>
      <c r="C4716" s="17">
        <f>IF(B4716="","","brand")</f>
        <v/>
      </c>
      <c r="D4716" s="17">
        <f>IF(B4716="","",IFERROR(INDEX(Clay_Brands!$A$2:$FZ$601,65,Sync!$D$5)&amp;"",""))</f>
        <v/>
      </c>
      <c r="E4716" s="17">
        <f>IF(B4716="","",IFERROR(INDEX(Clay_Brands!$A$2:$FZ$601,65,Sync!$D$6)&amp;"",""))</f>
        <v/>
      </c>
      <c r="F4716" s="17">
        <f>IF(B4716="","","outreach_sent")</f>
        <v/>
      </c>
      <c r="G4716" s="17">
        <f>IF(B4716="","","")</f>
        <v/>
      </c>
      <c r="H4716" s="17">
        <f>IF(B4716="","","")</f>
        <v/>
      </c>
      <c r="I4716" s="17">
        <f>IF(B4716="","","")</f>
        <v/>
      </c>
      <c r="J4716" s="17">
        <f>IF(B4716="","","touch_3; "&amp;IFERROR(INDEX(Clay_Brands!$A$2:$FZ$601,65,Sync!$D$10)&amp;"","")&amp;"; "&amp;IFERROR(INDEX(Clay_Brands!$A$2:$FZ$601,65,Sync!$D$9)&amp;"",""))</f>
        <v/>
      </c>
      <c r="K4716" t="inlineStr">
        <is>
          <t>brand outreach touch 3</t>
        </is>
      </c>
    </row>
    <row r="4717">
      <c r="A4717" s="17">
        <f>IF(B4717="","",B4717+(17*1000+66)/10000000)</f>
        <v/>
      </c>
      <c r="B4717" s="23">
        <f>IF(AND(IFERROR(N(INDEX(Clay_Brands!$A$2:$FZ$601,66,Sync!$D$13)),0)&gt;0,IFERROR(INDEX(Clay_Brands!$A$2:$FZ$601,66,Sync!$D$5)&amp;"","")&lt;&gt;"",OR(LEFT(IFERROR(INDEX(Clay_Brands!$A$2:$FZ$601,66,Sync!$D$5)&amp;"",""),6)&lt;&gt;"SAMPLE",Config!$B$19="Y")),IFERROR(N(INDEX(Clay_Brands!$A$2:$FZ$601,66,Sync!$D$13)),0),"")</f>
        <v/>
      </c>
      <c r="C4717" s="17">
        <f>IF(B4717="","","brand")</f>
        <v/>
      </c>
      <c r="D4717" s="17">
        <f>IF(B4717="","",IFERROR(INDEX(Clay_Brands!$A$2:$FZ$601,66,Sync!$D$5)&amp;"",""))</f>
        <v/>
      </c>
      <c r="E4717" s="17">
        <f>IF(B4717="","",IFERROR(INDEX(Clay_Brands!$A$2:$FZ$601,66,Sync!$D$6)&amp;"",""))</f>
        <v/>
      </c>
      <c r="F4717" s="17">
        <f>IF(B4717="","","outreach_sent")</f>
        <v/>
      </c>
      <c r="G4717" s="17">
        <f>IF(B4717="","","")</f>
        <v/>
      </c>
      <c r="H4717" s="17">
        <f>IF(B4717="","","")</f>
        <v/>
      </c>
      <c r="I4717" s="17">
        <f>IF(B4717="","","")</f>
        <v/>
      </c>
      <c r="J4717" s="17">
        <f>IF(B4717="","","touch_3; "&amp;IFERROR(INDEX(Clay_Brands!$A$2:$FZ$601,66,Sync!$D$10)&amp;"","")&amp;"; "&amp;IFERROR(INDEX(Clay_Brands!$A$2:$FZ$601,66,Sync!$D$9)&amp;"",""))</f>
        <v/>
      </c>
      <c r="K4717" t="inlineStr">
        <is>
          <t>brand outreach touch 3</t>
        </is>
      </c>
    </row>
    <row r="4718">
      <c r="A4718" s="17">
        <f>IF(B4718="","",B4718+(17*1000+67)/10000000)</f>
        <v/>
      </c>
      <c r="B4718" s="23">
        <f>IF(AND(IFERROR(N(INDEX(Clay_Brands!$A$2:$FZ$601,67,Sync!$D$13)),0)&gt;0,IFERROR(INDEX(Clay_Brands!$A$2:$FZ$601,67,Sync!$D$5)&amp;"","")&lt;&gt;"",OR(LEFT(IFERROR(INDEX(Clay_Brands!$A$2:$FZ$601,67,Sync!$D$5)&amp;"",""),6)&lt;&gt;"SAMPLE",Config!$B$19="Y")),IFERROR(N(INDEX(Clay_Brands!$A$2:$FZ$601,67,Sync!$D$13)),0),"")</f>
        <v/>
      </c>
      <c r="C4718" s="17">
        <f>IF(B4718="","","brand")</f>
        <v/>
      </c>
      <c r="D4718" s="17">
        <f>IF(B4718="","",IFERROR(INDEX(Clay_Brands!$A$2:$FZ$601,67,Sync!$D$5)&amp;"",""))</f>
        <v/>
      </c>
      <c r="E4718" s="17">
        <f>IF(B4718="","",IFERROR(INDEX(Clay_Brands!$A$2:$FZ$601,67,Sync!$D$6)&amp;"",""))</f>
        <v/>
      </c>
      <c r="F4718" s="17">
        <f>IF(B4718="","","outreach_sent")</f>
        <v/>
      </c>
      <c r="G4718" s="17">
        <f>IF(B4718="","","")</f>
        <v/>
      </c>
      <c r="H4718" s="17">
        <f>IF(B4718="","","")</f>
        <v/>
      </c>
      <c r="I4718" s="17">
        <f>IF(B4718="","","")</f>
        <v/>
      </c>
      <c r="J4718" s="17">
        <f>IF(B4718="","","touch_3; "&amp;IFERROR(INDEX(Clay_Brands!$A$2:$FZ$601,67,Sync!$D$10)&amp;"","")&amp;"; "&amp;IFERROR(INDEX(Clay_Brands!$A$2:$FZ$601,67,Sync!$D$9)&amp;"",""))</f>
        <v/>
      </c>
      <c r="K4718" t="inlineStr">
        <is>
          <t>brand outreach touch 3</t>
        </is>
      </c>
    </row>
    <row r="4719">
      <c r="A4719" s="17">
        <f>IF(B4719="","",B4719+(17*1000+68)/10000000)</f>
        <v/>
      </c>
      <c r="B4719" s="23">
        <f>IF(AND(IFERROR(N(INDEX(Clay_Brands!$A$2:$FZ$601,68,Sync!$D$13)),0)&gt;0,IFERROR(INDEX(Clay_Brands!$A$2:$FZ$601,68,Sync!$D$5)&amp;"","")&lt;&gt;"",OR(LEFT(IFERROR(INDEX(Clay_Brands!$A$2:$FZ$601,68,Sync!$D$5)&amp;"",""),6)&lt;&gt;"SAMPLE",Config!$B$19="Y")),IFERROR(N(INDEX(Clay_Brands!$A$2:$FZ$601,68,Sync!$D$13)),0),"")</f>
        <v/>
      </c>
      <c r="C4719" s="17">
        <f>IF(B4719="","","brand")</f>
        <v/>
      </c>
      <c r="D4719" s="17">
        <f>IF(B4719="","",IFERROR(INDEX(Clay_Brands!$A$2:$FZ$601,68,Sync!$D$5)&amp;"",""))</f>
        <v/>
      </c>
      <c r="E4719" s="17">
        <f>IF(B4719="","",IFERROR(INDEX(Clay_Brands!$A$2:$FZ$601,68,Sync!$D$6)&amp;"",""))</f>
        <v/>
      </c>
      <c r="F4719" s="17">
        <f>IF(B4719="","","outreach_sent")</f>
        <v/>
      </c>
      <c r="G4719" s="17">
        <f>IF(B4719="","","")</f>
        <v/>
      </c>
      <c r="H4719" s="17">
        <f>IF(B4719="","","")</f>
        <v/>
      </c>
      <c r="I4719" s="17">
        <f>IF(B4719="","","")</f>
        <v/>
      </c>
      <c r="J4719" s="17">
        <f>IF(B4719="","","touch_3; "&amp;IFERROR(INDEX(Clay_Brands!$A$2:$FZ$601,68,Sync!$D$10)&amp;"","")&amp;"; "&amp;IFERROR(INDEX(Clay_Brands!$A$2:$FZ$601,68,Sync!$D$9)&amp;"",""))</f>
        <v/>
      </c>
      <c r="K4719" t="inlineStr">
        <is>
          <t>brand outreach touch 3</t>
        </is>
      </c>
    </row>
    <row r="4720">
      <c r="A4720" s="17">
        <f>IF(B4720="","",B4720+(17*1000+69)/10000000)</f>
        <v/>
      </c>
      <c r="B4720" s="23">
        <f>IF(AND(IFERROR(N(INDEX(Clay_Brands!$A$2:$FZ$601,69,Sync!$D$13)),0)&gt;0,IFERROR(INDEX(Clay_Brands!$A$2:$FZ$601,69,Sync!$D$5)&amp;"","")&lt;&gt;"",OR(LEFT(IFERROR(INDEX(Clay_Brands!$A$2:$FZ$601,69,Sync!$D$5)&amp;"",""),6)&lt;&gt;"SAMPLE",Config!$B$19="Y")),IFERROR(N(INDEX(Clay_Brands!$A$2:$FZ$601,69,Sync!$D$13)),0),"")</f>
        <v/>
      </c>
      <c r="C4720" s="17">
        <f>IF(B4720="","","brand")</f>
        <v/>
      </c>
      <c r="D4720" s="17">
        <f>IF(B4720="","",IFERROR(INDEX(Clay_Brands!$A$2:$FZ$601,69,Sync!$D$5)&amp;"",""))</f>
        <v/>
      </c>
      <c r="E4720" s="17">
        <f>IF(B4720="","",IFERROR(INDEX(Clay_Brands!$A$2:$FZ$601,69,Sync!$D$6)&amp;"",""))</f>
        <v/>
      </c>
      <c r="F4720" s="17">
        <f>IF(B4720="","","outreach_sent")</f>
        <v/>
      </c>
      <c r="G4720" s="17">
        <f>IF(B4720="","","")</f>
        <v/>
      </c>
      <c r="H4720" s="17">
        <f>IF(B4720="","","")</f>
        <v/>
      </c>
      <c r="I4720" s="17">
        <f>IF(B4720="","","")</f>
        <v/>
      </c>
      <c r="J4720" s="17">
        <f>IF(B4720="","","touch_3; "&amp;IFERROR(INDEX(Clay_Brands!$A$2:$FZ$601,69,Sync!$D$10)&amp;"","")&amp;"; "&amp;IFERROR(INDEX(Clay_Brands!$A$2:$FZ$601,69,Sync!$D$9)&amp;"",""))</f>
        <v/>
      </c>
      <c r="K4720" t="inlineStr">
        <is>
          <t>brand outreach touch 3</t>
        </is>
      </c>
    </row>
    <row r="4721">
      <c r="A4721" s="17">
        <f>IF(B4721="","",B4721+(17*1000+70)/10000000)</f>
        <v/>
      </c>
      <c r="B4721" s="23">
        <f>IF(AND(IFERROR(N(INDEX(Clay_Brands!$A$2:$FZ$601,70,Sync!$D$13)),0)&gt;0,IFERROR(INDEX(Clay_Brands!$A$2:$FZ$601,70,Sync!$D$5)&amp;"","")&lt;&gt;"",OR(LEFT(IFERROR(INDEX(Clay_Brands!$A$2:$FZ$601,70,Sync!$D$5)&amp;"",""),6)&lt;&gt;"SAMPLE",Config!$B$19="Y")),IFERROR(N(INDEX(Clay_Brands!$A$2:$FZ$601,70,Sync!$D$13)),0),"")</f>
        <v/>
      </c>
      <c r="C4721" s="17">
        <f>IF(B4721="","","brand")</f>
        <v/>
      </c>
      <c r="D4721" s="17">
        <f>IF(B4721="","",IFERROR(INDEX(Clay_Brands!$A$2:$FZ$601,70,Sync!$D$5)&amp;"",""))</f>
        <v/>
      </c>
      <c r="E4721" s="17">
        <f>IF(B4721="","",IFERROR(INDEX(Clay_Brands!$A$2:$FZ$601,70,Sync!$D$6)&amp;"",""))</f>
        <v/>
      </c>
      <c r="F4721" s="17">
        <f>IF(B4721="","","outreach_sent")</f>
        <v/>
      </c>
      <c r="G4721" s="17">
        <f>IF(B4721="","","")</f>
        <v/>
      </c>
      <c r="H4721" s="17">
        <f>IF(B4721="","","")</f>
        <v/>
      </c>
      <c r="I4721" s="17">
        <f>IF(B4721="","","")</f>
        <v/>
      </c>
      <c r="J4721" s="17">
        <f>IF(B4721="","","touch_3; "&amp;IFERROR(INDEX(Clay_Brands!$A$2:$FZ$601,70,Sync!$D$10)&amp;"","")&amp;"; "&amp;IFERROR(INDEX(Clay_Brands!$A$2:$FZ$601,70,Sync!$D$9)&amp;"",""))</f>
        <v/>
      </c>
      <c r="K4721" t="inlineStr">
        <is>
          <t>brand outreach touch 3</t>
        </is>
      </c>
    </row>
    <row r="4722">
      <c r="A4722" s="17">
        <f>IF(B4722="","",B4722+(17*1000+71)/10000000)</f>
        <v/>
      </c>
      <c r="B4722" s="23">
        <f>IF(AND(IFERROR(N(INDEX(Clay_Brands!$A$2:$FZ$601,71,Sync!$D$13)),0)&gt;0,IFERROR(INDEX(Clay_Brands!$A$2:$FZ$601,71,Sync!$D$5)&amp;"","")&lt;&gt;"",OR(LEFT(IFERROR(INDEX(Clay_Brands!$A$2:$FZ$601,71,Sync!$D$5)&amp;"",""),6)&lt;&gt;"SAMPLE",Config!$B$19="Y")),IFERROR(N(INDEX(Clay_Brands!$A$2:$FZ$601,71,Sync!$D$13)),0),"")</f>
        <v/>
      </c>
      <c r="C4722" s="17">
        <f>IF(B4722="","","brand")</f>
        <v/>
      </c>
      <c r="D4722" s="17">
        <f>IF(B4722="","",IFERROR(INDEX(Clay_Brands!$A$2:$FZ$601,71,Sync!$D$5)&amp;"",""))</f>
        <v/>
      </c>
      <c r="E4722" s="17">
        <f>IF(B4722="","",IFERROR(INDEX(Clay_Brands!$A$2:$FZ$601,71,Sync!$D$6)&amp;"",""))</f>
        <v/>
      </c>
      <c r="F4722" s="17">
        <f>IF(B4722="","","outreach_sent")</f>
        <v/>
      </c>
      <c r="G4722" s="17">
        <f>IF(B4722="","","")</f>
        <v/>
      </c>
      <c r="H4722" s="17">
        <f>IF(B4722="","","")</f>
        <v/>
      </c>
      <c r="I4722" s="17">
        <f>IF(B4722="","","")</f>
        <v/>
      </c>
      <c r="J4722" s="17">
        <f>IF(B4722="","","touch_3; "&amp;IFERROR(INDEX(Clay_Brands!$A$2:$FZ$601,71,Sync!$D$10)&amp;"","")&amp;"; "&amp;IFERROR(INDEX(Clay_Brands!$A$2:$FZ$601,71,Sync!$D$9)&amp;"",""))</f>
        <v/>
      </c>
      <c r="K4722" t="inlineStr">
        <is>
          <t>brand outreach touch 3</t>
        </is>
      </c>
    </row>
    <row r="4723">
      <c r="A4723" s="17">
        <f>IF(B4723="","",B4723+(17*1000+72)/10000000)</f>
        <v/>
      </c>
      <c r="B4723" s="23">
        <f>IF(AND(IFERROR(N(INDEX(Clay_Brands!$A$2:$FZ$601,72,Sync!$D$13)),0)&gt;0,IFERROR(INDEX(Clay_Brands!$A$2:$FZ$601,72,Sync!$D$5)&amp;"","")&lt;&gt;"",OR(LEFT(IFERROR(INDEX(Clay_Brands!$A$2:$FZ$601,72,Sync!$D$5)&amp;"",""),6)&lt;&gt;"SAMPLE",Config!$B$19="Y")),IFERROR(N(INDEX(Clay_Brands!$A$2:$FZ$601,72,Sync!$D$13)),0),"")</f>
        <v/>
      </c>
      <c r="C4723" s="17">
        <f>IF(B4723="","","brand")</f>
        <v/>
      </c>
      <c r="D4723" s="17">
        <f>IF(B4723="","",IFERROR(INDEX(Clay_Brands!$A$2:$FZ$601,72,Sync!$D$5)&amp;"",""))</f>
        <v/>
      </c>
      <c r="E4723" s="17">
        <f>IF(B4723="","",IFERROR(INDEX(Clay_Brands!$A$2:$FZ$601,72,Sync!$D$6)&amp;"",""))</f>
        <v/>
      </c>
      <c r="F4723" s="17">
        <f>IF(B4723="","","outreach_sent")</f>
        <v/>
      </c>
      <c r="G4723" s="17">
        <f>IF(B4723="","","")</f>
        <v/>
      </c>
      <c r="H4723" s="17">
        <f>IF(B4723="","","")</f>
        <v/>
      </c>
      <c r="I4723" s="17">
        <f>IF(B4723="","","")</f>
        <v/>
      </c>
      <c r="J4723" s="17">
        <f>IF(B4723="","","touch_3; "&amp;IFERROR(INDEX(Clay_Brands!$A$2:$FZ$601,72,Sync!$D$10)&amp;"","")&amp;"; "&amp;IFERROR(INDEX(Clay_Brands!$A$2:$FZ$601,72,Sync!$D$9)&amp;"",""))</f>
        <v/>
      </c>
      <c r="K4723" t="inlineStr">
        <is>
          <t>brand outreach touch 3</t>
        </is>
      </c>
    </row>
    <row r="4724">
      <c r="A4724" s="17">
        <f>IF(B4724="","",B4724+(17*1000+73)/10000000)</f>
        <v/>
      </c>
      <c r="B4724" s="23">
        <f>IF(AND(IFERROR(N(INDEX(Clay_Brands!$A$2:$FZ$601,73,Sync!$D$13)),0)&gt;0,IFERROR(INDEX(Clay_Brands!$A$2:$FZ$601,73,Sync!$D$5)&amp;"","")&lt;&gt;"",OR(LEFT(IFERROR(INDEX(Clay_Brands!$A$2:$FZ$601,73,Sync!$D$5)&amp;"",""),6)&lt;&gt;"SAMPLE",Config!$B$19="Y")),IFERROR(N(INDEX(Clay_Brands!$A$2:$FZ$601,73,Sync!$D$13)),0),"")</f>
        <v/>
      </c>
      <c r="C4724" s="17">
        <f>IF(B4724="","","brand")</f>
        <v/>
      </c>
      <c r="D4724" s="17">
        <f>IF(B4724="","",IFERROR(INDEX(Clay_Brands!$A$2:$FZ$601,73,Sync!$D$5)&amp;"",""))</f>
        <v/>
      </c>
      <c r="E4724" s="17">
        <f>IF(B4724="","",IFERROR(INDEX(Clay_Brands!$A$2:$FZ$601,73,Sync!$D$6)&amp;"",""))</f>
        <v/>
      </c>
      <c r="F4724" s="17">
        <f>IF(B4724="","","outreach_sent")</f>
        <v/>
      </c>
      <c r="G4724" s="17">
        <f>IF(B4724="","","")</f>
        <v/>
      </c>
      <c r="H4724" s="17">
        <f>IF(B4724="","","")</f>
        <v/>
      </c>
      <c r="I4724" s="17">
        <f>IF(B4724="","","")</f>
        <v/>
      </c>
      <c r="J4724" s="17">
        <f>IF(B4724="","","touch_3; "&amp;IFERROR(INDEX(Clay_Brands!$A$2:$FZ$601,73,Sync!$D$10)&amp;"","")&amp;"; "&amp;IFERROR(INDEX(Clay_Brands!$A$2:$FZ$601,73,Sync!$D$9)&amp;"",""))</f>
        <v/>
      </c>
      <c r="K4724" t="inlineStr">
        <is>
          <t>brand outreach touch 3</t>
        </is>
      </c>
    </row>
    <row r="4725">
      <c r="A4725" s="17">
        <f>IF(B4725="","",B4725+(17*1000+74)/10000000)</f>
        <v/>
      </c>
      <c r="B4725" s="23">
        <f>IF(AND(IFERROR(N(INDEX(Clay_Brands!$A$2:$FZ$601,74,Sync!$D$13)),0)&gt;0,IFERROR(INDEX(Clay_Brands!$A$2:$FZ$601,74,Sync!$D$5)&amp;"","")&lt;&gt;"",OR(LEFT(IFERROR(INDEX(Clay_Brands!$A$2:$FZ$601,74,Sync!$D$5)&amp;"",""),6)&lt;&gt;"SAMPLE",Config!$B$19="Y")),IFERROR(N(INDEX(Clay_Brands!$A$2:$FZ$601,74,Sync!$D$13)),0),"")</f>
        <v/>
      </c>
      <c r="C4725" s="17">
        <f>IF(B4725="","","brand")</f>
        <v/>
      </c>
      <c r="D4725" s="17">
        <f>IF(B4725="","",IFERROR(INDEX(Clay_Brands!$A$2:$FZ$601,74,Sync!$D$5)&amp;"",""))</f>
        <v/>
      </c>
      <c r="E4725" s="17">
        <f>IF(B4725="","",IFERROR(INDEX(Clay_Brands!$A$2:$FZ$601,74,Sync!$D$6)&amp;"",""))</f>
        <v/>
      </c>
      <c r="F4725" s="17">
        <f>IF(B4725="","","outreach_sent")</f>
        <v/>
      </c>
      <c r="G4725" s="17">
        <f>IF(B4725="","","")</f>
        <v/>
      </c>
      <c r="H4725" s="17">
        <f>IF(B4725="","","")</f>
        <v/>
      </c>
      <c r="I4725" s="17">
        <f>IF(B4725="","","")</f>
        <v/>
      </c>
      <c r="J4725" s="17">
        <f>IF(B4725="","","touch_3; "&amp;IFERROR(INDEX(Clay_Brands!$A$2:$FZ$601,74,Sync!$D$10)&amp;"","")&amp;"; "&amp;IFERROR(INDEX(Clay_Brands!$A$2:$FZ$601,74,Sync!$D$9)&amp;"",""))</f>
        <v/>
      </c>
      <c r="K4725" t="inlineStr">
        <is>
          <t>brand outreach touch 3</t>
        </is>
      </c>
    </row>
    <row r="4726">
      <c r="A4726" s="17">
        <f>IF(B4726="","",B4726+(17*1000+75)/10000000)</f>
        <v/>
      </c>
      <c r="B4726" s="23">
        <f>IF(AND(IFERROR(N(INDEX(Clay_Brands!$A$2:$FZ$601,75,Sync!$D$13)),0)&gt;0,IFERROR(INDEX(Clay_Brands!$A$2:$FZ$601,75,Sync!$D$5)&amp;"","")&lt;&gt;"",OR(LEFT(IFERROR(INDEX(Clay_Brands!$A$2:$FZ$601,75,Sync!$D$5)&amp;"",""),6)&lt;&gt;"SAMPLE",Config!$B$19="Y")),IFERROR(N(INDEX(Clay_Brands!$A$2:$FZ$601,75,Sync!$D$13)),0),"")</f>
        <v/>
      </c>
      <c r="C4726" s="17">
        <f>IF(B4726="","","brand")</f>
        <v/>
      </c>
      <c r="D4726" s="17">
        <f>IF(B4726="","",IFERROR(INDEX(Clay_Brands!$A$2:$FZ$601,75,Sync!$D$5)&amp;"",""))</f>
        <v/>
      </c>
      <c r="E4726" s="17">
        <f>IF(B4726="","",IFERROR(INDEX(Clay_Brands!$A$2:$FZ$601,75,Sync!$D$6)&amp;"",""))</f>
        <v/>
      </c>
      <c r="F4726" s="17">
        <f>IF(B4726="","","outreach_sent")</f>
        <v/>
      </c>
      <c r="G4726" s="17">
        <f>IF(B4726="","","")</f>
        <v/>
      </c>
      <c r="H4726" s="17">
        <f>IF(B4726="","","")</f>
        <v/>
      </c>
      <c r="I4726" s="17">
        <f>IF(B4726="","","")</f>
        <v/>
      </c>
      <c r="J4726" s="17">
        <f>IF(B4726="","","touch_3; "&amp;IFERROR(INDEX(Clay_Brands!$A$2:$FZ$601,75,Sync!$D$10)&amp;"","")&amp;"; "&amp;IFERROR(INDEX(Clay_Brands!$A$2:$FZ$601,75,Sync!$D$9)&amp;"",""))</f>
        <v/>
      </c>
      <c r="K4726" t="inlineStr">
        <is>
          <t>brand outreach touch 3</t>
        </is>
      </c>
    </row>
    <row r="4727">
      <c r="A4727" s="17">
        <f>IF(B4727="","",B4727+(17*1000+76)/10000000)</f>
        <v/>
      </c>
      <c r="B4727" s="23">
        <f>IF(AND(IFERROR(N(INDEX(Clay_Brands!$A$2:$FZ$601,76,Sync!$D$13)),0)&gt;0,IFERROR(INDEX(Clay_Brands!$A$2:$FZ$601,76,Sync!$D$5)&amp;"","")&lt;&gt;"",OR(LEFT(IFERROR(INDEX(Clay_Brands!$A$2:$FZ$601,76,Sync!$D$5)&amp;"",""),6)&lt;&gt;"SAMPLE",Config!$B$19="Y")),IFERROR(N(INDEX(Clay_Brands!$A$2:$FZ$601,76,Sync!$D$13)),0),"")</f>
        <v/>
      </c>
      <c r="C4727" s="17">
        <f>IF(B4727="","","brand")</f>
        <v/>
      </c>
      <c r="D4727" s="17">
        <f>IF(B4727="","",IFERROR(INDEX(Clay_Brands!$A$2:$FZ$601,76,Sync!$D$5)&amp;"",""))</f>
        <v/>
      </c>
      <c r="E4727" s="17">
        <f>IF(B4727="","",IFERROR(INDEX(Clay_Brands!$A$2:$FZ$601,76,Sync!$D$6)&amp;"",""))</f>
        <v/>
      </c>
      <c r="F4727" s="17">
        <f>IF(B4727="","","outreach_sent")</f>
        <v/>
      </c>
      <c r="G4727" s="17">
        <f>IF(B4727="","","")</f>
        <v/>
      </c>
      <c r="H4727" s="17">
        <f>IF(B4727="","","")</f>
        <v/>
      </c>
      <c r="I4727" s="17">
        <f>IF(B4727="","","")</f>
        <v/>
      </c>
      <c r="J4727" s="17">
        <f>IF(B4727="","","touch_3; "&amp;IFERROR(INDEX(Clay_Brands!$A$2:$FZ$601,76,Sync!$D$10)&amp;"","")&amp;"; "&amp;IFERROR(INDEX(Clay_Brands!$A$2:$FZ$601,76,Sync!$D$9)&amp;"",""))</f>
        <v/>
      </c>
      <c r="K4727" t="inlineStr">
        <is>
          <t>brand outreach touch 3</t>
        </is>
      </c>
    </row>
    <row r="4728">
      <c r="A4728" s="17">
        <f>IF(B4728="","",B4728+(17*1000+77)/10000000)</f>
        <v/>
      </c>
      <c r="B4728" s="23">
        <f>IF(AND(IFERROR(N(INDEX(Clay_Brands!$A$2:$FZ$601,77,Sync!$D$13)),0)&gt;0,IFERROR(INDEX(Clay_Brands!$A$2:$FZ$601,77,Sync!$D$5)&amp;"","")&lt;&gt;"",OR(LEFT(IFERROR(INDEX(Clay_Brands!$A$2:$FZ$601,77,Sync!$D$5)&amp;"",""),6)&lt;&gt;"SAMPLE",Config!$B$19="Y")),IFERROR(N(INDEX(Clay_Brands!$A$2:$FZ$601,77,Sync!$D$13)),0),"")</f>
        <v/>
      </c>
      <c r="C4728" s="17">
        <f>IF(B4728="","","brand")</f>
        <v/>
      </c>
      <c r="D4728" s="17">
        <f>IF(B4728="","",IFERROR(INDEX(Clay_Brands!$A$2:$FZ$601,77,Sync!$D$5)&amp;"",""))</f>
        <v/>
      </c>
      <c r="E4728" s="17">
        <f>IF(B4728="","",IFERROR(INDEX(Clay_Brands!$A$2:$FZ$601,77,Sync!$D$6)&amp;"",""))</f>
        <v/>
      </c>
      <c r="F4728" s="17">
        <f>IF(B4728="","","outreach_sent")</f>
        <v/>
      </c>
      <c r="G4728" s="17">
        <f>IF(B4728="","","")</f>
        <v/>
      </c>
      <c r="H4728" s="17">
        <f>IF(B4728="","","")</f>
        <v/>
      </c>
      <c r="I4728" s="17">
        <f>IF(B4728="","","")</f>
        <v/>
      </c>
      <c r="J4728" s="17">
        <f>IF(B4728="","","touch_3; "&amp;IFERROR(INDEX(Clay_Brands!$A$2:$FZ$601,77,Sync!$D$10)&amp;"","")&amp;"; "&amp;IFERROR(INDEX(Clay_Brands!$A$2:$FZ$601,77,Sync!$D$9)&amp;"",""))</f>
        <v/>
      </c>
      <c r="K4728" t="inlineStr">
        <is>
          <t>brand outreach touch 3</t>
        </is>
      </c>
    </row>
    <row r="4729">
      <c r="A4729" s="17">
        <f>IF(B4729="","",B4729+(17*1000+78)/10000000)</f>
        <v/>
      </c>
      <c r="B4729" s="23">
        <f>IF(AND(IFERROR(N(INDEX(Clay_Brands!$A$2:$FZ$601,78,Sync!$D$13)),0)&gt;0,IFERROR(INDEX(Clay_Brands!$A$2:$FZ$601,78,Sync!$D$5)&amp;"","")&lt;&gt;"",OR(LEFT(IFERROR(INDEX(Clay_Brands!$A$2:$FZ$601,78,Sync!$D$5)&amp;"",""),6)&lt;&gt;"SAMPLE",Config!$B$19="Y")),IFERROR(N(INDEX(Clay_Brands!$A$2:$FZ$601,78,Sync!$D$13)),0),"")</f>
        <v/>
      </c>
      <c r="C4729" s="17">
        <f>IF(B4729="","","brand")</f>
        <v/>
      </c>
      <c r="D4729" s="17">
        <f>IF(B4729="","",IFERROR(INDEX(Clay_Brands!$A$2:$FZ$601,78,Sync!$D$5)&amp;"",""))</f>
        <v/>
      </c>
      <c r="E4729" s="17">
        <f>IF(B4729="","",IFERROR(INDEX(Clay_Brands!$A$2:$FZ$601,78,Sync!$D$6)&amp;"",""))</f>
        <v/>
      </c>
      <c r="F4729" s="17">
        <f>IF(B4729="","","outreach_sent")</f>
        <v/>
      </c>
      <c r="G4729" s="17">
        <f>IF(B4729="","","")</f>
        <v/>
      </c>
      <c r="H4729" s="17">
        <f>IF(B4729="","","")</f>
        <v/>
      </c>
      <c r="I4729" s="17">
        <f>IF(B4729="","","")</f>
        <v/>
      </c>
      <c r="J4729" s="17">
        <f>IF(B4729="","","touch_3; "&amp;IFERROR(INDEX(Clay_Brands!$A$2:$FZ$601,78,Sync!$D$10)&amp;"","")&amp;"; "&amp;IFERROR(INDEX(Clay_Brands!$A$2:$FZ$601,78,Sync!$D$9)&amp;"",""))</f>
        <v/>
      </c>
      <c r="K4729" t="inlineStr">
        <is>
          <t>brand outreach touch 3</t>
        </is>
      </c>
    </row>
    <row r="4730">
      <c r="A4730" s="17">
        <f>IF(B4730="","",B4730+(17*1000+79)/10000000)</f>
        <v/>
      </c>
      <c r="B4730" s="23">
        <f>IF(AND(IFERROR(N(INDEX(Clay_Brands!$A$2:$FZ$601,79,Sync!$D$13)),0)&gt;0,IFERROR(INDEX(Clay_Brands!$A$2:$FZ$601,79,Sync!$D$5)&amp;"","")&lt;&gt;"",OR(LEFT(IFERROR(INDEX(Clay_Brands!$A$2:$FZ$601,79,Sync!$D$5)&amp;"",""),6)&lt;&gt;"SAMPLE",Config!$B$19="Y")),IFERROR(N(INDEX(Clay_Brands!$A$2:$FZ$601,79,Sync!$D$13)),0),"")</f>
        <v/>
      </c>
      <c r="C4730" s="17">
        <f>IF(B4730="","","brand")</f>
        <v/>
      </c>
      <c r="D4730" s="17">
        <f>IF(B4730="","",IFERROR(INDEX(Clay_Brands!$A$2:$FZ$601,79,Sync!$D$5)&amp;"",""))</f>
        <v/>
      </c>
      <c r="E4730" s="17">
        <f>IF(B4730="","",IFERROR(INDEX(Clay_Brands!$A$2:$FZ$601,79,Sync!$D$6)&amp;"",""))</f>
        <v/>
      </c>
      <c r="F4730" s="17">
        <f>IF(B4730="","","outreach_sent")</f>
        <v/>
      </c>
      <c r="G4730" s="17">
        <f>IF(B4730="","","")</f>
        <v/>
      </c>
      <c r="H4730" s="17">
        <f>IF(B4730="","","")</f>
        <v/>
      </c>
      <c r="I4730" s="17">
        <f>IF(B4730="","","")</f>
        <v/>
      </c>
      <c r="J4730" s="17">
        <f>IF(B4730="","","touch_3; "&amp;IFERROR(INDEX(Clay_Brands!$A$2:$FZ$601,79,Sync!$D$10)&amp;"","")&amp;"; "&amp;IFERROR(INDEX(Clay_Brands!$A$2:$FZ$601,79,Sync!$D$9)&amp;"",""))</f>
        <v/>
      </c>
      <c r="K4730" t="inlineStr">
        <is>
          <t>brand outreach touch 3</t>
        </is>
      </c>
    </row>
    <row r="4731">
      <c r="A4731" s="17">
        <f>IF(B4731="","",B4731+(17*1000+80)/10000000)</f>
        <v/>
      </c>
      <c r="B4731" s="23">
        <f>IF(AND(IFERROR(N(INDEX(Clay_Brands!$A$2:$FZ$601,80,Sync!$D$13)),0)&gt;0,IFERROR(INDEX(Clay_Brands!$A$2:$FZ$601,80,Sync!$D$5)&amp;"","")&lt;&gt;"",OR(LEFT(IFERROR(INDEX(Clay_Brands!$A$2:$FZ$601,80,Sync!$D$5)&amp;"",""),6)&lt;&gt;"SAMPLE",Config!$B$19="Y")),IFERROR(N(INDEX(Clay_Brands!$A$2:$FZ$601,80,Sync!$D$13)),0),"")</f>
        <v/>
      </c>
      <c r="C4731" s="17">
        <f>IF(B4731="","","brand")</f>
        <v/>
      </c>
      <c r="D4731" s="17">
        <f>IF(B4731="","",IFERROR(INDEX(Clay_Brands!$A$2:$FZ$601,80,Sync!$D$5)&amp;"",""))</f>
        <v/>
      </c>
      <c r="E4731" s="17">
        <f>IF(B4731="","",IFERROR(INDEX(Clay_Brands!$A$2:$FZ$601,80,Sync!$D$6)&amp;"",""))</f>
        <v/>
      </c>
      <c r="F4731" s="17">
        <f>IF(B4731="","","outreach_sent")</f>
        <v/>
      </c>
      <c r="G4731" s="17">
        <f>IF(B4731="","","")</f>
        <v/>
      </c>
      <c r="H4731" s="17">
        <f>IF(B4731="","","")</f>
        <v/>
      </c>
      <c r="I4731" s="17">
        <f>IF(B4731="","","")</f>
        <v/>
      </c>
      <c r="J4731" s="17">
        <f>IF(B4731="","","touch_3; "&amp;IFERROR(INDEX(Clay_Brands!$A$2:$FZ$601,80,Sync!$D$10)&amp;"","")&amp;"; "&amp;IFERROR(INDEX(Clay_Brands!$A$2:$FZ$601,80,Sync!$D$9)&amp;"",""))</f>
        <v/>
      </c>
      <c r="K4731" t="inlineStr">
        <is>
          <t>brand outreach touch 3</t>
        </is>
      </c>
    </row>
    <row r="4732">
      <c r="A4732" s="17">
        <f>IF(B4732="","",B4732+(17*1000+81)/10000000)</f>
        <v/>
      </c>
      <c r="B4732" s="23">
        <f>IF(AND(IFERROR(N(INDEX(Clay_Brands!$A$2:$FZ$601,81,Sync!$D$13)),0)&gt;0,IFERROR(INDEX(Clay_Brands!$A$2:$FZ$601,81,Sync!$D$5)&amp;"","")&lt;&gt;"",OR(LEFT(IFERROR(INDEX(Clay_Brands!$A$2:$FZ$601,81,Sync!$D$5)&amp;"",""),6)&lt;&gt;"SAMPLE",Config!$B$19="Y")),IFERROR(N(INDEX(Clay_Brands!$A$2:$FZ$601,81,Sync!$D$13)),0),"")</f>
        <v/>
      </c>
      <c r="C4732" s="17">
        <f>IF(B4732="","","brand")</f>
        <v/>
      </c>
      <c r="D4732" s="17">
        <f>IF(B4732="","",IFERROR(INDEX(Clay_Brands!$A$2:$FZ$601,81,Sync!$D$5)&amp;"",""))</f>
        <v/>
      </c>
      <c r="E4732" s="17">
        <f>IF(B4732="","",IFERROR(INDEX(Clay_Brands!$A$2:$FZ$601,81,Sync!$D$6)&amp;"",""))</f>
        <v/>
      </c>
      <c r="F4732" s="17">
        <f>IF(B4732="","","outreach_sent")</f>
        <v/>
      </c>
      <c r="G4732" s="17">
        <f>IF(B4732="","","")</f>
        <v/>
      </c>
      <c r="H4732" s="17">
        <f>IF(B4732="","","")</f>
        <v/>
      </c>
      <c r="I4732" s="17">
        <f>IF(B4732="","","")</f>
        <v/>
      </c>
      <c r="J4732" s="17">
        <f>IF(B4732="","","touch_3; "&amp;IFERROR(INDEX(Clay_Brands!$A$2:$FZ$601,81,Sync!$D$10)&amp;"","")&amp;"; "&amp;IFERROR(INDEX(Clay_Brands!$A$2:$FZ$601,81,Sync!$D$9)&amp;"",""))</f>
        <v/>
      </c>
      <c r="K4732" t="inlineStr">
        <is>
          <t>brand outreach touch 3</t>
        </is>
      </c>
    </row>
    <row r="4733">
      <c r="A4733" s="17">
        <f>IF(B4733="","",B4733+(17*1000+82)/10000000)</f>
        <v/>
      </c>
      <c r="B4733" s="23">
        <f>IF(AND(IFERROR(N(INDEX(Clay_Brands!$A$2:$FZ$601,82,Sync!$D$13)),0)&gt;0,IFERROR(INDEX(Clay_Brands!$A$2:$FZ$601,82,Sync!$D$5)&amp;"","")&lt;&gt;"",OR(LEFT(IFERROR(INDEX(Clay_Brands!$A$2:$FZ$601,82,Sync!$D$5)&amp;"",""),6)&lt;&gt;"SAMPLE",Config!$B$19="Y")),IFERROR(N(INDEX(Clay_Brands!$A$2:$FZ$601,82,Sync!$D$13)),0),"")</f>
        <v/>
      </c>
      <c r="C4733" s="17">
        <f>IF(B4733="","","brand")</f>
        <v/>
      </c>
      <c r="D4733" s="17">
        <f>IF(B4733="","",IFERROR(INDEX(Clay_Brands!$A$2:$FZ$601,82,Sync!$D$5)&amp;"",""))</f>
        <v/>
      </c>
      <c r="E4733" s="17">
        <f>IF(B4733="","",IFERROR(INDEX(Clay_Brands!$A$2:$FZ$601,82,Sync!$D$6)&amp;"",""))</f>
        <v/>
      </c>
      <c r="F4733" s="17">
        <f>IF(B4733="","","outreach_sent")</f>
        <v/>
      </c>
      <c r="G4733" s="17">
        <f>IF(B4733="","","")</f>
        <v/>
      </c>
      <c r="H4733" s="17">
        <f>IF(B4733="","","")</f>
        <v/>
      </c>
      <c r="I4733" s="17">
        <f>IF(B4733="","","")</f>
        <v/>
      </c>
      <c r="J4733" s="17">
        <f>IF(B4733="","","touch_3; "&amp;IFERROR(INDEX(Clay_Brands!$A$2:$FZ$601,82,Sync!$D$10)&amp;"","")&amp;"; "&amp;IFERROR(INDEX(Clay_Brands!$A$2:$FZ$601,82,Sync!$D$9)&amp;"",""))</f>
        <v/>
      </c>
      <c r="K4733" t="inlineStr">
        <is>
          <t>brand outreach touch 3</t>
        </is>
      </c>
    </row>
    <row r="4734">
      <c r="A4734" s="17">
        <f>IF(B4734="","",B4734+(17*1000+83)/10000000)</f>
        <v/>
      </c>
      <c r="B4734" s="23">
        <f>IF(AND(IFERROR(N(INDEX(Clay_Brands!$A$2:$FZ$601,83,Sync!$D$13)),0)&gt;0,IFERROR(INDEX(Clay_Brands!$A$2:$FZ$601,83,Sync!$D$5)&amp;"","")&lt;&gt;"",OR(LEFT(IFERROR(INDEX(Clay_Brands!$A$2:$FZ$601,83,Sync!$D$5)&amp;"",""),6)&lt;&gt;"SAMPLE",Config!$B$19="Y")),IFERROR(N(INDEX(Clay_Brands!$A$2:$FZ$601,83,Sync!$D$13)),0),"")</f>
        <v/>
      </c>
      <c r="C4734" s="17">
        <f>IF(B4734="","","brand")</f>
        <v/>
      </c>
      <c r="D4734" s="17">
        <f>IF(B4734="","",IFERROR(INDEX(Clay_Brands!$A$2:$FZ$601,83,Sync!$D$5)&amp;"",""))</f>
        <v/>
      </c>
      <c r="E4734" s="17">
        <f>IF(B4734="","",IFERROR(INDEX(Clay_Brands!$A$2:$FZ$601,83,Sync!$D$6)&amp;"",""))</f>
        <v/>
      </c>
      <c r="F4734" s="17">
        <f>IF(B4734="","","outreach_sent")</f>
        <v/>
      </c>
      <c r="G4734" s="17">
        <f>IF(B4734="","","")</f>
        <v/>
      </c>
      <c r="H4734" s="17">
        <f>IF(B4734="","","")</f>
        <v/>
      </c>
      <c r="I4734" s="17">
        <f>IF(B4734="","","")</f>
        <v/>
      </c>
      <c r="J4734" s="17">
        <f>IF(B4734="","","touch_3; "&amp;IFERROR(INDEX(Clay_Brands!$A$2:$FZ$601,83,Sync!$D$10)&amp;"","")&amp;"; "&amp;IFERROR(INDEX(Clay_Brands!$A$2:$FZ$601,83,Sync!$D$9)&amp;"",""))</f>
        <v/>
      </c>
      <c r="K4734" t="inlineStr">
        <is>
          <t>brand outreach touch 3</t>
        </is>
      </c>
    </row>
    <row r="4735">
      <c r="A4735" s="17">
        <f>IF(B4735="","",B4735+(17*1000+84)/10000000)</f>
        <v/>
      </c>
      <c r="B4735" s="23">
        <f>IF(AND(IFERROR(N(INDEX(Clay_Brands!$A$2:$FZ$601,84,Sync!$D$13)),0)&gt;0,IFERROR(INDEX(Clay_Brands!$A$2:$FZ$601,84,Sync!$D$5)&amp;"","")&lt;&gt;"",OR(LEFT(IFERROR(INDEX(Clay_Brands!$A$2:$FZ$601,84,Sync!$D$5)&amp;"",""),6)&lt;&gt;"SAMPLE",Config!$B$19="Y")),IFERROR(N(INDEX(Clay_Brands!$A$2:$FZ$601,84,Sync!$D$13)),0),"")</f>
        <v/>
      </c>
      <c r="C4735" s="17">
        <f>IF(B4735="","","brand")</f>
        <v/>
      </c>
      <c r="D4735" s="17">
        <f>IF(B4735="","",IFERROR(INDEX(Clay_Brands!$A$2:$FZ$601,84,Sync!$D$5)&amp;"",""))</f>
        <v/>
      </c>
      <c r="E4735" s="17">
        <f>IF(B4735="","",IFERROR(INDEX(Clay_Brands!$A$2:$FZ$601,84,Sync!$D$6)&amp;"",""))</f>
        <v/>
      </c>
      <c r="F4735" s="17">
        <f>IF(B4735="","","outreach_sent")</f>
        <v/>
      </c>
      <c r="G4735" s="17">
        <f>IF(B4735="","","")</f>
        <v/>
      </c>
      <c r="H4735" s="17">
        <f>IF(B4735="","","")</f>
        <v/>
      </c>
      <c r="I4735" s="17">
        <f>IF(B4735="","","")</f>
        <v/>
      </c>
      <c r="J4735" s="17">
        <f>IF(B4735="","","touch_3; "&amp;IFERROR(INDEX(Clay_Brands!$A$2:$FZ$601,84,Sync!$D$10)&amp;"","")&amp;"; "&amp;IFERROR(INDEX(Clay_Brands!$A$2:$FZ$601,84,Sync!$D$9)&amp;"",""))</f>
        <v/>
      </c>
      <c r="K4735" t="inlineStr">
        <is>
          <t>brand outreach touch 3</t>
        </is>
      </c>
    </row>
    <row r="4736">
      <c r="A4736" s="17">
        <f>IF(B4736="","",B4736+(17*1000+85)/10000000)</f>
        <v/>
      </c>
      <c r="B4736" s="23">
        <f>IF(AND(IFERROR(N(INDEX(Clay_Brands!$A$2:$FZ$601,85,Sync!$D$13)),0)&gt;0,IFERROR(INDEX(Clay_Brands!$A$2:$FZ$601,85,Sync!$D$5)&amp;"","")&lt;&gt;"",OR(LEFT(IFERROR(INDEX(Clay_Brands!$A$2:$FZ$601,85,Sync!$D$5)&amp;"",""),6)&lt;&gt;"SAMPLE",Config!$B$19="Y")),IFERROR(N(INDEX(Clay_Brands!$A$2:$FZ$601,85,Sync!$D$13)),0),"")</f>
        <v/>
      </c>
      <c r="C4736" s="17">
        <f>IF(B4736="","","brand")</f>
        <v/>
      </c>
      <c r="D4736" s="17">
        <f>IF(B4736="","",IFERROR(INDEX(Clay_Brands!$A$2:$FZ$601,85,Sync!$D$5)&amp;"",""))</f>
        <v/>
      </c>
      <c r="E4736" s="17">
        <f>IF(B4736="","",IFERROR(INDEX(Clay_Brands!$A$2:$FZ$601,85,Sync!$D$6)&amp;"",""))</f>
        <v/>
      </c>
      <c r="F4736" s="17">
        <f>IF(B4736="","","outreach_sent")</f>
        <v/>
      </c>
      <c r="G4736" s="17">
        <f>IF(B4736="","","")</f>
        <v/>
      </c>
      <c r="H4736" s="17">
        <f>IF(B4736="","","")</f>
        <v/>
      </c>
      <c r="I4736" s="17">
        <f>IF(B4736="","","")</f>
        <v/>
      </c>
      <c r="J4736" s="17">
        <f>IF(B4736="","","touch_3; "&amp;IFERROR(INDEX(Clay_Brands!$A$2:$FZ$601,85,Sync!$D$10)&amp;"","")&amp;"; "&amp;IFERROR(INDEX(Clay_Brands!$A$2:$FZ$601,85,Sync!$D$9)&amp;"",""))</f>
        <v/>
      </c>
      <c r="K4736" t="inlineStr">
        <is>
          <t>brand outreach touch 3</t>
        </is>
      </c>
    </row>
    <row r="4737">
      <c r="A4737" s="17">
        <f>IF(B4737="","",B4737+(17*1000+86)/10000000)</f>
        <v/>
      </c>
      <c r="B4737" s="23">
        <f>IF(AND(IFERROR(N(INDEX(Clay_Brands!$A$2:$FZ$601,86,Sync!$D$13)),0)&gt;0,IFERROR(INDEX(Clay_Brands!$A$2:$FZ$601,86,Sync!$D$5)&amp;"","")&lt;&gt;"",OR(LEFT(IFERROR(INDEX(Clay_Brands!$A$2:$FZ$601,86,Sync!$D$5)&amp;"",""),6)&lt;&gt;"SAMPLE",Config!$B$19="Y")),IFERROR(N(INDEX(Clay_Brands!$A$2:$FZ$601,86,Sync!$D$13)),0),"")</f>
        <v/>
      </c>
      <c r="C4737" s="17">
        <f>IF(B4737="","","brand")</f>
        <v/>
      </c>
      <c r="D4737" s="17">
        <f>IF(B4737="","",IFERROR(INDEX(Clay_Brands!$A$2:$FZ$601,86,Sync!$D$5)&amp;"",""))</f>
        <v/>
      </c>
      <c r="E4737" s="17">
        <f>IF(B4737="","",IFERROR(INDEX(Clay_Brands!$A$2:$FZ$601,86,Sync!$D$6)&amp;"",""))</f>
        <v/>
      </c>
      <c r="F4737" s="17">
        <f>IF(B4737="","","outreach_sent")</f>
        <v/>
      </c>
      <c r="G4737" s="17">
        <f>IF(B4737="","","")</f>
        <v/>
      </c>
      <c r="H4737" s="17">
        <f>IF(B4737="","","")</f>
        <v/>
      </c>
      <c r="I4737" s="17">
        <f>IF(B4737="","","")</f>
        <v/>
      </c>
      <c r="J4737" s="17">
        <f>IF(B4737="","","touch_3; "&amp;IFERROR(INDEX(Clay_Brands!$A$2:$FZ$601,86,Sync!$D$10)&amp;"","")&amp;"; "&amp;IFERROR(INDEX(Clay_Brands!$A$2:$FZ$601,86,Sync!$D$9)&amp;"",""))</f>
        <v/>
      </c>
      <c r="K4737" t="inlineStr">
        <is>
          <t>brand outreach touch 3</t>
        </is>
      </c>
    </row>
    <row r="4738">
      <c r="A4738" s="17">
        <f>IF(B4738="","",B4738+(17*1000+87)/10000000)</f>
        <v/>
      </c>
      <c r="B4738" s="23">
        <f>IF(AND(IFERROR(N(INDEX(Clay_Brands!$A$2:$FZ$601,87,Sync!$D$13)),0)&gt;0,IFERROR(INDEX(Clay_Brands!$A$2:$FZ$601,87,Sync!$D$5)&amp;"","")&lt;&gt;"",OR(LEFT(IFERROR(INDEX(Clay_Brands!$A$2:$FZ$601,87,Sync!$D$5)&amp;"",""),6)&lt;&gt;"SAMPLE",Config!$B$19="Y")),IFERROR(N(INDEX(Clay_Brands!$A$2:$FZ$601,87,Sync!$D$13)),0),"")</f>
        <v/>
      </c>
      <c r="C4738" s="17">
        <f>IF(B4738="","","brand")</f>
        <v/>
      </c>
      <c r="D4738" s="17">
        <f>IF(B4738="","",IFERROR(INDEX(Clay_Brands!$A$2:$FZ$601,87,Sync!$D$5)&amp;"",""))</f>
        <v/>
      </c>
      <c r="E4738" s="17">
        <f>IF(B4738="","",IFERROR(INDEX(Clay_Brands!$A$2:$FZ$601,87,Sync!$D$6)&amp;"",""))</f>
        <v/>
      </c>
      <c r="F4738" s="17">
        <f>IF(B4738="","","outreach_sent")</f>
        <v/>
      </c>
      <c r="G4738" s="17">
        <f>IF(B4738="","","")</f>
        <v/>
      </c>
      <c r="H4738" s="17">
        <f>IF(B4738="","","")</f>
        <v/>
      </c>
      <c r="I4738" s="17">
        <f>IF(B4738="","","")</f>
        <v/>
      </c>
      <c r="J4738" s="17">
        <f>IF(B4738="","","touch_3; "&amp;IFERROR(INDEX(Clay_Brands!$A$2:$FZ$601,87,Sync!$D$10)&amp;"","")&amp;"; "&amp;IFERROR(INDEX(Clay_Brands!$A$2:$FZ$601,87,Sync!$D$9)&amp;"",""))</f>
        <v/>
      </c>
      <c r="K4738" t="inlineStr">
        <is>
          <t>brand outreach touch 3</t>
        </is>
      </c>
    </row>
    <row r="4739">
      <c r="A4739" s="17">
        <f>IF(B4739="","",B4739+(17*1000+88)/10000000)</f>
        <v/>
      </c>
      <c r="B4739" s="23">
        <f>IF(AND(IFERROR(N(INDEX(Clay_Brands!$A$2:$FZ$601,88,Sync!$D$13)),0)&gt;0,IFERROR(INDEX(Clay_Brands!$A$2:$FZ$601,88,Sync!$D$5)&amp;"","")&lt;&gt;"",OR(LEFT(IFERROR(INDEX(Clay_Brands!$A$2:$FZ$601,88,Sync!$D$5)&amp;"",""),6)&lt;&gt;"SAMPLE",Config!$B$19="Y")),IFERROR(N(INDEX(Clay_Brands!$A$2:$FZ$601,88,Sync!$D$13)),0),"")</f>
        <v/>
      </c>
      <c r="C4739" s="17">
        <f>IF(B4739="","","brand")</f>
        <v/>
      </c>
      <c r="D4739" s="17">
        <f>IF(B4739="","",IFERROR(INDEX(Clay_Brands!$A$2:$FZ$601,88,Sync!$D$5)&amp;"",""))</f>
        <v/>
      </c>
      <c r="E4739" s="17">
        <f>IF(B4739="","",IFERROR(INDEX(Clay_Brands!$A$2:$FZ$601,88,Sync!$D$6)&amp;"",""))</f>
        <v/>
      </c>
      <c r="F4739" s="17">
        <f>IF(B4739="","","outreach_sent")</f>
        <v/>
      </c>
      <c r="G4739" s="17">
        <f>IF(B4739="","","")</f>
        <v/>
      </c>
      <c r="H4739" s="17">
        <f>IF(B4739="","","")</f>
        <v/>
      </c>
      <c r="I4739" s="17">
        <f>IF(B4739="","","")</f>
        <v/>
      </c>
      <c r="J4739" s="17">
        <f>IF(B4739="","","touch_3; "&amp;IFERROR(INDEX(Clay_Brands!$A$2:$FZ$601,88,Sync!$D$10)&amp;"","")&amp;"; "&amp;IFERROR(INDEX(Clay_Brands!$A$2:$FZ$601,88,Sync!$D$9)&amp;"",""))</f>
        <v/>
      </c>
      <c r="K4739" t="inlineStr">
        <is>
          <t>brand outreach touch 3</t>
        </is>
      </c>
    </row>
    <row r="4740">
      <c r="A4740" s="17">
        <f>IF(B4740="","",B4740+(17*1000+89)/10000000)</f>
        <v/>
      </c>
      <c r="B4740" s="23">
        <f>IF(AND(IFERROR(N(INDEX(Clay_Brands!$A$2:$FZ$601,89,Sync!$D$13)),0)&gt;0,IFERROR(INDEX(Clay_Brands!$A$2:$FZ$601,89,Sync!$D$5)&amp;"","")&lt;&gt;"",OR(LEFT(IFERROR(INDEX(Clay_Brands!$A$2:$FZ$601,89,Sync!$D$5)&amp;"",""),6)&lt;&gt;"SAMPLE",Config!$B$19="Y")),IFERROR(N(INDEX(Clay_Brands!$A$2:$FZ$601,89,Sync!$D$13)),0),"")</f>
        <v/>
      </c>
      <c r="C4740" s="17">
        <f>IF(B4740="","","brand")</f>
        <v/>
      </c>
      <c r="D4740" s="17">
        <f>IF(B4740="","",IFERROR(INDEX(Clay_Brands!$A$2:$FZ$601,89,Sync!$D$5)&amp;"",""))</f>
        <v/>
      </c>
      <c r="E4740" s="17">
        <f>IF(B4740="","",IFERROR(INDEX(Clay_Brands!$A$2:$FZ$601,89,Sync!$D$6)&amp;"",""))</f>
        <v/>
      </c>
      <c r="F4740" s="17">
        <f>IF(B4740="","","outreach_sent")</f>
        <v/>
      </c>
      <c r="G4740" s="17">
        <f>IF(B4740="","","")</f>
        <v/>
      </c>
      <c r="H4740" s="17">
        <f>IF(B4740="","","")</f>
        <v/>
      </c>
      <c r="I4740" s="17">
        <f>IF(B4740="","","")</f>
        <v/>
      </c>
      <c r="J4740" s="17">
        <f>IF(B4740="","","touch_3; "&amp;IFERROR(INDEX(Clay_Brands!$A$2:$FZ$601,89,Sync!$D$10)&amp;"","")&amp;"; "&amp;IFERROR(INDEX(Clay_Brands!$A$2:$FZ$601,89,Sync!$D$9)&amp;"",""))</f>
        <v/>
      </c>
      <c r="K4740" t="inlineStr">
        <is>
          <t>brand outreach touch 3</t>
        </is>
      </c>
    </row>
    <row r="4741">
      <c r="A4741" s="17">
        <f>IF(B4741="","",B4741+(17*1000+90)/10000000)</f>
        <v/>
      </c>
      <c r="B4741" s="23">
        <f>IF(AND(IFERROR(N(INDEX(Clay_Brands!$A$2:$FZ$601,90,Sync!$D$13)),0)&gt;0,IFERROR(INDEX(Clay_Brands!$A$2:$FZ$601,90,Sync!$D$5)&amp;"","")&lt;&gt;"",OR(LEFT(IFERROR(INDEX(Clay_Brands!$A$2:$FZ$601,90,Sync!$D$5)&amp;"",""),6)&lt;&gt;"SAMPLE",Config!$B$19="Y")),IFERROR(N(INDEX(Clay_Brands!$A$2:$FZ$601,90,Sync!$D$13)),0),"")</f>
        <v/>
      </c>
      <c r="C4741" s="17">
        <f>IF(B4741="","","brand")</f>
        <v/>
      </c>
      <c r="D4741" s="17">
        <f>IF(B4741="","",IFERROR(INDEX(Clay_Brands!$A$2:$FZ$601,90,Sync!$D$5)&amp;"",""))</f>
        <v/>
      </c>
      <c r="E4741" s="17">
        <f>IF(B4741="","",IFERROR(INDEX(Clay_Brands!$A$2:$FZ$601,90,Sync!$D$6)&amp;"",""))</f>
        <v/>
      </c>
      <c r="F4741" s="17">
        <f>IF(B4741="","","outreach_sent")</f>
        <v/>
      </c>
      <c r="G4741" s="17">
        <f>IF(B4741="","","")</f>
        <v/>
      </c>
      <c r="H4741" s="17">
        <f>IF(B4741="","","")</f>
        <v/>
      </c>
      <c r="I4741" s="17">
        <f>IF(B4741="","","")</f>
        <v/>
      </c>
      <c r="J4741" s="17">
        <f>IF(B4741="","","touch_3; "&amp;IFERROR(INDEX(Clay_Brands!$A$2:$FZ$601,90,Sync!$D$10)&amp;"","")&amp;"; "&amp;IFERROR(INDEX(Clay_Brands!$A$2:$FZ$601,90,Sync!$D$9)&amp;"",""))</f>
        <v/>
      </c>
      <c r="K4741" t="inlineStr">
        <is>
          <t>brand outreach touch 3</t>
        </is>
      </c>
    </row>
    <row r="4742">
      <c r="A4742" s="17">
        <f>IF(B4742="","",B4742+(17*1000+91)/10000000)</f>
        <v/>
      </c>
      <c r="B4742" s="23">
        <f>IF(AND(IFERROR(N(INDEX(Clay_Brands!$A$2:$FZ$601,91,Sync!$D$13)),0)&gt;0,IFERROR(INDEX(Clay_Brands!$A$2:$FZ$601,91,Sync!$D$5)&amp;"","")&lt;&gt;"",OR(LEFT(IFERROR(INDEX(Clay_Brands!$A$2:$FZ$601,91,Sync!$D$5)&amp;"",""),6)&lt;&gt;"SAMPLE",Config!$B$19="Y")),IFERROR(N(INDEX(Clay_Brands!$A$2:$FZ$601,91,Sync!$D$13)),0),"")</f>
        <v/>
      </c>
      <c r="C4742" s="17">
        <f>IF(B4742="","","brand")</f>
        <v/>
      </c>
      <c r="D4742" s="17">
        <f>IF(B4742="","",IFERROR(INDEX(Clay_Brands!$A$2:$FZ$601,91,Sync!$D$5)&amp;"",""))</f>
        <v/>
      </c>
      <c r="E4742" s="17">
        <f>IF(B4742="","",IFERROR(INDEX(Clay_Brands!$A$2:$FZ$601,91,Sync!$D$6)&amp;"",""))</f>
        <v/>
      </c>
      <c r="F4742" s="17">
        <f>IF(B4742="","","outreach_sent")</f>
        <v/>
      </c>
      <c r="G4742" s="17">
        <f>IF(B4742="","","")</f>
        <v/>
      </c>
      <c r="H4742" s="17">
        <f>IF(B4742="","","")</f>
        <v/>
      </c>
      <c r="I4742" s="17">
        <f>IF(B4742="","","")</f>
        <v/>
      </c>
      <c r="J4742" s="17">
        <f>IF(B4742="","","touch_3; "&amp;IFERROR(INDEX(Clay_Brands!$A$2:$FZ$601,91,Sync!$D$10)&amp;"","")&amp;"; "&amp;IFERROR(INDEX(Clay_Brands!$A$2:$FZ$601,91,Sync!$D$9)&amp;"",""))</f>
        <v/>
      </c>
      <c r="K4742" t="inlineStr">
        <is>
          <t>brand outreach touch 3</t>
        </is>
      </c>
    </row>
    <row r="4743">
      <c r="A4743" s="17">
        <f>IF(B4743="","",B4743+(17*1000+92)/10000000)</f>
        <v/>
      </c>
      <c r="B4743" s="23">
        <f>IF(AND(IFERROR(N(INDEX(Clay_Brands!$A$2:$FZ$601,92,Sync!$D$13)),0)&gt;0,IFERROR(INDEX(Clay_Brands!$A$2:$FZ$601,92,Sync!$D$5)&amp;"","")&lt;&gt;"",OR(LEFT(IFERROR(INDEX(Clay_Brands!$A$2:$FZ$601,92,Sync!$D$5)&amp;"",""),6)&lt;&gt;"SAMPLE",Config!$B$19="Y")),IFERROR(N(INDEX(Clay_Brands!$A$2:$FZ$601,92,Sync!$D$13)),0),"")</f>
        <v/>
      </c>
      <c r="C4743" s="17">
        <f>IF(B4743="","","brand")</f>
        <v/>
      </c>
      <c r="D4743" s="17">
        <f>IF(B4743="","",IFERROR(INDEX(Clay_Brands!$A$2:$FZ$601,92,Sync!$D$5)&amp;"",""))</f>
        <v/>
      </c>
      <c r="E4743" s="17">
        <f>IF(B4743="","",IFERROR(INDEX(Clay_Brands!$A$2:$FZ$601,92,Sync!$D$6)&amp;"",""))</f>
        <v/>
      </c>
      <c r="F4743" s="17">
        <f>IF(B4743="","","outreach_sent")</f>
        <v/>
      </c>
      <c r="G4743" s="17">
        <f>IF(B4743="","","")</f>
        <v/>
      </c>
      <c r="H4743" s="17">
        <f>IF(B4743="","","")</f>
        <v/>
      </c>
      <c r="I4743" s="17">
        <f>IF(B4743="","","")</f>
        <v/>
      </c>
      <c r="J4743" s="17">
        <f>IF(B4743="","","touch_3; "&amp;IFERROR(INDEX(Clay_Brands!$A$2:$FZ$601,92,Sync!$D$10)&amp;"","")&amp;"; "&amp;IFERROR(INDEX(Clay_Brands!$A$2:$FZ$601,92,Sync!$D$9)&amp;"",""))</f>
        <v/>
      </c>
      <c r="K4743" t="inlineStr">
        <is>
          <t>brand outreach touch 3</t>
        </is>
      </c>
    </row>
    <row r="4744">
      <c r="A4744" s="17">
        <f>IF(B4744="","",B4744+(17*1000+93)/10000000)</f>
        <v/>
      </c>
      <c r="B4744" s="23">
        <f>IF(AND(IFERROR(N(INDEX(Clay_Brands!$A$2:$FZ$601,93,Sync!$D$13)),0)&gt;0,IFERROR(INDEX(Clay_Brands!$A$2:$FZ$601,93,Sync!$D$5)&amp;"","")&lt;&gt;"",OR(LEFT(IFERROR(INDEX(Clay_Brands!$A$2:$FZ$601,93,Sync!$D$5)&amp;"",""),6)&lt;&gt;"SAMPLE",Config!$B$19="Y")),IFERROR(N(INDEX(Clay_Brands!$A$2:$FZ$601,93,Sync!$D$13)),0),"")</f>
        <v/>
      </c>
      <c r="C4744" s="17">
        <f>IF(B4744="","","brand")</f>
        <v/>
      </c>
      <c r="D4744" s="17">
        <f>IF(B4744="","",IFERROR(INDEX(Clay_Brands!$A$2:$FZ$601,93,Sync!$D$5)&amp;"",""))</f>
        <v/>
      </c>
      <c r="E4744" s="17">
        <f>IF(B4744="","",IFERROR(INDEX(Clay_Brands!$A$2:$FZ$601,93,Sync!$D$6)&amp;"",""))</f>
        <v/>
      </c>
      <c r="F4744" s="17">
        <f>IF(B4744="","","outreach_sent")</f>
        <v/>
      </c>
      <c r="G4744" s="17">
        <f>IF(B4744="","","")</f>
        <v/>
      </c>
      <c r="H4744" s="17">
        <f>IF(B4744="","","")</f>
        <v/>
      </c>
      <c r="I4744" s="17">
        <f>IF(B4744="","","")</f>
        <v/>
      </c>
      <c r="J4744" s="17">
        <f>IF(B4744="","","touch_3; "&amp;IFERROR(INDEX(Clay_Brands!$A$2:$FZ$601,93,Sync!$D$10)&amp;"","")&amp;"; "&amp;IFERROR(INDEX(Clay_Brands!$A$2:$FZ$601,93,Sync!$D$9)&amp;"",""))</f>
        <v/>
      </c>
      <c r="K4744" t="inlineStr">
        <is>
          <t>brand outreach touch 3</t>
        </is>
      </c>
    </row>
    <row r="4745">
      <c r="A4745" s="17">
        <f>IF(B4745="","",B4745+(17*1000+94)/10000000)</f>
        <v/>
      </c>
      <c r="B4745" s="23">
        <f>IF(AND(IFERROR(N(INDEX(Clay_Brands!$A$2:$FZ$601,94,Sync!$D$13)),0)&gt;0,IFERROR(INDEX(Clay_Brands!$A$2:$FZ$601,94,Sync!$D$5)&amp;"","")&lt;&gt;"",OR(LEFT(IFERROR(INDEX(Clay_Brands!$A$2:$FZ$601,94,Sync!$D$5)&amp;"",""),6)&lt;&gt;"SAMPLE",Config!$B$19="Y")),IFERROR(N(INDEX(Clay_Brands!$A$2:$FZ$601,94,Sync!$D$13)),0),"")</f>
        <v/>
      </c>
      <c r="C4745" s="17">
        <f>IF(B4745="","","brand")</f>
        <v/>
      </c>
      <c r="D4745" s="17">
        <f>IF(B4745="","",IFERROR(INDEX(Clay_Brands!$A$2:$FZ$601,94,Sync!$D$5)&amp;"",""))</f>
        <v/>
      </c>
      <c r="E4745" s="17">
        <f>IF(B4745="","",IFERROR(INDEX(Clay_Brands!$A$2:$FZ$601,94,Sync!$D$6)&amp;"",""))</f>
        <v/>
      </c>
      <c r="F4745" s="17">
        <f>IF(B4745="","","outreach_sent")</f>
        <v/>
      </c>
      <c r="G4745" s="17">
        <f>IF(B4745="","","")</f>
        <v/>
      </c>
      <c r="H4745" s="17">
        <f>IF(B4745="","","")</f>
        <v/>
      </c>
      <c r="I4745" s="17">
        <f>IF(B4745="","","")</f>
        <v/>
      </c>
      <c r="J4745" s="17">
        <f>IF(B4745="","","touch_3; "&amp;IFERROR(INDEX(Clay_Brands!$A$2:$FZ$601,94,Sync!$D$10)&amp;"","")&amp;"; "&amp;IFERROR(INDEX(Clay_Brands!$A$2:$FZ$601,94,Sync!$D$9)&amp;"",""))</f>
        <v/>
      </c>
      <c r="K4745" t="inlineStr">
        <is>
          <t>brand outreach touch 3</t>
        </is>
      </c>
    </row>
    <row r="4746">
      <c r="A4746" s="17">
        <f>IF(B4746="","",B4746+(17*1000+95)/10000000)</f>
        <v/>
      </c>
      <c r="B4746" s="23">
        <f>IF(AND(IFERROR(N(INDEX(Clay_Brands!$A$2:$FZ$601,95,Sync!$D$13)),0)&gt;0,IFERROR(INDEX(Clay_Brands!$A$2:$FZ$601,95,Sync!$D$5)&amp;"","")&lt;&gt;"",OR(LEFT(IFERROR(INDEX(Clay_Brands!$A$2:$FZ$601,95,Sync!$D$5)&amp;"",""),6)&lt;&gt;"SAMPLE",Config!$B$19="Y")),IFERROR(N(INDEX(Clay_Brands!$A$2:$FZ$601,95,Sync!$D$13)),0),"")</f>
        <v/>
      </c>
      <c r="C4746" s="17">
        <f>IF(B4746="","","brand")</f>
        <v/>
      </c>
      <c r="D4746" s="17">
        <f>IF(B4746="","",IFERROR(INDEX(Clay_Brands!$A$2:$FZ$601,95,Sync!$D$5)&amp;"",""))</f>
        <v/>
      </c>
      <c r="E4746" s="17">
        <f>IF(B4746="","",IFERROR(INDEX(Clay_Brands!$A$2:$FZ$601,95,Sync!$D$6)&amp;"",""))</f>
        <v/>
      </c>
      <c r="F4746" s="17">
        <f>IF(B4746="","","outreach_sent")</f>
        <v/>
      </c>
      <c r="G4746" s="17">
        <f>IF(B4746="","","")</f>
        <v/>
      </c>
      <c r="H4746" s="17">
        <f>IF(B4746="","","")</f>
        <v/>
      </c>
      <c r="I4746" s="17">
        <f>IF(B4746="","","")</f>
        <v/>
      </c>
      <c r="J4746" s="17">
        <f>IF(B4746="","","touch_3; "&amp;IFERROR(INDEX(Clay_Brands!$A$2:$FZ$601,95,Sync!$D$10)&amp;"","")&amp;"; "&amp;IFERROR(INDEX(Clay_Brands!$A$2:$FZ$601,95,Sync!$D$9)&amp;"",""))</f>
        <v/>
      </c>
      <c r="K4746" t="inlineStr">
        <is>
          <t>brand outreach touch 3</t>
        </is>
      </c>
    </row>
    <row r="4747">
      <c r="A4747" s="17">
        <f>IF(B4747="","",B4747+(17*1000+96)/10000000)</f>
        <v/>
      </c>
      <c r="B4747" s="23">
        <f>IF(AND(IFERROR(N(INDEX(Clay_Brands!$A$2:$FZ$601,96,Sync!$D$13)),0)&gt;0,IFERROR(INDEX(Clay_Brands!$A$2:$FZ$601,96,Sync!$D$5)&amp;"","")&lt;&gt;"",OR(LEFT(IFERROR(INDEX(Clay_Brands!$A$2:$FZ$601,96,Sync!$D$5)&amp;"",""),6)&lt;&gt;"SAMPLE",Config!$B$19="Y")),IFERROR(N(INDEX(Clay_Brands!$A$2:$FZ$601,96,Sync!$D$13)),0),"")</f>
        <v/>
      </c>
      <c r="C4747" s="17">
        <f>IF(B4747="","","brand")</f>
        <v/>
      </c>
      <c r="D4747" s="17">
        <f>IF(B4747="","",IFERROR(INDEX(Clay_Brands!$A$2:$FZ$601,96,Sync!$D$5)&amp;"",""))</f>
        <v/>
      </c>
      <c r="E4747" s="17">
        <f>IF(B4747="","",IFERROR(INDEX(Clay_Brands!$A$2:$FZ$601,96,Sync!$D$6)&amp;"",""))</f>
        <v/>
      </c>
      <c r="F4747" s="17">
        <f>IF(B4747="","","outreach_sent")</f>
        <v/>
      </c>
      <c r="G4747" s="17">
        <f>IF(B4747="","","")</f>
        <v/>
      </c>
      <c r="H4747" s="17">
        <f>IF(B4747="","","")</f>
        <v/>
      </c>
      <c r="I4747" s="17">
        <f>IF(B4747="","","")</f>
        <v/>
      </c>
      <c r="J4747" s="17">
        <f>IF(B4747="","","touch_3; "&amp;IFERROR(INDEX(Clay_Brands!$A$2:$FZ$601,96,Sync!$D$10)&amp;"","")&amp;"; "&amp;IFERROR(INDEX(Clay_Brands!$A$2:$FZ$601,96,Sync!$D$9)&amp;"",""))</f>
        <v/>
      </c>
      <c r="K4747" t="inlineStr">
        <is>
          <t>brand outreach touch 3</t>
        </is>
      </c>
    </row>
    <row r="4748">
      <c r="A4748" s="17">
        <f>IF(B4748="","",B4748+(17*1000+97)/10000000)</f>
        <v/>
      </c>
      <c r="B4748" s="23">
        <f>IF(AND(IFERROR(N(INDEX(Clay_Brands!$A$2:$FZ$601,97,Sync!$D$13)),0)&gt;0,IFERROR(INDEX(Clay_Brands!$A$2:$FZ$601,97,Sync!$D$5)&amp;"","")&lt;&gt;"",OR(LEFT(IFERROR(INDEX(Clay_Brands!$A$2:$FZ$601,97,Sync!$D$5)&amp;"",""),6)&lt;&gt;"SAMPLE",Config!$B$19="Y")),IFERROR(N(INDEX(Clay_Brands!$A$2:$FZ$601,97,Sync!$D$13)),0),"")</f>
        <v/>
      </c>
      <c r="C4748" s="17">
        <f>IF(B4748="","","brand")</f>
        <v/>
      </c>
      <c r="D4748" s="17">
        <f>IF(B4748="","",IFERROR(INDEX(Clay_Brands!$A$2:$FZ$601,97,Sync!$D$5)&amp;"",""))</f>
        <v/>
      </c>
      <c r="E4748" s="17">
        <f>IF(B4748="","",IFERROR(INDEX(Clay_Brands!$A$2:$FZ$601,97,Sync!$D$6)&amp;"",""))</f>
        <v/>
      </c>
      <c r="F4748" s="17">
        <f>IF(B4748="","","outreach_sent")</f>
        <v/>
      </c>
      <c r="G4748" s="17">
        <f>IF(B4748="","","")</f>
        <v/>
      </c>
      <c r="H4748" s="17">
        <f>IF(B4748="","","")</f>
        <v/>
      </c>
      <c r="I4748" s="17">
        <f>IF(B4748="","","")</f>
        <v/>
      </c>
      <c r="J4748" s="17">
        <f>IF(B4748="","","touch_3; "&amp;IFERROR(INDEX(Clay_Brands!$A$2:$FZ$601,97,Sync!$D$10)&amp;"","")&amp;"; "&amp;IFERROR(INDEX(Clay_Brands!$A$2:$FZ$601,97,Sync!$D$9)&amp;"",""))</f>
        <v/>
      </c>
      <c r="K4748" t="inlineStr">
        <is>
          <t>brand outreach touch 3</t>
        </is>
      </c>
    </row>
    <row r="4749">
      <c r="A4749" s="17">
        <f>IF(B4749="","",B4749+(17*1000+98)/10000000)</f>
        <v/>
      </c>
      <c r="B4749" s="23">
        <f>IF(AND(IFERROR(N(INDEX(Clay_Brands!$A$2:$FZ$601,98,Sync!$D$13)),0)&gt;0,IFERROR(INDEX(Clay_Brands!$A$2:$FZ$601,98,Sync!$D$5)&amp;"","")&lt;&gt;"",OR(LEFT(IFERROR(INDEX(Clay_Brands!$A$2:$FZ$601,98,Sync!$D$5)&amp;"",""),6)&lt;&gt;"SAMPLE",Config!$B$19="Y")),IFERROR(N(INDEX(Clay_Brands!$A$2:$FZ$601,98,Sync!$D$13)),0),"")</f>
        <v/>
      </c>
      <c r="C4749" s="17">
        <f>IF(B4749="","","brand")</f>
        <v/>
      </c>
      <c r="D4749" s="17">
        <f>IF(B4749="","",IFERROR(INDEX(Clay_Brands!$A$2:$FZ$601,98,Sync!$D$5)&amp;"",""))</f>
        <v/>
      </c>
      <c r="E4749" s="17">
        <f>IF(B4749="","",IFERROR(INDEX(Clay_Brands!$A$2:$FZ$601,98,Sync!$D$6)&amp;"",""))</f>
        <v/>
      </c>
      <c r="F4749" s="17">
        <f>IF(B4749="","","outreach_sent")</f>
        <v/>
      </c>
      <c r="G4749" s="17">
        <f>IF(B4749="","","")</f>
        <v/>
      </c>
      <c r="H4749" s="17">
        <f>IF(B4749="","","")</f>
        <v/>
      </c>
      <c r="I4749" s="17">
        <f>IF(B4749="","","")</f>
        <v/>
      </c>
      <c r="J4749" s="17">
        <f>IF(B4749="","","touch_3; "&amp;IFERROR(INDEX(Clay_Brands!$A$2:$FZ$601,98,Sync!$D$10)&amp;"","")&amp;"; "&amp;IFERROR(INDEX(Clay_Brands!$A$2:$FZ$601,98,Sync!$D$9)&amp;"",""))</f>
        <v/>
      </c>
      <c r="K4749" t="inlineStr">
        <is>
          <t>brand outreach touch 3</t>
        </is>
      </c>
    </row>
    <row r="4750">
      <c r="A4750" s="17">
        <f>IF(B4750="","",B4750+(17*1000+99)/10000000)</f>
        <v/>
      </c>
      <c r="B4750" s="23">
        <f>IF(AND(IFERROR(N(INDEX(Clay_Brands!$A$2:$FZ$601,99,Sync!$D$13)),0)&gt;0,IFERROR(INDEX(Clay_Brands!$A$2:$FZ$601,99,Sync!$D$5)&amp;"","")&lt;&gt;"",OR(LEFT(IFERROR(INDEX(Clay_Brands!$A$2:$FZ$601,99,Sync!$D$5)&amp;"",""),6)&lt;&gt;"SAMPLE",Config!$B$19="Y")),IFERROR(N(INDEX(Clay_Brands!$A$2:$FZ$601,99,Sync!$D$13)),0),"")</f>
        <v/>
      </c>
      <c r="C4750" s="17">
        <f>IF(B4750="","","brand")</f>
        <v/>
      </c>
      <c r="D4750" s="17">
        <f>IF(B4750="","",IFERROR(INDEX(Clay_Brands!$A$2:$FZ$601,99,Sync!$D$5)&amp;"",""))</f>
        <v/>
      </c>
      <c r="E4750" s="17">
        <f>IF(B4750="","",IFERROR(INDEX(Clay_Brands!$A$2:$FZ$601,99,Sync!$D$6)&amp;"",""))</f>
        <v/>
      </c>
      <c r="F4750" s="17">
        <f>IF(B4750="","","outreach_sent")</f>
        <v/>
      </c>
      <c r="G4750" s="17">
        <f>IF(B4750="","","")</f>
        <v/>
      </c>
      <c r="H4750" s="17">
        <f>IF(B4750="","","")</f>
        <v/>
      </c>
      <c r="I4750" s="17">
        <f>IF(B4750="","","")</f>
        <v/>
      </c>
      <c r="J4750" s="17">
        <f>IF(B4750="","","touch_3; "&amp;IFERROR(INDEX(Clay_Brands!$A$2:$FZ$601,99,Sync!$D$10)&amp;"","")&amp;"; "&amp;IFERROR(INDEX(Clay_Brands!$A$2:$FZ$601,99,Sync!$D$9)&amp;"",""))</f>
        <v/>
      </c>
      <c r="K4750" t="inlineStr">
        <is>
          <t>brand outreach touch 3</t>
        </is>
      </c>
    </row>
    <row r="4751">
      <c r="A4751" s="17">
        <f>IF(B4751="","",B4751+(17*1000+100)/10000000)</f>
        <v/>
      </c>
      <c r="B4751" s="23">
        <f>IF(AND(IFERROR(N(INDEX(Clay_Brands!$A$2:$FZ$601,100,Sync!$D$13)),0)&gt;0,IFERROR(INDEX(Clay_Brands!$A$2:$FZ$601,100,Sync!$D$5)&amp;"","")&lt;&gt;"",OR(LEFT(IFERROR(INDEX(Clay_Brands!$A$2:$FZ$601,100,Sync!$D$5)&amp;"",""),6)&lt;&gt;"SAMPLE",Config!$B$19="Y")),IFERROR(N(INDEX(Clay_Brands!$A$2:$FZ$601,100,Sync!$D$13)),0),"")</f>
        <v/>
      </c>
      <c r="C4751" s="17">
        <f>IF(B4751="","","brand")</f>
        <v/>
      </c>
      <c r="D4751" s="17">
        <f>IF(B4751="","",IFERROR(INDEX(Clay_Brands!$A$2:$FZ$601,100,Sync!$D$5)&amp;"",""))</f>
        <v/>
      </c>
      <c r="E4751" s="17">
        <f>IF(B4751="","",IFERROR(INDEX(Clay_Brands!$A$2:$FZ$601,100,Sync!$D$6)&amp;"",""))</f>
        <v/>
      </c>
      <c r="F4751" s="17">
        <f>IF(B4751="","","outreach_sent")</f>
        <v/>
      </c>
      <c r="G4751" s="17">
        <f>IF(B4751="","","")</f>
        <v/>
      </c>
      <c r="H4751" s="17">
        <f>IF(B4751="","","")</f>
        <v/>
      </c>
      <c r="I4751" s="17">
        <f>IF(B4751="","","")</f>
        <v/>
      </c>
      <c r="J4751" s="17">
        <f>IF(B4751="","","touch_3; "&amp;IFERROR(INDEX(Clay_Brands!$A$2:$FZ$601,100,Sync!$D$10)&amp;"","")&amp;"; "&amp;IFERROR(INDEX(Clay_Brands!$A$2:$FZ$601,100,Sync!$D$9)&amp;"",""))</f>
        <v/>
      </c>
      <c r="K4751" t="inlineStr">
        <is>
          <t>brand outreach touch 3</t>
        </is>
      </c>
    </row>
    <row r="4752">
      <c r="A4752" s="17">
        <f>IF(B4752="","",B4752+(17*1000+101)/10000000)</f>
        <v/>
      </c>
      <c r="B4752" s="23">
        <f>IF(AND(IFERROR(N(INDEX(Clay_Brands!$A$2:$FZ$601,101,Sync!$D$13)),0)&gt;0,IFERROR(INDEX(Clay_Brands!$A$2:$FZ$601,101,Sync!$D$5)&amp;"","")&lt;&gt;"",OR(LEFT(IFERROR(INDEX(Clay_Brands!$A$2:$FZ$601,101,Sync!$D$5)&amp;"",""),6)&lt;&gt;"SAMPLE",Config!$B$19="Y")),IFERROR(N(INDEX(Clay_Brands!$A$2:$FZ$601,101,Sync!$D$13)),0),"")</f>
        <v/>
      </c>
      <c r="C4752" s="17">
        <f>IF(B4752="","","brand")</f>
        <v/>
      </c>
      <c r="D4752" s="17">
        <f>IF(B4752="","",IFERROR(INDEX(Clay_Brands!$A$2:$FZ$601,101,Sync!$D$5)&amp;"",""))</f>
        <v/>
      </c>
      <c r="E4752" s="17">
        <f>IF(B4752="","",IFERROR(INDEX(Clay_Brands!$A$2:$FZ$601,101,Sync!$D$6)&amp;"",""))</f>
        <v/>
      </c>
      <c r="F4752" s="17">
        <f>IF(B4752="","","outreach_sent")</f>
        <v/>
      </c>
      <c r="G4752" s="17">
        <f>IF(B4752="","","")</f>
        <v/>
      </c>
      <c r="H4752" s="17">
        <f>IF(B4752="","","")</f>
        <v/>
      </c>
      <c r="I4752" s="17">
        <f>IF(B4752="","","")</f>
        <v/>
      </c>
      <c r="J4752" s="17">
        <f>IF(B4752="","","touch_3; "&amp;IFERROR(INDEX(Clay_Brands!$A$2:$FZ$601,101,Sync!$D$10)&amp;"","")&amp;"; "&amp;IFERROR(INDEX(Clay_Brands!$A$2:$FZ$601,101,Sync!$D$9)&amp;"",""))</f>
        <v/>
      </c>
      <c r="K4752" t="inlineStr">
        <is>
          <t>brand outreach touch 3</t>
        </is>
      </c>
    </row>
    <row r="4753">
      <c r="A4753" s="17">
        <f>IF(B4753="","",B4753+(17*1000+102)/10000000)</f>
        <v/>
      </c>
      <c r="B4753" s="23">
        <f>IF(AND(IFERROR(N(INDEX(Clay_Brands!$A$2:$FZ$601,102,Sync!$D$13)),0)&gt;0,IFERROR(INDEX(Clay_Brands!$A$2:$FZ$601,102,Sync!$D$5)&amp;"","")&lt;&gt;"",OR(LEFT(IFERROR(INDEX(Clay_Brands!$A$2:$FZ$601,102,Sync!$D$5)&amp;"",""),6)&lt;&gt;"SAMPLE",Config!$B$19="Y")),IFERROR(N(INDEX(Clay_Brands!$A$2:$FZ$601,102,Sync!$D$13)),0),"")</f>
        <v/>
      </c>
      <c r="C4753" s="17">
        <f>IF(B4753="","","brand")</f>
        <v/>
      </c>
      <c r="D4753" s="17">
        <f>IF(B4753="","",IFERROR(INDEX(Clay_Brands!$A$2:$FZ$601,102,Sync!$D$5)&amp;"",""))</f>
        <v/>
      </c>
      <c r="E4753" s="17">
        <f>IF(B4753="","",IFERROR(INDEX(Clay_Brands!$A$2:$FZ$601,102,Sync!$D$6)&amp;"",""))</f>
        <v/>
      </c>
      <c r="F4753" s="17">
        <f>IF(B4753="","","outreach_sent")</f>
        <v/>
      </c>
      <c r="G4753" s="17">
        <f>IF(B4753="","","")</f>
        <v/>
      </c>
      <c r="H4753" s="17">
        <f>IF(B4753="","","")</f>
        <v/>
      </c>
      <c r="I4753" s="17">
        <f>IF(B4753="","","")</f>
        <v/>
      </c>
      <c r="J4753" s="17">
        <f>IF(B4753="","","touch_3; "&amp;IFERROR(INDEX(Clay_Brands!$A$2:$FZ$601,102,Sync!$D$10)&amp;"","")&amp;"; "&amp;IFERROR(INDEX(Clay_Brands!$A$2:$FZ$601,102,Sync!$D$9)&amp;"",""))</f>
        <v/>
      </c>
      <c r="K4753" t="inlineStr">
        <is>
          <t>brand outreach touch 3</t>
        </is>
      </c>
    </row>
    <row r="4754">
      <c r="A4754" s="17">
        <f>IF(B4754="","",B4754+(17*1000+103)/10000000)</f>
        <v/>
      </c>
      <c r="B4754" s="23">
        <f>IF(AND(IFERROR(N(INDEX(Clay_Brands!$A$2:$FZ$601,103,Sync!$D$13)),0)&gt;0,IFERROR(INDEX(Clay_Brands!$A$2:$FZ$601,103,Sync!$D$5)&amp;"","")&lt;&gt;"",OR(LEFT(IFERROR(INDEX(Clay_Brands!$A$2:$FZ$601,103,Sync!$D$5)&amp;"",""),6)&lt;&gt;"SAMPLE",Config!$B$19="Y")),IFERROR(N(INDEX(Clay_Brands!$A$2:$FZ$601,103,Sync!$D$13)),0),"")</f>
        <v/>
      </c>
      <c r="C4754" s="17">
        <f>IF(B4754="","","brand")</f>
        <v/>
      </c>
      <c r="D4754" s="17">
        <f>IF(B4754="","",IFERROR(INDEX(Clay_Brands!$A$2:$FZ$601,103,Sync!$D$5)&amp;"",""))</f>
        <v/>
      </c>
      <c r="E4754" s="17">
        <f>IF(B4754="","",IFERROR(INDEX(Clay_Brands!$A$2:$FZ$601,103,Sync!$D$6)&amp;"",""))</f>
        <v/>
      </c>
      <c r="F4754" s="17">
        <f>IF(B4754="","","outreach_sent")</f>
        <v/>
      </c>
      <c r="G4754" s="17">
        <f>IF(B4754="","","")</f>
        <v/>
      </c>
      <c r="H4754" s="17">
        <f>IF(B4754="","","")</f>
        <v/>
      </c>
      <c r="I4754" s="17">
        <f>IF(B4754="","","")</f>
        <v/>
      </c>
      <c r="J4754" s="17">
        <f>IF(B4754="","","touch_3; "&amp;IFERROR(INDEX(Clay_Brands!$A$2:$FZ$601,103,Sync!$D$10)&amp;"","")&amp;"; "&amp;IFERROR(INDEX(Clay_Brands!$A$2:$FZ$601,103,Sync!$D$9)&amp;"",""))</f>
        <v/>
      </c>
      <c r="K4754" t="inlineStr">
        <is>
          <t>brand outreach touch 3</t>
        </is>
      </c>
    </row>
    <row r="4755">
      <c r="A4755" s="17">
        <f>IF(B4755="","",B4755+(17*1000+104)/10000000)</f>
        <v/>
      </c>
      <c r="B4755" s="23">
        <f>IF(AND(IFERROR(N(INDEX(Clay_Brands!$A$2:$FZ$601,104,Sync!$D$13)),0)&gt;0,IFERROR(INDEX(Clay_Brands!$A$2:$FZ$601,104,Sync!$D$5)&amp;"","")&lt;&gt;"",OR(LEFT(IFERROR(INDEX(Clay_Brands!$A$2:$FZ$601,104,Sync!$D$5)&amp;"",""),6)&lt;&gt;"SAMPLE",Config!$B$19="Y")),IFERROR(N(INDEX(Clay_Brands!$A$2:$FZ$601,104,Sync!$D$13)),0),"")</f>
        <v/>
      </c>
      <c r="C4755" s="17">
        <f>IF(B4755="","","brand")</f>
        <v/>
      </c>
      <c r="D4755" s="17">
        <f>IF(B4755="","",IFERROR(INDEX(Clay_Brands!$A$2:$FZ$601,104,Sync!$D$5)&amp;"",""))</f>
        <v/>
      </c>
      <c r="E4755" s="17">
        <f>IF(B4755="","",IFERROR(INDEX(Clay_Brands!$A$2:$FZ$601,104,Sync!$D$6)&amp;"",""))</f>
        <v/>
      </c>
      <c r="F4755" s="17">
        <f>IF(B4755="","","outreach_sent")</f>
        <v/>
      </c>
      <c r="G4755" s="17">
        <f>IF(B4755="","","")</f>
        <v/>
      </c>
      <c r="H4755" s="17">
        <f>IF(B4755="","","")</f>
        <v/>
      </c>
      <c r="I4755" s="17">
        <f>IF(B4755="","","")</f>
        <v/>
      </c>
      <c r="J4755" s="17">
        <f>IF(B4755="","","touch_3; "&amp;IFERROR(INDEX(Clay_Brands!$A$2:$FZ$601,104,Sync!$D$10)&amp;"","")&amp;"; "&amp;IFERROR(INDEX(Clay_Brands!$A$2:$FZ$601,104,Sync!$D$9)&amp;"",""))</f>
        <v/>
      </c>
      <c r="K4755" t="inlineStr">
        <is>
          <t>brand outreach touch 3</t>
        </is>
      </c>
    </row>
    <row r="4756">
      <c r="A4756" s="17">
        <f>IF(B4756="","",B4756+(17*1000+105)/10000000)</f>
        <v/>
      </c>
      <c r="B4756" s="23">
        <f>IF(AND(IFERROR(N(INDEX(Clay_Brands!$A$2:$FZ$601,105,Sync!$D$13)),0)&gt;0,IFERROR(INDEX(Clay_Brands!$A$2:$FZ$601,105,Sync!$D$5)&amp;"","")&lt;&gt;"",OR(LEFT(IFERROR(INDEX(Clay_Brands!$A$2:$FZ$601,105,Sync!$D$5)&amp;"",""),6)&lt;&gt;"SAMPLE",Config!$B$19="Y")),IFERROR(N(INDEX(Clay_Brands!$A$2:$FZ$601,105,Sync!$D$13)),0),"")</f>
        <v/>
      </c>
      <c r="C4756" s="17">
        <f>IF(B4756="","","brand")</f>
        <v/>
      </c>
      <c r="D4756" s="17">
        <f>IF(B4756="","",IFERROR(INDEX(Clay_Brands!$A$2:$FZ$601,105,Sync!$D$5)&amp;"",""))</f>
        <v/>
      </c>
      <c r="E4756" s="17">
        <f>IF(B4756="","",IFERROR(INDEX(Clay_Brands!$A$2:$FZ$601,105,Sync!$D$6)&amp;"",""))</f>
        <v/>
      </c>
      <c r="F4756" s="17">
        <f>IF(B4756="","","outreach_sent")</f>
        <v/>
      </c>
      <c r="G4756" s="17">
        <f>IF(B4756="","","")</f>
        <v/>
      </c>
      <c r="H4756" s="17">
        <f>IF(B4756="","","")</f>
        <v/>
      </c>
      <c r="I4756" s="17">
        <f>IF(B4756="","","")</f>
        <v/>
      </c>
      <c r="J4756" s="17">
        <f>IF(B4756="","","touch_3; "&amp;IFERROR(INDEX(Clay_Brands!$A$2:$FZ$601,105,Sync!$D$10)&amp;"","")&amp;"; "&amp;IFERROR(INDEX(Clay_Brands!$A$2:$FZ$601,105,Sync!$D$9)&amp;"",""))</f>
        <v/>
      </c>
      <c r="K4756" t="inlineStr">
        <is>
          <t>brand outreach touch 3</t>
        </is>
      </c>
    </row>
    <row r="4757">
      <c r="A4757" s="17">
        <f>IF(B4757="","",B4757+(17*1000+106)/10000000)</f>
        <v/>
      </c>
      <c r="B4757" s="23">
        <f>IF(AND(IFERROR(N(INDEX(Clay_Brands!$A$2:$FZ$601,106,Sync!$D$13)),0)&gt;0,IFERROR(INDEX(Clay_Brands!$A$2:$FZ$601,106,Sync!$D$5)&amp;"","")&lt;&gt;"",OR(LEFT(IFERROR(INDEX(Clay_Brands!$A$2:$FZ$601,106,Sync!$D$5)&amp;"",""),6)&lt;&gt;"SAMPLE",Config!$B$19="Y")),IFERROR(N(INDEX(Clay_Brands!$A$2:$FZ$601,106,Sync!$D$13)),0),"")</f>
        <v/>
      </c>
      <c r="C4757" s="17">
        <f>IF(B4757="","","brand")</f>
        <v/>
      </c>
      <c r="D4757" s="17">
        <f>IF(B4757="","",IFERROR(INDEX(Clay_Brands!$A$2:$FZ$601,106,Sync!$D$5)&amp;"",""))</f>
        <v/>
      </c>
      <c r="E4757" s="17">
        <f>IF(B4757="","",IFERROR(INDEX(Clay_Brands!$A$2:$FZ$601,106,Sync!$D$6)&amp;"",""))</f>
        <v/>
      </c>
      <c r="F4757" s="17">
        <f>IF(B4757="","","outreach_sent")</f>
        <v/>
      </c>
      <c r="G4757" s="17">
        <f>IF(B4757="","","")</f>
        <v/>
      </c>
      <c r="H4757" s="17">
        <f>IF(B4757="","","")</f>
        <v/>
      </c>
      <c r="I4757" s="17">
        <f>IF(B4757="","","")</f>
        <v/>
      </c>
      <c r="J4757" s="17">
        <f>IF(B4757="","","touch_3; "&amp;IFERROR(INDEX(Clay_Brands!$A$2:$FZ$601,106,Sync!$D$10)&amp;"","")&amp;"; "&amp;IFERROR(INDEX(Clay_Brands!$A$2:$FZ$601,106,Sync!$D$9)&amp;"",""))</f>
        <v/>
      </c>
      <c r="K4757" t="inlineStr">
        <is>
          <t>brand outreach touch 3</t>
        </is>
      </c>
    </row>
    <row r="4758">
      <c r="A4758" s="17">
        <f>IF(B4758="","",B4758+(17*1000+107)/10000000)</f>
        <v/>
      </c>
      <c r="B4758" s="23">
        <f>IF(AND(IFERROR(N(INDEX(Clay_Brands!$A$2:$FZ$601,107,Sync!$D$13)),0)&gt;0,IFERROR(INDEX(Clay_Brands!$A$2:$FZ$601,107,Sync!$D$5)&amp;"","")&lt;&gt;"",OR(LEFT(IFERROR(INDEX(Clay_Brands!$A$2:$FZ$601,107,Sync!$D$5)&amp;"",""),6)&lt;&gt;"SAMPLE",Config!$B$19="Y")),IFERROR(N(INDEX(Clay_Brands!$A$2:$FZ$601,107,Sync!$D$13)),0),"")</f>
        <v/>
      </c>
      <c r="C4758" s="17">
        <f>IF(B4758="","","brand")</f>
        <v/>
      </c>
      <c r="D4758" s="17">
        <f>IF(B4758="","",IFERROR(INDEX(Clay_Brands!$A$2:$FZ$601,107,Sync!$D$5)&amp;"",""))</f>
        <v/>
      </c>
      <c r="E4758" s="17">
        <f>IF(B4758="","",IFERROR(INDEX(Clay_Brands!$A$2:$FZ$601,107,Sync!$D$6)&amp;"",""))</f>
        <v/>
      </c>
      <c r="F4758" s="17">
        <f>IF(B4758="","","outreach_sent")</f>
        <v/>
      </c>
      <c r="G4758" s="17">
        <f>IF(B4758="","","")</f>
        <v/>
      </c>
      <c r="H4758" s="17">
        <f>IF(B4758="","","")</f>
        <v/>
      </c>
      <c r="I4758" s="17">
        <f>IF(B4758="","","")</f>
        <v/>
      </c>
      <c r="J4758" s="17">
        <f>IF(B4758="","","touch_3; "&amp;IFERROR(INDEX(Clay_Brands!$A$2:$FZ$601,107,Sync!$D$10)&amp;"","")&amp;"; "&amp;IFERROR(INDEX(Clay_Brands!$A$2:$FZ$601,107,Sync!$D$9)&amp;"",""))</f>
        <v/>
      </c>
      <c r="K4758" t="inlineStr">
        <is>
          <t>brand outreach touch 3</t>
        </is>
      </c>
    </row>
    <row r="4759">
      <c r="A4759" s="17">
        <f>IF(B4759="","",B4759+(17*1000+108)/10000000)</f>
        <v/>
      </c>
      <c r="B4759" s="23">
        <f>IF(AND(IFERROR(N(INDEX(Clay_Brands!$A$2:$FZ$601,108,Sync!$D$13)),0)&gt;0,IFERROR(INDEX(Clay_Brands!$A$2:$FZ$601,108,Sync!$D$5)&amp;"","")&lt;&gt;"",OR(LEFT(IFERROR(INDEX(Clay_Brands!$A$2:$FZ$601,108,Sync!$D$5)&amp;"",""),6)&lt;&gt;"SAMPLE",Config!$B$19="Y")),IFERROR(N(INDEX(Clay_Brands!$A$2:$FZ$601,108,Sync!$D$13)),0),"")</f>
        <v/>
      </c>
      <c r="C4759" s="17">
        <f>IF(B4759="","","brand")</f>
        <v/>
      </c>
      <c r="D4759" s="17">
        <f>IF(B4759="","",IFERROR(INDEX(Clay_Brands!$A$2:$FZ$601,108,Sync!$D$5)&amp;"",""))</f>
        <v/>
      </c>
      <c r="E4759" s="17">
        <f>IF(B4759="","",IFERROR(INDEX(Clay_Brands!$A$2:$FZ$601,108,Sync!$D$6)&amp;"",""))</f>
        <v/>
      </c>
      <c r="F4759" s="17">
        <f>IF(B4759="","","outreach_sent")</f>
        <v/>
      </c>
      <c r="G4759" s="17">
        <f>IF(B4759="","","")</f>
        <v/>
      </c>
      <c r="H4759" s="17">
        <f>IF(B4759="","","")</f>
        <v/>
      </c>
      <c r="I4759" s="17">
        <f>IF(B4759="","","")</f>
        <v/>
      </c>
      <c r="J4759" s="17">
        <f>IF(B4759="","","touch_3; "&amp;IFERROR(INDEX(Clay_Brands!$A$2:$FZ$601,108,Sync!$D$10)&amp;"","")&amp;"; "&amp;IFERROR(INDEX(Clay_Brands!$A$2:$FZ$601,108,Sync!$D$9)&amp;"",""))</f>
        <v/>
      </c>
      <c r="K4759" t="inlineStr">
        <is>
          <t>brand outreach touch 3</t>
        </is>
      </c>
    </row>
    <row r="4760">
      <c r="A4760" s="17">
        <f>IF(B4760="","",B4760+(17*1000+109)/10000000)</f>
        <v/>
      </c>
      <c r="B4760" s="23">
        <f>IF(AND(IFERROR(N(INDEX(Clay_Brands!$A$2:$FZ$601,109,Sync!$D$13)),0)&gt;0,IFERROR(INDEX(Clay_Brands!$A$2:$FZ$601,109,Sync!$D$5)&amp;"","")&lt;&gt;"",OR(LEFT(IFERROR(INDEX(Clay_Brands!$A$2:$FZ$601,109,Sync!$D$5)&amp;"",""),6)&lt;&gt;"SAMPLE",Config!$B$19="Y")),IFERROR(N(INDEX(Clay_Brands!$A$2:$FZ$601,109,Sync!$D$13)),0),"")</f>
        <v/>
      </c>
      <c r="C4760" s="17">
        <f>IF(B4760="","","brand")</f>
        <v/>
      </c>
      <c r="D4760" s="17">
        <f>IF(B4760="","",IFERROR(INDEX(Clay_Brands!$A$2:$FZ$601,109,Sync!$D$5)&amp;"",""))</f>
        <v/>
      </c>
      <c r="E4760" s="17">
        <f>IF(B4760="","",IFERROR(INDEX(Clay_Brands!$A$2:$FZ$601,109,Sync!$D$6)&amp;"",""))</f>
        <v/>
      </c>
      <c r="F4760" s="17">
        <f>IF(B4760="","","outreach_sent")</f>
        <v/>
      </c>
      <c r="G4760" s="17">
        <f>IF(B4760="","","")</f>
        <v/>
      </c>
      <c r="H4760" s="17">
        <f>IF(B4760="","","")</f>
        <v/>
      </c>
      <c r="I4760" s="17">
        <f>IF(B4760="","","")</f>
        <v/>
      </c>
      <c r="J4760" s="17">
        <f>IF(B4760="","","touch_3; "&amp;IFERROR(INDEX(Clay_Brands!$A$2:$FZ$601,109,Sync!$D$10)&amp;"","")&amp;"; "&amp;IFERROR(INDEX(Clay_Brands!$A$2:$FZ$601,109,Sync!$D$9)&amp;"",""))</f>
        <v/>
      </c>
      <c r="K4760" t="inlineStr">
        <is>
          <t>brand outreach touch 3</t>
        </is>
      </c>
    </row>
    <row r="4761">
      <c r="A4761" s="17">
        <f>IF(B4761="","",B4761+(17*1000+110)/10000000)</f>
        <v/>
      </c>
      <c r="B4761" s="23">
        <f>IF(AND(IFERROR(N(INDEX(Clay_Brands!$A$2:$FZ$601,110,Sync!$D$13)),0)&gt;0,IFERROR(INDEX(Clay_Brands!$A$2:$FZ$601,110,Sync!$D$5)&amp;"","")&lt;&gt;"",OR(LEFT(IFERROR(INDEX(Clay_Brands!$A$2:$FZ$601,110,Sync!$D$5)&amp;"",""),6)&lt;&gt;"SAMPLE",Config!$B$19="Y")),IFERROR(N(INDEX(Clay_Brands!$A$2:$FZ$601,110,Sync!$D$13)),0),"")</f>
        <v/>
      </c>
      <c r="C4761" s="17">
        <f>IF(B4761="","","brand")</f>
        <v/>
      </c>
      <c r="D4761" s="17">
        <f>IF(B4761="","",IFERROR(INDEX(Clay_Brands!$A$2:$FZ$601,110,Sync!$D$5)&amp;"",""))</f>
        <v/>
      </c>
      <c r="E4761" s="17">
        <f>IF(B4761="","",IFERROR(INDEX(Clay_Brands!$A$2:$FZ$601,110,Sync!$D$6)&amp;"",""))</f>
        <v/>
      </c>
      <c r="F4761" s="17">
        <f>IF(B4761="","","outreach_sent")</f>
        <v/>
      </c>
      <c r="G4761" s="17">
        <f>IF(B4761="","","")</f>
        <v/>
      </c>
      <c r="H4761" s="17">
        <f>IF(B4761="","","")</f>
        <v/>
      </c>
      <c r="I4761" s="17">
        <f>IF(B4761="","","")</f>
        <v/>
      </c>
      <c r="J4761" s="17">
        <f>IF(B4761="","","touch_3; "&amp;IFERROR(INDEX(Clay_Brands!$A$2:$FZ$601,110,Sync!$D$10)&amp;"","")&amp;"; "&amp;IFERROR(INDEX(Clay_Brands!$A$2:$FZ$601,110,Sync!$D$9)&amp;"",""))</f>
        <v/>
      </c>
      <c r="K4761" t="inlineStr">
        <is>
          <t>brand outreach touch 3</t>
        </is>
      </c>
    </row>
    <row r="4762">
      <c r="A4762" s="17">
        <f>IF(B4762="","",B4762+(17*1000+111)/10000000)</f>
        <v/>
      </c>
      <c r="B4762" s="23">
        <f>IF(AND(IFERROR(N(INDEX(Clay_Brands!$A$2:$FZ$601,111,Sync!$D$13)),0)&gt;0,IFERROR(INDEX(Clay_Brands!$A$2:$FZ$601,111,Sync!$D$5)&amp;"","")&lt;&gt;"",OR(LEFT(IFERROR(INDEX(Clay_Brands!$A$2:$FZ$601,111,Sync!$D$5)&amp;"",""),6)&lt;&gt;"SAMPLE",Config!$B$19="Y")),IFERROR(N(INDEX(Clay_Brands!$A$2:$FZ$601,111,Sync!$D$13)),0),"")</f>
        <v/>
      </c>
      <c r="C4762" s="17">
        <f>IF(B4762="","","brand")</f>
        <v/>
      </c>
      <c r="D4762" s="17">
        <f>IF(B4762="","",IFERROR(INDEX(Clay_Brands!$A$2:$FZ$601,111,Sync!$D$5)&amp;"",""))</f>
        <v/>
      </c>
      <c r="E4762" s="17">
        <f>IF(B4762="","",IFERROR(INDEX(Clay_Brands!$A$2:$FZ$601,111,Sync!$D$6)&amp;"",""))</f>
        <v/>
      </c>
      <c r="F4762" s="17">
        <f>IF(B4762="","","outreach_sent")</f>
        <v/>
      </c>
      <c r="G4762" s="17">
        <f>IF(B4762="","","")</f>
        <v/>
      </c>
      <c r="H4762" s="17">
        <f>IF(B4762="","","")</f>
        <v/>
      </c>
      <c r="I4762" s="17">
        <f>IF(B4762="","","")</f>
        <v/>
      </c>
      <c r="J4762" s="17">
        <f>IF(B4762="","","touch_3; "&amp;IFERROR(INDEX(Clay_Brands!$A$2:$FZ$601,111,Sync!$D$10)&amp;"","")&amp;"; "&amp;IFERROR(INDEX(Clay_Brands!$A$2:$FZ$601,111,Sync!$D$9)&amp;"",""))</f>
        <v/>
      </c>
      <c r="K4762" t="inlineStr">
        <is>
          <t>brand outreach touch 3</t>
        </is>
      </c>
    </row>
    <row r="4763">
      <c r="A4763" s="17">
        <f>IF(B4763="","",B4763+(17*1000+112)/10000000)</f>
        <v/>
      </c>
      <c r="B4763" s="23">
        <f>IF(AND(IFERROR(N(INDEX(Clay_Brands!$A$2:$FZ$601,112,Sync!$D$13)),0)&gt;0,IFERROR(INDEX(Clay_Brands!$A$2:$FZ$601,112,Sync!$D$5)&amp;"","")&lt;&gt;"",OR(LEFT(IFERROR(INDEX(Clay_Brands!$A$2:$FZ$601,112,Sync!$D$5)&amp;"",""),6)&lt;&gt;"SAMPLE",Config!$B$19="Y")),IFERROR(N(INDEX(Clay_Brands!$A$2:$FZ$601,112,Sync!$D$13)),0),"")</f>
        <v/>
      </c>
      <c r="C4763" s="17">
        <f>IF(B4763="","","brand")</f>
        <v/>
      </c>
      <c r="D4763" s="17">
        <f>IF(B4763="","",IFERROR(INDEX(Clay_Brands!$A$2:$FZ$601,112,Sync!$D$5)&amp;"",""))</f>
        <v/>
      </c>
      <c r="E4763" s="17">
        <f>IF(B4763="","",IFERROR(INDEX(Clay_Brands!$A$2:$FZ$601,112,Sync!$D$6)&amp;"",""))</f>
        <v/>
      </c>
      <c r="F4763" s="17">
        <f>IF(B4763="","","outreach_sent")</f>
        <v/>
      </c>
      <c r="G4763" s="17">
        <f>IF(B4763="","","")</f>
        <v/>
      </c>
      <c r="H4763" s="17">
        <f>IF(B4763="","","")</f>
        <v/>
      </c>
      <c r="I4763" s="17">
        <f>IF(B4763="","","")</f>
        <v/>
      </c>
      <c r="J4763" s="17">
        <f>IF(B4763="","","touch_3; "&amp;IFERROR(INDEX(Clay_Brands!$A$2:$FZ$601,112,Sync!$D$10)&amp;"","")&amp;"; "&amp;IFERROR(INDEX(Clay_Brands!$A$2:$FZ$601,112,Sync!$D$9)&amp;"",""))</f>
        <v/>
      </c>
      <c r="K4763" t="inlineStr">
        <is>
          <t>brand outreach touch 3</t>
        </is>
      </c>
    </row>
    <row r="4764">
      <c r="A4764" s="17">
        <f>IF(B4764="","",B4764+(17*1000+113)/10000000)</f>
        <v/>
      </c>
      <c r="B4764" s="23">
        <f>IF(AND(IFERROR(N(INDEX(Clay_Brands!$A$2:$FZ$601,113,Sync!$D$13)),0)&gt;0,IFERROR(INDEX(Clay_Brands!$A$2:$FZ$601,113,Sync!$D$5)&amp;"","")&lt;&gt;"",OR(LEFT(IFERROR(INDEX(Clay_Brands!$A$2:$FZ$601,113,Sync!$D$5)&amp;"",""),6)&lt;&gt;"SAMPLE",Config!$B$19="Y")),IFERROR(N(INDEX(Clay_Brands!$A$2:$FZ$601,113,Sync!$D$13)),0),"")</f>
        <v/>
      </c>
      <c r="C4764" s="17">
        <f>IF(B4764="","","brand")</f>
        <v/>
      </c>
      <c r="D4764" s="17">
        <f>IF(B4764="","",IFERROR(INDEX(Clay_Brands!$A$2:$FZ$601,113,Sync!$D$5)&amp;"",""))</f>
        <v/>
      </c>
      <c r="E4764" s="17">
        <f>IF(B4764="","",IFERROR(INDEX(Clay_Brands!$A$2:$FZ$601,113,Sync!$D$6)&amp;"",""))</f>
        <v/>
      </c>
      <c r="F4764" s="17">
        <f>IF(B4764="","","outreach_sent")</f>
        <v/>
      </c>
      <c r="G4764" s="17">
        <f>IF(B4764="","","")</f>
        <v/>
      </c>
      <c r="H4764" s="17">
        <f>IF(B4764="","","")</f>
        <v/>
      </c>
      <c r="I4764" s="17">
        <f>IF(B4764="","","")</f>
        <v/>
      </c>
      <c r="J4764" s="17">
        <f>IF(B4764="","","touch_3; "&amp;IFERROR(INDEX(Clay_Brands!$A$2:$FZ$601,113,Sync!$D$10)&amp;"","")&amp;"; "&amp;IFERROR(INDEX(Clay_Brands!$A$2:$FZ$601,113,Sync!$D$9)&amp;"",""))</f>
        <v/>
      </c>
      <c r="K4764" t="inlineStr">
        <is>
          <t>brand outreach touch 3</t>
        </is>
      </c>
    </row>
    <row r="4765">
      <c r="A4765" s="17">
        <f>IF(B4765="","",B4765+(17*1000+114)/10000000)</f>
        <v/>
      </c>
      <c r="B4765" s="23">
        <f>IF(AND(IFERROR(N(INDEX(Clay_Brands!$A$2:$FZ$601,114,Sync!$D$13)),0)&gt;0,IFERROR(INDEX(Clay_Brands!$A$2:$FZ$601,114,Sync!$D$5)&amp;"","")&lt;&gt;"",OR(LEFT(IFERROR(INDEX(Clay_Brands!$A$2:$FZ$601,114,Sync!$D$5)&amp;"",""),6)&lt;&gt;"SAMPLE",Config!$B$19="Y")),IFERROR(N(INDEX(Clay_Brands!$A$2:$FZ$601,114,Sync!$D$13)),0),"")</f>
        <v/>
      </c>
      <c r="C4765" s="17">
        <f>IF(B4765="","","brand")</f>
        <v/>
      </c>
      <c r="D4765" s="17">
        <f>IF(B4765="","",IFERROR(INDEX(Clay_Brands!$A$2:$FZ$601,114,Sync!$D$5)&amp;"",""))</f>
        <v/>
      </c>
      <c r="E4765" s="17">
        <f>IF(B4765="","",IFERROR(INDEX(Clay_Brands!$A$2:$FZ$601,114,Sync!$D$6)&amp;"",""))</f>
        <v/>
      </c>
      <c r="F4765" s="17">
        <f>IF(B4765="","","outreach_sent")</f>
        <v/>
      </c>
      <c r="G4765" s="17">
        <f>IF(B4765="","","")</f>
        <v/>
      </c>
      <c r="H4765" s="17">
        <f>IF(B4765="","","")</f>
        <v/>
      </c>
      <c r="I4765" s="17">
        <f>IF(B4765="","","")</f>
        <v/>
      </c>
      <c r="J4765" s="17">
        <f>IF(B4765="","","touch_3; "&amp;IFERROR(INDEX(Clay_Brands!$A$2:$FZ$601,114,Sync!$D$10)&amp;"","")&amp;"; "&amp;IFERROR(INDEX(Clay_Brands!$A$2:$FZ$601,114,Sync!$D$9)&amp;"",""))</f>
        <v/>
      </c>
      <c r="K4765" t="inlineStr">
        <is>
          <t>brand outreach touch 3</t>
        </is>
      </c>
    </row>
    <row r="4766">
      <c r="A4766" s="17">
        <f>IF(B4766="","",B4766+(17*1000+115)/10000000)</f>
        <v/>
      </c>
      <c r="B4766" s="23">
        <f>IF(AND(IFERROR(N(INDEX(Clay_Brands!$A$2:$FZ$601,115,Sync!$D$13)),0)&gt;0,IFERROR(INDEX(Clay_Brands!$A$2:$FZ$601,115,Sync!$D$5)&amp;"","")&lt;&gt;"",OR(LEFT(IFERROR(INDEX(Clay_Brands!$A$2:$FZ$601,115,Sync!$D$5)&amp;"",""),6)&lt;&gt;"SAMPLE",Config!$B$19="Y")),IFERROR(N(INDEX(Clay_Brands!$A$2:$FZ$601,115,Sync!$D$13)),0),"")</f>
        <v/>
      </c>
      <c r="C4766" s="17">
        <f>IF(B4766="","","brand")</f>
        <v/>
      </c>
      <c r="D4766" s="17">
        <f>IF(B4766="","",IFERROR(INDEX(Clay_Brands!$A$2:$FZ$601,115,Sync!$D$5)&amp;"",""))</f>
        <v/>
      </c>
      <c r="E4766" s="17">
        <f>IF(B4766="","",IFERROR(INDEX(Clay_Brands!$A$2:$FZ$601,115,Sync!$D$6)&amp;"",""))</f>
        <v/>
      </c>
      <c r="F4766" s="17">
        <f>IF(B4766="","","outreach_sent")</f>
        <v/>
      </c>
      <c r="G4766" s="17">
        <f>IF(B4766="","","")</f>
        <v/>
      </c>
      <c r="H4766" s="17">
        <f>IF(B4766="","","")</f>
        <v/>
      </c>
      <c r="I4766" s="17">
        <f>IF(B4766="","","")</f>
        <v/>
      </c>
      <c r="J4766" s="17">
        <f>IF(B4766="","","touch_3; "&amp;IFERROR(INDEX(Clay_Brands!$A$2:$FZ$601,115,Sync!$D$10)&amp;"","")&amp;"; "&amp;IFERROR(INDEX(Clay_Brands!$A$2:$FZ$601,115,Sync!$D$9)&amp;"",""))</f>
        <v/>
      </c>
      <c r="K4766" t="inlineStr">
        <is>
          <t>brand outreach touch 3</t>
        </is>
      </c>
    </row>
    <row r="4767">
      <c r="A4767" s="17">
        <f>IF(B4767="","",B4767+(17*1000+116)/10000000)</f>
        <v/>
      </c>
      <c r="B4767" s="23">
        <f>IF(AND(IFERROR(N(INDEX(Clay_Brands!$A$2:$FZ$601,116,Sync!$D$13)),0)&gt;0,IFERROR(INDEX(Clay_Brands!$A$2:$FZ$601,116,Sync!$D$5)&amp;"","")&lt;&gt;"",OR(LEFT(IFERROR(INDEX(Clay_Brands!$A$2:$FZ$601,116,Sync!$D$5)&amp;"",""),6)&lt;&gt;"SAMPLE",Config!$B$19="Y")),IFERROR(N(INDEX(Clay_Brands!$A$2:$FZ$601,116,Sync!$D$13)),0),"")</f>
        <v/>
      </c>
      <c r="C4767" s="17">
        <f>IF(B4767="","","brand")</f>
        <v/>
      </c>
      <c r="D4767" s="17">
        <f>IF(B4767="","",IFERROR(INDEX(Clay_Brands!$A$2:$FZ$601,116,Sync!$D$5)&amp;"",""))</f>
        <v/>
      </c>
      <c r="E4767" s="17">
        <f>IF(B4767="","",IFERROR(INDEX(Clay_Brands!$A$2:$FZ$601,116,Sync!$D$6)&amp;"",""))</f>
        <v/>
      </c>
      <c r="F4767" s="17">
        <f>IF(B4767="","","outreach_sent")</f>
        <v/>
      </c>
      <c r="G4767" s="17">
        <f>IF(B4767="","","")</f>
        <v/>
      </c>
      <c r="H4767" s="17">
        <f>IF(B4767="","","")</f>
        <v/>
      </c>
      <c r="I4767" s="17">
        <f>IF(B4767="","","")</f>
        <v/>
      </c>
      <c r="J4767" s="17">
        <f>IF(B4767="","","touch_3; "&amp;IFERROR(INDEX(Clay_Brands!$A$2:$FZ$601,116,Sync!$D$10)&amp;"","")&amp;"; "&amp;IFERROR(INDEX(Clay_Brands!$A$2:$FZ$601,116,Sync!$D$9)&amp;"",""))</f>
        <v/>
      </c>
      <c r="K4767" t="inlineStr">
        <is>
          <t>brand outreach touch 3</t>
        </is>
      </c>
    </row>
    <row r="4768">
      <c r="A4768" s="17">
        <f>IF(B4768="","",B4768+(17*1000+117)/10000000)</f>
        <v/>
      </c>
      <c r="B4768" s="23">
        <f>IF(AND(IFERROR(N(INDEX(Clay_Brands!$A$2:$FZ$601,117,Sync!$D$13)),0)&gt;0,IFERROR(INDEX(Clay_Brands!$A$2:$FZ$601,117,Sync!$D$5)&amp;"","")&lt;&gt;"",OR(LEFT(IFERROR(INDEX(Clay_Brands!$A$2:$FZ$601,117,Sync!$D$5)&amp;"",""),6)&lt;&gt;"SAMPLE",Config!$B$19="Y")),IFERROR(N(INDEX(Clay_Brands!$A$2:$FZ$601,117,Sync!$D$13)),0),"")</f>
        <v/>
      </c>
      <c r="C4768" s="17">
        <f>IF(B4768="","","brand")</f>
        <v/>
      </c>
      <c r="D4768" s="17">
        <f>IF(B4768="","",IFERROR(INDEX(Clay_Brands!$A$2:$FZ$601,117,Sync!$D$5)&amp;"",""))</f>
        <v/>
      </c>
      <c r="E4768" s="17">
        <f>IF(B4768="","",IFERROR(INDEX(Clay_Brands!$A$2:$FZ$601,117,Sync!$D$6)&amp;"",""))</f>
        <v/>
      </c>
      <c r="F4768" s="17">
        <f>IF(B4768="","","outreach_sent")</f>
        <v/>
      </c>
      <c r="G4768" s="17">
        <f>IF(B4768="","","")</f>
        <v/>
      </c>
      <c r="H4768" s="17">
        <f>IF(B4768="","","")</f>
        <v/>
      </c>
      <c r="I4768" s="17">
        <f>IF(B4768="","","")</f>
        <v/>
      </c>
      <c r="J4768" s="17">
        <f>IF(B4768="","","touch_3; "&amp;IFERROR(INDEX(Clay_Brands!$A$2:$FZ$601,117,Sync!$D$10)&amp;"","")&amp;"; "&amp;IFERROR(INDEX(Clay_Brands!$A$2:$FZ$601,117,Sync!$D$9)&amp;"",""))</f>
        <v/>
      </c>
      <c r="K4768" t="inlineStr">
        <is>
          <t>brand outreach touch 3</t>
        </is>
      </c>
    </row>
    <row r="4769">
      <c r="A4769" s="17">
        <f>IF(B4769="","",B4769+(17*1000+118)/10000000)</f>
        <v/>
      </c>
      <c r="B4769" s="23">
        <f>IF(AND(IFERROR(N(INDEX(Clay_Brands!$A$2:$FZ$601,118,Sync!$D$13)),0)&gt;0,IFERROR(INDEX(Clay_Brands!$A$2:$FZ$601,118,Sync!$D$5)&amp;"","")&lt;&gt;"",OR(LEFT(IFERROR(INDEX(Clay_Brands!$A$2:$FZ$601,118,Sync!$D$5)&amp;"",""),6)&lt;&gt;"SAMPLE",Config!$B$19="Y")),IFERROR(N(INDEX(Clay_Brands!$A$2:$FZ$601,118,Sync!$D$13)),0),"")</f>
        <v/>
      </c>
      <c r="C4769" s="17">
        <f>IF(B4769="","","brand")</f>
        <v/>
      </c>
      <c r="D4769" s="17">
        <f>IF(B4769="","",IFERROR(INDEX(Clay_Brands!$A$2:$FZ$601,118,Sync!$D$5)&amp;"",""))</f>
        <v/>
      </c>
      <c r="E4769" s="17">
        <f>IF(B4769="","",IFERROR(INDEX(Clay_Brands!$A$2:$FZ$601,118,Sync!$D$6)&amp;"",""))</f>
        <v/>
      </c>
      <c r="F4769" s="17">
        <f>IF(B4769="","","outreach_sent")</f>
        <v/>
      </c>
      <c r="G4769" s="17">
        <f>IF(B4769="","","")</f>
        <v/>
      </c>
      <c r="H4769" s="17">
        <f>IF(B4769="","","")</f>
        <v/>
      </c>
      <c r="I4769" s="17">
        <f>IF(B4769="","","")</f>
        <v/>
      </c>
      <c r="J4769" s="17">
        <f>IF(B4769="","","touch_3; "&amp;IFERROR(INDEX(Clay_Brands!$A$2:$FZ$601,118,Sync!$D$10)&amp;"","")&amp;"; "&amp;IFERROR(INDEX(Clay_Brands!$A$2:$FZ$601,118,Sync!$D$9)&amp;"",""))</f>
        <v/>
      </c>
      <c r="K4769" t="inlineStr">
        <is>
          <t>brand outreach touch 3</t>
        </is>
      </c>
    </row>
    <row r="4770">
      <c r="A4770" s="17">
        <f>IF(B4770="","",B4770+(17*1000+119)/10000000)</f>
        <v/>
      </c>
      <c r="B4770" s="23">
        <f>IF(AND(IFERROR(N(INDEX(Clay_Brands!$A$2:$FZ$601,119,Sync!$D$13)),0)&gt;0,IFERROR(INDEX(Clay_Brands!$A$2:$FZ$601,119,Sync!$D$5)&amp;"","")&lt;&gt;"",OR(LEFT(IFERROR(INDEX(Clay_Brands!$A$2:$FZ$601,119,Sync!$D$5)&amp;"",""),6)&lt;&gt;"SAMPLE",Config!$B$19="Y")),IFERROR(N(INDEX(Clay_Brands!$A$2:$FZ$601,119,Sync!$D$13)),0),"")</f>
        <v/>
      </c>
      <c r="C4770" s="17">
        <f>IF(B4770="","","brand")</f>
        <v/>
      </c>
      <c r="D4770" s="17">
        <f>IF(B4770="","",IFERROR(INDEX(Clay_Brands!$A$2:$FZ$601,119,Sync!$D$5)&amp;"",""))</f>
        <v/>
      </c>
      <c r="E4770" s="17">
        <f>IF(B4770="","",IFERROR(INDEX(Clay_Brands!$A$2:$FZ$601,119,Sync!$D$6)&amp;"",""))</f>
        <v/>
      </c>
      <c r="F4770" s="17">
        <f>IF(B4770="","","outreach_sent")</f>
        <v/>
      </c>
      <c r="G4770" s="17">
        <f>IF(B4770="","","")</f>
        <v/>
      </c>
      <c r="H4770" s="17">
        <f>IF(B4770="","","")</f>
        <v/>
      </c>
      <c r="I4770" s="17">
        <f>IF(B4770="","","")</f>
        <v/>
      </c>
      <c r="J4770" s="17">
        <f>IF(B4770="","","touch_3; "&amp;IFERROR(INDEX(Clay_Brands!$A$2:$FZ$601,119,Sync!$D$10)&amp;"","")&amp;"; "&amp;IFERROR(INDEX(Clay_Brands!$A$2:$FZ$601,119,Sync!$D$9)&amp;"",""))</f>
        <v/>
      </c>
      <c r="K4770" t="inlineStr">
        <is>
          <t>brand outreach touch 3</t>
        </is>
      </c>
    </row>
    <row r="4771">
      <c r="A4771" s="17">
        <f>IF(B4771="","",B4771+(17*1000+120)/10000000)</f>
        <v/>
      </c>
      <c r="B4771" s="23">
        <f>IF(AND(IFERROR(N(INDEX(Clay_Brands!$A$2:$FZ$601,120,Sync!$D$13)),0)&gt;0,IFERROR(INDEX(Clay_Brands!$A$2:$FZ$601,120,Sync!$D$5)&amp;"","")&lt;&gt;"",OR(LEFT(IFERROR(INDEX(Clay_Brands!$A$2:$FZ$601,120,Sync!$D$5)&amp;"",""),6)&lt;&gt;"SAMPLE",Config!$B$19="Y")),IFERROR(N(INDEX(Clay_Brands!$A$2:$FZ$601,120,Sync!$D$13)),0),"")</f>
        <v/>
      </c>
      <c r="C4771" s="17">
        <f>IF(B4771="","","brand")</f>
        <v/>
      </c>
      <c r="D4771" s="17">
        <f>IF(B4771="","",IFERROR(INDEX(Clay_Brands!$A$2:$FZ$601,120,Sync!$D$5)&amp;"",""))</f>
        <v/>
      </c>
      <c r="E4771" s="17">
        <f>IF(B4771="","",IFERROR(INDEX(Clay_Brands!$A$2:$FZ$601,120,Sync!$D$6)&amp;"",""))</f>
        <v/>
      </c>
      <c r="F4771" s="17">
        <f>IF(B4771="","","outreach_sent")</f>
        <v/>
      </c>
      <c r="G4771" s="17">
        <f>IF(B4771="","","")</f>
        <v/>
      </c>
      <c r="H4771" s="17">
        <f>IF(B4771="","","")</f>
        <v/>
      </c>
      <c r="I4771" s="17">
        <f>IF(B4771="","","")</f>
        <v/>
      </c>
      <c r="J4771" s="17">
        <f>IF(B4771="","","touch_3; "&amp;IFERROR(INDEX(Clay_Brands!$A$2:$FZ$601,120,Sync!$D$10)&amp;"","")&amp;"; "&amp;IFERROR(INDEX(Clay_Brands!$A$2:$FZ$601,120,Sync!$D$9)&amp;"",""))</f>
        <v/>
      </c>
      <c r="K4771" t="inlineStr">
        <is>
          <t>brand outreach touch 3</t>
        </is>
      </c>
    </row>
    <row r="4772">
      <c r="A4772" s="17">
        <f>IF(B4772="","",B4772+(17*1000+121)/10000000)</f>
        <v/>
      </c>
      <c r="B4772" s="23">
        <f>IF(AND(IFERROR(N(INDEX(Clay_Brands!$A$2:$FZ$601,121,Sync!$D$13)),0)&gt;0,IFERROR(INDEX(Clay_Brands!$A$2:$FZ$601,121,Sync!$D$5)&amp;"","")&lt;&gt;"",OR(LEFT(IFERROR(INDEX(Clay_Brands!$A$2:$FZ$601,121,Sync!$D$5)&amp;"",""),6)&lt;&gt;"SAMPLE",Config!$B$19="Y")),IFERROR(N(INDEX(Clay_Brands!$A$2:$FZ$601,121,Sync!$D$13)),0),"")</f>
        <v/>
      </c>
      <c r="C4772" s="17">
        <f>IF(B4772="","","brand")</f>
        <v/>
      </c>
      <c r="D4772" s="17">
        <f>IF(B4772="","",IFERROR(INDEX(Clay_Brands!$A$2:$FZ$601,121,Sync!$D$5)&amp;"",""))</f>
        <v/>
      </c>
      <c r="E4772" s="17">
        <f>IF(B4772="","",IFERROR(INDEX(Clay_Brands!$A$2:$FZ$601,121,Sync!$D$6)&amp;"",""))</f>
        <v/>
      </c>
      <c r="F4772" s="17">
        <f>IF(B4772="","","outreach_sent")</f>
        <v/>
      </c>
      <c r="G4772" s="17">
        <f>IF(B4772="","","")</f>
        <v/>
      </c>
      <c r="H4772" s="17">
        <f>IF(B4772="","","")</f>
        <v/>
      </c>
      <c r="I4772" s="17">
        <f>IF(B4772="","","")</f>
        <v/>
      </c>
      <c r="J4772" s="17">
        <f>IF(B4772="","","touch_3; "&amp;IFERROR(INDEX(Clay_Brands!$A$2:$FZ$601,121,Sync!$D$10)&amp;"","")&amp;"; "&amp;IFERROR(INDEX(Clay_Brands!$A$2:$FZ$601,121,Sync!$D$9)&amp;"",""))</f>
        <v/>
      </c>
      <c r="K4772" t="inlineStr">
        <is>
          <t>brand outreach touch 3</t>
        </is>
      </c>
    </row>
    <row r="4773">
      <c r="A4773" s="17">
        <f>IF(B4773="","",B4773+(17*1000+122)/10000000)</f>
        <v/>
      </c>
      <c r="B4773" s="23">
        <f>IF(AND(IFERROR(N(INDEX(Clay_Brands!$A$2:$FZ$601,122,Sync!$D$13)),0)&gt;0,IFERROR(INDEX(Clay_Brands!$A$2:$FZ$601,122,Sync!$D$5)&amp;"","")&lt;&gt;"",OR(LEFT(IFERROR(INDEX(Clay_Brands!$A$2:$FZ$601,122,Sync!$D$5)&amp;"",""),6)&lt;&gt;"SAMPLE",Config!$B$19="Y")),IFERROR(N(INDEX(Clay_Brands!$A$2:$FZ$601,122,Sync!$D$13)),0),"")</f>
        <v/>
      </c>
      <c r="C4773" s="17">
        <f>IF(B4773="","","brand")</f>
        <v/>
      </c>
      <c r="D4773" s="17">
        <f>IF(B4773="","",IFERROR(INDEX(Clay_Brands!$A$2:$FZ$601,122,Sync!$D$5)&amp;"",""))</f>
        <v/>
      </c>
      <c r="E4773" s="17">
        <f>IF(B4773="","",IFERROR(INDEX(Clay_Brands!$A$2:$FZ$601,122,Sync!$D$6)&amp;"",""))</f>
        <v/>
      </c>
      <c r="F4773" s="17">
        <f>IF(B4773="","","outreach_sent")</f>
        <v/>
      </c>
      <c r="G4773" s="17">
        <f>IF(B4773="","","")</f>
        <v/>
      </c>
      <c r="H4773" s="17">
        <f>IF(B4773="","","")</f>
        <v/>
      </c>
      <c r="I4773" s="17">
        <f>IF(B4773="","","")</f>
        <v/>
      </c>
      <c r="J4773" s="17">
        <f>IF(B4773="","","touch_3; "&amp;IFERROR(INDEX(Clay_Brands!$A$2:$FZ$601,122,Sync!$D$10)&amp;"","")&amp;"; "&amp;IFERROR(INDEX(Clay_Brands!$A$2:$FZ$601,122,Sync!$D$9)&amp;"",""))</f>
        <v/>
      </c>
      <c r="K4773" t="inlineStr">
        <is>
          <t>brand outreach touch 3</t>
        </is>
      </c>
    </row>
    <row r="4774">
      <c r="A4774" s="17">
        <f>IF(B4774="","",B4774+(17*1000+123)/10000000)</f>
        <v/>
      </c>
      <c r="B4774" s="23">
        <f>IF(AND(IFERROR(N(INDEX(Clay_Brands!$A$2:$FZ$601,123,Sync!$D$13)),0)&gt;0,IFERROR(INDEX(Clay_Brands!$A$2:$FZ$601,123,Sync!$D$5)&amp;"","")&lt;&gt;"",OR(LEFT(IFERROR(INDEX(Clay_Brands!$A$2:$FZ$601,123,Sync!$D$5)&amp;"",""),6)&lt;&gt;"SAMPLE",Config!$B$19="Y")),IFERROR(N(INDEX(Clay_Brands!$A$2:$FZ$601,123,Sync!$D$13)),0),"")</f>
        <v/>
      </c>
      <c r="C4774" s="17">
        <f>IF(B4774="","","brand")</f>
        <v/>
      </c>
      <c r="D4774" s="17">
        <f>IF(B4774="","",IFERROR(INDEX(Clay_Brands!$A$2:$FZ$601,123,Sync!$D$5)&amp;"",""))</f>
        <v/>
      </c>
      <c r="E4774" s="17">
        <f>IF(B4774="","",IFERROR(INDEX(Clay_Brands!$A$2:$FZ$601,123,Sync!$D$6)&amp;"",""))</f>
        <v/>
      </c>
      <c r="F4774" s="17">
        <f>IF(B4774="","","outreach_sent")</f>
        <v/>
      </c>
      <c r="G4774" s="17">
        <f>IF(B4774="","","")</f>
        <v/>
      </c>
      <c r="H4774" s="17">
        <f>IF(B4774="","","")</f>
        <v/>
      </c>
      <c r="I4774" s="17">
        <f>IF(B4774="","","")</f>
        <v/>
      </c>
      <c r="J4774" s="17">
        <f>IF(B4774="","","touch_3; "&amp;IFERROR(INDEX(Clay_Brands!$A$2:$FZ$601,123,Sync!$D$10)&amp;"","")&amp;"; "&amp;IFERROR(INDEX(Clay_Brands!$A$2:$FZ$601,123,Sync!$D$9)&amp;"",""))</f>
        <v/>
      </c>
      <c r="K4774" t="inlineStr">
        <is>
          <t>brand outreach touch 3</t>
        </is>
      </c>
    </row>
    <row r="4775">
      <c r="A4775" s="17">
        <f>IF(B4775="","",B4775+(17*1000+124)/10000000)</f>
        <v/>
      </c>
      <c r="B4775" s="23">
        <f>IF(AND(IFERROR(N(INDEX(Clay_Brands!$A$2:$FZ$601,124,Sync!$D$13)),0)&gt;0,IFERROR(INDEX(Clay_Brands!$A$2:$FZ$601,124,Sync!$D$5)&amp;"","")&lt;&gt;"",OR(LEFT(IFERROR(INDEX(Clay_Brands!$A$2:$FZ$601,124,Sync!$D$5)&amp;"",""),6)&lt;&gt;"SAMPLE",Config!$B$19="Y")),IFERROR(N(INDEX(Clay_Brands!$A$2:$FZ$601,124,Sync!$D$13)),0),"")</f>
        <v/>
      </c>
      <c r="C4775" s="17">
        <f>IF(B4775="","","brand")</f>
        <v/>
      </c>
      <c r="D4775" s="17">
        <f>IF(B4775="","",IFERROR(INDEX(Clay_Brands!$A$2:$FZ$601,124,Sync!$D$5)&amp;"",""))</f>
        <v/>
      </c>
      <c r="E4775" s="17">
        <f>IF(B4775="","",IFERROR(INDEX(Clay_Brands!$A$2:$FZ$601,124,Sync!$D$6)&amp;"",""))</f>
        <v/>
      </c>
      <c r="F4775" s="17">
        <f>IF(B4775="","","outreach_sent")</f>
        <v/>
      </c>
      <c r="G4775" s="17">
        <f>IF(B4775="","","")</f>
        <v/>
      </c>
      <c r="H4775" s="17">
        <f>IF(B4775="","","")</f>
        <v/>
      </c>
      <c r="I4775" s="17">
        <f>IF(B4775="","","")</f>
        <v/>
      </c>
      <c r="J4775" s="17">
        <f>IF(B4775="","","touch_3; "&amp;IFERROR(INDEX(Clay_Brands!$A$2:$FZ$601,124,Sync!$D$10)&amp;"","")&amp;"; "&amp;IFERROR(INDEX(Clay_Brands!$A$2:$FZ$601,124,Sync!$D$9)&amp;"",""))</f>
        <v/>
      </c>
      <c r="K4775" t="inlineStr">
        <is>
          <t>brand outreach touch 3</t>
        </is>
      </c>
    </row>
    <row r="4776">
      <c r="A4776" s="17">
        <f>IF(B4776="","",B4776+(17*1000+125)/10000000)</f>
        <v/>
      </c>
      <c r="B4776" s="23">
        <f>IF(AND(IFERROR(N(INDEX(Clay_Brands!$A$2:$FZ$601,125,Sync!$D$13)),0)&gt;0,IFERROR(INDEX(Clay_Brands!$A$2:$FZ$601,125,Sync!$D$5)&amp;"","")&lt;&gt;"",OR(LEFT(IFERROR(INDEX(Clay_Brands!$A$2:$FZ$601,125,Sync!$D$5)&amp;"",""),6)&lt;&gt;"SAMPLE",Config!$B$19="Y")),IFERROR(N(INDEX(Clay_Brands!$A$2:$FZ$601,125,Sync!$D$13)),0),"")</f>
        <v/>
      </c>
      <c r="C4776" s="17">
        <f>IF(B4776="","","brand")</f>
        <v/>
      </c>
      <c r="D4776" s="17">
        <f>IF(B4776="","",IFERROR(INDEX(Clay_Brands!$A$2:$FZ$601,125,Sync!$D$5)&amp;"",""))</f>
        <v/>
      </c>
      <c r="E4776" s="17">
        <f>IF(B4776="","",IFERROR(INDEX(Clay_Brands!$A$2:$FZ$601,125,Sync!$D$6)&amp;"",""))</f>
        <v/>
      </c>
      <c r="F4776" s="17">
        <f>IF(B4776="","","outreach_sent")</f>
        <v/>
      </c>
      <c r="G4776" s="17">
        <f>IF(B4776="","","")</f>
        <v/>
      </c>
      <c r="H4776" s="17">
        <f>IF(B4776="","","")</f>
        <v/>
      </c>
      <c r="I4776" s="17">
        <f>IF(B4776="","","")</f>
        <v/>
      </c>
      <c r="J4776" s="17">
        <f>IF(B4776="","","touch_3; "&amp;IFERROR(INDEX(Clay_Brands!$A$2:$FZ$601,125,Sync!$D$10)&amp;"","")&amp;"; "&amp;IFERROR(INDEX(Clay_Brands!$A$2:$FZ$601,125,Sync!$D$9)&amp;"",""))</f>
        <v/>
      </c>
      <c r="K4776" t="inlineStr">
        <is>
          <t>brand outreach touch 3</t>
        </is>
      </c>
    </row>
    <row r="4777">
      <c r="A4777" s="17">
        <f>IF(B4777="","",B4777+(17*1000+126)/10000000)</f>
        <v/>
      </c>
      <c r="B4777" s="23">
        <f>IF(AND(IFERROR(N(INDEX(Clay_Brands!$A$2:$FZ$601,126,Sync!$D$13)),0)&gt;0,IFERROR(INDEX(Clay_Brands!$A$2:$FZ$601,126,Sync!$D$5)&amp;"","")&lt;&gt;"",OR(LEFT(IFERROR(INDEX(Clay_Brands!$A$2:$FZ$601,126,Sync!$D$5)&amp;"",""),6)&lt;&gt;"SAMPLE",Config!$B$19="Y")),IFERROR(N(INDEX(Clay_Brands!$A$2:$FZ$601,126,Sync!$D$13)),0),"")</f>
        <v/>
      </c>
      <c r="C4777" s="17">
        <f>IF(B4777="","","brand")</f>
        <v/>
      </c>
      <c r="D4777" s="17">
        <f>IF(B4777="","",IFERROR(INDEX(Clay_Brands!$A$2:$FZ$601,126,Sync!$D$5)&amp;"",""))</f>
        <v/>
      </c>
      <c r="E4777" s="17">
        <f>IF(B4777="","",IFERROR(INDEX(Clay_Brands!$A$2:$FZ$601,126,Sync!$D$6)&amp;"",""))</f>
        <v/>
      </c>
      <c r="F4777" s="17">
        <f>IF(B4777="","","outreach_sent")</f>
        <v/>
      </c>
      <c r="G4777" s="17">
        <f>IF(B4777="","","")</f>
        <v/>
      </c>
      <c r="H4777" s="17">
        <f>IF(B4777="","","")</f>
        <v/>
      </c>
      <c r="I4777" s="17">
        <f>IF(B4777="","","")</f>
        <v/>
      </c>
      <c r="J4777" s="17">
        <f>IF(B4777="","","touch_3; "&amp;IFERROR(INDEX(Clay_Brands!$A$2:$FZ$601,126,Sync!$D$10)&amp;"","")&amp;"; "&amp;IFERROR(INDEX(Clay_Brands!$A$2:$FZ$601,126,Sync!$D$9)&amp;"",""))</f>
        <v/>
      </c>
      <c r="K4777" t="inlineStr">
        <is>
          <t>brand outreach touch 3</t>
        </is>
      </c>
    </row>
    <row r="4778">
      <c r="A4778" s="17">
        <f>IF(B4778="","",B4778+(17*1000+127)/10000000)</f>
        <v/>
      </c>
      <c r="B4778" s="23">
        <f>IF(AND(IFERROR(N(INDEX(Clay_Brands!$A$2:$FZ$601,127,Sync!$D$13)),0)&gt;0,IFERROR(INDEX(Clay_Brands!$A$2:$FZ$601,127,Sync!$D$5)&amp;"","")&lt;&gt;"",OR(LEFT(IFERROR(INDEX(Clay_Brands!$A$2:$FZ$601,127,Sync!$D$5)&amp;"",""),6)&lt;&gt;"SAMPLE",Config!$B$19="Y")),IFERROR(N(INDEX(Clay_Brands!$A$2:$FZ$601,127,Sync!$D$13)),0),"")</f>
        <v/>
      </c>
      <c r="C4778" s="17">
        <f>IF(B4778="","","brand")</f>
        <v/>
      </c>
      <c r="D4778" s="17">
        <f>IF(B4778="","",IFERROR(INDEX(Clay_Brands!$A$2:$FZ$601,127,Sync!$D$5)&amp;"",""))</f>
        <v/>
      </c>
      <c r="E4778" s="17">
        <f>IF(B4778="","",IFERROR(INDEX(Clay_Brands!$A$2:$FZ$601,127,Sync!$D$6)&amp;"",""))</f>
        <v/>
      </c>
      <c r="F4778" s="17">
        <f>IF(B4778="","","outreach_sent")</f>
        <v/>
      </c>
      <c r="G4778" s="17">
        <f>IF(B4778="","","")</f>
        <v/>
      </c>
      <c r="H4778" s="17">
        <f>IF(B4778="","","")</f>
        <v/>
      </c>
      <c r="I4778" s="17">
        <f>IF(B4778="","","")</f>
        <v/>
      </c>
      <c r="J4778" s="17">
        <f>IF(B4778="","","touch_3; "&amp;IFERROR(INDEX(Clay_Brands!$A$2:$FZ$601,127,Sync!$D$10)&amp;"","")&amp;"; "&amp;IFERROR(INDEX(Clay_Brands!$A$2:$FZ$601,127,Sync!$D$9)&amp;"",""))</f>
        <v/>
      </c>
      <c r="K4778" t="inlineStr">
        <is>
          <t>brand outreach touch 3</t>
        </is>
      </c>
    </row>
    <row r="4779">
      <c r="A4779" s="17">
        <f>IF(B4779="","",B4779+(17*1000+128)/10000000)</f>
        <v/>
      </c>
      <c r="B4779" s="23">
        <f>IF(AND(IFERROR(N(INDEX(Clay_Brands!$A$2:$FZ$601,128,Sync!$D$13)),0)&gt;0,IFERROR(INDEX(Clay_Brands!$A$2:$FZ$601,128,Sync!$D$5)&amp;"","")&lt;&gt;"",OR(LEFT(IFERROR(INDEX(Clay_Brands!$A$2:$FZ$601,128,Sync!$D$5)&amp;"",""),6)&lt;&gt;"SAMPLE",Config!$B$19="Y")),IFERROR(N(INDEX(Clay_Brands!$A$2:$FZ$601,128,Sync!$D$13)),0),"")</f>
        <v/>
      </c>
      <c r="C4779" s="17">
        <f>IF(B4779="","","brand")</f>
        <v/>
      </c>
      <c r="D4779" s="17">
        <f>IF(B4779="","",IFERROR(INDEX(Clay_Brands!$A$2:$FZ$601,128,Sync!$D$5)&amp;"",""))</f>
        <v/>
      </c>
      <c r="E4779" s="17">
        <f>IF(B4779="","",IFERROR(INDEX(Clay_Brands!$A$2:$FZ$601,128,Sync!$D$6)&amp;"",""))</f>
        <v/>
      </c>
      <c r="F4779" s="17">
        <f>IF(B4779="","","outreach_sent")</f>
        <v/>
      </c>
      <c r="G4779" s="17">
        <f>IF(B4779="","","")</f>
        <v/>
      </c>
      <c r="H4779" s="17">
        <f>IF(B4779="","","")</f>
        <v/>
      </c>
      <c r="I4779" s="17">
        <f>IF(B4779="","","")</f>
        <v/>
      </c>
      <c r="J4779" s="17">
        <f>IF(B4779="","","touch_3; "&amp;IFERROR(INDEX(Clay_Brands!$A$2:$FZ$601,128,Sync!$D$10)&amp;"","")&amp;"; "&amp;IFERROR(INDEX(Clay_Brands!$A$2:$FZ$601,128,Sync!$D$9)&amp;"",""))</f>
        <v/>
      </c>
      <c r="K4779" t="inlineStr">
        <is>
          <t>brand outreach touch 3</t>
        </is>
      </c>
    </row>
    <row r="4780">
      <c r="A4780" s="17">
        <f>IF(B4780="","",B4780+(17*1000+129)/10000000)</f>
        <v/>
      </c>
      <c r="B4780" s="23">
        <f>IF(AND(IFERROR(N(INDEX(Clay_Brands!$A$2:$FZ$601,129,Sync!$D$13)),0)&gt;0,IFERROR(INDEX(Clay_Brands!$A$2:$FZ$601,129,Sync!$D$5)&amp;"","")&lt;&gt;"",OR(LEFT(IFERROR(INDEX(Clay_Brands!$A$2:$FZ$601,129,Sync!$D$5)&amp;"",""),6)&lt;&gt;"SAMPLE",Config!$B$19="Y")),IFERROR(N(INDEX(Clay_Brands!$A$2:$FZ$601,129,Sync!$D$13)),0),"")</f>
        <v/>
      </c>
      <c r="C4780" s="17">
        <f>IF(B4780="","","brand")</f>
        <v/>
      </c>
      <c r="D4780" s="17">
        <f>IF(B4780="","",IFERROR(INDEX(Clay_Brands!$A$2:$FZ$601,129,Sync!$D$5)&amp;"",""))</f>
        <v/>
      </c>
      <c r="E4780" s="17">
        <f>IF(B4780="","",IFERROR(INDEX(Clay_Brands!$A$2:$FZ$601,129,Sync!$D$6)&amp;"",""))</f>
        <v/>
      </c>
      <c r="F4780" s="17">
        <f>IF(B4780="","","outreach_sent")</f>
        <v/>
      </c>
      <c r="G4780" s="17">
        <f>IF(B4780="","","")</f>
        <v/>
      </c>
      <c r="H4780" s="17">
        <f>IF(B4780="","","")</f>
        <v/>
      </c>
      <c r="I4780" s="17">
        <f>IF(B4780="","","")</f>
        <v/>
      </c>
      <c r="J4780" s="17">
        <f>IF(B4780="","","touch_3; "&amp;IFERROR(INDEX(Clay_Brands!$A$2:$FZ$601,129,Sync!$D$10)&amp;"","")&amp;"; "&amp;IFERROR(INDEX(Clay_Brands!$A$2:$FZ$601,129,Sync!$D$9)&amp;"",""))</f>
        <v/>
      </c>
      <c r="K4780" t="inlineStr">
        <is>
          <t>brand outreach touch 3</t>
        </is>
      </c>
    </row>
    <row r="4781">
      <c r="A4781" s="17">
        <f>IF(B4781="","",B4781+(17*1000+130)/10000000)</f>
        <v/>
      </c>
      <c r="B4781" s="23">
        <f>IF(AND(IFERROR(N(INDEX(Clay_Brands!$A$2:$FZ$601,130,Sync!$D$13)),0)&gt;0,IFERROR(INDEX(Clay_Brands!$A$2:$FZ$601,130,Sync!$D$5)&amp;"","")&lt;&gt;"",OR(LEFT(IFERROR(INDEX(Clay_Brands!$A$2:$FZ$601,130,Sync!$D$5)&amp;"",""),6)&lt;&gt;"SAMPLE",Config!$B$19="Y")),IFERROR(N(INDEX(Clay_Brands!$A$2:$FZ$601,130,Sync!$D$13)),0),"")</f>
        <v/>
      </c>
      <c r="C4781" s="17">
        <f>IF(B4781="","","brand")</f>
        <v/>
      </c>
      <c r="D4781" s="17">
        <f>IF(B4781="","",IFERROR(INDEX(Clay_Brands!$A$2:$FZ$601,130,Sync!$D$5)&amp;"",""))</f>
        <v/>
      </c>
      <c r="E4781" s="17">
        <f>IF(B4781="","",IFERROR(INDEX(Clay_Brands!$A$2:$FZ$601,130,Sync!$D$6)&amp;"",""))</f>
        <v/>
      </c>
      <c r="F4781" s="17">
        <f>IF(B4781="","","outreach_sent")</f>
        <v/>
      </c>
      <c r="G4781" s="17">
        <f>IF(B4781="","","")</f>
        <v/>
      </c>
      <c r="H4781" s="17">
        <f>IF(B4781="","","")</f>
        <v/>
      </c>
      <c r="I4781" s="17">
        <f>IF(B4781="","","")</f>
        <v/>
      </c>
      <c r="J4781" s="17">
        <f>IF(B4781="","","touch_3; "&amp;IFERROR(INDEX(Clay_Brands!$A$2:$FZ$601,130,Sync!$D$10)&amp;"","")&amp;"; "&amp;IFERROR(INDEX(Clay_Brands!$A$2:$FZ$601,130,Sync!$D$9)&amp;"",""))</f>
        <v/>
      </c>
      <c r="K4781" t="inlineStr">
        <is>
          <t>brand outreach touch 3</t>
        </is>
      </c>
    </row>
    <row r="4782">
      <c r="A4782" s="17">
        <f>IF(B4782="","",B4782+(17*1000+131)/10000000)</f>
        <v/>
      </c>
      <c r="B4782" s="23">
        <f>IF(AND(IFERROR(N(INDEX(Clay_Brands!$A$2:$FZ$601,131,Sync!$D$13)),0)&gt;0,IFERROR(INDEX(Clay_Brands!$A$2:$FZ$601,131,Sync!$D$5)&amp;"","")&lt;&gt;"",OR(LEFT(IFERROR(INDEX(Clay_Brands!$A$2:$FZ$601,131,Sync!$D$5)&amp;"",""),6)&lt;&gt;"SAMPLE",Config!$B$19="Y")),IFERROR(N(INDEX(Clay_Brands!$A$2:$FZ$601,131,Sync!$D$13)),0),"")</f>
        <v/>
      </c>
      <c r="C4782" s="17">
        <f>IF(B4782="","","brand")</f>
        <v/>
      </c>
      <c r="D4782" s="17">
        <f>IF(B4782="","",IFERROR(INDEX(Clay_Brands!$A$2:$FZ$601,131,Sync!$D$5)&amp;"",""))</f>
        <v/>
      </c>
      <c r="E4782" s="17">
        <f>IF(B4782="","",IFERROR(INDEX(Clay_Brands!$A$2:$FZ$601,131,Sync!$D$6)&amp;"",""))</f>
        <v/>
      </c>
      <c r="F4782" s="17">
        <f>IF(B4782="","","outreach_sent")</f>
        <v/>
      </c>
      <c r="G4782" s="17">
        <f>IF(B4782="","","")</f>
        <v/>
      </c>
      <c r="H4782" s="17">
        <f>IF(B4782="","","")</f>
        <v/>
      </c>
      <c r="I4782" s="17">
        <f>IF(B4782="","","")</f>
        <v/>
      </c>
      <c r="J4782" s="17">
        <f>IF(B4782="","","touch_3; "&amp;IFERROR(INDEX(Clay_Brands!$A$2:$FZ$601,131,Sync!$D$10)&amp;"","")&amp;"; "&amp;IFERROR(INDEX(Clay_Brands!$A$2:$FZ$601,131,Sync!$D$9)&amp;"",""))</f>
        <v/>
      </c>
      <c r="K4782" t="inlineStr">
        <is>
          <t>brand outreach touch 3</t>
        </is>
      </c>
    </row>
    <row r="4783">
      <c r="A4783" s="17">
        <f>IF(B4783="","",B4783+(17*1000+132)/10000000)</f>
        <v/>
      </c>
      <c r="B4783" s="23">
        <f>IF(AND(IFERROR(N(INDEX(Clay_Brands!$A$2:$FZ$601,132,Sync!$D$13)),0)&gt;0,IFERROR(INDEX(Clay_Brands!$A$2:$FZ$601,132,Sync!$D$5)&amp;"","")&lt;&gt;"",OR(LEFT(IFERROR(INDEX(Clay_Brands!$A$2:$FZ$601,132,Sync!$D$5)&amp;"",""),6)&lt;&gt;"SAMPLE",Config!$B$19="Y")),IFERROR(N(INDEX(Clay_Brands!$A$2:$FZ$601,132,Sync!$D$13)),0),"")</f>
        <v/>
      </c>
      <c r="C4783" s="17">
        <f>IF(B4783="","","brand")</f>
        <v/>
      </c>
      <c r="D4783" s="17">
        <f>IF(B4783="","",IFERROR(INDEX(Clay_Brands!$A$2:$FZ$601,132,Sync!$D$5)&amp;"",""))</f>
        <v/>
      </c>
      <c r="E4783" s="17">
        <f>IF(B4783="","",IFERROR(INDEX(Clay_Brands!$A$2:$FZ$601,132,Sync!$D$6)&amp;"",""))</f>
        <v/>
      </c>
      <c r="F4783" s="17">
        <f>IF(B4783="","","outreach_sent")</f>
        <v/>
      </c>
      <c r="G4783" s="17">
        <f>IF(B4783="","","")</f>
        <v/>
      </c>
      <c r="H4783" s="17">
        <f>IF(B4783="","","")</f>
        <v/>
      </c>
      <c r="I4783" s="17">
        <f>IF(B4783="","","")</f>
        <v/>
      </c>
      <c r="J4783" s="17">
        <f>IF(B4783="","","touch_3; "&amp;IFERROR(INDEX(Clay_Brands!$A$2:$FZ$601,132,Sync!$D$10)&amp;"","")&amp;"; "&amp;IFERROR(INDEX(Clay_Brands!$A$2:$FZ$601,132,Sync!$D$9)&amp;"",""))</f>
        <v/>
      </c>
      <c r="K4783" t="inlineStr">
        <is>
          <t>brand outreach touch 3</t>
        </is>
      </c>
    </row>
    <row r="4784">
      <c r="A4784" s="17">
        <f>IF(B4784="","",B4784+(17*1000+133)/10000000)</f>
        <v/>
      </c>
      <c r="B4784" s="23">
        <f>IF(AND(IFERROR(N(INDEX(Clay_Brands!$A$2:$FZ$601,133,Sync!$D$13)),0)&gt;0,IFERROR(INDEX(Clay_Brands!$A$2:$FZ$601,133,Sync!$D$5)&amp;"","")&lt;&gt;"",OR(LEFT(IFERROR(INDEX(Clay_Brands!$A$2:$FZ$601,133,Sync!$D$5)&amp;"",""),6)&lt;&gt;"SAMPLE",Config!$B$19="Y")),IFERROR(N(INDEX(Clay_Brands!$A$2:$FZ$601,133,Sync!$D$13)),0),"")</f>
        <v/>
      </c>
      <c r="C4784" s="17">
        <f>IF(B4784="","","brand")</f>
        <v/>
      </c>
      <c r="D4784" s="17">
        <f>IF(B4784="","",IFERROR(INDEX(Clay_Brands!$A$2:$FZ$601,133,Sync!$D$5)&amp;"",""))</f>
        <v/>
      </c>
      <c r="E4784" s="17">
        <f>IF(B4784="","",IFERROR(INDEX(Clay_Brands!$A$2:$FZ$601,133,Sync!$D$6)&amp;"",""))</f>
        <v/>
      </c>
      <c r="F4784" s="17">
        <f>IF(B4784="","","outreach_sent")</f>
        <v/>
      </c>
      <c r="G4784" s="17">
        <f>IF(B4784="","","")</f>
        <v/>
      </c>
      <c r="H4784" s="17">
        <f>IF(B4784="","","")</f>
        <v/>
      </c>
      <c r="I4784" s="17">
        <f>IF(B4784="","","")</f>
        <v/>
      </c>
      <c r="J4784" s="17">
        <f>IF(B4784="","","touch_3; "&amp;IFERROR(INDEX(Clay_Brands!$A$2:$FZ$601,133,Sync!$D$10)&amp;"","")&amp;"; "&amp;IFERROR(INDEX(Clay_Brands!$A$2:$FZ$601,133,Sync!$D$9)&amp;"",""))</f>
        <v/>
      </c>
      <c r="K4784" t="inlineStr">
        <is>
          <t>brand outreach touch 3</t>
        </is>
      </c>
    </row>
    <row r="4785">
      <c r="A4785" s="17">
        <f>IF(B4785="","",B4785+(17*1000+134)/10000000)</f>
        <v/>
      </c>
      <c r="B4785" s="23">
        <f>IF(AND(IFERROR(N(INDEX(Clay_Brands!$A$2:$FZ$601,134,Sync!$D$13)),0)&gt;0,IFERROR(INDEX(Clay_Brands!$A$2:$FZ$601,134,Sync!$D$5)&amp;"","")&lt;&gt;"",OR(LEFT(IFERROR(INDEX(Clay_Brands!$A$2:$FZ$601,134,Sync!$D$5)&amp;"",""),6)&lt;&gt;"SAMPLE",Config!$B$19="Y")),IFERROR(N(INDEX(Clay_Brands!$A$2:$FZ$601,134,Sync!$D$13)),0),"")</f>
        <v/>
      </c>
      <c r="C4785" s="17">
        <f>IF(B4785="","","brand")</f>
        <v/>
      </c>
      <c r="D4785" s="17">
        <f>IF(B4785="","",IFERROR(INDEX(Clay_Brands!$A$2:$FZ$601,134,Sync!$D$5)&amp;"",""))</f>
        <v/>
      </c>
      <c r="E4785" s="17">
        <f>IF(B4785="","",IFERROR(INDEX(Clay_Brands!$A$2:$FZ$601,134,Sync!$D$6)&amp;"",""))</f>
        <v/>
      </c>
      <c r="F4785" s="17">
        <f>IF(B4785="","","outreach_sent")</f>
        <v/>
      </c>
      <c r="G4785" s="17">
        <f>IF(B4785="","","")</f>
        <v/>
      </c>
      <c r="H4785" s="17">
        <f>IF(B4785="","","")</f>
        <v/>
      </c>
      <c r="I4785" s="17">
        <f>IF(B4785="","","")</f>
        <v/>
      </c>
      <c r="J4785" s="17">
        <f>IF(B4785="","","touch_3; "&amp;IFERROR(INDEX(Clay_Brands!$A$2:$FZ$601,134,Sync!$D$10)&amp;"","")&amp;"; "&amp;IFERROR(INDEX(Clay_Brands!$A$2:$FZ$601,134,Sync!$D$9)&amp;"",""))</f>
        <v/>
      </c>
      <c r="K4785" t="inlineStr">
        <is>
          <t>brand outreach touch 3</t>
        </is>
      </c>
    </row>
    <row r="4786">
      <c r="A4786" s="17">
        <f>IF(B4786="","",B4786+(17*1000+135)/10000000)</f>
        <v/>
      </c>
      <c r="B4786" s="23">
        <f>IF(AND(IFERROR(N(INDEX(Clay_Brands!$A$2:$FZ$601,135,Sync!$D$13)),0)&gt;0,IFERROR(INDEX(Clay_Brands!$A$2:$FZ$601,135,Sync!$D$5)&amp;"","")&lt;&gt;"",OR(LEFT(IFERROR(INDEX(Clay_Brands!$A$2:$FZ$601,135,Sync!$D$5)&amp;"",""),6)&lt;&gt;"SAMPLE",Config!$B$19="Y")),IFERROR(N(INDEX(Clay_Brands!$A$2:$FZ$601,135,Sync!$D$13)),0),"")</f>
        <v/>
      </c>
      <c r="C4786" s="17">
        <f>IF(B4786="","","brand")</f>
        <v/>
      </c>
      <c r="D4786" s="17">
        <f>IF(B4786="","",IFERROR(INDEX(Clay_Brands!$A$2:$FZ$601,135,Sync!$D$5)&amp;"",""))</f>
        <v/>
      </c>
      <c r="E4786" s="17">
        <f>IF(B4786="","",IFERROR(INDEX(Clay_Brands!$A$2:$FZ$601,135,Sync!$D$6)&amp;"",""))</f>
        <v/>
      </c>
      <c r="F4786" s="17">
        <f>IF(B4786="","","outreach_sent")</f>
        <v/>
      </c>
      <c r="G4786" s="17">
        <f>IF(B4786="","","")</f>
        <v/>
      </c>
      <c r="H4786" s="17">
        <f>IF(B4786="","","")</f>
        <v/>
      </c>
      <c r="I4786" s="17">
        <f>IF(B4786="","","")</f>
        <v/>
      </c>
      <c r="J4786" s="17">
        <f>IF(B4786="","","touch_3; "&amp;IFERROR(INDEX(Clay_Brands!$A$2:$FZ$601,135,Sync!$D$10)&amp;"","")&amp;"; "&amp;IFERROR(INDEX(Clay_Brands!$A$2:$FZ$601,135,Sync!$D$9)&amp;"",""))</f>
        <v/>
      </c>
      <c r="K4786" t="inlineStr">
        <is>
          <t>brand outreach touch 3</t>
        </is>
      </c>
    </row>
    <row r="4787">
      <c r="A4787" s="17">
        <f>IF(B4787="","",B4787+(17*1000+136)/10000000)</f>
        <v/>
      </c>
      <c r="B4787" s="23">
        <f>IF(AND(IFERROR(N(INDEX(Clay_Brands!$A$2:$FZ$601,136,Sync!$D$13)),0)&gt;0,IFERROR(INDEX(Clay_Brands!$A$2:$FZ$601,136,Sync!$D$5)&amp;"","")&lt;&gt;"",OR(LEFT(IFERROR(INDEX(Clay_Brands!$A$2:$FZ$601,136,Sync!$D$5)&amp;"",""),6)&lt;&gt;"SAMPLE",Config!$B$19="Y")),IFERROR(N(INDEX(Clay_Brands!$A$2:$FZ$601,136,Sync!$D$13)),0),"")</f>
        <v/>
      </c>
      <c r="C4787" s="17">
        <f>IF(B4787="","","brand")</f>
        <v/>
      </c>
      <c r="D4787" s="17">
        <f>IF(B4787="","",IFERROR(INDEX(Clay_Brands!$A$2:$FZ$601,136,Sync!$D$5)&amp;"",""))</f>
        <v/>
      </c>
      <c r="E4787" s="17">
        <f>IF(B4787="","",IFERROR(INDEX(Clay_Brands!$A$2:$FZ$601,136,Sync!$D$6)&amp;"",""))</f>
        <v/>
      </c>
      <c r="F4787" s="17">
        <f>IF(B4787="","","outreach_sent")</f>
        <v/>
      </c>
      <c r="G4787" s="17">
        <f>IF(B4787="","","")</f>
        <v/>
      </c>
      <c r="H4787" s="17">
        <f>IF(B4787="","","")</f>
        <v/>
      </c>
      <c r="I4787" s="17">
        <f>IF(B4787="","","")</f>
        <v/>
      </c>
      <c r="J4787" s="17">
        <f>IF(B4787="","","touch_3; "&amp;IFERROR(INDEX(Clay_Brands!$A$2:$FZ$601,136,Sync!$D$10)&amp;"","")&amp;"; "&amp;IFERROR(INDEX(Clay_Brands!$A$2:$FZ$601,136,Sync!$D$9)&amp;"",""))</f>
        <v/>
      </c>
      <c r="K4787" t="inlineStr">
        <is>
          <t>brand outreach touch 3</t>
        </is>
      </c>
    </row>
    <row r="4788">
      <c r="A4788" s="17">
        <f>IF(B4788="","",B4788+(17*1000+137)/10000000)</f>
        <v/>
      </c>
      <c r="B4788" s="23">
        <f>IF(AND(IFERROR(N(INDEX(Clay_Brands!$A$2:$FZ$601,137,Sync!$D$13)),0)&gt;0,IFERROR(INDEX(Clay_Brands!$A$2:$FZ$601,137,Sync!$D$5)&amp;"","")&lt;&gt;"",OR(LEFT(IFERROR(INDEX(Clay_Brands!$A$2:$FZ$601,137,Sync!$D$5)&amp;"",""),6)&lt;&gt;"SAMPLE",Config!$B$19="Y")),IFERROR(N(INDEX(Clay_Brands!$A$2:$FZ$601,137,Sync!$D$13)),0),"")</f>
        <v/>
      </c>
      <c r="C4788" s="17">
        <f>IF(B4788="","","brand")</f>
        <v/>
      </c>
      <c r="D4788" s="17">
        <f>IF(B4788="","",IFERROR(INDEX(Clay_Brands!$A$2:$FZ$601,137,Sync!$D$5)&amp;"",""))</f>
        <v/>
      </c>
      <c r="E4788" s="17">
        <f>IF(B4788="","",IFERROR(INDEX(Clay_Brands!$A$2:$FZ$601,137,Sync!$D$6)&amp;"",""))</f>
        <v/>
      </c>
      <c r="F4788" s="17">
        <f>IF(B4788="","","outreach_sent")</f>
        <v/>
      </c>
      <c r="G4788" s="17">
        <f>IF(B4788="","","")</f>
        <v/>
      </c>
      <c r="H4788" s="17">
        <f>IF(B4788="","","")</f>
        <v/>
      </c>
      <c r="I4788" s="17">
        <f>IF(B4788="","","")</f>
        <v/>
      </c>
      <c r="J4788" s="17">
        <f>IF(B4788="","","touch_3; "&amp;IFERROR(INDEX(Clay_Brands!$A$2:$FZ$601,137,Sync!$D$10)&amp;"","")&amp;"; "&amp;IFERROR(INDEX(Clay_Brands!$A$2:$FZ$601,137,Sync!$D$9)&amp;"",""))</f>
        <v/>
      </c>
      <c r="K4788" t="inlineStr">
        <is>
          <t>brand outreach touch 3</t>
        </is>
      </c>
    </row>
    <row r="4789">
      <c r="A4789" s="17">
        <f>IF(B4789="","",B4789+(17*1000+138)/10000000)</f>
        <v/>
      </c>
      <c r="B4789" s="23">
        <f>IF(AND(IFERROR(N(INDEX(Clay_Brands!$A$2:$FZ$601,138,Sync!$D$13)),0)&gt;0,IFERROR(INDEX(Clay_Brands!$A$2:$FZ$601,138,Sync!$D$5)&amp;"","")&lt;&gt;"",OR(LEFT(IFERROR(INDEX(Clay_Brands!$A$2:$FZ$601,138,Sync!$D$5)&amp;"",""),6)&lt;&gt;"SAMPLE",Config!$B$19="Y")),IFERROR(N(INDEX(Clay_Brands!$A$2:$FZ$601,138,Sync!$D$13)),0),"")</f>
        <v/>
      </c>
      <c r="C4789" s="17">
        <f>IF(B4789="","","brand")</f>
        <v/>
      </c>
      <c r="D4789" s="17">
        <f>IF(B4789="","",IFERROR(INDEX(Clay_Brands!$A$2:$FZ$601,138,Sync!$D$5)&amp;"",""))</f>
        <v/>
      </c>
      <c r="E4789" s="17">
        <f>IF(B4789="","",IFERROR(INDEX(Clay_Brands!$A$2:$FZ$601,138,Sync!$D$6)&amp;"",""))</f>
        <v/>
      </c>
      <c r="F4789" s="17">
        <f>IF(B4789="","","outreach_sent")</f>
        <v/>
      </c>
      <c r="G4789" s="17">
        <f>IF(B4789="","","")</f>
        <v/>
      </c>
      <c r="H4789" s="17">
        <f>IF(B4789="","","")</f>
        <v/>
      </c>
      <c r="I4789" s="17">
        <f>IF(B4789="","","")</f>
        <v/>
      </c>
      <c r="J4789" s="17">
        <f>IF(B4789="","","touch_3; "&amp;IFERROR(INDEX(Clay_Brands!$A$2:$FZ$601,138,Sync!$D$10)&amp;"","")&amp;"; "&amp;IFERROR(INDEX(Clay_Brands!$A$2:$FZ$601,138,Sync!$D$9)&amp;"",""))</f>
        <v/>
      </c>
      <c r="K4789" t="inlineStr">
        <is>
          <t>brand outreach touch 3</t>
        </is>
      </c>
    </row>
    <row r="4790">
      <c r="A4790" s="17">
        <f>IF(B4790="","",B4790+(17*1000+139)/10000000)</f>
        <v/>
      </c>
      <c r="B4790" s="23">
        <f>IF(AND(IFERROR(N(INDEX(Clay_Brands!$A$2:$FZ$601,139,Sync!$D$13)),0)&gt;0,IFERROR(INDEX(Clay_Brands!$A$2:$FZ$601,139,Sync!$D$5)&amp;"","")&lt;&gt;"",OR(LEFT(IFERROR(INDEX(Clay_Brands!$A$2:$FZ$601,139,Sync!$D$5)&amp;"",""),6)&lt;&gt;"SAMPLE",Config!$B$19="Y")),IFERROR(N(INDEX(Clay_Brands!$A$2:$FZ$601,139,Sync!$D$13)),0),"")</f>
        <v/>
      </c>
      <c r="C4790" s="17">
        <f>IF(B4790="","","brand")</f>
        <v/>
      </c>
      <c r="D4790" s="17">
        <f>IF(B4790="","",IFERROR(INDEX(Clay_Brands!$A$2:$FZ$601,139,Sync!$D$5)&amp;"",""))</f>
        <v/>
      </c>
      <c r="E4790" s="17">
        <f>IF(B4790="","",IFERROR(INDEX(Clay_Brands!$A$2:$FZ$601,139,Sync!$D$6)&amp;"",""))</f>
        <v/>
      </c>
      <c r="F4790" s="17">
        <f>IF(B4790="","","outreach_sent")</f>
        <v/>
      </c>
      <c r="G4790" s="17">
        <f>IF(B4790="","","")</f>
        <v/>
      </c>
      <c r="H4790" s="17">
        <f>IF(B4790="","","")</f>
        <v/>
      </c>
      <c r="I4790" s="17">
        <f>IF(B4790="","","")</f>
        <v/>
      </c>
      <c r="J4790" s="17">
        <f>IF(B4790="","","touch_3; "&amp;IFERROR(INDEX(Clay_Brands!$A$2:$FZ$601,139,Sync!$D$10)&amp;"","")&amp;"; "&amp;IFERROR(INDEX(Clay_Brands!$A$2:$FZ$601,139,Sync!$D$9)&amp;"",""))</f>
        <v/>
      </c>
      <c r="K4790" t="inlineStr">
        <is>
          <t>brand outreach touch 3</t>
        </is>
      </c>
    </row>
    <row r="4791">
      <c r="A4791" s="17">
        <f>IF(B4791="","",B4791+(17*1000+140)/10000000)</f>
        <v/>
      </c>
      <c r="B4791" s="23">
        <f>IF(AND(IFERROR(N(INDEX(Clay_Brands!$A$2:$FZ$601,140,Sync!$D$13)),0)&gt;0,IFERROR(INDEX(Clay_Brands!$A$2:$FZ$601,140,Sync!$D$5)&amp;"","")&lt;&gt;"",OR(LEFT(IFERROR(INDEX(Clay_Brands!$A$2:$FZ$601,140,Sync!$D$5)&amp;"",""),6)&lt;&gt;"SAMPLE",Config!$B$19="Y")),IFERROR(N(INDEX(Clay_Brands!$A$2:$FZ$601,140,Sync!$D$13)),0),"")</f>
        <v/>
      </c>
      <c r="C4791" s="17">
        <f>IF(B4791="","","brand")</f>
        <v/>
      </c>
      <c r="D4791" s="17">
        <f>IF(B4791="","",IFERROR(INDEX(Clay_Brands!$A$2:$FZ$601,140,Sync!$D$5)&amp;"",""))</f>
        <v/>
      </c>
      <c r="E4791" s="17">
        <f>IF(B4791="","",IFERROR(INDEX(Clay_Brands!$A$2:$FZ$601,140,Sync!$D$6)&amp;"",""))</f>
        <v/>
      </c>
      <c r="F4791" s="17">
        <f>IF(B4791="","","outreach_sent")</f>
        <v/>
      </c>
      <c r="G4791" s="17">
        <f>IF(B4791="","","")</f>
        <v/>
      </c>
      <c r="H4791" s="17">
        <f>IF(B4791="","","")</f>
        <v/>
      </c>
      <c r="I4791" s="17">
        <f>IF(B4791="","","")</f>
        <v/>
      </c>
      <c r="J4791" s="17">
        <f>IF(B4791="","","touch_3; "&amp;IFERROR(INDEX(Clay_Brands!$A$2:$FZ$601,140,Sync!$D$10)&amp;"","")&amp;"; "&amp;IFERROR(INDEX(Clay_Brands!$A$2:$FZ$601,140,Sync!$D$9)&amp;"",""))</f>
        <v/>
      </c>
      <c r="K4791" t="inlineStr">
        <is>
          <t>brand outreach touch 3</t>
        </is>
      </c>
    </row>
    <row r="4792">
      <c r="A4792" s="17">
        <f>IF(B4792="","",B4792+(17*1000+141)/10000000)</f>
        <v/>
      </c>
      <c r="B4792" s="23">
        <f>IF(AND(IFERROR(N(INDEX(Clay_Brands!$A$2:$FZ$601,141,Sync!$D$13)),0)&gt;0,IFERROR(INDEX(Clay_Brands!$A$2:$FZ$601,141,Sync!$D$5)&amp;"","")&lt;&gt;"",OR(LEFT(IFERROR(INDEX(Clay_Brands!$A$2:$FZ$601,141,Sync!$D$5)&amp;"",""),6)&lt;&gt;"SAMPLE",Config!$B$19="Y")),IFERROR(N(INDEX(Clay_Brands!$A$2:$FZ$601,141,Sync!$D$13)),0),"")</f>
        <v/>
      </c>
      <c r="C4792" s="17">
        <f>IF(B4792="","","brand")</f>
        <v/>
      </c>
      <c r="D4792" s="17">
        <f>IF(B4792="","",IFERROR(INDEX(Clay_Brands!$A$2:$FZ$601,141,Sync!$D$5)&amp;"",""))</f>
        <v/>
      </c>
      <c r="E4792" s="17">
        <f>IF(B4792="","",IFERROR(INDEX(Clay_Brands!$A$2:$FZ$601,141,Sync!$D$6)&amp;"",""))</f>
        <v/>
      </c>
      <c r="F4792" s="17">
        <f>IF(B4792="","","outreach_sent")</f>
        <v/>
      </c>
      <c r="G4792" s="17">
        <f>IF(B4792="","","")</f>
        <v/>
      </c>
      <c r="H4792" s="17">
        <f>IF(B4792="","","")</f>
        <v/>
      </c>
      <c r="I4792" s="17">
        <f>IF(B4792="","","")</f>
        <v/>
      </c>
      <c r="J4792" s="17">
        <f>IF(B4792="","","touch_3; "&amp;IFERROR(INDEX(Clay_Brands!$A$2:$FZ$601,141,Sync!$D$10)&amp;"","")&amp;"; "&amp;IFERROR(INDEX(Clay_Brands!$A$2:$FZ$601,141,Sync!$D$9)&amp;"",""))</f>
        <v/>
      </c>
      <c r="K4792" t="inlineStr">
        <is>
          <t>brand outreach touch 3</t>
        </is>
      </c>
    </row>
    <row r="4793">
      <c r="A4793" s="17">
        <f>IF(B4793="","",B4793+(17*1000+142)/10000000)</f>
        <v/>
      </c>
      <c r="B4793" s="23">
        <f>IF(AND(IFERROR(N(INDEX(Clay_Brands!$A$2:$FZ$601,142,Sync!$D$13)),0)&gt;0,IFERROR(INDEX(Clay_Brands!$A$2:$FZ$601,142,Sync!$D$5)&amp;"","")&lt;&gt;"",OR(LEFT(IFERROR(INDEX(Clay_Brands!$A$2:$FZ$601,142,Sync!$D$5)&amp;"",""),6)&lt;&gt;"SAMPLE",Config!$B$19="Y")),IFERROR(N(INDEX(Clay_Brands!$A$2:$FZ$601,142,Sync!$D$13)),0),"")</f>
        <v/>
      </c>
      <c r="C4793" s="17">
        <f>IF(B4793="","","brand")</f>
        <v/>
      </c>
      <c r="D4793" s="17">
        <f>IF(B4793="","",IFERROR(INDEX(Clay_Brands!$A$2:$FZ$601,142,Sync!$D$5)&amp;"",""))</f>
        <v/>
      </c>
      <c r="E4793" s="17">
        <f>IF(B4793="","",IFERROR(INDEX(Clay_Brands!$A$2:$FZ$601,142,Sync!$D$6)&amp;"",""))</f>
        <v/>
      </c>
      <c r="F4793" s="17">
        <f>IF(B4793="","","outreach_sent")</f>
        <v/>
      </c>
      <c r="G4793" s="17">
        <f>IF(B4793="","","")</f>
        <v/>
      </c>
      <c r="H4793" s="17">
        <f>IF(B4793="","","")</f>
        <v/>
      </c>
      <c r="I4793" s="17">
        <f>IF(B4793="","","")</f>
        <v/>
      </c>
      <c r="J4793" s="17">
        <f>IF(B4793="","","touch_3; "&amp;IFERROR(INDEX(Clay_Brands!$A$2:$FZ$601,142,Sync!$D$10)&amp;"","")&amp;"; "&amp;IFERROR(INDEX(Clay_Brands!$A$2:$FZ$601,142,Sync!$D$9)&amp;"",""))</f>
        <v/>
      </c>
      <c r="K4793" t="inlineStr">
        <is>
          <t>brand outreach touch 3</t>
        </is>
      </c>
    </row>
    <row r="4794">
      <c r="A4794" s="17">
        <f>IF(B4794="","",B4794+(17*1000+143)/10000000)</f>
        <v/>
      </c>
      <c r="B4794" s="23">
        <f>IF(AND(IFERROR(N(INDEX(Clay_Brands!$A$2:$FZ$601,143,Sync!$D$13)),0)&gt;0,IFERROR(INDEX(Clay_Brands!$A$2:$FZ$601,143,Sync!$D$5)&amp;"","")&lt;&gt;"",OR(LEFT(IFERROR(INDEX(Clay_Brands!$A$2:$FZ$601,143,Sync!$D$5)&amp;"",""),6)&lt;&gt;"SAMPLE",Config!$B$19="Y")),IFERROR(N(INDEX(Clay_Brands!$A$2:$FZ$601,143,Sync!$D$13)),0),"")</f>
        <v/>
      </c>
      <c r="C4794" s="17">
        <f>IF(B4794="","","brand")</f>
        <v/>
      </c>
      <c r="D4794" s="17">
        <f>IF(B4794="","",IFERROR(INDEX(Clay_Brands!$A$2:$FZ$601,143,Sync!$D$5)&amp;"",""))</f>
        <v/>
      </c>
      <c r="E4794" s="17">
        <f>IF(B4794="","",IFERROR(INDEX(Clay_Brands!$A$2:$FZ$601,143,Sync!$D$6)&amp;"",""))</f>
        <v/>
      </c>
      <c r="F4794" s="17">
        <f>IF(B4794="","","outreach_sent")</f>
        <v/>
      </c>
      <c r="G4794" s="17">
        <f>IF(B4794="","","")</f>
        <v/>
      </c>
      <c r="H4794" s="17">
        <f>IF(B4794="","","")</f>
        <v/>
      </c>
      <c r="I4794" s="17">
        <f>IF(B4794="","","")</f>
        <v/>
      </c>
      <c r="J4794" s="17">
        <f>IF(B4794="","","touch_3; "&amp;IFERROR(INDEX(Clay_Brands!$A$2:$FZ$601,143,Sync!$D$10)&amp;"","")&amp;"; "&amp;IFERROR(INDEX(Clay_Brands!$A$2:$FZ$601,143,Sync!$D$9)&amp;"",""))</f>
        <v/>
      </c>
      <c r="K4794" t="inlineStr">
        <is>
          <t>brand outreach touch 3</t>
        </is>
      </c>
    </row>
    <row r="4795">
      <c r="A4795" s="17">
        <f>IF(B4795="","",B4795+(17*1000+144)/10000000)</f>
        <v/>
      </c>
      <c r="B4795" s="23">
        <f>IF(AND(IFERROR(N(INDEX(Clay_Brands!$A$2:$FZ$601,144,Sync!$D$13)),0)&gt;0,IFERROR(INDEX(Clay_Brands!$A$2:$FZ$601,144,Sync!$D$5)&amp;"","")&lt;&gt;"",OR(LEFT(IFERROR(INDEX(Clay_Brands!$A$2:$FZ$601,144,Sync!$D$5)&amp;"",""),6)&lt;&gt;"SAMPLE",Config!$B$19="Y")),IFERROR(N(INDEX(Clay_Brands!$A$2:$FZ$601,144,Sync!$D$13)),0),"")</f>
        <v/>
      </c>
      <c r="C4795" s="17">
        <f>IF(B4795="","","brand")</f>
        <v/>
      </c>
      <c r="D4795" s="17">
        <f>IF(B4795="","",IFERROR(INDEX(Clay_Brands!$A$2:$FZ$601,144,Sync!$D$5)&amp;"",""))</f>
        <v/>
      </c>
      <c r="E4795" s="17">
        <f>IF(B4795="","",IFERROR(INDEX(Clay_Brands!$A$2:$FZ$601,144,Sync!$D$6)&amp;"",""))</f>
        <v/>
      </c>
      <c r="F4795" s="17">
        <f>IF(B4795="","","outreach_sent")</f>
        <v/>
      </c>
      <c r="G4795" s="17">
        <f>IF(B4795="","","")</f>
        <v/>
      </c>
      <c r="H4795" s="17">
        <f>IF(B4795="","","")</f>
        <v/>
      </c>
      <c r="I4795" s="17">
        <f>IF(B4795="","","")</f>
        <v/>
      </c>
      <c r="J4795" s="17">
        <f>IF(B4795="","","touch_3; "&amp;IFERROR(INDEX(Clay_Brands!$A$2:$FZ$601,144,Sync!$D$10)&amp;"","")&amp;"; "&amp;IFERROR(INDEX(Clay_Brands!$A$2:$FZ$601,144,Sync!$D$9)&amp;"",""))</f>
        <v/>
      </c>
      <c r="K4795" t="inlineStr">
        <is>
          <t>brand outreach touch 3</t>
        </is>
      </c>
    </row>
    <row r="4796">
      <c r="A4796" s="17">
        <f>IF(B4796="","",B4796+(17*1000+145)/10000000)</f>
        <v/>
      </c>
      <c r="B4796" s="23">
        <f>IF(AND(IFERROR(N(INDEX(Clay_Brands!$A$2:$FZ$601,145,Sync!$D$13)),0)&gt;0,IFERROR(INDEX(Clay_Brands!$A$2:$FZ$601,145,Sync!$D$5)&amp;"","")&lt;&gt;"",OR(LEFT(IFERROR(INDEX(Clay_Brands!$A$2:$FZ$601,145,Sync!$D$5)&amp;"",""),6)&lt;&gt;"SAMPLE",Config!$B$19="Y")),IFERROR(N(INDEX(Clay_Brands!$A$2:$FZ$601,145,Sync!$D$13)),0),"")</f>
        <v/>
      </c>
      <c r="C4796" s="17">
        <f>IF(B4796="","","brand")</f>
        <v/>
      </c>
      <c r="D4796" s="17">
        <f>IF(B4796="","",IFERROR(INDEX(Clay_Brands!$A$2:$FZ$601,145,Sync!$D$5)&amp;"",""))</f>
        <v/>
      </c>
      <c r="E4796" s="17">
        <f>IF(B4796="","",IFERROR(INDEX(Clay_Brands!$A$2:$FZ$601,145,Sync!$D$6)&amp;"",""))</f>
        <v/>
      </c>
      <c r="F4796" s="17">
        <f>IF(B4796="","","outreach_sent")</f>
        <v/>
      </c>
      <c r="G4796" s="17">
        <f>IF(B4796="","","")</f>
        <v/>
      </c>
      <c r="H4796" s="17">
        <f>IF(B4796="","","")</f>
        <v/>
      </c>
      <c r="I4796" s="17">
        <f>IF(B4796="","","")</f>
        <v/>
      </c>
      <c r="J4796" s="17">
        <f>IF(B4796="","","touch_3; "&amp;IFERROR(INDEX(Clay_Brands!$A$2:$FZ$601,145,Sync!$D$10)&amp;"","")&amp;"; "&amp;IFERROR(INDEX(Clay_Brands!$A$2:$FZ$601,145,Sync!$D$9)&amp;"",""))</f>
        <v/>
      </c>
      <c r="K4796" t="inlineStr">
        <is>
          <t>brand outreach touch 3</t>
        </is>
      </c>
    </row>
    <row r="4797">
      <c r="A4797" s="17">
        <f>IF(B4797="","",B4797+(17*1000+146)/10000000)</f>
        <v/>
      </c>
      <c r="B4797" s="23">
        <f>IF(AND(IFERROR(N(INDEX(Clay_Brands!$A$2:$FZ$601,146,Sync!$D$13)),0)&gt;0,IFERROR(INDEX(Clay_Brands!$A$2:$FZ$601,146,Sync!$D$5)&amp;"","")&lt;&gt;"",OR(LEFT(IFERROR(INDEX(Clay_Brands!$A$2:$FZ$601,146,Sync!$D$5)&amp;"",""),6)&lt;&gt;"SAMPLE",Config!$B$19="Y")),IFERROR(N(INDEX(Clay_Brands!$A$2:$FZ$601,146,Sync!$D$13)),0),"")</f>
        <v/>
      </c>
      <c r="C4797" s="17">
        <f>IF(B4797="","","brand")</f>
        <v/>
      </c>
      <c r="D4797" s="17">
        <f>IF(B4797="","",IFERROR(INDEX(Clay_Brands!$A$2:$FZ$601,146,Sync!$D$5)&amp;"",""))</f>
        <v/>
      </c>
      <c r="E4797" s="17">
        <f>IF(B4797="","",IFERROR(INDEX(Clay_Brands!$A$2:$FZ$601,146,Sync!$D$6)&amp;"",""))</f>
        <v/>
      </c>
      <c r="F4797" s="17">
        <f>IF(B4797="","","outreach_sent")</f>
        <v/>
      </c>
      <c r="G4797" s="17">
        <f>IF(B4797="","","")</f>
        <v/>
      </c>
      <c r="H4797" s="17">
        <f>IF(B4797="","","")</f>
        <v/>
      </c>
      <c r="I4797" s="17">
        <f>IF(B4797="","","")</f>
        <v/>
      </c>
      <c r="J4797" s="17">
        <f>IF(B4797="","","touch_3; "&amp;IFERROR(INDEX(Clay_Brands!$A$2:$FZ$601,146,Sync!$D$10)&amp;"","")&amp;"; "&amp;IFERROR(INDEX(Clay_Brands!$A$2:$FZ$601,146,Sync!$D$9)&amp;"",""))</f>
        <v/>
      </c>
      <c r="K4797" t="inlineStr">
        <is>
          <t>brand outreach touch 3</t>
        </is>
      </c>
    </row>
    <row r="4798">
      <c r="A4798" s="17">
        <f>IF(B4798="","",B4798+(17*1000+147)/10000000)</f>
        <v/>
      </c>
      <c r="B4798" s="23">
        <f>IF(AND(IFERROR(N(INDEX(Clay_Brands!$A$2:$FZ$601,147,Sync!$D$13)),0)&gt;0,IFERROR(INDEX(Clay_Brands!$A$2:$FZ$601,147,Sync!$D$5)&amp;"","")&lt;&gt;"",OR(LEFT(IFERROR(INDEX(Clay_Brands!$A$2:$FZ$601,147,Sync!$D$5)&amp;"",""),6)&lt;&gt;"SAMPLE",Config!$B$19="Y")),IFERROR(N(INDEX(Clay_Brands!$A$2:$FZ$601,147,Sync!$D$13)),0),"")</f>
        <v/>
      </c>
      <c r="C4798" s="17">
        <f>IF(B4798="","","brand")</f>
        <v/>
      </c>
      <c r="D4798" s="17">
        <f>IF(B4798="","",IFERROR(INDEX(Clay_Brands!$A$2:$FZ$601,147,Sync!$D$5)&amp;"",""))</f>
        <v/>
      </c>
      <c r="E4798" s="17">
        <f>IF(B4798="","",IFERROR(INDEX(Clay_Brands!$A$2:$FZ$601,147,Sync!$D$6)&amp;"",""))</f>
        <v/>
      </c>
      <c r="F4798" s="17">
        <f>IF(B4798="","","outreach_sent")</f>
        <v/>
      </c>
      <c r="G4798" s="17">
        <f>IF(B4798="","","")</f>
        <v/>
      </c>
      <c r="H4798" s="17">
        <f>IF(B4798="","","")</f>
        <v/>
      </c>
      <c r="I4798" s="17">
        <f>IF(B4798="","","")</f>
        <v/>
      </c>
      <c r="J4798" s="17">
        <f>IF(B4798="","","touch_3; "&amp;IFERROR(INDEX(Clay_Brands!$A$2:$FZ$601,147,Sync!$D$10)&amp;"","")&amp;"; "&amp;IFERROR(INDEX(Clay_Brands!$A$2:$FZ$601,147,Sync!$D$9)&amp;"",""))</f>
        <v/>
      </c>
      <c r="K4798" t="inlineStr">
        <is>
          <t>brand outreach touch 3</t>
        </is>
      </c>
    </row>
    <row r="4799">
      <c r="A4799" s="17">
        <f>IF(B4799="","",B4799+(17*1000+148)/10000000)</f>
        <v/>
      </c>
      <c r="B4799" s="23">
        <f>IF(AND(IFERROR(N(INDEX(Clay_Brands!$A$2:$FZ$601,148,Sync!$D$13)),0)&gt;0,IFERROR(INDEX(Clay_Brands!$A$2:$FZ$601,148,Sync!$D$5)&amp;"","")&lt;&gt;"",OR(LEFT(IFERROR(INDEX(Clay_Brands!$A$2:$FZ$601,148,Sync!$D$5)&amp;"",""),6)&lt;&gt;"SAMPLE",Config!$B$19="Y")),IFERROR(N(INDEX(Clay_Brands!$A$2:$FZ$601,148,Sync!$D$13)),0),"")</f>
        <v/>
      </c>
      <c r="C4799" s="17">
        <f>IF(B4799="","","brand")</f>
        <v/>
      </c>
      <c r="D4799" s="17">
        <f>IF(B4799="","",IFERROR(INDEX(Clay_Brands!$A$2:$FZ$601,148,Sync!$D$5)&amp;"",""))</f>
        <v/>
      </c>
      <c r="E4799" s="17">
        <f>IF(B4799="","",IFERROR(INDEX(Clay_Brands!$A$2:$FZ$601,148,Sync!$D$6)&amp;"",""))</f>
        <v/>
      </c>
      <c r="F4799" s="17">
        <f>IF(B4799="","","outreach_sent")</f>
        <v/>
      </c>
      <c r="G4799" s="17">
        <f>IF(B4799="","","")</f>
        <v/>
      </c>
      <c r="H4799" s="17">
        <f>IF(B4799="","","")</f>
        <v/>
      </c>
      <c r="I4799" s="17">
        <f>IF(B4799="","","")</f>
        <v/>
      </c>
      <c r="J4799" s="17">
        <f>IF(B4799="","","touch_3; "&amp;IFERROR(INDEX(Clay_Brands!$A$2:$FZ$601,148,Sync!$D$10)&amp;"","")&amp;"; "&amp;IFERROR(INDEX(Clay_Brands!$A$2:$FZ$601,148,Sync!$D$9)&amp;"",""))</f>
        <v/>
      </c>
      <c r="K4799" t="inlineStr">
        <is>
          <t>brand outreach touch 3</t>
        </is>
      </c>
    </row>
    <row r="4800">
      <c r="A4800" s="17">
        <f>IF(B4800="","",B4800+(17*1000+149)/10000000)</f>
        <v/>
      </c>
      <c r="B4800" s="23">
        <f>IF(AND(IFERROR(N(INDEX(Clay_Brands!$A$2:$FZ$601,149,Sync!$D$13)),0)&gt;0,IFERROR(INDEX(Clay_Brands!$A$2:$FZ$601,149,Sync!$D$5)&amp;"","")&lt;&gt;"",OR(LEFT(IFERROR(INDEX(Clay_Brands!$A$2:$FZ$601,149,Sync!$D$5)&amp;"",""),6)&lt;&gt;"SAMPLE",Config!$B$19="Y")),IFERROR(N(INDEX(Clay_Brands!$A$2:$FZ$601,149,Sync!$D$13)),0),"")</f>
        <v/>
      </c>
      <c r="C4800" s="17">
        <f>IF(B4800="","","brand")</f>
        <v/>
      </c>
      <c r="D4800" s="17">
        <f>IF(B4800="","",IFERROR(INDEX(Clay_Brands!$A$2:$FZ$601,149,Sync!$D$5)&amp;"",""))</f>
        <v/>
      </c>
      <c r="E4800" s="17">
        <f>IF(B4800="","",IFERROR(INDEX(Clay_Brands!$A$2:$FZ$601,149,Sync!$D$6)&amp;"",""))</f>
        <v/>
      </c>
      <c r="F4800" s="17">
        <f>IF(B4800="","","outreach_sent")</f>
        <v/>
      </c>
      <c r="G4800" s="17">
        <f>IF(B4800="","","")</f>
        <v/>
      </c>
      <c r="H4800" s="17">
        <f>IF(B4800="","","")</f>
        <v/>
      </c>
      <c r="I4800" s="17">
        <f>IF(B4800="","","")</f>
        <v/>
      </c>
      <c r="J4800" s="17">
        <f>IF(B4800="","","touch_3; "&amp;IFERROR(INDEX(Clay_Brands!$A$2:$FZ$601,149,Sync!$D$10)&amp;"","")&amp;"; "&amp;IFERROR(INDEX(Clay_Brands!$A$2:$FZ$601,149,Sync!$D$9)&amp;"",""))</f>
        <v/>
      </c>
      <c r="K4800" t="inlineStr">
        <is>
          <t>brand outreach touch 3</t>
        </is>
      </c>
    </row>
    <row r="4801">
      <c r="A4801" s="17">
        <f>IF(B4801="","",B4801+(17*1000+150)/10000000)</f>
        <v/>
      </c>
      <c r="B4801" s="23">
        <f>IF(AND(IFERROR(N(INDEX(Clay_Brands!$A$2:$FZ$601,150,Sync!$D$13)),0)&gt;0,IFERROR(INDEX(Clay_Brands!$A$2:$FZ$601,150,Sync!$D$5)&amp;"","")&lt;&gt;"",OR(LEFT(IFERROR(INDEX(Clay_Brands!$A$2:$FZ$601,150,Sync!$D$5)&amp;"",""),6)&lt;&gt;"SAMPLE",Config!$B$19="Y")),IFERROR(N(INDEX(Clay_Brands!$A$2:$FZ$601,150,Sync!$D$13)),0),"")</f>
        <v/>
      </c>
      <c r="C4801" s="17">
        <f>IF(B4801="","","brand")</f>
        <v/>
      </c>
      <c r="D4801" s="17">
        <f>IF(B4801="","",IFERROR(INDEX(Clay_Brands!$A$2:$FZ$601,150,Sync!$D$5)&amp;"",""))</f>
        <v/>
      </c>
      <c r="E4801" s="17">
        <f>IF(B4801="","",IFERROR(INDEX(Clay_Brands!$A$2:$FZ$601,150,Sync!$D$6)&amp;"",""))</f>
        <v/>
      </c>
      <c r="F4801" s="17">
        <f>IF(B4801="","","outreach_sent")</f>
        <v/>
      </c>
      <c r="G4801" s="17">
        <f>IF(B4801="","","")</f>
        <v/>
      </c>
      <c r="H4801" s="17">
        <f>IF(B4801="","","")</f>
        <v/>
      </c>
      <c r="I4801" s="17">
        <f>IF(B4801="","","")</f>
        <v/>
      </c>
      <c r="J4801" s="17">
        <f>IF(B4801="","","touch_3; "&amp;IFERROR(INDEX(Clay_Brands!$A$2:$FZ$601,150,Sync!$D$10)&amp;"","")&amp;"; "&amp;IFERROR(INDEX(Clay_Brands!$A$2:$FZ$601,150,Sync!$D$9)&amp;"",""))</f>
        <v/>
      </c>
      <c r="K4801" t="inlineStr">
        <is>
          <t>brand outreach touch 3</t>
        </is>
      </c>
    </row>
    <row r="4802">
      <c r="A4802" s="17">
        <f>IF(B4802="","",B4802+(17*1000+151)/10000000)</f>
        <v/>
      </c>
      <c r="B4802" s="23">
        <f>IF(AND(IFERROR(N(INDEX(Clay_Brands!$A$2:$FZ$601,151,Sync!$D$13)),0)&gt;0,IFERROR(INDEX(Clay_Brands!$A$2:$FZ$601,151,Sync!$D$5)&amp;"","")&lt;&gt;"",OR(LEFT(IFERROR(INDEX(Clay_Brands!$A$2:$FZ$601,151,Sync!$D$5)&amp;"",""),6)&lt;&gt;"SAMPLE",Config!$B$19="Y")),IFERROR(N(INDEX(Clay_Brands!$A$2:$FZ$601,151,Sync!$D$13)),0),"")</f>
        <v/>
      </c>
      <c r="C4802" s="17">
        <f>IF(B4802="","","brand")</f>
        <v/>
      </c>
      <c r="D4802" s="17">
        <f>IF(B4802="","",IFERROR(INDEX(Clay_Brands!$A$2:$FZ$601,151,Sync!$D$5)&amp;"",""))</f>
        <v/>
      </c>
      <c r="E4802" s="17">
        <f>IF(B4802="","",IFERROR(INDEX(Clay_Brands!$A$2:$FZ$601,151,Sync!$D$6)&amp;"",""))</f>
        <v/>
      </c>
      <c r="F4802" s="17">
        <f>IF(B4802="","","outreach_sent")</f>
        <v/>
      </c>
      <c r="G4802" s="17">
        <f>IF(B4802="","","")</f>
        <v/>
      </c>
      <c r="H4802" s="17">
        <f>IF(B4802="","","")</f>
        <v/>
      </c>
      <c r="I4802" s="17">
        <f>IF(B4802="","","")</f>
        <v/>
      </c>
      <c r="J4802" s="17">
        <f>IF(B4802="","","touch_3; "&amp;IFERROR(INDEX(Clay_Brands!$A$2:$FZ$601,151,Sync!$D$10)&amp;"","")&amp;"; "&amp;IFERROR(INDEX(Clay_Brands!$A$2:$FZ$601,151,Sync!$D$9)&amp;"",""))</f>
        <v/>
      </c>
      <c r="K4802" t="inlineStr">
        <is>
          <t>brand outreach touch 3</t>
        </is>
      </c>
    </row>
    <row r="4803">
      <c r="A4803" s="17">
        <f>IF(B4803="","",B4803+(17*1000+152)/10000000)</f>
        <v/>
      </c>
      <c r="B4803" s="23">
        <f>IF(AND(IFERROR(N(INDEX(Clay_Brands!$A$2:$FZ$601,152,Sync!$D$13)),0)&gt;0,IFERROR(INDEX(Clay_Brands!$A$2:$FZ$601,152,Sync!$D$5)&amp;"","")&lt;&gt;"",OR(LEFT(IFERROR(INDEX(Clay_Brands!$A$2:$FZ$601,152,Sync!$D$5)&amp;"",""),6)&lt;&gt;"SAMPLE",Config!$B$19="Y")),IFERROR(N(INDEX(Clay_Brands!$A$2:$FZ$601,152,Sync!$D$13)),0),"")</f>
        <v/>
      </c>
      <c r="C4803" s="17">
        <f>IF(B4803="","","brand")</f>
        <v/>
      </c>
      <c r="D4803" s="17">
        <f>IF(B4803="","",IFERROR(INDEX(Clay_Brands!$A$2:$FZ$601,152,Sync!$D$5)&amp;"",""))</f>
        <v/>
      </c>
      <c r="E4803" s="17">
        <f>IF(B4803="","",IFERROR(INDEX(Clay_Brands!$A$2:$FZ$601,152,Sync!$D$6)&amp;"",""))</f>
        <v/>
      </c>
      <c r="F4803" s="17">
        <f>IF(B4803="","","outreach_sent")</f>
        <v/>
      </c>
      <c r="G4803" s="17">
        <f>IF(B4803="","","")</f>
        <v/>
      </c>
      <c r="H4803" s="17">
        <f>IF(B4803="","","")</f>
        <v/>
      </c>
      <c r="I4803" s="17">
        <f>IF(B4803="","","")</f>
        <v/>
      </c>
      <c r="J4803" s="17">
        <f>IF(B4803="","","touch_3; "&amp;IFERROR(INDEX(Clay_Brands!$A$2:$FZ$601,152,Sync!$D$10)&amp;"","")&amp;"; "&amp;IFERROR(INDEX(Clay_Brands!$A$2:$FZ$601,152,Sync!$D$9)&amp;"",""))</f>
        <v/>
      </c>
      <c r="K4803" t="inlineStr">
        <is>
          <t>brand outreach touch 3</t>
        </is>
      </c>
    </row>
    <row r="4804">
      <c r="A4804" s="17">
        <f>IF(B4804="","",B4804+(17*1000+153)/10000000)</f>
        <v/>
      </c>
      <c r="B4804" s="23">
        <f>IF(AND(IFERROR(N(INDEX(Clay_Brands!$A$2:$FZ$601,153,Sync!$D$13)),0)&gt;0,IFERROR(INDEX(Clay_Brands!$A$2:$FZ$601,153,Sync!$D$5)&amp;"","")&lt;&gt;"",OR(LEFT(IFERROR(INDEX(Clay_Brands!$A$2:$FZ$601,153,Sync!$D$5)&amp;"",""),6)&lt;&gt;"SAMPLE",Config!$B$19="Y")),IFERROR(N(INDEX(Clay_Brands!$A$2:$FZ$601,153,Sync!$D$13)),0),"")</f>
        <v/>
      </c>
      <c r="C4804" s="17">
        <f>IF(B4804="","","brand")</f>
        <v/>
      </c>
      <c r="D4804" s="17">
        <f>IF(B4804="","",IFERROR(INDEX(Clay_Brands!$A$2:$FZ$601,153,Sync!$D$5)&amp;"",""))</f>
        <v/>
      </c>
      <c r="E4804" s="17">
        <f>IF(B4804="","",IFERROR(INDEX(Clay_Brands!$A$2:$FZ$601,153,Sync!$D$6)&amp;"",""))</f>
        <v/>
      </c>
      <c r="F4804" s="17">
        <f>IF(B4804="","","outreach_sent")</f>
        <v/>
      </c>
      <c r="G4804" s="17">
        <f>IF(B4804="","","")</f>
        <v/>
      </c>
      <c r="H4804" s="17">
        <f>IF(B4804="","","")</f>
        <v/>
      </c>
      <c r="I4804" s="17">
        <f>IF(B4804="","","")</f>
        <v/>
      </c>
      <c r="J4804" s="17">
        <f>IF(B4804="","","touch_3; "&amp;IFERROR(INDEX(Clay_Brands!$A$2:$FZ$601,153,Sync!$D$10)&amp;"","")&amp;"; "&amp;IFERROR(INDEX(Clay_Brands!$A$2:$FZ$601,153,Sync!$D$9)&amp;"",""))</f>
        <v/>
      </c>
      <c r="K4804" t="inlineStr">
        <is>
          <t>brand outreach touch 3</t>
        </is>
      </c>
    </row>
    <row r="4805">
      <c r="A4805" s="17">
        <f>IF(B4805="","",B4805+(17*1000+154)/10000000)</f>
        <v/>
      </c>
      <c r="B4805" s="23">
        <f>IF(AND(IFERROR(N(INDEX(Clay_Brands!$A$2:$FZ$601,154,Sync!$D$13)),0)&gt;0,IFERROR(INDEX(Clay_Brands!$A$2:$FZ$601,154,Sync!$D$5)&amp;"","")&lt;&gt;"",OR(LEFT(IFERROR(INDEX(Clay_Brands!$A$2:$FZ$601,154,Sync!$D$5)&amp;"",""),6)&lt;&gt;"SAMPLE",Config!$B$19="Y")),IFERROR(N(INDEX(Clay_Brands!$A$2:$FZ$601,154,Sync!$D$13)),0),"")</f>
        <v/>
      </c>
      <c r="C4805" s="17">
        <f>IF(B4805="","","brand")</f>
        <v/>
      </c>
      <c r="D4805" s="17">
        <f>IF(B4805="","",IFERROR(INDEX(Clay_Brands!$A$2:$FZ$601,154,Sync!$D$5)&amp;"",""))</f>
        <v/>
      </c>
      <c r="E4805" s="17">
        <f>IF(B4805="","",IFERROR(INDEX(Clay_Brands!$A$2:$FZ$601,154,Sync!$D$6)&amp;"",""))</f>
        <v/>
      </c>
      <c r="F4805" s="17">
        <f>IF(B4805="","","outreach_sent")</f>
        <v/>
      </c>
      <c r="G4805" s="17">
        <f>IF(B4805="","","")</f>
        <v/>
      </c>
      <c r="H4805" s="17">
        <f>IF(B4805="","","")</f>
        <v/>
      </c>
      <c r="I4805" s="17">
        <f>IF(B4805="","","")</f>
        <v/>
      </c>
      <c r="J4805" s="17">
        <f>IF(B4805="","","touch_3; "&amp;IFERROR(INDEX(Clay_Brands!$A$2:$FZ$601,154,Sync!$D$10)&amp;"","")&amp;"; "&amp;IFERROR(INDEX(Clay_Brands!$A$2:$FZ$601,154,Sync!$D$9)&amp;"",""))</f>
        <v/>
      </c>
      <c r="K4805" t="inlineStr">
        <is>
          <t>brand outreach touch 3</t>
        </is>
      </c>
    </row>
    <row r="4806">
      <c r="A4806" s="17">
        <f>IF(B4806="","",B4806+(17*1000+155)/10000000)</f>
        <v/>
      </c>
      <c r="B4806" s="23">
        <f>IF(AND(IFERROR(N(INDEX(Clay_Brands!$A$2:$FZ$601,155,Sync!$D$13)),0)&gt;0,IFERROR(INDEX(Clay_Brands!$A$2:$FZ$601,155,Sync!$D$5)&amp;"","")&lt;&gt;"",OR(LEFT(IFERROR(INDEX(Clay_Brands!$A$2:$FZ$601,155,Sync!$D$5)&amp;"",""),6)&lt;&gt;"SAMPLE",Config!$B$19="Y")),IFERROR(N(INDEX(Clay_Brands!$A$2:$FZ$601,155,Sync!$D$13)),0),"")</f>
        <v/>
      </c>
      <c r="C4806" s="17">
        <f>IF(B4806="","","brand")</f>
        <v/>
      </c>
      <c r="D4806" s="17">
        <f>IF(B4806="","",IFERROR(INDEX(Clay_Brands!$A$2:$FZ$601,155,Sync!$D$5)&amp;"",""))</f>
        <v/>
      </c>
      <c r="E4806" s="17">
        <f>IF(B4806="","",IFERROR(INDEX(Clay_Brands!$A$2:$FZ$601,155,Sync!$D$6)&amp;"",""))</f>
        <v/>
      </c>
      <c r="F4806" s="17">
        <f>IF(B4806="","","outreach_sent")</f>
        <v/>
      </c>
      <c r="G4806" s="17">
        <f>IF(B4806="","","")</f>
        <v/>
      </c>
      <c r="H4806" s="17">
        <f>IF(B4806="","","")</f>
        <v/>
      </c>
      <c r="I4806" s="17">
        <f>IF(B4806="","","")</f>
        <v/>
      </c>
      <c r="J4806" s="17">
        <f>IF(B4806="","","touch_3; "&amp;IFERROR(INDEX(Clay_Brands!$A$2:$FZ$601,155,Sync!$D$10)&amp;"","")&amp;"; "&amp;IFERROR(INDEX(Clay_Brands!$A$2:$FZ$601,155,Sync!$D$9)&amp;"",""))</f>
        <v/>
      </c>
      <c r="K4806" t="inlineStr">
        <is>
          <t>brand outreach touch 3</t>
        </is>
      </c>
    </row>
    <row r="4807">
      <c r="A4807" s="17">
        <f>IF(B4807="","",B4807+(17*1000+156)/10000000)</f>
        <v/>
      </c>
      <c r="B4807" s="23">
        <f>IF(AND(IFERROR(N(INDEX(Clay_Brands!$A$2:$FZ$601,156,Sync!$D$13)),0)&gt;0,IFERROR(INDEX(Clay_Brands!$A$2:$FZ$601,156,Sync!$D$5)&amp;"","")&lt;&gt;"",OR(LEFT(IFERROR(INDEX(Clay_Brands!$A$2:$FZ$601,156,Sync!$D$5)&amp;"",""),6)&lt;&gt;"SAMPLE",Config!$B$19="Y")),IFERROR(N(INDEX(Clay_Brands!$A$2:$FZ$601,156,Sync!$D$13)),0),"")</f>
        <v/>
      </c>
      <c r="C4807" s="17">
        <f>IF(B4807="","","brand")</f>
        <v/>
      </c>
      <c r="D4807" s="17">
        <f>IF(B4807="","",IFERROR(INDEX(Clay_Brands!$A$2:$FZ$601,156,Sync!$D$5)&amp;"",""))</f>
        <v/>
      </c>
      <c r="E4807" s="17">
        <f>IF(B4807="","",IFERROR(INDEX(Clay_Brands!$A$2:$FZ$601,156,Sync!$D$6)&amp;"",""))</f>
        <v/>
      </c>
      <c r="F4807" s="17">
        <f>IF(B4807="","","outreach_sent")</f>
        <v/>
      </c>
      <c r="G4807" s="17">
        <f>IF(B4807="","","")</f>
        <v/>
      </c>
      <c r="H4807" s="17">
        <f>IF(B4807="","","")</f>
        <v/>
      </c>
      <c r="I4807" s="17">
        <f>IF(B4807="","","")</f>
        <v/>
      </c>
      <c r="J4807" s="17">
        <f>IF(B4807="","","touch_3; "&amp;IFERROR(INDEX(Clay_Brands!$A$2:$FZ$601,156,Sync!$D$10)&amp;"","")&amp;"; "&amp;IFERROR(INDEX(Clay_Brands!$A$2:$FZ$601,156,Sync!$D$9)&amp;"",""))</f>
        <v/>
      </c>
      <c r="K4807" t="inlineStr">
        <is>
          <t>brand outreach touch 3</t>
        </is>
      </c>
    </row>
    <row r="4808">
      <c r="A4808" s="17">
        <f>IF(B4808="","",B4808+(17*1000+157)/10000000)</f>
        <v/>
      </c>
      <c r="B4808" s="23">
        <f>IF(AND(IFERROR(N(INDEX(Clay_Brands!$A$2:$FZ$601,157,Sync!$D$13)),0)&gt;0,IFERROR(INDEX(Clay_Brands!$A$2:$FZ$601,157,Sync!$D$5)&amp;"","")&lt;&gt;"",OR(LEFT(IFERROR(INDEX(Clay_Brands!$A$2:$FZ$601,157,Sync!$D$5)&amp;"",""),6)&lt;&gt;"SAMPLE",Config!$B$19="Y")),IFERROR(N(INDEX(Clay_Brands!$A$2:$FZ$601,157,Sync!$D$13)),0),"")</f>
        <v/>
      </c>
      <c r="C4808" s="17">
        <f>IF(B4808="","","brand")</f>
        <v/>
      </c>
      <c r="D4808" s="17">
        <f>IF(B4808="","",IFERROR(INDEX(Clay_Brands!$A$2:$FZ$601,157,Sync!$D$5)&amp;"",""))</f>
        <v/>
      </c>
      <c r="E4808" s="17">
        <f>IF(B4808="","",IFERROR(INDEX(Clay_Brands!$A$2:$FZ$601,157,Sync!$D$6)&amp;"",""))</f>
        <v/>
      </c>
      <c r="F4808" s="17">
        <f>IF(B4808="","","outreach_sent")</f>
        <v/>
      </c>
      <c r="G4808" s="17">
        <f>IF(B4808="","","")</f>
        <v/>
      </c>
      <c r="H4808" s="17">
        <f>IF(B4808="","","")</f>
        <v/>
      </c>
      <c r="I4808" s="17">
        <f>IF(B4808="","","")</f>
        <v/>
      </c>
      <c r="J4808" s="17">
        <f>IF(B4808="","","touch_3; "&amp;IFERROR(INDEX(Clay_Brands!$A$2:$FZ$601,157,Sync!$D$10)&amp;"","")&amp;"; "&amp;IFERROR(INDEX(Clay_Brands!$A$2:$FZ$601,157,Sync!$D$9)&amp;"",""))</f>
        <v/>
      </c>
      <c r="K4808" t="inlineStr">
        <is>
          <t>brand outreach touch 3</t>
        </is>
      </c>
    </row>
    <row r="4809">
      <c r="A4809" s="17">
        <f>IF(B4809="","",B4809+(17*1000+158)/10000000)</f>
        <v/>
      </c>
      <c r="B4809" s="23">
        <f>IF(AND(IFERROR(N(INDEX(Clay_Brands!$A$2:$FZ$601,158,Sync!$D$13)),0)&gt;0,IFERROR(INDEX(Clay_Brands!$A$2:$FZ$601,158,Sync!$D$5)&amp;"","")&lt;&gt;"",OR(LEFT(IFERROR(INDEX(Clay_Brands!$A$2:$FZ$601,158,Sync!$D$5)&amp;"",""),6)&lt;&gt;"SAMPLE",Config!$B$19="Y")),IFERROR(N(INDEX(Clay_Brands!$A$2:$FZ$601,158,Sync!$D$13)),0),"")</f>
        <v/>
      </c>
      <c r="C4809" s="17">
        <f>IF(B4809="","","brand")</f>
        <v/>
      </c>
      <c r="D4809" s="17">
        <f>IF(B4809="","",IFERROR(INDEX(Clay_Brands!$A$2:$FZ$601,158,Sync!$D$5)&amp;"",""))</f>
        <v/>
      </c>
      <c r="E4809" s="17">
        <f>IF(B4809="","",IFERROR(INDEX(Clay_Brands!$A$2:$FZ$601,158,Sync!$D$6)&amp;"",""))</f>
        <v/>
      </c>
      <c r="F4809" s="17">
        <f>IF(B4809="","","outreach_sent")</f>
        <v/>
      </c>
      <c r="G4809" s="17">
        <f>IF(B4809="","","")</f>
        <v/>
      </c>
      <c r="H4809" s="17">
        <f>IF(B4809="","","")</f>
        <v/>
      </c>
      <c r="I4809" s="17">
        <f>IF(B4809="","","")</f>
        <v/>
      </c>
      <c r="J4809" s="17">
        <f>IF(B4809="","","touch_3; "&amp;IFERROR(INDEX(Clay_Brands!$A$2:$FZ$601,158,Sync!$D$10)&amp;"","")&amp;"; "&amp;IFERROR(INDEX(Clay_Brands!$A$2:$FZ$601,158,Sync!$D$9)&amp;"",""))</f>
        <v/>
      </c>
      <c r="K4809" t="inlineStr">
        <is>
          <t>brand outreach touch 3</t>
        </is>
      </c>
    </row>
    <row r="4810">
      <c r="A4810" s="17">
        <f>IF(B4810="","",B4810+(17*1000+159)/10000000)</f>
        <v/>
      </c>
      <c r="B4810" s="23">
        <f>IF(AND(IFERROR(N(INDEX(Clay_Brands!$A$2:$FZ$601,159,Sync!$D$13)),0)&gt;0,IFERROR(INDEX(Clay_Brands!$A$2:$FZ$601,159,Sync!$D$5)&amp;"","")&lt;&gt;"",OR(LEFT(IFERROR(INDEX(Clay_Brands!$A$2:$FZ$601,159,Sync!$D$5)&amp;"",""),6)&lt;&gt;"SAMPLE",Config!$B$19="Y")),IFERROR(N(INDEX(Clay_Brands!$A$2:$FZ$601,159,Sync!$D$13)),0),"")</f>
        <v/>
      </c>
      <c r="C4810" s="17">
        <f>IF(B4810="","","brand")</f>
        <v/>
      </c>
      <c r="D4810" s="17">
        <f>IF(B4810="","",IFERROR(INDEX(Clay_Brands!$A$2:$FZ$601,159,Sync!$D$5)&amp;"",""))</f>
        <v/>
      </c>
      <c r="E4810" s="17">
        <f>IF(B4810="","",IFERROR(INDEX(Clay_Brands!$A$2:$FZ$601,159,Sync!$D$6)&amp;"",""))</f>
        <v/>
      </c>
      <c r="F4810" s="17">
        <f>IF(B4810="","","outreach_sent")</f>
        <v/>
      </c>
      <c r="G4810" s="17">
        <f>IF(B4810="","","")</f>
        <v/>
      </c>
      <c r="H4810" s="17">
        <f>IF(B4810="","","")</f>
        <v/>
      </c>
      <c r="I4810" s="17">
        <f>IF(B4810="","","")</f>
        <v/>
      </c>
      <c r="J4810" s="17">
        <f>IF(B4810="","","touch_3; "&amp;IFERROR(INDEX(Clay_Brands!$A$2:$FZ$601,159,Sync!$D$10)&amp;"","")&amp;"; "&amp;IFERROR(INDEX(Clay_Brands!$A$2:$FZ$601,159,Sync!$D$9)&amp;"",""))</f>
        <v/>
      </c>
      <c r="K4810" t="inlineStr">
        <is>
          <t>brand outreach touch 3</t>
        </is>
      </c>
    </row>
    <row r="4811">
      <c r="A4811" s="17">
        <f>IF(B4811="","",B4811+(17*1000+160)/10000000)</f>
        <v/>
      </c>
      <c r="B4811" s="23">
        <f>IF(AND(IFERROR(N(INDEX(Clay_Brands!$A$2:$FZ$601,160,Sync!$D$13)),0)&gt;0,IFERROR(INDEX(Clay_Brands!$A$2:$FZ$601,160,Sync!$D$5)&amp;"","")&lt;&gt;"",OR(LEFT(IFERROR(INDEX(Clay_Brands!$A$2:$FZ$601,160,Sync!$D$5)&amp;"",""),6)&lt;&gt;"SAMPLE",Config!$B$19="Y")),IFERROR(N(INDEX(Clay_Brands!$A$2:$FZ$601,160,Sync!$D$13)),0),"")</f>
        <v/>
      </c>
      <c r="C4811" s="17">
        <f>IF(B4811="","","brand")</f>
        <v/>
      </c>
      <c r="D4811" s="17">
        <f>IF(B4811="","",IFERROR(INDEX(Clay_Brands!$A$2:$FZ$601,160,Sync!$D$5)&amp;"",""))</f>
        <v/>
      </c>
      <c r="E4811" s="17">
        <f>IF(B4811="","",IFERROR(INDEX(Clay_Brands!$A$2:$FZ$601,160,Sync!$D$6)&amp;"",""))</f>
        <v/>
      </c>
      <c r="F4811" s="17">
        <f>IF(B4811="","","outreach_sent")</f>
        <v/>
      </c>
      <c r="G4811" s="17">
        <f>IF(B4811="","","")</f>
        <v/>
      </c>
      <c r="H4811" s="17">
        <f>IF(B4811="","","")</f>
        <v/>
      </c>
      <c r="I4811" s="17">
        <f>IF(B4811="","","")</f>
        <v/>
      </c>
      <c r="J4811" s="17">
        <f>IF(B4811="","","touch_3; "&amp;IFERROR(INDEX(Clay_Brands!$A$2:$FZ$601,160,Sync!$D$10)&amp;"","")&amp;"; "&amp;IFERROR(INDEX(Clay_Brands!$A$2:$FZ$601,160,Sync!$D$9)&amp;"",""))</f>
        <v/>
      </c>
      <c r="K4811" t="inlineStr">
        <is>
          <t>brand outreach touch 3</t>
        </is>
      </c>
    </row>
    <row r="4812">
      <c r="A4812" s="17">
        <f>IF(B4812="","",B4812+(17*1000+161)/10000000)</f>
        <v/>
      </c>
      <c r="B4812" s="23">
        <f>IF(AND(IFERROR(N(INDEX(Clay_Brands!$A$2:$FZ$601,161,Sync!$D$13)),0)&gt;0,IFERROR(INDEX(Clay_Brands!$A$2:$FZ$601,161,Sync!$D$5)&amp;"","")&lt;&gt;"",OR(LEFT(IFERROR(INDEX(Clay_Brands!$A$2:$FZ$601,161,Sync!$D$5)&amp;"",""),6)&lt;&gt;"SAMPLE",Config!$B$19="Y")),IFERROR(N(INDEX(Clay_Brands!$A$2:$FZ$601,161,Sync!$D$13)),0),"")</f>
        <v/>
      </c>
      <c r="C4812" s="17">
        <f>IF(B4812="","","brand")</f>
        <v/>
      </c>
      <c r="D4812" s="17">
        <f>IF(B4812="","",IFERROR(INDEX(Clay_Brands!$A$2:$FZ$601,161,Sync!$D$5)&amp;"",""))</f>
        <v/>
      </c>
      <c r="E4812" s="17">
        <f>IF(B4812="","",IFERROR(INDEX(Clay_Brands!$A$2:$FZ$601,161,Sync!$D$6)&amp;"",""))</f>
        <v/>
      </c>
      <c r="F4812" s="17">
        <f>IF(B4812="","","outreach_sent")</f>
        <v/>
      </c>
      <c r="G4812" s="17">
        <f>IF(B4812="","","")</f>
        <v/>
      </c>
      <c r="H4812" s="17">
        <f>IF(B4812="","","")</f>
        <v/>
      </c>
      <c r="I4812" s="17">
        <f>IF(B4812="","","")</f>
        <v/>
      </c>
      <c r="J4812" s="17">
        <f>IF(B4812="","","touch_3; "&amp;IFERROR(INDEX(Clay_Brands!$A$2:$FZ$601,161,Sync!$D$10)&amp;"","")&amp;"; "&amp;IFERROR(INDEX(Clay_Brands!$A$2:$FZ$601,161,Sync!$D$9)&amp;"",""))</f>
        <v/>
      </c>
      <c r="K4812" t="inlineStr">
        <is>
          <t>brand outreach touch 3</t>
        </is>
      </c>
    </row>
    <row r="4813">
      <c r="A4813" s="17">
        <f>IF(B4813="","",B4813+(17*1000+162)/10000000)</f>
        <v/>
      </c>
      <c r="B4813" s="23">
        <f>IF(AND(IFERROR(N(INDEX(Clay_Brands!$A$2:$FZ$601,162,Sync!$D$13)),0)&gt;0,IFERROR(INDEX(Clay_Brands!$A$2:$FZ$601,162,Sync!$D$5)&amp;"","")&lt;&gt;"",OR(LEFT(IFERROR(INDEX(Clay_Brands!$A$2:$FZ$601,162,Sync!$D$5)&amp;"",""),6)&lt;&gt;"SAMPLE",Config!$B$19="Y")),IFERROR(N(INDEX(Clay_Brands!$A$2:$FZ$601,162,Sync!$D$13)),0),"")</f>
        <v/>
      </c>
      <c r="C4813" s="17">
        <f>IF(B4813="","","brand")</f>
        <v/>
      </c>
      <c r="D4813" s="17">
        <f>IF(B4813="","",IFERROR(INDEX(Clay_Brands!$A$2:$FZ$601,162,Sync!$D$5)&amp;"",""))</f>
        <v/>
      </c>
      <c r="E4813" s="17">
        <f>IF(B4813="","",IFERROR(INDEX(Clay_Brands!$A$2:$FZ$601,162,Sync!$D$6)&amp;"",""))</f>
        <v/>
      </c>
      <c r="F4813" s="17">
        <f>IF(B4813="","","outreach_sent")</f>
        <v/>
      </c>
      <c r="G4813" s="17">
        <f>IF(B4813="","","")</f>
        <v/>
      </c>
      <c r="H4813" s="17">
        <f>IF(B4813="","","")</f>
        <v/>
      </c>
      <c r="I4813" s="17">
        <f>IF(B4813="","","")</f>
        <v/>
      </c>
      <c r="J4813" s="17">
        <f>IF(B4813="","","touch_3; "&amp;IFERROR(INDEX(Clay_Brands!$A$2:$FZ$601,162,Sync!$D$10)&amp;"","")&amp;"; "&amp;IFERROR(INDEX(Clay_Brands!$A$2:$FZ$601,162,Sync!$D$9)&amp;"",""))</f>
        <v/>
      </c>
      <c r="K4813" t="inlineStr">
        <is>
          <t>brand outreach touch 3</t>
        </is>
      </c>
    </row>
    <row r="4814">
      <c r="A4814" s="17">
        <f>IF(B4814="","",B4814+(17*1000+163)/10000000)</f>
        <v/>
      </c>
      <c r="B4814" s="23">
        <f>IF(AND(IFERROR(N(INDEX(Clay_Brands!$A$2:$FZ$601,163,Sync!$D$13)),0)&gt;0,IFERROR(INDEX(Clay_Brands!$A$2:$FZ$601,163,Sync!$D$5)&amp;"","")&lt;&gt;"",OR(LEFT(IFERROR(INDEX(Clay_Brands!$A$2:$FZ$601,163,Sync!$D$5)&amp;"",""),6)&lt;&gt;"SAMPLE",Config!$B$19="Y")),IFERROR(N(INDEX(Clay_Brands!$A$2:$FZ$601,163,Sync!$D$13)),0),"")</f>
        <v/>
      </c>
      <c r="C4814" s="17">
        <f>IF(B4814="","","brand")</f>
        <v/>
      </c>
      <c r="D4814" s="17">
        <f>IF(B4814="","",IFERROR(INDEX(Clay_Brands!$A$2:$FZ$601,163,Sync!$D$5)&amp;"",""))</f>
        <v/>
      </c>
      <c r="E4814" s="17">
        <f>IF(B4814="","",IFERROR(INDEX(Clay_Brands!$A$2:$FZ$601,163,Sync!$D$6)&amp;"",""))</f>
        <v/>
      </c>
      <c r="F4814" s="17">
        <f>IF(B4814="","","outreach_sent")</f>
        <v/>
      </c>
      <c r="G4814" s="17">
        <f>IF(B4814="","","")</f>
        <v/>
      </c>
      <c r="H4814" s="17">
        <f>IF(B4814="","","")</f>
        <v/>
      </c>
      <c r="I4814" s="17">
        <f>IF(B4814="","","")</f>
        <v/>
      </c>
      <c r="J4814" s="17">
        <f>IF(B4814="","","touch_3; "&amp;IFERROR(INDEX(Clay_Brands!$A$2:$FZ$601,163,Sync!$D$10)&amp;"","")&amp;"; "&amp;IFERROR(INDEX(Clay_Brands!$A$2:$FZ$601,163,Sync!$D$9)&amp;"",""))</f>
        <v/>
      </c>
      <c r="K4814" t="inlineStr">
        <is>
          <t>brand outreach touch 3</t>
        </is>
      </c>
    </row>
    <row r="4815">
      <c r="A4815" s="17">
        <f>IF(B4815="","",B4815+(17*1000+164)/10000000)</f>
        <v/>
      </c>
      <c r="B4815" s="23">
        <f>IF(AND(IFERROR(N(INDEX(Clay_Brands!$A$2:$FZ$601,164,Sync!$D$13)),0)&gt;0,IFERROR(INDEX(Clay_Brands!$A$2:$FZ$601,164,Sync!$D$5)&amp;"","")&lt;&gt;"",OR(LEFT(IFERROR(INDEX(Clay_Brands!$A$2:$FZ$601,164,Sync!$D$5)&amp;"",""),6)&lt;&gt;"SAMPLE",Config!$B$19="Y")),IFERROR(N(INDEX(Clay_Brands!$A$2:$FZ$601,164,Sync!$D$13)),0),"")</f>
        <v/>
      </c>
      <c r="C4815" s="17">
        <f>IF(B4815="","","brand")</f>
        <v/>
      </c>
      <c r="D4815" s="17">
        <f>IF(B4815="","",IFERROR(INDEX(Clay_Brands!$A$2:$FZ$601,164,Sync!$D$5)&amp;"",""))</f>
        <v/>
      </c>
      <c r="E4815" s="17">
        <f>IF(B4815="","",IFERROR(INDEX(Clay_Brands!$A$2:$FZ$601,164,Sync!$D$6)&amp;"",""))</f>
        <v/>
      </c>
      <c r="F4815" s="17">
        <f>IF(B4815="","","outreach_sent")</f>
        <v/>
      </c>
      <c r="G4815" s="17">
        <f>IF(B4815="","","")</f>
        <v/>
      </c>
      <c r="H4815" s="17">
        <f>IF(B4815="","","")</f>
        <v/>
      </c>
      <c r="I4815" s="17">
        <f>IF(B4815="","","")</f>
        <v/>
      </c>
      <c r="J4815" s="17">
        <f>IF(B4815="","","touch_3; "&amp;IFERROR(INDEX(Clay_Brands!$A$2:$FZ$601,164,Sync!$D$10)&amp;"","")&amp;"; "&amp;IFERROR(INDEX(Clay_Brands!$A$2:$FZ$601,164,Sync!$D$9)&amp;"",""))</f>
        <v/>
      </c>
      <c r="K4815" t="inlineStr">
        <is>
          <t>brand outreach touch 3</t>
        </is>
      </c>
    </row>
    <row r="4816">
      <c r="A4816" s="17">
        <f>IF(B4816="","",B4816+(17*1000+165)/10000000)</f>
        <v/>
      </c>
      <c r="B4816" s="23">
        <f>IF(AND(IFERROR(N(INDEX(Clay_Brands!$A$2:$FZ$601,165,Sync!$D$13)),0)&gt;0,IFERROR(INDEX(Clay_Brands!$A$2:$FZ$601,165,Sync!$D$5)&amp;"","")&lt;&gt;"",OR(LEFT(IFERROR(INDEX(Clay_Brands!$A$2:$FZ$601,165,Sync!$D$5)&amp;"",""),6)&lt;&gt;"SAMPLE",Config!$B$19="Y")),IFERROR(N(INDEX(Clay_Brands!$A$2:$FZ$601,165,Sync!$D$13)),0),"")</f>
        <v/>
      </c>
      <c r="C4816" s="17">
        <f>IF(B4816="","","brand")</f>
        <v/>
      </c>
      <c r="D4816" s="17">
        <f>IF(B4816="","",IFERROR(INDEX(Clay_Brands!$A$2:$FZ$601,165,Sync!$D$5)&amp;"",""))</f>
        <v/>
      </c>
      <c r="E4816" s="17">
        <f>IF(B4816="","",IFERROR(INDEX(Clay_Brands!$A$2:$FZ$601,165,Sync!$D$6)&amp;"",""))</f>
        <v/>
      </c>
      <c r="F4816" s="17">
        <f>IF(B4816="","","outreach_sent")</f>
        <v/>
      </c>
      <c r="G4816" s="17">
        <f>IF(B4816="","","")</f>
        <v/>
      </c>
      <c r="H4816" s="17">
        <f>IF(B4816="","","")</f>
        <v/>
      </c>
      <c r="I4816" s="17">
        <f>IF(B4816="","","")</f>
        <v/>
      </c>
      <c r="J4816" s="17">
        <f>IF(B4816="","","touch_3; "&amp;IFERROR(INDEX(Clay_Brands!$A$2:$FZ$601,165,Sync!$D$10)&amp;"","")&amp;"; "&amp;IFERROR(INDEX(Clay_Brands!$A$2:$FZ$601,165,Sync!$D$9)&amp;"",""))</f>
        <v/>
      </c>
      <c r="K4816" t="inlineStr">
        <is>
          <t>brand outreach touch 3</t>
        </is>
      </c>
    </row>
    <row r="4817">
      <c r="A4817" s="17">
        <f>IF(B4817="","",B4817+(17*1000+166)/10000000)</f>
        <v/>
      </c>
      <c r="B4817" s="23">
        <f>IF(AND(IFERROR(N(INDEX(Clay_Brands!$A$2:$FZ$601,166,Sync!$D$13)),0)&gt;0,IFERROR(INDEX(Clay_Brands!$A$2:$FZ$601,166,Sync!$D$5)&amp;"","")&lt;&gt;"",OR(LEFT(IFERROR(INDEX(Clay_Brands!$A$2:$FZ$601,166,Sync!$D$5)&amp;"",""),6)&lt;&gt;"SAMPLE",Config!$B$19="Y")),IFERROR(N(INDEX(Clay_Brands!$A$2:$FZ$601,166,Sync!$D$13)),0),"")</f>
        <v/>
      </c>
      <c r="C4817" s="17">
        <f>IF(B4817="","","brand")</f>
        <v/>
      </c>
      <c r="D4817" s="17">
        <f>IF(B4817="","",IFERROR(INDEX(Clay_Brands!$A$2:$FZ$601,166,Sync!$D$5)&amp;"",""))</f>
        <v/>
      </c>
      <c r="E4817" s="17">
        <f>IF(B4817="","",IFERROR(INDEX(Clay_Brands!$A$2:$FZ$601,166,Sync!$D$6)&amp;"",""))</f>
        <v/>
      </c>
      <c r="F4817" s="17">
        <f>IF(B4817="","","outreach_sent")</f>
        <v/>
      </c>
      <c r="G4817" s="17">
        <f>IF(B4817="","","")</f>
        <v/>
      </c>
      <c r="H4817" s="17">
        <f>IF(B4817="","","")</f>
        <v/>
      </c>
      <c r="I4817" s="17">
        <f>IF(B4817="","","")</f>
        <v/>
      </c>
      <c r="J4817" s="17">
        <f>IF(B4817="","","touch_3; "&amp;IFERROR(INDEX(Clay_Brands!$A$2:$FZ$601,166,Sync!$D$10)&amp;"","")&amp;"; "&amp;IFERROR(INDEX(Clay_Brands!$A$2:$FZ$601,166,Sync!$D$9)&amp;"",""))</f>
        <v/>
      </c>
      <c r="K4817" t="inlineStr">
        <is>
          <t>brand outreach touch 3</t>
        </is>
      </c>
    </row>
    <row r="4818">
      <c r="A4818" s="17">
        <f>IF(B4818="","",B4818+(17*1000+167)/10000000)</f>
        <v/>
      </c>
      <c r="B4818" s="23">
        <f>IF(AND(IFERROR(N(INDEX(Clay_Brands!$A$2:$FZ$601,167,Sync!$D$13)),0)&gt;0,IFERROR(INDEX(Clay_Brands!$A$2:$FZ$601,167,Sync!$D$5)&amp;"","")&lt;&gt;"",OR(LEFT(IFERROR(INDEX(Clay_Brands!$A$2:$FZ$601,167,Sync!$D$5)&amp;"",""),6)&lt;&gt;"SAMPLE",Config!$B$19="Y")),IFERROR(N(INDEX(Clay_Brands!$A$2:$FZ$601,167,Sync!$D$13)),0),"")</f>
        <v/>
      </c>
      <c r="C4818" s="17">
        <f>IF(B4818="","","brand")</f>
        <v/>
      </c>
      <c r="D4818" s="17">
        <f>IF(B4818="","",IFERROR(INDEX(Clay_Brands!$A$2:$FZ$601,167,Sync!$D$5)&amp;"",""))</f>
        <v/>
      </c>
      <c r="E4818" s="17">
        <f>IF(B4818="","",IFERROR(INDEX(Clay_Brands!$A$2:$FZ$601,167,Sync!$D$6)&amp;"",""))</f>
        <v/>
      </c>
      <c r="F4818" s="17">
        <f>IF(B4818="","","outreach_sent")</f>
        <v/>
      </c>
      <c r="G4818" s="17">
        <f>IF(B4818="","","")</f>
        <v/>
      </c>
      <c r="H4818" s="17">
        <f>IF(B4818="","","")</f>
        <v/>
      </c>
      <c r="I4818" s="17">
        <f>IF(B4818="","","")</f>
        <v/>
      </c>
      <c r="J4818" s="17">
        <f>IF(B4818="","","touch_3; "&amp;IFERROR(INDEX(Clay_Brands!$A$2:$FZ$601,167,Sync!$D$10)&amp;"","")&amp;"; "&amp;IFERROR(INDEX(Clay_Brands!$A$2:$FZ$601,167,Sync!$D$9)&amp;"",""))</f>
        <v/>
      </c>
      <c r="K4818" t="inlineStr">
        <is>
          <t>brand outreach touch 3</t>
        </is>
      </c>
    </row>
    <row r="4819">
      <c r="A4819" s="17">
        <f>IF(B4819="","",B4819+(17*1000+168)/10000000)</f>
        <v/>
      </c>
      <c r="B4819" s="23">
        <f>IF(AND(IFERROR(N(INDEX(Clay_Brands!$A$2:$FZ$601,168,Sync!$D$13)),0)&gt;0,IFERROR(INDEX(Clay_Brands!$A$2:$FZ$601,168,Sync!$D$5)&amp;"","")&lt;&gt;"",OR(LEFT(IFERROR(INDEX(Clay_Brands!$A$2:$FZ$601,168,Sync!$D$5)&amp;"",""),6)&lt;&gt;"SAMPLE",Config!$B$19="Y")),IFERROR(N(INDEX(Clay_Brands!$A$2:$FZ$601,168,Sync!$D$13)),0),"")</f>
        <v/>
      </c>
      <c r="C4819" s="17">
        <f>IF(B4819="","","brand")</f>
        <v/>
      </c>
      <c r="D4819" s="17">
        <f>IF(B4819="","",IFERROR(INDEX(Clay_Brands!$A$2:$FZ$601,168,Sync!$D$5)&amp;"",""))</f>
        <v/>
      </c>
      <c r="E4819" s="17">
        <f>IF(B4819="","",IFERROR(INDEX(Clay_Brands!$A$2:$FZ$601,168,Sync!$D$6)&amp;"",""))</f>
        <v/>
      </c>
      <c r="F4819" s="17">
        <f>IF(B4819="","","outreach_sent")</f>
        <v/>
      </c>
      <c r="G4819" s="17">
        <f>IF(B4819="","","")</f>
        <v/>
      </c>
      <c r="H4819" s="17">
        <f>IF(B4819="","","")</f>
        <v/>
      </c>
      <c r="I4819" s="17">
        <f>IF(B4819="","","")</f>
        <v/>
      </c>
      <c r="J4819" s="17">
        <f>IF(B4819="","","touch_3; "&amp;IFERROR(INDEX(Clay_Brands!$A$2:$FZ$601,168,Sync!$D$10)&amp;"","")&amp;"; "&amp;IFERROR(INDEX(Clay_Brands!$A$2:$FZ$601,168,Sync!$D$9)&amp;"",""))</f>
        <v/>
      </c>
      <c r="K4819" t="inlineStr">
        <is>
          <t>brand outreach touch 3</t>
        </is>
      </c>
    </row>
    <row r="4820">
      <c r="A4820" s="17">
        <f>IF(B4820="","",B4820+(17*1000+169)/10000000)</f>
        <v/>
      </c>
      <c r="B4820" s="23">
        <f>IF(AND(IFERROR(N(INDEX(Clay_Brands!$A$2:$FZ$601,169,Sync!$D$13)),0)&gt;0,IFERROR(INDEX(Clay_Brands!$A$2:$FZ$601,169,Sync!$D$5)&amp;"","")&lt;&gt;"",OR(LEFT(IFERROR(INDEX(Clay_Brands!$A$2:$FZ$601,169,Sync!$D$5)&amp;"",""),6)&lt;&gt;"SAMPLE",Config!$B$19="Y")),IFERROR(N(INDEX(Clay_Brands!$A$2:$FZ$601,169,Sync!$D$13)),0),"")</f>
        <v/>
      </c>
      <c r="C4820" s="17">
        <f>IF(B4820="","","brand")</f>
        <v/>
      </c>
      <c r="D4820" s="17">
        <f>IF(B4820="","",IFERROR(INDEX(Clay_Brands!$A$2:$FZ$601,169,Sync!$D$5)&amp;"",""))</f>
        <v/>
      </c>
      <c r="E4820" s="17">
        <f>IF(B4820="","",IFERROR(INDEX(Clay_Brands!$A$2:$FZ$601,169,Sync!$D$6)&amp;"",""))</f>
        <v/>
      </c>
      <c r="F4820" s="17">
        <f>IF(B4820="","","outreach_sent")</f>
        <v/>
      </c>
      <c r="G4820" s="17">
        <f>IF(B4820="","","")</f>
        <v/>
      </c>
      <c r="H4820" s="17">
        <f>IF(B4820="","","")</f>
        <v/>
      </c>
      <c r="I4820" s="17">
        <f>IF(B4820="","","")</f>
        <v/>
      </c>
      <c r="J4820" s="17">
        <f>IF(B4820="","","touch_3; "&amp;IFERROR(INDEX(Clay_Brands!$A$2:$FZ$601,169,Sync!$D$10)&amp;"","")&amp;"; "&amp;IFERROR(INDEX(Clay_Brands!$A$2:$FZ$601,169,Sync!$D$9)&amp;"",""))</f>
        <v/>
      </c>
      <c r="K4820" t="inlineStr">
        <is>
          <t>brand outreach touch 3</t>
        </is>
      </c>
    </row>
    <row r="4821">
      <c r="A4821" s="17">
        <f>IF(B4821="","",B4821+(17*1000+170)/10000000)</f>
        <v/>
      </c>
      <c r="B4821" s="23">
        <f>IF(AND(IFERROR(N(INDEX(Clay_Brands!$A$2:$FZ$601,170,Sync!$D$13)),0)&gt;0,IFERROR(INDEX(Clay_Brands!$A$2:$FZ$601,170,Sync!$D$5)&amp;"","")&lt;&gt;"",OR(LEFT(IFERROR(INDEX(Clay_Brands!$A$2:$FZ$601,170,Sync!$D$5)&amp;"",""),6)&lt;&gt;"SAMPLE",Config!$B$19="Y")),IFERROR(N(INDEX(Clay_Brands!$A$2:$FZ$601,170,Sync!$D$13)),0),"")</f>
        <v/>
      </c>
      <c r="C4821" s="17">
        <f>IF(B4821="","","brand")</f>
        <v/>
      </c>
      <c r="D4821" s="17">
        <f>IF(B4821="","",IFERROR(INDEX(Clay_Brands!$A$2:$FZ$601,170,Sync!$D$5)&amp;"",""))</f>
        <v/>
      </c>
      <c r="E4821" s="17">
        <f>IF(B4821="","",IFERROR(INDEX(Clay_Brands!$A$2:$FZ$601,170,Sync!$D$6)&amp;"",""))</f>
        <v/>
      </c>
      <c r="F4821" s="17">
        <f>IF(B4821="","","outreach_sent")</f>
        <v/>
      </c>
      <c r="G4821" s="17">
        <f>IF(B4821="","","")</f>
        <v/>
      </c>
      <c r="H4821" s="17">
        <f>IF(B4821="","","")</f>
        <v/>
      </c>
      <c r="I4821" s="17">
        <f>IF(B4821="","","")</f>
        <v/>
      </c>
      <c r="J4821" s="17">
        <f>IF(B4821="","","touch_3; "&amp;IFERROR(INDEX(Clay_Brands!$A$2:$FZ$601,170,Sync!$D$10)&amp;"","")&amp;"; "&amp;IFERROR(INDEX(Clay_Brands!$A$2:$FZ$601,170,Sync!$D$9)&amp;"",""))</f>
        <v/>
      </c>
      <c r="K4821" t="inlineStr">
        <is>
          <t>brand outreach touch 3</t>
        </is>
      </c>
    </row>
    <row r="4822">
      <c r="A4822" s="17">
        <f>IF(B4822="","",B4822+(17*1000+171)/10000000)</f>
        <v/>
      </c>
      <c r="B4822" s="23">
        <f>IF(AND(IFERROR(N(INDEX(Clay_Brands!$A$2:$FZ$601,171,Sync!$D$13)),0)&gt;0,IFERROR(INDEX(Clay_Brands!$A$2:$FZ$601,171,Sync!$D$5)&amp;"","")&lt;&gt;"",OR(LEFT(IFERROR(INDEX(Clay_Brands!$A$2:$FZ$601,171,Sync!$D$5)&amp;"",""),6)&lt;&gt;"SAMPLE",Config!$B$19="Y")),IFERROR(N(INDEX(Clay_Brands!$A$2:$FZ$601,171,Sync!$D$13)),0),"")</f>
        <v/>
      </c>
      <c r="C4822" s="17">
        <f>IF(B4822="","","brand")</f>
        <v/>
      </c>
      <c r="D4822" s="17">
        <f>IF(B4822="","",IFERROR(INDEX(Clay_Brands!$A$2:$FZ$601,171,Sync!$D$5)&amp;"",""))</f>
        <v/>
      </c>
      <c r="E4822" s="17">
        <f>IF(B4822="","",IFERROR(INDEX(Clay_Brands!$A$2:$FZ$601,171,Sync!$D$6)&amp;"",""))</f>
        <v/>
      </c>
      <c r="F4822" s="17">
        <f>IF(B4822="","","outreach_sent")</f>
        <v/>
      </c>
      <c r="G4822" s="17">
        <f>IF(B4822="","","")</f>
        <v/>
      </c>
      <c r="H4822" s="17">
        <f>IF(B4822="","","")</f>
        <v/>
      </c>
      <c r="I4822" s="17">
        <f>IF(B4822="","","")</f>
        <v/>
      </c>
      <c r="J4822" s="17">
        <f>IF(B4822="","","touch_3; "&amp;IFERROR(INDEX(Clay_Brands!$A$2:$FZ$601,171,Sync!$D$10)&amp;"","")&amp;"; "&amp;IFERROR(INDEX(Clay_Brands!$A$2:$FZ$601,171,Sync!$D$9)&amp;"",""))</f>
        <v/>
      </c>
      <c r="K4822" t="inlineStr">
        <is>
          <t>brand outreach touch 3</t>
        </is>
      </c>
    </row>
    <row r="4823">
      <c r="A4823" s="17">
        <f>IF(B4823="","",B4823+(17*1000+172)/10000000)</f>
        <v/>
      </c>
      <c r="B4823" s="23">
        <f>IF(AND(IFERROR(N(INDEX(Clay_Brands!$A$2:$FZ$601,172,Sync!$D$13)),0)&gt;0,IFERROR(INDEX(Clay_Brands!$A$2:$FZ$601,172,Sync!$D$5)&amp;"","")&lt;&gt;"",OR(LEFT(IFERROR(INDEX(Clay_Brands!$A$2:$FZ$601,172,Sync!$D$5)&amp;"",""),6)&lt;&gt;"SAMPLE",Config!$B$19="Y")),IFERROR(N(INDEX(Clay_Brands!$A$2:$FZ$601,172,Sync!$D$13)),0),"")</f>
        <v/>
      </c>
      <c r="C4823" s="17">
        <f>IF(B4823="","","brand")</f>
        <v/>
      </c>
      <c r="D4823" s="17">
        <f>IF(B4823="","",IFERROR(INDEX(Clay_Brands!$A$2:$FZ$601,172,Sync!$D$5)&amp;"",""))</f>
        <v/>
      </c>
      <c r="E4823" s="17">
        <f>IF(B4823="","",IFERROR(INDEX(Clay_Brands!$A$2:$FZ$601,172,Sync!$D$6)&amp;"",""))</f>
        <v/>
      </c>
      <c r="F4823" s="17">
        <f>IF(B4823="","","outreach_sent")</f>
        <v/>
      </c>
      <c r="G4823" s="17">
        <f>IF(B4823="","","")</f>
        <v/>
      </c>
      <c r="H4823" s="17">
        <f>IF(B4823="","","")</f>
        <v/>
      </c>
      <c r="I4823" s="17">
        <f>IF(B4823="","","")</f>
        <v/>
      </c>
      <c r="J4823" s="17">
        <f>IF(B4823="","","touch_3; "&amp;IFERROR(INDEX(Clay_Brands!$A$2:$FZ$601,172,Sync!$D$10)&amp;"","")&amp;"; "&amp;IFERROR(INDEX(Clay_Brands!$A$2:$FZ$601,172,Sync!$D$9)&amp;"",""))</f>
        <v/>
      </c>
      <c r="K4823" t="inlineStr">
        <is>
          <t>brand outreach touch 3</t>
        </is>
      </c>
    </row>
    <row r="4824">
      <c r="A4824" s="17">
        <f>IF(B4824="","",B4824+(17*1000+173)/10000000)</f>
        <v/>
      </c>
      <c r="B4824" s="23">
        <f>IF(AND(IFERROR(N(INDEX(Clay_Brands!$A$2:$FZ$601,173,Sync!$D$13)),0)&gt;0,IFERROR(INDEX(Clay_Brands!$A$2:$FZ$601,173,Sync!$D$5)&amp;"","")&lt;&gt;"",OR(LEFT(IFERROR(INDEX(Clay_Brands!$A$2:$FZ$601,173,Sync!$D$5)&amp;"",""),6)&lt;&gt;"SAMPLE",Config!$B$19="Y")),IFERROR(N(INDEX(Clay_Brands!$A$2:$FZ$601,173,Sync!$D$13)),0),"")</f>
        <v/>
      </c>
      <c r="C4824" s="17">
        <f>IF(B4824="","","brand")</f>
        <v/>
      </c>
      <c r="D4824" s="17">
        <f>IF(B4824="","",IFERROR(INDEX(Clay_Brands!$A$2:$FZ$601,173,Sync!$D$5)&amp;"",""))</f>
        <v/>
      </c>
      <c r="E4824" s="17">
        <f>IF(B4824="","",IFERROR(INDEX(Clay_Brands!$A$2:$FZ$601,173,Sync!$D$6)&amp;"",""))</f>
        <v/>
      </c>
      <c r="F4824" s="17">
        <f>IF(B4824="","","outreach_sent")</f>
        <v/>
      </c>
      <c r="G4824" s="17">
        <f>IF(B4824="","","")</f>
        <v/>
      </c>
      <c r="H4824" s="17">
        <f>IF(B4824="","","")</f>
        <v/>
      </c>
      <c r="I4824" s="17">
        <f>IF(B4824="","","")</f>
        <v/>
      </c>
      <c r="J4824" s="17">
        <f>IF(B4824="","","touch_3; "&amp;IFERROR(INDEX(Clay_Brands!$A$2:$FZ$601,173,Sync!$D$10)&amp;"","")&amp;"; "&amp;IFERROR(INDEX(Clay_Brands!$A$2:$FZ$601,173,Sync!$D$9)&amp;"",""))</f>
        <v/>
      </c>
      <c r="K4824" t="inlineStr">
        <is>
          <t>brand outreach touch 3</t>
        </is>
      </c>
    </row>
    <row r="4825">
      <c r="A4825" s="17">
        <f>IF(B4825="","",B4825+(17*1000+174)/10000000)</f>
        <v/>
      </c>
      <c r="B4825" s="23">
        <f>IF(AND(IFERROR(N(INDEX(Clay_Brands!$A$2:$FZ$601,174,Sync!$D$13)),0)&gt;0,IFERROR(INDEX(Clay_Brands!$A$2:$FZ$601,174,Sync!$D$5)&amp;"","")&lt;&gt;"",OR(LEFT(IFERROR(INDEX(Clay_Brands!$A$2:$FZ$601,174,Sync!$D$5)&amp;"",""),6)&lt;&gt;"SAMPLE",Config!$B$19="Y")),IFERROR(N(INDEX(Clay_Brands!$A$2:$FZ$601,174,Sync!$D$13)),0),"")</f>
        <v/>
      </c>
      <c r="C4825" s="17">
        <f>IF(B4825="","","brand")</f>
        <v/>
      </c>
      <c r="D4825" s="17">
        <f>IF(B4825="","",IFERROR(INDEX(Clay_Brands!$A$2:$FZ$601,174,Sync!$D$5)&amp;"",""))</f>
        <v/>
      </c>
      <c r="E4825" s="17">
        <f>IF(B4825="","",IFERROR(INDEX(Clay_Brands!$A$2:$FZ$601,174,Sync!$D$6)&amp;"",""))</f>
        <v/>
      </c>
      <c r="F4825" s="17">
        <f>IF(B4825="","","outreach_sent")</f>
        <v/>
      </c>
      <c r="G4825" s="17">
        <f>IF(B4825="","","")</f>
        <v/>
      </c>
      <c r="H4825" s="17">
        <f>IF(B4825="","","")</f>
        <v/>
      </c>
      <c r="I4825" s="17">
        <f>IF(B4825="","","")</f>
        <v/>
      </c>
      <c r="J4825" s="17">
        <f>IF(B4825="","","touch_3; "&amp;IFERROR(INDEX(Clay_Brands!$A$2:$FZ$601,174,Sync!$D$10)&amp;"","")&amp;"; "&amp;IFERROR(INDEX(Clay_Brands!$A$2:$FZ$601,174,Sync!$D$9)&amp;"",""))</f>
        <v/>
      </c>
      <c r="K4825" t="inlineStr">
        <is>
          <t>brand outreach touch 3</t>
        </is>
      </c>
    </row>
    <row r="4826">
      <c r="A4826" s="17">
        <f>IF(B4826="","",B4826+(17*1000+175)/10000000)</f>
        <v/>
      </c>
      <c r="B4826" s="23">
        <f>IF(AND(IFERROR(N(INDEX(Clay_Brands!$A$2:$FZ$601,175,Sync!$D$13)),0)&gt;0,IFERROR(INDEX(Clay_Brands!$A$2:$FZ$601,175,Sync!$D$5)&amp;"","")&lt;&gt;"",OR(LEFT(IFERROR(INDEX(Clay_Brands!$A$2:$FZ$601,175,Sync!$D$5)&amp;"",""),6)&lt;&gt;"SAMPLE",Config!$B$19="Y")),IFERROR(N(INDEX(Clay_Brands!$A$2:$FZ$601,175,Sync!$D$13)),0),"")</f>
        <v/>
      </c>
      <c r="C4826" s="17">
        <f>IF(B4826="","","brand")</f>
        <v/>
      </c>
      <c r="D4826" s="17">
        <f>IF(B4826="","",IFERROR(INDEX(Clay_Brands!$A$2:$FZ$601,175,Sync!$D$5)&amp;"",""))</f>
        <v/>
      </c>
      <c r="E4826" s="17">
        <f>IF(B4826="","",IFERROR(INDEX(Clay_Brands!$A$2:$FZ$601,175,Sync!$D$6)&amp;"",""))</f>
        <v/>
      </c>
      <c r="F4826" s="17">
        <f>IF(B4826="","","outreach_sent")</f>
        <v/>
      </c>
      <c r="G4826" s="17">
        <f>IF(B4826="","","")</f>
        <v/>
      </c>
      <c r="H4826" s="17">
        <f>IF(B4826="","","")</f>
        <v/>
      </c>
      <c r="I4826" s="17">
        <f>IF(B4826="","","")</f>
        <v/>
      </c>
      <c r="J4826" s="17">
        <f>IF(B4826="","","touch_3; "&amp;IFERROR(INDEX(Clay_Brands!$A$2:$FZ$601,175,Sync!$D$10)&amp;"","")&amp;"; "&amp;IFERROR(INDEX(Clay_Brands!$A$2:$FZ$601,175,Sync!$D$9)&amp;"",""))</f>
        <v/>
      </c>
      <c r="K4826" t="inlineStr">
        <is>
          <t>brand outreach touch 3</t>
        </is>
      </c>
    </row>
    <row r="4827">
      <c r="A4827" s="17">
        <f>IF(B4827="","",B4827+(17*1000+176)/10000000)</f>
        <v/>
      </c>
      <c r="B4827" s="23">
        <f>IF(AND(IFERROR(N(INDEX(Clay_Brands!$A$2:$FZ$601,176,Sync!$D$13)),0)&gt;0,IFERROR(INDEX(Clay_Brands!$A$2:$FZ$601,176,Sync!$D$5)&amp;"","")&lt;&gt;"",OR(LEFT(IFERROR(INDEX(Clay_Brands!$A$2:$FZ$601,176,Sync!$D$5)&amp;"",""),6)&lt;&gt;"SAMPLE",Config!$B$19="Y")),IFERROR(N(INDEX(Clay_Brands!$A$2:$FZ$601,176,Sync!$D$13)),0),"")</f>
        <v/>
      </c>
      <c r="C4827" s="17">
        <f>IF(B4827="","","brand")</f>
        <v/>
      </c>
      <c r="D4827" s="17">
        <f>IF(B4827="","",IFERROR(INDEX(Clay_Brands!$A$2:$FZ$601,176,Sync!$D$5)&amp;"",""))</f>
        <v/>
      </c>
      <c r="E4827" s="17">
        <f>IF(B4827="","",IFERROR(INDEX(Clay_Brands!$A$2:$FZ$601,176,Sync!$D$6)&amp;"",""))</f>
        <v/>
      </c>
      <c r="F4827" s="17">
        <f>IF(B4827="","","outreach_sent")</f>
        <v/>
      </c>
      <c r="G4827" s="17">
        <f>IF(B4827="","","")</f>
        <v/>
      </c>
      <c r="H4827" s="17">
        <f>IF(B4827="","","")</f>
        <v/>
      </c>
      <c r="I4827" s="17">
        <f>IF(B4827="","","")</f>
        <v/>
      </c>
      <c r="J4827" s="17">
        <f>IF(B4827="","","touch_3; "&amp;IFERROR(INDEX(Clay_Brands!$A$2:$FZ$601,176,Sync!$D$10)&amp;"","")&amp;"; "&amp;IFERROR(INDEX(Clay_Brands!$A$2:$FZ$601,176,Sync!$D$9)&amp;"",""))</f>
        <v/>
      </c>
      <c r="K4827" t="inlineStr">
        <is>
          <t>brand outreach touch 3</t>
        </is>
      </c>
    </row>
    <row r="4828">
      <c r="A4828" s="17">
        <f>IF(B4828="","",B4828+(17*1000+177)/10000000)</f>
        <v/>
      </c>
      <c r="B4828" s="23">
        <f>IF(AND(IFERROR(N(INDEX(Clay_Brands!$A$2:$FZ$601,177,Sync!$D$13)),0)&gt;0,IFERROR(INDEX(Clay_Brands!$A$2:$FZ$601,177,Sync!$D$5)&amp;"","")&lt;&gt;"",OR(LEFT(IFERROR(INDEX(Clay_Brands!$A$2:$FZ$601,177,Sync!$D$5)&amp;"",""),6)&lt;&gt;"SAMPLE",Config!$B$19="Y")),IFERROR(N(INDEX(Clay_Brands!$A$2:$FZ$601,177,Sync!$D$13)),0),"")</f>
        <v/>
      </c>
      <c r="C4828" s="17">
        <f>IF(B4828="","","brand")</f>
        <v/>
      </c>
      <c r="D4828" s="17">
        <f>IF(B4828="","",IFERROR(INDEX(Clay_Brands!$A$2:$FZ$601,177,Sync!$D$5)&amp;"",""))</f>
        <v/>
      </c>
      <c r="E4828" s="17">
        <f>IF(B4828="","",IFERROR(INDEX(Clay_Brands!$A$2:$FZ$601,177,Sync!$D$6)&amp;"",""))</f>
        <v/>
      </c>
      <c r="F4828" s="17">
        <f>IF(B4828="","","outreach_sent")</f>
        <v/>
      </c>
      <c r="G4828" s="17">
        <f>IF(B4828="","","")</f>
        <v/>
      </c>
      <c r="H4828" s="17">
        <f>IF(B4828="","","")</f>
        <v/>
      </c>
      <c r="I4828" s="17">
        <f>IF(B4828="","","")</f>
        <v/>
      </c>
      <c r="J4828" s="17">
        <f>IF(B4828="","","touch_3; "&amp;IFERROR(INDEX(Clay_Brands!$A$2:$FZ$601,177,Sync!$D$10)&amp;"","")&amp;"; "&amp;IFERROR(INDEX(Clay_Brands!$A$2:$FZ$601,177,Sync!$D$9)&amp;"",""))</f>
        <v/>
      </c>
      <c r="K4828" t="inlineStr">
        <is>
          <t>brand outreach touch 3</t>
        </is>
      </c>
    </row>
    <row r="4829">
      <c r="A4829" s="17">
        <f>IF(B4829="","",B4829+(17*1000+178)/10000000)</f>
        <v/>
      </c>
      <c r="B4829" s="23">
        <f>IF(AND(IFERROR(N(INDEX(Clay_Brands!$A$2:$FZ$601,178,Sync!$D$13)),0)&gt;0,IFERROR(INDEX(Clay_Brands!$A$2:$FZ$601,178,Sync!$D$5)&amp;"","")&lt;&gt;"",OR(LEFT(IFERROR(INDEX(Clay_Brands!$A$2:$FZ$601,178,Sync!$D$5)&amp;"",""),6)&lt;&gt;"SAMPLE",Config!$B$19="Y")),IFERROR(N(INDEX(Clay_Brands!$A$2:$FZ$601,178,Sync!$D$13)),0),"")</f>
        <v/>
      </c>
      <c r="C4829" s="17">
        <f>IF(B4829="","","brand")</f>
        <v/>
      </c>
      <c r="D4829" s="17">
        <f>IF(B4829="","",IFERROR(INDEX(Clay_Brands!$A$2:$FZ$601,178,Sync!$D$5)&amp;"",""))</f>
        <v/>
      </c>
      <c r="E4829" s="17">
        <f>IF(B4829="","",IFERROR(INDEX(Clay_Brands!$A$2:$FZ$601,178,Sync!$D$6)&amp;"",""))</f>
        <v/>
      </c>
      <c r="F4829" s="17">
        <f>IF(B4829="","","outreach_sent")</f>
        <v/>
      </c>
      <c r="G4829" s="17">
        <f>IF(B4829="","","")</f>
        <v/>
      </c>
      <c r="H4829" s="17">
        <f>IF(B4829="","","")</f>
        <v/>
      </c>
      <c r="I4829" s="17">
        <f>IF(B4829="","","")</f>
        <v/>
      </c>
      <c r="J4829" s="17">
        <f>IF(B4829="","","touch_3; "&amp;IFERROR(INDEX(Clay_Brands!$A$2:$FZ$601,178,Sync!$D$10)&amp;"","")&amp;"; "&amp;IFERROR(INDEX(Clay_Brands!$A$2:$FZ$601,178,Sync!$D$9)&amp;"",""))</f>
        <v/>
      </c>
      <c r="K4829" t="inlineStr">
        <is>
          <t>brand outreach touch 3</t>
        </is>
      </c>
    </row>
    <row r="4830">
      <c r="A4830" s="17">
        <f>IF(B4830="","",B4830+(17*1000+179)/10000000)</f>
        <v/>
      </c>
      <c r="B4830" s="23">
        <f>IF(AND(IFERROR(N(INDEX(Clay_Brands!$A$2:$FZ$601,179,Sync!$D$13)),0)&gt;0,IFERROR(INDEX(Clay_Brands!$A$2:$FZ$601,179,Sync!$D$5)&amp;"","")&lt;&gt;"",OR(LEFT(IFERROR(INDEX(Clay_Brands!$A$2:$FZ$601,179,Sync!$D$5)&amp;"",""),6)&lt;&gt;"SAMPLE",Config!$B$19="Y")),IFERROR(N(INDEX(Clay_Brands!$A$2:$FZ$601,179,Sync!$D$13)),0),"")</f>
        <v/>
      </c>
      <c r="C4830" s="17">
        <f>IF(B4830="","","brand")</f>
        <v/>
      </c>
      <c r="D4830" s="17">
        <f>IF(B4830="","",IFERROR(INDEX(Clay_Brands!$A$2:$FZ$601,179,Sync!$D$5)&amp;"",""))</f>
        <v/>
      </c>
      <c r="E4830" s="17">
        <f>IF(B4830="","",IFERROR(INDEX(Clay_Brands!$A$2:$FZ$601,179,Sync!$D$6)&amp;"",""))</f>
        <v/>
      </c>
      <c r="F4830" s="17">
        <f>IF(B4830="","","outreach_sent")</f>
        <v/>
      </c>
      <c r="G4830" s="17">
        <f>IF(B4830="","","")</f>
        <v/>
      </c>
      <c r="H4830" s="17">
        <f>IF(B4830="","","")</f>
        <v/>
      </c>
      <c r="I4830" s="17">
        <f>IF(B4830="","","")</f>
        <v/>
      </c>
      <c r="J4830" s="17">
        <f>IF(B4830="","","touch_3; "&amp;IFERROR(INDEX(Clay_Brands!$A$2:$FZ$601,179,Sync!$D$10)&amp;"","")&amp;"; "&amp;IFERROR(INDEX(Clay_Brands!$A$2:$FZ$601,179,Sync!$D$9)&amp;"",""))</f>
        <v/>
      </c>
      <c r="K4830" t="inlineStr">
        <is>
          <t>brand outreach touch 3</t>
        </is>
      </c>
    </row>
    <row r="4831">
      <c r="A4831" s="17">
        <f>IF(B4831="","",B4831+(17*1000+180)/10000000)</f>
        <v/>
      </c>
      <c r="B4831" s="23">
        <f>IF(AND(IFERROR(N(INDEX(Clay_Brands!$A$2:$FZ$601,180,Sync!$D$13)),0)&gt;0,IFERROR(INDEX(Clay_Brands!$A$2:$FZ$601,180,Sync!$D$5)&amp;"","")&lt;&gt;"",OR(LEFT(IFERROR(INDEX(Clay_Brands!$A$2:$FZ$601,180,Sync!$D$5)&amp;"",""),6)&lt;&gt;"SAMPLE",Config!$B$19="Y")),IFERROR(N(INDEX(Clay_Brands!$A$2:$FZ$601,180,Sync!$D$13)),0),"")</f>
        <v/>
      </c>
      <c r="C4831" s="17">
        <f>IF(B4831="","","brand")</f>
        <v/>
      </c>
      <c r="D4831" s="17">
        <f>IF(B4831="","",IFERROR(INDEX(Clay_Brands!$A$2:$FZ$601,180,Sync!$D$5)&amp;"",""))</f>
        <v/>
      </c>
      <c r="E4831" s="17">
        <f>IF(B4831="","",IFERROR(INDEX(Clay_Brands!$A$2:$FZ$601,180,Sync!$D$6)&amp;"",""))</f>
        <v/>
      </c>
      <c r="F4831" s="17">
        <f>IF(B4831="","","outreach_sent")</f>
        <v/>
      </c>
      <c r="G4831" s="17">
        <f>IF(B4831="","","")</f>
        <v/>
      </c>
      <c r="H4831" s="17">
        <f>IF(B4831="","","")</f>
        <v/>
      </c>
      <c r="I4831" s="17">
        <f>IF(B4831="","","")</f>
        <v/>
      </c>
      <c r="J4831" s="17">
        <f>IF(B4831="","","touch_3; "&amp;IFERROR(INDEX(Clay_Brands!$A$2:$FZ$601,180,Sync!$D$10)&amp;"","")&amp;"; "&amp;IFERROR(INDEX(Clay_Brands!$A$2:$FZ$601,180,Sync!$D$9)&amp;"",""))</f>
        <v/>
      </c>
      <c r="K4831" t="inlineStr">
        <is>
          <t>brand outreach touch 3</t>
        </is>
      </c>
    </row>
    <row r="4832">
      <c r="A4832" s="17">
        <f>IF(B4832="","",B4832+(17*1000+181)/10000000)</f>
        <v/>
      </c>
      <c r="B4832" s="23">
        <f>IF(AND(IFERROR(N(INDEX(Clay_Brands!$A$2:$FZ$601,181,Sync!$D$13)),0)&gt;0,IFERROR(INDEX(Clay_Brands!$A$2:$FZ$601,181,Sync!$D$5)&amp;"","")&lt;&gt;"",OR(LEFT(IFERROR(INDEX(Clay_Brands!$A$2:$FZ$601,181,Sync!$D$5)&amp;"",""),6)&lt;&gt;"SAMPLE",Config!$B$19="Y")),IFERROR(N(INDEX(Clay_Brands!$A$2:$FZ$601,181,Sync!$D$13)),0),"")</f>
        <v/>
      </c>
      <c r="C4832" s="17">
        <f>IF(B4832="","","brand")</f>
        <v/>
      </c>
      <c r="D4832" s="17">
        <f>IF(B4832="","",IFERROR(INDEX(Clay_Brands!$A$2:$FZ$601,181,Sync!$D$5)&amp;"",""))</f>
        <v/>
      </c>
      <c r="E4832" s="17">
        <f>IF(B4832="","",IFERROR(INDEX(Clay_Brands!$A$2:$FZ$601,181,Sync!$D$6)&amp;"",""))</f>
        <v/>
      </c>
      <c r="F4832" s="17">
        <f>IF(B4832="","","outreach_sent")</f>
        <v/>
      </c>
      <c r="G4832" s="17">
        <f>IF(B4832="","","")</f>
        <v/>
      </c>
      <c r="H4832" s="17">
        <f>IF(B4832="","","")</f>
        <v/>
      </c>
      <c r="I4832" s="17">
        <f>IF(B4832="","","")</f>
        <v/>
      </c>
      <c r="J4832" s="17">
        <f>IF(B4832="","","touch_3; "&amp;IFERROR(INDEX(Clay_Brands!$A$2:$FZ$601,181,Sync!$D$10)&amp;"","")&amp;"; "&amp;IFERROR(INDEX(Clay_Brands!$A$2:$FZ$601,181,Sync!$D$9)&amp;"",""))</f>
        <v/>
      </c>
      <c r="K4832" t="inlineStr">
        <is>
          <t>brand outreach touch 3</t>
        </is>
      </c>
    </row>
    <row r="4833">
      <c r="A4833" s="17">
        <f>IF(B4833="","",B4833+(17*1000+182)/10000000)</f>
        <v/>
      </c>
      <c r="B4833" s="23">
        <f>IF(AND(IFERROR(N(INDEX(Clay_Brands!$A$2:$FZ$601,182,Sync!$D$13)),0)&gt;0,IFERROR(INDEX(Clay_Brands!$A$2:$FZ$601,182,Sync!$D$5)&amp;"","")&lt;&gt;"",OR(LEFT(IFERROR(INDEX(Clay_Brands!$A$2:$FZ$601,182,Sync!$D$5)&amp;"",""),6)&lt;&gt;"SAMPLE",Config!$B$19="Y")),IFERROR(N(INDEX(Clay_Brands!$A$2:$FZ$601,182,Sync!$D$13)),0),"")</f>
        <v/>
      </c>
      <c r="C4833" s="17">
        <f>IF(B4833="","","brand")</f>
        <v/>
      </c>
      <c r="D4833" s="17">
        <f>IF(B4833="","",IFERROR(INDEX(Clay_Brands!$A$2:$FZ$601,182,Sync!$D$5)&amp;"",""))</f>
        <v/>
      </c>
      <c r="E4833" s="17">
        <f>IF(B4833="","",IFERROR(INDEX(Clay_Brands!$A$2:$FZ$601,182,Sync!$D$6)&amp;"",""))</f>
        <v/>
      </c>
      <c r="F4833" s="17">
        <f>IF(B4833="","","outreach_sent")</f>
        <v/>
      </c>
      <c r="G4833" s="17">
        <f>IF(B4833="","","")</f>
        <v/>
      </c>
      <c r="H4833" s="17">
        <f>IF(B4833="","","")</f>
        <v/>
      </c>
      <c r="I4833" s="17">
        <f>IF(B4833="","","")</f>
        <v/>
      </c>
      <c r="J4833" s="17">
        <f>IF(B4833="","","touch_3; "&amp;IFERROR(INDEX(Clay_Brands!$A$2:$FZ$601,182,Sync!$D$10)&amp;"","")&amp;"; "&amp;IFERROR(INDEX(Clay_Brands!$A$2:$FZ$601,182,Sync!$D$9)&amp;"",""))</f>
        <v/>
      </c>
      <c r="K4833" t="inlineStr">
        <is>
          <t>brand outreach touch 3</t>
        </is>
      </c>
    </row>
    <row r="4834">
      <c r="A4834" s="17">
        <f>IF(B4834="","",B4834+(17*1000+183)/10000000)</f>
        <v/>
      </c>
      <c r="B4834" s="23">
        <f>IF(AND(IFERROR(N(INDEX(Clay_Brands!$A$2:$FZ$601,183,Sync!$D$13)),0)&gt;0,IFERROR(INDEX(Clay_Brands!$A$2:$FZ$601,183,Sync!$D$5)&amp;"","")&lt;&gt;"",OR(LEFT(IFERROR(INDEX(Clay_Brands!$A$2:$FZ$601,183,Sync!$D$5)&amp;"",""),6)&lt;&gt;"SAMPLE",Config!$B$19="Y")),IFERROR(N(INDEX(Clay_Brands!$A$2:$FZ$601,183,Sync!$D$13)),0),"")</f>
        <v/>
      </c>
      <c r="C4834" s="17">
        <f>IF(B4834="","","brand")</f>
        <v/>
      </c>
      <c r="D4834" s="17">
        <f>IF(B4834="","",IFERROR(INDEX(Clay_Brands!$A$2:$FZ$601,183,Sync!$D$5)&amp;"",""))</f>
        <v/>
      </c>
      <c r="E4834" s="17">
        <f>IF(B4834="","",IFERROR(INDEX(Clay_Brands!$A$2:$FZ$601,183,Sync!$D$6)&amp;"",""))</f>
        <v/>
      </c>
      <c r="F4834" s="17">
        <f>IF(B4834="","","outreach_sent")</f>
        <v/>
      </c>
      <c r="G4834" s="17">
        <f>IF(B4834="","","")</f>
        <v/>
      </c>
      <c r="H4834" s="17">
        <f>IF(B4834="","","")</f>
        <v/>
      </c>
      <c r="I4834" s="17">
        <f>IF(B4834="","","")</f>
        <v/>
      </c>
      <c r="J4834" s="17">
        <f>IF(B4834="","","touch_3; "&amp;IFERROR(INDEX(Clay_Brands!$A$2:$FZ$601,183,Sync!$D$10)&amp;"","")&amp;"; "&amp;IFERROR(INDEX(Clay_Brands!$A$2:$FZ$601,183,Sync!$D$9)&amp;"",""))</f>
        <v/>
      </c>
      <c r="K4834" t="inlineStr">
        <is>
          <t>brand outreach touch 3</t>
        </is>
      </c>
    </row>
    <row r="4835">
      <c r="A4835" s="17">
        <f>IF(B4835="","",B4835+(17*1000+184)/10000000)</f>
        <v/>
      </c>
      <c r="B4835" s="23">
        <f>IF(AND(IFERROR(N(INDEX(Clay_Brands!$A$2:$FZ$601,184,Sync!$D$13)),0)&gt;0,IFERROR(INDEX(Clay_Brands!$A$2:$FZ$601,184,Sync!$D$5)&amp;"","")&lt;&gt;"",OR(LEFT(IFERROR(INDEX(Clay_Brands!$A$2:$FZ$601,184,Sync!$D$5)&amp;"",""),6)&lt;&gt;"SAMPLE",Config!$B$19="Y")),IFERROR(N(INDEX(Clay_Brands!$A$2:$FZ$601,184,Sync!$D$13)),0),"")</f>
        <v/>
      </c>
      <c r="C4835" s="17">
        <f>IF(B4835="","","brand")</f>
        <v/>
      </c>
      <c r="D4835" s="17">
        <f>IF(B4835="","",IFERROR(INDEX(Clay_Brands!$A$2:$FZ$601,184,Sync!$D$5)&amp;"",""))</f>
        <v/>
      </c>
      <c r="E4835" s="17">
        <f>IF(B4835="","",IFERROR(INDEX(Clay_Brands!$A$2:$FZ$601,184,Sync!$D$6)&amp;"",""))</f>
        <v/>
      </c>
      <c r="F4835" s="17">
        <f>IF(B4835="","","outreach_sent")</f>
        <v/>
      </c>
      <c r="G4835" s="17">
        <f>IF(B4835="","","")</f>
        <v/>
      </c>
      <c r="H4835" s="17">
        <f>IF(B4835="","","")</f>
        <v/>
      </c>
      <c r="I4835" s="17">
        <f>IF(B4835="","","")</f>
        <v/>
      </c>
      <c r="J4835" s="17">
        <f>IF(B4835="","","touch_3; "&amp;IFERROR(INDEX(Clay_Brands!$A$2:$FZ$601,184,Sync!$D$10)&amp;"","")&amp;"; "&amp;IFERROR(INDEX(Clay_Brands!$A$2:$FZ$601,184,Sync!$D$9)&amp;"",""))</f>
        <v/>
      </c>
      <c r="K4835" t="inlineStr">
        <is>
          <t>brand outreach touch 3</t>
        </is>
      </c>
    </row>
    <row r="4836">
      <c r="A4836" s="17">
        <f>IF(B4836="","",B4836+(17*1000+185)/10000000)</f>
        <v/>
      </c>
      <c r="B4836" s="23">
        <f>IF(AND(IFERROR(N(INDEX(Clay_Brands!$A$2:$FZ$601,185,Sync!$D$13)),0)&gt;0,IFERROR(INDEX(Clay_Brands!$A$2:$FZ$601,185,Sync!$D$5)&amp;"","")&lt;&gt;"",OR(LEFT(IFERROR(INDEX(Clay_Brands!$A$2:$FZ$601,185,Sync!$D$5)&amp;"",""),6)&lt;&gt;"SAMPLE",Config!$B$19="Y")),IFERROR(N(INDEX(Clay_Brands!$A$2:$FZ$601,185,Sync!$D$13)),0),"")</f>
        <v/>
      </c>
      <c r="C4836" s="17">
        <f>IF(B4836="","","brand")</f>
        <v/>
      </c>
      <c r="D4836" s="17">
        <f>IF(B4836="","",IFERROR(INDEX(Clay_Brands!$A$2:$FZ$601,185,Sync!$D$5)&amp;"",""))</f>
        <v/>
      </c>
      <c r="E4836" s="17">
        <f>IF(B4836="","",IFERROR(INDEX(Clay_Brands!$A$2:$FZ$601,185,Sync!$D$6)&amp;"",""))</f>
        <v/>
      </c>
      <c r="F4836" s="17">
        <f>IF(B4836="","","outreach_sent")</f>
        <v/>
      </c>
      <c r="G4836" s="17">
        <f>IF(B4836="","","")</f>
        <v/>
      </c>
      <c r="H4836" s="17">
        <f>IF(B4836="","","")</f>
        <v/>
      </c>
      <c r="I4836" s="17">
        <f>IF(B4836="","","")</f>
        <v/>
      </c>
      <c r="J4836" s="17">
        <f>IF(B4836="","","touch_3; "&amp;IFERROR(INDEX(Clay_Brands!$A$2:$FZ$601,185,Sync!$D$10)&amp;"","")&amp;"; "&amp;IFERROR(INDEX(Clay_Brands!$A$2:$FZ$601,185,Sync!$D$9)&amp;"",""))</f>
        <v/>
      </c>
      <c r="K4836" t="inlineStr">
        <is>
          <t>brand outreach touch 3</t>
        </is>
      </c>
    </row>
    <row r="4837">
      <c r="A4837" s="17">
        <f>IF(B4837="","",B4837+(17*1000+186)/10000000)</f>
        <v/>
      </c>
      <c r="B4837" s="23">
        <f>IF(AND(IFERROR(N(INDEX(Clay_Brands!$A$2:$FZ$601,186,Sync!$D$13)),0)&gt;0,IFERROR(INDEX(Clay_Brands!$A$2:$FZ$601,186,Sync!$D$5)&amp;"","")&lt;&gt;"",OR(LEFT(IFERROR(INDEX(Clay_Brands!$A$2:$FZ$601,186,Sync!$D$5)&amp;"",""),6)&lt;&gt;"SAMPLE",Config!$B$19="Y")),IFERROR(N(INDEX(Clay_Brands!$A$2:$FZ$601,186,Sync!$D$13)),0),"")</f>
        <v/>
      </c>
      <c r="C4837" s="17">
        <f>IF(B4837="","","brand")</f>
        <v/>
      </c>
      <c r="D4837" s="17">
        <f>IF(B4837="","",IFERROR(INDEX(Clay_Brands!$A$2:$FZ$601,186,Sync!$D$5)&amp;"",""))</f>
        <v/>
      </c>
      <c r="E4837" s="17">
        <f>IF(B4837="","",IFERROR(INDEX(Clay_Brands!$A$2:$FZ$601,186,Sync!$D$6)&amp;"",""))</f>
        <v/>
      </c>
      <c r="F4837" s="17">
        <f>IF(B4837="","","outreach_sent")</f>
        <v/>
      </c>
      <c r="G4837" s="17">
        <f>IF(B4837="","","")</f>
        <v/>
      </c>
      <c r="H4837" s="17">
        <f>IF(B4837="","","")</f>
        <v/>
      </c>
      <c r="I4837" s="17">
        <f>IF(B4837="","","")</f>
        <v/>
      </c>
      <c r="J4837" s="17">
        <f>IF(B4837="","","touch_3; "&amp;IFERROR(INDEX(Clay_Brands!$A$2:$FZ$601,186,Sync!$D$10)&amp;"","")&amp;"; "&amp;IFERROR(INDEX(Clay_Brands!$A$2:$FZ$601,186,Sync!$D$9)&amp;"",""))</f>
        <v/>
      </c>
      <c r="K4837" t="inlineStr">
        <is>
          <t>brand outreach touch 3</t>
        </is>
      </c>
    </row>
    <row r="4838">
      <c r="A4838" s="17">
        <f>IF(B4838="","",B4838+(17*1000+187)/10000000)</f>
        <v/>
      </c>
      <c r="B4838" s="23">
        <f>IF(AND(IFERROR(N(INDEX(Clay_Brands!$A$2:$FZ$601,187,Sync!$D$13)),0)&gt;0,IFERROR(INDEX(Clay_Brands!$A$2:$FZ$601,187,Sync!$D$5)&amp;"","")&lt;&gt;"",OR(LEFT(IFERROR(INDEX(Clay_Brands!$A$2:$FZ$601,187,Sync!$D$5)&amp;"",""),6)&lt;&gt;"SAMPLE",Config!$B$19="Y")),IFERROR(N(INDEX(Clay_Brands!$A$2:$FZ$601,187,Sync!$D$13)),0),"")</f>
        <v/>
      </c>
      <c r="C4838" s="17">
        <f>IF(B4838="","","brand")</f>
        <v/>
      </c>
      <c r="D4838" s="17">
        <f>IF(B4838="","",IFERROR(INDEX(Clay_Brands!$A$2:$FZ$601,187,Sync!$D$5)&amp;"",""))</f>
        <v/>
      </c>
      <c r="E4838" s="17">
        <f>IF(B4838="","",IFERROR(INDEX(Clay_Brands!$A$2:$FZ$601,187,Sync!$D$6)&amp;"",""))</f>
        <v/>
      </c>
      <c r="F4838" s="17">
        <f>IF(B4838="","","outreach_sent")</f>
        <v/>
      </c>
      <c r="G4838" s="17">
        <f>IF(B4838="","","")</f>
        <v/>
      </c>
      <c r="H4838" s="17">
        <f>IF(B4838="","","")</f>
        <v/>
      </c>
      <c r="I4838" s="17">
        <f>IF(B4838="","","")</f>
        <v/>
      </c>
      <c r="J4838" s="17">
        <f>IF(B4838="","","touch_3; "&amp;IFERROR(INDEX(Clay_Brands!$A$2:$FZ$601,187,Sync!$D$10)&amp;"","")&amp;"; "&amp;IFERROR(INDEX(Clay_Brands!$A$2:$FZ$601,187,Sync!$D$9)&amp;"",""))</f>
        <v/>
      </c>
      <c r="K4838" t="inlineStr">
        <is>
          <t>brand outreach touch 3</t>
        </is>
      </c>
    </row>
    <row r="4839">
      <c r="A4839" s="17">
        <f>IF(B4839="","",B4839+(17*1000+188)/10000000)</f>
        <v/>
      </c>
      <c r="B4839" s="23">
        <f>IF(AND(IFERROR(N(INDEX(Clay_Brands!$A$2:$FZ$601,188,Sync!$D$13)),0)&gt;0,IFERROR(INDEX(Clay_Brands!$A$2:$FZ$601,188,Sync!$D$5)&amp;"","")&lt;&gt;"",OR(LEFT(IFERROR(INDEX(Clay_Brands!$A$2:$FZ$601,188,Sync!$D$5)&amp;"",""),6)&lt;&gt;"SAMPLE",Config!$B$19="Y")),IFERROR(N(INDEX(Clay_Brands!$A$2:$FZ$601,188,Sync!$D$13)),0),"")</f>
        <v/>
      </c>
      <c r="C4839" s="17">
        <f>IF(B4839="","","brand")</f>
        <v/>
      </c>
      <c r="D4839" s="17">
        <f>IF(B4839="","",IFERROR(INDEX(Clay_Brands!$A$2:$FZ$601,188,Sync!$D$5)&amp;"",""))</f>
        <v/>
      </c>
      <c r="E4839" s="17">
        <f>IF(B4839="","",IFERROR(INDEX(Clay_Brands!$A$2:$FZ$601,188,Sync!$D$6)&amp;"",""))</f>
        <v/>
      </c>
      <c r="F4839" s="17">
        <f>IF(B4839="","","outreach_sent")</f>
        <v/>
      </c>
      <c r="G4839" s="17">
        <f>IF(B4839="","","")</f>
        <v/>
      </c>
      <c r="H4839" s="17">
        <f>IF(B4839="","","")</f>
        <v/>
      </c>
      <c r="I4839" s="17">
        <f>IF(B4839="","","")</f>
        <v/>
      </c>
      <c r="J4839" s="17">
        <f>IF(B4839="","","touch_3; "&amp;IFERROR(INDEX(Clay_Brands!$A$2:$FZ$601,188,Sync!$D$10)&amp;"","")&amp;"; "&amp;IFERROR(INDEX(Clay_Brands!$A$2:$FZ$601,188,Sync!$D$9)&amp;"",""))</f>
        <v/>
      </c>
      <c r="K4839" t="inlineStr">
        <is>
          <t>brand outreach touch 3</t>
        </is>
      </c>
    </row>
    <row r="4840">
      <c r="A4840" s="17">
        <f>IF(B4840="","",B4840+(17*1000+189)/10000000)</f>
        <v/>
      </c>
      <c r="B4840" s="23">
        <f>IF(AND(IFERROR(N(INDEX(Clay_Brands!$A$2:$FZ$601,189,Sync!$D$13)),0)&gt;0,IFERROR(INDEX(Clay_Brands!$A$2:$FZ$601,189,Sync!$D$5)&amp;"","")&lt;&gt;"",OR(LEFT(IFERROR(INDEX(Clay_Brands!$A$2:$FZ$601,189,Sync!$D$5)&amp;"",""),6)&lt;&gt;"SAMPLE",Config!$B$19="Y")),IFERROR(N(INDEX(Clay_Brands!$A$2:$FZ$601,189,Sync!$D$13)),0),"")</f>
        <v/>
      </c>
      <c r="C4840" s="17">
        <f>IF(B4840="","","brand")</f>
        <v/>
      </c>
      <c r="D4840" s="17">
        <f>IF(B4840="","",IFERROR(INDEX(Clay_Brands!$A$2:$FZ$601,189,Sync!$D$5)&amp;"",""))</f>
        <v/>
      </c>
      <c r="E4840" s="17">
        <f>IF(B4840="","",IFERROR(INDEX(Clay_Brands!$A$2:$FZ$601,189,Sync!$D$6)&amp;"",""))</f>
        <v/>
      </c>
      <c r="F4840" s="17">
        <f>IF(B4840="","","outreach_sent")</f>
        <v/>
      </c>
      <c r="G4840" s="17">
        <f>IF(B4840="","","")</f>
        <v/>
      </c>
      <c r="H4840" s="17">
        <f>IF(B4840="","","")</f>
        <v/>
      </c>
      <c r="I4840" s="17">
        <f>IF(B4840="","","")</f>
        <v/>
      </c>
      <c r="J4840" s="17">
        <f>IF(B4840="","","touch_3; "&amp;IFERROR(INDEX(Clay_Brands!$A$2:$FZ$601,189,Sync!$D$10)&amp;"","")&amp;"; "&amp;IFERROR(INDEX(Clay_Brands!$A$2:$FZ$601,189,Sync!$D$9)&amp;"",""))</f>
        <v/>
      </c>
      <c r="K4840" t="inlineStr">
        <is>
          <t>brand outreach touch 3</t>
        </is>
      </c>
    </row>
    <row r="4841">
      <c r="A4841" s="17">
        <f>IF(B4841="","",B4841+(17*1000+190)/10000000)</f>
        <v/>
      </c>
      <c r="B4841" s="23">
        <f>IF(AND(IFERROR(N(INDEX(Clay_Brands!$A$2:$FZ$601,190,Sync!$D$13)),0)&gt;0,IFERROR(INDEX(Clay_Brands!$A$2:$FZ$601,190,Sync!$D$5)&amp;"","")&lt;&gt;"",OR(LEFT(IFERROR(INDEX(Clay_Brands!$A$2:$FZ$601,190,Sync!$D$5)&amp;"",""),6)&lt;&gt;"SAMPLE",Config!$B$19="Y")),IFERROR(N(INDEX(Clay_Brands!$A$2:$FZ$601,190,Sync!$D$13)),0),"")</f>
        <v/>
      </c>
      <c r="C4841" s="17">
        <f>IF(B4841="","","brand")</f>
        <v/>
      </c>
      <c r="D4841" s="17">
        <f>IF(B4841="","",IFERROR(INDEX(Clay_Brands!$A$2:$FZ$601,190,Sync!$D$5)&amp;"",""))</f>
        <v/>
      </c>
      <c r="E4841" s="17">
        <f>IF(B4841="","",IFERROR(INDEX(Clay_Brands!$A$2:$FZ$601,190,Sync!$D$6)&amp;"",""))</f>
        <v/>
      </c>
      <c r="F4841" s="17">
        <f>IF(B4841="","","outreach_sent")</f>
        <v/>
      </c>
      <c r="G4841" s="17">
        <f>IF(B4841="","","")</f>
        <v/>
      </c>
      <c r="H4841" s="17">
        <f>IF(B4841="","","")</f>
        <v/>
      </c>
      <c r="I4841" s="17">
        <f>IF(B4841="","","")</f>
        <v/>
      </c>
      <c r="J4841" s="17">
        <f>IF(B4841="","","touch_3; "&amp;IFERROR(INDEX(Clay_Brands!$A$2:$FZ$601,190,Sync!$D$10)&amp;"","")&amp;"; "&amp;IFERROR(INDEX(Clay_Brands!$A$2:$FZ$601,190,Sync!$D$9)&amp;"",""))</f>
        <v/>
      </c>
      <c r="K4841" t="inlineStr">
        <is>
          <t>brand outreach touch 3</t>
        </is>
      </c>
    </row>
    <row r="4842">
      <c r="A4842" s="17">
        <f>IF(B4842="","",B4842+(17*1000+191)/10000000)</f>
        <v/>
      </c>
      <c r="B4842" s="23">
        <f>IF(AND(IFERROR(N(INDEX(Clay_Brands!$A$2:$FZ$601,191,Sync!$D$13)),0)&gt;0,IFERROR(INDEX(Clay_Brands!$A$2:$FZ$601,191,Sync!$D$5)&amp;"","")&lt;&gt;"",OR(LEFT(IFERROR(INDEX(Clay_Brands!$A$2:$FZ$601,191,Sync!$D$5)&amp;"",""),6)&lt;&gt;"SAMPLE",Config!$B$19="Y")),IFERROR(N(INDEX(Clay_Brands!$A$2:$FZ$601,191,Sync!$D$13)),0),"")</f>
        <v/>
      </c>
      <c r="C4842" s="17">
        <f>IF(B4842="","","brand")</f>
        <v/>
      </c>
      <c r="D4842" s="17">
        <f>IF(B4842="","",IFERROR(INDEX(Clay_Brands!$A$2:$FZ$601,191,Sync!$D$5)&amp;"",""))</f>
        <v/>
      </c>
      <c r="E4842" s="17">
        <f>IF(B4842="","",IFERROR(INDEX(Clay_Brands!$A$2:$FZ$601,191,Sync!$D$6)&amp;"",""))</f>
        <v/>
      </c>
      <c r="F4842" s="17">
        <f>IF(B4842="","","outreach_sent")</f>
        <v/>
      </c>
      <c r="G4842" s="17">
        <f>IF(B4842="","","")</f>
        <v/>
      </c>
      <c r="H4842" s="17">
        <f>IF(B4842="","","")</f>
        <v/>
      </c>
      <c r="I4842" s="17">
        <f>IF(B4842="","","")</f>
        <v/>
      </c>
      <c r="J4842" s="17">
        <f>IF(B4842="","","touch_3; "&amp;IFERROR(INDEX(Clay_Brands!$A$2:$FZ$601,191,Sync!$D$10)&amp;"","")&amp;"; "&amp;IFERROR(INDEX(Clay_Brands!$A$2:$FZ$601,191,Sync!$D$9)&amp;"",""))</f>
        <v/>
      </c>
      <c r="K4842" t="inlineStr">
        <is>
          <t>brand outreach touch 3</t>
        </is>
      </c>
    </row>
    <row r="4843">
      <c r="A4843" s="17">
        <f>IF(B4843="","",B4843+(17*1000+192)/10000000)</f>
        <v/>
      </c>
      <c r="B4843" s="23">
        <f>IF(AND(IFERROR(N(INDEX(Clay_Brands!$A$2:$FZ$601,192,Sync!$D$13)),0)&gt;0,IFERROR(INDEX(Clay_Brands!$A$2:$FZ$601,192,Sync!$D$5)&amp;"","")&lt;&gt;"",OR(LEFT(IFERROR(INDEX(Clay_Brands!$A$2:$FZ$601,192,Sync!$D$5)&amp;"",""),6)&lt;&gt;"SAMPLE",Config!$B$19="Y")),IFERROR(N(INDEX(Clay_Brands!$A$2:$FZ$601,192,Sync!$D$13)),0),"")</f>
        <v/>
      </c>
      <c r="C4843" s="17">
        <f>IF(B4843="","","brand")</f>
        <v/>
      </c>
      <c r="D4843" s="17">
        <f>IF(B4843="","",IFERROR(INDEX(Clay_Brands!$A$2:$FZ$601,192,Sync!$D$5)&amp;"",""))</f>
        <v/>
      </c>
      <c r="E4843" s="17">
        <f>IF(B4843="","",IFERROR(INDEX(Clay_Brands!$A$2:$FZ$601,192,Sync!$D$6)&amp;"",""))</f>
        <v/>
      </c>
      <c r="F4843" s="17">
        <f>IF(B4843="","","outreach_sent")</f>
        <v/>
      </c>
      <c r="G4843" s="17">
        <f>IF(B4843="","","")</f>
        <v/>
      </c>
      <c r="H4843" s="17">
        <f>IF(B4843="","","")</f>
        <v/>
      </c>
      <c r="I4843" s="17">
        <f>IF(B4843="","","")</f>
        <v/>
      </c>
      <c r="J4843" s="17">
        <f>IF(B4843="","","touch_3; "&amp;IFERROR(INDEX(Clay_Brands!$A$2:$FZ$601,192,Sync!$D$10)&amp;"","")&amp;"; "&amp;IFERROR(INDEX(Clay_Brands!$A$2:$FZ$601,192,Sync!$D$9)&amp;"",""))</f>
        <v/>
      </c>
      <c r="K4843" t="inlineStr">
        <is>
          <t>brand outreach touch 3</t>
        </is>
      </c>
    </row>
    <row r="4844">
      <c r="A4844" s="17">
        <f>IF(B4844="","",B4844+(17*1000+193)/10000000)</f>
        <v/>
      </c>
      <c r="B4844" s="23">
        <f>IF(AND(IFERROR(N(INDEX(Clay_Brands!$A$2:$FZ$601,193,Sync!$D$13)),0)&gt;0,IFERROR(INDEX(Clay_Brands!$A$2:$FZ$601,193,Sync!$D$5)&amp;"","")&lt;&gt;"",OR(LEFT(IFERROR(INDEX(Clay_Brands!$A$2:$FZ$601,193,Sync!$D$5)&amp;"",""),6)&lt;&gt;"SAMPLE",Config!$B$19="Y")),IFERROR(N(INDEX(Clay_Brands!$A$2:$FZ$601,193,Sync!$D$13)),0),"")</f>
        <v/>
      </c>
      <c r="C4844" s="17">
        <f>IF(B4844="","","brand")</f>
        <v/>
      </c>
      <c r="D4844" s="17">
        <f>IF(B4844="","",IFERROR(INDEX(Clay_Brands!$A$2:$FZ$601,193,Sync!$D$5)&amp;"",""))</f>
        <v/>
      </c>
      <c r="E4844" s="17">
        <f>IF(B4844="","",IFERROR(INDEX(Clay_Brands!$A$2:$FZ$601,193,Sync!$D$6)&amp;"",""))</f>
        <v/>
      </c>
      <c r="F4844" s="17">
        <f>IF(B4844="","","outreach_sent")</f>
        <v/>
      </c>
      <c r="G4844" s="17">
        <f>IF(B4844="","","")</f>
        <v/>
      </c>
      <c r="H4844" s="17">
        <f>IF(B4844="","","")</f>
        <v/>
      </c>
      <c r="I4844" s="17">
        <f>IF(B4844="","","")</f>
        <v/>
      </c>
      <c r="J4844" s="17">
        <f>IF(B4844="","","touch_3; "&amp;IFERROR(INDEX(Clay_Brands!$A$2:$FZ$601,193,Sync!$D$10)&amp;"","")&amp;"; "&amp;IFERROR(INDEX(Clay_Brands!$A$2:$FZ$601,193,Sync!$D$9)&amp;"",""))</f>
        <v/>
      </c>
      <c r="K4844" t="inlineStr">
        <is>
          <t>brand outreach touch 3</t>
        </is>
      </c>
    </row>
    <row r="4845">
      <c r="A4845" s="17">
        <f>IF(B4845="","",B4845+(17*1000+194)/10000000)</f>
        <v/>
      </c>
      <c r="B4845" s="23">
        <f>IF(AND(IFERROR(N(INDEX(Clay_Brands!$A$2:$FZ$601,194,Sync!$D$13)),0)&gt;0,IFERROR(INDEX(Clay_Brands!$A$2:$FZ$601,194,Sync!$D$5)&amp;"","")&lt;&gt;"",OR(LEFT(IFERROR(INDEX(Clay_Brands!$A$2:$FZ$601,194,Sync!$D$5)&amp;"",""),6)&lt;&gt;"SAMPLE",Config!$B$19="Y")),IFERROR(N(INDEX(Clay_Brands!$A$2:$FZ$601,194,Sync!$D$13)),0),"")</f>
        <v/>
      </c>
      <c r="C4845" s="17">
        <f>IF(B4845="","","brand")</f>
        <v/>
      </c>
      <c r="D4845" s="17">
        <f>IF(B4845="","",IFERROR(INDEX(Clay_Brands!$A$2:$FZ$601,194,Sync!$D$5)&amp;"",""))</f>
        <v/>
      </c>
      <c r="E4845" s="17">
        <f>IF(B4845="","",IFERROR(INDEX(Clay_Brands!$A$2:$FZ$601,194,Sync!$D$6)&amp;"",""))</f>
        <v/>
      </c>
      <c r="F4845" s="17">
        <f>IF(B4845="","","outreach_sent")</f>
        <v/>
      </c>
      <c r="G4845" s="17">
        <f>IF(B4845="","","")</f>
        <v/>
      </c>
      <c r="H4845" s="17">
        <f>IF(B4845="","","")</f>
        <v/>
      </c>
      <c r="I4845" s="17">
        <f>IF(B4845="","","")</f>
        <v/>
      </c>
      <c r="J4845" s="17">
        <f>IF(B4845="","","touch_3; "&amp;IFERROR(INDEX(Clay_Brands!$A$2:$FZ$601,194,Sync!$D$10)&amp;"","")&amp;"; "&amp;IFERROR(INDEX(Clay_Brands!$A$2:$FZ$601,194,Sync!$D$9)&amp;"",""))</f>
        <v/>
      </c>
      <c r="K4845" t="inlineStr">
        <is>
          <t>brand outreach touch 3</t>
        </is>
      </c>
    </row>
    <row r="4846">
      <c r="A4846" s="17">
        <f>IF(B4846="","",B4846+(17*1000+195)/10000000)</f>
        <v/>
      </c>
      <c r="B4846" s="23">
        <f>IF(AND(IFERROR(N(INDEX(Clay_Brands!$A$2:$FZ$601,195,Sync!$D$13)),0)&gt;0,IFERROR(INDEX(Clay_Brands!$A$2:$FZ$601,195,Sync!$D$5)&amp;"","")&lt;&gt;"",OR(LEFT(IFERROR(INDEX(Clay_Brands!$A$2:$FZ$601,195,Sync!$D$5)&amp;"",""),6)&lt;&gt;"SAMPLE",Config!$B$19="Y")),IFERROR(N(INDEX(Clay_Brands!$A$2:$FZ$601,195,Sync!$D$13)),0),"")</f>
        <v/>
      </c>
      <c r="C4846" s="17">
        <f>IF(B4846="","","brand")</f>
        <v/>
      </c>
      <c r="D4846" s="17">
        <f>IF(B4846="","",IFERROR(INDEX(Clay_Brands!$A$2:$FZ$601,195,Sync!$D$5)&amp;"",""))</f>
        <v/>
      </c>
      <c r="E4846" s="17">
        <f>IF(B4846="","",IFERROR(INDEX(Clay_Brands!$A$2:$FZ$601,195,Sync!$D$6)&amp;"",""))</f>
        <v/>
      </c>
      <c r="F4846" s="17">
        <f>IF(B4846="","","outreach_sent")</f>
        <v/>
      </c>
      <c r="G4846" s="17">
        <f>IF(B4846="","","")</f>
        <v/>
      </c>
      <c r="H4846" s="17">
        <f>IF(B4846="","","")</f>
        <v/>
      </c>
      <c r="I4846" s="17">
        <f>IF(B4846="","","")</f>
        <v/>
      </c>
      <c r="J4846" s="17">
        <f>IF(B4846="","","touch_3; "&amp;IFERROR(INDEX(Clay_Brands!$A$2:$FZ$601,195,Sync!$D$10)&amp;"","")&amp;"; "&amp;IFERROR(INDEX(Clay_Brands!$A$2:$FZ$601,195,Sync!$D$9)&amp;"",""))</f>
        <v/>
      </c>
      <c r="K4846" t="inlineStr">
        <is>
          <t>brand outreach touch 3</t>
        </is>
      </c>
    </row>
    <row r="4847">
      <c r="A4847" s="17">
        <f>IF(B4847="","",B4847+(17*1000+196)/10000000)</f>
        <v/>
      </c>
      <c r="B4847" s="23">
        <f>IF(AND(IFERROR(N(INDEX(Clay_Brands!$A$2:$FZ$601,196,Sync!$D$13)),0)&gt;0,IFERROR(INDEX(Clay_Brands!$A$2:$FZ$601,196,Sync!$D$5)&amp;"","")&lt;&gt;"",OR(LEFT(IFERROR(INDEX(Clay_Brands!$A$2:$FZ$601,196,Sync!$D$5)&amp;"",""),6)&lt;&gt;"SAMPLE",Config!$B$19="Y")),IFERROR(N(INDEX(Clay_Brands!$A$2:$FZ$601,196,Sync!$D$13)),0),"")</f>
        <v/>
      </c>
      <c r="C4847" s="17">
        <f>IF(B4847="","","brand")</f>
        <v/>
      </c>
      <c r="D4847" s="17">
        <f>IF(B4847="","",IFERROR(INDEX(Clay_Brands!$A$2:$FZ$601,196,Sync!$D$5)&amp;"",""))</f>
        <v/>
      </c>
      <c r="E4847" s="17">
        <f>IF(B4847="","",IFERROR(INDEX(Clay_Brands!$A$2:$FZ$601,196,Sync!$D$6)&amp;"",""))</f>
        <v/>
      </c>
      <c r="F4847" s="17">
        <f>IF(B4847="","","outreach_sent")</f>
        <v/>
      </c>
      <c r="G4847" s="17">
        <f>IF(B4847="","","")</f>
        <v/>
      </c>
      <c r="H4847" s="17">
        <f>IF(B4847="","","")</f>
        <v/>
      </c>
      <c r="I4847" s="17">
        <f>IF(B4847="","","")</f>
        <v/>
      </c>
      <c r="J4847" s="17">
        <f>IF(B4847="","","touch_3; "&amp;IFERROR(INDEX(Clay_Brands!$A$2:$FZ$601,196,Sync!$D$10)&amp;"","")&amp;"; "&amp;IFERROR(INDEX(Clay_Brands!$A$2:$FZ$601,196,Sync!$D$9)&amp;"",""))</f>
        <v/>
      </c>
      <c r="K4847" t="inlineStr">
        <is>
          <t>brand outreach touch 3</t>
        </is>
      </c>
    </row>
    <row r="4848">
      <c r="A4848" s="17">
        <f>IF(B4848="","",B4848+(17*1000+197)/10000000)</f>
        <v/>
      </c>
      <c r="B4848" s="23">
        <f>IF(AND(IFERROR(N(INDEX(Clay_Brands!$A$2:$FZ$601,197,Sync!$D$13)),0)&gt;0,IFERROR(INDEX(Clay_Brands!$A$2:$FZ$601,197,Sync!$D$5)&amp;"","")&lt;&gt;"",OR(LEFT(IFERROR(INDEX(Clay_Brands!$A$2:$FZ$601,197,Sync!$D$5)&amp;"",""),6)&lt;&gt;"SAMPLE",Config!$B$19="Y")),IFERROR(N(INDEX(Clay_Brands!$A$2:$FZ$601,197,Sync!$D$13)),0),"")</f>
        <v/>
      </c>
      <c r="C4848" s="17">
        <f>IF(B4848="","","brand")</f>
        <v/>
      </c>
      <c r="D4848" s="17">
        <f>IF(B4848="","",IFERROR(INDEX(Clay_Brands!$A$2:$FZ$601,197,Sync!$D$5)&amp;"",""))</f>
        <v/>
      </c>
      <c r="E4848" s="17">
        <f>IF(B4848="","",IFERROR(INDEX(Clay_Brands!$A$2:$FZ$601,197,Sync!$D$6)&amp;"",""))</f>
        <v/>
      </c>
      <c r="F4848" s="17">
        <f>IF(B4848="","","outreach_sent")</f>
        <v/>
      </c>
      <c r="G4848" s="17">
        <f>IF(B4848="","","")</f>
        <v/>
      </c>
      <c r="H4848" s="17">
        <f>IF(B4848="","","")</f>
        <v/>
      </c>
      <c r="I4848" s="17">
        <f>IF(B4848="","","")</f>
        <v/>
      </c>
      <c r="J4848" s="17">
        <f>IF(B4848="","","touch_3; "&amp;IFERROR(INDEX(Clay_Brands!$A$2:$FZ$601,197,Sync!$D$10)&amp;"","")&amp;"; "&amp;IFERROR(INDEX(Clay_Brands!$A$2:$FZ$601,197,Sync!$D$9)&amp;"",""))</f>
        <v/>
      </c>
      <c r="K4848" t="inlineStr">
        <is>
          <t>brand outreach touch 3</t>
        </is>
      </c>
    </row>
    <row r="4849">
      <c r="A4849" s="17">
        <f>IF(B4849="","",B4849+(17*1000+198)/10000000)</f>
        <v/>
      </c>
      <c r="B4849" s="23">
        <f>IF(AND(IFERROR(N(INDEX(Clay_Brands!$A$2:$FZ$601,198,Sync!$D$13)),0)&gt;0,IFERROR(INDEX(Clay_Brands!$A$2:$FZ$601,198,Sync!$D$5)&amp;"","")&lt;&gt;"",OR(LEFT(IFERROR(INDEX(Clay_Brands!$A$2:$FZ$601,198,Sync!$D$5)&amp;"",""),6)&lt;&gt;"SAMPLE",Config!$B$19="Y")),IFERROR(N(INDEX(Clay_Brands!$A$2:$FZ$601,198,Sync!$D$13)),0),"")</f>
        <v/>
      </c>
      <c r="C4849" s="17">
        <f>IF(B4849="","","brand")</f>
        <v/>
      </c>
      <c r="D4849" s="17">
        <f>IF(B4849="","",IFERROR(INDEX(Clay_Brands!$A$2:$FZ$601,198,Sync!$D$5)&amp;"",""))</f>
        <v/>
      </c>
      <c r="E4849" s="17">
        <f>IF(B4849="","",IFERROR(INDEX(Clay_Brands!$A$2:$FZ$601,198,Sync!$D$6)&amp;"",""))</f>
        <v/>
      </c>
      <c r="F4849" s="17">
        <f>IF(B4849="","","outreach_sent")</f>
        <v/>
      </c>
      <c r="G4849" s="17">
        <f>IF(B4849="","","")</f>
        <v/>
      </c>
      <c r="H4849" s="17">
        <f>IF(B4849="","","")</f>
        <v/>
      </c>
      <c r="I4849" s="17">
        <f>IF(B4849="","","")</f>
        <v/>
      </c>
      <c r="J4849" s="17">
        <f>IF(B4849="","","touch_3; "&amp;IFERROR(INDEX(Clay_Brands!$A$2:$FZ$601,198,Sync!$D$10)&amp;"","")&amp;"; "&amp;IFERROR(INDEX(Clay_Brands!$A$2:$FZ$601,198,Sync!$D$9)&amp;"",""))</f>
        <v/>
      </c>
      <c r="K4849" t="inlineStr">
        <is>
          <t>brand outreach touch 3</t>
        </is>
      </c>
    </row>
    <row r="4850">
      <c r="A4850" s="17">
        <f>IF(B4850="","",B4850+(17*1000+199)/10000000)</f>
        <v/>
      </c>
      <c r="B4850" s="23">
        <f>IF(AND(IFERROR(N(INDEX(Clay_Brands!$A$2:$FZ$601,199,Sync!$D$13)),0)&gt;0,IFERROR(INDEX(Clay_Brands!$A$2:$FZ$601,199,Sync!$D$5)&amp;"","")&lt;&gt;"",OR(LEFT(IFERROR(INDEX(Clay_Brands!$A$2:$FZ$601,199,Sync!$D$5)&amp;"",""),6)&lt;&gt;"SAMPLE",Config!$B$19="Y")),IFERROR(N(INDEX(Clay_Brands!$A$2:$FZ$601,199,Sync!$D$13)),0),"")</f>
        <v/>
      </c>
      <c r="C4850" s="17">
        <f>IF(B4850="","","brand")</f>
        <v/>
      </c>
      <c r="D4850" s="17">
        <f>IF(B4850="","",IFERROR(INDEX(Clay_Brands!$A$2:$FZ$601,199,Sync!$D$5)&amp;"",""))</f>
        <v/>
      </c>
      <c r="E4850" s="17">
        <f>IF(B4850="","",IFERROR(INDEX(Clay_Brands!$A$2:$FZ$601,199,Sync!$D$6)&amp;"",""))</f>
        <v/>
      </c>
      <c r="F4850" s="17">
        <f>IF(B4850="","","outreach_sent")</f>
        <v/>
      </c>
      <c r="G4850" s="17">
        <f>IF(B4850="","","")</f>
        <v/>
      </c>
      <c r="H4850" s="17">
        <f>IF(B4850="","","")</f>
        <v/>
      </c>
      <c r="I4850" s="17">
        <f>IF(B4850="","","")</f>
        <v/>
      </c>
      <c r="J4850" s="17">
        <f>IF(B4850="","","touch_3; "&amp;IFERROR(INDEX(Clay_Brands!$A$2:$FZ$601,199,Sync!$D$10)&amp;"","")&amp;"; "&amp;IFERROR(INDEX(Clay_Brands!$A$2:$FZ$601,199,Sync!$D$9)&amp;"",""))</f>
        <v/>
      </c>
      <c r="K4850" t="inlineStr">
        <is>
          <t>brand outreach touch 3</t>
        </is>
      </c>
    </row>
    <row r="4851">
      <c r="A4851" s="17">
        <f>IF(B4851="","",B4851+(17*1000+200)/10000000)</f>
        <v/>
      </c>
      <c r="B4851" s="23">
        <f>IF(AND(IFERROR(N(INDEX(Clay_Brands!$A$2:$FZ$601,200,Sync!$D$13)),0)&gt;0,IFERROR(INDEX(Clay_Brands!$A$2:$FZ$601,200,Sync!$D$5)&amp;"","")&lt;&gt;"",OR(LEFT(IFERROR(INDEX(Clay_Brands!$A$2:$FZ$601,200,Sync!$D$5)&amp;"",""),6)&lt;&gt;"SAMPLE",Config!$B$19="Y")),IFERROR(N(INDEX(Clay_Brands!$A$2:$FZ$601,200,Sync!$D$13)),0),"")</f>
        <v/>
      </c>
      <c r="C4851" s="17">
        <f>IF(B4851="","","brand")</f>
        <v/>
      </c>
      <c r="D4851" s="17">
        <f>IF(B4851="","",IFERROR(INDEX(Clay_Brands!$A$2:$FZ$601,200,Sync!$D$5)&amp;"",""))</f>
        <v/>
      </c>
      <c r="E4851" s="17">
        <f>IF(B4851="","",IFERROR(INDEX(Clay_Brands!$A$2:$FZ$601,200,Sync!$D$6)&amp;"",""))</f>
        <v/>
      </c>
      <c r="F4851" s="17">
        <f>IF(B4851="","","outreach_sent")</f>
        <v/>
      </c>
      <c r="G4851" s="17">
        <f>IF(B4851="","","")</f>
        <v/>
      </c>
      <c r="H4851" s="17">
        <f>IF(B4851="","","")</f>
        <v/>
      </c>
      <c r="I4851" s="17">
        <f>IF(B4851="","","")</f>
        <v/>
      </c>
      <c r="J4851" s="17">
        <f>IF(B4851="","","touch_3; "&amp;IFERROR(INDEX(Clay_Brands!$A$2:$FZ$601,200,Sync!$D$10)&amp;"","")&amp;"; "&amp;IFERROR(INDEX(Clay_Brands!$A$2:$FZ$601,200,Sync!$D$9)&amp;"",""))</f>
        <v/>
      </c>
      <c r="K4851" t="inlineStr">
        <is>
          <t>brand outreach touch 3</t>
        </is>
      </c>
    </row>
    <row r="4852">
      <c r="A4852" s="17">
        <f>IF(B4852="","",B4852+(17*1000+201)/10000000)</f>
        <v/>
      </c>
      <c r="B4852" s="23">
        <f>IF(AND(IFERROR(N(INDEX(Clay_Brands!$A$2:$FZ$601,201,Sync!$D$13)),0)&gt;0,IFERROR(INDEX(Clay_Brands!$A$2:$FZ$601,201,Sync!$D$5)&amp;"","")&lt;&gt;"",OR(LEFT(IFERROR(INDEX(Clay_Brands!$A$2:$FZ$601,201,Sync!$D$5)&amp;"",""),6)&lt;&gt;"SAMPLE",Config!$B$19="Y")),IFERROR(N(INDEX(Clay_Brands!$A$2:$FZ$601,201,Sync!$D$13)),0),"")</f>
        <v/>
      </c>
      <c r="C4852" s="17">
        <f>IF(B4852="","","brand")</f>
        <v/>
      </c>
      <c r="D4852" s="17">
        <f>IF(B4852="","",IFERROR(INDEX(Clay_Brands!$A$2:$FZ$601,201,Sync!$D$5)&amp;"",""))</f>
        <v/>
      </c>
      <c r="E4852" s="17">
        <f>IF(B4852="","",IFERROR(INDEX(Clay_Brands!$A$2:$FZ$601,201,Sync!$D$6)&amp;"",""))</f>
        <v/>
      </c>
      <c r="F4852" s="17">
        <f>IF(B4852="","","outreach_sent")</f>
        <v/>
      </c>
      <c r="G4852" s="17">
        <f>IF(B4852="","","")</f>
        <v/>
      </c>
      <c r="H4852" s="17">
        <f>IF(B4852="","","")</f>
        <v/>
      </c>
      <c r="I4852" s="17">
        <f>IF(B4852="","","")</f>
        <v/>
      </c>
      <c r="J4852" s="17">
        <f>IF(B4852="","","touch_3; "&amp;IFERROR(INDEX(Clay_Brands!$A$2:$FZ$601,201,Sync!$D$10)&amp;"","")&amp;"; "&amp;IFERROR(INDEX(Clay_Brands!$A$2:$FZ$601,201,Sync!$D$9)&amp;"",""))</f>
        <v/>
      </c>
      <c r="K4852" t="inlineStr">
        <is>
          <t>brand outreach touch 3</t>
        </is>
      </c>
    </row>
    <row r="4853">
      <c r="A4853" s="17">
        <f>IF(B4853="","",B4853+(17*1000+202)/10000000)</f>
        <v/>
      </c>
      <c r="B4853" s="23">
        <f>IF(AND(IFERROR(N(INDEX(Clay_Brands!$A$2:$FZ$601,202,Sync!$D$13)),0)&gt;0,IFERROR(INDEX(Clay_Brands!$A$2:$FZ$601,202,Sync!$D$5)&amp;"","")&lt;&gt;"",OR(LEFT(IFERROR(INDEX(Clay_Brands!$A$2:$FZ$601,202,Sync!$D$5)&amp;"",""),6)&lt;&gt;"SAMPLE",Config!$B$19="Y")),IFERROR(N(INDEX(Clay_Brands!$A$2:$FZ$601,202,Sync!$D$13)),0),"")</f>
        <v/>
      </c>
      <c r="C4853" s="17">
        <f>IF(B4853="","","brand")</f>
        <v/>
      </c>
      <c r="D4853" s="17">
        <f>IF(B4853="","",IFERROR(INDEX(Clay_Brands!$A$2:$FZ$601,202,Sync!$D$5)&amp;"",""))</f>
        <v/>
      </c>
      <c r="E4853" s="17">
        <f>IF(B4853="","",IFERROR(INDEX(Clay_Brands!$A$2:$FZ$601,202,Sync!$D$6)&amp;"",""))</f>
        <v/>
      </c>
      <c r="F4853" s="17">
        <f>IF(B4853="","","outreach_sent")</f>
        <v/>
      </c>
      <c r="G4853" s="17">
        <f>IF(B4853="","","")</f>
        <v/>
      </c>
      <c r="H4853" s="17">
        <f>IF(B4853="","","")</f>
        <v/>
      </c>
      <c r="I4853" s="17">
        <f>IF(B4853="","","")</f>
        <v/>
      </c>
      <c r="J4853" s="17">
        <f>IF(B4853="","","touch_3; "&amp;IFERROR(INDEX(Clay_Brands!$A$2:$FZ$601,202,Sync!$D$10)&amp;"","")&amp;"; "&amp;IFERROR(INDEX(Clay_Brands!$A$2:$FZ$601,202,Sync!$D$9)&amp;"",""))</f>
        <v/>
      </c>
      <c r="K4853" t="inlineStr">
        <is>
          <t>brand outreach touch 3</t>
        </is>
      </c>
    </row>
    <row r="4854">
      <c r="A4854" s="17">
        <f>IF(B4854="","",B4854+(17*1000+203)/10000000)</f>
        <v/>
      </c>
      <c r="B4854" s="23">
        <f>IF(AND(IFERROR(N(INDEX(Clay_Brands!$A$2:$FZ$601,203,Sync!$D$13)),0)&gt;0,IFERROR(INDEX(Clay_Brands!$A$2:$FZ$601,203,Sync!$D$5)&amp;"","")&lt;&gt;"",OR(LEFT(IFERROR(INDEX(Clay_Brands!$A$2:$FZ$601,203,Sync!$D$5)&amp;"",""),6)&lt;&gt;"SAMPLE",Config!$B$19="Y")),IFERROR(N(INDEX(Clay_Brands!$A$2:$FZ$601,203,Sync!$D$13)),0),"")</f>
        <v/>
      </c>
      <c r="C4854" s="17">
        <f>IF(B4854="","","brand")</f>
        <v/>
      </c>
      <c r="D4854" s="17">
        <f>IF(B4854="","",IFERROR(INDEX(Clay_Brands!$A$2:$FZ$601,203,Sync!$D$5)&amp;"",""))</f>
        <v/>
      </c>
      <c r="E4854" s="17">
        <f>IF(B4854="","",IFERROR(INDEX(Clay_Brands!$A$2:$FZ$601,203,Sync!$D$6)&amp;"",""))</f>
        <v/>
      </c>
      <c r="F4854" s="17">
        <f>IF(B4854="","","outreach_sent")</f>
        <v/>
      </c>
      <c r="G4854" s="17">
        <f>IF(B4854="","","")</f>
        <v/>
      </c>
      <c r="H4854" s="17">
        <f>IF(B4854="","","")</f>
        <v/>
      </c>
      <c r="I4854" s="17">
        <f>IF(B4854="","","")</f>
        <v/>
      </c>
      <c r="J4854" s="17">
        <f>IF(B4854="","","touch_3; "&amp;IFERROR(INDEX(Clay_Brands!$A$2:$FZ$601,203,Sync!$D$10)&amp;"","")&amp;"; "&amp;IFERROR(INDEX(Clay_Brands!$A$2:$FZ$601,203,Sync!$D$9)&amp;"",""))</f>
        <v/>
      </c>
      <c r="K4854" t="inlineStr">
        <is>
          <t>brand outreach touch 3</t>
        </is>
      </c>
    </row>
    <row r="4855">
      <c r="A4855" s="17">
        <f>IF(B4855="","",B4855+(17*1000+204)/10000000)</f>
        <v/>
      </c>
      <c r="B4855" s="23">
        <f>IF(AND(IFERROR(N(INDEX(Clay_Brands!$A$2:$FZ$601,204,Sync!$D$13)),0)&gt;0,IFERROR(INDEX(Clay_Brands!$A$2:$FZ$601,204,Sync!$D$5)&amp;"","")&lt;&gt;"",OR(LEFT(IFERROR(INDEX(Clay_Brands!$A$2:$FZ$601,204,Sync!$D$5)&amp;"",""),6)&lt;&gt;"SAMPLE",Config!$B$19="Y")),IFERROR(N(INDEX(Clay_Brands!$A$2:$FZ$601,204,Sync!$D$13)),0),"")</f>
        <v/>
      </c>
      <c r="C4855" s="17">
        <f>IF(B4855="","","brand")</f>
        <v/>
      </c>
      <c r="D4855" s="17">
        <f>IF(B4855="","",IFERROR(INDEX(Clay_Brands!$A$2:$FZ$601,204,Sync!$D$5)&amp;"",""))</f>
        <v/>
      </c>
      <c r="E4855" s="17">
        <f>IF(B4855="","",IFERROR(INDEX(Clay_Brands!$A$2:$FZ$601,204,Sync!$D$6)&amp;"",""))</f>
        <v/>
      </c>
      <c r="F4855" s="17">
        <f>IF(B4855="","","outreach_sent")</f>
        <v/>
      </c>
      <c r="G4855" s="17">
        <f>IF(B4855="","","")</f>
        <v/>
      </c>
      <c r="H4855" s="17">
        <f>IF(B4855="","","")</f>
        <v/>
      </c>
      <c r="I4855" s="17">
        <f>IF(B4855="","","")</f>
        <v/>
      </c>
      <c r="J4855" s="17">
        <f>IF(B4855="","","touch_3; "&amp;IFERROR(INDEX(Clay_Brands!$A$2:$FZ$601,204,Sync!$D$10)&amp;"","")&amp;"; "&amp;IFERROR(INDEX(Clay_Brands!$A$2:$FZ$601,204,Sync!$D$9)&amp;"",""))</f>
        <v/>
      </c>
      <c r="K4855" t="inlineStr">
        <is>
          <t>brand outreach touch 3</t>
        </is>
      </c>
    </row>
    <row r="4856">
      <c r="A4856" s="17">
        <f>IF(B4856="","",B4856+(17*1000+205)/10000000)</f>
        <v/>
      </c>
      <c r="B4856" s="23">
        <f>IF(AND(IFERROR(N(INDEX(Clay_Brands!$A$2:$FZ$601,205,Sync!$D$13)),0)&gt;0,IFERROR(INDEX(Clay_Brands!$A$2:$FZ$601,205,Sync!$D$5)&amp;"","")&lt;&gt;"",OR(LEFT(IFERROR(INDEX(Clay_Brands!$A$2:$FZ$601,205,Sync!$D$5)&amp;"",""),6)&lt;&gt;"SAMPLE",Config!$B$19="Y")),IFERROR(N(INDEX(Clay_Brands!$A$2:$FZ$601,205,Sync!$D$13)),0),"")</f>
        <v/>
      </c>
      <c r="C4856" s="17">
        <f>IF(B4856="","","brand")</f>
        <v/>
      </c>
      <c r="D4856" s="17">
        <f>IF(B4856="","",IFERROR(INDEX(Clay_Brands!$A$2:$FZ$601,205,Sync!$D$5)&amp;"",""))</f>
        <v/>
      </c>
      <c r="E4856" s="17">
        <f>IF(B4856="","",IFERROR(INDEX(Clay_Brands!$A$2:$FZ$601,205,Sync!$D$6)&amp;"",""))</f>
        <v/>
      </c>
      <c r="F4856" s="17">
        <f>IF(B4856="","","outreach_sent")</f>
        <v/>
      </c>
      <c r="G4856" s="17">
        <f>IF(B4856="","","")</f>
        <v/>
      </c>
      <c r="H4856" s="17">
        <f>IF(B4856="","","")</f>
        <v/>
      </c>
      <c r="I4856" s="17">
        <f>IF(B4856="","","")</f>
        <v/>
      </c>
      <c r="J4856" s="17">
        <f>IF(B4856="","","touch_3; "&amp;IFERROR(INDEX(Clay_Brands!$A$2:$FZ$601,205,Sync!$D$10)&amp;"","")&amp;"; "&amp;IFERROR(INDEX(Clay_Brands!$A$2:$FZ$601,205,Sync!$D$9)&amp;"",""))</f>
        <v/>
      </c>
      <c r="K4856" t="inlineStr">
        <is>
          <t>brand outreach touch 3</t>
        </is>
      </c>
    </row>
    <row r="4857">
      <c r="A4857" s="17">
        <f>IF(B4857="","",B4857+(17*1000+206)/10000000)</f>
        <v/>
      </c>
      <c r="B4857" s="23">
        <f>IF(AND(IFERROR(N(INDEX(Clay_Brands!$A$2:$FZ$601,206,Sync!$D$13)),0)&gt;0,IFERROR(INDEX(Clay_Brands!$A$2:$FZ$601,206,Sync!$D$5)&amp;"","")&lt;&gt;"",OR(LEFT(IFERROR(INDEX(Clay_Brands!$A$2:$FZ$601,206,Sync!$D$5)&amp;"",""),6)&lt;&gt;"SAMPLE",Config!$B$19="Y")),IFERROR(N(INDEX(Clay_Brands!$A$2:$FZ$601,206,Sync!$D$13)),0),"")</f>
        <v/>
      </c>
      <c r="C4857" s="17">
        <f>IF(B4857="","","brand")</f>
        <v/>
      </c>
      <c r="D4857" s="17">
        <f>IF(B4857="","",IFERROR(INDEX(Clay_Brands!$A$2:$FZ$601,206,Sync!$D$5)&amp;"",""))</f>
        <v/>
      </c>
      <c r="E4857" s="17">
        <f>IF(B4857="","",IFERROR(INDEX(Clay_Brands!$A$2:$FZ$601,206,Sync!$D$6)&amp;"",""))</f>
        <v/>
      </c>
      <c r="F4857" s="17">
        <f>IF(B4857="","","outreach_sent")</f>
        <v/>
      </c>
      <c r="G4857" s="17">
        <f>IF(B4857="","","")</f>
        <v/>
      </c>
      <c r="H4857" s="17">
        <f>IF(B4857="","","")</f>
        <v/>
      </c>
      <c r="I4857" s="17">
        <f>IF(B4857="","","")</f>
        <v/>
      </c>
      <c r="J4857" s="17">
        <f>IF(B4857="","","touch_3; "&amp;IFERROR(INDEX(Clay_Brands!$A$2:$FZ$601,206,Sync!$D$10)&amp;"","")&amp;"; "&amp;IFERROR(INDEX(Clay_Brands!$A$2:$FZ$601,206,Sync!$D$9)&amp;"",""))</f>
        <v/>
      </c>
      <c r="K4857" t="inlineStr">
        <is>
          <t>brand outreach touch 3</t>
        </is>
      </c>
    </row>
    <row r="4858">
      <c r="A4858" s="17">
        <f>IF(B4858="","",B4858+(17*1000+207)/10000000)</f>
        <v/>
      </c>
      <c r="B4858" s="23">
        <f>IF(AND(IFERROR(N(INDEX(Clay_Brands!$A$2:$FZ$601,207,Sync!$D$13)),0)&gt;0,IFERROR(INDEX(Clay_Brands!$A$2:$FZ$601,207,Sync!$D$5)&amp;"","")&lt;&gt;"",OR(LEFT(IFERROR(INDEX(Clay_Brands!$A$2:$FZ$601,207,Sync!$D$5)&amp;"",""),6)&lt;&gt;"SAMPLE",Config!$B$19="Y")),IFERROR(N(INDEX(Clay_Brands!$A$2:$FZ$601,207,Sync!$D$13)),0),"")</f>
        <v/>
      </c>
      <c r="C4858" s="17">
        <f>IF(B4858="","","brand")</f>
        <v/>
      </c>
      <c r="D4858" s="17">
        <f>IF(B4858="","",IFERROR(INDEX(Clay_Brands!$A$2:$FZ$601,207,Sync!$D$5)&amp;"",""))</f>
        <v/>
      </c>
      <c r="E4858" s="17">
        <f>IF(B4858="","",IFERROR(INDEX(Clay_Brands!$A$2:$FZ$601,207,Sync!$D$6)&amp;"",""))</f>
        <v/>
      </c>
      <c r="F4858" s="17">
        <f>IF(B4858="","","outreach_sent")</f>
        <v/>
      </c>
      <c r="G4858" s="17">
        <f>IF(B4858="","","")</f>
        <v/>
      </c>
      <c r="H4858" s="17">
        <f>IF(B4858="","","")</f>
        <v/>
      </c>
      <c r="I4858" s="17">
        <f>IF(B4858="","","")</f>
        <v/>
      </c>
      <c r="J4858" s="17">
        <f>IF(B4858="","","touch_3; "&amp;IFERROR(INDEX(Clay_Brands!$A$2:$FZ$601,207,Sync!$D$10)&amp;"","")&amp;"; "&amp;IFERROR(INDEX(Clay_Brands!$A$2:$FZ$601,207,Sync!$D$9)&amp;"",""))</f>
        <v/>
      </c>
      <c r="K4858" t="inlineStr">
        <is>
          <t>brand outreach touch 3</t>
        </is>
      </c>
    </row>
    <row r="4859">
      <c r="A4859" s="17">
        <f>IF(B4859="","",B4859+(17*1000+208)/10000000)</f>
        <v/>
      </c>
      <c r="B4859" s="23">
        <f>IF(AND(IFERROR(N(INDEX(Clay_Brands!$A$2:$FZ$601,208,Sync!$D$13)),0)&gt;0,IFERROR(INDEX(Clay_Brands!$A$2:$FZ$601,208,Sync!$D$5)&amp;"","")&lt;&gt;"",OR(LEFT(IFERROR(INDEX(Clay_Brands!$A$2:$FZ$601,208,Sync!$D$5)&amp;"",""),6)&lt;&gt;"SAMPLE",Config!$B$19="Y")),IFERROR(N(INDEX(Clay_Brands!$A$2:$FZ$601,208,Sync!$D$13)),0),"")</f>
        <v/>
      </c>
      <c r="C4859" s="17">
        <f>IF(B4859="","","brand")</f>
        <v/>
      </c>
      <c r="D4859" s="17">
        <f>IF(B4859="","",IFERROR(INDEX(Clay_Brands!$A$2:$FZ$601,208,Sync!$D$5)&amp;"",""))</f>
        <v/>
      </c>
      <c r="E4859" s="17">
        <f>IF(B4859="","",IFERROR(INDEX(Clay_Brands!$A$2:$FZ$601,208,Sync!$D$6)&amp;"",""))</f>
        <v/>
      </c>
      <c r="F4859" s="17">
        <f>IF(B4859="","","outreach_sent")</f>
        <v/>
      </c>
      <c r="G4859" s="17">
        <f>IF(B4859="","","")</f>
        <v/>
      </c>
      <c r="H4859" s="17">
        <f>IF(B4859="","","")</f>
        <v/>
      </c>
      <c r="I4859" s="17">
        <f>IF(B4859="","","")</f>
        <v/>
      </c>
      <c r="J4859" s="17">
        <f>IF(B4859="","","touch_3; "&amp;IFERROR(INDEX(Clay_Brands!$A$2:$FZ$601,208,Sync!$D$10)&amp;"","")&amp;"; "&amp;IFERROR(INDEX(Clay_Brands!$A$2:$FZ$601,208,Sync!$D$9)&amp;"",""))</f>
        <v/>
      </c>
      <c r="K4859" t="inlineStr">
        <is>
          <t>brand outreach touch 3</t>
        </is>
      </c>
    </row>
    <row r="4860">
      <c r="A4860" s="17">
        <f>IF(B4860="","",B4860+(17*1000+209)/10000000)</f>
        <v/>
      </c>
      <c r="B4860" s="23">
        <f>IF(AND(IFERROR(N(INDEX(Clay_Brands!$A$2:$FZ$601,209,Sync!$D$13)),0)&gt;0,IFERROR(INDEX(Clay_Brands!$A$2:$FZ$601,209,Sync!$D$5)&amp;"","")&lt;&gt;"",OR(LEFT(IFERROR(INDEX(Clay_Brands!$A$2:$FZ$601,209,Sync!$D$5)&amp;"",""),6)&lt;&gt;"SAMPLE",Config!$B$19="Y")),IFERROR(N(INDEX(Clay_Brands!$A$2:$FZ$601,209,Sync!$D$13)),0),"")</f>
        <v/>
      </c>
      <c r="C4860" s="17">
        <f>IF(B4860="","","brand")</f>
        <v/>
      </c>
      <c r="D4860" s="17">
        <f>IF(B4860="","",IFERROR(INDEX(Clay_Brands!$A$2:$FZ$601,209,Sync!$D$5)&amp;"",""))</f>
        <v/>
      </c>
      <c r="E4860" s="17">
        <f>IF(B4860="","",IFERROR(INDEX(Clay_Brands!$A$2:$FZ$601,209,Sync!$D$6)&amp;"",""))</f>
        <v/>
      </c>
      <c r="F4860" s="17">
        <f>IF(B4860="","","outreach_sent")</f>
        <v/>
      </c>
      <c r="G4860" s="17">
        <f>IF(B4860="","","")</f>
        <v/>
      </c>
      <c r="H4860" s="17">
        <f>IF(B4860="","","")</f>
        <v/>
      </c>
      <c r="I4860" s="17">
        <f>IF(B4860="","","")</f>
        <v/>
      </c>
      <c r="J4860" s="17">
        <f>IF(B4860="","","touch_3; "&amp;IFERROR(INDEX(Clay_Brands!$A$2:$FZ$601,209,Sync!$D$10)&amp;"","")&amp;"; "&amp;IFERROR(INDEX(Clay_Brands!$A$2:$FZ$601,209,Sync!$D$9)&amp;"",""))</f>
        <v/>
      </c>
      <c r="K4860" t="inlineStr">
        <is>
          <t>brand outreach touch 3</t>
        </is>
      </c>
    </row>
    <row r="4861">
      <c r="A4861" s="17">
        <f>IF(B4861="","",B4861+(17*1000+210)/10000000)</f>
        <v/>
      </c>
      <c r="B4861" s="23">
        <f>IF(AND(IFERROR(N(INDEX(Clay_Brands!$A$2:$FZ$601,210,Sync!$D$13)),0)&gt;0,IFERROR(INDEX(Clay_Brands!$A$2:$FZ$601,210,Sync!$D$5)&amp;"","")&lt;&gt;"",OR(LEFT(IFERROR(INDEX(Clay_Brands!$A$2:$FZ$601,210,Sync!$D$5)&amp;"",""),6)&lt;&gt;"SAMPLE",Config!$B$19="Y")),IFERROR(N(INDEX(Clay_Brands!$A$2:$FZ$601,210,Sync!$D$13)),0),"")</f>
        <v/>
      </c>
      <c r="C4861" s="17">
        <f>IF(B4861="","","brand")</f>
        <v/>
      </c>
      <c r="D4861" s="17">
        <f>IF(B4861="","",IFERROR(INDEX(Clay_Brands!$A$2:$FZ$601,210,Sync!$D$5)&amp;"",""))</f>
        <v/>
      </c>
      <c r="E4861" s="17">
        <f>IF(B4861="","",IFERROR(INDEX(Clay_Brands!$A$2:$FZ$601,210,Sync!$D$6)&amp;"",""))</f>
        <v/>
      </c>
      <c r="F4861" s="17">
        <f>IF(B4861="","","outreach_sent")</f>
        <v/>
      </c>
      <c r="G4861" s="17">
        <f>IF(B4861="","","")</f>
        <v/>
      </c>
      <c r="H4861" s="17">
        <f>IF(B4861="","","")</f>
        <v/>
      </c>
      <c r="I4861" s="17">
        <f>IF(B4861="","","")</f>
        <v/>
      </c>
      <c r="J4861" s="17">
        <f>IF(B4861="","","touch_3; "&amp;IFERROR(INDEX(Clay_Brands!$A$2:$FZ$601,210,Sync!$D$10)&amp;"","")&amp;"; "&amp;IFERROR(INDEX(Clay_Brands!$A$2:$FZ$601,210,Sync!$D$9)&amp;"",""))</f>
        <v/>
      </c>
      <c r="K4861" t="inlineStr">
        <is>
          <t>brand outreach touch 3</t>
        </is>
      </c>
    </row>
    <row r="4862">
      <c r="A4862" s="17">
        <f>IF(B4862="","",B4862+(17*1000+211)/10000000)</f>
        <v/>
      </c>
      <c r="B4862" s="23">
        <f>IF(AND(IFERROR(N(INDEX(Clay_Brands!$A$2:$FZ$601,211,Sync!$D$13)),0)&gt;0,IFERROR(INDEX(Clay_Brands!$A$2:$FZ$601,211,Sync!$D$5)&amp;"","")&lt;&gt;"",OR(LEFT(IFERROR(INDEX(Clay_Brands!$A$2:$FZ$601,211,Sync!$D$5)&amp;"",""),6)&lt;&gt;"SAMPLE",Config!$B$19="Y")),IFERROR(N(INDEX(Clay_Brands!$A$2:$FZ$601,211,Sync!$D$13)),0),"")</f>
        <v/>
      </c>
      <c r="C4862" s="17">
        <f>IF(B4862="","","brand")</f>
        <v/>
      </c>
      <c r="D4862" s="17">
        <f>IF(B4862="","",IFERROR(INDEX(Clay_Brands!$A$2:$FZ$601,211,Sync!$D$5)&amp;"",""))</f>
        <v/>
      </c>
      <c r="E4862" s="17">
        <f>IF(B4862="","",IFERROR(INDEX(Clay_Brands!$A$2:$FZ$601,211,Sync!$D$6)&amp;"",""))</f>
        <v/>
      </c>
      <c r="F4862" s="17">
        <f>IF(B4862="","","outreach_sent")</f>
        <v/>
      </c>
      <c r="G4862" s="17">
        <f>IF(B4862="","","")</f>
        <v/>
      </c>
      <c r="H4862" s="17">
        <f>IF(B4862="","","")</f>
        <v/>
      </c>
      <c r="I4862" s="17">
        <f>IF(B4862="","","")</f>
        <v/>
      </c>
      <c r="J4862" s="17">
        <f>IF(B4862="","","touch_3; "&amp;IFERROR(INDEX(Clay_Brands!$A$2:$FZ$601,211,Sync!$D$10)&amp;"","")&amp;"; "&amp;IFERROR(INDEX(Clay_Brands!$A$2:$FZ$601,211,Sync!$D$9)&amp;"",""))</f>
        <v/>
      </c>
      <c r="K4862" t="inlineStr">
        <is>
          <t>brand outreach touch 3</t>
        </is>
      </c>
    </row>
    <row r="4863">
      <c r="A4863" s="17">
        <f>IF(B4863="","",B4863+(17*1000+212)/10000000)</f>
        <v/>
      </c>
      <c r="B4863" s="23">
        <f>IF(AND(IFERROR(N(INDEX(Clay_Brands!$A$2:$FZ$601,212,Sync!$D$13)),0)&gt;0,IFERROR(INDEX(Clay_Brands!$A$2:$FZ$601,212,Sync!$D$5)&amp;"","")&lt;&gt;"",OR(LEFT(IFERROR(INDEX(Clay_Brands!$A$2:$FZ$601,212,Sync!$D$5)&amp;"",""),6)&lt;&gt;"SAMPLE",Config!$B$19="Y")),IFERROR(N(INDEX(Clay_Brands!$A$2:$FZ$601,212,Sync!$D$13)),0),"")</f>
        <v/>
      </c>
      <c r="C4863" s="17">
        <f>IF(B4863="","","brand")</f>
        <v/>
      </c>
      <c r="D4863" s="17">
        <f>IF(B4863="","",IFERROR(INDEX(Clay_Brands!$A$2:$FZ$601,212,Sync!$D$5)&amp;"",""))</f>
        <v/>
      </c>
      <c r="E4863" s="17">
        <f>IF(B4863="","",IFERROR(INDEX(Clay_Brands!$A$2:$FZ$601,212,Sync!$D$6)&amp;"",""))</f>
        <v/>
      </c>
      <c r="F4863" s="17">
        <f>IF(B4863="","","outreach_sent")</f>
        <v/>
      </c>
      <c r="G4863" s="17">
        <f>IF(B4863="","","")</f>
        <v/>
      </c>
      <c r="H4863" s="17">
        <f>IF(B4863="","","")</f>
        <v/>
      </c>
      <c r="I4863" s="17">
        <f>IF(B4863="","","")</f>
        <v/>
      </c>
      <c r="J4863" s="17">
        <f>IF(B4863="","","touch_3; "&amp;IFERROR(INDEX(Clay_Brands!$A$2:$FZ$601,212,Sync!$D$10)&amp;"","")&amp;"; "&amp;IFERROR(INDEX(Clay_Brands!$A$2:$FZ$601,212,Sync!$D$9)&amp;"",""))</f>
        <v/>
      </c>
      <c r="K4863" t="inlineStr">
        <is>
          <t>brand outreach touch 3</t>
        </is>
      </c>
    </row>
    <row r="4864">
      <c r="A4864" s="17">
        <f>IF(B4864="","",B4864+(17*1000+213)/10000000)</f>
        <v/>
      </c>
      <c r="B4864" s="23">
        <f>IF(AND(IFERROR(N(INDEX(Clay_Brands!$A$2:$FZ$601,213,Sync!$D$13)),0)&gt;0,IFERROR(INDEX(Clay_Brands!$A$2:$FZ$601,213,Sync!$D$5)&amp;"","")&lt;&gt;"",OR(LEFT(IFERROR(INDEX(Clay_Brands!$A$2:$FZ$601,213,Sync!$D$5)&amp;"",""),6)&lt;&gt;"SAMPLE",Config!$B$19="Y")),IFERROR(N(INDEX(Clay_Brands!$A$2:$FZ$601,213,Sync!$D$13)),0),"")</f>
        <v/>
      </c>
      <c r="C4864" s="17">
        <f>IF(B4864="","","brand")</f>
        <v/>
      </c>
      <c r="D4864" s="17">
        <f>IF(B4864="","",IFERROR(INDEX(Clay_Brands!$A$2:$FZ$601,213,Sync!$D$5)&amp;"",""))</f>
        <v/>
      </c>
      <c r="E4864" s="17">
        <f>IF(B4864="","",IFERROR(INDEX(Clay_Brands!$A$2:$FZ$601,213,Sync!$D$6)&amp;"",""))</f>
        <v/>
      </c>
      <c r="F4864" s="17">
        <f>IF(B4864="","","outreach_sent")</f>
        <v/>
      </c>
      <c r="G4864" s="17">
        <f>IF(B4864="","","")</f>
        <v/>
      </c>
      <c r="H4864" s="17">
        <f>IF(B4864="","","")</f>
        <v/>
      </c>
      <c r="I4864" s="17">
        <f>IF(B4864="","","")</f>
        <v/>
      </c>
      <c r="J4864" s="17">
        <f>IF(B4864="","","touch_3; "&amp;IFERROR(INDEX(Clay_Brands!$A$2:$FZ$601,213,Sync!$D$10)&amp;"","")&amp;"; "&amp;IFERROR(INDEX(Clay_Brands!$A$2:$FZ$601,213,Sync!$D$9)&amp;"",""))</f>
        <v/>
      </c>
      <c r="K4864" t="inlineStr">
        <is>
          <t>brand outreach touch 3</t>
        </is>
      </c>
    </row>
    <row r="4865">
      <c r="A4865" s="17">
        <f>IF(B4865="","",B4865+(17*1000+214)/10000000)</f>
        <v/>
      </c>
      <c r="B4865" s="23">
        <f>IF(AND(IFERROR(N(INDEX(Clay_Brands!$A$2:$FZ$601,214,Sync!$D$13)),0)&gt;0,IFERROR(INDEX(Clay_Brands!$A$2:$FZ$601,214,Sync!$D$5)&amp;"","")&lt;&gt;"",OR(LEFT(IFERROR(INDEX(Clay_Brands!$A$2:$FZ$601,214,Sync!$D$5)&amp;"",""),6)&lt;&gt;"SAMPLE",Config!$B$19="Y")),IFERROR(N(INDEX(Clay_Brands!$A$2:$FZ$601,214,Sync!$D$13)),0),"")</f>
        <v/>
      </c>
      <c r="C4865" s="17">
        <f>IF(B4865="","","brand")</f>
        <v/>
      </c>
      <c r="D4865" s="17">
        <f>IF(B4865="","",IFERROR(INDEX(Clay_Brands!$A$2:$FZ$601,214,Sync!$D$5)&amp;"",""))</f>
        <v/>
      </c>
      <c r="E4865" s="17">
        <f>IF(B4865="","",IFERROR(INDEX(Clay_Brands!$A$2:$FZ$601,214,Sync!$D$6)&amp;"",""))</f>
        <v/>
      </c>
      <c r="F4865" s="17">
        <f>IF(B4865="","","outreach_sent")</f>
        <v/>
      </c>
      <c r="G4865" s="17">
        <f>IF(B4865="","","")</f>
        <v/>
      </c>
      <c r="H4865" s="17">
        <f>IF(B4865="","","")</f>
        <v/>
      </c>
      <c r="I4865" s="17">
        <f>IF(B4865="","","")</f>
        <v/>
      </c>
      <c r="J4865" s="17">
        <f>IF(B4865="","","touch_3; "&amp;IFERROR(INDEX(Clay_Brands!$A$2:$FZ$601,214,Sync!$D$10)&amp;"","")&amp;"; "&amp;IFERROR(INDEX(Clay_Brands!$A$2:$FZ$601,214,Sync!$D$9)&amp;"",""))</f>
        <v/>
      </c>
      <c r="K4865" t="inlineStr">
        <is>
          <t>brand outreach touch 3</t>
        </is>
      </c>
    </row>
    <row r="4866">
      <c r="A4866" s="17">
        <f>IF(B4866="","",B4866+(17*1000+215)/10000000)</f>
        <v/>
      </c>
      <c r="B4866" s="23">
        <f>IF(AND(IFERROR(N(INDEX(Clay_Brands!$A$2:$FZ$601,215,Sync!$D$13)),0)&gt;0,IFERROR(INDEX(Clay_Brands!$A$2:$FZ$601,215,Sync!$D$5)&amp;"","")&lt;&gt;"",OR(LEFT(IFERROR(INDEX(Clay_Brands!$A$2:$FZ$601,215,Sync!$D$5)&amp;"",""),6)&lt;&gt;"SAMPLE",Config!$B$19="Y")),IFERROR(N(INDEX(Clay_Brands!$A$2:$FZ$601,215,Sync!$D$13)),0),"")</f>
        <v/>
      </c>
      <c r="C4866" s="17">
        <f>IF(B4866="","","brand")</f>
        <v/>
      </c>
      <c r="D4866" s="17">
        <f>IF(B4866="","",IFERROR(INDEX(Clay_Brands!$A$2:$FZ$601,215,Sync!$D$5)&amp;"",""))</f>
        <v/>
      </c>
      <c r="E4866" s="17">
        <f>IF(B4866="","",IFERROR(INDEX(Clay_Brands!$A$2:$FZ$601,215,Sync!$D$6)&amp;"",""))</f>
        <v/>
      </c>
      <c r="F4866" s="17">
        <f>IF(B4866="","","outreach_sent")</f>
        <v/>
      </c>
      <c r="G4866" s="17">
        <f>IF(B4866="","","")</f>
        <v/>
      </c>
      <c r="H4866" s="17">
        <f>IF(B4866="","","")</f>
        <v/>
      </c>
      <c r="I4866" s="17">
        <f>IF(B4866="","","")</f>
        <v/>
      </c>
      <c r="J4866" s="17">
        <f>IF(B4866="","","touch_3; "&amp;IFERROR(INDEX(Clay_Brands!$A$2:$FZ$601,215,Sync!$D$10)&amp;"","")&amp;"; "&amp;IFERROR(INDEX(Clay_Brands!$A$2:$FZ$601,215,Sync!$D$9)&amp;"",""))</f>
        <v/>
      </c>
      <c r="K4866" t="inlineStr">
        <is>
          <t>brand outreach touch 3</t>
        </is>
      </c>
    </row>
    <row r="4867">
      <c r="A4867" s="17">
        <f>IF(B4867="","",B4867+(17*1000+216)/10000000)</f>
        <v/>
      </c>
      <c r="B4867" s="23">
        <f>IF(AND(IFERROR(N(INDEX(Clay_Brands!$A$2:$FZ$601,216,Sync!$D$13)),0)&gt;0,IFERROR(INDEX(Clay_Brands!$A$2:$FZ$601,216,Sync!$D$5)&amp;"","")&lt;&gt;"",OR(LEFT(IFERROR(INDEX(Clay_Brands!$A$2:$FZ$601,216,Sync!$D$5)&amp;"",""),6)&lt;&gt;"SAMPLE",Config!$B$19="Y")),IFERROR(N(INDEX(Clay_Brands!$A$2:$FZ$601,216,Sync!$D$13)),0),"")</f>
        <v/>
      </c>
      <c r="C4867" s="17">
        <f>IF(B4867="","","brand")</f>
        <v/>
      </c>
      <c r="D4867" s="17">
        <f>IF(B4867="","",IFERROR(INDEX(Clay_Brands!$A$2:$FZ$601,216,Sync!$D$5)&amp;"",""))</f>
        <v/>
      </c>
      <c r="E4867" s="17">
        <f>IF(B4867="","",IFERROR(INDEX(Clay_Brands!$A$2:$FZ$601,216,Sync!$D$6)&amp;"",""))</f>
        <v/>
      </c>
      <c r="F4867" s="17">
        <f>IF(B4867="","","outreach_sent")</f>
        <v/>
      </c>
      <c r="G4867" s="17">
        <f>IF(B4867="","","")</f>
        <v/>
      </c>
      <c r="H4867" s="17">
        <f>IF(B4867="","","")</f>
        <v/>
      </c>
      <c r="I4867" s="17">
        <f>IF(B4867="","","")</f>
        <v/>
      </c>
      <c r="J4867" s="17">
        <f>IF(B4867="","","touch_3; "&amp;IFERROR(INDEX(Clay_Brands!$A$2:$FZ$601,216,Sync!$D$10)&amp;"","")&amp;"; "&amp;IFERROR(INDEX(Clay_Brands!$A$2:$FZ$601,216,Sync!$D$9)&amp;"",""))</f>
        <v/>
      </c>
      <c r="K4867" t="inlineStr">
        <is>
          <t>brand outreach touch 3</t>
        </is>
      </c>
    </row>
    <row r="4868">
      <c r="A4868" s="17">
        <f>IF(B4868="","",B4868+(17*1000+217)/10000000)</f>
        <v/>
      </c>
      <c r="B4868" s="23">
        <f>IF(AND(IFERROR(N(INDEX(Clay_Brands!$A$2:$FZ$601,217,Sync!$D$13)),0)&gt;0,IFERROR(INDEX(Clay_Brands!$A$2:$FZ$601,217,Sync!$D$5)&amp;"","")&lt;&gt;"",OR(LEFT(IFERROR(INDEX(Clay_Brands!$A$2:$FZ$601,217,Sync!$D$5)&amp;"",""),6)&lt;&gt;"SAMPLE",Config!$B$19="Y")),IFERROR(N(INDEX(Clay_Brands!$A$2:$FZ$601,217,Sync!$D$13)),0),"")</f>
        <v/>
      </c>
      <c r="C4868" s="17">
        <f>IF(B4868="","","brand")</f>
        <v/>
      </c>
      <c r="D4868" s="17">
        <f>IF(B4868="","",IFERROR(INDEX(Clay_Brands!$A$2:$FZ$601,217,Sync!$D$5)&amp;"",""))</f>
        <v/>
      </c>
      <c r="E4868" s="17">
        <f>IF(B4868="","",IFERROR(INDEX(Clay_Brands!$A$2:$FZ$601,217,Sync!$D$6)&amp;"",""))</f>
        <v/>
      </c>
      <c r="F4868" s="17">
        <f>IF(B4868="","","outreach_sent")</f>
        <v/>
      </c>
      <c r="G4868" s="17">
        <f>IF(B4868="","","")</f>
        <v/>
      </c>
      <c r="H4868" s="17">
        <f>IF(B4868="","","")</f>
        <v/>
      </c>
      <c r="I4868" s="17">
        <f>IF(B4868="","","")</f>
        <v/>
      </c>
      <c r="J4868" s="17">
        <f>IF(B4868="","","touch_3; "&amp;IFERROR(INDEX(Clay_Brands!$A$2:$FZ$601,217,Sync!$D$10)&amp;"","")&amp;"; "&amp;IFERROR(INDEX(Clay_Brands!$A$2:$FZ$601,217,Sync!$D$9)&amp;"",""))</f>
        <v/>
      </c>
      <c r="K4868" t="inlineStr">
        <is>
          <t>brand outreach touch 3</t>
        </is>
      </c>
    </row>
    <row r="4869">
      <c r="A4869" s="17">
        <f>IF(B4869="","",B4869+(17*1000+218)/10000000)</f>
        <v/>
      </c>
      <c r="B4869" s="23">
        <f>IF(AND(IFERROR(N(INDEX(Clay_Brands!$A$2:$FZ$601,218,Sync!$D$13)),0)&gt;0,IFERROR(INDEX(Clay_Brands!$A$2:$FZ$601,218,Sync!$D$5)&amp;"","")&lt;&gt;"",OR(LEFT(IFERROR(INDEX(Clay_Brands!$A$2:$FZ$601,218,Sync!$D$5)&amp;"",""),6)&lt;&gt;"SAMPLE",Config!$B$19="Y")),IFERROR(N(INDEX(Clay_Brands!$A$2:$FZ$601,218,Sync!$D$13)),0),"")</f>
        <v/>
      </c>
      <c r="C4869" s="17">
        <f>IF(B4869="","","brand")</f>
        <v/>
      </c>
      <c r="D4869" s="17">
        <f>IF(B4869="","",IFERROR(INDEX(Clay_Brands!$A$2:$FZ$601,218,Sync!$D$5)&amp;"",""))</f>
        <v/>
      </c>
      <c r="E4869" s="17">
        <f>IF(B4869="","",IFERROR(INDEX(Clay_Brands!$A$2:$FZ$601,218,Sync!$D$6)&amp;"",""))</f>
        <v/>
      </c>
      <c r="F4869" s="17">
        <f>IF(B4869="","","outreach_sent")</f>
        <v/>
      </c>
      <c r="G4869" s="17">
        <f>IF(B4869="","","")</f>
        <v/>
      </c>
      <c r="H4869" s="17">
        <f>IF(B4869="","","")</f>
        <v/>
      </c>
      <c r="I4869" s="17">
        <f>IF(B4869="","","")</f>
        <v/>
      </c>
      <c r="J4869" s="17">
        <f>IF(B4869="","","touch_3; "&amp;IFERROR(INDEX(Clay_Brands!$A$2:$FZ$601,218,Sync!$D$10)&amp;"","")&amp;"; "&amp;IFERROR(INDEX(Clay_Brands!$A$2:$FZ$601,218,Sync!$D$9)&amp;"",""))</f>
        <v/>
      </c>
      <c r="K4869" t="inlineStr">
        <is>
          <t>brand outreach touch 3</t>
        </is>
      </c>
    </row>
    <row r="4870">
      <c r="A4870" s="17">
        <f>IF(B4870="","",B4870+(17*1000+219)/10000000)</f>
        <v/>
      </c>
      <c r="B4870" s="23">
        <f>IF(AND(IFERROR(N(INDEX(Clay_Brands!$A$2:$FZ$601,219,Sync!$D$13)),0)&gt;0,IFERROR(INDEX(Clay_Brands!$A$2:$FZ$601,219,Sync!$D$5)&amp;"","")&lt;&gt;"",OR(LEFT(IFERROR(INDEX(Clay_Brands!$A$2:$FZ$601,219,Sync!$D$5)&amp;"",""),6)&lt;&gt;"SAMPLE",Config!$B$19="Y")),IFERROR(N(INDEX(Clay_Brands!$A$2:$FZ$601,219,Sync!$D$13)),0),"")</f>
        <v/>
      </c>
      <c r="C4870" s="17">
        <f>IF(B4870="","","brand")</f>
        <v/>
      </c>
      <c r="D4870" s="17">
        <f>IF(B4870="","",IFERROR(INDEX(Clay_Brands!$A$2:$FZ$601,219,Sync!$D$5)&amp;"",""))</f>
        <v/>
      </c>
      <c r="E4870" s="17">
        <f>IF(B4870="","",IFERROR(INDEX(Clay_Brands!$A$2:$FZ$601,219,Sync!$D$6)&amp;"",""))</f>
        <v/>
      </c>
      <c r="F4870" s="17">
        <f>IF(B4870="","","outreach_sent")</f>
        <v/>
      </c>
      <c r="G4870" s="17">
        <f>IF(B4870="","","")</f>
        <v/>
      </c>
      <c r="H4870" s="17">
        <f>IF(B4870="","","")</f>
        <v/>
      </c>
      <c r="I4870" s="17">
        <f>IF(B4870="","","")</f>
        <v/>
      </c>
      <c r="J4870" s="17">
        <f>IF(B4870="","","touch_3; "&amp;IFERROR(INDEX(Clay_Brands!$A$2:$FZ$601,219,Sync!$D$10)&amp;"","")&amp;"; "&amp;IFERROR(INDEX(Clay_Brands!$A$2:$FZ$601,219,Sync!$D$9)&amp;"",""))</f>
        <v/>
      </c>
      <c r="K4870" t="inlineStr">
        <is>
          <t>brand outreach touch 3</t>
        </is>
      </c>
    </row>
    <row r="4871">
      <c r="A4871" s="17">
        <f>IF(B4871="","",B4871+(17*1000+220)/10000000)</f>
        <v/>
      </c>
      <c r="B4871" s="23">
        <f>IF(AND(IFERROR(N(INDEX(Clay_Brands!$A$2:$FZ$601,220,Sync!$D$13)),0)&gt;0,IFERROR(INDEX(Clay_Brands!$A$2:$FZ$601,220,Sync!$D$5)&amp;"","")&lt;&gt;"",OR(LEFT(IFERROR(INDEX(Clay_Brands!$A$2:$FZ$601,220,Sync!$D$5)&amp;"",""),6)&lt;&gt;"SAMPLE",Config!$B$19="Y")),IFERROR(N(INDEX(Clay_Brands!$A$2:$FZ$601,220,Sync!$D$13)),0),"")</f>
        <v/>
      </c>
      <c r="C4871" s="17">
        <f>IF(B4871="","","brand")</f>
        <v/>
      </c>
      <c r="D4871" s="17">
        <f>IF(B4871="","",IFERROR(INDEX(Clay_Brands!$A$2:$FZ$601,220,Sync!$D$5)&amp;"",""))</f>
        <v/>
      </c>
      <c r="E4871" s="17">
        <f>IF(B4871="","",IFERROR(INDEX(Clay_Brands!$A$2:$FZ$601,220,Sync!$D$6)&amp;"",""))</f>
        <v/>
      </c>
      <c r="F4871" s="17">
        <f>IF(B4871="","","outreach_sent")</f>
        <v/>
      </c>
      <c r="G4871" s="17">
        <f>IF(B4871="","","")</f>
        <v/>
      </c>
      <c r="H4871" s="17">
        <f>IF(B4871="","","")</f>
        <v/>
      </c>
      <c r="I4871" s="17">
        <f>IF(B4871="","","")</f>
        <v/>
      </c>
      <c r="J4871" s="17">
        <f>IF(B4871="","","touch_3; "&amp;IFERROR(INDEX(Clay_Brands!$A$2:$FZ$601,220,Sync!$D$10)&amp;"","")&amp;"; "&amp;IFERROR(INDEX(Clay_Brands!$A$2:$FZ$601,220,Sync!$D$9)&amp;"",""))</f>
        <v/>
      </c>
      <c r="K4871" t="inlineStr">
        <is>
          <t>brand outreach touch 3</t>
        </is>
      </c>
    </row>
    <row r="4872">
      <c r="A4872" s="17">
        <f>IF(B4872="","",B4872+(17*1000+221)/10000000)</f>
        <v/>
      </c>
      <c r="B4872" s="23">
        <f>IF(AND(IFERROR(N(INDEX(Clay_Brands!$A$2:$FZ$601,221,Sync!$D$13)),0)&gt;0,IFERROR(INDEX(Clay_Brands!$A$2:$FZ$601,221,Sync!$D$5)&amp;"","")&lt;&gt;"",OR(LEFT(IFERROR(INDEX(Clay_Brands!$A$2:$FZ$601,221,Sync!$D$5)&amp;"",""),6)&lt;&gt;"SAMPLE",Config!$B$19="Y")),IFERROR(N(INDEX(Clay_Brands!$A$2:$FZ$601,221,Sync!$D$13)),0),"")</f>
        <v/>
      </c>
      <c r="C4872" s="17">
        <f>IF(B4872="","","brand")</f>
        <v/>
      </c>
      <c r="D4872" s="17">
        <f>IF(B4872="","",IFERROR(INDEX(Clay_Brands!$A$2:$FZ$601,221,Sync!$D$5)&amp;"",""))</f>
        <v/>
      </c>
      <c r="E4872" s="17">
        <f>IF(B4872="","",IFERROR(INDEX(Clay_Brands!$A$2:$FZ$601,221,Sync!$D$6)&amp;"",""))</f>
        <v/>
      </c>
      <c r="F4872" s="17">
        <f>IF(B4872="","","outreach_sent")</f>
        <v/>
      </c>
      <c r="G4872" s="17">
        <f>IF(B4872="","","")</f>
        <v/>
      </c>
      <c r="H4872" s="17">
        <f>IF(B4872="","","")</f>
        <v/>
      </c>
      <c r="I4872" s="17">
        <f>IF(B4872="","","")</f>
        <v/>
      </c>
      <c r="J4872" s="17">
        <f>IF(B4872="","","touch_3; "&amp;IFERROR(INDEX(Clay_Brands!$A$2:$FZ$601,221,Sync!$D$10)&amp;"","")&amp;"; "&amp;IFERROR(INDEX(Clay_Brands!$A$2:$FZ$601,221,Sync!$D$9)&amp;"",""))</f>
        <v/>
      </c>
      <c r="K4872" t="inlineStr">
        <is>
          <t>brand outreach touch 3</t>
        </is>
      </c>
    </row>
    <row r="4873">
      <c r="A4873" s="17">
        <f>IF(B4873="","",B4873+(17*1000+222)/10000000)</f>
        <v/>
      </c>
      <c r="B4873" s="23">
        <f>IF(AND(IFERROR(N(INDEX(Clay_Brands!$A$2:$FZ$601,222,Sync!$D$13)),0)&gt;0,IFERROR(INDEX(Clay_Brands!$A$2:$FZ$601,222,Sync!$D$5)&amp;"","")&lt;&gt;"",OR(LEFT(IFERROR(INDEX(Clay_Brands!$A$2:$FZ$601,222,Sync!$D$5)&amp;"",""),6)&lt;&gt;"SAMPLE",Config!$B$19="Y")),IFERROR(N(INDEX(Clay_Brands!$A$2:$FZ$601,222,Sync!$D$13)),0),"")</f>
        <v/>
      </c>
      <c r="C4873" s="17">
        <f>IF(B4873="","","brand")</f>
        <v/>
      </c>
      <c r="D4873" s="17">
        <f>IF(B4873="","",IFERROR(INDEX(Clay_Brands!$A$2:$FZ$601,222,Sync!$D$5)&amp;"",""))</f>
        <v/>
      </c>
      <c r="E4873" s="17">
        <f>IF(B4873="","",IFERROR(INDEX(Clay_Brands!$A$2:$FZ$601,222,Sync!$D$6)&amp;"",""))</f>
        <v/>
      </c>
      <c r="F4873" s="17">
        <f>IF(B4873="","","outreach_sent")</f>
        <v/>
      </c>
      <c r="G4873" s="17">
        <f>IF(B4873="","","")</f>
        <v/>
      </c>
      <c r="H4873" s="17">
        <f>IF(B4873="","","")</f>
        <v/>
      </c>
      <c r="I4873" s="17">
        <f>IF(B4873="","","")</f>
        <v/>
      </c>
      <c r="J4873" s="17">
        <f>IF(B4873="","","touch_3; "&amp;IFERROR(INDEX(Clay_Brands!$A$2:$FZ$601,222,Sync!$D$10)&amp;"","")&amp;"; "&amp;IFERROR(INDEX(Clay_Brands!$A$2:$FZ$601,222,Sync!$D$9)&amp;"",""))</f>
        <v/>
      </c>
      <c r="K4873" t="inlineStr">
        <is>
          <t>brand outreach touch 3</t>
        </is>
      </c>
    </row>
    <row r="4874">
      <c r="A4874" s="17">
        <f>IF(B4874="","",B4874+(17*1000+223)/10000000)</f>
        <v/>
      </c>
      <c r="B4874" s="23">
        <f>IF(AND(IFERROR(N(INDEX(Clay_Brands!$A$2:$FZ$601,223,Sync!$D$13)),0)&gt;0,IFERROR(INDEX(Clay_Brands!$A$2:$FZ$601,223,Sync!$D$5)&amp;"","")&lt;&gt;"",OR(LEFT(IFERROR(INDEX(Clay_Brands!$A$2:$FZ$601,223,Sync!$D$5)&amp;"",""),6)&lt;&gt;"SAMPLE",Config!$B$19="Y")),IFERROR(N(INDEX(Clay_Brands!$A$2:$FZ$601,223,Sync!$D$13)),0),"")</f>
        <v/>
      </c>
      <c r="C4874" s="17">
        <f>IF(B4874="","","brand")</f>
        <v/>
      </c>
      <c r="D4874" s="17">
        <f>IF(B4874="","",IFERROR(INDEX(Clay_Brands!$A$2:$FZ$601,223,Sync!$D$5)&amp;"",""))</f>
        <v/>
      </c>
      <c r="E4874" s="17">
        <f>IF(B4874="","",IFERROR(INDEX(Clay_Brands!$A$2:$FZ$601,223,Sync!$D$6)&amp;"",""))</f>
        <v/>
      </c>
      <c r="F4874" s="17">
        <f>IF(B4874="","","outreach_sent")</f>
        <v/>
      </c>
      <c r="G4874" s="17">
        <f>IF(B4874="","","")</f>
        <v/>
      </c>
      <c r="H4874" s="17">
        <f>IF(B4874="","","")</f>
        <v/>
      </c>
      <c r="I4874" s="17">
        <f>IF(B4874="","","")</f>
        <v/>
      </c>
      <c r="J4874" s="17">
        <f>IF(B4874="","","touch_3; "&amp;IFERROR(INDEX(Clay_Brands!$A$2:$FZ$601,223,Sync!$D$10)&amp;"","")&amp;"; "&amp;IFERROR(INDEX(Clay_Brands!$A$2:$FZ$601,223,Sync!$D$9)&amp;"",""))</f>
        <v/>
      </c>
      <c r="K4874" t="inlineStr">
        <is>
          <t>brand outreach touch 3</t>
        </is>
      </c>
    </row>
    <row r="4875">
      <c r="A4875" s="17">
        <f>IF(B4875="","",B4875+(17*1000+224)/10000000)</f>
        <v/>
      </c>
      <c r="B4875" s="23">
        <f>IF(AND(IFERROR(N(INDEX(Clay_Brands!$A$2:$FZ$601,224,Sync!$D$13)),0)&gt;0,IFERROR(INDEX(Clay_Brands!$A$2:$FZ$601,224,Sync!$D$5)&amp;"","")&lt;&gt;"",OR(LEFT(IFERROR(INDEX(Clay_Brands!$A$2:$FZ$601,224,Sync!$D$5)&amp;"",""),6)&lt;&gt;"SAMPLE",Config!$B$19="Y")),IFERROR(N(INDEX(Clay_Brands!$A$2:$FZ$601,224,Sync!$D$13)),0),"")</f>
        <v/>
      </c>
      <c r="C4875" s="17">
        <f>IF(B4875="","","brand")</f>
        <v/>
      </c>
      <c r="D4875" s="17">
        <f>IF(B4875="","",IFERROR(INDEX(Clay_Brands!$A$2:$FZ$601,224,Sync!$D$5)&amp;"",""))</f>
        <v/>
      </c>
      <c r="E4875" s="17">
        <f>IF(B4875="","",IFERROR(INDEX(Clay_Brands!$A$2:$FZ$601,224,Sync!$D$6)&amp;"",""))</f>
        <v/>
      </c>
      <c r="F4875" s="17">
        <f>IF(B4875="","","outreach_sent")</f>
        <v/>
      </c>
      <c r="G4875" s="17">
        <f>IF(B4875="","","")</f>
        <v/>
      </c>
      <c r="H4875" s="17">
        <f>IF(B4875="","","")</f>
        <v/>
      </c>
      <c r="I4875" s="17">
        <f>IF(B4875="","","")</f>
        <v/>
      </c>
      <c r="J4875" s="17">
        <f>IF(B4875="","","touch_3; "&amp;IFERROR(INDEX(Clay_Brands!$A$2:$FZ$601,224,Sync!$D$10)&amp;"","")&amp;"; "&amp;IFERROR(INDEX(Clay_Brands!$A$2:$FZ$601,224,Sync!$D$9)&amp;"",""))</f>
        <v/>
      </c>
      <c r="K4875" t="inlineStr">
        <is>
          <t>brand outreach touch 3</t>
        </is>
      </c>
    </row>
    <row r="4876">
      <c r="A4876" s="17">
        <f>IF(B4876="","",B4876+(17*1000+225)/10000000)</f>
        <v/>
      </c>
      <c r="B4876" s="23">
        <f>IF(AND(IFERROR(N(INDEX(Clay_Brands!$A$2:$FZ$601,225,Sync!$D$13)),0)&gt;0,IFERROR(INDEX(Clay_Brands!$A$2:$FZ$601,225,Sync!$D$5)&amp;"","")&lt;&gt;"",OR(LEFT(IFERROR(INDEX(Clay_Brands!$A$2:$FZ$601,225,Sync!$D$5)&amp;"",""),6)&lt;&gt;"SAMPLE",Config!$B$19="Y")),IFERROR(N(INDEX(Clay_Brands!$A$2:$FZ$601,225,Sync!$D$13)),0),"")</f>
        <v/>
      </c>
      <c r="C4876" s="17">
        <f>IF(B4876="","","brand")</f>
        <v/>
      </c>
      <c r="D4876" s="17">
        <f>IF(B4876="","",IFERROR(INDEX(Clay_Brands!$A$2:$FZ$601,225,Sync!$D$5)&amp;"",""))</f>
        <v/>
      </c>
      <c r="E4876" s="17">
        <f>IF(B4876="","",IFERROR(INDEX(Clay_Brands!$A$2:$FZ$601,225,Sync!$D$6)&amp;"",""))</f>
        <v/>
      </c>
      <c r="F4876" s="17">
        <f>IF(B4876="","","outreach_sent")</f>
        <v/>
      </c>
      <c r="G4876" s="17">
        <f>IF(B4876="","","")</f>
        <v/>
      </c>
      <c r="H4876" s="17">
        <f>IF(B4876="","","")</f>
        <v/>
      </c>
      <c r="I4876" s="17">
        <f>IF(B4876="","","")</f>
        <v/>
      </c>
      <c r="J4876" s="17">
        <f>IF(B4876="","","touch_3; "&amp;IFERROR(INDEX(Clay_Brands!$A$2:$FZ$601,225,Sync!$D$10)&amp;"","")&amp;"; "&amp;IFERROR(INDEX(Clay_Brands!$A$2:$FZ$601,225,Sync!$D$9)&amp;"",""))</f>
        <v/>
      </c>
      <c r="K4876" t="inlineStr">
        <is>
          <t>brand outreach touch 3</t>
        </is>
      </c>
    </row>
    <row r="4877">
      <c r="A4877" s="17">
        <f>IF(B4877="","",B4877+(17*1000+226)/10000000)</f>
        <v/>
      </c>
      <c r="B4877" s="23">
        <f>IF(AND(IFERROR(N(INDEX(Clay_Brands!$A$2:$FZ$601,226,Sync!$D$13)),0)&gt;0,IFERROR(INDEX(Clay_Brands!$A$2:$FZ$601,226,Sync!$D$5)&amp;"","")&lt;&gt;"",OR(LEFT(IFERROR(INDEX(Clay_Brands!$A$2:$FZ$601,226,Sync!$D$5)&amp;"",""),6)&lt;&gt;"SAMPLE",Config!$B$19="Y")),IFERROR(N(INDEX(Clay_Brands!$A$2:$FZ$601,226,Sync!$D$13)),0),"")</f>
        <v/>
      </c>
      <c r="C4877" s="17">
        <f>IF(B4877="","","brand")</f>
        <v/>
      </c>
      <c r="D4877" s="17">
        <f>IF(B4877="","",IFERROR(INDEX(Clay_Brands!$A$2:$FZ$601,226,Sync!$D$5)&amp;"",""))</f>
        <v/>
      </c>
      <c r="E4877" s="17">
        <f>IF(B4877="","",IFERROR(INDEX(Clay_Brands!$A$2:$FZ$601,226,Sync!$D$6)&amp;"",""))</f>
        <v/>
      </c>
      <c r="F4877" s="17">
        <f>IF(B4877="","","outreach_sent")</f>
        <v/>
      </c>
      <c r="G4877" s="17">
        <f>IF(B4877="","","")</f>
        <v/>
      </c>
      <c r="H4877" s="17">
        <f>IF(B4877="","","")</f>
        <v/>
      </c>
      <c r="I4877" s="17">
        <f>IF(B4877="","","")</f>
        <v/>
      </c>
      <c r="J4877" s="17">
        <f>IF(B4877="","","touch_3; "&amp;IFERROR(INDEX(Clay_Brands!$A$2:$FZ$601,226,Sync!$D$10)&amp;"","")&amp;"; "&amp;IFERROR(INDEX(Clay_Brands!$A$2:$FZ$601,226,Sync!$D$9)&amp;"",""))</f>
        <v/>
      </c>
      <c r="K4877" t="inlineStr">
        <is>
          <t>brand outreach touch 3</t>
        </is>
      </c>
    </row>
    <row r="4878">
      <c r="A4878" s="17">
        <f>IF(B4878="","",B4878+(17*1000+227)/10000000)</f>
        <v/>
      </c>
      <c r="B4878" s="23">
        <f>IF(AND(IFERROR(N(INDEX(Clay_Brands!$A$2:$FZ$601,227,Sync!$D$13)),0)&gt;0,IFERROR(INDEX(Clay_Brands!$A$2:$FZ$601,227,Sync!$D$5)&amp;"","")&lt;&gt;"",OR(LEFT(IFERROR(INDEX(Clay_Brands!$A$2:$FZ$601,227,Sync!$D$5)&amp;"",""),6)&lt;&gt;"SAMPLE",Config!$B$19="Y")),IFERROR(N(INDEX(Clay_Brands!$A$2:$FZ$601,227,Sync!$D$13)),0),"")</f>
        <v/>
      </c>
      <c r="C4878" s="17">
        <f>IF(B4878="","","brand")</f>
        <v/>
      </c>
      <c r="D4878" s="17">
        <f>IF(B4878="","",IFERROR(INDEX(Clay_Brands!$A$2:$FZ$601,227,Sync!$D$5)&amp;"",""))</f>
        <v/>
      </c>
      <c r="E4878" s="17">
        <f>IF(B4878="","",IFERROR(INDEX(Clay_Brands!$A$2:$FZ$601,227,Sync!$D$6)&amp;"",""))</f>
        <v/>
      </c>
      <c r="F4878" s="17">
        <f>IF(B4878="","","outreach_sent")</f>
        <v/>
      </c>
      <c r="G4878" s="17">
        <f>IF(B4878="","","")</f>
        <v/>
      </c>
      <c r="H4878" s="17">
        <f>IF(B4878="","","")</f>
        <v/>
      </c>
      <c r="I4878" s="17">
        <f>IF(B4878="","","")</f>
        <v/>
      </c>
      <c r="J4878" s="17">
        <f>IF(B4878="","","touch_3; "&amp;IFERROR(INDEX(Clay_Brands!$A$2:$FZ$601,227,Sync!$D$10)&amp;"","")&amp;"; "&amp;IFERROR(INDEX(Clay_Brands!$A$2:$FZ$601,227,Sync!$D$9)&amp;"",""))</f>
        <v/>
      </c>
      <c r="K4878" t="inlineStr">
        <is>
          <t>brand outreach touch 3</t>
        </is>
      </c>
    </row>
    <row r="4879">
      <c r="A4879" s="17">
        <f>IF(B4879="","",B4879+(17*1000+228)/10000000)</f>
        <v/>
      </c>
      <c r="B4879" s="23">
        <f>IF(AND(IFERROR(N(INDEX(Clay_Brands!$A$2:$FZ$601,228,Sync!$D$13)),0)&gt;0,IFERROR(INDEX(Clay_Brands!$A$2:$FZ$601,228,Sync!$D$5)&amp;"","")&lt;&gt;"",OR(LEFT(IFERROR(INDEX(Clay_Brands!$A$2:$FZ$601,228,Sync!$D$5)&amp;"",""),6)&lt;&gt;"SAMPLE",Config!$B$19="Y")),IFERROR(N(INDEX(Clay_Brands!$A$2:$FZ$601,228,Sync!$D$13)),0),"")</f>
        <v/>
      </c>
      <c r="C4879" s="17">
        <f>IF(B4879="","","brand")</f>
        <v/>
      </c>
      <c r="D4879" s="17">
        <f>IF(B4879="","",IFERROR(INDEX(Clay_Brands!$A$2:$FZ$601,228,Sync!$D$5)&amp;"",""))</f>
        <v/>
      </c>
      <c r="E4879" s="17">
        <f>IF(B4879="","",IFERROR(INDEX(Clay_Brands!$A$2:$FZ$601,228,Sync!$D$6)&amp;"",""))</f>
        <v/>
      </c>
      <c r="F4879" s="17">
        <f>IF(B4879="","","outreach_sent")</f>
        <v/>
      </c>
      <c r="G4879" s="17">
        <f>IF(B4879="","","")</f>
        <v/>
      </c>
      <c r="H4879" s="17">
        <f>IF(B4879="","","")</f>
        <v/>
      </c>
      <c r="I4879" s="17">
        <f>IF(B4879="","","")</f>
        <v/>
      </c>
      <c r="J4879" s="17">
        <f>IF(B4879="","","touch_3; "&amp;IFERROR(INDEX(Clay_Brands!$A$2:$FZ$601,228,Sync!$D$10)&amp;"","")&amp;"; "&amp;IFERROR(INDEX(Clay_Brands!$A$2:$FZ$601,228,Sync!$D$9)&amp;"",""))</f>
        <v/>
      </c>
      <c r="K4879" t="inlineStr">
        <is>
          <t>brand outreach touch 3</t>
        </is>
      </c>
    </row>
    <row r="4880">
      <c r="A4880" s="17">
        <f>IF(B4880="","",B4880+(17*1000+229)/10000000)</f>
        <v/>
      </c>
      <c r="B4880" s="23">
        <f>IF(AND(IFERROR(N(INDEX(Clay_Brands!$A$2:$FZ$601,229,Sync!$D$13)),0)&gt;0,IFERROR(INDEX(Clay_Brands!$A$2:$FZ$601,229,Sync!$D$5)&amp;"","")&lt;&gt;"",OR(LEFT(IFERROR(INDEX(Clay_Brands!$A$2:$FZ$601,229,Sync!$D$5)&amp;"",""),6)&lt;&gt;"SAMPLE",Config!$B$19="Y")),IFERROR(N(INDEX(Clay_Brands!$A$2:$FZ$601,229,Sync!$D$13)),0),"")</f>
        <v/>
      </c>
      <c r="C4880" s="17">
        <f>IF(B4880="","","brand")</f>
        <v/>
      </c>
      <c r="D4880" s="17">
        <f>IF(B4880="","",IFERROR(INDEX(Clay_Brands!$A$2:$FZ$601,229,Sync!$D$5)&amp;"",""))</f>
        <v/>
      </c>
      <c r="E4880" s="17">
        <f>IF(B4880="","",IFERROR(INDEX(Clay_Brands!$A$2:$FZ$601,229,Sync!$D$6)&amp;"",""))</f>
        <v/>
      </c>
      <c r="F4880" s="17">
        <f>IF(B4880="","","outreach_sent")</f>
        <v/>
      </c>
      <c r="G4880" s="17">
        <f>IF(B4880="","","")</f>
        <v/>
      </c>
      <c r="H4880" s="17">
        <f>IF(B4880="","","")</f>
        <v/>
      </c>
      <c r="I4880" s="17">
        <f>IF(B4880="","","")</f>
        <v/>
      </c>
      <c r="J4880" s="17">
        <f>IF(B4880="","","touch_3; "&amp;IFERROR(INDEX(Clay_Brands!$A$2:$FZ$601,229,Sync!$D$10)&amp;"","")&amp;"; "&amp;IFERROR(INDEX(Clay_Brands!$A$2:$FZ$601,229,Sync!$D$9)&amp;"",""))</f>
        <v/>
      </c>
      <c r="K4880" t="inlineStr">
        <is>
          <t>brand outreach touch 3</t>
        </is>
      </c>
    </row>
    <row r="4881">
      <c r="A4881" s="17">
        <f>IF(B4881="","",B4881+(17*1000+230)/10000000)</f>
        <v/>
      </c>
      <c r="B4881" s="23">
        <f>IF(AND(IFERROR(N(INDEX(Clay_Brands!$A$2:$FZ$601,230,Sync!$D$13)),0)&gt;0,IFERROR(INDEX(Clay_Brands!$A$2:$FZ$601,230,Sync!$D$5)&amp;"","")&lt;&gt;"",OR(LEFT(IFERROR(INDEX(Clay_Brands!$A$2:$FZ$601,230,Sync!$D$5)&amp;"",""),6)&lt;&gt;"SAMPLE",Config!$B$19="Y")),IFERROR(N(INDEX(Clay_Brands!$A$2:$FZ$601,230,Sync!$D$13)),0),"")</f>
        <v/>
      </c>
      <c r="C4881" s="17">
        <f>IF(B4881="","","brand")</f>
        <v/>
      </c>
      <c r="D4881" s="17">
        <f>IF(B4881="","",IFERROR(INDEX(Clay_Brands!$A$2:$FZ$601,230,Sync!$D$5)&amp;"",""))</f>
        <v/>
      </c>
      <c r="E4881" s="17">
        <f>IF(B4881="","",IFERROR(INDEX(Clay_Brands!$A$2:$FZ$601,230,Sync!$D$6)&amp;"",""))</f>
        <v/>
      </c>
      <c r="F4881" s="17">
        <f>IF(B4881="","","outreach_sent")</f>
        <v/>
      </c>
      <c r="G4881" s="17">
        <f>IF(B4881="","","")</f>
        <v/>
      </c>
      <c r="H4881" s="17">
        <f>IF(B4881="","","")</f>
        <v/>
      </c>
      <c r="I4881" s="17">
        <f>IF(B4881="","","")</f>
        <v/>
      </c>
      <c r="J4881" s="17">
        <f>IF(B4881="","","touch_3; "&amp;IFERROR(INDEX(Clay_Brands!$A$2:$FZ$601,230,Sync!$D$10)&amp;"","")&amp;"; "&amp;IFERROR(INDEX(Clay_Brands!$A$2:$FZ$601,230,Sync!$D$9)&amp;"",""))</f>
        <v/>
      </c>
      <c r="K4881" t="inlineStr">
        <is>
          <t>brand outreach touch 3</t>
        </is>
      </c>
    </row>
    <row r="4882">
      <c r="A4882" s="17">
        <f>IF(B4882="","",B4882+(17*1000+231)/10000000)</f>
        <v/>
      </c>
      <c r="B4882" s="23">
        <f>IF(AND(IFERROR(N(INDEX(Clay_Brands!$A$2:$FZ$601,231,Sync!$D$13)),0)&gt;0,IFERROR(INDEX(Clay_Brands!$A$2:$FZ$601,231,Sync!$D$5)&amp;"","")&lt;&gt;"",OR(LEFT(IFERROR(INDEX(Clay_Brands!$A$2:$FZ$601,231,Sync!$D$5)&amp;"",""),6)&lt;&gt;"SAMPLE",Config!$B$19="Y")),IFERROR(N(INDEX(Clay_Brands!$A$2:$FZ$601,231,Sync!$D$13)),0),"")</f>
        <v/>
      </c>
      <c r="C4882" s="17">
        <f>IF(B4882="","","brand")</f>
        <v/>
      </c>
      <c r="D4882" s="17">
        <f>IF(B4882="","",IFERROR(INDEX(Clay_Brands!$A$2:$FZ$601,231,Sync!$D$5)&amp;"",""))</f>
        <v/>
      </c>
      <c r="E4882" s="17">
        <f>IF(B4882="","",IFERROR(INDEX(Clay_Brands!$A$2:$FZ$601,231,Sync!$D$6)&amp;"",""))</f>
        <v/>
      </c>
      <c r="F4882" s="17">
        <f>IF(B4882="","","outreach_sent")</f>
        <v/>
      </c>
      <c r="G4882" s="17">
        <f>IF(B4882="","","")</f>
        <v/>
      </c>
      <c r="H4882" s="17">
        <f>IF(B4882="","","")</f>
        <v/>
      </c>
      <c r="I4882" s="17">
        <f>IF(B4882="","","")</f>
        <v/>
      </c>
      <c r="J4882" s="17">
        <f>IF(B4882="","","touch_3; "&amp;IFERROR(INDEX(Clay_Brands!$A$2:$FZ$601,231,Sync!$D$10)&amp;"","")&amp;"; "&amp;IFERROR(INDEX(Clay_Brands!$A$2:$FZ$601,231,Sync!$D$9)&amp;"",""))</f>
        <v/>
      </c>
      <c r="K4882" t="inlineStr">
        <is>
          <t>brand outreach touch 3</t>
        </is>
      </c>
    </row>
    <row r="4883">
      <c r="A4883" s="17">
        <f>IF(B4883="","",B4883+(17*1000+232)/10000000)</f>
        <v/>
      </c>
      <c r="B4883" s="23">
        <f>IF(AND(IFERROR(N(INDEX(Clay_Brands!$A$2:$FZ$601,232,Sync!$D$13)),0)&gt;0,IFERROR(INDEX(Clay_Brands!$A$2:$FZ$601,232,Sync!$D$5)&amp;"","")&lt;&gt;"",OR(LEFT(IFERROR(INDEX(Clay_Brands!$A$2:$FZ$601,232,Sync!$D$5)&amp;"",""),6)&lt;&gt;"SAMPLE",Config!$B$19="Y")),IFERROR(N(INDEX(Clay_Brands!$A$2:$FZ$601,232,Sync!$D$13)),0),"")</f>
        <v/>
      </c>
      <c r="C4883" s="17">
        <f>IF(B4883="","","brand")</f>
        <v/>
      </c>
      <c r="D4883" s="17">
        <f>IF(B4883="","",IFERROR(INDEX(Clay_Brands!$A$2:$FZ$601,232,Sync!$D$5)&amp;"",""))</f>
        <v/>
      </c>
      <c r="E4883" s="17">
        <f>IF(B4883="","",IFERROR(INDEX(Clay_Brands!$A$2:$FZ$601,232,Sync!$D$6)&amp;"",""))</f>
        <v/>
      </c>
      <c r="F4883" s="17">
        <f>IF(B4883="","","outreach_sent")</f>
        <v/>
      </c>
      <c r="G4883" s="17">
        <f>IF(B4883="","","")</f>
        <v/>
      </c>
      <c r="H4883" s="17">
        <f>IF(B4883="","","")</f>
        <v/>
      </c>
      <c r="I4883" s="17">
        <f>IF(B4883="","","")</f>
        <v/>
      </c>
      <c r="J4883" s="17">
        <f>IF(B4883="","","touch_3; "&amp;IFERROR(INDEX(Clay_Brands!$A$2:$FZ$601,232,Sync!$D$10)&amp;"","")&amp;"; "&amp;IFERROR(INDEX(Clay_Brands!$A$2:$FZ$601,232,Sync!$D$9)&amp;"",""))</f>
        <v/>
      </c>
      <c r="K4883" t="inlineStr">
        <is>
          <t>brand outreach touch 3</t>
        </is>
      </c>
    </row>
    <row r="4884">
      <c r="A4884" s="17">
        <f>IF(B4884="","",B4884+(17*1000+233)/10000000)</f>
        <v/>
      </c>
      <c r="B4884" s="23">
        <f>IF(AND(IFERROR(N(INDEX(Clay_Brands!$A$2:$FZ$601,233,Sync!$D$13)),0)&gt;0,IFERROR(INDEX(Clay_Brands!$A$2:$FZ$601,233,Sync!$D$5)&amp;"","")&lt;&gt;"",OR(LEFT(IFERROR(INDEX(Clay_Brands!$A$2:$FZ$601,233,Sync!$D$5)&amp;"",""),6)&lt;&gt;"SAMPLE",Config!$B$19="Y")),IFERROR(N(INDEX(Clay_Brands!$A$2:$FZ$601,233,Sync!$D$13)),0),"")</f>
        <v/>
      </c>
      <c r="C4884" s="17">
        <f>IF(B4884="","","brand")</f>
        <v/>
      </c>
      <c r="D4884" s="17">
        <f>IF(B4884="","",IFERROR(INDEX(Clay_Brands!$A$2:$FZ$601,233,Sync!$D$5)&amp;"",""))</f>
        <v/>
      </c>
      <c r="E4884" s="17">
        <f>IF(B4884="","",IFERROR(INDEX(Clay_Brands!$A$2:$FZ$601,233,Sync!$D$6)&amp;"",""))</f>
        <v/>
      </c>
      <c r="F4884" s="17">
        <f>IF(B4884="","","outreach_sent")</f>
        <v/>
      </c>
      <c r="G4884" s="17">
        <f>IF(B4884="","","")</f>
        <v/>
      </c>
      <c r="H4884" s="17">
        <f>IF(B4884="","","")</f>
        <v/>
      </c>
      <c r="I4884" s="17">
        <f>IF(B4884="","","")</f>
        <v/>
      </c>
      <c r="J4884" s="17">
        <f>IF(B4884="","","touch_3; "&amp;IFERROR(INDEX(Clay_Brands!$A$2:$FZ$601,233,Sync!$D$10)&amp;"","")&amp;"; "&amp;IFERROR(INDEX(Clay_Brands!$A$2:$FZ$601,233,Sync!$D$9)&amp;"",""))</f>
        <v/>
      </c>
      <c r="K4884" t="inlineStr">
        <is>
          <t>brand outreach touch 3</t>
        </is>
      </c>
    </row>
    <row r="4885">
      <c r="A4885" s="17">
        <f>IF(B4885="","",B4885+(17*1000+234)/10000000)</f>
        <v/>
      </c>
      <c r="B4885" s="23">
        <f>IF(AND(IFERROR(N(INDEX(Clay_Brands!$A$2:$FZ$601,234,Sync!$D$13)),0)&gt;0,IFERROR(INDEX(Clay_Brands!$A$2:$FZ$601,234,Sync!$D$5)&amp;"","")&lt;&gt;"",OR(LEFT(IFERROR(INDEX(Clay_Brands!$A$2:$FZ$601,234,Sync!$D$5)&amp;"",""),6)&lt;&gt;"SAMPLE",Config!$B$19="Y")),IFERROR(N(INDEX(Clay_Brands!$A$2:$FZ$601,234,Sync!$D$13)),0),"")</f>
        <v/>
      </c>
      <c r="C4885" s="17">
        <f>IF(B4885="","","brand")</f>
        <v/>
      </c>
      <c r="D4885" s="17">
        <f>IF(B4885="","",IFERROR(INDEX(Clay_Brands!$A$2:$FZ$601,234,Sync!$D$5)&amp;"",""))</f>
        <v/>
      </c>
      <c r="E4885" s="17">
        <f>IF(B4885="","",IFERROR(INDEX(Clay_Brands!$A$2:$FZ$601,234,Sync!$D$6)&amp;"",""))</f>
        <v/>
      </c>
      <c r="F4885" s="17">
        <f>IF(B4885="","","outreach_sent")</f>
        <v/>
      </c>
      <c r="G4885" s="17">
        <f>IF(B4885="","","")</f>
        <v/>
      </c>
      <c r="H4885" s="17">
        <f>IF(B4885="","","")</f>
        <v/>
      </c>
      <c r="I4885" s="17">
        <f>IF(B4885="","","")</f>
        <v/>
      </c>
      <c r="J4885" s="17">
        <f>IF(B4885="","","touch_3; "&amp;IFERROR(INDEX(Clay_Brands!$A$2:$FZ$601,234,Sync!$D$10)&amp;"","")&amp;"; "&amp;IFERROR(INDEX(Clay_Brands!$A$2:$FZ$601,234,Sync!$D$9)&amp;"",""))</f>
        <v/>
      </c>
      <c r="K4885" t="inlineStr">
        <is>
          <t>brand outreach touch 3</t>
        </is>
      </c>
    </row>
    <row r="4886">
      <c r="A4886" s="17">
        <f>IF(B4886="","",B4886+(17*1000+235)/10000000)</f>
        <v/>
      </c>
      <c r="B4886" s="23">
        <f>IF(AND(IFERROR(N(INDEX(Clay_Brands!$A$2:$FZ$601,235,Sync!$D$13)),0)&gt;0,IFERROR(INDEX(Clay_Brands!$A$2:$FZ$601,235,Sync!$D$5)&amp;"","")&lt;&gt;"",OR(LEFT(IFERROR(INDEX(Clay_Brands!$A$2:$FZ$601,235,Sync!$D$5)&amp;"",""),6)&lt;&gt;"SAMPLE",Config!$B$19="Y")),IFERROR(N(INDEX(Clay_Brands!$A$2:$FZ$601,235,Sync!$D$13)),0),"")</f>
        <v/>
      </c>
      <c r="C4886" s="17">
        <f>IF(B4886="","","brand")</f>
        <v/>
      </c>
      <c r="D4886" s="17">
        <f>IF(B4886="","",IFERROR(INDEX(Clay_Brands!$A$2:$FZ$601,235,Sync!$D$5)&amp;"",""))</f>
        <v/>
      </c>
      <c r="E4886" s="17">
        <f>IF(B4886="","",IFERROR(INDEX(Clay_Brands!$A$2:$FZ$601,235,Sync!$D$6)&amp;"",""))</f>
        <v/>
      </c>
      <c r="F4886" s="17">
        <f>IF(B4886="","","outreach_sent")</f>
        <v/>
      </c>
      <c r="G4886" s="17">
        <f>IF(B4886="","","")</f>
        <v/>
      </c>
      <c r="H4886" s="17">
        <f>IF(B4886="","","")</f>
        <v/>
      </c>
      <c r="I4886" s="17">
        <f>IF(B4886="","","")</f>
        <v/>
      </c>
      <c r="J4886" s="17">
        <f>IF(B4886="","","touch_3; "&amp;IFERROR(INDEX(Clay_Brands!$A$2:$FZ$601,235,Sync!$D$10)&amp;"","")&amp;"; "&amp;IFERROR(INDEX(Clay_Brands!$A$2:$FZ$601,235,Sync!$D$9)&amp;"",""))</f>
        <v/>
      </c>
      <c r="K4886" t="inlineStr">
        <is>
          <t>brand outreach touch 3</t>
        </is>
      </c>
    </row>
    <row r="4887">
      <c r="A4887" s="17">
        <f>IF(B4887="","",B4887+(17*1000+236)/10000000)</f>
        <v/>
      </c>
      <c r="B4887" s="23">
        <f>IF(AND(IFERROR(N(INDEX(Clay_Brands!$A$2:$FZ$601,236,Sync!$D$13)),0)&gt;0,IFERROR(INDEX(Clay_Brands!$A$2:$FZ$601,236,Sync!$D$5)&amp;"","")&lt;&gt;"",OR(LEFT(IFERROR(INDEX(Clay_Brands!$A$2:$FZ$601,236,Sync!$D$5)&amp;"",""),6)&lt;&gt;"SAMPLE",Config!$B$19="Y")),IFERROR(N(INDEX(Clay_Brands!$A$2:$FZ$601,236,Sync!$D$13)),0),"")</f>
        <v/>
      </c>
      <c r="C4887" s="17">
        <f>IF(B4887="","","brand")</f>
        <v/>
      </c>
      <c r="D4887" s="17">
        <f>IF(B4887="","",IFERROR(INDEX(Clay_Brands!$A$2:$FZ$601,236,Sync!$D$5)&amp;"",""))</f>
        <v/>
      </c>
      <c r="E4887" s="17">
        <f>IF(B4887="","",IFERROR(INDEX(Clay_Brands!$A$2:$FZ$601,236,Sync!$D$6)&amp;"",""))</f>
        <v/>
      </c>
      <c r="F4887" s="17">
        <f>IF(B4887="","","outreach_sent")</f>
        <v/>
      </c>
      <c r="G4887" s="17">
        <f>IF(B4887="","","")</f>
        <v/>
      </c>
      <c r="H4887" s="17">
        <f>IF(B4887="","","")</f>
        <v/>
      </c>
      <c r="I4887" s="17">
        <f>IF(B4887="","","")</f>
        <v/>
      </c>
      <c r="J4887" s="17">
        <f>IF(B4887="","","touch_3; "&amp;IFERROR(INDEX(Clay_Brands!$A$2:$FZ$601,236,Sync!$D$10)&amp;"","")&amp;"; "&amp;IFERROR(INDEX(Clay_Brands!$A$2:$FZ$601,236,Sync!$D$9)&amp;"",""))</f>
        <v/>
      </c>
      <c r="K4887" t="inlineStr">
        <is>
          <t>brand outreach touch 3</t>
        </is>
      </c>
    </row>
    <row r="4888">
      <c r="A4888" s="17">
        <f>IF(B4888="","",B4888+(17*1000+237)/10000000)</f>
        <v/>
      </c>
      <c r="B4888" s="23">
        <f>IF(AND(IFERROR(N(INDEX(Clay_Brands!$A$2:$FZ$601,237,Sync!$D$13)),0)&gt;0,IFERROR(INDEX(Clay_Brands!$A$2:$FZ$601,237,Sync!$D$5)&amp;"","")&lt;&gt;"",OR(LEFT(IFERROR(INDEX(Clay_Brands!$A$2:$FZ$601,237,Sync!$D$5)&amp;"",""),6)&lt;&gt;"SAMPLE",Config!$B$19="Y")),IFERROR(N(INDEX(Clay_Brands!$A$2:$FZ$601,237,Sync!$D$13)),0),"")</f>
        <v/>
      </c>
      <c r="C4888" s="17">
        <f>IF(B4888="","","brand")</f>
        <v/>
      </c>
      <c r="D4888" s="17">
        <f>IF(B4888="","",IFERROR(INDEX(Clay_Brands!$A$2:$FZ$601,237,Sync!$D$5)&amp;"",""))</f>
        <v/>
      </c>
      <c r="E4888" s="17">
        <f>IF(B4888="","",IFERROR(INDEX(Clay_Brands!$A$2:$FZ$601,237,Sync!$D$6)&amp;"",""))</f>
        <v/>
      </c>
      <c r="F4888" s="17">
        <f>IF(B4888="","","outreach_sent")</f>
        <v/>
      </c>
      <c r="G4888" s="17">
        <f>IF(B4888="","","")</f>
        <v/>
      </c>
      <c r="H4888" s="17">
        <f>IF(B4888="","","")</f>
        <v/>
      </c>
      <c r="I4888" s="17">
        <f>IF(B4888="","","")</f>
        <v/>
      </c>
      <c r="J4888" s="17">
        <f>IF(B4888="","","touch_3; "&amp;IFERROR(INDEX(Clay_Brands!$A$2:$FZ$601,237,Sync!$D$10)&amp;"","")&amp;"; "&amp;IFERROR(INDEX(Clay_Brands!$A$2:$FZ$601,237,Sync!$D$9)&amp;"",""))</f>
        <v/>
      </c>
      <c r="K4888" t="inlineStr">
        <is>
          <t>brand outreach touch 3</t>
        </is>
      </c>
    </row>
    <row r="4889">
      <c r="A4889" s="17">
        <f>IF(B4889="","",B4889+(17*1000+238)/10000000)</f>
        <v/>
      </c>
      <c r="B4889" s="23">
        <f>IF(AND(IFERROR(N(INDEX(Clay_Brands!$A$2:$FZ$601,238,Sync!$D$13)),0)&gt;0,IFERROR(INDEX(Clay_Brands!$A$2:$FZ$601,238,Sync!$D$5)&amp;"","")&lt;&gt;"",OR(LEFT(IFERROR(INDEX(Clay_Brands!$A$2:$FZ$601,238,Sync!$D$5)&amp;"",""),6)&lt;&gt;"SAMPLE",Config!$B$19="Y")),IFERROR(N(INDEX(Clay_Brands!$A$2:$FZ$601,238,Sync!$D$13)),0),"")</f>
        <v/>
      </c>
      <c r="C4889" s="17">
        <f>IF(B4889="","","brand")</f>
        <v/>
      </c>
      <c r="D4889" s="17">
        <f>IF(B4889="","",IFERROR(INDEX(Clay_Brands!$A$2:$FZ$601,238,Sync!$D$5)&amp;"",""))</f>
        <v/>
      </c>
      <c r="E4889" s="17">
        <f>IF(B4889="","",IFERROR(INDEX(Clay_Brands!$A$2:$FZ$601,238,Sync!$D$6)&amp;"",""))</f>
        <v/>
      </c>
      <c r="F4889" s="17">
        <f>IF(B4889="","","outreach_sent")</f>
        <v/>
      </c>
      <c r="G4889" s="17">
        <f>IF(B4889="","","")</f>
        <v/>
      </c>
      <c r="H4889" s="17">
        <f>IF(B4889="","","")</f>
        <v/>
      </c>
      <c r="I4889" s="17">
        <f>IF(B4889="","","")</f>
        <v/>
      </c>
      <c r="J4889" s="17">
        <f>IF(B4889="","","touch_3; "&amp;IFERROR(INDEX(Clay_Brands!$A$2:$FZ$601,238,Sync!$D$10)&amp;"","")&amp;"; "&amp;IFERROR(INDEX(Clay_Brands!$A$2:$FZ$601,238,Sync!$D$9)&amp;"",""))</f>
        <v/>
      </c>
      <c r="K4889" t="inlineStr">
        <is>
          <t>brand outreach touch 3</t>
        </is>
      </c>
    </row>
    <row r="4890">
      <c r="A4890" s="17">
        <f>IF(B4890="","",B4890+(17*1000+239)/10000000)</f>
        <v/>
      </c>
      <c r="B4890" s="23">
        <f>IF(AND(IFERROR(N(INDEX(Clay_Brands!$A$2:$FZ$601,239,Sync!$D$13)),0)&gt;0,IFERROR(INDEX(Clay_Brands!$A$2:$FZ$601,239,Sync!$D$5)&amp;"","")&lt;&gt;"",OR(LEFT(IFERROR(INDEX(Clay_Brands!$A$2:$FZ$601,239,Sync!$D$5)&amp;"",""),6)&lt;&gt;"SAMPLE",Config!$B$19="Y")),IFERROR(N(INDEX(Clay_Brands!$A$2:$FZ$601,239,Sync!$D$13)),0),"")</f>
        <v/>
      </c>
      <c r="C4890" s="17">
        <f>IF(B4890="","","brand")</f>
        <v/>
      </c>
      <c r="D4890" s="17">
        <f>IF(B4890="","",IFERROR(INDEX(Clay_Brands!$A$2:$FZ$601,239,Sync!$D$5)&amp;"",""))</f>
        <v/>
      </c>
      <c r="E4890" s="17">
        <f>IF(B4890="","",IFERROR(INDEX(Clay_Brands!$A$2:$FZ$601,239,Sync!$D$6)&amp;"",""))</f>
        <v/>
      </c>
      <c r="F4890" s="17">
        <f>IF(B4890="","","outreach_sent")</f>
        <v/>
      </c>
      <c r="G4890" s="17">
        <f>IF(B4890="","","")</f>
        <v/>
      </c>
      <c r="H4890" s="17">
        <f>IF(B4890="","","")</f>
        <v/>
      </c>
      <c r="I4890" s="17">
        <f>IF(B4890="","","")</f>
        <v/>
      </c>
      <c r="J4890" s="17">
        <f>IF(B4890="","","touch_3; "&amp;IFERROR(INDEX(Clay_Brands!$A$2:$FZ$601,239,Sync!$D$10)&amp;"","")&amp;"; "&amp;IFERROR(INDEX(Clay_Brands!$A$2:$FZ$601,239,Sync!$D$9)&amp;"",""))</f>
        <v/>
      </c>
      <c r="K4890" t="inlineStr">
        <is>
          <t>brand outreach touch 3</t>
        </is>
      </c>
    </row>
    <row r="4891">
      <c r="A4891" s="17">
        <f>IF(B4891="","",B4891+(17*1000+240)/10000000)</f>
        <v/>
      </c>
      <c r="B4891" s="23">
        <f>IF(AND(IFERROR(N(INDEX(Clay_Brands!$A$2:$FZ$601,240,Sync!$D$13)),0)&gt;0,IFERROR(INDEX(Clay_Brands!$A$2:$FZ$601,240,Sync!$D$5)&amp;"","")&lt;&gt;"",OR(LEFT(IFERROR(INDEX(Clay_Brands!$A$2:$FZ$601,240,Sync!$D$5)&amp;"",""),6)&lt;&gt;"SAMPLE",Config!$B$19="Y")),IFERROR(N(INDEX(Clay_Brands!$A$2:$FZ$601,240,Sync!$D$13)),0),"")</f>
        <v/>
      </c>
      <c r="C4891" s="17">
        <f>IF(B4891="","","brand")</f>
        <v/>
      </c>
      <c r="D4891" s="17">
        <f>IF(B4891="","",IFERROR(INDEX(Clay_Brands!$A$2:$FZ$601,240,Sync!$D$5)&amp;"",""))</f>
        <v/>
      </c>
      <c r="E4891" s="17">
        <f>IF(B4891="","",IFERROR(INDEX(Clay_Brands!$A$2:$FZ$601,240,Sync!$D$6)&amp;"",""))</f>
        <v/>
      </c>
      <c r="F4891" s="17">
        <f>IF(B4891="","","outreach_sent")</f>
        <v/>
      </c>
      <c r="G4891" s="17">
        <f>IF(B4891="","","")</f>
        <v/>
      </c>
      <c r="H4891" s="17">
        <f>IF(B4891="","","")</f>
        <v/>
      </c>
      <c r="I4891" s="17">
        <f>IF(B4891="","","")</f>
        <v/>
      </c>
      <c r="J4891" s="17">
        <f>IF(B4891="","","touch_3; "&amp;IFERROR(INDEX(Clay_Brands!$A$2:$FZ$601,240,Sync!$D$10)&amp;"","")&amp;"; "&amp;IFERROR(INDEX(Clay_Brands!$A$2:$FZ$601,240,Sync!$D$9)&amp;"",""))</f>
        <v/>
      </c>
      <c r="K4891" t="inlineStr">
        <is>
          <t>brand outreach touch 3</t>
        </is>
      </c>
    </row>
    <row r="4892">
      <c r="A4892" s="17">
        <f>IF(B4892="","",B4892+(17*1000+241)/10000000)</f>
        <v/>
      </c>
      <c r="B4892" s="23">
        <f>IF(AND(IFERROR(N(INDEX(Clay_Brands!$A$2:$FZ$601,241,Sync!$D$13)),0)&gt;0,IFERROR(INDEX(Clay_Brands!$A$2:$FZ$601,241,Sync!$D$5)&amp;"","")&lt;&gt;"",OR(LEFT(IFERROR(INDEX(Clay_Brands!$A$2:$FZ$601,241,Sync!$D$5)&amp;"",""),6)&lt;&gt;"SAMPLE",Config!$B$19="Y")),IFERROR(N(INDEX(Clay_Brands!$A$2:$FZ$601,241,Sync!$D$13)),0),"")</f>
        <v/>
      </c>
      <c r="C4892" s="17">
        <f>IF(B4892="","","brand")</f>
        <v/>
      </c>
      <c r="D4892" s="17">
        <f>IF(B4892="","",IFERROR(INDEX(Clay_Brands!$A$2:$FZ$601,241,Sync!$D$5)&amp;"",""))</f>
        <v/>
      </c>
      <c r="E4892" s="17">
        <f>IF(B4892="","",IFERROR(INDEX(Clay_Brands!$A$2:$FZ$601,241,Sync!$D$6)&amp;"",""))</f>
        <v/>
      </c>
      <c r="F4892" s="17">
        <f>IF(B4892="","","outreach_sent")</f>
        <v/>
      </c>
      <c r="G4892" s="17">
        <f>IF(B4892="","","")</f>
        <v/>
      </c>
      <c r="H4892" s="17">
        <f>IF(B4892="","","")</f>
        <v/>
      </c>
      <c r="I4892" s="17">
        <f>IF(B4892="","","")</f>
        <v/>
      </c>
      <c r="J4892" s="17">
        <f>IF(B4892="","","touch_3; "&amp;IFERROR(INDEX(Clay_Brands!$A$2:$FZ$601,241,Sync!$D$10)&amp;"","")&amp;"; "&amp;IFERROR(INDEX(Clay_Brands!$A$2:$FZ$601,241,Sync!$D$9)&amp;"",""))</f>
        <v/>
      </c>
      <c r="K4892" t="inlineStr">
        <is>
          <t>brand outreach touch 3</t>
        </is>
      </c>
    </row>
    <row r="4893">
      <c r="A4893" s="17">
        <f>IF(B4893="","",B4893+(17*1000+242)/10000000)</f>
        <v/>
      </c>
      <c r="B4893" s="23">
        <f>IF(AND(IFERROR(N(INDEX(Clay_Brands!$A$2:$FZ$601,242,Sync!$D$13)),0)&gt;0,IFERROR(INDEX(Clay_Brands!$A$2:$FZ$601,242,Sync!$D$5)&amp;"","")&lt;&gt;"",OR(LEFT(IFERROR(INDEX(Clay_Brands!$A$2:$FZ$601,242,Sync!$D$5)&amp;"",""),6)&lt;&gt;"SAMPLE",Config!$B$19="Y")),IFERROR(N(INDEX(Clay_Brands!$A$2:$FZ$601,242,Sync!$D$13)),0),"")</f>
        <v/>
      </c>
      <c r="C4893" s="17">
        <f>IF(B4893="","","brand")</f>
        <v/>
      </c>
      <c r="D4893" s="17">
        <f>IF(B4893="","",IFERROR(INDEX(Clay_Brands!$A$2:$FZ$601,242,Sync!$D$5)&amp;"",""))</f>
        <v/>
      </c>
      <c r="E4893" s="17">
        <f>IF(B4893="","",IFERROR(INDEX(Clay_Brands!$A$2:$FZ$601,242,Sync!$D$6)&amp;"",""))</f>
        <v/>
      </c>
      <c r="F4893" s="17">
        <f>IF(B4893="","","outreach_sent")</f>
        <v/>
      </c>
      <c r="G4893" s="17">
        <f>IF(B4893="","","")</f>
        <v/>
      </c>
      <c r="H4893" s="17">
        <f>IF(B4893="","","")</f>
        <v/>
      </c>
      <c r="I4893" s="17">
        <f>IF(B4893="","","")</f>
        <v/>
      </c>
      <c r="J4893" s="17">
        <f>IF(B4893="","","touch_3; "&amp;IFERROR(INDEX(Clay_Brands!$A$2:$FZ$601,242,Sync!$D$10)&amp;"","")&amp;"; "&amp;IFERROR(INDEX(Clay_Brands!$A$2:$FZ$601,242,Sync!$D$9)&amp;"",""))</f>
        <v/>
      </c>
      <c r="K4893" t="inlineStr">
        <is>
          <t>brand outreach touch 3</t>
        </is>
      </c>
    </row>
    <row r="4894">
      <c r="A4894" s="17">
        <f>IF(B4894="","",B4894+(17*1000+243)/10000000)</f>
        <v/>
      </c>
      <c r="B4894" s="23">
        <f>IF(AND(IFERROR(N(INDEX(Clay_Brands!$A$2:$FZ$601,243,Sync!$D$13)),0)&gt;0,IFERROR(INDEX(Clay_Brands!$A$2:$FZ$601,243,Sync!$D$5)&amp;"","")&lt;&gt;"",OR(LEFT(IFERROR(INDEX(Clay_Brands!$A$2:$FZ$601,243,Sync!$D$5)&amp;"",""),6)&lt;&gt;"SAMPLE",Config!$B$19="Y")),IFERROR(N(INDEX(Clay_Brands!$A$2:$FZ$601,243,Sync!$D$13)),0),"")</f>
        <v/>
      </c>
      <c r="C4894" s="17">
        <f>IF(B4894="","","brand")</f>
        <v/>
      </c>
      <c r="D4894" s="17">
        <f>IF(B4894="","",IFERROR(INDEX(Clay_Brands!$A$2:$FZ$601,243,Sync!$D$5)&amp;"",""))</f>
        <v/>
      </c>
      <c r="E4894" s="17">
        <f>IF(B4894="","",IFERROR(INDEX(Clay_Brands!$A$2:$FZ$601,243,Sync!$D$6)&amp;"",""))</f>
        <v/>
      </c>
      <c r="F4894" s="17">
        <f>IF(B4894="","","outreach_sent")</f>
        <v/>
      </c>
      <c r="G4894" s="17">
        <f>IF(B4894="","","")</f>
        <v/>
      </c>
      <c r="H4894" s="17">
        <f>IF(B4894="","","")</f>
        <v/>
      </c>
      <c r="I4894" s="17">
        <f>IF(B4894="","","")</f>
        <v/>
      </c>
      <c r="J4894" s="17">
        <f>IF(B4894="","","touch_3; "&amp;IFERROR(INDEX(Clay_Brands!$A$2:$FZ$601,243,Sync!$D$10)&amp;"","")&amp;"; "&amp;IFERROR(INDEX(Clay_Brands!$A$2:$FZ$601,243,Sync!$D$9)&amp;"",""))</f>
        <v/>
      </c>
      <c r="K4894" t="inlineStr">
        <is>
          <t>brand outreach touch 3</t>
        </is>
      </c>
    </row>
    <row r="4895">
      <c r="A4895" s="17">
        <f>IF(B4895="","",B4895+(17*1000+244)/10000000)</f>
        <v/>
      </c>
      <c r="B4895" s="23">
        <f>IF(AND(IFERROR(N(INDEX(Clay_Brands!$A$2:$FZ$601,244,Sync!$D$13)),0)&gt;0,IFERROR(INDEX(Clay_Brands!$A$2:$FZ$601,244,Sync!$D$5)&amp;"","")&lt;&gt;"",OR(LEFT(IFERROR(INDEX(Clay_Brands!$A$2:$FZ$601,244,Sync!$D$5)&amp;"",""),6)&lt;&gt;"SAMPLE",Config!$B$19="Y")),IFERROR(N(INDEX(Clay_Brands!$A$2:$FZ$601,244,Sync!$D$13)),0),"")</f>
        <v/>
      </c>
      <c r="C4895" s="17">
        <f>IF(B4895="","","brand")</f>
        <v/>
      </c>
      <c r="D4895" s="17">
        <f>IF(B4895="","",IFERROR(INDEX(Clay_Brands!$A$2:$FZ$601,244,Sync!$D$5)&amp;"",""))</f>
        <v/>
      </c>
      <c r="E4895" s="17">
        <f>IF(B4895="","",IFERROR(INDEX(Clay_Brands!$A$2:$FZ$601,244,Sync!$D$6)&amp;"",""))</f>
        <v/>
      </c>
      <c r="F4895" s="17">
        <f>IF(B4895="","","outreach_sent")</f>
        <v/>
      </c>
      <c r="G4895" s="17">
        <f>IF(B4895="","","")</f>
        <v/>
      </c>
      <c r="H4895" s="17">
        <f>IF(B4895="","","")</f>
        <v/>
      </c>
      <c r="I4895" s="17">
        <f>IF(B4895="","","")</f>
        <v/>
      </c>
      <c r="J4895" s="17">
        <f>IF(B4895="","","touch_3; "&amp;IFERROR(INDEX(Clay_Brands!$A$2:$FZ$601,244,Sync!$D$10)&amp;"","")&amp;"; "&amp;IFERROR(INDEX(Clay_Brands!$A$2:$FZ$601,244,Sync!$D$9)&amp;"",""))</f>
        <v/>
      </c>
      <c r="K4895" t="inlineStr">
        <is>
          <t>brand outreach touch 3</t>
        </is>
      </c>
    </row>
    <row r="4896">
      <c r="A4896" s="17">
        <f>IF(B4896="","",B4896+(17*1000+245)/10000000)</f>
        <v/>
      </c>
      <c r="B4896" s="23">
        <f>IF(AND(IFERROR(N(INDEX(Clay_Brands!$A$2:$FZ$601,245,Sync!$D$13)),0)&gt;0,IFERROR(INDEX(Clay_Brands!$A$2:$FZ$601,245,Sync!$D$5)&amp;"","")&lt;&gt;"",OR(LEFT(IFERROR(INDEX(Clay_Brands!$A$2:$FZ$601,245,Sync!$D$5)&amp;"",""),6)&lt;&gt;"SAMPLE",Config!$B$19="Y")),IFERROR(N(INDEX(Clay_Brands!$A$2:$FZ$601,245,Sync!$D$13)),0),"")</f>
        <v/>
      </c>
      <c r="C4896" s="17">
        <f>IF(B4896="","","brand")</f>
        <v/>
      </c>
      <c r="D4896" s="17">
        <f>IF(B4896="","",IFERROR(INDEX(Clay_Brands!$A$2:$FZ$601,245,Sync!$D$5)&amp;"",""))</f>
        <v/>
      </c>
      <c r="E4896" s="17">
        <f>IF(B4896="","",IFERROR(INDEX(Clay_Brands!$A$2:$FZ$601,245,Sync!$D$6)&amp;"",""))</f>
        <v/>
      </c>
      <c r="F4896" s="17">
        <f>IF(B4896="","","outreach_sent")</f>
        <v/>
      </c>
      <c r="G4896" s="17">
        <f>IF(B4896="","","")</f>
        <v/>
      </c>
      <c r="H4896" s="17">
        <f>IF(B4896="","","")</f>
        <v/>
      </c>
      <c r="I4896" s="17">
        <f>IF(B4896="","","")</f>
        <v/>
      </c>
      <c r="J4896" s="17">
        <f>IF(B4896="","","touch_3; "&amp;IFERROR(INDEX(Clay_Brands!$A$2:$FZ$601,245,Sync!$D$10)&amp;"","")&amp;"; "&amp;IFERROR(INDEX(Clay_Brands!$A$2:$FZ$601,245,Sync!$D$9)&amp;"",""))</f>
        <v/>
      </c>
      <c r="K4896" t="inlineStr">
        <is>
          <t>brand outreach touch 3</t>
        </is>
      </c>
    </row>
    <row r="4897">
      <c r="A4897" s="17">
        <f>IF(B4897="","",B4897+(17*1000+246)/10000000)</f>
        <v/>
      </c>
      <c r="B4897" s="23">
        <f>IF(AND(IFERROR(N(INDEX(Clay_Brands!$A$2:$FZ$601,246,Sync!$D$13)),0)&gt;0,IFERROR(INDEX(Clay_Brands!$A$2:$FZ$601,246,Sync!$D$5)&amp;"","")&lt;&gt;"",OR(LEFT(IFERROR(INDEX(Clay_Brands!$A$2:$FZ$601,246,Sync!$D$5)&amp;"",""),6)&lt;&gt;"SAMPLE",Config!$B$19="Y")),IFERROR(N(INDEX(Clay_Brands!$A$2:$FZ$601,246,Sync!$D$13)),0),"")</f>
        <v/>
      </c>
      <c r="C4897" s="17">
        <f>IF(B4897="","","brand")</f>
        <v/>
      </c>
      <c r="D4897" s="17">
        <f>IF(B4897="","",IFERROR(INDEX(Clay_Brands!$A$2:$FZ$601,246,Sync!$D$5)&amp;"",""))</f>
        <v/>
      </c>
      <c r="E4897" s="17">
        <f>IF(B4897="","",IFERROR(INDEX(Clay_Brands!$A$2:$FZ$601,246,Sync!$D$6)&amp;"",""))</f>
        <v/>
      </c>
      <c r="F4897" s="17">
        <f>IF(B4897="","","outreach_sent")</f>
        <v/>
      </c>
      <c r="G4897" s="17">
        <f>IF(B4897="","","")</f>
        <v/>
      </c>
      <c r="H4897" s="17">
        <f>IF(B4897="","","")</f>
        <v/>
      </c>
      <c r="I4897" s="17">
        <f>IF(B4897="","","")</f>
        <v/>
      </c>
      <c r="J4897" s="17">
        <f>IF(B4897="","","touch_3; "&amp;IFERROR(INDEX(Clay_Brands!$A$2:$FZ$601,246,Sync!$D$10)&amp;"","")&amp;"; "&amp;IFERROR(INDEX(Clay_Brands!$A$2:$FZ$601,246,Sync!$D$9)&amp;"",""))</f>
        <v/>
      </c>
      <c r="K4897" t="inlineStr">
        <is>
          <t>brand outreach touch 3</t>
        </is>
      </c>
    </row>
    <row r="4898">
      <c r="A4898" s="17">
        <f>IF(B4898="","",B4898+(17*1000+247)/10000000)</f>
        <v/>
      </c>
      <c r="B4898" s="23">
        <f>IF(AND(IFERROR(N(INDEX(Clay_Brands!$A$2:$FZ$601,247,Sync!$D$13)),0)&gt;0,IFERROR(INDEX(Clay_Brands!$A$2:$FZ$601,247,Sync!$D$5)&amp;"","")&lt;&gt;"",OR(LEFT(IFERROR(INDEX(Clay_Brands!$A$2:$FZ$601,247,Sync!$D$5)&amp;"",""),6)&lt;&gt;"SAMPLE",Config!$B$19="Y")),IFERROR(N(INDEX(Clay_Brands!$A$2:$FZ$601,247,Sync!$D$13)),0),"")</f>
        <v/>
      </c>
      <c r="C4898" s="17">
        <f>IF(B4898="","","brand")</f>
        <v/>
      </c>
      <c r="D4898" s="17">
        <f>IF(B4898="","",IFERROR(INDEX(Clay_Brands!$A$2:$FZ$601,247,Sync!$D$5)&amp;"",""))</f>
        <v/>
      </c>
      <c r="E4898" s="17">
        <f>IF(B4898="","",IFERROR(INDEX(Clay_Brands!$A$2:$FZ$601,247,Sync!$D$6)&amp;"",""))</f>
        <v/>
      </c>
      <c r="F4898" s="17">
        <f>IF(B4898="","","outreach_sent")</f>
        <v/>
      </c>
      <c r="G4898" s="17">
        <f>IF(B4898="","","")</f>
        <v/>
      </c>
      <c r="H4898" s="17">
        <f>IF(B4898="","","")</f>
        <v/>
      </c>
      <c r="I4898" s="17">
        <f>IF(B4898="","","")</f>
        <v/>
      </c>
      <c r="J4898" s="17">
        <f>IF(B4898="","","touch_3; "&amp;IFERROR(INDEX(Clay_Brands!$A$2:$FZ$601,247,Sync!$D$10)&amp;"","")&amp;"; "&amp;IFERROR(INDEX(Clay_Brands!$A$2:$FZ$601,247,Sync!$D$9)&amp;"",""))</f>
        <v/>
      </c>
      <c r="K4898" t="inlineStr">
        <is>
          <t>brand outreach touch 3</t>
        </is>
      </c>
    </row>
    <row r="4899">
      <c r="A4899" s="17">
        <f>IF(B4899="","",B4899+(17*1000+248)/10000000)</f>
        <v/>
      </c>
      <c r="B4899" s="23">
        <f>IF(AND(IFERROR(N(INDEX(Clay_Brands!$A$2:$FZ$601,248,Sync!$D$13)),0)&gt;0,IFERROR(INDEX(Clay_Brands!$A$2:$FZ$601,248,Sync!$D$5)&amp;"","")&lt;&gt;"",OR(LEFT(IFERROR(INDEX(Clay_Brands!$A$2:$FZ$601,248,Sync!$D$5)&amp;"",""),6)&lt;&gt;"SAMPLE",Config!$B$19="Y")),IFERROR(N(INDEX(Clay_Brands!$A$2:$FZ$601,248,Sync!$D$13)),0),"")</f>
        <v/>
      </c>
      <c r="C4899" s="17">
        <f>IF(B4899="","","brand")</f>
        <v/>
      </c>
      <c r="D4899" s="17">
        <f>IF(B4899="","",IFERROR(INDEX(Clay_Brands!$A$2:$FZ$601,248,Sync!$D$5)&amp;"",""))</f>
        <v/>
      </c>
      <c r="E4899" s="17">
        <f>IF(B4899="","",IFERROR(INDEX(Clay_Brands!$A$2:$FZ$601,248,Sync!$D$6)&amp;"",""))</f>
        <v/>
      </c>
      <c r="F4899" s="17">
        <f>IF(B4899="","","outreach_sent")</f>
        <v/>
      </c>
      <c r="G4899" s="17">
        <f>IF(B4899="","","")</f>
        <v/>
      </c>
      <c r="H4899" s="17">
        <f>IF(B4899="","","")</f>
        <v/>
      </c>
      <c r="I4899" s="17">
        <f>IF(B4899="","","")</f>
        <v/>
      </c>
      <c r="J4899" s="17">
        <f>IF(B4899="","","touch_3; "&amp;IFERROR(INDEX(Clay_Brands!$A$2:$FZ$601,248,Sync!$D$10)&amp;"","")&amp;"; "&amp;IFERROR(INDEX(Clay_Brands!$A$2:$FZ$601,248,Sync!$D$9)&amp;"",""))</f>
        <v/>
      </c>
      <c r="K4899" t="inlineStr">
        <is>
          <t>brand outreach touch 3</t>
        </is>
      </c>
    </row>
    <row r="4900">
      <c r="A4900" s="17">
        <f>IF(B4900="","",B4900+(17*1000+249)/10000000)</f>
        <v/>
      </c>
      <c r="B4900" s="23">
        <f>IF(AND(IFERROR(N(INDEX(Clay_Brands!$A$2:$FZ$601,249,Sync!$D$13)),0)&gt;0,IFERROR(INDEX(Clay_Brands!$A$2:$FZ$601,249,Sync!$D$5)&amp;"","")&lt;&gt;"",OR(LEFT(IFERROR(INDEX(Clay_Brands!$A$2:$FZ$601,249,Sync!$D$5)&amp;"",""),6)&lt;&gt;"SAMPLE",Config!$B$19="Y")),IFERROR(N(INDEX(Clay_Brands!$A$2:$FZ$601,249,Sync!$D$13)),0),"")</f>
        <v/>
      </c>
      <c r="C4900" s="17">
        <f>IF(B4900="","","brand")</f>
        <v/>
      </c>
      <c r="D4900" s="17">
        <f>IF(B4900="","",IFERROR(INDEX(Clay_Brands!$A$2:$FZ$601,249,Sync!$D$5)&amp;"",""))</f>
        <v/>
      </c>
      <c r="E4900" s="17">
        <f>IF(B4900="","",IFERROR(INDEX(Clay_Brands!$A$2:$FZ$601,249,Sync!$D$6)&amp;"",""))</f>
        <v/>
      </c>
      <c r="F4900" s="17">
        <f>IF(B4900="","","outreach_sent")</f>
        <v/>
      </c>
      <c r="G4900" s="17">
        <f>IF(B4900="","","")</f>
        <v/>
      </c>
      <c r="H4900" s="17">
        <f>IF(B4900="","","")</f>
        <v/>
      </c>
      <c r="I4900" s="17">
        <f>IF(B4900="","","")</f>
        <v/>
      </c>
      <c r="J4900" s="17">
        <f>IF(B4900="","","touch_3; "&amp;IFERROR(INDEX(Clay_Brands!$A$2:$FZ$601,249,Sync!$D$10)&amp;"","")&amp;"; "&amp;IFERROR(INDEX(Clay_Brands!$A$2:$FZ$601,249,Sync!$D$9)&amp;"",""))</f>
        <v/>
      </c>
      <c r="K4900" t="inlineStr">
        <is>
          <t>brand outreach touch 3</t>
        </is>
      </c>
    </row>
    <row r="4901">
      <c r="A4901" s="17">
        <f>IF(B4901="","",B4901+(17*1000+250)/10000000)</f>
        <v/>
      </c>
      <c r="B4901" s="23">
        <f>IF(AND(IFERROR(N(INDEX(Clay_Brands!$A$2:$FZ$601,250,Sync!$D$13)),0)&gt;0,IFERROR(INDEX(Clay_Brands!$A$2:$FZ$601,250,Sync!$D$5)&amp;"","")&lt;&gt;"",OR(LEFT(IFERROR(INDEX(Clay_Brands!$A$2:$FZ$601,250,Sync!$D$5)&amp;"",""),6)&lt;&gt;"SAMPLE",Config!$B$19="Y")),IFERROR(N(INDEX(Clay_Brands!$A$2:$FZ$601,250,Sync!$D$13)),0),"")</f>
        <v/>
      </c>
      <c r="C4901" s="17">
        <f>IF(B4901="","","brand")</f>
        <v/>
      </c>
      <c r="D4901" s="17">
        <f>IF(B4901="","",IFERROR(INDEX(Clay_Brands!$A$2:$FZ$601,250,Sync!$D$5)&amp;"",""))</f>
        <v/>
      </c>
      <c r="E4901" s="17">
        <f>IF(B4901="","",IFERROR(INDEX(Clay_Brands!$A$2:$FZ$601,250,Sync!$D$6)&amp;"",""))</f>
        <v/>
      </c>
      <c r="F4901" s="17">
        <f>IF(B4901="","","outreach_sent")</f>
        <v/>
      </c>
      <c r="G4901" s="17">
        <f>IF(B4901="","","")</f>
        <v/>
      </c>
      <c r="H4901" s="17">
        <f>IF(B4901="","","")</f>
        <v/>
      </c>
      <c r="I4901" s="17">
        <f>IF(B4901="","","")</f>
        <v/>
      </c>
      <c r="J4901" s="17">
        <f>IF(B4901="","","touch_3; "&amp;IFERROR(INDEX(Clay_Brands!$A$2:$FZ$601,250,Sync!$D$10)&amp;"","")&amp;"; "&amp;IFERROR(INDEX(Clay_Brands!$A$2:$FZ$601,250,Sync!$D$9)&amp;"",""))</f>
        <v/>
      </c>
      <c r="K4901" t="inlineStr">
        <is>
          <t>brand outreach touch 3</t>
        </is>
      </c>
    </row>
    <row r="4902">
      <c r="A4902" s="17">
        <f>IF(B4902="","",B4902+(17*1000+251)/10000000)</f>
        <v/>
      </c>
      <c r="B4902" s="23">
        <f>IF(AND(IFERROR(N(INDEX(Clay_Brands!$A$2:$FZ$601,251,Sync!$D$13)),0)&gt;0,IFERROR(INDEX(Clay_Brands!$A$2:$FZ$601,251,Sync!$D$5)&amp;"","")&lt;&gt;"",OR(LEFT(IFERROR(INDEX(Clay_Brands!$A$2:$FZ$601,251,Sync!$D$5)&amp;"",""),6)&lt;&gt;"SAMPLE",Config!$B$19="Y")),IFERROR(N(INDEX(Clay_Brands!$A$2:$FZ$601,251,Sync!$D$13)),0),"")</f>
        <v/>
      </c>
      <c r="C4902" s="17">
        <f>IF(B4902="","","brand")</f>
        <v/>
      </c>
      <c r="D4902" s="17">
        <f>IF(B4902="","",IFERROR(INDEX(Clay_Brands!$A$2:$FZ$601,251,Sync!$D$5)&amp;"",""))</f>
        <v/>
      </c>
      <c r="E4902" s="17">
        <f>IF(B4902="","",IFERROR(INDEX(Clay_Brands!$A$2:$FZ$601,251,Sync!$D$6)&amp;"",""))</f>
        <v/>
      </c>
      <c r="F4902" s="17">
        <f>IF(B4902="","","outreach_sent")</f>
        <v/>
      </c>
      <c r="G4902" s="17">
        <f>IF(B4902="","","")</f>
        <v/>
      </c>
      <c r="H4902" s="17">
        <f>IF(B4902="","","")</f>
        <v/>
      </c>
      <c r="I4902" s="17">
        <f>IF(B4902="","","")</f>
        <v/>
      </c>
      <c r="J4902" s="17">
        <f>IF(B4902="","","touch_3; "&amp;IFERROR(INDEX(Clay_Brands!$A$2:$FZ$601,251,Sync!$D$10)&amp;"","")&amp;"; "&amp;IFERROR(INDEX(Clay_Brands!$A$2:$FZ$601,251,Sync!$D$9)&amp;"",""))</f>
        <v/>
      </c>
      <c r="K4902" t="inlineStr">
        <is>
          <t>brand outreach touch 3</t>
        </is>
      </c>
    </row>
    <row r="4903">
      <c r="A4903" s="17">
        <f>IF(B4903="","",B4903+(17*1000+252)/10000000)</f>
        <v/>
      </c>
      <c r="B4903" s="23">
        <f>IF(AND(IFERROR(N(INDEX(Clay_Brands!$A$2:$FZ$601,252,Sync!$D$13)),0)&gt;0,IFERROR(INDEX(Clay_Brands!$A$2:$FZ$601,252,Sync!$D$5)&amp;"","")&lt;&gt;"",OR(LEFT(IFERROR(INDEX(Clay_Brands!$A$2:$FZ$601,252,Sync!$D$5)&amp;"",""),6)&lt;&gt;"SAMPLE",Config!$B$19="Y")),IFERROR(N(INDEX(Clay_Brands!$A$2:$FZ$601,252,Sync!$D$13)),0),"")</f>
        <v/>
      </c>
      <c r="C4903" s="17">
        <f>IF(B4903="","","brand")</f>
        <v/>
      </c>
      <c r="D4903" s="17">
        <f>IF(B4903="","",IFERROR(INDEX(Clay_Brands!$A$2:$FZ$601,252,Sync!$D$5)&amp;"",""))</f>
        <v/>
      </c>
      <c r="E4903" s="17">
        <f>IF(B4903="","",IFERROR(INDEX(Clay_Brands!$A$2:$FZ$601,252,Sync!$D$6)&amp;"",""))</f>
        <v/>
      </c>
      <c r="F4903" s="17">
        <f>IF(B4903="","","outreach_sent")</f>
        <v/>
      </c>
      <c r="G4903" s="17">
        <f>IF(B4903="","","")</f>
        <v/>
      </c>
      <c r="H4903" s="17">
        <f>IF(B4903="","","")</f>
        <v/>
      </c>
      <c r="I4903" s="17">
        <f>IF(B4903="","","")</f>
        <v/>
      </c>
      <c r="J4903" s="17">
        <f>IF(B4903="","","touch_3; "&amp;IFERROR(INDEX(Clay_Brands!$A$2:$FZ$601,252,Sync!$D$10)&amp;"","")&amp;"; "&amp;IFERROR(INDEX(Clay_Brands!$A$2:$FZ$601,252,Sync!$D$9)&amp;"",""))</f>
        <v/>
      </c>
      <c r="K4903" t="inlineStr">
        <is>
          <t>brand outreach touch 3</t>
        </is>
      </c>
    </row>
    <row r="4904">
      <c r="A4904" s="17">
        <f>IF(B4904="","",B4904+(17*1000+253)/10000000)</f>
        <v/>
      </c>
      <c r="B4904" s="23">
        <f>IF(AND(IFERROR(N(INDEX(Clay_Brands!$A$2:$FZ$601,253,Sync!$D$13)),0)&gt;0,IFERROR(INDEX(Clay_Brands!$A$2:$FZ$601,253,Sync!$D$5)&amp;"","")&lt;&gt;"",OR(LEFT(IFERROR(INDEX(Clay_Brands!$A$2:$FZ$601,253,Sync!$D$5)&amp;"",""),6)&lt;&gt;"SAMPLE",Config!$B$19="Y")),IFERROR(N(INDEX(Clay_Brands!$A$2:$FZ$601,253,Sync!$D$13)),0),"")</f>
        <v/>
      </c>
      <c r="C4904" s="17">
        <f>IF(B4904="","","brand")</f>
        <v/>
      </c>
      <c r="D4904" s="17">
        <f>IF(B4904="","",IFERROR(INDEX(Clay_Brands!$A$2:$FZ$601,253,Sync!$D$5)&amp;"",""))</f>
        <v/>
      </c>
      <c r="E4904" s="17">
        <f>IF(B4904="","",IFERROR(INDEX(Clay_Brands!$A$2:$FZ$601,253,Sync!$D$6)&amp;"",""))</f>
        <v/>
      </c>
      <c r="F4904" s="17">
        <f>IF(B4904="","","outreach_sent")</f>
        <v/>
      </c>
      <c r="G4904" s="17">
        <f>IF(B4904="","","")</f>
        <v/>
      </c>
      <c r="H4904" s="17">
        <f>IF(B4904="","","")</f>
        <v/>
      </c>
      <c r="I4904" s="17">
        <f>IF(B4904="","","")</f>
        <v/>
      </c>
      <c r="J4904" s="17">
        <f>IF(B4904="","","touch_3; "&amp;IFERROR(INDEX(Clay_Brands!$A$2:$FZ$601,253,Sync!$D$10)&amp;"","")&amp;"; "&amp;IFERROR(INDEX(Clay_Brands!$A$2:$FZ$601,253,Sync!$D$9)&amp;"",""))</f>
        <v/>
      </c>
      <c r="K4904" t="inlineStr">
        <is>
          <t>brand outreach touch 3</t>
        </is>
      </c>
    </row>
    <row r="4905">
      <c r="A4905" s="17">
        <f>IF(B4905="","",B4905+(17*1000+254)/10000000)</f>
        <v/>
      </c>
      <c r="B4905" s="23">
        <f>IF(AND(IFERROR(N(INDEX(Clay_Brands!$A$2:$FZ$601,254,Sync!$D$13)),0)&gt;0,IFERROR(INDEX(Clay_Brands!$A$2:$FZ$601,254,Sync!$D$5)&amp;"","")&lt;&gt;"",OR(LEFT(IFERROR(INDEX(Clay_Brands!$A$2:$FZ$601,254,Sync!$D$5)&amp;"",""),6)&lt;&gt;"SAMPLE",Config!$B$19="Y")),IFERROR(N(INDEX(Clay_Brands!$A$2:$FZ$601,254,Sync!$D$13)),0),"")</f>
        <v/>
      </c>
      <c r="C4905" s="17">
        <f>IF(B4905="","","brand")</f>
        <v/>
      </c>
      <c r="D4905" s="17">
        <f>IF(B4905="","",IFERROR(INDEX(Clay_Brands!$A$2:$FZ$601,254,Sync!$D$5)&amp;"",""))</f>
        <v/>
      </c>
      <c r="E4905" s="17">
        <f>IF(B4905="","",IFERROR(INDEX(Clay_Brands!$A$2:$FZ$601,254,Sync!$D$6)&amp;"",""))</f>
        <v/>
      </c>
      <c r="F4905" s="17">
        <f>IF(B4905="","","outreach_sent")</f>
        <v/>
      </c>
      <c r="G4905" s="17">
        <f>IF(B4905="","","")</f>
        <v/>
      </c>
      <c r="H4905" s="17">
        <f>IF(B4905="","","")</f>
        <v/>
      </c>
      <c r="I4905" s="17">
        <f>IF(B4905="","","")</f>
        <v/>
      </c>
      <c r="J4905" s="17">
        <f>IF(B4905="","","touch_3; "&amp;IFERROR(INDEX(Clay_Brands!$A$2:$FZ$601,254,Sync!$D$10)&amp;"","")&amp;"; "&amp;IFERROR(INDEX(Clay_Brands!$A$2:$FZ$601,254,Sync!$D$9)&amp;"",""))</f>
        <v/>
      </c>
      <c r="K4905" t="inlineStr">
        <is>
          <t>brand outreach touch 3</t>
        </is>
      </c>
    </row>
    <row r="4906">
      <c r="A4906" s="17">
        <f>IF(B4906="","",B4906+(17*1000+255)/10000000)</f>
        <v/>
      </c>
      <c r="B4906" s="23">
        <f>IF(AND(IFERROR(N(INDEX(Clay_Brands!$A$2:$FZ$601,255,Sync!$D$13)),0)&gt;0,IFERROR(INDEX(Clay_Brands!$A$2:$FZ$601,255,Sync!$D$5)&amp;"","")&lt;&gt;"",OR(LEFT(IFERROR(INDEX(Clay_Brands!$A$2:$FZ$601,255,Sync!$D$5)&amp;"",""),6)&lt;&gt;"SAMPLE",Config!$B$19="Y")),IFERROR(N(INDEX(Clay_Brands!$A$2:$FZ$601,255,Sync!$D$13)),0),"")</f>
        <v/>
      </c>
      <c r="C4906" s="17">
        <f>IF(B4906="","","brand")</f>
        <v/>
      </c>
      <c r="D4906" s="17">
        <f>IF(B4906="","",IFERROR(INDEX(Clay_Brands!$A$2:$FZ$601,255,Sync!$D$5)&amp;"",""))</f>
        <v/>
      </c>
      <c r="E4906" s="17">
        <f>IF(B4906="","",IFERROR(INDEX(Clay_Brands!$A$2:$FZ$601,255,Sync!$D$6)&amp;"",""))</f>
        <v/>
      </c>
      <c r="F4906" s="17">
        <f>IF(B4906="","","outreach_sent")</f>
        <v/>
      </c>
      <c r="G4906" s="17">
        <f>IF(B4906="","","")</f>
        <v/>
      </c>
      <c r="H4906" s="17">
        <f>IF(B4906="","","")</f>
        <v/>
      </c>
      <c r="I4906" s="17">
        <f>IF(B4906="","","")</f>
        <v/>
      </c>
      <c r="J4906" s="17">
        <f>IF(B4906="","","touch_3; "&amp;IFERROR(INDEX(Clay_Brands!$A$2:$FZ$601,255,Sync!$D$10)&amp;"","")&amp;"; "&amp;IFERROR(INDEX(Clay_Brands!$A$2:$FZ$601,255,Sync!$D$9)&amp;"",""))</f>
        <v/>
      </c>
      <c r="K4906" t="inlineStr">
        <is>
          <t>brand outreach touch 3</t>
        </is>
      </c>
    </row>
    <row r="4907">
      <c r="A4907" s="17">
        <f>IF(B4907="","",B4907+(17*1000+256)/10000000)</f>
        <v/>
      </c>
      <c r="B4907" s="23">
        <f>IF(AND(IFERROR(N(INDEX(Clay_Brands!$A$2:$FZ$601,256,Sync!$D$13)),0)&gt;0,IFERROR(INDEX(Clay_Brands!$A$2:$FZ$601,256,Sync!$D$5)&amp;"","")&lt;&gt;"",OR(LEFT(IFERROR(INDEX(Clay_Brands!$A$2:$FZ$601,256,Sync!$D$5)&amp;"",""),6)&lt;&gt;"SAMPLE",Config!$B$19="Y")),IFERROR(N(INDEX(Clay_Brands!$A$2:$FZ$601,256,Sync!$D$13)),0),"")</f>
        <v/>
      </c>
      <c r="C4907" s="17">
        <f>IF(B4907="","","brand")</f>
        <v/>
      </c>
      <c r="D4907" s="17">
        <f>IF(B4907="","",IFERROR(INDEX(Clay_Brands!$A$2:$FZ$601,256,Sync!$D$5)&amp;"",""))</f>
        <v/>
      </c>
      <c r="E4907" s="17">
        <f>IF(B4907="","",IFERROR(INDEX(Clay_Brands!$A$2:$FZ$601,256,Sync!$D$6)&amp;"",""))</f>
        <v/>
      </c>
      <c r="F4907" s="17">
        <f>IF(B4907="","","outreach_sent")</f>
        <v/>
      </c>
      <c r="G4907" s="17">
        <f>IF(B4907="","","")</f>
        <v/>
      </c>
      <c r="H4907" s="17">
        <f>IF(B4907="","","")</f>
        <v/>
      </c>
      <c r="I4907" s="17">
        <f>IF(B4907="","","")</f>
        <v/>
      </c>
      <c r="J4907" s="17">
        <f>IF(B4907="","","touch_3; "&amp;IFERROR(INDEX(Clay_Brands!$A$2:$FZ$601,256,Sync!$D$10)&amp;"","")&amp;"; "&amp;IFERROR(INDEX(Clay_Brands!$A$2:$FZ$601,256,Sync!$D$9)&amp;"",""))</f>
        <v/>
      </c>
      <c r="K4907" t="inlineStr">
        <is>
          <t>brand outreach touch 3</t>
        </is>
      </c>
    </row>
    <row r="4908">
      <c r="A4908" s="17">
        <f>IF(B4908="","",B4908+(17*1000+257)/10000000)</f>
        <v/>
      </c>
      <c r="B4908" s="23">
        <f>IF(AND(IFERROR(N(INDEX(Clay_Brands!$A$2:$FZ$601,257,Sync!$D$13)),0)&gt;0,IFERROR(INDEX(Clay_Brands!$A$2:$FZ$601,257,Sync!$D$5)&amp;"","")&lt;&gt;"",OR(LEFT(IFERROR(INDEX(Clay_Brands!$A$2:$FZ$601,257,Sync!$D$5)&amp;"",""),6)&lt;&gt;"SAMPLE",Config!$B$19="Y")),IFERROR(N(INDEX(Clay_Brands!$A$2:$FZ$601,257,Sync!$D$13)),0),"")</f>
        <v/>
      </c>
      <c r="C4908" s="17">
        <f>IF(B4908="","","brand")</f>
        <v/>
      </c>
      <c r="D4908" s="17">
        <f>IF(B4908="","",IFERROR(INDEX(Clay_Brands!$A$2:$FZ$601,257,Sync!$D$5)&amp;"",""))</f>
        <v/>
      </c>
      <c r="E4908" s="17">
        <f>IF(B4908="","",IFERROR(INDEX(Clay_Brands!$A$2:$FZ$601,257,Sync!$D$6)&amp;"",""))</f>
        <v/>
      </c>
      <c r="F4908" s="17">
        <f>IF(B4908="","","outreach_sent")</f>
        <v/>
      </c>
      <c r="G4908" s="17">
        <f>IF(B4908="","","")</f>
        <v/>
      </c>
      <c r="H4908" s="17">
        <f>IF(B4908="","","")</f>
        <v/>
      </c>
      <c r="I4908" s="17">
        <f>IF(B4908="","","")</f>
        <v/>
      </c>
      <c r="J4908" s="17">
        <f>IF(B4908="","","touch_3; "&amp;IFERROR(INDEX(Clay_Brands!$A$2:$FZ$601,257,Sync!$D$10)&amp;"","")&amp;"; "&amp;IFERROR(INDEX(Clay_Brands!$A$2:$FZ$601,257,Sync!$D$9)&amp;"",""))</f>
        <v/>
      </c>
      <c r="K4908" t="inlineStr">
        <is>
          <t>brand outreach touch 3</t>
        </is>
      </c>
    </row>
    <row r="4909">
      <c r="A4909" s="17">
        <f>IF(B4909="","",B4909+(17*1000+258)/10000000)</f>
        <v/>
      </c>
      <c r="B4909" s="23">
        <f>IF(AND(IFERROR(N(INDEX(Clay_Brands!$A$2:$FZ$601,258,Sync!$D$13)),0)&gt;0,IFERROR(INDEX(Clay_Brands!$A$2:$FZ$601,258,Sync!$D$5)&amp;"","")&lt;&gt;"",OR(LEFT(IFERROR(INDEX(Clay_Brands!$A$2:$FZ$601,258,Sync!$D$5)&amp;"",""),6)&lt;&gt;"SAMPLE",Config!$B$19="Y")),IFERROR(N(INDEX(Clay_Brands!$A$2:$FZ$601,258,Sync!$D$13)),0),"")</f>
        <v/>
      </c>
      <c r="C4909" s="17">
        <f>IF(B4909="","","brand")</f>
        <v/>
      </c>
      <c r="D4909" s="17">
        <f>IF(B4909="","",IFERROR(INDEX(Clay_Brands!$A$2:$FZ$601,258,Sync!$D$5)&amp;"",""))</f>
        <v/>
      </c>
      <c r="E4909" s="17">
        <f>IF(B4909="","",IFERROR(INDEX(Clay_Brands!$A$2:$FZ$601,258,Sync!$D$6)&amp;"",""))</f>
        <v/>
      </c>
      <c r="F4909" s="17">
        <f>IF(B4909="","","outreach_sent")</f>
        <v/>
      </c>
      <c r="G4909" s="17">
        <f>IF(B4909="","","")</f>
        <v/>
      </c>
      <c r="H4909" s="17">
        <f>IF(B4909="","","")</f>
        <v/>
      </c>
      <c r="I4909" s="17">
        <f>IF(B4909="","","")</f>
        <v/>
      </c>
      <c r="J4909" s="17">
        <f>IF(B4909="","","touch_3; "&amp;IFERROR(INDEX(Clay_Brands!$A$2:$FZ$601,258,Sync!$D$10)&amp;"","")&amp;"; "&amp;IFERROR(INDEX(Clay_Brands!$A$2:$FZ$601,258,Sync!$D$9)&amp;"",""))</f>
        <v/>
      </c>
      <c r="K4909" t="inlineStr">
        <is>
          <t>brand outreach touch 3</t>
        </is>
      </c>
    </row>
    <row r="4910">
      <c r="A4910" s="17">
        <f>IF(B4910="","",B4910+(17*1000+259)/10000000)</f>
        <v/>
      </c>
      <c r="B4910" s="23">
        <f>IF(AND(IFERROR(N(INDEX(Clay_Brands!$A$2:$FZ$601,259,Sync!$D$13)),0)&gt;0,IFERROR(INDEX(Clay_Brands!$A$2:$FZ$601,259,Sync!$D$5)&amp;"","")&lt;&gt;"",OR(LEFT(IFERROR(INDEX(Clay_Brands!$A$2:$FZ$601,259,Sync!$D$5)&amp;"",""),6)&lt;&gt;"SAMPLE",Config!$B$19="Y")),IFERROR(N(INDEX(Clay_Brands!$A$2:$FZ$601,259,Sync!$D$13)),0),"")</f>
        <v/>
      </c>
      <c r="C4910" s="17">
        <f>IF(B4910="","","brand")</f>
        <v/>
      </c>
      <c r="D4910" s="17">
        <f>IF(B4910="","",IFERROR(INDEX(Clay_Brands!$A$2:$FZ$601,259,Sync!$D$5)&amp;"",""))</f>
        <v/>
      </c>
      <c r="E4910" s="17">
        <f>IF(B4910="","",IFERROR(INDEX(Clay_Brands!$A$2:$FZ$601,259,Sync!$D$6)&amp;"",""))</f>
        <v/>
      </c>
      <c r="F4910" s="17">
        <f>IF(B4910="","","outreach_sent")</f>
        <v/>
      </c>
      <c r="G4910" s="17">
        <f>IF(B4910="","","")</f>
        <v/>
      </c>
      <c r="H4910" s="17">
        <f>IF(B4910="","","")</f>
        <v/>
      </c>
      <c r="I4910" s="17">
        <f>IF(B4910="","","")</f>
        <v/>
      </c>
      <c r="J4910" s="17">
        <f>IF(B4910="","","touch_3; "&amp;IFERROR(INDEX(Clay_Brands!$A$2:$FZ$601,259,Sync!$D$10)&amp;"","")&amp;"; "&amp;IFERROR(INDEX(Clay_Brands!$A$2:$FZ$601,259,Sync!$D$9)&amp;"",""))</f>
        <v/>
      </c>
      <c r="K4910" t="inlineStr">
        <is>
          <t>brand outreach touch 3</t>
        </is>
      </c>
    </row>
    <row r="4911">
      <c r="A4911" s="17">
        <f>IF(B4911="","",B4911+(17*1000+260)/10000000)</f>
        <v/>
      </c>
      <c r="B4911" s="23">
        <f>IF(AND(IFERROR(N(INDEX(Clay_Brands!$A$2:$FZ$601,260,Sync!$D$13)),0)&gt;0,IFERROR(INDEX(Clay_Brands!$A$2:$FZ$601,260,Sync!$D$5)&amp;"","")&lt;&gt;"",OR(LEFT(IFERROR(INDEX(Clay_Brands!$A$2:$FZ$601,260,Sync!$D$5)&amp;"",""),6)&lt;&gt;"SAMPLE",Config!$B$19="Y")),IFERROR(N(INDEX(Clay_Brands!$A$2:$FZ$601,260,Sync!$D$13)),0),"")</f>
        <v/>
      </c>
      <c r="C4911" s="17">
        <f>IF(B4911="","","brand")</f>
        <v/>
      </c>
      <c r="D4911" s="17">
        <f>IF(B4911="","",IFERROR(INDEX(Clay_Brands!$A$2:$FZ$601,260,Sync!$D$5)&amp;"",""))</f>
        <v/>
      </c>
      <c r="E4911" s="17">
        <f>IF(B4911="","",IFERROR(INDEX(Clay_Brands!$A$2:$FZ$601,260,Sync!$D$6)&amp;"",""))</f>
        <v/>
      </c>
      <c r="F4911" s="17">
        <f>IF(B4911="","","outreach_sent")</f>
        <v/>
      </c>
      <c r="G4911" s="17">
        <f>IF(B4911="","","")</f>
        <v/>
      </c>
      <c r="H4911" s="17">
        <f>IF(B4911="","","")</f>
        <v/>
      </c>
      <c r="I4911" s="17">
        <f>IF(B4911="","","")</f>
        <v/>
      </c>
      <c r="J4911" s="17">
        <f>IF(B4911="","","touch_3; "&amp;IFERROR(INDEX(Clay_Brands!$A$2:$FZ$601,260,Sync!$D$10)&amp;"","")&amp;"; "&amp;IFERROR(INDEX(Clay_Brands!$A$2:$FZ$601,260,Sync!$D$9)&amp;"",""))</f>
        <v/>
      </c>
      <c r="K4911" t="inlineStr">
        <is>
          <t>brand outreach touch 3</t>
        </is>
      </c>
    </row>
    <row r="4912">
      <c r="A4912" s="17">
        <f>IF(B4912="","",B4912+(17*1000+261)/10000000)</f>
        <v/>
      </c>
      <c r="B4912" s="23">
        <f>IF(AND(IFERROR(N(INDEX(Clay_Brands!$A$2:$FZ$601,261,Sync!$D$13)),0)&gt;0,IFERROR(INDEX(Clay_Brands!$A$2:$FZ$601,261,Sync!$D$5)&amp;"","")&lt;&gt;"",OR(LEFT(IFERROR(INDEX(Clay_Brands!$A$2:$FZ$601,261,Sync!$D$5)&amp;"",""),6)&lt;&gt;"SAMPLE",Config!$B$19="Y")),IFERROR(N(INDEX(Clay_Brands!$A$2:$FZ$601,261,Sync!$D$13)),0),"")</f>
        <v/>
      </c>
      <c r="C4912" s="17">
        <f>IF(B4912="","","brand")</f>
        <v/>
      </c>
      <c r="D4912" s="17">
        <f>IF(B4912="","",IFERROR(INDEX(Clay_Brands!$A$2:$FZ$601,261,Sync!$D$5)&amp;"",""))</f>
        <v/>
      </c>
      <c r="E4912" s="17">
        <f>IF(B4912="","",IFERROR(INDEX(Clay_Brands!$A$2:$FZ$601,261,Sync!$D$6)&amp;"",""))</f>
        <v/>
      </c>
      <c r="F4912" s="17">
        <f>IF(B4912="","","outreach_sent")</f>
        <v/>
      </c>
      <c r="G4912" s="17">
        <f>IF(B4912="","","")</f>
        <v/>
      </c>
      <c r="H4912" s="17">
        <f>IF(B4912="","","")</f>
        <v/>
      </c>
      <c r="I4912" s="17">
        <f>IF(B4912="","","")</f>
        <v/>
      </c>
      <c r="J4912" s="17">
        <f>IF(B4912="","","touch_3; "&amp;IFERROR(INDEX(Clay_Brands!$A$2:$FZ$601,261,Sync!$D$10)&amp;"","")&amp;"; "&amp;IFERROR(INDEX(Clay_Brands!$A$2:$FZ$601,261,Sync!$D$9)&amp;"",""))</f>
        <v/>
      </c>
      <c r="K4912" t="inlineStr">
        <is>
          <t>brand outreach touch 3</t>
        </is>
      </c>
    </row>
    <row r="4913">
      <c r="A4913" s="17">
        <f>IF(B4913="","",B4913+(17*1000+262)/10000000)</f>
        <v/>
      </c>
      <c r="B4913" s="23">
        <f>IF(AND(IFERROR(N(INDEX(Clay_Brands!$A$2:$FZ$601,262,Sync!$D$13)),0)&gt;0,IFERROR(INDEX(Clay_Brands!$A$2:$FZ$601,262,Sync!$D$5)&amp;"","")&lt;&gt;"",OR(LEFT(IFERROR(INDEX(Clay_Brands!$A$2:$FZ$601,262,Sync!$D$5)&amp;"",""),6)&lt;&gt;"SAMPLE",Config!$B$19="Y")),IFERROR(N(INDEX(Clay_Brands!$A$2:$FZ$601,262,Sync!$D$13)),0),"")</f>
        <v/>
      </c>
      <c r="C4913" s="17">
        <f>IF(B4913="","","brand")</f>
        <v/>
      </c>
      <c r="D4913" s="17">
        <f>IF(B4913="","",IFERROR(INDEX(Clay_Brands!$A$2:$FZ$601,262,Sync!$D$5)&amp;"",""))</f>
        <v/>
      </c>
      <c r="E4913" s="17">
        <f>IF(B4913="","",IFERROR(INDEX(Clay_Brands!$A$2:$FZ$601,262,Sync!$D$6)&amp;"",""))</f>
        <v/>
      </c>
      <c r="F4913" s="17">
        <f>IF(B4913="","","outreach_sent")</f>
        <v/>
      </c>
      <c r="G4913" s="17">
        <f>IF(B4913="","","")</f>
        <v/>
      </c>
      <c r="H4913" s="17">
        <f>IF(B4913="","","")</f>
        <v/>
      </c>
      <c r="I4913" s="17">
        <f>IF(B4913="","","")</f>
        <v/>
      </c>
      <c r="J4913" s="17">
        <f>IF(B4913="","","touch_3; "&amp;IFERROR(INDEX(Clay_Brands!$A$2:$FZ$601,262,Sync!$D$10)&amp;"","")&amp;"; "&amp;IFERROR(INDEX(Clay_Brands!$A$2:$FZ$601,262,Sync!$D$9)&amp;"",""))</f>
        <v/>
      </c>
      <c r="K4913" t="inlineStr">
        <is>
          <t>brand outreach touch 3</t>
        </is>
      </c>
    </row>
    <row r="4914">
      <c r="A4914" s="17">
        <f>IF(B4914="","",B4914+(17*1000+263)/10000000)</f>
        <v/>
      </c>
      <c r="B4914" s="23">
        <f>IF(AND(IFERROR(N(INDEX(Clay_Brands!$A$2:$FZ$601,263,Sync!$D$13)),0)&gt;0,IFERROR(INDEX(Clay_Brands!$A$2:$FZ$601,263,Sync!$D$5)&amp;"","")&lt;&gt;"",OR(LEFT(IFERROR(INDEX(Clay_Brands!$A$2:$FZ$601,263,Sync!$D$5)&amp;"",""),6)&lt;&gt;"SAMPLE",Config!$B$19="Y")),IFERROR(N(INDEX(Clay_Brands!$A$2:$FZ$601,263,Sync!$D$13)),0),"")</f>
        <v/>
      </c>
      <c r="C4914" s="17">
        <f>IF(B4914="","","brand")</f>
        <v/>
      </c>
      <c r="D4914" s="17">
        <f>IF(B4914="","",IFERROR(INDEX(Clay_Brands!$A$2:$FZ$601,263,Sync!$D$5)&amp;"",""))</f>
        <v/>
      </c>
      <c r="E4914" s="17">
        <f>IF(B4914="","",IFERROR(INDEX(Clay_Brands!$A$2:$FZ$601,263,Sync!$D$6)&amp;"",""))</f>
        <v/>
      </c>
      <c r="F4914" s="17">
        <f>IF(B4914="","","outreach_sent")</f>
        <v/>
      </c>
      <c r="G4914" s="17">
        <f>IF(B4914="","","")</f>
        <v/>
      </c>
      <c r="H4914" s="17">
        <f>IF(B4914="","","")</f>
        <v/>
      </c>
      <c r="I4914" s="17">
        <f>IF(B4914="","","")</f>
        <v/>
      </c>
      <c r="J4914" s="17">
        <f>IF(B4914="","","touch_3; "&amp;IFERROR(INDEX(Clay_Brands!$A$2:$FZ$601,263,Sync!$D$10)&amp;"","")&amp;"; "&amp;IFERROR(INDEX(Clay_Brands!$A$2:$FZ$601,263,Sync!$D$9)&amp;"",""))</f>
        <v/>
      </c>
      <c r="K4914" t="inlineStr">
        <is>
          <t>brand outreach touch 3</t>
        </is>
      </c>
    </row>
    <row r="4915">
      <c r="A4915" s="17">
        <f>IF(B4915="","",B4915+(17*1000+264)/10000000)</f>
        <v/>
      </c>
      <c r="B4915" s="23">
        <f>IF(AND(IFERROR(N(INDEX(Clay_Brands!$A$2:$FZ$601,264,Sync!$D$13)),0)&gt;0,IFERROR(INDEX(Clay_Brands!$A$2:$FZ$601,264,Sync!$D$5)&amp;"","")&lt;&gt;"",OR(LEFT(IFERROR(INDEX(Clay_Brands!$A$2:$FZ$601,264,Sync!$D$5)&amp;"",""),6)&lt;&gt;"SAMPLE",Config!$B$19="Y")),IFERROR(N(INDEX(Clay_Brands!$A$2:$FZ$601,264,Sync!$D$13)),0),"")</f>
        <v/>
      </c>
      <c r="C4915" s="17">
        <f>IF(B4915="","","brand")</f>
        <v/>
      </c>
      <c r="D4915" s="17">
        <f>IF(B4915="","",IFERROR(INDEX(Clay_Brands!$A$2:$FZ$601,264,Sync!$D$5)&amp;"",""))</f>
        <v/>
      </c>
      <c r="E4915" s="17">
        <f>IF(B4915="","",IFERROR(INDEX(Clay_Brands!$A$2:$FZ$601,264,Sync!$D$6)&amp;"",""))</f>
        <v/>
      </c>
      <c r="F4915" s="17">
        <f>IF(B4915="","","outreach_sent")</f>
        <v/>
      </c>
      <c r="G4915" s="17">
        <f>IF(B4915="","","")</f>
        <v/>
      </c>
      <c r="H4915" s="17">
        <f>IF(B4915="","","")</f>
        <v/>
      </c>
      <c r="I4915" s="17">
        <f>IF(B4915="","","")</f>
        <v/>
      </c>
      <c r="J4915" s="17">
        <f>IF(B4915="","","touch_3; "&amp;IFERROR(INDEX(Clay_Brands!$A$2:$FZ$601,264,Sync!$D$10)&amp;"","")&amp;"; "&amp;IFERROR(INDEX(Clay_Brands!$A$2:$FZ$601,264,Sync!$D$9)&amp;"",""))</f>
        <v/>
      </c>
      <c r="K4915" t="inlineStr">
        <is>
          <t>brand outreach touch 3</t>
        </is>
      </c>
    </row>
    <row r="4916">
      <c r="A4916" s="17">
        <f>IF(B4916="","",B4916+(17*1000+265)/10000000)</f>
        <v/>
      </c>
      <c r="B4916" s="23">
        <f>IF(AND(IFERROR(N(INDEX(Clay_Brands!$A$2:$FZ$601,265,Sync!$D$13)),0)&gt;0,IFERROR(INDEX(Clay_Brands!$A$2:$FZ$601,265,Sync!$D$5)&amp;"","")&lt;&gt;"",OR(LEFT(IFERROR(INDEX(Clay_Brands!$A$2:$FZ$601,265,Sync!$D$5)&amp;"",""),6)&lt;&gt;"SAMPLE",Config!$B$19="Y")),IFERROR(N(INDEX(Clay_Brands!$A$2:$FZ$601,265,Sync!$D$13)),0),"")</f>
        <v/>
      </c>
      <c r="C4916" s="17">
        <f>IF(B4916="","","brand")</f>
        <v/>
      </c>
      <c r="D4916" s="17">
        <f>IF(B4916="","",IFERROR(INDEX(Clay_Brands!$A$2:$FZ$601,265,Sync!$D$5)&amp;"",""))</f>
        <v/>
      </c>
      <c r="E4916" s="17">
        <f>IF(B4916="","",IFERROR(INDEX(Clay_Brands!$A$2:$FZ$601,265,Sync!$D$6)&amp;"",""))</f>
        <v/>
      </c>
      <c r="F4916" s="17">
        <f>IF(B4916="","","outreach_sent")</f>
        <v/>
      </c>
      <c r="G4916" s="17">
        <f>IF(B4916="","","")</f>
        <v/>
      </c>
      <c r="H4916" s="17">
        <f>IF(B4916="","","")</f>
        <v/>
      </c>
      <c r="I4916" s="17">
        <f>IF(B4916="","","")</f>
        <v/>
      </c>
      <c r="J4916" s="17">
        <f>IF(B4916="","","touch_3; "&amp;IFERROR(INDEX(Clay_Brands!$A$2:$FZ$601,265,Sync!$D$10)&amp;"","")&amp;"; "&amp;IFERROR(INDEX(Clay_Brands!$A$2:$FZ$601,265,Sync!$D$9)&amp;"",""))</f>
        <v/>
      </c>
      <c r="K4916" t="inlineStr">
        <is>
          <t>brand outreach touch 3</t>
        </is>
      </c>
    </row>
    <row r="4917">
      <c r="A4917" s="17">
        <f>IF(B4917="","",B4917+(17*1000+266)/10000000)</f>
        <v/>
      </c>
      <c r="B4917" s="23">
        <f>IF(AND(IFERROR(N(INDEX(Clay_Brands!$A$2:$FZ$601,266,Sync!$D$13)),0)&gt;0,IFERROR(INDEX(Clay_Brands!$A$2:$FZ$601,266,Sync!$D$5)&amp;"","")&lt;&gt;"",OR(LEFT(IFERROR(INDEX(Clay_Brands!$A$2:$FZ$601,266,Sync!$D$5)&amp;"",""),6)&lt;&gt;"SAMPLE",Config!$B$19="Y")),IFERROR(N(INDEX(Clay_Brands!$A$2:$FZ$601,266,Sync!$D$13)),0),"")</f>
        <v/>
      </c>
      <c r="C4917" s="17">
        <f>IF(B4917="","","brand")</f>
        <v/>
      </c>
      <c r="D4917" s="17">
        <f>IF(B4917="","",IFERROR(INDEX(Clay_Brands!$A$2:$FZ$601,266,Sync!$D$5)&amp;"",""))</f>
        <v/>
      </c>
      <c r="E4917" s="17">
        <f>IF(B4917="","",IFERROR(INDEX(Clay_Brands!$A$2:$FZ$601,266,Sync!$D$6)&amp;"",""))</f>
        <v/>
      </c>
      <c r="F4917" s="17">
        <f>IF(B4917="","","outreach_sent")</f>
        <v/>
      </c>
      <c r="G4917" s="17">
        <f>IF(B4917="","","")</f>
        <v/>
      </c>
      <c r="H4917" s="17">
        <f>IF(B4917="","","")</f>
        <v/>
      </c>
      <c r="I4917" s="17">
        <f>IF(B4917="","","")</f>
        <v/>
      </c>
      <c r="J4917" s="17">
        <f>IF(B4917="","","touch_3; "&amp;IFERROR(INDEX(Clay_Brands!$A$2:$FZ$601,266,Sync!$D$10)&amp;"","")&amp;"; "&amp;IFERROR(INDEX(Clay_Brands!$A$2:$FZ$601,266,Sync!$D$9)&amp;"",""))</f>
        <v/>
      </c>
      <c r="K4917" t="inlineStr">
        <is>
          <t>brand outreach touch 3</t>
        </is>
      </c>
    </row>
    <row r="4918">
      <c r="A4918" s="17">
        <f>IF(B4918="","",B4918+(17*1000+267)/10000000)</f>
        <v/>
      </c>
      <c r="B4918" s="23">
        <f>IF(AND(IFERROR(N(INDEX(Clay_Brands!$A$2:$FZ$601,267,Sync!$D$13)),0)&gt;0,IFERROR(INDEX(Clay_Brands!$A$2:$FZ$601,267,Sync!$D$5)&amp;"","")&lt;&gt;"",OR(LEFT(IFERROR(INDEX(Clay_Brands!$A$2:$FZ$601,267,Sync!$D$5)&amp;"",""),6)&lt;&gt;"SAMPLE",Config!$B$19="Y")),IFERROR(N(INDEX(Clay_Brands!$A$2:$FZ$601,267,Sync!$D$13)),0),"")</f>
        <v/>
      </c>
      <c r="C4918" s="17">
        <f>IF(B4918="","","brand")</f>
        <v/>
      </c>
      <c r="D4918" s="17">
        <f>IF(B4918="","",IFERROR(INDEX(Clay_Brands!$A$2:$FZ$601,267,Sync!$D$5)&amp;"",""))</f>
        <v/>
      </c>
      <c r="E4918" s="17">
        <f>IF(B4918="","",IFERROR(INDEX(Clay_Brands!$A$2:$FZ$601,267,Sync!$D$6)&amp;"",""))</f>
        <v/>
      </c>
      <c r="F4918" s="17">
        <f>IF(B4918="","","outreach_sent")</f>
        <v/>
      </c>
      <c r="G4918" s="17">
        <f>IF(B4918="","","")</f>
        <v/>
      </c>
      <c r="H4918" s="17">
        <f>IF(B4918="","","")</f>
        <v/>
      </c>
      <c r="I4918" s="17">
        <f>IF(B4918="","","")</f>
        <v/>
      </c>
      <c r="J4918" s="17">
        <f>IF(B4918="","","touch_3; "&amp;IFERROR(INDEX(Clay_Brands!$A$2:$FZ$601,267,Sync!$D$10)&amp;"","")&amp;"; "&amp;IFERROR(INDEX(Clay_Brands!$A$2:$FZ$601,267,Sync!$D$9)&amp;"",""))</f>
        <v/>
      </c>
      <c r="K4918" t="inlineStr">
        <is>
          <t>brand outreach touch 3</t>
        </is>
      </c>
    </row>
    <row r="4919">
      <c r="A4919" s="17">
        <f>IF(B4919="","",B4919+(17*1000+268)/10000000)</f>
        <v/>
      </c>
      <c r="B4919" s="23">
        <f>IF(AND(IFERROR(N(INDEX(Clay_Brands!$A$2:$FZ$601,268,Sync!$D$13)),0)&gt;0,IFERROR(INDEX(Clay_Brands!$A$2:$FZ$601,268,Sync!$D$5)&amp;"","")&lt;&gt;"",OR(LEFT(IFERROR(INDEX(Clay_Brands!$A$2:$FZ$601,268,Sync!$D$5)&amp;"",""),6)&lt;&gt;"SAMPLE",Config!$B$19="Y")),IFERROR(N(INDEX(Clay_Brands!$A$2:$FZ$601,268,Sync!$D$13)),0),"")</f>
        <v/>
      </c>
      <c r="C4919" s="17">
        <f>IF(B4919="","","brand")</f>
        <v/>
      </c>
      <c r="D4919" s="17">
        <f>IF(B4919="","",IFERROR(INDEX(Clay_Brands!$A$2:$FZ$601,268,Sync!$D$5)&amp;"",""))</f>
        <v/>
      </c>
      <c r="E4919" s="17">
        <f>IF(B4919="","",IFERROR(INDEX(Clay_Brands!$A$2:$FZ$601,268,Sync!$D$6)&amp;"",""))</f>
        <v/>
      </c>
      <c r="F4919" s="17">
        <f>IF(B4919="","","outreach_sent")</f>
        <v/>
      </c>
      <c r="G4919" s="17">
        <f>IF(B4919="","","")</f>
        <v/>
      </c>
      <c r="H4919" s="17">
        <f>IF(B4919="","","")</f>
        <v/>
      </c>
      <c r="I4919" s="17">
        <f>IF(B4919="","","")</f>
        <v/>
      </c>
      <c r="J4919" s="17">
        <f>IF(B4919="","","touch_3; "&amp;IFERROR(INDEX(Clay_Brands!$A$2:$FZ$601,268,Sync!$D$10)&amp;"","")&amp;"; "&amp;IFERROR(INDEX(Clay_Brands!$A$2:$FZ$601,268,Sync!$D$9)&amp;"",""))</f>
        <v/>
      </c>
      <c r="K4919" t="inlineStr">
        <is>
          <t>brand outreach touch 3</t>
        </is>
      </c>
    </row>
    <row r="4920">
      <c r="A4920" s="17">
        <f>IF(B4920="","",B4920+(17*1000+269)/10000000)</f>
        <v/>
      </c>
      <c r="B4920" s="23">
        <f>IF(AND(IFERROR(N(INDEX(Clay_Brands!$A$2:$FZ$601,269,Sync!$D$13)),0)&gt;0,IFERROR(INDEX(Clay_Brands!$A$2:$FZ$601,269,Sync!$D$5)&amp;"","")&lt;&gt;"",OR(LEFT(IFERROR(INDEX(Clay_Brands!$A$2:$FZ$601,269,Sync!$D$5)&amp;"",""),6)&lt;&gt;"SAMPLE",Config!$B$19="Y")),IFERROR(N(INDEX(Clay_Brands!$A$2:$FZ$601,269,Sync!$D$13)),0),"")</f>
        <v/>
      </c>
      <c r="C4920" s="17">
        <f>IF(B4920="","","brand")</f>
        <v/>
      </c>
      <c r="D4920" s="17">
        <f>IF(B4920="","",IFERROR(INDEX(Clay_Brands!$A$2:$FZ$601,269,Sync!$D$5)&amp;"",""))</f>
        <v/>
      </c>
      <c r="E4920" s="17">
        <f>IF(B4920="","",IFERROR(INDEX(Clay_Brands!$A$2:$FZ$601,269,Sync!$D$6)&amp;"",""))</f>
        <v/>
      </c>
      <c r="F4920" s="17">
        <f>IF(B4920="","","outreach_sent")</f>
        <v/>
      </c>
      <c r="G4920" s="17">
        <f>IF(B4920="","","")</f>
        <v/>
      </c>
      <c r="H4920" s="17">
        <f>IF(B4920="","","")</f>
        <v/>
      </c>
      <c r="I4920" s="17">
        <f>IF(B4920="","","")</f>
        <v/>
      </c>
      <c r="J4920" s="17">
        <f>IF(B4920="","","touch_3; "&amp;IFERROR(INDEX(Clay_Brands!$A$2:$FZ$601,269,Sync!$D$10)&amp;"","")&amp;"; "&amp;IFERROR(INDEX(Clay_Brands!$A$2:$FZ$601,269,Sync!$D$9)&amp;"",""))</f>
        <v/>
      </c>
      <c r="K4920" t="inlineStr">
        <is>
          <t>brand outreach touch 3</t>
        </is>
      </c>
    </row>
    <row r="4921">
      <c r="A4921" s="17">
        <f>IF(B4921="","",B4921+(17*1000+270)/10000000)</f>
        <v/>
      </c>
      <c r="B4921" s="23">
        <f>IF(AND(IFERROR(N(INDEX(Clay_Brands!$A$2:$FZ$601,270,Sync!$D$13)),0)&gt;0,IFERROR(INDEX(Clay_Brands!$A$2:$FZ$601,270,Sync!$D$5)&amp;"","")&lt;&gt;"",OR(LEFT(IFERROR(INDEX(Clay_Brands!$A$2:$FZ$601,270,Sync!$D$5)&amp;"",""),6)&lt;&gt;"SAMPLE",Config!$B$19="Y")),IFERROR(N(INDEX(Clay_Brands!$A$2:$FZ$601,270,Sync!$D$13)),0),"")</f>
        <v/>
      </c>
      <c r="C4921" s="17">
        <f>IF(B4921="","","brand")</f>
        <v/>
      </c>
      <c r="D4921" s="17">
        <f>IF(B4921="","",IFERROR(INDEX(Clay_Brands!$A$2:$FZ$601,270,Sync!$D$5)&amp;"",""))</f>
        <v/>
      </c>
      <c r="E4921" s="17">
        <f>IF(B4921="","",IFERROR(INDEX(Clay_Brands!$A$2:$FZ$601,270,Sync!$D$6)&amp;"",""))</f>
        <v/>
      </c>
      <c r="F4921" s="17">
        <f>IF(B4921="","","outreach_sent")</f>
        <v/>
      </c>
      <c r="G4921" s="17">
        <f>IF(B4921="","","")</f>
        <v/>
      </c>
      <c r="H4921" s="17">
        <f>IF(B4921="","","")</f>
        <v/>
      </c>
      <c r="I4921" s="17">
        <f>IF(B4921="","","")</f>
        <v/>
      </c>
      <c r="J4921" s="17">
        <f>IF(B4921="","","touch_3; "&amp;IFERROR(INDEX(Clay_Brands!$A$2:$FZ$601,270,Sync!$D$10)&amp;"","")&amp;"; "&amp;IFERROR(INDEX(Clay_Brands!$A$2:$FZ$601,270,Sync!$D$9)&amp;"",""))</f>
        <v/>
      </c>
      <c r="K4921" t="inlineStr">
        <is>
          <t>brand outreach touch 3</t>
        </is>
      </c>
    </row>
    <row r="4922">
      <c r="A4922" s="17">
        <f>IF(B4922="","",B4922+(17*1000+271)/10000000)</f>
        <v/>
      </c>
      <c r="B4922" s="23">
        <f>IF(AND(IFERROR(N(INDEX(Clay_Brands!$A$2:$FZ$601,271,Sync!$D$13)),0)&gt;0,IFERROR(INDEX(Clay_Brands!$A$2:$FZ$601,271,Sync!$D$5)&amp;"","")&lt;&gt;"",OR(LEFT(IFERROR(INDEX(Clay_Brands!$A$2:$FZ$601,271,Sync!$D$5)&amp;"",""),6)&lt;&gt;"SAMPLE",Config!$B$19="Y")),IFERROR(N(INDEX(Clay_Brands!$A$2:$FZ$601,271,Sync!$D$13)),0),"")</f>
        <v/>
      </c>
      <c r="C4922" s="17">
        <f>IF(B4922="","","brand")</f>
        <v/>
      </c>
      <c r="D4922" s="17">
        <f>IF(B4922="","",IFERROR(INDEX(Clay_Brands!$A$2:$FZ$601,271,Sync!$D$5)&amp;"",""))</f>
        <v/>
      </c>
      <c r="E4922" s="17">
        <f>IF(B4922="","",IFERROR(INDEX(Clay_Brands!$A$2:$FZ$601,271,Sync!$D$6)&amp;"",""))</f>
        <v/>
      </c>
      <c r="F4922" s="17">
        <f>IF(B4922="","","outreach_sent")</f>
        <v/>
      </c>
      <c r="G4922" s="17">
        <f>IF(B4922="","","")</f>
        <v/>
      </c>
      <c r="H4922" s="17">
        <f>IF(B4922="","","")</f>
        <v/>
      </c>
      <c r="I4922" s="17">
        <f>IF(B4922="","","")</f>
        <v/>
      </c>
      <c r="J4922" s="17">
        <f>IF(B4922="","","touch_3; "&amp;IFERROR(INDEX(Clay_Brands!$A$2:$FZ$601,271,Sync!$D$10)&amp;"","")&amp;"; "&amp;IFERROR(INDEX(Clay_Brands!$A$2:$FZ$601,271,Sync!$D$9)&amp;"",""))</f>
        <v/>
      </c>
      <c r="K4922" t="inlineStr">
        <is>
          <t>brand outreach touch 3</t>
        </is>
      </c>
    </row>
    <row r="4923">
      <c r="A4923" s="17">
        <f>IF(B4923="","",B4923+(17*1000+272)/10000000)</f>
        <v/>
      </c>
      <c r="B4923" s="23">
        <f>IF(AND(IFERROR(N(INDEX(Clay_Brands!$A$2:$FZ$601,272,Sync!$D$13)),0)&gt;0,IFERROR(INDEX(Clay_Brands!$A$2:$FZ$601,272,Sync!$D$5)&amp;"","")&lt;&gt;"",OR(LEFT(IFERROR(INDEX(Clay_Brands!$A$2:$FZ$601,272,Sync!$D$5)&amp;"",""),6)&lt;&gt;"SAMPLE",Config!$B$19="Y")),IFERROR(N(INDEX(Clay_Brands!$A$2:$FZ$601,272,Sync!$D$13)),0),"")</f>
        <v/>
      </c>
      <c r="C4923" s="17">
        <f>IF(B4923="","","brand")</f>
        <v/>
      </c>
      <c r="D4923" s="17">
        <f>IF(B4923="","",IFERROR(INDEX(Clay_Brands!$A$2:$FZ$601,272,Sync!$D$5)&amp;"",""))</f>
        <v/>
      </c>
      <c r="E4923" s="17">
        <f>IF(B4923="","",IFERROR(INDEX(Clay_Brands!$A$2:$FZ$601,272,Sync!$D$6)&amp;"",""))</f>
        <v/>
      </c>
      <c r="F4923" s="17">
        <f>IF(B4923="","","outreach_sent")</f>
        <v/>
      </c>
      <c r="G4923" s="17">
        <f>IF(B4923="","","")</f>
        <v/>
      </c>
      <c r="H4923" s="17">
        <f>IF(B4923="","","")</f>
        <v/>
      </c>
      <c r="I4923" s="17">
        <f>IF(B4923="","","")</f>
        <v/>
      </c>
      <c r="J4923" s="17">
        <f>IF(B4923="","","touch_3; "&amp;IFERROR(INDEX(Clay_Brands!$A$2:$FZ$601,272,Sync!$D$10)&amp;"","")&amp;"; "&amp;IFERROR(INDEX(Clay_Brands!$A$2:$FZ$601,272,Sync!$D$9)&amp;"",""))</f>
        <v/>
      </c>
      <c r="K4923" t="inlineStr">
        <is>
          <t>brand outreach touch 3</t>
        </is>
      </c>
    </row>
    <row r="4924">
      <c r="A4924" s="17">
        <f>IF(B4924="","",B4924+(17*1000+273)/10000000)</f>
        <v/>
      </c>
      <c r="B4924" s="23">
        <f>IF(AND(IFERROR(N(INDEX(Clay_Brands!$A$2:$FZ$601,273,Sync!$D$13)),0)&gt;0,IFERROR(INDEX(Clay_Brands!$A$2:$FZ$601,273,Sync!$D$5)&amp;"","")&lt;&gt;"",OR(LEFT(IFERROR(INDEX(Clay_Brands!$A$2:$FZ$601,273,Sync!$D$5)&amp;"",""),6)&lt;&gt;"SAMPLE",Config!$B$19="Y")),IFERROR(N(INDEX(Clay_Brands!$A$2:$FZ$601,273,Sync!$D$13)),0),"")</f>
        <v/>
      </c>
      <c r="C4924" s="17">
        <f>IF(B4924="","","brand")</f>
        <v/>
      </c>
      <c r="D4924" s="17">
        <f>IF(B4924="","",IFERROR(INDEX(Clay_Brands!$A$2:$FZ$601,273,Sync!$D$5)&amp;"",""))</f>
        <v/>
      </c>
      <c r="E4924" s="17">
        <f>IF(B4924="","",IFERROR(INDEX(Clay_Brands!$A$2:$FZ$601,273,Sync!$D$6)&amp;"",""))</f>
        <v/>
      </c>
      <c r="F4924" s="17">
        <f>IF(B4924="","","outreach_sent")</f>
        <v/>
      </c>
      <c r="G4924" s="17">
        <f>IF(B4924="","","")</f>
        <v/>
      </c>
      <c r="H4924" s="17">
        <f>IF(B4924="","","")</f>
        <v/>
      </c>
      <c r="I4924" s="17">
        <f>IF(B4924="","","")</f>
        <v/>
      </c>
      <c r="J4924" s="17">
        <f>IF(B4924="","","touch_3; "&amp;IFERROR(INDEX(Clay_Brands!$A$2:$FZ$601,273,Sync!$D$10)&amp;"","")&amp;"; "&amp;IFERROR(INDEX(Clay_Brands!$A$2:$FZ$601,273,Sync!$D$9)&amp;"",""))</f>
        <v/>
      </c>
      <c r="K4924" t="inlineStr">
        <is>
          <t>brand outreach touch 3</t>
        </is>
      </c>
    </row>
    <row r="4925">
      <c r="A4925" s="17">
        <f>IF(B4925="","",B4925+(17*1000+274)/10000000)</f>
        <v/>
      </c>
      <c r="B4925" s="23">
        <f>IF(AND(IFERROR(N(INDEX(Clay_Brands!$A$2:$FZ$601,274,Sync!$D$13)),0)&gt;0,IFERROR(INDEX(Clay_Brands!$A$2:$FZ$601,274,Sync!$D$5)&amp;"","")&lt;&gt;"",OR(LEFT(IFERROR(INDEX(Clay_Brands!$A$2:$FZ$601,274,Sync!$D$5)&amp;"",""),6)&lt;&gt;"SAMPLE",Config!$B$19="Y")),IFERROR(N(INDEX(Clay_Brands!$A$2:$FZ$601,274,Sync!$D$13)),0),"")</f>
        <v/>
      </c>
      <c r="C4925" s="17">
        <f>IF(B4925="","","brand")</f>
        <v/>
      </c>
      <c r="D4925" s="17">
        <f>IF(B4925="","",IFERROR(INDEX(Clay_Brands!$A$2:$FZ$601,274,Sync!$D$5)&amp;"",""))</f>
        <v/>
      </c>
      <c r="E4925" s="17">
        <f>IF(B4925="","",IFERROR(INDEX(Clay_Brands!$A$2:$FZ$601,274,Sync!$D$6)&amp;"",""))</f>
        <v/>
      </c>
      <c r="F4925" s="17">
        <f>IF(B4925="","","outreach_sent")</f>
        <v/>
      </c>
      <c r="G4925" s="17">
        <f>IF(B4925="","","")</f>
        <v/>
      </c>
      <c r="H4925" s="17">
        <f>IF(B4925="","","")</f>
        <v/>
      </c>
      <c r="I4925" s="17">
        <f>IF(B4925="","","")</f>
        <v/>
      </c>
      <c r="J4925" s="17">
        <f>IF(B4925="","","touch_3; "&amp;IFERROR(INDEX(Clay_Brands!$A$2:$FZ$601,274,Sync!$D$10)&amp;"","")&amp;"; "&amp;IFERROR(INDEX(Clay_Brands!$A$2:$FZ$601,274,Sync!$D$9)&amp;"",""))</f>
        <v/>
      </c>
      <c r="K4925" t="inlineStr">
        <is>
          <t>brand outreach touch 3</t>
        </is>
      </c>
    </row>
    <row r="4926">
      <c r="A4926" s="17">
        <f>IF(B4926="","",B4926+(17*1000+275)/10000000)</f>
        <v/>
      </c>
      <c r="B4926" s="23">
        <f>IF(AND(IFERROR(N(INDEX(Clay_Brands!$A$2:$FZ$601,275,Sync!$D$13)),0)&gt;0,IFERROR(INDEX(Clay_Brands!$A$2:$FZ$601,275,Sync!$D$5)&amp;"","")&lt;&gt;"",OR(LEFT(IFERROR(INDEX(Clay_Brands!$A$2:$FZ$601,275,Sync!$D$5)&amp;"",""),6)&lt;&gt;"SAMPLE",Config!$B$19="Y")),IFERROR(N(INDEX(Clay_Brands!$A$2:$FZ$601,275,Sync!$D$13)),0),"")</f>
        <v/>
      </c>
      <c r="C4926" s="17">
        <f>IF(B4926="","","brand")</f>
        <v/>
      </c>
      <c r="D4926" s="17">
        <f>IF(B4926="","",IFERROR(INDEX(Clay_Brands!$A$2:$FZ$601,275,Sync!$D$5)&amp;"",""))</f>
        <v/>
      </c>
      <c r="E4926" s="17">
        <f>IF(B4926="","",IFERROR(INDEX(Clay_Brands!$A$2:$FZ$601,275,Sync!$D$6)&amp;"",""))</f>
        <v/>
      </c>
      <c r="F4926" s="17">
        <f>IF(B4926="","","outreach_sent")</f>
        <v/>
      </c>
      <c r="G4926" s="17">
        <f>IF(B4926="","","")</f>
        <v/>
      </c>
      <c r="H4926" s="17">
        <f>IF(B4926="","","")</f>
        <v/>
      </c>
      <c r="I4926" s="17">
        <f>IF(B4926="","","")</f>
        <v/>
      </c>
      <c r="J4926" s="17">
        <f>IF(B4926="","","touch_3; "&amp;IFERROR(INDEX(Clay_Brands!$A$2:$FZ$601,275,Sync!$D$10)&amp;"","")&amp;"; "&amp;IFERROR(INDEX(Clay_Brands!$A$2:$FZ$601,275,Sync!$D$9)&amp;"",""))</f>
        <v/>
      </c>
      <c r="K4926" t="inlineStr">
        <is>
          <t>brand outreach touch 3</t>
        </is>
      </c>
    </row>
    <row r="4927">
      <c r="A4927" s="17">
        <f>IF(B4927="","",B4927+(17*1000+276)/10000000)</f>
        <v/>
      </c>
      <c r="B4927" s="23">
        <f>IF(AND(IFERROR(N(INDEX(Clay_Brands!$A$2:$FZ$601,276,Sync!$D$13)),0)&gt;0,IFERROR(INDEX(Clay_Brands!$A$2:$FZ$601,276,Sync!$D$5)&amp;"","")&lt;&gt;"",OR(LEFT(IFERROR(INDEX(Clay_Brands!$A$2:$FZ$601,276,Sync!$D$5)&amp;"",""),6)&lt;&gt;"SAMPLE",Config!$B$19="Y")),IFERROR(N(INDEX(Clay_Brands!$A$2:$FZ$601,276,Sync!$D$13)),0),"")</f>
        <v/>
      </c>
      <c r="C4927" s="17">
        <f>IF(B4927="","","brand")</f>
        <v/>
      </c>
      <c r="D4927" s="17">
        <f>IF(B4927="","",IFERROR(INDEX(Clay_Brands!$A$2:$FZ$601,276,Sync!$D$5)&amp;"",""))</f>
        <v/>
      </c>
      <c r="E4927" s="17">
        <f>IF(B4927="","",IFERROR(INDEX(Clay_Brands!$A$2:$FZ$601,276,Sync!$D$6)&amp;"",""))</f>
        <v/>
      </c>
      <c r="F4927" s="17">
        <f>IF(B4927="","","outreach_sent")</f>
        <v/>
      </c>
      <c r="G4927" s="17">
        <f>IF(B4927="","","")</f>
        <v/>
      </c>
      <c r="H4927" s="17">
        <f>IF(B4927="","","")</f>
        <v/>
      </c>
      <c r="I4927" s="17">
        <f>IF(B4927="","","")</f>
        <v/>
      </c>
      <c r="J4927" s="17">
        <f>IF(B4927="","","touch_3; "&amp;IFERROR(INDEX(Clay_Brands!$A$2:$FZ$601,276,Sync!$D$10)&amp;"","")&amp;"; "&amp;IFERROR(INDEX(Clay_Brands!$A$2:$FZ$601,276,Sync!$D$9)&amp;"",""))</f>
        <v/>
      </c>
      <c r="K4927" t="inlineStr">
        <is>
          <t>brand outreach touch 3</t>
        </is>
      </c>
    </row>
    <row r="4928">
      <c r="A4928" s="17">
        <f>IF(B4928="","",B4928+(17*1000+277)/10000000)</f>
        <v/>
      </c>
      <c r="B4928" s="23">
        <f>IF(AND(IFERROR(N(INDEX(Clay_Brands!$A$2:$FZ$601,277,Sync!$D$13)),0)&gt;0,IFERROR(INDEX(Clay_Brands!$A$2:$FZ$601,277,Sync!$D$5)&amp;"","")&lt;&gt;"",OR(LEFT(IFERROR(INDEX(Clay_Brands!$A$2:$FZ$601,277,Sync!$D$5)&amp;"",""),6)&lt;&gt;"SAMPLE",Config!$B$19="Y")),IFERROR(N(INDEX(Clay_Brands!$A$2:$FZ$601,277,Sync!$D$13)),0),"")</f>
        <v/>
      </c>
      <c r="C4928" s="17">
        <f>IF(B4928="","","brand")</f>
        <v/>
      </c>
      <c r="D4928" s="17">
        <f>IF(B4928="","",IFERROR(INDEX(Clay_Brands!$A$2:$FZ$601,277,Sync!$D$5)&amp;"",""))</f>
        <v/>
      </c>
      <c r="E4928" s="17">
        <f>IF(B4928="","",IFERROR(INDEX(Clay_Brands!$A$2:$FZ$601,277,Sync!$D$6)&amp;"",""))</f>
        <v/>
      </c>
      <c r="F4928" s="17">
        <f>IF(B4928="","","outreach_sent")</f>
        <v/>
      </c>
      <c r="G4928" s="17">
        <f>IF(B4928="","","")</f>
        <v/>
      </c>
      <c r="H4928" s="17">
        <f>IF(B4928="","","")</f>
        <v/>
      </c>
      <c r="I4928" s="17">
        <f>IF(B4928="","","")</f>
        <v/>
      </c>
      <c r="J4928" s="17">
        <f>IF(B4928="","","touch_3; "&amp;IFERROR(INDEX(Clay_Brands!$A$2:$FZ$601,277,Sync!$D$10)&amp;"","")&amp;"; "&amp;IFERROR(INDEX(Clay_Brands!$A$2:$FZ$601,277,Sync!$D$9)&amp;"",""))</f>
        <v/>
      </c>
      <c r="K4928" t="inlineStr">
        <is>
          <t>brand outreach touch 3</t>
        </is>
      </c>
    </row>
    <row r="4929">
      <c r="A4929" s="17">
        <f>IF(B4929="","",B4929+(17*1000+278)/10000000)</f>
        <v/>
      </c>
      <c r="B4929" s="23">
        <f>IF(AND(IFERROR(N(INDEX(Clay_Brands!$A$2:$FZ$601,278,Sync!$D$13)),0)&gt;0,IFERROR(INDEX(Clay_Brands!$A$2:$FZ$601,278,Sync!$D$5)&amp;"","")&lt;&gt;"",OR(LEFT(IFERROR(INDEX(Clay_Brands!$A$2:$FZ$601,278,Sync!$D$5)&amp;"",""),6)&lt;&gt;"SAMPLE",Config!$B$19="Y")),IFERROR(N(INDEX(Clay_Brands!$A$2:$FZ$601,278,Sync!$D$13)),0),"")</f>
        <v/>
      </c>
      <c r="C4929" s="17">
        <f>IF(B4929="","","brand")</f>
        <v/>
      </c>
      <c r="D4929" s="17">
        <f>IF(B4929="","",IFERROR(INDEX(Clay_Brands!$A$2:$FZ$601,278,Sync!$D$5)&amp;"",""))</f>
        <v/>
      </c>
      <c r="E4929" s="17">
        <f>IF(B4929="","",IFERROR(INDEX(Clay_Brands!$A$2:$FZ$601,278,Sync!$D$6)&amp;"",""))</f>
        <v/>
      </c>
      <c r="F4929" s="17">
        <f>IF(B4929="","","outreach_sent")</f>
        <v/>
      </c>
      <c r="G4929" s="17">
        <f>IF(B4929="","","")</f>
        <v/>
      </c>
      <c r="H4929" s="17">
        <f>IF(B4929="","","")</f>
        <v/>
      </c>
      <c r="I4929" s="17">
        <f>IF(B4929="","","")</f>
        <v/>
      </c>
      <c r="J4929" s="17">
        <f>IF(B4929="","","touch_3; "&amp;IFERROR(INDEX(Clay_Brands!$A$2:$FZ$601,278,Sync!$D$10)&amp;"","")&amp;"; "&amp;IFERROR(INDEX(Clay_Brands!$A$2:$FZ$601,278,Sync!$D$9)&amp;"",""))</f>
        <v/>
      </c>
      <c r="K4929" t="inlineStr">
        <is>
          <t>brand outreach touch 3</t>
        </is>
      </c>
    </row>
    <row r="4930">
      <c r="A4930" s="17">
        <f>IF(B4930="","",B4930+(17*1000+279)/10000000)</f>
        <v/>
      </c>
      <c r="B4930" s="23">
        <f>IF(AND(IFERROR(N(INDEX(Clay_Brands!$A$2:$FZ$601,279,Sync!$D$13)),0)&gt;0,IFERROR(INDEX(Clay_Brands!$A$2:$FZ$601,279,Sync!$D$5)&amp;"","")&lt;&gt;"",OR(LEFT(IFERROR(INDEX(Clay_Brands!$A$2:$FZ$601,279,Sync!$D$5)&amp;"",""),6)&lt;&gt;"SAMPLE",Config!$B$19="Y")),IFERROR(N(INDEX(Clay_Brands!$A$2:$FZ$601,279,Sync!$D$13)),0),"")</f>
        <v/>
      </c>
      <c r="C4930" s="17">
        <f>IF(B4930="","","brand")</f>
        <v/>
      </c>
      <c r="D4930" s="17">
        <f>IF(B4930="","",IFERROR(INDEX(Clay_Brands!$A$2:$FZ$601,279,Sync!$D$5)&amp;"",""))</f>
        <v/>
      </c>
      <c r="E4930" s="17">
        <f>IF(B4930="","",IFERROR(INDEX(Clay_Brands!$A$2:$FZ$601,279,Sync!$D$6)&amp;"",""))</f>
        <v/>
      </c>
      <c r="F4930" s="17">
        <f>IF(B4930="","","outreach_sent")</f>
        <v/>
      </c>
      <c r="G4930" s="17">
        <f>IF(B4930="","","")</f>
        <v/>
      </c>
      <c r="H4930" s="17">
        <f>IF(B4930="","","")</f>
        <v/>
      </c>
      <c r="I4930" s="17">
        <f>IF(B4930="","","")</f>
        <v/>
      </c>
      <c r="J4930" s="17">
        <f>IF(B4930="","","touch_3; "&amp;IFERROR(INDEX(Clay_Brands!$A$2:$FZ$601,279,Sync!$D$10)&amp;"","")&amp;"; "&amp;IFERROR(INDEX(Clay_Brands!$A$2:$FZ$601,279,Sync!$D$9)&amp;"",""))</f>
        <v/>
      </c>
      <c r="K4930" t="inlineStr">
        <is>
          <t>brand outreach touch 3</t>
        </is>
      </c>
    </row>
    <row r="4931">
      <c r="A4931" s="17">
        <f>IF(B4931="","",B4931+(17*1000+280)/10000000)</f>
        <v/>
      </c>
      <c r="B4931" s="23">
        <f>IF(AND(IFERROR(N(INDEX(Clay_Brands!$A$2:$FZ$601,280,Sync!$D$13)),0)&gt;0,IFERROR(INDEX(Clay_Brands!$A$2:$FZ$601,280,Sync!$D$5)&amp;"","")&lt;&gt;"",OR(LEFT(IFERROR(INDEX(Clay_Brands!$A$2:$FZ$601,280,Sync!$D$5)&amp;"",""),6)&lt;&gt;"SAMPLE",Config!$B$19="Y")),IFERROR(N(INDEX(Clay_Brands!$A$2:$FZ$601,280,Sync!$D$13)),0),"")</f>
        <v/>
      </c>
      <c r="C4931" s="17">
        <f>IF(B4931="","","brand")</f>
        <v/>
      </c>
      <c r="D4931" s="17">
        <f>IF(B4931="","",IFERROR(INDEX(Clay_Brands!$A$2:$FZ$601,280,Sync!$D$5)&amp;"",""))</f>
        <v/>
      </c>
      <c r="E4931" s="17">
        <f>IF(B4931="","",IFERROR(INDEX(Clay_Brands!$A$2:$FZ$601,280,Sync!$D$6)&amp;"",""))</f>
        <v/>
      </c>
      <c r="F4931" s="17">
        <f>IF(B4931="","","outreach_sent")</f>
        <v/>
      </c>
      <c r="G4931" s="17">
        <f>IF(B4931="","","")</f>
        <v/>
      </c>
      <c r="H4931" s="17">
        <f>IF(B4931="","","")</f>
        <v/>
      </c>
      <c r="I4931" s="17">
        <f>IF(B4931="","","")</f>
        <v/>
      </c>
      <c r="J4931" s="17">
        <f>IF(B4931="","","touch_3; "&amp;IFERROR(INDEX(Clay_Brands!$A$2:$FZ$601,280,Sync!$D$10)&amp;"","")&amp;"; "&amp;IFERROR(INDEX(Clay_Brands!$A$2:$FZ$601,280,Sync!$D$9)&amp;"",""))</f>
        <v/>
      </c>
      <c r="K4931" t="inlineStr">
        <is>
          <t>brand outreach touch 3</t>
        </is>
      </c>
    </row>
    <row r="4932">
      <c r="A4932" s="17">
        <f>IF(B4932="","",B4932+(17*1000+281)/10000000)</f>
        <v/>
      </c>
      <c r="B4932" s="23">
        <f>IF(AND(IFERROR(N(INDEX(Clay_Brands!$A$2:$FZ$601,281,Sync!$D$13)),0)&gt;0,IFERROR(INDEX(Clay_Brands!$A$2:$FZ$601,281,Sync!$D$5)&amp;"","")&lt;&gt;"",OR(LEFT(IFERROR(INDEX(Clay_Brands!$A$2:$FZ$601,281,Sync!$D$5)&amp;"",""),6)&lt;&gt;"SAMPLE",Config!$B$19="Y")),IFERROR(N(INDEX(Clay_Brands!$A$2:$FZ$601,281,Sync!$D$13)),0),"")</f>
        <v/>
      </c>
      <c r="C4932" s="17">
        <f>IF(B4932="","","brand")</f>
        <v/>
      </c>
      <c r="D4932" s="17">
        <f>IF(B4932="","",IFERROR(INDEX(Clay_Brands!$A$2:$FZ$601,281,Sync!$D$5)&amp;"",""))</f>
        <v/>
      </c>
      <c r="E4932" s="17">
        <f>IF(B4932="","",IFERROR(INDEX(Clay_Brands!$A$2:$FZ$601,281,Sync!$D$6)&amp;"",""))</f>
        <v/>
      </c>
      <c r="F4932" s="17">
        <f>IF(B4932="","","outreach_sent")</f>
        <v/>
      </c>
      <c r="G4932" s="17">
        <f>IF(B4932="","","")</f>
        <v/>
      </c>
      <c r="H4932" s="17">
        <f>IF(B4932="","","")</f>
        <v/>
      </c>
      <c r="I4932" s="17">
        <f>IF(B4932="","","")</f>
        <v/>
      </c>
      <c r="J4932" s="17">
        <f>IF(B4932="","","touch_3; "&amp;IFERROR(INDEX(Clay_Brands!$A$2:$FZ$601,281,Sync!$D$10)&amp;"","")&amp;"; "&amp;IFERROR(INDEX(Clay_Brands!$A$2:$FZ$601,281,Sync!$D$9)&amp;"",""))</f>
        <v/>
      </c>
      <c r="K4932" t="inlineStr">
        <is>
          <t>brand outreach touch 3</t>
        </is>
      </c>
    </row>
    <row r="4933">
      <c r="A4933" s="17">
        <f>IF(B4933="","",B4933+(17*1000+282)/10000000)</f>
        <v/>
      </c>
      <c r="B4933" s="23">
        <f>IF(AND(IFERROR(N(INDEX(Clay_Brands!$A$2:$FZ$601,282,Sync!$D$13)),0)&gt;0,IFERROR(INDEX(Clay_Brands!$A$2:$FZ$601,282,Sync!$D$5)&amp;"","")&lt;&gt;"",OR(LEFT(IFERROR(INDEX(Clay_Brands!$A$2:$FZ$601,282,Sync!$D$5)&amp;"",""),6)&lt;&gt;"SAMPLE",Config!$B$19="Y")),IFERROR(N(INDEX(Clay_Brands!$A$2:$FZ$601,282,Sync!$D$13)),0),"")</f>
        <v/>
      </c>
      <c r="C4933" s="17">
        <f>IF(B4933="","","brand")</f>
        <v/>
      </c>
      <c r="D4933" s="17">
        <f>IF(B4933="","",IFERROR(INDEX(Clay_Brands!$A$2:$FZ$601,282,Sync!$D$5)&amp;"",""))</f>
        <v/>
      </c>
      <c r="E4933" s="17">
        <f>IF(B4933="","",IFERROR(INDEX(Clay_Brands!$A$2:$FZ$601,282,Sync!$D$6)&amp;"",""))</f>
        <v/>
      </c>
      <c r="F4933" s="17">
        <f>IF(B4933="","","outreach_sent")</f>
        <v/>
      </c>
      <c r="G4933" s="17">
        <f>IF(B4933="","","")</f>
        <v/>
      </c>
      <c r="H4933" s="17">
        <f>IF(B4933="","","")</f>
        <v/>
      </c>
      <c r="I4933" s="17">
        <f>IF(B4933="","","")</f>
        <v/>
      </c>
      <c r="J4933" s="17">
        <f>IF(B4933="","","touch_3; "&amp;IFERROR(INDEX(Clay_Brands!$A$2:$FZ$601,282,Sync!$D$10)&amp;"","")&amp;"; "&amp;IFERROR(INDEX(Clay_Brands!$A$2:$FZ$601,282,Sync!$D$9)&amp;"",""))</f>
        <v/>
      </c>
      <c r="K4933" t="inlineStr">
        <is>
          <t>brand outreach touch 3</t>
        </is>
      </c>
    </row>
    <row r="4934">
      <c r="A4934" s="17">
        <f>IF(B4934="","",B4934+(17*1000+283)/10000000)</f>
        <v/>
      </c>
      <c r="B4934" s="23">
        <f>IF(AND(IFERROR(N(INDEX(Clay_Brands!$A$2:$FZ$601,283,Sync!$D$13)),0)&gt;0,IFERROR(INDEX(Clay_Brands!$A$2:$FZ$601,283,Sync!$D$5)&amp;"","")&lt;&gt;"",OR(LEFT(IFERROR(INDEX(Clay_Brands!$A$2:$FZ$601,283,Sync!$D$5)&amp;"",""),6)&lt;&gt;"SAMPLE",Config!$B$19="Y")),IFERROR(N(INDEX(Clay_Brands!$A$2:$FZ$601,283,Sync!$D$13)),0),"")</f>
        <v/>
      </c>
      <c r="C4934" s="17">
        <f>IF(B4934="","","brand")</f>
        <v/>
      </c>
      <c r="D4934" s="17">
        <f>IF(B4934="","",IFERROR(INDEX(Clay_Brands!$A$2:$FZ$601,283,Sync!$D$5)&amp;"",""))</f>
        <v/>
      </c>
      <c r="E4934" s="17">
        <f>IF(B4934="","",IFERROR(INDEX(Clay_Brands!$A$2:$FZ$601,283,Sync!$D$6)&amp;"",""))</f>
        <v/>
      </c>
      <c r="F4934" s="17">
        <f>IF(B4934="","","outreach_sent")</f>
        <v/>
      </c>
      <c r="G4934" s="17">
        <f>IF(B4934="","","")</f>
        <v/>
      </c>
      <c r="H4934" s="17">
        <f>IF(B4934="","","")</f>
        <v/>
      </c>
      <c r="I4934" s="17">
        <f>IF(B4934="","","")</f>
        <v/>
      </c>
      <c r="J4934" s="17">
        <f>IF(B4934="","","touch_3; "&amp;IFERROR(INDEX(Clay_Brands!$A$2:$FZ$601,283,Sync!$D$10)&amp;"","")&amp;"; "&amp;IFERROR(INDEX(Clay_Brands!$A$2:$FZ$601,283,Sync!$D$9)&amp;"",""))</f>
        <v/>
      </c>
      <c r="K4934" t="inlineStr">
        <is>
          <t>brand outreach touch 3</t>
        </is>
      </c>
    </row>
    <row r="4935">
      <c r="A4935" s="17">
        <f>IF(B4935="","",B4935+(17*1000+284)/10000000)</f>
        <v/>
      </c>
      <c r="B4935" s="23">
        <f>IF(AND(IFERROR(N(INDEX(Clay_Brands!$A$2:$FZ$601,284,Sync!$D$13)),0)&gt;0,IFERROR(INDEX(Clay_Brands!$A$2:$FZ$601,284,Sync!$D$5)&amp;"","")&lt;&gt;"",OR(LEFT(IFERROR(INDEX(Clay_Brands!$A$2:$FZ$601,284,Sync!$D$5)&amp;"",""),6)&lt;&gt;"SAMPLE",Config!$B$19="Y")),IFERROR(N(INDEX(Clay_Brands!$A$2:$FZ$601,284,Sync!$D$13)),0),"")</f>
        <v/>
      </c>
      <c r="C4935" s="17">
        <f>IF(B4935="","","brand")</f>
        <v/>
      </c>
      <c r="D4935" s="17">
        <f>IF(B4935="","",IFERROR(INDEX(Clay_Brands!$A$2:$FZ$601,284,Sync!$D$5)&amp;"",""))</f>
        <v/>
      </c>
      <c r="E4935" s="17">
        <f>IF(B4935="","",IFERROR(INDEX(Clay_Brands!$A$2:$FZ$601,284,Sync!$D$6)&amp;"",""))</f>
        <v/>
      </c>
      <c r="F4935" s="17">
        <f>IF(B4935="","","outreach_sent")</f>
        <v/>
      </c>
      <c r="G4935" s="17">
        <f>IF(B4935="","","")</f>
        <v/>
      </c>
      <c r="H4935" s="17">
        <f>IF(B4935="","","")</f>
        <v/>
      </c>
      <c r="I4935" s="17">
        <f>IF(B4935="","","")</f>
        <v/>
      </c>
      <c r="J4935" s="17">
        <f>IF(B4935="","","touch_3; "&amp;IFERROR(INDEX(Clay_Brands!$A$2:$FZ$601,284,Sync!$D$10)&amp;"","")&amp;"; "&amp;IFERROR(INDEX(Clay_Brands!$A$2:$FZ$601,284,Sync!$D$9)&amp;"",""))</f>
        <v/>
      </c>
      <c r="K4935" t="inlineStr">
        <is>
          <t>brand outreach touch 3</t>
        </is>
      </c>
    </row>
    <row r="4936">
      <c r="A4936" s="17">
        <f>IF(B4936="","",B4936+(17*1000+285)/10000000)</f>
        <v/>
      </c>
      <c r="B4936" s="23">
        <f>IF(AND(IFERROR(N(INDEX(Clay_Brands!$A$2:$FZ$601,285,Sync!$D$13)),0)&gt;0,IFERROR(INDEX(Clay_Brands!$A$2:$FZ$601,285,Sync!$D$5)&amp;"","")&lt;&gt;"",OR(LEFT(IFERROR(INDEX(Clay_Brands!$A$2:$FZ$601,285,Sync!$D$5)&amp;"",""),6)&lt;&gt;"SAMPLE",Config!$B$19="Y")),IFERROR(N(INDEX(Clay_Brands!$A$2:$FZ$601,285,Sync!$D$13)),0),"")</f>
        <v/>
      </c>
      <c r="C4936" s="17">
        <f>IF(B4936="","","brand")</f>
        <v/>
      </c>
      <c r="D4936" s="17">
        <f>IF(B4936="","",IFERROR(INDEX(Clay_Brands!$A$2:$FZ$601,285,Sync!$D$5)&amp;"",""))</f>
        <v/>
      </c>
      <c r="E4936" s="17">
        <f>IF(B4936="","",IFERROR(INDEX(Clay_Brands!$A$2:$FZ$601,285,Sync!$D$6)&amp;"",""))</f>
        <v/>
      </c>
      <c r="F4936" s="17">
        <f>IF(B4936="","","outreach_sent")</f>
        <v/>
      </c>
      <c r="G4936" s="17">
        <f>IF(B4936="","","")</f>
        <v/>
      </c>
      <c r="H4936" s="17">
        <f>IF(B4936="","","")</f>
        <v/>
      </c>
      <c r="I4936" s="17">
        <f>IF(B4936="","","")</f>
        <v/>
      </c>
      <c r="J4936" s="17">
        <f>IF(B4936="","","touch_3; "&amp;IFERROR(INDEX(Clay_Brands!$A$2:$FZ$601,285,Sync!$D$10)&amp;"","")&amp;"; "&amp;IFERROR(INDEX(Clay_Brands!$A$2:$FZ$601,285,Sync!$D$9)&amp;"",""))</f>
        <v/>
      </c>
      <c r="K4936" t="inlineStr">
        <is>
          <t>brand outreach touch 3</t>
        </is>
      </c>
    </row>
    <row r="4937">
      <c r="A4937" s="17">
        <f>IF(B4937="","",B4937+(17*1000+286)/10000000)</f>
        <v/>
      </c>
      <c r="B4937" s="23">
        <f>IF(AND(IFERROR(N(INDEX(Clay_Brands!$A$2:$FZ$601,286,Sync!$D$13)),0)&gt;0,IFERROR(INDEX(Clay_Brands!$A$2:$FZ$601,286,Sync!$D$5)&amp;"","")&lt;&gt;"",OR(LEFT(IFERROR(INDEX(Clay_Brands!$A$2:$FZ$601,286,Sync!$D$5)&amp;"",""),6)&lt;&gt;"SAMPLE",Config!$B$19="Y")),IFERROR(N(INDEX(Clay_Brands!$A$2:$FZ$601,286,Sync!$D$13)),0),"")</f>
        <v/>
      </c>
      <c r="C4937" s="17">
        <f>IF(B4937="","","brand")</f>
        <v/>
      </c>
      <c r="D4937" s="17">
        <f>IF(B4937="","",IFERROR(INDEX(Clay_Brands!$A$2:$FZ$601,286,Sync!$D$5)&amp;"",""))</f>
        <v/>
      </c>
      <c r="E4937" s="17">
        <f>IF(B4937="","",IFERROR(INDEX(Clay_Brands!$A$2:$FZ$601,286,Sync!$D$6)&amp;"",""))</f>
        <v/>
      </c>
      <c r="F4937" s="17">
        <f>IF(B4937="","","outreach_sent")</f>
        <v/>
      </c>
      <c r="G4937" s="17">
        <f>IF(B4937="","","")</f>
        <v/>
      </c>
      <c r="H4937" s="17">
        <f>IF(B4937="","","")</f>
        <v/>
      </c>
      <c r="I4937" s="17">
        <f>IF(B4937="","","")</f>
        <v/>
      </c>
      <c r="J4937" s="17">
        <f>IF(B4937="","","touch_3; "&amp;IFERROR(INDEX(Clay_Brands!$A$2:$FZ$601,286,Sync!$D$10)&amp;"","")&amp;"; "&amp;IFERROR(INDEX(Clay_Brands!$A$2:$FZ$601,286,Sync!$D$9)&amp;"",""))</f>
        <v/>
      </c>
      <c r="K4937" t="inlineStr">
        <is>
          <t>brand outreach touch 3</t>
        </is>
      </c>
    </row>
    <row r="4938">
      <c r="A4938" s="17">
        <f>IF(B4938="","",B4938+(17*1000+287)/10000000)</f>
        <v/>
      </c>
      <c r="B4938" s="23">
        <f>IF(AND(IFERROR(N(INDEX(Clay_Brands!$A$2:$FZ$601,287,Sync!$D$13)),0)&gt;0,IFERROR(INDEX(Clay_Brands!$A$2:$FZ$601,287,Sync!$D$5)&amp;"","")&lt;&gt;"",OR(LEFT(IFERROR(INDEX(Clay_Brands!$A$2:$FZ$601,287,Sync!$D$5)&amp;"",""),6)&lt;&gt;"SAMPLE",Config!$B$19="Y")),IFERROR(N(INDEX(Clay_Brands!$A$2:$FZ$601,287,Sync!$D$13)),0),"")</f>
        <v/>
      </c>
      <c r="C4938" s="17">
        <f>IF(B4938="","","brand")</f>
        <v/>
      </c>
      <c r="D4938" s="17">
        <f>IF(B4938="","",IFERROR(INDEX(Clay_Brands!$A$2:$FZ$601,287,Sync!$D$5)&amp;"",""))</f>
        <v/>
      </c>
      <c r="E4938" s="17">
        <f>IF(B4938="","",IFERROR(INDEX(Clay_Brands!$A$2:$FZ$601,287,Sync!$D$6)&amp;"",""))</f>
        <v/>
      </c>
      <c r="F4938" s="17">
        <f>IF(B4938="","","outreach_sent")</f>
        <v/>
      </c>
      <c r="G4938" s="17">
        <f>IF(B4938="","","")</f>
        <v/>
      </c>
      <c r="H4938" s="17">
        <f>IF(B4938="","","")</f>
        <v/>
      </c>
      <c r="I4938" s="17">
        <f>IF(B4938="","","")</f>
        <v/>
      </c>
      <c r="J4938" s="17">
        <f>IF(B4938="","","touch_3; "&amp;IFERROR(INDEX(Clay_Brands!$A$2:$FZ$601,287,Sync!$D$10)&amp;"","")&amp;"; "&amp;IFERROR(INDEX(Clay_Brands!$A$2:$FZ$601,287,Sync!$D$9)&amp;"",""))</f>
        <v/>
      </c>
      <c r="K4938" t="inlineStr">
        <is>
          <t>brand outreach touch 3</t>
        </is>
      </c>
    </row>
    <row r="4939">
      <c r="A4939" s="17">
        <f>IF(B4939="","",B4939+(17*1000+288)/10000000)</f>
        <v/>
      </c>
      <c r="B4939" s="23">
        <f>IF(AND(IFERROR(N(INDEX(Clay_Brands!$A$2:$FZ$601,288,Sync!$D$13)),0)&gt;0,IFERROR(INDEX(Clay_Brands!$A$2:$FZ$601,288,Sync!$D$5)&amp;"","")&lt;&gt;"",OR(LEFT(IFERROR(INDEX(Clay_Brands!$A$2:$FZ$601,288,Sync!$D$5)&amp;"",""),6)&lt;&gt;"SAMPLE",Config!$B$19="Y")),IFERROR(N(INDEX(Clay_Brands!$A$2:$FZ$601,288,Sync!$D$13)),0),"")</f>
        <v/>
      </c>
      <c r="C4939" s="17">
        <f>IF(B4939="","","brand")</f>
        <v/>
      </c>
      <c r="D4939" s="17">
        <f>IF(B4939="","",IFERROR(INDEX(Clay_Brands!$A$2:$FZ$601,288,Sync!$D$5)&amp;"",""))</f>
        <v/>
      </c>
      <c r="E4939" s="17">
        <f>IF(B4939="","",IFERROR(INDEX(Clay_Brands!$A$2:$FZ$601,288,Sync!$D$6)&amp;"",""))</f>
        <v/>
      </c>
      <c r="F4939" s="17">
        <f>IF(B4939="","","outreach_sent")</f>
        <v/>
      </c>
      <c r="G4939" s="17">
        <f>IF(B4939="","","")</f>
        <v/>
      </c>
      <c r="H4939" s="17">
        <f>IF(B4939="","","")</f>
        <v/>
      </c>
      <c r="I4939" s="17">
        <f>IF(B4939="","","")</f>
        <v/>
      </c>
      <c r="J4939" s="17">
        <f>IF(B4939="","","touch_3; "&amp;IFERROR(INDEX(Clay_Brands!$A$2:$FZ$601,288,Sync!$D$10)&amp;"","")&amp;"; "&amp;IFERROR(INDEX(Clay_Brands!$A$2:$FZ$601,288,Sync!$D$9)&amp;"",""))</f>
        <v/>
      </c>
      <c r="K4939" t="inlineStr">
        <is>
          <t>brand outreach touch 3</t>
        </is>
      </c>
    </row>
    <row r="4940">
      <c r="A4940" s="17">
        <f>IF(B4940="","",B4940+(17*1000+289)/10000000)</f>
        <v/>
      </c>
      <c r="B4940" s="23">
        <f>IF(AND(IFERROR(N(INDEX(Clay_Brands!$A$2:$FZ$601,289,Sync!$D$13)),0)&gt;0,IFERROR(INDEX(Clay_Brands!$A$2:$FZ$601,289,Sync!$D$5)&amp;"","")&lt;&gt;"",OR(LEFT(IFERROR(INDEX(Clay_Brands!$A$2:$FZ$601,289,Sync!$D$5)&amp;"",""),6)&lt;&gt;"SAMPLE",Config!$B$19="Y")),IFERROR(N(INDEX(Clay_Brands!$A$2:$FZ$601,289,Sync!$D$13)),0),"")</f>
        <v/>
      </c>
      <c r="C4940" s="17">
        <f>IF(B4940="","","brand")</f>
        <v/>
      </c>
      <c r="D4940" s="17">
        <f>IF(B4940="","",IFERROR(INDEX(Clay_Brands!$A$2:$FZ$601,289,Sync!$D$5)&amp;"",""))</f>
        <v/>
      </c>
      <c r="E4940" s="17">
        <f>IF(B4940="","",IFERROR(INDEX(Clay_Brands!$A$2:$FZ$601,289,Sync!$D$6)&amp;"",""))</f>
        <v/>
      </c>
      <c r="F4940" s="17">
        <f>IF(B4940="","","outreach_sent")</f>
        <v/>
      </c>
      <c r="G4940" s="17">
        <f>IF(B4940="","","")</f>
        <v/>
      </c>
      <c r="H4940" s="17">
        <f>IF(B4940="","","")</f>
        <v/>
      </c>
      <c r="I4940" s="17">
        <f>IF(B4940="","","")</f>
        <v/>
      </c>
      <c r="J4940" s="17">
        <f>IF(B4940="","","touch_3; "&amp;IFERROR(INDEX(Clay_Brands!$A$2:$FZ$601,289,Sync!$D$10)&amp;"","")&amp;"; "&amp;IFERROR(INDEX(Clay_Brands!$A$2:$FZ$601,289,Sync!$D$9)&amp;"",""))</f>
        <v/>
      </c>
      <c r="K4940" t="inlineStr">
        <is>
          <t>brand outreach touch 3</t>
        </is>
      </c>
    </row>
    <row r="4941">
      <c r="A4941" s="17">
        <f>IF(B4941="","",B4941+(17*1000+290)/10000000)</f>
        <v/>
      </c>
      <c r="B4941" s="23">
        <f>IF(AND(IFERROR(N(INDEX(Clay_Brands!$A$2:$FZ$601,290,Sync!$D$13)),0)&gt;0,IFERROR(INDEX(Clay_Brands!$A$2:$FZ$601,290,Sync!$D$5)&amp;"","")&lt;&gt;"",OR(LEFT(IFERROR(INDEX(Clay_Brands!$A$2:$FZ$601,290,Sync!$D$5)&amp;"",""),6)&lt;&gt;"SAMPLE",Config!$B$19="Y")),IFERROR(N(INDEX(Clay_Brands!$A$2:$FZ$601,290,Sync!$D$13)),0),"")</f>
        <v/>
      </c>
      <c r="C4941" s="17">
        <f>IF(B4941="","","brand")</f>
        <v/>
      </c>
      <c r="D4941" s="17">
        <f>IF(B4941="","",IFERROR(INDEX(Clay_Brands!$A$2:$FZ$601,290,Sync!$D$5)&amp;"",""))</f>
        <v/>
      </c>
      <c r="E4941" s="17">
        <f>IF(B4941="","",IFERROR(INDEX(Clay_Brands!$A$2:$FZ$601,290,Sync!$D$6)&amp;"",""))</f>
        <v/>
      </c>
      <c r="F4941" s="17">
        <f>IF(B4941="","","outreach_sent")</f>
        <v/>
      </c>
      <c r="G4941" s="17">
        <f>IF(B4941="","","")</f>
        <v/>
      </c>
      <c r="H4941" s="17">
        <f>IF(B4941="","","")</f>
        <v/>
      </c>
      <c r="I4941" s="17">
        <f>IF(B4941="","","")</f>
        <v/>
      </c>
      <c r="J4941" s="17">
        <f>IF(B4941="","","touch_3; "&amp;IFERROR(INDEX(Clay_Brands!$A$2:$FZ$601,290,Sync!$D$10)&amp;"","")&amp;"; "&amp;IFERROR(INDEX(Clay_Brands!$A$2:$FZ$601,290,Sync!$D$9)&amp;"",""))</f>
        <v/>
      </c>
      <c r="K4941" t="inlineStr">
        <is>
          <t>brand outreach touch 3</t>
        </is>
      </c>
    </row>
    <row r="4942">
      <c r="A4942" s="17">
        <f>IF(B4942="","",B4942+(17*1000+291)/10000000)</f>
        <v/>
      </c>
      <c r="B4942" s="23">
        <f>IF(AND(IFERROR(N(INDEX(Clay_Brands!$A$2:$FZ$601,291,Sync!$D$13)),0)&gt;0,IFERROR(INDEX(Clay_Brands!$A$2:$FZ$601,291,Sync!$D$5)&amp;"","")&lt;&gt;"",OR(LEFT(IFERROR(INDEX(Clay_Brands!$A$2:$FZ$601,291,Sync!$D$5)&amp;"",""),6)&lt;&gt;"SAMPLE",Config!$B$19="Y")),IFERROR(N(INDEX(Clay_Brands!$A$2:$FZ$601,291,Sync!$D$13)),0),"")</f>
        <v/>
      </c>
      <c r="C4942" s="17">
        <f>IF(B4942="","","brand")</f>
        <v/>
      </c>
      <c r="D4942" s="17">
        <f>IF(B4942="","",IFERROR(INDEX(Clay_Brands!$A$2:$FZ$601,291,Sync!$D$5)&amp;"",""))</f>
        <v/>
      </c>
      <c r="E4942" s="17">
        <f>IF(B4942="","",IFERROR(INDEX(Clay_Brands!$A$2:$FZ$601,291,Sync!$D$6)&amp;"",""))</f>
        <v/>
      </c>
      <c r="F4942" s="17">
        <f>IF(B4942="","","outreach_sent")</f>
        <v/>
      </c>
      <c r="G4942" s="17">
        <f>IF(B4942="","","")</f>
        <v/>
      </c>
      <c r="H4942" s="17">
        <f>IF(B4942="","","")</f>
        <v/>
      </c>
      <c r="I4942" s="17">
        <f>IF(B4942="","","")</f>
        <v/>
      </c>
      <c r="J4942" s="17">
        <f>IF(B4942="","","touch_3; "&amp;IFERROR(INDEX(Clay_Brands!$A$2:$FZ$601,291,Sync!$D$10)&amp;"","")&amp;"; "&amp;IFERROR(INDEX(Clay_Brands!$A$2:$FZ$601,291,Sync!$D$9)&amp;"",""))</f>
        <v/>
      </c>
      <c r="K4942" t="inlineStr">
        <is>
          <t>brand outreach touch 3</t>
        </is>
      </c>
    </row>
    <row r="4943">
      <c r="A4943" s="17">
        <f>IF(B4943="","",B4943+(17*1000+292)/10000000)</f>
        <v/>
      </c>
      <c r="B4943" s="23">
        <f>IF(AND(IFERROR(N(INDEX(Clay_Brands!$A$2:$FZ$601,292,Sync!$D$13)),0)&gt;0,IFERROR(INDEX(Clay_Brands!$A$2:$FZ$601,292,Sync!$D$5)&amp;"","")&lt;&gt;"",OR(LEFT(IFERROR(INDEX(Clay_Brands!$A$2:$FZ$601,292,Sync!$D$5)&amp;"",""),6)&lt;&gt;"SAMPLE",Config!$B$19="Y")),IFERROR(N(INDEX(Clay_Brands!$A$2:$FZ$601,292,Sync!$D$13)),0),"")</f>
        <v/>
      </c>
      <c r="C4943" s="17">
        <f>IF(B4943="","","brand")</f>
        <v/>
      </c>
      <c r="D4943" s="17">
        <f>IF(B4943="","",IFERROR(INDEX(Clay_Brands!$A$2:$FZ$601,292,Sync!$D$5)&amp;"",""))</f>
        <v/>
      </c>
      <c r="E4943" s="17">
        <f>IF(B4943="","",IFERROR(INDEX(Clay_Brands!$A$2:$FZ$601,292,Sync!$D$6)&amp;"",""))</f>
        <v/>
      </c>
      <c r="F4943" s="17">
        <f>IF(B4943="","","outreach_sent")</f>
        <v/>
      </c>
      <c r="G4943" s="17">
        <f>IF(B4943="","","")</f>
        <v/>
      </c>
      <c r="H4943" s="17">
        <f>IF(B4943="","","")</f>
        <v/>
      </c>
      <c r="I4943" s="17">
        <f>IF(B4943="","","")</f>
        <v/>
      </c>
      <c r="J4943" s="17">
        <f>IF(B4943="","","touch_3; "&amp;IFERROR(INDEX(Clay_Brands!$A$2:$FZ$601,292,Sync!$D$10)&amp;"","")&amp;"; "&amp;IFERROR(INDEX(Clay_Brands!$A$2:$FZ$601,292,Sync!$D$9)&amp;"",""))</f>
        <v/>
      </c>
      <c r="K4943" t="inlineStr">
        <is>
          <t>brand outreach touch 3</t>
        </is>
      </c>
    </row>
    <row r="4944">
      <c r="A4944" s="17">
        <f>IF(B4944="","",B4944+(17*1000+293)/10000000)</f>
        <v/>
      </c>
      <c r="B4944" s="23">
        <f>IF(AND(IFERROR(N(INDEX(Clay_Brands!$A$2:$FZ$601,293,Sync!$D$13)),0)&gt;0,IFERROR(INDEX(Clay_Brands!$A$2:$FZ$601,293,Sync!$D$5)&amp;"","")&lt;&gt;"",OR(LEFT(IFERROR(INDEX(Clay_Brands!$A$2:$FZ$601,293,Sync!$D$5)&amp;"",""),6)&lt;&gt;"SAMPLE",Config!$B$19="Y")),IFERROR(N(INDEX(Clay_Brands!$A$2:$FZ$601,293,Sync!$D$13)),0),"")</f>
        <v/>
      </c>
      <c r="C4944" s="17">
        <f>IF(B4944="","","brand")</f>
        <v/>
      </c>
      <c r="D4944" s="17">
        <f>IF(B4944="","",IFERROR(INDEX(Clay_Brands!$A$2:$FZ$601,293,Sync!$D$5)&amp;"",""))</f>
        <v/>
      </c>
      <c r="E4944" s="17">
        <f>IF(B4944="","",IFERROR(INDEX(Clay_Brands!$A$2:$FZ$601,293,Sync!$D$6)&amp;"",""))</f>
        <v/>
      </c>
      <c r="F4944" s="17">
        <f>IF(B4944="","","outreach_sent")</f>
        <v/>
      </c>
      <c r="G4944" s="17">
        <f>IF(B4944="","","")</f>
        <v/>
      </c>
      <c r="H4944" s="17">
        <f>IF(B4944="","","")</f>
        <v/>
      </c>
      <c r="I4944" s="17">
        <f>IF(B4944="","","")</f>
        <v/>
      </c>
      <c r="J4944" s="17">
        <f>IF(B4944="","","touch_3; "&amp;IFERROR(INDEX(Clay_Brands!$A$2:$FZ$601,293,Sync!$D$10)&amp;"","")&amp;"; "&amp;IFERROR(INDEX(Clay_Brands!$A$2:$FZ$601,293,Sync!$D$9)&amp;"",""))</f>
        <v/>
      </c>
      <c r="K4944" t="inlineStr">
        <is>
          <t>brand outreach touch 3</t>
        </is>
      </c>
    </row>
    <row r="4945">
      <c r="A4945" s="17">
        <f>IF(B4945="","",B4945+(17*1000+294)/10000000)</f>
        <v/>
      </c>
      <c r="B4945" s="23">
        <f>IF(AND(IFERROR(N(INDEX(Clay_Brands!$A$2:$FZ$601,294,Sync!$D$13)),0)&gt;0,IFERROR(INDEX(Clay_Brands!$A$2:$FZ$601,294,Sync!$D$5)&amp;"","")&lt;&gt;"",OR(LEFT(IFERROR(INDEX(Clay_Brands!$A$2:$FZ$601,294,Sync!$D$5)&amp;"",""),6)&lt;&gt;"SAMPLE",Config!$B$19="Y")),IFERROR(N(INDEX(Clay_Brands!$A$2:$FZ$601,294,Sync!$D$13)),0),"")</f>
        <v/>
      </c>
      <c r="C4945" s="17">
        <f>IF(B4945="","","brand")</f>
        <v/>
      </c>
      <c r="D4945" s="17">
        <f>IF(B4945="","",IFERROR(INDEX(Clay_Brands!$A$2:$FZ$601,294,Sync!$D$5)&amp;"",""))</f>
        <v/>
      </c>
      <c r="E4945" s="17">
        <f>IF(B4945="","",IFERROR(INDEX(Clay_Brands!$A$2:$FZ$601,294,Sync!$D$6)&amp;"",""))</f>
        <v/>
      </c>
      <c r="F4945" s="17">
        <f>IF(B4945="","","outreach_sent")</f>
        <v/>
      </c>
      <c r="G4945" s="17">
        <f>IF(B4945="","","")</f>
        <v/>
      </c>
      <c r="H4945" s="17">
        <f>IF(B4945="","","")</f>
        <v/>
      </c>
      <c r="I4945" s="17">
        <f>IF(B4945="","","")</f>
        <v/>
      </c>
      <c r="J4945" s="17">
        <f>IF(B4945="","","touch_3; "&amp;IFERROR(INDEX(Clay_Brands!$A$2:$FZ$601,294,Sync!$D$10)&amp;"","")&amp;"; "&amp;IFERROR(INDEX(Clay_Brands!$A$2:$FZ$601,294,Sync!$D$9)&amp;"",""))</f>
        <v/>
      </c>
      <c r="K4945" t="inlineStr">
        <is>
          <t>brand outreach touch 3</t>
        </is>
      </c>
    </row>
    <row r="4946">
      <c r="A4946" s="17">
        <f>IF(B4946="","",B4946+(17*1000+295)/10000000)</f>
        <v/>
      </c>
      <c r="B4946" s="23">
        <f>IF(AND(IFERROR(N(INDEX(Clay_Brands!$A$2:$FZ$601,295,Sync!$D$13)),0)&gt;0,IFERROR(INDEX(Clay_Brands!$A$2:$FZ$601,295,Sync!$D$5)&amp;"","")&lt;&gt;"",OR(LEFT(IFERROR(INDEX(Clay_Brands!$A$2:$FZ$601,295,Sync!$D$5)&amp;"",""),6)&lt;&gt;"SAMPLE",Config!$B$19="Y")),IFERROR(N(INDEX(Clay_Brands!$A$2:$FZ$601,295,Sync!$D$13)),0),"")</f>
        <v/>
      </c>
      <c r="C4946" s="17">
        <f>IF(B4946="","","brand")</f>
        <v/>
      </c>
      <c r="D4946" s="17">
        <f>IF(B4946="","",IFERROR(INDEX(Clay_Brands!$A$2:$FZ$601,295,Sync!$D$5)&amp;"",""))</f>
        <v/>
      </c>
      <c r="E4946" s="17">
        <f>IF(B4946="","",IFERROR(INDEX(Clay_Brands!$A$2:$FZ$601,295,Sync!$D$6)&amp;"",""))</f>
        <v/>
      </c>
      <c r="F4946" s="17">
        <f>IF(B4946="","","outreach_sent")</f>
        <v/>
      </c>
      <c r="G4946" s="17">
        <f>IF(B4946="","","")</f>
        <v/>
      </c>
      <c r="H4946" s="17">
        <f>IF(B4946="","","")</f>
        <v/>
      </c>
      <c r="I4946" s="17">
        <f>IF(B4946="","","")</f>
        <v/>
      </c>
      <c r="J4946" s="17">
        <f>IF(B4946="","","touch_3; "&amp;IFERROR(INDEX(Clay_Brands!$A$2:$FZ$601,295,Sync!$D$10)&amp;"","")&amp;"; "&amp;IFERROR(INDEX(Clay_Brands!$A$2:$FZ$601,295,Sync!$D$9)&amp;"",""))</f>
        <v/>
      </c>
      <c r="K4946" t="inlineStr">
        <is>
          <t>brand outreach touch 3</t>
        </is>
      </c>
    </row>
    <row r="4947">
      <c r="A4947" s="17">
        <f>IF(B4947="","",B4947+(17*1000+296)/10000000)</f>
        <v/>
      </c>
      <c r="B4947" s="23">
        <f>IF(AND(IFERROR(N(INDEX(Clay_Brands!$A$2:$FZ$601,296,Sync!$D$13)),0)&gt;0,IFERROR(INDEX(Clay_Brands!$A$2:$FZ$601,296,Sync!$D$5)&amp;"","")&lt;&gt;"",OR(LEFT(IFERROR(INDEX(Clay_Brands!$A$2:$FZ$601,296,Sync!$D$5)&amp;"",""),6)&lt;&gt;"SAMPLE",Config!$B$19="Y")),IFERROR(N(INDEX(Clay_Brands!$A$2:$FZ$601,296,Sync!$D$13)),0),"")</f>
        <v/>
      </c>
      <c r="C4947" s="17">
        <f>IF(B4947="","","brand")</f>
        <v/>
      </c>
      <c r="D4947" s="17">
        <f>IF(B4947="","",IFERROR(INDEX(Clay_Brands!$A$2:$FZ$601,296,Sync!$D$5)&amp;"",""))</f>
        <v/>
      </c>
      <c r="E4947" s="17">
        <f>IF(B4947="","",IFERROR(INDEX(Clay_Brands!$A$2:$FZ$601,296,Sync!$D$6)&amp;"",""))</f>
        <v/>
      </c>
      <c r="F4947" s="17">
        <f>IF(B4947="","","outreach_sent")</f>
        <v/>
      </c>
      <c r="G4947" s="17">
        <f>IF(B4947="","","")</f>
        <v/>
      </c>
      <c r="H4947" s="17">
        <f>IF(B4947="","","")</f>
        <v/>
      </c>
      <c r="I4947" s="17">
        <f>IF(B4947="","","")</f>
        <v/>
      </c>
      <c r="J4947" s="17">
        <f>IF(B4947="","","touch_3; "&amp;IFERROR(INDEX(Clay_Brands!$A$2:$FZ$601,296,Sync!$D$10)&amp;"","")&amp;"; "&amp;IFERROR(INDEX(Clay_Brands!$A$2:$FZ$601,296,Sync!$D$9)&amp;"",""))</f>
        <v/>
      </c>
      <c r="K4947" t="inlineStr">
        <is>
          <t>brand outreach touch 3</t>
        </is>
      </c>
    </row>
    <row r="4948">
      <c r="A4948" s="17">
        <f>IF(B4948="","",B4948+(17*1000+297)/10000000)</f>
        <v/>
      </c>
      <c r="B4948" s="23">
        <f>IF(AND(IFERROR(N(INDEX(Clay_Brands!$A$2:$FZ$601,297,Sync!$D$13)),0)&gt;0,IFERROR(INDEX(Clay_Brands!$A$2:$FZ$601,297,Sync!$D$5)&amp;"","")&lt;&gt;"",OR(LEFT(IFERROR(INDEX(Clay_Brands!$A$2:$FZ$601,297,Sync!$D$5)&amp;"",""),6)&lt;&gt;"SAMPLE",Config!$B$19="Y")),IFERROR(N(INDEX(Clay_Brands!$A$2:$FZ$601,297,Sync!$D$13)),0),"")</f>
        <v/>
      </c>
      <c r="C4948" s="17">
        <f>IF(B4948="","","brand")</f>
        <v/>
      </c>
      <c r="D4948" s="17">
        <f>IF(B4948="","",IFERROR(INDEX(Clay_Brands!$A$2:$FZ$601,297,Sync!$D$5)&amp;"",""))</f>
        <v/>
      </c>
      <c r="E4948" s="17">
        <f>IF(B4948="","",IFERROR(INDEX(Clay_Brands!$A$2:$FZ$601,297,Sync!$D$6)&amp;"",""))</f>
        <v/>
      </c>
      <c r="F4948" s="17">
        <f>IF(B4948="","","outreach_sent")</f>
        <v/>
      </c>
      <c r="G4948" s="17">
        <f>IF(B4948="","","")</f>
        <v/>
      </c>
      <c r="H4948" s="17">
        <f>IF(B4948="","","")</f>
        <v/>
      </c>
      <c r="I4948" s="17">
        <f>IF(B4948="","","")</f>
        <v/>
      </c>
      <c r="J4948" s="17">
        <f>IF(B4948="","","touch_3; "&amp;IFERROR(INDEX(Clay_Brands!$A$2:$FZ$601,297,Sync!$D$10)&amp;"","")&amp;"; "&amp;IFERROR(INDEX(Clay_Brands!$A$2:$FZ$601,297,Sync!$D$9)&amp;"",""))</f>
        <v/>
      </c>
      <c r="K4948" t="inlineStr">
        <is>
          <t>brand outreach touch 3</t>
        </is>
      </c>
    </row>
    <row r="4949">
      <c r="A4949" s="17">
        <f>IF(B4949="","",B4949+(17*1000+298)/10000000)</f>
        <v/>
      </c>
      <c r="B4949" s="23">
        <f>IF(AND(IFERROR(N(INDEX(Clay_Brands!$A$2:$FZ$601,298,Sync!$D$13)),0)&gt;0,IFERROR(INDEX(Clay_Brands!$A$2:$FZ$601,298,Sync!$D$5)&amp;"","")&lt;&gt;"",OR(LEFT(IFERROR(INDEX(Clay_Brands!$A$2:$FZ$601,298,Sync!$D$5)&amp;"",""),6)&lt;&gt;"SAMPLE",Config!$B$19="Y")),IFERROR(N(INDEX(Clay_Brands!$A$2:$FZ$601,298,Sync!$D$13)),0),"")</f>
        <v/>
      </c>
      <c r="C4949" s="17">
        <f>IF(B4949="","","brand")</f>
        <v/>
      </c>
      <c r="D4949" s="17">
        <f>IF(B4949="","",IFERROR(INDEX(Clay_Brands!$A$2:$FZ$601,298,Sync!$D$5)&amp;"",""))</f>
        <v/>
      </c>
      <c r="E4949" s="17">
        <f>IF(B4949="","",IFERROR(INDEX(Clay_Brands!$A$2:$FZ$601,298,Sync!$D$6)&amp;"",""))</f>
        <v/>
      </c>
      <c r="F4949" s="17">
        <f>IF(B4949="","","outreach_sent")</f>
        <v/>
      </c>
      <c r="G4949" s="17">
        <f>IF(B4949="","","")</f>
        <v/>
      </c>
      <c r="H4949" s="17">
        <f>IF(B4949="","","")</f>
        <v/>
      </c>
      <c r="I4949" s="17">
        <f>IF(B4949="","","")</f>
        <v/>
      </c>
      <c r="J4949" s="17">
        <f>IF(B4949="","","touch_3; "&amp;IFERROR(INDEX(Clay_Brands!$A$2:$FZ$601,298,Sync!$D$10)&amp;"","")&amp;"; "&amp;IFERROR(INDEX(Clay_Brands!$A$2:$FZ$601,298,Sync!$D$9)&amp;"",""))</f>
        <v/>
      </c>
      <c r="K4949" t="inlineStr">
        <is>
          <t>brand outreach touch 3</t>
        </is>
      </c>
    </row>
    <row r="4950">
      <c r="A4950" s="17">
        <f>IF(B4950="","",B4950+(17*1000+299)/10000000)</f>
        <v/>
      </c>
      <c r="B4950" s="23">
        <f>IF(AND(IFERROR(N(INDEX(Clay_Brands!$A$2:$FZ$601,299,Sync!$D$13)),0)&gt;0,IFERROR(INDEX(Clay_Brands!$A$2:$FZ$601,299,Sync!$D$5)&amp;"","")&lt;&gt;"",OR(LEFT(IFERROR(INDEX(Clay_Brands!$A$2:$FZ$601,299,Sync!$D$5)&amp;"",""),6)&lt;&gt;"SAMPLE",Config!$B$19="Y")),IFERROR(N(INDEX(Clay_Brands!$A$2:$FZ$601,299,Sync!$D$13)),0),"")</f>
        <v/>
      </c>
      <c r="C4950" s="17">
        <f>IF(B4950="","","brand")</f>
        <v/>
      </c>
      <c r="D4950" s="17">
        <f>IF(B4950="","",IFERROR(INDEX(Clay_Brands!$A$2:$FZ$601,299,Sync!$D$5)&amp;"",""))</f>
        <v/>
      </c>
      <c r="E4950" s="17">
        <f>IF(B4950="","",IFERROR(INDEX(Clay_Brands!$A$2:$FZ$601,299,Sync!$D$6)&amp;"",""))</f>
        <v/>
      </c>
      <c r="F4950" s="17">
        <f>IF(B4950="","","outreach_sent")</f>
        <v/>
      </c>
      <c r="G4950" s="17">
        <f>IF(B4950="","","")</f>
        <v/>
      </c>
      <c r="H4950" s="17">
        <f>IF(B4950="","","")</f>
        <v/>
      </c>
      <c r="I4950" s="17">
        <f>IF(B4950="","","")</f>
        <v/>
      </c>
      <c r="J4950" s="17">
        <f>IF(B4950="","","touch_3; "&amp;IFERROR(INDEX(Clay_Brands!$A$2:$FZ$601,299,Sync!$D$10)&amp;"","")&amp;"; "&amp;IFERROR(INDEX(Clay_Brands!$A$2:$FZ$601,299,Sync!$D$9)&amp;"",""))</f>
        <v/>
      </c>
      <c r="K4950" t="inlineStr">
        <is>
          <t>brand outreach touch 3</t>
        </is>
      </c>
    </row>
    <row r="4951">
      <c r="A4951" s="17">
        <f>IF(B4951="","",B4951+(17*1000+300)/10000000)</f>
        <v/>
      </c>
      <c r="B4951" s="23">
        <f>IF(AND(IFERROR(N(INDEX(Clay_Brands!$A$2:$FZ$601,300,Sync!$D$13)),0)&gt;0,IFERROR(INDEX(Clay_Brands!$A$2:$FZ$601,300,Sync!$D$5)&amp;"","")&lt;&gt;"",OR(LEFT(IFERROR(INDEX(Clay_Brands!$A$2:$FZ$601,300,Sync!$D$5)&amp;"",""),6)&lt;&gt;"SAMPLE",Config!$B$19="Y")),IFERROR(N(INDEX(Clay_Brands!$A$2:$FZ$601,300,Sync!$D$13)),0),"")</f>
        <v/>
      </c>
      <c r="C4951" s="17">
        <f>IF(B4951="","","brand")</f>
        <v/>
      </c>
      <c r="D4951" s="17">
        <f>IF(B4951="","",IFERROR(INDEX(Clay_Brands!$A$2:$FZ$601,300,Sync!$D$5)&amp;"",""))</f>
        <v/>
      </c>
      <c r="E4951" s="17">
        <f>IF(B4951="","",IFERROR(INDEX(Clay_Brands!$A$2:$FZ$601,300,Sync!$D$6)&amp;"",""))</f>
        <v/>
      </c>
      <c r="F4951" s="17">
        <f>IF(B4951="","","outreach_sent")</f>
        <v/>
      </c>
      <c r="G4951" s="17">
        <f>IF(B4951="","","")</f>
        <v/>
      </c>
      <c r="H4951" s="17">
        <f>IF(B4951="","","")</f>
        <v/>
      </c>
      <c r="I4951" s="17">
        <f>IF(B4951="","","")</f>
        <v/>
      </c>
      <c r="J4951" s="17">
        <f>IF(B4951="","","touch_3; "&amp;IFERROR(INDEX(Clay_Brands!$A$2:$FZ$601,300,Sync!$D$10)&amp;"","")&amp;"; "&amp;IFERROR(INDEX(Clay_Brands!$A$2:$FZ$601,300,Sync!$D$9)&amp;"",""))</f>
        <v/>
      </c>
      <c r="K4951" t="inlineStr">
        <is>
          <t>brand outreach touch 3</t>
        </is>
      </c>
    </row>
    <row r="4952">
      <c r="A4952" s="17">
        <f>IF(B4952="","",B4952+(17*1000+301)/10000000)</f>
        <v/>
      </c>
      <c r="B4952" s="23">
        <f>IF(AND(IFERROR(N(INDEX(Clay_Brands!$A$2:$FZ$601,301,Sync!$D$13)),0)&gt;0,IFERROR(INDEX(Clay_Brands!$A$2:$FZ$601,301,Sync!$D$5)&amp;"","")&lt;&gt;"",OR(LEFT(IFERROR(INDEX(Clay_Brands!$A$2:$FZ$601,301,Sync!$D$5)&amp;"",""),6)&lt;&gt;"SAMPLE",Config!$B$19="Y")),IFERROR(N(INDEX(Clay_Brands!$A$2:$FZ$601,301,Sync!$D$13)),0),"")</f>
        <v/>
      </c>
      <c r="C4952" s="17">
        <f>IF(B4952="","","brand")</f>
        <v/>
      </c>
      <c r="D4952" s="17">
        <f>IF(B4952="","",IFERROR(INDEX(Clay_Brands!$A$2:$FZ$601,301,Sync!$D$5)&amp;"",""))</f>
        <v/>
      </c>
      <c r="E4952" s="17">
        <f>IF(B4952="","",IFERROR(INDEX(Clay_Brands!$A$2:$FZ$601,301,Sync!$D$6)&amp;"",""))</f>
        <v/>
      </c>
      <c r="F4952" s="17">
        <f>IF(B4952="","","outreach_sent")</f>
        <v/>
      </c>
      <c r="G4952" s="17">
        <f>IF(B4952="","","")</f>
        <v/>
      </c>
      <c r="H4952" s="17">
        <f>IF(B4952="","","")</f>
        <v/>
      </c>
      <c r="I4952" s="17">
        <f>IF(B4952="","","")</f>
        <v/>
      </c>
      <c r="J4952" s="17">
        <f>IF(B4952="","","touch_3; "&amp;IFERROR(INDEX(Clay_Brands!$A$2:$FZ$601,301,Sync!$D$10)&amp;"","")&amp;"; "&amp;IFERROR(INDEX(Clay_Brands!$A$2:$FZ$601,301,Sync!$D$9)&amp;"",""))</f>
        <v/>
      </c>
      <c r="K4952" t="inlineStr">
        <is>
          <t>brand outreach touch 3</t>
        </is>
      </c>
    </row>
    <row r="4953">
      <c r="A4953" s="17">
        <f>IF(B4953="","",B4953+(17*1000+302)/10000000)</f>
        <v/>
      </c>
      <c r="B4953" s="23">
        <f>IF(AND(IFERROR(N(INDEX(Clay_Brands!$A$2:$FZ$601,302,Sync!$D$13)),0)&gt;0,IFERROR(INDEX(Clay_Brands!$A$2:$FZ$601,302,Sync!$D$5)&amp;"","")&lt;&gt;"",OR(LEFT(IFERROR(INDEX(Clay_Brands!$A$2:$FZ$601,302,Sync!$D$5)&amp;"",""),6)&lt;&gt;"SAMPLE",Config!$B$19="Y")),IFERROR(N(INDEX(Clay_Brands!$A$2:$FZ$601,302,Sync!$D$13)),0),"")</f>
        <v/>
      </c>
      <c r="C4953" s="17">
        <f>IF(B4953="","","brand")</f>
        <v/>
      </c>
      <c r="D4953" s="17">
        <f>IF(B4953="","",IFERROR(INDEX(Clay_Brands!$A$2:$FZ$601,302,Sync!$D$5)&amp;"",""))</f>
        <v/>
      </c>
      <c r="E4953" s="17">
        <f>IF(B4953="","",IFERROR(INDEX(Clay_Brands!$A$2:$FZ$601,302,Sync!$D$6)&amp;"",""))</f>
        <v/>
      </c>
      <c r="F4953" s="17">
        <f>IF(B4953="","","outreach_sent")</f>
        <v/>
      </c>
      <c r="G4953" s="17">
        <f>IF(B4953="","","")</f>
        <v/>
      </c>
      <c r="H4953" s="17">
        <f>IF(B4953="","","")</f>
        <v/>
      </c>
      <c r="I4953" s="17">
        <f>IF(B4953="","","")</f>
        <v/>
      </c>
      <c r="J4953" s="17">
        <f>IF(B4953="","","touch_3; "&amp;IFERROR(INDEX(Clay_Brands!$A$2:$FZ$601,302,Sync!$D$10)&amp;"","")&amp;"; "&amp;IFERROR(INDEX(Clay_Brands!$A$2:$FZ$601,302,Sync!$D$9)&amp;"",""))</f>
        <v/>
      </c>
      <c r="K4953" t="inlineStr">
        <is>
          <t>brand outreach touch 3</t>
        </is>
      </c>
    </row>
    <row r="4954">
      <c r="A4954" s="17">
        <f>IF(B4954="","",B4954+(17*1000+303)/10000000)</f>
        <v/>
      </c>
      <c r="B4954" s="23">
        <f>IF(AND(IFERROR(N(INDEX(Clay_Brands!$A$2:$FZ$601,303,Sync!$D$13)),0)&gt;0,IFERROR(INDEX(Clay_Brands!$A$2:$FZ$601,303,Sync!$D$5)&amp;"","")&lt;&gt;"",OR(LEFT(IFERROR(INDEX(Clay_Brands!$A$2:$FZ$601,303,Sync!$D$5)&amp;"",""),6)&lt;&gt;"SAMPLE",Config!$B$19="Y")),IFERROR(N(INDEX(Clay_Brands!$A$2:$FZ$601,303,Sync!$D$13)),0),"")</f>
        <v/>
      </c>
      <c r="C4954" s="17">
        <f>IF(B4954="","","brand")</f>
        <v/>
      </c>
      <c r="D4954" s="17">
        <f>IF(B4954="","",IFERROR(INDEX(Clay_Brands!$A$2:$FZ$601,303,Sync!$D$5)&amp;"",""))</f>
        <v/>
      </c>
      <c r="E4954" s="17">
        <f>IF(B4954="","",IFERROR(INDEX(Clay_Brands!$A$2:$FZ$601,303,Sync!$D$6)&amp;"",""))</f>
        <v/>
      </c>
      <c r="F4954" s="17">
        <f>IF(B4954="","","outreach_sent")</f>
        <v/>
      </c>
      <c r="G4954" s="17">
        <f>IF(B4954="","","")</f>
        <v/>
      </c>
      <c r="H4954" s="17">
        <f>IF(B4954="","","")</f>
        <v/>
      </c>
      <c r="I4954" s="17">
        <f>IF(B4954="","","")</f>
        <v/>
      </c>
      <c r="J4954" s="17">
        <f>IF(B4954="","","touch_3; "&amp;IFERROR(INDEX(Clay_Brands!$A$2:$FZ$601,303,Sync!$D$10)&amp;"","")&amp;"; "&amp;IFERROR(INDEX(Clay_Brands!$A$2:$FZ$601,303,Sync!$D$9)&amp;"",""))</f>
        <v/>
      </c>
      <c r="K4954" t="inlineStr">
        <is>
          <t>brand outreach touch 3</t>
        </is>
      </c>
    </row>
    <row r="4955">
      <c r="A4955" s="17">
        <f>IF(B4955="","",B4955+(17*1000+304)/10000000)</f>
        <v/>
      </c>
      <c r="B4955" s="23">
        <f>IF(AND(IFERROR(N(INDEX(Clay_Brands!$A$2:$FZ$601,304,Sync!$D$13)),0)&gt;0,IFERROR(INDEX(Clay_Brands!$A$2:$FZ$601,304,Sync!$D$5)&amp;"","")&lt;&gt;"",OR(LEFT(IFERROR(INDEX(Clay_Brands!$A$2:$FZ$601,304,Sync!$D$5)&amp;"",""),6)&lt;&gt;"SAMPLE",Config!$B$19="Y")),IFERROR(N(INDEX(Clay_Brands!$A$2:$FZ$601,304,Sync!$D$13)),0),"")</f>
        <v/>
      </c>
      <c r="C4955" s="17">
        <f>IF(B4955="","","brand")</f>
        <v/>
      </c>
      <c r="D4955" s="17">
        <f>IF(B4955="","",IFERROR(INDEX(Clay_Brands!$A$2:$FZ$601,304,Sync!$D$5)&amp;"",""))</f>
        <v/>
      </c>
      <c r="E4955" s="17">
        <f>IF(B4955="","",IFERROR(INDEX(Clay_Brands!$A$2:$FZ$601,304,Sync!$D$6)&amp;"",""))</f>
        <v/>
      </c>
      <c r="F4955" s="17">
        <f>IF(B4955="","","outreach_sent")</f>
        <v/>
      </c>
      <c r="G4955" s="17">
        <f>IF(B4955="","","")</f>
        <v/>
      </c>
      <c r="H4955" s="17">
        <f>IF(B4955="","","")</f>
        <v/>
      </c>
      <c r="I4955" s="17">
        <f>IF(B4955="","","")</f>
        <v/>
      </c>
      <c r="J4955" s="17">
        <f>IF(B4955="","","touch_3; "&amp;IFERROR(INDEX(Clay_Brands!$A$2:$FZ$601,304,Sync!$D$10)&amp;"","")&amp;"; "&amp;IFERROR(INDEX(Clay_Brands!$A$2:$FZ$601,304,Sync!$D$9)&amp;"",""))</f>
        <v/>
      </c>
      <c r="K4955" t="inlineStr">
        <is>
          <t>brand outreach touch 3</t>
        </is>
      </c>
    </row>
    <row r="4956">
      <c r="A4956" s="17">
        <f>IF(B4956="","",B4956+(17*1000+305)/10000000)</f>
        <v/>
      </c>
      <c r="B4956" s="23">
        <f>IF(AND(IFERROR(N(INDEX(Clay_Brands!$A$2:$FZ$601,305,Sync!$D$13)),0)&gt;0,IFERROR(INDEX(Clay_Brands!$A$2:$FZ$601,305,Sync!$D$5)&amp;"","")&lt;&gt;"",OR(LEFT(IFERROR(INDEX(Clay_Brands!$A$2:$FZ$601,305,Sync!$D$5)&amp;"",""),6)&lt;&gt;"SAMPLE",Config!$B$19="Y")),IFERROR(N(INDEX(Clay_Brands!$A$2:$FZ$601,305,Sync!$D$13)),0),"")</f>
        <v/>
      </c>
      <c r="C4956" s="17">
        <f>IF(B4956="","","brand")</f>
        <v/>
      </c>
      <c r="D4956" s="17">
        <f>IF(B4956="","",IFERROR(INDEX(Clay_Brands!$A$2:$FZ$601,305,Sync!$D$5)&amp;"",""))</f>
        <v/>
      </c>
      <c r="E4956" s="17">
        <f>IF(B4956="","",IFERROR(INDEX(Clay_Brands!$A$2:$FZ$601,305,Sync!$D$6)&amp;"",""))</f>
        <v/>
      </c>
      <c r="F4956" s="17">
        <f>IF(B4956="","","outreach_sent")</f>
        <v/>
      </c>
      <c r="G4956" s="17">
        <f>IF(B4956="","","")</f>
        <v/>
      </c>
      <c r="H4956" s="17">
        <f>IF(B4956="","","")</f>
        <v/>
      </c>
      <c r="I4956" s="17">
        <f>IF(B4956="","","")</f>
        <v/>
      </c>
      <c r="J4956" s="17">
        <f>IF(B4956="","","touch_3; "&amp;IFERROR(INDEX(Clay_Brands!$A$2:$FZ$601,305,Sync!$D$10)&amp;"","")&amp;"; "&amp;IFERROR(INDEX(Clay_Brands!$A$2:$FZ$601,305,Sync!$D$9)&amp;"",""))</f>
        <v/>
      </c>
      <c r="K4956" t="inlineStr">
        <is>
          <t>brand outreach touch 3</t>
        </is>
      </c>
    </row>
    <row r="4957">
      <c r="A4957" s="17">
        <f>IF(B4957="","",B4957+(17*1000+306)/10000000)</f>
        <v/>
      </c>
      <c r="B4957" s="23">
        <f>IF(AND(IFERROR(N(INDEX(Clay_Brands!$A$2:$FZ$601,306,Sync!$D$13)),0)&gt;0,IFERROR(INDEX(Clay_Brands!$A$2:$FZ$601,306,Sync!$D$5)&amp;"","")&lt;&gt;"",OR(LEFT(IFERROR(INDEX(Clay_Brands!$A$2:$FZ$601,306,Sync!$D$5)&amp;"",""),6)&lt;&gt;"SAMPLE",Config!$B$19="Y")),IFERROR(N(INDEX(Clay_Brands!$A$2:$FZ$601,306,Sync!$D$13)),0),"")</f>
        <v/>
      </c>
      <c r="C4957" s="17">
        <f>IF(B4957="","","brand")</f>
        <v/>
      </c>
      <c r="D4957" s="17">
        <f>IF(B4957="","",IFERROR(INDEX(Clay_Brands!$A$2:$FZ$601,306,Sync!$D$5)&amp;"",""))</f>
        <v/>
      </c>
      <c r="E4957" s="17">
        <f>IF(B4957="","",IFERROR(INDEX(Clay_Brands!$A$2:$FZ$601,306,Sync!$D$6)&amp;"",""))</f>
        <v/>
      </c>
      <c r="F4957" s="17">
        <f>IF(B4957="","","outreach_sent")</f>
        <v/>
      </c>
      <c r="G4957" s="17">
        <f>IF(B4957="","","")</f>
        <v/>
      </c>
      <c r="H4957" s="17">
        <f>IF(B4957="","","")</f>
        <v/>
      </c>
      <c r="I4957" s="17">
        <f>IF(B4957="","","")</f>
        <v/>
      </c>
      <c r="J4957" s="17">
        <f>IF(B4957="","","touch_3; "&amp;IFERROR(INDEX(Clay_Brands!$A$2:$FZ$601,306,Sync!$D$10)&amp;"","")&amp;"; "&amp;IFERROR(INDEX(Clay_Brands!$A$2:$FZ$601,306,Sync!$D$9)&amp;"",""))</f>
        <v/>
      </c>
      <c r="K4957" t="inlineStr">
        <is>
          <t>brand outreach touch 3</t>
        </is>
      </c>
    </row>
    <row r="4958">
      <c r="A4958" s="17">
        <f>IF(B4958="","",B4958+(17*1000+307)/10000000)</f>
        <v/>
      </c>
      <c r="B4958" s="23">
        <f>IF(AND(IFERROR(N(INDEX(Clay_Brands!$A$2:$FZ$601,307,Sync!$D$13)),0)&gt;0,IFERROR(INDEX(Clay_Brands!$A$2:$FZ$601,307,Sync!$D$5)&amp;"","")&lt;&gt;"",OR(LEFT(IFERROR(INDEX(Clay_Brands!$A$2:$FZ$601,307,Sync!$D$5)&amp;"",""),6)&lt;&gt;"SAMPLE",Config!$B$19="Y")),IFERROR(N(INDEX(Clay_Brands!$A$2:$FZ$601,307,Sync!$D$13)),0),"")</f>
        <v/>
      </c>
      <c r="C4958" s="17">
        <f>IF(B4958="","","brand")</f>
        <v/>
      </c>
      <c r="D4958" s="17">
        <f>IF(B4958="","",IFERROR(INDEX(Clay_Brands!$A$2:$FZ$601,307,Sync!$D$5)&amp;"",""))</f>
        <v/>
      </c>
      <c r="E4958" s="17">
        <f>IF(B4958="","",IFERROR(INDEX(Clay_Brands!$A$2:$FZ$601,307,Sync!$D$6)&amp;"",""))</f>
        <v/>
      </c>
      <c r="F4958" s="17">
        <f>IF(B4958="","","outreach_sent")</f>
        <v/>
      </c>
      <c r="G4958" s="17">
        <f>IF(B4958="","","")</f>
        <v/>
      </c>
      <c r="H4958" s="17">
        <f>IF(B4958="","","")</f>
        <v/>
      </c>
      <c r="I4958" s="17">
        <f>IF(B4958="","","")</f>
        <v/>
      </c>
      <c r="J4958" s="17">
        <f>IF(B4958="","","touch_3; "&amp;IFERROR(INDEX(Clay_Brands!$A$2:$FZ$601,307,Sync!$D$10)&amp;"","")&amp;"; "&amp;IFERROR(INDEX(Clay_Brands!$A$2:$FZ$601,307,Sync!$D$9)&amp;"",""))</f>
        <v/>
      </c>
      <c r="K4958" t="inlineStr">
        <is>
          <t>brand outreach touch 3</t>
        </is>
      </c>
    </row>
    <row r="4959">
      <c r="A4959" s="17">
        <f>IF(B4959="","",B4959+(17*1000+308)/10000000)</f>
        <v/>
      </c>
      <c r="B4959" s="23">
        <f>IF(AND(IFERROR(N(INDEX(Clay_Brands!$A$2:$FZ$601,308,Sync!$D$13)),0)&gt;0,IFERROR(INDEX(Clay_Brands!$A$2:$FZ$601,308,Sync!$D$5)&amp;"","")&lt;&gt;"",OR(LEFT(IFERROR(INDEX(Clay_Brands!$A$2:$FZ$601,308,Sync!$D$5)&amp;"",""),6)&lt;&gt;"SAMPLE",Config!$B$19="Y")),IFERROR(N(INDEX(Clay_Brands!$A$2:$FZ$601,308,Sync!$D$13)),0),"")</f>
        <v/>
      </c>
      <c r="C4959" s="17">
        <f>IF(B4959="","","brand")</f>
        <v/>
      </c>
      <c r="D4959" s="17">
        <f>IF(B4959="","",IFERROR(INDEX(Clay_Brands!$A$2:$FZ$601,308,Sync!$D$5)&amp;"",""))</f>
        <v/>
      </c>
      <c r="E4959" s="17">
        <f>IF(B4959="","",IFERROR(INDEX(Clay_Brands!$A$2:$FZ$601,308,Sync!$D$6)&amp;"",""))</f>
        <v/>
      </c>
      <c r="F4959" s="17">
        <f>IF(B4959="","","outreach_sent")</f>
        <v/>
      </c>
      <c r="G4959" s="17">
        <f>IF(B4959="","","")</f>
        <v/>
      </c>
      <c r="H4959" s="17">
        <f>IF(B4959="","","")</f>
        <v/>
      </c>
      <c r="I4959" s="17">
        <f>IF(B4959="","","")</f>
        <v/>
      </c>
      <c r="J4959" s="17">
        <f>IF(B4959="","","touch_3; "&amp;IFERROR(INDEX(Clay_Brands!$A$2:$FZ$601,308,Sync!$D$10)&amp;"","")&amp;"; "&amp;IFERROR(INDEX(Clay_Brands!$A$2:$FZ$601,308,Sync!$D$9)&amp;"",""))</f>
        <v/>
      </c>
      <c r="K4959" t="inlineStr">
        <is>
          <t>brand outreach touch 3</t>
        </is>
      </c>
    </row>
    <row r="4960">
      <c r="A4960" s="17">
        <f>IF(B4960="","",B4960+(17*1000+309)/10000000)</f>
        <v/>
      </c>
      <c r="B4960" s="23">
        <f>IF(AND(IFERROR(N(INDEX(Clay_Brands!$A$2:$FZ$601,309,Sync!$D$13)),0)&gt;0,IFERROR(INDEX(Clay_Brands!$A$2:$FZ$601,309,Sync!$D$5)&amp;"","")&lt;&gt;"",OR(LEFT(IFERROR(INDEX(Clay_Brands!$A$2:$FZ$601,309,Sync!$D$5)&amp;"",""),6)&lt;&gt;"SAMPLE",Config!$B$19="Y")),IFERROR(N(INDEX(Clay_Brands!$A$2:$FZ$601,309,Sync!$D$13)),0),"")</f>
        <v/>
      </c>
      <c r="C4960" s="17">
        <f>IF(B4960="","","brand")</f>
        <v/>
      </c>
      <c r="D4960" s="17">
        <f>IF(B4960="","",IFERROR(INDEX(Clay_Brands!$A$2:$FZ$601,309,Sync!$D$5)&amp;"",""))</f>
        <v/>
      </c>
      <c r="E4960" s="17">
        <f>IF(B4960="","",IFERROR(INDEX(Clay_Brands!$A$2:$FZ$601,309,Sync!$D$6)&amp;"",""))</f>
        <v/>
      </c>
      <c r="F4960" s="17">
        <f>IF(B4960="","","outreach_sent")</f>
        <v/>
      </c>
      <c r="G4960" s="17">
        <f>IF(B4960="","","")</f>
        <v/>
      </c>
      <c r="H4960" s="17">
        <f>IF(B4960="","","")</f>
        <v/>
      </c>
      <c r="I4960" s="17">
        <f>IF(B4960="","","")</f>
        <v/>
      </c>
      <c r="J4960" s="17">
        <f>IF(B4960="","","touch_3; "&amp;IFERROR(INDEX(Clay_Brands!$A$2:$FZ$601,309,Sync!$D$10)&amp;"","")&amp;"; "&amp;IFERROR(INDEX(Clay_Brands!$A$2:$FZ$601,309,Sync!$D$9)&amp;"",""))</f>
        <v/>
      </c>
      <c r="K4960" t="inlineStr">
        <is>
          <t>brand outreach touch 3</t>
        </is>
      </c>
    </row>
    <row r="4961">
      <c r="A4961" s="17">
        <f>IF(B4961="","",B4961+(17*1000+310)/10000000)</f>
        <v/>
      </c>
      <c r="B4961" s="23">
        <f>IF(AND(IFERROR(N(INDEX(Clay_Brands!$A$2:$FZ$601,310,Sync!$D$13)),0)&gt;0,IFERROR(INDEX(Clay_Brands!$A$2:$FZ$601,310,Sync!$D$5)&amp;"","")&lt;&gt;"",OR(LEFT(IFERROR(INDEX(Clay_Brands!$A$2:$FZ$601,310,Sync!$D$5)&amp;"",""),6)&lt;&gt;"SAMPLE",Config!$B$19="Y")),IFERROR(N(INDEX(Clay_Brands!$A$2:$FZ$601,310,Sync!$D$13)),0),"")</f>
        <v/>
      </c>
      <c r="C4961" s="17">
        <f>IF(B4961="","","brand")</f>
        <v/>
      </c>
      <c r="D4961" s="17">
        <f>IF(B4961="","",IFERROR(INDEX(Clay_Brands!$A$2:$FZ$601,310,Sync!$D$5)&amp;"",""))</f>
        <v/>
      </c>
      <c r="E4961" s="17">
        <f>IF(B4961="","",IFERROR(INDEX(Clay_Brands!$A$2:$FZ$601,310,Sync!$D$6)&amp;"",""))</f>
        <v/>
      </c>
      <c r="F4961" s="17">
        <f>IF(B4961="","","outreach_sent")</f>
        <v/>
      </c>
      <c r="G4961" s="17">
        <f>IF(B4961="","","")</f>
        <v/>
      </c>
      <c r="H4961" s="17">
        <f>IF(B4961="","","")</f>
        <v/>
      </c>
      <c r="I4961" s="17">
        <f>IF(B4961="","","")</f>
        <v/>
      </c>
      <c r="J4961" s="17">
        <f>IF(B4961="","","touch_3; "&amp;IFERROR(INDEX(Clay_Brands!$A$2:$FZ$601,310,Sync!$D$10)&amp;"","")&amp;"; "&amp;IFERROR(INDEX(Clay_Brands!$A$2:$FZ$601,310,Sync!$D$9)&amp;"",""))</f>
        <v/>
      </c>
      <c r="K4961" t="inlineStr">
        <is>
          <t>brand outreach touch 3</t>
        </is>
      </c>
    </row>
    <row r="4962">
      <c r="A4962" s="17">
        <f>IF(B4962="","",B4962+(17*1000+311)/10000000)</f>
        <v/>
      </c>
      <c r="B4962" s="23">
        <f>IF(AND(IFERROR(N(INDEX(Clay_Brands!$A$2:$FZ$601,311,Sync!$D$13)),0)&gt;0,IFERROR(INDEX(Clay_Brands!$A$2:$FZ$601,311,Sync!$D$5)&amp;"","")&lt;&gt;"",OR(LEFT(IFERROR(INDEX(Clay_Brands!$A$2:$FZ$601,311,Sync!$D$5)&amp;"",""),6)&lt;&gt;"SAMPLE",Config!$B$19="Y")),IFERROR(N(INDEX(Clay_Brands!$A$2:$FZ$601,311,Sync!$D$13)),0),"")</f>
        <v/>
      </c>
      <c r="C4962" s="17">
        <f>IF(B4962="","","brand")</f>
        <v/>
      </c>
      <c r="D4962" s="17">
        <f>IF(B4962="","",IFERROR(INDEX(Clay_Brands!$A$2:$FZ$601,311,Sync!$D$5)&amp;"",""))</f>
        <v/>
      </c>
      <c r="E4962" s="17">
        <f>IF(B4962="","",IFERROR(INDEX(Clay_Brands!$A$2:$FZ$601,311,Sync!$D$6)&amp;"",""))</f>
        <v/>
      </c>
      <c r="F4962" s="17">
        <f>IF(B4962="","","outreach_sent")</f>
        <v/>
      </c>
      <c r="G4962" s="17">
        <f>IF(B4962="","","")</f>
        <v/>
      </c>
      <c r="H4962" s="17">
        <f>IF(B4962="","","")</f>
        <v/>
      </c>
      <c r="I4962" s="17">
        <f>IF(B4962="","","")</f>
        <v/>
      </c>
      <c r="J4962" s="17">
        <f>IF(B4962="","","touch_3; "&amp;IFERROR(INDEX(Clay_Brands!$A$2:$FZ$601,311,Sync!$D$10)&amp;"","")&amp;"; "&amp;IFERROR(INDEX(Clay_Brands!$A$2:$FZ$601,311,Sync!$D$9)&amp;"",""))</f>
        <v/>
      </c>
      <c r="K4962" t="inlineStr">
        <is>
          <t>brand outreach touch 3</t>
        </is>
      </c>
    </row>
    <row r="4963">
      <c r="A4963" s="17">
        <f>IF(B4963="","",B4963+(17*1000+312)/10000000)</f>
        <v/>
      </c>
      <c r="B4963" s="23">
        <f>IF(AND(IFERROR(N(INDEX(Clay_Brands!$A$2:$FZ$601,312,Sync!$D$13)),0)&gt;0,IFERROR(INDEX(Clay_Brands!$A$2:$FZ$601,312,Sync!$D$5)&amp;"","")&lt;&gt;"",OR(LEFT(IFERROR(INDEX(Clay_Brands!$A$2:$FZ$601,312,Sync!$D$5)&amp;"",""),6)&lt;&gt;"SAMPLE",Config!$B$19="Y")),IFERROR(N(INDEX(Clay_Brands!$A$2:$FZ$601,312,Sync!$D$13)),0),"")</f>
        <v/>
      </c>
      <c r="C4963" s="17">
        <f>IF(B4963="","","brand")</f>
        <v/>
      </c>
      <c r="D4963" s="17">
        <f>IF(B4963="","",IFERROR(INDEX(Clay_Brands!$A$2:$FZ$601,312,Sync!$D$5)&amp;"",""))</f>
        <v/>
      </c>
      <c r="E4963" s="17">
        <f>IF(B4963="","",IFERROR(INDEX(Clay_Brands!$A$2:$FZ$601,312,Sync!$D$6)&amp;"",""))</f>
        <v/>
      </c>
      <c r="F4963" s="17">
        <f>IF(B4963="","","outreach_sent")</f>
        <v/>
      </c>
      <c r="G4963" s="17">
        <f>IF(B4963="","","")</f>
        <v/>
      </c>
      <c r="H4963" s="17">
        <f>IF(B4963="","","")</f>
        <v/>
      </c>
      <c r="I4963" s="17">
        <f>IF(B4963="","","")</f>
        <v/>
      </c>
      <c r="J4963" s="17">
        <f>IF(B4963="","","touch_3; "&amp;IFERROR(INDEX(Clay_Brands!$A$2:$FZ$601,312,Sync!$D$10)&amp;"","")&amp;"; "&amp;IFERROR(INDEX(Clay_Brands!$A$2:$FZ$601,312,Sync!$D$9)&amp;"",""))</f>
        <v/>
      </c>
      <c r="K4963" t="inlineStr">
        <is>
          <t>brand outreach touch 3</t>
        </is>
      </c>
    </row>
    <row r="4964">
      <c r="A4964" s="17">
        <f>IF(B4964="","",B4964+(17*1000+313)/10000000)</f>
        <v/>
      </c>
      <c r="B4964" s="23">
        <f>IF(AND(IFERROR(N(INDEX(Clay_Brands!$A$2:$FZ$601,313,Sync!$D$13)),0)&gt;0,IFERROR(INDEX(Clay_Brands!$A$2:$FZ$601,313,Sync!$D$5)&amp;"","")&lt;&gt;"",OR(LEFT(IFERROR(INDEX(Clay_Brands!$A$2:$FZ$601,313,Sync!$D$5)&amp;"",""),6)&lt;&gt;"SAMPLE",Config!$B$19="Y")),IFERROR(N(INDEX(Clay_Brands!$A$2:$FZ$601,313,Sync!$D$13)),0),"")</f>
        <v/>
      </c>
      <c r="C4964" s="17">
        <f>IF(B4964="","","brand")</f>
        <v/>
      </c>
      <c r="D4964" s="17">
        <f>IF(B4964="","",IFERROR(INDEX(Clay_Brands!$A$2:$FZ$601,313,Sync!$D$5)&amp;"",""))</f>
        <v/>
      </c>
      <c r="E4964" s="17">
        <f>IF(B4964="","",IFERROR(INDEX(Clay_Brands!$A$2:$FZ$601,313,Sync!$D$6)&amp;"",""))</f>
        <v/>
      </c>
      <c r="F4964" s="17">
        <f>IF(B4964="","","outreach_sent")</f>
        <v/>
      </c>
      <c r="G4964" s="17">
        <f>IF(B4964="","","")</f>
        <v/>
      </c>
      <c r="H4964" s="17">
        <f>IF(B4964="","","")</f>
        <v/>
      </c>
      <c r="I4964" s="17">
        <f>IF(B4964="","","")</f>
        <v/>
      </c>
      <c r="J4964" s="17">
        <f>IF(B4964="","","touch_3; "&amp;IFERROR(INDEX(Clay_Brands!$A$2:$FZ$601,313,Sync!$D$10)&amp;"","")&amp;"; "&amp;IFERROR(INDEX(Clay_Brands!$A$2:$FZ$601,313,Sync!$D$9)&amp;"",""))</f>
        <v/>
      </c>
      <c r="K4964" t="inlineStr">
        <is>
          <t>brand outreach touch 3</t>
        </is>
      </c>
    </row>
    <row r="4965">
      <c r="A4965" s="17">
        <f>IF(B4965="","",B4965+(17*1000+314)/10000000)</f>
        <v/>
      </c>
      <c r="B4965" s="23">
        <f>IF(AND(IFERROR(N(INDEX(Clay_Brands!$A$2:$FZ$601,314,Sync!$D$13)),0)&gt;0,IFERROR(INDEX(Clay_Brands!$A$2:$FZ$601,314,Sync!$D$5)&amp;"","")&lt;&gt;"",OR(LEFT(IFERROR(INDEX(Clay_Brands!$A$2:$FZ$601,314,Sync!$D$5)&amp;"",""),6)&lt;&gt;"SAMPLE",Config!$B$19="Y")),IFERROR(N(INDEX(Clay_Brands!$A$2:$FZ$601,314,Sync!$D$13)),0),"")</f>
        <v/>
      </c>
      <c r="C4965" s="17">
        <f>IF(B4965="","","brand")</f>
        <v/>
      </c>
      <c r="D4965" s="17">
        <f>IF(B4965="","",IFERROR(INDEX(Clay_Brands!$A$2:$FZ$601,314,Sync!$D$5)&amp;"",""))</f>
        <v/>
      </c>
      <c r="E4965" s="17">
        <f>IF(B4965="","",IFERROR(INDEX(Clay_Brands!$A$2:$FZ$601,314,Sync!$D$6)&amp;"",""))</f>
        <v/>
      </c>
      <c r="F4965" s="17">
        <f>IF(B4965="","","outreach_sent")</f>
        <v/>
      </c>
      <c r="G4965" s="17">
        <f>IF(B4965="","","")</f>
        <v/>
      </c>
      <c r="H4965" s="17">
        <f>IF(B4965="","","")</f>
        <v/>
      </c>
      <c r="I4965" s="17">
        <f>IF(B4965="","","")</f>
        <v/>
      </c>
      <c r="J4965" s="17">
        <f>IF(B4965="","","touch_3; "&amp;IFERROR(INDEX(Clay_Brands!$A$2:$FZ$601,314,Sync!$D$10)&amp;"","")&amp;"; "&amp;IFERROR(INDEX(Clay_Brands!$A$2:$FZ$601,314,Sync!$D$9)&amp;"",""))</f>
        <v/>
      </c>
      <c r="K4965" t="inlineStr">
        <is>
          <t>brand outreach touch 3</t>
        </is>
      </c>
    </row>
    <row r="4966">
      <c r="A4966" s="17">
        <f>IF(B4966="","",B4966+(17*1000+315)/10000000)</f>
        <v/>
      </c>
      <c r="B4966" s="23">
        <f>IF(AND(IFERROR(N(INDEX(Clay_Brands!$A$2:$FZ$601,315,Sync!$D$13)),0)&gt;0,IFERROR(INDEX(Clay_Brands!$A$2:$FZ$601,315,Sync!$D$5)&amp;"","")&lt;&gt;"",OR(LEFT(IFERROR(INDEX(Clay_Brands!$A$2:$FZ$601,315,Sync!$D$5)&amp;"",""),6)&lt;&gt;"SAMPLE",Config!$B$19="Y")),IFERROR(N(INDEX(Clay_Brands!$A$2:$FZ$601,315,Sync!$D$13)),0),"")</f>
        <v/>
      </c>
      <c r="C4966" s="17">
        <f>IF(B4966="","","brand")</f>
        <v/>
      </c>
      <c r="D4966" s="17">
        <f>IF(B4966="","",IFERROR(INDEX(Clay_Brands!$A$2:$FZ$601,315,Sync!$D$5)&amp;"",""))</f>
        <v/>
      </c>
      <c r="E4966" s="17">
        <f>IF(B4966="","",IFERROR(INDEX(Clay_Brands!$A$2:$FZ$601,315,Sync!$D$6)&amp;"",""))</f>
        <v/>
      </c>
      <c r="F4966" s="17">
        <f>IF(B4966="","","outreach_sent")</f>
        <v/>
      </c>
      <c r="G4966" s="17">
        <f>IF(B4966="","","")</f>
        <v/>
      </c>
      <c r="H4966" s="17">
        <f>IF(B4966="","","")</f>
        <v/>
      </c>
      <c r="I4966" s="17">
        <f>IF(B4966="","","")</f>
        <v/>
      </c>
      <c r="J4966" s="17">
        <f>IF(B4966="","","touch_3; "&amp;IFERROR(INDEX(Clay_Brands!$A$2:$FZ$601,315,Sync!$D$10)&amp;"","")&amp;"; "&amp;IFERROR(INDEX(Clay_Brands!$A$2:$FZ$601,315,Sync!$D$9)&amp;"",""))</f>
        <v/>
      </c>
      <c r="K4966" t="inlineStr">
        <is>
          <t>brand outreach touch 3</t>
        </is>
      </c>
    </row>
    <row r="4967">
      <c r="A4967" s="17">
        <f>IF(B4967="","",B4967+(17*1000+316)/10000000)</f>
        <v/>
      </c>
      <c r="B4967" s="23">
        <f>IF(AND(IFERROR(N(INDEX(Clay_Brands!$A$2:$FZ$601,316,Sync!$D$13)),0)&gt;0,IFERROR(INDEX(Clay_Brands!$A$2:$FZ$601,316,Sync!$D$5)&amp;"","")&lt;&gt;"",OR(LEFT(IFERROR(INDEX(Clay_Brands!$A$2:$FZ$601,316,Sync!$D$5)&amp;"",""),6)&lt;&gt;"SAMPLE",Config!$B$19="Y")),IFERROR(N(INDEX(Clay_Brands!$A$2:$FZ$601,316,Sync!$D$13)),0),"")</f>
        <v/>
      </c>
      <c r="C4967" s="17">
        <f>IF(B4967="","","brand")</f>
        <v/>
      </c>
      <c r="D4967" s="17">
        <f>IF(B4967="","",IFERROR(INDEX(Clay_Brands!$A$2:$FZ$601,316,Sync!$D$5)&amp;"",""))</f>
        <v/>
      </c>
      <c r="E4967" s="17">
        <f>IF(B4967="","",IFERROR(INDEX(Clay_Brands!$A$2:$FZ$601,316,Sync!$D$6)&amp;"",""))</f>
        <v/>
      </c>
      <c r="F4967" s="17">
        <f>IF(B4967="","","outreach_sent")</f>
        <v/>
      </c>
      <c r="G4967" s="17">
        <f>IF(B4967="","","")</f>
        <v/>
      </c>
      <c r="H4967" s="17">
        <f>IF(B4967="","","")</f>
        <v/>
      </c>
      <c r="I4967" s="17">
        <f>IF(B4967="","","")</f>
        <v/>
      </c>
      <c r="J4967" s="17">
        <f>IF(B4967="","","touch_3; "&amp;IFERROR(INDEX(Clay_Brands!$A$2:$FZ$601,316,Sync!$D$10)&amp;"","")&amp;"; "&amp;IFERROR(INDEX(Clay_Brands!$A$2:$FZ$601,316,Sync!$D$9)&amp;"",""))</f>
        <v/>
      </c>
      <c r="K4967" t="inlineStr">
        <is>
          <t>brand outreach touch 3</t>
        </is>
      </c>
    </row>
    <row r="4968">
      <c r="A4968" s="17">
        <f>IF(B4968="","",B4968+(17*1000+317)/10000000)</f>
        <v/>
      </c>
      <c r="B4968" s="23">
        <f>IF(AND(IFERROR(N(INDEX(Clay_Brands!$A$2:$FZ$601,317,Sync!$D$13)),0)&gt;0,IFERROR(INDEX(Clay_Brands!$A$2:$FZ$601,317,Sync!$D$5)&amp;"","")&lt;&gt;"",OR(LEFT(IFERROR(INDEX(Clay_Brands!$A$2:$FZ$601,317,Sync!$D$5)&amp;"",""),6)&lt;&gt;"SAMPLE",Config!$B$19="Y")),IFERROR(N(INDEX(Clay_Brands!$A$2:$FZ$601,317,Sync!$D$13)),0),"")</f>
        <v/>
      </c>
      <c r="C4968" s="17">
        <f>IF(B4968="","","brand")</f>
        <v/>
      </c>
      <c r="D4968" s="17">
        <f>IF(B4968="","",IFERROR(INDEX(Clay_Brands!$A$2:$FZ$601,317,Sync!$D$5)&amp;"",""))</f>
        <v/>
      </c>
      <c r="E4968" s="17">
        <f>IF(B4968="","",IFERROR(INDEX(Clay_Brands!$A$2:$FZ$601,317,Sync!$D$6)&amp;"",""))</f>
        <v/>
      </c>
      <c r="F4968" s="17">
        <f>IF(B4968="","","outreach_sent")</f>
        <v/>
      </c>
      <c r="G4968" s="17">
        <f>IF(B4968="","","")</f>
        <v/>
      </c>
      <c r="H4968" s="17">
        <f>IF(B4968="","","")</f>
        <v/>
      </c>
      <c r="I4968" s="17">
        <f>IF(B4968="","","")</f>
        <v/>
      </c>
      <c r="J4968" s="17">
        <f>IF(B4968="","","touch_3; "&amp;IFERROR(INDEX(Clay_Brands!$A$2:$FZ$601,317,Sync!$D$10)&amp;"","")&amp;"; "&amp;IFERROR(INDEX(Clay_Brands!$A$2:$FZ$601,317,Sync!$D$9)&amp;"",""))</f>
        <v/>
      </c>
      <c r="K4968" t="inlineStr">
        <is>
          <t>brand outreach touch 3</t>
        </is>
      </c>
    </row>
    <row r="4969">
      <c r="A4969" s="17">
        <f>IF(B4969="","",B4969+(17*1000+318)/10000000)</f>
        <v/>
      </c>
      <c r="B4969" s="23">
        <f>IF(AND(IFERROR(N(INDEX(Clay_Brands!$A$2:$FZ$601,318,Sync!$D$13)),0)&gt;0,IFERROR(INDEX(Clay_Brands!$A$2:$FZ$601,318,Sync!$D$5)&amp;"","")&lt;&gt;"",OR(LEFT(IFERROR(INDEX(Clay_Brands!$A$2:$FZ$601,318,Sync!$D$5)&amp;"",""),6)&lt;&gt;"SAMPLE",Config!$B$19="Y")),IFERROR(N(INDEX(Clay_Brands!$A$2:$FZ$601,318,Sync!$D$13)),0),"")</f>
        <v/>
      </c>
      <c r="C4969" s="17">
        <f>IF(B4969="","","brand")</f>
        <v/>
      </c>
      <c r="D4969" s="17">
        <f>IF(B4969="","",IFERROR(INDEX(Clay_Brands!$A$2:$FZ$601,318,Sync!$D$5)&amp;"",""))</f>
        <v/>
      </c>
      <c r="E4969" s="17">
        <f>IF(B4969="","",IFERROR(INDEX(Clay_Brands!$A$2:$FZ$601,318,Sync!$D$6)&amp;"",""))</f>
        <v/>
      </c>
      <c r="F4969" s="17">
        <f>IF(B4969="","","outreach_sent")</f>
        <v/>
      </c>
      <c r="G4969" s="17">
        <f>IF(B4969="","","")</f>
        <v/>
      </c>
      <c r="H4969" s="17">
        <f>IF(B4969="","","")</f>
        <v/>
      </c>
      <c r="I4969" s="17">
        <f>IF(B4969="","","")</f>
        <v/>
      </c>
      <c r="J4969" s="17">
        <f>IF(B4969="","","touch_3; "&amp;IFERROR(INDEX(Clay_Brands!$A$2:$FZ$601,318,Sync!$D$10)&amp;"","")&amp;"; "&amp;IFERROR(INDEX(Clay_Brands!$A$2:$FZ$601,318,Sync!$D$9)&amp;"",""))</f>
        <v/>
      </c>
      <c r="K4969" t="inlineStr">
        <is>
          <t>brand outreach touch 3</t>
        </is>
      </c>
    </row>
    <row r="4970">
      <c r="A4970" s="17">
        <f>IF(B4970="","",B4970+(17*1000+319)/10000000)</f>
        <v/>
      </c>
      <c r="B4970" s="23">
        <f>IF(AND(IFERROR(N(INDEX(Clay_Brands!$A$2:$FZ$601,319,Sync!$D$13)),0)&gt;0,IFERROR(INDEX(Clay_Brands!$A$2:$FZ$601,319,Sync!$D$5)&amp;"","")&lt;&gt;"",OR(LEFT(IFERROR(INDEX(Clay_Brands!$A$2:$FZ$601,319,Sync!$D$5)&amp;"",""),6)&lt;&gt;"SAMPLE",Config!$B$19="Y")),IFERROR(N(INDEX(Clay_Brands!$A$2:$FZ$601,319,Sync!$D$13)),0),"")</f>
        <v/>
      </c>
      <c r="C4970" s="17">
        <f>IF(B4970="","","brand")</f>
        <v/>
      </c>
      <c r="D4970" s="17">
        <f>IF(B4970="","",IFERROR(INDEX(Clay_Brands!$A$2:$FZ$601,319,Sync!$D$5)&amp;"",""))</f>
        <v/>
      </c>
      <c r="E4970" s="17">
        <f>IF(B4970="","",IFERROR(INDEX(Clay_Brands!$A$2:$FZ$601,319,Sync!$D$6)&amp;"",""))</f>
        <v/>
      </c>
      <c r="F4970" s="17">
        <f>IF(B4970="","","outreach_sent")</f>
        <v/>
      </c>
      <c r="G4970" s="17">
        <f>IF(B4970="","","")</f>
        <v/>
      </c>
      <c r="H4970" s="17">
        <f>IF(B4970="","","")</f>
        <v/>
      </c>
      <c r="I4970" s="17">
        <f>IF(B4970="","","")</f>
        <v/>
      </c>
      <c r="J4970" s="17">
        <f>IF(B4970="","","touch_3; "&amp;IFERROR(INDEX(Clay_Brands!$A$2:$FZ$601,319,Sync!$D$10)&amp;"","")&amp;"; "&amp;IFERROR(INDEX(Clay_Brands!$A$2:$FZ$601,319,Sync!$D$9)&amp;"",""))</f>
        <v/>
      </c>
      <c r="K4970" t="inlineStr">
        <is>
          <t>brand outreach touch 3</t>
        </is>
      </c>
    </row>
    <row r="4971">
      <c r="A4971" s="17">
        <f>IF(B4971="","",B4971+(17*1000+320)/10000000)</f>
        <v/>
      </c>
      <c r="B4971" s="23">
        <f>IF(AND(IFERROR(N(INDEX(Clay_Brands!$A$2:$FZ$601,320,Sync!$D$13)),0)&gt;0,IFERROR(INDEX(Clay_Brands!$A$2:$FZ$601,320,Sync!$D$5)&amp;"","")&lt;&gt;"",OR(LEFT(IFERROR(INDEX(Clay_Brands!$A$2:$FZ$601,320,Sync!$D$5)&amp;"",""),6)&lt;&gt;"SAMPLE",Config!$B$19="Y")),IFERROR(N(INDEX(Clay_Brands!$A$2:$FZ$601,320,Sync!$D$13)),0),"")</f>
        <v/>
      </c>
      <c r="C4971" s="17">
        <f>IF(B4971="","","brand")</f>
        <v/>
      </c>
      <c r="D4971" s="17">
        <f>IF(B4971="","",IFERROR(INDEX(Clay_Brands!$A$2:$FZ$601,320,Sync!$D$5)&amp;"",""))</f>
        <v/>
      </c>
      <c r="E4971" s="17">
        <f>IF(B4971="","",IFERROR(INDEX(Clay_Brands!$A$2:$FZ$601,320,Sync!$D$6)&amp;"",""))</f>
        <v/>
      </c>
      <c r="F4971" s="17">
        <f>IF(B4971="","","outreach_sent")</f>
        <v/>
      </c>
      <c r="G4971" s="17">
        <f>IF(B4971="","","")</f>
        <v/>
      </c>
      <c r="H4971" s="17">
        <f>IF(B4971="","","")</f>
        <v/>
      </c>
      <c r="I4971" s="17">
        <f>IF(B4971="","","")</f>
        <v/>
      </c>
      <c r="J4971" s="17">
        <f>IF(B4971="","","touch_3; "&amp;IFERROR(INDEX(Clay_Brands!$A$2:$FZ$601,320,Sync!$D$10)&amp;"","")&amp;"; "&amp;IFERROR(INDEX(Clay_Brands!$A$2:$FZ$601,320,Sync!$D$9)&amp;"",""))</f>
        <v/>
      </c>
      <c r="K4971" t="inlineStr">
        <is>
          <t>brand outreach touch 3</t>
        </is>
      </c>
    </row>
    <row r="4972">
      <c r="A4972" s="17">
        <f>IF(B4972="","",B4972+(17*1000+321)/10000000)</f>
        <v/>
      </c>
      <c r="B4972" s="23">
        <f>IF(AND(IFERROR(N(INDEX(Clay_Brands!$A$2:$FZ$601,321,Sync!$D$13)),0)&gt;0,IFERROR(INDEX(Clay_Brands!$A$2:$FZ$601,321,Sync!$D$5)&amp;"","")&lt;&gt;"",OR(LEFT(IFERROR(INDEX(Clay_Brands!$A$2:$FZ$601,321,Sync!$D$5)&amp;"",""),6)&lt;&gt;"SAMPLE",Config!$B$19="Y")),IFERROR(N(INDEX(Clay_Brands!$A$2:$FZ$601,321,Sync!$D$13)),0),"")</f>
        <v/>
      </c>
      <c r="C4972" s="17">
        <f>IF(B4972="","","brand")</f>
        <v/>
      </c>
      <c r="D4972" s="17">
        <f>IF(B4972="","",IFERROR(INDEX(Clay_Brands!$A$2:$FZ$601,321,Sync!$D$5)&amp;"",""))</f>
        <v/>
      </c>
      <c r="E4972" s="17">
        <f>IF(B4972="","",IFERROR(INDEX(Clay_Brands!$A$2:$FZ$601,321,Sync!$D$6)&amp;"",""))</f>
        <v/>
      </c>
      <c r="F4972" s="17">
        <f>IF(B4972="","","outreach_sent")</f>
        <v/>
      </c>
      <c r="G4972" s="17">
        <f>IF(B4972="","","")</f>
        <v/>
      </c>
      <c r="H4972" s="17">
        <f>IF(B4972="","","")</f>
        <v/>
      </c>
      <c r="I4972" s="17">
        <f>IF(B4972="","","")</f>
        <v/>
      </c>
      <c r="J4972" s="17">
        <f>IF(B4972="","","touch_3; "&amp;IFERROR(INDEX(Clay_Brands!$A$2:$FZ$601,321,Sync!$D$10)&amp;"","")&amp;"; "&amp;IFERROR(INDEX(Clay_Brands!$A$2:$FZ$601,321,Sync!$D$9)&amp;"",""))</f>
        <v/>
      </c>
      <c r="K4972" t="inlineStr">
        <is>
          <t>brand outreach touch 3</t>
        </is>
      </c>
    </row>
    <row r="4973">
      <c r="A4973" s="17">
        <f>IF(B4973="","",B4973+(17*1000+322)/10000000)</f>
        <v/>
      </c>
      <c r="B4973" s="23">
        <f>IF(AND(IFERROR(N(INDEX(Clay_Brands!$A$2:$FZ$601,322,Sync!$D$13)),0)&gt;0,IFERROR(INDEX(Clay_Brands!$A$2:$FZ$601,322,Sync!$D$5)&amp;"","")&lt;&gt;"",OR(LEFT(IFERROR(INDEX(Clay_Brands!$A$2:$FZ$601,322,Sync!$D$5)&amp;"",""),6)&lt;&gt;"SAMPLE",Config!$B$19="Y")),IFERROR(N(INDEX(Clay_Brands!$A$2:$FZ$601,322,Sync!$D$13)),0),"")</f>
        <v/>
      </c>
      <c r="C4973" s="17">
        <f>IF(B4973="","","brand")</f>
        <v/>
      </c>
      <c r="D4973" s="17">
        <f>IF(B4973="","",IFERROR(INDEX(Clay_Brands!$A$2:$FZ$601,322,Sync!$D$5)&amp;"",""))</f>
        <v/>
      </c>
      <c r="E4973" s="17">
        <f>IF(B4973="","",IFERROR(INDEX(Clay_Brands!$A$2:$FZ$601,322,Sync!$D$6)&amp;"",""))</f>
        <v/>
      </c>
      <c r="F4973" s="17">
        <f>IF(B4973="","","outreach_sent")</f>
        <v/>
      </c>
      <c r="G4973" s="17">
        <f>IF(B4973="","","")</f>
        <v/>
      </c>
      <c r="H4973" s="17">
        <f>IF(B4973="","","")</f>
        <v/>
      </c>
      <c r="I4973" s="17">
        <f>IF(B4973="","","")</f>
        <v/>
      </c>
      <c r="J4973" s="17">
        <f>IF(B4973="","","touch_3; "&amp;IFERROR(INDEX(Clay_Brands!$A$2:$FZ$601,322,Sync!$D$10)&amp;"","")&amp;"; "&amp;IFERROR(INDEX(Clay_Brands!$A$2:$FZ$601,322,Sync!$D$9)&amp;"",""))</f>
        <v/>
      </c>
      <c r="K4973" t="inlineStr">
        <is>
          <t>brand outreach touch 3</t>
        </is>
      </c>
    </row>
    <row r="4974">
      <c r="A4974" s="17">
        <f>IF(B4974="","",B4974+(17*1000+323)/10000000)</f>
        <v/>
      </c>
      <c r="B4974" s="23">
        <f>IF(AND(IFERROR(N(INDEX(Clay_Brands!$A$2:$FZ$601,323,Sync!$D$13)),0)&gt;0,IFERROR(INDEX(Clay_Brands!$A$2:$FZ$601,323,Sync!$D$5)&amp;"","")&lt;&gt;"",OR(LEFT(IFERROR(INDEX(Clay_Brands!$A$2:$FZ$601,323,Sync!$D$5)&amp;"",""),6)&lt;&gt;"SAMPLE",Config!$B$19="Y")),IFERROR(N(INDEX(Clay_Brands!$A$2:$FZ$601,323,Sync!$D$13)),0),"")</f>
        <v/>
      </c>
      <c r="C4974" s="17">
        <f>IF(B4974="","","brand")</f>
        <v/>
      </c>
      <c r="D4974" s="17">
        <f>IF(B4974="","",IFERROR(INDEX(Clay_Brands!$A$2:$FZ$601,323,Sync!$D$5)&amp;"",""))</f>
        <v/>
      </c>
      <c r="E4974" s="17">
        <f>IF(B4974="","",IFERROR(INDEX(Clay_Brands!$A$2:$FZ$601,323,Sync!$D$6)&amp;"",""))</f>
        <v/>
      </c>
      <c r="F4974" s="17">
        <f>IF(B4974="","","outreach_sent")</f>
        <v/>
      </c>
      <c r="G4974" s="17">
        <f>IF(B4974="","","")</f>
        <v/>
      </c>
      <c r="H4974" s="17">
        <f>IF(B4974="","","")</f>
        <v/>
      </c>
      <c r="I4974" s="17">
        <f>IF(B4974="","","")</f>
        <v/>
      </c>
      <c r="J4974" s="17">
        <f>IF(B4974="","","touch_3; "&amp;IFERROR(INDEX(Clay_Brands!$A$2:$FZ$601,323,Sync!$D$10)&amp;"","")&amp;"; "&amp;IFERROR(INDEX(Clay_Brands!$A$2:$FZ$601,323,Sync!$D$9)&amp;"",""))</f>
        <v/>
      </c>
      <c r="K4974" t="inlineStr">
        <is>
          <t>brand outreach touch 3</t>
        </is>
      </c>
    </row>
    <row r="4975">
      <c r="A4975" s="17">
        <f>IF(B4975="","",B4975+(17*1000+324)/10000000)</f>
        <v/>
      </c>
      <c r="B4975" s="23">
        <f>IF(AND(IFERROR(N(INDEX(Clay_Brands!$A$2:$FZ$601,324,Sync!$D$13)),0)&gt;0,IFERROR(INDEX(Clay_Brands!$A$2:$FZ$601,324,Sync!$D$5)&amp;"","")&lt;&gt;"",OR(LEFT(IFERROR(INDEX(Clay_Brands!$A$2:$FZ$601,324,Sync!$D$5)&amp;"",""),6)&lt;&gt;"SAMPLE",Config!$B$19="Y")),IFERROR(N(INDEX(Clay_Brands!$A$2:$FZ$601,324,Sync!$D$13)),0),"")</f>
        <v/>
      </c>
      <c r="C4975" s="17">
        <f>IF(B4975="","","brand")</f>
        <v/>
      </c>
      <c r="D4975" s="17">
        <f>IF(B4975="","",IFERROR(INDEX(Clay_Brands!$A$2:$FZ$601,324,Sync!$D$5)&amp;"",""))</f>
        <v/>
      </c>
      <c r="E4975" s="17">
        <f>IF(B4975="","",IFERROR(INDEX(Clay_Brands!$A$2:$FZ$601,324,Sync!$D$6)&amp;"",""))</f>
        <v/>
      </c>
      <c r="F4975" s="17">
        <f>IF(B4975="","","outreach_sent")</f>
        <v/>
      </c>
      <c r="G4975" s="17">
        <f>IF(B4975="","","")</f>
        <v/>
      </c>
      <c r="H4975" s="17">
        <f>IF(B4975="","","")</f>
        <v/>
      </c>
      <c r="I4975" s="17">
        <f>IF(B4975="","","")</f>
        <v/>
      </c>
      <c r="J4975" s="17">
        <f>IF(B4975="","","touch_3; "&amp;IFERROR(INDEX(Clay_Brands!$A$2:$FZ$601,324,Sync!$D$10)&amp;"","")&amp;"; "&amp;IFERROR(INDEX(Clay_Brands!$A$2:$FZ$601,324,Sync!$D$9)&amp;"",""))</f>
        <v/>
      </c>
      <c r="K4975" t="inlineStr">
        <is>
          <t>brand outreach touch 3</t>
        </is>
      </c>
    </row>
    <row r="4976">
      <c r="A4976" s="17">
        <f>IF(B4976="","",B4976+(17*1000+325)/10000000)</f>
        <v/>
      </c>
      <c r="B4976" s="23">
        <f>IF(AND(IFERROR(N(INDEX(Clay_Brands!$A$2:$FZ$601,325,Sync!$D$13)),0)&gt;0,IFERROR(INDEX(Clay_Brands!$A$2:$FZ$601,325,Sync!$D$5)&amp;"","")&lt;&gt;"",OR(LEFT(IFERROR(INDEX(Clay_Brands!$A$2:$FZ$601,325,Sync!$D$5)&amp;"",""),6)&lt;&gt;"SAMPLE",Config!$B$19="Y")),IFERROR(N(INDEX(Clay_Brands!$A$2:$FZ$601,325,Sync!$D$13)),0),"")</f>
        <v/>
      </c>
      <c r="C4976" s="17">
        <f>IF(B4976="","","brand")</f>
        <v/>
      </c>
      <c r="D4976" s="17">
        <f>IF(B4976="","",IFERROR(INDEX(Clay_Brands!$A$2:$FZ$601,325,Sync!$D$5)&amp;"",""))</f>
        <v/>
      </c>
      <c r="E4976" s="17">
        <f>IF(B4976="","",IFERROR(INDEX(Clay_Brands!$A$2:$FZ$601,325,Sync!$D$6)&amp;"",""))</f>
        <v/>
      </c>
      <c r="F4976" s="17">
        <f>IF(B4976="","","outreach_sent")</f>
        <v/>
      </c>
      <c r="G4976" s="17">
        <f>IF(B4976="","","")</f>
        <v/>
      </c>
      <c r="H4976" s="17">
        <f>IF(B4976="","","")</f>
        <v/>
      </c>
      <c r="I4976" s="17">
        <f>IF(B4976="","","")</f>
        <v/>
      </c>
      <c r="J4976" s="17">
        <f>IF(B4976="","","touch_3; "&amp;IFERROR(INDEX(Clay_Brands!$A$2:$FZ$601,325,Sync!$D$10)&amp;"","")&amp;"; "&amp;IFERROR(INDEX(Clay_Brands!$A$2:$FZ$601,325,Sync!$D$9)&amp;"",""))</f>
        <v/>
      </c>
      <c r="K4976" t="inlineStr">
        <is>
          <t>brand outreach touch 3</t>
        </is>
      </c>
    </row>
    <row r="4977">
      <c r="A4977" s="17">
        <f>IF(B4977="","",B4977+(17*1000+326)/10000000)</f>
        <v/>
      </c>
      <c r="B4977" s="23">
        <f>IF(AND(IFERROR(N(INDEX(Clay_Brands!$A$2:$FZ$601,326,Sync!$D$13)),0)&gt;0,IFERROR(INDEX(Clay_Brands!$A$2:$FZ$601,326,Sync!$D$5)&amp;"","")&lt;&gt;"",OR(LEFT(IFERROR(INDEX(Clay_Brands!$A$2:$FZ$601,326,Sync!$D$5)&amp;"",""),6)&lt;&gt;"SAMPLE",Config!$B$19="Y")),IFERROR(N(INDEX(Clay_Brands!$A$2:$FZ$601,326,Sync!$D$13)),0),"")</f>
        <v/>
      </c>
      <c r="C4977" s="17">
        <f>IF(B4977="","","brand")</f>
        <v/>
      </c>
      <c r="D4977" s="17">
        <f>IF(B4977="","",IFERROR(INDEX(Clay_Brands!$A$2:$FZ$601,326,Sync!$D$5)&amp;"",""))</f>
        <v/>
      </c>
      <c r="E4977" s="17">
        <f>IF(B4977="","",IFERROR(INDEX(Clay_Brands!$A$2:$FZ$601,326,Sync!$D$6)&amp;"",""))</f>
        <v/>
      </c>
      <c r="F4977" s="17">
        <f>IF(B4977="","","outreach_sent")</f>
        <v/>
      </c>
      <c r="G4977" s="17">
        <f>IF(B4977="","","")</f>
        <v/>
      </c>
      <c r="H4977" s="17">
        <f>IF(B4977="","","")</f>
        <v/>
      </c>
      <c r="I4977" s="17">
        <f>IF(B4977="","","")</f>
        <v/>
      </c>
      <c r="J4977" s="17">
        <f>IF(B4977="","","touch_3; "&amp;IFERROR(INDEX(Clay_Brands!$A$2:$FZ$601,326,Sync!$D$10)&amp;"","")&amp;"; "&amp;IFERROR(INDEX(Clay_Brands!$A$2:$FZ$601,326,Sync!$D$9)&amp;"",""))</f>
        <v/>
      </c>
      <c r="K4977" t="inlineStr">
        <is>
          <t>brand outreach touch 3</t>
        </is>
      </c>
    </row>
    <row r="4978">
      <c r="A4978" s="17">
        <f>IF(B4978="","",B4978+(17*1000+327)/10000000)</f>
        <v/>
      </c>
      <c r="B4978" s="23">
        <f>IF(AND(IFERROR(N(INDEX(Clay_Brands!$A$2:$FZ$601,327,Sync!$D$13)),0)&gt;0,IFERROR(INDEX(Clay_Brands!$A$2:$FZ$601,327,Sync!$D$5)&amp;"","")&lt;&gt;"",OR(LEFT(IFERROR(INDEX(Clay_Brands!$A$2:$FZ$601,327,Sync!$D$5)&amp;"",""),6)&lt;&gt;"SAMPLE",Config!$B$19="Y")),IFERROR(N(INDEX(Clay_Brands!$A$2:$FZ$601,327,Sync!$D$13)),0),"")</f>
        <v/>
      </c>
      <c r="C4978" s="17">
        <f>IF(B4978="","","brand")</f>
        <v/>
      </c>
      <c r="D4978" s="17">
        <f>IF(B4978="","",IFERROR(INDEX(Clay_Brands!$A$2:$FZ$601,327,Sync!$D$5)&amp;"",""))</f>
        <v/>
      </c>
      <c r="E4978" s="17">
        <f>IF(B4978="","",IFERROR(INDEX(Clay_Brands!$A$2:$FZ$601,327,Sync!$D$6)&amp;"",""))</f>
        <v/>
      </c>
      <c r="F4978" s="17">
        <f>IF(B4978="","","outreach_sent")</f>
        <v/>
      </c>
      <c r="G4978" s="17">
        <f>IF(B4978="","","")</f>
        <v/>
      </c>
      <c r="H4978" s="17">
        <f>IF(B4978="","","")</f>
        <v/>
      </c>
      <c r="I4978" s="17">
        <f>IF(B4978="","","")</f>
        <v/>
      </c>
      <c r="J4978" s="17">
        <f>IF(B4978="","","touch_3; "&amp;IFERROR(INDEX(Clay_Brands!$A$2:$FZ$601,327,Sync!$D$10)&amp;"","")&amp;"; "&amp;IFERROR(INDEX(Clay_Brands!$A$2:$FZ$601,327,Sync!$D$9)&amp;"",""))</f>
        <v/>
      </c>
      <c r="K4978" t="inlineStr">
        <is>
          <t>brand outreach touch 3</t>
        </is>
      </c>
    </row>
    <row r="4979">
      <c r="A4979" s="17">
        <f>IF(B4979="","",B4979+(17*1000+328)/10000000)</f>
        <v/>
      </c>
      <c r="B4979" s="23">
        <f>IF(AND(IFERROR(N(INDEX(Clay_Brands!$A$2:$FZ$601,328,Sync!$D$13)),0)&gt;0,IFERROR(INDEX(Clay_Brands!$A$2:$FZ$601,328,Sync!$D$5)&amp;"","")&lt;&gt;"",OR(LEFT(IFERROR(INDEX(Clay_Brands!$A$2:$FZ$601,328,Sync!$D$5)&amp;"",""),6)&lt;&gt;"SAMPLE",Config!$B$19="Y")),IFERROR(N(INDEX(Clay_Brands!$A$2:$FZ$601,328,Sync!$D$13)),0),"")</f>
        <v/>
      </c>
      <c r="C4979" s="17">
        <f>IF(B4979="","","brand")</f>
        <v/>
      </c>
      <c r="D4979" s="17">
        <f>IF(B4979="","",IFERROR(INDEX(Clay_Brands!$A$2:$FZ$601,328,Sync!$D$5)&amp;"",""))</f>
        <v/>
      </c>
      <c r="E4979" s="17">
        <f>IF(B4979="","",IFERROR(INDEX(Clay_Brands!$A$2:$FZ$601,328,Sync!$D$6)&amp;"",""))</f>
        <v/>
      </c>
      <c r="F4979" s="17">
        <f>IF(B4979="","","outreach_sent")</f>
        <v/>
      </c>
      <c r="G4979" s="17">
        <f>IF(B4979="","","")</f>
        <v/>
      </c>
      <c r="H4979" s="17">
        <f>IF(B4979="","","")</f>
        <v/>
      </c>
      <c r="I4979" s="17">
        <f>IF(B4979="","","")</f>
        <v/>
      </c>
      <c r="J4979" s="17">
        <f>IF(B4979="","","touch_3; "&amp;IFERROR(INDEX(Clay_Brands!$A$2:$FZ$601,328,Sync!$D$10)&amp;"","")&amp;"; "&amp;IFERROR(INDEX(Clay_Brands!$A$2:$FZ$601,328,Sync!$D$9)&amp;"",""))</f>
        <v/>
      </c>
      <c r="K4979" t="inlineStr">
        <is>
          <t>brand outreach touch 3</t>
        </is>
      </c>
    </row>
    <row r="4980">
      <c r="A4980" s="17">
        <f>IF(B4980="","",B4980+(17*1000+329)/10000000)</f>
        <v/>
      </c>
      <c r="B4980" s="23">
        <f>IF(AND(IFERROR(N(INDEX(Clay_Brands!$A$2:$FZ$601,329,Sync!$D$13)),0)&gt;0,IFERROR(INDEX(Clay_Brands!$A$2:$FZ$601,329,Sync!$D$5)&amp;"","")&lt;&gt;"",OR(LEFT(IFERROR(INDEX(Clay_Brands!$A$2:$FZ$601,329,Sync!$D$5)&amp;"",""),6)&lt;&gt;"SAMPLE",Config!$B$19="Y")),IFERROR(N(INDEX(Clay_Brands!$A$2:$FZ$601,329,Sync!$D$13)),0),"")</f>
        <v/>
      </c>
      <c r="C4980" s="17">
        <f>IF(B4980="","","brand")</f>
        <v/>
      </c>
      <c r="D4980" s="17">
        <f>IF(B4980="","",IFERROR(INDEX(Clay_Brands!$A$2:$FZ$601,329,Sync!$D$5)&amp;"",""))</f>
        <v/>
      </c>
      <c r="E4980" s="17">
        <f>IF(B4980="","",IFERROR(INDEX(Clay_Brands!$A$2:$FZ$601,329,Sync!$D$6)&amp;"",""))</f>
        <v/>
      </c>
      <c r="F4980" s="17">
        <f>IF(B4980="","","outreach_sent")</f>
        <v/>
      </c>
      <c r="G4980" s="17">
        <f>IF(B4980="","","")</f>
        <v/>
      </c>
      <c r="H4980" s="17">
        <f>IF(B4980="","","")</f>
        <v/>
      </c>
      <c r="I4980" s="17">
        <f>IF(B4980="","","")</f>
        <v/>
      </c>
      <c r="J4980" s="17">
        <f>IF(B4980="","","touch_3; "&amp;IFERROR(INDEX(Clay_Brands!$A$2:$FZ$601,329,Sync!$D$10)&amp;"","")&amp;"; "&amp;IFERROR(INDEX(Clay_Brands!$A$2:$FZ$601,329,Sync!$D$9)&amp;"",""))</f>
        <v/>
      </c>
      <c r="K4980" t="inlineStr">
        <is>
          <t>brand outreach touch 3</t>
        </is>
      </c>
    </row>
    <row r="4981">
      <c r="A4981" s="17">
        <f>IF(B4981="","",B4981+(17*1000+330)/10000000)</f>
        <v/>
      </c>
      <c r="B4981" s="23">
        <f>IF(AND(IFERROR(N(INDEX(Clay_Brands!$A$2:$FZ$601,330,Sync!$D$13)),0)&gt;0,IFERROR(INDEX(Clay_Brands!$A$2:$FZ$601,330,Sync!$D$5)&amp;"","")&lt;&gt;"",OR(LEFT(IFERROR(INDEX(Clay_Brands!$A$2:$FZ$601,330,Sync!$D$5)&amp;"",""),6)&lt;&gt;"SAMPLE",Config!$B$19="Y")),IFERROR(N(INDEX(Clay_Brands!$A$2:$FZ$601,330,Sync!$D$13)),0),"")</f>
        <v/>
      </c>
      <c r="C4981" s="17">
        <f>IF(B4981="","","brand")</f>
        <v/>
      </c>
      <c r="D4981" s="17">
        <f>IF(B4981="","",IFERROR(INDEX(Clay_Brands!$A$2:$FZ$601,330,Sync!$D$5)&amp;"",""))</f>
        <v/>
      </c>
      <c r="E4981" s="17">
        <f>IF(B4981="","",IFERROR(INDEX(Clay_Brands!$A$2:$FZ$601,330,Sync!$D$6)&amp;"",""))</f>
        <v/>
      </c>
      <c r="F4981" s="17">
        <f>IF(B4981="","","outreach_sent")</f>
        <v/>
      </c>
      <c r="G4981" s="17">
        <f>IF(B4981="","","")</f>
        <v/>
      </c>
      <c r="H4981" s="17">
        <f>IF(B4981="","","")</f>
        <v/>
      </c>
      <c r="I4981" s="17">
        <f>IF(B4981="","","")</f>
        <v/>
      </c>
      <c r="J4981" s="17">
        <f>IF(B4981="","","touch_3; "&amp;IFERROR(INDEX(Clay_Brands!$A$2:$FZ$601,330,Sync!$D$10)&amp;"","")&amp;"; "&amp;IFERROR(INDEX(Clay_Brands!$A$2:$FZ$601,330,Sync!$D$9)&amp;"",""))</f>
        <v/>
      </c>
      <c r="K4981" t="inlineStr">
        <is>
          <t>brand outreach touch 3</t>
        </is>
      </c>
    </row>
    <row r="4982">
      <c r="A4982" s="17">
        <f>IF(B4982="","",B4982+(17*1000+331)/10000000)</f>
        <v/>
      </c>
      <c r="B4982" s="23">
        <f>IF(AND(IFERROR(N(INDEX(Clay_Brands!$A$2:$FZ$601,331,Sync!$D$13)),0)&gt;0,IFERROR(INDEX(Clay_Brands!$A$2:$FZ$601,331,Sync!$D$5)&amp;"","")&lt;&gt;"",OR(LEFT(IFERROR(INDEX(Clay_Brands!$A$2:$FZ$601,331,Sync!$D$5)&amp;"",""),6)&lt;&gt;"SAMPLE",Config!$B$19="Y")),IFERROR(N(INDEX(Clay_Brands!$A$2:$FZ$601,331,Sync!$D$13)),0),"")</f>
        <v/>
      </c>
      <c r="C4982" s="17">
        <f>IF(B4982="","","brand")</f>
        <v/>
      </c>
      <c r="D4982" s="17">
        <f>IF(B4982="","",IFERROR(INDEX(Clay_Brands!$A$2:$FZ$601,331,Sync!$D$5)&amp;"",""))</f>
        <v/>
      </c>
      <c r="E4982" s="17">
        <f>IF(B4982="","",IFERROR(INDEX(Clay_Brands!$A$2:$FZ$601,331,Sync!$D$6)&amp;"",""))</f>
        <v/>
      </c>
      <c r="F4982" s="17">
        <f>IF(B4982="","","outreach_sent")</f>
        <v/>
      </c>
      <c r="G4982" s="17">
        <f>IF(B4982="","","")</f>
        <v/>
      </c>
      <c r="H4982" s="17">
        <f>IF(B4982="","","")</f>
        <v/>
      </c>
      <c r="I4982" s="17">
        <f>IF(B4982="","","")</f>
        <v/>
      </c>
      <c r="J4982" s="17">
        <f>IF(B4982="","","touch_3; "&amp;IFERROR(INDEX(Clay_Brands!$A$2:$FZ$601,331,Sync!$D$10)&amp;"","")&amp;"; "&amp;IFERROR(INDEX(Clay_Brands!$A$2:$FZ$601,331,Sync!$D$9)&amp;"",""))</f>
        <v/>
      </c>
      <c r="K4982" t="inlineStr">
        <is>
          <t>brand outreach touch 3</t>
        </is>
      </c>
    </row>
    <row r="4983">
      <c r="A4983" s="17">
        <f>IF(B4983="","",B4983+(17*1000+332)/10000000)</f>
        <v/>
      </c>
      <c r="B4983" s="23">
        <f>IF(AND(IFERROR(N(INDEX(Clay_Brands!$A$2:$FZ$601,332,Sync!$D$13)),0)&gt;0,IFERROR(INDEX(Clay_Brands!$A$2:$FZ$601,332,Sync!$D$5)&amp;"","")&lt;&gt;"",OR(LEFT(IFERROR(INDEX(Clay_Brands!$A$2:$FZ$601,332,Sync!$D$5)&amp;"",""),6)&lt;&gt;"SAMPLE",Config!$B$19="Y")),IFERROR(N(INDEX(Clay_Brands!$A$2:$FZ$601,332,Sync!$D$13)),0),"")</f>
        <v/>
      </c>
      <c r="C4983" s="17">
        <f>IF(B4983="","","brand")</f>
        <v/>
      </c>
      <c r="D4983" s="17">
        <f>IF(B4983="","",IFERROR(INDEX(Clay_Brands!$A$2:$FZ$601,332,Sync!$D$5)&amp;"",""))</f>
        <v/>
      </c>
      <c r="E4983" s="17">
        <f>IF(B4983="","",IFERROR(INDEX(Clay_Brands!$A$2:$FZ$601,332,Sync!$D$6)&amp;"",""))</f>
        <v/>
      </c>
      <c r="F4983" s="17">
        <f>IF(B4983="","","outreach_sent")</f>
        <v/>
      </c>
      <c r="G4983" s="17">
        <f>IF(B4983="","","")</f>
        <v/>
      </c>
      <c r="H4983" s="17">
        <f>IF(B4983="","","")</f>
        <v/>
      </c>
      <c r="I4983" s="17">
        <f>IF(B4983="","","")</f>
        <v/>
      </c>
      <c r="J4983" s="17">
        <f>IF(B4983="","","touch_3; "&amp;IFERROR(INDEX(Clay_Brands!$A$2:$FZ$601,332,Sync!$D$10)&amp;"","")&amp;"; "&amp;IFERROR(INDEX(Clay_Brands!$A$2:$FZ$601,332,Sync!$D$9)&amp;"",""))</f>
        <v/>
      </c>
      <c r="K4983" t="inlineStr">
        <is>
          <t>brand outreach touch 3</t>
        </is>
      </c>
    </row>
    <row r="4984">
      <c r="A4984" s="17">
        <f>IF(B4984="","",B4984+(17*1000+333)/10000000)</f>
        <v/>
      </c>
      <c r="B4984" s="23">
        <f>IF(AND(IFERROR(N(INDEX(Clay_Brands!$A$2:$FZ$601,333,Sync!$D$13)),0)&gt;0,IFERROR(INDEX(Clay_Brands!$A$2:$FZ$601,333,Sync!$D$5)&amp;"","")&lt;&gt;"",OR(LEFT(IFERROR(INDEX(Clay_Brands!$A$2:$FZ$601,333,Sync!$D$5)&amp;"",""),6)&lt;&gt;"SAMPLE",Config!$B$19="Y")),IFERROR(N(INDEX(Clay_Brands!$A$2:$FZ$601,333,Sync!$D$13)),0),"")</f>
        <v/>
      </c>
      <c r="C4984" s="17">
        <f>IF(B4984="","","brand")</f>
        <v/>
      </c>
      <c r="D4984" s="17">
        <f>IF(B4984="","",IFERROR(INDEX(Clay_Brands!$A$2:$FZ$601,333,Sync!$D$5)&amp;"",""))</f>
        <v/>
      </c>
      <c r="E4984" s="17">
        <f>IF(B4984="","",IFERROR(INDEX(Clay_Brands!$A$2:$FZ$601,333,Sync!$D$6)&amp;"",""))</f>
        <v/>
      </c>
      <c r="F4984" s="17">
        <f>IF(B4984="","","outreach_sent")</f>
        <v/>
      </c>
      <c r="G4984" s="17">
        <f>IF(B4984="","","")</f>
        <v/>
      </c>
      <c r="H4984" s="17">
        <f>IF(B4984="","","")</f>
        <v/>
      </c>
      <c r="I4984" s="17">
        <f>IF(B4984="","","")</f>
        <v/>
      </c>
      <c r="J4984" s="17">
        <f>IF(B4984="","","touch_3; "&amp;IFERROR(INDEX(Clay_Brands!$A$2:$FZ$601,333,Sync!$D$10)&amp;"","")&amp;"; "&amp;IFERROR(INDEX(Clay_Brands!$A$2:$FZ$601,333,Sync!$D$9)&amp;"",""))</f>
        <v/>
      </c>
      <c r="K4984" t="inlineStr">
        <is>
          <t>brand outreach touch 3</t>
        </is>
      </c>
    </row>
    <row r="4985">
      <c r="A4985" s="17">
        <f>IF(B4985="","",B4985+(17*1000+334)/10000000)</f>
        <v/>
      </c>
      <c r="B4985" s="23">
        <f>IF(AND(IFERROR(N(INDEX(Clay_Brands!$A$2:$FZ$601,334,Sync!$D$13)),0)&gt;0,IFERROR(INDEX(Clay_Brands!$A$2:$FZ$601,334,Sync!$D$5)&amp;"","")&lt;&gt;"",OR(LEFT(IFERROR(INDEX(Clay_Brands!$A$2:$FZ$601,334,Sync!$D$5)&amp;"",""),6)&lt;&gt;"SAMPLE",Config!$B$19="Y")),IFERROR(N(INDEX(Clay_Brands!$A$2:$FZ$601,334,Sync!$D$13)),0),"")</f>
        <v/>
      </c>
      <c r="C4985" s="17">
        <f>IF(B4985="","","brand")</f>
        <v/>
      </c>
      <c r="D4985" s="17">
        <f>IF(B4985="","",IFERROR(INDEX(Clay_Brands!$A$2:$FZ$601,334,Sync!$D$5)&amp;"",""))</f>
        <v/>
      </c>
      <c r="E4985" s="17">
        <f>IF(B4985="","",IFERROR(INDEX(Clay_Brands!$A$2:$FZ$601,334,Sync!$D$6)&amp;"",""))</f>
        <v/>
      </c>
      <c r="F4985" s="17">
        <f>IF(B4985="","","outreach_sent")</f>
        <v/>
      </c>
      <c r="G4985" s="17">
        <f>IF(B4985="","","")</f>
        <v/>
      </c>
      <c r="H4985" s="17">
        <f>IF(B4985="","","")</f>
        <v/>
      </c>
      <c r="I4985" s="17">
        <f>IF(B4985="","","")</f>
        <v/>
      </c>
      <c r="J4985" s="17">
        <f>IF(B4985="","","touch_3; "&amp;IFERROR(INDEX(Clay_Brands!$A$2:$FZ$601,334,Sync!$D$10)&amp;"","")&amp;"; "&amp;IFERROR(INDEX(Clay_Brands!$A$2:$FZ$601,334,Sync!$D$9)&amp;"",""))</f>
        <v/>
      </c>
      <c r="K4985" t="inlineStr">
        <is>
          <t>brand outreach touch 3</t>
        </is>
      </c>
    </row>
    <row r="4986">
      <c r="A4986" s="17">
        <f>IF(B4986="","",B4986+(17*1000+335)/10000000)</f>
        <v/>
      </c>
      <c r="B4986" s="23">
        <f>IF(AND(IFERROR(N(INDEX(Clay_Brands!$A$2:$FZ$601,335,Sync!$D$13)),0)&gt;0,IFERROR(INDEX(Clay_Brands!$A$2:$FZ$601,335,Sync!$D$5)&amp;"","")&lt;&gt;"",OR(LEFT(IFERROR(INDEX(Clay_Brands!$A$2:$FZ$601,335,Sync!$D$5)&amp;"",""),6)&lt;&gt;"SAMPLE",Config!$B$19="Y")),IFERROR(N(INDEX(Clay_Brands!$A$2:$FZ$601,335,Sync!$D$13)),0),"")</f>
        <v/>
      </c>
      <c r="C4986" s="17">
        <f>IF(B4986="","","brand")</f>
        <v/>
      </c>
      <c r="D4986" s="17">
        <f>IF(B4986="","",IFERROR(INDEX(Clay_Brands!$A$2:$FZ$601,335,Sync!$D$5)&amp;"",""))</f>
        <v/>
      </c>
      <c r="E4986" s="17">
        <f>IF(B4986="","",IFERROR(INDEX(Clay_Brands!$A$2:$FZ$601,335,Sync!$D$6)&amp;"",""))</f>
        <v/>
      </c>
      <c r="F4986" s="17">
        <f>IF(B4986="","","outreach_sent")</f>
        <v/>
      </c>
      <c r="G4986" s="17">
        <f>IF(B4986="","","")</f>
        <v/>
      </c>
      <c r="H4986" s="17">
        <f>IF(B4986="","","")</f>
        <v/>
      </c>
      <c r="I4986" s="17">
        <f>IF(B4986="","","")</f>
        <v/>
      </c>
      <c r="J4986" s="17">
        <f>IF(B4986="","","touch_3; "&amp;IFERROR(INDEX(Clay_Brands!$A$2:$FZ$601,335,Sync!$D$10)&amp;"","")&amp;"; "&amp;IFERROR(INDEX(Clay_Brands!$A$2:$FZ$601,335,Sync!$D$9)&amp;"",""))</f>
        <v/>
      </c>
      <c r="K4986" t="inlineStr">
        <is>
          <t>brand outreach touch 3</t>
        </is>
      </c>
    </row>
    <row r="4987">
      <c r="A4987" s="17">
        <f>IF(B4987="","",B4987+(17*1000+336)/10000000)</f>
        <v/>
      </c>
      <c r="B4987" s="23">
        <f>IF(AND(IFERROR(N(INDEX(Clay_Brands!$A$2:$FZ$601,336,Sync!$D$13)),0)&gt;0,IFERROR(INDEX(Clay_Brands!$A$2:$FZ$601,336,Sync!$D$5)&amp;"","")&lt;&gt;"",OR(LEFT(IFERROR(INDEX(Clay_Brands!$A$2:$FZ$601,336,Sync!$D$5)&amp;"",""),6)&lt;&gt;"SAMPLE",Config!$B$19="Y")),IFERROR(N(INDEX(Clay_Brands!$A$2:$FZ$601,336,Sync!$D$13)),0),"")</f>
        <v/>
      </c>
      <c r="C4987" s="17">
        <f>IF(B4987="","","brand")</f>
        <v/>
      </c>
      <c r="D4987" s="17">
        <f>IF(B4987="","",IFERROR(INDEX(Clay_Brands!$A$2:$FZ$601,336,Sync!$D$5)&amp;"",""))</f>
        <v/>
      </c>
      <c r="E4987" s="17">
        <f>IF(B4987="","",IFERROR(INDEX(Clay_Brands!$A$2:$FZ$601,336,Sync!$D$6)&amp;"",""))</f>
        <v/>
      </c>
      <c r="F4987" s="17">
        <f>IF(B4987="","","outreach_sent")</f>
        <v/>
      </c>
      <c r="G4987" s="17">
        <f>IF(B4987="","","")</f>
        <v/>
      </c>
      <c r="H4987" s="17">
        <f>IF(B4987="","","")</f>
        <v/>
      </c>
      <c r="I4987" s="17">
        <f>IF(B4987="","","")</f>
        <v/>
      </c>
      <c r="J4987" s="17">
        <f>IF(B4987="","","touch_3; "&amp;IFERROR(INDEX(Clay_Brands!$A$2:$FZ$601,336,Sync!$D$10)&amp;"","")&amp;"; "&amp;IFERROR(INDEX(Clay_Brands!$A$2:$FZ$601,336,Sync!$D$9)&amp;"",""))</f>
        <v/>
      </c>
      <c r="K4987" t="inlineStr">
        <is>
          <t>brand outreach touch 3</t>
        </is>
      </c>
    </row>
    <row r="4988">
      <c r="A4988" s="17">
        <f>IF(B4988="","",B4988+(17*1000+337)/10000000)</f>
        <v/>
      </c>
      <c r="B4988" s="23">
        <f>IF(AND(IFERROR(N(INDEX(Clay_Brands!$A$2:$FZ$601,337,Sync!$D$13)),0)&gt;0,IFERROR(INDEX(Clay_Brands!$A$2:$FZ$601,337,Sync!$D$5)&amp;"","")&lt;&gt;"",OR(LEFT(IFERROR(INDEX(Clay_Brands!$A$2:$FZ$601,337,Sync!$D$5)&amp;"",""),6)&lt;&gt;"SAMPLE",Config!$B$19="Y")),IFERROR(N(INDEX(Clay_Brands!$A$2:$FZ$601,337,Sync!$D$13)),0),"")</f>
        <v/>
      </c>
      <c r="C4988" s="17">
        <f>IF(B4988="","","brand")</f>
        <v/>
      </c>
      <c r="D4988" s="17">
        <f>IF(B4988="","",IFERROR(INDEX(Clay_Brands!$A$2:$FZ$601,337,Sync!$D$5)&amp;"",""))</f>
        <v/>
      </c>
      <c r="E4988" s="17">
        <f>IF(B4988="","",IFERROR(INDEX(Clay_Brands!$A$2:$FZ$601,337,Sync!$D$6)&amp;"",""))</f>
        <v/>
      </c>
      <c r="F4988" s="17">
        <f>IF(B4988="","","outreach_sent")</f>
        <v/>
      </c>
      <c r="G4988" s="17">
        <f>IF(B4988="","","")</f>
        <v/>
      </c>
      <c r="H4988" s="17">
        <f>IF(B4988="","","")</f>
        <v/>
      </c>
      <c r="I4988" s="17">
        <f>IF(B4988="","","")</f>
        <v/>
      </c>
      <c r="J4988" s="17">
        <f>IF(B4988="","","touch_3; "&amp;IFERROR(INDEX(Clay_Brands!$A$2:$FZ$601,337,Sync!$D$10)&amp;"","")&amp;"; "&amp;IFERROR(INDEX(Clay_Brands!$A$2:$FZ$601,337,Sync!$D$9)&amp;"",""))</f>
        <v/>
      </c>
      <c r="K4988" t="inlineStr">
        <is>
          <t>brand outreach touch 3</t>
        </is>
      </c>
    </row>
    <row r="4989">
      <c r="A4989" s="17">
        <f>IF(B4989="","",B4989+(17*1000+338)/10000000)</f>
        <v/>
      </c>
      <c r="B4989" s="23">
        <f>IF(AND(IFERROR(N(INDEX(Clay_Brands!$A$2:$FZ$601,338,Sync!$D$13)),0)&gt;0,IFERROR(INDEX(Clay_Brands!$A$2:$FZ$601,338,Sync!$D$5)&amp;"","")&lt;&gt;"",OR(LEFT(IFERROR(INDEX(Clay_Brands!$A$2:$FZ$601,338,Sync!$D$5)&amp;"",""),6)&lt;&gt;"SAMPLE",Config!$B$19="Y")),IFERROR(N(INDEX(Clay_Brands!$A$2:$FZ$601,338,Sync!$D$13)),0),"")</f>
        <v/>
      </c>
      <c r="C4989" s="17">
        <f>IF(B4989="","","brand")</f>
        <v/>
      </c>
      <c r="D4989" s="17">
        <f>IF(B4989="","",IFERROR(INDEX(Clay_Brands!$A$2:$FZ$601,338,Sync!$D$5)&amp;"",""))</f>
        <v/>
      </c>
      <c r="E4989" s="17">
        <f>IF(B4989="","",IFERROR(INDEX(Clay_Brands!$A$2:$FZ$601,338,Sync!$D$6)&amp;"",""))</f>
        <v/>
      </c>
      <c r="F4989" s="17">
        <f>IF(B4989="","","outreach_sent")</f>
        <v/>
      </c>
      <c r="G4989" s="17">
        <f>IF(B4989="","","")</f>
        <v/>
      </c>
      <c r="H4989" s="17">
        <f>IF(B4989="","","")</f>
        <v/>
      </c>
      <c r="I4989" s="17">
        <f>IF(B4989="","","")</f>
        <v/>
      </c>
      <c r="J4989" s="17">
        <f>IF(B4989="","","touch_3; "&amp;IFERROR(INDEX(Clay_Brands!$A$2:$FZ$601,338,Sync!$D$10)&amp;"","")&amp;"; "&amp;IFERROR(INDEX(Clay_Brands!$A$2:$FZ$601,338,Sync!$D$9)&amp;"",""))</f>
        <v/>
      </c>
      <c r="K4989" t="inlineStr">
        <is>
          <t>brand outreach touch 3</t>
        </is>
      </c>
    </row>
    <row r="4990">
      <c r="A4990" s="17">
        <f>IF(B4990="","",B4990+(17*1000+339)/10000000)</f>
        <v/>
      </c>
      <c r="B4990" s="23">
        <f>IF(AND(IFERROR(N(INDEX(Clay_Brands!$A$2:$FZ$601,339,Sync!$D$13)),0)&gt;0,IFERROR(INDEX(Clay_Brands!$A$2:$FZ$601,339,Sync!$D$5)&amp;"","")&lt;&gt;"",OR(LEFT(IFERROR(INDEX(Clay_Brands!$A$2:$FZ$601,339,Sync!$D$5)&amp;"",""),6)&lt;&gt;"SAMPLE",Config!$B$19="Y")),IFERROR(N(INDEX(Clay_Brands!$A$2:$FZ$601,339,Sync!$D$13)),0),"")</f>
        <v/>
      </c>
      <c r="C4990" s="17">
        <f>IF(B4990="","","brand")</f>
        <v/>
      </c>
      <c r="D4990" s="17">
        <f>IF(B4990="","",IFERROR(INDEX(Clay_Brands!$A$2:$FZ$601,339,Sync!$D$5)&amp;"",""))</f>
        <v/>
      </c>
      <c r="E4990" s="17">
        <f>IF(B4990="","",IFERROR(INDEX(Clay_Brands!$A$2:$FZ$601,339,Sync!$D$6)&amp;"",""))</f>
        <v/>
      </c>
      <c r="F4990" s="17">
        <f>IF(B4990="","","outreach_sent")</f>
        <v/>
      </c>
      <c r="G4990" s="17">
        <f>IF(B4990="","","")</f>
        <v/>
      </c>
      <c r="H4990" s="17">
        <f>IF(B4990="","","")</f>
        <v/>
      </c>
      <c r="I4990" s="17">
        <f>IF(B4990="","","")</f>
        <v/>
      </c>
      <c r="J4990" s="17">
        <f>IF(B4990="","","touch_3; "&amp;IFERROR(INDEX(Clay_Brands!$A$2:$FZ$601,339,Sync!$D$10)&amp;"","")&amp;"; "&amp;IFERROR(INDEX(Clay_Brands!$A$2:$FZ$601,339,Sync!$D$9)&amp;"",""))</f>
        <v/>
      </c>
      <c r="K4990" t="inlineStr">
        <is>
          <t>brand outreach touch 3</t>
        </is>
      </c>
    </row>
    <row r="4991">
      <c r="A4991" s="17">
        <f>IF(B4991="","",B4991+(17*1000+340)/10000000)</f>
        <v/>
      </c>
      <c r="B4991" s="23">
        <f>IF(AND(IFERROR(N(INDEX(Clay_Brands!$A$2:$FZ$601,340,Sync!$D$13)),0)&gt;0,IFERROR(INDEX(Clay_Brands!$A$2:$FZ$601,340,Sync!$D$5)&amp;"","")&lt;&gt;"",OR(LEFT(IFERROR(INDEX(Clay_Brands!$A$2:$FZ$601,340,Sync!$D$5)&amp;"",""),6)&lt;&gt;"SAMPLE",Config!$B$19="Y")),IFERROR(N(INDEX(Clay_Brands!$A$2:$FZ$601,340,Sync!$D$13)),0),"")</f>
        <v/>
      </c>
      <c r="C4991" s="17">
        <f>IF(B4991="","","brand")</f>
        <v/>
      </c>
      <c r="D4991" s="17">
        <f>IF(B4991="","",IFERROR(INDEX(Clay_Brands!$A$2:$FZ$601,340,Sync!$D$5)&amp;"",""))</f>
        <v/>
      </c>
      <c r="E4991" s="17">
        <f>IF(B4991="","",IFERROR(INDEX(Clay_Brands!$A$2:$FZ$601,340,Sync!$D$6)&amp;"",""))</f>
        <v/>
      </c>
      <c r="F4991" s="17">
        <f>IF(B4991="","","outreach_sent")</f>
        <v/>
      </c>
      <c r="G4991" s="17">
        <f>IF(B4991="","","")</f>
        <v/>
      </c>
      <c r="H4991" s="17">
        <f>IF(B4991="","","")</f>
        <v/>
      </c>
      <c r="I4991" s="17">
        <f>IF(B4991="","","")</f>
        <v/>
      </c>
      <c r="J4991" s="17">
        <f>IF(B4991="","","touch_3; "&amp;IFERROR(INDEX(Clay_Brands!$A$2:$FZ$601,340,Sync!$D$10)&amp;"","")&amp;"; "&amp;IFERROR(INDEX(Clay_Brands!$A$2:$FZ$601,340,Sync!$D$9)&amp;"",""))</f>
        <v/>
      </c>
      <c r="K4991" t="inlineStr">
        <is>
          <t>brand outreach touch 3</t>
        </is>
      </c>
    </row>
    <row r="4992">
      <c r="A4992" s="17">
        <f>IF(B4992="","",B4992+(17*1000+341)/10000000)</f>
        <v/>
      </c>
      <c r="B4992" s="23">
        <f>IF(AND(IFERROR(N(INDEX(Clay_Brands!$A$2:$FZ$601,341,Sync!$D$13)),0)&gt;0,IFERROR(INDEX(Clay_Brands!$A$2:$FZ$601,341,Sync!$D$5)&amp;"","")&lt;&gt;"",OR(LEFT(IFERROR(INDEX(Clay_Brands!$A$2:$FZ$601,341,Sync!$D$5)&amp;"",""),6)&lt;&gt;"SAMPLE",Config!$B$19="Y")),IFERROR(N(INDEX(Clay_Brands!$A$2:$FZ$601,341,Sync!$D$13)),0),"")</f>
        <v/>
      </c>
      <c r="C4992" s="17">
        <f>IF(B4992="","","brand")</f>
        <v/>
      </c>
      <c r="D4992" s="17">
        <f>IF(B4992="","",IFERROR(INDEX(Clay_Brands!$A$2:$FZ$601,341,Sync!$D$5)&amp;"",""))</f>
        <v/>
      </c>
      <c r="E4992" s="17">
        <f>IF(B4992="","",IFERROR(INDEX(Clay_Brands!$A$2:$FZ$601,341,Sync!$D$6)&amp;"",""))</f>
        <v/>
      </c>
      <c r="F4992" s="17">
        <f>IF(B4992="","","outreach_sent")</f>
        <v/>
      </c>
      <c r="G4992" s="17">
        <f>IF(B4992="","","")</f>
        <v/>
      </c>
      <c r="H4992" s="17">
        <f>IF(B4992="","","")</f>
        <v/>
      </c>
      <c r="I4992" s="17">
        <f>IF(B4992="","","")</f>
        <v/>
      </c>
      <c r="J4992" s="17">
        <f>IF(B4992="","","touch_3; "&amp;IFERROR(INDEX(Clay_Brands!$A$2:$FZ$601,341,Sync!$D$10)&amp;"","")&amp;"; "&amp;IFERROR(INDEX(Clay_Brands!$A$2:$FZ$601,341,Sync!$D$9)&amp;"",""))</f>
        <v/>
      </c>
      <c r="K4992" t="inlineStr">
        <is>
          <t>brand outreach touch 3</t>
        </is>
      </c>
    </row>
    <row r="4993">
      <c r="A4993" s="17">
        <f>IF(B4993="","",B4993+(17*1000+342)/10000000)</f>
        <v/>
      </c>
      <c r="B4993" s="23">
        <f>IF(AND(IFERROR(N(INDEX(Clay_Brands!$A$2:$FZ$601,342,Sync!$D$13)),0)&gt;0,IFERROR(INDEX(Clay_Brands!$A$2:$FZ$601,342,Sync!$D$5)&amp;"","")&lt;&gt;"",OR(LEFT(IFERROR(INDEX(Clay_Brands!$A$2:$FZ$601,342,Sync!$D$5)&amp;"",""),6)&lt;&gt;"SAMPLE",Config!$B$19="Y")),IFERROR(N(INDEX(Clay_Brands!$A$2:$FZ$601,342,Sync!$D$13)),0),"")</f>
        <v/>
      </c>
      <c r="C4993" s="17">
        <f>IF(B4993="","","brand")</f>
        <v/>
      </c>
      <c r="D4993" s="17">
        <f>IF(B4993="","",IFERROR(INDEX(Clay_Brands!$A$2:$FZ$601,342,Sync!$D$5)&amp;"",""))</f>
        <v/>
      </c>
      <c r="E4993" s="17">
        <f>IF(B4993="","",IFERROR(INDEX(Clay_Brands!$A$2:$FZ$601,342,Sync!$D$6)&amp;"",""))</f>
        <v/>
      </c>
      <c r="F4993" s="17">
        <f>IF(B4993="","","outreach_sent")</f>
        <v/>
      </c>
      <c r="G4993" s="17">
        <f>IF(B4993="","","")</f>
        <v/>
      </c>
      <c r="H4993" s="17">
        <f>IF(B4993="","","")</f>
        <v/>
      </c>
      <c r="I4993" s="17">
        <f>IF(B4993="","","")</f>
        <v/>
      </c>
      <c r="J4993" s="17">
        <f>IF(B4993="","","touch_3; "&amp;IFERROR(INDEX(Clay_Brands!$A$2:$FZ$601,342,Sync!$D$10)&amp;"","")&amp;"; "&amp;IFERROR(INDEX(Clay_Brands!$A$2:$FZ$601,342,Sync!$D$9)&amp;"",""))</f>
        <v/>
      </c>
      <c r="K4993" t="inlineStr">
        <is>
          <t>brand outreach touch 3</t>
        </is>
      </c>
    </row>
    <row r="4994">
      <c r="A4994" s="17">
        <f>IF(B4994="","",B4994+(17*1000+343)/10000000)</f>
        <v/>
      </c>
      <c r="B4994" s="23">
        <f>IF(AND(IFERROR(N(INDEX(Clay_Brands!$A$2:$FZ$601,343,Sync!$D$13)),0)&gt;0,IFERROR(INDEX(Clay_Brands!$A$2:$FZ$601,343,Sync!$D$5)&amp;"","")&lt;&gt;"",OR(LEFT(IFERROR(INDEX(Clay_Brands!$A$2:$FZ$601,343,Sync!$D$5)&amp;"",""),6)&lt;&gt;"SAMPLE",Config!$B$19="Y")),IFERROR(N(INDEX(Clay_Brands!$A$2:$FZ$601,343,Sync!$D$13)),0),"")</f>
        <v/>
      </c>
      <c r="C4994" s="17">
        <f>IF(B4994="","","brand")</f>
        <v/>
      </c>
      <c r="D4994" s="17">
        <f>IF(B4994="","",IFERROR(INDEX(Clay_Brands!$A$2:$FZ$601,343,Sync!$D$5)&amp;"",""))</f>
        <v/>
      </c>
      <c r="E4994" s="17">
        <f>IF(B4994="","",IFERROR(INDEX(Clay_Brands!$A$2:$FZ$601,343,Sync!$D$6)&amp;"",""))</f>
        <v/>
      </c>
      <c r="F4994" s="17">
        <f>IF(B4994="","","outreach_sent")</f>
        <v/>
      </c>
      <c r="G4994" s="17">
        <f>IF(B4994="","","")</f>
        <v/>
      </c>
      <c r="H4994" s="17">
        <f>IF(B4994="","","")</f>
        <v/>
      </c>
      <c r="I4994" s="17">
        <f>IF(B4994="","","")</f>
        <v/>
      </c>
      <c r="J4994" s="17">
        <f>IF(B4994="","","touch_3; "&amp;IFERROR(INDEX(Clay_Brands!$A$2:$FZ$601,343,Sync!$D$10)&amp;"","")&amp;"; "&amp;IFERROR(INDEX(Clay_Brands!$A$2:$FZ$601,343,Sync!$D$9)&amp;"",""))</f>
        <v/>
      </c>
      <c r="K4994" t="inlineStr">
        <is>
          <t>brand outreach touch 3</t>
        </is>
      </c>
    </row>
    <row r="4995">
      <c r="A4995" s="17">
        <f>IF(B4995="","",B4995+(17*1000+344)/10000000)</f>
        <v/>
      </c>
      <c r="B4995" s="23">
        <f>IF(AND(IFERROR(N(INDEX(Clay_Brands!$A$2:$FZ$601,344,Sync!$D$13)),0)&gt;0,IFERROR(INDEX(Clay_Brands!$A$2:$FZ$601,344,Sync!$D$5)&amp;"","")&lt;&gt;"",OR(LEFT(IFERROR(INDEX(Clay_Brands!$A$2:$FZ$601,344,Sync!$D$5)&amp;"",""),6)&lt;&gt;"SAMPLE",Config!$B$19="Y")),IFERROR(N(INDEX(Clay_Brands!$A$2:$FZ$601,344,Sync!$D$13)),0),"")</f>
        <v/>
      </c>
      <c r="C4995" s="17">
        <f>IF(B4995="","","brand")</f>
        <v/>
      </c>
      <c r="D4995" s="17">
        <f>IF(B4995="","",IFERROR(INDEX(Clay_Brands!$A$2:$FZ$601,344,Sync!$D$5)&amp;"",""))</f>
        <v/>
      </c>
      <c r="E4995" s="17">
        <f>IF(B4995="","",IFERROR(INDEX(Clay_Brands!$A$2:$FZ$601,344,Sync!$D$6)&amp;"",""))</f>
        <v/>
      </c>
      <c r="F4995" s="17">
        <f>IF(B4995="","","outreach_sent")</f>
        <v/>
      </c>
      <c r="G4995" s="17">
        <f>IF(B4995="","","")</f>
        <v/>
      </c>
      <c r="H4995" s="17">
        <f>IF(B4995="","","")</f>
        <v/>
      </c>
      <c r="I4995" s="17">
        <f>IF(B4995="","","")</f>
        <v/>
      </c>
      <c r="J4995" s="17">
        <f>IF(B4995="","","touch_3; "&amp;IFERROR(INDEX(Clay_Brands!$A$2:$FZ$601,344,Sync!$D$10)&amp;"","")&amp;"; "&amp;IFERROR(INDEX(Clay_Brands!$A$2:$FZ$601,344,Sync!$D$9)&amp;"",""))</f>
        <v/>
      </c>
      <c r="K4995" t="inlineStr">
        <is>
          <t>brand outreach touch 3</t>
        </is>
      </c>
    </row>
    <row r="4996">
      <c r="A4996" s="17">
        <f>IF(B4996="","",B4996+(17*1000+345)/10000000)</f>
        <v/>
      </c>
      <c r="B4996" s="23">
        <f>IF(AND(IFERROR(N(INDEX(Clay_Brands!$A$2:$FZ$601,345,Sync!$D$13)),0)&gt;0,IFERROR(INDEX(Clay_Brands!$A$2:$FZ$601,345,Sync!$D$5)&amp;"","")&lt;&gt;"",OR(LEFT(IFERROR(INDEX(Clay_Brands!$A$2:$FZ$601,345,Sync!$D$5)&amp;"",""),6)&lt;&gt;"SAMPLE",Config!$B$19="Y")),IFERROR(N(INDEX(Clay_Brands!$A$2:$FZ$601,345,Sync!$D$13)),0),"")</f>
        <v/>
      </c>
      <c r="C4996" s="17">
        <f>IF(B4996="","","brand")</f>
        <v/>
      </c>
      <c r="D4996" s="17">
        <f>IF(B4996="","",IFERROR(INDEX(Clay_Brands!$A$2:$FZ$601,345,Sync!$D$5)&amp;"",""))</f>
        <v/>
      </c>
      <c r="E4996" s="17">
        <f>IF(B4996="","",IFERROR(INDEX(Clay_Brands!$A$2:$FZ$601,345,Sync!$D$6)&amp;"",""))</f>
        <v/>
      </c>
      <c r="F4996" s="17">
        <f>IF(B4996="","","outreach_sent")</f>
        <v/>
      </c>
      <c r="G4996" s="17">
        <f>IF(B4996="","","")</f>
        <v/>
      </c>
      <c r="H4996" s="17">
        <f>IF(B4996="","","")</f>
        <v/>
      </c>
      <c r="I4996" s="17">
        <f>IF(B4996="","","")</f>
        <v/>
      </c>
      <c r="J4996" s="17">
        <f>IF(B4996="","","touch_3; "&amp;IFERROR(INDEX(Clay_Brands!$A$2:$FZ$601,345,Sync!$D$10)&amp;"","")&amp;"; "&amp;IFERROR(INDEX(Clay_Brands!$A$2:$FZ$601,345,Sync!$D$9)&amp;"",""))</f>
        <v/>
      </c>
      <c r="K4996" t="inlineStr">
        <is>
          <t>brand outreach touch 3</t>
        </is>
      </c>
    </row>
    <row r="4997">
      <c r="A4997" s="17">
        <f>IF(B4997="","",B4997+(17*1000+346)/10000000)</f>
        <v/>
      </c>
      <c r="B4997" s="23">
        <f>IF(AND(IFERROR(N(INDEX(Clay_Brands!$A$2:$FZ$601,346,Sync!$D$13)),0)&gt;0,IFERROR(INDEX(Clay_Brands!$A$2:$FZ$601,346,Sync!$D$5)&amp;"","")&lt;&gt;"",OR(LEFT(IFERROR(INDEX(Clay_Brands!$A$2:$FZ$601,346,Sync!$D$5)&amp;"",""),6)&lt;&gt;"SAMPLE",Config!$B$19="Y")),IFERROR(N(INDEX(Clay_Brands!$A$2:$FZ$601,346,Sync!$D$13)),0),"")</f>
        <v/>
      </c>
      <c r="C4997" s="17">
        <f>IF(B4997="","","brand")</f>
        <v/>
      </c>
      <c r="D4997" s="17">
        <f>IF(B4997="","",IFERROR(INDEX(Clay_Brands!$A$2:$FZ$601,346,Sync!$D$5)&amp;"",""))</f>
        <v/>
      </c>
      <c r="E4997" s="17">
        <f>IF(B4997="","",IFERROR(INDEX(Clay_Brands!$A$2:$FZ$601,346,Sync!$D$6)&amp;"",""))</f>
        <v/>
      </c>
      <c r="F4997" s="17">
        <f>IF(B4997="","","outreach_sent")</f>
        <v/>
      </c>
      <c r="G4997" s="17">
        <f>IF(B4997="","","")</f>
        <v/>
      </c>
      <c r="H4997" s="17">
        <f>IF(B4997="","","")</f>
        <v/>
      </c>
      <c r="I4997" s="17">
        <f>IF(B4997="","","")</f>
        <v/>
      </c>
      <c r="J4997" s="17">
        <f>IF(B4997="","","touch_3; "&amp;IFERROR(INDEX(Clay_Brands!$A$2:$FZ$601,346,Sync!$D$10)&amp;"","")&amp;"; "&amp;IFERROR(INDEX(Clay_Brands!$A$2:$FZ$601,346,Sync!$D$9)&amp;"",""))</f>
        <v/>
      </c>
      <c r="K4997" t="inlineStr">
        <is>
          <t>brand outreach touch 3</t>
        </is>
      </c>
    </row>
    <row r="4998">
      <c r="A4998" s="17">
        <f>IF(B4998="","",B4998+(17*1000+347)/10000000)</f>
        <v/>
      </c>
      <c r="B4998" s="23">
        <f>IF(AND(IFERROR(N(INDEX(Clay_Brands!$A$2:$FZ$601,347,Sync!$D$13)),0)&gt;0,IFERROR(INDEX(Clay_Brands!$A$2:$FZ$601,347,Sync!$D$5)&amp;"","")&lt;&gt;"",OR(LEFT(IFERROR(INDEX(Clay_Brands!$A$2:$FZ$601,347,Sync!$D$5)&amp;"",""),6)&lt;&gt;"SAMPLE",Config!$B$19="Y")),IFERROR(N(INDEX(Clay_Brands!$A$2:$FZ$601,347,Sync!$D$13)),0),"")</f>
        <v/>
      </c>
      <c r="C4998" s="17">
        <f>IF(B4998="","","brand")</f>
        <v/>
      </c>
      <c r="D4998" s="17">
        <f>IF(B4998="","",IFERROR(INDEX(Clay_Brands!$A$2:$FZ$601,347,Sync!$D$5)&amp;"",""))</f>
        <v/>
      </c>
      <c r="E4998" s="17">
        <f>IF(B4998="","",IFERROR(INDEX(Clay_Brands!$A$2:$FZ$601,347,Sync!$D$6)&amp;"",""))</f>
        <v/>
      </c>
      <c r="F4998" s="17">
        <f>IF(B4998="","","outreach_sent")</f>
        <v/>
      </c>
      <c r="G4998" s="17">
        <f>IF(B4998="","","")</f>
        <v/>
      </c>
      <c r="H4998" s="17">
        <f>IF(B4998="","","")</f>
        <v/>
      </c>
      <c r="I4998" s="17">
        <f>IF(B4998="","","")</f>
        <v/>
      </c>
      <c r="J4998" s="17">
        <f>IF(B4998="","","touch_3; "&amp;IFERROR(INDEX(Clay_Brands!$A$2:$FZ$601,347,Sync!$D$10)&amp;"","")&amp;"; "&amp;IFERROR(INDEX(Clay_Brands!$A$2:$FZ$601,347,Sync!$D$9)&amp;"",""))</f>
        <v/>
      </c>
      <c r="K4998" t="inlineStr">
        <is>
          <t>brand outreach touch 3</t>
        </is>
      </c>
    </row>
    <row r="4999">
      <c r="A4999" s="17">
        <f>IF(B4999="","",B4999+(17*1000+348)/10000000)</f>
        <v/>
      </c>
      <c r="B4999" s="23">
        <f>IF(AND(IFERROR(N(INDEX(Clay_Brands!$A$2:$FZ$601,348,Sync!$D$13)),0)&gt;0,IFERROR(INDEX(Clay_Brands!$A$2:$FZ$601,348,Sync!$D$5)&amp;"","")&lt;&gt;"",OR(LEFT(IFERROR(INDEX(Clay_Brands!$A$2:$FZ$601,348,Sync!$D$5)&amp;"",""),6)&lt;&gt;"SAMPLE",Config!$B$19="Y")),IFERROR(N(INDEX(Clay_Brands!$A$2:$FZ$601,348,Sync!$D$13)),0),"")</f>
        <v/>
      </c>
      <c r="C4999" s="17">
        <f>IF(B4999="","","brand")</f>
        <v/>
      </c>
      <c r="D4999" s="17">
        <f>IF(B4999="","",IFERROR(INDEX(Clay_Brands!$A$2:$FZ$601,348,Sync!$D$5)&amp;"",""))</f>
        <v/>
      </c>
      <c r="E4999" s="17">
        <f>IF(B4999="","",IFERROR(INDEX(Clay_Brands!$A$2:$FZ$601,348,Sync!$D$6)&amp;"",""))</f>
        <v/>
      </c>
      <c r="F4999" s="17">
        <f>IF(B4999="","","outreach_sent")</f>
        <v/>
      </c>
      <c r="G4999" s="17">
        <f>IF(B4999="","","")</f>
        <v/>
      </c>
      <c r="H4999" s="17">
        <f>IF(B4999="","","")</f>
        <v/>
      </c>
      <c r="I4999" s="17">
        <f>IF(B4999="","","")</f>
        <v/>
      </c>
      <c r="J4999" s="17">
        <f>IF(B4999="","","touch_3; "&amp;IFERROR(INDEX(Clay_Brands!$A$2:$FZ$601,348,Sync!$D$10)&amp;"","")&amp;"; "&amp;IFERROR(INDEX(Clay_Brands!$A$2:$FZ$601,348,Sync!$D$9)&amp;"",""))</f>
        <v/>
      </c>
      <c r="K4999" t="inlineStr">
        <is>
          <t>brand outreach touch 3</t>
        </is>
      </c>
    </row>
    <row r="5000">
      <c r="A5000" s="17">
        <f>IF(B5000="","",B5000+(17*1000+349)/10000000)</f>
        <v/>
      </c>
      <c r="B5000" s="23">
        <f>IF(AND(IFERROR(N(INDEX(Clay_Brands!$A$2:$FZ$601,349,Sync!$D$13)),0)&gt;0,IFERROR(INDEX(Clay_Brands!$A$2:$FZ$601,349,Sync!$D$5)&amp;"","")&lt;&gt;"",OR(LEFT(IFERROR(INDEX(Clay_Brands!$A$2:$FZ$601,349,Sync!$D$5)&amp;"",""),6)&lt;&gt;"SAMPLE",Config!$B$19="Y")),IFERROR(N(INDEX(Clay_Brands!$A$2:$FZ$601,349,Sync!$D$13)),0),"")</f>
        <v/>
      </c>
      <c r="C5000" s="17">
        <f>IF(B5000="","","brand")</f>
        <v/>
      </c>
      <c r="D5000" s="17">
        <f>IF(B5000="","",IFERROR(INDEX(Clay_Brands!$A$2:$FZ$601,349,Sync!$D$5)&amp;"",""))</f>
        <v/>
      </c>
      <c r="E5000" s="17">
        <f>IF(B5000="","",IFERROR(INDEX(Clay_Brands!$A$2:$FZ$601,349,Sync!$D$6)&amp;"",""))</f>
        <v/>
      </c>
      <c r="F5000" s="17">
        <f>IF(B5000="","","outreach_sent")</f>
        <v/>
      </c>
      <c r="G5000" s="17">
        <f>IF(B5000="","","")</f>
        <v/>
      </c>
      <c r="H5000" s="17">
        <f>IF(B5000="","","")</f>
        <v/>
      </c>
      <c r="I5000" s="17">
        <f>IF(B5000="","","")</f>
        <v/>
      </c>
      <c r="J5000" s="17">
        <f>IF(B5000="","","touch_3; "&amp;IFERROR(INDEX(Clay_Brands!$A$2:$FZ$601,349,Sync!$D$10)&amp;"","")&amp;"; "&amp;IFERROR(INDEX(Clay_Brands!$A$2:$FZ$601,349,Sync!$D$9)&amp;"",""))</f>
        <v/>
      </c>
      <c r="K5000" t="inlineStr">
        <is>
          <t>brand outreach touch 3</t>
        </is>
      </c>
    </row>
    <row r="5001">
      <c r="A5001" s="17">
        <f>IF(B5001="","",B5001+(17*1000+350)/10000000)</f>
        <v/>
      </c>
      <c r="B5001" s="23">
        <f>IF(AND(IFERROR(N(INDEX(Clay_Brands!$A$2:$FZ$601,350,Sync!$D$13)),0)&gt;0,IFERROR(INDEX(Clay_Brands!$A$2:$FZ$601,350,Sync!$D$5)&amp;"","")&lt;&gt;"",OR(LEFT(IFERROR(INDEX(Clay_Brands!$A$2:$FZ$601,350,Sync!$D$5)&amp;"",""),6)&lt;&gt;"SAMPLE",Config!$B$19="Y")),IFERROR(N(INDEX(Clay_Brands!$A$2:$FZ$601,350,Sync!$D$13)),0),"")</f>
        <v/>
      </c>
      <c r="C5001" s="17">
        <f>IF(B5001="","","brand")</f>
        <v/>
      </c>
      <c r="D5001" s="17">
        <f>IF(B5001="","",IFERROR(INDEX(Clay_Brands!$A$2:$FZ$601,350,Sync!$D$5)&amp;"",""))</f>
        <v/>
      </c>
      <c r="E5001" s="17">
        <f>IF(B5001="","",IFERROR(INDEX(Clay_Brands!$A$2:$FZ$601,350,Sync!$D$6)&amp;"",""))</f>
        <v/>
      </c>
      <c r="F5001" s="17">
        <f>IF(B5001="","","outreach_sent")</f>
        <v/>
      </c>
      <c r="G5001" s="17">
        <f>IF(B5001="","","")</f>
        <v/>
      </c>
      <c r="H5001" s="17">
        <f>IF(B5001="","","")</f>
        <v/>
      </c>
      <c r="I5001" s="17">
        <f>IF(B5001="","","")</f>
        <v/>
      </c>
      <c r="J5001" s="17">
        <f>IF(B5001="","","touch_3; "&amp;IFERROR(INDEX(Clay_Brands!$A$2:$FZ$601,350,Sync!$D$10)&amp;"","")&amp;"; "&amp;IFERROR(INDEX(Clay_Brands!$A$2:$FZ$601,350,Sync!$D$9)&amp;"",""))</f>
        <v/>
      </c>
      <c r="K5001" t="inlineStr">
        <is>
          <t>brand outreach touch 3</t>
        </is>
      </c>
    </row>
    <row r="5002">
      <c r="A5002" s="17">
        <f>IF(B5002="","",B5002+(17*1000+351)/10000000)</f>
        <v/>
      </c>
      <c r="B5002" s="23">
        <f>IF(AND(IFERROR(N(INDEX(Clay_Brands!$A$2:$FZ$601,351,Sync!$D$13)),0)&gt;0,IFERROR(INDEX(Clay_Brands!$A$2:$FZ$601,351,Sync!$D$5)&amp;"","")&lt;&gt;"",OR(LEFT(IFERROR(INDEX(Clay_Brands!$A$2:$FZ$601,351,Sync!$D$5)&amp;"",""),6)&lt;&gt;"SAMPLE",Config!$B$19="Y")),IFERROR(N(INDEX(Clay_Brands!$A$2:$FZ$601,351,Sync!$D$13)),0),"")</f>
        <v/>
      </c>
      <c r="C5002" s="17">
        <f>IF(B5002="","","brand")</f>
        <v/>
      </c>
      <c r="D5002" s="17">
        <f>IF(B5002="","",IFERROR(INDEX(Clay_Brands!$A$2:$FZ$601,351,Sync!$D$5)&amp;"",""))</f>
        <v/>
      </c>
      <c r="E5002" s="17">
        <f>IF(B5002="","",IFERROR(INDEX(Clay_Brands!$A$2:$FZ$601,351,Sync!$D$6)&amp;"",""))</f>
        <v/>
      </c>
      <c r="F5002" s="17">
        <f>IF(B5002="","","outreach_sent")</f>
        <v/>
      </c>
      <c r="G5002" s="17">
        <f>IF(B5002="","","")</f>
        <v/>
      </c>
      <c r="H5002" s="17">
        <f>IF(B5002="","","")</f>
        <v/>
      </c>
      <c r="I5002" s="17">
        <f>IF(B5002="","","")</f>
        <v/>
      </c>
      <c r="J5002" s="17">
        <f>IF(B5002="","","touch_3; "&amp;IFERROR(INDEX(Clay_Brands!$A$2:$FZ$601,351,Sync!$D$10)&amp;"","")&amp;"; "&amp;IFERROR(INDEX(Clay_Brands!$A$2:$FZ$601,351,Sync!$D$9)&amp;"",""))</f>
        <v/>
      </c>
      <c r="K5002" t="inlineStr">
        <is>
          <t>brand outreach touch 3</t>
        </is>
      </c>
    </row>
    <row r="5003">
      <c r="A5003" s="17">
        <f>IF(B5003="","",B5003+(17*1000+352)/10000000)</f>
        <v/>
      </c>
      <c r="B5003" s="23">
        <f>IF(AND(IFERROR(N(INDEX(Clay_Brands!$A$2:$FZ$601,352,Sync!$D$13)),0)&gt;0,IFERROR(INDEX(Clay_Brands!$A$2:$FZ$601,352,Sync!$D$5)&amp;"","")&lt;&gt;"",OR(LEFT(IFERROR(INDEX(Clay_Brands!$A$2:$FZ$601,352,Sync!$D$5)&amp;"",""),6)&lt;&gt;"SAMPLE",Config!$B$19="Y")),IFERROR(N(INDEX(Clay_Brands!$A$2:$FZ$601,352,Sync!$D$13)),0),"")</f>
        <v/>
      </c>
      <c r="C5003" s="17">
        <f>IF(B5003="","","brand")</f>
        <v/>
      </c>
      <c r="D5003" s="17">
        <f>IF(B5003="","",IFERROR(INDEX(Clay_Brands!$A$2:$FZ$601,352,Sync!$D$5)&amp;"",""))</f>
        <v/>
      </c>
      <c r="E5003" s="17">
        <f>IF(B5003="","",IFERROR(INDEX(Clay_Brands!$A$2:$FZ$601,352,Sync!$D$6)&amp;"",""))</f>
        <v/>
      </c>
      <c r="F5003" s="17">
        <f>IF(B5003="","","outreach_sent")</f>
        <v/>
      </c>
      <c r="G5003" s="17">
        <f>IF(B5003="","","")</f>
        <v/>
      </c>
      <c r="H5003" s="17">
        <f>IF(B5003="","","")</f>
        <v/>
      </c>
      <c r="I5003" s="17">
        <f>IF(B5003="","","")</f>
        <v/>
      </c>
      <c r="J5003" s="17">
        <f>IF(B5003="","","touch_3; "&amp;IFERROR(INDEX(Clay_Brands!$A$2:$FZ$601,352,Sync!$D$10)&amp;"","")&amp;"; "&amp;IFERROR(INDEX(Clay_Brands!$A$2:$FZ$601,352,Sync!$D$9)&amp;"",""))</f>
        <v/>
      </c>
      <c r="K5003" t="inlineStr">
        <is>
          <t>brand outreach touch 3</t>
        </is>
      </c>
    </row>
    <row r="5004">
      <c r="A5004" s="17">
        <f>IF(B5004="","",B5004+(17*1000+353)/10000000)</f>
        <v/>
      </c>
      <c r="B5004" s="23">
        <f>IF(AND(IFERROR(N(INDEX(Clay_Brands!$A$2:$FZ$601,353,Sync!$D$13)),0)&gt;0,IFERROR(INDEX(Clay_Brands!$A$2:$FZ$601,353,Sync!$D$5)&amp;"","")&lt;&gt;"",OR(LEFT(IFERROR(INDEX(Clay_Brands!$A$2:$FZ$601,353,Sync!$D$5)&amp;"",""),6)&lt;&gt;"SAMPLE",Config!$B$19="Y")),IFERROR(N(INDEX(Clay_Brands!$A$2:$FZ$601,353,Sync!$D$13)),0),"")</f>
        <v/>
      </c>
      <c r="C5004" s="17">
        <f>IF(B5004="","","brand")</f>
        <v/>
      </c>
      <c r="D5004" s="17">
        <f>IF(B5004="","",IFERROR(INDEX(Clay_Brands!$A$2:$FZ$601,353,Sync!$D$5)&amp;"",""))</f>
        <v/>
      </c>
      <c r="E5004" s="17">
        <f>IF(B5004="","",IFERROR(INDEX(Clay_Brands!$A$2:$FZ$601,353,Sync!$D$6)&amp;"",""))</f>
        <v/>
      </c>
      <c r="F5004" s="17">
        <f>IF(B5004="","","outreach_sent")</f>
        <v/>
      </c>
      <c r="G5004" s="17">
        <f>IF(B5004="","","")</f>
        <v/>
      </c>
      <c r="H5004" s="17">
        <f>IF(B5004="","","")</f>
        <v/>
      </c>
      <c r="I5004" s="17">
        <f>IF(B5004="","","")</f>
        <v/>
      </c>
      <c r="J5004" s="17">
        <f>IF(B5004="","","touch_3; "&amp;IFERROR(INDEX(Clay_Brands!$A$2:$FZ$601,353,Sync!$D$10)&amp;"","")&amp;"; "&amp;IFERROR(INDEX(Clay_Brands!$A$2:$FZ$601,353,Sync!$D$9)&amp;"",""))</f>
        <v/>
      </c>
      <c r="K5004" t="inlineStr">
        <is>
          <t>brand outreach touch 3</t>
        </is>
      </c>
    </row>
    <row r="5005">
      <c r="A5005" s="17">
        <f>IF(B5005="","",B5005+(17*1000+354)/10000000)</f>
        <v/>
      </c>
      <c r="B5005" s="23">
        <f>IF(AND(IFERROR(N(INDEX(Clay_Brands!$A$2:$FZ$601,354,Sync!$D$13)),0)&gt;0,IFERROR(INDEX(Clay_Brands!$A$2:$FZ$601,354,Sync!$D$5)&amp;"","")&lt;&gt;"",OR(LEFT(IFERROR(INDEX(Clay_Brands!$A$2:$FZ$601,354,Sync!$D$5)&amp;"",""),6)&lt;&gt;"SAMPLE",Config!$B$19="Y")),IFERROR(N(INDEX(Clay_Brands!$A$2:$FZ$601,354,Sync!$D$13)),0),"")</f>
        <v/>
      </c>
      <c r="C5005" s="17">
        <f>IF(B5005="","","brand")</f>
        <v/>
      </c>
      <c r="D5005" s="17">
        <f>IF(B5005="","",IFERROR(INDEX(Clay_Brands!$A$2:$FZ$601,354,Sync!$D$5)&amp;"",""))</f>
        <v/>
      </c>
      <c r="E5005" s="17">
        <f>IF(B5005="","",IFERROR(INDEX(Clay_Brands!$A$2:$FZ$601,354,Sync!$D$6)&amp;"",""))</f>
        <v/>
      </c>
      <c r="F5005" s="17">
        <f>IF(B5005="","","outreach_sent")</f>
        <v/>
      </c>
      <c r="G5005" s="17">
        <f>IF(B5005="","","")</f>
        <v/>
      </c>
      <c r="H5005" s="17">
        <f>IF(B5005="","","")</f>
        <v/>
      </c>
      <c r="I5005" s="17">
        <f>IF(B5005="","","")</f>
        <v/>
      </c>
      <c r="J5005" s="17">
        <f>IF(B5005="","","touch_3; "&amp;IFERROR(INDEX(Clay_Brands!$A$2:$FZ$601,354,Sync!$D$10)&amp;"","")&amp;"; "&amp;IFERROR(INDEX(Clay_Brands!$A$2:$FZ$601,354,Sync!$D$9)&amp;"",""))</f>
        <v/>
      </c>
      <c r="K5005" t="inlineStr">
        <is>
          <t>brand outreach touch 3</t>
        </is>
      </c>
    </row>
    <row r="5006">
      <c r="A5006" s="17">
        <f>IF(B5006="","",B5006+(17*1000+355)/10000000)</f>
        <v/>
      </c>
      <c r="B5006" s="23">
        <f>IF(AND(IFERROR(N(INDEX(Clay_Brands!$A$2:$FZ$601,355,Sync!$D$13)),0)&gt;0,IFERROR(INDEX(Clay_Brands!$A$2:$FZ$601,355,Sync!$D$5)&amp;"","")&lt;&gt;"",OR(LEFT(IFERROR(INDEX(Clay_Brands!$A$2:$FZ$601,355,Sync!$D$5)&amp;"",""),6)&lt;&gt;"SAMPLE",Config!$B$19="Y")),IFERROR(N(INDEX(Clay_Brands!$A$2:$FZ$601,355,Sync!$D$13)),0),"")</f>
        <v/>
      </c>
      <c r="C5006" s="17">
        <f>IF(B5006="","","brand")</f>
        <v/>
      </c>
      <c r="D5006" s="17">
        <f>IF(B5006="","",IFERROR(INDEX(Clay_Brands!$A$2:$FZ$601,355,Sync!$D$5)&amp;"",""))</f>
        <v/>
      </c>
      <c r="E5006" s="17">
        <f>IF(B5006="","",IFERROR(INDEX(Clay_Brands!$A$2:$FZ$601,355,Sync!$D$6)&amp;"",""))</f>
        <v/>
      </c>
      <c r="F5006" s="17">
        <f>IF(B5006="","","outreach_sent")</f>
        <v/>
      </c>
      <c r="G5006" s="17">
        <f>IF(B5006="","","")</f>
        <v/>
      </c>
      <c r="H5006" s="17">
        <f>IF(B5006="","","")</f>
        <v/>
      </c>
      <c r="I5006" s="17">
        <f>IF(B5006="","","")</f>
        <v/>
      </c>
      <c r="J5006" s="17">
        <f>IF(B5006="","","touch_3; "&amp;IFERROR(INDEX(Clay_Brands!$A$2:$FZ$601,355,Sync!$D$10)&amp;"","")&amp;"; "&amp;IFERROR(INDEX(Clay_Brands!$A$2:$FZ$601,355,Sync!$D$9)&amp;"",""))</f>
        <v/>
      </c>
      <c r="K5006" t="inlineStr">
        <is>
          <t>brand outreach touch 3</t>
        </is>
      </c>
    </row>
    <row r="5007">
      <c r="A5007" s="17">
        <f>IF(B5007="","",B5007+(17*1000+356)/10000000)</f>
        <v/>
      </c>
      <c r="B5007" s="23">
        <f>IF(AND(IFERROR(N(INDEX(Clay_Brands!$A$2:$FZ$601,356,Sync!$D$13)),0)&gt;0,IFERROR(INDEX(Clay_Brands!$A$2:$FZ$601,356,Sync!$D$5)&amp;"","")&lt;&gt;"",OR(LEFT(IFERROR(INDEX(Clay_Brands!$A$2:$FZ$601,356,Sync!$D$5)&amp;"",""),6)&lt;&gt;"SAMPLE",Config!$B$19="Y")),IFERROR(N(INDEX(Clay_Brands!$A$2:$FZ$601,356,Sync!$D$13)),0),"")</f>
        <v/>
      </c>
      <c r="C5007" s="17">
        <f>IF(B5007="","","brand")</f>
        <v/>
      </c>
      <c r="D5007" s="17">
        <f>IF(B5007="","",IFERROR(INDEX(Clay_Brands!$A$2:$FZ$601,356,Sync!$D$5)&amp;"",""))</f>
        <v/>
      </c>
      <c r="E5007" s="17">
        <f>IF(B5007="","",IFERROR(INDEX(Clay_Brands!$A$2:$FZ$601,356,Sync!$D$6)&amp;"",""))</f>
        <v/>
      </c>
      <c r="F5007" s="17">
        <f>IF(B5007="","","outreach_sent")</f>
        <v/>
      </c>
      <c r="G5007" s="17">
        <f>IF(B5007="","","")</f>
        <v/>
      </c>
      <c r="H5007" s="17">
        <f>IF(B5007="","","")</f>
        <v/>
      </c>
      <c r="I5007" s="17">
        <f>IF(B5007="","","")</f>
        <v/>
      </c>
      <c r="J5007" s="17">
        <f>IF(B5007="","","touch_3; "&amp;IFERROR(INDEX(Clay_Brands!$A$2:$FZ$601,356,Sync!$D$10)&amp;"","")&amp;"; "&amp;IFERROR(INDEX(Clay_Brands!$A$2:$FZ$601,356,Sync!$D$9)&amp;"",""))</f>
        <v/>
      </c>
      <c r="K5007" t="inlineStr">
        <is>
          <t>brand outreach touch 3</t>
        </is>
      </c>
    </row>
    <row r="5008">
      <c r="A5008" s="17">
        <f>IF(B5008="","",B5008+(17*1000+357)/10000000)</f>
        <v/>
      </c>
      <c r="B5008" s="23">
        <f>IF(AND(IFERROR(N(INDEX(Clay_Brands!$A$2:$FZ$601,357,Sync!$D$13)),0)&gt;0,IFERROR(INDEX(Clay_Brands!$A$2:$FZ$601,357,Sync!$D$5)&amp;"","")&lt;&gt;"",OR(LEFT(IFERROR(INDEX(Clay_Brands!$A$2:$FZ$601,357,Sync!$D$5)&amp;"",""),6)&lt;&gt;"SAMPLE",Config!$B$19="Y")),IFERROR(N(INDEX(Clay_Brands!$A$2:$FZ$601,357,Sync!$D$13)),0),"")</f>
        <v/>
      </c>
      <c r="C5008" s="17">
        <f>IF(B5008="","","brand")</f>
        <v/>
      </c>
      <c r="D5008" s="17">
        <f>IF(B5008="","",IFERROR(INDEX(Clay_Brands!$A$2:$FZ$601,357,Sync!$D$5)&amp;"",""))</f>
        <v/>
      </c>
      <c r="E5008" s="17">
        <f>IF(B5008="","",IFERROR(INDEX(Clay_Brands!$A$2:$FZ$601,357,Sync!$D$6)&amp;"",""))</f>
        <v/>
      </c>
      <c r="F5008" s="17">
        <f>IF(B5008="","","outreach_sent")</f>
        <v/>
      </c>
      <c r="G5008" s="17">
        <f>IF(B5008="","","")</f>
        <v/>
      </c>
      <c r="H5008" s="17">
        <f>IF(B5008="","","")</f>
        <v/>
      </c>
      <c r="I5008" s="17">
        <f>IF(B5008="","","")</f>
        <v/>
      </c>
      <c r="J5008" s="17">
        <f>IF(B5008="","","touch_3; "&amp;IFERROR(INDEX(Clay_Brands!$A$2:$FZ$601,357,Sync!$D$10)&amp;"","")&amp;"; "&amp;IFERROR(INDEX(Clay_Brands!$A$2:$FZ$601,357,Sync!$D$9)&amp;"",""))</f>
        <v/>
      </c>
      <c r="K5008" t="inlineStr">
        <is>
          <t>brand outreach touch 3</t>
        </is>
      </c>
    </row>
    <row r="5009">
      <c r="A5009" s="17">
        <f>IF(B5009="","",B5009+(17*1000+358)/10000000)</f>
        <v/>
      </c>
      <c r="B5009" s="23">
        <f>IF(AND(IFERROR(N(INDEX(Clay_Brands!$A$2:$FZ$601,358,Sync!$D$13)),0)&gt;0,IFERROR(INDEX(Clay_Brands!$A$2:$FZ$601,358,Sync!$D$5)&amp;"","")&lt;&gt;"",OR(LEFT(IFERROR(INDEX(Clay_Brands!$A$2:$FZ$601,358,Sync!$D$5)&amp;"",""),6)&lt;&gt;"SAMPLE",Config!$B$19="Y")),IFERROR(N(INDEX(Clay_Brands!$A$2:$FZ$601,358,Sync!$D$13)),0),"")</f>
        <v/>
      </c>
      <c r="C5009" s="17">
        <f>IF(B5009="","","brand")</f>
        <v/>
      </c>
      <c r="D5009" s="17">
        <f>IF(B5009="","",IFERROR(INDEX(Clay_Brands!$A$2:$FZ$601,358,Sync!$D$5)&amp;"",""))</f>
        <v/>
      </c>
      <c r="E5009" s="17">
        <f>IF(B5009="","",IFERROR(INDEX(Clay_Brands!$A$2:$FZ$601,358,Sync!$D$6)&amp;"",""))</f>
        <v/>
      </c>
      <c r="F5009" s="17">
        <f>IF(B5009="","","outreach_sent")</f>
        <v/>
      </c>
      <c r="G5009" s="17">
        <f>IF(B5009="","","")</f>
        <v/>
      </c>
      <c r="H5009" s="17">
        <f>IF(B5009="","","")</f>
        <v/>
      </c>
      <c r="I5009" s="17">
        <f>IF(B5009="","","")</f>
        <v/>
      </c>
      <c r="J5009" s="17">
        <f>IF(B5009="","","touch_3; "&amp;IFERROR(INDEX(Clay_Brands!$A$2:$FZ$601,358,Sync!$D$10)&amp;"","")&amp;"; "&amp;IFERROR(INDEX(Clay_Brands!$A$2:$FZ$601,358,Sync!$D$9)&amp;"",""))</f>
        <v/>
      </c>
      <c r="K5009" t="inlineStr">
        <is>
          <t>brand outreach touch 3</t>
        </is>
      </c>
    </row>
    <row r="5010">
      <c r="A5010" s="17">
        <f>IF(B5010="","",B5010+(17*1000+359)/10000000)</f>
        <v/>
      </c>
      <c r="B5010" s="23">
        <f>IF(AND(IFERROR(N(INDEX(Clay_Brands!$A$2:$FZ$601,359,Sync!$D$13)),0)&gt;0,IFERROR(INDEX(Clay_Brands!$A$2:$FZ$601,359,Sync!$D$5)&amp;"","")&lt;&gt;"",OR(LEFT(IFERROR(INDEX(Clay_Brands!$A$2:$FZ$601,359,Sync!$D$5)&amp;"",""),6)&lt;&gt;"SAMPLE",Config!$B$19="Y")),IFERROR(N(INDEX(Clay_Brands!$A$2:$FZ$601,359,Sync!$D$13)),0),"")</f>
        <v/>
      </c>
      <c r="C5010" s="17">
        <f>IF(B5010="","","brand")</f>
        <v/>
      </c>
      <c r="D5010" s="17">
        <f>IF(B5010="","",IFERROR(INDEX(Clay_Brands!$A$2:$FZ$601,359,Sync!$D$5)&amp;"",""))</f>
        <v/>
      </c>
      <c r="E5010" s="17">
        <f>IF(B5010="","",IFERROR(INDEX(Clay_Brands!$A$2:$FZ$601,359,Sync!$D$6)&amp;"",""))</f>
        <v/>
      </c>
      <c r="F5010" s="17">
        <f>IF(B5010="","","outreach_sent")</f>
        <v/>
      </c>
      <c r="G5010" s="17">
        <f>IF(B5010="","","")</f>
        <v/>
      </c>
      <c r="H5010" s="17">
        <f>IF(B5010="","","")</f>
        <v/>
      </c>
      <c r="I5010" s="17">
        <f>IF(B5010="","","")</f>
        <v/>
      </c>
      <c r="J5010" s="17">
        <f>IF(B5010="","","touch_3; "&amp;IFERROR(INDEX(Clay_Brands!$A$2:$FZ$601,359,Sync!$D$10)&amp;"","")&amp;"; "&amp;IFERROR(INDEX(Clay_Brands!$A$2:$FZ$601,359,Sync!$D$9)&amp;"",""))</f>
        <v/>
      </c>
      <c r="K5010" t="inlineStr">
        <is>
          <t>brand outreach touch 3</t>
        </is>
      </c>
    </row>
    <row r="5011">
      <c r="A5011" s="17">
        <f>IF(B5011="","",B5011+(17*1000+360)/10000000)</f>
        <v/>
      </c>
      <c r="B5011" s="23">
        <f>IF(AND(IFERROR(N(INDEX(Clay_Brands!$A$2:$FZ$601,360,Sync!$D$13)),0)&gt;0,IFERROR(INDEX(Clay_Brands!$A$2:$FZ$601,360,Sync!$D$5)&amp;"","")&lt;&gt;"",OR(LEFT(IFERROR(INDEX(Clay_Brands!$A$2:$FZ$601,360,Sync!$D$5)&amp;"",""),6)&lt;&gt;"SAMPLE",Config!$B$19="Y")),IFERROR(N(INDEX(Clay_Brands!$A$2:$FZ$601,360,Sync!$D$13)),0),"")</f>
        <v/>
      </c>
      <c r="C5011" s="17">
        <f>IF(B5011="","","brand")</f>
        <v/>
      </c>
      <c r="D5011" s="17">
        <f>IF(B5011="","",IFERROR(INDEX(Clay_Brands!$A$2:$FZ$601,360,Sync!$D$5)&amp;"",""))</f>
        <v/>
      </c>
      <c r="E5011" s="17">
        <f>IF(B5011="","",IFERROR(INDEX(Clay_Brands!$A$2:$FZ$601,360,Sync!$D$6)&amp;"",""))</f>
        <v/>
      </c>
      <c r="F5011" s="17">
        <f>IF(B5011="","","outreach_sent")</f>
        <v/>
      </c>
      <c r="G5011" s="17">
        <f>IF(B5011="","","")</f>
        <v/>
      </c>
      <c r="H5011" s="17">
        <f>IF(B5011="","","")</f>
        <v/>
      </c>
      <c r="I5011" s="17">
        <f>IF(B5011="","","")</f>
        <v/>
      </c>
      <c r="J5011" s="17">
        <f>IF(B5011="","","touch_3; "&amp;IFERROR(INDEX(Clay_Brands!$A$2:$FZ$601,360,Sync!$D$10)&amp;"","")&amp;"; "&amp;IFERROR(INDEX(Clay_Brands!$A$2:$FZ$601,360,Sync!$D$9)&amp;"",""))</f>
        <v/>
      </c>
      <c r="K5011" t="inlineStr">
        <is>
          <t>brand outreach touch 3</t>
        </is>
      </c>
    </row>
    <row r="5012">
      <c r="A5012" s="17">
        <f>IF(B5012="","",B5012+(17*1000+361)/10000000)</f>
        <v/>
      </c>
      <c r="B5012" s="23">
        <f>IF(AND(IFERROR(N(INDEX(Clay_Brands!$A$2:$FZ$601,361,Sync!$D$13)),0)&gt;0,IFERROR(INDEX(Clay_Brands!$A$2:$FZ$601,361,Sync!$D$5)&amp;"","")&lt;&gt;"",OR(LEFT(IFERROR(INDEX(Clay_Brands!$A$2:$FZ$601,361,Sync!$D$5)&amp;"",""),6)&lt;&gt;"SAMPLE",Config!$B$19="Y")),IFERROR(N(INDEX(Clay_Brands!$A$2:$FZ$601,361,Sync!$D$13)),0),"")</f>
        <v/>
      </c>
      <c r="C5012" s="17">
        <f>IF(B5012="","","brand")</f>
        <v/>
      </c>
      <c r="D5012" s="17">
        <f>IF(B5012="","",IFERROR(INDEX(Clay_Brands!$A$2:$FZ$601,361,Sync!$D$5)&amp;"",""))</f>
        <v/>
      </c>
      <c r="E5012" s="17">
        <f>IF(B5012="","",IFERROR(INDEX(Clay_Brands!$A$2:$FZ$601,361,Sync!$D$6)&amp;"",""))</f>
        <v/>
      </c>
      <c r="F5012" s="17">
        <f>IF(B5012="","","outreach_sent")</f>
        <v/>
      </c>
      <c r="G5012" s="17">
        <f>IF(B5012="","","")</f>
        <v/>
      </c>
      <c r="H5012" s="17">
        <f>IF(B5012="","","")</f>
        <v/>
      </c>
      <c r="I5012" s="17">
        <f>IF(B5012="","","")</f>
        <v/>
      </c>
      <c r="J5012" s="17">
        <f>IF(B5012="","","touch_3; "&amp;IFERROR(INDEX(Clay_Brands!$A$2:$FZ$601,361,Sync!$D$10)&amp;"","")&amp;"; "&amp;IFERROR(INDEX(Clay_Brands!$A$2:$FZ$601,361,Sync!$D$9)&amp;"",""))</f>
        <v/>
      </c>
      <c r="K5012" t="inlineStr">
        <is>
          <t>brand outreach touch 3</t>
        </is>
      </c>
    </row>
    <row r="5013">
      <c r="A5013" s="17">
        <f>IF(B5013="","",B5013+(17*1000+362)/10000000)</f>
        <v/>
      </c>
      <c r="B5013" s="23">
        <f>IF(AND(IFERROR(N(INDEX(Clay_Brands!$A$2:$FZ$601,362,Sync!$D$13)),0)&gt;0,IFERROR(INDEX(Clay_Brands!$A$2:$FZ$601,362,Sync!$D$5)&amp;"","")&lt;&gt;"",OR(LEFT(IFERROR(INDEX(Clay_Brands!$A$2:$FZ$601,362,Sync!$D$5)&amp;"",""),6)&lt;&gt;"SAMPLE",Config!$B$19="Y")),IFERROR(N(INDEX(Clay_Brands!$A$2:$FZ$601,362,Sync!$D$13)),0),"")</f>
        <v/>
      </c>
      <c r="C5013" s="17">
        <f>IF(B5013="","","brand")</f>
        <v/>
      </c>
      <c r="D5013" s="17">
        <f>IF(B5013="","",IFERROR(INDEX(Clay_Brands!$A$2:$FZ$601,362,Sync!$D$5)&amp;"",""))</f>
        <v/>
      </c>
      <c r="E5013" s="17">
        <f>IF(B5013="","",IFERROR(INDEX(Clay_Brands!$A$2:$FZ$601,362,Sync!$D$6)&amp;"",""))</f>
        <v/>
      </c>
      <c r="F5013" s="17">
        <f>IF(B5013="","","outreach_sent")</f>
        <v/>
      </c>
      <c r="G5013" s="17">
        <f>IF(B5013="","","")</f>
        <v/>
      </c>
      <c r="H5013" s="17">
        <f>IF(B5013="","","")</f>
        <v/>
      </c>
      <c r="I5013" s="17">
        <f>IF(B5013="","","")</f>
        <v/>
      </c>
      <c r="J5013" s="17">
        <f>IF(B5013="","","touch_3; "&amp;IFERROR(INDEX(Clay_Brands!$A$2:$FZ$601,362,Sync!$D$10)&amp;"","")&amp;"; "&amp;IFERROR(INDEX(Clay_Brands!$A$2:$FZ$601,362,Sync!$D$9)&amp;"",""))</f>
        <v/>
      </c>
      <c r="K5013" t="inlineStr">
        <is>
          <t>brand outreach touch 3</t>
        </is>
      </c>
    </row>
    <row r="5014">
      <c r="A5014" s="17">
        <f>IF(B5014="","",B5014+(17*1000+363)/10000000)</f>
        <v/>
      </c>
      <c r="B5014" s="23">
        <f>IF(AND(IFERROR(N(INDEX(Clay_Brands!$A$2:$FZ$601,363,Sync!$D$13)),0)&gt;0,IFERROR(INDEX(Clay_Brands!$A$2:$FZ$601,363,Sync!$D$5)&amp;"","")&lt;&gt;"",OR(LEFT(IFERROR(INDEX(Clay_Brands!$A$2:$FZ$601,363,Sync!$D$5)&amp;"",""),6)&lt;&gt;"SAMPLE",Config!$B$19="Y")),IFERROR(N(INDEX(Clay_Brands!$A$2:$FZ$601,363,Sync!$D$13)),0),"")</f>
        <v/>
      </c>
      <c r="C5014" s="17">
        <f>IF(B5014="","","brand")</f>
        <v/>
      </c>
      <c r="D5014" s="17">
        <f>IF(B5014="","",IFERROR(INDEX(Clay_Brands!$A$2:$FZ$601,363,Sync!$D$5)&amp;"",""))</f>
        <v/>
      </c>
      <c r="E5014" s="17">
        <f>IF(B5014="","",IFERROR(INDEX(Clay_Brands!$A$2:$FZ$601,363,Sync!$D$6)&amp;"",""))</f>
        <v/>
      </c>
      <c r="F5014" s="17">
        <f>IF(B5014="","","outreach_sent")</f>
        <v/>
      </c>
      <c r="G5014" s="17">
        <f>IF(B5014="","","")</f>
        <v/>
      </c>
      <c r="H5014" s="17">
        <f>IF(B5014="","","")</f>
        <v/>
      </c>
      <c r="I5014" s="17">
        <f>IF(B5014="","","")</f>
        <v/>
      </c>
      <c r="J5014" s="17">
        <f>IF(B5014="","","touch_3; "&amp;IFERROR(INDEX(Clay_Brands!$A$2:$FZ$601,363,Sync!$D$10)&amp;"","")&amp;"; "&amp;IFERROR(INDEX(Clay_Brands!$A$2:$FZ$601,363,Sync!$D$9)&amp;"",""))</f>
        <v/>
      </c>
      <c r="K5014" t="inlineStr">
        <is>
          <t>brand outreach touch 3</t>
        </is>
      </c>
    </row>
    <row r="5015">
      <c r="A5015" s="17">
        <f>IF(B5015="","",B5015+(17*1000+364)/10000000)</f>
        <v/>
      </c>
      <c r="B5015" s="23">
        <f>IF(AND(IFERROR(N(INDEX(Clay_Brands!$A$2:$FZ$601,364,Sync!$D$13)),0)&gt;0,IFERROR(INDEX(Clay_Brands!$A$2:$FZ$601,364,Sync!$D$5)&amp;"","")&lt;&gt;"",OR(LEFT(IFERROR(INDEX(Clay_Brands!$A$2:$FZ$601,364,Sync!$D$5)&amp;"",""),6)&lt;&gt;"SAMPLE",Config!$B$19="Y")),IFERROR(N(INDEX(Clay_Brands!$A$2:$FZ$601,364,Sync!$D$13)),0),"")</f>
        <v/>
      </c>
      <c r="C5015" s="17">
        <f>IF(B5015="","","brand")</f>
        <v/>
      </c>
      <c r="D5015" s="17">
        <f>IF(B5015="","",IFERROR(INDEX(Clay_Brands!$A$2:$FZ$601,364,Sync!$D$5)&amp;"",""))</f>
        <v/>
      </c>
      <c r="E5015" s="17">
        <f>IF(B5015="","",IFERROR(INDEX(Clay_Brands!$A$2:$FZ$601,364,Sync!$D$6)&amp;"",""))</f>
        <v/>
      </c>
      <c r="F5015" s="17">
        <f>IF(B5015="","","outreach_sent")</f>
        <v/>
      </c>
      <c r="G5015" s="17">
        <f>IF(B5015="","","")</f>
        <v/>
      </c>
      <c r="H5015" s="17">
        <f>IF(B5015="","","")</f>
        <v/>
      </c>
      <c r="I5015" s="17">
        <f>IF(B5015="","","")</f>
        <v/>
      </c>
      <c r="J5015" s="17">
        <f>IF(B5015="","","touch_3; "&amp;IFERROR(INDEX(Clay_Brands!$A$2:$FZ$601,364,Sync!$D$10)&amp;"","")&amp;"; "&amp;IFERROR(INDEX(Clay_Brands!$A$2:$FZ$601,364,Sync!$D$9)&amp;"",""))</f>
        <v/>
      </c>
      <c r="K5015" t="inlineStr">
        <is>
          <t>brand outreach touch 3</t>
        </is>
      </c>
    </row>
    <row r="5016">
      <c r="A5016" s="17">
        <f>IF(B5016="","",B5016+(17*1000+365)/10000000)</f>
        <v/>
      </c>
      <c r="B5016" s="23">
        <f>IF(AND(IFERROR(N(INDEX(Clay_Brands!$A$2:$FZ$601,365,Sync!$D$13)),0)&gt;0,IFERROR(INDEX(Clay_Brands!$A$2:$FZ$601,365,Sync!$D$5)&amp;"","")&lt;&gt;"",OR(LEFT(IFERROR(INDEX(Clay_Brands!$A$2:$FZ$601,365,Sync!$D$5)&amp;"",""),6)&lt;&gt;"SAMPLE",Config!$B$19="Y")),IFERROR(N(INDEX(Clay_Brands!$A$2:$FZ$601,365,Sync!$D$13)),0),"")</f>
        <v/>
      </c>
      <c r="C5016" s="17">
        <f>IF(B5016="","","brand")</f>
        <v/>
      </c>
      <c r="D5016" s="17">
        <f>IF(B5016="","",IFERROR(INDEX(Clay_Brands!$A$2:$FZ$601,365,Sync!$D$5)&amp;"",""))</f>
        <v/>
      </c>
      <c r="E5016" s="17">
        <f>IF(B5016="","",IFERROR(INDEX(Clay_Brands!$A$2:$FZ$601,365,Sync!$D$6)&amp;"",""))</f>
        <v/>
      </c>
      <c r="F5016" s="17">
        <f>IF(B5016="","","outreach_sent")</f>
        <v/>
      </c>
      <c r="G5016" s="17">
        <f>IF(B5016="","","")</f>
        <v/>
      </c>
      <c r="H5016" s="17">
        <f>IF(B5016="","","")</f>
        <v/>
      </c>
      <c r="I5016" s="17">
        <f>IF(B5016="","","")</f>
        <v/>
      </c>
      <c r="J5016" s="17">
        <f>IF(B5016="","","touch_3; "&amp;IFERROR(INDEX(Clay_Brands!$A$2:$FZ$601,365,Sync!$D$10)&amp;"","")&amp;"; "&amp;IFERROR(INDEX(Clay_Brands!$A$2:$FZ$601,365,Sync!$D$9)&amp;"",""))</f>
        <v/>
      </c>
      <c r="K5016" t="inlineStr">
        <is>
          <t>brand outreach touch 3</t>
        </is>
      </c>
    </row>
    <row r="5017">
      <c r="A5017" s="17">
        <f>IF(B5017="","",B5017+(17*1000+366)/10000000)</f>
        <v/>
      </c>
      <c r="B5017" s="23">
        <f>IF(AND(IFERROR(N(INDEX(Clay_Brands!$A$2:$FZ$601,366,Sync!$D$13)),0)&gt;0,IFERROR(INDEX(Clay_Brands!$A$2:$FZ$601,366,Sync!$D$5)&amp;"","")&lt;&gt;"",OR(LEFT(IFERROR(INDEX(Clay_Brands!$A$2:$FZ$601,366,Sync!$D$5)&amp;"",""),6)&lt;&gt;"SAMPLE",Config!$B$19="Y")),IFERROR(N(INDEX(Clay_Brands!$A$2:$FZ$601,366,Sync!$D$13)),0),"")</f>
        <v/>
      </c>
      <c r="C5017" s="17">
        <f>IF(B5017="","","brand")</f>
        <v/>
      </c>
      <c r="D5017" s="17">
        <f>IF(B5017="","",IFERROR(INDEX(Clay_Brands!$A$2:$FZ$601,366,Sync!$D$5)&amp;"",""))</f>
        <v/>
      </c>
      <c r="E5017" s="17">
        <f>IF(B5017="","",IFERROR(INDEX(Clay_Brands!$A$2:$FZ$601,366,Sync!$D$6)&amp;"",""))</f>
        <v/>
      </c>
      <c r="F5017" s="17">
        <f>IF(B5017="","","outreach_sent")</f>
        <v/>
      </c>
      <c r="G5017" s="17">
        <f>IF(B5017="","","")</f>
        <v/>
      </c>
      <c r="H5017" s="17">
        <f>IF(B5017="","","")</f>
        <v/>
      </c>
      <c r="I5017" s="17">
        <f>IF(B5017="","","")</f>
        <v/>
      </c>
      <c r="J5017" s="17">
        <f>IF(B5017="","","touch_3; "&amp;IFERROR(INDEX(Clay_Brands!$A$2:$FZ$601,366,Sync!$D$10)&amp;"","")&amp;"; "&amp;IFERROR(INDEX(Clay_Brands!$A$2:$FZ$601,366,Sync!$D$9)&amp;"",""))</f>
        <v/>
      </c>
      <c r="K5017" t="inlineStr">
        <is>
          <t>brand outreach touch 3</t>
        </is>
      </c>
    </row>
    <row r="5018">
      <c r="A5018" s="17">
        <f>IF(B5018="","",B5018+(17*1000+367)/10000000)</f>
        <v/>
      </c>
      <c r="B5018" s="23">
        <f>IF(AND(IFERROR(N(INDEX(Clay_Brands!$A$2:$FZ$601,367,Sync!$D$13)),0)&gt;0,IFERROR(INDEX(Clay_Brands!$A$2:$FZ$601,367,Sync!$D$5)&amp;"","")&lt;&gt;"",OR(LEFT(IFERROR(INDEX(Clay_Brands!$A$2:$FZ$601,367,Sync!$D$5)&amp;"",""),6)&lt;&gt;"SAMPLE",Config!$B$19="Y")),IFERROR(N(INDEX(Clay_Brands!$A$2:$FZ$601,367,Sync!$D$13)),0),"")</f>
        <v/>
      </c>
      <c r="C5018" s="17">
        <f>IF(B5018="","","brand")</f>
        <v/>
      </c>
      <c r="D5018" s="17">
        <f>IF(B5018="","",IFERROR(INDEX(Clay_Brands!$A$2:$FZ$601,367,Sync!$D$5)&amp;"",""))</f>
        <v/>
      </c>
      <c r="E5018" s="17">
        <f>IF(B5018="","",IFERROR(INDEX(Clay_Brands!$A$2:$FZ$601,367,Sync!$D$6)&amp;"",""))</f>
        <v/>
      </c>
      <c r="F5018" s="17">
        <f>IF(B5018="","","outreach_sent")</f>
        <v/>
      </c>
      <c r="G5018" s="17">
        <f>IF(B5018="","","")</f>
        <v/>
      </c>
      <c r="H5018" s="17">
        <f>IF(B5018="","","")</f>
        <v/>
      </c>
      <c r="I5018" s="17">
        <f>IF(B5018="","","")</f>
        <v/>
      </c>
      <c r="J5018" s="17">
        <f>IF(B5018="","","touch_3; "&amp;IFERROR(INDEX(Clay_Brands!$A$2:$FZ$601,367,Sync!$D$10)&amp;"","")&amp;"; "&amp;IFERROR(INDEX(Clay_Brands!$A$2:$FZ$601,367,Sync!$D$9)&amp;"",""))</f>
        <v/>
      </c>
      <c r="K5018" t="inlineStr">
        <is>
          <t>brand outreach touch 3</t>
        </is>
      </c>
    </row>
    <row r="5019">
      <c r="A5019" s="17">
        <f>IF(B5019="","",B5019+(17*1000+368)/10000000)</f>
        <v/>
      </c>
      <c r="B5019" s="23">
        <f>IF(AND(IFERROR(N(INDEX(Clay_Brands!$A$2:$FZ$601,368,Sync!$D$13)),0)&gt;0,IFERROR(INDEX(Clay_Brands!$A$2:$FZ$601,368,Sync!$D$5)&amp;"","")&lt;&gt;"",OR(LEFT(IFERROR(INDEX(Clay_Brands!$A$2:$FZ$601,368,Sync!$D$5)&amp;"",""),6)&lt;&gt;"SAMPLE",Config!$B$19="Y")),IFERROR(N(INDEX(Clay_Brands!$A$2:$FZ$601,368,Sync!$D$13)),0),"")</f>
        <v/>
      </c>
      <c r="C5019" s="17">
        <f>IF(B5019="","","brand")</f>
        <v/>
      </c>
      <c r="D5019" s="17">
        <f>IF(B5019="","",IFERROR(INDEX(Clay_Brands!$A$2:$FZ$601,368,Sync!$D$5)&amp;"",""))</f>
        <v/>
      </c>
      <c r="E5019" s="17">
        <f>IF(B5019="","",IFERROR(INDEX(Clay_Brands!$A$2:$FZ$601,368,Sync!$D$6)&amp;"",""))</f>
        <v/>
      </c>
      <c r="F5019" s="17">
        <f>IF(B5019="","","outreach_sent")</f>
        <v/>
      </c>
      <c r="G5019" s="17">
        <f>IF(B5019="","","")</f>
        <v/>
      </c>
      <c r="H5019" s="17">
        <f>IF(B5019="","","")</f>
        <v/>
      </c>
      <c r="I5019" s="17">
        <f>IF(B5019="","","")</f>
        <v/>
      </c>
      <c r="J5019" s="17">
        <f>IF(B5019="","","touch_3; "&amp;IFERROR(INDEX(Clay_Brands!$A$2:$FZ$601,368,Sync!$D$10)&amp;"","")&amp;"; "&amp;IFERROR(INDEX(Clay_Brands!$A$2:$FZ$601,368,Sync!$D$9)&amp;"",""))</f>
        <v/>
      </c>
      <c r="K5019" t="inlineStr">
        <is>
          <t>brand outreach touch 3</t>
        </is>
      </c>
    </row>
    <row r="5020">
      <c r="A5020" s="17">
        <f>IF(B5020="","",B5020+(17*1000+369)/10000000)</f>
        <v/>
      </c>
      <c r="B5020" s="23">
        <f>IF(AND(IFERROR(N(INDEX(Clay_Brands!$A$2:$FZ$601,369,Sync!$D$13)),0)&gt;0,IFERROR(INDEX(Clay_Brands!$A$2:$FZ$601,369,Sync!$D$5)&amp;"","")&lt;&gt;"",OR(LEFT(IFERROR(INDEX(Clay_Brands!$A$2:$FZ$601,369,Sync!$D$5)&amp;"",""),6)&lt;&gt;"SAMPLE",Config!$B$19="Y")),IFERROR(N(INDEX(Clay_Brands!$A$2:$FZ$601,369,Sync!$D$13)),0),"")</f>
        <v/>
      </c>
      <c r="C5020" s="17">
        <f>IF(B5020="","","brand")</f>
        <v/>
      </c>
      <c r="D5020" s="17">
        <f>IF(B5020="","",IFERROR(INDEX(Clay_Brands!$A$2:$FZ$601,369,Sync!$D$5)&amp;"",""))</f>
        <v/>
      </c>
      <c r="E5020" s="17">
        <f>IF(B5020="","",IFERROR(INDEX(Clay_Brands!$A$2:$FZ$601,369,Sync!$D$6)&amp;"",""))</f>
        <v/>
      </c>
      <c r="F5020" s="17">
        <f>IF(B5020="","","outreach_sent")</f>
        <v/>
      </c>
      <c r="G5020" s="17">
        <f>IF(B5020="","","")</f>
        <v/>
      </c>
      <c r="H5020" s="17">
        <f>IF(B5020="","","")</f>
        <v/>
      </c>
      <c r="I5020" s="17">
        <f>IF(B5020="","","")</f>
        <v/>
      </c>
      <c r="J5020" s="17">
        <f>IF(B5020="","","touch_3; "&amp;IFERROR(INDEX(Clay_Brands!$A$2:$FZ$601,369,Sync!$D$10)&amp;"","")&amp;"; "&amp;IFERROR(INDEX(Clay_Brands!$A$2:$FZ$601,369,Sync!$D$9)&amp;"",""))</f>
        <v/>
      </c>
      <c r="K5020" t="inlineStr">
        <is>
          <t>brand outreach touch 3</t>
        </is>
      </c>
    </row>
    <row r="5021">
      <c r="A5021" s="17">
        <f>IF(B5021="","",B5021+(17*1000+370)/10000000)</f>
        <v/>
      </c>
      <c r="B5021" s="23">
        <f>IF(AND(IFERROR(N(INDEX(Clay_Brands!$A$2:$FZ$601,370,Sync!$D$13)),0)&gt;0,IFERROR(INDEX(Clay_Brands!$A$2:$FZ$601,370,Sync!$D$5)&amp;"","")&lt;&gt;"",OR(LEFT(IFERROR(INDEX(Clay_Brands!$A$2:$FZ$601,370,Sync!$D$5)&amp;"",""),6)&lt;&gt;"SAMPLE",Config!$B$19="Y")),IFERROR(N(INDEX(Clay_Brands!$A$2:$FZ$601,370,Sync!$D$13)),0),"")</f>
        <v/>
      </c>
      <c r="C5021" s="17">
        <f>IF(B5021="","","brand")</f>
        <v/>
      </c>
      <c r="D5021" s="17">
        <f>IF(B5021="","",IFERROR(INDEX(Clay_Brands!$A$2:$FZ$601,370,Sync!$D$5)&amp;"",""))</f>
        <v/>
      </c>
      <c r="E5021" s="17">
        <f>IF(B5021="","",IFERROR(INDEX(Clay_Brands!$A$2:$FZ$601,370,Sync!$D$6)&amp;"",""))</f>
        <v/>
      </c>
      <c r="F5021" s="17">
        <f>IF(B5021="","","outreach_sent")</f>
        <v/>
      </c>
      <c r="G5021" s="17">
        <f>IF(B5021="","","")</f>
        <v/>
      </c>
      <c r="H5021" s="17">
        <f>IF(B5021="","","")</f>
        <v/>
      </c>
      <c r="I5021" s="17">
        <f>IF(B5021="","","")</f>
        <v/>
      </c>
      <c r="J5021" s="17">
        <f>IF(B5021="","","touch_3; "&amp;IFERROR(INDEX(Clay_Brands!$A$2:$FZ$601,370,Sync!$D$10)&amp;"","")&amp;"; "&amp;IFERROR(INDEX(Clay_Brands!$A$2:$FZ$601,370,Sync!$D$9)&amp;"",""))</f>
        <v/>
      </c>
      <c r="K5021" t="inlineStr">
        <is>
          <t>brand outreach touch 3</t>
        </is>
      </c>
    </row>
    <row r="5022">
      <c r="A5022" s="17">
        <f>IF(B5022="","",B5022+(17*1000+371)/10000000)</f>
        <v/>
      </c>
      <c r="B5022" s="23">
        <f>IF(AND(IFERROR(N(INDEX(Clay_Brands!$A$2:$FZ$601,371,Sync!$D$13)),0)&gt;0,IFERROR(INDEX(Clay_Brands!$A$2:$FZ$601,371,Sync!$D$5)&amp;"","")&lt;&gt;"",OR(LEFT(IFERROR(INDEX(Clay_Brands!$A$2:$FZ$601,371,Sync!$D$5)&amp;"",""),6)&lt;&gt;"SAMPLE",Config!$B$19="Y")),IFERROR(N(INDEX(Clay_Brands!$A$2:$FZ$601,371,Sync!$D$13)),0),"")</f>
        <v/>
      </c>
      <c r="C5022" s="17">
        <f>IF(B5022="","","brand")</f>
        <v/>
      </c>
      <c r="D5022" s="17">
        <f>IF(B5022="","",IFERROR(INDEX(Clay_Brands!$A$2:$FZ$601,371,Sync!$D$5)&amp;"",""))</f>
        <v/>
      </c>
      <c r="E5022" s="17">
        <f>IF(B5022="","",IFERROR(INDEX(Clay_Brands!$A$2:$FZ$601,371,Sync!$D$6)&amp;"",""))</f>
        <v/>
      </c>
      <c r="F5022" s="17">
        <f>IF(B5022="","","outreach_sent")</f>
        <v/>
      </c>
      <c r="G5022" s="17">
        <f>IF(B5022="","","")</f>
        <v/>
      </c>
      <c r="H5022" s="17">
        <f>IF(B5022="","","")</f>
        <v/>
      </c>
      <c r="I5022" s="17">
        <f>IF(B5022="","","")</f>
        <v/>
      </c>
      <c r="J5022" s="17">
        <f>IF(B5022="","","touch_3; "&amp;IFERROR(INDEX(Clay_Brands!$A$2:$FZ$601,371,Sync!$D$10)&amp;"","")&amp;"; "&amp;IFERROR(INDEX(Clay_Brands!$A$2:$FZ$601,371,Sync!$D$9)&amp;"",""))</f>
        <v/>
      </c>
      <c r="K5022" t="inlineStr">
        <is>
          <t>brand outreach touch 3</t>
        </is>
      </c>
    </row>
    <row r="5023">
      <c r="A5023" s="17">
        <f>IF(B5023="","",B5023+(17*1000+372)/10000000)</f>
        <v/>
      </c>
      <c r="B5023" s="23">
        <f>IF(AND(IFERROR(N(INDEX(Clay_Brands!$A$2:$FZ$601,372,Sync!$D$13)),0)&gt;0,IFERROR(INDEX(Clay_Brands!$A$2:$FZ$601,372,Sync!$D$5)&amp;"","")&lt;&gt;"",OR(LEFT(IFERROR(INDEX(Clay_Brands!$A$2:$FZ$601,372,Sync!$D$5)&amp;"",""),6)&lt;&gt;"SAMPLE",Config!$B$19="Y")),IFERROR(N(INDEX(Clay_Brands!$A$2:$FZ$601,372,Sync!$D$13)),0),"")</f>
        <v/>
      </c>
      <c r="C5023" s="17">
        <f>IF(B5023="","","brand")</f>
        <v/>
      </c>
      <c r="D5023" s="17">
        <f>IF(B5023="","",IFERROR(INDEX(Clay_Brands!$A$2:$FZ$601,372,Sync!$D$5)&amp;"",""))</f>
        <v/>
      </c>
      <c r="E5023" s="17">
        <f>IF(B5023="","",IFERROR(INDEX(Clay_Brands!$A$2:$FZ$601,372,Sync!$D$6)&amp;"",""))</f>
        <v/>
      </c>
      <c r="F5023" s="17">
        <f>IF(B5023="","","outreach_sent")</f>
        <v/>
      </c>
      <c r="G5023" s="17">
        <f>IF(B5023="","","")</f>
        <v/>
      </c>
      <c r="H5023" s="17">
        <f>IF(B5023="","","")</f>
        <v/>
      </c>
      <c r="I5023" s="17">
        <f>IF(B5023="","","")</f>
        <v/>
      </c>
      <c r="J5023" s="17">
        <f>IF(B5023="","","touch_3; "&amp;IFERROR(INDEX(Clay_Brands!$A$2:$FZ$601,372,Sync!$D$10)&amp;"","")&amp;"; "&amp;IFERROR(INDEX(Clay_Brands!$A$2:$FZ$601,372,Sync!$D$9)&amp;"",""))</f>
        <v/>
      </c>
      <c r="K5023" t="inlineStr">
        <is>
          <t>brand outreach touch 3</t>
        </is>
      </c>
    </row>
    <row r="5024">
      <c r="A5024" s="17">
        <f>IF(B5024="","",B5024+(17*1000+373)/10000000)</f>
        <v/>
      </c>
      <c r="B5024" s="23">
        <f>IF(AND(IFERROR(N(INDEX(Clay_Brands!$A$2:$FZ$601,373,Sync!$D$13)),0)&gt;0,IFERROR(INDEX(Clay_Brands!$A$2:$FZ$601,373,Sync!$D$5)&amp;"","")&lt;&gt;"",OR(LEFT(IFERROR(INDEX(Clay_Brands!$A$2:$FZ$601,373,Sync!$D$5)&amp;"",""),6)&lt;&gt;"SAMPLE",Config!$B$19="Y")),IFERROR(N(INDEX(Clay_Brands!$A$2:$FZ$601,373,Sync!$D$13)),0),"")</f>
        <v/>
      </c>
      <c r="C5024" s="17">
        <f>IF(B5024="","","brand")</f>
        <v/>
      </c>
      <c r="D5024" s="17">
        <f>IF(B5024="","",IFERROR(INDEX(Clay_Brands!$A$2:$FZ$601,373,Sync!$D$5)&amp;"",""))</f>
        <v/>
      </c>
      <c r="E5024" s="17">
        <f>IF(B5024="","",IFERROR(INDEX(Clay_Brands!$A$2:$FZ$601,373,Sync!$D$6)&amp;"",""))</f>
        <v/>
      </c>
      <c r="F5024" s="17">
        <f>IF(B5024="","","outreach_sent")</f>
        <v/>
      </c>
      <c r="G5024" s="17">
        <f>IF(B5024="","","")</f>
        <v/>
      </c>
      <c r="H5024" s="17">
        <f>IF(B5024="","","")</f>
        <v/>
      </c>
      <c r="I5024" s="17">
        <f>IF(B5024="","","")</f>
        <v/>
      </c>
      <c r="J5024" s="17">
        <f>IF(B5024="","","touch_3; "&amp;IFERROR(INDEX(Clay_Brands!$A$2:$FZ$601,373,Sync!$D$10)&amp;"","")&amp;"; "&amp;IFERROR(INDEX(Clay_Brands!$A$2:$FZ$601,373,Sync!$D$9)&amp;"",""))</f>
        <v/>
      </c>
      <c r="K5024" t="inlineStr">
        <is>
          <t>brand outreach touch 3</t>
        </is>
      </c>
    </row>
    <row r="5025">
      <c r="A5025" s="17">
        <f>IF(B5025="","",B5025+(17*1000+374)/10000000)</f>
        <v/>
      </c>
      <c r="B5025" s="23">
        <f>IF(AND(IFERROR(N(INDEX(Clay_Brands!$A$2:$FZ$601,374,Sync!$D$13)),0)&gt;0,IFERROR(INDEX(Clay_Brands!$A$2:$FZ$601,374,Sync!$D$5)&amp;"","")&lt;&gt;"",OR(LEFT(IFERROR(INDEX(Clay_Brands!$A$2:$FZ$601,374,Sync!$D$5)&amp;"",""),6)&lt;&gt;"SAMPLE",Config!$B$19="Y")),IFERROR(N(INDEX(Clay_Brands!$A$2:$FZ$601,374,Sync!$D$13)),0),"")</f>
        <v/>
      </c>
      <c r="C5025" s="17">
        <f>IF(B5025="","","brand")</f>
        <v/>
      </c>
      <c r="D5025" s="17">
        <f>IF(B5025="","",IFERROR(INDEX(Clay_Brands!$A$2:$FZ$601,374,Sync!$D$5)&amp;"",""))</f>
        <v/>
      </c>
      <c r="E5025" s="17">
        <f>IF(B5025="","",IFERROR(INDEX(Clay_Brands!$A$2:$FZ$601,374,Sync!$D$6)&amp;"",""))</f>
        <v/>
      </c>
      <c r="F5025" s="17">
        <f>IF(B5025="","","outreach_sent")</f>
        <v/>
      </c>
      <c r="G5025" s="17">
        <f>IF(B5025="","","")</f>
        <v/>
      </c>
      <c r="H5025" s="17">
        <f>IF(B5025="","","")</f>
        <v/>
      </c>
      <c r="I5025" s="17">
        <f>IF(B5025="","","")</f>
        <v/>
      </c>
      <c r="J5025" s="17">
        <f>IF(B5025="","","touch_3; "&amp;IFERROR(INDEX(Clay_Brands!$A$2:$FZ$601,374,Sync!$D$10)&amp;"","")&amp;"; "&amp;IFERROR(INDEX(Clay_Brands!$A$2:$FZ$601,374,Sync!$D$9)&amp;"",""))</f>
        <v/>
      </c>
      <c r="K5025" t="inlineStr">
        <is>
          <t>brand outreach touch 3</t>
        </is>
      </c>
    </row>
    <row r="5026">
      <c r="A5026" s="17">
        <f>IF(B5026="","",B5026+(17*1000+375)/10000000)</f>
        <v/>
      </c>
      <c r="B5026" s="23">
        <f>IF(AND(IFERROR(N(INDEX(Clay_Brands!$A$2:$FZ$601,375,Sync!$D$13)),0)&gt;0,IFERROR(INDEX(Clay_Brands!$A$2:$FZ$601,375,Sync!$D$5)&amp;"","")&lt;&gt;"",OR(LEFT(IFERROR(INDEX(Clay_Brands!$A$2:$FZ$601,375,Sync!$D$5)&amp;"",""),6)&lt;&gt;"SAMPLE",Config!$B$19="Y")),IFERROR(N(INDEX(Clay_Brands!$A$2:$FZ$601,375,Sync!$D$13)),0),"")</f>
        <v/>
      </c>
      <c r="C5026" s="17">
        <f>IF(B5026="","","brand")</f>
        <v/>
      </c>
      <c r="D5026" s="17">
        <f>IF(B5026="","",IFERROR(INDEX(Clay_Brands!$A$2:$FZ$601,375,Sync!$D$5)&amp;"",""))</f>
        <v/>
      </c>
      <c r="E5026" s="17">
        <f>IF(B5026="","",IFERROR(INDEX(Clay_Brands!$A$2:$FZ$601,375,Sync!$D$6)&amp;"",""))</f>
        <v/>
      </c>
      <c r="F5026" s="17">
        <f>IF(B5026="","","outreach_sent")</f>
        <v/>
      </c>
      <c r="G5026" s="17">
        <f>IF(B5026="","","")</f>
        <v/>
      </c>
      <c r="H5026" s="17">
        <f>IF(B5026="","","")</f>
        <v/>
      </c>
      <c r="I5026" s="17">
        <f>IF(B5026="","","")</f>
        <v/>
      </c>
      <c r="J5026" s="17">
        <f>IF(B5026="","","touch_3; "&amp;IFERROR(INDEX(Clay_Brands!$A$2:$FZ$601,375,Sync!$D$10)&amp;"","")&amp;"; "&amp;IFERROR(INDEX(Clay_Brands!$A$2:$FZ$601,375,Sync!$D$9)&amp;"",""))</f>
        <v/>
      </c>
      <c r="K5026" t="inlineStr">
        <is>
          <t>brand outreach touch 3</t>
        </is>
      </c>
    </row>
    <row r="5027">
      <c r="A5027" s="17">
        <f>IF(B5027="","",B5027+(17*1000+376)/10000000)</f>
        <v/>
      </c>
      <c r="B5027" s="23">
        <f>IF(AND(IFERROR(N(INDEX(Clay_Brands!$A$2:$FZ$601,376,Sync!$D$13)),0)&gt;0,IFERROR(INDEX(Clay_Brands!$A$2:$FZ$601,376,Sync!$D$5)&amp;"","")&lt;&gt;"",OR(LEFT(IFERROR(INDEX(Clay_Brands!$A$2:$FZ$601,376,Sync!$D$5)&amp;"",""),6)&lt;&gt;"SAMPLE",Config!$B$19="Y")),IFERROR(N(INDEX(Clay_Brands!$A$2:$FZ$601,376,Sync!$D$13)),0),"")</f>
        <v/>
      </c>
      <c r="C5027" s="17">
        <f>IF(B5027="","","brand")</f>
        <v/>
      </c>
      <c r="D5027" s="17">
        <f>IF(B5027="","",IFERROR(INDEX(Clay_Brands!$A$2:$FZ$601,376,Sync!$D$5)&amp;"",""))</f>
        <v/>
      </c>
      <c r="E5027" s="17">
        <f>IF(B5027="","",IFERROR(INDEX(Clay_Brands!$A$2:$FZ$601,376,Sync!$D$6)&amp;"",""))</f>
        <v/>
      </c>
      <c r="F5027" s="17">
        <f>IF(B5027="","","outreach_sent")</f>
        <v/>
      </c>
      <c r="G5027" s="17">
        <f>IF(B5027="","","")</f>
        <v/>
      </c>
      <c r="H5027" s="17">
        <f>IF(B5027="","","")</f>
        <v/>
      </c>
      <c r="I5027" s="17">
        <f>IF(B5027="","","")</f>
        <v/>
      </c>
      <c r="J5027" s="17">
        <f>IF(B5027="","","touch_3; "&amp;IFERROR(INDEX(Clay_Brands!$A$2:$FZ$601,376,Sync!$D$10)&amp;"","")&amp;"; "&amp;IFERROR(INDEX(Clay_Brands!$A$2:$FZ$601,376,Sync!$D$9)&amp;"",""))</f>
        <v/>
      </c>
      <c r="K5027" t="inlineStr">
        <is>
          <t>brand outreach touch 3</t>
        </is>
      </c>
    </row>
    <row r="5028">
      <c r="A5028" s="17">
        <f>IF(B5028="","",B5028+(17*1000+377)/10000000)</f>
        <v/>
      </c>
      <c r="B5028" s="23">
        <f>IF(AND(IFERROR(N(INDEX(Clay_Brands!$A$2:$FZ$601,377,Sync!$D$13)),0)&gt;0,IFERROR(INDEX(Clay_Brands!$A$2:$FZ$601,377,Sync!$D$5)&amp;"","")&lt;&gt;"",OR(LEFT(IFERROR(INDEX(Clay_Brands!$A$2:$FZ$601,377,Sync!$D$5)&amp;"",""),6)&lt;&gt;"SAMPLE",Config!$B$19="Y")),IFERROR(N(INDEX(Clay_Brands!$A$2:$FZ$601,377,Sync!$D$13)),0),"")</f>
        <v/>
      </c>
      <c r="C5028" s="17">
        <f>IF(B5028="","","brand")</f>
        <v/>
      </c>
      <c r="D5028" s="17">
        <f>IF(B5028="","",IFERROR(INDEX(Clay_Brands!$A$2:$FZ$601,377,Sync!$D$5)&amp;"",""))</f>
        <v/>
      </c>
      <c r="E5028" s="17">
        <f>IF(B5028="","",IFERROR(INDEX(Clay_Brands!$A$2:$FZ$601,377,Sync!$D$6)&amp;"",""))</f>
        <v/>
      </c>
      <c r="F5028" s="17">
        <f>IF(B5028="","","outreach_sent")</f>
        <v/>
      </c>
      <c r="G5028" s="17">
        <f>IF(B5028="","","")</f>
        <v/>
      </c>
      <c r="H5028" s="17">
        <f>IF(B5028="","","")</f>
        <v/>
      </c>
      <c r="I5028" s="17">
        <f>IF(B5028="","","")</f>
        <v/>
      </c>
      <c r="J5028" s="17">
        <f>IF(B5028="","","touch_3; "&amp;IFERROR(INDEX(Clay_Brands!$A$2:$FZ$601,377,Sync!$D$10)&amp;"","")&amp;"; "&amp;IFERROR(INDEX(Clay_Brands!$A$2:$FZ$601,377,Sync!$D$9)&amp;"",""))</f>
        <v/>
      </c>
      <c r="K5028" t="inlineStr">
        <is>
          <t>brand outreach touch 3</t>
        </is>
      </c>
    </row>
    <row r="5029">
      <c r="A5029" s="17">
        <f>IF(B5029="","",B5029+(17*1000+378)/10000000)</f>
        <v/>
      </c>
      <c r="B5029" s="23">
        <f>IF(AND(IFERROR(N(INDEX(Clay_Brands!$A$2:$FZ$601,378,Sync!$D$13)),0)&gt;0,IFERROR(INDEX(Clay_Brands!$A$2:$FZ$601,378,Sync!$D$5)&amp;"","")&lt;&gt;"",OR(LEFT(IFERROR(INDEX(Clay_Brands!$A$2:$FZ$601,378,Sync!$D$5)&amp;"",""),6)&lt;&gt;"SAMPLE",Config!$B$19="Y")),IFERROR(N(INDEX(Clay_Brands!$A$2:$FZ$601,378,Sync!$D$13)),0),"")</f>
        <v/>
      </c>
      <c r="C5029" s="17">
        <f>IF(B5029="","","brand")</f>
        <v/>
      </c>
      <c r="D5029" s="17">
        <f>IF(B5029="","",IFERROR(INDEX(Clay_Brands!$A$2:$FZ$601,378,Sync!$D$5)&amp;"",""))</f>
        <v/>
      </c>
      <c r="E5029" s="17">
        <f>IF(B5029="","",IFERROR(INDEX(Clay_Brands!$A$2:$FZ$601,378,Sync!$D$6)&amp;"",""))</f>
        <v/>
      </c>
      <c r="F5029" s="17">
        <f>IF(B5029="","","outreach_sent")</f>
        <v/>
      </c>
      <c r="G5029" s="17">
        <f>IF(B5029="","","")</f>
        <v/>
      </c>
      <c r="H5029" s="17">
        <f>IF(B5029="","","")</f>
        <v/>
      </c>
      <c r="I5029" s="17">
        <f>IF(B5029="","","")</f>
        <v/>
      </c>
      <c r="J5029" s="17">
        <f>IF(B5029="","","touch_3; "&amp;IFERROR(INDEX(Clay_Brands!$A$2:$FZ$601,378,Sync!$D$10)&amp;"","")&amp;"; "&amp;IFERROR(INDEX(Clay_Brands!$A$2:$FZ$601,378,Sync!$D$9)&amp;"",""))</f>
        <v/>
      </c>
      <c r="K5029" t="inlineStr">
        <is>
          <t>brand outreach touch 3</t>
        </is>
      </c>
    </row>
    <row r="5030">
      <c r="A5030" s="17">
        <f>IF(B5030="","",B5030+(17*1000+379)/10000000)</f>
        <v/>
      </c>
      <c r="B5030" s="23">
        <f>IF(AND(IFERROR(N(INDEX(Clay_Brands!$A$2:$FZ$601,379,Sync!$D$13)),0)&gt;0,IFERROR(INDEX(Clay_Brands!$A$2:$FZ$601,379,Sync!$D$5)&amp;"","")&lt;&gt;"",OR(LEFT(IFERROR(INDEX(Clay_Brands!$A$2:$FZ$601,379,Sync!$D$5)&amp;"",""),6)&lt;&gt;"SAMPLE",Config!$B$19="Y")),IFERROR(N(INDEX(Clay_Brands!$A$2:$FZ$601,379,Sync!$D$13)),0),"")</f>
        <v/>
      </c>
      <c r="C5030" s="17">
        <f>IF(B5030="","","brand")</f>
        <v/>
      </c>
      <c r="D5030" s="17">
        <f>IF(B5030="","",IFERROR(INDEX(Clay_Brands!$A$2:$FZ$601,379,Sync!$D$5)&amp;"",""))</f>
        <v/>
      </c>
      <c r="E5030" s="17">
        <f>IF(B5030="","",IFERROR(INDEX(Clay_Brands!$A$2:$FZ$601,379,Sync!$D$6)&amp;"",""))</f>
        <v/>
      </c>
      <c r="F5030" s="17">
        <f>IF(B5030="","","outreach_sent")</f>
        <v/>
      </c>
      <c r="G5030" s="17">
        <f>IF(B5030="","","")</f>
        <v/>
      </c>
      <c r="H5030" s="17">
        <f>IF(B5030="","","")</f>
        <v/>
      </c>
      <c r="I5030" s="17">
        <f>IF(B5030="","","")</f>
        <v/>
      </c>
      <c r="J5030" s="17">
        <f>IF(B5030="","","touch_3; "&amp;IFERROR(INDEX(Clay_Brands!$A$2:$FZ$601,379,Sync!$D$10)&amp;"","")&amp;"; "&amp;IFERROR(INDEX(Clay_Brands!$A$2:$FZ$601,379,Sync!$D$9)&amp;"",""))</f>
        <v/>
      </c>
      <c r="K5030" t="inlineStr">
        <is>
          <t>brand outreach touch 3</t>
        </is>
      </c>
    </row>
    <row r="5031">
      <c r="A5031" s="17">
        <f>IF(B5031="","",B5031+(17*1000+380)/10000000)</f>
        <v/>
      </c>
      <c r="B5031" s="23">
        <f>IF(AND(IFERROR(N(INDEX(Clay_Brands!$A$2:$FZ$601,380,Sync!$D$13)),0)&gt;0,IFERROR(INDEX(Clay_Brands!$A$2:$FZ$601,380,Sync!$D$5)&amp;"","")&lt;&gt;"",OR(LEFT(IFERROR(INDEX(Clay_Brands!$A$2:$FZ$601,380,Sync!$D$5)&amp;"",""),6)&lt;&gt;"SAMPLE",Config!$B$19="Y")),IFERROR(N(INDEX(Clay_Brands!$A$2:$FZ$601,380,Sync!$D$13)),0),"")</f>
        <v/>
      </c>
      <c r="C5031" s="17">
        <f>IF(B5031="","","brand")</f>
        <v/>
      </c>
      <c r="D5031" s="17">
        <f>IF(B5031="","",IFERROR(INDEX(Clay_Brands!$A$2:$FZ$601,380,Sync!$D$5)&amp;"",""))</f>
        <v/>
      </c>
      <c r="E5031" s="17">
        <f>IF(B5031="","",IFERROR(INDEX(Clay_Brands!$A$2:$FZ$601,380,Sync!$D$6)&amp;"",""))</f>
        <v/>
      </c>
      <c r="F5031" s="17">
        <f>IF(B5031="","","outreach_sent")</f>
        <v/>
      </c>
      <c r="G5031" s="17">
        <f>IF(B5031="","","")</f>
        <v/>
      </c>
      <c r="H5031" s="17">
        <f>IF(B5031="","","")</f>
        <v/>
      </c>
      <c r="I5031" s="17">
        <f>IF(B5031="","","")</f>
        <v/>
      </c>
      <c r="J5031" s="17">
        <f>IF(B5031="","","touch_3; "&amp;IFERROR(INDEX(Clay_Brands!$A$2:$FZ$601,380,Sync!$D$10)&amp;"","")&amp;"; "&amp;IFERROR(INDEX(Clay_Brands!$A$2:$FZ$601,380,Sync!$D$9)&amp;"",""))</f>
        <v/>
      </c>
      <c r="K5031" t="inlineStr">
        <is>
          <t>brand outreach touch 3</t>
        </is>
      </c>
    </row>
    <row r="5032">
      <c r="A5032" s="17">
        <f>IF(B5032="","",B5032+(17*1000+381)/10000000)</f>
        <v/>
      </c>
      <c r="B5032" s="23">
        <f>IF(AND(IFERROR(N(INDEX(Clay_Brands!$A$2:$FZ$601,381,Sync!$D$13)),0)&gt;0,IFERROR(INDEX(Clay_Brands!$A$2:$FZ$601,381,Sync!$D$5)&amp;"","")&lt;&gt;"",OR(LEFT(IFERROR(INDEX(Clay_Brands!$A$2:$FZ$601,381,Sync!$D$5)&amp;"",""),6)&lt;&gt;"SAMPLE",Config!$B$19="Y")),IFERROR(N(INDEX(Clay_Brands!$A$2:$FZ$601,381,Sync!$D$13)),0),"")</f>
        <v/>
      </c>
      <c r="C5032" s="17">
        <f>IF(B5032="","","brand")</f>
        <v/>
      </c>
      <c r="D5032" s="17">
        <f>IF(B5032="","",IFERROR(INDEX(Clay_Brands!$A$2:$FZ$601,381,Sync!$D$5)&amp;"",""))</f>
        <v/>
      </c>
      <c r="E5032" s="17">
        <f>IF(B5032="","",IFERROR(INDEX(Clay_Brands!$A$2:$FZ$601,381,Sync!$D$6)&amp;"",""))</f>
        <v/>
      </c>
      <c r="F5032" s="17">
        <f>IF(B5032="","","outreach_sent")</f>
        <v/>
      </c>
      <c r="G5032" s="17">
        <f>IF(B5032="","","")</f>
        <v/>
      </c>
      <c r="H5032" s="17">
        <f>IF(B5032="","","")</f>
        <v/>
      </c>
      <c r="I5032" s="17">
        <f>IF(B5032="","","")</f>
        <v/>
      </c>
      <c r="J5032" s="17">
        <f>IF(B5032="","","touch_3; "&amp;IFERROR(INDEX(Clay_Brands!$A$2:$FZ$601,381,Sync!$D$10)&amp;"","")&amp;"; "&amp;IFERROR(INDEX(Clay_Brands!$A$2:$FZ$601,381,Sync!$D$9)&amp;"",""))</f>
        <v/>
      </c>
      <c r="K5032" t="inlineStr">
        <is>
          <t>brand outreach touch 3</t>
        </is>
      </c>
    </row>
    <row r="5033">
      <c r="A5033" s="17">
        <f>IF(B5033="","",B5033+(17*1000+382)/10000000)</f>
        <v/>
      </c>
      <c r="B5033" s="23">
        <f>IF(AND(IFERROR(N(INDEX(Clay_Brands!$A$2:$FZ$601,382,Sync!$D$13)),0)&gt;0,IFERROR(INDEX(Clay_Brands!$A$2:$FZ$601,382,Sync!$D$5)&amp;"","")&lt;&gt;"",OR(LEFT(IFERROR(INDEX(Clay_Brands!$A$2:$FZ$601,382,Sync!$D$5)&amp;"",""),6)&lt;&gt;"SAMPLE",Config!$B$19="Y")),IFERROR(N(INDEX(Clay_Brands!$A$2:$FZ$601,382,Sync!$D$13)),0),"")</f>
        <v/>
      </c>
      <c r="C5033" s="17">
        <f>IF(B5033="","","brand")</f>
        <v/>
      </c>
      <c r="D5033" s="17">
        <f>IF(B5033="","",IFERROR(INDEX(Clay_Brands!$A$2:$FZ$601,382,Sync!$D$5)&amp;"",""))</f>
        <v/>
      </c>
      <c r="E5033" s="17">
        <f>IF(B5033="","",IFERROR(INDEX(Clay_Brands!$A$2:$FZ$601,382,Sync!$D$6)&amp;"",""))</f>
        <v/>
      </c>
      <c r="F5033" s="17">
        <f>IF(B5033="","","outreach_sent")</f>
        <v/>
      </c>
      <c r="G5033" s="17">
        <f>IF(B5033="","","")</f>
        <v/>
      </c>
      <c r="H5033" s="17">
        <f>IF(B5033="","","")</f>
        <v/>
      </c>
      <c r="I5033" s="17">
        <f>IF(B5033="","","")</f>
        <v/>
      </c>
      <c r="J5033" s="17">
        <f>IF(B5033="","","touch_3; "&amp;IFERROR(INDEX(Clay_Brands!$A$2:$FZ$601,382,Sync!$D$10)&amp;"","")&amp;"; "&amp;IFERROR(INDEX(Clay_Brands!$A$2:$FZ$601,382,Sync!$D$9)&amp;"",""))</f>
        <v/>
      </c>
      <c r="K5033" t="inlineStr">
        <is>
          <t>brand outreach touch 3</t>
        </is>
      </c>
    </row>
    <row r="5034">
      <c r="A5034" s="17">
        <f>IF(B5034="","",B5034+(17*1000+383)/10000000)</f>
        <v/>
      </c>
      <c r="B5034" s="23">
        <f>IF(AND(IFERROR(N(INDEX(Clay_Brands!$A$2:$FZ$601,383,Sync!$D$13)),0)&gt;0,IFERROR(INDEX(Clay_Brands!$A$2:$FZ$601,383,Sync!$D$5)&amp;"","")&lt;&gt;"",OR(LEFT(IFERROR(INDEX(Clay_Brands!$A$2:$FZ$601,383,Sync!$D$5)&amp;"",""),6)&lt;&gt;"SAMPLE",Config!$B$19="Y")),IFERROR(N(INDEX(Clay_Brands!$A$2:$FZ$601,383,Sync!$D$13)),0),"")</f>
        <v/>
      </c>
      <c r="C5034" s="17">
        <f>IF(B5034="","","brand")</f>
        <v/>
      </c>
      <c r="D5034" s="17">
        <f>IF(B5034="","",IFERROR(INDEX(Clay_Brands!$A$2:$FZ$601,383,Sync!$D$5)&amp;"",""))</f>
        <v/>
      </c>
      <c r="E5034" s="17">
        <f>IF(B5034="","",IFERROR(INDEX(Clay_Brands!$A$2:$FZ$601,383,Sync!$D$6)&amp;"",""))</f>
        <v/>
      </c>
      <c r="F5034" s="17">
        <f>IF(B5034="","","outreach_sent")</f>
        <v/>
      </c>
      <c r="G5034" s="17">
        <f>IF(B5034="","","")</f>
        <v/>
      </c>
      <c r="H5034" s="17">
        <f>IF(B5034="","","")</f>
        <v/>
      </c>
      <c r="I5034" s="17">
        <f>IF(B5034="","","")</f>
        <v/>
      </c>
      <c r="J5034" s="17">
        <f>IF(B5034="","","touch_3; "&amp;IFERROR(INDEX(Clay_Brands!$A$2:$FZ$601,383,Sync!$D$10)&amp;"","")&amp;"; "&amp;IFERROR(INDEX(Clay_Brands!$A$2:$FZ$601,383,Sync!$D$9)&amp;"",""))</f>
        <v/>
      </c>
      <c r="K5034" t="inlineStr">
        <is>
          <t>brand outreach touch 3</t>
        </is>
      </c>
    </row>
    <row r="5035">
      <c r="A5035" s="17">
        <f>IF(B5035="","",B5035+(17*1000+384)/10000000)</f>
        <v/>
      </c>
      <c r="B5035" s="23">
        <f>IF(AND(IFERROR(N(INDEX(Clay_Brands!$A$2:$FZ$601,384,Sync!$D$13)),0)&gt;0,IFERROR(INDEX(Clay_Brands!$A$2:$FZ$601,384,Sync!$D$5)&amp;"","")&lt;&gt;"",OR(LEFT(IFERROR(INDEX(Clay_Brands!$A$2:$FZ$601,384,Sync!$D$5)&amp;"",""),6)&lt;&gt;"SAMPLE",Config!$B$19="Y")),IFERROR(N(INDEX(Clay_Brands!$A$2:$FZ$601,384,Sync!$D$13)),0),"")</f>
        <v/>
      </c>
      <c r="C5035" s="17">
        <f>IF(B5035="","","brand")</f>
        <v/>
      </c>
      <c r="D5035" s="17">
        <f>IF(B5035="","",IFERROR(INDEX(Clay_Brands!$A$2:$FZ$601,384,Sync!$D$5)&amp;"",""))</f>
        <v/>
      </c>
      <c r="E5035" s="17">
        <f>IF(B5035="","",IFERROR(INDEX(Clay_Brands!$A$2:$FZ$601,384,Sync!$D$6)&amp;"",""))</f>
        <v/>
      </c>
      <c r="F5035" s="17">
        <f>IF(B5035="","","outreach_sent")</f>
        <v/>
      </c>
      <c r="G5035" s="17">
        <f>IF(B5035="","","")</f>
        <v/>
      </c>
      <c r="H5035" s="17">
        <f>IF(B5035="","","")</f>
        <v/>
      </c>
      <c r="I5035" s="17">
        <f>IF(B5035="","","")</f>
        <v/>
      </c>
      <c r="J5035" s="17">
        <f>IF(B5035="","","touch_3; "&amp;IFERROR(INDEX(Clay_Brands!$A$2:$FZ$601,384,Sync!$D$10)&amp;"","")&amp;"; "&amp;IFERROR(INDEX(Clay_Brands!$A$2:$FZ$601,384,Sync!$D$9)&amp;"",""))</f>
        <v/>
      </c>
      <c r="K5035" t="inlineStr">
        <is>
          <t>brand outreach touch 3</t>
        </is>
      </c>
    </row>
    <row r="5036">
      <c r="A5036" s="17">
        <f>IF(B5036="","",B5036+(17*1000+385)/10000000)</f>
        <v/>
      </c>
      <c r="B5036" s="23">
        <f>IF(AND(IFERROR(N(INDEX(Clay_Brands!$A$2:$FZ$601,385,Sync!$D$13)),0)&gt;0,IFERROR(INDEX(Clay_Brands!$A$2:$FZ$601,385,Sync!$D$5)&amp;"","")&lt;&gt;"",OR(LEFT(IFERROR(INDEX(Clay_Brands!$A$2:$FZ$601,385,Sync!$D$5)&amp;"",""),6)&lt;&gt;"SAMPLE",Config!$B$19="Y")),IFERROR(N(INDEX(Clay_Brands!$A$2:$FZ$601,385,Sync!$D$13)),0),"")</f>
        <v/>
      </c>
      <c r="C5036" s="17">
        <f>IF(B5036="","","brand")</f>
        <v/>
      </c>
      <c r="D5036" s="17">
        <f>IF(B5036="","",IFERROR(INDEX(Clay_Brands!$A$2:$FZ$601,385,Sync!$D$5)&amp;"",""))</f>
        <v/>
      </c>
      <c r="E5036" s="17">
        <f>IF(B5036="","",IFERROR(INDEX(Clay_Brands!$A$2:$FZ$601,385,Sync!$D$6)&amp;"",""))</f>
        <v/>
      </c>
      <c r="F5036" s="17">
        <f>IF(B5036="","","outreach_sent")</f>
        <v/>
      </c>
      <c r="G5036" s="17">
        <f>IF(B5036="","","")</f>
        <v/>
      </c>
      <c r="H5036" s="17">
        <f>IF(B5036="","","")</f>
        <v/>
      </c>
      <c r="I5036" s="17">
        <f>IF(B5036="","","")</f>
        <v/>
      </c>
      <c r="J5036" s="17">
        <f>IF(B5036="","","touch_3; "&amp;IFERROR(INDEX(Clay_Brands!$A$2:$FZ$601,385,Sync!$D$10)&amp;"","")&amp;"; "&amp;IFERROR(INDEX(Clay_Brands!$A$2:$FZ$601,385,Sync!$D$9)&amp;"",""))</f>
        <v/>
      </c>
      <c r="K5036" t="inlineStr">
        <is>
          <t>brand outreach touch 3</t>
        </is>
      </c>
    </row>
    <row r="5037">
      <c r="A5037" s="17">
        <f>IF(B5037="","",B5037+(17*1000+386)/10000000)</f>
        <v/>
      </c>
      <c r="B5037" s="23">
        <f>IF(AND(IFERROR(N(INDEX(Clay_Brands!$A$2:$FZ$601,386,Sync!$D$13)),0)&gt;0,IFERROR(INDEX(Clay_Brands!$A$2:$FZ$601,386,Sync!$D$5)&amp;"","")&lt;&gt;"",OR(LEFT(IFERROR(INDEX(Clay_Brands!$A$2:$FZ$601,386,Sync!$D$5)&amp;"",""),6)&lt;&gt;"SAMPLE",Config!$B$19="Y")),IFERROR(N(INDEX(Clay_Brands!$A$2:$FZ$601,386,Sync!$D$13)),0),"")</f>
        <v/>
      </c>
      <c r="C5037" s="17">
        <f>IF(B5037="","","brand")</f>
        <v/>
      </c>
      <c r="D5037" s="17">
        <f>IF(B5037="","",IFERROR(INDEX(Clay_Brands!$A$2:$FZ$601,386,Sync!$D$5)&amp;"",""))</f>
        <v/>
      </c>
      <c r="E5037" s="17">
        <f>IF(B5037="","",IFERROR(INDEX(Clay_Brands!$A$2:$FZ$601,386,Sync!$D$6)&amp;"",""))</f>
        <v/>
      </c>
      <c r="F5037" s="17">
        <f>IF(B5037="","","outreach_sent")</f>
        <v/>
      </c>
      <c r="G5037" s="17">
        <f>IF(B5037="","","")</f>
        <v/>
      </c>
      <c r="H5037" s="17">
        <f>IF(B5037="","","")</f>
        <v/>
      </c>
      <c r="I5037" s="17">
        <f>IF(B5037="","","")</f>
        <v/>
      </c>
      <c r="J5037" s="17">
        <f>IF(B5037="","","touch_3; "&amp;IFERROR(INDEX(Clay_Brands!$A$2:$FZ$601,386,Sync!$D$10)&amp;"","")&amp;"; "&amp;IFERROR(INDEX(Clay_Brands!$A$2:$FZ$601,386,Sync!$D$9)&amp;"",""))</f>
        <v/>
      </c>
      <c r="K5037" t="inlineStr">
        <is>
          <t>brand outreach touch 3</t>
        </is>
      </c>
    </row>
    <row r="5038">
      <c r="A5038" s="17">
        <f>IF(B5038="","",B5038+(17*1000+387)/10000000)</f>
        <v/>
      </c>
      <c r="B5038" s="23">
        <f>IF(AND(IFERROR(N(INDEX(Clay_Brands!$A$2:$FZ$601,387,Sync!$D$13)),0)&gt;0,IFERROR(INDEX(Clay_Brands!$A$2:$FZ$601,387,Sync!$D$5)&amp;"","")&lt;&gt;"",OR(LEFT(IFERROR(INDEX(Clay_Brands!$A$2:$FZ$601,387,Sync!$D$5)&amp;"",""),6)&lt;&gt;"SAMPLE",Config!$B$19="Y")),IFERROR(N(INDEX(Clay_Brands!$A$2:$FZ$601,387,Sync!$D$13)),0),"")</f>
        <v/>
      </c>
      <c r="C5038" s="17">
        <f>IF(B5038="","","brand")</f>
        <v/>
      </c>
      <c r="D5038" s="17">
        <f>IF(B5038="","",IFERROR(INDEX(Clay_Brands!$A$2:$FZ$601,387,Sync!$D$5)&amp;"",""))</f>
        <v/>
      </c>
      <c r="E5038" s="17">
        <f>IF(B5038="","",IFERROR(INDEX(Clay_Brands!$A$2:$FZ$601,387,Sync!$D$6)&amp;"",""))</f>
        <v/>
      </c>
      <c r="F5038" s="17">
        <f>IF(B5038="","","outreach_sent")</f>
        <v/>
      </c>
      <c r="G5038" s="17">
        <f>IF(B5038="","","")</f>
        <v/>
      </c>
      <c r="H5038" s="17">
        <f>IF(B5038="","","")</f>
        <v/>
      </c>
      <c r="I5038" s="17">
        <f>IF(B5038="","","")</f>
        <v/>
      </c>
      <c r="J5038" s="17">
        <f>IF(B5038="","","touch_3; "&amp;IFERROR(INDEX(Clay_Brands!$A$2:$FZ$601,387,Sync!$D$10)&amp;"","")&amp;"; "&amp;IFERROR(INDEX(Clay_Brands!$A$2:$FZ$601,387,Sync!$D$9)&amp;"",""))</f>
        <v/>
      </c>
      <c r="K5038" t="inlineStr">
        <is>
          <t>brand outreach touch 3</t>
        </is>
      </c>
    </row>
    <row r="5039">
      <c r="A5039" s="17">
        <f>IF(B5039="","",B5039+(17*1000+388)/10000000)</f>
        <v/>
      </c>
      <c r="B5039" s="23">
        <f>IF(AND(IFERROR(N(INDEX(Clay_Brands!$A$2:$FZ$601,388,Sync!$D$13)),0)&gt;0,IFERROR(INDEX(Clay_Brands!$A$2:$FZ$601,388,Sync!$D$5)&amp;"","")&lt;&gt;"",OR(LEFT(IFERROR(INDEX(Clay_Brands!$A$2:$FZ$601,388,Sync!$D$5)&amp;"",""),6)&lt;&gt;"SAMPLE",Config!$B$19="Y")),IFERROR(N(INDEX(Clay_Brands!$A$2:$FZ$601,388,Sync!$D$13)),0),"")</f>
        <v/>
      </c>
      <c r="C5039" s="17">
        <f>IF(B5039="","","brand")</f>
        <v/>
      </c>
      <c r="D5039" s="17">
        <f>IF(B5039="","",IFERROR(INDEX(Clay_Brands!$A$2:$FZ$601,388,Sync!$D$5)&amp;"",""))</f>
        <v/>
      </c>
      <c r="E5039" s="17">
        <f>IF(B5039="","",IFERROR(INDEX(Clay_Brands!$A$2:$FZ$601,388,Sync!$D$6)&amp;"",""))</f>
        <v/>
      </c>
      <c r="F5039" s="17">
        <f>IF(B5039="","","outreach_sent")</f>
        <v/>
      </c>
      <c r="G5039" s="17">
        <f>IF(B5039="","","")</f>
        <v/>
      </c>
      <c r="H5039" s="17">
        <f>IF(B5039="","","")</f>
        <v/>
      </c>
      <c r="I5039" s="17">
        <f>IF(B5039="","","")</f>
        <v/>
      </c>
      <c r="J5039" s="17">
        <f>IF(B5039="","","touch_3; "&amp;IFERROR(INDEX(Clay_Brands!$A$2:$FZ$601,388,Sync!$D$10)&amp;"","")&amp;"; "&amp;IFERROR(INDEX(Clay_Brands!$A$2:$FZ$601,388,Sync!$D$9)&amp;"",""))</f>
        <v/>
      </c>
      <c r="K5039" t="inlineStr">
        <is>
          <t>brand outreach touch 3</t>
        </is>
      </c>
    </row>
    <row r="5040">
      <c r="A5040" s="17">
        <f>IF(B5040="","",B5040+(17*1000+389)/10000000)</f>
        <v/>
      </c>
      <c r="B5040" s="23">
        <f>IF(AND(IFERROR(N(INDEX(Clay_Brands!$A$2:$FZ$601,389,Sync!$D$13)),0)&gt;0,IFERROR(INDEX(Clay_Brands!$A$2:$FZ$601,389,Sync!$D$5)&amp;"","")&lt;&gt;"",OR(LEFT(IFERROR(INDEX(Clay_Brands!$A$2:$FZ$601,389,Sync!$D$5)&amp;"",""),6)&lt;&gt;"SAMPLE",Config!$B$19="Y")),IFERROR(N(INDEX(Clay_Brands!$A$2:$FZ$601,389,Sync!$D$13)),0),"")</f>
        <v/>
      </c>
      <c r="C5040" s="17">
        <f>IF(B5040="","","brand")</f>
        <v/>
      </c>
      <c r="D5040" s="17">
        <f>IF(B5040="","",IFERROR(INDEX(Clay_Brands!$A$2:$FZ$601,389,Sync!$D$5)&amp;"",""))</f>
        <v/>
      </c>
      <c r="E5040" s="17">
        <f>IF(B5040="","",IFERROR(INDEX(Clay_Brands!$A$2:$FZ$601,389,Sync!$D$6)&amp;"",""))</f>
        <v/>
      </c>
      <c r="F5040" s="17">
        <f>IF(B5040="","","outreach_sent")</f>
        <v/>
      </c>
      <c r="G5040" s="17">
        <f>IF(B5040="","","")</f>
        <v/>
      </c>
      <c r="H5040" s="17">
        <f>IF(B5040="","","")</f>
        <v/>
      </c>
      <c r="I5040" s="17">
        <f>IF(B5040="","","")</f>
        <v/>
      </c>
      <c r="J5040" s="17">
        <f>IF(B5040="","","touch_3; "&amp;IFERROR(INDEX(Clay_Brands!$A$2:$FZ$601,389,Sync!$D$10)&amp;"","")&amp;"; "&amp;IFERROR(INDEX(Clay_Brands!$A$2:$FZ$601,389,Sync!$D$9)&amp;"",""))</f>
        <v/>
      </c>
      <c r="K5040" t="inlineStr">
        <is>
          <t>brand outreach touch 3</t>
        </is>
      </c>
    </row>
    <row r="5041">
      <c r="A5041" s="17">
        <f>IF(B5041="","",B5041+(17*1000+390)/10000000)</f>
        <v/>
      </c>
      <c r="B5041" s="23">
        <f>IF(AND(IFERROR(N(INDEX(Clay_Brands!$A$2:$FZ$601,390,Sync!$D$13)),0)&gt;0,IFERROR(INDEX(Clay_Brands!$A$2:$FZ$601,390,Sync!$D$5)&amp;"","")&lt;&gt;"",OR(LEFT(IFERROR(INDEX(Clay_Brands!$A$2:$FZ$601,390,Sync!$D$5)&amp;"",""),6)&lt;&gt;"SAMPLE",Config!$B$19="Y")),IFERROR(N(INDEX(Clay_Brands!$A$2:$FZ$601,390,Sync!$D$13)),0),"")</f>
        <v/>
      </c>
      <c r="C5041" s="17">
        <f>IF(B5041="","","brand")</f>
        <v/>
      </c>
      <c r="D5041" s="17">
        <f>IF(B5041="","",IFERROR(INDEX(Clay_Brands!$A$2:$FZ$601,390,Sync!$D$5)&amp;"",""))</f>
        <v/>
      </c>
      <c r="E5041" s="17">
        <f>IF(B5041="","",IFERROR(INDEX(Clay_Brands!$A$2:$FZ$601,390,Sync!$D$6)&amp;"",""))</f>
        <v/>
      </c>
      <c r="F5041" s="17">
        <f>IF(B5041="","","outreach_sent")</f>
        <v/>
      </c>
      <c r="G5041" s="17">
        <f>IF(B5041="","","")</f>
        <v/>
      </c>
      <c r="H5041" s="17">
        <f>IF(B5041="","","")</f>
        <v/>
      </c>
      <c r="I5041" s="17">
        <f>IF(B5041="","","")</f>
        <v/>
      </c>
      <c r="J5041" s="17">
        <f>IF(B5041="","","touch_3; "&amp;IFERROR(INDEX(Clay_Brands!$A$2:$FZ$601,390,Sync!$D$10)&amp;"","")&amp;"; "&amp;IFERROR(INDEX(Clay_Brands!$A$2:$FZ$601,390,Sync!$D$9)&amp;"",""))</f>
        <v/>
      </c>
      <c r="K5041" t="inlineStr">
        <is>
          <t>brand outreach touch 3</t>
        </is>
      </c>
    </row>
    <row r="5042">
      <c r="A5042" s="17">
        <f>IF(B5042="","",B5042+(17*1000+391)/10000000)</f>
        <v/>
      </c>
      <c r="B5042" s="23">
        <f>IF(AND(IFERROR(N(INDEX(Clay_Brands!$A$2:$FZ$601,391,Sync!$D$13)),0)&gt;0,IFERROR(INDEX(Clay_Brands!$A$2:$FZ$601,391,Sync!$D$5)&amp;"","")&lt;&gt;"",OR(LEFT(IFERROR(INDEX(Clay_Brands!$A$2:$FZ$601,391,Sync!$D$5)&amp;"",""),6)&lt;&gt;"SAMPLE",Config!$B$19="Y")),IFERROR(N(INDEX(Clay_Brands!$A$2:$FZ$601,391,Sync!$D$13)),0),"")</f>
        <v/>
      </c>
      <c r="C5042" s="17">
        <f>IF(B5042="","","brand")</f>
        <v/>
      </c>
      <c r="D5042" s="17">
        <f>IF(B5042="","",IFERROR(INDEX(Clay_Brands!$A$2:$FZ$601,391,Sync!$D$5)&amp;"",""))</f>
        <v/>
      </c>
      <c r="E5042" s="17">
        <f>IF(B5042="","",IFERROR(INDEX(Clay_Brands!$A$2:$FZ$601,391,Sync!$D$6)&amp;"",""))</f>
        <v/>
      </c>
      <c r="F5042" s="17">
        <f>IF(B5042="","","outreach_sent")</f>
        <v/>
      </c>
      <c r="G5042" s="17">
        <f>IF(B5042="","","")</f>
        <v/>
      </c>
      <c r="H5042" s="17">
        <f>IF(B5042="","","")</f>
        <v/>
      </c>
      <c r="I5042" s="17">
        <f>IF(B5042="","","")</f>
        <v/>
      </c>
      <c r="J5042" s="17">
        <f>IF(B5042="","","touch_3; "&amp;IFERROR(INDEX(Clay_Brands!$A$2:$FZ$601,391,Sync!$D$10)&amp;"","")&amp;"; "&amp;IFERROR(INDEX(Clay_Brands!$A$2:$FZ$601,391,Sync!$D$9)&amp;"",""))</f>
        <v/>
      </c>
      <c r="K5042" t="inlineStr">
        <is>
          <t>brand outreach touch 3</t>
        </is>
      </c>
    </row>
    <row r="5043">
      <c r="A5043" s="17">
        <f>IF(B5043="","",B5043+(17*1000+392)/10000000)</f>
        <v/>
      </c>
      <c r="B5043" s="23">
        <f>IF(AND(IFERROR(N(INDEX(Clay_Brands!$A$2:$FZ$601,392,Sync!$D$13)),0)&gt;0,IFERROR(INDEX(Clay_Brands!$A$2:$FZ$601,392,Sync!$D$5)&amp;"","")&lt;&gt;"",OR(LEFT(IFERROR(INDEX(Clay_Brands!$A$2:$FZ$601,392,Sync!$D$5)&amp;"",""),6)&lt;&gt;"SAMPLE",Config!$B$19="Y")),IFERROR(N(INDEX(Clay_Brands!$A$2:$FZ$601,392,Sync!$D$13)),0),"")</f>
        <v/>
      </c>
      <c r="C5043" s="17">
        <f>IF(B5043="","","brand")</f>
        <v/>
      </c>
      <c r="D5043" s="17">
        <f>IF(B5043="","",IFERROR(INDEX(Clay_Brands!$A$2:$FZ$601,392,Sync!$D$5)&amp;"",""))</f>
        <v/>
      </c>
      <c r="E5043" s="17">
        <f>IF(B5043="","",IFERROR(INDEX(Clay_Brands!$A$2:$FZ$601,392,Sync!$D$6)&amp;"",""))</f>
        <v/>
      </c>
      <c r="F5043" s="17">
        <f>IF(B5043="","","outreach_sent")</f>
        <v/>
      </c>
      <c r="G5043" s="17">
        <f>IF(B5043="","","")</f>
        <v/>
      </c>
      <c r="H5043" s="17">
        <f>IF(B5043="","","")</f>
        <v/>
      </c>
      <c r="I5043" s="17">
        <f>IF(B5043="","","")</f>
        <v/>
      </c>
      <c r="J5043" s="17">
        <f>IF(B5043="","","touch_3; "&amp;IFERROR(INDEX(Clay_Brands!$A$2:$FZ$601,392,Sync!$D$10)&amp;"","")&amp;"; "&amp;IFERROR(INDEX(Clay_Brands!$A$2:$FZ$601,392,Sync!$D$9)&amp;"",""))</f>
        <v/>
      </c>
      <c r="K5043" t="inlineStr">
        <is>
          <t>brand outreach touch 3</t>
        </is>
      </c>
    </row>
    <row r="5044">
      <c r="A5044" s="17">
        <f>IF(B5044="","",B5044+(17*1000+393)/10000000)</f>
        <v/>
      </c>
      <c r="B5044" s="23">
        <f>IF(AND(IFERROR(N(INDEX(Clay_Brands!$A$2:$FZ$601,393,Sync!$D$13)),0)&gt;0,IFERROR(INDEX(Clay_Brands!$A$2:$FZ$601,393,Sync!$D$5)&amp;"","")&lt;&gt;"",OR(LEFT(IFERROR(INDEX(Clay_Brands!$A$2:$FZ$601,393,Sync!$D$5)&amp;"",""),6)&lt;&gt;"SAMPLE",Config!$B$19="Y")),IFERROR(N(INDEX(Clay_Brands!$A$2:$FZ$601,393,Sync!$D$13)),0),"")</f>
        <v/>
      </c>
      <c r="C5044" s="17">
        <f>IF(B5044="","","brand")</f>
        <v/>
      </c>
      <c r="D5044" s="17">
        <f>IF(B5044="","",IFERROR(INDEX(Clay_Brands!$A$2:$FZ$601,393,Sync!$D$5)&amp;"",""))</f>
        <v/>
      </c>
      <c r="E5044" s="17">
        <f>IF(B5044="","",IFERROR(INDEX(Clay_Brands!$A$2:$FZ$601,393,Sync!$D$6)&amp;"",""))</f>
        <v/>
      </c>
      <c r="F5044" s="17">
        <f>IF(B5044="","","outreach_sent")</f>
        <v/>
      </c>
      <c r="G5044" s="17">
        <f>IF(B5044="","","")</f>
        <v/>
      </c>
      <c r="H5044" s="17">
        <f>IF(B5044="","","")</f>
        <v/>
      </c>
      <c r="I5044" s="17">
        <f>IF(B5044="","","")</f>
        <v/>
      </c>
      <c r="J5044" s="17">
        <f>IF(B5044="","","touch_3; "&amp;IFERROR(INDEX(Clay_Brands!$A$2:$FZ$601,393,Sync!$D$10)&amp;"","")&amp;"; "&amp;IFERROR(INDEX(Clay_Brands!$A$2:$FZ$601,393,Sync!$D$9)&amp;"",""))</f>
        <v/>
      </c>
      <c r="K5044" t="inlineStr">
        <is>
          <t>brand outreach touch 3</t>
        </is>
      </c>
    </row>
    <row r="5045">
      <c r="A5045" s="17">
        <f>IF(B5045="","",B5045+(17*1000+394)/10000000)</f>
        <v/>
      </c>
      <c r="B5045" s="23">
        <f>IF(AND(IFERROR(N(INDEX(Clay_Brands!$A$2:$FZ$601,394,Sync!$D$13)),0)&gt;0,IFERROR(INDEX(Clay_Brands!$A$2:$FZ$601,394,Sync!$D$5)&amp;"","")&lt;&gt;"",OR(LEFT(IFERROR(INDEX(Clay_Brands!$A$2:$FZ$601,394,Sync!$D$5)&amp;"",""),6)&lt;&gt;"SAMPLE",Config!$B$19="Y")),IFERROR(N(INDEX(Clay_Brands!$A$2:$FZ$601,394,Sync!$D$13)),0),"")</f>
        <v/>
      </c>
      <c r="C5045" s="17">
        <f>IF(B5045="","","brand")</f>
        <v/>
      </c>
      <c r="D5045" s="17">
        <f>IF(B5045="","",IFERROR(INDEX(Clay_Brands!$A$2:$FZ$601,394,Sync!$D$5)&amp;"",""))</f>
        <v/>
      </c>
      <c r="E5045" s="17">
        <f>IF(B5045="","",IFERROR(INDEX(Clay_Brands!$A$2:$FZ$601,394,Sync!$D$6)&amp;"",""))</f>
        <v/>
      </c>
      <c r="F5045" s="17">
        <f>IF(B5045="","","outreach_sent")</f>
        <v/>
      </c>
      <c r="G5045" s="17">
        <f>IF(B5045="","","")</f>
        <v/>
      </c>
      <c r="H5045" s="17">
        <f>IF(B5045="","","")</f>
        <v/>
      </c>
      <c r="I5045" s="17">
        <f>IF(B5045="","","")</f>
        <v/>
      </c>
      <c r="J5045" s="17">
        <f>IF(B5045="","","touch_3; "&amp;IFERROR(INDEX(Clay_Brands!$A$2:$FZ$601,394,Sync!$D$10)&amp;"","")&amp;"; "&amp;IFERROR(INDEX(Clay_Brands!$A$2:$FZ$601,394,Sync!$D$9)&amp;"",""))</f>
        <v/>
      </c>
      <c r="K5045" t="inlineStr">
        <is>
          <t>brand outreach touch 3</t>
        </is>
      </c>
    </row>
    <row r="5046">
      <c r="A5046" s="17">
        <f>IF(B5046="","",B5046+(17*1000+395)/10000000)</f>
        <v/>
      </c>
      <c r="B5046" s="23">
        <f>IF(AND(IFERROR(N(INDEX(Clay_Brands!$A$2:$FZ$601,395,Sync!$D$13)),0)&gt;0,IFERROR(INDEX(Clay_Brands!$A$2:$FZ$601,395,Sync!$D$5)&amp;"","")&lt;&gt;"",OR(LEFT(IFERROR(INDEX(Clay_Brands!$A$2:$FZ$601,395,Sync!$D$5)&amp;"",""),6)&lt;&gt;"SAMPLE",Config!$B$19="Y")),IFERROR(N(INDEX(Clay_Brands!$A$2:$FZ$601,395,Sync!$D$13)),0),"")</f>
        <v/>
      </c>
      <c r="C5046" s="17">
        <f>IF(B5046="","","brand")</f>
        <v/>
      </c>
      <c r="D5046" s="17">
        <f>IF(B5046="","",IFERROR(INDEX(Clay_Brands!$A$2:$FZ$601,395,Sync!$D$5)&amp;"",""))</f>
        <v/>
      </c>
      <c r="E5046" s="17">
        <f>IF(B5046="","",IFERROR(INDEX(Clay_Brands!$A$2:$FZ$601,395,Sync!$D$6)&amp;"",""))</f>
        <v/>
      </c>
      <c r="F5046" s="17">
        <f>IF(B5046="","","outreach_sent")</f>
        <v/>
      </c>
      <c r="G5046" s="17">
        <f>IF(B5046="","","")</f>
        <v/>
      </c>
      <c r="H5046" s="17">
        <f>IF(B5046="","","")</f>
        <v/>
      </c>
      <c r="I5046" s="17">
        <f>IF(B5046="","","")</f>
        <v/>
      </c>
      <c r="J5046" s="17">
        <f>IF(B5046="","","touch_3; "&amp;IFERROR(INDEX(Clay_Brands!$A$2:$FZ$601,395,Sync!$D$10)&amp;"","")&amp;"; "&amp;IFERROR(INDEX(Clay_Brands!$A$2:$FZ$601,395,Sync!$D$9)&amp;"",""))</f>
        <v/>
      </c>
      <c r="K5046" t="inlineStr">
        <is>
          <t>brand outreach touch 3</t>
        </is>
      </c>
    </row>
    <row r="5047">
      <c r="A5047" s="17">
        <f>IF(B5047="","",B5047+(17*1000+396)/10000000)</f>
        <v/>
      </c>
      <c r="B5047" s="23">
        <f>IF(AND(IFERROR(N(INDEX(Clay_Brands!$A$2:$FZ$601,396,Sync!$D$13)),0)&gt;0,IFERROR(INDEX(Clay_Brands!$A$2:$FZ$601,396,Sync!$D$5)&amp;"","")&lt;&gt;"",OR(LEFT(IFERROR(INDEX(Clay_Brands!$A$2:$FZ$601,396,Sync!$D$5)&amp;"",""),6)&lt;&gt;"SAMPLE",Config!$B$19="Y")),IFERROR(N(INDEX(Clay_Brands!$A$2:$FZ$601,396,Sync!$D$13)),0),"")</f>
        <v/>
      </c>
      <c r="C5047" s="17">
        <f>IF(B5047="","","brand")</f>
        <v/>
      </c>
      <c r="D5047" s="17">
        <f>IF(B5047="","",IFERROR(INDEX(Clay_Brands!$A$2:$FZ$601,396,Sync!$D$5)&amp;"",""))</f>
        <v/>
      </c>
      <c r="E5047" s="17">
        <f>IF(B5047="","",IFERROR(INDEX(Clay_Brands!$A$2:$FZ$601,396,Sync!$D$6)&amp;"",""))</f>
        <v/>
      </c>
      <c r="F5047" s="17">
        <f>IF(B5047="","","outreach_sent")</f>
        <v/>
      </c>
      <c r="G5047" s="17">
        <f>IF(B5047="","","")</f>
        <v/>
      </c>
      <c r="H5047" s="17">
        <f>IF(B5047="","","")</f>
        <v/>
      </c>
      <c r="I5047" s="17">
        <f>IF(B5047="","","")</f>
        <v/>
      </c>
      <c r="J5047" s="17">
        <f>IF(B5047="","","touch_3; "&amp;IFERROR(INDEX(Clay_Brands!$A$2:$FZ$601,396,Sync!$D$10)&amp;"","")&amp;"; "&amp;IFERROR(INDEX(Clay_Brands!$A$2:$FZ$601,396,Sync!$D$9)&amp;"",""))</f>
        <v/>
      </c>
      <c r="K5047" t="inlineStr">
        <is>
          <t>brand outreach touch 3</t>
        </is>
      </c>
    </row>
    <row r="5048">
      <c r="A5048" s="17">
        <f>IF(B5048="","",B5048+(17*1000+397)/10000000)</f>
        <v/>
      </c>
      <c r="B5048" s="23">
        <f>IF(AND(IFERROR(N(INDEX(Clay_Brands!$A$2:$FZ$601,397,Sync!$D$13)),0)&gt;0,IFERROR(INDEX(Clay_Brands!$A$2:$FZ$601,397,Sync!$D$5)&amp;"","")&lt;&gt;"",OR(LEFT(IFERROR(INDEX(Clay_Brands!$A$2:$FZ$601,397,Sync!$D$5)&amp;"",""),6)&lt;&gt;"SAMPLE",Config!$B$19="Y")),IFERROR(N(INDEX(Clay_Brands!$A$2:$FZ$601,397,Sync!$D$13)),0),"")</f>
        <v/>
      </c>
      <c r="C5048" s="17">
        <f>IF(B5048="","","brand")</f>
        <v/>
      </c>
      <c r="D5048" s="17">
        <f>IF(B5048="","",IFERROR(INDEX(Clay_Brands!$A$2:$FZ$601,397,Sync!$D$5)&amp;"",""))</f>
        <v/>
      </c>
      <c r="E5048" s="17">
        <f>IF(B5048="","",IFERROR(INDEX(Clay_Brands!$A$2:$FZ$601,397,Sync!$D$6)&amp;"",""))</f>
        <v/>
      </c>
      <c r="F5048" s="17">
        <f>IF(B5048="","","outreach_sent")</f>
        <v/>
      </c>
      <c r="G5048" s="17">
        <f>IF(B5048="","","")</f>
        <v/>
      </c>
      <c r="H5048" s="17">
        <f>IF(B5048="","","")</f>
        <v/>
      </c>
      <c r="I5048" s="17">
        <f>IF(B5048="","","")</f>
        <v/>
      </c>
      <c r="J5048" s="17">
        <f>IF(B5048="","","touch_3; "&amp;IFERROR(INDEX(Clay_Brands!$A$2:$FZ$601,397,Sync!$D$10)&amp;"","")&amp;"; "&amp;IFERROR(INDEX(Clay_Brands!$A$2:$FZ$601,397,Sync!$D$9)&amp;"",""))</f>
        <v/>
      </c>
      <c r="K5048" t="inlineStr">
        <is>
          <t>brand outreach touch 3</t>
        </is>
      </c>
    </row>
    <row r="5049">
      <c r="A5049" s="17">
        <f>IF(B5049="","",B5049+(17*1000+398)/10000000)</f>
        <v/>
      </c>
      <c r="B5049" s="23">
        <f>IF(AND(IFERROR(N(INDEX(Clay_Brands!$A$2:$FZ$601,398,Sync!$D$13)),0)&gt;0,IFERROR(INDEX(Clay_Brands!$A$2:$FZ$601,398,Sync!$D$5)&amp;"","")&lt;&gt;"",OR(LEFT(IFERROR(INDEX(Clay_Brands!$A$2:$FZ$601,398,Sync!$D$5)&amp;"",""),6)&lt;&gt;"SAMPLE",Config!$B$19="Y")),IFERROR(N(INDEX(Clay_Brands!$A$2:$FZ$601,398,Sync!$D$13)),0),"")</f>
        <v/>
      </c>
      <c r="C5049" s="17">
        <f>IF(B5049="","","brand")</f>
        <v/>
      </c>
      <c r="D5049" s="17">
        <f>IF(B5049="","",IFERROR(INDEX(Clay_Brands!$A$2:$FZ$601,398,Sync!$D$5)&amp;"",""))</f>
        <v/>
      </c>
      <c r="E5049" s="17">
        <f>IF(B5049="","",IFERROR(INDEX(Clay_Brands!$A$2:$FZ$601,398,Sync!$D$6)&amp;"",""))</f>
        <v/>
      </c>
      <c r="F5049" s="17">
        <f>IF(B5049="","","outreach_sent")</f>
        <v/>
      </c>
      <c r="G5049" s="17">
        <f>IF(B5049="","","")</f>
        <v/>
      </c>
      <c r="H5049" s="17">
        <f>IF(B5049="","","")</f>
        <v/>
      </c>
      <c r="I5049" s="17">
        <f>IF(B5049="","","")</f>
        <v/>
      </c>
      <c r="J5049" s="17">
        <f>IF(B5049="","","touch_3; "&amp;IFERROR(INDEX(Clay_Brands!$A$2:$FZ$601,398,Sync!$D$10)&amp;"","")&amp;"; "&amp;IFERROR(INDEX(Clay_Brands!$A$2:$FZ$601,398,Sync!$D$9)&amp;"",""))</f>
        <v/>
      </c>
      <c r="K5049" t="inlineStr">
        <is>
          <t>brand outreach touch 3</t>
        </is>
      </c>
    </row>
    <row r="5050">
      <c r="A5050" s="17">
        <f>IF(B5050="","",B5050+(17*1000+399)/10000000)</f>
        <v/>
      </c>
      <c r="B5050" s="23">
        <f>IF(AND(IFERROR(N(INDEX(Clay_Brands!$A$2:$FZ$601,399,Sync!$D$13)),0)&gt;0,IFERROR(INDEX(Clay_Brands!$A$2:$FZ$601,399,Sync!$D$5)&amp;"","")&lt;&gt;"",OR(LEFT(IFERROR(INDEX(Clay_Brands!$A$2:$FZ$601,399,Sync!$D$5)&amp;"",""),6)&lt;&gt;"SAMPLE",Config!$B$19="Y")),IFERROR(N(INDEX(Clay_Brands!$A$2:$FZ$601,399,Sync!$D$13)),0),"")</f>
        <v/>
      </c>
      <c r="C5050" s="17">
        <f>IF(B5050="","","brand")</f>
        <v/>
      </c>
      <c r="D5050" s="17">
        <f>IF(B5050="","",IFERROR(INDEX(Clay_Brands!$A$2:$FZ$601,399,Sync!$D$5)&amp;"",""))</f>
        <v/>
      </c>
      <c r="E5050" s="17">
        <f>IF(B5050="","",IFERROR(INDEX(Clay_Brands!$A$2:$FZ$601,399,Sync!$D$6)&amp;"",""))</f>
        <v/>
      </c>
      <c r="F5050" s="17">
        <f>IF(B5050="","","outreach_sent")</f>
        <v/>
      </c>
      <c r="G5050" s="17">
        <f>IF(B5050="","","")</f>
        <v/>
      </c>
      <c r="H5050" s="17">
        <f>IF(B5050="","","")</f>
        <v/>
      </c>
      <c r="I5050" s="17">
        <f>IF(B5050="","","")</f>
        <v/>
      </c>
      <c r="J5050" s="17">
        <f>IF(B5050="","","touch_3; "&amp;IFERROR(INDEX(Clay_Brands!$A$2:$FZ$601,399,Sync!$D$10)&amp;"","")&amp;"; "&amp;IFERROR(INDEX(Clay_Brands!$A$2:$FZ$601,399,Sync!$D$9)&amp;"",""))</f>
        <v/>
      </c>
      <c r="K5050" t="inlineStr">
        <is>
          <t>brand outreach touch 3</t>
        </is>
      </c>
    </row>
    <row r="5051">
      <c r="A5051" s="17">
        <f>IF(B5051="","",B5051+(17*1000+400)/10000000)</f>
        <v/>
      </c>
      <c r="B5051" s="23">
        <f>IF(AND(IFERROR(N(INDEX(Clay_Brands!$A$2:$FZ$601,400,Sync!$D$13)),0)&gt;0,IFERROR(INDEX(Clay_Brands!$A$2:$FZ$601,400,Sync!$D$5)&amp;"","")&lt;&gt;"",OR(LEFT(IFERROR(INDEX(Clay_Brands!$A$2:$FZ$601,400,Sync!$D$5)&amp;"",""),6)&lt;&gt;"SAMPLE",Config!$B$19="Y")),IFERROR(N(INDEX(Clay_Brands!$A$2:$FZ$601,400,Sync!$D$13)),0),"")</f>
        <v/>
      </c>
      <c r="C5051" s="17">
        <f>IF(B5051="","","brand")</f>
        <v/>
      </c>
      <c r="D5051" s="17">
        <f>IF(B5051="","",IFERROR(INDEX(Clay_Brands!$A$2:$FZ$601,400,Sync!$D$5)&amp;"",""))</f>
        <v/>
      </c>
      <c r="E5051" s="17">
        <f>IF(B5051="","",IFERROR(INDEX(Clay_Brands!$A$2:$FZ$601,400,Sync!$D$6)&amp;"",""))</f>
        <v/>
      </c>
      <c r="F5051" s="17">
        <f>IF(B5051="","","outreach_sent")</f>
        <v/>
      </c>
      <c r="G5051" s="17">
        <f>IF(B5051="","","")</f>
        <v/>
      </c>
      <c r="H5051" s="17">
        <f>IF(B5051="","","")</f>
        <v/>
      </c>
      <c r="I5051" s="17">
        <f>IF(B5051="","","")</f>
        <v/>
      </c>
      <c r="J5051" s="17">
        <f>IF(B5051="","","touch_3; "&amp;IFERROR(INDEX(Clay_Brands!$A$2:$FZ$601,400,Sync!$D$10)&amp;"","")&amp;"; "&amp;IFERROR(INDEX(Clay_Brands!$A$2:$FZ$601,400,Sync!$D$9)&amp;"",""))</f>
        <v/>
      </c>
      <c r="K5051" t="inlineStr">
        <is>
          <t>brand outreach touch 3</t>
        </is>
      </c>
    </row>
    <row r="5052">
      <c r="A5052" s="17">
        <f>IF(B5052="","",B5052+(17*1000+401)/10000000)</f>
        <v/>
      </c>
      <c r="B5052" s="23">
        <f>IF(AND(IFERROR(N(INDEX(Clay_Brands!$A$2:$FZ$601,401,Sync!$D$13)),0)&gt;0,IFERROR(INDEX(Clay_Brands!$A$2:$FZ$601,401,Sync!$D$5)&amp;"","")&lt;&gt;"",OR(LEFT(IFERROR(INDEX(Clay_Brands!$A$2:$FZ$601,401,Sync!$D$5)&amp;"",""),6)&lt;&gt;"SAMPLE",Config!$B$19="Y")),IFERROR(N(INDEX(Clay_Brands!$A$2:$FZ$601,401,Sync!$D$13)),0),"")</f>
        <v/>
      </c>
      <c r="C5052" s="17">
        <f>IF(B5052="","","brand")</f>
        <v/>
      </c>
      <c r="D5052" s="17">
        <f>IF(B5052="","",IFERROR(INDEX(Clay_Brands!$A$2:$FZ$601,401,Sync!$D$5)&amp;"",""))</f>
        <v/>
      </c>
      <c r="E5052" s="17">
        <f>IF(B5052="","",IFERROR(INDEX(Clay_Brands!$A$2:$FZ$601,401,Sync!$D$6)&amp;"",""))</f>
        <v/>
      </c>
      <c r="F5052" s="17">
        <f>IF(B5052="","","outreach_sent")</f>
        <v/>
      </c>
      <c r="G5052" s="17">
        <f>IF(B5052="","","")</f>
        <v/>
      </c>
      <c r="H5052" s="17">
        <f>IF(B5052="","","")</f>
        <v/>
      </c>
      <c r="I5052" s="17">
        <f>IF(B5052="","","")</f>
        <v/>
      </c>
      <c r="J5052" s="17">
        <f>IF(B5052="","","touch_3; "&amp;IFERROR(INDEX(Clay_Brands!$A$2:$FZ$601,401,Sync!$D$10)&amp;"","")&amp;"; "&amp;IFERROR(INDEX(Clay_Brands!$A$2:$FZ$601,401,Sync!$D$9)&amp;"",""))</f>
        <v/>
      </c>
      <c r="K5052" t="inlineStr">
        <is>
          <t>brand outreach touch 3</t>
        </is>
      </c>
    </row>
    <row r="5053">
      <c r="A5053" s="17">
        <f>IF(B5053="","",B5053+(17*1000+402)/10000000)</f>
        <v/>
      </c>
      <c r="B5053" s="23">
        <f>IF(AND(IFERROR(N(INDEX(Clay_Brands!$A$2:$FZ$601,402,Sync!$D$13)),0)&gt;0,IFERROR(INDEX(Clay_Brands!$A$2:$FZ$601,402,Sync!$D$5)&amp;"","")&lt;&gt;"",OR(LEFT(IFERROR(INDEX(Clay_Brands!$A$2:$FZ$601,402,Sync!$D$5)&amp;"",""),6)&lt;&gt;"SAMPLE",Config!$B$19="Y")),IFERROR(N(INDEX(Clay_Brands!$A$2:$FZ$601,402,Sync!$D$13)),0),"")</f>
        <v/>
      </c>
      <c r="C5053" s="17">
        <f>IF(B5053="","","brand")</f>
        <v/>
      </c>
      <c r="D5053" s="17">
        <f>IF(B5053="","",IFERROR(INDEX(Clay_Brands!$A$2:$FZ$601,402,Sync!$D$5)&amp;"",""))</f>
        <v/>
      </c>
      <c r="E5053" s="17">
        <f>IF(B5053="","",IFERROR(INDEX(Clay_Brands!$A$2:$FZ$601,402,Sync!$D$6)&amp;"",""))</f>
        <v/>
      </c>
      <c r="F5053" s="17">
        <f>IF(B5053="","","outreach_sent")</f>
        <v/>
      </c>
      <c r="G5053" s="17">
        <f>IF(B5053="","","")</f>
        <v/>
      </c>
      <c r="H5053" s="17">
        <f>IF(B5053="","","")</f>
        <v/>
      </c>
      <c r="I5053" s="17">
        <f>IF(B5053="","","")</f>
        <v/>
      </c>
      <c r="J5053" s="17">
        <f>IF(B5053="","","touch_3; "&amp;IFERROR(INDEX(Clay_Brands!$A$2:$FZ$601,402,Sync!$D$10)&amp;"","")&amp;"; "&amp;IFERROR(INDEX(Clay_Brands!$A$2:$FZ$601,402,Sync!$D$9)&amp;"",""))</f>
        <v/>
      </c>
      <c r="K5053" t="inlineStr">
        <is>
          <t>brand outreach touch 3</t>
        </is>
      </c>
    </row>
    <row r="5054">
      <c r="A5054" s="17">
        <f>IF(B5054="","",B5054+(17*1000+403)/10000000)</f>
        <v/>
      </c>
      <c r="B5054" s="23">
        <f>IF(AND(IFERROR(N(INDEX(Clay_Brands!$A$2:$FZ$601,403,Sync!$D$13)),0)&gt;0,IFERROR(INDEX(Clay_Brands!$A$2:$FZ$601,403,Sync!$D$5)&amp;"","")&lt;&gt;"",OR(LEFT(IFERROR(INDEX(Clay_Brands!$A$2:$FZ$601,403,Sync!$D$5)&amp;"",""),6)&lt;&gt;"SAMPLE",Config!$B$19="Y")),IFERROR(N(INDEX(Clay_Brands!$A$2:$FZ$601,403,Sync!$D$13)),0),"")</f>
        <v/>
      </c>
      <c r="C5054" s="17">
        <f>IF(B5054="","","brand")</f>
        <v/>
      </c>
      <c r="D5054" s="17">
        <f>IF(B5054="","",IFERROR(INDEX(Clay_Brands!$A$2:$FZ$601,403,Sync!$D$5)&amp;"",""))</f>
        <v/>
      </c>
      <c r="E5054" s="17">
        <f>IF(B5054="","",IFERROR(INDEX(Clay_Brands!$A$2:$FZ$601,403,Sync!$D$6)&amp;"",""))</f>
        <v/>
      </c>
      <c r="F5054" s="17">
        <f>IF(B5054="","","outreach_sent")</f>
        <v/>
      </c>
      <c r="G5054" s="17">
        <f>IF(B5054="","","")</f>
        <v/>
      </c>
      <c r="H5054" s="17">
        <f>IF(B5054="","","")</f>
        <v/>
      </c>
      <c r="I5054" s="17">
        <f>IF(B5054="","","")</f>
        <v/>
      </c>
      <c r="J5054" s="17">
        <f>IF(B5054="","","touch_3; "&amp;IFERROR(INDEX(Clay_Brands!$A$2:$FZ$601,403,Sync!$D$10)&amp;"","")&amp;"; "&amp;IFERROR(INDEX(Clay_Brands!$A$2:$FZ$601,403,Sync!$D$9)&amp;"",""))</f>
        <v/>
      </c>
      <c r="K5054" t="inlineStr">
        <is>
          <t>brand outreach touch 3</t>
        </is>
      </c>
    </row>
    <row r="5055">
      <c r="A5055" s="17">
        <f>IF(B5055="","",B5055+(17*1000+404)/10000000)</f>
        <v/>
      </c>
      <c r="B5055" s="23">
        <f>IF(AND(IFERROR(N(INDEX(Clay_Brands!$A$2:$FZ$601,404,Sync!$D$13)),0)&gt;0,IFERROR(INDEX(Clay_Brands!$A$2:$FZ$601,404,Sync!$D$5)&amp;"","")&lt;&gt;"",OR(LEFT(IFERROR(INDEX(Clay_Brands!$A$2:$FZ$601,404,Sync!$D$5)&amp;"",""),6)&lt;&gt;"SAMPLE",Config!$B$19="Y")),IFERROR(N(INDEX(Clay_Brands!$A$2:$FZ$601,404,Sync!$D$13)),0),"")</f>
        <v/>
      </c>
      <c r="C5055" s="17">
        <f>IF(B5055="","","brand")</f>
        <v/>
      </c>
      <c r="D5055" s="17">
        <f>IF(B5055="","",IFERROR(INDEX(Clay_Brands!$A$2:$FZ$601,404,Sync!$D$5)&amp;"",""))</f>
        <v/>
      </c>
      <c r="E5055" s="17">
        <f>IF(B5055="","",IFERROR(INDEX(Clay_Brands!$A$2:$FZ$601,404,Sync!$D$6)&amp;"",""))</f>
        <v/>
      </c>
      <c r="F5055" s="17">
        <f>IF(B5055="","","outreach_sent")</f>
        <v/>
      </c>
      <c r="G5055" s="17">
        <f>IF(B5055="","","")</f>
        <v/>
      </c>
      <c r="H5055" s="17">
        <f>IF(B5055="","","")</f>
        <v/>
      </c>
      <c r="I5055" s="17">
        <f>IF(B5055="","","")</f>
        <v/>
      </c>
      <c r="J5055" s="17">
        <f>IF(B5055="","","touch_3; "&amp;IFERROR(INDEX(Clay_Brands!$A$2:$FZ$601,404,Sync!$D$10)&amp;"","")&amp;"; "&amp;IFERROR(INDEX(Clay_Brands!$A$2:$FZ$601,404,Sync!$D$9)&amp;"",""))</f>
        <v/>
      </c>
      <c r="K5055" t="inlineStr">
        <is>
          <t>brand outreach touch 3</t>
        </is>
      </c>
    </row>
    <row r="5056">
      <c r="A5056" s="17">
        <f>IF(B5056="","",B5056+(17*1000+405)/10000000)</f>
        <v/>
      </c>
      <c r="B5056" s="23">
        <f>IF(AND(IFERROR(N(INDEX(Clay_Brands!$A$2:$FZ$601,405,Sync!$D$13)),0)&gt;0,IFERROR(INDEX(Clay_Brands!$A$2:$FZ$601,405,Sync!$D$5)&amp;"","")&lt;&gt;"",OR(LEFT(IFERROR(INDEX(Clay_Brands!$A$2:$FZ$601,405,Sync!$D$5)&amp;"",""),6)&lt;&gt;"SAMPLE",Config!$B$19="Y")),IFERROR(N(INDEX(Clay_Brands!$A$2:$FZ$601,405,Sync!$D$13)),0),"")</f>
        <v/>
      </c>
      <c r="C5056" s="17">
        <f>IF(B5056="","","brand")</f>
        <v/>
      </c>
      <c r="D5056" s="17">
        <f>IF(B5056="","",IFERROR(INDEX(Clay_Brands!$A$2:$FZ$601,405,Sync!$D$5)&amp;"",""))</f>
        <v/>
      </c>
      <c r="E5056" s="17">
        <f>IF(B5056="","",IFERROR(INDEX(Clay_Brands!$A$2:$FZ$601,405,Sync!$D$6)&amp;"",""))</f>
        <v/>
      </c>
      <c r="F5056" s="17">
        <f>IF(B5056="","","outreach_sent")</f>
        <v/>
      </c>
      <c r="G5056" s="17">
        <f>IF(B5056="","","")</f>
        <v/>
      </c>
      <c r="H5056" s="17">
        <f>IF(B5056="","","")</f>
        <v/>
      </c>
      <c r="I5056" s="17">
        <f>IF(B5056="","","")</f>
        <v/>
      </c>
      <c r="J5056" s="17">
        <f>IF(B5056="","","touch_3; "&amp;IFERROR(INDEX(Clay_Brands!$A$2:$FZ$601,405,Sync!$D$10)&amp;"","")&amp;"; "&amp;IFERROR(INDEX(Clay_Brands!$A$2:$FZ$601,405,Sync!$D$9)&amp;"",""))</f>
        <v/>
      </c>
      <c r="K5056" t="inlineStr">
        <is>
          <t>brand outreach touch 3</t>
        </is>
      </c>
    </row>
    <row r="5057">
      <c r="A5057" s="17">
        <f>IF(B5057="","",B5057+(17*1000+406)/10000000)</f>
        <v/>
      </c>
      <c r="B5057" s="23">
        <f>IF(AND(IFERROR(N(INDEX(Clay_Brands!$A$2:$FZ$601,406,Sync!$D$13)),0)&gt;0,IFERROR(INDEX(Clay_Brands!$A$2:$FZ$601,406,Sync!$D$5)&amp;"","")&lt;&gt;"",OR(LEFT(IFERROR(INDEX(Clay_Brands!$A$2:$FZ$601,406,Sync!$D$5)&amp;"",""),6)&lt;&gt;"SAMPLE",Config!$B$19="Y")),IFERROR(N(INDEX(Clay_Brands!$A$2:$FZ$601,406,Sync!$D$13)),0),"")</f>
        <v/>
      </c>
      <c r="C5057" s="17">
        <f>IF(B5057="","","brand")</f>
        <v/>
      </c>
      <c r="D5057" s="17">
        <f>IF(B5057="","",IFERROR(INDEX(Clay_Brands!$A$2:$FZ$601,406,Sync!$D$5)&amp;"",""))</f>
        <v/>
      </c>
      <c r="E5057" s="17">
        <f>IF(B5057="","",IFERROR(INDEX(Clay_Brands!$A$2:$FZ$601,406,Sync!$D$6)&amp;"",""))</f>
        <v/>
      </c>
      <c r="F5057" s="17">
        <f>IF(B5057="","","outreach_sent")</f>
        <v/>
      </c>
      <c r="G5057" s="17">
        <f>IF(B5057="","","")</f>
        <v/>
      </c>
      <c r="H5057" s="17">
        <f>IF(B5057="","","")</f>
        <v/>
      </c>
      <c r="I5057" s="17">
        <f>IF(B5057="","","")</f>
        <v/>
      </c>
      <c r="J5057" s="17">
        <f>IF(B5057="","","touch_3; "&amp;IFERROR(INDEX(Clay_Brands!$A$2:$FZ$601,406,Sync!$D$10)&amp;"","")&amp;"; "&amp;IFERROR(INDEX(Clay_Brands!$A$2:$FZ$601,406,Sync!$D$9)&amp;"",""))</f>
        <v/>
      </c>
      <c r="K5057" t="inlineStr">
        <is>
          <t>brand outreach touch 3</t>
        </is>
      </c>
    </row>
    <row r="5058">
      <c r="A5058" s="17">
        <f>IF(B5058="","",B5058+(17*1000+407)/10000000)</f>
        <v/>
      </c>
      <c r="B5058" s="23">
        <f>IF(AND(IFERROR(N(INDEX(Clay_Brands!$A$2:$FZ$601,407,Sync!$D$13)),0)&gt;0,IFERROR(INDEX(Clay_Brands!$A$2:$FZ$601,407,Sync!$D$5)&amp;"","")&lt;&gt;"",OR(LEFT(IFERROR(INDEX(Clay_Brands!$A$2:$FZ$601,407,Sync!$D$5)&amp;"",""),6)&lt;&gt;"SAMPLE",Config!$B$19="Y")),IFERROR(N(INDEX(Clay_Brands!$A$2:$FZ$601,407,Sync!$D$13)),0),"")</f>
        <v/>
      </c>
      <c r="C5058" s="17">
        <f>IF(B5058="","","brand")</f>
        <v/>
      </c>
      <c r="D5058" s="17">
        <f>IF(B5058="","",IFERROR(INDEX(Clay_Brands!$A$2:$FZ$601,407,Sync!$D$5)&amp;"",""))</f>
        <v/>
      </c>
      <c r="E5058" s="17">
        <f>IF(B5058="","",IFERROR(INDEX(Clay_Brands!$A$2:$FZ$601,407,Sync!$D$6)&amp;"",""))</f>
        <v/>
      </c>
      <c r="F5058" s="17">
        <f>IF(B5058="","","outreach_sent")</f>
        <v/>
      </c>
      <c r="G5058" s="17">
        <f>IF(B5058="","","")</f>
        <v/>
      </c>
      <c r="H5058" s="17">
        <f>IF(B5058="","","")</f>
        <v/>
      </c>
      <c r="I5058" s="17">
        <f>IF(B5058="","","")</f>
        <v/>
      </c>
      <c r="J5058" s="17">
        <f>IF(B5058="","","touch_3; "&amp;IFERROR(INDEX(Clay_Brands!$A$2:$FZ$601,407,Sync!$D$10)&amp;"","")&amp;"; "&amp;IFERROR(INDEX(Clay_Brands!$A$2:$FZ$601,407,Sync!$D$9)&amp;"",""))</f>
        <v/>
      </c>
      <c r="K5058" t="inlineStr">
        <is>
          <t>brand outreach touch 3</t>
        </is>
      </c>
    </row>
    <row r="5059">
      <c r="A5059" s="17">
        <f>IF(B5059="","",B5059+(17*1000+408)/10000000)</f>
        <v/>
      </c>
      <c r="B5059" s="23">
        <f>IF(AND(IFERROR(N(INDEX(Clay_Brands!$A$2:$FZ$601,408,Sync!$D$13)),0)&gt;0,IFERROR(INDEX(Clay_Brands!$A$2:$FZ$601,408,Sync!$D$5)&amp;"","")&lt;&gt;"",OR(LEFT(IFERROR(INDEX(Clay_Brands!$A$2:$FZ$601,408,Sync!$D$5)&amp;"",""),6)&lt;&gt;"SAMPLE",Config!$B$19="Y")),IFERROR(N(INDEX(Clay_Brands!$A$2:$FZ$601,408,Sync!$D$13)),0),"")</f>
        <v/>
      </c>
      <c r="C5059" s="17">
        <f>IF(B5059="","","brand")</f>
        <v/>
      </c>
      <c r="D5059" s="17">
        <f>IF(B5059="","",IFERROR(INDEX(Clay_Brands!$A$2:$FZ$601,408,Sync!$D$5)&amp;"",""))</f>
        <v/>
      </c>
      <c r="E5059" s="17">
        <f>IF(B5059="","",IFERROR(INDEX(Clay_Brands!$A$2:$FZ$601,408,Sync!$D$6)&amp;"",""))</f>
        <v/>
      </c>
      <c r="F5059" s="17">
        <f>IF(B5059="","","outreach_sent")</f>
        <v/>
      </c>
      <c r="G5059" s="17">
        <f>IF(B5059="","","")</f>
        <v/>
      </c>
      <c r="H5059" s="17">
        <f>IF(B5059="","","")</f>
        <v/>
      </c>
      <c r="I5059" s="17">
        <f>IF(B5059="","","")</f>
        <v/>
      </c>
      <c r="J5059" s="17">
        <f>IF(B5059="","","touch_3; "&amp;IFERROR(INDEX(Clay_Brands!$A$2:$FZ$601,408,Sync!$D$10)&amp;"","")&amp;"; "&amp;IFERROR(INDEX(Clay_Brands!$A$2:$FZ$601,408,Sync!$D$9)&amp;"",""))</f>
        <v/>
      </c>
      <c r="K5059" t="inlineStr">
        <is>
          <t>brand outreach touch 3</t>
        </is>
      </c>
    </row>
    <row r="5060">
      <c r="A5060" s="17">
        <f>IF(B5060="","",B5060+(17*1000+409)/10000000)</f>
        <v/>
      </c>
      <c r="B5060" s="23">
        <f>IF(AND(IFERROR(N(INDEX(Clay_Brands!$A$2:$FZ$601,409,Sync!$D$13)),0)&gt;0,IFERROR(INDEX(Clay_Brands!$A$2:$FZ$601,409,Sync!$D$5)&amp;"","")&lt;&gt;"",OR(LEFT(IFERROR(INDEX(Clay_Brands!$A$2:$FZ$601,409,Sync!$D$5)&amp;"",""),6)&lt;&gt;"SAMPLE",Config!$B$19="Y")),IFERROR(N(INDEX(Clay_Brands!$A$2:$FZ$601,409,Sync!$D$13)),0),"")</f>
        <v/>
      </c>
      <c r="C5060" s="17">
        <f>IF(B5060="","","brand")</f>
        <v/>
      </c>
      <c r="D5060" s="17">
        <f>IF(B5060="","",IFERROR(INDEX(Clay_Brands!$A$2:$FZ$601,409,Sync!$D$5)&amp;"",""))</f>
        <v/>
      </c>
      <c r="E5060" s="17">
        <f>IF(B5060="","",IFERROR(INDEX(Clay_Brands!$A$2:$FZ$601,409,Sync!$D$6)&amp;"",""))</f>
        <v/>
      </c>
      <c r="F5060" s="17">
        <f>IF(B5060="","","outreach_sent")</f>
        <v/>
      </c>
      <c r="G5060" s="17">
        <f>IF(B5060="","","")</f>
        <v/>
      </c>
      <c r="H5060" s="17">
        <f>IF(B5060="","","")</f>
        <v/>
      </c>
      <c r="I5060" s="17">
        <f>IF(B5060="","","")</f>
        <v/>
      </c>
      <c r="J5060" s="17">
        <f>IF(B5060="","","touch_3; "&amp;IFERROR(INDEX(Clay_Brands!$A$2:$FZ$601,409,Sync!$D$10)&amp;"","")&amp;"; "&amp;IFERROR(INDEX(Clay_Brands!$A$2:$FZ$601,409,Sync!$D$9)&amp;"",""))</f>
        <v/>
      </c>
      <c r="K5060" t="inlineStr">
        <is>
          <t>brand outreach touch 3</t>
        </is>
      </c>
    </row>
    <row r="5061">
      <c r="A5061" s="17">
        <f>IF(B5061="","",B5061+(17*1000+410)/10000000)</f>
        <v/>
      </c>
      <c r="B5061" s="23">
        <f>IF(AND(IFERROR(N(INDEX(Clay_Brands!$A$2:$FZ$601,410,Sync!$D$13)),0)&gt;0,IFERROR(INDEX(Clay_Brands!$A$2:$FZ$601,410,Sync!$D$5)&amp;"","")&lt;&gt;"",OR(LEFT(IFERROR(INDEX(Clay_Brands!$A$2:$FZ$601,410,Sync!$D$5)&amp;"",""),6)&lt;&gt;"SAMPLE",Config!$B$19="Y")),IFERROR(N(INDEX(Clay_Brands!$A$2:$FZ$601,410,Sync!$D$13)),0),"")</f>
        <v/>
      </c>
      <c r="C5061" s="17">
        <f>IF(B5061="","","brand")</f>
        <v/>
      </c>
      <c r="D5061" s="17">
        <f>IF(B5061="","",IFERROR(INDEX(Clay_Brands!$A$2:$FZ$601,410,Sync!$D$5)&amp;"",""))</f>
        <v/>
      </c>
      <c r="E5061" s="17">
        <f>IF(B5061="","",IFERROR(INDEX(Clay_Brands!$A$2:$FZ$601,410,Sync!$D$6)&amp;"",""))</f>
        <v/>
      </c>
      <c r="F5061" s="17">
        <f>IF(B5061="","","outreach_sent")</f>
        <v/>
      </c>
      <c r="G5061" s="17">
        <f>IF(B5061="","","")</f>
        <v/>
      </c>
      <c r="H5061" s="17">
        <f>IF(B5061="","","")</f>
        <v/>
      </c>
      <c r="I5061" s="17">
        <f>IF(B5061="","","")</f>
        <v/>
      </c>
      <c r="J5061" s="17">
        <f>IF(B5061="","","touch_3; "&amp;IFERROR(INDEX(Clay_Brands!$A$2:$FZ$601,410,Sync!$D$10)&amp;"","")&amp;"; "&amp;IFERROR(INDEX(Clay_Brands!$A$2:$FZ$601,410,Sync!$D$9)&amp;"",""))</f>
        <v/>
      </c>
      <c r="K5061" t="inlineStr">
        <is>
          <t>brand outreach touch 3</t>
        </is>
      </c>
    </row>
    <row r="5062">
      <c r="A5062" s="17">
        <f>IF(B5062="","",B5062+(17*1000+411)/10000000)</f>
        <v/>
      </c>
      <c r="B5062" s="23">
        <f>IF(AND(IFERROR(N(INDEX(Clay_Brands!$A$2:$FZ$601,411,Sync!$D$13)),0)&gt;0,IFERROR(INDEX(Clay_Brands!$A$2:$FZ$601,411,Sync!$D$5)&amp;"","")&lt;&gt;"",OR(LEFT(IFERROR(INDEX(Clay_Brands!$A$2:$FZ$601,411,Sync!$D$5)&amp;"",""),6)&lt;&gt;"SAMPLE",Config!$B$19="Y")),IFERROR(N(INDEX(Clay_Brands!$A$2:$FZ$601,411,Sync!$D$13)),0),"")</f>
        <v/>
      </c>
      <c r="C5062" s="17">
        <f>IF(B5062="","","brand")</f>
        <v/>
      </c>
      <c r="D5062" s="17">
        <f>IF(B5062="","",IFERROR(INDEX(Clay_Brands!$A$2:$FZ$601,411,Sync!$D$5)&amp;"",""))</f>
        <v/>
      </c>
      <c r="E5062" s="17">
        <f>IF(B5062="","",IFERROR(INDEX(Clay_Brands!$A$2:$FZ$601,411,Sync!$D$6)&amp;"",""))</f>
        <v/>
      </c>
      <c r="F5062" s="17">
        <f>IF(B5062="","","outreach_sent")</f>
        <v/>
      </c>
      <c r="G5062" s="17">
        <f>IF(B5062="","","")</f>
        <v/>
      </c>
      <c r="H5062" s="17">
        <f>IF(B5062="","","")</f>
        <v/>
      </c>
      <c r="I5062" s="17">
        <f>IF(B5062="","","")</f>
        <v/>
      </c>
      <c r="J5062" s="17">
        <f>IF(B5062="","","touch_3; "&amp;IFERROR(INDEX(Clay_Brands!$A$2:$FZ$601,411,Sync!$D$10)&amp;"","")&amp;"; "&amp;IFERROR(INDEX(Clay_Brands!$A$2:$FZ$601,411,Sync!$D$9)&amp;"",""))</f>
        <v/>
      </c>
      <c r="K5062" t="inlineStr">
        <is>
          <t>brand outreach touch 3</t>
        </is>
      </c>
    </row>
    <row r="5063">
      <c r="A5063" s="17">
        <f>IF(B5063="","",B5063+(17*1000+412)/10000000)</f>
        <v/>
      </c>
      <c r="B5063" s="23">
        <f>IF(AND(IFERROR(N(INDEX(Clay_Brands!$A$2:$FZ$601,412,Sync!$D$13)),0)&gt;0,IFERROR(INDEX(Clay_Brands!$A$2:$FZ$601,412,Sync!$D$5)&amp;"","")&lt;&gt;"",OR(LEFT(IFERROR(INDEX(Clay_Brands!$A$2:$FZ$601,412,Sync!$D$5)&amp;"",""),6)&lt;&gt;"SAMPLE",Config!$B$19="Y")),IFERROR(N(INDEX(Clay_Brands!$A$2:$FZ$601,412,Sync!$D$13)),0),"")</f>
        <v/>
      </c>
      <c r="C5063" s="17">
        <f>IF(B5063="","","brand")</f>
        <v/>
      </c>
      <c r="D5063" s="17">
        <f>IF(B5063="","",IFERROR(INDEX(Clay_Brands!$A$2:$FZ$601,412,Sync!$D$5)&amp;"",""))</f>
        <v/>
      </c>
      <c r="E5063" s="17">
        <f>IF(B5063="","",IFERROR(INDEX(Clay_Brands!$A$2:$FZ$601,412,Sync!$D$6)&amp;"",""))</f>
        <v/>
      </c>
      <c r="F5063" s="17">
        <f>IF(B5063="","","outreach_sent")</f>
        <v/>
      </c>
      <c r="G5063" s="17">
        <f>IF(B5063="","","")</f>
        <v/>
      </c>
      <c r="H5063" s="17">
        <f>IF(B5063="","","")</f>
        <v/>
      </c>
      <c r="I5063" s="17">
        <f>IF(B5063="","","")</f>
        <v/>
      </c>
      <c r="J5063" s="17">
        <f>IF(B5063="","","touch_3; "&amp;IFERROR(INDEX(Clay_Brands!$A$2:$FZ$601,412,Sync!$D$10)&amp;"","")&amp;"; "&amp;IFERROR(INDEX(Clay_Brands!$A$2:$FZ$601,412,Sync!$D$9)&amp;"",""))</f>
        <v/>
      </c>
      <c r="K5063" t="inlineStr">
        <is>
          <t>brand outreach touch 3</t>
        </is>
      </c>
    </row>
    <row r="5064">
      <c r="A5064" s="17">
        <f>IF(B5064="","",B5064+(17*1000+413)/10000000)</f>
        <v/>
      </c>
      <c r="B5064" s="23">
        <f>IF(AND(IFERROR(N(INDEX(Clay_Brands!$A$2:$FZ$601,413,Sync!$D$13)),0)&gt;0,IFERROR(INDEX(Clay_Brands!$A$2:$FZ$601,413,Sync!$D$5)&amp;"","")&lt;&gt;"",OR(LEFT(IFERROR(INDEX(Clay_Brands!$A$2:$FZ$601,413,Sync!$D$5)&amp;"",""),6)&lt;&gt;"SAMPLE",Config!$B$19="Y")),IFERROR(N(INDEX(Clay_Brands!$A$2:$FZ$601,413,Sync!$D$13)),0),"")</f>
        <v/>
      </c>
      <c r="C5064" s="17">
        <f>IF(B5064="","","brand")</f>
        <v/>
      </c>
      <c r="D5064" s="17">
        <f>IF(B5064="","",IFERROR(INDEX(Clay_Brands!$A$2:$FZ$601,413,Sync!$D$5)&amp;"",""))</f>
        <v/>
      </c>
      <c r="E5064" s="17">
        <f>IF(B5064="","",IFERROR(INDEX(Clay_Brands!$A$2:$FZ$601,413,Sync!$D$6)&amp;"",""))</f>
        <v/>
      </c>
      <c r="F5064" s="17">
        <f>IF(B5064="","","outreach_sent")</f>
        <v/>
      </c>
      <c r="G5064" s="17">
        <f>IF(B5064="","","")</f>
        <v/>
      </c>
      <c r="H5064" s="17">
        <f>IF(B5064="","","")</f>
        <v/>
      </c>
      <c r="I5064" s="17">
        <f>IF(B5064="","","")</f>
        <v/>
      </c>
      <c r="J5064" s="17">
        <f>IF(B5064="","","touch_3; "&amp;IFERROR(INDEX(Clay_Brands!$A$2:$FZ$601,413,Sync!$D$10)&amp;"","")&amp;"; "&amp;IFERROR(INDEX(Clay_Brands!$A$2:$FZ$601,413,Sync!$D$9)&amp;"",""))</f>
        <v/>
      </c>
      <c r="K5064" t="inlineStr">
        <is>
          <t>brand outreach touch 3</t>
        </is>
      </c>
    </row>
    <row r="5065">
      <c r="A5065" s="17">
        <f>IF(B5065="","",B5065+(17*1000+414)/10000000)</f>
        <v/>
      </c>
      <c r="B5065" s="23">
        <f>IF(AND(IFERROR(N(INDEX(Clay_Brands!$A$2:$FZ$601,414,Sync!$D$13)),0)&gt;0,IFERROR(INDEX(Clay_Brands!$A$2:$FZ$601,414,Sync!$D$5)&amp;"","")&lt;&gt;"",OR(LEFT(IFERROR(INDEX(Clay_Brands!$A$2:$FZ$601,414,Sync!$D$5)&amp;"",""),6)&lt;&gt;"SAMPLE",Config!$B$19="Y")),IFERROR(N(INDEX(Clay_Brands!$A$2:$FZ$601,414,Sync!$D$13)),0),"")</f>
        <v/>
      </c>
      <c r="C5065" s="17">
        <f>IF(B5065="","","brand")</f>
        <v/>
      </c>
      <c r="D5065" s="17">
        <f>IF(B5065="","",IFERROR(INDEX(Clay_Brands!$A$2:$FZ$601,414,Sync!$D$5)&amp;"",""))</f>
        <v/>
      </c>
      <c r="E5065" s="17">
        <f>IF(B5065="","",IFERROR(INDEX(Clay_Brands!$A$2:$FZ$601,414,Sync!$D$6)&amp;"",""))</f>
        <v/>
      </c>
      <c r="F5065" s="17">
        <f>IF(B5065="","","outreach_sent")</f>
        <v/>
      </c>
      <c r="G5065" s="17">
        <f>IF(B5065="","","")</f>
        <v/>
      </c>
      <c r="H5065" s="17">
        <f>IF(B5065="","","")</f>
        <v/>
      </c>
      <c r="I5065" s="17">
        <f>IF(B5065="","","")</f>
        <v/>
      </c>
      <c r="J5065" s="17">
        <f>IF(B5065="","","touch_3; "&amp;IFERROR(INDEX(Clay_Brands!$A$2:$FZ$601,414,Sync!$D$10)&amp;"","")&amp;"; "&amp;IFERROR(INDEX(Clay_Brands!$A$2:$FZ$601,414,Sync!$D$9)&amp;"",""))</f>
        <v/>
      </c>
      <c r="K5065" t="inlineStr">
        <is>
          <t>brand outreach touch 3</t>
        </is>
      </c>
    </row>
    <row r="5066">
      <c r="A5066" s="17">
        <f>IF(B5066="","",B5066+(17*1000+415)/10000000)</f>
        <v/>
      </c>
      <c r="B5066" s="23">
        <f>IF(AND(IFERROR(N(INDEX(Clay_Brands!$A$2:$FZ$601,415,Sync!$D$13)),0)&gt;0,IFERROR(INDEX(Clay_Brands!$A$2:$FZ$601,415,Sync!$D$5)&amp;"","")&lt;&gt;"",OR(LEFT(IFERROR(INDEX(Clay_Brands!$A$2:$FZ$601,415,Sync!$D$5)&amp;"",""),6)&lt;&gt;"SAMPLE",Config!$B$19="Y")),IFERROR(N(INDEX(Clay_Brands!$A$2:$FZ$601,415,Sync!$D$13)),0),"")</f>
        <v/>
      </c>
      <c r="C5066" s="17">
        <f>IF(B5066="","","brand")</f>
        <v/>
      </c>
      <c r="D5066" s="17">
        <f>IF(B5066="","",IFERROR(INDEX(Clay_Brands!$A$2:$FZ$601,415,Sync!$D$5)&amp;"",""))</f>
        <v/>
      </c>
      <c r="E5066" s="17">
        <f>IF(B5066="","",IFERROR(INDEX(Clay_Brands!$A$2:$FZ$601,415,Sync!$D$6)&amp;"",""))</f>
        <v/>
      </c>
      <c r="F5066" s="17">
        <f>IF(B5066="","","outreach_sent")</f>
        <v/>
      </c>
      <c r="G5066" s="17">
        <f>IF(B5066="","","")</f>
        <v/>
      </c>
      <c r="H5066" s="17">
        <f>IF(B5066="","","")</f>
        <v/>
      </c>
      <c r="I5066" s="17">
        <f>IF(B5066="","","")</f>
        <v/>
      </c>
      <c r="J5066" s="17">
        <f>IF(B5066="","","touch_3; "&amp;IFERROR(INDEX(Clay_Brands!$A$2:$FZ$601,415,Sync!$D$10)&amp;"","")&amp;"; "&amp;IFERROR(INDEX(Clay_Brands!$A$2:$FZ$601,415,Sync!$D$9)&amp;"",""))</f>
        <v/>
      </c>
      <c r="K5066" t="inlineStr">
        <is>
          <t>brand outreach touch 3</t>
        </is>
      </c>
    </row>
    <row r="5067">
      <c r="A5067" s="17">
        <f>IF(B5067="","",B5067+(17*1000+416)/10000000)</f>
        <v/>
      </c>
      <c r="B5067" s="23">
        <f>IF(AND(IFERROR(N(INDEX(Clay_Brands!$A$2:$FZ$601,416,Sync!$D$13)),0)&gt;0,IFERROR(INDEX(Clay_Brands!$A$2:$FZ$601,416,Sync!$D$5)&amp;"","")&lt;&gt;"",OR(LEFT(IFERROR(INDEX(Clay_Brands!$A$2:$FZ$601,416,Sync!$D$5)&amp;"",""),6)&lt;&gt;"SAMPLE",Config!$B$19="Y")),IFERROR(N(INDEX(Clay_Brands!$A$2:$FZ$601,416,Sync!$D$13)),0),"")</f>
        <v/>
      </c>
      <c r="C5067" s="17">
        <f>IF(B5067="","","brand")</f>
        <v/>
      </c>
      <c r="D5067" s="17">
        <f>IF(B5067="","",IFERROR(INDEX(Clay_Brands!$A$2:$FZ$601,416,Sync!$D$5)&amp;"",""))</f>
        <v/>
      </c>
      <c r="E5067" s="17">
        <f>IF(B5067="","",IFERROR(INDEX(Clay_Brands!$A$2:$FZ$601,416,Sync!$D$6)&amp;"",""))</f>
        <v/>
      </c>
      <c r="F5067" s="17">
        <f>IF(B5067="","","outreach_sent")</f>
        <v/>
      </c>
      <c r="G5067" s="17">
        <f>IF(B5067="","","")</f>
        <v/>
      </c>
      <c r="H5067" s="17">
        <f>IF(B5067="","","")</f>
        <v/>
      </c>
      <c r="I5067" s="17">
        <f>IF(B5067="","","")</f>
        <v/>
      </c>
      <c r="J5067" s="17">
        <f>IF(B5067="","","touch_3; "&amp;IFERROR(INDEX(Clay_Brands!$A$2:$FZ$601,416,Sync!$D$10)&amp;"","")&amp;"; "&amp;IFERROR(INDEX(Clay_Brands!$A$2:$FZ$601,416,Sync!$D$9)&amp;"",""))</f>
        <v/>
      </c>
      <c r="K5067" t="inlineStr">
        <is>
          <t>brand outreach touch 3</t>
        </is>
      </c>
    </row>
    <row r="5068">
      <c r="A5068" s="17">
        <f>IF(B5068="","",B5068+(17*1000+417)/10000000)</f>
        <v/>
      </c>
      <c r="B5068" s="23">
        <f>IF(AND(IFERROR(N(INDEX(Clay_Brands!$A$2:$FZ$601,417,Sync!$D$13)),0)&gt;0,IFERROR(INDEX(Clay_Brands!$A$2:$FZ$601,417,Sync!$D$5)&amp;"","")&lt;&gt;"",OR(LEFT(IFERROR(INDEX(Clay_Brands!$A$2:$FZ$601,417,Sync!$D$5)&amp;"",""),6)&lt;&gt;"SAMPLE",Config!$B$19="Y")),IFERROR(N(INDEX(Clay_Brands!$A$2:$FZ$601,417,Sync!$D$13)),0),"")</f>
        <v/>
      </c>
      <c r="C5068" s="17">
        <f>IF(B5068="","","brand")</f>
        <v/>
      </c>
      <c r="D5068" s="17">
        <f>IF(B5068="","",IFERROR(INDEX(Clay_Brands!$A$2:$FZ$601,417,Sync!$D$5)&amp;"",""))</f>
        <v/>
      </c>
      <c r="E5068" s="17">
        <f>IF(B5068="","",IFERROR(INDEX(Clay_Brands!$A$2:$FZ$601,417,Sync!$D$6)&amp;"",""))</f>
        <v/>
      </c>
      <c r="F5068" s="17">
        <f>IF(B5068="","","outreach_sent")</f>
        <v/>
      </c>
      <c r="G5068" s="17">
        <f>IF(B5068="","","")</f>
        <v/>
      </c>
      <c r="H5068" s="17">
        <f>IF(B5068="","","")</f>
        <v/>
      </c>
      <c r="I5068" s="17">
        <f>IF(B5068="","","")</f>
        <v/>
      </c>
      <c r="J5068" s="17">
        <f>IF(B5068="","","touch_3; "&amp;IFERROR(INDEX(Clay_Brands!$A$2:$FZ$601,417,Sync!$D$10)&amp;"","")&amp;"; "&amp;IFERROR(INDEX(Clay_Brands!$A$2:$FZ$601,417,Sync!$D$9)&amp;"",""))</f>
        <v/>
      </c>
      <c r="K5068" t="inlineStr">
        <is>
          <t>brand outreach touch 3</t>
        </is>
      </c>
    </row>
    <row r="5069">
      <c r="A5069" s="17">
        <f>IF(B5069="","",B5069+(17*1000+418)/10000000)</f>
        <v/>
      </c>
      <c r="B5069" s="23">
        <f>IF(AND(IFERROR(N(INDEX(Clay_Brands!$A$2:$FZ$601,418,Sync!$D$13)),0)&gt;0,IFERROR(INDEX(Clay_Brands!$A$2:$FZ$601,418,Sync!$D$5)&amp;"","")&lt;&gt;"",OR(LEFT(IFERROR(INDEX(Clay_Brands!$A$2:$FZ$601,418,Sync!$D$5)&amp;"",""),6)&lt;&gt;"SAMPLE",Config!$B$19="Y")),IFERROR(N(INDEX(Clay_Brands!$A$2:$FZ$601,418,Sync!$D$13)),0),"")</f>
        <v/>
      </c>
      <c r="C5069" s="17">
        <f>IF(B5069="","","brand")</f>
        <v/>
      </c>
      <c r="D5069" s="17">
        <f>IF(B5069="","",IFERROR(INDEX(Clay_Brands!$A$2:$FZ$601,418,Sync!$D$5)&amp;"",""))</f>
        <v/>
      </c>
      <c r="E5069" s="17">
        <f>IF(B5069="","",IFERROR(INDEX(Clay_Brands!$A$2:$FZ$601,418,Sync!$D$6)&amp;"",""))</f>
        <v/>
      </c>
      <c r="F5069" s="17">
        <f>IF(B5069="","","outreach_sent")</f>
        <v/>
      </c>
      <c r="G5069" s="17">
        <f>IF(B5069="","","")</f>
        <v/>
      </c>
      <c r="H5069" s="17">
        <f>IF(B5069="","","")</f>
        <v/>
      </c>
      <c r="I5069" s="17">
        <f>IF(B5069="","","")</f>
        <v/>
      </c>
      <c r="J5069" s="17">
        <f>IF(B5069="","","touch_3; "&amp;IFERROR(INDEX(Clay_Brands!$A$2:$FZ$601,418,Sync!$D$10)&amp;"","")&amp;"; "&amp;IFERROR(INDEX(Clay_Brands!$A$2:$FZ$601,418,Sync!$D$9)&amp;"",""))</f>
        <v/>
      </c>
      <c r="K5069" t="inlineStr">
        <is>
          <t>brand outreach touch 3</t>
        </is>
      </c>
    </row>
    <row r="5070">
      <c r="A5070" s="17">
        <f>IF(B5070="","",B5070+(17*1000+419)/10000000)</f>
        <v/>
      </c>
      <c r="B5070" s="23">
        <f>IF(AND(IFERROR(N(INDEX(Clay_Brands!$A$2:$FZ$601,419,Sync!$D$13)),0)&gt;0,IFERROR(INDEX(Clay_Brands!$A$2:$FZ$601,419,Sync!$D$5)&amp;"","")&lt;&gt;"",OR(LEFT(IFERROR(INDEX(Clay_Brands!$A$2:$FZ$601,419,Sync!$D$5)&amp;"",""),6)&lt;&gt;"SAMPLE",Config!$B$19="Y")),IFERROR(N(INDEX(Clay_Brands!$A$2:$FZ$601,419,Sync!$D$13)),0),"")</f>
        <v/>
      </c>
      <c r="C5070" s="17">
        <f>IF(B5070="","","brand")</f>
        <v/>
      </c>
      <c r="D5070" s="17">
        <f>IF(B5070="","",IFERROR(INDEX(Clay_Brands!$A$2:$FZ$601,419,Sync!$D$5)&amp;"",""))</f>
        <v/>
      </c>
      <c r="E5070" s="17">
        <f>IF(B5070="","",IFERROR(INDEX(Clay_Brands!$A$2:$FZ$601,419,Sync!$D$6)&amp;"",""))</f>
        <v/>
      </c>
      <c r="F5070" s="17">
        <f>IF(B5070="","","outreach_sent")</f>
        <v/>
      </c>
      <c r="G5070" s="17">
        <f>IF(B5070="","","")</f>
        <v/>
      </c>
      <c r="H5070" s="17">
        <f>IF(B5070="","","")</f>
        <v/>
      </c>
      <c r="I5070" s="17">
        <f>IF(B5070="","","")</f>
        <v/>
      </c>
      <c r="J5070" s="17">
        <f>IF(B5070="","","touch_3; "&amp;IFERROR(INDEX(Clay_Brands!$A$2:$FZ$601,419,Sync!$D$10)&amp;"","")&amp;"; "&amp;IFERROR(INDEX(Clay_Brands!$A$2:$FZ$601,419,Sync!$D$9)&amp;"",""))</f>
        <v/>
      </c>
      <c r="K5070" t="inlineStr">
        <is>
          <t>brand outreach touch 3</t>
        </is>
      </c>
    </row>
    <row r="5071">
      <c r="A5071" s="17">
        <f>IF(B5071="","",B5071+(17*1000+420)/10000000)</f>
        <v/>
      </c>
      <c r="B5071" s="23">
        <f>IF(AND(IFERROR(N(INDEX(Clay_Brands!$A$2:$FZ$601,420,Sync!$D$13)),0)&gt;0,IFERROR(INDEX(Clay_Brands!$A$2:$FZ$601,420,Sync!$D$5)&amp;"","")&lt;&gt;"",OR(LEFT(IFERROR(INDEX(Clay_Brands!$A$2:$FZ$601,420,Sync!$D$5)&amp;"",""),6)&lt;&gt;"SAMPLE",Config!$B$19="Y")),IFERROR(N(INDEX(Clay_Brands!$A$2:$FZ$601,420,Sync!$D$13)),0),"")</f>
        <v/>
      </c>
      <c r="C5071" s="17">
        <f>IF(B5071="","","brand")</f>
        <v/>
      </c>
      <c r="D5071" s="17">
        <f>IF(B5071="","",IFERROR(INDEX(Clay_Brands!$A$2:$FZ$601,420,Sync!$D$5)&amp;"",""))</f>
        <v/>
      </c>
      <c r="E5071" s="17">
        <f>IF(B5071="","",IFERROR(INDEX(Clay_Brands!$A$2:$FZ$601,420,Sync!$D$6)&amp;"",""))</f>
        <v/>
      </c>
      <c r="F5071" s="17">
        <f>IF(B5071="","","outreach_sent")</f>
        <v/>
      </c>
      <c r="G5071" s="17">
        <f>IF(B5071="","","")</f>
        <v/>
      </c>
      <c r="H5071" s="17">
        <f>IF(B5071="","","")</f>
        <v/>
      </c>
      <c r="I5071" s="17">
        <f>IF(B5071="","","")</f>
        <v/>
      </c>
      <c r="J5071" s="17">
        <f>IF(B5071="","","touch_3; "&amp;IFERROR(INDEX(Clay_Brands!$A$2:$FZ$601,420,Sync!$D$10)&amp;"","")&amp;"; "&amp;IFERROR(INDEX(Clay_Brands!$A$2:$FZ$601,420,Sync!$D$9)&amp;"",""))</f>
        <v/>
      </c>
      <c r="K5071" t="inlineStr">
        <is>
          <t>brand outreach touch 3</t>
        </is>
      </c>
    </row>
    <row r="5072">
      <c r="A5072" s="17">
        <f>IF(B5072="","",B5072+(17*1000+421)/10000000)</f>
        <v/>
      </c>
      <c r="B5072" s="23">
        <f>IF(AND(IFERROR(N(INDEX(Clay_Brands!$A$2:$FZ$601,421,Sync!$D$13)),0)&gt;0,IFERROR(INDEX(Clay_Brands!$A$2:$FZ$601,421,Sync!$D$5)&amp;"","")&lt;&gt;"",OR(LEFT(IFERROR(INDEX(Clay_Brands!$A$2:$FZ$601,421,Sync!$D$5)&amp;"",""),6)&lt;&gt;"SAMPLE",Config!$B$19="Y")),IFERROR(N(INDEX(Clay_Brands!$A$2:$FZ$601,421,Sync!$D$13)),0),"")</f>
        <v/>
      </c>
      <c r="C5072" s="17">
        <f>IF(B5072="","","brand")</f>
        <v/>
      </c>
      <c r="D5072" s="17">
        <f>IF(B5072="","",IFERROR(INDEX(Clay_Brands!$A$2:$FZ$601,421,Sync!$D$5)&amp;"",""))</f>
        <v/>
      </c>
      <c r="E5072" s="17">
        <f>IF(B5072="","",IFERROR(INDEX(Clay_Brands!$A$2:$FZ$601,421,Sync!$D$6)&amp;"",""))</f>
        <v/>
      </c>
      <c r="F5072" s="17">
        <f>IF(B5072="","","outreach_sent")</f>
        <v/>
      </c>
      <c r="G5072" s="17">
        <f>IF(B5072="","","")</f>
        <v/>
      </c>
      <c r="H5072" s="17">
        <f>IF(B5072="","","")</f>
        <v/>
      </c>
      <c r="I5072" s="17">
        <f>IF(B5072="","","")</f>
        <v/>
      </c>
      <c r="J5072" s="17">
        <f>IF(B5072="","","touch_3; "&amp;IFERROR(INDEX(Clay_Brands!$A$2:$FZ$601,421,Sync!$D$10)&amp;"","")&amp;"; "&amp;IFERROR(INDEX(Clay_Brands!$A$2:$FZ$601,421,Sync!$D$9)&amp;"",""))</f>
        <v/>
      </c>
      <c r="K5072" t="inlineStr">
        <is>
          <t>brand outreach touch 3</t>
        </is>
      </c>
    </row>
    <row r="5073">
      <c r="A5073" s="17">
        <f>IF(B5073="","",B5073+(17*1000+422)/10000000)</f>
        <v/>
      </c>
      <c r="B5073" s="23">
        <f>IF(AND(IFERROR(N(INDEX(Clay_Brands!$A$2:$FZ$601,422,Sync!$D$13)),0)&gt;0,IFERROR(INDEX(Clay_Brands!$A$2:$FZ$601,422,Sync!$D$5)&amp;"","")&lt;&gt;"",OR(LEFT(IFERROR(INDEX(Clay_Brands!$A$2:$FZ$601,422,Sync!$D$5)&amp;"",""),6)&lt;&gt;"SAMPLE",Config!$B$19="Y")),IFERROR(N(INDEX(Clay_Brands!$A$2:$FZ$601,422,Sync!$D$13)),0),"")</f>
        <v/>
      </c>
      <c r="C5073" s="17">
        <f>IF(B5073="","","brand")</f>
        <v/>
      </c>
      <c r="D5073" s="17">
        <f>IF(B5073="","",IFERROR(INDEX(Clay_Brands!$A$2:$FZ$601,422,Sync!$D$5)&amp;"",""))</f>
        <v/>
      </c>
      <c r="E5073" s="17">
        <f>IF(B5073="","",IFERROR(INDEX(Clay_Brands!$A$2:$FZ$601,422,Sync!$D$6)&amp;"",""))</f>
        <v/>
      </c>
      <c r="F5073" s="17">
        <f>IF(B5073="","","outreach_sent")</f>
        <v/>
      </c>
      <c r="G5073" s="17">
        <f>IF(B5073="","","")</f>
        <v/>
      </c>
      <c r="H5073" s="17">
        <f>IF(B5073="","","")</f>
        <v/>
      </c>
      <c r="I5073" s="17">
        <f>IF(B5073="","","")</f>
        <v/>
      </c>
      <c r="J5073" s="17">
        <f>IF(B5073="","","touch_3; "&amp;IFERROR(INDEX(Clay_Brands!$A$2:$FZ$601,422,Sync!$D$10)&amp;"","")&amp;"; "&amp;IFERROR(INDEX(Clay_Brands!$A$2:$FZ$601,422,Sync!$D$9)&amp;"",""))</f>
        <v/>
      </c>
      <c r="K5073" t="inlineStr">
        <is>
          <t>brand outreach touch 3</t>
        </is>
      </c>
    </row>
    <row r="5074">
      <c r="A5074" s="17">
        <f>IF(B5074="","",B5074+(17*1000+423)/10000000)</f>
        <v/>
      </c>
      <c r="B5074" s="23">
        <f>IF(AND(IFERROR(N(INDEX(Clay_Brands!$A$2:$FZ$601,423,Sync!$D$13)),0)&gt;0,IFERROR(INDEX(Clay_Brands!$A$2:$FZ$601,423,Sync!$D$5)&amp;"","")&lt;&gt;"",OR(LEFT(IFERROR(INDEX(Clay_Brands!$A$2:$FZ$601,423,Sync!$D$5)&amp;"",""),6)&lt;&gt;"SAMPLE",Config!$B$19="Y")),IFERROR(N(INDEX(Clay_Brands!$A$2:$FZ$601,423,Sync!$D$13)),0),"")</f>
        <v/>
      </c>
      <c r="C5074" s="17">
        <f>IF(B5074="","","brand")</f>
        <v/>
      </c>
      <c r="D5074" s="17">
        <f>IF(B5074="","",IFERROR(INDEX(Clay_Brands!$A$2:$FZ$601,423,Sync!$D$5)&amp;"",""))</f>
        <v/>
      </c>
      <c r="E5074" s="17">
        <f>IF(B5074="","",IFERROR(INDEX(Clay_Brands!$A$2:$FZ$601,423,Sync!$D$6)&amp;"",""))</f>
        <v/>
      </c>
      <c r="F5074" s="17">
        <f>IF(B5074="","","outreach_sent")</f>
        <v/>
      </c>
      <c r="G5074" s="17">
        <f>IF(B5074="","","")</f>
        <v/>
      </c>
      <c r="H5074" s="17">
        <f>IF(B5074="","","")</f>
        <v/>
      </c>
      <c r="I5074" s="17">
        <f>IF(B5074="","","")</f>
        <v/>
      </c>
      <c r="J5074" s="17">
        <f>IF(B5074="","","touch_3; "&amp;IFERROR(INDEX(Clay_Brands!$A$2:$FZ$601,423,Sync!$D$10)&amp;"","")&amp;"; "&amp;IFERROR(INDEX(Clay_Brands!$A$2:$FZ$601,423,Sync!$D$9)&amp;"",""))</f>
        <v/>
      </c>
      <c r="K5074" t="inlineStr">
        <is>
          <t>brand outreach touch 3</t>
        </is>
      </c>
    </row>
    <row r="5075">
      <c r="A5075" s="17">
        <f>IF(B5075="","",B5075+(17*1000+424)/10000000)</f>
        <v/>
      </c>
      <c r="B5075" s="23">
        <f>IF(AND(IFERROR(N(INDEX(Clay_Brands!$A$2:$FZ$601,424,Sync!$D$13)),0)&gt;0,IFERROR(INDEX(Clay_Brands!$A$2:$FZ$601,424,Sync!$D$5)&amp;"","")&lt;&gt;"",OR(LEFT(IFERROR(INDEX(Clay_Brands!$A$2:$FZ$601,424,Sync!$D$5)&amp;"",""),6)&lt;&gt;"SAMPLE",Config!$B$19="Y")),IFERROR(N(INDEX(Clay_Brands!$A$2:$FZ$601,424,Sync!$D$13)),0),"")</f>
        <v/>
      </c>
      <c r="C5075" s="17">
        <f>IF(B5075="","","brand")</f>
        <v/>
      </c>
      <c r="D5075" s="17">
        <f>IF(B5075="","",IFERROR(INDEX(Clay_Brands!$A$2:$FZ$601,424,Sync!$D$5)&amp;"",""))</f>
        <v/>
      </c>
      <c r="E5075" s="17">
        <f>IF(B5075="","",IFERROR(INDEX(Clay_Brands!$A$2:$FZ$601,424,Sync!$D$6)&amp;"",""))</f>
        <v/>
      </c>
      <c r="F5075" s="17">
        <f>IF(B5075="","","outreach_sent")</f>
        <v/>
      </c>
      <c r="G5075" s="17">
        <f>IF(B5075="","","")</f>
        <v/>
      </c>
      <c r="H5075" s="17">
        <f>IF(B5075="","","")</f>
        <v/>
      </c>
      <c r="I5075" s="17">
        <f>IF(B5075="","","")</f>
        <v/>
      </c>
      <c r="J5075" s="17">
        <f>IF(B5075="","","touch_3; "&amp;IFERROR(INDEX(Clay_Brands!$A$2:$FZ$601,424,Sync!$D$10)&amp;"","")&amp;"; "&amp;IFERROR(INDEX(Clay_Brands!$A$2:$FZ$601,424,Sync!$D$9)&amp;"",""))</f>
        <v/>
      </c>
      <c r="K5075" t="inlineStr">
        <is>
          <t>brand outreach touch 3</t>
        </is>
      </c>
    </row>
    <row r="5076">
      <c r="A5076" s="17">
        <f>IF(B5076="","",B5076+(17*1000+425)/10000000)</f>
        <v/>
      </c>
      <c r="B5076" s="23">
        <f>IF(AND(IFERROR(N(INDEX(Clay_Brands!$A$2:$FZ$601,425,Sync!$D$13)),0)&gt;0,IFERROR(INDEX(Clay_Brands!$A$2:$FZ$601,425,Sync!$D$5)&amp;"","")&lt;&gt;"",OR(LEFT(IFERROR(INDEX(Clay_Brands!$A$2:$FZ$601,425,Sync!$D$5)&amp;"",""),6)&lt;&gt;"SAMPLE",Config!$B$19="Y")),IFERROR(N(INDEX(Clay_Brands!$A$2:$FZ$601,425,Sync!$D$13)),0),"")</f>
        <v/>
      </c>
      <c r="C5076" s="17">
        <f>IF(B5076="","","brand")</f>
        <v/>
      </c>
      <c r="D5076" s="17">
        <f>IF(B5076="","",IFERROR(INDEX(Clay_Brands!$A$2:$FZ$601,425,Sync!$D$5)&amp;"",""))</f>
        <v/>
      </c>
      <c r="E5076" s="17">
        <f>IF(B5076="","",IFERROR(INDEX(Clay_Brands!$A$2:$FZ$601,425,Sync!$D$6)&amp;"",""))</f>
        <v/>
      </c>
      <c r="F5076" s="17">
        <f>IF(B5076="","","outreach_sent")</f>
        <v/>
      </c>
      <c r="G5076" s="17">
        <f>IF(B5076="","","")</f>
        <v/>
      </c>
      <c r="H5076" s="17">
        <f>IF(B5076="","","")</f>
        <v/>
      </c>
      <c r="I5076" s="17">
        <f>IF(B5076="","","")</f>
        <v/>
      </c>
      <c r="J5076" s="17">
        <f>IF(B5076="","","touch_3; "&amp;IFERROR(INDEX(Clay_Brands!$A$2:$FZ$601,425,Sync!$D$10)&amp;"","")&amp;"; "&amp;IFERROR(INDEX(Clay_Brands!$A$2:$FZ$601,425,Sync!$D$9)&amp;"",""))</f>
        <v/>
      </c>
      <c r="K5076" t="inlineStr">
        <is>
          <t>brand outreach touch 3</t>
        </is>
      </c>
    </row>
    <row r="5077">
      <c r="A5077" s="17">
        <f>IF(B5077="","",B5077+(17*1000+426)/10000000)</f>
        <v/>
      </c>
      <c r="B5077" s="23">
        <f>IF(AND(IFERROR(N(INDEX(Clay_Brands!$A$2:$FZ$601,426,Sync!$D$13)),0)&gt;0,IFERROR(INDEX(Clay_Brands!$A$2:$FZ$601,426,Sync!$D$5)&amp;"","")&lt;&gt;"",OR(LEFT(IFERROR(INDEX(Clay_Brands!$A$2:$FZ$601,426,Sync!$D$5)&amp;"",""),6)&lt;&gt;"SAMPLE",Config!$B$19="Y")),IFERROR(N(INDEX(Clay_Brands!$A$2:$FZ$601,426,Sync!$D$13)),0),"")</f>
        <v/>
      </c>
      <c r="C5077" s="17">
        <f>IF(B5077="","","brand")</f>
        <v/>
      </c>
      <c r="D5077" s="17">
        <f>IF(B5077="","",IFERROR(INDEX(Clay_Brands!$A$2:$FZ$601,426,Sync!$D$5)&amp;"",""))</f>
        <v/>
      </c>
      <c r="E5077" s="17">
        <f>IF(B5077="","",IFERROR(INDEX(Clay_Brands!$A$2:$FZ$601,426,Sync!$D$6)&amp;"",""))</f>
        <v/>
      </c>
      <c r="F5077" s="17">
        <f>IF(B5077="","","outreach_sent")</f>
        <v/>
      </c>
      <c r="G5077" s="17">
        <f>IF(B5077="","","")</f>
        <v/>
      </c>
      <c r="H5077" s="17">
        <f>IF(B5077="","","")</f>
        <v/>
      </c>
      <c r="I5077" s="17">
        <f>IF(B5077="","","")</f>
        <v/>
      </c>
      <c r="J5077" s="17">
        <f>IF(B5077="","","touch_3; "&amp;IFERROR(INDEX(Clay_Brands!$A$2:$FZ$601,426,Sync!$D$10)&amp;"","")&amp;"; "&amp;IFERROR(INDEX(Clay_Brands!$A$2:$FZ$601,426,Sync!$D$9)&amp;"",""))</f>
        <v/>
      </c>
      <c r="K5077" t="inlineStr">
        <is>
          <t>brand outreach touch 3</t>
        </is>
      </c>
    </row>
    <row r="5078">
      <c r="A5078" s="17">
        <f>IF(B5078="","",B5078+(17*1000+427)/10000000)</f>
        <v/>
      </c>
      <c r="B5078" s="23">
        <f>IF(AND(IFERROR(N(INDEX(Clay_Brands!$A$2:$FZ$601,427,Sync!$D$13)),0)&gt;0,IFERROR(INDEX(Clay_Brands!$A$2:$FZ$601,427,Sync!$D$5)&amp;"","")&lt;&gt;"",OR(LEFT(IFERROR(INDEX(Clay_Brands!$A$2:$FZ$601,427,Sync!$D$5)&amp;"",""),6)&lt;&gt;"SAMPLE",Config!$B$19="Y")),IFERROR(N(INDEX(Clay_Brands!$A$2:$FZ$601,427,Sync!$D$13)),0),"")</f>
        <v/>
      </c>
      <c r="C5078" s="17">
        <f>IF(B5078="","","brand")</f>
        <v/>
      </c>
      <c r="D5078" s="17">
        <f>IF(B5078="","",IFERROR(INDEX(Clay_Brands!$A$2:$FZ$601,427,Sync!$D$5)&amp;"",""))</f>
        <v/>
      </c>
      <c r="E5078" s="17">
        <f>IF(B5078="","",IFERROR(INDEX(Clay_Brands!$A$2:$FZ$601,427,Sync!$D$6)&amp;"",""))</f>
        <v/>
      </c>
      <c r="F5078" s="17">
        <f>IF(B5078="","","outreach_sent")</f>
        <v/>
      </c>
      <c r="G5078" s="17">
        <f>IF(B5078="","","")</f>
        <v/>
      </c>
      <c r="H5078" s="17">
        <f>IF(B5078="","","")</f>
        <v/>
      </c>
      <c r="I5078" s="17">
        <f>IF(B5078="","","")</f>
        <v/>
      </c>
      <c r="J5078" s="17">
        <f>IF(B5078="","","touch_3; "&amp;IFERROR(INDEX(Clay_Brands!$A$2:$FZ$601,427,Sync!$D$10)&amp;"","")&amp;"; "&amp;IFERROR(INDEX(Clay_Brands!$A$2:$FZ$601,427,Sync!$D$9)&amp;"",""))</f>
        <v/>
      </c>
      <c r="K5078" t="inlineStr">
        <is>
          <t>brand outreach touch 3</t>
        </is>
      </c>
    </row>
    <row r="5079">
      <c r="A5079" s="17">
        <f>IF(B5079="","",B5079+(17*1000+428)/10000000)</f>
        <v/>
      </c>
      <c r="B5079" s="23">
        <f>IF(AND(IFERROR(N(INDEX(Clay_Brands!$A$2:$FZ$601,428,Sync!$D$13)),0)&gt;0,IFERROR(INDEX(Clay_Brands!$A$2:$FZ$601,428,Sync!$D$5)&amp;"","")&lt;&gt;"",OR(LEFT(IFERROR(INDEX(Clay_Brands!$A$2:$FZ$601,428,Sync!$D$5)&amp;"",""),6)&lt;&gt;"SAMPLE",Config!$B$19="Y")),IFERROR(N(INDEX(Clay_Brands!$A$2:$FZ$601,428,Sync!$D$13)),0),"")</f>
        <v/>
      </c>
      <c r="C5079" s="17">
        <f>IF(B5079="","","brand")</f>
        <v/>
      </c>
      <c r="D5079" s="17">
        <f>IF(B5079="","",IFERROR(INDEX(Clay_Brands!$A$2:$FZ$601,428,Sync!$D$5)&amp;"",""))</f>
        <v/>
      </c>
      <c r="E5079" s="17">
        <f>IF(B5079="","",IFERROR(INDEX(Clay_Brands!$A$2:$FZ$601,428,Sync!$D$6)&amp;"",""))</f>
        <v/>
      </c>
      <c r="F5079" s="17">
        <f>IF(B5079="","","outreach_sent")</f>
        <v/>
      </c>
      <c r="G5079" s="17">
        <f>IF(B5079="","","")</f>
        <v/>
      </c>
      <c r="H5079" s="17">
        <f>IF(B5079="","","")</f>
        <v/>
      </c>
      <c r="I5079" s="17">
        <f>IF(B5079="","","")</f>
        <v/>
      </c>
      <c r="J5079" s="17">
        <f>IF(B5079="","","touch_3; "&amp;IFERROR(INDEX(Clay_Brands!$A$2:$FZ$601,428,Sync!$D$10)&amp;"","")&amp;"; "&amp;IFERROR(INDEX(Clay_Brands!$A$2:$FZ$601,428,Sync!$D$9)&amp;"",""))</f>
        <v/>
      </c>
      <c r="K5079" t="inlineStr">
        <is>
          <t>brand outreach touch 3</t>
        </is>
      </c>
    </row>
    <row r="5080">
      <c r="A5080" s="17">
        <f>IF(B5080="","",B5080+(17*1000+429)/10000000)</f>
        <v/>
      </c>
      <c r="B5080" s="23">
        <f>IF(AND(IFERROR(N(INDEX(Clay_Brands!$A$2:$FZ$601,429,Sync!$D$13)),0)&gt;0,IFERROR(INDEX(Clay_Brands!$A$2:$FZ$601,429,Sync!$D$5)&amp;"","")&lt;&gt;"",OR(LEFT(IFERROR(INDEX(Clay_Brands!$A$2:$FZ$601,429,Sync!$D$5)&amp;"",""),6)&lt;&gt;"SAMPLE",Config!$B$19="Y")),IFERROR(N(INDEX(Clay_Brands!$A$2:$FZ$601,429,Sync!$D$13)),0),"")</f>
        <v/>
      </c>
      <c r="C5080" s="17">
        <f>IF(B5080="","","brand")</f>
        <v/>
      </c>
      <c r="D5080" s="17">
        <f>IF(B5080="","",IFERROR(INDEX(Clay_Brands!$A$2:$FZ$601,429,Sync!$D$5)&amp;"",""))</f>
        <v/>
      </c>
      <c r="E5080" s="17">
        <f>IF(B5080="","",IFERROR(INDEX(Clay_Brands!$A$2:$FZ$601,429,Sync!$D$6)&amp;"",""))</f>
        <v/>
      </c>
      <c r="F5080" s="17">
        <f>IF(B5080="","","outreach_sent")</f>
        <v/>
      </c>
      <c r="G5080" s="17">
        <f>IF(B5080="","","")</f>
        <v/>
      </c>
      <c r="H5080" s="17">
        <f>IF(B5080="","","")</f>
        <v/>
      </c>
      <c r="I5080" s="17">
        <f>IF(B5080="","","")</f>
        <v/>
      </c>
      <c r="J5080" s="17">
        <f>IF(B5080="","","touch_3; "&amp;IFERROR(INDEX(Clay_Brands!$A$2:$FZ$601,429,Sync!$D$10)&amp;"","")&amp;"; "&amp;IFERROR(INDEX(Clay_Brands!$A$2:$FZ$601,429,Sync!$D$9)&amp;"",""))</f>
        <v/>
      </c>
      <c r="K5080" t="inlineStr">
        <is>
          <t>brand outreach touch 3</t>
        </is>
      </c>
    </row>
    <row r="5081">
      <c r="A5081" s="17">
        <f>IF(B5081="","",B5081+(17*1000+430)/10000000)</f>
        <v/>
      </c>
      <c r="B5081" s="23">
        <f>IF(AND(IFERROR(N(INDEX(Clay_Brands!$A$2:$FZ$601,430,Sync!$D$13)),0)&gt;0,IFERROR(INDEX(Clay_Brands!$A$2:$FZ$601,430,Sync!$D$5)&amp;"","")&lt;&gt;"",OR(LEFT(IFERROR(INDEX(Clay_Brands!$A$2:$FZ$601,430,Sync!$D$5)&amp;"",""),6)&lt;&gt;"SAMPLE",Config!$B$19="Y")),IFERROR(N(INDEX(Clay_Brands!$A$2:$FZ$601,430,Sync!$D$13)),0),"")</f>
        <v/>
      </c>
      <c r="C5081" s="17">
        <f>IF(B5081="","","brand")</f>
        <v/>
      </c>
      <c r="D5081" s="17">
        <f>IF(B5081="","",IFERROR(INDEX(Clay_Brands!$A$2:$FZ$601,430,Sync!$D$5)&amp;"",""))</f>
        <v/>
      </c>
      <c r="E5081" s="17">
        <f>IF(B5081="","",IFERROR(INDEX(Clay_Brands!$A$2:$FZ$601,430,Sync!$D$6)&amp;"",""))</f>
        <v/>
      </c>
      <c r="F5081" s="17">
        <f>IF(B5081="","","outreach_sent")</f>
        <v/>
      </c>
      <c r="G5081" s="17">
        <f>IF(B5081="","","")</f>
        <v/>
      </c>
      <c r="H5081" s="17">
        <f>IF(B5081="","","")</f>
        <v/>
      </c>
      <c r="I5081" s="17">
        <f>IF(B5081="","","")</f>
        <v/>
      </c>
      <c r="J5081" s="17">
        <f>IF(B5081="","","touch_3; "&amp;IFERROR(INDEX(Clay_Brands!$A$2:$FZ$601,430,Sync!$D$10)&amp;"","")&amp;"; "&amp;IFERROR(INDEX(Clay_Brands!$A$2:$FZ$601,430,Sync!$D$9)&amp;"",""))</f>
        <v/>
      </c>
      <c r="K5081" t="inlineStr">
        <is>
          <t>brand outreach touch 3</t>
        </is>
      </c>
    </row>
    <row r="5082">
      <c r="A5082" s="17">
        <f>IF(B5082="","",B5082+(17*1000+431)/10000000)</f>
        <v/>
      </c>
      <c r="B5082" s="23">
        <f>IF(AND(IFERROR(N(INDEX(Clay_Brands!$A$2:$FZ$601,431,Sync!$D$13)),0)&gt;0,IFERROR(INDEX(Clay_Brands!$A$2:$FZ$601,431,Sync!$D$5)&amp;"","")&lt;&gt;"",OR(LEFT(IFERROR(INDEX(Clay_Brands!$A$2:$FZ$601,431,Sync!$D$5)&amp;"",""),6)&lt;&gt;"SAMPLE",Config!$B$19="Y")),IFERROR(N(INDEX(Clay_Brands!$A$2:$FZ$601,431,Sync!$D$13)),0),"")</f>
        <v/>
      </c>
      <c r="C5082" s="17">
        <f>IF(B5082="","","brand")</f>
        <v/>
      </c>
      <c r="D5082" s="17">
        <f>IF(B5082="","",IFERROR(INDEX(Clay_Brands!$A$2:$FZ$601,431,Sync!$D$5)&amp;"",""))</f>
        <v/>
      </c>
      <c r="E5082" s="17">
        <f>IF(B5082="","",IFERROR(INDEX(Clay_Brands!$A$2:$FZ$601,431,Sync!$D$6)&amp;"",""))</f>
        <v/>
      </c>
      <c r="F5082" s="17">
        <f>IF(B5082="","","outreach_sent")</f>
        <v/>
      </c>
      <c r="G5082" s="17">
        <f>IF(B5082="","","")</f>
        <v/>
      </c>
      <c r="H5082" s="17">
        <f>IF(B5082="","","")</f>
        <v/>
      </c>
      <c r="I5082" s="17">
        <f>IF(B5082="","","")</f>
        <v/>
      </c>
      <c r="J5082" s="17">
        <f>IF(B5082="","","touch_3; "&amp;IFERROR(INDEX(Clay_Brands!$A$2:$FZ$601,431,Sync!$D$10)&amp;"","")&amp;"; "&amp;IFERROR(INDEX(Clay_Brands!$A$2:$FZ$601,431,Sync!$D$9)&amp;"",""))</f>
        <v/>
      </c>
      <c r="K5082" t="inlineStr">
        <is>
          <t>brand outreach touch 3</t>
        </is>
      </c>
    </row>
    <row r="5083">
      <c r="A5083" s="17">
        <f>IF(B5083="","",B5083+(17*1000+432)/10000000)</f>
        <v/>
      </c>
      <c r="B5083" s="23">
        <f>IF(AND(IFERROR(N(INDEX(Clay_Brands!$A$2:$FZ$601,432,Sync!$D$13)),0)&gt;0,IFERROR(INDEX(Clay_Brands!$A$2:$FZ$601,432,Sync!$D$5)&amp;"","")&lt;&gt;"",OR(LEFT(IFERROR(INDEX(Clay_Brands!$A$2:$FZ$601,432,Sync!$D$5)&amp;"",""),6)&lt;&gt;"SAMPLE",Config!$B$19="Y")),IFERROR(N(INDEX(Clay_Brands!$A$2:$FZ$601,432,Sync!$D$13)),0),"")</f>
        <v/>
      </c>
      <c r="C5083" s="17">
        <f>IF(B5083="","","brand")</f>
        <v/>
      </c>
      <c r="D5083" s="17">
        <f>IF(B5083="","",IFERROR(INDEX(Clay_Brands!$A$2:$FZ$601,432,Sync!$D$5)&amp;"",""))</f>
        <v/>
      </c>
      <c r="E5083" s="17">
        <f>IF(B5083="","",IFERROR(INDEX(Clay_Brands!$A$2:$FZ$601,432,Sync!$D$6)&amp;"",""))</f>
        <v/>
      </c>
      <c r="F5083" s="17">
        <f>IF(B5083="","","outreach_sent")</f>
        <v/>
      </c>
      <c r="G5083" s="17">
        <f>IF(B5083="","","")</f>
        <v/>
      </c>
      <c r="H5083" s="17">
        <f>IF(B5083="","","")</f>
        <v/>
      </c>
      <c r="I5083" s="17">
        <f>IF(B5083="","","")</f>
        <v/>
      </c>
      <c r="J5083" s="17">
        <f>IF(B5083="","","touch_3; "&amp;IFERROR(INDEX(Clay_Brands!$A$2:$FZ$601,432,Sync!$D$10)&amp;"","")&amp;"; "&amp;IFERROR(INDEX(Clay_Brands!$A$2:$FZ$601,432,Sync!$D$9)&amp;"",""))</f>
        <v/>
      </c>
      <c r="K5083" t="inlineStr">
        <is>
          <t>brand outreach touch 3</t>
        </is>
      </c>
    </row>
    <row r="5084">
      <c r="A5084" s="17">
        <f>IF(B5084="","",B5084+(17*1000+433)/10000000)</f>
        <v/>
      </c>
      <c r="B5084" s="23">
        <f>IF(AND(IFERROR(N(INDEX(Clay_Brands!$A$2:$FZ$601,433,Sync!$D$13)),0)&gt;0,IFERROR(INDEX(Clay_Brands!$A$2:$FZ$601,433,Sync!$D$5)&amp;"","")&lt;&gt;"",OR(LEFT(IFERROR(INDEX(Clay_Brands!$A$2:$FZ$601,433,Sync!$D$5)&amp;"",""),6)&lt;&gt;"SAMPLE",Config!$B$19="Y")),IFERROR(N(INDEX(Clay_Brands!$A$2:$FZ$601,433,Sync!$D$13)),0),"")</f>
        <v/>
      </c>
      <c r="C5084" s="17">
        <f>IF(B5084="","","brand")</f>
        <v/>
      </c>
      <c r="D5084" s="17">
        <f>IF(B5084="","",IFERROR(INDEX(Clay_Brands!$A$2:$FZ$601,433,Sync!$D$5)&amp;"",""))</f>
        <v/>
      </c>
      <c r="E5084" s="17">
        <f>IF(B5084="","",IFERROR(INDEX(Clay_Brands!$A$2:$FZ$601,433,Sync!$D$6)&amp;"",""))</f>
        <v/>
      </c>
      <c r="F5084" s="17">
        <f>IF(B5084="","","outreach_sent")</f>
        <v/>
      </c>
      <c r="G5084" s="17">
        <f>IF(B5084="","","")</f>
        <v/>
      </c>
      <c r="H5084" s="17">
        <f>IF(B5084="","","")</f>
        <v/>
      </c>
      <c r="I5084" s="17">
        <f>IF(B5084="","","")</f>
        <v/>
      </c>
      <c r="J5084" s="17">
        <f>IF(B5084="","","touch_3; "&amp;IFERROR(INDEX(Clay_Brands!$A$2:$FZ$601,433,Sync!$D$10)&amp;"","")&amp;"; "&amp;IFERROR(INDEX(Clay_Brands!$A$2:$FZ$601,433,Sync!$D$9)&amp;"",""))</f>
        <v/>
      </c>
      <c r="K5084" t="inlineStr">
        <is>
          <t>brand outreach touch 3</t>
        </is>
      </c>
    </row>
    <row r="5085">
      <c r="A5085" s="17">
        <f>IF(B5085="","",B5085+(17*1000+434)/10000000)</f>
        <v/>
      </c>
      <c r="B5085" s="23">
        <f>IF(AND(IFERROR(N(INDEX(Clay_Brands!$A$2:$FZ$601,434,Sync!$D$13)),0)&gt;0,IFERROR(INDEX(Clay_Brands!$A$2:$FZ$601,434,Sync!$D$5)&amp;"","")&lt;&gt;"",OR(LEFT(IFERROR(INDEX(Clay_Brands!$A$2:$FZ$601,434,Sync!$D$5)&amp;"",""),6)&lt;&gt;"SAMPLE",Config!$B$19="Y")),IFERROR(N(INDEX(Clay_Brands!$A$2:$FZ$601,434,Sync!$D$13)),0),"")</f>
        <v/>
      </c>
      <c r="C5085" s="17">
        <f>IF(B5085="","","brand")</f>
        <v/>
      </c>
      <c r="D5085" s="17">
        <f>IF(B5085="","",IFERROR(INDEX(Clay_Brands!$A$2:$FZ$601,434,Sync!$D$5)&amp;"",""))</f>
        <v/>
      </c>
      <c r="E5085" s="17">
        <f>IF(B5085="","",IFERROR(INDEX(Clay_Brands!$A$2:$FZ$601,434,Sync!$D$6)&amp;"",""))</f>
        <v/>
      </c>
      <c r="F5085" s="17">
        <f>IF(B5085="","","outreach_sent")</f>
        <v/>
      </c>
      <c r="G5085" s="17">
        <f>IF(B5085="","","")</f>
        <v/>
      </c>
      <c r="H5085" s="17">
        <f>IF(B5085="","","")</f>
        <v/>
      </c>
      <c r="I5085" s="17">
        <f>IF(B5085="","","")</f>
        <v/>
      </c>
      <c r="J5085" s="17">
        <f>IF(B5085="","","touch_3; "&amp;IFERROR(INDEX(Clay_Brands!$A$2:$FZ$601,434,Sync!$D$10)&amp;"","")&amp;"; "&amp;IFERROR(INDEX(Clay_Brands!$A$2:$FZ$601,434,Sync!$D$9)&amp;"",""))</f>
        <v/>
      </c>
      <c r="K5085" t="inlineStr">
        <is>
          <t>brand outreach touch 3</t>
        </is>
      </c>
    </row>
    <row r="5086">
      <c r="A5086" s="17">
        <f>IF(B5086="","",B5086+(17*1000+435)/10000000)</f>
        <v/>
      </c>
      <c r="B5086" s="23">
        <f>IF(AND(IFERROR(N(INDEX(Clay_Brands!$A$2:$FZ$601,435,Sync!$D$13)),0)&gt;0,IFERROR(INDEX(Clay_Brands!$A$2:$FZ$601,435,Sync!$D$5)&amp;"","")&lt;&gt;"",OR(LEFT(IFERROR(INDEX(Clay_Brands!$A$2:$FZ$601,435,Sync!$D$5)&amp;"",""),6)&lt;&gt;"SAMPLE",Config!$B$19="Y")),IFERROR(N(INDEX(Clay_Brands!$A$2:$FZ$601,435,Sync!$D$13)),0),"")</f>
        <v/>
      </c>
      <c r="C5086" s="17">
        <f>IF(B5086="","","brand")</f>
        <v/>
      </c>
      <c r="D5086" s="17">
        <f>IF(B5086="","",IFERROR(INDEX(Clay_Brands!$A$2:$FZ$601,435,Sync!$D$5)&amp;"",""))</f>
        <v/>
      </c>
      <c r="E5086" s="17">
        <f>IF(B5086="","",IFERROR(INDEX(Clay_Brands!$A$2:$FZ$601,435,Sync!$D$6)&amp;"",""))</f>
        <v/>
      </c>
      <c r="F5086" s="17">
        <f>IF(B5086="","","outreach_sent")</f>
        <v/>
      </c>
      <c r="G5086" s="17">
        <f>IF(B5086="","","")</f>
        <v/>
      </c>
      <c r="H5086" s="17">
        <f>IF(B5086="","","")</f>
        <v/>
      </c>
      <c r="I5086" s="17">
        <f>IF(B5086="","","")</f>
        <v/>
      </c>
      <c r="J5086" s="17">
        <f>IF(B5086="","","touch_3; "&amp;IFERROR(INDEX(Clay_Brands!$A$2:$FZ$601,435,Sync!$D$10)&amp;"","")&amp;"; "&amp;IFERROR(INDEX(Clay_Brands!$A$2:$FZ$601,435,Sync!$D$9)&amp;"",""))</f>
        <v/>
      </c>
      <c r="K5086" t="inlineStr">
        <is>
          <t>brand outreach touch 3</t>
        </is>
      </c>
    </row>
    <row r="5087">
      <c r="A5087" s="17">
        <f>IF(B5087="","",B5087+(17*1000+436)/10000000)</f>
        <v/>
      </c>
      <c r="B5087" s="23">
        <f>IF(AND(IFERROR(N(INDEX(Clay_Brands!$A$2:$FZ$601,436,Sync!$D$13)),0)&gt;0,IFERROR(INDEX(Clay_Brands!$A$2:$FZ$601,436,Sync!$D$5)&amp;"","")&lt;&gt;"",OR(LEFT(IFERROR(INDEX(Clay_Brands!$A$2:$FZ$601,436,Sync!$D$5)&amp;"",""),6)&lt;&gt;"SAMPLE",Config!$B$19="Y")),IFERROR(N(INDEX(Clay_Brands!$A$2:$FZ$601,436,Sync!$D$13)),0),"")</f>
        <v/>
      </c>
      <c r="C5087" s="17">
        <f>IF(B5087="","","brand")</f>
        <v/>
      </c>
      <c r="D5087" s="17">
        <f>IF(B5087="","",IFERROR(INDEX(Clay_Brands!$A$2:$FZ$601,436,Sync!$D$5)&amp;"",""))</f>
        <v/>
      </c>
      <c r="E5087" s="17">
        <f>IF(B5087="","",IFERROR(INDEX(Clay_Brands!$A$2:$FZ$601,436,Sync!$D$6)&amp;"",""))</f>
        <v/>
      </c>
      <c r="F5087" s="17">
        <f>IF(B5087="","","outreach_sent")</f>
        <v/>
      </c>
      <c r="G5087" s="17">
        <f>IF(B5087="","","")</f>
        <v/>
      </c>
      <c r="H5087" s="17">
        <f>IF(B5087="","","")</f>
        <v/>
      </c>
      <c r="I5087" s="17">
        <f>IF(B5087="","","")</f>
        <v/>
      </c>
      <c r="J5087" s="17">
        <f>IF(B5087="","","touch_3; "&amp;IFERROR(INDEX(Clay_Brands!$A$2:$FZ$601,436,Sync!$D$10)&amp;"","")&amp;"; "&amp;IFERROR(INDEX(Clay_Brands!$A$2:$FZ$601,436,Sync!$D$9)&amp;"",""))</f>
        <v/>
      </c>
      <c r="K5087" t="inlineStr">
        <is>
          <t>brand outreach touch 3</t>
        </is>
      </c>
    </row>
    <row r="5088">
      <c r="A5088" s="17">
        <f>IF(B5088="","",B5088+(17*1000+437)/10000000)</f>
        <v/>
      </c>
      <c r="B5088" s="23">
        <f>IF(AND(IFERROR(N(INDEX(Clay_Brands!$A$2:$FZ$601,437,Sync!$D$13)),0)&gt;0,IFERROR(INDEX(Clay_Brands!$A$2:$FZ$601,437,Sync!$D$5)&amp;"","")&lt;&gt;"",OR(LEFT(IFERROR(INDEX(Clay_Brands!$A$2:$FZ$601,437,Sync!$D$5)&amp;"",""),6)&lt;&gt;"SAMPLE",Config!$B$19="Y")),IFERROR(N(INDEX(Clay_Brands!$A$2:$FZ$601,437,Sync!$D$13)),0),"")</f>
        <v/>
      </c>
      <c r="C5088" s="17">
        <f>IF(B5088="","","brand")</f>
        <v/>
      </c>
      <c r="D5088" s="17">
        <f>IF(B5088="","",IFERROR(INDEX(Clay_Brands!$A$2:$FZ$601,437,Sync!$D$5)&amp;"",""))</f>
        <v/>
      </c>
      <c r="E5088" s="17">
        <f>IF(B5088="","",IFERROR(INDEX(Clay_Brands!$A$2:$FZ$601,437,Sync!$D$6)&amp;"",""))</f>
        <v/>
      </c>
      <c r="F5088" s="17">
        <f>IF(B5088="","","outreach_sent")</f>
        <v/>
      </c>
      <c r="G5088" s="17">
        <f>IF(B5088="","","")</f>
        <v/>
      </c>
      <c r="H5088" s="17">
        <f>IF(B5088="","","")</f>
        <v/>
      </c>
      <c r="I5088" s="17">
        <f>IF(B5088="","","")</f>
        <v/>
      </c>
      <c r="J5088" s="17">
        <f>IF(B5088="","","touch_3; "&amp;IFERROR(INDEX(Clay_Brands!$A$2:$FZ$601,437,Sync!$D$10)&amp;"","")&amp;"; "&amp;IFERROR(INDEX(Clay_Brands!$A$2:$FZ$601,437,Sync!$D$9)&amp;"",""))</f>
        <v/>
      </c>
      <c r="K5088" t="inlineStr">
        <is>
          <t>brand outreach touch 3</t>
        </is>
      </c>
    </row>
    <row r="5089">
      <c r="A5089" s="17">
        <f>IF(B5089="","",B5089+(17*1000+438)/10000000)</f>
        <v/>
      </c>
      <c r="B5089" s="23">
        <f>IF(AND(IFERROR(N(INDEX(Clay_Brands!$A$2:$FZ$601,438,Sync!$D$13)),0)&gt;0,IFERROR(INDEX(Clay_Brands!$A$2:$FZ$601,438,Sync!$D$5)&amp;"","")&lt;&gt;"",OR(LEFT(IFERROR(INDEX(Clay_Brands!$A$2:$FZ$601,438,Sync!$D$5)&amp;"",""),6)&lt;&gt;"SAMPLE",Config!$B$19="Y")),IFERROR(N(INDEX(Clay_Brands!$A$2:$FZ$601,438,Sync!$D$13)),0),"")</f>
        <v/>
      </c>
      <c r="C5089" s="17">
        <f>IF(B5089="","","brand")</f>
        <v/>
      </c>
      <c r="D5089" s="17">
        <f>IF(B5089="","",IFERROR(INDEX(Clay_Brands!$A$2:$FZ$601,438,Sync!$D$5)&amp;"",""))</f>
        <v/>
      </c>
      <c r="E5089" s="17">
        <f>IF(B5089="","",IFERROR(INDEX(Clay_Brands!$A$2:$FZ$601,438,Sync!$D$6)&amp;"",""))</f>
        <v/>
      </c>
      <c r="F5089" s="17">
        <f>IF(B5089="","","outreach_sent")</f>
        <v/>
      </c>
      <c r="G5089" s="17">
        <f>IF(B5089="","","")</f>
        <v/>
      </c>
      <c r="H5089" s="17">
        <f>IF(B5089="","","")</f>
        <v/>
      </c>
      <c r="I5089" s="17">
        <f>IF(B5089="","","")</f>
        <v/>
      </c>
      <c r="J5089" s="17">
        <f>IF(B5089="","","touch_3; "&amp;IFERROR(INDEX(Clay_Brands!$A$2:$FZ$601,438,Sync!$D$10)&amp;"","")&amp;"; "&amp;IFERROR(INDEX(Clay_Brands!$A$2:$FZ$601,438,Sync!$D$9)&amp;"",""))</f>
        <v/>
      </c>
      <c r="K5089" t="inlineStr">
        <is>
          <t>brand outreach touch 3</t>
        </is>
      </c>
    </row>
    <row r="5090">
      <c r="A5090" s="17">
        <f>IF(B5090="","",B5090+(17*1000+439)/10000000)</f>
        <v/>
      </c>
      <c r="B5090" s="23">
        <f>IF(AND(IFERROR(N(INDEX(Clay_Brands!$A$2:$FZ$601,439,Sync!$D$13)),0)&gt;0,IFERROR(INDEX(Clay_Brands!$A$2:$FZ$601,439,Sync!$D$5)&amp;"","")&lt;&gt;"",OR(LEFT(IFERROR(INDEX(Clay_Brands!$A$2:$FZ$601,439,Sync!$D$5)&amp;"",""),6)&lt;&gt;"SAMPLE",Config!$B$19="Y")),IFERROR(N(INDEX(Clay_Brands!$A$2:$FZ$601,439,Sync!$D$13)),0),"")</f>
        <v/>
      </c>
      <c r="C5090" s="17">
        <f>IF(B5090="","","brand")</f>
        <v/>
      </c>
      <c r="D5090" s="17">
        <f>IF(B5090="","",IFERROR(INDEX(Clay_Brands!$A$2:$FZ$601,439,Sync!$D$5)&amp;"",""))</f>
        <v/>
      </c>
      <c r="E5090" s="17">
        <f>IF(B5090="","",IFERROR(INDEX(Clay_Brands!$A$2:$FZ$601,439,Sync!$D$6)&amp;"",""))</f>
        <v/>
      </c>
      <c r="F5090" s="17">
        <f>IF(B5090="","","outreach_sent")</f>
        <v/>
      </c>
      <c r="G5090" s="17">
        <f>IF(B5090="","","")</f>
        <v/>
      </c>
      <c r="H5090" s="17">
        <f>IF(B5090="","","")</f>
        <v/>
      </c>
      <c r="I5090" s="17">
        <f>IF(B5090="","","")</f>
        <v/>
      </c>
      <c r="J5090" s="17">
        <f>IF(B5090="","","touch_3; "&amp;IFERROR(INDEX(Clay_Brands!$A$2:$FZ$601,439,Sync!$D$10)&amp;"","")&amp;"; "&amp;IFERROR(INDEX(Clay_Brands!$A$2:$FZ$601,439,Sync!$D$9)&amp;"",""))</f>
        <v/>
      </c>
      <c r="K5090" t="inlineStr">
        <is>
          <t>brand outreach touch 3</t>
        </is>
      </c>
    </row>
    <row r="5091">
      <c r="A5091" s="17">
        <f>IF(B5091="","",B5091+(17*1000+440)/10000000)</f>
        <v/>
      </c>
      <c r="B5091" s="23">
        <f>IF(AND(IFERROR(N(INDEX(Clay_Brands!$A$2:$FZ$601,440,Sync!$D$13)),0)&gt;0,IFERROR(INDEX(Clay_Brands!$A$2:$FZ$601,440,Sync!$D$5)&amp;"","")&lt;&gt;"",OR(LEFT(IFERROR(INDEX(Clay_Brands!$A$2:$FZ$601,440,Sync!$D$5)&amp;"",""),6)&lt;&gt;"SAMPLE",Config!$B$19="Y")),IFERROR(N(INDEX(Clay_Brands!$A$2:$FZ$601,440,Sync!$D$13)),0),"")</f>
        <v/>
      </c>
      <c r="C5091" s="17">
        <f>IF(B5091="","","brand")</f>
        <v/>
      </c>
      <c r="D5091" s="17">
        <f>IF(B5091="","",IFERROR(INDEX(Clay_Brands!$A$2:$FZ$601,440,Sync!$D$5)&amp;"",""))</f>
        <v/>
      </c>
      <c r="E5091" s="17">
        <f>IF(B5091="","",IFERROR(INDEX(Clay_Brands!$A$2:$FZ$601,440,Sync!$D$6)&amp;"",""))</f>
        <v/>
      </c>
      <c r="F5091" s="17">
        <f>IF(B5091="","","outreach_sent")</f>
        <v/>
      </c>
      <c r="G5091" s="17">
        <f>IF(B5091="","","")</f>
        <v/>
      </c>
      <c r="H5091" s="17">
        <f>IF(B5091="","","")</f>
        <v/>
      </c>
      <c r="I5091" s="17">
        <f>IF(B5091="","","")</f>
        <v/>
      </c>
      <c r="J5091" s="17">
        <f>IF(B5091="","","touch_3; "&amp;IFERROR(INDEX(Clay_Brands!$A$2:$FZ$601,440,Sync!$D$10)&amp;"","")&amp;"; "&amp;IFERROR(INDEX(Clay_Brands!$A$2:$FZ$601,440,Sync!$D$9)&amp;"",""))</f>
        <v/>
      </c>
      <c r="K5091" t="inlineStr">
        <is>
          <t>brand outreach touch 3</t>
        </is>
      </c>
    </row>
    <row r="5092">
      <c r="A5092" s="17">
        <f>IF(B5092="","",B5092+(17*1000+441)/10000000)</f>
        <v/>
      </c>
      <c r="B5092" s="23">
        <f>IF(AND(IFERROR(N(INDEX(Clay_Brands!$A$2:$FZ$601,441,Sync!$D$13)),0)&gt;0,IFERROR(INDEX(Clay_Brands!$A$2:$FZ$601,441,Sync!$D$5)&amp;"","")&lt;&gt;"",OR(LEFT(IFERROR(INDEX(Clay_Brands!$A$2:$FZ$601,441,Sync!$D$5)&amp;"",""),6)&lt;&gt;"SAMPLE",Config!$B$19="Y")),IFERROR(N(INDEX(Clay_Brands!$A$2:$FZ$601,441,Sync!$D$13)),0),"")</f>
        <v/>
      </c>
      <c r="C5092" s="17">
        <f>IF(B5092="","","brand")</f>
        <v/>
      </c>
      <c r="D5092" s="17">
        <f>IF(B5092="","",IFERROR(INDEX(Clay_Brands!$A$2:$FZ$601,441,Sync!$D$5)&amp;"",""))</f>
        <v/>
      </c>
      <c r="E5092" s="17">
        <f>IF(B5092="","",IFERROR(INDEX(Clay_Brands!$A$2:$FZ$601,441,Sync!$D$6)&amp;"",""))</f>
        <v/>
      </c>
      <c r="F5092" s="17">
        <f>IF(B5092="","","outreach_sent")</f>
        <v/>
      </c>
      <c r="G5092" s="17">
        <f>IF(B5092="","","")</f>
        <v/>
      </c>
      <c r="H5092" s="17">
        <f>IF(B5092="","","")</f>
        <v/>
      </c>
      <c r="I5092" s="17">
        <f>IF(B5092="","","")</f>
        <v/>
      </c>
      <c r="J5092" s="17">
        <f>IF(B5092="","","touch_3; "&amp;IFERROR(INDEX(Clay_Brands!$A$2:$FZ$601,441,Sync!$D$10)&amp;"","")&amp;"; "&amp;IFERROR(INDEX(Clay_Brands!$A$2:$FZ$601,441,Sync!$D$9)&amp;"",""))</f>
        <v/>
      </c>
      <c r="K5092" t="inlineStr">
        <is>
          <t>brand outreach touch 3</t>
        </is>
      </c>
    </row>
    <row r="5093">
      <c r="A5093" s="17">
        <f>IF(B5093="","",B5093+(17*1000+442)/10000000)</f>
        <v/>
      </c>
      <c r="B5093" s="23">
        <f>IF(AND(IFERROR(N(INDEX(Clay_Brands!$A$2:$FZ$601,442,Sync!$D$13)),0)&gt;0,IFERROR(INDEX(Clay_Brands!$A$2:$FZ$601,442,Sync!$D$5)&amp;"","")&lt;&gt;"",OR(LEFT(IFERROR(INDEX(Clay_Brands!$A$2:$FZ$601,442,Sync!$D$5)&amp;"",""),6)&lt;&gt;"SAMPLE",Config!$B$19="Y")),IFERROR(N(INDEX(Clay_Brands!$A$2:$FZ$601,442,Sync!$D$13)),0),"")</f>
        <v/>
      </c>
      <c r="C5093" s="17">
        <f>IF(B5093="","","brand")</f>
        <v/>
      </c>
      <c r="D5093" s="17">
        <f>IF(B5093="","",IFERROR(INDEX(Clay_Brands!$A$2:$FZ$601,442,Sync!$D$5)&amp;"",""))</f>
        <v/>
      </c>
      <c r="E5093" s="17">
        <f>IF(B5093="","",IFERROR(INDEX(Clay_Brands!$A$2:$FZ$601,442,Sync!$D$6)&amp;"",""))</f>
        <v/>
      </c>
      <c r="F5093" s="17">
        <f>IF(B5093="","","outreach_sent")</f>
        <v/>
      </c>
      <c r="G5093" s="17">
        <f>IF(B5093="","","")</f>
        <v/>
      </c>
      <c r="H5093" s="17">
        <f>IF(B5093="","","")</f>
        <v/>
      </c>
      <c r="I5093" s="17">
        <f>IF(B5093="","","")</f>
        <v/>
      </c>
      <c r="J5093" s="17">
        <f>IF(B5093="","","touch_3; "&amp;IFERROR(INDEX(Clay_Brands!$A$2:$FZ$601,442,Sync!$D$10)&amp;"","")&amp;"; "&amp;IFERROR(INDEX(Clay_Brands!$A$2:$FZ$601,442,Sync!$D$9)&amp;"",""))</f>
        <v/>
      </c>
      <c r="K5093" t="inlineStr">
        <is>
          <t>brand outreach touch 3</t>
        </is>
      </c>
    </row>
    <row r="5094">
      <c r="A5094" s="17">
        <f>IF(B5094="","",B5094+(17*1000+443)/10000000)</f>
        <v/>
      </c>
      <c r="B5094" s="23">
        <f>IF(AND(IFERROR(N(INDEX(Clay_Brands!$A$2:$FZ$601,443,Sync!$D$13)),0)&gt;0,IFERROR(INDEX(Clay_Brands!$A$2:$FZ$601,443,Sync!$D$5)&amp;"","")&lt;&gt;"",OR(LEFT(IFERROR(INDEX(Clay_Brands!$A$2:$FZ$601,443,Sync!$D$5)&amp;"",""),6)&lt;&gt;"SAMPLE",Config!$B$19="Y")),IFERROR(N(INDEX(Clay_Brands!$A$2:$FZ$601,443,Sync!$D$13)),0),"")</f>
        <v/>
      </c>
      <c r="C5094" s="17">
        <f>IF(B5094="","","brand")</f>
        <v/>
      </c>
      <c r="D5094" s="17">
        <f>IF(B5094="","",IFERROR(INDEX(Clay_Brands!$A$2:$FZ$601,443,Sync!$D$5)&amp;"",""))</f>
        <v/>
      </c>
      <c r="E5094" s="17">
        <f>IF(B5094="","",IFERROR(INDEX(Clay_Brands!$A$2:$FZ$601,443,Sync!$D$6)&amp;"",""))</f>
        <v/>
      </c>
      <c r="F5094" s="17">
        <f>IF(B5094="","","outreach_sent")</f>
        <v/>
      </c>
      <c r="G5094" s="17">
        <f>IF(B5094="","","")</f>
        <v/>
      </c>
      <c r="H5094" s="17">
        <f>IF(B5094="","","")</f>
        <v/>
      </c>
      <c r="I5094" s="17">
        <f>IF(B5094="","","")</f>
        <v/>
      </c>
      <c r="J5094" s="17">
        <f>IF(B5094="","","touch_3; "&amp;IFERROR(INDEX(Clay_Brands!$A$2:$FZ$601,443,Sync!$D$10)&amp;"","")&amp;"; "&amp;IFERROR(INDEX(Clay_Brands!$A$2:$FZ$601,443,Sync!$D$9)&amp;"",""))</f>
        <v/>
      </c>
      <c r="K5094" t="inlineStr">
        <is>
          <t>brand outreach touch 3</t>
        </is>
      </c>
    </row>
    <row r="5095">
      <c r="A5095" s="17">
        <f>IF(B5095="","",B5095+(17*1000+444)/10000000)</f>
        <v/>
      </c>
      <c r="B5095" s="23">
        <f>IF(AND(IFERROR(N(INDEX(Clay_Brands!$A$2:$FZ$601,444,Sync!$D$13)),0)&gt;0,IFERROR(INDEX(Clay_Brands!$A$2:$FZ$601,444,Sync!$D$5)&amp;"","")&lt;&gt;"",OR(LEFT(IFERROR(INDEX(Clay_Brands!$A$2:$FZ$601,444,Sync!$D$5)&amp;"",""),6)&lt;&gt;"SAMPLE",Config!$B$19="Y")),IFERROR(N(INDEX(Clay_Brands!$A$2:$FZ$601,444,Sync!$D$13)),0),"")</f>
        <v/>
      </c>
      <c r="C5095" s="17">
        <f>IF(B5095="","","brand")</f>
        <v/>
      </c>
      <c r="D5095" s="17">
        <f>IF(B5095="","",IFERROR(INDEX(Clay_Brands!$A$2:$FZ$601,444,Sync!$D$5)&amp;"",""))</f>
        <v/>
      </c>
      <c r="E5095" s="17">
        <f>IF(B5095="","",IFERROR(INDEX(Clay_Brands!$A$2:$FZ$601,444,Sync!$D$6)&amp;"",""))</f>
        <v/>
      </c>
      <c r="F5095" s="17">
        <f>IF(B5095="","","outreach_sent")</f>
        <v/>
      </c>
      <c r="G5095" s="17">
        <f>IF(B5095="","","")</f>
        <v/>
      </c>
      <c r="H5095" s="17">
        <f>IF(B5095="","","")</f>
        <v/>
      </c>
      <c r="I5095" s="17">
        <f>IF(B5095="","","")</f>
        <v/>
      </c>
      <c r="J5095" s="17">
        <f>IF(B5095="","","touch_3; "&amp;IFERROR(INDEX(Clay_Brands!$A$2:$FZ$601,444,Sync!$D$10)&amp;"","")&amp;"; "&amp;IFERROR(INDEX(Clay_Brands!$A$2:$FZ$601,444,Sync!$D$9)&amp;"",""))</f>
        <v/>
      </c>
      <c r="K5095" t="inlineStr">
        <is>
          <t>brand outreach touch 3</t>
        </is>
      </c>
    </row>
    <row r="5096">
      <c r="A5096" s="17">
        <f>IF(B5096="","",B5096+(17*1000+445)/10000000)</f>
        <v/>
      </c>
      <c r="B5096" s="23">
        <f>IF(AND(IFERROR(N(INDEX(Clay_Brands!$A$2:$FZ$601,445,Sync!$D$13)),0)&gt;0,IFERROR(INDEX(Clay_Brands!$A$2:$FZ$601,445,Sync!$D$5)&amp;"","")&lt;&gt;"",OR(LEFT(IFERROR(INDEX(Clay_Brands!$A$2:$FZ$601,445,Sync!$D$5)&amp;"",""),6)&lt;&gt;"SAMPLE",Config!$B$19="Y")),IFERROR(N(INDEX(Clay_Brands!$A$2:$FZ$601,445,Sync!$D$13)),0),"")</f>
        <v/>
      </c>
      <c r="C5096" s="17">
        <f>IF(B5096="","","brand")</f>
        <v/>
      </c>
      <c r="D5096" s="17">
        <f>IF(B5096="","",IFERROR(INDEX(Clay_Brands!$A$2:$FZ$601,445,Sync!$D$5)&amp;"",""))</f>
        <v/>
      </c>
      <c r="E5096" s="17">
        <f>IF(B5096="","",IFERROR(INDEX(Clay_Brands!$A$2:$FZ$601,445,Sync!$D$6)&amp;"",""))</f>
        <v/>
      </c>
      <c r="F5096" s="17">
        <f>IF(B5096="","","outreach_sent")</f>
        <v/>
      </c>
      <c r="G5096" s="17">
        <f>IF(B5096="","","")</f>
        <v/>
      </c>
      <c r="H5096" s="17">
        <f>IF(B5096="","","")</f>
        <v/>
      </c>
      <c r="I5096" s="17">
        <f>IF(B5096="","","")</f>
        <v/>
      </c>
      <c r="J5096" s="17">
        <f>IF(B5096="","","touch_3; "&amp;IFERROR(INDEX(Clay_Brands!$A$2:$FZ$601,445,Sync!$D$10)&amp;"","")&amp;"; "&amp;IFERROR(INDEX(Clay_Brands!$A$2:$FZ$601,445,Sync!$D$9)&amp;"",""))</f>
        <v/>
      </c>
      <c r="K5096" t="inlineStr">
        <is>
          <t>brand outreach touch 3</t>
        </is>
      </c>
    </row>
    <row r="5097">
      <c r="A5097" s="17">
        <f>IF(B5097="","",B5097+(17*1000+446)/10000000)</f>
        <v/>
      </c>
      <c r="B5097" s="23">
        <f>IF(AND(IFERROR(N(INDEX(Clay_Brands!$A$2:$FZ$601,446,Sync!$D$13)),0)&gt;0,IFERROR(INDEX(Clay_Brands!$A$2:$FZ$601,446,Sync!$D$5)&amp;"","")&lt;&gt;"",OR(LEFT(IFERROR(INDEX(Clay_Brands!$A$2:$FZ$601,446,Sync!$D$5)&amp;"",""),6)&lt;&gt;"SAMPLE",Config!$B$19="Y")),IFERROR(N(INDEX(Clay_Brands!$A$2:$FZ$601,446,Sync!$D$13)),0),"")</f>
        <v/>
      </c>
      <c r="C5097" s="17">
        <f>IF(B5097="","","brand")</f>
        <v/>
      </c>
      <c r="D5097" s="17">
        <f>IF(B5097="","",IFERROR(INDEX(Clay_Brands!$A$2:$FZ$601,446,Sync!$D$5)&amp;"",""))</f>
        <v/>
      </c>
      <c r="E5097" s="17">
        <f>IF(B5097="","",IFERROR(INDEX(Clay_Brands!$A$2:$FZ$601,446,Sync!$D$6)&amp;"",""))</f>
        <v/>
      </c>
      <c r="F5097" s="17">
        <f>IF(B5097="","","outreach_sent")</f>
        <v/>
      </c>
      <c r="G5097" s="17">
        <f>IF(B5097="","","")</f>
        <v/>
      </c>
      <c r="H5097" s="17">
        <f>IF(B5097="","","")</f>
        <v/>
      </c>
      <c r="I5097" s="17">
        <f>IF(B5097="","","")</f>
        <v/>
      </c>
      <c r="J5097" s="17">
        <f>IF(B5097="","","touch_3; "&amp;IFERROR(INDEX(Clay_Brands!$A$2:$FZ$601,446,Sync!$D$10)&amp;"","")&amp;"; "&amp;IFERROR(INDEX(Clay_Brands!$A$2:$FZ$601,446,Sync!$D$9)&amp;"",""))</f>
        <v/>
      </c>
      <c r="K5097" t="inlineStr">
        <is>
          <t>brand outreach touch 3</t>
        </is>
      </c>
    </row>
    <row r="5098">
      <c r="A5098" s="17">
        <f>IF(B5098="","",B5098+(17*1000+447)/10000000)</f>
        <v/>
      </c>
      <c r="B5098" s="23">
        <f>IF(AND(IFERROR(N(INDEX(Clay_Brands!$A$2:$FZ$601,447,Sync!$D$13)),0)&gt;0,IFERROR(INDEX(Clay_Brands!$A$2:$FZ$601,447,Sync!$D$5)&amp;"","")&lt;&gt;"",OR(LEFT(IFERROR(INDEX(Clay_Brands!$A$2:$FZ$601,447,Sync!$D$5)&amp;"",""),6)&lt;&gt;"SAMPLE",Config!$B$19="Y")),IFERROR(N(INDEX(Clay_Brands!$A$2:$FZ$601,447,Sync!$D$13)),0),"")</f>
        <v/>
      </c>
      <c r="C5098" s="17">
        <f>IF(B5098="","","brand")</f>
        <v/>
      </c>
      <c r="D5098" s="17">
        <f>IF(B5098="","",IFERROR(INDEX(Clay_Brands!$A$2:$FZ$601,447,Sync!$D$5)&amp;"",""))</f>
        <v/>
      </c>
      <c r="E5098" s="17">
        <f>IF(B5098="","",IFERROR(INDEX(Clay_Brands!$A$2:$FZ$601,447,Sync!$D$6)&amp;"",""))</f>
        <v/>
      </c>
      <c r="F5098" s="17">
        <f>IF(B5098="","","outreach_sent")</f>
        <v/>
      </c>
      <c r="G5098" s="17">
        <f>IF(B5098="","","")</f>
        <v/>
      </c>
      <c r="H5098" s="17">
        <f>IF(B5098="","","")</f>
        <v/>
      </c>
      <c r="I5098" s="17">
        <f>IF(B5098="","","")</f>
        <v/>
      </c>
      <c r="J5098" s="17">
        <f>IF(B5098="","","touch_3; "&amp;IFERROR(INDEX(Clay_Brands!$A$2:$FZ$601,447,Sync!$D$10)&amp;"","")&amp;"; "&amp;IFERROR(INDEX(Clay_Brands!$A$2:$FZ$601,447,Sync!$D$9)&amp;"",""))</f>
        <v/>
      </c>
      <c r="K5098" t="inlineStr">
        <is>
          <t>brand outreach touch 3</t>
        </is>
      </c>
    </row>
    <row r="5099">
      <c r="A5099" s="17">
        <f>IF(B5099="","",B5099+(17*1000+448)/10000000)</f>
        <v/>
      </c>
      <c r="B5099" s="23">
        <f>IF(AND(IFERROR(N(INDEX(Clay_Brands!$A$2:$FZ$601,448,Sync!$D$13)),0)&gt;0,IFERROR(INDEX(Clay_Brands!$A$2:$FZ$601,448,Sync!$D$5)&amp;"","")&lt;&gt;"",OR(LEFT(IFERROR(INDEX(Clay_Brands!$A$2:$FZ$601,448,Sync!$D$5)&amp;"",""),6)&lt;&gt;"SAMPLE",Config!$B$19="Y")),IFERROR(N(INDEX(Clay_Brands!$A$2:$FZ$601,448,Sync!$D$13)),0),"")</f>
        <v/>
      </c>
      <c r="C5099" s="17">
        <f>IF(B5099="","","brand")</f>
        <v/>
      </c>
      <c r="D5099" s="17">
        <f>IF(B5099="","",IFERROR(INDEX(Clay_Brands!$A$2:$FZ$601,448,Sync!$D$5)&amp;"",""))</f>
        <v/>
      </c>
      <c r="E5099" s="17">
        <f>IF(B5099="","",IFERROR(INDEX(Clay_Brands!$A$2:$FZ$601,448,Sync!$D$6)&amp;"",""))</f>
        <v/>
      </c>
      <c r="F5099" s="17">
        <f>IF(B5099="","","outreach_sent")</f>
        <v/>
      </c>
      <c r="G5099" s="17">
        <f>IF(B5099="","","")</f>
        <v/>
      </c>
      <c r="H5099" s="17">
        <f>IF(B5099="","","")</f>
        <v/>
      </c>
      <c r="I5099" s="17">
        <f>IF(B5099="","","")</f>
        <v/>
      </c>
      <c r="J5099" s="17">
        <f>IF(B5099="","","touch_3; "&amp;IFERROR(INDEX(Clay_Brands!$A$2:$FZ$601,448,Sync!$D$10)&amp;"","")&amp;"; "&amp;IFERROR(INDEX(Clay_Brands!$A$2:$FZ$601,448,Sync!$D$9)&amp;"",""))</f>
        <v/>
      </c>
      <c r="K5099" t="inlineStr">
        <is>
          <t>brand outreach touch 3</t>
        </is>
      </c>
    </row>
    <row r="5100">
      <c r="A5100" s="17">
        <f>IF(B5100="","",B5100+(17*1000+449)/10000000)</f>
        <v/>
      </c>
      <c r="B5100" s="23">
        <f>IF(AND(IFERROR(N(INDEX(Clay_Brands!$A$2:$FZ$601,449,Sync!$D$13)),0)&gt;0,IFERROR(INDEX(Clay_Brands!$A$2:$FZ$601,449,Sync!$D$5)&amp;"","")&lt;&gt;"",OR(LEFT(IFERROR(INDEX(Clay_Brands!$A$2:$FZ$601,449,Sync!$D$5)&amp;"",""),6)&lt;&gt;"SAMPLE",Config!$B$19="Y")),IFERROR(N(INDEX(Clay_Brands!$A$2:$FZ$601,449,Sync!$D$13)),0),"")</f>
        <v/>
      </c>
      <c r="C5100" s="17">
        <f>IF(B5100="","","brand")</f>
        <v/>
      </c>
      <c r="D5100" s="17">
        <f>IF(B5100="","",IFERROR(INDEX(Clay_Brands!$A$2:$FZ$601,449,Sync!$D$5)&amp;"",""))</f>
        <v/>
      </c>
      <c r="E5100" s="17">
        <f>IF(B5100="","",IFERROR(INDEX(Clay_Brands!$A$2:$FZ$601,449,Sync!$D$6)&amp;"",""))</f>
        <v/>
      </c>
      <c r="F5100" s="17">
        <f>IF(B5100="","","outreach_sent")</f>
        <v/>
      </c>
      <c r="G5100" s="17">
        <f>IF(B5100="","","")</f>
        <v/>
      </c>
      <c r="H5100" s="17">
        <f>IF(B5100="","","")</f>
        <v/>
      </c>
      <c r="I5100" s="17">
        <f>IF(B5100="","","")</f>
        <v/>
      </c>
      <c r="J5100" s="17">
        <f>IF(B5100="","","touch_3; "&amp;IFERROR(INDEX(Clay_Brands!$A$2:$FZ$601,449,Sync!$D$10)&amp;"","")&amp;"; "&amp;IFERROR(INDEX(Clay_Brands!$A$2:$FZ$601,449,Sync!$D$9)&amp;"",""))</f>
        <v/>
      </c>
      <c r="K5100" t="inlineStr">
        <is>
          <t>brand outreach touch 3</t>
        </is>
      </c>
    </row>
    <row r="5101">
      <c r="A5101" s="17">
        <f>IF(B5101="","",B5101+(17*1000+450)/10000000)</f>
        <v/>
      </c>
      <c r="B5101" s="23">
        <f>IF(AND(IFERROR(N(INDEX(Clay_Brands!$A$2:$FZ$601,450,Sync!$D$13)),0)&gt;0,IFERROR(INDEX(Clay_Brands!$A$2:$FZ$601,450,Sync!$D$5)&amp;"","")&lt;&gt;"",OR(LEFT(IFERROR(INDEX(Clay_Brands!$A$2:$FZ$601,450,Sync!$D$5)&amp;"",""),6)&lt;&gt;"SAMPLE",Config!$B$19="Y")),IFERROR(N(INDEX(Clay_Brands!$A$2:$FZ$601,450,Sync!$D$13)),0),"")</f>
        <v/>
      </c>
      <c r="C5101" s="17">
        <f>IF(B5101="","","brand")</f>
        <v/>
      </c>
      <c r="D5101" s="17">
        <f>IF(B5101="","",IFERROR(INDEX(Clay_Brands!$A$2:$FZ$601,450,Sync!$D$5)&amp;"",""))</f>
        <v/>
      </c>
      <c r="E5101" s="17">
        <f>IF(B5101="","",IFERROR(INDEX(Clay_Brands!$A$2:$FZ$601,450,Sync!$D$6)&amp;"",""))</f>
        <v/>
      </c>
      <c r="F5101" s="17">
        <f>IF(B5101="","","outreach_sent")</f>
        <v/>
      </c>
      <c r="G5101" s="17">
        <f>IF(B5101="","","")</f>
        <v/>
      </c>
      <c r="H5101" s="17">
        <f>IF(B5101="","","")</f>
        <v/>
      </c>
      <c r="I5101" s="17">
        <f>IF(B5101="","","")</f>
        <v/>
      </c>
      <c r="J5101" s="17">
        <f>IF(B5101="","","touch_3; "&amp;IFERROR(INDEX(Clay_Brands!$A$2:$FZ$601,450,Sync!$D$10)&amp;"","")&amp;"; "&amp;IFERROR(INDEX(Clay_Brands!$A$2:$FZ$601,450,Sync!$D$9)&amp;"",""))</f>
        <v/>
      </c>
      <c r="K5101" t="inlineStr">
        <is>
          <t>brand outreach touch 3</t>
        </is>
      </c>
    </row>
    <row r="5102">
      <c r="A5102" s="17">
        <f>IF(B5102="","",B5102+(17*1000+451)/10000000)</f>
        <v/>
      </c>
      <c r="B5102" s="23">
        <f>IF(AND(IFERROR(N(INDEX(Clay_Brands!$A$2:$FZ$601,451,Sync!$D$13)),0)&gt;0,IFERROR(INDEX(Clay_Brands!$A$2:$FZ$601,451,Sync!$D$5)&amp;"","")&lt;&gt;"",OR(LEFT(IFERROR(INDEX(Clay_Brands!$A$2:$FZ$601,451,Sync!$D$5)&amp;"",""),6)&lt;&gt;"SAMPLE",Config!$B$19="Y")),IFERROR(N(INDEX(Clay_Brands!$A$2:$FZ$601,451,Sync!$D$13)),0),"")</f>
        <v/>
      </c>
      <c r="C5102" s="17">
        <f>IF(B5102="","","brand")</f>
        <v/>
      </c>
      <c r="D5102" s="17">
        <f>IF(B5102="","",IFERROR(INDEX(Clay_Brands!$A$2:$FZ$601,451,Sync!$D$5)&amp;"",""))</f>
        <v/>
      </c>
      <c r="E5102" s="17">
        <f>IF(B5102="","",IFERROR(INDEX(Clay_Brands!$A$2:$FZ$601,451,Sync!$D$6)&amp;"",""))</f>
        <v/>
      </c>
      <c r="F5102" s="17">
        <f>IF(B5102="","","outreach_sent")</f>
        <v/>
      </c>
      <c r="G5102" s="17">
        <f>IF(B5102="","","")</f>
        <v/>
      </c>
      <c r="H5102" s="17">
        <f>IF(B5102="","","")</f>
        <v/>
      </c>
      <c r="I5102" s="17">
        <f>IF(B5102="","","")</f>
        <v/>
      </c>
      <c r="J5102" s="17">
        <f>IF(B5102="","","touch_3; "&amp;IFERROR(INDEX(Clay_Brands!$A$2:$FZ$601,451,Sync!$D$10)&amp;"","")&amp;"; "&amp;IFERROR(INDEX(Clay_Brands!$A$2:$FZ$601,451,Sync!$D$9)&amp;"",""))</f>
        <v/>
      </c>
      <c r="K5102" t="inlineStr">
        <is>
          <t>brand outreach touch 3</t>
        </is>
      </c>
    </row>
    <row r="5103">
      <c r="A5103" s="17">
        <f>IF(B5103="","",B5103+(17*1000+452)/10000000)</f>
        <v/>
      </c>
      <c r="B5103" s="23">
        <f>IF(AND(IFERROR(N(INDEX(Clay_Brands!$A$2:$FZ$601,452,Sync!$D$13)),0)&gt;0,IFERROR(INDEX(Clay_Brands!$A$2:$FZ$601,452,Sync!$D$5)&amp;"","")&lt;&gt;"",OR(LEFT(IFERROR(INDEX(Clay_Brands!$A$2:$FZ$601,452,Sync!$D$5)&amp;"",""),6)&lt;&gt;"SAMPLE",Config!$B$19="Y")),IFERROR(N(INDEX(Clay_Brands!$A$2:$FZ$601,452,Sync!$D$13)),0),"")</f>
        <v/>
      </c>
      <c r="C5103" s="17">
        <f>IF(B5103="","","brand")</f>
        <v/>
      </c>
      <c r="D5103" s="17">
        <f>IF(B5103="","",IFERROR(INDEX(Clay_Brands!$A$2:$FZ$601,452,Sync!$D$5)&amp;"",""))</f>
        <v/>
      </c>
      <c r="E5103" s="17">
        <f>IF(B5103="","",IFERROR(INDEX(Clay_Brands!$A$2:$FZ$601,452,Sync!$D$6)&amp;"",""))</f>
        <v/>
      </c>
      <c r="F5103" s="17">
        <f>IF(B5103="","","outreach_sent")</f>
        <v/>
      </c>
      <c r="G5103" s="17">
        <f>IF(B5103="","","")</f>
        <v/>
      </c>
      <c r="H5103" s="17">
        <f>IF(B5103="","","")</f>
        <v/>
      </c>
      <c r="I5103" s="17">
        <f>IF(B5103="","","")</f>
        <v/>
      </c>
      <c r="J5103" s="17">
        <f>IF(B5103="","","touch_3; "&amp;IFERROR(INDEX(Clay_Brands!$A$2:$FZ$601,452,Sync!$D$10)&amp;"","")&amp;"; "&amp;IFERROR(INDEX(Clay_Brands!$A$2:$FZ$601,452,Sync!$D$9)&amp;"",""))</f>
        <v/>
      </c>
      <c r="K5103" t="inlineStr">
        <is>
          <t>brand outreach touch 3</t>
        </is>
      </c>
    </row>
    <row r="5104">
      <c r="A5104" s="17">
        <f>IF(B5104="","",B5104+(17*1000+453)/10000000)</f>
        <v/>
      </c>
      <c r="B5104" s="23">
        <f>IF(AND(IFERROR(N(INDEX(Clay_Brands!$A$2:$FZ$601,453,Sync!$D$13)),0)&gt;0,IFERROR(INDEX(Clay_Brands!$A$2:$FZ$601,453,Sync!$D$5)&amp;"","")&lt;&gt;"",OR(LEFT(IFERROR(INDEX(Clay_Brands!$A$2:$FZ$601,453,Sync!$D$5)&amp;"",""),6)&lt;&gt;"SAMPLE",Config!$B$19="Y")),IFERROR(N(INDEX(Clay_Brands!$A$2:$FZ$601,453,Sync!$D$13)),0),"")</f>
        <v/>
      </c>
      <c r="C5104" s="17">
        <f>IF(B5104="","","brand")</f>
        <v/>
      </c>
      <c r="D5104" s="17">
        <f>IF(B5104="","",IFERROR(INDEX(Clay_Brands!$A$2:$FZ$601,453,Sync!$D$5)&amp;"",""))</f>
        <v/>
      </c>
      <c r="E5104" s="17">
        <f>IF(B5104="","",IFERROR(INDEX(Clay_Brands!$A$2:$FZ$601,453,Sync!$D$6)&amp;"",""))</f>
        <v/>
      </c>
      <c r="F5104" s="17">
        <f>IF(B5104="","","outreach_sent")</f>
        <v/>
      </c>
      <c r="G5104" s="17">
        <f>IF(B5104="","","")</f>
        <v/>
      </c>
      <c r="H5104" s="17">
        <f>IF(B5104="","","")</f>
        <v/>
      </c>
      <c r="I5104" s="17">
        <f>IF(B5104="","","")</f>
        <v/>
      </c>
      <c r="J5104" s="17">
        <f>IF(B5104="","","touch_3; "&amp;IFERROR(INDEX(Clay_Brands!$A$2:$FZ$601,453,Sync!$D$10)&amp;"","")&amp;"; "&amp;IFERROR(INDEX(Clay_Brands!$A$2:$FZ$601,453,Sync!$D$9)&amp;"",""))</f>
        <v/>
      </c>
      <c r="K5104" t="inlineStr">
        <is>
          <t>brand outreach touch 3</t>
        </is>
      </c>
    </row>
    <row r="5105">
      <c r="A5105" s="17">
        <f>IF(B5105="","",B5105+(17*1000+454)/10000000)</f>
        <v/>
      </c>
      <c r="B5105" s="23">
        <f>IF(AND(IFERROR(N(INDEX(Clay_Brands!$A$2:$FZ$601,454,Sync!$D$13)),0)&gt;0,IFERROR(INDEX(Clay_Brands!$A$2:$FZ$601,454,Sync!$D$5)&amp;"","")&lt;&gt;"",OR(LEFT(IFERROR(INDEX(Clay_Brands!$A$2:$FZ$601,454,Sync!$D$5)&amp;"",""),6)&lt;&gt;"SAMPLE",Config!$B$19="Y")),IFERROR(N(INDEX(Clay_Brands!$A$2:$FZ$601,454,Sync!$D$13)),0),"")</f>
        <v/>
      </c>
      <c r="C5105" s="17">
        <f>IF(B5105="","","brand")</f>
        <v/>
      </c>
      <c r="D5105" s="17">
        <f>IF(B5105="","",IFERROR(INDEX(Clay_Brands!$A$2:$FZ$601,454,Sync!$D$5)&amp;"",""))</f>
        <v/>
      </c>
      <c r="E5105" s="17">
        <f>IF(B5105="","",IFERROR(INDEX(Clay_Brands!$A$2:$FZ$601,454,Sync!$D$6)&amp;"",""))</f>
        <v/>
      </c>
      <c r="F5105" s="17">
        <f>IF(B5105="","","outreach_sent")</f>
        <v/>
      </c>
      <c r="G5105" s="17">
        <f>IF(B5105="","","")</f>
        <v/>
      </c>
      <c r="H5105" s="17">
        <f>IF(B5105="","","")</f>
        <v/>
      </c>
      <c r="I5105" s="17">
        <f>IF(B5105="","","")</f>
        <v/>
      </c>
      <c r="J5105" s="17">
        <f>IF(B5105="","","touch_3; "&amp;IFERROR(INDEX(Clay_Brands!$A$2:$FZ$601,454,Sync!$D$10)&amp;"","")&amp;"; "&amp;IFERROR(INDEX(Clay_Brands!$A$2:$FZ$601,454,Sync!$D$9)&amp;"",""))</f>
        <v/>
      </c>
      <c r="K5105" t="inlineStr">
        <is>
          <t>brand outreach touch 3</t>
        </is>
      </c>
    </row>
    <row r="5106">
      <c r="A5106" s="17">
        <f>IF(B5106="","",B5106+(17*1000+455)/10000000)</f>
        <v/>
      </c>
      <c r="B5106" s="23">
        <f>IF(AND(IFERROR(N(INDEX(Clay_Brands!$A$2:$FZ$601,455,Sync!$D$13)),0)&gt;0,IFERROR(INDEX(Clay_Brands!$A$2:$FZ$601,455,Sync!$D$5)&amp;"","")&lt;&gt;"",OR(LEFT(IFERROR(INDEX(Clay_Brands!$A$2:$FZ$601,455,Sync!$D$5)&amp;"",""),6)&lt;&gt;"SAMPLE",Config!$B$19="Y")),IFERROR(N(INDEX(Clay_Brands!$A$2:$FZ$601,455,Sync!$D$13)),0),"")</f>
        <v/>
      </c>
      <c r="C5106" s="17">
        <f>IF(B5106="","","brand")</f>
        <v/>
      </c>
      <c r="D5106" s="17">
        <f>IF(B5106="","",IFERROR(INDEX(Clay_Brands!$A$2:$FZ$601,455,Sync!$D$5)&amp;"",""))</f>
        <v/>
      </c>
      <c r="E5106" s="17">
        <f>IF(B5106="","",IFERROR(INDEX(Clay_Brands!$A$2:$FZ$601,455,Sync!$D$6)&amp;"",""))</f>
        <v/>
      </c>
      <c r="F5106" s="17">
        <f>IF(B5106="","","outreach_sent")</f>
        <v/>
      </c>
      <c r="G5106" s="17">
        <f>IF(B5106="","","")</f>
        <v/>
      </c>
      <c r="H5106" s="17">
        <f>IF(B5106="","","")</f>
        <v/>
      </c>
      <c r="I5106" s="17">
        <f>IF(B5106="","","")</f>
        <v/>
      </c>
      <c r="J5106" s="17">
        <f>IF(B5106="","","touch_3; "&amp;IFERROR(INDEX(Clay_Brands!$A$2:$FZ$601,455,Sync!$D$10)&amp;"","")&amp;"; "&amp;IFERROR(INDEX(Clay_Brands!$A$2:$FZ$601,455,Sync!$D$9)&amp;"",""))</f>
        <v/>
      </c>
      <c r="K5106" t="inlineStr">
        <is>
          <t>brand outreach touch 3</t>
        </is>
      </c>
    </row>
    <row r="5107">
      <c r="A5107" s="17">
        <f>IF(B5107="","",B5107+(17*1000+456)/10000000)</f>
        <v/>
      </c>
      <c r="B5107" s="23">
        <f>IF(AND(IFERROR(N(INDEX(Clay_Brands!$A$2:$FZ$601,456,Sync!$D$13)),0)&gt;0,IFERROR(INDEX(Clay_Brands!$A$2:$FZ$601,456,Sync!$D$5)&amp;"","")&lt;&gt;"",OR(LEFT(IFERROR(INDEX(Clay_Brands!$A$2:$FZ$601,456,Sync!$D$5)&amp;"",""),6)&lt;&gt;"SAMPLE",Config!$B$19="Y")),IFERROR(N(INDEX(Clay_Brands!$A$2:$FZ$601,456,Sync!$D$13)),0),"")</f>
        <v/>
      </c>
      <c r="C5107" s="17">
        <f>IF(B5107="","","brand")</f>
        <v/>
      </c>
      <c r="D5107" s="17">
        <f>IF(B5107="","",IFERROR(INDEX(Clay_Brands!$A$2:$FZ$601,456,Sync!$D$5)&amp;"",""))</f>
        <v/>
      </c>
      <c r="E5107" s="17">
        <f>IF(B5107="","",IFERROR(INDEX(Clay_Brands!$A$2:$FZ$601,456,Sync!$D$6)&amp;"",""))</f>
        <v/>
      </c>
      <c r="F5107" s="17">
        <f>IF(B5107="","","outreach_sent")</f>
        <v/>
      </c>
      <c r="G5107" s="17">
        <f>IF(B5107="","","")</f>
        <v/>
      </c>
      <c r="H5107" s="17">
        <f>IF(B5107="","","")</f>
        <v/>
      </c>
      <c r="I5107" s="17">
        <f>IF(B5107="","","")</f>
        <v/>
      </c>
      <c r="J5107" s="17">
        <f>IF(B5107="","","touch_3; "&amp;IFERROR(INDEX(Clay_Brands!$A$2:$FZ$601,456,Sync!$D$10)&amp;"","")&amp;"; "&amp;IFERROR(INDEX(Clay_Brands!$A$2:$FZ$601,456,Sync!$D$9)&amp;"",""))</f>
        <v/>
      </c>
      <c r="K5107" t="inlineStr">
        <is>
          <t>brand outreach touch 3</t>
        </is>
      </c>
    </row>
    <row r="5108">
      <c r="A5108" s="17">
        <f>IF(B5108="","",B5108+(17*1000+457)/10000000)</f>
        <v/>
      </c>
      <c r="B5108" s="23">
        <f>IF(AND(IFERROR(N(INDEX(Clay_Brands!$A$2:$FZ$601,457,Sync!$D$13)),0)&gt;0,IFERROR(INDEX(Clay_Brands!$A$2:$FZ$601,457,Sync!$D$5)&amp;"","")&lt;&gt;"",OR(LEFT(IFERROR(INDEX(Clay_Brands!$A$2:$FZ$601,457,Sync!$D$5)&amp;"",""),6)&lt;&gt;"SAMPLE",Config!$B$19="Y")),IFERROR(N(INDEX(Clay_Brands!$A$2:$FZ$601,457,Sync!$D$13)),0),"")</f>
        <v/>
      </c>
      <c r="C5108" s="17">
        <f>IF(B5108="","","brand")</f>
        <v/>
      </c>
      <c r="D5108" s="17">
        <f>IF(B5108="","",IFERROR(INDEX(Clay_Brands!$A$2:$FZ$601,457,Sync!$D$5)&amp;"",""))</f>
        <v/>
      </c>
      <c r="E5108" s="17">
        <f>IF(B5108="","",IFERROR(INDEX(Clay_Brands!$A$2:$FZ$601,457,Sync!$D$6)&amp;"",""))</f>
        <v/>
      </c>
      <c r="F5108" s="17">
        <f>IF(B5108="","","outreach_sent")</f>
        <v/>
      </c>
      <c r="G5108" s="17">
        <f>IF(B5108="","","")</f>
        <v/>
      </c>
      <c r="H5108" s="17">
        <f>IF(B5108="","","")</f>
        <v/>
      </c>
      <c r="I5108" s="17">
        <f>IF(B5108="","","")</f>
        <v/>
      </c>
      <c r="J5108" s="17">
        <f>IF(B5108="","","touch_3; "&amp;IFERROR(INDEX(Clay_Brands!$A$2:$FZ$601,457,Sync!$D$10)&amp;"","")&amp;"; "&amp;IFERROR(INDEX(Clay_Brands!$A$2:$FZ$601,457,Sync!$D$9)&amp;"",""))</f>
        <v/>
      </c>
      <c r="K5108" t="inlineStr">
        <is>
          <t>brand outreach touch 3</t>
        </is>
      </c>
    </row>
    <row r="5109">
      <c r="A5109" s="17">
        <f>IF(B5109="","",B5109+(17*1000+458)/10000000)</f>
        <v/>
      </c>
      <c r="B5109" s="23">
        <f>IF(AND(IFERROR(N(INDEX(Clay_Brands!$A$2:$FZ$601,458,Sync!$D$13)),0)&gt;0,IFERROR(INDEX(Clay_Brands!$A$2:$FZ$601,458,Sync!$D$5)&amp;"","")&lt;&gt;"",OR(LEFT(IFERROR(INDEX(Clay_Brands!$A$2:$FZ$601,458,Sync!$D$5)&amp;"",""),6)&lt;&gt;"SAMPLE",Config!$B$19="Y")),IFERROR(N(INDEX(Clay_Brands!$A$2:$FZ$601,458,Sync!$D$13)),0),"")</f>
        <v/>
      </c>
      <c r="C5109" s="17">
        <f>IF(B5109="","","brand")</f>
        <v/>
      </c>
      <c r="D5109" s="17">
        <f>IF(B5109="","",IFERROR(INDEX(Clay_Brands!$A$2:$FZ$601,458,Sync!$D$5)&amp;"",""))</f>
        <v/>
      </c>
      <c r="E5109" s="17">
        <f>IF(B5109="","",IFERROR(INDEX(Clay_Brands!$A$2:$FZ$601,458,Sync!$D$6)&amp;"",""))</f>
        <v/>
      </c>
      <c r="F5109" s="17">
        <f>IF(B5109="","","outreach_sent")</f>
        <v/>
      </c>
      <c r="G5109" s="17">
        <f>IF(B5109="","","")</f>
        <v/>
      </c>
      <c r="H5109" s="17">
        <f>IF(B5109="","","")</f>
        <v/>
      </c>
      <c r="I5109" s="17">
        <f>IF(B5109="","","")</f>
        <v/>
      </c>
      <c r="J5109" s="17">
        <f>IF(B5109="","","touch_3; "&amp;IFERROR(INDEX(Clay_Brands!$A$2:$FZ$601,458,Sync!$D$10)&amp;"","")&amp;"; "&amp;IFERROR(INDEX(Clay_Brands!$A$2:$FZ$601,458,Sync!$D$9)&amp;"",""))</f>
        <v/>
      </c>
      <c r="K5109" t="inlineStr">
        <is>
          <t>brand outreach touch 3</t>
        </is>
      </c>
    </row>
    <row r="5110">
      <c r="A5110" s="17">
        <f>IF(B5110="","",B5110+(17*1000+459)/10000000)</f>
        <v/>
      </c>
      <c r="B5110" s="23">
        <f>IF(AND(IFERROR(N(INDEX(Clay_Brands!$A$2:$FZ$601,459,Sync!$D$13)),0)&gt;0,IFERROR(INDEX(Clay_Brands!$A$2:$FZ$601,459,Sync!$D$5)&amp;"","")&lt;&gt;"",OR(LEFT(IFERROR(INDEX(Clay_Brands!$A$2:$FZ$601,459,Sync!$D$5)&amp;"",""),6)&lt;&gt;"SAMPLE",Config!$B$19="Y")),IFERROR(N(INDEX(Clay_Brands!$A$2:$FZ$601,459,Sync!$D$13)),0),"")</f>
        <v/>
      </c>
      <c r="C5110" s="17">
        <f>IF(B5110="","","brand")</f>
        <v/>
      </c>
      <c r="D5110" s="17">
        <f>IF(B5110="","",IFERROR(INDEX(Clay_Brands!$A$2:$FZ$601,459,Sync!$D$5)&amp;"",""))</f>
        <v/>
      </c>
      <c r="E5110" s="17">
        <f>IF(B5110="","",IFERROR(INDEX(Clay_Brands!$A$2:$FZ$601,459,Sync!$D$6)&amp;"",""))</f>
        <v/>
      </c>
      <c r="F5110" s="17">
        <f>IF(B5110="","","outreach_sent")</f>
        <v/>
      </c>
      <c r="G5110" s="17">
        <f>IF(B5110="","","")</f>
        <v/>
      </c>
      <c r="H5110" s="17">
        <f>IF(B5110="","","")</f>
        <v/>
      </c>
      <c r="I5110" s="17">
        <f>IF(B5110="","","")</f>
        <v/>
      </c>
      <c r="J5110" s="17">
        <f>IF(B5110="","","touch_3; "&amp;IFERROR(INDEX(Clay_Brands!$A$2:$FZ$601,459,Sync!$D$10)&amp;"","")&amp;"; "&amp;IFERROR(INDEX(Clay_Brands!$A$2:$FZ$601,459,Sync!$D$9)&amp;"",""))</f>
        <v/>
      </c>
      <c r="K5110" t="inlineStr">
        <is>
          <t>brand outreach touch 3</t>
        </is>
      </c>
    </row>
    <row r="5111">
      <c r="A5111" s="17">
        <f>IF(B5111="","",B5111+(17*1000+460)/10000000)</f>
        <v/>
      </c>
      <c r="B5111" s="23">
        <f>IF(AND(IFERROR(N(INDEX(Clay_Brands!$A$2:$FZ$601,460,Sync!$D$13)),0)&gt;0,IFERROR(INDEX(Clay_Brands!$A$2:$FZ$601,460,Sync!$D$5)&amp;"","")&lt;&gt;"",OR(LEFT(IFERROR(INDEX(Clay_Brands!$A$2:$FZ$601,460,Sync!$D$5)&amp;"",""),6)&lt;&gt;"SAMPLE",Config!$B$19="Y")),IFERROR(N(INDEX(Clay_Brands!$A$2:$FZ$601,460,Sync!$D$13)),0),"")</f>
        <v/>
      </c>
      <c r="C5111" s="17">
        <f>IF(B5111="","","brand")</f>
        <v/>
      </c>
      <c r="D5111" s="17">
        <f>IF(B5111="","",IFERROR(INDEX(Clay_Brands!$A$2:$FZ$601,460,Sync!$D$5)&amp;"",""))</f>
        <v/>
      </c>
      <c r="E5111" s="17">
        <f>IF(B5111="","",IFERROR(INDEX(Clay_Brands!$A$2:$FZ$601,460,Sync!$D$6)&amp;"",""))</f>
        <v/>
      </c>
      <c r="F5111" s="17">
        <f>IF(B5111="","","outreach_sent")</f>
        <v/>
      </c>
      <c r="G5111" s="17">
        <f>IF(B5111="","","")</f>
        <v/>
      </c>
      <c r="H5111" s="17">
        <f>IF(B5111="","","")</f>
        <v/>
      </c>
      <c r="I5111" s="17">
        <f>IF(B5111="","","")</f>
        <v/>
      </c>
      <c r="J5111" s="17">
        <f>IF(B5111="","","touch_3; "&amp;IFERROR(INDEX(Clay_Brands!$A$2:$FZ$601,460,Sync!$D$10)&amp;"","")&amp;"; "&amp;IFERROR(INDEX(Clay_Brands!$A$2:$FZ$601,460,Sync!$D$9)&amp;"",""))</f>
        <v/>
      </c>
      <c r="K5111" t="inlineStr">
        <is>
          <t>brand outreach touch 3</t>
        </is>
      </c>
    </row>
    <row r="5112">
      <c r="A5112" s="17">
        <f>IF(B5112="","",B5112+(17*1000+461)/10000000)</f>
        <v/>
      </c>
      <c r="B5112" s="23">
        <f>IF(AND(IFERROR(N(INDEX(Clay_Brands!$A$2:$FZ$601,461,Sync!$D$13)),0)&gt;0,IFERROR(INDEX(Clay_Brands!$A$2:$FZ$601,461,Sync!$D$5)&amp;"","")&lt;&gt;"",OR(LEFT(IFERROR(INDEX(Clay_Brands!$A$2:$FZ$601,461,Sync!$D$5)&amp;"",""),6)&lt;&gt;"SAMPLE",Config!$B$19="Y")),IFERROR(N(INDEX(Clay_Brands!$A$2:$FZ$601,461,Sync!$D$13)),0),"")</f>
        <v/>
      </c>
      <c r="C5112" s="17">
        <f>IF(B5112="","","brand")</f>
        <v/>
      </c>
      <c r="D5112" s="17">
        <f>IF(B5112="","",IFERROR(INDEX(Clay_Brands!$A$2:$FZ$601,461,Sync!$D$5)&amp;"",""))</f>
        <v/>
      </c>
      <c r="E5112" s="17">
        <f>IF(B5112="","",IFERROR(INDEX(Clay_Brands!$A$2:$FZ$601,461,Sync!$D$6)&amp;"",""))</f>
        <v/>
      </c>
      <c r="F5112" s="17">
        <f>IF(B5112="","","outreach_sent")</f>
        <v/>
      </c>
      <c r="G5112" s="17">
        <f>IF(B5112="","","")</f>
        <v/>
      </c>
      <c r="H5112" s="17">
        <f>IF(B5112="","","")</f>
        <v/>
      </c>
      <c r="I5112" s="17">
        <f>IF(B5112="","","")</f>
        <v/>
      </c>
      <c r="J5112" s="17">
        <f>IF(B5112="","","touch_3; "&amp;IFERROR(INDEX(Clay_Brands!$A$2:$FZ$601,461,Sync!$D$10)&amp;"","")&amp;"; "&amp;IFERROR(INDEX(Clay_Brands!$A$2:$FZ$601,461,Sync!$D$9)&amp;"",""))</f>
        <v/>
      </c>
      <c r="K5112" t="inlineStr">
        <is>
          <t>brand outreach touch 3</t>
        </is>
      </c>
    </row>
    <row r="5113">
      <c r="A5113" s="17">
        <f>IF(B5113="","",B5113+(17*1000+462)/10000000)</f>
        <v/>
      </c>
      <c r="B5113" s="23">
        <f>IF(AND(IFERROR(N(INDEX(Clay_Brands!$A$2:$FZ$601,462,Sync!$D$13)),0)&gt;0,IFERROR(INDEX(Clay_Brands!$A$2:$FZ$601,462,Sync!$D$5)&amp;"","")&lt;&gt;"",OR(LEFT(IFERROR(INDEX(Clay_Brands!$A$2:$FZ$601,462,Sync!$D$5)&amp;"",""),6)&lt;&gt;"SAMPLE",Config!$B$19="Y")),IFERROR(N(INDEX(Clay_Brands!$A$2:$FZ$601,462,Sync!$D$13)),0),"")</f>
        <v/>
      </c>
      <c r="C5113" s="17">
        <f>IF(B5113="","","brand")</f>
        <v/>
      </c>
      <c r="D5113" s="17">
        <f>IF(B5113="","",IFERROR(INDEX(Clay_Brands!$A$2:$FZ$601,462,Sync!$D$5)&amp;"",""))</f>
        <v/>
      </c>
      <c r="E5113" s="17">
        <f>IF(B5113="","",IFERROR(INDEX(Clay_Brands!$A$2:$FZ$601,462,Sync!$D$6)&amp;"",""))</f>
        <v/>
      </c>
      <c r="F5113" s="17">
        <f>IF(B5113="","","outreach_sent")</f>
        <v/>
      </c>
      <c r="G5113" s="17">
        <f>IF(B5113="","","")</f>
        <v/>
      </c>
      <c r="H5113" s="17">
        <f>IF(B5113="","","")</f>
        <v/>
      </c>
      <c r="I5113" s="17">
        <f>IF(B5113="","","")</f>
        <v/>
      </c>
      <c r="J5113" s="17">
        <f>IF(B5113="","","touch_3; "&amp;IFERROR(INDEX(Clay_Brands!$A$2:$FZ$601,462,Sync!$D$10)&amp;"","")&amp;"; "&amp;IFERROR(INDEX(Clay_Brands!$A$2:$FZ$601,462,Sync!$D$9)&amp;"",""))</f>
        <v/>
      </c>
      <c r="K5113" t="inlineStr">
        <is>
          <t>brand outreach touch 3</t>
        </is>
      </c>
    </row>
    <row r="5114">
      <c r="A5114" s="17">
        <f>IF(B5114="","",B5114+(17*1000+463)/10000000)</f>
        <v/>
      </c>
      <c r="B5114" s="23">
        <f>IF(AND(IFERROR(N(INDEX(Clay_Brands!$A$2:$FZ$601,463,Sync!$D$13)),0)&gt;0,IFERROR(INDEX(Clay_Brands!$A$2:$FZ$601,463,Sync!$D$5)&amp;"","")&lt;&gt;"",OR(LEFT(IFERROR(INDEX(Clay_Brands!$A$2:$FZ$601,463,Sync!$D$5)&amp;"",""),6)&lt;&gt;"SAMPLE",Config!$B$19="Y")),IFERROR(N(INDEX(Clay_Brands!$A$2:$FZ$601,463,Sync!$D$13)),0),"")</f>
        <v/>
      </c>
      <c r="C5114" s="17">
        <f>IF(B5114="","","brand")</f>
        <v/>
      </c>
      <c r="D5114" s="17">
        <f>IF(B5114="","",IFERROR(INDEX(Clay_Brands!$A$2:$FZ$601,463,Sync!$D$5)&amp;"",""))</f>
        <v/>
      </c>
      <c r="E5114" s="17">
        <f>IF(B5114="","",IFERROR(INDEX(Clay_Brands!$A$2:$FZ$601,463,Sync!$D$6)&amp;"",""))</f>
        <v/>
      </c>
      <c r="F5114" s="17">
        <f>IF(B5114="","","outreach_sent")</f>
        <v/>
      </c>
      <c r="G5114" s="17">
        <f>IF(B5114="","","")</f>
        <v/>
      </c>
      <c r="H5114" s="17">
        <f>IF(B5114="","","")</f>
        <v/>
      </c>
      <c r="I5114" s="17">
        <f>IF(B5114="","","")</f>
        <v/>
      </c>
      <c r="J5114" s="17">
        <f>IF(B5114="","","touch_3; "&amp;IFERROR(INDEX(Clay_Brands!$A$2:$FZ$601,463,Sync!$D$10)&amp;"","")&amp;"; "&amp;IFERROR(INDEX(Clay_Brands!$A$2:$FZ$601,463,Sync!$D$9)&amp;"",""))</f>
        <v/>
      </c>
      <c r="K5114" t="inlineStr">
        <is>
          <t>brand outreach touch 3</t>
        </is>
      </c>
    </row>
    <row r="5115">
      <c r="A5115" s="17">
        <f>IF(B5115="","",B5115+(17*1000+464)/10000000)</f>
        <v/>
      </c>
      <c r="B5115" s="23">
        <f>IF(AND(IFERROR(N(INDEX(Clay_Brands!$A$2:$FZ$601,464,Sync!$D$13)),0)&gt;0,IFERROR(INDEX(Clay_Brands!$A$2:$FZ$601,464,Sync!$D$5)&amp;"","")&lt;&gt;"",OR(LEFT(IFERROR(INDEX(Clay_Brands!$A$2:$FZ$601,464,Sync!$D$5)&amp;"",""),6)&lt;&gt;"SAMPLE",Config!$B$19="Y")),IFERROR(N(INDEX(Clay_Brands!$A$2:$FZ$601,464,Sync!$D$13)),0),"")</f>
        <v/>
      </c>
      <c r="C5115" s="17">
        <f>IF(B5115="","","brand")</f>
        <v/>
      </c>
      <c r="D5115" s="17">
        <f>IF(B5115="","",IFERROR(INDEX(Clay_Brands!$A$2:$FZ$601,464,Sync!$D$5)&amp;"",""))</f>
        <v/>
      </c>
      <c r="E5115" s="17">
        <f>IF(B5115="","",IFERROR(INDEX(Clay_Brands!$A$2:$FZ$601,464,Sync!$D$6)&amp;"",""))</f>
        <v/>
      </c>
      <c r="F5115" s="17">
        <f>IF(B5115="","","outreach_sent")</f>
        <v/>
      </c>
      <c r="G5115" s="17">
        <f>IF(B5115="","","")</f>
        <v/>
      </c>
      <c r="H5115" s="17">
        <f>IF(B5115="","","")</f>
        <v/>
      </c>
      <c r="I5115" s="17">
        <f>IF(B5115="","","")</f>
        <v/>
      </c>
      <c r="J5115" s="17">
        <f>IF(B5115="","","touch_3; "&amp;IFERROR(INDEX(Clay_Brands!$A$2:$FZ$601,464,Sync!$D$10)&amp;"","")&amp;"; "&amp;IFERROR(INDEX(Clay_Brands!$A$2:$FZ$601,464,Sync!$D$9)&amp;"",""))</f>
        <v/>
      </c>
      <c r="K5115" t="inlineStr">
        <is>
          <t>brand outreach touch 3</t>
        </is>
      </c>
    </row>
    <row r="5116">
      <c r="A5116" s="17">
        <f>IF(B5116="","",B5116+(17*1000+465)/10000000)</f>
        <v/>
      </c>
      <c r="B5116" s="23">
        <f>IF(AND(IFERROR(N(INDEX(Clay_Brands!$A$2:$FZ$601,465,Sync!$D$13)),0)&gt;0,IFERROR(INDEX(Clay_Brands!$A$2:$FZ$601,465,Sync!$D$5)&amp;"","")&lt;&gt;"",OR(LEFT(IFERROR(INDEX(Clay_Brands!$A$2:$FZ$601,465,Sync!$D$5)&amp;"",""),6)&lt;&gt;"SAMPLE",Config!$B$19="Y")),IFERROR(N(INDEX(Clay_Brands!$A$2:$FZ$601,465,Sync!$D$13)),0),"")</f>
        <v/>
      </c>
      <c r="C5116" s="17">
        <f>IF(B5116="","","brand")</f>
        <v/>
      </c>
      <c r="D5116" s="17">
        <f>IF(B5116="","",IFERROR(INDEX(Clay_Brands!$A$2:$FZ$601,465,Sync!$D$5)&amp;"",""))</f>
        <v/>
      </c>
      <c r="E5116" s="17">
        <f>IF(B5116="","",IFERROR(INDEX(Clay_Brands!$A$2:$FZ$601,465,Sync!$D$6)&amp;"",""))</f>
        <v/>
      </c>
      <c r="F5116" s="17">
        <f>IF(B5116="","","outreach_sent")</f>
        <v/>
      </c>
      <c r="G5116" s="17">
        <f>IF(B5116="","","")</f>
        <v/>
      </c>
      <c r="H5116" s="17">
        <f>IF(B5116="","","")</f>
        <v/>
      </c>
      <c r="I5116" s="17">
        <f>IF(B5116="","","")</f>
        <v/>
      </c>
      <c r="J5116" s="17">
        <f>IF(B5116="","","touch_3; "&amp;IFERROR(INDEX(Clay_Brands!$A$2:$FZ$601,465,Sync!$D$10)&amp;"","")&amp;"; "&amp;IFERROR(INDEX(Clay_Brands!$A$2:$FZ$601,465,Sync!$D$9)&amp;"",""))</f>
        <v/>
      </c>
      <c r="K5116" t="inlineStr">
        <is>
          <t>brand outreach touch 3</t>
        </is>
      </c>
    </row>
    <row r="5117">
      <c r="A5117" s="17">
        <f>IF(B5117="","",B5117+(17*1000+466)/10000000)</f>
        <v/>
      </c>
      <c r="B5117" s="23">
        <f>IF(AND(IFERROR(N(INDEX(Clay_Brands!$A$2:$FZ$601,466,Sync!$D$13)),0)&gt;0,IFERROR(INDEX(Clay_Brands!$A$2:$FZ$601,466,Sync!$D$5)&amp;"","")&lt;&gt;"",OR(LEFT(IFERROR(INDEX(Clay_Brands!$A$2:$FZ$601,466,Sync!$D$5)&amp;"",""),6)&lt;&gt;"SAMPLE",Config!$B$19="Y")),IFERROR(N(INDEX(Clay_Brands!$A$2:$FZ$601,466,Sync!$D$13)),0),"")</f>
        <v/>
      </c>
      <c r="C5117" s="17">
        <f>IF(B5117="","","brand")</f>
        <v/>
      </c>
      <c r="D5117" s="17">
        <f>IF(B5117="","",IFERROR(INDEX(Clay_Brands!$A$2:$FZ$601,466,Sync!$D$5)&amp;"",""))</f>
        <v/>
      </c>
      <c r="E5117" s="17">
        <f>IF(B5117="","",IFERROR(INDEX(Clay_Brands!$A$2:$FZ$601,466,Sync!$D$6)&amp;"",""))</f>
        <v/>
      </c>
      <c r="F5117" s="17">
        <f>IF(B5117="","","outreach_sent")</f>
        <v/>
      </c>
      <c r="G5117" s="17">
        <f>IF(B5117="","","")</f>
        <v/>
      </c>
      <c r="H5117" s="17">
        <f>IF(B5117="","","")</f>
        <v/>
      </c>
      <c r="I5117" s="17">
        <f>IF(B5117="","","")</f>
        <v/>
      </c>
      <c r="J5117" s="17">
        <f>IF(B5117="","","touch_3; "&amp;IFERROR(INDEX(Clay_Brands!$A$2:$FZ$601,466,Sync!$D$10)&amp;"","")&amp;"; "&amp;IFERROR(INDEX(Clay_Brands!$A$2:$FZ$601,466,Sync!$D$9)&amp;"",""))</f>
        <v/>
      </c>
      <c r="K5117" t="inlineStr">
        <is>
          <t>brand outreach touch 3</t>
        </is>
      </c>
    </row>
    <row r="5118">
      <c r="A5118" s="17">
        <f>IF(B5118="","",B5118+(17*1000+467)/10000000)</f>
        <v/>
      </c>
      <c r="B5118" s="23">
        <f>IF(AND(IFERROR(N(INDEX(Clay_Brands!$A$2:$FZ$601,467,Sync!$D$13)),0)&gt;0,IFERROR(INDEX(Clay_Brands!$A$2:$FZ$601,467,Sync!$D$5)&amp;"","")&lt;&gt;"",OR(LEFT(IFERROR(INDEX(Clay_Brands!$A$2:$FZ$601,467,Sync!$D$5)&amp;"",""),6)&lt;&gt;"SAMPLE",Config!$B$19="Y")),IFERROR(N(INDEX(Clay_Brands!$A$2:$FZ$601,467,Sync!$D$13)),0),"")</f>
        <v/>
      </c>
      <c r="C5118" s="17">
        <f>IF(B5118="","","brand")</f>
        <v/>
      </c>
      <c r="D5118" s="17">
        <f>IF(B5118="","",IFERROR(INDEX(Clay_Brands!$A$2:$FZ$601,467,Sync!$D$5)&amp;"",""))</f>
        <v/>
      </c>
      <c r="E5118" s="17">
        <f>IF(B5118="","",IFERROR(INDEX(Clay_Brands!$A$2:$FZ$601,467,Sync!$D$6)&amp;"",""))</f>
        <v/>
      </c>
      <c r="F5118" s="17">
        <f>IF(B5118="","","outreach_sent")</f>
        <v/>
      </c>
      <c r="G5118" s="17">
        <f>IF(B5118="","","")</f>
        <v/>
      </c>
      <c r="H5118" s="17">
        <f>IF(B5118="","","")</f>
        <v/>
      </c>
      <c r="I5118" s="17">
        <f>IF(B5118="","","")</f>
        <v/>
      </c>
      <c r="J5118" s="17">
        <f>IF(B5118="","","touch_3; "&amp;IFERROR(INDEX(Clay_Brands!$A$2:$FZ$601,467,Sync!$D$10)&amp;"","")&amp;"; "&amp;IFERROR(INDEX(Clay_Brands!$A$2:$FZ$601,467,Sync!$D$9)&amp;"",""))</f>
        <v/>
      </c>
      <c r="K5118" t="inlineStr">
        <is>
          <t>brand outreach touch 3</t>
        </is>
      </c>
    </row>
    <row r="5119">
      <c r="A5119" s="17">
        <f>IF(B5119="","",B5119+(17*1000+468)/10000000)</f>
        <v/>
      </c>
      <c r="B5119" s="23">
        <f>IF(AND(IFERROR(N(INDEX(Clay_Brands!$A$2:$FZ$601,468,Sync!$D$13)),0)&gt;0,IFERROR(INDEX(Clay_Brands!$A$2:$FZ$601,468,Sync!$D$5)&amp;"","")&lt;&gt;"",OR(LEFT(IFERROR(INDEX(Clay_Brands!$A$2:$FZ$601,468,Sync!$D$5)&amp;"",""),6)&lt;&gt;"SAMPLE",Config!$B$19="Y")),IFERROR(N(INDEX(Clay_Brands!$A$2:$FZ$601,468,Sync!$D$13)),0),"")</f>
        <v/>
      </c>
      <c r="C5119" s="17">
        <f>IF(B5119="","","brand")</f>
        <v/>
      </c>
      <c r="D5119" s="17">
        <f>IF(B5119="","",IFERROR(INDEX(Clay_Brands!$A$2:$FZ$601,468,Sync!$D$5)&amp;"",""))</f>
        <v/>
      </c>
      <c r="E5119" s="17">
        <f>IF(B5119="","",IFERROR(INDEX(Clay_Brands!$A$2:$FZ$601,468,Sync!$D$6)&amp;"",""))</f>
        <v/>
      </c>
      <c r="F5119" s="17">
        <f>IF(B5119="","","outreach_sent")</f>
        <v/>
      </c>
      <c r="G5119" s="17">
        <f>IF(B5119="","","")</f>
        <v/>
      </c>
      <c r="H5119" s="17">
        <f>IF(B5119="","","")</f>
        <v/>
      </c>
      <c r="I5119" s="17">
        <f>IF(B5119="","","")</f>
        <v/>
      </c>
      <c r="J5119" s="17">
        <f>IF(B5119="","","touch_3; "&amp;IFERROR(INDEX(Clay_Brands!$A$2:$FZ$601,468,Sync!$D$10)&amp;"","")&amp;"; "&amp;IFERROR(INDEX(Clay_Brands!$A$2:$FZ$601,468,Sync!$D$9)&amp;"",""))</f>
        <v/>
      </c>
      <c r="K5119" t="inlineStr">
        <is>
          <t>brand outreach touch 3</t>
        </is>
      </c>
    </row>
    <row r="5120">
      <c r="A5120" s="17">
        <f>IF(B5120="","",B5120+(17*1000+469)/10000000)</f>
        <v/>
      </c>
      <c r="B5120" s="23">
        <f>IF(AND(IFERROR(N(INDEX(Clay_Brands!$A$2:$FZ$601,469,Sync!$D$13)),0)&gt;0,IFERROR(INDEX(Clay_Brands!$A$2:$FZ$601,469,Sync!$D$5)&amp;"","")&lt;&gt;"",OR(LEFT(IFERROR(INDEX(Clay_Brands!$A$2:$FZ$601,469,Sync!$D$5)&amp;"",""),6)&lt;&gt;"SAMPLE",Config!$B$19="Y")),IFERROR(N(INDEX(Clay_Brands!$A$2:$FZ$601,469,Sync!$D$13)),0),"")</f>
        <v/>
      </c>
      <c r="C5120" s="17">
        <f>IF(B5120="","","brand")</f>
        <v/>
      </c>
      <c r="D5120" s="17">
        <f>IF(B5120="","",IFERROR(INDEX(Clay_Brands!$A$2:$FZ$601,469,Sync!$D$5)&amp;"",""))</f>
        <v/>
      </c>
      <c r="E5120" s="17">
        <f>IF(B5120="","",IFERROR(INDEX(Clay_Brands!$A$2:$FZ$601,469,Sync!$D$6)&amp;"",""))</f>
        <v/>
      </c>
      <c r="F5120" s="17">
        <f>IF(B5120="","","outreach_sent")</f>
        <v/>
      </c>
      <c r="G5120" s="17">
        <f>IF(B5120="","","")</f>
        <v/>
      </c>
      <c r="H5120" s="17">
        <f>IF(B5120="","","")</f>
        <v/>
      </c>
      <c r="I5120" s="17">
        <f>IF(B5120="","","")</f>
        <v/>
      </c>
      <c r="J5120" s="17">
        <f>IF(B5120="","","touch_3; "&amp;IFERROR(INDEX(Clay_Brands!$A$2:$FZ$601,469,Sync!$D$10)&amp;"","")&amp;"; "&amp;IFERROR(INDEX(Clay_Brands!$A$2:$FZ$601,469,Sync!$D$9)&amp;"",""))</f>
        <v/>
      </c>
      <c r="K5120" t="inlineStr">
        <is>
          <t>brand outreach touch 3</t>
        </is>
      </c>
    </row>
    <row r="5121">
      <c r="A5121" s="17">
        <f>IF(B5121="","",B5121+(17*1000+470)/10000000)</f>
        <v/>
      </c>
      <c r="B5121" s="23">
        <f>IF(AND(IFERROR(N(INDEX(Clay_Brands!$A$2:$FZ$601,470,Sync!$D$13)),0)&gt;0,IFERROR(INDEX(Clay_Brands!$A$2:$FZ$601,470,Sync!$D$5)&amp;"","")&lt;&gt;"",OR(LEFT(IFERROR(INDEX(Clay_Brands!$A$2:$FZ$601,470,Sync!$D$5)&amp;"",""),6)&lt;&gt;"SAMPLE",Config!$B$19="Y")),IFERROR(N(INDEX(Clay_Brands!$A$2:$FZ$601,470,Sync!$D$13)),0),"")</f>
        <v/>
      </c>
      <c r="C5121" s="17">
        <f>IF(B5121="","","brand")</f>
        <v/>
      </c>
      <c r="D5121" s="17">
        <f>IF(B5121="","",IFERROR(INDEX(Clay_Brands!$A$2:$FZ$601,470,Sync!$D$5)&amp;"",""))</f>
        <v/>
      </c>
      <c r="E5121" s="17">
        <f>IF(B5121="","",IFERROR(INDEX(Clay_Brands!$A$2:$FZ$601,470,Sync!$D$6)&amp;"",""))</f>
        <v/>
      </c>
      <c r="F5121" s="17">
        <f>IF(B5121="","","outreach_sent")</f>
        <v/>
      </c>
      <c r="G5121" s="17">
        <f>IF(B5121="","","")</f>
        <v/>
      </c>
      <c r="H5121" s="17">
        <f>IF(B5121="","","")</f>
        <v/>
      </c>
      <c r="I5121" s="17">
        <f>IF(B5121="","","")</f>
        <v/>
      </c>
      <c r="J5121" s="17">
        <f>IF(B5121="","","touch_3; "&amp;IFERROR(INDEX(Clay_Brands!$A$2:$FZ$601,470,Sync!$D$10)&amp;"","")&amp;"; "&amp;IFERROR(INDEX(Clay_Brands!$A$2:$FZ$601,470,Sync!$D$9)&amp;"",""))</f>
        <v/>
      </c>
      <c r="K5121" t="inlineStr">
        <is>
          <t>brand outreach touch 3</t>
        </is>
      </c>
    </row>
    <row r="5122">
      <c r="A5122" s="17">
        <f>IF(B5122="","",B5122+(17*1000+471)/10000000)</f>
        <v/>
      </c>
      <c r="B5122" s="23">
        <f>IF(AND(IFERROR(N(INDEX(Clay_Brands!$A$2:$FZ$601,471,Sync!$D$13)),0)&gt;0,IFERROR(INDEX(Clay_Brands!$A$2:$FZ$601,471,Sync!$D$5)&amp;"","")&lt;&gt;"",OR(LEFT(IFERROR(INDEX(Clay_Brands!$A$2:$FZ$601,471,Sync!$D$5)&amp;"",""),6)&lt;&gt;"SAMPLE",Config!$B$19="Y")),IFERROR(N(INDEX(Clay_Brands!$A$2:$FZ$601,471,Sync!$D$13)),0),"")</f>
        <v/>
      </c>
      <c r="C5122" s="17">
        <f>IF(B5122="","","brand")</f>
        <v/>
      </c>
      <c r="D5122" s="17">
        <f>IF(B5122="","",IFERROR(INDEX(Clay_Brands!$A$2:$FZ$601,471,Sync!$D$5)&amp;"",""))</f>
        <v/>
      </c>
      <c r="E5122" s="17">
        <f>IF(B5122="","",IFERROR(INDEX(Clay_Brands!$A$2:$FZ$601,471,Sync!$D$6)&amp;"",""))</f>
        <v/>
      </c>
      <c r="F5122" s="17">
        <f>IF(B5122="","","outreach_sent")</f>
        <v/>
      </c>
      <c r="G5122" s="17">
        <f>IF(B5122="","","")</f>
        <v/>
      </c>
      <c r="H5122" s="17">
        <f>IF(B5122="","","")</f>
        <v/>
      </c>
      <c r="I5122" s="17">
        <f>IF(B5122="","","")</f>
        <v/>
      </c>
      <c r="J5122" s="17">
        <f>IF(B5122="","","touch_3; "&amp;IFERROR(INDEX(Clay_Brands!$A$2:$FZ$601,471,Sync!$D$10)&amp;"","")&amp;"; "&amp;IFERROR(INDEX(Clay_Brands!$A$2:$FZ$601,471,Sync!$D$9)&amp;"",""))</f>
        <v/>
      </c>
      <c r="K5122" t="inlineStr">
        <is>
          <t>brand outreach touch 3</t>
        </is>
      </c>
    </row>
    <row r="5123">
      <c r="A5123" s="17">
        <f>IF(B5123="","",B5123+(17*1000+472)/10000000)</f>
        <v/>
      </c>
      <c r="B5123" s="23">
        <f>IF(AND(IFERROR(N(INDEX(Clay_Brands!$A$2:$FZ$601,472,Sync!$D$13)),0)&gt;0,IFERROR(INDEX(Clay_Brands!$A$2:$FZ$601,472,Sync!$D$5)&amp;"","")&lt;&gt;"",OR(LEFT(IFERROR(INDEX(Clay_Brands!$A$2:$FZ$601,472,Sync!$D$5)&amp;"",""),6)&lt;&gt;"SAMPLE",Config!$B$19="Y")),IFERROR(N(INDEX(Clay_Brands!$A$2:$FZ$601,472,Sync!$D$13)),0),"")</f>
        <v/>
      </c>
      <c r="C5123" s="17">
        <f>IF(B5123="","","brand")</f>
        <v/>
      </c>
      <c r="D5123" s="17">
        <f>IF(B5123="","",IFERROR(INDEX(Clay_Brands!$A$2:$FZ$601,472,Sync!$D$5)&amp;"",""))</f>
        <v/>
      </c>
      <c r="E5123" s="17">
        <f>IF(B5123="","",IFERROR(INDEX(Clay_Brands!$A$2:$FZ$601,472,Sync!$D$6)&amp;"",""))</f>
        <v/>
      </c>
      <c r="F5123" s="17">
        <f>IF(B5123="","","outreach_sent")</f>
        <v/>
      </c>
      <c r="G5123" s="17">
        <f>IF(B5123="","","")</f>
        <v/>
      </c>
      <c r="H5123" s="17">
        <f>IF(B5123="","","")</f>
        <v/>
      </c>
      <c r="I5123" s="17">
        <f>IF(B5123="","","")</f>
        <v/>
      </c>
      <c r="J5123" s="17">
        <f>IF(B5123="","","touch_3; "&amp;IFERROR(INDEX(Clay_Brands!$A$2:$FZ$601,472,Sync!$D$10)&amp;"","")&amp;"; "&amp;IFERROR(INDEX(Clay_Brands!$A$2:$FZ$601,472,Sync!$D$9)&amp;"",""))</f>
        <v/>
      </c>
      <c r="K5123" t="inlineStr">
        <is>
          <t>brand outreach touch 3</t>
        </is>
      </c>
    </row>
    <row r="5124">
      <c r="A5124" s="17">
        <f>IF(B5124="","",B5124+(17*1000+473)/10000000)</f>
        <v/>
      </c>
      <c r="B5124" s="23">
        <f>IF(AND(IFERROR(N(INDEX(Clay_Brands!$A$2:$FZ$601,473,Sync!$D$13)),0)&gt;0,IFERROR(INDEX(Clay_Brands!$A$2:$FZ$601,473,Sync!$D$5)&amp;"","")&lt;&gt;"",OR(LEFT(IFERROR(INDEX(Clay_Brands!$A$2:$FZ$601,473,Sync!$D$5)&amp;"",""),6)&lt;&gt;"SAMPLE",Config!$B$19="Y")),IFERROR(N(INDEX(Clay_Brands!$A$2:$FZ$601,473,Sync!$D$13)),0),"")</f>
        <v/>
      </c>
      <c r="C5124" s="17">
        <f>IF(B5124="","","brand")</f>
        <v/>
      </c>
      <c r="D5124" s="17">
        <f>IF(B5124="","",IFERROR(INDEX(Clay_Brands!$A$2:$FZ$601,473,Sync!$D$5)&amp;"",""))</f>
        <v/>
      </c>
      <c r="E5124" s="17">
        <f>IF(B5124="","",IFERROR(INDEX(Clay_Brands!$A$2:$FZ$601,473,Sync!$D$6)&amp;"",""))</f>
        <v/>
      </c>
      <c r="F5124" s="17">
        <f>IF(B5124="","","outreach_sent")</f>
        <v/>
      </c>
      <c r="G5124" s="17">
        <f>IF(B5124="","","")</f>
        <v/>
      </c>
      <c r="H5124" s="17">
        <f>IF(B5124="","","")</f>
        <v/>
      </c>
      <c r="I5124" s="17">
        <f>IF(B5124="","","")</f>
        <v/>
      </c>
      <c r="J5124" s="17">
        <f>IF(B5124="","","touch_3; "&amp;IFERROR(INDEX(Clay_Brands!$A$2:$FZ$601,473,Sync!$D$10)&amp;"","")&amp;"; "&amp;IFERROR(INDEX(Clay_Brands!$A$2:$FZ$601,473,Sync!$D$9)&amp;"",""))</f>
        <v/>
      </c>
      <c r="K5124" t="inlineStr">
        <is>
          <t>brand outreach touch 3</t>
        </is>
      </c>
    </row>
    <row r="5125">
      <c r="A5125" s="17">
        <f>IF(B5125="","",B5125+(17*1000+474)/10000000)</f>
        <v/>
      </c>
      <c r="B5125" s="23">
        <f>IF(AND(IFERROR(N(INDEX(Clay_Brands!$A$2:$FZ$601,474,Sync!$D$13)),0)&gt;0,IFERROR(INDEX(Clay_Brands!$A$2:$FZ$601,474,Sync!$D$5)&amp;"","")&lt;&gt;"",OR(LEFT(IFERROR(INDEX(Clay_Brands!$A$2:$FZ$601,474,Sync!$D$5)&amp;"",""),6)&lt;&gt;"SAMPLE",Config!$B$19="Y")),IFERROR(N(INDEX(Clay_Brands!$A$2:$FZ$601,474,Sync!$D$13)),0),"")</f>
        <v/>
      </c>
      <c r="C5125" s="17">
        <f>IF(B5125="","","brand")</f>
        <v/>
      </c>
      <c r="D5125" s="17">
        <f>IF(B5125="","",IFERROR(INDEX(Clay_Brands!$A$2:$FZ$601,474,Sync!$D$5)&amp;"",""))</f>
        <v/>
      </c>
      <c r="E5125" s="17">
        <f>IF(B5125="","",IFERROR(INDEX(Clay_Brands!$A$2:$FZ$601,474,Sync!$D$6)&amp;"",""))</f>
        <v/>
      </c>
      <c r="F5125" s="17">
        <f>IF(B5125="","","outreach_sent")</f>
        <v/>
      </c>
      <c r="G5125" s="17">
        <f>IF(B5125="","","")</f>
        <v/>
      </c>
      <c r="H5125" s="17">
        <f>IF(B5125="","","")</f>
        <v/>
      </c>
      <c r="I5125" s="17">
        <f>IF(B5125="","","")</f>
        <v/>
      </c>
      <c r="J5125" s="17">
        <f>IF(B5125="","","touch_3; "&amp;IFERROR(INDEX(Clay_Brands!$A$2:$FZ$601,474,Sync!$D$10)&amp;"","")&amp;"; "&amp;IFERROR(INDEX(Clay_Brands!$A$2:$FZ$601,474,Sync!$D$9)&amp;"",""))</f>
        <v/>
      </c>
      <c r="K5125" t="inlineStr">
        <is>
          <t>brand outreach touch 3</t>
        </is>
      </c>
    </row>
    <row r="5126">
      <c r="A5126" s="17">
        <f>IF(B5126="","",B5126+(17*1000+475)/10000000)</f>
        <v/>
      </c>
      <c r="B5126" s="23">
        <f>IF(AND(IFERROR(N(INDEX(Clay_Brands!$A$2:$FZ$601,475,Sync!$D$13)),0)&gt;0,IFERROR(INDEX(Clay_Brands!$A$2:$FZ$601,475,Sync!$D$5)&amp;"","")&lt;&gt;"",OR(LEFT(IFERROR(INDEX(Clay_Brands!$A$2:$FZ$601,475,Sync!$D$5)&amp;"",""),6)&lt;&gt;"SAMPLE",Config!$B$19="Y")),IFERROR(N(INDEX(Clay_Brands!$A$2:$FZ$601,475,Sync!$D$13)),0),"")</f>
        <v/>
      </c>
      <c r="C5126" s="17">
        <f>IF(B5126="","","brand")</f>
        <v/>
      </c>
      <c r="D5126" s="17">
        <f>IF(B5126="","",IFERROR(INDEX(Clay_Brands!$A$2:$FZ$601,475,Sync!$D$5)&amp;"",""))</f>
        <v/>
      </c>
      <c r="E5126" s="17">
        <f>IF(B5126="","",IFERROR(INDEX(Clay_Brands!$A$2:$FZ$601,475,Sync!$D$6)&amp;"",""))</f>
        <v/>
      </c>
      <c r="F5126" s="17">
        <f>IF(B5126="","","outreach_sent")</f>
        <v/>
      </c>
      <c r="G5126" s="17">
        <f>IF(B5126="","","")</f>
        <v/>
      </c>
      <c r="H5126" s="17">
        <f>IF(B5126="","","")</f>
        <v/>
      </c>
      <c r="I5126" s="17">
        <f>IF(B5126="","","")</f>
        <v/>
      </c>
      <c r="J5126" s="17">
        <f>IF(B5126="","","touch_3; "&amp;IFERROR(INDEX(Clay_Brands!$A$2:$FZ$601,475,Sync!$D$10)&amp;"","")&amp;"; "&amp;IFERROR(INDEX(Clay_Brands!$A$2:$FZ$601,475,Sync!$D$9)&amp;"",""))</f>
        <v/>
      </c>
      <c r="K5126" t="inlineStr">
        <is>
          <t>brand outreach touch 3</t>
        </is>
      </c>
    </row>
    <row r="5127">
      <c r="A5127" s="17">
        <f>IF(B5127="","",B5127+(17*1000+476)/10000000)</f>
        <v/>
      </c>
      <c r="B5127" s="23">
        <f>IF(AND(IFERROR(N(INDEX(Clay_Brands!$A$2:$FZ$601,476,Sync!$D$13)),0)&gt;0,IFERROR(INDEX(Clay_Brands!$A$2:$FZ$601,476,Sync!$D$5)&amp;"","")&lt;&gt;"",OR(LEFT(IFERROR(INDEX(Clay_Brands!$A$2:$FZ$601,476,Sync!$D$5)&amp;"",""),6)&lt;&gt;"SAMPLE",Config!$B$19="Y")),IFERROR(N(INDEX(Clay_Brands!$A$2:$FZ$601,476,Sync!$D$13)),0),"")</f>
        <v/>
      </c>
      <c r="C5127" s="17">
        <f>IF(B5127="","","brand")</f>
        <v/>
      </c>
      <c r="D5127" s="17">
        <f>IF(B5127="","",IFERROR(INDEX(Clay_Brands!$A$2:$FZ$601,476,Sync!$D$5)&amp;"",""))</f>
        <v/>
      </c>
      <c r="E5127" s="17">
        <f>IF(B5127="","",IFERROR(INDEX(Clay_Brands!$A$2:$FZ$601,476,Sync!$D$6)&amp;"",""))</f>
        <v/>
      </c>
      <c r="F5127" s="17">
        <f>IF(B5127="","","outreach_sent")</f>
        <v/>
      </c>
      <c r="G5127" s="17">
        <f>IF(B5127="","","")</f>
        <v/>
      </c>
      <c r="H5127" s="17">
        <f>IF(B5127="","","")</f>
        <v/>
      </c>
      <c r="I5127" s="17">
        <f>IF(B5127="","","")</f>
        <v/>
      </c>
      <c r="J5127" s="17">
        <f>IF(B5127="","","touch_3; "&amp;IFERROR(INDEX(Clay_Brands!$A$2:$FZ$601,476,Sync!$D$10)&amp;"","")&amp;"; "&amp;IFERROR(INDEX(Clay_Brands!$A$2:$FZ$601,476,Sync!$D$9)&amp;"",""))</f>
        <v/>
      </c>
      <c r="K5127" t="inlineStr">
        <is>
          <t>brand outreach touch 3</t>
        </is>
      </c>
    </row>
    <row r="5128">
      <c r="A5128" s="17">
        <f>IF(B5128="","",B5128+(17*1000+477)/10000000)</f>
        <v/>
      </c>
      <c r="B5128" s="23">
        <f>IF(AND(IFERROR(N(INDEX(Clay_Brands!$A$2:$FZ$601,477,Sync!$D$13)),0)&gt;0,IFERROR(INDEX(Clay_Brands!$A$2:$FZ$601,477,Sync!$D$5)&amp;"","")&lt;&gt;"",OR(LEFT(IFERROR(INDEX(Clay_Brands!$A$2:$FZ$601,477,Sync!$D$5)&amp;"",""),6)&lt;&gt;"SAMPLE",Config!$B$19="Y")),IFERROR(N(INDEX(Clay_Brands!$A$2:$FZ$601,477,Sync!$D$13)),0),"")</f>
        <v/>
      </c>
      <c r="C5128" s="17">
        <f>IF(B5128="","","brand")</f>
        <v/>
      </c>
      <c r="D5128" s="17">
        <f>IF(B5128="","",IFERROR(INDEX(Clay_Brands!$A$2:$FZ$601,477,Sync!$D$5)&amp;"",""))</f>
        <v/>
      </c>
      <c r="E5128" s="17">
        <f>IF(B5128="","",IFERROR(INDEX(Clay_Brands!$A$2:$FZ$601,477,Sync!$D$6)&amp;"",""))</f>
        <v/>
      </c>
      <c r="F5128" s="17">
        <f>IF(B5128="","","outreach_sent")</f>
        <v/>
      </c>
      <c r="G5128" s="17">
        <f>IF(B5128="","","")</f>
        <v/>
      </c>
      <c r="H5128" s="17">
        <f>IF(B5128="","","")</f>
        <v/>
      </c>
      <c r="I5128" s="17">
        <f>IF(B5128="","","")</f>
        <v/>
      </c>
      <c r="J5128" s="17">
        <f>IF(B5128="","","touch_3; "&amp;IFERROR(INDEX(Clay_Brands!$A$2:$FZ$601,477,Sync!$D$10)&amp;"","")&amp;"; "&amp;IFERROR(INDEX(Clay_Brands!$A$2:$FZ$601,477,Sync!$D$9)&amp;"",""))</f>
        <v/>
      </c>
      <c r="K5128" t="inlineStr">
        <is>
          <t>brand outreach touch 3</t>
        </is>
      </c>
    </row>
    <row r="5129">
      <c r="A5129" s="17">
        <f>IF(B5129="","",B5129+(17*1000+478)/10000000)</f>
        <v/>
      </c>
      <c r="B5129" s="23">
        <f>IF(AND(IFERROR(N(INDEX(Clay_Brands!$A$2:$FZ$601,478,Sync!$D$13)),0)&gt;0,IFERROR(INDEX(Clay_Brands!$A$2:$FZ$601,478,Sync!$D$5)&amp;"","")&lt;&gt;"",OR(LEFT(IFERROR(INDEX(Clay_Brands!$A$2:$FZ$601,478,Sync!$D$5)&amp;"",""),6)&lt;&gt;"SAMPLE",Config!$B$19="Y")),IFERROR(N(INDEX(Clay_Brands!$A$2:$FZ$601,478,Sync!$D$13)),0),"")</f>
        <v/>
      </c>
      <c r="C5129" s="17">
        <f>IF(B5129="","","brand")</f>
        <v/>
      </c>
      <c r="D5129" s="17">
        <f>IF(B5129="","",IFERROR(INDEX(Clay_Brands!$A$2:$FZ$601,478,Sync!$D$5)&amp;"",""))</f>
        <v/>
      </c>
      <c r="E5129" s="17">
        <f>IF(B5129="","",IFERROR(INDEX(Clay_Brands!$A$2:$FZ$601,478,Sync!$D$6)&amp;"",""))</f>
        <v/>
      </c>
      <c r="F5129" s="17">
        <f>IF(B5129="","","outreach_sent")</f>
        <v/>
      </c>
      <c r="G5129" s="17">
        <f>IF(B5129="","","")</f>
        <v/>
      </c>
      <c r="H5129" s="17">
        <f>IF(B5129="","","")</f>
        <v/>
      </c>
      <c r="I5129" s="17">
        <f>IF(B5129="","","")</f>
        <v/>
      </c>
      <c r="J5129" s="17">
        <f>IF(B5129="","","touch_3; "&amp;IFERROR(INDEX(Clay_Brands!$A$2:$FZ$601,478,Sync!$D$10)&amp;"","")&amp;"; "&amp;IFERROR(INDEX(Clay_Brands!$A$2:$FZ$601,478,Sync!$D$9)&amp;"",""))</f>
        <v/>
      </c>
      <c r="K5129" t="inlineStr">
        <is>
          <t>brand outreach touch 3</t>
        </is>
      </c>
    </row>
    <row r="5130">
      <c r="A5130" s="17">
        <f>IF(B5130="","",B5130+(17*1000+479)/10000000)</f>
        <v/>
      </c>
      <c r="B5130" s="23">
        <f>IF(AND(IFERROR(N(INDEX(Clay_Brands!$A$2:$FZ$601,479,Sync!$D$13)),0)&gt;0,IFERROR(INDEX(Clay_Brands!$A$2:$FZ$601,479,Sync!$D$5)&amp;"","")&lt;&gt;"",OR(LEFT(IFERROR(INDEX(Clay_Brands!$A$2:$FZ$601,479,Sync!$D$5)&amp;"",""),6)&lt;&gt;"SAMPLE",Config!$B$19="Y")),IFERROR(N(INDEX(Clay_Brands!$A$2:$FZ$601,479,Sync!$D$13)),0),"")</f>
        <v/>
      </c>
      <c r="C5130" s="17">
        <f>IF(B5130="","","brand")</f>
        <v/>
      </c>
      <c r="D5130" s="17">
        <f>IF(B5130="","",IFERROR(INDEX(Clay_Brands!$A$2:$FZ$601,479,Sync!$D$5)&amp;"",""))</f>
        <v/>
      </c>
      <c r="E5130" s="17">
        <f>IF(B5130="","",IFERROR(INDEX(Clay_Brands!$A$2:$FZ$601,479,Sync!$D$6)&amp;"",""))</f>
        <v/>
      </c>
      <c r="F5130" s="17">
        <f>IF(B5130="","","outreach_sent")</f>
        <v/>
      </c>
      <c r="G5130" s="17">
        <f>IF(B5130="","","")</f>
        <v/>
      </c>
      <c r="H5130" s="17">
        <f>IF(B5130="","","")</f>
        <v/>
      </c>
      <c r="I5130" s="17">
        <f>IF(B5130="","","")</f>
        <v/>
      </c>
      <c r="J5130" s="17">
        <f>IF(B5130="","","touch_3; "&amp;IFERROR(INDEX(Clay_Brands!$A$2:$FZ$601,479,Sync!$D$10)&amp;"","")&amp;"; "&amp;IFERROR(INDEX(Clay_Brands!$A$2:$FZ$601,479,Sync!$D$9)&amp;"",""))</f>
        <v/>
      </c>
      <c r="K5130" t="inlineStr">
        <is>
          <t>brand outreach touch 3</t>
        </is>
      </c>
    </row>
    <row r="5131">
      <c r="A5131" s="17">
        <f>IF(B5131="","",B5131+(17*1000+480)/10000000)</f>
        <v/>
      </c>
      <c r="B5131" s="23">
        <f>IF(AND(IFERROR(N(INDEX(Clay_Brands!$A$2:$FZ$601,480,Sync!$D$13)),0)&gt;0,IFERROR(INDEX(Clay_Brands!$A$2:$FZ$601,480,Sync!$D$5)&amp;"","")&lt;&gt;"",OR(LEFT(IFERROR(INDEX(Clay_Brands!$A$2:$FZ$601,480,Sync!$D$5)&amp;"",""),6)&lt;&gt;"SAMPLE",Config!$B$19="Y")),IFERROR(N(INDEX(Clay_Brands!$A$2:$FZ$601,480,Sync!$D$13)),0),"")</f>
        <v/>
      </c>
      <c r="C5131" s="17">
        <f>IF(B5131="","","brand")</f>
        <v/>
      </c>
      <c r="D5131" s="17">
        <f>IF(B5131="","",IFERROR(INDEX(Clay_Brands!$A$2:$FZ$601,480,Sync!$D$5)&amp;"",""))</f>
        <v/>
      </c>
      <c r="E5131" s="17">
        <f>IF(B5131="","",IFERROR(INDEX(Clay_Brands!$A$2:$FZ$601,480,Sync!$D$6)&amp;"",""))</f>
        <v/>
      </c>
      <c r="F5131" s="17">
        <f>IF(B5131="","","outreach_sent")</f>
        <v/>
      </c>
      <c r="G5131" s="17">
        <f>IF(B5131="","","")</f>
        <v/>
      </c>
      <c r="H5131" s="17">
        <f>IF(B5131="","","")</f>
        <v/>
      </c>
      <c r="I5131" s="17">
        <f>IF(B5131="","","")</f>
        <v/>
      </c>
      <c r="J5131" s="17">
        <f>IF(B5131="","","touch_3; "&amp;IFERROR(INDEX(Clay_Brands!$A$2:$FZ$601,480,Sync!$D$10)&amp;"","")&amp;"; "&amp;IFERROR(INDEX(Clay_Brands!$A$2:$FZ$601,480,Sync!$D$9)&amp;"",""))</f>
        <v/>
      </c>
      <c r="K5131" t="inlineStr">
        <is>
          <t>brand outreach touch 3</t>
        </is>
      </c>
    </row>
    <row r="5132">
      <c r="A5132" s="17">
        <f>IF(B5132="","",B5132+(17*1000+481)/10000000)</f>
        <v/>
      </c>
      <c r="B5132" s="23">
        <f>IF(AND(IFERROR(N(INDEX(Clay_Brands!$A$2:$FZ$601,481,Sync!$D$13)),0)&gt;0,IFERROR(INDEX(Clay_Brands!$A$2:$FZ$601,481,Sync!$D$5)&amp;"","")&lt;&gt;"",OR(LEFT(IFERROR(INDEX(Clay_Brands!$A$2:$FZ$601,481,Sync!$D$5)&amp;"",""),6)&lt;&gt;"SAMPLE",Config!$B$19="Y")),IFERROR(N(INDEX(Clay_Brands!$A$2:$FZ$601,481,Sync!$D$13)),0),"")</f>
        <v/>
      </c>
      <c r="C5132" s="17">
        <f>IF(B5132="","","brand")</f>
        <v/>
      </c>
      <c r="D5132" s="17">
        <f>IF(B5132="","",IFERROR(INDEX(Clay_Brands!$A$2:$FZ$601,481,Sync!$D$5)&amp;"",""))</f>
        <v/>
      </c>
      <c r="E5132" s="17">
        <f>IF(B5132="","",IFERROR(INDEX(Clay_Brands!$A$2:$FZ$601,481,Sync!$D$6)&amp;"",""))</f>
        <v/>
      </c>
      <c r="F5132" s="17">
        <f>IF(B5132="","","outreach_sent")</f>
        <v/>
      </c>
      <c r="G5132" s="17">
        <f>IF(B5132="","","")</f>
        <v/>
      </c>
      <c r="H5132" s="17">
        <f>IF(B5132="","","")</f>
        <v/>
      </c>
      <c r="I5132" s="17">
        <f>IF(B5132="","","")</f>
        <v/>
      </c>
      <c r="J5132" s="17">
        <f>IF(B5132="","","touch_3; "&amp;IFERROR(INDEX(Clay_Brands!$A$2:$FZ$601,481,Sync!$D$10)&amp;"","")&amp;"; "&amp;IFERROR(INDEX(Clay_Brands!$A$2:$FZ$601,481,Sync!$D$9)&amp;"",""))</f>
        <v/>
      </c>
      <c r="K5132" t="inlineStr">
        <is>
          <t>brand outreach touch 3</t>
        </is>
      </c>
    </row>
    <row r="5133">
      <c r="A5133" s="17">
        <f>IF(B5133="","",B5133+(17*1000+482)/10000000)</f>
        <v/>
      </c>
      <c r="B5133" s="23">
        <f>IF(AND(IFERROR(N(INDEX(Clay_Brands!$A$2:$FZ$601,482,Sync!$D$13)),0)&gt;0,IFERROR(INDEX(Clay_Brands!$A$2:$FZ$601,482,Sync!$D$5)&amp;"","")&lt;&gt;"",OR(LEFT(IFERROR(INDEX(Clay_Brands!$A$2:$FZ$601,482,Sync!$D$5)&amp;"",""),6)&lt;&gt;"SAMPLE",Config!$B$19="Y")),IFERROR(N(INDEX(Clay_Brands!$A$2:$FZ$601,482,Sync!$D$13)),0),"")</f>
        <v/>
      </c>
      <c r="C5133" s="17">
        <f>IF(B5133="","","brand")</f>
        <v/>
      </c>
      <c r="D5133" s="17">
        <f>IF(B5133="","",IFERROR(INDEX(Clay_Brands!$A$2:$FZ$601,482,Sync!$D$5)&amp;"",""))</f>
        <v/>
      </c>
      <c r="E5133" s="17">
        <f>IF(B5133="","",IFERROR(INDEX(Clay_Brands!$A$2:$FZ$601,482,Sync!$D$6)&amp;"",""))</f>
        <v/>
      </c>
      <c r="F5133" s="17">
        <f>IF(B5133="","","outreach_sent")</f>
        <v/>
      </c>
      <c r="G5133" s="17">
        <f>IF(B5133="","","")</f>
        <v/>
      </c>
      <c r="H5133" s="17">
        <f>IF(B5133="","","")</f>
        <v/>
      </c>
      <c r="I5133" s="17">
        <f>IF(B5133="","","")</f>
        <v/>
      </c>
      <c r="J5133" s="17">
        <f>IF(B5133="","","touch_3; "&amp;IFERROR(INDEX(Clay_Brands!$A$2:$FZ$601,482,Sync!$D$10)&amp;"","")&amp;"; "&amp;IFERROR(INDEX(Clay_Brands!$A$2:$FZ$601,482,Sync!$D$9)&amp;"",""))</f>
        <v/>
      </c>
      <c r="K5133" t="inlineStr">
        <is>
          <t>brand outreach touch 3</t>
        </is>
      </c>
    </row>
    <row r="5134">
      <c r="A5134" s="17">
        <f>IF(B5134="","",B5134+(17*1000+483)/10000000)</f>
        <v/>
      </c>
      <c r="B5134" s="23">
        <f>IF(AND(IFERROR(N(INDEX(Clay_Brands!$A$2:$FZ$601,483,Sync!$D$13)),0)&gt;0,IFERROR(INDEX(Clay_Brands!$A$2:$FZ$601,483,Sync!$D$5)&amp;"","")&lt;&gt;"",OR(LEFT(IFERROR(INDEX(Clay_Brands!$A$2:$FZ$601,483,Sync!$D$5)&amp;"",""),6)&lt;&gt;"SAMPLE",Config!$B$19="Y")),IFERROR(N(INDEX(Clay_Brands!$A$2:$FZ$601,483,Sync!$D$13)),0),"")</f>
        <v/>
      </c>
      <c r="C5134" s="17">
        <f>IF(B5134="","","brand")</f>
        <v/>
      </c>
      <c r="D5134" s="17">
        <f>IF(B5134="","",IFERROR(INDEX(Clay_Brands!$A$2:$FZ$601,483,Sync!$D$5)&amp;"",""))</f>
        <v/>
      </c>
      <c r="E5134" s="17">
        <f>IF(B5134="","",IFERROR(INDEX(Clay_Brands!$A$2:$FZ$601,483,Sync!$D$6)&amp;"",""))</f>
        <v/>
      </c>
      <c r="F5134" s="17">
        <f>IF(B5134="","","outreach_sent")</f>
        <v/>
      </c>
      <c r="G5134" s="17">
        <f>IF(B5134="","","")</f>
        <v/>
      </c>
      <c r="H5134" s="17">
        <f>IF(B5134="","","")</f>
        <v/>
      </c>
      <c r="I5134" s="17">
        <f>IF(B5134="","","")</f>
        <v/>
      </c>
      <c r="J5134" s="17">
        <f>IF(B5134="","","touch_3; "&amp;IFERROR(INDEX(Clay_Brands!$A$2:$FZ$601,483,Sync!$D$10)&amp;"","")&amp;"; "&amp;IFERROR(INDEX(Clay_Brands!$A$2:$FZ$601,483,Sync!$D$9)&amp;"",""))</f>
        <v/>
      </c>
      <c r="K5134" t="inlineStr">
        <is>
          <t>brand outreach touch 3</t>
        </is>
      </c>
    </row>
    <row r="5135">
      <c r="A5135" s="17">
        <f>IF(B5135="","",B5135+(17*1000+484)/10000000)</f>
        <v/>
      </c>
      <c r="B5135" s="23">
        <f>IF(AND(IFERROR(N(INDEX(Clay_Brands!$A$2:$FZ$601,484,Sync!$D$13)),0)&gt;0,IFERROR(INDEX(Clay_Brands!$A$2:$FZ$601,484,Sync!$D$5)&amp;"","")&lt;&gt;"",OR(LEFT(IFERROR(INDEX(Clay_Brands!$A$2:$FZ$601,484,Sync!$D$5)&amp;"",""),6)&lt;&gt;"SAMPLE",Config!$B$19="Y")),IFERROR(N(INDEX(Clay_Brands!$A$2:$FZ$601,484,Sync!$D$13)),0),"")</f>
        <v/>
      </c>
      <c r="C5135" s="17">
        <f>IF(B5135="","","brand")</f>
        <v/>
      </c>
      <c r="D5135" s="17">
        <f>IF(B5135="","",IFERROR(INDEX(Clay_Brands!$A$2:$FZ$601,484,Sync!$D$5)&amp;"",""))</f>
        <v/>
      </c>
      <c r="E5135" s="17">
        <f>IF(B5135="","",IFERROR(INDEX(Clay_Brands!$A$2:$FZ$601,484,Sync!$D$6)&amp;"",""))</f>
        <v/>
      </c>
      <c r="F5135" s="17">
        <f>IF(B5135="","","outreach_sent")</f>
        <v/>
      </c>
      <c r="G5135" s="17">
        <f>IF(B5135="","","")</f>
        <v/>
      </c>
      <c r="H5135" s="17">
        <f>IF(B5135="","","")</f>
        <v/>
      </c>
      <c r="I5135" s="17">
        <f>IF(B5135="","","")</f>
        <v/>
      </c>
      <c r="J5135" s="17">
        <f>IF(B5135="","","touch_3; "&amp;IFERROR(INDEX(Clay_Brands!$A$2:$FZ$601,484,Sync!$D$10)&amp;"","")&amp;"; "&amp;IFERROR(INDEX(Clay_Brands!$A$2:$FZ$601,484,Sync!$D$9)&amp;"",""))</f>
        <v/>
      </c>
      <c r="K5135" t="inlineStr">
        <is>
          <t>brand outreach touch 3</t>
        </is>
      </c>
    </row>
    <row r="5136">
      <c r="A5136" s="17">
        <f>IF(B5136="","",B5136+(17*1000+485)/10000000)</f>
        <v/>
      </c>
      <c r="B5136" s="23">
        <f>IF(AND(IFERROR(N(INDEX(Clay_Brands!$A$2:$FZ$601,485,Sync!$D$13)),0)&gt;0,IFERROR(INDEX(Clay_Brands!$A$2:$FZ$601,485,Sync!$D$5)&amp;"","")&lt;&gt;"",OR(LEFT(IFERROR(INDEX(Clay_Brands!$A$2:$FZ$601,485,Sync!$D$5)&amp;"",""),6)&lt;&gt;"SAMPLE",Config!$B$19="Y")),IFERROR(N(INDEX(Clay_Brands!$A$2:$FZ$601,485,Sync!$D$13)),0),"")</f>
        <v/>
      </c>
      <c r="C5136" s="17">
        <f>IF(B5136="","","brand")</f>
        <v/>
      </c>
      <c r="D5136" s="17">
        <f>IF(B5136="","",IFERROR(INDEX(Clay_Brands!$A$2:$FZ$601,485,Sync!$D$5)&amp;"",""))</f>
        <v/>
      </c>
      <c r="E5136" s="17">
        <f>IF(B5136="","",IFERROR(INDEX(Clay_Brands!$A$2:$FZ$601,485,Sync!$D$6)&amp;"",""))</f>
        <v/>
      </c>
      <c r="F5136" s="17">
        <f>IF(B5136="","","outreach_sent")</f>
        <v/>
      </c>
      <c r="G5136" s="17">
        <f>IF(B5136="","","")</f>
        <v/>
      </c>
      <c r="H5136" s="17">
        <f>IF(B5136="","","")</f>
        <v/>
      </c>
      <c r="I5136" s="17">
        <f>IF(B5136="","","")</f>
        <v/>
      </c>
      <c r="J5136" s="17">
        <f>IF(B5136="","","touch_3; "&amp;IFERROR(INDEX(Clay_Brands!$A$2:$FZ$601,485,Sync!$D$10)&amp;"","")&amp;"; "&amp;IFERROR(INDEX(Clay_Brands!$A$2:$FZ$601,485,Sync!$D$9)&amp;"",""))</f>
        <v/>
      </c>
      <c r="K5136" t="inlineStr">
        <is>
          <t>brand outreach touch 3</t>
        </is>
      </c>
    </row>
    <row r="5137">
      <c r="A5137" s="17">
        <f>IF(B5137="","",B5137+(17*1000+486)/10000000)</f>
        <v/>
      </c>
      <c r="B5137" s="23">
        <f>IF(AND(IFERROR(N(INDEX(Clay_Brands!$A$2:$FZ$601,486,Sync!$D$13)),0)&gt;0,IFERROR(INDEX(Clay_Brands!$A$2:$FZ$601,486,Sync!$D$5)&amp;"","")&lt;&gt;"",OR(LEFT(IFERROR(INDEX(Clay_Brands!$A$2:$FZ$601,486,Sync!$D$5)&amp;"",""),6)&lt;&gt;"SAMPLE",Config!$B$19="Y")),IFERROR(N(INDEX(Clay_Brands!$A$2:$FZ$601,486,Sync!$D$13)),0),"")</f>
        <v/>
      </c>
      <c r="C5137" s="17">
        <f>IF(B5137="","","brand")</f>
        <v/>
      </c>
      <c r="D5137" s="17">
        <f>IF(B5137="","",IFERROR(INDEX(Clay_Brands!$A$2:$FZ$601,486,Sync!$D$5)&amp;"",""))</f>
        <v/>
      </c>
      <c r="E5137" s="17">
        <f>IF(B5137="","",IFERROR(INDEX(Clay_Brands!$A$2:$FZ$601,486,Sync!$D$6)&amp;"",""))</f>
        <v/>
      </c>
      <c r="F5137" s="17">
        <f>IF(B5137="","","outreach_sent")</f>
        <v/>
      </c>
      <c r="G5137" s="17">
        <f>IF(B5137="","","")</f>
        <v/>
      </c>
      <c r="H5137" s="17">
        <f>IF(B5137="","","")</f>
        <v/>
      </c>
      <c r="I5137" s="17">
        <f>IF(B5137="","","")</f>
        <v/>
      </c>
      <c r="J5137" s="17">
        <f>IF(B5137="","","touch_3; "&amp;IFERROR(INDEX(Clay_Brands!$A$2:$FZ$601,486,Sync!$D$10)&amp;"","")&amp;"; "&amp;IFERROR(INDEX(Clay_Brands!$A$2:$FZ$601,486,Sync!$D$9)&amp;"",""))</f>
        <v/>
      </c>
      <c r="K5137" t="inlineStr">
        <is>
          <t>brand outreach touch 3</t>
        </is>
      </c>
    </row>
    <row r="5138">
      <c r="A5138" s="17">
        <f>IF(B5138="","",B5138+(17*1000+487)/10000000)</f>
        <v/>
      </c>
      <c r="B5138" s="23">
        <f>IF(AND(IFERROR(N(INDEX(Clay_Brands!$A$2:$FZ$601,487,Sync!$D$13)),0)&gt;0,IFERROR(INDEX(Clay_Brands!$A$2:$FZ$601,487,Sync!$D$5)&amp;"","")&lt;&gt;"",OR(LEFT(IFERROR(INDEX(Clay_Brands!$A$2:$FZ$601,487,Sync!$D$5)&amp;"",""),6)&lt;&gt;"SAMPLE",Config!$B$19="Y")),IFERROR(N(INDEX(Clay_Brands!$A$2:$FZ$601,487,Sync!$D$13)),0),"")</f>
        <v/>
      </c>
      <c r="C5138" s="17">
        <f>IF(B5138="","","brand")</f>
        <v/>
      </c>
      <c r="D5138" s="17">
        <f>IF(B5138="","",IFERROR(INDEX(Clay_Brands!$A$2:$FZ$601,487,Sync!$D$5)&amp;"",""))</f>
        <v/>
      </c>
      <c r="E5138" s="17">
        <f>IF(B5138="","",IFERROR(INDEX(Clay_Brands!$A$2:$FZ$601,487,Sync!$D$6)&amp;"",""))</f>
        <v/>
      </c>
      <c r="F5138" s="17">
        <f>IF(B5138="","","outreach_sent")</f>
        <v/>
      </c>
      <c r="G5138" s="17">
        <f>IF(B5138="","","")</f>
        <v/>
      </c>
      <c r="H5138" s="17">
        <f>IF(B5138="","","")</f>
        <v/>
      </c>
      <c r="I5138" s="17">
        <f>IF(B5138="","","")</f>
        <v/>
      </c>
      <c r="J5138" s="17">
        <f>IF(B5138="","","touch_3; "&amp;IFERROR(INDEX(Clay_Brands!$A$2:$FZ$601,487,Sync!$D$10)&amp;"","")&amp;"; "&amp;IFERROR(INDEX(Clay_Brands!$A$2:$FZ$601,487,Sync!$D$9)&amp;"",""))</f>
        <v/>
      </c>
      <c r="K5138" t="inlineStr">
        <is>
          <t>brand outreach touch 3</t>
        </is>
      </c>
    </row>
    <row r="5139">
      <c r="A5139" s="17">
        <f>IF(B5139="","",B5139+(17*1000+488)/10000000)</f>
        <v/>
      </c>
      <c r="B5139" s="23">
        <f>IF(AND(IFERROR(N(INDEX(Clay_Brands!$A$2:$FZ$601,488,Sync!$D$13)),0)&gt;0,IFERROR(INDEX(Clay_Brands!$A$2:$FZ$601,488,Sync!$D$5)&amp;"","")&lt;&gt;"",OR(LEFT(IFERROR(INDEX(Clay_Brands!$A$2:$FZ$601,488,Sync!$D$5)&amp;"",""),6)&lt;&gt;"SAMPLE",Config!$B$19="Y")),IFERROR(N(INDEX(Clay_Brands!$A$2:$FZ$601,488,Sync!$D$13)),0),"")</f>
        <v/>
      </c>
      <c r="C5139" s="17">
        <f>IF(B5139="","","brand")</f>
        <v/>
      </c>
      <c r="D5139" s="17">
        <f>IF(B5139="","",IFERROR(INDEX(Clay_Brands!$A$2:$FZ$601,488,Sync!$D$5)&amp;"",""))</f>
        <v/>
      </c>
      <c r="E5139" s="17">
        <f>IF(B5139="","",IFERROR(INDEX(Clay_Brands!$A$2:$FZ$601,488,Sync!$D$6)&amp;"",""))</f>
        <v/>
      </c>
      <c r="F5139" s="17">
        <f>IF(B5139="","","outreach_sent")</f>
        <v/>
      </c>
      <c r="G5139" s="17">
        <f>IF(B5139="","","")</f>
        <v/>
      </c>
      <c r="H5139" s="17">
        <f>IF(B5139="","","")</f>
        <v/>
      </c>
      <c r="I5139" s="17">
        <f>IF(B5139="","","")</f>
        <v/>
      </c>
      <c r="J5139" s="17">
        <f>IF(B5139="","","touch_3; "&amp;IFERROR(INDEX(Clay_Brands!$A$2:$FZ$601,488,Sync!$D$10)&amp;"","")&amp;"; "&amp;IFERROR(INDEX(Clay_Brands!$A$2:$FZ$601,488,Sync!$D$9)&amp;"",""))</f>
        <v/>
      </c>
      <c r="K5139" t="inlineStr">
        <is>
          <t>brand outreach touch 3</t>
        </is>
      </c>
    </row>
    <row r="5140">
      <c r="A5140" s="17">
        <f>IF(B5140="","",B5140+(17*1000+489)/10000000)</f>
        <v/>
      </c>
      <c r="B5140" s="23">
        <f>IF(AND(IFERROR(N(INDEX(Clay_Brands!$A$2:$FZ$601,489,Sync!$D$13)),0)&gt;0,IFERROR(INDEX(Clay_Brands!$A$2:$FZ$601,489,Sync!$D$5)&amp;"","")&lt;&gt;"",OR(LEFT(IFERROR(INDEX(Clay_Brands!$A$2:$FZ$601,489,Sync!$D$5)&amp;"",""),6)&lt;&gt;"SAMPLE",Config!$B$19="Y")),IFERROR(N(INDEX(Clay_Brands!$A$2:$FZ$601,489,Sync!$D$13)),0),"")</f>
        <v/>
      </c>
      <c r="C5140" s="17">
        <f>IF(B5140="","","brand")</f>
        <v/>
      </c>
      <c r="D5140" s="17">
        <f>IF(B5140="","",IFERROR(INDEX(Clay_Brands!$A$2:$FZ$601,489,Sync!$D$5)&amp;"",""))</f>
        <v/>
      </c>
      <c r="E5140" s="17">
        <f>IF(B5140="","",IFERROR(INDEX(Clay_Brands!$A$2:$FZ$601,489,Sync!$D$6)&amp;"",""))</f>
        <v/>
      </c>
      <c r="F5140" s="17">
        <f>IF(B5140="","","outreach_sent")</f>
        <v/>
      </c>
      <c r="G5140" s="17">
        <f>IF(B5140="","","")</f>
        <v/>
      </c>
      <c r="H5140" s="17">
        <f>IF(B5140="","","")</f>
        <v/>
      </c>
      <c r="I5140" s="17">
        <f>IF(B5140="","","")</f>
        <v/>
      </c>
      <c r="J5140" s="17">
        <f>IF(B5140="","","touch_3; "&amp;IFERROR(INDEX(Clay_Brands!$A$2:$FZ$601,489,Sync!$D$10)&amp;"","")&amp;"; "&amp;IFERROR(INDEX(Clay_Brands!$A$2:$FZ$601,489,Sync!$D$9)&amp;"",""))</f>
        <v/>
      </c>
      <c r="K5140" t="inlineStr">
        <is>
          <t>brand outreach touch 3</t>
        </is>
      </c>
    </row>
    <row r="5141">
      <c r="A5141" s="17">
        <f>IF(B5141="","",B5141+(17*1000+490)/10000000)</f>
        <v/>
      </c>
      <c r="B5141" s="23">
        <f>IF(AND(IFERROR(N(INDEX(Clay_Brands!$A$2:$FZ$601,490,Sync!$D$13)),0)&gt;0,IFERROR(INDEX(Clay_Brands!$A$2:$FZ$601,490,Sync!$D$5)&amp;"","")&lt;&gt;"",OR(LEFT(IFERROR(INDEX(Clay_Brands!$A$2:$FZ$601,490,Sync!$D$5)&amp;"",""),6)&lt;&gt;"SAMPLE",Config!$B$19="Y")),IFERROR(N(INDEX(Clay_Brands!$A$2:$FZ$601,490,Sync!$D$13)),0),"")</f>
        <v/>
      </c>
      <c r="C5141" s="17">
        <f>IF(B5141="","","brand")</f>
        <v/>
      </c>
      <c r="D5141" s="17">
        <f>IF(B5141="","",IFERROR(INDEX(Clay_Brands!$A$2:$FZ$601,490,Sync!$D$5)&amp;"",""))</f>
        <v/>
      </c>
      <c r="E5141" s="17">
        <f>IF(B5141="","",IFERROR(INDEX(Clay_Brands!$A$2:$FZ$601,490,Sync!$D$6)&amp;"",""))</f>
        <v/>
      </c>
      <c r="F5141" s="17">
        <f>IF(B5141="","","outreach_sent")</f>
        <v/>
      </c>
      <c r="G5141" s="17">
        <f>IF(B5141="","","")</f>
        <v/>
      </c>
      <c r="H5141" s="17">
        <f>IF(B5141="","","")</f>
        <v/>
      </c>
      <c r="I5141" s="17">
        <f>IF(B5141="","","")</f>
        <v/>
      </c>
      <c r="J5141" s="17">
        <f>IF(B5141="","","touch_3; "&amp;IFERROR(INDEX(Clay_Brands!$A$2:$FZ$601,490,Sync!$D$10)&amp;"","")&amp;"; "&amp;IFERROR(INDEX(Clay_Brands!$A$2:$FZ$601,490,Sync!$D$9)&amp;"",""))</f>
        <v/>
      </c>
      <c r="K5141" t="inlineStr">
        <is>
          <t>brand outreach touch 3</t>
        </is>
      </c>
    </row>
    <row r="5142">
      <c r="A5142" s="17">
        <f>IF(B5142="","",B5142+(17*1000+491)/10000000)</f>
        <v/>
      </c>
      <c r="B5142" s="23">
        <f>IF(AND(IFERROR(N(INDEX(Clay_Brands!$A$2:$FZ$601,491,Sync!$D$13)),0)&gt;0,IFERROR(INDEX(Clay_Brands!$A$2:$FZ$601,491,Sync!$D$5)&amp;"","")&lt;&gt;"",OR(LEFT(IFERROR(INDEX(Clay_Brands!$A$2:$FZ$601,491,Sync!$D$5)&amp;"",""),6)&lt;&gt;"SAMPLE",Config!$B$19="Y")),IFERROR(N(INDEX(Clay_Brands!$A$2:$FZ$601,491,Sync!$D$13)),0),"")</f>
        <v/>
      </c>
      <c r="C5142" s="17">
        <f>IF(B5142="","","brand")</f>
        <v/>
      </c>
      <c r="D5142" s="17">
        <f>IF(B5142="","",IFERROR(INDEX(Clay_Brands!$A$2:$FZ$601,491,Sync!$D$5)&amp;"",""))</f>
        <v/>
      </c>
      <c r="E5142" s="17">
        <f>IF(B5142="","",IFERROR(INDEX(Clay_Brands!$A$2:$FZ$601,491,Sync!$D$6)&amp;"",""))</f>
        <v/>
      </c>
      <c r="F5142" s="17">
        <f>IF(B5142="","","outreach_sent")</f>
        <v/>
      </c>
      <c r="G5142" s="17">
        <f>IF(B5142="","","")</f>
        <v/>
      </c>
      <c r="H5142" s="17">
        <f>IF(B5142="","","")</f>
        <v/>
      </c>
      <c r="I5142" s="17">
        <f>IF(B5142="","","")</f>
        <v/>
      </c>
      <c r="J5142" s="17">
        <f>IF(B5142="","","touch_3; "&amp;IFERROR(INDEX(Clay_Brands!$A$2:$FZ$601,491,Sync!$D$10)&amp;"","")&amp;"; "&amp;IFERROR(INDEX(Clay_Brands!$A$2:$FZ$601,491,Sync!$D$9)&amp;"",""))</f>
        <v/>
      </c>
      <c r="K5142" t="inlineStr">
        <is>
          <t>brand outreach touch 3</t>
        </is>
      </c>
    </row>
    <row r="5143">
      <c r="A5143" s="17">
        <f>IF(B5143="","",B5143+(17*1000+492)/10000000)</f>
        <v/>
      </c>
      <c r="B5143" s="23">
        <f>IF(AND(IFERROR(N(INDEX(Clay_Brands!$A$2:$FZ$601,492,Sync!$D$13)),0)&gt;0,IFERROR(INDEX(Clay_Brands!$A$2:$FZ$601,492,Sync!$D$5)&amp;"","")&lt;&gt;"",OR(LEFT(IFERROR(INDEX(Clay_Brands!$A$2:$FZ$601,492,Sync!$D$5)&amp;"",""),6)&lt;&gt;"SAMPLE",Config!$B$19="Y")),IFERROR(N(INDEX(Clay_Brands!$A$2:$FZ$601,492,Sync!$D$13)),0),"")</f>
        <v/>
      </c>
      <c r="C5143" s="17">
        <f>IF(B5143="","","brand")</f>
        <v/>
      </c>
      <c r="D5143" s="17">
        <f>IF(B5143="","",IFERROR(INDEX(Clay_Brands!$A$2:$FZ$601,492,Sync!$D$5)&amp;"",""))</f>
        <v/>
      </c>
      <c r="E5143" s="17">
        <f>IF(B5143="","",IFERROR(INDEX(Clay_Brands!$A$2:$FZ$601,492,Sync!$D$6)&amp;"",""))</f>
        <v/>
      </c>
      <c r="F5143" s="17">
        <f>IF(B5143="","","outreach_sent")</f>
        <v/>
      </c>
      <c r="G5143" s="17">
        <f>IF(B5143="","","")</f>
        <v/>
      </c>
      <c r="H5143" s="17">
        <f>IF(B5143="","","")</f>
        <v/>
      </c>
      <c r="I5143" s="17">
        <f>IF(B5143="","","")</f>
        <v/>
      </c>
      <c r="J5143" s="17">
        <f>IF(B5143="","","touch_3; "&amp;IFERROR(INDEX(Clay_Brands!$A$2:$FZ$601,492,Sync!$D$10)&amp;"","")&amp;"; "&amp;IFERROR(INDEX(Clay_Brands!$A$2:$FZ$601,492,Sync!$D$9)&amp;"",""))</f>
        <v/>
      </c>
      <c r="K5143" t="inlineStr">
        <is>
          <t>brand outreach touch 3</t>
        </is>
      </c>
    </row>
    <row r="5144">
      <c r="A5144" s="17">
        <f>IF(B5144="","",B5144+(17*1000+493)/10000000)</f>
        <v/>
      </c>
      <c r="B5144" s="23">
        <f>IF(AND(IFERROR(N(INDEX(Clay_Brands!$A$2:$FZ$601,493,Sync!$D$13)),0)&gt;0,IFERROR(INDEX(Clay_Brands!$A$2:$FZ$601,493,Sync!$D$5)&amp;"","")&lt;&gt;"",OR(LEFT(IFERROR(INDEX(Clay_Brands!$A$2:$FZ$601,493,Sync!$D$5)&amp;"",""),6)&lt;&gt;"SAMPLE",Config!$B$19="Y")),IFERROR(N(INDEX(Clay_Brands!$A$2:$FZ$601,493,Sync!$D$13)),0),"")</f>
        <v/>
      </c>
      <c r="C5144" s="17">
        <f>IF(B5144="","","brand")</f>
        <v/>
      </c>
      <c r="D5144" s="17">
        <f>IF(B5144="","",IFERROR(INDEX(Clay_Brands!$A$2:$FZ$601,493,Sync!$D$5)&amp;"",""))</f>
        <v/>
      </c>
      <c r="E5144" s="17">
        <f>IF(B5144="","",IFERROR(INDEX(Clay_Brands!$A$2:$FZ$601,493,Sync!$D$6)&amp;"",""))</f>
        <v/>
      </c>
      <c r="F5144" s="17">
        <f>IF(B5144="","","outreach_sent")</f>
        <v/>
      </c>
      <c r="G5144" s="17">
        <f>IF(B5144="","","")</f>
        <v/>
      </c>
      <c r="H5144" s="17">
        <f>IF(B5144="","","")</f>
        <v/>
      </c>
      <c r="I5144" s="17">
        <f>IF(B5144="","","")</f>
        <v/>
      </c>
      <c r="J5144" s="17">
        <f>IF(B5144="","","touch_3; "&amp;IFERROR(INDEX(Clay_Brands!$A$2:$FZ$601,493,Sync!$D$10)&amp;"","")&amp;"; "&amp;IFERROR(INDEX(Clay_Brands!$A$2:$FZ$601,493,Sync!$D$9)&amp;"",""))</f>
        <v/>
      </c>
      <c r="K5144" t="inlineStr">
        <is>
          <t>brand outreach touch 3</t>
        </is>
      </c>
    </row>
    <row r="5145">
      <c r="A5145" s="17">
        <f>IF(B5145="","",B5145+(17*1000+494)/10000000)</f>
        <v/>
      </c>
      <c r="B5145" s="23">
        <f>IF(AND(IFERROR(N(INDEX(Clay_Brands!$A$2:$FZ$601,494,Sync!$D$13)),0)&gt;0,IFERROR(INDEX(Clay_Brands!$A$2:$FZ$601,494,Sync!$D$5)&amp;"","")&lt;&gt;"",OR(LEFT(IFERROR(INDEX(Clay_Brands!$A$2:$FZ$601,494,Sync!$D$5)&amp;"",""),6)&lt;&gt;"SAMPLE",Config!$B$19="Y")),IFERROR(N(INDEX(Clay_Brands!$A$2:$FZ$601,494,Sync!$D$13)),0),"")</f>
        <v/>
      </c>
      <c r="C5145" s="17">
        <f>IF(B5145="","","brand")</f>
        <v/>
      </c>
      <c r="D5145" s="17">
        <f>IF(B5145="","",IFERROR(INDEX(Clay_Brands!$A$2:$FZ$601,494,Sync!$D$5)&amp;"",""))</f>
        <v/>
      </c>
      <c r="E5145" s="17">
        <f>IF(B5145="","",IFERROR(INDEX(Clay_Brands!$A$2:$FZ$601,494,Sync!$D$6)&amp;"",""))</f>
        <v/>
      </c>
      <c r="F5145" s="17">
        <f>IF(B5145="","","outreach_sent")</f>
        <v/>
      </c>
      <c r="G5145" s="17">
        <f>IF(B5145="","","")</f>
        <v/>
      </c>
      <c r="H5145" s="17">
        <f>IF(B5145="","","")</f>
        <v/>
      </c>
      <c r="I5145" s="17">
        <f>IF(B5145="","","")</f>
        <v/>
      </c>
      <c r="J5145" s="17">
        <f>IF(B5145="","","touch_3; "&amp;IFERROR(INDEX(Clay_Brands!$A$2:$FZ$601,494,Sync!$D$10)&amp;"","")&amp;"; "&amp;IFERROR(INDEX(Clay_Brands!$A$2:$FZ$601,494,Sync!$D$9)&amp;"",""))</f>
        <v/>
      </c>
      <c r="K5145" t="inlineStr">
        <is>
          <t>brand outreach touch 3</t>
        </is>
      </c>
    </row>
    <row r="5146">
      <c r="A5146" s="17">
        <f>IF(B5146="","",B5146+(17*1000+495)/10000000)</f>
        <v/>
      </c>
      <c r="B5146" s="23">
        <f>IF(AND(IFERROR(N(INDEX(Clay_Brands!$A$2:$FZ$601,495,Sync!$D$13)),0)&gt;0,IFERROR(INDEX(Clay_Brands!$A$2:$FZ$601,495,Sync!$D$5)&amp;"","")&lt;&gt;"",OR(LEFT(IFERROR(INDEX(Clay_Brands!$A$2:$FZ$601,495,Sync!$D$5)&amp;"",""),6)&lt;&gt;"SAMPLE",Config!$B$19="Y")),IFERROR(N(INDEX(Clay_Brands!$A$2:$FZ$601,495,Sync!$D$13)),0),"")</f>
        <v/>
      </c>
      <c r="C5146" s="17">
        <f>IF(B5146="","","brand")</f>
        <v/>
      </c>
      <c r="D5146" s="17">
        <f>IF(B5146="","",IFERROR(INDEX(Clay_Brands!$A$2:$FZ$601,495,Sync!$D$5)&amp;"",""))</f>
        <v/>
      </c>
      <c r="E5146" s="17">
        <f>IF(B5146="","",IFERROR(INDEX(Clay_Brands!$A$2:$FZ$601,495,Sync!$D$6)&amp;"",""))</f>
        <v/>
      </c>
      <c r="F5146" s="17">
        <f>IF(B5146="","","outreach_sent")</f>
        <v/>
      </c>
      <c r="G5146" s="17">
        <f>IF(B5146="","","")</f>
        <v/>
      </c>
      <c r="H5146" s="17">
        <f>IF(B5146="","","")</f>
        <v/>
      </c>
      <c r="I5146" s="17">
        <f>IF(B5146="","","")</f>
        <v/>
      </c>
      <c r="J5146" s="17">
        <f>IF(B5146="","","touch_3; "&amp;IFERROR(INDEX(Clay_Brands!$A$2:$FZ$601,495,Sync!$D$10)&amp;"","")&amp;"; "&amp;IFERROR(INDEX(Clay_Brands!$A$2:$FZ$601,495,Sync!$D$9)&amp;"",""))</f>
        <v/>
      </c>
      <c r="K5146" t="inlineStr">
        <is>
          <t>brand outreach touch 3</t>
        </is>
      </c>
    </row>
    <row r="5147">
      <c r="A5147" s="17">
        <f>IF(B5147="","",B5147+(17*1000+496)/10000000)</f>
        <v/>
      </c>
      <c r="B5147" s="23">
        <f>IF(AND(IFERROR(N(INDEX(Clay_Brands!$A$2:$FZ$601,496,Sync!$D$13)),0)&gt;0,IFERROR(INDEX(Clay_Brands!$A$2:$FZ$601,496,Sync!$D$5)&amp;"","")&lt;&gt;"",OR(LEFT(IFERROR(INDEX(Clay_Brands!$A$2:$FZ$601,496,Sync!$D$5)&amp;"",""),6)&lt;&gt;"SAMPLE",Config!$B$19="Y")),IFERROR(N(INDEX(Clay_Brands!$A$2:$FZ$601,496,Sync!$D$13)),0),"")</f>
        <v/>
      </c>
      <c r="C5147" s="17">
        <f>IF(B5147="","","brand")</f>
        <v/>
      </c>
      <c r="D5147" s="17">
        <f>IF(B5147="","",IFERROR(INDEX(Clay_Brands!$A$2:$FZ$601,496,Sync!$D$5)&amp;"",""))</f>
        <v/>
      </c>
      <c r="E5147" s="17">
        <f>IF(B5147="","",IFERROR(INDEX(Clay_Brands!$A$2:$FZ$601,496,Sync!$D$6)&amp;"",""))</f>
        <v/>
      </c>
      <c r="F5147" s="17">
        <f>IF(B5147="","","outreach_sent")</f>
        <v/>
      </c>
      <c r="G5147" s="17">
        <f>IF(B5147="","","")</f>
        <v/>
      </c>
      <c r="H5147" s="17">
        <f>IF(B5147="","","")</f>
        <v/>
      </c>
      <c r="I5147" s="17">
        <f>IF(B5147="","","")</f>
        <v/>
      </c>
      <c r="J5147" s="17">
        <f>IF(B5147="","","touch_3; "&amp;IFERROR(INDEX(Clay_Brands!$A$2:$FZ$601,496,Sync!$D$10)&amp;"","")&amp;"; "&amp;IFERROR(INDEX(Clay_Brands!$A$2:$FZ$601,496,Sync!$D$9)&amp;"",""))</f>
        <v/>
      </c>
      <c r="K5147" t="inlineStr">
        <is>
          <t>brand outreach touch 3</t>
        </is>
      </c>
    </row>
    <row r="5148">
      <c r="A5148" s="17">
        <f>IF(B5148="","",B5148+(17*1000+497)/10000000)</f>
        <v/>
      </c>
      <c r="B5148" s="23">
        <f>IF(AND(IFERROR(N(INDEX(Clay_Brands!$A$2:$FZ$601,497,Sync!$D$13)),0)&gt;0,IFERROR(INDEX(Clay_Brands!$A$2:$FZ$601,497,Sync!$D$5)&amp;"","")&lt;&gt;"",OR(LEFT(IFERROR(INDEX(Clay_Brands!$A$2:$FZ$601,497,Sync!$D$5)&amp;"",""),6)&lt;&gt;"SAMPLE",Config!$B$19="Y")),IFERROR(N(INDEX(Clay_Brands!$A$2:$FZ$601,497,Sync!$D$13)),0),"")</f>
        <v/>
      </c>
      <c r="C5148" s="17">
        <f>IF(B5148="","","brand")</f>
        <v/>
      </c>
      <c r="D5148" s="17">
        <f>IF(B5148="","",IFERROR(INDEX(Clay_Brands!$A$2:$FZ$601,497,Sync!$D$5)&amp;"",""))</f>
        <v/>
      </c>
      <c r="E5148" s="17">
        <f>IF(B5148="","",IFERROR(INDEX(Clay_Brands!$A$2:$FZ$601,497,Sync!$D$6)&amp;"",""))</f>
        <v/>
      </c>
      <c r="F5148" s="17">
        <f>IF(B5148="","","outreach_sent")</f>
        <v/>
      </c>
      <c r="G5148" s="17">
        <f>IF(B5148="","","")</f>
        <v/>
      </c>
      <c r="H5148" s="17">
        <f>IF(B5148="","","")</f>
        <v/>
      </c>
      <c r="I5148" s="17">
        <f>IF(B5148="","","")</f>
        <v/>
      </c>
      <c r="J5148" s="17">
        <f>IF(B5148="","","touch_3; "&amp;IFERROR(INDEX(Clay_Brands!$A$2:$FZ$601,497,Sync!$D$10)&amp;"","")&amp;"; "&amp;IFERROR(INDEX(Clay_Brands!$A$2:$FZ$601,497,Sync!$D$9)&amp;"",""))</f>
        <v/>
      </c>
      <c r="K5148" t="inlineStr">
        <is>
          <t>brand outreach touch 3</t>
        </is>
      </c>
    </row>
    <row r="5149">
      <c r="A5149" s="17">
        <f>IF(B5149="","",B5149+(17*1000+498)/10000000)</f>
        <v/>
      </c>
      <c r="B5149" s="23">
        <f>IF(AND(IFERROR(N(INDEX(Clay_Brands!$A$2:$FZ$601,498,Sync!$D$13)),0)&gt;0,IFERROR(INDEX(Clay_Brands!$A$2:$FZ$601,498,Sync!$D$5)&amp;"","")&lt;&gt;"",OR(LEFT(IFERROR(INDEX(Clay_Brands!$A$2:$FZ$601,498,Sync!$D$5)&amp;"",""),6)&lt;&gt;"SAMPLE",Config!$B$19="Y")),IFERROR(N(INDEX(Clay_Brands!$A$2:$FZ$601,498,Sync!$D$13)),0),"")</f>
        <v/>
      </c>
      <c r="C5149" s="17">
        <f>IF(B5149="","","brand")</f>
        <v/>
      </c>
      <c r="D5149" s="17">
        <f>IF(B5149="","",IFERROR(INDEX(Clay_Brands!$A$2:$FZ$601,498,Sync!$D$5)&amp;"",""))</f>
        <v/>
      </c>
      <c r="E5149" s="17">
        <f>IF(B5149="","",IFERROR(INDEX(Clay_Brands!$A$2:$FZ$601,498,Sync!$D$6)&amp;"",""))</f>
        <v/>
      </c>
      <c r="F5149" s="17">
        <f>IF(B5149="","","outreach_sent")</f>
        <v/>
      </c>
      <c r="G5149" s="17">
        <f>IF(B5149="","","")</f>
        <v/>
      </c>
      <c r="H5149" s="17">
        <f>IF(B5149="","","")</f>
        <v/>
      </c>
      <c r="I5149" s="17">
        <f>IF(B5149="","","")</f>
        <v/>
      </c>
      <c r="J5149" s="17">
        <f>IF(B5149="","","touch_3; "&amp;IFERROR(INDEX(Clay_Brands!$A$2:$FZ$601,498,Sync!$D$10)&amp;"","")&amp;"; "&amp;IFERROR(INDEX(Clay_Brands!$A$2:$FZ$601,498,Sync!$D$9)&amp;"",""))</f>
        <v/>
      </c>
      <c r="K5149" t="inlineStr">
        <is>
          <t>brand outreach touch 3</t>
        </is>
      </c>
    </row>
    <row r="5150">
      <c r="A5150" s="17">
        <f>IF(B5150="","",B5150+(17*1000+499)/10000000)</f>
        <v/>
      </c>
      <c r="B5150" s="23">
        <f>IF(AND(IFERROR(N(INDEX(Clay_Brands!$A$2:$FZ$601,499,Sync!$D$13)),0)&gt;0,IFERROR(INDEX(Clay_Brands!$A$2:$FZ$601,499,Sync!$D$5)&amp;"","")&lt;&gt;"",OR(LEFT(IFERROR(INDEX(Clay_Brands!$A$2:$FZ$601,499,Sync!$D$5)&amp;"",""),6)&lt;&gt;"SAMPLE",Config!$B$19="Y")),IFERROR(N(INDEX(Clay_Brands!$A$2:$FZ$601,499,Sync!$D$13)),0),"")</f>
        <v/>
      </c>
      <c r="C5150" s="17">
        <f>IF(B5150="","","brand")</f>
        <v/>
      </c>
      <c r="D5150" s="17">
        <f>IF(B5150="","",IFERROR(INDEX(Clay_Brands!$A$2:$FZ$601,499,Sync!$D$5)&amp;"",""))</f>
        <v/>
      </c>
      <c r="E5150" s="17">
        <f>IF(B5150="","",IFERROR(INDEX(Clay_Brands!$A$2:$FZ$601,499,Sync!$D$6)&amp;"",""))</f>
        <v/>
      </c>
      <c r="F5150" s="17">
        <f>IF(B5150="","","outreach_sent")</f>
        <v/>
      </c>
      <c r="G5150" s="17">
        <f>IF(B5150="","","")</f>
        <v/>
      </c>
      <c r="H5150" s="17">
        <f>IF(B5150="","","")</f>
        <v/>
      </c>
      <c r="I5150" s="17">
        <f>IF(B5150="","","")</f>
        <v/>
      </c>
      <c r="J5150" s="17">
        <f>IF(B5150="","","touch_3; "&amp;IFERROR(INDEX(Clay_Brands!$A$2:$FZ$601,499,Sync!$D$10)&amp;"","")&amp;"; "&amp;IFERROR(INDEX(Clay_Brands!$A$2:$FZ$601,499,Sync!$D$9)&amp;"",""))</f>
        <v/>
      </c>
      <c r="K5150" t="inlineStr">
        <is>
          <t>brand outreach touch 3</t>
        </is>
      </c>
    </row>
    <row r="5151">
      <c r="A5151" s="17">
        <f>IF(B5151="","",B5151+(17*1000+500)/10000000)</f>
        <v/>
      </c>
      <c r="B5151" s="23">
        <f>IF(AND(IFERROR(N(INDEX(Clay_Brands!$A$2:$FZ$601,500,Sync!$D$13)),0)&gt;0,IFERROR(INDEX(Clay_Brands!$A$2:$FZ$601,500,Sync!$D$5)&amp;"","")&lt;&gt;"",OR(LEFT(IFERROR(INDEX(Clay_Brands!$A$2:$FZ$601,500,Sync!$D$5)&amp;"",""),6)&lt;&gt;"SAMPLE",Config!$B$19="Y")),IFERROR(N(INDEX(Clay_Brands!$A$2:$FZ$601,500,Sync!$D$13)),0),"")</f>
        <v/>
      </c>
      <c r="C5151" s="17">
        <f>IF(B5151="","","brand")</f>
        <v/>
      </c>
      <c r="D5151" s="17">
        <f>IF(B5151="","",IFERROR(INDEX(Clay_Brands!$A$2:$FZ$601,500,Sync!$D$5)&amp;"",""))</f>
        <v/>
      </c>
      <c r="E5151" s="17">
        <f>IF(B5151="","",IFERROR(INDEX(Clay_Brands!$A$2:$FZ$601,500,Sync!$D$6)&amp;"",""))</f>
        <v/>
      </c>
      <c r="F5151" s="17">
        <f>IF(B5151="","","outreach_sent")</f>
        <v/>
      </c>
      <c r="G5151" s="17">
        <f>IF(B5151="","","")</f>
        <v/>
      </c>
      <c r="H5151" s="17">
        <f>IF(B5151="","","")</f>
        <v/>
      </c>
      <c r="I5151" s="17">
        <f>IF(B5151="","","")</f>
        <v/>
      </c>
      <c r="J5151" s="17">
        <f>IF(B5151="","","touch_3; "&amp;IFERROR(INDEX(Clay_Brands!$A$2:$FZ$601,500,Sync!$D$10)&amp;"","")&amp;"; "&amp;IFERROR(INDEX(Clay_Brands!$A$2:$FZ$601,500,Sync!$D$9)&amp;"",""))</f>
        <v/>
      </c>
      <c r="K5151" t="inlineStr">
        <is>
          <t>brand outreach touch 3</t>
        </is>
      </c>
    </row>
    <row r="5152">
      <c r="A5152" s="17">
        <f>IF(B5152="","",B5152+(17*1000+501)/10000000)</f>
        <v/>
      </c>
      <c r="B5152" s="23">
        <f>IF(AND(IFERROR(N(INDEX(Clay_Brands!$A$2:$FZ$601,501,Sync!$D$13)),0)&gt;0,IFERROR(INDEX(Clay_Brands!$A$2:$FZ$601,501,Sync!$D$5)&amp;"","")&lt;&gt;"",OR(LEFT(IFERROR(INDEX(Clay_Brands!$A$2:$FZ$601,501,Sync!$D$5)&amp;"",""),6)&lt;&gt;"SAMPLE",Config!$B$19="Y")),IFERROR(N(INDEX(Clay_Brands!$A$2:$FZ$601,501,Sync!$D$13)),0),"")</f>
        <v/>
      </c>
      <c r="C5152" s="17">
        <f>IF(B5152="","","brand")</f>
        <v/>
      </c>
      <c r="D5152" s="17">
        <f>IF(B5152="","",IFERROR(INDEX(Clay_Brands!$A$2:$FZ$601,501,Sync!$D$5)&amp;"",""))</f>
        <v/>
      </c>
      <c r="E5152" s="17">
        <f>IF(B5152="","",IFERROR(INDEX(Clay_Brands!$A$2:$FZ$601,501,Sync!$D$6)&amp;"",""))</f>
        <v/>
      </c>
      <c r="F5152" s="17">
        <f>IF(B5152="","","outreach_sent")</f>
        <v/>
      </c>
      <c r="G5152" s="17">
        <f>IF(B5152="","","")</f>
        <v/>
      </c>
      <c r="H5152" s="17">
        <f>IF(B5152="","","")</f>
        <v/>
      </c>
      <c r="I5152" s="17">
        <f>IF(B5152="","","")</f>
        <v/>
      </c>
      <c r="J5152" s="17">
        <f>IF(B5152="","","touch_3; "&amp;IFERROR(INDEX(Clay_Brands!$A$2:$FZ$601,501,Sync!$D$10)&amp;"","")&amp;"; "&amp;IFERROR(INDEX(Clay_Brands!$A$2:$FZ$601,501,Sync!$D$9)&amp;"",""))</f>
        <v/>
      </c>
      <c r="K5152" t="inlineStr">
        <is>
          <t>brand outreach touch 3</t>
        </is>
      </c>
    </row>
    <row r="5153">
      <c r="A5153" s="17">
        <f>IF(B5153="","",B5153+(17*1000+502)/10000000)</f>
        <v/>
      </c>
      <c r="B5153" s="23">
        <f>IF(AND(IFERROR(N(INDEX(Clay_Brands!$A$2:$FZ$601,502,Sync!$D$13)),0)&gt;0,IFERROR(INDEX(Clay_Brands!$A$2:$FZ$601,502,Sync!$D$5)&amp;"","")&lt;&gt;"",OR(LEFT(IFERROR(INDEX(Clay_Brands!$A$2:$FZ$601,502,Sync!$D$5)&amp;"",""),6)&lt;&gt;"SAMPLE",Config!$B$19="Y")),IFERROR(N(INDEX(Clay_Brands!$A$2:$FZ$601,502,Sync!$D$13)),0),"")</f>
        <v/>
      </c>
      <c r="C5153" s="17">
        <f>IF(B5153="","","brand")</f>
        <v/>
      </c>
      <c r="D5153" s="17">
        <f>IF(B5153="","",IFERROR(INDEX(Clay_Brands!$A$2:$FZ$601,502,Sync!$D$5)&amp;"",""))</f>
        <v/>
      </c>
      <c r="E5153" s="17">
        <f>IF(B5153="","",IFERROR(INDEX(Clay_Brands!$A$2:$FZ$601,502,Sync!$D$6)&amp;"",""))</f>
        <v/>
      </c>
      <c r="F5153" s="17">
        <f>IF(B5153="","","outreach_sent")</f>
        <v/>
      </c>
      <c r="G5153" s="17">
        <f>IF(B5153="","","")</f>
        <v/>
      </c>
      <c r="H5153" s="17">
        <f>IF(B5153="","","")</f>
        <v/>
      </c>
      <c r="I5153" s="17">
        <f>IF(B5153="","","")</f>
        <v/>
      </c>
      <c r="J5153" s="17">
        <f>IF(B5153="","","touch_3; "&amp;IFERROR(INDEX(Clay_Brands!$A$2:$FZ$601,502,Sync!$D$10)&amp;"","")&amp;"; "&amp;IFERROR(INDEX(Clay_Brands!$A$2:$FZ$601,502,Sync!$D$9)&amp;"",""))</f>
        <v/>
      </c>
      <c r="K5153" t="inlineStr">
        <is>
          <t>brand outreach touch 3</t>
        </is>
      </c>
    </row>
    <row r="5154">
      <c r="A5154" s="17">
        <f>IF(B5154="","",B5154+(17*1000+503)/10000000)</f>
        <v/>
      </c>
      <c r="B5154" s="23">
        <f>IF(AND(IFERROR(N(INDEX(Clay_Brands!$A$2:$FZ$601,503,Sync!$D$13)),0)&gt;0,IFERROR(INDEX(Clay_Brands!$A$2:$FZ$601,503,Sync!$D$5)&amp;"","")&lt;&gt;"",OR(LEFT(IFERROR(INDEX(Clay_Brands!$A$2:$FZ$601,503,Sync!$D$5)&amp;"",""),6)&lt;&gt;"SAMPLE",Config!$B$19="Y")),IFERROR(N(INDEX(Clay_Brands!$A$2:$FZ$601,503,Sync!$D$13)),0),"")</f>
        <v/>
      </c>
      <c r="C5154" s="17">
        <f>IF(B5154="","","brand")</f>
        <v/>
      </c>
      <c r="D5154" s="17">
        <f>IF(B5154="","",IFERROR(INDEX(Clay_Brands!$A$2:$FZ$601,503,Sync!$D$5)&amp;"",""))</f>
        <v/>
      </c>
      <c r="E5154" s="17">
        <f>IF(B5154="","",IFERROR(INDEX(Clay_Brands!$A$2:$FZ$601,503,Sync!$D$6)&amp;"",""))</f>
        <v/>
      </c>
      <c r="F5154" s="17">
        <f>IF(B5154="","","outreach_sent")</f>
        <v/>
      </c>
      <c r="G5154" s="17">
        <f>IF(B5154="","","")</f>
        <v/>
      </c>
      <c r="H5154" s="17">
        <f>IF(B5154="","","")</f>
        <v/>
      </c>
      <c r="I5154" s="17">
        <f>IF(B5154="","","")</f>
        <v/>
      </c>
      <c r="J5154" s="17">
        <f>IF(B5154="","","touch_3; "&amp;IFERROR(INDEX(Clay_Brands!$A$2:$FZ$601,503,Sync!$D$10)&amp;"","")&amp;"; "&amp;IFERROR(INDEX(Clay_Brands!$A$2:$FZ$601,503,Sync!$D$9)&amp;"",""))</f>
        <v/>
      </c>
      <c r="K5154" t="inlineStr">
        <is>
          <t>brand outreach touch 3</t>
        </is>
      </c>
    </row>
    <row r="5155">
      <c r="A5155" s="17">
        <f>IF(B5155="","",B5155+(17*1000+504)/10000000)</f>
        <v/>
      </c>
      <c r="B5155" s="23">
        <f>IF(AND(IFERROR(N(INDEX(Clay_Brands!$A$2:$FZ$601,504,Sync!$D$13)),0)&gt;0,IFERROR(INDEX(Clay_Brands!$A$2:$FZ$601,504,Sync!$D$5)&amp;"","")&lt;&gt;"",OR(LEFT(IFERROR(INDEX(Clay_Brands!$A$2:$FZ$601,504,Sync!$D$5)&amp;"",""),6)&lt;&gt;"SAMPLE",Config!$B$19="Y")),IFERROR(N(INDEX(Clay_Brands!$A$2:$FZ$601,504,Sync!$D$13)),0),"")</f>
        <v/>
      </c>
      <c r="C5155" s="17">
        <f>IF(B5155="","","brand")</f>
        <v/>
      </c>
      <c r="D5155" s="17">
        <f>IF(B5155="","",IFERROR(INDEX(Clay_Brands!$A$2:$FZ$601,504,Sync!$D$5)&amp;"",""))</f>
        <v/>
      </c>
      <c r="E5155" s="17">
        <f>IF(B5155="","",IFERROR(INDEX(Clay_Brands!$A$2:$FZ$601,504,Sync!$D$6)&amp;"",""))</f>
        <v/>
      </c>
      <c r="F5155" s="17">
        <f>IF(B5155="","","outreach_sent")</f>
        <v/>
      </c>
      <c r="G5155" s="17">
        <f>IF(B5155="","","")</f>
        <v/>
      </c>
      <c r="H5155" s="17">
        <f>IF(B5155="","","")</f>
        <v/>
      </c>
      <c r="I5155" s="17">
        <f>IF(B5155="","","")</f>
        <v/>
      </c>
      <c r="J5155" s="17">
        <f>IF(B5155="","","touch_3; "&amp;IFERROR(INDEX(Clay_Brands!$A$2:$FZ$601,504,Sync!$D$10)&amp;"","")&amp;"; "&amp;IFERROR(INDEX(Clay_Brands!$A$2:$FZ$601,504,Sync!$D$9)&amp;"",""))</f>
        <v/>
      </c>
      <c r="K5155" t="inlineStr">
        <is>
          <t>brand outreach touch 3</t>
        </is>
      </c>
    </row>
    <row r="5156">
      <c r="A5156" s="17">
        <f>IF(B5156="","",B5156+(17*1000+505)/10000000)</f>
        <v/>
      </c>
      <c r="B5156" s="23">
        <f>IF(AND(IFERROR(N(INDEX(Clay_Brands!$A$2:$FZ$601,505,Sync!$D$13)),0)&gt;0,IFERROR(INDEX(Clay_Brands!$A$2:$FZ$601,505,Sync!$D$5)&amp;"","")&lt;&gt;"",OR(LEFT(IFERROR(INDEX(Clay_Brands!$A$2:$FZ$601,505,Sync!$D$5)&amp;"",""),6)&lt;&gt;"SAMPLE",Config!$B$19="Y")),IFERROR(N(INDEX(Clay_Brands!$A$2:$FZ$601,505,Sync!$D$13)),0),"")</f>
        <v/>
      </c>
      <c r="C5156" s="17">
        <f>IF(B5156="","","brand")</f>
        <v/>
      </c>
      <c r="D5156" s="17">
        <f>IF(B5156="","",IFERROR(INDEX(Clay_Brands!$A$2:$FZ$601,505,Sync!$D$5)&amp;"",""))</f>
        <v/>
      </c>
      <c r="E5156" s="17">
        <f>IF(B5156="","",IFERROR(INDEX(Clay_Brands!$A$2:$FZ$601,505,Sync!$D$6)&amp;"",""))</f>
        <v/>
      </c>
      <c r="F5156" s="17">
        <f>IF(B5156="","","outreach_sent")</f>
        <v/>
      </c>
      <c r="G5156" s="17">
        <f>IF(B5156="","","")</f>
        <v/>
      </c>
      <c r="H5156" s="17">
        <f>IF(B5156="","","")</f>
        <v/>
      </c>
      <c r="I5156" s="17">
        <f>IF(B5156="","","")</f>
        <v/>
      </c>
      <c r="J5156" s="17">
        <f>IF(B5156="","","touch_3; "&amp;IFERROR(INDEX(Clay_Brands!$A$2:$FZ$601,505,Sync!$D$10)&amp;"","")&amp;"; "&amp;IFERROR(INDEX(Clay_Brands!$A$2:$FZ$601,505,Sync!$D$9)&amp;"",""))</f>
        <v/>
      </c>
      <c r="K5156" t="inlineStr">
        <is>
          <t>brand outreach touch 3</t>
        </is>
      </c>
    </row>
    <row r="5157">
      <c r="A5157" s="17">
        <f>IF(B5157="","",B5157+(17*1000+506)/10000000)</f>
        <v/>
      </c>
      <c r="B5157" s="23">
        <f>IF(AND(IFERROR(N(INDEX(Clay_Brands!$A$2:$FZ$601,506,Sync!$D$13)),0)&gt;0,IFERROR(INDEX(Clay_Brands!$A$2:$FZ$601,506,Sync!$D$5)&amp;"","")&lt;&gt;"",OR(LEFT(IFERROR(INDEX(Clay_Brands!$A$2:$FZ$601,506,Sync!$D$5)&amp;"",""),6)&lt;&gt;"SAMPLE",Config!$B$19="Y")),IFERROR(N(INDEX(Clay_Brands!$A$2:$FZ$601,506,Sync!$D$13)),0),"")</f>
        <v/>
      </c>
      <c r="C5157" s="17">
        <f>IF(B5157="","","brand")</f>
        <v/>
      </c>
      <c r="D5157" s="17">
        <f>IF(B5157="","",IFERROR(INDEX(Clay_Brands!$A$2:$FZ$601,506,Sync!$D$5)&amp;"",""))</f>
        <v/>
      </c>
      <c r="E5157" s="17">
        <f>IF(B5157="","",IFERROR(INDEX(Clay_Brands!$A$2:$FZ$601,506,Sync!$D$6)&amp;"",""))</f>
        <v/>
      </c>
      <c r="F5157" s="17">
        <f>IF(B5157="","","outreach_sent")</f>
        <v/>
      </c>
      <c r="G5157" s="17">
        <f>IF(B5157="","","")</f>
        <v/>
      </c>
      <c r="H5157" s="17">
        <f>IF(B5157="","","")</f>
        <v/>
      </c>
      <c r="I5157" s="17">
        <f>IF(B5157="","","")</f>
        <v/>
      </c>
      <c r="J5157" s="17">
        <f>IF(B5157="","","touch_3; "&amp;IFERROR(INDEX(Clay_Brands!$A$2:$FZ$601,506,Sync!$D$10)&amp;"","")&amp;"; "&amp;IFERROR(INDEX(Clay_Brands!$A$2:$FZ$601,506,Sync!$D$9)&amp;"",""))</f>
        <v/>
      </c>
      <c r="K5157" t="inlineStr">
        <is>
          <t>brand outreach touch 3</t>
        </is>
      </c>
    </row>
    <row r="5158">
      <c r="A5158" s="17">
        <f>IF(B5158="","",B5158+(17*1000+507)/10000000)</f>
        <v/>
      </c>
      <c r="B5158" s="23">
        <f>IF(AND(IFERROR(N(INDEX(Clay_Brands!$A$2:$FZ$601,507,Sync!$D$13)),0)&gt;0,IFERROR(INDEX(Clay_Brands!$A$2:$FZ$601,507,Sync!$D$5)&amp;"","")&lt;&gt;"",OR(LEFT(IFERROR(INDEX(Clay_Brands!$A$2:$FZ$601,507,Sync!$D$5)&amp;"",""),6)&lt;&gt;"SAMPLE",Config!$B$19="Y")),IFERROR(N(INDEX(Clay_Brands!$A$2:$FZ$601,507,Sync!$D$13)),0),"")</f>
        <v/>
      </c>
      <c r="C5158" s="17">
        <f>IF(B5158="","","brand")</f>
        <v/>
      </c>
      <c r="D5158" s="17">
        <f>IF(B5158="","",IFERROR(INDEX(Clay_Brands!$A$2:$FZ$601,507,Sync!$D$5)&amp;"",""))</f>
        <v/>
      </c>
      <c r="E5158" s="17">
        <f>IF(B5158="","",IFERROR(INDEX(Clay_Brands!$A$2:$FZ$601,507,Sync!$D$6)&amp;"",""))</f>
        <v/>
      </c>
      <c r="F5158" s="17">
        <f>IF(B5158="","","outreach_sent")</f>
        <v/>
      </c>
      <c r="G5158" s="17">
        <f>IF(B5158="","","")</f>
        <v/>
      </c>
      <c r="H5158" s="17">
        <f>IF(B5158="","","")</f>
        <v/>
      </c>
      <c r="I5158" s="17">
        <f>IF(B5158="","","")</f>
        <v/>
      </c>
      <c r="J5158" s="17">
        <f>IF(B5158="","","touch_3; "&amp;IFERROR(INDEX(Clay_Brands!$A$2:$FZ$601,507,Sync!$D$10)&amp;"","")&amp;"; "&amp;IFERROR(INDEX(Clay_Brands!$A$2:$FZ$601,507,Sync!$D$9)&amp;"",""))</f>
        <v/>
      </c>
      <c r="K5158" t="inlineStr">
        <is>
          <t>brand outreach touch 3</t>
        </is>
      </c>
    </row>
    <row r="5159">
      <c r="A5159" s="17">
        <f>IF(B5159="","",B5159+(17*1000+508)/10000000)</f>
        <v/>
      </c>
      <c r="B5159" s="23">
        <f>IF(AND(IFERROR(N(INDEX(Clay_Brands!$A$2:$FZ$601,508,Sync!$D$13)),0)&gt;0,IFERROR(INDEX(Clay_Brands!$A$2:$FZ$601,508,Sync!$D$5)&amp;"","")&lt;&gt;"",OR(LEFT(IFERROR(INDEX(Clay_Brands!$A$2:$FZ$601,508,Sync!$D$5)&amp;"",""),6)&lt;&gt;"SAMPLE",Config!$B$19="Y")),IFERROR(N(INDEX(Clay_Brands!$A$2:$FZ$601,508,Sync!$D$13)),0),"")</f>
        <v/>
      </c>
      <c r="C5159" s="17">
        <f>IF(B5159="","","brand")</f>
        <v/>
      </c>
      <c r="D5159" s="17">
        <f>IF(B5159="","",IFERROR(INDEX(Clay_Brands!$A$2:$FZ$601,508,Sync!$D$5)&amp;"",""))</f>
        <v/>
      </c>
      <c r="E5159" s="17">
        <f>IF(B5159="","",IFERROR(INDEX(Clay_Brands!$A$2:$FZ$601,508,Sync!$D$6)&amp;"",""))</f>
        <v/>
      </c>
      <c r="F5159" s="17">
        <f>IF(B5159="","","outreach_sent")</f>
        <v/>
      </c>
      <c r="G5159" s="17">
        <f>IF(B5159="","","")</f>
        <v/>
      </c>
      <c r="H5159" s="17">
        <f>IF(B5159="","","")</f>
        <v/>
      </c>
      <c r="I5159" s="17">
        <f>IF(B5159="","","")</f>
        <v/>
      </c>
      <c r="J5159" s="17">
        <f>IF(B5159="","","touch_3; "&amp;IFERROR(INDEX(Clay_Brands!$A$2:$FZ$601,508,Sync!$D$10)&amp;"","")&amp;"; "&amp;IFERROR(INDEX(Clay_Brands!$A$2:$FZ$601,508,Sync!$D$9)&amp;"",""))</f>
        <v/>
      </c>
      <c r="K5159" t="inlineStr">
        <is>
          <t>brand outreach touch 3</t>
        </is>
      </c>
    </row>
    <row r="5160">
      <c r="A5160" s="17">
        <f>IF(B5160="","",B5160+(17*1000+509)/10000000)</f>
        <v/>
      </c>
      <c r="B5160" s="23">
        <f>IF(AND(IFERROR(N(INDEX(Clay_Brands!$A$2:$FZ$601,509,Sync!$D$13)),0)&gt;0,IFERROR(INDEX(Clay_Brands!$A$2:$FZ$601,509,Sync!$D$5)&amp;"","")&lt;&gt;"",OR(LEFT(IFERROR(INDEX(Clay_Brands!$A$2:$FZ$601,509,Sync!$D$5)&amp;"",""),6)&lt;&gt;"SAMPLE",Config!$B$19="Y")),IFERROR(N(INDEX(Clay_Brands!$A$2:$FZ$601,509,Sync!$D$13)),0),"")</f>
        <v/>
      </c>
      <c r="C5160" s="17">
        <f>IF(B5160="","","brand")</f>
        <v/>
      </c>
      <c r="D5160" s="17">
        <f>IF(B5160="","",IFERROR(INDEX(Clay_Brands!$A$2:$FZ$601,509,Sync!$D$5)&amp;"",""))</f>
        <v/>
      </c>
      <c r="E5160" s="17">
        <f>IF(B5160="","",IFERROR(INDEX(Clay_Brands!$A$2:$FZ$601,509,Sync!$D$6)&amp;"",""))</f>
        <v/>
      </c>
      <c r="F5160" s="17">
        <f>IF(B5160="","","outreach_sent")</f>
        <v/>
      </c>
      <c r="G5160" s="17">
        <f>IF(B5160="","","")</f>
        <v/>
      </c>
      <c r="H5160" s="17">
        <f>IF(B5160="","","")</f>
        <v/>
      </c>
      <c r="I5160" s="17">
        <f>IF(B5160="","","")</f>
        <v/>
      </c>
      <c r="J5160" s="17">
        <f>IF(B5160="","","touch_3; "&amp;IFERROR(INDEX(Clay_Brands!$A$2:$FZ$601,509,Sync!$D$10)&amp;"","")&amp;"; "&amp;IFERROR(INDEX(Clay_Brands!$A$2:$FZ$601,509,Sync!$D$9)&amp;"",""))</f>
        <v/>
      </c>
      <c r="K5160" t="inlineStr">
        <is>
          <t>brand outreach touch 3</t>
        </is>
      </c>
    </row>
    <row r="5161">
      <c r="A5161" s="17">
        <f>IF(B5161="","",B5161+(17*1000+510)/10000000)</f>
        <v/>
      </c>
      <c r="B5161" s="23">
        <f>IF(AND(IFERROR(N(INDEX(Clay_Brands!$A$2:$FZ$601,510,Sync!$D$13)),0)&gt;0,IFERROR(INDEX(Clay_Brands!$A$2:$FZ$601,510,Sync!$D$5)&amp;"","")&lt;&gt;"",OR(LEFT(IFERROR(INDEX(Clay_Brands!$A$2:$FZ$601,510,Sync!$D$5)&amp;"",""),6)&lt;&gt;"SAMPLE",Config!$B$19="Y")),IFERROR(N(INDEX(Clay_Brands!$A$2:$FZ$601,510,Sync!$D$13)),0),"")</f>
        <v/>
      </c>
      <c r="C5161" s="17">
        <f>IF(B5161="","","brand")</f>
        <v/>
      </c>
      <c r="D5161" s="17">
        <f>IF(B5161="","",IFERROR(INDEX(Clay_Brands!$A$2:$FZ$601,510,Sync!$D$5)&amp;"",""))</f>
        <v/>
      </c>
      <c r="E5161" s="17">
        <f>IF(B5161="","",IFERROR(INDEX(Clay_Brands!$A$2:$FZ$601,510,Sync!$D$6)&amp;"",""))</f>
        <v/>
      </c>
      <c r="F5161" s="17">
        <f>IF(B5161="","","outreach_sent")</f>
        <v/>
      </c>
      <c r="G5161" s="17">
        <f>IF(B5161="","","")</f>
        <v/>
      </c>
      <c r="H5161" s="17">
        <f>IF(B5161="","","")</f>
        <v/>
      </c>
      <c r="I5161" s="17">
        <f>IF(B5161="","","")</f>
        <v/>
      </c>
      <c r="J5161" s="17">
        <f>IF(B5161="","","touch_3; "&amp;IFERROR(INDEX(Clay_Brands!$A$2:$FZ$601,510,Sync!$D$10)&amp;"","")&amp;"; "&amp;IFERROR(INDEX(Clay_Brands!$A$2:$FZ$601,510,Sync!$D$9)&amp;"",""))</f>
        <v/>
      </c>
      <c r="K5161" t="inlineStr">
        <is>
          <t>brand outreach touch 3</t>
        </is>
      </c>
    </row>
    <row r="5162">
      <c r="A5162" s="17">
        <f>IF(B5162="","",B5162+(17*1000+511)/10000000)</f>
        <v/>
      </c>
      <c r="B5162" s="23">
        <f>IF(AND(IFERROR(N(INDEX(Clay_Brands!$A$2:$FZ$601,511,Sync!$D$13)),0)&gt;0,IFERROR(INDEX(Clay_Brands!$A$2:$FZ$601,511,Sync!$D$5)&amp;"","")&lt;&gt;"",OR(LEFT(IFERROR(INDEX(Clay_Brands!$A$2:$FZ$601,511,Sync!$D$5)&amp;"",""),6)&lt;&gt;"SAMPLE",Config!$B$19="Y")),IFERROR(N(INDEX(Clay_Brands!$A$2:$FZ$601,511,Sync!$D$13)),0),"")</f>
        <v/>
      </c>
      <c r="C5162" s="17">
        <f>IF(B5162="","","brand")</f>
        <v/>
      </c>
      <c r="D5162" s="17">
        <f>IF(B5162="","",IFERROR(INDEX(Clay_Brands!$A$2:$FZ$601,511,Sync!$D$5)&amp;"",""))</f>
        <v/>
      </c>
      <c r="E5162" s="17">
        <f>IF(B5162="","",IFERROR(INDEX(Clay_Brands!$A$2:$FZ$601,511,Sync!$D$6)&amp;"",""))</f>
        <v/>
      </c>
      <c r="F5162" s="17">
        <f>IF(B5162="","","outreach_sent")</f>
        <v/>
      </c>
      <c r="G5162" s="17">
        <f>IF(B5162="","","")</f>
        <v/>
      </c>
      <c r="H5162" s="17">
        <f>IF(B5162="","","")</f>
        <v/>
      </c>
      <c r="I5162" s="17">
        <f>IF(B5162="","","")</f>
        <v/>
      </c>
      <c r="J5162" s="17">
        <f>IF(B5162="","","touch_3; "&amp;IFERROR(INDEX(Clay_Brands!$A$2:$FZ$601,511,Sync!$D$10)&amp;"","")&amp;"; "&amp;IFERROR(INDEX(Clay_Brands!$A$2:$FZ$601,511,Sync!$D$9)&amp;"",""))</f>
        <v/>
      </c>
      <c r="K5162" t="inlineStr">
        <is>
          <t>brand outreach touch 3</t>
        </is>
      </c>
    </row>
    <row r="5163">
      <c r="A5163" s="17">
        <f>IF(B5163="","",B5163+(17*1000+512)/10000000)</f>
        <v/>
      </c>
      <c r="B5163" s="23">
        <f>IF(AND(IFERROR(N(INDEX(Clay_Brands!$A$2:$FZ$601,512,Sync!$D$13)),0)&gt;0,IFERROR(INDEX(Clay_Brands!$A$2:$FZ$601,512,Sync!$D$5)&amp;"","")&lt;&gt;"",OR(LEFT(IFERROR(INDEX(Clay_Brands!$A$2:$FZ$601,512,Sync!$D$5)&amp;"",""),6)&lt;&gt;"SAMPLE",Config!$B$19="Y")),IFERROR(N(INDEX(Clay_Brands!$A$2:$FZ$601,512,Sync!$D$13)),0),"")</f>
        <v/>
      </c>
      <c r="C5163" s="17">
        <f>IF(B5163="","","brand")</f>
        <v/>
      </c>
      <c r="D5163" s="17">
        <f>IF(B5163="","",IFERROR(INDEX(Clay_Brands!$A$2:$FZ$601,512,Sync!$D$5)&amp;"",""))</f>
        <v/>
      </c>
      <c r="E5163" s="17">
        <f>IF(B5163="","",IFERROR(INDEX(Clay_Brands!$A$2:$FZ$601,512,Sync!$D$6)&amp;"",""))</f>
        <v/>
      </c>
      <c r="F5163" s="17">
        <f>IF(B5163="","","outreach_sent")</f>
        <v/>
      </c>
      <c r="G5163" s="17">
        <f>IF(B5163="","","")</f>
        <v/>
      </c>
      <c r="H5163" s="17">
        <f>IF(B5163="","","")</f>
        <v/>
      </c>
      <c r="I5163" s="17">
        <f>IF(B5163="","","")</f>
        <v/>
      </c>
      <c r="J5163" s="17">
        <f>IF(B5163="","","touch_3; "&amp;IFERROR(INDEX(Clay_Brands!$A$2:$FZ$601,512,Sync!$D$10)&amp;"","")&amp;"; "&amp;IFERROR(INDEX(Clay_Brands!$A$2:$FZ$601,512,Sync!$D$9)&amp;"",""))</f>
        <v/>
      </c>
      <c r="K5163" t="inlineStr">
        <is>
          <t>brand outreach touch 3</t>
        </is>
      </c>
    </row>
    <row r="5164">
      <c r="A5164" s="17">
        <f>IF(B5164="","",B5164+(17*1000+513)/10000000)</f>
        <v/>
      </c>
      <c r="B5164" s="23">
        <f>IF(AND(IFERROR(N(INDEX(Clay_Brands!$A$2:$FZ$601,513,Sync!$D$13)),0)&gt;0,IFERROR(INDEX(Clay_Brands!$A$2:$FZ$601,513,Sync!$D$5)&amp;"","")&lt;&gt;"",OR(LEFT(IFERROR(INDEX(Clay_Brands!$A$2:$FZ$601,513,Sync!$D$5)&amp;"",""),6)&lt;&gt;"SAMPLE",Config!$B$19="Y")),IFERROR(N(INDEX(Clay_Brands!$A$2:$FZ$601,513,Sync!$D$13)),0),"")</f>
        <v/>
      </c>
      <c r="C5164" s="17">
        <f>IF(B5164="","","brand")</f>
        <v/>
      </c>
      <c r="D5164" s="17">
        <f>IF(B5164="","",IFERROR(INDEX(Clay_Brands!$A$2:$FZ$601,513,Sync!$D$5)&amp;"",""))</f>
        <v/>
      </c>
      <c r="E5164" s="17">
        <f>IF(B5164="","",IFERROR(INDEX(Clay_Brands!$A$2:$FZ$601,513,Sync!$D$6)&amp;"",""))</f>
        <v/>
      </c>
      <c r="F5164" s="17">
        <f>IF(B5164="","","outreach_sent")</f>
        <v/>
      </c>
      <c r="G5164" s="17">
        <f>IF(B5164="","","")</f>
        <v/>
      </c>
      <c r="H5164" s="17">
        <f>IF(B5164="","","")</f>
        <v/>
      </c>
      <c r="I5164" s="17">
        <f>IF(B5164="","","")</f>
        <v/>
      </c>
      <c r="J5164" s="17">
        <f>IF(B5164="","","touch_3; "&amp;IFERROR(INDEX(Clay_Brands!$A$2:$FZ$601,513,Sync!$D$10)&amp;"","")&amp;"; "&amp;IFERROR(INDEX(Clay_Brands!$A$2:$FZ$601,513,Sync!$D$9)&amp;"",""))</f>
        <v/>
      </c>
      <c r="K5164" t="inlineStr">
        <is>
          <t>brand outreach touch 3</t>
        </is>
      </c>
    </row>
    <row r="5165">
      <c r="A5165" s="17">
        <f>IF(B5165="","",B5165+(17*1000+514)/10000000)</f>
        <v/>
      </c>
      <c r="B5165" s="23">
        <f>IF(AND(IFERROR(N(INDEX(Clay_Brands!$A$2:$FZ$601,514,Sync!$D$13)),0)&gt;0,IFERROR(INDEX(Clay_Brands!$A$2:$FZ$601,514,Sync!$D$5)&amp;"","")&lt;&gt;"",OR(LEFT(IFERROR(INDEX(Clay_Brands!$A$2:$FZ$601,514,Sync!$D$5)&amp;"",""),6)&lt;&gt;"SAMPLE",Config!$B$19="Y")),IFERROR(N(INDEX(Clay_Brands!$A$2:$FZ$601,514,Sync!$D$13)),0),"")</f>
        <v/>
      </c>
      <c r="C5165" s="17">
        <f>IF(B5165="","","brand")</f>
        <v/>
      </c>
      <c r="D5165" s="17">
        <f>IF(B5165="","",IFERROR(INDEX(Clay_Brands!$A$2:$FZ$601,514,Sync!$D$5)&amp;"",""))</f>
        <v/>
      </c>
      <c r="E5165" s="17">
        <f>IF(B5165="","",IFERROR(INDEX(Clay_Brands!$A$2:$FZ$601,514,Sync!$D$6)&amp;"",""))</f>
        <v/>
      </c>
      <c r="F5165" s="17">
        <f>IF(B5165="","","outreach_sent")</f>
        <v/>
      </c>
      <c r="G5165" s="17">
        <f>IF(B5165="","","")</f>
        <v/>
      </c>
      <c r="H5165" s="17">
        <f>IF(B5165="","","")</f>
        <v/>
      </c>
      <c r="I5165" s="17">
        <f>IF(B5165="","","")</f>
        <v/>
      </c>
      <c r="J5165" s="17">
        <f>IF(B5165="","","touch_3; "&amp;IFERROR(INDEX(Clay_Brands!$A$2:$FZ$601,514,Sync!$D$10)&amp;"","")&amp;"; "&amp;IFERROR(INDEX(Clay_Brands!$A$2:$FZ$601,514,Sync!$D$9)&amp;"",""))</f>
        <v/>
      </c>
      <c r="K5165" t="inlineStr">
        <is>
          <t>brand outreach touch 3</t>
        </is>
      </c>
    </row>
    <row r="5166">
      <c r="A5166" s="17">
        <f>IF(B5166="","",B5166+(17*1000+515)/10000000)</f>
        <v/>
      </c>
      <c r="B5166" s="23">
        <f>IF(AND(IFERROR(N(INDEX(Clay_Brands!$A$2:$FZ$601,515,Sync!$D$13)),0)&gt;0,IFERROR(INDEX(Clay_Brands!$A$2:$FZ$601,515,Sync!$D$5)&amp;"","")&lt;&gt;"",OR(LEFT(IFERROR(INDEX(Clay_Brands!$A$2:$FZ$601,515,Sync!$D$5)&amp;"",""),6)&lt;&gt;"SAMPLE",Config!$B$19="Y")),IFERROR(N(INDEX(Clay_Brands!$A$2:$FZ$601,515,Sync!$D$13)),0),"")</f>
        <v/>
      </c>
      <c r="C5166" s="17">
        <f>IF(B5166="","","brand")</f>
        <v/>
      </c>
      <c r="D5166" s="17">
        <f>IF(B5166="","",IFERROR(INDEX(Clay_Brands!$A$2:$FZ$601,515,Sync!$D$5)&amp;"",""))</f>
        <v/>
      </c>
      <c r="E5166" s="17">
        <f>IF(B5166="","",IFERROR(INDEX(Clay_Brands!$A$2:$FZ$601,515,Sync!$D$6)&amp;"",""))</f>
        <v/>
      </c>
      <c r="F5166" s="17">
        <f>IF(B5166="","","outreach_sent")</f>
        <v/>
      </c>
      <c r="G5166" s="17">
        <f>IF(B5166="","","")</f>
        <v/>
      </c>
      <c r="H5166" s="17">
        <f>IF(B5166="","","")</f>
        <v/>
      </c>
      <c r="I5166" s="17">
        <f>IF(B5166="","","")</f>
        <v/>
      </c>
      <c r="J5166" s="17">
        <f>IF(B5166="","","touch_3; "&amp;IFERROR(INDEX(Clay_Brands!$A$2:$FZ$601,515,Sync!$D$10)&amp;"","")&amp;"; "&amp;IFERROR(INDEX(Clay_Brands!$A$2:$FZ$601,515,Sync!$D$9)&amp;"",""))</f>
        <v/>
      </c>
      <c r="K5166" t="inlineStr">
        <is>
          <t>brand outreach touch 3</t>
        </is>
      </c>
    </row>
    <row r="5167">
      <c r="A5167" s="17">
        <f>IF(B5167="","",B5167+(17*1000+516)/10000000)</f>
        <v/>
      </c>
      <c r="B5167" s="23">
        <f>IF(AND(IFERROR(N(INDEX(Clay_Brands!$A$2:$FZ$601,516,Sync!$D$13)),0)&gt;0,IFERROR(INDEX(Clay_Brands!$A$2:$FZ$601,516,Sync!$D$5)&amp;"","")&lt;&gt;"",OR(LEFT(IFERROR(INDEX(Clay_Brands!$A$2:$FZ$601,516,Sync!$D$5)&amp;"",""),6)&lt;&gt;"SAMPLE",Config!$B$19="Y")),IFERROR(N(INDEX(Clay_Brands!$A$2:$FZ$601,516,Sync!$D$13)),0),"")</f>
        <v/>
      </c>
      <c r="C5167" s="17">
        <f>IF(B5167="","","brand")</f>
        <v/>
      </c>
      <c r="D5167" s="17">
        <f>IF(B5167="","",IFERROR(INDEX(Clay_Brands!$A$2:$FZ$601,516,Sync!$D$5)&amp;"",""))</f>
        <v/>
      </c>
      <c r="E5167" s="17">
        <f>IF(B5167="","",IFERROR(INDEX(Clay_Brands!$A$2:$FZ$601,516,Sync!$D$6)&amp;"",""))</f>
        <v/>
      </c>
      <c r="F5167" s="17">
        <f>IF(B5167="","","outreach_sent")</f>
        <v/>
      </c>
      <c r="G5167" s="17">
        <f>IF(B5167="","","")</f>
        <v/>
      </c>
      <c r="H5167" s="17">
        <f>IF(B5167="","","")</f>
        <v/>
      </c>
      <c r="I5167" s="17">
        <f>IF(B5167="","","")</f>
        <v/>
      </c>
      <c r="J5167" s="17">
        <f>IF(B5167="","","touch_3; "&amp;IFERROR(INDEX(Clay_Brands!$A$2:$FZ$601,516,Sync!$D$10)&amp;"","")&amp;"; "&amp;IFERROR(INDEX(Clay_Brands!$A$2:$FZ$601,516,Sync!$D$9)&amp;"",""))</f>
        <v/>
      </c>
      <c r="K5167" t="inlineStr">
        <is>
          <t>brand outreach touch 3</t>
        </is>
      </c>
    </row>
    <row r="5168">
      <c r="A5168" s="17">
        <f>IF(B5168="","",B5168+(17*1000+517)/10000000)</f>
        <v/>
      </c>
      <c r="B5168" s="23">
        <f>IF(AND(IFERROR(N(INDEX(Clay_Brands!$A$2:$FZ$601,517,Sync!$D$13)),0)&gt;0,IFERROR(INDEX(Clay_Brands!$A$2:$FZ$601,517,Sync!$D$5)&amp;"","")&lt;&gt;"",OR(LEFT(IFERROR(INDEX(Clay_Brands!$A$2:$FZ$601,517,Sync!$D$5)&amp;"",""),6)&lt;&gt;"SAMPLE",Config!$B$19="Y")),IFERROR(N(INDEX(Clay_Brands!$A$2:$FZ$601,517,Sync!$D$13)),0),"")</f>
        <v/>
      </c>
      <c r="C5168" s="17">
        <f>IF(B5168="","","brand")</f>
        <v/>
      </c>
      <c r="D5168" s="17">
        <f>IF(B5168="","",IFERROR(INDEX(Clay_Brands!$A$2:$FZ$601,517,Sync!$D$5)&amp;"",""))</f>
        <v/>
      </c>
      <c r="E5168" s="17">
        <f>IF(B5168="","",IFERROR(INDEX(Clay_Brands!$A$2:$FZ$601,517,Sync!$D$6)&amp;"",""))</f>
        <v/>
      </c>
      <c r="F5168" s="17">
        <f>IF(B5168="","","outreach_sent")</f>
        <v/>
      </c>
      <c r="G5168" s="17">
        <f>IF(B5168="","","")</f>
        <v/>
      </c>
      <c r="H5168" s="17">
        <f>IF(B5168="","","")</f>
        <v/>
      </c>
      <c r="I5168" s="17">
        <f>IF(B5168="","","")</f>
        <v/>
      </c>
      <c r="J5168" s="17">
        <f>IF(B5168="","","touch_3; "&amp;IFERROR(INDEX(Clay_Brands!$A$2:$FZ$601,517,Sync!$D$10)&amp;"","")&amp;"; "&amp;IFERROR(INDEX(Clay_Brands!$A$2:$FZ$601,517,Sync!$D$9)&amp;"",""))</f>
        <v/>
      </c>
      <c r="K5168" t="inlineStr">
        <is>
          <t>brand outreach touch 3</t>
        </is>
      </c>
    </row>
    <row r="5169">
      <c r="A5169" s="17">
        <f>IF(B5169="","",B5169+(17*1000+518)/10000000)</f>
        <v/>
      </c>
      <c r="B5169" s="23">
        <f>IF(AND(IFERROR(N(INDEX(Clay_Brands!$A$2:$FZ$601,518,Sync!$D$13)),0)&gt;0,IFERROR(INDEX(Clay_Brands!$A$2:$FZ$601,518,Sync!$D$5)&amp;"","")&lt;&gt;"",OR(LEFT(IFERROR(INDEX(Clay_Brands!$A$2:$FZ$601,518,Sync!$D$5)&amp;"",""),6)&lt;&gt;"SAMPLE",Config!$B$19="Y")),IFERROR(N(INDEX(Clay_Brands!$A$2:$FZ$601,518,Sync!$D$13)),0),"")</f>
        <v/>
      </c>
      <c r="C5169" s="17">
        <f>IF(B5169="","","brand")</f>
        <v/>
      </c>
      <c r="D5169" s="17">
        <f>IF(B5169="","",IFERROR(INDEX(Clay_Brands!$A$2:$FZ$601,518,Sync!$D$5)&amp;"",""))</f>
        <v/>
      </c>
      <c r="E5169" s="17">
        <f>IF(B5169="","",IFERROR(INDEX(Clay_Brands!$A$2:$FZ$601,518,Sync!$D$6)&amp;"",""))</f>
        <v/>
      </c>
      <c r="F5169" s="17">
        <f>IF(B5169="","","outreach_sent")</f>
        <v/>
      </c>
      <c r="G5169" s="17">
        <f>IF(B5169="","","")</f>
        <v/>
      </c>
      <c r="H5169" s="17">
        <f>IF(B5169="","","")</f>
        <v/>
      </c>
      <c r="I5169" s="17">
        <f>IF(B5169="","","")</f>
        <v/>
      </c>
      <c r="J5169" s="17">
        <f>IF(B5169="","","touch_3; "&amp;IFERROR(INDEX(Clay_Brands!$A$2:$FZ$601,518,Sync!$D$10)&amp;"","")&amp;"; "&amp;IFERROR(INDEX(Clay_Brands!$A$2:$FZ$601,518,Sync!$D$9)&amp;"",""))</f>
        <v/>
      </c>
      <c r="K5169" t="inlineStr">
        <is>
          <t>brand outreach touch 3</t>
        </is>
      </c>
    </row>
    <row r="5170">
      <c r="A5170" s="17">
        <f>IF(B5170="","",B5170+(17*1000+519)/10000000)</f>
        <v/>
      </c>
      <c r="B5170" s="23">
        <f>IF(AND(IFERROR(N(INDEX(Clay_Brands!$A$2:$FZ$601,519,Sync!$D$13)),0)&gt;0,IFERROR(INDEX(Clay_Brands!$A$2:$FZ$601,519,Sync!$D$5)&amp;"","")&lt;&gt;"",OR(LEFT(IFERROR(INDEX(Clay_Brands!$A$2:$FZ$601,519,Sync!$D$5)&amp;"",""),6)&lt;&gt;"SAMPLE",Config!$B$19="Y")),IFERROR(N(INDEX(Clay_Brands!$A$2:$FZ$601,519,Sync!$D$13)),0),"")</f>
        <v/>
      </c>
      <c r="C5170" s="17">
        <f>IF(B5170="","","brand")</f>
        <v/>
      </c>
      <c r="D5170" s="17">
        <f>IF(B5170="","",IFERROR(INDEX(Clay_Brands!$A$2:$FZ$601,519,Sync!$D$5)&amp;"",""))</f>
        <v/>
      </c>
      <c r="E5170" s="17">
        <f>IF(B5170="","",IFERROR(INDEX(Clay_Brands!$A$2:$FZ$601,519,Sync!$D$6)&amp;"",""))</f>
        <v/>
      </c>
      <c r="F5170" s="17">
        <f>IF(B5170="","","outreach_sent")</f>
        <v/>
      </c>
      <c r="G5170" s="17">
        <f>IF(B5170="","","")</f>
        <v/>
      </c>
      <c r="H5170" s="17">
        <f>IF(B5170="","","")</f>
        <v/>
      </c>
      <c r="I5170" s="17">
        <f>IF(B5170="","","")</f>
        <v/>
      </c>
      <c r="J5170" s="17">
        <f>IF(B5170="","","touch_3; "&amp;IFERROR(INDEX(Clay_Brands!$A$2:$FZ$601,519,Sync!$D$10)&amp;"","")&amp;"; "&amp;IFERROR(INDEX(Clay_Brands!$A$2:$FZ$601,519,Sync!$D$9)&amp;"",""))</f>
        <v/>
      </c>
      <c r="K5170" t="inlineStr">
        <is>
          <t>brand outreach touch 3</t>
        </is>
      </c>
    </row>
    <row r="5171">
      <c r="A5171" s="17">
        <f>IF(B5171="","",B5171+(17*1000+520)/10000000)</f>
        <v/>
      </c>
      <c r="B5171" s="23">
        <f>IF(AND(IFERROR(N(INDEX(Clay_Brands!$A$2:$FZ$601,520,Sync!$D$13)),0)&gt;0,IFERROR(INDEX(Clay_Brands!$A$2:$FZ$601,520,Sync!$D$5)&amp;"","")&lt;&gt;"",OR(LEFT(IFERROR(INDEX(Clay_Brands!$A$2:$FZ$601,520,Sync!$D$5)&amp;"",""),6)&lt;&gt;"SAMPLE",Config!$B$19="Y")),IFERROR(N(INDEX(Clay_Brands!$A$2:$FZ$601,520,Sync!$D$13)),0),"")</f>
        <v/>
      </c>
      <c r="C5171" s="17">
        <f>IF(B5171="","","brand")</f>
        <v/>
      </c>
      <c r="D5171" s="17">
        <f>IF(B5171="","",IFERROR(INDEX(Clay_Brands!$A$2:$FZ$601,520,Sync!$D$5)&amp;"",""))</f>
        <v/>
      </c>
      <c r="E5171" s="17">
        <f>IF(B5171="","",IFERROR(INDEX(Clay_Brands!$A$2:$FZ$601,520,Sync!$D$6)&amp;"",""))</f>
        <v/>
      </c>
      <c r="F5171" s="17">
        <f>IF(B5171="","","outreach_sent")</f>
        <v/>
      </c>
      <c r="G5171" s="17">
        <f>IF(B5171="","","")</f>
        <v/>
      </c>
      <c r="H5171" s="17">
        <f>IF(B5171="","","")</f>
        <v/>
      </c>
      <c r="I5171" s="17">
        <f>IF(B5171="","","")</f>
        <v/>
      </c>
      <c r="J5171" s="17">
        <f>IF(B5171="","","touch_3; "&amp;IFERROR(INDEX(Clay_Brands!$A$2:$FZ$601,520,Sync!$D$10)&amp;"","")&amp;"; "&amp;IFERROR(INDEX(Clay_Brands!$A$2:$FZ$601,520,Sync!$D$9)&amp;"",""))</f>
        <v/>
      </c>
      <c r="K5171" t="inlineStr">
        <is>
          <t>brand outreach touch 3</t>
        </is>
      </c>
    </row>
    <row r="5172">
      <c r="A5172" s="17">
        <f>IF(B5172="","",B5172+(17*1000+521)/10000000)</f>
        <v/>
      </c>
      <c r="B5172" s="23">
        <f>IF(AND(IFERROR(N(INDEX(Clay_Brands!$A$2:$FZ$601,521,Sync!$D$13)),0)&gt;0,IFERROR(INDEX(Clay_Brands!$A$2:$FZ$601,521,Sync!$D$5)&amp;"","")&lt;&gt;"",OR(LEFT(IFERROR(INDEX(Clay_Brands!$A$2:$FZ$601,521,Sync!$D$5)&amp;"",""),6)&lt;&gt;"SAMPLE",Config!$B$19="Y")),IFERROR(N(INDEX(Clay_Brands!$A$2:$FZ$601,521,Sync!$D$13)),0),"")</f>
        <v/>
      </c>
      <c r="C5172" s="17">
        <f>IF(B5172="","","brand")</f>
        <v/>
      </c>
      <c r="D5172" s="17">
        <f>IF(B5172="","",IFERROR(INDEX(Clay_Brands!$A$2:$FZ$601,521,Sync!$D$5)&amp;"",""))</f>
        <v/>
      </c>
      <c r="E5172" s="17">
        <f>IF(B5172="","",IFERROR(INDEX(Clay_Brands!$A$2:$FZ$601,521,Sync!$D$6)&amp;"",""))</f>
        <v/>
      </c>
      <c r="F5172" s="17">
        <f>IF(B5172="","","outreach_sent")</f>
        <v/>
      </c>
      <c r="G5172" s="17">
        <f>IF(B5172="","","")</f>
        <v/>
      </c>
      <c r="H5172" s="17">
        <f>IF(B5172="","","")</f>
        <v/>
      </c>
      <c r="I5172" s="17">
        <f>IF(B5172="","","")</f>
        <v/>
      </c>
      <c r="J5172" s="17">
        <f>IF(B5172="","","touch_3; "&amp;IFERROR(INDEX(Clay_Brands!$A$2:$FZ$601,521,Sync!$D$10)&amp;"","")&amp;"; "&amp;IFERROR(INDEX(Clay_Brands!$A$2:$FZ$601,521,Sync!$D$9)&amp;"",""))</f>
        <v/>
      </c>
      <c r="K5172" t="inlineStr">
        <is>
          <t>brand outreach touch 3</t>
        </is>
      </c>
    </row>
    <row r="5173">
      <c r="A5173" s="17">
        <f>IF(B5173="","",B5173+(17*1000+522)/10000000)</f>
        <v/>
      </c>
      <c r="B5173" s="23">
        <f>IF(AND(IFERROR(N(INDEX(Clay_Brands!$A$2:$FZ$601,522,Sync!$D$13)),0)&gt;0,IFERROR(INDEX(Clay_Brands!$A$2:$FZ$601,522,Sync!$D$5)&amp;"","")&lt;&gt;"",OR(LEFT(IFERROR(INDEX(Clay_Brands!$A$2:$FZ$601,522,Sync!$D$5)&amp;"",""),6)&lt;&gt;"SAMPLE",Config!$B$19="Y")),IFERROR(N(INDEX(Clay_Brands!$A$2:$FZ$601,522,Sync!$D$13)),0),"")</f>
        <v/>
      </c>
      <c r="C5173" s="17">
        <f>IF(B5173="","","brand")</f>
        <v/>
      </c>
      <c r="D5173" s="17">
        <f>IF(B5173="","",IFERROR(INDEX(Clay_Brands!$A$2:$FZ$601,522,Sync!$D$5)&amp;"",""))</f>
        <v/>
      </c>
      <c r="E5173" s="17">
        <f>IF(B5173="","",IFERROR(INDEX(Clay_Brands!$A$2:$FZ$601,522,Sync!$D$6)&amp;"",""))</f>
        <v/>
      </c>
      <c r="F5173" s="17">
        <f>IF(B5173="","","outreach_sent")</f>
        <v/>
      </c>
      <c r="G5173" s="17">
        <f>IF(B5173="","","")</f>
        <v/>
      </c>
      <c r="H5173" s="17">
        <f>IF(B5173="","","")</f>
        <v/>
      </c>
      <c r="I5173" s="17">
        <f>IF(B5173="","","")</f>
        <v/>
      </c>
      <c r="J5173" s="17">
        <f>IF(B5173="","","touch_3; "&amp;IFERROR(INDEX(Clay_Brands!$A$2:$FZ$601,522,Sync!$D$10)&amp;"","")&amp;"; "&amp;IFERROR(INDEX(Clay_Brands!$A$2:$FZ$601,522,Sync!$D$9)&amp;"",""))</f>
        <v/>
      </c>
      <c r="K5173" t="inlineStr">
        <is>
          <t>brand outreach touch 3</t>
        </is>
      </c>
    </row>
    <row r="5174">
      <c r="A5174" s="17">
        <f>IF(B5174="","",B5174+(17*1000+523)/10000000)</f>
        <v/>
      </c>
      <c r="B5174" s="23">
        <f>IF(AND(IFERROR(N(INDEX(Clay_Brands!$A$2:$FZ$601,523,Sync!$D$13)),0)&gt;0,IFERROR(INDEX(Clay_Brands!$A$2:$FZ$601,523,Sync!$D$5)&amp;"","")&lt;&gt;"",OR(LEFT(IFERROR(INDEX(Clay_Brands!$A$2:$FZ$601,523,Sync!$D$5)&amp;"",""),6)&lt;&gt;"SAMPLE",Config!$B$19="Y")),IFERROR(N(INDEX(Clay_Brands!$A$2:$FZ$601,523,Sync!$D$13)),0),"")</f>
        <v/>
      </c>
      <c r="C5174" s="17">
        <f>IF(B5174="","","brand")</f>
        <v/>
      </c>
      <c r="D5174" s="17">
        <f>IF(B5174="","",IFERROR(INDEX(Clay_Brands!$A$2:$FZ$601,523,Sync!$D$5)&amp;"",""))</f>
        <v/>
      </c>
      <c r="E5174" s="17">
        <f>IF(B5174="","",IFERROR(INDEX(Clay_Brands!$A$2:$FZ$601,523,Sync!$D$6)&amp;"",""))</f>
        <v/>
      </c>
      <c r="F5174" s="17">
        <f>IF(B5174="","","outreach_sent")</f>
        <v/>
      </c>
      <c r="G5174" s="17">
        <f>IF(B5174="","","")</f>
        <v/>
      </c>
      <c r="H5174" s="17">
        <f>IF(B5174="","","")</f>
        <v/>
      </c>
      <c r="I5174" s="17">
        <f>IF(B5174="","","")</f>
        <v/>
      </c>
      <c r="J5174" s="17">
        <f>IF(B5174="","","touch_3; "&amp;IFERROR(INDEX(Clay_Brands!$A$2:$FZ$601,523,Sync!$D$10)&amp;"","")&amp;"; "&amp;IFERROR(INDEX(Clay_Brands!$A$2:$FZ$601,523,Sync!$D$9)&amp;"",""))</f>
        <v/>
      </c>
      <c r="K5174" t="inlineStr">
        <is>
          <t>brand outreach touch 3</t>
        </is>
      </c>
    </row>
    <row r="5175">
      <c r="A5175" s="17">
        <f>IF(B5175="","",B5175+(17*1000+524)/10000000)</f>
        <v/>
      </c>
      <c r="B5175" s="23">
        <f>IF(AND(IFERROR(N(INDEX(Clay_Brands!$A$2:$FZ$601,524,Sync!$D$13)),0)&gt;0,IFERROR(INDEX(Clay_Brands!$A$2:$FZ$601,524,Sync!$D$5)&amp;"","")&lt;&gt;"",OR(LEFT(IFERROR(INDEX(Clay_Brands!$A$2:$FZ$601,524,Sync!$D$5)&amp;"",""),6)&lt;&gt;"SAMPLE",Config!$B$19="Y")),IFERROR(N(INDEX(Clay_Brands!$A$2:$FZ$601,524,Sync!$D$13)),0),"")</f>
        <v/>
      </c>
      <c r="C5175" s="17">
        <f>IF(B5175="","","brand")</f>
        <v/>
      </c>
      <c r="D5175" s="17">
        <f>IF(B5175="","",IFERROR(INDEX(Clay_Brands!$A$2:$FZ$601,524,Sync!$D$5)&amp;"",""))</f>
        <v/>
      </c>
      <c r="E5175" s="17">
        <f>IF(B5175="","",IFERROR(INDEX(Clay_Brands!$A$2:$FZ$601,524,Sync!$D$6)&amp;"",""))</f>
        <v/>
      </c>
      <c r="F5175" s="17">
        <f>IF(B5175="","","outreach_sent")</f>
        <v/>
      </c>
      <c r="G5175" s="17">
        <f>IF(B5175="","","")</f>
        <v/>
      </c>
      <c r="H5175" s="17">
        <f>IF(B5175="","","")</f>
        <v/>
      </c>
      <c r="I5175" s="17">
        <f>IF(B5175="","","")</f>
        <v/>
      </c>
      <c r="J5175" s="17">
        <f>IF(B5175="","","touch_3; "&amp;IFERROR(INDEX(Clay_Brands!$A$2:$FZ$601,524,Sync!$D$10)&amp;"","")&amp;"; "&amp;IFERROR(INDEX(Clay_Brands!$A$2:$FZ$601,524,Sync!$D$9)&amp;"",""))</f>
        <v/>
      </c>
      <c r="K5175" t="inlineStr">
        <is>
          <t>brand outreach touch 3</t>
        </is>
      </c>
    </row>
    <row r="5176">
      <c r="A5176" s="17">
        <f>IF(B5176="","",B5176+(17*1000+525)/10000000)</f>
        <v/>
      </c>
      <c r="B5176" s="23">
        <f>IF(AND(IFERROR(N(INDEX(Clay_Brands!$A$2:$FZ$601,525,Sync!$D$13)),0)&gt;0,IFERROR(INDEX(Clay_Brands!$A$2:$FZ$601,525,Sync!$D$5)&amp;"","")&lt;&gt;"",OR(LEFT(IFERROR(INDEX(Clay_Brands!$A$2:$FZ$601,525,Sync!$D$5)&amp;"",""),6)&lt;&gt;"SAMPLE",Config!$B$19="Y")),IFERROR(N(INDEX(Clay_Brands!$A$2:$FZ$601,525,Sync!$D$13)),0),"")</f>
        <v/>
      </c>
      <c r="C5176" s="17">
        <f>IF(B5176="","","brand")</f>
        <v/>
      </c>
      <c r="D5176" s="17">
        <f>IF(B5176="","",IFERROR(INDEX(Clay_Brands!$A$2:$FZ$601,525,Sync!$D$5)&amp;"",""))</f>
        <v/>
      </c>
      <c r="E5176" s="17">
        <f>IF(B5176="","",IFERROR(INDEX(Clay_Brands!$A$2:$FZ$601,525,Sync!$D$6)&amp;"",""))</f>
        <v/>
      </c>
      <c r="F5176" s="17">
        <f>IF(B5176="","","outreach_sent")</f>
        <v/>
      </c>
      <c r="G5176" s="17">
        <f>IF(B5176="","","")</f>
        <v/>
      </c>
      <c r="H5176" s="17">
        <f>IF(B5176="","","")</f>
        <v/>
      </c>
      <c r="I5176" s="17">
        <f>IF(B5176="","","")</f>
        <v/>
      </c>
      <c r="J5176" s="17">
        <f>IF(B5176="","","touch_3; "&amp;IFERROR(INDEX(Clay_Brands!$A$2:$FZ$601,525,Sync!$D$10)&amp;"","")&amp;"; "&amp;IFERROR(INDEX(Clay_Brands!$A$2:$FZ$601,525,Sync!$D$9)&amp;"",""))</f>
        <v/>
      </c>
      <c r="K5176" t="inlineStr">
        <is>
          <t>brand outreach touch 3</t>
        </is>
      </c>
    </row>
    <row r="5177">
      <c r="A5177" s="17">
        <f>IF(B5177="","",B5177+(17*1000+526)/10000000)</f>
        <v/>
      </c>
      <c r="B5177" s="23">
        <f>IF(AND(IFERROR(N(INDEX(Clay_Brands!$A$2:$FZ$601,526,Sync!$D$13)),0)&gt;0,IFERROR(INDEX(Clay_Brands!$A$2:$FZ$601,526,Sync!$D$5)&amp;"","")&lt;&gt;"",OR(LEFT(IFERROR(INDEX(Clay_Brands!$A$2:$FZ$601,526,Sync!$D$5)&amp;"",""),6)&lt;&gt;"SAMPLE",Config!$B$19="Y")),IFERROR(N(INDEX(Clay_Brands!$A$2:$FZ$601,526,Sync!$D$13)),0),"")</f>
        <v/>
      </c>
      <c r="C5177" s="17">
        <f>IF(B5177="","","brand")</f>
        <v/>
      </c>
      <c r="D5177" s="17">
        <f>IF(B5177="","",IFERROR(INDEX(Clay_Brands!$A$2:$FZ$601,526,Sync!$D$5)&amp;"",""))</f>
        <v/>
      </c>
      <c r="E5177" s="17">
        <f>IF(B5177="","",IFERROR(INDEX(Clay_Brands!$A$2:$FZ$601,526,Sync!$D$6)&amp;"",""))</f>
        <v/>
      </c>
      <c r="F5177" s="17">
        <f>IF(B5177="","","outreach_sent")</f>
        <v/>
      </c>
      <c r="G5177" s="17">
        <f>IF(B5177="","","")</f>
        <v/>
      </c>
      <c r="H5177" s="17">
        <f>IF(B5177="","","")</f>
        <v/>
      </c>
      <c r="I5177" s="17">
        <f>IF(B5177="","","")</f>
        <v/>
      </c>
      <c r="J5177" s="17">
        <f>IF(B5177="","","touch_3; "&amp;IFERROR(INDEX(Clay_Brands!$A$2:$FZ$601,526,Sync!$D$10)&amp;"","")&amp;"; "&amp;IFERROR(INDEX(Clay_Brands!$A$2:$FZ$601,526,Sync!$D$9)&amp;"",""))</f>
        <v/>
      </c>
      <c r="K5177" t="inlineStr">
        <is>
          <t>brand outreach touch 3</t>
        </is>
      </c>
    </row>
    <row r="5178">
      <c r="A5178" s="17">
        <f>IF(B5178="","",B5178+(17*1000+527)/10000000)</f>
        <v/>
      </c>
      <c r="B5178" s="23">
        <f>IF(AND(IFERROR(N(INDEX(Clay_Brands!$A$2:$FZ$601,527,Sync!$D$13)),0)&gt;0,IFERROR(INDEX(Clay_Brands!$A$2:$FZ$601,527,Sync!$D$5)&amp;"","")&lt;&gt;"",OR(LEFT(IFERROR(INDEX(Clay_Brands!$A$2:$FZ$601,527,Sync!$D$5)&amp;"",""),6)&lt;&gt;"SAMPLE",Config!$B$19="Y")),IFERROR(N(INDEX(Clay_Brands!$A$2:$FZ$601,527,Sync!$D$13)),0),"")</f>
        <v/>
      </c>
      <c r="C5178" s="17">
        <f>IF(B5178="","","brand")</f>
        <v/>
      </c>
      <c r="D5178" s="17">
        <f>IF(B5178="","",IFERROR(INDEX(Clay_Brands!$A$2:$FZ$601,527,Sync!$D$5)&amp;"",""))</f>
        <v/>
      </c>
      <c r="E5178" s="17">
        <f>IF(B5178="","",IFERROR(INDEX(Clay_Brands!$A$2:$FZ$601,527,Sync!$D$6)&amp;"",""))</f>
        <v/>
      </c>
      <c r="F5178" s="17">
        <f>IF(B5178="","","outreach_sent")</f>
        <v/>
      </c>
      <c r="G5178" s="17">
        <f>IF(B5178="","","")</f>
        <v/>
      </c>
      <c r="H5178" s="17">
        <f>IF(B5178="","","")</f>
        <v/>
      </c>
      <c r="I5178" s="17">
        <f>IF(B5178="","","")</f>
        <v/>
      </c>
      <c r="J5178" s="17">
        <f>IF(B5178="","","touch_3; "&amp;IFERROR(INDEX(Clay_Brands!$A$2:$FZ$601,527,Sync!$D$10)&amp;"","")&amp;"; "&amp;IFERROR(INDEX(Clay_Brands!$A$2:$FZ$601,527,Sync!$D$9)&amp;"",""))</f>
        <v/>
      </c>
      <c r="K5178" t="inlineStr">
        <is>
          <t>brand outreach touch 3</t>
        </is>
      </c>
    </row>
    <row r="5179">
      <c r="A5179" s="17">
        <f>IF(B5179="","",B5179+(17*1000+528)/10000000)</f>
        <v/>
      </c>
      <c r="B5179" s="23">
        <f>IF(AND(IFERROR(N(INDEX(Clay_Brands!$A$2:$FZ$601,528,Sync!$D$13)),0)&gt;0,IFERROR(INDEX(Clay_Brands!$A$2:$FZ$601,528,Sync!$D$5)&amp;"","")&lt;&gt;"",OR(LEFT(IFERROR(INDEX(Clay_Brands!$A$2:$FZ$601,528,Sync!$D$5)&amp;"",""),6)&lt;&gt;"SAMPLE",Config!$B$19="Y")),IFERROR(N(INDEX(Clay_Brands!$A$2:$FZ$601,528,Sync!$D$13)),0),"")</f>
        <v/>
      </c>
      <c r="C5179" s="17">
        <f>IF(B5179="","","brand")</f>
        <v/>
      </c>
      <c r="D5179" s="17">
        <f>IF(B5179="","",IFERROR(INDEX(Clay_Brands!$A$2:$FZ$601,528,Sync!$D$5)&amp;"",""))</f>
        <v/>
      </c>
      <c r="E5179" s="17">
        <f>IF(B5179="","",IFERROR(INDEX(Clay_Brands!$A$2:$FZ$601,528,Sync!$D$6)&amp;"",""))</f>
        <v/>
      </c>
      <c r="F5179" s="17">
        <f>IF(B5179="","","outreach_sent")</f>
        <v/>
      </c>
      <c r="G5179" s="17">
        <f>IF(B5179="","","")</f>
        <v/>
      </c>
      <c r="H5179" s="17">
        <f>IF(B5179="","","")</f>
        <v/>
      </c>
      <c r="I5179" s="17">
        <f>IF(B5179="","","")</f>
        <v/>
      </c>
      <c r="J5179" s="17">
        <f>IF(B5179="","","touch_3; "&amp;IFERROR(INDEX(Clay_Brands!$A$2:$FZ$601,528,Sync!$D$10)&amp;"","")&amp;"; "&amp;IFERROR(INDEX(Clay_Brands!$A$2:$FZ$601,528,Sync!$D$9)&amp;"",""))</f>
        <v/>
      </c>
      <c r="K5179" t="inlineStr">
        <is>
          <t>brand outreach touch 3</t>
        </is>
      </c>
    </row>
    <row r="5180">
      <c r="A5180" s="17">
        <f>IF(B5180="","",B5180+(17*1000+529)/10000000)</f>
        <v/>
      </c>
      <c r="B5180" s="23">
        <f>IF(AND(IFERROR(N(INDEX(Clay_Brands!$A$2:$FZ$601,529,Sync!$D$13)),0)&gt;0,IFERROR(INDEX(Clay_Brands!$A$2:$FZ$601,529,Sync!$D$5)&amp;"","")&lt;&gt;"",OR(LEFT(IFERROR(INDEX(Clay_Brands!$A$2:$FZ$601,529,Sync!$D$5)&amp;"",""),6)&lt;&gt;"SAMPLE",Config!$B$19="Y")),IFERROR(N(INDEX(Clay_Brands!$A$2:$FZ$601,529,Sync!$D$13)),0),"")</f>
        <v/>
      </c>
      <c r="C5180" s="17">
        <f>IF(B5180="","","brand")</f>
        <v/>
      </c>
      <c r="D5180" s="17">
        <f>IF(B5180="","",IFERROR(INDEX(Clay_Brands!$A$2:$FZ$601,529,Sync!$D$5)&amp;"",""))</f>
        <v/>
      </c>
      <c r="E5180" s="17">
        <f>IF(B5180="","",IFERROR(INDEX(Clay_Brands!$A$2:$FZ$601,529,Sync!$D$6)&amp;"",""))</f>
        <v/>
      </c>
      <c r="F5180" s="17">
        <f>IF(B5180="","","outreach_sent")</f>
        <v/>
      </c>
      <c r="G5180" s="17">
        <f>IF(B5180="","","")</f>
        <v/>
      </c>
      <c r="H5180" s="17">
        <f>IF(B5180="","","")</f>
        <v/>
      </c>
      <c r="I5180" s="17">
        <f>IF(B5180="","","")</f>
        <v/>
      </c>
      <c r="J5180" s="17">
        <f>IF(B5180="","","touch_3; "&amp;IFERROR(INDEX(Clay_Brands!$A$2:$FZ$601,529,Sync!$D$10)&amp;"","")&amp;"; "&amp;IFERROR(INDEX(Clay_Brands!$A$2:$FZ$601,529,Sync!$D$9)&amp;"",""))</f>
        <v/>
      </c>
      <c r="K5180" t="inlineStr">
        <is>
          <t>brand outreach touch 3</t>
        </is>
      </c>
    </row>
    <row r="5181">
      <c r="A5181" s="17">
        <f>IF(B5181="","",B5181+(17*1000+530)/10000000)</f>
        <v/>
      </c>
      <c r="B5181" s="23">
        <f>IF(AND(IFERROR(N(INDEX(Clay_Brands!$A$2:$FZ$601,530,Sync!$D$13)),0)&gt;0,IFERROR(INDEX(Clay_Brands!$A$2:$FZ$601,530,Sync!$D$5)&amp;"","")&lt;&gt;"",OR(LEFT(IFERROR(INDEX(Clay_Brands!$A$2:$FZ$601,530,Sync!$D$5)&amp;"",""),6)&lt;&gt;"SAMPLE",Config!$B$19="Y")),IFERROR(N(INDEX(Clay_Brands!$A$2:$FZ$601,530,Sync!$D$13)),0),"")</f>
        <v/>
      </c>
      <c r="C5181" s="17">
        <f>IF(B5181="","","brand")</f>
        <v/>
      </c>
      <c r="D5181" s="17">
        <f>IF(B5181="","",IFERROR(INDEX(Clay_Brands!$A$2:$FZ$601,530,Sync!$D$5)&amp;"",""))</f>
        <v/>
      </c>
      <c r="E5181" s="17">
        <f>IF(B5181="","",IFERROR(INDEX(Clay_Brands!$A$2:$FZ$601,530,Sync!$D$6)&amp;"",""))</f>
        <v/>
      </c>
      <c r="F5181" s="17">
        <f>IF(B5181="","","outreach_sent")</f>
        <v/>
      </c>
      <c r="G5181" s="17">
        <f>IF(B5181="","","")</f>
        <v/>
      </c>
      <c r="H5181" s="17">
        <f>IF(B5181="","","")</f>
        <v/>
      </c>
      <c r="I5181" s="17">
        <f>IF(B5181="","","")</f>
        <v/>
      </c>
      <c r="J5181" s="17">
        <f>IF(B5181="","","touch_3; "&amp;IFERROR(INDEX(Clay_Brands!$A$2:$FZ$601,530,Sync!$D$10)&amp;"","")&amp;"; "&amp;IFERROR(INDEX(Clay_Brands!$A$2:$FZ$601,530,Sync!$D$9)&amp;"",""))</f>
        <v/>
      </c>
      <c r="K5181" t="inlineStr">
        <is>
          <t>brand outreach touch 3</t>
        </is>
      </c>
    </row>
    <row r="5182">
      <c r="A5182" s="17">
        <f>IF(B5182="","",B5182+(17*1000+531)/10000000)</f>
        <v/>
      </c>
      <c r="B5182" s="23">
        <f>IF(AND(IFERROR(N(INDEX(Clay_Brands!$A$2:$FZ$601,531,Sync!$D$13)),0)&gt;0,IFERROR(INDEX(Clay_Brands!$A$2:$FZ$601,531,Sync!$D$5)&amp;"","")&lt;&gt;"",OR(LEFT(IFERROR(INDEX(Clay_Brands!$A$2:$FZ$601,531,Sync!$D$5)&amp;"",""),6)&lt;&gt;"SAMPLE",Config!$B$19="Y")),IFERROR(N(INDEX(Clay_Brands!$A$2:$FZ$601,531,Sync!$D$13)),0),"")</f>
        <v/>
      </c>
      <c r="C5182" s="17">
        <f>IF(B5182="","","brand")</f>
        <v/>
      </c>
      <c r="D5182" s="17">
        <f>IF(B5182="","",IFERROR(INDEX(Clay_Brands!$A$2:$FZ$601,531,Sync!$D$5)&amp;"",""))</f>
        <v/>
      </c>
      <c r="E5182" s="17">
        <f>IF(B5182="","",IFERROR(INDEX(Clay_Brands!$A$2:$FZ$601,531,Sync!$D$6)&amp;"",""))</f>
        <v/>
      </c>
      <c r="F5182" s="17">
        <f>IF(B5182="","","outreach_sent")</f>
        <v/>
      </c>
      <c r="G5182" s="17">
        <f>IF(B5182="","","")</f>
        <v/>
      </c>
      <c r="H5182" s="17">
        <f>IF(B5182="","","")</f>
        <v/>
      </c>
      <c r="I5182" s="17">
        <f>IF(B5182="","","")</f>
        <v/>
      </c>
      <c r="J5182" s="17">
        <f>IF(B5182="","","touch_3; "&amp;IFERROR(INDEX(Clay_Brands!$A$2:$FZ$601,531,Sync!$D$10)&amp;"","")&amp;"; "&amp;IFERROR(INDEX(Clay_Brands!$A$2:$FZ$601,531,Sync!$D$9)&amp;"",""))</f>
        <v/>
      </c>
      <c r="K5182" t="inlineStr">
        <is>
          <t>brand outreach touch 3</t>
        </is>
      </c>
    </row>
    <row r="5183">
      <c r="A5183" s="17">
        <f>IF(B5183="","",B5183+(17*1000+532)/10000000)</f>
        <v/>
      </c>
      <c r="B5183" s="23">
        <f>IF(AND(IFERROR(N(INDEX(Clay_Brands!$A$2:$FZ$601,532,Sync!$D$13)),0)&gt;0,IFERROR(INDEX(Clay_Brands!$A$2:$FZ$601,532,Sync!$D$5)&amp;"","")&lt;&gt;"",OR(LEFT(IFERROR(INDEX(Clay_Brands!$A$2:$FZ$601,532,Sync!$D$5)&amp;"",""),6)&lt;&gt;"SAMPLE",Config!$B$19="Y")),IFERROR(N(INDEX(Clay_Brands!$A$2:$FZ$601,532,Sync!$D$13)),0),"")</f>
        <v/>
      </c>
      <c r="C5183" s="17">
        <f>IF(B5183="","","brand")</f>
        <v/>
      </c>
      <c r="D5183" s="17">
        <f>IF(B5183="","",IFERROR(INDEX(Clay_Brands!$A$2:$FZ$601,532,Sync!$D$5)&amp;"",""))</f>
        <v/>
      </c>
      <c r="E5183" s="17">
        <f>IF(B5183="","",IFERROR(INDEX(Clay_Brands!$A$2:$FZ$601,532,Sync!$D$6)&amp;"",""))</f>
        <v/>
      </c>
      <c r="F5183" s="17">
        <f>IF(B5183="","","outreach_sent")</f>
        <v/>
      </c>
      <c r="G5183" s="17">
        <f>IF(B5183="","","")</f>
        <v/>
      </c>
      <c r="H5183" s="17">
        <f>IF(B5183="","","")</f>
        <v/>
      </c>
      <c r="I5183" s="17">
        <f>IF(B5183="","","")</f>
        <v/>
      </c>
      <c r="J5183" s="17">
        <f>IF(B5183="","","touch_3; "&amp;IFERROR(INDEX(Clay_Brands!$A$2:$FZ$601,532,Sync!$D$10)&amp;"","")&amp;"; "&amp;IFERROR(INDEX(Clay_Brands!$A$2:$FZ$601,532,Sync!$D$9)&amp;"",""))</f>
        <v/>
      </c>
      <c r="K5183" t="inlineStr">
        <is>
          <t>brand outreach touch 3</t>
        </is>
      </c>
    </row>
    <row r="5184">
      <c r="A5184" s="17">
        <f>IF(B5184="","",B5184+(17*1000+533)/10000000)</f>
        <v/>
      </c>
      <c r="B5184" s="23">
        <f>IF(AND(IFERROR(N(INDEX(Clay_Brands!$A$2:$FZ$601,533,Sync!$D$13)),0)&gt;0,IFERROR(INDEX(Clay_Brands!$A$2:$FZ$601,533,Sync!$D$5)&amp;"","")&lt;&gt;"",OR(LEFT(IFERROR(INDEX(Clay_Brands!$A$2:$FZ$601,533,Sync!$D$5)&amp;"",""),6)&lt;&gt;"SAMPLE",Config!$B$19="Y")),IFERROR(N(INDEX(Clay_Brands!$A$2:$FZ$601,533,Sync!$D$13)),0),"")</f>
        <v/>
      </c>
      <c r="C5184" s="17">
        <f>IF(B5184="","","brand")</f>
        <v/>
      </c>
      <c r="D5184" s="17">
        <f>IF(B5184="","",IFERROR(INDEX(Clay_Brands!$A$2:$FZ$601,533,Sync!$D$5)&amp;"",""))</f>
        <v/>
      </c>
      <c r="E5184" s="17">
        <f>IF(B5184="","",IFERROR(INDEX(Clay_Brands!$A$2:$FZ$601,533,Sync!$D$6)&amp;"",""))</f>
        <v/>
      </c>
      <c r="F5184" s="17">
        <f>IF(B5184="","","outreach_sent")</f>
        <v/>
      </c>
      <c r="G5184" s="17">
        <f>IF(B5184="","","")</f>
        <v/>
      </c>
      <c r="H5184" s="17">
        <f>IF(B5184="","","")</f>
        <v/>
      </c>
      <c r="I5184" s="17">
        <f>IF(B5184="","","")</f>
        <v/>
      </c>
      <c r="J5184" s="17">
        <f>IF(B5184="","","touch_3; "&amp;IFERROR(INDEX(Clay_Brands!$A$2:$FZ$601,533,Sync!$D$10)&amp;"","")&amp;"; "&amp;IFERROR(INDEX(Clay_Brands!$A$2:$FZ$601,533,Sync!$D$9)&amp;"",""))</f>
        <v/>
      </c>
      <c r="K5184" t="inlineStr">
        <is>
          <t>brand outreach touch 3</t>
        </is>
      </c>
    </row>
    <row r="5185">
      <c r="A5185" s="17">
        <f>IF(B5185="","",B5185+(17*1000+534)/10000000)</f>
        <v/>
      </c>
      <c r="B5185" s="23">
        <f>IF(AND(IFERROR(N(INDEX(Clay_Brands!$A$2:$FZ$601,534,Sync!$D$13)),0)&gt;0,IFERROR(INDEX(Clay_Brands!$A$2:$FZ$601,534,Sync!$D$5)&amp;"","")&lt;&gt;"",OR(LEFT(IFERROR(INDEX(Clay_Brands!$A$2:$FZ$601,534,Sync!$D$5)&amp;"",""),6)&lt;&gt;"SAMPLE",Config!$B$19="Y")),IFERROR(N(INDEX(Clay_Brands!$A$2:$FZ$601,534,Sync!$D$13)),0),"")</f>
        <v/>
      </c>
      <c r="C5185" s="17">
        <f>IF(B5185="","","brand")</f>
        <v/>
      </c>
      <c r="D5185" s="17">
        <f>IF(B5185="","",IFERROR(INDEX(Clay_Brands!$A$2:$FZ$601,534,Sync!$D$5)&amp;"",""))</f>
        <v/>
      </c>
      <c r="E5185" s="17">
        <f>IF(B5185="","",IFERROR(INDEX(Clay_Brands!$A$2:$FZ$601,534,Sync!$D$6)&amp;"",""))</f>
        <v/>
      </c>
      <c r="F5185" s="17">
        <f>IF(B5185="","","outreach_sent")</f>
        <v/>
      </c>
      <c r="G5185" s="17">
        <f>IF(B5185="","","")</f>
        <v/>
      </c>
      <c r="H5185" s="17">
        <f>IF(B5185="","","")</f>
        <v/>
      </c>
      <c r="I5185" s="17">
        <f>IF(B5185="","","")</f>
        <v/>
      </c>
      <c r="J5185" s="17">
        <f>IF(B5185="","","touch_3; "&amp;IFERROR(INDEX(Clay_Brands!$A$2:$FZ$601,534,Sync!$D$10)&amp;"","")&amp;"; "&amp;IFERROR(INDEX(Clay_Brands!$A$2:$FZ$601,534,Sync!$D$9)&amp;"",""))</f>
        <v/>
      </c>
      <c r="K5185" t="inlineStr">
        <is>
          <t>brand outreach touch 3</t>
        </is>
      </c>
    </row>
    <row r="5186">
      <c r="A5186" s="17">
        <f>IF(B5186="","",B5186+(17*1000+535)/10000000)</f>
        <v/>
      </c>
      <c r="B5186" s="23">
        <f>IF(AND(IFERROR(N(INDEX(Clay_Brands!$A$2:$FZ$601,535,Sync!$D$13)),0)&gt;0,IFERROR(INDEX(Clay_Brands!$A$2:$FZ$601,535,Sync!$D$5)&amp;"","")&lt;&gt;"",OR(LEFT(IFERROR(INDEX(Clay_Brands!$A$2:$FZ$601,535,Sync!$D$5)&amp;"",""),6)&lt;&gt;"SAMPLE",Config!$B$19="Y")),IFERROR(N(INDEX(Clay_Brands!$A$2:$FZ$601,535,Sync!$D$13)),0),"")</f>
        <v/>
      </c>
      <c r="C5186" s="17">
        <f>IF(B5186="","","brand")</f>
        <v/>
      </c>
      <c r="D5186" s="17">
        <f>IF(B5186="","",IFERROR(INDEX(Clay_Brands!$A$2:$FZ$601,535,Sync!$D$5)&amp;"",""))</f>
        <v/>
      </c>
      <c r="E5186" s="17">
        <f>IF(B5186="","",IFERROR(INDEX(Clay_Brands!$A$2:$FZ$601,535,Sync!$D$6)&amp;"",""))</f>
        <v/>
      </c>
      <c r="F5186" s="17">
        <f>IF(B5186="","","outreach_sent")</f>
        <v/>
      </c>
      <c r="G5186" s="17">
        <f>IF(B5186="","","")</f>
        <v/>
      </c>
      <c r="H5186" s="17">
        <f>IF(B5186="","","")</f>
        <v/>
      </c>
      <c r="I5186" s="17">
        <f>IF(B5186="","","")</f>
        <v/>
      </c>
      <c r="J5186" s="17">
        <f>IF(B5186="","","touch_3; "&amp;IFERROR(INDEX(Clay_Brands!$A$2:$FZ$601,535,Sync!$D$10)&amp;"","")&amp;"; "&amp;IFERROR(INDEX(Clay_Brands!$A$2:$FZ$601,535,Sync!$D$9)&amp;"",""))</f>
        <v/>
      </c>
      <c r="K5186" t="inlineStr">
        <is>
          <t>brand outreach touch 3</t>
        </is>
      </c>
    </row>
    <row r="5187">
      <c r="A5187" s="17">
        <f>IF(B5187="","",B5187+(17*1000+536)/10000000)</f>
        <v/>
      </c>
      <c r="B5187" s="23">
        <f>IF(AND(IFERROR(N(INDEX(Clay_Brands!$A$2:$FZ$601,536,Sync!$D$13)),0)&gt;0,IFERROR(INDEX(Clay_Brands!$A$2:$FZ$601,536,Sync!$D$5)&amp;"","")&lt;&gt;"",OR(LEFT(IFERROR(INDEX(Clay_Brands!$A$2:$FZ$601,536,Sync!$D$5)&amp;"",""),6)&lt;&gt;"SAMPLE",Config!$B$19="Y")),IFERROR(N(INDEX(Clay_Brands!$A$2:$FZ$601,536,Sync!$D$13)),0),"")</f>
        <v/>
      </c>
      <c r="C5187" s="17">
        <f>IF(B5187="","","brand")</f>
        <v/>
      </c>
      <c r="D5187" s="17">
        <f>IF(B5187="","",IFERROR(INDEX(Clay_Brands!$A$2:$FZ$601,536,Sync!$D$5)&amp;"",""))</f>
        <v/>
      </c>
      <c r="E5187" s="17">
        <f>IF(B5187="","",IFERROR(INDEX(Clay_Brands!$A$2:$FZ$601,536,Sync!$D$6)&amp;"",""))</f>
        <v/>
      </c>
      <c r="F5187" s="17">
        <f>IF(B5187="","","outreach_sent")</f>
        <v/>
      </c>
      <c r="G5187" s="17">
        <f>IF(B5187="","","")</f>
        <v/>
      </c>
      <c r="H5187" s="17">
        <f>IF(B5187="","","")</f>
        <v/>
      </c>
      <c r="I5187" s="17">
        <f>IF(B5187="","","")</f>
        <v/>
      </c>
      <c r="J5187" s="17">
        <f>IF(B5187="","","touch_3; "&amp;IFERROR(INDEX(Clay_Brands!$A$2:$FZ$601,536,Sync!$D$10)&amp;"","")&amp;"; "&amp;IFERROR(INDEX(Clay_Brands!$A$2:$FZ$601,536,Sync!$D$9)&amp;"",""))</f>
        <v/>
      </c>
      <c r="K5187" t="inlineStr">
        <is>
          <t>brand outreach touch 3</t>
        </is>
      </c>
    </row>
    <row r="5188">
      <c r="A5188" s="17">
        <f>IF(B5188="","",B5188+(17*1000+537)/10000000)</f>
        <v/>
      </c>
      <c r="B5188" s="23">
        <f>IF(AND(IFERROR(N(INDEX(Clay_Brands!$A$2:$FZ$601,537,Sync!$D$13)),0)&gt;0,IFERROR(INDEX(Clay_Brands!$A$2:$FZ$601,537,Sync!$D$5)&amp;"","")&lt;&gt;"",OR(LEFT(IFERROR(INDEX(Clay_Brands!$A$2:$FZ$601,537,Sync!$D$5)&amp;"",""),6)&lt;&gt;"SAMPLE",Config!$B$19="Y")),IFERROR(N(INDEX(Clay_Brands!$A$2:$FZ$601,537,Sync!$D$13)),0),"")</f>
        <v/>
      </c>
      <c r="C5188" s="17">
        <f>IF(B5188="","","brand")</f>
        <v/>
      </c>
      <c r="D5188" s="17">
        <f>IF(B5188="","",IFERROR(INDEX(Clay_Brands!$A$2:$FZ$601,537,Sync!$D$5)&amp;"",""))</f>
        <v/>
      </c>
      <c r="E5188" s="17">
        <f>IF(B5188="","",IFERROR(INDEX(Clay_Brands!$A$2:$FZ$601,537,Sync!$D$6)&amp;"",""))</f>
        <v/>
      </c>
      <c r="F5188" s="17">
        <f>IF(B5188="","","outreach_sent")</f>
        <v/>
      </c>
      <c r="G5188" s="17">
        <f>IF(B5188="","","")</f>
        <v/>
      </c>
      <c r="H5188" s="17">
        <f>IF(B5188="","","")</f>
        <v/>
      </c>
      <c r="I5188" s="17">
        <f>IF(B5188="","","")</f>
        <v/>
      </c>
      <c r="J5188" s="17">
        <f>IF(B5188="","","touch_3; "&amp;IFERROR(INDEX(Clay_Brands!$A$2:$FZ$601,537,Sync!$D$10)&amp;"","")&amp;"; "&amp;IFERROR(INDEX(Clay_Brands!$A$2:$FZ$601,537,Sync!$D$9)&amp;"",""))</f>
        <v/>
      </c>
      <c r="K5188" t="inlineStr">
        <is>
          <t>brand outreach touch 3</t>
        </is>
      </c>
    </row>
    <row r="5189">
      <c r="A5189" s="17">
        <f>IF(B5189="","",B5189+(17*1000+538)/10000000)</f>
        <v/>
      </c>
      <c r="B5189" s="23">
        <f>IF(AND(IFERROR(N(INDEX(Clay_Brands!$A$2:$FZ$601,538,Sync!$D$13)),0)&gt;0,IFERROR(INDEX(Clay_Brands!$A$2:$FZ$601,538,Sync!$D$5)&amp;"","")&lt;&gt;"",OR(LEFT(IFERROR(INDEX(Clay_Brands!$A$2:$FZ$601,538,Sync!$D$5)&amp;"",""),6)&lt;&gt;"SAMPLE",Config!$B$19="Y")),IFERROR(N(INDEX(Clay_Brands!$A$2:$FZ$601,538,Sync!$D$13)),0),"")</f>
        <v/>
      </c>
      <c r="C5189" s="17">
        <f>IF(B5189="","","brand")</f>
        <v/>
      </c>
      <c r="D5189" s="17">
        <f>IF(B5189="","",IFERROR(INDEX(Clay_Brands!$A$2:$FZ$601,538,Sync!$D$5)&amp;"",""))</f>
        <v/>
      </c>
      <c r="E5189" s="17">
        <f>IF(B5189="","",IFERROR(INDEX(Clay_Brands!$A$2:$FZ$601,538,Sync!$D$6)&amp;"",""))</f>
        <v/>
      </c>
      <c r="F5189" s="17">
        <f>IF(B5189="","","outreach_sent")</f>
        <v/>
      </c>
      <c r="G5189" s="17">
        <f>IF(B5189="","","")</f>
        <v/>
      </c>
      <c r="H5189" s="17">
        <f>IF(B5189="","","")</f>
        <v/>
      </c>
      <c r="I5189" s="17">
        <f>IF(B5189="","","")</f>
        <v/>
      </c>
      <c r="J5189" s="17">
        <f>IF(B5189="","","touch_3; "&amp;IFERROR(INDEX(Clay_Brands!$A$2:$FZ$601,538,Sync!$D$10)&amp;"","")&amp;"; "&amp;IFERROR(INDEX(Clay_Brands!$A$2:$FZ$601,538,Sync!$D$9)&amp;"",""))</f>
        <v/>
      </c>
      <c r="K5189" t="inlineStr">
        <is>
          <t>brand outreach touch 3</t>
        </is>
      </c>
    </row>
    <row r="5190">
      <c r="A5190" s="17">
        <f>IF(B5190="","",B5190+(17*1000+539)/10000000)</f>
        <v/>
      </c>
      <c r="B5190" s="23">
        <f>IF(AND(IFERROR(N(INDEX(Clay_Brands!$A$2:$FZ$601,539,Sync!$D$13)),0)&gt;0,IFERROR(INDEX(Clay_Brands!$A$2:$FZ$601,539,Sync!$D$5)&amp;"","")&lt;&gt;"",OR(LEFT(IFERROR(INDEX(Clay_Brands!$A$2:$FZ$601,539,Sync!$D$5)&amp;"",""),6)&lt;&gt;"SAMPLE",Config!$B$19="Y")),IFERROR(N(INDEX(Clay_Brands!$A$2:$FZ$601,539,Sync!$D$13)),0),"")</f>
        <v/>
      </c>
      <c r="C5190" s="17">
        <f>IF(B5190="","","brand")</f>
        <v/>
      </c>
      <c r="D5190" s="17">
        <f>IF(B5190="","",IFERROR(INDEX(Clay_Brands!$A$2:$FZ$601,539,Sync!$D$5)&amp;"",""))</f>
        <v/>
      </c>
      <c r="E5190" s="17">
        <f>IF(B5190="","",IFERROR(INDEX(Clay_Brands!$A$2:$FZ$601,539,Sync!$D$6)&amp;"",""))</f>
        <v/>
      </c>
      <c r="F5190" s="17">
        <f>IF(B5190="","","outreach_sent")</f>
        <v/>
      </c>
      <c r="G5190" s="17">
        <f>IF(B5190="","","")</f>
        <v/>
      </c>
      <c r="H5190" s="17">
        <f>IF(B5190="","","")</f>
        <v/>
      </c>
      <c r="I5190" s="17">
        <f>IF(B5190="","","")</f>
        <v/>
      </c>
      <c r="J5190" s="17">
        <f>IF(B5190="","","touch_3; "&amp;IFERROR(INDEX(Clay_Brands!$A$2:$FZ$601,539,Sync!$D$10)&amp;"","")&amp;"; "&amp;IFERROR(INDEX(Clay_Brands!$A$2:$FZ$601,539,Sync!$D$9)&amp;"",""))</f>
        <v/>
      </c>
      <c r="K5190" t="inlineStr">
        <is>
          <t>brand outreach touch 3</t>
        </is>
      </c>
    </row>
    <row r="5191">
      <c r="A5191" s="17">
        <f>IF(B5191="","",B5191+(17*1000+540)/10000000)</f>
        <v/>
      </c>
      <c r="B5191" s="23">
        <f>IF(AND(IFERROR(N(INDEX(Clay_Brands!$A$2:$FZ$601,540,Sync!$D$13)),0)&gt;0,IFERROR(INDEX(Clay_Brands!$A$2:$FZ$601,540,Sync!$D$5)&amp;"","")&lt;&gt;"",OR(LEFT(IFERROR(INDEX(Clay_Brands!$A$2:$FZ$601,540,Sync!$D$5)&amp;"",""),6)&lt;&gt;"SAMPLE",Config!$B$19="Y")),IFERROR(N(INDEX(Clay_Brands!$A$2:$FZ$601,540,Sync!$D$13)),0),"")</f>
        <v/>
      </c>
      <c r="C5191" s="17">
        <f>IF(B5191="","","brand")</f>
        <v/>
      </c>
      <c r="D5191" s="17">
        <f>IF(B5191="","",IFERROR(INDEX(Clay_Brands!$A$2:$FZ$601,540,Sync!$D$5)&amp;"",""))</f>
        <v/>
      </c>
      <c r="E5191" s="17">
        <f>IF(B5191="","",IFERROR(INDEX(Clay_Brands!$A$2:$FZ$601,540,Sync!$D$6)&amp;"",""))</f>
        <v/>
      </c>
      <c r="F5191" s="17">
        <f>IF(B5191="","","outreach_sent")</f>
        <v/>
      </c>
      <c r="G5191" s="17">
        <f>IF(B5191="","","")</f>
        <v/>
      </c>
      <c r="H5191" s="17">
        <f>IF(B5191="","","")</f>
        <v/>
      </c>
      <c r="I5191" s="17">
        <f>IF(B5191="","","")</f>
        <v/>
      </c>
      <c r="J5191" s="17">
        <f>IF(B5191="","","touch_3; "&amp;IFERROR(INDEX(Clay_Brands!$A$2:$FZ$601,540,Sync!$D$10)&amp;"","")&amp;"; "&amp;IFERROR(INDEX(Clay_Brands!$A$2:$FZ$601,540,Sync!$D$9)&amp;"",""))</f>
        <v/>
      </c>
      <c r="K5191" t="inlineStr">
        <is>
          <t>brand outreach touch 3</t>
        </is>
      </c>
    </row>
    <row r="5192">
      <c r="A5192" s="17">
        <f>IF(B5192="","",B5192+(17*1000+541)/10000000)</f>
        <v/>
      </c>
      <c r="B5192" s="23">
        <f>IF(AND(IFERROR(N(INDEX(Clay_Brands!$A$2:$FZ$601,541,Sync!$D$13)),0)&gt;0,IFERROR(INDEX(Clay_Brands!$A$2:$FZ$601,541,Sync!$D$5)&amp;"","")&lt;&gt;"",OR(LEFT(IFERROR(INDEX(Clay_Brands!$A$2:$FZ$601,541,Sync!$D$5)&amp;"",""),6)&lt;&gt;"SAMPLE",Config!$B$19="Y")),IFERROR(N(INDEX(Clay_Brands!$A$2:$FZ$601,541,Sync!$D$13)),0),"")</f>
        <v/>
      </c>
      <c r="C5192" s="17">
        <f>IF(B5192="","","brand")</f>
        <v/>
      </c>
      <c r="D5192" s="17">
        <f>IF(B5192="","",IFERROR(INDEX(Clay_Brands!$A$2:$FZ$601,541,Sync!$D$5)&amp;"",""))</f>
        <v/>
      </c>
      <c r="E5192" s="17">
        <f>IF(B5192="","",IFERROR(INDEX(Clay_Brands!$A$2:$FZ$601,541,Sync!$D$6)&amp;"",""))</f>
        <v/>
      </c>
      <c r="F5192" s="17">
        <f>IF(B5192="","","outreach_sent")</f>
        <v/>
      </c>
      <c r="G5192" s="17">
        <f>IF(B5192="","","")</f>
        <v/>
      </c>
      <c r="H5192" s="17">
        <f>IF(B5192="","","")</f>
        <v/>
      </c>
      <c r="I5192" s="17">
        <f>IF(B5192="","","")</f>
        <v/>
      </c>
      <c r="J5192" s="17">
        <f>IF(B5192="","","touch_3; "&amp;IFERROR(INDEX(Clay_Brands!$A$2:$FZ$601,541,Sync!$D$10)&amp;"","")&amp;"; "&amp;IFERROR(INDEX(Clay_Brands!$A$2:$FZ$601,541,Sync!$D$9)&amp;"",""))</f>
        <v/>
      </c>
      <c r="K5192" t="inlineStr">
        <is>
          <t>brand outreach touch 3</t>
        </is>
      </c>
    </row>
    <row r="5193">
      <c r="A5193" s="17">
        <f>IF(B5193="","",B5193+(17*1000+542)/10000000)</f>
        <v/>
      </c>
      <c r="B5193" s="23">
        <f>IF(AND(IFERROR(N(INDEX(Clay_Brands!$A$2:$FZ$601,542,Sync!$D$13)),0)&gt;0,IFERROR(INDEX(Clay_Brands!$A$2:$FZ$601,542,Sync!$D$5)&amp;"","")&lt;&gt;"",OR(LEFT(IFERROR(INDEX(Clay_Brands!$A$2:$FZ$601,542,Sync!$D$5)&amp;"",""),6)&lt;&gt;"SAMPLE",Config!$B$19="Y")),IFERROR(N(INDEX(Clay_Brands!$A$2:$FZ$601,542,Sync!$D$13)),0),"")</f>
        <v/>
      </c>
      <c r="C5193" s="17">
        <f>IF(B5193="","","brand")</f>
        <v/>
      </c>
      <c r="D5193" s="17">
        <f>IF(B5193="","",IFERROR(INDEX(Clay_Brands!$A$2:$FZ$601,542,Sync!$D$5)&amp;"",""))</f>
        <v/>
      </c>
      <c r="E5193" s="17">
        <f>IF(B5193="","",IFERROR(INDEX(Clay_Brands!$A$2:$FZ$601,542,Sync!$D$6)&amp;"",""))</f>
        <v/>
      </c>
      <c r="F5193" s="17">
        <f>IF(B5193="","","outreach_sent")</f>
        <v/>
      </c>
      <c r="G5193" s="17">
        <f>IF(B5193="","","")</f>
        <v/>
      </c>
      <c r="H5193" s="17">
        <f>IF(B5193="","","")</f>
        <v/>
      </c>
      <c r="I5193" s="17">
        <f>IF(B5193="","","")</f>
        <v/>
      </c>
      <c r="J5193" s="17">
        <f>IF(B5193="","","touch_3; "&amp;IFERROR(INDEX(Clay_Brands!$A$2:$FZ$601,542,Sync!$D$10)&amp;"","")&amp;"; "&amp;IFERROR(INDEX(Clay_Brands!$A$2:$FZ$601,542,Sync!$D$9)&amp;"",""))</f>
        <v/>
      </c>
      <c r="K5193" t="inlineStr">
        <is>
          <t>brand outreach touch 3</t>
        </is>
      </c>
    </row>
    <row r="5194">
      <c r="A5194" s="17">
        <f>IF(B5194="","",B5194+(17*1000+543)/10000000)</f>
        <v/>
      </c>
      <c r="B5194" s="23">
        <f>IF(AND(IFERROR(N(INDEX(Clay_Brands!$A$2:$FZ$601,543,Sync!$D$13)),0)&gt;0,IFERROR(INDEX(Clay_Brands!$A$2:$FZ$601,543,Sync!$D$5)&amp;"","")&lt;&gt;"",OR(LEFT(IFERROR(INDEX(Clay_Brands!$A$2:$FZ$601,543,Sync!$D$5)&amp;"",""),6)&lt;&gt;"SAMPLE",Config!$B$19="Y")),IFERROR(N(INDEX(Clay_Brands!$A$2:$FZ$601,543,Sync!$D$13)),0),"")</f>
        <v/>
      </c>
      <c r="C5194" s="17">
        <f>IF(B5194="","","brand")</f>
        <v/>
      </c>
      <c r="D5194" s="17">
        <f>IF(B5194="","",IFERROR(INDEX(Clay_Brands!$A$2:$FZ$601,543,Sync!$D$5)&amp;"",""))</f>
        <v/>
      </c>
      <c r="E5194" s="17">
        <f>IF(B5194="","",IFERROR(INDEX(Clay_Brands!$A$2:$FZ$601,543,Sync!$D$6)&amp;"",""))</f>
        <v/>
      </c>
      <c r="F5194" s="17">
        <f>IF(B5194="","","outreach_sent")</f>
        <v/>
      </c>
      <c r="G5194" s="17">
        <f>IF(B5194="","","")</f>
        <v/>
      </c>
      <c r="H5194" s="17">
        <f>IF(B5194="","","")</f>
        <v/>
      </c>
      <c r="I5194" s="17">
        <f>IF(B5194="","","")</f>
        <v/>
      </c>
      <c r="J5194" s="17">
        <f>IF(B5194="","","touch_3; "&amp;IFERROR(INDEX(Clay_Brands!$A$2:$FZ$601,543,Sync!$D$10)&amp;"","")&amp;"; "&amp;IFERROR(INDEX(Clay_Brands!$A$2:$FZ$601,543,Sync!$D$9)&amp;"",""))</f>
        <v/>
      </c>
      <c r="K5194" t="inlineStr">
        <is>
          <t>brand outreach touch 3</t>
        </is>
      </c>
    </row>
    <row r="5195">
      <c r="A5195" s="17">
        <f>IF(B5195="","",B5195+(17*1000+544)/10000000)</f>
        <v/>
      </c>
      <c r="B5195" s="23">
        <f>IF(AND(IFERROR(N(INDEX(Clay_Brands!$A$2:$FZ$601,544,Sync!$D$13)),0)&gt;0,IFERROR(INDEX(Clay_Brands!$A$2:$FZ$601,544,Sync!$D$5)&amp;"","")&lt;&gt;"",OR(LEFT(IFERROR(INDEX(Clay_Brands!$A$2:$FZ$601,544,Sync!$D$5)&amp;"",""),6)&lt;&gt;"SAMPLE",Config!$B$19="Y")),IFERROR(N(INDEX(Clay_Brands!$A$2:$FZ$601,544,Sync!$D$13)),0),"")</f>
        <v/>
      </c>
      <c r="C5195" s="17">
        <f>IF(B5195="","","brand")</f>
        <v/>
      </c>
      <c r="D5195" s="17">
        <f>IF(B5195="","",IFERROR(INDEX(Clay_Brands!$A$2:$FZ$601,544,Sync!$D$5)&amp;"",""))</f>
        <v/>
      </c>
      <c r="E5195" s="17">
        <f>IF(B5195="","",IFERROR(INDEX(Clay_Brands!$A$2:$FZ$601,544,Sync!$D$6)&amp;"",""))</f>
        <v/>
      </c>
      <c r="F5195" s="17">
        <f>IF(B5195="","","outreach_sent")</f>
        <v/>
      </c>
      <c r="G5195" s="17">
        <f>IF(B5195="","","")</f>
        <v/>
      </c>
      <c r="H5195" s="17">
        <f>IF(B5195="","","")</f>
        <v/>
      </c>
      <c r="I5195" s="17">
        <f>IF(B5195="","","")</f>
        <v/>
      </c>
      <c r="J5195" s="17">
        <f>IF(B5195="","","touch_3; "&amp;IFERROR(INDEX(Clay_Brands!$A$2:$FZ$601,544,Sync!$D$10)&amp;"","")&amp;"; "&amp;IFERROR(INDEX(Clay_Brands!$A$2:$FZ$601,544,Sync!$D$9)&amp;"",""))</f>
        <v/>
      </c>
      <c r="K5195" t="inlineStr">
        <is>
          <t>brand outreach touch 3</t>
        </is>
      </c>
    </row>
    <row r="5196">
      <c r="A5196" s="17">
        <f>IF(B5196="","",B5196+(17*1000+545)/10000000)</f>
        <v/>
      </c>
      <c r="B5196" s="23">
        <f>IF(AND(IFERROR(N(INDEX(Clay_Brands!$A$2:$FZ$601,545,Sync!$D$13)),0)&gt;0,IFERROR(INDEX(Clay_Brands!$A$2:$FZ$601,545,Sync!$D$5)&amp;"","")&lt;&gt;"",OR(LEFT(IFERROR(INDEX(Clay_Brands!$A$2:$FZ$601,545,Sync!$D$5)&amp;"",""),6)&lt;&gt;"SAMPLE",Config!$B$19="Y")),IFERROR(N(INDEX(Clay_Brands!$A$2:$FZ$601,545,Sync!$D$13)),0),"")</f>
        <v/>
      </c>
      <c r="C5196" s="17">
        <f>IF(B5196="","","brand")</f>
        <v/>
      </c>
      <c r="D5196" s="17">
        <f>IF(B5196="","",IFERROR(INDEX(Clay_Brands!$A$2:$FZ$601,545,Sync!$D$5)&amp;"",""))</f>
        <v/>
      </c>
      <c r="E5196" s="17">
        <f>IF(B5196="","",IFERROR(INDEX(Clay_Brands!$A$2:$FZ$601,545,Sync!$D$6)&amp;"",""))</f>
        <v/>
      </c>
      <c r="F5196" s="17">
        <f>IF(B5196="","","outreach_sent")</f>
        <v/>
      </c>
      <c r="G5196" s="17">
        <f>IF(B5196="","","")</f>
        <v/>
      </c>
      <c r="H5196" s="17">
        <f>IF(B5196="","","")</f>
        <v/>
      </c>
      <c r="I5196" s="17">
        <f>IF(B5196="","","")</f>
        <v/>
      </c>
      <c r="J5196" s="17">
        <f>IF(B5196="","","touch_3; "&amp;IFERROR(INDEX(Clay_Brands!$A$2:$FZ$601,545,Sync!$D$10)&amp;"","")&amp;"; "&amp;IFERROR(INDEX(Clay_Brands!$A$2:$FZ$601,545,Sync!$D$9)&amp;"",""))</f>
        <v/>
      </c>
      <c r="K5196" t="inlineStr">
        <is>
          <t>brand outreach touch 3</t>
        </is>
      </c>
    </row>
    <row r="5197">
      <c r="A5197" s="17">
        <f>IF(B5197="","",B5197+(17*1000+546)/10000000)</f>
        <v/>
      </c>
      <c r="B5197" s="23">
        <f>IF(AND(IFERROR(N(INDEX(Clay_Brands!$A$2:$FZ$601,546,Sync!$D$13)),0)&gt;0,IFERROR(INDEX(Clay_Brands!$A$2:$FZ$601,546,Sync!$D$5)&amp;"","")&lt;&gt;"",OR(LEFT(IFERROR(INDEX(Clay_Brands!$A$2:$FZ$601,546,Sync!$D$5)&amp;"",""),6)&lt;&gt;"SAMPLE",Config!$B$19="Y")),IFERROR(N(INDEX(Clay_Brands!$A$2:$FZ$601,546,Sync!$D$13)),0),"")</f>
        <v/>
      </c>
      <c r="C5197" s="17">
        <f>IF(B5197="","","brand")</f>
        <v/>
      </c>
      <c r="D5197" s="17">
        <f>IF(B5197="","",IFERROR(INDEX(Clay_Brands!$A$2:$FZ$601,546,Sync!$D$5)&amp;"",""))</f>
        <v/>
      </c>
      <c r="E5197" s="17">
        <f>IF(B5197="","",IFERROR(INDEX(Clay_Brands!$A$2:$FZ$601,546,Sync!$D$6)&amp;"",""))</f>
        <v/>
      </c>
      <c r="F5197" s="17">
        <f>IF(B5197="","","outreach_sent")</f>
        <v/>
      </c>
      <c r="G5197" s="17">
        <f>IF(B5197="","","")</f>
        <v/>
      </c>
      <c r="H5197" s="17">
        <f>IF(B5197="","","")</f>
        <v/>
      </c>
      <c r="I5197" s="17">
        <f>IF(B5197="","","")</f>
        <v/>
      </c>
      <c r="J5197" s="17">
        <f>IF(B5197="","","touch_3; "&amp;IFERROR(INDEX(Clay_Brands!$A$2:$FZ$601,546,Sync!$D$10)&amp;"","")&amp;"; "&amp;IFERROR(INDEX(Clay_Brands!$A$2:$FZ$601,546,Sync!$D$9)&amp;"",""))</f>
        <v/>
      </c>
      <c r="K5197" t="inlineStr">
        <is>
          <t>brand outreach touch 3</t>
        </is>
      </c>
    </row>
    <row r="5198">
      <c r="A5198" s="17">
        <f>IF(B5198="","",B5198+(17*1000+547)/10000000)</f>
        <v/>
      </c>
      <c r="B5198" s="23">
        <f>IF(AND(IFERROR(N(INDEX(Clay_Brands!$A$2:$FZ$601,547,Sync!$D$13)),0)&gt;0,IFERROR(INDEX(Clay_Brands!$A$2:$FZ$601,547,Sync!$D$5)&amp;"","")&lt;&gt;"",OR(LEFT(IFERROR(INDEX(Clay_Brands!$A$2:$FZ$601,547,Sync!$D$5)&amp;"",""),6)&lt;&gt;"SAMPLE",Config!$B$19="Y")),IFERROR(N(INDEX(Clay_Brands!$A$2:$FZ$601,547,Sync!$D$13)),0),"")</f>
        <v/>
      </c>
      <c r="C5198" s="17">
        <f>IF(B5198="","","brand")</f>
        <v/>
      </c>
      <c r="D5198" s="17">
        <f>IF(B5198="","",IFERROR(INDEX(Clay_Brands!$A$2:$FZ$601,547,Sync!$D$5)&amp;"",""))</f>
        <v/>
      </c>
      <c r="E5198" s="17">
        <f>IF(B5198="","",IFERROR(INDEX(Clay_Brands!$A$2:$FZ$601,547,Sync!$D$6)&amp;"",""))</f>
        <v/>
      </c>
      <c r="F5198" s="17">
        <f>IF(B5198="","","outreach_sent")</f>
        <v/>
      </c>
      <c r="G5198" s="17">
        <f>IF(B5198="","","")</f>
        <v/>
      </c>
      <c r="H5198" s="17">
        <f>IF(B5198="","","")</f>
        <v/>
      </c>
      <c r="I5198" s="17">
        <f>IF(B5198="","","")</f>
        <v/>
      </c>
      <c r="J5198" s="17">
        <f>IF(B5198="","","touch_3; "&amp;IFERROR(INDEX(Clay_Brands!$A$2:$FZ$601,547,Sync!$D$10)&amp;"","")&amp;"; "&amp;IFERROR(INDEX(Clay_Brands!$A$2:$FZ$601,547,Sync!$D$9)&amp;"",""))</f>
        <v/>
      </c>
      <c r="K5198" t="inlineStr">
        <is>
          <t>brand outreach touch 3</t>
        </is>
      </c>
    </row>
    <row r="5199">
      <c r="A5199" s="17">
        <f>IF(B5199="","",B5199+(17*1000+548)/10000000)</f>
        <v/>
      </c>
      <c r="B5199" s="23">
        <f>IF(AND(IFERROR(N(INDEX(Clay_Brands!$A$2:$FZ$601,548,Sync!$D$13)),0)&gt;0,IFERROR(INDEX(Clay_Brands!$A$2:$FZ$601,548,Sync!$D$5)&amp;"","")&lt;&gt;"",OR(LEFT(IFERROR(INDEX(Clay_Brands!$A$2:$FZ$601,548,Sync!$D$5)&amp;"",""),6)&lt;&gt;"SAMPLE",Config!$B$19="Y")),IFERROR(N(INDEX(Clay_Brands!$A$2:$FZ$601,548,Sync!$D$13)),0),"")</f>
        <v/>
      </c>
      <c r="C5199" s="17">
        <f>IF(B5199="","","brand")</f>
        <v/>
      </c>
      <c r="D5199" s="17">
        <f>IF(B5199="","",IFERROR(INDEX(Clay_Brands!$A$2:$FZ$601,548,Sync!$D$5)&amp;"",""))</f>
        <v/>
      </c>
      <c r="E5199" s="17">
        <f>IF(B5199="","",IFERROR(INDEX(Clay_Brands!$A$2:$FZ$601,548,Sync!$D$6)&amp;"",""))</f>
        <v/>
      </c>
      <c r="F5199" s="17">
        <f>IF(B5199="","","outreach_sent")</f>
        <v/>
      </c>
      <c r="G5199" s="17">
        <f>IF(B5199="","","")</f>
        <v/>
      </c>
      <c r="H5199" s="17">
        <f>IF(B5199="","","")</f>
        <v/>
      </c>
      <c r="I5199" s="17">
        <f>IF(B5199="","","")</f>
        <v/>
      </c>
      <c r="J5199" s="17">
        <f>IF(B5199="","","touch_3; "&amp;IFERROR(INDEX(Clay_Brands!$A$2:$FZ$601,548,Sync!$D$10)&amp;"","")&amp;"; "&amp;IFERROR(INDEX(Clay_Brands!$A$2:$FZ$601,548,Sync!$D$9)&amp;"",""))</f>
        <v/>
      </c>
      <c r="K5199" t="inlineStr">
        <is>
          <t>brand outreach touch 3</t>
        </is>
      </c>
    </row>
    <row r="5200">
      <c r="A5200" s="17">
        <f>IF(B5200="","",B5200+(17*1000+549)/10000000)</f>
        <v/>
      </c>
      <c r="B5200" s="23">
        <f>IF(AND(IFERROR(N(INDEX(Clay_Brands!$A$2:$FZ$601,549,Sync!$D$13)),0)&gt;0,IFERROR(INDEX(Clay_Brands!$A$2:$FZ$601,549,Sync!$D$5)&amp;"","")&lt;&gt;"",OR(LEFT(IFERROR(INDEX(Clay_Brands!$A$2:$FZ$601,549,Sync!$D$5)&amp;"",""),6)&lt;&gt;"SAMPLE",Config!$B$19="Y")),IFERROR(N(INDEX(Clay_Brands!$A$2:$FZ$601,549,Sync!$D$13)),0),"")</f>
        <v/>
      </c>
      <c r="C5200" s="17">
        <f>IF(B5200="","","brand")</f>
        <v/>
      </c>
      <c r="D5200" s="17">
        <f>IF(B5200="","",IFERROR(INDEX(Clay_Brands!$A$2:$FZ$601,549,Sync!$D$5)&amp;"",""))</f>
        <v/>
      </c>
      <c r="E5200" s="17">
        <f>IF(B5200="","",IFERROR(INDEX(Clay_Brands!$A$2:$FZ$601,549,Sync!$D$6)&amp;"",""))</f>
        <v/>
      </c>
      <c r="F5200" s="17">
        <f>IF(B5200="","","outreach_sent")</f>
        <v/>
      </c>
      <c r="G5200" s="17">
        <f>IF(B5200="","","")</f>
        <v/>
      </c>
      <c r="H5200" s="17">
        <f>IF(B5200="","","")</f>
        <v/>
      </c>
      <c r="I5200" s="17">
        <f>IF(B5200="","","")</f>
        <v/>
      </c>
      <c r="J5200" s="17">
        <f>IF(B5200="","","touch_3; "&amp;IFERROR(INDEX(Clay_Brands!$A$2:$FZ$601,549,Sync!$D$10)&amp;"","")&amp;"; "&amp;IFERROR(INDEX(Clay_Brands!$A$2:$FZ$601,549,Sync!$D$9)&amp;"",""))</f>
        <v/>
      </c>
      <c r="K5200" t="inlineStr">
        <is>
          <t>brand outreach touch 3</t>
        </is>
      </c>
    </row>
    <row r="5201">
      <c r="A5201" s="17">
        <f>IF(B5201="","",B5201+(17*1000+550)/10000000)</f>
        <v/>
      </c>
      <c r="B5201" s="23">
        <f>IF(AND(IFERROR(N(INDEX(Clay_Brands!$A$2:$FZ$601,550,Sync!$D$13)),0)&gt;0,IFERROR(INDEX(Clay_Brands!$A$2:$FZ$601,550,Sync!$D$5)&amp;"","")&lt;&gt;"",OR(LEFT(IFERROR(INDEX(Clay_Brands!$A$2:$FZ$601,550,Sync!$D$5)&amp;"",""),6)&lt;&gt;"SAMPLE",Config!$B$19="Y")),IFERROR(N(INDEX(Clay_Brands!$A$2:$FZ$601,550,Sync!$D$13)),0),"")</f>
        <v/>
      </c>
      <c r="C5201" s="17">
        <f>IF(B5201="","","brand")</f>
        <v/>
      </c>
      <c r="D5201" s="17">
        <f>IF(B5201="","",IFERROR(INDEX(Clay_Brands!$A$2:$FZ$601,550,Sync!$D$5)&amp;"",""))</f>
        <v/>
      </c>
      <c r="E5201" s="17">
        <f>IF(B5201="","",IFERROR(INDEX(Clay_Brands!$A$2:$FZ$601,550,Sync!$D$6)&amp;"",""))</f>
        <v/>
      </c>
      <c r="F5201" s="17">
        <f>IF(B5201="","","outreach_sent")</f>
        <v/>
      </c>
      <c r="G5201" s="17">
        <f>IF(B5201="","","")</f>
        <v/>
      </c>
      <c r="H5201" s="17">
        <f>IF(B5201="","","")</f>
        <v/>
      </c>
      <c r="I5201" s="17">
        <f>IF(B5201="","","")</f>
        <v/>
      </c>
      <c r="J5201" s="17">
        <f>IF(B5201="","","touch_3; "&amp;IFERROR(INDEX(Clay_Brands!$A$2:$FZ$601,550,Sync!$D$10)&amp;"","")&amp;"; "&amp;IFERROR(INDEX(Clay_Brands!$A$2:$FZ$601,550,Sync!$D$9)&amp;"",""))</f>
        <v/>
      </c>
      <c r="K5201" t="inlineStr">
        <is>
          <t>brand outreach touch 3</t>
        </is>
      </c>
    </row>
    <row r="5202">
      <c r="A5202" s="17">
        <f>IF(B5202="","",B5202+(17*1000+551)/10000000)</f>
        <v/>
      </c>
      <c r="B5202" s="23">
        <f>IF(AND(IFERROR(N(INDEX(Clay_Brands!$A$2:$FZ$601,551,Sync!$D$13)),0)&gt;0,IFERROR(INDEX(Clay_Brands!$A$2:$FZ$601,551,Sync!$D$5)&amp;"","")&lt;&gt;"",OR(LEFT(IFERROR(INDEX(Clay_Brands!$A$2:$FZ$601,551,Sync!$D$5)&amp;"",""),6)&lt;&gt;"SAMPLE",Config!$B$19="Y")),IFERROR(N(INDEX(Clay_Brands!$A$2:$FZ$601,551,Sync!$D$13)),0),"")</f>
        <v/>
      </c>
      <c r="C5202" s="17">
        <f>IF(B5202="","","brand")</f>
        <v/>
      </c>
      <c r="D5202" s="17">
        <f>IF(B5202="","",IFERROR(INDEX(Clay_Brands!$A$2:$FZ$601,551,Sync!$D$5)&amp;"",""))</f>
        <v/>
      </c>
      <c r="E5202" s="17">
        <f>IF(B5202="","",IFERROR(INDEX(Clay_Brands!$A$2:$FZ$601,551,Sync!$D$6)&amp;"",""))</f>
        <v/>
      </c>
      <c r="F5202" s="17">
        <f>IF(B5202="","","outreach_sent")</f>
        <v/>
      </c>
      <c r="G5202" s="17">
        <f>IF(B5202="","","")</f>
        <v/>
      </c>
      <c r="H5202" s="17">
        <f>IF(B5202="","","")</f>
        <v/>
      </c>
      <c r="I5202" s="17">
        <f>IF(B5202="","","")</f>
        <v/>
      </c>
      <c r="J5202" s="17">
        <f>IF(B5202="","","touch_3; "&amp;IFERROR(INDEX(Clay_Brands!$A$2:$FZ$601,551,Sync!$D$10)&amp;"","")&amp;"; "&amp;IFERROR(INDEX(Clay_Brands!$A$2:$FZ$601,551,Sync!$D$9)&amp;"",""))</f>
        <v/>
      </c>
      <c r="K5202" t="inlineStr">
        <is>
          <t>brand outreach touch 3</t>
        </is>
      </c>
    </row>
    <row r="5203">
      <c r="A5203" s="17">
        <f>IF(B5203="","",B5203+(17*1000+552)/10000000)</f>
        <v/>
      </c>
      <c r="B5203" s="23">
        <f>IF(AND(IFERROR(N(INDEX(Clay_Brands!$A$2:$FZ$601,552,Sync!$D$13)),0)&gt;0,IFERROR(INDEX(Clay_Brands!$A$2:$FZ$601,552,Sync!$D$5)&amp;"","")&lt;&gt;"",OR(LEFT(IFERROR(INDEX(Clay_Brands!$A$2:$FZ$601,552,Sync!$D$5)&amp;"",""),6)&lt;&gt;"SAMPLE",Config!$B$19="Y")),IFERROR(N(INDEX(Clay_Brands!$A$2:$FZ$601,552,Sync!$D$13)),0),"")</f>
        <v/>
      </c>
      <c r="C5203" s="17">
        <f>IF(B5203="","","brand")</f>
        <v/>
      </c>
      <c r="D5203" s="17">
        <f>IF(B5203="","",IFERROR(INDEX(Clay_Brands!$A$2:$FZ$601,552,Sync!$D$5)&amp;"",""))</f>
        <v/>
      </c>
      <c r="E5203" s="17">
        <f>IF(B5203="","",IFERROR(INDEX(Clay_Brands!$A$2:$FZ$601,552,Sync!$D$6)&amp;"",""))</f>
        <v/>
      </c>
      <c r="F5203" s="17">
        <f>IF(B5203="","","outreach_sent")</f>
        <v/>
      </c>
      <c r="G5203" s="17">
        <f>IF(B5203="","","")</f>
        <v/>
      </c>
      <c r="H5203" s="17">
        <f>IF(B5203="","","")</f>
        <v/>
      </c>
      <c r="I5203" s="17">
        <f>IF(B5203="","","")</f>
        <v/>
      </c>
      <c r="J5203" s="17">
        <f>IF(B5203="","","touch_3; "&amp;IFERROR(INDEX(Clay_Brands!$A$2:$FZ$601,552,Sync!$D$10)&amp;"","")&amp;"; "&amp;IFERROR(INDEX(Clay_Brands!$A$2:$FZ$601,552,Sync!$D$9)&amp;"",""))</f>
        <v/>
      </c>
      <c r="K5203" t="inlineStr">
        <is>
          <t>brand outreach touch 3</t>
        </is>
      </c>
    </row>
    <row r="5204">
      <c r="A5204" s="17">
        <f>IF(B5204="","",B5204+(17*1000+553)/10000000)</f>
        <v/>
      </c>
      <c r="B5204" s="23">
        <f>IF(AND(IFERROR(N(INDEX(Clay_Brands!$A$2:$FZ$601,553,Sync!$D$13)),0)&gt;0,IFERROR(INDEX(Clay_Brands!$A$2:$FZ$601,553,Sync!$D$5)&amp;"","")&lt;&gt;"",OR(LEFT(IFERROR(INDEX(Clay_Brands!$A$2:$FZ$601,553,Sync!$D$5)&amp;"",""),6)&lt;&gt;"SAMPLE",Config!$B$19="Y")),IFERROR(N(INDEX(Clay_Brands!$A$2:$FZ$601,553,Sync!$D$13)),0),"")</f>
        <v/>
      </c>
      <c r="C5204" s="17">
        <f>IF(B5204="","","brand")</f>
        <v/>
      </c>
      <c r="D5204" s="17">
        <f>IF(B5204="","",IFERROR(INDEX(Clay_Brands!$A$2:$FZ$601,553,Sync!$D$5)&amp;"",""))</f>
        <v/>
      </c>
      <c r="E5204" s="17">
        <f>IF(B5204="","",IFERROR(INDEX(Clay_Brands!$A$2:$FZ$601,553,Sync!$D$6)&amp;"",""))</f>
        <v/>
      </c>
      <c r="F5204" s="17">
        <f>IF(B5204="","","outreach_sent")</f>
        <v/>
      </c>
      <c r="G5204" s="17">
        <f>IF(B5204="","","")</f>
        <v/>
      </c>
      <c r="H5204" s="17">
        <f>IF(B5204="","","")</f>
        <v/>
      </c>
      <c r="I5204" s="17">
        <f>IF(B5204="","","")</f>
        <v/>
      </c>
      <c r="J5204" s="17">
        <f>IF(B5204="","","touch_3; "&amp;IFERROR(INDEX(Clay_Brands!$A$2:$FZ$601,553,Sync!$D$10)&amp;"","")&amp;"; "&amp;IFERROR(INDEX(Clay_Brands!$A$2:$FZ$601,553,Sync!$D$9)&amp;"",""))</f>
        <v/>
      </c>
      <c r="K5204" t="inlineStr">
        <is>
          <t>brand outreach touch 3</t>
        </is>
      </c>
    </row>
    <row r="5205">
      <c r="A5205" s="17">
        <f>IF(B5205="","",B5205+(17*1000+554)/10000000)</f>
        <v/>
      </c>
      <c r="B5205" s="23">
        <f>IF(AND(IFERROR(N(INDEX(Clay_Brands!$A$2:$FZ$601,554,Sync!$D$13)),0)&gt;0,IFERROR(INDEX(Clay_Brands!$A$2:$FZ$601,554,Sync!$D$5)&amp;"","")&lt;&gt;"",OR(LEFT(IFERROR(INDEX(Clay_Brands!$A$2:$FZ$601,554,Sync!$D$5)&amp;"",""),6)&lt;&gt;"SAMPLE",Config!$B$19="Y")),IFERROR(N(INDEX(Clay_Brands!$A$2:$FZ$601,554,Sync!$D$13)),0),"")</f>
        <v/>
      </c>
      <c r="C5205" s="17">
        <f>IF(B5205="","","brand")</f>
        <v/>
      </c>
      <c r="D5205" s="17">
        <f>IF(B5205="","",IFERROR(INDEX(Clay_Brands!$A$2:$FZ$601,554,Sync!$D$5)&amp;"",""))</f>
        <v/>
      </c>
      <c r="E5205" s="17">
        <f>IF(B5205="","",IFERROR(INDEX(Clay_Brands!$A$2:$FZ$601,554,Sync!$D$6)&amp;"",""))</f>
        <v/>
      </c>
      <c r="F5205" s="17">
        <f>IF(B5205="","","outreach_sent")</f>
        <v/>
      </c>
      <c r="G5205" s="17">
        <f>IF(B5205="","","")</f>
        <v/>
      </c>
      <c r="H5205" s="17">
        <f>IF(B5205="","","")</f>
        <v/>
      </c>
      <c r="I5205" s="17">
        <f>IF(B5205="","","")</f>
        <v/>
      </c>
      <c r="J5205" s="17">
        <f>IF(B5205="","","touch_3; "&amp;IFERROR(INDEX(Clay_Brands!$A$2:$FZ$601,554,Sync!$D$10)&amp;"","")&amp;"; "&amp;IFERROR(INDEX(Clay_Brands!$A$2:$FZ$601,554,Sync!$D$9)&amp;"",""))</f>
        <v/>
      </c>
      <c r="K5205" t="inlineStr">
        <is>
          <t>brand outreach touch 3</t>
        </is>
      </c>
    </row>
    <row r="5206">
      <c r="A5206" s="17">
        <f>IF(B5206="","",B5206+(17*1000+555)/10000000)</f>
        <v/>
      </c>
      <c r="B5206" s="23">
        <f>IF(AND(IFERROR(N(INDEX(Clay_Brands!$A$2:$FZ$601,555,Sync!$D$13)),0)&gt;0,IFERROR(INDEX(Clay_Brands!$A$2:$FZ$601,555,Sync!$D$5)&amp;"","")&lt;&gt;"",OR(LEFT(IFERROR(INDEX(Clay_Brands!$A$2:$FZ$601,555,Sync!$D$5)&amp;"",""),6)&lt;&gt;"SAMPLE",Config!$B$19="Y")),IFERROR(N(INDEX(Clay_Brands!$A$2:$FZ$601,555,Sync!$D$13)),0),"")</f>
        <v/>
      </c>
      <c r="C5206" s="17">
        <f>IF(B5206="","","brand")</f>
        <v/>
      </c>
      <c r="D5206" s="17">
        <f>IF(B5206="","",IFERROR(INDEX(Clay_Brands!$A$2:$FZ$601,555,Sync!$D$5)&amp;"",""))</f>
        <v/>
      </c>
      <c r="E5206" s="17">
        <f>IF(B5206="","",IFERROR(INDEX(Clay_Brands!$A$2:$FZ$601,555,Sync!$D$6)&amp;"",""))</f>
        <v/>
      </c>
      <c r="F5206" s="17">
        <f>IF(B5206="","","outreach_sent")</f>
        <v/>
      </c>
      <c r="G5206" s="17">
        <f>IF(B5206="","","")</f>
        <v/>
      </c>
      <c r="H5206" s="17">
        <f>IF(B5206="","","")</f>
        <v/>
      </c>
      <c r="I5206" s="17">
        <f>IF(B5206="","","")</f>
        <v/>
      </c>
      <c r="J5206" s="17">
        <f>IF(B5206="","","touch_3; "&amp;IFERROR(INDEX(Clay_Brands!$A$2:$FZ$601,555,Sync!$D$10)&amp;"","")&amp;"; "&amp;IFERROR(INDEX(Clay_Brands!$A$2:$FZ$601,555,Sync!$D$9)&amp;"",""))</f>
        <v/>
      </c>
      <c r="K5206" t="inlineStr">
        <is>
          <t>brand outreach touch 3</t>
        </is>
      </c>
    </row>
    <row r="5207">
      <c r="A5207" s="17">
        <f>IF(B5207="","",B5207+(17*1000+556)/10000000)</f>
        <v/>
      </c>
      <c r="B5207" s="23">
        <f>IF(AND(IFERROR(N(INDEX(Clay_Brands!$A$2:$FZ$601,556,Sync!$D$13)),0)&gt;0,IFERROR(INDEX(Clay_Brands!$A$2:$FZ$601,556,Sync!$D$5)&amp;"","")&lt;&gt;"",OR(LEFT(IFERROR(INDEX(Clay_Brands!$A$2:$FZ$601,556,Sync!$D$5)&amp;"",""),6)&lt;&gt;"SAMPLE",Config!$B$19="Y")),IFERROR(N(INDEX(Clay_Brands!$A$2:$FZ$601,556,Sync!$D$13)),0),"")</f>
        <v/>
      </c>
      <c r="C5207" s="17">
        <f>IF(B5207="","","brand")</f>
        <v/>
      </c>
      <c r="D5207" s="17">
        <f>IF(B5207="","",IFERROR(INDEX(Clay_Brands!$A$2:$FZ$601,556,Sync!$D$5)&amp;"",""))</f>
        <v/>
      </c>
      <c r="E5207" s="17">
        <f>IF(B5207="","",IFERROR(INDEX(Clay_Brands!$A$2:$FZ$601,556,Sync!$D$6)&amp;"",""))</f>
        <v/>
      </c>
      <c r="F5207" s="17">
        <f>IF(B5207="","","outreach_sent")</f>
        <v/>
      </c>
      <c r="G5207" s="17">
        <f>IF(B5207="","","")</f>
        <v/>
      </c>
      <c r="H5207" s="17">
        <f>IF(B5207="","","")</f>
        <v/>
      </c>
      <c r="I5207" s="17">
        <f>IF(B5207="","","")</f>
        <v/>
      </c>
      <c r="J5207" s="17">
        <f>IF(B5207="","","touch_3; "&amp;IFERROR(INDEX(Clay_Brands!$A$2:$FZ$601,556,Sync!$D$10)&amp;"","")&amp;"; "&amp;IFERROR(INDEX(Clay_Brands!$A$2:$FZ$601,556,Sync!$D$9)&amp;"",""))</f>
        <v/>
      </c>
      <c r="K5207" t="inlineStr">
        <is>
          <t>brand outreach touch 3</t>
        </is>
      </c>
    </row>
    <row r="5208">
      <c r="A5208" s="17">
        <f>IF(B5208="","",B5208+(17*1000+557)/10000000)</f>
        <v/>
      </c>
      <c r="B5208" s="23">
        <f>IF(AND(IFERROR(N(INDEX(Clay_Brands!$A$2:$FZ$601,557,Sync!$D$13)),0)&gt;0,IFERROR(INDEX(Clay_Brands!$A$2:$FZ$601,557,Sync!$D$5)&amp;"","")&lt;&gt;"",OR(LEFT(IFERROR(INDEX(Clay_Brands!$A$2:$FZ$601,557,Sync!$D$5)&amp;"",""),6)&lt;&gt;"SAMPLE",Config!$B$19="Y")),IFERROR(N(INDEX(Clay_Brands!$A$2:$FZ$601,557,Sync!$D$13)),0),"")</f>
        <v/>
      </c>
      <c r="C5208" s="17">
        <f>IF(B5208="","","brand")</f>
        <v/>
      </c>
      <c r="D5208" s="17">
        <f>IF(B5208="","",IFERROR(INDEX(Clay_Brands!$A$2:$FZ$601,557,Sync!$D$5)&amp;"",""))</f>
        <v/>
      </c>
      <c r="E5208" s="17">
        <f>IF(B5208="","",IFERROR(INDEX(Clay_Brands!$A$2:$FZ$601,557,Sync!$D$6)&amp;"",""))</f>
        <v/>
      </c>
      <c r="F5208" s="17">
        <f>IF(B5208="","","outreach_sent")</f>
        <v/>
      </c>
      <c r="G5208" s="17">
        <f>IF(B5208="","","")</f>
        <v/>
      </c>
      <c r="H5208" s="17">
        <f>IF(B5208="","","")</f>
        <v/>
      </c>
      <c r="I5208" s="17">
        <f>IF(B5208="","","")</f>
        <v/>
      </c>
      <c r="J5208" s="17">
        <f>IF(B5208="","","touch_3; "&amp;IFERROR(INDEX(Clay_Brands!$A$2:$FZ$601,557,Sync!$D$10)&amp;"","")&amp;"; "&amp;IFERROR(INDEX(Clay_Brands!$A$2:$FZ$601,557,Sync!$D$9)&amp;"",""))</f>
        <v/>
      </c>
      <c r="K5208" t="inlineStr">
        <is>
          <t>brand outreach touch 3</t>
        </is>
      </c>
    </row>
    <row r="5209">
      <c r="A5209" s="17">
        <f>IF(B5209="","",B5209+(17*1000+558)/10000000)</f>
        <v/>
      </c>
      <c r="B5209" s="23">
        <f>IF(AND(IFERROR(N(INDEX(Clay_Brands!$A$2:$FZ$601,558,Sync!$D$13)),0)&gt;0,IFERROR(INDEX(Clay_Brands!$A$2:$FZ$601,558,Sync!$D$5)&amp;"","")&lt;&gt;"",OR(LEFT(IFERROR(INDEX(Clay_Brands!$A$2:$FZ$601,558,Sync!$D$5)&amp;"",""),6)&lt;&gt;"SAMPLE",Config!$B$19="Y")),IFERROR(N(INDEX(Clay_Brands!$A$2:$FZ$601,558,Sync!$D$13)),0),"")</f>
        <v/>
      </c>
      <c r="C5209" s="17">
        <f>IF(B5209="","","brand")</f>
        <v/>
      </c>
      <c r="D5209" s="17">
        <f>IF(B5209="","",IFERROR(INDEX(Clay_Brands!$A$2:$FZ$601,558,Sync!$D$5)&amp;"",""))</f>
        <v/>
      </c>
      <c r="E5209" s="17">
        <f>IF(B5209="","",IFERROR(INDEX(Clay_Brands!$A$2:$FZ$601,558,Sync!$D$6)&amp;"",""))</f>
        <v/>
      </c>
      <c r="F5209" s="17">
        <f>IF(B5209="","","outreach_sent")</f>
        <v/>
      </c>
      <c r="G5209" s="17">
        <f>IF(B5209="","","")</f>
        <v/>
      </c>
      <c r="H5209" s="17">
        <f>IF(B5209="","","")</f>
        <v/>
      </c>
      <c r="I5209" s="17">
        <f>IF(B5209="","","")</f>
        <v/>
      </c>
      <c r="J5209" s="17">
        <f>IF(B5209="","","touch_3; "&amp;IFERROR(INDEX(Clay_Brands!$A$2:$FZ$601,558,Sync!$D$10)&amp;"","")&amp;"; "&amp;IFERROR(INDEX(Clay_Brands!$A$2:$FZ$601,558,Sync!$D$9)&amp;"",""))</f>
        <v/>
      </c>
      <c r="K5209" t="inlineStr">
        <is>
          <t>brand outreach touch 3</t>
        </is>
      </c>
    </row>
    <row r="5210">
      <c r="A5210" s="17">
        <f>IF(B5210="","",B5210+(17*1000+559)/10000000)</f>
        <v/>
      </c>
      <c r="B5210" s="23">
        <f>IF(AND(IFERROR(N(INDEX(Clay_Brands!$A$2:$FZ$601,559,Sync!$D$13)),0)&gt;0,IFERROR(INDEX(Clay_Brands!$A$2:$FZ$601,559,Sync!$D$5)&amp;"","")&lt;&gt;"",OR(LEFT(IFERROR(INDEX(Clay_Brands!$A$2:$FZ$601,559,Sync!$D$5)&amp;"",""),6)&lt;&gt;"SAMPLE",Config!$B$19="Y")),IFERROR(N(INDEX(Clay_Brands!$A$2:$FZ$601,559,Sync!$D$13)),0),"")</f>
        <v/>
      </c>
      <c r="C5210" s="17">
        <f>IF(B5210="","","brand")</f>
        <v/>
      </c>
      <c r="D5210" s="17">
        <f>IF(B5210="","",IFERROR(INDEX(Clay_Brands!$A$2:$FZ$601,559,Sync!$D$5)&amp;"",""))</f>
        <v/>
      </c>
      <c r="E5210" s="17">
        <f>IF(B5210="","",IFERROR(INDEX(Clay_Brands!$A$2:$FZ$601,559,Sync!$D$6)&amp;"",""))</f>
        <v/>
      </c>
      <c r="F5210" s="17">
        <f>IF(B5210="","","outreach_sent")</f>
        <v/>
      </c>
      <c r="G5210" s="17">
        <f>IF(B5210="","","")</f>
        <v/>
      </c>
      <c r="H5210" s="17">
        <f>IF(B5210="","","")</f>
        <v/>
      </c>
      <c r="I5210" s="17">
        <f>IF(B5210="","","")</f>
        <v/>
      </c>
      <c r="J5210" s="17">
        <f>IF(B5210="","","touch_3; "&amp;IFERROR(INDEX(Clay_Brands!$A$2:$FZ$601,559,Sync!$D$10)&amp;"","")&amp;"; "&amp;IFERROR(INDEX(Clay_Brands!$A$2:$FZ$601,559,Sync!$D$9)&amp;"",""))</f>
        <v/>
      </c>
      <c r="K5210" t="inlineStr">
        <is>
          <t>brand outreach touch 3</t>
        </is>
      </c>
    </row>
    <row r="5211">
      <c r="A5211" s="17">
        <f>IF(B5211="","",B5211+(17*1000+560)/10000000)</f>
        <v/>
      </c>
      <c r="B5211" s="23">
        <f>IF(AND(IFERROR(N(INDEX(Clay_Brands!$A$2:$FZ$601,560,Sync!$D$13)),0)&gt;0,IFERROR(INDEX(Clay_Brands!$A$2:$FZ$601,560,Sync!$D$5)&amp;"","")&lt;&gt;"",OR(LEFT(IFERROR(INDEX(Clay_Brands!$A$2:$FZ$601,560,Sync!$D$5)&amp;"",""),6)&lt;&gt;"SAMPLE",Config!$B$19="Y")),IFERROR(N(INDEX(Clay_Brands!$A$2:$FZ$601,560,Sync!$D$13)),0),"")</f>
        <v/>
      </c>
      <c r="C5211" s="17">
        <f>IF(B5211="","","brand")</f>
        <v/>
      </c>
      <c r="D5211" s="17">
        <f>IF(B5211="","",IFERROR(INDEX(Clay_Brands!$A$2:$FZ$601,560,Sync!$D$5)&amp;"",""))</f>
        <v/>
      </c>
      <c r="E5211" s="17">
        <f>IF(B5211="","",IFERROR(INDEX(Clay_Brands!$A$2:$FZ$601,560,Sync!$D$6)&amp;"",""))</f>
        <v/>
      </c>
      <c r="F5211" s="17">
        <f>IF(B5211="","","outreach_sent")</f>
        <v/>
      </c>
      <c r="G5211" s="17">
        <f>IF(B5211="","","")</f>
        <v/>
      </c>
      <c r="H5211" s="17">
        <f>IF(B5211="","","")</f>
        <v/>
      </c>
      <c r="I5211" s="17">
        <f>IF(B5211="","","")</f>
        <v/>
      </c>
      <c r="J5211" s="17">
        <f>IF(B5211="","","touch_3; "&amp;IFERROR(INDEX(Clay_Brands!$A$2:$FZ$601,560,Sync!$D$10)&amp;"","")&amp;"; "&amp;IFERROR(INDEX(Clay_Brands!$A$2:$FZ$601,560,Sync!$D$9)&amp;"",""))</f>
        <v/>
      </c>
      <c r="K5211" t="inlineStr">
        <is>
          <t>brand outreach touch 3</t>
        </is>
      </c>
    </row>
    <row r="5212">
      <c r="A5212" s="17">
        <f>IF(B5212="","",B5212+(17*1000+561)/10000000)</f>
        <v/>
      </c>
      <c r="B5212" s="23">
        <f>IF(AND(IFERROR(N(INDEX(Clay_Brands!$A$2:$FZ$601,561,Sync!$D$13)),0)&gt;0,IFERROR(INDEX(Clay_Brands!$A$2:$FZ$601,561,Sync!$D$5)&amp;"","")&lt;&gt;"",OR(LEFT(IFERROR(INDEX(Clay_Brands!$A$2:$FZ$601,561,Sync!$D$5)&amp;"",""),6)&lt;&gt;"SAMPLE",Config!$B$19="Y")),IFERROR(N(INDEX(Clay_Brands!$A$2:$FZ$601,561,Sync!$D$13)),0),"")</f>
        <v/>
      </c>
      <c r="C5212" s="17">
        <f>IF(B5212="","","brand")</f>
        <v/>
      </c>
      <c r="D5212" s="17">
        <f>IF(B5212="","",IFERROR(INDEX(Clay_Brands!$A$2:$FZ$601,561,Sync!$D$5)&amp;"",""))</f>
        <v/>
      </c>
      <c r="E5212" s="17">
        <f>IF(B5212="","",IFERROR(INDEX(Clay_Brands!$A$2:$FZ$601,561,Sync!$D$6)&amp;"",""))</f>
        <v/>
      </c>
      <c r="F5212" s="17">
        <f>IF(B5212="","","outreach_sent")</f>
        <v/>
      </c>
      <c r="G5212" s="17">
        <f>IF(B5212="","","")</f>
        <v/>
      </c>
      <c r="H5212" s="17">
        <f>IF(B5212="","","")</f>
        <v/>
      </c>
      <c r="I5212" s="17">
        <f>IF(B5212="","","")</f>
        <v/>
      </c>
      <c r="J5212" s="17">
        <f>IF(B5212="","","touch_3; "&amp;IFERROR(INDEX(Clay_Brands!$A$2:$FZ$601,561,Sync!$D$10)&amp;"","")&amp;"; "&amp;IFERROR(INDEX(Clay_Brands!$A$2:$FZ$601,561,Sync!$D$9)&amp;"",""))</f>
        <v/>
      </c>
      <c r="K5212" t="inlineStr">
        <is>
          <t>brand outreach touch 3</t>
        </is>
      </c>
    </row>
    <row r="5213">
      <c r="A5213" s="17">
        <f>IF(B5213="","",B5213+(17*1000+562)/10000000)</f>
        <v/>
      </c>
      <c r="B5213" s="23">
        <f>IF(AND(IFERROR(N(INDEX(Clay_Brands!$A$2:$FZ$601,562,Sync!$D$13)),0)&gt;0,IFERROR(INDEX(Clay_Brands!$A$2:$FZ$601,562,Sync!$D$5)&amp;"","")&lt;&gt;"",OR(LEFT(IFERROR(INDEX(Clay_Brands!$A$2:$FZ$601,562,Sync!$D$5)&amp;"",""),6)&lt;&gt;"SAMPLE",Config!$B$19="Y")),IFERROR(N(INDEX(Clay_Brands!$A$2:$FZ$601,562,Sync!$D$13)),0),"")</f>
        <v/>
      </c>
      <c r="C5213" s="17">
        <f>IF(B5213="","","brand")</f>
        <v/>
      </c>
      <c r="D5213" s="17">
        <f>IF(B5213="","",IFERROR(INDEX(Clay_Brands!$A$2:$FZ$601,562,Sync!$D$5)&amp;"",""))</f>
        <v/>
      </c>
      <c r="E5213" s="17">
        <f>IF(B5213="","",IFERROR(INDEX(Clay_Brands!$A$2:$FZ$601,562,Sync!$D$6)&amp;"",""))</f>
        <v/>
      </c>
      <c r="F5213" s="17">
        <f>IF(B5213="","","outreach_sent")</f>
        <v/>
      </c>
      <c r="G5213" s="17">
        <f>IF(B5213="","","")</f>
        <v/>
      </c>
      <c r="H5213" s="17">
        <f>IF(B5213="","","")</f>
        <v/>
      </c>
      <c r="I5213" s="17">
        <f>IF(B5213="","","")</f>
        <v/>
      </c>
      <c r="J5213" s="17">
        <f>IF(B5213="","","touch_3; "&amp;IFERROR(INDEX(Clay_Brands!$A$2:$FZ$601,562,Sync!$D$10)&amp;"","")&amp;"; "&amp;IFERROR(INDEX(Clay_Brands!$A$2:$FZ$601,562,Sync!$D$9)&amp;"",""))</f>
        <v/>
      </c>
      <c r="K5213" t="inlineStr">
        <is>
          <t>brand outreach touch 3</t>
        </is>
      </c>
    </row>
    <row r="5214">
      <c r="A5214" s="17">
        <f>IF(B5214="","",B5214+(17*1000+563)/10000000)</f>
        <v/>
      </c>
      <c r="B5214" s="23">
        <f>IF(AND(IFERROR(N(INDEX(Clay_Brands!$A$2:$FZ$601,563,Sync!$D$13)),0)&gt;0,IFERROR(INDEX(Clay_Brands!$A$2:$FZ$601,563,Sync!$D$5)&amp;"","")&lt;&gt;"",OR(LEFT(IFERROR(INDEX(Clay_Brands!$A$2:$FZ$601,563,Sync!$D$5)&amp;"",""),6)&lt;&gt;"SAMPLE",Config!$B$19="Y")),IFERROR(N(INDEX(Clay_Brands!$A$2:$FZ$601,563,Sync!$D$13)),0),"")</f>
        <v/>
      </c>
      <c r="C5214" s="17">
        <f>IF(B5214="","","brand")</f>
        <v/>
      </c>
      <c r="D5214" s="17">
        <f>IF(B5214="","",IFERROR(INDEX(Clay_Brands!$A$2:$FZ$601,563,Sync!$D$5)&amp;"",""))</f>
        <v/>
      </c>
      <c r="E5214" s="17">
        <f>IF(B5214="","",IFERROR(INDEX(Clay_Brands!$A$2:$FZ$601,563,Sync!$D$6)&amp;"",""))</f>
        <v/>
      </c>
      <c r="F5214" s="17">
        <f>IF(B5214="","","outreach_sent")</f>
        <v/>
      </c>
      <c r="G5214" s="17">
        <f>IF(B5214="","","")</f>
        <v/>
      </c>
      <c r="H5214" s="17">
        <f>IF(B5214="","","")</f>
        <v/>
      </c>
      <c r="I5214" s="17">
        <f>IF(B5214="","","")</f>
        <v/>
      </c>
      <c r="J5214" s="17">
        <f>IF(B5214="","","touch_3; "&amp;IFERROR(INDEX(Clay_Brands!$A$2:$FZ$601,563,Sync!$D$10)&amp;"","")&amp;"; "&amp;IFERROR(INDEX(Clay_Brands!$A$2:$FZ$601,563,Sync!$D$9)&amp;"",""))</f>
        <v/>
      </c>
      <c r="K5214" t="inlineStr">
        <is>
          <t>brand outreach touch 3</t>
        </is>
      </c>
    </row>
    <row r="5215">
      <c r="A5215" s="17">
        <f>IF(B5215="","",B5215+(17*1000+564)/10000000)</f>
        <v/>
      </c>
      <c r="B5215" s="23">
        <f>IF(AND(IFERROR(N(INDEX(Clay_Brands!$A$2:$FZ$601,564,Sync!$D$13)),0)&gt;0,IFERROR(INDEX(Clay_Brands!$A$2:$FZ$601,564,Sync!$D$5)&amp;"","")&lt;&gt;"",OR(LEFT(IFERROR(INDEX(Clay_Brands!$A$2:$FZ$601,564,Sync!$D$5)&amp;"",""),6)&lt;&gt;"SAMPLE",Config!$B$19="Y")),IFERROR(N(INDEX(Clay_Brands!$A$2:$FZ$601,564,Sync!$D$13)),0),"")</f>
        <v/>
      </c>
      <c r="C5215" s="17">
        <f>IF(B5215="","","brand")</f>
        <v/>
      </c>
      <c r="D5215" s="17">
        <f>IF(B5215="","",IFERROR(INDEX(Clay_Brands!$A$2:$FZ$601,564,Sync!$D$5)&amp;"",""))</f>
        <v/>
      </c>
      <c r="E5215" s="17">
        <f>IF(B5215="","",IFERROR(INDEX(Clay_Brands!$A$2:$FZ$601,564,Sync!$D$6)&amp;"",""))</f>
        <v/>
      </c>
      <c r="F5215" s="17">
        <f>IF(B5215="","","outreach_sent")</f>
        <v/>
      </c>
      <c r="G5215" s="17">
        <f>IF(B5215="","","")</f>
        <v/>
      </c>
      <c r="H5215" s="17">
        <f>IF(B5215="","","")</f>
        <v/>
      </c>
      <c r="I5215" s="17">
        <f>IF(B5215="","","")</f>
        <v/>
      </c>
      <c r="J5215" s="17">
        <f>IF(B5215="","","touch_3; "&amp;IFERROR(INDEX(Clay_Brands!$A$2:$FZ$601,564,Sync!$D$10)&amp;"","")&amp;"; "&amp;IFERROR(INDEX(Clay_Brands!$A$2:$FZ$601,564,Sync!$D$9)&amp;"",""))</f>
        <v/>
      </c>
      <c r="K5215" t="inlineStr">
        <is>
          <t>brand outreach touch 3</t>
        </is>
      </c>
    </row>
    <row r="5216">
      <c r="A5216" s="17">
        <f>IF(B5216="","",B5216+(17*1000+565)/10000000)</f>
        <v/>
      </c>
      <c r="B5216" s="23">
        <f>IF(AND(IFERROR(N(INDEX(Clay_Brands!$A$2:$FZ$601,565,Sync!$D$13)),0)&gt;0,IFERROR(INDEX(Clay_Brands!$A$2:$FZ$601,565,Sync!$D$5)&amp;"","")&lt;&gt;"",OR(LEFT(IFERROR(INDEX(Clay_Brands!$A$2:$FZ$601,565,Sync!$D$5)&amp;"",""),6)&lt;&gt;"SAMPLE",Config!$B$19="Y")),IFERROR(N(INDEX(Clay_Brands!$A$2:$FZ$601,565,Sync!$D$13)),0),"")</f>
        <v/>
      </c>
      <c r="C5216" s="17">
        <f>IF(B5216="","","brand")</f>
        <v/>
      </c>
      <c r="D5216" s="17">
        <f>IF(B5216="","",IFERROR(INDEX(Clay_Brands!$A$2:$FZ$601,565,Sync!$D$5)&amp;"",""))</f>
        <v/>
      </c>
      <c r="E5216" s="17">
        <f>IF(B5216="","",IFERROR(INDEX(Clay_Brands!$A$2:$FZ$601,565,Sync!$D$6)&amp;"",""))</f>
        <v/>
      </c>
      <c r="F5216" s="17">
        <f>IF(B5216="","","outreach_sent")</f>
        <v/>
      </c>
      <c r="G5216" s="17">
        <f>IF(B5216="","","")</f>
        <v/>
      </c>
      <c r="H5216" s="17">
        <f>IF(B5216="","","")</f>
        <v/>
      </c>
      <c r="I5216" s="17">
        <f>IF(B5216="","","")</f>
        <v/>
      </c>
      <c r="J5216" s="17">
        <f>IF(B5216="","","touch_3; "&amp;IFERROR(INDEX(Clay_Brands!$A$2:$FZ$601,565,Sync!$D$10)&amp;"","")&amp;"; "&amp;IFERROR(INDEX(Clay_Brands!$A$2:$FZ$601,565,Sync!$D$9)&amp;"",""))</f>
        <v/>
      </c>
      <c r="K5216" t="inlineStr">
        <is>
          <t>brand outreach touch 3</t>
        </is>
      </c>
    </row>
    <row r="5217">
      <c r="A5217" s="17">
        <f>IF(B5217="","",B5217+(17*1000+566)/10000000)</f>
        <v/>
      </c>
      <c r="B5217" s="23">
        <f>IF(AND(IFERROR(N(INDEX(Clay_Brands!$A$2:$FZ$601,566,Sync!$D$13)),0)&gt;0,IFERROR(INDEX(Clay_Brands!$A$2:$FZ$601,566,Sync!$D$5)&amp;"","")&lt;&gt;"",OR(LEFT(IFERROR(INDEX(Clay_Brands!$A$2:$FZ$601,566,Sync!$D$5)&amp;"",""),6)&lt;&gt;"SAMPLE",Config!$B$19="Y")),IFERROR(N(INDEX(Clay_Brands!$A$2:$FZ$601,566,Sync!$D$13)),0),"")</f>
        <v/>
      </c>
      <c r="C5217" s="17">
        <f>IF(B5217="","","brand")</f>
        <v/>
      </c>
      <c r="D5217" s="17">
        <f>IF(B5217="","",IFERROR(INDEX(Clay_Brands!$A$2:$FZ$601,566,Sync!$D$5)&amp;"",""))</f>
        <v/>
      </c>
      <c r="E5217" s="17">
        <f>IF(B5217="","",IFERROR(INDEX(Clay_Brands!$A$2:$FZ$601,566,Sync!$D$6)&amp;"",""))</f>
        <v/>
      </c>
      <c r="F5217" s="17">
        <f>IF(B5217="","","outreach_sent")</f>
        <v/>
      </c>
      <c r="G5217" s="17">
        <f>IF(B5217="","","")</f>
        <v/>
      </c>
      <c r="H5217" s="17">
        <f>IF(B5217="","","")</f>
        <v/>
      </c>
      <c r="I5217" s="17">
        <f>IF(B5217="","","")</f>
        <v/>
      </c>
      <c r="J5217" s="17">
        <f>IF(B5217="","","touch_3; "&amp;IFERROR(INDEX(Clay_Brands!$A$2:$FZ$601,566,Sync!$D$10)&amp;"","")&amp;"; "&amp;IFERROR(INDEX(Clay_Brands!$A$2:$FZ$601,566,Sync!$D$9)&amp;"",""))</f>
        <v/>
      </c>
      <c r="K5217" t="inlineStr">
        <is>
          <t>brand outreach touch 3</t>
        </is>
      </c>
    </row>
    <row r="5218">
      <c r="A5218" s="17">
        <f>IF(B5218="","",B5218+(17*1000+567)/10000000)</f>
        <v/>
      </c>
      <c r="B5218" s="23">
        <f>IF(AND(IFERROR(N(INDEX(Clay_Brands!$A$2:$FZ$601,567,Sync!$D$13)),0)&gt;0,IFERROR(INDEX(Clay_Brands!$A$2:$FZ$601,567,Sync!$D$5)&amp;"","")&lt;&gt;"",OR(LEFT(IFERROR(INDEX(Clay_Brands!$A$2:$FZ$601,567,Sync!$D$5)&amp;"",""),6)&lt;&gt;"SAMPLE",Config!$B$19="Y")),IFERROR(N(INDEX(Clay_Brands!$A$2:$FZ$601,567,Sync!$D$13)),0),"")</f>
        <v/>
      </c>
      <c r="C5218" s="17">
        <f>IF(B5218="","","brand")</f>
        <v/>
      </c>
      <c r="D5218" s="17">
        <f>IF(B5218="","",IFERROR(INDEX(Clay_Brands!$A$2:$FZ$601,567,Sync!$D$5)&amp;"",""))</f>
        <v/>
      </c>
      <c r="E5218" s="17">
        <f>IF(B5218="","",IFERROR(INDEX(Clay_Brands!$A$2:$FZ$601,567,Sync!$D$6)&amp;"",""))</f>
        <v/>
      </c>
      <c r="F5218" s="17">
        <f>IF(B5218="","","outreach_sent")</f>
        <v/>
      </c>
      <c r="G5218" s="17">
        <f>IF(B5218="","","")</f>
        <v/>
      </c>
      <c r="H5218" s="17">
        <f>IF(B5218="","","")</f>
        <v/>
      </c>
      <c r="I5218" s="17">
        <f>IF(B5218="","","")</f>
        <v/>
      </c>
      <c r="J5218" s="17">
        <f>IF(B5218="","","touch_3; "&amp;IFERROR(INDEX(Clay_Brands!$A$2:$FZ$601,567,Sync!$D$10)&amp;"","")&amp;"; "&amp;IFERROR(INDEX(Clay_Brands!$A$2:$FZ$601,567,Sync!$D$9)&amp;"",""))</f>
        <v/>
      </c>
      <c r="K5218" t="inlineStr">
        <is>
          <t>brand outreach touch 3</t>
        </is>
      </c>
    </row>
    <row r="5219">
      <c r="A5219" s="17">
        <f>IF(B5219="","",B5219+(17*1000+568)/10000000)</f>
        <v/>
      </c>
      <c r="B5219" s="23">
        <f>IF(AND(IFERROR(N(INDEX(Clay_Brands!$A$2:$FZ$601,568,Sync!$D$13)),0)&gt;0,IFERROR(INDEX(Clay_Brands!$A$2:$FZ$601,568,Sync!$D$5)&amp;"","")&lt;&gt;"",OR(LEFT(IFERROR(INDEX(Clay_Brands!$A$2:$FZ$601,568,Sync!$D$5)&amp;"",""),6)&lt;&gt;"SAMPLE",Config!$B$19="Y")),IFERROR(N(INDEX(Clay_Brands!$A$2:$FZ$601,568,Sync!$D$13)),0),"")</f>
        <v/>
      </c>
      <c r="C5219" s="17">
        <f>IF(B5219="","","brand")</f>
        <v/>
      </c>
      <c r="D5219" s="17">
        <f>IF(B5219="","",IFERROR(INDEX(Clay_Brands!$A$2:$FZ$601,568,Sync!$D$5)&amp;"",""))</f>
        <v/>
      </c>
      <c r="E5219" s="17">
        <f>IF(B5219="","",IFERROR(INDEX(Clay_Brands!$A$2:$FZ$601,568,Sync!$D$6)&amp;"",""))</f>
        <v/>
      </c>
      <c r="F5219" s="17">
        <f>IF(B5219="","","outreach_sent")</f>
        <v/>
      </c>
      <c r="G5219" s="17">
        <f>IF(B5219="","","")</f>
        <v/>
      </c>
      <c r="H5219" s="17">
        <f>IF(B5219="","","")</f>
        <v/>
      </c>
      <c r="I5219" s="17">
        <f>IF(B5219="","","")</f>
        <v/>
      </c>
      <c r="J5219" s="17">
        <f>IF(B5219="","","touch_3; "&amp;IFERROR(INDEX(Clay_Brands!$A$2:$FZ$601,568,Sync!$D$10)&amp;"","")&amp;"; "&amp;IFERROR(INDEX(Clay_Brands!$A$2:$FZ$601,568,Sync!$D$9)&amp;"",""))</f>
        <v/>
      </c>
      <c r="K5219" t="inlineStr">
        <is>
          <t>brand outreach touch 3</t>
        </is>
      </c>
    </row>
    <row r="5220">
      <c r="A5220" s="17">
        <f>IF(B5220="","",B5220+(17*1000+569)/10000000)</f>
        <v/>
      </c>
      <c r="B5220" s="23">
        <f>IF(AND(IFERROR(N(INDEX(Clay_Brands!$A$2:$FZ$601,569,Sync!$D$13)),0)&gt;0,IFERROR(INDEX(Clay_Brands!$A$2:$FZ$601,569,Sync!$D$5)&amp;"","")&lt;&gt;"",OR(LEFT(IFERROR(INDEX(Clay_Brands!$A$2:$FZ$601,569,Sync!$D$5)&amp;"",""),6)&lt;&gt;"SAMPLE",Config!$B$19="Y")),IFERROR(N(INDEX(Clay_Brands!$A$2:$FZ$601,569,Sync!$D$13)),0),"")</f>
        <v/>
      </c>
      <c r="C5220" s="17">
        <f>IF(B5220="","","brand")</f>
        <v/>
      </c>
      <c r="D5220" s="17">
        <f>IF(B5220="","",IFERROR(INDEX(Clay_Brands!$A$2:$FZ$601,569,Sync!$D$5)&amp;"",""))</f>
        <v/>
      </c>
      <c r="E5220" s="17">
        <f>IF(B5220="","",IFERROR(INDEX(Clay_Brands!$A$2:$FZ$601,569,Sync!$D$6)&amp;"",""))</f>
        <v/>
      </c>
      <c r="F5220" s="17">
        <f>IF(B5220="","","outreach_sent")</f>
        <v/>
      </c>
      <c r="G5220" s="17">
        <f>IF(B5220="","","")</f>
        <v/>
      </c>
      <c r="H5220" s="17">
        <f>IF(B5220="","","")</f>
        <v/>
      </c>
      <c r="I5220" s="17">
        <f>IF(B5220="","","")</f>
        <v/>
      </c>
      <c r="J5220" s="17">
        <f>IF(B5220="","","touch_3; "&amp;IFERROR(INDEX(Clay_Brands!$A$2:$FZ$601,569,Sync!$D$10)&amp;"","")&amp;"; "&amp;IFERROR(INDEX(Clay_Brands!$A$2:$FZ$601,569,Sync!$D$9)&amp;"",""))</f>
        <v/>
      </c>
      <c r="K5220" t="inlineStr">
        <is>
          <t>brand outreach touch 3</t>
        </is>
      </c>
    </row>
    <row r="5221">
      <c r="A5221" s="17">
        <f>IF(B5221="","",B5221+(17*1000+570)/10000000)</f>
        <v/>
      </c>
      <c r="B5221" s="23">
        <f>IF(AND(IFERROR(N(INDEX(Clay_Brands!$A$2:$FZ$601,570,Sync!$D$13)),0)&gt;0,IFERROR(INDEX(Clay_Brands!$A$2:$FZ$601,570,Sync!$D$5)&amp;"","")&lt;&gt;"",OR(LEFT(IFERROR(INDEX(Clay_Brands!$A$2:$FZ$601,570,Sync!$D$5)&amp;"",""),6)&lt;&gt;"SAMPLE",Config!$B$19="Y")),IFERROR(N(INDEX(Clay_Brands!$A$2:$FZ$601,570,Sync!$D$13)),0),"")</f>
        <v/>
      </c>
      <c r="C5221" s="17">
        <f>IF(B5221="","","brand")</f>
        <v/>
      </c>
      <c r="D5221" s="17">
        <f>IF(B5221="","",IFERROR(INDEX(Clay_Brands!$A$2:$FZ$601,570,Sync!$D$5)&amp;"",""))</f>
        <v/>
      </c>
      <c r="E5221" s="17">
        <f>IF(B5221="","",IFERROR(INDEX(Clay_Brands!$A$2:$FZ$601,570,Sync!$D$6)&amp;"",""))</f>
        <v/>
      </c>
      <c r="F5221" s="17">
        <f>IF(B5221="","","outreach_sent")</f>
        <v/>
      </c>
      <c r="G5221" s="17">
        <f>IF(B5221="","","")</f>
        <v/>
      </c>
      <c r="H5221" s="17">
        <f>IF(B5221="","","")</f>
        <v/>
      </c>
      <c r="I5221" s="17">
        <f>IF(B5221="","","")</f>
        <v/>
      </c>
      <c r="J5221" s="17">
        <f>IF(B5221="","","touch_3; "&amp;IFERROR(INDEX(Clay_Brands!$A$2:$FZ$601,570,Sync!$D$10)&amp;"","")&amp;"; "&amp;IFERROR(INDEX(Clay_Brands!$A$2:$FZ$601,570,Sync!$D$9)&amp;"",""))</f>
        <v/>
      </c>
      <c r="K5221" t="inlineStr">
        <is>
          <t>brand outreach touch 3</t>
        </is>
      </c>
    </row>
    <row r="5222">
      <c r="A5222" s="17">
        <f>IF(B5222="","",B5222+(17*1000+571)/10000000)</f>
        <v/>
      </c>
      <c r="B5222" s="23">
        <f>IF(AND(IFERROR(N(INDEX(Clay_Brands!$A$2:$FZ$601,571,Sync!$D$13)),0)&gt;0,IFERROR(INDEX(Clay_Brands!$A$2:$FZ$601,571,Sync!$D$5)&amp;"","")&lt;&gt;"",OR(LEFT(IFERROR(INDEX(Clay_Brands!$A$2:$FZ$601,571,Sync!$D$5)&amp;"",""),6)&lt;&gt;"SAMPLE",Config!$B$19="Y")),IFERROR(N(INDEX(Clay_Brands!$A$2:$FZ$601,571,Sync!$D$13)),0),"")</f>
        <v/>
      </c>
      <c r="C5222" s="17">
        <f>IF(B5222="","","brand")</f>
        <v/>
      </c>
      <c r="D5222" s="17">
        <f>IF(B5222="","",IFERROR(INDEX(Clay_Brands!$A$2:$FZ$601,571,Sync!$D$5)&amp;"",""))</f>
        <v/>
      </c>
      <c r="E5222" s="17">
        <f>IF(B5222="","",IFERROR(INDEX(Clay_Brands!$A$2:$FZ$601,571,Sync!$D$6)&amp;"",""))</f>
        <v/>
      </c>
      <c r="F5222" s="17">
        <f>IF(B5222="","","outreach_sent")</f>
        <v/>
      </c>
      <c r="G5222" s="17">
        <f>IF(B5222="","","")</f>
        <v/>
      </c>
      <c r="H5222" s="17">
        <f>IF(B5222="","","")</f>
        <v/>
      </c>
      <c r="I5222" s="17">
        <f>IF(B5222="","","")</f>
        <v/>
      </c>
      <c r="J5222" s="17">
        <f>IF(B5222="","","touch_3; "&amp;IFERROR(INDEX(Clay_Brands!$A$2:$FZ$601,571,Sync!$D$10)&amp;"","")&amp;"; "&amp;IFERROR(INDEX(Clay_Brands!$A$2:$FZ$601,571,Sync!$D$9)&amp;"",""))</f>
        <v/>
      </c>
      <c r="K5222" t="inlineStr">
        <is>
          <t>brand outreach touch 3</t>
        </is>
      </c>
    </row>
    <row r="5223">
      <c r="A5223" s="17">
        <f>IF(B5223="","",B5223+(17*1000+572)/10000000)</f>
        <v/>
      </c>
      <c r="B5223" s="23">
        <f>IF(AND(IFERROR(N(INDEX(Clay_Brands!$A$2:$FZ$601,572,Sync!$D$13)),0)&gt;0,IFERROR(INDEX(Clay_Brands!$A$2:$FZ$601,572,Sync!$D$5)&amp;"","")&lt;&gt;"",OR(LEFT(IFERROR(INDEX(Clay_Brands!$A$2:$FZ$601,572,Sync!$D$5)&amp;"",""),6)&lt;&gt;"SAMPLE",Config!$B$19="Y")),IFERROR(N(INDEX(Clay_Brands!$A$2:$FZ$601,572,Sync!$D$13)),0),"")</f>
        <v/>
      </c>
      <c r="C5223" s="17">
        <f>IF(B5223="","","brand")</f>
        <v/>
      </c>
      <c r="D5223" s="17">
        <f>IF(B5223="","",IFERROR(INDEX(Clay_Brands!$A$2:$FZ$601,572,Sync!$D$5)&amp;"",""))</f>
        <v/>
      </c>
      <c r="E5223" s="17">
        <f>IF(B5223="","",IFERROR(INDEX(Clay_Brands!$A$2:$FZ$601,572,Sync!$D$6)&amp;"",""))</f>
        <v/>
      </c>
      <c r="F5223" s="17">
        <f>IF(B5223="","","outreach_sent")</f>
        <v/>
      </c>
      <c r="G5223" s="17">
        <f>IF(B5223="","","")</f>
        <v/>
      </c>
      <c r="H5223" s="17">
        <f>IF(B5223="","","")</f>
        <v/>
      </c>
      <c r="I5223" s="17">
        <f>IF(B5223="","","")</f>
        <v/>
      </c>
      <c r="J5223" s="17">
        <f>IF(B5223="","","touch_3; "&amp;IFERROR(INDEX(Clay_Brands!$A$2:$FZ$601,572,Sync!$D$10)&amp;"","")&amp;"; "&amp;IFERROR(INDEX(Clay_Brands!$A$2:$FZ$601,572,Sync!$D$9)&amp;"",""))</f>
        <v/>
      </c>
      <c r="K5223" t="inlineStr">
        <is>
          <t>brand outreach touch 3</t>
        </is>
      </c>
    </row>
    <row r="5224">
      <c r="A5224" s="17">
        <f>IF(B5224="","",B5224+(17*1000+573)/10000000)</f>
        <v/>
      </c>
      <c r="B5224" s="23">
        <f>IF(AND(IFERROR(N(INDEX(Clay_Brands!$A$2:$FZ$601,573,Sync!$D$13)),0)&gt;0,IFERROR(INDEX(Clay_Brands!$A$2:$FZ$601,573,Sync!$D$5)&amp;"","")&lt;&gt;"",OR(LEFT(IFERROR(INDEX(Clay_Brands!$A$2:$FZ$601,573,Sync!$D$5)&amp;"",""),6)&lt;&gt;"SAMPLE",Config!$B$19="Y")),IFERROR(N(INDEX(Clay_Brands!$A$2:$FZ$601,573,Sync!$D$13)),0),"")</f>
        <v/>
      </c>
      <c r="C5224" s="17">
        <f>IF(B5224="","","brand")</f>
        <v/>
      </c>
      <c r="D5224" s="17">
        <f>IF(B5224="","",IFERROR(INDEX(Clay_Brands!$A$2:$FZ$601,573,Sync!$D$5)&amp;"",""))</f>
        <v/>
      </c>
      <c r="E5224" s="17">
        <f>IF(B5224="","",IFERROR(INDEX(Clay_Brands!$A$2:$FZ$601,573,Sync!$D$6)&amp;"",""))</f>
        <v/>
      </c>
      <c r="F5224" s="17">
        <f>IF(B5224="","","outreach_sent")</f>
        <v/>
      </c>
      <c r="G5224" s="17">
        <f>IF(B5224="","","")</f>
        <v/>
      </c>
      <c r="H5224" s="17">
        <f>IF(B5224="","","")</f>
        <v/>
      </c>
      <c r="I5224" s="17">
        <f>IF(B5224="","","")</f>
        <v/>
      </c>
      <c r="J5224" s="17">
        <f>IF(B5224="","","touch_3; "&amp;IFERROR(INDEX(Clay_Brands!$A$2:$FZ$601,573,Sync!$D$10)&amp;"","")&amp;"; "&amp;IFERROR(INDEX(Clay_Brands!$A$2:$FZ$601,573,Sync!$D$9)&amp;"",""))</f>
        <v/>
      </c>
      <c r="K5224" t="inlineStr">
        <is>
          <t>brand outreach touch 3</t>
        </is>
      </c>
    </row>
    <row r="5225">
      <c r="A5225" s="17">
        <f>IF(B5225="","",B5225+(17*1000+574)/10000000)</f>
        <v/>
      </c>
      <c r="B5225" s="23">
        <f>IF(AND(IFERROR(N(INDEX(Clay_Brands!$A$2:$FZ$601,574,Sync!$D$13)),0)&gt;0,IFERROR(INDEX(Clay_Brands!$A$2:$FZ$601,574,Sync!$D$5)&amp;"","")&lt;&gt;"",OR(LEFT(IFERROR(INDEX(Clay_Brands!$A$2:$FZ$601,574,Sync!$D$5)&amp;"",""),6)&lt;&gt;"SAMPLE",Config!$B$19="Y")),IFERROR(N(INDEX(Clay_Brands!$A$2:$FZ$601,574,Sync!$D$13)),0),"")</f>
        <v/>
      </c>
      <c r="C5225" s="17">
        <f>IF(B5225="","","brand")</f>
        <v/>
      </c>
      <c r="D5225" s="17">
        <f>IF(B5225="","",IFERROR(INDEX(Clay_Brands!$A$2:$FZ$601,574,Sync!$D$5)&amp;"",""))</f>
        <v/>
      </c>
      <c r="E5225" s="17">
        <f>IF(B5225="","",IFERROR(INDEX(Clay_Brands!$A$2:$FZ$601,574,Sync!$D$6)&amp;"",""))</f>
        <v/>
      </c>
      <c r="F5225" s="17">
        <f>IF(B5225="","","outreach_sent")</f>
        <v/>
      </c>
      <c r="G5225" s="17">
        <f>IF(B5225="","","")</f>
        <v/>
      </c>
      <c r="H5225" s="17">
        <f>IF(B5225="","","")</f>
        <v/>
      </c>
      <c r="I5225" s="17">
        <f>IF(B5225="","","")</f>
        <v/>
      </c>
      <c r="J5225" s="17">
        <f>IF(B5225="","","touch_3; "&amp;IFERROR(INDEX(Clay_Brands!$A$2:$FZ$601,574,Sync!$D$10)&amp;"","")&amp;"; "&amp;IFERROR(INDEX(Clay_Brands!$A$2:$FZ$601,574,Sync!$D$9)&amp;"",""))</f>
        <v/>
      </c>
      <c r="K5225" t="inlineStr">
        <is>
          <t>brand outreach touch 3</t>
        </is>
      </c>
    </row>
    <row r="5226">
      <c r="A5226" s="17">
        <f>IF(B5226="","",B5226+(17*1000+575)/10000000)</f>
        <v/>
      </c>
      <c r="B5226" s="23">
        <f>IF(AND(IFERROR(N(INDEX(Clay_Brands!$A$2:$FZ$601,575,Sync!$D$13)),0)&gt;0,IFERROR(INDEX(Clay_Brands!$A$2:$FZ$601,575,Sync!$D$5)&amp;"","")&lt;&gt;"",OR(LEFT(IFERROR(INDEX(Clay_Brands!$A$2:$FZ$601,575,Sync!$D$5)&amp;"",""),6)&lt;&gt;"SAMPLE",Config!$B$19="Y")),IFERROR(N(INDEX(Clay_Brands!$A$2:$FZ$601,575,Sync!$D$13)),0),"")</f>
        <v/>
      </c>
      <c r="C5226" s="17">
        <f>IF(B5226="","","brand")</f>
        <v/>
      </c>
      <c r="D5226" s="17">
        <f>IF(B5226="","",IFERROR(INDEX(Clay_Brands!$A$2:$FZ$601,575,Sync!$D$5)&amp;"",""))</f>
        <v/>
      </c>
      <c r="E5226" s="17">
        <f>IF(B5226="","",IFERROR(INDEX(Clay_Brands!$A$2:$FZ$601,575,Sync!$D$6)&amp;"",""))</f>
        <v/>
      </c>
      <c r="F5226" s="17">
        <f>IF(B5226="","","outreach_sent")</f>
        <v/>
      </c>
      <c r="G5226" s="17">
        <f>IF(B5226="","","")</f>
        <v/>
      </c>
      <c r="H5226" s="17">
        <f>IF(B5226="","","")</f>
        <v/>
      </c>
      <c r="I5226" s="17">
        <f>IF(B5226="","","")</f>
        <v/>
      </c>
      <c r="J5226" s="17">
        <f>IF(B5226="","","touch_3; "&amp;IFERROR(INDEX(Clay_Brands!$A$2:$FZ$601,575,Sync!$D$10)&amp;"","")&amp;"; "&amp;IFERROR(INDEX(Clay_Brands!$A$2:$FZ$601,575,Sync!$D$9)&amp;"",""))</f>
        <v/>
      </c>
      <c r="K5226" t="inlineStr">
        <is>
          <t>brand outreach touch 3</t>
        </is>
      </c>
    </row>
    <row r="5227">
      <c r="A5227" s="17">
        <f>IF(B5227="","",B5227+(17*1000+576)/10000000)</f>
        <v/>
      </c>
      <c r="B5227" s="23">
        <f>IF(AND(IFERROR(N(INDEX(Clay_Brands!$A$2:$FZ$601,576,Sync!$D$13)),0)&gt;0,IFERROR(INDEX(Clay_Brands!$A$2:$FZ$601,576,Sync!$D$5)&amp;"","")&lt;&gt;"",OR(LEFT(IFERROR(INDEX(Clay_Brands!$A$2:$FZ$601,576,Sync!$D$5)&amp;"",""),6)&lt;&gt;"SAMPLE",Config!$B$19="Y")),IFERROR(N(INDEX(Clay_Brands!$A$2:$FZ$601,576,Sync!$D$13)),0),"")</f>
        <v/>
      </c>
      <c r="C5227" s="17">
        <f>IF(B5227="","","brand")</f>
        <v/>
      </c>
      <c r="D5227" s="17">
        <f>IF(B5227="","",IFERROR(INDEX(Clay_Brands!$A$2:$FZ$601,576,Sync!$D$5)&amp;"",""))</f>
        <v/>
      </c>
      <c r="E5227" s="17">
        <f>IF(B5227="","",IFERROR(INDEX(Clay_Brands!$A$2:$FZ$601,576,Sync!$D$6)&amp;"",""))</f>
        <v/>
      </c>
      <c r="F5227" s="17">
        <f>IF(B5227="","","outreach_sent")</f>
        <v/>
      </c>
      <c r="G5227" s="17">
        <f>IF(B5227="","","")</f>
        <v/>
      </c>
      <c r="H5227" s="17">
        <f>IF(B5227="","","")</f>
        <v/>
      </c>
      <c r="I5227" s="17">
        <f>IF(B5227="","","")</f>
        <v/>
      </c>
      <c r="J5227" s="17">
        <f>IF(B5227="","","touch_3; "&amp;IFERROR(INDEX(Clay_Brands!$A$2:$FZ$601,576,Sync!$D$10)&amp;"","")&amp;"; "&amp;IFERROR(INDEX(Clay_Brands!$A$2:$FZ$601,576,Sync!$D$9)&amp;"",""))</f>
        <v/>
      </c>
      <c r="K5227" t="inlineStr">
        <is>
          <t>brand outreach touch 3</t>
        </is>
      </c>
    </row>
    <row r="5228">
      <c r="A5228" s="17">
        <f>IF(B5228="","",B5228+(17*1000+577)/10000000)</f>
        <v/>
      </c>
      <c r="B5228" s="23">
        <f>IF(AND(IFERROR(N(INDEX(Clay_Brands!$A$2:$FZ$601,577,Sync!$D$13)),0)&gt;0,IFERROR(INDEX(Clay_Brands!$A$2:$FZ$601,577,Sync!$D$5)&amp;"","")&lt;&gt;"",OR(LEFT(IFERROR(INDEX(Clay_Brands!$A$2:$FZ$601,577,Sync!$D$5)&amp;"",""),6)&lt;&gt;"SAMPLE",Config!$B$19="Y")),IFERROR(N(INDEX(Clay_Brands!$A$2:$FZ$601,577,Sync!$D$13)),0),"")</f>
        <v/>
      </c>
      <c r="C5228" s="17">
        <f>IF(B5228="","","brand")</f>
        <v/>
      </c>
      <c r="D5228" s="17">
        <f>IF(B5228="","",IFERROR(INDEX(Clay_Brands!$A$2:$FZ$601,577,Sync!$D$5)&amp;"",""))</f>
        <v/>
      </c>
      <c r="E5228" s="17">
        <f>IF(B5228="","",IFERROR(INDEX(Clay_Brands!$A$2:$FZ$601,577,Sync!$D$6)&amp;"",""))</f>
        <v/>
      </c>
      <c r="F5228" s="17">
        <f>IF(B5228="","","outreach_sent")</f>
        <v/>
      </c>
      <c r="G5228" s="17">
        <f>IF(B5228="","","")</f>
        <v/>
      </c>
      <c r="H5228" s="17">
        <f>IF(B5228="","","")</f>
        <v/>
      </c>
      <c r="I5228" s="17">
        <f>IF(B5228="","","")</f>
        <v/>
      </c>
      <c r="J5228" s="17">
        <f>IF(B5228="","","touch_3; "&amp;IFERROR(INDEX(Clay_Brands!$A$2:$FZ$601,577,Sync!$D$10)&amp;"","")&amp;"; "&amp;IFERROR(INDEX(Clay_Brands!$A$2:$FZ$601,577,Sync!$D$9)&amp;"",""))</f>
        <v/>
      </c>
      <c r="K5228" t="inlineStr">
        <is>
          <t>brand outreach touch 3</t>
        </is>
      </c>
    </row>
    <row r="5229">
      <c r="A5229" s="17">
        <f>IF(B5229="","",B5229+(17*1000+578)/10000000)</f>
        <v/>
      </c>
      <c r="B5229" s="23">
        <f>IF(AND(IFERROR(N(INDEX(Clay_Brands!$A$2:$FZ$601,578,Sync!$D$13)),0)&gt;0,IFERROR(INDEX(Clay_Brands!$A$2:$FZ$601,578,Sync!$D$5)&amp;"","")&lt;&gt;"",OR(LEFT(IFERROR(INDEX(Clay_Brands!$A$2:$FZ$601,578,Sync!$D$5)&amp;"",""),6)&lt;&gt;"SAMPLE",Config!$B$19="Y")),IFERROR(N(INDEX(Clay_Brands!$A$2:$FZ$601,578,Sync!$D$13)),0),"")</f>
        <v/>
      </c>
      <c r="C5229" s="17">
        <f>IF(B5229="","","brand")</f>
        <v/>
      </c>
      <c r="D5229" s="17">
        <f>IF(B5229="","",IFERROR(INDEX(Clay_Brands!$A$2:$FZ$601,578,Sync!$D$5)&amp;"",""))</f>
        <v/>
      </c>
      <c r="E5229" s="17">
        <f>IF(B5229="","",IFERROR(INDEX(Clay_Brands!$A$2:$FZ$601,578,Sync!$D$6)&amp;"",""))</f>
        <v/>
      </c>
      <c r="F5229" s="17">
        <f>IF(B5229="","","outreach_sent")</f>
        <v/>
      </c>
      <c r="G5229" s="17">
        <f>IF(B5229="","","")</f>
        <v/>
      </c>
      <c r="H5229" s="17">
        <f>IF(B5229="","","")</f>
        <v/>
      </c>
      <c r="I5229" s="17">
        <f>IF(B5229="","","")</f>
        <v/>
      </c>
      <c r="J5229" s="17">
        <f>IF(B5229="","","touch_3; "&amp;IFERROR(INDEX(Clay_Brands!$A$2:$FZ$601,578,Sync!$D$10)&amp;"","")&amp;"; "&amp;IFERROR(INDEX(Clay_Brands!$A$2:$FZ$601,578,Sync!$D$9)&amp;"",""))</f>
        <v/>
      </c>
      <c r="K5229" t="inlineStr">
        <is>
          <t>brand outreach touch 3</t>
        </is>
      </c>
    </row>
    <row r="5230">
      <c r="A5230" s="17">
        <f>IF(B5230="","",B5230+(17*1000+579)/10000000)</f>
        <v/>
      </c>
      <c r="B5230" s="23">
        <f>IF(AND(IFERROR(N(INDEX(Clay_Brands!$A$2:$FZ$601,579,Sync!$D$13)),0)&gt;0,IFERROR(INDEX(Clay_Brands!$A$2:$FZ$601,579,Sync!$D$5)&amp;"","")&lt;&gt;"",OR(LEFT(IFERROR(INDEX(Clay_Brands!$A$2:$FZ$601,579,Sync!$D$5)&amp;"",""),6)&lt;&gt;"SAMPLE",Config!$B$19="Y")),IFERROR(N(INDEX(Clay_Brands!$A$2:$FZ$601,579,Sync!$D$13)),0),"")</f>
        <v/>
      </c>
      <c r="C5230" s="17">
        <f>IF(B5230="","","brand")</f>
        <v/>
      </c>
      <c r="D5230" s="17">
        <f>IF(B5230="","",IFERROR(INDEX(Clay_Brands!$A$2:$FZ$601,579,Sync!$D$5)&amp;"",""))</f>
        <v/>
      </c>
      <c r="E5230" s="17">
        <f>IF(B5230="","",IFERROR(INDEX(Clay_Brands!$A$2:$FZ$601,579,Sync!$D$6)&amp;"",""))</f>
        <v/>
      </c>
      <c r="F5230" s="17">
        <f>IF(B5230="","","outreach_sent")</f>
        <v/>
      </c>
      <c r="G5230" s="17">
        <f>IF(B5230="","","")</f>
        <v/>
      </c>
      <c r="H5230" s="17">
        <f>IF(B5230="","","")</f>
        <v/>
      </c>
      <c r="I5230" s="17">
        <f>IF(B5230="","","")</f>
        <v/>
      </c>
      <c r="J5230" s="17">
        <f>IF(B5230="","","touch_3; "&amp;IFERROR(INDEX(Clay_Brands!$A$2:$FZ$601,579,Sync!$D$10)&amp;"","")&amp;"; "&amp;IFERROR(INDEX(Clay_Brands!$A$2:$FZ$601,579,Sync!$D$9)&amp;"",""))</f>
        <v/>
      </c>
      <c r="K5230" t="inlineStr">
        <is>
          <t>brand outreach touch 3</t>
        </is>
      </c>
    </row>
    <row r="5231">
      <c r="A5231" s="17">
        <f>IF(B5231="","",B5231+(17*1000+580)/10000000)</f>
        <v/>
      </c>
      <c r="B5231" s="23">
        <f>IF(AND(IFERROR(N(INDEX(Clay_Brands!$A$2:$FZ$601,580,Sync!$D$13)),0)&gt;0,IFERROR(INDEX(Clay_Brands!$A$2:$FZ$601,580,Sync!$D$5)&amp;"","")&lt;&gt;"",OR(LEFT(IFERROR(INDEX(Clay_Brands!$A$2:$FZ$601,580,Sync!$D$5)&amp;"",""),6)&lt;&gt;"SAMPLE",Config!$B$19="Y")),IFERROR(N(INDEX(Clay_Brands!$A$2:$FZ$601,580,Sync!$D$13)),0),"")</f>
        <v/>
      </c>
      <c r="C5231" s="17">
        <f>IF(B5231="","","brand")</f>
        <v/>
      </c>
      <c r="D5231" s="17">
        <f>IF(B5231="","",IFERROR(INDEX(Clay_Brands!$A$2:$FZ$601,580,Sync!$D$5)&amp;"",""))</f>
        <v/>
      </c>
      <c r="E5231" s="17">
        <f>IF(B5231="","",IFERROR(INDEX(Clay_Brands!$A$2:$FZ$601,580,Sync!$D$6)&amp;"",""))</f>
        <v/>
      </c>
      <c r="F5231" s="17">
        <f>IF(B5231="","","outreach_sent")</f>
        <v/>
      </c>
      <c r="G5231" s="17">
        <f>IF(B5231="","","")</f>
        <v/>
      </c>
      <c r="H5231" s="17">
        <f>IF(B5231="","","")</f>
        <v/>
      </c>
      <c r="I5231" s="17">
        <f>IF(B5231="","","")</f>
        <v/>
      </c>
      <c r="J5231" s="17">
        <f>IF(B5231="","","touch_3; "&amp;IFERROR(INDEX(Clay_Brands!$A$2:$FZ$601,580,Sync!$D$10)&amp;"","")&amp;"; "&amp;IFERROR(INDEX(Clay_Brands!$A$2:$FZ$601,580,Sync!$D$9)&amp;"",""))</f>
        <v/>
      </c>
      <c r="K5231" t="inlineStr">
        <is>
          <t>brand outreach touch 3</t>
        </is>
      </c>
    </row>
    <row r="5232">
      <c r="A5232" s="17">
        <f>IF(B5232="","",B5232+(17*1000+581)/10000000)</f>
        <v/>
      </c>
      <c r="B5232" s="23">
        <f>IF(AND(IFERROR(N(INDEX(Clay_Brands!$A$2:$FZ$601,581,Sync!$D$13)),0)&gt;0,IFERROR(INDEX(Clay_Brands!$A$2:$FZ$601,581,Sync!$D$5)&amp;"","")&lt;&gt;"",OR(LEFT(IFERROR(INDEX(Clay_Brands!$A$2:$FZ$601,581,Sync!$D$5)&amp;"",""),6)&lt;&gt;"SAMPLE",Config!$B$19="Y")),IFERROR(N(INDEX(Clay_Brands!$A$2:$FZ$601,581,Sync!$D$13)),0),"")</f>
        <v/>
      </c>
      <c r="C5232" s="17">
        <f>IF(B5232="","","brand")</f>
        <v/>
      </c>
      <c r="D5232" s="17">
        <f>IF(B5232="","",IFERROR(INDEX(Clay_Brands!$A$2:$FZ$601,581,Sync!$D$5)&amp;"",""))</f>
        <v/>
      </c>
      <c r="E5232" s="17">
        <f>IF(B5232="","",IFERROR(INDEX(Clay_Brands!$A$2:$FZ$601,581,Sync!$D$6)&amp;"",""))</f>
        <v/>
      </c>
      <c r="F5232" s="17">
        <f>IF(B5232="","","outreach_sent")</f>
        <v/>
      </c>
      <c r="G5232" s="17">
        <f>IF(B5232="","","")</f>
        <v/>
      </c>
      <c r="H5232" s="17">
        <f>IF(B5232="","","")</f>
        <v/>
      </c>
      <c r="I5232" s="17">
        <f>IF(B5232="","","")</f>
        <v/>
      </c>
      <c r="J5232" s="17">
        <f>IF(B5232="","","touch_3; "&amp;IFERROR(INDEX(Clay_Brands!$A$2:$FZ$601,581,Sync!$D$10)&amp;"","")&amp;"; "&amp;IFERROR(INDEX(Clay_Brands!$A$2:$FZ$601,581,Sync!$D$9)&amp;"",""))</f>
        <v/>
      </c>
      <c r="K5232" t="inlineStr">
        <is>
          <t>brand outreach touch 3</t>
        </is>
      </c>
    </row>
    <row r="5233">
      <c r="A5233" s="17">
        <f>IF(B5233="","",B5233+(17*1000+582)/10000000)</f>
        <v/>
      </c>
      <c r="B5233" s="23">
        <f>IF(AND(IFERROR(N(INDEX(Clay_Brands!$A$2:$FZ$601,582,Sync!$D$13)),0)&gt;0,IFERROR(INDEX(Clay_Brands!$A$2:$FZ$601,582,Sync!$D$5)&amp;"","")&lt;&gt;"",OR(LEFT(IFERROR(INDEX(Clay_Brands!$A$2:$FZ$601,582,Sync!$D$5)&amp;"",""),6)&lt;&gt;"SAMPLE",Config!$B$19="Y")),IFERROR(N(INDEX(Clay_Brands!$A$2:$FZ$601,582,Sync!$D$13)),0),"")</f>
        <v/>
      </c>
      <c r="C5233" s="17">
        <f>IF(B5233="","","brand")</f>
        <v/>
      </c>
      <c r="D5233" s="17">
        <f>IF(B5233="","",IFERROR(INDEX(Clay_Brands!$A$2:$FZ$601,582,Sync!$D$5)&amp;"",""))</f>
        <v/>
      </c>
      <c r="E5233" s="17">
        <f>IF(B5233="","",IFERROR(INDEX(Clay_Brands!$A$2:$FZ$601,582,Sync!$D$6)&amp;"",""))</f>
        <v/>
      </c>
      <c r="F5233" s="17">
        <f>IF(B5233="","","outreach_sent")</f>
        <v/>
      </c>
      <c r="G5233" s="17">
        <f>IF(B5233="","","")</f>
        <v/>
      </c>
      <c r="H5233" s="17">
        <f>IF(B5233="","","")</f>
        <v/>
      </c>
      <c r="I5233" s="17">
        <f>IF(B5233="","","")</f>
        <v/>
      </c>
      <c r="J5233" s="17">
        <f>IF(B5233="","","touch_3; "&amp;IFERROR(INDEX(Clay_Brands!$A$2:$FZ$601,582,Sync!$D$10)&amp;"","")&amp;"; "&amp;IFERROR(INDEX(Clay_Brands!$A$2:$FZ$601,582,Sync!$D$9)&amp;"",""))</f>
        <v/>
      </c>
      <c r="K5233" t="inlineStr">
        <is>
          <t>brand outreach touch 3</t>
        </is>
      </c>
    </row>
    <row r="5234">
      <c r="A5234" s="17">
        <f>IF(B5234="","",B5234+(17*1000+583)/10000000)</f>
        <v/>
      </c>
      <c r="B5234" s="23">
        <f>IF(AND(IFERROR(N(INDEX(Clay_Brands!$A$2:$FZ$601,583,Sync!$D$13)),0)&gt;0,IFERROR(INDEX(Clay_Brands!$A$2:$FZ$601,583,Sync!$D$5)&amp;"","")&lt;&gt;"",OR(LEFT(IFERROR(INDEX(Clay_Brands!$A$2:$FZ$601,583,Sync!$D$5)&amp;"",""),6)&lt;&gt;"SAMPLE",Config!$B$19="Y")),IFERROR(N(INDEX(Clay_Brands!$A$2:$FZ$601,583,Sync!$D$13)),0),"")</f>
        <v/>
      </c>
      <c r="C5234" s="17">
        <f>IF(B5234="","","brand")</f>
        <v/>
      </c>
      <c r="D5234" s="17">
        <f>IF(B5234="","",IFERROR(INDEX(Clay_Brands!$A$2:$FZ$601,583,Sync!$D$5)&amp;"",""))</f>
        <v/>
      </c>
      <c r="E5234" s="17">
        <f>IF(B5234="","",IFERROR(INDEX(Clay_Brands!$A$2:$FZ$601,583,Sync!$D$6)&amp;"",""))</f>
        <v/>
      </c>
      <c r="F5234" s="17">
        <f>IF(B5234="","","outreach_sent")</f>
        <v/>
      </c>
      <c r="G5234" s="17">
        <f>IF(B5234="","","")</f>
        <v/>
      </c>
      <c r="H5234" s="17">
        <f>IF(B5234="","","")</f>
        <v/>
      </c>
      <c r="I5234" s="17">
        <f>IF(B5234="","","")</f>
        <v/>
      </c>
      <c r="J5234" s="17">
        <f>IF(B5234="","","touch_3; "&amp;IFERROR(INDEX(Clay_Brands!$A$2:$FZ$601,583,Sync!$D$10)&amp;"","")&amp;"; "&amp;IFERROR(INDEX(Clay_Brands!$A$2:$FZ$601,583,Sync!$D$9)&amp;"",""))</f>
        <v/>
      </c>
      <c r="K5234" t="inlineStr">
        <is>
          <t>brand outreach touch 3</t>
        </is>
      </c>
    </row>
    <row r="5235">
      <c r="A5235" s="17">
        <f>IF(B5235="","",B5235+(17*1000+584)/10000000)</f>
        <v/>
      </c>
      <c r="B5235" s="23">
        <f>IF(AND(IFERROR(N(INDEX(Clay_Brands!$A$2:$FZ$601,584,Sync!$D$13)),0)&gt;0,IFERROR(INDEX(Clay_Brands!$A$2:$FZ$601,584,Sync!$D$5)&amp;"","")&lt;&gt;"",OR(LEFT(IFERROR(INDEX(Clay_Brands!$A$2:$FZ$601,584,Sync!$D$5)&amp;"",""),6)&lt;&gt;"SAMPLE",Config!$B$19="Y")),IFERROR(N(INDEX(Clay_Brands!$A$2:$FZ$601,584,Sync!$D$13)),0),"")</f>
        <v/>
      </c>
      <c r="C5235" s="17">
        <f>IF(B5235="","","brand")</f>
        <v/>
      </c>
      <c r="D5235" s="17">
        <f>IF(B5235="","",IFERROR(INDEX(Clay_Brands!$A$2:$FZ$601,584,Sync!$D$5)&amp;"",""))</f>
        <v/>
      </c>
      <c r="E5235" s="17">
        <f>IF(B5235="","",IFERROR(INDEX(Clay_Brands!$A$2:$FZ$601,584,Sync!$D$6)&amp;"",""))</f>
        <v/>
      </c>
      <c r="F5235" s="17">
        <f>IF(B5235="","","outreach_sent")</f>
        <v/>
      </c>
      <c r="G5235" s="17">
        <f>IF(B5235="","","")</f>
        <v/>
      </c>
      <c r="H5235" s="17">
        <f>IF(B5235="","","")</f>
        <v/>
      </c>
      <c r="I5235" s="17">
        <f>IF(B5235="","","")</f>
        <v/>
      </c>
      <c r="J5235" s="17">
        <f>IF(B5235="","","touch_3; "&amp;IFERROR(INDEX(Clay_Brands!$A$2:$FZ$601,584,Sync!$D$10)&amp;"","")&amp;"; "&amp;IFERROR(INDEX(Clay_Brands!$A$2:$FZ$601,584,Sync!$D$9)&amp;"",""))</f>
        <v/>
      </c>
      <c r="K5235" t="inlineStr">
        <is>
          <t>brand outreach touch 3</t>
        </is>
      </c>
    </row>
    <row r="5236">
      <c r="A5236" s="17">
        <f>IF(B5236="","",B5236+(17*1000+585)/10000000)</f>
        <v/>
      </c>
      <c r="B5236" s="23">
        <f>IF(AND(IFERROR(N(INDEX(Clay_Brands!$A$2:$FZ$601,585,Sync!$D$13)),0)&gt;0,IFERROR(INDEX(Clay_Brands!$A$2:$FZ$601,585,Sync!$D$5)&amp;"","")&lt;&gt;"",OR(LEFT(IFERROR(INDEX(Clay_Brands!$A$2:$FZ$601,585,Sync!$D$5)&amp;"",""),6)&lt;&gt;"SAMPLE",Config!$B$19="Y")),IFERROR(N(INDEX(Clay_Brands!$A$2:$FZ$601,585,Sync!$D$13)),0),"")</f>
        <v/>
      </c>
      <c r="C5236" s="17">
        <f>IF(B5236="","","brand")</f>
        <v/>
      </c>
      <c r="D5236" s="17">
        <f>IF(B5236="","",IFERROR(INDEX(Clay_Brands!$A$2:$FZ$601,585,Sync!$D$5)&amp;"",""))</f>
        <v/>
      </c>
      <c r="E5236" s="17">
        <f>IF(B5236="","",IFERROR(INDEX(Clay_Brands!$A$2:$FZ$601,585,Sync!$D$6)&amp;"",""))</f>
        <v/>
      </c>
      <c r="F5236" s="17">
        <f>IF(B5236="","","outreach_sent")</f>
        <v/>
      </c>
      <c r="G5236" s="17">
        <f>IF(B5236="","","")</f>
        <v/>
      </c>
      <c r="H5236" s="17">
        <f>IF(B5236="","","")</f>
        <v/>
      </c>
      <c r="I5236" s="17">
        <f>IF(B5236="","","")</f>
        <v/>
      </c>
      <c r="J5236" s="17">
        <f>IF(B5236="","","touch_3; "&amp;IFERROR(INDEX(Clay_Brands!$A$2:$FZ$601,585,Sync!$D$10)&amp;"","")&amp;"; "&amp;IFERROR(INDEX(Clay_Brands!$A$2:$FZ$601,585,Sync!$D$9)&amp;"",""))</f>
        <v/>
      </c>
      <c r="K5236" t="inlineStr">
        <is>
          <t>brand outreach touch 3</t>
        </is>
      </c>
    </row>
    <row r="5237">
      <c r="A5237" s="17">
        <f>IF(B5237="","",B5237+(17*1000+586)/10000000)</f>
        <v/>
      </c>
      <c r="B5237" s="23">
        <f>IF(AND(IFERROR(N(INDEX(Clay_Brands!$A$2:$FZ$601,586,Sync!$D$13)),0)&gt;0,IFERROR(INDEX(Clay_Brands!$A$2:$FZ$601,586,Sync!$D$5)&amp;"","")&lt;&gt;"",OR(LEFT(IFERROR(INDEX(Clay_Brands!$A$2:$FZ$601,586,Sync!$D$5)&amp;"",""),6)&lt;&gt;"SAMPLE",Config!$B$19="Y")),IFERROR(N(INDEX(Clay_Brands!$A$2:$FZ$601,586,Sync!$D$13)),0),"")</f>
        <v/>
      </c>
      <c r="C5237" s="17">
        <f>IF(B5237="","","brand")</f>
        <v/>
      </c>
      <c r="D5237" s="17">
        <f>IF(B5237="","",IFERROR(INDEX(Clay_Brands!$A$2:$FZ$601,586,Sync!$D$5)&amp;"",""))</f>
        <v/>
      </c>
      <c r="E5237" s="17">
        <f>IF(B5237="","",IFERROR(INDEX(Clay_Brands!$A$2:$FZ$601,586,Sync!$D$6)&amp;"",""))</f>
        <v/>
      </c>
      <c r="F5237" s="17">
        <f>IF(B5237="","","outreach_sent")</f>
        <v/>
      </c>
      <c r="G5237" s="17">
        <f>IF(B5237="","","")</f>
        <v/>
      </c>
      <c r="H5237" s="17">
        <f>IF(B5237="","","")</f>
        <v/>
      </c>
      <c r="I5237" s="17">
        <f>IF(B5237="","","")</f>
        <v/>
      </c>
      <c r="J5237" s="17">
        <f>IF(B5237="","","touch_3; "&amp;IFERROR(INDEX(Clay_Brands!$A$2:$FZ$601,586,Sync!$D$10)&amp;"","")&amp;"; "&amp;IFERROR(INDEX(Clay_Brands!$A$2:$FZ$601,586,Sync!$D$9)&amp;"",""))</f>
        <v/>
      </c>
      <c r="K5237" t="inlineStr">
        <is>
          <t>brand outreach touch 3</t>
        </is>
      </c>
    </row>
    <row r="5238">
      <c r="A5238" s="17">
        <f>IF(B5238="","",B5238+(17*1000+587)/10000000)</f>
        <v/>
      </c>
      <c r="B5238" s="23">
        <f>IF(AND(IFERROR(N(INDEX(Clay_Brands!$A$2:$FZ$601,587,Sync!$D$13)),0)&gt;0,IFERROR(INDEX(Clay_Brands!$A$2:$FZ$601,587,Sync!$D$5)&amp;"","")&lt;&gt;"",OR(LEFT(IFERROR(INDEX(Clay_Brands!$A$2:$FZ$601,587,Sync!$D$5)&amp;"",""),6)&lt;&gt;"SAMPLE",Config!$B$19="Y")),IFERROR(N(INDEX(Clay_Brands!$A$2:$FZ$601,587,Sync!$D$13)),0),"")</f>
        <v/>
      </c>
      <c r="C5238" s="17">
        <f>IF(B5238="","","brand")</f>
        <v/>
      </c>
      <c r="D5238" s="17">
        <f>IF(B5238="","",IFERROR(INDEX(Clay_Brands!$A$2:$FZ$601,587,Sync!$D$5)&amp;"",""))</f>
        <v/>
      </c>
      <c r="E5238" s="17">
        <f>IF(B5238="","",IFERROR(INDEX(Clay_Brands!$A$2:$FZ$601,587,Sync!$D$6)&amp;"",""))</f>
        <v/>
      </c>
      <c r="F5238" s="17">
        <f>IF(B5238="","","outreach_sent")</f>
        <v/>
      </c>
      <c r="G5238" s="17">
        <f>IF(B5238="","","")</f>
        <v/>
      </c>
      <c r="H5238" s="17">
        <f>IF(B5238="","","")</f>
        <v/>
      </c>
      <c r="I5238" s="17">
        <f>IF(B5238="","","")</f>
        <v/>
      </c>
      <c r="J5238" s="17">
        <f>IF(B5238="","","touch_3; "&amp;IFERROR(INDEX(Clay_Brands!$A$2:$FZ$601,587,Sync!$D$10)&amp;"","")&amp;"; "&amp;IFERROR(INDEX(Clay_Brands!$A$2:$FZ$601,587,Sync!$D$9)&amp;"",""))</f>
        <v/>
      </c>
      <c r="K5238" t="inlineStr">
        <is>
          <t>brand outreach touch 3</t>
        </is>
      </c>
    </row>
    <row r="5239">
      <c r="A5239" s="17">
        <f>IF(B5239="","",B5239+(17*1000+588)/10000000)</f>
        <v/>
      </c>
      <c r="B5239" s="23">
        <f>IF(AND(IFERROR(N(INDEX(Clay_Brands!$A$2:$FZ$601,588,Sync!$D$13)),0)&gt;0,IFERROR(INDEX(Clay_Brands!$A$2:$FZ$601,588,Sync!$D$5)&amp;"","")&lt;&gt;"",OR(LEFT(IFERROR(INDEX(Clay_Brands!$A$2:$FZ$601,588,Sync!$D$5)&amp;"",""),6)&lt;&gt;"SAMPLE",Config!$B$19="Y")),IFERROR(N(INDEX(Clay_Brands!$A$2:$FZ$601,588,Sync!$D$13)),0),"")</f>
        <v/>
      </c>
      <c r="C5239" s="17">
        <f>IF(B5239="","","brand")</f>
        <v/>
      </c>
      <c r="D5239" s="17">
        <f>IF(B5239="","",IFERROR(INDEX(Clay_Brands!$A$2:$FZ$601,588,Sync!$D$5)&amp;"",""))</f>
        <v/>
      </c>
      <c r="E5239" s="17">
        <f>IF(B5239="","",IFERROR(INDEX(Clay_Brands!$A$2:$FZ$601,588,Sync!$D$6)&amp;"",""))</f>
        <v/>
      </c>
      <c r="F5239" s="17">
        <f>IF(B5239="","","outreach_sent")</f>
        <v/>
      </c>
      <c r="G5239" s="17">
        <f>IF(B5239="","","")</f>
        <v/>
      </c>
      <c r="H5239" s="17">
        <f>IF(B5239="","","")</f>
        <v/>
      </c>
      <c r="I5239" s="17">
        <f>IF(B5239="","","")</f>
        <v/>
      </c>
      <c r="J5239" s="17">
        <f>IF(B5239="","","touch_3; "&amp;IFERROR(INDEX(Clay_Brands!$A$2:$FZ$601,588,Sync!$D$10)&amp;"","")&amp;"; "&amp;IFERROR(INDEX(Clay_Brands!$A$2:$FZ$601,588,Sync!$D$9)&amp;"",""))</f>
        <v/>
      </c>
      <c r="K5239" t="inlineStr">
        <is>
          <t>brand outreach touch 3</t>
        </is>
      </c>
    </row>
    <row r="5240">
      <c r="A5240" s="17">
        <f>IF(B5240="","",B5240+(17*1000+589)/10000000)</f>
        <v/>
      </c>
      <c r="B5240" s="23">
        <f>IF(AND(IFERROR(N(INDEX(Clay_Brands!$A$2:$FZ$601,589,Sync!$D$13)),0)&gt;0,IFERROR(INDEX(Clay_Brands!$A$2:$FZ$601,589,Sync!$D$5)&amp;"","")&lt;&gt;"",OR(LEFT(IFERROR(INDEX(Clay_Brands!$A$2:$FZ$601,589,Sync!$D$5)&amp;"",""),6)&lt;&gt;"SAMPLE",Config!$B$19="Y")),IFERROR(N(INDEX(Clay_Brands!$A$2:$FZ$601,589,Sync!$D$13)),0),"")</f>
        <v/>
      </c>
      <c r="C5240" s="17">
        <f>IF(B5240="","","brand")</f>
        <v/>
      </c>
      <c r="D5240" s="17">
        <f>IF(B5240="","",IFERROR(INDEX(Clay_Brands!$A$2:$FZ$601,589,Sync!$D$5)&amp;"",""))</f>
        <v/>
      </c>
      <c r="E5240" s="17">
        <f>IF(B5240="","",IFERROR(INDEX(Clay_Brands!$A$2:$FZ$601,589,Sync!$D$6)&amp;"",""))</f>
        <v/>
      </c>
      <c r="F5240" s="17">
        <f>IF(B5240="","","outreach_sent")</f>
        <v/>
      </c>
      <c r="G5240" s="17">
        <f>IF(B5240="","","")</f>
        <v/>
      </c>
      <c r="H5240" s="17">
        <f>IF(B5240="","","")</f>
        <v/>
      </c>
      <c r="I5240" s="17">
        <f>IF(B5240="","","")</f>
        <v/>
      </c>
      <c r="J5240" s="17">
        <f>IF(B5240="","","touch_3; "&amp;IFERROR(INDEX(Clay_Brands!$A$2:$FZ$601,589,Sync!$D$10)&amp;"","")&amp;"; "&amp;IFERROR(INDEX(Clay_Brands!$A$2:$FZ$601,589,Sync!$D$9)&amp;"",""))</f>
        <v/>
      </c>
      <c r="K5240" t="inlineStr">
        <is>
          <t>brand outreach touch 3</t>
        </is>
      </c>
    </row>
    <row r="5241">
      <c r="A5241" s="17">
        <f>IF(B5241="","",B5241+(17*1000+590)/10000000)</f>
        <v/>
      </c>
      <c r="B5241" s="23">
        <f>IF(AND(IFERROR(N(INDEX(Clay_Brands!$A$2:$FZ$601,590,Sync!$D$13)),0)&gt;0,IFERROR(INDEX(Clay_Brands!$A$2:$FZ$601,590,Sync!$D$5)&amp;"","")&lt;&gt;"",OR(LEFT(IFERROR(INDEX(Clay_Brands!$A$2:$FZ$601,590,Sync!$D$5)&amp;"",""),6)&lt;&gt;"SAMPLE",Config!$B$19="Y")),IFERROR(N(INDEX(Clay_Brands!$A$2:$FZ$601,590,Sync!$D$13)),0),"")</f>
        <v/>
      </c>
      <c r="C5241" s="17">
        <f>IF(B5241="","","brand")</f>
        <v/>
      </c>
      <c r="D5241" s="17">
        <f>IF(B5241="","",IFERROR(INDEX(Clay_Brands!$A$2:$FZ$601,590,Sync!$D$5)&amp;"",""))</f>
        <v/>
      </c>
      <c r="E5241" s="17">
        <f>IF(B5241="","",IFERROR(INDEX(Clay_Brands!$A$2:$FZ$601,590,Sync!$D$6)&amp;"",""))</f>
        <v/>
      </c>
      <c r="F5241" s="17">
        <f>IF(B5241="","","outreach_sent")</f>
        <v/>
      </c>
      <c r="G5241" s="17">
        <f>IF(B5241="","","")</f>
        <v/>
      </c>
      <c r="H5241" s="17">
        <f>IF(B5241="","","")</f>
        <v/>
      </c>
      <c r="I5241" s="17">
        <f>IF(B5241="","","")</f>
        <v/>
      </c>
      <c r="J5241" s="17">
        <f>IF(B5241="","","touch_3; "&amp;IFERROR(INDEX(Clay_Brands!$A$2:$FZ$601,590,Sync!$D$10)&amp;"","")&amp;"; "&amp;IFERROR(INDEX(Clay_Brands!$A$2:$FZ$601,590,Sync!$D$9)&amp;"",""))</f>
        <v/>
      </c>
      <c r="K5241" t="inlineStr">
        <is>
          <t>brand outreach touch 3</t>
        </is>
      </c>
    </row>
    <row r="5242">
      <c r="A5242" s="17">
        <f>IF(B5242="","",B5242+(17*1000+591)/10000000)</f>
        <v/>
      </c>
      <c r="B5242" s="23">
        <f>IF(AND(IFERROR(N(INDEX(Clay_Brands!$A$2:$FZ$601,591,Sync!$D$13)),0)&gt;0,IFERROR(INDEX(Clay_Brands!$A$2:$FZ$601,591,Sync!$D$5)&amp;"","")&lt;&gt;"",OR(LEFT(IFERROR(INDEX(Clay_Brands!$A$2:$FZ$601,591,Sync!$D$5)&amp;"",""),6)&lt;&gt;"SAMPLE",Config!$B$19="Y")),IFERROR(N(INDEX(Clay_Brands!$A$2:$FZ$601,591,Sync!$D$13)),0),"")</f>
        <v/>
      </c>
      <c r="C5242" s="17">
        <f>IF(B5242="","","brand")</f>
        <v/>
      </c>
      <c r="D5242" s="17">
        <f>IF(B5242="","",IFERROR(INDEX(Clay_Brands!$A$2:$FZ$601,591,Sync!$D$5)&amp;"",""))</f>
        <v/>
      </c>
      <c r="E5242" s="17">
        <f>IF(B5242="","",IFERROR(INDEX(Clay_Brands!$A$2:$FZ$601,591,Sync!$D$6)&amp;"",""))</f>
        <v/>
      </c>
      <c r="F5242" s="17">
        <f>IF(B5242="","","outreach_sent")</f>
        <v/>
      </c>
      <c r="G5242" s="17">
        <f>IF(B5242="","","")</f>
        <v/>
      </c>
      <c r="H5242" s="17">
        <f>IF(B5242="","","")</f>
        <v/>
      </c>
      <c r="I5242" s="17">
        <f>IF(B5242="","","")</f>
        <v/>
      </c>
      <c r="J5242" s="17">
        <f>IF(B5242="","","touch_3; "&amp;IFERROR(INDEX(Clay_Brands!$A$2:$FZ$601,591,Sync!$D$10)&amp;"","")&amp;"; "&amp;IFERROR(INDEX(Clay_Brands!$A$2:$FZ$601,591,Sync!$D$9)&amp;"",""))</f>
        <v/>
      </c>
      <c r="K5242" t="inlineStr">
        <is>
          <t>brand outreach touch 3</t>
        </is>
      </c>
    </row>
    <row r="5243">
      <c r="A5243" s="17">
        <f>IF(B5243="","",B5243+(17*1000+592)/10000000)</f>
        <v/>
      </c>
      <c r="B5243" s="23">
        <f>IF(AND(IFERROR(N(INDEX(Clay_Brands!$A$2:$FZ$601,592,Sync!$D$13)),0)&gt;0,IFERROR(INDEX(Clay_Brands!$A$2:$FZ$601,592,Sync!$D$5)&amp;"","")&lt;&gt;"",OR(LEFT(IFERROR(INDEX(Clay_Brands!$A$2:$FZ$601,592,Sync!$D$5)&amp;"",""),6)&lt;&gt;"SAMPLE",Config!$B$19="Y")),IFERROR(N(INDEX(Clay_Brands!$A$2:$FZ$601,592,Sync!$D$13)),0),"")</f>
        <v/>
      </c>
      <c r="C5243" s="17">
        <f>IF(B5243="","","brand")</f>
        <v/>
      </c>
      <c r="D5243" s="17">
        <f>IF(B5243="","",IFERROR(INDEX(Clay_Brands!$A$2:$FZ$601,592,Sync!$D$5)&amp;"",""))</f>
        <v/>
      </c>
      <c r="E5243" s="17">
        <f>IF(B5243="","",IFERROR(INDEX(Clay_Brands!$A$2:$FZ$601,592,Sync!$D$6)&amp;"",""))</f>
        <v/>
      </c>
      <c r="F5243" s="17">
        <f>IF(B5243="","","outreach_sent")</f>
        <v/>
      </c>
      <c r="G5243" s="17">
        <f>IF(B5243="","","")</f>
        <v/>
      </c>
      <c r="H5243" s="17">
        <f>IF(B5243="","","")</f>
        <v/>
      </c>
      <c r="I5243" s="17">
        <f>IF(B5243="","","")</f>
        <v/>
      </c>
      <c r="J5243" s="17">
        <f>IF(B5243="","","touch_3; "&amp;IFERROR(INDEX(Clay_Brands!$A$2:$FZ$601,592,Sync!$D$10)&amp;"","")&amp;"; "&amp;IFERROR(INDEX(Clay_Brands!$A$2:$FZ$601,592,Sync!$D$9)&amp;"",""))</f>
        <v/>
      </c>
      <c r="K5243" t="inlineStr">
        <is>
          <t>brand outreach touch 3</t>
        </is>
      </c>
    </row>
    <row r="5244">
      <c r="A5244" s="17">
        <f>IF(B5244="","",B5244+(17*1000+593)/10000000)</f>
        <v/>
      </c>
      <c r="B5244" s="23">
        <f>IF(AND(IFERROR(N(INDEX(Clay_Brands!$A$2:$FZ$601,593,Sync!$D$13)),0)&gt;0,IFERROR(INDEX(Clay_Brands!$A$2:$FZ$601,593,Sync!$D$5)&amp;"","")&lt;&gt;"",OR(LEFT(IFERROR(INDEX(Clay_Brands!$A$2:$FZ$601,593,Sync!$D$5)&amp;"",""),6)&lt;&gt;"SAMPLE",Config!$B$19="Y")),IFERROR(N(INDEX(Clay_Brands!$A$2:$FZ$601,593,Sync!$D$13)),0),"")</f>
        <v/>
      </c>
      <c r="C5244" s="17">
        <f>IF(B5244="","","brand")</f>
        <v/>
      </c>
      <c r="D5244" s="17">
        <f>IF(B5244="","",IFERROR(INDEX(Clay_Brands!$A$2:$FZ$601,593,Sync!$D$5)&amp;"",""))</f>
        <v/>
      </c>
      <c r="E5244" s="17">
        <f>IF(B5244="","",IFERROR(INDEX(Clay_Brands!$A$2:$FZ$601,593,Sync!$D$6)&amp;"",""))</f>
        <v/>
      </c>
      <c r="F5244" s="17">
        <f>IF(B5244="","","outreach_sent")</f>
        <v/>
      </c>
      <c r="G5244" s="17">
        <f>IF(B5244="","","")</f>
        <v/>
      </c>
      <c r="H5244" s="17">
        <f>IF(B5244="","","")</f>
        <v/>
      </c>
      <c r="I5244" s="17">
        <f>IF(B5244="","","")</f>
        <v/>
      </c>
      <c r="J5244" s="17">
        <f>IF(B5244="","","touch_3; "&amp;IFERROR(INDEX(Clay_Brands!$A$2:$FZ$601,593,Sync!$D$10)&amp;"","")&amp;"; "&amp;IFERROR(INDEX(Clay_Brands!$A$2:$FZ$601,593,Sync!$D$9)&amp;"",""))</f>
        <v/>
      </c>
      <c r="K5244" t="inlineStr">
        <is>
          <t>brand outreach touch 3</t>
        </is>
      </c>
    </row>
    <row r="5245">
      <c r="A5245" s="17">
        <f>IF(B5245="","",B5245+(17*1000+594)/10000000)</f>
        <v/>
      </c>
      <c r="B5245" s="23">
        <f>IF(AND(IFERROR(N(INDEX(Clay_Brands!$A$2:$FZ$601,594,Sync!$D$13)),0)&gt;0,IFERROR(INDEX(Clay_Brands!$A$2:$FZ$601,594,Sync!$D$5)&amp;"","")&lt;&gt;"",OR(LEFT(IFERROR(INDEX(Clay_Brands!$A$2:$FZ$601,594,Sync!$D$5)&amp;"",""),6)&lt;&gt;"SAMPLE",Config!$B$19="Y")),IFERROR(N(INDEX(Clay_Brands!$A$2:$FZ$601,594,Sync!$D$13)),0),"")</f>
        <v/>
      </c>
      <c r="C5245" s="17">
        <f>IF(B5245="","","brand")</f>
        <v/>
      </c>
      <c r="D5245" s="17">
        <f>IF(B5245="","",IFERROR(INDEX(Clay_Brands!$A$2:$FZ$601,594,Sync!$D$5)&amp;"",""))</f>
        <v/>
      </c>
      <c r="E5245" s="17">
        <f>IF(B5245="","",IFERROR(INDEX(Clay_Brands!$A$2:$FZ$601,594,Sync!$D$6)&amp;"",""))</f>
        <v/>
      </c>
      <c r="F5245" s="17">
        <f>IF(B5245="","","outreach_sent")</f>
        <v/>
      </c>
      <c r="G5245" s="17">
        <f>IF(B5245="","","")</f>
        <v/>
      </c>
      <c r="H5245" s="17">
        <f>IF(B5245="","","")</f>
        <v/>
      </c>
      <c r="I5245" s="17">
        <f>IF(B5245="","","")</f>
        <v/>
      </c>
      <c r="J5245" s="17">
        <f>IF(B5245="","","touch_3; "&amp;IFERROR(INDEX(Clay_Brands!$A$2:$FZ$601,594,Sync!$D$10)&amp;"","")&amp;"; "&amp;IFERROR(INDEX(Clay_Brands!$A$2:$FZ$601,594,Sync!$D$9)&amp;"",""))</f>
        <v/>
      </c>
      <c r="K5245" t="inlineStr">
        <is>
          <t>brand outreach touch 3</t>
        </is>
      </c>
    </row>
    <row r="5246">
      <c r="A5246" s="17">
        <f>IF(B5246="","",B5246+(17*1000+595)/10000000)</f>
        <v/>
      </c>
      <c r="B5246" s="23">
        <f>IF(AND(IFERROR(N(INDEX(Clay_Brands!$A$2:$FZ$601,595,Sync!$D$13)),0)&gt;0,IFERROR(INDEX(Clay_Brands!$A$2:$FZ$601,595,Sync!$D$5)&amp;"","")&lt;&gt;"",OR(LEFT(IFERROR(INDEX(Clay_Brands!$A$2:$FZ$601,595,Sync!$D$5)&amp;"",""),6)&lt;&gt;"SAMPLE",Config!$B$19="Y")),IFERROR(N(INDEX(Clay_Brands!$A$2:$FZ$601,595,Sync!$D$13)),0),"")</f>
        <v/>
      </c>
      <c r="C5246" s="17">
        <f>IF(B5246="","","brand")</f>
        <v/>
      </c>
      <c r="D5246" s="17">
        <f>IF(B5246="","",IFERROR(INDEX(Clay_Brands!$A$2:$FZ$601,595,Sync!$D$5)&amp;"",""))</f>
        <v/>
      </c>
      <c r="E5246" s="17">
        <f>IF(B5246="","",IFERROR(INDEX(Clay_Brands!$A$2:$FZ$601,595,Sync!$D$6)&amp;"",""))</f>
        <v/>
      </c>
      <c r="F5246" s="17">
        <f>IF(B5246="","","outreach_sent")</f>
        <v/>
      </c>
      <c r="G5246" s="17">
        <f>IF(B5246="","","")</f>
        <v/>
      </c>
      <c r="H5246" s="17">
        <f>IF(B5246="","","")</f>
        <v/>
      </c>
      <c r="I5246" s="17">
        <f>IF(B5246="","","")</f>
        <v/>
      </c>
      <c r="J5246" s="17">
        <f>IF(B5246="","","touch_3; "&amp;IFERROR(INDEX(Clay_Brands!$A$2:$FZ$601,595,Sync!$D$10)&amp;"","")&amp;"; "&amp;IFERROR(INDEX(Clay_Brands!$A$2:$FZ$601,595,Sync!$D$9)&amp;"",""))</f>
        <v/>
      </c>
      <c r="K5246" t="inlineStr">
        <is>
          <t>brand outreach touch 3</t>
        </is>
      </c>
    </row>
    <row r="5247">
      <c r="A5247" s="17">
        <f>IF(B5247="","",B5247+(17*1000+596)/10000000)</f>
        <v/>
      </c>
      <c r="B5247" s="23">
        <f>IF(AND(IFERROR(N(INDEX(Clay_Brands!$A$2:$FZ$601,596,Sync!$D$13)),0)&gt;0,IFERROR(INDEX(Clay_Brands!$A$2:$FZ$601,596,Sync!$D$5)&amp;"","")&lt;&gt;"",OR(LEFT(IFERROR(INDEX(Clay_Brands!$A$2:$FZ$601,596,Sync!$D$5)&amp;"",""),6)&lt;&gt;"SAMPLE",Config!$B$19="Y")),IFERROR(N(INDEX(Clay_Brands!$A$2:$FZ$601,596,Sync!$D$13)),0),"")</f>
        <v/>
      </c>
      <c r="C5247" s="17">
        <f>IF(B5247="","","brand")</f>
        <v/>
      </c>
      <c r="D5247" s="17">
        <f>IF(B5247="","",IFERROR(INDEX(Clay_Brands!$A$2:$FZ$601,596,Sync!$D$5)&amp;"",""))</f>
        <v/>
      </c>
      <c r="E5247" s="17">
        <f>IF(B5247="","",IFERROR(INDEX(Clay_Brands!$A$2:$FZ$601,596,Sync!$D$6)&amp;"",""))</f>
        <v/>
      </c>
      <c r="F5247" s="17">
        <f>IF(B5247="","","outreach_sent")</f>
        <v/>
      </c>
      <c r="G5247" s="17">
        <f>IF(B5247="","","")</f>
        <v/>
      </c>
      <c r="H5247" s="17">
        <f>IF(B5247="","","")</f>
        <v/>
      </c>
      <c r="I5247" s="17">
        <f>IF(B5247="","","")</f>
        <v/>
      </c>
      <c r="J5247" s="17">
        <f>IF(B5247="","","touch_3; "&amp;IFERROR(INDEX(Clay_Brands!$A$2:$FZ$601,596,Sync!$D$10)&amp;"","")&amp;"; "&amp;IFERROR(INDEX(Clay_Brands!$A$2:$FZ$601,596,Sync!$D$9)&amp;"",""))</f>
        <v/>
      </c>
      <c r="K5247" t="inlineStr">
        <is>
          <t>brand outreach touch 3</t>
        </is>
      </c>
    </row>
    <row r="5248">
      <c r="A5248" s="17">
        <f>IF(B5248="","",B5248+(17*1000+597)/10000000)</f>
        <v/>
      </c>
      <c r="B5248" s="23">
        <f>IF(AND(IFERROR(N(INDEX(Clay_Brands!$A$2:$FZ$601,597,Sync!$D$13)),0)&gt;0,IFERROR(INDEX(Clay_Brands!$A$2:$FZ$601,597,Sync!$D$5)&amp;"","")&lt;&gt;"",OR(LEFT(IFERROR(INDEX(Clay_Brands!$A$2:$FZ$601,597,Sync!$D$5)&amp;"",""),6)&lt;&gt;"SAMPLE",Config!$B$19="Y")),IFERROR(N(INDEX(Clay_Brands!$A$2:$FZ$601,597,Sync!$D$13)),0),"")</f>
        <v/>
      </c>
      <c r="C5248" s="17">
        <f>IF(B5248="","","brand")</f>
        <v/>
      </c>
      <c r="D5248" s="17">
        <f>IF(B5248="","",IFERROR(INDEX(Clay_Brands!$A$2:$FZ$601,597,Sync!$D$5)&amp;"",""))</f>
        <v/>
      </c>
      <c r="E5248" s="17">
        <f>IF(B5248="","",IFERROR(INDEX(Clay_Brands!$A$2:$FZ$601,597,Sync!$D$6)&amp;"",""))</f>
        <v/>
      </c>
      <c r="F5248" s="17">
        <f>IF(B5248="","","outreach_sent")</f>
        <v/>
      </c>
      <c r="G5248" s="17">
        <f>IF(B5248="","","")</f>
        <v/>
      </c>
      <c r="H5248" s="17">
        <f>IF(B5248="","","")</f>
        <v/>
      </c>
      <c r="I5248" s="17">
        <f>IF(B5248="","","")</f>
        <v/>
      </c>
      <c r="J5248" s="17">
        <f>IF(B5248="","","touch_3; "&amp;IFERROR(INDEX(Clay_Brands!$A$2:$FZ$601,597,Sync!$D$10)&amp;"","")&amp;"; "&amp;IFERROR(INDEX(Clay_Brands!$A$2:$FZ$601,597,Sync!$D$9)&amp;"",""))</f>
        <v/>
      </c>
      <c r="K5248" t="inlineStr">
        <is>
          <t>brand outreach touch 3</t>
        </is>
      </c>
    </row>
    <row r="5249">
      <c r="A5249" s="17">
        <f>IF(B5249="","",B5249+(17*1000+598)/10000000)</f>
        <v/>
      </c>
      <c r="B5249" s="23">
        <f>IF(AND(IFERROR(N(INDEX(Clay_Brands!$A$2:$FZ$601,598,Sync!$D$13)),0)&gt;0,IFERROR(INDEX(Clay_Brands!$A$2:$FZ$601,598,Sync!$D$5)&amp;"","")&lt;&gt;"",OR(LEFT(IFERROR(INDEX(Clay_Brands!$A$2:$FZ$601,598,Sync!$D$5)&amp;"",""),6)&lt;&gt;"SAMPLE",Config!$B$19="Y")),IFERROR(N(INDEX(Clay_Brands!$A$2:$FZ$601,598,Sync!$D$13)),0),"")</f>
        <v/>
      </c>
      <c r="C5249" s="17">
        <f>IF(B5249="","","brand")</f>
        <v/>
      </c>
      <c r="D5249" s="17">
        <f>IF(B5249="","",IFERROR(INDEX(Clay_Brands!$A$2:$FZ$601,598,Sync!$D$5)&amp;"",""))</f>
        <v/>
      </c>
      <c r="E5249" s="17">
        <f>IF(B5249="","",IFERROR(INDEX(Clay_Brands!$A$2:$FZ$601,598,Sync!$D$6)&amp;"",""))</f>
        <v/>
      </c>
      <c r="F5249" s="17">
        <f>IF(B5249="","","outreach_sent")</f>
        <v/>
      </c>
      <c r="G5249" s="17">
        <f>IF(B5249="","","")</f>
        <v/>
      </c>
      <c r="H5249" s="17">
        <f>IF(B5249="","","")</f>
        <v/>
      </c>
      <c r="I5249" s="17">
        <f>IF(B5249="","","")</f>
        <v/>
      </c>
      <c r="J5249" s="17">
        <f>IF(B5249="","","touch_3; "&amp;IFERROR(INDEX(Clay_Brands!$A$2:$FZ$601,598,Sync!$D$10)&amp;"","")&amp;"; "&amp;IFERROR(INDEX(Clay_Brands!$A$2:$FZ$601,598,Sync!$D$9)&amp;"",""))</f>
        <v/>
      </c>
      <c r="K5249" t="inlineStr">
        <is>
          <t>brand outreach touch 3</t>
        </is>
      </c>
    </row>
    <row r="5250">
      <c r="A5250" s="17">
        <f>IF(B5250="","",B5250+(17*1000+599)/10000000)</f>
        <v/>
      </c>
      <c r="B5250" s="23">
        <f>IF(AND(IFERROR(N(INDEX(Clay_Brands!$A$2:$FZ$601,599,Sync!$D$13)),0)&gt;0,IFERROR(INDEX(Clay_Brands!$A$2:$FZ$601,599,Sync!$D$5)&amp;"","")&lt;&gt;"",OR(LEFT(IFERROR(INDEX(Clay_Brands!$A$2:$FZ$601,599,Sync!$D$5)&amp;"",""),6)&lt;&gt;"SAMPLE",Config!$B$19="Y")),IFERROR(N(INDEX(Clay_Brands!$A$2:$FZ$601,599,Sync!$D$13)),0),"")</f>
        <v/>
      </c>
      <c r="C5250" s="17">
        <f>IF(B5250="","","brand")</f>
        <v/>
      </c>
      <c r="D5250" s="17">
        <f>IF(B5250="","",IFERROR(INDEX(Clay_Brands!$A$2:$FZ$601,599,Sync!$D$5)&amp;"",""))</f>
        <v/>
      </c>
      <c r="E5250" s="17">
        <f>IF(B5250="","",IFERROR(INDEX(Clay_Brands!$A$2:$FZ$601,599,Sync!$D$6)&amp;"",""))</f>
        <v/>
      </c>
      <c r="F5250" s="17">
        <f>IF(B5250="","","outreach_sent")</f>
        <v/>
      </c>
      <c r="G5250" s="17">
        <f>IF(B5250="","","")</f>
        <v/>
      </c>
      <c r="H5250" s="17">
        <f>IF(B5250="","","")</f>
        <v/>
      </c>
      <c r="I5250" s="17">
        <f>IF(B5250="","","")</f>
        <v/>
      </c>
      <c r="J5250" s="17">
        <f>IF(B5250="","","touch_3; "&amp;IFERROR(INDEX(Clay_Brands!$A$2:$FZ$601,599,Sync!$D$10)&amp;"","")&amp;"; "&amp;IFERROR(INDEX(Clay_Brands!$A$2:$FZ$601,599,Sync!$D$9)&amp;"",""))</f>
        <v/>
      </c>
      <c r="K5250" t="inlineStr">
        <is>
          <t>brand outreach touch 3</t>
        </is>
      </c>
    </row>
    <row r="5251">
      <c r="A5251" s="17">
        <f>IF(B5251="","",B5251+(17*1000+600)/10000000)</f>
        <v/>
      </c>
      <c r="B5251" s="23">
        <f>IF(AND(IFERROR(N(INDEX(Clay_Brands!$A$2:$FZ$601,600,Sync!$D$13)),0)&gt;0,IFERROR(INDEX(Clay_Brands!$A$2:$FZ$601,600,Sync!$D$5)&amp;"","")&lt;&gt;"",OR(LEFT(IFERROR(INDEX(Clay_Brands!$A$2:$FZ$601,600,Sync!$D$5)&amp;"",""),6)&lt;&gt;"SAMPLE",Config!$B$19="Y")),IFERROR(N(INDEX(Clay_Brands!$A$2:$FZ$601,600,Sync!$D$13)),0),"")</f>
        <v/>
      </c>
      <c r="C5251" s="17">
        <f>IF(B5251="","","brand")</f>
        <v/>
      </c>
      <c r="D5251" s="17">
        <f>IF(B5251="","",IFERROR(INDEX(Clay_Brands!$A$2:$FZ$601,600,Sync!$D$5)&amp;"",""))</f>
        <v/>
      </c>
      <c r="E5251" s="17">
        <f>IF(B5251="","",IFERROR(INDEX(Clay_Brands!$A$2:$FZ$601,600,Sync!$D$6)&amp;"",""))</f>
        <v/>
      </c>
      <c r="F5251" s="17">
        <f>IF(B5251="","","outreach_sent")</f>
        <v/>
      </c>
      <c r="G5251" s="17">
        <f>IF(B5251="","","")</f>
        <v/>
      </c>
      <c r="H5251" s="17">
        <f>IF(B5251="","","")</f>
        <v/>
      </c>
      <c r="I5251" s="17">
        <f>IF(B5251="","","")</f>
        <v/>
      </c>
      <c r="J5251" s="17">
        <f>IF(B5251="","","touch_3; "&amp;IFERROR(INDEX(Clay_Brands!$A$2:$FZ$601,600,Sync!$D$10)&amp;"","")&amp;"; "&amp;IFERROR(INDEX(Clay_Brands!$A$2:$FZ$601,600,Sync!$D$9)&amp;"",""))</f>
        <v/>
      </c>
      <c r="K5251" t="inlineStr">
        <is>
          <t>brand outreach touch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90" customWidth="1" min="3" max="3"/>
  </cols>
  <sheetData>
    <row r="1">
      <c r="A1" s="12" t="inlineStr">
        <is>
          <t>Config: change values in column B only. Dates are derived from CONTRACTS section 3 (derived, founder to confirm).</t>
        </is>
      </c>
    </row>
    <row r="2">
      <c r="A2" s="7" t="inlineStr">
        <is>
          <t>setting</t>
        </is>
      </c>
      <c r="B2" s="7" t="inlineStr">
        <is>
          <t>value</t>
        </is>
      </c>
      <c r="C2" s="7" t="inlineStr">
        <is>
          <t>what it means</t>
        </is>
      </c>
    </row>
    <row r="3">
      <c r="A3" s="12" t="inlineStr">
        <is>
          <t>company_name</t>
        </is>
      </c>
      <c r="B3" t="inlineStr">
        <is>
          <t>Desk Drop</t>
        </is>
      </c>
      <c r="C3" s="6" t="inlineStr">
        <is>
          <t>The working name, in one place. Rename here; every tab title follows.</t>
        </is>
      </c>
    </row>
    <row r="4">
      <c r="A4" s="12" t="inlineStr">
        <is>
          <t>tagline</t>
        </is>
      </c>
      <c r="B4" t="inlineStr">
        <is>
          <t>Emerging brands. Delivered to your workday.</t>
        </is>
      </c>
      <c r="C4" s="6" t="inlineStr">
        <is>
          <t>Working tagline.</t>
        </is>
      </c>
    </row>
    <row r="5">
      <c r="A5" s="12" t="inlineStr">
        <is>
          <t>as_of_date</t>
        </is>
      </c>
      <c r="B5" s="22">
        <f>TODAY()</f>
        <v/>
      </c>
      <c r="C5" s="6" t="inlineStr">
        <is>
          <t>The Friday you are reading. Default =TODAY(). Type a date to read an earlier week.</t>
        </is>
      </c>
    </row>
    <row r="6">
      <c r="A6" s="12" t="inlineStr">
        <is>
          <t>week1_readout</t>
        </is>
      </c>
      <c r="B6" s="22" t="n">
        <v>46325</v>
      </c>
      <c r="C6" s="6" t="inlineStr">
        <is>
          <t>Friday of week 1 (derived, founder to confirm).</t>
        </is>
      </c>
    </row>
    <row r="7">
      <c r="A7" s="12" t="inlineStr">
        <is>
          <t>week2_readout</t>
        </is>
      </c>
      <c r="B7" s="22" t="n">
        <v>46332</v>
      </c>
      <c r="C7" s="6" t="inlineStr">
        <is>
          <t>Friday of week 2 (derived, founder to confirm).</t>
        </is>
      </c>
    </row>
    <row r="8">
      <c r="A8" s="12" t="inlineStr">
        <is>
          <t>gate0_date</t>
        </is>
      </c>
      <c r="B8" s="22" t="n">
        <v>46339</v>
      </c>
      <c r="C8" s="6" t="inlineStr">
        <is>
          <t>Gate 0, Friday of week 3 (CONTRACTS section 3; derived, founder to confirm).</t>
        </is>
      </c>
    </row>
    <row r="9">
      <c r="A9" s="12" t="inlineStr">
        <is>
          <t>discovery_start</t>
        </is>
      </c>
      <c r="B9" s="22" t="n">
        <v>46321</v>
      </c>
      <c r="C9" s="6" t="inlineStr">
        <is>
          <t>Monday of week 1.</t>
        </is>
      </c>
    </row>
    <row r="10">
      <c r="A10" s="12" t="inlineStr">
        <is>
          <t>target_office_conversations</t>
        </is>
      </c>
      <c r="B10" t="n">
        <v>15</v>
      </c>
      <c r="C10" s="6" t="inlineStr">
        <is>
          <t>Plan Phase 0.</t>
        </is>
      </c>
    </row>
    <row r="11">
      <c r="A11" s="12" t="inlineStr">
        <is>
          <t>target_office_yes</t>
        </is>
      </c>
      <c r="B11" t="n">
        <v>5</v>
      </c>
      <c r="C11" s="6" t="inlineStr">
        <is>
          <t>Gate 0: yes in principle AND pantry owner named AND receiving window named.</t>
        </is>
      </c>
    </row>
    <row r="12">
      <c r="A12" s="12" t="inlineStr">
        <is>
          <t>target_brand_conversations</t>
        </is>
      </c>
      <c r="B12" t="n">
        <v>15</v>
      </c>
      <c r="C12" s="6" t="inlineStr">
        <is>
          <t>Plan Phase 0.</t>
        </is>
      </c>
    </row>
    <row r="13">
      <c r="A13" s="12" t="inlineStr">
        <is>
          <t>target_brand_yes</t>
        </is>
      </c>
      <c r="B13" t="n">
        <v>3</v>
      </c>
      <c r="C13" s="6" t="inlineStr">
        <is>
          <t>Gate 0: would pay the threshold AND the speaker controls the budget.</t>
        </is>
      </c>
    </row>
    <row r="14">
      <c r="A14" s="12" t="inlineStr">
        <is>
          <t>brand_wtp_threshold_usd</t>
        </is>
      </c>
      <c r="B14" t="n">
        <v>500</v>
      </c>
      <c r="C14" s="6" t="inlineStr">
        <is>
          <t>Gate 0 brand threshold, USD per campaign.</t>
        </is>
      </c>
    </row>
    <row r="15">
      <c r="A15" s="12" t="inlineStr">
        <is>
          <t>office_paid_threshold_usd</t>
        </is>
      </c>
      <c r="B15" t="n">
        <v>100</v>
      </c>
      <c r="C15" s="6" t="inlineStr">
        <is>
          <t>Plan decision rule: offices naming $100 a month or more.</t>
        </is>
      </c>
    </row>
    <row r="16">
      <c r="A16" s="12" t="inlineStr">
        <is>
          <t>reply_rate_target</t>
        </is>
      </c>
      <c r="B16" s="21" t="n">
        <v>0.2</v>
      </c>
      <c r="C16" s="6" t="inlineStr">
        <is>
          <t>Plan cadence: 150 messages at 20% = 30 conversations.</t>
        </is>
      </c>
    </row>
    <row r="17">
      <c r="A17" s="12" t="inlineStr">
        <is>
          <t>min_first_touches_to_judge</t>
        </is>
      </c>
      <c r="B17" t="n">
        <v>30</v>
      </c>
      <c r="C17" s="6" t="inlineStr">
        <is>
          <t>Do not judge a reply rate on fewer first touches than this.</t>
        </is>
      </c>
    </row>
    <row r="18">
      <c r="A18" s="12" t="inlineStr">
        <is>
          <t>note_minutes_target</t>
        </is>
      </c>
      <c r="B18" t="n">
        <v>10</v>
      </c>
      <c r="C18" s="6" t="inlineStr">
        <is>
          <t>Plan: notes within ten minutes of each call.</t>
        </is>
      </c>
    </row>
    <row r="19">
      <c r="A19" s="12" t="inlineStr">
        <is>
          <t>include_sample</t>
        </is>
      </c>
      <c r="B19" t="inlineStr">
        <is>
          <t>N</t>
        </is>
      </c>
      <c r="C19" s="6" t="inlineStr">
        <is>
          <t>N: rows whose row_id starts with SAMPLE are ignored everywhere. Y only in the SAMPLE test copy.</t>
        </is>
      </c>
    </row>
    <row r="20">
      <c r="A20" s="12" t="inlineStr">
        <is>
          <t>sample_criterion</t>
        </is>
      </c>
      <c r="B20">
        <f>IF(B19="Y","&lt;&gt;","&lt;&gt;SAMPLE*")</f>
        <v/>
      </c>
      <c r="C20" s="6" t="inlineStr">
        <is>
          <t>Calculated. Do not edit.</t>
        </is>
      </c>
    </row>
    <row r="21">
      <c r="A21" s="12" t="inlineStr">
        <is>
          <t>clay_offices_export_date</t>
        </is>
      </c>
      <c r="B21" s="22" t="n"/>
      <c r="C21" s="6" t="inlineStr">
        <is>
          <t>Type the date you exported the Clay offices table into Clay_Offices.</t>
        </is>
      </c>
    </row>
    <row r="22">
      <c r="A22" s="12" t="inlineStr">
        <is>
          <t>clay_brands_export_date</t>
        </is>
      </c>
      <c r="B22" s="22" t="n"/>
      <c r="C22" s="6" t="inlineStr">
        <is>
          <t>Type the date you exported the Clay brands table into Clay_Brands.</t>
        </is>
      </c>
    </row>
    <row r="23">
      <c r="A23" s="12" t="inlineStr">
        <is>
          <t>pipeline_export_rows</t>
        </is>
      </c>
      <c r="B23" t="n">
        <v>1000</v>
      </c>
      <c r="C23" s="6" t="inlineStr">
        <is>
          <t>Rows available on pipeline_log. A check turns red if events exceed this.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27" customWidth="1" min="8" max="8"/>
    <col width="18" customWidth="1" min="9" max="9"/>
    <col width="14" customWidth="1" min="10" max="10"/>
    <col width="20" customWidth="1" min="11" max="11"/>
    <col width="24" customWidth="1" min="12" max="12"/>
    <col width="22" customWidth="1" min="13" max="13"/>
    <col width="46" customWidth="1" min="14" max="14"/>
    <col width="18" customWidth="1" min="15" max="15"/>
    <col width="46" customWidth="1" min="16" max="16"/>
    <col width="19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20" customWidth="1" min="25" max="25"/>
    <col width="25" customWidth="1" min="26" max="26"/>
    <col width="14" customWidth="1" min="27" max="27"/>
  </cols>
  <sheetData>
    <row r="1">
      <c r="A1" s="7" t="inlineStr">
        <is>
          <t>yn</t>
        </is>
      </c>
      <c r="B1" s="7" t="inlineStr">
        <is>
          <t>ynm</t>
        </is>
      </c>
      <c r="C1" s="7" t="inlineStr">
        <is>
          <t>yesno_unsure</t>
        </is>
      </c>
      <c r="D1" s="7" t="inlineStr">
        <is>
          <t>channel</t>
        </is>
      </c>
      <c r="E1" s="7" t="inlineStr">
        <is>
          <t>call_type</t>
        </is>
      </c>
      <c r="F1" s="7" t="inlineStr">
        <is>
          <t>receiving_type</t>
        </is>
      </c>
      <c r="G1" s="7" t="inlineStr">
        <is>
          <t>intake_receiving_type</t>
        </is>
      </c>
      <c r="H1" s="7" t="inlineStr">
        <is>
          <t>buy_path_type</t>
        </is>
      </c>
      <c r="I1" s="7" t="inlineStr">
        <is>
          <t>status</t>
        </is>
      </c>
      <c r="J1" s="7" t="inlineStr">
        <is>
          <t>status_rank</t>
        </is>
      </c>
      <c r="K1" s="7" t="inlineStr">
        <is>
          <t>reply_type</t>
        </is>
      </c>
      <c r="L1" s="7" t="inlineStr">
        <is>
          <t>next_action</t>
        </is>
      </c>
      <c r="M1" s="7" t="inlineStr">
        <is>
          <t>office_objection</t>
        </is>
      </c>
      <c r="N1" s="7" t="inlineStr">
        <is>
          <t>office_objection_label</t>
        </is>
      </c>
      <c r="O1" s="7" t="inlineStr">
        <is>
          <t>brand_objection</t>
        </is>
      </c>
      <c r="P1" s="7" t="inlineStr">
        <is>
          <t>brand_objection_label</t>
        </is>
      </c>
      <c r="Q1" s="7" t="inlineStr">
        <is>
          <t>category</t>
        </is>
      </c>
      <c r="R1" s="7" t="inlineStr">
        <is>
          <t>tier</t>
        </is>
      </c>
      <c r="S1" s="7" t="inlineStr">
        <is>
          <t>unused_product_election</t>
        </is>
      </c>
      <c r="T1" s="7" t="inlineStr">
        <is>
          <t>survey_channel</t>
        </is>
      </c>
      <c r="U1" s="7" t="inlineStr">
        <is>
          <t>intake_source</t>
        </is>
      </c>
      <c r="V1" s="7" t="inlineStr">
        <is>
          <t>later_event</t>
        </is>
      </c>
      <c r="W1" s="7" t="inlineStr">
        <is>
          <t>side</t>
        </is>
      </c>
      <c r="X1" s="7" t="inlineStr">
        <is>
          <t>renewal_value</t>
        </is>
      </c>
      <c r="Y1" s="7" t="inlineStr">
        <is>
          <t>allergen_source</t>
        </is>
      </c>
      <c r="Z1" s="7" t="inlineStr">
        <is>
          <t>yes_signals</t>
        </is>
      </c>
      <c r="AA1" s="7" t="inlineStr">
        <is>
          <t>yesno_unsure_yn</t>
        </is>
      </c>
    </row>
    <row r="2">
      <c r="A2" t="inlineStr">
        <is>
          <t>Y</t>
        </is>
      </c>
      <c r="B2" t="inlineStr">
        <is>
          <t>Y</t>
        </is>
      </c>
      <c r="C2" t="inlineStr">
        <is>
          <t>yes</t>
        </is>
      </c>
      <c r="D2" t="inlineStr">
        <is>
          <t>email</t>
        </is>
      </c>
      <c r="E2" t="inlineStr">
        <is>
          <t>phone</t>
        </is>
      </c>
      <c r="F2" t="inlineStr">
        <is>
          <t>walk-up</t>
        </is>
      </c>
      <c r="G2" t="inlineStr">
        <is>
          <t>walk-up</t>
        </is>
      </c>
      <c r="H2" t="inlineStr">
        <is>
          <t>retailer-in-cluster</t>
        </is>
      </c>
      <c r="I2" t="inlineStr">
        <is>
          <t>new</t>
        </is>
      </c>
      <c r="J2" t="n">
        <v>1</v>
      </c>
      <c r="K2" t="inlineStr">
        <is>
          <t>yes</t>
        </is>
      </c>
      <c r="L2" t="inlineStr">
        <is>
          <t>send_touch_2</t>
        </is>
      </c>
      <c r="M2" t="inlineStr">
        <is>
          <t>needs_approval</t>
        </is>
      </c>
      <c r="N2" t="inlineStr">
        <is>
          <t>I need to ask facilities, HR or someone else</t>
        </is>
      </c>
      <c r="O2" t="inlineStr">
        <is>
          <t>seed_ourselves</t>
        </is>
      </c>
      <c r="P2" t="inlineStr">
        <is>
          <t>We can seed offices ourselves for free</t>
        </is>
      </c>
      <c r="Q2" t="inlineStr">
        <is>
          <t>chips-crisps</t>
        </is>
      </c>
      <c r="R2" t="inlineStr">
        <is>
          <t>founding</t>
        </is>
      </c>
      <c r="S2" t="inlineStr">
        <is>
          <t>return</t>
        </is>
      </c>
      <c r="T2" t="inlineStr">
        <is>
          <t>slack</t>
        </is>
      </c>
      <c r="U2" t="inlineStr">
        <is>
          <t>website</t>
        </is>
      </c>
      <c r="V2" t="inlineStr">
        <is>
          <t>renewal_answer</t>
        </is>
      </c>
      <c r="W2" t="inlineStr">
        <is>
          <t>office</t>
        </is>
      </c>
      <c r="X2" t="inlineStr">
        <is>
          <t>yes</t>
        </is>
      </c>
      <c r="Y2" t="inlineStr">
        <is>
          <t>contains_statement</t>
        </is>
      </c>
      <c r="Z2" t="inlineStr">
        <is>
          <t>named_window_unprompted</t>
        </is>
      </c>
      <c r="AA2" t="inlineStr">
        <is>
          <t>Y</t>
        </is>
      </c>
    </row>
    <row r="3">
      <c r="A3" t="inlineStr">
        <is>
          <t>N</t>
        </is>
      </c>
      <c r="B3" t="inlineStr">
        <is>
          <t>N</t>
        </is>
      </c>
      <c r="C3" t="inlineStr">
        <is>
          <t>no</t>
        </is>
      </c>
      <c r="D3" t="inlineStr">
        <is>
          <t>linkedin</t>
        </is>
      </c>
      <c r="E3" t="inlineStr">
        <is>
          <t>video</t>
        </is>
      </c>
      <c r="F3" t="inlineStr">
        <is>
          <t>front desk</t>
        </is>
      </c>
      <c r="G3" t="inlineStr">
        <is>
          <t>front desk</t>
        </is>
      </c>
      <c r="H3" t="inlineStr">
        <is>
          <t>retailer-within-10-blocks</t>
        </is>
      </c>
      <c r="I3" t="inlineStr">
        <is>
          <t>queued</t>
        </is>
      </c>
      <c r="J3" t="n">
        <v>2</v>
      </c>
      <c r="K3" t="inlineStr">
        <is>
          <t>maybe</t>
        </is>
      </c>
      <c r="L3" t="inlineStr">
        <is>
          <t>send_touch_3</t>
        </is>
      </c>
      <c r="M3" t="inlineStr">
        <is>
          <t>existing_vendor</t>
        </is>
      </c>
      <c r="N3" t="inlineStr">
        <is>
          <t>We already have a pantry vendor or contract</t>
        </is>
      </c>
      <c r="O3" t="inlineStr">
        <is>
          <t>price_per_sample</t>
        </is>
      </c>
      <c r="P3" t="inlineStr">
        <is>
          <t>$600 / the price is more than we pay per sample elsewhere</t>
        </is>
      </c>
      <c r="Q3" t="inlineStr">
        <is>
          <t>popcorn-puffs</t>
        </is>
      </c>
      <c r="R3" t="inlineStr">
        <is>
          <t>standard</t>
        </is>
      </c>
      <c r="S3" t="inlineStr">
        <is>
          <t>release</t>
        </is>
      </c>
      <c r="T3" t="inlineStr">
        <is>
          <t>email</t>
        </is>
      </c>
      <c r="U3" t="inlineStr">
        <is>
          <t>founder</t>
        </is>
      </c>
      <c r="V3" t="inlineStr">
        <is>
          <t>opt_out</t>
        </is>
      </c>
      <c r="W3" t="inlineStr">
        <is>
          <t>brand</t>
        </is>
      </c>
      <c r="X3" t="inlineStr">
        <is>
          <t>maybe</t>
        </is>
      </c>
      <c r="Y3" t="inlineStr">
        <is>
          <t>ingredient_list</t>
        </is>
      </c>
      <c r="Z3" t="inlineStr">
        <is>
          <t>asked_when</t>
        </is>
      </c>
      <c r="AA3" t="inlineStr">
        <is>
          <t>N</t>
        </is>
      </c>
    </row>
    <row r="4">
      <c r="B4" t="inlineStr">
        <is>
          <t>maybe</t>
        </is>
      </c>
      <c r="C4" t="inlineStr">
        <is>
          <t>unsure</t>
        </is>
      </c>
      <c r="D4" t="inlineStr">
        <is>
          <t>warm-intro</t>
        </is>
      </c>
      <c r="E4" t="inlineStr">
        <is>
          <t>in-person</t>
        </is>
      </c>
      <c r="F4" t="inlineStr">
        <is>
          <t>security desk</t>
        </is>
      </c>
      <c r="G4" t="inlineStr">
        <is>
          <t>loading dock</t>
        </is>
      </c>
      <c r="H4" t="inlineStr">
        <is>
          <t>online-with-code</t>
        </is>
      </c>
      <c r="I4" t="inlineStr">
        <is>
          <t>contacted</t>
        </is>
      </c>
      <c r="J4" t="n">
        <v>3</v>
      </c>
      <c r="K4" t="inlineStr">
        <is>
          <t>needs_approval</t>
        </is>
      </c>
      <c r="L4" t="inlineStr">
        <is>
          <t>await_connection</t>
        </is>
      </c>
      <c r="M4" t="inlineStr">
        <is>
          <t>allergy_policy</t>
        </is>
      </c>
      <c r="N4" t="inlineStr">
        <is>
          <t>Allergy or food-safety worry</t>
        </is>
      </c>
      <c r="O4" t="inlineStr">
        <is>
          <t>free_trial</t>
        </is>
      </c>
      <c r="P4" t="inlineStr">
        <is>
          <t>Can we do a free trial first?</t>
        </is>
      </c>
      <c r="Q4" t="inlineStr">
        <is>
          <t>crackers-pretzels</t>
        </is>
      </c>
      <c r="T4" t="inlineStr">
        <is>
          <t>other</t>
        </is>
      </c>
      <c r="X4" t="inlineStr">
        <is>
          <t>no</t>
        </is>
      </c>
      <c r="Y4" t="inlineStr">
        <is>
          <t>single_ingredient</t>
        </is>
      </c>
      <c r="Z4" t="inlineStr">
        <is>
          <t>introduced_colleague</t>
        </is>
      </c>
      <c r="AA4" t="inlineStr">
        <is>
          <t>unsure</t>
        </is>
      </c>
    </row>
    <row r="5">
      <c r="D5" t="inlineStr">
        <is>
          <t>walk-in</t>
        </is>
      </c>
      <c r="E5" t="inlineStr">
        <is>
          <t>walk-in</t>
        </is>
      </c>
      <c r="F5" t="inlineStr">
        <is>
          <t>loading dock</t>
        </is>
      </c>
      <c r="G5" t="inlineStr">
        <is>
          <t>other</t>
        </is>
      </c>
      <c r="H5" t="inlineStr">
        <is>
          <t>online-no-code</t>
        </is>
      </c>
      <c r="I5" t="inlineStr">
        <is>
          <t>replied</t>
        </is>
      </c>
      <c r="J5" t="n">
        <v>4</v>
      </c>
      <c r="K5" t="inlineStr">
        <is>
          <t>send_info</t>
        </is>
      </c>
      <c r="L5" t="inlineStr">
        <is>
          <t>book_call</t>
        </is>
      </c>
      <c r="M5" t="inlineStr">
        <is>
          <t>healthy_policy</t>
        </is>
      </c>
      <c r="N5" t="inlineStr">
        <is>
          <t>We only stock healthy items (wellness policy)</t>
        </is>
      </c>
      <c r="O5" t="inlineStr">
        <is>
          <t>what_we_get</t>
        </is>
      </c>
      <c r="P5" t="inlineStr">
        <is>
          <t>What do we actually get out of it?</t>
        </is>
      </c>
      <c r="Q5" t="inlineStr">
        <is>
          <t>bars</t>
        </is>
      </c>
    </row>
    <row r="6">
      <c r="F6" t="inlineStr">
        <is>
          <t>other</t>
        </is>
      </c>
      <c r="H6" t="inlineStr">
        <is>
          <t>none</t>
        </is>
      </c>
      <c r="I6" t="inlineStr">
        <is>
          <t>call_booked</t>
        </is>
      </c>
      <c r="J6" t="n">
        <v>5</v>
      </c>
      <c r="K6" t="inlineStr">
        <is>
          <t>wrong_person</t>
        </is>
      </c>
      <c r="L6" t="inlineStr">
        <is>
          <t>run_call</t>
        </is>
      </c>
      <c r="M6" t="inlineStr">
        <is>
          <t>building_receiving</t>
        </is>
      </c>
      <c r="N6" t="inlineStr">
        <is>
          <t>Building security, receiving or certificate rules</t>
        </is>
      </c>
      <c r="O6" t="inlineStr">
        <is>
          <t>budget_timing</t>
        </is>
      </c>
      <c r="P6" t="inlineStr">
        <is>
          <t>No budget now / budget timing</t>
        </is>
      </c>
      <c r="Q6" t="inlineStr">
        <is>
          <t>cookies-baked</t>
        </is>
      </c>
    </row>
    <row r="7">
      <c r="F7" t="inlineStr">
        <is>
          <t>unknown</t>
        </is>
      </c>
      <c r="H7" t="inlineStr">
        <is>
          <t>unknown</t>
        </is>
      </c>
      <c r="I7" t="inlineStr">
        <is>
          <t>call_done</t>
        </is>
      </c>
      <c r="J7" t="n">
        <v>6</v>
      </c>
      <c r="K7" t="inlineStr">
        <is>
          <t>referral</t>
        </is>
      </c>
      <c r="L7" t="inlineStr">
        <is>
          <t>send_one_pager</t>
        </is>
      </c>
      <c r="M7" t="inlineStr">
        <is>
          <t>low_attendance</t>
        </is>
      </c>
      <c r="N7" t="inlineStr">
        <is>
          <t>Not enough people in on a given day</t>
        </is>
      </c>
      <c r="O7" t="inlineStr">
        <is>
          <t>inventory</t>
        </is>
      </c>
      <c r="P7" t="inlineStr">
        <is>
          <t>Inventory or shipping the units</t>
        </is>
      </c>
      <c r="Q7" t="inlineStr">
        <is>
          <t>chocolate-candy</t>
        </is>
      </c>
    </row>
    <row r="8">
      <c r="I8" t="inlineStr">
        <is>
          <t>yes_in_principle</t>
        </is>
      </c>
      <c r="J8" t="n">
        <v>7</v>
      </c>
      <c r="K8" t="inlineStr">
        <is>
          <t>not_now</t>
        </is>
      </c>
      <c r="L8" t="inlineStr">
        <is>
          <t>send_proposal</t>
        </is>
      </c>
      <c r="M8" t="inlineStr">
        <is>
          <t>commitments_too_much</t>
        </is>
      </c>
      <c r="N8" t="inlineStr">
        <is>
          <t>Photos, survey or debrief are too much work</t>
        </is>
      </c>
      <c r="O8" t="inlineStr">
        <is>
          <t>shelf_life</t>
        </is>
      </c>
      <c r="P8" t="inlineStr">
        <is>
          <t>Shelf life</t>
        </is>
      </c>
      <c r="Q8" t="inlineStr">
        <is>
          <t>nuts-seeds-trail</t>
        </is>
      </c>
    </row>
    <row r="9">
      <c r="I9" t="inlineStr">
        <is>
          <t>materials_sent</t>
        </is>
      </c>
      <c r="J9" t="n">
        <v>8</v>
      </c>
      <c r="K9" t="inlineStr">
        <is>
          <t>no</t>
        </is>
      </c>
      <c r="L9" t="inlineStr">
        <is>
          <t>send_agreement</t>
        </is>
      </c>
      <c r="M9" t="inlineStr">
        <is>
          <t>survey_concern</t>
        </is>
      </c>
      <c r="N9" t="inlineStr">
        <is>
          <t>Survey or employee-data worry</t>
        </is>
      </c>
      <c r="O9" t="inlineStr">
        <is>
          <t>not_our_audience</t>
        </is>
      </c>
      <c r="P9" t="inlineStr">
        <is>
          <t>Office workers aren't our customer</t>
        </is>
      </c>
      <c r="Q9" t="inlineStr">
        <is>
          <t>meat-snacks</t>
        </is>
      </c>
    </row>
    <row r="10">
      <c r="I10" t="inlineStr">
        <is>
          <t>signed</t>
        </is>
      </c>
      <c r="J10" t="n">
        <v>9</v>
      </c>
      <c r="K10" t="inlineStr">
        <is>
          <t>opt_out</t>
        </is>
      </c>
      <c r="L10" t="inlineStr">
        <is>
          <t>send_materials_request</t>
        </is>
      </c>
      <c r="M10" t="inlineStr">
        <is>
          <t>vendor_fatigue</t>
        </is>
      </c>
      <c r="N10" t="inlineStr">
        <is>
          <t>We don't want vendors or marketing in the office</t>
        </is>
      </c>
      <c r="O10" t="inlineStr">
        <is>
          <t>want_proof</t>
        </is>
      </c>
      <c r="P10" t="inlineStr">
        <is>
          <t>Show me results from other brands first</t>
        </is>
      </c>
      <c r="Q10" t="inlineStr">
        <is>
          <t>fruit-snacks</t>
        </is>
      </c>
    </row>
    <row r="11">
      <c r="I11" t="inlineStr">
        <is>
          <t>paid</t>
        </is>
      </c>
      <c r="J11" t="n">
        <v>9</v>
      </c>
      <c r="K11" t="inlineStr">
        <is>
          <t>obj_seed_ourselves</t>
        </is>
      </c>
      <c r="L11" t="inlineStr">
        <is>
          <t>chase_payment</t>
        </is>
      </c>
      <c r="M11" t="inlineStr">
        <is>
          <t>space</t>
        </is>
      </c>
      <c r="N11" t="inlineStr">
        <is>
          <t>No shelf or counter space</t>
        </is>
      </c>
      <c r="O11" t="inlineStr">
        <is>
          <t>want_sales_data</t>
        </is>
      </c>
      <c r="P11" t="inlineStr">
        <is>
          <t>We need sales or lift data, not feedback</t>
        </is>
      </c>
      <c r="Q11" t="inlineStr">
        <is>
          <t>sparkling-soda</t>
        </is>
      </c>
    </row>
    <row r="12">
      <c r="I12" t="inlineStr">
        <is>
          <t>not_now</t>
        </is>
      </c>
      <c r="J12" t="n">
        <v>0</v>
      </c>
      <c r="K12" t="inlineStr">
        <is>
          <t>obj_price</t>
        </is>
      </c>
      <c r="L12" t="inlineStr">
        <is>
          <t>ask_referral</t>
        </is>
      </c>
      <c r="M12" t="inlineStr">
        <is>
          <t>supply_irregular</t>
        </is>
      </c>
      <c r="N12" t="inlineStr">
        <is>
          <t>Irregular, roughly monthly supply isn't useful</t>
        </is>
      </c>
      <c r="O12" t="inlineStr">
        <is>
          <t>no_buy_path</t>
        </is>
      </c>
      <c r="P12" t="inlineStr">
        <is>
          <t>No store near the cluster and no online code</t>
        </is>
      </c>
      <c r="Q12" t="inlineStr">
        <is>
          <t>tea-juice</t>
        </is>
      </c>
    </row>
    <row r="13">
      <c r="I13" t="inlineStr">
        <is>
          <t>no</t>
        </is>
      </c>
      <c r="J13" t="n">
        <v>0</v>
      </c>
      <c r="K13" t="inlineStr">
        <is>
          <t>obj_free_trial</t>
        </is>
      </c>
      <c r="L13" t="inlineStr">
        <is>
          <t>recontact</t>
        </is>
      </c>
      <c r="M13" t="inlineStr">
        <is>
          <t>quality_unknown</t>
        </is>
      </c>
      <c r="N13" t="inlineStr">
        <is>
          <t>Don't know these brands; quality worry</t>
        </is>
      </c>
      <c r="O13" t="inlineStr">
        <is>
          <t>insurance</t>
        </is>
      </c>
      <c r="P13" t="inlineStr">
        <is>
          <t>No product liability certificate</t>
        </is>
      </c>
      <c r="Q13" t="inlineStr">
        <is>
          <t>coffee-rtd</t>
        </is>
      </c>
    </row>
    <row r="14">
      <c r="I14" t="inlineStr">
        <is>
          <t>wrong_person</t>
        </is>
      </c>
      <c r="J14" t="n">
        <v>0</v>
      </c>
      <c r="K14" t="inlineStr">
        <is>
          <t>obj_what_we_get</t>
        </is>
      </c>
      <c r="L14" t="inlineStr">
        <is>
          <t>none</t>
        </is>
      </c>
      <c r="M14" t="inlineStr">
        <is>
          <t>other</t>
        </is>
      </c>
      <c r="N14" t="inlineStr">
        <is>
          <t>Other (read the quotes)</t>
        </is>
      </c>
      <c r="O14" t="inlineStr">
        <is>
          <t>other</t>
        </is>
      </c>
      <c r="P14" t="inlineStr">
        <is>
          <t>Other (read the quotes)</t>
        </is>
      </c>
      <c r="Q14" t="inlineStr">
        <is>
          <t>other-snack</t>
        </is>
      </c>
    </row>
    <row r="15">
      <c r="I15" t="inlineStr">
        <is>
          <t>do_not_contact</t>
        </is>
      </c>
      <c r="J15" t="n">
        <v>0</v>
      </c>
      <c r="K15" t="inlineStr">
        <is>
          <t>obj_other</t>
        </is>
      </c>
      <c r="Q15" t="inlineStr">
        <is>
          <t>other-drink</t>
        </is>
      </c>
    </row>
    <row r="16">
      <c r="K16" t="inlineStr">
        <is>
          <t>out_of_office</t>
        </is>
      </c>
    </row>
    <row r="17">
      <c r="K17" t="inlineStr">
        <is>
          <t>bounce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90" customWidth="1" min="4" max="4"/>
    <col width="40" customWidth="1" min="5" max="5"/>
  </cols>
  <sheetData>
    <row r="1">
      <c r="A1" s="7" t="inlineStr">
        <is>
          <t>tab</t>
        </is>
      </c>
      <c r="B1" s="7" t="inlineStr">
        <is>
          <t>column</t>
        </is>
      </c>
      <c r="C1" s="7" t="inlineStr">
        <is>
          <t>type</t>
        </is>
      </c>
      <c r="D1" s="7" t="inlineStr">
        <is>
          <t>meaning</t>
        </is>
      </c>
      <c r="E1" s="7" t="inlineStr">
        <is>
          <t>maps to</t>
        </is>
      </c>
    </row>
    <row r="2">
      <c r="A2" s="15" t="inlineStr">
        <is>
          <t>Office_Log</t>
        </is>
      </c>
      <c r="B2" s="15" t="inlineStr">
        <is>
          <t>row_id</t>
        </is>
      </c>
      <c r="C2" s="15" t="inlineStr">
        <is>
          <t>id</t>
        </is>
      </c>
      <c r="D2" s="15" t="inlineStr">
        <is>
          <t>Clay row_id of this contact. Required. One row per conversation; a second call with the same office is a second row with the same row_id.</t>
        </is>
      </c>
      <c r="E2" s="15" t="inlineStr">
        <is>
          <t>CONTRACTS 6.2 row_id (join key)</t>
        </is>
      </c>
    </row>
    <row r="3">
      <c r="A3" s="15" t="inlineStr">
        <is>
          <t>Office_Log</t>
        </is>
      </c>
      <c r="B3" s="15" t="inlineStr">
        <is>
          <t>company</t>
        </is>
      </c>
      <c r="C3" s="15" t="inlineStr">
        <is>
          <t>text</t>
        </is>
      </c>
      <c r="D3" s="15" t="inlineStr">
        <is>
          <t>Company name as in Clay.</t>
        </is>
      </c>
      <c r="E3" s="15" t="inlineStr">
        <is>
          <t>plan: Contact, title, company, source</t>
        </is>
      </c>
    </row>
    <row r="4">
      <c r="A4" s="15" t="inlineStr">
        <is>
          <t>Office_Log</t>
        </is>
      </c>
      <c r="B4" s="15" t="inlineStr">
        <is>
          <t>contact_name</t>
        </is>
      </c>
      <c r="C4" s="15" t="inlineStr">
        <is>
          <t>text</t>
        </is>
      </c>
      <c r="D4" s="15" t="inlineStr">
        <is>
          <t>First and last name of the person you spoke to (business contact only).</t>
        </is>
      </c>
      <c r="E4" s="15" t="inlineStr">
        <is>
          <t>plan: Contact</t>
        </is>
      </c>
    </row>
    <row r="5">
      <c r="A5" s="15" t="inlineStr">
        <is>
          <t>Office_Log</t>
        </is>
      </c>
      <c r="B5" s="15" t="inlineStr">
        <is>
          <t>contact_title</t>
        </is>
      </c>
      <c r="C5" s="15" t="inlineStr">
        <is>
          <t>text</t>
        </is>
      </c>
      <c r="D5" s="15" t="inlineStr">
        <is>
          <t>Their title.</t>
        </is>
      </c>
      <c r="E5" s="15" t="inlineStr">
        <is>
          <t>plan: title</t>
        </is>
      </c>
    </row>
    <row r="6">
      <c r="A6" s="15" t="inlineStr">
        <is>
          <t>Office_Log</t>
        </is>
      </c>
      <c r="B6" s="15" t="inlineStr">
        <is>
          <t>source</t>
        </is>
      </c>
      <c r="C6" s="15" t="inlineStr">
        <is>
          <t>text</t>
        </is>
      </c>
      <c r="D6" s="15" t="inlineStr">
        <is>
          <t>Where the contact came from: the Clay table, warm network, walk-in, or 'referral from &lt;row_id&gt;'.</t>
        </is>
      </c>
      <c r="E6" s="15" t="inlineStr">
        <is>
          <t>plan: source</t>
        </is>
      </c>
    </row>
    <row r="7">
      <c r="A7" s="15" t="inlineStr">
        <is>
          <t>Office_Log</t>
        </is>
      </c>
      <c r="B7" s="15" t="inlineStr">
        <is>
          <t>channel</t>
        </is>
      </c>
      <c r="C7" s="15" t="inlineStr">
        <is>
          <t>list: email, linkedin, warm-intro, walk-in</t>
        </is>
      </c>
      <c r="D7" s="15" t="inlineStr">
        <is>
          <t>How the conversation came about: email, linkedin, warm-intro, walk-in.</t>
        </is>
      </c>
      <c r="E7" s="15" t="inlineStr">
        <is>
          <t>CONTRACTS 6.2 channel</t>
        </is>
      </c>
    </row>
    <row r="8">
      <c r="A8" s="15" t="inlineStr">
        <is>
          <t>Office_Log</t>
        </is>
      </c>
      <c r="B8" s="15" t="inlineStr">
        <is>
          <t>call_date</t>
        </is>
      </c>
      <c r="C8" s="15" t="inlineStr">
        <is>
          <t>date</t>
        </is>
      </c>
      <c r="D8" s="15" t="inlineStr">
        <is>
          <t>Date of the conversation (YYYY-MM-DD). Required; the Friday scorecard counts by this date.</t>
        </is>
      </c>
      <c r="E8" s="15" t="inlineStr">
        <is>
          <t>CONTRACTS 6.2 call_date</t>
        </is>
      </c>
    </row>
    <row r="9">
      <c r="A9" s="15" t="inlineStr">
        <is>
          <t>Office_Log</t>
        </is>
      </c>
      <c r="B9" s="15" t="inlineStr">
        <is>
          <t>call_type</t>
        </is>
      </c>
      <c r="C9" s="15" t="inlineStr">
        <is>
          <t>list: phone, video, in-person, walk-in</t>
        </is>
      </c>
      <c r="D9" s="15" t="inlineStr">
        <is>
          <t>phone, video, in-person or walk-in.</t>
        </is>
      </c>
      <c r="E9" s="15" t="inlineStr"/>
    </row>
    <row r="10">
      <c r="A10" s="15" t="inlineStr">
        <is>
          <t>Office_Log</t>
        </is>
      </c>
      <c r="B10" s="15" t="inlineStr">
        <is>
          <t>q1_pantry_today_verbatim</t>
        </is>
      </c>
      <c r="C10" s="15" t="inlineStr">
        <is>
          <t>text</t>
        </is>
      </c>
      <c r="D10" s="15" t="inlineStr">
        <is>
          <t>Q1. How the pantry works today: who chooses, who delivers, how often. Their words.</t>
        </is>
      </c>
      <c r="E10" s="15" t="inlineStr">
        <is>
          <t>office guide Q1</t>
        </is>
      </c>
    </row>
    <row r="11">
      <c r="A11" s="15" t="inlineStr">
        <is>
          <t>Office_Log</t>
        </is>
      </c>
      <c r="B11" s="15" t="inlineStr">
        <is>
          <t>pantry_vendor</t>
        </is>
      </c>
      <c r="C11" s="15" t="inlineStr">
        <is>
          <t>text</t>
        </is>
      </c>
      <c r="D11" s="15" t="inlineStr">
        <is>
          <t>Q1. Who supplies the pantry now, if they said.</t>
        </is>
      </c>
      <c r="E11" s="15" t="inlineStr">
        <is>
          <t>office guide Q1</t>
        </is>
      </c>
    </row>
    <row r="12">
      <c r="A12" s="15" t="inlineStr">
        <is>
          <t>Office_Log</t>
        </is>
      </c>
      <c r="B12" s="15" t="inlineStr">
        <is>
          <t>monthly_pantry_spend_usd</t>
        </is>
      </c>
      <c r="C12" s="15" t="inlineStr">
        <is>
          <t>num</t>
        </is>
      </c>
      <c r="D12" s="15" t="inlineStr">
        <is>
          <t>Q1. Monthly pantry spend in USD if they named one. Number only; a range: its low end. Blank if not said.</t>
        </is>
      </c>
      <c r="E12" s="15" t="inlineStr">
        <is>
          <t>plan: Monthly pantry spend</t>
        </is>
      </c>
    </row>
    <row r="13">
      <c r="A13" s="15" t="inlineStr">
        <is>
          <t>Office_Log</t>
        </is>
      </c>
      <c r="B13" s="15" t="inlineStr">
        <is>
          <t>monthly_pantry_spend_verbatim</t>
        </is>
      </c>
      <c r="C13" s="15" t="inlineStr">
        <is>
          <t>text</t>
        </is>
      </c>
      <c r="D13" s="15" t="inlineStr">
        <is>
          <t>Q1. Their words about cost.</t>
        </is>
      </c>
      <c r="E13" s="15" t="inlineStr">
        <is>
          <t>plan: Monthly pantry spend</t>
        </is>
      </c>
    </row>
    <row r="14">
      <c r="A14" s="15" t="inlineStr">
        <is>
          <t>Office_Log</t>
        </is>
      </c>
      <c r="B14" s="15" t="inlineStr">
        <is>
          <t>tuesday_headcount</t>
        </is>
      </c>
      <c r="C14" s="15" t="inlineStr">
        <is>
          <t>num</t>
        </is>
      </c>
      <c r="D14" s="15" t="inlineStr">
        <is>
          <t>Q2. People actually in on a Tuesday. A range: its low end, with the range in headcount_verbatim.</t>
        </is>
      </c>
      <c r="E14" s="15" t="inlineStr">
        <is>
          <t>plan: Peak-day headcount</t>
        </is>
      </c>
    </row>
    <row r="15">
      <c r="A15" s="15" t="inlineStr">
        <is>
          <t>Office_Log</t>
        </is>
      </c>
      <c r="B15" s="15" t="inlineStr">
        <is>
          <t>headcount_verbatim</t>
        </is>
      </c>
      <c r="C15" s="15" t="inlineStr">
        <is>
          <t>text</t>
        </is>
      </c>
      <c r="D15" s="15" t="inlineStr">
        <is>
          <t>Q2. Their words.</t>
        </is>
      </c>
      <c r="E15" s="15" t="inlineStr">
        <is>
          <t>plan: Peak-day headcount</t>
        </is>
      </c>
    </row>
    <row r="16">
      <c r="A16" s="15" t="inlineStr">
        <is>
          <t>Office_Log</t>
        </is>
      </c>
      <c r="B16" s="15" t="inlineStr">
        <is>
          <t>q3_free_product_verbatim</t>
        </is>
      </c>
      <c r="C16" s="15" t="inlineStr">
        <is>
          <t>text</t>
        </is>
      </c>
      <c r="D16" s="15" t="inlineStr">
        <is>
          <t>Q3. Do brands offer free product, and what happens when they do.</t>
        </is>
      </c>
      <c r="E16" s="15" t="inlineStr">
        <is>
          <t>office guide Q3</t>
        </is>
      </c>
    </row>
    <row r="17">
      <c r="A17" s="15" t="inlineStr">
        <is>
          <t>Office_Log</t>
        </is>
      </c>
      <c r="B17" s="15" t="inlineStr">
        <is>
          <t>q4_yes_needs_verbatim</t>
        </is>
      </c>
      <c r="C17" s="15" t="inlineStr">
        <is>
          <t>text</t>
        </is>
      </c>
      <c r="D17" s="15" t="inlineStr">
        <is>
          <t>Q4. What they would need to say yes.</t>
        </is>
      </c>
      <c r="E17" s="15" t="inlineStr">
        <is>
          <t>office guide Q4</t>
        </is>
      </c>
    </row>
    <row r="18">
      <c r="A18" s="15" t="inlineStr">
        <is>
          <t>Office_Log</t>
        </is>
      </c>
      <c r="B18" s="15" t="inlineStr">
        <is>
          <t>q4_no_triggers_verbatim</t>
        </is>
      </c>
      <c r="C18" s="15" t="inlineStr">
        <is>
          <t>text</t>
        </is>
      </c>
      <c r="D18" s="15" t="inlineStr">
        <is>
          <t>Q4. What would make them say no.</t>
        </is>
      </c>
      <c r="E18" s="15" t="inlineStr">
        <is>
          <t>office guide Q4</t>
        </is>
      </c>
    </row>
    <row r="19">
      <c r="A19" s="15" t="inlineStr">
        <is>
          <t>Office_Log</t>
        </is>
      </c>
      <c r="B19" s="15" t="inlineStr">
        <is>
          <t>q5_photo_and_survey</t>
        </is>
      </c>
      <c r="C19" s="15" t="inlineStr">
        <is>
          <t>list: Y, N, maybe</t>
        </is>
      </c>
      <c r="D19" s="15" t="inlineStr">
        <is>
          <t>Q5. Would they photograph it on the shelf and post a three-question survey link? Y, N or maybe.</t>
        </is>
      </c>
      <c r="E19" s="15" t="inlineStr">
        <is>
          <t>office guide Q5</t>
        </is>
      </c>
    </row>
    <row r="20">
      <c r="A20" s="15" t="inlineStr">
        <is>
          <t>Office_Log</t>
        </is>
      </c>
      <c r="B20" s="15" t="inlineStr">
        <is>
          <t>q5_verbatim</t>
        </is>
      </c>
      <c r="C20" s="15" t="inlineStr">
        <is>
          <t>text</t>
        </is>
      </c>
      <c r="D20" s="15" t="inlineStr">
        <is>
          <t>Q5. Their words.</t>
        </is>
      </c>
      <c r="E20" s="15" t="inlineStr">
        <is>
          <t>office guide Q5</t>
        </is>
      </c>
    </row>
    <row r="21">
      <c r="A21" s="15" t="inlineStr">
        <is>
          <t>Office_Log</t>
        </is>
      </c>
      <c r="B21" s="15" t="inlineStr">
        <is>
          <t>budget_probe_asked</t>
        </is>
      </c>
      <c r="C21" s="15" t="inlineStr">
        <is>
          <t>list: Y, N</t>
        </is>
      </c>
      <c r="D21" s="15" t="inlineStr">
        <is>
          <t>Q6. Did you ask the budget probe word for word? Y or N.</t>
        </is>
      </c>
      <c r="E21" s="15" t="inlineStr">
        <is>
          <t>plan: The budget probe</t>
        </is>
      </c>
    </row>
    <row r="22">
      <c r="A22" s="15" t="inlineStr">
        <is>
          <t>Office_Log</t>
        </is>
      </c>
      <c r="B22" s="15" t="inlineStr">
        <is>
          <t>budget_probe_verbatim</t>
        </is>
      </c>
      <c r="C22" s="15" t="inlineStr">
        <is>
          <t>text</t>
        </is>
      </c>
      <c r="D22" s="15" t="inlineStr">
        <is>
          <t>Q6. The answer, word for word.</t>
        </is>
      </c>
      <c r="E22" s="15" t="inlineStr">
        <is>
          <t>plan: Budget probe answer, verbatim</t>
        </is>
      </c>
    </row>
    <row r="23">
      <c r="A23" s="15" t="inlineStr">
        <is>
          <t>Office_Log</t>
        </is>
      </c>
      <c r="B23" s="15" t="inlineStr">
        <is>
          <t>budget_probe_low_usd</t>
        </is>
      </c>
      <c r="C23" s="15" t="inlineStr">
        <is>
          <t>num</t>
        </is>
      </c>
      <c r="D23" s="15" t="inlineStr">
        <is>
          <t>Q6 as a number, USD per month. A range: its low end. 'No budget' or 'zero': 0. No number or 'don't know': blank.</t>
        </is>
      </c>
      <c r="E23" s="15" t="inlineStr">
        <is>
          <t>pipeline_log value_number (budget_probe)</t>
        </is>
      </c>
    </row>
    <row r="24">
      <c r="A24" s="15" t="inlineStr">
        <is>
          <t>Office_Log</t>
        </is>
      </c>
      <c r="B24" s="15" t="inlineStr">
        <is>
          <t>budget_probe_high_usd</t>
        </is>
      </c>
      <c r="C24" s="15" t="inlineStr">
        <is>
          <t>num</t>
        </is>
      </c>
      <c r="D24" s="15" t="inlineStr">
        <is>
          <t>Q6 high end, USD per month. Same as low for a single number. Blank if none.</t>
        </is>
      </c>
      <c r="E24" s="15" t="inlineStr"/>
    </row>
    <row r="25">
      <c r="A25" s="15" t="inlineStr">
        <is>
          <t>Office_Log</t>
        </is>
      </c>
      <c r="B25" s="15" t="inlineStr">
        <is>
          <t>referrals_given_count</t>
        </is>
      </c>
      <c r="C25" s="15" t="inlineStr">
        <is>
          <t>num</t>
        </is>
      </c>
      <c r="D25" s="15" t="inlineStr">
        <is>
          <t>Q7. How many nearby pantry owners they named or introduced.</t>
        </is>
      </c>
      <c r="E25" s="15" t="inlineStr">
        <is>
          <t>plan: Referrals given</t>
        </is>
      </c>
    </row>
    <row r="26">
      <c r="A26" s="15" t="inlineStr">
        <is>
          <t>Office_Log</t>
        </is>
      </c>
      <c r="B26" s="15" t="inlineStr">
        <is>
          <t>referrals_given</t>
        </is>
      </c>
      <c r="C26" s="15" t="inlineStr">
        <is>
          <t>text</t>
        </is>
      </c>
      <c r="D26" s="15" t="inlineStr">
        <is>
          <t>Q7. Who: company and title, semicolons. Each becomes a new Clay row with referral_from = this row_id.</t>
        </is>
      </c>
      <c r="E26" s="15" t="inlineStr">
        <is>
          <t>plan: Referrals given; Clay referral_from</t>
        </is>
      </c>
    </row>
    <row r="27">
      <c r="A27" s="15" t="inlineStr">
        <is>
          <t>Office_Log</t>
        </is>
      </c>
      <c r="B27" s="15" t="inlineStr">
        <is>
          <t>pantry_owner_named</t>
        </is>
      </c>
      <c r="C27" s="15" t="inlineStr">
        <is>
          <t>list: Y, N</t>
        </is>
      </c>
      <c r="D27" s="15" t="inlineStr">
        <is>
          <t>Did they name the pantry owner (the person who receives a drop and can say yes)? Y or N.</t>
        </is>
      </c>
      <c r="E27" s="15" t="inlineStr">
        <is>
          <t>plan: Pantry owner named; Gate 0</t>
        </is>
      </c>
    </row>
    <row r="28">
      <c r="A28" s="15" t="inlineStr">
        <is>
          <t>Office_Log</t>
        </is>
      </c>
      <c r="B28" s="15" t="inlineStr">
        <is>
          <t>pantry_owner_name</t>
        </is>
      </c>
      <c r="C28" s="15" t="inlineStr">
        <is>
          <t>text</t>
        </is>
      </c>
      <c r="D28" s="15" t="inlineStr">
        <is>
          <t>The pantry owner's name (business contact).</t>
        </is>
      </c>
      <c r="E28" s="15" t="inlineStr">
        <is>
          <t>office_intake pantry_owner_name</t>
        </is>
      </c>
    </row>
    <row r="29">
      <c r="A29" s="15" t="inlineStr">
        <is>
          <t>Office_Log</t>
        </is>
      </c>
      <c r="B29" s="15" t="inlineStr">
        <is>
          <t>pantry_owner_title</t>
        </is>
      </c>
      <c r="C29" s="15" t="inlineStr">
        <is>
          <t>text</t>
        </is>
      </c>
      <c r="D29" s="15" t="inlineStr">
        <is>
          <t>The pantry owner's title.</t>
        </is>
      </c>
      <c r="E29" s="15" t="inlineStr">
        <is>
          <t>office_intake pantry_owner_title</t>
        </is>
      </c>
    </row>
    <row r="30">
      <c r="A30" s="15" t="inlineStr">
        <is>
          <t>Office_Log</t>
        </is>
      </c>
      <c r="B30" s="15" t="inlineStr">
        <is>
          <t>owner_can_say_yes_alone</t>
        </is>
      </c>
      <c r="C30" s="15" t="inlineStr">
        <is>
          <t>list: Y, N, maybe</t>
        </is>
      </c>
      <c r="D30" s="15" t="inlineStr">
        <is>
          <t>Can the owner say yes alone? 'I need to ask facilities or HR' is N.</t>
        </is>
      </c>
      <c r="E30" s="15" t="inlineStr">
        <is>
          <t>plan Phase 1 targeting</t>
        </is>
      </c>
    </row>
    <row r="31">
      <c r="A31" s="15" t="inlineStr">
        <is>
          <t>Office_Log</t>
        </is>
      </c>
      <c r="B31" s="15" t="inlineStr">
        <is>
          <t>receiving_window</t>
        </is>
      </c>
      <c r="C31" s="15" t="inlineStr">
        <is>
          <t>text</t>
        </is>
      </c>
      <c r="D31" s="15" t="inlineStr">
        <is>
          <t>When a delivery can be received, in their words (e.g. Tue-Wed 9-11am). Blank if not named.</t>
        </is>
      </c>
      <c r="E31" s="15" t="inlineStr">
        <is>
          <t>plan: receiving window; Gate 0</t>
        </is>
      </c>
    </row>
    <row r="32">
      <c r="A32" s="15" t="inlineStr">
        <is>
          <t>Office_Log</t>
        </is>
      </c>
      <c r="B32" s="15" t="inlineStr">
        <is>
          <t>receiving_type</t>
        </is>
      </c>
      <c r="C32" s="15" t="inlineStr">
        <is>
          <t>list: walk-up, front desk, security desk, loading dock, other, unknown</t>
        </is>
      </c>
      <c r="D32" s="15" t="inlineStr">
        <is>
          <t>walk-up, front desk, security desk, loading dock, other, unknown.</t>
        </is>
      </c>
      <c r="E32" s="15" t="inlineStr">
        <is>
          <t>plan: security; office_intake receiving_type</t>
        </is>
      </c>
    </row>
    <row r="33">
      <c r="A33" s="15" t="inlineStr">
        <is>
          <t>Office_Log</t>
        </is>
      </c>
      <c r="B33" s="15" t="inlineStr">
        <is>
          <t>coi_required</t>
        </is>
      </c>
      <c r="C33" s="15" t="inlineStr">
        <is>
          <t>list: yes, no, unsure</t>
        </is>
      </c>
      <c r="D33" s="15" t="inlineStr">
        <is>
          <t>Does the building require a certificate of insurance for deliveries? yes, no, unsure.</t>
        </is>
      </c>
      <c r="E33" s="15" t="inlineStr">
        <is>
          <t>office_intake coi_required</t>
        </is>
      </c>
    </row>
    <row r="34">
      <c r="A34" s="15" t="inlineStr">
        <is>
          <t>Office_Log</t>
        </is>
      </c>
      <c r="B34" s="15" t="inlineStr">
        <is>
          <t>security_notes</t>
        </is>
      </c>
      <c r="C34" s="15" t="inlineStr">
        <is>
          <t>text</t>
        </is>
      </c>
      <c r="D34" s="15" t="inlineStr">
        <is>
          <t>Lobby, security or freight rules.</t>
        </is>
      </c>
      <c r="E34" s="15" t="inlineStr">
        <is>
          <t>plan: security</t>
        </is>
      </c>
    </row>
    <row r="35">
      <c r="A35" s="15" t="inlineStr">
        <is>
          <t>Office_Log</t>
        </is>
      </c>
      <c r="B35" s="15" t="inlineStr">
        <is>
          <t>veto_categories</t>
        </is>
      </c>
      <c r="C35" s="15" t="inlineStr">
        <is>
          <t>text</t>
        </is>
      </c>
      <c r="D35" s="15" t="inlineStr">
        <is>
          <t>Categories they would refuse, as category keys separated by semicolons (Lists tab).</t>
        </is>
      </c>
      <c r="E35" s="15" t="inlineStr">
        <is>
          <t>plan: Veto categories</t>
        </is>
      </c>
    </row>
    <row r="36">
      <c r="A36" s="15" t="inlineStr">
        <is>
          <t>Office_Log</t>
        </is>
      </c>
      <c r="B36" s="15" t="inlineStr">
        <is>
          <t>veto_verbatim</t>
        </is>
      </c>
      <c r="C36" s="15" t="inlineStr">
        <is>
          <t>text</t>
        </is>
      </c>
      <c r="D36" s="15" t="inlineStr">
        <is>
          <t>Their words about what they never want.</t>
        </is>
      </c>
      <c r="E36" s="15" t="inlineStr">
        <is>
          <t>plan: Veto categories</t>
        </is>
      </c>
    </row>
    <row r="37">
      <c r="A37" s="15" t="inlineStr">
        <is>
          <t>Office_Log</t>
        </is>
      </c>
      <c r="B37" s="15" t="inlineStr">
        <is>
          <t>objection_1</t>
        </is>
      </c>
      <c r="C37" s="15" t="inlineStr">
        <is>
          <t>list: needs_approval, existing_vendor, allergy_policy, healthy_policy, building_receiving, low_attendance, commitments_too_much, survey_concern, vendor_fatigue, space, supply_irregular, quality_unknown, oth</t>
        </is>
      </c>
      <c r="D37" s="15" t="inlineStr">
        <is>
          <t>Main objection, as a code (Lists tab). Blank if none.</t>
        </is>
      </c>
      <c r="E37" s="15" t="inlineStr">
        <is>
          <t>plan: Objections</t>
        </is>
      </c>
    </row>
    <row r="38">
      <c r="A38" s="15" t="inlineStr">
        <is>
          <t>Office_Log</t>
        </is>
      </c>
      <c r="B38" s="15" t="inlineStr">
        <is>
          <t>objection_2</t>
        </is>
      </c>
      <c r="C38" s="15" t="inlineStr">
        <is>
          <t>list: needs_approval, existing_vendor, allergy_policy, healthy_policy, building_receiving, low_attendance, commitments_too_much, survey_concern, vendor_fatigue, space, supply_irregular, quality_unknown, oth</t>
        </is>
      </c>
      <c r="D38" s="15" t="inlineStr">
        <is>
          <t>Second objection code.</t>
        </is>
      </c>
      <c r="E38" s="15" t="inlineStr">
        <is>
          <t>plan: Objections</t>
        </is>
      </c>
    </row>
    <row r="39">
      <c r="A39" s="15" t="inlineStr">
        <is>
          <t>Office_Log</t>
        </is>
      </c>
      <c r="B39" s="15" t="inlineStr">
        <is>
          <t>objection_3</t>
        </is>
      </c>
      <c r="C39" s="15" t="inlineStr">
        <is>
          <t>list: needs_approval, existing_vendor, allergy_policy, healthy_policy, building_receiving, low_attendance, commitments_too_much, survey_concern, vendor_fatigue, space, supply_irregular, quality_unknown, oth</t>
        </is>
      </c>
      <c r="D39" s="15" t="inlineStr">
        <is>
          <t>Third objection code.</t>
        </is>
      </c>
      <c r="E39" s="15" t="inlineStr">
        <is>
          <t>plan: Objections</t>
        </is>
      </c>
    </row>
    <row r="40">
      <c r="A40" s="15" t="inlineStr">
        <is>
          <t>Office_Log</t>
        </is>
      </c>
      <c r="B40" s="15" t="inlineStr">
        <is>
          <t>objections_verbatim</t>
        </is>
      </c>
      <c r="C40" s="15" t="inlineStr">
        <is>
          <t>text</t>
        </is>
      </c>
      <c r="D40" s="15" t="inlineStr">
        <is>
          <t>Every objection in their words.</t>
        </is>
      </c>
      <c r="E40" s="15" t="inlineStr">
        <is>
          <t>plan: Objections, verbatim</t>
        </is>
      </c>
    </row>
    <row r="41">
      <c r="A41" s="15" t="inlineStr">
        <is>
          <t>Office_Log</t>
        </is>
      </c>
      <c r="B41" s="15" t="inlineStr">
        <is>
          <t>yes_in_principle</t>
        </is>
      </c>
      <c r="C41" s="15" t="inlineStr">
        <is>
          <t>list: Y, N, maybe</t>
        </is>
      </c>
      <c r="D41" s="15" t="inlineStr">
        <is>
          <t>Y: would take a first drop in principle. maybe: interested but someone else must agree. N: no.</t>
        </is>
      </c>
      <c r="E41" s="15" t="inlineStr">
        <is>
          <t>plan: Yes in principle; Gate 0</t>
        </is>
      </c>
    </row>
    <row r="42">
      <c r="A42" s="15" t="inlineStr">
        <is>
          <t>Office_Log</t>
        </is>
      </c>
      <c r="B42" s="15" t="inlineStr">
        <is>
          <t>yes_signals</t>
        </is>
      </c>
      <c r="C42" s="15" t="inlineStr">
        <is>
          <t>text</t>
        </is>
      </c>
      <c r="D42" s="15" t="inlineStr">
        <is>
          <t>Plan's yes signals seen: named_window_unprompted; asked_when; introduced_colleague.</t>
        </is>
      </c>
      <c r="E42" s="15" t="inlineStr">
        <is>
          <t>plan: A yes looks like</t>
        </is>
      </c>
    </row>
    <row r="43">
      <c r="A43" s="15" t="inlineStr">
        <is>
          <t>Office_Log</t>
        </is>
      </c>
      <c r="B43" s="15" t="inlineStr">
        <is>
          <t>note_minutes</t>
        </is>
      </c>
      <c r="C43" s="15" t="inlineStr">
        <is>
          <t>num</t>
        </is>
      </c>
      <c r="D43" s="15" t="inlineStr">
        <is>
          <t>Minutes from hanging up to finishing this row and the Clay write-back. Target 10 or less.</t>
        </is>
      </c>
      <c r="E43" s="15" t="inlineStr">
        <is>
          <t>ten-minute rule</t>
        </is>
      </c>
    </row>
    <row r="44">
      <c r="A44" s="15" t="inlineStr">
        <is>
          <t>Office_Log</t>
        </is>
      </c>
      <c r="B44" s="15" t="inlineStr">
        <is>
          <t>clay_updated</t>
        </is>
      </c>
      <c r="C44" s="15" t="inlineStr">
        <is>
          <t>list: Y, N</t>
        </is>
      </c>
      <c r="D44" s="15" t="inlineStr">
        <is>
          <t>Y once call_date, status, yes_in_principle, call_notes, next_action and next_action_date are written to the Clay row.</t>
        </is>
      </c>
      <c r="E44" s="15" t="inlineStr">
        <is>
          <t>sync</t>
        </is>
      </c>
    </row>
    <row r="45">
      <c r="A45" s="15" t="inlineStr">
        <is>
          <t>Office_Log</t>
        </is>
      </c>
      <c r="B45" s="15" t="inlineStr">
        <is>
          <t>notes</t>
        </is>
      </c>
      <c r="C45" s="15" t="inlineStr">
        <is>
          <t>text</t>
        </is>
      </c>
      <c r="D45" s="15" t="inlineStr">
        <is>
          <t>Anything else.</t>
        </is>
      </c>
      <c r="E45" s="15" t="inlineStr"/>
    </row>
    <row r="46">
      <c r="A46" s="15" t="inlineStr">
        <is>
          <t>Brand_Log</t>
        </is>
      </c>
      <c r="B46" s="15" t="inlineStr">
        <is>
          <t>row_id</t>
        </is>
      </c>
      <c r="C46" s="15" t="inlineStr">
        <is>
          <t>id</t>
        </is>
      </c>
      <c r="D46" s="15" t="inlineStr">
        <is>
          <t>Clay row_id of this contact. Required. One row per conversation; a second call is a second row with the same row_id.</t>
        </is>
      </c>
      <c r="E46" s="15" t="inlineStr">
        <is>
          <t>CONTRACTS 6.2 row_id (join key)</t>
        </is>
      </c>
    </row>
    <row r="47">
      <c r="A47" s="15" t="inlineStr">
        <is>
          <t>Brand_Log</t>
        </is>
      </c>
      <c r="B47" s="15" t="inlineStr">
        <is>
          <t>company</t>
        </is>
      </c>
      <c r="C47" s="15" t="inlineStr">
        <is>
          <t>text</t>
        </is>
      </c>
      <c r="D47" s="15" t="inlineStr">
        <is>
          <t>Brand name as in Clay.</t>
        </is>
      </c>
      <c r="E47" s="15" t="inlineStr">
        <is>
          <t>plan: Contact, title, company, source</t>
        </is>
      </c>
    </row>
    <row r="48">
      <c r="A48" s="15" t="inlineStr">
        <is>
          <t>Brand_Log</t>
        </is>
      </c>
      <c r="B48" s="15" t="inlineStr">
        <is>
          <t>contact_name</t>
        </is>
      </c>
      <c r="C48" s="15" t="inlineStr">
        <is>
          <t>text</t>
        </is>
      </c>
      <c r="D48" s="15" t="inlineStr">
        <is>
          <t>First and last name of the person you spoke to.</t>
        </is>
      </c>
      <c r="E48" s="15" t="inlineStr">
        <is>
          <t>plan: Contact</t>
        </is>
      </c>
    </row>
    <row r="49">
      <c r="A49" s="15" t="inlineStr">
        <is>
          <t>Brand_Log</t>
        </is>
      </c>
      <c r="B49" s="15" t="inlineStr">
        <is>
          <t>contact_title</t>
        </is>
      </c>
      <c r="C49" s="15" t="inlineStr">
        <is>
          <t>text</t>
        </is>
      </c>
      <c r="D49" s="15" t="inlineStr">
        <is>
          <t>Their title.</t>
        </is>
      </c>
      <c r="E49" s="15" t="inlineStr">
        <is>
          <t>plan: title</t>
        </is>
      </c>
    </row>
    <row r="50">
      <c r="A50" s="15" t="inlineStr">
        <is>
          <t>Brand_Log</t>
        </is>
      </c>
      <c r="B50" s="15" t="inlineStr">
        <is>
          <t>source</t>
        </is>
      </c>
      <c r="C50" s="15" t="inlineStr">
        <is>
          <t>text</t>
        </is>
      </c>
      <c r="D50" s="15" t="inlineStr">
        <is>
          <t>Where the contact came from: Clay table, Startup CPG event, shelf photo, warm network, referral.</t>
        </is>
      </c>
      <c r="E50" s="15" t="inlineStr">
        <is>
          <t>plan: source</t>
        </is>
      </c>
    </row>
    <row r="51">
      <c r="A51" s="15" t="inlineStr">
        <is>
          <t>Brand_Log</t>
        </is>
      </c>
      <c r="B51" s="15" t="inlineStr">
        <is>
          <t>channel</t>
        </is>
      </c>
      <c r="C51" s="15" t="inlineStr">
        <is>
          <t>list: email, linkedin, warm-intro, walk-in</t>
        </is>
      </c>
      <c r="D51" s="15" t="inlineStr">
        <is>
          <t>How the conversation came about.</t>
        </is>
      </c>
      <c r="E51" s="15" t="inlineStr">
        <is>
          <t>CONTRACTS 6.2 channel</t>
        </is>
      </c>
    </row>
    <row r="52">
      <c r="A52" s="15" t="inlineStr">
        <is>
          <t>Brand_Log</t>
        </is>
      </c>
      <c r="B52" s="15" t="inlineStr">
        <is>
          <t>call_date</t>
        </is>
      </c>
      <c r="C52" s="15" t="inlineStr">
        <is>
          <t>date</t>
        </is>
      </c>
      <c r="D52" s="15" t="inlineStr">
        <is>
          <t>Date of the conversation (YYYY-MM-DD). Required.</t>
        </is>
      </c>
      <c r="E52" s="15" t="inlineStr">
        <is>
          <t>CONTRACTS 6.2 call_date</t>
        </is>
      </c>
    </row>
    <row r="53">
      <c r="A53" s="15" t="inlineStr">
        <is>
          <t>Brand_Log</t>
        </is>
      </c>
      <c r="B53" s="15" t="inlineStr">
        <is>
          <t>call_type</t>
        </is>
      </c>
      <c r="C53" s="15" t="inlineStr">
        <is>
          <t>list: phone, video, in-person, walk-in</t>
        </is>
      </c>
      <c r="D53" s="15" t="inlineStr">
        <is>
          <t>phone, video, in-person or walk-in.</t>
        </is>
      </c>
      <c r="E53" s="15" t="inlineStr"/>
    </row>
    <row r="54">
      <c r="A54" s="15" t="inlineStr">
        <is>
          <t>Brand_Log</t>
        </is>
      </c>
      <c r="B54" s="15" t="inlineStr">
        <is>
          <t>q1_trial_now_verbatim</t>
        </is>
      </c>
      <c r="C54" s="15" t="inlineStr">
        <is>
          <t>text</t>
        </is>
      </c>
      <c r="D54" s="15" t="inlineStr">
        <is>
          <t>Q1. How they get people to try the product now; what works and what doesn't.</t>
        </is>
      </c>
      <c r="E54" s="15" t="inlineStr">
        <is>
          <t>brand guide Q1</t>
        </is>
      </c>
    </row>
    <row r="55">
      <c r="A55" s="15" t="inlineStr">
        <is>
          <t>Brand_Log</t>
        </is>
      </c>
      <c r="B55" s="15" t="inlineStr">
        <is>
          <t>q2_sampling_budget_quarter_low_usd</t>
        </is>
      </c>
      <c r="C55" s="15" t="inlineStr">
        <is>
          <t>num</t>
        </is>
      </c>
      <c r="D55" s="15" t="inlineStr">
        <is>
          <t>Q2. Sampling or field-marketing spend per quarter, USD. A range: low end. Blank if not said.</t>
        </is>
      </c>
      <c r="E55" s="15" t="inlineStr">
        <is>
          <t>plan: Quarterly sampling budget</t>
        </is>
      </c>
    </row>
    <row r="56">
      <c r="A56" s="15" t="inlineStr">
        <is>
          <t>Brand_Log</t>
        </is>
      </c>
      <c r="B56" s="15" t="inlineStr">
        <is>
          <t>q2_sampling_budget_quarter_high_usd</t>
        </is>
      </c>
      <c r="C56" s="15" t="inlineStr">
        <is>
          <t>num</t>
        </is>
      </c>
      <c r="D56" s="15" t="inlineStr">
        <is>
          <t>Q2. High end of the range. Same as low for one number.</t>
        </is>
      </c>
      <c r="E56" s="15" t="inlineStr">
        <is>
          <t>plan: Quarterly sampling budget</t>
        </is>
      </c>
    </row>
    <row r="57">
      <c r="A57" s="15" t="inlineStr">
        <is>
          <t>Brand_Log</t>
        </is>
      </c>
      <c r="B57" s="15" t="inlineStr">
        <is>
          <t>q2_budget_verbatim</t>
        </is>
      </c>
      <c r="C57" s="15" t="inlineStr">
        <is>
          <t>text</t>
        </is>
      </c>
      <c r="D57" s="15" t="inlineStr">
        <is>
          <t>Q2. Their words about budget.</t>
        </is>
      </c>
      <c r="E57" s="15" t="inlineStr">
        <is>
          <t>plan: Quarterly sampling budget</t>
        </is>
      </c>
    </row>
    <row r="58">
      <c r="A58" s="15" t="inlineStr">
        <is>
          <t>Brand_Log</t>
        </is>
      </c>
      <c r="B58" s="15" t="inlineStr">
        <is>
          <t>budget_approver</t>
        </is>
      </c>
      <c r="C58" s="15" t="inlineStr">
        <is>
          <t>text</t>
        </is>
      </c>
      <c r="D58" s="15" t="inlineStr">
        <is>
          <t>Q2. Who signs off, in their words (business title).</t>
        </is>
      </c>
      <c r="E58" s="15" t="inlineStr">
        <is>
          <t>plan: who approves</t>
        </is>
      </c>
    </row>
    <row r="59">
      <c r="A59" s="15" t="inlineStr">
        <is>
          <t>Brand_Log</t>
        </is>
      </c>
      <c r="B59" s="15" t="inlineStr">
        <is>
          <t>controls_budget</t>
        </is>
      </c>
      <c r="C59" s="15" t="inlineStr">
        <is>
          <t>list: Y, N</t>
        </is>
      </c>
      <c r="D59" s="15" t="inlineStr">
        <is>
          <t>Does the person on this call control the budget? Y or N. Gate 0 counts a brand only if Y.</t>
        </is>
      </c>
      <c r="E59" s="15" t="inlineStr">
        <is>
          <t>plan Gate 0; pipeline controls_budget</t>
        </is>
      </c>
    </row>
    <row r="60">
      <c r="A60" s="15" t="inlineStr">
        <is>
          <t>Brand_Log</t>
        </is>
      </c>
      <c r="B60" s="15" t="inlineStr">
        <is>
          <t>can_approve_600_alone</t>
        </is>
      </c>
      <c r="C60" s="15" t="inlineStr">
        <is>
          <t>list: Y, N, maybe</t>
        </is>
      </c>
      <c r="D60" s="15" t="inlineStr">
        <is>
          <t>Could they approve $600 without a committee? Y, N or maybe. (Qualification check 6.)</t>
        </is>
      </c>
      <c r="E60" s="15" t="inlineStr">
        <is>
          <t>plan Phase 2 checklist</t>
        </is>
      </c>
    </row>
    <row r="61">
      <c r="A61" s="15" t="inlineStr">
        <is>
          <t>Brand_Log</t>
        </is>
      </c>
      <c r="B61" s="15" t="inlineStr">
        <is>
          <t>q3_seeded_offices</t>
        </is>
      </c>
      <c r="C61" s="15" t="inlineStr">
        <is>
          <t>list: Y, N</t>
        </is>
      </c>
      <c r="D61" s="15" t="inlineStr">
        <is>
          <t>Q3. Have they ever seeded offices? Y or N.</t>
        </is>
      </c>
      <c r="E61" s="15" t="inlineStr">
        <is>
          <t>brand guide Q3</t>
        </is>
      </c>
    </row>
    <row r="62">
      <c r="A62" s="15" t="inlineStr">
        <is>
          <t>Brand_Log</t>
        </is>
      </c>
      <c r="B62" s="15" t="inlineStr">
        <is>
          <t>q3_verbatim</t>
        </is>
      </c>
      <c r="C62" s="15" t="inlineStr">
        <is>
          <t>text</t>
        </is>
      </c>
      <c r="D62" s="15" t="inlineStr">
        <is>
          <t>Q3. What happened.</t>
        </is>
      </c>
      <c r="E62" s="15" t="inlineStr">
        <is>
          <t>brand guide Q3</t>
        </is>
      </c>
    </row>
    <row r="63">
      <c r="A63" s="15" t="inlineStr">
        <is>
          <t>Brand_Log</t>
        </is>
      </c>
      <c r="B63" s="15" t="inlineStr">
        <is>
          <t>wtp_before_usd</t>
        </is>
      </c>
      <c r="C63" s="15" t="inlineStr">
        <is>
          <t>num</t>
        </is>
      </c>
      <c r="D63" s="15" t="inlineStr">
        <is>
          <t>Q4. The number they named BEFORE you said $1,500, as USD for the 10-office, 500-unit campaign. 'Nothing': 0. No number: blank.</t>
        </is>
      </c>
      <c r="E63" s="15" t="inlineStr">
        <is>
          <t>plan: Willingness to pay before $1,500; pipeline budget_probe</t>
        </is>
      </c>
    </row>
    <row r="64">
      <c r="A64" s="15" t="inlineStr">
        <is>
          <t>Brand_Log</t>
        </is>
      </c>
      <c r="B64" s="15" t="inlineStr">
        <is>
          <t>wtp_before_verbatim</t>
        </is>
      </c>
      <c r="C64" s="15" t="inlineStr">
        <is>
          <t>text</t>
        </is>
      </c>
      <c r="D64" s="15" t="inlineStr">
        <is>
          <t>Q4. Their words, before you said $1,500.</t>
        </is>
      </c>
      <c r="E64" s="15" t="inlineStr">
        <is>
          <t>plan: Willingness to pay, verbatim</t>
        </is>
      </c>
    </row>
    <row r="65">
      <c r="A65" s="15" t="inlineStr">
        <is>
          <t>Brand_Log</t>
        </is>
      </c>
      <c r="B65" s="15" t="inlineStr">
        <is>
          <t>wtp_conversion_note</t>
        </is>
      </c>
      <c r="C65" s="15" t="inlineStr">
        <is>
          <t>text</t>
        </is>
      </c>
      <c r="D65" s="15" t="inlineStr">
        <is>
          <t>If they gave a per-unit or per-store figure, how you turned it into a campaign number (e.g. $2 a unit x 500 = 1000).</t>
        </is>
      </c>
      <c r="E65" s="15" t="inlineStr"/>
    </row>
    <row r="66">
      <c r="A66" s="15" t="inlineStr">
        <is>
          <t>Brand_Log</t>
        </is>
      </c>
      <c r="B66" s="15" t="inlineStr">
        <is>
          <t>price_1500_mentioned</t>
        </is>
      </c>
      <c r="C66" s="15" t="inlineStr">
        <is>
          <t>list: Y, N</t>
        </is>
      </c>
      <c r="D66" s="15" t="inlineStr">
        <is>
          <t>Did you then say the $1,500 standard price on this call? Y or N.</t>
        </is>
      </c>
      <c r="E66" s="15" t="inlineStr">
        <is>
          <t>plan: before and after hearing $1,500</t>
        </is>
      </c>
    </row>
    <row r="67">
      <c r="A67" s="15" t="inlineStr">
        <is>
          <t>Brand_Log</t>
        </is>
      </c>
      <c r="B67" s="15" t="inlineStr">
        <is>
          <t>wtp_after_usd</t>
        </is>
      </c>
      <c r="C67" s="15" t="inlineStr">
        <is>
          <t>num</t>
        </is>
      </c>
      <c r="D67" s="15" t="inlineStr">
        <is>
          <t>Q4. Their number AFTER hearing $1,500, USD per campaign. Blank if none.</t>
        </is>
      </c>
      <c r="E67" s="15" t="inlineStr">
        <is>
          <t>plan: Willingness to pay after $1,500; pipeline budget_probe (after_1500)</t>
        </is>
      </c>
    </row>
    <row r="68">
      <c r="A68" s="15" t="inlineStr">
        <is>
          <t>Brand_Log</t>
        </is>
      </c>
      <c r="B68" s="15" t="inlineStr">
        <is>
          <t>wtp_after_verbatim</t>
        </is>
      </c>
      <c r="C68" s="15" t="inlineStr">
        <is>
          <t>text</t>
        </is>
      </c>
      <c r="D68" s="15" t="inlineStr">
        <is>
          <t>Q4. Their words after hearing $1,500.</t>
        </is>
      </c>
      <c r="E68" s="15" t="inlineStr">
        <is>
          <t>plan: Willingness to pay, verbatim</t>
        </is>
      </c>
    </row>
    <row r="69">
      <c r="A69" s="15" t="inlineStr">
        <is>
          <t>Brand_Log</t>
        </is>
      </c>
      <c r="B69" s="15" t="inlineStr">
        <is>
          <t>q5_report_needs_verbatim</t>
        </is>
      </c>
      <c r="C69" s="15" t="inlineStr">
        <is>
          <t>text</t>
        </is>
      </c>
      <c r="D69" s="15" t="inlineStr">
        <is>
          <t>Q5. What the report would need to show for them to do it again.</t>
        </is>
      </c>
      <c r="E69" s="15" t="inlineStr">
        <is>
          <t>brand guide Q5</t>
        </is>
      </c>
    </row>
    <row r="70">
      <c r="A70" s="15" t="inlineStr">
        <is>
          <t>Brand_Log</t>
        </is>
      </c>
      <c r="B70" s="15" t="inlineStr">
        <is>
          <t>q6_buy_path_type</t>
        </is>
      </c>
      <c r="C70" s="15" t="inlineStr">
        <is>
          <t>list: retailer-in-cluster, retailer-within-10-blocks, online-with-code, online-no-code, none, unknown</t>
        </is>
      </c>
      <c r="D70" s="15" t="inlineStr">
        <is>
          <t>Q6. Buy path near the cluster.</t>
        </is>
      </c>
      <c r="E70" s="15" t="inlineStr">
        <is>
          <t>plan: Buy path inside the cluster</t>
        </is>
      </c>
    </row>
    <row r="71">
      <c r="A71" s="15" t="inlineStr">
        <is>
          <t>Brand_Log</t>
        </is>
      </c>
      <c r="B71" s="15" t="inlineStr">
        <is>
          <t>q6_buy_path_verbatim</t>
        </is>
      </c>
      <c r="C71" s="15" t="inlineStr">
        <is>
          <t>text</t>
        </is>
      </c>
      <c r="D71" s="15" t="inlineStr">
        <is>
          <t>Q6. Store name and street, or the site, in their words.</t>
        </is>
      </c>
      <c r="E71" s="15" t="inlineStr">
        <is>
          <t>plan: Buy path inside the cluster</t>
        </is>
      </c>
    </row>
    <row r="72">
      <c r="A72" s="15" t="inlineStr">
        <is>
          <t>Brand_Log</t>
        </is>
      </c>
      <c r="B72" s="15" t="inlineStr">
        <is>
          <t>q7_stoppers_verbatim</t>
        </is>
      </c>
      <c r="C72" s="15" t="inlineStr">
        <is>
          <t>text</t>
        </is>
      </c>
      <c r="D72" s="15" t="inlineStr">
        <is>
          <t>Q7. What would stop them: budget timing, inventory, shelf life, something else.</t>
        </is>
      </c>
      <c r="E72" s="15" t="inlineStr">
        <is>
          <t>brand guide Q7</t>
        </is>
      </c>
    </row>
    <row r="73">
      <c r="A73" s="15" t="inlineStr">
        <is>
          <t>Brand_Log</t>
        </is>
      </c>
      <c r="B73" s="15" t="inlineStr">
        <is>
          <t>objection_1</t>
        </is>
      </c>
      <c r="C73" s="15" t="inlineStr">
        <is>
          <t>list: seed_ourselves, price_per_sample, free_trial, what_we_get, budget_timing, inventory, shelf_life, not_our_audience, want_proof, want_sales_data, no_buy_path, insurance, other</t>
        </is>
      </c>
      <c r="D73" s="15" t="inlineStr">
        <is>
          <t>Main objection, as a code (Lists tab).</t>
        </is>
      </c>
      <c r="E73" s="15" t="inlineStr">
        <is>
          <t>plan: Objections</t>
        </is>
      </c>
    </row>
    <row r="74">
      <c r="A74" s="15" t="inlineStr">
        <is>
          <t>Brand_Log</t>
        </is>
      </c>
      <c r="B74" s="15" t="inlineStr">
        <is>
          <t>objection_2</t>
        </is>
      </c>
      <c r="C74" s="15" t="inlineStr">
        <is>
          <t>list: seed_ourselves, price_per_sample, free_trial, what_we_get, budget_timing, inventory, shelf_life, not_our_audience, want_proof, want_sales_data, no_buy_path, insurance, other</t>
        </is>
      </c>
      <c r="D74" s="15" t="inlineStr">
        <is>
          <t>Second objection code.</t>
        </is>
      </c>
      <c r="E74" s="15" t="inlineStr">
        <is>
          <t>plan: Objections</t>
        </is>
      </c>
    </row>
    <row r="75">
      <c r="A75" s="15" t="inlineStr">
        <is>
          <t>Brand_Log</t>
        </is>
      </c>
      <c r="B75" s="15" t="inlineStr">
        <is>
          <t>objection_3</t>
        </is>
      </c>
      <c r="C75" s="15" t="inlineStr">
        <is>
          <t>list: seed_ourselves, price_per_sample, free_trial, what_we_get, budget_timing, inventory, shelf_life, not_our_audience, want_proof, want_sales_data, no_buy_path, insurance, other</t>
        </is>
      </c>
      <c r="D75" s="15" t="inlineStr">
        <is>
          <t>Third objection code.</t>
        </is>
      </c>
      <c r="E75" s="15" t="inlineStr">
        <is>
          <t>plan: Objections</t>
        </is>
      </c>
    </row>
    <row r="76">
      <c r="A76" s="15" t="inlineStr">
        <is>
          <t>Brand_Log</t>
        </is>
      </c>
      <c r="B76" s="15" t="inlineStr">
        <is>
          <t>objections_verbatim</t>
        </is>
      </c>
      <c r="C76" s="15" t="inlineStr">
        <is>
          <t>text</t>
        </is>
      </c>
      <c r="D76" s="15" t="inlineStr">
        <is>
          <t>Every objection in their words.</t>
        </is>
      </c>
      <c r="E76" s="15" t="inlineStr">
        <is>
          <t>plan: Objections, verbatim</t>
        </is>
      </c>
    </row>
    <row r="77">
      <c r="A77" s="15" t="inlineStr">
        <is>
          <t>Brand_Log</t>
        </is>
      </c>
      <c r="B77" s="15" t="inlineStr">
        <is>
          <t>yes_in_principle</t>
        </is>
      </c>
      <c r="C77" s="15" t="inlineStr">
        <is>
          <t>list: Y, N, maybe</t>
        </is>
      </c>
      <c r="D77" s="15" t="inlineStr">
        <is>
          <t>Y: would buy a campaign in principle at a price they named. maybe. N.</t>
        </is>
      </c>
      <c r="E77" s="15" t="inlineStr">
        <is>
          <t>plan: Yes in principle</t>
        </is>
      </c>
    </row>
    <row r="78">
      <c r="A78" s="15" t="inlineStr">
        <is>
          <t>Brand_Log</t>
        </is>
      </c>
      <c r="B78" s="15" t="inlineStr">
        <is>
          <t>referrals_given_count</t>
        </is>
      </c>
      <c r="C78" s="15" t="inlineStr">
        <is>
          <t>num</t>
        </is>
      </c>
      <c r="D78" s="15" t="inlineStr">
        <is>
          <t>How many other founders they named or introduced.</t>
        </is>
      </c>
      <c r="E78" s="15" t="inlineStr">
        <is>
          <t>plan: Referrals given</t>
        </is>
      </c>
    </row>
    <row r="79">
      <c r="A79" s="15" t="inlineStr">
        <is>
          <t>Brand_Log</t>
        </is>
      </c>
      <c r="B79" s="15" t="inlineStr">
        <is>
          <t>referrals_given</t>
        </is>
      </c>
      <c r="C79" s="15" t="inlineStr">
        <is>
          <t>text</t>
        </is>
      </c>
      <c r="D79" s="15" t="inlineStr">
        <is>
          <t>Who: brand and title, semicolons. Each becomes a new Clay row with referral_from = this row_id.</t>
        </is>
      </c>
      <c r="E79" s="15" t="inlineStr">
        <is>
          <t>plan: Referrals given</t>
        </is>
      </c>
    </row>
    <row r="80">
      <c r="A80" s="15" t="inlineStr">
        <is>
          <t>Brand_Log</t>
        </is>
      </c>
      <c r="B80" s="15" t="inlineStr">
        <is>
          <t>note_minutes</t>
        </is>
      </c>
      <c r="C80" s="15" t="inlineStr">
        <is>
          <t>num</t>
        </is>
      </c>
      <c r="D80" s="15" t="inlineStr">
        <is>
          <t>Minutes from hanging up to finishing this row and the Clay write-back. Target 10 or less.</t>
        </is>
      </c>
      <c r="E80" s="15" t="inlineStr">
        <is>
          <t>ten-minute rule</t>
        </is>
      </c>
    </row>
    <row r="81">
      <c r="A81" s="15" t="inlineStr">
        <is>
          <t>Brand_Log</t>
        </is>
      </c>
      <c r="B81" s="15" t="inlineStr">
        <is>
          <t>clay_updated</t>
        </is>
      </c>
      <c r="C81" s="15" t="inlineStr">
        <is>
          <t>list: Y, N</t>
        </is>
      </c>
      <c r="D81" s="15" t="inlineStr">
        <is>
          <t>Y once call_date, status, yes_in_principle, call_notes, next_action and next_action_date are written to Clay.</t>
        </is>
      </c>
      <c r="E81" s="15" t="inlineStr">
        <is>
          <t>sync</t>
        </is>
      </c>
    </row>
    <row r="82">
      <c r="A82" s="15" t="inlineStr">
        <is>
          <t>Brand_Log</t>
        </is>
      </c>
      <c r="B82" s="15" t="inlineStr">
        <is>
          <t>notes</t>
        </is>
      </c>
      <c r="C82" s="15" t="inlineStr">
        <is>
          <t>text</t>
        </is>
      </c>
      <c r="D82" s="15" t="inlineStr">
        <is>
          <t>Anything else.</t>
        </is>
      </c>
      <c r="E82" s="15" t="inlineStr"/>
    </row>
    <row r="83">
      <c r="A83" s="15" t="inlineStr">
        <is>
          <t>signed_offices</t>
        </is>
      </c>
      <c r="B83" s="15" t="inlineStr">
        <is>
          <t>submitted_at</t>
        </is>
      </c>
      <c r="C83" s="15" t="inlineStr">
        <is>
          <t>text</t>
        </is>
      </c>
      <c r="D83" s="15" t="inlineStr">
        <is>
          <t>From office_intake (CONTRACTS 6.3).</t>
        </is>
      </c>
      <c r="E83" s="15" t="inlineStr">
        <is>
          <t>CONTRACTS 6.3</t>
        </is>
      </c>
    </row>
    <row r="84">
      <c r="A84" s="15" t="inlineStr">
        <is>
          <t>signed_offices</t>
        </is>
      </c>
      <c r="B84" s="15" t="inlineStr">
        <is>
          <t>form_version</t>
        </is>
      </c>
      <c r="C84" s="15" t="inlineStr">
        <is>
          <t>text</t>
        </is>
      </c>
      <c r="D84" s="15" t="inlineStr">
        <is>
          <t>From office_intake (CONTRACTS 6.3).</t>
        </is>
      </c>
      <c r="E84" s="15" t="inlineStr">
        <is>
          <t>CONTRACTS 6.3</t>
        </is>
      </c>
    </row>
    <row r="85">
      <c r="A85" s="15" t="inlineStr">
        <is>
          <t>signed_offices</t>
        </is>
      </c>
      <c r="B85" s="15" t="inlineStr">
        <is>
          <t>company</t>
        </is>
      </c>
      <c r="C85" s="15" t="inlineStr">
        <is>
          <t>text</t>
        </is>
      </c>
      <c r="D85" s="15" t="inlineStr">
        <is>
          <t>From office_intake (CONTRACTS 6.3).</t>
        </is>
      </c>
      <c r="E85" s="15" t="inlineStr">
        <is>
          <t>CONTRACTS 6.3</t>
        </is>
      </c>
    </row>
    <row r="86">
      <c r="A86" s="15" t="inlineStr">
        <is>
          <t>signed_offices</t>
        </is>
      </c>
      <c r="B86" s="15" t="inlineStr">
        <is>
          <t>contact_name</t>
        </is>
      </c>
      <c r="C86" s="15" t="inlineStr">
        <is>
          <t>text</t>
        </is>
      </c>
      <c r="D86" s="15" t="inlineStr">
        <is>
          <t>From office_intake (CONTRACTS 6.3).</t>
        </is>
      </c>
      <c r="E86" s="15" t="inlineStr">
        <is>
          <t>CONTRACTS 6.3</t>
        </is>
      </c>
    </row>
    <row r="87">
      <c r="A87" s="15" t="inlineStr">
        <is>
          <t>signed_offices</t>
        </is>
      </c>
      <c r="B87" s="15" t="inlineStr">
        <is>
          <t>contact_title</t>
        </is>
      </c>
      <c r="C87" s="15" t="inlineStr">
        <is>
          <t>text</t>
        </is>
      </c>
      <c r="D87" s="15" t="inlineStr">
        <is>
          <t>From office_intake (CONTRACTS 6.3).</t>
        </is>
      </c>
      <c r="E87" s="15" t="inlineStr">
        <is>
          <t>CONTRACTS 6.3</t>
        </is>
      </c>
    </row>
    <row r="88">
      <c r="A88" s="15" t="inlineStr">
        <is>
          <t>signed_offices</t>
        </is>
      </c>
      <c r="B88" s="15" t="inlineStr">
        <is>
          <t>contact_email</t>
        </is>
      </c>
      <c r="C88" s="15" t="inlineStr">
        <is>
          <t>text</t>
        </is>
      </c>
      <c r="D88" s="15" t="inlineStr">
        <is>
          <t>From office_intake (CONTRACTS 6.3).</t>
        </is>
      </c>
      <c r="E88" s="15" t="inlineStr">
        <is>
          <t>CONTRACTS 6.3</t>
        </is>
      </c>
    </row>
    <row r="89">
      <c r="A89" s="15" t="inlineStr">
        <is>
          <t>signed_offices</t>
        </is>
      </c>
      <c r="B89" s="15" t="inlineStr">
        <is>
          <t>contact_phone</t>
        </is>
      </c>
      <c r="C89" s="15" t="inlineStr">
        <is>
          <t>text</t>
        </is>
      </c>
      <c r="D89" s="15" t="inlineStr">
        <is>
          <t>From office_intake (CONTRACTS 6.3).</t>
        </is>
      </c>
      <c r="E89" s="15" t="inlineStr">
        <is>
          <t>CONTRACTS 6.3</t>
        </is>
      </c>
    </row>
    <row r="90">
      <c r="A90" s="15" t="inlineStr">
        <is>
          <t>signed_offices</t>
        </is>
      </c>
      <c r="B90" s="15" t="inlineStr">
        <is>
          <t>office_address</t>
        </is>
      </c>
      <c r="C90" s="15" t="inlineStr">
        <is>
          <t>text</t>
        </is>
      </c>
      <c r="D90" s="15" t="inlineStr">
        <is>
          <t>From office_intake (CONTRACTS 6.3).</t>
        </is>
      </c>
      <c r="E90" s="15" t="inlineStr">
        <is>
          <t>CONTRACTS 6.3</t>
        </is>
      </c>
    </row>
    <row r="91">
      <c r="A91" s="15" t="inlineStr">
        <is>
          <t>signed_offices</t>
        </is>
      </c>
      <c r="B91" s="15" t="inlineStr">
        <is>
          <t>floor_suite</t>
        </is>
      </c>
      <c r="C91" s="15" t="inlineStr">
        <is>
          <t>text</t>
        </is>
      </c>
      <c r="D91" s="15" t="inlineStr">
        <is>
          <t>From office_intake (CONTRACTS 6.3).</t>
        </is>
      </c>
      <c r="E91" s="15" t="inlineStr">
        <is>
          <t>CONTRACTS 6.3</t>
        </is>
      </c>
    </row>
    <row r="92">
      <c r="A92" s="15" t="inlineStr">
        <is>
          <t>signed_offices</t>
        </is>
      </c>
      <c r="B92" s="15" t="inlineStr">
        <is>
          <t>tuesday_headcount</t>
        </is>
      </c>
      <c r="C92" s="15" t="inlineStr">
        <is>
          <t>text</t>
        </is>
      </c>
      <c r="D92" s="15" t="inlineStr">
        <is>
          <t>From office_intake (CONTRACTS 6.3).</t>
        </is>
      </c>
      <c r="E92" s="15" t="inlineStr">
        <is>
          <t>CONTRACTS 6.3</t>
        </is>
      </c>
    </row>
    <row r="93">
      <c r="A93" s="15" t="inlineStr">
        <is>
          <t>signed_offices</t>
        </is>
      </c>
      <c r="B93" s="15" t="inlineStr">
        <is>
          <t>pantry_owner_name</t>
        </is>
      </c>
      <c r="C93" s="15" t="inlineStr">
        <is>
          <t>text</t>
        </is>
      </c>
      <c r="D93" s="15" t="inlineStr">
        <is>
          <t>From office_intake (CONTRACTS 6.3).</t>
        </is>
      </c>
      <c r="E93" s="15" t="inlineStr">
        <is>
          <t>CONTRACTS 6.3</t>
        </is>
      </c>
    </row>
    <row r="94">
      <c r="A94" s="15" t="inlineStr">
        <is>
          <t>signed_offices</t>
        </is>
      </c>
      <c r="B94" s="15" t="inlineStr">
        <is>
          <t>pantry_owner_title</t>
        </is>
      </c>
      <c r="C94" s="15" t="inlineStr">
        <is>
          <t>text</t>
        </is>
      </c>
      <c r="D94" s="15" t="inlineStr">
        <is>
          <t>From office_intake (CONTRACTS 6.3).</t>
        </is>
      </c>
      <c r="E94" s="15" t="inlineStr">
        <is>
          <t>CONTRACTS 6.3</t>
        </is>
      </c>
    </row>
    <row r="95">
      <c r="A95" s="15" t="inlineStr">
        <is>
          <t>signed_offices</t>
        </is>
      </c>
      <c r="B95" s="15" t="inlineStr">
        <is>
          <t>pantry_owner_is_contact</t>
        </is>
      </c>
      <c r="C95" s="15" t="inlineStr">
        <is>
          <t>text</t>
        </is>
      </c>
      <c r="D95" s="15" t="inlineStr">
        <is>
          <t>From office_intake (CONTRACTS 6.3).</t>
        </is>
      </c>
      <c r="E95" s="15" t="inlineStr">
        <is>
          <t>CONTRACTS 6.3</t>
        </is>
      </c>
    </row>
    <row r="96">
      <c r="A96" s="15" t="inlineStr">
        <is>
          <t>signed_offices</t>
        </is>
      </c>
      <c r="B96" s="15" t="inlineStr">
        <is>
          <t>receiving_type</t>
        </is>
      </c>
      <c r="C96" s="15" t="inlineStr">
        <is>
          <t>text</t>
        </is>
      </c>
      <c r="D96" s="15" t="inlineStr">
        <is>
          <t>From office_intake (CONTRACTS 6.3).</t>
        </is>
      </c>
      <c r="E96" s="15" t="inlineStr">
        <is>
          <t>CONTRACTS 6.3</t>
        </is>
      </c>
    </row>
    <row r="97">
      <c r="A97" s="15" t="inlineStr">
        <is>
          <t>signed_offices</t>
        </is>
      </c>
      <c r="B97" s="15" t="inlineStr">
        <is>
          <t>receiving_window</t>
        </is>
      </c>
      <c r="C97" s="15" t="inlineStr">
        <is>
          <t>text</t>
        </is>
      </c>
      <c r="D97" s="15" t="inlineStr">
        <is>
          <t>From office_intake (CONTRACTS 6.3).</t>
        </is>
      </c>
      <c r="E97" s="15" t="inlineStr">
        <is>
          <t>CONTRACTS 6.3</t>
        </is>
      </c>
    </row>
    <row r="98">
      <c r="A98" s="15" t="inlineStr">
        <is>
          <t>signed_offices</t>
        </is>
      </c>
      <c r="B98" s="15" t="inlineStr">
        <is>
          <t>coi_required</t>
        </is>
      </c>
      <c r="C98" s="15" t="inlineStr">
        <is>
          <t>text</t>
        </is>
      </c>
      <c r="D98" s="15" t="inlineStr">
        <is>
          <t>From office_intake (CONTRACTS 6.3).</t>
        </is>
      </c>
      <c r="E98" s="15" t="inlineStr">
        <is>
          <t>CONTRACTS 6.3</t>
        </is>
      </c>
    </row>
    <row r="99">
      <c r="A99" s="15" t="inlineStr">
        <is>
          <t>signed_offices</t>
        </is>
      </c>
      <c r="B99" s="15" t="inlineStr">
        <is>
          <t>survey_channel</t>
        </is>
      </c>
      <c r="C99" s="15" t="inlineStr">
        <is>
          <t>text</t>
        </is>
      </c>
      <c r="D99" s="15" t="inlineStr">
        <is>
          <t>From office_intake (CONTRACTS 6.3).</t>
        </is>
      </c>
      <c r="E99" s="15" t="inlineStr">
        <is>
          <t>CONTRACTS 6.3</t>
        </is>
      </c>
    </row>
    <row r="100">
      <c r="A100" s="15" t="inlineStr">
        <is>
          <t>signed_offices</t>
        </is>
      </c>
      <c r="B100" s="15" t="inlineStr">
        <is>
          <t>categories_wanted</t>
        </is>
      </c>
      <c r="C100" s="15" t="inlineStr">
        <is>
          <t>text</t>
        </is>
      </c>
      <c r="D100" s="15" t="inlineStr">
        <is>
          <t>From office_intake (CONTRACTS 6.3).</t>
        </is>
      </c>
      <c r="E100" s="15" t="inlineStr">
        <is>
          <t>CONTRACTS 6.3</t>
        </is>
      </c>
    </row>
    <row r="101">
      <c r="A101" s="15" t="inlineStr">
        <is>
          <t>signed_offices</t>
        </is>
      </c>
      <c r="B101" s="15" t="inlineStr">
        <is>
          <t>vetoes</t>
        </is>
      </c>
      <c r="C101" s="15" t="inlineStr">
        <is>
          <t>text</t>
        </is>
      </c>
      <c r="D101" s="15" t="inlineStr">
        <is>
          <t>From office_intake (CONTRACTS 6.3).</t>
        </is>
      </c>
      <c r="E101" s="15" t="inlineStr">
        <is>
          <t>CONTRACTS 6.3</t>
        </is>
      </c>
    </row>
    <row r="102">
      <c r="A102" s="15" t="inlineStr">
        <is>
          <t>signed_offices</t>
        </is>
      </c>
      <c r="B102" s="15" t="inlineStr">
        <is>
          <t>notes</t>
        </is>
      </c>
      <c r="C102" s="15" t="inlineStr">
        <is>
          <t>text</t>
        </is>
      </c>
      <c r="D102" s="15" t="inlineStr">
        <is>
          <t>From office_intake (CONTRACTS 6.3).</t>
        </is>
      </c>
      <c r="E102" s="15" t="inlineStr">
        <is>
          <t>CONTRACTS 6.3</t>
        </is>
      </c>
    </row>
    <row r="103">
      <c r="A103" s="15" t="inlineStr">
        <is>
          <t>signed_offices</t>
        </is>
      </c>
      <c r="B103" s="15" t="inlineStr">
        <is>
          <t>source</t>
        </is>
      </c>
      <c r="C103" s="15" t="inlineStr">
        <is>
          <t>text</t>
        </is>
      </c>
      <c r="D103" s="15" t="inlineStr">
        <is>
          <t>From office_intake (CONTRACTS 6.3).</t>
        </is>
      </c>
      <c r="E103" s="15" t="inlineStr">
        <is>
          <t>CONTRACTS 6.3</t>
        </is>
      </c>
    </row>
    <row r="104">
      <c r="A104" s="15" t="inlineStr">
        <is>
          <t>signed_offices</t>
        </is>
      </c>
      <c r="B104" s="15" t="inlineStr">
        <is>
          <t>office_id</t>
        </is>
      </c>
      <c r="C104" s="15" t="inlineStr">
        <is>
          <t>id</t>
        </is>
      </c>
      <c r="D104" s="15" t="inlineStr">
        <is>
          <t>O-### assigned at signing (CONTRACTS 6.4).</t>
        </is>
      </c>
      <c r="E104" s="15" t="inlineStr">
        <is>
          <t>CONTRACTS 6.4</t>
        </is>
      </c>
    </row>
    <row r="105">
      <c r="A105" s="15" t="inlineStr">
        <is>
          <t>signed_offices</t>
        </is>
      </c>
      <c r="B105" s="15" t="inlineStr">
        <is>
          <t>clay_row_id</t>
        </is>
      </c>
      <c r="C105" s="15" t="inlineStr">
        <is>
          <t>id</t>
        </is>
      </c>
      <c r="D105" s="15" t="inlineStr">
        <is>
          <t>The Clay row_id of the office contact. Must match the row_id used in Office_Log.</t>
        </is>
      </c>
      <c r="E105" s="15" t="inlineStr">
        <is>
          <t>CONTRACTS 6.4; pipeline org_id</t>
        </is>
      </c>
    </row>
    <row r="106">
      <c r="A106" s="15" t="inlineStr">
        <is>
          <t>signed_offices</t>
        </is>
      </c>
      <c r="B106" s="15" t="inlineStr">
        <is>
          <t>agreement_signed_date</t>
        </is>
      </c>
      <c r="C106" s="15" t="inlineStr">
        <is>
          <t>date</t>
        </is>
      </c>
      <c r="D106" s="15" t="inlineStr">
        <is>
          <t>Date the participation agreement was signed by both sides.</t>
        </is>
      </c>
      <c r="E106" s="15" t="inlineStr">
        <is>
          <t>CONTRACTS 6.4</t>
        </is>
      </c>
    </row>
    <row r="107">
      <c r="A107" s="15" t="inlineStr">
        <is>
          <t>signed_offices</t>
        </is>
      </c>
      <c r="B107" s="15" t="inlineStr">
        <is>
          <t>agreement_file</t>
        </is>
      </c>
      <c r="C107" s="15" t="inlineStr">
        <is>
          <t>text</t>
        </is>
      </c>
      <c r="D107" s="15" t="inlineStr">
        <is>
          <t>File name of the signed PDF.</t>
        </is>
      </c>
      <c r="E107" s="15" t="inlineStr">
        <is>
          <t>CONTRACTS 6.4</t>
        </is>
      </c>
    </row>
    <row r="108">
      <c r="A108" s="15" t="inlineStr">
        <is>
          <t>signed_offices</t>
        </is>
      </c>
      <c r="B108" s="15" t="inlineStr">
        <is>
          <t>founding_roster_named</t>
        </is>
      </c>
      <c r="C108" s="15" t="inlineStr">
        <is>
          <t>list: Y, N</t>
        </is>
      </c>
      <c r="D108" s="15" t="inlineStr">
        <is>
          <t>Y if the office ticked the box agreeing to be named on the founding roster (agreement section 6).</t>
        </is>
      </c>
      <c r="E108" s="15" t="inlineStr">
        <is>
          <t>CONTRACTS 6.4</t>
        </is>
      </c>
    </row>
    <row r="109">
      <c r="A109" s="15" t="inlineStr">
        <is>
          <t>signed_offices</t>
        </is>
      </c>
      <c r="B109" s="15" t="inlineStr">
        <is>
          <t>budget_probe_verbatim</t>
        </is>
      </c>
      <c r="C109" s="15" t="inlineStr">
        <is>
          <t>formula</t>
        </is>
      </c>
      <c r="D109" s="15" t="inlineStr">
        <is>
          <t>Filled from Office_Log (first budget-probe answer for this clay_row_id). Overwrite only if there is no log row.</t>
        </is>
      </c>
      <c r="E109" s="15" t="inlineStr">
        <is>
          <t>CONTRACTS 6.4</t>
        </is>
      </c>
    </row>
    <row r="110">
      <c r="A110" s="15" t="inlineStr">
        <is>
          <t>signed_offices</t>
        </is>
      </c>
      <c r="B110" s="15" t="inlineStr">
        <is>
          <t>budget_probe_date</t>
        </is>
      </c>
      <c r="C110" s="15" t="inlineStr">
        <is>
          <t>formula</t>
        </is>
      </c>
      <c r="D110" s="15" t="inlineStr">
        <is>
          <t>Filled from Office_Log: the date of that answer.</t>
        </is>
      </c>
      <c r="E110" s="15" t="inlineStr">
        <is>
          <t>CONTRACTS 6.4</t>
        </is>
      </c>
    </row>
    <row r="111">
      <c r="A111" s="15" t="inlineStr">
        <is>
          <t>signed_offices</t>
        </is>
      </c>
      <c r="B111" s="15" t="inlineStr">
        <is>
          <t>budget_probe_monthly_usd</t>
        </is>
      </c>
      <c r="C111" s="15" t="inlineStr">
        <is>
          <t>formula</t>
        </is>
      </c>
      <c r="D111" s="15" t="inlineStr">
        <is>
          <t>Filled from Office_Log: USD per month if they named a number (0 for 'no budget'), else blank.</t>
        </is>
      </c>
      <c r="E111" s="15" t="inlineStr">
        <is>
          <t>CONTRACTS 6.4</t>
        </is>
      </c>
    </row>
    <row r="112">
      <c r="A112" s="15" t="inlineStr">
        <is>
          <t>signed_offices</t>
        </is>
      </c>
      <c r="B112" s="15" t="inlineStr">
        <is>
          <t>agreement_version</t>
        </is>
      </c>
      <c r="C112" s="15" t="inlineStr">
        <is>
          <t>text</t>
        </is>
      </c>
      <c r="D112" s="15" t="inlineStr">
        <is>
          <t>Version of the participation agreement signed (e.g. 0.8). Added at the legal pack's suggestion.</t>
        </is>
      </c>
      <c r="E112" s="15" t="inlineStr">
        <is>
          <t>addition (G)</t>
        </is>
      </c>
    </row>
    <row r="113">
      <c r="A113" s="15" t="inlineStr">
        <is>
          <t>signed_offices</t>
        </is>
      </c>
      <c r="B113" s="15" t="inlineStr">
        <is>
          <t>owner_can_say_yes_alone</t>
        </is>
      </c>
      <c r="C113" s="15" t="inlineStr">
        <is>
          <t>list: Y, N</t>
        </is>
      </c>
      <c r="D113" s="15" t="inlineStr">
        <is>
          <t>Y if the pantry owner can approve a brand alone.</t>
        </is>
      </c>
      <c r="E113" s="15" t="inlineStr">
        <is>
          <t>addition (plan Phase 1)</t>
        </is>
      </c>
    </row>
    <row r="114">
      <c r="A114" s="15" t="inlineStr">
        <is>
          <t>paid_brands</t>
        </is>
      </c>
      <c r="B114" s="15" t="inlineStr">
        <is>
          <t>submitted_at</t>
        </is>
      </c>
      <c r="C114" s="15" t="inlineStr">
        <is>
          <t>text</t>
        </is>
      </c>
      <c r="D114" s="15" t="inlineStr">
        <is>
          <t>From brand_intake (CONTRACTS 6.3).</t>
        </is>
      </c>
      <c r="E114" s="15" t="inlineStr">
        <is>
          <t>CONTRACTS 6.3</t>
        </is>
      </c>
    </row>
    <row r="115">
      <c r="A115" s="15" t="inlineStr">
        <is>
          <t>paid_brands</t>
        </is>
      </c>
      <c r="B115" s="15" t="inlineStr">
        <is>
          <t>form_version</t>
        </is>
      </c>
      <c r="C115" s="15" t="inlineStr">
        <is>
          <t>text</t>
        </is>
      </c>
      <c r="D115" s="15" t="inlineStr">
        <is>
          <t>From brand_intake (CONTRACTS 6.3).</t>
        </is>
      </c>
      <c r="E115" s="15" t="inlineStr">
        <is>
          <t>CONTRACTS 6.3</t>
        </is>
      </c>
    </row>
    <row r="116">
      <c r="A116" s="15" t="inlineStr">
        <is>
          <t>paid_brands</t>
        </is>
      </c>
      <c r="B116" s="15" t="inlineStr">
        <is>
          <t>brand_name</t>
        </is>
      </c>
      <c r="C116" s="15" t="inlineStr">
        <is>
          <t>text</t>
        </is>
      </c>
      <c r="D116" s="15" t="inlineStr">
        <is>
          <t>From brand_intake (CONTRACTS 6.3).</t>
        </is>
      </c>
      <c r="E116" s="15" t="inlineStr">
        <is>
          <t>CONTRACTS 6.3</t>
        </is>
      </c>
    </row>
    <row r="117">
      <c r="A117" s="15" t="inlineStr">
        <is>
          <t>paid_brands</t>
        </is>
      </c>
      <c r="B117" s="15" t="inlineStr">
        <is>
          <t>website</t>
        </is>
      </c>
      <c r="C117" s="15" t="inlineStr">
        <is>
          <t>text</t>
        </is>
      </c>
      <c r="D117" s="15" t="inlineStr">
        <is>
          <t>From brand_intake (CONTRACTS 6.3).</t>
        </is>
      </c>
      <c r="E117" s="15" t="inlineStr">
        <is>
          <t>CONTRACTS 6.3</t>
        </is>
      </c>
    </row>
    <row r="118">
      <c r="A118" s="15" t="inlineStr">
        <is>
          <t>paid_brands</t>
        </is>
      </c>
      <c r="B118" s="15" t="inlineStr">
        <is>
          <t>contact_name</t>
        </is>
      </c>
      <c r="C118" s="15" t="inlineStr">
        <is>
          <t>text</t>
        </is>
      </c>
      <c r="D118" s="15" t="inlineStr">
        <is>
          <t>From brand_intake (CONTRACTS 6.3).</t>
        </is>
      </c>
      <c r="E118" s="15" t="inlineStr">
        <is>
          <t>CONTRACTS 6.3</t>
        </is>
      </c>
    </row>
    <row r="119">
      <c r="A119" s="15" t="inlineStr">
        <is>
          <t>paid_brands</t>
        </is>
      </c>
      <c r="B119" s="15" t="inlineStr">
        <is>
          <t>contact_title</t>
        </is>
      </c>
      <c r="C119" s="15" t="inlineStr">
        <is>
          <t>text</t>
        </is>
      </c>
      <c r="D119" s="15" t="inlineStr">
        <is>
          <t>From brand_intake (CONTRACTS 6.3).</t>
        </is>
      </c>
      <c r="E119" s="15" t="inlineStr">
        <is>
          <t>CONTRACTS 6.3</t>
        </is>
      </c>
    </row>
    <row r="120">
      <c r="A120" s="15" t="inlineStr">
        <is>
          <t>paid_brands</t>
        </is>
      </c>
      <c r="B120" s="15" t="inlineStr">
        <is>
          <t>contact_email</t>
        </is>
      </c>
      <c r="C120" s="15" t="inlineStr">
        <is>
          <t>text</t>
        </is>
      </c>
      <c r="D120" s="15" t="inlineStr">
        <is>
          <t>From brand_intake (CONTRACTS 6.3).</t>
        </is>
      </c>
      <c r="E120" s="15" t="inlineStr">
        <is>
          <t>CONTRACTS 6.3</t>
        </is>
      </c>
    </row>
    <row r="121">
      <c r="A121" s="15" t="inlineStr">
        <is>
          <t>paid_brands</t>
        </is>
      </c>
      <c r="B121" s="15" t="inlineStr">
        <is>
          <t>contact_phone</t>
        </is>
      </c>
      <c r="C121" s="15" t="inlineStr">
        <is>
          <t>text</t>
        </is>
      </c>
      <c r="D121" s="15" t="inlineStr">
        <is>
          <t>From brand_intake (CONTRACTS 6.3).</t>
        </is>
      </c>
      <c r="E121" s="15" t="inlineStr">
        <is>
          <t>CONTRACTS 6.3</t>
        </is>
      </c>
    </row>
    <row r="122">
      <c r="A122" s="15" t="inlineStr">
        <is>
          <t>paid_brands</t>
        </is>
      </c>
      <c r="B122" s="15" t="inlineStr">
        <is>
          <t>product_sku</t>
        </is>
      </c>
      <c r="C122" s="15" t="inlineStr">
        <is>
          <t>text</t>
        </is>
      </c>
      <c r="D122" s="15" t="inlineStr">
        <is>
          <t>From brand_intake (CONTRACTS 6.3).</t>
        </is>
      </c>
      <c r="E122" s="15" t="inlineStr">
        <is>
          <t>CONTRACTS 6.3</t>
        </is>
      </c>
    </row>
    <row r="123">
      <c r="A123" s="15" t="inlineStr">
        <is>
          <t>paid_brands</t>
        </is>
      </c>
      <c r="B123" s="15" t="inlineStr">
        <is>
          <t>category</t>
        </is>
      </c>
      <c r="C123" s="15" t="inlineStr">
        <is>
          <t>text</t>
        </is>
      </c>
      <c r="D123" s="15" t="inlineStr">
        <is>
          <t>From brand_intake (CONTRACTS 6.3).</t>
        </is>
      </c>
      <c r="E123" s="15" t="inlineStr">
        <is>
          <t>CONTRACTS 6.3</t>
        </is>
      </c>
    </row>
    <row r="124">
      <c r="A124" s="15" t="inlineStr">
        <is>
          <t>paid_brands</t>
        </is>
      </c>
      <c r="B124" s="15" t="inlineStr">
        <is>
          <t>hq_city</t>
        </is>
      </c>
      <c r="C124" s="15" t="inlineStr">
        <is>
          <t>text</t>
        </is>
      </c>
      <c r="D124" s="15" t="inlineStr">
        <is>
          <t>From brand_intake (CONTRACTS 6.3).</t>
        </is>
      </c>
      <c r="E124" s="15" t="inlineStr">
        <is>
          <t>CONTRACTS 6.3</t>
        </is>
      </c>
    </row>
    <row r="125">
      <c r="A125" s="15" t="inlineStr">
        <is>
          <t>paid_brands</t>
        </is>
      </c>
      <c r="B125" s="15" t="inlineStr">
        <is>
          <t>nyc_retailers</t>
        </is>
      </c>
      <c r="C125" s="15" t="inlineStr">
        <is>
          <t>text</t>
        </is>
      </c>
      <c r="D125" s="15" t="inlineStr">
        <is>
          <t>From brand_intake (CONTRACTS 6.3).</t>
        </is>
      </c>
      <c r="E125" s="15" t="inlineStr">
        <is>
          <t>CONTRACTS 6.3</t>
        </is>
      </c>
    </row>
    <row r="126">
      <c r="A126" s="15" t="inlineStr">
        <is>
          <t>paid_brands</t>
        </is>
      </c>
      <c r="B126" s="15" t="inlineStr">
        <is>
          <t>online_store_url</t>
        </is>
      </c>
      <c r="C126" s="15" t="inlineStr">
        <is>
          <t>text</t>
        </is>
      </c>
      <c r="D126" s="15" t="inlineStr">
        <is>
          <t>From brand_intake (CONTRACTS 6.3).</t>
        </is>
      </c>
      <c r="E126" s="15" t="inlineStr">
        <is>
          <t>CONTRACTS 6.3</t>
        </is>
      </c>
    </row>
    <row r="127">
      <c r="A127" s="15" t="inlineStr">
        <is>
          <t>paid_brands</t>
        </is>
      </c>
      <c r="B127" s="15" t="inlineStr">
        <is>
          <t>can_issue_discount_code</t>
        </is>
      </c>
      <c r="C127" s="15" t="inlineStr">
        <is>
          <t>text</t>
        </is>
      </c>
      <c r="D127" s="15" t="inlineStr">
        <is>
          <t>From brand_intake (CONTRACTS 6.3).</t>
        </is>
      </c>
      <c r="E127" s="15" t="inlineStr">
        <is>
          <t>CONTRACTS 6.3</t>
        </is>
      </c>
    </row>
    <row r="128">
      <c r="A128" s="15" t="inlineStr">
        <is>
          <t>paid_brands</t>
        </is>
      </c>
      <c r="B128" s="15" t="inlineStr">
        <is>
          <t>preferred_timing</t>
        </is>
      </c>
      <c r="C128" s="15" t="inlineStr">
        <is>
          <t>text</t>
        </is>
      </c>
      <c r="D128" s="15" t="inlineStr">
        <is>
          <t>From brand_intake (CONTRACTS 6.3).</t>
        </is>
      </c>
      <c r="E128" s="15" t="inlineStr">
        <is>
          <t>CONTRACTS 6.3</t>
        </is>
      </c>
    </row>
    <row r="129">
      <c r="A129" s="15" t="inlineStr">
        <is>
          <t>paid_brands</t>
        </is>
      </c>
      <c r="B129" s="15" t="inlineStr">
        <is>
          <t>budget_approver_is_contact</t>
        </is>
      </c>
      <c r="C129" s="15" t="inlineStr">
        <is>
          <t>text</t>
        </is>
      </c>
      <c r="D129" s="15" t="inlineStr">
        <is>
          <t>From brand_intake (CONTRACTS 6.3).</t>
        </is>
      </c>
      <c r="E129" s="15" t="inlineStr">
        <is>
          <t>CONTRACTS 6.3</t>
        </is>
      </c>
    </row>
    <row r="130">
      <c r="A130" s="15" t="inlineStr">
        <is>
          <t>paid_brands</t>
        </is>
      </c>
      <c r="B130" s="15" t="inlineStr">
        <is>
          <t>budget_approver_name_title</t>
        </is>
      </c>
      <c r="C130" s="15" t="inlineStr">
        <is>
          <t>text</t>
        </is>
      </c>
      <c r="D130" s="15" t="inlineStr">
        <is>
          <t>From brand_intake (CONTRACTS 6.3).</t>
        </is>
      </c>
      <c r="E130" s="15" t="inlineStr">
        <is>
          <t>CONTRACTS 6.3</t>
        </is>
      </c>
    </row>
    <row r="131">
      <c r="A131" s="15" t="inlineStr">
        <is>
          <t>paid_brands</t>
        </is>
      </c>
      <c r="B131" s="15" t="inlineStr">
        <is>
          <t>q1_sealed_shelf_stable_60d</t>
        </is>
      </c>
      <c r="C131" s="15" t="inlineStr">
        <is>
          <t>text</t>
        </is>
      </c>
      <c r="D131" s="15" t="inlineStr">
        <is>
          <t>From brand_intake (CONTRACTS 6.3).</t>
        </is>
      </c>
      <c r="E131" s="15" t="inlineStr">
        <is>
          <t>CONTRACTS 6.3</t>
        </is>
      </c>
    </row>
    <row r="132">
      <c r="A132" s="15" t="inlineStr">
        <is>
          <t>paid_brands</t>
        </is>
      </c>
      <c r="B132" s="15" t="inlineStr">
        <is>
          <t>q2_labeled_ingredients_allergens</t>
        </is>
      </c>
      <c r="C132" s="15" t="inlineStr">
        <is>
          <t>text</t>
        </is>
      </c>
      <c r="D132" s="15" t="inlineStr">
        <is>
          <t>From brand_intake (CONTRACTS 6.3).</t>
        </is>
      </c>
      <c r="E132" s="15" t="inlineStr">
        <is>
          <t>CONTRACTS 6.3</t>
        </is>
      </c>
    </row>
    <row r="133">
      <c r="A133" s="15" t="inlineStr">
        <is>
          <t>paid_brands</t>
        </is>
      </c>
      <c r="B133" s="15" t="inlineStr">
        <is>
          <t>q3_buy_path_near_cluster</t>
        </is>
      </c>
      <c r="C133" s="15" t="inlineStr">
        <is>
          <t>text</t>
        </is>
      </c>
      <c r="D133" s="15" t="inlineStr">
        <is>
          <t>From brand_intake (CONTRACTS 6.3).</t>
        </is>
      </c>
      <c r="E133" s="15" t="inlineStr">
        <is>
          <t>CONTRACTS 6.3</t>
        </is>
      </c>
    </row>
    <row r="134">
      <c r="A134" s="15" t="inlineStr">
        <is>
          <t>paid_brands</t>
        </is>
      </c>
      <c r="B134" s="15" t="inlineStr">
        <is>
          <t>q4_can_ship_275_in_10bd</t>
        </is>
      </c>
      <c r="C134" s="15" t="inlineStr">
        <is>
          <t>text</t>
        </is>
      </c>
      <c r="D134" s="15" t="inlineStr">
        <is>
          <t>From brand_intake (CONTRACTS 6.3).</t>
        </is>
      </c>
      <c r="E134" s="15" t="inlineStr">
        <is>
          <t>CONTRACTS 6.3</t>
        </is>
      </c>
    </row>
    <row r="135">
      <c r="A135" s="15" t="inlineStr">
        <is>
          <t>paid_brands</t>
        </is>
      </c>
      <c r="B135" s="15" t="inlineStr">
        <is>
          <t>q5_product_liability_insurance</t>
        </is>
      </c>
      <c r="C135" s="15" t="inlineStr">
        <is>
          <t>text</t>
        </is>
      </c>
      <c r="D135" s="15" t="inlineStr">
        <is>
          <t>From brand_intake (CONTRACTS 6.3).</t>
        </is>
      </c>
      <c r="E135" s="15" t="inlineStr">
        <is>
          <t>CONTRACTS 6.3</t>
        </is>
      </c>
    </row>
    <row r="136">
      <c r="A136" s="15" t="inlineStr">
        <is>
          <t>paid_brands</t>
        </is>
      </c>
      <c r="B136" s="15" t="inlineStr">
        <is>
          <t>q6_contact_can_approve_600</t>
        </is>
      </c>
      <c r="C136" s="15" t="inlineStr">
        <is>
          <t>text</t>
        </is>
      </c>
      <c r="D136" s="15" t="inlineStr">
        <is>
          <t>From brand_intake (CONTRACTS 6.3).</t>
        </is>
      </c>
      <c r="E136" s="15" t="inlineStr">
        <is>
          <t>CONTRACTS 6.3</t>
        </is>
      </c>
    </row>
    <row r="137">
      <c r="A137" s="15" t="inlineStr">
        <is>
          <t>paid_brands</t>
        </is>
      </c>
      <c r="B137" s="15" t="inlineStr">
        <is>
          <t>q7_why_now</t>
        </is>
      </c>
      <c r="C137" s="15" t="inlineStr">
        <is>
          <t>text</t>
        </is>
      </c>
      <c r="D137" s="15" t="inlineStr">
        <is>
          <t>From brand_intake (CONTRACTS 6.3).</t>
        </is>
      </c>
      <c r="E137" s="15" t="inlineStr">
        <is>
          <t>CONTRACTS 6.3</t>
        </is>
      </c>
    </row>
    <row r="138">
      <c r="A138" s="15" t="inlineStr">
        <is>
          <t>paid_brands</t>
        </is>
      </c>
      <c r="B138" s="15" t="inlineStr">
        <is>
          <t>excluded_category_confirmed</t>
        </is>
      </c>
      <c r="C138" s="15" t="inlineStr">
        <is>
          <t>text</t>
        </is>
      </c>
      <c r="D138" s="15" t="inlineStr">
        <is>
          <t>From brand_intake (CONTRACTS 6.3).</t>
        </is>
      </c>
      <c r="E138" s="15" t="inlineStr">
        <is>
          <t>CONTRACTS 6.3</t>
        </is>
      </c>
    </row>
    <row r="139">
      <c r="A139" s="15" t="inlineStr">
        <is>
          <t>paid_brands</t>
        </is>
      </c>
      <c r="B139" s="15" t="inlineStr">
        <is>
          <t>notes</t>
        </is>
      </c>
      <c r="C139" s="15" t="inlineStr">
        <is>
          <t>text</t>
        </is>
      </c>
      <c r="D139" s="15" t="inlineStr">
        <is>
          <t>From brand_intake (CONTRACTS 6.3).</t>
        </is>
      </c>
      <c r="E139" s="15" t="inlineStr">
        <is>
          <t>CONTRACTS 6.3</t>
        </is>
      </c>
    </row>
    <row r="140">
      <c r="A140" s="15" t="inlineStr">
        <is>
          <t>paid_brands</t>
        </is>
      </c>
      <c r="B140" s="15" t="inlineStr">
        <is>
          <t>source</t>
        </is>
      </c>
      <c r="C140" s="15" t="inlineStr">
        <is>
          <t>text</t>
        </is>
      </c>
      <c r="D140" s="15" t="inlineStr">
        <is>
          <t>From brand_intake (CONTRACTS 6.3).</t>
        </is>
      </c>
      <c r="E140" s="15" t="inlineStr">
        <is>
          <t>CONTRACTS 6.3</t>
        </is>
      </c>
    </row>
    <row r="141">
      <c r="A141" s="15" t="inlineStr">
        <is>
          <t>paid_brands</t>
        </is>
      </c>
      <c r="B141" s="15" t="inlineStr">
        <is>
          <t>brand_id</t>
        </is>
      </c>
      <c r="C141" s="15" t="inlineStr">
        <is>
          <t>id</t>
        </is>
      </c>
      <c r="D141" s="15" t="inlineStr">
        <is>
          <t>BR-### assigned at payment (CONTRACTS 6.4).</t>
        </is>
      </c>
      <c r="E141" s="15" t="inlineStr">
        <is>
          <t>CONTRACTS 6.4</t>
        </is>
      </c>
    </row>
    <row r="142">
      <c r="A142" s="15" t="inlineStr">
        <is>
          <t>paid_brands</t>
        </is>
      </c>
      <c r="B142" s="15" t="inlineStr">
        <is>
          <t>clay_row_id</t>
        </is>
      </c>
      <c r="C142" s="15" t="inlineStr">
        <is>
          <t>id</t>
        </is>
      </c>
      <c r="D142" s="15" t="inlineStr">
        <is>
          <t>The Clay row_id of the brand contact. Must match the row_id used in Brand_Log.</t>
        </is>
      </c>
      <c r="E142" s="15" t="inlineStr">
        <is>
          <t>CONTRACTS 6.4; pipeline org_id</t>
        </is>
      </c>
    </row>
    <row r="143">
      <c r="A143" s="15" t="inlineStr">
        <is>
          <t>paid_brands</t>
        </is>
      </c>
      <c r="B143" s="15" t="inlineStr">
        <is>
          <t>tier</t>
        </is>
      </c>
      <c r="C143" s="15" t="inlineStr">
        <is>
          <t>list: founding, standard</t>
        </is>
      </c>
      <c r="D143" s="15" t="inlineStr">
        <is>
          <t>founding or standard.</t>
        </is>
      </c>
      <c r="E143" s="15" t="inlineStr">
        <is>
          <t>CONTRACTS 6.4</t>
        </is>
      </c>
    </row>
    <row r="144">
      <c r="A144" s="15" t="inlineStr">
        <is>
          <t>paid_brands</t>
        </is>
      </c>
      <c r="B144" s="15" t="inlineStr">
        <is>
          <t>price_usd</t>
        </is>
      </c>
      <c r="C144" s="15" t="inlineStr">
        <is>
          <t>num</t>
        </is>
      </c>
      <c r="D144" s="15" t="inlineStr">
        <is>
          <t>Campaign price in USD (600 founding, 1500 standard, plus 150 per extra office).</t>
        </is>
      </c>
      <c r="E144" s="15" t="inlineStr">
        <is>
          <t>CONTRACTS 6.4</t>
        </is>
      </c>
    </row>
    <row r="145">
      <c r="A145" s="15" t="inlineStr">
        <is>
          <t>paid_brands</t>
        </is>
      </c>
      <c r="B145" s="15" t="inlineStr">
        <is>
          <t>offices_count</t>
        </is>
      </c>
      <c r="C145" s="15" t="inlineStr">
        <is>
          <t>num</t>
        </is>
      </c>
      <c r="D145" s="15" t="inlineStr">
        <is>
          <t>Offices in the campaign (5 founding, 10 standard, more if extra offices).</t>
        </is>
      </c>
      <c r="E145" s="15" t="inlineStr">
        <is>
          <t>CONTRACTS 6.4</t>
        </is>
      </c>
    </row>
    <row r="146">
      <c r="A146" s="15" t="inlineStr">
        <is>
          <t>paid_brands</t>
        </is>
      </c>
      <c r="B146" s="15" t="inlineStr">
        <is>
          <t>payment_terms</t>
        </is>
      </c>
      <c r="C146" s="15" t="inlineStr">
        <is>
          <t>text</t>
        </is>
      </c>
      <c r="D146" s="15" t="inlineStr">
        <is>
          <t>As in the signed agreement.</t>
        </is>
      </c>
      <c r="E146" s="15" t="inlineStr">
        <is>
          <t>CONTRACTS 6.4</t>
        </is>
      </c>
    </row>
    <row r="147">
      <c r="A147" s="15" t="inlineStr">
        <is>
          <t>paid_brands</t>
        </is>
      </c>
      <c r="B147" s="15" t="inlineStr">
        <is>
          <t>agreement_signed_date</t>
        </is>
      </c>
      <c r="C147" s="15" t="inlineStr">
        <is>
          <t>date</t>
        </is>
      </c>
      <c r="D147" s="15" t="inlineStr">
        <is>
          <t>Date the campaign agreement was signed by both sides.</t>
        </is>
      </c>
      <c r="E147" s="15" t="inlineStr">
        <is>
          <t>CONTRACTS 6.4</t>
        </is>
      </c>
    </row>
    <row r="148">
      <c r="A148" s="15" t="inlineStr">
        <is>
          <t>paid_brands</t>
        </is>
      </c>
      <c r="B148" s="15" t="inlineStr">
        <is>
          <t>invoice_id</t>
        </is>
      </c>
      <c r="C148" s="15" t="inlineStr">
        <is>
          <t>text</t>
        </is>
      </c>
      <c r="D148" s="15" t="inlineStr">
        <is>
          <t>Invoice number.</t>
        </is>
      </c>
      <c r="E148" s="15" t="inlineStr">
        <is>
          <t>CONTRACTS 6.4</t>
        </is>
      </c>
    </row>
    <row r="149">
      <c r="A149" s="15" t="inlineStr">
        <is>
          <t>paid_brands</t>
        </is>
      </c>
      <c r="B149" s="15" t="inlineStr">
        <is>
          <t>invoice_date</t>
        </is>
      </c>
      <c r="C149" s="15" t="inlineStr">
        <is>
          <t>date</t>
        </is>
      </c>
      <c r="D149" s="15" t="inlineStr">
        <is>
          <t>Invoice date.</t>
        </is>
      </c>
      <c r="E149" s="15" t="inlineStr">
        <is>
          <t>CONTRACTS 6.4</t>
        </is>
      </c>
    </row>
    <row r="150">
      <c r="A150" s="15" t="inlineStr">
        <is>
          <t>paid_brands</t>
        </is>
      </c>
      <c r="B150" s="15" t="inlineStr">
        <is>
          <t>payment_received_date</t>
        </is>
      </c>
      <c r="C150" s="15" t="inlineStr">
        <is>
          <t>formula</t>
        </is>
      </c>
      <c r="D150" s="15" t="inlineStr">
        <is>
          <t>Date the payment that releases the ship date landed: founding = the full price; standard = the 50% deposit. Filled from payment_1_date.</t>
        </is>
      </c>
      <c r="E150" s="15" t="inlineStr">
        <is>
          <t>CONTRACTS 6.4</t>
        </is>
      </c>
    </row>
    <row r="151">
      <c r="A151" s="15" t="inlineStr">
        <is>
          <t>paid_brands</t>
        </is>
      </c>
      <c r="B151" s="15" t="inlineStr">
        <is>
          <t>coi_received_date</t>
        </is>
      </c>
      <c r="C151" s="15" t="inlineStr">
        <is>
          <t>date</t>
        </is>
      </c>
      <c r="D151" s="15" t="inlineStr">
        <is>
          <t>Date the product liability certificate arrived (checked per legal pack file 11).</t>
        </is>
      </c>
      <c r="E151" s="15" t="inlineStr">
        <is>
          <t>CONTRACTS 6.4</t>
        </is>
      </c>
    </row>
    <row r="152">
      <c r="A152" s="15" t="inlineStr">
        <is>
          <t>paid_brands</t>
        </is>
      </c>
      <c r="B152" s="15" t="inlineStr">
        <is>
          <t>allergen_sheet_received_date</t>
        </is>
      </c>
      <c r="C152" s="15" t="inlineStr">
        <is>
          <t>date</t>
        </is>
      </c>
      <c r="D152" s="15" t="inlineStr">
        <is>
          <t>Date the ingredient and allergen sheet arrived.</t>
        </is>
      </c>
      <c r="E152" s="15" t="inlineStr">
        <is>
          <t>CONTRACTS 6.4</t>
        </is>
      </c>
    </row>
    <row r="153">
      <c r="A153" s="15" t="inlineStr">
        <is>
          <t>paid_brands</t>
        </is>
      </c>
      <c r="B153" s="15" t="inlineStr">
        <is>
          <t>logo_received_date</t>
        </is>
      </c>
      <c r="C153" s="15" t="inlineStr">
        <is>
          <t>date</t>
        </is>
      </c>
      <c r="D153" s="15" t="inlineStr">
        <is>
          <t>Date the logo files arrived.</t>
        </is>
      </c>
      <c r="E153" s="15" t="inlineStr">
        <is>
          <t>CONTRACTS 6.4</t>
        </is>
      </c>
    </row>
    <row r="154">
      <c r="A154" s="15" t="inlineStr">
        <is>
          <t>paid_brands</t>
        </is>
      </c>
      <c r="B154" s="15" t="inlineStr">
        <is>
          <t>card_sentences</t>
        </is>
      </c>
      <c r="C154" s="15" t="inlineStr">
        <is>
          <t>text</t>
        </is>
      </c>
      <c r="D154" s="15" t="inlineStr">
        <is>
          <t>The brand's two sentences for the tent card, as sent (no health claims).</t>
        </is>
      </c>
      <c r="E154" s="15" t="inlineStr">
        <is>
          <t>CONTRACTS 6.4</t>
        </is>
      </c>
    </row>
    <row r="155">
      <c r="A155" s="15" t="inlineStr">
        <is>
          <t>paid_brands</t>
        </is>
      </c>
      <c r="B155" s="15" t="inlineStr">
        <is>
          <t>allergen_line_verbatim</t>
        </is>
      </c>
      <c r="C155" s="15" t="inlineStr">
        <is>
          <t>text</t>
        </is>
      </c>
      <c r="D155" s="15" t="inlineStr">
        <is>
          <t>The allergen statement copied word for word from the label.</t>
        </is>
      </c>
      <c r="E155" s="15" t="inlineStr">
        <is>
          <t>CONTRACTS 6.4</t>
        </is>
      </c>
    </row>
    <row r="156">
      <c r="A156" s="15" t="inlineStr">
        <is>
          <t>paid_brands</t>
        </is>
      </c>
      <c r="B156" s="15" t="inlineStr">
        <is>
          <t>retailer_line</t>
        </is>
      </c>
      <c r="C156" s="15" t="inlineStr">
        <is>
          <t>text</t>
        </is>
      </c>
      <c r="D156" s="15" t="inlineStr">
        <is>
          <t>'Find it at &lt;store, street&gt;' line for the card.</t>
        </is>
      </c>
      <c r="E156" s="15" t="inlineStr">
        <is>
          <t>CONTRACTS 6.4</t>
        </is>
      </c>
    </row>
    <row r="157">
      <c r="A157" s="15" t="inlineStr">
        <is>
          <t>paid_brands</t>
        </is>
      </c>
      <c r="B157" s="15" t="inlineStr">
        <is>
          <t>discount_code</t>
        </is>
      </c>
      <c r="C157" s="15" t="inlineStr">
        <is>
          <t>text</t>
        </is>
      </c>
      <c r="D157" s="15" t="inlineStr">
        <is>
          <t>The campaign discount code.</t>
        </is>
      </c>
      <c r="E157" s="15" t="inlineStr">
        <is>
          <t>CONTRACTS 6.4</t>
        </is>
      </c>
    </row>
    <row r="158">
      <c r="A158" s="15" t="inlineStr">
        <is>
          <t>paid_brands</t>
        </is>
      </c>
      <c r="B158" s="15" t="inlineStr">
        <is>
          <t>landing_url</t>
        </is>
      </c>
      <c r="C158" s="15" t="inlineStr">
        <is>
          <t>text</t>
        </is>
      </c>
      <c r="D158" s="15" t="inlineStr">
        <is>
          <t>Landing page for the QR, if the brand gave one.</t>
        </is>
      </c>
      <c r="E158" s="15" t="inlineStr">
        <is>
          <t>CONTRACTS 6.4</t>
        </is>
      </c>
    </row>
    <row r="159">
      <c r="A159" s="15" t="inlineStr">
        <is>
          <t>paid_brands</t>
        </is>
      </c>
      <c r="B159" s="15" t="inlineStr">
        <is>
          <t>unused_product_election</t>
        </is>
      </c>
      <c r="C159" s="15" t="inlineStr">
        <is>
          <t>list: return, release</t>
        </is>
      </c>
      <c r="D159" s="15" t="inlineStr">
        <is>
          <t>return or release, as elected in the agreement.</t>
        </is>
      </c>
      <c r="E159" s="15" t="inlineStr">
        <is>
          <t>CONTRACTS 6.4</t>
        </is>
      </c>
    </row>
    <row r="160">
      <c r="A160" s="15" t="inlineStr">
        <is>
          <t>paid_brands</t>
        </is>
      </c>
      <c r="B160" s="15" t="inlineStr">
        <is>
          <t>office_approvals</t>
        </is>
      </c>
      <c r="C160" s="15" t="inlineStr">
        <is>
          <t>text</t>
        </is>
      </c>
      <c r="D160" s="15" t="inlineStr">
        <is>
          <t>office_ids that said yes to this brand, semicolons.</t>
        </is>
      </c>
      <c r="E160" s="15" t="inlineStr">
        <is>
          <t>CONTRACTS 6.4</t>
        </is>
      </c>
    </row>
    <row r="161">
      <c r="A161" s="15" t="inlineStr">
        <is>
          <t>paid_brands</t>
        </is>
      </c>
      <c r="B161" s="15" t="inlineStr">
        <is>
          <t>payment_1_usd</t>
        </is>
      </c>
      <c r="C161" s="15" t="inlineStr">
        <is>
          <t>num</t>
        </is>
      </c>
      <c r="D161" s="15" t="inlineStr">
        <is>
          <t>First payment received, USD (founding: 600; standard: the 50% deposit).</t>
        </is>
      </c>
      <c r="E161" s="15" t="inlineStr">
        <is>
          <t>addition: pipeline 'paid' rows</t>
        </is>
      </c>
    </row>
    <row r="162">
      <c r="A162" s="15" t="inlineStr">
        <is>
          <t>paid_brands</t>
        </is>
      </c>
      <c r="B162" s="15" t="inlineStr">
        <is>
          <t>payment_1_date</t>
        </is>
      </c>
      <c r="C162" s="15" t="inlineStr">
        <is>
          <t>date</t>
        </is>
      </c>
      <c r="D162" s="15" t="inlineStr">
        <is>
          <t>Date the first payment landed in the bank.</t>
        </is>
      </c>
      <c r="E162" s="15" t="inlineStr">
        <is>
          <t>addition: pipeline 'paid' rows</t>
        </is>
      </c>
    </row>
    <row r="163">
      <c r="A163" s="15" t="inlineStr">
        <is>
          <t>paid_brands</t>
        </is>
      </c>
      <c r="B163" s="15" t="inlineStr">
        <is>
          <t>payment_2_usd</t>
        </is>
      </c>
      <c r="C163" s="15" t="inlineStr">
        <is>
          <t>num</t>
        </is>
      </c>
      <c r="D163" s="15" t="inlineStr">
        <is>
          <t>Second payment, USD (standard balance at placement confirmation). Blank for founding.</t>
        </is>
      </c>
      <c r="E163" s="15" t="inlineStr">
        <is>
          <t>addition: pipeline 'paid' rows</t>
        </is>
      </c>
    </row>
    <row r="164">
      <c r="A164" s="15" t="inlineStr">
        <is>
          <t>paid_brands</t>
        </is>
      </c>
      <c r="B164" s="15" t="inlineStr">
        <is>
          <t>payment_2_date</t>
        </is>
      </c>
      <c r="C164" s="15" t="inlineStr">
        <is>
          <t>date</t>
        </is>
      </c>
      <c r="D164" s="15" t="inlineStr">
        <is>
          <t>Date the second payment landed.</t>
        </is>
      </c>
      <c r="E164" s="15" t="inlineStr">
        <is>
          <t>addition: pipeline 'paid' rows</t>
        </is>
      </c>
    </row>
    <row r="165">
      <c r="A165" s="15" t="inlineStr">
        <is>
          <t>paid_brands</t>
        </is>
      </c>
      <c r="B165" s="15" t="inlineStr">
        <is>
          <t>agreement_version</t>
        </is>
      </c>
      <c r="C165" s="15" t="inlineStr">
        <is>
          <t>text</t>
        </is>
      </c>
      <c r="D165" s="15" t="inlineStr">
        <is>
          <t>Version of the campaign agreement signed.</t>
        </is>
      </c>
      <c r="E165" s="15" t="inlineStr">
        <is>
          <t>addition (G)</t>
        </is>
      </c>
    </row>
    <row r="166">
      <c r="A166" s="15" t="inlineStr">
        <is>
          <t>paid_brands</t>
        </is>
      </c>
      <c r="B166" s="15" t="inlineStr">
        <is>
          <t>coi_policy_end_date</t>
        </is>
      </c>
      <c r="C166" s="15" t="inlineStr">
        <is>
          <t>date</t>
        </is>
      </c>
      <c r="D166" s="15" t="inlineStr">
        <is>
          <t>End date of the brand's product liability policy, from the certificate.</t>
        </is>
      </c>
      <c r="E166" s="15" t="inlineStr">
        <is>
          <t>addition (G)</t>
        </is>
      </c>
    </row>
    <row r="167">
      <c r="A167" s="15" t="inlineStr">
        <is>
          <t>paid_brands</t>
        </is>
      </c>
      <c r="B167" s="15" t="inlineStr">
        <is>
          <t>newsletter_option</t>
        </is>
      </c>
      <c r="C167" s="15" t="inlineStr">
        <is>
          <t>list: Y, N</t>
        </is>
      </c>
      <c r="D167" s="15" t="inlineStr">
        <is>
          <t>Y if the brand chose the optional survey email box (agreement Part 1).</t>
        </is>
      </c>
      <c r="E167" s="15" t="inlineStr">
        <is>
          <t>addition (G)</t>
        </is>
      </c>
    </row>
    <row r="168">
      <c r="A168" s="15" t="inlineStr">
        <is>
          <t>paid_brands</t>
        </is>
      </c>
      <c r="B168" s="15" t="inlineStr">
        <is>
          <t>brand_privacy_url</t>
        </is>
      </c>
      <c r="C168" s="15" t="inlineStr">
        <is>
          <t>text</t>
        </is>
      </c>
      <c r="D168" s="15" t="inlineStr">
        <is>
          <t>The brand's privacy policy URL (needed only if newsletter_option = Y).</t>
        </is>
      </c>
      <c r="E168" s="15" t="inlineStr">
        <is>
          <t>addition (G)</t>
        </is>
      </c>
    </row>
    <row r="169">
      <c r="A169" s="15" t="inlineStr">
        <is>
          <t>paid_brands</t>
        </is>
      </c>
      <c r="B169" s="15" t="inlineStr">
        <is>
          <t>allergen_source</t>
        </is>
      </c>
      <c r="C169" s="15" t="inlineStr">
        <is>
          <t>list: contains_statement, ingredient_list, single_ingredient</t>
        </is>
      </c>
      <c r="D169" s="15" t="inlineStr">
        <is>
          <t>Where the allergen line comes from on the package.</t>
        </is>
      </c>
      <c r="E169" s="15" t="inlineStr">
        <is>
          <t>addition (D tent card)</t>
        </is>
      </c>
    </row>
    <row r="170">
      <c r="A170" s="15" t="inlineStr">
        <is>
          <t>paid_brands</t>
        </is>
      </c>
      <c r="B170" s="15" t="inlineStr">
        <is>
          <t>may_contain_verbatim</t>
        </is>
      </c>
      <c r="C170" s="15" t="inlineStr">
        <is>
          <t>text</t>
        </is>
      </c>
      <c r="D170" s="15" t="inlineStr">
        <is>
          <t>Any 'may contain' line, word for word.</t>
        </is>
      </c>
      <c r="E170" s="15" t="inlineStr">
        <is>
          <t>addition (D tent card)</t>
        </is>
      </c>
    </row>
    <row r="171">
      <c r="A171" s="15" t="inlineStr">
        <is>
          <t>paid_brands</t>
        </is>
      </c>
      <c r="B171" s="15" t="inlineStr">
        <is>
          <t>flavor_name</t>
        </is>
      </c>
      <c r="C171" s="15" t="inlineStr">
        <is>
          <t>text</t>
        </is>
      </c>
      <c r="D171" s="15" t="inlineStr">
        <is>
          <t>Two-flavor campaigns only: flavor 1 name.</t>
        </is>
      </c>
      <c r="E171" s="15" t="inlineStr">
        <is>
          <t>addition (D tent card)</t>
        </is>
      </c>
    </row>
    <row r="172">
      <c r="A172" s="15" t="inlineStr">
        <is>
          <t>paid_brands</t>
        </is>
      </c>
      <c r="B172" s="15" t="inlineStr">
        <is>
          <t>flavor_name_2</t>
        </is>
      </c>
      <c r="C172" s="15" t="inlineStr">
        <is>
          <t>text</t>
        </is>
      </c>
      <c r="D172" s="15" t="inlineStr">
        <is>
          <t>Two-flavor campaigns only: flavor 2 name.</t>
        </is>
      </c>
      <c r="E172" s="15" t="inlineStr">
        <is>
          <t>addition (D tent card)</t>
        </is>
      </c>
    </row>
    <row r="173">
      <c r="A173" s="15" t="inlineStr">
        <is>
          <t>paid_brands</t>
        </is>
      </c>
      <c r="B173" s="15" t="inlineStr">
        <is>
          <t>allergen_source_2</t>
        </is>
      </c>
      <c r="C173" s="15" t="inlineStr">
        <is>
          <t>list: contains_statement, ingredient_list, single_ingredient</t>
        </is>
      </c>
      <c r="D173" s="15" t="inlineStr">
        <is>
          <t>Two-flavor only: flavor 2 allergen source.</t>
        </is>
      </c>
      <c r="E173" s="15" t="inlineStr">
        <is>
          <t>addition (D tent card)</t>
        </is>
      </c>
    </row>
    <row r="174">
      <c r="A174" s="15" t="inlineStr">
        <is>
          <t>paid_brands</t>
        </is>
      </c>
      <c r="B174" s="15" t="inlineStr">
        <is>
          <t>allergen_line_verbatim_2</t>
        </is>
      </c>
      <c r="C174" s="15" t="inlineStr">
        <is>
          <t>text</t>
        </is>
      </c>
      <c r="D174" s="15" t="inlineStr">
        <is>
          <t>Two-flavor only: flavor 2 allergen line.</t>
        </is>
      </c>
      <c r="E174" s="15" t="inlineStr">
        <is>
          <t>addition (D tent card)</t>
        </is>
      </c>
    </row>
    <row r="175">
      <c r="A175" s="15" t="inlineStr">
        <is>
          <t>paid_brands</t>
        </is>
      </c>
      <c r="B175" s="15" t="inlineStr">
        <is>
          <t>may_contain_verbatim_2</t>
        </is>
      </c>
      <c r="C175" s="15" t="inlineStr">
        <is>
          <t>text</t>
        </is>
      </c>
      <c r="D175" s="15" t="inlineStr">
        <is>
          <t>Two-flavor only: flavor 2 'may contain' line.</t>
        </is>
      </c>
      <c r="E175" s="15" t="inlineStr">
        <is>
          <t>addition (D tent card)</t>
        </is>
      </c>
    </row>
    <row r="176">
      <c r="A176" s="15" t="inlineStr">
        <is>
          <t>paid_brands</t>
        </is>
      </c>
      <c r="B176" s="15" t="inlineStr">
        <is>
          <t>verified_q1_sealed_shelf_stable_60d</t>
        </is>
      </c>
      <c r="C176" s="15" t="inlineStr">
        <is>
          <t>list: Y, N</t>
        </is>
      </c>
      <c r="D176" s="15" t="inlineStr">
        <is>
          <t>Founder checked: sealed, individually packaged, shelf-stable, 60+ days of shelf life at the drop date.</t>
        </is>
      </c>
      <c r="E176" s="15" t="inlineStr">
        <is>
          <t>addition: qualification check 1</t>
        </is>
      </c>
    </row>
    <row r="177">
      <c r="A177" s="15" t="inlineStr">
        <is>
          <t>paid_brands</t>
        </is>
      </c>
      <c r="B177" s="15" t="inlineStr">
        <is>
          <t>verified_q2_labeled_ingredients_allergens</t>
        </is>
      </c>
      <c r="C177" s="15" t="inlineStr">
        <is>
          <t>list: Y, N</t>
        </is>
      </c>
      <c r="D177" s="15" t="inlineStr">
        <is>
          <t>Founder checked the label: ingredients and the nine major allergens.</t>
        </is>
      </c>
      <c r="E177" s="15" t="inlineStr">
        <is>
          <t>addition: qualification check 2</t>
        </is>
      </c>
    </row>
    <row r="178">
      <c r="A178" s="15" t="inlineStr">
        <is>
          <t>paid_brands</t>
        </is>
      </c>
      <c r="B178" s="15" t="inlineStr">
        <is>
          <t>verified_q3_buy_path_near_cluster</t>
        </is>
      </c>
      <c r="C178" s="15" t="inlineStr">
        <is>
          <t>list: Y, N</t>
        </is>
      </c>
      <c r="D178" s="15" t="inlineStr">
        <is>
          <t>Founder checked the buy path: a store within ten blocks (evidence grade store_selector, brand_claim or seen_on_shelf) or an online store with a code.</t>
        </is>
      </c>
      <c r="E178" s="15" t="inlineStr">
        <is>
          <t>addition: qualification check 3</t>
        </is>
      </c>
    </row>
    <row r="179">
      <c r="A179" s="15" t="inlineStr">
        <is>
          <t>paid_brands</t>
        </is>
      </c>
      <c r="B179" s="15" t="inlineStr">
        <is>
          <t>verified_q4_can_ship_275_in_10bd</t>
        </is>
      </c>
      <c r="C179" s="15" t="inlineStr">
        <is>
          <t>list: Y, N</t>
        </is>
      </c>
      <c r="D179" s="15" t="inlineStr">
        <is>
          <t>Brand confirmed in writing it can ship the units plus reserve to one Manhattan address within ten business days.</t>
        </is>
      </c>
      <c r="E179" s="15" t="inlineStr">
        <is>
          <t>addition: qualification check 4</t>
        </is>
      </c>
    </row>
    <row r="180">
      <c r="A180" s="15" t="inlineStr">
        <is>
          <t>paid_brands</t>
        </is>
      </c>
      <c r="B180" s="15" t="inlineStr">
        <is>
          <t>verified_q5_product_liability_insurance</t>
        </is>
      </c>
      <c r="C180" s="15" t="inlineStr">
        <is>
          <t>list: Y, N</t>
        </is>
      </c>
      <c r="D180" s="15" t="inlineStr">
        <is>
          <t>Certificate received and checked (legal pack file 11).</t>
        </is>
      </c>
      <c r="E180" s="15" t="inlineStr">
        <is>
          <t>addition: qualification check 5</t>
        </is>
      </c>
    </row>
    <row r="181">
      <c r="A181" s="15" t="inlineStr">
        <is>
          <t>paid_brands</t>
        </is>
      </c>
      <c r="B181" s="15" t="inlineStr">
        <is>
          <t>verified_q6_contact_can_approve_600</t>
        </is>
      </c>
      <c r="C181" s="15" t="inlineStr">
        <is>
          <t>list: Y, N</t>
        </is>
      </c>
      <c r="D181" s="15" t="inlineStr">
        <is>
          <t>The signer approved the price alone.</t>
        </is>
      </c>
      <c r="E181" s="15" t="inlineStr">
        <is>
          <t>addition: qualification check 6</t>
        </is>
      </c>
    </row>
    <row r="182">
      <c r="A182" s="15" t="inlineStr">
        <is>
          <t>paid_brands</t>
        </is>
      </c>
      <c r="B182" s="15" t="inlineStr">
        <is>
          <t>verified_q7_why_now</t>
        </is>
      </c>
      <c r="C182" s="15" t="inlineStr">
        <is>
          <t>list: Y, N</t>
        </is>
      </c>
      <c r="D182" s="15" t="inlineStr">
        <is>
          <t>A real reason for New York trial now (new store, launch, local push), noted in verified_notes.</t>
        </is>
      </c>
      <c r="E182" s="15" t="inlineStr">
        <is>
          <t>addition: qualification check 7</t>
        </is>
      </c>
    </row>
    <row r="183">
      <c r="A183" s="15" t="inlineStr">
        <is>
          <t>paid_brands</t>
        </is>
      </c>
      <c r="B183" s="15" t="inlineStr">
        <is>
          <t>verified_not_excluded</t>
        </is>
      </c>
      <c r="C183" s="15" t="inlineStr">
        <is>
          <t>list: Y, N</t>
        </is>
      </c>
      <c r="D183" s="15" t="inlineStr">
        <is>
          <t>Not alcohol, cannabis, CBD or THC, supplement, refrigerated, needing preparation, or carrying a health claim (CONTRACTS 4).</t>
        </is>
      </c>
      <c r="E183" s="15" t="inlineStr">
        <is>
          <t>addition: excluded list</t>
        </is>
      </c>
    </row>
    <row r="184">
      <c r="A184" s="15" t="inlineStr">
        <is>
          <t>paid_brands</t>
        </is>
      </c>
      <c r="B184" s="15" t="inlineStr">
        <is>
          <t>verified_date</t>
        </is>
      </c>
      <c r="C184" s="15" t="inlineStr">
        <is>
          <t>date</t>
        </is>
      </c>
      <c r="D184" s="15" t="inlineStr">
        <is>
          <t>Date the founder finished the checks.</t>
        </is>
      </c>
      <c r="E184" s="15" t="inlineStr">
        <is>
          <t>addition</t>
        </is>
      </c>
    </row>
    <row r="185">
      <c r="A185" s="15" t="inlineStr">
        <is>
          <t>paid_brands</t>
        </is>
      </c>
      <c r="B185" s="15" t="inlineStr">
        <is>
          <t>verified_notes</t>
        </is>
      </c>
      <c r="C185" s="15" t="inlineStr">
        <is>
          <t>text</t>
        </is>
      </c>
      <c r="D185" s="15" t="inlineStr">
        <is>
          <t>Evidence for the checks (best-by date seen, certificate details, store and street).</t>
        </is>
      </c>
      <c r="E185" s="15" t="inlineStr">
        <is>
          <t>addition</t>
        </is>
      </c>
    </row>
    <row r="186">
      <c r="A186" s="15" t="inlineStr">
        <is>
          <t>later_events</t>
        </is>
      </c>
      <c r="B186" s="15" t="inlineStr">
        <is>
          <t>date</t>
        </is>
      </c>
      <c r="C186" s="15" t="inlineStr">
        <is>
          <t>date</t>
        </is>
      </c>
      <c r="D186" s="15" t="inlineStr">
        <is>
          <t>Date of the event.</t>
        </is>
      </c>
      <c r="E186" s="15" t="inlineStr">
        <is>
          <t>pipeline_log date</t>
        </is>
      </c>
    </row>
    <row r="187">
      <c r="A187" s="15" t="inlineStr">
        <is>
          <t>later_events</t>
        </is>
      </c>
      <c r="B187" s="15" t="inlineStr">
        <is>
          <t>side</t>
        </is>
      </c>
      <c r="C187" s="15" t="inlineStr">
        <is>
          <t>list: office, brand</t>
        </is>
      </c>
      <c r="D187" s="15" t="inlineStr">
        <is>
          <t>office or brand.</t>
        </is>
      </c>
      <c r="E187" s="15" t="inlineStr">
        <is>
          <t>pipeline_log side</t>
        </is>
      </c>
    </row>
    <row r="188">
      <c r="A188" s="15" t="inlineStr">
        <is>
          <t>later_events</t>
        </is>
      </c>
      <c r="B188" s="15" t="inlineStr">
        <is>
          <t>clay_row_id</t>
        </is>
      </c>
      <c r="C188" s="15" t="inlineStr">
        <is>
          <t>id</t>
        </is>
      </c>
      <c r="D188" s="15" t="inlineStr">
        <is>
          <t>Clay row_id of the organization (same as in the logs and handoff tabs).</t>
        </is>
      </c>
      <c r="E188" s="15" t="inlineStr">
        <is>
          <t>pipeline_log org_id</t>
        </is>
      </c>
    </row>
    <row r="189">
      <c r="A189" s="15" t="inlineStr">
        <is>
          <t>later_events</t>
        </is>
      </c>
      <c r="B189" s="15" t="inlineStr">
        <is>
          <t>org_name</t>
        </is>
      </c>
      <c r="C189" s="15" t="inlineStr">
        <is>
          <t>text</t>
        </is>
      </c>
      <c r="D189" s="15" t="inlineStr">
        <is>
          <t>Company or brand name.</t>
        </is>
      </c>
      <c r="E189" s="15" t="inlineStr">
        <is>
          <t>pipeline_log org_name</t>
        </is>
      </c>
    </row>
    <row r="190">
      <c r="A190" s="15" t="inlineStr">
        <is>
          <t>later_events</t>
        </is>
      </c>
      <c r="B190" s="15" t="inlineStr">
        <is>
          <t>event</t>
        </is>
      </c>
      <c r="C190" s="15" t="inlineStr">
        <is>
          <t>list: renewal_answer, opt_out</t>
        </is>
      </c>
      <c r="D190" s="15" t="inlineStr">
        <is>
          <t>renewal_answer (a brand's answer at or after the debrief) or opt_out (a signed office or paid brand leaving the roster). Outreach unsubscribes are NOT logged here; they live in Clay only.</t>
        </is>
      </c>
      <c r="E190" s="15" t="inlineStr">
        <is>
          <t>pipeline_log event</t>
        </is>
      </c>
    </row>
    <row r="191">
      <c r="A191" s="15" t="inlineStr">
        <is>
          <t>later_events</t>
        </is>
      </c>
      <c r="B191" s="15" t="inlineStr">
        <is>
          <t>value_number</t>
        </is>
      </c>
      <c r="C191" s="15" t="inlineStr">
        <is>
          <t>num</t>
        </is>
      </c>
      <c r="D191" s="15" t="inlineStr">
        <is>
          <t>renewal_answer: USD committed if the answer is yes, else blank. opt_out: blank.</t>
        </is>
      </c>
      <c r="E191" s="15" t="inlineStr">
        <is>
          <t>pipeline_log value_number</t>
        </is>
      </c>
    </row>
    <row r="192">
      <c r="A192" s="15" t="inlineStr">
        <is>
          <t>later_events</t>
        </is>
      </c>
      <c r="B192" s="15" t="inlineStr">
        <is>
          <t>value_text</t>
        </is>
      </c>
      <c r="C192" s="15" t="inlineStr">
        <is>
          <t>text</t>
        </is>
      </c>
      <c r="D192" s="15" t="inlineStr">
        <is>
          <t>renewal_answer: yes, maybe or no. opt_out: the reason in their words.</t>
        </is>
      </c>
      <c r="E192" s="15" t="inlineStr">
        <is>
          <t>pipeline_log value_text</t>
        </is>
      </c>
    </row>
    <row r="193">
      <c r="A193" s="15" t="inlineStr">
        <is>
          <t>later_events</t>
        </is>
      </c>
      <c r="B193" s="15" t="inlineStr">
        <is>
          <t>notes</t>
        </is>
      </c>
      <c r="C193" s="15" t="inlineStr">
        <is>
          <t>text</t>
        </is>
      </c>
      <c r="D193" s="15" t="inlineStr">
        <is>
          <t>Anything else.</t>
        </is>
      </c>
      <c r="E193" s="15" t="inlineStr">
        <is>
          <t>pipeline_log notes</t>
        </is>
      </c>
    </row>
    <row r="194">
      <c r="A194" s="15" t="inlineStr">
        <is>
          <t>pipeline_log</t>
        </is>
      </c>
      <c r="B194" s="15" t="inlineStr">
        <is>
          <t>date</t>
        </is>
      </c>
      <c r="C194" s="15" t="inlineStr">
        <is>
          <t>date</t>
        </is>
      </c>
      <c r="D194" s="15" t="inlineStr">
        <is>
          <t>Date of the event.</t>
        </is>
      </c>
      <c r="E194" s="15" t="inlineStr">
        <is>
          <t>H section 3</t>
        </is>
      </c>
    </row>
    <row r="195">
      <c r="A195" s="15" t="inlineStr">
        <is>
          <t>pipeline_log</t>
        </is>
      </c>
      <c r="B195" s="15" t="inlineStr">
        <is>
          <t>side</t>
        </is>
      </c>
      <c r="C195" s="15" t="inlineStr">
        <is>
          <t>text</t>
        </is>
      </c>
      <c r="D195" s="15" t="inlineStr">
        <is>
          <t>office or brand.</t>
        </is>
      </c>
      <c r="E195" s="15" t="inlineStr">
        <is>
          <t>H section 3</t>
        </is>
      </c>
    </row>
    <row r="196">
      <c r="A196" s="15" t="inlineStr">
        <is>
          <t>pipeline_log</t>
        </is>
      </c>
      <c r="B196" s="15" t="inlineStr">
        <is>
          <t>org_id</t>
        </is>
      </c>
      <c r="C196" s="15" t="inlineStr">
        <is>
          <t>text</t>
        </is>
      </c>
      <c r="D196" s="15" t="inlineStr">
        <is>
          <t>The Clay row_id, the same for every event of one organization.</t>
        </is>
      </c>
      <c r="E196" s="15" t="inlineStr">
        <is>
          <t>H section 3 (recommended)</t>
        </is>
      </c>
    </row>
    <row r="197">
      <c r="A197" s="15" t="inlineStr">
        <is>
          <t>pipeline_log</t>
        </is>
      </c>
      <c r="B197" s="15" t="inlineStr">
        <is>
          <t>org_name</t>
        </is>
      </c>
      <c r="C197" s="15" t="inlineStr">
        <is>
          <t>text</t>
        </is>
      </c>
      <c r="D197" s="15" t="inlineStr">
        <is>
          <t>Company or brand name.</t>
        </is>
      </c>
      <c r="E197" s="15" t="inlineStr">
        <is>
          <t>H section 3</t>
        </is>
      </c>
    </row>
    <row r="198">
      <c r="A198" s="15" t="inlineStr">
        <is>
          <t>pipeline_log</t>
        </is>
      </c>
      <c r="B198" s="15" t="inlineStr">
        <is>
          <t>event</t>
        </is>
      </c>
      <c r="C198" s="15" t="inlineStr">
        <is>
          <t>text</t>
        </is>
      </c>
      <c r="D198" s="15" t="inlineStr">
        <is>
          <t>outreach_sent (one per touch), conversation, yes_in_principle (offices: only with owner and window), signed, paid (one per payment), budget_probe, renewal_answer, opt_out (roster exits only).</t>
        </is>
      </c>
      <c r="E198" s="15" t="inlineStr">
        <is>
          <t>H section 3</t>
        </is>
      </c>
    </row>
    <row r="199">
      <c r="A199" s="15" t="inlineStr">
        <is>
          <t>pipeline_log</t>
        </is>
      </c>
      <c r="B199" s="15" t="inlineStr">
        <is>
          <t>value_number</t>
        </is>
      </c>
      <c r="C199" s="15" t="inlineStr">
        <is>
          <t>num</t>
        </is>
      </c>
      <c r="D199" s="15" t="inlineStr">
        <is>
          <t>signed: Tuesday headcount. paid: USD received. office budget_probe: USD a month (low end; 0 = no budget). brand budget_probe: USD per campaign. renewal_answer: USD committed if yes.</t>
        </is>
      </c>
      <c r="E199" s="15" t="inlineStr">
        <is>
          <t>H section 3</t>
        </is>
      </c>
    </row>
    <row r="200">
      <c r="A200" s="15" t="inlineStr">
        <is>
          <t>pipeline_log</t>
        </is>
      </c>
      <c r="B200" s="15" t="inlineStr">
        <is>
          <t>value_text</t>
        </is>
      </c>
      <c r="C200" s="15" t="inlineStr">
        <is>
          <t>text</t>
        </is>
      </c>
      <c r="D200" s="15" t="inlineStr">
        <is>
          <t>Verbatim answer; renewal_answer: yes, maybe or no.</t>
        </is>
      </c>
      <c r="E200" s="15" t="inlineStr">
        <is>
          <t>H section 3</t>
        </is>
      </c>
    </row>
    <row r="201">
      <c r="A201" s="15" t="inlineStr">
        <is>
          <t>pipeline_log</t>
        </is>
      </c>
      <c r="B201" s="15" t="inlineStr">
        <is>
          <t>controls_budget</t>
        </is>
      </c>
      <c r="C201" s="15" t="inlineStr">
        <is>
          <t>Y/N</t>
        </is>
      </c>
      <c r="D201" s="15" t="inlineStr">
        <is>
          <t>Brand budget_probe and yes rows only.</t>
        </is>
      </c>
      <c r="E201" s="15" t="inlineStr">
        <is>
          <t>H section 3</t>
        </is>
      </c>
    </row>
    <row r="202">
      <c r="A202" s="15" t="inlineStr">
        <is>
          <t>pipeline_log</t>
        </is>
      </c>
      <c r="B202" s="15" t="inlineStr">
        <is>
          <t>notes</t>
        </is>
      </c>
      <c r="C202" s="15" t="inlineStr">
        <is>
          <t>text</t>
        </is>
      </c>
      <c r="D202" s="15" t="inlineStr">
        <is>
          <t>Brand budget_probe after hearing $1,500: exactly after_1500. Outreach: touch number, sequence, channel.</t>
        </is>
      </c>
      <c r="E202" s="15" t="inlineStr">
        <is>
          <t>H section 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44" customWidth="1" min="4" max="4"/>
    <col width="60" customWidth="1" min="5" max="5"/>
  </cols>
  <sheetData>
    <row r="1">
      <c r="A1" s="12" t="inlineStr">
        <is>
          <t>The 13 conversation-tracking columns to add to BOTH Clay tables (CONTRACTS 6.2). Clay is the only status store; this tracker reads them every Friday.</t>
        </is>
      </c>
    </row>
    <row r="2">
      <c r="A2" s="7" t="inlineStr">
        <is>
          <t>column</t>
        </is>
      </c>
      <c r="B2" s="7" t="inlineStr">
        <is>
          <t>type</t>
        </is>
      </c>
      <c r="C2" s="7" t="inlineStr">
        <is>
          <t>allowed values</t>
        </is>
      </c>
      <c r="D2" s="7" t="inlineStr">
        <is>
          <t>written when</t>
        </is>
      </c>
      <c r="E2" s="7" t="inlineStr">
        <is>
          <t>rule</t>
        </is>
      </c>
    </row>
    <row r="3">
      <c r="A3" s="15" t="inlineStr">
        <is>
          <t>sequence</t>
        </is>
      </c>
      <c r="B3" s="15" t="inlineStr">
        <is>
          <t>text</t>
        </is>
      </c>
      <c r="C3" s="15" t="inlineStr">
        <is>
          <t>&lt;side&gt;-&lt;stage&gt;-&lt;variant&gt;, e.g. office-discovery-A (stage: discovery, selling, conversion)</t>
        </is>
      </c>
      <c r="D3" s="15" t="inlineStr">
        <is>
          <t>When the first touch is sent</t>
        </is>
      </c>
      <c r="E3" s="15" t="inlineStr">
        <is>
          <t>Never changed afterwards; a new sequence on the same person is a new value only if the old one ended (not_now recontact)</t>
        </is>
      </c>
    </row>
    <row r="4">
      <c r="A4" s="15" t="inlineStr">
        <is>
          <t>touch_1_date</t>
        </is>
      </c>
      <c r="B4" s="15" t="inlineStr">
        <is>
          <t>date</t>
        </is>
      </c>
      <c r="C4" s="15" t="inlineStr">
        <is>
          <t>YYYY-MM-DD</t>
        </is>
      </c>
      <c r="D4" s="15" t="inlineStr">
        <is>
          <t>The day the first message with the ask is sent (email, LinkedIn message, walk-in conversation)</t>
        </is>
      </c>
      <c r="E4" s="15" t="inlineStr">
        <is>
          <t>A LinkedIn invitation with no note is not a touch: set next_action = await_connection instead</t>
        </is>
      </c>
    </row>
    <row r="5">
      <c r="A5" s="15" t="inlineStr">
        <is>
          <t>touch_2_date</t>
        </is>
      </c>
      <c r="B5" s="15" t="inlineStr">
        <is>
          <t>date</t>
        </is>
      </c>
      <c r="C5" s="15" t="inlineStr">
        <is>
          <t>YYYY-MM-DD</t>
        </is>
      </c>
      <c r="D5" s="15" t="inlineStr">
        <is>
          <t>Day touch 2 is sent</t>
        </is>
      </c>
      <c r="E5" s="15" t="inlineStr">
        <is>
          <t>Skip if they replied</t>
        </is>
      </c>
    </row>
    <row r="6">
      <c r="A6" s="15" t="inlineStr">
        <is>
          <t>touch_3_date</t>
        </is>
      </c>
      <c r="B6" s="15" t="inlineStr">
        <is>
          <t>date</t>
        </is>
      </c>
      <c r="C6" s="15" t="inlineStr">
        <is>
          <t>YYYY-MM-DD</t>
        </is>
      </c>
      <c r="D6" s="15" t="inlineStr">
        <is>
          <t>Day touch 3 is sent</t>
        </is>
      </c>
      <c r="E6" s="15" t="inlineStr">
        <is>
          <t>Last touch; then stop</t>
        </is>
      </c>
    </row>
    <row r="7">
      <c r="A7" s="15" t="inlineStr">
        <is>
          <t>last_reply_date</t>
        </is>
      </c>
      <c r="B7" s="15" t="inlineStr">
        <is>
          <t>date</t>
        </is>
      </c>
      <c r="C7" s="15" t="inlineStr">
        <is>
          <t>YYYY-MM-DD</t>
        </is>
      </c>
      <c r="D7" s="15" t="inlineStr">
        <is>
          <t>Each time they reply</t>
        </is>
      </c>
      <c r="E7" s="15" t="inlineStr">
        <is>
          <t>Not for bounces or out-of-office auto-replies</t>
        </is>
      </c>
    </row>
    <row r="8">
      <c r="A8" s="15" t="inlineStr">
        <is>
          <t>reply_type</t>
        </is>
      </c>
      <c r="B8" s="15" t="inlineStr">
        <is>
          <t>list</t>
        </is>
      </c>
      <c r="C8" s="15" t="inlineStr">
        <is>
          <t>yes, maybe, needs_approval, send_info, wrong_person, referral, not_now, no, opt_out, obj_seed_ourselves, obj_price, obj_free_trial, obj_what_we_get, obj_other, out_of_office, bounce</t>
        </is>
      </c>
      <c r="D8" s="15" t="inlineStr">
        <is>
          <t>Each reply (the latest meaningful one)</t>
        </is>
      </c>
      <c r="E8" s="15" t="inlineStr">
        <is>
          <t>Silence stays blank</t>
        </is>
      </c>
    </row>
    <row r="9">
      <c r="A9" s="15" t="inlineStr">
        <is>
          <t>call_date</t>
        </is>
      </c>
      <c r="B9" s="15" t="inlineStr">
        <is>
          <t>date</t>
        </is>
      </c>
      <c r="C9" s="15" t="inlineStr">
        <is>
          <t>YYYY-MM-DD</t>
        </is>
      </c>
      <c r="D9" s="15" t="inlineStr">
        <is>
          <t>After each conversation, copied from the tracker row</t>
        </is>
      </c>
      <c r="E9" s="15" t="inlineStr">
        <is>
          <t>Equals the latest call_date for this row_id in the tracker</t>
        </is>
      </c>
    </row>
    <row r="10">
      <c r="A10" s="15" t="inlineStr">
        <is>
          <t>call_notes</t>
        </is>
      </c>
      <c r="B10" s="15" t="inlineStr">
        <is>
          <t>text</t>
        </is>
      </c>
      <c r="C10" s="15" t="inlineStr">
        <is>
          <t>One line plus 'see tracker &lt;call_date&gt;'</t>
        </is>
      </c>
      <c r="D10" s="15" t="inlineStr">
        <is>
          <t>After each conversation</t>
        </is>
      </c>
      <c r="E10" s="15" t="inlineStr">
        <is>
          <t>The full notes live in the tracker, not in Clay</t>
        </is>
      </c>
    </row>
    <row r="11">
      <c r="A11" s="15" t="inlineStr">
        <is>
          <t>yes_in_principle</t>
        </is>
      </c>
      <c r="B11" s="15" t="inlineStr">
        <is>
          <t>Y/N</t>
        </is>
      </c>
      <c r="C11" s="15" t="inlineStr">
        <is>
          <t>Y or N</t>
        </is>
      </c>
      <c r="D11" s="15" t="inlineStr">
        <is>
          <t>After each conversation, copied from the tracker</t>
        </is>
      </c>
      <c r="E11" s="15" t="inlineStr">
        <is>
          <t>Y if any tracker row for this row_id says Y; maybe in the tracker is N here</t>
        </is>
      </c>
    </row>
    <row r="12">
      <c r="A12" s="15" t="inlineStr">
        <is>
          <t>next_action</t>
        </is>
      </c>
      <c r="B12" s="15" t="inlineStr">
        <is>
          <t>list</t>
        </is>
      </c>
      <c r="C12" s="15" t="inlineStr">
        <is>
          <t>send_touch_2, send_touch_3, await_connection, book_call, run_call, send_one_pager, send_proposal, send_agreement, send_materials_request, chase_payment, ask_referral, recontact, none</t>
        </is>
      </c>
      <c r="D12" s="15" t="inlineStr">
        <is>
          <t>Whenever the next step changes</t>
        </is>
      </c>
      <c r="E12" s="15" t="inlineStr">
        <is>
          <t>Clay is the only place next actions live</t>
        </is>
      </c>
    </row>
    <row r="13">
      <c r="A13" s="15" t="inlineStr">
        <is>
          <t>next_action_date</t>
        </is>
      </c>
      <c r="B13" s="15" t="inlineStr">
        <is>
          <t>date</t>
        </is>
      </c>
      <c r="C13" s="15" t="inlineStr">
        <is>
          <t>YYYY-MM-DD</t>
        </is>
      </c>
      <c r="D13" s="15" t="inlineStr">
        <is>
          <t>With next_action</t>
        </is>
      </c>
      <c r="E13" s="15" t="inlineStr">
        <is>
          <t>Drives the follow-up list each morning</t>
        </is>
      </c>
    </row>
    <row r="14">
      <c r="A14" s="15" t="inlineStr">
        <is>
          <t>opt_out_date</t>
        </is>
      </c>
      <c r="B14" s="15" t="inlineStr">
        <is>
          <t>date</t>
        </is>
      </c>
      <c r="C14" s="15" t="inlineStr">
        <is>
          <t>YYYY-MM-DD</t>
        </is>
      </c>
      <c r="D14" s="15" t="inlineStr">
        <is>
          <t>The same day anyone opts out, in any words, on any channel</t>
        </is>
      </c>
      <c r="E14" s="15" t="inlineStr">
        <is>
          <t>Also set do_not_contact = Y and status = do_not_contact. Never cleared</t>
        </is>
      </c>
    </row>
    <row r="15">
      <c r="A15" s="15" t="inlineStr">
        <is>
          <t>referral_from</t>
        </is>
      </c>
      <c r="B15" s="15" t="inlineStr">
        <is>
          <t>text</t>
        </is>
      </c>
      <c r="C15" s="15" t="inlineStr">
        <is>
          <t>row_id of the person who referred them</t>
        </is>
      </c>
      <c r="D15" s="15" t="inlineStr">
        <is>
          <t>When you create a row for a referred person</t>
        </is>
      </c>
      <c r="E15" s="15" t="inlineStr">
        <is>
          <t>Lets the scorecard and you trace referrals</t>
        </is>
      </c>
    </row>
    <row r="17">
      <c r="A17" s="6" t="inlineStr">
        <is>
          <t>Columns A owns that this tracker also reads: row_id, company, status, do_not_contact, channel (CONTRACTS 6.2). Status values: CONTRACTS section 4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2026-10-24T05:58:47Z</dcterms:created>
  <dcterms:modified xmlns:dcterms="http://purl.org/dc/terms/" xmlns:xsi="http://www.w3.org/2001/XMLSchema-instance" xsi:type="dcterms:W3CDTF">2026-10-24T05:58:48Z</dcterms:modified>
</cp:coreProperties>
</file>